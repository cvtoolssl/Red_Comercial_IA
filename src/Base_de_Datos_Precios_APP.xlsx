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Tarifa_General" sheetId="2" r:id="rId5"/>
    <sheet state="visible" name="Tarifa_BigMat" sheetId="3" r:id="rId6"/>
    <sheet state="visible" name="Tarifa_Cecofersa" sheetId="4" r:id="rId7"/>
    <sheet state="visible" name="Tarifa_Neopro" sheetId="5" r:id="rId8"/>
    <sheet state="visible" name="Tarifa_Ehlis" sheetId="6" r:id="rId9"/>
    <sheet state="visible" name="Tarifa_Synergas" sheetId="7" r:id="rId10"/>
    <sheet state="visible" name="Tarifa_Grandes_Cuentas" sheetId="8" r:id="rId11"/>
    <sheet state="visible" name="Tarifa_Coferdroza" sheetId="9" r:id="rId12"/>
  </sheets>
  <definedNames/>
  <calcPr/>
</workbook>
</file>

<file path=xl/sharedStrings.xml><?xml version="1.0" encoding="utf-8"?>
<sst xmlns="http://schemas.openxmlformats.org/spreadsheetml/2006/main" count="3260" uniqueCount="3199">
  <si>
    <t>Referencia</t>
  </si>
  <si>
    <t>Descripcion</t>
  </si>
  <si>
    <t>PVP</t>
  </si>
  <si>
    <t>NETOS</t>
  </si>
  <si>
    <t>NETOS_GRANDE_CUENTAS</t>
  </si>
  <si>
    <t>CANTIDAD</t>
  </si>
  <si>
    <t>PRECIO_ESTANDAR</t>
  </si>
  <si>
    <t>CONDICIONES_NETO</t>
  </si>
  <si>
    <t>CONDICION_NETO_GC</t>
  </si>
  <si>
    <t>PRECIO_GRUPO1</t>
  </si>
  <si>
    <t>PRECIO_GRUPO3</t>
  </si>
  <si>
    <t>PRECIO_CECOFERSA</t>
  </si>
  <si>
    <t>Cartel PVC 21x29 Fotolum. SALIDA FLECHA IZQ.</t>
  </si>
  <si>
    <t>0101A</t>
  </si>
  <si>
    <t>Cartel PVC 32x16 Fotolum Salida flecha derecha</t>
  </si>
  <si>
    <t>0101B</t>
  </si>
  <si>
    <t>Cartel PVC 64x32 Fotolum Salida flecha derecha</t>
  </si>
  <si>
    <t>0101C</t>
  </si>
  <si>
    <t>Cartel PVC 96x48 Fotolum Salida flecha derecha</t>
  </si>
  <si>
    <t>0102A</t>
  </si>
  <si>
    <t>Cartel PVC 32x16 Fotolum Salida flecha izquierda</t>
  </si>
  <si>
    <t>0102B</t>
  </si>
  <si>
    <t>Cartel PVC 64x32 Fotolum Salida flecha izquierda</t>
  </si>
  <si>
    <t>0102C</t>
  </si>
  <si>
    <t>Cartel PVC 96x48 Fotolum Salida flecha izquierda</t>
  </si>
  <si>
    <t>Cartel PVC 21x29 Fotolum. SALIDA FLECHA FRONTAL</t>
  </si>
  <si>
    <t>0103A</t>
  </si>
  <si>
    <t>Cartel PVC 32x16 Fotolum Salida flecha arriba</t>
  </si>
  <si>
    <t>0103B</t>
  </si>
  <si>
    <t>Cartel PVC 64x32 Fotolum Salida flecha arriba</t>
  </si>
  <si>
    <t>0103C</t>
  </si>
  <si>
    <t>Cartel PVC 96x48 Fotolum Salida flecha arriba</t>
  </si>
  <si>
    <t>Cartel PVC 21x29 Fotolum. SALIDA FLECHA ABAJO</t>
  </si>
  <si>
    <t>0104A</t>
  </si>
  <si>
    <t>Cartel PVC 32x16 Fotolum Salida flecha abajo</t>
  </si>
  <si>
    <t>0104B</t>
  </si>
  <si>
    <t>Cartel PVC 64x32 Fotolum Salida flecha abajo</t>
  </si>
  <si>
    <t>0104C</t>
  </si>
  <si>
    <t>Cartel PVC 96x48 Fotolum Salida flecha abajo</t>
  </si>
  <si>
    <t>Cartel PVC 21x29 Fotolum. SALIDA-EXIT</t>
  </si>
  <si>
    <t>0105A</t>
  </si>
  <si>
    <t>Cartel PVC 32x16 Fotolum. Salida-Exit</t>
  </si>
  <si>
    <t>0105B</t>
  </si>
  <si>
    <t>Cartel PVC 64x32 Fotolum. Salida-Exit</t>
  </si>
  <si>
    <t>0105C</t>
  </si>
  <si>
    <t>Cartel PVC 96x48 Fotolum. Salida-Exit</t>
  </si>
  <si>
    <t>Cartel PVC 21x29 Fotolum. SALIDA EMERG. FLECHA DCHA</t>
  </si>
  <si>
    <t>0106A</t>
  </si>
  <si>
    <t>Cartel PVC 32x16 Fotolum. Salida de emergencia + flecha</t>
  </si>
  <si>
    <t>0106B</t>
  </si>
  <si>
    <t>Cartel PVC 64x32 Fotolum. Salida de emergencia + flecha</t>
  </si>
  <si>
    <t>0106C</t>
  </si>
  <si>
    <t>Cartel PVC 96x48 Fotolum. Salida de emergencia + flecha</t>
  </si>
  <si>
    <t>Cartel PVC 21x29 Fotolum. SALIDA EMERG. FLECHA IZQ.</t>
  </si>
  <si>
    <t>0107A</t>
  </si>
  <si>
    <t>Cartel PVC 32x16 Fotolum. Salida de emergencia + flecha izq</t>
  </si>
  <si>
    <t>0107B</t>
  </si>
  <si>
    <t>Cartel PVC 64x32 Fotolum. Salida de emergencia + flecha izq</t>
  </si>
  <si>
    <t>0107C</t>
  </si>
  <si>
    <t>Cartel PVC 96x48 Fotolum. Salida de emergencia + flecha izq</t>
  </si>
  <si>
    <t>Cartel PVC 21X29 Fotolum. ESCALERA EMERG. FLECHA</t>
  </si>
  <si>
    <t>0108A</t>
  </si>
  <si>
    <t>Cartel PVC 32x16 Fotolum. Escal. de emergencia + flecha</t>
  </si>
  <si>
    <t>0108B</t>
  </si>
  <si>
    <t>Cartel PVC 64x32 Fotolum. Escal. de emergencia + flecha</t>
  </si>
  <si>
    <t>0108C</t>
  </si>
  <si>
    <t>Cartel PVC 96x48 Fotolum. Escal. de emergencia + flecha</t>
  </si>
  <si>
    <t>Cartel PVC 21x29 Fotolum. ESCALERA EMERG. FLECHA</t>
  </si>
  <si>
    <t>0109A</t>
  </si>
  <si>
    <t>Cartel PVC 32x16 Fotolum. Escal. de emergencia + flecha izq.</t>
  </si>
  <si>
    <t>0109B</t>
  </si>
  <si>
    <t>Cartel PVC 64x32 Fotolum. Escal. de emergencia + flecha izq.</t>
  </si>
  <si>
    <t>0109C</t>
  </si>
  <si>
    <t>Cartel PVC 96x48 Fotolum. Escal. de emergencia + flecha izq.</t>
  </si>
  <si>
    <t>Cartel PVC 21x29 Fotolum. No utilizar en caso de incendio</t>
  </si>
  <si>
    <t>0116V</t>
  </si>
  <si>
    <t>Vinilo Adhesivo suelo Dir. Peatonal 40 cm</t>
  </si>
  <si>
    <t>0150A</t>
  </si>
  <si>
    <t>Cartel PVC 21x21 Fotolum. Pulsador de alarma</t>
  </si>
  <si>
    <t>0150B</t>
  </si>
  <si>
    <t>Cartel PVC 42x42 Fotolum. Pulsador de alarma</t>
  </si>
  <si>
    <t>0150C</t>
  </si>
  <si>
    <t>Cartel PVC 63x63 Fotolum. Pulsador de alarma</t>
  </si>
  <si>
    <t>Cartel PVC 21x21 Fotolum. EXTINTOR IZQUIERDA</t>
  </si>
  <si>
    <t>0151A</t>
  </si>
  <si>
    <t>Cartel PVC 21x21 Fotolum. Carro extintor</t>
  </si>
  <si>
    <t>0151B</t>
  </si>
  <si>
    <t>Cartel PVC 42x42 Fotolum. Carro extintor</t>
  </si>
  <si>
    <t>0151C</t>
  </si>
  <si>
    <t>Cartel PVC 63x63 Fotolum. Carro extintor</t>
  </si>
  <si>
    <t>Cartel PVC 21x21 Fotolum. EXTINTOR ABAJO</t>
  </si>
  <si>
    <t>0152A</t>
  </si>
  <si>
    <t>Cartel PVC 21x21 Fotolum. Escalera</t>
  </si>
  <si>
    <t>0152B</t>
  </si>
  <si>
    <t>Cartel PVC 42x42 Fotolum. Escalera</t>
  </si>
  <si>
    <t>0152C</t>
  </si>
  <si>
    <t>Cartel PVC 63x63 Fotolum. Escalera</t>
  </si>
  <si>
    <t>Cartel PVC 21x21 Fotolum. PULSADOR</t>
  </si>
  <si>
    <t>0153A</t>
  </si>
  <si>
    <t>Cartel PVC 21x21 Fotolum. Flecha abajo derecha</t>
  </si>
  <si>
    <t>0153B</t>
  </si>
  <si>
    <t>Cartel PVC 42x42 Fotolum. Flecha abajo derecha</t>
  </si>
  <si>
    <t>0153C</t>
  </si>
  <si>
    <t>Cartel PVC 63x63 Fotolum. Flecha abajo derecha</t>
  </si>
  <si>
    <t>Cartel PVC 21x21 Fotolum. PULSADOR IZQUIERDA</t>
  </si>
  <si>
    <t>0154A</t>
  </si>
  <si>
    <t>Cartel PVC 21x21 Fotolum. Flecha abajo izquierda</t>
  </si>
  <si>
    <t>0154B</t>
  </si>
  <si>
    <t>Cartel PVC 42x42 Fotolum. Flecha abajo izquierda</t>
  </si>
  <si>
    <t>0154C</t>
  </si>
  <si>
    <t>Cartel PVC 21x21 Fotolum. PULSADOR DERECHA</t>
  </si>
  <si>
    <t>Cartel PVC 21x21 Fotolum. PUERTA EMERGENCIA IZQ.</t>
  </si>
  <si>
    <t>0160A</t>
  </si>
  <si>
    <t>Cartel PVC 21x21 Fotolum. Salida emergencia izquierda</t>
  </si>
  <si>
    <t>0160B</t>
  </si>
  <si>
    <t>Cartel PVC 42x42 Fotolum. Salida emergencia izquierda</t>
  </si>
  <si>
    <t>0160C</t>
  </si>
  <si>
    <t>Cartel PVC 63x63 Fotolum. Salida emergencia izquierda</t>
  </si>
  <si>
    <t>Cartel PVC 21x21 Fotolum. PUERTA EMERGENCIA</t>
  </si>
  <si>
    <t>0161A</t>
  </si>
  <si>
    <t>Cartel PVC 21x21 Fotolum. Salida emergencia derecha</t>
  </si>
  <si>
    <t>0161B</t>
  </si>
  <si>
    <t>Cartel PVC 42x42 Fotolum. Salida emergencia derecha</t>
  </si>
  <si>
    <t>0161C</t>
  </si>
  <si>
    <t>Cartel PVC 63x63 Fotolum. Salida emergencia derecha</t>
  </si>
  <si>
    <t>Cartel PVC 21x21 Fotolum. PUERTA-ESCALERA EMERG. IZ</t>
  </si>
  <si>
    <t>0162A</t>
  </si>
  <si>
    <t>Cartel PVC 21x21 Fotolum. flecha izquierda</t>
  </si>
  <si>
    <t>0162B</t>
  </si>
  <si>
    <t>Cartel PVC 42x42 Fotolum. flecha izquierda</t>
  </si>
  <si>
    <t>0162C</t>
  </si>
  <si>
    <t>Cartel PVC 63x63 Fotolum. flecha izquierda</t>
  </si>
  <si>
    <t>Cartel PVC 21x21 Fotolum. PUERTA-ESCALERA EMERG.</t>
  </si>
  <si>
    <t>0163A</t>
  </si>
  <si>
    <t>Cartel PVC 21x21 Fotolum. flecha derecha</t>
  </si>
  <si>
    <t>0163B</t>
  </si>
  <si>
    <t>Cartel PVC 42x42 Fotolum. flecha derecha</t>
  </si>
  <si>
    <t>0163C</t>
  </si>
  <si>
    <t>Cartel PVC 63x63 Fotolum. flecha derecha</t>
  </si>
  <si>
    <t>Cartel PVC 21x21 Fotolum. EMPUJAR BARRA APERTURA</t>
  </si>
  <si>
    <t>Cartel PVC 21x21 Fotolum. FLECHA</t>
  </si>
  <si>
    <t>Cartel PVC 30x10 Fotolum. SALIDA</t>
  </si>
  <si>
    <t>Cartel PVC 30x10 Fotolum. SALIDA FLECHA DCHA</t>
  </si>
  <si>
    <t>Cartel PVC 30x10 Fotolum. SALIDA FLECHA IZQ.</t>
  </si>
  <si>
    <t>Cartel PVC 30x10 Fotolum. SALIDA FLECHA ARRIBA</t>
  </si>
  <si>
    <t>Cartel PVC 30x10 Fotolum. SALIDA FLECHA ABAJO</t>
  </si>
  <si>
    <t>Cartel PVC 30x10 Fotolum. SALIDA EMERGENCIA FLECHA</t>
  </si>
  <si>
    <t>Cartel PVC 30x10 Fotolum. FLECHA</t>
  </si>
  <si>
    <t>Cartel PVC 30x10 Fotolum. SALIDA DE EMERGENCIA</t>
  </si>
  <si>
    <t>Cartel PVC 650x105 mm SALIDA DE EMERGENCIA</t>
  </si>
  <si>
    <t>Cartel PVC 21x29 Fotolum. DUCHA DE EMERGENCIA</t>
  </si>
  <si>
    <t>0199A</t>
  </si>
  <si>
    <t>Cartel PVC 21x30 Fotolum. ducha de emergencia</t>
  </si>
  <si>
    <t>0199B</t>
  </si>
  <si>
    <t>Cartel PVC 40x30 Fotolum. ducha de emergencia</t>
  </si>
  <si>
    <t>0200/G</t>
  </si>
  <si>
    <t>Señal Poliprop. Amarillo 50x50 c/ollados + Pictograma</t>
  </si>
  <si>
    <t>0200S2130</t>
  </si>
  <si>
    <t>Soperte Acero Inox para cartel 21x29 cm</t>
  </si>
  <si>
    <t>0200S4030</t>
  </si>
  <si>
    <t>Soporte Acero Inox para Cartel 40x30 cm</t>
  </si>
  <si>
    <t>Cartel PVC 40x30 Fotolum. EXTINTOR</t>
  </si>
  <si>
    <t>Cartel PVC 21x30 Fotolum. Duchas emergencia derecha</t>
  </si>
  <si>
    <t>Cartel PVC 21x30 Fotolum. Duchas emergencia izq.</t>
  </si>
  <si>
    <t>0204A</t>
  </si>
  <si>
    <t>Cartel PVC 21x30 Fotolum. Oficina</t>
  </si>
  <si>
    <t>0204B</t>
  </si>
  <si>
    <t>Cartel PVC 40x30 Fotolum. Oficina</t>
  </si>
  <si>
    <t>0205A</t>
  </si>
  <si>
    <t>Cartel PVC 21x30 Fotolum. Ducha</t>
  </si>
  <si>
    <t>0205B</t>
  </si>
  <si>
    <t>Cartel PVC 40x30 Fotolum. Ducha</t>
  </si>
  <si>
    <t>Cartel PVC 21x30 Fotolum. Lavaojos emerg. derecha</t>
  </si>
  <si>
    <t>0206A</t>
  </si>
  <si>
    <t>Cartel PVC 21x30 Fotolum. Lavaojos de emergencia</t>
  </si>
  <si>
    <t>0206B</t>
  </si>
  <si>
    <t>Cartel PVC 40x30 Fotolum. Lavaojos de emergencia</t>
  </si>
  <si>
    <t>Cartel PVC 21x30 Fotolum. Lavaojos emerg. izq.</t>
  </si>
  <si>
    <t>0208A</t>
  </si>
  <si>
    <t>Cartel PVC 21x30 Fotolum. Comedor</t>
  </si>
  <si>
    <t>0208B</t>
  </si>
  <si>
    <t>Cartel PVC 40x30 Fotolum. Comedor</t>
  </si>
  <si>
    <t>0209A</t>
  </si>
  <si>
    <t>Cartel PVC 21x30 Fotolum. Vestuario</t>
  </si>
  <si>
    <t>0209B</t>
  </si>
  <si>
    <t>Cartel PVC 40x30 Fotolum. Vestuario</t>
  </si>
  <si>
    <t>Cartel PVC 40x30 Riesgo electrico</t>
  </si>
  <si>
    <t>0210P</t>
  </si>
  <si>
    <t>Cartel PVC 21x29 RIESGO ELECTRICO</t>
  </si>
  <si>
    <t>Cartel PVC 40x30 Carga suspendida</t>
  </si>
  <si>
    <t>0211P</t>
  </si>
  <si>
    <t>Cartel PVC 21x29 RIESGO CARGA SUSPENDIDA</t>
  </si>
  <si>
    <t>Cartel PVC 40x30 Materias corrosivas</t>
  </si>
  <si>
    <t>0212P</t>
  </si>
  <si>
    <t>Cartel PVC 21x29 RIESGO MATERIAS CORROSIVAS</t>
  </si>
  <si>
    <t>Cartel PVC 40x30 Vehículo Manutención</t>
  </si>
  <si>
    <t>0213P</t>
  </si>
  <si>
    <t>Cartel PVC 21x29 VEHICULOS DE MANUTENCION</t>
  </si>
  <si>
    <t>Cartel PVC 40x30 Caida distinto nivel</t>
  </si>
  <si>
    <t>0214P</t>
  </si>
  <si>
    <t>Cartel PVC 21x29 CAIDA A DISTINTO NIVEL</t>
  </si>
  <si>
    <t>Cartel PVC 40x30 Riesgo tropezar</t>
  </si>
  <si>
    <t>0215P</t>
  </si>
  <si>
    <t>Cartel PVC 21x29 RIESGO DE TROPEZAR</t>
  </si>
  <si>
    <t>Cartel PVC 40x30 Materias comburentes</t>
  </si>
  <si>
    <t>0216P</t>
  </si>
  <si>
    <t>Cartel PVC 21x29 MATERIAS COMBURENTES</t>
  </si>
  <si>
    <t>Cartel PVC 40x30 Materias Toxicas</t>
  </si>
  <si>
    <t>0217P</t>
  </si>
  <si>
    <t>Cartel PVC 21x29 MATERIAS TOXICAS</t>
  </si>
  <si>
    <t>Cartel PVC 40x30 Campo Magnetico</t>
  </si>
  <si>
    <t>0218P</t>
  </si>
  <si>
    <t>Cartel PVC 21x29 CAMPO MAGNETICO INTENSO</t>
  </si>
  <si>
    <t>Cartel PVC 40x30 Materias Inflamables</t>
  </si>
  <si>
    <t>0219P</t>
  </si>
  <si>
    <t>Cartel PVC 21x29 MATERIAS INFLAMABLES</t>
  </si>
  <si>
    <t>Cartel PVC 40x30 OBLIG.USO CASC+</t>
  </si>
  <si>
    <t>0220P</t>
  </si>
  <si>
    <t>Cartel PVC 21x29 USO OBLIGATORIO DEL CASCO</t>
  </si>
  <si>
    <t>Cartel PVC 40x30 OBLIG.USO BOTA+</t>
  </si>
  <si>
    <t>0221P</t>
  </si>
  <si>
    <t>Cartel PVC 21x29 USO OBLIGATORIO DE LAS BOTAS</t>
  </si>
  <si>
    <t>Cartel PVC 40x30 OBLIG.USO GUAN+E</t>
  </si>
  <si>
    <t>0222P</t>
  </si>
  <si>
    <t>Cartel PVC 21x29 USO OBLIGATORIO DE GUANTES</t>
  </si>
  <si>
    <t>Cartel PVC 40x30 OBLIG.PROT.ACU+T</t>
  </si>
  <si>
    <t>0223P</t>
  </si>
  <si>
    <t>Cartel PVC 21x29 USO OBLIGATORIO PROTECCION</t>
  </si>
  <si>
    <t>Cartel PVC 40x30 OBLIG.USO MASC +</t>
  </si>
  <si>
    <t>0224P</t>
  </si>
  <si>
    <t>Cartel PVC 21x29 OBLIGATORIO EL USO DE LA MASCARA</t>
  </si>
  <si>
    <t>Cartel PVC 40x30 OBLIG.PANT.PRO+E</t>
  </si>
  <si>
    <t>0225P</t>
  </si>
  <si>
    <t>Cartel PVC 21x29 OBLIGATORIO USO PANTALLA</t>
  </si>
  <si>
    <t>Cartel PVC 40x30 OBLIG.GAFAS PROT</t>
  </si>
  <si>
    <t>0226P</t>
  </si>
  <si>
    <t>Cartel PVC 21x29 OBLIGATORIO EL USO GAFAS</t>
  </si>
  <si>
    <t>Cartel PVC 40x30 OBLIG.ARNES SEGUR.</t>
  </si>
  <si>
    <t>0227P</t>
  </si>
  <si>
    <t>Cartel PVC 21x29 OBLIGATORIO EL USO ARNES</t>
  </si>
  <si>
    <t>Cartel PVC 40x30 PROTECION OBLIGAT.CUERPO</t>
  </si>
  <si>
    <t>0228P</t>
  </si>
  <si>
    <t>Cartel PVC 21x29 USO PROTECCION OBLIGATORIA DEL</t>
  </si>
  <si>
    <t>Cartel PVC 40x30 Eliminar puntas</t>
  </si>
  <si>
    <t>0229P</t>
  </si>
  <si>
    <t>Cartel PVC 21x29 OBLIGATORIO ELIMINAR LAS PUNTAS</t>
  </si>
  <si>
    <t>Cartel PVC 40x30 PROHIBIDO FUMA+</t>
  </si>
  <si>
    <t>0230P</t>
  </si>
  <si>
    <t>Cartel 21X29 PROHIBIDO FUMAR</t>
  </si>
  <si>
    <t>Cartel PVC 40x30 PROHIBIDO PASO+</t>
  </si>
  <si>
    <t>0231P</t>
  </si>
  <si>
    <t>Cartel PVC 21X29 PROHIBIDO PASO PERSONA AJENA</t>
  </si>
  <si>
    <t>Cartel PVC 40x30 Proh. pasar sin casco</t>
  </si>
  <si>
    <t>0232P</t>
  </si>
  <si>
    <t>Cartel PVC 21X29 PROHIBIDO PASAR SIN CASCO</t>
  </si>
  <si>
    <t>Cartel PVC 40x30 Proh. Fumar y encender fuego</t>
  </si>
  <si>
    <t>0233P</t>
  </si>
  <si>
    <t>Cartel PVC 21X29 PROHIBIDO FUMAR Y ENCENDER</t>
  </si>
  <si>
    <t>Cartel PVC 40x30 Proh. Apagar con agua</t>
  </si>
  <si>
    <t>0234P</t>
  </si>
  <si>
    <t>Cartel PVC 21x29 PROHIBIDO APAGAR CON AGUA</t>
  </si>
  <si>
    <t>Cartel PVC 40x30 Proh.a los vehculos manutención</t>
  </si>
  <si>
    <t>0235P</t>
  </si>
  <si>
    <t>Cartel PVC 21x29 PROHIBIDO A LOS VEHICULOS DE</t>
  </si>
  <si>
    <t>Cartel PVC 40x30 Materias Explosivas</t>
  </si>
  <si>
    <t>0236P</t>
  </si>
  <si>
    <t>Cartel PVC 21x29 MATERIAS EXPLOSIVAS</t>
  </si>
  <si>
    <t>Cartel PVC 40x30 Proh. uso personas</t>
  </si>
  <si>
    <t>0237P</t>
  </si>
  <si>
    <t>Cartel PVC 21x29 PROHIBIDO EL USO A PERSONAS</t>
  </si>
  <si>
    <t>Cartel PVC 40x30 Atencion puesta Tierra</t>
  </si>
  <si>
    <t>0238P</t>
  </si>
  <si>
    <t>Cartel PVC 21x29 ATENCION PUESTA A TIERRA</t>
  </si>
  <si>
    <t>Cartel PVC Espacio confinado 40x30 cm</t>
  </si>
  <si>
    <t>0239P</t>
  </si>
  <si>
    <t>Cartel PVC Espacio Confinado 21x29 cm</t>
  </si>
  <si>
    <t>Cartel PVC 40x30 Maquin.pesada en movim</t>
  </si>
  <si>
    <t>0240P</t>
  </si>
  <si>
    <t>Cartel PVC 21X29 MAQUINARIA PESADA EN MOVIMIENTO</t>
  </si>
  <si>
    <t>Cartel PVC 40x30 Fluor ( Se Alquila ) c/ojales</t>
  </si>
  <si>
    <t>Cartel PVC 40X30 Fluor ( Se Vende ) c/ojales</t>
  </si>
  <si>
    <t>Cartel PVC 21x29 Fotolum. Hidrante</t>
  </si>
  <si>
    <t>0243A</t>
  </si>
  <si>
    <t>Cartel PVC 21x30 Fotolum. Hidrante</t>
  </si>
  <si>
    <t>0243B</t>
  </si>
  <si>
    <t>Cartel PVC 40x30 Fotolum. Hidrante</t>
  </si>
  <si>
    <t>Cartel PVC de 1x0.70 Combinado</t>
  </si>
  <si>
    <t>Cartel PVC 40x30 (Salida Camiones)</t>
  </si>
  <si>
    <t>0247P</t>
  </si>
  <si>
    <t>Cartel PVC 21x29 SALIDA DE CAMIONES</t>
  </si>
  <si>
    <t>Cartel PVC 40x30 (Prohibido Aparcar)</t>
  </si>
  <si>
    <t>0248P</t>
  </si>
  <si>
    <t>Cartel PVC 21x29 PROHIBIDO APARCAR</t>
  </si>
  <si>
    <t>Cartel PVC 40x30 STOP</t>
  </si>
  <si>
    <t>0249P</t>
  </si>
  <si>
    <t>Cartel PVC 21x29 STOP</t>
  </si>
  <si>
    <t>Cartel PVC 40x30 (Peligro Indefinido)</t>
  </si>
  <si>
    <t>0250P</t>
  </si>
  <si>
    <t>Cartel PVC 21x29 PELIGRO</t>
  </si>
  <si>
    <t>Cartel PVC 40x30 (Vado Permanente)</t>
  </si>
  <si>
    <t>0251P</t>
  </si>
  <si>
    <t>Cartel PVC 21x29 VADO PERMANENTE</t>
  </si>
  <si>
    <t>Cartel PVC 40x30 (Riesgo Atrapamiento)</t>
  </si>
  <si>
    <t>0252P</t>
  </si>
  <si>
    <t>Cartel PVC 21x29 ATENCION RIESGO DE ATRAPAMIENTO</t>
  </si>
  <si>
    <t>Cartel PVC 40x30 (Proh. paso empresa)</t>
  </si>
  <si>
    <t>0253P</t>
  </si>
  <si>
    <t>Cartel PVC 21x29 PROHIBIDO PASO PERSONA AJENA</t>
  </si>
  <si>
    <t>Cartel PVC 40x30 (Temperatura elevada)</t>
  </si>
  <si>
    <t>0255P</t>
  </si>
  <si>
    <t>Cartel PVC 21x29 TEMPERATURA ELEVADA</t>
  </si>
  <si>
    <t>Cartel PVC 40x30 Fotolum. Botiquin</t>
  </si>
  <si>
    <t>Cartel PVC 40x30 (Riesgo desprendimiento)</t>
  </si>
  <si>
    <t>0257P</t>
  </si>
  <si>
    <t>Cartel PVC 21x29 RIESGO DESPRENDIMIENTOS</t>
  </si>
  <si>
    <t>0258A</t>
  </si>
  <si>
    <t>Cartel PVC 21x30 Fotolum. Pulsador de Alarma</t>
  </si>
  <si>
    <t>0258B</t>
  </si>
  <si>
    <t>Cartel PVC 40x30 Fotolum. Pulsador de Alarma</t>
  </si>
  <si>
    <t>Cartel PVC 40x30 Prohib. depositar materiales</t>
  </si>
  <si>
    <t>0259P</t>
  </si>
  <si>
    <t>Cartel PVC 21x29 PROHIBIDO DEPOSITAR MATERIALES</t>
  </si>
  <si>
    <t>Cartel PVC 40x30 Caida de Objetos</t>
  </si>
  <si>
    <t>0260P</t>
  </si>
  <si>
    <t>Cartel PVC 21x29 PELIGRO CAIDA DE OBJETOS</t>
  </si>
  <si>
    <t>Cartel PVC 40x30 Fotolum. Aseos Mujeres</t>
  </si>
  <si>
    <t>Cartel PVC 40x30 Fotolum. Aseos hombres</t>
  </si>
  <si>
    <t>Cartel PVC 40x30 Fotolum.Aseos Mixtos</t>
  </si>
  <si>
    <t>Cartel PVC 40X30 Fotolum. Salida de Emergencia</t>
  </si>
  <si>
    <t>Cartel PVC 40x30 Perro Peligroso</t>
  </si>
  <si>
    <t>0265P</t>
  </si>
  <si>
    <t>Cartel PVC 21x29 PERRO PELIGROSO</t>
  </si>
  <si>
    <t>Cartel PVC 40x30 Peligro zona minera</t>
  </si>
  <si>
    <t>0266P</t>
  </si>
  <si>
    <t>Cartel PVC 21x29 PELIGRO ZONA MINERA</t>
  </si>
  <si>
    <t>Cartel PVC 40x30 Vehiculo Pesado</t>
  </si>
  <si>
    <t>0267P</t>
  </si>
  <si>
    <t>Cartel PVC 21x29 VEHICULO PESADO</t>
  </si>
  <si>
    <t>Cartel PVC 40x30 Peligro Expulsion de Material</t>
  </si>
  <si>
    <t>0268P</t>
  </si>
  <si>
    <t>Cartel PVC 21x29 PELIGRO EXPUL.MATERIAL</t>
  </si>
  <si>
    <t>Cartel PVC 40x30 Atencion Mecanismo Accionado a distancia</t>
  </si>
  <si>
    <t>0269P</t>
  </si>
  <si>
    <t>Cartel PVC 21x29 ATENCION MECANISMO ACCION.</t>
  </si>
  <si>
    <t>Cartel PVC 40x30 Atencion Grua Accionada a distan.</t>
  </si>
  <si>
    <t>0270P</t>
  </si>
  <si>
    <t>Cartel PVC 21x29 ATENCION GRUA ACCIONADA A</t>
  </si>
  <si>
    <t>Cartel PVC 40x30 EX 40x30 cm</t>
  </si>
  <si>
    <t>0271P</t>
  </si>
  <si>
    <t>Cartel PVC 21x29 EX 21x29 cm</t>
  </si>
  <si>
    <t>Cartel PVC 40x30 Peligro Voladuras</t>
  </si>
  <si>
    <t>0272P</t>
  </si>
  <si>
    <t>Cartel PVC 21x29 PELIGRO VOLADURA</t>
  </si>
  <si>
    <t>Cartel PVC 40x30 Prohib. Manipular valvula</t>
  </si>
  <si>
    <t>0273P</t>
  </si>
  <si>
    <t>Cartel PVC 21x29 PROHIBIDO MANIPULAR LA VALVULA</t>
  </si>
  <si>
    <t>Cartel PVC 40x30 Prohibido Engrasar en funcionamiento</t>
  </si>
  <si>
    <t>0274P</t>
  </si>
  <si>
    <t>Cartel PVC 21x29 PROHIBIDO ENGRASAR O REPARAR</t>
  </si>
  <si>
    <t>Cartel PVC 40x30 Prohib. efectuar reparaciones pers. no</t>
  </si>
  <si>
    <t>0275P</t>
  </si>
  <si>
    <t>Cartel PVC 21x29 PROHIBIDO REPARACIONES PERSONAL</t>
  </si>
  <si>
    <t>Cartel PVC 40x30 Prohib. Manipular maquina en</t>
  </si>
  <si>
    <t>0276P</t>
  </si>
  <si>
    <t>Cartel PVC 21x29 PROHIBIDO MANIPULAR LA MAQUINA EN</t>
  </si>
  <si>
    <t>Cartel PVC 40x30 Area de Ruido Peligroso</t>
  </si>
  <si>
    <t>0277P</t>
  </si>
  <si>
    <t>Cartel PVC 21x29 ATENCION AREA RUIDO PELIGROSO</t>
  </si>
  <si>
    <t>Cartel PVC 40x30 Prohib. la entrada con perros</t>
  </si>
  <si>
    <t>0278P</t>
  </si>
  <si>
    <t>Cartel PVC 21x29 PROHIBIDO LA ENTRADA CON PERROS</t>
  </si>
  <si>
    <t>Cartel PVC 40x30 Prohibido arrojar objetos</t>
  </si>
  <si>
    <t>0279P</t>
  </si>
  <si>
    <t>Cartel PVC 21x29 PROHIBIDO ARROJAR OBJETOS AL</t>
  </si>
  <si>
    <t>Cartel PVC 40x30 Alto No Pasar</t>
  </si>
  <si>
    <t>0280P</t>
  </si>
  <si>
    <t>Cartel PVC 21x29 ALTO NO PASAR</t>
  </si>
  <si>
    <t>Cartel PVC 40x30 Agua no Potable</t>
  </si>
  <si>
    <t>0281P</t>
  </si>
  <si>
    <t>Cartel PVC 21x29 AGUA NO POTABLE</t>
  </si>
  <si>
    <t>Cartel PVC 40x30 Prohibido El Paso</t>
  </si>
  <si>
    <t>0282P</t>
  </si>
  <si>
    <t>Cartel PVC 21x29 PROHIBIDO EL PASO</t>
  </si>
  <si>
    <t>Cartel PVC 40x30 Prohib. Transportar personas</t>
  </si>
  <si>
    <t>0283P</t>
  </si>
  <si>
    <t>Cartel PVC 21x29 PROHIBIDO TRANSPORTAR PERSONAS</t>
  </si>
  <si>
    <t>Cartel PVC 40x30 Prohib. Situarse debajo de la carga</t>
  </si>
  <si>
    <t>0284P</t>
  </si>
  <si>
    <t>Cartel PVC 21x29 PROHIBIDO SITUARSE DEBAJO DE LA</t>
  </si>
  <si>
    <t>Cartel PVC 40x30 No utilizar en caso de Emergencia</t>
  </si>
  <si>
    <t>0285P</t>
  </si>
  <si>
    <t>Cartel PVC 21X29 NO UTILIZAR EN CASO DE EMERGENCIA</t>
  </si>
  <si>
    <t>Cartel PVC 40x30 No utilizar Incendio</t>
  </si>
  <si>
    <t>0286P</t>
  </si>
  <si>
    <t>Cartel PVC 21x29 NO UTILIZAR EN CASO DE INCENDIO</t>
  </si>
  <si>
    <t>Cartel PVC 40x30 Atencion Altura Baja</t>
  </si>
  <si>
    <t>0287P</t>
  </si>
  <si>
    <t>Cartel PVC 21x29 ATENCION ALTURA BAJA</t>
  </si>
  <si>
    <t>Cartel PVC 40x30 Prohibido Accionar o maniobrar</t>
  </si>
  <si>
    <t>0288P</t>
  </si>
  <si>
    <t>Cartel PVC 21x29 PROHIBIDO ACCIONAR O MANIOBRAR</t>
  </si>
  <si>
    <t>Cartel PVC 40x30 Fotolum.Hacha contra Incendio</t>
  </si>
  <si>
    <t>0289A</t>
  </si>
  <si>
    <t>Cartel PVC 32x16 Fotolum. No Exit</t>
  </si>
  <si>
    <t>0289B</t>
  </si>
  <si>
    <t>Cartel PVC 64x32 Fotolum. No Exit</t>
  </si>
  <si>
    <t>0289C</t>
  </si>
  <si>
    <t>Cartel PVC 96x48 Fotolum. No Exit</t>
  </si>
  <si>
    <t>Cartel PVC 40x30 Peligro Alta Tension</t>
  </si>
  <si>
    <t>0290P</t>
  </si>
  <si>
    <t>Cartel PVC 21x29 PELIGRO ALTA TENSION</t>
  </si>
  <si>
    <t>Cartel PVC 40x30 Peligro no maniobrar</t>
  </si>
  <si>
    <t>0291P</t>
  </si>
  <si>
    <t>Cartel PVC 21x29 PELIGRO NO MANIOBRAR. SOLO</t>
  </si>
  <si>
    <t>Cartel PVC 40x30 No Tocar</t>
  </si>
  <si>
    <t>0292P</t>
  </si>
  <si>
    <t>Cartel PVC 21x29 NO TOCAR</t>
  </si>
  <si>
    <t>Cartel PVC 40x30 Peligro Materias Radioactivas</t>
  </si>
  <si>
    <t>0293P</t>
  </si>
  <si>
    <t>Cartel PVC 21x29 PELIGRO MATERIAS RADIOACTIVAS</t>
  </si>
  <si>
    <t>Cartel PVC 40x30 Peligro Radiaciones Laser</t>
  </si>
  <si>
    <t>0294P</t>
  </si>
  <si>
    <t>Cartel PVC 21x29 PELIGRO RADIACIONES LASER</t>
  </si>
  <si>
    <t>Cartel PVC 40x30 Riesgo Biologico</t>
  </si>
  <si>
    <t>0295P</t>
  </si>
  <si>
    <t>Cartel PVC 21x29 PELIGRO RIESGO BIOLOGICO</t>
  </si>
  <si>
    <t>Cartel PVC 40x30 Fotolum. Cubo uso en incendio</t>
  </si>
  <si>
    <t>0296A</t>
  </si>
  <si>
    <t>Cartel PVC 32x16 Fotolum. Sin Salida</t>
  </si>
  <si>
    <t>0296B</t>
  </si>
  <si>
    <t>Cartel PVC 64x32 Fotolum. Sin Salida</t>
  </si>
  <si>
    <t>0296C</t>
  </si>
  <si>
    <t>Cartel PVC 96x48 Fotolum. Sin Salida</t>
  </si>
  <si>
    <t>Cartel PVC 40x30 Fotoum. Manguera contra Incendios</t>
  </si>
  <si>
    <t>Cartel PVC 21x29 Fotolum. Escalera incendio</t>
  </si>
  <si>
    <t>0298A</t>
  </si>
  <si>
    <t>Cartel PVC 21x30 Fotolum. Escalera de incendios</t>
  </si>
  <si>
    <t>0298B</t>
  </si>
  <si>
    <t>Cartel PVC 40x30 Fotolum. Escalera de incendios</t>
  </si>
  <si>
    <t>Cartel PVC 40x30 Uso Oblig. de Protec. Lumbar</t>
  </si>
  <si>
    <t>0299P</t>
  </si>
  <si>
    <t>Cartel PVC 21x29 OBLIGATORIO LA PROTECCION LUMBAR</t>
  </si>
  <si>
    <t>Cartel PVC 40x30 Via oblig. peatones</t>
  </si>
  <si>
    <t>0300P</t>
  </si>
  <si>
    <t>Cartel PVC 21x29 VIA OBLIGATORIA PARA PEATONES</t>
  </si>
  <si>
    <t>Cartel PVC 40x30 Oblig. Protector</t>
  </si>
  <si>
    <t>0301P</t>
  </si>
  <si>
    <t>Cartel PVC 21x29 USO OBLIGATORIO DE PROTECTOR</t>
  </si>
  <si>
    <t>Cartel PVC 40x30 Proh. paso a peatones</t>
  </si>
  <si>
    <t>0302P</t>
  </si>
  <si>
    <t>Cartel PVC 21x29 PROHIBIDO PASAR A LOS PEATONES</t>
  </si>
  <si>
    <t>Cartel PVC 40x30 Rampa personal autor.</t>
  </si>
  <si>
    <t>0303B</t>
  </si>
  <si>
    <t>Cartel PVC 21x29 USO OBLIGATORIO PROTECTOR</t>
  </si>
  <si>
    <t>0303P</t>
  </si>
  <si>
    <t>Cartel PVC 21x29 RAMPA USO EXCLUSIVO PERSONAL</t>
  </si>
  <si>
    <t>Cartel PVC 40x30 Uso oblig. guantes electricos</t>
  </si>
  <si>
    <t>0304P</t>
  </si>
  <si>
    <t>Cartel PVC 40x30 Uso Oblig. calzado electrico</t>
  </si>
  <si>
    <t>0305P</t>
  </si>
  <si>
    <t>Cartel PVC 21x29 USO OBLIGATORIO CALZADO</t>
  </si>
  <si>
    <t>Cartel PVC 40x30 Oblig. Lavarse las manos</t>
  </si>
  <si>
    <t>0306P</t>
  </si>
  <si>
    <t>Cartel PVC 21x29 OBLIGATORIO LAVARSE LAS MANOS</t>
  </si>
  <si>
    <t>Cartel PVC 40x30 Apilar Correctamente</t>
  </si>
  <si>
    <t>0307P</t>
  </si>
  <si>
    <t>Cartel PVC 21x29 APILAR CORRECTAMENTE</t>
  </si>
  <si>
    <t>Cartel PVC 40x30 Oblig. Protector Ajustable</t>
  </si>
  <si>
    <t>0308P</t>
  </si>
  <si>
    <t>Cartel PVC 21x29 Oblig. Protector Ajustable</t>
  </si>
  <si>
    <t>Cartel PVC 40x30 Oblig. Protector Fijo</t>
  </si>
  <si>
    <t>0309P</t>
  </si>
  <si>
    <t>Cartel PVC 21x29 USO OBLIGATORIO PROTECTOR FIJO</t>
  </si>
  <si>
    <t>Cartel PVC 40x30 Proh. la entrada con marcapasos</t>
  </si>
  <si>
    <t>0310P</t>
  </si>
  <si>
    <t>Cartel PVC 21x29 PROHIBIDA LA ENTRADA CON</t>
  </si>
  <si>
    <t>Cartel PVC 40x30 Peligro zona de carga y descarga</t>
  </si>
  <si>
    <t>0311P</t>
  </si>
  <si>
    <t>Cartel PVC 21x29 PELIGRO ZONA CARGA Y DESCARGA</t>
  </si>
  <si>
    <t>Cartel PVC 40x30 Baja Temperatura</t>
  </si>
  <si>
    <t>0312P</t>
  </si>
  <si>
    <t>Cartel PVC 21x29 ATENCION BAJA TEMPERATURA</t>
  </si>
  <si>
    <t>Cartel PVC 40x30 Peligro Alta Presion</t>
  </si>
  <si>
    <t>0313P</t>
  </si>
  <si>
    <t>Cartel PVC 21x29 PELIGRO ALTA PRESION</t>
  </si>
  <si>
    <t>Cartel PVC 40x30 Peligro Suelo fragil</t>
  </si>
  <si>
    <t>0314P</t>
  </si>
  <si>
    <t>Cartel PVC 21x29 ATENCION SUELO FRAGIL</t>
  </si>
  <si>
    <t>Cartel PVC 40x30 Atencion Suelo Resbaladizo</t>
  </si>
  <si>
    <t>0315P</t>
  </si>
  <si>
    <t>Cartel PVC 21x29 ATENCION SUELO RESBALADIZO</t>
  </si>
  <si>
    <t>Cartel PVC 40x30 Solo Personal Autorizado</t>
  </si>
  <si>
    <t>0316P</t>
  </si>
  <si>
    <t>Cartel PVC 21x29 SOLO PERSONAL AUTORIZADO</t>
  </si>
  <si>
    <t>Cartel PVC 40x30 Prohibido paso con bicicleta</t>
  </si>
  <si>
    <t>0317P</t>
  </si>
  <si>
    <t>Cartel PVC 21x29 PROHIBIDO EL PASO CON BICICLETA</t>
  </si>
  <si>
    <t>Cartel PVC 40x30 Prohib. Uso de Moviles</t>
  </si>
  <si>
    <t>0318P</t>
  </si>
  <si>
    <t>Cartel PVC 21x29 PROHIBIDO EL USO TELEFONOS</t>
  </si>
  <si>
    <t>0319A</t>
  </si>
  <si>
    <t>Cartel PVC 32x16 Fotolum. Salida emergencia dcha abajo</t>
  </si>
  <si>
    <t>0319AA</t>
  </si>
  <si>
    <t>0319B</t>
  </si>
  <si>
    <t>Cartel PVC 64x32 Fotolum. Salida emergencia dcha abajo</t>
  </si>
  <si>
    <t>0319BA</t>
  </si>
  <si>
    <t>0319C</t>
  </si>
  <si>
    <t>Cartel PVC 96x48 Fotolum. Salida emergencia dcha abajo</t>
  </si>
  <si>
    <t>0319CA</t>
  </si>
  <si>
    <t>Cartel PVC 21x30 Fotolum. Salida escalera arriba izq.</t>
  </si>
  <si>
    <t>0320A</t>
  </si>
  <si>
    <t>Cartel PVC 32x16 Fotolum. Salida emergencia arriba izq</t>
  </si>
  <si>
    <t>0320AA</t>
  </si>
  <si>
    <t>Cartel PVC 32x16 Fotolum. Salida emergencia arriba izq Minus</t>
  </si>
  <si>
    <t>0320B</t>
  </si>
  <si>
    <t>Cartel PVC 64x32 Fotolum. Salida emergencia arriba izq</t>
  </si>
  <si>
    <t>0320BA</t>
  </si>
  <si>
    <t>Cartel PVC 64x32 Fotolum. Salida emergencia arriba izq Minus</t>
  </si>
  <si>
    <t>0320C</t>
  </si>
  <si>
    <t>Cartel PVC 96x48 Fotolum. Salida emergencia arriba izq</t>
  </si>
  <si>
    <t>0320CA</t>
  </si>
  <si>
    <t>Cartel PVC 96x48 Fotolum. Salida emergencia arriba izq Minus</t>
  </si>
  <si>
    <t>Cartel PVC 21x30 Fotolum.Salida escalera abajo izq.</t>
  </si>
  <si>
    <t>0321A</t>
  </si>
  <si>
    <t>Cartel PVC 32x16 Fotolum. Salida emergencia abajo izq</t>
  </si>
  <si>
    <t>0321AA</t>
  </si>
  <si>
    <t>Cartel PVC 32x16 Fotolum. Salida emergencia abajo izq Minus</t>
  </si>
  <si>
    <t>0321B</t>
  </si>
  <si>
    <t>Cartel PVC 64x32 Fotolum. Salida emergencia abajo izq</t>
  </si>
  <si>
    <t>0321BA</t>
  </si>
  <si>
    <t>Cartel PVC 64x32 Fotolum. Salida emergencia abajo izq Minus</t>
  </si>
  <si>
    <t>0321C</t>
  </si>
  <si>
    <t>Cartel PVC 96x48 Fotolum. Salida emergencia abajo izq</t>
  </si>
  <si>
    <t>0321CA</t>
  </si>
  <si>
    <t>Cartel PVC 96x48 Fotolum. Salida emergencia abajo izq Minus</t>
  </si>
  <si>
    <t>Cartel PVC 21x30 Fotolum. Salida escalera arriba dcha.</t>
  </si>
  <si>
    <t>0322A</t>
  </si>
  <si>
    <t>Cartel PVC 32x16 Fotolum. Salida emergencia arriba dcha.</t>
  </si>
  <si>
    <t>0322AA</t>
  </si>
  <si>
    <t>0322B</t>
  </si>
  <si>
    <t>Cartel PVC 64x32 Fotolum. Salida emergencia arriba dcha.</t>
  </si>
  <si>
    <t>0322BA</t>
  </si>
  <si>
    <t>Cartel PVC 64x32 Fotolum. Salida emergencia arriba</t>
  </si>
  <si>
    <t>0322C</t>
  </si>
  <si>
    <t>Cartel PVC 96x48 Fotolum. Salida emergencia arriba dcha.</t>
  </si>
  <si>
    <t>0322CA</t>
  </si>
  <si>
    <t>Cartel PVC 21x30 Fotolum. Salida escalera abajo dcha</t>
  </si>
  <si>
    <t>Cartel PVC 21x30 Fotolum. Salida puerta dcha</t>
  </si>
  <si>
    <t>0324A</t>
  </si>
  <si>
    <t>Cartel PVC 32x16 Fotolum. Salida de emergencia Pta. Derecha</t>
  </si>
  <si>
    <t>0324AA</t>
  </si>
  <si>
    <t>0324B</t>
  </si>
  <si>
    <t>Cartel PVC 64x32 Fotolum. Salida de emergencia Pta. Derecha</t>
  </si>
  <si>
    <t>0324BA</t>
  </si>
  <si>
    <t>0324C</t>
  </si>
  <si>
    <t>Cartel PVC 96x48 Fotolum. Salida de emergencia Pta. Derecha</t>
  </si>
  <si>
    <t>0324CA</t>
  </si>
  <si>
    <t>Cartel PVC 21x30 Fotolum. Salida puerta izq.</t>
  </si>
  <si>
    <t>0325A</t>
  </si>
  <si>
    <t>Cartel PVC 32x16 Fotolum. Salida de emergencia Pta.</t>
  </si>
  <si>
    <t>0325AA</t>
  </si>
  <si>
    <t>Cartel PVC 32x16 Fotolum. Salida de emergencia puerta izq.</t>
  </si>
  <si>
    <t>0325B</t>
  </si>
  <si>
    <t>Cartel PVC 64x32 Fotolum. Salida de emergencia Pta.</t>
  </si>
  <si>
    <t>0325BA</t>
  </si>
  <si>
    <t>Cartel PVC 64x32 Fotolum. Salida de emergencia Pta. Izq.</t>
  </si>
  <si>
    <t>0325C</t>
  </si>
  <si>
    <t>Cartel PVC 96x48 Fotolum. Salida de emergencia Pta.</t>
  </si>
  <si>
    <t>0325CA</t>
  </si>
  <si>
    <t>Cartel PVC 96x48 Fotolum. Salida de emergencia Pta. Izq</t>
  </si>
  <si>
    <t>Cartel PVC 21x30 Fotolum. Salida puerta abajo izq.</t>
  </si>
  <si>
    <t>0326A</t>
  </si>
  <si>
    <t>Cartel PVC 32x16 Fotolum. Salida de emergencia Pta. Abajo</t>
  </si>
  <si>
    <t>0326AA</t>
  </si>
  <si>
    <t>0326B</t>
  </si>
  <si>
    <t>Cartel PVC 64x32 Fotolum. Salida de emergencia Pta. Abajo</t>
  </si>
  <si>
    <t>0326BA</t>
  </si>
  <si>
    <t>0326C</t>
  </si>
  <si>
    <t>Cartel PVC 96x48 Fotolum. Salida de emergencia Pta. Abajo</t>
  </si>
  <si>
    <t>0326CA</t>
  </si>
  <si>
    <t>Cartel PVC 21x30 Fotolum.puerta abajo dcha</t>
  </si>
  <si>
    <t>0327A</t>
  </si>
  <si>
    <t>0327AA</t>
  </si>
  <si>
    <t>0327B</t>
  </si>
  <si>
    <t>0327BA</t>
  </si>
  <si>
    <t>0327C</t>
  </si>
  <si>
    <t>0327CA</t>
  </si>
  <si>
    <t>Cartel PVC 21x30 Fotolum. Aseos hombres</t>
  </si>
  <si>
    <t>0328A</t>
  </si>
  <si>
    <t>Cartel PVC 21x30 Fotolum. Aseos masculino</t>
  </si>
  <si>
    <t>0328B</t>
  </si>
  <si>
    <t>Cartel PVC 40x30 Fotolum. Aseos Masculino</t>
  </si>
  <si>
    <t>Cartel PVC 21x30 Fotolum. Aseos mujeres</t>
  </si>
  <si>
    <t>0329A</t>
  </si>
  <si>
    <t>Cartel PVC 21x30 Fotolum. Aseos femenino</t>
  </si>
  <si>
    <t>0329B</t>
  </si>
  <si>
    <t>Cartel PVC 40x30 Fotolum. Aseos femenino</t>
  </si>
  <si>
    <t>Cartel PVC 21x30 Fotolum. Mujeres/Hombres</t>
  </si>
  <si>
    <t>0330A</t>
  </si>
  <si>
    <t>Cartel PVC 21x30 Fotolum. Aseos mixtos</t>
  </si>
  <si>
    <t>0330B</t>
  </si>
  <si>
    <t>Cartel PVC 40x30 Fotolum. Aseos mixtos</t>
  </si>
  <si>
    <t>Cartel PVC 21x29 Fotolum. HIDRANTE</t>
  </si>
  <si>
    <t>Cartel PVC 21x30 Fotolum. Salida Emerg. puerta dcha</t>
  </si>
  <si>
    <t>Cartel PVC 21x30 Fotolum. Salida Emerg. puerta abajo dcha.</t>
  </si>
  <si>
    <t>Cartel PVC 21x30 Fotolum. Salida Emerg. puerta izq.</t>
  </si>
  <si>
    <t>Cartel PVC 21x30 Fotolum. Salida Emerg. puerta abajo izq.</t>
  </si>
  <si>
    <t>Cartel PVC 21x30 Fotolum. Salida Emerg. escalera abajo izq.</t>
  </si>
  <si>
    <t>0336A</t>
  </si>
  <si>
    <t>Cartel PVC 32x16 Fotolum. Escal. de emergencia izq abajo</t>
  </si>
  <si>
    <t>0336B</t>
  </si>
  <si>
    <t>Cartel PVC 64x32 Fotolum. Escal. de emergencia izq abajo</t>
  </si>
  <si>
    <t>Cartel PVC 21x30 Fotolum. Salida Emerg.escalera arriba dcha.</t>
  </si>
  <si>
    <t>0337A</t>
  </si>
  <si>
    <t>Cartel PVC 32x16 Fotolum. Escal. de emergencia dcha arriba</t>
  </si>
  <si>
    <t>0337B</t>
  </si>
  <si>
    <t>Cartel PVC 64x32 Fotolum. Escal. de emergencia dcha arriba</t>
  </si>
  <si>
    <t>0337C</t>
  </si>
  <si>
    <t>Cartel PVC 96x48 Fotolum. Escal. de emergencia dcha arriba</t>
  </si>
  <si>
    <t>Cartel PVC 21x30 Fotolum. Salida Emerg. escalera abajo dcha</t>
  </si>
  <si>
    <t>0338A</t>
  </si>
  <si>
    <t>Cartel PVC 32x16 Fotolum. Escal. de emergencia dcha abajo</t>
  </si>
  <si>
    <t>0338B</t>
  </si>
  <si>
    <t>Cartel PVC 64x32 Fotolum. Escal. de emergencia dcha abajo</t>
  </si>
  <si>
    <t>Cartel PVC 21x30 Fotolum. Salida Emerg. escalera arriba izq.</t>
  </si>
  <si>
    <t>0339A</t>
  </si>
  <si>
    <t>Cartel PVC 32x16 Fotolum. Escal. de emergencia izq arriba</t>
  </si>
  <si>
    <t>0339B</t>
  </si>
  <si>
    <t>Cartel PVC 64x32 Fotolum. Escal. de emergencia izq arriba</t>
  </si>
  <si>
    <t>0339C</t>
  </si>
  <si>
    <t>Cartel PVC 96x48 Fotolum. Escal. de emergencia izq arriba</t>
  </si>
  <si>
    <t>Cartel PVC 40x30 Fotolum. SALIDA</t>
  </si>
  <si>
    <t>Cartel PVC 40x60 Riesgo de Incendio</t>
  </si>
  <si>
    <t>Cartel PVC 21x30 Fotolum. Extintor</t>
  </si>
  <si>
    <t>0343A</t>
  </si>
  <si>
    <t>0343B</t>
  </si>
  <si>
    <t>Cartel PVC 40x30 Fotolum. Extintor</t>
  </si>
  <si>
    <t>0343CO</t>
  </si>
  <si>
    <t>Cartel PVC 21x30 Fotolum. Extintor Co2</t>
  </si>
  <si>
    <t>Cartel PVC 21x30 Fotolum. Salida</t>
  </si>
  <si>
    <t>0344A</t>
  </si>
  <si>
    <t>Cartel PVC 32x16 Fotolum. Salida</t>
  </si>
  <si>
    <t>0344B</t>
  </si>
  <si>
    <t>Cartel PVC 64x32 Fotolum. Salida</t>
  </si>
  <si>
    <t>Señal PVC 21x29 Fotolum. avisador sonoro</t>
  </si>
  <si>
    <t>Cartel PVC 21x30 Fotolum. Extintor dcha</t>
  </si>
  <si>
    <t>0346A</t>
  </si>
  <si>
    <t>Cartel PVC 32x16 Fotolum. Extintor derecha</t>
  </si>
  <si>
    <t>0346B</t>
  </si>
  <si>
    <t>Cartel PVC 64x32 Fotolum. Extintor derecha</t>
  </si>
  <si>
    <t>0346C</t>
  </si>
  <si>
    <t>Cartel PVC 96x48 Fotolum. Extintor derecha</t>
  </si>
  <si>
    <t>Cartel PVC 21x30 Fotolum. Extintor Izq.</t>
  </si>
  <si>
    <t>0347A</t>
  </si>
  <si>
    <t>Cartel PVC 32x16 Fotolum. Extintor izquierda</t>
  </si>
  <si>
    <t>0347B</t>
  </si>
  <si>
    <t>Cartel PVC 64x32 Fotolum. Extintor izquierda</t>
  </si>
  <si>
    <t>0347C</t>
  </si>
  <si>
    <t>Cartel PVC 96x48 Fotolum. Extintor izquierda</t>
  </si>
  <si>
    <t>Cartel PVC 15x15 Fotolum. Pulsador de Alarma</t>
  </si>
  <si>
    <t>Cartel PVC 21x30 Fotolum. Boca Incendios</t>
  </si>
  <si>
    <t>0349A</t>
  </si>
  <si>
    <t>Cartel PVC 21x30 Fotolum. Boca de incendio</t>
  </si>
  <si>
    <t>0349B</t>
  </si>
  <si>
    <t>Cartel PVC 40x30 Fotolum. Boca de incendio</t>
  </si>
  <si>
    <t>Cartel PVC 21x30 Fotolum. Boca Incendios dcha</t>
  </si>
  <si>
    <t>0350A</t>
  </si>
  <si>
    <t>Cartel PVC 32x16 Fotolum. Boca Incendios dcha</t>
  </si>
  <si>
    <t>0350B</t>
  </si>
  <si>
    <t>Cartel PVC 64x32 Fotolum. Boca Incendios dcha</t>
  </si>
  <si>
    <t>0350C</t>
  </si>
  <si>
    <t>Cartel PVC 96x48 Fotolum. Boca Incendios dcha</t>
  </si>
  <si>
    <t>Cartel PVC 21x30 Fotolum. Boca Incendios Izq.</t>
  </si>
  <si>
    <t>0351A</t>
  </si>
  <si>
    <t>Cartel PVC 32x16 Fotolum. Boca Incendios izq</t>
  </si>
  <si>
    <t>0351B</t>
  </si>
  <si>
    <t>Cartel PVC 64x32 Fotolum. Boca Incendios izq</t>
  </si>
  <si>
    <t>0351C</t>
  </si>
  <si>
    <t>Cartel PVC 96x48 Fotolum. Boca Incendios izq</t>
  </si>
  <si>
    <t>Cartel PVC 21x21 Fotolum. Manguera</t>
  </si>
  <si>
    <t>Cartel PVC 21x21 Fotolum. Extintor</t>
  </si>
  <si>
    <t>0353A</t>
  </si>
  <si>
    <t>0353B</t>
  </si>
  <si>
    <t>Cartel PVC 42x42 Fotolum. Extintor</t>
  </si>
  <si>
    <t>0353C</t>
  </si>
  <si>
    <t>Cartel PVC 63x63 Fotolum. Extintor</t>
  </si>
  <si>
    <t>Cartel PVC 21x15 Fotolum. Flecha Salida</t>
  </si>
  <si>
    <t>0354A</t>
  </si>
  <si>
    <t>Cartel PVC 21x21 Fotolum. Manguera contra incendios</t>
  </si>
  <si>
    <t>0354B</t>
  </si>
  <si>
    <t>Cartel PVC 42x42 Fotolum. Manguera contra incendios</t>
  </si>
  <si>
    <t>0354C</t>
  </si>
  <si>
    <t>Cartel PVC 63x63 Fotolum. Manguera contra incendios</t>
  </si>
  <si>
    <t>Cartel PVC 21x30 Fotolum. Botiquin</t>
  </si>
  <si>
    <t>0355A</t>
  </si>
  <si>
    <t>Cartel PVC 21x30 Fotolum. Botiquín</t>
  </si>
  <si>
    <t>0355B</t>
  </si>
  <si>
    <t>Cartel PVC 40x30 Fotolum. Botiquín</t>
  </si>
  <si>
    <t>Cartel PVC 21x30 Fotolum. Agua Potable</t>
  </si>
  <si>
    <t>0356A</t>
  </si>
  <si>
    <t>Cartel PVC 21x30 Fotolum. Agua potable</t>
  </si>
  <si>
    <t>0356B</t>
  </si>
  <si>
    <t>Cartel PVC 40x30 Fotolum. Agua potable</t>
  </si>
  <si>
    <t>Cartel PVC 21x30 Fotolum. Almacen</t>
  </si>
  <si>
    <t>0357A</t>
  </si>
  <si>
    <t>Cartel PVC 21x30 Fotolum. Almacén</t>
  </si>
  <si>
    <t>0357B</t>
  </si>
  <si>
    <t>Cartel PVC40x30 Fotolum. Almacén</t>
  </si>
  <si>
    <t>Cartel PVC 21x30 Fotolum. Telefono Emergencia</t>
  </si>
  <si>
    <t>0358A</t>
  </si>
  <si>
    <t>Cartel PVC 21x30 Fotolum. Teléfono de emergencia</t>
  </si>
  <si>
    <t>0358B</t>
  </si>
  <si>
    <t>Cartel PVC 40x30 Fotolum. Teléfono de emergencia</t>
  </si>
  <si>
    <t>Cartel PVC 21x30 Fotolum. Equipo Prim. Auxilios</t>
  </si>
  <si>
    <t>0359A</t>
  </si>
  <si>
    <t>Cartel PVC 21x30 Fotolum. Equipo primeros auxilios</t>
  </si>
  <si>
    <t>0359B</t>
  </si>
  <si>
    <t>Cartel PVC 40x30 Fotolum. Equipo primeros auxilios</t>
  </si>
  <si>
    <t>Cartel PVC 40x30 Peatón cruce por la otra acera</t>
  </si>
  <si>
    <t>Cartel PVC 40x30 Obras en ejecucion. Perdonen las molestias</t>
  </si>
  <si>
    <t>Cartel PVC 21x30 Fotolum. Punto Reunion</t>
  </si>
  <si>
    <t>0362A</t>
  </si>
  <si>
    <t>Cartel PVC 21x30 Fotolum. Punto de Reunión</t>
  </si>
  <si>
    <t>0362B</t>
  </si>
  <si>
    <t>Cartel PVC 40x30 Fotolum. Punto de reunión</t>
  </si>
  <si>
    <t>Cartel PVC 40x30 Atencion salida de camiones</t>
  </si>
  <si>
    <t>Cartel PVC 21x30 Fotolum. Camilla de Socorro</t>
  </si>
  <si>
    <t>0364A</t>
  </si>
  <si>
    <t>Cartel PVC 21x30 Fotolum. Camilla de socorro</t>
  </si>
  <si>
    <t>0364B</t>
  </si>
  <si>
    <t>Cartel PVC 40x30 Fotolum. Camilla de socorro</t>
  </si>
  <si>
    <t>Cartel PVC 21x30 Fotolum. Pulsar en caso de Emergencia</t>
  </si>
  <si>
    <t>Cartel PVC 21x30 Fotolum. Empujar barra para salir</t>
  </si>
  <si>
    <t>0366A</t>
  </si>
  <si>
    <t>0366B</t>
  </si>
  <si>
    <t>Cartel PVC 40x30 Fotolum. Empujar barra para salir</t>
  </si>
  <si>
    <t>Cartel PVC 21x30 Fotolum. Salida de Emergencia</t>
  </si>
  <si>
    <t>0367A</t>
  </si>
  <si>
    <t>Cartel PVC 32x16 Fotolum. Salida de emergenca</t>
  </si>
  <si>
    <t>0367AA</t>
  </si>
  <si>
    <t>Cartel PVC 21x21 Fotolum.Minusválidos</t>
  </si>
  <si>
    <t>0367BA</t>
  </si>
  <si>
    <t>Cartel PVC 42x42 Fotolum.Minusválidos</t>
  </si>
  <si>
    <t>0367CA</t>
  </si>
  <si>
    <t>Cartel PVC 63x63 Fotolum.Minusválidos</t>
  </si>
  <si>
    <t>Cartel PVC 21x29 AVISO POLICIA</t>
  </si>
  <si>
    <t>Cartel PVC 21x29 Zona video vigilada</t>
  </si>
  <si>
    <t>Cartel PVC 40x30 Prohib. Beber y Comer</t>
  </si>
  <si>
    <t>0370P</t>
  </si>
  <si>
    <t>Cartel PVC 21x29 PROHIBIDO BEBER Y COMER</t>
  </si>
  <si>
    <t>Cartel PVC 40x30 Peligro Gases Compr.</t>
  </si>
  <si>
    <t>0371P</t>
  </si>
  <si>
    <t>Cartel PVC 21x29 PELIGRO GASES COMPRIMIDOS</t>
  </si>
  <si>
    <t>Cartel PVC 40x30 Peligro Andamio Incom</t>
  </si>
  <si>
    <t>0372P</t>
  </si>
  <si>
    <t>Cartel PVC 21x29 PELIGRO ANDAMIAJE INCOMPLETO</t>
  </si>
  <si>
    <t>Cartel PVC 40x30 Peligro Escalon</t>
  </si>
  <si>
    <t>0373P</t>
  </si>
  <si>
    <t>Cartel PVC 21x29 PELIGRO CUIDADO CON ESCALON</t>
  </si>
  <si>
    <t>Cartel PVC 40x30 Prohibido el Paso</t>
  </si>
  <si>
    <t>0374P</t>
  </si>
  <si>
    <t>Cartel PVC 40x30 Peligro de Incendio</t>
  </si>
  <si>
    <t>0375P</t>
  </si>
  <si>
    <t>Cartel PVC 21x29 PELIGRO DE INCENDIO</t>
  </si>
  <si>
    <t>Cartel PVC 40x30 Peligro Zona de Obras</t>
  </si>
  <si>
    <t>0376P</t>
  </si>
  <si>
    <t>Cartel PVC 21x29 PELIGRO ZONA DE OBRAS</t>
  </si>
  <si>
    <t>Cartel PVC 40x30 Uso de minusvalidos</t>
  </si>
  <si>
    <t>0377P</t>
  </si>
  <si>
    <t>Cartel PVC 21x29 USO DE MINUSVALIDOS</t>
  </si>
  <si>
    <t>Cartel PVC 40x30 Direccion obligatoria derecha</t>
  </si>
  <si>
    <t>0378P</t>
  </si>
  <si>
    <t>Cartel PVC 21x29 DIRECCION OBLIGATORIA DERECHA</t>
  </si>
  <si>
    <t>Cartel PVC 40x30 Direccion obligatoria izquierda</t>
  </si>
  <si>
    <t>0379P</t>
  </si>
  <si>
    <t>Cartel PVC 21x29 DIRECCION OBLIGATORIA IZQUIERDA</t>
  </si>
  <si>
    <t>Cartel PVC 40x30 Es obligatorio el uso de Mandil</t>
  </si>
  <si>
    <t>0380P</t>
  </si>
  <si>
    <t>Cartel PVC 21x29 OBLIGATORIO EL USO DE MANDIL</t>
  </si>
  <si>
    <t>Cartel PVC 40x30 Estrechamiento de calzada</t>
  </si>
  <si>
    <t>0381P</t>
  </si>
  <si>
    <t>Cartel PVC 21x29 ESTRECHAMIENTO CALZADA CENTRAL</t>
  </si>
  <si>
    <t>Cartel PVC 40x30 Estrechamiento calzada por la derecha</t>
  </si>
  <si>
    <t>0382P</t>
  </si>
  <si>
    <t>Cartel PVC 21x29 ESTRECHAMIENTO CALZADA POR DCHA</t>
  </si>
  <si>
    <t>Cartel PVC 40x30 Estrechamiento calzada por la izq.</t>
  </si>
  <si>
    <t>0383P</t>
  </si>
  <si>
    <t>Cartel PVC 21x29 ESTRECHAMIENTO CALZADA POR IZQ.</t>
  </si>
  <si>
    <t>Cartel PVC 40x30 Peligro cable suspendido</t>
  </si>
  <si>
    <t>0384P</t>
  </si>
  <si>
    <t>Cartel PVC 21x29 PELIGRO CABLE SUSPENDIDO</t>
  </si>
  <si>
    <t>Cartel PVC 40x30 Caida al mismo nivel</t>
  </si>
  <si>
    <t>0385P</t>
  </si>
  <si>
    <t>Cartel PVC 21x29 CAIDA AL MISMO NIVEL</t>
  </si>
  <si>
    <t>Cartel PVC 40x30 Peligro Amianto</t>
  </si>
  <si>
    <t>0386P</t>
  </si>
  <si>
    <t>Cartel PVC 21x29 PELIGRO AMIANTO</t>
  </si>
  <si>
    <t>Cartel PVC 40x30 Uso obligatorio de luces de cruce</t>
  </si>
  <si>
    <t>0387P</t>
  </si>
  <si>
    <t>Cartel PVC 21X29 OBLIGATORIO USO DE LUCES DE</t>
  </si>
  <si>
    <t>Cartel PVC 40x30 Uso obligatorio de chaleco alta visibilidad</t>
  </si>
  <si>
    <t>0388P</t>
  </si>
  <si>
    <t>Cartel PVC 21x29 OBLIGATORIO EL USO CHALECO ALTA</t>
  </si>
  <si>
    <t>Cartel 50x70 cm c/ojales CALLE CORTADA POR OBRAS (o</t>
  </si>
  <si>
    <t>Cartel PVC 50x70 Combinado</t>
  </si>
  <si>
    <t>0390PA</t>
  </si>
  <si>
    <t>Cartel Poliet. 50x70 PROHIBIDO APARCAR CON HORARIO</t>
  </si>
  <si>
    <t>Señal PVC suelo plegable</t>
  </si>
  <si>
    <t>0391P</t>
  </si>
  <si>
    <t>Caballete plegable amarillo señalizacion personalizado</t>
  </si>
  <si>
    <t>Cartel PVC 40x30 Limite vel. 10</t>
  </si>
  <si>
    <t>0392P</t>
  </si>
  <si>
    <t>Cartel PVC 21x29 VELOCIDAD MAXIMA 10</t>
  </si>
  <si>
    <t>Cartel PVC 40x30 Limite vel. 20</t>
  </si>
  <si>
    <t>0393P</t>
  </si>
  <si>
    <t>Cartel PVC 21x29 VELOCIDAD MAXIMA 20</t>
  </si>
  <si>
    <t>Cartel PVC 40x30 Limite vel. 30</t>
  </si>
  <si>
    <t>0394P</t>
  </si>
  <si>
    <t>Cartel PVC 21x29 VELOCIDAD MAXIMA 30</t>
  </si>
  <si>
    <t>Cartel PVC 40x30 Limite vel. 40</t>
  </si>
  <si>
    <t>0395P</t>
  </si>
  <si>
    <t>Cartel PVC 21x29 VELOCIDAD MAXIMA 40</t>
  </si>
  <si>
    <t>Cartel PVC 21x29 Fotolum. Columna movil extinción</t>
  </si>
  <si>
    <t>0396A</t>
  </si>
  <si>
    <t>Cartel PVC 21x30 Fotolum. Carro extintor</t>
  </si>
  <si>
    <t>0396B</t>
  </si>
  <si>
    <t>Cartel PVC 40x30 Fotolum. Carro extintor</t>
  </si>
  <si>
    <t>Cartel PVC 21x29 Fotolum. Sin salida</t>
  </si>
  <si>
    <t>0397A</t>
  </si>
  <si>
    <t>0397B</t>
  </si>
  <si>
    <t>0397C</t>
  </si>
  <si>
    <t>Cartel PVC 21x29 Fotolum. Flecha</t>
  </si>
  <si>
    <t>0398DA</t>
  </si>
  <si>
    <t>Cartel PVC 32x16 Fotolum. Flecha derecha</t>
  </si>
  <si>
    <t>0398DB</t>
  </si>
  <si>
    <t>Cartel PVC 64x32 Fotolum. Flecha derecha</t>
  </si>
  <si>
    <t>0398DC</t>
  </si>
  <si>
    <t>Cartel PVC 96x48 Fotolum. Flecha derecha</t>
  </si>
  <si>
    <t>0398IA</t>
  </si>
  <si>
    <t>Cartel PVC 32x16 Fotolum. Flecha izquierda</t>
  </si>
  <si>
    <t>0398IB</t>
  </si>
  <si>
    <t>0398IC</t>
  </si>
  <si>
    <t>Cartel PVC 40x30 Calle cortada por obra</t>
  </si>
  <si>
    <t>Bolsa negra perforada cubre señales trafico</t>
  </si>
  <si>
    <t>Se¤al Bolsa de plastico nº1 DIRECION PROHIB.</t>
  </si>
  <si>
    <t>Señal Bolsa de plastico nº 2 STOP</t>
  </si>
  <si>
    <t>Señal Bolsa de plastico nº 3 DIR. OBL. DERECHA</t>
  </si>
  <si>
    <t>Señal Bolsa de plastico nº 4 PELIGRO INDEF</t>
  </si>
  <si>
    <t>Señal Bolsa de plastico nº 5 OBRAS</t>
  </si>
  <si>
    <t>Señal Bolsa de plastico nº 6 VEL. 40</t>
  </si>
  <si>
    <t>Señal Bolsa de plastico nº 7 VEL. 60</t>
  </si>
  <si>
    <t>Señal Bolsa de plastico nº 8 ESTRECH</t>
  </si>
  <si>
    <t>Señal Bolsa de plastico nº 9 PROHIB ADELANT</t>
  </si>
  <si>
    <t>Señal Bolsa de plastico nº 10 PRIORIDAD</t>
  </si>
  <si>
    <t>Señal Bolsa de plastico nº 11 PROHIB. APARCAR</t>
  </si>
  <si>
    <t>Señal Bolsa de plastico nº 12 ESCALON LATERAL</t>
  </si>
  <si>
    <t>Señal Bolsa de plastico nº 13 SUELO RESVALADIZO</t>
  </si>
  <si>
    <t>Señal Bolsa de plastico nº 14 VEL 20</t>
  </si>
  <si>
    <t>Señal Bolsa de plastico nº 15 PELIGRO CAMIONES</t>
  </si>
  <si>
    <t>Señal Bolsa de plastico nº 16 SALIDA CAMIONES</t>
  </si>
  <si>
    <t>Señal Bolsa de plastico nº 17 CALLE CORTADA</t>
  </si>
  <si>
    <t>Señal Bolsa de plastico nº 18 VEL 30</t>
  </si>
  <si>
    <t>Señal Bolsa de plastico nº 19 DESPRENDIMIENTO</t>
  </si>
  <si>
    <t>Señal Bolsa de plastico nº 20 ACERA EN OBRAS</t>
  </si>
  <si>
    <t>Señal Bolsa de plastico nº 21 ESTRECH. IZQ.</t>
  </si>
  <si>
    <t>Señal Bolsa de plastico nº 22 ESTRECH. DERECHA</t>
  </si>
  <si>
    <t>Señal Bolsa de plastico nº 23 VEL 10</t>
  </si>
  <si>
    <t>Señal Bolsa de plastico nº 24 VEL. 50</t>
  </si>
  <si>
    <t>Señal Bolsa de plastico nº 25 RESALTO</t>
  </si>
  <si>
    <t>Señal Bolsa de plastico nº 26 CAMINO CORTADO</t>
  </si>
  <si>
    <t>Señal Bolsa de plastico nº 27 DIR. OBLI. IZQ.</t>
  </si>
  <si>
    <t>Señal Bolsa de plastico nº 28 CEDA EL PASO</t>
  </si>
  <si>
    <t>Señal Bolsa de plastico nº 29 CEDA EL PASO C / TEXTO</t>
  </si>
  <si>
    <t>Señal Bolsa de plastico nº 30 CONTROL POLICIAL</t>
  </si>
  <si>
    <t>Señal Bolsa de plastico nº 31 TRABAJOS FORESTALES</t>
  </si>
  <si>
    <t>Señal Bolsa de plastico nº 32 LUZ OBLIGATORIA</t>
  </si>
  <si>
    <t>0450A</t>
  </si>
  <si>
    <t>Plantilla señalizacion para suelo 50x50 cm</t>
  </si>
  <si>
    <t>0450B</t>
  </si>
  <si>
    <t>Plantilla señalizacion para suelo 100 x 70 cm</t>
  </si>
  <si>
    <t>0450E</t>
  </si>
  <si>
    <t>Plantilla 60x60 cm carga coche eléctrico</t>
  </si>
  <si>
    <t>Bolardo composite cuadrado Abatible 70 cm c/llave</t>
  </si>
  <si>
    <t>Bolardo Composite Redondo Abatible 70 cm c/ llave</t>
  </si>
  <si>
    <t>Tensa Cono 9 Mts A/N</t>
  </si>
  <si>
    <t>Tensa Cono 9 Mts R/B</t>
  </si>
  <si>
    <t>Tensa Cono 3 Mts R/B</t>
  </si>
  <si>
    <t>Tensa Cono 3 Mts A/N</t>
  </si>
  <si>
    <t>Hito vertice divergente 1200x1300</t>
  </si>
  <si>
    <t>Bolardo Acero 100 cm x 8 cm diámetro fijo</t>
  </si>
  <si>
    <t>0569/PLATO</t>
  </si>
  <si>
    <t>Bolardo Acero 100 cm x 8 cm diam. c/plato</t>
  </si>
  <si>
    <t>0569A</t>
  </si>
  <si>
    <t>Bolardo Acero 100 cm x 8 cm diámetro extraíble</t>
  </si>
  <si>
    <t>0569E</t>
  </si>
  <si>
    <t>Base-enganche bolardo Acero</t>
  </si>
  <si>
    <t>0569LL</t>
  </si>
  <si>
    <t>Llave para enganche bolardo Acero</t>
  </si>
  <si>
    <t>LLave para colocacion HIto H75</t>
  </si>
  <si>
    <t>Hito 75 cm c/base basculante Mod. B Verde</t>
  </si>
  <si>
    <t>0571A</t>
  </si>
  <si>
    <t>Hito 75 cm c/base basculante Mod. B Azul</t>
  </si>
  <si>
    <t>Hito H-75 Polietileno azul Mod. A</t>
  </si>
  <si>
    <t>0574P</t>
  </si>
  <si>
    <t>Hito H-50 Polietileno azul Mod. A</t>
  </si>
  <si>
    <t>0575A</t>
  </si>
  <si>
    <t>Bandera señalizacion Mod. Basic Amarillo</t>
  </si>
  <si>
    <t>0575R</t>
  </si>
  <si>
    <t>Bandera señalizacion Mod. Basic Rojo</t>
  </si>
  <si>
    <t>0575V</t>
  </si>
  <si>
    <t>Bandera señalizacion Mod. Basic Verde</t>
  </si>
  <si>
    <t>0575Z</t>
  </si>
  <si>
    <t>Bandera señalizacion Mod. Basic Azul</t>
  </si>
  <si>
    <t>Hito H-75 fijo Polietileno verde Mod. A</t>
  </si>
  <si>
    <t>0576P</t>
  </si>
  <si>
    <t>Hito H-50 fijo Polietileno verde Mod. A</t>
  </si>
  <si>
    <t>0576T</t>
  </si>
  <si>
    <t>Tornillo con casquillo para H-75</t>
  </si>
  <si>
    <t>Señal Obra con mango STOP-PASO</t>
  </si>
  <si>
    <t>0577A</t>
  </si>
  <si>
    <t>Señal Stop/Paso con Mango Reforzada aluminio</t>
  </si>
  <si>
    <t>0577B</t>
  </si>
  <si>
    <t>Señal Obra con mango STOP-PASO 1.5 m</t>
  </si>
  <si>
    <t>Soporte metálica para señal bolsa</t>
  </si>
  <si>
    <t>0579A</t>
  </si>
  <si>
    <t>Pilona extraible PVC-EVA 810 mm Amarilla</t>
  </si>
  <si>
    <t>0579B</t>
  </si>
  <si>
    <t>Sistema extraible para pilona 0579</t>
  </si>
  <si>
    <t>0579LL</t>
  </si>
  <si>
    <t>Llave para pilona extraible 0579</t>
  </si>
  <si>
    <t>0579N</t>
  </si>
  <si>
    <t>Pilona Extraíble PVC-EVA 810 mm Negro</t>
  </si>
  <si>
    <t>0579R</t>
  </si>
  <si>
    <t>Pilona extraible PVC-EVA 810 mm Rojo</t>
  </si>
  <si>
    <t>0579V</t>
  </si>
  <si>
    <t>Pilona extraible PVC-EVA 810 mm Verde</t>
  </si>
  <si>
    <t>0579Z</t>
  </si>
  <si>
    <t>Pilona extraible PVC-EVA 810 mm Azul</t>
  </si>
  <si>
    <t>0580A</t>
  </si>
  <si>
    <t>Pilona fija PVC-EVA 810 mm Amarillo con peana</t>
  </si>
  <si>
    <t>0580N</t>
  </si>
  <si>
    <t>Pilona fija PVC-EVA 810 mm Negro con peana</t>
  </si>
  <si>
    <t>0580R</t>
  </si>
  <si>
    <t>Pilona fija PVC-EVA 810 mm Rojo con peana</t>
  </si>
  <si>
    <t>0580V</t>
  </si>
  <si>
    <t>Pilona fija PVC-EVA 810 mm Verde con peana</t>
  </si>
  <si>
    <t>0580Z</t>
  </si>
  <si>
    <t>Pilona fija PVC-EVA 810 mm Azul con peana</t>
  </si>
  <si>
    <t>Hito 100 cm PVC blando Naranja Mod.J</t>
  </si>
  <si>
    <t>0581A</t>
  </si>
  <si>
    <t>Hito 100 cm PVC blando Azul Mod.J</t>
  </si>
  <si>
    <t>0581AM</t>
  </si>
  <si>
    <t>Hito 100 cm PVC blando Amarillo Mod.J</t>
  </si>
  <si>
    <t>0581B</t>
  </si>
  <si>
    <t>Hito 100 cm PVC blando Blanco Mod.J</t>
  </si>
  <si>
    <t>0581NE</t>
  </si>
  <si>
    <t>Hito 100 cm PVC blando Negro Mod.J</t>
  </si>
  <si>
    <t>0581R</t>
  </si>
  <si>
    <t>Hito 100 cm PVC blando Rojo Mod.J</t>
  </si>
  <si>
    <t>0581V</t>
  </si>
  <si>
    <t>Hito 100 cm PVC blando Verde Mod.J</t>
  </si>
  <si>
    <t>Hito H-75 flexible E.V.A. verde Mod. C Plus</t>
  </si>
  <si>
    <t>0582P</t>
  </si>
  <si>
    <t>Hito H-50 flexible E.V.A. verde Mod. C Plus</t>
  </si>
  <si>
    <t>Hito H-75 flexible E.V.A. azul Mod. C Plus</t>
  </si>
  <si>
    <t>0583P</t>
  </si>
  <si>
    <t>Hito H-50 flexible E.V.A. azul Mod. C Plus</t>
  </si>
  <si>
    <t>Hito H-75 flexible E.V.A. rojo Mod. C Plus</t>
  </si>
  <si>
    <t>0584P</t>
  </si>
  <si>
    <t>Hito H-50 flexible E.V.A. rojo Mod. C Plus</t>
  </si>
  <si>
    <t>Hito H-75 flexible E.V.A. amarillo Mod. C plus</t>
  </si>
  <si>
    <t>0585P</t>
  </si>
  <si>
    <t>Hito H-50 flexible E.V.A. amarillo Mod. C Plus</t>
  </si>
  <si>
    <t>Hito H-75 fijo Polietileno rojo Mod. A</t>
  </si>
  <si>
    <t>0586P</t>
  </si>
  <si>
    <t>Hito H-50 fijo Polietilieno rojo Mod. A</t>
  </si>
  <si>
    <t>Hito H-75 fijo Polietileno amarillo Mod. A</t>
  </si>
  <si>
    <t>0587P</t>
  </si>
  <si>
    <t>Hito H-50 Polietileno amarillo Mod. A</t>
  </si>
  <si>
    <t>Hito 75 cm PVC blando Naranja Mod. E</t>
  </si>
  <si>
    <t>0588A</t>
  </si>
  <si>
    <t>Hito 75 cm PVC blando Azul Mod. E</t>
  </si>
  <si>
    <t>0588AM</t>
  </si>
  <si>
    <t>Hito 75 cm PVC blando Amarillo Mod. E</t>
  </si>
  <si>
    <t>0588B</t>
  </si>
  <si>
    <t>HIto 75 cm PVC blando Blanco Mod. E</t>
  </si>
  <si>
    <t>0588NE</t>
  </si>
  <si>
    <t>Hito 75 cm PVC blando Negro Mod. E</t>
  </si>
  <si>
    <t>0588R</t>
  </si>
  <si>
    <t>Hito 75 cm PVC blando Rojo Mod. E</t>
  </si>
  <si>
    <t>0588V</t>
  </si>
  <si>
    <t>Hito 75 cm PVC blando Verde Mod. E</t>
  </si>
  <si>
    <t>Hito 45 cm PVC blando Naranja Mod. F</t>
  </si>
  <si>
    <t>Captafaros flexible p/muro doble lente blanco/amarillo</t>
  </si>
  <si>
    <t>Captafaros doble lente blanco/amarillo 3M</t>
  </si>
  <si>
    <t>0591A</t>
  </si>
  <si>
    <t>Captafaros doble lente Blanco/Amarillo Autoadhesivo 3M</t>
  </si>
  <si>
    <t>0591B</t>
  </si>
  <si>
    <t>Captafaros doble lente Blanco/blanco 3M</t>
  </si>
  <si>
    <t>0591BA</t>
  </si>
  <si>
    <t>Captafaros doble lente Blanco/Blanco Autoadhesivo 3M</t>
  </si>
  <si>
    <t>0592/A</t>
  </si>
  <si>
    <t>Delineador de Barrera LDS Amarillo 86x15,3 cm</t>
  </si>
  <si>
    <t>0592/B</t>
  </si>
  <si>
    <t>Delineador de Barrera LDS Blanco 86x15,3 cm</t>
  </si>
  <si>
    <t>0592/R</t>
  </si>
  <si>
    <t>Delineador de Barrera LDS Rojo 86x15,3 cm</t>
  </si>
  <si>
    <t>Hito Basculante Flexible 75 cm Mod. G + base</t>
  </si>
  <si>
    <t>Panel señal. vertical R/B reflectante 2 caras</t>
  </si>
  <si>
    <t>Conjunto manga viento + poste y rótula</t>
  </si>
  <si>
    <t>Mástil Manga viento c/ rótula 400cm x 8cm diam x 2mm</t>
  </si>
  <si>
    <t>Manga de viento c/aro 400x150mm L.1600mm</t>
  </si>
  <si>
    <t>Rótula para manga viento</t>
  </si>
  <si>
    <t>Señal metalica TP-3</t>
  </si>
  <si>
    <t>0600D</t>
  </si>
  <si>
    <t>Señal metalica P-3</t>
  </si>
  <si>
    <t>Señal metalica TP-13a</t>
  </si>
  <si>
    <t>0601D</t>
  </si>
  <si>
    <t>Señal metalica P-13a</t>
  </si>
  <si>
    <t>Señal metalica TP-13b</t>
  </si>
  <si>
    <t>0602D</t>
  </si>
  <si>
    <t>Señal metalica P-13b</t>
  </si>
  <si>
    <t>Señal metalica TP-14a</t>
  </si>
  <si>
    <t>0603D</t>
  </si>
  <si>
    <t>Señal metalica P-14a</t>
  </si>
  <si>
    <t>Señal metalica TP-14b</t>
  </si>
  <si>
    <t>0604D</t>
  </si>
  <si>
    <t>Señal metalica P-14b</t>
  </si>
  <si>
    <t>Señal metalica TP-15</t>
  </si>
  <si>
    <t>0605D</t>
  </si>
  <si>
    <t>Señal metalica P-15</t>
  </si>
  <si>
    <t>Señal metalica TP-15a</t>
  </si>
  <si>
    <t>0606D</t>
  </si>
  <si>
    <t>Señal metalica P-15a</t>
  </si>
  <si>
    <t>Señal metalica TP-15b</t>
  </si>
  <si>
    <t>0607D</t>
  </si>
  <si>
    <t>Señal metalica P-15b</t>
  </si>
  <si>
    <t>Señal metalica TP-17</t>
  </si>
  <si>
    <t>0608D</t>
  </si>
  <si>
    <t>Señal metalica P-17</t>
  </si>
  <si>
    <t>Señal metalica TP-17b</t>
  </si>
  <si>
    <t>0609D</t>
  </si>
  <si>
    <t>Señal metalica P-17b</t>
  </si>
  <si>
    <t>Señal metalica TP-17a</t>
  </si>
  <si>
    <t>0610D</t>
  </si>
  <si>
    <t>Señal metalica P-17a</t>
  </si>
  <si>
    <t>Señal metalica TP-18</t>
  </si>
  <si>
    <t>0611D</t>
  </si>
  <si>
    <t>Señal metalica P-18</t>
  </si>
  <si>
    <t>Señal metalica TP-19</t>
  </si>
  <si>
    <t>0612D</t>
  </si>
  <si>
    <t>Señal metalica P-19</t>
  </si>
  <si>
    <t>Señal metalica TP-25</t>
  </si>
  <si>
    <t>0613D</t>
  </si>
  <si>
    <t>Señal metalica P-25</t>
  </si>
  <si>
    <t>Señal metalica TP-26</t>
  </si>
  <si>
    <t>0614D</t>
  </si>
  <si>
    <t>Señal metalica P-26</t>
  </si>
  <si>
    <t>Señal metalica TP-28</t>
  </si>
  <si>
    <t>0615D</t>
  </si>
  <si>
    <t>Señal metalica P-28</t>
  </si>
  <si>
    <t>Señal metalica TP-30</t>
  </si>
  <si>
    <t>0616B</t>
  </si>
  <si>
    <t>0616C</t>
  </si>
  <si>
    <t>0616D</t>
  </si>
  <si>
    <t>Señal metalica P-30</t>
  </si>
  <si>
    <t>Señal metalica TP-50</t>
  </si>
  <si>
    <t>0617D</t>
  </si>
  <si>
    <t>Señal metalica P-50</t>
  </si>
  <si>
    <t>Señal metalica TP-4</t>
  </si>
  <si>
    <t>0619D</t>
  </si>
  <si>
    <t>Señal metalica P-4</t>
  </si>
  <si>
    <t>Señal metalica TR-1</t>
  </si>
  <si>
    <t>0620D</t>
  </si>
  <si>
    <t>Señal metalica R-1</t>
  </si>
  <si>
    <t>Señal metalica Minusvalidos M-1</t>
  </si>
  <si>
    <t>Señal metalica S-13</t>
  </si>
  <si>
    <t>Señal metalica R-402</t>
  </si>
  <si>
    <t>Señal metalica TR-100</t>
  </si>
  <si>
    <t>0629D</t>
  </si>
  <si>
    <t>Señal metalica R-100</t>
  </si>
  <si>
    <t>Señal metalica TR-305</t>
  </si>
  <si>
    <t>0630D</t>
  </si>
  <si>
    <t>Señal metalica R-305</t>
  </si>
  <si>
    <t>Señal metalica TR-101</t>
  </si>
  <si>
    <t>Señal metalica TR-106</t>
  </si>
  <si>
    <t>0642D</t>
  </si>
  <si>
    <t>Señal metalica R-106</t>
  </si>
  <si>
    <t>Señal metalica TR-201</t>
  </si>
  <si>
    <t>0643D</t>
  </si>
  <si>
    <t>Señal metalica R-201</t>
  </si>
  <si>
    <t>Señal metalica TR-204</t>
  </si>
  <si>
    <t>0644D</t>
  </si>
  <si>
    <t>Señal metalica R-204</t>
  </si>
  <si>
    <t>Señal metalica TR-205</t>
  </si>
  <si>
    <t>0645D</t>
  </si>
  <si>
    <t>Señal metalica R-205</t>
  </si>
  <si>
    <t>Señal metalica TR-303</t>
  </si>
  <si>
    <t>0647D</t>
  </si>
  <si>
    <t>Señal metalica R-303</t>
  </si>
  <si>
    <t>Señal metalica TR-301/20</t>
  </si>
  <si>
    <t>0648D</t>
  </si>
  <si>
    <t>Señal metalica R-301/20</t>
  </si>
  <si>
    <t>Señal metalica TR-301/30</t>
  </si>
  <si>
    <t>0649D</t>
  </si>
  <si>
    <t>Señal metalica R-301/30</t>
  </si>
  <si>
    <t>Señal metalica TR-301/40</t>
  </si>
  <si>
    <t>0650D</t>
  </si>
  <si>
    <t>Señal metalica R301/40</t>
  </si>
  <si>
    <t>Señal metalica TR-301/50</t>
  </si>
  <si>
    <t>0651D</t>
  </si>
  <si>
    <t>Señal metalica R-301/50</t>
  </si>
  <si>
    <t>Señal metalica TR-301/60</t>
  </si>
  <si>
    <t>0652D</t>
  </si>
  <si>
    <t>Señal metalica R-301/60</t>
  </si>
  <si>
    <t>Señal metalica R-307</t>
  </si>
  <si>
    <t>Señal metalica TR-301/10</t>
  </si>
  <si>
    <t>Señal metalica Minusvalidos M-2</t>
  </si>
  <si>
    <t>Señal metalica TR-302</t>
  </si>
  <si>
    <t>0656D</t>
  </si>
  <si>
    <t>Señal metalica R-302</t>
  </si>
  <si>
    <t>Señal metalica TR-306</t>
  </si>
  <si>
    <t>0657D</t>
  </si>
  <si>
    <t>Señal metalica R-306</t>
  </si>
  <si>
    <t>Soporte pared 60 mm para señal MOPU</t>
  </si>
  <si>
    <t>Señal metalica R2 Stop</t>
  </si>
  <si>
    <t>0661V</t>
  </si>
  <si>
    <t>Vinilo adhesivo suelo STOP 40 cm</t>
  </si>
  <si>
    <t>Señal metalica R-308</t>
  </si>
  <si>
    <t>Señal metalica TR-400a</t>
  </si>
  <si>
    <t>Señal metalica R-400a</t>
  </si>
  <si>
    <t>0664V</t>
  </si>
  <si>
    <t>Vinilo adhesivo suelo Dirección oblig. 40cm</t>
  </si>
  <si>
    <t>Señal metalica S-17 Parking</t>
  </si>
  <si>
    <t>Señal metalica S-15a Calle Cortada</t>
  </si>
  <si>
    <t>Placa carga Sobresaliente V20 50x50</t>
  </si>
  <si>
    <t>Señal metalica R-101</t>
  </si>
  <si>
    <t>Señal metalica TR-5</t>
  </si>
  <si>
    <t>0670D</t>
  </si>
  <si>
    <t>Señal metalica R-5</t>
  </si>
  <si>
    <t>Señal metalica TR-500</t>
  </si>
  <si>
    <t>0671D</t>
  </si>
  <si>
    <t>Señal metalica R-500</t>
  </si>
  <si>
    <t>Señal metalica TR-502</t>
  </si>
  <si>
    <t>0672D</t>
  </si>
  <si>
    <t>Señal metalica R-502</t>
  </si>
  <si>
    <t>Señal metalica P-20</t>
  </si>
  <si>
    <t>0673D</t>
  </si>
  <si>
    <t>Señal metalica TR-503</t>
  </si>
  <si>
    <t>0674D</t>
  </si>
  <si>
    <t>Señal metalica R-503</t>
  </si>
  <si>
    <t>0674E</t>
  </si>
  <si>
    <t>Señal 50 cm económica recarga eléctrica</t>
  </si>
  <si>
    <t>0674P</t>
  </si>
  <si>
    <t>Señal metálica económica ALTO POLICIA</t>
  </si>
  <si>
    <t>Tripode tubular naranja señal metalica mod. A</t>
  </si>
  <si>
    <t>0676/10</t>
  </si>
  <si>
    <t>Tubo 80x40 para señal metalica 1 metro</t>
  </si>
  <si>
    <t>0676/15</t>
  </si>
  <si>
    <t>bo 80x40 para señal metalica 1,5 metros</t>
  </si>
  <si>
    <t>0676/20</t>
  </si>
  <si>
    <t>Tubo 80x40 para señal metalica 2 metros</t>
  </si>
  <si>
    <t>0676/25</t>
  </si>
  <si>
    <t>Tubo 80x40 para señal metalica 2,5 metros</t>
  </si>
  <si>
    <t>0676/30</t>
  </si>
  <si>
    <t>Tubo 80x40 para señal metalica 3 metros</t>
  </si>
  <si>
    <t>0676/35</t>
  </si>
  <si>
    <t>Tubo 80x40 para señal metalica 3,5 metros</t>
  </si>
  <si>
    <t>0676/40</t>
  </si>
  <si>
    <t>Tubo 80x40 para señal metalica 4 metros</t>
  </si>
  <si>
    <t>0676/AL</t>
  </si>
  <si>
    <t>Poste aluminio 3.5 m 76 mm pintado</t>
  </si>
  <si>
    <t>0676F</t>
  </si>
  <si>
    <t>Poste 80x40 mm 3 m en forma de F</t>
  </si>
  <si>
    <t>Cruceta tubo para señales metalicas</t>
  </si>
  <si>
    <t>Señal metalica R- 6 Prioridad</t>
  </si>
  <si>
    <t>Placa econ. informat. 20x40 cm f.amarillo</t>
  </si>
  <si>
    <t>Placa informativa 40x20 blanca</t>
  </si>
  <si>
    <t>0681/A</t>
  </si>
  <si>
    <t>Horquilla protector peatones 120x40 cm Galva</t>
  </si>
  <si>
    <t>0681/A/PLATO</t>
  </si>
  <si>
    <t>Horquilla protector peatones 120x40 cm Galva. c/plato</t>
  </si>
  <si>
    <t>0681/B</t>
  </si>
  <si>
    <t>Horquilla protector peatones 90x40 cm Galva</t>
  </si>
  <si>
    <t>0681/B/PLATO</t>
  </si>
  <si>
    <t>Horquilla protector peatones 90x40 cm Galva c/plato</t>
  </si>
  <si>
    <t>0681/LA</t>
  </si>
  <si>
    <t>Horquilla protector peatones 120x40 cm Amarilla</t>
  </si>
  <si>
    <t>0681/LA/PLATO</t>
  </si>
  <si>
    <t>Horquilla protector peatones 120x40 cm Amar. c/plato</t>
  </si>
  <si>
    <t>0681/LB</t>
  </si>
  <si>
    <t>Horquilla protector peqtones 90x40 cm Amarilla</t>
  </si>
  <si>
    <t>0681/LB/PLATO</t>
  </si>
  <si>
    <t>Horquilla protector peatones 90x40 cm Amar.c/plato</t>
  </si>
  <si>
    <t>Vado Permanente Aluminio 40x30</t>
  </si>
  <si>
    <t>0682P</t>
  </si>
  <si>
    <t>Vado permanente 40x30 aluminio personalizado</t>
  </si>
  <si>
    <t>Horquilla protector contenedor basura Galva</t>
  </si>
  <si>
    <t>0683/B</t>
  </si>
  <si>
    <t>Isleta hormigon con protector direccional Vados</t>
  </si>
  <si>
    <t>0683/BS</t>
  </si>
  <si>
    <t>Juego 2 angulos sujecion suelo Isleta Vados</t>
  </si>
  <si>
    <t>0683D</t>
  </si>
  <si>
    <t>Protector contenedor basura flecha dcha Galv.</t>
  </si>
  <si>
    <t>0683D/PLATO</t>
  </si>
  <si>
    <t>Protector contenedor basura flecha Dcha. Galva. c/plato</t>
  </si>
  <si>
    <t>0683I</t>
  </si>
  <si>
    <t>Protector contenedor basura flecha izq. Galva.</t>
  </si>
  <si>
    <t>0683I/PLATO</t>
  </si>
  <si>
    <t>Protector contendor basura flecha Izq.Galva. c/ plato</t>
  </si>
  <si>
    <t>Placa econ. informat. 55x35 cm f.amarillo</t>
  </si>
  <si>
    <t>Placa econ. informat. 55x35 cm f.blanco</t>
  </si>
  <si>
    <t>Base caucho multiperfil</t>
  </si>
  <si>
    <t>0690B</t>
  </si>
  <si>
    <t>Base multiperfil para valla y señales 18 kg</t>
  </si>
  <si>
    <t>0690D</t>
  </si>
  <si>
    <t>Base de caucho multiperfil mod D</t>
  </si>
  <si>
    <t>0690S</t>
  </si>
  <si>
    <t>Base caucho para panel secuencial</t>
  </si>
  <si>
    <t>Poste aluminio 3 mtros señ. urbana Diam 60</t>
  </si>
  <si>
    <t>0692E</t>
  </si>
  <si>
    <t>Abrazadera poste aluminio 60 mm estriado</t>
  </si>
  <si>
    <t>Tripode Tubular señal metalica mod. C</t>
  </si>
  <si>
    <t>Poste redondo diam. 50 galvan. 3 mt para espejo 4100</t>
  </si>
  <si>
    <t>0694/G</t>
  </si>
  <si>
    <t>Poste redondo diam. 80 galvan. 3 mt para espejo 4101</t>
  </si>
  <si>
    <t>0694/M</t>
  </si>
  <si>
    <t>Poste redondo diam. 60 galva. 3 mt. p/espejos</t>
  </si>
  <si>
    <t>0694D</t>
  </si>
  <si>
    <t>Poste galva doblado 3 m circular 60 mm</t>
  </si>
  <si>
    <t>0694E</t>
  </si>
  <si>
    <t>Poste tubular 60 mm para cartelería vinilada</t>
  </si>
  <si>
    <t>Tripode angular señal metalica mod. B</t>
  </si>
  <si>
    <t>Tripode gigante señal metálica</t>
  </si>
  <si>
    <t>Soporte pared p/ espejo 60 cm Mod. Basic</t>
  </si>
  <si>
    <t>0697/M</t>
  </si>
  <si>
    <t>Soporte pared para espejo Giotto-Rafaello-Icaro</t>
  </si>
  <si>
    <t>0697G</t>
  </si>
  <si>
    <t>Soporte pared p/ espejo 80 cm Mod. Basic</t>
  </si>
  <si>
    <t>Soporte pared señal metalica</t>
  </si>
  <si>
    <t>Señal economica reflex</t>
  </si>
  <si>
    <t>Conjunto señalización tubular aparcar con soporte y plesilla</t>
  </si>
  <si>
    <t>0701/01</t>
  </si>
  <si>
    <t>Protector esquina acero 45cm lado x 100 cm altura tubo de</t>
  </si>
  <si>
    <t>0701/03</t>
  </si>
  <si>
    <t>Protector esquina acero 100 cm lado x 100 cm altura tubo de</t>
  </si>
  <si>
    <t>0702/01</t>
  </si>
  <si>
    <t>Barrera protectora 100 cm largo x 100 cm altura tubo de 50x2</t>
  </si>
  <si>
    <t>0702/02</t>
  </si>
  <si>
    <t>Barrera protectora 100 cm largo x 100 cm altura tubo de 50x3</t>
  </si>
  <si>
    <t>0702/03</t>
  </si>
  <si>
    <t>Barrera protectora 100 cm largo x 100 cm altura tubo de</t>
  </si>
  <si>
    <t>0702/04</t>
  </si>
  <si>
    <t>0702/05</t>
  </si>
  <si>
    <t>Barrera protectora 200 cm largo x 100 cm altura tubo de</t>
  </si>
  <si>
    <t>0702/06</t>
  </si>
  <si>
    <t>Barrera protectora 200 cm largo x 100 cm altura tubo 50x3mm</t>
  </si>
  <si>
    <t>0702/07</t>
  </si>
  <si>
    <t>0702/08</t>
  </si>
  <si>
    <t>0703/01</t>
  </si>
  <si>
    <t>Barrera protectora reforzada 100 cm largo x 100 cm altura tubo</t>
  </si>
  <si>
    <t>0703/02</t>
  </si>
  <si>
    <t>0703/03</t>
  </si>
  <si>
    <t>0703/04</t>
  </si>
  <si>
    <t>0703/05</t>
  </si>
  <si>
    <t>Barrera protectora reforzada 200 cm largo x 100 cm altura tubo</t>
  </si>
  <si>
    <t>0703/06</t>
  </si>
  <si>
    <t>0703/07</t>
  </si>
  <si>
    <t>0703/08</t>
  </si>
  <si>
    <t>Barrera protectora reforzada 200 cm largo x 100 cm altiura tubo</t>
  </si>
  <si>
    <t>0704/01</t>
  </si>
  <si>
    <t>Bolardo acero N/A 100 cm altura tubo 60x2mm</t>
  </si>
  <si>
    <t>0704/02</t>
  </si>
  <si>
    <t>Bolardo acero N/A 100 cm altura tubo de 80x2mm</t>
  </si>
  <si>
    <t>0705/01</t>
  </si>
  <si>
    <t>Zocalo proteccion 200 cm largo x 6,6 cm altura tubo de</t>
  </si>
  <si>
    <t>0705/02</t>
  </si>
  <si>
    <t>Zocalo proteccion 200 cm largo x 8,6 cm altura tubo de</t>
  </si>
  <si>
    <t>Placa Taller 50x50 cm personalizable</t>
  </si>
  <si>
    <t>Conjunto prohibido aparcar + trípode con plesilla</t>
  </si>
  <si>
    <t>Placa mercancias peligrosas fija 40x30 troquelada</t>
  </si>
  <si>
    <t>0710T</t>
  </si>
  <si>
    <t>Placa mercancia peligrosa plegable sin troquelar 40x30</t>
  </si>
  <si>
    <t>Disco nacional 20 cm diám Limitacion Velocidad alumin, Reflex</t>
  </si>
  <si>
    <t>0711/20</t>
  </si>
  <si>
    <t>Disco alum. diam.20cm Lim Velocidad 20 Reflex 2</t>
  </si>
  <si>
    <t>0711/25</t>
  </si>
  <si>
    <t>Disco alum. diam.20cm Lim Velocidad 25 Reflex 2</t>
  </si>
  <si>
    <t>0711/30</t>
  </si>
  <si>
    <t>Disco alum. diam.20cm Lim Velocidad 30 Reflex 2</t>
  </si>
  <si>
    <t>0711/35</t>
  </si>
  <si>
    <t>Disco alum. diam.20cm Lim Velocidad 35 Reflex 2</t>
  </si>
  <si>
    <t>0711/40</t>
  </si>
  <si>
    <t>Disco alum. diam.20cm Lim Velocidad 40 Reflex 2</t>
  </si>
  <si>
    <t>0711/45</t>
  </si>
  <si>
    <t>Disco alum. diam.20cm Lim Velocidad 45 Reflex 2</t>
  </si>
  <si>
    <t>Placa Servicio Público 75x150 mm aluminiro Reflex 2</t>
  </si>
  <si>
    <t>Placa Servicio Público 120x225 mm aluminio Reflex N2</t>
  </si>
  <si>
    <t>Señal Transporte Animales Vivos aluminio 30x22 cm</t>
  </si>
  <si>
    <t>Señal adhesiva de TARA P.M.A. 130x330 mm</t>
  </si>
  <si>
    <t>Placa Vehículo Lento 365 mm de lado aluminio Reflex N2</t>
  </si>
  <si>
    <t>Placa R-70 corta 565x200mm vehic. largo (juego2 pzas)</t>
  </si>
  <si>
    <t>0717/L</t>
  </si>
  <si>
    <t>Placa 1130x200mm vehículo Largo Reflex N2 Homol. Europea</t>
  </si>
  <si>
    <t>Placa 1ª categ COTO PRIVADO DE CAZA + matric. Troquel.</t>
  </si>
  <si>
    <t>Placa 2ª categ. COTO DE CAZA 30X20 cm</t>
  </si>
  <si>
    <t>Placa Nº puerta aluminio 19x14cm azul</t>
  </si>
  <si>
    <t>Placa V-10 transporte escolar 20x20 Reflex 2 Homologada</t>
  </si>
  <si>
    <t>Bocina neumática a mano</t>
  </si>
  <si>
    <t>Pinzas más cable para batería 400 Ah</t>
  </si>
  <si>
    <t>Reductor tensión 24 a 12 v</t>
  </si>
  <si>
    <t>Pinza negra - 80 Ah</t>
  </si>
  <si>
    <t>Pinza Roja + 80 Ah</t>
  </si>
  <si>
    <t>Pinza Negra - 500 Ah</t>
  </si>
  <si>
    <t>Pinza Roja + 500 Ah</t>
  </si>
  <si>
    <t>Señal plástica 60 cm reflectante triangular para conos</t>
  </si>
  <si>
    <t>Señal plástica 60x30 cm reflectante rectangular para conos</t>
  </si>
  <si>
    <t>Señal plástica 60 cm reflectante circular para conos</t>
  </si>
  <si>
    <t>Señal personalizada con soporte pared 40x30 cm</t>
  </si>
  <si>
    <t>Señal personalizada c/soporte suelo 40x60 cm 3 caras</t>
  </si>
  <si>
    <t>Aparca Patinetes galvanizado 10p 1 cara</t>
  </si>
  <si>
    <t>Aparca Patinetes galvanizado 20p 2 caras</t>
  </si>
  <si>
    <t>Aparca Bicis atornillable pared 1p</t>
  </si>
  <si>
    <t>Aparca Bicis atornillable pared 2p</t>
  </si>
  <si>
    <t>Aparca Bicis atornillable pared 5p</t>
  </si>
  <si>
    <t>Pie soporte atornillable 80x40 mm</t>
  </si>
  <si>
    <t>Pie soporte atornillable cuadrado 40 mm</t>
  </si>
  <si>
    <t>Pie soporte atornillable 50 mm circular</t>
  </si>
  <si>
    <t>Pie soporte atornillable 60 mm circular</t>
  </si>
  <si>
    <t>Pie soporte atornillable 70 mm circular</t>
  </si>
  <si>
    <t>Poste 40x40x1.5 mm galva 1.5 m</t>
  </si>
  <si>
    <t>Cruceta para poste 40x40 mm</t>
  </si>
  <si>
    <t>Aparca Patinetes gavanizado 10p 2 caras</t>
  </si>
  <si>
    <t>Aparca Patinetes galvanizado 5p 1 cara</t>
  </si>
  <si>
    <t>Tope estantería metálica mod. A</t>
  </si>
  <si>
    <t>Tope estantería metálica mod. B</t>
  </si>
  <si>
    <t>Film manual transparente Rec. Eco 500/1,35/23MY (600-150)</t>
  </si>
  <si>
    <t>Film manual negro Opaco Rec. Eco 500/1,35/23MY (600-150)</t>
  </si>
  <si>
    <t>Cinta adhesiva 125m PPAC Transp 48 mm</t>
  </si>
  <si>
    <t>Adhesivo 100 mm Materias y objetos explosivos A</t>
  </si>
  <si>
    <t>0800A</t>
  </si>
  <si>
    <t>Adhesivo 300 mm Materias y objetos explosivos A</t>
  </si>
  <si>
    <t>Adhesivo 100 mm Materias y objetos explosivos 1.4</t>
  </si>
  <si>
    <t>0801A</t>
  </si>
  <si>
    <t>Adhesivo 300 mm Materias y objetos explosivos 1.4</t>
  </si>
  <si>
    <t>Adhesivo 100 mm Materias y objetos explosivos 1.5</t>
  </si>
  <si>
    <t>0802A</t>
  </si>
  <si>
    <t>Adhesivo 300 mm Materias y objetos explosivos 1.5</t>
  </si>
  <si>
    <t>Adhesivo 100 mm Materias y objetos explosivos 1.6</t>
  </si>
  <si>
    <t>0803A</t>
  </si>
  <si>
    <t>Adhesivo 300 mm Materias y objetos explosivos 1.6</t>
  </si>
  <si>
    <t>Adhesivo 100 mm Gases Tóxicos</t>
  </si>
  <si>
    <t>0805A</t>
  </si>
  <si>
    <t>Adhesivo 300 mm Gases Tóxicos</t>
  </si>
  <si>
    <t>Adhesivo 100 mm gases inflamables A</t>
  </si>
  <si>
    <t>0806A</t>
  </si>
  <si>
    <t>Adhesivo 300 mm gases inflamables A</t>
  </si>
  <si>
    <t>Adhesivo 100 mm gases inflamables B</t>
  </si>
  <si>
    <t>0807A</t>
  </si>
  <si>
    <t>Adhesivo 300 mm gases inflamables B</t>
  </si>
  <si>
    <t>Adhesivo 100 mm gases no inflamables A</t>
  </si>
  <si>
    <t>0808A</t>
  </si>
  <si>
    <t>Adhesivo 300 mm gases no inflamables A</t>
  </si>
  <si>
    <t>Adhesivo 100 mm gases no inflamables B</t>
  </si>
  <si>
    <t>0809A</t>
  </si>
  <si>
    <t>Adhesivo 300 mm gases no inflamables B</t>
  </si>
  <si>
    <t>Lona 100x70 cm multicartel c/ ojales</t>
  </si>
  <si>
    <t>Lona 50x70 cm multicartel c/ ojales</t>
  </si>
  <si>
    <t>Adhesivo 100 mm líquidos inflamables A</t>
  </si>
  <si>
    <t>0812A</t>
  </si>
  <si>
    <t>Adhesivo 300 mm líquidos inflamables A</t>
  </si>
  <si>
    <t>Adhesivo 100 mm líquidos inflamables B</t>
  </si>
  <si>
    <t>0813A</t>
  </si>
  <si>
    <t>Adhesivo 300 mm líquidos inflamables B</t>
  </si>
  <si>
    <t>Adhesivo 100 mm mat. sólidas inflamables</t>
  </si>
  <si>
    <t>0814A</t>
  </si>
  <si>
    <t>Adhesivo 300 mm mat. sólidas inflamables</t>
  </si>
  <si>
    <t>Adhesivo 100 mm materias expontáneamente inflamables</t>
  </si>
  <si>
    <t>0815A</t>
  </si>
  <si>
    <t>Adhesivo 300 mm materias expontáneamente inflamables</t>
  </si>
  <si>
    <t>Adhesivo 100 mm materias contacto agua gases inflamables A</t>
  </si>
  <si>
    <t>0816A</t>
  </si>
  <si>
    <t>Adhesivo 300 mm materias contacto agua gases inflamables A</t>
  </si>
  <si>
    <t>Adhesivo 100 mm materias contacto agua gases inflamables B</t>
  </si>
  <si>
    <t>0817A</t>
  </si>
  <si>
    <t>Adhesivo 300 mm materias contacto agua gases inflamables B</t>
  </si>
  <si>
    <t>Adhesivo 100 mm materias comburentes</t>
  </si>
  <si>
    <t>0818A</t>
  </si>
  <si>
    <t>Adhesivo 300 mm materias comburentes</t>
  </si>
  <si>
    <t>Adhesivo 100 mm peróxidos orgánicos</t>
  </si>
  <si>
    <t>0819A</t>
  </si>
  <si>
    <t>Adhesivo 300 mm peróxidos orgánicos</t>
  </si>
  <si>
    <t>Adhesivo 100 mm Materias Tóxicas</t>
  </si>
  <si>
    <t>0822A</t>
  </si>
  <si>
    <t>Adhesivo 100 mm Materias infecciosas</t>
  </si>
  <si>
    <t>0823A</t>
  </si>
  <si>
    <t>Adhesivo 300 mm Materias infecciosas</t>
  </si>
  <si>
    <t>Adhesivo 100 mm Materias radiactivas I</t>
  </si>
  <si>
    <t>0824A</t>
  </si>
  <si>
    <t>Adhesivo 300 mm Materias radiactivas I</t>
  </si>
  <si>
    <t>Adhesivo 100 mm Materias radiactivas II</t>
  </si>
  <si>
    <t>0825A</t>
  </si>
  <si>
    <t>Adhesivo 300 mm Materias radiactivas II</t>
  </si>
  <si>
    <t>Adhesivo 100 mm Materias radiactivas III</t>
  </si>
  <si>
    <t>0826A</t>
  </si>
  <si>
    <t>Adhesivo 300 mm Materias radiactivas III</t>
  </si>
  <si>
    <t>Adhesivo 100 mm Materias fisionables</t>
  </si>
  <si>
    <t>0827A</t>
  </si>
  <si>
    <t>Adhesivo 300 mm Materias fisionables</t>
  </si>
  <si>
    <t>Adhesivo 100 mm Materias corrosivas</t>
  </si>
  <si>
    <t>0828A</t>
  </si>
  <si>
    <t>Adhesivo 300 mm Materias corrosivas</t>
  </si>
  <si>
    <t>Adhesivo 100 mm Materias y objetos peligrosos diversos</t>
  </si>
  <si>
    <t>0829A</t>
  </si>
  <si>
    <t>Adhesivo 300 mm Materias y objetos peligrosos divesas</t>
  </si>
  <si>
    <t>Adhesivo 100 mm Materias peligrosas para el medio ambiente</t>
  </si>
  <si>
    <t>0830A</t>
  </si>
  <si>
    <t>Adhesivo 300 mm Materias peligrosas para el medio ambiente</t>
  </si>
  <si>
    <t>Adhesivo 100 mm Orientación del bulto</t>
  </si>
  <si>
    <t>0831A</t>
  </si>
  <si>
    <t>Adhesivo 300 mm Orientación del bulto</t>
  </si>
  <si>
    <t>Adhesivo 100 mm productos químicos explosivos</t>
  </si>
  <si>
    <t>0832A</t>
  </si>
  <si>
    <t>Adhesivo 300 mm productos químicos explosivos</t>
  </si>
  <si>
    <t>Adhesivo 100 mm productos químicos inflamables</t>
  </si>
  <si>
    <t>0833A</t>
  </si>
  <si>
    <t>Adhesivo 300 mm productos químicos inflamables</t>
  </si>
  <si>
    <t>Adhesivo 100 mm productos químicos comburentes</t>
  </si>
  <si>
    <t>0834A</t>
  </si>
  <si>
    <t>Adhesivo 300 mm productos químicos comburentes</t>
  </si>
  <si>
    <t>Adhesivo 100 mm productos químicos gas a presión</t>
  </si>
  <si>
    <t>0835A</t>
  </si>
  <si>
    <t>Adhesivo 300 mm productos químicos gas a presión</t>
  </si>
  <si>
    <t>Adhesivo 100 mm productos químicos toxicidad aguda</t>
  </si>
  <si>
    <t>0836A</t>
  </si>
  <si>
    <t>Adhesivo 300 mm productos químicos Toxicidad aguda</t>
  </si>
  <si>
    <t>Adhesivo 100 mm productos químicos corrosivos</t>
  </si>
  <si>
    <t>0837A</t>
  </si>
  <si>
    <t>Adhesivo 300 mm productos químicos corrosivos</t>
  </si>
  <si>
    <t>Adhesivo 100 mm productos químicos peligro grave para la</t>
  </si>
  <si>
    <t>0838A</t>
  </si>
  <si>
    <t>Adhesivo 300 mm productos químicos peligro grave para la</t>
  </si>
  <si>
    <t>Adhesivo 100 mm productos químicos peligro para la salud</t>
  </si>
  <si>
    <t>0839A</t>
  </si>
  <si>
    <t>Adhesivo 300 mm productos químicos peligro para la salud</t>
  </si>
  <si>
    <t>Adhesivo 100 mm productos químicos peligro para el medio</t>
  </si>
  <si>
    <t>0840A</t>
  </si>
  <si>
    <t>Adhesivo 300 mm productos químicos peligro para el medio</t>
  </si>
  <si>
    <t>Adhesivo información general aparcamiento 200x60 mm</t>
  </si>
  <si>
    <t>0841A</t>
  </si>
  <si>
    <t>Adhesivo información general aparcamiento 300x100 mm</t>
  </si>
  <si>
    <t>0841C</t>
  </si>
  <si>
    <t>Cartel PVC información general aparcamiento 300x100 mm</t>
  </si>
  <si>
    <t>Adhesivo información general aseos minusváldos 200x60 mm</t>
  </si>
  <si>
    <t>0842A</t>
  </si>
  <si>
    <t>Adhesivo información general aseos minusválidos 300x100</t>
  </si>
  <si>
    <t>0842C</t>
  </si>
  <si>
    <t>Cartel PVC información general aseos minusválidos 300x100</t>
  </si>
  <si>
    <t>Adhesivo información general aseos masculino 200x60 mm</t>
  </si>
  <si>
    <t>0843A</t>
  </si>
  <si>
    <t>Adhesivo información general aseos masculino 300x100 mm</t>
  </si>
  <si>
    <t>0843C</t>
  </si>
  <si>
    <t>Cartel PVC información general aseos masculino 300x100 mm</t>
  </si>
  <si>
    <t>Adhesivo información general aseos mixtos 200x60 mm</t>
  </si>
  <si>
    <t>0845A</t>
  </si>
  <si>
    <t>Adhesivo información general aseos mixtos 300x100 mm</t>
  </si>
  <si>
    <t>0845C</t>
  </si>
  <si>
    <t>Cartel PVC información general asos mixtos 300x100 mm</t>
  </si>
  <si>
    <t>Adhesivo información general aseos femenino 200x60 mm</t>
  </si>
  <si>
    <t>0846A</t>
  </si>
  <si>
    <t>Adhesivo información general aseos femeninio 300x100 mm</t>
  </si>
  <si>
    <t>0846C</t>
  </si>
  <si>
    <t>Cartel PVC informacion general Aseos femenino 300x100 mm</t>
  </si>
  <si>
    <t>Adhesivo información general vestuario mixto 200x60 mm</t>
  </si>
  <si>
    <t>0847A</t>
  </si>
  <si>
    <t>Adhesivo información general vestuario mixto 300x100 mm</t>
  </si>
  <si>
    <t>0847C</t>
  </si>
  <si>
    <t>Cartel PVC información general vestuarios mixtos 300x100 mm</t>
  </si>
  <si>
    <t>Adhesivo información general vestuario femenino 200x60 mm</t>
  </si>
  <si>
    <t>0848A</t>
  </si>
  <si>
    <t>Adhesivo información general vestuario femenino 300x100 mm</t>
  </si>
  <si>
    <t>0848C</t>
  </si>
  <si>
    <t>Cartel PVC información general vestuario femenino 300x100</t>
  </si>
  <si>
    <t>Adhesivo información general vestuario masculino 200x60 mm</t>
  </si>
  <si>
    <t>0849A</t>
  </si>
  <si>
    <t>Adhesivo información general vestuario masculino 300x100</t>
  </si>
  <si>
    <t>0849C</t>
  </si>
  <si>
    <t>Cartel PVC información general vestuario masculino 300x100</t>
  </si>
  <si>
    <t>Adhesivo información general información 200x60 mm</t>
  </si>
  <si>
    <t>0850A</t>
  </si>
  <si>
    <t>Adhesivo información general información 300x100 mm</t>
  </si>
  <si>
    <t>0850C</t>
  </si>
  <si>
    <t>Cartel PVC información general información 300x100 mm</t>
  </si>
  <si>
    <t>Adhesivo información general teléfono 200x60 mm</t>
  </si>
  <si>
    <t>0851A</t>
  </si>
  <si>
    <t>Adhesivo información general teléfono 300x100 mm</t>
  </si>
  <si>
    <t>0851C</t>
  </si>
  <si>
    <t>Cartel PVC información general teléfono 300x100 mm</t>
  </si>
  <si>
    <t>Adhesivo información general guardarropa 200x60 mm</t>
  </si>
  <si>
    <t>0852A</t>
  </si>
  <si>
    <t>Adhesivo información general guardarropa 300x100 mm</t>
  </si>
  <si>
    <t>0852C</t>
  </si>
  <si>
    <t>Cartel PVC información general Guardarropa 300x100 mm</t>
  </si>
  <si>
    <t>Adhesivo información general restaurante 200x60 mm</t>
  </si>
  <si>
    <t>0853A</t>
  </si>
  <si>
    <t>Adhesivo información general restaurante 300x100 mm</t>
  </si>
  <si>
    <t>0853C</t>
  </si>
  <si>
    <t>Cartel PVC información general restaurantes 300x100 mm</t>
  </si>
  <si>
    <t>Adhesivo información general cuarto limpieza 200x60 mm</t>
  </si>
  <si>
    <t>0854A</t>
  </si>
  <si>
    <t>Adhesivo información general cuarto limpieza 300x100 mm</t>
  </si>
  <si>
    <t>0854C</t>
  </si>
  <si>
    <t>Cartel PVC información general cuarto limpieza 300x100 mm</t>
  </si>
  <si>
    <t>Adhesivo información general almacen 200x60 mm</t>
  </si>
  <si>
    <t>0855A</t>
  </si>
  <si>
    <t>Adhesivo información general almacen 300x100 mm</t>
  </si>
  <si>
    <t>0855C</t>
  </si>
  <si>
    <t>Cartel PVC información general almacén 300x100 mm</t>
  </si>
  <si>
    <t>Adhesivo información general oficina 200x60 mm</t>
  </si>
  <si>
    <t>0856A</t>
  </si>
  <si>
    <t>Adhesivo información general oficina 300x100 mm</t>
  </si>
  <si>
    <t>0856C</t>
  </si>
  <si>
    <t>Cartel PVC información general oficina 300x100 mm</t>
  </si>
  <si>
    <t>Adhesivo información general entrada 200x60mm</t>
  </si>
  <si>
    <t>0857A</t>
  </si>
  <si>
    <t>Adhesivo información general entrada 300x100mm</t>
  </si>
  <si>
    <t>0857C</t>
  </si>
  <si>
    <t>Cartel PVC información general entrada 300x100 mm</t>
  </si>
  <si>
    <t>Adhesivo información general cierre la puerta 200x60 mm</t>
  </si>
  <si>
    <t>0858A</t>
  </si>
  <si>
    <t>Adhesivo información general cierre la puerta 300x100 mm</t>
  </si>
  <si>
    <t>0858C</t>
  </si>
  <si>
    <t>Cartel PVC información general cierre la puerta 300x100 mm</t>
  </si>
  <si>
    <t>Adhesivo información general empujar 200x60 mm</t>
  </si>
  <si>
    <t>0859A</t>
  </si>
  <si>
    <t>Adhesivo información general empujar 300x100 mm</t>
  </si>
  <si>
    <t>0859C</t>
  </si>
  <si>
    <t>Cartel PVC información general empujar 300x100 mm</t>
  </si>
  <si>
    <t>Adhesivo información general tirar 200x60 mm</t>
  </si>
  <si>
    <t>0860A</t>
  </si>
  <si>
    <t>Adhesivo información general tirar 300x100 mm</t>
  </si>
  <si>
    <t>0860C</t>
  </si>
  <si>
    <t>Cartel PVC información general tirar 300x100 mm</t>
  </si>
  <si>
    <t>Cartel PVC 40x30 reciclado vidrio</t>
  </si>
  <si>
    <t>0861A</t>
  </si>
  <si>
    <t>Adhesivo PVC 21x29 reciclado vidrio</t>
  </si>
  <si>
    <t>0861P</t>
  </si>
  <si>
    <t>Cartel PVC 21x29 reciclado vidrio</t>
  </si>
  <si>
    <t>Cartel PVC 40x30 reciclado plástico</t>
  </si>
  <si>
    <t>0862A</t>
  </si>
  <si>
    <t>Adhesivo PVC 21x29 reciclado plástico</t>
  </si>
  <si>
    <t>0862P</t>
  </si>
  <si>
    <t>Cartel PVC 21x29 reciclado plástico</t>
  </si>
  <si>
    <t>Cartel PVC 40x30 reciclado metal</t>
  </si>
  <si>
    <t>0863A</t>
  </si>
  <si>
    <t>Adhesivo PVC 21x29 reciclado metal</t>
  </si>
  <si>
    <t>0863P</t>
  </si>
  <si>
    <t>Cartel PVC 21x29 reciclado metal</t>
  </si>
  <si>
    <t>Cartel PVC 40x30 reciclado madera</t>
  </si>
  <si>
    <t>0864A</t>
  </si>
  <si>
    <t>Adhesivo PVC 21x29 reciclado madera</t>
  </si>
  <si>
    <t>0864P</t>
  </si>
  <si>
    <t>Cartel PVC 21x29 reciclado madera</t>
  </si>
  <si>
    <t>Cartel PVC 40x30 reciclado aluminio</t>
  </si>
  <si>
    <t>0865A</t>
  </si>
  <si>
    <t>Adhesivo PVC 21x29 reciclado aluminio</t>
  </si>
  <si>
    <t>0865P</t>
  </si>
  <si>
    <t>Cartel PVC 21x29 reciclado aluminio</t>
  </si>
  <si>
    <t>Cartel PVC 40x30 reciclado papel</t>
  </si>
  <si>
    <t>0866A</t>
  </si>
  <si>
    <t>Adhesivo PVC 21x29 reciclado papel</t>
  </si>
  <si>
    <t>0866P</t>
  </si>
  <si>
    <t>Cartel PVC 21x29 reciclado papel</t>
  </si>
  <si>
    <t>Cartel PVC 40x30 reciclado envases</t>
  </si>
  <si>
    <t>0867A</t>
  </si>
  <si>
    <t>Adhesivo PVC 21x29 reciclado envases</t>
  </si>
  <si>
    <t>0867P</t>
  </si>
  <si>
    <t>Cartel PVC 21x29 reciclado envases</t>
  </si>
  <si>
    <t>Cartel PVC 40x30 reciclado latas</t>
  </si>
  <si>
    <t>0868A</t>
  </si>
  <si>
    <t>Adhesivo PVC 21x29 reciclado latas</t>
  </si>
  <si>
    <t>0868P</t>
  </si>
  <si>
    <t>Cartel PVC 21x29 reciclado latas</t>
  </si>
  <si>
    <t>Cartel PVC 40x30 reciclado chatarra</t>
  </si>
  <si>
    <t>0869A</t>
  </si>
  <si>
    <t>Adhesivo PVC 21x29 reciclado chatarra</t>
  </si>
  <si>
    <t>0869P</t>
  </si>
  <si>
    <t>Cartel PVC 21x29 reciclado chatarra</t>
  </si>
  <si>
    <t>Cartel PVC 40x30 reciclado basura</t>
  </si>
  <si>
    <t>0870A</t>
  </si>
  <si>
    <t>Adhesivo PVC 21x29 reciclado basura</t>
  </si>
  <si>
    <t>0870P</t>
  </si>
  <si>
    <t>Cartel PVC 21x29 reciclado basura</t>
  </si>
  <si>
    <t>Cartel PVC 40x30 cm zona controlada, riesgo de irradiación</t>
  </si>
  <si>
    <t>0871A</t>
  </si>
  <si>
    <t>Adhesivo PVC 21x29 cm zona controlada, riesgo de irradiación</t>
  </si>
  <si>
    <t>0871P</t>
  </si>
  <si>
    <t>Cartel PVC 21x29 cm zona controlada, riesgo de irradiación</t>
  </si>
  <si>
    <t>Cartel PVC 40x30 cm zona controlada, riesgo de</t>
  </si>
  <si>
    <t>0872A</t>
  </si>
  <si>
    <t>Adhesivo PVC 21x29 cm zona controlada, riesgo de</t>
  </si>
  <si>
    <t>0872P</t>
  </si>
  <si>
    <t>Cartel PVC 21x29 cm zona controlada, riesgo de</t>
  </si>
  <si>
    <t>Cartel PVC 40x30 cm zona controlada, riesgo de cont. e irrad.</t>
  </si>
  <si>
    <t>0873A</t>
  </si>
  <si>
    <t>Adhesivo PVC 21x29 cm zona controlada, riesgo de cont. e</t>
  </si>
  <si>
    <t>0873P</t>
  </si>
  <si>
    <t>zona controlada, riesgo de cont. e irrad.</t>
  </si>
  <si>
    <t>Cartel PVC 40x30 cm zona perm. limitada, riesgo de</t>
  </si>
  <si>
    <t>0874A</t>
  </si>
  <si>
    <t>Adhesivo PVC 21x29 cm zona zona perm. limitada, riesgo de</t>
  </si>
  <si>
    <t>0874P</t>
  </si>
  <si>
    <t>Cartel PVC 21x29 cm zona perm. limitada, riesgo de</t>
  </si>
  <si>
    <t>0875A</t>
  </si>
  <si>
    <t>0875P</t>
  </si>
  <si>
    <t>Cartel PVC 40x30 cm zona perm. limitada, riesgo de cont. e</t>
  </si>
  <si>
    <t>0876A</t>
  </si>
  <si>
    <t>Adhesivo PVC 21x29 cm zona zona perm. limitada, riesgo cont.</t>
  </si>
  <si>
    <t>0876P</t>
  </si>
  <si>
    <t>Cartel PVC 21x29 cm zona perm. limitada, riesgo de cont. e</t>
  </si>
  <si>
    <t>Cartel PVC 40x30 cm zona acceso prohibido, riesgo de</t>
  </si>
  <si>
    <t>0877A</t>
  </si>
  <si>
    <t>Adhesivo PVC 21x29 cm zona acceso prohibido, riesgo de</t>
  </si>
  <si>
    <t>0877P</t>
  </si>
  <si>
    <t>Cartel PVC 21x29 cm zona acceso prohibido, riesgo de</t>
  </si>
  <si>
    <t>0878A</t>
  </si>
  <si>
    <t>0878P</t>
  </si>
  <si>
    <t>Cartel PVC 40x30 cm zona acceso prohibido, riesgo de cont. e</t>
  </si>
  <si>
    <t>0879A</t>
  </si>
  <si>
    <t>0879P</t>
  </si>
  <si>
    <t>Cartel PVC 21x29 cm zona acceso prohibido, riesgo de cont. e</t>
  </si>
  <si>
    <t>Cartel PVC 40x30 cm zona vigilada, riesgo de irradiación</t>
  </si>
  <si>
    <t>0880A</t>
  </si>
  <si>
    <t>Adhesivo PVC 21x29 cm zona vigilada, riesgo de irradiación</t>
  </si>
  <si>
    <t>0880P</t>
  </si>
  <si>
    <t>Cartel PVC 21x29 cm zona vigilada, riesgo de irradiación</t>
  </si>
  <si>
    <t>Cartel PVC 40x30 cm zona vigilada, riesgo de contaminación</t>
  </si>
  <si>
    <t>0881A</t>
  </si>
  <si>
    <t>Adhesivo PVC 21x29 cm zona vigilada, riesgo de</t>
  </si>
  <si>
    <t>0881P</t>
  </si>
  <si>
    <t>Cartel PVC 21x29 cm zona vigilada, riesgo de contaminación</t>
  </si>
  <si>
    <t>Cartel PVC 40x30 cm zona vigilada, riesgo de cont. e irrad.</t>
  </si>
  <si>
    <t>0882A</t>
  </si>
  <si>
    <t>Adhesivo PVC 21x29 cm zona vigilada, riesgo de cont. e irrad.</t>
  </si>
  <si>
    <t>0882P</t>
  </si>
  <si>
    <t>Cartel PVC 21x29 cm zona vigilada, riesgo de cont. e irrad.</t>
  </si>
  <si>
    <t>Adhesivo PVC Grupo 0 Oxígeno 100x25 mm</t>
  </si>
  <si>
    <t>0883A</t>
  </si>
  <si>
    <t>Adhesivo PVC Grupo 0 Oxígeno 200x50 mm</t>
  </si>
  <si>
    <t>0883B</t>
  </si>
  <si>
    <t>Adhesivo PVC Grupo 0 Oxígeno 400x100 mm</t>
  </si>
  <si>
    <t>Adhesivo PVC Grupo 1 Agua 100x25 mm (todas las variantes)</t>
  </si>
  <si>
    <t>0884A</t>
  </si>
  <si>
    <t>Adhesivo PVC Grupo 1 Agua 200x50 mm (todas las variantes)</t>
  </si>
  <si>
    <t>0884B</t>
  </si>
  <si>
    <t>Adhesivo PVC Grupo 1 Agua 400x100 mm (todas las</t>
  </si>
  <si>
    <t>Adhesivo PVC Grupo 2 Vapor de agua 100x25 mm (todas las</t>
  </si>
  <si>
    <t>0885A</t>
  </si>
  <si>
    <t>Adhesivo PVC Grupo 2 Vapor de agua 200x50 mm (todas las</t>
  </si>
  <si>
    <t>0885B</t>
  </si>
  <si>
    <t>Adhesivo PVC Grupo 2 Vapor de agua 400x100 mm (todas las</t>
  </si>
  <si>
    <t>Adhesivo PVC Grupo 3 Aire 100x25 mm (todas las variantes)</t>
  </si>
  <si>
    <t>0886A</t>
  </si>
  <si>
    <t>Adhesivo PVC Grupo 3 Aire 200x50 mm (todas las variantes)</t>
  </si>
  <si>
    <t>0886B</t>
  </si>
  <si>
    <t>Adhesivo PVC Grupo 3 Aire 400x100 mm (todas las variantes)</t>
  </si>
  <si>
    <t>Adhesivo PVC Grupo 4 Gases combustibles 100x25 mm (todas</t>
  </si>
  <si>
    <t>0887A</t>
  </si>
  <si>
    <t>Adhesivo PVC Grupo 4 Gases combustibles 200x50 mm (todas</t>
  </si>
  <si>
    <t>0887B</t>
  </si>
  <si>
    <t>Adhesivo PVC Grupo 4 Gases combustibles 400x100 mm</t>
  </si>
  <si>
    <t>Adhesivo PVC Grupo 4 Gases combustibles 100x25 mm B</t>
  </si>
  <si>
    <t>0888A</t>
  </si>
  <si>
    <t>Adhesivo PVC Grupo 4 Gases combustibles 200x50 mm</t>
  </si>
  <si>
    <t>0888B</t>
  </si>
  <si>
    <t>Adhesivo PVC Grupo 5 Gases no combustibles 100x25 mm</t>
  </si>
  <si>
    <t>0889A</t>
  </si>
  <si>
    <t>Adhesivo PVC Grupo 5 Gases no combustibles 200x50 mm</t>
  </si>
  <si>
    <t>0889B</t>
  </si>
  <si>
    <t>Adhesivo PVC Grupo 5 Gases no combustibles 400x100 mm</t>
  </si>
  <si>
    <t>0890A</t>
  </si>
  <si>
    <t>0890B</t>
  </si>
  <si>
    <t>Adhesivo PVC Grupo 6 Ácidos 100x25 mm (todas las</t>
  </si>
  <si>
    <t>0891A</t>
  </si>
  <si>
    <t>Adhesivo PVC Grupo 6 Ácidos 200x50 mm (todas las</t>
  </si>
  <si>
    <t>0891B</t>
  </si>
  <si>
    <t>Adhesivo PVC Grupo 6 Ácidos 400x100 mm (todas las</t>
  </si>
  <si>
    <t>Adhesivo PVC Grupo 7 Lejías 100x25 mm (todas las variantes)</t>
  </si>
  <si>
    <t>0892A</t>
  </si>
  <si>
    <t>Adhesivo PVC Grupo 7 Lejías 200x50 mm (todas las</t>
  </si>
  <si>
    <t>0892B</t>
  </si>
  <si>
    <t>Adhesivo PVC Grupo 7 Lejías 400x100 mm (todas las</t>
  </si>
  <si>
    <t>Adhesivo PVC Grupo 8 Líquidos combustibles 100x25 mm</t>
  </si>
  <si>
    <t>0893A</t>
  </si>
  <si>
    <t>Adhesivo PVC Grupo 8 Líquidos combustibles 200x50 mm</t>
  </si>
  <si>
    <t>0893B</t>
  </si>
  <si>
    <t>Adhesivo PVC Grupo 8 Líquidos combustibles 400x100 mm</t>
  </si>
  <si>
    <t>Adhesivo PVC Grupo 8 Líquidos combustibles 100x25 mm B</t>
  </si>
  <si>
    <t>0894A</t>
  </si>
  <si>
    <t>Adhesivo PVC Grupo 8 Líquidos combustibles 200x50 mm B</t>
  </si>
  <si>
    <t>0894B</t>
  </si>
  <si>
    <t>Adhesivo PVC Grupo 9 Líquidos no combustibles 100x25 mm</t>
  </si>
  <si>
    <t>0895A</t>
  </si>
  <si>
    <t>Adhesivo PVC Grupo 9 Líquidos no combustibles 200x50 mm</t>
  </si>
  <si>
    <t>0895B</t>
  </si>
  <si>
    <t>Adhesivo PVC Grupo 9 Líquidos no combustibles 400x100 mm</t>
  </si>
  <si>
    <t>0896A</t>
  </si>
  <si>
    <t>0896B</t>
  </si>
  <si>
    <t>1028/A/BAT</t>
  </si>
  <si>
    <t>Baliza Powerflare azul c/cargador a 220v y 12 v</t>
  </si>
  <si>
    <t>1028/AZUL</t>
  </si>
  <si>
    <t>Baliza powerflare azul ( repuesto )</t>
  </si>
  <si>
    <t>1028/N/BAT</t>
  </si>
  <si>
    <t>Baliza Powerflare naranja c/cargador a 220v y 12 v</t>
  </si>
  <si>
    <t>1028/NARANJA</t>
  </si>
  <si>
    <t>Baliza powerflare naranja ( repuesto )</t>
  </si>
  <si>
    <t>Maletín 6 uds baliza NARANJA led powerflare con cargador</t>
  </si>
  <si>
    <t>1029A</t>
  </si>
  <si>
    <t>Maletín 6 uds baliza AMARILLO led powerflare con cargador</t>
  </si>
  <si>
    <t>1029Z</t>
  </si>
  <si>
    <t>Maletín 6 uds baliza AZUL led powerflare con cargador</t>
  </si>
  <si>
    <t>Baliza LED azul intermitente</t>
  </si>
  <si>
    <t>Baliza Señalizacion intermitente para 1 bateria</t>
  </si>
  <si>
    <t>Baliza Señalización Plus intermitente 2 baterías</t>
  </si>
  <si>
    <t>1033/B</t>
  </si>
  <si>
    <t>Baliza Señalizacion Basic intermitente 2 baterias</t>
  </si>
  <si>
    <t>1033E</t>
  </si>
  <si>
    <t>Baliza intermitente Euroflash naranja</t>
  </si>
  <si>
    <t>1033V</t>
  </si>
  <si>
    <t>Baliza Señalización Plus intermitente 2 baterías VERDE</t>
  </si>
  <si>
    <t>Bateria baliza 6V 4R25 7 Ah. Alta Capacidad</t>
  </si>
  <si>
    <t>1034G</t>
  </si>
  <si>
    <t>Bateria baliza 6v 25 Ah</t>
  </si>
  <si>
    <t>Baliza Señalizacion flash-Led doble cara</t>
  </si>
  <si>
    <t>Baliza Señalización luz roja VEGA</t>
  </si>
  <si>
    <t>Baliza Señalizacion solar</t>
  </si>
  <si>
    <t>1122B</t>
  </si>
  <si>
    <t>Barrera mediana HOG600 Blanca 560x1130x400 mm</t>
  </si>
  <si>
    <t>1122R</t>
  </si>
  <si>
    <t>Barrera mediana HOG600 Roja 560x1130x400 mm</t>
  </si>
  <si>
    <t>Mts. Cadena plástico 10 m/m R/B</t>
  </si>
  <si>
    <t>Mts. Cadena plástico 10 m/m N/A</t>
  </si>
  <si>
    <t>Poste señaliz. 1 m Rojo/Blanco p/cadena plastica</t>
  </si>
  <si>
    <t>1125AN</t>
  </si>
  <si>
    <t>Poste señaliz. 1 m Amarillo/negro p/cadena plastica</t>
  </si>
  <si>
    <t>1125BZ</t>
  </si>
  <si>
    <t>Poste señaliz. 1 m Azul/Blanco p/cadena plastica</t>
  </si>
  <si>
    <t>1125VB</t>
  </si>
  <si>
    <t>Poste señaliz. 1 m Verde/Blanco p/cadena plastica</t>
  </si>
  <si>
    <t>Mts. Cadena Plástico 5.5 m/m R/B</t>
  </si>
  <si>
    <t>1126B</t>
  </si>
  <si>
    <t>Mts. cadena Plástico 5.5 mm Blanca</t>
  </si>
  <si>
    <t>1126BZ</t>
  </si>
  <si>
    <t>Mts. Cadena Plástico 5.5 m/m B/Z</t>
  </si>
  <si>
    <t>1126M3</t>
  </si>
  <si>
    <t>Rollo 165 m cadena metálica señalización cincada 3 mm</t>
  </si>
  <si>
    <t>1126M6</t>
  </si>
  <si>
    <t>Rollo 38 m cadena metálica señalización cincada 6 mm</t>
  </si>
  <si>
    <t>1126M8</t>
  </si>
  <si>
    <t>Rollo 21 m cadena metálica señalización cincada 8 mm</t>
  </si>
  <si>
    <t>1126MNA</t>
  </si>
  <si>
    <t>Rollo 25 m cadena metálica Señalización pintada</t>
  </si>
  <si>
    <t>1126MRB</t>
  </si>
  <si>
    <t>1126V</t>
  </si>
  <si>
    <t>Mts. Cadena Plástico 5.5 mm Verde</t>
  </si>
  <si>
    <t>1126VB</t>
  </si>
  <si>
    <t>Mts. Cadena Plástico 5.5 mm V/B</t>
  </si>
  <si>
    <t>Mts. Cadena plastico 7.5 mm R/B</t>
  </si>
  <si>
    <t>1127B</t>
  </si>
  <si>
    <t>Mts. cadena Plástico 7.5 mm Blanca</t>
  </si>
  <si>
    <t>1127BZ</t>
  </si>
  <si>
    <t>Mts. Cadena Plástico 7.5 mm B/Z</t>
  </si>
  <si>
    <t>1127V</t>
  </si>
  <si>
    <t>Mts. cadena Plástico 7.5 mm Verde</t>
  </si>
  <si>
    <t>1127VB</t>
  </si>
  <si>
    <t>Mts. Cadena Plástico 7.5 mm V/B</t>
  </si>
  <si>
    <t>Mts. Cadena plastico 5.5mm N/A</t>
  </si>
  <si>
    <t>Mts. Cadena plastico 7.5 mm N/A</t>
  </si>
  <si>
    <t>Poste plata con cinturón retráctil rojo 2 m</t>
  </si>
  <si>
    <t>11325M</t>
  </si>
  <si>
    <t>Poste plata con cinturón retráctil rojo 5 m</t>
  </si>
  <si>
    <t>1132A</t>
  </si>
  <si>
    <t>Poste plata con cinturón retráctil azul 2 m</t>
  </si>
  <si>
    <t>1132A5M</t>
  </si>
  <si>
    <t>Poste plata con cinturón retráctil azul 5 m</t>
  </si>
  <si>
    <t>1132N</t>
  </si>
  <si>
    <t>Poste plata con cinturón retráctil negro 2 m</t>
  </si>
  <si>
    <t>1132N5M</t>
  </si>
  <si>
    <t>Poste plata con cinturón retráctil negro 5 m</t>
  </si>
  <si>
    <t>Cinturón Retráctil Pared rojo 2 m</t>
  </si>
  <si>
    <t>11335M</t>
  </si>
  <si>
    <t>Cinturón Retráctil Pared rojo 5 m</t>
  </si>
  <si>
    <t>1133A</t>
  </si>
  <si>
    <t>Enganche pared para cinturón retráctil</t>
  </si>
  <si>
    <t>1133A5M</t>
  </si>
  <si>
    <t>Cinturón Retráctil Pared azul 5 m</t>
  </si>
  <si>
    <t>1133N</t>
  </si>
  <si>
    <t>Cinturón Retráctil Pared negro 2m</t>
  </si>
  <si>
    <t>1133N5M</t>
  </si>
  <si>
    <t>Cinturón Retráctil Pared negro 5 m</t>
  </si>
  <si>
    <t>Poste Negro con cinturón retráctil rojo 2 m</t>
  </si>
  <si>
    <t>1134A</t>
  </si>
  <si>
    <t>Poste Negro con cinturón retráctil azul 2 m</t>
  </si>
  <si>
    <t>1134N</t>
  </si>
  <si>
    <t>Poste negro con cinturón retráctil negro 2 m</t>
  </si>
  <si>
    <t>1134NA</t>
  </si>
  <si>
    <t>Poste negro con cinturón retráctil negro/amarillo 5 m</t>
  </si>
  <si>
    <t>1134RB</t>
  </si>
  <si>
    <t>Poste negro con cinturón retráctil rojo/blanco 5 m</t>
  </si>
  <si>
    <t>Cinturón retractil pared azul 2 m</t>
  </si>
  <si>
    <t>Poste R/B para cadena con base hexagonal pesada</t>
  </si>
  <si>
    <t>Poste señaliz. R/B p/cadena plastica base caucho 3 kg</t>
  </si>
  <si>
    <t>Poste señaliz. N/A p/cadena plastica base caucho 3 kg</t>
  </si>
  <si>
    <t>Cinta Creppe 48 mm x 45 m</t>
  </si>
  <si>
    <t>Cinta Creppe Azul 48 mm x 45 m</t>
  </si>
  <si>
    <t>Cinta Creppe Exteriores Azul 48 mm x 45 m</t>
  </si>
  <si>
    <t>Cinta Aluminio 30 my 50 mm x 10 m</t>
  </si>
  <si>
    <t>Cinta Aluminio 30 my 50 mm x 45 m</t>
  </si>
  <si>
    <t>Rollo cinta marcaje temporal Amarilla 3M 75 m x 12 cm</t>
  </si>
  <si>
    <t>Rollo cinta enmascarar Negra 3M 109 m x 15 cm</t>
  </si>
  <si>
    <t>Rollo cinta antidelizante luminiscente 2,5 cm x 18,30 mt</t>
  </si>
  <si>
    <t>Rollo Cinta 10cm x 200 m bomberos Roja/blanca</t>
  </si>
  <si>
    <t>Rollo cinta antideslizante negra 5cm x 18 mt</t>
  </si>
  <si>
    <t>Rollo cinta antideslizante N/A 5 cm x 18 mt</t>
  </si>
  <si>
    <t>Rollo cinta antideslizante R/B 5 cm x 18 mt</t>
  </si>
  <si>
    <t>Rollo cinta Blanca 55mm x50 metros DG983-10 ECE 104</t>
  </si>
  <si>
    <t>1547F</t>
  </si>
  <si>
    <t>Rollo cinta Blanca 51mm x50 metros DG997-10S</t>
  </si>
  <si>
    <t>Rollo cinta Rojo 55mm x50metros DG983-72 ECE 1R/CTN</t>
  </si>
  <si>
    <t>1548F</t>
  </si>
  <si>
    <t>Rollo cinta Rojo 51mmx 50 metros DG997-72S</t>
  </si>
  <si>
    <t>Rollo cinta amarilla 55MM x50metros DG983-71 ECE 104</t>
  </si>
  <si>
    <t>1549F</t>
  </si>
  <si>
    <t>Rollo cinta Amarilla 51mm x50 metros DG997-71S</t>
  </si>
  <si>
    <t>Rollo cinta reflectante adhesiva blanca 5 cm x 46 metros</t>
  </si>
  <si>
    <t>Rollo (2 unid izq-dcha)señal. vehiculos V-2 9 mtros x 14,1 cm</t>
  </si>
  <si>
    <t>Rollo cinta luminiscente adhesiva 5 cm x 25 metros</t>
  </si>
  <si>
    <t>Rollo cinta reflectante adhesiva R/B 5 cm x 45 metros</t>
  </si>
  <si>
    <t>Rollo cinta reflectante adhesiva N/A 5 cm x 45 metros</t>
  </si>
  <si>
    <t>Rollo Cinta 10 cm reflectante adhesiva R/B 45 metros</t>
  </si>
  <si>
    <t>Rollo cinta 10 cm reflectante adhesiva N/A 45 metros</t>
  </si>
  <si>
    <t>1559A</t>
  </si>
  <si>
    <t>Rollo Cinta Adhesiva personalizada 1 color 5cm x132 mts</t>
  </si>
  <si>
    <t>1559B</t>
  </si>
  <si>
    <t>Rollo Cinta Adhesiva personalizada 2 colores 5cm x132 mts</t>
  </si>
  <si>
    <t>1559C</t>
  </si>
  <si>
    <t>Rollo Cinta Adhesiva personalizada 3 colores 5cm x132 mts</t>
  </si>
  <si>
    <t>1561A</t>
  </si>
  <si>
    <t>Cinta adhesiva 50 mm x 132 m Amarillo</t>
  </si>
  <si>
    <t>1561B</t>
  </si>
  <si>
    <t>Cinta adhesiva 50 mm x 132 m Blanco</t>
  </si>
  <si>
    <t>1561N</t>
  </si>
  <si>
    <t>Cinta adhesiva 50 mm x 132 m Negro</t>
  </si>
  <si>
    <t>1561R</t>
  </si>
  <si>
    <t>Cinta adhesiva 50 mm x 132 m Rojo</t>
  </si>
  <si>
    <t>1561V</t>
  </si>
  <si>
    <t>Cinta adhesiva 50 mm x 132 m Verde</t>
  </si>
  <si>
    <t>1561Z</t>
  </si>
  <si>
    <t>Cinta adhesiva 50 mm x 132 m Azul</t>
  </si>
  <si>
    <t>Rollo Cinta Señal. N/A 10cm x 200m. G300 2 caras</t>
  </si>
  <si>
    <t>Rollo Cinta Adhesiva N/A 5cm x132 mts</t>
  </si>
  <si>
    <t>Rollo Cinta Adhesiva B/R 5cm x132 mts</t>
  </si>
  <si>
    <t>Rollo cinta Señal. R/B 10cm X 200m. plata</t>
  </si>
  <si>
    <t>Rollo cinta Señal. R/B10cmx200m. c/caja G400</t>
  </si>
  <si>
    <t>Rollo cinta R/B 10cm x 200m. G400</t>
  </si>
  <si>
    <t>Rollo cinta Señal. R/B 7cm x 200m. c/caja</t>
  </si>
  <si>
    <t>Rollo cinta R/B 10cm x 200m. c/caja G300</t>
  </si>
  <si>
    <t>Rollo cinta Señal.R-B 10cm x 200m. G300 2 caras</t>
  </si>
  <si>
    <t>1570V</t>
  </si>
  <si>
    <t>Rollo cinta Señal.V/B 10cm x 200 m G300 2 caras</t>
  </si>
  <si>
    <t>1570Z</t>
  </si>
  <si>
    <t>Rollo cinta Señal. B/A 10 cm x 200m. G300 2 caras</t>
  </si>
  <si>
    <t>Rollo cinta Señal. 7cm x 200m. s/caja</t>
  </si>
  <si>
    <t>Rollo cinta Señal. 15cm x 200m. TELECOMUNICACIONES</t>
  </si>
  <si>
    <t>1572M</t>
  </si>
  <si>
    <t>Malla verde señalización telecomunicaciones 33 cm x 200 m</t>
  </si>
  <si>
    <t>Rollo cinta Señal. 15cm x 200m. AGUA</t>
  </si>
  <si>
    <t>1573M</t>
  </si>
  <si>
    <t>Malla azul señalización agua 33 cm x 200 m</t>
  </si>
  <si>
    <t>Rollo cinta Señal. 15cm x 200m. GAS</t>
  </si>
  <si>
    <t>1574M</t>
  </si>
  <si>
    <t>Malla amarilla señalización gas 33 cm x 200 m</t>
  </si>
  <si>
    <t>Rollo cinta Señal. 15cm x 200m. ELECTRI</t>
  </si>
  <si>
    <t>1575M</t>
  </si>
  <si>
    <t>Malla roja señalización electricidad 33 cm x 200 m</t>
  </si>
  <si>
    <t>1575P</t>
  </si>
  <si>
    <t>Placa señalización eléctrica 1000x250x2.5</t>
  </si>
  <si>
    <t>Rollo cinta Señal. 10cm x 200m. POLICIA</t>
  </si>
  <si>
    <t>Rollo cinta adhesiva amarilla suelo marcacion temporal</t>
  </si>
  <si>
    <t>1577K</t>
  </si>
  <si>
    <t>Rollo cinta adhesiva negra suelo marcacion temporal</t>
  </si>
  <si>
    <t>1577W</t>
  </si>
  <si>
    <t>Rollo cinta adhesiva blanca suelo marcacion temporal</t>
  </si>
  <si>
    <t>Rollo cinta Señal.N/A 10cm x200m c/caja G400</t>
  </si>
  <si>
    <t>Rollo cinta Señal. N/A 10cm. x 200m. G400</t>
  </si>
  <si>
    <t>Mts. Banderola Quitamiedos c/reflec</t>
  </si>
  <si>
    <t>Mts. Banderola Quitamiedos s/reflectante</t>
  </si>
  <si>
    <t>Rollos cinta Señal. 10cm x 200m. PROTECCION CIVIL</t>
  </si>
  <si>
    <t>Rollo cinta Señal.N/A 10cm x 200m. G300 AMIANTO</t>
  </si>
  <si>
    <t>Rollo cinta Señal. 10cm x 200m. NARANJA</t>
  </si>
  <si>
    <t>Rollo cinta Señal. 10cm x 200m. VERDE</t>
  </si>
  <si>
    <t>Rollo cinta Señal. 10cm x 200m. AZUL</t>
  </si>
  <si>
    <t>Rollo cinta Señal. 10cm x 200m. AMARILLO</t>
  </si>
  <si>
    <t>Vinilo adhesivo suelo ESPERE SU TURNO 40 cm</t>
  </si>
  <si>
    <t>Vinilo adhesivo suelo Paso oblig. carretillas 40 cm</t>
  </si>
  <si>
    <t>Vinilo adhesivo suelo Peligro Paso de carretilla 40 cm</t>
  </si>
  <si>
    <t>Vinilo adhesivo suelo Peligro suelo Resbaladizo 40 cm</t>
  </si>
  <si>
    <t>Rollo Cinta 15 cm x 200 m Aguas residuales</t>
  </si>
  <si>
    <t>Camisa reflec. N.2 cono 50 cm OXFORD</t>
  </si>
  <si>
    <t>Camisa reflec. N.2 cono 75 cm OXFORD</t>
  </si>
  <si>
    <t>1604AN</t>
  </si>
  <si>
    <t>Barra señaliz. Negra/Amarilla extensible para cono</t>
  </si>
  <si>
    <t>1604RB</t>
  </si>
  <si>
    <t>Barra señaliz. Roja/Blanca extensible para cono</t>
  </si>
  <si>
    <t>Juego huellas adhesivas 27x10 cm pisable verde</t>
  </si>
  <si>
    <t>Juego huellas adhesivas 27x10 cm pisable rojo</t>
  </si>
  <si>
    <t>Juego huellas adhesivas 27z10 cm pisable negro</t>
  </si>
  <si>
    <t>Juego 2 Flechas adhesivas 29x8 pisable Verde</t>
  </si>
  <si>
    <t>Juego2 Flechas adhesivas 29x8 pisable Rojo</t>
  </si>
  <si>
    <t>Adhesivo 21x29 Uso desinfectante</t>
  </si>
  <si>
    <t>Cartel PVC 21x29 cm USO DESINFECTANTE</t>
  </si>
  <si>
    <t>Juego huellas adhesivas suelo 27x10 cm Amarillo</t>
  </si>
  <si>
    <t>Juego huellas adhesivas suelo 27x10 cm Basic</t>
  </si>
  <si>
    <t>Kit Adhesivos flechas y tiras suelo</t>
  </si>
  <si>
    <t>Cinta antideslizante N/A DISTANCIA SEGURIDAD 10x100 cm</t>
  </si>
  <si>
    <t>Cinta antideslizante Blanca ESPERE SU TURNO 10x100 cm</t>
  </si>
  <si>
    <t>Cono plegable Reflect 55cm</t>
  </si>
  <si>
    <t>Cone extender</t>
  </si>
  <si>
    <t>Cono Señal. 50 cm Amarillo No Aparcar</t>
  </si>
  <si>
    <t>Tetrapodo 50 cm de señalizacion</t>
  </si>
  <si>
    <t>Cono Señalizacion 32 cm. Flurescent</t>
  </si>
  <si>
    <t>Cono Señaliz. 50 cm fluor.bandas reflectantes</t>
  </si>
  <si>
    <t>1636AZUL</t>
  </si>
  <si>
    <t>Cono Señaliz. 50 cm Azul bandas reflectantes</t>
  </si>
  <si>
    <t>Cono señaliz. 50 cm camisas réflex pvc Blando Bicolor</t>
  </si>
  <si>
    <t>Cono Señaliz. 50 cm. camisa reflec.2 P. CVT</t>
  </si>
  <si>
    <t>Cono Señaliz.75 cm. camisa reflec.2p. CVT Plus</t>
  </si>
  <si>
    <t>1640B</t>
  </si>
  <si>
    <t>Cono Señaizl. 75 cm.camisa reflect.2p. CVT Basic</t>
  </si>
  <si>
    <t>Cono Señaliz. 100 cm camisa reflec.2 P.MELBA</t>
  </si>
  <si>
    <t>Cono 80cm PVC blando Reflect. MOD B</t>
  </si>
  <si>
    <t>1646A</t>
  </si>
  <si>
    <t>Cono 80 cm PVC blando Reflect. Mod B AMARILLO</t>
  </si>
  <si>
    <t>1646V</t>
  </si>
  <si>
    <t>Cono 80 cm PVC blando Reflect. Mod B VERDE</t>
  </si>
  <si>
    <t>1646Z</t>
  </si>
  <si>
    <t>Cono 80 cm PVC blando Reflect. Mod B AZUL</t>
  </si>
  <si>
    <t>Cono 54cm PVC blando Reflect. MOD B</t>
  </si>
  <si>
    <t>1647A</t>
  </si>
  <si>
    <t>Cono 54 cm PVC blando Reflect. Mod B AMARILLO</t>
  </si>
  <si>
    <t>1647RO</t>
  </si>
  <si>
    <t>Cono 54 cm PVC blando Reflect. Mod B ROSA</t>
  </si>
  <si>
    <t>1647V</t>
  </si>
  <si>
    <t>Cono 54 cm PVC blando Reflect. Mod B VERDE</t>
  </si>
  <si>
    <t>1647Z</t>
  </si>
  <si>
    <t>Cono 54 cm PVC blando Reflect. Mod B AZUL</t>
  </si>
  <si>
    <t>Cono 80cm PVC blando Reflect. MOD B Naranja Plus</t>
  </si>
  <si>
    <t>Cono 1 pza 50 cm 2 bandas Reflect. Melba</t>
  </si>
  <si>
    <t>Cono 1 pza 75 cm 2 bandas Reflect. Melba</t>
  </si>
  <si>
    <t>Cono 2 pza 75 cm 2 bandas Reflect. Melba STARLITE</t>
  </si>
  <si>
    <t>Cono 2 pza 50 cm 1 banda Reflect. Melba BIG FOOT</t>
  </si>
  <si>
    <t>Cono 2 pza 75 cm 1 banda Reflect. Melba BIG FOOT</t>
  </si>
  <si>
    <t>Cono 2 pza 100 cm 1 banda Reflect. Melba BIG FOOT</t>
  </si>
  <si>
    <t>Pareja semaforos portatiles desmontables Leds mod. B</t>
  </si>
  <si>
    <t>Pareja semaforos portatiles desmont. Led c/ contador de</t>
  </si>
  <si>
    <t>1673C</t>
  </si>
  <si>
    <t>Juego de centralitas semaforos Mod.D</t>
  </si>
  <si>
    <t>Pareja semaforos portatiles plegables Led mod. C</t>
  </si>
  <si>
    <t>1674/LP</t>
  </si>
  <si>
    <t>Lente plastico semaforo B - C 430126008</t>
  </si>
  <si>
    <t>1674/PA</t>
  </si>
  <si>
    <t>Panel Led amarillo semaforo B - C 430208019</t>
  </si>
  <si>
    <t>1674/PR</t>
  </si>
  <si>
    <t>Panel Led rojo semaforos B - C 430208020</t>
  </si>
  <si>
    <t>1674/PV</t>
  </si>
  <si>
    <t>Panel Led verde semaforos B - C 430208018</t>
  </si>
  <si>
    <t>1674/V</t>
  </si>
  <si>
    <t>Visera amarilla semaforo B - C 430126009</t>
  </si>
  <si>
    <t>1674C</t>
  </si>
  <si>
    <t>Cabeza semáforo3 luces 431231016</t>
  </si>
  <si>
    <t>1674D</t>
  </si>
  <si>
    <t>Recambio pie semáforo 400900000</t>
  </si>
  <si>
    <t>1674E</t>
  </si>
  <si>
    <t>Recambio poste enganche base semáforo 250303006</t>
  </si>
  <si>
    <t>1674F</t>
  </si>
  <si>
    <t>Recambio rueda semáforo 409000006</t>
  </si>
  <si>
    <t>1674G</t>
  </si>
  <si>
    <t>Pasador de seguridad semáforo 251636400</t>
  </si>
  <si>
    <t>1674H</t>
  </si>
  <si>
    <t>Recambio cierre semáforo 1674</t>
  </si>
  <si>
    <t>1674K</t>
  </si>
  <si>
    <t>Kit solar 50w alimentación semáforos</t>
  </si>
  <si>
    <t>1674Z</t>
  </si>
  <si>
    <t>Conexión semáforos batería</t>
  </si>
  <si>
    <t>Secuencial 5 luces Inalambricas rafiofrecuencia</t>
  </si>
  <si>
    <t>1676/BAL</t>
  </si>
  <si>
    <t>Baliza secuencia radiofrecuencia</t>
  </si>
  <si>
    <t>1676/LEN</t>
  </si>
  <si>
    <t>Lente delantera baliza radiofrecuencia</t>
  </si>
  <si>
    <t>Secuencial completo 5 elementos inalambricos por</t>
  </si>
  <si>
    <t>Abanderado electromecanico</t>
  </si>
  <si>
    <t>Juego centralitas electronicas semaforo mod. B y C</t>
  </si>
  <si>
    <t>Rotativo Halog.55 W 12V Mod. Plus (iman+ ventosa)</t>
  </si>
  <si>
    <t>1682/ALARG</t>
  </si>
  <si>
    <t>Cable rizado alargadera para Rotativo Mod. Plus</t>
  </si>
  <si>
    <t>Juego 3 focos Leds 10 cm para señal metalica</t>
  </si>
  <si>
    <t>Rotativo Halogeno magnet. Mod. BASIC</t>
  </si>
  <si>
    <t>Conjunto Panel R/B + base caucho</t>
  </si>
  <si>
    <t>Rotativo fijo carretilla elevadora 21W 12V A/214</t>
  </si>
  <si>
    <t>Panel conjunto 5 Leds para vehículos</t>
  </si>
  <si>
    <t>Linterna Super-led Basic 12/220v 3 W+ cono amarillo</t>
  </si>
  <si>
    <t>1689B</t>
  </si>
  <si>
    <t>Batería para Linterna recargable Superled Basic</t>
  </si>
  <si>
    <t>1689C</t>
  </si>
  <si>
    <t>Cono para linterna recargable Superled Basic</t>
  </si>
  <si>
    <t>Linterna Super-led Polilux 12-220v 3W</t>
  </si>
  <si>
    <t>Paleta difusora Stop-Paso p/linterna profesional</t>
  </si>
  <si>
    <t>Cono amarillo señalizacion p/linterna profesional</t>
  </si>
  <si>
    <t>Avisador acústico para carretilla 97 db</t>
  </si>
  <si>
    <t>Rotativo Led 12V base magnetica + ventosa</t>
  </si>
  <si>
    <t>Baston luminoso LED ambar</t>
  </si>
  <si>
    <t>Panel direccional 60x60 8 focos Led 100 mm</t>
  </si>
  <si>
    <t>Panel direccional 90x90 8 Focos Led 200 mm</t>
  </si>
  <si>
    <t>Reductor veloc. proteccion cables 90x50x5cm</t>
  </si>
  <si>
    <t>1900B</t>
  </si>
  <si>
    <t>Reductor veloc. proteccion cables 90x25x4,5 cm</t>
  </si>
  <si>
    <t>1900C</t>
  </si>
  <si>
    <t>Rampa proteccion cables 30x82x8,5 cm</t>
  </si>
  <si>
    <t>1900D</t>
  </si>
  <si>
    <t>Reductor Pasacables MOD D</t>
  </si>
  <si>
    <t>1901H</t>
  </si>
  <si>
    <t>Extremo reductor velocidad 25x50x3 cm Mod B H</t>
  </si>
  <si>
    <t>1901M</t>
  </si>
  <si>
    <t>Extremo reductor velocidad 25x50x3 cm Mod B M</t>
  </si>
  <si>
    <t>Reductor Velocidad 50x50x3 cm. Mod. B</t>
  </si>
  <si>
    <t>Reductor Velocidad 50x60x5 cm. Mod. A</t>
  </si>
  <si>
    <t>1903B</t>
  </si>
  <si>
    <t>Reductor Velocidad 50x60x3 cm. Mod. A</t>
  </si>
  <si>
    <t>Extremo Reductor velocidad 25x60x5 cm Mod. A</t>
  </si>
  <si>
    <t>1904B</t>
  </si>
  <si>
    <t>Extremo reductor Velocidad 50x60x3 cm. Mod. A</t>
  </si>
  <si>
    <t>Reductor Velocidad 50x50x5 cm Mod. B</t>
  </si>
  <si>
    <t>1909H</t>
  </si>
  <si>
    <t>Extremo reductor velocidad 25x50x5 cm Mod. B H</t>
  </si>
  <si>
    <t>1909M</t>
  </si>
  <si>
    <t>Extremo reductor velocidad 25x50x5 cm Mod. B M</t>
  </si>
  <si>
    <t>Reductor velocidad - salva cables 50x60x5</t>
  </si>
  <si>
    <t>Reductor Lenticular 22x4</t>
  </si>
  <si>
    <t>1913/A</t>
  </si>
  <si>
    <t>Separador Amarillo carril- bici 1 mt x 15 cm ancho x 5 cm alto</t>
  </si>
  <si>
    <t>1913/N</t>
  </si>
  <si>
    <t>Separador Negro carril-bici 1 mt x 15 cm ancho x 5 cm alto</t>
  </si>
  <si>
    <t>1913/R</t>
  </si>
  <si>
    <t>Separador Rojo carril-bici 1 mt x 15 cm ancho x 5 cm alto</t>
  </si>
  <si>
    <t>Separador carril-bici 77,5 x 16,6 x 9 cm CVT</t>
  </si>
  <si>
    <t>Valla extensible PVC 2,50 metros N/A</t>
  </si>
  <si>
    <t>1915/R</t>
  </si>
  <si>
    <t>Valla extensible PVC R/B</t>
  </si>
  <si>
    <t>1915M</t>
  </si>
  <si>
    <t>Utility Barrier 4 pts. 750 mm</t>
  </si>
  <si>
    <t>Reductor velocidad 50x50x4,5 MOD C</t>
  </si>
  <si>
    <t>Extremo reductor velocidad 50x25x4,5 MOD C</t>
  </si>
  <si>
    <t>Valla alcantarillado 4 ptas Plastico Naranja</t>
  </si>
  <si>
    <t>1924A</t>
  </si>
  <si>
    <t>Valla señal. Gate Barrier 2 mtros Amarilla</t>
  </si>
  <si>
    <t>1924B</t>
  </si>
  <si>
    <t>Valla señal. Gate Barrier 2 mtros Blanco</t>
  </si>
  <si>
    <t>1924N</t>
  </si>
  <si>
    <t>Valla señal. Gate Barrier 2 mtros Naranja</t>
  </si>
  <si>
    <t>1924R</t>
  </si>
  <si>
    <t>Valla Señal. Gate Barrier 2 mtros. Roja</t>
  </si>
  <si>
    <t>1924V</t>
  </si>
  <si>
    <t>Valla señal. Gate Barrier 2 mtros Verde</t>
  </si>
  <si>
    <t>1924Z</t>
  </si>
  <si>
    <t>Valla señal. Gate Barrier 2 mtros Azul</t>
  </si>
  <si>
    <t>Placa salva-zanjas 120x80 Mod. Basic</t>
  </si>
  <si>
    <t>1925B</t>
  </si>
  <si>
    <t>Placa salva-zanjas 120 x 80 antideslizante</t>
  </si>
  <si>
    <t>1925C</t>
  </si>
  <si>
    <t>Placa salva-zanjas 120x160 antideslizante</t>
  </si>
  <si>
    <t>1927A</t>
  </si>
  <si>
    <t>Valla señal. Gate Barrier 1 mt. Amarilla publicitaria</t>
  </si>
  <si>
    <t>1927B</t>
  </si>
  <si>
    <t>Valla señal. Gate Barrier 1 mt. Blanca publicitaria</t>
  </si>
  <si>
    <t>1927N</t>
  </si>
  <si>
    <t>Valla señal. Gate Barrier 1 mt. Naranja publicitaria</t>
  </si>
  <si>
    <t>1927Z</t>
  </si>
  <si>
    <t>Valla señal. Gate Barrier 1 mt. Azul publicitaria</t>
  </si>
  <si>
    <t>1928A</t>
  </si>
  <si>
    <t>Valla GateBarrier Slim 2x1 Amarilla</t>
  </si>
  <si>
    <t>1929A</t>
  </si>
  <si>
    <t>Valla 1 mt Gate barrier amarilla</t>
  </si>
  <si>
    <t>1929B</t>
  </si>
  <si>
    <t>Valla 1 mt Gate Barrier Blanca</t>
  </si>
  <si>
    <t>1929N</t>
  </si>
  <si>
    <t>Valla 1 mt Gate barrier Naranja</t>
  </si>
  <si>
    <t>1929Z</t>
  </si>
  <si>
    <t>Valla 1 mt Gate barrier azul</t>
  </si>
  <si>
    <t>Reductor Velocidad 50x44x5 cm Mod. D negro</t>
  </si>
  <si>
    <t>Reductor Velocidad 50x44X5cm Mod. D Amarillo</t>
  </si>
  <si>
    <t>Extremo reductor velocidad 21x42.5x5 cm Mod. D Negro</t>
  </si>
  <si>
    <t>Extremo reductor velocidad 21x42.5x5 cm Mod. D Amarillo</t>
  </si>
  <si>
    <t>Valla Señal. Olimpic Barrier 2 m Naranja</t>
  </si>
  <si>
    <t>Valla Señal. Wonderwall Naranja COMPLETO 1000x1140x500</t>
  </si>
  <si>
    <t>1938B</t>
  </si>
  <si>
    <t>Valla Señal. Wonderwall Naranja BASE</t>
  </si>
  <si>
    <t>1938T</t>
  </si>
  <si>
    <t>Valla Señal. Wonderwall Naranja TOP</t>
  </si>
  <si>
    <t>1939B</t>
  </si>
  <si>
    <t>Barrera mediana Budda Barrier 800x1040x280 Blanca</t>
  </si>
  <si>
    <t>1939R</t>
  </si>
  <si>
    <t>Barrera mediana Budda Barrier 800x1040x280 Roja</t>
  </si>
  <si>
    <t>1940B</t>
  </si>
  <si>
    <t>Mini Double top Valla 1115x535 mm blanca</t>
  </si>
  <si>
    <t>1940R</t>
  </si>
  <si>
    <t>Mini Double top Valla 1115x535 mm roja</t>
  </si>
  <si>
    <t>1941B</t>
  </si>
  <si>
    <t>Double top Valla 1115x1000 mm blanca</t>
  </si>
  <si>
    <t>1941R</t>
  </si>
  <si>
    <t>Double top Valla 1115x1000 mm roja</t>
  </si>
  <si>
    <t>1942A</t>
  </si>
  <si>
    <t>Valla señal.Slim Gate Barrier 2 mtros Amarilla</t>
  </si>
  <si>
    <t>1942B</t>
  </si>
  <si>
    <t>Valla señal.Slim Gate Barrier 2 mtros Blanco</t>
  </si>
  <si>
    <t>1942N</t>
  </si>
  <si>
    <t>Valla señal.Slim Gate Barrier 2 mtros Naranja</t>
  </si>
  <si>
    <t>1942Z</t>
  </si>
  <si>
    <t>Valla señal.Slim Gate Barrier 2 mtros Azul</t>
  </si>
  <si>
    <t>Desinfectante fungicida-bactericida 5 litros</t>
  </si>
  <si>
    <t>Tiralíneas grande Rolycord GM 100m x 1.5mm</t>
  </si>
  <si>
    <t>Tiralíneas Pequeño Rolycord 60m x 2 mmº</t>
  </si>
  <si>
    <t>Lápiz bicolor Dúo Marker Rojo/azul (Display 100 uds)</t>
  </si>
  <si>
    <t>2034A</t>
  </si>
  <si>
    <t>Tiza hexagonal 120 x12 mm Amarillo (12 uds)</t>
  </si>
  <si>
    <t>2034B</t>
  </si>
  <si>
    <t>Tiza hexagonal 120 x12 mm blanco (12 uds)</t>
  </si>
  <si>
    <t>2034N</t>
  </si>
  <si>
    <t>Tiza hexagonal 120 x12 mm Negro (12 uds)</t>
  </si>
  <si>
    <t>2034R</t>
  </si>
  <si>
    <t>Tiza hexagonal 120 x12 mm Rojo (12 uds)</t>
  </si>
  <si>
    <t>2034V</t>
  </si>
  <si>
    <t>Tiza hexagonal 120 x12 mm Verde (12 uds)</t>
  </si>
  <si>
    <t>2034Z</t>
  </si>
  <si>
    <t>Tiza hexagonal 120 x12 mm Azul (12 uds)</t>
  </si>
  <si>
    <t>Caja Lapiceros carpintero 180 (144 unid)</t>
  </si>
  <si>
    <t>Lapiz Recargable Metalico</t>
  </si>
  <si>
    <t>2036E</t>
  </si>
  <si>
    <t>Caja lápiz carpintero Mod. Europe (100 uds)</t>
  </si>
  <si>
    <t>Recambio Lapiz Metalico (50 und)</t>
  </si>
  <si>
    <t>Tirolesa</t>
  </si>
  <si>
    <t>Octometro nueva generacion con mochila de transporte</t>
  </si>
  <si>
    <t>Bolsa encofrador polipiel 21x21 1 bolsillo</t>
  </si>
  <si>
    <t>Display 12 tiralineas 15 m (línea eco) + 12 botes azulete 60 gr</t>
  </si>
  <si>
    <t>Display 3 tiralíneas 50 m y 3 botes azulete 1 kg</t>
  </si>
  <si>
    <t>Tiralíneas Prático 30 mts con botella azulete</t>
  </si>
  <si>
    <t>Aplicador cinta balizamiento</t>
  </si>
  <si>
    <t>Toldo polietileno 2x3 verde 120 gr.</t>
  </si>
  <si>
    <t>Toldo polietileno 3x4 verde 120 gr.</t>
  </si>
  <si>
    <t>Toldo polietileno 4x6 verde 120 gr.</t>
  </si>
  <si>
    <t>Toldo polietileno 5x8 verde 120 gr.</t>
  </si>
  <si>
    <t>Toldo polietileno 6x10 verde 120 gr.</t>
  </si>
  <si>
    <t>Toldo polietileno 3x5 azul 80 gr</t>
  </si>
  <si>
    <t>Toldo polietileno 4x5 azul 80 gr</t>
  </si>
  <si>
    <t>Toldo polietileno 2x3 azul 80 gr.</t>
  </si>
  <si>
    <t>Toldo polietileno 3x4 azul 80 gr.</t>
  </si>
  <si>
    <t>Toldo polietileno 4x6 azul 80 gr</t>
  </si>
  <si>
    <t>Toldo polietileno 5x8 azul 80 gr.</t>
  </si>
  <si>
    <t>Toldo polietileno 6x10 azul 80 gr.</t>
  </si>
  <si>
    <t>Toldo polietileno 8x12 azul 80 gr.</t>
  </si>
  <si>
    <t>Toldo polietileno 10x15 azul 80 gr.</t>
  </si>
  <si>
    <t>Baliza solar amarilla para cono</t>
  </si>
  <si>
    <t>Baliza Solar Roja para cono</t>
  </si>
  <si>
    <t>Tope parking Mod D 183 cm</t>
  </si>
  <si>
    <t>Separador Carril 75 cm + base</t>
  </si>
  <si>
    <t>Botella azulete 1Kg. Extra</t>
  </si>
  <si>
    <t>Botella azulete 1Kg. Super Extra</t>
  </si>
  <si>
    <t>Botella 200 gr. polvo fluo verde</t>
  </si>
  <si>
    <t>Botella 200 gr. polvo fluo naranja</t>
  </si>
  <si>
    <t>Azulete Gaviota caja 1 Kg</t>
  </si>
  <si>
    <t>Tiralíneas Gigante 50 Mts.</t>
  </si>
  <si>
    <t>Tiralíneas plastico 30 mt + botella polvo 100 gr</t>
  </si>
  <si>
    <t>Tiralíneas aluminio 30 Mts</t>
  </si>
  <si>
    <t>Expositor 12 tiralineas Normo 30 metros + 12 botes polvo 100</t>
  </si>
  <si>
    <t>Tiralineas Magnum 50 metros</t>
  </si>
  <si>
    <t>Frotas esponja naranja g. GRUESO 280x140x20 (024PA)</t>
  </si>
  <si>
    <t>Frotas esponja Azul 280x140x14 grano FINO (024PB)</t>
  </si>
  <si>
    <t>Hito flexible Naranja 30 cm</t>
  </si>
  <si>
    <t>Hito flexible Naranja 100 cm</t>
  </si>
  <si>
    <t>Frotas esponja naranja grano medio 22x14 (018A)</t>
  </si>
  <si>
    <t>Frotas esponja azul grano fino 22x14 (018B)</t>
  </si>
  <si>
    <t>Juego rodilleras alicatador</t>
  </si>
  <si>
    <t>2575Z</t>
  </si>
  <si>
    <t>Rollo cuerda azul trazadora de 100 mts</t>
  </si>
  <si>
    <t>Hito Direccion Obligatoria 85 cm</t>
  </si>
  <si>
    <t>2601P</t>
  </si>
  <si>
    <t>Hito flexible personalizable</t>
  </si>
  <si>
    <t>Rollo cuerda blanca trazadora de 50 mts</t>
  </si>
  <si>
    <t>2674Z</t>
  </si>
  <si>
    <t>Rollo cuerda azul trazadora de 50 mts</t>
  </si>
  <si>
    <t>Rollo cuerda blanca trazadora de 100 mts.</t>
  </si>
  <si>
    <t>2675Z</t>
  </si>
  <si>
    <t>Rollo cuerda blanca trazadora de 200 mts.</t>
  </si>
  <si>
    <t>2676Z</t>
  </si>
  <si>
    <t>Rollo cuerda azul trazadora de 200 mts.</t>
  </si>
  <si>
    <t>Rollo cuerda blanca trazadora de 500 mts.</t>
  </si>
  <si>
    <t>2677Z</t>
  </si>
  <si>
    <t>Rollo cuerda azul trazadora de 500 mts.</t>
  </si>
  <si>
    <t>Caldereta obra 15 L.</t>
  </si>
  <si>
    <t>Cubeta pintura azul 16 con rejilla</t>
  </si>
  <si>
    <t>2701R</t>
  </si>
  <si>
    <t>Rejilla para cubeta pintura 16</t>
  </si>
  <si>
    <t>270222B</t>
  </si>
  <si>
    <t>Capazo de goma 22 l Blanco</t>
  </si>
  <si>
    <t>270222N</t>
  </si>
  <si>
    <t>Capazo de goma 22 l Negro</t>
  </si>
  <si>
    <t>270222R</t>
  </si>
  <si>
    <t>Capazo de goma 22 l Rojo</t>
  </si>
  <si>
    <t>270242B</t>
  </si>
  <si>
    <t>Capazo de goma 42 l Blanco</t>
  </si>
  <si>
    <t>270242N</t>
  </si>
  <si>
    <t>Capazo de goma 42 l Negro</t>
  </si>
  <si>
    <t>270242R</t>
  </si>
  <si>
    <t>Capazo de goma 42 l Rojo</t>
  </si>
  <si>
    <t>270255B</t>
  </si>
  <si>
    <t>Capazo de goma 55 l Blanco</t>
  </si>
  <si>
    <t>270255N</t>
  </si>
  <si>
    <t>Capazo de goma 55 l Negro</t>
  </si>
  <si>
    <t>270255R</t>
  </si>
  <si>
    <t>Capazo de goma 55 l Rojo</t>
  </si>
  <si>
    <t>Cubre cable portatil 1 metro Mod. A</t>
  </si>
  <si>
    <t>Cubre cable portatil 1 metro Mod. B</t>
  </si>
  <si>
    <t>Cubre cable portatil 9 metros Mod. C</t>
  </si>
  <si>
    <t>Cubo 12 L Reciclado</t>
  </si>
  <si>
    <t>Cubo 6 L Reciclado</t>
  </si>
  <si>
    <t>Cubo 8 L Reciclado</t>
  </si>
  <si>
    <t>Embudo para Combustible Flexible</t>
  </si>
  <si>
    <t>Esponja abrasiva Lija Grado Alto Set 3</t>
  </si>
  <si>
    <t>Esponja Abrasiva Lija Brado Bajo Set 3</t>
  </si>
  <si>
    <t>Esponja Abrasiva Lija Grado Medio Set 3</t>
  </si>
  <si>
    <t>Esponja Abrasiva Lija Set 3</t>
  </si>
  <si>
    <t>Garrafa Apta contacto Alimentario 20 L</t>
  </si>
  <si>
    <t>Paño microfibra profesional 35x40 cm Gris</t>
  </si>
  <si>
    <t>Rollo Fibra abrasiva 15 CM X 6 M</t>
  </si>
  <si>
    <t>Rodillo de marcar de 180</t>
  </si>
  <si>
    <t>Señal complementaria TPU Triangular 380 mm Reflex 1</t>
  </si>
  <si>
    <t>Señal complementaria TPU circular 285 mm Reflex 1</t>
  </si>
  <si>
    <t>Clavo yesero 250</t>
  </si>
  <si>
    <t>Mezclador b/viscosidad 80 m/m</t>
  </si>
  <si>
    <t>Mezclador pintura de 100 m/m</t>
  </si>
  <si>
    <t>Distanciador cuña 0-7 (200 unid)</t>
  </si>
  <si>
    <t>Separador CONDOR 20 m/m (1000 Unid)</t>
  </si>
  <si>
    <t>Separador CONDOR 40 m/m (500 Unid)</t>
  </si>
  <si>
    <t>Separador Universal (1000 Unid)</t>
  </si>
  <si>
    <t>Cono c/tapa para Guardacuerpos</t>
  </si>
  <si>
    <t>Base guardacuerpos cuadr.35x40 (150 und)</t>
  </si>
  <si>
    <t>Separador CONDOR 30 m/m (1000 Unid)</t>
  </si>
  <si>
    <t>Base horca-pescante 60x40 ( 114 unid)</t>
  </si>
  <si>
    <t>Base horca-pescante 60x60 ( 45 unid)</t>
  </si>
  <si>
    <t>Separador CONDOR 50 m/m (500 Unid )</t>
  </si>
  <si>
    <t>Seta protectora Varilla 12-20</t>
  </si>
  <si>
    <t>Seta protect. cuadrada 35x40 ( 100 unid )</t>
  </si>
  <si>
    <t>Setón protector varilla 24-40 ( 200 unid )</t>
  </si>
  <si>
    <t>Seta protectora c/ refuerzo interior (100 unid)</t>
  </si>
  <si>
    <t>Junta de dilatación 4 cm M.Lineal</t>
  </si>
  <si>
    <t>Junta de dilatación 8 cm M.Lineal</t>
  </si>
  <si>
    <t>Conexión para cadena y cinta poste ref 1136</t>
  </si>
  <si>
    <t>Conexion para hito 0588 a señales TPU</t>
  </si>
  <si>
    <t>Tornillo y taco para reductor velocidad</t>
  </si>
  <si>
    <t>Conexión para conos</t>
  </si>
  <si>
    <t>Mts. Guardavivo yeso</t>
  </si>
  <si>
    <t>Mts. Guardacantos c/blanco</t>
  </si>
  <si>
    <t>Mts. Guardacantos c/ marfil</t>
  </si>
  <si>
    <t>Mts. Guardacantos c/gris</t>
  </si>
  <si>
    <t>Mts. Junquillo PVC para monocapa</t>
  </si>
  <si>
    <t>Mts. Guardavivo monocapa punta fina</t>
  </si>
  <si>
    <t>Mt.Tubo encofrado 22/26- ( En 3 mts)</t>
  </si>
  <si>
    <t>Mt.Tubo encofrado 22/26 -( En 2 mts)</t>
  </si>
  <si>
    <t>Mt Tubo encofrado 26/30- ( En 2 mts)</t>
  </si>
  <si>
    <t>Mts. Berengeno Pequeño 27,2mm Base x 20mm Alt.</t>
  </si>
  <si>
    <t>Mts. Berengeno Mediano 34mm Base x 25mm Alt.</t>
  </si>
  <si>
    <t>Mts. Berengeno Grande 41mm Base x 30mm Alt,</t>
  </si>
  <si>
    <t>Tubo ETUBAX 20 cm</t>
  </si>
  <si>
    <t>Tubo ETUBAX 25 cm</t>
  </si>
  <si>
    <t>Tubo ETUBAX 30 cm</t>
  </si>
  <si>
    <t>Tubo ETUBAX 35 cm</t>
  </si>
  <si>
    <t>Tubo ETUBAX 40 cm</t>
  </si>
  <si>
    <t>Mts. Berengeno Mini 17,2mm Base x 12,5 mm Alt.</t>
  </si>
  <si>
    <t>Separador rueda 25 m/m (1000 Unid)</t>
  </si>
  <si>
    <t>Separador rueda 30 m/m (1000 Unid)</t>
  </si>
  <si>
    <t>Separador rueda 35 m/m (500 Unid)</t>
  </si>
  <si>
    <t>Separador rueda 40 m/m (500 Unid)</t>
  </si>
  <si>
    <t>Separador rueda 50 m/m (250 Unid)</t>
  </si>
  <si>
    <t>Separador rueda 70 m/m ( 150 unid )</t>
  </si>
  <si>
    <t>Cono standard tubo de 26 mm (1000 unid )</t>
  </si>
  <si>
    <t>Cono para tubo 22/26 bolsa 1000 uds</t>
  </si>
  <si>
    <t>Cono liso para tubo 22 mm ( 500 unid )</t>
  </si>
  <si>
    <t>Tapón para cono liso (500 und)</t>
  </si>
  <si>
    <t>Tapon estanco 4 aletas tubo 22 (500 unid)</t>
  </si>
  <si>
    <t>Tapón standard tubo 22 m/m (1000 Uni)</t>
  </si>
  <si>
    <t>Tapón standard tubo 26 m/m 1000 unid)</t>
  </si>
  <si>
    <t>Mts. cuerda CERVINO 4 m/m</t>
  </si>
  <si>
    <t>Mts. cuerda CERVINO 6 m/m</t>
  </si>
  <si>
    <t>Mts. cuerda CERVINO 8 m/m</t>
  </si>
  <si>
    <t>Mts. cuerda CERVINO 10 m/m</t>
  </si>
  <si>
    <t>Mts. cuerda CERVINO 12 m/m</t>
  </si>
  <si>
    <t>Mts. cuerda CERVINO 14 m/m</t>
  </si>
  <si>
    <t>Mts. cuerda CERVINO 16 m/m</t>
  </si>
  <si>
    <t>Mts. cuerda CERVINO 18 m/m</t>
  </si>
  <si>
    <t>Mts. cuerda CERVINO 20 m/m</t>
  </si>
  <si>
    <t>Señal complementaria TPU rectanagular 440x360 mm Reflex</t>
  </si>
  <si>
    <t>Tope parking 59 L x 12 Anc. x 10 Alt. Mod. B</t>
  </si>
  <si>
    <t>Tope parking 55 L x 14,5 Anc x 15 Alt. Mod. C</t>
  </si>
  <si>
    <t>4090C</t>
  </si>
  <si>
    <t>Aparcabicis modulo central 2 bicicletas</t>
  </si>
  <si>
    <t>4090E</t>
  </si>
  <si>
    <t>Aparcabicis modulo extremo 2 bicicletas</t>
  </si>
  <si>
    <t>4090U</t>
  </si>
  <si>
    <t>Aparcabicis unión modulos</t>
  </si>
  <si>
    <t>Cepo parking Mod. A 49,5 cm x 49,5 cm x 9 cm con llave</t>
  </si>
  <si>
    <t>Cepo parking Mod. B 76 cm x 47 cm c/candado</t>
  </si>
  <si>
    <t>Espejo trafico 600 mm Mod. Basic c/ visera</t>
  </si>
  <si>
    <t>Espejo Trafico 800 mm Mod. Basic c visera</t>
  </si>
  <si>
    <t>Esquinera proteccion columna 80 cm mod. B</t>
  </si>
  <si>
    <t>Tope parking 55 x 15 Anc. x 10 Alt Mod. A</t>
  </si>
  <si>
    <t>Esquinera proteccion columna 80 cm mod. A</t>
  </si>
  <si>
    <t>Mts.cuerda certif.poliest.Alta Tenacidad 6 m/m</t>
  </si>
  <si>
    <t>Mts.cuerda certif.poliest.Alta Tenacidad 8 m/m</t>
  </si>
  <si>
    <t>Mts.cuerda certif.poliest.Alta Tenacidad 10 m/m</t>
  </si>
  <si>
    <t>Mts.cuerda Certif.poliest.Alta Tenacidad 12 m/m</t>
  </si>
  <si>
    <t>Mts.cuerda Certif.poliest.Alta Tenacidad 14 m/m</t>
  </si>
  <si>
    <t>Mts.cuerda Certif.poliest.Alta Tenacidad 16 m/m</t>
  </si>
  <si>
    <t>Mts.cuerda Certif.poliest.Alta Tenacidad 18 m/m</t>
  </si>
  <si>
    <t>Bolsa tapa señales 95x110 agujereada</t>
  </si>
  <si>
    <t>Espejo 60 cm Mod. Icaro</t>
  </si>
  <si>
    <t>Espejo 80 cm Mod. Icaro</t>
  </si>
  <si>
    <t>Protector parking FOAM R/B columna 30x25x1,5 cm</t>
  </si>
  <si>
    <t>Protector parking FOAM N/A columna 30X25X1,5 cm</t>
  </si>
  <si>
    <t>Protector parking FOAM R/B columna 100x200x1,5 cm</t>
  </si>
  <si>
    <t>Protector parking FOAM N/A columna 100x200x1,5 cm</t>
  </si>
  <si>
    <t>Protector parking FOAM R/B plano 24x18x4cm</t>
  </si>
  <si>
    <t>Protector parking FOAM N/A plano 24x18x4cm</t>
  </si>
  <si>
    <t>Protector parking FOAM R/B esquina 50x(15+15)x1,5 cm</t>
  </si>
  <si>
    <t>Protector parking FOAM N/A esquina 50x(15+15)x1,5 cm</t>
  </si>
  <si>
    <t>Protector parking FOAM R/B plano 50X10X1,5cm</t>
  </si>
  <si>
    <t>Protector parking FOAM N/A plano 50x10x1,5cm</t>
  </si>
  <si>
    <t>Protector parking FOAM R/B plano 50x25x2,5cm</t>
  </si>
  <si>
    <t>Protector parking FOAM N/A plano 50x25x2,5cm</t>
  </si>
  <si>
    <t>Protector parking FOAM R/B plano 30x20x1,5 cm</t>
  </si>
  <si>
    <t>Protector parking FOAM N/A plano 30x20x1,5 cm</t>
  </si>
  <si>
    <t>Protector Antigolpes PVC 15x3 cm (5 metros )</t>
  </si>
  <si>
    <t>Esq. protec.N/A 100 cm anti-golpe Foam Mod A</t>
  </si>
  <si>
    <t>4200B</t>
  </si>
  <si>
    <t>Esq. protec.N/A 100 cm anti-golpe Foam Mod B</t>
  </si>
  <si>
    <t>4200C</t>
  </si>
  <si>
    <t>Esq. protec.N/A 100 cm anti-golpe Foam Mod C</t>
  </si>
  <si>
    <t>4200D</t>
  </si>
  <si>
    <t>Esq. protec.N/A 100 cm anti-golpe Foam Mod D</t>
  </si>
  <si>
    <t>4200E</t>
  </si>
  <si>
    <t>Esq. protec.N/A 100 cm anti-golpe Foam Mod E</t>
  </si>
  <si>
    <t>4200F</t>
  </si>
  <si>
    <t>Esq. protec.N/A 100 cm anti-golpe Foam Mod. F</t>
  </si>
  <si>
    <t>4200G</t>
  </si>
  <si>
    <t>Esq. protec.N/A 100 cm anti-golpe Foam Mod. G</t>
  </si>
  <si>
    <t>Esq. protec.B/R 100 cm anti-golpe Foam Mod. A</t>
  </si>
  <si>
    <t>Espejo Convexo 40 cm Interior Tolomeo</t>
  </si>
  <si>
    <t>Espejo Convexo 60 cm Interior Tolomeo</t>
  </si>
  <si>
    <t>Espejo Convexo 80 cm Interior Tolomeo</t>
  </si>
  <si>
    <t>Espejo Convexo 90 cm Interior Tolomeo</t>
  </si>
  <si>
    <t>Espejo Convexo 40x60 Interior Leonardo</t>
  </si>
  <si>
    <t>Espejo convexo 60x80 Interior Leonardo</t>
  </si>
  <si>
    <t>Espejo Hemisférico 360º 60 cm Michelangello</t>
  </si>
  <si>
    <t>Espejo Hemisférico 360º 90 cm Michelangello</t>
  </si>
  <si>
    <t>Espejo Convexo 60 cm Exterior Giotto</t>
  </si>
  <si>
    <t>Espejo Convexo 80 cm Exterior Giotto</t>
  </si>
  <si>
    <t>Espejo Convexo 40x60 cm Exterior Rafaello</t>
  </si>
  <si>
    <t>Espejo Convexo 60x80 cm Exterior Rafaello</t>
  </si>
  <si>
    <t>Espejo Convexo acero exterior 320 MM</t>
  </si>
  <si>
    <t>Espejo Convexo Acero Exterior 490 mm</t>
  </si>
  <si>
    <t>Espejo Convexo Acero Exterior 600 mm</t>
  </si>
  <si>
    <t>Espejo Convexo Acero Exterior 800 mm</t>
  </si>
  <si>
    <t>Espejo Convexo Acero Exterior 450x600 mm</t>
  </si>
  <si>
    <t>Espejo Convexo Acero Interior 490 mm</t>
  </si>
  <si>
    <t>Tope muelle carga - parking 90x10x10 cm</t>
  </si>
  <si>
    <t>Big Bag 850x850x900 1000kg. 5:1</t>
  </si>
  <si>
    <t>Big Bag 850x850x900 c/ valvula descarga</t>
  </si>
  <si>
    <t>Big Bag 900x900x1200 MM FDC/FP ADR</t>
  </si>
  <si>
    <t>Big Bag 900x900x1200 c/tapa</t>
  </si>
  <si>
    <t>Saco de rafia para escombros 55cmx85cm carga 25 Kg</t>
  </si>
  <si>
    <t>Paquete 10 unid. saco plastico escombros 55x75</t>
  </si>
  <si>
    <t>Chaleco Reflect. amarillo</t>
  </si>
  <si>
    <t>Chaleco Reflect. naranja</t>
  </si>
  <si>
    <t>Chaleco Reflect. rejilla verano amarillo NO HOMOLOGADOS</t>
  </si>
  <si>
    <t>Tirantes reflectantes amarillos NO HOMOLOGADOS</t>
  </si>
  <si>
    <t>Tirantes reflectantes naranja NO HOMOLOGADOS</t>
  </si>
  <si>
    <t>Rollo Malla Protec Naranja (1x50mts.) 80 gr.</t>
  </si>
  <si>
    <t>4700A</t>
  </si>
  <si>
    <t>Rollo malla Protec Amarilla (1x50 m) 80 gr</t>
  </si>
  <si>
    <t>4700S</t>
  </si>
  <si>
    <t>Sistema sujeción para mallas y cinta varilla</t>
  </si>
  <si>
    <t>4700V</t>
  </si>
  <si>
    <t>Rollo Malla Protec verde (1x50 m) 80 gr</t>
  </si>
  <si>
    <t>4700Z</t>
  </si>
  <si>
    <t>Rollo malla Protec Azul (1x50 m) 80 gr</t>
  </si>
  <si>
    <t>Rollo Malla Protec Naranja (1X50mts.) 100 gr.</t>
  </si>
  <si>
    <t>Rollo malla fibra de vidrio Mortero-Reboco azul 1x50 m</t>
  </si>
  <si>
    <t>Rollo malla fibra de vidrio Yeso Blanca 1x50 m</t>
  </si>
  <si>
    <t>Rollo Malla fibra de vidrio Blanca pintura 1x50 m</t>
  </si>
  <si>
    <t>Mubo PVC señal. c/reflec. 1 mt</t>
  </si>
  <si>
    <t>Estaca madera 30x30x30</t>
  </si>
  <si>
    <t>Estaca madera 30x30x35</t>
  </si>
  <si>
    <t>Estaca madera 30x30x40</t>
  </si>
  <si>
    <t>Estaca madera 30x30x50</t>
  </si>
  <si>
    <t>Estaca madera 30x30x60</t>
  </si>
  <si>
    <t>Estaca madera 30x30x70</t>
  </si>
  <si>
    <t>Ecopate 300</t>
  </si>
  <si>
    <t>Estaca madera 30x30x100</t>
  </si>
  <si>
    <t>Mtro.cuadrado malla proteccion andamio Standard</t>
  </si>
  <si>
    <t>Mtro.cuadrado malla proteccion andamio Extra</t>
  </si>
  <si>
    <t>4888C</t>
  </si>
  <si>
    <t>Conector grapa para malla ojales y poste cadena (50 uds)</t>
  </si>
  <si>
    <t>4888G</t>
  </si>
  <si>
    <t>Grapa 35x40 mm para malla (50 uds)</t>
  </si>
  <si>
    <t>Malla sombreo/ocultacion 70% (x M2)</t>
  </si>
  <si>
    <t>Malla sombreo/ocultacion 80% (x M2)</t>
  </si>
  <si>
    <t>Malla sombreo/ocultacion 90% (x M2)</t>
  </si>
  <si>
    <t>Malla/Tejido suelo antihierba negro/verde (x M2)</t>
  </si>
  <si>
    <t>Malla ocultacion negra/franjas 75% 3,50x1,90 blister</t>
  </si>
  <si>
    <t>4895/A</t>
  </si>
  <si>
    <t>Malla señal. monofilamento 1x100 mts Amarilla</t>
  </si>
  <si>
    <t>4895/R</t>
  </si>
  <si>
    <t>Malla señal. monofilamento 1x100 mts Rojo</t>
  </si>
  <si>
    <t>Malla sombreo/ocultacion 70% manto a medida (x M2)</t>
  </si>
  <si>
    <t>Malla sombreo/ocultacion 80% manto a medida (x M2)</t>
  </si>
  <si>
    <t>Malla sombreo/ocultacion 90% manto a medida (x M2)</t>
  </si>
  <si>
    <t>Gafas protección G-1</t>
  </si>
  <si>
    <t>Gafas protección G-2</t>
  </si>
  <si>
    <t>Gafas protección G-3</t>
  </si>
  <si>
    <t>Pantalla protectora facial fija Basic</t>
  </si>
  <si>
    <t>Tapones proteccion auditiva c/ cordón</t>
  </si>
  <si>
    <t>Cascos proteccion auditiva mod. A</t>
  </si>
  <si>
    <t>5300L</t>
  </si>
  <si>
    <t>Faja elastica proteccion lumbar Talla L</t>
  </si>
  <si>
    <t>5300XL</t>
  </si>
  <si>
    <t>Faja elastica proteccion lumbar Talla XL</t>
  </si>
  <si>
    <t>5300XXL</t>
  </si>
  <si>
    <t>Faja elastica proteccion lumbar Talla XXL</t>
  </si>
  <si>
    <t>Spray fluo 500 ml S MARK rojo</t>
  </si>
  <si>
    <t>Spray fluo 500 ml S MARK azul</t>
  </si>
  <si>
    <t>Spray fluo 500 ml S MARK amarillo</t>
  </si>
  <si>
    <t>Spray fluo 500 ml S MARK verde</t>
  </si>
  <si>
    <t>7003A</t>
  </si>
  <si>
    <t>Loseta/superficie para guía peatonal Mod A</t>
  </si>
  <si>
    <t>Spray fluo 500 ml S MARK rosa</t>
  </si>
  <si>
    <t>7004B</t>
  </si>
  <si>
    <t>Loseta/superficie para guía peatonal Mod B</t>
  </si>
  <si>
    <t>Spray fluo 500 ml S MARK naranja</t>
  </si>
  <si>
    <t>Spray Fluo 360º 500 ml IDEAL rojo</t>
  </si>
  <si>
    <t>Spray Fluo 360º 500 ml IDEAL azul</t>
  </si>
  <si>
    <t>Spray Fluo 360º 500 ml IDEAL amarillo</t>
  </si>
  <si>
    <t>Spray Fluo 360º 500 ml IDEAL rosa</t>
  </si>
  <si>
    <t>Spray 500 ml Line Marker Blanco</t>
  </si>
  <si>
    <t>Spray 500 ml Line Marker Amarillo</t>
  </si>
  <si>
    <t>Spray Pintura Luminiscente 400 ml</t>
  </si>
  <si>
    <t>80135N1</t>
  </si>
  <si>
    <t>Triangulo MOPU TP 135 cm Reflex I</t>
  </si>
  <si>
    <t>80135N2</t>
  </si>
  <si>
    <t>Triangulo MOPU TD 135 cm Reflex II</t>
  </si>
  <si>
    <t>80135N3</t>
  </si>
  <si>
    <t>Triangulo MOPU TD 135 cm Reflex III</t>
  </si>
  <si>
    <t>80175N1</t>
  </si>
  <si>
    <t>Triangulo MOPU TD 175 cm Reflex I</t>
  </si>
  <si>
    <t>80175N2</t>
  </si>
  <si>
    <t>Triangulo MOPU TD 175 cm Reflex II</t>
  </si>
  <si>
    <t>80175N3</t>
  </si>
  <si>
    <t>Triangulo MOPU TD 175 cm Reflex III</t>
  </si>
  <si>
    <t>8070N1</t>
  </si>
  <si>
    <t>Triangulo MOPU TP 70 cm Reflex I</t>
  </si>
  <si>
    <t>8070N2</t>
  </si>
  <si>
    <t>Triangulo MOPU TP 70 cm Reflex II</t>
  </si>
  <si>
    <t>8070N3</t>
  </si>
  <si>
    <t>Triangulo MOPU TP 70 cm Reflex III</t>
  </si>
  <si>
    <t>8090N1</t>
  </si>
  <si>
    <t>Triangulo MOPU TP 90 cm Reflex I</t>
  </si>
  <si>
    <t>8090N2</t>
  </si>
  <si>
    <t>Triangulo MOPU TP 90 cm Reflex II</t>
  </si>
  <si>
    <t>8090N3</t>
  </si>
  <si>
    <t>Triangulo MOPU TP 90 cm Reflex III</t>
  </si>
  <si>
    <t>81120N1</t>
  </si>
  <si>
    <t>Disco MOPU TR 120 cm Reflex I</t>
  </si>
  <si>
    <t>81120N2</t>
  </si>
  <si>
    <t>Disco MOPU TR 120 cm Reflex II</t>
  </si>
  <si>
    <t>81120N3</t>
  </si>
  <si>
    <t>Disco MOPU TR 120 cm Reflex III</t>
  </si>
  <si>
    <t>8160N1</t>
  </si>
  <si>
    <t>Disco MOPU TR 60 cm Reflex I</t>
  </si>
  <si>
    <t>8160N2</t>
  </si>
  <si>
    <t>Disco MOPU TR 60 cm Reflex II</t>
  </si>
  <si>
    <t>8160N3</t>
  </si>
  <si>
    <t>Disco MOPU TR 60 cm Reflex III</t>
  </si>
  <si>
    <t>8190N1</t>
  </si>
  <si>
    <t>Disco MOPU TR 90 cm Reflex I</t>
  </si>
  <si>
    <t>8190N2</t>
  </si>
  <si>
    <t>Disco MOPU TR 90 cm Reflex II</t>
  </si>
  <si>
    <t>8190N3</t>
  </si>
  <si>
    <t>Disco MOPU TR 90 cm Reflex III</t>
  </si>
  <si>
    <t>Adhesivo 11x15 Extintor</t>
  </si>
  <si>
    <t>8201/B</t>
  </si>
  <si>
    <t>Blister 10 unid. Adhesivo 11x15 Extintor</t>
  </si>
  <si>
    <t>Adhesivo 11x15 Riesgo electrico</t>
  </si>
  <si>
    <t>8210/B</t>
  </si>
  <si>
    <t>Blister 10 unid. Adhesivo 11x15 Riesgo electrico</t>
  </si>
  <si>
    <t>Adhesivo 11x15 Materias comburentes</t>
  </si>
  <si>
    <t>8216/B</t>
  </si>
  <si>
    <t>Blister 10 unid. Adhesivo 11x15 Materias comburentes</t>
  </si>
  <si>
    <t>Adhesivo 11x15 Campo Magnetico Intenso</t>
  </si>
  <si>
    <t>8218/B</t>
  </si>
  <si>
    <t>Blister 10 unid. Adhesivo 11x15 Campo Magnetico Intenso</t>
  </si>
  <si>
    <t>Adhesivo 11x15 Materias Inflamables</t>
  </si>
  <si>
    <t>8219/B</t>
  </si>
  <si>
    <t>Blister 10 unid. Adhesivo 11x15 Materias inflamables</t>
  </si>
  <si>
    <t>Adhesivo 11x15 Uso oblig. casco</t>
  </si>
  <si>
    <t>8220/B</t>
  </si>
  <si>
    <t>Blister 10 unid. Adhesivo 11x15 Uso oblig. casco</t>
  </si>
  <si>
    <t>Adhesivo 11x15 Uso Oblig. botas</t>
  </si>
  <si>
    <t>8221/B</t>
  </si>
  <si>
    <t>Blister 10 unid. Adhesivo 11x15 Uso oblig. botas</t>
  </si>
  <si>
    <t>Adhesivo 11x15 Uso oblig Guantes</t>
  </si>
  <si>
    <t>8222/B</t>
  </si>
  <si>
    <t>Blister 10 unid. Adhesivo 11x15 Uso oblig. guantes</t>
  </si>
  <si>
    <t>Adhesivo 11x15 Uso oblig. prot. acustica</t>
  </si>
  <si>
    <t>8223/B</t>
  </si>
  <si>
    <t>Blister 10 unid. Adhesivo 11x15 Uso oblig.protec.acustica</t>
  </si>
  <si>
    <t>Adhesivo 11x15 Uso oblig Gafas</t>
  </si>
  <si>
    <t>8226/B</t>
  </si>
  <si>
    <t>Blister 10 unid. Adhesivo 11x15 Uso obligatorio Gafas</t>
  </si>
  <si>
    <t>Adhesivo 11x 15 Uso oblig. arnes segur.</t>
  </si>
  <si>
    <t>8227/B</t>
  </si>
  <si>
    <t>Blister 10 und. Adhesivo 11x15 Uso oblig. arnes seguridad</t>
  </si>
  <si>
    <t>Adhesivo 11x 15 Prohibido Fumar</t>
  </si>
  <si>
    <t>8230/B</t>
  </si>
  <si>
    <t>Blister 10 unid. Adhesivo 11x15 Prohibido Fumar</t>
  </si>
  <si>
    <t>Adhesivo 11x15 Prohibido pasar sin casco</t>
  </si>
  <si>
    <t>8232/B</t>
  </si>
  <si>
    <t>Blister 10 unid. Adhesivo 11x15 Prohibido pasar sin casco</t>
  </si>
  <si>
    <t>Adhesivo 11x15 Atencion puesta a tierra</t>
  </si>
  <si>
    <t>8238/B</t>
  </si>
  <si>
    <t>Blister 10 unid .Adhesivo 11x15 Atencion puesta a tierra</t>
  </si>
  <si>
    <t>Adhesivo 11x15 Peligro</t>
  </si>
  <si>
    <t>8250/B</t>
  </si>
  <si>
    <t>Blister 10 unid. Adhesivo 11x15 Peligro</t>
  </si>
  <si>
    <t>Adhesivo 11x15 Riesgo de atrapamiento</t>
  </si>
  <si>
    <t>8252/B</t>
  </si>
  <si>
    <t>Blister 10 unid. Adhesivo 11x15 Riesgo de atrapamiento</t>
  </si>
  <si>
    <t>Adhesivo 11x15 Proh. paso toda person ajena empresa</t>
  </si>
  <si>
    <t>8253/B</t>
  </si>
  <si>
    <t>Blister 10 unid. Adehsivo 11x15 Proh. paso toda persona ajena</t>
  </si>
  <si>
    <t>Adhesivo 11x15 Botiquin</t>
  </si>
  <si>
    <t>8256/B</t>
  </si>
  <si>
    <t>Blister 10 unid. adhesivo 11x15 Botiquin</t>
  </si>
  <si>
    <t>Adhesivo 11x15 Proh. repar.personal no autorizado</t>
  </si>
  <si>
    <t>8275/B</t>
  </si>
  <si>
    <t>Blister 10 unid. Adhesivo 11x15 Proh. repar.personal no</t>
  </si>
  <si>
    <t>Adhesivo 11x15 Agua no potable</t>
  </si>
  <si>
    <t>8281/B</t>
  </si>
  <si>
    <t>Blister 10 unid. Adhesivo 11x15 Agua no potable</t>
  </si>
  <si>
    <t>Adhesivo 10x15 Uso obligatorio de mascara</t>
  </si>
  <si>
    <t>8283/B</t>
  </si>
  <si>
    <t>Blister 10 unid. Adhesivo 11x15 Uso obligatorio mascara</t>
  </si>
  <si>
    <t>Adhesivo 11x15 Peligro alta tension</t>
  </si>
  <si>
    <t>8290/B</t>
  </si>
  <si>
    <t>Blister 10 unid. Adhesivo 11x15 Peligro Alta Tension</t>
  </si>
  <si>
    <t>Adhesivo 11x15 Peligro no maniobrar pers.no autor.</t>
  </si>
  <si>
    <t>8291/B</t>
  </si>
  <si>
    <t>Blister 10 unid. Adhesivo 11x15 Peligro no maniobrar pers. no</t>
  </si>
  <si>
    <t>83120N1</t>
  </si>
  <si>
    <t>Cuadrado MOPU TS 120x120 cm Reflex I</t>
  </si>
  <si>
    <t>83120N2</t>
  </si>
  <si>
    <t>Cuadrado MOPU TS 120x120 cm Reflex II</t>
  </si>
  <si>
    <t>83120N3</t>
  </si>
  <si>
    <t>Cuadrado MOPU TS 120x120 cm Reflex III</t>
  </si>
  <si>
    <t>8340N1</t>
  </si>
  <si>
    <t>Cuadrado MOPU TS 40x40 cm Reflex I</t>
  </si>
  <si>
    <t>8340N2</t>
  </si>
  <si>
    <t>Cuadrado MOPU TS 40x40 cm Reflex II</t>
  </si>
  <si>
    <t>8340N3</t>
  </si>
  <si>
    <t>Cuadrado MOPU TS 40x40 cm Reflex III</t>
  </si>
  <si>
    <t>8360N1</t>
  </si>
  <si>
    <t>Cuadrado MOPU TS 60x60 cm Reflex I</t>
  </si>
  <si>
    <t>8360N2</t>
  </si>
  <si>
    <t>Cuadrado MOPU TS 60x60 cm Reflex II</t>
  </si>
  <si>
    <t>8360N3</t>
  </si>
  <si>
    <t>Cuadrado MOPU TS 60x60 cm Reflex III</t>
  </si>
  <si>
    <t>Adhesivo 11x15 Riesgo de proyeccion de particulas</t>
  </si>
  <si>
    <t>Adhesivo 11x15 Peligro de incendio</t>
  </si>
  <si>
    <t>Adhesivo 11x15 Riesgo contacto térmico</t>
  </si>
  <si>
    <t>Adhesivo 11x15 Riesgo de corte</t>
  </si>
  <si>
    <t>Adhesivo 10x15 Uso obligatorio equipo autonomo</t>
  </si>
  <si>
    <t>Adhesivo 10x15 peligro temperatura elevada</t>
  </si>
  <si>
    <t>8385/B</t>
  </si>
  <si>
    <t>Blístes 10 unid. Ahesivo 11x15 Temperatura Elevada</t>
  </si>
  <si>
    <t>8390N1</t>
  </si>
  <si>
    <t>Cuadrado MOPU TS 90x90 cm Reflex I</t>
  </si>
  <si>
    <t>8390N2</t>
  </si>
  <si>
    <t>Cuadrado MOPU TS 90x90 cm Reflex II</t>
  </si>
  <si>
    <t>8390N3</t>
  </si>
  <si>
    <t>Cuadrado MOPU TS 90x90 cm Reflex III</t>
  </si>
  <si>
    <t>Adhesivo Agles Morts 17x25 cm</t>
  </si>
  <si>
    <t>844060N1</t>
  </si>
  <si>
    <t>Rectangulo MOPU TS 40x60 cm Reflex I</t>
  </si>
  <si>
    <t>844060N2</t>
  </si>
  <si>
    <t>Rectangulo MOPU TS 40X60 cm Reflex II</t>
  </si>
  <si>
    <t>844060N3</t>
  </si>
  <si>
    <t>Rectangulo MOPU TS 40X60 cm Reflex III</t>
  </si>
  <si>
    <t>8460120N1</t>
  </si>
  <si>
    <t>Rectangulo MOPU TS 60x120 cm Reflex I</t>
  </si>
  <si>
    <t>8460120N2</t>
  </si>
  <si>
    <t>Rectangulo MOPU TS 60x120 cm Reflex II</t>
  </si>
  <si>
    <t>8460120N3</t>
  </si>
  <si>
    <t>Rectangulo MOPU TS 60x120 cm Reflex III</t>
  </si>
  <si>
    <t>846090N1</t>
  </si>
  <si>
    <t>Rectangulo MOPU TS 60x90 cm Reflex I</t>
  </si>
  <si>
    <t>846090N2</t>
  </si>
  <si>
    <t>Rectangulo MOPU TS 60x90 cm Reflex II</t>
  </si>
  <si>
    <t>846090N3</t>
  </si>
  <si>
    <t>Rectangulo MOPU TS 60x90 cm Reflex III</t>
  </si>
  <si>
    <t>8490135N1</t>
  </si>
  <si>
    <t>Rectangulo MOPU TS 90x135 cm Reflex I</t>
  </si>
  <si>
    <t>8490135N2</t>
  </si>
  <si>
    <t>Rectangulo MOPU TS 90x135 cm Reflex II</t>
  </si>
  <si>
    <t>8490135N3</t>
  </si>
  <si>
    <t>Rectangulo MOPU TS 90x135 cm Reflex III</t>
  </si>
  <si>
    <t>8500N</t>
  </si>
  <si>
    <t>Señal 30 cm metálica Triangular Normal</t>
  </si>
  <si>
    <t>8500N1</t>
  </si>
  <si>
    <t>Señal 30 cm metálica Triangular Nivel 1</t>
  </si>
  <si>
    <t>854020N1</t>
  </si>
  <si>
    <t>Cajetin MOPU TS 40x20 cm Reflex I</t>
  </si>
  <si>
    <t>854020N2</t>
  </si>
  <si>
    <t>Cajetin MOPU TS 40x20 cm Reflex II</t>
  </si>
  <si>
    <t>854020N3</t>
  </si>
  <si>
    <t>Cajetin MOPU TS 40x20 cm Reflex III</t>
  </si>
  <si>
    <t>856020N1</t>
  </si>
  <si>
    <t>Cajetin MOPU TS 60x20 cm Reflex I</t>
  </si>
  <si>
    <t>856030N1</t>
  </si>
  <si>
    <t>Cajetin MOPU TS 60x30 cm Reflex I</t>
  </si>
  <si>
    <t>856030N2</t>
  </si>
  <si>
    <t>Cajetin MOPU TS 60x30 cm Reflex II</t>
  </si>
  <si>
    <t>856030N3</t>
  </si>
  <si>
    <t>Cajetin MOPU TS 60x30 cm Reflex III</t>
  </si>
  <si>
    <t>8600N</t>
  </si>
  <si>
    <t>Señal 30 cm metálica Circular Normal</t>
  </si>
  <si>
    <t>8600N1</t>
  </si>
  <si>
    <t>Señal 30 cm metálica Circular Nivel 1</t>
  </si>
  <si>
    <t>8700N</t>
  </si>
  <si>
    <t>Señal 30 cm metálica Cuadrado Normal</t>
  </si>
  <si>
    <t>8700N1</t>
  </si>
  <si>
    <t>Señal 30 cm metálica Rectangular Nivel 1</t>
  </si>
  <si>
    <t>8716545N1</t>
  </si>
  <si>
    <t>Panel direccional estrecho R/B TB-2 165x45 cm Reflex I</t>
  </si>
  <si>
    <t>8716545N2</t>
  </si>
  <si>
    <t>Panel direccional estrecho R/B TB-2 165x45 cm Reflex II</t>
  </si>
  <si>
    <t>8716545N3</t>
  </si>
  <si>
    <t>Panle direccional estrecho R/B TB-2 165x45 cm Reflex III</t>
  </si>
  <si>
    <t>8719595N1</t>
  </si>
  <si>
    <t>Panel direccional alto R/B TB-1 195x95 cm Reflex I</t>
  </si>
  <si>
    <t>8719595N2</t>
  </si>
  <si>
    <t>Panel direccional alto R/B TB-1 195x95 cm Reflex II</t>
  </si>
  <si>
    <t>8719595N3</t>
  </si>
  <si>
    <t>Panel direccional alto R/B TB-1 195x95 cm Reflex III</t>
  </si>
  <si>
    <t>878040N1</t>
  </si>
  <si>
    <t>Panel direccional estrecho R/B TB-2 80x40 cm Reflex I</t>
  </si>
  <si>
    <t>878040N2</t>
  </si>
  <si>
    <t>Panel direccional estrecho R/B TB-2 80x40 cm Reflex II</t>
  </si>
  <si>
    <t>878040N3</t>
  </si>
  <si>
    <t>Panel direccional estrecho R/B TB-2 80x40 cm Reflex III</t>
  </si>
  <si>
    <t>8800N</t>
  </si>
  <si>
    <t>Señal 30 cm metálica STOP Normal</t>
  </si>
  <si>
    <t>8800N1</t>
  </si>
  <si>
    <t>Señal 30 cm metálica STOP Nivel 1</t>
  </si>
  <si>
    <t>Valla movil para obras TB-5</t>
  </si>
  <si>
    <t>8819560N1</t>
  </si>
  <si>
    <t>Panel Hastial 195x60 cm Reflex I 50%</t>
  </si>
  <si>
    <t>883010N1</t>
  </si>
  <si>
    <t>Piqueta 30x10 cm TB-7 NI</t>
  </si>
  <si>
    <t>884030N1</t>
  </si>
  <si>
    <t>Plac 40x30 cm Escalon Lateral c/piqueta Reflex</t>
  </si>
  <si>
    <t>8840N1</t>
  </si>
  <si>
    <t>Piqueta 40 cm de jalonamiento TB-11 Reflex</t>
  </si>
  <si>
    <t>887015DN1</t>
  </si>
  <si>
    <t>Baliza de señalizacion obra TB-8 NI Derecha</t>
  </si>
  <si>
    <t>887015IN1</t>
  </si>
  <si>
    <t>Baliza de señalizacion obra TB-9 NI Izquierda</t>
  </si>
  <si>
    <t>889530N1</t>
  </si>
  <si>
    <t>Panel Hastial 95x30 cm Reflex I 50%</t>
  </si>
  <si>
    <t>889530N2</t>
  </si>
  <si>
    <t>Panel Hastial 95x30 cm Reflex II 50%</t>
  </si>
  <si>
    <t>Reductor velocidad 60x50x4.5 cm Mod. G</t>
  </si>
  <si>
    <t>Extremo reductor veloc. 60x25x4,5 cm Mod. G</t>
  </si>
  <si>
    <t>Reductor velocidad 40x50x4.5 cm Mod. F</t>
  </si>
  <si>
    <t>Extremo reductor veloc. 40x25x4.5 cm Mod. F</t>
  </si>
  <si>
    <t>Reductor velocidad 30x33x4 cm Mod. E</t>
  </si>
  <si>
    <t>Extremo reductor velocid. 30x15x4 cm Mod. E</t>
  </si>
  <si>
    <t>Reductor velocidad 90x50x5 cm Mod. H</t>
  </si>
  <si>
    <t>Extremo reductor veloc. 90x25x5 cm Mod. H</t>
  </si>
  <si>
    <t>Reductor velocidad High impact Amarillo</t>
  </si>
  <si>
    <t>Reductor velocidad High impact Negro</t>
  </si>
  <si>
    <t>Extremo reductor velocidad High Impact amarillo</t>
  </si>
  <si>
    <t>Extremo reductor velocidad High Impact negro</t>
  </si>
  <si>
    <t>90135N</t>
  </si>
  <si>
    <t>Señal MOPU T.D. 135 cm N</t>
  </si>
  <si>
    <t>90135N1</t>
  </si>
  <si>
    <t>Señal MOPU T.D. 135 cm NI</t>
  </si>
  <si>
    <t>90135N2</t>
  </si>
  <si>
    <t>Señal MOPU T.D. 135 cm NII</t>
  </si>
  <si>
    <t>90135N3</t>
  </si>
  <si>
    <t>Señal MOPU T.D. 135 cm NIII</t>
  </si>
  <si>
    <t>Reductor velocidad High impact Amarillo pasacables</t>
  </si>
  <si>
    <t>Reductor velocidad High impact Negro pasacables</t>
  </si>
  <si>
    <t>Reductor velocidad Ovaglint 200x120x28 mm</t>
  </si>
  <si>
    <t>90175N1</t>
  </si>
  <si>
    <t>Señal MOPU T.D. 175 cm NI</t>
  </si>
  <si>
    <t>90175N2</t>
  </si>
  <si>
    <t>Señal MOPU T.D. 175 cm NII</t>
  </si>
  <si>
    <t>90175N3</t>
  </si>
  <si>
    <t>Señal MOPU T.D. 175 cm NIII</t>
  </si>
  <si>
    <t>9070N</t>
  </si>
  <si>
    <t>Señal MOPU T.D. 70 cm N</t>
  </si>
  <si>
    <t>9070N1</t>
  </si>
  <si>
    <t>Señal MOPU T.D. 70 cm NI</t>
  </si>
  <si>
    <t>9070N2</t>
  </si>
  <si>
    <t>Señal MOPU T.D. 70 cm NII</t>
  </si>
  <si>
    <t>9070N3</t>
  </si>
  <si>
    <t>Señal MOPU T.D. 70 cm NIII</t>
  </si>
  <si>
    <t>9090N</t>
  </si>
  <si>
    <t>Señal MOPU T.D. 90 cm N</t>
  </si>
  <si>
    <t>9090N1</t>
  </si>
  <si>
    <t>Señal MOPU T.D. 90 cm NI</t>
  </si>
  <si>
    <t>9090N2</t>
  </si>
  <si>
    <t>Señal MOPU T.D. 90 cm NII</t>
  </si>
  <si>
    <t>9090N3</t>
  </si>
  <si>
    <t>Señal MOPU T.D. 90 cm NIII</t>
  </si>
  <si>
    <t>91120N</t>
  </si>
  <si>
    <t>Señal MOPU R.D. 120cm N</t>
  </si>
  <si>
    <t>91120N1</t>
  </si>
  <si>
    <t>Señal MOPU R.D. 120cm NI</t>
  </si>
  <si>
    <t>91120N2</t>
  </si>
  <si>
    <t>Señal MOPU R.D. 120 cm NII</t>
  </si>
  <si>
    <t>91120N3</t>
  </si>
  <si>
    <t>Señal MOPU R.D. 120 cm NIII</t>
  </si>
  <si>
    <t>9160N</t>
  </si>
  <si>
    <t>Señal MOPU R.D. 60 cm N</t>
  </si>
  <si>
    <t>9160N1</t>
  </si>
  <si>
    <t>Señal MOPU R.D. 60 cm NI</t>
  </si>
  <si>
    <t>9160N2</t>
  </si>
  <si>
    <t>Señal MOPU R.D. 60 cm NII</t>
  </si>
  <si>
    <t>9160N3</t>
  </si>
  <si>
    <t>Señal MOPU R.D, 60 cm NIII</t>
  </si>
  <si>
    <t>9160NE</t>
  </si>
  <si>
    <t>Señal cuadrada 60 cm Normal recarga eléctrica</t>
  </si>
  <si>
    <t>9190N</t>
  </si>
  <si>
    <t>Señal MOPU R.D. 90 cm N</t>
  </si>
  <si>
    <t>9190N1</t>
  </si>
  <si>
    <t>Señal MOPU R.D. 90 cm NI</t>
  </si>
  <si>
    <t>9190N2</t>
  </si>
  <si>
    <t>Señal MOPU R.D. 90 cm NII</t>
  </si>
  <si>
    <t>9190N3</t>
  </si>
  <si>
    <t>Señal MOPU R.D. 90 cm NIII</t>
  </si>
  <si>
    <t>Pack 10 uds adhesivos 10x15 riesgo electrico</t>
  </si>
  <si>
    <t>925170N2</t>
  </si>
  <si>
    <t>Señal MOPU informativa 25x170 cm Reflex II</t>
  </si>
  <si>
    <t>9260N</t>
  </si>
  <si>
    <t>Señal MOPU R2 60 cm N</t>
  </si>
  <si>
    <t>9260N1</t>
  </si>
  <si>
    <t>Señal MOPU R2 60 cm NI</t>
  </si>
  <si>
    <t>9260N2</t>
  </si>
  <si>
    <t>Señal MOPU R2 60 cm NII</t>
  </si>
  <si>
    <t>9260N3</t>
  </si>
  <si>
    <t>Señal MOPU R2 60 cm NIII</t>
  </si>
  <si>
    <t>9290N</t>
  </si>
  <si>
    <t>Señal MOPU R2 90 cm N</t>
  </si>
  <si>
    <t>9290N1</t>
  </si>
  <si>
    <t>Señal MOPU R2 90 cm NI</t>
  </si>
  <si>
    <t>9290N2</t>
  </si>
  <si>
    <t>Señal MOPU R2 90 cm NII</t>
  </si>
  <si>
    <t>9290N3</t>
  </si>
  <si>
    <t>Señal MOPU R2 90 cm NIII</t>
  </si>
  <si>
    <t>9340N</t>
  </si>
  <si>
    <t>Señal MOPU C.D. 40x40cm N</t>
  </si>
  <si>
    <t>9340N1</t>
  </si>
  <si>
    <t>Señal MOPU C.D, 40x40cm NI</t>
  </si>
  <si>
    <t>9340N2</t>
  </si>
  <si>
    <t>Señal MOPU C.D. 40x40cm NII</t>
  </si>
  <si>
    <t>9340N3</t>
  </si>
  <si>
    <t>Señal MOPU C.D. 40x40 cm NIII</t>
  </si>
  <si>
    <t>9360N</t>
  </si>
  <si>
    <t>Señal MOPU C.D. 60x60cm N</t>
  </si>
  <si>
    <t>9360N1</t>
  </si>
  <si>
    <t>Señal MOPU C.D. 60x60cm NI</t>
  </si>
  <si>
    <t>9360N2</t>
  </si>
  <si>
    <t>Señal MOPU C.D. 60x60cm NII</t>
  </si>
  <si>
    <t>9360N3</t>
  </si>
  <si>
    <t>Señal MOPU C.D. 60x60cm NIII</t>
  </si>
  <si>
    <t>9390N</t>
  </si>
  <si>
    <t>Señal MOPU C.D. 90x90 cm N</t>
  </si>
  <si>
    <t>9390N1</t>
  </si>
  <si>
    <t>Señal MOPU C.D. 90x90 cm NI</t>
  </si>
  <si>
    <t>9390N2</t>
  </si>
  <si>
    <t>Señal MOPU C.D. 90x90 cm NII</t>
  </si>
  <si>
    <t>9390N3</t>
  </si>
  <si>
    <t>Señal MOPU C.D. 90x90 cm NIII</t>
  </si>
  <si>
    <t>94120180N1</t>
  </si>
  <si>
    <t>Rectangulo MOPU 120x180 cm Reflex I</t>
  </si>
  <si>
    <t>94120180N2</t>
  </si>
  <si>
    <t>Rectangulo MOPU 120x180 cm Reflex II</t>
  </si>
  <si>
    <t>94120180N3</t>
  </si>
  <si>
    <t>Rectangulo MOPU 120x180 cm Reflex III</t>
  </si>
  <si>
    <t>94120210N1</t>
  </si>
  <si>
    <t>Rectangulo MOPU 120x210 cm Reflex I</t>
  </si>
  <si>
    <t>94120210N2</t>
  </si>
  <si>
    <t>Rectangulo MOPU 120x210 cm Reflex II</t>
  </si>
  <si>
    <t>94120210N3</t>
  </si>
  <si>
    <t>Rectangulo MOPU 120x210 cm Reflex III</t>
  </si>
  <si>
    <t>944060N</t>
  </si>
  <si>
    <t>Rectangulo MOPU 40x60 cm Normal</t>
  </si>
  <si>
    <t>944060N1</t>
  </si>
  <si>
    <t>Rectangulo MOPU 40x60 cm Reflex I</t>
  </si>
  <si>
    <t>944060N2</t>
  </si>
  <si>
    <t>Rectangulo MOPU 40x60 cm Reflex II</t>
  </si>
  <si>
    <t>944060N3</t>
  </si>
  <si>
    <t>Rectangulo MOPU 40x60 cm Reflex III</t>
  </si>
  <si>
    <t>9460120N</t>
  </si>
  <si>
    <t>Rectangulo MOPU 60x120 cm Normal</t>
  </si>
  <si>
    <t>9460120N1</t>
  </si>
  <si>
    <t>Rectangulo MOPU 60x120 cm Reflex I</t>
  </si>
  <si>
    <t>9460120N2</t>
  </si>
  <si>
    <t>Rectangulo MOPU 60x120 cm Reflex II</t>
  </si>
  <si>
    <t>9460120N3</t>
  </si>
  <si>
    <t>Rectangulo MOPU 60x120 cm Reflex III</t>
  </si>
  <si>
    <t>946090N</t>
  </si>
  <si>
    <t>Rectangulo MOPU 60x90 cm Normal</t>
  </si>
  <si>
    <t>946090N1</t>
  </si>
  <si>
    <t>Rectangulo MOPU 60x90 cm Reflex I</t>
  </si>
  <si>
    <t>946090N2</t>
  </si>
  <si>
    <t>Rectangulo MOPU 60x90 cm Reflex II</t>
  </si>
  <si>
    <t>946090N3</t>
  </si>
  <si>
    <t>Rectangulo MOPU 60x90 cm Reflex III</t>
  </si>
  <si>
    <t>9490135N</t>
  </si>
  <si>
    <t>Rectangulo MOPU 90x135 cm Normal</t>
  </si>
  <si>
    <t>9490135N1</t>
  </si>
  <si>
    <t>Rectangulo MOPU 90x135 cm Reflex I</t>
  </si>
  <si>
    <t>9490135N2</t>
  </si>
  <si>
    <t>Rectangulo MOPU 90x135 cm Reflex II</t>
  </si>
  <si>
    <t>9490135N3</t>
  </si>
  <si>
    <t>Rectangulo MOPU 90x135 cm Reflex III</t>
  </si>
  <si>
    <t>9500N</t>
  </si>
  <si>
    <t>Señal Aluminio Triangular 70 cm Normal</t>
  </si>
  <si>
    <t>9500N1</t>
  </si>
  <si>
    <t>Señal Aluminio Triangular 70 cm Nivel 1</t>
  </si>
  <si>
    <t>954020N</t>
  </si>
  <si>
    <t>Señal MOPU complementaria 40x20 cm Normal</t>
  </si>
  <si>
    <t>954020N1</t>
  </si>
  <si>
    <t>Señal MOPU complementaria 40x20 cm Reflex I</t>
  </si>
  <si>
    <t>954020N2</t>
  </si>
  <si>
    <t>Señal MOPU complementaria 40x20 cm Reflex II</t>
  </si>
  <si>
    <t>954020N3</t>
  </si>
  <si>
    <t>Señal MOPU complemenaria 40x20 cm Reflex III</t>
  </si>
  <si>
    <t>956020N</t>
  </si>
  <si>
    <t>Señal MOPU complementaria 60x20 cm Normal</t>
  </si>
  <si>
    <t>956020N1</t>
  </si>
  <si>
    <t>Señal MOPU complementaria 60x20 cm Reflex I</t>
  </si>
  <si>
    <t>956020N2</t>
  </si>
  <si>
    <t>Señal MOPU complementaria 60x20 cm Reflex II</t>
  </si>
  <si>
    <t>956020N3</t>
  </si>
  <si>
    <t>Señal MOPU complementaria 60x20 cm Reflex III</t>
  </si>
  <si>
    <t>956030N</t>
  </si>
  <si>
    <t>Señal MOPU complementaria 60x30 cm Normal</t>
  </si>
  <si>
    <t>956030N1</t>
  </si>
  <si>
    <t>Señal MOPU complementaria 60x30 cm Reflex I</t>
  </si>
  <si>
    <t>956030N2</t>
  </si>
  <si>
    <t>Señal MOPU complementaria 60x30 cm Reflex II</t>
  </si>
  <si>
    <t>956030N3</t>
  </si>
  <si>
    <t>Señal MOPu complementaria 60x30 cm Reflex III</t>
  </si>
  <si>
    <t>956040N</t>
  </si>
  <si>
    <t>Señal MOPU complementaria 60x40 cm Normal</t>
  </si>
  <si>
    <t>956040N1</t>
  </si>
  <si>
    <t>Señal MOPU complementaria 60x40 cm Reflex I</t>
  </si>
  <si>
    <t>956040N2</t>
  </si>
  <si>
    <t>Señal MOPU complementaria 60x40 cm Reflex II</t>
  </si>
  <si>
    <t>956040N3</t>
  </si>
  <si>
    <t>Señal MOPU complementaria 60x40 cm Reflex III</t>
  </si>
  <si>
    <t>958040N</t>
  </si>
  <si>
    <t>Señal MOPU complementaria 80x40 Normal</t>
  </si>
  <si>
    <t>958040N1</t>
  </si>
  <si>
    <t>Señal MOPU complementaria 80x40 cm Reflex I</t>
  </si>
  <si>
    <t>958040N2</t>
  </si>
  <si>
    <t>Señal MOPU complementaria 80x40 cm Reflex II</t>
  </si>
  <si>
    <t>958040N3</t>
  </si>
  <si>
    <t>Señal MOPu complementaria 80x40 cm Reflex III</t>
  </si>
  <si>
    <t>958520N</t>
  </si>
  <si>
    <t>Señal MOPU complementaria 85x20 Normal</t>
  </si>
  <si>
    <t>958520N1</t>
  </si>
  <si>
    <t>Señal MOPU complementaria 85x20 cm Reflex I</t>
  </si>
  <si>
    <t>958520N2</t>
  </si>
  <si>
    <t>Señal MOPU complementaria 85x20 cm Reflex II</t>
  </si>
  <si>
    <t>958520N3</t>
  </si>
  <si>
    <t>Señal MOPU complementaria 85x20 cm Reflex III</t>
  </si>
  <si>
    <t>959030N</t>
  </si>
  <si>
    <t>Señal MOPU complementaria 90x30 cm Normal</t>
  </si>
  <si>
    <t>959030N1</t>
  </si>
  <si>
    <t>Señal MOPU complementario 90x30 cm Reflex I</t>
  </si>
  <si>
    <t>959030N2</t>
  </si>
  <si>
    <t>Señal MOPU complementaria 90x30 cm Reflex II</t>
  </si>
  <si>
    <t>959030N3</t>
  </si>
  <si>
    <t>Señal MOPU complementaria 90x30 cm Reflex III</t>
  </si>
  <si>
    <t>9600N</t>
  </si>
  <si>
    <t>Señal Aluminio Circular 60 cm Normal</t>
  </si>
  <si>
    <t>9600N1</t>
  </si>
  <si>
    <t>Señal Aluminio Circular 60 cm Nivel 1</t>
  </si>
  <si>
    <t>9625120N</t>
  </si>
  <si>
    <t>Señal MOPU informativa 25x120 cm Normal</t>
  </si>
  <si>
    <t>9625120N1</t>
  </si>
  <si>
    <t>Señal MOPU informativa 25x120 cm Reflex I</t>
  </si>
  <si>
    <t>9625120N1F</t>
  </si>
  <si>
    <t>Señal MOPU informativa 25x120 Nivel 1 Flechada</t>
  </si>
  <si>
    <t>9625120N2</t>
  </si>
  <si>
    <t>Señal MOPU informativa 25x120 cm Reflex II</t>
  </si>
  <si>
    <t>9625120N2F</t>
  </si>
  <si>
    <t>Señal MOPU informativa 25x120 Nivel 2 Flechada</t>
  </si>
  <si>
    <t>9625120N3</t>
  </si>
  <si>
    <t>Señal MOPU informativa 25x120 cm Reflex III</t>
  </si>
  <si>
    <t>9625120N3F</t>
  </si>
  <si>
    <t>Señal MOPU informativa 25x120 Nivel 3 Flechada</t>
  </si>
  <si>
    <t>9625120NF</t>
  </si>
  <si>
    <t>Señal MOPU informativa 25x120 Normal Flechada</t>
  </si>
  <si>
    <t>962570N</t>
  </si>
  <si>
    <t>Señal MOPU informativa 25x70 cm Normal</t>
  </si>
  <si>
    <t>962570N1</t>
  </si>
  <si>
    <t>Señal MOPU informativa 25x70 cm Reflex I</t>
  </si>
  <si>
    <t>962570N1F</t>
  </si>
  <si>
    <t>Señal MOPU informativa 25x70 cm Nivel 1 Flechada</t>
  </si>
  <si>
    <t>962570N2</t>
  </si>
  <si>
    <t>Señal MOPU informativa 25x70 cm Reflex II</t>
  </si>
  <si>
    <t>962570N2F</t>
  </si>
  <si>
    <t>Señal MOPU informativa 25x70 cm Nivel 2 Flechada</t>
  </si>
  <si>
    <t>962570N3</t>
  </si>
  <si>
    <t>Señal MOPU informativa 25x70 cm Reflex III</t>
  </si>
  <si>
    <t>962570N3F</t>
  </si>
  <si>
    <t>Señal MOPU informativa 25x70 cm Nivel 3 Flechada</t>
  </si>
  <si>
    <t>962570NF</t>
  </si>
  <si>
    <t>Señal MOPU informativa 25x70 cm Normal flechada</t>
  </si>
  <si>
    <t>962595N</t>
  </si>
  <si>
    <t>Señal MOPU informativa 25x95 cm Normal</t>
  </si>
  <si>
    <t>962595N1</t>
  </si>
  <si>
    <t>Señal MOPU informativa 25x95 cm Reflex I</t>
  </si>
  <si>
    <t>962595N3</t>
  </si>
  <si>
    <t>Señal MOPU informativa 25x95 cm Reflex III</t>
  </si>
  <si>
    <t>9630120N</t>
  </si>
  <si>
    <t>Señal MOPU informativa 30x120 cm Normal</t>
  </si>
  <si>
    <t>9630120N1</t>
  </si>
  <si>
    <t>Señal MOPU informativa 30x120 cm Reflex I</t>
  </si>
  <si>
    <t>9630145N</t>
  </si>
  <si>
    <t>Señal MOPU informativa 30x145 cm Normal</t>
  </si>
  <si>
    <t>9630145N1</t>
  </si>
  <si>
    <t>Señal MOPU informativa 30x145 cm Reflex I</t>
  </si>
  <si>
    <t>9630145N1F</t>
  </si>
  <si>
    <t>Señal informativa 30x145 cm Nivel 1 Flechada</t>
  </si>
  <si>
    <t>9630145N2</t>
  </si>
  <si>
    <t>Señal MOPU informativa 30x145 cm Reflex II</t>
  </si>
  <si>
    <t>9630145N2F</t>
  </si>
  <si>
    <t>Señal informativa 30x145 cm Nivel 2 Flechada</t>
  </si>
  <si>
    <t>9630145N3</t>
  </si>
  <si>
    <t>Señal MOPu informativa 30x145 cm Reflex III</t>
  </si>
  <si>
    <t>9630145N3F</t>
  </si>
  <si>
    <t>Señal informativa 30x145 cm Nivel 3 Flechada</t>
  </si>
  <si>
    <t>9630145NF</t>
  </si>
  <si>
    <t>Señal informativa 30x145 cm Normal Flechada</t>
  </si>
  <si>
    <t>963095N</t>
  </si>
  <si>
    <t>Señal MOPU informativa 30x95 cm Normal</t>
  </si>
  <si>
    <t>963095N1</t>
  </si>
  <si>
    <t>Señal MOPU informativa 30x95 cm Reflex I</t>
  </si>
  <si>
    <t>963095N1F</t>
  </si>
  <si>
    <t>Señal MOPU informativa 30x95 Nivel 1 Flechada</t>
  </si>
  <si>
    <t>963095N2</t>
  </si>
  <si>
    <t>Señal MOPU informativa 30x95 cm Reflex II</t>
  </si>
  <si>
    <t>963095N2F</t>
  </si>
  <si>
    <t>Señal MOPU informativa 30x95 Nivel 2 Flechada</t>
  </si>
  <si>
    <t>963095N3</t>
  </si>
  <si>
    <t>Señal MOPU informativa 30x95 cm Reflex III</t>
  </si>
  <si>
    <t>963095N3F</t>
  </si>
  <si>
    <t>Señal MOPU informativa 30x95 Nivel 3 Flechada</t>
  </si>
  <si>
    <t>963095NF</t>
  </si>
  <si>
    <t>Señal MOPU informativa 30x95 Normal Flechada</t>
  </si>
  <si>
    <t>9640120N</t>
  </si>
  <si>
    <t>Señal MOPU informativa 40x120 cm Normal</t>
  </si>
  <si>
    <t>9640120N1</t>
  </si>
  <si>
    <t>Señal MOPU informativa 40x120 cm Reflex I</t>
  </si>
  <si>
    <t>9640120N1F</t>
  </si>
  <si>
    <t>Señal MOPU informativa 40x120 cm Nivel 1 flechada</t>
  </si>
  <si>
    <t>9640120N2</t>
  </si>
  <si>
    <t>Señal MOPU informativa 40x120 cm Reflex II</t>
  </si>
  <si>
    <t>9640120N2F</t>
  </si>
  <si>
    <t>Señal MOPU informativa 40x120 cm Nivel 2 flechada</t>
  </si>
  <si>
    <t>9640120N3</t>
  </si>
  <si>
    <t>Señal MOPU inforrmativa 40x120 cm Reflex III</t>
  </si>
  <si>
    <t>9640120N3F</t>
  </si>
  <si>
    <t>Señal MOPU informativa 40x120 cm Nivel 3 flechada</t>
  </si>
  <si>
    <t>9640120NF</t>
  </si>
  <si>
    <t>Señal MOPU informativa 40x120 cm Normal Flechada</t>
  </si>
  <si>
    <t>9640170N1</t>
  </si>
  <si>
    <t>Señal MOPU complementaria 40x170 Nivel 1</t>
  </si>
  <si>
    <t>9640195N</t>
  </si>
  <si>
    <t>Señal MOPU informativa 40x195 cm Normal</t>
  </si>
  <si>
    <t>9640195N1</t>
  </si>
  <si>
    <t>Señal MOPU informativa 40x195 cm Nivel 1</t>
  </si>
  <si>
    <t>9640195N1F</t>
  </si>
  <si>
    <t>Señal MOPU informativa 40x195 cm Nivel 1 Flechada</t>
  </si>
  <si>
    <t>9640195N2</t>
  </si>
  <si>
    <t>Señal MOPU informativa 40x195 cm Nivel 2</t>
  </si>
  <si>
    <t>9640195N2F</t>
  </si>
  <si>
    <t>Señal MOPU informativa 40x195 cm Nivel 2 flechada</t>
  </si>
  <si>
    <t>9640195N3</t>
  </si>
  <si>
    <t>Señal MOPU informativa 40x195 cm Nivel 3</t>
  </si>
  <si>
    <t>9640195N3F</t>
  </si>
  <si>
    <t>Señal MOPU informativa 40x195 cm Nivel 3 Flechada</t>
  </si>
  <si>
    <t>9640195NF</t>
  </si>
  <si>
    <t>Señal MOPU informativa 40x195 cm Normal Flechada</t>
  </si>
  <si>
    <t>964595N</t>
  </si>
  <si>
    <t>Señal MOPU informativa 45x95 cm Normal</t>
  </si>
  <si>
    <t>964595N1</t>
  </si>
  <si>
    <t>Señal MOPU informativa 45x95 cm Nivel 1</t>
  </si>
  <si>
    <t>964595N1F</t>
  </si>
  <si>
    <t>Señal MOPU informativa 45x95 cm Nivel 1 Flechada</t>
  </si>
  <si>
    <t>964595N2</t>
  </si>
  <si>
    <t>Señal MOPU informativa 45x95 cm Nivel 2</t>
  </si>
  <si>
    <t>964595N2F</t>
  </si>
  <si>
    <t>Señal MOPU informativa 45x95 cm Nivel 2 Flechada</t>
  </si>
  <si>
    <t>964595N3</t>
  </si>
  <si>
    <t>Señal MOPU informativa 45x95 cm Nivel 3</t>
  </si>
  <si>
    <t>964595N3F</t>
  </si>
  <si>
    <t>964595NF</t>
  </si>
  <si>
    <t>Señal MOPU informativa 45x95 cm Normal Flechada</t>
  </si>
  <si>
    <t>9655120N</t>
  </si>
  <si>
    <t>Señal MOPU informativa 55x120 cm Normal</t>
  </si>
  <si>
    <t>9655120N1</t>
  </si>
  <si>
    <t>Señal MOPU informativa 55x120 cm Reflex I</t>
  </si>
  <si>
    <t>9655120N1F</t>
  </si>
  <si>
    <t>Señal MOPU informativa 55x120 cm Nivel 1 Flechada</t>
  </si>
  <si>
    <t>9655120N2</t>
  </si>
  <si>
    <t>Señal MOPU informativa 55x120 cm Reflex II</t>
  </si>
  <si>
    <t>9655120N2F</t>
  </si>
  <si>
    <t>Señal MOPU informativa 55x120 cm Nivel 2 Flechada</t>
  </si>
  <si>
    <t>9655120N3</t>
  </si>
  <si>
    <t>Señal MOPU informativa 55x120 cm Reflex NIII</t>
  </si>
  <si>
    <t>9655120N3F</t>
  </si>
  <si>
    <t>Señal MOPU informativa 55x120 cm Nivel 3 flechada</t>
  </si>
  <si>
    <t>9655120NF</t>
  </si>
  <si>
    <t>Señal MOPU informativa 55x120 cm Normal Flechada</t>
  </si>
  <si>
    <t>9655170N2</t>
  </si>
  <si>
    <t>Señal MOPU informativa 55x170 cm Reflex II</t>
  </si>
  <si>
    <t>965595N</t>
  </si>
  <si>
    <t>Señal MOPU informativa 55x95 cm Normal</t>
  </si>
  <si>
    <t>965595N1</t>
  </si>
  <si>
    <t>Señal MOPU informativa 55x95 cm Reflex I</t>
  </si>
  <si>
    <t>965595N1F</t>
  </si>
  <si>
    <t>Señal MOPU informativa 55x95 cm Nivel 1 Flechada</t>
  </si>
  <si>
    <t>965595N2</t>
  </si>
  <si>
    <t>Señal MOPU informativa 55X95 cm Reflex II</t>
  </si>
  <si>
    <t>965595N2F</t>
  </si>
  <si>
    <t>Señal MOPU informativa 55x95 cm Nivel 2 Flechada</t>
  </si>
  <si>
    <t>965595N3</t>
  </si>
  <si>
    <t>Señal MOPU informativa 55x95 cm Reflex III</t>
  </si>
  <si>
    <t>965595N3F</t>
  </si>
  <si>
    <t>Señal MOPU informativa 55x95 cm Nivel 3 Flechada</t>
  </si>
  <si>
    <t>965595NF</t>
  </si>
  <si>
    <t>Señal MOPU informativa 55x95 cm Normal Flechada</t>
  </si>
  <si>
    <t>9695145N</t>
  </si>
  <si>
    <t>Señal MOPU informativa 95x145 cm Normal</t>
  </si>
  <si>
    <t>9700N</t>
  </si>
  <si>
    <t>Señal Aluminio Cuadrada 60 cm Normal</t>
  </si>
  <si>
    <t>9700N1</t>
  </si>
  <si>
    <t>Señal Aluminio Cuadrada 60 cm Nivel 1</t>
  </si>
  <si>
    <t>9716545N</t>
  </si>
  <si>
    <t>Panel direccional A/B 165x45 cm Normal</t>
  </si>
  <si>
    <t>9716545N1</t>
  </si>
  <si>
    <t>Panel direccional A/B 165x45 cm Reflex I</t>
  </si>
  <si>
    <t>9716545N2</t>
  </si>
  <si>
    <t>Panel direccional A/B 165x45 cm Reflex II</t>
  </si>
  <si>
    <t>9716545N3</t>
  </si>
  <si>
    <t>Panel direccional A/B 165x45 cm Reflex III</t>
  </si>
  <si>
    <t>978040N</t>
  </si>
  <si>
    <t>Panel direccional A/B 80x40 cm Normal</t>
  </si>
  <si>
    <t>978040N1</t>
  </si>
  <si>
    <t>Panel direccional A/B 80x40 cm Reflex I</t>
  </si>
  <si>
    <t>978040N2</t>
  </si>
  <si>
    <t>Panel direccional A/B 80x40 cm Reflex II</t>
  </si>
  <si>
    <t>978040N3</t>
  </si>
  <si>
    <t>Panel direccional A/B 80x40 cm Reflex III</t>
  </si>
  <si>
    <t>9800N</t>
  </si>
  <si>
    <t>Señal Aluminio Stop 60 cm Normal</t>
  </si>
  <si>
    <t>9800N1</t>
  </si>
  <si>
    <t>Señal Aluminio Stop 60 cm Nivel 1</t>
  </si>
  <si>
    <t>9900N</t>
  </si>
  <si>
    <t>Señal Aluminio Rectangular 60x30 cm Normal</t>
  </si>
  <si>
    <t>9900N1</t>
  </si>
  <si>
    <t>Señal Aluminio Rectangular 60x30 cm Nivel 1</t>
  </si>
  <si>
    <t>ABRAZADERA50-</t>
  </si>
  <si>
    <t>Abrazadera completa para poste 50/60</t>
  </si>
  <si>
    <t>ABRAZADERA80X</t>
  </si>
  <si>
    <t>Abrazadera para poste de 80x40</t>
  </si>
  <si>
    <t>AL297105</t>
  </si>
  <si>
    <t>Panel impreso aluminio 297x105 mm</t>
  </si>
  <si>
    <t>AL320160</t>
  </si>
  <si>
    <t>Panel impreso aluminio 320x160 mm</t>
  </si>
  <si>
    <t>AL420320</t>
  </si>
  <si>
    <t>Panel impreso aluminio 420x320 mm</t>
  </si>
  <si>
    <t>AL630630</t>
  </si>
  <si>
    <t>Panel impreso aluminio 630x630 mm</t>
  </si>
  <si>
    <t>AL960480</t>
  </si>
  <si>
    <t>Panel impreso aluminio 960x480</t>
  </si>
  <si>
    <t>ALA1</t>
  </si>
  <si>
    <t>Panel impreso aluminio A1 (841x594 mm)</t>
  </si>
  <si>
    <t>ALA2</t>
  </si>
  <si>
    <t>Panel impreso aluminio A2 (594X420)</t>
  </si>
  <si>
    <t>ALA3</t>
  </si>
  <si>
    <t>Panel impreso aluminio A3 (420X297 mm)</t>
  </si>
  <si>
    <t>ALA4</t>
  </si>
  <si>
    <t>Panel impreso aluminio A4 (297x210 mm)</t>
  </si>
  <si>
    <t>ALA6</t>
  </si>
  <si>
    <t>Panel impreso aluminio A6 (105x148 mm)</t>
  </si>
  <si>
    <t>CBA3</t>
  </si>
  <si>
    <t>Soporte cartel en banderola acero cartel 40x30 cm</t>
  </si>
  <si>
    <t>CBA4</t>
  </si>
  <si>
    <t>Soporte cartel en banderola acero cartel 21x29 cm</t>
  </si>
  <si>
    <t>ESCRUADRA</t>
  </si>
  <si>
    <t>Escuadra 9x8x1,8 cm. señal MOPU</t>
  </si>
  <si>
    <t>ESCUADRA</t>
  </si>
  <si>
    <t>Escuadra 14x8x1,8 cm señal MOPU</t>
  </si>
  <si>
    <t>EXPOSIT SEÑAL</t>
  </si>
  <si>
    <t>Expositor Señalización SIN SEÑALES</t>
  </si>
  <si>
    <t>EXPOSITOR</t>
  </si>
  <si>
    <t>Expositor Señalización + Señales metálicas estándar</t>
  </si>
  <si>
    <t>MCA1</t>
  </si>
  <si>
    <t>Panel impreso Metacrilato colada 2 mm A1 (841x594 mm)</t>
  </si>
  <si>
    <t>MCA2</t>
  </si>
  <si>
    <t>Panel impreso Metacrilato colada 2 mm A2 (594x420 mm)</t>
  </si>
  <si>
    <t>MCA3</t>
  </si>
  <si>
    <t>Panel impreso Metacrilato colada 2 mm A3 (420x297 mm)</t>
  </si>
  <si>
    <t>MCA4</t>
  </si>
  <si>
    <t>Panel impreso Metacrilato colada 2 mm A4 (210x297 mm)</t>
  </si>
  <si>
    <t>MCA5</t>
  </si>
  <si>
    <t>Panel impreso Metacrilato colada 2 mm A5 (148x210 mm)</t>
  </si>
  <si>
    <t>MCA6</t>
  </si>
  <si>
    <t>Panel impreso Metacrilato colada 2 mm A6 (148x105 mm)</t>
  </si>
  <si>
    <t>PASA1</t>
  </si>
  <si>
    <t>Panel impreso Aluminio Sandwich 2mm/0.15 mm A1 (841x594</t>
  </si>
  <si>
    <t>PASA2</t>
  </si>
  <si>
    <t>Panel impreso Aluminio Sandwich 2mm/0.15 mm A2 (594x420</t>
  </si>
  <si>
    <t>PASA3</t>
  </si>
  <si>
    <t>Panel impreso Aluminio Sandwich 2mm/0.15 mm A3 (420x297</t>
  </si>
  <si>
    <t>PASA4</t>
  </si>
  <si>
    <t>Panel impreso Aluminio Sandwich 2mm/0.15 mm A4 (297x210</t>
  </si>
  <si>
    <t>PASA5</t>
  </si>
  <si>
    <t>Panel impreso Aluminio Sandwich 2mm/0.15 mm A5 (148x210</t>
  </si>
  <si>
    <t>PASA6</t>
  </si>
  <si>
    <t>Panel impreso Aluminio Sandwich 2mm/0.15 mm A6 (105x148</t>
  </si>
  <si>
    <t>PCMA1</t>
  </si>
  <si>
    <t>Panel impreso PP Celular Microcanal 3 mm A1 (841x594 mm)</t>
  </si>
  <si>
    <t>PCMA2</t>
  </si>
  <si>
    <t>Panel impreso PP Celular Microcanal 3 mm A2 (594x420 mm)</t>
  </si>
  <si>
    <t>PCMA3</t>
  </si>
  <si>
    <t>Panel impreso PP Celular Microcanal 3 mm A3 (420x297 mm)</t>
  </si>
  <si>
    <t>PCMA4</t>
  </si>
  <si>
    <t>Panel impreso PP Celular Microcanal 3 mm A4 (297x210 mm)</t>
  </si>
  <si>
    <t>PCMA5</t>
  </si>
  <si>
    <t>Panel impreso PP Celular Microcanal 3 mm A5 (148x210 mm)</t>
  </si>
  <si>
    <t>PCMA6</t>
  </si>
  <si>
    <t>Panel impreso PP Celular Microcanal 3 mm A6 (105x148 mm)</t>
  </si>
  <si>
    <t>PIEVALLA</t>
  </si>
  <si>
    <t>Pie de valla Gate Barrier</t>
  </si>
  <si>
    <t>PIEVALLAP</t>
  </si>
  <si>
    <t>Pie Valla Gate Barrier Asimétrico</t>
  </si>
  <si>
    <t>PVC10070FOTOL</t>
  </si>
  <si>
    <t>Cartel PVC fotoluminiscente 100x70 cm</t>
  </si>
  <si>
    <t>PVCRA1</t>
  </si>
  <si>
    <t>Panel impreso PVC Rígido espumado 3 mm A1 (841x594 mm)</t>
  </si>
  <si>
    <t>PVCRA2</t>
  </si>
  <si>
    <t>Panel impreso PVC Rígido espumado 3 mm A2 (594X420 mm)</t>
  </si>
  <si>
    <t>PVCRA3</t>
  </si>
  <si>
    <t>Panel impreso PVC Rígido espumado 3 mm A3 (420x297 mm)</t>
  </si>
  <si>
    <t>PVCRA4</t>
  </si>
  <si>
    <t>Panel impreso PVC Rígido espumado 3 mm A4 (297x210 mm)</t>
  </si>
  <si>
    <t>PVCRA5</t>
  </si>
  <si>
    <t>Panel impreso PVC Rígido espumado 3 mm A5 (148x210 mm)</t>
  </si>
  <si>
    <t>PVCRA6</t>
  </si>
  <si>
    <t>Panel impreso PVC Rígido espumado 3 mm A6 (105x148 mm)</t>
  </si>
  <si>
    <t>S13LUM</t>
  </si>
  <si>
    <t>Señal aluminio Luminosa S13 60 cm</t>
  </si>
  <si>
    <t>S13SOLAR</t>
  </si>
  <si>
    <t>Kit Solar 20 w para alimentación 5 ah/12 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</si>
</sst>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"/>
    <numFmt numFmtId="165" formatCode="yyyy/mm"/>
  </numFmts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Font="1"/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2.25"/>
    <col customWidth="1" min="8" max="8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>
        <v>101.0</v>
      </c>
      <c r="B2" s="1" t="s">
        <v>12</v>
      </c>
      <c r="C2" s="3">
        <v>5.2</v>
      </c>
      <c r="D2" s="3">
        <v>2.1</v>
      </c>
      <c r="E2" s="3">
        <v>2.1</v>
      </c>
      <c r="F2" s="3">
        <v>1.0</v>
      </c>
      <c r="G2" s="4">
        <f t="shared" ref="G2:G2095" si="1">C2/2</f>
        <v>2.6</v>
      </c>
      <c r="H2" s="4" t="str">
        <f t="shared" ref="H2:H2095" si="2">IF(D2&lt;&gt;"", "Neto: " &amp; TEXT(D2, "0.00") &amp; " € (a partir de " &amp; F2 &amp; " uds.)", "Sin precio neto")</f>
        <v>Neto: 2,10 € (a partir de 1 uds.)</v>
      </c>
      <c r="I2" s="4" t="str">
        <f t="shared" ref="I2:I2095" si="3">IF(E2&lt;&gt;"", "Neto G.C.: " &amp; TEXT(E2, "0.00") &amp; " € (a partir de " &amp; F2 &amp; " uds.)", "Sin precio neto G.C.")</f>
        <v>Neto G.C.: 2,10 € (a partir de 1 uds.)</v>
      </c>
      <c r="J2" s="4">
        <f t="shared" ref="J2:J2095" si="4">C2*0.48</f>
        <v>2.496</v>
      </c>
      <c r="K2" s="4">
        <f t="shared" ref="K2:K2095" si="5">C2*0.5</f>
        <v>2.6</v>
      </c>
      <c r="L2" s="4">
        <f t="shared" ref="L2:L2095" si="6">C2*0.48</f>
        <v>2.496</v>
      </c>
    </row>
    <row r="3">
      <c r="A3" s="1" t="s">
        <v>13</v>
      </c>
      <c r="B3" s="1" t="s">
        <v>14</v>
      </c>
      <c r="C3" s="3">
        <v>4.5</v>
      </c>
      <c r="D3" s="5"/>
      <c r="E3" s="5"/>
      <c r="F3" s="5"/>
      <c r="G3" s="4">
        <f t="shared" si="1"/>
        <v>2.25</v>
      </c>
      <c r="H3" s="4" t="str">
        <f t="shared" si="2"/>
        <v>Sin precio neto</v>
      </c>
      <c r="I3" s="4" t="str">
        <f t="shared" si="3"/>
        <v>Sin precio neto G.C.</v>
      </c>
      <c r="J3" s="4">
        <f t="shared" si="4"/>
        <v>2.16</v>
      </c>
      <c r="K3" s="4">
        <f t="shared" si="5"/>
        <v>2.25</v>
      </c>
      <c r="L3" s="4">
        <f t="shared" si="6"/>
        <v>2.16</v>
      </c>
    </row>
    <row r="4">
      <c r="A4" s="1" t="s">
        <v>15</v>
      </c>
      <c r="B4" s="1" t="s">
        <v>16</v>
      </c>
      <c r="C4" s="3">
        <v>8.96</v>
      </c>
      <c r="D4" s="5"/>
      <c r="E4" s="5"/>
      <c r="F4" s="5"/>
      <c r="G4" s="4">
        <f t="shared" si="1"/>
        <v>4.48</v>
      </c>
      <c r="H4" s="4" t="str">
        <f t="shared" si="2"/>
        <v>Sin precio neto</v>
      </c>
      <c r="I4" s="4" t="str">
        <f t="shared" si="3"/>
        <v>Sin precio neto G.C.</v>
      </c>
      <c r="J4" s="4">
        <f t="shared" si="4"/>
        <v>4.3008</v>
      </c>
      <c r="K4" s="4">
        <f t="shared" si="5"/>
        <v>4.48</v>
      </c>
      <c r="L4" s="4">
        <f t="shared" si="6"/>
        <v>4.3008</v>
      </c>
    </row>
    <row r="5">
      <c r="A5" s="1" t="s">
        <v>17</v>
      </c>
      <c r="B5" s="1" t="s">
        <v>18</v>
      </c>
      <c r="C5" s="3">
        <v>17.92</v>
      </c>
      <c r="D5" s="5"/>
      <c r="E5" s="5"/>
      <c r="F5" s="5"/>
      <c r="G5" s="4">
        <f t="shared" si="1"/>
        <v>8.96</v>
      </c>
      <c r="H5" s="4" t="str">
        <f t="shared" si="2"/>
        <v>Sin precio neto</v>
      </c>
      <c r="I5" s="4" t="str">
        <f t="shared" si="3"/>
        <v>Sin precio neto G.C.</v>
      </c>
      <c r="J5" s="4">
        <f t="shared" si="4"/>
        <v>8.6016</v>
      </c>
      <c r="K5" s="4">
        <f t="shared" si="5"/>
        <v>8.96</v>
      </c>
      <c r="L5" s="4">
        <f t="shared" si="6"/>
        <v>8.6016</v>
      </c>
    </row>
    <row r="6">
      <c r="A6" s="3">
        <v>102.0</v>
      </c>
      <c r="B6" s="1" t="s">
        <v>12</v>
      </c>
      <c r="C6" s="3">
        <v>5.2</v>
      </c>
      <c r="D6" s="3">
        <v>2.1</v>
      </c>
      <c r="E6" s="3">
        <v>2.1</v>
      </c>
      <c r="F6" s="3">
        <v>1.0</v>
      </c>
      <c r="G6" s="4">
        <f t="shared" si="1"/>
        <v>2.6</v>
      </c>
      <c r="H6" s="4" t="str">
        <f t="shared" si="2"/>
        <v>Neto: 2,10 € (a partir de 1 uds.)</v>
      </c>
      <c r="I6" s="4" t="str">
        <f t="shared" si="3"/>
        <v>Neto G.C.: 2,10 € (a partir de 1 uds.)</v>
      </c>
      <c r="J6" s="4">
        <f t="shared" si="4"/>
        <v>2.496</v>
      </c>
      <c r="K6" s="4">
        <f t="shared" si="5"/>
        <v>2.6</v>
      </c>
      <c r="L6" s="4">
        <f t="shared" si="6"/>
        <v>2.496</v>
      </c>
    </row>
    <row r="7">
      <c r="A7" s="1" t="s">
        <v>19</v>
      </c>
      <c r="B7" s="1" t="s">
        <v>20</v>
      </c>
      <c r="C7" s="3">
        <v>4.5</v>
      </c>
      <c r="D7" s="5"/>
      <c r="E7" s="5"/>
      <c r="F7" s="5"/>
      <c r="G7" s="4">
        <f t="shared" si="1"/>
        <v>2.25</v>
      </c>
      <c r="H7" s="4" t="str">
        <f t="shared" si="2"/>
        <v>Sin precio neto</v>
      </c>
      <c r="I7" s="4" t="str">
        <f t="shared" si="3"/>
        <v>Sin precio neto G.C.</v>
      </c>
      <c r="J7" s="4">
        <f t="shared" si="4"/>
        <v>2.16</v>
      </c>
      <c r="K7" s="4">
        <f t="shared" si="5"/>
        <v>2.25</v>
      </c>
      <c r="L7" s="4">
        <f t="shared" si="6"/>
        <v>2.16</v>
      </c>
    </row>
    <row r="8">
      <c r="A8" s="1" t="s">
        <v>21</v>
      </c>
      <c r="B8" s="1" t="s">
        <v>22</v>
      </c>
      <c r="C8" s="3">
        <v>8.96</v>
      </c>
      <c r="D8" s="5"/>
      <c r="E8" s="5"/>
      <c r="F8" s="5"/>
      <c r="G8" s="4">
        <f t="shared" si="1"/>
        <v>4.48</v>
      </c>
      <c r="H8" s="4" t="str">
        <f t="shared" si="2"/>
        <v>Sin precio neto</v>
      </c>
      <c r="I8" s="4" t="str">
        <f t="shared" si="3"/>
        <v>Sin precio neto G.C.</v>
      </c>
      <c r="J8" s="4">
        <f t="shared" si="4"/>
        <v>4.3008</v>
      </c>
      <c r="K8" s="4">
        <f t="shared" si="5"/>
        <v>4.48</v>
      </c>
      <c r="L8" s="4">
        <f t="shared" si="6"/>
        <v>4.3008</v>
      </c>
    </row>
    <row r="9">
      <c r="A9" s="1" t="s">
        <v>23</v>
      </c>
      <c r="B9" s="1" t="s">
        <v>24</v>
      </c>
      <c r="C9" s="3">
        <v>17.92</v>
      </c>
      <c r="D9" s="5"/>
      <c r="E9" s="5"/>
      <c r="F9" s="5"/>
      <c r="G9" s="4">
        <f t="shared" si="1"/>
        <v>8.96</v>
      </c>
      <c r="H9" s="4" t="str">
        <f t="shared" si="2"/>
        <v>Sin precio neto</v>
      </c>
      <c r="I9" s="4" t="str">
        <f t="shared" si="3"/>
        <v>Sin precio neto G.C.</v>
      </c>
      <c r="J9" s="4">
        <f t="shared" si="4"/>
        <v>8.6016</v>
      </c>
      <c r="K9" s="4">
        <f t="shared" si="5"/>
        <v>8.96</v>
      </c>
      <c r="L9" s="4">
        <f t="shared" si="6"/>
        <v>8.6016</v>
      </c>
    </row>
    <row r="10">
      <c r="A10" s="3">
        <v>103.0</v>
      </c>
      <c r="B10" s="1" t="s">
        <v>25</v>
      </c>
      <c r="C10" s="3">
        <v>5.2</v>
      </c>
      <c r="D10" s="3">
        <v>2.1</v>
      </c>
      <c r="E10" s="3">
        <v>2.1</v>
      </c>
      <c r="F10" s="3">
        <v>1.0</v>
      </c>
      <c r="G10" s="4">
        <f t="shared" si="1"/>
        <v>2.6</v>
      </c>
      <c r="H10" s="4" t="str">
        <f t="shared" si="2"/>
        <v>Neto: 2,10 € (a partir de 1 uds.)</v>
      </c>
      <c r="I10" s="4" t="str">
        <f t="shared" si="3"/>
        <v>Neto G.C.: 2,10 € (a partir de 1 uds.)</v>
      </c>
      <c r="J10" s="4">
        <f t="shared" si="4"/>
        <v>2.496</v>
      </c>
      <c r="K10" s="4">
        <f t="shared" si="5"/>
        <v>2.6</v>
      </c>
      <c r="L10" s="4">
        <f t="shared" si="6"/>
        <v>2.496</v>
      </c>
    </row>
    <row r="11">
      <c r="A11" s="1" t="s">
        <v>26</v>
      </c>
      <c r="B11" s="1" t="s">
        <v>27</v>
      </c>
      <c r="C11" s="3">
        <v>4.5</v>
      </c>
      <c r="D11" s="5"/>
      <c r="E11" s="5"/>
      <c r="F11" s="5"/>
      <c r="G11" s="4">
        <f t="shared" si="1"/>
        <v>2.25</v>
      </c>
      <c r="H11" s="4" t="str">
        <f t="shared" si="2"/>
        <v>Sin precio neto</v>
      </c>
      <c r="I11" s="4" t="str">
        <f t="shared" si="3"/>
        <v>Sin precio neto G.C.</v>
      </c>
      <c r="J11" s="4">
        <f t="shared" si="4"/>
        <v>2.16</v>
      </c>
      <c r="K11" s="4">
        <f t="shared" si="5"/>
        <v>2.25</v>
      </c>
      <c r="L11" s="4">
        <f t="shared" si="6"/>
        <v>2.16</v>
      </c>
    </row>
    <row r="12">
      <c r="A12" s="1" t="s">
        <v>28</v>
      </c>
      <c r="B12" s="1" t="s">
        <v>29</v>
      </c>
      <c r="C12" s="3">
        <v>8.96</v>
      </c>
      <c r="D12" s="5"/>
      <c r="E12" s="5"/>
      <c r="F12" s="5"/>
      <c r="G12" s="4">
        <f t="shared" si="1"/>
        <v>4.48</v>
      </c>
      <c r="H12" s="4" t="str">
        <f t="shared" si="2"/>
        <v>Sin precio neto</v>
      </c>
      <c r="I12" s="4" t="str">
        <f t="shared" si="3"/>
        <v>Sin precio neto G.C.</v>
      </c>
      <c r="J12" s="4">
        <f t="shared" si="4"/>
        <v>4.3008</v>
      </c>
      <c r="K12" s="4">
        <f t="shared" si="5"/>
        <v>4.48</v>
      </c>
      <c r="L12" s="4">
        <f t="shared" si="6"/>
        <v>4.3008</v>
      </c>
    </row>
    <row r="13">
      <c r="A13" s="1" t="s">
        <v>30</v>
      </c>
      <c r="B13" s="1" t="s">
        <v>31</v>
      </c>
      <c r="C13" s="3">
        <v>17.92</v>
      </c>
      <c r="D13" s="5"/>
      <c r="E13" s="5"/>
      <c r="F13" s="5"/>
      <c r="G13" s="4">
        <f t="shared" si="1"/>
        <v>8.96</v>
      </c>
      <c r="H13" s="4" t="str">
        <f t="shared" si="2"/>
        <v>Sin precio neto</v>
      </c>
      <c r="I13" s="4" t="str">
        <f t="shared" si="3"/>
        <v>Sin precio neto G.C.</v>
      </c>
      <c r="J13" s="4">
        <f t="shared" si="4"/>
        <v>8.6016</v>
      </c>
      <c r="K13" s="4">
        <f t="shared" si="5"/>
        <v>8.96</v>
      </c>
      <c r="L13" s="4">
        <f t="shared" si="6"/>
        <v>8.6016</v>
      </c>
    </row>
    <row r="14">
      <c r="A14" s="3">
        <v>104.0</v>
      </c>
      <c r="B14" s="1" t="s">
        <v>32</v>
      </c>
      <c r="C14" s="3">
        <v>5.2</v>
      </c>
      <c r="D14" s="3">
        <v>2.1</v>
      </c>
      <c r="E14" s="3">
        <v>2.1</v>
      </c>
      <c r="F14" s="3">
        <v>1.0</v>
      </c>
      <c r="G14" s="4">
        <f t="shared" si="1"/>
        <v>2.6</v>
      </c>
      <c r="H14" s="4" t="str">
        <f t="shared" si="2"/>
        <v>Neto: 2,10 € (a partir de 1 uds.)</v>
      </c>
      <c r="I14" s="4" t="str">
        <f t="shared" si="3"/>
        <v>Neto G.C.: 2,10 € (a partir de 1 uds.)</v>
      </c>
      <c r="J14" s="4">
        <f t="shared" si="4"/>
        <v>2.496</v>
      </c>
      <c r="K14" s="4">
        <f t="shared" si="5"/>
        <v>2.6</v>
      </c>
      <c r="L14" s="4">
        <f t="shared" si="6"/>
        <v>2.496</v>
      </c>
    </row>
    <row r="15">
      <c r="A15" s="1" t="s">
        <v>33</v>
      </c>
      <c r="B15" s="1" t="s">
        <v>34</v>
      </c>
      <c r="C15" s="3">
        <v>4.5</v>
      </c>
      <c r="D15" s="5"/>
      <c r="E15" s="5"/>
      <c r="F15" s="5"/>
      <c r="G15" s="4">
        <f t="shared" si="1"/>
        <v>2.25</v>
      </c>
      <c r="H15" s="4" t="str">
        <f t="shared" si="2"/>
        <v>Sin precio neto</v>
      </c>
      <c r="I15" s="4" t="str">
        <f t="shared" si="3"/>
        <v>Sin precio neto G.C.</v>
      </c>
      <c r="J15" s="4">
        <f t="shared" si="4"/>
        <v>2.16</v>
      </c>
      <c r="K15" s="4">
        <f t="shared" si="5"/>
        <v>2.25</v>
      </c>
      <c r="L15" s="4">
        <f t="shared" si="6"/>
        <v>2.16</v>
      </c>
    </row>
    <row r="16">
      <c r="A16" s="1" t="s">
        <v>35</v>
      </c>
      <c r="B16" s="1" t="s">
        <v>36</v>
      </c>
      <c r="C16" s="3">
        <v>8.96</v>
      </c>
      <c r="D16" s="5"/>
      <c r="E16" s="5"/>
      <c r="F16" s="5"/>
      <c r="G16" s="4">
        <f t="shared" si="1"/>
        <v>4.48</v>
      </c>
      <c r="H16" s="4" t="str">
        <f t="shared" si="2"/>
        <v>Sin precio neto</v>
      </c>
      <c r="I16" s="4" t="str">
        <f t="shared" si="3"/>
        <v>Sin precio neto G.C.</v>
      </c>
      <c r="J16" s="4">
        <f t="shared" si="4"/>
        <v>4.3008</v>
      </c>
      <c r="K16" s="4">
        <f t="shared" si="5"/>
        <v>4.48</v>
      </c>
      <c r="L16" s="4">
        <f t="shared" si="6"/>
        <v>4.3008</v>
      </c>
    </row>
    <row r="17">
      <c r="A17" s="1" t="s">
        <v>37</v>
      </c>
      <c r="B17" s="1" t="s">
        <v>38</v>
      </c>
      <c r="C17" s="3">
        <v>17.92</v>
      </c>
      <c r="D17" s="5"/>
      <c r="E17" s="5"/>
      <c r="F17" s="5"/>
      <c r="G17" s="4">
        <f t="shared" si="1"/>
        <v>8.96</v>
      </c>
      <c r="H17" s="4" t="str">
        <f t="shared" si="2"/>
        <v>Sin precio neto</v>
      </c>
      <c r="I17" s="4" t="str">
        <f t="shared" si="3"/>
        <v>Sin precio neto G.C.</v>
      </c>
      <c r="J17" s="4">
        <f t="shared" si="4"/>
        <v>8.6016</v>
      </c>
      <c r="K17" s="4">
        <f t="shared" si="5"/>
        <v>8.96</v>
      </c>
      <c r="L17" s="4">
        <f t="shared" si="6"/>
        <v>8.6016</v>
      </c>
    </row>
    <row r="18">
      <c r="A18" s="3">
        <v>105.0</v>
      </c>
      <c r="B18" s="1" t="s">
        <v>39</v>
      </c>
      <c r="C18" s="3">
        <v>5.2</v>
      </c>
      <c r="D18" s="3">
        <v>2.1</v>
      </c>
      <c r="E18" s="3">
        <v>2.1</v>
      </c>
      <c r="F18" s="3">
        <v>1.0</v>
      </c>
      <c r="G18" s="4">
        <f t="shared" si="1"/>
        <v>2.6</v>
      </c>
      <c r="H18" s="4" t="str">
        <f t="shared" si="2"/>
        <v>Neto: 2,10 € (a partir de 1 uds.)</v>
      </c>
      <c r="I18" s="4" t="str">
        <f t="shared" si="3"/>
        <v>Neto G.C.: 2,10 € (a partir de 1 uds.)</v>
      </c>
      <c r="J18" s="4">
        <f t="shared" si="4"/>
        <v>2.496</v>
      </c>
      <c r="K18" s="4">
        <f t="shared" si="5"/>
        <v>2.6</v>
      </c>
      <c r="L18" s="4">
        <f t="shared" si="6"/>
        <v>2.496</v>
      </c>
    </row>
    <row r="19">
      <c r="A19" s="1" t="s">
        <v>40</v>
      </c>
      <c r="B19" s="1" t="s">
        <v>41</v>
      </c>
      <c r="C19" s="3">
        <v>4.5</v>
      </c>
      <c r="D19" s="5"/>
      <c r="E19" s="5"/>
      <c r="F19" s="5"/>
      <c r="G19" s="4">
        <f t="shared" si="1"/>
        <v>2.25</v>
      </c>
      <c r="H19" s="4" t="str">
        <f t="shared" si="2"/>
        <v>Sin precio neto</v>
      </c>
      <c r="I19" s="4" t="str">
        <f t="shared" si="3"/>
        <v>Sin precio neto G.C.</v>
      </c>
      <c r="J19" s="4">
        <f t="shared" si="4"/>
        <v>2.16</v>
      </c>
      <c r="K19" s="4">
        <f t="shared" si="5"/>
        <v>2.25</v>
      </c>
      <c r="L19" s="4">
        <f t="shared" si="6"/>
        <v>2.16</v>
      </c>
    </row>
    <row r="20">
      <c r="A20" s="1" t="s">
        <v>42</v>
      </c>
      <c r="B20" s="1" t="s">
        <v>43</v>
      </c>
      <c r="C20" s="3">
        <v>8.96</v>
      </c>
      <c r="D20" s="5"/>
      <c r="E20" s="5"/>
      <c r="F20" s="5"/>
      <c r="G20" s="4">
        <f t="shared" si="1"/>
        <v>4.48</v>
      </c>
      <c r="H20" s="4" t="str">
        <f t="shared" si="2"/>
        <v>Sin precio neto</v>
      </c>
      <c r="I20" s="4" t="str">
        <f t="shared" si="3"/>
        <v>Sin precio neto G.C.</v>
      </c>
      <c r="J20" s="4">
        <f t="shared" si="4"/>
        <v>4.3008</v>
      </c>
      <c r="K20" s="4">
        <f t="shared" si="5"/>
        <v>4.48</v>
      </c>
      <c r="L20" s="4">
        <f t="shared" si="6"/>
        <v>4.3008</v>
      </c>
    </row>
    <row r="21">
      <c r="A21" s="1" t="s">
        <v>44</v>
      </c>
      <c r="B21" s="1" t="s">
        <v>45</v>
      </c>
      <c r="C21" s="3">
        <v>17.92</v>
      </c>
      <c r="D21" s="5"/>
      <c r="E21" s="5"/>
      <c r="F21" s="5"/>
      <c r="G21" s="4">
        <f t="shared" si="1"/>
        <v>8.96</v>
      </c>
      <c r="H21" s="4" t="str">
        <f t="shared" si="2"/>
        <v>Sin precio neto</v>
      </c>
      <c r="I21" s="4" t="str">
        <f t="shared" si="3"/>
        <v>Sin precio neto G.C.</v>
      </c>
      <c r="J21" s="4">
        <f t="shared" si="4"/>
        <v>8.6016</v>
      </c>
      <c r="K21" s="4">
        <f t="shared" si="5"/>
        <v>8.96</v>
      </c>
      <c r="L21" s="4">
        <f t="shared" si="6"/>
        <v>8.6016</v>
      </c>
    </row>
    <row r="22">
      <c r="A22" s="3">
        <v>106.0</v>
      </c>
      <c r="B22" s="1" t="s">
        <v>46</v>
      </c>
      <c r="C22" s="3">
        <v>5.2</v>
      </c>
      <c r="D22" s="3">
        <v>2.1</v>
      </c>
      <c r="E22" s="3">
        <v>2.1</v>
      </c>
      <c r="F22" s="3">
        <v>1.0</v>
      </c>
      <c r="G22" s="4">
        <f t="shared" si="1"/>
        <v>2.6</v>
      </c>
      <c r="H22" s="4" t="str">
        <f t="shared" si="2"/>
        <v>Neto: 2,10 € (a partir de 1 uds.)</v>
      </c>
      <c r="I22" s="4" t="str">
        <f t="shared" si="3"/>
        <v>Neto G.C.: 2,10 € (a partir de 1 uds.)</v>
      </c>
      <c r="J22" s="4">
        <f t="shared" si="4"/>
        <v>2.496</v>
      </c>
      <c r="K22" s="4">
        <f t="shared" si="5"/>
        <v>2.6</v>
      </c>
      <c r="L22" s="4">
        <f t="shared" si="6"/>
        <v>2.496</v>
      </c>
    </row>
    <row r="23">
      <c r="A23" s="1" t="s">
        <v>47</v>
      </c>
      <c r="B23" s="1" t="s">
        <v>48</v>
      </c>
      <c r="C23" s="3">
        <v>4.5</v>
      </c>
      <c r="D23" s="5"/>
      <c r="E23" s="5"/>
      <c r="F23" s="5"/>
      <c r="G23" s="4">
        <f t="shared" si="1"/>
        <v>2.25</v>
      </c>
      <c r="H23" s="4" t="str">
        <f t="shared" si="2"/>
        <v>Sin precio neto</v>
      </c>
      <c r="I23" s="4" t="str">
        <f t="shared" si="3"/>
        <v>Sin precio neto G.C.</v>
      </c>
      <c r="J23" s="4">
        <f t="shared" si="4"/>
        <v>2.16</v>
      </c>
      <c r="K23" s="4">
        <f t="shared" si="5"/>
        <v>2.25</v>
      </c>
      <c r="L23" s="4">
        <f t="shared" si="6"/>
        <v>2.16</v>
      </c>
    </row>
    <row r="24">
      <c r="A24" s="1" t="s">
        <v>49</v>
      </c>
      <c r="B24" s="1" t="s">
        <v>50</v>
      </c>
      <c r="C24" s="3">
        <v>8.96</v>
      </c>
      <c r="D24" s="5"/>
      <c r="E24" s="5"/>
      <c r="F24" s="5"/>
      <c r="G24" s="4">
        <f t="shared" si="1"/>
        <v>4.48</v>
      </c>
      <c r="H24" s="4" t="str">
        <f t="shared" si="2"/>
        <v>Sin precio neto</v>
      </c>
      <c r="I24" s="4" t="str">
        <f t="shared" si="3"/>
        <v>Sin precio neto G.C.</v>
      </c>
      <c r="J24" s="4">
        <f t="shared" si="4"/>
        <v>4.3008</v>
      </c>
      <c r="K24" s="4">
        <f t="shared" si="5"/>
        <v>4.48</v>
      </c>
      <c r="L24" s="4">
        <f t="shared" si="6"/>
        <v>4.3008</v>
      </c>
    </row>
    <row r="25">
      <c r="A25" s="1" t="s">
        <v>51</v>
      </c>
      <c r="B25" s="1" t="s">
        <v>52</v>
      </c>
      <c r="C25" s="3">
        <v>17.92</v>
      </c>
      <c r="D25" s="5"/>
      <c r="E25" s="5"/>
      <c r="F25" s="5"/>
      <c r="G25" s="4">
        <f t="shared" si="1"/>
        <v>8.96</v>
      </c>
      <c r="H25" s="4" t="str">
        <f t="shared" si="2"/>
        <v>Sin precio neto</v>
      </c>
      <c r="I25" s="4" t="str">
        <f t="shared" si="3"/>
        <v>Sin precio neto G.C.</v>
      </c>
      <c r="J25" s="4">
        <f t="shared" si="4"/>
        <v>8.6016</v>
      </c>
      <c r="K25" s="4">
        <f t="shared" si="5"/>
        <v>8.96</v>
      </c>
      <c r="L25" s="4">
        <f t="shared" si="6"/>
        <v>8.6016</v>
      </c>
    </row>
    <row r="26">
      <c r="A26" s="3">
        <v>107.0</v>
      </c>
      <c r="B26" s="1" t="s">
        <v>53</v>
      </c>
      <c r="C26" s="3">
        <v>5.2</v>
      </c>
      <c r="D26" s="3">
        <v>2.1</v>
      </c>
      <c r="E26" s="3">
        <v>2.1</v>
      </c>
      <c r="F26" s="3">
        <v>1.0</v>
      </c>
      <c r="G26" s="4">
        <f t="shared" si="1"/>
        <v>2.6</v>
      </c>
      <c r="H26" s="4" t="str">
        <f t="shared" si="2"/>
        <v>Neto: 2,10 € (a partir de 1 uds.)</v>
      </c>
      <c r="I26" s="4" t="str">
        <f t="shared" si="3"/>
        <v>Neto G.C.: 2,10 € (a partir de 1 uds.)</v>
      </c>
      <c r="J26" s="4">
        <f t="shared" si="4"/>
        <v>2.496</v>
      </c>
      <c r="K26" s="4">
        <f t="shared" si="5"/>
        <v>2.6</v>
      </c>
      <c r="L26" s="4">
        <f t="shared" si="6"/>
        <v>2.496</v>
      </c>
    </row>
    <row r="27">
      <c r="A27" s="1" t="s">
        <v>54</v>
      </c>
      <c r="B27" s="1" t="s">
        <v>55</v>
      </c>
      <c r="C27" s="3">
        <v>4.5</v>
      </c>
      <c r="D27" s="5"/>
      <c r="E27" s="5"/>
      <c r="F27" s="5"/>
      <c r="G27" s="4">
        <f t="shared" si="1"/>
        <v>2.25</v>
      </c>
      <c r="H27" s="4" t="str">
        <f t="shared" si="2"/>
        <v>Sin precio neto</v>
      </c>
      <c r="I27" s="4" t="str">
        <f t="shared" si="3"/>
        <v>Sin precio neto G.C.</v>
      </c>
      <c r="J27" s="4">
        <f t="shared" si="4"/>
        <v>2.16</v>
      </c>
      <c r="K27" s="4">
        <f t="shared" si="5"/>
        <v>2.25</v>
      </c>
      <c r="L27" s="4">
        <f t="shared" si="6"/>
        <v>2.16</v>
      </c>
    </row>
    <row r="28">
      <c r="A28" s="1" t="s">
        <v>56</v>
      </c>
      <c r="B28" s="1" t="s">
        <v>57</v>
      </c>
      <c r="C28" s="3">
        <v>8.96</v>
      </c>
      <c r="D28" s="5"/>
      <c r="E28" s="5"/>
      <c r="F28" s="5"/>
      <c r="G28" s="4">
        <f t="shared" si="1"/>
        <v>4.48</v>
      </c>
      <c r="H28" s="4" t="str">
        <f t="shared" si="2"/>
        <v>Sin precio neto</v>
      </c>
      <c r="I28" s="4" t="str">
        <f t="shared" si="3"/>
        <v>Sin precio neto G.C.</v>
      </c>
      <c r="J28" s="4">
        <f t="shared" si="4"/>
        <v>4.3008</v>
      </c>
      <c r="K28" s="4">
        <f t="shared" si="5"/>
        <v>4.48</v>
      </c>
      <c r="L28" s="4">
        <f t="shared" si="6"/>
        <v>4.3008</v>
      </c>
    </row>
    <row r="29">
      <c r="A29" s="1" t="s">
        <v>58</v>
      </c>
      <c r="B29" s="1" t="s">
        <v>59</v>
      </c>
      <c r="C29" s="3">
        <v>17.92</v>
      </c>
      <c r="D29" s="5"/>
      <c r="E29" s="5"/>
      <c r="F29" s="5"/>
      <c r="G29" s="4">
        <f t="shared" si="1"/>
        <v>8.96</v>
      </c>
      <c r="H29" s="4" t="str">
        <f t="shared" si="2"/>
        <v>Sin precio neto</v>
      </c>
      <c r="I29" s="4" t="str">
        <f t="shared" si="3"/>
        <v>Sin precio neto G.C.</v>
      </c>
      <c r="J29" s="4">
        <f t="shared" si="4"/>
        <v>8.6016</v>
      </c>
      <c r="K29" s="4">
        <f t="shared" si="5"/>
        <v>8.96</v>
      </c>
      <c r="L29" s="4">
        <f t="shared" si="6"/>
        <v>8.6016</v>
      </c>
    </row>
    <row r="30">
      <c r="A30" s="3">
        <v>108.0</v>
      </c>
      <c r="B30" s="1" t="s">
        <v>60</v>
      </c>
      <c r="C30" s="3">
        <v>5.2</v>
      </c>
      <c r="D30" s="3">
        <v>2.1</v>
      </c>
      <c r="E30" s="3">
        <v>2.1</v>
      </c>
      <c r="F30" s="3">
        <v>1.0</v>
      </c>
      <c r="G30" s="4">
        <f t="shared" si="1"/>
        <v>2.6</v>
      </c>
      <c r="H30" s="4" t="str">
        <f t="shared" si="2"/>
        <v>Neto: 2,10 € (a partir de 1 uds.)</v>
      </c>
      <c r="I30" s="4" t="str">
        <f t="shared" si="3"/>
        <v>Neto G.C.: 2,10 € (a partir de 1 uds.)</v>
      </c>
      <c r="J30" s="4">
        <f t="shared" si="4"/>
        <v>2.496</v>
      </c>
      <c r="K30" s="4">
        <f t="shared" si="5"/>
        <v>2.6</v>
      </c>
      <c r="L30" s="4">
        <f t="shared" si="6"/>
        <v>2.496</v>
      </c>
    </row>
    <row r="31">
      <c r="A31" s="1" t="s">
        <v>61</v>
      </c>
      <c r="B31" s="1" t="s">
        <v>62</v>
      </c>
      <c r="C31" s="3">
        <v>4.5</v>
      </c>
      <c r="D31" s="5"/>
      <c r="E31" s="5"/>
      <c r="F31" s="5"/>
      <c r="G31" s="4">
        <f t="shared" si="1"/>
        <v>2.25</v>
      </c>
      <c r="H31" s="4" t="str">
        <f t="shared" si="2"/>
        <v>Sin precio neto</v>
      </c>
      <c r="I31" s="4" t="str">
        <f t="shared" si="3"/>
        <v>Sin precio neto G.C.</v>
      </c>
      <c r="J31" s="4">
        <f t="shared" si="4"/>
        <v>2.16</v>
      </c>
      <c r="K31" s="4">
        <f t="shared" si="5"/>
        <v>2.25</v>
      </c>
      <c r="L31" s="4">
        <f t="shared" si="6"/>
        <v>2.16</v>
      </c>
    </row>
    <row r="32">
      <c r="A32" s="1" t="s">
        <v>63</v>
      </c>
      <c r="B32" s="1" t="s">
        <v>64</v>
      </c>
      <c r="C32" s="3">
        <v>8.96</v>
      </c>
      <c r="D32" s="5"/>
      <c r="E32" s="5"/>
      <c r="F32" s="5"/>
      <c r="G32" s="4">
        <f t="shared" si="1"/>
        <v>4.48</v>
      </c>
      <c r="H32" s="4" t="str">
        <f t="shared" si="2"/>
        <v>Sin precio neto</v>
      </c>
      <c r="I32" s="4" t="str">
        <f t="shared" si="3"/>
        <v>Sin precio neto G.C.</v>
      </c>
      <c r="J32" s="4">
        <f t="shared" si="4"/>
        <v>4.3008</v>
      </c>
      <c r="K32" s="4">
        <f t="shared" si="5"/>
        <v>4.48</v>
      </c>
      <c r="L32" s="4">
        <f t="shared" si="6"/>
        <v>4.3008</v>
      </c>
    </row>
    <row r="33">
      <c r="A33" s="1" t="s">
        <v>65</v>
      </c>
      <c r="B33" s="1" t="s">
        <v>66</v>
      </c>
      <c r="C33" s="3">
        <v>17.92</v>
      </c>
      <c r="D33" s="5"/>
      <c r="E33" s="5"/>
      <c r="F33" s="5"/>
      <c r="G33" s="4">
        <f t="shared" si="1"/>
        <v>8.96</v>
      </c>
      <c r="H33" s="4" t="str">
        <f t="shared" si="2"/>
        <v>Sin precio neto</v>
      </c>
      <c r="I33" s="4" t="str">
        <f t="shared" si="3"/>
        <v>Sin precio neto G.C.</v>
      </c>
      <c r="J33" s="4">
        <f t="shared" si="4"/>
        <v>8.6016</v>
      </c>
      <c r="K33" s="4">
        <f t="shared" si="5"/>
        <v>8.96</v>
      </c>
      <c r="L33" s="4">
        <f t="shared" si="6"/>
        <v>8.6016</v>
      </c>
    </row>
    <row r="34">
      <c r="A34" s="3">
        <v>109.0</v>
      </c>
      <c r="B34" s="1" t="s">
        <v>67</v>
      </c>
      <c r="C34" s="3">
        <v>5.2</v>
      </c>
      <c r="D34" s="3">
        <v>2.1</v>
      </c>
      <c r="E34" s="3">
        <v>2.1</v>
      </c>
      <c r="F34" s="3">
        <v>1.0</v>
      </c>
      <c r="G34" s="4">
        <f t="shared" si="1"/>
        <v>2.6</v>
      </c>
      <c r="H34" s="4" t="str">
        <f t="shared" si="2"/>
        <v>Neto: 2,10 € (a partir de 1 uds.)</v>
      </c>
      <c r="I34" s="4" t="str">
        <f t="shared" si="3"/>
        <v>Neto G.C.: 2,10 € (a partir de 1 uds.)</v>
      </c>
      <c r="J34" s="4">
        <f t="shared" si="4"/>
        <v>2.496</v>
      </c>
      <c r="K34" s="4">
        <f t="shared" si="5"/>
        <v>2.6</v>
      </c>
      <c r="L34" s="4">
        <f t="shared" si="6"/>
        <v>2.496</v>
      </c>
    </row>
    <row r="35">
      <c r="A35" s="1" t="s">
        <v>68</v>
      </c>
      <c r="B35" s="1" t="s">
        <v>69</v>
      </c>
      <c r="C35" s="3">
        <v>4.5</v>
      </c>
      <c r="D35" s="5"/>
      <c r="E35" s="5"/>
      <c r="F35" s="5"/>
      <c r="G35" s="4">
        <f t="shared" si="1"/>
        <v>2.25</v>
      </c>
      <c r="H35" s="4" t="str">
        <f t="shared" si="2"/>
        <v>Sin precio neto</v>
      </c>
      <c r="I35" s="4" t="str">
        <f t="shared" si="3"/>
        <v>Sin precio neto G.C.</v>
      </c>
      <c r="J35" s="4">
        <f t="shared" si="4"/>
        <v>2.16</v>
      </c>
      <c r="K35" s="4">
        <f t="shared" si="5"/>
        <v>2.25</v>
      </c>
      <c r="L35" s="4">
        <f t="shared" si="6"/>
        <v>2.16</v>
      </c>
    </row>
    <row r="36">
      <c r="A36" s="1" t="s">
        <v>70</v>
      </c>
      <c r="B36" s="1" t="s">
        <v>71</v>
      </c>
      <c r="C36" s="3">
        <v>8.96</v>
      </c>
      <c r="D36" s="5"/>
      <c r="E36" s="5"/>
      <c r="F36" s="5"/>
      <c r="G36" s="4">
        <f t="shared" si="1"/>
        <v>4.48</v>
      </c>
      <c r="H36" s="4" t="str">
        <f t="shared" si="2"/>
        <v>Sin precio neto</v>
      </c>
      <c r="I36" s="4" t="str">
        <f t="shared" si="3"/>
        <v>Sin precio neto G.C.</v>
      </c>
      <c r="J36" s="4">
        <f t="shared" si="4"/>
        <v>4.3008</v>
      </c>
      <c r="K36" s="4">
        <f t="shared" si="5"/>
        <v>4.48</v>
      </c>
      <c r="L36" s="4">
        <f t="shared" si="6"/>
        <v>4.3008</v>
      </c>
    </row>
    <row r="37">
      <c r="A37" s="1" t="s">
        <v>72</v>
      </c>
      <c r="B37" s="1" t="s">
        <v>73</v>
      </c>
      <c r="C37" s="3">
        <v>17.92</v>
      </c>
      <c r="D37" s="5"/>
      <c r="E37" s="5"/>
      <c r="F37" s="5"/>
      <c r="G37" s="4">
        <f t="shared" si="1"/>
        <v>8.96</v>
      </c>
      <c r="H37" s="4" t="str">
        <f t="shared" si="2"/>
        <v>Sin precio neto</v>
      </c>
      <c r="I37" s="4" t="str">
        <f t="shared" si="3"/>
        <v>Sin precio neto G.C.</v>
      </c>
      <c r="J37" s="4">
        <f t="shared" si="4"/>
        <v>8.6016</v>
      </c>
      <c r="K37" s="4">
        <f t="shared" si="5"/>
        <v>8.96</v>
      </c>
      <c r="L37" s="4">
        <f t="shared" si="6"/>
        <v>8.6016</v>
      </c>
    </row>
    <row r="38">
      <c r="A38" s="3">
        <v>110.0</v>
      </c>
      <c r="B38" s="1" t="s">
        <v>74</v>
      </c>
      <c r="C38" s="3">
        <v>5.2</v>
      </c>
      <c r="D38" s="3">
        <v>2.1</v>
      </c>
      <c r="E38" s="3">
        <v>2.1</v>
      </c>
      <c r="F38" s="3">
        <v>1.0</v>
      </c>
      <c r="G38" s="4">
        <f t="shared" si="1"/>
        <v>2.6</v>
      </c>
      <c r="H38" s="4" t="str">
        <f t="shared" si="2"/>
        <v>Neto: 2,10 € (a partir de 1 uds.)</v>
      </c>
      <c r="I38" s="4" t="str">
        <f t="shared" si="3"/>
        <v>Neto G.C.: 2,10 € (a partir de 1 uds.)</v>
      </c>
      <c r="J38" s="4">
        <f t="shared" si="4"/>
        <v>2.496</v>
      </c>
      <c r="K38" s="4">
        <f t="shared" si="5"/>
        <v>2.6</v>
      </c>
      <c r="L38" s="4">
        <f t="shared" si="6"/>
        <v>2.496</v>
      </c>
    </row>
    <row r="39">
      <c r="A39" s="1" t="s">
        <v>75</v>
      </c>
      <c r="B39" s="1" t="s">
        <v>76</v>
      </c>
      <c r="C39" s="3">
        <v>12.3</v>
      </c>
      <c r="D39" s="5"/>
      <c r="E39" s="5"/>
      <c r="F39" s="5"/>
      <c r="G39" s="4">
        <f t="shared" si="1"/>
        <v>6.15</v>
      </c>
      <c r="H39" s="4" t="str">
        <f t="shared" si="2"/>
        <v>Sin precio neto</v>
      </c>
      <c r="I39" s="4" t="str">
        <f t="shared" si="3"/>
        <v>Sin precio neto G.C.</v>
      </c>
      <c r="J39" s="4">
        <f t="shared" si="4"/>
        <v>5.904</v>
      </c>
      <c r="K39" s="4">
        <f t="shared" si="5"/>
        <v>6.15</v>
      </c>
      <c r="L39" s="4">
        <f t="shared" si="6"/>
        <v>5.904</v>
      </c>
    </row>
    <row r="40">
      <c r="A40" s="1" t="s">
        <v>77</v>
      </c>
      <c r="B40" s="1" t="s">
        <v>78</v>
      </c>
      <c r="C40" s="3">
        <v>4.62</v>
      </c>
      <c r="D40" s="5"/>
      <c r="E40" s="5"/>
      <c r="F40" s="5"/>
      <c r="G40" s="4">
        <f t="shared" si="1"/>
        <v>2.31</v>
      </c>
      <c r="H40" s="4" t="str">
        <f t="shared" si="2"/>
        <v>Sin precio neto</v>
      </c>
      <c r="I40" s="4" t="str">
        <f t="shared" si="3"/>
        <v>Sin precio neto G.C.</v>
      </c>
      <c r="J40" s="4">
        <f t="shared" si="4"/>
        <v>2.2176</v>
      </c>
      <c r="K40" s="4">
        <f t="shared" si="5"/>
        <v>2.31</v>
      </c>
      <c r="L40" s="4">
        <f t="shared" si="6"/>
        <v>2.2176</v>
      </c>
    </row>
    <row r="41">
      <c r="A41" s="1" t="s">
        <v>79</v>
      </c>
      <c r="B41" s="1" t="s">
        <v>80</v>
      </c>
      <c r="C41" s="3">
        <v>7.8</v>
      </c>
      <c r="D41" s="5"/>
      <c r="E41" s="5"/>
      <c r="F41" s="5"/>
      <c r="G41" s="4">
        <f t="shared" si="1"/>
        <v>3.9</v>
      </c>
      <c r="H41" s="4" t="str">
        <f t="shared" si="2"/>
        <v>Sin precio neto</v>
      </c>
      <c r="I41" s="4" t="str">
        <f t="shared" si="3"/>
        <v>Sin precio neto G.C.</v>
      </c>
      <c r="J41" s="4">
        <f t="shared" si="4"/>
        <v>3.744</v>
      </c>
      <c r="K41" s="4">
        <f t="shared" si="5"/>
        <v>3.9</v>
      </c>
      <c r="L41" s="4">
        <f t="shared" si="6"/>
        <v>3.744</v>
      </c>
    </row>
    <row r="42">
      <c r="A42" s="1" t="s">
        <v>81</v>
      </c>
      <c r="B42" s="1" t="s">
        <v>82</v>
      </c>
      <c r="C42" s="3">
        <v>12.5</v>
      </c>
      <c r="D42" s="5"/>
      <c r="E42" s="5"/>
      <c r="F42" s="5"/>
      <c r="G42" s="4">
        <f t="shared" si="1"/>
        <v>6.25</v>
      </c>
      <c r="H42" s="4" t="str">
        <f t="shared" si="2"/>
        <v>Sin precio neto</v>
      </c>
      <c r="I42" s="4" t="str">
        <f t="shared" si="3"/>
        <v>Sin precio neto G.C.</v>
      </c>
      <c r="J42" s="4">
        <f t="shared" si="4"/>
        <v>6</v>
      </c>
      <c r="K42" s="4">
        <f t="shared" si="5"/>
        <v>6.25</v>
      </c>
      <c r="L42" s="4">
        <f t="shared" si="6"/>
        <v>6</v>
      </c>
    </row>
    <row r="43">
      <c r="A43" s="3">
        <v>151.0</v>
      </c>
      <c r="B43" s="1" t="s">
        <v>83</v>
      </c>
      <c r="C43" s="3">
        <v>4.62</v>
      </c>
      <c r="D43" s="5"/>
      <c r="E43" s="5"/>
      <c r="F43" s="5"/>
      <c r="G43" s="4">
        <f t="shared" si="1"/>
        <v>2.31</v>
      </c>
      <c r="H43" s="4" t="str">
        <f t="shared" si="2"/>
        <v>Sin precio neto</v>
      </c>
      <c r="I43" s="4" t="str">
        <f t="shared" si="3"/>
        <v>Sin precio neto G.C.</v>
      </c>
      <c r="J43" s="4">
        <f t="shared" si="4"/>
        <v>2.2176</v>
      </c>
      <c r="K43" s="4">
        <f t="shared" si="5"/>
        <v>2.31</v>
      </c>
      <c r="L43" s="4">
        <f t="shared" si="6"/>
        <v>2.2176</v>
      </c>
    </row>
    <row r="44">
      <c r="A44" s="1" t="s">
        <v>84</v>
      </c>
      <c r="B44" s="1" t="s">
        <v>85</v>
      </c>
      <c r="C44" s="3">
        <v>4.62</v>
      </c>
      <c r="D44" s="5"/>
      <c r="E44" s="5"/>
      <c r="F44" s="5"/>
      <c r="G44" s="4">
        <f t="shared" si="1"/>
        <v>2.31</v>
      </c>
      <c r="H44" s="4" t="str">
        <f t="shared" si="2"/>
        <v>Sin precio neto</v>
      </c>
      <c r="I44" s="4" t="str">
        <f t="shared" si="3"/>
        <v>Sin precio neto G.C.</v>
      </c>
      <c r="J44" s="4">
        <f t="shared" si="4"/>
        <v>2.2176</v>
      </c>
      <c r="K44" s="4">
        <f t="shared" si="5"/>
        <v>2.31</v>
      </c>
      <c r="L44" s="4">
        <f t="shared" si="6"/>
        <v>2.2176</v>
      </c>
    </row>
    <row r="45">
      <c r="A45" s="1" t="s">
        <v>86</v>
      </c>
      <c r="B45" s="1" t="s">
        <v>87</v>
      </c>
      <c r="C45" s="3">
        <v>7.8</v>
      </c>
      <c r="D45" s="5"/>
      <c r="E45" s="5"/>
      <c r="F45" s="5"/>
      <c r="G45" s="4">
        <f t="shared" si="1"/>
        <v>3.9</v>
      </c>
      <c r="H45" s="4" t="str">
        <f t="shared" si="2"/>
        <v>Sin precio neto</v>
      </c>
      <c r="I45" s="4" t="str">
        <f t="shared" si="3"/>
        <v>Sin precio neto G.C.</v>
      </c>
      <c r="J45" s="4">
        <f t="shared" si="4"/>
        <v>3.744</v>
      </c>
      <c r="K45" s="4">
        <f t="shared" si="5"/>
        <v>3.9</v>
      </c>
      <c r="L45" s="4">
        <f t="shared" si="6"/>
        <v>3.744</v>
      </c>
    </row>
    <row r="46">
      <c r="A46" s="1" t="s">
        <v>88</v>
      </c>
      <c r="B46" s="1" t="s">
        <v>89</v>
      </c>
      <c r="C46" s="3">
        <v>12.5</v>
      </c>
      <c r="D46" s="5"/>
      <c r="E46" s="5"/>
      <c r="F46" s="5"/>
      <c r="G46" s="4">
        <f t="shared" si="1"/>
        <v>6.25</v>
      </c>
      <c r="H46" s="4" t="str">
        <f t="shared" si="2"/>
        <v>Sin precio neto</v>
      </c>
      <c r="I46" s="4" t="str">
        <f t="shared" si="3"/>
        <v>Sin precio neto G.C.</v>
      </c>
      <c r="J46" s="4">
        <f t="shared" si="4"/>
        <v>6</v>
      </c>
      <c r="K46" s="4">
        <f t="shared" si="5"/>
        <v>6.25</v>
      </c>
      <c r="L46" s="4">
        <f t="shared" si="6"/>
        <v>6</v>
      </c>
    </row>
    <row r="47">
      <c r="A47" s="3">
        <v>152.0</v>
      </c>
      <c r="B47" s="1" t="s">
        <v>90</v>
      </c>
      <c r="C47" s="3">
        <v>4.62</v>
      </c>
      <c r="D47" s="5"/>
      <c r="E47" s="5"/>
      <c r="F47" s="5"/>
      <c r="G47" s="4">
        <f t="shared" si="1"/>
        <v>2.31</v>
      </c>
      <c r="H47" s="4" t="str">
        <f t="shared" si="2"/>
        <v>Sin precio neto</v>
      </c>
      <c r="I47" s="4" t="str">
        <f t="shared" si="3"/>
        <v>Sin precio neto G.C.</v>
      </c>
      <c r="J47" s="4">
        <f t="shared" si="4"/>
        <v>2.2176</v>
      </c>
      <c r="K47" s="4">
        <f t="shared" si="5"/>
        <v>2.31</v>
      </c>
      <c r="L47" s="4">
        <f t="shared" si="6"/>
        <v>2.2176</v>
      </c>
    </row>
    <row r="48">
      <c r="A48" s="1" t="s">
        <v>91</v>
      </c>
      <c r="B48" s="1" t="s">
        <v>92</v>
      </c>
      <c r="C48" s="3">
        <v>4.62</v>
      </c>
      <c r="D48" s="5"/>
      <c r="E48" s="5"/>
      <c r="F48" s="5"/>
      <c r="G48" s="4">
        <f t="shared" si="1"/>
        <v>2.31</v>
      </c>
      <c r="H48" s="4" t="str">
        <f t="shared" si="2"/>
        <v>Sin precio neto</v>
      </c>
      <c r="I48" s="4" t="str">
        <f t="shared" si="3"/>
        <v>Sin precio neto G.C.</v>
      </c>
      <c r="J48" s="4">
        <f t="shared" si="4"/>
        <v>2.2176</v>
      </c>
      <c r="K48" s="4">
        <f t="shared" si="5"/>
        <v>2.31</v>
      </c>
      <c r="L48" s="4">
        <f t="shared" si="6"/>
        <v>2.2176</v>
      </c>
    </row>
    <row r="49">
      <c r="A49" s="1" t="s">
        <v>93</v>
      </c>
      <c r="B49" s="1" t="s">
        <v>94</v>
      </c>
      <c r="C49" s="3">
        <v>7.8</v>
      </c>
      <c r="D49" s="5"/>
      <c r="E49" s="5"/>
      <c r="F49" s="5"/>
      <c r="G49" s="4">
        <f t="shared" si="1"/>
        <v>3.9</v>
      </c>
      <c r="H49" s="4" t="str">
        <f t="shared" si="2"/>
        <v>Sin precio neto</v>
      </c>
      <c r="I49" s="4" t="str">
        <f t="shared" si="3"/>
        <v>Sin precio neto G.C.</v>
      </c>
      <c r="J49" s="4">
        <f t="shared" si="4"/>
        <v>3.744</v>
      </c>
      <c r="K49" s="4">
        <f t="shared" si="5"/>
        <v>3.9</v>
      </c>
      <c r="L49" s="4">
        <f t="shared" si="6"/>
        <v>3.744</v>
      </c>
    </row>
    <row r="50">
      <c r="A50" s="1" t="s">
        <v>95</v>
      </c>
      <c r="B50" s="1" t="s">
        <v>96</v>
      </c>
      <c r="C50" s="3">
        <v>12.5</v>
      </c>
      <c r="D50" s="5"/>
      <c r="E50" s="5"/>
      <c r="F50" s="5"/>
      <c r="G50" s="4">
        <f t="shared" si="1"/>
        <v>6.25</v>
      </c>
      <c r="H50" s="4" t="str">
        <f t="shared" si="2"/>
        <v>Sin precio neto</v>
      </c>
      <c r="I50" s="4" t="str">
        <f t="shared" si="3"/>
        <v>Sin precio neto G.C.</v>
      </c>
      <c r="J50" s="4">
        <f t="shared" si="4"/>
        <v>6</v>
      </c>
      <c r="K50" s="4">
        <f t="shared" si="5"/>
        <v>6.25</v>
      </c>
      <c r="L50" s="4">
        <f t="shared" si="6"/>
        <v>6</v>
      </c>
    </row>
    <row r="51">
      <c r="A51" s="3">
        <v>153.0</v>
      </c>
      <c r="B51" s="1" t="s">
        <v>97</v>
      </c>
      <c r="C51" s="3">
        <v>4.62</v>
      </c>
      <c r="D51" s="5"/>
      <c r="E51" s="5"/>
      <c r="F51" s="5"/>
      <c r="G51" s="4">
        <f t="shared" si="1"/>
        <v>2.31</v>
      </c>
      <c r="H51" s="4" t="str">
        <f t="shared" si="2"/>
        <v>Sin precio neto</v>
      </c>
      <c r="I51" s="4" t="str">
        <f t="shared" si="3"/>
        <v>Sin precio neto G.C.</v>
      </c>
      <c r="J51" s="4">
        <f t="shared" si="4"/>
        <v>2.2176</v>
      </c>
      <c r="K51" s="4">
        <f t="shared" si="5"/>
        <v>2.31</v>
      </c>
      <c r="L51" s="4">
        <f t="shared" si="6"/>
        <v>2.2176</v>
      </c>
    </row>
    <row r="52">
      <c r="A52" s="1" t="s">
        <v>98</v>
      </c>
      <c r="B52" s="1" t="s">
        <v>99</v>
      </c>
      <c r="C52" s="3">
        <v>4.62</v>
      </c>
      <c r="D52" s="5"/>
      <c r="E52" s="5"/>
      <c r="F52" s="5"/>
      <c r="G52" s="4">
        <f t="shared" si="1"/>
        <v>2.31</v>
      </c>
      <c r="H52" s="4" t="str">
        <f t="shared" si="2"/>
        <v>Sin precio neto</v>
      </c>
      <c r="I52" s="4" t="str">
        <f t="shared" si="3"/>
        <v>Sin precio neto G.C.</v>
      </c>
      <c r="J52" s="4">
        <f t="shared" si="4"/>
        <v>2.2176</v>
      </c>
      <c r="K52" s="4">
        <f t="shared" si="5"/>
        <v>2.31</v>
      </c>
      <c r="L52" s="4">
        <f t="shared" si="6"/>
        <v>2.2176</v>
      </c>
    </row>
    <row r="53">
      <c r="A53" s="1" t="s">
        <v>100</v>
      </c>
      <c r="B53" s="1" t="s">
        <v>101</v>
      </c>
      <c r="C53" s="3">
        <v>7.8</v>
      </c>
      <c r="D53" s="5"/>
      <c r="E53" s="5"/>
      <c r="F53" s="5"/>
      <c r="G53" s="4">
        <f t="shared" si="1"/>
        <v>3.9</v>
      </c>
      <c r="H53" s="4" t="str">
        <f t="shared" si="2"/>
        <v>Sin precio neto</v>
      </c>
      <c r="I53" s="4" t="str">
        <f t="shared" si="3"/>
        <v>Sin precio neto G.C.</v>
      </c>
      <c r="J53" s="4">
        <f t="shared" si="4"/>
        <v>3.744</v>
      </c>
      <c r="K53" s="4">
        <f t="shared" si="5"/>
        <v>3.9</v>
      </c>
      <c r="L53" s="4">
        <f t="shared" si="6"/>
        <v>3.744</v>
      </c>
    </row>
    <row r="54">
      <c r="A54" s="1" t="s">
        <v>102</v>
      </c>
      <c r="B54" s="1" t="s">
        <v>103</v>
      </c>
      <c r="C54" s="3">
        <v>12.5</v>
      </c>
      <c r="D54" s="5"/>
      <c r="E54" s="5"/>
      <c r="F54" s="5"/>
      <c r="G54" s="4">
        <f t="shared" si="1"/>
        <v>6.25</v>
      </c>
      <c r="H54" s="4" t="str">
        <f t="shared" si="2"/>
        <v>Sin precio neto</v>
      </c>
      <c r="I54" s="4" t="str">
        <f t="shared" si="3"/>
        <v>Sin precio neto G.C.</v>
      </c>
      <c r="J54" s="4">
        <f t="shared" si="4"/>
        <v>6</v>
      </c>
      <c r="K54" s="4">
        <f t="shared" si="5"/>
        <v>6.25</v>
      </c>
      <c r="L54" s="4">
        <f t="shared" si="6"/>
        <v>6</v>
      </c>
    </row>
    <row r="55">
      <c r="A55" s="3">
        <v>154.0</v>
      </c>
      <c r="B55" s="1" t="s">
        <v>104</v>
      </c>
      <c r="C55" s="3">
        <v>4.62</v>
      </c>
      <c r="D55" s="5"/>
      <c r="E55" s="5"/>
      <c r="F55" s="5"/>
      <c r="G55" s="4">
        <f t="shared" si="1"/>
        <v>2.31</v>
      </c>
      <c r="H55" s="4" t="str">
        <f t="shared" si="2"/>
        <v>Sin precio neto</v>
      </c>
      <c r="I55" s="4" t="str">
        <f t="shared" si="3"/>
        <v>Sin precio neto G.C.</v>
      </c>
      <c r="J55" s="4">
        <f t="shared" si="4"/>
        <v>2.2176</v>
      </c>
      <c r="K55" s="4">
        <f t="shared" si="5"/>
        <v>2.31</v>
      </c>
      <c r="L55" s="4">
        <f t="shared" si="6"/>
        <v>2.2176</v>
      </c>
    </row>
    <row r="56">
      <c r="A56" s="1" t="s">
        <v>105</v>
      </c>
      <c r="B56" s="1" t="s">
        <v>106</v>
      </c>
      <c r="C56" s="3">
        <v>4.62</v>
      </c>
      <c r="D56" s="5"/>
      <c r="E56" s="5"/>
      <c r="F56" s="5"/>
      <c r="G56" s="4">
        <f t="shared" si="1"/>
        <v>2.31</v>
      </c>
      <c r="H56" s="4" t="str">
        <f t="shared" si="2"/>
        <v>Sin precio neto</v>
      </c>
      <c r="I56" s="4" t="str">
        <f t="shared" si="3"/>
        <v>Sin precio neto G.C.</v>
      </c>
      <c r="J56" s="4">
        <f t="shared" si="4"/>
        <v>2.2176</v>
      </c>
      <c r="K56" s="4">
        <f t="shared" si="5"/>
        <v>2.31</v>
      </c>
      <c r="L56" s="4">
        <f t="shared" si="6"/>
        <v>2.2176</v>
      </c>
    </row>
    <row r="57">
      <c r="A57" s="1" t="s">
        <v>107</v>
      </c>
      <c r="B57" s="1" t="s">
        <v>108</v>
      </c>
      <c r="C57" s="3">
        <v>7.8</v>
      </c>
      <c r="D57" s="5"/>
      <c r="E57" s="5"/>
      <c r="F57" s="5"/>
      <c r="G57" s="4">
        <f t="shared" si="1"/>
        <v>3.9</v>
      </c>
      <c r="H57" s="4" t="str">
        <f t="shared" si="2"/>
        <v>Sin precio neto</v>
      </c>
      <c r="I57" s="4" t="str">
        <f t="shared" si="3"/>
        <v>Sin precio neto G.C.</v>
      </c>
      <c r="J57" s="4">
        <f t="shared" si="4"/>
        <v>3.744</v>
      </c>
      <c r="K57" s="4">
        <f t="shared" si="5"/>
        <v>3.9</v>
      </c>
      <c r="L57" s="4">
        <f t="shared" si="6"/>
        <v>3.744</v>
      </c>
    </row>
    <row r="58">
      <c r="A58" s="1" t="s">
        <v>109</v>
      </c>
      <c r="B58" s="1" t="s">
        <v>106</v>
      </c>
      <c r="C58" s="3">
        <v>12.5</v>
      </c>
      <c r="D58" s="5"/>
      <c r="E58" s="5"/>
      <c r="F58" s="5"/>
      <c r="G58" s="4">
        <f t="shared" si="1"/>
        <v>6.25</v>
      </c>
      <c r="H58" s="4" t="str">
        <f t="shared" si="2"/>
        <v>Sin precio neto</v>
      </c>
      <c r="I58" s="4" t="str">
        <f t="shared" si="3"/>
        <v>Sin precio neto G.C.</v>
      </c>
      <c r="J58" s="4">
        <f t="shared" si="4"/>
        <v>6</v>
      </c>
      <c r="K58" s="4">
        <f t="shared" si="5"/>
        <v>6.25</v>
      </c>
      <c r="L58" s="4">
        <f t="shared" si="6"/>
        <v>6</v>
      </c>
    </row>
    <row r="59">
      <c r="A59" s="3">
        <v>155.0</v>
      </c>
      <c r="B59" s="1" t="s">
        <v>110</v>
      </c>
      <c r="C59" s="3">
        <v>4.62</v>
      </c>
      <c r="D59" s="5"/>
      <c r="E59" s="5"/>
      <c r="F59" s="5"/>
      <c r="G59" s="4">
        <f t="shared" si="1"/>
        <v>2.31</v>
      </c>
      <c r="H59" s="4" t="str">
        <f t="shared" si="2"/>
        <v>Sin precio neto</v>
      </c>
      <c r="I59" s="4" t="str">
        <f t="shared" si="3"/>
        <v>Sin precio neto G.C.</v>
      </c>
      <c r="J59" s="4">
        <f t="shared" si="4"/>
        <v>2.2176</v>
      </c>
      <c r="K59" s="4">
        <f t="shared" si="5"/>
        <v>2.31</v>
      </c>
      <c r="L59" s="4">
        <f t="shared" si="6"/>
        <v>2.2176</v>
      </c>
    </row>
    <row r="60">
      <c r="A60" s="3">
        <v>160.0</v>
      </c>
      <c r="B60" s="1" t="s">
        <v>111</v>
      </c>
      <c r="C60" s="3">
        <v>4.62</v>
      </c>
      <c r="D60" s="5"/>
      <c r="E60" s="5"/>
      <c r="F60" s="5"/>
      <c r="G60" s="4">
        <f t="shared" si="1"/>
        <v>2.31</v>
      </c>
      <c r="H60" s="4" t="str">
        <f t="shared" si="2"/>
        <v>Sin precio neto</v>
      </c>
      <c r="I60" s="4" t="str">
        <f t="shared" si="3"/>
        <v>Sin precio neto G.C.</v>
      </c>
      <c r="J60" s="4">
        <f t="shared" si="4"/>
        <v>2.2176</v>
      </c>
      <c r="K60" s="4">
        <f t="shared" si="5"/>
        <v>2.31</v>
      </c>
      <c r="L60" s="4">
        <f t="shared" si="6"/>
        <v>2.2176</v>
      </c>
    </row>
    <row r="61">
      <c r="A61" s="1" t="s">
        <v>112</v>
      </c>
      <c r="B61" s="1" t="s">
        <v>113</v>
      </c>
      <c r="C61" s="3">
        <v>4.62</v>
      </c>
      <c r="D61" s="5"/>
      <c r="E61" s="5"/>
      <c r="F61" s="5"/>
      <c r="G61" s="4">
        <f t="shared" si="1"/>
        <v>2.31</v>
      </c>
      <c r="H61" s="4" t="str">
        <f t="shared" si="2"/>
        <v>Sin precio neto</v>
      </c>
      <c r="I61" s="4" t="str">
        <f t="shared" si="3"/>
        <v>Sin precio neto G.C.</v>
      </c>
      <c r="J61" s="4">
        <f t="shared" si="4"/>
        <v>2.2176</v>
      </c>
      <c r="K61" s="4">
        <f t="shared" si="5"/>
        <v>2.31</v>
      </c>
      <c r="L61" s="4">
        <f t="shared" si="6"/>
        <v>2.2176</v>
      </c>
    </row>
    <row r="62">
      <c r="A62" s="1" t="s">
        <v>114</v>
      </c>
      <c r="B62" s="1" t="s">
        <v>115</v>
      </c>
      <c r="C62" s="3">
        <v>7.8</v>
      </c>
      <c r="D62" s="5"/>
      <c r="E62" s="5"/>
      <c r="F62" s="5"/>
      <c r="G62" s="4">
        <f t="shared" si="1"/>
        <v>3.9</v>
      </c>
      <c r="H62" s="4" t="str">
        <f t="shared" si="2"/>
        <v>Sin precio neto</v>
      </c>
      <c r="I62" s="4" t="str">
        <f t="shared" si="3"/>
        <v>Sin precio neto G.C.</v>
      </c>
      <c r="J62" s="4">
        <f t="shared" si="4"/>
        <v>3.744</v>
      </c>
      <c r="K62" s="4">
        <f t="shared" si="5"/>
        <v>3.9</v>
      </c>
      <c r="L62" s="4">
        <f t="shared" si="6"/>
        <v>3.744</v>
      </c>
    </row>
    <row r="63">
      <c r="A63" s="1" t="s">
        <v>116</v>
      </c>
      <c r="B63" s="1" t="s">
        <v>117</v>
      </c>
      <c r="C63" s="3">
        <v>12.5</v>
      </c>
      <c r="D63" s="5"/>
      <c r="E63" s="5"/>
      <c r="F63" s="5"/>
      <c r="G63" s="4">
        <f t="shared" si="1"/>
        <v>6.25</v>
      </c>
      <c r="H63" s="4" t="str">
        <f t="shared" si="2"/>
        <v>Sin precio neto</v>
      </c>
      <c r="I63" s="4" t="str">
        <f t="shared" si="3"/>
        <v>Sin precio neto G.C.</v>
      </c>
      <c r="J63" s="4">
        <f t="shared" si="4"/>
        <v>6</v>
      </c>
      <c r="K63" s="4">
        <f t="shared" si="5"/>
        <v>6.25</v>
      </c>
      <c r="L63" s="4">
        <f t="shared" si="6"/>
        <v>6</v>
      </c>
    </row>
    <row r="64">
      <c r="A64" s="3">
        <v>161.0</v>
      </c>
      <c r="B64" s="1" t="s">
        <v>118</v>
      </c>
      <c r="C64" s="3">
        <v>4.62</v>
      </c>
      <c r="D64" s="5"/>
      <c r="E64" s="5"/>
      <c r="F64" s="5"/>
      <c r="G64" s="4">
        <f t="shared" si="1"/>
        <v>2.31</v>
      </c>
      <c r="H64" s="4" t="str">
        <f t="shared" si="2"/>
        <v>Sin precio neto</v>
      </c>
      <c r="I64" s="4" t="str">
        <f t="shared" si="3"/>
        <v>Sin precio neto G.C.</v>
      </c>
      <c r="J64" s="4">
        <f t="shared" si="4"/>
        <v>2.2176</v>
      </c>
      <c r="K64" s="4">
        <f t="shared" si="5"/>
        <v>2.31</v>
      </c>
      <c r="L64" s="4">
        <f t="shared" si="6"/>
        <v>2.2176</v>
      </c>
    </row>
    <row r="65">
      <c r="A65" s="1" t="s">
        <v>119</v>
      </c>
      <c r="B65" s="1" t="s">
        <v>120</v>
      </c>
      <c r="C65" s="3">
        <v>4.62</v>
      </c>
      <c r="D65" s="5"/>
      <c r="E65" s="5"/>
      <c r="F65" s="5"/>
      <c r="G65" s="4">
        <f t="shared" si="1"/>
        <v>2.31</v>
      </c>
      <c r="H65" s="4" t="str">
        <f t="shared" si="2"/>
        <v>Sin precio neto</v>
      </c>
      <c r="I65" s="4" t="str">
        <f t="shared" si="3"/>
        <v>Sin precio neto G.C.</v>
      </c>
      <c r="J65" s="4">
        <f t="shared" si="4"/>
        <v>2.2176</v>
      </c>
      <c r="K65" s="4">
        <f t="shared" si="5"/>
        <v>2.31</v>
      </c>
      <c r="L65" s="4">
        <f t="shared" si="6"/>
        <v>2.2176</v>
      </c>
    </row>
    <row r="66">
      <c r="A66" s="1" t="s">
        <v>121</v>
      </c>
      <c r="B66" s="1" t="s">
        <v>122</v>
      </c>
      <c r="C66" s="3">
        <v>7.8</v>
      </c>
      <c r="D66" s="5"/>
      <c r="E66" s="5"/>
      <c r="F66" s="5"/>
      <c r="G66" s="4">
        <f t="shared" si="1"/>
        <v>3.9</v>
      </c>
      <c r="H66" s="4" t="str">
        <f t="shared" si="2"/>
        <v>Sin precio neto</v>
      </c>
      <c r="I66" s="4" t="str">
        <f t="shared" si="3"/>
        <v>Sin precio neto G.C.</v>
      </c>
      <c r="J66" s="4">
        <f t="shared" si="4"/>
        <v>3.744</v>
      </c>
      <c r="K66" s="4">
        <f t="shared" si="5"/>
        <v>3.9</v>
      </c>
      <c r="L66" s="4">
        <f t="shared" si="6"/>
        <v>3.744</v>
      </c>
    </row>
    <row r="67">
      <c r="A67" s="1" t="s">
        <v>123</v>
      </c>
      <c r="B67" s="1" t="s">
        <v>124</v>
      </c>
      <c r="C67" s="3">
        <v>12.5</v>
      </c>
      <c r="D67" s="5"/>
      <c r="E67" s="5"/>
      <c r="F67" s="5"/>
      <c r="G67" s="4">
        <f t="shared" si="1"/>
        <v>6.25</v>
      </c>
      <c r="H67" s="4" t="str">
        <f t="shared" si="2"/>
        <v>Sin precio neto</v>
      </c>
      <c r="I67" s="4" t="str">
        <f t="shared" si="3"/>
        <v>Sin precio neto G.C.</v>
      </c>
      <c r="J67" s="4">
        <f t="shared" si="4"/>
        <v>6</v>
      </c>
      <c r="K67" s="4">
        <f t="shared" si="5"/>
        <v>6.25</v>
      </c>
      <c r="L67" s="4">
        <f t="shared" si="6"/>
        <v>6</v>
      </c>
    </row>
    <row r="68">
      <c r="A68" s="3">
        <v>162.0</v>
      </c>
      <c r="B68" s="1" t="s">
        <v>125</v>
      </c>
      <c r="C68" s="3">
        <v>4.62</v>
      </c>
      <c r="D68" s="5"/>
      <c r="E68" s="5"/>
      <c r="F68" s="5"/>
      <c r="G68" s="4">
        <f t="shared" si="1"/>
        <v>2.31</v>
      </c>
      <c r="H68" s="4" t="str">
        <f t="shared" si="2"/>
        <v>Sin precio neto</v>
      </c>
      <c r="I68" s="4" t="str">
        <f t="shared" si="3"/>
        <v>Sin precio neto G.C.</v>
      </c>
      <c r="J68" s="4">
        <f t="shared" si="4"/>
        <v>2.2176</v>
      </c>
      <c r="K68" s="4">
        <f t="shared" si="5"/>
        <v>2.31</v>
      </c>
      <c r="L68" s="4">
        <f t="shared" si="6"/>
        <v>2.2176</v>
      </c>
    </row>
    <row r="69">
      <c r="A69" s="1" t="s">
        <v>126</v>
      </c>
      <c r="B69" s="1" t="s">
        <v>127</v>
      </c>
      <c r="C69" s="3">
        <v>2.5</v>
      </c>
      <c r="D69" s="5"/>
      <c r="E69" s="5"/>
      <c r="F69" s="5"/>
      <c r="G69" s="4">
        <f t="shared" si="1"/>
        <v>1.25</v>
      </c>
      <c r="H69" s="4" t="str">
        <f t="shared" si="2"/>
        <v>Sin precio neto</v>
      </c>
      <c r="I69" s="4" t="str">
        <f t="shared" si="3"/>
        <v>Sin precio neto G.C.</v>
      </c>
      <c r="J69" s="4">
        <f t="shared" si="4"/>
        <v>1.2</v>
      </c>
      <c r="K69" s="4">
        <f t="shared" si="5"/>
        <v>1.25</v>
      </c>
      <c r="L69" s="4">
        <f t="shared" si="6"/>
        <v>1.2</v>
      </c>
    </row>
    <row r="70">
      <c r="A70" s="1" t="s">
        <v>128</v>
      </c>
      <c r="B70" s="1" t="s">
        <v>129</v>
      </c>
      <c r="C70" s="3">
        <v>7.8</v>
      </c>
      <c r="D70" s="5"/>
      <c r="E70" s="5"/>
      <c r="F70" s="5"/>
      <c r="G70" s="4">
        <f t="shared" si="1"/>
        <v>3.9</v>
      </c>
      <c r="H70" s="4" t="str">
        <f t="shared" si="2"/>
        <v>Sin precio neto</v>
      </c>
      <c r="I70" s="4" t="str">
        <f t="shared" si="3"/>
        <v>Sin precio neto G.C.</v>
      </c>
      <c r="J70" s="4">
        <f t="shared" si="4"/>
        <v>3.744</v>
      </c>
      <c r="K70" s="4">
        <f t="shared" si="5"/>
        <v>3.9</v>
      </c>
      <c r="L70" s="4">
        <f t="shared" si="6"/>
        <v>3.744</v>
      </c>
    </row>
    <row r="71">
      <c r="A71" s="1" t="s">
        <v>130</v>
      </c>
      <c r="B71" s="1" t="s">
        <v>131</v>
      </c>
      <c r="C71" s="3">
        <v>12.5</v>
      </c>
      <c r="D71" s="5"/>
      <c r="E71" s="5"/>
      <c r="F71" s="5"/>
      <c r="G71" s="4">
        <f t="shared" si="1"/>
        <v>6.25</v>
      </c>
      <c r="H71" s="4" t="str">
        <f t="shared" si="2"/>
        <v>Sin precio neto</v>
      </c>
      <c r="I71" s="4" t="str">
        <f t="shared" si="3"/>
        <v>Sin precio neto G.C.</v>
      </c>
      <c r="J71" s="4">
        <f t="shared" si="4"/>
        <v>6</v>
      </c>
      <c r="K71" s="4">
        <f t="shared" si="5"/>
        <v>6.25</v>
      </c>
      <c r="L71" s="4">
        <f t="shared" si="6"/>
        <v>6</v>
      </c>
    </row>
    <row r="72">
      <c r="A72" s="3">
        <v>163.0</v>
      </c>
      <c r="B72" s="1" t="s">
        <v>132</v>
      </c>
      <c r="C72" s="3">
        <v>4.62</v>
      </c>
      <c r="D72" s="5"/>
      <c r="E72" s="5"/>
      <c r="F72" s="5"/>
      <c r="G72" s="4">
        <f t="shared" si="1"/>
        <v>2.31</v>
      </c>
      <c r="H72" s="4" t="str">
        <f t="shared" si="2"/>
        <v>Sin precio neto</v>
      </c>
      <c r="I72" s="4" t="str">
        <f t="shared" si="3"/>
        <v>Sin precio neto G.C.</v>
      </c>
      <c r="J72" s="4">
        <f t="shared" si="4"/>
        <v>2.2176</v>
      </c>
      <c r="K72" s="4">
        <f t="shared" si="5"/>
        <v>2.31</v>
      </c>
      <c r="L72" s="4">
        <f t="shared" si="6"/>
        <v>2.2176</v>
      </c>
    </row>
    <row r="73">
      <c r="A73" s="1" t="s">
        <v>133</v>
      </c>
      <c r="B73" s="1" t="s">
        <v>134</v>
      </c>
      <c r="C73" s="3">
        <v>4.62</v>
      </c>
      <c r="D73" s="5"/>
      <c r="E73" s="5"/>
      <c r="F73" s="5"/>
      <c r="G73" s="4">
        <f t="shared" si="1"/>
        <v>2.31</v>
      </c>
      <c r="H73" s="4" t="str">
        <f t="shared" si="2"/>
        <v>Sin precio neto</v>
      </c>
      <c r="I73" s="4" t="str">
        <f t="shared" si="3"/>
        <v>Sin precio neto G.C.</v>
      </c>
      <c r="J73" s="4">
        <f t="shared" si="4"/>
        <v>2.2176</v>
      </c>
      <c r="K73" s="4">
        <f t="shared" si="5"/>
        <v>2.31</v>
      </c>
      <c r="L73" s="4">
        <f t="shared" si="6"/>
        <v>2.2176</v>
      </c>
    </row>
    <row r="74">
      <c r="A74" s="1" t="s">
        <v>135</v>
      </c>
      <c r="B74" s="1" t="s">
        <v>136</v>
      </c>
      <c r="C74" s="3">
        <v>7.8</v>
      </c>
      <c r="D74" s="5"/>
      <c r="E74" s="5"/>
      <c r="F74" s="5"/>
      <c r="G74" s="4">
        <f t="shared" si="1"/>
        <v>3.9</v>
      </c>
      <c r="H74" s="4" t="str">
        <f t="shared" si="2"/>
        <v>Sin precio neto</v>
      </c>
      <c r="I74" s="4" t="str">
        <f t="shared" si="3"/>
        <v>Sin precio neto G.C.</v>
      </c>
      <c r="J74" s="4">
        <f t="shared" si="4"/>
        <v>3.744</v>
      </c>
      <c r="K74" s="4">
        <f t="shared" si="5"/>
        <v>3.9</v>
      </c>
      <c r="L74" s="4">
        <f t="shared" si="6"/>
        <v>3.744</v>
      </c>
    </row>
    <row r="75">
      <c r="A75" s="1" t="s">
        <v>137</v>
      </c>
      <c r="B75" s="1" t="s">
        <v>138</v>
      </c>
      <c r="C75" s="3">
        <v>12.5</v>
      </c>
      <c r="D75" s="5"/>
      <c r="E75" s="5"/>
      <c r="F75" s="5"/>
      <c r="G75" s="4">
        <f t="shared" si="1"/>
        <v>6.25</v>
      </c>
      <c r="H75" s="4" t="str">
        <f t="shared" si="2"/>
        <v>Sin precio neto</v>
      </c>
      <c r="I75" s="4" t="str">
        <f t="shared" si="3"/>
        <v>Sin precio neto G.C.</v>
      </c>
      <c r="J75" s="4">
        <f t="shared" si="4"/>
        <v>6</v>
      </c>
      <c r="K75" s="4">
        <f t="shared" si="5"/>
        <v>6.25</v>
      </c>
      <c r="L75" s="4">
        <f t="shared" si="6"/>
        <v>6</v>
      </c>
    </row>
    <row r="76">
      <c r="A76" s="3">
        <v>164.0</v>
      </c>
      <c r="B76" s="1" t="s">
        <v>139</v>
      </c>
      <c r="C76" s="3">
        <v>4.62</v>
      </c>
      <c r="D76" s="5"/>
      <c r="E76" s="5"/>
      <c r="F76" s="5"/>
      <c r="G76" s="4">
        <f t="shared" si="1"/>
        <v>2.31</v>
      </c>
      <c r="H76" s="4" t="str">
        <f t="shared" si="2"/>
        <v>Sin precio neto</v>
      </c>
      <c r="I76" s="4" t="str">
        <f t="shared" si="3"/>
        <v>Sin precio neto G.C.</v>
      </c>
      <c r="J76" s="4">
        <f t="shared" si="4"/>
        <v>2.2176</v>
      </c>
      <c r="K76" s="4">
        <f t="shared" si="5"/>
        <v>2.31</v>
      </c>
      <c r="L76" s="4">
        <f t="shared" si="6"/>
        <v>2.2176</v>
      </c>
    </row>
    <row r="77">
      <c r="A77" s="3">
        <v>165.0</v>
      </c>
      <c r="B77" s="1" t="s">
        <v>140</v>
      </c>
      <c r="C77" s="3">
        <v>4.62</v>
      </c>
      <c r="D77" s="5"/>
      <c r="E77" s="5"/>
      <c r="F77" s="5"/>
      <c r="G77" s="4">
        <f t="shared" si="1"/>
        <v>2.31</v>
      </c>
      <c r="H77" s="4" t="str">
        <f t="shared" si="2"/>
        <v>Sin precio neto</v>
      </c>
      <c r="I77" s="4" t="str">
        <f t="shared" si="3"/>
        <v>Sin precio neto G.C.</v>
      </c>
      <c r="J77" s="4">
        <f t="shared" si="4"/>
        <v>2.2176</v>
      </c>
      <c r="K77" s="4">
        <f t="shared" si="5"/>
        <v>2.31</v>
      </c>
      <c r="L77" s="4">
        <f t="shared" si="6"/>
        <v>2.2176</v>
      </c>
    </row>
    <row r="78">
      <c r="A78" s="3">
        <v>175.0</v>
      </c>
      <c r="B78" s="1" t="s">
        <v>141</v>
      </c>
      <c r="C78" s="3">
        <v>3.78</v>
      </c>
      <c r="D78" s="5"/>
      <c r="E78" s="5"/>
      <c r="F78" s="5"/>
      <c r="G78" s="4">
        <f t="shared" si="1"/>
        <v>1.89</v>
      </c>
      <c r="H78" s="4" t="str">
        <f t="shared" si="2"/>
        <v>Sin precio neto</v>
      </c>
      <c r="I78" s="4" t="str">
        <f t="shared" si="3"/>
        <v>Sin precio neto G.C.</v>
      </c>
      <c r="J78" s="4">
        <f t="shared" si="4"/>
        <v>1.8144</v>
      </c>
      <c r="K78" s="4">
        <f t="shared" si="5"/>
        <v>1.89</v>
      </c>
      <c r="L78" s="4">
        <f t="shared" si="6"/>
        <v>1.8144</v>
      </c>
    </row>
    <row r="79">
      <c r="A79" s="3">
        <v>176.0</v>
      </c>
      <c r="B79" s="1" t="s">
        <v>142</v>
      </c>
      <c r="C79" s="3">
        <v>3.78</v>
      </c>
      <c r="D79" s="5"/>
      <c r="E79" s="5"/>
      <c r="F79" s="5"/>
      <c r="G79" s="4">
        <f t="shared" si="1"/>
        <v>1.89</v>
      </c>
      <c r="H79" s="4" t="str">
        <f t="shared" si="2"/>
        <v>Sin precio neto</v>
      </c>
      <c r="I79" s="4" t="str">
        <f t="shared" si="3"/>
        <v>Sin precio neto G.C.</v>
      </c>
      <c r="J79" s="4">
        <f t="shared" si="4"/>
        <v>1.8144</v>
      </c>
      <c r="K79" s="4">
        <f t="shared" si="5"/>
        <v>1.89</v>
      </c>
      <c r="L79" s="4">
        <f t="shared" si="6"/>
        <v>1.8144</v>
      </c>
    </row>
    <row r="80">
      <c r="A80" s="3">
        <v>177.0</v>
      </c>
      <c r="B80" s="1" t="s">
        <v>143</v>
      </c>
      <c r="C80" s="3">
        <v>3.78</v>
      </c>
      <c r="D80" s="5"/>
      <c r="E80" s="5"/>
      <c r="F80" s="5"/>
      <c r="G80" s="4">
        <f t="shared" si="1"/>
        <v>1.89</v>
      </c>
      <c r="H80" s="4" t="str">
        <f t="shared" si="2"/>
        <v>Sin precio neto</v>
      </c>
      <c r="I80" s="4" t="str">
        <f t="shared" si="3"/>
        <v>Sin precio neto G.C.</v>
      </c>
      <c r="J80" s="4">
        <f t="shared" si="4"/>
        <v>1.8144</v>
      </c>
      <c r="K80" s="4">
        <f t="shared" si="5"/>
        <v>1.89</v>
      </c>
      <c r="L80" s="4">
        <f t="shared" si="6"/>
        <v>1.8144</v>
      </c>
    </row>
    <row r="81">
      <c r="A81" s="3">
        <v>178.0</v>
      </c>
      <c r="B81" s="1" t="s">
        <v>144</v>
      </c>
      <c r="C81" s="3">
        <v>3.78</v>
      </c>
      <c r="D81" s="5"/>
      <c r="E81" s="5"/>
      <c r="F81" s="5"/>
      <c r="G81" s="4">
        <f t="shared" si="1"/>
        <v>1.89</v>
      </c>
      <c r="H81" s="4" t="str">
        <f t="shared" si="2"/>
        <v>Sin precio neto</v>
      </c>
      <c r="I81" s="4" t="str">
        <f t="shared" si="3"/>
        <v>Sin precio neto G.C.</v>
      </c>
      <c r="J81" s="4">
        <f t="shared" si="4"/>
        <v>1.8144</v>
      </c>
      <c r="K81" s="4">
        <f t="shared" si="5"/>
        <v>1.89</v>
      </c>
      <c r="L81" s="4">
        <f t="shared" si="6"/>
        <v>1.8144</v>
      </c>
    </row>
    <row r="82">
      <c r="A82" s="3">
        <v>179.0</v>
      </c>
      <c r="B82" s="1" t="s">
        <v>145</v>
      </c>
      <c r="C82" s="3">
        <v>3.78</v>
      </c>
      <c r="D82" s="5"/>
      <c r="E82" s="5"/>
      <c r="F82" s="5"/>
      <c r="G82" s="4">
        <f t="shared" si="1"/>
        <v>1.89</v>
      </c>
      <c r="H82" s="4" t="str">
        <f t="shared" si="2"/>
        <v>Sin precio neto</v>
      </c>
      <c r="I82" s="4" t="str">
        <f t="shared" si="3"/>
        <v>Sin precio neto G.C.</v>
      </c>
      <c r="J82" s="4">
        <f t="shared" si="4"/>
        <v>1.8144</v>
      </c>
      <c r="K82" s="4">
        <f t="shared" si="5"/>
        <v>1.89</v>
      </c>
      <c r="L82" s="4">
        <f t="shared" si="6"/>
        <v>1.8144</v>
      </c>
    </row>
    <row r="83">
      <c r="A83" s="3">
        <v>180.0</v>
      </c>
      <c r="B83" s="1" t="s">
        <v>146</v>
      </c>
      <c r="C83" s="3">
        <v>3.78</v>
      </c>
      <c r="D83" s="5"/>
      <c r="E83" s="5"/>
      <c r="F83" s="5"/>
      <c r="G83" s="4">
        <f t="shared" si="1"/>
        <v>1.89</v>
      </c>
      <c r="H83" s="4" t="str">
        <f t="shared" si="2"/>
        <v>Sin precio neto</v>
      </c>
      <c r="I83" s="4" t="str">
        <f t="shared" si="3"/>
        <v>Sin precio neto G.C.</v>
      </c>
      <c r="J83" s="4">
        <f t="shared" si="4"/>
        <v>1.8144</v>
      </c>
      <c r="K83" s="4">
        <f t="shared" si="5"/>
        <v>1.89</v>
      </c>
      <c r="L83" s="4">
        <f t="shared" si="6"/>
        <v>1.8144</v>
      </c>
    </row>
    <row r="84">
      <c r="A84" s="3">
        <v>181.0</v>
      </c>
      <c r="B84" s="1" t="s">
        <v>146</v>
      </c>
      <c r="C84" s="3">
        <v>3.78</v>
      </c>
      <c r="D84" s="5"/>
      <c r="E84" s="5"/>
      <c r="F84" s="5"/>
      <c r="G84" s="4">
        <f t="shared" si="1"/>
        <v>1.89</v>
      </c>
      <c r="H84" s="4" t="str">
        <f t="shared" si="2"/>
        <v>Sin precio neto</v>
      </c>
      <c r="I84" s="4" t="str">
        <f t="shared" si="3"/>
        <v>Sin precio neto G.C.</v>
      </c>
      <c r="J84" s="4">
        <f t="shared" si="4"/>
        <v>1.8144</v>
      </c>
      <c r="K84" s="4">
        <f t="shared" si="5"/>
        <v>1.89</v>
      </c>
      <c r="L84" s="4">
        <f t="shared" si="6"/>
        <v>1.8144</v>
      </c>
    </row>
    <row r="85">
      <c r="A85" s="3">
        <v>182.0</v>
      </c>
      <c r="B85" s="1" t="s">
        <v>147</v>
      </c>
      <c r="C85" s="3">
        <v>3.78</v>
      </c>
      <c r="D85" s="5"/>
      <c r="E85" s="5"/>
      <c r="F85" s="5"/>
      <c r="G85" s="4">
        <f t="shared" si="1"/>
        <v>1.89</v>
      </c>
      <c r="H85" s="4" t="str">
        <f t="shared" si="2"/>
        <v>Sin precio neto</v>
      </c>
      <c r="I85" s="4" t="str">
        <f t="shared" si="3"/>
        <v>Sin precio neto G.C.</v>
      </c>
      <c r="J85" s="4">
        <f t="shared" si="4"/>
        <v>1.8144</v>
      </c>
      <c r="K85" s="4">
        <f t="shared" si="5"/>
        <v>1.89</v>
      </c>
      <c r="L85" s="4">
        <f t="shared" si="6"/>
        <v>1.8144</v>
      </c>
    </row>
    <row r="86">
      <c r="A86" s="3">
        <v>183.0</v>
      </c>
      <c r="B86" s="1" t="s">
        <v>148</v>
      </c>
      <c r="C86" s="3">
        <v>3.78</v>
      </c>
      <c r="D86" s="5"/>
      <c r="E86" s="5"/>
      <c r="F86" s="5"/>
      <c r="G86" s="4">
        <f t="shared" si="1"/>
        <v>1.89</v>
      </c>
      <c r="H86" s="4" t="str">
        <f t="shared" si="2"/>
        <v>Sin precio neto</v>
      </c>
      <c r="I86" s="4" t="str">
        <f t="shared" si="3"/>
        <v>Sin precio neto G.C.</v>
      </c>
      <c r="J86" s="4">
        <f t="shared" si="4"/>
        <v>1.8144</v>
      </c>
      <c r="K86" s="4">
        <f t="shared" si="5"/>
        <v>1.89</v>
      </c>
      <c r="L86" s="4">
        <f t="shared" si="6"/>
        <v>1.8144</v>
      </c>
    </row>
    <row r="87">
      <c r="A87" s="3">
        <v>184.0</v>
      </c>
      <c r="B87" s="1" t="s">
        <v>149</v>
      </c>
      <c r="C87" s="3">
        <v>3.78</v>
      </c>
      <c r="D87" s="5"/>
      <c r="E87" s="5"/>
      <c r="F87" s="5"/>
      <c r="G87" s="4">
        <f t="shared" si="1"/>
        <v>1.89</v>
      </c>
      <c r="H87" s="4" t="str">
        <f t="shared" si="2"/>
        <v>Sin precio neto</v>
      </c>
      <c r="I87" s="4" t="str">
        <f t="shared" si="3"/>
        <v>Sin precio neto G.C.</v>
      </c>
      <c r="J87" s="4">
        <f t="shared" si="4"/>
        <v>1.8144</v>
      </c>
      <c r="K87" s="4">
        <f t="shared" si="5"/>
        <v>1.89</v>
      </c>
      <c r="L87" s="4">
        <f t="shared" si="6"/>
        <v>1.8144</v>
      </c>
    </row>
    <row r="88">
      <c r="A88" s="3">
        <v>199.0</v>
      </c>
      <c r="B88" s="1" t="s">
        <v>150</v>
      </c>
      <c r="C88" s="3">
        <v>5.2</v>
      </c>
      <c r="D88" s="3">
        <v>2.1</v>
      </c>
      <c r="E88" s="3">
        <v>2.1</v>
      </c>
      <c r="F88" s="3">
        <v>1.0</v>
      </c>
      <c r="G88" s="4">
        <f t="shared" si="1"/>
        <v>2.6</v>
      </c>
      <c r="H88" s="4" t="str">
        <f t="shared" si="2"/>
        <v>Neto: 2,10 € (a partir de 1 uds.)</v>
      </c>
      <c r="I88" s="4" t="str">
        <f t="shared" si="3"/>
        <v>Neto G.C.: 2,10 € (a partir de 1 uds.)</v>
      </c>
      <c r="J88" s="4">
        <f t="shared" si="4"/>
        <v>2.496</v>
      </c>
      <c r="K88" s="4">
        <f t="shared" si="5"/>
        <v>2.6</v>
      </c>
      <c r="L88" s="4">
        <f t="shared" si="6"/>
        <v>2.496</v>
      </c>
    </row>
    <row r="89">
      <c r="A89" s="1" t="s">
        <v>151</v>
      </c>
      <c r="B89" s="1" t="s">
        <v>152</v>
      </c>
      <c r="C89" s="3">
        <v>5.04</v>
      </c>
      <c r="D89" s="3">
        <v>2.1</v>
      </c>
      <c r="E89" s="3">
        <v>2.1</v>
      </c>
      <c r="F89" s="3">
        <v>1.0</v>
      </c>
      <c r="G89" s="4">
        <f t="shared" si="1"/>
        <v>2.52</v>
      </c>
      <c r="H89" s="4" t="str">
        <f t="shared" si="2"/>
        <v>Neto: 2,10 € (a partir de 1 uds.)</v>
      </c>
      <c r="I89" s="4" t="str">
        <f t="shared" si="3"/>
        <v>Neto G.C.: 2,10 € (a partir de 1 uds.)</v>
      </c>
      <c r="J89" s="4">
        <f t="shared" si="4"/>
        <v>2.4192</v>
      </c>
      <c r="K89" s="4">
        <f t="shared" si="5"/>
        <v>2.52</v>
      </c>
      <c r="L89" s="4">
        <f t="shared" si="6"/>
        <v>2.4192</v>
      </c>
    </row>
    <row r="90">
      <c r="A90" s="1" t="s">
        <v>153</v>
      </c>
      <c r="B90" s="1" t="s">
        <v>154</v>
      </c>
      <c r="C90" s="3">
        <v>6.2</v>
      </c>
      <c r="D90" s="3">
        <v>3.2</v>
      </c>
      <c r="E90" s="3">
        <v>3.2</v>
      </c>
      <c r="F90" s="3">
        <v>1.0</v>
      </c>
      <c r="G90" s="4">
        <f t="shared" si="1"/>
        <v>3.1</v>
      </c>
      <c r="H90" s="4" t="str">
        <f t="shared" si="2"/>
        <v>Neto: 3,20 € (a partir de 1 uds.)</v>
      </c>
      <c r="I90" s="4" t="str">
        <f t="shared" si="3"/>
        <v>Neto G.C.: 3,20 € (a partir de 1 uds.)</v>
      </c>
      <c r="J90" s="4">
        <f t="shared" si="4"/>
        <v>2.976</v>
      </c>
      <c r="K90" s="4">
        <f t="shared" si="5"/>
        <v>3.1</v>
      </c>
      <c r="L90" s="4">
        <f t="shared" si="6"/>
        <v>2.976</v>
      </c>
    </row>
    <row r="91">
      <c r="A91" s="1" t="s">
        <v>155</v>
      </c>
      <c r="B91" s="1" t="s">
        <v>156</v>
      </c>
      <c r="C91" s="3">
        <v>19.2</v>
      </c>
      <c r="D91" s="5"/>
      <c r="E91" s="5"/>
      <c r="F91" s="5"/>
      <c r="G91" s="4">
        <f t="shared" si="1"/>
        <v>9.6</v>
      </c>
      <c r="H91" s="4" t="str">
        <f t="shared" si="2"/>
        <v>Sin precio neto</v>
      </c>
      <c r="I91" s="4" t="str">
        <f t="shared" si="3"/>
        <v>Sin precio neto G.C.</v>
      </c>
      <c r="J91" s="4">
        <f t="shared" si="4"/>
        <v>9.216</v>
      </c>
      <c r="K91" s="4">
        <f t="shared" si="5"/>
        <v>9.6</v>
      </c>
      <c r="L91" s="4">
        <f t="shared" si="6"/>
        <v>9.216</v>
      </c>
    </row>
    <row r="92">
      <c r="A92" s="1" t="s">
        <v>157</v>
      </c>
      <c r="B92" s="1" t="s">
        <v>158</v>
      </c>
      <c r="C92" s="3">
        <v>29.0</v>
      </c>
      <c r="D92" s="5"/>
      <c r="E92" s="5"/>
      <c r="F92" s="5"/>
      <c r="G92" s="4">
        <f t="shared" si="1"/>
        <v>14.5</v>
      </c>
      <c r="H92" s="4" t="str">
        <f t="shared" si="2"/>
        <v>Sin precio neto</v>
      </c>
      <c r="I92" s="4" t="str">
        <f t="shared" si="3"/>
        <v>Sin precio neto G.C.</v>
      </c>
      <c r="J92" s="4">
        <f t="shared" si="4"/>
        <v>13.92</v>
      </c>
      <c r="K92" s="4">
        <f t="shared" si="5"/>
        <v>14.5</v>
      </c>
      <c r="L92" s="4">
        <f t="shared" si="6"/>
        <v>13.92</v>
      </c>
    </row>
    <row r="93">
      <c r="A93" s="1" t="s">
        <v>159</v>
      </c>
      <c r="B93" s="1" t="s">
        <v>160</v>
      </c>
      <c r="C93" s="3">
        <v>34.0</v>
      </c>
      <c r="D93" s="5"/>
      <c r="E93" s="5"/>
      <c r="F93" s="5"/>
      <c r="G93" s="4">
        <f t="shared" si="1"/>
        <v>17</v>
      </c>
      <c r="H93" s="4" t="str">
        <f t="shared" si="2"/>
        <v>Sin precio neto</v>
      </c>
      <c r="I93" s="4" t="str">
        <f t="shared" si="3"/>
        <v>Sin precio neto G.C.</v>
      </c>
      <c r="J93" s="4">
        <f t="shared" si="4"/>
        <v>16.32</v>
      </c>
      <c r="K93" s="4">
        <f t="shared" si="5"/>
        <v>17</v>
      </c>
      <c r="L93" s="4">
        <f t="shared" si="6"/>
        <v>16.32</v>
      </c>
    </row>
    <row r="94">
      <c r="A94" s="3">
        <v>201.0</v>
      </c>
      <c r="B94" s="1" t="s">
        <v>161</v>
      </c>
      <c r="C94" s="3">
        <v>6.7</v>
      </c>
      <c r="D94" s="5"/>
      <c r="E94" s="5"/>
      <c r="F94" s="5"/>
      <c r="G94" s="4">
        <f t="shared" si="1"/>
        <v>3.35</v>
      </c>
      <c r="H94" s="4" t="str">
        <f t="shared" si="2"/>
        <v>Sin precio neto</v>
      </c>
      <c r="I94" s="4" t="str">
        <f t="shared" si="3"/>
        <v>Sin precio neto G.C.</v>
      </c>
      <c r="J94" s="4">
        <f t="shared" si="4"/>
        <v>3.216</v>
      </c>
      <c r="K94" s="4">
        <f t="shared" si="5"/>
        <v>3.35</v>
      </c>
      <c r="L94" s="4">
        <f t="shared" si="6"/>
        <v>3.216</v>
      </c>
    </row>
    <row r="95">
      <c r="A95" s="3">
        <v>202.0</v>
      </c>
      <c r="B95" s="1" t="s">
        <v>162</v>
      </c>
      <c r="C95" s="3">
        <v>5.2</v>
      </c>
      <c r="D95" s="3">
        <v>2.1</v>
      </c>
      <c r="E95" s="3">
        <v>2.1</v>
      </c>
      <c r="F95" s="3">
        <v>1.0</v>
      </c>
      <c r="G95" s="4">
        <f t="shared" si="1"/>
        <v>2.6</v>
      </c>
      <c r="H95" s="4" t="str">
        <f t="shared" si="2"/>
        <v>Neto: 2,10 € (a partir de 1 uds.)</v>
      </c>
      <c r="I95" s="4" t="str">
        <f t="shared" si="3"/>
        <v>Neto G.C.: 2,10 € (a partir de 1 uds.)</v>
      </c>
      <c r="J95" s="4">
        <f t="shared" si="4"/>
        <v>2.496</v>
      </c>
      <c r="K95" s="4">
        <f t="shared" si="5"/>
        <v>2.6</v>
      </c>
      <c r="L95" s="4">
        <f t="shared" si="6"/>
        <v>2.496</v>
      </c>
    </row>
    <row r="96">
      <c r="A96" s="3">
        <v>203.0</v>
      </c>
      <c r="B96" s="1" t="s">
        <v>163</v>
      </c>
      <c r="C96" s="3">
        <v>5.2</v>
      </c>
      <c r="D96" s="3">
        <v>2.1</v>
      </c>
      <c r="E96" s="3">
        <v>2.1</v>
      </c>
      <c r="F96" s="3">
        <v>1.0</v>
      </c>
      <c r="G96" s="4">
        <f t="shared" si="1"/>
        <v>2.6</v>
      </c>
      <c r="H96" s="4" t="str">
        <f t="shared" si="2"/>
        <v>Neto: 2,10 € (a partir de 1 uds.)</v>
      </c>
      <c r="I96" s="4" t="str">
        <f t="shared" si="3"/>
        <v>Neto G.C.: 2,10 € (a partir de 1 uds.)</v>
      </c>
      <c r="J96" s="4">
        <f t="shared" si="4"/>
        <v>2.496</v>
      </c>
      <c r="K96" s="4">
        <f t="shared" si="5"/>
        <v>2.6</v>
      </c>
      <c r="L96" s="4">
        <f t="shared" si="6"/>
        <v>2.496</v>
      </c>
    </row>
    <row r="97">
      <c r="A97" s="1" t="s">
        <v>164</v>
      </c>
      <c r="B97" s="1" t="s">
        <v>165</v>
      </c>
      <c r="C97" s="3">
        <v>5.04</v>
      </c>
      <c r="D97" s="3">
        <v>2.1</v>
      </c>
      <c r="E97" s="3">
        <v>2.1</v>
      </c>
      <c r="F97" s="3">
        <v>1.0</v>
      </c>
      <c r="G97" s="4">
        <f t="shared" si="1"/>
        <v>2.52</v>
      </c>
      <c r="H97" s="4" t="str">
        <f t="shared" si="2"/>
        <v>Neto: 2,10 € (a partir de 1 uds.)</v>
      </c>
      <c r="I97" s="4" t="str">
        <f t="shared" si="3"/>
        <v>Neto G.C.: 2,10 € (a partir de 1 uds.)</v>
      </c>
      <c r="J97" s="4">
        <f t="shared" si="4"/>
        <v>2.4192</v>
      </c>
      <c r="K97" s="4">
        <f t="shared" si="5"/>
        <v>2.52</v>
      </c>
      <c r="L97" s="4">
        <f t="shared" si="6"/>
        <v>2.4192</v>
      </c>
    </row>
    <row r="98">
      <c r="A98" s="1" t="s">
        <v>166</v>
      </c>
      <c r="B98" s="1" t="s">
        <v>167</v>
      </c>
      <c r="C98" s="3">
        <v>6.2</v>
      </c>
      <c r="D98" s="3">
        <v>3.2</v>
      </c>
      <c r="E98" s="3">
        <v>3.2</v>
      </c>
      <c r="F98" s="3">
        <v>1.0</v>
      </c>
      <c r="G98" s="4">
        <f t="shared" si="1"/>
        <v>3.1</v>
      </c>
      <c r="H98" s="4" t="str">
        <f t="shared" si="2"/>
        <v>Neto: 3,20 € (a partir de 1 uds.)</v>
      </c>
      <c r="I98" s="4" t="str">
        <f t="shared" si="3"/>
        <v>Neto G.C.: 3,20 € (a partir de 1 uds.)</v>
      </c>
      <c r="J98" s="4">
        <f t="shared" si="4"/>
        <v>2.976</v>
      </c>
      <c r="K98" s="4">
        <f t="shared" si="5"/>
        <v>3.1</v>
      </c>
      <c r="L98" s="4">
        <f t="shared" si="6"/>
        <v>2.976</v>
      </c>
    </row>
    <row r="99">
      <c r="A99" s="1" t="s">
        <v>168</v>
      </c>
      <c r="B99" s="1" t="s">
        <v>169</v>
      </c>
      <c r="C99" s="3">
        <v>5.04</v>
      </c>
      <c r="D99" s="3">
        <v>2.1</v>
      </c>
      <c r="E99" s="3">
        <v>2.1</v>
      </c>
      <c r="F99" s="3">
        <v>1.0</v>
      </c>
      <c r="G99" s="4">
        <f t="shared" si="1"/>
        <v>2.52</v>
      </c>
      <c r="H99" s="4" t="str">
        <f t="shared" si="2"/>
        <v>Neto: 2,10 € (a partir de 1 uds.)</v>
      </c>
      <c r="I99" s="4" t="str">
        <f t="shared" si="3"/>
        <v>Neto G.C.: 2,10 € (a partir de 1 uds.)</v>
      </c>
      <c r="J99" s="4">
        <f t="shared" si="4"/>
        <v>2.4192</v>
      </c>
      <c r="K99" s="4">
        <f t="shared" si="5"/>
        <v>2.52</v>
      </c>
      <c r="L99" s="4">
        <f t="shared" si="6"/>
        <v>2.4192</v>
      </c>
    </row>
    <row r="100">
      <c r="A100" s="1" t="s">
        <v>170</v>
      </c>
      <c r="B100" s="1" t="s">
        <v>171</v>
      </c>
      <c r="C100" s="3">
        <v>6.2</v>
      </c>
      <c r="D100" s="3">
        <v>3.2</v>
      </c>
      <c r="E100" s="3">
        <v>3.2</v>
      </c>
      <c r="F100" s="3">
        <v>1.0</v>
      </c>
      <c r="G100" s="4">
        <f t="shared" si="1"/>
        <v>3.1</v>
      </c>
      <c r="H100" s="4" t="str">
        <f t="shared" si="2"/>
        <v>Neto: 3,20 € (a partir de 1 uds.)</v>
      </c>
      <c r="I100" s="4" t="str">
        <f t="shared" si="3"/>
        <v>Neto G.C.: 3,20 € (a partir de 1 uds.)</v>
      </c>
      <c r="J100" s="4">
        <f t="shared" si="4"/>
        <v>2.976</v>
      </c>
      <c r="K100" s="4">
        <f t="shared" si="5"/>
        <v>3.1</v>
      </c>
      <c r="L100" s="4">
        <f t="shared" si="6"/>
        <v>2.976</v>
      </c>
    </row>
    <row r="101">
      <c r="A101" s="3">
        <v>206.0</v>
      </c>
      <c r="B101" s="1" t="s">
        <v>172</v>
      </c>
      <c r="C101" s="3">
        <v>5.2</v>
      </c>
      <c r="D101" s="3">
        <v>2.1</v>
      </c>
      <c r="E101" s="3">
        <v>2.1</v>
      </c>
      <c r="F101" s="3">
        <v>1.0</v>
      </c>
      <c r="G101" s="4">
        <f t="shared" si="1"/>
        <v>2.6</v>
      </c>
      <c r="H101" s="4" t="str">
        <f t="shared" si="2"/>
        <v>Neto: 2,10 € (a partir de 1 uds.)</v>
      </c>
      <c r="I101" s="4" t="str">
        <f t="shared" si="3"/>
        <v>Neto G.C.: 2,10 € (a partir de 1 uds.)</v>
      </c>
      <c r="J101" s="4">
        <f t="shared" si="4"/>
        <v>2.496</v>
      </c>
      <c r="K101" s="4">
        <f t="shared" si="5"/>
        <v>2.6</v>
      </c>
      <c r="L101" s="4">
        <f t="shared" si="6"/>
        <v>2.496</v>
      </c>
    </row>
    <row r="102">
      <c r="A102" s="1" t="s">
        <v>173</v>
      </c>
      <c r="B102" s="1" t="s">
        <v>174</v>
      </c>
      <c r="C102" s="3">
        <v>5.04</v>
      </c>
      <c r="D102" s="3">
        <v>2.1</v>
      </c>
      <c r="E102" s="3">
        <v>2.1</v>
      </c>
      <c r="F102" s="3">
        <v>1.0</v>
      </c>
      <c r="G102" s="4">
        <f t="shared" si="1"/>
        <v>2.52</v>
      </c>
      <c r="H102" s="4" t="str">
        <f t="shared" si="2"/>
        <v>Neto: 2,10 € (a partir de 1 uds.)</v>
      </c>
      <c r="I102" s="4" t="str">
        <f t="shared" si="3"/>
        <v>Neto G.C.: 2,10 € (a partir de 1 uds.)</v>
      </c>
      <c r="J102" s="4">
        <f t="shared" si="4"/>
        <v>2.4192</v>
      </c>
      <c r="K102" s="4">
        <f t="shared" si="5"/>
        <v>2.52</v>
      </c>
      <c r="L102" s="4">
        <f t="shared" si="6"/>
        <v>2.4192</v>
      </c>
    </row>
    <row r="103">
      <c r="A103" s="1" t="s">
        <v>175</v>
      </c>
      <c r="B103" s="1" t="s">
        <v>176</v>
      </c>
      <c r="C103" s="3">
        <v>6.2</v>
      </c>
      <c r="D103" s="3">
        <v>3.2</v>
      </c>
      <c r="E103" s="3">
        <v>3.2</v>
      </c>
      <c r="F103" s="3">
        <v>1.0</v>
      </c>
      <c r="G103" s="4">
        <f t="shared" si="1"/>
        <v>3.1</v>
      </c>
      <c r="H103" s="4" t="str">
        <f t="shared" si="2"/>
        <v>Neto: 3,20 € (a partir de 1 uds.)</v>
      </c>
      <c r="I103" s="4" t="str">
        <f t="shared" si="3"/>
        <v>Neto G.C.: 3,20 € (a partir de 1 uds.)</v>
      </c>
      <c r="J103" s="4">
        <f t="shared" si="4"/>
        <v>2.976</v>
      </c>
      <c r="K103" s="4">
        <f t="shared" si="5"/>
        <v>3.1</v>
      </c>
      <c r="L103" s="4">
        <f t="shared" si="6"/>
        <v>2.976</v>
      </c>
    </row>
    <row r="104">
      <c r="A104" s="3">
        <v>207.0</v>
      </c>
      <c r="B104" s="1" t="s">
        <v>177</v>
      </c>
      <c r="C104" s="3">
        <v>5.2</v>
      </c>
      <c r="D104" s="3">
        <v>2.1</v>
      </c>
      <c r="E104" s="3">
        <v>2.1</v>
      </c>
      <c r="F104" s="3">
        <v>1.0</v>
      </c>
      <c r="G104" s="4">
        <f t="shared" si="1"/>
        <v>2.6</v>
      </c>
      <c r="H104" s="4" t="str">
        <f t="shared" si="2"/>
        <v>Neto: 2,10 € (a partir de 1 uds.)</v>
      </c>
      <c r="I104" s="4" t="str">
        <f t="shared" si="3"/>
        <v>Neto G.C.: 2,10 € (a partir de 1 uds.)</v>
      </c>
      <c r="J104" s="4">
        <f t="shared" si="4"/>
        <v>2.496</v>
      </c>
      <c r="K104" s="4">
        <f t="shared" si="5"/>
        <v>2.6</v>
      </c>
      <c r="L104" s="4">
        <f t="shared" si="6"/>
        <v>2.496</v>
      </c>
    </row>
    <row r="105">
      <c r="A105" s="1" t="s">
        <v>178</v>
      </c>
      <c r="B105" s="1" t="s">
        <v>179</v>
      </c>
      <c r="C105" s="3">
        <v>5.04</v>
      </c>
      <c r="D105" s="3">
        <v>2.1</v>
      </c>
      <c r="E105" s="3">
        <v>2.1</v>
      </c>
      <c r="F105" s="3">
        <v>1.0</v>
      </c>
      <c r="G105" s="4">
        <f t="shared" si="1"/>
        <v>2.52</v>
      </c>
      <c r="H105" s="4" t="str">
        <f t="shared" si="2"/>
        <v>Neto: 2,10 € (a partir de 1 uds.)</v>
      </c>
      <c r="I105" s="4" t="str">
        <f t="shared" si="3"/>
        <v>Neto G.C.: 2,10 € (a partir de 1 uds.)</v>
      </c>
      <c r="J105" s="4">
        <f t="shared" si="4"/>
        <v>2.4192</v>
      </c>
      <c r="K105" s="4">
        <f t="shared" si="5"/>
        <v>2.52</v>
      </c>
      <c r="L105" s="4">
        <f t="shared" si="6"/>
        <v>2.4192</v>
      </c>
    </row>
    <row r="106">
      <c r="A106" s="1" t="s">
        <v>180</v>
      </c>
      <c r="B106" s="1" t="s">
        <v>181</v>
      </c>
      <c r="C106" s="3">
        <v>6.2</v>
      </c>
      <c r="D106" s="3">
        <v>3.2</v>
      </c>
      <c r="E106" s="3">
        <v>3.2</v>
      </c>
      <c r="F106" s="3">
        <v>1.0</v>
      </c>
      <c r="G106" s="4">
        <f t="shared" si="1"/>
        <v>3.1</v>
      </c>
      <c r="H106" s="4" t="str">
        <f t="shared" si="2"/>
        <v>Neto: 3,20 € (a partir de 1 uds.)</v>
      </c>
      <c r="I106" s="4" t="str">
        <f t="shared" si="3"/>
        <v>Neto G.C.: 3,20 € (a partir de 1 uds.)</v>
      </c>
      <c r="J106" s="4">
        <f t="shared" si="4"/>
        <v>2.976</v>
      </c>
      <c r="K106" s="4">
        <f t="shared" si="5"/>
        <v>3.1</v>
      </c>
      <c r="L106" s="4">
        <f t="shared" si="6"/>
        <v>2.976</v>
      </c>
    </row>
    <row r="107">
      <c r="A107" s="1" t="s">
        <v>182</v>
      </c>
      <c r="B107" s="1" t="s">
        <v>183</v>
      </c>
      <c r="C107" s="3">
        <v>5.04</v>
      </c>
      <c r="D107" s="3">
        <v>2.1</v>
      </c>
      <c r="E107" s="3">
        <v>2.1</v>
      </c>
      <c r="F107" s="3">
        <v>1.0</v>
      </c>
      <c r="G107" s="4">
        <f t="shared" si="1"/>
        <v>2.52</v>
      </c>
      <c r="H107" s="4" t="str">
        <f t="shared" si="2"/>
        <v>Neto: 2,10 € (a partir de 1 uds.)</v>
      </c>
      <c r="I107" s="4" t="str">
        <f t="shared" si="3"/>
        <v>Neto G.C.: 2,10 € (a partir de 1 uds.)</v>
      </c>
      <c r="J107" s="4">
        <f t="shared" si="4"/>
        <v>2.4192</v>
      </c>
      <c r="K107" s="4">
        <f t="shared" si="5"/>
        <v>2.52</v>
      </c>
      <c r="L107" s="4">
        <f t="shared" si="6"/>
        <v>2.4192</v>
      </c>
    </row>
    <row r="108">
      <c r="A108" s="1" t="s">
        <v>184</v>
      </c>
      <c r="B108" s="1" t="s">
        <v>185</v>
      </c>
      <c r="C108" s="3">
        <v>6.2</v>
      </c>
      <c r="D108" s="3">
        <v>3.2</v>
      </c>
      <c r="E108" s="3">
        <v>3.2</v>
      </c>
      <c r="F108" s="3">
        <v>1.0</v>
      </c>
      <c r="G108" s="4">
        <f t="shared" si="1"/>
        <v>3.1</v>
      </c>
      <c r="H108" s="4" t="str">
        <f t="shared" si="2"/>
        <v>Neto: 3,20 € (a partir de 1 uds.)</v>
      </c>
      <c r="I108" s="4" t="str">
        <f t="shared" si="3"/>
        <v>Neto G.C.: 3,20 € (a partir de 1 uds.)</v>
      </c>
      <c r="J108" s="4">
        <f t="shared" si="4"/>
        <v>2.976</v>
      </c>
      <c r="K108" s="4">
        <f t="shared" si="5"/>
        <v>3.1</v>
      </c>
      <c r="L108" s="4">
        <f t="shared" si="6"/>
        <v>2.976</v>
      </c>
    </row>
    <row r="109">
      <c r="A109" s="3">
        <v>210.0</v>
      </c>
      <c r="B109" s="1" t="s">
        <v>186</v>
      </c>
      <c r="C109" s="3">
        <v>4.96</v>
      </c>
      <c r="D109" s="3">
        <v>1.8</v>
      </c>
      <c r="E109" s="3">
        <v>1.75</v>
      </c>
      <c r="F109" s="3">
        <v>1.0</v>
      </c>
      <c r="G109" s="4">
        <f t="shared" si="1"/>
        <v>2.48</v>
      </c>
      <c r="H109" s="4" t="str">
        <f t="shared" si="2"/>
        <v>Neto: 1,80 € (a partir de 1 uds.)</v>
      </c>
      <c r="I109" s="4" t="str">
        <f t="shared" si="3"/>
        <v>Neto G.C.: 1,75 € (a partir de 1 uds.)</v>
      </c>
      <c r="J109" s="4">
        <f t="shared" si="4"/>
        <v>2.3808</v>
      </c>
      <c r="K109" s="4">
        <f t="shared" si="5"/>
        <v>2.48</v>
      </c>
      <c r="L109" s="4">
        <f t="shared" si="6"/>
        <v>2.3808</v>
      </c>
    </row>
    <row r="110">
      <c r="A110" s="1" t="s">
        <v>187</v>
      </c>
      <c r="B110" s="1" t="s">
        <v>188</v>
      </c>
      <c r="C110" s="3">
        <v>3.2</v>
      </c>
      <c r="D110" s="3">
        <v>1.2</v>
      </c>
      <c r="E110" s="3">
        <v>1.2</v>
      </c>
      <c r="F110" s="3">
        <v>1.0</v>
      </c>
      <c r="G110" s="4">
        <f t="shared" si="1"/>
        <v>1.6</v>
      </c>
      <c r="H110" s="4" t="str">
        <f t="shared" si="2"/>
        <v>Neto: 1,20 € (a partir de 1 uds.)</v>
      </c>
      <c r="I110" s="4" t="str">
        <f t="shared" si="3"/>
        <v>Neto G.C.: 1,20 € (a partir de 1 uds.)</v>
      </c>
      <c r="J110" s="4">
        <f t="shared" si="4"/>
        <v>1.536</v>
      </c>
      <c r="K110" s="4">
        <f t="shared" si="5"/>
        <v>1.6</v>
      </c>
      <c r="L110" s="4">
        <f t="shared" si="6"/>
        <v>1.536</v>
      </c>
    </row>
    <row r="111">
      <c r="A111" s="3">
        <v>211.0</v>
      </c>
      <c r="B111" s="1" t="s">
        <v>189</v>
      </c>
      <c r="C111" s="3">
        <v>4.96</v>
      </c>
      <c r="D111" s="3">
        <v>1.8</v>
      </c>
      <c r="E111" s="3">
        <v>1.75</v>
      </c>
      <c r="F111" s="3">
        <v>1.0</v>
      </c>
      <c r="G111" s="4">
        <f t="shared" si="1"/>
        <v>2.48</v>
      </c>
      <c r="H111" s="4" t="str">
        <f t="shared" si="2"/>
        <v>Neto: 1,80 € (a partir de 1 uds.)</v>
      </c>
      <c r="I111" s="4" t="str">
        <f t="shared" si="3"/>
        <v>Neto G.C.: 1,75 € (a partir de 1 uds.)</v>
      </c>
      <c r="J111" s="4">
        <f t="shared" si="4"/>
        <v>2.3808</v>
      </c>
      <c r="K111" s="4">
        <f t="shared" si="5"/>
        <v>2.48</v>
      </c>
      <c r="L111" s="4">
        <f t="shared" si="6"/>
        <v>2.3808</v>
      </c>
    </row>
    <row r="112">
      <c r="A112" s="1" t="s">
        <v>190</v>
      </c>
      <c r="B112" s="1" t="s">
        <v>191</v>
      </c>
      <c r="C112" s="3">
        <v>3.2</v>
      </c>
      <c r="D112" s="3">
        <v>1.2</v>
      </c>
      <c r="E112" s="3">
        <v>1.2</v>
      </c>
      <c r="F112" s="3">
        <v>1.0</v>
      </c>
      <c r="G112" s="4">
        <f t="shared" si="1"/>
        <v>1.6</v>
      </c>
      <c r="H112" s="4" t="str">
        <f t="shared" si="2"/>
        <v>Neto: 1,20 € (a partir de 1 uds.)</v>
      </c>
      <c r="I112" s="4" t="str">
        <f t="shared" si="3"/>
        <v>Neto G.C.: 1,20 € (a partir de 1 uds.)</v>
      </c>
      <c r="J112" s="4">
        <f t="shared" si="4"/>
        <v>1.536</v>
      </c>
      <c r="K112" s="4">
        <f t="shared" si="5"/>
        <v>1.6</v>
      </c>
      <c r="L112" s="4">
        <f t="shared" si="6"/>
        <v>1.536</v>
      </c>
    </row>
    <row r="113">
      <c r="A113" s="3">
        <v>212.0</v>
      </c>
      <c r="B113" s="1" t="s">
        <v>192</v>
      </c>
      <c r="C113" s="3">
        <v>4.96</v>
      </c>
      <c r="D113" s="3">
        <v>1.8</v>
      </c>
      <c r="E113" s="3">
        <v>1.75</v>
      </c>
      <c r="F113" s="3">
        <v>1.0</v>
      </c>
      <c r="G113" s="4">
        <f t="shared" si="1"/>
        <v>2.48</v>
      </c>
      <c r="H113" s="4" t="str">
        <f t="shared" si="2"/>
        <v>Neto: 1,80 € (a partir de 1 uds.)</v>
      </c>
      <c r="I113" s="4" t="str">
        <f t="shared" si="3"/>
        <v>Neto G.C.: 1,75 € (a partir de 1 uds.)</v>
      </c>
      <c r="J113" s="4">
        <f t="shared" si="4"/>
        <v>2.3808</v>
      </c>
      <c r="K113" s="4">
        <f t="shared" si="5"/>
        <v>2.48</v>
      </c>
      <c r="L113" s="4">
        <f t="shared" si="6"/>
        <v>2.3808</v>
      </c>
    </row>
    <row r="114">
      <c r="A114" s="1" t="s">
        <v>193</v>
      </c>
      <c r="B114" s="1" t="s">
        <v>194</v>
      </c>
      <c r="C114" s="3">
        <v>3.2</v>
      </c>
      <c r="D114" s="3">
        <v>1.2</v>
      </c>
      <c r="E114" s="3">
        <v>1.2</v>
      </c>
      <c r="F114" s="3">
        <v>1.0</v>
      </c>
      <c r="G114" s="4">
        <f t="shared" si="1"/>
        <v>1.6</v>
      </c>
      <c r="H114" s="4" t="str">
        <f t="shared" si="2"/>
        <v>Neto: 1,20 € (a partir de 1 uds.)</v>
      </c>
      <c r="I114" s="4" t="str">
        <f t="shared" si="3"/>
        <v>Neto G.C.: 1,20 € (a partir de 1 uds.)</v>
      </c>
      <c r="J114" s="4">
        <f t="shared" si="4"/>
        <v>1.536</v>
      </c>
      <c r="K114" s="4">
        <f t="shared" si="5"/>
        <v>1.6</v>
      </c>
      <c r="L114" s="4">
        <f t="shared" si="6"/>
        <v>1.536</v>
      </c>
    </row>
    <row r="115">
      <c r="A115" s="3">
        <v>213.0</v>
      </c>
      <c r="B115" s="1" t="s">
        <v>195</v>
      </c>
      <c r="C115" s="3">
        <v>4.96</v>
      </c>
      <c r="D115" s="3">
        <v>1.8</v>
      </c>
      <c r="E115" s="3">
        <v>1.75</v>
      </c>
      <c r="F115" s="3">
        <v>1.0</v>
      </c>
      <c r="G115" s="4">
        <f t="shared" si="1"/>
        <v>2.48</v>
      </c>
      <c r="H115" s="4" t="str">
        <f t="shared" si="2"/>
        <v>Neto: 1,80 € (a partir de 1 uds.)</v>
      </c>
      <c r="I115" s="4" t="str">
        <f t="shared" si="3"/>
        <v>Neto G.C.: 1,75 € (a partir de 1 uds.)</v>
      </c>
      <c r="J115" s="4">
        <f t="shared" si="4"/>
        <v>2.3808</v>
      </c>
      <c r="K115" s="4">
        <f t="shared" si="5"/>
        <v>2.48</v>
      </c>
      <c r="L115" s="4">
        <f t="shared" si="6"/>
        <v>2.3808</v>
      </c>
    </row>
    <row r="116">
      <c r="A116" s="1" t="s">
        <v>196</v>
      </c>
      <c r="B116" s="1" t="s">
        <v>197</v>
      </c>
      <c r="C116" s="3">
        <v>3.2</v>
      </c>
      <c r="D116" s="3">
        <v>1.2</v>
      </c>
      <c r="E116" s="3">
        <v>1.2</v>
      </c>
      <c r="F116" s="3">
        <v>1.0</v>
      </c>
      <c r="G116" s="4">
        <f t="shared" si="1"/>
        <v>1.6</v>
      </c>
      <c r="H116" s="4" t="str">
        <f t="shared" si="2"/>
        <v>Neto: 1,20 € (a partir de 1 uds.)</v>
      </c>
      <c r="I116" s="4" t="str">
        <f t="shared" si="3"/>
        <v>Neto G.C.: 1,20 € (a partir de 1 uds.)</v>
      </c>
      <c r="J116" s="4">
        <f t="shared" si="4"/>
        <v>1.536</v>
      </c>
      <c r="K116" s="4">
        <f t="shared" si="5"/>
        <v>1.6</v>
      </c>
      <c r="L116" s="4">
        <f t="shared" si="6"/>
        <v>1.536</v>
      </c>
    </row>
    <row r="117">
      <c r="A117" s="3">
        <v>214.0</v>
      </c>
      <c r="B117" s="1" t="s">
        <v>198</v>
      </c>
      <c r="C117" s="3">
        <v>4.96</v>
      </c>
      <c r="D117" s="3">
        <v>1.8</v>
      </c>
      <c r="E117" s="3">
        <v>1.75</v>
      </c>
      <c r="F117" s="3">
        <v>1.0</v>
      </c>
      <c r="G117" s="4">
        <f t="shared" si="1"/>
        <v>2.48</v>
      </c>
      <c r="H117" s="4" t="str">
        <f t="shared" si="2"/>
        <v>Neto: 1,80 € (a partir de 1 uds.)</v>
      </c>
      <c r="I117" s="4" t="str">
        <f t="shared" si="3"/>
        <v>Neto G.C.: 1,75 € (a partir de 1 uds.)</v>
      </c>
      <c r="J117" s="4">
        <f t="shared" si="4"/>
        <v>2.3808</v>
      </c>
      <c r="K117" s="4">
        <f t="shared" si="5"/>
        <v>2.48</v>
      </c>
      <c r="L117" s="4">
        <f t="shared" si="6"/>
        <v>2.3808</v>
      </c>
    </row>
    <row r="118">
      <c r="A118" s="1" t="s">
        <v>199</v>
      </c>
      <c r="B118" s="1" t="s">
        <v>200</v>
      </c>
      <c r="C118" s="3">
        <v>3.2</v>
      </c>
      <c r="D118" s="3">
        <v>1.2</v>
      </c>
      <c r="E118" s="3">
        <v>1.2</v>
      </c>
      <c r="F118" s="3">
        <v>1.0</v>
      </c>
      <c r="G118" s="4">
        <f t="shared" si="1"/>
        <v>1.6</v>
      </c>
      <c r="H118" s="4" t="str">
        <f t="shared" si="2"/>
        <v>Neto: 1,20 € (a partir de 1 uds.)</v>
      </c>
      <c r="I118" s="4" t="str">
        <f t="shared" si="3"/>
        <v>Neto G.C.: 1,20 € (a partir de 1 uds.)</v>
      </c>
      <c r="J118" s="4">
        <f t="shared" si="4"/>
        <v>1.536</v>
      </c>
      <c r="K118" s="4">
        <f t="shared" si="5"/>
        <v>1.6</v>
      </c>
      <c r="L118" s="4">
        <f t="shared" si="6"/>
        <v>1.536</v>
      </c>
    </row>
    <row r="119">
      <c r="A119" s="3">
        <v>215.0</v>
      </c>
      <c r="B119" s="1" t="s">
        <v>201</v>
      </c>
      <c r="C119" s="3">
        <v>4.96</v>
      </c>
      <c r="D119" s="3">
        <v>1.8</v>
      </c>
      <c r="E119" s="3">
        <v>1.75</v>
      </c>
      <c r="F119" s="3">
        <v>1.0</v>
      </c>
      <c r="G119" s="4">
        <f t="shared" si="1"/>
        <v>2.48</v>
      </c>
      <c r="H119" s="4" t="str">
        <f t="shared" si="2"/>
        <v>Neto: 1,80 € (a partir de 1 uds.)</v>
      </c>
      <c r="I119" s="4" t="str">
        <f t="shared" si="3"/>
        <v>Neto G.C.: 1,75 € (a partir de 1 uds.)</v>
      </c>
      <c r="J119" s="4">
        <f t="shared" si="4"/>
        <v>2.3808</v>
      </c>
      <c r="K119" s="4">
        <f t="shared" si="5"/>
        <v>2.48</v>
      </c>
      <c r="L119" s="4">
        <f t="shared" si="6"/>
        <v>2.3808</v>
      </c>
    </row>
    <row r="120">
      <c r="A120" s="1" t="s">
        <v>202</v>
      </c>
      <c r="B120" s="1" t="s">
        <v>203</v>
      </c>
      <c r="C120" s="3">
        <v>3.2</v>
      </c>
      <c r="D120" s="3">
        <v>1.2</v>
      </c>
      <c r="E120" s="3">
        <v>1.2</v>
      </c>
      <c r="F120" s="3">
        <v>1.0</v>
      </c>
      <c r="G120" s="4">
        <f t="shared" si="1"/>
        <v>1.6</v>
      </c>
      <c r="H120" s="4" t="str">
        <f t="shared" si="2"/>
        <v>Neto: 1,20 € (a partir de 1 uds.)</v>
      </c>
      <c r="I120" s="4" t="str">
        <f t="shared" si="3"/>
        <v>Neto G.C.: 1,20 € (a partir de 1 uds.)</v>
      </c>
      <c r="J120" s="4">
        <f t="shared" si="4"/>
        <v>1.536</v>
      </c>
      <c r="K120" s="4">
        <f t="shared" si="5"/>
        <v>1.6</v>
      </c>
      <c r="L120" s="4">
        <f t="shared" si="6"/>
        <v>1.536</v>
      </c>
    </row>
    <row r="121">
      <c r="A121" s="3">
        <v>216.0</v>
      </c>
      <c r="B121" s="1" t="s">
        <v>204</v>
      </c>
      <c r="C121" s="3">
        <v>4.96</v>
      </c>
      <c r="D121" s="3">
        <v>1.8</v>
      </c>
      <c r="E121" s="3">
        <v>1.75</v>
      </c>
      <c r="F121" s="3">
        <v>1.0</v>
      </c>
      <c r="G121" s="4">
        <f t="shared" si="1"/>
        <v>2.48</v>
      </c>
      <c r="H121" s="4" t="str">
        <f t="shared" si="2"/>
        <v>Neto: 1,80 € (a partir de 1 uds.)</v>
      </c>
      <c r="I121" s="4" t="str">
        <f t="shared" si="3"/>
        <v>Neto G.C.: 1,75 € (a partir de 1 uds.)</v>
      </c>
      <c r="J121" s="4">
        <f t="shared" si="4"/>
        <v>2.3808</v>
      </c>
      <c r="K121" s="4">
        <f t="shared" si="5"/>
        <v>2.48</v>
      </c>
      <c r="L121" s="4">
        <f t="shared" si="6"/>
        <v>2.3808</v>
      </c>
    </row>
    <row r="122">
      <c r="A122" s="1" t="s">
        <v>205</v>
      </c>
      <c r="B122" s="1" t="s">
        <v>206</v>
      </c>
      <c r="C122" s="3">
        <v>3.2</v>
      </c>
      <c r="D122" s="3">
        <v>1.2</v>
      </c>
      <c r="E122" s="3">
        <v>1.2</v>
      </c>
      <c r="F122" s="3">
        <v>1.0</v>
      </c>
      <c r="G122" s="4">
        <f t="shared" si="1"/>
        <v>1.6</v>
      </c>
      <c r="H122" s="4" t="str">
        <f t="shared" si="2"/>
        <v>Neto: 1,20 € (a partir de 1 uds.)</v>
      </c>
      <c r="I122" s="4" t="str">
        <f t="shared" si="3"/>
        <v>Neto G.C.: 1,20 € (a partir de 1 uds.)</v>
      </c>
      <c r="J122" s="4">
        <f t="shared" si="4"/>
        <v>1.536</v>
      </c>
      <c r="K122" s="4">
        <f t="shared" si="5"/>
        <v>1.6</v>
      </c>
      <c r="L122" s="4">
        <f t="shared" si="6"/>
        <v>1.536</v>
      </c>
    </row>
    <row r="123">
      <c r="A123" s="3">
        <v>217.0</v>
      </c>
      <c r="B123" s="1" t="s">
        <v>207</v>
      </c>
      <c r="C123" s="3">
        <v>4.96</v>
      </c>
      <c r="D123" s="3">
        <v>1.8</v>
      </c>
      <c r="E123" s="3">
        <v>1.75</v>
      </c>
      <c r="F123" s="3">
        <v>1.0</v>
      </c>
      <c r="G123" s="4">
        <f t="shared" si="1"/>
        <v>2.48</v>
      </c>
      <c r="H123" s="4" t="str">
        <f t="shared" si="2"/>
        <v>Neto: 1,80 € (a partir de 1 uds.)</v>
      </c>
      <c r="I123" s="4" t="str">
        <f t="shared" si="3"/>
        <v>Neto G.C.: 1,75 € (a partir de 1 uds.)</v>
      </c>
      <c r="J123" s="4">
        <f t="shared" si="4"/>
        <v>2.3808</v>
      </c>
      <c r="K123" s="4">
        <f t="shared" si="5"/>
        <v>2.48</v>
      </c>
      <c r="L123" s="4">
        <f t="shared" si="6"/>
        <v>2.3808</v>
      </c>
    </row>
    <row r="124">
      <c r="A124" s="1" t="s">
        <v>208</v>
      </c>
      <c r="B124" s="1" t="s">
        <v>209</v>
      </c>
      <c r="C124" s="3">
        <v>3.2</v>
      </c>
      <c r="D124" s="3">
        <v>1.2</v>
      </c>
      <c r="E124" s="3">
        <v>1.2</v>
      </c>
      <c r="F124" s="3">
        <v>1.0</v>
      </c>
      <c r="G124" s="4">
        <f t="shared" si="1"/>
        <v>1.6</v>
      </c>
      <c r="H124" s="4" t="str">
        <f t="shared" si="2"/>
        <v>Neto: 1,20 € (a partir de 1 uds.)</v>
      </c>
      <c r="I124" s="4" t="str">
        <f t="shared" si="3"/>
        <v>Neto G.C.: 1,20 € (a partir de 1 uds.)</v>
      </c>
      <c r="J124" s="4">
        <f t="shared" si="4"/>
        <v>1.536</v>
      </c>
      <c r="K124" s="4">
        <f t="shared" si="5"/>
        <v>1.6</v>
      </c>
      <c r="L124" s="4">
        <f t="shared" si="6"/>
        <v>1.536</v>
      </c>
    </row>
    <row r="125">
      <c r="A125" s="3">
        <v>218.0</v>
      </c>
      <c r="B125" s="1" t="s">
        <v>210</v>
      </c>
      <c r="C125" s="3">
        <v>4.96</v>
      </c>
      <c r="D125" s="3">
        <v>1.8</v>
      </c>
      <c r="E125" s="3">
        <v>1.75</v>
      </c>
      <c r="F125" s="3">
        <v>1.0</v>
      </c>
      <c r="G125" s="4">
        <f t="shared" si="1"/>
        <v>2.48</v>
      </c>
      <c r="H125" s="4" t="str">
        <f t="shared" si="2"/>
        <v>Neto: 1,80 € (a partir de 1 uds.)</v>
      </c>
      <c r="I125" s="4" t="str">
        <f t="shared" si="3"/>
        <v>Neto G.C.: 1,75 € (a partir de 1 uds.)</v>
      </c>
      <c r="J125" s="4">
        <f t="shared" si="4"/>
        <v>2.3808</v>
      </c>
      <c r="K125" s="4">
        <f t="shared" si="5"/>
        <v>2.48</v>
      </c>
      <c r="L125" s="4">
        <f t="shared" si="6"/>
        <v>2.3808</v>
      </c>
    </row>
    <row r="126">
      <c r="A126" s="1" t="s">
        <v>211</v>
      </c>
      <c r="B126" s="1" t="s">
        <v>212</v>
      </c>
      <c r="C126" s="3">
        <v>3.2</v>
      </c>
      <c r="D126" s="3">
        <v>1.2</v>
      </c>
      <c r="E126" s="3">
        <v>1.2</v>
      </c>
      <c r="F126" s="3">
        <v>1.0</v>
      </c>
      <c r="G126" s="4">
        <f t="shared" si="1"/>
        <v>1.6</v>
      </c>
      <c r="H126" s="4" t="str">
        <f t="shared" si="2"/>
        <v>Neto: 1,20 € (a partir de 1 uds.)</v>
      </c>
      <c r="I126" s="4" t="str">
        <f t="shared" si="3"/>
        <v>Neto G.C.: 1,20 € (a partir de 1 uds.)</v>
      </c>
      <c r="J126" s="4">
        <f t="shared" si="4"/>
        <v>1.536</v>
      </c>
      <c r="K126" s="4">
        <f t="shared" si="5"/>
        <v>1.6</v>
      </c>
      <c r="L126" s="4">
        <f t="shared" si="6"/>
        <v>1.536</v>
      </c>
    </row>
    <row r="127">
      <c r="A127" s="3">
        <v>219.0</v>
      </c>
      <c r="B127" s="1" t="s">
        <v>213</v>
      </c>
      <c r="C127" s="3">
        <v>4.96</v>
      </c>
      <c r="D127" s="3">
        <v>1.8</v>
      </c>
      <c r="E127" s="3">
        <v>1.75</v>
      </c>
      <c r="F127" s="3">
        <v>1.0</v>
      </c>
      <c r="G127" s="4">
        <f t="shared" si="1"/>
        <v>2.48</v>
      </c>
      <c r="H127" s="4" t="str">
        <f t="shared" si="2"/>
        <v>Neto: 1,80 € (a partir de 1 uds.)</v>
      </c>
      <c r="I127" s="4" t="str">
        <f t="shared" si="3"/>
        <v>Neto G.C.: 1,75 € (a partir de 1 uds.)</v>
      </c>
      <c r="J127" s="4">
        <f t="shared" si="4"/>
        <v>2.3808</v>
      </c>
      <c r="K127" s="4">
        <f t="shared" si="5"/>
        <v>2.48</v>
      </c>
      <c r="L127" s="4">
        <f t="shared" si="6"/>
        <v>2.3808</v>
      </c>
    </row>
    <row r="128">
      <c r="A128" s="1" t="s">
        <v>214</v>
      </c>
      <c r="B128" s="1" t="s">
        <v>215</v>
      </c>
      <c r="C128" s="3">
        <v>3.2</v>
      </c>
      <c r="D128" s="3">
        <v>1.2</v>
      </c>
      <c r="E128" s="3">
        <v>1.2</v>
      </c>
      <c r="F128" s="3">
        <v>1.0</v>
      </c>
      <c r="G128" s="4">
        <f t="shared" si="1"/>
        <v>1.6</v>
      </c>
      <c r="H128" s="4" t="str">
        <f t="shared" si="2"/>
        <v>Neto: 1,20 € (a partir de 1 uds.)</v>
      </c>
      <c r="I128" s="4" t="str">
        <f t="shared" si="3"/>
        <v>Neto G.C.: 1,20 € (a partir de 1 uds.)</v>
      </c>
      <c r="J128" s="4">
        <f t="shared" si="4"/>
        <v>1.536</v>
      </c>
      <c r="K128" s="4">
        <f t="shared" si="5"/>
        <v>1.6</v>
      </c>
      <c r="L128" s="4">
        <f t="shared" si="6"/>
        <v>1.536</v>
      </c>
    </row>
    <row r="129">
      <c r="A129" s="3">
        <v>220.0</v>
      </c>
      <c r="B129" s="1" t="s">
        <v>216</v>
      </c>
      <c r="C129" s="3">
        <v>4.96</v>
      </c>
      <c r="D129" s="3">
        <v>1.8</v>
      </c>
      <c r="E129" s="3">
        <v>1.75</v>
      </c>
      <c r="F129" s="3">
        <v>1.0</v>
      </c>
      <c r="G129" s="4">
        <f t="shared" si="1"/>
        <v>2.48</v>
      </c>
      <c r="H129" s="4" t="str">
        <f t="shared" si="2"/>
        <v>Neto: 1,80 € (a partir de 1 uds.)</v>
      </c>
      <c r="I129" s="4" t="str">
        <f t="shared" si="3"/>
        <v>Neto G.C.: 1,75 € (a partir de 1 uds.)</v>
      </c>
      <c r="J129" s="4">
        <f t="shared" si="4"/>
        <v>2.3808</v>
      </c>
      <c r="K129" s="4">
        <f t="shared" si="5"/>
        <v>2.48</v>
      </c>
      <c r="L129" s="4">
        <f t="shared" si="6"/>
        <v>2.3808</v>
      </c>
    </row>
    <row r="130">
      <c r="A130" s="1" t="s">
        <v>217</v>
      </c>
      <c r="B130" s="1" t="s">
        <v>218</v>
      </c>
      <c r="C130" s="3">
        <v>3.2</v>
      </c>
      <c r="D130" s="3">
        <v>1.2</v>
      </c>
      <c r="E130" s="3">
        <v>1.2</v>
      </c>
      <c r="F130" s="3">
        <v>1.0</v>
      </c>
      <c r="G130" s="4">
        <f t="shared" si="1"/>
        <v>1.6</v>
      </c>
      <c r="H130" s="4" t="str">
        <f t="shared" si="2"/>
        <v>Neto: 1,20 € (a partir de 1 uds.)</v>
      </c>
      <c r="I130" s="4" t="str">
        <f t="shared" si="3"/>
        <v>Neto G.C.: 1,20 € (a partir de 1 uds.)</v>
      </c>
      <c r="J130" s="4">
        <f t="shared" si="4"/>
        <v>1.536</v>
      </c>
      <c r="K130" s="4">
        <f t="shared" si="5"/>
        <v>1.6</v>
      </c>
      <c r="L130" s="4">
        <f t="shared" si="6"/>
        <v>1.536</v>
      </c>
    </row>
    <row r="131">
      <c r="A131" s="3">
        <v>221.0</v>
      </c>
      <c r="B131" s="1" t="s">
        <v>219</v>
      </c>
      <c r="C131" s="3">
        <v>4.96</v>
      </c>
      <c r="D131" s="3">
        <v>1.8</v>
      </c>
      <c r="E131" s="3">
        <v>1.75</v>
      </c>
      <c r="F131" s="3">
        <v>1.0</v>
      </c>
      <c r="G131" s="4">
        <f t="shared" si="1"/>
        <v>2.48</v>
      </c>
      <c r="H131" s="4" t="str">
        <f t="shared" si="2"/>
        <v>Neto: 1,80 € (a partir de 1 uds.)</v>
      </c>
      <c r="I131" s="4" t="str">
        <f t="shared" si="3"/>
        <v>Neto G.C.: 1,75 € (a partir de 1 uds.)</v>
      </c>
      <c r="J131" s="4">
        <f t="shared" si="4"/>
        <v>2.3808</v>
      </c>
      <c r="K131" s="4">
        <f t="shared" si="5"/>
        <v>2.48</v>
      </c>
      <c r="L131" s="4">
        <f t="shared" si="6"/>
        <v>2.3808</v>
      </c>
    </row>
    <row r="132">
      <c r="A132" s="1" t="s">
        <v>220</v>
      </c>
      <c r="B132" s="1" t="s">
        <v>221</v>
      </c>
      <c r="C132" s="3">
        <v>3.2</v>
      </c>
      <c r="D132" s="3">
        <v>1.2</v>
      </c>
      <c r="E132" s="3">
        <v>1.2</v>
      </c>
      <c r="F132" s="3">
        <v>1.0</v>
      </c>
      <c r="G132" s="4">
        <f t="shared" si="1"/>
        <v>1.6</v>
      </c>
      <c r="H132" s="4" t="str">
        <f t="shared" si="2"/>
        <v>Neto: 1,20 € (a partir de 1 uds.)</v>
      </c>
      <c r="I132" s="4" t="str">
        <f t="shared" si="3"/>
        <v>Neto G.C.: 1,20 € (a partir de 1 uds.)</v>
      </c>
      <c r="J132" s="4">
        <f t="shared" si="4"/>
        <v>1.536</v>
      </c>
      <c r="K132" s="4">
        <f t="shared" si="5"/>
        <v>1.6</v>
      </c>
      <c r="L132" s="4">
        <f t="shared" si="6"/>
        <v>1.536</v>
      </c>
    </row>
    <row r="133">
      <c r="A133" s="3">
        <v>222.0</v>
      </c>
      <c r="B133" s="1" t="s">
        <v>222</v>
      </c>
      <c r="C133" s="3">
        <v>4.96</v>
      </c>
      <c r="D133" s="3">
        <v>1.8</v>
      </c>
      <c r="E133" s="3">
        <v>1.75</v>
      </c>
      <c r="F133" s="3">
        <v>1.0</v>
      </c>
      <c r="G133" s="4">
        <f t="shared" si="1"/>
        <v>2.48</v>
      </c>
      <c r="H133" s="4" t="str">
        <f t="shared" si="2"/>
        <v>Neto: 1,80 € (a partir de 1 uds.)</v>
      </c>
      <c r="I133" s="4" t="str">
        <f t="shared" si="3"/>
        <v>Neto G.C.: 1,75 € (a partir de 1 uds.)</v>
      </c>
      <c r="J133" s="4">
        <f t="shared" si="4"/>
        <v>2.3808</v>
      </c>
      <c r="K133" s="4">
        <f t="shared" si="5"/>
        <v>2.48</v>
      </c>
      <c r="L133" s="4">
        <f t="shared" si="6"/>
        <v>2.3808</v>
      </c>
    </row>
    <row r="134">
      <c r="A134" s="1" t="s">
        <v>223</v>
      </c>
      <c r="B134" s="1" t="s">
        <v>224</v>
      </c>
      <c r="C134" s="3">
        <v>3.2</v>
      </c>
      <c r="D134" s="3">
        <v>1.2</v>
      </c>
      <c r="E134" s="3">
        <v>1.2</v>
      </c>
      <c r="F134" s="3">
        <v>1.0</v>
      </c>
      <c r="G134" s="4">
        <f t="shared" si="1"/>
        <v>1.6</v>
      </c>
      <c r="H134" s="4" t="str">
        <f t="shared" si="2"/>
        <v>Neto: 1,20 € (a partir de 1 uds.)</v>
      </c>
      <c r="I134" s="4" t="str">
        <f t="shared" si="3"/>
        <v>Neto G.C.: 1,20 € (a partir de 1 uds.)</v>
      </c>
      <c r="J134" s="4">
        <f t="shared" si="4"/>
        <v>1.536</v>
      </c>
      <c r="K134" s="4">
        <f t="shared" si="5"/>
        <v>1.6</v>
      </c>
      <c r="L134" s="4">
        <f t="shared" si="6"/>
        <v>1.536</v>
      </c>
    </row>
    <row r="135">
      <c r="A135" s="3">
        <v>223.0</v>
      </c>
      <c r="B135" s="1" t="s">
        <v>225</v>
      </c>
      <c r="C135" s="3">
        <v>4.96</v>
      </c>
      <c r="D135" s="3">
        <v>1.8</v>
      </c>
      <c r="E135" s="3">
        <v>1.75</v>
      </c>
      <c r="F135" s="3">
        <v>1.0</v>
      </c>
      <c r="G135" s="4">
        <f t="shared" si="1"/>
        <v>2.48</v>
      </c>
      <c r="H135" s="4" t="str">
        <f t="shared" si="2"/>
        <v>Neto: 1,80 € (a partir de 1 uds.)</v>
      </c>
      <c r="I135" s="4" t="str">
        <f t="shared" si="3"/>
        <v>Neto G.C.: 1,75 € (a partir de 1 uds.)</v>
      </c>
      <c r="J135" s="4">
        <f t="shared" si="4"/>
        <v>2.3808</v>
      </c>
      <c r="K135" s="4">
        <f t="shared" si="5"/>
        <v>2.48</v>
      </c>
      <c r="L135" s="4">
        <f t="shared" si="6"/>
        <v>2.3808</v>
      </c>
    </row>
    <row r="136">
      <c r="A136" s="1" t="s">
        <v>226</v>
      </c>
      <c r="B136" s="1" t="s">
        <v>227</v>
      </c>
      <c r="C136" s="3">
        <v>3.2</v>
      </c>
      <c r="D136" s="3">
        <v>1.2</v>
      </c>
      <c r="E136" s="3">
        <v>1.2</v>
      </c>
      <c r="F136" s="3">
        <v>1.0</v>
      </c>
      <c r="G136" s="4">
        <f t="shared" si="1"/>
        <v>1.6</v>
      </c>
      <c r="H136" s="4" t="str">
        <f t="shared" si="2"/>
        <v>Neto: 1,20 € (a partir de 1 uds.)</v>
      </c>
      <c r="I136" s="4" t="str">
        <f t="shared" si="3"/>
        <v>Neto G.C.: 1,20 € (a partir de 1 uds.)</v>
      </c>
      <c r="J136" s="4">
        <f t="shared" si="4"/>
        <v>1.536</v>
      </c>
      <c r="K136" s="4">
        <f t="shared" si="5"/>
        <v>1.6</v>
      </c>
      <c r="L136" s="4">
        <f t="shared" si="6"/>
        <v>1.536</v>
      </c>
    </row>
    <row r="137">
      <c r="A137" s="3">
        <v>224.0</v>
      </c>
      <c r="B137" s="1" t="s">
        <v>228</v>
      </c>
      <c r="C137" s="3">
        <v>4.96</v>
      </c>
      <c r="D137" s="3">
        <v>1.8</v>
      </c>
      <c r="E137" s="3">
        <v>1.75</v>
      </c>
      <c r="F137" s="3">
        <v>1.0</v>
      </c>
      <c r="G137" s="4">
        <f t="shared" si="1"/>
        <v>2.48</v>
      </c>
      <c r="H137" s="4" t="str">
        <f t="shared" si="2"/>
        <v>Neto: 1,80 € (a partir de 1 uds.)</v>
      </c>
      <c r="I137" s="4" t="str">
        <f t="shared" si="3"/>
        <v>Neto G.C.: 1,75 € (a partir de 1 uds.)</v>
      </c>
      <c r="J137" s="4">
        <f t="shared" si="4"/>
        <v>2.3808</v>
      </c>
      <c r="K137" s="4">
        <f t="shared" si="5"/>
        <v>2.48</v>
      </c>
      <c r="L137" s="4">
        <f t="shared" si="6"/>
        <v>2.3808</v>
      </c>
    </row>
    <row r="138">
      <c r="A138" s="1" t="s">
        <v>229</v>
      </c>
      <c r="B138" s="1" t="s">
        <v>230</v>
      </c>
      <c r="C138" s="3">
        <v>3.2</v>
      </c>
      <c r="D138" s="3">
        <v>1.2</v>
      </c>
      <c r="E138" s="3">
        <v>1.2</v>
      </c>
      <c r="F138" s="3">
        <v>1.0</v>
      </c>
      <c r="G138" s="4">
        <f t="shared" si="1"/>
        <v>1.6</v>
      </c>
      <c r="H138" s="4" t="str">
        <f t="shared" si="2"/>
        <v>Neto: 1,20 € (a partir de 1 uds.)</v>
      </c>
      <c r="I138" s="4" t="str">
        <f t="shared" si="3"/>
        <v>Neto G.C.: 1,20 € (a partir de 1 uds.)</v>
      </c>
      <c r="J138" s="4">
        <f t="shared" si="4"/>
        <v>1.536</v>
      </c>
      <c r="K138" s="4">
        <f t="shared" si="5"/>
        <v>1.6</v>
      </c>
      <c r="L138" s="4">
        <f t="shared" si="6"/>
        <v>1.536</v>
      </c>
    </row>
    <row r="139">
      <c r="A139" s="3">
        <v>225.0</v>
      </c>
      <c r="B139" s="1" t="s">
        <v>231</v>
      </c>
      <c r="C139" s="3">
        <v>4.96</v>
      </c>
      <c r="D139" s="3">
        <v>1.8</v>
      </c>
      <c r="E139" s="3">
        <v>1.75</v>
      </c>
      <c r="F139" s="3">
        <v>1.0</v>
      </c>
      <c r="G139" s="4">
        <f t="shared" si="1"/>
        <v>2.48</v>
      </c>
      <c r="H139" s="4" t="str">
        <f t="shared" si="2"/>
        <v>Neto: 1,80 € (a partir de 1 uds.)</v>
      </c>
      <c r="I139" s="4" t="str">
        <f t="shared" si="3"/>
        <v>Neto G.C.: 1,75 € (a partir de 1 uds.)</v>
      </c>
      <c r="J139" s="4">
        <f t="shared" si="4"/>
        <v>2.3808</v>
      </c>
      <c r="K139" s="4">
        <f t="shared" si="5"/>
        <v>2.48</v>
      </c>
      <c r="L139" s="4">
        <f t="shared" si="6"/>
        <v>2.3808</v>
      </c>
    </row>
    <row r="140">
      <c r="A140" s="1" t="s">
        <v>232</v>
      </c>
      <c r="B140" s="1" t="s">
        <v>233</v>
      </c>
      <c r="C140" s="3">
        <v>3.2</v>
      </c>
      <c r="D140" s="3">
        <v>1.2</v>
      </c>
      <c r="E140" s="3">
        <v>1.2</v>
      </c>
      <c r="F140" s="3">
        <v>1.0</v>
      </c>
      <c r="G140" s="4">
        <f t="shared" si="1"/>
        <v>1.6</v>
      </c>
      <c r="H140" s="4" t="str">
        <f t="shared" si="2"/>
        <v>Neto: 1,20 € (a partir de 1 uds.)</v>
      </c>
      <c r="I140" s="4" t="str">
        <f t="shared" si="3"/>
        <v>Neto G.C.: 1,20 € (a partir de 1 uds.)</v>
      </c>
      <c r="J140" s="4">
        <f t="shared" si="4"/>
        <v>1.536</v>
      </c>
      <c r="K140" s="4">
        <f t="shared" si="5"/>
        <v>1.6</v>
      </c>
      <c r="L140" s="4">
        <f t="shared" si="6"/>
        <v>1.536</v>
      </c>
    </row>
    <row r="141">
      <c r="A141" s="3">
        <v>226.0</v>
      </c>
      <c r="B141" s="1" t="s">
        <v>234</v>
      </c>
      <c r="C141" s="3">
        <v>4.96</v>
      </c>
      <c r="D141" s="3">
        <v>1.8</v>
      </c>
      <c r="E141" s="3">
        <v>1.75</v>
      </c>
      <c r="F141" s="3">
        <v>1.0</v>
      </c>
      <c r="G141" s="4">
        <f t="shared" si="1"/>
        <v>2.48</v>
      </c>
      <c r="H141" s="4" t="str">
        <f t="shared" si="2"/>
        <v>Neto: 1,80 € (a partir de 1 uds.)</v>
      </c>
      <c r="I141" s="4" t="str">
        <f t="shared" si="3"/>
        <v>Neto G.C.: 1,75 € (a partir de 1 uds.)</v>
      </c>
      <c r="J141" s="4">
        <f t="shared" si="4"/>
        <v>2.3808</v>
      </c>
      <c r="K141" s="4">
        <f t="shared" si="5"/>
        <v>2.48</v>
      </c>
      <c r="L141" s="4">
        <f t="shared" si="6"/>
        <v>2.3808</v>
      </c>
    </row>
    <row r="142">
      <c r="A142" s="1" t="s">
        <v>235</v>
      </c>
      <c r="B142" s="1" t="s">
        <v>236</v>
      </c>
      <c r="C142" s="3">
        <v>3.2</v>
      </c>
      <c r="D142" s="3">
        <v>1.2</v>
      </c>
      <c r="E142" s="3">
        <v>1.2</v>
      </c>
      <c r="F142" s="3">
        <v>1.0</v>
      </c>
      <c r="G142" s="4">
        <f t="shared" si="1"/>
        <v>1.6</v>
      </c>
      <c r="H142" s="4" t="str">
        <f t="shared" si="2"/>
        <v>Neto: 1,20 € (a partir de 1 uds.)</v>
      </c>
      <c r="I142" s="4" t="str">
        <f t="shared" si="3"/>
        <v>Neto G.C.: 1,20 € (a partir de 1 uds.)</v>
      </c>
      <c r="J142" s="4">
        <f t="shared" si="4"/>
        <v>1.536</v>
      </c>
      <c r="K142" s="4">
        <f t="shared" si="5"/>
        <v>1.6</v>
      </c>
      <c r="L142" s="4">
        <f t="shared" si="6"/>
        <v>1.536</v>
      </c>
    </row>
    <row r="143">
      <c r="A143" s="3">
        <v>227.0</v>
      </c>
      <c r="B143" s="1" t="s">
        <v>237</v>
      </c>
      <c r="C143" s="3">
        <v>4.96</v>
      </c>
      <c r="D143" s="3">
        <v>1.8</v>
      </c>
      <c r="E143" s="3">
        <v>1.75</v>
      </c>
      <c r="F143" s="3">
        <v>1.0</v>
      </c>
      <c r="G143" s="4">
        <f t="shared" si="1"/>
        <v>2.48</v>
      </c>
      <c r="H143" s="4" t="str">
        <f t="shared" si="2"/>
        <v>Neto: 1,80 € (a partir de 1 uds.)</v>
      </c>
      <c r="I143" s="4" t="str">
        <f t="shared" si="3"/>
        <v>Neto G.C.: 1,75 € (a partir de 1 uds.)</v>
      </c>
      <c r="J143" s="4">
        <f t="shared" si="4"/>
        <v>2.3808</v>
      </c>
      <c r="K143" s="4">
        <f t="shared" si="5"/>
        <v>2.48</v>
      </c>
      <c r="L143" s="4">
        <f t="shared" si="6"/>
        <v>2.3808</v>
      </c>
    </row>
    <row r="144">
      <c r="A144" s="1" t="s">
        <v>238</v>
      </c>
      <c r="B144" s="1" t="s">
        <v>239</v>
      </c>
      <c r="C144" s="3">
        <v>3.2</v>
      </c>
      <c r="D144" s="3">
        <v>1.2</v>
      </c>
      <c r="E144" s="3">
        <v>1.2</v>
      </c>
      <c r="F144" s="3">
        <v>1.0</v>
      </c>
      <c r="G144" s="4">
        <f t="shared" si="1"/>
        <v>1.6</v>
      </c>
      <c r="H144" s="4" t="str">
        <f t="shared" si="2"/>
        <v>Neto: 1,20 € (a partir de 1 uds.)</v>
      </c>
      <c r="I144" s="4" t="str">
        <f t="shared" si="3"/>
        <v>Neto G.C.: 1,20 € (a partir de 1 uds.)</v>
      </c>
      <c r="J144" s="4">
        <f t="shared" si="4"/>
        <v>1.536</v>
      </c>
      <c r="K144" s="4">
        <f t="shared" si="5"/>
        <v>1.6</v>
      </c>
      <c r="L144" s="4">
        <f t="shared" si="6"/>
        <v>1.536</v>
      </c>
    </row>
    <row r="145">
      <c r="A145" s="3">
        <v>228.0</v>
      </c>
      <c r="B145" s="1" t="s">
        <v>240</v>
      </c>
      <c r="C145" s="3">
        <v>4.96</v>
      </c>
      <c r="D145" s="3">
        <v>1.8</v>
      </c>
      <c r="E145" s="3">
        <v>1.75</v>
      </c>
      <c r="F145" s="3">
        <v>1.0</v>
      </c>
      <c r="G145" s="4">
        <f t="shared" si="1"/>
        <v>2.48</v>
      </c>
      <c r="H145" s="4" t="str">
        <f t="shared" si="2"/>
        <v>Neto: 1,80 € (a partir de 1 uds.)</v>
      </c>
      <c r="I145" s="4" t="str">
        <f t="shared" si="3"/>
        <v>Neto G.C.: 1,75 € (a partir de 1 uds.)</v>
      </c>
      <c r="J145" s="4">
        <f t="shared" si="4"/>
        <v>2.3808</v>
      </c>
      <c r="K145" s="4">
        <f t="shared" si="5"/>
        <v>2.48</v>
      </c>
      <c r="L145" s="4">
        <f t="shared" si="6"/>
        <v>2.3808</v>
      </c>
    </row>
    <row r="146">
      <c r="A146" s="1" t="s">
        <v>241</v>
      </c>
      <c r="B146" s="1" t="s">
        <v>242</v>
      </c>
      <c r="C146" s="3">
        <v>3.2</v>
      </c>
      <c r="D146" s="3">
        <v>1.2</v>
      </c>
      <c r="E146" s="3">
        <v>1.2</v>
      </c>
      <c r="F146" s="3">
        <v>1.0</v>
      </c>
      <c r="G146" s="4">
        <f t="shared" si="1"/>
        <v>1.6</v>
      </c>
      <c r="H146" s="4" t="str">
        <f t="shared" si="2"/>
        <v>Neto: 1,20 € (a partir de 1 uds.)</v>
      </c>
      <c r="I146" s="4" t="str">
        <f t="shared" si="3"/>
        <v>Neto G.C.: 1,20 € (a partir de 1 uds.)</v>
      </c>
      <c r="J146" s="4">
        <f t="shared" si="4"/>
        <v>1.536</v>
      </c>
      <c r="K146" s="4">
        <f t="shared" si="5"/>
        <v>1.6</v>
      </c>
      <c r="L146" s="4">
        <f t="shared" si="6"/>
        <v>1.536</v>
      </c>
    </row>
    <row r="147">
      <c r="A147" s="3">
        <v>229.0</v>
      </c>
      <c r="B147" s="1" t="s">
        <v>243</v>
      </c>
      <c r="C147" s="3">
        <v>4.96</v>
      </c>
      <c r="D147" s="3">
        <v>1.8</v>
      </c>
      <c r="E147" s="3">
        <v>1.75</v>
      </c>
      <c r="F147" s="3">
        <v>1.0</v>
      </c>
      <c r="G147" s="4">
        <f t="shared" si="1"/>
        <v>2.48</v>
      </c>
      <c r="H147" s="4" t="str">
        <f t="shared" si="2"/>
        <v>Neto: 1,80 € (a partir de 1 uds.)</v>
      </c>
      <c r="I147" s="4" t="str">
        <f t="shared" si="3"/>
        <v>Neto G.C.: 1,75 € (a partir de 1 uds.)</v>
      </c>
      <c r="J147" s="4">
        <f t="shared" si="4"/>
        <v>2.3808</v>
      </c>
      <c r="K147" s="4">
        <f t="shared" si="5"/>
        <v>2.48</v>
      </c>
      <c r="L147" s="4">
        <f t="shared" si="6"/>
        <v>2.3808</v>
      </c>
    </row>
    <row r="148">
      <c r="A148" s="1" t="s">
        <v>244</v>
      </c>
      <c r="B148" s="1" t="s">
        <v>245</v>
      </c>
      <c r="C148" s="3">
        <v>3.2</v>
      </c>
      <c r="D148" s="3">
        <v>1.2</v>
      </c>
      <c r="E148" s="3">
        <v>1.2</v>
      </c>
      <c r="F148" s="3">
        <v>1.0</v>
      </c>
      <c r="G148" s="4">
        <f t="shared" si="1"/>
        <v>1.6</v>
      </c>
      <c r="H148" s="4" t="str">
        <f t="shared" si="2"/>
        <v>Neto: 1,20 € (a partir de 1 uds.)</v>
      </c>
      <c r="I148" s="4" t="str">
        <f t="shared" si="3"/>
        <v>Neto G.C.: 1,20 € (a partir de 1 uds.)</v>
      </c>
      <c r="J148" s="4">
        <f t="shared" si="4"/>
        <v>1.536</v>
      </c>
      <c r="K148" s="4">
        <f t="shared" si="5"/>
        <v>1.6</v>
      </c>
      <c r="L148" s="4">
        <f t="shared" si="6"/>
        <v>1.536</v>
      </c>
    </row>
    <row r="149">
      <c r="A149" s="3">
        <v>230.0</v>
      </c>
      <c r="B149" s="1" t="s">
        <v>246</v>
      </c>
      <c r="C149" s="3">
        <v>4.96</v>
      </c>
      <c r="D149" s="3">
        <v>1.8</v>
      </c>
      <c r="E149" s="3">
        <v>1.75</v>
      </c>
      <c r="F149" s="3">
        <v>1.0</v>
      </c>
      <c r="G149" s="4">
        <f t="shared" si="1"/>
        <v>2.48</v>
      </c>
      <c r="H149" s="4" t="str">
        <f t="shared" si="2"/>
        <v>Neto: 1,80 € (a partir de 1 uds.)</v>
      </c>
      <c r="I149" s="4" t="str">
        <f t="shared" si="3"/>
        <v>Neto G.C.: 1,75 € (a partir de 1 uds.)</v>
      </c>
      <c r="J149" s="4">
        <f t="shared" si="4"/>
        <v>2.3808</v>
      </c>
      <c r="K149" s="4">
        <f t="shared" si="5"/>
        <v>2.48</v>
      </c>
      <c r="L149" s="4">
        <f t="shared" si="6"/>
        <v>2.3808</v>
      </c>
    </row>
    <row r="150">
      <c r="A150" s="1" t="s">
        <v>247</v>
      </c>
      <c r="B150" s="1" t="s">
        <v>248</v>
      </c>
      <c r="C150" s="3">
        <v>3.2</v>
      </c>
      <c r="D150" s="3">
        <v>1.2</v>
      </c>
      <c r="E150" s="3">
        <v>1.2</v>
      </c>
      <c r="F150" s="3">
        <v>1.0</v>
      </c>
      <c r="G150" s="4">
        <f t="shared" si="1"/>
        <v>1.6</v>
      </c>
      <c r="H150" s="4" t="str">
        <f t="shared" si="2"/>
        <v>Neto: 1,20 € (a partir de 1 uds.)</v>
      </c>
      <c r="I150" s="4" t="str">
        <f t="shared" si="3"/>
        <v>Neto G.C.: 1,20 € (a partir de 1 uds.)</v>
      </c>
      <c r="J150" s="4">
        <f t="shared" si="4"/>
        <v>1.536</v>
      </c>
      <c r="K150" s="4">
        <f t="shared" si="5"/>
        <v>1.6</v>
      </c>
      <c r="L150" s="4">
        <f t="shared" si="6"/>
        <v>1.536</v>
      </c>
    </row>
    <row r="151">
      <c r="A151" s="3">
        <v>231.0</v>
      </c>
      <c r="B151" s="1" t="s">
        <v>249</v>
      </c>
      <c r="C151" s="3">
        <v>4.96</v>
      </c>
      <c r="D151" s="3">
        <v>1.8</v>
      </c>
      <c r="E151" s="3">
        <v>1.75</v>
      </c>
      <c r="F151" s="3">
        <v>1.0</v>
      </c>
      <c r="G151" s="4">
        <f t="shared" si="1"/>
        <v>2.48</v>
      </c>
      <c r="H151" s="4" t="str">
        <f t="shared" si="2"/>
        <v>Neto: 1,80 € (a partir de 1 uds.)</v>
      </c>
      <c r="I151" s="4" t="str">
        <f t="shared" si="3"/>
        <v>Neto G.C.: 1,75 € (a partir de 1 uds.)</v>
      </c>
      <c r="J151" s="4">
        <f t="shared" si="4"/>
        <v>2.3808</v>
      </c>
      <c r="K151" s="4">
        <f t="shared" si="5"/>
        <v>2.48</v>
      </c>
      <c r="L151" s="4">
        <f t="shared" si="6"/>
        <v>2.3808</v>
      </c>
    </row>
    <row r="152">
      <c r="A152" s="1" t="s">
        <v>250</v>
      </c>
      <c r="B152" s="1" t="s">
        <v>251</v>
      </c>
      <c r="C152" s="3">
        <v>3.2</v>
      </c>
      <c r="D152" s="3">
        <v>1.2</v>
      </c>
      <c r="E152" s="3">
        <v>1.2</v>
      </c>
      <c r="F152" s="3">
        <v>1.0</v>
      </c>
      <c r="G152" s="4">
        <f t="shared" si="1"/>
        <v>1.6</v>
      </c>
      <c r="H152" s="4" t="str">
        <f t="shared" si="2"/>
        <v>Neto: 1,20 € (a partir de 1 uds.)</v>
      </c>
      <c r="I152" s="4" t="str">
        <f t="shared" si="3"/>
        <v>Neto G.C.: 1,20 € (a partir de 1 uds.)</v>
      </c>
      <c r="J152" s="4">
        <f t="shared" si="4"/>
        <v>1.536</v>
      </c>
      <c r="K152" s="4">
        <f t="shared" si="5"/>
        <v>1.6</v>
      </c>
      <c r="L152" s="4">
        <f t="shared" si="6"/>
        <v>1.536</v>
      </c>
    </row>
    <row r="153">
      <c r="A153" s="3">
        <v>232.0</v>
      </c>
      <c r="B153" s="1" t="s">
        <v>252</v>
      </c>
      <c r="C153" s="3">
        <v>4.96</v>
      </c>
      <c r="D153" s="3">
        <v>1.8</v>
      </c>
      <c r="E153" s="3">
        <v>1.75</v>
      </c>
      <c r="F153" s="3">
        <v>1.0</v>
      </c>
      <c r="G153" s="4">
        <f t="shared" si="1"/>
        <v>2.48</v>
      </c>
      <c r="H153" s="4" t="str">
        <f t="shared" si="2"/>
        <v>Neto: 1,80 € (a partir de 1 uds.)</v>
      </c>
      <c r="I153" s="4" t="str">
        <f t="shared" si="3"/>
        <v>Neto G.C.: 1,75 € (a partir de 1 uds.)</v>
      </c>
      <c r="J153" s="4">
        <f t="shared" si="4"/>
        <v>2.3808</v>
      </c>
      <c r="K153" s="4">
        <f t="shared" si="5"/>
        <v>2.48</v>
      </c>
      <c r="L153" s="4">
        <f t="shared" si="6"/>
        <v>2.3808</v>
      </c>
    </row>
    <row r="154">
      <c r="A154" s="1" t="s">
        <v>253</v>
      </c>
      <c r="B154" s="1" t="s">
        <v>254</v>
      </c>
      <c r="C154" s="3">
        <v>3.2</v>
      </c>
      <c r="D154" s="3">
        <v>1.2</v>
      </c>
      <c r="E154" s="3">
        <v>1.2</v>
      </c>
      <c r="F154" s="3">
        <v>1.0</v>
      </c>
      <c r="G154" s="4">
        <f t="shared" si="1"/>
        <v>1.6</v>
      </c>
      <c r="H154" s="4" t="str">
        <f t="shared" si="2"/>
        <v>Neto: 1,20 € (a partir de 1 uds.)</v>
      </c>
      <c r="I154" s="4" t="str">
        <f t="shared" si="3"/>
        <v>Neto G.C.: 1,20 € (a partir de 1 uds.)</v>
      </c>
      <c r="J154" s="4">
        <f t="shared" si="4"/>
        <v>1.536</v>
      </c>
      <c r="K154" s="4">
        <f t="shared" si="5"/>
        <v>1.6</v>
      </c>
      <c r="L154" s="4">
        <f t="shared" si="6"/>
        <v>1.536</v>
      </c>
    </row>
    <row r="155">
      <c r="A155" s="3">
        <v>233.0</v>
      </c>
      <c r="B155" s="1" t="s">
        <v>255</v>
      </c>
      <c r="C155" s="3">
        <v>4.96</v>
      </c>
      <c r="D155" s="3">
        <v>1.8</v>
      </c>
      <c r="E155" s="3">
        <v>1.75</v>
      </c>
      <c r="F155" s="3">
        <v>1.0</v>
      </c>
      <c r="G155" s="4">
        <f t="shared" si="1"/>
        <v>2.48</v>
      </c>
      <c r="H155" s="4" t="str">
        <f t="shared" si="2"/>
        <v>Neto: 1,80 € (a partir de 1 uds.)</v>
      </c>
      <c r="I155" s="4" t="str">
        <f t="shared" si="3"/>
        <v>Neto G.C.: 1,75 € (a partir de 1 uds.)</v>
      </c>
      <c r="J155" s="4">
        <f t="shared" si="4"/>
        <v>2.3808</v>
      </c>
      <c r="K155" s="4">
        <f t="shared" si="5"/>
        <v>2.48</v>
      </c>
      <c r="L155" s="4">
        <f t="shared" si="6"/>
        <v>2.3808</v>
      </c>
    </row>
    <row r="156">
      <c r="A156" s="1" t="s">
        <v>256</v>
      </c>
      <c r="B156" s="1" t="s">
        <v>257</v>
      </c>
      <c r="C156" s="3">
        <v>3.2</v>
      </c>
      <c r="D156" s="3">
        <v>1.2</v>
      </c>
      <c r="E156" s="3">
        <v>1.2</v>
      </c>
      <c r="F156" s="3">
        <v>1.0</v>
      </c>
      <c r="G156" s="4">
        <f t="shared" si="1"/>
        <v>1.6</v>
      </c>
      <c r="H156" s="4" t="str">
        <f t="shared" si="2"/>
        <v>Neto: 1,20 € (a partir de 1 uds.)</v>
      </c>
      <c r="I156" s="4" t="str">
        <f t="shared" si="3"/>
        <v>Neto G.C.: 1,20 € (a partir de 1 uds.)</v>
      </c>
      <c r="J156" s="4">
        <f t="shared" si="4"/>
        <v>1.536</v>
      </c>
      <c r="K156" s="4">
        <f t="shared" si="5"/>
        <v>1.6</v>
      </c>
      <c r="L156" s="4">
        <f t="shared" si="6"/>
        <v>1.536</v>
      </c>
    </row>
    <row r="157">
      <c r="A157" s="3">
        <v>234.0</v>
      </c>
      <c r="B157" s="1" t="s">
        <v>258</v>
      </c>
      <c r="C157" s="3">
        <v>4.96</v>
      </c>
      <c r="D157" s="3">
        <v>1.8</v>
      </c>
      <c r="E157" s="3">
        <v>1.75</v>
      </c>
      <c r="F157" s="3">
        <v>1.0</v>
      </c>
      <c r="G157" s="4">
        <f t="shared" si="1"/>
        <v>2.48</v>
      </c>
      <c r="H157" s="4" t="str">
        <f t="shared" si="2"/>
        <v>Neto: 1,80 € (a partir de 1 uds.)</v>
      </c>
      <c r="I157" s="4" t="str">
        <f t="shared" si="3"/>
        <v>Neto G.C.: 1,75 € (a partir de 1 uds.)</v>
      </c>
      <c r="J157" s="4">
        <f t="shared" si="4"/>
        <v>2.3808</v>
      </c>
      <c r="K157" s="4">
        <f t="shared" si="5"/>
        <v>2.48</v>
      </c>
      <c r="L157" s="4">
        <f t="shared" si="6"/>
        <v>2.3808</v>
      </c>
    </row>
    <row r="158">
      <c r="A158" s="1" t="s">
        <v>259</v>
      </c>
      <c r="B158" s="1" t="s">
        <v>260</v>
      </c>
      <c r="C158" s="3">
        <v>3.2</v>
      </c>
      <c r="D158" s="3">
        <v>1.2</v>
      </c>
      <c r="E158" s="3">
        <v>1.2</v>
      </c>
      <c r="F158" s="3">
        <v>1.0</v>
      </c>
      <c r="G158" s="4">
        <f t="shared" si="1"/>
        <v>1.6</v>
      </c>
      <c r="H158" s="4" t="str">
        <f t="shared" si="2"/>
        <v>Neto: 1,20 € (a partir de 1 uds.)</v>
      </c>
      <c r="I158" s="4" t="str">
        <f t="shared" si="3"/>
        <v>Neto G.C.: 1,20 € (a partir de 1 uds.)</v>
      </c>
      <c r="J158" s="4">
        <f t="shared" si="4"/>
        <v>1.536</v>
      </c>
      <c r="K158" s="4">
        <f t="shared" si="5"/>
        <v>1.6</v>
      </c>
      <c r="L158" s="4">
        <f t="shared" si="6"/>
        <v>1.536</v>
      </c>
    </row>
    <row r="159">
      <c r="A159" s="3">
        <v>235.0</v>
      </c>
      <c r="B159" s="1" t="s">
        <v>261</v>
      </c>
      <c r="C159" s="3">
        <v>4.96</v>
      </c>
      <c r="D159" s="3">
        <v>1.8</v>
      </c>
      <c r="E159" s="3">
        <v>1.75</v>
      </c>
      <c r="F159" s="3">
        <v>1.0</v>
      </c>
      <c r="G159" s="4">
        <f t="shared" si="1"/>
        <v>2.48</v>
      </c>
      <c r="H159" s="4" t="str">
        <f t="shared" si="2"/>
        <v>Neto: 1,80 € (a partir de 1 uds.)</v>
      </c>
      <c r="I159" s="4" t="str">
        <f t="shared" si="3"/>
        <v>Neto G.C.: 1,75 € (a partir de 1 uds.)</v>
      </c>
      <c r="J159" s="4">
        <f t="shared" si="4"/>
        <v>2.3808</v>
      </c>
      <c r="K159" s="4">
        <f t="shared" si="5"/>
        <v>2.48</v>
      </c>
      <c r="L159" s="4">
        <f t="shared" si="6"/>
        <v>2.3808</v>
      </c>
    </row>
    <row r="160">
      <c r="A160" s="1" t="s">
        <v>262</v>
      </c>
      <c r="B160" s="1" t="s">
        <v>263</v>
      </c>
      <c r="C160" s="3">
        <v>3.2</v>
      </c>
      <c r="D160" s="3">
        <v>1.2</v>
      </c>
      <c r="E160" s="3">
        <v>1.2</v>
      </c>
      <c r="F160" s="3">
        <v>1.0</v>
      </c>
      <c r="G160" s="4">
        <f t="shared" si="1"/>
        <v>1.6</v>
      </c>
      <c r="H160" s="4" t="str">
        <f t="shared" si="2"/>
        <v>Neto: 1,20 € (a partir de 1 uds.)</v>
      </c>
      <c r="I160" s="4" t="str">
        <f t="shared" si="3"/>
        <v>Neto G.C.: 1,20 € (a partir de 1 uds.)</v>
      </c>
      <c r="J160" s="4">
        <f t="shared" si="4"/>
        <v>1.536</v>
      </c>
      <c r="K160" s="4">
        <f t="shared" si="5"/>
        <v>1.6</v>
      </c>
      <c r="L160" s="4">
        <f t="shared" si="6"/>
        <v>1.536</v>
      </c>
    </row>
    <row r="161">
      <c r="A161" s="3">
        <v>236.0</v>
      </c>
      <c r="B161" s="1" t="s">
        <v>264</v>
      </c>
      <c r="C161" s="3">
        <v>4.96</v>
      </c>
      <c r="D161" s="3">
        <v>1.8</v>
      </c>
      <c r="E161" s="3">
        <v>1.75</v>
      </c>
      <c r="F161" s="3">
        <v>1.0</v>
      </c>
      <c r="G161" s="4">
        <f t="shared" si="1"/>
        <v>2.48</v>
      </c>
      <c r="H161" s="4" t="str">
        <f t="shared" si="2"/>
        <v>Neto: 1,80 € (a partir de 1 uds.)</v>
      </c>
      <c r="I161" s="4" t="str">
        <f t="shared" si="3"/>
        <v>Neto G.C.: 1,75 € (a partir de 1 uds.)</v>
      </c>
      <c r="J161" s="4">
        <f t="shared" si="4"/>
        <v>2.3808</v>
      </c>
      <c r="K161" s="4">
        <f t="shared" si="5"/>
        <v>2.48</v>
      </c>
      <c r="L161" s="4">
        <f t="shared" si="6"/>
        <v>2.3808</v>
      </c>
    </row>
    <row r="162">
      <c r="A162" s="1" t="s">
        <v>265</v>
      </c>
      <c r="B162" s="1" t="s">
        <v>266</v>
      </c>
      <c r="C162" s="3">
        <v>3.2</v>
      </c>
      <c r="D162" s="3">
        <v>1.2</v>
      </c>
      <c r="E162" s="3">
        <v>1.2</v>
      </c>
      <c r="F162" s="3">
        <v>1.0</v>
      </c>
      <c r="G162" s="4">
        <f t="shared" si="1"/>
        <v>1.6</v>
      </c>
      <c r="H162" s="4" t="str">
        <f t="shared" si="2"/>
        <v>Neto: 1,20 € (a partir de 1 uds.)</v>
      </c>
      <c r="I162" s="4" t="str">
        <f t="shared" si="3"/>
        <v>Neto G.C.: 1,20 € (a partir de 1 uds.)</v>
      </c>
      <c r="J162" s="4">
        <f t="shared" si="4"/>
        <v>1.536</v>
      </c>
      <c r="K162" s="4">
        <f t="shared" si="5"/>
        <v>1.6</v>
      </c>
      <c r="L162" s="4">
        <f t="shared" si="6"/>
        <v>1.536</v>
      </c>
    </row>
    <row r="163">
      <c r="A163" s="3">
        <v>237.0</v>
      </c>
      <c r="B163" s="1" t="s">
        <v>267</v>
      </c>
      <c r="C163" s="3">
        <v>4.96</v>
      </c>
      <c r="D163" s="3">
        <v>1.8</v>
      </c>
      <c r="E163" s="3">
        <v>1.75</v>
      </c>
      <c r="F163" s="3">
        <v>1.0</v>
      </c>
      <c r="G163" s="4">
        <f t="shared" si="1"/>
        <v>2.48</v>
      </c>
      <c r="H163" s="4" t="str">
        <f t="shared" si="2"/>
        <v>Neto: 1,80 € (a partir de 1 uds.)</v>
      </c>
      <c r="I163" s="4" t="str">
        <f t="shared" si="3"/>
        <v>Neto G.C.: 1,75 € (a partir de 1 uds.)</v>
      </c>
      <c r="J163" s="4">
        <f t="shared" si="4"/>
        <v>2.3808</v>
      </c>
      <c r="K163" s="4">
        <f t="shared" si="5"/>
        <v>2.48</v>
      </c>
      <c r="L163" s="4">
        <f t="shared" si="6"/>
        <v>2.3808</v>
      </c>
    </row>
    <row r="164">
      <c r="A164" s="1" t="s">
        <v>268</v>
      </c>
      <c r="B164" s="1" t="s">
        <v>269</v>
      </c>
      <c r="C164" s="3">
        <v>3.2</v>
      </c>
      <c r="D164" s="3">
        <v>1.2</v>
      </c>
      <c r="E164" s="3">
        <v>1.2</v>
      </c>
      <c r="F164" s="3">
        <v>1.0</v>
      </c>
      <c r="G164" s="4">
        <f t="shared" si="1"/>
        <v>1.6</v>
      </c>
      <c r="H164" s="4" t="str">
        <f t="shared" si="2"/>
        <v>Neto: 1,20 € (a partir de 1 uds.)</v>
      </c>
      <c r="I164" s="4" t="str">
        <f t="shared" si="3"/>
        <v>Neto G.C.: 1,20 € (a partir de 1 uds.)</v>
      </c>
      <c r="J164" s="4">
        <f t="shared" si="4"/>
        <v>1.536</v>
      </c>
      <c r="K164" s="4">
        <f t="shared" si="5"/>
        <v>1.6</v>
      </c>
      <c r="L164" s="4">
        <f t="shared" si="6"/>
        <v>1.536</v>
      </c>
    </row>
    <row r="165">
      <c r="A165" s="3">
        <v>238.0</v>
      </c>
      <c r="B165" s="1" t="s">
        <v>270</v>
      </c>
      <c r="C165" s="3">
        <v>4.96</v>
      </c>
      <c r="D165" s="3">
        <v>1.8</v>
      </c>
      <c r="E165" s="3">
        <v>1.75</v>
      </c>
      <c r="F165" s="3">
        <v>1.0</v>
      </c>
      <c r="G165" s="4">
        <f t="shared" si="1"/>
        <v>2.48</v>
      </c>
      <c r="H165" s="4" t="str">
        <f t="shared" si="2"/>
        <v>Neto: 1,80 € (a partir de 1 uds.)</v>
      </c>
      <c r="I165" s="4" t="str">
        <f t="shared" si="3"/>
        <v>Neto G.C.: 1,75 € (a partir de 1 uds.)</v>
      </c>
      <c r="J165" s="4">
        <f t="shared" si="4"/>
        <v>2.3808</v>
      </c>
      <c r="K165" s="4">
        <f t="shared" si="5"/>
        <v>2.48</v>
      </c>
      <c r="L165" s="4">
        <f t="shared" si="6"/>
        <v>2.3808</v>
      </c>
    </row>
    <row r="166">
      <c r="A166" s="1" t="s">
        <v>271</v>
      </c>
      <c r="B166" s="1" t="s">
        <v>272</v>
      </c>
      <c r="C166" s="3">
        <v>3.2</v>
      </c>
      <c r="D166" s="3">
        <v>1.2</v>
      </c>
      <c r="E166" s="3">
        <v>1.2</v>
      </c>
      <c r="F166" s="3">
        <v>1.0</v>
      </c>
      <c r="G166" s="4">
        <f t="shared" si="1"/>
        <v>1.6</v>
      </c>
      <c r="H166" s="4" t="str">
        <f t="shared" si="2"/>
        <v>Neto: 1,20 € (a partir de 1 uds.)</v>
      </c>
      <c r="I166" s="4" t="str">
        <f t="shared" si="3"/>
        <v>Neto G.C.: 1,20 € (a partir de 1 uds.)</v>
      </c>
      <c r="J166" s="4">
        <f t="shared" si="4"/>
        <v>1.536</v>
      </c>
      <c r="K166" s="4">
        <f t="shared" si="5"/>
        <v>1.6</v>
      </c>
      <c r="L166" s="4">
        <f t="shared" si="6"/>
        <v>1.536</v>
      </c>
    </row>
    <row r="167">
      <c r="A167" s="3">
        <v>239.0</v>
      </c>
      <c r="B167" s="1" t="s">
        <v>273</v>
      </c>
      <c r="C167" s="3">
        <v>4.96</v>
      </c>
      <c r="D167" s="3">
        <v>1.8</v>
      </c>
      <c r="E167" s="3">
        <v>1.75</v>
      </c>
      <c r="F167" s="3">
        <v>1.0</v>
      </c>
      <c r="G167" s="4">
        <f t="shared" si="1"/>
        <v>2.48</v>
      </c>
      <c r="H167" s="4" t="str">
        <f t="shared" si="2"/>
        <v>Neto: 1,80 € (a partir de 1 uds.)</v>
      </c>
      <c r="I167" s="4" t="str">
        <f t="shared" si="3"/>
        <v>Neto G.C.: 1,75 € (a partir de 1 uds.)</v>
      </c>
      <c r="J167" s="4">
        <f t="shared" si="4"/>
        <v>2.3808</v>
      </c>
      <c r="K167" s="4">
        <f t="shared" si="5"/>
        <v>2.48</v>
      </c>
      <c r="L167" s="4">
        <f t="shared" si="6"/>
        <v>2.3808</v>
      </c>
    </row>
    <row r="168">
      <c r="A168" s="1" t="s">
        <v>274</v>
      </c>
      <c r="B168" s="1" t="s">
        <v>275</v>
      </c>
      <c r="C168" s="3">
        <v>3.2</v>
      </c>
      <c r="D168" s="3">
        <v>1.2</v>
      </c>
      <c r="E168" s="3">
        <v>1.2</v>
      </c>
      <c r="F168" s="3">
        <v>1.0</v>
      </c>
      <c r="G168" s="4">
        <f t="shared" si="1"/>
        <v>1.6</v>
      </c>
      <c r="H168" s="4" t="str">
        <f t="shared" si="2"/>
        <v>Neto: 1,20 € (a partir de 1 uds.)</v>
      </c>
      <c r="I168" s="4" t="str">
        <f t="shared" si="3"/>
        <v>Neto G.C.: 1,20 € (a partir de 1 uds.)</v>
      </c>
      <c r="J168" s="4">
        <f t="shared" si="4"/>
        <v>1.536</v>
      </c>
      <c r="K168" s="4">
        <f t="shared" si="5"/>
        <v>1.6</v>
      </c>
      <c r="L168" s="4">
        <f t="shared" si="6"/>
        <v>1.536</v>
      </c>
    </row>
    <row r="169">
      <c r="A169" s="3">
        <v>240.0</v>
      </c>
      <c r="B169" s="1" t="s">
        <v>276</v>
      </c>
      <c r="C169" s="3">
        <v>4.96</v>
      </c>
      <c r="D169" s="3">
        <v>1.8</v>
      </c>
      <c r="E169" s="3">
        <v>1.75</v>
      </c>
      <c r="F169" s="3">
        <v>1.0</v>
      </c>
      <c r="G169" s="4">
        <f t="shared" si="1"/>
        <v>2.48</v>
      </c>
      <c r="H169" s="4" t="str">
        <f t="shared" si="2"/>
        <v>Neto: 1,80 € (a partir de 1 uds.)</v>
      </c>
      <c r="I169" s="4" t="str">
        <f t="shared" si="3"/>
        <v>Neto G.C.: 1,75 € (a partir de 1 uds.)</v>
      </c>
      <c r="J169" s="4">
        <f t="shared" si="4"/>
        <v>2.3808</v>
      </c>
      <c r="K169" s="4">
        <f t="shared" si="5"/>
        <v>2.48</v>
      </c>
      <c r="L169" s="4">
        <f t="shared" si="6"/>
        <v>2.3808</v>
      </c>
    </row>
    <row r="170">
      <c r="A170" s="1" t="s">
        <v>277</v>
      </c>
      <c r="B170" s="1" t="s">
        <v>278</v>
      </c>
      <c r="C170" s="3">
        <v>3.2</v>
      </c>
      <c r="D170" s="3">
        <v>1.2</v>
      </c>
      <c r="E170" s="3">
        <v>1.2</v>
      </c>
      <c r="F170" s="3">
        <v>1.0</v>
      </c>
      <c r="G170" s="4">
        <f t="shared" si="1"/>
        <v>1.6</v>
      </c>
      <c r="H170" s="4" t="str">
        <f t="shared" si="2"/>
        <v>Neto: 1,20 € (a partir de 1 uds.)</v>
      </c>
      <c r="I170" s="4" t="str">
        <f t="shared" si="3"/>
        <v>Neto G.C.: 1,20 € (a partir de 1 uds.)</v>
      </c>
      <c r="J170" s="4">
        <f t="shared" si="4"/>
        <v>1.536</v>
      </c>
      <c r="K170" s="4">
        <f t="shared" si="5"/>
        <v>1.6</v>
      </c>
      <c r="L170" s="4">
        <f t="shared" si="6"/>
        <v>1.536</v>
      </c>
    </row>
    <row r="171">
      <c r="A171" s="3">
        <v>241.0</v>
      </c>
      <c r="B171" s="1" t="s">
        <v>279</v>
      </c>
      <c r="C171" s="3">
        <v>7.4</v>
      </c>
      <c r="D171" s="3">
        <v>3.2</v>
      </c>
      <c r="E171" s="3">
        <v>3.2</v>
      </c>
      <c r="F171" s="3">
        <v>1.0</v>
      </c>
      <c r="G171" s="4">
        <f t="shared" si="1"/>
        <v>3.7</v>
      </c>
      <c r="H171" s="4" t="str">
        <f t="shared" si="2"/>
        <v>Neto: 3,20 € (a partir de 1 uds.)</v>
      </c>
      <c r="I171" s="4" t="str">
        <f t="shared" si="3"/>
        <v>Neto G.C.: 3,20 € (a partir de 1 uds.)</v>
      </c>
      <c r="J171" s="4">
        <f t="shared" si="4"/>
        <v>3.552</v>
      </c>
      <c r="K171" s="4">
        <f t="shared" si="5"/>
        <v>3.7</v>
      </c>
      <c r="L171" s="4">
        <f t="shared" si="6"/>
        <v>3.552</v>
      </c>
    </row>
    <row r="172">
      <c r="A172" s="3">
        <v>242.0</v>
      </c>
      <c r="B172" s="1" t="s">
        <v>280</v>
      </c>
      <c r="C172" s="3">
        <v>7.4</v>
      </c>
      <c r="D172" s="3">
        <v>3.2</v>
      </c>
      <c r="E172" s="3">
        <v>3.2</v>
      </c>
      <c r="F172" s="3">
        <v>1.0</v>
      </c>
      <c r="G172" s="4">
        <f t="shared" si="1"/>
        <v>3.7</v>
      </c>
      <c r="H172" s="4" t="str">
        <f t="shared" si="2"/>
        <v>Neto: 3,20 € (a partir de 1 uds.)</v>
      </c>
      <c r="I172" s="4" t="str">
        <f t="shared" si="3"/>
        <v>Neto G.C.: 3,20 € (a partir de 1 uds.)</v>
      </c>
      <c r="J172" s="4">
        <f t="shared" si="4"/>
        <v>3.552</v>
      </c>
      <c r="K172" s="4">
        <f t="shared" si="5"/>
        <v>3.7</v>
      </c>
      <c r="L172" s="4">
        <f t="shared" si="6"/>
        <v>3.552</v>
      </c>
    </row>
    <row r="173">
      <c r="A173" s="3">
        <v>243.0</v>
      </c>
      <c r="B173" s="1" t="s">
        <v>281</v>
      </c>
      <c r="C173" s="3">
        <v>5.2</v>
      </c>
      <c r="D173" s="3">
        <v>2.1</v>
      </c>
      <c r="E173" s="3">
        <v>2.1</v>
      </c>
      <c r="F173" s="3">
        <v>1.0</v>
      </c>
      <c r="G173" s="4">
        <f t="shared" si="1"/>
        <v>2.6</v>
      </c>
      <c r="H173" s="4" t="str">
        <f t="shared" si="2"/>
        <v>Neto: 2,10 € (a partir de 1 uds.)</v>
      </c>
      <c r="I173" s="4" t="str">
        <f t="shared" si="3"/>
        <v>Neto G.C.: 2,10 € (a partir de 1 uds.)</v>
      </c>
      <c r="J173" s="4">
        <f t="shared" si="4"/>
        <v>2.496</v>
      </c>
      <c r="K173" s="4">
        <f t="shared" si="5"/>
        <v>2.6</v>
      </c>
      <c r="L173" s="4">
        <f t="shared" si="6"/>
        <v>2.496</v>
      </c>
    </row>
    <row r="174">
      <c r="A174" s="1" t="s">
        <v>282</v>
      </c>
      <c r="B174" s="1" t="s">
        <v>283</v>
      </c>
      <c r="C174" s="3">
        <v>5.04</v>
      </c>
      <c r="D174" s="3">
        <v>2.1</v>
      </c>
      <c r="E174" s="3">
        <v>2.1</v>
      </c>
      <c r="F174" s="3">
        <v>1.0</v>
      </c>
      <c r="G174" s="4">
        <f t="shared" si="1"/>
        <v>2.52</v>
      </c>
      <c r="H174" s="4" t="str">
        <f t="shared" si="2"/>
        <v>Neto: 2,10 € (a partir de 1 uds.)</v>
      </c>
      <c r="I174" s="4" t="str">
        <f t="shared" si="3"/>
        <v>Neto G.C.: 2,10 € (a partir de 1 uds.)</v>
      </c>
      <c r="J174" s="4">
        <f t="shared" si="4"/>
        <v>2.4192</v>
      </c>
      <c r="K174" s="4">
        <f t="shared" si="5"/>
        <v>2.52</v>
      </c>
      <c r="L174" s="4">
        <f t="shared" si="6"/>
        <v>2.4192</v>
      </c>
    </row>
    <row r="175">
      <c r="A175" s="1" t="s">
        <v>284</v>
      </c>
      <c r="B175" s="1" t="s">
        <v>285</v>
      </c>
      <c r="C175" s="3">
        <v>6.2</v>
      </c>
      <c r="D175" s="3">
        <v>3.2</v>
      </c>
      <c r="E175" s="3">
        <v>3.2</v>
      </c>
      <c r="F175" s="3">
        <v>1.0</v>
      </c>
      <c r="G175" s="4">
        <f t="shared" si="1"/>
        <v>3.1</v>
      </c>
      <c r="H175" s="4" t="str">
        <f t="shared" si="2"/>
        <v>Neto: 3,20 € (a partir de 1 uds.)</v>
      </c>
      <c r="I175" s="4" t="str">
        <f t="shared" si="3"/>
        <v>Neto G.C.: 3,20 € (a partir de 1 uds.)</v>
      </c>
      <c r="J175" s="4">
        <f t="shared" si="4"/>
        <v>2.976</v>
      </c>
      <c r="K175" s="4">
        <f t="shared" si="5"/>
        <v>3.1</v>
      </c>
      <c r="L175" s="4">
        <f t="shared" si="6"/>
        <v>2.976</v>
      </c>
    </row>
    <row r="176">
      <c r="A176" s="3">
        <v>244.0</v>
      </c>
      <c r="B176" s="1" t="s">
        <v>286</v>
      </c>
      <c r="C176" s="3">
        <v>11.8</v>
      </c>
      <c r="D176" s="3">
        <v>5.5</v>
      </c>
      <c r="E176" s="3">
        <v>5.5</v>
      </c>
      <c r="F176" s="3">
        <v>50.0</v>
      </c>
      <c r="G176" s="4">
        <f t="shared" si="1"/>
        <v>5.9</v>
      </c>
      <c r="H176" s="4" t="str">
        <f t="shared" si="2"/>
        <v>Neto: 5,50 € (a partir de 50 uds.)</v>
      </c>
      <c r="I176" s="4" t="str">
        <f t="shared" si="3"/>
        <v>Neto G.C.: 5,50 € (a partir de 50 uds.)</v>
      </c>
      <c r="J176" s="4">
        <f t="shared" si="4"/>
        <v>5.664</v>
      </c>
      <c r="K176" s="4">
        <f t="shared" si="5"/>
        <v>5.9</v>
      </c>
      <c r="L176" s="4">
        <f t="shared" si="6"/>
        <v>5.664</v>
      </c>
    </row>
    <row r="177">
      <c r="A177" s="3">
        <v>247.0</v>
      </c>
      <c r="B177" s="1" t="s">
        <v>287</v>
      </c>
      <c r="C177" s="3">
        <v>4.96</v>
      </c>
      <c r="D177" s="3">
        <v>1.8</v>
      </c>
      <c r="E177" s="3">
        <v>1.75</v>
      </c>
      <c r="F177" s="3">
        <v>1.0</v>
      </c>
      <c r="G177" s="4">
        <f t="shared" si="1"/>
        <v>2.48</v>
      </c>
      <c r="H177" s="4" t="str">
        <f t="shared" si="2"/>
        <v>Neto: 1,80 € (a partir de 1 uds.)</v>
      </c>
      <c r="I177" s="4" t="str">
        <f t="shared" si="3"/>
        <v>Neto G.C.: 1,75 € (a partir de 1 uds.)</v>
      </c>
      <c r="J177" s="4">
        <f t="shared" si="4"/>
        <v>2.3808</v>
      </c>
      <c r="K177" s="4">
        <f t="shared" si="5"/>
        <v>2.48</v>
      </c>
      <c r="L177" s="4">
        <f t="shared" si="6"/>
        <v>2.3808</v>
      </c>
    </row>
    <row r="178">
      <c r="A178" s="1" t="s">
        <v>288</v>
      </c>
      <c r="B178" s="1" t="s">
        <v>289</v>
      </c>
      <c r="C178" s="3">
        <v>3.2</v>
      </c>
      <c r="D178" s="3">
        <v>1.2</v>
      </c>
      <c r="E178" s="3">
        <v>1.2</v>
      </c>
      <c r="F178" s="3">
        <v>1.0</v>
      </c>
      <c r="G178" s="4">
        <f t="shared" si="1"/>
        <v>1.6</v>
      </c>
      <c r="H178" s="4" t="str">
        <f t="shared" si="2"/>
        <v>Neto: 1,20 € (a partir de 1 uds.)</v>
      </c>
      <c r="I178" s="4" t="str">
        <f t="shared" si="3"/>
        <v>Neto G.C.: 1,20 € (a partir de 1 uds.)</v>
      </c>
      <c r="J178" s="4">
        <f t="shared" si="4"/>
        <v>1.536</v>
      </c>
      <c r="K178" s="4">
        <f t="shared" si="5"/>
        <v>1.6</v>
      </c>
      <c r="L178" s="4">
        <f t="shared" si="6"/>
        <v>1.536</v>
      </c>
    </row>
    <row r="179">
      <c r="A179" s="3">
        <v>248.0</v>
      </c>
      <c r="B179" s="1" t="s">
        <v>290</v>
      </c>
      <c r="C179" s="3">
        <v>4.96</v>
      </c>
      <c r="D179" s="3">
        <v>1.8</v>
      </c>
      <c r="E179" s="3">
        <v>1.75</v>
      </c>
      <c r="F179" s="3">
        <v>1.0</v>
      </c>
      <c r="G179" s="4">
        <f t="shared" si="1"/>
        <v>2.48</v>
      </c>
      <c r="H179" s="4" t="str">
        <f t="shared" si="2"/>
        <v>Neto: 1,80 € (a partir de 1 uds.)</v>
      </c>
      <c r="I179" s="4" t="str">
        <f t="shared" si="3"/>
        <v>Neto G.C.: 1,75 € (a partir de 1 uds.)</v>
      </c>
      <c r="J179" s="4">
        <f t="shared" si="4"/>
        <v>2.3808</v>
      </c>
      <c r="K179" s="4">
        <f t="shared" si="5"/>
        <v>2.48</v>
      </c>
      <c r="L179" s="4">
        <f t="shared" si="6"/>
        <v>2.3808</v>
      </c>
    </row>
    <row r="180">
      <c r="A180" s="1" t="s">
        <v>291</v>
      </c>
      <c r="B180" s="1" t="s">
        <v>292</v>
      </c>
      <c r="C180" s="3">
        <v>3.2</v>
      </c>
      <c r="D180" s="3">
        <v>1.2</v>
      </c>
      <c r="E180" s="3">
        <v>1.2</v>
      </c>
      <c r="F180" s="3">
        <v>1.0</v>
      </c>
      <c r="G180" s="4">
        <f t="shared" si="1"/>
        <v>1.6</v>
      </c>
      <c r="H180" s="4" t="str">
        <f t="shared" si="2"/>
        <v>Neto: 1,20 € (a partir de 1 uds.)</v>
      </c>
      <c r="I180" s="4" t="str">
        <f t="shared" si="3"/>
        <v>Neto G.C.: 1,20 € (a partir de 1 uds.)</v>
      </c>
      <c r="J180" s="4">
        <f t="shared" si="4"/>
        <v>1.536</v>
      </c>
      <c r="K180" s="4">
        <f t="shared" si="5"/>
        <v>1.6</v>
      </c>
      <c r="L180" s="4">
        <f t="shared" si="6"/>
        <v>1.536</v>
      </c>
    </row>
    <row r="181">
      <c r="A181" s="3">
        <v>249.0</v>
      </c>
      <c r="B181" s="1" t="s">
        <v>293</v>
      </c>
      <c r="C181" s="3">
        <v>4.96</v>
      </c>
      <c r="D181" s="3">
        <v>1.8</v>
      </c>
      <c r="E181" s="3">
        <v>1.75</v>
      </c>
      <c r="F181" s="3">
        <v>1.0</v>
      </c>
      <c r="G181" s="4">
        <f t="shared" si="1"/>
        <v>2.48</v>
      </c>
      <c r="H181" s="4" t="str">
        <f t="shared" si="2"/>
        <v>Neto: 1,80 € (a partir de 1 uds.)</v>
      </c>
      <c r="I181" s="4" t="str">
        <f t="shared" si="3"/>
        <v>Neto G.C.: 1,75 € (a partir de 1 uds.)</v>
      </c>
      <c r="J181" s="4">
        <f t="shared" si="4"/>
        <v>2.3808</v>
      </c>
      <c r="K181" s="4">
        <f t="shared" si="5"/>
        <v>2.48</v>
      </c>
      <c r="L181" s="4">
        <f t="shared" si="6"/>
        <v>2.3808</v>
      </c>
    </row>
    <row r="182">
      <c r="A182" s="1" t="s">
        <v>294</v>
      </c>
      <c r="B182" s="1" t="s">
        <v>295</v>
      </c>
      <c r="C182" s="3">
        <v>3.2</v>
      </c>
      <c r="D182" s="3">
        <v>1.2</v>
      </c>
      <c r="E182" s="3">
        <v>1.2</v>
      </c>
      <c r="F182" s="3">
        <v>1.0</v>
      </c>
      <c r="G182" s="4">
        <f t="shared" si="1"/>
        <v>1.6</v>
      </c>
      <c r="H182" s="4" t="str">
        <f t="shared" si="2"/>
        <v>Neto: 1,20 € (a partir de 1 uds.)</v>
      </c>
      <c r="I182" s="4" t="str">
        <f t="shared" si="3"/>
        <v>Neto G.C.: 1,20 € (a partir de 1 uds.)</v>
      </c>
      <c r="J182" s="4">
        <f t="shared" si="4"/>
        <v>1.536</v>
      </c>
      <c r="K182" s="4">
        <f t="shared" si="5"/>
        <v>1.6</v>
      </c>
      <c r="L182" s="4">
        <f t="shared" si="6"/>
        <v>1.536</v>
      </c>
    </row>
    <row r="183">
      <c r="A183" s="3">
        <v>250.0</v>
      </c>
      <c r="B183" s="1" t="s">
        <v>296</v>
      </c>
      <c r="C183" s="3">
        <v>4.96</v>
      </c>
      <c r="D183" s="3">
        <v>1.8</v>
      </c>
      <c r="E183" s="3">
        <v>1.75</v>
      </c>
      <c r="F183" s="3">
        <v>1.0</v>
      </c>
      <c r="G183" s="4">
        <f t="shared" si="1"/>
        <v>2.48</v>
      </c>
      <c r="H183" s="4" t="str">
        <f t="shared" si="2"/>
        <v>Neto: 1,80 € (a partir de 1 uds.)</v>
      </c>
      <c r="I183" s="4" t="str">
        <f t="shared" si="3"/>
        <v>Neto G.C.: 1,75 € (a partir de 1 uds.)</v>
      </c>
      <c r="J183" s="4">
        <f t="shared" si="4"/>
        <v>2.3808</v>
      </c>
      <c r="K183" s="4">
        <f t="shared" si="5"/>
        <v>2.48</v>
      </c>
      <c r="L183" s="4">
        <f t="shared" si="6"/>
        <v>2.3808</v>
      </c>
    </row>
    <row r="184">
      <c r="A184" s="1" t="s">
        <v>297</v>
      </c>
      <c r="B184" s="1" t="s">
        <v>298</v>
      </c>
      <c r="C184" s="3">
        <v>3.2</v>
      </c>
      <c r="D184" s="3">
        <v>1.2</v>
      </c>
      <c r="E184" s="3">
        <v>1.2</v>
      </c>
      <c r="F184" s="3">
        <v>1.0</v>
      </c>
      <c r="G184" s="4">
        <f t="shared" si="1"/>
        <v>1.6</v>
      </c>
      <c r="H184" s="4" t="str">
        <f t="shared" si="2"/>
        <v>Neto: 1,20 € (a partir de 1 uds.)</v>
      </c>
      <c r="I184" s="4" t="str">
        <f t="shared" si="3"/>
        <v>Neto G.C.: 1,20 € (a partir de 1 uds.)</v>
      </c>
      <c r="J184" s="4">
        <f t="shared" si="4"/>
        <v>1.536</v>
      </c>
      <c r="K184" s="4">
        <f t="shared" si="5"/>
        <v>1.6</v>
      </c>
      <c r="L184" s="4">
        <f t="shared" si="6"/>
        <v>1.536</v>
      </c>
    </row>
    <row r="185">
      <c r="A185" s="3">
        <v>251.0</v>
      </c>
      <c r="B185" s="1" t="s">
        <v>299</v>
      </c>
      <c r="C185" s="3">
        <v>4.96</v>
      </c>
      <c r="D185" s="3">
        <v>1.8</v>
      </c>
      <c r="E185" s="3">
        <v>1.75</v>
      </c>
      <c r="F185" s="3">
        <v>1.0</v>
      </c>
      <c r="G185" s="4">
        <f t="shared" si="1"/>
        <v>2.48</v>
      </c>
      <c r="H185" s="4" t="str">
        <f t="shared" si="2"/>
        <v>Neto: 1,80 € (a partir de 1 uds.)</v>
      </c>
      <c r="I185" s="4" t="str">
        <f t="shared" si="3"/>
        <v>Neto G.C.: 1,75 € (a partir de 1 uds.)</v>
      </c>
      <c r="J185" s="4">
        <f t="shared" si="4"/>
        <v>2.3808</v>
      </c>
      <c r="K185" s="4">
        <f t="shared" si="5"/>
        <v>2.48</v>
      </c>
      <c r="L185" s="4">
        <f t="shared" si="6"/>
        <v>2.3808</v>
      </c>
    </row>
    <row r="186">
      <c r="A186" s="1" t="s">
        <v>300</v>
      </c>
      <c r="B186" s="1" t="s">
        <v>301</v>
      </c>
      <c r="C186" s="3">
        <v>3.2</v>
      </c>
      <c r="D186" s="3">
        <v>1.2</v>
      </c>
      <c r="E186" s="3">
        <v>1.2</v>
      </c>
      <c r="F186" s="3">
        <v>1.0</v>
      </c>
      <c r="G186" s="4">
        <f t="shared" si="1"/>
        <v>1.6</v>
      </c>
      <c r="H186" s="4" t="str">
        <f t="shared" si="2"/>
        <v>Neto: 1,20 € (a partir de 1 uds.)</v>
      </c>
      <c r="I186" s="4" t="str">
        <f t="shared" si="3"/>
        <v>Neto G.C.: 1,20 € (a partir de 1 uds.)</v>
      </c>
      <c r="J186" s="4">
        <f t="shared" si="4"/>
        <v>1.536</v>
      </c>
      <c r="K186" s="4">
        <f t="shared" si="5"/>
        <v>1.6</v>
      </c>
      <c r="L186" s="4">
        <f t="shared" si="6"/>
        <v>1.536</v>
      </c>
    </row>
    <row r="187">
      <c r="A187" s="3">
        <v>252.0</v>
      </c>
      <c r="B187" s="1" t="s">
        <v>302</v>
      </c>
      <c r="C187" s="3">
        <v>4.96</v>
      </c>
      <c r="D187" s="3">
        <v>1.8</v>
      </c>
      <c r="E187" s="3">
        <v>1.75</v>
      </c>
      <c r="F187" s="3">
        <v>1.0</v>
      </c>
      <c r="G187" s="4">
        <f t="shared" si="1"/>
        <v>2.48</v>
      </c>
      <c r="H187" s="4" t="str">
        <f t="shared" si="2"/>
        <v>Neto: 1,80 € (a partir de 1 uds.)</v>
      </c>
      <c r="I187" s="4" t="str">
        <f t="shared" si="3"/>
        <v>Neto G.C.: 1,75 € (a partir de 1 uds.)</v>
      </c>
      <c r="J187" s="4">
        <f t="shared" si="4"/>
        <v>2.3808</v>
      </c>
      <c r="K187" s="4">
        <f t="shared" si="5"/>
        <v>2.48</v>
      </c>
      <c r="L187" s="4">
        <f t="shared" si="6"/>
        <v>2.3808</v>
      </c>
    </row>
    <row r="188">
      <c r="A188" s="1" t="s">
        <v>303</v>
      </c>
      <c r="B188" s="1" t="s">
        <v>304</v>
      </c>
      <c r="C188" s="3">
        <v>3.2</v>
      </c>
      <c r="D188" s="3">
        <v>1.2</v>
      </c>
      <c r="E188" s="3">
        <v>1.2</v>
      </c>
      <c r="F188" s="3">
        <v>1.0</v>
      </c>
      <c r="G188" s="4">
        <f t="shared" si="1"/>
        <v>1.6</v>
      </c>
      <c r="H188" s="4" t="str">
        <f t="shared" si="2"/>
        <v>Neto: 1,20 € (a partir de 1 uds.)</v>
      </c>
      <c r="I188" s="4" t="str">
        <f t="shared" si="3"/>
        <v>Neto G.C.: 1,20 € (a partir de 1 uds.)</v>
      </c>
      <c r="J188" s="4">
        <f t="shared" si="4"/>
        <v>1.536</v>
      </c>
      <c r="K188" s="4">
        <f t="shared" si="5"/>
        <v>1.6</v>
      </c>
      <c r="L188" s="4">
        <f t="shared" si="6"/>
        <v>1.536</v>
      </c>
    </row>
    <row r="189">
      <c r="A189" s="3">
        <v>253.0</v>
      </c>
      <c r="B189" s="1" t="s">
        <v>305</v>
      </c>
      <c r="C189" s="3">
        <v>4.96</v>
      </c>
      <c r="D189" s="3">
        <v>1.8</v>
      </c>
      <c r="E189" s="3">
        <v>1.75</v>
      </c>
      <c r="F189" s="3">
        <v>1.0</v>
      </c>
      <c r="G189" s="4">
        <f t="shared" si="1"/>
        <v>2.48</v>
      </c>
      <c r="H189" s="4" t="str">
        <f t="shared" si="2"/>
        <v>Neto: 1,80 € (a partir de 1 uds.)</v>
      </c>
      <c r="I189" s="4" t="str">
        <f t="shared" si="3"/>
        <v>Neto G.C.: 1,75 € (a partir de 1 uds.)</v>
      </c>
      <c r="J189" s="4">
        <f t="shared" si="4"/>
        <v>2.3808</v>
      </c>
      <c r="K189" s="4">
        <f t="shared" si="5"/>
        <v>2.48</v>
      </c>
      <c r="L189" s="4">
        <f t="shared" si="6"/>
        <v>2.3808</v>
      </c>
    </row>
    <row r="190">
      <c r="A190" s="1" t="s">
        <v>306</v>
      </c>
      <c r="B190" s="1" t="s">
        <v>307</v>
      </c>
      <c r="C190" s="3">
        <v>3.2</v>
      </c>
      <c r="D190" s="3">
        <v>1.2</v>
      </c>
      <c r="E190" s="3">
        <v>1.2</v>
      </c>
      <c r="F190" s="3">
        <v>1.0</v>
      </c>
      <c r="G190" s="4">
        <f t="shared" si="1"/>
        <v>1.6</v>
      </c>
      <c r="H190" s="4" t="str">
        <f t="shared" si="2"/>
        <v>Neto: 1,20 € (a partir de 1 uds.)</v>
      </c>
      <c r="I190" s="4" t="str">
        <f t="shared" si="3"/>
        <v>Neto G.C.: 1,20 € (a partir de 1 uds.)</v>
      </c>
      <c r="J190" s="4">
        <f t="shared" si="4"/>
        <v>1.536</v>
      </c>
      <c r="K190" s="4">
        <f t="shared" si="5"/>
        <v>1.6</v>
      </c>
      <c r="L190" s="4">
        <f t="shared" si="6"/>
        <v>1.536</v>
      </c>
    </row>
    <row r="191">
      <c r="A191" s="3">
        <v>255.0</v>
      </c>
      <c r="B191" s="1" t="s">
        <v>308</v>
      </c>
      <c r="C191" s="3">
        <v>4.96</v>
      </c>
      <c r="D191" s="3">
        <v>1.8</v>
      </c>
      <c r="E191" s="3">
        <v>1.75</v>
      </c>
      <c r="F191" s="3">
        <v>1.0</v>
      </c>
      <c r="G191" s="4">
        <f t="shared" si="1"/>
        <v>2.48</v>
      </c>
      <c r="H191" s="4" t="str">
        <f t="shared" si="2"/>
        <v>Neto: 1,80 € (a partir de 1 uds.)</v>
      </c>
      <c r="I191" s="4" t="str">
        <f t="shared" si="3"/>
        <v>Neto G.C.: 1,75 € (a partir de 1 uds.)</v>
      </c>
      <c r="J191" s="4">
        <f t="shared" si="4"/>
        <v>2.3808</v>
      </c>
      <c r="K191" s="4">
        <f t="shared" si="5"/>
        <v>2.48</v>
      </c>
      <c r="L191" s="4">
        <f t="shared" si="6"/>
        <v>2.3808</v>
      </c>
    </row>
    <row r="192">
      <c r="A192" s="1" t="s">
        <v>309</v>
      </c>
      <c r="B192" s="1" t="s">
        <v>310</v>
      </c>
      <c r="C192" s="3">
        <v>3.2</v>
      </c>
      <c r="D192" s="3">
        <v>1.2</v>
      </c>
      <c r="E192" s="3">
        <v>1.2</v>
      </c>
      <c r="F192" s="3">
        <v>1.0</v>
      </c>
      <c r="G192" s="4">
        <f t="shared" si="1"/>
        <v>1.6</v>
      </c>
      <c r="H192" s="4" t="str">
        <f t="shared" si="2"/>
        <v>Neto: 1,20 € (a partir de 1 uds.)</v>
      </c>
      <c r="I192" s="4" t="str">
        <f t="shared" si="3"/>
        <v>Neto G.C.: 1,20 € (a partir de 1 uds.)</v>
      </c>
      <c r="J192" s="4">
        <f t="shared" si="4"/>
        <v>1.536</v>
      </c>
      <c r="K192" s="4">
        <f t="shared" si="5"/>
        <v>1.6</v>
      </c>
      <c r="L192" s="4">
        <f t="shared" si="6"/>
        <v>1.536</v>
      </c>
    </row>
    <row r="193">
      <c r="A193" s="3">
        <v>256.0</v>
      </c>
      <c r="B193" s="1" t="s">
        <v>311</v>
      </c>
      <c r="C193" s="3">
        <v>6.7</v>
      </c>
      <c r="D193" s="3">
        <v>3.2</v>
      </c>
      <c r="E193" s="3">
        <v>1.75</v>
      </c>
      <c r="F193" s="3">
        <v>1.0</v>
      </c>
      <c r="G193" s="4">
        <f t="shared" si="1"/>
        <v>3.35</v>
      </c>
      <c r="H193" s="4" t="str">
        <f t="shared" si="2"/>
        <v>Neto: 3,20 € (a partir de 1 uds.)</v>
      </c>
      <c r="I193" s="4" t="str">
        <f t="shared" si="3"/>
        <v>Neto G.C.: 1,75 € (a partir de 1 uds.)</v>
      </c>
      <c r="J193" s="4">
        <f t="shared" si="4"/>
        <v>3.216</v>
      </c>
      <c r="K193" s="4">
        <f t="shared" si="5"/>
        <v>3.35</v>
      </c>
      <c r="L193" s="4">
        <f t="shared" si="6"/>
        <v>3.216</v>
      </c>
    </row>
    <row r="194">
      <c r="A194" s="3">
        <v>257.0</v>
      </c>
      <c r="B194" s="1" t="s">
        <v>312</v>
      </c>
      <c r="C194" s="3">
        <v>4.96</v>
      </c>
      <c r="D194" s="3">
        <v>1.8</v>
      </c>
      <c r="E194" s="3">
        <v>1.8</v>
      </c>
      <c r="F194" s="3">
        <v>1.0</v>
      </c>
      <c r="G194" s="4">
        <f t="shared" si="1"/>
        <v>2.48</v>
      </c>
      <c r="H194" s="4" t="str">
        <f t="shared" si="2"/>
        <v>Neto: 1,80 € (a partir de 1 uds.)</v>
      </c>
      <c r="I194" s="4" t="str">
        <f t="shared" si="3"/>
        <v>Neto G.C.: 1,80 € (a partir de 1 uds.)</v>
      </c>
      <c r="J194" s="4">
        <f t="shared" si="4"/>
        <v>2.3808</v>
      </c>
      <c r="K194" s="4">
        <f t="shared" si="5"/>
        <v>2.48</v>
      </c>
      <c r="L194" s="4">
        <f t="shared" si="6"/>
        <v>2.3808</v>
      </c>
    </row>
    <row r="195">
      <c r="A195" s="1" t="s">
        <v>313</v>
      </c>
      <c r="B195" s="1" t="s">
        <v>314</v>
      </c>
      <c r="C195" s="3">
        <v>3.2</v>
      </c>
      <c r="D195" s="3">
        <v>1.2</v>
      </c>
      <c r="E195" s="3">
        <v>1.75</v>
      </c>
      <c r="F195" s="3">
        <v>1.0</v>
      </c>
      <c r="G195" s="4">
        <f t="shared" si="1"/>
        <v>1.6</v>
      </c>
      <c r="H195" s="4" t="str">
        <f t="shared" si="2"/>
        <v>Neto: 1,20 € (a partir de 1 uds.)</v>
      </c>
      <c r="I195" s="4" t="str">
        <f t="shared" si="3"/>
        <v>Neto G.C.: 1,75 € (a partir de 1 uds.)</v>
      </c>
      <c r="J195" s="4">
        <f t="shared" si="4"/>
        <v>1.536</v>
      </c>
      <c r="K195" s="4">
        <f t="shared" si="5"/>
        <v>1.6</v>
      </c>
      <c r="L195" s="4">
        <f t="shared" si="6"/>
        <v>1.536</v>
      </c>
    </row>
    <row r="196">
      <c r="A196" s="1" t="s">
        <v>315</v>
      </c>
      <c r="B196" s="1" t="s">
        <v>316</v>
      </c>
      <c r="C196" s="3">
        <v>5.04</v>
      </c>
      <c r="D196" s="3">
        <v>2.1</v>
      </c>
      <c r="E196" s="3">
        <v>2.1</v>
      </c>
      <c r="F196" s="3">
        <v>1.0</v>
      </c>
      <c r="G196" s="4">
        <f t="shared" si="1"/>
        <v>2.52</v>
      </c>
      <c r="H196" s="4" t="str">
        <f t="shared" si="2"/>
        <v>Neto: 2,10 € (a partir de 1 uds.)</v>
      </c>
      <c r="I196" s="4" t="str">
        <f t="shared" si="3"/>
        <v>Neto G.C.: 2,10 € (a partir de 1 uds.)</v>
      </c>
      <c r="J196" s="4">
        <f t="shared" si="4"/>
        <v>2.4192</v>
      </c>
      <c r="K196" s="4">
        <f t="shared" si="5"/>
        <v>2.52</v>
      </c>
      <c r="L196" s="4">
        <f t="shared" si="6"/>
        <v>2.4192</v>
      </c>
    </row>
    <row r="197">
      <c r="A197" s="1" t="s">
        <v>317</v>
      </c>
      <c r="B197" s="1" t="s">
        <v>318</v>
      </c>
      <c r="C197" s="3">
        <v>6.2</v>
      </c>
      <c r="D197" s="3">
        <v>3.2</v>
      </c>
      <c r="E197" s="3">
        <v>3.2</v>
      </c>
      <c r="F197" s="3">
        <v>1.0</v>
      </c>
      <c r="G197" s="4">
        <f t="shared" si="1"/>
        <v>3.1</v>
      </c>
      <c r="H197" s="4" t="str">
        <f t="shared" si="2"/>
        <v>Neto: 3,20 € (a partir de 1 uds.)</v>
      </c>
      <c r="I197" s="4" t="str">
        <f t="shared" si="3"/>
        <v>Neto G.C.: 3,20 € (a partir de 1 uds.)</v>
      </c>
      <c r="J197" s="4">
        <f t="shared" si="4"/>
        <v>2.976</v>
      </c>
      <c r="K197" s="4">
        <f t="shared" si="5"/>
        <v>3.1</v>
      </c>
      <c r="L197" s="4">
        <f t="shared" si="6"/>
        <v>2.976</v>
      </c>
    </row>
    <row r="198">
      <c r="A198" s="3">
        <v>259.0</v>
      </c>
      <c r="B198" s="1" t="s">
        <v>319</v>
      </c>
      <c r="C198" s="3">
        <v>4.96</v>
      </c>
      <c r="D198" s="3">
        <v>1.8</v>
      </c>
      <c r="E198" s="3">
        <v>1.75</v>
      </c>
      <c r="F198" s="3">
        <v>1.0</v>
      </c>
      <c r="G198" s="4">
        <f t="shared" si="1"/>
        <v>2.48</v>
      </c>
      <c r="H198" s="4" t="str">
        <f t="shared" si="2"/>
        <v>Neto: 1,80 € (a partir de 1 uds.)</v>
      </c>
      <c r="I198" s="4" t="str">
        <f t="shared" si="3"/>
        <v>Neto G.C.: 1,75 € (a partir de 1 uds.)</v>
      </c>
      <c r="J198" s="4">
        <f t="shared" si="4"/>
        <v>2.3808</v>
      </c>
      <c r="K198" s="4">
        <f t="shared" si="5"/>
        <v>2.48</v>
      </c>
      <c r="L198" s="4">
        <f t="shared" si="6"/>
        <v>2.3808</v>
      </c>
    </row>
    <row r="199">
      <c r="A199" s="1" t="s">
        <v>320</v>
      </c>
      <c r="B199" s="1" t="s">
        <v>321</v>
      </c>
      <c r="C199" s="3">
        <v>3.2</v>
      </c>
      <c r="D199" s="3">
        <v>1.2</v>
      </c>
      <c r="E199" s="3">
        <v>1.2</v>
      </c>
      <c r="F199" s="3">
        <v>1.0</v>
      </c>
      <c r="G199" s="4">
        <f t="shared" si="1"/>
        <v>1.6</v>
      </c>
      <c r="H199" s="4" t="str">
        <f t="shared" si="2"/>
        <v>Neto: 1,20 € (a partir de 1 uds.)</v>
      </c>
      <c r="I199" s="4" t="str">
        <f t="shared" si="3"/>
        <v>Neto G.C.: 1,20 € (a partir de 1 uds.)</v>
      </c>
      <c r="J199" s="4">
        <f t="shared" si="4"/>
        <v>1.536</v>
      </c>
      <c r="K199" s="4">
        <f t="shared" si="5"/>
        <v>1.6</v>
      </c>
      <c r="L199" s="4">
        <f t="shared" si="6"/>
        <v>1.536</v>
      </c>
    </row>
    <row r="200">
      <c r="A200" s="3">
        <v>260.0</v>
      </c>
      <c r="B200" s="1" t="s">
        <v>322</v>
      </c>
      <c r="C200" s="3">
        <v>4.96</v>
      </c>
      <c r="D200" s="3">
        <v>1.8</v>
      </c>
      <c r="E200" s="3">
        <v>1.75</v>
      </c>
      <c r="F200" s="3">
        <v>1.0</v>
      </c>
      <c r="G200" s="4">
        <f t="shared" si="1"/>
        <v>2.48</v>
      </c>
      <c r="H200" s="4" t="str">
        <f t="shared" si="2"/>
        <v>Neto: 1,80 € (a partir de 1 uds.)</v>
      </c>
      <c r="I200" s="4" t="str">
        <f t="shared" si="3"/>
        <v>Neto G.C.: 1,75 € (a partir de 1 uds.)</v>
      </c>
      <c r="J200" s="4">
        <f t="shared" si="4"/>
        <v>2.3808</v>
      </c>
      <c r="K200" s="4">
        <f t="shared" si="5"/>
        <v>2.48</v>
      </c>
      <c r="L200" s="4">
        <f t="shared" si="6"/>
        <v>2.3808</v>
      </c>
    </row>
    <row r="201">
      <c r="A201" s="1" t="s">
        <v>323</v>
      </c>
      <c r="B201" s="1" t="s">
        <v>324</v>
      </c>
      <c r="C201" s="3">
        <v>3.2</v>
      </c>
      <c r="D201" s="3">
        <v>1.2</v>
      </c>
      <c r="E201" s="3">
        <v>1.2</v>
      </c>
      <c r="F201" s="3">
        <v>1.0</v>
      </c>
      <c r="G201" s="4">
        <f t="shared" si="1"/>
        <v>1.6</v>
      </c>
      <c r="H201" s="4" t="str">
        <f t="shared" si="2"/>
        <v>Neto: 1,20 € (a partir de 1 uds.)</v>
      </c>
      <c r="I201" s="4" t="str">
        <f t="shared" si="3"/>
        <v>Neto G.C.: 1,20 € (a partir de 1 uds.)</v>
      </c>
      <c r="J201" s="4">
        <f t="shared" si="4"/>
        <v>1.536</v>
      </c>
      <c r="K201" s="4">
        <f t="shared" si="5"/>
        <v>1.6</v>
      </c>
      <c r="L201" s="4">
        <f t="shared" si="6"/>
        <v>1.536</v>
      </c>
    </row>
    <row r="202">
      <c r="A202" s="3">
        <v>261.0</v>
      </c>
      <c r="B202" s="1" t="s">
        <v>325</v>
      </c>
      <c r="C202" s="3">
        <v>6.7</v>
      </c>
      <c r="D202" s="3">
        <v>3.2</v>
      </c>
      <c r="E202" s="3">
        <v>3.2</v>
      </c>
      <c r="F202" s="3">
        <v>1.0</v>
      </c>
      <c r="G202" s="4">
        <f t="shared" si="1"/>
        <v>3.35</v>
      </c>
      <c r="H202" s="4" t="str">
        <f t="shared" si="2"/>
        <v>Neto: 3,20 € (a partir de 1 uds.)</v>
      </c>
      <c r="I202" s="4" t="str">
        <f t="shared" si="3"/>
        <v>Neto G.C.: 3,20 € (a partir de 1 uds.)</v>
      </c>
      <c r="J202" s="4">
        <f t="shared" si="4"/>
        <v>3.216</v>
      </c>
      <c r="K202" s="4">
        <f t="shared" si="5"/>
        <v>3.35</v>
      </c>
      <c r="L202" s="4">
        <f t="shared" si="6"/>
        <v>3.216</v>
      </c>
    </row>
    <row r="203">
      <c r="A203" s="3">
        <v>262.0</v>
      </c>
      <c r="B203" s="1" t="s">
        <v>326</v>
      </c>
      <c r="C203" s="3">
        <v>6.7</v>
      </c>
      <c r="D203" s="3">
        <v>3.2</v>
      </c>
      <c r="E203" s="3">
        <v>3.2</v>
      </c>
      <c r="F203" s="3">
        <v>1.0</v>
      </c>
      <c r="G203" s="4">
        <f t="shared" si="1"/>
        <v>3.35</v>
      </c>
      <c r="H203" s="4" t="str">
        <f t="shared" si="2"/>
        <v>Neto: 3,20 € (a partir de 1 uds.)</v>
      </c>
      <c r="I203" s="4" t="str">
        <f t="shared" si="3"/>
        <v>Neto G.C.: 3,20 € (a partir de 1 uds.)</v>
      </c>
      <c r="J203" s="4">
        <f t="shared" si="4"/>
        <v>3.216</v>
      </c>
      <c r="K203" s="4">
        <f t="shared" si="5"/>
        <v>3.35</v>
      </c>
      <c r="L203" s="4">
        <f t="shared" si="6"/>
        <v>3.216</v>
      </c>
    </row>
    <row r="204">
      <c r="A204" s="3">
        <v>263.0</v>
      </c>
      <c r="B204" s="1" t="s">
        <v>327</v>
      </c>
      <c r="C204" s="3">
        <v>6.7</v>
      </c>
      <c r="D204" s="3">
        <v>3.2</v>
      </c>
      <c r="E204" s="3">
        <v>3.2</v>
      </c>
      <c r="F204" s="3">
        <v>1.0</v>
      </c>
      <c r="G204" s="4">
        <f t="shared" si="1"/>
        <v>3.35</v>
      </c>
      <c r="H204" s="4" t="str">
        <f t="shared" si="2"/>
        <v>Neto: 3,20 € (a partir de 1 uds.)</v>
      </c>
      <c r="I204" s="4" t="str">
        <f t="shared" si="3"/>
        <v>Neto G.C.: 3,20 € (a partir de 1 uds.)</v>
      </c>
      <c r="J204" s="4">
        <f t="shared" si="4"/>
        <v>3.216</v>
      </c>
      <c r="K204" s="4">
        <f t="shared" si="5"/>
        <v>3.35</v>
      </c>
      <c r="L204" s="4">
        <f t="shared" si="6"/>
        <v>3.216</v>
      </c>
    </row>
    <row r="205">
      <c r="A205" s="3">
        <v>264.0</v>
      </c>
      <c r="B205" s="1" t="s">
        <v>328</v>
      </c>
      <c r="C205" s="3">
        <v>6.7</v>
      </c>
      <c r="D205" s="3">
        <v>3.2</v>
      </c>
      <c r="E205" s="3">
        <v>3.2</v>
      </c>
      <c r="F205" s="3">
        <v>1.0</v>
      </c>
      <c r="G205" s="4">
        <f t="shared" si="1"/>
        <v>3.35</v>
      </c>
      <c r="H205" s="4" t="str">
        <f t="shared" si="2"/>
        <v>Neto: 3,20 € (a partir de 1 uds.)</v>
      </c>
      <c r="I205" s="4" t="str">
        <f t="shared" si="3"/>
        <v>Neto G.C.: 3,20 € (a partir de 1 uds.)</v>
      </c>
      <c r="J205" s="4">
        <f t="shared" si="4"/>
        <v>3.216</v>
      </c>
      <c r="K205" s="4">
        <f t="shared" si="5"/>
        <v>3.35</v>
      </c>
      <c r="L205" s="4">
        <f t="shared" si="6"/>
        <v>3.216</v>
      </c>
    </row>
    <row r="206">
      <c r="A206" s="3">
        <v>265.0</v>
      </c>
      <c r="B206" s="1" t="s">
        <v>329</v>
      </c>
      <c r="C206" s="3">
        <v>4.96</v>
      </c>
      <c r="D206" s="3">
        <v>1.8</v>
      </c>
      <c r="E206" s="3">
        <v>1.75</v>
      </c>
      <c r="F206" s="3">
        <v>1.0</v>
      </c>
      <c r="G206" s="4">
        <f t="shared" si="1"/>
        <v>2.48</v>
      </c>
      <c r="H206" s="4" t="str">
        <f t="shared" si="2"/>
        <v>Neto: 1,80 € (a partir de 1 uds.)</v>
      </c>
      <c r="I206" s="4" t="str">
        <f t="shared" si="3"/>
        <v>Neto G.C.: 1,75 € (a partir de 1 uds.)</v>
      </c>
      <c r="J206" s="4">
        <f t="shared" si="4"/>
        <v>2.3808</v>
      </c>
      <c r="K206" s="4">
        <f t="shared" si="5"/>
        <v>2.48</v>
      </c>
      <c r="L206" s="4">
        <f t="shared" si="6"/>
        <v>2.3808</v>
      </c>
    </row>
    <row r="207">
      <c r="A207" s="1" t="s">
        <v>330</v>
      </c>
      <c r="B207" s="1" t="s">
        <v>331</v>
      </c>
      <c r="C207" s="3">
        <v>3.2</v>
      </c>
      <c r="D207" s="3">
        <v>1.2</v>
      </c>
      <c r="E207" s="3">
        <v>1.2</v>
      </c>
      <c r="F207" s="3">
        <v>1.0</v>
      </c>
      <c r="G207" s="4">
        <f t="shared" si="1"/>
        <v>1.6</v>
      </c>
      <c r="H207" s="4" t="str">
        <f t="shared" si="2"/>
        <v>Neto: 1,20 € (a partir de 1 uds.)</v>
      </c>
      <c r="I207" s="4" t="str">
        <f t="shared" si="3"/>
        <v>Neto G.C.: 1,20 € (a partir de 1 uds.)</v>
      </c>
      <c r="J207" s="4">
        <f t="shared" si="4"/>
        <v>1.536</v>
      </c>
      <c r="K207" s="4">
        <f t="shared" si="5"/>
        <v>1.6</v>
      </c>
      <c r="L207" s="4">
        <f t="shared" si="6"/>
        <v>1.536</v>
      </c>
    </row>
    <row r="208">
      <c r="A208" s="3">
        <v>266.0</v>
      </c>
      <c r="B208" s="1" t="s">
        <v>332</v>
      </c>
      <c r="C208" s="3">
        <v>4.96</v>
      </c>
      <c r="D208" s="3">
        <v>1.8</v>
      </c>
      <c r="E208" s="3">
        <v>1.75</v>
      </c>
      <c r="F208" s="3">
        <v>1.0</v>
      </c>
      <c r="G208" s="4">
        <f t="shared" si="1"/>
        <v>2.48</v>
      </c>
      <c r="H208" s="4" t="str">
        <f t="shared" si="2"/>
        <v>Neto: 1,80 € (a partir de 1 uds.)</v>
      </c>
      <c r="I208" s="4" t="str">
        <f t="shared" si="3"/>
        <v>Neto G.C.: 1,75 € (a partir de 1 uds.)</v>
      </c>
      <c r="J208" s="4">
        <f t="shared" si="4"/>
        <v>2.3808</v>
      </c>
      <c r="K208" s="4">
        <f t="shared" si="5"/>
        <v>2.48</v>
      </c>
      <c r="L208" s="4">
        <f t="shared" si="6"/>
        <v>2.3808</v>
      </c>
    </row>
    <row r="209">
      <c r="A209" s="1" t="s">
        <v>333</v>
      </c>
      <c r="B209" s="1" t="s">
        <v>334</v>
      </c>
      <c r="C209" s="3">
        <v>3.2</v>
      </c>
      <c r="D209" s="3">
        <v>1.2</v>
      </c>
      <c r="E209" s="3">
        <v>1.2</v>
      </c>
      <c r="F209" s="3">
        <v>1.0</v>
      </c>
      <c r="G209" s="4">
        <f t="shared" si="1"/>
        <v>1.6</v>
      </c>
      <c r="H209" s="4" t="str">
        <f t="shared" si="2"/>
        <v>Neto: 1,20 € (a partir de 1 uds.)</v>
      </c>
      <c r="I209" s="4" t="str">
        <f t="shared" si="3"/>
        <v>Neto G.C.: 1,20 € (a partir de 1 uds.)</v>
      </c>
      <c r="J209" s="4">
        <f t="shared" si="4"/>
        <v>1.536</v>
      </c>
      <c r="K209" s="4">
        <f t="shared" si="5"/>
        <v>1.6</v>
      </c>
      <c r="L209" s="4">
        <f t="shared" si="6"/>
        <v>1.536</v>
      </c>
    </row>
    <row r="210">
      <c r="A210" s="3">
        <v>267.0</v>
      </c>
      <c r="B210" s="1" t="s">
        <v>335</v>
      </c>
      <c r="C210" s="3">
        <v>4.96</v>
      </c>
      <c r="D210" s="3">
        <v>1.8</v>
      </c>
      <c r="E210" s="3">
        <v>1.75</v>
      </c>
      <c r="F210" s="3">
        <v>1.0</v>
      </c>
      <c r="G210" s="4">
        <f t="shared" si="1"/>
        <v>2.48</v>
      </c>
      <c r="H210" s="4" t="str">
        <f t="shared" si="2"/>
        <v>Neto: 1,80 € (a partir de 1 uds.)</v>
      </c>
      <c r="I210" s="4" t="str">
        <f t="shared" si="3"/>
        <v>Neto G.C.: 1,75 € (a partir de 1 uds.)</v>
      </c>
      <c r="J210" s="4">
        <f t="shared" si="4"/>
        <v>2.3808</v>
      </c>
      <c r="K210" s="4">
        <f t="shared" si="5"/>
        <v>2.48</v>
      </c>
      <c r="L210" s="4">
        <f t="shared" si="6"/>
        <v>2.3808</v>
      </c>
    </row>
    <row r="211">
      <c r="A211" s="1" t="s">
        <v>336</v>
      </c>
      <c r="B211" s="1" t="s">
        <v>337</v>
      </c>
      <c r="C211" s="3">
        <v>3.2</v>
      </c>
      <c r="D211" s="3">
        <v>1.2</v>
      </c>
      <c r="E211" s="3">
        <v>1.2</v>
      </c>
      <c r="F211" s="3">
        <v>1.0</v>
      </c>
      <c r="G211" s="4">
        <f t="shared" si="1"/>
        <v>1.6</v>
      </c>
      <c r="H211" s="4" t="str">
        <f t="shared" si="2"/>
        <v>Neto: 1,20 € (a partir de 1 uds.)</v>
      </c>
      <c r="I211" s="4" t="str">
        <f t="shared" si="3"/>
        <v>Neto G.C.: 1,20 € (a partir de 1 uds.)</v>
      </c>
      <c r="J211" s="4">
        <f t="shared" si="4"/>
        <v>1.536</v>
      </c>
      <c r="K211" s="4">
        <f t="shared" si="5"/>
        <v>1.6</v>
      </c>
      <c r="L211" s="4">
        <f t="shared" si="6"/>
        <v>1.536</v>
      </c>
    </row>
    <row r="212">
      <c r="A212" s="3">
        <v>268.0</v>
      </c>
      <c r="B212" s="1" t="s">
        <v>338</v>
      </c>
      <c r="C212" s="3">
        <v>4.96</v>
      </c>
      <c r="D212" s="3">
        <v>1.8</v>
      </c>
      <c r="E212" s="3">
        <v>1.75</v>
      </c>
      <c r="F212" s="3">
        <v>1.0</v>
      </c>
      <c r="G212" s="4">
        <f t="shared" si="1"/>
        <v>2.48</v>
      </c>
      <c r="H212" s="4" t="str">
        <f t="shared" si="2"/>
        <v>Neto: 1,80 € (a partir de 1 uds.)</v>
      </c>
      <c r="I212" s="4" t="str">
        <f t="shared" si="3"/>
        <v>Neto G.C.: 1,75 € (a partir de 1 uds.)</v>
      </c>
      <c r="J212" s="4">
        <f t="shared" si="4"/>
        <v>2.3808</v>
      </c>
      <c r="K212" s="4">
        <f t="shared" si="5"/>
        <v>2.48</v>
      </c>
      <c r="L212" s="4">
        <f t="shared" si="6"/>
        <v>2.3808</v>
      </c>
    </row>
    <row r="213">
      <c r="A213" s="1" t="s">
        <v>339</v>
      </c>
      <c r="B213" s="1" t="s">
        <v>340</v>
      </c>
      <c r="C213" s="3">
        <v>3.2</v>
      </c>
      <c r="D213" s="3">
        <v>1.2</v>
      </c>
      <c r="E213" s="3">
        <v>1.2</v>
      </c>
      <c r="F213" s="3">
        <v>1.0</v>
      </c>
      <c r="G213" s="4">
        <f t="shared" si="1"/>
        <v>1.6</v>
      </c>
      <c r="H213" s="4" t="str">
        <f t="shared" si="2"/>
        <v>Neto: 1,20 € (a partir de 1 uds.)</v>
      </c>
      <c r="I213" s="4" t="str">
        <f t="shared" si="3"/>
        <v>Neto G.C.: 1,20 € (a partir de 1 uds.)</v>
      </c>
      <c r="J213" s="4">
        <f t="shared" si="4"/>
        <v>1.536</v>
      </c>
      <c r="K213" s="4">
        <f t="shared" si="5"/>
        <v>1.6</v>
      </c>
      <c r="L213" s="4">
        <f t="shared" si="6"/>
        <v>1.536</v>
      </c>
    </row>
    <row r="214">
      <c r="A214" s="3">
        <v>269.0</v>
      </c>
      <c r="B214" s="1" t="s">
        <v>341</v>
      </c>
      <c r="C214" s="3">
        <v>4.96</v>
      </c>
      <c r="D214" s="3">
        <v>1.8</v>
      </c>
      <c r="E214" s="3">
        <v>1.75</v>
      </c>
      <c r="F214" s="3">
        <v>1.0</v>
      </c>
      <c r="G214" s="4">
        <f t="shared" si="1"/>
        <v>2.48</v>
      </c>
      <c r="H214" s="4" t="str">
        <f t="shared" si="2"/>
        <v>Neto: 1,80 € (a partir de 1 uds.)</v>
      </c>
      <c r="I214" s="4" t="str">
        <f t="shared" si="3"/>
        <v>Neto G.C.: 1,75 € (a partir de 1 uds.)</v>
      </c>
      <c r="J214" s="4">
        <f t="shared" si="4"/>
        <v>2.3808</v>
      </c>
      <c r="K214" s="4">
        <f t="shared" si="5"/>
        <v>2.48</v>
      </c>
      <c r="L214" s="4">
        <f t="shared" si="6"/>
        <v>2.3808</v>
      </c>
    </row>
    <row r="215">
      <c r="A215" s="1" t="s">
        <v>342</v>
      </c>
      <c r="B215" s="1" t="s">
        <v>343</v>
      </c>
      <c r="C215" s="3">
        <v>3.2</v>
      </c>
      <c r="D215" s="3">
        <v>1.2</v>
      </c>
      <c r="E215" s="3">
        <v>1.2</v>
      </c>
      <c r="F215" s="3">
        <v>1.0</v>
      </c>
      <c r="G215" s="4">
        <f t="shared" si="1"/>
        <v>1.6</v>
      </c>
      <c r="H215" s="4" t="str">
        <f t="shared" si="2"/>
        <v>Neto: 1,20 € (a partir de 1 uds.)</v>
      </c>
      <c r="I215" s="4" t="str">
        <f t="shared" si="3"/>
        <v>Neto G.C.: 1,20 € (a partir de 1 uds.)</v>
      </c>
      <c r="J215" s="4">
        <f t="shared" si="4"/>
        <v>1.536</v>
      </c>
      <c r="K215" s="4">
        <f t="shared" si="5"/>
        <v>1.6</v>
      </c>
      <c r="L215" s="4">
        <f t="shared" si="6"/>
        <v>1.536</v>
      </c>
    </row>
    <row r="216">
      <c r="A216" s="3">
        <v>270.0</v>
      </c>
      <c r="B216" s="1" t="s">
        <v>344</v>
      </c>
      <c r="C216" s="3">
        <v>4.96</v>
      </c>
      <c r="D216" s="3">
        <v>1.8</v>
      </c>
      <c r="E216" s="3">
        <v>1.75</v>
      </c>
      <c r="F216" s="3">
        <v>1.0</v>
      </c>
      <c r="G216" s="4">
        <f t="shared" si="1"/>
        <v>2.48</v>
      </c>
      <c r="H216" s="4" t="str">
        <f t="shared" si="2"/>
        <v>Neto: 1,80 € (a partir de 1 uds.)</v>
      </c>
      <c r="I216" s="4" t="str">
        <f t="shared" si="3"/>
        <v>Neto G.C.: 1,75 € (a partir de 1 uds.)</v>
      </c>
      <c r="J216" s="4">
        <f t="shared" si="4"/>
        <v>2.3808</v>
      </c>
      <c r="K216" s="4">
        <f t="shared" si="5"/>
        <v>2.48</v>
      </c>
      <c r="L216" s="4">
        <f t="shared" si="6"/>
        <v>2.3808</v>
      </c>
    </row>
    <row r="217">
      <c r="A217" s="1" t="s">
        <v>345</v>
      </c>
      <c r="B217" s="1" t="s">
        <v>346</v>
      </c>
      <c r="C217" s="3">
        <v>3.2</v>
      </c>
      <c r="D217" s="3">
        <v>1.2</v>
      </c>
      <c r="E217" s="3">
        <v>1.2</v>
      </c>
      <c r="F217" s="3">
        <v>1.0</v>
      </c>
      <c r="G217" s="4">
        <f t="shared" si="1"/>
        <v>1.6</v>
      </c>
      <c r="H217" s="4" t="str">
        <f t="shared" si="2"/>
        <v>Neto: 1,20 € (a partir de 1 uds.)</v>
      </c>
      <c r="I217" s="4" t="str">
        <f t="shared" si="3"/>
        <v>Neto G.C.: 1,20 € (a partir de 1 uds.)</v>
      </c>
      <c r="J217" s="4">
        <f t="shared" si="4"/>
        <v>1.536</v>
      </c>
      <c r="K217" s="4">
        <f t="shared" si="5"/>
        <v>1.6</v>
      </c>
      <c r="L217" s="4">
        <f t="shared" si="6"/>
        <v>1.536</v>
      </c>
    </row>
    <row r="218">
      <c r="A218" s="3">
        <v>271.0</v>
      </c>
      <c r="B218" s="1" t="s">
        <v>347</v>
      </c>
      <c r="C218" s="3">
        <v>4.96</v>
      </c>
      <c r="D218" s="3">
        <v>1.8</v>
      </c>
      <c r="E218" s="3">
        <v>1.75</v>
      </c>
      <c r="F218" s="3">
        <v>1.0</v>
      </c>
      <c r="G218" s="4">
        <f t="shared" si="1"/>
        <v>2.48</v>
      </c>
      <c r="H218" s="4" t="str">
        <f t="shared" si="2"/>
        <v>Neto: 1,80 € (a partir de 1 uds.)</v>
      </c>
      <c r="I218" s="4" t="str">
        <f t="shared" si="3"/>
        <v>Neto G.C.: 1,75 € (a partir de 1 uds.)</v>
      </c>
      <c r="J218" s="4">
        <f t="shared" si="4"/>
        <v>2.3808</v>
      </c>
      <c r="K218" s="4">
        <f t="shared" si="5"/>
        <v>2.48</v>
      </c>
      <c r="L218" s="4">
        <f t="shared" si="6"/>
        <v>2.3808</v>
      </c>
    </row>
    <row r="219">
      <c r="A219" s="1" t="s">
        <v>348</v>
      </c>
      <c r="B219" s="1" t="s">
        <v>349</v>
      </c>
      <c r="C219" s="3">
        <v>3.2</v>
      </c>
      <c r="D219" s="3">
        <v>1.2</v>
      </c>
      <c r="E219" s="3">
        <v>1.2</v>
      </c>
      <c r="F219" s="3">
        <v>1.0</v>
      </c>
      <c r="G219" s="4">
        <f t="shared" si="1"/>
        <v>1.6</v>
      </c>
      <c r="H219" s="4" t="str">
        <f t="shared" si="2"/>
        <v>Neto: 1,20 € (a partir de 1 uds.)</v>
      </c>
      <c r="I219" s="4" t="str">
        <f t="shared" si="3"/>
        <v>Neto G.C.: 1,20 € (a partir de 1 uds.)</v>
      </c>
      <c r="J219" s="4">
        <f t="shared" si="4"/>
        <v>1.536</v>
      </c>
      <c r="K219" s="4">
        <f t="shared" si="5"/>
        <v>1.6</v>
      </c>
      <c r="L219" s="4">
        <f t="shared" si="6"/>
        <v>1.536</v>
      </c>
    </row>
    <row r="220">
      <c r="A220" s="3">
        <v>272.0</v>
      </c>
      <c r="B220" s="1" t="s">
        <v>350</v>
      </c>
      <c r="C220" s="3">
        <v>4.96</v>
      </c>
      <c r="D220" s="3">
        <v>1.8</v>
      </c>
      <c r="E220" s="3">
        <v>1.75</v>
      </c>
      <c r="F220" s="3">
        <v>1.0</v>
      </c>
      <c r="G220" s="4">
        <f t="shared" si="1"/>
        <v>2.48</v>
      </c>
      <c r="H220" s="4" t="str">
        <f t="shared" si="2"/>
        <v>Neto: 1,80 € (a partir de 1 uds.)</v>
      </c>
      <c r="I220" s="4" t="str">
        <f t="shared" si="3"/>
        <v>Neto G.C.: 1,75 € (a partir de 1 uds.)</v>
      </c>
      <c r="J220" s="4">
        <f t="shared" si="4"/>
        <v>2.3808</v>
      </c>
      <c r="K220" s="4">
        <f t="shared" si="5"/>
        <v>2.48</v>
      </c>
      <c r="L220" s="4">
        <f t="shared" si="6"/>
        <v>2.3808</v>
      </c>
    </row>
    <row r="221">
      <c r="A221" s="1" t="s">
        <v>351</v>
      </c>
      <c r="B221" s="1" t="s">
        <v>352</v>
      </c>
      <c r="C221" s="3">
        <v>3.2</v>
      </c>
      <c r="D221" s="3">
        <v>1.2</v>
      </c>
      <c r="E221" s="3">
        <v>1.2</v>
      </c>
      <c r="F221" s="3">
        <v>1.0</v>
      </c>
      <c r="G221" s="4">
        <f t="shared" si="1"/>
        <v>1.6</v>
      </c>
      <c r="H221" s="4" t="str">
        <f t="shared" si="2"/>
        <v>Neto: 1,20 € (a partir de 1 uds.)</v>
      </c>
      <c r="I221" s="4" t="str">
        <f t="shared" si="3"/>
        <v>Neto G.C.: 1,20 € (a partir de 1 uds.)</v>
      </c>
      <c r="J221" s="4">
        <f t="shared" si="4"/>
        <v>1.536</v>
      </c>
      <c r="K221" s="4">
        <f t="shared" si="5"/>
        <v>1.6</v>
      </c>
      <c r="L221" s="4">
        <f t="shared" si="6"/>
        <v>1.536</v>
      </c>
    </row>
    <row r="222">
      <c r="A222" s="3">
        <v>273.0</v>
      </c>
      <c r="B222" s="1" t="s">
        <v>353</v>
      </c>
      <c r="C222" s="3">
        <v>4.96</v>
      </c>
      <c r="D222" s="3">
        <v>1.8</v>
      </c>
      <c r="E222" s="3">
        <v>1.75</v>
      </c>
      <c r="F222" s="3">
        <v>1.0</v>
      </c>
      <c r="G222" s="4">
        <f t="shared" si="1"/>
        <v>2.48</v>
      </c>
      <c r="H222" s="4" t="str">
        <f t="shared" si="2"/>
        <v>Neto: 1,80 € (a partir de 1 uds.)</v>
      </c>
      <c r="I222" s="4" t="str">
        <f t="shared" si="3"/>
        <v>Neto G.C.: 1,75 € (a partir de 1 uds.)</v>
      </c>
      <c r="J222" s="4">
        <f t="shared" si="4"/>
        <v>2.3808</v>
      </c>
      <c r="K222" s="4">
        <f t="shared" si="5"/>
        <v>2.48</v>
      </c>
      <c r="L222" s="4">
        <f t="shared" si="6"/>
        <v>2.3808</v>
      </c>
    </row>
    <row r="223">
      <c r="A223" s="1" t="s">
        <v>354</v>
      </c>
      <c r="B223" s="1" t="s">
        <v>355</v>
      </c>
      <c r="C223" s="3">
        <v>3.2</v>
      </c>
      <c r="D223" s="3">
        <v>1.2</v>
      </c>
      <c r="E223" s="3">
        <v>1.2</v>
      </c>
      <c r="F223" s="3">
        <v>1.0</v>
      </c>
      <c r="G223" s="4">
        <f t="shared" si="1"/>
        <v>1.6</v>
      </c>
      <c r="H223" s="4" t="str">
        <f t="shared" si="2"/>
        <v>Neto: 1,20 € (a partir de 1 uds.)</v>
      </c>
      <c r="I223" s="4" t="str">
        <f t="shared" si="3"/>
        <v>Neto G.C.: 1,20 € (a partir de 1 uds.)</v>
      </c>
      <c r="J223" s="4">
        <f t="shared" si="4"/>
        <v>1.536</v>
      </c>
      <c r="K223" s="4">
        <f t="shared" si="5"/>
        <v>1.6</v>
      </c>
      <c r="L223" s="4">
        <f t="shared" si="6"/>
        <v>1.536</v>
      </c>
    </row>
    <row r="224">
      <c r="A224" s="3">
        <v>274.0</v>
      </c>
      <c r="B224" s="1" t="s">
        <v>356</v>
      </c>
      <c r="C224" s="3">
        <v>4.96</v>
      </c>
      <c r="D224" s="3">
        <v>1.8</v>
      </c>
      <c r="E224" s="3">
        <v>1.75</v>
      </c>
      <c r="F224" s="3">
        <v>1.0</v>
      </c>
      <c r="G224" s="4">
        <f t="shared" si="1"/>
        <v>2.48</v>
      </c>
      <c r="H224" s="4" t="str">
        <f t="shared" si="2"/>
        <v>Neto: 1,80 € (a partir de 1 uds.)</v>
      </c>
      <c r="I224" s="4" t="str">
        <f t="shared" si="3"/>
        <v>Neto G.C.: 1,75 € (a partir de 1 uds.)</v>
      </c>
      <c r="J224" s="4">
        <f t="shared" si="4"/>
        <v>2.3808</v>
      </c>
      <c r="K224" s="4">
        <f t="shared" si="5"/>
        <v>2.48</v>
      </c>
      <c r="L224" s="4">
        <f t="shared" si="6"/>
        <v>2.3808</v>
      </c>
    </row>
    <row r="225">
      <c r="A225" s="1" t="s">
        <v>357</v>
      </c>
      <c r="B225" s="1" t="s">
        <v>358</v>
      </c>
      <c r="C225" s="3">
        <v>3.2</v>
      </c>
      <c r="D225" s="3">
        <v>1.2</v>
      </c>
      <c r="E225" s="3">
        <v>1.2</v>
      </c>
      <c r="F225" s="3">
        <v>1.0</v>
      </c>
      <c r="G225" s="4">
        <f t="shared" si="1"/>
        <v>1.6</v>
      </c>
      <c r="H225" s="4" t="str">
        <f t="shared" si="2"/>
        <v>Neto: 1,20 € (a partir de 1 uds.)</v>
      </c>
      <c r="I225" s="4" t="str">
        <f t="shared" si="3"/>
        <v>Neto G.C.: 1,20 € (a partir de 1 uds.)</v>
      </c>
      <c r="J225" s="4">
        <f t="shared" si="4"/>
        <v>1.536</v>
      </c>
      <c r="K225" s="4">
        <f t="shared" si="5"/>
        <v>1.6</v>
      </c>
      <c r="L225" s="4">
        <f t="shared" si="6"/>
        <v>1.536</v>
      </c>
    </row>
    <row r="226">
      <c r="A226" s="3">
        <v>275.0</v>
      </c>
      <c r="B226" s="1" t="s">
        <v>359</v>
      </c>
      <c r="C226" s="3">
        <v>4.96</v>
      </c>
      <c r="D226" s="3">
        <v>1.8</v>
      </c>
      <c r="E226" s="3">
        <v>1.75</v>
      </c>
      <c r="F226" s="3">
        <v>1.0</v>
      </c>
      <c r="G226" s="4">
        <f t="shared" si="1"/>
        <v>2.48</v>
      </c>
      <c r="H226" s="4" t="str">
        <f t="shared" si="2"/>
        <v>Neto: 1,80 € (a partir de 1 uds.)</v>
      </c>
      <c r="I226" s="4" t="str">
        <f t="shared" si="3"/>
        <v>Neto G.C.: 1,75 € (a partir de 1 uds.)</v>
      </c>
      <c r="J226" s="4">
        <f t="shared" si="4"/>
        <v>2.3808</v>
      </c>
      <c r="K226" s="4">
        <f t="shared" si="5"/>
        <v>2.48</v>
      </c>
      <c r="L226" s="4">
        <f t="shared" si="6"/>
        <v>2.3808</v>
      </c>
    </row>
    <row r="227">
      <c r="A227" s="1" t="s">
        <v>360</v>
      </c>
      <c r="B227" s="1" t="s">
        <v>361</v>
      </c>
      <c r="C227" s="3">
        <v>3.2</v>
      </c>
      <c r="D227" s="3">
        <v>1.2</v>
      </c>
      <c r="E227" s="3">
        <v>1.2</v>
      </c>
      <c r="F227" s="3">
        <v>1.0</v>
      </c>
      <c r="G227" s="4">
        <f t="shared" si="1"/>
        <v>1.6</v>
      </c>
      <c r="H227" s="4" t="str">
        <f t="shared" si="2"/>
        <v>Neto: 1,20 € (a partir de 1 uds.)</v>
      </c>
      <c r="I227" s="4" t="str">
        <f t="shared" si="3"/>
        <v>Neto G.C.: 1,20 € (a partir de 1 uds.)</v>
      </c>
      <c r="J227" s="4">
        <f t="shared" si="4"/>
        <v>1.536</v>
      </c>
      <c r="K227" s="4">
        <f t="shared" si="5"/>
        <v>1.6</v>
      </c>
      <c r="L227" s="4">
        <f t="shared" si="6"/>
        <v>1.536</v>
      </c>
    </row>
    <row r="228">
      <c r="A228" s="3">
        <v>276.0</v>
      </c>
      <c r="B228" s="1" t="s">
        <v>362</v>
      </c>
      <c r="C228" s="3">
        <v>4.96</v>
      </c>
      <c r="D228" s="3">
        <v>1.8</v>
      </c>
      <c r="E228" s="3">
        <v>1.75</v>
      </c>
      <c r="F228" s="3">
        <v>1.0</v>
      </c>
      <c r="G228" s="4">
        <f t="shared" si="1"/>
        <v>2.48</v>
      </c>
      <c r="H228" s="4" t="str">
        <f t="shared" si="2"/>
        <v>Neto: 1,80 € (a partir de 1 uds.)</v>
      </c>
      <c r="I228" s="4" t="str">
        <f t="shared" si="3"/>
        <v>Neto G.C.: 1,75 € (a partir de 1 uds.)</v>
      </c>
      <c r="J228" s="4">
        <f t="shared" si="4"/>
        <v>2.3808</v>
      </c>
      <c r="K228" s="4">
        <f t="shared" si="5"/>
        <v>2.48</v>
      </c>
      <c r="L228" s="4">
        <f t="shared" si="6"/>
        <v>2.3808</v>
      </c>
    </row>
    <row r="229">
      <c r="A229" s="1" t="s">
        <v>363</v>
      </c>
      <c r="B229" s="1" t="s">
        <v>364</v>
      </c>
      <c r="C229" s="3">
        <v>3.2</v>
      </c>
      <c r="D229" s="3">
        <v>1.2</v>
      </c>
      <c r="E229" s="3">
        <v>1.2</v>
      </c>
      <c r="F229" s="3">
        <v>1.0</v>
      </c>
      <c r="G229" s="4">
        <f t="shared" si="1"/>
        <v>1.6</v>
      </c>
      <c r="H229" s="4" t="str">
        <f t="shared" si="2"/>
        <v>Neto: 1,20 € (a partir de 1 uds.)</v>
      </c>
      <c r="I229" s="4" t="str">
        <f t="shared" si="3"/>
        <v>Neto G.C.: 1,20 € (a partir de 1 uds.)</v>
      </c>
      <c r="J229" s="4">
        <f t="shared" si="4"/>
        <v>1.536</v>
      </c>
      <c r="K229" s="4">
        <f t="shared" si="5"/>
        <v>1.6</v>
      </c>
      <c r="L229" s="4">
        <f t="shared" si="6"/>
        <v>1.536</v>
      </c>
    </row>
    <row r="230">
      <c r="A230" s="3">
        <v>277.0</v>
      </c>
      <c r="B230" s="1" t="s">
        <v>365</v>
      </c>
      <c r="C230" s="3">
        <v>4.96</v>
      </c>
      <c r="D230" s="3">
        <v>1.8</v>
      </c>
      <c r="E230" s="3">
        <v>1.75</v>
      </c>
      <c r="F230" s="3">
        <v>1.0</v>
      </c>
      <c r="G230" s="4">
        <f t="shared" si="1"/>
        <v>2.48</v>
      </c>
      <c r="H230" s="4" t="str">
        <f t="shared" si="2"/>
        <v>Neto: 1,80 € (a partir de 1 uds.)</v>
      </c>
      <c r="I230" s="4" t="str">
        <f t="shared" si="3"/>
        <v>Neto G.C.: 1,75 € (a partir de 1 uds.)</v>
      </c>
      <c r="J230" s="4">
        <f t="shared" si="4"/>
        <v>2.3808</v>
      </c>
      <c r="K230" s="4">
        <f t="shared" si="5"/>
        <v>2.48</v>
      </c>
      <c r="L230" s="4">
        <f t="shared" si="6"/>
        <v>2.3808</v>
      </c>
    </row>
    <row r="231">
      <c r="A231" s="1" t="s">
        <v>366</v>
      </c>
      <c r="B231" s="1" t="s">
        <v>367</v>
      </c>
      <c r="C231" s="3">
        <v>3.2</v>
      </c>
      <c r="D231" s="3">
        <v>1.2</v>
      </c>
      <c r="E231" s="3">
        <v>1.2</v>
      </c>
      <c r="F231" s="3">
        <v>1.0</v>
      </c>
      <c r="G231" s="4">
        <f t="shared" si="1"/>
        <v>1.6</v>
      </c>
      <c r="H231" s="4" t="str">
        <f t="shared" si="2"/>
        <v>Neto: 1,20 € (a partir de 1 uds.)</v>
      </c>
      <c r="I231" s="4" t="str">
        <f t="shared" si="3"/>
        <v>Neto G.C.: 1,20 € (a partir de 1 uds.)</v>
      </c>
      <c r="J231" s="4">
        <f t="shared" si="4"/>
        <v>1.536</v>
      </c>
      <c r="K231" s="4">
        <f t="shared" si="5"/>
        <v>1.6</v>
      </c>
      <c r="L231" s="4">
        <f t="shared" si="6"/>
        <v>1.536</v>
      </c>
    </row>
    <row r="232">
      <c r="A232" s="3">
        <v>278.0</v>
      </c>
      <c r="B232" s="1" t="s">
        <v>368</v>
      </c>
      <c r="C232" s="3">
        <v>4.96</v>
      </c>
      <c r="D232" s="3">
        <v>1.8</v>
      </c>
      <c r="E232" s="3">
        <v>1.75</v>
      </c>
      <c r="F232" s="3">
        <v>1.0</v>
      </c>
      <c r="G232" s="4">
        <f t="shared" si="1"/>
        <v>2.48</v>
      </c>
      <c r="H232" s="4" t="str">
        <f t="shared" si="2"/>
        <v>Neto: 1,80 € (a partir de 1 uds.)</v>
      </c>
      <c r="I232" s="4" t="str">
        <f t="shared" si="3"/>
        <v>Neto G.C.: 1,75 € (a partir de 1 uds.)</v>
      </c>
      <c r="J232" s="4">
        <f t="shared" si="4"/>
        <v>2.3808</v>
      </c>
      <c r="K232" s="4">
        <f t="shared" si="5"/>
        <v>2.48</v>
      </c>
      <c r="L232" s="4">
        <f t="shared" si="6"/>
        <v>2.3808</v>
      </c>
    </row>
    <row r="233">
      <c r="A233" s="1" t="s">
        <v>369</v>
      </c>
      <c r="B233" s="1" t="s">
        <v>370</v>
      </c>
      <c r="C233" s="3">
        <v>3.2</v>
      </c>
      <c r="D233" s="3">
        <v>1.2</v>
      </c>
      <c r="E233" s="3">
        <v>1.2</v>
      </c>
      <c r="F233" s="3">
        <v>1.0</v>
      </c>
      <c r="G233" s="4">
        <f t="shared" si="1"/>
        <v>1.6</v>
      </c>
      <c r="H233" s="4" t="str">
        <f t="shared" si="2"/>
        <v>Neto: 1,20 € (a partir de 1 uds.)</v>
      </c>
      <c r="I233" s="4" t="str">
        <f t="shared" si="3"/>
        <v>Neto G.C.: 1,20 € (a partir de 1 uds.)</v>
      </c>
      <c r="J233" s="4">
        <f t="shared" si="4"/>
        <v>1.536</v>
      </c>
      <c r="K233" s="4">
        <f t="shared" si="5"/>
        <v>1.6</v>
      </c>
      <c r="L233" s="4">
        <f t="shared" si="6"/>
        <v>1.536</v>
      </c>
    </row>
    <row r="234">
      <c r="A234" s="3">
        <v>279.0</v>
      </c>
      <c r="B234" s="1" t="s">
        <v>371</v>
      </c>
      <c r="C234" s="3">
        <v>4.96</v>
      </c>
      <c r="D234" s="3">
        <v>1.8</v>
      </c>
      <c r="E234" s="3">
        <v>1.75</v>
      </c>
      <c r="F234" s="3">
        <v>1.0</v>
      </c>
      <c r="G234" s="4">
        <f t="shared" si="1"/>
        <v>2.48</v>
      </c>
      <c r="H234" s="4" t="str">
        <f t="shared" si="2"/>
        <v>Neto: 1,80 € (a partir de 1 uds.)</v>
      </c>
      <c r="I234" s="4" t="str">
        <f t="shared" si="3"/>
        <v>Neto G.C.: 1,75 € (a partir de 1 uds.)</v>
      </c>
      <c r="J234" s="4">
        <f t="shared" si="4"/>
        <v>2.3808</v>
      </c>
      <c r="K234" s="4">
        <f t="shared" si="5"/>
        <v>2.48</v>
      </c>
      <c r="L234" s="4">
        <f t="shared" si="6"/>
        <v>2.3808</v>
      </c>
    </row>
    <row r="235">
      <c r="A235" s="1" t="s">
        <v>372</v>
      </c>
      <c r="B235" s="1" t="s">
        <v>373</v>
      </c>
      <c r="C235" s="3">
        <v>3.2</v>
      </c>
      <c r="D235" s="3">
        <v>1.2</v>
      </c>
      <c r="E235" s="3">
        <v>1.2</v>
      </c>
      <c r="F235" s="3">
        <v>1.0</v>
      </c>
      <c r="G235" s="4">
        <f t="shared" si="1"/>
        <v>1.6</v>
      </c>
      <c r="H235" s="4" t="str">
        <f t="shared" si="2"/>
        <v>Neto: 1,20 € (a partir de 1 uds.)</v>
      </c>
      <c r="I235" s="4" t="str">
        <f t="shared" si="3"/>
        <v>Neto G.C.: 1,20 € (a partir de 1 uds.)</v>
      </c>
      <c r="J235" s="4">
        <f t="shared" si="4"/>
        <v>1.536</v>
      </c>
      <c r="K235" s="4">
        <f t="shared" si="5"/>
        <v>1.6</v>
      </c>
      <c r="L235" s="4">
        <f t="shared" si="6"/>
        <v>1.536</v>
      </c>
    </row>
    <row r="236">
      <c r="A236" s="3">
        <v>280.0</v>
      </c>
      <c r="B236" s="1" t="s">
        <v>374</v>
      </c>
      <c r="C236" s="3">
        <v>4.96</v>
      </c>
      <c r="D236" s="3">
        <v>1.8</v>
      </c>
      <c r="E236" s="3">
        <v>1.75</v>
      </c>
      <c r="F236" s="3">
        <v>1.0</v>
      </c>
      <c r="G236" s="4">
        <f t="shared" si="1"/>
        <v>2.48</v>
      </c>
      <c r="H236" s="4" t="str">
        <f t="shared" si="2"/>
        <v>Neto: 1,80 € (a partir de 1 uds.)</v>
      </c>
      <c r="I236" s="4" t="str">
        <f t="shared" si="3"/>
        <v>Neto G.C.: 1,75 € (a partir de 1 uds.)</v>
      </c>
      <c r="J236" s="4">
        <f t="shared" si="4"/>
        <v>2.3808</v>
      </c>
      <c r="K236" s="4">
        <f t="shared" si="5"/>
        <v>2.48</v>
      </c>
      <c r="L236" s="4">
        <f t="shared" si="6"/>
        <v>2.3808</v>
      </c>
    </row>
    <row r="237">
      <c r="A237" s="1" t="s">
        <v>375</v>
      </c>
      <c r="B237" s="1" t="s">
        <v>376</v>
      </c>
      <c r="C237" s="3">
        <v>3.2</v>
      </c>
      <c r="D237" s="3">
        <v>1.2</v>
      </c>
      <c r="E237" s="3">
        <v>1.2</v>
      </c>
      <c r="F237" s="3">
        <v>1.0</v>
      </c>
      <c r="G237" s="4">
        <f t="shared" si="1"/>
        <v>1.6</v>
      </c>
      <c r="H237" s="4" t="str">
        <f t="shared" si="2"/>
        <v>Neto: 1,20 € (a partir de 1 uds.)</v>
      </c>
      <c r="I237" s="4" t="str">
        <f t="shared" si="3"/>
        <v>Neto G.C.: 1,20 € (a partir de 1 uds.)</v>
      </c>
      <c r="J237" s="4">
        <f t="shared" si="4"/>
        <v>1.536</v>
      </c>
      <c r="K237" s="4">
        <f t="shared" si="5"/>
        <v>1.6</v>
      </c>
      <c r="L237" s="4">
        <f t="shared" si="6"/>
        <v>1.536</v>
      </c>
    </row>
    <row r="238">
      <c r="A238" s="3">
        <v>281.0</v>
      </c>
      <c r="B238" s="1" t="s">
        <v>377</v>
      </c>
      <c r="C238" s="3">
        <v>4.96</v>
      </c>
      <c r="D238" s="3">
        <v>1.8</v>
      </c>
      <c r="E238" s="3">
        <v>1.75</v>
      </c>
      <c r="F238" s="3">
        <v>1.0</v>
      </c>
      <c r="G238" s="4">
        <f t="shared" si="1"/>
        <v>2.48</v>
      </c>
      <c r="H238" s="4" t="str">
        <f t="shared" si="2"/>
        <v>Neto: 1,80 € (a partir de 1 uds.)</v>
      </c>
      <c r="I238" s="4" t="str">
        <f t="shared" si="3"/>
        <v>Neto G.C.: 1,75 € (a partir de 1 uds.)</v>
      </c>
      <c r="J238" s="4">
        <f t="shared" si="4"/>
        <v>2.3808</v>
      </c>
      <c r="K238" s="4">
        <f t="shared" si="5"/>
        <v>2.48</v>
      </c>
      <c r="L238" s="4">
        <f t="shared" si="6"/>
        <v>2.3808</v>
      </c>
    </row>
    <row r="239">
      <c r="A239" s="1" t="s">
        <v>378</v>
      </c>
      <c r="B239" s="1" t="s">
        <v>379</v>
      </c>
      <c r="C239" s="3">
        <v>3.2</v>
      </c>
      <c r="D239" s="3">
        <v>1.2</v>
      </c>
      <c r="E239" s="3">
        <v>1.2</v>
      </c>
      <c r="F239" s="3">
        <v>1.0</v>
      </c>
      <c r="G239" s="4">
        <f t="shared" si="1"/>
        <v>1.6</v>
      </c>
      <c r="H239" s="4" t="str">
        <f t="shared" si="2"/>
        <v>Neto: 1,20 € (a partir de 1 uds.)</v>
      </c>
      <c r="I239" s="4" t="str">
        <f t="shared" si="3"/>
        <v>Neto G.C.: 1,20 € (a partir de 1 uds.)</v>
      </c>
      <c r="J239" s="4">
        <f t="shared" si="4"/>
        <v>1.536</v>
      </c>
      <c r="K239" s="4">
        <f t="shared" si="5"/>
        <v>1.6</v>
      </c>
      <c r="L239" s="4">
        <f t="shared" si="6"/>
        <v>1.536</v>
      </c>
    </row>
    <row r="240">
      <c r="A240" s="3">
        <v>282.0</v>
      </c>
      <c r="B240" s="1" t="s">
        <v>380</v>
      </c>
      <c r="C240" s="3">
        <v>4.96</v>
      </c>
      <c r="D240" s="3">
        <v>1.8</v>
      </c>
      <c r="E240" s="3">
        <v>1.75</v>
      </c>
      <c r="F240" s="3">
        <v>1.0</v>
      </c>
      <c r="G240" s="4">
        <f t="shared" si="1"/>
        <v>2.48</v>
      </c>
      <c r="H240" s="4" t="str">
        <f t="shared" si="2"/>
        <v>Neto: 1,80 € (a partir de 1 uds.)</v>
      </c>
      <c r="I240" s="4" t="str">
        <f t="shared" si="3"/>
        <v>Neto G.C.: 1,75 € (a partir de 1 uds.)</v>
      </c>
      <c r="J240" s="4">
        <f t="shared" si="4"/>
        <v>2.3808</v>
      </c>
      <c r="K240" s="4">
        <f t="shared" si="5"/>
        <v>2.48</v>
      </c>
      <c r="L240" s="4">
        <f t="shared" si="6"/>
        <v>2.3808</v>
      </c>
    </row>
    <row r="241">
      <c r="A241" s="1" t="s">
        <v>381</v>
      </c>
      <c r="B241" s="1" t="s">
        <v>382</v>
      </c>
      <c r="C241" s="3">
        <v>3.2</v>
      </c>
      <c r="D241" s="3">
        <v>1.2</v>
      </c>
      <c r="E241" s="3">
        <v>1.2</v>
      </c>
      <c r="F241" s="3">
        <v>1.0</v>
      </c>
      <c r="G241" s="4">
        <f t="shared" si="1"/>
        <v>1.6</v>
      </c>
      <c r="H241" s="4" t="str">
        <f t="shared" si="2"/>
        <v>Neto: 1,20 € (a partir de 1 uds.)</v>
      </c>
      <c r="I241" s="4" t="str">
        <f t="shared" si="3"/>
        <v>Neto G.C.: 1,20 € (a partir de 1 uds.)</v>
      </c>
      <c r="J241" s="4">
        <f t="shared" si="4"/>
        <v>1.536</v>
      </c>
      <c r="K241" s="4">
        <f t="shared" si="5"/>
        <v>1.6</v>
      </c>
      <c r="L241" s="4">
        <f t="shared" si="6"/>
        <v>1.536</v>
      </c>
    </row>
    <row r="242">
      <c r="A242" s="3">
        <v>283.0</v>
      </c>
      <c r="B242" s="1" t="s">
        <v>383</v>
      </c>
      <c r="C242" s="3">
        <v>4.96</v>
      </c>
      <c r="D242" s="3">
        <v>1.8</v>
      </c>
      <c r="E242" s="3">
        <v>1.75</v>
      </c>
      <c r="F242" s="3">
        <v>1.0</v>
      </c>
      <c r="G242" s="4">
        <f t="shared" si="1"/>
        <v>2.48</v>
      </c>
      <c r="H242" s="4" t="str">
        <f t="shared" si="2"/>
        <v>Neto: 1,80 € (a partir de 1 uds.)</v>
      </c>
      <c r="I242" s="4" t="str">
        <f t="shared" si="3"/>
        <v>Neto G.C.: 1,75 € (a partir de 1 uds.)</v>
      </c>
      <c r="J242" s="4">
        <f t="shared" si="4"/>
        <v>2.3808</v>
      </c>
      <c r="K242" s="4">
        <f t="shared" si="5"/>
        <v>2.48</v>
      </c>
      <c r="L242" s="4">
        <f t="shared" si="6"/>
        <v>2.3808</v>
      </c>
    </row>
    <row r="243">
      <c r="A243" s="1" t="s">
        <v>384</v>
      </c>
      <c r="B243" s="1" t="s">
        <v>385</v>
      </c>
      <c r="C243" s="3">
        <v>3.2</v>
      </c>
      <c r="D243" s="3">
        <v>1.2</v>
      </c>
      <c r="E243" s="3">
        <v>1.2</v>
      </c>
      <c r="F243" s="3">
        <v>1.0</v>
      </c>
      <c r="G243" s="4">
        <f t="shared" si="1"/>
        <v>1.6</v>
      </c>
      <c r="H243" s="4" t="str">
        <f t="shared" si="2"/>
        <v>Neto: 1,20 € (a partir de 1 uds.)</v>
      </c>
      <c r="I243" s="4" t="str">
        <f t="shared" si="3"/>
        <v>Neto G.C.: 1,20 € (a partir de 1 uds.)</v>
      </c>
      <c r="J243" s="4">
        <f t="shared" si="4"/>
        <v>1.536</v>
      </c>
      <c r="K243" s="4">
        <f t="shared" si="5"/>
        <v>1.6</v>
      </c>
      <c r="L243" s="4">
        <f t="shared" si="6"/>
        <v>1.536</v>
      </c>
    </row>
    <row r="244">
      <c r="A244" s="3">
        <v>284.0</v>
      </c>
      <c r="B244" s="1" t="s">
        <v>386</v>
      </c>
      <c r="C244" s="3">
        <v>4.96</v>
      </c>
      <c r="D244" s="3">
        <v>1.8</v>
      </c>
      <c r="E244" s="3">
        <v>1.75</v>
      </c>
      <c r="F244" s="3">
        <v>1.0</v>
      </c>
      <c r="G244" s="4">
        <f t="shared" si="1"/>
        <v>2.48</v>
      </c>
      <c r="H244" s="4" t="str">
        <f t="shared" si="2"/>
        <v>Neto: 1,80 € (a partir de 1 uds.)</v>
      </c>
      <c r="I244" s="4" t="str">
        <f t="shared" si="3"/>
        <v>Neto G.C.: 1,75 € (a partir de 1 uds.)</v>
      </c>
      <c r="J244" s="4">
        <f t="shared" si="4"/>
        <v>2.3808</v>
      </c>
      <c r="K244" s="4">
        <f t="shared" si="5"/>
        <v>2.48</v>
      </c>
      <c r="L244" s="4">
        <f t="shared" si="6"/>
        <v>2.3808</v>
      </c>
    </row>
    <row r="245">
      <c r="A245" s="1" t="s">
        <v>387</v>
      </c>
      <c r="B245" s="1" t="s">
        <v>388</v>
      </c>
      <c r="C245" s="3">
        <v>3.2</v>
      </c>
      <c r="D245" s="3">
        <v>1.2</v>
      </c>
      <c r="E245" s="3">
        <v>1.2</v>
      </c>
      <c r="F245" s="3">
        <v>1.0</v>
      </c>
      <c r="G245" s="4">
        <f t="shared" si="1"/>
        <v>1.6</v>
      </c>
      <c r="H245" s="4" t="str">
        <f t="shared" si="2"/>
        <v>Neto: 1,20 € (a partir de 1 uds.)</v>
      </c>
      <c r="I245" s="4" t="str">
        <f t="shared" si="3"/>
        <v>Neto G.C.: 1,20 € (a partir de 1 uds.)</v>
      </c>
      <c r="J245" s="4">
        <f t="shared" si="4"/>
        <v>1.536</v>
      </c>
      <c r="K245" s="4">
        <f t="shared" si="5"/>
        <v>1.6</v>
      </c>
      <c r="L245" s="4">
        <f t="shared" si="6"/>
        <v>1.536</v>
      </c>
    </row>
    <row r="246">
      <c r="A246" s="3">
        <v>285.0</v>
      </c>
      <c r="B246" s="1" t="s">
        <v>389</v>
      </c>
      <c r="C246" s="3">
        <v>4.96</v>
      </c>
      <c r="D246" s="3">
        <v>1.8</v>
      </c>
      <c r="E246" s="3">
        <v>1.75</v>
      </c>
      <c r="F246" s="3">
        <v>1.0</v>
      </c>
      <c r="G246" s="4">
        <f t="shared" si="1"/>
        <v>2.48</v>
      </c>
      <c r="H246" s="4" t="str">
        <f t="shared" si="2"/>
        <v>Neto: 1,80 € (a partir de 1 uds.)</v>
      </c>
      <c r="I246" s="4" t="str">
        <f t="shared" si="3"/>
        <v>Neto G.C.: 1,75 € (a partir de 1 uds.)</v>
      </c>
      <c r="J246" s="4">
        <f t="shared" si="4"/>
        <v>2.3808</v>
      </c>
      <c r="K246" s="4">
        <f t="shared" si="5"/>
        <v>2.48</v>
      </c>
      <c r="L246" s="4">
        <f t="shared" si="6"/>
        <v>2.3808</v>
      </c>
    </row>
    <row r="247">
      <c r="A247" s="1" t="s">
        <v>390</v>
      </c>
      <c r="B247" s="1" t="s">
        <v>391</v>
      </c>
      <c r="C247" s="3">
        <v>3.2</v>
      </c>
      <c r="D247" s="3">
        <v>1.2</v>
      </c>
      <c r="E247" s="3">
        <v>1.2</v>
      </c>
      <c r="F247" s="3">
        <v>1.0</v>
      </c>
      <c r="G247" s="4">
        <f t="shared" si="1"/>
        <v>1.6</v>
      </c>
      <c r="H247" s="4" t="str">
        <f t="shared" si="2"/>
        <v>Neto: 1,20 € (a partir de 1 uds.)</v>
      </c>
      <c r="I247" s="4" t="str">
        <f t="shared" si="3"/>
        <v>Neto G.C.: 1,20 € (a partir de 1 uds.)</v>
      </c>
      <c r="J247" s="4">
        <f t="shared" si="4"/>
        <v>1.536</v>
      </c>
      <c r="K247" s="4">
        <f t="shared" si="5"/>
        <v>1.6</v>
      </c>
      <c r="L247" s="4">
        <f t="shared" si="6"/>
        <v>1.536</v>
      </c>
    </row>
    <row r="248">
      <c r="A248" s="3">
        <v>286.0</v>
      </c>
      <c r="B248" s="1" t="s">
        <v>392</v>
      </c>
      <c r="C248" s="3">
        <v>4.96</v>
      </c>
      <c r="D248" s="3">
        <v>1.8</v>
      </c>
      <c r="E248" s="3">
        <v>1.75</v>
      </c>
      <c r="F248" s="3">
        <v>1.0</v>
      </c>
      <c r="G248" s="4">
        <f t="shared" si="1"/>
        <v>2.48</v>
      </c>
      <c r="H248" s="4" t="str">
        <f t="shared" si="2"/>
        <v>Neto: 1,80 € (a partir de 1 uds.)</v>
      </c>
      <c r="I248" s="4" t="str">
        <f t="shared" si="3"/>
        <v>Neto G.C.: 1,75 € (a partir de 1 uds.)</v>
      </c>
      <c r="J248" s="4">
        <f t="shared" si="4"/>
        <v>2.3808</v>
      </c>
      <c r="K248" s="4">
        <f t="shared" si="5"/>
        <v>2.48</v>
      </c>
      <c r="L248" s="4">
        <f t="shared" si="6"/>
        <v>2.3808</v>
      </c>
    </row>
    <row r="249">
      <c r="A249" s="1" t="s">
        <v>393</v>
      </c>
      <c r="B249" s="1" t="s">
        <v>394</v>
      </c>
      <c r="C249" s="3">
        <v>3.2</v>
      </c>
      <c r="D249" s="3">
        <v>1.2</v>
      </c>
      <c r="E249" s="3">
        <v>1.2</v>
      </c>
      <c r="F249" s="3">
        <v>1.0</v>
      </c>
      <c r="G249" s="4">
        <f t="shared" si="1"/>
        <v>1.6</v>
      </c>
      <c r="H249" s="4" t="str">
        <f t="shared" si="2"/>
        <v>Neto: 1,20 € (a partir de 1 uds.)</v>
      </c>
      <c r="I249" s="4" t="str">
        <f t="shared" si="3"/>
        <v>Neto G.C.: 1,20 € (a partir de 1 uds.)</v>
      </c>
      <c r="J249" s="4">
        <f t="shared" si="4"/>
        <v>1.536</v>
      </c>
      <c r="K249" s="4">
        <f t="shared" si="5"/>
        <v>1.6</v>
      </c>
      <c r="L249" s="4">
        <f t="shared" si="6"/>
        <v>1.536</v>
      </c>
    </row>
    <row r="250">
      <c r="A250" s="3">
        <v>287.0</v>
      </c>
      <c r="B250" s="1" t="s">
        <v>395</v>
      </c>
      <c r="C250" s="3">
        <v>4.96</v>
      </c>
      <c r="D250" s="3">
        <v>1.8</v>
      </c>
      <c r="E250" s="3">
        <v>1.75</v>
      </c>
      <c r="F250" s="3">
        <v>1.0</v>
      </c>
      <c r="G250" s="4">
        <f t="shared" si="1"/>
        <v>2.48</v>
      </c>
      <c r="H250" s="4" t="str">
        <f t="shared" si="2"/>
        <v>Neto: 1,80 € (a partir de 1 uds.)</v>
      </c>
      <c r="I250" s="4" t="str">
        <f t="shared" si="3"/>
        <v>Neto G.C.: 1,75 € (a partir de 1 uds.)</v>
      </c>
      <c r="J250" s="4">
        <f t="shared" si="4"/>
        <v>2.3808</v>
      </c>
      <c r="K250" s="4">
        <f t="shared" si="5"/>
        <v>2.48</v>
      </c>
      <c r="L250" s="4">
        <f t="shared" si="6"/>
        <v>2.3808</v>
      </c>
    </row>
    <row r="251">
      <c r="A251" s="1" t="s">
        <v>396</v>
      </c>
      <c r="B251" s="1" t="s">
        <v>397</v>
      </c>
      <c r="C251" s="3">
        <v>3.2</v>
      </c>
      <c r="D251" s="3">
        <v>1.2</v>
      </c>
      <c r="E251" s="3">
        <v>1.2</v>
      </c>
      <c r="F251" s="3">
        <v>1.0</v>
      </c>
      <c r="G251" s="4">
        <f t="shared" si="1"/>
        <v>1.6</v>
      </c>
      <c r="H251" s="4" t="str">
        <f t="shared" si="2"/>
        <v>Neto: 1,20 € (a partir de 1 uds.)</v>
      </c>
      <c r="I251" s="4" t="str">
        <f t="shared" si="3"/>
        <v>Neto G.C.: 1,20 € (a partir de 1 uds.)</v>
      </c>
      <c r="J251" s="4">
        <f t="shared" si="4"/>
        <v>1.536</v>
      </c>
      <c r="K251" s="4">
        <f t="shared" si="5"/>
        <v>1.6</v>
      </c>
      <c r="L251" s="4">
        <f t="shared" si="6"/>
        <v>1.536</v>
      </c>
    </row>
    <row r="252">
      <c r="A252" s="3">
        <v>288.0</v>
      </c>
      <c r="B252" s="1" t="s">
        <v>398</v>
      </c>
      <c r="C252" s="3">
        <v>4.96</v>
      </c>
      <c r="D252" s="3">
        <v>1.8</v>
      </c>
      <c r="E252" s="3">
        <v>1.75</v>
      </c>
      <c r="F252" s="3">
        <v>1.0</v>
      </c>
      <c r="G252" s="4">
        <f t="shared" si="1"/>
        <v>2.48</v>
      </c>
      <c r="H252" s="4" t="str">
        <f t="shared" si="2"/>
        <v>Neto: 1,80 € (a partir de 1 uds.)</v>
      </c>
      <c r="I252" s="4" t="str">
        <f t="shared" si="3"/>
        <v>Neto G.C.: 1,75 € (a partir de 1 uds.)</v>
      </c>
      <c r="J252" s="4">
        <f t="shared" si="4"/>
        <v>2.3808</v>
      </c>
      <c r="K252" s="4">
        <f t="shared" si="5"/>
        <v>2.48</v>
      </c>
      <c r="L252" s="4">
        <f t="shared" si="6"/>
        <v>2.3808</v>
      </c>
    </row>
    <row r="253">
      <c r="A253" s="1" t="s">
        <v>399</v>
      </c>
      <c r="B253" s="1" t="s">
        <v>400</v>
      </c>
      <c r="C253" s="3">
        <v>3.2</v>
      </c>
      <c r="D253" s="3">
        <v>1.2</v>
      </c>
      <c r="E253" s="3">
        <v>1.2</v>
      </c>
      <c r="F253" s="3">
        <v>1.0</v>
      </c>
      <c r="G253" s="4">
        <f t="shared" si="1"/>
        <v>1.6</v>
      </c>
      <c r="H253" s="4" t="str">
        <f t="shared" si="2"/>
        <v>Neto: 1,20 € (a partir de 1 uds.)</v>
      </c>
      <c r="I253" s="4" t="str">
        <f t="shared" si="3"/>
        <v>Neto G.C.: 1,20 € (a partir de 1 uds.)</v>
      </c>
      <c r="J253" s="4">
        <f t="shared" si="4"/>
        <v>1.536</v>
      </c>
      <c r="K253" s="4">
        <f t="shared" si="5"/>
        <v>1.6</v>
      </c>
      <c r="L253" s="4">
        <f t="shared" si="6"/>
        <v>1.536</v>
      </c>
    </row>
    <row r="254">
      <c r="A254" s="3">
        <v>289.0</v>
      </c>
      <c r="B254" s="1" t="s">
        <v>401</v>
      </c>
      <c r="C254" s="3">
        <v>4.96</v>
      </c>
      <c r="D254" s="3">
        <v>1.8</v>
      </c>
      <c r="E254" s="3">
        <v>1.75</v>
      </c>
      <c r="F254" s="3">
        <v>1.0</v>
      </c>
      <c r="G254" s="4">
        <f t="shared" si="1"/>
        <v>2.48</v>
      </c>
      <c r="H254" s="4" t="str">
        <f t="shared" si="2"/>
        <v>Neto: 1,80 € (a partir de 1 uds.)</v>
      </c>
      <c r="I254" s="4" t="str">
        <f t="shared" si="3"/>
        <v>Neto G.C.: 1,75 € (a partir de 1 uds.)</v>
      </c>
      <c r="J254" s="4">
        <f t="shared" si="4"/>
        <v>2.3808</v>
      </c>
      <c r="K254" s="4">
        <f t="shared" si="5"/>
        <v>2.48</v>
      </c>
      <c r="L254" s="4">
        <f t="shared" si="6"/>
        <v>2.3808</v>
      </c>
    </row>
    <row r="255">
      <c r="A255" s="1" t="s">
        <v>402</v>
      </c>
      <c r="B255" s="1" t="s">
        <v>403</v>
      </c>
      <c r="C255" s="3">
        <v>4.5</v>
      </c>
      <c r="D255" s="5"/>
      <c r="E255" s="5"/>
      <c r="F255" s="5"/>
      <c r="G255" s="4">
        <f t="shared" si="1"/>
        <v>2.25</v>
      </c>
      <c r="H255" s="4" t="str">
        <f t="shared" si="2"/>
        <v>Sin precio neto</v>
      </c>
      <c r="I255" s="4" t="str">
        <f t="shared" si="3"/>
        <v>Sin precio neto G.C.</v>
      </c>
      <c r="J255" s="4">
        <f t="shared" si="4"/>
        <v>2.16</v>
      </c>
      <c r="K255" s="4">
        <f t="shared" si="5"/>
        <v>2.25</v>
      </c>
      <c r="L255" s="4">
        <f t="shared" si="6"/>
        <v>2.16</v>
      </c>
    </row>
    <row r="256">
      <c r="A256" s="1" t="s">
        <v>404</v>
      </c>
      <c r="B256" s="1" t="s">
        <v>405</v>
      </c>
      <c r="C256" s="3">
        <v>8.96</v>
      </c>
      <c r="D256" s="5"/>
      <c r="E256" s="5"/>
      <c r="F256" s="5"/>
      <c r="G256" s="4">
        <f t="shared" si="1"/>
        <v>4.48</v>
      </c>
      <c r="H256" s="4" t="str">
        <f t="shared" si="2"/>
        <v>Sin precio neto</v>
      </c>
      <c r="I256" s="4" t="str">
        <f t="shared" si="3"/>
        <v>Sin precio neto G.C.</v>
      </c>
      <c r="J256" s="4">
        <f t="shared" si="4"/>
        <v>4.3008</v>
      </c>
      <c r="K256" s="4">
        <f t="shared" si="5"/>
        <v>4.48</v>
      </c>
      <c r="L256" s="4">
        <f t="shared" si="6"/>
        <v>4.3008</v>
      </c>
    </row>
    <row r="257">
      <c r="A257" s="1" t="s">
        <v>406</v>
      </c>
      <c r="B257" s="1" t="s">
        <v>407</v>
      </c>
      <c r="C257" s="3">
        <v>17.92</v>
      </c>
      <c r="D257" s="5"/>
      <c r="E257" s="5"/>
      <c r="F257" s="5"/>
      <c r="G257" s="4">
        <f t="shared" si="1"/>
        <v>8.96</v>
      </c>
      <c r="H257" s="4" t="str">
        <f t="shared" si="2"/>
        <v>Sin precio neto</v>
      </c>
      <c r="I257" s="4" t="str">
        <f t="shared" si="3"/>
        <v>Sin precio neto G.C.</v>
      </c>
      <c r="J257" s="4">
        <f t="shared" si="4"/>
        <v>8.6016</v>
      </c>
      <c r="K257" s="4">
        <f t="shared" si="5"/>
        <v>8.96</v>
      </c>
      <c r="L257" s="4">
        <f t="shared" si="6"/>
        <v>8.6016</v>
      </c>
    </row>
    <row r="258">
      <c r="A258" s="3">
        <v>290.0</v>
      </c>
      <c r="B258" s="1" t="s">
        <v>408</v>
      </c>
      <c r="C258" s="3">
        <v>4.96</v>
      </c>
      <c r="D258" s="3">
        <v>1.8</v>
      </c>
      <c r="E258" s="3">
        <v>1.75</v>
      </c>
      <c r="F258" s="3">
        <v>1.0</v>
      </c>
      <c r="G258" s="4">
        <f t="shared" si="1"/>
        <v>2.48</v>
      </c>
      <c r="H258" s="4" t="str">
        <f t="shared" si="2"/>
        <v>Neto: 1,80 € (a partir de 1 uds.)</v>
      </c>
      <c r="I258" s="4" t="str">
        <f t="shared" si="3"/>
        <v>Neto G.C.: 1,75 € (a partir de 1 uds.)</v>
      </c>
      <c r="J258" s="4">
        <f t="shared" si="4"/>
        <v>2.3808</v>
      </c>
      <c r="K258" s="4">
        <f t="shared" si="5"/>
        <v>2.48</v>
      </c>
      <c r="L258" s="4">
        <f t="shared" si="6"/>
        <v>2.3808</v>
      </c>
    </row>
    <row r="259">
      <c r="A259" s="1" t="s">
        <v>409</v>
      </c>
      <c r="B259" s="1" t="s">
        <v>410</v>
      </c>
      <c r="C259" s="3">
        <v>3.2</v>
      </c>
      <c r="D259" s="3">
        <v>1.2</v>
      </c>
      <c r="E259" s="3">
        <v>1.2</v>
      </c>
      <c r="F259" s="3">
        <v>1.0</v>
      </c>
      <c r="G259" s="4">
        <f t="shared" si="1"/>
        <v>1.6</v>
      </c>
      <c r="H259" s="4" t="str">
        <f t="shared" si="2"/>
        <v>Neto: 1,20 € (a partir de 1 uds.)</v>
      </c>
      <c r="I259" s="4" t="str">
        <f t="shared" si="3"/>
        <v>Neto G.C.: 1,20 € (a partir de 1 uds.)</v>
      </c>
      <c r="J259" s="4">
        <f t="shared" si="4"/>
        <v>1.536</v>
      </c>
      <c r="K259" s="4">
        <f t="shared" si="5"/>
        <v>1.6</v>
      </c>
      <c r="L259" s="4">
        <f t="shared" si="6"/>
        <v>1.536</v>
      </c>
    </row>
    <row r="260">
      <c r="A260" s="3">
        <v>291.0</v>
      </c>
      <c r="B260" s="1" t="s">
        <v>411</v>
      </c>
      <c r="C260" s="3">
        <v>4.96</v>
      </c>
      <c r="D260" s="3">
        <v>1.8</v>
      </c>
      <c r="E260" s="3">
        <v>1.75</v>
      </c>
      <c r="F260" s="3">
        <v>1.0</v>
      </c>
      <c r="G260" s="4">
        <f t="shared" si="1"/>
        <v>2.48</v>
      </c>
      <c r="H260" s="4" t="str">
        <f t="shared" si="2"/>
        <v>Neto: 1,80 € (a partir de 1 uds.)</v>
      </c>
      <c r="I260" s="4" t="str">
        <f t="shared" si="3"/>
        <v>Neto G.C.: 1,75 € (a partir de 1 uds.)</v>
      </c>
      <c r="J260" s="4">
        <f t="shared" si="4"/>
        <v>2.3808</v>
      </c>
      <c r="K260" s="4">
        <f t="shared" si="5"/>
        <v>2.48</v>
      </c>
      <c r="L260" s="4">
        <f t="shared" si="6"/>
        <v>2.3808</v>
      </c>
    </row>
    <row r="261">
      <c r="A261" s="1" t="s">
        <v>412</v>
      </c>
      <c r="B261" s="1" t="s">
        <v>413</v>
      </c>
      <c r="C261" s="3">
        <v>3.2</v>
      </c>
      <c r="D261" s="3">
        <v>1.2</v>
      </c>
      <c r="E261" s="3">
        <v>1.2</v>
      </c>
      <c r="F261" s="3">
        <v>1.0</v>
      </c>
      <c r="G261" s="4">
        <f t="shared" si="1"/>
        <v>1.6</v>
      </c>
      <c r="H261" s="4" t="str">
        <f t="shared" si="2"/>
        <v>Neto: 1,20 € (a partir de 1 uds.)</v>
      </c>
      <c r="I261" s="4" t="str">
        <f t="shared" si="3"/>
        <v>Neto G.C.: 1,20 € (a partir de 1 uds.)</v>
      </c>
      <c r="J261" s="4">
        <f t="shared" si="4"/>
        <v>1.536</v>
      </c>
      <c r="K261" s="4">
        <f t="shared" si="5"/>
        <v>1.6</v>
      </c>
      <c r="L261" s="4">
        <f t="shared" si="6"/>
        <v>1.536</v>
      </c>
    </row>
    <row r="262">
      <c r="A262" s="3">
        <v>292.0</v>
      </c>
      <c r="B262" s="1" t="s">
        <v>414</v>
      </c>
      <c r="C262" s="3">
        <v>4.96</v>
      </c>
      <c r="D262" s="3">
        <v>1.8</v>
      </c>
      <c r="E262" s="3">
        <v>1.75</v>
      </c>
      <c r="F262" s="3">
        <v>1.0</v>
      </c>
      <c r="G262" s="4">
        <f t="shared" si="1"/>
        <v>2.48</v>
      </c>
      <c r="H262" s="4" t="str">
        <f t="shared" si="2"/>
        <v>Neto: 1,80 € (a partir de 1 uds.)</v>
      </c>
      <c r="I262" s="4" t="str">
        <f t="shared" si="3"/>
        <v>Neto G.C.: 1,75 € (a partir de 1 uds.)</v>
      </c>
      <c r="J262" s="4">
        <f t="shared" si="4"/>
        <v>2.3808</v>
      </c>
      <c r="K262" s="4">
        <f t="shared" si="5"/>
        <v>2.48</v>
      </c>
      <c r="L262" s="4">
        <f t="shared" si="6"/>
        <v>2.3808</v>
      </c>
    </row>
    <row r="263">
      <c r="A263" s="1" t="s">
        <v>415</v>
      </c>
      <c r="B263" s="1" t="s">
        <v>416</v>
      </c>
      <c r="C263" s="3">
        <v>3.2</v>
      </c>
      <c r="D263" s="3">
        <v>1.2</v>
      </c>
      <c r="E263" s="3">
        <v>1.2</v>
      </c>
      <c r="F263" s="3">
        <v>1.0</v>
      </c>
      <c r="G263" s="4">
        <f t="shared" si="1"/>
        <v>1.6</v>
      </c>
      <c r="H263" s="4" t="str">
        <f t="shared" si="2"/>
        <v>Neto: 1,20 € (a partir de 1 uds.)</v>
      </c>
      <c r="I263" s="4" t="str">
        <f t="shared" si="3"/>
        <v>Neto G.C.: 1,20 € (a partir de 1 uds.)</v>
      </c>
      <c r="J263" s="4">
        <f t="shared" si="4"/>
        <v>1.536</v>
      </c>
      <c r="K263" s="4">
        <f t="shared" si="5"/>
        <v>1.6</v>
      </c>
      <c r="L263" s="4">
        <f t="shared" si="6"/>
        <v>1.536</v>
      </c>
    </row>
    <row r="264">
      <c r="A264" s="3">
        <v>293.0</v>
      </c>
      <c r="B264" s="1" t="s">
        <v>417</v>
      </c>
      <c r="C264" s="3">
        <v>4.96</v>
      </c>
      <c r="D264" s="3">
        <v>1.8</v>
      </c>
      <c r="E264" s="3">
        <v>1.75</v>
      </c>
      <c r="F264" s="3">
        <v>1.0</v>
      </c>
      <c r="G264" s="4">
        <f t="shared" si="1"/>
        <v>2.48</v>
      </c>
      <c r="H264" s="4" t="str">
        <f t="shared" si="2"/>
        <v>Neto: 1,80 € (a partir de 1 uds.)</v>
      </c>
      <c r="I264" s="4" t="str">
        <f t="shared" si="3"/>
        <v>Neto G.C.: 1,75 € (a partir de 1 uds.)</v>
      </c>
      <c r="J264" s="4">
        <f t="shared" si="4"/>
        <v>2.3808</v>
      </c>
      <c r="K264" s="4">
        <f t="shared" si="5"/>
        <v>2.48</v>
      </c>
      <c r="L264" s="4">
        <f t="shared" si="6"/>
        <v>2.3808</v>
      </c>
    </row>
    <row r="265">
      <c r="A265" s="1" t="s">
        <v>418</v>
      </c>
      <c r="B265" s="1" t="s">
        <v>419</v>
      </c>
      <c r="C265" s="3">
        <v>3.2</v>
      </c>
      <c r="D265" s="3">
        <v>1.2</v>
      </c>
      <c r="E265" s="3">
        <v>1.2</v>
      </c>
      <c r="F265" s="3">
        <v>1.0</v>
      </c>
      <c r="G265" s="4">
        <f t="shared" si="1"/>
        <v>1.6</v>
      </c>
      <c r="H265" s="4" t="str">
        <f t="shared" si="2"/>
        <v>Neto: 1,20 € (a partir de 1 uds.)</v>
      </c>
      <c r="I265" s="4" t="str">
        <f t="shared" si="3"/>
        <v>Neto G.C.: 1,20 € (a partir de 1 uds.)</v>
      </c>
      <c r="J265" s="4">
        <f t="shared" si="4"/>
        <v>1.536</v>
      </c>
      <c r="K265" s="4">
        <f t="shared" si="5"/>
        <v>1.6</v>
      </c>
      <c r="L265" s="4">
        <f t="shared" si="6"/>
        <v>1.536</v>
      </c>
    </row>
    <row r="266">
      <c r="A266" s="3">
        <v>294.0</v>
      </c>
      <c r="B266" s="1" t="s">
        <v>420</v>
      </c>
      <c r="C266" s="3">
        <v>4.96</v>
      </c>
      <c r="D266" s="3">
        <v>1.8</v>
      </c>
      <c r="E266" s="3">
        <v>1.75</v>
      </c>
      <c r="F266" s="3">
        <v>1.0</v>
      </c>
      <c r="G266" s="4">
        <f t="shared" si="1"/>
        <v>2.48</v>
      </c>
      <c r="H266" s="4" t="str">
        <f t="shared" si="2"/>
        <v>Neto: 1,80 € (a partir de 1 uds.)</v>
      </c>
      <c r="I266" s="4" t="str">
        <f t="shared" si="3"/>
        <v>Neto G.C.: 1,75 € (a partir de 1 uds.)</v>
      </c>
      <c r="J266" s="4">
        <f t="shared" si="4"/>
        <v>2.3808</v>
      </c>
      <c r="K266" s="4">
        <f t="shared" si="5"/>
        <v>2.48</v>
      </c>
      <c r="L266" s="4">
        <f t="shared" si="6"/>
        <v>2.3808</v>
      </c>
    </row>
    <row r="267">
      <c r="A267" s="1" t="s">
        <v>421</v>
      </c>
      <c r="B267" s="1" t="s">
        <v>422</v>
      </c>
      <c r="C267" s="3">
        <v>3.2</v>
      </c>
      <c r="D267" s="3">
        <v>1.2</v>
      </c>
      <c r="E267" s="3">
        <v>1.2</v>
      </c>
      <c r="F267" s="3">
        <v>1.0</v>
      </c>
      <c r="G267" s="4">
        <f t="shared" si="1"/>
        <v>1.6</v>
      </c>
      <c r="H267" s="4" t="str">
        <f t="shared" si="2"/>
        <v>Neto: 1,20 € (a partir de 1 uds.)</v>
      </c>
      <c r="I267" s="4" t="str">
        <f t="shared" si="3"/>
        <v>Neto G.C.: 1,20 € (a partir de 1 uds.)</v>
      </c>
      <c r="J267" s="4">
        <f t="shared" si="4"/>
        <v>1.536</v>
      </c>
      <c r="K267" s="4">
        <f t="shared" si="5"/>
        <v>1.6</v>
      </c>
      <c r="L267" s="4">
        <f t="shared" si="6"/>
        <v>1.536</v>
      </c>
    </row>
    <row r="268">
      <c r="A268" s="3">
        <v>295.0</v>
      </c>
      <c r="B268" s="1" t="s">
        <v>423</v>
      </c>
      <c r="C268" s="3">
        <v>4.96</v>
      </c>
      <c r="D268" s="3">
        <v>1.8</v>
      </c>
      <c r="E268" s="3">
        <v>1.75</v>
      </c>
      <c r="F268" s="3">
        <v>1.0</v>
      </c>
      <c r="G268" s="4">
        <f t="shared" si="1"/>
        <v>2.48</v>
      </c>
      <c r="H268" s="4" t="str">
        <f t="shared" si="2"/>
        <v>Neto: 1,80 € (a partir de 1 uds.)</v>
      </c>
      <c r="I268" s="4" t="str">
        <f t="shared" si="3"/>
        <v>Neto G.C.: 1,75 € (a partir de 1 uds.)</v>
      </c>
      <c r="J268" s="4">
        <f t="shared" si="4"/>
        <v>2.3808</v>
      </c>
      <c r="K268" s="4">
        <f t="shared" si="5"/>
        <v>2.48</v>
      </c>
      <c r="L268" s="4">
        <f t="shared" si="6"/>
        <v>2.3808</v>
      </c>
    </row>
    <row r="269">
      <c r="A269" s="1" t="s">
        <v>424</v>
      </c>
      <c r="B269" s="1" t="s">
        <v>425</v>
      </c>
      <c r="C269" s="3">
        <v>3.2</v>
      </c>
      <c r="D269" s="3">
        <v>1.2</v>
      </c>
      <c r="E269" s="3">
        <v>1.2</v>
      </c>
      <c r="F269" s="3">
        <v>1.0</v>
      </c>
      <c r="G269" s="4">
        <f t="shared" si="1"/>
        <v>1.6</v>
      </c>
      <c r="H269" s="4" t="str">
        <f t="shared" si="2"/>
        <v>Neto: 1,20 € (a partir de 1 uds.)</v>
      </c>
      <c r="I269" s="4" t="str">
        <f t="shared" si="3"/>
        <v>Neto G.C.: 1,20 € (a partir de 1 uds.)</v>
      </c>
      <c r="J269" s="4">
        <f t="shared" si="4"/>
        <v>1.536</v>
      </c>
      <c r="K269" s="4">
        <f t="shared" si="5"/>
        <v>1.6</v>
      </c>
      <c r="L269" s="4">
        <f t="shared" si="6"/>
        <v>1.536</v>
      </c>
    </row>
    <row r="270">
      <c r="A270" s="3">
        <v>296.0</v>
      </c>
      <c r="B270" s="1" t="s">
        <v>426</v>
      </c>
      <c r="C270" s="3">
        <v>6.7</v>
      </c>
      <c r="D270" s="3">
        <v>1.8</v>
      </c>
      <c r="E270" s="3">
        <v>1.75</v>
      </c>
      <c r="F270" s="3">
        <v>1.0</v>
      </c>
      <c r="G270" s="4">
        <f t="shared" si="1"/>
        <v>3.35</v>
      </c>
      <c r="H270" s="4" t="str">
        <f t="shared" si="2"/>
        <v>Neto: 1,80 € (a partir de 1 uds.)</v>
      </c>
      <c r="I270" s="4" t="str">
        <f t="shared" si="3"/>
        <v>Neto G.C.: 1,75 € (a partir de 1 uds.)</v>
      </c>
      <c r="J270" s="4">
        <f t="shared" si="4"/>
        <v>3.216</v>
      </c>
      <c r="K270" s="4">
        <f t="shared" si="5"/>
        <v>3.35</v>
      </c>
      <c r="L270" s="4">
        <f t="shared" si="6"/>
        <v>3.216</v>
      </c>
    </row>
    <row r="271">
      <c r="A271" s="1" t="s">
        <v>427</v>
      </c>
      <c r="B271" s="1" t="s">
        <v>428</v>
      </c>
      <c r="C271" s="3">
        <v>4.5</v>
      </c>
      <c r="D271" s="5"/>
      <c r="E271" s="5"/>
      <c r="F271" s="5"/>
      <c r="G271" s="4">
        <f t="shared" si="1"/>
        <v>2.25</v>
      </c>
      <c r="H271" s="4" t="str">
        <f t="shared" si="2"/>
        <v>Sin precio neto</v>
      </c>
      <c r="I271" s="4" t="str">
        <f t="shared" si="3"/>
        <v>Sin precio neto G.C.</v>
      </c>
      <c r="J271" s="4">
        <f t="shared" si="4"/>
        <v>2.16</v>
      </c>
      <c r="K271" s="4">
        <f t="shared" si="5"/>
        <v>2.25</v>
      </c>
      <c r="L271" s="4">
        <f t="shared" si="6"/>
        <v>2.16</v>
      </c>
    </row>
    <row r="272">
      <c r="A272" s="1" t="s">
        <v>429</v>
      </c>
      <c r="B272" s="1" t="s">
        <v>430</v>
      </c>
      <c r="C272" s="3">
        <v>8.96</v>
      </c>
      <c r="D272" s="5"/>
      <c r="E272" s="5"/>
      <c r="F272" s="5"/>
      <c r="G272" s="4">
        <f t="shared" si="1"/>
        <v>4.48</v>
      </c>
      <c r="H272" s="4" t="str">
        <f t="shared" si="2"/>
        <v>Sin precio neto</v>
      </c>
      <c r="I272" s="4" t="str">
        <f t="shared" si="3"/>
        <v>Sin precio neto G.C.</v>
      </c>
      <c r="J272" s="4">
        <f t="shared" si="4"/>
        <v>4.3008</v>
      </c>
      <c r="K272" s="4">
        <f t="shared" si="5"/>
        <v>4.48</v>
      </c>
      <c r="L272" s="4">
        <f t="shared" si="6"/>
        <v>4.3008</v>
      </c>
    </row>
    <row r="273">
      <c r="A273" s="1" t="s">
        <v>431</v>
      </c>
      <c r="B273" s="1" t="s">
        <v>432</v>
      </c>
      <c r="C273" s="3">
        <v>17.92</v>
      </c>
      <c r="D273" s="5"/>
      <c r="E273" s="5"/>
      <c r="F273" s="5"/>
      <c r="G273" s="4">
        <f t="shared" si="1"/>
        <v>8.96</v>
      </c>
      <c r="H273" s="4" t="str">
        <f t="shared" si="2"/>
        <v>Sin precio neto</v>
      </c>
      <c r="I273" s="4" t="str">
        <f t="shared" si="3"/>
        <v>Sin precio neto G.C.</v>
      </c>
      <c r="J273" s="4">
        <f t="shared" si="4"/>
        <v>8.6016</v>
      </c>
      <c r="K273" s="4">
        <f t="shared" si="5"/>
        <v>8.96</v>
      </c>
      <c r="L273" s="4">
        <f t="shared" si="6"/>
        <v>8.6016</v>
      </c>
    </row>
    <row r="274">
      <c r="A274" s="3">
        <v>297.0</v>
      </c>
      <c r="B274" s="1" t="s">
        <v>433</v>
      </c>
      <c r="C274" s="3">
        <v>6.7</v>
      </c>
      <c r="D274" s="3">
        <v>3.2</v>
      </c>
      <c r="E274" s="3">
        <v>3.2</v>
      </c>
      <c r="F274" s="3">
        <v>1.0</v>
      </c>
      <c r="G274" s="4">
        <f t="shared" si="1"/>
        <v>3.35</v>
      </c>
      <c r="H274" s="4" t="str">
        <f t="shared" si="2"/>
        <v>Neto: 3,20 € (a partir de 1 uds.)</v>
      </c>
      <c r="I274" s="4" t="str">
        <f t="shared" si="3"/>
        <v>Neto G.C.: 3,20 € (a partir de 1 uds.)</v>
      </c>
      <c r="J274" s="4">
        <f t="shared" si="4"/>
        <v>3.216</v>
      </c>
      <c r="K274" s="4">
        <f t="shared" si="5"/>
        <v>3.35</v>
      </c>
      <c r="L274" s="4">
        <f t="shared" si="6"/>
        <v>3.216</v>
      </c>
    </row>
    <row r="275">
      <c r="A275" s="3">
        <v>298.0</v>
      </c>
      <c r="B275" s="1" t="s">
        <v>434</v>
      </c>
      <c r="C275" s="3">
        <v>5.2</v>
      </c>
      <c r="D275" s="3">
        <v>2.1</v>
      </c>
      <c r="E275" s="3">
        <v>2.1</v>
      </c>
      <c r="F275" s="3">
        <v>1.0</v>
      </c>
      <c r="G275" s="4">
        <f t="shared" si="1"/>
        <v>2.6</v>
      </c>
      <c r="H275" s="4" t="str">
        <f t="shared" si="2"/>
        <v>Neto: 2,10 € (a partir de 1 uds.)</v>
      </c>
      <c r="I275" s="4" t="str">
        <f t="shared" si="3"/>
        <v>Neto G.C.: 2,10 € (a partir de 1 uds.)</v>
      </c>
      <c r="J275" s="4">
        <f t="shared" si="4"/>
        <v>2.496</v>
      </c>
      <c r="K275" s="4">
        <f t="shared" si="5"/>
        <v>2.6</v>
      </c>
      <c r="L275" s="4">
        <f t="shared" si="6"/>
        <v>2.496</v>
      </c>
    </row>
    <row r="276">
      <c r="A276" s="1" t="s">
        <v>435</v>
      </c>
      <c r="B276" s="1" t="s">
        <v>436</v>
      </c>
      <c r="C276" s="3">
        <v>5.04</v>
      </c>
      <c r="D276" s="3">
        <v>2.1</v>
      </c>
      <c r="E276" s="3">
        <v>2.1</v>
      </c>
      <c r="F276" s="3">
        <v>1.0</v>
      </c>
      <c r="G276" s="4">
        <f t="shared" si="1"/>
        <v>2.52</v>
      </c>
      <c r="H276" s="4" t="str">
        <f t="shared" si="2"/>
        <v>Neto: 2,10 € (a partir de 1 uds.)</v>
      </c>
      <c r="I276" s="4" t="str">
        <f t="shared" si="3"/>
        <v>Neto G.C.: 2,10 € (a partir de 1 uds.)</v>
      </c>
      <c r="J276" s="4">
        <f t="shared" si="4"/>
        <v>2.4192</v>
      </c>
      <c r="K276" s="4">
        <f t="shared" si="5"/>
        <v>2.52</v>
      </c>
      <c r="L276" s="4">
        <f t="shared" si="6"/>
        <v>2.4192</v>
      </c>
    </row>
    <row r="277">
      <c r="A277" s="1" t="s">
        <v>437</v>
      </c>
      <c r="B277" s="1" t="s">
        <v>438</v>
      </c>
      <c r="C277" s="3">
        <v>6.2</v>
      </c>
      <c r="D277" s="3">
        <v>3.2</v>
      </c>
      <c r="E277" s="3">
        <v>3.2</v>
      </c>
      <c r="F277" s="3">
        <v>1.0</v>
      </c>
      <c r="G277" s="4">
        <f t="shared" si="1"/>
        <v>3.1</v>
      </c>
      <c r="H277" s="4" t="str">
        <f t="shared" si="2"/>
        <v>Neto: 3,20 € (a partir de 1 uds.)</v>
      </c>
      <c r="I277" s="4" t="str">
        <f t="shared" si="3"/>
        <v>Neto G.C.: 3,20 € (a partir de 1 uds.)</v>
      </c>
      <c r="J277" s="4">
        <f t="shared" si="4"/>
        <v>2.976</v>
      </c>
      <c r="K277" s="4">
        <f t="shared" si="5"/>
        <v>3.1</v>
      </c>
      <c r="L277" s="4">
        <f t="shared" si="6"/>
        <v>2.976</v>
      </c>
    </row>
    <row r="278">
      <c r="A278" s="3">
        <v>299.0</v>
      </c>
      <c r="B278" s="1" t="s">
        <v>439</v>
      </c>
      <c r="C278" s="3">
        <v>4.96</v>
      </c>
      <c r="D278" s="3">
        <v>1.8</v>
      </c>
      <c r="E278" s="3">
        <v>1.75</v>
      </c>
      <c r="F278" s="3">
        <v>1.0</v>
      </c>
      <c r="G278" s="4">
        <f t="shared" si="1"/>
        <v>2.48</v>
      </c>
      <c r="H278" s="4" t="str">
        <f t="shared" si="2"/>
        <v>Neto: 1,80 € (a partir de 1 uds.)</v>
      </c>
      <c r="I278" s="4" t="str">
        <f t="shared" si="3"/>
        <v>Neto G.C.: 1,75 € (a partir de 1 uds.)</v>
      </c>
      <c r="J278" s="4">
        <f t="shared" si="4"/>
        <v>2.3808</v>
      </c>
      <c r="K278" s="4">
        <f t="shared" si="5"/>
        <v>2.48</v>
      </c>
      <c r="L278" s="4">
        <f t="shared" si="6"/>
        <v>2.3808</v>
      </c>
    </row>
    <row r="279">
      <c r="A279" s="1" t="s">
        <v>440</v>
      </c>
      <c r="B279" s="1" t="s">
        <v>441</v>
      </c>
      <c r="C279" s="3">
        <v>3.2</v>
      </c>
      <c r="D279" s="3">
        <v>1.2</v>
      </c>
      <c r="E279" s="3">
        <v>1.2</v>
      </c>
      <c r="F279" s="3">
        <v>1.0</v>
      </c>
      <c r="G279" s="4">
        <f t="shared" si="1"/>
        <v>1.6</v>
      </c>
      <c r="H279" s="4" t="str">
        <f t="shared" si="2"/>
        <v>Neto: 1,20 € (a partir de 1 uds.)</v>
      </c>
      <c r="I279" s="4" t="str">
        <f t="shared" si="3"/>
        <v>Neto G.C.: 1,20 € (a partir de 1 uds.)</v>
      </c>
      <c r="J279" s="4">
        <f t="shared" si="4"/>
        <v>1.536</v>
      </c>
      <c r="K279" s="4">
        <f t="shared" si="5"/>
        <v>1.6</v>
      </c>
      <c r="L279" s="4">
        <f t="shared" si="6"/>
        <v>1.536</v>
      </c>
    </row>
    <row r="280">
      <c r="A280" s="3">
        <v>300.0</v>
      </c>
      <c r="B280" s="1" t="s">
        <v>442</v>
      </c>
      <c r="C280" s="3">
        <v>4.96</v>
      </c>
      <c r="D280" s="3">
        <v>1.8</v>
      </c>
      <c r="E280" s="3">
        <v>1.75</v>
      </c>
      <c r="F280" s="3">
        <v>1.0</v>
      </c>
      <c r="G280" s="4">
        <f t="shared" si="1"/>
        <v>2.48</v>
      </c>
      <c r="H280" s="4" t="str">
        <f t="shared" si="2"/>
        <v>Neto: 1,80 € (a partir de 1 uds.)</v>
      </c>
      <c r="I280" s="4" t="str">
        <f t="shared" si="3"/>
        <v>Neto G.C.: 1,75 € (a partir de 1 uds.)</v>
      </c>
      <c r="J280" s="4">
        <f t="shared" si="4"/>
        <v>2.3808</v>
      </c>
      <c r="K280" s="4">
        <f t="shared" si="5"/>
        <v>2.48</v>
      </c>
      <c r="L280" s="4">
        <f t="shared" si="6"/>
        <v>2.3808</v>
      </c>
    </row>
    <row r="281">
      <c r="A281" s="1" t="s">
        <v>443</v>
      </c>
      <c r="B281" s="1" t="s">
        <v>444</v>
      </c>
      <c r="C281" s="3">
        <v>3.2</v>
      </c>
      <c r="D281" s="3">
        <v>1.2</v>
      </c>
      <c r="E281" s="3">
        <v>1.2</v>
      </c>
      <c r="F281" s="3">
        <v>1.0</v>
      </c>
      <c r="G281" s="4">
        <f t="shared" si="1"/>
        <v>1.6</v>
      </c>
      <c r="H281" s="4" t="str">
        <f t="shared" si="2"/>
        <v>Neto: 1,20 € (a partir de 1 uds.)</v>
      </c>
      <c r="I281" s="4" t="str">
        <f t="shared" si="3"/>
        <v>Neto G.C.: 1,20 € (a partir de 1 uds.)</v>
      </c>
      <c r="J281" s="4">
        <f t="shared" si="4"/>
        <v>1.536</v>
      </c>
      <c r="K281" s="4">
        <f t="shared" si="5"/>
        <v>1.6</v>
      </c>
      <c r="L281" s="4">
        <f t="shared" si="6"/>
        <v>1.536</v>
      </c>
    </row>
    <row r="282">
      <c r="A282" s="3">
        <v>301.0</v>
      </c>
      <c r="B282" s="1" t="s">
        <v>445</v>
      </c>
      <c r="C282" s="3">
        <v>4.96</v>
      </c>
      <c r="D282" s="3">
        <v>1.8</v>
      </c>
      <c r="E282" s="3">
        <v>1.75</v>
      </c>
      <c r="F282" s="3">
        <v>1.0</v>
      </c>
      <c r="G282" s="4">
        <f t="shared" si="1"/>
        <v>2.48</v>
      </c>
      <c r="H282" s="4" t="str">
        <f t="shared" si="2"/>
        <v>Neto: 1,80 € (a partir de 1 uds.)</v>
      </c>
      <c r="I282" s="4" t="str">
        <f t="shared" si="3"/>
        <v>Neto G.C.: 1,75 € (a partir de 1 uds.)</v>
      </c>
      <c r="J282" s="4">
        <f t="shared" si="4"/>
        <v>2.3808</v>
      </c>
      <c r="K282" s="4">
        <f t="shared" si="5"/>
        <v>2.48</v>
      </c>
      <c r="L282" s="4">
        <f t="shared" si="6"/>
        <v>2.3808</v>
      </c>
    </row>
    <row r="283">
      <c r="A283" s="1" t="s">
        <v>446</v>
      </c>
      <c r="B283" s="1" t="s">
        <v>447</v>
      </c>
      <c r="C283" s="3">
        <v>3.2</v>
      </c>
      <c r="D283" s="3">
        <v>1.2</v>
      </c>
      <c r="E283" s="3">
        <v>1.2</v>
      </c>
      <c r="F283" s="3">
        <v>1.0</v>
      </c>
      <c r="G283" s="4">
        <f t="shared" si="1"/>
        <v>1.6</v>
      </c>
      <c r="H283" s="4" t="str">
        <f t="shared" si="2"/>
        <v>Neto: 1,20 € (a partir de 1 uds.)</v>
      </c>
      <c r="I283" s="4" t="str">
        <f t="shared" si="3"/>
        <v>Neto G.C.: 1,20 € (a partir de 1 uds.)</v>
      </c>
      <c r="J283" s="4">
        <f t="shared" si="4"/>
        <v>1.536</v>
      </c>
      <c r="K283" s="4">
        <f t="shared" si="5"/>
        <v>1.6</v>
      </c>
      <c r="L283" s="4">
        <f t="shared" si="6"/>
        <v>1.536</v>
      </c>
    </row>
    <row r="284">
      <c r="A284" s="3">
        <v>302.0</v>
      </c>
      <c r="B284" s="1" t="s">
        <v>448</v>
      </c>
      <c r="C284" s="3">
        <v>4.96</v>
      </c>
      <c r="D284" s="3">
        <v>1.8</v>
      </c>
      <c r="E284" s="3">
        <v>1.75</v>
      </c>
      <c r="F284" s="3">
        <v>1.0</v>
      </c>
      <c r="G284" s="4">
        <f t="shared" si="1"/>
        <v>2.48</v>
      </c>
      <c r="H284" s="4" t="str">
        <f t="shared" si="2"/>
        <v>Neto: 1,80 € (a partir de 1 uds.)</v>
      </c>
      <c r="I284" s="4" t="str">
        <f t="shared" si="3"/>
        <v>Neto G.C.: 1,75 € (a partir de 1 uds.)</v>
      </c>
      <c r="J284" s="4">
        <f t="shared" si="4"/>
        <v>2.3808</v>
      </c>
      <c r="K284" s="4">
        <f t="shared" si="5"/>
        <v>2.48</v>
      </c>
      <c r="L284" s="4">
        <f t="shared" si="6"/>
        <v>2.3808</v>
      </c>
    </row>
    <row r="285">
      <c r="A285" s="1" t="s">
        <v>449</v>
      </c>
      <c r="B285" s="1" t="s">
        <v>450</v>
      </c>
      <c r="C285" s="3">
        <v>3.2</v>
      </c>
      <c r="D285" s="3">
        <v>1.2</v>
      </c>
      <c r="E285" s="3">
        <v>1.2</v>
      </c>
      <c r="F285" s="3">
        <v>1.0</v>
      </c>
      <c r="G285" s="4">
        <f t="shared" si="1"/>
        <v>1.6</v>
      </c>
      <c r="H285" s="4" t="str">
        <f t="shared" si="2"/>
        <v>Neto: 1,20 € (a partir de 1 uds.)</v>
      </c>
      <c r="I285" s="4" t="str">
        <f t="shared" si="3"/>
        <v>Neto G.C.: 1,20 € (a partir de 1 uds.)</v>
      </c>
      <c r="J285" s="4">
        <f t="shared" si="4"/>
        <v>1.536</v>
      </c>
      <c r="K285" s="4">
        <f t="shared" si="5"/>
        <v>1.6</v>
      </c>
      <c r="L285" s="4">
        <f t="shared" si="6"/>
        <v>1.536</v>
      </c>
    </row>
    <row r="286">
      <c r="A286" s="3">
        <v>303.0</v>
      </c>
      <c r="B286" s="1" t="s">
        <v>451</v>
      </c>
      <c r="C286" s="3">
        <v>4.96</v>
      </c>
      <c r="D286" s="3">
        <v>1.8</v>
      </c>
      <c r="E286" s="3">
        <v>1.75</v>
      </c>
      <c r="F286" s="3">
        <v>1.0</v>
      </c>
      <c r="G286" s="4">
        <f t="shared" si="1"/>
        <v>2.48</v>
      </c>
      <c r="H286" s="4" t="str">
        <f t="shared" si="2"/>
        <v>Neto: 1,80 € (a partir de 1 uds.)</v>
      </c>
      <c r="I286" s="4" t="str">
        <f t="shared" si="3"/>
        <v>Neto G.C.: 1,75 € (a partir de 1 uds.)</v>
      </c>
      <c r="J286" s="4">
        <f t="shared" si="4"/>
        <v>2.3808</v>
      </c>
      <c r="K286" s="4">
        <f t="shared" si="5"/>
        <v>2.48</v>
      </c>
      <c r="L286" s="4">
        <f t="shared" si="6"/>
        <v>2.3808</v>
      </c>
    </row>
    <row r="287">
      <c r="A287" s="1" t="s">
        <v>452</v>
      </c>
      <c r="B287" s="1" t="s">
        <v>453</v>
      </c>
      <c r="C287" s="3">
        <v>3.2</v>
      </c>
      <c r="D287" s="3">
        <v>1.2</v>
      </c>
      <c r="E287" s="3">
        <v>1.2</v>
      </c>
      <c r="F287" s="3">
        <v>1.0</v>
      </c>
      <c r="G287" s="4">
        <f t="shared" si="1"/>
        <v>1.6</v>
      </c>
      <c r="H287" s="4" t="str">
        <f t="shared" si="2"/>
        <v>Neto: 1,20 € (a partir de 1 uds.)</v>
      </c>
      <c r="I287" s="4" t="str">
        <f t="shared" si="3"/>
        <v>Neto G.C.: 1,20 € (a partir de 1 uds.)</v>
      </c>
      <c r="J287" s="4">
        <f t="shared" si="4"/>
        <v>1.536</v>
      </c>
      <c r="K287" s="4">
        <f t="shared" si="5"/>
        <v>1.6</v>
      </c>
      <c r="L287" s="4">
        <f t="shared" si="6"/>
        <v>1.536</v>
      </c>
    </row>
    <row r="288">
      <c r="A288" s="1" t="s">
        <v>454</v>
      </c>
      <c r="B288" s="1" t="s">
        <v>455</v>
      </c>
      <c r="C288" s="3">
        <v>3.2</v>
      </c>
      <c r="D288" s="3">
        <v>1.2</v>
      </c>
      <c r="E288" s="3">
        <v>1.2</v>
      </c>
      <c r="F288" s="3">
        <v>1.0</v>
      </c>
      <c r="G288" s="4">
        <f t="shared" si="1"/>
        <v>1.6</v>
      </c>
      <c r="H288" s="4" t="str">
        <f t="shared" si="2"/>
        <v>Neto: 1,20 € (a partir de 1 uds.)</v>
      </c>
      <c r="I288" s="4" t="str">
        <f t="shared" si="3"/>
        <v>Neto G.C.: 1,20 € (a partir de 1 uds.)</v>
      </c>
      <c r="J288" s="4">
        <f t="shared" si="4"/>
        <v>1.536</v>
      </c>
      <c r="K288" s="4">
        <f t="shared" si="5"/>
        <v>1.6</v>
      </c>
      <c r="L288" s="4">
        <f t="shared" si="6"/>
        <v>1.536</v>
      </c>
    </row>
    <row r="289">
      <c r="A289" s="3">
        <v>304.0</v>
      </c>
      <c r="B289" s="1" t="s">
        <v>456</v>
      </c>
      <c r="C289" s="3">
        <v>4.96</v>
      </c>
      <c r="D289" s="3">
        <v>1.8</v>
      </c>
      <c r="E289" s="3">
        <v>1.75</v>
      </c>
      <c r="F289" s="3">
        <v>1.0</v>
      </c>
      <c r="G289" s="4">
        <f t="shared" si="1"/>
        <v>2.48</v>
      </c>
      <c r="H289" s="4" t="str">
        <f t="shared" si="2"/>
        <v>Neto: 1,80 € (a partir de 1 uds.)</v>
      </c>
      <c r="I289" s="4" t="str">
        <f t="shared" si="3"/>
        <v>Neto G.C.: 1,75 € (a partir de 1 uds.)</v>
      </c>
      <c r="J289" s="4">
        <f t="shared" si="4"/>
        <v>2.3808</v>
      </c>
      <c r="K289" s="4">
        <f t="shared" si="5"/>
        <v>2.48</v>
      </c>
      <c r="L289" s="4">
        <f t="shared" si="6"/>
        <v>2.3808</v>
      </c>
    </row>
    <row r="290">
      <c r="A290" s="1" t="s">
        <v>457</v>
      </c>
      <c r="B290" s="1" t="s">
        <v>224</v>
      </c>
      <c r="C290" s="3">
        <v>3.2</v>
      </c>
      <c r="D290" s="3">
        <v>1.2</v>
      </c>
      <c r="E290" s="3">
        <v>1.2</v>
      </c>
      <c r="F290" s="3">
        <v>1.0</v>
      </c>
      <c r="G290" s="4">
        <f t="shared" si="1"/>
        <v>1.6</v>
      </c>
      <c r="H290" s="4" t="str">
        <f t="shared" si="2"/>
        <v>Neto: 1,20 € (a partir de 1 uds.)</v>
      </c>
      <c r="I290" s="4" t="str">
        <f t="shared" si="3"/>
        <v>Neto G.C.: 1,20 € (a partir de 1 uds.)</v>
      </c>
      <c r="J290" s="4">
        <f t="shared" si="4"/>
        <v>1.536</v>
      </c>
      <c r="K290" s="4">
        <f t="shared" si="5"/>
        <v>1.6</v>
      </c>
      <c r="L290" s="4">
        <f t="shared" si="6"/>
        <v>1.536</v>
      </c>
    </row>
    <row r="291">
      <c r="A291" s="3">
        <v>305.0</v>
      </c>
      <c r="B291" s="1" t="s">
        <v>458</v>
      </c>
      <c r="C291" s="3">
        <v>4.96</v>
      </c>
      <c r="D291" s="3">
        <v>1.8</v>
      </c>
      <c r="E291" s="3">
        <v>1.75</v>
      </c>
      <c r="F291" s="3">
        <v>1.0</v>
      </c>
      <c r="G291" s="4">
        <f t="shared" si="1"/>
        <v>2.48</v>
      </c>
      <c r="H291" s="4" t="str">
        <f t="shared" si="2"/>
        <v>Neto: 1,80 € (a partir de 1 uds.)</v>
      </c>
      <c r="I291" s="4" t="str">
        <f t="shared" si="3"/>
        <v>Neto G.C.: 1,75 € (a partir de 1 uds.)</v>
      </c>
      <c r="J291" s="4">
        <f t="shared" si="4"/>
        <v>2.3808</v>
      </c>
      <c r="K291" s="4">
        <f t="shared" si="5"/>
        <v>2.48</v>
      </c>
      <c r="L291" s="4">
        <f t="shared" si="6"/>
        <v>2.3808</v>
      </c>
    </row>
    <row r="292">
      <c r="A292" s="1" t="s">
        <v>459</v>
      </c>
      <c r="B292" s="1" t="s">
        <v>460</v>
      </c>
      <c r="C292" s="3">
        <v>3.2</v>
      </c>
      <c r="D292" s="3">
        <v>1.2</v>
      </c>
      <c r="E292" s="3">
        <v>1.2</v>
      </c>
      <c r="F292" s="3">
        <v>1.0</v>
      </c>
      <c r="G292" s="4">
        <f t="shared" si="1"/>
        <v>1.6</v>
      </c>
      <c r="H292" s="4" t="str">
        <f t="shared" si="2"/>
        <v>Neto: 1,20 € (a partir de 1 uds.)</v>
      </c>
      <c r="I292" s="4" t="str">
        <f t="shared" si="3"/>
        <v>Neto G.C.: 1,20 € (a partir de 1 uds.)</v>
      </c>
      <c r="J292" s="4">
        <f t="shared" si="4"/>
        <v>1.536</v>
      </c>
      <c r="K292" s="4">
        <f t="shared" si="5"/>
        <v>1.6</v>
      </c>
      <c r="L292" s="4">
        <f t="shared" si="6"/>
        <v>1.536</v>
      </c>
    </row>
    <row r="293">
      <c r="A293" s="3">
        <v>306.0</v>
      </c>
      <c r="B293" s="1" t="s">
        <v>461</v>
      </c>
      <c r="C293" s="3">
        <v>4.96</v>
      </c>
      <c r="D293" s="3">
        <v>1.8</v>
      </c>
      <c r="E293" s="3">
        <v>1.75</v>
      </c>
      <c r="F293" s="3">
        <v>1.0</v>
      </c>
      <c r="G293" s="4">
        <f t="shared" si="1"/>
        <v>2.48</v>
      </c>
      <c r="H293" s="4" t="str">
        <f t="shared" si="2"/>
        <v>Neto: 1,80 € (a partir de 1 uds.)</v>
      </c>
      <c r="I293" s="4" t="str">
        <f t="shared" si="3"/>
        <v>Neto G.C.: 1,75 € (a partir de 1 uds.)</v>
      </c>
      <c r="J293" s="4">
        <f t="shared" si="4"/>
        <v>2.3808</v>
      </c>
      <c r="K293" s="4">
        <f t="shared" si="5"/>
        <v>2.48</v>
      </c>
      <c r="L293" s="4">
        <f t="shared" si="6"/>
        <v>2.3808</v>
      </c>
    </row>
    <row r="294">
      <c r="A294" s="1" t="s">
        <v>462</v>
      </c>
      <c r="B294" s="1" t="s">
        <v>463</v>
      </c>
      <c r="C294" s="3">
        <v>3.2</v>
      </c>
      <c r="D294" s="3">
        <v>1.2</v>
      </c>
      <c r="E294" s="3">
        <v>1.2</v>
      </c>
      <c r="F294" s="3">
        <v>1.0</v>
      </c>
      <c r="G294" s="4">
        <f t="shared" si="1"/>
        <v>1.6</v>
      </c>
      <c r="H294" s="4" t="str">
        <f t="shared" si="2"/>
        <v>Neto: 1,20 € (a partir de 1 uds.)</v>
      </c>
      <c r="I294" s="4" t="str">
        <f t="shared" si="3"/>
        <v>Neto G.C.: 1,20 € (a partir de 1 uds.)</v>
      </c>
      <c r="J294" s="4">
        <f t="shared" si="4"/>
        <v>1.536</v>
      </c>
      <c r="K294" s="4">
        <f t="shared" si="5"/>
        <v>1.6</v>
      </c>
      <c r="L294" s="4">
        <f t="shared" si="6"/>
        <v>1.536</v>
      </c>
    </row>
    <row r="295">
      <c r="A295" s="3">
        <v>307.0</v>
      </c>
      <c r="B295" s="1" t="s">
        <v>464</v>
      </c>
      <c r="C295" s="3">
        <v>4.96</v>
      </c>
      <c r="D295" s="3">
        <v>1.8</v>
      </c>
      <c r="E295" s="3">
        <v>1.75</v>
      </c>
      <c r="F295" s="3">
        <v>1.0</v>
      </c>
      <c r="G295" s="4">
        <f t="shared" si="1"/>
        <v>2.48</v>
      </c>
      <c r="H295" s="4" t="str">
        <f t="shared" si="2"/>
        <v>Neto: 1,80 € (a partir de 1 uds.)</v>
      </c>
      <c r="I295" s="4" t="str">
        <f t="shared" si="3"/>
        <v>Neto G.C.: 1,75 € (a partir de 1 uds.)</v>
      </c>
      <c r="J295" s="4">
        <f t="shared" si="4"/>
        <v>2.3808</v>
      </c>
      <c r="K295" s="4">
        <f t="shared" si="5"/>
        <v>2.48</v>
      </c>
      <c r="L295" s="4">
        <f t="shared" si="6"/>
        <v>2.3808</v>
      </c>
    </row>
    <row r="296">
      <c r="A296" s="1" t="s">
        <v>465</v>
      </c>
      <c r="B296" s="1" t="s">
        <v>466</v>
      </c>
      <c r="C296" s="3">
        <v>3.2</v>
      </c>
      <c r="D296" s="3">
        <v>1.2</v>
      </c>
      <c r="E296" s="3">
        <v>1.2</v>
      </c>
      <c r="F296" s="3">
        <v>1.0</v>
      </c>
      <c r="G296" s="4">
        <f t="shared" si="1"/>
        <v>1.6</v>
      </c>
      <c r="H296" s="4" t="str">
        <f t="shared" si="2"/>
        <v>Neto: 1,20 € (a partir de 1 uds.)</v>
      </c>
      <c r="I296" s="4" t="str">
        <f t="shared" si="3"/>
        <v>Neto G.C.: 1,20 € (a partir de 1 uds.)</v>
      </c>
      <c r="J296" s="4">
        <f t="shared" si="4"/>
        <v>1.536</v>
      </c>
      <c r="K296" s="4">
        <f t="shared" si="5"/>
        <v>1.6</v>
      </c>
      <c r="L296" s="4">
        <f t="shared" si="6"/>
        <v>1.536</v>
      </c>
    </row>
    <row r="297">
      <c r="A297" s="3">
        <v>308.0</v>
      </c>
      <c r="B297" s="1" t="s">
        <v>467</v>
      </c>
      <c r="C297" s="3">
        <v>4.96</v>
      </c>
      <c r="D297" s="3">
        <v>1.8</v>
      </c>
      <c r="E297" s="3">
        <v>1.75</v>
      </c>
      <c r="F297" s="3">
        <v>1.0</v>
      </c>
      <c r="G297" s="4">
        <f t="shared" si="1"/>
        <v>2.48</v>
      </c>
      <c r="H297" s="4" t="str">
        <f t="shared" si="2"/>
        <v>Neto: 1,80 € (a partir de 1 uds.)</v>
      </c>
      <c r="I297" s="4" t="str">
        <f t="shared" si="3"/>
        <v>Neto G.C.: 1,75 € (a partir de 1 uds.)</v>
      </c>
      <c r="J297" s="4">
        <f t="shared" si="4"/>
        <v>2.3808</v>
      </c>
      <c r="K297" s="4">
        <f t="shared" si="5"/>
        <v>2.48</v>
      </c>
      <c r="L297" s="4">
        <f t="shared" si="6"/>
        <v>2.3808</v>
      </c>
    </row>
    <row r="298">
      <c r="A298" s="1" t="s">
        <v>468</v>
      </c>
      <c r="B298" s="1" t="s">
        <v>469</v>
      </c>
      <c r="C298" s="3">
        <v>3.2</v>
      </c>
      <c r="D298" s="3">
        <v>1.2</v>
      </c>
      <c r="E298" s="3">
        <v>1.2</v>
      </c>
      <c r="F298" s="3">
        <v>1.0</v>
      </c>
      <c r="G298" s="4">
        <f t="shared" si="1"/>
        <v>1.6</v>
      </c>
      <c r="H298" s="4" t="str">
        <f t="shared" si="2"/>
        <v>Neto: 1,20 € (a partir de 1 uds.)</v>
      </c>
      <c r="I298" s="4" t="str">
        <f t="shared" si="3"/>
        <v>Neto G.C.: 1,20 € (a partir de 1 uds.)</v>
      </c>
      <c r="J298" s="4">
        <f t="shared" si="4"/>
        <v>1.536</v>
      </c>
      <c r="K298" s="4">
        <f t="shared" si="5"/>
        <v>1.6</v>
      </c>
      <c r="L298" s="4">
        <f t="shared" si="6"/>
        <v>1.536</v>
      </c>
    </row>
    <row r="299">
      <c r="A299" s="3">
        <v>309.0</v>
      </c>
      <c r="B299" s="1" t="s">
        <v>470</v>
      </c>
      <c r="C299" s="3">
        <v>4.96</v>
      </c>
      <c r="D299" s="3">
        <v>1.8</v>
      </c>
      <c r="E299" s="3">
        <v>1.75</v>
      </c>
      <c r="F299" s="3">
        <v>1.0</v>
      </c>
      <c r="G299" s="4">
        <f t="shared" si="1"/>
        <v>2.48</v>
      </c>
      <c r="H299" s="4" t="str">
        <f t="shared" si="2"/>
        <v>Neto: 1,80 € (a partir de 1 uds.)</v>
      </c>
      <c r="I299" s="4" t="str">
        <f t="shared" si="3"/>
        <v>Neto G.C.: 1,75 € (a partir de 1 uds.)</v>
      </c>
      <c r="J299" s="4">
        <f t="shared" si="4"/>
        <v>2.3808</v>
      </c>
      <c r="K299" s="4">
        <f t="shared" si="5"/>
        <v>2.48</v>
      </c>
      <c r="L299" s="4">
        <f t="shared" si="6"/>
        <v>2.3808</v>
      </c>
    </row>
    <row r="300">
      <c r="A300" s="1" t="s">
        <v>471</v>
      </c>
      <c r="B300" s="1" t="s">
        <v>472</v>
      </c>
      <c r="C300" s="3">
        <v>3.2</v>
      </c>
      <c r="D300" s="3">
        <v>1.2</v>
      </c>
      <c r="E300" s="3">
        <v>1.2</v>
      </c>
      <c r="F300" s="3">
        <v>1.0</v>
      </c>
      <c r="G300" s="4">
        <f t="shared" si="1"/>
        <v>1.6</v>
      </c>
      <c r="H300" s="4" t="str">
        <f t="shared" si="2"/>
        <v>Neto: 1,20 € (a partir de 1 uds.)</v>
      </c>
      <c r="I300" s="4" t="str">
        <f t="shared" si="3"/>
        <v>Neto G.C.: 1,20 € (a partir de 1 uds.)</v>
      </c>
      <c r="J300" s="4">
        <f t="shared" si="4"/>
        <v>1.536</v>
      </c>
      <c r="K300" s="4">
        <f t="shared" si="5"/>
        <v>1.6</v>
      </c>
      <c r="L300" s="4">
        <f t="shared" si="6"/>
        <v>1.536</v>
      </c>
    </row>
    <row r="301">
      <c r="A301" s="3">
        <v>310.0</v>
      </c>
      <c r="B301" s="1" t="s">
        <v>473</v>
      </c>
      <c r="C301" s="3">
        <v>4.96</v>
      </c>
      <c r="D301" s="3">
        <v>1.8</v>
      </c>
      <c r="E301" s="3">
        <v>1.75</v>
      </c>
      <c r="F301" s="3">
        <v>1.0</v>
      </c>
      <c r="G301" s="4">
        <f t="shared" si="1"/>
        <v>2.48</v>
      </c>
      <c r="H301" s="4" t="str">
        <f t="shared" si="2"/>
        <v>Neto: 1,80 € (a partir de 1 uds.)</v>
      </c>
      <c r="I301" s="4" t="str">
        <f t="shared" si="3"/>
        <v>Neto G.C.: 1,75 € (a partir de 1 uds.)</v>
      </c>
      <c r="J301" s="4">
        <f t="shared" si="4"/>
        <v>2.3808</v>
      </c>
      <c r="K301" s="4">
        <f t="shared" si="5"/>
        <v>2.48</v>
      </c>
      <c r="L301" s="4">
        <f t="shared" si="6"/>
        <v>2.3808</v>
      </c>
    </row>
    <row r="302">
      <c r="A302" s="1" t="s">
        <v>474</v>
      </c>
      <c r="B302" s="1" t="s">
        <v>475</v>
      </c>
      <c r="C302" s="3">
        <v>3.2</v>
      </c>
      <c r="D302" s="3">
        <v>1.2</v>
      </c>
      <c r="E302" s="3">
        <v>1.2</v>
      </c>
      <c r="F302" s="3">
        <v>1.0</v>
      </c>
      <c r="G302" s="4">
        <f t="shared" si="1"/>
        <v>1.6</v>
      </c>
      <c r="H302" s="4" t="str">
        <f t="shared" si="2"/>
        <v>Neto: 1,20 € (a partir de 1 uds.)</v>
      </c>
      <c r="I302" s="4" t="str">
        <f t="shared" si="3"/>
        <v>Neto G.C.: 1,20 € (a partir de 1 uds.)</v>
      </c>
      <c r="J302" s="4">
        <f t="shared" si="4"/>
        <v>1.536</v>
      </c>
      <c r="K302" s="4">
        <f t="shared" si="5"/>
        <v>1.6</v>
      </c>
      <c r="L302" s="4">
        <f t="shared" si="6"/>
        <v>1.536</v>
      </c>
    </row>
    <row r="303">
      <c r="A303" s="3">
        <v>311.0</v>
      </c>
      <c r="B303" s="1" t="s">
        <v>476</v>
      </c>
      <c r="C303" s="3">
        <v>4.96</v>
      </c>
      <c r="D303" s="3">
        <v>1.8</v>
      </c>
      <c r="E303" s="3">
        <v>1.75</v>
      </c>
      <c r="F303" s="3">
        <v>1.0</v>
      </c>
      <c r="G303" s="4">
        <f t="shared" si="1"/>
        <v>2.48</v>
      </c>
      <c r="H303" s="4" t="str">
        <f t="shared" si="2"/>
        <v>Neto: 1,80 € (a partir de 1 uds.)</v>
      </c>
      <c r="I303" s="4" t="str">
        <f t="shared" si="3"/>
        <v>Neto G.C.: 1,75 € (a partir de 1 uds.)</v>
      </c>
      <c r="J303" s="4">
        <f t="shared" si="4"/>
        <v>2.3808</v>
      </c>
      <c r="K303" s="4">
        <f t="shared" si="5"/>
        <v>2.48</v>
      </c>
      <c r="L303" s="4">
        <f t="shared" si="6"/>
        <v>2.3808</v>
      </c>
    </row>
    <row r="304">
      <c r="A304" s="1" t="s">
        <v>477</v>
      </c>
      <c r="B304" s="1" t="s">
        <v>478</v>
      </c>
      <c r="C304" s="3">
        <v>3.2</v>
      </c>
      <c r="D304" s="3">
        <v>1.2</v>
      </c>
      <c r="E304" s="3">
        <v>1.2</v>
      </c>
      <c r="F304" s="3">
        <v>1.0</v>
      </c>
      <c r="G304" s="4">
        <f t="shared" si="1"/>
        <v>1.6</v>
      </c>
      <c r="H304" s="4" t="str">
        <f t="shared" si="2"/>
        <v>Neto: 1,20 € (a partir de 1 uds.)</v>
      </c>
      <c r="I304" s="4" t="str">
        <f t="shared" si="3"/>
        <v>Neto G.C.: 1,20 € (a partir de 1 uds.)</v>
      </c>
      <c r="J304" s="4">
        <f t="shared" si="4"/>
        <v>1.536</v>
      </c>
      <c r="K304" s="4">
        <f t="shared" si="5"/>
        <v>1.6</v>
      </c>
      <c r="L304" s="4">
        <f t="shared" si="6"/>
        <v>1.536</v>
      </c>
    </row>
    <row r="305">
      <c r="A305" s="3">
        <v>312.0</v>
      </c>
      <c r="B305" s="1" t="s">
        <v>479</v>
      </c>
      <c r="C305" s="3">
        <v>4.96</v>
      </c>
      <c r="D305" s="3">
        <v>1.8</v>
      </c>
      <c r="E305" s="3">
        <v>1.75</v>
      </c>
      <c r="F305" s="3">
        <v>1.0</v>
      </c>
      <c r="G305" s="4">
        <f t="shared" si="1"/>
        <v>2.48</v>
      </c>
      <c r="H305" s="4" t="str">
        <f t="shared" si="2"/>
        <v>Neto: 1,80 € (a partir de 1 uds.)</v>
      </c>
      <c r="I305" s="4" t="str">
        <f t="shared" si="3"/>
        <v>Neto G.C.: 1,75 € (a partir de 1 uds.)</v>
      </c>
      <c r="J305" s="4">
        <f t="shared" si="4"/>
        <v>2.3808</v>
      </c>
      <c r="K305" s="4">
        <f t="shared" si="5"/>
        <v>2.48</v>
      </c>
      <c r="L305" s="4">
        <f t="shared" si="6"/>
        <v>2.3808</v>
      </c>
    </row>
    <row r="306">
      <c r="A306" s="1" t="s">
        <v>480</v>
      </c>
      <c r="B306" s="1" t="s">
        <v>481</v>
      </c>
      <c r="C306" s="3">
        <v>3.2</v>
      </c>
      <c r="D306" s="3">
        <v>1.2</v>
      </c>
      <c r="E306" s="3">
        <v>1.2</v>
      </c>
      <c r="F306" s="3">
        <v>1.0</v>
      </c>
      <c r="G306" s="4">
        <f t="shared" si="1"/>
        <v>1.6</v>
      </c>
      <c r="H306" s="4" t="str">
        <f t="shared" si="2"/>
        <v>Neto: 1,20 € (a partir de 1 uds.)</v>
      </c>
      <c r="I306" s="4" t="str">
        <f t="shared" si="3"/>
        <v>Neto G.C.: 1,20 € (a partir de 1 uds.)</v>
      </c>
      <c r="J306" s="4">
        <f t="shared" si="4"/>
        <v>1.536</v>
      </c>
      <c r="K306" s="4">
        <f t="shared" si="5"/>
        <v>1.6</v>
      </c>
      <c r="L306" s="4">
        <f t="shared" si="6"/>
        <v>1.536</v>
      </c>
    </row>
    <row r="307">
      <c r="A307" s="3">
        <v>313.0</v>
      </c>
      <c r="B307" s="1" t="s">
        <v>482</v>
      </c>
      <c r="C307" s="3">
        <v>4.96</v>
      </c>
      <c r="D307" s="3">
        <v>1.8</v>
      </c>
      <c r="E307" s="3">
        <v>1.75</v>
      </c>
      <c r="F307" s="3">
        <v>1.0</v>
      </c>
      <c r="G307" s="4">
        <f t="shared" si="1"/>
        <v>2.48</v>
      </c>
      <c r="H307" s="4" t="str">
        <f t="shared" si="2"/>
        <v>Neto: 1,80 € (a partir de 1 uds.)</v>
      </c>
      <c r="I307" s="4" t="str">
        <f t="shared" si="3"/>
        <v>Neto G.C.: 1,75 € (a partir de 1 uds.)</v>
      </c>
      <c r="J307" s="4">
        <f t="shared" si="4"/>
        <v>2.3808</v>
      </c>
      <c r="K307" s="4">
        <f t="shared" si="5"/>
        <v>2.48</v>
      </c>
      <c r="L307" s="4">
        <f t="shared" si="6"/>
        <v>2.3808</v>
      </c>
    </row>
    <row r="308">
      <c r="A308" s="1" t="s">
        <v>483</v>
      </c>
      <c r="B308" s="1" t="s">
        <v>484</v>
      </c>
      <c r="C308" s="3">
        <v>3.2</v>
      </c>
      <c r="D308" s="3">
        <v>1.2</v>
      </c>
      <c r="E308" s="3">
        <v>1.2</v>
      </c>
      <c r="F308" s="3">
        <v>1.0</v>
      </c>
      <c r="G308" s="4">
        <f t="shared" si="1"/>
        <v>1.6</v>
      </c>
      <c r="H308" s="4" t="str">
        <f t="shared" si="2"/>
        <v>Neto: 1,20 € (a partir de 1 uds.)</v>
      </c>
      <c r="I308" s="4" t="str">
        <f t="shared" si="3"/>
        <v>Neto G.C.: 1,20 € (a partir de 1 uds.)</v>
      </c>
      <c r="J308" s="4">
        <f t="shared" si="4"/>
        <v>1.536</v>
      </c>
      <c r="K308" s="4">
        <f t="shared" si="5"/>
        <v>1.6</v>
      </c>
      <c r="L308" s="4">
        <f t="shared" si="6"/>
        <v>1.536</v>
      </c>
    </row>
    <row r="309">
      <c r="A309" s="3">
        <v>314.0</v>
      </c>
      <c r="B309" s="1" t="s">
        <v>485</v>
      </c>
      <c r="C309" s="3">
        <v>4.96</v>
      </c>
      <c r="D309" s="3">
        <v>1.8</v>
      </c>
      <c r="E309" s="3">
        <v>1.75</v>
      </c>
      <c r="F309" s="3">
        <v>1.0</v>
      </c>
      <c r="G309" s="4">
        <f t="shared" si="1"/>
        <v>2.48</v>
      </c>
      <c r="H309" s="4" t="str">
        <f t="shared" si="2"/>
        <v>Neto: 1,80 € (a partir de 1 uds.)</v>
      </c>
      <c r="I309" s="4" t="str">
        <f t="shared" si="3"/>
        <v>Neto G.C.: 1,75 € (a partir de 1 uds.)</v>
      </c>
      <c r="J309" s="4">
        <f t="shared" si="4"/>
        <v>2.3808</v>
      </c>
      <c r="K309" s="4">
        <f t="shared" si="5"/>
        <v>2.48</v>
      </c>
      <c r="L309" s="4">
        <f t="shared" si="6"/>
        <v>2.3808</v>
      </c>
    </row>
    <row r="310">
      <c r="A310" s="1" t="s">
        <v>486</v>
      </c>
      <c r="B310" s="1" t="s">
        <v>487</v>
      </c>
      <c r="C310" s="3">
        <v>3.2</v>
      </c>
      <c r="D310" s="3">
        <v>1.2</v>
      </c>
      <c r="E310" s="3">
        <v>1.2</v>
      </c>
      <c r="F310" s="3">
        <v>1.0</v>
      </c>
      <c r="G310" s="4">
        <f t="shared" si="1"/>
        <v>1.6</v>
      </c>
      <c r="H310" s="4" t="str">
        <f t="shared" si="2"/>
        <v>Neto: 1,20 € (a partir de 1 uds.)</v>
      </c>
      <c r="I310" s="4" t="str">
        <f t="shared" si="3"/>
        <v>Neto G.C.: 1,20 € (a partir de 1 uds.)</v>
      </c>
      <c r="J310" s="4">
        <f t="shared" si="4"/>
        <v>1.536</v>
      </c>
      <c r="K310" s="4">
        <f t="shared" si="5"/>
        <v>1.6</v>
      </c>
      <c r="L310" s="4">
        <f t="shared" si="6"/>
        <v>1.536</v>
      </c>
    </row>
    <row r="311">
      <c r="A311" s="3">
        <v>315.0</v>
      </c>
      <c r="B311" s="1" t="s">
        <v>488</v>
      </c>
      <c r="C311" s="3">
        <v>4.96</v>
      </c>
      <c r="D311" s="3">
        <v>1.8</v>
      </c>
      <c r="E311" s="3">
        <v>1.75</v>
      </c>
      <c r="F311" s="3">
        <v>1.0</v>
      </c>
      <c r="G311" s="4">
        <f t="shared" si="1"/>
        <v>2.48</v>
      </c>
      <c r="H311" s="4" t="str">
        <f t="shared" si="2"/>
        <v>Neto: 1,80 € (a partir de 1 uds.)</v>
      </c>
      <c r="I311" s="4" t="str">
        <f t="shared" si="3"/>
        <v>Neto G.C.: 1,75 € (a partir de 1 uds.)</v>
      </c>
      <c r="J311" s="4">
        <f t="shared" si="4"/>
        <v>2.3808</v>
      </c>
      <c r="K311" s="4">
        <f t="shared" si="5"/>
        <v>2.48</v>
      </c>
      <c r="L311" s="4">
        <f t="shared" si="6"/>
        <v>2.3808</v>
      </c>
    </row>
    <row r="312">
      <c r="A312" s="1" t="s">
        <v>489</v>
      </c>
      <c r="B312" s="1" t="s">
        <v>490</v>
      </c>
      <c r="C312" s="3">
        <v>3.2</v>
      </c>
      <c r="D312" s="3">
        <v>1.2</v>
      </c>
      <c r="E312" s="3">
        <v>1.2</v>
      </c>
      <c r="F312" s="3">
        <v>1.0</v>
      </c>
      <c r="G312" s="4">
        <f t="shared" si="1"/>
        <v>1.6</v>
      </c>
      <c r="H312" s="4" t="str">
        <f t="shared" si="2"/>
        <v>Neto: 1,20 € (a partir de 1 uds.)</v>
      </c>
      <c r="I312" s="4" t="str">
        <f t="shared" si="3"/>
        <v>Neto G.C.: 1,20 € (a partir de 1 uds.)</v>
      </c>
      <c r="J312" s="4">
        <f t="shared" si="4"/>
        <v>1.536</v>
      </c>
      <c r="K312" s="4">
        <f t="shared" si="5"/>
        <v>1.6</v>
      </c>
      <c r="L312" s="4">
        <f t="shared" si="6"/>
        <v>1.536</v>
      </c>
    </row>
    <row r="313">
      <c r="A313" s="3">
        <v>316.0</v>
      </c>
      <c r="B313" s="1" t="s">
        <v>491</v>
      </c>
      <c r="C313" s="3">
        <v>4.96</v>
      </c>
      <c r="D313" s="3">
        <v>1.8</v>
      </c>
      <c r="E313" s="3">
        <v>1.75</v>
      </c>
      <c r="F313" s="3">
        <v>1.0</v>
      </c>
      <c r="G313" s="4">
        <f t="shared" si="1"/>
        <v>2.48</v>
      </c>
      <c r="H313" s="4" t="str">
        <f t="shared" si="2"/>
        <v>Neto: 1,80 € (a partir de 1 uds.)</v>
      </c>
      <c r="I313" s="4" t="str">
        <f t="shared" si="3"/>
        <v>Neto G.C.: 1,75 € (a partir de 1 uds.)</v>
      </c>
      <c r="J313" s="4">
        <f t="shared" si="4"/>
        <v>2.3808</v>
      </c>
      <c r="K313" s="4">
        <f t="shared" si="5"/>
        <v>2.48</v>
      </c>
      <c r="L313" s="4">
        <f t="shared" si="6"/>
        <v>2.3808</v>
      </c>
    </row>
    <row r="314">
      <c r="A314" s="1" t="s">
        <v>492</v>
      </c>
      <c r="B314" s="1" t="s">
        <v>493</v>
      </c>
      <c r="C314" s="3">
        <v>3.2</v>
      </c>
      <c r="D314" s="3">
        <v>1.2</v>
      </c>
      <c r="E314" s="3">
        <v>1.2</v>
      </c>
      <c r="F314" s="3">
        <v>1.0</v>
      </c>
      <c r="G314" s="4">
        <f t="shared" si="1"/>
        <v>1.6</v>
      </c>
      <c r="H314" s="4" t="str">
        <f t="shared" si="2"/>
        <v>Neto: 1,20 € (a partir de 1 uds.)</v>
      </c>
      <c r="I314" s="4" t="str">
        <f t="shared" si="3"/>
        <v>Neto G.C.: 1,20 € (a partir de 1 uds.)</v>
      </c>
      <c r="J314" s="4">
        <f t="shared" si="4"/>
        <v>1.536</v>
      </c>
      <c r="K314" s="4">
        <f t="shared" si="5"/>
        <v>1.6</v>
      </c>
      <c r="L314" s="4">
        <f t="shared" si="6"/>
        <v>1.536</v>
      </c>
    </row>
    <row r="315">
      <c r="A315" s="3">
        <v>317.0</v>
      </c>
      <c r="B315" s="1" t="s">
        <v>494</v>
      </c>
      <c r="C315" s="3">
        <v>4.96</v>
      </c>
      <c r="D315" s="3">
        <v>1.8</v>
      </c>
      <c r="E315" s="3">
        <v>1.75</v>
      </c>
      <c r="F315" s="3">
        <v>1.0</v>
      </c>
      <c r="G315" s="4">
        <f t="shared" si="1"/>
        <v>2.48</v>
      </c>
      <c r="H315" s="4" t="str">
        <f t="shared" si="2"/>
        <v>Neto: 1,80 € (a partir de 1 uds.)</v>
      </c>
      <c r="I315" s="4" t="str">
        <f t="shared" si="3"/>
        <v>Neto G.C.: 1,75 € (a partir de 1 uds.)</v>
      </c>
      <c r="J315" s="4">
        <f t="shared" si="4"/>
        <v>2.3808</v>
      </c>
      <c r="K315" s="4">
        <f t="shared" si="5"/>
        <v>2.48</v>
      </c>
      <c r="L315" s="4">
        <f t="shared" si="6"/>
        <v>2.3808</v>
      </c>
    </row>
    <row r="316">
      <c r="A316" s="1" t="s">
        <v>495</v>
      </c>
      <c r="B316" s="1" t="s">
        <v>496</v>
      </c>
      <c r="C316" s="3">
        <v>3.2</v>
      </c>
      <c r="D316" s="3">
        <v>1.2</v>
      </c>
      <c r="E316" s="3">
        <v>1.2</v>
      </c>
      <c r="F316" s="3">
        <v>1.0</v>
      </c>
      <c r="G316" s="4">
        <f t="shared" si="1"/>
        <v>1.6</v>
      </c>
      <c r="H316" s="4" t="str">
        <f t="shared" si="2"/>
        <v>Neto: 1,20 € (a partir de 1 uds.)</v>
      </c>
      <c r="I316" s="4" t="str">
        <f t="shared" si="3"/>
        <v>Neto G.C.: 1,20 € (a partir de 1 uds.)</v>
      </c>
      <c r="J316" s="4">
        <f t="shared" si="4"/>
        <v>1.536</v>
      </c>
      <c r="K316" s="4">
        <f t="shared" si="5"/>
        <v>1.6</v>
      </c>
      <c r="L316" s="4">
        <f t="shared" si="6"/>
        <v>1.536</v>
      </c>
    </row>
    <row r="317">
      <c r="A317" s="3">
        <v>318.0</v>
      </c>
      <c r="B317" s="1" t="s">
        <v>497</v>
      </c>
      <c r="C317" s="3">
        <v>4.96</v>
      </c>
      <c r="D317" s="3">
        <v>1.8</v>
      </c>
      <c r="E317" s="3">
        <v>1.75</v>
      </c>
      <c r="F317" s="3">
        <v>1.0</v>
      </c>
      <c r="G317" s="4">
        <f t="shared" si="1"/>
        <v>2.48</v>
      </c>
      <c r="H317" s="4" t="str">
        <f t="shared" si="2"/>
        <v>Neto: 1,80 € (a partir de 1 uds.)</v>
      </c>
      <c r="I317" s="4" t="str">
        <f t="shared" si="3"/>
        <v>Neto G.C.: 1,75 € (a partir de 1 uds.)</v>
      </c>
      <c r="J317" s="4">
        <f t="shared" si="4"/>
        <v>2.3808</v>
      </c>
      <c r="K317" s="4">
        <f t="shared" si="5"/>
        <v>2.48</v>
      </c>
      <c r="L317" s="4">
        <f t="shared" si="6"/>
        <v>2.3808</v>
      </c>
    </row>
    <row r="318">
      <c r="A318" s="1" t="s">
        <v>498</v>
      </c>
      <c r="B318" s="1" t="s">
        <v>499</v>
      </c>
      <c r="C318" s="3">
        <v>3.2</v>
      </c>
      <c r="D318" s="3">
        <v>1.2</v>
      </c>
      <c r="E318" s="3">
        <v>1.2</v>
      </c>
      <c r="F318" s="3">
        <v>1.0</v>
      </c>
      <c r="G318" s="4">
        <f t="shared" si="1"/>
        <v>1.6</v>
      </c>
      <c r="H318" s="4" t="str">
        <f t="shared" si="2"/>
        <v>Neto: 1,20 € (a partir de 1 uds.)</v>
      </c>
      <c r="I318" s="4" t="str">
        <f t="shared" si="3"/>
        <v>Neto G.C.: 1,20 € (a partir de 1 uds.)</v>
      </c>
      <c r="J318" s="4">
        <f t="shared" si="4"/>
        <v>1.536</v>
      </c>
      <c r="K318" s="4">
        <f t="shared" si="5"/>
        <v>1.6</v>
      </c>
      <c r="L318" s="4">
        <f t="shared" si="6"/>
        <v>1.536</v>
      </c>
    </row>
    <row r="319">
      <c r="A319" s="3">
        <v>319.0</v>
      </c>
      <c r="B319" s="1" t="s">
        <v>285</v>
      </c>
      <c r="C319" s="3">
        <v>6.9</v>
      </c>
      <c r="D319" s="3">
        <v>3.2</v>
      </c>
      <c r="E319" s="3">
        <v>3.2</v>
      </c>
      <c r="F319" s="3">
        <v>1.0</v>
      </c>
      <c r="G319" s="4">
        <f t="shared" si="1"/>
        <v>3.45</v>
      </c>
      <c r="H319" s="4" t="str">
        <f t="shared" si="2"/>
        <v>Neto: 3,20 € (a partir de 1 uds.)</v>
      </c>
      <c r="I319" s="4" t="str">
        <f t="shared" si="3"/>
        <v>Neto G.C.: 3,20 € (a partir de 1 uds.)</v>
      </c>
      <c r="J319" s="4">
        <f t="shared" si="4"/>
        <v>3.312</v>
      </c>
      <c r="K319" s="4">
        <f t="shared" si="5"/>
        <v>3.45</v>
      </c>
      <c r="L319" s="4">
        <f t="shared" si="6"/>
        <v>3.312</v>
      </c>
    </row>
    <row r="320">
      <c r="A320" s="1" t="s">
        <v>500</v>
      </c>
      <c r="B320" s="1" t="s">
        <v>501</v>
      </c>
      <c r="C320" s="3">
        <v>4.5</v>
      </c>
      <c r="D320" s="5"/>
      <c r="E320" s="5"/>
      <c r="F320" s="5"/>
      <c r="G320" s="4">
        <f t="shared" si="1"/>
        <v>2.25</v>
      </c>
      <c r="H320" s="4" t="str">
        <f t="shared" si="2"/>
        <v>Sin precio neto</v>
      </c>
      <c r="I320" s="4" t="str">
        <f t="shared" si="3"/>
        <v>Sin precio neto G.C.</v>
      </c>
      <c r="J320" s="4">
        <f t="shared" si="4"/>
        <v>2.16</v>
      </c>
      <c r="K320" s="4">
        <f t="shared" si="5"/>
        <v>2.25</v>
      </c>
      <c r="L320" s="4">
        <f t="shared" si="6"/>
        <v>2.16</v>
      </c>
    </row>
    <row r="321">
      <c r="A321" s="1" t="s">
        <v>502</v>
      </c>
      <c r="B321" s="1" t="s">
        <v>501</v>
      </c>
      <c r="C321" s="3">
        <v>4.5</v>
      </c>
      <c r="D321" s="5"/>
      <c r="E321" s="5"/>
      <c r="F321" s="5"/>
      <c r="G321" s="4">
        <f t="shared" si="1"/>
        <v>2.25</v>
      </c>
      <c r="H321" s="4" t="str">
        <f t="shared" si="2"/>
        <v>Sin precio neto</v>
      </c>
      <c r="I321" s="4" t="str">
        <f t="shared" si="3"/>
        <v>Sin precio neto G.C.</v>
      </c>
      <c r="J321" s="4">
        <f t="shared" si="4"/>
        <v>2.16</v>
      </c>
      <c r="K321" s="4">
        <f t="shared" si="5"/>
        <v>2.25</v>
      </c>
      <c r="L321" s="4">
        <f t="shared" si="6"/>
        <v>2.16</v>
      </c>
    </row>
    <row r="322">
      <c r="A322" s="1" t="s">
        <v>503</v>
      </c>
      <c r="B322" s="1" t="s">
        <v>504</v>
      </c>
      <c r="C322" s="3">
        <v>8.96</v>
      </c>
      <c r="D322" s="5"/>
      <c r="E322" s="5"/>
      <c r="F322" s="5"/>
      <c r="G322" s="4">
        <f t="shared" si="1"/>
        <v>4.48</v>
      </c>
      <c r="H322" s="4" t="str">
        <f t="shared" si="2"/>
        <v>Sin precio neto</v>
      </c>
      <c r="I322" s="4" t="str">
        <f t="shared" si="3"/>
        <v>Sin precio neto G.C.</v>
      </c>
      <c r="J322" s="4">
        <f t="shared" si="4"/>
        <v>4.3008</v>
      </c>
      <c r="K322" s="4">
        <f t="shared" si="5"/>
        <v>4.48</v>
      </c>
      <c r="L322" s="4">
        <f t="shared" si="6"/>
        <v>4.3008</v>
      </c>
    </row>
    <row r="323">
      <c r="A323" s="1" t="s">
        <v>505</v>
      </c>
      <c r="B323" s="1" t="s">
        <v>504</v>
      </c>
      <c r="C323" s="3">
        <v>8.96</v>
      </c>
      <c r="D323" s="5"/>
      <c r="E323" s="5"/>
      <c r="F323" s="5"/>
      <c r="G323" s="4">
        <f t="shared" si="1"/>
        <v>4.48</v>
      </c>
      <c r="H323" s="4" t="str">
        <f t="shared" si="2"/>
        <v>Sin precio neto</v>
      </c>
      <c r="I323" s="4" t="str">
        <f t="shared" si="3"/>
        <v>Sin precio neto G.C.</v>
      </c>
      <c r="J323" s="4">
        <f t="shared" si="4"/>
        <v>4.3008</v>
      </c>
      <c r="K323" s="4">
        <f t="shared" si="5"/>
        <v>4.48</v>
      </c>
      <c r="L323" s="4">
        <f t="shared" si="6"/>
        <v>4.3008</v>
      </c>
    </row>
    <row r="324">
      <c r="A324" s="1" t="s">
        <v>506</v>
      </c>
      <c r="B324" s="1" t="s">
        <v>507</v>
      </c>
      <c r="C324" s="3">
        <v>17.92</v>
      </c>
      <c r="D324" s="5"/>
      <c r="E324" s="5"/>
      <c r="F324" s="5"/>
      <c r="G324" s="4">
        <f t="shared" si="1"/>
        <v>8.96</v>
      </c>
      <c r="H324" s="4" t="str">
        <f t="shared" si="2"/>
        <v>Sin precio neto</v>
      </c>
      <c r="I324" s="4" t="str">
        <f t="shared" si="3"/>
        <v>Sin precio neto G.C.</v>
      </c>
      <c r="J324" s="4">
        <f t="shared" si="4"/>
        <v>8.6016</v>
      </c>
      <c r="K324" s="4">
        <f t="shared" si="5"/>
        <v>8.96</v>
      </c>
      <c r="L324" s="4">
        <f t="shared" si="6"/>
        <v>8.6016</v>
      </c>
    </row>
    <row r="325">
      <c r="A325" s="1" t="s">
        <v>508</v>
      </c>
      <c r="B325" s="1" t="s">
        <v>507</v>
      </c>
      <c r="C325" s="3">
        <v>17.92</v>
      </c>
      <c r="D325" s="5"/>
      <c r="E325" s="5"/>
      <c r="F325" s="5"/>
      <c r="G325" s="4">
        <f t="shared" si="1"/>
        <v>8.96</v>
      </c>
      <c r="H325" s="4" t="str">
        <f t="shared" si="2"/>
        <v>Sin precio neto</v>
      </c>
      <c r="I325" s="4" t="str">
        <f t="shared" si="3"/>
        <v>Sin precio neto G.C.</v>
      </c>
      <c r="J325" s="4">
        <f t="shared" si="4"/>
        <v>8.6016</v>
      </c>
      <c r="K325" s="4">
        <f t="shared" si="5"/>
        <v>8.96</v>
      </c>
      <c r="L325" s="4">
        <f t="shared" si="6"/>
        <v>8.6016</v>
      </c>
    </row>
    <row r="326">
      <c r="A326" s="3">
        <v>320.0</v>
      </c>
      <c r="B326" s="1" t="s">
        <v>509</v>
      </c>
      <c r="C326" s="3">
        <v>5.2</v>
      </c>
      <c r="D326" s="3">
        <v>2.1</v>
      </c>
      <c r="E326" s="3">
        <v>2.1</v>
      </c>
      <c r="F326" s="3">
        <v>1.0</v>
      </c>
      <c r="G326" s="4">
        <f t="shared" si="1"/>
        <v>2.6</v>
      </c>
      <c r="H326" s="4" t="str">
        <f t="shared" si="2"/>
        <v>Neto: 2,10 € (a partir de 1 uds.)</v>
      </c>
      <c r="I326" s="4" t="str">
        <f t="shared" si="3"/>
        <v>Neto G.C.: 2,10 € (a partir de 1 uds.)</v>
      </c>
      <c r="J326" s="4">
        <f t="shared" si="4"/>
        <v>2.496</v>
      </c>
      <c r="K326" s="4">
        <f t="shared" si="5"/>
        <v>2.6</v>
      </c>
      <c r="L326" s="4">
        <f t="shared" si="6"/>
        <v>2.496</v>
      </c>
    </row>
    <row r="327">
      <c r="A327" s="1" t="s">
        <v>510</v>
      </c>
      <c r="B327" s="1" t="s">
        <v>511</v>
      </c>
      <c r="C327" s="3">
        <v>4.5</v>
      </c>
      <c r="D327" s="5"/>
      <c r="E327" s="5"/>
      <c r="F327" s="5"/>
      <c r="G327" s="4">
        <f t="shared" si="1"/>
        <v>2.25</v>
      </c>
      <c r="H327" s="4" t="str">
        <f t="shared" si="2"/>
        <v>Sin precio neto</v>
      </c>
      <c r="I327" s="4" t="str">
        <f t="shared" si="3"/>
        <v>Sin precio neto G.C.</v>
      </c>
      <c r="J327" s="4">
        <f t="shared" si="4"/>
        <v>2.16</v>
      </c>
      <c r="K327" s="4">
        <f t="shared" si="5"/>
        <v>2.25</v>
      </c>
      <c r="L327" s="4">
        <f t="shared" si="6"/>
        <v>2.16</v>
      </c>
    </row>
    <row r="328">
      <c r="A328" s="1" t="s">
        <v>512</v>
      </c>
      <c r="B328" s="1" t="s">
        <v>513</v>
      </c>
      <c r="C328" s="3">
        <v>4.5</v>
      </c>
      <c r="D328" s="5"/>
      <c r="E328" s="5"/>
      <c r="F328" s="5"/>
      <c r="G328" s="4">
        <f t="shared" si="1"/>
        <v>2.25</v>
      </c>
      <c r="H328" s="4" t="str">
        <f t="shared" si="2"/>
        <v>Sin precio neto</v>
      </c>
      <c r="I328" s="4" t="str">
        <f t="shared" si="3"/>
        <v>Sin precio neto G.C.</v>
      </c>
      <c r="J328" s="4">
        <f t="shared" si="4"/>
        <v>2.16</v>
      </c>
      <c r="K328" s="4">
        <f t="shared" si="5"/>
        <v>2.25</v>
      </c>
      <c r="L328" s="4">
        <f t="shared" si="6"/>
        <v>2.16</v>
      </c>
    </row>
    <row r="329">
      <c r="A329" s="1" t="s">
        <v>514</v>
      </c>
      <c r="B329" s="1" t="s">
        <v>515</v>
      </c>
      <c r="C329" s="3">
        <v>8.96</v>
      </c>
      <c r="D329" s="5"/>
      <c r="E329" s="5"/>
      <c r="F329" s="5"/>
      <c r="G329" s="4">
        <f t="shared" si="1"/>
        <v>4.48</v>
      </c>
      <c r="H329" s="4" t="str">
        <f t="shared" si="2"/>
        <v>Sin precio neto</v>
      </c>
      <c r="I329" s="4" t="str">
        <f t="shared" si="3"/>
        <v>Sin precio neto G.C.</v>
      </c>
      <c r="J329" s="4">
        <f t="shared" si="4"/>
        <v>4.3008</v>
      </c>
      <c r="K329" s="4">
        <f t="shared" si="5"/>
        <v>4.48</v>
      </c>
      <c r="L329" s="4">
        <f t="shared" si="6"/>
        <v>4.3008</v>
      </c>
    </row>
    <row r="330">
      <c r="A330" s="1" t="s">
        <v>516</v>
      </c>
      <c r="B330" s="1" t="s">
        <v>517</v>
      </c>
      <c r="C330" s="3">
        <v>8.96</v>
      </c>
      <c r="D330" s="5"/>
      <c r="E330" s="5"/>
      <c r="F330" s="5"/>
      <c r="G330" s="4">
        <f t="shared" si="1"/>
        <v>4.48</v>
      </c>
      <c r="H330" s="4" t="str">
        <f t="shared" si="2"/>
        <v>Sin precio neto</v>
      </c>
      <c r="I330" s="4" t="str">
        <f t="shared" si="3"/>
        <v>Sin precio neto G.C.</v>
      </c>
      <c r="J330" s="4">
        <f t="shared" si="4"/>
        <v>4.3008</v>
      </c>
      <c r="K330" s="4">
        <f t="shared" si="5"/>
        <v>4.48</v>
      </c>
      <c r="L330" s="4">
        <f t="shared" si="6"/>
        <v>4.3008</v>
      </c>
    </row>
    <row r="331">
      <c r="A331" s="1" t="s">
        <v>518</v>
      </c>
      <c r="B331" s="1" t="s">
        <v>519</v>
      </c>
      <c r="C331" s="3">
        <v>17.92</v>
      </c>
      <c r="D331" s="5"/>
      <c r="E331" s="5"/>
      <c r="F331" s="5"/>
      <c r="G331" s="4">
        <f t="shared" si="1"/>
        <v>8.96</v>
      </c>
      <c r="H331" s="4" t="str">
        <f t="shared" si="2"/>
        <v>Sin precio neto</v>
      </c>
      <c r="I331" s="4" t="str">
        <f t="shared" si="3"/>
        <v>Sin precio neto G.C.</v>
      </c>
      <c r="J331" s="4">
        <f t="shared" si="4"/>
        <v>8.6016</v>
      </c>
      <c r="K331" s="4">
        <f t="shared" si="5"/>
        <v>8.96</v>
      </c>
      <c r="L331" s="4">
        <f t="shared" si="6"/>
        <v>8.6016</v>
      </c>
    </row>
    <row r="332">
      <c r="A332" s="1" t="s">
        <v>520</v>
      </c>
      <c r="B332" s="1" t="s">
        <v>521</v>
      </c>
      <c r="C332" s="3">
        <v>17.92</v>
      </c>
      <c r="D332" s="5"/>
      <c r="E332" s="5"/>
      <c r="F332" s="5"/>
      <c r="G332" s="4">
        <f t="shared" si="1"/>
        <v>8.96</v>
      </c>
      <c r="H332" s="4" t="str">
        <f t="shared" si="2"/>
        <v>Sin precio neto</v>
      </c>
      <c r="I332" s="4" t="str">
        <f t="shared" si="3"/>
        <v>Sin precio neto G.C.</v>
      </c>
      <c r="J332" s="4">
        <f t="shared" si="4"/>
        <v>8.6016</v>
      </c>
      <c r="K332" s="4">
        <f t="shared" si="5"/>
        <v>8.96</v>
      </c>
      <c r="L332" s="4">
        <f t="shared" si="6"/>
        <v>8.6016</v>
      </c>
    </row>
    <row r="333">
      <c r="A333" s="3">
        <v>321.0</v>
      </c>
      <c r="B333" s="1" t="s">
        <v>522</v>
      </c>
      <c r="C333" s="3">
        <v>5.2</v>
      </c>
      <c r="D333" s="3">
        <v>2.1</v>
      </c>
      <c r="E333" s="3">
        <v>2.1</v>
      </c>
      <c r="F333" s="3">
        <v>1.0</v>
      </c>
      <c r="G333" s="4">
        <f t="shared" si="1"/>
        <v>2.6</v>
      </c>
      <c r="H333" s="4" t="str">
        <f t="shared" si="2"/>
        <v>Neto: 2,10 € (a partir de 1 uds.)</v>
      </c>
      <c r="I333" s="4" t="str">
        <f t="shared" si="3"/>
        <v>Neto G.C.: 2,10 € (a partir de 1 uds.)</v>
      </c>
      <c r="J333" s="4">
        <f t="shared" si="4"/>
        <v>2.496</v>
      </c>
      <c r="K333" s="4">
        <f t="shared" si="5"/>
        <v>2.6</v>
      </c>
      <c r="L333" s="4">
        <f t="shared" si="6"/>
        <v>2.496</v>
      </c>
    </row>
    <row r="334">
      <c r="A334" s="1" t="s">
        <v>523</v>
      </c>
      <c r="B334" s="1" t="s">
        <v>524</v>
      </c>
      <c r="C334" s="3">
        <v>4.5</v>
      </c>
      <c r="D334" s="5"/>
      <c r="E334" s="5"/>
      <c r="F334" s="5"/>
      <c r="G334" s="4">
        <f t="shared" si="1"/>
        <v>2.25</v>
      </c>
      <c r="H334" s="4" t="str">
        <f t="shared" si="2"/>
        <v>Sin precio neto</v>
      </c>
      <c r="I334" s="4" t="str">
        <f t="shared" si="3"/>
        <v>Sin precio neto G.C.</v>
      </c>
      <c r="J334" s="4">
        <f t="shared" si="4"/>
        <v>2.16</v>
      </c>
      <c r="K334" s="4">
        <f t="shared" si="5"/>
        <v>2.25</v>
      </c>
      <c r="L334" s="4">
        <f t="shared" si="6"/>
        <v>2.16</v>
      </c>
    </row>
    <row r="335">
      <c r="A335" s="1" t="s">
        <v>525</v>
      </c>
      <c r="B335" s="1" t="s">
        <v>526</v>
      </c>
      <c r="C335" s="3">
        <v>4.5</v>
      </c>
      <c r="D335" s="5"/>
      <c r="E335" s="5"/>
      <c r="F335" s="5"/>
      <c r="G335" s="4">
        <f t="shared" si="1"/>
        <v>2.25</v>
      </c>
      <c r="H335" s="4" t="str">
        <f t="shared" si="2"/>
        <v>Sin precio neto</v>
      </c>
      <c r="I335" s="4" t="str">
        <f t="shared" si="3"/>
        <v>Sin precio neto G.C.</v>
      </c>
      <c r="J335" s="4">
        <f t="shared" si="4"/>
        <v>2.16</v>
      </c>
      <c r="K335" s="4">
        <f t="shared" si="5"/>
        <v>2.25</v>
      </c>
      <c r="L335" s="4">
        <f t="shared" si="6"/>
        <v>2.16</v>
      </c>
    </row>
    <row r="336">
      <c r="A336" s="1" t="s">
        <v>527</v>
      </c>
      <c r="B336" s="1" t="s">
        <v>528</v>
      </c>
      <c r="C336" s="3">
        <v>8.96</v>
      </c>
      <c r="D336" s="5"/>
      <c r="E336" s="5"/>
      <c r="F336" s="5"/>
      <c r="G336" s="4">
        <f t="shared" si="1"/>
        <v>4.48</v>
      </c>
      <c r="H336" s="4" t="str">
        <f t="shared" si="2"/>
        <v>Sin precio neto</v>
      </c>
      <c r="I336" s="4" t="str">
        <f t="shared" si="3"/>
        <v>Sin precio neto G.C.</v>
      </c>
      <c r="J336" s="4">
        <f t="shared" si="4"/>
        <v>4.3008</v>
      </c>
      <c r="K336" s="4">
        <f t="shared" si="5"/>
        <v>4.48</v>
      </c>
      <c r="L336" s="4">
        <f t="shared" si="6"/>
        <v>4.3008</v>
      </c>
    </row>
    <row r="337">
      <c r="A337" s="1" t="s">
        <v>529</v>
      </c>
      <c r="B337" s="1" t="s">
        <v>530</v>
      </c>
      <c r="C337" s="3">
        <v>8.96</v>
      </c>
      <c r="D337" s="5"/>
      <c r="E337" s="5"/>
      <c r="F337" s="5"/>
      <c r="G337" s="4">
        <f t="shared" si="1"/>
        <v>4.48</v>
      </c>
      <c r="H337" s="4" t="str">
        <f t="shared" si="2"/>
        <v>Sin precio neto</v>
      </c>
      <c r="I337" s="4" t="str">
        <f t="shared" si="3"/>
        <v>Sin precio neto G.C.</v>
      </c>
      <c r="J337" s="4">
        <f t="shared" si="4"/>
        <v>4.3008</v>
      </c>
      <c r="K337" s="4">
        <f t="shared" si="5"/>
        <v>4.48</v>
      </c>
      <c r="L337" s="4">
        <f t="shared" si="6"/>
        <v>4.3008</v>
      </c>
    </row>
    <row r="338">
      <c r="A338" s="1" t="s">
        <v>531</v>
      </c>
      <c r="B338" s="1" t="s">
        <v>532</v>
      </c>
      <c r="C338" s="3">
        <v>17.92</v>
      </c>
      <c r="D338" s="5"/>
      <c r="E338" s="5"/>
      <c r="F338" s="5"/>
      <c r="G338" s="4">
        <f t="shared" si="1"/>
        <v>8.96</v>
      </c>
      <c r="H338" s="4" t="str">
        <f t="shared" si="2"/>
        <v>Sin precio neto</v>
      </c>
      <c r="I338" s="4" t="str">
        <f t="shared" si="3"/>
        <v>Sin precio neto G.C.</v>
      </c>
      <c r="J338" s="4">
        <f t="shared" si="4"/>
        <v>8.6016</v>
      </c>
      <c r="K338" s="4">
        <f t="shared" si="5"/>
        <v>8.96</v>
      </c>
      <c r="L338" s="4">
        <f t="shared" si="6"/>
        <v>8.6016</v>
      </c>
    </row>
    <row r="339">
      <c r="A339" s="1" t="s">
        <v>533</v>
      </c>
      <c r="B339" s="1" t="s">
        <v>534</v>
      </c>
      <c r="C339" s="3">
        <v>17.92</v>
      </c>
      <c r="D339" s="5"/>
      <c r="E339" s="5"/>
      <c r="F339" s="5"/>
      <c r="G339" s="4">
        <f t="shared" si="1"/>
        <v>8.96</v>
      </c>
      <c r="H339" s="4" t="str">
        <f t="shared" si="2"/>
        <v>Sin precio neto</v>
      </c>
      <c r="I339" s="4" t="str">
        <f t="shared" si="3"/>
        <v>Sin precio neto G.C.</v>
      </c>
      <c r="J339" s="4">
        <f t="shared" si="4"/>
        <v>8.6016</v>
      </c>
      <c r="K339" s="4">
        <f t="shared" si="5"/>
        <v>8.96</v>
      </c>
      <c r="L339" s="4">
        <f t="shared" si="6"/>
        <v>8.6016</v>
      </c>
    </row>
    <row r="340">
      <c r="A340" s="3">
        <v>322.0</v>
      </c>
      <c r="B340" s="1" t="s">
        <v>535</v>
      </c>
      <c r="C340" s="3">
        <v>5.2</v>
      </c>
      <c r="D340" s="3">
        <v>2.1</v>
      </c>
      <c r="E340" s="3">
        <v>2.1</v>
      </c>
      <c r="F340" s="3">
        <v>1.0</v>
      </c>
      <c r="G340" s="4">
        <f t="shared" si="1"/>
        <v>2.6</v>
      </c>
      <c r="H340" s="4" t="str">
        <f t="shared" si="2"/>
        <v>Neto: 2,10 € (a partir de 1 uds.)</v>
      </c>
      <c r="I340" s="4" t="str">
        <f t="shared" si="3"/>
        <v>Neto G.C.: 2,10 € (a partir de 1 uds.)</v>
      </c>
      <c r="J340" s="4">
        <f t="shared" si="4"/>
        <v>2.496</v>
      </c>
      <c r="K340" s="4">
        <f t="shared" si="5"/>
        <v>2.6</v>
      </c>
      <c r="L340" s="4">
        <f t="shared" si="6"/>
        <v>2.496</v>
      </c>
    </row>
    <row r="341">
      <c r="A341" s="1" t="s">
        <v>536</v>
      </c>
      <c r="B341" s="1" t="s">
        <v>537</v>
      </c>
      <c r="C341" s="3">
        <v>4.5</v>
      </c>
      <c r="D341" s="5"/>
      <c r="E341" s="5"/>
      <c r="F341" s="5"/>
      <c r="G341" s="4">
        <f t="shared" si="1"/>
        <v>2.25</v>
      </c>
      <c r="H341" s="4" t="str">
        <f t="shared" si="2"/>
        <v>Sin precio neto</v>
      </c>
      <c r="I341" s="4" t="str">
        <f t="shared" si="3"/>
        <v>Sin precio neto G.C.</v>
      </c>
      <c r="J341" s="4">
        <f t="shared" si="4"/>
        <v>2.16</v>
      </c>
      <c r="K341" s="4">
        <f t="shared" si="5"/>
        <v>2.25</v>
      </c>
      <c r="L341" s="4">
        <f t="shared" si="6"/>
        <v>2.16</v>
      </c>
    </row>
    <row r="342">
      <c r="A342" s="1" t="s">
        <v>538</v>
      </c>
      <c r="B342" s="1" t="s">
        <v>537</v>
      </c>
      <c r="C342" s="3">
        <v>4.5</v>
      </c>
      <c r="D342" s="5"/>
      <c r="E342" s="5"/>
      <c r="F342" s="5"/>
      <c r="G342" s="4">
        <f t="shared" si="1"/>
        <v>2.25</v>
      </c>
      <c r="H342" s="4" t="str">
        <f t="shared" si="2"/>
        <v>Sin precio neto</v>
      </c>
      <c r="I342" s="4" t="str">
        <f t="shared" si="3"/>
        <v>Sin precio neto G.C.</v>
      </c>
      <c r="J342" s="4">
        <f t="shared" si="4"/>
        <v>2.16</v>
      </c>
      <c r="K342" s="4">
        <f t="shared" si="5"/>
        <v>2.25</v>
      </c>
      <c r="L342" s="4">
        <f t="shared" si="6"/>
        <v>2.16</v>
      </c>
    </row>
    <row r="343">
      <c r="A343" s="1" t="s">
        <v>539</v>
      </c>
      <c r="B343" s="1" t="s">
        <v>540</v>
      </c>
      <c r="C343" s="3">
        <v>8.96</v>
      </c>
      <c r="D343" s="5"/>
      <c r="E343" s="5"/>
      <c r="F343" s="5"/>
      <c r="G343" s="4">
        <f t="shared" si="1"/>
        <v>4.48</v>
      </c>
      <c r="H343" s="4" t="str">
        <f t="shared" si="2"/>
        <v>Sin precio neto</v>
      </c>
      <c r="I343" s="4" t="str">
        <f t="shared" si="3"/>
        <v>Sin precio neto G.C.</v>
      </c>
      <c r="J343" s="4">
        <f t="shared" si="4"/>
        <v>4.3008</v>
      </c>
      <c r="K343" s="4">
        <f t="shared" si="5"/>
        <v>4.48</v>
      </c>
      <c r="L343" s="4">
        <f t="shared" si="6"/>
        <v>4.3008</v>
      </c>
    </row>
    <row r="344">
      <c r="A344" s="1" t="s">
        <v>541</v>
      </c>
      <c r="B344" s="1" t="s">
        <v>542</v>
      </c>
      <c r="C344" s="3">
        <v>8.96</v>
      </c>
      <c r="D344" s="5"/>
      <c r="E344" s="5"/>
      <c r="F344" s="5"/>
      <c r="G344" s="4">
        <f t="shared" si="1"/>
        <v>4.48</v>
      </c>
      <c r="H344" s="4" t="str">
        <f t="shared" si="2"/>
        <v>Sin precio neto</v>
      </c>
      <c r="I344" s="4" t="str">
        <f t="shared" si="3"/>
        <v>Sin precio neto G.C.</v>
      </c>
      <c r="J344" s="4">
        <f t="shared" si="4"/>
        <v>4.3008</v>
      </c>
      <c r="K344" s="4">
        <f t="shared" si="5"/>
        <v>4.48</v>
      </c>
      <c r="L344" s="4">
        <f t="shared" si="6"/>
        <v>4.3008</v>
      </c>
    </row>
    <row r="345">
      <c r="A345" s="1" t="s">
        <v>543</v>
      </c>
      <c r="B345" s="1" t="s">
        <v>544</v>
      </c>
      <c r="C345" s="3">
        <v>17.92</v>
      </c>
      <c r="D345" s="5"/>
      <c r="E345" s="5"/>
      <c r="F345" s="5"/>
      <c r="G345" s="4">
        <f t="shared" si="1"/>
        <v>8.96</v>
      </c>
      <c r="H345" s="4" t="str">
        <f t="shared" si="2"/>
        <v>Sin precio neto</v>
      </c>
      <c r="I345" s="4" t="str">
        <f t="shared" si="3"/>
        <v>Sin precio neto G.C.</v>
      </c>
      <c r="J345" s="4">
        <f t="shared" si="4"/>
        <v>8.6016</v>
      </c>
      <c r="K345" s="4">
        <f t="shared" si="5"/>
        <v>8.96</v>
      </c>
      <c r="L345" s="4">
        <f t="shared" si="6"/>
        <v>8.6016</v>
      </c>
    </row>
    <row r="346">
      <c r="A346" s="1" t="s">
        <v>545</v>
      </c>
      <c r="B346" s="1" t="s">
        <v>544</v>
      </c>
      <c r="C346" s="3">
        <v>17.92</v>
      </c>
      <c r="D346" s="5"/>
      <c r="E346" s="5"/>
      <c r="F346" s="5"/>
      <c r="G346" s="4">
        <f t="shared" si="1"/>
        <v>8.96</v>
      </c>
      <c r="H346" s="4" t="str">
        <f t="shared" si="2"/>
        <v>Sin precio neto</v>
      </c>
      <c r="I346" s="4" t="str">
        <f t="shared" si="3"/>
        <v>Sin precio neto G.C.</v>
      </c>
      <c r="J346" s="4">
        <f t="shared" si="4"/>
        <v>8.6016</v>
      </c>
      <c r="K346" s="4">
        <f t="shared" si="5"/>
        <v>8.96</v>
      </c>
      <c r="L346" s="4">
        <f t="shared" si="6"/>
        <v>8.6016</v>
      </c>
    </row>
    <row r="347">
      <c r="A347" s="3">
        <v>323.0</v>
      </c>
      <c r="B347" s="1" t="s">
        <v>546</v>
      </c>
      <c r="C347" s="3">
        <v>5.2</v>
      </c>
      <c r="D347" s="3">
        <v>2.1</v>
      </c>
      <c r="E347" s="3">
        <v>2.1</v>
      </c>
      <c r="F347" s="3">
        <v>1.0</v>
      </c>
      <c r="G347" s="4">
        <f t="shared" si="1"/>
        <v>2.6</v>
      </c>
      <c r="H347" s="4" t="str">
        <f t="shared" si="2"/>
        <v>Neto: 2,10 € (a partir de 1 uds.)</v>
      </c>
      <c r="I347" s="4" t="str">
        <f t="shared" si="3"/>
        <v>Neto G.C.: 2,10 € (a partir de 1 uds.)</v>
      </c>
      <c r="J347" s="4">
        <f t="shared" si="4"/>
        <v>2.496</v>
      </c>
      <c r="K347" s="4">
        <f t="shared" si="5"/>
        <v>2.6</v>
      </c>
      <c r="L347" s="4">
        <f t="shared" si="6"/>
        <v>2.496</v>
      </c>
    </row>
    <row r="348">
      <c r="A348" s="3">
        <v>324.0</v>
      </c>
      <c r="B348" s="1" t="s">
        <v>547</v>
      </c>
      <c r="C348" s="3">
        <v>5.2</v>
      </c>
      <c r="D348" s="3">
        <v>2.1</v>
      </c>
      <c r="E348" s="3">
        <v>2.1</v>
      </c>
      <c r="F348" s="3">
        <v>1.0</v>
      </c>
      <c r="G348" s="4">
        <f t="shared" si="1"/>
        <v>2.6</v>
      </c>
      <c r="H348" s="4" t="str">
        <f t="shared" si="2"/>
        <v>Neto: 2,10 € (a partir de 1 uds.)</v>
      </c>
      <c r="I348" s="4" t="str">
        <f t="shared" si="3"/>
        <v>Neto G.C.: 2,10 € (a partir de 1 uds.)</v>
      </c>
      <c r="J348" s="4">
        <f t="shared" si="4"/>
        <v>2.496</v>
      </c>
      <c r="K348" s="4">
        <f t="shared" si="5"/>
        <v>2.6</v>
      </c>
      <c r="L348" s="4">
        <f t="shared" si="6"/>
        <v>2.496</v>
      </c>
    </row>
    <row r="349">
      <c r="A349" s="1" t="s">
        <v>548</v>
      </c>
      <c r="B349" s="1" t="s">
        <v>549</v>
      </c>
      <c r="C349" s="3">
        <v>4.5</v>
      </c>
      <c r="D349" s="5"/>
      <c r="E349" s="5"/>
      <c r="F349" s="5"/>
      <c r="G349" s="4">
        <f t="shared" si="1"/>
        <v>2.25</v>
      </c>
      <c r="H349" s="4" t="str">
        <f t="shared" si="2"/>
        <v>Sin precio neto</v>
      </c>
      <c r="I349" s="4" t="str">
        <f t="shared" si="3"/>
        <v>Sin precio neto G.C.</v>
      </c>
      <c r="J349" s="4">
        <f t="shared" si="4"/>
        <v>2.16</v>
      </c>
      <c r="K349" s="4">
        <f t="shared" si="5"/>
        <v>2.25</v>
      </c>
      <c r="L349" s="4">
        <f t="shared" si="6"/>
        <v>2.16</v>
      </c>
    </row>
    <row r="350">
      <c r="A350" s="1" t="s">
        <v>550</v>
      </c>
      <c r="B350" s="1" t="s">
        <v>549</v>
      </c>
      <c r="C350" s="3">
        <v>4.5</v>
      </c>
      <c r="D350" s="5"/>
      <c r="E350" s="5"/>
      <c r="F350" s="5"/>
      <c r="G350" s="4">
        <f t="shared" si="1"/>
        <v>2.25</v>
      </c>
      <c r="H350" s="4" t="str">
        <f t="shared" si="2"/>
        <v>Sin precio neto</v>
      </c>
      <c r="I350" s="4" t="str">
        <f t="shared" si="3"/>
        <v>Sin precio neto G.C.</v>
      </c>
      <c r="J350" s="4">
        <f t="shared" si="4"/>
        <v>2.16</v>
      </c>
      <c r="K350" s="4">
        <f t="shared" si="5"/>
        <v>2.25</v>
      </c>
      <c r="L350" s="4">
        <f t="shared" si="6"/>
        <v>2.16</v>
      </c>
    </row>
    <row r="351">
      <c r="A351" s="1" t="s">
        <v>551</v>
      </c>
      <c r="B351" s="1" t="s">
        <v>552</v>
      </c>
      <c r="C351" s="3">
        <v>8.96</v>
      </c>
      <c r="D351" s="5"/>
      <c r="E351" s="5"/>
      <c r="F351" s="5"/>
      <c r="G351" s="4">
        <f t="shared" si="1"/>
        <v>4.48</v>
      </c>
      <c r="H351" s="4" t="str">
        <f t="shared" si="2"/>
        <v>Sin precio neto</v>
      </c>
      <c r="I351" s="4" t="str">
        <f t="shared" si="3"/>
        <v>Sin precio neto G.C.</v>
      </c>
      <c r="J351" s="4">
        <f t="shared" si="4"/>
        <v>4.3008</v>
      </c>
      <c r="K351" s="4">
        <f t="shared" si="5"/>
        <v>4.48</v>
      </c>
      <c r="L351" s="4">
        <f t="shared" si="6"/>
        <v>4.3008</v>
      </c>
    </row>
    <row r="352">
      <c r="A352" s="1" t="s">
        <v>553</v>
      </c>
      <c r="B352" s="1" t="s">
        <v>552</v>
      </c>
      <c r="C352" s="3">
        <v>8.96</v>
      </c>
      <c r="D352" s="5"/>
      <c r="E352" s="5"/>
      <c r="F352" s="5"/>
      <c r="G352" s="4">
        <f t="shared" si="1"/>
        <v>4.48</v>
      </c>
      <c r="H352" s="4" t="str">
        <f t="shared" si="2"/>
        <v>Sin precio neto</v>
      </c>
      <c r="I352" s="4" t="str">
        <f t="shared" si="3"/>
        <v>Sin precio neto G.C.</v>
      </c>
      <c r="J352" s="4">
        <f t="shared" si="4"/>
        <v>4.3008</v>
      </c>
      <c r="K352" s="4">
        <f t="shared" si="5"/>
        <v>4.48</v>
      </c>
      <c r="L352" s="4">
        <f t="shared" si="6"/>
        <v>4.3008</v>
      </c>
    </row>
    <row r="353">
      <c r="A353" s="1" t="s">
        <v>554</v>
      </c>
      <c r="B353" s="1" t="s">
        <v>555</v>
      </c>
      <c r="C353" s="3">
        <v>17.92</v>
      </c>
      <c r="D353" s="5"/>
      <c r="E353" s="5"/>
      <c r="F353" s="5"/>
      <c r="G353" s="4">
        <f t="shared" si="1"/>
        <v>8.96</v>
      </c>
      <c r="H353" s="4" t="str">
        <f t="shared" si="2"/>
        <v>Sin precio neto</v>
      </c>
      <c r="I353" s="4" t="str">
        <f t="shared" si="3"/>
        <v>Sin precio neto G.C.</v>
      </c>
      <c r="J353" s="4">
        <f t="shared" si="4"/>
        <v>8.6016</v>
      </c>
      <c r="K353" s="4">
        <f t="shared" si="5"/>
        <v>8.96</v>
      </c>
      <c r="L353" s="4">
        <f t="shared" si="6"/>
        <v>8.6016</v>
      </c>
    </row>
    <row r="354">
      <c r="A354" s="1" t="s">
        <v>556</v>
      </c>
      <c r="B354" s="1" t="s">
        <v>555</v>
      </c>
      <c r="C354" s="3">
        <v>17.92</v>
      </c>
      <c r="D354" s="5"/>
      <c r="E354" s="5"/>
      <c r="F354" s="5"/>
      <c r="G354" s="4">
        <f t="shared" si="1"/>
        <v>8.96</v>
      </c>
      <c r="H354" s="4" t="str">
        <f t="shared" si="2"/>
        <v>Sin precio neto</v>
      </c>
      <c r="I354" s="4" t="str">
        <f t="shared" si="3"/>
        <v>Sin precio neto G.C.</v>
      </c>
      <c r="J354" s="4">
        <f t="shared" si="4"/>
        <v>8.6016</v>
      </c>
      <c r="K354" s="4">
        <f t="shared" si="5"/>
        <v>8.96</v>
      </c>
      <c r="L354" s="4">
        <f t="shared" si="6"/>
        <v>8.6016</v>
      </c>
    </row>
    <row r="355">
      <c r="A355" s="3">
        <v>325.0</v>
      </c>
      <c r="B355" s="1" t="s">
        <v>557</v>
      </c>
      <c r="C355" s="3">
        <v>5.2</v>
      </c>
      <c r="D355" s="3">
        <v>2.1</v>
      </c>
      <c r="E355" s="3">
        <v>2.1</v>
      </c>
      <c r="F355" s="3">
        <v>1.0</v>
      </c>
      <c r="G355" s="4">
        <f t="shared" si="1"/>
        <v>2.6</v>
      </c>
      <c r="H355" s="4" t="str">
        <f t="shared" si="2"/>
        <v>Neto: 2,10 € (a partir de 1 uds.)</v>
      </c>
      <c r="I355" s="4" t="str">
        <f t="shared" si="3"/>
        <v>Neto G.C.: 2,10 € (a partir de 1 uds.)</v>
      </c>
      <c r="J355" s="4">
        <f t="shared" si="4"/>
        <v>2.496</v>
      </c>
      <c r="K355" s="4">
        <f t="shared" si="5"/>
        <v>2.6</v>
      </c>
      <c r="L355" s="4">
        <f t="shared" si="6"/>
        <v>2.496</v>
      </c>
    </row>
    <row r="356">
      <c r="A356" s="1" t="s">
        <v>558</v>
      </c>
      <c r="B356" s="1" t="s">
        <v>559</v>
      </c>
      <c r="C356" s="3">
        <v>4.5</v>
      </c>
      <c r="D356" s="5"/>
      <c r="E356" s="5"/>
      <c r="F356" s="5"/>
      <c r="G356" s="4">
        <f t="shared" si="1"/>
        <v>2.25</v>
      </c>
      <c r="H356" s="4" t="str">
        <f t="shared" si="2"/>
        <v>Sin precio neto</v>
      </c>
      <c r="I356" s="4" t="str">
        <f t="shared" si="3"/>
        <v>Sin precio neto G.C.</v>
      </c>
      <c r="J356" s="4">
        <f t="shared" si="4"/>
        <v>2.16</v>
      </c>
      <c r="K356" s="4">
        <f t="shared" si="5"/>
        <v>2.25</v>
      </c>
      <c r="L356" s="4">
        <f t="shared" si="6"/>
        <v>2.16</v>
      </c>
    </row>
    <row r="357">
      <c r="A357" s="1" t="s">
        <v>560</v>
      </c>
      <c r="B357" s="1" t="s">
        <v>561</v>
      </c>
      <c r="C357" s="3">
        <v>4.5</v>
      </c>
      <c r="D357" s="5"/>
      <c r="E357" s="5"/>
      <c r="F357" s="5"/>
      <c r="G357" s="4">
        <f t="shared" si="1"/>
        <v>2.25</v>
      </c>
      <c r="H357" s="4" t="str">
        <f t="shared" si="2"/>
        <v>Sin precio neto</v>
      </c>
      <c r="I357" s="4" t="str">
        <f t="shared" si="3"/>
        <v>Sin precio neto G.C.</v>
      </c>
      <c r="J357" s="4">
        <f t="shared" si="4"/>
        <v>2.16</v>
      </c>
      <c r="K357" s="4">
        <f t="shared" si="5"/>
        <v>2.25</v>
      </c>
      <c r="L357" s="4">
        <f t="shared" si="6"/>
        <v>2.16</v>
      </c>
    </row>
    <row r="358">
      <c r="A358" s="1" t="s">
        <v>562</v>
      </c>
      <c r="B358" s="1" t="s">
        <v>563</v>
      </c>
      <c r="C358" s="3">
        <v>8.96</v>
      </c>
      <c r="D358" s="5"/>
      <c r="E358" s="5"/>
      <c r="F358" s="5"/>
      <c r="G358" s="4">
        <f t="shared" si="1"/>
        <v>4.48</v>
      </c>
      <c r="H358" s="4" t="str">
        <f t="shared" si="2"/>
        <v>Sin precio neto</v>
      </c>
      <c r="I358" s="4" t="str">
        <f t="shared" si="3"/>
        <v>Sin precio neto G.C.</v>
      </c>
      <c r="J358" s="4">
        <f t="shared" si="4"/>
        <v>4.3008</v>
      </c>
      <c r="K358" s="4">
        <f t="shared" si="5"/>
        <v>4.48</v>
      </c>
      <c r="L358" s="4">
        <f t="shared" si="6"/>
        <v>4.3008</v>
      </c>
    </row>
    <row r="359">
      <c r="A359" s="1" t="s">
        <v>564</v>
      </c>
      <c r="B359" s="1" t="s">
        <v>565</v>
      </c>
      <c r="C359" s="3">
        <v>8.96</v>
      </c>
      <c r="D359" s="5"/>
      <c r="E359" s="5"/>
      <c r="F359" s="5"/>
      <c r="G359" s="4">
        <f t="shared" si="1"/>
        <v>4.48</v>
      </c>
      <c r="H359" s="4" t="str">
        <f t="shared" si="2"/>
        <v>Sin precio neto</v>
      </c>
      <c r="I359" s="4" t="str">
        <f t="shared" si="3"/>
        <v>Sin precio neto G.C.</v>
      </c>
      <c r="J359" s="4">
        <f t="shared" si="4"/>
        <v>4.3008</v>
      </c>
      <c r="K359" s="4">
        <f t="shared" si="5"/>
        <v>4.48</v>
      </c>
      <c r="L359" s="4">
        <f t="shared" si="6"/>
        <v>4.3008</v>
      </c>
    </row>
    <row r="360">
      <c r="A360" s="1" t="s">
        <v>566</v>
      </c>
      <c r="B360" s="1" t="s">
        <v>567</v>
      </c>
      <c r="C360" s="3">
        <v>17.92</v>
      </c>
      <c r="D360" s="5"/>
      <c r="E360" s="5"/>
      <c r="F360" s="5"/>
      <c r="G360" s="4">
        <f t="shared" si="1"/>
        <v>8.96</v>
      </c>
      <c r="H360" s="4" t="str">
        <f t="shared" si="2"/>
        <v>Sin precio neto</v>
      </c>
      <c r="I360" s="4" t="str">
        <f t="shared" si="3"/>
        <v>Sin precio neto G.C.</v>
      </c>
      <c r="J360" s="4">
        <f t="shared" si="4"/>
        <v>8.6016</v>
      </c>
      <c r="K360" s="4">
        <f t="shared" si="5"/>
        <v>8.96</v>
      </c>
      <c r="L360" s="4">
        <f t="shared" si="6"/>
        <v>8.6016</v>
      </c>
    </row>
    <row r="361">
      <c r="A361" s="1" t="s">
        <v>568</v>
      </c>
      <c r="B361" s="1" t="s">
        <v>569</v>
      </c>
      <c r="C361" s="3">
        <v>17.92</v>
      </c>
      <c r="D361" s="5"/>
      <c r="E361" s="5"/>
      <c r="F361" s="5"/>
      <c r="G361" s="4">
        <f t="shared" si="1"/>
        <v>8.96</v>
      </c>
      <c r="H361" s="4" t="str">
        <f t="shared" si="2"/>
        <v>Sin precio neto</v>
      </c>
      <c r="I361" s="4" t="str">
        <f t="shared" si="3"/>
        <v>Sin precio neto G.C.</v>
      </c>
      <c r="J361" s="4">
        <f t="shared" si="4"/>
        <v>8.6016</v>
      </c>
      <c r="K361" s="4">
        <f t="shared" si="5"/>
        <v>8.96</v>
      </c>
      <c r="L361" s="4">
        <f t="shared" si="6"/>
        <v>8.6016</v>
      </c>
    </row>
    <row r="362">
      <c r="A362" s="3">
        <v>326.0</v>
      </c>
      <c r="B362" s="1" t="s">
        <v>570</v>
      </c>
      <c r="C362" s="3">
        <v>5.2</v>
      </c>
      <c r="D362" s="3">
        <v>2.1</v>
      </c>
      <c r="E362" s="3">
        <v>2.1</v>
      </c>
      <c r="F362" s="3">
        <v>1.0</v>
      </c>
      <c r="G362" s="4">
        <f t="shared" si="1"/>
        <v>2.6</v>
      </c>
      <c r="H362" s="4" t="str">
        <f t="shared" si="2"/>
        <v>Neto: 2,10 € (a partir de 1 uds.)</v>
      </c>
      <c r="I362" s="4" t="str">
        <f t="shared" si="3"/>
        <v>Neto G.C.: 2,10 € (a partir de 1 uds.)</v>
      </c>
      <c r="J362" s="4">
        <f t="shared" si="4"/>
        <v>2.496</v>
      </c>
      <c r="K362" s="4">
        <f t="shared" si="5"/>
        <v>2.6</v>
      </c>
      <c r="L362" s="4">
        <f t="shared" si="6"/>
        <v>2.496</v>
      </c>
    </row>
    <row r="363">
      <c r="A363" s="1" t="s">
        <v>571</v>
      </c>
      <c r="B363" s="1" t="s">
        <v>572</v>
      </c>
      <c r="C363" s="3">
        <v>4.5</v>
      </c>
      <c r="D363" s="5"/>
      <c r="E363" s="5"/>
      <c r="F363" s="5"/>
      <c r="G363" s="4">
        <f t="shared" si="1"/>
        <v>2.25</v>
      </c>
      <c r="H363" s="4" t="str">
        <f t="shared" si="2"/>
        <v>Sin precio neto</v>
      </c>
      <c r="I363" s="4" t="str">
        <f t="shared" si="3"/>
        <v>Sin precio neto G.C.</v>
      </c>
      <c r="J363" s="4">
        <f t="shared" si="4"/>
        <v>2.16</v>
      </c>
      <c r="K363" s="4">
        <f t="shared" si="5"/>
        <v>2.25</v>
      </c>
      <c r="L363" s="4">
        <f t="shared" si="6"/>
        <v>2.16</v>
      </c>
    </row>
    <row r="364">
      <c r="A364" s="1" t="s">
        <v>573</v>
      </c>
      <c r="B364" s="1" t="s">
        <v>572</v>
      </c>
      <c r="C364" s="3">
        <v>4.5</v>
      </c>
      <c r="D364" s="5"/>
      <c r="E364" s="5"/>
      <c r="F364" s="5"/>
      <c r="G364" s="4">
        <f t="shared" si="1"/>
        <v>2.25</v>
      </c>
      <c r="H364" s="4" t="str">
        <f t="shared" si="2"/>
        <v>Sin precio neto</v>
      </c>
      <c r="I364" s="4" t="str">
        <f t="shared" si="3"/>
        <v>Sin precio neto G.C.</v>
      </c>
      <c r="J364" s="4">
        <f t="shared" si="4"/>
        <v>2.16</v>
      </c>
      <c r="K364" s="4">
        <f t="shared" si="5"/>
        <v>2.25</v>
      </c>
      <c r="L364" s="4">
        <f t="shared" si="6"/>
        <v>2.16</v>
      </c>
    </row>
    <row r="365">
      <c r="A365" s="1" t="s">
        <v>574</v>
      </c>
      <c r="B365" s="1" t="s">
        <v>575</v>
      </c>
      <c r="C365" s="3">
        <v>8.96</v>
      </c>
      <c r="D365" s="5"/>
      <c r="E365" s="5"/>
      <c r="F365" s="5"/>
      <c r="G365" s="4">
        <f t="shared" si="1"/>
        <v>4.48</v>
      </c>
      <c r="H365" s="4" t="str">
        <f t="shared" si="2"/>
        <v>Sin precio neto</v>
      </c>
      <c r="I365" s="4" t="str">
        <f t="shared" si="3"/>
        <v>Sin precio neto G.C.</v>
      </c>
      <c r="J365" s="4">
        <f t="shared" si="4"/>
        <v>4.3008</v>
      </c>
      <c r="K365" s="4">
        <f t="shared" si="5"/>
        <v>4.48</v>
      </c>
      <c r="L365" s="4">
        <f t="shared" si="6"/>
        <v>4.3008</v>
      </c>
    </row>
    <row r="366">
      <c r="A366" s="1" t="s">
        <v>576</v>
      </c>
      <c r="B366" s="1" t="s">
        <v>575</v>
      </c>
      <c r="C366" s="3">
        <v>8.96</v>
      </c>
      <c r="D366" s="5"/>
      <c r="E366" s="5"/>
      <c r="F366" s="5"/>
      <c r="G366" s="4">
        <f t="shared" si="1"/>
        <v>4.48</v>
      </c>
      <c r="H366" s="4" t="str">
        <f t="shared" si="2"/>
        <v>Sin precio neto</v>
      </c>
      <c r="I366" s="4" t="str">
        <f t="shared" si="3"/>
        <v>Sin precio neto G.C.</v>
      </c>
      <c r="J366" s="4">
        <f t="shared" si="4"/>
        <v>4.3008</v>
      </c>
      <c r="K366" s="4">
        <f t="shared" si="5"/>
        <v>4.48</v>
      </c>
      <c r="L366" s="4">
        <f t="shared" si="6"/>
        <v>4.3008</v>
      </c>
    </row>
    <row r="367">
      <c r="A367" s="1" t="s">
        <v>577</v>
      </c>
      <c r="B367" s="1" t="s">
        <v>578</v>
      </c>
      <c r="C367" s="3">
        <v>17.92</v>
      </c>
      <c r="D367" s="5"/>
      <c r="E367" s="5"/>
      <c r="F367" s="5"/>
      <c r="G367" s="4">
        <f t="shared" si="1"/>
        <v>8.96</v>
      </c>
      <c r="H367" s="4" t="str">
        <f t="shared" si="2"/>
        <v>Sin precio neto</v>
      </c>
      <c r="I367" s="4" t="str">
        <f t="shared" si="3"/>
        <v>Sin precio neto G.C.</v>
      </c>
      <c r="J367" s="4">
        <f t="shared" si="4"/>
        <v>8.6016</v>
      </c>
      <c r="K367" s="4">
        <f t="shared" si="5"/>
        <v>8.96</v>
      </c>
      <c r="L367" s="4">
        <f t="shared" si="6"/>
        <v>8.6016</v>
      </c>
    </row>
    <row r="368">
      <c r="A368" s="1" t="s">
        <v>579</v>
      </c>
      <c r="B368" s="1" t="s">
        <v>578</v>
      </c>
      <c r="C368" s="3">
        <v>17.92</v>
      </c>
      <c r="D368" s="5"/>
      <c r="E368" s="5"/>
      <c r="F368" s="5"/>
      <c r="G368" s="4">
        <f t="shared" si="1"/>
        <v>8.96</v>
      </c>
      <c r="H368" s="4" t="str">
        <f t="shared" si="2"/>
        <v>Sin precio neto</v>
      </c>
      <c r="I368" s="4" t="str">
        <f t="shared" si="3"/>
        <v>Sin precio neto G.C.</v>
      </c>
      <c r="J368" s="4">
        <f t="shared" si="4"/>
        <v>8.6016</v>
      </c>
      <c r="K368" s="4">
        <f t="shared" si="5"/>
        <v>8.96</v>
      </c>
      <c r="L368" s="4">
        <f t="shared" si="6"/>
        <v>8.6016</v>
      </c>
    </row>
    <row r="369">
      <c r="A369" s="3">
        <v>327.0</v>
      </c>
      <c r="B369" s="1" t="s">
        <v>580</v>
      </c>
      <c r="C369" s="3">
        <v>5.2</v>
      </c>
      <c r="D369" s="3">
        <v>2.1</v>
      </c>
      <c r="E369" s="3">
        <v>2.1</v>
      </c>
      <c r="F369" s="3">
        <v>1.0</v>
      </c>
      <c r="G369" s="4">
        <f t="shared" si="1"/>
        <v>2.6</v>
      </c>
      <c r="H369" s="4" t="str">
        <f t="shared" si="2"/>
        <v>Neto: 2,10 € (a partir de 1 uds.)</v>
      </c>
      <c r="I369" s="4" t="str">
        <f t="shared" si="3"/>
        <v>Neto G.C.: 2,10 € (a partir de 1 uds.)</v>
      </c>
      <c r="J369" s="4">
        <f t="shared" si="4"/>
        <v>2.496</v>
      </c>
      <c r="K369" s="4">
        <f t="shared" si="5"/>
        <v>2.6</v>
      </c>
      <c r="L369" s="4">
        <f t="shared" si="6"/>
        <v>2.496</v>
      </c>
    </row>
    <row r="370">
      <c r="A370" s="1" t="s">
        <v>581</v>
      </c>
      <c r="B370" s="1" t="s">
        <v>572</v>
      </c>
      <c r="C370" s="3">
        <v>4.5</v>
      </c>
      <c r="D370" s="5"/>
      <c r="E370" s="5"/>
      <c r="F370" s="5"/>
      <c r="G370" s="4">
        <f t="shared" si="1"/>
        <v>2.25</v>
      </c>
      <c r="H370" s="4" t="str">
        <f t="shared" si="2"/>
        <v>Sin precio neto</v>
      </c>
      <c r="I370" s="4" t="str">
        <f t="shared" si="3"/>
        <v>Sin precio neto G.C.</v>
      </c>
      <c r="J370" s="4">
        <f t="shared" si="4"/>
        <v>2.16</v>
      </c>
      <c r="K370" s="4">
        <f t="shared" si="5"/>
        <v>2.25</v>
      </c>
      <c r="L370" s="4">
        <f t="shared" si="6"/>
        <v>2.16</v>
      </c>
    </row>
    <row r="371">
      <c r="A371" s="1" t="s">
        <v>582</v>
      </c>
      <c r="B371" s="1" t="s">
        <v>572</v>
      </c>
      <c r="C371" s="3">
        <v>4.5</v>
      </c>
      <c r="D371" s="5"/>
      <c r="E371" s="5"/>
      <c r="F371" s="5"/>
      <c r="G371" s="4">
        <f t="shared" si="1"/>
        <v>2.25</v>
      </c>
      <c r="H371" s="4" t="str">
        <f t="shared" si="2"/>
        <v>Sin precio neto</v>
      </c>
      <c r="I371" s="4" t="str">
        <f t="shared" si="3"/>
        <v>Sin precio neto G.C.</v>
      </c>
      <c r="J371" s="4">
        <f t="shared" si="4"/>
        <v>2.16</v>
      </c>
      <c r="K371" s="4">
        <f t="shared" si="5"/>
        <v>2.25</v>
      </c>
      <c r="L371" s="4">
        <f t="shared" si="6"/>
        <v>2.16</v>
      </c>
    </row>
    <row r="372">
      <c r="A372" s="1" t="s">
        <v>583</v>
      </c>
      <c r="B372" s="1" t="s">
        <v>575</v>
      </c>
      <c r="C372" s="3">
        <v>8.96</v>
      </c>
      <c r="D372" s="5"/>
      <c r="E372" s="5"/>
      <c r="F372" s="5"/>
      <c r="G372" s="4">
        <f t="shared" si="1"/>
        <v>4.48</v>
      </c>
      <c r="H372" s="4" t="str">
        <f t="shared" si="2"/>
        <v>Sin precio neto</v>
      </c>
      <c r="I372" s="4" t="str">
        <f t="shared" si="3"/>
        <v>Sin precio neto G.C.</v>
      </c>
      <c r="J372" s="4">
        <f t="shared" si="4"/>
        <v>4.3008</v>
      </c>
      <c r="K372" s="4">
        <f t="shared" si="5"/>
        <v>4.48</v>
      </c>
      <c r="L372" s="4">
        <f t="shared" si="6"/>
        <v>4.3008</v>
      </c>
    </row>
    <row r="373">
      <c r="A373" s="1" t="s">
        <v>584</v>
      </c>
      <c r="B373" s="1" t="s">
        <v>575</v>
      </c>
      <c r="C373" s="3">
        <v>8.96</v>
      </c>
      <c r="D373" s="5"/>
      <c r="E373" s="5"/>
      <c r="F373" s="5"/>
      <c r="G373" s="4">
        <f t="shared" si="1"/>
        <v>4.48</v>
      </c>
      <c r="H373" s="4" t="str">
        <f t="shared" si="2"/>
        <v>Sin precio neto</v>
      </c>
      <c r="I373" s="4" t="str">
        <f t="shared" si="3"/>
        <v>Sin precio neto G.C.</v>
      </c>
      <c r="J373" s="4">
        <f t="shared" si="4"/>
        <v>4.3008</v>
      </c>
      <c r="K373" s="4">
        <f t="shared" si="5"/>
        <v>4.48</v>
      </c>
      <c r="L373" s="4">
        <f t="shared" si="6"/>
        <v>4.3008</v>
      </c>
    </row>
    <row r="374">
      <c r="A374" s="1" t="s">
        <v>585</v>
      </c>
      <c r="B374" s="1" t="s">
        <v>578</v>
      </c>
      <c r="C374" s="3">
        <v>17.92</v>
      </c>
      <c r="D374" s="5"/>
      <c r="E374" s="5"/>
      <c r="F374" s="5"/>
      <c r="G374" s="4">
        <f t="shared" si="1"/>
        <v>8.96</v>
      </c>
      <c r="H374" s="4" t="str">
        <f t="shared" si="2"/>
        <v>Sin precio neto</v>
      </c>
      <c r="I374" s="4" t="str">
        <f t="shared" si="3"/>
        <v>Sin precio neto G.C.</v>
      </c>
      <c r="J374" s="4">
        <f t="shared" si="4"/>
        <v>8.6016</v>
      </c>
      <c r="K374" s="4">
        <f t="shared" si="5"/>
        <v>8.96</v>
      </c>
      <c r="L374" s="4">
        <f t="shared" si="6"/>
        <v>8.6016</v>
      </c>
    </row>
    <row r="375">
      <c r="A375" s="1" t="s">
        <v>586</v>
      </c>
      <c r="B375" s="1" t="s">
        <v>578</v>
      </c>
      <c r="C375" s="3">
        <v>17.92</v>
      </c>
      <c r="D375" s="5"/>
      <c r="E375" s="5"/>
      <c r="F375" s="5"/>
      <c r="G375" s="4">
        <f t="shared" si="1"/>
        <v>8.96</v>
      </c>
      <c r="H375" s="4" t="str">
        <f t="shared" si="2"/>
        <v>Sin precio neto</v>
      </c>
      <c r="I375" s="4" t="str">
        <f t="shared" si="3"/>
        <v>Sin precio neto G.C.</v>
      </c>
      <c r="J375" s="4">
        <f t="shared" si="4"/>
        <v>8.6016</v>
      </c>
      <c r="K375" s="4">
        <f t="shared" si="5"/>
        <v>8.96</v>
      </c>
      <c r="L375" s="4">
        <f t="shared" si="6"/>
        <v>8.6016</v>
      </c>
    </row>
    <row r="376">
      <c r="A376" s="3">
        <v>328.0</v>
      </c>
      <c r="B376" s="1" t="s">
        <v>587</v>
      </c>
      <c r="C376" s="3">
        <v>5.2</v>
      </c>
      <c r="D376" s="3">
        <v>2.1</v>
      </c>
      <c r="E376" s="3">
        <v>2.1</v>
      </c>
      <c r="F376" s="3">
        <v>1.0</v>
      </c>
      <c r="G376" s="4">
        <f t="shared" si="1"/>
        <v>2.6</v>
      </c>
      <c r="H376" s="4" t="str">
        <f t="shared" si="2"/>
        <v>Neto: 2,10 € (a partir de 1 uds.)</v>
      </c>
      <c r="I376" s="4" t="str">
        <f t="shared" si="3"/>
        <v>Neto G.C.: 2,10 € (a partir de 1 uds.)</v>
      </c>
      <c r="J376" s="4">
        <f t="shared" si="4"/>
        <v>2.496</v>
      </c>
      <c r="K376" s="4">
        <f t="shared" si="5"/>
        <v>2.6</v>
      </c>
      <c r="L376" s="4">
        <f t="shared" si="6"/>
        <v>2.496</v>
      </c>
    </row>
    <row r="377">
      <c r="A377" s="1" t="s">
        <v>588</v>
      </c>
      <c r="B377" s="1" t="s">
        <v>589</v>
      </c>
      <c r="C377" s="3">
        <v>5.04</v>
      </c>
      <c r="D377" s="3">
        <v>2.1</v>
      </c>
      <c r="E377" s="3">
        <v>2.1</v>
      </c>
      <c r="F377" s="3">
        <v>1.0</v>
      </c>
      <c r="G377" s="4">
        <f t="shared" si="1"/>
        <v>2.52</v>
      </c>
      <c r="H377" s="4" t="str">
        <f t="shared" si="2"/>
        <v>Neto: 2,10 € (a partir de 1 uds.)</v>
      </c>
      <c r="I377" s="4" t="str">
        <f t="shared" si="3"/>
        <v>Neto G.C.: 2,10 € (a partir de 1 uds.)</v>
      </c>
      <c r="J377" s="4">
        <f t="shared" si="4"/>
        <v>2.4192</v>
      </c>
      <c r="K377" s="4">
        <f t="shared" si="5"/>
        <v>2.52</v>
      </c>
      <c r="L377" s="4">
        <f t="shared" si="6"/>
        <v>2.4192</v>
      </c>
    </row>
    <row r="378">
      <c r="A378" s="1" t="s">
        <v>590</v>
      </c>
      <c r="B378" s="1" t="s">
        <v>591</v>
      </c>
      <c r="C378" s="3">
        <v>6.2</v>
      </c>
      <c r="D378" s="3">
        <v>3.2</v>
      </c>
      <c r="E378" s="3">
        <v>3.2</v>
      </c>
      <c r="F378" s="3">
        <v>1.0</v>
      </c>
      <c r="G378" s="4">
        <f t="shared" si="1"/>
        <v>3.1</v>
      </c>
      <c r="H378" s="4" t="str">
        <f t="shared" si="2"/>
        <v>Neto: 3,20 € (a partir de 1 uds.)</v>
      </c>
      <c r="I378" s="4" t="str">
        <f t="shared" si="3"/>
        <v>Neto G.C.: 3,20 € (a partir de 1 uds.)</v>
      </c>
      <c r="J378" s="4">
        <f t="shared" si="4"/>
        <v>2.976</v>
      </c>
      <c r="K378" s="4">
        <f t="shared" si="5"/>
        <v>3.1</v>
      </c>
      <c r="L378" s="4">
        <f t="shared" si="6"/>
        <v>2.976</v>
      </c>
    </row>
    <row r="379">
      <c r="A379" s="3">
        <v>329.0</v>
      </c>
      <c r="B379" s="1" t="s">
        <v>592</v>
      </c>
      <c r="C379" s="3">
        <v>5.2</v>
      </c>
      <c r="D379" s="3">
        <v>2.1</v>
      </c>
      <c r="E379" s="3">
        <v>2.1</v>
      </c>
      <c r="F379" s="3">
        <v>1.0</v>
      </c>
      <c r="G379" s="4">
        <f t="shared" si="1"/>
        <v>2.6</v>
      </c>
      <c r="H379" s="4" t="str">
        <f t="shared" si="2"/>
        <v>Neto: 2,10 € (a partir de 1 uds.)</v>
      </c>
      <c r="I379" s="4" t="str">
        <f t="shared" si="3"/>
        <v>Neto G.C.: 2,10 € (a partir de 1 uds.)</v>
      </c>
      <c r="J379" s="4">
        <f t="shared" si="4"/>
        <v>2.496</v>
      </c>
      <c r="K379" s="4">
        <f t="shared" si="5"/>
        <v>2.6</v>
      </c>
      <c r="L379" s="4">
        <f t="shared" si="6"/>
        <v>2.496</v>
      </c>
    </row>
    <row r="380">
      <c r="A380" s="1" t="s">
        <v>593</v>
      </c>
      <c r="B380" s="1" t="s">
        <v>594</v>
      </c>
      <c r="C380" s="3">
        <v>5.04</v>
      </c>
      <c r="D380" s="3">
        <v>2.1</v>
      </c>
      <c r="E380" s="3">
        <v>2.1</v>
      </c>
      <c r="F380" s="3">
        <v>1.0</v>
      </c>
      <c r="G380" s="4">
        <f t="shared" si="1"/>
        <v>2.52</v>
      </c>
      <c r="H380" s="4" t="str">
        <f t="shared" si="2"/>
        <v>Neto: 2,10 € (a partir de 1 uds.)</v>
      </c>
      <c r="I380" s="4" t="str">
        <f t="shared" si="3"/>
        <v>Neto G.C.: 2,10 € (a partir de 1 uds.)</v>
      </c>
      <c r="J380" s="4">
        <f t="shared" si="4"/>
        <v>2.4192</v>
      </c>
      <c r="K380" s="4">
        <f t="shared" si="5"/>
        <v>2.52</v>
      </c>
      <c r="L380" s="4">
        <f t="shared" si="6"/>
        <v>2.4192</v>
      </c>
    </row>
    <row r="381">
      <c r="A381" s="1" t="s">
        <v>595</v>
      </c>
      <c r="B381" s="1" t="s">
        <v>596</v>
      </c>
      <c r="C381" s="3">
        <v>6.2</v>
      </c>
      <c r="D381" s="3">
        <v>3.2</v>
      </c>
      <c r="E381" s="3">
        <v>3.2</v>
      </c>
      <c r="F381" s="3">
        <v>1.0</v>
      </c>
      <c r="G381" s="4">
        <f t="shared" si="1"/>
        <v>3.1</v>
      </c>
      <c r="H381" s="4" t="str">
        <f t="shared" si="2"/>
        <v>Neto: 3,20 € (a partir de 1 uds.)</v>
      </c>
      <c r="I381" s="4" t="str">
        <f t="shared" si="3"/>
        <v>Neto G.C.: 3,20 € (a partir de 1 uds.)</v>
      </c>
      <c r="J381" s="4">
        <f t="shared" si="4"/>
        <v>2.976</v>
      </c>
      <c r="K381" s="4">
        <f t="shared" si="5"/>
        <v>3.1</v>
      </c>
      <c r="L381" s="4">
        <f t="shared" si="6"/>
        <v>2.976</v>
      </c>
    </row>
    <row r="382">
      <c r="A382" s="3">
        <v>330.0</v>
      </c>
      <c r="B382" s="1" t="s">
        <v>597</v>
      </c>
      <c r="C382" s="3">
        <v>5.2</v>
      </c>
      <c r="D382" s="3">
        <v>2.1</v>
      </c>
      <c r="E382" s="3">
        <v>2.1</v>
      </c>
      <c r="F382" s="3">
        <v>1.0</v>
      </c>
      <c r="G382" s="4">
        <f t="shared" si="1"/>
        <v>2.6</v>
      </c>
      <c r="H382" s="4" t="str">
        <f t="shared" si="2"/>
        <v>Neto: 2,10 € (a partir de 1 uds.)</v>
      </c>
      <c r="I382" s="4" t="str">
        <f t="shared" si="3"/>
        <v>Neto G.C.: 2,10 € (a partir de 1 uds.)</v>
      </c>
      <c r="J382" s="4">
        <f t="shared" si="4"/>
        <v>2.496</v>
      </c>
      <c r="K382" s="4">
        <f t="shared" si="5"/>
        <v>2.6</v>
      </c>
      <c r="L382" s="4">
        <f t="shared" si="6"/>
        <v>2.496</v>
      </c>
    </row>
    <row r="383">
      <c r="A383" s="1" t="s">
        <v>598</v>
      </c>
      <c r="B383" s="1" t="s">
        <v>599</v>
      </c>
      <c r="C383" s="3">
        <v>5.04</v>
      </c>
      <c r="D383" s="3">
        <v>2.1</v>
      </c>
      <c r="E383" s="3">
        <v>2.1</v>
      </c>
      <c r="F383" s="3">
        <v>1.0</v>
      </c>
      <c r="G383" s="4">
        <f t="shared" si="1"/>
        <v>2.52</v>
      </c>
      <c r="H383" s="4" t="str">
        <f t="shared" si="2"/>
        <v>Neto: 2,10 € (a partir de 1 uds.)</v>
      </c>
      <c r="I383" s="4" t="str">
        <f t="shared" si="3"/>
        <v>Neto G.C.: 2,10 € (a partir de 1 uds.)</v>
      </c>
      <c r="J383" s="4">
        <f t="shared" si="4"/>
        <v>2.4192</v>
      </c>
      <c r="K383" s="4">
        <f t="shared" si="5"/>
        <v>2.52</v>
      </c>
      <c r="L383" s="4">
        <f t="shared" si="6"/>
        <v>2.4192</v>
      </c>
    </row>
    <row r="384">
      <c r="A384" s="1" t="s">
        <v>600</v>
      </c>
      <c r="B384" s="1" t="s">
        <v>601</v>
      </c>
      <c r="C384" s="3">
        <v>6.2</v>
      </c>
      <c r="D384" s="3">
        <v>3.2</v>
      </c>
      <c r="E384" s="3">
        <v>3.2</v>
      </c>
      <c r="F384" s="3">
        <v>1.0</v>
      </c>
      <c r="G384" s="4">
        <f t="shared" si="1"/>
        <v>3.1</v>
      </c>
      <c r="H384" s="4" t="str">
        <f t="shared" si="2"/>
        <v>Neto: 3,20 € (a partir de 1 uds.)</v>
      </c>
      <c r="I384" s="4" t="str">
        <f t="shared" si="3"/>
        <v>Neto G.C.: 3,20 € (a partir de 1 uds.)</v>
      </c>
      <c r="J384" s="4">
        <f t="shared" si="4"/>
        <v>2.976</v>
      </c>
      <c r="K384" s="4">
        <f t="shared" si="5"/>
        <v>3.1</v>
      </c>
      <c r="L384" s="4">
        <f t="shared" si="6"/>
        <v>2.976</v>
      </c>
    </row>
    <row r="385">
      <c r="A385" s="3">
        <v>331.0</v>
      </c>
      <c r="B385" s="1" t="s">
        <v>602</v>
      </c>
      <c r="C385" s="3">
        <v>5.2</v>
      </c>
      <c r="D385" s="3">
        <v>2.1</v>
      </c>
      <c r="E385" s="3">
        <v>2.1</v>
      </c>
      <c r="F385" s="3">
        <v>1.0</v>
      </c>
      <c r="G385" s="4">
        <f t="shared" si="1"/>
        <v>2.6</v>
      </c>
      <c r="H385" s="4" t="str">
        <f t="shared" si="2"/>
        <v>Neto: 2,10 € (a partir de 1 uds.)</v>
      </c>
      <c r="I385" s="4" t="str">
        <f t="shared" si="3"/>
        <v>Neto G.C.: 2,10 € (a partir de 1 uds.)</v>
      </c>
      <c r="J385" s="4">
        <f t="shared" si="4"/>
        <v>2.496</v>
      </c>
      <c r="K385" s="4">
        <f t="shared" si="5"/>
        <v>2.6</v>
      </c>
      <c r="L385" s="4">
        <f t="shared" si="6"/>
        <v>2.496</v>
      </c>
    </row>
    <row r="386">
      <c r="A386" s="3">
        <v>332.0</v>
      </c>
      <c r="B386" s="1" t="s">
        <v>603</v>
      </c>
      <c r="C386" s="3">
        <v>5.2</v>
      </c>
      <c r="D386" s="3">
        <v>2.1</v>
      </c>
      <c r="E386" s="3">
        <v>2.1</v>
      </c>
      <c r="F386" s="3">
        <v>1.0</v>
      </c>
      <c r="G386" s="4">
        <f t="shared" si="1"/>
        <v>2.6</v>
      </c>
      <c r="H386" s="4" t="str">
        <f t="shared" si="2"/>
        <v>Neto: 2,10 € (a partir de 1 uds.)</v>
      </c>
      <c r="I386" s="4" t="str">
        <f t="shared" si="3"/>
        <v>Neto G.C.: 2,10 € (a partir de 1 uds.)</v>
      </c>
      <c r="J386" s="4">
        <f t="shared" si="4"/>
        <v>2.496</v>
      </c>
      <c r="K386" s="4">
        <f t="shared" si="5"/>
        <v>2.6</v>
      </c>
      <c r="L386" s="4">
        <f t="shared" si="6"/>
        <v>2.496</v>
      </c>
    </row>
    <row r="387">
      <c r="A387" s="3">
        <v>333.0</v>
      </c>
      <c r="B387" s="1" t="s">
        <v>604</v>
      </c>
      <c r="C387" s="3">
        <v>5.2</v>
      </c>
      <c r="D387" s="3">
        <v>2.1</v>
      </c>
      <c r="E387" s="3">
        <v>2.1</v>
      </c>
      <c r="F387" s="3">
        <v>1.0</v>
      </c>
      <c r="G387" s="4">
        <f t="shared" si="1"/>
        <v>2.6</v>
      </c>
      <c r="H387" s="4" t="str">
        <f t="shared" si="2"/>
        <v>Neto: 2,10 € (a partir de 1 uds.)</v>
      </c>
      <c r="I387" s="4" t="str">
        <f t="shared" si="3"/>
        <v>Neto G.C.: 2,10 € (a partir de 1 uds.)</v>
      </c>
      <c r="J387" s="4">
        <f t="shared" si="4"/>
        <v>2.496</v>
      </c>
      <c r="K387" s="4">
        <f t="shared" si="5"/>
        <v>2.6</v>
      </c>
      <c r="L387" s="4">
        <f t="shared" si="6"/>
        <v>2.496</v>
      </c>
    </row>
    <row r="388">
      <c r="A388" s="3">
        <v>334.0</v>
      </c>
      <c r="B388" s="1" t="s">
        <v>605</v>
      </c>
      <c r="C388" s="3">
        <v>5.2</v>
      </c>
      <c r="D388" s="3">
        <v>2.1</v>
      </c>
      <c r="E388" s="3">
        <v>2.1</v>
      </c>
      <c r="F388" s="3">
        <v>1.0</v>
      </c>
      <c r="G388" s="4">
        <f t="shared" si="1"/>
        <v>2.6</v>
      </c>
      <c r="H388" s="4" t="str">
        <f t="shared" si="2"/>
        <v>Neto: 2,10 € (a partir de 1 uds.)</v>
      </c>
      <c r="I388" s="4" t="str">
        <f t="shared" si="3"/>
        <v>Neto G.C.: 2,10 € (a partir de 1 uds.)</v>
      </c>
      <c r="J388" s="4">
        <f t="shared" si="4"/>
        <v>2.496</v>
      </c>
      <c r="K388" s="4">
        <f t="shared" si="5"/>
        <v>2.6</v>
      </c>
      <c r="L388" s="4">
        <f t="shared" si="6"/>
        <v>2.496</v>
      </c>
    </row>
    <row r="389">
      <c r="A389" s="3">
        <v>335.0</v>
      </c>
      <c r="B389" s="1" t="s">
        <v>606</v>
      </c>
      <c r="C389" s="3">
        <v>5.2</v>
      </c>
      <c r="D389" s="3">
        <v>2.1</v>
      </c>
      <c r="E389" s="3">
        <v>2.1</v>
      </c>
      <c r="F389" s="3">
        <v>1.0</v>
      </c>
      <c r="G389" s="4">
        <f t="shared" si="1"/>
        <v>2.6</v>
      </c>
      <c r="H389" s="4" t="str">
        <f t="shared" si="2"/>
        <v>Neto: 2,10 € (a partir de 1 uds.)</v>
      </c>
      <c r="I389" s="4" t="str">
        <f t="shared" si="3"/>
        <v>Neto G.C.: 2,10 € (a partir de 1 uds.)</v>
      </c>
      <c r="J389" s="4">
        <f t="shared" si="4"/>
        <v>2.496</v>
      </c>
      <c r="K389" s="4">
        <f t="shared" si="5"/>
        <v>2.6</v>
      </c>
      <c r="L389" s="4">
        <f t="shared" si="6"/>
        <v>2.496</v>
      </c>
    </row>
    <row r="390">
      <c r="A390" s="3">
        <v>336.0</v>
      </c>
      <c r="B390" s="1" t="s">
        <v>607</v>
      </c>
      <c r="C390" s="3">
        <v>5.2</v>
      </c>
      <c r="D390" s="3">
        <v>2.1</v>
      </c>
      <c r="E390" s="3">
        <v>2.1</v>
      </c>
      <c r="F390" s="3">
        <v>1.0</v>
      </c>
      <c r="G390" s="4">
        <f t="shared" si="1"/>
        <v>2.6</v>
      </c>
      <c r="H390" s="4" t="str">
        <f t="shared" si="2"/>
        <v>Neto: 2,10 € (a partir de 1 uds.)</v>
      </c>
      <c r="I390" s="4" t="str">
        <f t="shared" si="3"/>
        <v>Neto G.C.: 2,10 € (a partir de 1 uds.)</v>
      </c>
      <c r="J390" s="4">
        <f t="shared" si="4"/>
        <v>2.496</v>
      </c>
      <c r="K390" s="4">
        <f t="shared" si="5"/>
        <v>2.6</v>
      </c>
      <c r="L390" s="4">
        <f t="shared" si="6"/>
        <v>2.496</v>
      </c>
    </row>
    <row r="391">
      <c r="A391" s="1" t="s">
        <v>608</v>
      </c>
      <c r="B391" s="1" t="s">
        <v>609</v>
      </c>
      <c r="C391" s="3">
        <v>4.5</v>
      </c>
      <c r="D391" s="5"/>
      <c r="E391" s="5"/>
      <c r="F391" s="5"/>
      <c r="G391" s="4">
        <f t="shared" si="1"/>
        <v>2.25</v>
      </c>
      <c r="H391" s="4" t="str">
        <f t="shared" si="2"/>
        <v>Sin precio neto</v>
      </c>
      <c r="I391" s="4" t="str">
        <f t="shared" si="3"/>
        <v>Sin precio neto G.C.</v>
      </c>
      <c r="J391" s="4">
        <f t="shared" si="4"/>
        <v>2.16</v>
      </c>
      <c r="K391" s="4">
        <f t="shared" si="5"/>
        <v>2.25</v>
      </c>
      <c r="L391" s="4">
        <f t="shared" si="6"/>
        <v>2.16</v>
      </c>
    </row>
    <row r="392">
      <c r="A392" s="1" t="s">
        <v>610</v>
      </c>
      <c r="B392" s="1" t="s">
        <v>611</v>
      </c>
      <c r="C392" s="3">
        <v>8.96</v>
      </c>
      <c r="D392" s="5"/>
      <c r="E392" s="5"/>
      <c r="F392" s="5"/>
      <c r="G392" s="4">
        <f t="shared" si="1"/>
        <v>4.48</v>
      </c>
      <c r="H392" s="4" t="str">
        <f t="shared" si="2"/>
        <v>Sin precio neto</v>
      </c>
      <c r="I392" s="4" t="str">
        <f t="shared" si="3"/>
        <v>Sin precio neto G.C.</v>
      </c>
      <c r="J392" s="4">
        <f t="shared" si="4"/>
        <v>4.3008</v>
      </c>
      <c r="K392" s="4">
        <f t="shared" si="5"/>
        <v>4.48</v>
      </c>
      <c r="L392" s="4">
        <f t="shared" si="6"/>
        <v>4.3008</v>
      </c>
    </row>
    <row r="393">
      <c r="A393" s="3">
        <v>337.0</v>
      </c>
      <c r="B393" s="1" t="s">
        <v>612</v>
      </c>
      <c r="C393" s="3">
        <v>5.2</v>
      </c>
      <c r="D393" s="3">
        <v>2.1</v>
      </c>
      <c r="E393" s="3">
        <v>2.1</v>
      </c>
      <c r="F393" s="3">
        <v>1.0</v>
      </c>
      <c r="G393" s="4">
        <f t="shared" si="1"/>
        <v>2.6</v>
      </c>
      <c r="H393" s="4" t="str">
        <f t="shared" si="2"/>
        <v>Neto: 2,10 € (a partir de 1 uds.)</v>
      </c>
      <c r="I393" s="4" t="str">
        <f t="shared" si="3"/>
        <v>Neto G.C.: 2,10 € (a partir de 1 uds.)</v>
      </c>
      <c r="J393" s="4">
        <f t="shared" si="4"/>
        <v>2.496</v>
      </c>
      <c r="K393" s="4">
        <f t="shared" si="5"/>
        <v>2.6</v>
      </c>
      <c r="L393" s="4">
        <f t="shared" si="6"/>
        <v>2.496</v>
      </c>
    </row>
    <row r="394">
      <c r="A394" s="1" t="s">
        <v>613</v>
      </c>
      <c r="B394" s="1" t="s">
        <v>614</v>
      </c>
      <c r="C394" s="3">
        <v>4.5</v>
      </c>
      <c r="D394" s="5"/>
      <c r="E394" s="5"/>
      <c r="F394" s="5"/>
      <c r="G394" s="4">
        <f t="shared" si="1"/>
        <v>2.25</v>
      </c>
      <c r="H394" s="4" t="str">
        <f t="shared" si="2"/>
        <v>Sin precio neto</v>
      </c>
      <c r="I394" s="4" t="str">
        <f t="shared" si="3"/>
        <v>Sin precio neto G.C.</v>
      </c>
      <c r="J394" s="4">
        <f t="shared" si="4"/>
        <v>2.16</v>
      </c>
      <c r="K394" s="4">
        <f t="shared" si="5"/>
        <v>2.25</v>
      </c>
      <c r="L394" s="4">
        <f t="shared" si="6"/>
        <v>2.16</v>
      </c>
    </row>
    <row r="395">
      <c r="A395" s="1" t="s">
        <v>615</v>
      </c>
      <c r="B395" s="1" t="s">
        <v>616</v>
      </c>
      <c r="C395" s="3">
        <v>8.96</v>
      </c>
      <c r="D395" s="5"/>
      <c r="E395" s="5"/>
      <c r="F395" s="5"/>
      <c r="G395" s="4">
        <f t="shared" si="1"/>
        <v>4.48</v>
      </c>
      <c r="H395" s="4" t="str">
        <f t="shared" si="2"/>
        <v>Sin precio neto</v>
      </c>
      <c r="I395" s="4" t="str">
        <f t="shared" si="3"/>
        <v>Sin precio neto G.C.</v>
      </c>
      <c r="J395" s="4">
        <f t="shared" si="4"/>
        <v>4.3008</v>
      </c>
      <c r="K395" s="4">
        <f t="shared" si="5"/>
        <v>4.48</v>
      </c>
      <c r="L395" s="4">
        <f t="shared" si="6"/>
        <v>4.3008</v>
      </c>
    </row>
    <row r="396">
      <c r="A396" s="1" t="s">
        <v>617</v>
      </c>
      <c r="B396" s="1" t="s">
        <v>618</v>
      </c>
      <c r="C396" s="3">
        <v>17.92</v>
      </c>
      <c r="D396" s="5"/>
      <c r="E396" s="5"/>
      <c r="F396" s="5"/>
      <c r="G396" s="4">
        <f t="shared" si="1"/>
        <v>8.96</v>
      </c>
      <c r="H396" s="4" t="str">
        <f t="shared" si="2"/>
        <v>Sin precio neto</v>
      </c>
      <c r="I396" s="4" t="str">
        <f t="shared" si="3"/>
        <v>Sin precio neto G.C.</v>
      </c>
      <c r="J396" s="4">
        <f t="shared" si="4"/>
        <v>8.6016</v>
      </c>
      <c r="K396" s="4">
        <f t="shared" si="5"/>
        <v>8.96</v>
      </c>
      <c r="L396" s="4">
        <f t="shared" si="6"/>
        <v>8.6016</v>
      </c>
    </row>
    <row r="397">
      <c r="A397" s="3">
        <v>338.0</v>
      </c>
      <c r="B397" s="1" t="s">
        <v>619</v>
      </c>
      <c r="C397" s="3">
        <v>5.2</v>
      </c>
      <c r="D397" s="3">
        <v>2.1</v>
      </c>
      <c r="E397" s="3">
        <v>2.1</v>
      </c>
      <c r="F397" s="3">
        <v>1.0</v>
      </c>
      <c r="G397" s="4">
        <f t="shared" si="1"/>
        <v>2.6</v>
      </c>
      <c r="H397" s="4" t="str">
        <f t="shared" si="2"/>
        <v>Neto: 2,10 € (a partir de 1 uds.)</v>
      </c>
      <c r="I397" s="4" t="str">
        <f t="shared" si="3"/>
        <v>Neto G.C.: 2,10 € (a partir de 1 uds.)</v>
      </c>
      <c r="J397" s="4">
        <f t="shared" si="4"/>
        <v>2.496</v>
      </c>
      <c r="K397" s="4">
        <f t="shared" si="5"/>
        <v>2.6</v>
      </c>
      <c r="L397" s="4">
        <f t="shared" si="6"/>
        <v>2.496</v>
      </c>
    </row>
    <row r="398">
      <c r="A398" s="1" t="s">
        <v>620</v>
      </c>
      <c r="B398" s="1" t="s">
        <v>621</v>
      </c>
      <c r="C398" s="3">
        <v>4.5</v>
      </c>
      <c r="D398" s="5"/>
      <c r="E398" s="5"/>
      <c r="F398" s="5"/>
      <c r="G398" s="4">
        <f t="shared" si="1"/>
        <v>2.25</v>
      </c>
      <c r="H398" s="4" t="str">
        <f t="shared" si="2"/>
        <v>Sin precio neto</v>
      </c>
      <c r="I398" s="4" t="str">
        <f t="shared" si="3"/>
        <v>Sin precio neto G.C.</v>
      </c>
      <c r="J398" s="4">
        <f t="shared" si="4"/>
        <v>2.16</v>
      </c>
      <c r="K398" s="4">
        <f t="shared" si="5"/>
        <v>2.25</v>
      </c>
      <c r="L398" s="4">
        <f t="shared" si="6"/>
        <v>2.16</v>
      </c>
    </row>
    <row r="399">
      <c r="A399" s="1" t="s">
        <v>622</v>
      </c>
      <c r="B399" s="1" t="s">
        <v>623</v>
      </c>
      <c r="C399" s="3">
        <v>8.96</v>
      </c>
      <c r="D399" s="5"/>
      <c r="E399" s="5"/>
      <c r="F399" s="5"/>
      <c r="G399" s="4">
        <f t="shared" si="1"/>
        <v>4.48</v>
      </c>
      <c r="H399" s="4" t="str">
        <f t="shared" si="2"/>
        <v>Sin precio neto</v>
      </c>
      <c r="I399" s="4" t="str">
        <f t="shared" si="3"/>
        <v>Sin precio neto G.C.</v>
      </c>
      <c r="J399" s="4">
        <f t="shared" si="4"/>
        <v>4.3008</v>
      </c>
      <c r="K399" s="4">
        <f t="shared" si="5"/>
        <v>4.48</v>
      </c>
      <c r="L399" s="4">
        <f t="shared" si="6"/>
        <v>4.3008</v>
      </c>
    </row>
    <row r="400">
      <c r="A400" s="3">
        <v>339.0</v>
      </c>
      <c r="B400" s="1" t="s">
        <v>624</v>
      </c>
      <c r="C400" s="3">
        <v>5.2</v>
      </c>
      <c r="D400" s="3">
        <v>2.1</v>
      </c>
      <c r="E400" s="3">
        <v>2.1</v>
      </c>
      <c r="F400" s="3">
        <v>1.0</v>
      </c>
      <c r="G400" s="4">
        <f t="shared" si="1"/>
        <v>2.6</v>
      </c>
      <c r="H400" s="4" t="str">
        <f t="shared" si="2"/>
        <v>Neto: 2,10 € (a partir de 1 uds.)</v>
      </c>
      <c r="I400" s="4" t="str">
        <f t="shared" si="3"/>
        <v>Neto G.C.: 2,10 € (a partir de 1 uds.)</v>
      </c>
      <c r="J400" s="4">
        <f t="shared" si="4"/>
        <v>2.496</v>
      </c>
      <c r="K400" s="4">
        <f t="shared" si="5"/>
        <v>2.6</v>
      </c>
      <c r="L400" s="4">
        <f t="shared" si="6"/>
        <v>2.496</v>
      </c>
    </row>
    <row r="401">
      <c r="A401" s="1" t="s">
        <v>625</v>
      </c>
      <c r="B401" s="1" t="s">
        <v>626</v>
      </c>
      <c r="C401" s="3">
        <v>4.5</v>
      </c>
      <c r="D401" s="5"/>
      <c r="E401" s="5"/>
      <c r="F401" s="5"/>
      <c r="G401" s="4">
        <f t="shared" si="1"/>
        <v>2.25</v>
      </c>
      <c r="H401" s="4" t="str">
        <f t="shared" si="2"/>
        <v>Sin precio neto</v>
      </c>
      <c r="I401" s="4" t="str">
        <f t="shared" si="3"/>
        <v>Sin precio neto G.C.</v>
      </c>
      <c r="J401" s="4">
        <f t="shared" si="4"/>
        <v>2.16</v>
      </c>
      <c r="K401" s="4">
        <f t="shared" si="5"/>
        <v>2.25</v>
      </c>
      <c r="L401" s="4">
        <f t="shared" si="6"/>
        <v>2.16</v>
      </c>
    </row>
    <row r="402">
      <c r="A402" s="1" t="s">
        <v>627</v>
      </c>
      <c r="B402" s="1" t="s">
        <v>628</v>
      </c>
      <c r="C402" s="3">
        <v>8.96</v>
      </c>
      <c r="D402" s="5"/>
      <c r="E402" s="5"/>
      <c r="F402" s="5"/>
      <c r="G402" s="4">
        <f t="shared" si="1"/>
        <v>4.48</v>
      </c>
      <c r="H402" s="4" t="str">
        <f t="shared" si="2"/>
        <v>Sin precio neto</v>
      </c>
      <c r="I402" s="4" t="str">
        <f t="shared" si="3"/>
        <v>Sin precio neto G.C.</v>
      </c>
      <c r="J402" s="4">
        <f t="shared" si="4"/>
        <v>4.3008</v>
      </c>
      <c r="K402" s="4">
        <f t="shared" si="5"/>
        <v>4.48</v>
      </c>
      <c r="L402" s="4">
        <f t="shared" si="6"/>
        <v>4.3008</v>
      </c>
    </row>
    <row r="403">
      <c r="A403" s="1" t="s">
        <v>629</v>
      </c>
      <c r="B403" s="1" t="s">
        <v>630</v>
      </c>
      <c r="C403" s="3">
        <v>17.92</v>
      </c>
      <c r="D403" s="5"/>
      <c r="E403" s="5"/>
      <c r="F403" s="5"/>
      <c r="G403" s="4">
        <f t="shared" si="1"/>
        <v>8.96</v>
      </c>
      <c r="H403" s="4" t="str">
        <f t="shared" si="2"/>
        <v>Sin precio neto</v>
      </c>
      <c r="I403" s="4" t="str">
        <f t="shared" si="3"/>
        <v>Sin precio neto G.C.</v>
      </c>
      <c r="J403" s="4">
        <f t="shared" si="4"/>
        <v>8.6016</v>
      </c>
      <c r="K403" s="4">
        <f t="shared" si="5"/>
        <v>8.96</v>
      </c>
      <c r="L403" s="4">
        <f t="shared" si="6"/>
        <v>8.6016</v>
      </c>
    </row>
    <row r="404">
      <c r="A404" s="3">
        <v>340.0</v>
      </c>
      <c r="B404" s="1" t="s">
        <v>631</v>
      </c>
      <c r="C404" s="3">
        <v>6.7</v>
      </c>
      <c r="D404" s="3">
        <v>3.2</v>
      </c>
      <c r="E404" s="3">
        <v>3.2</v>
      </c>
      <c r="F404" s="3">
        <v>1.0</v>
      </c>
      <c r="G404" s="4">
        <f t="shared" si="1"/>
        <v>3.35</v>
      </c>
      <c r="H404" s="4" t="str">
        <f t="shared" si="2"/>
        <v>Neto: 3,20 € (a partir de 1 uds.)</v>
      </c>
      <c r="I404" s="4" t="str">
        <f t="shared" si="3"/>
        <v>Neto G.C.: 3,20 € (a partir de 1 uds.)</v>
      </c>
      <c r="J404" s="4">
        <f t="shared" si="4"/>
        <v>3.216</v>
      </c>
      <c r="K404" s="4">
        <f t="shared" si="5"/>
        <v>3.35</v>
      </c>
      <c r="L404" s="4">
        <f t="shared" si="6"/>
        <v>3.216</v>
      </c>
    </row>
    <row r="405">
      <c r="A405" s="3">
        <v>342.0</v>
      </c>
      <c r="B405" s="1" t="s">
        <v>632</v>
      </c>
      <c r="C405" s="3">
        <v>9.5</v>
      </c>
      <c r="D405" s="5"/>
      <c r="E405" s="5"/>
      <c r="F405" s="5"/>
      <c r="G405" s="4">
        <f t="shared" si="1"/>
        <v>4.75</v>
      </c>
      <c r="H405" s="4" t="str">
        <f t="shared" si="2"/>
        <v>Sin precio neto</v>
      </c>
      <c r="I405" s="4" t="str">
        <f t="shared" si="3"/>
        <v>Sin precio neto G.C.</v>
      </c>
      <c r="J405" s="4">
        <f t="shared" si="4"/>
        <v>4.56</v>
      </c>
      <c r="K405" s="4">
        <f t="shared" si="5"/>
        <v>4.75</v>
      </c>
      <c r="L405" s="4">
        <f t="shared" si="6"/>
        <v>4.56</v>
      </c>
    </row>
    <row r="406">
      <c r="A406" s="3">
        <v>343.0</v>
      </c>
      <c r="B406" s="1" t="s">
        <v>633</v>
      </c>
      <c r="C406" s="3">
        <v>5.2</v>
      </c>
      <c r="D406" s="3">
        <v>2.1</v>
      </c>
      <c r="E406" s="3">
        <v>2.1</v>
      </c>
      <c r="F406" s="3">
        <v>1.0</v>
      </c>
      <c r="G406" s="4">
        <f t="shared" si="1"/>
        <v>2.6</v>
      </c>
      <c r="H406" s="4" t="str">
        <f t="shared" si="2"/>
        <v>Neto: 2,10 € (a partir de 1 uds.)</v>
      </c>
      <c r="I406" s="4" t="str">
        <f t="shared" si="3"/>
        <v>Neto G.C.: 2,10 € (a partir de 1 uds.)</v>
      </c>
      <c r="J406" s="4">
        <f t="shared" si="4"/>
        <v>2.496</v>
      </c>
      <c r="K406" s="4">
        <f t="shared" si="5"/>
        <v>2.6</v>
      </c>
      <c r="L406" s="4">
        <f t="shared" si="6"/>
        <v>2.496</v>
      </c>
    </row>
    <row r="407">
      <c r="A407" s="1" t="s">
        <v>634</v>
      </c>
      <c r="B407" s="1" t="s">
        <v>633</v>
      </c>
      <c r="C407" s="3">
        <v>5.04</v>
      </c>
      <c r="D407" s="3">
        <v>2.1</v>
      </c>
      <c r="E407" s="3">
        <v>2.1</v>
      </c>
      <c r="F407" s="3">
        <v>1.0</v>
      </c>
      <c r="G407" s="4">
        <f t="shared" si="1"/>
        <v>2.52</v>
      </c>
      <c r="H407" s="4" t="str">
        <f t="shared" si="2"/>
        <v>Neto: 2,10 € (a partir de 1 uds.)</v>
      </c>
      <c r="I407" s="4" t="str">
        <f t="shared" si="3"/>
        <v>Neto G.C.: 2,10 € (a partir de 1 uds.)</v>
      </c>
      <c r="J407" s="4">
        <f t="shared" si="4"/>
        <v>2.4192</v>
      </c>
      <c r="K407" s="4">
        <f t="shared" si="5"/>
        <v>2.52</v>
      </c>
      <c r="L407" s="4">
        <f t="shared" si="6"/>
        <v>2.4192</v>
      </c>
    </row>
    <row r="408">
      <c r="A408" s="1" t="s">
        <v>635</v>
      </c>
      <c r="B408" s="1" t="s">
        <v>636</v>
      </c>
      <c r="C408" s="3">
        <v>6.2</v>
      </c>
      <c r="D408" s="3">
        <v>3.2</v>
      </c>
      <c r="E408" s="3">
        <v>3.2</v>
      </c>
      <c r="F408" s="3">
        <v>1.0</v>
      </c>
      <c r="G408" s="4">
        <f t="shared" si="1"/>
        <v>3.1</v>
      </c>
      <c r="H408" s="4" t="str">
        <f t="shared" si="2"/>
        <v>Neto: 3,20 € (a partir de 1 uds.)</v>
      </c>
      <c r="I408" s="4" t="str">
        <f t="shared" si="3"/>
        <v>Neto G.C.: 3,20 € (a partir de 1 uds.)</v>
      </c>
      <c r="J408" s="4">
        <f t="shared" si="4"/>
        <v>2.976</v>
      </c>
      <c r="K408" s="4">
        <f t="shared" si="5"/>
        <v>3.1</v>
      </c>
      <c r="L408" s="4">
        <f t="shared" si="6"/>
        <v>2.976</v>
      </c>
    </row>
    <row r="409">
      <c r="A409" s="1" t="s">
        <v>637</v>
      </c>
      <c r="B409" s="1" t="s">
        <v>638</v>
      </c>
      <c r="C409" s="3">
        <v>5.2</v>
      </c>
      <c r="D409" s="3">
        <v>2.1</v>
      </c>
      <c r="E409" s="3">
        <v>2.1</v>
      </c>
      <c r="F409" s="3">
        <v>1.0</v>
      </c>
      <c r="G409" s="4">
        <f t="shared" si="1"/>
        <v>2.6</v>
      </c>
      <c r="H409" s="4" t="str">
        <f t="shared" si="2"/>
        <v>Neto: 2,10 € (a partir de 1 uds.)</v>
      </c>
      <c r="I409" s="4" t="str">
        <f t="shared" si="3"/>
        <v>Neto G.C.: 2,10 € (a partir de 1 uds.)</v>
      </c>
      <c r="J409" s="4">
        <f t="shared" si="4"/>
        <v>2.496</v>
      </c>
      <c r="K409" s="4">
        <f t="shared" si="5"/>
        <v>2.6</v>
      </c>
      <c r="L409" s="4">
        <f t="shared" si="6"/>
        <v>2.496</v>
      </c>
    </row>
    <row r="410">
      <c r="A410" s="3">
        <v>344.0</v>
      </c>
      <c r="B410" s="1" t="s">
        <v>639</v>
      </c>
      <c r="C410" s="3">
        <v>5.2</v>
      </c>
      <c r="D410" s="3">
        <v>2.1</v>
      </c>
      <c r="E410" s="3">
        <v>2.1</v>
      </c>
      <c r="F410" s="3">
        <v>1.0</v>
      </c>
      <c r="G410" s="4">
        <f t="shared" si="1"/>
        <v>2.6</v>
      </c>
      <c r="H410" s="4" t="str">
        <f t="shared" si="2"/>
        <v>Neto: 2,10 € (a partir de 1 uds.)</v>
      </c>
      <c r="I410" s="4" t="str">
        <f t="shared" si="3"/>
        <v>Neto G.C.: 2,10 € (a partir de 1 uds.)</v>
      </c>
      <c r="J410" s="4">
        <f t="shared" si="4"/>
        <v>2.496</v>
      </c>
      <c r="K410" s="4">
        <f t="shared" si="5"/>
        <v>2.6</v>
      </c>
      <c r="L410" s="4">
        <f t="shared" si="6"/>
        <v>2.496</v>
      </c>
    </row>
    <row r="411">
      <c r="A411" s="1" t="s">
        <v>640</v>
      </c>
      <c r="B411" s="1" t="s">
        <v>641</v>
      </c>
      <c r="C411" s="3">
        <v>4.5</v>
      </c>
      <c r="D411" s="5"/>
      <c r="E411" s="5"/>
      <c r="F411" s="5"/>
      <c r="G411" s="4">
        <f t="shared" si="1"/>
        <v>2.25</v>
      </c>
      <c r="H411" s="4" t="str">
        <f t="shared" si="2"/>
        <v>Sin precio neto</v>
      </c>
      <c r="I411" s="4" t="str">
        <f t="shared" si="3"/>
        <v>Sin precio neto G.C.</v>
      </c>
      <c r="J411" s="4">
        <f t="shared" si="4"/>
        <v>2.16</v>
      </c>
      <c r="K411" s="4">
        <f t="shared" si="5"/>
        <v>2.25</v>
      </c>
      <c r="L411" s="4">
        <f t="shared" si="6"/>
        <v>2.16</v>
      </c>
    </row>
    <row r="412">
      <c r="A412" s="1" t="s">
        <v>642</v>
      </c>
      <c r="B412" s="1" t="s">
        <v>643</v>
      </c>
      <c r="C412" s="3">
        <v>8.96</v>
      </c>
      <c r="D412" s="5"/>
      <c r="E412" s="5"/>
      <c r="F412" s="5"/>
      <c r="G412" s="4">
        <f t="shared" si="1"/>
        <v>4.48</v>
      </c>
      <c r="H412" s="4" t="str">
        <f t="shared" si="2"/>
        <v>Sin precio neto</v>
      </c>
      <c r="I412" s="4" t="str">
        <f t="shared" si="3"/>
        <v>Sin precio neto G.C.</v>
      </c>
      <c r="J412" s="4">
        <f t="shared" si="4"/>
        <v>4.3008</v>
      </c>
      <c r="K412" s="4">
        <f t="shared" si="5"/>
        <v>4.48</v>
      </c>
      <c r="L412" s="4">
        <f t="shared" si="6"/>
        <v>4.3008</v>
      </c>
    </row>
    <row r="413">
      <c r="A413" s="3">
        <v>345.0</v>
      </c>
      <c r="B413" s="1" t="s">
        <v>644</v>
      </c>
      <c r="C413" s="3">
        <v>5.2</v>
      </c>
      <c r="D413" s="3">
        <v>2.1</v>
      </c>
      <c r="E413" s="3">
        <v>2.1</v>
      </c>
      <c r="F413" s="3">
        <v>1.0</v>
      </c>
      <c r="G413" s="4">
        <f t="shared" si="1"/>
        <v>2.6</v>
      </c>
      <c r="H413" s="4" t="str">
        <f t="shared" si="2"/>
        <v>Neto: 2,10 € (a partir de 1 uds.)</v>
      </c>
      <c r="I413" s="4" t="str">
        <f t="shared" si="3"/>
        <v>Neto G.C.: 2,10 € (a partir de 1 uds.)</v>
      </c>
      <c r="J413" s="4">
        <f t="shared" si="4"/>
        <v>2.496</v>
      </c>
      <c r="K413" s="4">
        <f t="shared" si="5"/>
        <v>2.6</v>
      </c>
      <c r="L413" s="4">
        <f t="shared" si="6"/>
        <v>2.496</v>
      </c>
    </row>
    <row r="414">
      <c r="A414" s="3">
        <v>346.0</v>
      </c>
      <c r="B414" s="1" t="s">
        <v>645</v>
      </c>
      <c r="C414" s="3">
        <v>5.2</v>
      </c>
      <c r="D414" s="3">
        <v>2.1</v>
      </c>
      <c r="E414" s="3">
        <v>2.1</v>
      </c>
      <c r="F414" s="3">
        <v>1.0</v>
      </c>
      <c r="G414" s="4">
        <f t="shared" si="1"/>
        <v>2.6</v>
      </c>
      <c r="H414" s="4" t="str">
        <f t="shared" si="2"/>
        <v>Neto: 2,10 € (a partir de 1 uds.)</v>
      </c>
      <c r="I414" s="4" t="str">
        <f t="shared" si="3"/>
        <v>Neto G.C.: 2,10 € (a partir de 1 uds.)</v>
      </c>
      <c r="J414" s="4">
        <f t="shared" si="4"/>
        <v>2.496</v>
      </c>
      <c r="K414" s="4">
        <f t="shared" si="5"/>
        <v>2.6</v>
      </c>
      <c r="L414" s="4">
        <f t="shared" si="6"/>
        <v>2.496</v>
      </c>
    </row>
    <row r="415">
      <c r="A415" s="1" t="s">
        <v>646</v>
      </c>
      <c r="B415" s="1" t="s">
        <v>647</v>
      </c>
      <c r="C415" s="3">
        <v>4.5</v>
      </c>
      <c r="D415" s="5"/>
      <c r="E415" s="5"/>
      <c r="F415" s="5"/>
      <c r="G415" s="4">
        <f t="shared" si="1"/>
        <v>2.25</v>
      </c>
      <c r="H415" s="4" t="str">
        <f t="shared" si="2"/>
        <v>Sin precio neto</v>
      </c>
      <c r="I415" s="4" t="str">
        <f t="shared" si="3"/>
        <v>Sin precio neto G.C.</v>
      </c>
      <c r="J415" s="4">
        <f t="shared" si="4"/>
        <v>2.16</v>
      </c>
      <c r="K415" s="4">
        <f t="shared" si="5"/>
        <v>2.25</v>
      </c>
      <c r="L415" s="4">
        <f t="shared" si="6"/>
        <v>2.16</v>
      </c>
    </row>
    <row r="416">
      <c r="A416" s="1" t="s">
        <v>648</v>
      </c>
      <c r="B416" s="1" t="s">
        <v>649</v>
      </c>
      <c r="C416" s="3">
        <v>8.96</v>
      </c>
      <c r="D416" s="5"/>
      <c r="E416" s="5"/>
      <c r="F416" s="5"/>
      <c r="G416" s="4">
        <f t="shared" si="1"/>
        <v>4.48</v>
      </c>
      <c r="H416" s="4" t="str">
        <f t="shared" si="2"/>
        <v>Sin precio neto</v>
      </c>
      <c r="I416" s="4" t="str">
        <f t="shared" si="3"/>
        <v>Sin precio neto G.C.</v>
      </c>
      <c r="J416" s="4">
        <f t="shared" si="4"/>
        <v>4.3008</v>
      </c>
      <c r="K416" s="4">
        <f t="shared" si="5"/>
        <v>4.48</v>
      </c>
      <c r="L416" s="4">
        <f t="shared" si="6"/>
        <v>4.3008</v>
      </c>
    </row>
    <row r="417">
      <c r="A417" s="1" t="s">
        <v>650</v>
      </c>
      <c r="B417" s="1" t="s">
        <v>651</v>
      </c>
      <c r="C417" s="3">
        <v>17.92</v>
      </c>
      <c r="D417" s="5"/>
      <c r="E417" s="5"/>
      <c r="F417" s="5"/>
      <c r="G417" s="4">
        <f t="shared" si="1"/>
        <v>8.96</v>
      </c>
      <c r="H417" s="4" t="str">
        <f t="shared" si="2"/>
        <v>Sin precio neto</v>
      </c>
      <c r="I417" s="4" t="str">
        <f t="shared" si="3"/>
        <v>Sin precio neto G.C.</v>
      </c>
      <c r="J417" s="4">
        <f t="shared" si="4"/>
        <v>8.6016</v>
      </c>
      <c r="K417" s="4">
        <f t="shared" si="5"/>
        <v>8.96</v>
      </c>
      <c r="L417" s="4">
        <f t="shared" si="6"/>
        <v>8.6016</v>
      </c>
    </row>
    <row r="418">
      <c r="A418" s="3">
        <v>347.0</v>
      </c>
      <c r="B418" s="1" t="s">
        <v>652</v>
      </c>
      <c r="C418" s="3">
        <v>5.2</v>
      </c>
      <c r="D418" s="3">
        <v>2.1</v>
      </c>
      <c r="E418" s="3">
        <v>2.1</v>
      </c>
      <c r="F418" s="3">
        <v>1.0</v>
      </c>
      <c r="G418" s="4">
        <f t="shared" si="1"/>
        <v>2.6</v>
      </c>
      <c r="H418" s="4" t="str">
        <f t="shared" si="2"/>
        <v>Neto: 2,10 € (a partir de 1 uds.)</v>
      </c>
      <c r="I418" s="4" t="str">
        <f t="shared" si="3"/>
        <v>Neto G.C.: 2,10 € (a partir de 1 uds.)</v>
      </c>
      <c r="J418" s="4">
        <f t="shared" si="4"/>
        <v>2.496</v>
      </c>
      <c r="K418" s="4">
        <f t="shared" si="5"/>
        <v>2.6</v>
      </c>
      <c r="L418" s="4">
        <f t="shared" si="6"/>
        <v>2.496</v>
      </c>
    </row>
    <row r="419">
      <c r="A419" s="1" t="s">
        <v>653</v>
      </c>
      <c r="B419" s="1" t="s">
        <v>654</v>
      </c>
      <c r="C419" s="3">
        <v>4.5</v>
      </c>
      <c r="D419" s="5"/>
      <c r="E419" s="5"/>
      <c r="F419" s="5"/>
      <c r="G419" s="4">
        <f t="shared" si="1"/>
        <v>2.25</v>
      </c>
      <c r="H419" s="4" t="str">
        <f t="shared" si="2"/>
        <v>Sin precio neto</v>
      </c>
      <c r="I419" s="4" t="str">
        <f t="shared" si="3"/>
        <v>Sin precio neto G.C.</v>
      </c>
      <c r="J419" s="4">
        <f t="shared" si="4"/>
        <v>2.16</v>
      </c>
      <c r="K419" s="4">
        <f t="shared" si="5"/>
        <v>2.25</v>
      </c>
      <c r="L419" s="4">
        <f t="shared" si="6"/>
        <v>2.16</v>
      </c>
    </row>
    <row r="420">
      <c r="A420" s="1" t="s">
        <v>655</v>
      </c>
      <c r="B420" s="1" t="s">
        <v>656</v>
      </c>
      <c r="C420" s="3">
        <v>8.96</v>
      </c>
      <c r="D420" s="5"/>
      <c r="E420" s="5"/>
      <c r="F420" s="5"/>
      <c r="G420" s="4">
        <f t="shared" si="1"/>
        <v>4.48</v>
      </c>
      <c r="H420" s="4" t="str">
        <f t="shared" si="2"/>
        <v>Sin precio neto</v>
      </c>
      <c r="I420" s="4" t="str">
        <f t="shared" si="3"/>
        <v>Sin precio neto G.C.</v>
      </c>
      <c r="J420" s="4">
        <f t="shared" si="4"/>
        <v>4.3008</v>
      </c>
      <c r="K420" s="4">
        <f t="shared" si="5"/>
        <v>4.48</v>
      </c>
      <c r="L420" s="4">
        <f t="shared" si="6"/>
        <v>4.3008</v>
      </c>
    </row>
    <row r="421">
      <c r="A421" s="1" t="s">
        <v>657</v>
      </c>
      <c r="B421" s="1" t="s">
        <v>658</v>
      </c>
      <c r="C421" s="3">
        <v>17.92</v>
      </c>
      <c r="D421" s="5"/>
      <c r="E421" s="5"/>
      <c r="F421" s="5"/>
      <c r="G421" s="4">
        <f t="shared" si="1"/>
        <v>8.96</v>
      </c>
      <c r="H421" s="4" t="str">
        <f t="shared" si="2"/>
        <v>Sin precio neto</v>
      </c>
      <c r="I421" s="4" t="str">
        <f t="shared" si="3"/>
        <v>Sin precio neto G.C.</v>
      </c>
      <c r="J421" s="4">
        <f t="shared" si="4"/>
        <v>8.6016</v>
      </c>
      <c r="K421" s="4">
        <f t="shared" si="5"/>
        <v>8.96</v>
      </c>
      <c r="L421" s="4">
        <f t="shared" si="6"/>
        <v>8.6016</v>
      </c>
    </row>
    <row r="422">
      <c r="A422" s="3">
        <v>348.0</v>
      </c>
      <c r="B422" s="1" t="s">
        <v>659</v>
      </c>
      <c r="C422" s="3">
        <v>3.36</v>
      </c>
      <c r="D422" s="5"/>
      <c r="E422" s="5"/>
      <c r="F422" s="5"/>
      <c r="G422" s="4">
        <f t="shared" si="1"/>
        <v>1.68</v>
      </c>
      <c r="H422" s="4" t="str">
        <f t="shared" si="2"/>
        <v>Sin precio neto</v>
      </c>
      <c r="I422" s="4" t="str">
        <f t="shared" si="3"/>
        <v>Sin precio neto G.C.</v>
      </c>
      <c r="J422" s="4">
        <f t="shared" si="4"/>
        <v>1.6128</v>
      </c>
      <c r="K422" s="4">
        <f t="shared" si="5"/>
        <v>1.68</v>
      </c>
      <c r="L422" s="4">
        <f t="shared" si="6"/>
        <v>1.6128</v>
      </c>
    </row>
    <row r="423">
      <c r="A423" s="3">
        <v>349.0</v>
      </c>
      <c r="B423" s="1" t="s">
        <v>660</v>
      </c>
      <c r="C423" s="3">
        <v>5.2</v>
      </c>
      <c r="D423" s="3">
        <v>2.1</v>
      </c>
      <c r="E423" s="3">
        <v>2.1</v>
      </c>
      <c r="F423" s="3">
        <v>1.0</v>
      </c>
      <c r="G423" s="4">
        <f t="shared" si="1"/>
        <v>2.6</v>
      </c>
      <c r="H423" s="4" t="str">
        <f t="shared" si="2"/>
        <v>Neto: 2,10 € (a partir de 1 uds.)</v>
      </c>
      <c r="I423" s="4" t="str">
        <f t="shared" si="3"/>
        <v>Neto G.C.: 2,10 € (a partir de 1 uds.)</v>
      </c>
      <c r="J423" s="4">
        <f t="shared" si="4"/>
        <v>2.496</v>
      </c>
      <c r="K423" s="4">
        <f t="shared" si="5"/>
        <v>2.6</v>
      </c>
      <c r="L423" s="4">
        <f t="shared" si="6"/>
        <v>2.496</v>
      </c>
    </row>
    <row r="424">
      <c r="A424" s="1" t="s">
        <v>661</v>
      </c>
      <c r="B424" s="1" t="s">
        <v>662</v>
      </c>
      <c r="C424" s="3">
        <v>5.04</v>
      </c>
      <c r="D424" s="3">
        <v>2.1</v>
      </c>
      <c r="E424" s="3">
        <v>2.1</v>
      </c>
      <c r="F424" s="3">
        <v>1.0</v>
      </c>
      <c r="G424" s="4">
        <f t="shared" si="1"/>
        <v>2.52</v>
      </c>
      <c r="H424" s="4" t="str">
        <f t="shared" si="2"/>
        <v>Neto: 2,10 € (a partir de 1 uds.)</v>
      </c>
      <c r="I424" s="4" t="str">
        <f t="shared" si="3"/>
        <v>Neto G.C.: 2,10 € (a partir de 1 uds.)</v>
      </c>
      <c r="J424" s="4">
        <f t="shared" si="4"/>
        <v>2.4192</v>
      </c>
      <c r="K424" s="4">
        <f t="shared" si="5"/>
        <v>2.52</v>
      </c>
      <c r="L424" s="4">
        <f t="shared" si="6"/>
        <v>2.4192</v>
      </c>
    </row>
    <row r="425">
      <c r="A425" s="1" t="s">
        <v>663</v>
      </c>
      <c r="B425" s="1" t="s">
        <v>664</v>
      </c>
      <c r="C425" s="3">
        <v>6.2</v>
      </c>
      <c r="D425" s="3">
        <v>3.2</v>
      </c>
      <c r="E425" s="3">
        <v>3.2</v>
      </c>
      <c r="F425" s="3">
        <v>1.0</v>
      </c>
      <c r="G425" s="4">
        <f t="shared" si="1"/>
        <v>3.1</v>
      </c>
      <c r="H425" s="4" t="str">
        <f t="shared" si="2"/>
        <v>Neto: 3,20 € (a partir de 1 uds.)</v>
      </c>
      <c r="I425" s="4" t="str">
        <f t="shared" si="3"/>
        <v>Neto G.C.: 3,20 € (a partir de 1 uds.)</v>
      </c>
      <c r="J425" s="4">
        <f t="shared" si="4"/>
        <v>2.976</v>
      </c>
      <c r="K425" s="4">
        <f t="shared" si="5"/>
        <v>3.1</v>
      </c>
      <c r="L425" s="4">
        <f t="shared" si="6"/>
        <v>2.976</v>
      </c>
    </row>
    <row r="426">
      <c r="A426" s="3">
        <v>350.0</v>
      </c>
      <c r="B426" s="1" t="s">
        <v>665</v>
      </c>
      <c r="C426" s="3">
        <v>5.2</v>
      </c>
      <c r="D426" s="3">
        <v>2.1</v>
      </c>
      <c r="E426" s="3">
        <v>2.1</v>
      </c>
      <c r="F426" s="3">
        <v>1.0</v>
      </c>
      <c r="G426" s="4">
        <f t="shared" si="1"/>
        <v>2.6</v>
      </c>
      <c r="H426" s="4" t="str">
        <f t="shared" si="2"/>
        <v>Neto: 2,10 € (a partir de 1 uds.)</v>
      </c>
      <c r="I426" s="4" t="str">
        <f t="shared" si="3"/>
        <v>Neto G.C.: 2,10 € (a partir de 1 uds.)</v>
      </c>
      <c r="J426" s="4">
        <f t="shared" si="4"/>
        <v>2.496</v>
      </c>
      <c r="K426" s="4">
        <f t="shared" si="5"/>
        <v>2.6</v>
      </c>
      <c r="L426" s="4">
        <f t="shared" si="6"/>
        <v>2.496</v>
      </c>
    </row>
    <row r="427">
      <c r="A427" s="1" t="s">
        <v>666</v>
      </c>
      <c r="B427" s="1" t="s">
        <v>667</v>
      </c>
      <c r="C427" s="3">
        <v>3.98</v>
      </c>
      <c r="D427" s="5"/>
      <c r="E427" s="5"/>
      <c r="F427" s="5"/>
      <c r="G427" s="4">
        <f t="shared" si="1"/>
        <v>1.99</v>
      </c>
      <c r="H427" s="4" t="str">
        <f t="shared" si="2"/>
        <v>Sin precio neto</v>
      </c>
      <c r="I427" s="4" t="str">
        <f t="shared" si="3"/>
        <v>Sin precio neto G.C.</v>
      </c>
      <c r="J427" s="4">
        <f t="shared" si="4"/>
        <v>1.9104</v>
      </c>
      <c r="K427" s="4">
        <f t="shared" si="5"/>
        <v>1.99</v>
      </c>
      <c r="L427" s="4">
        <f t="shared" si="6"/>
        <v>1.9104</v>
      </c>
    </row>
    <row r="428">
      <c r="A428" s="1" t="s">
        <v>668</v>
      </c>
      <c r="B428" s="1" t="s">
        <v>669</v>
      </c>
      <c r="C428" s="3">
        <v>8.96</v>
      </c>
      <c r="D428" s="5"/>
      <c r="E428" s="5"/>
      <c r="F428" s="5"/>
      <c r="G428" s="4">
        <f t="shared" si="1"/>
        <v>4.48</v>
      </c>
      <c r="H428" s="4" t="str">
        <f t="shared" si="2"/>
        <v>Sin precio neto</v>
      </c>
      <c r="I428" s="4" t="str">
        <f t="shared" si="3"/>
        <v>Sin precio neto G.C.</v>
      </c>
      <c r="J428" s="4">
        <f t="shared" si="4"/>
        <v>4.3008</v>
      </c>
      <c r="K428" s="4">
        <f t="shared" si="5"/>
        <v>4.48</v>
      </c>
      <c r="L428" s="4">
        <f t="shared" si="6"/>
        <v>4.3008</v>
      </c>
    </row>
    <row r="429">
      <c r="A429" s="1" t="s">
        <v>670</v>
      </c>
      <c r="B429" s="1" t="s">
        <v>671</v>
      </c>
      <c r="C429" s="3">
        <v>17.92</v>
      </c>
      <c r="D429" s="5"/>
      <c r="E429" s="5"/>
      <c r="F429" s="5"/>
      <c r="G429" s="4">
        <f t="shared" si="1"/>
        <v>8.96</v>
      </c>
      <c r="H429" s="4" t="str">
        <f t="shared" si="2"/>
        <v>Sin precio neto</v>
      </c>
      <c r="I429" s="4" t="str">
        <f t="shared" si="3"/>
        <v>Sin precio neto G.C.</v>
      </c>
      <c r="J429" s="4">
        <f t="shared" si="4"/>
        <v>8.6016</v>
      </c>
      <c r="K429" s="4">
        <f t="shared" si="5"/>
        <v>8.96</v>
      </c>
      <c r="L429" s="4">
        <f t="shared" si="6"/>
        <v>8.6016</v>
      </c>
    </row>
    <row r="430">
      <c r="A430" s="3">
        <v>351.0</v>
      </c>
      <c r="B430" s="1" t="s">
        <v>672</v>
      </c>
      <c r="C430" s="3">
        <v>5.2</v>
      </c>
      <c r="D430" s="3">
        <v>2.1</v>
      </c>
      <c r="E430" s="3">
        <v>2.1</v>
      </c>
      <c r="F430" s="3">
        <v>1.0</v>
      </c>
      <c r="G430" s="4">
        <f t="shared" si="1"/>
        <v>2.6</v>
      </c>
      <c r="H430" s="4" t="str">
        <f t="shared" si="2"/>
        <v>Neto: 2,10 € (a partir de 1 uds.)</v>
      </c>
      <c r="I430" s="4" t="str">
        <f t="shared" si="3"/>
        <v>Neto G.C.: 2,10 € (a partir de 1 uds.)</v>
      </c>
      <c r="J430" s="4">
        <f t="shared" si="4"/>
        <v>2.496</v>
      </c>
      <c r="K430" s="4">
        <f t="shared" si="5"/>
        <v>2.6</v>
      </c>
      <c r="L430" s="4">
        <f t="shared" si="6"/>
        <v>2.496</v>
      </c>
    </row>
    <row r="431">
      <c r="A431" s="1" t="s">
        <v>673</v>
      </c>
      <c r="B431" s="1" t="s">
        <v>674</v>
      </c>
      <c r="C431" s="3">
        <v>4.5</v>
      </c>
      <c r="D431" s="5"/>
      <c r="E431" s="5"/>
      <c r="F431" s="5"/>
      <c r="G431" s="4">
        <f t="shared" si="1"/>
        <v>2.25</v>
      </c>
      <c r="H431" s="4" t="str">
        <f t="shared" si="2"/>
        <v>Sin precio neto</v>
      </c>
      <c r="I431" s="4" t="str">
        <f t="shared" si="3"/>
        <v>Sin precio neto G.C.</v>
      </c>
      <c r="J431" s="4">
        <f t="shared" si="4"/>
        <v>2.16</v>
      </c>
      <c r="K431" s="4">
        <f t="shared" si="5"/>
        <v>2.25</v>
      </c>
      <c r="L431" s="4">
        <f t="shared" si="6"/>
        <v>2.16</v>
      </c>
    </row>
    <row r="432">
      <c r="A432" s="1" t="s">
        <v>675</v>
      </c>
      <c r="B432" s="1" t="s">
        <v>676</v>
      </c>
      <c r="C432" s="3">
        <v>8.96</v>
      </c>
      <c r="D432" s="5"/>
      <c r="E432" s="5"/>
      <c r="F432" s="5"/>
      <c r="G432" s="4">
        <f t="shared" si="1"/>
        <v>4.48</v>
      </c>
      <c r="H432" s="4" t="str">
        <f t="shared" si="2"/>
        <v>Sin precio neto</v>
      </c>
      <c r="I432" s="4" t="str">
        <f t="shared" si="3"/>
        <v>Sin precio neto G.C.</v>
      </c>
      <c r="J432" s="4">
        <f t="shared" si="4"/>
        <v>4.3008</v>
      </c>
      <c r="K432" s="4">
        <f t="shared" si="5"/>
        <v>4.48</v>
      </c>
      <c r="L432" s="4">
        <f t="shared" si="6"/>
        <v>4.3008</v>
      </c>
    </row>
    <row r="433">
      <c r="A433" s="1" t="s">
        <v>677</v>
      </c>
      <c r="B433" s="1" t="s">
        <v>678</v>
      </c>
      <c r="C433" s="3">
        <v>17.92</v>
      </c>
      <c r="D433" s="5"/>
      <c r="E433" s="5"/>
      <c r="F433" s="5"/>
      <c r="G433" s="4">
        <f t="shared" si="1"/>
        <v>8.96</v>
      </c>
      <c r="H433" s="4" t="str">
        <f t="shared" si="2"/>
        <v>Sin precio neto</v>
      </c>
      <c r="I433" s="4" t="str">
        <f t="shared" si="3"/>
        <v>Sin precio neto G.C.</v>
      </c>
      <c r="J433" s="4">
        <f t="shared" si="4"/>
        <v>8.6016</v>
      </c>
      <c r="K433" s="4">
        <f t="shared" si="5"/>
        <v>8.96</v>
      </c>
      <c r="L433" s="4">
        <f t="shared" si="6"/>
        <v>8.6016</v>
      </c>
    </row>
    <row r="434">
      <c r="A434" s="3">
        <v>352.0</v>
      </c>
      <c r="B434" s="1" t="s">
        <v>679</v>
      </c>
      <c r="C434" s="3">
        <v>4.62</v>
      </c>
      <c r="D434" s="5"/>
      <c r="E434" s="5"/>
      <c r="F434" s="5"/>
      <c r="G434" s="4">
        <f t="shared" si="1"/>
        <v>2.31</v>
      </c>
      <c r="H434" s="4" t="str">
        <f t="shared" si="2"/>
        <v>Sin precio neto</v>
      </c>
      <c r="I434" s="4" t="str">
        <f t="shared" si="3"/>
        <v>Sin precio neto G.C.</v>
      </c>
      <c r="J434" s="4">
        <f t="shared" si="4"/>
        <v>2.2176</v>
      </c>
      <c r="K434" s="4">
        <f t="shared" si="5"/>
        <v>2.31</v>
      </c>
      <c r="L434" s="4">
        <f t="shared" si="6"/>
        <v>2.2176</v>
      </c>
    </row>
    <row r="435">
      <c r="A435" s="3">
        <v>353.0</v>
      </c>
      <c r="B435" s="1" t="s">
        <v>680</v>
      </c>
      <c r="C435" s="3">
        <v>4.62</v>
      </c>
      <c r="D435" s="5"/>
      <c r="E435" s="5"/>
      <c r="F435" s="5"/>
      <c r="G435" s="4">
        <f t="shared" si="1"/>
        <v>2.31</v>
      </c>
      <c r="H435" s="4" t="str">
        <f t="shared" si="2"/>
        <v>Sin precio neto</v>
      </c>
      <c r="I435" s="4" t="str">
        <f t="shared" si="3"/>
        <v>Sin precio neto G.C.</v>
      </c>
      <c r="J435" s="4">
        <f t="shared" si="4"/>
        <v>2.2176</v>
      </c>
      <c r="K435" s="4">
        <f t="shared" si="5"/>
        <v>2.31</v>
      </c>
      <c r="L435" s="4">
        <f t="shared" si="6"/>
        <v>2.2176</v>
      </c>
    </row>
    <row r="436">
      <c r="A436" s="1" t="s">
        <v>681</v>
      </c>
      <c r="B436" s="1" t="s">
        <v>680</v>
      </c>
      <c r="C436" s="3">
        <v>4.62</v>
      </c>
      <c r="D436" s="5"/>
      <c r="E436" s="5"/>
      <c r="F436" s="5"/>
      <c r="G436" s="4">
        <f t="shared" si="1"/>
        <v>2.31</v>
      </c>
      <c r="H436" s="4" t="str">
        <f t="shared" si="2"/>
        <v>Sin precio neto</v>
      </c>
      <c r="I436" s="4" t="str">
        <f t="shared" si="3"/>
        <v>Sin precio neto G.C.</v>
      </c>
      <c r="J436" s="4">
        <f t="shared" si="4"/>
        <v>2.2176</v>
      </c>
      <c r="K436" s="4">
        <f t="shared" si="5"/>
        <v>2.31</v>
      </c>
      <c r="L436" s="4">
        <f t="shared" si="6"/>
        <v>2.2176</v>
      </c>
    </row>
    <row r="437">
      <c r="A437" s="1" t="s">
        <v>682</v>
      </c>
      <c r="B437" s="1" t="s">
        <v>683</v>
      </c>
      <c r="C437" s="3">
        <v>7.8</v>
      </c>
      <c r="D437" s="5"/>
      <c r="E437" s="5"/>
      <c r="F437" s="5"/>
      <c r="G437" s="4">
        <f t="shared" si="1"/>
        <v>3.9</v>
      </c>
      <c r="H437" s="4" t="str">
        <f t="shared" si="2"/>
        <v>Sin precio neto</v>
      </c>
      <c r="I437" s="4" t="str">
        <f t="shared" si="3"/>
        <v>Sin precio neto G.C.</v>
      </c>
      <c r="J437" s="4">
        <f t="shared" si="4"/>
        <v>3.744</v>
      </c>
      <c r="K437" s="4">
        <f t="shared" si="5"/>
        <v>3.9</v>
      </c>
      <c r="L437" s="4">
        <f t="shared" si="6"/>
        <v>3.744</v>
      </c>
    </row>
    <row r="438">
      <c r="A438" s="1" t="s">
        <v>684</v>
      </c>
      <c r="B438" s="1" t="s">
        <v>685</v>
      </c>
      <c r="C438" s="3">
        <v>12.5</v>
      </c>
      <c r="D438" s="5"/>
      <c r="E438" s="5"/>
      <c r="F438" s="5"/>
      <c r="G438" s="4">
        <f t="shared" si="1"/>
        <v>6.25</v>
      </c>
      <c r="H438" s="4" t="str">
        <f t="shared" si="2"/>
        <v>Sin precio neto</v>
      </c>
      <c r="I438" s="4" t="str">
        <f t="shared" si="3"/>
        <v>Sin precio neto G.C.</v>
      </c>
      <c r="J438" s="4">
        <f t="shared" si="4"/>
        <v>6</v>
      </c>
      <c r="K438" s="4">
        <f t="shared" si="5"/>
        <v>6.25</v>
      </c>
      <c r="L438" s="4">
        <f t="shared" si="6"/>
        <v>6</v>
      </c>
    </row>
    <row r="439">
      <c r="A439" s="3">
        <v>354.0</v>
      </c>
      <c r="B439" s="1" t="s">
        <v>686</v>
      </c>
      <c r="C439" s="3">
        <v>3.36</v>
      </c>
      <c r="D439" s="5"/>
      <c r="E439" s="5"/>
      <c r="F439" s="5"/>
      <c r="G439" s="4">
        <f t="shared" si="1"/>
        <v>1.68</v>
      </c>
      <c r="H439" s="4" t="str">
        <f t="shared" si="2"/>
        <v>Sin precio neto</v>
      </c>
      <c r="I439" s="4" t="str">
        <f t="shared" si="3"/>
        <v>Sin precio neto G.C.</v>
      </c>
      <c r="J439" s="4">
        <f t="shared" si="4"/>
        <v>1.6128</v>
      </c>
      <c r="K439" s="4">
        <f t="shared" si="5"/>
        <v>1.68</v>
      </c>
      <c r="L439" s="4">
        <f t="shared" si="6"/>
        <v>1.6128</v>
      </c>
    </row>
    <row r="440">
      <c r="A440" s="1" t="s">
        <v>687</v>
      </c>
      <c r="B440" s="1" t="s">
        <v>688</v>
      </c>
      <c r="C440" s="3">
        <v>4.62</v>
      </c>
      <c r="D440" s="5"/>
      <c r="E440" s="5"/>
      <c r="F440" s="5"/>
      <c r="G440" s="4">
        <f t="shared" si="1"/>
        <v>2.31</v>
      </c>
      <c r="H440" s="4" t="str">
        <f t="shared" si="2"/>
        <v>Sin precio neto</v>
      </c>
      <c r="I440" s="4" t="str">
        <f t="shared" si="3"/>
        <v>Sin precio neto G.C.</v>
      </c>
      <c r="J440" s="4">
        <f t="shared" si="4"/>
        <v>2.2176</v>
      </c>
      <c r="K440" s="4">
        <f t="shared" si="5"/>
        <v>2.31</v>
      </c>
      <c r="L440" s="4">
        <f t="shared" si="6"/>
        <v>2.2176</v>
      </c>
    </row>
    <row r="441">
      <c r="A441" s="1" t="s">
        <v>689</v>
      </c>
      <c r="B441" s="1" t="s">
        <v>690</v>
      </c>
      <c r="C441" s="3">
        <v>7.8</v>
      </c>
      <c r="D441" s="5"/>
      <c r="E441" s="5"/>
      <c r="F441" s="5"/>
      <c r="G441" s="4">
        <f t="shared" si="1"/>
        <v>3.9</v>
      </c>
      <c r="H441" s="4" t="str">
        <f t="shared" si="2"/>
        <v>Sin precio neto</v>
      </c>
      <c r="I441" s="4" t="str">
        <f t="shared" si="3"/>
        <v>Sin precio neto G.C.</v>
      </c>
      <c r="J441" s="4">
        <f t="shared" si="4"/>
        <v>3.744</v>
      </c>
      <c r="K441" s="4">
        <f t="shared" si="5"/>
        <v>3.9</v>
      </c>
      <c r="L441" s="4">
        <f t="shared" si="6"/>
        <v>3.744</v>
      </c>
    </row>
    <row r="442">
      <c r="A442" s="1" t="s">
        <v>691</v>
      </c>
      <c r="B442" s="1" t="s">
        <v>692</v>
      </c>
      <c r="C442" s="3">
        <v>12.5</v>
      </c>
      <c r="D442" s="5"/>
      <c r="E442" s="5"/>
      <c r="F442" s="5"/>
      <c r="G442" s="4">
        <f t="shared" si="1"/>
        <v>6.25</v>
      </c>
      <c r="H442" s="4" t="str">
        <f t="shared" si="2"/>
        <v>Sin precio neto</v>
      </c>
      <c r="I442" s="4" t="str">
        <f t="shared" si="3"/>
        <v>Sin precio neto G.C.</v>
      </c>
      <c r="J442" s="4">
        <f t="shared" si="4"/>
        <v>6</v>
      </c>
      <c r="K442" s="4">
        <f t="shared" si="5"/>
        <v>6.25</v>
      </c>
      <c r="L442" s="4">
        <f t="shared" si="6"/>
        <v>6</v>
      </c>
    </row>
    <row r="443">
      <c r="A443" s="3">
        <v>355.0</v>
      </c>
      <c r="B443" s="1" t="s">
        <v>693</v>
      </c>
      <c r="C443" s="3">
        <v>5.2</v>
      </c>
      <c r="D443" s="3">
        <v>2.1</v>
      </c>
      <c r="E443" s="3">
        <v>2.1</v>
      </c>
      <c r="F443" s="3">
        <v>1.0</v>
      </c>
      <c r="G443" s="4">
        <f t="shared" si="1"/>
        <v>2.6</v>
      </c>
      <c r="H443" s="4" t="str">
        <f t="shared" si="2"/>
        <v>Neto: 2,10 € (a partir de 1 uds.)</v>
      </c>
      <c r="I443" s="4" t="str">
        <f t="shared" si="3"/>
        <v>Neto G.C.: 2,10 € (a partir de 1 uds.)</v>
      </c>
      <c r="J443" s="4">
        <f t="shared" si="4"/>
        <v>2.496</v>
      </c>
      <c r="K443" s="4">
        <f t="shared" si="5"/>
        <v>2.6</v>
      </c>
      <c r="L443" s="4">
        <f t="shared" si="6"/>
        <v>2.496</v>
      </c>
    </row>
    <row r="444">
      <c r="A444" s="1" t="s">
        <v>694</v>
      </c>
      <c r="B444" s="1" t="s">
        <v>695</v>
      </c>
      <c r="C444" s="3">
        <v>5.04</v>
      </c>
      <c r="D444" s="3">
        <v>2.1</v>
      </c>
      <c r="E444" s="3">
        <v>2.1</v>
      </c>
      <c r="F444" s="3">
        <v>1.0</v>
      </c>
      <c r="G444" s="4">
        <f t="shared" si="1"/>
        <v>2.52</v>
      </c>
      <c r="H444" s="4" t="str">
        <f t="shared" si="2"/>
        <v>Neto: 2,10 € (a partir de 1 uds.)</v>
      </c>
      <c r="I444" s="4" t="str">
        <f t="shared" si="3"/>
        <v>Neto G.C.: 2,10 € (a partir de 1 uds.)</v>
      </c>
      <c r="J444" s="4">
        <f t="shared" si="4"/>
        <v>2.4192</v>
      </c>
      <c r="K444" s="4">
        <f t="shared" si="5"/>
        <v>2.52</v>
      </c>
      <c r="L444" s="4">
        <f t="shared" si="6"/>
        <v>2.4192</v>
      </c>
    </row>
    <row r="445">
      <c r="A445" s="1" t="s">
        <v>696</v>
      </c>
      <c r="B445" s="1" t="s">
        <v>697</v>
      </c>
      <c r="C445" s="3">
        <v>6.2</v>
      </c>
      <c r="D445" s="3">
        <v>3.2</v>
      </c>
      <c r="E445" s="3">
        <v>3.2</v>
      </c>
      <c r="F445" s="3">
        <v>1.0</v>
      </c>
      <c r="G445" s="4">
        <f t="shared" si="1"/>
        <v>3.1</v>
      </c>
      <c r="H445" s="4" t="str">
        <f t="shared" si="2"/>
        <v>Neto: 3,20 € (a partir de 1 uds.)</v>
      </c>
      <c r="I445" s="4" t="str">
        <f t="shared" si="3"/>
        <v>Neto G.C.: 3,20 € (a partir de 1 uds.)</v>
      </c>
      <c r="J445" s="4">
        <f t="shared" si="4"/>
        <v>2.976</v>
      </c>
      <c r="K445" s="4">
        <f t="shared" si="5"/>
        <v>3.1</v>
      </c>
      <c r="L445" s="4">
        <f t="shared" si="6"/>
        <v>2.976</v>
      </c>
    </row>
    <row r="446">
      <c r="A446" s="3">
        <v>356.0</v>
      </c>
      <c r="B446" s="1" t="s">
        <v>698</v>
      </c>
      <c r="C446" s="3">
        <v>5.2</v>
      </c>
      <c r="D446" s="3">
        <v>2.1</v>
      </c>
      <c r="E446" s="3">
        <v>2.1</v>
      </c>
      <c r="F446" s="3">
        <v>1.0</v>
      </c>
      <c r="G446" s="4">
        <f t="shared" si="1"/>
        <v>2.6</v>
      </c>
      <c r="H446" s="4" t="str">
        <f t="shared" si="2"/>
        <v>Neto: 2,10 € (a partir de 1 uds.)</v>
      </c>
      <c r="I446" s="4" t="str">
        <f t="shared" si="3"/>
        <v>Neto G.C.: 2,10 € (a partir de 1 uds.)</v>
      </c>
      <c r="J446" s="4">
        <f t="shared" si="4"/>
        <v>2.496</v>
      </c>
      <c r="K446" s="4">
        <f t="shared" si="5"/>
        <v>2.6</v>
      </c>
      <c r="L446" s="4">
        <f t="shared" si="6"/>
        <v>2.496</v>
      </c>
    </row>
    <row r="447">
      <c r="A447" s="1" t="s">
        <v>699</v>
      </c>
      <c r="B447" s="1" t="s">
        <v>700</v>
      </c>
      <c r="C447" s="3">
        <v>5.04</v>
      </c>
      <c r="D447" s="3">
        <v>2.1</v>
      </c>
      <c r="E447" s="3">
        <v>2.1</v>
      </c>
      <c r="F447" s="3">
        <v>1.0</v>
      </c>
      <c r="G447" s="4">
        <f t="shared" si="1"/>
        <v>2.52</v>
      </c>
      <c r="H447" s="4" t="str">
        <f t="shared" si="2"/>
        <v>Neto: 2,10 € (a partir de 1 uds.)</v>
      </c>
      <c r="I447" s="4" t="str">
        <f t="shared" si="3"/>
        <v>Neto G.C.: 2,10 € (a partir de 1 uds.)</v>
      </c>
      <c r="J447" s="4">
        <f t="shared" si="4"/>
        <v>2.4192</v>
      </c>
      <c r="K447" s="4">
        <f t="shared" si="5"/>
        <v>2.52</v>
      </c>
      <c r="L447" s="4">
        <f t="shared" si="6"/>
        <v>2.4192</v>
      </c>
    </row>
    <row r="448">
      <c r="A448" s="1" t="s">
        <v>701</v>
      </c>
      <c r="B448" s="1" t="s">
        <v>702</v>
      </c>
      <c r="C448" s="3">
        <v>6.2</v>
      </c>
      <c r="D448" s="3">
        <v>3.2</v>
      </c>
      <c r="E448" s="3">
        <v>3.2</v>
      </c>
      <c r="F448" s="3">
        <v>1.0</v>
      </c>
      <c r="G448" s="4">
        <f t="shared" si="1"/>
        <v>3.1</v>
      </c>
      <c r="H448" s="4" t="str">
        <f t="shared" si="2"/>
        <v>Neto: 3,20 € (a partir de 1 uds.)</v>
      </c>
      <c r="I448" s="4" t="str">
        <f t="shared" si="3"/>
        <v>Neto G.C.: 3,20 € (a partir de 1 uds.)</v>
      </c>
      <c r="J448" s="4">
        <f t="shared" si="4"/>
        <v>2.976</v>
      </c>
      <c r="K448" s="4">
        <f t="shared" si="5"/>
        <v>3.1</v>
      </c>
      <c r="L448" s="4">
        <f t="shared" si="6"/>
        <v>2.976</v>
      </c>
    </row>
    <row r="449">
      <c r="A449" s="3">
        <v>357.0</v>
      </c>
      <c r="B449" s="1" t="s">
        <v>703</v>
      </c>
      <c r="C449" s="3">
        <v>5.2</v>
      </c>
      <c r="D449" s="3">
        <v>2.1</v>
      </c>
      <c r="E449" s="3">
        <v>2.1</v>
      </c>
      <c r="F449" s="3">
        <v>1.0</v>
      </c>
      <c r="G449" s="4">
        <f t="shared" si="1"/>
        <v>2.6</v>
      </c>
      <c r="H449" s="4" t="str">
        <f t="shared" si="2"/>
        <v>Neto: 2,10 € (a partir de 1 uds.)</v>
      </c>
      <c r="I449" s="4" t="str">
        <f t="shared" si="3"/>
        <v>Neto G.C.: 2,10 € (a partir de 1 uds.)</v>
      </c>
      <c r="J449" s="4">
        <f t="shared" si="4"/>
        <v>2.496</v>
      </c>
      <c r="K449" s="4">
        <f t="shared" si="5"/>
        <v>2.6</v>
      </c>
      <c r="L449" s="4">
        <f t="shared" si="6"/>
        <v>2.496</v>
      </c>
    </row>
    <row r="450">
      <c r="A450" s="1" t="s">
        <v>704</v>
      </c>
      <c r="B450" s="1" t="s">
        <v>705</v>
      </c>
      <c r="C450" s="3">
        <v>5.04</v>
      </c>
      <c r="D450" s="3">
        <v>2.1</v>
      </c>
      <c r="E450" s="3">
        <v>2.1</v>
      </c>
      <c r="F450" s="3">
        <v>1.0</v>
      </c>
      <c r="G450" s="4">
        <f t="shared" si="1"/>
        <v>2.52</v>
      </c>
      <c r="H450" s="4" t="str">
        <f t="shared" si="2"/>
        <v>Neto: 2,10 € (a partir de 1 uds.)</v>
      </c>
      <c r="I450" s="4" t="str">
        <f t="shared" si="3"/>
        <v>Neto G.C.: 2,10 € (a partir de 1 uds.)</v>
      </c>
      <c r="J450" s="4">
        <f t="shared" si="4"/>
        <v>2.4192</v>
      </c>
      <c r="K450" s="4">
        <f t="shared" si="5"/>
        <v>2.52</v>
      </c>
      <c r="L450" s="4">
        <f t="shared" si="6"/>
        <v>2.4192</v>
      </c>
    </row>
    <row r="451">
      <c r="A451" s="1" t="s">
        <v>706</v>
      </c>
      <c r="B451" s="1" t="s">
        <v>707</v>
      </c>
      <c r="C451" s="3">
        <v>6.2</v>
      </c>
      <c r="D451" s="3">
        <v>3.2</v>
      </c>
      <c r="E451" s="3">
        <v>3.2</v>
      </c>
      <c r="F451" s="3">
        <v>1.0</v>
      </c>
      <c r="G451" s="4">
        <f t="shared" si="1"/>
        <v>3.1</v>
      </c>
      <c r="H451" s="4" t="str">
        <f t="shared" si="2"/>
        <v>Neto: 3,20 € (a partir de 1 uds.)</v>
      </c>
      <c r="I451" s="4" t="str">
        <f t="shared" si="3"/>
        <v>Neto G.C.: 3,20 € (a partir de 1 uds.)</v>
      </c>
      <c r="J451" s="4">
        <f t="shared" si="4"/>
        <v>2.976</v>
      </c>
      <c r="K451" s="4">
        <f t="shared" si="5"/>
        <v>3.1</v>
      </c>
      <c r="L451" s="4">
        <f t="shared" si="6"/>
        <v>2.976</v>
      </c>
    </row>
    <row r="452">
      <c r="A452" s="3">
        <v>358.0</v>
      </c>
      <c r="B452" s="1" t="s">
        <v>708</v>
      </c>
      <c r="C452" s="3">
        <v>5.2</v>
      </c>
      <c r="D452" s="3">
        <v>2.1</v>
      </c>
      <c r="E452" s="3">
        <v>2.1</v>
      </c>
      <c r="F452" s="3">
        <v>1.0</v>
      </c>
      <c r="G452" s="4">
        <f t="shared" si="1"/>
        <v>2.6</v>
      </c>
      <c r="H452" s="4" t="str">
        <f t="shared" si="2"/>
        <v>Neto: 2,10 € (a partir de 1 uds.)</v>
      </c>
      <c r="I452" s="4" t="str">
        <f t="shared" si="3"/>
        <v>Neto G.C.: 2,10 € (a partir de 1 uds.)</v>
      </c>
      <c r="J452" s="4">
        <f t="shared" si="4"/>
        <v>2.496</v>
      </c>
      <c r="K452" s="4">
        <f t="shared" si="5"/>
        <v>2.6</v>
      </c>
      <c r="L452" s="4">
        <f t="shared" si="6"/>
        <v>2.496</v>
      </c>
    </row>
    <row r="453">
      <c r="A453" s="1" t="s">
        <v>709</v>
      </c>
      <c r="B453" s="1" t="s">
        <v>710</v>
      </c>
      <c r="C453" s="3">
        <v>5.04</v>
      </c>
      <c r="D453" s="3">
        <v>2.1</v>
      </c>
      <c r="E453" s="3">
        <v>2.1</v>
      </c>
      <c r="F453" s="3">
        <v>1.0</v>
      </c>
      <c r="G453" s="4">
        <f t="shared" si="1"/>
        <v>2.52</v>
      </c>
      <c r="H453" s="4" t="str">
        <f t="shared" si="2"/>
        <v>Neto: 2,10 € (a partir de 1 uds.)</v>
      </c>
      <c r="I453" s="4" t="str">
        <f t="shared" si="3"/>
        <v>Neto G.C.: 2,10 € (a partir de 1 uds.)</v>
      </c>
      <c r="J453" s="4">
        <f t="shared" si="4"/>
        <v>2.4192</v>
      </c>
      <c r="K453" s="4">
        <f t="shared" si="5"/>
        <v>2.52</v>
      </c>
      <c r="L453" s="4">
        <f t="shared" si="6"/>
        <v>2.4192</v>
      </c>
    </row>
    <row r="454">
      <c r="A454" s="1" t="s">
        <v>711</v>
      </c>
      <c r="B454" s="1" t="s">
        <v>712</v>
      </c>
      <c r="C454" s="3">
        <v>6.2</v>
      </c>
      <c r="D454" s="3">
        <v>3.2</v>
      </c>
      <c r="E454" s="3">
        <v>3.2</v>
      </c>
      <c r="F454" s="3">
        <v>1.0</v>
      </c>
      <c r="G454" s="4">
        <f t="shared" si="1"/>
        <v>3.1</v>
      </c>
      <c r="H454" s="4" t="str">
        <f t="shared" si="2"/>
        <v>Neto: 3,20 € (a partir de 1 uds.)</v>
      </c>
      <c r="I454" s="4" t="str">
        <f t="shared" si="3"/>
        <v>Neto G.C.: 3,20 € (a partir de 1 uds.)</v>
      </c>
      <c r="J454" s="4">
        <f t="shared" si="4"/>
        <v>2.976</v>
      </c>
      <c r="K454" s="4">
        <f t="shared" si="5"/>
        <v>3.1</v>
      </c>
      <c r="L454" s="4">
        <f t="shared" si="6"/>
        <v>2.976</v>
      </c>
    </row>
    <row r="455">
      <c r="A455" s="3">
        <v>359.0</v>
      </c>
      <c r="B455" s="1" t="s">
        <v>713</v>
      </c>
      <c r="C455" s="3">
        <v>5.2</v>
      </c>
      <c r="D455" s="3">
        <v>2.1</v>
      </c>
      <c r="E455" s="3">
        <v>2.1</v>
      </c>
      <c r="F455" s="3">
        <v>1.0</v>
      </c>
      <c r="G455" s="4">
        <f t="shared" si="1"/>
        <v>2.6</v>
      </c>
      <c r="H455" s="4" t="str">
        <f t="shared" si="2"/>
        <v>Neto: 2,10 € (a partir de 1 uds.)</v>
      </c>
      <c r="I455" s="4" t="str">
        <f t="shared" si="3"/>
        <v>Neto G.C.: 2,10 € (a partir de 1 uds.)</v>
      </c>
      <c r="J455" s="4">
        <f t="shared" si="4"/>
        <v>2.496</v>
      </c>
      <c r="K455" s="4">
        <f t="shared" si="5"/>
        <v>2.6</v>
      </c>
      <c r="L455" s="4">
        <f t="shared" si="6"/>
        <v>2.496</v>
      </c>
    </row>
    <row r="456">
      <c r="A456" s="1" t="s">
        <v>714</v>
      </c>
      <c r="B456" s="1" t="s">
        <v>715</v>
      </c>
      <c r="C456" s="3">
        <v>5.04</v>
      </c>
      <c r="D456" s="3">
        <v>2.1</v>
      </c>
      <c r="E456" s="3">
        <v>2.1</v>
      </c>
      <c r="F456" s="3">
        <v>1.0</v>
      </c>
      <c r="G456" s="4">
        <f t="shared" si="1"/>
        <v>2.52</v>
      </c>
      <c r="H456" s="4" t="str">
        <f t="shared" si="2"/>
        <v>Neto: 2,10 € (a partir de 1 uds.)</v>
      </c>
      <c r="I456" s="4" t="str">
        <f t="shared" si="3"/>
        <v>Neto G.C.: 2,10 € (a partir de 1 uds.)</v>
      </c>
      <c r="J456" s="4">
        <f t="shared" si="4"/>
        <v>2.4192</v>
      </c>
      <c r="K456" s="4">
        <f t="shared" si="5"/>
        <v>2.52</v>
      </c>
      <c r="L456" s="4">
        <f t="shared" si="6"/>
        <v>2.4192</v>
      </c>
    </row>
    <row r="457">
      <c r="A457" s="1" t="s">
        <v>716</v>
      </c>
      <c r="B457" s="1" t="s">
        <v>717</v>
      </c>
      <c r="C457" s="3">
        <v>6.2</v>
      </c>
      <c r="D457" s="3">
        <v>3.2</v>
      </c>
      <c r="E457" s="3">
        <v>3.2</v>
      </c>
      <c r="F457" s="3">
        <v>1.0</v>
      </c>
      <c r="G457" s="4">
        <f t="shared" si="1"/>
        <v>3.1</v>
      </c>
      <c r="H457" s="4" t="str">
        <f t="shared" si="2"/>
        <v>Neto: 3,20 € (a partir de 1 uds.)</v>
      </c>
      <c r="I457" s="4" t="str">
        <f t="shared" si="3"/>
        <v>Neto G.C.: 3,20 € (a partir de 1 uds.)</v>
      </c>
      <c r="J457" s="4">
        <f t="shared" si="4"/>
        <v>2.976</v>
      </c>
      <c r="K457" s="4">
        <f t="shared" si="5"/>
        <v>3.1</v>
      </c>
      <c r="L457" s="4">
        <f t="shared" si="6"/>
        <v>2.976</v>
      </c>
    </row>
    <row r="458">
      <c r="A458" s="3">
        <v>360.0</v>
      </c>
      <c r="B458" s="1" t="s">
        <v>718</v>
      </c>
      <c r="C458" s="3">
        <v>4.96</v>
      </c>
      <c r="D458" s="3">
        <v>1.8</v>
      </c>
      <c r="E458" s="3">
        <v>1.75</v>
      </c>
      <c r="F458" s="3">
        <v>1.0</v>
      </c>
      <c r="G458" s="4">
        <f t="shared" si="1"/>
        <v>2.48</v>
      </c>
      <c r="H458" s="4" t="str">
        <f t="shared" si="2"/>
        <v>Neto: 1,80 € (a partir de 1 uds.)</v>
      </c>
      <c r="I458" s="4" t="str">
        <f t="shared" si="3"/>
        <v>Neto G.C.: 1,75 € (a partir de 1 uds.)</v>
      </c>
      <c r="J458" s="4">
        <f t="shared" si="4"/>
        <v>2.3808</v>
      </c>
      <c r="K458" s="4">
        <f t="shared" si="5"/>
        <v>2.48</v>
      </c>
      <c r="L458" s="4">
        <f t="shared" si="6"/>
        <v>2.3808</v>
      </c>
    </row>
    <row r="459">
      <c r="A459" s="3">
        <v>361.0</v>
      </c>
      <c r="B459" s="1" t="s">
        <v>719</v>
      </c>
      <c r="C459" s="3">
        <v>4.96</v>
      </c>
      <c r="D459" s="3">
        <v>1.8</v>
      </c>
      <c r="E459" s="3">
        <v>1.75</v>
      </c>
      <c r="F459" s="3">
        <v>1.0</v>
      </c>
      <c r="G459" s="4">
        <f t="shared" si="1"/>
        <v>2.48</v>
      </c>
      <c r="H459" s="4" t="str">
        <f t="shared" si="2"/>
        <v>Neto: 1,80 € (a partir de 1 uds.)</v>
      </c>
      <c r="I459" s="4" t="str">
        <f t="shared" si="3"/>
        <v>Neto G.C.: 1,75 € (a partir de 1 uds.)</v>
      </c>
      <c r="J459" s="4">
        <f t="shared" si="4"/>
        <v>2.3808</v>
      </c>
      <c r="K459" s="4">
        <f t="shared" si="5"/>
        <v>2.48</v>
      </c>
      <c r="L459" s="4">
        <f t="shared" si="6"/>
        <v>2.3808</v>
      </c>
    </row>
    <row r="460">
      <c r="A460" s="3">
        <v>362.0</v>
      </c>
      <c r="B460" s="1" t="s">
        <v>720</v>
      </c>
      <c r="C460" s="3">
        <v>5.2</v>
      </c>
      <c r="D460" s="3">
        <v>2.1</v>
      </c>
      <c r="E460" s="3">
        <v>2.1</v>
      </c>
      <c r="F460" s="3">
        <v>1.0</v>
      </c>
      <c r="G460" s="4">
        <f t="shared" si="1"/>
        <v>2.6</v>
      </c>
      <c r="H460" s="4" t="str">
        <f t="shared" si="2"/>
        <v>Neto: 2,10 € (a partir de 1 uds.)</v>
      </c>
      <c r="I460" s="4" t="str">
        <f t="shared" si="3"/>
        <v>Neto G.C.: 2,10 € (a partir de 1 uds.)</v>
      </c>
      <c r="J460" s="4">
        <f t="shared" si="4"/>
        <v>2.496</v>
      </c>
      <c r="K460" s="4">
        <f t="shared" si="5"/>
        <v>2.6</v>
      </c>
      <c r="L460" s="4">
        <f t="shared" si="6"/>
        <v>2.496</v>
      </c>
    </row>
    <row r="461">
      <c r="A461" s="1" t="s">
        <v>721</v>
      </c>
      <c r="B461" s="1" t="s">
        <v>722</v>
      </c>
      <c r="C461" s="3">
        <v>5.04</v>
      </c>
      <c r="D461" s="3">
        <v>2.1</v>
      </c>
      <c r="E461" s="3">
        <v>2.1</v>
      </c>
      <c r="F461" s="3">
        <v>1.0</v>
      </c>
      <c r="G461" s="4">
        <f t="shared" si="1"/>
        <v>2.52</v>
      </c>
      <c r="H461" s="4" t="str">
        <f t="shared" si="2"/>
        <v>Neto: 2,10 € (a partir de 1 uds.)</v>
      </c>
      <c r="I461" s="4" t="str">
        <f t="shared" si="3"/>
        <v>Neto G.C.: 2,10 € (a partir de 1 uds.)</v>
      </c>
      <c r="J461" s="4">
        <f t="shared" si="4"/>
        <v>2.4192</v>
      </c>
      <c r="K461" s="4">
        <f t="shared" si="5"/>
        <v>2.52</v>
      </c>
      <c r="L461" s="4">
        <f t="shared" si="6"/>
        <v>2.4192</v>
      </c>
    </row>
    <row r="462">
      <c r="A462" s="1" t="s">
        <v>723</v>
      </c>
      <c r="B462" s="1" t="s">
        <v>724</v>
      </c>
      <c r="C462" s="3">
        <v>6.2</v>
      </c>
      <c r="D462" s="3">
        <v>3.2</v>
      </c>
      <c r="E462" s="3">
        <v>3.2</v>
      </c>
      <c r="F462" s="3">
        <v>1.0</v>
      </c>
      <c r="G462" s="4">
        <f t="shared" si="1"/>
        <v>3.1</v>
      </c>
      <c r="H462" s="4" t="str">
        <f t="shared" si="2"/>
        <v>Neto: 3,20 € (a partir de 1 uds.)</v>
      </c>
      <c r="I462" s="4" t="str">
        <f t="shared" si="3"/>
        <v>Neto G.C.: 3,20 € (a partir de 1 uds.)</v>
      </c>
      <c r="J462" s="4">
        <f t="shared" si="4"/>
        <v>2.976</v>
      </c>
      <c r="K462" s="4">
        <f t="shared" si="5"/>
        <v>3.1</v>
      </c>
      <c r="L462" s="4">
        <f t="shared" si="6"/>
        <v>2.976</v>
      </c>
    </row>
    <row r="463">
      <c r="A463" s="3">
        <v>363.0</v>
      </c>
      <c r="B463" s="1" t="s">
        <v>725</v>
      </c>
      <c r="C463" s="3">
        <v>4.96</v>
      </c>
      <c r="D463" s="3">
        <v>1.8</v>
      </c>
      <c r="E463" s="3">
        <v>1.75</v>
      </c>
      <c r="F463" s="3">
        <v>1.0</v>
      </c>
      <c r="G463" s="4">
        <f t="shared" si="1"/>
        <v>2.48</v>
      </c>
      <c r="H463" s="4" t="str">
        <f t="shared" si="2"/>
        <v>Neto: 1,80 € (a partir de 1 uds.)</v>
      </c>
      <c r="I463" s="4" t="str">
        <f t="shared" si="3"/>
        <v>Neto G.C.: 1,75 € (a partir de 1 uds.)</v>
      </c>
      <c r="J463" s="4">
        <f t="shared" si="4"/>
        <v>2.3808</v>
      </c>
      <c r="K463" s="4">
        <f t="shared" si="5"/>
        <v>2.48</v>
      </c>
      <c r="L463" s="4">
        <f t="shared" si="6"/>
        <v>2.3808</v>
      </c>
    </row>
    <row r="464">
      <c r="A464" s="3">
        <v>364.0</v>
      </c>
      <c r="B464" s="1" t="s">
        <v>726</v>
      </c>
      <c r="C464" s="3">
        <v>5.2</v>
      </c>
      <c r="D464" s="3">
        <v>2.1</v>
      </c>
      <c r="E464" s="3">
        <v>2.1</v>
      </c>
      <c r="F464" s="3">
        <v>1.0</v>
      </c>
      <c r="G464" s="4">
        <f t="shared" si="1"/>
        <v>2.6</v>
      </c>
      <c r="H464" s="4" t="str">
        <f t="shared" si="2"/>
        <v>Neto: 2,10 € (a partir de 1 uds.)</v>
      </c>
      <c r="I464" s="4" t="str">
        <f t="shared" si="3"/>
        <v>Neto G.C.: 2,10 € (a partir de 1 uds.)</v>
      </c>
      <c r="J464" s="4">
        <f t="shared" si="4"/>
        <v>2.496</v>
      </c>
      <c r="K464" s="4">
        <f t="shared" si="5"/>
        <v>2.6</v>
      </c>
      <c r="L464" s="4">
        <f t="shared" si="6"/>
        <v>2.496</v>
      </c>
    </row>
    <row r="465">
      <c r="A465" s="1" t="s">
        <v>727</v>
      </c>
      <c r="B465" s="1" t="s">
        <v>728</v>
      </c>
      <c r="C465" s="3">
        <v>5.04</v>
      </c>
      <c r="D465" s="3">
        <v>2.1</v>
      </c>
      <c r="E465" s="3">
        <v>2.1</v>
      </c>
      <c r="F465" s="3">
        <v>1.0</v>
      </c>
      <c r="G465" s="4">
        <f t="shared" si="1"/>
        <v>2.52</v>
      </c>
      <c r="H465" s="4" t="str">
        <f t="shared" si="2"/>
        <v>Neto: 2,10 € (a partir de 1 uds.)</v>
      </c>
      <c r="I465" s="4" t="str">
        <f t="shared" si="3"/>
        <v>Neto G.C.: 2,10 € (a partir de 1 uds.)</v>
      </c>
      <c r="J465" s="4">
        <f t="shared" si="4"/>
        <v>2.4192</v>
      </c>
      <c r="K465" s="4">
        <f t="shared" si="5"/>
        <v>2.52</v>
      </c>
      <c r="L465" s="4">
        <f t="shared" si="6"/>
        <v>2.4192</v>
      </c>
    </row>
    <row r="466">
      <c r="A466" s="1" t="s">
        <v>729</v>
      </c>
      <c r="B466" s="1" t="s">
        <v>730</v>
      </c>
      <c r="C466" s="3">
        <v>6.2</v>
      </c>
      <c r="D466" s="3">
        <v>3.2</v>
      </c>
      <c r="E466" s="3">
        <v>3.2</v>
      </c>
      <c r="F466" s="3">
        <v>1.0</v>
      </c>
      <c r="G466" s="4">
        <f t="shared" si="1"/>
        <v>3.1</v>
      </c>
      <c r="H466" s="4" t="str">
        <f t="shared" si="2"/>
        <v>Neto: 3,20 € (a partir de 1 uds.)</v>
      </c>
      <c r="I466" s="4" t="str">
        <f t="shared" si="3"/>
        <v>Neto G.C.: 3,20 € (a partir de 1 uds.)</v>
      </c>
      <c r="J466" s="4">
        <f t="shared" si="4"/>
        <v>2.976</v>
      </c>
      <c r="K466" s="4">
        <f t="shared" si="5"/>
        <v>3.1</v>
      </c>
      <c r="L466" s="4">
        <f t="shared" si="6"/>
        <v>2.976</v>
      </c>
    </row>
    <row r="467">
      <c r="A467" s="3">
        <v>365.0</v>
      </c>
      <c r="B467" s="1" t="s">
        <v>731</v>
      </c>
      <c r="C467" s="3">
        <v>5.2</v>
      </c>
      <c r="D467" s="3">
        <v>2.1</v>
      </c>
      <c r="E467" s="3">
        <v>2.1</v>
      </c>
      <c r="F467" s="3">
        <v>1.0</v>
      </c>
      <c r="G467" s="4">
        <f t="shared" si="1"/>
        <v>2.6</v>
      </c>
      <c r="H467" s="4" t="str">
        <f t="shared" si="2"/>
        <v>Neto: 2,10 € (a partir de 1 uds.)</v>
      </c>
      <c r="I467" s="4" t="str">
        <f t="shared" si="3"/>
        <v>Neto G.C.: 2,10 € (a partir de 1 uds.)</v>
      </c>
      <c r="J467" s="4">
        <f t="shared" si="4"/>
        <v>2.496</v>
      </c>
      <c r="K467" s="4">
        <f t="shared" si="5"/>
        <v>2.6</v>
      </c>
      <c r="L467" s="4">
        <f t="shared" si="6"/>
        <v>2.496</v>
      </c>
    </row>
    <row r="468">
      <c r="A468" s="3">
        <v>366.0</v>
      </c>
      <c r="B468" s="1" t="s">
        <v>732</v>
      </c>
      <c r="C468" s="3">
        <v>5.2</v>
      </c>
      <c r="D468" s="3">
        <v>2.1</v>
      </c>
      <c r="E468" s="3">
        <v>2.1</v>
      </c>
      <c r="F468" s="3">
        <v>1.0</v>
      </c>
      <c r="G468" s="4">
        <f t="shared" si="1"/>
        <v>2.6</v>
      </c>
      <c r="H468" s="4" t="str">
        <f t="shared" si="2"/>
        <v>Neto: 2,10 € (a partir de 1 uds.)</v>
      </c>
      <c r="I468" s="4" t="str">
        <f t="shared" si="3"/>
        <v>Neto G.C.: 2,10 € (a partir de 1 uds.)</v>
      </c>
      <c r="J468" s="4">
        <f t="shared" si="4"/>
        <v>2.496</v>
      </c>
      <c r="K468" s="4">
        <f t="shared" si="5"/>
        <v>2.6</v>
      </c>
      <c r="L468" s="4">
        <f t="shared" si="6"/>
        <v>2.496</v>
      </c>
    </row>
    <row r="469">
      <c r="A469" s="1" t="s">
        <v>733</v>
      </c>
      <c r="B469" s="1" t="s">
        <v>732</v>
      </c>
      <c r="C469" s="3">
        <v>5.04</v>
      </c>
      <c r="D469" s="3">
        <v>2.1</v>
      </c>
      <c r="E469" s="3">
        <v>2.1</v>
      </c>
      <c r="F469" s="3">
        <v>1.0</v>
      </c>
      <c r="G469" s="4">
        <f t="shared" si="1"/>
        <v>2.52</v>
      </c>
      <c r="H469" s="4" t="str">
        <f t="shared" si="2"/>
        <v>Neto: 2,10 € (a partir de 1 uds.)</v>
      </c>
      <c r="I469" s="4" t="str">
        <f t="shared" si="3"/>
        <v>Neto G.C.: 2,10 € (a partir de 1 uds.)</v>
      </c>
      <c r="J469" s="4">
        <f t="shared" si="4"/>
        <v>2.4192</v>
      </c>
      <c r="K469" s="4">
        <f t="shared" si="5"/>
        <v>2.52</v>
      </c>
      <c r="L469" s="4">
        <f t="shared" si="6"/>
        <v>2.4192</v>
      </c>
    </row>
    <row r="470">
      <c r="A470" s="1" t="s">
        <v>734</v>
      </c>
      <c r="B470" s="1" t="s">
        <v>735</v>
      </c>
      <c r="C470" s="3">
        <v>6.2</v>
      </c>
      <c r="D470" s="3">
        <v>3.2</v>
      </c>
      <c r="E470" s="3">
        <v>3.2</v>
      </c>
      <c r="F470" s="3">
        <v>1.0</v>
      </c>
      <c r="G470" s="4">
        <f t="shared" si="1"/>
        <v>3.1</v>
      </c>
      <c r="H470" s="4" t="str">
        <f t="shared" si="2"/>
        <v>Neto: 3,20 € (a partir de 1 uds.)</v>
      </c>
      <c r="I470" s="4" t="str">
        <f t="shared" si="3"/>
        <v>Neto G.C.: 3,20 € (a partir de 1 uds.)</v>
      </c>
      <c r="J470" s="4">
        <f t="shared" si="4"/>
        <v>2.976</v>
      </c>
      <c r="K470" s="4">
        <f t="shared" si="5"/>
        <v>3.1</v>
      </c>
      <c r="L470" s="4">
        <f t="shared" si="6"/>
        <v>2.976</v>
      </c>
    </row>
    <row r="471">
      <c r="A471" s="3">
        <v>367.0</v>
      </c>
      <c r="B471" s="1" t="s">
        <v>736</v>
      </c>
      <c r="C471" s="3">
        <v>5.2</v>
      </c>
      <c r="D471" s="3">
        <v>2.1</v>
      </c>
      <c r="E471" s="3">
        <v>2.1</v>
      </c>
      <c r="F471" s="3">
        <v>1.0</v>
      </c>
      <c r="G471" s="4">
        <f t="shared" si="1"/>
        <v>2.6</v>
      </c>
      <c r="H471" s="4" t="str">
        <f t="shared" si="2"/>
        <v>Neto: 2,10 € (a partir de 1 uds.)</v>
      </c>
      <c r="I471" s="4" t="str">
        <f t="shared" si="3"/>
        <v>Neto G.C.: 2,10 € (a partir de 1 uds.)</v>
      </c>
      <c r="J471" s="4">
        <f t="shared" si="4"/>
        <v>2.496</v>
      </c>
      <c r="K471" s="4">
        <f t="shared" si="5"/>
        <v>2.6</v>
      </c>
      <c r="L471" s="4">
        <f t="shared" si="6"/>
        <v>2.496</v>
      </c>
    </row>
    <row r="472">
      <c r="A472" s="1" t="s">
        <v>737</v>
      </c>
      <c r="B472" s="1" t="s">
        <v>738</v>
      </c>
      <c r="C472" s="3">
        <v>4.5</v>
      </c>
      <c r="D472" s="5"/>
      <c r="E472" s="5"/>
      <c r="F472" s="5"/>
      <c r="G472" s="4">
        <f t="shared" si="1"/>
        <v>2.25</v>
      </c>
      <c r="H472" s="4" t="str">
        <f t="shared" si="2"/>
        <v>Sin precio neto</v>
      </c>
      <c r="I472" s="4" t="str">
        <f t="shared" si="3"/>
        <v>Sin precio neto G.C.</v>
      </c>
      <c r="J472" s="4">
        <f t="shared" si="4"/>
        <v>2.16</v>
      </c>
      <c r="K472" s="4">
        <f t="shared" si="5"/>
        <v>2.25</v>
      </c>
      <c r="L472" s="4">
        <f t="shared" si="6"/>
        <v>2.16</v>
      </c>
    </row>
    <row r="473">
      <c r="A473" s="1" t="s">
        <v>739</v>
      </c>
      <c r="B473" s="1" t="s">
        <v>740</v>
      </c>
      <c r="C473" s="3">
        <v>4.62</v>
      </c>
      <c r="D473" s="5"/>
      <c r="E473" s="5"/>
      <c r="F473" s="5"/>
      <c r="G473" s="4">
        <f t="shared" si="1"/>
        <v>2.31</v>
      </c>
      <c r="H473" s="4" t="str">
        <f t="shared" si="2"/>
        <v>Sin precio neto</v>
      </c>
      <c r="I473" s="4" t="str">
        <f t="shared" si="3"/>
        <v>Sin precio neto G.C.</v>
      </c>
      <c r="J473" s="4">
        <f t="shared" si="4"/>
        <v>2.2176</v>
      </c>
      <c r="K473" s="4">
        <f t="shared" si="5"/>
        <v>2.31</v>
      </c>
      <c r="L473" s="4">
        <f t="shared" si="6"/>
        <v>2.2176</v>
      </c>
    </row>
    <row r="474">
      <c r="A474" s="1" t="s">
        <v>741</v>
      </c>
      <c r="B474" s="1" t="s">
        <v>742</v>
      </c>
      <c r="C474" s="3">
        <v>7.8</v>
      </c>
      <c r="D474" s="5"/>
      <c r="E474" s="5"/>
      <c r="F474" s="5"/>
      <c r="G474" s="4">
        <f t="shared" si="1"/>
        <v>3.9</v>
      </c>
      <c r="H474" s="4" t="str">
        <f t="shared" si="2"/>
        <v>Sin precio neto</v>
      </c>
      <c r="I474" s="4" t="str">
        <f t="shared" si="3"/>
        <v>Sin precio neto G.C.</v>
      </c>
      <c r="J474" s="4">
        <f t="shared" si="4"/>
        <v>3.744</v>
      </c>
      <c r="K474" s="4">
        <f t="shared" si="5"/>
        <v>3.9</v>
      </c>
      <c r="L474" s="4">
        <f t="shared" si="6"/>
        <v>3.744</v>
      </c>
    </row>
    <row r="475">
      <c r="A475" s="1" t="s">
        <v>743</v>
      </c>
      <c r="B475" s="1" t="s">
        <v>744</v>
      </c>
      <c r="C475" s="3">
        <v>12.5</v>
      </c>
      <c r="D475" s="5"/>
      <c r="E475" s="5"/>
      <c r="F475" s="5"/>
      <c r="G475" s="4">
        <f t="shared" si="1"/>
        <v>6.25</v>
      </c>
      <c r="H475" s="4" t="str">
        <f t="shared" si="2"/>
        <v>Sin precio neto</v>
      </c>
      <c r="I475" s="4" t="str">
        <f t="shared" si="3"/>
        <v>Sin precio neto G.C.</v>
      </c>
      <c r="J475" s="4">
        <f t="shared" si="4"/>
        <v>6</v>
      </c>
      <c r="K475" s="4">
        <f t="shared" si="5"/>
        <v>6.25</v>
      </c>
      <c r="L475" s="4">
        <f t="shared" si="6"/>
        <v>6</v>
      </c>
    </row>
    <row r="476">
      <c r="A476" s="3">
        <v>368.0</v>
      </c>
      <c r="B476" s="1" t="s">
        <v>745</v>
      </c>
      <c r="C476" s="3">
        <v>3.2</v>
      </c>
      <c r="D476" s="3">
        <v>1.2</v>
      </c>
      <c r="E476" s="3">
        <v>1.2</v>
      </c>
      <c r="F476" s="3">
        <v>1.0</v>
      </c>
      <c r="G476" s="4">
        <f t="shared" si="1"/>
        <v>1.6</v>
      </c>
      <c r="H476" s="4" t="str">
        <f t="shared" si="2"/>
        <v>Neto: 1,20 € (a partir de 1 uds.)</v>
      </c>
      <c r="I476" s="4" t="str">
        <f t="shared" si="3"/>
        <v>Neto G.C.: 1,20 € (a partir de 1 uds.)</v>
      </c>
      <c r="J476" s="4">
        <f t="shared" si="4"/>
        <v>1.536</v>
      </c>
      <c r="K476" s="4">
        <f t="shared" si="5"/>
        <v>1.6</v>
      </c>
      <c r="L476" s="4">
        <f t="shared" si="6"/>
        <v>1.536</v>
      </c>
    </row>
    <row r="477">
      <c r="A477" s="3">
        <v>369.0</v>
      </c>
      <c r="B477" s="1" t="s">
        <v>746</v>
      </c>
      <c r="C477" s="3">
        <v>3.2</v>
      </c>
      <c r="D477" s="3">
        <v>1.2</v>
      </c>
      <c r="E477" s="3">
        <v>1.2</v>
      </c>
      <c r="F477" s="3">
        <v>1.0</v>
      </c>
      <c r="G477" s="4">
        <f t="shared" si="1"/>
        <v>1.6</v>
      </c>
      <c r="H477" s="4" t="str">
        <f t="shared" si="2"/>
        <v>Neto: 1,20 € (a partir de 1 uds.)</v>
      </c>
      <c r="I477" s="4" t="str">
        <f t="shared" si="3"/>
        <v>Neto G.C.: 1,20 € (a partir de 1 uds.)</v>
      </c>
      <c r="J477" s="4">
        <f t="shared" si="4"/>
        <v>1.536</v>
      </c>
      <c r="K477" s="4">
        <f t="shared" si="5"/>
        <v>1.6</v>
      </c>
      <c r="L477" s="4">
        <f t="shared" si="6"/>
        <v>1.536</v>
      </c>
    </row>
    <row r="478">
      <c r="A478" s="3">
        <v>370.0</v>
      </c>
      <c r="B478" s="1" t="s">
        <v>747</v>
      </c>
      <c r="C478" s="3">
        <v>4.96</v>
      </c>
      <c r="D478" s="3">
        <v>1.8</v>
      </c>
      <c r="E478" s="3">
        <v>1.75</v>
      </c>
      <c r="F478" s="3">
        <v>1.0</v>
      </c>
      <c r="G478" s="4">
        <f t="shared" si="1"/>
        <v>2.48</v>
      </c>
      <c r="H478" s="4" t="str">
        <f t="shared" si="2"/>
        <v>Neto: 1,80 € (a partir de 1 uds.)</v>
      </c>
      <c r="I478" s="4" t="str">
        <f t="shared" si="3"/>
        <v>Neto G.C.: 1,75 € (a partir de 1 uds.)</v>
      </c>
      <c r="J478" s="4">
        <f t="shared" si="4"/>
        <v>2.3808</v>
      </c>
      <c r="K478" s="4">
        <f t="shared" si="5"/>
        <v>2.48</v>
      </c>
      <c r="L478" s="4">
        <f t="shared" si="6"/>
        <v>2.3808</v>
      </c>
    </row>
    <row r="479">
      <c r="A479" s="1" t="s">
        <v>748</v>
      </c>
      <c r="B479" s="1" t="s">
        <v>749</v>
      </c>
      <c r="C479" s="3">
        <v>3.2</v>
      </c>
      <c r="D479" s="3">
        <v>1.2</v>
      </c>
      <c r="E479" s="3">
        <v>1.2</v>
      </c>
      <c r="F479" s="3">
        <v>1.0</v>
      </c>
      <c r="G479" s="4">
        <f t="shared" si="1"/>
        <v>1.6</v>
      </c>
      <c r="H479" s="4" t="str">
        <f t="shared" si="2"/>
        <v>Neto: 1,20 € (a partir de 1 uds.)</v>
      </c>
      <c r="I479" s="4" t="str">
        <f t="shared" si="3"/>
        <v>Neto G.C.: 1,20 € (a partir de 1 uds.)</v>
      </c>
      <c r="J479" s="4">
        <f t="shared" si="4"/>
        <v>1.536</v>
      </c>
      <c r="K479" s="4">
        <f t="shared" si="5"/>
        <v>1.6</v>
      </c>
      <c r="L479" s="4">
        <f t="shared" si="6"/>
        <v>1.536</v>
      </c>
    </row>
    <row r="480">
      <c r="A480" s="3">
        <v>371.0</v>
      </c>
      <c r="B480" s="1" t="s">
        <v>750</v>
      </c>
      <c r="C480" s="3">
        <v>4.96</v>
      </c>
      <c r="D480" s="3">
        <v>1.8</v>
      </c>
      <c r="E480" s="3">
        <v>1.75</v>
      </c>
      <c r="F480" s="3">
        <v>1.0</v>
      </c>
      <c r="G480" s="4">
        <f t="shared" si="1"/>
        <v>2.48</v>
      </c>
      <c r="H480" s="4" t="str">
        <f t="shared" si="2"/>
        <v>Neto: 1,80 € (a partir de 1 uds.)</v>
      </c>
      <c r="I480" s="4" t="str">
        <f t="shared" si="3"/>
        <v>Neto G.C.: 1,75 € (a partir de 1 uds.)</v>
      </c>
      <c r="J480" s="4">
        <f t="shared" si="4"/>
        <v>2.3808</v>
      </c>
      <c r="K480" s="4">
        <f t="shared" si="5"/>
        <v>2.48</v>
      </c>
      <c r="L480" s="4">
        <f t="shared" si="6"/>
        <v>2.3808</v>
      </c>
    </row>
    <row r="481">
      <c r="A481" s="1" t="s">
        <v>751</v>
      </c>
      <c r="B481" s="1" t="s">
        <v>752</v>
      </c>
      <c r="C481" s="3">
        <v>3.2</v>
      </c>
      <c r="D481" s="3">
        <v>1.2</v>
      </c>
      <c r="E481" s="3">
        <v>1.2</v>
      </c>
      <c r="F481" s="3">
        <v>1.0</v>
      </c>
      <c r="G481" s="4">
        <f t="shared" si="1"/>
        <v>1.6</v>
      </c>
      <c r="H481" s="4" t="str">
        <f t="shared" si="2"/>
        <v>Neto: 1,20 € (a partir de 1 uds.)</v>
      </c>
      <c r="I481" s="4" t="str">
        <f t="shared" si="3"/>
        <v>Neto G.C.: 1,20 € (a partir de 1 uds.)</v>
      </c>
      <c r="J481" s="4">
        <f t="shared" si="4"/>
        <v>1.536</v>
      </c>
      <c r="K481" s="4">
        <f t="shared" si="5"/>
        <v>1.6</v>
      </c>
      <c r="L481" s="4">
        <f t="shared" si="6"/>
        <v>1.536</v>
      </c>
    </row>
    <row r="482">
      <c r="A482" s="3">
        <v>372.0</v>
      </c>
      <c r="B482" s="1" t="s">
        <v>753</v>
      </c>
      <c r="C482" s="3">
        <v>4.96</v>
      </c>
      <c r="D482" s="3">
        <v>1.8</v>
      </c>
      <c r="E482" s="3">
        <v>1.75</v>
      </c>
      <c r="F482" s="3">
        <v>1.0</v>
      </c>
      <c r="G482" s="4">
        <f t="shared" si="1"/>
        <v>2.48</v>
      </c>
      <c r="H482" s="4" t="str">
        <f t="shared" si="2"/>
        <v>Neto: 1,80 € (a partir de 1 uds.)</v>
      </c>
      <c r="I482" s="4" t="str">
        <f t="shared" si="3"/>
        <v>Neto G.C.: 1,75 € (a partir de 1 uds.)</v>
      </c>
      <c r="J482" s="4">
        <f t="shared" si="4"/>
        <v>2.3808</v>
      </c>
      <c r="K482" s="4">
        <f t="shared" si="5"/>
        <v>2.48</v>
      </c>
      <c r="L482" s="4">
        <f t="shared" si="6"/>
        <v>2.3808</v>
      </c>
    </row>
    <row r="483">
      <c r="A483" s="1" t="s">
        <v>754</v>
      </c>
      <c r="B483" s="1" t="s">
        <v>755</v>
      </c>
      <c r="C483" s="3">
        <v>3.2</v>
      </c>
      <c r="D483" s="3">
        <v>1.2</v>
      </c>
      <c r="E483" s="3">
        <v>1.2</v>
      </c>
      <c r="F483" s="3">
        <v>1.0</v>
      </c>
      <c r="G483" s="4">
        <f t="shared" si="1"/>
        <v>1.6</v>
      </c>
      <c r="H483" s="4" t="str">
        <f t="shared" si="2"/>
        <v>Neto: 1,20 € (a partir de 1 uds.)</v>
      </c>
      <c r="I483" s="4" t="str">
        <f t="shared" si="3"/>
        <v>Neto G.C.: 1,20 € (a partir de 1 uds.)</v>
      </c>
      <c r="J483" s="4">
        <f t="shared" si="4"/>
        <v>1.536</v>
      </c>
      <c r="K483" s="4">
        <f t="shared" si="5"/>
        <v>1.6</v>
      </c>
      <c r="L483" s="4">
        <f t="shared" si="6"/>
        <v>1.536</v>
      </c>
    </row>
    <row r="484">
      <c r="A484" s="3">
        <v>373.0</v>
      </c>
      <c r="B484" s="1" t="s">
        <v>756</v>
      </c>
      <c r="C484" s="3">
        <v>4.96</v>
      </c>
      <c r="D484" s="3">
        <v>1.8</v>
      </c>
      <c r="E484" s="3">
        <v>1.75</v>
      </c>
      <c r="F484" s="3">
        <v>1.0</v>
      </c>
      <c r="G484" s="4">
        <f t="shared" si="1"/>
        <v>2.48</v>
      </c>
      <c r="H484" s="4" t="str">
        <f t="shared" si="2"/>
        <v>Neto: 1,80 € (a partir de 1 uds.)</v>
      </c>
      <c r="I484" s="4" t="str">
        <f t="shared" si="3"/>
        <v>Neto G.C.: 1,75 € (a partir de 1 uds.)</v>
      </c>
      <c r="J484" s="4">
        <f t="shared" si="4"/>
        <v>2.3808</v>
      </c>
      <c r="K484" s="4">
        <f t="shared" si="5"/>
        <v>2.48</v>
      </c>
      <c r="L484" s="4">
        <f t="shared" si="6"/>
        <v>2.3808</v>
      </c>
    </row>
    <row r="485">
      <c r="A485" s="1" t="s">
        <v>757</v>
      </c>
      <c r="B485" s="1" t="s">
        <v>758</v>
      </c>
      <c r="C485" s="3">
        <v>3.2</v>
      </c>
      <c r="D485" s="3">
        <v>1.2</v>
      </c>
      <c r="E485" s="3">
        <v>1.2</v>
      </c>
      <c r="F485" s="3">
        <v>1.0</v>
      </c>
      <c r="G485" s="4">
        <f t="shared" si="1"/>
        <v>1.6</v>
      </c>
      <c r="H485" s="4" t="str">
        <f t="shared" si="2"/>
        <v>Neto: 1,20 € (a partir de 1 uds.)</v>
      </c>
      <c r="I485" s="4" t="str">
        <f t="shared" si="3"/>
        <v>Neto G.C.: 1,20 € (a partir de 1 uds.)</v>
      </c>
      <c r="J485" s="4">
        <f t="shared" si="4"/>
        <v>1.536</v>
      </c>
      <c r="K485" s="4">
        <f t="shared" si="5"/>
        <v>1.6</v>
      </c>
      <c r="L485" s="4">
        <f t="shared" si="6"/>
        <v>1.536</v>
      </c>
    </row>
    <row r="486">
      <c r="A486" s="3">
        <v>374.0</v>
      </c>
      <c r="B486" s="1" t="s">
        <v>759</v>
      </c>
      <c r="C486" s="3">
        <v>4.96</v>
      </c>
      <c r="D486" s="3">
        <v>1.8</v>
      </c>
      <c r="E486" s="3">
        <v>1.75</v>
      </c>
      <c r="F486" s="3">
        <v>1.0</v>
      </c>
      <c r="G486" s="4">
        <f t="shared" si="1"/>
        <v>2.48</v>
      </c>
      <c r="H486" s="4" t="str">
        <f t="shared" si="2"/>
        <v>Neto: 1,80 € (a partir de 1 uds.)</v>
      </c>
      <c r="I486" s="4" t="str">
        <f t="shared" si="3"/>
        <v>Neto G.C.: 1,75 € (a partir de 1 uds.)</v>
      </c>
      <c r="J486" s="4">
        <f t="shared" si="4"/>
        <v>2.3808</v>
      </c>
      <c r="K486" s="4">
        <f t="shared" si="5"/>
        <v>2.48</v>
      </c>
      <c r="L486" s="4">
        <f t="shared" si="6"/>
        <v>2.3808</v>
      </c>
    </row>
    <row r="487">
      <c r="A487" s="1" t="s">
        <v>760</v>
      </c>
      <c r="B487" s="1" t="s">
        <v>382</v>
      </c>
      <c r="C487" s="3">
        <v>3.2</v>
      </c>
      <c r="D487" s="3">
        <v>1.2</v>
      </c>
      <c r="E487" s="3">
        <v>1.2</v>
      </c>
      <c r="F487" s="3">
        <v>1.0</v>
      </c>
      <c r="G487" s="4">
        <f t="shared" si="1"/>
        <v>1.6</v>
      </c>
      <c r="H487" s="4" t="str">
        <f t="shared" si="2"/>
        <v>Neto: 1,20 € (a partir de 1 uds.)</v>
      </c>
      <c r="I487" s="4" t="str">
        <f t="shared" si="3"/>
        <v>Neto G.C.: 1,20 € (a partir de 1 uds.)</v>
      </c>
      <c r="J487" s="4">
        <f t="shared" si="4"/>
        <v>1.536</v>
      </c>
      <c r="K487" s="4">
        <f t="shared" si="5"/>
        <v>1.6</v>
      </c>
      <c r="L487" s="4">
        <f t="shared" si="6"/>
        <v>1.536</v>
      </c>
    </row>
    <row r="488">
      <c r="A488" s="3">
        <v>375.0</v>
      </c>
      <c r="B488" s="1" t="s">
        <v>761</v>
      </c>
      <c r="C488" s="3">
        <v>4.96</v>
      </c>
      <c r="D488" s="3">
        <v>1.8</v>
      </c>
      <c r="E488" s="3">
        <v>1.75</v>
      </c>
      <c r="F488" s="3">
        <v>1.0</v>
      </c>
      <c r="G488" s="4">
        <f t="shared" si="1"/>
        <v>2.48</v>
      </c>
      <c r="H488" s="4" t="str">
        <f t="shared" si="2"/>
        <v>Neto: 1,80 € (a partir de 1 uds.)</v>
      </c>
      <c r="I488" s="4" t="str">
        <f t="shared" si="3"/>
        <v>Neto G.C.: 1,75 € (a partir de 1 uds.)</v>
      </c>
      <c r="J488" s="4">
        <f t="shared" si="4"/>
        <v>2.3808</v>
      </c>
      <c r="K488" s="4">
        <f t="shared" si="5"/>
        <v>2.48</v>
      </c>
      <c r="L488" s="4">
        <f t="shared" si="6"/>
        <v>2.3808</v>
      </c>
    </row>
    <row r="489">
      <c r="A489" s="1" t="s">
        <v>762</v>
      </c>
      <c r="B489" s="1" t="s">
        <v>763</v>
      </c>
      <c r="C489" s="3">
        <v>3.2</v>
      </c>
      <c r="D489" s="3">
        <v>1.2</v>
      </c>
      <c r="E489" s="3">
        <v>1.2</v>
      </c>
      <c r="F489" s="3">
        <v>1.0</v>
      </c>
      <c r="G489" s="4">
        <f t="shared" si="1"/>
        <v>1.6</v>
      </c>
      <c r="H489" s="4" t="str">
        <f t="shared" si="2"/>
        <v>Neto: 1,20 € (a partir de 1 uds.)</v>
      </c>
      <c r="I489" s="4" t="str">
        <f t="shared" si="3"/>
        <v>Neto G.C.: 1,20 € (a partir de 1 uds.)</v>
      </c>
      <c r="J489" s="4">
        <f t="shared" si="4"/>
        <v>1.536</v>
      </c>
      <c r="K489" s="4">
        <f t="shared" si="5"/>
        <v>1.6</v>
      </c>
      <c r="L489" s="4">
        <f t="shared" si="6"/>
        <v>1.536</v>
      </c>
    </row>
    <row r="490">
      <c r="A490" s="3">
        <v>376.0</v>
      </c>
      <c r="B490" s="1" t="s">
        <v>764</v>
      </c>
      <c r="C490" s="3">
        <v>4.96</v>
      </c>
      <c r="D490" s="3">
        <v>1.8</v>
      </c>
      <c r="E490" s="3">
        <v>1.75</v>
      </c>
      <c r="F490" s="3">
        <v>1.0</v>
      </c>
      <c r="G490" s="4">
        <f t="shared" si="1"/>
        <v>2.48</v>
      </c>
      <c r="H490" s="4" t="str">
        <f t="shared" si="2"/>
        <v>Neto: 1,80 € (a partir de 1 uds.)</v>
      </c>
      <c r="I490" s="4" t="str">
        <f t="shared" si="3"/>
        <v>Neto G.C.: 1,75 € (a partir de 1 uds.)</v>
      </c>
      <c r="J490" s="4">
        <f t="shared" si="4"/>
        <v>2.3808</v>
      </c>
      <c r="K490" s="4">
        <f t="shared" si="5"/>
        <v>2.48</v>
      </c>
      <c r="L490" s="4">
        <f t="shared" si="6"/>
        <v>2.3808</v>
      </c>
    </row>
    <row r="491">
      <c r="A491" s="1" t="s">
        <v>765</v>
      </c>
      <c r="B491" s="1" t="s">
        <v>766</v>
      </c>
      <c r="C491" s="3">
        <v>3.2</v>
      </c>
      <c r="D491" s="3">
        <v>1.2</v>
      </c>
      <c r="E491" s="3">
        <v>1.2</v>
      </c>
      <c r="F491" s="3">
        <v>1.0</v>
      </c>
      <c r="G491" s="4">
        <f t="shared" si="1"/>
        <v>1.6</v>
      </c>
      <c r="H491" s="4" t="str">
        <f t="shared" si="2"/>
        <v>Neto: 1,20 € (a partir de 1 uds.)</v>
      </c>
      <c r="I491" s="4" t="str">
        <f t="shared" si="3"/>
        <v>Neto G.C.: 1,20 € (a partir de 1 uds.)</v>
      </c>
      <c r="J491" s="4">
        <f t="shared" si="4"/>
        <v>1.536</v>
      </c>
      <c r="K491" s="4">
        <f t="shared" si="5"/>
        <v>1.6</v>
      </c>
      <c r="L491" s="4">
        <f t="shared" si="6"/>
        <v>1.536</v>
      </c>
    </row>
    <row r="492">
      <c r="A492" s="3">
        <v>377.0</v>
      </c>
      <c r="B492" s="1" t="s">
        <v>767</v>
      </c>
      <c r="C492" s="3">
        <v>4.96</v>
      </c>
      <c r="D492" s="3">
        <v>1.8</v>
      </c>
      <c r="E492" s="3">
        <v>1.75</v>
      </c>
      <c r="F492" s="3">
        <v>1.0</v>
      </c>
      <c r="G492" s="4">
        <f t="shared" si="1"/>
        <v>2.48</v>
      </c>
      <c r="H492" s="4" t="str">
        <f t="shared" si="2"/>
        <v>Neto: 1,80 € (a partir de 1 uds.)</v>
      </c>
      <c r="I492" s="4" t="str">
        <f t="shared" si="3"/>
        <v>Neto G.C.: 1,75 € (a partir de 1 uds.)</v>
      </c>
      <c r="J492" s="4">
        <f t="shared" si="4"/>
        <v>2.3808</v>
      </c>
      <c r="K492" s="4">
        <f t="shared" si="5"/>
        <v>2.48</v>
      </c>
      <c r="L492" s="4">
        <f t="shared" si="6"/>
        <v>2.3808</v>
      </c>
    </row>
    <row r="493">
      <c r="A493" s="1" t="s">
        <v>768</v>
      </c>
      <c r="B493" s="1" t="s">
        <v>769</v>
      </c>
      <c r="C493" s="3">
        <v>3.2</v>
      </c>
      <c r="D493" s="3">
        <v>1.2</v>
      </c>
      <c r="E493" s="3">
        <v>1.2</v>
      </c>
      <c r="F493" s="3">
        <v>1.0</v>
      </c>
      <c r="G493" s="4">
        <f t="shared" si="1"/>
        <v>1.6</v>
      </c>
      <c r="H493" s="4" t="str">
        <f t="shared" si="2"/>
        <v>Neto: 1,20 € (a partir de 1 uds.)</v>
      </c>
      <c r="I493" s="4" t="str">
        <f t="shared" si="3"/>
        <v>Neto G.C.: 1,20 € (a partir de 1 uds.)</v>
      </c>
      <c r="J493" s="4">
        <f t="shared" si="4"/>
        <v>1.536</v>
      </c>
      <c r="K493" s="4">
        <f t="shared" si="5"/>
        <v>1.6</v>
      </c>
      <c r="L493" s="4">
        <f t="shared" si="6"/>
        <v>1.536</v>
      </c>
    </row>
    <row r="494">
      <c r="A494" s="3">
        <v>378.0</v>
      </c>
      <c r="B494" s="1" t="s">
        <v>770</v>
      </c>
      <c r="C494" s="3">
        <v>4.96</v>
      </c>
      <c r="D494" s="3">
        <v>1.8</v>
      </c>
      <c r="E494" s="3">
        <v>1.75</v>
      </c>
      <c r="F494" s="3">
        <v>1.0</v>
      </c>
      <c r="G494" s="4">
        <f t="shared" si="1"/>
        <v>2.48</v>
      </c>
      <c r="H494" s="4" t="str">
        <f t="shared" si="2"/>
        <v>Neto: 1,80 € (a partir de 1 uds.)</v>
      </c>
      <c r="I494" s="4" t="str">
        <f t="shared" si="3"/>
        <v>Neto G.C.: 1,75 € (a partir de 1 uds.)</v>
      </c>
      <c r="J494" s="4">
        <f t="shared" si="4"/>
        <v>2.3808</v>
      </c>
      <c r="K494" s="4">
        <f t="shared" si="5"/>
        <v>2.48</v>
      </c>
      <c r="L494" s="4">
        <f t="shared" si="6"/>
        <v>2.3808</v>
      </c>
    </row>
    <row r="495">
      <c r="A495" s="1" t="s">
        <v>771</v>
      </c>
      <c r="B495" s="1" t="s">
        <v>772</v>
      </c>
      <c r="C495" s="3">
        <v>3.2</v>
      </c>
      <c r="D495" s="3">
        <v>1.2</v>
      </c>
      <c r="E495" s="3">
        <v>1.2</v>
      </c>
      <c r="F495" s="3">
        <v>1.0</v>
      </c>
      <c r="G495" s="4">
        <f t="shared" si="1"/>
        <v>1.6</v>
      </c>
      <c r="H495" s="4" t="str">
        <f t="shared" si="2"/>
        <v>Neto: 1,20 € (a partir de 1 uds.)</v>
      </c>
      <c r="I495" s="4" t="str">
        <f t="shared" si="3"/>
        <v>Neto G.C.: 1,20 € (a partir de 1 uds.)</v>
      </c>
      <c r="J495" s="4">
        <f t="shared" si="4"/>
        <v>1.536</v>
      </c>
      <c r="K495" s="4">
        <f t="shared" si="5"/>
        <v>1.6</v>
      </c>
      <c r="L495" s="4">
        <f t="shared" si="6"/>
        <v>1.536</v>
      </c>
    </row>
    <row r="496">
      <c r="A496" s="3">
        <v>379.0</v>
      </c>
      <c r="B496" s="1" t="s">
        <v>773</v>
      </c>
      <c r="C496" s="3">
        <v>4.96</v>
      </c>
      <c r="D496" s="3">
        <v>1.8</v>
      </c>
      <c r="E496" s="3">
        <v>1.75</v>
      </c>
      <c r="F496" s="3">
        <v>1.0</v>
      </c>
      <c r="G496" s="4">
        <f t="shared" si="1"/>
        <v>2.48</v>
      </c>
      <c r="H496" s="4" t="str">
        <f t="shared" si="2"/>
        <v>Neto: 1,80 € (a partir de 1 uds.)</v>
      </c>
      <c r="I496" s="4" t="str">
        <f t="shared" si="3"/>
        <v>Neto G.C.: 1,75 € (a partir de 1 uds.)</v>
      </c>
      <c r="J496" s="4">
        <f t="shared" si="4"/>
        <v>2.3808</v>
      </c>
      <c r="K496" s="4">
        <f t="shared" si="5"/>
        <v>2.48</v>
      </c>
      <c r="L496" s="4">
        <f t="shared" si="6"/>
        <v>2.3808</v>
      </c>
    </row>
    <row r="497">
      <c r="A497" s="1" t="s">
        <v>774</v>
      </c>
      <c r="B497" s="1" t="s">
        <v>775</v>
      </c>
      <c r="C497" s="3">
        <v>3.2</v>
      </c>
      <c r="D497" s="3">
        <v>1.2</v>
      </c>
      <c r="E497" s="3">
        <v>1.2</v>
      </c>
      <c r="F497" s="3">
        <v>1.0</v>
      </c>
      <c r="G497" s="4">
        <f t="shared" si="1"/>
        <v>1.6</v>
      </c>
      <c r="H497" s="4" t="str">
        <f t="shared" si="2"/>
        <v>Neto: 1,20 € (a partir de 1 uds.)</v>
      </c>
      <c r="I497" s="4" t="str">
        <f t="shared" si="3"/>
        <v>Neto G.C.: 1,20 € (a partir de 1 uds.)</v>
      </c>
      <c r="J497" s="4">
        <f t="shared" si="4"/>
        <v>1.536</v>
      </c>
      <c r="K497" s="4">
        <f t="shared" si="5"/>
        <v>1.6</v>
      </c>
      <c r="L497" s="4">
        <f t="shared" si="6"/>
        <v>1.536</v>
      </c>
    </row>
    <row r="498">
      <c r="A498" s="3">
        <v>380.0</v>
      </c>
      <c r="B498" s="1" t="s">
        <v>776</v>
      </c>
      <c r="C498" s="3">
        <v>4.96</v>
      </c>
      <c r="D498" s="3">
        <v>1.8</v>
      </c>
      <c r="E498" s="3">
        <v>1.75</v>
      </c>
      <c r="F498" s="3">
        <v>1.0</v>
      </c>
      <c r="G498" s="4">
        <f t="shared" si="1"/>
        <v>2.48</v>
      </c>
      <c r="H498" s="4" t="str">
        <f t="shared" si="2"/>
        <v>Neto: 1,80 € (a partir de 1 uds.)</v>
      </c>
      <c r="I498" s="4" t="str">
        <f t="shared" si="3"/>
        <v>Neto G.C.: 1,75 € (a partir de 1 uds.)</v>
      </c>
      <c r="J498" s="4">
        <f t="shared" si="4"/>
        <v>2.3808</v>
      </c>
      <c r="K498" s="4">
        <f t="shared" si="5"/>
        <v>2.48</v>
      </c>
      <c r="L498" s="4">
        <f t="shared" si="6"/>
        <v>2.3808</v>
      </c>
    </row>
    <row r="499">
      <c r="A499" s="1" t="s">
        <v>777</v>
      </c>
      <c r="B499" s="1" t="s">
        <v>778</v>
      </c>
      <c r="C499" s="3">
        <v>3.2</v>
      </c>
      <c r="D499" s="3">
        <v>1.2</v>
      </c>
      <c r="E499" s="3">
        <v>1.2</v>
      </c>
      <c r="F499" s="3">
        <v>1.0</v>
      </c>
      <c r="G499" s="4">
        <f t="shared" si="1"/>
        <v>1.6</v>
      </c>
      <c r="H499" s="4" t="str">
        <f t="shared" si="2"/>
        <v>Neto: 1,20 € (a partir de 1 uds.)</v>
      </c>
      <c r="I499" s="4" t="str">
        <f t="shared" si="3"/>
        <v>Neto G.C.: 1,20 € (a partir de 1 uds.)</v>
      </c>
      <c r="J499" s="4">
        <f t="shared" si="4"/>
        <v>1.536</v>
      </c>
      <c r="K499" s="4">
        <f t="shared" si="5"/>
        <v>1.6</v>
      </c>
      <c r="L499" s="4">
        <f t="shared" si="6"/>
        <v>1.536</v>
      </c>
    </row>
    <row r="500">
      <c r="A500" s="3">
        <v>381.0</v>
      </c>
      <c r="B500" s="1" t="s">
        <v>779</v>
      </c>
      <c r="C500" s="3">
        <v>4.96</v>
      </c>
      <c r="D500" s="3">
        <v>1.8</v>
      </c>
      <c r="E500" s="3">
        <v>1.75</v>
      </c>
      <c r="F500" s="3">
        <v>1.0</v>
      </c>
      <c r="G500" s="4">
        <f t="shared" si="1"/>
        <v>2.48</v>
      </c>
      <c r="H500" s="4" t="str">
        <f t="shared" si="2"/>
        <v>Neto: 1,80 € (a partir de 1 uds.)</v>
      </c>
      <c r="I500" s="4" t="str">
        <f t="shared" si="3"/>
        <v>Neto G.C.: 1,75 € (a partir de 1 uds.)</v>
      </c>
      <c r="J500" s="4">
        <f t="shared" si="4"/>
        <v>2.3808</v>
      </c>
      <c r="K500" s="4">
        <f t="shared" si="5"/>
        <v>2.48</v>
      </c>
      <c r="L500" s="4">
        <f t="shared" si="6"/>
        <v>2.3808</v>
      </c>
    </row>
    <row r="501">
      <c r="A501" s="1" t="s">
        <v>780</v>
      </c>
      <c r="B501" s="1" t="s">
        <v>781</v>
      </c>
      <c r="C501" s="3">
        <v>3.2</v>
      </c>
      <c r="D501" s="3">
        <v>1.2</v>
      </c>
      <c r="E501" s="3">
        <v>1.2</v>
      </c>
      <c r="F501" s="3">
        <v>1.0</v>
      </c>
      <c r="G501" s="4">
        <f t="shared" si="1"/>
        <v>1.6</v>
      </c>
      <c r="H501" s="4" t="str">
        <f t="shared" si="2"/>
        <v>Neto: 1,20 € (a partir de 1 uds.)</v>
      </c>
      <c r="I501" s="4" t="str">
        <f t="shared" si="3"/>
        <v>Neto G.C.: 1,20 € (a partir de 1 uds.)</v>
      </c>
      <c r="J501" s="4">
        <f t="shared" si="4"/>
        <v>1.536</v>
      </c>
      <c r="K501" s="4">
        <f t="shared" si="5"/>
        <v>1.6</v>
      </c>
      <c r="L501" s="4">
        <f t="shared" si="6"/>
        <v>1.536</v>
      </c>
    </row>
    <row r="502">
      <c r="A502" s="3">
        <v>382.0</v>
      </c>
      <c r="B502" s="1" t="s">
        <v>782</v>
      </c>
      <c r="C502" s="3">
        <v>4.96</v>
      </c>
      <c r="D502" s="3">
        <v>1.8</v>
      </c>
      <c r="E502" s="3">
        <v>1.75</v>
      </c>
      <c r="F502" s="3">
        <v>1.0</v>
      </c>
      <c r="G502" s="4">
        <f t="shared" si="1"/>
        <v>2.48</v>
      </c>
      <c r="H502" s="4" t="str">
        <f t="shared" si="2"/>
        <v>Neto: 1,80 € (a partir de 1 uds.)</v>
      </c>
      <c r="I502" s="4" t="str">
        <f t="shared" si="3"/>
        <v>Neto G.C.: 1,75 € (a partir de 1 uds.)</v>
      </c>
      <c r="J502" s="4">
        <f t="shared" si="4"/>
        <v>2.3808</v>
      </c>
      <c r="K502" s="4">
        <f t="shared" si="5"/>
        <v>2.48</v>
      </c>
      <c r="L502" s="4">
        <f t="shared" si="6"/>
        <v>2.3808</v>
      </c>
    </row>
    <row r="503">
      <c r="A503" s="1" t="s">
        <v>783</v>
      </c>
      <c r="B503" s="1" t="s">
        <v>784</v>
      </c>
      <c r="C503" s="3">
        <v>3.2</v>
      </c>
      <c r="D503" s="3">
        <v>1.2</v>
      </c>
      <c r="E503" s="3">
        <v>1.2</v>
      </c>
      <c r="F503" s="3">
        <v>1.0</v>
      </c>
      <c r="G503" s="4">
        <f t="shared" si="1"/>
        <v>1.6</v>
      </c>
      <c r="H503" s="4" t="str">
        <f t="shared" si="2"/>
        <v>Neto: 1,20 € (a partir de 1 uds.)</v>
      </c>
      <c r="I503" s="4" t="str">
        <f t="shared" si="3"/>
        <v>Neto G.C.: 1,20 € (a partir de 1 uds.)</v>
      </c>
      <c r="J503" s="4">
        <f t="shared" si="4"/>
        <v>1.536</v>
      </c>
      <c r="K503" s="4">
        <f t="shared" si="5"/>
        <v>1.6</v>
      </c>
      <c r="L503" s="4">
        <f t="shared" si="6"/>
        <v>1.536</v>
      </c>
    </row>
    <row r="504">
      <c r="A504" s="3">
        <v>383.0</v>
      </c>
      <c r="B504" s="1" t="s">
        <v>785</v>
      </c>
      <c r="C504" s="3">
        <v>4.96</v>
      </c>
      <c r="D504" s="3">
        <v>1.8</v>
      </c>
      <c r="E504" s="3">
        <v>1.75</v>
      </c>
      <c r="F504" s="3">
        <v>1.0</v>
      </c>
      <c r="G504" s="4">
        <f t="shared" si="1"/>
        <v>2.48</v>
      </c>
      <c r="H504" s="4" t="str">
        <f t="shared" si="2"/>
        <v>Neto: 1,80 € (a partir de 1 uds.)</v>
      </c>
      <c r="I504" s="4" t="str">
        <f t="shared" si="3"/>
        <v>Neto G.C.: 1,75 € (a partir de 1 uds.)</v>
      </c>
      <c r="J504" s="4">
        <f t="shared" si="4"/>
        <v>2.3808</v>
      </c>
      <c r="K504" s="4">
        <f t="shared" si="5"/>
        <v>2.48</v>
      </c>
      <c r="L504" s="4">
        <f t="shared" si="6"/>
        <v>2.3808</v>
      </c>
    </row>
    <row r="505">
      <c r="A505" s="1" t="s">
        <v>786</v>
      </c>
      <c r="B505" s="1" t="s">
        <v>787</v>
      </c>
      <c r="C505" s="3">
        <v>3.2</v>
      </c>
      <c r="D505" s="3">
        <v>1.2</v>
      </c>
      <c r="E505" s="3">
        <v>1.2</v>
      </c>
      <c r="F505" s="3">
        <v>1.0</v>
      </c>
      <c r="G505" s="4">
        <f t="shared" si="1"/>
        <v>1.6</v>
      </c>
      <c r="H505" s="4" t="str">
        <f t="shared" si="2"/>
        <v>Neto: 1,20 € (a partir de 1 uds.)</v>
      </c>
      <c r="I505" s="4" t="str">
        <f t="shared" si="3"/>
        <v>Neto G.C.: 1,20 € (a partir de 1 uds.)</v>
      </c>
      <c r="J505" s="4">
        <f t="shared" si="4"/>
        <v>1.536</v>
      </c>
      <c r="K505" s="4">
        <f t="shared" si="5"/>
        <v>1.6</v>
      </c>
      <c r="L505" s="4">
        <f t="shared" si="6"/>
        <v>1.536</v>
      </c>
    </row>
    <row r="506">
      <c r="A506" s="3">
        <v>384.0</v>
      </c>
      <c r="B506" s="1" t="s">
        <v>788</v>
      </c>
      <c r="C506" s="3">
        <v>4.96</v>
      </c>
      <c r="D506" s="3">
        <v>1.8</v>
      </c>
      <c r="E506" s="3">
        <v>1.75</v>
      </c>
      <c r="F506" s="3">
        <v>1.0</v>
      </c>
      <c r="G506" s="4">
        <f t="shared" si="1"/>
        <v>2.48</v>
      </c>
      <c r="H506" s="4" t="str">
        <f t="shared" si="2"/>
        <v>Neto: 1,80 € (a partir de 1 uds.)</v>
      </c>
      <c r="I506" s="4" t="str">
        <f t="shared" si="3"/>
        <v>Neto G.C.: 1,75 € (a partir de 1 uds.)</v>
      </c>
      <c r="J506" s="4">
        <f t="shared" si="4"/>
        <v>2.3808</v>
      </c>
      <c r="K506" s="4">
        <f t="shared" si="5"/>
        <v>2.48</v>
      </c>
      <c r="L506" s="4">
        <f t="shared" si="6"/>
        <v>2.3808</v>
      </c>
    </row>
    <row r="507">
      <c r="A507" s="1" t="s">
        <v>789</v>
      </c>
      <c r="B507" s="1" t="s">
        <v>790</v>
      </c>
      <c r="C507" s="3">
        <v>3.2</v>
      </c>
      <c r="D507" s="3">
        <v>1.2</v>
      </c>
      <c r="E507" s="3">
        <v>1.2</v>
      </c>
      <c r="F507" s="3">
        <v>1.0</v>
      </c>
      <c r="G507" s="4">
        <f t="shared" si="1"/>
        <v>1.6</v>
      </c>
      <c r="H507" s="4" t="str">
        <f t="shared" si="2"/>
        <v>Neto: 1,20 € (a partir de 1 uds.)</v>
      </c>
      <c r="I507" s="4" t="str">
        <f t="shared" si="3"/>
        <v>Neto G.C.: 1,20 € (a partir de 1 uds.)</v>
      </c>
      <c r="J507" s="4">
        <f t="shared" si="4"/>
        <v>1.536</v>
      </c>
      <c r="K507" s="4">
        <f t="shared" si="5"/>
        <v>1.6</v>
      </c>
      <c r="L507" s="4">
        <f t="shared" si="6"/>
        <v>1.536</v>
      </c>
    </row>
    <row r="508">
      <c r="A508" s="3">
        <v>385.0</v>
      </c>
      <c r="B508" s="1" t="s">
        <v>791</v>
      </c>
      <c r="C508" s="3">
        <v>4.96</v>
      </c>
      <c r="D508" s="3">
        <v>1.8</v>
      </c>
      <c r="E508" s="3">
        <v>1.75</v>
      </c>
      <c r="F508" s="3">
        <v>1.0</v>
      </c>
      <c r="G508" s="4">
        <f t="shared" si="1"/>
        <v>2.48</v>
      </c>
      <c r="H508" s="4" t="str">
        <f t="shared" si="2"/>
        <v>Neto: 1,80 € (a partir de 1 uds.)</v>
      </c>
      <c r="I508" s="4" t="str">
        <f t="shared" si="3"/>
        <v>Neto G.C.: 1,75 € (a partir de 1 uds.)</v>
      </c>
      <c r="J508" s="4">
        <f t="shared" si="4"/>
        <v>2.3808</v>
      </c>
      <c r="K508" s="4">
        <f t="shared" si="5"/>
        <v>2.48</v>
      </c>
      <c r="L508" s="4">
        <f t="shared" si="6"/>
        <v>2.3808</v>
      </c>
    </row>
    <row r="509">
      <c r="A509" s="1" t="s">
        <v>792</v>
      </c>
      <c r="B509" s="1" t="s">
        <v>793</v>
      </c>
      <c r="C509" s="3">
        <v>3.2</v>
      </c>
      <c r="D509" s="3">
        <v>1.2</v>
      </c>
      <c r="E509" s="3">
        <v>1.2</v>
      </c>
      <c r="F509" s="3">
        <v>1.0</v>
      </c>
      <c r="G509" s="4">
        <f t="shared" si="1"/>
        <v>1.6</v>
      </c>
      <c r="H509" s="4" t="str">
        <f t="shared" si="2"/>
        <v>Neto: 1,20 € (a partir de 1 uds.)</v>
      </c>
      <c r="I509" s="4" t="str">
        <f t="shared" si="3"/>
        <v>Neto G.C.: 1,20 € (a partir de 1 uds.)</v>
      </c>
      <c r="J509" s="4">
        <f t="shared" si="4"/>
        <v>1.536</v>
      </c>
      <c r="K509" s="4">
        <f t="shared" si="5"/>
        <v>1.6</v>
      </c>
      <c r="L509" s="4">
        <f t="shared" si="6"/>
        <v>1.536</v>
      </c>
    </row>
    <row r="510">
      <c r="A510" s="3">
        <v>386.0</v>
      </c>
      <c r="B510" s="1" t="s">
        <v>794</v>
      </c>
      <c r="C510" s="3">
        <v>4.96</v>
      </c>
      <c r="D510" s="3">
        <v>1.8</v>
      </c>
      <c r="E510" s="3">
        <v>1.75</v>
      </c>
      <c r="F510" s="3">
        <v>1.0</v>
      </c>
      <c r="G510" s="4">
        <f t="shared" si="1"/>
        <v>2.48</v>
      </c>
      <c r="H510" s="4" t="str">
        <f t="shared" si="2"/>
        <v>Neto: 1,80 € (a partir de 1 uds.)</v>
      </c>
      <c r="I510" s="4" t="str">
        <f t="shared" si="3"/>
        <v>Neto G.C.: 1,75 € (a partir de 1 uds.)</v>
      </c>
      <c r="J510" s="4">
        <f t="shared" si="4"/>
        <v>2.3808</v>
      </c>
      <c r="K510" s="4">
        <f t="shared" si="5"/>
        <v>2.48</v>
      </c>
      <c r="L510" s="4">
        <f t="shared" si="6"/>
        <v>2.3808</v>
      </c>
    </row>
    <row r="511">
      <c r="A511" s="1" t="s">
        <v>795</v>
      </c>
      <c r="B511" s="1" t="s">
        <v>796</v>
      </c>
      <c r="C511" s="3">
        <v>3.2</v>
      </c>
      <c r="D511" s="3">
        <v>1.2</v>
      </c>
      <c r="E511" s="3">
        <v>1.2</v>
      </c>
      <c r="F511" s="3">
        <v>1.0</v>
      </c>
      <c r="G511" s="4">
        <f t="shared" si="1"/>
        <v>1.6</v>
      </c>
      <c r="H511" s="4" t="str">
        <f t="shared" si="2"/>
        <v>Neto: 1,20 € (a partir de 1 uds.)</v>
      </c>
      <c r="I511" s="4" t="str">
        <f t="shared" si="3"/>
        <v>Neto G.C.: 1,20 € (a partir de 1 uds.)</v>
      </c>
      <c r="J511" s="4">
        <f t="shared" si="4"/>
        <v>1.536</v>
      </c>
      <c r="K511" s="4">
        <f t="shared" si="5"/>
        <v>1.6</v>
      </c>
      <c r="L511" s="4">
        <f t="shared" si="6"/>
        <v>1.536</v>
      </c>
    </row>
    <row r="512">
      <c r="A512" s="3">
        <v>387.0</v>
      </c>
      <c r="B512" s="1" t="s">
        <v>797</v>
      </c>
      <c r="C512" s="3">
        <v>4.96</v>
      </c>
      <c r="D512" s="3">
        <v>1.8</v>
      </c>
      <c r="E512" s="3">
        <v>1.75</v>
      </c>
      <c r="F512" s="3">
        <v>1.0</v>
      </c>
      <c r="G512" s="4">
        <f t="shared" si="1"/>
        <v>2.48</v>
      </c>
      <c r="H512" s="4" t="str">
        <f t="shared" si="2"/>
        <v>Neto: 1,80 € (a partir de 1 uds.)</v>
      </c>
      <c r="I512" s="4" t="str">
        <f t="shared" si="3"/>
        <v>Neto G.C.: 1,75 € (a partir de 1 uds.)</v>
      </c>
      <c r="J512" s="4">
        <f t="shared" si="4"/>
        <v>2.3808</v>
      </c>
      <c r="K512" s="4">
        <f t="shared" si="5"/>
        <v>2.48</v>
      </c>
      <c r="L512" s="4">
        <f t="shared" si="6"/>
        <v>2.3808</v>
      </c>
    </row>
    <row r="513">
      <c r="A513" s="1" t="s">
        <v>798</v>
      </c>
      <c r="B513" s="1" t="s">
        <v>799</v>
      </c>
      <c r="C513" s="3">
        <v>3.2</v>
      </c>
      <c r="D513" s="3">
        <v>1.2</v>
      </c>
      <c r="E513" s="3">
        <v>1.2</v>
      </c>
      <c r="F513" s="3">
        <v>1.0</v>
      </c>
      <c r="G513" s="4">
        <f t="shared" si="1"/>
        <v>1.6</v>
      </c>
      <c r="H513" s="4" t="str">
        <f t="shared" si="2"/>
        <v>Neto: 1,20 € (a partir de 1 uds.)</v>
      </c>
      <c r="I513" s="4" t="str">
        <f t="shared" si="3"/>
        <v>Neto G.C.: 1,20 € (a partir de 1 uds.)</v>
      </c>
      <c r="J513" s="4">
        <f t="shared" si="4"/>
        <v>1.536</v>
      </c>
      <c r="K513" s="4">
        <f t="shared" si="5"/>
        <v>1.6</v>
      </c>
      <c r="L513" s="4">
        <f t="shared" si="6"/>
        <v>1.536</v>
      </c>
    </row>
    <row r="514">
      <c r="A514" s="3">
        <v>388.0</v>
      </c>
      <c r="B514" s="1" t="s">
        <v>800</v>
      </c>
      <c r="C514" s="3">
        <v>4.96</v>
      </c>
      <c r="D514" s="3">
        <v>1.8</v>
      </c>
      <c r="E514" s="3">
        <v>1.75</v>
      </c>
      <c r="F514" s="3">
        <v>1.0</v>
      </c>
      <c r="G514" s="4">
        <f t="shared" si="1"/>
        <v>2.48</v>
      </c>
      <c r="H514" s="4" t="str">
        <f t="shared" si="2"/>
        <v>Neto: 1,80 € (a partir de 1 uds.)</v>
      </c>
      <c r="I514" s="4" t="str">
        <f t="shared" si="3"/>
        <v>Neto G.C.: 1,75 € (a partir de 1 uds.)</v>
      </c>
      <c r="J514" s="4">
        <f t="shared" si="4"/>
        <v>2.3808</v>
      </c>
      <c r="K514" s="4">
        <f t="shared" si="5"/>
        <v>2.48</v>
      </c>
      <c r="L514" s="4">
        <f t="shared" si="6"/>
        <v>2.3808</v>
      </c>
    </row>
    <row r="515">
      <c r="A515" s="1" t="s">
        <v>801</v>
      </c>
      <c r="B515" s="1" t="s">
        <v>802</v>
      </c>
      <c r="C515" s="3">
        <v>3.2</v>
      </c>
      <c r="D515" s="3">
        <v>1.2</v>
      </c>
      <c r="E515" s="3">
        <v>1.2</v>
      </c>
      <c r="F515" s="3">
        <v>1.0</v>
      </c>
      <c r="G515" s="4">
        <f t="shared" si="1"/>
        <v>1.6</v>
      </c>
      <c r="H515" s="4" t="str">
        <f t="shared" si="2"/>
        <v>Neto: 1,20 € (a partir de 1 uds.)</v>
      </c>
      <c r="I515" s="4" t="str">
        <f t="shared" si="3"/>
        <v>Neto G.C.: 1,20 € (a partir de 1 uds.)</v>
      </c>
      <c r="J515" s="4">
        <f t="shared" si="4"/>
        <v>1.536</v>
      </c>
      <c r="K515" s="4">
        <f t="shared" si="5"/>
        <v>1.6</v>
      </c>
      <c r="L515" s="4">
        <f t="shared" si="6"/>
        <v>1.536</v>
      </c>
    </row>
    <row r="516">
      <c r="A516" s="3">
        <v>389.0</v>
      </c>
      <c r="B516" s="1" t="s">
        <v>803</v>
      </c>
      <c r="C516" s="3">
        <v>19.94</v>
      </c>
      <c r="D516" s="5"/>
      <c r="E516" s="5"/>
      <c r="F516" s="5"/>
      <c r="G516" s="4">
        <f t="shared" si="1"/>
        <v>9.97</v>
      </c>
      <c r="H516" s="4" t="str">
        <f t="shared" si="2"/>
        <v>Sin precio neto</v>
      </c>
      <c r="I516" s="4" t="str">
        <f t="shared" si="3"/>
        <v>Sin precio neto G.C.</v>
      </c>
      <c r="J516" s="4">
        <f t="shared" si="4"/>
        <v>9.5712</v>
      </c>
      <c r="K516" s="4">
        <f t="shared" si="5"/>
        <v>9.97</v>
      </c>
      <c r="L516" s="4">
        <f t="shared" si="6"/>
        <v>9.5712</v>
      </c>
    </row>
    <row r="517">
      <c r="A517" s="3">
        <v>390.0</v>
      </c>
      <c r="B517" s="1" t="s">
        <v>804</v>
      </c>
      <c r="C517" s="3">
        <v>10.9</v>
      </c>
      <c r="D517" s="3">
        <v>5.5</v>
      </c>
      <c r="E517" s="3">
        <v>4.8</v>
      </c>
      <c r="F517" s="3">
        <v>50.0</v>
      </c>
      <c r="G517" s="4">
        <f t="shared" si="1"/>
        <v>5.45</v>
      </c>
      <c r="H517" s="4" t="str">
        <f t="shared" si="2"/>
        <v>Neto: 5,50 € (a partir de 50 uds.)</v>
      </c>
      <c r="I517" s="4" t="str">
        <f t="shared" si="3"/>
        <v>Neto G.C.: 4,80 € (a partir de 50 uds.)</v>
      </c>
      <c r="J517" s="4">
        <f t="shared" si="4"/>
        <v>5.232</v>
      </c>
      <c r="K517" s="4">
        <f t="shared" si="5"/>
        <v>5.45</v>
      </c>
      <c r="L517" s="4">
        <f t="shared" si="6"/>
        <v>5.232</v>
      </c>
    </row>
    <row r="518">
      <c r="A518" s="1" t="s">
        <v>805</v>
      </c>
      <c r="B518" s="1" t="s">
        <v>806</v>
      </c>
      <c r="C518" s="3">
        <v>14.0</v>
      </c>
      <c r="D518" s="5"/>
      <c r="E518" s="5"/>
      <c r="F518" s="5"/>
      <c r="G518" s="4">
        <f t="shared" si="1"/>
        <v>7</v>
      </c>
      <c r="H518" s="4" t="str">
        <f t="shared" si="2"/>
        <v>Sin precio neto</v>
      </c>
      <c r="I518" s="4" t="str">
        <f t="shared" si="3"/>
        <v>Sin precio neto G.C.</v>
      </c>
      <c r="J518" s="4">
        <f t="shared" si="4"/>
        <v>6.72</v>
      </c>
      <c r="K518" s="4">
        <f t="shared" si="5"/>
        <v>7</v>
      </c>
      <c r="L518" s="4">
        <f t="shared" si="6"/>
        <v>6.72</v>
      </c>
    </row>
    <row r="519">
      <c r="A519" s="3">
        <v>391.0</v>
      </c>
      <c r="B519" s="1" t="s">
        <v>807</v>
      </c>
      <c r="C519" s="3">
        <v>11.9</v>
      </c>
      <c r="D519" s="3">
        <v>5.5</v>
      </c>
      <c r="E519" s="3">
        <v>5.5</v>
      </c>
      <c r="F519" s="3">
        <v>10.0</v>
      </c>
      <c r="G519" s="4">
        <f t="shared" si="1"/>
        <v>5.95</v>
      </c>
      <c r="H519" s="4" t="str">
        <f t="shared" si="2"/>
        <v>Neto: 5,50 € (a partir de 10 uds.)</v>
      </c>
      <c r="I519" s="4" t="str">
        <f t="shared" si="3"/>
        <v>Neto G.C.: 5,50 € (a partir de 10 uds.)</v>
      </c>
      <c r="J519" s="4">
        <f t="shared" si="4"/>
        <v>5.712</v>
      </c>
      <c r="K519" s="4">
        <f t="shared" si="5"/>
        <v>5.95</v>
      </c>
      <c r="L519" s="4">
        <f t="shared" si="6"/>
        <v>5.712</v>
      </c>
    </row>
    <row r="520">
      <c r="A520" s="1" t="s">
        <v>808</v>
      </c>
      <c r="B520" s="1" t="s">
        <v>809</v>
      </c>
      <c r="C520" s="3">
        <v>18.0</v>
      </c>
      <c r="D520" s="5"/>
      <c r="E520" s="5"/>
      <c r="F520" s="5"/>
      <c r="G520" s="4">
        <f t="shared" si="1"/>
        <v>9</v>
      </c>
      <c r="H520" s="4" t="str">
        <f t="shared" si="2"/>
        <v>Sin precio neto</v>
      </c>
      <c r="I520" s="4" t="str">
        <f t="shared" si="3"/>
        <v>Sin precio neto G.C.</v>
      </c>
      <c r="J520" s="4">
        <f t="shared" si="4"/>
        <v>8.64</v>
      </c>
      <c r="K520" s="4">
        <f t="shared" si="5"/>
        <v>9</v>
      </c>
      <c r="L520" s="4">
        <f t="shared" si="6"/>
        <v>8.64</v>
      </c>
    </row>
    <row r="521">
      <c r="A521" s="3">
        <v>392.0</v>
      </c>
      <c r="B521" s="1" t="s">
        <v>810</v>
      </c>
      <c r="C521" s="3">
        <v>4.96</v>
      </c>
      <c r="D521" s="3">
        <v>1.8</v>
      </c>
      <c r="E521" s="3">
        <v>1.75</v>
      </c>
      <c r="F521" s="3">
        <v>1.0</v>
      </c>
      <c r="G521" s="4">
        <f t="shared" si="1"/>
        <v>2.48</v>
      </c>
      <c r="H521" s="4" t="str">
        <f t="shared" si="2"/>
        <v>Neto: 1,80 € (a partir de 1 uds.)</v>
      </c>
      <c r="I521" s="4" t="str">
        <f t="shared" si="3"/>
        <v>Neto G.C.: 1,75 € (a partir de 1 uds.)</v>
      </c>
      <c r="J521" s="4">
        <f t="shared" si="4"/>
        <v>2.3808</v>
      </c>
      <c r="K521" s="4">
        <f t="shared" si="5"/>
        <v>2.48</v>
      </c>
      <c r="L521" s="4">
        <f t="shared" si="6"/>
        <v>2.3808</v>
      </c>
    </row>
    <row r="522">
      <c r="A522" s="1" t="s">
        <v>811</v>
      </c>
      <c r="B522" s="1" t="s">
        <v>812</v>
      </c>
      <c r="C522" s="3">
        <v>3.2</v>
      </c>
      <c r="D522" s="3">
        <v>1.2</v>
      </c>
      <c r="E522" s="3">
        <v>1.2</v>
      </c>
      <c r="F522" s="3">
        <v>1.0</v>
      </c>
      <c r="G522" s="4">
        <f t="shared" si="1"/>
        <v>1.6</v>
      </c>
      <c r="H522" s="4" t="str">
        <f t="shared" si="2"/>
        <v>Neto: 1,20 € (a partir de 1 uds.)</v>
      </c>
      <c r="I522" s="4" t="str">
        <f t="shared" si="3"/>
        <v>Neto G.C.: 1,20 € (a partir de 1 uds.)</v>
      </c>
      <c r="J522" s="4">
        <f t="shared" si="4"/>
        <v>1.536</v>
      </c>
      <c r="K522" s="4">
        <f t="shared" si="5"/>
        <v>1.6</v>
      </c>
      <c r="L522" s="4">
        <f t="shared" si="6"/>
        <v>1.536</v>
      </c>
    </row>
    <row r="523">
      <c r="A523" s="3">
        <v>393.0</v>
      </c>
      <c r="B523" s="1" t="s">
        <v>813</v>
      </c>
      <c r="C523" s="3">
        <v>4.96</v>
      </c>
      <c r="D523" s="3">
        <v>1.8</v>
      </c>
      <c r="E523" s="3">
        <v>1.75</v>
      </c>
      <c r="F523" s="3">
        <v>1.0</v>
      </c>
      <c r="G523" s="4">
        <f t="shared" si="1"/>
        <v>2.48</v>
      </c>
      <c r="H523" s="4" t="str">
        <f t="shared" si="2"/>
        <v>Neto: 1,80 € (a partir de 1 uds.)</v>
      </c>
      <c r="I523" s="4" t="str">
        <f t="shared" si="3"/>
        <v>Neto G.C.: 1,75 € (a partir de 1 uds.)</v>
      </c>
      <c r="J523" s="4">
        <f t="shared" si="4"/>
        <v>2.3808</v>
      </c>
      <c r="K523" s="4">
        <f t="shared" si="5"/>
        <v>2.48</v>
      </c>
      <c r="L523" s="4">
        <f t="shared" si="6"/>
        <v>2.3808</v>
      </c>
    </row>
    <row r="524">
      <c r="A524" s="1" t="s">
        <v>814</v>
      </c>
      <c r="B524" s="1" t="s">
        <v>815</v>
      </c>
      <c r="C524" s="3">
        <v>3.2</v>
      </c>
      <c r="D524" s="3">
        <v>1.2</v>
      </c>
      <c r="E524" s="3">
        <v>1.2</v>
      </c>
      <c r="F524" s="3">
        <v>1.0</v>
      </c>
      <c r="G524" s="4">
        <f t="shared" si="1"/>
        <v>1.6</v>
      </c>
      <c r="H524" s="4" t="str">
        <f t="shared" si="2"/>
        <v>Neto: 1,20 € (a partir de 1 uds.)</v>
      </c>
      <c r="I524" s="4" t="str">
        <f t="shared" si="3"/>
        <v>Neto G.C.: 1,20 € (a partir de 1 uds.)</v>
      </c>
      <c r="J524" s="4">
        <f t="shared" si="4"/>
        <v>1.536</v>
      </c>
      <c r="K524" s="4">
        <f t="shared" si="5"/>
        <v>1.6</v>
      </c>
      <c r="L524" s="4">
        <f t="shared" si="6"/>
        <v>1.536</v>
      </c>
    </row>
    <row r="525">
      <c r="A525" s="3">
        <v>394.0</v>
      </c>
      <c r="B525" s="1" t="s">
        <v>816</v>
      </c>
      <c r="C525" s="3">
        <v>4.96</v>
      </c>
      <c r="D525" s="3">
        <v>1.8</v>
      </c>
      <c r="E525" s="3">
        <v>1.75</v>
      </c>
      <c r="F525" s="3">
        <v>1.0</v>
      </c>
      <c r="G525" s="4">
        <f t="shared" si="1"/>
        <v>2.48</v>
      </c>
      <c r="H525" s="4" t="str">
        <f t="shared" si="2"/>
        <v>Neto: 1,80 € (a partir de 1 uds.)</v>
      </c>
      <c r="I525" s="4" t="str">
        <f t="shared" si="3"/>
        <v>Neto G.C.: 1,75 € (a partir de 1 uds.)</v>
      </c>
      <c r="J525" s="4">
        <f t="shared" si="4"/>
        <v>2.3808</v>
      </c>
      <c r="K525" s="4">
        <f t="shared" si="5"/>
        <v>2.48</v>
      </c>
      <c r="L525" s="4">
        <f t="shared" si="6"/>
        <v>2.3808</v>
      </c>
    </row>
    <row r="526">
      <c r="A526" s="1" t="s">
        <v>817</v>
      </c>
      <c r="B526" s="1" t="s">
        <v>818</v>
      </c>
      <c r="C526" s="3">
        <v>3.2</v>
      </c>
      <c r="D526" s="3">
        <v>1.2</v>
      </c>
      <c r="E526" s="3">
        <v>1.2</v>
      </c>
      <c r="F526" s="3">
        <v>1.0</v>
      </c>
      <c r="G526" s="4">
        <f t="shared" si="1"/>
        <v>1.6</v>
      </c>
      <c r="H526" s="4" t="str">
        <f t="shared" si="2"/>
        <v>Neto: 1,20 € (a partir de 1 uds.)</v>
      </c>
      <c r="I526" s="4" t="str">
        <f t="shared" si="3"/>
        <v>Neto G.C.: 1,20 € (a partir de 1 uds.)</v>
      </c>
      <c r="J526" s="4">
        <f t="shared" si="4"/>
        <v>1.536</v>
      </c>
      <c r="K526" s="4">
        <f t="shared" si="5"/>
        <v>1.6</v>
      </c>
      <c r="L526" s="4">
        <f t="shared" si="6"/>
        <v>1.536</v>
      </c>
    </row>
    <row r="527">
      <c r="A527" s="3">
        <v>395.0</v>
      </c>
      <c r="B527" s="1" t="s">
        <v>819</v>
      </c>
      <c r="C527" s="3">
        <v>4.96</v>
      </c>
      <c r="D527" s="3">
        <v>1.8</v>
      </c>
      <c r="E527" s="3">
        <v>1.75</v>
      </c>
      <c r="F527" s="3">
        <v>1.0</v>
      </c>
      <c r="G527" s="4">
        <f t="shared" si="1"/>
        <v>2.48</v>
      </c>
      <c r="H527" s="4" t="str">
        <f t="shared" si="2"/>
        <v>Neto: 1,80 € (a partir de 1 uds.)</v>
      </c>
      <c r="I527" s="4" t="str">
        <f t="shared" si="3"/>
        <v>Neto G.C.: 1,75 € (a partir de 1 uds.)</v>
      </c>
      <c r="J527" s="4">
        <f t="shared" si="4"/>
        <v>2.3808</v>
      </c>
      <c r="K527" s="4">
        <f t="shared" si="5"/>
        <v>2.48</v>
      </c>
      <c r="L527" s="4">
        <f t="shared" si="6"/>
        <v>2.3808</v>
      </c>
    </row>
    <row r="528">
      <c r="A528" s="1" t="s">
        <v>820</v>
      </c>
      <c r="B528" s="1" t="s">
        <v>821</v>
      </c>
      <c r="C528" s="3">
        <v>3.2</v>
      </c>
      <c r="D528" s="3">
        <v>1.2</v>
      </c>
      <c r="E528" s="3">
        <v>1.2</v>
      </c>
      <c r="F528" s="3">
        <v>1.0</v>
      </c>
      <c r="G528" s="4">
        <f t="shared" si="1"/>
        <v>1.6</v>
      </c>
      <c r="H528" s="4" t="str">
        <f t="shared" si="2"/>
        <v>Neto: 1,20 € (a partir de 1 uds.)</v>
      </c>
      <c r="I528" s="4" t="str">
        <f t="shared" si="3"/>
        <v>Neto G.C.: 1,20 € (a partir de 1 uds.)</v>
      </c>
      <c r="J528" s="4">
        <f t="shared" si="4"/>
        <v>1.536</v>
      </c>
      <c r="K528" s="4">
        <f t="shared" si="5"/>
        <v>1.6</v>
      </c>
      <c r="L528" s="4">
        <f t="shared" si="6"/>
        <v>1.536</v>
      </c>
    </row>
    <row r="529">
      <c r="A529" s="3">
        <v>396.0</v>
      </c>
      <c r="B529" s="1" t="s">
        <v>822</v>
      </c>
      <c r="C529" s="3">
        <v>5.2</v>
      </c>
      <c r="D529" s="3">
        <v>2.1</v>
      </c>
      <c r="E529" s="3">
        <v>2.1</v>
      </c>
      <c r="F529" s="3">
        <v>1.0</v>
      </c>
      <c r="G529" s="4">
        <f t="shared" si="1"/>
        <v>2.6</v>
      </c>
      <c r="H529" s="4" t="str">
        <f t="shared" si="2"/>
        <v>Neto: 2,10 € (a partir de 1 uds.)</v>
      </c>
      <c r="I529" s="4" t="str">
        <f t="shared" si="3"/>
        <v>Neto G.C.: 2,10 € (a partir de 1 uds.)</v>
      </c>
      <c r="J529" s="4">
        <f t="shared" si="4"/>
        <v>2.496</v>
      </c>
      <c r="K529" s="4">
        <f t="shared" si="5"/>
        <v>2.6</v>
      </c>
      <c r="L529" s="4">
        <f t="shared" si="6"/>
        <v>2.496</v>
      </c>
    </row>
    <row r="530">
      <c r="A530" s="1" t="s">
        <v>823</v>
      </c>
      <c r="B530" s="1" t="s">
        <v>824</v>
      </c>
      <c r="C530" s="3">
        <v>5.04</v>
      </c>
      <c r="D530" s="3">
        <v>2.1</v>
      </c>
      <c r="E530" s="3">
        <v>2.1</v>
      </c>
      <c r="F530" s="3">
        <v>1.0</v>
      </c>
      <c r="G530" s="4">
        <f t="shared" si="1"/>
        <v>2.52</v>
      </c>
      <c r="H530" s="4" t="str">
        <f t="shared" si="2"/>
        <v>Neto: 2,10 € (a partir de 1 uds.)</v>
      </c>
      <c r="I530" s="4" t="str">
        <f t="shared" si="3"/>
        <v>Neto G.C.: 2,10 € (a partir de 1 uds.)</v>
      </c>
      <c r="J530" s="4">
        <f t="shared" si="4"/>
        <v>2.4192</v>
      </c>
      <c r="K530" s="4">
        <f t="shared" si="5"/>
        <v>2.52</v>
      </c>
      <c r="L530" s="4">
        <f t="shared" si="6"/>
        <v>2.4192</v>
      </c>
    </row>
    <row r="531">
      <c r="A531" s="1" t="s">
        <v>825</v>
      </c>
      <c r="B531" s="1" t="s">
        <v>826</v>
      </c>
      <c r="C531" s="3">
        <v>6.2</v>
      </c>
      <c r="D531" s="3">
        <v>3.2</v>
      </c>
      <c r="E531" s="3">
        <v>3.2</v>
      </c>
      <c r="F531" s="3">
        <v>1.0</v>
      </c>
      <c r="G531" s="4">
        <f t="shared" si="1"/>
        <v>3.1</v>
      </c>
      <c r="H531" s="4" t="str">
        <f t="shared" si="2"/>
        <v>Neto: 3,20 € (a partir de 1 uds.)</v>
      </c>
      <c r="I531" s="4" t="str">
        <f t="shared" si="3"/>
        <v>Neto G.C.: 3,20 € (a partir de 1 uds.)</v>
      </c>
      <c r="J531" s="4">
        <f t="shared" si="4"/>
        <v>2.976</v>
      </c>
      <c r="K531" s="4">
        <f t="shared" si="5"/>
        <v>3.1</v>
      </c>
      <c r="L531" s="4">
        <f t="shared" si="6"/>
        <v>2.976</v>
      </c>
    </row>
    <row r="532">
      <c r="A532" s="3">
        <v>397.0</v>
      </c>
      <c r="B532" s="1" t="s">
        <v>827</v>
      </c>
      <c r="C532" s="3">
        <v>5.2</v>
      </c>
      <c r="D532" s="3">
        <v>2.1</v>
      </c>
      <c r="E532" s="3">
        <v>2.1</v>
      </c>
      <c r="F532" s="3">
        <v>1.0</v>
      </c>
      <c r="G532" s="4">
        <f t="shared" si="1"/>
        <v>2.6</v>
      </c>
      <c r="H532" s="4" t="str">
        <f t="shared" si="2"/>
        <v>Neto: 2,10 € (a partir de 1 uds.)</v>
      </c>
      <c r="I532" s="4" t="str">
        <f t="shared" si="3"/>
        <v>Neto G.C.: 2,10 € (a partir de 1 uds.)</v>
      </c>
      <c r="J532" s="4">
        <f t="shared" si="4"/>
        <v>2.496</v>
      </c>
      <c r="K532" s="4">
        <f t="shared" si="5"/>
        <v>2.6</v>
      </c>
      <c r="L532" s="4">
        <f t="shared" si="6"/>
        <v>2.496</v>
      </c>
    </row>
    <row r="533">
      <c r="A533" s="1" t="s">
        <v>828</v>
      </c>
      <c r="B533" s="1" t="s">
        <v>428</v>
      </c>
      <c r="C533" s="3">
        <v>4.5</v>
      </c>
      <c r="D533" s="5"/>
      <c r="E533" s="5"/>
      <c r="F533" s="5"/>
      <c r="G533" s="4">
        <f t="shared" si="1"/>
        <v>2.25</v>
      </c>
      <c r="H533" s="4" t="str">
        <f t="shared" si="2"/>
        <v>Sin precio neto</v>
      </c>
      <c r="I533" s="4" t="str">
        <f t="shared" si="3"/>
        <v>Sin precio neto G.C.</v>
      </c>
      <c r="J533" s="4">
        <f t="shared" si="4"/>
        <v>2.16</v>
      </c>
      <c r="K533" s="4">
        <f t="shared" si="5"/>
        <v>2.25</v>
      </c>
      <c r="L533" s="4">
        <f t="shared" si="6"/>
        <v>2.16</v>
      </c>
    </row>
    <row r="534">
      <c r="A534" s="1" t="s">
        <v>829</v>
      </c>
      <c r="B534" s="1" t="s">
        <v>430</v>
      </c>
      <c r="C534" s="3">
        <v>8.96</v>
      </c>
      <c r="D534" s="5"/>
      <c r="E534" s="5"/>
      <c r="F534" s="5"/>
      <c r="G534" s="4">
        <f t="shared" si="1"/>
        <v>4.48</v>
      </c>
      <c r="H534" s="4" t="str">
        <f t="shared" si="2"/>
        <v>Sin precio neto</v>
      </c>
      <c r="I534" s="4" t="str">
        <f t="shared" si="3"/>
        <v>Sin precio neto G.C.</v>
      </c>
      <c r="J534" s="4">
        <f t="shared" si="4"/>
        <v>4.3008</v>
      </c>
      <c r="K534" s="4">
        <f t="shared" si="5"/>
        <v>4.48</v>
      </c>
      <c r="L534" s="4">
        <f t="shared" si="6"/>
        <v>4.3008</v>
      </c>
    </row>
    <row r="535">
      <c r="A535" s="1" t="s">
        <v>830</v>
      </c>
      <c r="B535" s="1" t="s">
        <v>432</v>
      </c>
      <c r="C535" s="3">
        <v>17.98</v>
      </c>
      <c r="D535" s="5"/>
      <c r="E535" s="5"/>
      <c r="F535" s="5"/>
      <c r="G535" s="4">
        <f t="shared" si="1"/>
        <v>8.99</v>
      </c>
      <c r="H535" s="4" t="str">
        <f t="shared" si="2"/>
        <v>Sin precio neto</v>
      </c>
      <c r="I535" s="4" t="str">
        <f t="shared" si="3"/>
        <v>Sin precio neto G.C.</v>
      </c>
      <c r="J535" s="4">
        <f t="shared" si="4"/>
        <v>8.6304</v>
      </c>
      <c r="K535" s="4">
        <f t="shared" si="5"/>
        <v>8.99</v>
      </c>
      <c r="L535" s="4">
        <f t="shared" si="6"/>
        <v>8.6304</v>
      </c>
    </row>
    <row r="536">
      <c r="A536" s="3">
        <v>398.0</v>
      </c>
      <c r="B536" s="1" t="s">
        <v>831</v>
      </c>
      <c r="C536" s="3">
        <v>5.2</v>
      </c>
      <c r="D536" s="3">
        <v>2.1</v>
      </c>
      <c r="E536" s="3">
        <v>2.1</v>
      </c>
      <c r="F536" s="3">
        <v>1.0</v>
      </c>
      <c r="G536" s="4">
        <f t="shared" si="1"/>
        <v>2.6</v>
      </c>
      <c r="H536" s="4" t="str">
        <f t="shared" si="2"/>
        <v>Neto: 2,10 € (a partir de 1 uds.)</v>
      </c>
      <c r="I536" s="4" t="str">
        <f t="shared" si="3"/>
        <v>Neto G.C.: 2,10 € (a partir de 1 uds.)</v>
      </c>
      <c r="J536" s="4">
        <f t="shared" si="4"/>
        <v>2.496</v>
      </c>
      <c r="K536" s="4">
        <f t="shared" si="5"/>
        <v>2.6</v>
      </c>
      <c r="L536" s="4">
        <f t="shared" si="6"/>
        <v>2.496</v>
      </c>
    </row>
    <row r="537">
      <c r="A537" s="1" t="s">
        <v>832</v>
      </c>
      <c r="B537" s="1" t="s">
        <v>833</v>
      </c>
      <c r="C537" s="3">
        <v>4.5</v>
      </c>
      <c r="D537" s="5"/>
      <c r="E537" s="5"/>
      <c r="F537" s="5"/>
      <c r="G537" s="4">
        <f t="shared" si="1"/>
        <v>2.25</v>
      </c>
      <c r="H537" s="4" t="str">
        <f t="shared" si="2"/>
        <v>Sin precio neto</v>
      </c>
      <c r="I537" s="4" t="str">
        <f t="shared" si="3"/>
        <v>Sin precio neto G.C.</v>
      </c>
      <c r="J537" s="4">
        <f t="shared" si="4"/>
        <v>2.16</v>
      </c>
      <c r="K537" s="4">
        <f t="shared" si="5"/>
        <v>2.25</v>
      </c>
      <c r="L537" s="4">
        <f t="shared" si="6"/>
        <v>2.16</v>
      </c>
    </row>
    <row r="538">
      <c r="A538" s="1" t="s">
        <v>834</v>
      </c>
      <c r="B538" s="1" t="s">
        <v>835</v>
      </c>
      <c r="C538" s="3">
        <v>8.96</v>
      </c>
      <c r="D538" s="5"/>
      <c r="E538" s="5"/>
      <c r="F538" s="5"/>
      <c r="G538" s="4">
        <f t="shared" si="1"/>
        <v>4.48</v>
      </c>
      <c r="H538" s="4" t="str">
        <f t="shared" si="2"/>
        <v>Sin precio neto</v>
      </c>
      <c r="I538" s="4" t="str">
        <f t="shared" si="3"/>
        <v>Sin precio neto G.C.</v>
      </c>
      <c r="J538" s="4">
        <f t="shared" si="4"/>
        <v>4.3008</v>
      </c>
      <c r="K538" s="4">
        <f t="shared" si="5"/>
        <v>4.48</v>
      </c>
      <c r="L538" s="4">
        <f t="shared" si="6"/>
        <v>4.3008</v>
      </c>
    </row>
    <row r="539">
      <c r="A539" s="1" t="s">
        <v>836</v>
      </c>
      <c r="B539" s="1" t="s">
        <v>837</v>
      </c>
      <c r="C539" s="3">
        <v>17.92</v>
      </c>
      <c r="D539" s="5"/>
      <c r="E539" s="5"/>
      <c r="F539" s="5"/>
      <c r="G539" s="4">
        <f t="shared" si="1"/>
        <v>8.96</v>
      </c>
      <c r="H539" s="4" t="str">
        <f t="shared" si="2"/>
        <v>Sin precio neto</v>
      </c>
      <c r="I539" s="4" t="str">
        <f t="shared" si="3"/>
        <v>Sin precio neto G.C.</v>
      </c>
      <c r="J539" s="4">
        <f t="shared" si="4"/>
        <v>8.6016</v>
      </c>
      <c r="K539" s="4">
        <f t="shared" si="5"/>
        <v>8.96</v>
      </c>
      <c r="L539" s="4">
        <f t="shared" si="6"/>
        <v>8.6016</v>
      </c>
    </row>
    <row r="540">
      <c r="A540" s="1" t="s">
        <v>838</v>
      </c>
      <c r="B540" s="1" t="s">
        <v>839</v>
      </c>
      <c r="C540" s="3">
        <v>4.5</v>
      </c>
      <c r="D540" s="5"/>
      <c r="E540" s="5"/>
      <c r="F540" s="5"/>
      <c r="G540" s="4">
        <f t="shared" si="1"/>
        <v>2.25</v>
      </c>
      <c r="H540" s="4" t="str">
        <f t="shared" si="2"/>
        <v>Sin precio neto</v>
      </c>
      <c r="I540" s="4" t="str">
        <f t="shared" si="3"/>
        <v>Sin precio neto G.C.</v>
      </c>
      <c r="J540" s="4">
        <f t="shared" si="4"/>
        <v>2.16</v>
      </c>
      <c r="K540" s="4">
        <f t="shared" si="5"/>
        <v>2.25</v>
      </c>
      <c r="L540" s="4">
        <f t="shared" si="6"/>
        <v>2.16</v>
      </c>
    </row>
    <row r="541">
      <c r="A541" s="1" t="s">
        <v>840</v>
      </c>
      <c r="B541" s="1" t="s">
        <v>835</v>
      </c>
      <c r="C541" s="3">
        <v>8.96</v>
      </c>
      <c r="D541" s="5"/>
      <c r="E541" s="5"/>
      <c r="F541" s="5"/>
      <c r="G541" s="4">
        <f t="shared" si="1"/>
        <v>4.48</v>
      </c>
      <c r="H541" s="4" t="str">
        <f t="shared" si="2"/>
        <v>Sin precio neto</v>
      </c>
      <c r="I541" s="4" t="str">
        <f t="shared" si="3"/>
        <v>Sin precio neto G.C.</v>
      </c>
      <c r="J541" s="4">
        <f t="shared" si="4"/>
        <v>4.3008</v>
      </c>
      <c r="K541" s="4">
        <f t="shared" si="5"/>
        <v>4.48</v>
      </c>
      <c r="L541" s="4">
        <f t="shared" si="6"/>
        <v>4.3008</v>
      </c>
    </row>
    <row r="542">
      <c r="A542" s="1" t="s">
        <v>841</v>
      </c>
      <c r="B542" s="1" t="s">
        <v>837</v>
      </c>
      <c r="C542" s="3">
        <v>17.92</v>
      </c>
      <c r="D542" s="5"/>
      <c r="E542" s="5"/>
      <c r="F542" s="5"/>
      <c r="G542" s="4">
        <f t="shared" si="1"/>
        <v>8.96</v>
      </c>
      <c r="H542" s="4" t="str">
        <f t="shared" si="2"/>
        <v>Sin precio neto</v>
      </c>
      <c r="I542" s="4" t="str">
        <f t="shared" si="3"/>
        <v>Sin precio neto G.C.</v>
      </c>
      <c r="J542" s="4">
        <f t="shared" si="4"/>
        <v>8.6016</v>
      </c>
      <c r="K542" s="4">
        <f t="shared" si="5"/>
        <v>8.96</v>
      </c>
      <c r="L542" s="4">
        <f t="shared" si="6"/>
        <v>8.6016</v>
      </c>
    </row>
    <row r="543">
      <c r="A543" s="3">
        <v>399.0</v>
      </c>
      <c r="B543" s="1" t="s">
        <v>842</v>
      </c>
      <c r="C543" s="3">
        <v>4.96</v>
      </c>
      <c r="D543" s="3">
        <v>1.8</v>
      </c>
      <c r="E543" s="3">
        <v>1.75</v>
      </c>
      <c r="F543" s="3">
        <v>1.0</v>
      </c>
      <c r="G543" s="4">
        <f t="shared" si="1"/>
        <v>2.48</v>
      </c>
      <c r="H543" s="4" t="str">
        <f t="shared" si="2"/>
        <v>Neto: 1,80 € (a partir de 1 uds.)</v>
      </c>
      <c r="I543" s="4" t="str">
        <f t="shared" si="3"/>
        <v>Neto G.C.: 1,75 € (a partir de 1 uds.)</v>
      </c>
      <c r="J543" s="4">
        <f t="shared" si="4"/>
        <v>2.3808</v>
      </c>
      <c r="K543" s="4">
        <f t="shared" si="5"/>
        <v>2.48</v>
      </c>
      <c r="L543" s="4">
        <f t="shared" si="6"/>
        <v>2.3808</v>
      </c>
    </row>
    <row r="544">
      <c r="A544" s="3">
        <v>400.0</v>
      </c>
      <c r="B544" s="1" t="s">
        <v>843</v>
      </c>
      <c r="C544" s="3">
        <v>3.4</v>
      </c>
      <c r="D544" s="3">
        <v>1.0</v>
      </c>
      <c r="E544" s="3">
        <v>1.0</v>
      </c>
      <c r="F544" s="3">
        <v>25.0</v>
      </c>
      <c r="G544" s="4">
        <f t="shared" si="1"/>
        <v>1.7</v>
      </c>
      <c r="H544" s="4" t="str">
        <f t="shared" si="2"/>
        <v>Neto: 1,00 € (a partir de 25 uds.)</v>
      </c>
      <c r="I544" s="4" t="str">
        <f t="shared" si="3"/>
        <v>Neto G.C.: 1,00 € (a partir de 25 uds.)</v>
      </c>
      <c r="J544" s="4">
        <f t="shared" si="4"/>
        <v>1.632</v>
      </c>
      <c r="K544" s="4">
        <f t="shared" si="5"/>
        <v>1.7</v>
      </c>
      <c r="L544" s="4">
        <f t="shared" si="6"/>
        <v>1.632</v>
      </c>
    </row>
    <row r="545">
      <c r="A545" s="3">
        <v>401.0</v>
      </c>
      <c r="B545" s="1" t="s">
        <v>844</v>
      </c>
      <c r="C545" s="3">
        <v>3.4</v>
      </c>
      <c r="D545" s="3">
        <v>1.0</v>
      </c>
      <c r="E545" s="3">
        <v>1.0</v>
      </c>
      <c r="F545" s="3">
        <v>25.0</v>
      </c>
      <c r="G545" s="4">
        <f t="shared" si="1"/>
        <v>1.7</v>
      </c>
      <c r="H545" s="4" t="str">
        <f t="shared" si="2"/>
        <v>Neto: 1,00 € (a partir de 25 uds.)</v>
      </c>
      <c r="I545" s="4" t="str">
        <f t="shared" si="3"/>
        <v>Neto G.C.: 1,00 € (a partir de 25 uds.)</v>
      </c>
      <c r="J545" s="4">
        <f t="shared" si="4"/>
        <v>1.632</v>
      </c>
      <c r="K545" s="4">
        <f t="shared" si="5"/>
        <v>1.7</v>
      </c>
      <c r="L545" s="4">
        <f t="shared" si="6"/>
        <v>1.632</v>
      </c>
    </row>
    <row r="546">
      <c r="A546" s="3">
        <v>402.0</v>
      </c>
      <c r="B546" s="1" t="s">
        <v>845</v>
      </c>
      <c r="C546" s="3">
        <v>3.4</v>
      </c>
      <c r="D546" s="3">
        <v>1.0</v>
      </c>
      <c r="E546" s="3">
        <v>1.0</v>
      </c>
      <c r="F546" s="3">
        <v>25.0</v>
      </c>
      <c r="G546" s="4">
        <f t="shared" si="1"/>
        <v>1.7</v>
      </c>
      <c r="H546" s="4" t="str">
        <f t="shared" si="2"/>
        <v>Neto: 1,00 € (a partir de 25 uds.)</v>
      </c>
      <c r="I546" s="4" t="str">
        <f t="shared" si="3"/>
        <v>Neto G.C.: 1,00 € (a partir de 25 uds.)</v>
      </c>
      <c r="J546" s="4">
        <f t="shared" si="4"/>
        <v>1.632</v>
      </c>
      <c r="K546" s="4">
        <f t="shared" si="5"/>
        <v>1.7</v>
      </c>
      <c r="L546" s="4">
        <f t="shared" si="6"/>
        <v>1.632</v>
      </c>
    </row>
    <row r="547">
      <c r="A547" s="3">
        <v>403.0</v>
      </c>
      <c r="B547" s="1" t="s">
        <v>846</v>
      </c>
      <c r="C547" s="3">
        <v>3.4</v>
      </c>
      <c r="D547" s="3">
        <v>1.0</v>
      </c>
      <c r="E547" s="3">
        <v>1.0</v>
      </c>
      <c r="F547" s="3">
        <v>25.0</v>
      </c>
      <c r="G547" s="4">
        <f t="shared" si="1"/>
        <v>1.7</v>
      </c>
      <c r="H547" s="4" t="str">
        <f t="shared" si="2"/>
        <v>Neto: 1,00 € (a partir de 25 uds.)</v>
      </c>
      <c r="I547" s="4" t="str">
        <f t="shared" si="3"/>
        <v>Neto G.C.: 1,00 € (a partir de 25 uds.)</v>
      </c>
      <c r="J547" s="4">
        <f t="shared" si="4"/>
        <v>1.632</v>
      </c>
      <c r="K547" s="4">
        <f t="shared" si="5"/>
        <v>1.7</v>
      </c>
      <c r="L547" s="4">
        <f t="shared" si="6"/>
        <v>1.632</v>
      </c>
    </row>
    <row r="548">
      <c r="A548" s="3">
        <v>404.0</v>
      </c>
      <c r="B548" s="1" t="s">
        <v>847</v>
      </c>
      <c r="C548" s="3">
        <v>3.4</v>
      </c>
      <c r="D548" s="3">
        <v>1.0</v>
      </c>
      <c r="E548" s="3">
        <v>1.0</v>
      </c>
      <c r="F548" s="3">
        <v>25.0</v>
      </c>
      <c r="G548" s="4">
        <f t="shared" si="1"/>
        <v>1.7</v>
      </c>
      <c r="H548" s="4" t="str">
        <f t="shared" si="2"/>
        <v>Neto: 1,00 € (a partir de 25 uds.)</v>
      </c>
      <c r="I548" s="4" t="str">
        <f t="shared" si="3"/>
        <v>Neto G.C.: 1,00 € (a partir de 25 uds.)</v>
      </c>
      <c r="J548" s="4">
        <f t="shared" si="4"/>
        <v>1.632</v>
      </c>
      <c r="K548" s="4">
        <f t="shared" si="5"/>
        <v>1.7</v>
      </c>
      <c r="L548" s="4">
        <f t="shared" si="6"/>
        <v>1.632</v>
      </c>
    </row>
    <row r="549">
      <c r="A549" s="3">
        <v>405.0</v>
      </c>
      <c r="B549" s="1" t="s">
        <v>848</v>
      </c>
      <c r="C549" s="3">
        <v>3.4</v>
      </c>
      <c r="D549" s="3">
        <v>1.0</v>
      </c>
      <c r="E549" s="3">
        <v>1.0</v>
      </c>
      <c r="F549" s="3">
        <v>25.0</v>
      </c>
      <c r="G549" s="4">
        <f t="shared" si="1"/>
        <v>1.7</v>
      </c>
      <c r="H549" s="4" t="str">
        <f t="shared" si="2"/>
        <v>Neto: 1,00 € (a partir de 25 uds.)</v>
      </c>
      <c r="I549" s="4" t="str">
        <f t="shared" si="3"/>
        <v>Neto G.C.: 1,00 € (a partir de 25 uds.)</v>
      </c>
      <c r="J549" s="4">
        <f t="shared" si="4"/>
        <v>1.632</v>
      </c>
      <c r="K549" s="4">
        <f t="shared" si="5"/>
        <v>1.7</v>
      </c>
      <c r="L549" s="4">
        <f t="shared" si="6"/>
        <v>1.632</v>
      </c>
    </row>
    <row r="550">
      <c r="A550" s="3">
        <v>406.0</v>
      </c>
      <c r="B550" s="1" t="s">
        <v>849</v>
      </c>
      <c r="C550" s="3">
        <v>3.4</v>
      </c>
      <c r="D550" s="3">
        <v>1.0</v>
      </c>
      <c r="E550" s="3">
        <v>1.0</v>
      </c>
      <c r="F550" s="3">
        <v>25.0</v>
      </c>
      <c r="G550" s="4">
        <f t="shared" si="1"/>
        <v>1.7</v>
      </c>
      <c r="H550" s="4" t="str">
        <f t="shared" si="2"/>
        <v>Neto: 1,00 € (a partir de 25 uds.)</v>
      </c>
      <c r="I550" s="4" t="str">
        <f t="shared" si="3"/>
        <v>Neto G.C.: 1,00 € (a partir de 25 uds.)</v>
      </c>
      <c r="J550" s="4">
        <f t="shared" si="4"/>
        <v>1.632</v>
      </c>
      <c r="K550" s="4">
        <f t="shared" si="5"/>
        <v>1.7</v>
      </c>
      <c r="L550" s="4">
        <f t="shared" si="6"/>
        <v>1.632</v>
      </c>
    </row>
    <row r="551">
      <c r="A551" s="3">
        <v>407.0</v>
      </c>
      <c r="B551" s="1" t="s">
        <v>850</v>
      </c>
      <c r="C551" s="3">
        <v>3.4</v>
      </c>
      <c r="D551" s="3">
        <v>1.0</v>
      </c>
      <c r="E551" s="3">
        <v>1.0</v>
      </c>
      <c r="F551" s="3">
        <v>25.0</v>
      </c>
      <c r="G551" s="4">
        <f t="shared" si="1"/>
        <v>1.7</v>
      </c>
      <c r="H551" s="4" t="str">
        <f t="shared" si="2"/>
        <v>Neto: 1,00 € (a partir de 25 uds.)</v>
      </c>
      <c r="I551" s="4" t="str">
        <f t="shared" si="3"/>
        <v>Neto G.C.: 1,00 € (a partir de 25 uds.)</v>
      </c>
      <c r="J551" s="4">
        <f t="shared" si="4"/>
        <v>1.632</v>
      </c>
      <c r="K551" s="4">
        <f t="shared" si="5"/>
        <v>1.7</v>
      </c>
      <c r="L551" s="4">
        <f t="shared" si="6"/>
        <v>1.632</v>
      </c>
    </row>
    <row r="552">
      <c r="A552" s="3">
        <v>408.0</v>
      </c>
      <c r="B552" s="1" t="s">
        <v>851</v>
      </c>
      <c r="C552" s="3">
        <v>3.4</v>
      </c>
      <c r="D552" s="3">
        <v>1.0</v>
      </c>
      <c r="E552" s="3">
        <v>1.0</v>
      </c>
      <c r="F552" s="3">
        <v>25.0</v>
      </c>
      <c r="G552" s="4">
        <f t="shared" si="1"/>
        <v>1.7</v>
      </c>
      <c r="H552" s="4" t="str">
        <f t="shared" si="2"/>
        <v>Neto: 1,00 € (a partir de 25 uds.)</v>
      </c>
      <c r="I552" s="4" t="str">
        <f t="shared" si="3"/>
        <v>Neto G.C.: 1,00 € (a partir de 25 uds.)</v>
      </c>
      <c r="J552" s="4">
        <f t="shared" si="4"/>
        <v>1.632</v>
      </c>
      <c r="K552" s="4">
        <f t="shared" si="5"/>
        <v>1.7</v>
      </c>
      <c r="L552" s="4">
        <f t="shared" si="6"/>
        <v>1.632</v>
      </c>
    </row>
    <row r="553">
      <c r="A553" s="3">
        <v>409.0</v>
      </c>
      <c r="B553" s="1" t="s">
        <v>852</v>
      </c>
      <c r="C553" s="3">
        <v>3.4</v>
      </c>
      <c r="D553" s="3">
        <v>1.0</v>
      </c>
      <c r="E553" s="3">
        <v>1.0</v>
      </c>
      <c r="F553" s="3">
        <v>25.0</v>
      </c>
      <c r="G553" s="4">
        <f t="shared" si="1"/>
        <v>1.7</v>
      </c>
      <c r="H553" s="4" t="str">
        <f t="shared" si="2"/>
        <v>Neto: 1,00 € (a partir de 25 uds.)</v>
      </c>
      <c r="I553" s="4" t="str">
        <f t="shared" si="3"/>
        <v>Neto G.C.: 1,00 € (a partir de 25 uds.)</v>
      </c>
      <c r="J553" s="4">
        <f t="shared" si="4"/>
        <v>1.632</v>
      </c>
      <c r="K553" s="4">
        <f t="shared" si="5"/>
        <v>1.7</v>
      </c>
      <c r="L553" s="4">
        <f t="shared" si="6"/>
        <v>1.632</v>
      </c>
    </row>
    <row r="554">
      <c r="A554" s="3">
        <v>410.0</v>
      </c>
      <c r="B554" s="1" t="s">
        <v>853</v>
      </c>
      <c r="C554" s="3">
        <v>3.4</v>
      </c>
      <c r="D554" s="3">
        <v>1.0</v>
      </c>
      <c r="E554" s="3">
        <v>1.0</v>
      </c>
      <c r="F554" s="3">
        <v>25.0</v>
      </c>
      <c r="G554" s="4">
        <f t="shared" si="1"/>
        <v>1.7</v>
      </c>
      <c r="H554" s="4" t="str">
        <f t="shared" si="2"/>
        <v>Neto: 1,00 € (a partir de 25 uds.)</v>
      </c>
      <c r="I554" s="4" t="str">
        <f t="shared" si="3"/>
        <v>Neto G.C.: 1,00 € (a partir de 25 uds.)</v>
      </c>
      <c r="J554" s="4">
        <f t="shared" si="4"/>
        <v>1.632</v>
      </c>
      <c r="K554" s="4">
        <f t="shared" si="5"/>
        <v>1.7</v>
      </c>
      <c r="L554" s="4">
        <f t="shared" si="6"/>
        <v>1.632</v>
      </c>
    </row>
    <row r="555">
      <c r="A555" s="3">
        <v>411.0</v>
      </c>
      <c r="B555" s="1" t="s">
        <v>854</v>
      </c>
      <c r="C555" s="3">
        <v>3.4</v>
      </c>
      <c r="D555" s="3">
        <v>1.0</v>
      </c>
      <c r="E555" s="3">
        <v>1.0</v>
      </c>
      <c r="F555" s="3">
        <v>25.0</v>
      </c>
      <c r="G555" s="4">
        <f t="shared" si="1"/>
        <v>1.7</v>
      </c>
      <c r="H555" s="4" t="str">
        <f t="shared" si="2"/>
        <v>Neto: 1,00 € (a partir de 25 uds.)</v>
      </c>
      <c r="I555" s="4" t="str">
        <f t="shared" si="3"/>
        <v>Neto G.C.: 1,00 € (a partir de 25 uds.)</v>
      </c>
      <c r="J555" s="4">
        <f t="shared" si="4"/>
        <v>1.632</v>
      </c>
      <c r="K555" s="4">
        <f t="shared" si="5"/>
        <v>1.7</v>
      </c>
      <c r="L555" s="4">
        <f t="shared" si="6"/>
        <v>1.632</v>
      </c>
    </row>
    <row r="556">
      <c r="A556" s="3">
        <v>412.0</v>
      </c>
      <c r="B556" s="1" t="s">
        <v>855</v>
      </c>
      <c r="C556" s="3">
        <v>3.4</v>
      </c>
      <c r="D556" s="3">
        <v>1.0</v>
      </c>
      <c r="E556" s="3">
        <v>1.0</v>
      </c>
      <c r="F556" s="3">
        <v>25.0</v>
      </c>
      <c r="G556" s="4">
        <f t="shared" si="1"/>
        <v>1.7</v>
      </c>
      <c r="H556" s="4" t="str">
        <f t="shared" si="2"/>
        <v>Neto: 1,00 € (a partir de 25 uds.)</v>
      </c>
      <c r="I556" s="4" t="str">
        <f t="shared" si="3"/>
        <v>Neto G.C.: 1,00 € (a partir de 25 uds.)</v>
      </c>
      <c r="J556" s="4">
        <f t="shared" si="4"/>
        <v>1.632</v>
      </c>
      <c r="K556" s="4">
        <f t="shared" si="5"/>
        <v>1.7</v>
      </c>
      <c r="L556" s="4">
        <f t="shared" si="6"/>
        <v>1.632</v>
      </c>
    </row>
    <row r="557">
      <c r="A557" s="3">
        <v>413.0</v>
      </c>
      <c r="B557" s="1" t="s">
        <v>856</v>
      </c>
      <c r="C557" s="3">
        <v>3.4</v>
      </c>
      <c r="D557" s="3">
        <v>1.0</v>
      </c>
      <c r="E557" s="3">
        <v>1.0</v>
      </c>
      <c r="F557" s="3">
        <v>25.0</v>
      </c>
      <c r="G557" s="4">
        <f t="shared" si="1"/>
        <v>1.7</v>
      </c>
      <c r="H557" s="4" t="str">
        <f t="shared" si="2"/>
        <v>Neto: 1,00 € (a partir de 25 uds.)</v>
      </c>
      <c r="I557" s="4" t="str">
        <f t="shared" si="3"/>
        <v>Neto G.C.: 1,00 € (a partir de 25 uds.)</v>
      </c>
      <c r="J557" s="4">
        <f t="shared" si="4"/>
        <v>1.632</v>
      </c>
      <c r="K557" s="4">
        <f t="shared" si="5"/>
        <v>1.7</v>
      </c>
      <c r="L557" s="4">
        <f t="shared" si="6"/>
        <v>1.632</v>
      </c>
    </row>
    <row r="558">
      <c r="A558" s="3">
        <v>414.0</v>
      </c>
      <c r="B558" s="1" t="s">
        <v>857</v>
      </c>
      <c r="C558" s="3">
        <v>3.4</v>
      </c>
      <c r="D558" s="3">
        <v>1.0</v>
      </c>
      <c r="E558" s="3">
        <v>1.0</v>
      </c>
      <c r="F558" s="3">
        <v>25.0</v>
      </c>
      <c r="G558" s="4">
        <f t="shared" si="1"/>
        <v>1.7</v>
      </c>
      <c r="H558" s="4" t="str">
        <f t="shared" si="2"/>
        <v>Neto: 1,00 € (a partir de 25 uds.)</v>
      </c>
      <c r="I558" s="4" t="str">
        <f t="shared" si="3"/>
        <v>Neto G.C.: 1,00 € (a partir de 25 uds.)</v>
      </c>
      <c r="J558" s="4">
        <f t="shared" si="4"/>
        <v>1.632</v>
      </c>
      <c r="K558" s="4">
        <f t="shared" si="5"/>
        <v>1.7</v>
      </c>
      <c r="L558" s="4">
        <f t="shared" si="6"/>
        <v>1.632</v>
      </c>
    </row>
    <row r="559">
      <c r="A559" s="3">
        <v>415.0</v>
      </c>
      <c r="B559" s="1" t="s">
        <v>858</v>
      </c>
      <c r="C559" s="3">
        <v>3.4</v>
      </c>
      <c r="D559" s="3">
        <v>1.0</v>
      </c>
      <c r="E559" s="3">
        <v>1.0</v>
      </c>
      <c r="F559" s="3">
        <v>25.0</v>
      </c>
      <c r="G559" s="4">
        <f t="shared" si="1"/>
        <v>1.7</v>
      </c>
      <c r="H559" s="4" t="str">
        <f t="shared" si="2"/>
        <v>Neto: 1,00 € (a partir de 25 uds.)</v>
      </c>
      <c r="I559" s="4" t="str">
        <f t="shared" si="3"/>
        <v>Neto G.C.: 1,00 € (a partir de 25 uds.)</v>
      </c>
      <c r="J559" s="4">
        <f t="shared" si="4"/>
        <v>1.632</v>
      </c>
      <c r="K559" s="4">
        <f t="shared" si="5"/>
        <v>1.7</v>
      </c>
      <c r="L559" s="4">
        <f t="shared" si="6"/>
        <v>1.632</v>
      </c>
    </row>
    <row r="560">
      <c r="A560" s="3">
        <v>416.0</v>
      </c>
      <c r="B560" s="1" t="s">
        <v>859</v>
      </c>
      <c r="C560" s="3">
        <v>3.4</v>
      </c>
      <c r="D560" s="3">
        <v>1.0</v>
      </c>
      <c r="E560" s="3">
        <v>1.0</v>
      </c>
      <c r="F560" s="3">
        <v>25.0</v>
      </c>
      <c r="G560" s="4">
        <f t="shared" si="1"/>
        <v>1.7</v>
      </c>
      <c r="H560" s="4" t="str">
        <f t="shared" si="2"/>
        <v>Neto: 1,00 € (a partir de 25 uds.)</v>
      </c>
      <c r="I560" s="4" t="str">
        <f t="shared" si="3"/>
        <v>Neto G.C.: 1,00 € (a partir de 25 uds.)</v>
      </c>
      <c r="J560" s="4">
        <f t="shared" si="4"/>
        <v>1.632</v>
      </c>
      <c r="K560" s="4">
        <f t="shared" si="5"/>
        <v>1.7</v>
      </c>
      <c r="L560" s="4">
        <f t="shared" si="6"/>
        <v>1.632</v>
      </c>
    </row>
    <row r="561">
      <c r="A561" s="3">
        <v>417.0</v>
      </c>
      <c r="B561" s="1" t="s">
        <v>860</v>
      </c>
      <c r="C561" s="3">
        <v>3.4</v>
      </c>
      <c r="D561" s="3">
        <v>1.0</v>
      </c>
      <c r="E561" s="3">
        <v>1.0</v>
      </c>
      <c r="F561" s="3">
        <v>25.0</v>
      </c>
      <c r="G561" s="4">
        <f t="shared" si="1"/>
        <v>1.7</v>
      </c>
      <c r="H561" s="4" t="str">
        <f t="shared" si="2"/>
        <v>Neto: 1,00 € (a partir de 25 uds.)</v>
      </c>
      <c r="I561" s="4" t="str">
        <f t="shared" si="3"/>
        <v>Neto G.C.: 1,00 € (a partir de 25 uds.)</v>
      </c>
      <c r="J561" s="4">
        <f t="shared" si="4"/>
        <v>1.632</v>
      </c>
      <c r="K561" s="4">
        <f t="shared" si="5"/>
        <v>1.7</v>
      </c>
      <c r="L561" s="4">
        <f t="shared" si="6"/>
        <v>1.632</v>
      </c>
    </row>
    <row r="562">
      <c r="A562" s="3">
        <v>418.0</v>
      </c>
      <c r="B562" s="1" t="s">
        <v>861</v>
      </c>
      <c r="C562" s="3">
        <v>3.4</v>
      </c>
      <c r="D562" s="3">
        <v>1.0</v>
      </c>
      <c r="E562" s="3">
        <v>1.0</v>
      </c>
      <c r="F562" s="3">
        <v>25.0</v>
      </c>
      <c r="G562" s="4">
        <f t="shared" si="1"/>
        <v>1.7</v>
      </c>
      <c r="H562" s="4" t="str">
        <f t="shared" si="2"/>
        <v>Neto: 1,00 € (a partir de 25 uds.)</v>
      </c>
      <c r="I562" s="4" t="str">
        <f t="shared" si="3"/>
        <v>Neto G.C.: 1,00 € (a partir de 25 uds.)</v>
      </c>
      <c r="J562" s="4">
        <f t="shared" si="4"/>
        <v>1.632</v>
      </c>
      <c r="K562" s="4">
        <f t="shared" si="5"/>
        <v>1.7</v>
      </c>
      <c r="L562" s="4">
        <f t="shared" si="6"/>
        <v>1.632</v>
      </c>
    </row>
    <row r="563">
      <c r="A563" s="3">
        <v>419.0</v>
      </c>
      <c r="B563" s="1" t="s">
        <v>862</v>
      </c>
      <c r="C563" s="3">
        <v>3.4</v>
      </c>
      <c r="D563" s="3">
        <v>1.0</v>
      </c>
      <c r="E563" s="3">
        <v>1.0</v>
      </c>
      <c r="F563" s="3">
        <v>25.0</v>
      </c>
      <c r="G563" s="4">
        <f t="shared" si="1"/>
        <v>1.7</v>
      </c>
      <c r="H563" s="4" t="str">
        <f t="shared" si="2"/>
        <v>Neto: 1,00 € (a partir de 25 uds.)</v>
      </c>
      <c r="I563" s="4" t="str">
        <f t="shared" si="3"/>
        <v>Neto G.C.: 1,00 € (a partir de 25 uds.)</v>
      </c>
      <c r="J563" s="4">
        <f t="shared" si="4"/>
        <v>1.632</v>
      </c>
      <c r="K563" s="4">
        <f t="shared" si="5"/>
        <v>1.7</v>
      </c>
      <c r="L563" s="4">
        <f t="shared" si="6"/>
        <v>1.632</v>
      </c>
    </row>
    <row r="564">
      <c r="A564" s="3">
        <v>420.0</v>
      </c>
      <c r="B564" s="1" t="s">
        <v>863</v>
      </c>
      <c r="C564" s="3">
        <v>3.4</v>
      </c>
      <c r="D564" s="3">
        <v>1.0</v>
      </c>
      <c r="E564" s="3">
        <v>1.0</v>
      </c>
      <c r="F564" s="3">
        <v>25.0</v>
      </c>
      <c r="G564" s="4">
        <f t="shared" si="1"/>
        <v>1.7</v>
      </c>
      <c r="H564" s="4" t="str">
        <f t="shared" si="2"/>
        <v>Neto: 1,00 € (a partir de 25 uds.)</v>
      </c>
      <c r="I564" s="4" t="str">
        <f t="shared" si="3"/>
        <v>Neto G.C.: 1,00 € (a partir de 25 uds.)</v>
      </c>
      <c r="J564" s="4">
        <f t="shared" si="4"/>
        <v>1.632</v>
      </c>
      <c r="K564" s="4">
        <f t="shared" si="5"/>
        <v>1.7</v>
      </c>
      <c r="L564" s="4">
        <f t="shared" si="6"/>
        <v>1.632</v>
      </c>
    </row>
    <row r="565">
      <c r="A565" s="3">
        <v>421.0</v>
      </c>
      <c r="B565" s="1" t="s">
        <v>864</v>
      </c>
      <c r="C565" s="3">
        <v>3.4</v>
      </c>
      <c r="D565" s="3">
        <v>1.0</v>
      </c>
      <c r="E565" s="3">
        <v>1.0</v>
      </c>
      <c r="F565" s="3">
        <v>25.0</v>
      </c>
      <c r="G565" s="4">
        <f t="shared" si="1"/>
        <v>1.7</v>
      </c>
      <c r="H565" s="4" t="str">
        <f t="shared" si="2"/>
        <v>Neto: 1,00 € (a partir de 25 uds.)</v>
      </c>
      <c r="I565" s="4" t="str">
        <f t="shared" si="3"/>
        <v>Neto G.C.: 1,00 € (a partir de 25 uds.)</v>
      </c>
      <c r="J565" s="4">
        <f t="shared" si="4"/>
        <v>1.632</v>
      </c>
      <c r="K565" s="4">
        <f t="shared" si="5"/>
        <v>1.7</v>
      </c>
      <c r="L565" s="4">
        <f t="shared" si="6"/>
        <v>1.632</v>
      </c>
    </row>
    <row r="566">
      <c r="A566" s="3">
        <v>422.0</v>
      </c>
      <c r="B566" s="1" t="s">
        <v>865</v>
      </c>
      <c r="C566" s="3">
        <v>3.4</v>
      </c>
      <c r="D566" s="3">
        <v>1.0</v>
      </c>
      <c r="E566" s="3">
        <v>1.0</v>
      </c>
      <c r="F566" s="3">
        <v>25.0</v>
      </c>
      <c r="G566" s="4">
        <f t="shared" si="1"/>
        <v>1.7</v>
      </c>
      <c r="H566" s="4" t="str">
        <f t="shared" si="2"/>
        <v>Neto: 1,00 € (a partir de 25 uds.)</v>
      </c>
      <c r="I566" s="4" t="str">
        <f t="shared" si="3"/>
        <v>Neto G.C.: 1,00 € (a partir de 25 uds.)</v>
      </c>
      <c r="J566" s="4">
        <f t="shared" si="4"/>
        <v>1.632</v>
      </c>
      <c r="K566" s="4">
        <f t="shared" si="5"/>
        <v>1.7</v>
      </c>
      <c r="L566" s="4">
        <f t="shared" si="6"/>
        <v>1.632</v>
      </c>
    </row>
    <row r="567">
      <c r="A567" s="3">
        <v>423.0</v>
      </c>
      <c r="B567" s="1" t="s">
        <v>866</v>
      </c>
      <c r="C567" s="3">
        <v>3.4</v>
      </c>
      <c r="D567" s="3">
        <v>1.0</v>
      </c>
      <c r="E567" s="3">
        <v>1.0</v>
      </c>
      <c r="F567" s="3">
        <v>25.0</v>
      </c>
      <c r="G567" s="4">
        <f t="shared" si="1"/>
        <v>1.7</v>
      </c>
      <c r="H567" s="4" t="str">
        <f t="shared" si="2"/>
        <v>Neto: 1,00 € (a partir de 25 uds.)</v>
      </c>
      <c r="I567" s="4" t="str">
        <f t="shared" si="3"/>
        <v>Neto G.C.: 1,00 € (a partir de 25 uds.)</v>
      </c>
      <c r="J567" s="4">
        <f t="shared" si="4"/>
        <v>1.632</v>
      </c>
      <c r="K567" s="4">
        <f t="shared" si="5"/>
        <v>1.7</v>
      </c>
      <c r="L567" s="4">
        <f t="shared" si="6"/>
        <v>1.632</v>
      </c>
    </row>
    <row r="568">
      <c r="A568" s="3">
        <v>424.0</v>
      </c>
      <c r="B568" s="1" t="s">
        <v>867</v>
      </c>
      <c r="C568" s="3">
        <v>3.4</v>
      </c>
      <c r="D568" s="3">
        <v>1.0</v>
      </c>
      <c r="E568" s="3">
        <v>1.0</v>
      </c>
      <c r="F568" s="3">
        <v>25.0</v>
      </c>
      <c r="G568" s="4">
        <f t="shared" si="1"/>
        <v>1.7</v>
      </c>
      <c r="H568" s="4" t="str">
        <f t="shared" si="2"/>
        <v>Neto: 1,00 € (a partir de 25 uds.)</v>
      </c>
      <c r="I568" s="4" t="str">
        <f t="shared" si="3"/>
        <v>Neto G.C.: 1,00 € (a partir de 25 uds.)</v>
      </c>
      <c r="J568" s="4">
        <f t="shared" si="4"/>
        <v>1.632</v>
      </c>
      <c r="K568" s="4">
        <f t="shared" si="5"/>
        <v>1.7</v>
      </c>
      <c r="L568" s="4">
        <f t="shared" si="6"/>
        <v>1.632</v>
      </c>
    </row>
    <row r="569">
      <c r="A569" s="3">
        <v>425.0</v>
      </c>
      <c r="B569" s="1" t="s">
        <v>868</v>
      </c>
      <c r="C569" s="3">
        <v>3.4</v>
      </c>
      <c r="D569" s="3">
        <v>1.0</v>
      </c>
      <c r="E569" s="3">
        <v>1.0</v>
      </c>
      <c r="F569" s="3">
        <v>25.0</v>
      </c>
      <c r="G569" s="4">
        <f t="shared" si="1"/>
        <v>1.7</v>
      </c>
      <c r="H569" s="4" t="str">
        <f t="shared" si="2"/>
        <v>Neto: 1,00 € (a partir de 25 uds.)</v>
      </c>
      <c r="I569" s="4" t="str">
        <f t="shared" si="3"/>
        <v>Neto G.C.: 1,00 € (a partir de 25 uds.)</v>
      </c>
      <c r="J569" s="4">
        <f t="shared" si="4"/>
        <v>1.632</v>
      </c>
      <c r="K569" s="4">
        <f t="shared" si="5"/>
        <v>1.7</v>
      </c>
      <c r="L569" s="4">
        <f t="shared" si="6"/>
        <v>1.632</v>
      </c>
    </row>
    <row r="570">
      <c r="A570" s="3">
        <v>426.0</v>
      </c>
      <c r="B570" s="1" t="s">
        <v>869</v>
      </c>
      <c r="C570" s="3">
        <v>3.4</v>
      </c>
      <c r="D570" s="3">
        <v>1.0</v>
      </c>
      <c r="E570" s="3">
        <v>1.0</v>
      </c>
      <c r="F570" s="3">
        <v>25.0</v>
      </c>
      <c r="G570" s="4">
        <f t="shared" si="1"/>
        <v>1.7</v>
      </c>
      <c r="H570" s="4" t="str">
        <f t="shared" si="2"/>
        <v>Neto: 1,00 € (a partir de 25 uds.)</v>
      </c>
      <c r="I570" s="4" t="str">
        <f t="shared" si="3"/>
        <v>Neto G.C.: 1,00 € (a partir de 25 uds.)</v>
      </c>
      <c r="J570" s="4">
        <f t="shared" si="4"/>
        <v>1.632</v>
      </c>
      <c r="K570" s="4">
        <f t="shared" si="5"/>
        <v>1.7</v>
      </c>
      <c r="L570" s="4">
        <f t="shared" si="6"/>
        <v>1.632</v>
      </c>
    </row>
    <row r="571">
      <c r="A571" s="3">
        <v>427.0</v>
      </c>
      <c r="B571" s="1" t="s">
        <v>870</v>
      </c>
      <c r="C571" s="3">
        <v>3.4</v>
      </c>
      <c r="D571" s="3">
        <v>1.0</v>
      </c>
      <c r="E571" s="3">
        <v>1.0</v>
      </c>
      <c r="F571" s="3">
        <v>25.0</v>
      </c>
      <c r="G571" s="4">
        <f t="shared" si="1"/>
        <v>1.7</v>
      </c>
      <c r="H571" s="4" t="str">
        <f t="shared" si="2"/>
        <v>Neto: 1,00 € (a partir de 25 uds.)</v>
      </c>
      <c r="I571" s="4" t="str">
        <f t="shared" si="3"/>
        <v>Neto G.C.: 1,00 € (a partir de 25 uds.)</v>
      </c>
      <c r="J571" s="4">
        <f t="shared" si="4"/>
        <v>1.632</v>
      </c>
      <c r="K571" s="4">
        <f t="shared" si="5"/>
        <v>1.7</v>
      </c>
      <c r="L571" s="4">
        <f t="shared" si="6"/>
        <v>1.632</v>
      </c>
    </row>
    <row r="572">
      <c r="A572" s="3">
        <v>428.0</v>
      </c>
      <c r="B572" s="1" t="s">
        <v>871</v>
      </c>
      <c r="C572" s="3">
        <v>3.4</v>
      </c>
      <c r="D572" s="3">
        <v>1.0</v>
      </c>
      <c r="E572" s="3">
        <v>1.0</v>
      </c>
      <c r="F572" s="3">
        <v>25.0</v>
      </c>
      <c r="G572" s="4">
        <f t="shared" si="1"/>
        <v>1.7</v>
      </c>
      <c r="H572" s="4" t="str">
        <f t="shared" si="2"/>
        <v>Neto: 1,00 € (a partir de 25 uds.)</v>
      </c>
      <c r="I572" s="4" t="str">
        <f t="shared" si="3"/>
        <v>Neto G.C.: 1,00 € (a partir de 25 uds.)</v>
      </c>
      <c r="J572" s="4">
        <f t="shared" si="4"/>
        <v>1.632</v>
      </c>
      <c r="K572" s="4">
        <f t="shared" si="5"/>
        <v>1.7</v>
      </c>
      <c r="L572" s="4">
        <f t="shared" si="6"/>
        <v>1.632</v>
      </c>
    </row>
    <row r="573">
      <c r="A573" s="3">
        <v>429.0</v>
      </c>
      <c r="B573" s="1" t="s">
        <v>872</v>
      </c>
      <c r="C573" s="3">
        <v>3.4</v>
      </c>
      <c r="D573" s="3">
        <v>1.0</v>
      </c>
      <c r="E573" s="3">
        <v>1.0</v>
      </c>
      <c r="F573" s="3">
        <v>25.0</v>
      </c>
      <c r="G573" s="4">
        <f t="shared" si="1"/>
        <v>1.7</v>
      </c>
      <c r="H573" s="4" t="str">
        <f t="shared" si="2"/>
        <v>Neto: 1,00 € (a partir de 25 uds.)</v>
      </c>
      <c r="I573" s="4" t="str">
        <f t="shared" si="3"/>
        <v>Neto G.C.: 1,00 € (a partir de 25 uds.)</v>
      </c>
      <c r="J573" s="4">
        <f t="shared" si="4"/>
        <v>1.632</v>
      </c>
      <c r="K573" s="4">
        <f t="shared" si="5"/>
        <v>1.7</v>
      </c>
      <c r="L573" s="4">
        <f t="shared" si="6"/>
        <v>1.632</v>
      </c>
    </row>
    <row r="574">
      <c r="A574" s="3">
        <v>430.0</v>
      </c>
      <c r="B574" s="1" t="s">
        <v>873</v>
      </c>
      <c r="C574" s="3">
        <v>3.4</v>
      </c>
      <c r="D574" s="3">
        <v>1.0</v>
      </c>
      <c r="E574" s="3">
        <v>1.0</v>
      </c>
      <c r="F574" s="3">
        <v>25.0</v>
      </c>
      <c r="G574" s="4">
        <f t="shared" si="1"/>
        <v>1.7</v>
      </c>
      <c r="H574" s="4" t="str">
        <f t="shared" si="2"/>
        <v>Neto: 1,00 € (a partir de 25 uds.)</v>
      </c>
      <c r="I574" s="4" t="str">
        <f t="shared" si="3"/>
        <v>Neto G.C.: 1,00 € (a partir de 25 uds.)</v>
      </c>
      <c r="J574" s="4">
        <f t="shared" si="4"/>
        <v>1.632</v>
      </c>
      <c r="K574" s="4">
        <f t="shared" si="5"/>
        <v>1.7</v>
      </c>
      <c r="L574" s="4">
        <f t="shared" si="6"/>
        <v>1.632</v>
      </c>
    </row>
    <row r="575">
      <c r="A575" s="3">
        <v>431.0</v>
      </c>
      <c r="B575" s="1" t="s">
        <v>874</v>
      </c>
      <c r="C575" s="3">
        <v>3.4</v>
      </c>
      <c r="D575" s="3">
        <v>1.0</v>
      </c>
      <c r="E575" s="3">
        <v>1.0</v>
      </c>
      <c r="F575" s="3">
        <v>25.0</v>
      </c>
      <c r="G575" s="4">
        <f t="shared" si="1"/>
        <v>1.7</v>
      </c>
      <c r="H575" s="4" t="str">
        <f t="shared" si="2"/>
        <v>Neto: 1,00 € (a partir de 25 uds.)</v>
      </c>
      <c r="I575" s="4" t="str">
        <f t="shared" si="3"/>
        <v>Neto G.C.: 1,00 € (a partir de 25 uds.)</v>
      </c>
      <c r="J575" s="4">
        <f t="shared" si="4"/>
        <v>1.632</v>
      </c>
      <c r="K575" s="4">
        <f t="shared" si="5"/>
        <v>1.7</v>
      </c>
      <c r="L575" s="4">
        <f t="shared" si="6"/>
        <v>1.632</v>
      </c>
    </row>
    <row r="576">
      <c r="A576" s="3">
        <v>432.0</v>
      </c>
      <c r="B576" s="1" t="s">
        <v>875</v>
      </c>
      <c r="C576" s="3">
        <v>3.4</v>
      </c>
      <c r="D576" s="3">
        <v>1.0</v>
      </c>
      <c r="E576" s="3">
        <v>1.0</v>
      </c>
      <c r="F576" s="3">
        <v>25.0</v>
      </c>
      <c r="G576" s="4">
        <f t="shared" si="1"/>
        <v>1.7</v>
      </c>
      <c r="H576" s="4" t="str">
        <f t="shared" si="2"/>
        <v>Neto: 1,00 € (a partir de 25 uds.)</v>
      </c>
      <c r="I576" s="4" t="str">
        <f t="shared" si="3"/>
        <v>Neto G.C.: 1,00 € (a partir de 25 uds.)</v>
      </c>
      <c r="J576" s="4">
        <f t="shared" si="4"/>
        <v>1.632</v>
      </c>
      <c r="K576" s="4">
        <f t="shared" si="5"/>
        <v>1.7</v>
      </c>
      <c r="L576" s="4">
        <f t="shared" si="6"/>
        <v>1.632</v>
      </c>
    </row>
    <row r="577">
      <c r="A577" s="1" t="s">
        <v>876</v>
      </c>
      <c r="B577" s="1" t="s">
        <v>877</v>
      </c>
      <c r="C577" s="3">
        <v>65.5</v>
      </c>
      <c r="D577" s="5"/>
      <c r="E577" s="5"/>
      <c r="F577" s="5"/>
      <c r="G577" s="4">
        <f t="shared" si="1"/>
        <v>32.75</v>
      </c>
      <c r="H577" s="4" t="str">
        <f t="shared" si="2"/>
        <v>Sin precio neto</v>
      </c>
      <c r="I577" s="4" t="str">
        <f t="shared" si="3"/>
        <v>Sin precio neto G.C.</v>
      </c>
      <c r="J577" s="4">
        <f t="shared" si="4"/>
        <v>31.44</v>
      </c>
      <c r="K577" s="4">
        <f t="shared" si="5"/>
        <v>32.75</v>
      </c>
      <c r="L577" s="4">
        <f t="shared" si="6"/>
        <v>31.44</v>
      </c>
    </row>
    <row r="578">
      <c r="A578" s="1" t="s">
        <v>878</v>
      </c>
      <c r="B578" s="1" t="s">
        <v>879</v>
      </c>
      <c r="C578" s="3">
        <v>95.04</v>
      </c>
      <c r="D578" s="5"/>
      <c r="E578" s="5"/>
      <c r="F578" s="5"/>
      <c r="G578" s="4">
        <f t="shared" si="1"/>
        <v>47.52</v>
      </c>
      <c r="H578" s="4" t="str">
        <f t="shared" si="2"/>
        <v>Sin precio neto</v>
      </c>
      <c r="I578" s="4" t="str">
        <f t="shared" si="3"/>
        <v>Sin precio neto G.C.</v>
      </c>
      <c r="J578" s="4">
        <f t="shared" si="4"/>
        <v>45.6192</v>
      </c>
      <c r="K578" s="4">
        <f t="shared" si="5"/>
        <v>47.52</v>
      </c>
      <c r="L578" s="4">
        <f t="shared" si="6"/>
        <v>45.6192</v>
      </c>
    </row>
    <row r="579">
      <c r="A579" s="1" t="s">
        <v>880</v>
      </c>
      <c r="B579" s="1" t="s">
        <v>881</v>
      </c>
      <c r="C579" s="3">
        <v>70.3</v>
      </c>
      <c r="D579" s="5"/>
      <c r="E579" s="5"/>
      <c r="F579" s="5"/>
      <c r="G579" s="4">
        <f t="shared" si="1"/>
        <v>35.15</v>
      </c>
      <c r="H579" s="4" t="str">
        <f t="shared" si="2"/>
        <v>Sin precio neto</v>
      </c>
      <c r="I579" s="4" t="str">
        <f t="shared" si="3"/>
        <v>Sin precio neto G.C.</v>
      </c>
      <c r="J579" s="4">
        <f t="shared" si="4"/>
        <v>33.744</v>
      </c>
      <c r="K579" s="4">
        <f t="shared" si="5"/>
        <v>35.15</v>
      </c>
      <c r="L579" s="4">
        <f t="shared" si="6"/>
        <v>33.744</v>
      </c>
    </row>
    <row r="580">
      <c r="A580" s="3">
        <v>561.0</v>
      </c>
      <c r="B580" s="1" t="s">
        <v>882</v>
      </c>
      <c r="C580" s="3">
        <v>65.5</v>
      </c>
      <c r="D580" s="5"/>
      <c r="E580" s="5"/>
      <c r="F580" s="5"/>
      <c r="G580" s="4">
        <f t="shared" si="1"/>
        <v>32.75</v>
      </c>
      <c r="H580" s="4" t="str">
        <f t="shared" si="2"/>
        <v>Sin precio neto</v>
      </c>
      <c r="I580" s="4" t="str">
        <f t="shared" si="3"/>
        <v>Sin precio neto G.C.</v>
      </c>
      <c r="J580" s="4">
        <f t="shared" si="4"/>
        <v>31.44</v>
      </c>
      <c r="K580" s="4">
        <f t="shared" si="5"/>
        <v>32.75</v>
      </c>
      <c r="L580" s="4">
        <f t="shared" si="6"/>
        <v>31.44</v>
      </c>
    </row>
    <row r="581">
      <c r="A581" s="3">
        <v>562.0</v>
      </c>
      <c r="B581" s="1" t="s">
        <v>883</v>
      </c>
      <c r="C581" s="3">
        <v>74.5</v>
      </c>
      <c r="D581" s="5"/>
      <c r="E581" s="5"/>
      <c r="F581" s="5"/>
      <c r="G581" s="4">
        <f t="shared" si="1"/>
        <v>37.25</v>
      </c>
      <c r="H581" s="4" t="str">
        <f t="shared" si="2"/>
        <v>Sin precio neto</v>
      </c>
      <c r="I581" s="4" t="str">
        <f t="shared" si="3"/>
        <v>Sin precio neto G.C.</v>
      </c>
      <c r="J581" s="4">
        <f t="shared" si="4"/>
        <v>35.76</v>
      </c>
      <c r="K581" s="4">
        <f t="shared" si="5"/>
        <v>37.25</v>
      </c>
      <c r="L581" s="4">
        <f t="shared" si="6"/>
        <v>35.76</v>
      </c>
    </row>
    <row r="582">
      <c r="A582" s="3">
        <v>563.0</v>
      </c>
      <c r="B582" s="1" t="s">
        <v>884</v>
      </c>
      <c r="C582" s="3">
        <v>69.0</v>
      </c>
      <c r="D582" s="3">
        <v>26.0</v>
      </c>
      <c r="E582" s="3">
        <v>26.0</v>
      </c>
      <c r="F582" s="3">
        <v>10.0</v>
      </c>
      <c r="G582" s="4">
        <f t="shared" si="1"/>
        <v>34.5</v>
      </c>
      <c r="H582" s="4" t="str">
        <f t="shared" si="2"/>
        <v>Neto: 26,00 € (a partir de 10 uds.)</v>
      </c>
      <c r="I582" s="4" t="str">
        <f t="shared" si="3"/>
        <v>Neto G.C.: 26,00 € (a partir de 10 uds.)</v>
      </c>
      <c r="J582" s="4">
        <f t="shared" si="4"/>
        <v>33.12</v>
      </c>
      <c r="K582" s="4">
        <f t="shared" si="5"/>
        <v>34.5</v>
      </c>
      <c r="L582" s="4">
        <f t="shared" si="6"/>
        <v>33.12</v>
      </c>
    </row>
    <row r="583">
      <c r="A583" s="3">
        <v>564.0</v>
      </c>
      <c r="B583" s="1" t="s">
        <v>885</v>
      </c>
      <c r="C583" s="3">
        <v>69.0</v>
      </c>
      <c r="D583" s="3">
        <v>26.0</v>
      </c>
      <c r="E583" s="3">
        <v>26.0</v>
      </c>
      <c r="F583" s="3">
        <v>10.0</v>
      </c>
      <c r="G583" s="4">
        <f t="shared" si="1"/>
        <v>34.5</v>
      </c>
      <c r="H583" s="4" t="str">
        <f t="shared" si="2"/>
        <v>Neto: 26,00 € (a partir de 10 uds.)</v>
      </c>
      <c r="I583" s="4" t="str">
        <f t="shared" si="3"/>
        <v>Neto G.C.: 26,00 € (a partir de 10 uds.)</v>
      </c>
      <c r="J583" s="4">
        <f t="shared" si="4"/>
        <v>33.12</v>
      </c>
      <c r="K583" s="4">
        <f t="shared" si="5"/>
        <v>34.5</v>
      </c>
      <c r="L583" s="4">
        <f t="shared" si="6"/>
        <v>33.12</v>
      </c>
    </row>
    <row r="584">
      <c r="A584" s="3">
        <v>565.0</v>
      </c>
      <c r="B584" s="1" t="s">
        <v>886</v>
      </c>
      <c r="C584" s="3">
        <v>32.0</v>
      </c>
      <c r="D584" s="3">
        <v>16.0</v>
      </c>
      <c r="E584" s="3">
        <v>16.0</v>
      </c>
      <c r="F584" s="3">
        <v>10.0</v>
      </c>
      <c r="G584" s="4">
        <f t="shared" si="1"/>
        <v>16</v>
      </c>
      <c r="H584" s="4" t="str">
        <f t="shared" si="2"/>
        <v>Neto: 16,00 € (a partir de 10 uds.)</v>
      </c>
      <c r="I584" s="4" t="str">
        <f t="shared" si="3"/>
        <v>Neto G.C.: 16,00 € (a partir de 10 uds.)</v>
      </c>
      <c r="J584" s="4">
        <f t="shared" si="4"/>
        <v>15.36</v>
      </c>
      <c r="K584" s="4">
        <f t="shared" si="5"/>
        <v>16</v>
      </c>
      <c r="L584" s="4">
        <f t="shared" si="6"/>
        <v>15.36</v>
      </c>
    </row>
    <row r="585">
      <c r="A585" s="3">
        <v>566.0</v>
      </c>
      <c r="B585" s="1" t="s">
        <v>887</v>
      </c>
      <c r="C585" s="3">
        <v>32.0</v>
      </c>
      <c r="D585" s="3">
        <v>16.0</v>
      </c>
      <c r="E585" s="3">
        <v>16.0</v>
      </c>
      <c r="F585" s="3">
        <v>10.0</v>
      </c>
      <c r="G585" s="4">
        <f t="shared" si="1"/>
        <v>16</v>
      </c>
      <c r="H585" s="4" t="str">
        <f t="shared" si="2"/>
        <v>Neto: 16,00 € (a partir de 10 uds.)</v>
      </c>
      <c r="I585" s="4" t="str">
        <f t="shared" si="3"/>
        <v>Neto G.C.: 16,00 € (a partir de 10 uds.)</v>
      </c>
      <c r="J585" s="4">
        <f t="shared" si="4"/>
        <v>15.36</v>
      </c>
      <c r="K585" s="4">
        <f t="shared" si="5"/>
        <v>16</v>
      </c>
      <c r="L585" s="4">
        <f t="shared" si="6"/>
        <v>15.36</v>
      </c>
    </row>
    <row r="586">
      <c r="A586" s="3">
        <v>568.0</v>
      </c>
      <c r="B586" s="1" t="s">
        <v>888</v>
      </c>
      <c r="C586" s="3">
        <v>787.5</v>
      </c>
      <c r="D586" s="5"/>
      <c r="E586" s="5"/>
      <c r="F586" s="5"/>
      <c r="G586" s="4">
        <f t="shared" si="1"/>
        <v>393.75</v>
      </c>
      <c r="H586" s="4" t="str">
        <f t="shared" si="2"/>
        <v>Sin precio neto</v>
      </c>
      <c r="I586" s="4" t="str">
        <f t="shared" si="3"/>
        <v>Sin precio neto G.C.</v>
      </c>
      <c r="J586" s="4">
        <f t="shared" si="4"/>
        <v>378</v>
      </c>
      <c r="K586" s="4">
        <f t="shared" si="5"/>
        <v>393.75</v>
      </c>
      <c r="L586" s="4">
        <f t="shared" si="6"/>
        <v>378</v>
      </c>
    </row>
    <row r="587">
      <c r="A587" s="3">
        <v>569.0</v>
      </c>
      <c r="B587" s="1" t="s">
        <v>889</v>
      </c>
      <c r="C587" s="3">
        <v>67.2</v>
      </c>
      <c r="D587" s="5"/>
      <c r="E587" s="5"/>
      <c r="F587" s="5"/>
      <c r="G587" s="4">
        <f t="shared" si="1"/>
        <v>33.6</v>
      </c>
      <c r="H587" s="4" t="str">
        <f t="shared" si="2"/>
        <v>Sin precio neto</v>
      </c>
      <c r="I587" s="4" t="str">
        <f t="shared" si="3"/>
        <v>Sin precio neto G.C.</v>
      </c>
      <c r="J587" s="4">
        <f t="shared" si="4"/>
        <v>32.256</v>
      </c>
      <c r="K587" s="4">
        <f t="shared" si="5"/>
        <v>33.6</v>
      </c>
      <c r="L587" s="4">
        <f t="shared" si="6"/>
        <v>32.256</v>
      </c>
    </row>
    <row r="588">
      <c r="A588" s="1" t="s">
        <v>890</v>
      </c>
      <c r="B588" s="1" t="s">
        <v>891</v>
      </c>
      <c r="C588" s="3">
        <v>113.4</v>
      </c>
      <c r="D588" s="5"/>
      <c r="E588" s="5"/>
      <c r="F588" s="5"/>
      <c r="G588" s="4">
        <f t="shared" si="1"/>
        <v>56.7</v>
      </c>
      <c r="H588" s="4" t="str">
        <f t="shared" si="2"/>
        <v>Sin precio neto</v>
      </c>
      <c r="I588" s="4" t="str">
        <f t="shared" si="3"/>
        <v>Sin precio neto G.C.</v>
      </c>
      <c r="J588" s="4">
        <f t="shared" si="4"/>
        <v>54.432</v>
      </c>
      <c r="K588" s="4">
        <f t="shared" si="5"/>
        <v>56.7</v>
      </c>
      <c r="L588" s="4">
        <f t="shared" si="6"/>
        <v>54.432</v>
      </c>
    </row>
    <row r="589">
      <c r="A589" s="1" t="s">
        <v>892</v>
      </c>
      <c r="B589" s="1" t="s">
        <v>893</v>
      </c>
      <c r="C589" s="3">
        <v>79.8</v>
      </c>
      <c r="D589" s="5"/>
      <c r="E589" s="5"/>
      <c r="F589" s="5"/>
      <c r="G589" s="4">
        <f t="shared" si="1"/>
        <v>39.9</v>
      </c>
      <c r="H589" s="4" t="str">
        <f t="shared" si="2"/>
        <v>Sin precio neto</v>
      </c>
      <c r="I589" s="4" t="str">
        <f t="shared" si="3"/>
        <v>Sin precio neto G.C.</v>
      </c>
      <c r="J589" s="4">
        <f t="shared" si="4"/>
        <v>38.304</v>
      </c>
      <c r="K589" s="4">
        <f t="shared" si="5"/>
        <v>39.9</v>
      </c>
      <c r="L589" s="4">
        <f t="shared" si="6"/>
        <v>38.304</v>
      </c>
    </row>
    <row r="590">
      <c r="A590" s="1" t="s">
        <v>894</v>
      </c>
      <c r="B590" s="1" t="s">
        <v>895</v>
      </c>
      <c r="C590" s="3">
        <v>118.0</v>
      </c>
      <c r="D590" s="5"/>
      <c r="E590" s="5"/>
      <c r="F590" s="5"/>
      <c r="G590" s="4">
        <f t="shared" si="1"/>
        <v>59</v>
      </c>
      <c r="H590" s="4" t="str">
        <f t="shared" si="2"/>
        <v>Sin precio neto</v>
      </c>
      <c r="I590" s="4" t="str">
        <f t="shared" si="3"/>
        <v>Sin precio neto G.C.</v>
      </c>
      <c r="J590" s="4">
        <f t="shared" si="4"/>
        <v>56.64</v>
      </c>
      <c r="K590" s="4">
        <f t="shared" si="5"/>
        <v>59</v>
      </c>
      <c r="L590" s="4">
        <f t="shared" si="6"/>
        <v>56.64</v>
      </c>
    </row>
    <row r="591">
      <c r="A591" s="1" t="s">
        <v>896</v>
      </c>
      <c r="B591" s="1" t="s">
        <v>897</v>
      </c>
      <c r="C591" s="3">
        <v>12.6</v>
      </c>
      <c r="D591" s="5"/>
      <c r="E591" s="5"/>
      <c r="F591" s="5"/>
      <c r="G591" s="4">
        <f t="shared" si="1"/>
        <v>6.3</v>
      </c>
      <c r="H591" s="4" t="str">
        <f t="shared" si="2"/>
        <v>Sin precio neto</v>
      </c>
      <c r="I591" s="4" t="str">
        <f t="shared" si="3"/>
        <v>Sin precio neto G.C.</v>
      </c>
      <c r="J591" s="4">
        <f t="shared" si="4"/>
        <v>6.048</v>
      </c>
      <c r="K591" s="4">
        <f t="shared" si="5"/>
        <v>6.3</v>
      </c>
      <c r="L591" s="4">
        <f t="shared" si="6"/>
        <v>6.048</v>
      </c>
    </row>
    <row r="592">
      <c r="A592" s="3">
        <v>570.0</v>
      </c>
      <c r="B592" s="1" t="s">
        <v>898</v>
      </c>
      <c r="C592" s="3">
        <v>33.9</v>
      </c>
      <c r="D592" s="5"/>
      <c r="E592" s="5"/>
      <c r="F592" s="5"/>
      <c r="G592" s="4">
        <f t="shared" si="1"/>
        <v>16.95</v>
      </c>
      <c r="H592" s="4" t="str">
        <f t="shared" si="2"/>
        <v>Sin precio neto</v>
      </c>
      <c r="I592" s="4" t="str">
        <f t="shared" si="3"/>
        <v>Sin precio neto G.C.</v>
      </c>
      <c r="J592" s="4">
        <f t="shared" si="4"/>
        <v>16.272</v>
      </c>
      <c r="K592" s="4">
        <f t="shared" si="5"/>
        <v>16.95</v>
      </c>
      <c r="L592" s="4">
        <f t="shared" si="6"/>
        <v>16.272</v>
      </c>
    </row>
    <row r="593">
      <c r="A593" s="3">
        <v>571.0</v>
      </c>
      <c r="B593" s="1" t="s">
        <v>899</v>
      </c>
      <c r="C593" s="3">
        <v>52.0</v>
      </c>
      <c r="D593" s="5"/>
      <c r="E593" s="5"/>
      <c r="F593" s="5"/>
      <c r="G593" s="4">
        <f t="shared" si="1"/>
        <v>26</v>
      </c>
      <c r="H593" s="4" t="str">
        <f t="shared" si="2"/>
        <v>Sin precio neto</v>
      </c>
      <c r="I593" s="4" t="str">
        <f t="shared" si="3"/>
        <v>Sin precio neto G.C.</v>
      </c>
      <c r="J593" s="4">
        <f t="shared" si="4"/>
        <v>24.96</v>
      </c>
      <c r="K593" s="4">
        <f t="shared" si="5"/>
        <v>26</v>
      </c>
      <c r="L593" s="4">
        <f t="shared" si="6"/>
        <v>24.96</v>
      </c>
    </row>
    <row r="594">
      <c r="A594" s="1" t="s">
        <v>900</v>
      </c>
      <c r="B594" s="1" t="s">
        <v>901</v>
      </c>
      <c r="C594" s="3">
        <v>52.0</v>
      </c>
      <c r="D594" s="5"/>
      <c r="E594" s="5"/>
      <c r="F594" s="5"/>
      <c r="G594" s="4">
        <f t="shared" si="1"/>
        <v>26</v>
      </c>
      <c r="H594" s="4" t="str">
        <f t="shared" si="2"/>
        <v>Sin precio neto</v>
      </c>
      <c r="I594" s="4" t="str">
        <f t="shared" si="3"/>
        <v>Sin precio neto G.C.</v>
      </c>
      <c r="J594" s="4">
        <f t="shared" si="4"/>
        <v>24.96</v>
      </c>
      <c r="K594" s="4">
        <f t="shared" si="5"/>
        <v>26</v>
      </c>
      <c r="L594" s="4">
        <f t="shared" si="6"/>
        <v>24.96</v>
      </c>
    </row>
    <row r="595">
      <c r="A595" s="3">
        <v>574.0</v>
      </c>
      <c r="B595" s="1" t="s">
        <v>902</v>
      </c>
      <c r="C595" s="3">
        <v>33.9</v>
      </c>
      <c r="D595" s="3">
        <v>15.5</v>
      </c>
      <c r="E595" s="3">
        <v>14.0</v>
      </c>
      <c r="F595" s="3">
        <v>12.0</v>
      </c>
      <c r="G595" s="4">
        <f t="shared" si="1"/>
        <v>16.95</v>
      </c>
      <c r="H595" s="4" t="str">
        <f t="shared" si="2"/>
        <v>Neto: 15,50 € (a partir de 12 uds.)</v>
      </c>
      <c r="I595" s="4" t="str">
        <f t="shared" si="3"/>
        <v>Neto G.C.: 14,00 € (a partir de 12 uds.)</v>
      </c>
      <c r="J595" s="4">
        <f t="shared" si="4"/>
        <v>16.272</v>
      </c>
      <c r="K595" s="4">
        <f t="shared" si="5"/>
        <v>16.95</v>
      </c>
      <c r="L595" s="4">
        <f t="shared" si="6"/>
        <v>16.272</v>
      </c>
    </row>
    <row r="596">
      <c r="A596" s="1" t="s">
        <v>903</v>
      </c>
      <c r="B596" s="1" t="s">
        <v>904</v>
      </c>
      <c r="C596" s="3">
        <v>27.5</v>
      </c>
      <c r="D596" s="5"/>
      <c r="E596" s="5"/>
      <c r="F596" s="5"/>
      <c r="G596" s="4">
        <f t="shared" si="1"/>
        <v>13.75</v>
      </c>
      <c r="H596" s="4" t="str">
        <f t="shared" si="2"/>
        <v>Sin precio neto</v>
      </c>
      <c r="I596" s="4" t="str">
        <f t="shared" si="3"/>
        <v>Sin precio neto G.C.</v>
      </c>
      <c r="J596" s="4">
        <f t="shared" si="4"/>
        <v>13.2</v>
      </c>
      <c r="K596" s="4">
        <f t="shared" si="5"/>
        <v>13.75</v>
      </c>
      <c r="L596" s="4">
        <f t="shared" si="6"/>
        <v>13.2</v>
      </c>
    </row>
    <row r="597">
      <c r="A597" s="1" t="s">
        <v>905</v>
      </c>
      <c r="B597" s="1" t="s">
        <v>906</v>
      </c>
      <c r="C597" s="3">
        <v>9.8</v>
      </c>
      <c r="D597" s="5"/>
      <c r="E597" s="5"/>
      <c r="F597" s="5"/>
      <c r="G597" s="4">
        <f t="shared" si="1"/>
        <v>4.9</v>
      </c>
      <c r="H597" s="4" t="str">
        <f t="shared" si="2"/>
        <v>Sin precio neto</v>
      </c>
      <c r="I597" s="4" t="str">
        <f t="shared" si="3"/>
        <v>Sin precio neto G.C.</v>
      </c>
      <c r="J597" s="4">
        <f t="shared" si="4"/>
        <v>4.704</v>
      </c>
      <c r="K597" s="4">
        <f t="shared" si="5"/>
        <v>4.9</v>
      </c>
      <c r="L597" s="4">
        <f t="shared" si="6"/>
        <v>4.704</v>
      </c>
    </row>
    <row r="598">
      <c r="A598" s="1" t="s">
        <v>907</v>
      </c>
      <c r="B598" s="1" t="s">
        <v>908</v>
      </c>
      <c r="C598" s="3">
        <v>9.8</v>
      </c>
      <c r="D598" s="5"/>
      <c r="E598" s="5"/>
      <c r="F598" s="5"/>
      <c r="G598" s="4">
        <f t="shared" si="1"/>
        <v>4.9</v>
      </c>
      <c r="H598" s="4" t="str">
        <f t="shared" si="2"/>
        <v>Sin precio neto</v>
      </c>
      <c r="I598" s="4" t="str">
        <f t="shared" si="3"/>
        <v>Sin precio neto G.C.</v>
      </c>
      <c r="J598" s="4">
        <f t="shared" si="4"/>
        <v>4.704</v>
      </c>
      <c r="K598" s="4">
        <f t="shared" si="5"/>
        <v>4.9</v>
      </c>
      <c r="L598" s="4">
        <f t="shared" si="6"/>
        <v>4.704</v>
      </c>
    </row>
    <row r="599">
      <c r="A599" s="1" t="s">
        <v>909</v>
      </c>
      <c r="B599" s="1" t="s">
        <v>910</v>
      </c>
      <c r="C599" s="3">
        <v>9.8</v>
      </c>
      <c r="D599" s="5"/>
      <c r="E599" s="5"/>
      <c r="F599" s="5"/>
      <c r="G599" s="4">
        <f t="shared" si="1"/>
        <v>4.9</v>
      </c>
      <c r="H599" s="4" t="str">
        <f t="shared" si="2"/>
        <v>Sin precio neto</v>
      </c>
      <c r="I599" s="4" t="str">
        <f t="shared" si="3"/>
        <v>Sin precio neto G.C.</v>
      </c>
      <c r="J599" s="4">
        <f t="shared" si="4"/>
        <v>4.704</v>
      </c>
      <c r="K599" s="4">
        <f t="shared" si="5"/>
        <v>4.9</v>
      </c>
      <c r="L599" s="4">
        <f t="shared" si="6"/>
        <v>4.704</v>
      </c>
    </row>
    <row r="600">
      <c r="A600" s="1" t="s">
        <v>911</v>
      </c>
      <c r="B600" s="1" t="s">
        <v>912</v>
      </c>
      <c r="C600" s="3">
        <v>9.8</v>
      </c>
      <c r="D600" s="5"/>
      <c r="E600" s="5"/>
      <c r="F600" s="5"/>
      <c r="G600" s="4">
        <f t="shared" si="1"/>
        <v>4.9</v>
      </c>
      <c r="H600" s="4" t="str">
        <f t="shared" si="2"/>
        <v>Sin precio neto</v>
      </c>
      <c r="I600" s="4" t="str">
        <f t="shared" si="3"/>
        <v>Sin precio neto G.C.</v>
      </c>
      <c r="J600" s="4">
        <f t="shared" si="4"/>
        <v>4.704</v>
      </c>
      <c r="K600" s="4">
        <f t="shared" si="5"/>
        <v>4.9</v>
      </c>
      <c r="L600" s="4">
        <f t="shared" si="6"/>
        <v>4.704</v>
      </c>
    </row>
    <row r="601">
      <c r="A601" s="3">
        <v>576.0</v>
      </c>
      <c r="B601" s="1" t="s">
        <v>913</v>
      </c>
      <c r="C601" s="3">
        <v>33.9</v>
      </c>
      <c r="D601" s="3">
        <v>15.5</v>
      </c>
      <c r="E601" s="3">
        <v>14.0</v>
      </c>
      <c r="F601" s="3">
        <v>12.0</v>
      </c>
      <c r="G601" s="4">
        <f t="shared" si="1"/>
        <v>16.95</v>
      </c>
      <c r="H601" s="4" t="str">
        <f t="shared" si="2"/>
        <v>Neto: 15,50 € (a partir de 12 uds.)</v>
      </c>
      <c r="I601" s="4" t="str">
        <f t="shared" si="3"/>
        <v>Neto G.C.: 14,00 € (a partir de 12 uds.)</v>
      </c>
      <c r="J601" s="4">
        <f t="shared" si="4"/>
        <v>16.272</v>
      </c>
      <c r="K601" s="4">
        <f t="shared" si="5"/>
        <v>16.95</v>
      </c>
      <c r="L601" s="4">
        <f t="shared" si="6"/>
        <v>16.272</v>
      </c>
    </row>
    <row r="602">
      <c r="A602" s="1" t="s">
        <v>914</v>
      </c>
      <c r="B602" s="1" t="s">
        <v>915</v>
      </c>
      <c r="C602" s="3">
        <v>27.5</v>
      </c>
      <c r="D602" s="5"/>
      <c r="E602" s="5"/>
      <c r="F602" s="5"/>
      <c r="G602" s="4">
        <f t="shared" si="1"/>
        <v>13.75</v>
      </c>
      <c r="H602" s="4" t="str">
        <f t="shared" si="2"/>
        <v>Sin precio neto</v>
      </c>
      <c r="I602" s="4" t="str">
        <f t="shared" si="3"/>
        <v>Sin precio neto G.C.</v>
      </c>
      <c r="J602" s="4">
        <f t="shared" si="4"/>
        <v>13.2</v>
      </c>
      <c r="K602" s="4">
        <f t="shared" si="5"/>
        <v>13.75</v>
      </c>
      <c r="L602" s="4">
        <f t="shared" si="6"/>
        <v>13.2</v>
      </c>
    </row>
    <row r="603">
      <c r="A603" s="1" t="s">
        <v>916</v>
      </c>
      <c r="B603" s="1" t="s">
        <v>917</v>
      </c>
      <c r="C603" s="3">
        <v>4.3</v>
      </c>
      <c r="D603" s="5"/>
      <c r="E603" s="5"/>
      <c r="F603" s="5"/>
      <c r="G603" s="4">
        <f t="shared" si="1"/>
        <v>2.15</v>
      </c>
      <c r="H603" s="4" t="str">
        <f t="shared" si="2"/>
        <v>Sin precio neto</v>
      </c>
      <c r="I603" s="4" t="str">
        <f t="shared" si="3"/>
        <v>Sin precio neto G.C.</v>
      </c>
      <c r="J603" s="4">
        <f t="shared" si="4"/>
        <v>2.064</v>
      </c>
      <c r="K603" s="4">
        <f t="shared" si="5"/>
        <v>2.15</v>
      </c>
      <c r="L603" s="4">
        <f t="shared" si="6"/>
        <v>2.064</v>
      </c>
    </row>
    <row r="604">
      <c r="A604" s="3">
        <v>577.0</v>
      </c>
      <c r="B604" s="1" t="s">
        <v>918</v>
      </c>
      <c r="C604" s="3">
        <v>9.8</v>
      </c>
      <c r="D604" s="3">
        <v>4.5</v>
      </c>
      <c r="E604" s="3">
        <v>4.5</v>
      </c>
      <c r="F604" s="3">
        <v>50.0</v>
      </c>
      <c r="G604" s="4">
        <f t="shared" si="1"/>
        <v>4.9</v>
      </c>
      <c r="H604" s="4" t="str">
        <f t="shared" si="2"/>
        <v>Neto: 4,50 € (a partir de 50 uds.)</v>
      </c>
      <c r="I604" s="4" t="str">
        <f t="shared" si="3"/>
        <v>Neto G.C.: 4,50 € (a partir de 50 uds.)</v>
      </c>
      <c r="J604" s="4">
        <f t="shared" si="4"/>
        <v>4.704</v>
      </c>
      <c r="K604" s="4">
        <f t="shared" si="5"/>
        <v>4.9</v>
      </c>
      <c r="L604" s="4">
        <f t="shared" si="6"/>
        <v>4.704</v>
      </c>
    </row>
    <row r="605">
      <c r="A605" s="1" t="s">
        <v>919</v>
      </c>
      <c r="B605" s="1" t="s">
        <v>920</v>
      </c>
      <c r="C605" s="3">
        <v>18.0</v>
      </c>
      <c r="D605" s="5"/>
      <c r="E605" s="5"/>
      <c r="F605" s="5"/>
      <c r="G605" s="4">
        <f t="shared" si="1"/>
        <v>9</v>
      </c>
      <c r="H605" s="4" t="str">
        <f t="shared" si="2"/>
        <v>Sin precio neto</v>
      </c>
      <c r="I605" s="4" t="str">
        <f t="shared" si="3"/>
        <v>Sin precio neto G.C.</v>
      </c>
      <c r="J605" s="4">
        <f t="shared" si="4"/>
        <v>8.64</v>
      </c>
      <c r="K605" s="4">
        <f t="shared" si="5"/>
        <v>9</v>
      </c>
      <c r="L605" s="4">
        <f t="shared" si="6"/>
        <v>8.64</v>
      </c>
    </row>
    <row r="606">
      <c r="A606" s="1" t="s">
        <v>921</v>
      </c>
      <c r="B606" s="1" t="s">
        <v>922</v>
      </c>
      <c r="C606" s="3">
        <v>15.5</v>
      </c>
      <c r="D606" s="5"/>
      <c r="E606" s="5"/>
      <c r="F606" s="5"/>
      <c r="G606" s="4">
        <f t="shared" si="1"/>
        <v>7.75</v>
      </c>
      <c r="H606" s="4" t="str">
        <f t="shared" si="2"/>
        <v>Sin precio neto</v>
      </c>
      <c r="I606" s="4" t="str">
        <f t="shared" si="3"/>
        <v>Sin precio neto G.C.</v>
      </c>
      <c r="J606" s="4">
        <f t="shared" si="4"/>
        <v>7.44</v>
      </c>
      <c r="K606" s="4">
        <f t="shared" si="5"/>
        <v>7.75</v>
      </c>
      <c r="L606" s="4">
        <f t="shared" si="6"/>
        <v>7.44</v>
      </c>
    </row>
    <row r="607">
      <c r="A607" s="3">
        <v>578.0</v>
      </c>
      <c r="B607" s="1" t="s">
        <v>923</v>
      </c>
      <c r="C607" s="3">
        <v>31.5</v>
      </c>
      <c r="D607" s="3">
        <v>15.5</v>
      </c>
      <c r="E607" s="3">
        <v>14.0</v>
      </c>
      <c r="F607" s="3">
        <v>2.0</v>
      </c>
      <c r="G607" s="4">
        <f t="shared" si="1"/>
        <v>15.75</v>
      </c>
      <c r="H607" s="4" t="str">
        <f t="shared" si="2"/>
        <v>Neto: 15,50 € (a partir de 2 uds.)</v>
      </c>
      <c r="I607" s="4" t="str">
        <f t="shared" si="3"/>
        <v>Neto G.C.: 14,00 € (a partir de 2 uds.)</v>
      </c>
      <c r="J607" s="4">
        <f t="shared" si="4"/>
        <v>15.12</v>
      </c>
      <c r="K607" s="4">
        <f t="shared" si="5"/>
        <v>15.75</v>
      </c>
      <c r="L607" s="4">
        <f t="shared" si="6"/>
        <v>15.12</v>
      </c>
    </row>
    <row r="608">
      <c r="A608" s="1" t="s">
        <v>924</v>
      </c>
      <c r="B608" s="1" t="s">
        <v>925</v>
      </c>
      <c r="C608" s="3">
        <v>92.0</v>
      </c>
      <c r="D608" s="5"/>
      <c r="E608" s="5"/>
      <c r="F608" s="5"/>
      <c r="G608" s="4">
        <f t="shared" si="1"/>
        <v>46</v>
      </c>
      <c r="H608" s="4" t="str">
        <f t="shared" si="2"/>
        <v>Sin precio neto</v>
      </c>
      <c r="I608" s="4" t="str">
        <f t="shared" si="3"/>
        <v>Sin precio neto G.C.</v>
      </c>
      <c r="J608" s="4">
        <f t="shared" si="4"/>
        <v>44.16</v>
      </c>
      <c r="K608" s="4">
        <f t="shared" si="5"/>
        <v>46</v>
      </c>
      <c r="L608" s="4">
        <f t="shared" si="6"/>
        <v>44.16</v>
      </c>
    </row>
    <row r="609">
      <c r="A609" s="1" t="s">
        <v>926</v>
      </c>
      <c r="B609" s="1" t="s">
        <v>927</v>
      </c>
      <c r="C609" s="3">
        <v>71.26</v>
      </c>
      <c r="D609" s="5"/>
      <c r="E609" s="5"/>
      <c r="F609" s="5"/>
      <c r="G609" s="4">
        <f t="shared" si="1"/>
        <v>35.63</v>
      </c>
      <c r="H609" s="4" t="str">
        <f t="shared" si="2"/>
        <v>Sin precio neto</v>
      </c>
      <c r="I609" s="4" t="str">
        <f t="shared" si="3"/>
        <v>Sin precio neto G.C.</v>
      </c>
      <c r="J609" s="4">
        <f t="shared" si="4"/>
        <v>34.2048</v>
      </c>
      <c r="K609" s="4">
        <f t="shared" si="5"/>
        <v>35.63</v>
      </c>
      <c r="L609" s="4">
        <f t="shared" si="6"/>
        <v>34.2048</v>
      </c>
    </row>
    <row r="610">
      <c r="A610" s="1" t="s">
        <v>928</v>
      </c>
      <c r="B610" s="1" t="s">
        <v>929</v>
      </c>
      <c r="C610" s="3">
        <v>16.0</v>
      </c>
      <c r="D610" s="5"/>
      <c r="E610" s="5"/>
      <c r="F610" s="5"/>
      <c r="G610" s="4">
        <f t="shared" si="1"/>
        <v>8</v>
      </c>
      <c r="H610" s="4" t="str">
        <f t="shared" si="2"/>
        <v>Sin precio neto</v>
      </c>
      <c r="I610" s="4" t="str">
        <f t="shared" si="3"/>
        <v>Sin precio neto G.C.</v>
      </c>
      <c r="J610" s="4">
        <f t="shared" si="4"/>
        <v>7.68</v>
      </c>
      <c r="K610" s="4">
        <f t="shared" si="5"/>
        <v>8</v>
      </c>
      <c r="L610" s="4">
        <f t="shared" si="6"/>
        <v>7.68</v>
      </c>
    </row>
    <row r="611">
      <c r="A611" s="1" t="s">
        <v>930</v>
      </c>
      <c r="B611" s="1" t="s">
        <v>931</v>
      </c>
      <c r="C611" s="3">
        <v>92.0</v>
      </c>
      <c r="D611" s="5"/>
      <c r="E611" s="5"/>
      <c r="F611" s="5"/>
      <c r="G611" s="4">
        <f t="shared" si="1"/>
        <v>46</v>
      </c>
      <c r="H611" s="4" t="str">
        <f t="shared" si="2"/>
        <v>Sin precio neto</v>
      </c>
      <c r="I611" s="4" t="str">
        <f t="shared" si="3"/>
        <v>Sin precio neto G.C.</v>
      </c>
      <c r="J611" s="4">
        <f t="shared" si="4"/>
        <v>44.16</v>
      </c>
      <c r="K611" s="4">
        <f t="shared" si="5"/>
        <v>46</v>
      </c>
      <c r="L611" s="4">
        <f t="shared" si="6"/>
        <v>44.16</v>
      </c>
    </row>
    <row r="612">
      <c r="A612" s="1" t="s">
        <v>932</v>
      </c>
      <c r="B612" s="1" t="s">
        <v>933</v>
      </c>
      <c r="C612" s="3">
        <v>92.0</v>
      </c>
      <c r="D612" s="5"/>
      <c r="E612" s="5"/>
      <c r="F612" s="5"/>
      <c r="G612" s="4">
        <f t="shared" si="1"/>
        <v>46</v>
      </c>
      <c r="H612" s="4" t="str">
        <f t="shared" si="2"/>
        <v>Sin precio neto</v>
      </c>
      <c r="I612" s="4" t="str">
        <f t="shared" si="3"/>
        <v>Sin precio neto G.C.</v>
      </c>
      <c r="J612" s="4">
        <f t="shared" si="4"/>
        <v>44.16</v>
      </c>
      <c r="K612" s="4">
        <f t="shared" si="5"/>
        <v>46</v>
      </c>
      <c r="L612" s="4">
        <f t="shared" si="6"/>
        <v>44.16</v>
      </c>
    </row>
    <row r="613">
      <c r="A613" s="1" t="s">
        <v>934</v>
      </c>
      <c r="B613" s="1" t="s">
        <v>935</v>
      </c>
      <c r="C613" s="3">
        <v>92.0</v>
      </c>
      <c r="D613" s="5"/>
      <c r="E613" s="5"/>
      <c r="F613" s="5"/>
      <c r="G613" s="4">
        <f t="shared" si="1"/>
        <v>46</v>
      </c>
      <c r="H613" s="4" t="str">
        <f t="shared" si="2"/>
        <v>Sin precio neto</v>
      </c>
      <c r="I613" s="4" t="str">
        <f t="shared" si="3"/>
        <v>Sin precio neto G.C.</v>
      </c>
      <c r="J613" s="4">
        <f t="shared" si="4"/>
        <v>44.16</v>
      </c>
      <c r="K613" s="4">
        <f t="shared" si="5"/>
        <v>46</v>
      </c>
      <c r="L613" s="4">
        <f t="shared" si="6"/>
        <v>44.16</v>
      </c>
    </row>
    <row r="614">
      <c r="A614" s="1" t="s">
        <v>936</v>
      </c>
      <c r="B614" s="1" t="s">
        <v>937</v>
      </c>
      <c r="C614" s="3">
        <v>92.0</v>
      </c>
      <c r="D614" s="5"/>
      <c r="E614" s="5"/>
      <c r="F614" s="5"/>
      <c r="G614" s="4">
        <f t="shared" si="1"/>
        <v>46</v>
      </c>
      <c r="H614" s="4" t="str">
        <f t="shared" si="2"/>
        <v>Sin precio neto</v>
      </c>
      <c r="I614" s="4" t="str">
        <f t="shared" si="3"/>
        <v>Sin precio neto G.C.</v>
      </c>
      <c r="J614" s="4">
        <f t="shared" si="4"/>
        <v>44.16</v>
      </c>
      <c r="K614" s="4">
        <f t="shared" si="5"/>
        <v>46</v>
      </c>
      <c r="L614" s="4">
        <f t="shared" si="6"/>
        <v>44.16</v>
      </c>
    </row>
    <row r="615">
      <c r="A615" s="1" t="s">
        <v>938</v>
      </c>
      <c r="B615" s="1" t="s">
        <v>939</v>
      </c>
      <c r="C615" s="3">
        <v>94.0</v>
      </c>
      <c r="D615" s="5"/>
      <c r="E615" s="5"/>
      <c r="F615" s="5"/>
      <c r="G615" s="4">
        <f t="shared" si="1"/>
        <v>47</v>
      </c>
      <c r="H615" s="4" t="str">
        <f t="shared" si="2"/>
        <v>Sin precio neto</v>
      </c>
      <c r="I615" s="4" t="str">
        <f t="shared" si="3"/>
        <v>Sin precio neto G.C.</v>
      </c>
      <c r="J615" s="4">
        <f t="shared" si="4"/>
        <v>45.12</v>
      </c>
      <c r="K615" s="4">
        <f t="shared" si="5"/>
        <v>47</v>
      </c>
      <c r="L615" s="4">
        <f t="shared" si="6"/>
        <v>45.12</v>
      </c>
    </row>
    <row r="616">
      <c r="A616" s="1" t="s">
        <v>940</v>
      </c>
      <c r="B616" s="1" t="s">
        <v>941</v>
      </c>
      <c r="C616" s="3">
        <v>94.0</v>
      </c>
      <c r="D616" s="5"/>
      <c r="E616" s="5"/>
      <c r="F616" s="5"/>
      <c r="G616" s="4">
        <f t="shared" si="1"/>
        <v>47</v>
      </c>
      <c r="H616" s="4" t="str">
        <f t="shared" si="2"/>
        <v>Sin precio neto</v>
      </c>
      <c r="I616" s="4" t="str">
        <f t="shared" si="3"/>
        <v>Sin precio neto G.C.</v>
      </c>
      <c r="J616" s="4">
        <f t="shared" si="4"/>
        <v>45.12</v>
      </c>
      <c r="K616" s="4">
        <f t="shared" si="5"/>
        <v>47</v>
      </c>
      <c r="L616" s="4">
        <f t="shared" si="6"/>
        <v>45.12</v>
      </c>
    </row>
    <row r="617">
      <c r="A617" s="1" t="s">
        <v>942</v>
      </c>
      <c r="B617" s="1" t="s">
        <v>943</v>
      </c>
      <c r="C617" s="3">
        <v>94.0</v>
      </c>
      <c r="D617" s="5"/>
      <c r="E617" s="5"/>
      <c r="F617" s="5"/>
      <c r="G617" s="4">
        <f t="shared" si="1"/>
        <v>47</v>
      </c>
      <c r="H617" s="4" t="str">
        <f t="shared" si="2"/>
        <v>Sin precio neto</v>
      </c>
      <c r="I617" s="4" t="str">
        <f t="shared" si="3"/>
        <v>Sin precio neto G.C.</v>
      </c>
      <c r="J617" s="4">
        <f t="shared" si="4"/>
        <v>45.12</v>
      </c>
      <c r="K617" s="4">
        <f t="shared" si="5"/>
        <v>47</v>
      </c>
      <c r="L617" s="4">
        <f t="shared" si="6"/>
        <v>45.12</v>
      </c>
    </row>
    <row r="618">
      <c r="A618" s="1" t="s">
        <v>944</v>
      </c>
      <c r="B618" s="1" t="s">
        <v>945</v>
      </c>
      <c r="C618" s="3">
        <v>94.0</v>
      </c>
      <c r="D618" s="5"/>
      <c r="E618" s="5"/>
      <c r="F618" s="5"/>
      <c r="G618" s="4">
        <f t="shared" si="1"/>
        <v>47</v>
      </c>
      <c r="H618" s="4" t="str">
        <f t="shared" si="2"/>
        <v>Sin precio neto</v>
      </c>
      <c r="I618" s="4" t="str">
        <f t="shared" si="3"/>
        <v>Sin precio neto G.C.</v>
      </c>
      <c r="J618" s="4">
        <f t="shared" si="4"/>
        <v>45.12</v>
      </c>
      <c r="K618" s="4">
        <f t="shared" si="5"/>
        <v>47</v>
      </c>
      <c r="L618" s="4">
        <f t="shared" si="6"/>
        <v>45.12</v>
      </c>
    </row>
    <row r="619">
      <c r="A619" s="1" t="s">
        <v>946</v>
      </c>
      <c r="B619" s="1" t="s">
        <v>947</v>
      </c>
      <c r="C619" s="3">
        <v>94.0</v>
      </c>
      <c r="D619" s="5"/>
      <c r="E619" s="5"/>
      <c r="F619" s="5"/>
      <c r="G619" s="4">
        <f t="shared" si="1"/>
        <v>47</v>
      </c>
      <c r="H619" s="4" t="str">
        <f t="shared" si="2"/>
        <v>Sin precio neto</v>
      </c>
      <c r="I619" s="4" t="str">
        <f t="shared" si="3"/>
        <v>Sin precio neto G.C.</v>
      </c>
      <c r="J619" s="4">
        <f t="shared" si="4"/>
        <v>45.12</v>
      </c>
      <c r="K619" s="4">
        <f t="shared" si="5"/>
        <v>47</v>
      </c>
      <c r="L619" s="4">
        <f t="shared" si="6"/>
        <v>45.12</v>
      </c>
    </row>
    <row r="620">
      <c r="A620" s="3">
        <v>581.0</v>
      </c>
      <c r="B620" s="1" t="s">
        <v>948</v>
      </c>
      <c r="C620" s="3">
        <v>44.2</v>
      </c>
      <c r="D620" s="5"/>
      <c r="E620" s="5"/>
      <c r="F620" s="5"/>
      <c r="G620" s="4">
        <f t="shared" si="1"/>
        <v>22.1</v>
      </c>
      <c r="H620" s="4" t="str">
        <f t="shared" si="2"/>
        <v>Sin precio neto</v>
      </c>
      <c r="I620" s="4" t="str">
        <f t="shared" si="3"/>
        <v>Sin precio neto G.C.</v>
      </c>
      <c r="J620" s="4">
        <f t="shared" si="4"/>
        <v>21.216</v>
      </c>
      <c r="K620" s="4">
        <f t="shared" si="5"/>
        <v>22.1</v>
      </c>
      <c r="L620" s="4">
        <f t="shared" si="6"/>
        <v>21.216</v>
      </c>
    </row>
    <row r="621">
      <c r="A621" s="1" t="s">
        <v>949</v>
      </c>
      <c r="B621" s="1" t="s">
        <v>950</v>
      </c>
      <c r="C621" s="3">
        <v>44.2</v>
      </c>
      <c r="D621" s="5"/>
      <c r="E621" s="5"/>
      <c r="F621" s="5"/>
      <c r="G621" s="4">
        <f t="shared" si="1"/>
        <v>22.1</v>
      </c>
      <c r="H621" s="4" t="str">
        <f t="shared" si="2"/>
        <v>Sin precio neto</v>
      </c>
      <c r="I621" s="4" t="str">
        <f t="shared" si="3"/>
        <v>Sin precio neto G.C.</v>
      </c>
      <c r="J621" s="4">
        <f t="shared" si="4"/>
        <v>21.216</v>
      </c>
      <c r="K621" s="4">
        <f t="shared" si="5"/>
        <v>22.1</v>
      </c>
      <c r="L621" s="4">
        <f t="shared" si="6"/>
        <v>21.216</v>
      </c>
    </row>
    <row r="622">
      <c r="A622" s="1" t="s">
        <v>951</v>
      </c>
      <c r="B622" s="1" t="s">
        <v>952</v>
      </c>
      <c r="C622" s="3">
        <v>44.2</v>
      </c>
      <c r="D622" s="5"/>
      <c r="E622" s="5"/>
      <c r="F622" s="5"/>
      <c r="G622" s="4">
        <f t="shared" si="1"/>
        <v>22.1</v>
      </c>
      <c r="H622" s="4" t="str">
        <f t="shared" si="2"/>
        <v>Sin precio neto</v>
      </c>
      <c r="I622" s="4" t="str">
        <f t="shared" si="3"/>
        <v>Sin precio neto G.C.</v>
      </c>
      <c r="J622" s="4">
        <f t="shared" si="4"/>
        <v>21.216</v>
      </c>
      <c r="K622" s="4">
        <f t="shared" si="5"/>
        <v>22.1</v>
      </c>
      <c r="L622" s="4">
        <f t="shared" si="6"/>
        <v>21.216</v>
      </c>
    </row>
    <row r="623">
      <c r="A623" s="1" t="s">
        <v>953</v>
      </c>
      <c r="B623" s="1" t="s">
        <v>954</v>
      </c>
      <c r="C623" s="3">
        <v>44.2</v>
      </c>
      <c r="D623" s="5"/>
      <c r="E623" s="5"/>
      <c r="F623" s="5"/>
      <c r="G623" s="4">
        <f t="shared" si="1"/>
        <v>22.1</v>
      </c>
      <c r="H623" s="4" t="str">
        <f t="shared" si="2"/>
        <v>Sin precio neto</v>
      </c>
      <c r="I623" s="4" t="str">
        <f t="shared" si="3"/>
        <v>Sin precio neto G.C.</v>
      </c>
      <c r="J623" s="4">
        <f t="shared" si="4"/>
        <v>21.216</v>
      </c>
      <c r="K623" s="4">
        <f t="shared" si="5"/>
        <v>22.1</v>
      </c>
      <c r="L623" s="4">
        <f t="shared" si="6"/>
        <v>21.216</v>
      </c>
    </row>
    <row r="624">
      <c r="A624" s="1" t="s">
        <v>955</v>
      </c>
      <c r="B624" s="1" t="s">
        <v>956</v>
      </c>
      <c r="C624" s="3">
        <v>44.2</v>
      </c>
      <c r="D624" s="5"/>
      <c r="E624" s="5"/>
      <c r="F624" s="5"/>
      <c r="G624" s="4">
        <f t="shared" si="1"/>
        <v>22.1</v>
      </c>
      <c r="H624" s="4" t="str">
        <f t="shared" si="2"/>
        <v>Sin precio neto</v>
      </c>
      <c r="I624" s="4" t="str">
        <f t="shared" si="3"/>
        <v>Sin precio neto G.C.</v>
      </c>
      <c r="J624" s="4">
        <f t="shared" si="4"/>
        <v>21.216</v>
      </c>
      <c r="K624" s="4">
        <f t="shared" si="5"/>
        <v>22.1</v>
      </c>
      <c r="L624" s="4">
        <f t="shared" si="6"/>
        <v>21.216</v>
      </c>
    </row>
    <row r="625">
      <c r="A625" s="1" t="s">
        <v>957</v>
      </c>
      <c r="B625" s="1" t="s">
        <v>958</v>
      </c>
      <c r="C625" s="3">
        <v>44.2</v>
      </c>
      <c r="D625" s="5"/>
      <c r="E625" s="5"/>
      <c r="F625" s="5"/>
      <c r="G625" s="4">
        <f t="shared" si="1"/>
        <v>22.1</v>
      </c>
      <c r="H625" s="4" t="str">
        <f t="shared" si="2"/>
        <v>Sin precio neto</v>
      </c>
      <c r="I625" s="4" t="str">
        <f t="shared" si="3"/>
        <v>Sin precio neto G.C.</v>
      </c>
      <c r="J625" s="4">
        <f t="shared" si="4"/>
        <v>21.216</v>
      </c>
      <c r="K625" s="4">
        <f t="shared" si="5"/>
        <v>22.1</v>
      </c>
      <c r="L625" s="4">
        <f t="shared" si="6"/>
        <v>21.216</v>
      </c>
    </row>
    <row r="626">
      <c r="A626" s="1" t="s">
        <v>959</v>
      </c>
      <c r="B626" s="1" t="s">
        <v>960</v>
      </c>
      <c r="C626" s="3">
        <v>44.2</v>
      </c>
      <c r="D626" s="5"/>
      <c r="E626" s="5"/>
      <c r="F626" s="5"/>
      <c r="G626" s="4">
        <f t="shared" si="1"/>
        <v>22.1</v>
      </c>
      <c r="H626" s="4" t="str">
        <f t="shared" si="2"/>
        <v>Sin precio neto</v>
      </c>
      <c r="I626" s="4" t="str">
        <f t="shared" si="3"/>
        <v>Sin precio neto G.C.</v>
      </c>
      <c r="J626" s="4">
        <f t="shared" si="4"/>
        <v>21.216</v>
      </c>
      <c r="K626" s="4">
        <f t="shared" si="5"/>
        <v>22.1</v>
      </c>
      <c r="L626" s="4">
        <f t="shared" si="6"/>
        <v>21.216</v>
      </c>
    </row>
    <row r="627">
      <c r="A627" s="3">
        <v>582.0</v>
      </c>
      <c r="B627" s="1" t="s">
        <v>961</v>
      </c>
      <c r="C627" s="3">
        <v>44.5</v>
      </c>
      <c r="D627" s="3">
        <v>17.5</v>
      </c>
      <c r="E627" s="3">
        <v>16.0</v>
      </c>
      <c r="F627" s="3">
        <v>12.0</v>
      </c>
      <c r="G627" s="4">
        <f t="shared" si="1"/>
        <v>22.25</v>
      </c>
      <c r="H627" s="4" t="str">
        <f t="shared" si="2"/>
        <v>Neto: 17,50 € (a partir de 12 uds.)</v>
      </c>
      <c r="I627" s="4" t="str">
        <f t="shared" si="3"/>
        <v>Neto G.C.: 16,00 € (a partir de 12 uds.)</v>
      </c>
      <c r="J627" s="4">
        <f t="shared" si="4"/>
        <v>21.36</v>
      </c>
      <c r="K627" s="4">
        <f t="shared" si="5"/>
        <v>22.25</v>
      </c>
      <c r="L627" s="4">
        <f t="shared" si="6"/>
        <v>21.36</v>
      </c>
    </row>
    <row r="628">
      <c r="A628" s="1" t="s">
        <v>962</v>
      </c>
      <c r="B628" s="1" t="s">
        <v>963</v>
      </c>
      <c r="C628" s="3">
        <v>32.5</v>
      </c>
      <c r="D628" s="5"/>
      <c r="E628" s="5"/>
      <c r="F628" s="5"/>
      <c r="G628" s="4">
        <f t="shared" si="1"/>
        <v>16.25</v>
      </c>
      <c r="H628" s="4" t="str">
        <f t="shared" si="2"/>
        <v>Sin precio neto</v>
      </c>
      <c r="I628" s="4" t="str">
        <f t="shared" si="3"/>
        <v>Sin precio neto G.C.</v>
      </c>
      <c r="J628" s="4">
        <f t="shared" si="4"/>
        <v>15.6</v>
      </c>
      <c r="K628" s="4">
        <f t="shared" si="5"/>
        <v>16.25</v>
      </c>
      <c r="L628" s="4">
        <f t="shared" si="6"/>
        <v>15.6</v>
      </c>
    </row>
    <row r="629">
      <c r="A629" s="3">
        <v>583.0</v>
      </c>
      <c r="B629" s="1" t="s">
        <v>964</v>
      </c>
      <c r="C629" s="3">
        <v>44.5</v>
      </c>
      <c r="D629" s="3">
        <v>17.5</v>
      </c>
      <c r="E629" s="3">
        <v>16.0</v>
      </c>
      <c r="F629" s="3">
        <v>12.0</v>
      </c>
      <c r="G629" s="4">
        <f t="shared" si="1"/>
        <v>22.25</v>
      </c>
      <c r="H629" s="4" t="str">
        <f t="shared" si="2"/>
        <v>Neto: 17,50 € (a partir de 12 uds.)</v>
      </c>
      <c r="I629" s="4" t="str">
        <f t="shared" si="3"/>
        <v>Neto G.C.: 16,00 € (a partir de 12 uds.)</v>
      </c>
      <c r="J629" s="4">
        <f t="shared" si="4"/>
        <v>21.36</v>
      </c>
      <c r="K629" s="4">
        <f t="shared" si="5"/>
        <v>22.25</v>
      </c>
      <c r="L629" s="4">
        <f t="shared" si="6"/>
        <v>21.36</v>
      </c>
    </row>
    <row r="630">
      <c r="A630" s="1" t="s">
        <v>965</v>
      </c>
      <c r="B630" s="1" t="s">
        <v>966</v>
      </c>
      <c r="C630" s="3">
        <v>32.5</v>
      </c>
      <c r="D630" s="5"/>
      <c r="E630" s="5"/>
      <c r="F630" s="5"/>
      <c r="G630" s="4">
        <f t="shared" si="1"/>
        <v>16.25</v>
      </c>
      <c r="H630" s="4" t="str">
        <f t="shared" si="2"/>
        <v>Sin precio neto</v>
      </c>
      <c r="I630" s="4" t="str">
        <f t="shared" si="3"/>
        <v>Sin precio neto G.C.</v>
      </c>
      <c r="J630" s="4">
        <f t="shared" si="4"/>
        <v>15.6</v>
      </c>
      <c r="K630" s="4">
        <f t="shared" si="5"/>
        <v>16.25</v>
      </c>
      <c r="L630" s="4">
        <f t="shared" si="6"/>
        <v>15.6</v>
      </c>
    </row>
    <row r="631">
      <c r="A631" s="3">
        <v>584.0</v>
      </c>
      <c r="B631" s="1" t="s">
        <v>967</v>
      </c>
      <c r="C631" s="3">
        <v>44.5</v>
      </c>
      <c r="D631" s="3">
        <v>17.5</v>
      </c>
      <c r="E631" s="3">
        <v>16.0</v>
      </c>
      <c r="F631" s="3">
        <v>12.0</v>
      </c>
      <c r="G631" s="4">
        <f t="shared" si="1"/>
        <v>22.25</v>
      </c>
      <c r="H631" s="4" t="str">
        <f t="shared" si="2"/>
        <v>Neto: 17,50 € (a partir de 12 uds.)</v>
      </c>
      <c r="I631" s="4" t="str">
        <f t="shared" si="3"/>
        <v>Neto G.C.: 16,00 € (a partir de 12 uds.)</v>
      </c>
      <c r="J631" s="4">
        <f t="shared" si="4"/>
        <v>21.36</v>
      </c>
      <c r="K631" s="4">
        <f t="shared" si="5"/>
        <v>22.25</v>
      </c>
      <c r="L631" s="4">
        <f t="shared" si="6"/>
        <v>21.36</v>
      </c>
    </row>
    <row r="632">
      <c r="A632" s="1" t="s">
        <v>968</v>
      </c>
      <c r="B632" s="1" t="s">
        <v>969</v>
      </c>
      <c r="C632" s="3">
        <v>32.5</v>
      </c>
      <c r="D632" s="5"/>
      <c r="E632" s="5"/>
      <c r="F632" s="5"/>
      <c r="G632" s="4">
        <f t="shared" si="1"/>
        <v>16.25</v>
      </c>
      <c r="H632" s="4" t="str">
        <f t="shared" si="2"/>
        <v>Sin precio neto</v>
      </c>
      <c r="I632" s="4" t="str">
        <f t="shared" si="3"/>
        <v>Sin precio neto G.C.</v>
      </c>
      <c r="J632" s="4">
        <f t="shared" si="4"/>
        <v>15.6</v>
      </c>
      <c r="K632" s="4">
        <f t="shared" si="5"/>
        <v>16.25</v>
      </c>
      <c r="L632" s="4">
        <f t="shared" si="6"/>
        <v>15.6</v>
      </c>
    </row>
    <row r="633">
      <c r="A633" s="3">
        <v>585.0</v>
      </c>
      <c r="B633" s="1" t="s">
        <v>970</v>
      </c>
      <c r="C633" s="3">
        <v>44.1</v>
      </c>
      <c r="D633" s="3">
        <v>17.5</v>
      </c>
      <c r="E633" s="3">
        <v>16.0</v>
      </c>
      <c r="F633" s="3">
        <v>12.0</v>
      </c>
      <c r="G633" s="4">
        <f t="shared" si="1"/>
        <v>22.05</v>
      </c>
      <c r="H633" s="4" t="str">
        <f t="shared" si="2"/>
        <v>Neto: 17,50 € (a partir de 12 uds.)</v>
      </c>
      <c r="I633" s="4" t="str">
        <f t="shared" si="3"/>
        <v>Neto G.C.: 16,00 € (a partir de 12 uds.)</v>
      </c>
      <c r="J633" s="4">
        <f t="shared" si="4"/>
        <v>21.168</v>
      </c>
      <c r="K633" s="4">
        <f t="shared" si="5"/>
        <v>22.05</v>
      </c>
      <c r="L633" s="4">
        <f t="shared" si="6"/>
        <v>21.168</v>
      </c>
    </row>
    <row r="634">
      <c r="A634" s="1" t="s">
        <v>971</v>
      </c>
      <c r="B634" s="1" t="s">
        <v>972</v>
      </c>
      <c r="C634" s="3">
        <v>32.5</v>
      </c>
      <c r="D634" s="5"/>
      <c r="E634" s="5"/>
      <c r="F634" s="5"/>
      <c r="G634" s="4">
        <f t="shared" si="1"/>
        <v>16.25</v>
      </c>
      <c r="H634" s="4" t="str">
        <f t="shared" si="2"/>
        <v>Sin precio neto</v>
      </c>
      <c r="I634" s="4" t="str">
        <f t="shared" si="3"/>
        <v>Sin precio neto G.C.</v>
      </c>
      <c r="J634" s="4">
        <f t="shared" si="4"/>
        <v>15.6</v>
      </c>
      <c r="K634" s="4">
        <f t="shared" si="5"/>
        <v>16.25</v>
      </c>
      <c r="L634" s="4">
        <f t="shared" si="6"/>
        <v>15.6</v>
      </c>
    </row>
    <row r="635">
      <c r="A635" s="3">
        <v>586.0</v>
      </c>
      <c r="B635" s="1" t="s">
        <v>973</v>
      </c>
      <c r="C635" s="3">
        <v>33.9</v>
      </c>
      <c r="D635" s="3">
        <v>15.5</v>
      </c>
      <c r="E635" s="3">
        <v>14.0</v>
      </c>
      <c r="F635" s="3">
        <v>12.0</v>
      </c>
      <c r="G635" s="4">
        <f t="shared" si="1"/>
        <v>16.95</v>
      </c>
      <c r="H635" s="4" t="str">
        <f t="shared" si="2"/>
        <v>Neto: 15,50 € (a partir de 12 uds.)</v>
      </c>
      <c r="I635" s="4" t="str">
        <f t="shared" si="3"/>
        <v>Neto G.C.: 14,00 € (a partir de 12 uds.)</v>
      </c>
      <c r="J635" s="4">
        <f t="shared" si="4"/>
        <v>16.272</v>
      </c>
      <c r="K635" s="4">
        <f t="shared" si="5"/>
        <v>16.95</v>
      </c>
      <c r="L635" s="4">
        <f t="shared" si="6"/>
        <v>16.272</v>
      </c>
    </row>
    <row r="636">
      <c r="A636" s="1" t="s">
        <v>974</v>
      </c>
      <c r="B636" s="1" t="s">
        <v>975</v>
      </c>
      <c r="C636" s="3">
        <v>27.5</v>
      </c>
      <c r="D636" s="5"/>
      <c r="E636" s="5"/>
      <c r="F636" s="5"/>
      <c r="G636" s="4">
        <f t="shared" si="1"/>
        <v>13.75</v>
      </c>
      <c r="H636" s="4" t="str">
        <f t="shared" si="2"/>
        <v>Sin precio neto</v>
      </c>
      <c r="I636" s="4" t="str">
        <f t="shared" si="3"/>
        <v>Sin precio neto G.C.</v>
      </c>
      <c r="J636" s="4">
        <f t="shared" si="4"/>
        <v>13.2</v>
      </c>
      <c r="K636" s="4">
        <f t="shared" si="5"/>
        <v>13.75</v>
      </c>
      <c r="L636" s="4">
        <f t="shared" si="6"/>
        <v>13.2</v>
      </c>
    </row>
    <row r="637">
      <c r="A637" s="3">
        <v>587.0</v>
      </c>
      <c r="B637" s="1" t="s">
        <v>976</v>
      </c>
      <c r="C637" s="3">
        <v>33.9</v>
      </c>
      <c r="D637" s="3">
        <v>15.5</v>
      </c>
      <c r="E637" s="3">
        <v>14.0</v>
      </c>
      <c r="F637" s="3">
        <v>12.0</v>
      </c>
      <c r="G637" s="4">
        <f t="shared" si="1"/>
        <v>16.95</v>
      </c>
      <c r="H637" s="4" t="str">
        <f t="shared" si="2"/>
        <v>Neto: 15,50 € (a partir de 12 uds.)</v>
      </c>
      <c r="I637" s="4" t="str">
        <f t="shared" si="3"/>
        <v>Neto G.C.: 14,00 € (a partir de 12 uds.)</v>
      </c>
      <c r="J637" s="4">
        <f t="shared" si="4"/>
        <v>16.272</v>
      </c>
      <c r="K637" s="4">
        <f t="shared" si="5"/>
        <v>16.95</v>
      </c>
      <c r="L637" s="4">
        <f t="shared" si="6"/>
        <v>16.272</v>
      </c>
    </row>
    <row r="638">
      <c r="A638" s="1" t="s">
        <v>977</v>
      </c>
      <c r="B638" s="1" t="s">
        <v>978</v>
      </c>
      <c r="C638" s="3">
        <v>27.5</v>
      </c>
      <c r="D638" s="5"/>
      <c r="E638" s="5"/>
      <c r="F638" s="5"/>
      <c r="G638" s="4">
        <f t="shared" si="1"/>
        <v>13.75</v>
      </c>
      <c r="H638" s="4" t="str">
        <f t="shared" si="2"/>
        <v>Sin precio neto</v>
      </c>
      <c r="I638" s="4" t="str">
        <f t="shared" si="3"/>
        <v>Sin precio neto G.C.</v>
      </c>
      <c r="J638" s="4">
        <f t="shared" si="4"/>
        <v>13.2</v>
      </c>
      <c r="K638" s="4">
        <f t="shared" si="5"/>
        <v>13.75</v>
      </c>
      <c r="L638" s="4">
        <f t="shared" si="6"/>
        <v>13.2</v>
      </c>
    </row>
    <row r="639">
      <c r="A639" s="3">
        <v>588.0</v>
      </c>
      <c r="B639" s="1" t="s">
        <v>979</v>
      </c>
      <c r="C639" s="3">
        <v>27.5</v>
      </c>
      <c r="D639" s="3">
        <v>12.5</v>
      </c>
      <c r="E639" s="3">
        <v>12.0</v>
      </c>
      <c r="F639" s="3">
        <v>8.0</v>
      </c>
      <c r="G639" s="4">
        <f t="shared" si="1"/>
        <v>13.75</v>
      </c>
      <c r="H639" s="4" t="str">
        <f t="shared" si="2"/>
        <v>Neto: 12,50 € (a partir de 8 uds.)</v>
      </c>
      <c r="I639" s="4" t="str">
        <f t="shared" si="3"/>
        <v>Neto G.C.: 12,00 € (a partir de 8 uds.)</v>
      </c>
      <c r="J639" s="4">
        <f t="shared" si="4"/>
        <v>13.2</v>
      </c>
      <c r="K639" s="4">
        <f t="shared" si="5"/>
        <v>13.75</v>
      </c>
      <c r="L639" s="4">
        <f t="shared" si="6"/>
        <v>13.2</v>
      </c>
    </row>
    <row r="640">
      <c r="A640" s="1" t="s">
        <v>980</v>
      </c>
      <c r="B640" s="1" t="s">
        <v>981</v>
      </c>
      <c r="C640" s="3">
        <v>27.5</v>
      </c>
      <c r="D640" s="3">
        <v>12.5</v>
      </c>
      <c r="E640" s="3">
        <v>12.0</v>
      </c>
      <c r="F640" s="3">
        <v>8.0</v>
      </c>
      <c r="G640" s="4">
        <f t="shared" si="1"/>
        <v>13.75</v>
      </c>
      <c r="H640" s="4" t="str">
        <f t="shared" si="2"/>
        <v>Neto: 12,50 € (a partir de 8 uds.)</v>
      </c>
      <c r="I640" s="4" t="str">
        <f t="shared" si="3"/>
        <v>Neto G.C.: 12,00 € (a partir de 8 uds.)</v>
      </c>
      <c r="J640" s="4">
        <f t="shared" si="4"/>
        <v>13.2</v>
      </c>
      <c r="K640" s="4">
        <f t="shared" si="5"/>
        <v>13.75</v>
      </c>
      <c r="L640" s="4">
        <f t="shared" si="6"/>
        <v>13.2</v>
      </c>
    </row>
    <row r="641">
      <c r="A641" s="1" t="s">
        <v>982</v>
      </c>
      <c r="B641" s="1" t="s">
        <v>983</v>
      </c>
      <c r="C641" s="3">
        <v>27.5</v>
      </c>
      <c r="D641" s="3">
        <v>12.5</v>
      </c>
      <c r="E641" s="3">
        <v>12.0</v>
      </c>
      <c r="F641" s="3">
        <v>8.0</v>
      </c>
      <c r="G641" s="4">
        <f t="shared" si="1"/>
        <v>13.75</v>
      </c>
      <c r="H641" s="4" t="str">
        <f t="shared" si="2"/>
        <v>Neto: 12,50 € (a partir de 8 uds.)</v>
      </c>
      <c r="I641" s="4" t="str">
        <f t="shared" si="3"/>
        <v>Neto G.C.: 12,00 € (a partir de 8 uds.)</v>
      </c>
      <c r="J641" s="4">
        <f t="shared" si="4"/>
        <v>13.2</v>
      </c>
      <c r="K641" s="4">
        <f t="shared" si="5"/>
        <v>13.75</v>
      </c>
      <c r="L641" s="4">
        <f t="shared" si="6"/>
        <v>13.2</v>
      </c>
    </row>
    <row r="642">
      <c r="A642" s="1" t="s">
        <v>984</v>
      </c>
      <c r="B642" s="1" t="s">
        <v>985</v>
      </c>
      <c r="C642" s="3">
        <v>27.5</v>
      </c>
      <c r="D642" s="3">
        <v>12.5</v>
      </c>
      <c r="E642" s="3">
        <v>12.0</v>
      </c>
      <c r="F642" s="3">
        <v>8.0</v>
      </c>
      <c r="G642" s="4">
        <f t="shared" si="1"/>
        <v>13.75</v>
      </c>
      <c r="H642" s="4" t="str">
        <f t="shared" si="2"/>
        <v>Neto: 12,50 € (a partir de 8 uds.)</v>
      </c>
      <c r="I642" s="4" t="str">
        <f t="shared" si="3"/>
        <v>Neto G.C.: 12,00 € (a partir de 8 uds.)</v>
      </c>
      <c r="J642" s="4">
        <f t="shared" si="4"/>
        <v>13.2</v>
      </c>
      <c r="K642" s="4">
        <f t="shared" si="5"/>
        <v>13.75</v>
      </c>
      <c r="L642" s="4">
        <f t="shared" si="6"/>
        <v>13.2</v>
      </c>
    </row>
    <row r="643">
      <c r="A643" s="1" t="s">
        <v>986</v>
      </c>
      <c r="B643" s="1" t="s">
        <v>987</v>
      </c>
      <c r="C643" s="3">
        <v>27.5</v>
      </c>
      <c r="D643" s="3">
        <v>12.5</v>
      </c>
      <c r="E643" s="3">
        <v>12.0</v>
      </c>
      <c r="F643" s="3">
        <v>8.0</v>
      </c>
      <c r="G643" s="4">
        <f t="shared" si="1"/>
        <v>13.75</v>
      </c>
      <c r="H643" s="4" t="str">
        <f t="shared" si="2"/>
        <v>Neto: 12,50 € (a partir de 8 uds.)</v>
      </c>
      <c r="I643" s="4" t="str">
        <f t="shared" si="3"/>
        <v>Neto G.C.: 12,00 € (a partir de 8 uds.)</v>
      </c>
      <c r="J643" s="4">
        <f t="shared" si="4"/>
        <v>13.2</v>
      </c>
      <c r="K643" s="4">
        <f t="shared" si="5"/>
        <v>13.75</v>
      </c>
      <c r="L643" s="4">
        <f t="shared" si="6"/>
        <v>13.2</v>
      </c>
    </row>
    <row r="644">
      <c r="A644" s="1" t="s">
        <v>988</v>
      </c>
      <c r="B644" s="1" t="s">
        <v>989</v>
      </c>
      <c r="C644" s="3">
        <v>27.5</v>
      </c>
      <c r="D644" s="3">
        <v>12.5</v>
      </c>
      <c r="E644" s="3">
        <v>12.0</v>
      </c>
      <c r="F644" s="3">
        <v>8.0</v>
      </c>
      <c r="G644" s="4">
        <f t="shared" si="1"/>
        <v>13.75</v>
      </c>
      <c r="H644" s="4" t="str">
        <f t="shared" si="2"/>
        <v>Neto: 12,50 € (a partir de 8 uds.)</v>
      </c>
      <c r="I644" s="4" t="str">
        <f t="shared" si="3"/>
        <v>Neto G.C.: 12,00 € (a partir de 8 uds.)</v>
      </c>
      <c r="J644" s="4">
        <f t="shared" si="4"/>
        <v>13.2</v>
      </c>
      <c r="K644" s="4">
        <f t="shared" si="5"/>
        <v>13.75</v>
      </c>
      <c r="L644" s="4">
        <f t="shared" si="6"/>
        <v>13.2</v>
      </c>
    </row>
    <row r="645">
      <c r="A645" s="1" t="s">
        <v>990</v>
      </c>
      <c r="B645" s="1" t="s">
        <v>991</v>
      </c>
      <c r="C645" s="3">
        <v>27.5</v>
      </c>
      <c r="D645" s="3">
        <v>12.0</v>
      </c>
      <c r="E645" s="3">
        <v>12.0</v>
      </c>
      <c r="F645" s="3">
        <v>8.0</v>
      </c>
      <c r="G645" s="4">
        <f t="shared" si="1"/>
        <v>13.75</v>
      </c>
      <c r="H645" s="4" t="str">
        <f t="shared" si="2"/>
        <v>Neto: 12,00 € (a partir de 8 uds.)</v>
      </c>
      <c r="I645" s="4" t="str">
        <f t="shared" si="3"/>
        <v>Neto G.C.: 12,00 € (a partir de 8 uds.)</v>
      </c>
      <c r="J645" s="4">
        <f t="shared" si="4"/>
        <v>13.2</v>
      </c>
      <c r="K645" s="4">
        <f t="shared" si="5"/>
        <v>13.75</v>
      </c>
      <c r="L645" s="4">
        <f t="shared" si="6"/>
        <v>13.2</v>
      </c>
    </row>
    <row r="646">
      <c r="A646" s="3">
        <v>589.0</v>
      </c>
      <c r="B646" s="1" t="s">
        <v>992</v>
      </c>
      <c r="C646" s="3">
        <v>16.5</v>
      </c>
      <c r="D646" s="5"/>
      <c r="E646" s="5"/>
      <c r="F646" s="5"/>
      <c r="G646" s="4">
        <f t="shared" si="1"/>
        <v>8.25</v>
      </c>
      <c r="H646" s="4" t="str">
        <f t="shared" si="2"/>
        <v>Sin precio neto</v>
      </c>
      <c r="I646" s="4" t="str">
        <f t="shared" si="3"/>
        <v>Sin precio neto G.C.</v>
      </c>
      <c r="J646" s="4">
        <f t="shared" si="4"/>
        <v>7.92</v>
      </c>
      <c r="K646" s="4">
        <f t="shared" si="5"/>
        <v>8.25</v>
      </c>
      <c r="L646" s="4">
        <f t="shared" si="6"/>
        <v>7.92</v>
      </c>
    </row>
    <row r="647">
      <c r="A647" s="3">
        <v>590.0</v>
      </c>
      <c r="B647" s="1" t="s">
        <v>993</v>
      </c>
      <c r="C647" s="3">
        <v>9.4</v>
      </c>
      <c r="D647" s="5"/>
      <c r="E647" s="5"/>
      <c r="F647" s="5"/>
      <c r="G647" s="4">
        <f t="shared" si="1"/>
        <v>4.7</v>
      </c>
      <c r="H647" s="4" t="str">
        <f t="shared" si="2"/>
        <v>Sin precio neto</v>
      </c>
      <c r="I647" s="4" t="str">
        <f t="shared" si="3"/>
        <v>Sin precio neto G.C.</v>
      </c>
      <c r="J647" s="4">
        <f t="shared" si="4"/>
        <v>4.512</v>
      </c>
      <c r="K647" s="4">
        <f t="shared" si="5"/>
        <v>4.7</v>
      </c>
      <c r="L647" s="4">
        <f t="shared" si="6"/>
        <v>4.512</v>
      </c>
    </row>
    <row r="648">
      <c r="A648" s="3">
        <v>591.0</v>
      </c>
      <c r="B648" s="1" t="s">
        <v>994</v>
      </c>
      <c r="C648" s="3">
        <v>6.2</v>
      </c>
      <c r="D648" s="5"/>
      <c r="E648" s="5"/>
      <c r="F648" s="5"/>
      <c r="G648" s="4">
        <f t="shared" si="1"/>
        <v>3.1</v>
      </c>
      <c r="H648" s="4" t="str">
        <f t="shared" si="2"/>
        <v>Sin precio neto</v>
      </c>
      <c r="I648" s="4" t="str">
        <f t="shared" si="3"/>
        <v>Sin precio neto G.C.</v>
      </c>
      <c r="J648" s="4">
        <f t="shared" si="4"/>
        <v>2.976</v>
      </c>
      <c r="K648" s="4">
        <f t="shared" si="5"/>
        <v>3.1</v>
      </c>
      <c r="L648" s="4">
        <f t="shared" si="6"/>
        <v>2.976</v>
      </c>
    </row>
    <row r="649">
      <c r="A649" s="1" t="s">
        <v>995</v>
      </c>
      <c r="B649" s="1" t="s">
        <v>996</v>
      </c>
      <c r="C649" s="3">
        <v>8.8</v>
      </c>
      <c r="D649" s="5"/>
      <c r="E649" s="5"/>
      <c r="F649" s="5"/>
      <c r="G649" s="4">
        <f t="shared" si="1"/>
        <v>4.4</v>
      </c>
      <c r="H649" s="4" t="str">
        <f t="shared" si="2"/>
        <v>Sin precio neto</v>
      </c>
      <c r="I649" s="4" t="str">
        <f t="shared" si="3"/>
        <v>Sin precio neto G.C.</v>
      </c>
      <c r="J649" s="4">
        <f t="shared" si="4"/>
        <v>4.224</v>
      </c>
      <c r="K649" s="4">
        <f t="shared" si="5"/>
        <v>4.4</v>
      </c>
      <c r="L649" s="4">
        <f t="shared" si="6"/>
        <v>4.224</v>
      </c>
    </row>
    <row r="650">
      <c r="A650" s="1" t="s">
        <v>997</v>
      </c>
      <c r="B650" s="1" t="s">
        <v>998</v>
      </c>
      <c r="C650" s="3">
        <v>6.2</v>
      </c>
      <c r="D650" s="5"/>
      <c r="E650" s="5"/>
      <c r="F650" s="5"/>
      <c r="G650" s="4">
        <f t="shared" si="1"/>
        <v>3.1</v>
      </c>
      <c r="H650" s="4" t="str">
        <f t="shared" si="2"/>
        <v>Sin precio neto</v>
      </c>
      <c r="I650" s="4" t="str">
        <f t="shared" si="3"/>
        <v>Sin precio neto G.C.</v>
      </c>
      <c r="J650" s="4">
        <f t="shared" si="4"/>
        <v>2.976</v>
      </c>
      <c r="K650" s="4">
        <f t="shared" si="5"/>
        <v>3.1</v>
      </c>
      <c r="L650" s="4">
        <f t="shared" si="6"/>
        <v>2.976</v>
      </c>
    </row>
    <row r="651">
      <c r="A651" s="1" t="s">
        <v>999</v>
      </c>
      <c r="B651" s="1" t="s">
        <v>1000</v>
      </c>
      <c r="C651" s="3">
        <v>8.8</v>
      </c>
      <c r="D651" s="5"/>
      <c r="E651" s="5"/>
      <c r="F651" s="5"/>
      <c r="G651" s="4">
        <f t="shared" si="1"/>
        <v>4.4</v>
      </c>
      <c r="H651" s="4" t="str">
        <f t="shared" si="2"/>
        <v>Sin precio neto</v>
      </c>
      <c r="I651" s="4" t="str">
        <f t="shared" si="3"/>
        <v>Sin precio neto G.C.</v>
      </c>
      <c r="J651" s="4">
        <f t="shared" si="4"/>
        <v>4.224</v>
      </c>
      <c r="K651" s="4">
        <f t="shared" si="5"/>
        <v>4.4</v>
      </c>
      <c r="L651" s="4">
        <f t="shared" si="6"/>
        <v>4.224</v>
      </c>
    </row>
    <row r="652">
      <c r="A652" s="1" t="s">
        <v>1001</v>
      </c>
      <c r="B652" s="1" t="s">
        <v>1002</v>
      </c>
      <c r="C652" s="3">
        <v>39.9</v>
      </c>
      <c r="D652" s="5"/>
      <c r="E652" s="5"/>
      <c r="F652" s="5"/>
      <c r="G652" s="4">
        <f t="shared" si="1"/>
        <v>19.95</v>
      </c>
      <c r="H652" s="4" t="str">
        <f t="shared" si="2"/>
        <v>Sin precio neto</v>
      </c>
      <c r="I652" s="4" t="str">
        <f t="shared" si="3"/>
        <v>Sin precio neto G.C.</v>
      </c>
      <c r="J652" s="4">
        <f t="shared" si="4"/>
        <v>19.152</v>
      </c>
      <c r="K652" s="4">
        <f t="shared" si="5"/>
        <v>19.95</v>
      </c>
      <c r="L652" s="4">
        <f t="shared" si="6"/>
        <v>19.152</v>
      </c>
    </row>
    <row r="653">
      <c r="A653" s="1" t="s">
        <v>1003</v>
      </c>
      <c r="B653" s="1" t="s">
        <v>1004</v>
      </c>
      <c r="C653" s="3">
        <v>39.9</v>
      </c>
      <c r="D653" s="5"/>
      <c r="E653" s="5"/>
      <c r="F653" s="5"/>
      <c r="G653" s="4">
        <f t="shared" si="1"/>
        <v>19.95</v>
      </c>
      <c r="H653" s="4" t="str">
        <f t="shared" si="2"/>
        <v>Sin precio neto</v>
      </c>
      <c r="I653" s="4" t="str">
        <f t="shared" si="3"/>
        <v>Sin precio neto G.C.</v>
      </c>
      <c r="J653" s="4">
        <f t="shared" si="4"/>
        <v>19.152</v>
      </c>
      <c r="K653" s="4">
        <f t="shared" si="5"/>
        <v>19.95</v>
      </c>
      <c r="L653" s="4">
        <f t="shared" si="6"/>
        <v>19.152</v>
      </c>
    </row>
    <row r="654">
      <c r="A654" s="1" t="s">
        <v>1005</v>
      </c>
      <c r="B654" s="1" t="s">
        <v>1006</v>
      </c>
      <c r="C654" s="3">
        <v>39.9</v>
      </c>
      <c r="D654" s="5"/>
      <c r="E654" s="5"/>
      <c r="F654" s="5"/>
      <c r="G654" s="4">
        <f t="shared" si="1"/>
        <v>19.95</v>
      </c>
      <c r="H654" s="4" t="str">
        <f t="shared" si="2"/>
        <v>Sin precio neto</v>
      </c>
      <c r="I654" s="4" t="str">
        <f t="shared" si="3"/>
        <v>Sin precio neto G.C.</v>
      </c>
      <c r="J654" s="4">
        <f t="shared" si="4"/>
        <v>19.152</v>
      </c>
      <c r="K654" s="4">
        <f t="shared" si="5"/>
        <v>19.95</v>
      </c>
      <c r="L654" s="4">
        <f t="shared" si="6"/>
        <v>19.152</v>
      </c>
    </row>
    <row r="655">
      <c r="A655" s="3">
        <v>593.0</v>
      </c>
      <c r="B655" s="1" t="s">
        <v>1007</v>
      </c>
      <c r="C655" s="3">
        <v>49.7</v>
      </c>
      <c r="D655" s="5"/>
      <c r="E655" s="5"/>
      <c r="F655" s="5"/>
      <c r="G655" s="4">
        <f t="shared" si="1"/>
        <v>24.85</v>
      </c>
      <c r="H655" s="4" t="str">
        <f t="shared" si="2"/>
        <v>Sin precio neto</v>
      </c>
      <c r="I655" s="4" t="str">
        <f t="shared" si="3"/>
        <v>Sin precio neto G.C.</v>
      </c>
      <c r="J655" s="4">
        <f t="shared" si="4"/>
        <v>23.856</v>
      </c>
      <c r="K655" s="4">
        <f t="shared" si="5"/>
        <v>24.85</v>
      </c>
      <c r="L655" s="4">
        <f t="shared" si="6"/>
        <v>23.856</v>
      </c>
    </row>
    <row r="656">
      <c r="A656" s="3">
        <v>594.0</v>
      </c>
      <c r="B656" s="1" t="s">
        <v>1008</v>
      </c>
      <c r="C656" s="3">
        <v>36.5</v>
      </c>
      <c r="D656" s="5"/>
      <c r="E656" s="5"/>
      <c r="F656" s="5"/>
      <c r="G656" s="4">
        <f t="shared" si="1"/>
        <v>18.25</v>
      </c>
      <c r="H656" s="4" t="str">
        <f t="shared" si="2"/>
        <v>Sin precio neto</v>
      </c>
      <c r="I656" s="4" t="str">
        <f t="shared" si="3"/>
        <v>Sin precio neto G.C.</v>
      </c>
      <c r="J656" s="4">
        <f t="shared" si="4"/>
        <v>17.52</v>
      </c>
      <c r="K656" s="4">
        <f t="shared" si="5"/>
        <v>18.25</v>
      </c>
      <c r="L656" s="4">
        <f t="shared" si="6"/>
        <v>17.52</v>
      </c>
    </row>
    <row r="657">
      <c r="A657" s="3">
        <v>595.0</v>
      </c>
      <c r="B657" s="1" t="s">
        <v>1009</v>
      </c>
      <c r="C657" s="6">
        <v>1869.0</v>
      </c>
      <c r="D657" s="5"/>
      <c r="E657" s="5"/>
      <c r="F657" s="5"/>
      <c r="G657" s="4">
        <f t="shared" si="1"/>
        <v>934.5</v>
      </c>
      <c r="H657" s="4" t="str">
        <f t="shared" si="2"/>
        <v>Sin precio neto</v>
      </c>
      <c r="I657" s="4" t="str">
        <f t="shared" si="3"/>
        <v>Sin precio neto G.C.</v>
      </c>
      <c r="J657" s="4">
        <f t="shared" si="4"/>
        <v>897.12</v>
      </c>
      <c r="K657" s="4">
        <f t="shared" si="5"/>
        <v>934.5</v>
      </c>
      <c r="L657" s="4">
        <f t="shared" si="6"/>
        <v>897.12</v>
      </c>
    </row>
    <row r="658">
      <c r="A658" s="3">
        <v>596.0</v>
      </c>
      <c r="B658" s="1" t="s">
        <v>1010</v>
      </c>
      <c r="C658" s="3">
        <v>945.0</v>
      </c>
      <c r="D658" s="5"/>
      <c r="E658" s="5"/>
      <c r="F658" s="5"/>
      <c r="G658" s="4">
        <f t="shared" si="1"/>
        <v>472.5</v>
      </c>
      <c r="H658" s="4" t="str">
        <f t="shared" si="2"/>
        <v>Sin precio neto</v>
      </c>
      <c r="I658" s="4" t="str">
        <f t="shared" si="3"/>
        <v>Sin precio neto G.C.</v>
      </c>
      <c r="J658" s="4">
        <f t="shared" si="4"/>
        <v>453.6</v>
      </c>
      <c r="K658" s="4">
        <f t="shared" si="5"/>
        <v>472.5</v>
      </c>
      <c r="L658" s="4">
        <f t="shared" si="6"/>
        <v>453.6</v>
      </c>
    </row>
    <row r="659">
      <c r="A659" s="3">
        <v>597.0</v>
      </c>
      <c r="B659" s="1" t="s">
        <v>1011</v>
      </c>
      <c r="C659" s="3">
        <v>588.0</v>
      </c>
      <c r="D659" s="5"/>
      <c r="E659" s="5"/>
      <c r="F659" s="5"/>
      <c r="G659" s="4">
        <f t="shared" si="1"/>
        <v>294</v>
      </c>
      <c r="H659" s="4" t="str">
        <f t="shared" si="2"/>
        <v>Sin precio neto</v>
      </c>
      <c r="I659" s="4" t="str">
        <f t="shared" si="3"/>
        <v>Sin precio neto G.C.</v>
      </c>
      <c r="J659" s="4">
        <f t="shared" si="4"/>
        <v>282.24</v>
      </c>
      <c r="K659" s="4">
        <f t="shared" si="5"/>
        <v>294</v>
      </c>
      <c r="L659" s="4">
        <f t="shared" si="6"/>
        <v>282.24</v>
      </c>
    </row>
    <row r="660">
      <c r="A660" s="3">
        <v>598.0</v>
      </c>
      <c r="B660" s="1" t="s">
        <v>1012</v>
      </c>
      <c r="C660" s="3">
        <v>199.5</v>
      </c>
      <c r="D660" s="5"/>
      <c r="E660" s="5"/>
      <c r="F660" s="5"/>
      <c r="G660" s="4">
        <f t="shared" si="1"/>
        <v>99.75</v>
      </c>
      <c r="H660" s="4" t="str">
        <f t="shared" si="2"/>
        <v>Sin precio neto</v>
      </c>
      <c r="I660" s="4" t="str">
        <f t="shared" si="3"/>
        <v>Sin precio neto G.C.</v>
      </c>
      <c r="J660" s="4">
        <f t="shared" si="4"/>
        <v>95.76</v>
      </c>
      <c r="K660" s="4">
        <f t="shared" si="5"/>
        <v>99.75</v>
      </c>
      <c r="L660" s="4">
        <f t="shared" si="6"/>
        <v>95.76</v>
      </c>
    </row>
    <row r="661">
      <c r="A661" s="3">
        <v>600.0</v>
      </c>
      <c r="B661" s="1" t="s">
        <v>1013</v>
      </c>
      <c r="C661" s="3">
        <v>22.5</v>
      </c>
      <c r="D661" s="3">
        <v>8.5</v>
      </c>
      <c r="E661" s="3">
        <v>7.5</v>
      </c>
      <c r="F661" s="3">
        <v>1.0</v>
      </c>
      <c r="G661" s="4">
        <f t="shared" si="1"/>
        <v>11.25</v>
      </c>
      <c r="H661" s="4" t="str">
        <f t="shared" si="2"/>
        <v>Neto: 8,50 € (a partir de 1 uds.)</v>
      </c>
      <c r="I661" s="4" t="str">
        <f t="shared" si="3"/>
        <v>Neto G.C.: 7,50 € (a partir de 1 uds.)</v>
      </c>
      <c r="J661" s="4">
        <f t="shared" si="4"/>
        <v>10.8</v>
      </c>
      <c r="K661" s="4">
        <f t="shared" si="5"/>
        <v>11.25</v>
      </c>
      <c r="L661" s="4">
        <f t="shared" si="6"/>
        <v>10.8</v>
      </c>
    </row>
    <row r="662">
      <c r="A662" s="1" t="s">
        <v>1014</v>
      </c>
      <c r="B662" s="1" t="s">
        <v>1015</v>
      </c>
      <c r="C662" s="3">
        <v>22.5</v>
      </c>
      <c r="D662" s="3">
        <v>8.5</v>
      </c>
      <c r="E662" s="3">
        <v>7.5</v>
      </c>
      <c r="F662" s="3">
        <v>1.0</v>
      </c>
      <c r="G662" s="4">
        <f t="shared" si="1"/>
        <v>11.25</v>
      </c>
      <c r="H662" s="4" t="str">
        <f t="shared" si="2"/>
        <v>Neto: 8,50 € (a partir de 1 uds.)</v>
      </c>
      <c r="I662" s="4" t="str">
        <f t="shared" si="3"/>
        <v>Neto G.C.: 7,50 € (a partir de 1 uds.)</v>
      </c>
      <c r="J662" s="4">
        <f t="shared" si="4"/>
        <v>10.8</v>
      </c>
      <c r="K662" s="4">
        <f t="shared" si="5"/>
        <v>11.25</v>
      </c>
      <c r="L662" s="4">
        <f t="shared" si="6"/>
        <v>10.8</v>
      </c>
    </row>
    <row r="663">
      <c r="A663" s="3">
        <v>601.0</v>
      </c>
      <c r="B663" s="1" t="s">
        <v>1016</v>
      </c>
      <c r="C663" s="3">
        <v>22.5</v>
      </c>
      <c r="D663" s="3">
        <v>8.5</v>
      </c>
      <c r="E663" s="3">
        <v>7.5</v>
      </c>
      <c r="F663" s="3">
        <v>1.0</v>
      </c>
      <c r="G663" s="4">
        <f t="shared" si="1"/>
        <v>11.25</v>
      </c>
      <c r="H663" s="4" t="str">
        <f t="shared" si="2"/>
        <v>Neto: 8,50 € (a partir de 1 uds.)</v>
      </c>
      <c r="I663" s="4" t="str">
        <f t="shared" si="3"/>
        <v>Neto G.C.: 7,50 € (a partir de 1 uds.)</v>
      </c>
      <c r="J663" s="4">
        <f t="shared" si="4"/>
        <v>10.8</v>
      </c>
      <c r="K663" s="4">
        <f t="shared" si="5"/>
        <v>11.25</v>
      </c>
      <c r="L663" s="4">
        <f t="shared" si="6"/>
        <v>10.8</v>
      </c>
    </row>
    <row r="664">
      <c r="A664" s="1" t="s">
        <v>1017</v>
      </c>
      <c r="B664" s="1" t="s">
        <v>1018</v>
      </c>
      <c r="C664" s="3">
        <v>22.5</v>
      </c>
      <c r="D664" s="3">
        <v>8.5</v>
      </c>
      <c r="E664" s="3">
        <v>7.5</v>
      </c>
      <c r="F664" s="3">
        <v>1.0</v>
      </c>
      <c r="G664" s="4">
        <f t="shared" si="1"/>
        <v>11.25</v>
      </c>
      <c r="H664" s="4" t="str">
        <f t="shared" si="2"/>
        <v>Neto: 8,50 € (a partir de 1 uds.)</v>
      </c>
      <c r="I664" s="4" t="str">
        <f t="shared" si="3"/>
        <v>Neto G.C.: 7,50 € (a partir de 1 uds.)</v>
      </c>
      <c r="J664" s="4">
        <f t="shared" si="4"/>
        <v>10.8</v>
      </c>
      <c r="K664" s="4">
        <f t="shared" si="5"/>
        <v>11.25</v>
      </c>
      <c r="L664" s="4">
        <f t="shared" si="6"/>
        <v>10.8</v>
      </c>
    </row>
    <row r="665">
      <c r="A665" s="3">
        <v>602.0</v>
      </c>
      <c r="B665" s="1" t="s">
        <v>1019</v>
      </c>
      <c r="C665" s="3">
        <v>22.5</v>
      </c>
      <c r="D665" s="3">
        <v>8.5</v>
      </c>
      <c r="E665" s="3">
        <v>7.5</v>
      </c>
      <c r="F665" s="3">
        <v>1.0</v>
      </c>
      <c r="G665" s="4">
        <f t="shared" si="1"/>
        <v>11.25</v>
      </c>
      <c r="H665" s="4" t="str">
        <f t="shared" si="2"/>
        <v>Neto: 8,50 € (a partir de 1 uds.)</v>
      </c>
      <c r="I665" s="4" t="str">
        <f t="shared" si="3"/>
        <v>Neto G.C.: 7,50 € (a partir de 1 uds.)</v>
      </c>
      <c r="J665" s="4">
        <f t="shared" si="4"/>
        <v>10.8</v>
      </c>
      <c r="K665" s="4">
        <f t="shared" si="5"/>
        <v>11.25</v>
      </c>
      <c r="L665" s="4">
        <f t="shared" si="6"/>
        <v>10.8</v>
      </c>
    </row>
    <row r="666">
      <c r="A666" s="1" t="s">
        <v>1020</v>
      </c>
      <c r="B666" s="1" t="s">
        <v>1021</v>
      </c>
      <c r="C666" s="3">
        <v>22.5</v>
      </c>
      <c r="D666" s="3">
        <v>8.5</v>
      </c>
      <c r="E666" s="3">
        <v>7.5</v>
      </c>
      <c r="F666" s="3">
        <v>1.0</v>
      </c>
      <c r="G666" s="4">
        <f t="shared" si="1"/>
        <v>11.25</v>
      </c>
      <c r="H666" s="4" t="str">
        <f t="shared" si="2"/>
        <v>Neto: 8,50 € (a partir de 1 uds.)</v>
      </c>
      <c r="I666" s="4" t="str">
        <f t="shared" si="3"/>
        <v>Neto G.C.: 7,50 € (a partir de 1 uds.)</v>
      </c>
      <c r="J666" s="4">
        <f t="shared" si="4"/>
        <v>10.8</v>
      </c>
      <c r="K666" s="4">
        <f t="shared" si="5"/>
        <v>11.25</v>
      </c>
      <c r="L666" s="4">
        <f t="shared" si="6"/>
        <v>10.8</v>
      </c>
    </row>
    <row r="667">
      <c r="A667" s="3">
        <v>603.0</v>
      </c>
      <c r="B667" s="1" t="s">
        <v>1022</v>
      </c>
      <c r="C667" s="3">
        <v>22.5</v>
      </c>
      <c r="D667" s="3">
        <v>8.5</v>
      </c>
      <c r="E667" s="3">
        <v>7.5</v>
      </c>
      <c r="F667" s="3">
        <v>1.0</v>
      </c>
      <c r="G667" s="4">
        <f t="shared" si="1"/>
        <v>11.25</v>
      </c>
      <c r="H667" s="4" t="str">
        <f t="shared" si="2"/>
        <v>Neto: 8,50 € (a partir de 1 uds.)</v>
      </c>
      <c r="I667" s="4" t="str">
        <f t="shared" si="3"/>
        <v>Neto G.C.: 7,50 € (a partir de 1 uds.)</v>
      </c>
      <c r="J667" s="4">
        <f t="shared" si="4"/>
        <v>10.8</v>
      </c>
      <c r="K667" s="4">
        <f t="shared" si="5"/>
        <v>11.25</v>
      </c>
      <c r="L667" s="4">
        <f t="shared" si="6"/>
        <v>10.8</v>
      </c>
    </row>
    <row r="668">
      <c r="A668" s="1" t="s">
        <v>1023</v>
      </c>
      <c r="B668" s="1" t="s">
        <v>1024</v>
      </c>
      <c r="C668" s="3">
        <v>22.5</v>
      </c>
      <c r="D668" s="3">
        <v>8.5</v>
      </c>
      <c r="E668" s="3">
        <v>7.5</v>
      </c>
      <c r="F668" s="3">
        <v>1.0</v>
      </c>
      <c r="G668" s="4">
        <f t="shared" si="1"/>
        <v>11.25</v>
      </c>
      <c r="H668" s="4" t="str">
        <f t="shared" si="2"/>
        <v>Neto: 8,50 € (a partir de 1 uds.)</v>
      </c>
      <c r="I668" s="4" t="str">
        <f t="shared" si="3"/>
        <v>Neto G.C.: 7,50 € (a partir de 1 uds.)</v>
      </c>
      <c r="J668" s="4">
        <f t="shared" si="4"/>
        <v>10.8</v>
      </c>
      <c r="K668" s="4">
        <f t="shared" si="5"/>
        <v>11.25</v>
      </c>
      <c r="L668" s="4">
        <f t="shared" si="6"/>
        <v>10.8</v>
      </c>
    </row>
    <row r="669">
      <c r="A669" s="3">
        <v>604.0</v>
      </c>
      <c r="B669" s="1" t="s">
        <v>1025</v>
      </c>
      <c r="C669" s="3">
        <v>22.5</v>
      </c>
      <c r="D669" s="3">
        <v>8.5</v>
      </c>
      <c r="E669" s="3">
        <v>7.5</v>
      </c>
      <c r="F669" s="3">
        <v>1.0</v>
      </c>
      <c r="G669" s="4">
        <f t="shared" si="1"/>
        <v>11.25</v>
      </c>
      <c r="H669" s="4" t="str">
        <f t="shared" si="2"/>
        <v>Neto: 8,50 € (a partir de 1 uds.)</v>
      </c>
      <c r="I669" s="4" t="str">
        <f t="shared" si="3"/>
        <v>Neto G.C.: 7,50 € (a partir de 1 uds.)</v>
      </c>
      <c r="J669" s="4">
        <f t="shared" si="4"/>
        <v>10.8</v>
      </c>
      <c r="K669" s="4">
        <f t="shared" si="5"/>
        <v>11.25</v>
      </c>
      <c r="L669" s="4">
        <f t="shared" si="6"/>
        <v>10.8</v>
      </c>
    </row>
    <row r="670">
      <c r="A670" s="1" t="s">
        <v>1026</v>
      </c>
      <c r="B670" s="1" t="s">
        <v>1027</v>
      </c>
      <c r="C670" s="3">
        <v>22.5</v>
      </c>
      <c r="D670" s="3">
        <v>8.5</v>
      </c>
      <c r="E670" s="3">
        <v>7.5</v>
      </c>
      <c r="F670" s="3">
        <v>1.0</v>
      </c>
      <c r="G670" s="4">
        <f t="shared" si="1"/>
        <v>11.25</v>
      </c>
      <c r="H670" s="4" t="str">
        <f t="shared" si="2"/>
        <v>Neto: 8,50 € (a partir de 1 uds.)</v>
      </c>
      <c r="I670" s="4" t="str">
        <f t="shared" si="3"/>
        <v>Neto G.C.: 7,50 € (a partir de 1 uds.)</v>
      </c>
      <c r="J670" s="4">
        <f t="shared" si="4"/>
        <v>10.8</v>
      </c>
      <c r="K670" s="4">
        <f t="shared" si="5"/>
        <v>11.25</v>
      </c>
      <c r="L670" s="4">
        <f t="shared" si="6"/>
        <v>10.8</v>
      </c>
    </row>
    <row r="671">
      <c r="A671" s="3">
        <v>605.0</v>
      </c>
      <c r="B671" s="1" t="s">
        <v>1028</v>
      </c>
      <c r="C671" s="3">
        <v>22.5</v>
      </c>
      <c r="D671" s="3">
        <v>8.5</v>
      </c>
      <c r="E671" s="3">
        <v>7.5</v>
      </c>
      <c r="F671" s="3">
        <v>1.0</v>
      </c>
      <c r="G671" s="4">
        <f t="shared" si="1"/>
        <v>11.25</v>
      </c>
      <c r="H671" s="4" t="str">
        <f t="shared" si="2"/>
        <v>Neto: 8,50 € (a partir de 1 uds.)</v>
      </c>
      <c r="I671" s="4" t="str">
        <f t="shared" si="3"/>
        <v>Neto G.C.: 7,50 € (a partir de 1 uds.)</v>
      </c>
      <c r="J671" s="4">
        <f t="shared" si="4"/>
        <v>10.8</v>
      </c>
      <c r="K671" s="4">
        <f t="shared" si="5"/>
        <v>11.25</v>
      </c>
      <c r="L671" s="4">
        <f t="shared" si="6"/>
        <v>10.8</v>
      </c>
    </row>
    <row r="672">
      <c r="A672" s="1" t="s">
        <v>1029</v>
      </c>
      <c r="B672" s="1" t="s">
        <v>1030</v>
      </c>
      <c r="C672" s="3">
        <v>22.5</v>
      </c>
      <c r="D672" s="3">
        <v>8.5</v>
      </c>
      <c r="E672" s="3">
        <v>7.5</v>
      </c>
      <c r="F672" s="3">
        <v>1.0</v>
      </c>
      <c r="G672" s="4">
        <f t="shared" si="1"/>
        <v>11.25</v>
      </c>
      <c r="H672" s="4" t="str">
        <f t="shared" si="2"/>
        <v>Neto: 8,50 € (a partir de 1 uds.)</v>
      </c>
      <c r="I672" s="4" t="str">
        <f t="shared" si="3"/>
        <v>Neto G.C.: 7,50 € (a partir de 1 uds.)</v>
      </c>
      <c r="J672" s="4">
        <f t="shared" si="4"/>
        <v>10.8</v>
      </c>
      <c r="K672" s="4">
        <f t="shared" si="5"/>
        <v>11.25</v>
      </c>
      <c r="L672" s="4">
        <f t="shared" si="6"/>
        <v>10.8</v>
      </c>
    </row>
    <row r="673">
      <c r="A673" s="3">
        <v>606.0</v>
      </c>
      <c r="B673" s="1" t="s">
        <v>1031</v>
      </c>
      <c r="C673" s="3">
        <v>22.5</v>
      </c>
      <c r="D673" s="3">
        <v>8.5</v>
      </c>
      <c r="E673" s="3">
        <v>7.5</v>
      </c>
      <c r="F673" s="3">
        <v>1.0</v>
      </c>
      <c r="G673" s="4">
        <f t="shared" si="1"/>
        <v>11.25</v>
      </c>
      <c r="H673" s="4" t="str">
        <f t="shared" si="2"/>
        <v>Neto: 8,50 € (a partir de 1 uds.)</v>
      </c>
      <c r="I673" s="4" t="str">
        <f t="shared" si="3"/>
        <v>Neto G.C.: 7,50 € (a partir de 1 uds.)</v>
      </c>
      <c r="J673" s="4">
        <f t="shared" si="4"/>
        <v>10.8</v>
      </c>
      <c r="K673" s="4">
        <f t="shared" si="5"/>
        <v>11.25</v>
      </c>
      <c r="L673" s="4">
        <f t="shared" si="6"/>
        <v>10.8</v>
      </c>
    </row>
    <row r="674">
      <c r="A674" s="1" t="s">
        <v>1032</v>
      </c>
      <c r="B674" s="1" t="s">
        <v>1033</v>
      </c>
      <c r="C674" s="3">
        <v>22.5</v>
      </c>
      <c r="D674" s="3">
        <v>8.5</v>
      </c>
      <c r="E674" s="3">
        <v>7.5</v>
      </c>
      <c r="F674" s="3">
        <v>1.0</v>
      </c>
      <c r="G674" s="4">
        <f t="shared" si="1"/>
        <v>11.25</v>
      </c>
      <c r="H674" s="4" t="str">
        <f t="shared" si="2"/>
        <v>Neto: 8,50 € (a partir de 1 uds.)</v>
      </c>
      <c r="I674" s="4" t="str">
        <f t="shared" si="3"/>
        <v>Neto G.C.: 7,50 € (a partir de 1 uds.)</v>
      </c>
      <c r="J674" s="4">
        <f t="shared" si="4"/>
        <v>10.8</v>
      </c>
      <c r="K674" s="4">
        <f t="shared" si="5"/>
        <v>11.25</v>
      </c>
      <c r="L674" s="4">
        <f t="shared" si="6"/>
        <v>10.8</v>
      </c>
    </row>
    <row r="675">
      <c r="A675" s="3">
        <v>607.0</v>
      </c>
      <c r="B675" s="1" t="s">
        <v>1034</v>
      </c>
      <c r="C675" s="3">
        <v>22.5</v>
      </c>
      <c r="D675" s="3">
        <v>8.5</v>
      </c>
      <c r="E675" s="3">
        <v>7.5</v>
      </c>
      <c r="F675" s="3">
        <v>1.0</v>
      </c>
      <c r="G675" s="4">
        <f t="shared" si="1"/>
        <v>11.25</v>
      </c>
      <c r="H675" s="4" t="str">
        <f t="shared" si="2"/>
        <v>Neto: 8,50 € (a partir de 1 uds.)</v>
      </c>
      <c r="I675" s="4" t="str">
        <f t="shared" si="3"/>
        <v>Neto G.C.: 7,50 € (a partir de 1 uds.)</v>
      </c>
      <c r="J675" s="4">
        <f t="shared" si="4"/>
        <v>10.8</v>
      </c>
      <c r="K675" s="4">
        <f t="shared" si="5"/>
        <v>11.25</v>
      </c>
      <c r="L675" s="4">
        <f t="shared" si="6"/>
        <v>10.8</v>
      </c>
    </row>
    <row r="676">
      <c r="A676" s="1" t="s">
        <v>1035</v>
      </c>
      <c r="B676" s="1" t="s">
        <v>1036</v>
      </c>
      <c r="C676" s="3">
        <v>22.5</v>
      </c>
      <c r="D676" s="3">
        <v>8.5</v>
      </c>
      <c r="E676" s="3">
        <v>7.5</v>
      </c>
      <c r="F676" s="3">
        <v>1.0</v>
      </c>
      <c r="G676" s="4">
        <f t="shared" si="1"/>
        <v>11.25</v>
      </c>
      <c r="H676" s="4" t="str">
        <f t="shared" si="2"/>
        <v>Neto: 8,50 € (a partir de 1 uds.)</v>
      </c>
      <c r="I676" s="4" t="str">
        <f t="shared" si="3"/>
        <v>Neto G.C.: 7,50 € (a partir de 1 uds.)</v>
      </c>
      <c r="J676" s="4">
        <f t="shared" si="4"/>
        <v>10.8</v>
      </c>
      <c r="K676" s="4">
        <f t="shared" si="5"/>
        <v>11.25</v>
      </c>
      <c r="L676" s="4">
        <f t="shared" si="6"/>
        <v>10.8</v>
      </c>
    </row>
    <row r="677">
      <c r="A677" s="3">
        <v>608.0</v>
      </c>
      <c r="B677" s="1" t="s">
        <v>1037</v>
      </c>
      <c r="C677" s="3">
        <v>22.5</v>
      </c>
      <c r="D677" s="3">
        <v>8.5</v>
      </c>
      <c r="E677" s="3">
        <v>7.5</v>
      </c>
      <c r="F677" s="3">
        <v>1.0</v>
      </c>
      <c r="G677" s="4">
        <f t="shared" si="1"/>
        <v>11.25</v>
      </c>
      <c r="H677" s="4" t="str">
        <f t="shared" si="2"/>
        <v>Neto: 8,50 € (a partir de 1 uds.)</v>
      </c>
      <c r="I677" s="4" t="str">
        <f t="shared" si="3"/>
        <v>Neto G.C.: 7,50 € (a partir de 1 uds.)</v>
      </c>
      <c r="J677" s="4">
        <f t="shared" si="4"/>
        <v>10.8</v>
      </c>
      <c r="K677" s="4">
        <f t="shared" si="5"/>
        <v>11.25</v>
      </c>
      <c r="L677" s="4">
        <f t="shared" si="6"/>
        <v>10.8</v>
      </c>
    </row>
    <row r="678">
      <c r="A678" s="1" t="s">
        <v>1038</v>
      </c>
      <c r="B678" s="1" t="s">
        <v>1039</v>
      </c>
      <c r="C678" s="3">
        <v>22.5</v>
      </c>
      <c r="D678" s="3">
        <v>8.5</v>
      </c>
      <c r="E678" s="3">
        <v>7.5</v>
      </c>
      <c r="F678" s="3">
        <v>1.0</v>
      </c>
      <c r="G678" s="4">
        <f t="shared" si="1"/>
        <v>11.25</v>
      </c>
      <c r="H678" s="4" t="str">
        <f t="shared" si="2"/>
        <v>Neto: 8,50 € (a partir de 1 uds.)</v>
      </c>
      <c r="I678" s="4" t="str">
        <f t="shared" si="3"/>
        <v>Neto G.C.: 7,50 € (a partir de 1 uds.)</v>
      </c>
      <c r="J678" s="4">
        <f t="shared" si="4"/>
        <v>10.8</v>
      </c>
      <c r="K678" s="4">
        <f t="shared" si="5"/>
        <v>11.25</v>
      </c>
      <c r="L678" s="4">
        <f t="shared" si="6"/>
        <v>10.8</v>
      </c>
    </row>
    <row r="679">
      <c r="A679" s="3">
        <v>609.0</v>
      </c>
      <c r="B679" s="1" t="s">
        <v>1040</v>
      </c>
      <c r="C679" s="3">
        <v>22.5</v>
      </c>
      <c r="D679" s="3">
        <v>8.5</v>
      </c>
      <c r="E679" s="3">
        <v>7.5</v>
      </c>
      <c r="F679" s="3">
        <v>1.0</v>
      </c>
      <c r="G679" s="4">
        <f t="shared" si="1"/>
        <v>11.25</v>
      </c>
      <c r="H679" s="4" t="str">
        <f t="shared" si="2"/>
        <v>Neto: 8,50 € (a partir de 1 uds.)</v>
      </c>
      <c r="I679" s="4" t="str">
        <f t="shared" si="3"/>
        <v>Neto G.C.: 7,50 € (a partir de 1 uds.)</v>
      </c>
      <c r="J679" s="4">
        <f t="shared" si="4"/>
        <v>10.8</v>
      </c>
      <c r="K679" s="4">
        <f t="shared" si="5"/>
        <v>11.25</v>
      </c>
      <c r="L679" s="4">
        <f t="shared" si="6"/>
        <v>10.8</v>
      </c>
    </row>
    <row r="680">
      <c r="A680" s="1" t="s">
        <v>1041</v>
      </c>
      <c r="B680" s="1" t="s">
        <v>1042</v>
      </c>
      <c r="C680" s="3">
        <v>22.5</v>
      </c>
      <c r="D680" s="3">
        <v>8.5</v>
      </c>
      <c r="E680" s="3">
        <v>7.5</v>
      </c>
      <c r="F680" s="3">
        <v>1.0</v>
      </c>
      <c r="G680" s="4">
        <f t="shared" si="1"/>
        <v>11.25</v>
      </c>
      <c r="H680" s="4" t="str">
        <f t="shared" si="2"/>
        <v>Neto: 8,50 € (a partir de 1 uds.)</v>
      </c>
      <c r="I680" s="4" t="str">
        <f t="shared" si="3"/>
        <v>Neto G.C.: 7,50 € (a partir de 1 uds.)</v>
      </c>
      <c r="J680" s="4">
        <f t="shared" si="4"/>
        <v>10.8</v>
      </c>
      <c r="K680" s="4">
        <f t="shared" si="5"/>
        <v>11.25</v>
      </c>
      <c r="L680" s="4">
        <f t="shared" si="6"/>
        <v>10.8</v>
      </c>
    </row>
    <row r="681">
      <c r="A681" s="3">
        <v>610.0</v>
      </c>
      <c r="B681" s="1" t="s">
        <v>1043</v>
      </c>
      <c r="C681" s="3">
        <v>22.5</v>
      </c>
      <c r="D681" s="3">
        <v>8.5</v>
      </c>
      <c r="E681" s="3">
        <v>7.5</v>
      </c>
      <c r="F681" s="3">
        <v>1.0</v>
      </c>
      <c r="G681" s="4">
        <f t="shared" si="1"/>
        <v>11.25</v>
      </c>
      <c r="H681" s="4" t="str">
        <f t="shared" si="2"/>
        <v>Neto: 8,50 € (a partir de 1 uds.)</v>
      </c>
      <c r="I681" s="4" t="str">
        <f t="shared" si="3"/>
        <v>Neto G.C.: 7,50 € (a partir de 1 uds.)</v>
      </c>
      <c r="J681" s="4">
        <f t="shared" si="4"/>
        <v>10.8</v>
      </c>
      <c r="K681" s="4">
        <f t="shared" si="5"/>
        <v>11.25</v>
      </c>
      <c r="L681" s="4">
        <f t="shared" si="6"/>
        <v>10.8</v>
      </c>
    </row>
    <row r="682">
      <c r="A682" s="1" t="s">
        <v>1044</v>
      </c>
      <c r="B682" s="1" t="s">
        <v>1045</v>
      </c>
      <c r="C682" s="3">
        <v>22.5</v>
      </c>
      <c r="D682" s="3">
        <v>8.5</v>
      </c>
      <c r="E682" s="3">
        <v>7.5</v>
      </c>
      <c r="F682" s="3">
        <v>1.0</v>
      </c>
      <c r="G682" s="4">
        <f t="shared" si="1"/>
        <v>11.25</v>
      </c>
      <c r="H682" s="4" t="str">
        <f t="shared" si="2"/>
        <v>Neto: 8,50 € (a partir de 1 uds.)</v>
      </c>
      <c r="I682" s="4" t="str">
        <f t="shared" si="3"/>
        <v>Neto G.C.: 7,50 € (a partir de 1 uds.)</v>
      </c>
      <c r="J682" s="4">
        <f t="shared" si="4"/>
        <v>10.8</v>
      </c>
      <c r="K682" s="4">
        <f t="shared" si="5"/>
        <v>11.25</v>
      </c>
      <c r="L682" s="4">
        <f t="shared" si="6"/>
        <v>10.8</v>
      </c>
    </row>
    <row r="683">
      <c r="A683" s="3">
        <v>611.0</v>
      </c>
      <c r="B683" s="1" t="s">
        <v>1046</v>
      </c>
      <c r="C683" s="3">
        <v>22.5</v>
      </c>
      <c r="D683" s="3">
        <v>8.5</v>
      </c>
      <c r="E683" s="3">
        <v>7.5</v>
      </c>
      <c r="F683" s="3">
        <v>1.0</v>
      </c>
      <c r="G683" s="4">
        <f t="shared" si="1"/>
        <v>11.25</v>
      </c>
      <c r="H683" s="4" t="str">
        <f t="shared" si="2"/>
        <v>Neto: 8,50 € (a partir de 1 uds.)</v>
      </c>
      <c r="I683" s="4" t="str">
        <f t="shared" si="3"/>
        <v>Neto G.C.: 7,50 € (a partir de 1 uds.)</v>
      </c>
      <c r="J683" s="4">
        <f t="shared" si="4"/>
        <v>10.8</v>
      </c>
      <c r="K683" s="4">
        <f t="shared" si="5"/>
        <v>11.25</v>
      </c>
      <c r="L683" s="4">
        <f t="shared" si="6"/>
        <v>10.8</v>
      </c>
    </row>
    <row r="684">
      <c r="A684" s="1" t="s">
        <v>1047</v>
      </c>
      <c r="B684" s="1" t="s">
        <v>1048</v>
      </c>
      <c r="C684" s="3">
        <v>22.5</v>
      </c>
      <c r="D684" s="3">
        <v>8.5</v>
      </c>
      <c r="E684" s="3">
        <v>7.5</v>
      </c>
      <c r="F684" s="3">
        <v>1.0</v>
      </c>
      <c r="G684" s="4">
        <f t="shared" si="1"/>
        <v>11.25</v>
      </c>
      <c r="H684" s="4" t="str">
        <f t="shared" si="2"/>
        <v>Neto: 8,50 € (a partir de 1 uds.)</v>
      </c>
      <c r="I684" s="4" t="str">
        <f t="shared" si="3"/>
        <v>Neto G.C.: 7,50 € (a partir de 1 uds.)</v>
      </c>
      <c r="J684" s="4">
        <f t="shared" si="4"/>
        <v>10.8</v>
      </c>
      <c r="K684" s="4">
        <f t="shared" si="5"/>
        <v>11.25</v>
      </c>
      <c r="L684" s="4">
        <f t="shared" si="6"/>
        <v>10.8</v>
      </c>
    </row>
    <row r="685">
      <c r="A685" s="3">
        <v>612.0</v>
      </c>
      <c r="B685" s="1" t="s">
        <v>1049</v>
      </c>
      <c r="C685" s="3">
        <v>22.5</v>
      </c>
      <c r="D685" s="3">
        <v>8.5</v>
      </c>
      <c r="E685" s="3">
        <v>7.5</v>
      </c>
      <c r="F685" s="3">
        <v>1.0</v>
      </c>
      <c r="G685" s="4">
        <f t="shared" si="1"/>
        <v>11.25</v>
      </c>
      <c r="H685" s="4" t="str">
        <f t="shared" si="2"/>
        <v>Neto: 8,50 € (a partir de 1 uds.)</v>
      </c>
      <c r="I685" s="4" t="str">
        <f t="shared" si="3"/>
        <v>Neto G.C.: 7,50 € (a partir de 1 uds.)</v>
      </c>
      <c r="J685" s="4">
        <f t="shared" si="4"/>
        <v>10.8</v>
      </c>
      <c r="K685" s="4">
        <f t="shared" si="5"/>
        <v>11.25</v>
      </c>
      <c r="L685" s="4">
        <f t="shared" si="6"/>
        <v>10.8</v>
      </c>
    </row>
    <row r="686">
      <c r="A686" s="1" t="s">
        <v>1050</v>
      </c>
      <c r="B686" s="1" t="s">
        <v>1051</v>
      </c>
      <c r="C686" s="3">
        <v>22.5</v>
      </c>
      <c r="D686" s="3">
        <v>8.5</v>
      </c>
      <c r="E686" s="3">
        <v>7.5</v>
      </c>
      <c r="F686" s="3">
        <v>1.0</v>
      </c>
      <c r="G686" s="4">
        <f t="shared" si="1"/>
        <v>11.25</v>
      </c>
      <c r="H686" s="4" t="str">
        <f t="shared" si="2"/>
        <v>Neto: 8,50 € (a partir de 1 uds.)</v>
      </c>
      <c r="I686" s="4" t="str">
        <f t="shared" si="3"/>
        <v>Neto G.C.: 7,50 € (a partir de 1 uds.)</v>
      </c>
      <c r="J686" s="4">
        <f t="shared" si="4"/>
        <v>10.8</v>
      </c>
      <c r="K686" s="4">
        <f t="shared" si="5"/>
        <v>11.25</v>
      </c>
      <c r="L686" s="4">
        <f t="shared" si="6"/>
        <v>10.8</v>
      </c>
    </row>
    <row r="687">
      <c r="A687" s="3">
        <v>613.0</v>
      </c>
      <c r="B687" s="1" t="s">
        <v>1052</v>
      </c>
      <c r="C687" s="3">
        <v>22.5</v>
      </c>
      <c r="D687" s="3">
        <v>8.5</v>
      </c>
      <c r="E687" s="3">
        <v>7.5</v>
      </c>
      <c r="F687" s="3">
        <v>1.0</v>
      </c>
      <c r="G687" s="4">
        <f t="shared" si="1"/>
        <v>11.25</v>
      </c>
      <c r="H687" s="4" t="str">
        <f t="shared" si="2"/>
        <v>Neto: 8,50 € (a partir de 1 uds.)</v>
      </c>
      <c r="I687" s="4" t="str">
        <f t="shared" si="3"/>
        <v>Neto G.C.: 7,50 € (a partir de 1 uds.)</v>
      </c>
      <c r="J687" s="4">
        <f t="shared" si="4"/>
        <v>10.8</v>
      </c>
      <c r="K687" s="4">
        <f t="shared" si="5"/>
        <v>11.25</v>
      </c>
      <c r="L687" s="4">
        <f t="shared" si="6"/>
        <v>10.8</v>
      </c>
    </row>
    <row r="688">
      <c r="A688" s="1" t="s">
        <v>1053</v>
      </c>
      <c r="B688" s="1" t="s">
        <v>1054</v>
      </c>
      <c r="C688" s="3">
        <v>22.5</v>
      </c>
      <c r="D688" s="3">
        <v>8.5</v>
      </c>
      <c r="E688" s="3">
        <v>7.5</v>
      </c>
      <c r="F688" s="3">
        <v>1.0</v>
      </c>
      <c r="G688" s="4">
        <f t="shared" si="1"/>
        <v>11.25</v>
      </c>
      <c r="H688" s="4" t="str">
        <f t="shared" si="2"/>
        <v>Neto: 8,50 € (a partir de 1 uds.)</v>
      </c>
      <c r="I688" s="4" t="str">
        <f t="shared" si="3"/>
        <v>Neto G.C.: 7,50 € (a partir de 1 uds.)</v>
      </c>
      <c r="J688" s="4">
        <f t="shared" si="4"/>
        <v>10.8</v>
      </c>
      <c r="K688" s="4">
        <f t="shared" si="5"/>
        <v>11.25</v>
      </c>
      <c r="L688" s="4">
        <f t="shared" si="6"/>
        <v>10.8</v>
      </c>
    </row>
    <row r="689">
      <c r="A689" s="3">
        <v>614.0</v>
      </c>
      <c r="B689" s="1" t="s">
        <v>1055</v>
      </c>
      <c r="C689" s="3">
        <v>22.5</v>
      </c>
      <c r="D689" s="3">
        <v>8.5</v>
      </c>
      <c r="E689" s="3">
        <v>7.5</v>
      </c>
      <c r="F689" s="3">
        <v>1.0</v>
      </c>
      <c r="G689" s="4">
        <f t="shared" si="1"/>
        <v>11.25</v>
      </c>
      <c r="H689" s="4" t="str">
        <f t="shared" si="2"/>
        <v>Neto: 8,50 € (a partir de 1 uds.)</v>
      </c>
      <c r="I689" s="4" t="str">
        <f t="shared" si="3"/>
        <v>Neto G.C.: 7,50 € (a partir de 1 uds.)</v>
      </c>
      <c r="J689" s="4">
        <f t="shared" si="4"/>
        <v>10.8</v>
      </c>
      <c r="K689" s="4">
        <f t="shared" si="5"/>
        <v>11.25</v>
      </c>
      <c r="L689" s="4">
        <f t="shared" si="6"/>
        <v>10.8</v>
      </c>
    </row>
    <row r="690">
      <c r="A690" s="1" t="s">
        <v>1056</v>
      </c>
      <c r="B690" s="1" t="s">
        <v>1057</v>
      </c>
      <c r="C690" s="3">
        <v>22.5</v>
      </c>
      <c r="D690" s="3">
        <v>8.5</v>
      </c>
      <c r="E690" s="3">
        <v>7.5</v>
      </c>
      <c r="F690" s="3">
        <v>1.0</v>
      </c>
      <c r="G690" s="4">
        <f t="shared" si="1"/>
        <v>11.25</v>
      </c>
      <c r="H690" s="4" t="str">
        <f t="shared" si="2"/>
        <v>Neto: 8,50 € (a partir de 1 uds.)</v>
      </c>
      <c r="I690" s="4" t="str">
        <f t="shared" si="3"/>
        <v>Neto G.C.: 7,50 € (a partir de 1 uds.)</v>
      </c>
      <c r="J690" s="4">
        <f t="shared" si="4"/>
        <v>10.8</v>
      </c>
      <c r="K690" s="4">
        <f t="shared" si="5"/>
        <v>11.25</v>
      </c>
      <c r="L690" s="4">
        <f t="shared" si="6"/>
        <v>10.8</v>
      </c>
    </row>
    <row r="691">
      <c r="A691" s="3">
        <v>615.0</v>
      </c>
      <c r="B691" s="1" t="s">
        <v>1058</v>
      </c>
      <c r="C691" s="3">
        <v>22.5</v>
      </c>
      <c r="D691" s="3">
        <v>8.5</v>
      </c>
      <c r="E691" s="3">
        <v>7.5</v>
      </c>
      <c r="F691" s="3">
        <v>1.0</v>
      </c>
      <c r="G691" s="4">
        <f t="shared" si="1"/>
        <v>11.25</v>
      </c>
      <c r="H691" s="4" t="str">
        <f t="shared" si="2"/>
        <v>Neto: 8,50 € (a partir de 1 uds.)</v>
      </c>
      <c r="I691" s="4" t="str">
        <f t="shared" si="3"/>
        <v>Neto G.C.: 7,50 € (a partir de 1 uds.)</v>
      </c>
      <c r="J691" s="4">
        <f t="shared" si="4"/>
        <v>10.8</v>
      </c>
      <c r="K691" s="4">
        <f t="shared" si="5"/>
        <v>11.25</v>
      </c>
      <c r="L691" s="4">
        <f t="shared" si="6"/>
        <v>10.8</v>
      </c>
    </row>
    <row r="692">
      <c r="A692" s="1" t="s">
        <v>1059</v>
      </c>
      <c r="B692" s="1" t="s">
        <v>1060</v>
      </c>
      <c r="C692" s="3">
        <v>22.5</v>
      </c>
      <c r="D692" s="3">
        <v>8.5</v>
      </c>
      <c r="E692" s="3">
        <v>7.5</v>
      </c>
      <c r="F692" s="3">
        <v>1.0</v>
      </c>
      <c r="G692" s="4">
        <f t="shared" si="1"/>
        <v>11.25</v>
      </c>
      <c r="H692" s="4" t="str">
        <f t="shared" si="2"/>
        <v>Neto: 8,50 € (a partir de 1 uds.)</v>
      </c>
      <c r="I692" s="4" t="str">
        <f t="shared" si="3"/>
        <v>Neto G.C.: 7,50 € (a partir de 1 uds.)</v>
      </c>
      <c r="J692" s="4">
        <f t="shared" si="4"/>
        <v>10.8</v>
      </c>
      <c r="K692" s="4">
        <f t="shared" si="5"/>
        <v>11.25</v>
      </c>
      <c r="L692" s="4">
        <f t="shared" si="6"/>
        <v>10.8</v>
      </c>
    </row>
    <row r="693">
      <c r="A693" s="3">
        <v>616.0</v>
      </c>
      <c r="B693" s="1" t="s">
        <v>1061</v>
      </c>
      <c r="C693" s="3">
        <v>22.5</v>
      </c>
      <c r="D693" s="3">
        <v>8.5</v>
      </c>
      <c r="E693" s="3">
        <v>7.5</v>
      </c>
      <c r="F693" s="3">
        <v>1.0</v>
      </c>
      <c r="G693" s="4">
        <f t="shared" si="1"/>
        <v>11.25</v>
      </c>
      <c r="H693" s="4" t="str">
        <f t="shared" si="2"/>
        <v>Neto: 8,50 € (a partir de 1 uds.)</v>
      </c>
      <c r="I693" s="4" t="str">
        <f t="shared" si="3"/>
        <v>Neto G.C.: 7,50 € (a partir de 1 uds.)</v>
      </c>
      <c r="J693" s="4">
        <f t="shared" si="4"/>
        <v>10.8</v>
      </c>
      <c r="K693" s="4">
        <f t="shared" si="5"/>
        <v>11.25</v>
      </c>
      <c r="L693" s="4">
        <f t="shared" si="6"/>
        <v>10.8</v>
      </c>
    </row>
    <row r="694">
      <c r="A694" s="1" t="s">
        <v>1062</v>
      </c>
      <c r="B694" s="1" t="s">
        <v>122</v>
      </c>
      <c r="C694" s="3">
        <v>7.8</v>
      </c>
      <c r="D694" s="5"/>
      <c r="E694" s="5"/>
      <c r="F694" s="5"/>
      <c r="G694" s="4">
        <f t="shared" si="1"/>
        <v>3.9</v>
      </c>
      <c r="H694" s="4" t="str">
        <f t="shared" si="2"/>
        <v>Sin precio neto</v>
      </c>
      <c r="I694" s="4" t="str">
        <f t="shared" si="3"/>
        <v>Sin precio neto G.C.</v>
      </c>
      <c r="J694" s="4">
        <f t="shared" si="4"/>
        <v>3.744</v>
      </c>
      <c r="K694" s="4">
        <f t="shared" si="5"/>
        <v>3.9</v>
      </c>
      <c r="L694" s="4">
        <f t="shared" si="6"/>
        <v>3.744</v>
      </c>
    </row>
    <row r="695">
      <c r="A695" s="1" t="s">
        <v>1063</v>
      </c>
      <c r="B695" s="1" t="s">
        <v>124</v>
      </c>
      <c r="C695" s="3">
        <v>12.5</v>
      </c>
      <c r="D695" s="5"/>
      <c r="E695" s="5"/>
      <c r="F695" s="5"/>
      <c r="G695" s="4">
        <f t="shared" si="1"/>
        <v>6.25</v>
      </c>
      <c r="H695" s="4" t="str">
        <f t="shared" si="2"/>
        <v>Sin precio neto</v>
      </c>
      <c r="I695" s="4" t="str">
        <f t="shared" si="3"/>
        <v>Sin precio neto G.C.</v>
      </c>
      <c r="J695" s="4">
        <f t="shared" si="4"/>
        <v>6</v>
      </c>
      <c r="K695" s="4">
        <f t="shared" si="5"/>
        <v>6.25</v>
      </c>
      <c r="L695" s="4">
        <f t="shared" si="6"/>
        <v>6</v>
      </c>
    </row>
    <row r="696">
      <c r="A696" s="1" t="s">
        <v>1064</v>
      </c>
      <c r="B696" s="1" t="s">
        <v>1065</v>
      </c>
      <c r="C696" s="3">
        <v>22.5</v>
      </c>
      <c r="D696" s="3">
        <v>8.5</v>
      </c>
      <c r="E696" s="3">
        <v>7.5</v>
      </c>
      <c r="F696" s="3">
        <v>1.0</v>
      </c>
      <c r="G696" s="4">
        <f t="shared" si="1"/>
        <v>11.25</v>
      </c>
      <c r="H696" s="4" t="str">
        <f t="shared" si="2"/>
        <v>Neto: 8,50 € (a partir de 1 uds.)</v>
      </c>
      <c r="I696" s="4" t="str">
        <f t="shared" si="3"/>
        <v>Neto G.C.: 7,50 € (a partir de 1 uds.)</v>
      </c>
      <c r="J696" s="4">
        <f t="shared" si="4"/>
        <v>10.8</v>
      </c>
      <c r="K696" s="4">
        <f t="shared" si="5"/>
        <v>11.25</v>
      </c>
      <c r="L696" s="4">
        <f t="shared" si="6"/>
        <v>10.8</v>
      </c>
    </row>
    <row r="697">
      <c r="A697" s="3">
        <v>617.0</v>
      </c>
      <c r="B697" s="1" t="s">
        <v>1066</v>
      </c>
      <c r="C697" s="3">
        <v>22.5</v>
      </c>
      <c r="D697" s="3">
        <v>8.5</v>
      </c>
      <c r="E697" s="3">
        <v>7.5</v>
      </c>
      <c r="F697" s="3">
        <v>1.0</v>
      </c>
      <c r="G697" s="4">
        <f t="shared" si="1"/>
        <v>11.25</v>
      </c>
      <c r="H697" s="4" t="str">
        <f t="shared" si="2"/>
        <v>Neto: 8,50 € (a partir de 1 uds.)</v>
      </c>
      <c r="I697" s="4" t="str">
        <f t="shared" si="3"/>
        <v>Neto G.C.: 7,50 € (a partir de 1 uds.)</v>
      </c>
      <c r="J697" s="4">
        <f t="shared" si="4"/>
        <v>10.8</v>
      </c>
      <c r="K697" s="4">
        <f t="shared" si="5"/>
        <v>11.25</v>
      </c>
      <c r="L697" s="4">
        <f t="shared" si="6"/>
        <v>10.8</v>
      </c>
    </row>
    <row r="698">
      <c r="A698" s="1" t="s">
        <v>1067</v>
      </c>
      <c r="B698" s="1" t="s">
        <v>1068</v>
      </c>
      <c r="C698" s="3">
        <v>22.5</v>
      </c>
      <c r="D698" s="3">
        <v>8.5</v>
      </c>
      <c r="E698" s="3">
        <v>7.5</v>
      </c>
      <c r="F698" s="3">
        <v>1.0</v>
      </c>
      <c r="G698" s="4">
        <f t="shared" si="1"/>
        <v>11.25</v>
      </c>
      <c r="H698" s="4" t="str">
        <f t="shared" si="2"/>
        <v>Neto: 8,50 € (a partir de 1 uds.)</v>
      </c>
      <c r="I698" s="4" t="str">
        <f t="shared" si="3"/>
        <v>Neto G.C.: 7,50 € (a partir de 1 uds.)</v>
      </c>
      <c r="J698" s="4">
        <f t="shared" si="4"/>
        <v>10.8</v>
      </c>
      <c r="K698" s="4">
        <f t="shared" si="5"/>
        <v>11.25</v>
      </c>
      <c r="L698" s="4">
        <f t="shared" si="6"/>
        <v>10.8</v>
      </c>
    </row>
    <row r="699">
      <c r="A699" s="3">
        <v>619.0</v>
      </c>
      <c r="B699" s="1" t="s">
        <v>1069</v>
      </c>
      <c r="C699" s="3">
        <v>22.5</v>
      </c>
      <c r="D699" s="3">
        <v>8.5</v>
      </c>
      <c r="E699" s="3">
        <v>7.5</v>
      </c>
      <c r="F699" s="3">
        <v>1.0</v>
      </c>
      <c r="G699" s="4">
        <f t="shared" si="1"/>
        <v>11.25</v>
      </c>
      <c r="H699" s="4" t="str">
        <f t="shared" si="2"/>
        <v>Neto: 8,50 € (a partir de 1 uds.)</v>
      </c>
      <c r="I699" s="4" t="str">
        <f t="shared" si="3"/>
        <v>Neto G.C.: 7,50 € (a partir de 1 uds.)</v>
      </c>
      <c r="J699" s="4">
        <f t="shared" si="4"/>
        <v>10.8</v>
      </c>
      <c r="K699" s="4">
        <f t="shared" si="5"/>
        <v>11.25</v>
      </c>
      <c r="L699" s="4">
        <f t="shared" si="6"/>
        <v>10.8</v>
      </c>
    </row>
    <row r="700">
      <c r="A700" s="1" t="s">
        <v>1070</v>
      </c>
      <c r="B700" s="1" t="s">
        <v>1071</v>
      </c>
      <c r="C700" s="3">
        <v>22.5</v>
      </c>
      <c r="D700" s="3">
        <v>8.5</v>
      </c>
      <c r="E700" s="3">
        <v>7.5</v>
      </c>
      <c r="F700" s="3">
        <v>1.0</v>
      </c>
      <c r="G700" s="4">
        <f t="shared" si="1"/>
        <v>11.25</v>
      </c>
      <c r="H700" s="4" t="str">
        <f t="shared" si="2"/>
        <v>Neto: 8,50 € (a partir de 1 uds.)</v>
      </c>
      <c r="I700" s="4" t="str">
        <f t="shared" si="3"/>
        <v>Neto G.C.: 7,50 € (a partir de 1 uds.)</v>
      </c>
      <c r="J700" s="4">
        <f t="shared" si="4"/>
        <v>10.8</v>
      </c>
      <c r="K700" s="4">
        <f t="shared" si="5"/>
        <v>11.25</v>
      </c>
      <c r="L700" s="4">
        <f t="shared" si="6"/>
        <v>10.8</v>
      </c>
    </row>
    <row r="701">
      <c r="A701" s="3">
        <v>620.0</v>
      </c>
      <c r="B701" s="1" t="s">
        <v>1072</v>
      </c>
      <c r="C701" s="3">
        <v>22.5</v>
      </c>
      <c r="D701" s="3">
        <v>8.5</v>
      </c>
      <c r="E701" s="3">
        <v>7.5</v>
      </c>
      <c r="F701" s="3">
        <v>1.0</v>
      </c>
      <c r="G701" s="4">
        <f t="shared" si="1"/>
        <v>11.25</v>
      </c>
      <c r="H701" s="4" t="str">
        <f t="shared" si="2"/>
        <v>Neto: 8,50 € (a partir de 1 uds.)</v>
      </c>
      <c r="I701" s="4" t="str">
        <f t="shared" si="3"/>
        <v>Neto G.C.: 7,50 € (a partir de 1 uds.)</v>
      </c>
      <c r="J701" s="4">
        <f t="shared" si="4"/>
        <v>10.8</v>
      </c>
      <c r="K701" s="4">
        <f t="shared" si="5"/>
        <v>11.25</v>
      </c>
      <c r="L701" s="4">
        <f t="shared" si="6"/>
        <v>10.8</v>
      </c>
    </row>
    <row r="702">
      <c r="A702" s="1" t="s">
        <v>1073</v>
      </c>
      <c r="B702" s="1" t="s">
        <v>1074</v>
      </c>
      <c r="C702" s="3">
        <v>22.5</v>
      </c>
      <c r="D702" s="3">
        <v>8.5</v>
      </c>
      <c r="E702" s="3">
        <v>7.5</v>
      </c>
      <c r="F702" s="3">
        <v>1.0</v>
      </c>
      <c r="G702" s="4">
        <f t="shared" si="1"/>
        <v>11.25</v>
      </c>
      <c r="H702" s="4" t="str">
        <f t="shared" si="2"/>
        <v>Neto: 8,50 € (a partir de 1 uds.)</v>
      </c>
      <c r="I702" s="4" t="str">
        <f t="shared" si="3"/>
        <v>Neto G.C.: 7,50 € (a partir de 1 uds.)</v>
      </c>
      <c r="J702" s="4">
        <f t="shared" si="4"/>
        <v>10.8</v>
      </c>
      <c r="K702" s="4">
        <f t="shared" si="5"/>
        <v>11.25</v>
      </c>
      <c r="L702" s="4">
        <f t="shared" si="6"/>
        <v>10.8</v>
      </c>
    </row>
    <row r="703">
      <c r="A703" s="3">
        <v>624.0</v>
      </c>
      <c r="B703" s="1" t="s">
        <v>1075</v>
      </c>
      <c r="C703" s="3">
        <v>22.5</v>
      </c>
      <c r="D703" s="3">
        <v>8.5</v>
      </c>
      <c r="E703" s="3">
        <v>7.5</v>
      </c>
      <c r="F703" s="3">
        <v>1.0</v>
      </c>
      <c r="G703" s="4">
        <f t="shared" si="1"/>
        <v>11.25</v>
      </c>
      <c r="H703" s="4" t="str">
        <f t="shared" si="2"/>
        <v>Neto: 8,50 € (a partir de 1 uds.)</v>
      </c>
      <c r="I703" s="4" t="str">
        <f t="shared" si="3"/>
        <v>Neto G.C.: 7,50 € (a partir de 1 uds.)</v>
      </c>
      <c r="J703" s="4">
        <f t="shared" si="4"/>
        <v>10.8</v>
      </c>
      <c r="K703" s="4">
        <f t="shared" si="5"/>
        <v>11.25</v>
      </c>
      <c r="L703" s="4">
        <f t="shared" si="6"/>
        <v>10.8</v>
      </c>
    </row>
    <row r="704">
      <c r="A704" s="3">
        <v>625.0</v>
      </c>
      <c r="B704" s="1" t="s">
        <v>1076</v>
      </c>
      <c r="C704" s="3">
        <v>22.5</v>
      </c>
      <c r="D704" s="3">
        <v>8.5</v>
      </c>
      <c r="E704" s="3">
        <v>7.5</v>
      </c>
      <c r="F704" s="3">
        <v>1.0</v>
      </c>
      <c r="G704" s="4">
        <f t="shared" si="1"/>
        <v>11.25</v>
      </c>
      <c r="H704" s="4" t="str">
        <f t="shared" si="2"/>
        <v>Neto: 8,50 € (a partir de 1 uds.)</v>
      </c>
      <c r="I704" s="4" t="str">
        <f t="shared" si="3"/>
        <v>Neto G.C.: 7,50 € (a partir de 1 uds.)</v>
      </c>
      <c r="J704" s="4">
        <f t="shared" si="4"/>
        <v>10.8</v>
      </c>
      <c r="K704" s="4">
        <f t="shared" si="5"/>
        <v>11.25</v>
      </c>
      <c r="L704" s="4">
        <f t="shared" si="6"/>
        <v>10.8</v>
      </c>
    </row>
    <row r="705">
      <c r="A705" s="3">
        <v>628.0</v>
      </c>
      <c r="B705" s="1" t="s">
        <v>1077</v>
      </c>
      <c r="C705" s="3">
        <v>22.5</v>
      </c>
      <c r="D705" s="3">
        <v>8.5</v>
      </c>
      <c r="E705" s="3">
        <v>7.5</v>
      </c>
      <c r="F705" s="3">
        <v>1.0</v>
      </c>
      <c r="G705" s="4">
        <f t="shared" si="1"/>
        <v>11.25</v>
      </c>
      <c r="H705" s="4" t="str">
        <f t="shared" si="2"/>
        <v>Neto: 8,50 € (a partir de 1 uds.)</v>
      </c>
      <c r="I705" s="4" t="str">
        <f t="shared" si="3"/>
        <v>Neto G.C.: 7,50 € (a partir de 1 uds.)</v>
      </c>
      <c r="J705" s="4">
        <f t="shared" si="4"/>
        <v>10.8</v>
      </c>
      <c r="K705" s="4">
        <f t="shared" si="5"/>
        <v>11.25</v>
      </c>
      <c r="L705" s="4">
        <f t="shared" si="6"/>
        <v>10.8</v>
      </c>
    </row>
    <row r="706">
      <c r="A706" s="3">
        <v>629.0</v>
      </c>
      <c r="B706" s="1" t="s">
        <v>1078</v>
      </c>
      <c r="C706" s="3">
        <v>22.5</v>
      </c>
      <c r="D706" s="3">
        <v>8.5</v>
      </c>
      <c r="E706" s="3">
        <v>7.5</v>
      </c>
      <c r="F706" s="3">
        <v>1.0</v>
      </c>
      <c r="G706" s="4">
        <f t="shared" si="1"/>
        <v>11.25</v>
      </c>
      <c r="H706" s="4" t="str">
        <f t="shared" si="2"/>
        <v>Neto: 8,50 € (a partir de 1 uds.)</v>
      </c>
      <c r="I706" s="4" t="str">
        <f t="shared" si="3"/>
        <v>Neto G.C.: 7,50 € (a partir de 1 uds.)</v>
      </c>
      <c r="J706" s="4">
        <f t="shared" si="4"/>
        <v>10.8</v>
      </c>
      <c r="K706" s="4">
        <f t="shared" si="5"/>
        <v>11.25</v>
      </c>
      <c r="L706" s="4">
        <f t="shared" si="6"/>
        <v>10.8</v>
      </c>
    </row>
    <row r="707">
      <c r="A707" s="1" t="s">
        <v>1079</v>
      </c>
      <c r="B707" s="1" t="s">
        <v>1080</v>
      </c>
      <c r="C707" s="3">
        <v>22.5</v>
      </c>
      <c r="D707" s="3">
        <v>8.5</v>
      </c>
      <c r="E707" s="3">
        <v>7.5</v>
      </c>
      <c r="F707" s="3">
        <v>1.0</v>
      </c>
      <c r="G707" s="4">
        <f t="shared" si="1"/>
        <v>11.25</v>
      </c>
      <c r="H707" s="4" t="str">
        <f t="shared" si="2"/>
        <v>Neto: 8,50 € (a partir de 1 uds.)</v>
      </c>
      <c r="I707" s="4" t="str">
        <f t="shared" si="3"/>
        <v>Neto G.C.: 7,50 € (a partir de 1 uds.)</v>
      </c>
      <c r="J707" s="4">
        <f t="shared" si="4"/>
        <v>10.8</v>
      </c>
      <c r="K707" s="4">
        <f t="shared" si="5"/>
        <v>11.25</v>
      </c>
      <c r="L707" s="4">
        <f t="shared" si="6"/>
        <v>10.8</v>
      </c>
    </row>
    <row r="708">
      <c r="A708" s="3">
        <v>630.0</v>
      </c>
      <c r="B708" s="1" t="s">
        <v>1081</v>
      </c>
      <c r="C708" s="3">
        <v>22.5</v>
      </c>
      <c r="D708" s="3">
        <v>8.5</v>
      </c>
      <c r="E708" s="3">
        <v>7.5</v>
      </c>
      <c r="F708" s="3">
        <v>1.0</v>
      </c>
      <c r="G708" s="4">
        <f t="shared" si="1"/>
        <v>11.25</v>
      </c>
      <c r="H708" s="4" t="str">
        <f t="shared" si="2"/>
        <v>Neto: 8,50 € (a partir de 1 uds.)</v>
      </c>
      <c r="I708" s="4" t="str">
        <f t="shared" si="3"/>
        <v>Neto G.C.: 7,50 € (a partir de 1 uds.)</v>
      </c>
      <c r="J708" s="4">
        <f t="shared" si="4"/>
        <v>10.8</v>
      </c>
      <c r="K708" s="4">
        <f t="shared" si="5"/>
        <v>11.25</v>
      </c>
      <c r="L708" s="4">
        <f t="shared" si="6"/>
        <v>10.8</v>
      </c>
    </row>
    <row r="709">
      <c r="A709" s="1" t="s">
        <v>1082</v>
      </c>
      <c r="B709" s="1" t="s">
        <v>1083</v>
      </c>
      <c r="C709" s="3">
        <v>22.5</v>
      </c>
      <c r="D709" s="3">
        <v>8.5</v>
      </c>
      <c r="E709" s="3">
        <v>7.5</v>
      </c>
      <c r="F709" s="3">
        <v>1.0</v>
      </c>
      <c r="G709" s="4">
        <f t="shared" si="1"/>
        <v>11.25</v>
      </c>
      <c r="H709" s="4" t="str">
        <f t="shared" si="2"/>
        <v>Neto: 8,50 € (a partir de 1 uds.)</v>
      </c>
      <c r="I709" s="4" t="str">
        <f t="shared" si="3"/>
        <v>Neto G.C.: 7,50 € (a partir de 1 uds.)</v>
      </c>
      <c r="J709" s="4">
        <f t="shared" si="4"/>
        <v>10.8</v>
      </c>
      <c r="K709" s="4">
        <f t="shared" si="5"/>
        <v>11.25</v>
      </c>
      <c r="L709" s="4">
        <f t="shared" si="6"/>
        <v>10.8</v>
      </c>
    </row>
    <row r="710">
      <c r="A710" s="3">
        <v>641.0</v>
      </c>
      <c r="B710" s="1" t="s">
        <v>1084</v>
      </c>
      <c r="C710" s="3">
        <v>22.5</v>
      </c>
      <c r="D710" s="3">
        <v>8.5</v>
      </c>
      <c r="E710" s="3">
        <v>7.5</v>
      </c>
      <c r="F710" s="3">
        <v>1.0</v>
      </c>
      <c r="G710" s="4">
        <f t="shared" si="1"/>
        <v>11.25</v>
      </c>
      <c r="H710" s="4" t="str">
        <f t="shared" si="2"/>
        <v>Neto: 8,50 € (a partir de 1 uds.)</v>
      </c>
      <c r="I710" s="4" t="str">
        <f t="shared" si="3"/>
        <v>Neto G.C.: 7,50 € (a partir de 1 uds.)</v>
      </c>
      <c r="J710" s="4">
        <f t="shared" si="4"/>
        <v>10.8</v>
      </c>
      <c r="K710" s="4">
        <f t="shared" si="5"/>
        <v>11.25</v>
      </c>
      <c r="L710" s="4">
        <f t="shared" si="6"/>
        <v>10.8</v>
      </c>
    </row>
    <row r="711">
      <c r="A711" s="3">
        <v>642.0</v>
      </c>
      <c r="B711" s="1" t="s">
        <v>1085</v>
      </c>
      <c r="C711" s="3">
        <v>22.5</v>
      </c>
      <c r="D711" s="3">
        <v>8.5</v>
      </c>
      <c r="E711" s="3">
        <v>7.5</v>
      </c>
      <c r="F711" s="3">
        <v>1.0</v>
      </c>
      <c r="G711" s="4">
        <f t="shared" si="1"/>
        <v>11.25</v>
      </c>
      <c r="H711" s="4" t="str">
        <f t="shared" si="2"/>
        <v>Neto: 8,50 € (a partir de 1 uds.)</v>
      </c>
      <c r="I711" s="4" t="str">
        <f t="shared" si="3"/>
        <v>Neto G.C.: 7,50 € (a partir de 1 uds.)</v>
      </c>
      <c r="J711" s="4">
        <f t="shared" si="4"/>
        <v>10.8</v>
      </c>
      <c r="K711" s="4">
        <f t="shared" si="5"/>
        <v>11.25</v>
      </c>
      <c r="L711" s="4">
        <f t="shared" si="6"/>
        <v>10.8</v>
      </c>
    </row>
    <row r="712">
      <c r="A712" s="1" t="s">
        <v>1086</v>
      </c>
      <c r="B712" s="1" t="s">
        <v>1087</v>
      </c>
      <c r="C712" s="3">
        <v>22.5</v>
      </c>
      <c r="D712" s="3">
        <v>8.5</v>
      </c>
      <c r="E712" s="3">
        <v>7.5</v>
      </c>
      <c r="F712" s="3">
        <v>1.0</v>
      </c>
      <c r="G712" s="4">
        <f t="shared" si="1"/>
        <v>11.25</v>
      </c>
      <c r="H712" s="4" t="str">
        <f t="shared" si="2"/>
        <v>Neto: 8,50 € (a partir de 1 uds.)</v>
      </c>
      <c r="I712" s="4" t="str">
        <f t="shared" si="3"/>
        <v>Neto G.C.: 7,50 € (a partir de 1 uds.)</v>
      </c>
      <c r="J712" s="4">
        <f t="shared" si="4"/>
        <v>10.8</v>
      </c>
      <c r="K712" s="4">
        <f t="shared" si="5"/>
        <v>11.25</v>
      </c>
      <c r="L712" s="4">
        <f t="shared" si="6"/>
        <v>10.8</v>
      </c>
    </row>
    <row r="713">
      <c r="A713" s="3">
        <v>643.0</v>
      </c>
      <c r="B713" s="1" t="s">
        <v>1088</v>
      </c>
      <c r="C713" s="3">
        <v>22.5</v>
      </c>
      <c r="D713" s="3">
        <v>8.5</v>
      </c>
      <c r="E713" s="3">
        <v>7.5</v>
      </c>
      <c r="F713" s="3">
        <v>1.0</v>
      </c>
      <c r="G713" s="4">
        <f t="shared" si="1"/>
        <v>11.25</v>
      </c>
      <c r="H713" s="4" t="str">
        <f t="shared" si="2"/>
        <v>Neto: 8,50 € (a partir de 1 uds.)</v>
      </c>
      <c r="I713" s="4" t="str">
        <f t="shared" si="3"/>
        <v>Neto G.C.: 7,50 € (a partir de 1 uds.)</v>
      </c>
      <c r="J713" s="4">
        <f t="shared" si="4"/>
        <v>10.8</v>
      </c>
      <c r="K713" s="4">
        <f t="shared" si="5"/>
        <v>11.25</v>
      </c>
      <c r="L713" s="4">
        <f t="shared" si="6"/>
        <v>10.8</v>
      </c>
    </row>
    <row r="714">
      <c r="A714" s="1" t="s">
        <v>1089</v>
      </c>
      <c r="B714" s="1" t="s">
        <v>1090</v>
      </c>
      <c r="C714" s="3">
        <v>22.5</v>
      </c>
      <c r="D714" s="3">
        <v>8.5</v>
      </c>
      <c r="E714" s="3">
        <v>7.5</v>
      </c>
      <c r="F714" s="3">
        <v>1.0</v>
      </c>
      <c r="G714" s="4">
        <f t="shared" si="1"/>
        <v>11.25</v>
      </c>
      <c r="H714" s="4" t="str">
        <f t="shared" si="2"/>
        <v>Neto: 8,50 € (a partir de 1 uds.)</v>
      </c>
      <c r="I714" s="4" t="str">
        <f t="shared" si="3"/>
        <v>Neto G.C.: 7,50 € (a partir de 1 uds.)</v>
      </c>
      <c r="J714" s="4">
        <f t="shared" si="4"/>
        <v>10.8</v>
      </c>
      <c r="K714" s="4">
        <f t="shared" si="5"/>
        <v>11.25</v>
      </c>
      <c r="L714" s="4">
        <f t="shared" si="6"/>
        <v>10.8</v>
      </c>
    </row>
    <row r="715">
      <c r="A715" s="3">
        <v>644.0</v>
      </c>
      <c r="B715" s="1" t="s">
        <v>1091</v>
      </c>
      <c r="C715" s="3">
        <v>22.5</v>
      </c>
      <c r="D715" s="3">
        <v>8.5</v>
      </c>
      <c r="E715" s="3">
        <v>7.5</v>
      </c>
      <c r="F715" s="3">
        <v>1.0</v>
      </c>
      <c r="G715" s="4">
        <f t="shared" si="1"/>
        <v>11.25</v>
      </c>
      <c r="H715" s="4" t="str">
        <f t="shared" si="2"/>
        <v>Neto: 8,50 € (a partir de 1 uds.)</v>
      </c>
      <c r="I715" s="4" t="str">
        <f t="shared" si="3"/>
        <v>Neto G.C.: 7,50 € (a partir de 1 uds.)</v>
      </c>
      <c r="J715" s="4">
        <f t="shared" si="4"/>
        <v>10.8</v>
      </c>
      <c r="K715" s="4">
        <f t="shared" si="5"/>
        <v>11.25</v>
      </c>
      <c r="L715" s="4">
        <f t="shared" si="6"/>
        <v>10.8</v>
      </c>
    </row>
    <row r="716">
      <c r="A716" s="1" t="s">
        <v>1092</v>
      </c>
      <c r="B716" s="1" t="s">
        <v>1093</v>
      </c>
      <c r="C716" s="3">
        <v>22.5</v>
      </c>
      <c r="D716" s="3">
        <v>8.5</v>
      </c>
      <c r="E716" s="3">
        <v>7.5</v>
      </c>
      <c r="F716" s="3">
        <v>1.0</v>
      </c>
      <c r="G716" s="4">
        <f t="shared" si="1"/>
        <v>11.25</v>
      </c>
      <c r="H716" s="4" t="str">
        <f t="shared" si="2"/>
        <v>Neto: 8,50 € (a partir de 1 uds.)</v>
      </c>
      <c r="I716" s="4" t="str">
        <f t="shared" si="3"/>
        <v>Neto G.C.: 7,50 € (a partir de 1 uds.)</v>
      </c>
      <c r="J716" s="4">
        <f t="shared" si="4"/>
        <v>10.8</v>
      </c>
      <c r="K716" s="4">
        <f t="shared" si="5"/>
        <v>11.25</v>
      </c>
      <c r="L716" s="4">
        <f t="shared" si="6"/>
        <v>10.8</v>
      </c>
    </row>
    <row r="717">
      <c r="A717" s="3">
        <v>645.0</v>
      </c>
      <c r="B717" s="1" t="s">
        <v>1094</v>
      </c>
      <c r="C717" s="3">
        <v>22.5</v>
      </c>
      <c r="D717" s="3">
        <v>8.5</v>
      </c>
      <c r="E717" s="3">
        <v>7.5</v>
      </c>
      <c r="F717" s="3">
        <v>1.0</v>
      </c>
      <c r="G717" s="4">
        <f t="shared" si="1"/>
        <v>11.25</v>
      </c>
      <c r="H717" s="4" t="str">
        <f t="shared" si="2"/>
        <v>Neto: 8,50 € (a partir de 1 uds.)</v>
      </c>
      <c r="I717" s="4" t="str">
        <f t="shared" si="3"/>
        <v>Neto G.C.: 7,50 € (a partir de 1 uds.)</v>
      </c>
      <c r="J717" s="4">
        <f t="shared" si="4"/>
        <v>10.8</v>
      </c>
      <c r="K717" s="4">
        <f t="shared" si="5"/>
        <v>11.25</v>
      </c>
      <c r="L717" s="4">
        <f t="shared" si="6"/>
        <v>10.8</v>
      </c>
    </row>
    <row r="718">
      <c r="A718" s="1" t="s">
        <v>1095</v>
      </c>
      <c r="B718" s="1" t="s">
        <v>1096</v>
      </c>
      <c r="C718" s="3">
        <v>22.5</v>
      </c>
      <c r="D718" s="3">
        <v>8.5</v>
      </c>
      <c r="E718" s="3">
        <v>7.5</v>
      </c>
      <c r="F718" s="3">
        <v>1.0</v>
      </c>
      <c r="G718" s="4">
        <f t="shared" si="1"/>
        <v>11.25</v>
      </c>
      <c r="H718" s="4" t="str">
        <f t="shared" si="2"/>
        <v>Neto: 8,50 € (a partir de 1 uds.)</v>
      </c>
      <c r="I718" s="4" t="str">
        <f t="shared" si="3"/>
        <v>Neto G.C.: 7,50 € (a partir de 1 uds.)</v>
      </c>
      <c r="J718" s="4">
        <f t="shared" si="4"/>
        <v>10.8</v>
      </c>
      <c r="K718" s="4">
        <f t="shared" si="5"/>
        <v>11.25</v>
      </c>
      <c r="L718" s="4">
        <f t="shared" si="6"/>
        <v>10.8</v>
      </c>
    </row>
    <row r="719">
      <c r="A719" s="3">
        <v>647.0</v>
      </c>
      <c r="B719" s="1" t="s">
        <v>1097</v>
      </c>
      <c r="C719" s="3">
        <v>22.5</v>
      </c>
      <c r="D719" s="3">
        <v>8.5</v>
      </c>
      <c r="E719" s="3">
        <v>7.5</v>
      </c>
      <c r="F719" s="3">
        <v>1.0</v>
      </c>
      <c r="G719" s="4">
        <f t="shared" si="1"/>
        <v>11.25</v>
      </c>
      <c r="H719" s="4" t="str">
        <f t="shared" si="2"/>
        <v>Neto: 8,50 € (a partir de 1 uds.)</v>
      </c>
      <c r="I719" s="4" t="str">
        <f t="shared" si="3"/>
        <v>Neto G.C.: 7,50 € (a partir de 1 uds.)</v>
      </c>
      <c r="J719" s="4">
        <f t="shared" si="4"/>
        <v>10.8</v>
      </c>
      <c r="K719" s="4">
        <f t="shared" si="5"/>
        <v>11.25</v>
      </c>
      <c r="L719" s="4">
        <f t="shared" si="6"/>
        <v>10.8</v>
      </c>
    </row>
    <row r="720">
      <c r="A720" s="1" t="s">
        <v>1098</v>
      </c>
      <c r="B720" s="1" t="s">
        <v>1099</v>
      </c>
      <c r="C720" s="3">
        <v>22.5</v>
      </c>
      <c r="D720" s="3">
        <v>8.5</v>
      </c>
      <c r="E720" s="3">
        <v>7.5</v>
      </c>
      <c r="F720" s="3">
        <v>1.0</v>
      </c>
      <c r="G720" s="4">
        <f t="shared" si="1"/>
        <v>11.25</v>
      </c>
      <c r="H720" s="4" t="str">
        <f t="shared" si="2"/>
        <v>Neto: 8,50 € (a partir de 1 uds.)</v>
      </c>
      <c r="I720" s="4" t="str">
        <f t="shared" si="3"/>
        <v>Neto G.C.: 7,50 € (a partir de 1 uds.)</v>
      </c>
      <c r="J720" s="4">
        <f t="shared" si="4"/>
        <v>10.8</v>
      </c>
      <c r="K720" s="4">
        <f t="shared" si="5"/>
        <v>11.25</v>
      </c>
      <c r="L720" s="4">
        <f t="shared" si="6"/>
        <v>10.8</v>
      </c>
    </row>
    <row r="721">
      <c r="A721" s="3">
        <v>648.0</v>
      </c>
      <c r="B721" s="1" t="s">
        <v>1100</v>
      </c>
      <c r="C721" s="3">
        <v>22.5</v>
      </c>
      <c r="D721" s="3">
        <v>8.5</v>
      </c>
      <c r="E721" s="3">
        <v>7.5</v>
      </c>
      <c r="F721" s="3">
        <v>1.0</v>
      </c>
      <c r="G721" s="4">
        <f t="shared" si="1"/>
        <v>11.25</v>
      </c>
      <c r="H721" s="4" t="str">
        <f t="shared" si="2"/>
        <v>Neto: 8,50 € (a partir de 1 uds.)</v>
      </c>
      <c r="I721" s="4" t="str">
        <f t="shared" si="3"/>
        <v>Neto G.C.: 7,50 € (a partir de 1 uds.)</v>
      </c>
      <c r="J721" s="4">
        <f t="shared" si="4"/>
        <v>10.8</v>
      </c>
      <c r="K721" s="4">
        <f t="shared" si="5"/>
        <v>11.25</v>
      </c>
      <c r="L721" s="4">
        <f t="shared" si="6"/>
        <v>10.8</v>
      </c>
    </row>
    <row r="722">
      <c r="A722" s="1" t="s">
        <v>1101</v>
      </c>
      <c r="B722" s="1" t="s">
        <v>1102</v>
      </c>
      <c r="C722" s="3">
        <v>22.5</v>
      </c>
      <c r="D722" s="3">
        <v>8.5</v>
      </c>
      <c r="E722" s="3">
        <v>7.5</v>
      </c>
      <c r="F722" s="3">
        <v>1.0</v>
      </c>
      <c r="G722" s="4">
        <f t="shared" si="1"/>
        <v>11.25</v>
      </c>
      <c r="H722" s="4" t="str">
        <f t="shared" si="2"/>
        <v>Neto: 8,50 € (a partir de 1 uds.)</v>
      </c>
      <c r="I722" s="4" t="str">
        <f t="shared" si="3"/>
        <v>Neto G.C.: 7,50 € (a partir de 1 uds.)</v>
      </c>
      <c r="J722" s="4">
        <f t="shared" si="4"/>
        <v>10.8</v>
      </c>
      <c r="K722" s="4">
        <f t="shared" si="5"/>
        <v>11.25</v>
      </c>
      <c r="L722" s="4">
        <f t="shared" si="6"/>
        <v>10.8</v>
      </c>
    </row>
    <row r="723">
      <c r="A723" s="3">
        <v>649.0</v>
      </c>
      <c r="B723" s="1" t="s">
        <v>1103</v>
      </c>
      <c r="C723" s="3">
        <v>22.5</v>
      </c>
      <c r="D723" s="3">
        <v>8.5</v>
      </c>
      <c r="E723" s="3">
        <v>7.5</v>
      </c>
      <c r="F723" s="3">
        <v>1.0</v>
      </c>
      <c r="G723" s="4">
        <f t="shared" si="1"/>
        <v>11.25</v>
      </c>
      <c r="H723" s="4" t="str">
        <f t="shared" si="2"/>
        <v>Neto: 8,50 € (a partir de 1 uds.)</v>
      </c>
      <c r="I723" s="4" t="str">
        <f t="shared" si="3"/>
        <v>Neto G.C.: 7,50 € (a partir de 1 uds.)</v>
      </c>
      <c r="J723" s="4">
        <f t="shared" si="4"/>
        <v>10.8</v>
      </c>
      <c r="K723" s="4">
        <f t="shared" si="5"/>
        <v>11.25</v>
      </c>
      <c r="L723" s="4">
        <f t="shared" si="6"/>
        <v>10.8</v>
      </c>
    </row>
    <row r="724">
      <c r="A724" s="1" t="s">
        <v>1104</v>
      </c>
      <c r="B724" s="1" t="s">
        <v>1105</v>
      </c>
      <c r="C724" s="3">
        <v>22.5</v>
      </c>
      <c r="D724" s="3">
        <v>8.5</v>
      </c>
      <c r="E724" s="3">
        <v>7.5</v>
      </c>
      <c r="F724" s="3">
        <v>1.0</v>
      </c>
      <c r="G724" s="4">
        <f t="shared" si="1"/>
        <v>11.25</v>
      </c>
      <c r="H724" s="4" t="str">
        <f t="shared" si="2"/>
        <v>Neto: 8,50 € (a partir de 1 uds.)</v>
      </c>
      <c r="I724" s="4" t="str">
        <f t="shared" si="3"/>
        <v>Neto G.C.: 7,50 € (a partir de 1 uds.)</v>
      </c>
      <c r="J724" s="4">
        <f t="shared" si="4"/>
        <v>10.8</v>
      </c>
      <c r="K724" s="4">
        <f t="shared" si="5"/>
        <v>11.25</v>
      </c>
      <c r="L724" s="4">
        <f t="shared" si="6"/>
        <v>10.8</v>
      </c>
    </row>
    <row r="725">
      <c r="A725" s="3">
        <v>650.0</v>
      </c>
      <c r="B725" s="1" t="s">
        <v>1106</v>
      </c>
      <c r="C725" s="3">
        <v>22.5</v>
      </c>
      <c r="D725" s="3">
        <v>8.5</v>
      </c>
      <c r="E725" s="3">
        <v>7.5</v>
      </c>
      <c r="F725" s="3">
        <v>1.0</v>
      </c>
      <c r="G725" s="4">
        <f t="shared" si="1"/>
        <v>11.25</v>
      </c>
      <c r="H725" s="4" t="str">
        <f t="shared" si="2"/>
        <v>Neto: 8,50 € (a partir de 1 uds.)</v>
      </c>
      <c r="I725" s="4" t="str">
        <f t="shared" si="3"/>
        <v>Neto G.C.: 7,50 € (a partir de 1 uds.)</v>
      </c>
      <c r="J725" s="4">
        <f t="shared" si="4"/>
        <v>10.8</v>
      </c>
      <c r="K725" s="4">
        <f t="shared" si="5"/>
        <v>11.25</v>
      </c>
      <c r="L725" s="4">
        <f t="shared" si="6"/>
        <v>10.8</v>
      </c>
    </row>
    <row r="726">
      <c r="A726" s="1" t="s">
        <v>1107</v>
      </c>
      <c r="B726" s="1" t="s">
        <v>1108</v>
      </c>
      <c r="C726" s="3">
        <v>22.5</v>
      </c>
      <c r="D726" s="3">
        <v>8.5</v>
      </c>
      <c r="E726" s="3">
        <v>7.5</v>
      </c>
      <c r="F726" s="3">
        <v>1.0</v>
      </c>
      <c r="G726" s="4">
        <f t="shared" si="1"/>
        <v>11.25</v>
      </c>
      <c r="H726" s="4" t="str">
        <f t="shared" si="2"/>
        <v>Neto: 8,50 € (a partir de 1 uds.)</v>
      </c>
      <c r="I726" s="4" t="str">
        <f t="shared" si="3"/>
        <v>Neto G.C.: 7,50 € (a partir de 1 uds.)</v>
      </c>
      <c r="J726" s="4">
        <f t="shared" si="4"/>
        <v>10.8</v>
      </c>
      <c r="K726" s="4">
        <f t="shared" si="5"/>
        <v>11.25</v>
      </c>
      <c r="L726" s="4">
        <f t="shared" si="6"/>
        <v>10.8</v>
      </c>
    </row>
    <row r="727">
      <c r="A727" s="3">
        <v>651.0</v>
      </c>
      <c r="B727" s="1" t="s">
        <v>1109</v>
      </c>
      <c r="C727" s="3">
        <v>22.5</v>
      </c>
      <c r="D727" s="3">
        <v>8.5</v>
      </c>
      <c r="E727" s="3">
        <v>7.5</v>
      </c>
      <c r="F727" s="3">
        <v>1.0</v>
      </c>
      <c r="G727" s="4">
        <f t="shared" si="1"/>
        <v>11.25</v>
      </c>
      <c r="H727" s="4" t="str">
        <f t="shared" si="2"/>
        <v>Neto: 8,50 € (a partir de 1 uds.)</v>
      </c>
      <c r="I727" s="4" t="str">
        <f t="shared" si="3"/>
        <v>Neto G.C.: 7,50 € (a partir de 1 uds.)</v>
      </c>
      <c r="J727" s="4">
        <f t="shared" si="4"/>
        <v>10.8</v>
      </c>
      <c r="K727" s="4">
        <f t="shared" si="5"/>
        <v>11.25</v>
      </c>
      <c r="L727" s="4">
        <f t="shared" si="6"/>
        <v>10.8</v>
      </c>
    </row>
    <row r="728">
      <c r="A728" s="1" t="s">
        <v>1110</v>
      </c>
      <c r="B728" s="1" t="s">
        <v>1111</v>
      </c>
      <c r="C728" s="3">
        <v>22.5</v>
      </c>
      <c r="D728" s="3">
        <v>8.5</v>
      </c>
      <c r="E728" s="3">
        <v>7.5</v>
      </c>
      <c r="F728" s="3">
        <v>1.0</v>
      </c>
      <c r="G728" s="4">
        <f t="shared" si="1"/>
        <v>11.25</v>
      </c>
      <c r="H728" s="4" t="str">
        <f t="shared" si="2"/>
        <v>Neto: 8,50 € (a partir de 1 uds.)</v>
      </c>
      <c r="I728" s="4" t="str">
        <f t="shared" si="3"/>
        <v>Neto G.C.: 7,50 € (a partir de 1 uds.)</v>
      </c>
      <c r="J728" s="4">
        <f t="shared" si="4"/>
        <v>10.8</v>
      </c>
      <c r="K728" s="4">
        <f t="shared" si="5"/>
        <v>11.25</v>
      </c>
      <c r="L728" s="4">
        <f t="shared" si="6"/>
        <v>10.8</v>
      </c>
    </row>
    <row r="729">
      <c r="A729" s="3">
        <v>652.0</v>
      </c>
      <c r="B729" s="1" t="s">
        <v>1112</v>
      </c>
      <c r="C729" s="3">
        <v>22.5</v>
      </c>
      <c r="D729" s="3">
        <v>8.5</v>
      </c>
      <c r="E729" s="3">
        <v>7.5</v>
      </c>
      <c r="F729" s="3">
        <v>1.0</v>
      </c>
      <c r="G729" s="4">
        <f t="shared" si="1"/>
        <v>11.25</v>
      </c>
      <c r="H729" s="4" t="str">
        <f t="shared" si="2"/>
        <v>Neto: 8,50 € (a partir de 1 uds.)</v>
      </c>
      <c r="I729" s="4" t="str">
        <f t="shared" si="3"/>
        <v>Neto G.C.: 7,50 € (a partir de 1 uds.)</v>
      </c>
      <c r="J729" s="4">
        <f t="shared" si="4"/>
        <v>10.8</v>
      </c>
      <c r="K729" s="4">
        <f t="shared" si="5"/>
        <v>11.25</v>
      </c>
      <c r="L729" s="4">
        <f t="shared" si="6"/>
        <v>10.8</v>
      </c>
    </row>
    <row r="730">
      <c r="A730" s="1" t="s">
        <v>1113</v>
      </c>
      <c r="B730" s="1" t="s">
        <v>1114</v>
      </c>
      <c r="C730" s="3">
        <v>22.5</v>
      </c>
      <c r="D730" s="3">
        <v>8.5</v>
      </c>
      <c r="E730" s="3">
        <v>7.5</v>
      </c>
      <c r="F730" s="3">
        <v>1.0</v>
      </c>
      <c r="G730" s="4">
        <f t="shared" si="1"/>
        <v>11.25</v>
      </c>
      <c r="H730" s="4" t="str">
        <f t="shared" si="2"/>
        <v>Neto: 8,50 € (a partir de 1 uds.)</v>
      </c>
      <c r="I730" s="4" t="str">
        <f t="shared" si="3"/>
        <v>Neto G.C.: 7,50 € (a partir de 1 uds.)</v>
      </c>
      <c r="J730" s="4">
        <f t="shared" si="4"/>
        <v>10.8</v>
      </c>
      <c r="K730" s="4">
        <f t="shared" si="5"/>
        <v>11.25</v>
      </c>
      <c r="L730" s="4">
        <f t="shared" si="6"/>
        <v>10.8</v>
      </c>
    </row>
    <row r="731">
      <c r="A731" s="3">
        <v>653.0</v>
      </c>
      <c r="B731" s="1" t="s">
        <v>1115</v>
      </c>
      <c r="C731" s="3">
        <v>22.5</v>
      </c>
      <c r="D731" s="3">
        <v>8.5</v>
      </c>
      <c r="E731" s="3">
        <v>7.5</v>
      </c>
      <c r="F731" s="3">
        <v>1.0</v>
      </c>
      <c r="G731" s="4">
        <f t="shared" si="1"/>
        <v>11.25</v>
      </c>
      <c r="H731" s="4" t="str">
        <f t="shared" si="2"/>
        <v>Neto: 8,50 € (a partir de 1 uds.)</v>
      </c>
      <c r="I731" s="4" t="str">
        <f t="shared" si="3"/>
        <v>Neto G.C.: 7,50 € (a partir de 1 uds.)</v>
      </c>
      <c r="J731" s="4">
        <f t="shared" si="4"/>
        <v>10.8</v>
      </c>
      <c r="K731" s="4">
        <f t="shared" si="5"/>
        <v>11.25</v>
      </c>
      <c r="L731" s="4">
        <f t="shared" si="6"/>
        <v>10.8</v>
      </c>
    </row>
    <row r="732">
      <c r="A732" s="3">
        <v>654.0</v>
      </c>
      <c r="B732" s="1" t="s">
        <v>1116</v>
      </c>
      <c r="C732" s="3">
        <v>22.5</v>
      </c>
      <c r="D732" s="3">
        <v>8.5</v>
      </c>
      <c r="E732" s="3">
        <v>7.5</v>
      </c>
      <c r="F732" s="3">
        <v>1.0</v>
      </c>
      <c r="G732" s="4">
        <f t="shared" si="1"/>
        <v>11.25</v>
      </c>
      <c r="H732" s="4" t="str">
        <f t="shared" si="2"/>
        <v>Neto: 8,50 € (a partir de 1 uds.)</v>
      </c>
      <c r="I732" s="4" t="str">
        <f t="shared" si="3"/>
        <v>Neto G.C.: 7,50 € (a partir de 1 uds.)</v>
      </c>
      <c r="J732" s="4">
        <f t="shared" si="4"/>
        <v>10.8</v>
      </c>
      <c r="K732" s="4">
        <f t="shared" si="5"/>
        <v>11.25</v>
      </c>
      <c r="L732" s="4">
        <f t="shared" si="6"/>
        <v>10.8</v>
      </c>
    </row>
    <row r="733">
      <c r="A733" s="3">
        <v>655.0</v>
      </c>
      <c r="B733" s="1" t="s">
        <v>1117</v>
      </c>
      <c r="C733" s="3">
        <v>22.5</v>
      </c>
      <c r="D733" s="3">
        <v>8.5</v>
      </c>
      <c r="E733" s="3">
        <v>7.5</v>
      </c>
      <c r="F733" s="3">
        <v>1.0</v>
      </c>
      <c r="G733" s="4">
        <f t="shared" si="1"/>
        <v>11.25</v>
      </c>
      <c r="H733" s="4" t="str">
        <f t="shared" si="2"/>
        <v>Neto: 8,50 € (a partir de 1 uds.)</v>
      </c>
      <c r="I733" s="4" t="str">
        <f t="shared" si="3"/>
        <v>Neto G.C.: 7,50 € (a partir de 1 uds.)</v>
      </c>
      <c r="J733" s="4">
        <f t="shared" si="4"/>
        <v>10.8</v>
      </c>
      <c r="K733" s="4">
        <f t="shared" si="5"/>
        <v>11.25</v>
      </c>
      <c r="L733" s="4">
        <f t="shared" si="6"/>
        <v>10.8</v>
      </c>
    </row>
    <row r="734">
      <c r="A734" s="3">
        <v>656.0</v>
      </c>
      <c r="B734" s="1" t="s">
        <v>1118</v>
      </c>
      <c r="C734" s="3">
        <v>22.5</v>
      </c>
      <c r="D734" s="3">
        <v>8.5</v>
      </c>
      <c r="E734" s="3">
        <v>7.5</v>
      </c>
      <c r="F734" s="3">
        <v>1.0</v>
      </c>
      <c r="G734" s="4">
        <f t="shared" si="1"/>
        <v>11.25</v>
      </c>
      <c r="H734" s="4" t="str">
        <f t="shared" si="2"/>
        <v>Neto: 8,50 € (a partir de 1 uds.)</v>
      </c>
      <c r="I734" s="4" t="str">
        <f t="shared" si="3"/>
        <v>Neto G.C.: 7,50 € (a partir de 1 uds.)</v>
      </c>
      <c r="J734" s="4">
        <f t="shared" si="4"/>
        <v>10.8</v>
      </c>
      <c r="K734" s="4">
        <f t="shared" si="5"/>
        <v>11.25</v>
      </c>
      <c r="L734" s="4">
        <f t="shared" si="6"/>
        <v>10.8</v>
      </c>
    </row>
    <row r="735">
      <c r="A735" s="1" t="s">
        <v>1119</v>
      </c>
      <c r="B735" s="1" t="s">
        <v>1120</v>
      </c>
      <c r="C735" s="3">
        <v>22.5</v>
      </c>
      <c r="D735" s="3">
        <v>8.5</v>
      </c>
      <c r="E735" s="3">
        <v>7.5</v>
      </c>
      <c r="F735" s="3">
        <v>1.0</v>
      </c>
      <c r="G735" s="4">
        <f t="shared" si="1"/>
        <v>11.25</v>
      </c>
      <c r="H735" s="4" t="str">
        <f t="shared" si="2"/>
        <v>Neto: 8,50 € (a partir de 1 uds.)</v>
      </c>
      <c r="I735" s="4" t="str">
        <f t="shared" si="3"/>
        <v>Neto G.C.: 7,50 € (a partir de 1 uds.)</v>
      </c>
      <c r="J735" s="4">
        <f t="shared" si="4"/>
        <v>10.8</v>
      </c>
      <c r="K735" s="4">
        <f t="shared" si="5"/>
        <v>11.25</v>
      </c>
      <c r="L735" s="4">
        <f t="shared" si="6"/>
        <v>10.8</v>
      </c>
    </row>
    <row r="736">
      <c r="A736" s="3">
        <v>657.0</v>
      </c>
      <c r="B736" s="1" t="s">
        <v>1121</v>
      </c>
      <c r="C736" s="3">
        <v>22.5</v>
      </c>
      <c r="D736" s="3">
        <v>8.5</v>
      </c>
      <c r="E736" s="3">
        <v>7.5</v>
      </c>
      <c r="F736" s="3">
        <v>1.0</v>
      </c>
      <c r="G736" s="4">
        <f t="shared" si="1"/>
        <v>11.25</v>
      </c>
      <c r="H736" s="4" t="str">
        <f t="shared" si="2"/>
        <v>Neto: 8,50 € (a partir de 1 uds.)</v>
      </c>
      <c r="I736" s="4" t="str">
        <f t="shared" si="3"/>
        <v>Neto G.C.: 7,50 € (a partir de 1 uds.)</v>
      </c>
      <c r="J736" s="4">
        <f t="shared" si="4"/>
        <v>10.8</v>
      </c>
      <c r="K736" s="4">
        <f t="shared" si="5"/>
        <v>11.25</v>
      </c>
      <c r="L736" s="4">
        <f t="shared" si="6"/>
        <v>10.8</v>
      </c>
    </row>
    <row r="737">
      <c r="A737" s="1" t="s">
        <v>1122</v>
      </c>
      <c r="B737" s="1" t="s">
        <v>1123</v>
      </c>
      <c r="C737" s="3">
        <v>22.5</v>
      </c>
      <c r="D737" s="3">
        <v>8.5</v>
      </c>
      <c r="E737" s="3">
        <v>7.5</v>
      </c>
      <c r="F737" s="3">
        <v>1.0</v>
      </c>
      <c r="G737" s="4">
        <f t="shared" si="1"/>
        <v>11.25</v>
      </c>
      <c r="H737" s="4" t="str">
        <f t="shared" si="2"/>
        <v>Neto: 8,50 € (a partir de 1 uds.)</v>
      </c>
      <c r="I737" s="4" t="str">
        <f t="shared" si="3"/>
        <v>Neto G.C.: 7,50 € (a partir de 1 uds.)</v>
      </c>
      <c r="J737" s="4">
        <f t="shared" si="4"/>
        <v>10.8</v>
      </c>
      <c r="K737" s="4">
        <f t="shared" si="5"/>
        <v>11.25</v>
      </c>
      <c r="L737" s="4">
        <f t="shared" si="6"/>
        <v>10.8</v>
      </c>
    </row>
    <row r="738">
      <c r="A738" s="3">
        <v>658.0</v>
      </c>
      <c r="B738" s="1" t="s">
        <v>1124</v>
      </c>
      <c r="C738" s="3">
        <v>34.0</v>
      </c>
      <c r="D738" s="5"/>
      <c r="E738" s="5"/>
      <c r="F738" s="5"/>
      <c r="G738" s="4">
        <f t="shared" si="1"/>
        <v>17</v>
      </c>
      <c r="H738" s="4" t="str">
        <f t="shared" si="2"/>
        <v>Sin precio neto</v>
      </c>
      <c r="I738" s="4" t="str">
        <f t="shared" si="3"/>
        <v>Sin precio neto G.C.</v>
      </c>
      <c r="J738" s="4">
        <f t="shared" si="4"/>
        <v>16.32</v>
      </c>
      <c r="K738" s="4">
        <f t="shared" si="5"/>
        <v>17</v>
      </c>
      <c r="L738" s="4">
        <f t="shared" si="6"/>
        <v>16.32</v>
      </c>
    </row>
    <row r="739">
      <c r="A739" s="3">
        <v>661.0</v>
      </c>
      <c r="B739" s="1" t="s">
        <v>1125</v>
      </c>
      <c r="C739" s="3">
        <v>22.5</v>
      </c>
      <c r="D739" s="3">
        <v>8.5</v>
      </c>
      <c r="E739" s="3">
        <v>7.5</v>
      </c>
      <c r="F739" s="3">
        <v>1.0</v>
      </c>
      <c r="G739" s="4">
        <f t="shared" si="1"/>
        <v>11.25</v>
      </c>
      <c r="H739" s="4" t="str">
        <f t="shared" si="2"/>
        <v>Neto: 8,50 € (a partir de 1 uds.)</v>
      </c>
      <c r="I739" s="4" t="str">
        <f t="shared" si="3"/>
        <v>Neto G.C.: 7,50 € (a partir de 1 uds.)</v>
      </c>
      <c r="J739" s="4">
        <f t="shared" si="4"/>
        <v>10.8</v>
      </c>
      <c r="K739" s="4">
        <f t="shared" si="5"/>
        <v>11.25</v>
      </c>
      <c r="L739" s="4">
        <f t="shared" si="6"/>
        <v>10.8</v>
      </c>
    </row>
    <row r="740">
      <c r="A740" s="1" t="s">
        <v>1126</v>
      </c>
      <c r="B740" s="1" t="s">
        <v>1127</v>
      </c>
      <c r="C740" s="3">
        <v>12.3</v>
      </c>
      <c r="D740" s="5"/>
      <c r="E740" s="5"/>
      <c r="F740" s="5"/>
      <c r="G740" s="4">
        <f t="shared" si="1"/>
        <v>6.15</v>
      </c>
      <c r="H740" s="4" t="str">
        <f t="shared" si="2"/>
        <v>Sin precio neto</v>
      </c>
      <c r="I740" s="4" t="str">
        <f t="shared" si="3"/>
        <v>Sin precio neto G.C.</v>
      </c>
      <c r="J740" s="4">
        <f t="shared" si="4"/>
        <v>5.904</v>
      </c>
      <c r="K740" s="4">
        <f t="shared" si="5"/>
        <v>6.15</v>
      </c>
      <c r="L740" s="4">
        <f t="shared" si="6"/>
        <v>5.904</v>
      </c>
    </row>
    <row r="741">
      <c r="A741" s="3">
        <v>662.0</v>
      </c>
      <c r="B741" s="1" t="s">
        <v>1128</v>
      </c>
      <c r="C741" s="3">
        <v>22.5</v>
      </c>
      <c r="D741" s="3">
        <v>8.5</v>
      </c>
      <c r="E741" s="3">
        <v>7.5</v>
      </c>
      <c r="F741" s="3">
        <v>1.0</v>
      </c>
      <c r="G741" s="4">
        <f t="shared" si="1"/>
        <v>11.25</v>
      </c>
      <c r="H741" s="4" t="str">
        <f t="shared" si="2"/>
        <v>Neto: 8,50 € (a partir de 1 uds.)</v>
      </c>
      <c r="I741" s="4" t="str">
        <f t="shared" si="3"/>
        <v>Neto G.C.: 7,50 € (a partir de 1 uds.)</v>
      </c>
      <c r="J741" s="4">
        <f t="shared" si="4"/>
        <v>10.8</v>
      </c>
      <c r="K741" s="4">
        <f t="shared" si="5"/>
        <v>11.25</v>
      </c>
      <c r="L741" s="4">
        <f t="shared" si="6"/>
        <v>10.8</v>
      </c>
    </row>
    <row r="742">
      <c r="A742" s="3">
        <v>663.0</v>
      </c>
      <c r="B742" s="1" t="s">
        <v>1129</v>
      </c>
      <c r="C742" s="3">
        <v>22.5</v>
      </c>
      <c r="D742" s="3">
        <v>8.5</v>
      </c>
      <c r="E742" s="3">
        <v>7.5</v>
      </c>
      <c r="F742" s="3">
        <v>1.0</v>
      </c>
      <c r="G742" s="4">
        <f t="shared" si="1"/>
        <v>11.25</v>
      </c>
      <c r="H742" s="4" t="str">
        <f t="shared" si="2"/>
        <v>Neto: 8,50 € (a partir de 1 uds.)</v>
      </c>
      <c r="I742" s="4" t="str">
        <f t="shared" si="3"/>
        <v>Neto G.C.: 7,50 € (a partir de 1 uds.)</v>
      </c>
      <c r="J742" s="4">
        <f t="shared" si="4"/>
        <v>10.8</v>
      </c>
      <c r="K742" s="4">
        <f t="shared" si="5"/>
        <v>11.25</v>
      </c>
      <c r="L742" s="4">
        <f t="shared" si="6"/>
        <v>10.8</v>
      </c>
    </row>
    <row r="743">
      <c r="A743" s="3">
        <v>664.0</v>
      </c>
      <c r="B743" s="1" t="s">
        <v>1130</v>
      </c>
      <c r="C743" s="3">
        <v>22.5</v>
      </c>
      <c r="D743" s="3">
        <v>8.5</v>
      </c>
      <c r="E743" s="3">
        <v>7.5</v>
      </c>
      <c r="F743" s="3">
        <v>1.0</v>
      </c>
      <c r="G743" s="4">
        <f t="shared" si="1"/>
        <v>11.25</v>
      </c>
      <c r="H743" s="4" t="str">
        <f t="shared" si="2"/>
        <v>Neto: 8,50 € (a partir de 1 uds.)</v>
      </c>
      <c r="I743" s="4" t="str">
        <f t="shared" si="3"/>
        <v>Neto G.C.: 7,50 € (a partir de 1 uds.)</v>
      </c>
      <c r="J743" s="4">
        <f t="shared" si="4"/>
        <v>10.8</v>
      </c>
      <c r="K743" s="4">
        <f t="shared" si="5"/>
        <v>11.25</v>
      </c>
      <c r="L743" s="4">
        <f t="shared" si="6"/>
        <v>10.8</v>
      </c>
    </row>
    <row r="744">
      <c r="A744" s="1" t="s">
        <v>1131</v>
      </c>
      <c r="B744" s="1" t="s">
        <v>1132</v>
      </c>
      <c r="C744" s="3">
        <v>12.3</v>
      </c>
      <c r="D744" s="5"/>
      <c r="E744" s="5"/>
      <c r="F744" s="5"/>
      <c r="G744" s="4">
        <f t="shared" si="1"/>
        <v>6.15</v>
      </c>
      <c r="H744" s="4" t="str">
        <f t="shared" si="2"/>
        <v>Sin precio neto</v>
      </c>
      <c r="I744" s="4" t="str">
        <f t="shared" si="3"/>
        <v>Sin precio neto G.C.</v>
      </c>
      <c r="J744" s="4">
        <f t="shared" si="4"/>
        <v>5.904</v>
      </c>
      <c r="K744" s="4">
        <f t="shared" si="5"/>
        <v>6.15</v>
      </c>
      <c r="L744" s="4">
        <f t="shared" si="6"/>
        <v>5.904</v>
      </c>
    </row>
    <row r="745">
      <c r="A745" s="3">
        <v>665.0</v>
      </c>
      <c r="B745" s="1" t="s">
        <v>1133</v>
      </c>
      <c r="C745" s="3">
        <v>22.5</v>
      </c>
      <c r="D745" s="3">
        <v>8.5</v>
      </c>
      <c r="E745" s="3">
        <v>7.5</v>
      </c>
      <c r="F745" s="3">
        <v>1.0</v>
      </c>
      <c r="G745" s="4">
        <f t="shared" si="1"/>
        <v>11.25</v>
      </c>
      <c r="H745" s="4" t="str">
        <f t="shared" si="2"/>
        <v>Neto: 8,50 € (a partir de 1 uds.)</v>
      </c>
      <c r="I745" s="4" t="str">
        <f t="shared" si="3"/>
        <v>Neto G.C.: 7,50 € (a partir de 1 uds.)</v>
      </c>
      <c r="J745" s="4">
        <f t="shared" si="4"/>
        <v>10.8</v>
      </c>
      <c r="K745" s="4">
        <f t="shared" si="5"/>
        <v>11.25</v>
      </c>
      <c r="L745" s="4">
        <f t="shared" si="6"/>
        <v>10.8</v>
      </c>
    </row>
    <row r="746">
      <c r="A746" s="3">
        <v>666.0</v>
      </c>
      <c r="B746" s="1" t="s">
        <v>1134</v>
      </c>
      <c r="C746" s="3">
        <v>22.5</v>
      </c>
      <c r="D746" s="3">
        <v>8.5</v>
      </c>
      <c r="E746" s="3">
        <v>7.5</v>
      </c>
      <c r="F746" s="3">
        <v>1.0</v>
      </c>
      <c r="G746" s="4">
        <f t="shared" si="1"/>
        <v>11.25</v>
      </c>
      <c r="H746" s="4" t="str">
        <f t="shared" si="2"/>
        <v>Neto: 8,50 € (a partir de 1 uds.)</v>
      </c>
      <c r="I746" s="4" t="str">
        <f t="shared" si="3"/>
        <v>Neto G.C.: 7,50 € (a partir de 1 uds.)</v>
      </c>
      <c r="J746" s="4">
        <f t="shared" si="4"/>
        <v>10.8</v>
      </c>
      <c r="K746" s="4">
        <f t="shared" si="5"/>
        <v>11.25</v>
      </c>
      <c r="L746" s="4">
        <f t="shared" si="6"/>
        <v>10.8</v>
      </c>
    </row>
    <row r="747">
      <c r="A747" s="3">
        <v>667.0</v>
      </c>
      <c r="B747" s="1" t="s">
        <v>1135</v>
      </c>
      <c r="C747" s="3">
        <v>39.0</v>
      </c>
      <c r="D747" s="3">
        <v>17.8</v>
      </c>
      <c r="E747" s="3">
        <v>17.8</v>
      </c>
      <c r="F747" s="3">
        <v>10.0</v>
      </c>
      <c r="G747" s="4">
        <f t="shared" si="1"/>
        <v>19.5</v>
      </c>
      <c r="H747" s="4" t="str">
        <f t="shared" si="2"/>
        <v>Neto: 17,80 € (a partir de 10 uds.)</v>
      </c>
      <c r="I747" s="4" t="str">
        <f t="shared" si="3"/>
        <v>Neto G.C.: 17,80 € (a partir de 10 uds.)</v>
      </c>
      <c r="J747" s="4">
        <f t="shared" si="4"/>
        <v>18.72</v>
      </c>
      <c r="K747" s="4">
        <f t="shared" si="5"/>
        <v>19.5</v>
      </c>
      <c r="L747" s="4">
        <f t="shared" si="6"/>
        <v>18.72</v>
      </c>
    </row>
    <row r="748">
      <c r="A748" s="3">
        <v>668.0</v>
      </c>
      <c r="B748" s="1" t="s">
        <v>1136</v>
      </c>
      <c r="C748" s="3">
        <v>22.5</v>
      </c>
      <c r="D748" s="3">
        <v>8.5</v>
      </c>
      <c r="E748" s="3">
        <v>7.5</v>
      </c>
      <c r="F748" s="3">
        <v>1.0</v>
      </c>
      <c r="G748" s="4">
        <f t="shared" si="1"/>
        <v>11.25</v>
      </c>
      <c r="H748" s="4" t="str">
        <f t="shared" si="2"/>
        <v>Neto: 8,50 € (a partir de 1 uds.)</v>
      </c>
      <c r="I748" s="4" t="str">
        <f t="shared" si="3"/>
        <v>Neto G.C.: 7,50 € (a partir de 1 uds.)</v>
      </c>
      <c r="J748" s="4">
        <f t="shared" si="4"/>
        <v>10.8</v>
      </c>
      <c r="K748" s="4">
        <f t="shared" si="5"/>
        <v>11.25</v>
      </c>
      <c r="L748" s="4">
        <f t="shared" si="6"/>
        <v>10.8</v>
      </c>
    </row>
    <row r="749">
      <c r="A749" s="3">
        <v>670.0</v>
      </c>
      <c r="B749" s="1" t="s">
        <v>1137</v>
      </c>
      <c r="C749" s="3">
        <v>22.5</v>
      </c>
      <c r="D749" s="3">
        <v>8.5</v>
      </c>
      <c r="E749" s="3">
        <v>7.5</v>
      </c>
      <c r="F749" s="3">
        <v>1.0</v>
      </c>
      <c r="G749" s="4">
        <f t="shared" si="1"/>
        <v>11.25</v>
      </c>
      <c r="H749" s="4" t="str">
        <f t="shared" si="2"/>
        <v>Neto: 8,50 € (a partir de 1 uds.)</v>
      </c>
      <c r="I749" s="4" t="str">
        <f t="shared" si="3"/>
        <v>Neto G.C.: 7,50 € (a partir de 1 uds.)</v>
      </c>
      <c r="J749" s="4">
        <f t="shared" si="4"/>
        <v>10.8</v>
      </c>
      <c r="K749" s="4">
        <f t="shared" si="5"/>
        <v>11.25</v>
      </c>
      <c r="L749" s="4">
        <f t="shared" si="6"/>
        <v>10.8</v>
      </c>
    </row>
    <row r="750">
      <c r="A750" s="1" t="s">
        <v>1138</v>
      </c>
      <c r="B750" s="1" t="s">
        <v>1139</v>
      </c>
      <c r="C750" s="3">
        <v>22.5</v>
      </c>
      <c r="D750" s="3">
        <v>8.5</v>
      </c>
      <c r="E750" s="3">
        <v>7.5</v>
      </c>
      <c r="F750" s="3">
        <v>1.0</v>
      </c>
      <c r="G750" s="4">
        <f t="shared" si="1"/>
        <v>11.25</v>
      </c>
      <c r="H750" s="4" t="str">
        <f t="shared" si="2"/>
        <v>Neto: 8,50 € (a partir de 1 uds.)</v>
      </c>
      <c r="I750" s="4" t="str">
        <f t="shared" si="3"/>
        <v>Neto G.C.: 7,50 € (a partir de 1 uds.)</v>
      </c>
      <c r="J750" s="4">
        <f t="shared" si="4"/>
        <v>10.8</v>
      </c>
      <c r="K750" s="4">
        <f t="shared" si="5"/>
        <v>11.25</v>
      </c>
      <c r="L750" s="4">
        <f t="shared" si="6"/>
        <v>10.8</v>
      </c>
    </row>
    <row r="751">
      <c r="A751" s="3">
        <v>671.0</v>
      </c>
      <c r="B751" s="1" t="s">
        <v>1140</v>
      </c>
      <c r="C751" s="3">
        <v>22.5</v>
      </c>
      <c r="D751" s="3">
        <v>8.5</v>
      </c>
      <c r="E751" s="3">
        <v>7.5</v>
      </c>
      <c r="F751" s="3">
        <v>1.0</v>
      </c>
      <c r="G751" s="4">
        <f t="shared" si="1"/>
        <v>11.25</v>
      </c>
      <c r="H751" s="4" t="str">
        <f t="shared" si="2"/>
        <v>Neto: 8,50 € (a partir de 1 uds.)</v>
      </c>
      <c r="I751" s="4" t="str">
        <f t="shared" si="3"/>
        <v>Neto G.C.: 7,50 € (a partir de 1 uds.)</v>
      </c>
      <c r="J751" s="4">
        <f t="shared" si="4"/>
        <v>10.8</v>
      </c>
      <c r="K751" s="4">
        <f t="shared" si="5"/>
        <v>11.25</v>
      </c>
      <c r="L751" s="4">
        <f t="shared" si="6"/>
        <v>10.8</v>
      </c>
    </row>
    <row r="752">
      <c r="A752" s="1" t="s">
        <v>1141</v>
      </c>
      <c r="B752" s="1" t="s">
        <v>1142</v>
      </c>
      <c r="C752" s="3">
        <v>22.5</v>
      </c>
      <c r="D752" s="3">
        <v>8.5</v>
      </c>
      <c r="E752" s="3">
        <v>7.5</v>
      </c>
      <c r="F752" s="3">
        <v>1.0</v>
      </c>
      <c r="G752" s="4">
        <f t="shared" si="1"/>
        <v>11.25</v>
      </c>
      <c r="H752" s="4" t="str">
        <f t="shared" si="2"/>
        <v>Neto: 8,50 € (a partir de 1 uds.)</v>
      </c>
      <c r="I752" s="4" t="str">
        <f t="shared" si="3"/>
        <v>Neto G.C.: 7,50 € (a partir de 1 uds.)</v>
      </c>
      <c r="J752" s="4">
        <f t="shared" si="4"/>
        <v>10.8</v>
      </c>
      <c r="K752" s="4">
        <f t="shared" si="5"/>
        <v>11.25</v>
      </c>
      <c r="L752" s="4">
        <f t="shared" si="6"/>
        <v>10.8</v>
      </c>
    </row>
    <row r="753">
      <c r="A753" s="3">
        <v>672.0</v>
      </c>
      <c r="B753" s="1" t="s">
        <v>1143</v>
      </c>
      <c r="C753" s="3">
        <v>22.5</v>
      </c>
      <c r="D753" s="3">
        <v>8.5</v>
      </c>
      <c r="E753" s="3">
        <v>7.5</v>
      </c>
      <c r="F753" s="3">
        <v>1.0</v>
      </c>
      <c r="G753" s="4">
        <f t="shared" si="1"/>
        <v>11.25</v>
      </c>
      <c r="H753" s="4" t="str">
        <f t="shared" si="2"/>
        <v>Neto: 8,50 € (a partir de 1 uds.)</v>
      </c>
      <c r="I753" s="4" t="str">
        <f t="shared" si="3"/>
        <v>Neto G.C.: 7,50 € (a partir de 1 uds.)</v>
      </c>
      <c r="J753" s="4">
        <f t="shared" si="4"/>
        <v>10.8</v>
      </c>
      <c r="K753" s="4">
        <f t="shared" si="5"/>
        <v>11.25</v>
      </c>
      <c r="L753" s="4">
        <f t="shared" si="6"/>
        <v>10.8</v>
      </c>
    </row>
    <row r="754">
      <c r="A754" s="1" t="s">
        <v>1144</v>
      </c>
      <c r="B754" s="1" t="s">
        <v>1145</v>
      </c>
      <c r="C754" s="3">
        <v>22.5</v>
      </c>
      <c r="D754" s="3">
        <v>8.5</v>
      </c>
      <c r="E754" s="3">
        <v>7.5</v>
      </c>
      <c r="F754" s="3">
        <v>1.0</v>
      </c>
      <c r="G754" s="4">
        <f t="shared" si="1"/>
        <v>11.25</v>
      </c>
      <c r="H754" s="4" t="str">
        <f t="shared" si="2"/>
        <v>Neto: 8,50 € (a partir de 1 uds.)</v>
      </c>
      <c r="I754" s="4" t="str">
        <f t="shared" si="3"/>
        <v>Neto G.C.: 7,50 € (a partir de 1 uds.)</v>
      </c>
      <c r="J754" s="4">
        <f t="shared" si="4"/>
        <v>10.8</v>
      </c>
      <c r="K754" s="4">
        <f t="shared" si="5"/>
        <v>11.25</v>
      </c>
      <c r="L754" s="4">
        <f t="shared" si="6"/>
        <v>10.8</v>
      </c>
    </row>
    <row r="755">
      <c r="A755" s="3">
        <v>673.0</v>
      </c>
      <c r="B755" s="1" t="s">
        <v>1146</v>
      </c>
      <c r="C755" s="3">
        <v>22.5</v>
      </c>
      <c r="D755" s="3">
        <v>8.5</v>
      </c>
      <c r="E755" s="3">
        <v>7.5</v>
      </c>
      <c r="F755" s="3">
        <v>1.0</v>
      </c>
      <c r="G755" s="4">
        <f t="shared" si="1"/>
        <v>11.25</v>
      </c>
      <c r="H755" s="4" t="str">
        <f t="shared" si="2"/>
        <v>Neto: 8,50 € (a partir de 1 uds.)</v>
      </c>
      <c r="I755" s="4" t="str">
        <f t="shared" si="3"/>
        <v>Neto G.C.: 7,50 € (a partir de 1 uds.)</v>
      </c>
      <c r="J755" s="4">
        <f t="shared" si="4"/>
        <v>10.8</v>
      </c>
      <c r="K755" s="4">
        <f t="shared" si="5"/>
        <v>11.25</v>
      </c>
      <c r="L755" s="4">
        <f t="shared" si="6"/>
        <v>10.8</v>
      </c>
    </row>
    <row r="756">
      <c r="A756" s="1" t="s">
        <v>1147</v>
      </c>
      <c r="B756" s="1" t="s">
        <v>1146</v>
      </c>
      <c r="C756" s="3">
        <v>22.5</v>
      </c>
      <c r="D756" s="3">
        <v>8.5</v>
      </c>
      <c r="E756" s="3">
        <v>7.5</v>
      </c>
      <c r="F756" s="3">
        <v>1.0</v>
      </c>
      <c r="G756" s="4">
        <f t="shared" si="1"/>
        <v>11.25</v>
      </c>
      <c r="H756" s="4" t="str">
        <f t="shared" si="2"/>
        <v>Neto: 8,50 € (a partir de 1 uds.)</v>
      </c>
      <c r="I756" s="4" t="str">
        <f t="shared" si="3"/>
        <v>Neto G.C.: 7,50 € (a partir de 1 uds.)</v>
      </c>
      <c r="J756" s="4">
        <f t="shared" si="4"/>
        <v>10.8</v>
      </c>
      <c r="K756" s="4">
        <f t="shared" si="5"/>
        <v>11.25</v>
      </c>
      <c r="L756" s="4">
        <f t="shared" si="6"/>
        <v>10.8</v>
      </c>
    </row>
    <row r="757">
      <c r="A757" s="3">
        <v>674.0</v>
      </c>
      <c r="B757" s="1" t="s">
        <v>1148</v>
      </c>
      <c r="C757" s="3">
        <v>22.5</v>
      </c>
      <c r="D757" s="3">
        <v>8.5</v>
      </c>
      <c r="E757" s="3">
        <v>7.5</v>
      </c>
      <c r="F757" s="3">
        <v>1.0</v>
      </c>
      <c r="G757" s="4">
        <f t="shared" si="1"/>
        <v>11.25</v>
      </c>
      <c r="H757" s="4" t="str">
        <f t="shared" si="2"/>
        <v>Neto: 8,50 € (a partir de 1 uds.)</v>
      </c>
      <c r="I757" s="4" t="str">
        <f t="shared" si="3"/>
        <v>Neto G.C.: 7,50 € (a partir de 1 uds.)</v>
      </c>
      <c r="J757" s="4">
        <f t="shared" si="4"/>
        <v>10.8</v>
      </c>
      <c r="K757" s="4">
        <f t="shared" si="5"/>
        <v>11.25</v>
      </c>
      <c r="L757" s="4">
        <f t="shared" si="6"/>
        <v>10.8</v>
      </c>
    </row>
    <row r="758">
      <c r="A758" s="1" t="s">
        <v>1149</v>
      </c>
      <c r="B758" s="1" t="s">
        <v>1150</v>
      </c>
      <c r="C758" s="3">
        <v>22.5</v>
      </c>
      <c r="D758" s="3">
        <v>8.5</v>
      </c>
      <c r="E758" s="3">
        <v>7.5</v>
      </c>
      <c r="F758" s="3">
        <v>1.0</v>
      </c>
      <c r="G758" s="4">
        <f t="shared" si="1"/>
        <v>11.25</v>
      </c>
      <c r="H758" s="4" t="str">
        <f t="shared" si="2"/>
        <v>Neto: 8,50 € (a partir de 1 uds.)</v>
      </c>
      <c r="I758" s="4" t="str">
        <f t="shared" si="3"/>
        <v>Neto G.C.: 7,50 € (a partir de 1 uds.)</v>
      </c>
      <c r="J758" s="4">
        <f t="shared" si="4"/>
        <v>10.8</v>
      </c>
      <c r="K758" s="4">
        <f t="shared" si="5"/>
        <v>11.25</v>
      </c>
      <c r="L758" s="4">
        <f t="shared" si="6"/>
        <v>10.8</v>
      </c>
    </row>
    <row r="759">
      <c r="A759" s="1" t="s">
        <v>1151</v>
      </c>
      <c r="B759" s="1" t="s">
        <v>1152</v>
      </c>
      <c r="C759" s="3">
        <v>22.5</v>
      </c>
      <c r="D759" s="3">
        <v>8.5</v>
      </c>
      <c r="E759" s="3">
        <v>7.5</v>
      </c>
      <c r="F759" s="3">
        <v>1.0</v>
      </c>
      <c r="G759" s="4">
        <f t="shared" si="1"/>
        <v>11.25</v>
      </c>
      <c r="H759" s="4" t="str">
        <f t="shared" si="2"/>
        <v>Neto: 8,50 € (a partir de 1 uds.)</v>
      </c>
      <c r="I759" s="4" t="str">
        <f t="shared" si="3"/>
        <v>Neto G.C.: 7,50 € (a partir de 1 uds.)</v>
      </c>
      <c r="J759" s="4">
        <f t="shared" si="4"/>
        <v>10.8</v>
      </c>
      <c r="K759" s="4">
        <f t="shared" si="5"/>
        <v>11.25</v>
      </c>
      <c r="L759" s="4">
        <f t="shared" si="6"/>
        <v>10.8</v>
      </c>
    </row>
    <row r="760">
      <c r="A760" s="1" t="s">
        <v>1153</v>
      </c>
      <c r="B760" s="1" t="s">
        <v>1154</v>
      </c>
      <c r="C760" s="3">
        <v>22.5</v>
      </c>
      <c r="D760" s="3">
        <v>8.5</v>
      </c>
      <c r="E760" s="3">
        <v>7.5</v>
      </c>
      <c r="F760" s="3">
        <v>1.0</v>
      </c>
      <c r="G760" s="4">
        <f t="shared" si="1"/>
        <v>11.25</v>
      </c>
      <c r="H760" s="4" t="str">
        <f t="shared" si="2"/>
        <v>Neto: 8,50 € (a partir de 1 uds.)</v>
      </c>
      <c r="I760" s="4" t="str">
        <f t="shared" si="3"/>
        <v>Neto G.C.: 7,50 € (a partir de 1 uds.)</v>
      </c>
      <c r="J760" s="4">
        <f t="shared" si="4"/>
        <v>10.8</v>
      </c>
      <c r="K760" s="4">
        <f t="shared" si="5"/>
        <v>11.25</v>
      </c>
      <c r="L760" s="4">
        <f t="shared" si="6"/>
        <v>10.8</v>
      </c>
    </row>
    <row r="761">
      <c r="A761" s="3">
        <v>675.0</v>
      </c>
      <c r="B761" s="1" t="s">
        <v>1155</v>
      </c>
      <c r="C761" s="3">
        <v>23.5</v>
      </c>
      <c r="D761" s="3">
        <v>9.5</v>
      </c>
      <c r="E761" s="3">
        <v>7.5</v>
      </c>
      <c r="F761" s="3">
        <v>10.0</v>
      </c>
      <c r="G761" s="4">
        <f t="shared" si="1"/>
        <v>11.75</v>
      </c>
      <c r="H761" s="4" t="str">
        <f t="shared" si="2"/>
        <v>Neto: 9,50 € (a partir de 10 uds.)</v>
      </c>
      <c r="I761" s="4" t="str">
        <f t="shared" si="3"/>
        <v>Neto G.C.: 7,50 € (a partir de 10 uds.)</v>
      </c>
      <c r="J761" s="4">
        <f t="shared" si="4"/>
        <v>11.28</v>
      </c>
      <c r="K761" s="4">
        <f t="shared" si="5"/>
        <v>11.75</v>
      </c>
      <c r="L761" s="4">
        <f t="shared" si="6"/>
        <v>11.28</v>
      </c>
    </row>
    <row r="762">
      <c r="A762" s="7" t="s">
        <v>1156</v>
      </c>
      <c r="B762" s="1" t="s">
        <v>1157</v>
      </c>
      <c r="C762" s="3">
        <v>23.0</v>
      </c>
      <c r="D762" s="5"/>
      <c r="E762" s="5"/>
      <c r="F762" s="5"/>
      <c r="G762" s="4">
        <f t="shared" si="1"/>
        <v>11.5</v>
      </c>
      <c r="H762" s="4" t="str">
        <f t="shared" si="2"/>
        <v>Sin precio neto</v>
      </c>
      <c r="I762" s="4" t="str">
        <f t="shared" si="3"/>
        <v>Sin precio neto G.C.</v>
      </c>
      <c r="J762" s="4">
        <f t="shared" si="4"/>
        <v>11.04</v>
      </c>
      <c r="K762" s="4">
        <f t="shared" si="5"/>
        <v>11.5</v>
      </c>
      <c r="L762" s="4">
        <f t="shared" si="6"/>
        <v>11.04</v>
      </c>
    </row>
    <row r="763">
      <c r="A763" s="1" t="s">
        <v>1158</v>
      </c>
      <c r="B763" s="1" t="s">
        <v>1159</v>
      </c>
      <c r="C763" s="3">
        <v>33.0</v>
      </c>
      <c r="D763" s="5"/>
      <c r="E763" s="5"/>
      <c r="F763" s="5"/>
      <c r="G763" s="4">
        <f t="shared" si="1"/>
        <v>16.5</v>
      </c>
      <c r="H763" s="4" t="str">
        <f t="shared" si="2"/>
        <v>Sin precio neto</v>
      </c>
      <c r="I763" s="4" t="str">
        <f t="shared" si="3"/>
        <v>Sin precio neto G.C.</v>
      </c>
      <c r="J763" s="4">
        <f t="shared" si="4"/>
        <v>15.84</v>
      </c>
      <c r="K763" s="4">
        <f t="shared" si="5"/>
        <v>16.5</v>
      </c>
      <c r="L763" s="4">
        <f t="shared" si="6"/>
        <v>15.84</v>
      </c>
    </row>
    <row r="764">
      <c r="A764" s="1" t="s">
        <v>1160</v>
      </c>
      <c r="B764" s="1" t="s">
        <v>1161</v>
      </c>
      <c r="C764" s="3">
        <v>44.0</v>
      </c>
      <c r="D764" s="5"/>
      <c r="E764" s="5"/>
      <c r="F764" s="5"/>
      <c r="G764" s="4">
        <f t="shared" si="1"/>
        <v>22</v>
      </c>
      <c r="H764" s="4" t="str">
        <f t="shared" si="2"/>
        <v>Sin precio neto</v>
      </c>
      <c r="I764" s="4" t="str">
        <f t="shared" si="3"/>
        <v>Sin precio neto G.C.</v>
      </c>
      <c r="J764" s="4">
        <f t="shared" si="4"/>
        <v>21.12</v>
      </c>
      <c r="K764" s="4">
        <f t="shared" si="5"/>
        <v>22</v>
      </c>
      <c r="L764" s="4">
        <f t="shared" si="6"/>
        <v>21.12</v>
      </c>
    </row>
    <row r="765">
      <c r="A765" s="1" t="s">
        <v>1162</v>
      </c>
      <c r="B765" s="1" t="s">
        <v>1163</v>
      </c>
      <c r="C765" s="3">
        <v>56.0</v>
      </c>
      <c r="D765" s="5"/>
      <c r="E765" s="5"/>
      <c r="F765" s="5"/>
      <c r="G765" s="4">
        <f t="shared" si="1"/>
        <v>28</v>
      </c>
      <c r="H765" s="4" t="str">
        <f t="shared" si="2"/>
        <v>Sin precio neto</v>
      </c>
      <c r="I765" s="4" t="str">
        <f t="shared" si="3"/>
        <v>Sin precio neto G.C.</v>
      </c>
      <c r="J765" s="4">
        <f t="shared" si="4"/>
        <v>26.88</v>
      </c>
      <c r="K765" s="4">
        <f t="shared" si="5"/>
        <v>28</v>
      </c>
      <c r="L765" s="4">
        <f t="shared" si="6"/>
        <v>26.88</v>
      </c>
    </row>
    <row r="766">
      <c r="A766" s="1" t="s">
        <v>1164</v>
      </c>
      <c r="B766" s="1" t="s">
        <v>1165</v>
      </c>
      <c r="C766" s="3">
        <v>72.0</v>
      </c>
      <c r="D766" s="5"/>
      <c r="E766" s="5"/>
      <c r="F766" s="5"/>
      <c r="G766" s="4">
        <f t="shared" si="1"/>
        <v>36</v>
      </c>
      <c r="H766" s="4" t="str">
        <f t="shared" si="2"/>
        <v>Sin precio neto</v>
      </c>
      <c r="I766" s="4" t="str">
        <f t="shared" si="3"/>
        <v>Sin precio neto G.C.</v>
      </c>
      <c r="J766" s="4">
        <f t="shared" si="4"/>
        <v>34.56</v>
      </c>
      <c r="K766" s="4">
        <f t="shared" si="5"/>
        <v>36</v>
      </c>
      <c r="L766" s="4">
        <f t="shared" si="6"/>
        <v>34.56</v>
      </c>
    </row>
    <row r="767">
      <c r="A767" s="1" t="s">
        <v>1166</v>
      </c>
      <c r="B767" s="1" t="s">
        <v>1167</v>
      </c>
      <c r="C767" s="3">
        <v>78.0</v>
      </c>
      <c r="D767" s="5"/>
      <c r="E767" s="5"/>
      <c r="F767" s="5"/>
      <c r="G767" s="4">
        <f t="shared" si="1"/>
        <v>39</v>
      </c>
      <c r="H767" s="4" t="str">
        <f t="shared" si="2"/>
        <v>Sin precio neto</v>
      </c>
      <c r="I767" s="4" t="str">
        <f t="shared" si="3"/>
        <v>Sin precio neto G.C.</v>
      </c>
      <c r="J767" s="4">
        <f t="shared" si="4"/>
        <v>37.44</v>
      </c>
      <c r="K767" s="4">
        <f t="shared" si="5"/>
        <v>39</v>
      </c>
      <c r="L767" s="4">
        <f t="shared" si="6"/>
        <v>37.44</v>
      </c>
    </row>
    <row r="768">
      <c r="A768" s="1" t="s">
        <v>1168</v>
      </c>
      <c r="B768" s="1" t="s">
        <v>1169</v>
      </c>
      <c r="C768" s="3">
        <v>83.0</v>
      </c>
      <c r="D768" s="5"/>
      <c r="E768" s="5"/>
      <c r="F768" s="5"/>
      <c r="G768" s="4">
        <f t="shared" si="1"/>
        <v>41.5</v>
      </c>
      <c r="H768" s="4" t="str">
        <f t="shared" si="2"/>
        <v>Sin precio neto</v>
      </c>
      <c r="I768" s="4" t="str">
        <f t="shared" si="3"/>
        <v>Sin precio neto G.C.</v>
      </c>
      <c r="J768" s="4">
        <f t="shared" si="4"/>
        <v>39.84</v>
      </c>
      <c r="K768" s="4">
        <f t="shared" si="5"/>
        <v>41.5</v>
      </c>
      <c r="L768" s="4">
        <f t="shared" si="6"/>
        <v>39.84</v>
      </c>
    </row>
    <row r="769">
      <c r="A769" s="1" t="s">
        <v>1170</v>
      </c>
      <c r="B769" s="1" t="s">
        <v>1171</v>
      </c>
      <c r="C769" s="3">
        <v>210.0</v>
      </c>
      <c r="D769" s="5"/>
      <c r="E769" s="5"/>
      <c r="F769" s="5"/>
      <c r="G769" s="4">
        <f t="shared" si="1"/>
        <v>105</v>
      </c>
      <c r="H769" s="4" t="str">
        <f t="shared" si="2"/>
        <v>Sin precio neto</v>
      </c>
      <c r="I769" s="4" t="str">
        <f t="shared" si="3"/>
        <v>Sin precio neto G.C.</v>
      </c>
      <c r="J769" s="4">
        <f t="shared" si="4"/>
        <v>100.8</v>
      </c>
      <c r="K769" s="4">
        <f t="shared" si="5"/>
        <v>105</v>
      </c>
      <c r="L769" s="4">
        <f t="shared" si="6"/>
        <v>100.8</v>
      </c>
    </row>
    <row r="770">
      <c r="A770" s="1" t="s">
        <v>1172</v>
      </c>
      <c r="B770" s="1" t="s">
        <v>1173</v>
      </c>
      <c r="C770" s="3">
        <v>98.0</v>
      </c>
      <c r="D770" s="5"/>
      <c r="E770" s="5"/>
      <c r="F770" s="5"/>
      <c r="G770" s="4">
        <f t="shared" si="1"/>
        <v>49</v>
      </c>
      <c r="H770" s="4" t="str">
        <f t="shared" si="2"/>
        <v>Sin precio neto</v>
      </c>
      <c r="I770" s="4" t="str">
        <f t="shared" si="3"/>
        <v>Sin precio neto G.C.</v>
      </c>
      <c r="J770" s="4">
        <f t="shared" si="4"/>
        <v>47.04</v>
      </c>
      <c r="K770" s="4">
        <f t="shared" si="5"/>
        <v>49</v>
      </c>
      <c r="L770" s="4">
        <f t="shared" si="6"/>
        <v>47.04</v>
      </c>
    </row>
    <row r="771">
      <c r="A771" s="3">
        <v>677.0</v>
      </c>
      <c r="B771" s="1" t="s">
        <v>1174</v>
      </c>
      <c r="C771" s="3">
        <v>34.6</v>
      </c>
      <c r="D771" s="5"/>
      <c r="E771" s="5"/>
      <c r="F771" s="5"/>
      <c r="G771" s="4">
        <f t="shared" si="1"/>
        <v>17.3</v>
      </c>
      <c r="H771" s="4" t="str">
        <f t="shared" si="2"/>
        <v>Sin precio neto</v>
      </c>
      <c r="I771" s="4" t="str">
        <f t="shared" si="3"/>
        <v>Sin precio neto G.C.</v>
      </c>
      <c r="J771" s="4">
        <f t="shared" si="4"/>
        <v>16.608</v>
      </c>
      <c r="K771" s="4">
        <f t="shared" si="5"/>
        <v>17.3</v>
      </c>
      <c r="L771" s="4">
        <f t="shared" si="6"/>
        <v>16.608</v>
      </c>
    </row>
    <row r="772">
      <c r="A772" s="3">
        <v>678.0</v>
      </c>
      <c r="B772" s="1" t="s">
        <v>1175</v>
      </c>
      <c r="C772" s="3">
        <v>22.5</v>
      </c>
      <c r="D772" s="3">
        <v>8.5</v>
      </c>
      <c r="E772" s="3">
        <v>7.5</v>
      </c>
      <c r="F772" s="3">
        <v>1.0</v>
      </c>
      <c r="G772" s="4">
        <f t="shared" si="1"/>
        <v>11.25</v>
      </c>
      <c r="H772" s="4" t="str">
        <f t="shared" si="2"/>
        <v>Neto: 8,50 € (a partir de 1 uds.)</v>
      </c>
      <c r="I772" s="4" t="str">
        <f t="shared" si="3"/>
        <v>Neto G.C.: 7,50 € (a partir de 1 uds.)</v>
      </c>
      <c r="J772" s="4">
        <f t="shared" si="4"/>
        <v>10.8</v>
      </c>
      <c r="K772" s="4">
        <f t="shared" si="5"/>
        <v>11.25</v>
      </c>
      <c r="L772" s="4">
        <f t="shared" si="6"/>
        <v>10.8</v>
      </c>
    </row>
    <row r="773">
      <c r="A773" s="3">
        <v>679.0</v>
      </c>
      <c r="B773" s="1" t="s">
        <v>1176</v>
      </c>
      <c r="C773" s="3">
        <v>22.5</v>
      </c>
      <c r="D773" s="3">
        <v>8.5</v>
      </c>
      <c r="E773" s="3">
        <v>7.5</v>
      </c>
      <c r="F773" s="3">
        <v>1.0</v>
      </c>
      <c r="G773" s="4">
        <f t="shared" si="1"/>
        <v>11.25</v>
      </c>
      <c r="H773" s="4" t="str">
        <f t="shared" si="2"/>
        <v>Neto: 8,50 € (a partir de 1 uds.)</v>
      </c>
      <c r="I773" s="4" t="str">
        <f t="shared" si="3"/>
        <v>Neto G.C.: 7,50 € (a partir de 1 uds.)</v>
      </c>
      <c r="J773" s="4">
        <f t="shared" si="4"/>
        <v>10.8</v>
      </c>
      <c r="K773" s="4">
        <f t="shared" si="5"/>
        <v>11.25</v>
      </c>
      <c r="L773" s="4">
        <f t="shared" si="6"/>
        <v>10.8</v>
      </c>
    </row>
    <row r="774">
      <c r="A774" s="3">
        <v>680.0</v>
      </c>
      <c r="B774" s="1" t="s">
        <v>1177</v>
      </c>
      <c r="C774" s="3">
        <v>22.5</v>
      </c>
      <c r="D774" s="3">
        <v>8.5</v>
      </c>
      <c r="E774" s="3">
        <v>7.5</v>
      </c>
      <c r="F774" s="3">
        <v>1.0</v>
      </c>
      <c r="G774" s="4">
        <f t="shared" si="1"/>
        <v>11.25</v>
      </c>
      <c r="H774" s="4" t="str">
        <f t="shared" si="2"/>
        <v>Neto: 8,50 € (a partir de 1 uds.)</v>
      </c>
      <c r="I774" s="4" t="str">
        <f t="shared" si="3"/>
        <v>Neto G.C.: 7,50 € (a partir de 1 uds.)</v>
      </c>
      <c r="J774" s="4">
        <f t="shared" si="4"/>
        <v>10.8</v>
      </c>
      <c r="K774" s="4">
        <f t="shared" si="5"/>
        <v>11.25</v>
      </c>
      <c r="L774" s="4">
        <f t="shared" si="6"/>
        <v>10.8</v>
      </c>
    </row>
    <row r="775">
      <c r="A775" s="1" t="s">
        <v>1178</v>
      </c>
      <c r="B775" s="1" t="s">
        <v>1179</v>
      </c>
      <c r="C775" s="3">
        <v>84.8</v>
      </c>
      <c r="D775" s="5"/>
      <c r="E775" s="5"/>
      <c r="F775" s="5"/>
      <c r="G775" s="4">
        <f t="shared" si="1"/>
        <v>42.4</v>
      </c>
      <c r="H775" s="4" t="str">
        <f t="shared" si="2"/>
        <v>Sin precio neto</v>
      </c>
      <c r="I775" s="4" t="str">
        <f t="shared" si="3"/>
        <v>Sin precio neto G.C.</v>
      </c>
      <c r="J775" s="4">
        <f t="shared" si="4"/>
        <v>40.704</v>
      </c>
      <c r="K775" s="4">
        <f t="shared" si="5"/>
        <v>42.4</v>
      </c>
      <c r="L775" s="4">
        <f t="shared" si="6"/>
        <v>40.704</v>
      </c>
    </row>
    <row r="776">
      <c r="A776" s="1" t="s">
        <v>1180</v>
      </c>
      <c r="B776" s="1" t="s">
        <v>1181</v>
      </c>
      <c r="C776" s="3">
        <v>105.6</v>
      </c>
      <c r="D776" s="5"/>
      <c r="E776" s="5"/>
      <c r="F776" s="5"/>
      <c r="G776" s="4">
        <f t="shared" si="1"/>
        <v>52.8</v>
      </c>
      <c r="H776" s="4" t="str">
        <f t="shared" si="2"/>
        <v>Sin precio neto</v>
      </c>
      <c r="I776" s="4" t="str">
        <f t="shared" si="3"/>
        <v>Sin precio neto G.C.</v>
      </c>
      <c r="J776" s="4">
        <f t="shared" si="4"/>
        <v>50.688</v>
      </c>
      <c r="K776" s="4">
        <f t="shared" si="5"/>
        <v>52.8</v>
      </c>
      <c r="L776" s="4">
        <f t="shared" si="6"/>
        <v>50.688</v>
      </c>
    </row>
    <row r="777">
      <c r="A777" s="1" t="s">
        <v>1182</v>
      </c>
      <c r="B777" s="1" t="s">
        <v>1183</v>
      </c>
      <c r="C777" s="3">
        <v>77.7</v>
      </c>
      <c r="D777" s="5"/>
      <c r="E777" s="5"/>
      <c r="F777" s="5"/>
      <c r="G777" s="4">
        <f t="shared" si="1"/>
        <v>38.85</v>
      </c>
      <c r="H777" s="4" t="str">
        <f t="shared" si="2"/>
        <v>Sin precio neto</v>
      </c>
      <c r="I777" s="4" t="str">
        <f t="shared" si="3"/>
        <v>Sin precio neto G.C.</v>
      </c>
      <c r="J777" s="4">
        <f t="shared" si="4"/>
        <v>37.296</v>
      </c>
      <c r="K777" s="4">
        <f t="shared" si="5"/>
        <v>38.85</v>
      </c>
      <c r="L777" s="4">
        <f t="shared" si="6"/>
        <v>37.296</v>
      </c>
    </row>
    <row r="778">
      <c r="A778" s="1" t="s">
        <v>1184</v>
      </c>
      <c r="B778" s="1" t="s">
        <v>1185</v>
      </c>
      <c r="C778" s="3">
        <v>123.9</v>
      </c>
      <c r="D778" s="5"/>
      <c r="E778" s="5"/>
      <c r="F778" s="5"/>
      <c r="G778" s="4">
        <f t="shared" si="1"/>
        <v>61.95</v>
      </c>
      <c r="H778" s="4" t="str">
        <f t="shared" si="2"/>
        <v>Sin precio neto</v>
      </c>
      <c r="I778" s="4" t="str">
        <f t="shared" si="3"/>
        <v>Sin precio neto G.C.</v>
      </c>
      <c r="J778" s="4">
        <f t="shared" si="4"/>
        <v>59.472</v>
      </c>
      <c r="K778" s="4">
        <f t="shared" si="5"/>
        <v>61.95</v>
      </c>
      <c r="L778" s="4">
        <f t="shared" si="6"/>
        <v>59.472</v>
      </c>
    </row>
    <row r="779">
      <c r="A779" s="1" t="s">
        <v>1186</v>
      </c>
      <c r="B779" s="1" t="s">
        <v>1187</v>
      </c>
      <c r="C779" s="3">
        <v>96.9</v>
      </c>
      <c r="D779" s="5"/>
      <c r="E779" s="5"/>
      <c r="F779" s="5"/>
      <c r="G779" s="4">
        <f t="shared" si="1"/>
        <v>48.45</v>
      </c>
      <c r="H779" s="4" t="str">
        <f t="shared" si="2"/>
        <v>Sin precio neto</v>
      </c>
      <c r="I779" s="4" t="str">
        <f t="shared" si="3"/>
        <v>Sin precio neto G.C.</v>
      </c>
      <c r="J779" s="4">
        <f t="shared" si="4"/>
        <v>46.512</v>
      </c>
      <c r="K779" s="4">
        <f t="shared" si="5"/>
        <v>48.45</v>
      </c>
      <c r="L779" s="4">
        <f t="shared" si="6"/>
        <v>46.512</v>
      </c>
    </row>
    <row r="780">
      <c r="A780" s="1" t="s">
        <v>1188</v>
      </c>
      <c r="B780" s="1" t="s">
        <v>1189</v>
      </c>
      <c r="C780" s="3">
        <v>102.9</v>
      </c>
      <c r="D780" s="5"/>
      <c r="E780" s="5"/>
      <c r="F780" s="5"/>
      <c r="G780" s="4">
        <f t="shared" si="1"/>
        <v>51.45</v>
      </c>
      <c r="H780" s="4" t="str">
        <f t="shared" si="2"/>
        <v>Sin precio neto</v>
      </c>
      <c r="I780" s="4" t="str">
        <f t="shared" si="3"/>
        <v>Sin precio neto G.C.</v>
      </c>
      <c r="J780" s="4">
        <f t="shared" si="4"/>
        <v>49.392</v>
      </c>
      <c r="K780" s="4">
        <f t="shared" si="5"/>
        <v>51.45</v>
      </c>
      <c r="L780" s="4">
        <f t="shared" si="6"/>
        <v>49.392</v>
      </c>
    </row>
    <row r="781">
      <c r="A781" s="1" t="s">
        <v>1190</v>
      </c>
      <c r="B781" s="1" t="s">
        <v>1191</v>
      </c>
      <c r="C781" s="3">
        <v>90.72</v>
      </c>
      <c r="D781" s="5"/>
      <c r="E781" s="5"/>
      <c r="F781" s="5"/>
      <c r="G781" s="4">
        <f t="shared" si="1"/>
        <v>45.36</v>
      </c>
      <c r="H781" s="4" t="str">
        <f t="shared" si="2"/>
        <v>Sin precio neto</v>
      </c>
      <c r="I781" s="4" t="str">
        <f t="shared" si="3"/>
        <v>Sin precio neto G.C.</v>
      </c>
      <c r="J781" s="4">
        <f t="shared" si="4"/>
        <v>43.5456</v>
      </c>
      <c r="K781" s="4">
        <f t="shared" si="5"/>
        <v>45.36</v>
      </c>
      <c r="L781" s="4">
        <f t="shared" si="6"/>
        <v>43.5456</v>
      </c>
    </row>
    <row r="782">
      <c r="A782" s="1" t="s">
        <v>1192</v>
      </c>
      <c r="B782" s="1" t="s">
        <v>1193</v>
      </c>
      <c r="C782" s="3">
        <v>105.46</v>
      </c>
      <c r="D782" s="5"/>
      <c r="E782" s="5"/>
      <c r="F782" s="5"/>
      <c r="G782" s="4">
        <f t="shared" si="1"/>
        <v>52.73</v>
      </c>
      <c r="H782" s="4" t="str">
        <f t="shared" si="2"/>
        <v>Sin precio neto</v>
      </c>
      <c r="I782" s="4" t="str">
        <f t="shared" si="3"/>
        <v>Sin precio neto G.C.</v>
      </c>
      <c r="J782" s="4">
        <f t="shared" si="4"/>
        <v>50.6208</v>
      </c>
      <c r="K782" s="4">
        <f t="shared" si="5"/>
        <v>52.73</v>
      </c>
      <c r="L782" s="4">
        <f t="shared" si="6"/>
        <v>50.6208</v>
      </c>
    </row>
    <row r="783">
      <c r="A783" s="3">
        <v>682.0</v>
      </c>
      <c r="B783" s="1" t="s">
        <v>1194</v>
      </c>
      <c r="C783" s="3">
        <v>16.8</v>
      </c>
      <c r="D783" s="5"/>
      <c r="E783" s="5"/>
      <c r="F783" s="5"/>
      <c r="G783" s="4">
        <f t="shared" si="1"/>
        <v>8.4</v>
      </c>
      <c r="H783" s="4" t="str">
        <f t="shared" si="2"/>
        <v>Sin precio neto</v>
      </c>
      <c r="I783" s="4" t="str">
        <f t="shared" si="3"/>
        <v>Sin precio neto G.C.</v>
      </c>
      <c r="J783" s="4">
        <f t="shared" si="4"/>
        <v>8.064</v>
      </c>
      <c r="K783" s="4">
        <f t="shared" si="5"/>
        <v>8.4</v>
      </c>
      <c r="L783" s="4">
        <f t="shared" si="6"/>
        <v>8.064</v>
      </c>
    </row>
    <row r="784">
      <c r="A784" s="1" t="s">
        <v>1195</v>
      </c>
      <c r="B784" s="1" t="s">
        <v>1196</v>
      </c>
      <c r="C784" s="3">
        <v>24.0</v>
      </c>
      <c r="D784" s="5"/>
      <c r="E784" s="5"/>
      <c r="F784" s="5"/>
      <c r="G784" s="4">
        <f t="shared" si="1"/>
        <v>12</v>
      </c>
      <c r="H784" s="4" t="str">
        <f t="shared" si="2"/>
        <v>Sin precio neto</v>
      </c>
      <c r="I784" s="4" t="str">
        <f t="shared" si="3"/>
        <v>Sin precio neto G.C.</v>
      </c>
      <c r="J784" s="4">
        <f t="shared" si="4"/>
        <v>11.52</v>
      </c>
      <c r="K784" s="4">
        <f t="shared" si="5"/>
        <v>12</v>
      </c>
      <c r="L784" s="4">
        <f t="shared" si="6"/>
        <v>11.52</v>
      </c>
    </row>
    <row r="785">
      <c r="A785" s="3">
        <v>683.0</v>
      </c>
      <c r="B785" s="1" t="s">
        <v>1197</v>
      </c>
      <c r="C785" s="3">
        <v>268.6</v>
      </c>
      <c r="D785" s="5"/>
      <c r="E785" s="5"/>
      <c r="F785" s="5"/>
      <c r="G785" s="4">
        <f t="shared" si="1"/>
        <v>134.3</v>
      </c>
      <c r="H785" s="4" t="str">
        <f t="shared" si="2"/>
        <v>Sin precio neto</v>
      </c>
      <c r="I785" s="4" t="str">
        <f t="shared" si="3"/>
        <v>Sin precio neto G.C.</v>
      </c>
      <c r="J785" s="4">
        <f t="shared" si="4"/>
        <v>128.928</v>
      </c>
      <c r="K785" s="4">
        <f t="shared" si="5"/>
        <v>134.3</v>
      </c>
      <c r="L785" s="4">
        <f t="shared" si="6"/>
        <v>128.928</v>
      </c>
    </row>
    <row r="786">
      <c r="A786" s="1" t="s">
        <v>1198</v>
      </c>
      <c r="B786" s="1" t="s">
        <v>1199</v>
      </c>
      <c r="C786" s="3">
        <v>920.0</v>
      </c>
      <c r="D786" s="5"/>
      <c r="E786" s="5"/>
      <c r="F786" s="5"/>
      <c r="G786" s="4">
        <f t="shared" si="1"/>
        <v>460</v>
      </c>
      <c r="H786" s="4" t="str">
        <f t="shared" si="2"/>
        <v>Sin precio neto</v>
      </c>
      <c r="I786" s="4" t="str">
        <f t="shared" si="3"/>
        <v>Sin precio neto G.C.</v>
      </c>
      <c r="J786" s="4">
        <f t="shared" si="4"/>
        <v>441.6</v>
      </c>
      <c r="K786" s="4">
        <f t="shared" si="5"/>
        <v>460</v>
      </c>
      <c r="L786" s="4">
        <f t="shared" si="6"/>
        <v>441.6</v>
      </c>
    </row>
    <row r="787">
      <c r="A787" s="1" t="s">
        <v>1200</v>
      </c>
      <c r="B787" s="1" t="s">
        <v>1201</v>
      </c>
      <c r="C787" s="3">
        <v>66.6</v>
      </c>
      <c r="D787" s="5"/>
      <c r="E787" s="5"/>
      <c r="F787" s="5"/>
      <c r="G787" s="4">
        <f t="shared" si="1"/>
        <v>33.3</v>
      </c>
      <c r="H787" s="4" t="str">
        <f t="shared" si="2"/>
        <v>Sin precio neto</v>
      </c>
      <c r="I787" s="4" t="str">
        <f t="shared" si="3"/>
        <v>Sin precio neto G.C.</v>
      </c>
      <c r="J787" s="4">
        <f t="shared" si="4"/>
        <v>31.968</v>
      </c>
      <c r="K787" s="4">
        <f t="shared" si="5"/>
        <v>33.3</v>
      </c>
      <c r="L787" s="4">
        <f t="shared" si="6"/>
        <v>31.968</v>
      </c>
    </row>
    <row r="788">
      <c r="A788" s="1" t="s">
        <v>1202</v>
      </c>
      <c r="B788" s="1" t="s">
        <v>1203</v>
      </c>
      <c r="C788" s="3">
        <v>156.45</v>
      </c>
      <c r="D788" s="5"/>
      <c r="E788" s="5"/>
      <c r="F788" s="5"/>
      <c r="G788" s="4">
        <f t="shared" si="1"/>
        <v>78.225</v>
      </c>
      <c r="H788" s="4" t="str">
        <f t="shared" si="2"/>
        <v>Sin precio neto</v>
      </c>
      <c r="I788" s="4" t="str">
        <f t="shared" si="3"/>
        <v>Sin precio neto G.C.</v>
      </c>
      <c r="J788" s="4">
        <f t="shared" si="4"/>
        <v>75.096</v>
      </c>
      <c r="K788" s="4">
        <f t="shared" si="5"/>
        <v>78.225</v>
      </c>
      <c r="L788" s="4">
        <f t="shared" si="6"/>
        <v>75.096</v>
      </c>
    </row>
    <row r="789">
      <c r="A789" s="1" t="s">
        <v>1204</v>
      </c>
      <c r="B789" s="1" t="s">
        <v>1205</v>
      </c>
      <c r="C789" s="3">
        <v>179.55</v>
      </c>
      <c r="D789" s="5"/>
      <c r="E789" s="5"/>
      <c r="F789" s="5"/>
      <c r="G789" s="4">
        <f t="shared" si="1"/>
        <v>89.775</v>
      </c>
      <c r="H789" s="4" t="str">
        <f t="shared" si="2"/>
        <v>Sin precio neto</v>
      </c>
      <c r="I789" s="4" t="str">
        <f t="shared" si="3"/>
        <v>Sin precio neto G.C.</v>
      </c>
      <c r="J789" s="4">
        <f t="shared" si="4"/>
        <v>86.184</v>
      </c>
      <c r="K789" s="4">
        <f t="shared" si="5"/>
        <v>89.775</v>
      </c>
      <c r="L789" s="4">
        <f t="shared" si="6"/>
        <v>86.184</v>
      </c>
    </row>
    <row r="790">
      <c r="A790" s="1" t="s">
        <v>1206</v>
      </c>
      <c r="B790" s="1" t="s">
        <v>1207</v>
      </c>
      <c r="C790" s="3">
        <v>156.45</v>
      </c>
      <c r="D790" s="5"/>
      <c r="E790" s="5"/>
      <c r="F790" s="5"/>
      <c r="G790" s="4">
        <f t="shared" si="1"/>
        <v>78.225</v>
      </c>
      <c r="H790" s="4" t="str">
        <f t="shared" si="2"/>
        <v>Sin precio neto</v>
      </c>
      <c r="I790" s="4" t="str">
        <f t="shared" si="3"/>
        <v>Sin precio neto G.C.</v>
      </c>
      <c r="J790" s="4">
        <f t="shared" si="4"/>
        <v>75.096</v>
      </c>
      <c r="K790" s="4">
        <f t="shared" si="5"/>
        <v>78.225</v>
      </c>
      <c r="L790" s="4">
        <f t="shared" si="6"/>
        <v>75.096</v>
      </c>
    </row>
    <row r="791">
      <c r="A791" s="1" t="s">
        <v>1208</v>
      </c>
      <c r="B791" s="1" t="s">
        <v>1209</v>
      </c>
      <c r="C791" s="3">
        <v>150.0</v>
      </c>
      <c r="D791" s="5"/>
      <c r="E791" s="5"/>
      <c r="F791" s="5"/>
      <c r="G791" s="4">
        <f t="shared" si="1"/>
        <v>75</v>
      </c>
      <c r="H791" s="4" t="str">
        <f t="shared" si="2"/>
        <v>Sin precio neto</v>
      </c>
      <c r="I791" s="4" t="str">
        <f t="shared" si="3"/>
        <v>Sin precio neto G.C.</v>
      </c>
      <c r="J791" s="4">
        <f t="shared" si="4"/>
        <v>72</v>
      </c>
      <c r="K791" s="4">
        <f t="shared" si="5"/>
        <v>75</v>
      </c>
      <c r="L791" s="4">
        <f t="shared" si="6"/>
        <v>72</v>
      </c>
    </row>
    <row r="792">
      <c r="A792" s="3">
        <v>687.0</v>
      </c>
      <c r="B792" s="1" t="s">
        <v>1210</v>
      </c>
      <c r="C792" s="3">
        <v>33.6</v>
      </c>
      <c r="D792" s="5"/>
      <c r="E792" s="5"/>
      <c r="F792" s="5"/>
      <c r="G792" s="4">
        <f t="shared" si="1"/>
        <v>16.8</v>
      </c>
      <c r="H792" s="4" t="str">
        <f t="shared" si="2"/>
        <v>Sin precio neto</v>
      </c>
      <c r="I792" s="4" t="str">
        <f t="shared" si="3"/>
        <v>Sin precio neto G.C.</v>
      </c>
      <c r="J792" s="4">
        <f t="shared" si="4"/>
        <v>16.128</v>
      </c>
      <c r="K792" s="4">
        <f t="shared" si="5"/>
        <v>16.8</v>
      </c>
      <c r="L792" s="4">
        <f t="shared" si="6"/>
        <v>16.128</v>
      </c>
    </row>
    <row r="793">
      <c r="A793" s="3">
        <v>688.0</v>
      </c>
      <c r="B793" s="1" t="s">
        <v>1211</v>
      </c>
      <c r="C793" s="3">
        <v>33.6</v>
      </c>
      <c r="D793" s="5"/>
      <c r="E793" s="5"/>
      <c r="F793" s="5"/>
      <c r="G793" s="4">
        <f t="shared" si="1"/>
        <v>16.8</v>
      </c>
      <c r="H793" s="4" t="str">
        <f t="shared" si="2"/>
        <v>Sin precio neto</v>
      </c>
      <c r="I793" s="4" t="str">
        <f t="shared" si="3"/>
        <v>Sin precio neto G.C.</v>
      </c>
      <c r="J793" s="4">
        <f t="shared" si="4"/>
        <v>16.128</v>
      </c>
      <c r="K793" s="4">
        <f t="shared" si="5"/>
        <v>16.8</v>
      </c>
      <c r="L793" s="4">
        <f t="shared" si="6"/>
        <v>16.128</v>
      </c>
    </row>
    <row r="794">
      <c r="A794" s="3">
        <v>690.0</v>
      </c>
      <c r="B794" s="1" t="s">
        <v>1212</v>
      </c>
      <c r="C794" s="3">
        <v>34.0</v>
      </c>
      <c r="D794" s="5"/>
      <c r="E794" s="5"/>
      <c r="F794" s="5"/>
      <c r="G794" s="4">
        <f t="shared" si="1"/>
        <v>17</v>
      </c>
      <c r="H794" s="4" t="str">
        <f t="shared" si="2"/>
        <v>Sin precio neto</v>
      </c>
      <c r="I794" s="4" t="str">
        <f t="shared" si="3"/>
        <v>Sin precio neto G.C.</v>
      </c>
      <c r="J794" s="4">
        <f t="shared" si="4"/>
        <v>16.32</v>
      </c>
      <c r="K794" s="4">
        <f t="shared" si="5"/>
        <v>17</v>
      </c>
      <c r="L794" s="4">
        <f t="shared" si="6"/>
        <v>16.32</v>
      </c>
    </row>
    <row r="795">
      <c r="A795" s="1" t="s">
        <v>1213</v>
      </c>
      <c r="B795" s="1" t="s">
        <v>1214</v>
      </c>
      <c r="C795" s="3">
        <v>29.0</v>
      </c>
      <c r="D795" s="3">
        <v>11.5</v>
      </c>
      <c r="E795" s="3">
        <v>11.5</v>
      </c>
      <c r="F795" s="3">
        <v>40.0</v>
      </c>
      <c r="G795" s="4">
        <f t="shared" si="1"/>
        <v>14.5</v>
      </c>
      <c r="H795" s="4" t="str">
        <f t="shared" si="2"/>
        <v>Neto: 11,50 € (a partir de 40 uds.)</v>
      </c>
      <c r="I795" s="4" t="str">
        <f t="shared" si="3"/>
        <v>Neto G.C.: 11,50 € (a partir de 40 uds.)</v>
      </c>
      <c r="J795" s="4">
        <f t="shared" si="4"/>
        <v>13.92</v>
      </c>
      <c r="K795" s="4">
        <f t="shared" si="5"/>
        <v>14.5</v>
      </c>
      <c r="L795" s="4">
        <f t="shared" si="6"/>
        <v>13.92</v>
      </c>
    </row>
    <row r="796">
      <c r="A796" s="1" t="s">
        <v>1215</v>
      </c>
      <c r="B796" s="1" t="s">
        <v>1216</v>
      </c>
      <c r="C796" s="3">
        <v>26.0</v>
      </c>
      <c r="D796" s="3">
        <v>11.5</v>
      </c>
      <c r="E796" s="3">
        <v>11.5</v>
      </c>
      <c r="F796" s="3">
        <v>40.0</v>
      </c>
      <c r="G796" s="4">
        <f t="shared" si="1"/>
        <v>13</v>
      </c>
      <c r="H796" s="4" t="str">
        <f t="shared" si="2"/>
        <v>Neto: 11,50 € (a partir de 40 uds.)</v>
      </c>
      <c r="I796" s="4" t="str">
        <f t="shared" si="3"/>
        <v>Neto G.C.: 11,50 € (a partir de 40 uds.)</v>
      </c>
      <c r="J796" s="4">
        <f t="shared" si="4"/>
        <v>12.48</v>
      </c>
      <c r="K796" s="4">
        <f t="shared" si="5"/>
        <v>13</v>
      </c>
      <c r="L796" s="4">
        <f t="shared" si="6"/>
        <v>12.48</v>
      </c>
    </row>
    <row r="797">
      <c r="A797" s="1" t="s">
        <v>1217</v>
      </c>
      <c r="B797" s="1" t="s">
        <v>1218</v>
      </c>
      <c r="C797" s="3">
        <v>38.5</v>
      </c>
      <c r="D797" s="5"/>
      <c r="E797" s="5"/>
      <c r="F797" s="5"/>
      <c r="G797" s="4">
        <f t="shared" si="1"/>
        <v>19.25</v>
      </c>
      <c r="H797" s="4" t="str">
        <f t="shared" si="2"/>
        <v>Sin precio neto</v>
      </c>
      <c r="I797" s="4" t="str">
        <f t="shared" si="3"/>
        <v>Sin precio neto G.C.</v>
      </c>
      <c r="J797" s="4">
        <f t="shared" si="4"/>
        <v>18.48</v>
      </c>
      <c r="K797" s="4">
        <f t="shared" si="5"/>
        <v>19.25</v>
      </c>
      <c r="L797" s="4">
        <f t="shared" si="6"/>
        <v>18.48</v>
      </c>
    </row>
    <row r="798">
      <c r="A798" s="3">
        <v>692.0</v>
      </c>
      <c r="B798" s="1" t="s">
        <v>1219</v>
      </c>
      <c r="C798" s="3">
        <v>110.0</v>
      </c>
      <c r="D798" s="5"/>
      <c r="E798" s="5"/>
      <c r="F798" s="5"/>
      <c r="G798" s="4">
        <f t="shared" si="1"/>
        <v>55</v>
      </c>
      <c r="H798" s="4" t="str">
        <f t="shared" si="2"/>
        <v>Sin precio neto</v>
      </c>
      <c r="I798" s="4" t="str">
        <f t="shared" si="3"/>
        <v>Sin precio neto G.C.</v>
      </c>
      <c r="J798" s="4">
        <f t="shared" si="4"/>
        <v>52.8</v>
      </c>
      <c r="K798" s="4">
        <f t="shared" si="5"/>
        <v>55</v>
      </c>
      <c r="L798" s="4">
        <f t="shared" si="6"/>
        <v>52.8</v>
      </c>
    </row>
    <row r="799">
      <c r="A799" s="1" t="s">
        <v>1220</v>
      </c>
      <c r="B799" s="1" t="s">
        <v>1221</v>
      </c>
      <c r="C799" s="3">
        <v>3.0</v>
      </c>
      <c r="D799" s="5"/>
      <c r="E799" s="5"/>
      <c r="F799" s="5"/>
      <c r="G799" s="4">
        <f t="shared" si="1"/>
        <v>1.5</v>
      </c>
      <c r="H799" s="4" t="str">
        <f t="shared" si="2"/>
        <v>Sin precio neto</v>
      </c>
      <c r="I799" s="4" t="str">
        <f t="shared" si="3"/>
        <v>Sin precio neto G.C.</v>
      </c>
      <c r="J799" s="4">
        <f t="shared" si="4"/>
        <v>1.44</v>
      </c>
      <c r="K799" s="4">
        <f t="shared" si="5"/>
        <v>1.5</v>
      </c>
      <c r="L799" s="4">
        <f t="shared" si="6"/>
        <v>1.44</v>
      </c>
    </row>
    <row r="800">
      <c r="A800" s="3">
        <v>693.0</v>
      </c>
      <c r="B800" s="1" t="s">
        <v>1222</v>
      </c>
      <c r="C800" s="3">
        <v>42.0</v>
      </c>
      <c r="D800" s="5"/>
      <c r="E800" s="5"/>
      <c r="F800" s="5"/>
      <c r="G800" s="4">
        <f t="shared" si="1"/>
        <v>21</v>
      </c>
      <c r="H800" s="4" t="str">
        <f t="shared" si="2"/>
        <v>Sin precio neto</v>
      </c>
      <c r="I800" s="4" t="str">
        <f t="shared" si="3"/>
        <v>Sin precio neto G.C.</v>
      </c>
      <c r="J800" s="4">
        <f t="shared" si="4"/>
        <v>20.16</v>
      </c>
      <c r="K800" s="4">
        <f t="shared" si="5"/>
        <v>21</v>
      </c>
      <c r="L800" s="4">
        <f t="shared" si="6"/>
        <v>20.16</v>
      </c>
    </row>
    <row r="801">
      <c r="A801" s="3">
        <v>694.0</v>
      </c>
      <c r="B801" s="1" t="s">
        <v>1223</v>
      </c>
      <c r="C801" s="3">
        <v>56.6</v>
      </c>
      <c r="D801" s="5"/>
      <c r="E801" s="5"/>
      <c r="F801" s="5"/>
      <c r="G801" s="4">
        <f t="shared" si="1"/>
        <v>28.3</v>
      </c>
      <c r="H801" s="4" t="str">
        <f t="shared" si="2"/>
        <v>Sin precio neto</v>
      </c>
      <c r="I801" s="4" t="str">
        <f t="shared" si="3"/>
        <v>Sin precio neto G.C.</v>
      </c>
      <c r="J801" s="4">
        <f t="shared" si="4"/>
        <v>27.168</v>
      </c>
      <c r="K801" s="4">
        <f t="shared" si="5"/>
        <v>28.3</v>
      </c>
      <c r="L801" s="4">
        <f t="shared" si="6"/>
        <v>27.168</v>
      </c>
    </row>
    <row r="802">
      <c r="A802" s="1" t="s">
        <v>1224</v>
      </c>
      <c r="B802" s="1" t="s">
        <v>1225</v>
      </c>
      <c r="C802" s="3">
        <v>81.9</v>
      </c>
      <c r="D802" s="5"/>
      <c r="E802" s="5"/>
      <c r="F802" s="5"/>
      <c r="G802" s="4">
        <f t="shared" si="1"/>
        <v>40.95</v>
      </c>
      <c r="H802" s="4" t="str">
        <f t="shared" si="2"/>
        <v>Sin precio neto</v>
      </c>
      <c r="I802" s="4" t="str">
        <f t="shared" si="3"/>
        <v>Sin precio neto G.C.</v>
      </c>
      <c r="J802" s="4">
        <f t="shared" si="4"/>
        <v>39.312</v>
      </c>
      <c r="K802" s="4">
        <f t="shared" si="5"/>
        <v>40.95</v>
      </c>
      <c r="L802" s="4">
        <f t="shared" si="6"/>
        <v>39.312</v>
      </c>
    </row>
    <row r="803">
      <c r="A803" s="1" t="s">
        <v>1226</v>
      </c>
      <c r="B803" s="1" t="s">
        <v>1227</v>
      </c>
      <c r="C803" s="3">
        <v>66.0</v>
      </c>
      <c r="D803" s="5"/>
      <c r="E803" s="5"/>
      <c r="F803" s="5"/>
      <c r="G803" s="4">
        <f t="shared" si="1"/>
        <v>33</v>
      </c>
      <c r="H803" s="4" t="str">
        <f t="shared" si="2"/>
        <v>Sin precio neto</v>
      </c>
      <c r="I803" s="4" t="str">
        <f t="shared" si="3"/>
        <v>Sin precio neto G.C.</v>
      </c>
      <c r="J803" s="4">
        <f t="shared" si="4"/>
        <v>31.68</v>
      </c>
      <c r="K803" s="4">
        <f t="shared" si="5"/>
        <v>33</v>
      </c>
      <c r="L803" s="4">
        <f t="shared" si="6"/>
        <v>31.68</v>
      </c>
    </row>
    <row r="804">
      <c r="A804" s="1" t="s">
        <v>1228</v>
      </c>
      <c r="B804" s="1" t="s">
        <v>1229</v>
      </c>
      <c r="C804" s="3">
        <v>68.0</v>
      </c>
      <c r="D804" s="5"/>
      <c r="E804" s="5"/>
      <c r="F804" s="5"/>
      <c r="G804" s="4">
        <f t="shared" si="1"/>
        <v>34</v>
      </c>
      <c r="H804" s="4" t="str">
        <f t="shared" si="2"/>
        <v>Sin precio neto</v>
      </c>
      <c r="I804" s="4" t="str">
        <f t="shared" si="3"/>
        <v>Sin precio neto G.C.</v>
      </c>
      <c r="J804" s="4">
        <f t="shared" si="4"/>
        <v>32.64</v>
      </c>
      <c r="K804" s="4">
        <f t="shared" si="5"/>
        <v>34</v>
      </c>
      <c r="L804" s="4">
        <f t="shared" si="6"/>
        <v>32.64</v>
      </c>
    </row>
    <row r="805">
      <c r="A805" s="1" t="s">
        <v>1230</v>
      </c>
      <c r="B805" s="1" t="s">
        <v>1231</v>
      </c>
      <c r="C805" s="3">
        <v>148.0</v>
      </c>
      <c r="D805" s="5"/>
      <c r="E805" s="5"/>
      <c r="F805" s="5"/>
      <c r="G805" s="4">
        <f t="shared" si="1"/>
        <v>74</v>
      </c>
      <c r="H805" s="4" t="str">
        <f t="shared" si="2"/>
        <v>Sin precio neto</v>
      </c>
      <c r="I805" s="4" t="str">
        <f t="shared" si="3"/>
        <v>Sin precio neto G.C.</v>
      </c>
      <c r="J805" s="4">
        <f t="shared" si="4"/>
        <v>71.04</v>
      </c>
      <c r="K805" s="4">
        <f t="shared" si="5"/>
        <v>74</v>
      </c>
      <c r="L805" s="4">
        <f t="shared" si="6"/>
        <v>71.04</v>
      </c>
    </row>
    <row r="806">
      <c r="A806" s="3">
        <v>695.0</v>
      </c>
      <c r="B806" s="1" t="s">
        <v>1232</v>
      </c>
      <c r="C806" s="3">
        <v>24.5</v>
      </c>
      <c r="D806" s="3">
        <v>9.5</v>
      </c>
      <c r="E806" s="3">
        <v>8.9</v>
      </c>
      <c r="F806" s="3">
        <v>10.0</v>
      </c>
      <c r="G806" s="4">
        <f t="shared" si="1"/>
        <v>12.25</v>
      </c>
      <c r="H806" s="4" t="str">
        <f t="shared" si="2"/>
        <v>Neto: 9,50 € (a partir de 10 uds.)</v>
      </c>
      <c r="I806" s="4" t="str">
        <f t="shared" si="3"/>
        <v>Neto G.C.: 8,90 € (a partir de 10 uds.)</v>
      </c>
      <c r="J806" s="4">
        <f t="shared" si="4"/>
        <v>11.76</v>
      </c>
      <c r="K806" s="4">
        <f t="shared" si="5"/>
        <v>12.25</v>
      </c>
      <c r="L806" s="4">
        <f t="shared" si="6"/>
        <v>11.76</v>
      </c>
    </row>
    <row r="807">
      <c r="A807" s="3">
        <v>696.0</v>
      </c>
      <c r="B807" s="1" t="s">
        <v>1233</v>
      </c>
      <c r="C807" s="3">
        <v>82.1</v>
      </c>
      <c r="D807" s="5"/>
      <c r="E807" s="5"/>
      <c r="F807" s="5"/>
      <c r="G807" s="4">
        <f t="shared" si="1"/>
        <v>41.05</v>
      </c>
      <c r="H807" s="4" t="str">
        <f t="shared" si="2"/>
        <v>Sin precio neto</v>
      </c>
      <c r="I807" s="4" t="str">
        <f t="shared" si="3"/>
        <v>Sin precio neto G.C.</v>
      </c>
      <c r="J807" s="4">
        <f t="shared" si="4"/>
        <v>39.408</v>
      </c>
      <c r="K807" s="4">
        <f t="shared" si="5"/>
        <v>41.05</v>
      </c>
      <c r="L807" s="4">
        <f t="shared" si="6"/>
        <v>39.408</v>
      </c>
    </row>
    <row r="808">
      <c r="A808" s="3">
        <v>697.0</v>
      </c>
      <c r="B808" s="1" t="s">
        <v>1234</v>
      </c>
      <c r="C808" s="3">
        <v>26.8</v>
      </c>
      <c r="D808" s="5"/>
      <c r="E808" s="5"/>
      <c r="F808" s="5"/>
      <c r="G808" s="4">
        <f t="shared" si="1"/>
        <v>13.4</v>
      </c>
      <c r="H808" s="4" t="str">
        <f t="shared" si="2"/>
        <v>Sin precio neto</v>
      </c>
      <c r="I808" s="4" t="str">
        <f t="shared" si="3"/>
        <v>Sin precio neto G.C.</v>
      </c>
      <c r="J808" s="4">
        <f t="shared" si="4"/>
        <v>12.864</v>
      </c>
      <c r="K808" s="4">
        <f t="shared" si="5"/>
        <v>13.4</v>
      </c>
      <c r="L808" s="4">
        <f t="shared" si="6"/>
        <v>12.864</v>
      </c>
    </row>
    <row r="809">
      <c r="A809" s="1" t="s">
        <v>1235</v>
      </c>
      <c r="B809" s="1" t="s">
        <v>1236</v>
      </c>
      <c r="C809" s="3">
        <v>27.8</v>
      </c>
      <c r="D809" s="5"/>
      <c r="E809" s="5"/>
      <c r="F809" s="5"/>
      <c r="G809" s="4">
        <f t="shared" si="1"/>
        <v>13.9</v>
      </c>
      <c r="H809" s="4" t="str">
        <f t="shared" si="2"/>
        <v>Sin precio neto</v>
      </c>
      <c r="I809" s="4" t="str">
        <f t="shared" si="3"/>
        <v>Sin precio neto G.C.</v>
      </c>
      <c r="J809" s="4">
        <f t="shared" si="4"/>
        <v>13.344</v>
      </c>
      <c r="K809" s="4">
        <f t="shared" si="5"/>
        <v>13.9</v>
      </c>
      <c r="L809" s="4">
        <f t="shared" si="6"/>
        <v>13.344</v>
      </c>
    </row>
    <row r="810">
      <c r="A810" s="1" t="s">
        <v>1237</v>
      </c>
      <c r="B810" s="1" t="s">
        <v>1238</v>
      </c>
      <c r="C810" s="3">
        <v>32.5</v>
      </c>
      <c r="D810" s="5"/>
      <c r="E810" s="5"/>
      <c r="F810" s="5"/>
      <c r="G810" s="4">
        <f t="shared" si="1"/>
        <v>16.25</v>
      </c>
      <c r="H810" s="4" t="str">
        <f t="shared" si="2"/>
        <v>Sin precio neto</v>
      </c>
      <c r="I810" s="4" t="str">
        <f t="shared" si="3"/>
        <v>Sin precio neto G.C.</v>
      </c>
      <c r="J810" s="4">
        <f t="shared" si="4"/>
        <v>15.6</v>
      </c>
      <c r="K810" s="4">
        <f t="shared" si="5"/>
        <v>16.25</v>
      </c>
      <c r="L810" s="4">
        <f t="shared" si="6"/>
        <v>15.6</v>
      </c>
    </row>
    <row r="811">
      <c r="A811" s="3">
        <v>698.0</v>
      </c>
      <c r="B811" s="1" t="s">
        <v>1239</v>
      </c>
      <c r="C811" s="3">
        <v>34.8</v>
      </c>
      <c r="D811" s="5"/>
      <c r="E811" s="5"/>
      <c r="F811" s="5"/>
      <c r="G811" s="4">
        <f t="shared" si="1"/>
        <v>17.4</v>
      </c>
      <c r="H811" s="4" t="str">
        <f t="shared" si="2"/>
        <v>Sin precio neto</v>
      </c>
      <c r="I811" s="4" t="str">
        <f t="shared" si="3"/>
        <v>Sin precio neto G.C.</v>
      </c>
      <c r="J811" s="4">
        <f t="shared" si="4"/>
        <v>16.704</v>
      </c>
      <c r="K811" s="4">
        <f t="shared" si="5"/>
        <v>17.4</v>
      </c>
      <c r="L811" s="4">
        <f t="shared" si="6"/>
        <v>16.704</v>
      </c>
    </row>
    <row r="812">
      <c r="A812" s="3">
        <v>699.0</v>
      </c>
      <c r="B812" s="1" t="s">
        <v>1240</v>
      </c>
      <c r="C812" s="3">
        <v>29.0</v>
      </c>
      <c r="D812" s="5"/>
      <c r="E812" s="5"/>
      <c r="F812" s="5"/>
      <c r="G812" s="4">
        <f t="shared" si="1"/>
        <v>14.5</v>
      </c>
      <c r="H812" s="4" t="str">
        <f t="shared" si="2"/>
        <v>Sin precio neto</v>
      </c>
      <c r="I812" s="4" t="str">
        <f t="shared" si="3"/>
        <v>Sin precio neto G.C.</v>
      </c>
      <c r="J812" s="4">
        <f t="shared" si="4"/>
        <v>13.92</v>
      </c>
      <c r="K812" s="4">
        <f t="shared" si="5"/>
        <v>14.5</v>
      </c>
      <c r="L812" s="4">
        <f t="shared" si="6"/>
        <v>13.92</v>
      </c>
    </row>
    <row r="813">
      <c r="A813" s="3">
        <v>701.0</v>
      </c>
      <c r="B813" s="1" t="s">
        <v>1241</v>
      </c>
      <c r="C813" s="3">
        <v>158.0</v>
      </c>
      <c r="D813" s="5"/>
      <c r="E813" s="5"/>
      <c r="F813" s="5"/>
      <c r="G813" s="4">
        <f t="shared" si="1"/>
        <v>79</v>
      </c>
      <c r="H813" s="4" t="str">
        <f t="shared" si="2"/>
        <v>Sin precio neto</v>
      </c>
      <c r="I813" s="4" t="str">
        <f t="shared" si="3"/>
        <v>Sin precio neto G.C.</v>
      </c>
      <c r="J813" s="4">
        <f t="shared" si="4"/>
        <v>75.84</v>
      </c>
      <c r="K813" s="4">
        <f t="shared" si="5"/>
        <v>79</v>
      </c>
      <c r="L813" s="4">
        <f t="shared" si="6"/>
        <v>75.84</v>
      </c>
    </row>
    <row r="814">
      <c r="A814" s="8" t="s">
        <v>1242</v>
      </c>
      <c r="B814" s="1" t="s">
        <v>1243</v>
      </c>
      <c r="C814" s="3">
        <v>299.2</v>
      </c>
      <c r="D814" s="5"/>
      <c r="E814" s="5"/>
      <c r="F814" s="5"/>
      <c r="G814" s="4">
        <f t="shared" si="1"/>
        <v>149.6</v>
      </c>
      <c r="H814" s="4" t="str">
        <f t="shared" si="2"/>
        <v>Sin precio neto</v>
      </c>
      <c r="I814" s="4" t="str">
        <f t="shared" si="3"/>
        <v>Sin precio neto G.C.</v>
      </c>
      <c r="J814" s="4">
        <f t="shared" si="4"/>
        <v>143.616</v>
      </c>
      <c r="K814" s="4">
        <f t="shared" si="5"/>
        <v>149.6</v>
      </c>
      <c r="L814" s="4">
        <f t="shared" si="6"/>
        <v>143.616</v>
      </c>
    </row>
    <row r="815">
      <c r="A815" s="8" t="s">
        <v>1244</v>
      </c>
      <c r="B815" s="1" t="s">
        <v>1245</v>
      </c>
      <c r="C815" s="3">
        <v>441.0</v>
      </c>
      <c r="D815" s="5"/>
      <c r="E815" s="5"/>
      <c r="F815" s="5"/>
      <c r="G815" s="4">
        <f t="shared" si="1"/>
        <v>220.5</v>
      </c>
      <c r="H815" s="4" t="str">
        <f t="shared" si="2"/>
        <v>Sin precio neto</v>
      </c>
      <c r="I815" s="4" t="str">
        <f t="shared" si="3"/>
        <v>Sin precio neto G.C.</v>
      </c>
      <c r="J815" s="4">
        <f t="shared" si="4"/>
        <v>211.68</v>
      </c>
      <c r="K815" s="4">
        <f t="shared" si="5"/>
        <v>220.5</v>
      </c>
      <c r="L815" s="4">
        <f t="shared" si="6"/>
        <v>211.68</v>
      </c>
    </row>
    <row r="816">
      <c r="A816" s="8" t="s">
        <v>1246</v>
      </c>
      <c r="B816" s="1" t="s">
        <v>1247</v>
      </c>
      <c r="C816" s="3">
        <v>252.0</v>
      </c>
      <c r="D816" s="5"/>
      <c r="E816" s="5"/>
      <c r="F816" s="5"/>
      <c r="G816" s="4">
        <f t="shared" si="1"/>
        <v>126</v>
      </c>
      <c r="H816" s="4" t="str">
        <f t="shared" si="2"/>
        <v>Sin precio neto</v>
      </c>
      <c r="I816" s="4" t="str">
        <f t="shared" si="3"/>
        <v>Sin precio neto G.C.</v>
      </c>
      <c r="J816" s="4">
        <f t="shared" si="4"/>
        <v>120.96</v>
      </c>
      <c r="K816" s="4">
        <f t="shared" si="5"/>
        <v>126</v>
      </c>
      <c r="L816" s="4">
        <f t="shared" si="6"/>
        <v>120.96</v>
      </c>
    </row>
    <row r="817">
      <c r="A817" s="8" t="s">
        <v>1248</v>
      </c>
      <c r="B817" s="1" t="s">
        <v>1249</v>
      </c>
      <c r="C817" s="3">
        <v>275.1</v>
      </c>
      <c r="D817" s="5"/>
      <c r="E817" s="5"/>
      <c r="F817" s="5"/>
      <c r="G817" s="4">
        <f t="shared" si="1"/>
        <v>137.55</v>
      </c>
      <c r="H817" s="4" t="str">
        <f t="shared" si="2"/>
        <v>Sin precio neto</v>
      </c>
      <c r="I817" s="4" t="str">
        <f t="shared" si="3"/>
        <v>Sin precio neto G.C.</v>
      </c>
      <c r="J817" s="4">
        <f t="shared" si="4"/>
        <v>132.048</v>
      </c>
      <c r="K817" s="4">
        <f t="shared" si="5"/>
        <v>137.55</v>
      </c>
      <c r="L817" s="4">
        <f t="shared" si="6"/>
        <v>132.048</v>
      </c>
    </row>
    <row r="818">
      <c r="A818" s="8" t="s">
        <v>1250</v>
      </c>
      <c r="B818" s="1" t="s">
        <v>1251</v>
      </c>
      <c r="C818" s="3">
        <v>283.5</v>
      </c>
      <c r="D818" s="5"/>
      <c r="E818" s="5"/>
      <c r="F818" s="5"/>
      <c r="G818" s="4">
        <f t="shared" si="1"/>
        <v>141.75</v>
      </c>
      <c r="H818" s="4" t="str">
        <f t="shared" si="2"/>
        <v>Sin precio neto</v>
      </c>
      <c r="I818" s="4" t="str">
        <f t="shared" si="3"/>
        <v>Sin precio neto G.C.</v>
      </c>
      <c r="J818" s="4">
        <f t="shared" si="4"/>
        <v>136.08</v>
      </c>
      <c r="K818" s="4">
        <f t="shared" si="5"/>
        <v>141.75</v>
      </c>
      <c r="L818" s="4">
        <f t="shared" si="6"/>
        <v>136.08</v>
      </c>
    </row>
    <row r="819">
      <c r="A819" s="8" t="s">
        <v>1252</v>
      </c>
      <c r="B819" s="1" t="s">
        <v>1251</v>
      </c>
      <c r="C819" s="3">
        <v>341.25</v>
      </c>
      <c r="D819" s="5"/>
      <c r="E819" s="5"/>
      <c r="F819" s="5"/>
      <c r="G819" s="4">
        <f t="shared" si="1"/>
        <v>170.625</v>
      </c>
      <c r="H819" s="4" t="str">
        <f t="shared" si="2"/>
        <v>Sin precio neto</v>
      </c>
      <c r="I819" s="4" t="str">
        <f t="shared" si="3"/>
        <v>Sin precio neto G.C.</v>
      </c>
      <c r="J819" s="4">
        <f t="shared" si="4"/>
        <v>163.8</v>
      </c>
      <c r="K819" s="4">
        <f t="shared" si="5"/>
        <v>170.625</v>
      </c>
      <c r="L819" s="4">
        <f t="shared" si="6"/>
        <v>163.8</v>
      </c>
    </row>
    <row r="820">
      <c r="A820" s="8" t="s">
        <v>1253</v>
      </c>
      <c r="B820" s="1" t="s">
        <v>1254</v>
      </c>
      <c r="C820" s="3">
        <v>346.5</v>
      </c>
      <c r="D820" s="5"/>
      <c r="E820" s="5"/>
      <c r="F820" s="5"/>
      <c r="G820" s="4">
        <f t="shared" si="1"/>
        <v>173.25</v>
      </c>
      <c r="H820" s="4" t="str">
        <f t="shared" si="2"/>
        <v>Sin precio neto</v>
      </c>
      <c r="I820" s="4" t="str">
        <f t="shared" si="3"/>
        <v>Sin precio neto G.C.</v>
      </c>
      <c r="J820" s="4">
        <f t="shared" si="4"/>
        <v>166.32</v>
      </c>
      <c r="K820" s="4">
        <f t="shared" si="5"/>
        <v>173.25</v>
      </c>
      <c r="L820" s="4">
        <f t="shared" si="6"/>
        <v>166.32</v>
      </c>
    </row>
    <row r="821">
      <c r="A821" s="8" t="s">
        <v>1255</v>
      </c>
      <c r="B821" s="1" t="s">
        <v>1256</v>
      </c>
      <c r="C821" s="3">
        <v>446.25</v>
      </c>
      <c r="D821" s="5"/>
      <c r="E821" s="5"/>
      <c r="F821" s="5"/>
      <c r="G821" s="4">
        <f t="shared" si="1"/>
        <v>223.125</v>
      </c>
      <c r="H821" s="4" t="str">
        <f t="shared" si="2"/>
        <v>Sin precio neto</v>
      </c>
      <c r="I821" s="4" t="str">
        <f t="shared" si="3"/>
        <v>Sin precio neto G.C.</v>
      </c>
      <c r="J821" s="4">
        <f t="shared" si="4"/>
        <v>214.2</v>
      </c>
      <c r="K821" s="4">
        <f t="shared" si="5"/>
        <v>223.125</v>
      </c>
      <c r="L821" s="4">
        <f t="shared" si="6"/>
        <v>214.2</v>
      </c>
    </row>
    <row r="822">
      <c r="A822" s="8" t="s">
        <v>1257</v>
      </c>
      <c r="B822" s="1" t="s">
        <v>1254</v>
      </c>
      <c r="C822" s="3">
        <v>351.75</v>
      </c>
      <c r="D822" s="5"/>
      <c r="E822" s="5"/>
      <c r="F822" s="5"/>
      <c r="G822" s="4">
        <f t="shared" si="1"/>
        <v>175.875</v>
      </c>
      <c r="H822" s="4" t="str">
        <f t="shared" si="2"/>
        <v>Sin precio neto</v>
      </c>
      <c r="I822" s="4" t="str">
        <f t="shared" si="3"/>
        <v>Sin precio neto G.C.</v>
      </c>
      <c r="J822" s="4">
        <f t="shared" si="4"/>
        <v>168.84</v>
      </c>
      <c r="K822" s="4">
        <f t="shared" si="5"/>
        <v>175.875</v>
      </c>
      <c r="L822" s="4">
        <f t="shared" si="6"/>
        <v>168.84</v>
      </c>
    </row>
    <row r="823">
      <c r="A823" s="8" t="s">
        <v>1258</v>
      </c>
      <c r="B823" s="1" t="s">
        <v>1254</v>
      </c>
      <c r="C823" s="3">
        <v>472.5</v>
      </c>
      <c r="D823" s="5"/>
      <c r="E823" s="5"/>
      <c r="F823" s="5"/>
      <c r="G823" s="4">
        <f t="shared" si="1"/>
        <v>236.25</v>
      </c>
      <c r="H823" s="4" t="str">
        <f t="shared" si="2"/>
        <v>Sin precio neto</v>
      </c>
      <c r="I823" s="4" t="str">
        <f t="shared" si="3"/>
        <v>Sin precio neto G.C.</v>
      </c>
      <c r="J823" s="4">
        <f t="shared" si="4"/>
        <v>226.8</v>
      </c>
      <c r="K823" s="4">
        <f t="shared" si="5"/>
        <v>236.25</v>
      </c>
      <c r="L823" s="4">
        <f t="shared" si="6"/>
        <v>226.8</v>
      </c>
    </row>
    <row r="824">
      <c r="A824" s="8" t="s">
        <v>1259</v>
      </c>
      <c r="B824" s="1" t="s">
        <v>1260</v>
      </c>
      <c r="C824" s="3">
        <v>367.5</v>
      </c>
      <c r="D824" s="5"/>
      <c r="E824" s="5"/>
      <c r="F824" s="5"/>
      <c r="G824" s="4">
        <f t="shared" si="1"/>
        <v>183.75</v>
      </c>
      <c r="H824" s="4" t="str">
        <f t="shared" si="2"/>
        <v>Sin precio neto</v>
      </c>
      <c r="I824" s="4" t="str">
        <f t="shared" si="3"/>
        <v>Sin precio neto G.C.</v>
      </c>
      <c r="J824" s="4">
        <f t="shared" si="4"/>
        <v>176.4</v>
      </c>
      <c r="K824" s="4">
        <f t="shared" si="5"/>
        <v>183.75</v>
      </c>
      <c r="L824" s="4">
        <f t="shared" si="6"/>
        <v>176.4</v>
      </c>
    </row>
    <row r="825">
      <c r="A825" s="8" t="s">
        <v>1261</v>
      </c>
      <c r="B825" s="1" t="s">
        <v>1260</v>
      </c>
      <c r="C825" s="3">
        <v>294.0</v>
      </c>
      <c r="D825" s="5"/>
      <c r="E825" s="5"/>
      <c r="F825" s="5"/>
      <c r="G825" s="4">
        <f t="shared" si="1"/>
        <v>147</v>
      </c>
      <c r="H825" s="4" t="str">
        <f t="shared" si="2"/>
        <v>Sin precio neto</v>
      </c>
      <c r="I825" s="4" t="str">
        <f t="shared" si="3"/>
        <v>Sin precio neto G.C.</v>
      </c>
      <c r="J825" s="4">
        <f t="shared" si="4"/>
        <v>141.12</v>
      </c>
      <c r="K825" s="4">
        <f t="shared" si="5"/>
        <v>147</v>
      </c>
      <c r="L825" s="4">
        <f t="shared" si="6"/>
        <v>141.12</v>
      </c>
    </row>
    <row r="826">
      <c r="A826" s="8" t="s">
        <v>1262</v>
      </c>
      <c r="B826" s="1" t="s">
        <v>1260</v>
      </c>
      <c r="C826" s="3">
        <v>273.0</v>
      </c>
      <c r="D826" s="5"/>
      <c r="E826" s="5"/>
      <c r="F826" s="5"/>
      <c r="G826" s="4">
        <f t="shared" si="1"/>
        <v>136.5</v>
      </c>
      <c r="H826" s="4" t="str">
        <f t="shared" si="2"/>
        <v>Sin precio neto</v>
      </c>
      <c r="I826" s="4" t="str">
        <f t="shared" si="3"/>
        <v>Sin precio neto G.C.</v>
      </c>
      <c r="J826" s="4">
        <f t="shared" si="4"/>
        <v>131.04</v>
      </c>
      <c r="K826" s="4">
        <f t="shared" si="5"/>
        <v>136.5</v>
      </c>
      <c r="L826" s="4">
        <f t="shared" si="6"/>
        <v>131.04</v>
      </c>
    </row>
    <row r="827">
      <c r="A827" s="8" t="s">
        <v>1263</v>
      </c>
      <c r="B827" s="1" t="s">
        <v>1260</v>
      </c>
      <c r="C827" s="3">
        <v>367.5</v>
      </c>
      <c r="D827" s="5"/>
      <c r="E827" s="5"/>
      <c r="F827" s="5"/>
      <c r="G827" s="4">
        <f t="shared" si="1"/>
        <v>183.75</v>
      </c>
      <c r="H827" s="4" t="str">
        <f t="shared" si="2"/>
        <v>Sin precio neto</v>
      </c>
      <c r="I827" s="4" t="str">
        <f t="shared" si="3"/>
        <v>Sin precio neto G.C.</v>
      </c>
      <c r="J827" s="4">
        <f t="shared" si="4"/>
        <v>176.4</v>
      </c>
      <c r="K827" s="4">
        <f t="shared" si="5"/>
        <v>183.75</v>
      </c>
      <c r="L827" s="4">
        <f t="shared" si="6"/>
        <v>176.4</v>
      </c>
    </row>
    <row r="828">
      <c r="A828" s="8" t="s">
        <v>1264</v>
      </c>
      <c r="B828" s="1" t="s">
        <v>1265</v>
      </c>
      <c r="C828" s="3">
        <v>393.75</v>
      </c>
      <c r="D828" s="5"/>
      <c r="E828" s="5"/>
      <c r="F828" s="5"/>
      <c r="G828" s="4">
        <f t="shared" si="1"/>
        <v>196.875</v>
      </c>
      <c r="H828" s="4" t="str">
        <f t="shared" si="2"/>
        <v>Sin precio neto</v>
      </c>
      <c r="I828" s="4" t="str">
        <f t="shared" si="3"/>
        <v>Sin precio neto G.C.</v>
      </c>
      <c r="J828" s="4">
        <f t="shared" si="4"/>
        <v>189</v>
      </c>
      <c r="K828" s="4">
        <f t="shared" si="5"/>
        <v>196.875</v>
      </c>
      <c r="L828" s="4">
        <f t="shared" si="6"/>
        <v>189</v>
      </c>
    </row>
    <row r="829">
      <c r="A829" s="8" t="s">
        <v>1266</v>
      </c>
      <c r="B829" s="1" t="s">
        <v>1265</v>
      </c>
      <c r="C829" s="3">
        <v>446.25</v>
      </c>
      <c r="D829" s="5"/>
      <c r="E829" s="5"/>
      <c r="F829" s="5"/>
      <c r="G829" s="4">
        <f t="shared" si="1"/>
        <v>223.125</v>
      </c>
      <c r="H829" s="4" t="str">
        <f t="shared" si="2"/>
        <v>Sin precio neto</v>
      </c>
      <c r="I829" s="4" t="str">
        <f t="shared" si="3"/>
        <v>Sin precio neto G.C.</v>
      </c>
      <c r="J829" s="4">
        <f t="shared" si="4"/>
        <v>214.2</v>
      </c>
      <c r="K829" s="4">
        <f t="shared" si="5"/>
        <v>223.125</v>
      </c>
      <c r="L829" s="4">
        <f t="shared" si="6"/>
        <v>214.2</v>
      </c>
    </row>
    <row r="830">
      <c r="A830" s="8" t="s">
        <v>1267</v>
      </c>
      <c r="B830" s="1" t="s">
        <v>1265</v>
      </c>
      <c r="C830" s="3">
        <v>393.75</v>
      </c>
      <c r="D830" s="5"/>
      <c r="E830" s="5"/>
      <c r="F830" s="5"/>
      <c r="G830" s="4">
        <f t="shared" si="1"/>
        <v>196.875</v>
      </c>
      <c r="H830" s="4" t="str">
        <f t="shared" si="2"/>
        <v>Sin precio neto</v>
      </c>
      <c r="I830" s="4" t="str">
        <f t="shared" si="3"/>
        <v>Sin precio neto G.C.</v>
      </c>
      <c r="J830" s="4">
        <f t="shared" si="4"/>
        <v>189</v>
      </c>
      <c r="K830" s="4">
        <f t="shared" si="5"/>
        <v>196.875</v>
      </c>
      <c r="L830" s="4">
        <f t="shared" si="6"/>
        <v>189</v>
      </c>
    </row>
    <row r="831">
      <c r="A831" s="8" t="s">
        <v>1268</v>
      </c>
      <c r="B831" s="1" t="s">
        <v>1269</v>
      </c>
      <c r="C831" s="3">
        <v>493.5</v>
      </c>
      <c r="D831" s="5"/>
      <c r="E831" s="5"/>
      <c r="F831" s="5"/>
      <c r="G831" s="4">
        <f t="shared" si="1"/>
        <v>246.75</v>
      </c>
      <c r="H831" s="4" t="str">
        <f t="shared" si="2"/>
        <v>Sin precio neto</v>
      </c>
      <c r="I831" s="4" t="str">
        <f t="shared" si="3"/>
        <v>Sin precio neto G.C.</v>
      </c>
      <c r="J831" s="4">
        <f t="shared" si="4"/>
        <v>236.88</v>
      </c>
      <c r="K831" s="4">
        <f t="shared" si="5"/>
        <v>246.75</v>
      </c>
      <c r="L831" s="4">
        <f t="shared" si="6"/>
        <v>236.88</v>
      </c>
    </row>
    <row r="832">
      <c r="A832" s="8" t="s">
        <v>1270</v>
      </c>
      <c r="B832" s="1" t="s">
        <v>1271</v>
      </c>
      <c r="C832" s="3">
        <v>126.0</v>
      </c>
      <c r="D832" s="5"/>
      <c r="E832" s="5"/>
      <c r="F832" s="5"/>
      <c r="G832" s="4">
        <f t="shared" si="1"/>
        <v>63</v>
      </c>
      <c r="H832" s="4" t="str">
        <f t="shared" si="2"/>
        <v>Sin precio neto</v>
      </c>
      <c r="I832" s="4" t="str">
        <f t="shared" si="3"/>
        <v>Sin precio neto G.C.</v>
      </c>
      <c r="J832" s="4">
        <f t="shared" si="4"/>
        <v>60.48</v>
      </c>
      <c r="K832" s="4">
        <f t="shared" si="5"/>
        <v>63</v>
      </c>
      <c r="L832" s="4">
        <f t="shared" si="6"/>
        <v>60.48</v>
      </c>
    </row>
    <row r="833">
      <c r="A833" s="8" t="s">
        <v>1272</v>
      </c>
      <c r="B833" s="1" t="s">
        <v>1273</v>
      </c>
      <c r="C833" s="3">
        <v>157.5</v>
      </c>
      <c r="D833" s="5"/>
      <c r="E833" s="5"/>
      <c r="F833" s="5"/>
      <c r="G833" s="4">
        <f t="shared" si="1"/>
        <v>78.75</v>
      </c>
      <c r="H833" s="4" t="str">
        <f t="shared" si="2"/>
        <v>Sin precio neto</v>
      </c>
      <c r="I833" s="4" t="str">
        <f t="shared" si="3"/>
        <v>Sin precio neto G.C.</v>
      </c>
      <c r="J833" s="4">
        <f t="shared" si="4"/>
        <v>75.6</v>
      </c>
      <c r="K833" s="4">
        <f t="shared" si="5"/>
        <v>78.75</v>
      </c>
      <c r="L833" s="4">
        <f t="shared" si="6"/>
        <v>75.6</v>
      </c>
    </row>
    <row r="834">
      <c r="A834" s="8" t="s">
        <v>1274</v>
      </c>
      <c r="B834" s="1" t="s">
        <v>1275</v>
      </c>
      <c r="C834" s="3">
        <v>199.5</v>
      </c>
      <c r="D834" s="5"/>
      <c r="E834" s="5"/>
      <c r="F834" s="5"/>
      <c r="G834" s="4">
        <f t="shared" si="1"/>
        <v>99.75</v>
      </c>
      <c r="H834" s="4" t="str">
        <f t="shared" si="2"/>
        <v>Sin precio neto</v>
      </c>
      <c r="I834" s="4" t="str">
        <f t="shared" si="3"/>
        <v>Sin precio neto G.C.</v>
      </c>
      <c r="J834" s="4">
        <f t="shared" si="4"/>
        <v>95.76</v>
      </c>
      <c r="K834" s="4">
        <f t="shared" si="5"/>
        <v>99.75</v>
      </c>
      <c r="L834" s="4">
        <f t="shared" si="6"/>
        <v>95.76</v>
      </c>
    </row>
    <row r="835">
      <c r="A835" s="8" t="s">
        <v>1276</v>
      </c>
      <c r="B835" s="1" t="s">
        <v>1277</v>
      </c>
      <c r="C835" s="3">
        <v>236.25</v>
      </c>
      <c r="D835" s="5"/>
      <c r="E835" s="5"/>
      <c r="F835" s="5"/>
      <c r="G835" s="4">
        <f t="shared" si="1"/>
        <v>118.125</v>
      </c>
      <c r="H835" s="4" t="str">
        <f t="shared" si="2"/>
        <v>Sin precio neto</v>
      </c>
      <c r="I835" s="4" t="str">
        <f t="shared" si="3"/>
        <v>Sin precio neto G.C.</v>
      </c>
      <c r="J835" s="4">
        <f t="shared" si="4"/>
        <v>113.4</v>
      </c>
      <c r="K835" s="4">
        <f t="shared" si="5"/>
        <v>118.125</v>
      </c>
      <c r="L835" s="4">
        <f t="shared" si="6"/>
        <v>113.4</v>
      </c>
    </row>
    <row r="836">
      <c r="A836" s="3">
        <v>706.0</v>
      </c>
      <c r="B836" s="1" t="s">
        <v>1278</v>
      </c>
      <c r="C836" s="3">
        <v>22.5</v>
      </c>
      <c r="D836" s="5"/>
      <c r="E836" s="5"/>
      <c r="F836" s="5"/>
      <c r="G836" s="4">
        <f t="shared" si="1"/>
        <v>11.25</v>
      </c>
      <c r="H836" s="4" t="str">
        <f t="shared" si="2"/>
        <v>Sin precio neto</v>
      </c>
      <c r="I836" s="4" t="str">
        <f t="shared" si="3"/>
        <v>Sin precio neto G.C.</v>
      </c>
      <c r="J836" s="4">
        <f t="shared" si="4"/>
        <v>10.8</v>
      </c>
      <c r="K836" s="4">
        <f t="shared" si="5"/>
        <v>11.25</v>
      </c>
      <c r="L836" s="4">
        <f t="shared" si="6"/>
        <v>10.8</v>
      </c>
    </row>
    <row r="837">
      <c r="A837" s="3">
        <v>708.0</v>
      </c>
      <c r="B837" s="1" t="s">
        <v>1279</v>
      </c>
      <c r="C837" s="3">
        <v>62.0</v>
      </c>
      <c r="D837" s="5"/>
      <c r="E837" s="5"/>
      <c r="F837" s="5"/>
      <c r="G837" s="4">
        <f t="shared" si="1"/>
        <v>31</v>
      </c>
      <c r="H837" s="4" t="str">
        <f t="shared" si="2"/>
        <v>Sin precio neto</v>
      </c>
      <c r="I837" s="4" t="str">
        <f t="shared" si="3"/>
        <v>Sin precio neto G.C.</v>
      </c>
      <c r="J837" s="4">
        <f t="shared" si="4"/>
        <v>29.76</v>
      </c>
      <c r="K837" s="4">
        <f t="shared" si="5"/>
        <v>31</v>
      </c>
      <c r="L837" s="4">
        <f t="shared" si="6"/>
        <v>29.76</v>
      </c>
    </row>
    <row r="838">
      <c r="A838" s="3">
        <v>710.0</v>
      </c>
      <c r="B838" s="1" t="s">
        <v>1280</v>
      </c>
      <c r="C838" s="3">
        <v>65.8</v>
      </c>
      <c r="D838" s="5"/>
      <c r="E838" s="5"/>
      <c r="F838" s="5"/>
      <c r="G838" s="4">
        <f t="shared" si="1"/>
        <v>32.9</v>
      </c>
      <c r="H838" s="4" t="str">
        <f t="shared" si="2"/>
        <v>Sin precio neto</v>
      </c>
      <c r="I838" s="4" t="str">
        <f t="shared" si="3"/>
        <v>Sin precio neto G.C.</v>
      </c>
      <c r="J838" s="4">
        <f t="shared" si="4"/>
        <v>31.584</v>
      </c>
      <c r="K838" s="4">
        <f t="shared" si="5"/>
        <v>32.9</v>
      </c>
      <c r="L838" s="4">
        <f t="shared" si="6"/>
        <v>31.584</v>
      </c>
    </row>
    <row r="839">
      <c r="A839" s="1" t="s">
        <v>1281</v>
      </c>
      <c r="B839" s="1" t="s">
        <v>1282</v>
      </c>
      <c r="C839" s="3">
        <v>44.2</v>
      </c>
      <c r="D839" s="5"/>
      <c r="E839" s="5"/>
      <c r="F839" s="5"/>
      <c r="G839" s="4">
        <f t="shared" si="1"/>
        <v>22.1</v>
      </c>
      <c r="H839" s="4" t="str">
        <f t="shared" si="2"/>
        <v>Sin precio neto</v>
      </c>
      <c r="I839" s="4" t="str">
        <f t="shared" si="3"/>
        <v>Sin precio neto G.C.</v>
      </c>
      <c r="J839" s="4">
        <f t="shared" si="4"/>
        <v>21.216</v>
      </c>
      <c r="K839" s="4">
        <f t="shared" si="5"/>
        <v>22.1</v>
      </c>
      <c r="L839" s="4">
        <f t="shared" si="6"/>
        <v>21.216</v>
      </c>
    </row>
    <row r="840">
      <c r="A840" s="3">
        <v>711.0</v>
      </c>
      <c r="B840" s="1" t="s">
        <v>1283</v>
      </c>
      <c r="C840" s="3">
        <v>16.0</v>
      </c>
      <c r="D840" s="5"/>
      <c r="E840" s="5"/>
      <c r="F840" s="5"/>
      <c r="G840" s="4">
        <f t="shared" si="1"/>
        <v>8</v>
      </c>
      <c r="H840" s="4" t="str">
        <f t="shared" si="2"/>
        <v>Sin precio neto</v>
      </c>
      <c r="I840" s="4" t="str">
        <f t="shared" si="3"/>
        <v>Sin precio neto G.C.</v>
      </c>
      <c r="J840" s="4">
        <f t="shared" si="4"/>
        <v>7.68</v>
      </c>
      <c r="K840" s="4">
        <f t="shared" si="5"/>
        <v>8</v>
      </c>
      <c r="L840" s="4">
        <f t="shared" si="6"/>
        <v>7.68</v>
      </c>
    </row>
    <row r="841">
      <c r="A841" s="1" t="s">
        <v>1284</v>
      </c>
      <c r="B841" s="1" t="s">
        <v>1285</v>
      </c>
      <c r="C841" s="3">
        <v>15.75</v>
      </c>
      <c r="D841" s="5"/>
      <c r="E841" s="5"/>
      <c r="F841" s="5"/>
      <c r="G841" s="4">
        <f t="shared" si="1"/>
        <v>7.875</v>
      </c>
      <c r="H841" s="4" t="str">
        <f t="shared" si="2"/>
        <v>Sin precio neto</v>
      </c>
      <c r="I841" s="4" t="str">
        <f t="shared" si="3"/>
        <v>Sin precio neto G.C.</v>
      </c>
      <c r="J841" s="4">
        <f t="shared" si="4"/>
        <v>7.56</v>
      </c>
      <c r="K841" s="4">
        <f t="shared" si="5"/>
        <v>7.875</v>
      </c>
      <c r="L841" s="4">
        <f t="shared" si="6"/>
        <v>7.56</v>
      </c>
    </row>
    <row r="842">
      <c r="A842" s="1" t="s">
        <v>1286</v>
      </c>
      <c r="B842" s="1" t="s">
        <v>1287</v>
      </c>
      <c r="C842" s="3">
        <v>15.75</v>
      </c>
      <c r="D842" s="5"/>
      <c r="E842" s="5"/>
      <c r="F842" s="5"/>
      <c r="G842" s="4">
        <f t="shared" si="1"/>
        <v>7.875</v>
      </c>
      <c r="H842" s="4" t="str">
        <f t="shared" si="2"/>
        <v>Sin precio neto</v>
      </c>
      <c r="I842" s="4" t="str">
        <f t="shared" si="3"/>
        <v>Sin precio neto G.C.</v>
      </c>
      <c r="J842" s="4">
        <f t="shared" si="4"/>
        <v>7.56</v>
      </c>
      <c r="K842" s="4">
        <f t="shared" si="5"/>
        <v>7.875</v>
      </c>
      <c r="L842" s="4">
        <f t="shared" si="6"/>
        <v>7.56</v>
      </c>
    </row>
    <row r="843">
      <c r="A843" s="1" t="s">
        <v>1288</v>
      </c>
      <c r="B843" s="1" t="s">
        <v>1289</v>
      </c>
      <c r="C843" s="3">
        <v>15.75</v>
      </c>
      <c r="D843" s="5"/>
      <c r="E843" s="5"/>
      <c r="F843" s="5"/>
      <c r="G843" s="4">
        <f t="shared" si="1"/>
        <v>7.875</v>
      </c>
      <c r="H843" s="4" t="str">
        <f t="shared" si="2"/>
        <v>Sin precio neto</v>
      </c>
      <c r="I843" s="4" t="str">
        <f t="shared" si="3"/>
        <v>Sin precio neto G.C.</v>
      </c>
      <c r="J843" s="4">
        <f t="shared" si="4"/>
        <v>7.56</v>
      </c>
      <c r="K843" s="4">
        <f t="shared" si="5"/>
        <v>7.875</v>
      </c>
      <c r="L843" s="4">
        <f t="shared" si="6"/>
        <v>7.56</v>
      </c>
    </row>
    <row r="844">
      <c r="A844" s="1" t="s">
        <v>1290</v>
      </c>
      <c r="B844" s="1" t="s">
        <v>1291</v>
      </c>
      <c r="C844" s="3">
        <v>15.75</v>
      </c>
      <c r="D844" s="5"/>
      <c r="E844" s="5"/>
      <c r="F844" s="5"/>
      <c r="G844" s="4">
        <f t="shared" si="1"/>
        <v>7.875</v>
      </c>
      <c r="H844" s="4" t="str">
        <f t="shared" si="2"/>
        <v>Sin precio neto</v>
      </c>
      <c r="I844" s="4" t="str">
        <f t="shared" si="3"/>
        <v>Sin precio neto G.C.</v>
      </c>
      <c r="J844" s="4">
        <f t="shared" si="4"/>
        <v>7.56</v>
      </c>
      <c r="K844" s="4">
        <f t="shared" si="5"/>
        <v>7.875</v>
      </c>
      <c r="L844" s="4">
        <f t="shared" si="6"/>
        <v>7.56</v>
      </c>
    </row>
    <row r="845">
      <c r="A845" s="1" t="s">
        <v>1292</v>
      </c>
      <c r="B845" s="1" t="s">
        <v>1293</v>
      </c>
      <c r="C845" s="3">
        <v>15.75</v>
      </c>
      <c r="D845" s="5"/>
      <c r="E845" s="5"/>
      <c r="F845" s="5"/>
      <c r="G845" s="4">
        <f t="shared" si="1"/>
        <v>7.875</v>
      </c>
      <c r="H845" s="4" t="str">
        <f t="shared" si="2"/>
        <v>Sin precio neto</v>
      </c>
      <c r="I845" s="4" t="str">
        <f t="shared" si="3"/>
        <v>Sin precio neto G.C.</v>
      </c>
      <c r="J845" s="4">
        <f t="shared" si="4"/>
        <v>7.56</v>
      </c>
      <c r="K845" s="4">
        <f t="shared" si="5"/>
        <v>7.875</v>
      </c>
      <c r="L845" s="4">
        <f t="shared" si="6"/>
        <v>7.56</v>
      </c>
    </row>
    <row r="846">
      <c r="A846" s="1" t="s">
        <v>1294</v>
      </c>
      <c r="B846" s="1" t="s">
        <v>1295</v>
      </c>
      <c r="C846" s="3">
        <v>15.75</v>
      </c>
      <c r="D846" s="5"/>
      <c r="E846" s="5"/>
      <c r="F846" s="5"/>
      <c r="G846" s="4">
        <f t="shared" si="1"/>
        <v>7.875</v>
      </c>
      <c r="H846" s="4" t="str">
        <f t="shared" si="2"/>
        <v>Sin precio neto</v>
      </c>
      <c r="I846" s="4" t="str">
        <f t="shared" si="3"/>
        <v>Sin precio neto G.C.</v>
      </c>
      <c r="J846" s="4">
        <f t="shared" si="4"/>
        <v>7.56</v>
      </c>
      <c r="K846" s="4">
        <f t="shared" si="5"/>
        <v>7.875</v>
      </c>
      <c r="L846" s="4">
        <f t="shared" si="6"/>
        <v>7.56</v>
      </c>
    </row>
    <row r="847">
      <c r="A847" s="3">
        <v>712.0</v>
      </c>
      <c r="B847" s="1" t="s">
        <v>1296</v>
      </c>
      <c r="C847" s="3">
        <v>8.5</v>
      </c>
      <c r="D847" s="5"/>
      <c r="E847" s="5"/>
      <c r="F847" s="5"/>
      <c r="G847" s="4">
        <f t="shared" si="1"/>
        <v>4.25</v>
      </c>
      <c r="H847" s="4" t="str">
        <f t="shared" si="2"/>
        <v>Sin precio neto</v>
      </c>
      <c r="I847" s="4" t="str">
        <f t="shared" si="3"/>
        <v>Sin precio neto G.C.</v>
      </c>
      <c r="J847" s="4">
        <f t="shared" si="4"/>
        <v>4.08</v>
      </c>
      <c r="K847" s="4">
        <f t="shared" si="5"/>
        <v>4.25</v>
      </c>
      <c r="L847" s="4">
        <f t="shared" si="6"/>
        <v>4.08</v>
      </c>
    </row>
    <row r="848">
      <c r="A848" s="3">
        <v>713.0</v>
      </c>
      <c r="B848" s="1" t="s">
        <v>1297</v>
      </c>
      <c r="C848" s="3">
        <v>13.5</v>
      </c>
      <c r="D848" s="5"/>
      <c r="E848" s="5"/>
      <c r="F848" s="5"/>
      <c r="G848" s="4">
        <f t="shared" si="1"/>
        <v>6.75</v>
      </c>
      <c r="H848" s="4" t="str">
        <f t="shared" si="2"/>
        <v>Sin precio neto</v>
      </c>
      <c r="I848" s="4" t="str">
        <f t="shared" si="3"/>
        <v>Sin precio neto G.C.</v>
      </c>
      <c r="J848" s="4">
        <f t="shared" si="4"/>
        <v>6.48</v>
      </c>
      <c r="K848" s="4">
        <f t="shared" si="5"/>
        <v>6.75</v>
      </c>
      <c r="L848" s="4">
        <f t="shared" si="6"/>
        <v>6.48</v>
      </c>
    </row>
    <row r="849">
      <c r="A849" s="3">
        <v>714.0</v>
      </c>
      <c r="B849" s="1" t="s">
        <v>1298</v>
      </c>
      <c r="C849" s="3">
        <v>15.5</v>
      </c>
      <c r="D849" s="5"/>
      <c r="E849" s="5"/>
      <c r="F849" s="5"/>
      <c r="G849" s="4">
        <f t="shared" si="1"/>
        <v>7.75</v>
      </c>
      <c r="H849" s="4" t="str">
        <f t="shared" si="2"/>
        <v>Sin precio neto</v>
      </c>
      <c r="I849" s="4" t="str">
        <f t="shared" si="3"/>
        <v>Sin precio neto G.C.</v>
      </c>
      <c r="J849" s="4">
        <f t="shared" si="4"/>
        <v>7.44</v>
      </c>
      <c r="K849" s="4">
        <f t="shared" si="5"/>
        <v>7.75</v>
      </c>
      <c r="L849" s="4">
        <f t="shared" si="6"/>
        <v>7.44</v>
      </c>
    </row>
    <row r="850">
      <c r="A850" s="3">
        <v>715.0</v>
      </c>
      <c r="B850" s="1" t="s">
        <v>1299</v>
      </c>
      <c r="C850" s="3">
        <v>4.0</v>
      </c>
      <c r="D850" s="5"/>
      <c r="E850" s="5"/>
      <c r="F850" s="5"/>
      <c r="G850" s="4">
        <f t="shared" si="1"/>
        <v>2</v>
      </c>
      <c r="H850" s="4" t="str">
        <f t="shared" si="2"/>
        <v>Sin precio neto</v>
      </c>
      <c r="I850" s="4" t="str">
        <f t="shared" si="3"/>
        <v>Sin precio neto G.C.</v>
      </c>
      <c r="J850" s="4">
        <f t="shared" si="4"/>
        <v>1.92</v>
      </c>
      <c r="K850" s="4">
        <f t="shared" si="5"/>
        <v>2</v>
      </c>
      <c r="L850" s="4">
        <f t="shared" si="6"/>
        <v>1.92</v>
      </c>
    </row>
    <row r="851">
      <c r="A851" s="3">
        <v>716.0</v>
      </c>
      <c r="B851" s="1" t="s">
        <v>1300</v>
      </c>
      <c r="C851" s="3">
        <v>42.0</v>
      </c>
      <c r="D851" s="5"/>
      <c r="E851" s="5"/>
      <c r="F851" s="5"/>
      <c r="G851" s="4">
        <f t="shared" si="1"/>
        <v>21</v>
      </c>
      <c r="H851" s="4" t="str">
        <f t="shared" si="2"/>
        <v>Sin precio neto</v>
      </c>
      <c r="I851" s="4" t="str">
        <f t="shared" si="3"/>
        <v>Sin precio neto G.C.</v>
      </c>
      <c r="J851" s="4">
        <f t="shared" si="4"/>
        <v>20.16</v>
      </c>
      <c r="K851" s="4">
        <f t="shared" si="5"/>
        <v>21</v>
      </c>
      <c r="L851" s="4">
        <f t="shared" si="6"/>
        <v>20.16</v>
      </c>
    </row>
    <row r="852">
      <c r="A852" s="3">
        <v>717.0</v>
      </c>
      <c r="B852" s="1" t="s">
        <v>1301</v>
      </c>
      <c r="C852" s="3">
        <v>68.0</v>
      </c>
      <c r="D852" s="5"/>
      <c r="E852" s="5"/>
      <c r="F852" s="5"/>
      <c r="G852" s="4">
        <f t="shared" si="1"/>
        <v>34</v>
      </c>
      <c r="H852" s="4" t="str">
        <f t="shared" si="2"/>
        <v>Sin precio neto</v>
      </c>
      <c r="I852" s="4" t="str">
        <f t="shared" si="3"/>
        <v>Sin precio neto G.C.</v>
      </c>
      <c r="J852" s="4">
        <f t="shared" si="4"/>
        <v>32.64</v>
      </c>
      <c r="K852" s="4">
        <f t="shared" si="5"/>
        <v>34</v>
      </c>
      <c r="L852" s="4">
        <f t="shared" si="6"/>
        <v>32.64</v>
      </c>
    </row>
    <row r="853">
      <c r="A853" s="1" t="s">
        <v>1302</v>
      </c>
      <c r="B853" s="1" t="s">
        <v>1303</v>
      </c>
      <c r="C853" s="3">
        <v>56.0</v>
      </c>
      <c r="D853" s="5"/>
      <c r="E853" s="5"/>
      <c r="F853" s="5"/>
      <c r="G853" s="4">
        <f t="shared" si="1"/>
        <v>28</v>
      </c>
      <c r="H853" s="4" t="str">
        <f t="shared" si="2"/>
        <v>Sin precio neto</v>
      </c>
      <c r="I853" s="4" t="str">
        <f t="shared" si="3"/>
        <v>Sin precio neto G.C.</v>
      </c>
      <c r="J853" s="4">
        <f t="shared" si="4"/>
        <v>26.88</v>
      </c>
      <c r="K853" s="4">
        <f t="shared" si="5"/>
        <v>28</v>
      </c>
      <c r="L853" s="4">
        <f t="shared" si="6"/>
        <v>26.88</v>
      </c>
    </row>
    <row r="854">
      <c r="A854" s="3">
        <v>719.0</v>
      </c>
      <c r="B854" s="1" t="s">
        <v>1304</v>
      </c>
      <c r="C854" s="3">
        <v>22.0</v>
      </c>
      <c r="D854" s="5"/>
      <c r="E854" s="5"/>
      <c r="F854" s="5"/>
      <c r="G854" s="4">
        <f t="shared" si="1"/>
        <v>11</v>
      </c>
      <c r="H854" s="4" t="str">
        <f t="shared" si="2"/>
        <v>Sin precio neto</v>
      </c>
      <c r="I854" s="4" t="str">
        <f t="shared" si="3"/>
        <v>Sin precio neto G.C.</v>
      </c>
      <c r="J854" s="4">
        <f t="shared" si="4"/>
        <v>10.56</v>
      </c>
      <c r="K854" s="4">
        <f t="shared" si="5"/>
        <v>11</v>
      </c>
      <c r="L854" s="4">
        <f t="shared" si="6"/>
        <v>10.56</v>
      </c>
    </row>
    <row r="855">
      <c r="A855" s="3">
        <v>720.0</v>
      </c>
      <c r="B855" s="1" t="s">
        <v>1305</v>
      </c>
      <c r="C855" s="3">
        <v>12.0</v>
      </c>
      <c r="D855" s="5"/>
      <c r="E855" s="5"/>
      <c r="F855" s="5"/>
      <c r="G855" s="4">
        <f t="shared" si="1"/>
        <v>6</v>
      </c>
      <c r="H855" s="4" t="str">
        <f t="shared" si="2"/>
        <v>Sin precio neto</v>
      </c>
      <c r="I855" s="4" t="str">
        <f t="shared" si="3"/>
        <v>Sin precio neto G.C.</v>
      </c>
      <c r="J855" s="4">
        <f t="shared" si="4"/>
        <v>5.76</v>
      </c>
      <c r="K855" s="4">
        <f t="shared" si="5"/>
        <v>6</v>
      </c>
      <c r="L855" s="4">
        <f t="shared" si="6"/>
        <v>5.76</v>
      </c>
    </row>
    <row r="856">
      <c r="A856" s="3">
        <v>721.0</v>
      </c>
      <c r="B856" s="1" t="s">
        <v>1306</v>
      </c>
      <c r="C856" s="3">
        <v>8.0</v>
      </c>
      <c r="D856" s="5"/>
      <c r="E856" s="5"/>
      <c r="F856" s="5"/>
      <c r="G856" s="4">
        <f t="shared" si="1"/>
        <v>4</v>
      </c>
      <c r="H856" s="4" t="str">
        <f t="shared" si="2"/>
        <v>Sin precio neto</v>
      </c>
      <c r="I856" s="4" t="str">
        <f t="shared" si="3"/>
        <v>Sin precio neto G.C.</v>
      </c>
      <c r="J856" s="4">
        <f t="shared" si="4"/>
        <v>3.84</v>
      </c>
      <c r="K856" s="4">
        <f t="shared" si="5"/>
        <v>4</v>
      </c>
      <c r="L856" s="4">
        <f t="shared" si="6"/>
        <v>3.84</v>
      </c>
    </row>
    <row r="857">
      <c r="A857" s="3">
        <v>722.0</v>
      </c>
      <c r="B857" s="1" t="s">
        <v>1307</v>
      </c>
      <c r="C857" s="3">
        <v>21.2</v>
      </c>
      <c r="D857" s="5"/>
      <c r="E857" s="5"/>
      <c r="F857" s="5"/>
      <c r="G857" s="4">
        <f t="shared" si="1"/>
        <v>10.6</v>
      </c>
      <c r="H857" s="4" t="str">
        <f t="shared" si="2"/>
        <v>Sin precio neto</v>
      </c>
      <c r="I857" s="4" t="str">
        <f t="shared" si="3"/>
        <v>Sin precio neto G.C.</v>
      </c>
      <c r="J857" s="4">
        <f t="shared" si="4"/>
        <v>10.176</v>
      </c>
      <c r="K857" s="4">
        <f t="shared" si="5"/>
        <v>10.6</v>
      </c>
      <c r="L857" s="4">
        <f t="shared" si="6"/>
        <v>10.176</v>
      </c>
    </row>
    <row r="858">
      <c r="A858" s="3">
        <v>726.0</v>
      </c>
      <c r="B858" s="1" t="s">
        <v>1308</v>
      </c>
      <c r="C858" s="3">
        <v>42.0</v>
      </c>
      <c r="D858" s="5"/>
      <c r="E858" s="5"/>
      <c r="F858" s="5"/>
      <c r="G858" s="4">
        <f t="shared" si="1"/>
        <v>21</v>
      </c>
      <c r="H858" s="4" t="str">
        <f t="shared" si="2"/>
        <v>Sin precio neto</v>
      </c>
      <c r="I858" s="4" t="str">
        <f t="shared" si="3"/>
        <v>Sin precio neto G.C.</v>
      </c>
      <c r="J858" s="4">
        <f t="shared" si="4"/>
        <v>20.16</v>
      </c>
      <c r="K858" s="4">
        <f t="shared" si="5"/>
        <v>21</v>
      </c>
      <c r="L858" s="4">
        <f t="shared" si="6"/>
        <v>20.16</v>
      </c>
    </row>
    <row r="859">
      <c r="A859" s="3">
        <v>727.0</v>
      </c>
      <c r="B859" s="1" t="s">
        <v>1309</v>
      </c>
      <c r="C859" s="3">
        <v>34.0</v>
      </c>
      <c r="D859" s="5"/>
      <c r="E859" s="5"/>
      <c r="F859" s="5"/>
      <c r="G859" s="4">
        <f t="shared" si="1"/>
        <v>17</v>
      </c>
      <c r="H859" s="4" t="str">
        <f t="shared" si="2"/>
        <v>Sin precio neto</v>
      </c>
      <c r="I859" s="4" t="str">
        <f t="shared" si="3"/>
        <v>Sin precio neto G.C.</v>
      </c>
      <c r="J859" s="4">
        <f t="shared" si="4"/>
        <v>16.32</v>
      </c>
      <c r="K859" s="4">
        <f t="shared" si="5"/>
        <v>17</v>
      </c>
      <c r="L859" s="4">
        <f t="shared" si="6"/>
        <v>16.32</v>
      </c>
    </row>
    <row r="860">
      <c r="A860" s="3">
        <v>728.0</v>
      </c>
      <c r="B860" s="1" t="s">
        <v>1310</v>
      </c>
      <c r="C860" s="3">
        <v>282.5</v>
      </c>
      <c r="D860" s="5"/>
      <c r="E860" s="5"/>
      <c r="F860" s="5"/>
      <c r="G860" s="4">
        <f t="shared" si="1"/>
        <v>141.25</v>
      </c>
      <c r="H860" s="4" t="str">
        <f t="shared" si="2"/>
        <v>Sin precio neto</v>
      </c>
      <c r="I860" s="4" t="str">
        <f t="shared" si="3"/>
        <v>Sin precio neto G.C.</v>
      </c>
      <c r="J860" s="4">
        <f t="shared" si="4"/>
        <v>135.6</v>
      </c>
      <c r="K860" s="4">
        <f t="shared" si="5"/>
        <v>141.25</v>
      </c>
      <c r="L860" s="4">
        <f t="shared" si="6"/>
        <v>135.6</v>
      </c>
    </row>
    <row r="861">
      <c r="A861" s="3">
        <v>730.0</v>
      </c>
      <c r="B861" s="1" t="s">
        <v>1311</v>
      </c>
      <c r="C861" s="3">
        <v>3.8</v>
      </c>
      <c r="D861" s="5"/>
      <c r="E861" s="5"/>
      <c r="F861" s="5"/>
      <c r="G861" s="4">
        <f t="shared" si="1"/>
        <v>1.9</v>
      </c>
      <c r="H861" s="4" t="str">
        <f t="shared" si="2"/>
        <v>Sin precio neto</v>
      </c>
      <c r="I861" s="4" t="str">
        <f t="shared" si="3"/>
        <v>Sin precio neto G.C.</v>
      </c>
      <c r="J861" s="4">
        <f t="shared" si="4"/>
        <v>1.824</v>
      </c>
      <c r="K861" s="4">
        <f t="shared" si="5"/>
        <v>1.9</v>
      </c>
      <c r="L861" s="4">
        <f t="shared" si="6"/>
        <v>1.824</v>
      </c>
    </row>
    <row r="862">
      <c r="A862" s="3">
        <v>731.0</v>
      </c>
      <c r="B862" s="1" t="s">
        <v>1312</v>
      </c>
      <c r="C862" s="3">
        <v>3.8</v>
      </c>
      <c r="D862" s="5"/>
      <c r="E862" s="5"/>
      <c r="F862" s="5"/>
      <c r="G862" s="4">
        <f t="shared" si="1"/>
        <v>1.9</v>
      </c>
      <c r="H862" s="4" t="str">
        <f t="shared" si="2"/>
        <v>Sin precio neto</v>
      </c>
      <c r="I862" s="4" t="str">
        <f t="shared" si="3"/>
        <v>Sin precio neto G.C.</v>
      </c>
      <c r="J862" s="4">
        <f t="shared" si="4"/>
        <v>1.824</v>
      </c>
      <c r="K862" s="4">
        <f t="shared" si="5"/>
        <v>1.9</v>
      </c>
      <c r="L862" s="4">
        <f t="shared" si="6"/>
        <v>1.824</v>
      </c>
    </row>
    <row r="863">
      <c r="A863" s="3">
        <v>732.0</v>
      </c>
      <c r="B863" s="1" t="s">
        <v>1313</v>
      </c>
      <c r="C863" s="3">
        <v>29.0</v>
      </c>
      <c r="D863" s="5"/>
      <c r="E863" s="5"/>
      <c r="F863" s="5"/>
      <c r="G863" s="4">
        <f t="shared" si="1"/>
        <v>14.5</v>
      </c>
      <c r="H863" s="4" t="str">
        <f t="shared" si="2"/>
        <v>Sin precio neto</v>
      </c>
      <c r="I863" s="4" t="str">
        <f t="shared" si="3"/>
        <v>Sin precio neto G.C.</v>
      </c>
      <c r="J863" s="4">
        <f t="shared" si="4"/>
        <v>13.92</v>
      </c>
      <c r="K863" s="4">
        <f t="shared" si="5"/>
        <v>14.5</v>
      </c>
      <c r="L863" s="4">
        <f t="shared" si="6"/>
        <v>13.92</v>
      </c>
    </row>
    <row r="864">
      <c r="A864" s="3">
        <v>733.0</v>
      </c>
      <c r="B864" s="1" t="s">
        <v>1314</v>
      </c>
      <c r="C864" s="3">
        <v>29.0</v>
      </c>
      <c r="D864" s="5"/>
      <c r="E864" s="5"/>
      <c r="F864" s="5"/>
      <c r="G864" s="4">
        <f t="shared" si="1"/>
        <v>14.5</v>
      </c>
      <c r="H864" s="4" t="str">
        <f t="shared" si="2"/>
        <v>Sin precio neto</v>
      </c>
      <c r="I864" s="4" t="str">
        <f t="shared" si="3"/>
        <v>Sin precio neto G.C.</v>
      </c>
      <c r="J864" s="4">
        <f t="shared" si="4"/>
        <v>13.92</v>
      </c>
      <c r="K864" s="4">
        <f t="shared" si="5"/>
        <v>14.5</v>
      </c>
      <c r="L864" s="4">
        <f t="shared" si="6"/>
        <v>13.92</v>
      </c>
    </row>
    <row r="865">
      <c r="A865" s="3">
        <v>750.0</v>
      </c>
      <c r="B865" s="1" t="s">
        <v>1315</v>
      </c>
      <c r="C865" s="3">
        <v>29.9</v>
      </c>
      <c r="D865" s="5"/>
      <c r="E865" s="5"/>
      <c r="F865" s="5"/>
      <c r="G865" s="4">
        <f t="shared" si="1"/>
        <v>14.95</v>
      </c>
      <c r="H865" s="4" t="str">
        <f t="shared" si="2"/>
        <v>Sin precio neto</v>
      </c>
      <c r="I865" s="4" t="str">
        <f t="shared" si="3"/>
        <v>Sin precio neto G.C.</v>
      </c>
      <c r="J865" s="4">
        <f t="shared" si="4"/>
        <v>14.352</v>
      </c>
      <c r="K865" s="4">
        <f t="shared" si="5"/>
        <v>14.95</v>
      </c>
      <c r="L865" s="4">
        <f t="shared" si="6"/>
        <v>14.352</v>
      </c>
    </row>
    <row r="866">
      <c r="A866" s="3">
        <v>751.0</v>
      </c>
      <c r="B866" s="1" t="s">
        <v>1316</v>
      </c>
      <c r="C866" s="3">
        <v>29.9</v>
      </c>
      <c r="D866" s="5"/>
      <c r="E866" s="5"/>
      <c r="F866" s="5"/>
      <c r="G866" s="4">
        <f t="shared" si="1"/>
        <v>14.95</v>
      </c>
      <c r="H866" s="4" t="str">
        <f t="shared" si="2"/>
        <v>Sin precio neto</v>
      </c>
      <c r="I866" s="4" t="str">
        <f t="shared" si="3"/>
        <v>Sin precio neto G.C.</v>
      </c>
      <c r="J866" s="4">
        <f t="shared" si="4"/>
        <v>14.352</v>
      </c>
      <c r="K866" s="4">
        <f t="shared" si="5"/>
        <v>14.95</v>
      </c>
      <c r="L866" s="4">
        <f t="shared" si="6"/>
        <v>14.352</v>
      </c>
    </row>
    <row r="867">
      <c r="A867" s="3">
        <v>752.0</v>
      </c>
      <c r="B867" s="1" t="s">
        <v>1317</v>
      </c>
      <c r="C867" s="3">
        <v>29.9</v>
      </c>
      <c r="D867" s="5"/>
      <c r="E867" s="5"/>
      <c r="F867" s="5"/>
      <c r="G867" s="4">
        <f t="shared" si="1"/>
        <v>14.95</v>
      </c>
      <c r="H867" s="4" t="str">
        <f t="shared" si="2"/>
        <v>Sin precio neto</v>
      </c>
      <c r="I867" s="4" t="str">
        <f t="shared" si="3"/>
        <v>Sin precio neto G.C.</v>
      </c>
      <c r="J867" s="4">
        <f t="shared" si="4"/>
        <v>14.352</v>
      </c>
      <c r="K867" s="4">
        <f t="shared" si="5"/>
        <v>14.95</v>
      </c>
      <c r="L867" s="4">
        <f t="shared" si="6"/>
        <v>14.352</v>
      </c>
    </row>
    <row r="868">
      <c r="A868" s="3">
        <v>753.0</v>
      </c>
      <c r="B868" s="1" t="s">
        <v>1318</v>
      </c>
      <c r="C868" s="3">
        <v>38.0</v>
      </c>
      <c r="D868" s="5"/>
      <c r="E868" s="5"/>
      <c r="F868" s="5"/>
      <c r="G868" s="4">
        <f t="shared" si="1"/>
        <v>19</v>
      </c>
      <c r="H868" s="4" t="str">
        <f t="shared" si="2"/>
        <v>Sin precio neto</v>
      </c>
      <c r="I868" s="4" t="str">
        <f t="shared" si="3"/>
        <v>Sin precio neto G.C.</v>
      </c>
      <c r="J868" s="4">
        <f t="shared" si="4"/>
        <v>18.24</v>
      </c>
      <c r="K868" s="4">
        <f t="shared" si="5"/>
        <v>19</v>
      </c>
      <c r="L868" s="4">
        <f t="shared" si="6"/>
        <v>18.24</v>
      </c>
    </row>
    <row r="869">
      <c r="A869" s="3">
        <v>754.0</v>
      </c>
      <c r="B869" s="1" t="s">
        <v>1319</v>
      </c>
      <c r="C869" s="3">
        <v>192.0</v>
      </c>
      <c r="D869" s="5"/>
      <c r="E869" s="5"/>
      <c r="F869" s="5"/>
      <c r="G869" s="4">
        <f t="shared" si="1"/>
        <v>96</v>
      </c>
      <c r="H869" s="4" t="str">
        <f t="shared" si="2"/>
        <v>Sin precio neto</v>
      </c>
      <c r="I869" s="4" t="str">
        <f t="shared" si="3"/>
        <v>Sin precio neto G.C.</v>
      </c>
      <c r="J869" s="4">
        <f t="shared" si="4"/>
        <v>92.16</v>
      </c>
      <c r="K869" s="4">
        <f t="shared" si="5"/>
        <v>96</v>
      </c>
      <c r="L869" s="4">
        <f t="shared" si="6"/>
        <v>92.16</v>
      </c>
    </row>
    <row r="870">
      <c r="A870" s="3">
        <v>765.0</v>
      </c>
      <c r="B870" s="1" t="s">
        <v>1320</v>
      </c>
      <c r="C870" s="3">
        <v>275.2</v>
      </c>
      <c r="D870" s="5"/>
      <c r="E870" s="5"/>
      <c r="F870" s="5"/>
      <c r="G870" s="4">
        <f t="shared" si="1"/>
        <v>137.6</v>
      </c>
      <c r="H870" s="4" t="str">
        <f t="shared" si="2"/>
        <v>Sin precio neto</v>
      </c>
      <c r="I870" s="4" t="str">
        <f t="shared" si="3"/>
        <v>Sin precio neto G.C.</v>
      </c>
      <c r="J870" s="4">
        <f t="shared" si="4"/>
        <v>132.096</v>
      </c>
      <c r="K870" s="4">
        <f t="shared" si="5"/>
        <v>137.6</v>
      </c>
      <c r="L870" s="4">
        <f t="shared" si="6"/>
        <v>132.096</v>
      </c>
    </row>
    <row r="871">
      <c r="A871" s="3">
        <v>766.0</v>
      </c>
      <c r="B871" s="1" t="s">
        <v>1321</v>
      </c>
      <c r="C871" s="3">
        <v>420.5</v>
      </c>
      <c r="D871" s="5"/>
      <c r="E871" s="5"/>
      <c r="F871" s="5"/>
      <c r="G871" s="4">
        <f t="shared" si="1"/>
        <v>210.25</v>
      </c>
      <c r="H871" s="4" t="str">
        <f t="shared" si="2"/>
        <v>Sin precio neto</v>
      </c>
      <c r="I871" s="4" t="str">
        <f t="shared" si="3"/>
        <v>Sin precio neto G.C.</v>
      </c>
      <c r="J871" s="4">
        <f t="shared" si="4"/>
        <v>201.84</v>
      </c>
      <c r="K871" s="4">
        <f t="shared" si="5"/>
        <v>210.25</v>
      </c>
      <c r="L871" s="4">
        <f t="shared" si="6"/>
        <v>201.84</v>
      </c>
    </row>
    <row r="872">
      <c r="A872" s="3">
        <v>768.0</v>
      </c>
      <c r="B872" s="1" t="s">
        <v>1322</v>
      </c>
      <c r="C872" s="3">
        <v>52.0</v>
      </c>
      <c r="D872" s="5"/>
      <c r="E872" s="5"/>
      <c r="F872" s="5"/>
      <c r="G872" s="4">
        <f t="shared" si="1"/>
        <v>26</v>
      </c>
      <c r="H872" s="4" t="str">
        <f t="shared" si="2"/>
        <v>Sin precio neto</v>
      </c>
      <c r="I872" s="4" t="str">
        <f t="shared" si="3"/>
        <v>Sin precio neto G.C.</v>
      </c>
      <c r="J872" s="4">
        <f t="shared" si="4"/>
        <v>24.96</v>
      </c>
      <c r="K872" s="4">
        <f t="shared" si="5"/>
        <v>26</v>
      </c>
      <c r="L872" s="4">
        <f t="shared" si="6"/>
        <v>24.96</v>
      </c>
    </row>
    <row r="873">
      <c r="A873" s="3">
        <v>769.0</v>
      </c>
      <c r="B873" s="1" t="s">
        <v>1323</v>
      </c>
      <c r="C873" s="3">
        <v>88.0</v>
      </c>
      <c r="D873" s="5"/>
      <c r="E873" s="5"/>
      <c r="F873" s="5"/>
      <c r="G873" s="4">
        <f t="shared" si="1"/>
        <v>44</v>
      </c>
      <c r="H873" s="4" t="str">
        <f t="shared" si="2"/>
        <v>Sin precio neto</v>
      </c>
      <c r="I873" s="4" t="str">
        <f t="shared" si="3"/>
        <v>Sin precio neto G.C.</v>
      </c>
      <c r="J873" s="4">
        <f t="shared" si="4"/>
        <v>42.24</v>
      </c>
      <c r="K873" s="4">
        <f t="shared" si="5"/>
        <v>44</v>
      </c>
      <c r="L873" s="4">
        <f t="shared" si="6"/>
        <v>42.24</v>
      </c>
    </row>
    <row r="874">
      <c r="A874" s="3">
        <v>770.0</v>
      </c>
      <c r="B874" s="1" t="s">
        <v>1324</v>
      </c>
      <c r="C874" s="3">
        <v>184.0</v>
      </c>
      <c r="D874" s="5"/>
      <c r="E874" s="5"/>
      <c r="F874" s="5"/>
      <c r="G874" s="4">
        <f t="shared" si="1"/>
        <v>92</v>
      </c>
      <c r="H874" s="4" t="str">
        <f t="shared" si="2"/>
        <v>Sin precio neto</v>
      </c>
      <c r="I874" s="4" t="str">
        <f t="shared" si="3"/>
        <v>Sin precio neto G.C.</v>
      </c>
      <c r="J874" s="4">
        <f t="shared" si="4"/>
        <v>88.32</v>
      </c>
      <c r="K874" s="4">
        <f t="shared" si="5"/>
        <v>92</v>
      </c>
      <c r="L874" s="4">
        <f t="shared" si="6"/>
        <v>88.32</v>
      </c>
    </row>
    <row r="875">
      <c r="A875" s="3">
        <v>771.0</v>
      </c>
      <c r="B875" s="1" t="s">
        <v>1325</v>
      </c>
      <c r="C875" s="3">
        <v>58.0</v>
      </c>
      <c r="D875" s="5"/>
      <c r="E875" s="5"/>
      <c r="F875" s="5"/>
      <c r="G875" s="4">
        <f t="shared" si="1"/>
        <v>29</v>
      </c>
      <c r="H875" s="4" t="str">
        <f t="shared" si="2"/>
        <v>Sin precio neto</v>
      </c>
      <c r="I875" s="4" t="str">
        <f t="shared" si="3"/>
        <v>Sin precio neto G.C.</v>
      </c>
      <c r="J875" s="4">
        <f t="shared" si="4"/>
        <v>27.84</v>
      </c>
      <c r="K875" s="4">
        <f t="shared" si="5"/>
        <v>29</v>
      </c>
      <c r="L875" s="4">
        <f t="shared" si="6"/>
        <v>27.84</v>
      </c>
    </row>
    <row r="876">
      <c r="A876" s="3">
        <v>772.0</v>
      </c>
      <c r="B876" s="1" t="s">
        <v>1326</v>
      </c>
      <c r="C876" s="3">
        <v>58.0</v>
      </c>
      <c r="D876" s="5"/>
      <c r="E876" s="5"/>
      <c r="F876" s="5"/>
      <c r="G876" s="4">
        <f t="shared" si="1"/>
        <v>29</v>
      </c>
      <c r="H876" s="4" t="str">
        <f t="shared" si="2"/>
        <v>Sin precio neto</v>
      </c>
      <c r="I876" s="4" t="str">
        <f t="shared" si="3"/>
        <v>Sin precio neto G.C.</v>
      </c>
      <c r="J876" s="4">
        <f t="shared" si="4"/>
        <v>27.84</v>
      </c>
      <c r="K876" s="4">
        <f t="shared" si="5"/>
        <v>29</v>
      </c>
      <c r="L876" s="4">
        <f t="shared" si="6"/>
        <v>27.84</v>
      </c>
    </row>
    <row r="877">
      <c r="A877" s="3">
        <v>773.0</v>
      </c>
      <c r="B877" s="1" t="s">
        <v>1327</v>
      </c>
      <c r="C877" s="3">
        <v>58.0</v>
      </c>
      <c r="D877" s="5"/>
      <c r="E877" s="5"/>
      <c r="F877" s="5"/>
      <c r="G877" s="4">
        <f t="shared" si="1"/>
        <v>29</v>
      </c>
      <c r="H877" s="4" t="str">
        <f t="shared" si="2"/>
        <v>Sin precio neto</v>
      </c>
      <c r="I877" s="4" t="str">
        <f t="shared" si="3"/>
        <v>Sin precio neto G.C.</v>
      </c>
      <c r="J877" s="4">
        <f t="shared" si="4"/>
        <v>27.84</v>
      </c>
      <c r="K877" s="4">
        <f t="shared" si="5"/>
        <v>29</v>
      </c>
      <c r="L877" s="4">
        <f t="shared" si="6"/>
        <v>27.84</v>
      </c>
    </row>
    <row r="878">
      <c r="A878" s="3">
        <v>774.0</v>
      </c>
      <c r="B878" s="1" t="s">
        <v>1328</v>
      </c>
      <c r="C878" s="3">
        <v>60.0</v>
      </c>
      <c r="D878" s="5"/>
      <c r="E878" s="5"/>
      <c r="F878" s="5"/>
      <c r="G878" s="4">
        <f t="shared" si="1"/>
        <v>30</v>
      </c>
      <c r="H878" s="4" t="str">
        <f t="shared" si="2"/>
        <v>Sin precio neto</v>
      </c>
      <c r="I878" s="4" t="str">
        <f t="shared" si="3"/>
        <v>Sin precio neto G.C.</v>
      </c>
      <c r="J878" s="4">
        <f t="shared" si="4"/>
        <v>28.8</v>
      </c>
      <c r="K878" s="4">
        <f t="shared" si="5"/>
        <v>30</v>
      </c>
      <c r="L878" s="4">
        <f t="shared" si="6"/>
        <v>28.8</v>
      </c>
    </row>
    <row r="879">
      <c r="A879" s="3">
        <v>775.0</v>
      </c>
      <c r="B879" s="1" t="s">
        <v>1329</v>
      </c>
      <c r="C879" s="3">
        <v>62.0</v>
      </c>
      <c r="D879" s="5"/>
      <c r="E879" s="5"/>
      <c r="F879" s="5"/>
      <c r="G879" s="4">
        <f t="shared" si="1"/>
        <v>31</v>
      </c>
      <c r="H879" s="4" t="str">
        <f t="shared" si="2"/>
        <v>Sin precio neto</v>
      </c>
      <c r="I879" s="4" t="str">
        <f t="shared" si="3"/>
        <v>Sin precio neto G.C.</v>
      </c>
      <c r="J879" s="4">
        <f t="shared" si="4"/>
        <v>29.76</v>
      </c>
      <c r="K879" s="4">
        <f t="shared" si="5"/>
        <v>31</v>
      </c>
      <c r="L879" s="4">
        <f t="shared" si="6"/>
        <v>29.76</v>
      </c>
    </row>
    <row r="880">
      <c r="A880" s="3">
        <v>776.0</v>
      </c>
      <c r="B880" s="1" t="s">
        <v>1330</v>
      </c>
      <c r="C880" s="3">
        <v>22.0</v>
      </c>
      <c r="D880" s="5"/>
      <c r="E880" s="5"/>
      <c r="F880" s="5"/>
      <c r="G880" s="4">
        <f t="shared" si="1"/>
        <v>11</v>
      </c>
      <c r="H880" s="4" t="str">
        <f t="shared" si="2"/>
        <v>Sin precio neto</v>
      </c>
      <c r="I880" s="4" t="str">
        <f t="shared" si="3"/>
        <v>Sin precio neto G.C.</v>
      </c>
      <c r="J880" s="4">
        <f t="shared" si="4"/>
        <v>10.56</v>
      </c>
      <c r="K880" s="4">
        <f t="shared" si="5"/>
        <v>11</v>
      </c>
      <c r="L880" s="4">
        <f t="shared" si="6"/>
        <v>10.56</v>
      </c>
    </row>
    <row r="881">
      <c r="A881" s="3">
        <v>777.0</v>
      </c>
      <c r="B881" s="1" t="s">
        <v>1331</v>
      </c>
      <c r="C881" s="3">
        <v>21.6</v>
      </c>
      <c r="D881" s="5"/>
      <c r="E881" s="5"/>
      <c r="F881" s="5"/>
      <c r="G881" s="4">
        <f t="shared" si="1"/>
        <v>10.8</v>
      </c>
      <c r="H881" s="4" t="str">
        <f t="shared" si="2"/>
        <v>Sin precio neto</v>
      </c>
      <c r="I881" s="4" t="str">
        <f t="shared" si="3"/>
        <v>Sin precio neto G.C.</v>
      </c>
      <c r="J881" s="4">
        <f t="shared" si="4"/>
        <v>10.368</v>
      </c>
      <c r="K881" s="4">
        <f t="shared" si="5"/>
        <v>10.8</v>
      </c>
      <c r="L881" s="4">
        <f t="shared" si="6"/>
        <v>10.368</v>
      </c>
    </row>
    <row r="882">
      <c r="A882" s="3">
        <v>778.0</v>
      </c>
      <c r="B882" s="1" t="s">
        <v>1332</v>
      </c>
      <c r="C882" s="3">
        <v>385.0</v>
      </c>
      <c r="D882" s="5"/>
      <c r="E882" s="5"/>
      <c r="F882" s="5"/>
      <c r="G882" s="4">
        <f t="shared" si="1"/>
        <v>192.5</v>
      </c>
      <c r="H882" s="4" t="str">
        <f t="shared" si="2"/>
        <v>Sin precio neto</v>
      </c>
      <c r="I882" s="4" t="str">
        <f t="shared" si="3"/>
        <v>Sin precio neto G.C.</v>
      </c>
      <c r="J882" s="4">
        <f t="shared" si="4"/>
        <v>184.8</v>
      </c>
      <c r="K882" s="4">
        <f t="shared" si="5"/>
        <v>192.5</v>
      </c>
      <c r="L882" s="4">
        <f t="shared" si="6"/>
        <v>184.8</v>
      </c>
    </row>
    <row r="883">
      <c r="A883" s="3">
        <v>779.0</v>
      </c>
      <c r="B883" s="1" t="s">
        <v>1333</v>
      </c>
      <c r="C883" s="3">
        <v>252.8</v>
      </c>
      <c r="D883" s="5"/>
      <c r="E883" s="5"/>
      <c r="F883" s="5"/>
      <c r="G883" s="4">
        <f t="shared" si="1"/>
        <v>126.4</v>
      </c>
      <c r="H883" s="4" t="str">
        <f t="shared" si="2"/>
        <v>Sin precio neto</v>
      </c>
      <c r="I883" s="4" t="str">
        <f t="shared" si="3"/>
        <v>Sin precio neto G.C.</v>
      </c>
      <c r="J883" s="4">
        <f t="shared" si="4"/>
        <v>121.344</v>
      </c>
      <c r="K883" s="4">
        <f t="shared" si="5"/>
        <v>126.4</v>
      </c>
      <c r="L883" s="4">
        <f t="shared" si="6"/>
        <v>121.344</v>
      </c>
    </row>
    <row r="884">
      <c r="A884" s="3">
        <v>780.0</v>
      </c>
      <c r="B884" s="1" t="s">
        <v>1334</v>
      </c>
      <c r="C884" s="3">
        <v>36.0</v>
      </c>
      <c r="D884" s="5"/>
      <c r="E884" s="5"/>
      <c r="F884" s="5"/>
      <c r="G884" s="4">
        <f t="shared" si="1"/>
        <v>18</v>
      </c>
      <c r="H884" s="4" t="str">
        <f t="shared" si="2"/>
        <v>Sin precio neto</v>
      </c>
      <c r="I884" s="4" t="str">
        <f t="shared" si="3"/>
        <v>Sin precio neto G.C.</v>
      </c>
      <c r="J884" s="4">
        <f t="shared" si="4"/>
        <v>17.28</v>
      </c>
      <c r="K884" s="4">
        <f t="shared" si="5"/>
        <v>18</v>
      </c>
      <c r="L884" s="4">
        <f t="shared" si="6"/>
        <v>17.28</v>
      </c>
    </row>
    <row r="885">
      <c r="A885" s="3">
        <v>781.0</v>
      </c>
      <c r="B885" s="1" t="s">
        <v>1335</v>
      </c>
      <c r="C885" s="3">
        <v>45.0</v>
      </c>
      <c r="D885" s="5"/>
      <c r="E885" s="5"/>
      <c r="F885" s="5"/>
      <c r="G885" s="4">
        <f t="shared" si="1"/>
        <v>22.5</v>
      </c>
      <c r="H885" s="4" t="str">
        <f t="shared" si="2"/>
        <v>Sin precio neto</v>
      </c>
      <c r="I885" s="4" t="str">
        <f t="shared" si="3"/>
        <v>Sin precio neto G.C.</v>
      </c>
      <c r="J885" s="4">
        <f t="shared" si="4"/>
        <v>21.6</v>
      </c>
      <c r="K885" s="4">
        <f t="shared" si="5"/>
        <v>22.5</v>
      </c>
      <c r="L885" s="4">
        <f t="shared" si="6"/>
        <v>21.6</v>
      </c>
    </row>
    <row r="886">
      <c r="A886" s="3">
        <v>782.0</v>
      </c>
      <c r="B886" s="1" t="s">
        <v>1336</v>
      </c>
      <c r="C886" s="3">
        <v>6.8</v>
      </c>
      <c r="D886" s="5"/>
      <c r="E886" s="5"/>
      <c r="F886" s="5"/>
      <c r="G886" s="4">
        <f t="shared" si="1"/>
        <v>3.4</v>
      </c>
      <c r="H886" s="4" t="str">
        <f t="shared" si="2"/>
        <v>Sin precio neto</v>
      </c>
      <c r="I886" s="4" t="str">
        <f t="shared" si="3"/>
        <v>Sin precio neto G.C.</v>
      </c>
      <c r="J886" s="4">
        <f t="shared" si="4"/>
        <v>3.264</v>
      </c>
      <c r="K886" s="4">
        <f t="shared" si="5"/>
        <v>3.4</v>
      </c>
      <c r="L886" s="4">
        <f t="shared" si="6"/>
        <v>3.264</v>
      </c>
    </row>
    <row r="887">
      <c r="A887" s="3">
        <v>783.0</v>
      </c>
      <c r="B887" s="1" t="s">
        <v>1337</v>
      </c>
      <c r="C887" s="3">
        <v>7.8</v>
      </c>
      <c r="D887" s="5"/>
      <c r="E887" s="5"/>
      <c r="F887" s="5"/>
      <c r="G887" s="4">
        <f t="shared" si="1"/>
        <v>3.9</v>
      </c>
      <c r="H887" s="4" t="str">
        <f t="shared" si="2"/>
        <v>Sin precio neto</v>
      </c>
      <c r="I887" s="4" t="str">
        <f t="shared" si="3"/>
        <v>Sin precio neto G.C.</v>
      </c>
      <c r="J887" s="4">
        <f t="shared" si="4"/>
        <v>3.744</v>
      </c>
      <c r="K887" s="4">
        <f t="shared" si="5"/>
        <v>3.9</v>
      </c>
      <c r="L887" s="4">
        <f t="shared" si="6"/>
        <v>3.744</v>
      </c>
    </row>
    <row r="888">
      <c r="A888" s="3">
        <v>784.0</v>
      </c>
      <c r="B888" s="1" t="s">
        <v>1338</v>
      </c>
      <c r="C888" s="3">
        <v>2.4</v>
      </c>
      <c r="D888" s="5"/>
      <c r="E888" s="5"/>
      <c r="F888" s="5"/>
      <c r="G888" s="4">
        <f t="shared" si="1"/>
        <v>1.2</v>
      </c>
      <c r="H888" s="4" t="str">
        <f t="shared" si="2"/>
        <v>Sin precio neto</v>
      </c>
      <c r="I888" s="4" t="str">
        <f t="shared" si="3"/>
        <v>Sin precio neto G.C.</v>
      </c>
      <c r="J888" s="4">
        <f t="shared" si="4"/>
        <v>1.152</v>
      </c>
      <c r="K888" s="4">
        <f t="shared" si="5"/>
        <v>1.2</v>
      </c>
      <c r="L888" s="4">
        <f t="shared" si="6"/>
        <v>1.152</v>
      </c>
    </row>
    <row r="889">
      <c r="A889" s="3">
        <v>800.0</v>
      </c>
      <c r="B889" s="1" t="s">
        <v>1339</v>
      </c>
      <c r="C889" s="3">
        <v>1.2</v>
      </c>
      <c r="D889" s="5"/>
      <c r="E889" s="5"/>
      <c r="F889" s="5"/>
      <c r="G889" s="4">
        <f t="shared" si="1"/>
        <v>0.6</v>
      </c>
      <c r="H889" s="4" t="str">
        <f t="shared" si="2"/>
        <v>Sin precio neto</v>
      </c>
      <c r="I889" s="4" t="str">
        <f t="shared" si="3"/>
        <v>Sin precio neto G.C.</v>
      </c>
      <c r="J889" s="4">
        <f t="shared" si="4"/>
        <v>0.576</v>
      </c>
      <c r="K889" s="4">
        <f t="shared" si="5"/>
        <v>0.6</v>
      </c>
      <c r="L889" s="4">
        <f t="shared" si="6"/>
        <v>0.576</v>
      </c>
    </row>
    <row r="890">
      <c r="A890" s="1" t="s">
        <v>1340</v>
      </c>
      <c r="B890" s="1" t="s">
        <v>1341</v>
      </c>
      <c r="C890" s="3">
        <v>3.2</v>
      </c>
      <c r="D890" s="5"/>
      <c r="E890" s="5"/>
      <c r="F890" s="5"/>
      <c r="G890" s="4">
        <f t="shared" si="1"/>
        <v>1.6</v>
      </c>
      <c r="H890" s="4" t="str">
        <f t="shared" si="2"/>
        <v>Sin precio neto</v>
      </c>
      <c r="I890" s="4" t="str">
        <f t="shared" si="3"/>
        <v>Sin precio neto G.C.</v>
      </c>
      <c r="J890" s="4">
        <f t="shared" si="4"/>
        <v>1.536</v>
      </c>
      <c r="K890" s="4">
        <f t="shared" si="5"/>
        <v>1.6</v>
      </c>
      <c r="L890" s="4">
        <f t="shared" si="6"/>
        <v>1.536</v>
      </c>
    </row>
    <row r="891">
      <c r="A891" s="3">
        <v>801.0</v>
      </c>
      <c r="B891" s="1" t="s">
        <v>1342</v>
      </c>
      <c r="C891" s="3">
        <v>1.2</v>
      </c>
      <c r="D891" s="5"/>
      <c r="E891" s="5"/>
      <c r="F891" s="5"/>
      <c r="G891" s="4">
        <f t="shared" si="1"/>
        <v>0.6</v>
      </c>
      <c r="H891" s="4" t="str">
        <f t="shared" si="2"/>
        <v>Sin precio neto</v>
      </c>
      <c r="I891" s="4" t="str">
        <f t="shared" si="3"/>
        <v>Sin precio neto G.C.</v>
      </c>
      <c r="J891" s="4">
        <f t="shared" si="4"/>
        <v>0.576</v>
      </c>
      <c r="K891" s="4">
        <f t="shared" si="5"/>
        <v>0.6</v>
      </c>
      <c r="L891" s="4">
        <f t="shared" si="6"/>
        <v>0.576</v>
      </c>
    </row>
    <row r="892">
      <c r="A892" s="1" t="s">
        <v>1343</v>
      </c>
      <c r="B892" s="1" t="s">
        <v>1344</v>
      </c>
      <c r="C892" s="3">
        <v>3.2</v>
      </c>
      <c r="D892" s="5"/>
      <c r="E892" s="5"/>
      <c r="F892" s="5"/>
      <c r="G892" s="4">
        <f t="shared" si="1"/>
        <v>1.6</v>
      </c>
      <c r="H892" s="4" t="str">
        <f t="shared" si="2"/>
        <v>Sin precio neto</v>
      </c>
      <c r="I892" s="4" t="str">
        <f t="shared" si="3"/>
        <v>Sin precio neto G.C.</v>
      </c>
      <c r="J892" s="4">
        <f t="shared" si="4"/>
        <v>1.536</v>
      </c>
      <c r="K892" s="4">
        <f t="shared" si="5"/>
        <v>1.6</v>
      </c>
      <c r="L892" s="4">
        <f t="shared" si="6"/>
        <v>1.536</v>
      </c>
    </row>
    <row r="893">
      <c r="A893" s="3">
        <v>802.0</v>
      </c>
      <c r="B893" s="1" t="s">
        <v>1345</v>
      </c>
      <c r="C893" s="3">
        <v>1.2</v>
      </c>
      <c r="D893" s="5"/>
      <c r="E893" s="5"/>
      <c r="F893" s="5"/>
      <c r="G893" s="4">
        <f t="shared" si="1"/>
        <v>0.6</v>
      </c>
      <c r="H893" s="4" t="str">
        <f t="shared" si="2"/>
        <v>Sin precio neto</v>
      </c>
      <c r="I893" s="4" t="str">
        <f t="shared" si="3"/>
        <v>Sin precio neto G.C.</v>
      </c>
      <c r="J893" s="4">
        <f t="shared" si="4"/>
        <v>0.576</v>
      </c>
      <c r="K893" s="4">
        <f t="shared" si="5"/>
        <v>0.6</v>
      </c>
      <c r="L893" s="4">
        <f t="shared" si="6"/>
        <v>0.576</v>
      </c>
    </row>
    <row r="894">
      <c r="A894" s="1" t="s">
        <v>1346</v>
      </c>
      <c r="B894" s="1" t="s">
        <v>1347</v>
      </c>
      <c r="C894" s="3">
        <v>3.2</v>
      </c>
      <c r="D894" s="5"/>
      <c r="E894" s="5"/>
      <c r="F894" s="5"/>
      <c r="G894" s="4">
        <f t="shared" si="1"/>
        <v>1.6</v>
      </c>
      <c r="H894" s="4" t="str">
        <f t="shared" si="2"/>
        <v>Sin precio neto</v>
      </c>
      <c r="I894" s="4" t="str">
        <f t="shared" si="3"/>
        <v>Sin precio neto G.C.</v>
      </c>
      <c r="J894" s="4">
        <f t="shared" si="4"/>
        <v>1.536</v>
      </c>
      <c r="K894" s="4">
        <f t="shared" si="5"/>
        <v>1.6</v>
      </c>
      <c r="L894" s="4">
        <f t="shared" si="6"/>
        <v>1.536</v>
      </c>
    </row>
    <row r="895">
      <c r="A895" s="3">
        <v>803.0</v>
      </c>
      <c r="B895" s="1" t="s">
        <v>1348</v>
      </c>
      <c r="C895" s="3">
        <v>1.2</v>
      </c>
      <c r="D895" s="5"/>
      <c r="E895" s="5"/>
      <c r="F895" s="5"/>
      <c r="G895" s="4">
        <f t="shared" si="1"/>
        <v>0.6</v>
      </c>
      <c r="H895" s="4" t="str">
        <f t="shared" si="2"/>
        <v>Sin precio neto</v>
      </c>
      <c r="I895" s="4" t="str">
        <f t="shared" si="3"/>
        <v>Sin precio neto G.C.</v>
      </c>
      <c r="J895" s="4">
        <f t="shared" si="4"/>
        <v>0.576</v>
      </c>
      <c r="K895" s="4">
        <f t="shared" si="5"/>
        <v>0.6</v>
      </c>
      <c r="L895" s="4">
        <f t="shared" si="6"/>
        <v>0.576</v>
      </c>
    </row>
    <row r="896">
      <c r="A896" s="1" t="s">
        <v>1349</v>
      </c>
      <c r="B896" s="1" t="s">
        <v>1350</v>
      </c>
      <c r="C896" s="3">
        <v>3.2</v>
      </c>
      <c r="D896" s="5"/>
      <c r="E896" s="5"/>
      <c r="F896" s="5"/>
      <c r="G896" s="4">
        <f t="shared" si="1"/>
        <v>1.6</v>
      </c>
      <c r="H896" s="4" t="str">
        <f t="shared" si="2"/>
        <v>Sin precio neto</v>
      </c>
      <c r="I896" s="4" t="str">
        <f t="shared" si="3"/>
        <v>Sin precio neto G.C.</v>
      </c>
      <c r="J896" s="4">
        <f t="shared" si="4"/>
        <v>1.536</v>
      </c>
      <c r="K896" s="4">
        <f t="shared" si="5"/>
        <v>1.6</v>
      </c>
      <c r="L896" s="4">
        <f t="shared" si="6"/>
        <v>1.536</v>
      </c>
    </row>
    <row r="897">
      <c r="A897" s="3">
        <v>805.0</v>
      </c>
      <c r="B897" s="1" t="s">
        <v>1351</v>
      </c>
      <c r="C897" s="3">
        <v>1.2</v>
      </c>
      <c r="D897" s="5"/>
      <c r="E897" s="5"/>
      <c r="F897" s="5"/>
      <c r="G897" s="4">
        <f t="shared" si="1"/>
        <v>0.6</v>
      </c>
      <c r="H897" s="4" t="str">
        <f t="shared" si="2"/>
        <v>Sin precio neto</v>
      </c>
      <c r="I897" s="4" t="str">
        <f t="shared" si="3"/>
        <v>Sin precio neto G.C.</v>
      </c>
      <c r="J897" s="4">
        <f t="shared" si="4"/>
        <v>0.576</v>
      </c>
      <c r="K897" s="4">
        <f t="shared" si="5"/>
        <v>0.6</v>
      </c>
      <c r="L897" s="4">
        <f t="shared" si="6"/>
        <v>0.576</v>
      </c>
    </row>
    <row r="898">
      <c r="A898" s="1" t="s">
        <v>1352</v>
      </c>
      <c r="B898" s="1" t="s">
        <v>1353</v>
      </c>
      <c r="C898" s="3">
        <v>3.2</v>
      </c>
      <c r="D898" s="5"/>
      <c r="E898" s="5"/>
      <c r="F898" s="5"/>
      <c r="G898" s="4">
        <f t="shared" si="1"/>
        <v>1.6</v>
      </c>
      <c r="H898" s="4" t="str">
        <f t="shared" si="2"/>
        <v>Sin precio neto</v>
      </c>
      <c r="I898" s="4" t="str">
        <f t="shared" si="3"/>
        <v>Sin precio neto G.C.</v>
      </c>
      <c r="J898" s="4">
        <f t="shared" si="4"/>
        <v>1.536</v>
      </c>
      <c r="K898" s="4">
        <f t="shared" si="5"/>
        <v>1.6</v>
      </c>
      <c r="L898" s="4">
        <f t="shared" si="6"/>
        <v>1.536</v>
      </c>
    </row>
    <row r="899">
      <c r="A899" s="3">
        <v>806.0</v>
      </c>
      <c r="B899" s="1" t="s">
        <v>1354</v>
      </c>
      <c r="C899" s="3">
        <v>1.2</v>
      </c>
      <c r="D899" s="5"/>
      <c r="E899" s="5"/>
      <c r="F899" s="5"/>
      <c r="G899" s="4">
        <f t="shared" si="1"/>
        <v>0.6</v>
      </c>
      <c r="H899" s="4" t="str">
        <f t="shared" si="2"/>
        <v>Sin precio neto</v>
      </c>
      <c r="I899" s="4" t="str">
        <f t="shared" si="3"/>
        <v>Sin precio neto G.C.</v>
      </c>
      <c r="J899" s="4">
        <f t="shared" si="4"/>
        <v>0.576</v>
      </c>
      <c r="K899" s="4">
        <f t="shared" si="5"/>
        <v>0.6</v>
      </c>
      <c r="L899" s="4">
        <f t="shared" si="6"/>
        <v>0.576</v>
      </c>
    </row>
    <row r="900">
      <c r="A900" s="1" t="s">
        <v>1355</v>
      </c>
      <c r="B900" s="1" t="s">
        <v>1356</v>
      </c>
      <c r="C900" s="3">
        <v>3.2</v>
      </c>
      <c r="D900" s="5"/>
      <c r="E900" s="5"/>
      <c r="F900" s="5"/>
      <c r="G900" s="4">
        <f t="shared" si="1"/>
        <v>1.6</v>
      </c>
      <c r="H900" s="4" t="str">
        <f t="shared" si="2"/>
        <v>Sin precio neto</v>
      </c>
      <c r="I900" s="4" t="str">
        <f t="shared" si="3"/>
        <v>Sin precio neto G.C.</v>
      </c>
      <c r="J900" s="4">
        <f t="shared" si="4"/>
        <v>1.536</v>
      </c>
      <c r="K900" s="4">
        <f t="shared" si="5"/>
        <v>1.6</v>
      </c>
      <c r="L900" s="4">
        <f t="shared" si="6"/>
        <v>1.536</v>
      </c>
    </row>
    <row r="901">
      <c r="A901" s="3">
        <v>807.0</v>
      </c>
      <c r="B901" s="1" t="s">
        <v>1357</v>
      </c>
      <c r="C901" s="3">
        <v>1.2</v>
      </c>
      <c r="D901" s="5"/>
      <c r="E901" s="5"/>
      <c r="F901" s="5"/>
      <c r="G901" s="4">
        <f t="shared" si="1"/>
        <v>0.6</v>
      </c>
      <c r="H901" s="4" t="str">
        <f t="shared" si="2"/>
        <v>Sin precio neto</v>
      </c>
      <c r="I901" s="4" t="str">
        <f t="shared" si="3"/>
        <v>Sin precio neto G.C.</v>
      </c>
      <c r="J901" s="4">
        <f t="shared" si="4"/>
        <v>0.576</v>
      </c>
      <c r="K901" s="4">
        <f t="shared" si="5"/>
        <v>0.6</v>
      </c>
      <c r="L901" s="4">
        <f t="shared" si="6"/>
        <v>0.576</v>
      </c>
    </row>
    <row r="902">
      <c r="A902" s="1" t="s">
        <v>1358</v>
      </c>
      <c r="B902" s="1" t="s">
        <v>1359</v>
      </c>
      <c r="C902" s="3">
        <v>3.2</v>
      </c>
      <c r="D902" s="5"/>
      <c r="E902" s="5"/>
      <c r="F902" s="5"/>
      <c r="G902" s="4">
        <f t="shared" si="1"/>
        <v>1.6</v>
      </c>
      <c r="H902" s="4" t="str">
        <f t="shared" si="2"/>
        <v>Sin precio neto</v>
      </c>
      <c r="I902" s="4" t="str">
        <f t="shared" si="3"/>
        <v>Sin precio neto G.C.</v>
      </c>
      <c r="J902" s="4">
        <f t="shared" si="4"/>
        <v>1.536</v>
      </c>
      <c r="K902" s="4">
        <f t="shared" si="5"/>
        <v>1.6</v>
      </c>
      <c r="L902" s="4">
        <f t="shared" si="6"/>
        <v>1.536</v>
      </c>
    </row>
    <row r="903">
      <c r="A903" s="3">
        <v>808.0</v>
      </c>
      <c r="B903" s="1" t="s">
        <v>1360</v>
      </c>
      <c r="C903" s="3">
        <v>1.2</v>
      </c>
      <c r="D903" s="5"/>
      <c r="E903" s="5"/>
      <c r="F903" s="5"/>
      <c r="G903" s="4">
        <f t="shared" si="1"/>
        <v>0.6</v>
      </c>
      <c r="H903" s="4" t="str">
        <f t="shared" si="2"/>
        <v>Sin precio neto</v>
      </c>
      <c r="I903" s="4" t="str">
        <f t="shared" si="3"/>
        <v>Sin precio neto G.C.</v>
      </c>
      <c r="J903" s="4">
        <f t="shared" si="4"/>
        <v>0.576</v>
      </c>
      <c r="K903" s="4">
        <f t="shared" si="5"/>
        <v>0.6</v>
      </c>
      <c r="L903" s="4">
        <f t="shared" si="6"/>
        <v>0.576</v>
      </c>
    </row>
    <row r="904">
      <c r="A904" s="1" t="s">
        <v>1361</v>
      </c>
      <c r="B904" s="1" t="s">
        <v>1362</v>
      </c>
      <c r="C904" s="3">
        <v>3.2</v>
      </c>
      <c r="D904" s="5"/>
      <c r="E904" s="5"/>
      <c r="F904" s="5"/>
      <c r="G904" s="4">
        <f t="shared" si="1"/>
        <v>1.6</v>
      </c>
      <c r="H904" s="4" t="str">
        <f t="shared" si="2"/>
        <v>Sin precio neto</v>
      </c>
      <c r="I904" s="4" t="str">
        <f t="shared" si="3"/>
        <v>Sin precio neto G.C.</v>
      </c>
      <c r="J904" s="4">
        <f t="shared" si="4"/>
        <v>1.536</v>
      </c>
      <c r="K904" s="4">
        <f t="shared" si="5"/>
        <v>1.6</v>
      </c>
      <c r="L904" s="4">
        <f t="shared" si="6"/>
        <v>1.536</v>
      </c>
    </row>
    <row r="905">
      <c r="A905" s="3">
        <v>809.0</v>
      </c>
      <c r="B905" s="1" t="s">
        <v>1363</v>
      </c>
      <c r="C905" s="3">
        <v>1.2</v>
      </c>
      <c r="D905" s="5"/>
      <c r="E905" s="5"/>
      <c r="F905" s="5"/>
      <c r="G905" s="4">
        <f t="shared" si="1"/>
        <v>0.6</v>
      </c>
      <c r="H905" s="4" t="str">
        <f t="shared" si="2"/>
        <v>Sin precio neto</v>
      </c>
      <c r="I905" s="4" t="str">
        <f t="shared" si="3"/>
        <v>Sin precio neto G.C.</v>
      </c>
      <c r="J905" s="4">
        <f t="shared" si="4"/>
        <v>0.576</v>
      </c>
      <c r="K905" s="4">
        <f t="shared" si="5"/>
        <v>0.6</v>
      </c>
      <c r="L905" s="4">
        <f t="shared" si="6"/>
        <v>0.576</v>
      </c>
    </row>
    <row r="906">
      <c r="A906" s="1" t="s">
        <v>1364</v>
      </c>
      <c r="B906" s="1" t="s">
        <v>1365</v>
      </c>
      <c r="C906" s="3">
        <v>3.2</v>
      </c>
      <c r="D906" s="5"/>
      <c r="E906" s="5"/>
      <c r="F906" s="5"/>
      <c r="G906" s="4">
        <f t="shared" si="1"/>
        <v>1.6</v>
      </c>
      <c r="H906" s="4" t="str">
        <f t="shared" si="2"/>
        <v>Sin precio neto</v>
      </c>
      <c r="I906" s="4" t="str">
        <f t="shared" si="3"/>
        <v>Sin precio neto G.C.</v>
      </c>
      <c r="J906" s="4">
        <f t="shared" si="4"/>
        <v>1.536</v>
      </c>
      <c r="K906" s="4">
        <f t="shared" si="5"/>
        <v>1.6</v>
      </c>
      <c r="L906" s="4">
        <f t="shared" si="6"/>
        <v>1.536</v>
      </c>
    </row>
    <row r="907">
      <c r="A907" s="3">
        <v>810.0</v>
      </c>
      <c r="B907" s="1" t="s">
        <v>1366</v>
      </c>
      <c r="C907" s="3">
        <v>29.4</v>
      </c>
      <c r="D907" s="5"/>
      <c r="E907" s="5"/>
      <c r="F907" s="5"/>
      <c r="G907" s="4">
        <f t="shared" si="1"/>
        <v>14.7</v>
      </c>
      <c r="H907" s="4" t="str">
        <f t="shared" si="2"/>
        <v>Sin precio neto</v>
      </c>
      <c r="I907" s="4" t="str">
        <f t="shared" si="3"/>
        <v>Sin precio neto G.C.</v>
      </c>
      <c r="J907" s="4">
        <f t="shared" si="4"/>
        <v>14.112</v>
      </c>
      <c r="K907" s="4">
        <f t="shared" si="5"/>
        <v>14.7</v>
      </c>
      <c r="L907" s="4">
        <f t="shared" si="6"/>
        <v>14.112</v>
      </c>
    </row>
    <row r="908">
      <c r="A908" s="3">
        <v>811.0</v>
      </c>
      <c r="B908" s="1" t="s">
        <v>1367</v>
      </c>
      <c r="C908" s="3">
        <v>16.8</v>
      </c>
      <c r="D908" s="5"/>
      <c r="E908" s="5"/>
      <c r="F908" s="5"/>
      <c r="G908" s="4">
        <f t="shared" si="1"/>
        <v>8.4</v>
      </c>
      <c r="H908" s="4" t="str">
        <f t="shared" si="2"/>
        <v>Sin precio neto</v>
      </c>
      <c r="I908" s="4" t="str">
        <f t="shared" si="3"/>
        <v>Sin precio neto G.C.</v>
      </c>
      <c r="J908" s="4">
        <f t="shared" si="4"/>
        <v>8.064</v>
      </c>
      <c r="K908" s="4">
        <f t="shared" si="5"/>
        <v>8.4</v>
      </c>
      <c r="L908" s="4">
        <f t="shared" si="6"/>
        <v>8.064</v>
      </c>
    </row>
    <row r="909">
      <c r="A909" s="3">
        <v>812.0</v>
      </c>
      <c r="B909" s="1" t="s">
        <v>1368</v>
      </c>
      <c r="C909" s="3">
        <v>1.2</v>
      </c>
      <c r="D909" s="5"/>
      <c r="E909" s="5"/>
      <c r="F909" s="5"/>
      <c r="G909" s="4">
        <f t="shared" si="1"/>
        <v>0.6</v>
      </c>
      <c r="H909" s="4" t="str">
        <f t="shared" si="2"/>
        <v>Sin precio neto</v>
      </c>
      <c r="I909" s="4" t="str">
        <f t="shared" si="3"/>
        <v>Sin precio neto G.C.</v>
      </c>
      <c r="J909" s="4">
        <f t="shared" si="4"/>
        <v>0.576</v>
      </c>
      <c r="K909" s="4">
        <f t="shared" si="5"/>
        <v>0.6</v>
      </c>
      <c r="L909" s="4">
        <f t="shared" si="6"/>
        <v>0.576</v>
      </c>
    </row>
    <row r="910">
      <c r="A910" s="1" t="s">
        <v>1369</v>
      </c>
      <c r="B910" s="1" t="s">
        <v>1370</v>
      </c>
      <c r="C910" s="3">
        <v>3.2</v>
      </c>
      <c r="D910" s="5"/>
      <c r="E910" s="5"/>
      <c r="F910" s="5"/>
      <c r="G910" s="4">
        <f t="shared" si="1"/>
        <v>1.6</v>
      </c>
      <c r="H910" s="4" t="str">
        <f t="shared" si="2"/>
        <v>Sin precio neto</v>
      </c>
      <c r="I910" s="4" t="str">
        <f t="shared" si="3"/>
        <v>Sin precio neto G.C.</v>
      </c>
      <c r="J910" s="4">
        <f t="shared" si="4"/>
        <v>1.536</v>
      </c>
      <c r="K910" s="4">
        <f t="shared" si="5"/>
        <v>1.6</v>
      </c>
      <c r="L910" s="4">
        <f t="shared" si="6"/>
        <v>1.536</v>
      </c>
    </row>
    <row r="911">
      <c r="A911" s="3">
        <v>813.0</v>
      </c>
      <c r="B911" s="1" t="s">
        <v>1371</v>
      </c>
      <c r="C911" s="3">
        <v>1.2</v>
      </c>
      <c r="D911" s="5"/>
      <c r="E911" s="5"/>
      <c r="F911" s="5"/>
      <c r="G911" s="4">
        <f t="shared" si="1"/>
        <v>0.6</v>
      </c>
      <c r="H911" s="4" t="str">
        <f t="shared" si="2"/>
        <v>Sin precio neto</v>
      </c>
      <c r="I911" s="4" t="str">
        <f t="shared" si="3"/>
        <v>Sin precio neto G.C.</v>
      </c>
      <c r="J911" s="4">
        <f t="shared" si="4"/>
        <v>0.576</v>
      </c>
      <c r="K911" s="4">
        <f t="shared" si="5"/>
        <v>0.6</v>
      </c>
      <c r="L911" s="4">
        <f t="shared" si="6"/>
        <v>0.576</v>
      </c>
    </row>
    <row r="912">
      <c r="A912" s="1" t="s">
        <v>1372</v>
      </c>
      <c r="B912" s="1" t="s">
        <v>1373</v>
      </c>
      <c r="C912" s="3">
        <v>3.2</v>
      </c>
      <c r="D912" s="5"/>
      <c r="E912" s="5"/>
      <c r="F912" s="5"/>
      <c r="G912" s="4">
        <f t="shared" si="1"/>
        <v>1.6</v>
      </c>
      <c r="H912" s="4" t="str">
        <f t="shared" si="2"/>
        <v>Sin precio neto</v>
      </c>
      <c r="I912" s="4" t="str">
        <f t="shared" si="3"/>
        <v>Sin precio neto G.C.</v>
      </c>
      <c r="J912" s="4">
        <f t="shared" si="4"/>
        <v>1.536</v>
      </c>
      <c r="K912" s="4">
        <f t="shared" si="5"/>
        <v>1.6</v>
      </c>
      <c r="L912" s="4">
        <f t="shared" si="6"/>
        <v>1.536</v>
      </c>
    </row>
    <row r="913">
      <c r="A913" s="3">
        <v>814.0</v>
      </c>
      <c r="B913" s="1" t="s">
        <v>1374</v>
      </c>
      <c r="C913" s="3">
        <v>1.2</v>
      </c>
      <c r="D913" s="5"/>
      <c r="E913" s="5"/>
      <c r="F913" s="5"/>
      <c r="G913" s="4">
        <f t="shared" si="1"/>
        <v>0.6</v>
      </c>
      <c r="H913" s="4" t="str">
        <f t="shared" si="2"/>
        <v>Sin precio neto</v>
      </c>
      <c r="I913" s="4" t="str">
        <f t="shared" si="3"/>
        <v>Sin precio neto G.C.</v>
      </c>
      <c r="J913" s="4">
        <f t="shared" si="4"/>
        <v>0.576</v>
      </c>
      <c r="K913" s="4">
        <f t="shared" si="5"/>
        <v>0.6</v>
      </c>
      <c r="L913" s="4">
        <f t="shared" si="6"/>
        <v>0.576</v>
      </c>
    </row>
    <row r="914">
      <c r="A914" s="1" t="s">
        <v>1375</v>
      </c>
      <c r="B914" s="1" t="s">
        <v>1376</v>
      </c>
      <c r="C914" s="3">
        <v>3.2</v>
      </c>
      <c r="D914" s="5"/>
      <c r="E914" s="5"/>
      <c r="F914" s="5"/>
      <c r="G914" s="4">
        <f t="shared" si="1"/>
        <v>1.6</v>
      </c>
      <c r="H914" s="4" t="str">
        <f t="shared" si="2"/>
        <v>Sin precio neto</v>
      </c>
      <c r="I914" s="4" t="str">
        <f t="shared" si="3"/>
        <v>Sin precio neto G.C.</v>
      </c>
      <c r="J914" s="4">
        <f t="shared" si="4"/>
        <v>1.536</v>
      </c>
      <c r="K914" s="4">
        <f t="shared" si="5"/>
        <v>1.6</v>
      </c>
      <c r="L914" s="4">
        <f t="shared" si="6"/>
        <v>1.536</v>
      </c>
    </row>
    <row r="915">
      <c r="A915" s="3">
        <v>815.0</v>
      </c>
      <c r="B915" s="1" t="s">
        <v>1377</v>
      </c>
      <c r="C915" s="3">
        <v>1.2</v>
      </c>
      <c r="D915" s="5"/>
      <c r="E915" s="5"/>
      <c r="F915" s="5"/>
      <c r="G915" s="4">
        <f t="shared" si="1"/>
        <v>0.6</v>
      </c>
      <c r="H915" s="4" t="str">
        <f t="shared" si="2"/>
        <v>Sin precio neto</v>
      </c>
      <c r="I915" s="4" t="str">
        <f t="shared" si="3"/>
        <v>Sin precio neto G.C.</v>
      </c>
      <c r="J915" s="4">
        <f t="shared" si="4"/>
        <v>0.576</v>
      </c>
      <c r="K915" s="4">
        <f t="shared" si="5"/>
        <v>0.6</v>
      </c>
      <c r="L915" s="4">
        <f t="shared" si="6"/>
        <v>0.576</v>
      </c>
    </row>
    <row r="916">
      <c r="A916" s="1" t="s">
        <v>1378</v>
      </c>
      <c r="B916" s="1" t="s">
        <v>1379</v>
      </c>
      <c r="C916" s="3">
        <v>3.2</v>
      </c>
      <c r="D916" s="5"/>
      <c r="E916" s="5"/>
      <c r="F916" s="5"/>
      <c r="G916" s="4">
        <f t="shared" si="1"/>
        <v>1.6</v>
      </c>
      <c r="H916" s="4" t="str">
        <f t="shared" si="2"/>
        <v>Sin precio neto</v>
      </c>
      <c r="I916" s="4" t="str">
        <f t="shared" si="3"/>
        <v>Sin precio neto G.C.</v>
      </c>
      <c r="J916" s="4">
        <f t="shared" si="4"/>
        <v>1.536</v>
      </c>
      <c r="K916" s="4">
        <f t="shared" si="5"/>
        <v>1.6</v>
      </c>
      <c r="L916" s="4">
        <f t="shared" si="6"/>
        <v>1.536</v>
      </c>
    </row>
    <row r="917">
      <c r="A917" s="3">
        <v>816.0</v>
      </c>
      <c r="B917" s="1" t="s">
        <v>1380</v>
      </c>
      <c r="C917" s="3">
        <v>1.2</v>
      </c>
      <c r="D917" s="5"/>
      <c r="E917" s="5"/>
      <c r="F917" s="5"/>
      <c r="G917" s="4">
        <f t="shared" si="1"/>
        <v>0.6</v>
      </c>
      <c r="H917" s="4" t="str">
        <f t="shared" si="2"/>
        <v>Sin precio neto</v>
      </c>
      <c r="I917" s="4" t="str">
        <f t="shared" si="3"/>
        <v>Sin precio neto G.C.</v>
      </c>
      <c r="J917" s="4">
        <f t="shared" si="4"/>
        <v>0.576</v>
      </c>
      <c r="K917" s="4">
        <f t="shared" si="5"/>
        <v>0.6</v>
      </c>
      <c r="L917" s="4">
        <f t="shared" si="6"/>
        <v>0.576</v>
      </c>
    </row>
    <row r="918">
      <c r="A918" s="1" t="s">
        <v>1381</v>
      </c>
      <c r="B918" s="1" t="s">
        <v>1382</v>
      </c>
      <c r="C918" s="3">
        <v>3.2</v>
      </c>
      <c r="D918" s="5"/>
      <c r="E918" s="5"/>
      <c r="F918" s="5"/>
      <c r="G918" s="4">
        <f t="shared" si="1"/>
        <v>1.6</v>
      </c>
      <c r="H918" s="4" t="str">
        <f t="shared" si="2"/>
        <v>Sin precio neto</v>
      </c>
      <c r="I918" s="4" t="str">
        <f t="shared" si="3"/>
        <v>Sin precio neto G.C.</v>
      </c>
      <c r="J918" s="4">
        <f t="shared" si="4"/>
        <v>1.536</v>
      </c>
      <c r="K918" s="4">
        <f t="shared" si="5"/>
        <v>1.6</v>
      </c>
      <c r="L918" s="4">
        <f t="shared" si="6"/>
        <v>1.536</v>
      </c>
    </row>
    <row r="919">
      <c r="A919" s="3">
        <v>817.0</v>
      </c>
      <c r="B919" s="1" t="s">
        <v>1383</v>
      </c>
      <c r="C919" s="3">
        <v>1.2</v>
      </c>
      <c r="D919" s="5"/>
      <c r="E919" s="5"/>
      <c r="F919" s="5"/>
      <c r="G919" s="4">
        <f t="shared" si="1"/>
        <v>0.6</v>
      </c>
      <c r="H919" s="4" t="str">
        <f t="shared" si="2"/>
        <v>Sin precio neto</v>
      </c>
      <c r="I919" s="4" t="str">
        <f t="shared" si="3"/>
        <v>Sin precio neto G.C.</v>
      </c>
      <c r="J919" s="4">
        <f t="shared" si="4"/>
        <v>0.576</v>
      </c>
      <c r="K919" s="4">
        <f t="shared" si="5"/>
        <v>0.6</v>
      </c>
      <c r="L919" s="4">
        <f t="shared" si="6"/>
        <v>0.576</v>
      </c>
    </row>
    <row r="920">
      <c r="A920" s="1" t="s">
        <v>1384</v>
      </c>
      <c r="B920" s="1" t="s">
        <v>1385</v>
      </c>
      <c r="C920" s="3">
        <v>3.2</v>
      </c>
      <c r="D920" s="5"/>
      <c r="E920" s="5"/>
      <c r="F920" s="5"/>
      <c r="G920" s="4">
        <f t="shared" si="1"/>
        <v>1.6</v>
      </c>
      <c r="H920" s="4" t="str">
        <f t="shared" si="2"/>
        <v>Sin precio neto</v>
      </c>
      <c r="I920" s="4" t="str">
        <f t="shared" si="3"/>
        <v>Sin precio neto G.C.</v>
      </c>
      <c r="J920" s="4">
        <f t="shared" si="4"/>
        <v>1.536</v>
      </c>
      <c r="K920" s="4">
        <f t="shared" si="5"/>
        <v>1.6</v>
      </c>
      <c r="L920" s="4">
        <f t="shared" si="6"/>
        <v>1.536</v>
      </c>
    </row>
    <row r="921">
      <c r="A921" s="3">
        <v>818.0</v>
      </c>
      <c r="B921" s="1" t="s">
        <v>1386</v>
      </c>
      <c r="C921" s="3">
        <v>1.2</v>
      </c>
      <c r="D921" s="5"/>
      <c r="E921" s="5"/>
      <c r="F921" s="5"/>
      <c r="G921" s="4">
        <f t="shared" si="1"/>
        <v>0.6</v>
      </c>
      <c r="H921" s="4" t="str">
        <f t="shared" si="2"/>
        <v>Sin precio neto</v>
      </c>
      <c r="I921" s="4" t="str">
        <f t="shared" si="3"/>
        <v>Sin precio neto G.C.</v>
      </c>
      <c r="J921" s="4">
        <f t="shared" si="4"/>
        <v>0.576</v>
      </c>
      <c r="K921" s="4">
        <f t="shared" si="5"/>
        <v>0.6</v>
      </c>
      <c r="L921" s="4">
        <f t="shared" si="6"/>
        <v>0.576</v>
      </c>
    </row>
    <row r="922">
      <c r="A922" s="1" t="s">
        <v>1387</v>
      </c>
      <c r="B922" s="1" t="s">
        <v>1388</v>
      </c>
      <c r="C922" s="3">
        <v>3.2</v>
      </c>
      <c r="D922" s="5"/>
      <c r="E922" s="5"/>
      <c r="F922" s="5"/>
      <c r="G922" s="4">
        <f t="shared" si="1"/>
        <v>1.6</v>
      </c>
      <c r="H922" s="4" t="str">
        <f t="shared" si="2"/>
        <v>Sin precio neto</v>
      </c>
      <c r="I922" s="4" t="str">
        <f t="shared" si="3"/>
        <v>Sin precio neto G.C.</v>
      </c>
      <c r="J922" s="4">
        <f t="shared" si="4"/>
        <v>1.536</v>
      </c>
      <c r="K922" s="4">
        <f t="shared" si="5"/>
        <v>1.6</v>
      </c>
      <c r="L922" s="4">
        <f t="shared" si="6"/>
        <v>1.536</v>
      </c>
    </row>
    <row r="923">
      <c r="A923" s="3">
        <v>819.0</v>
      </c>
      <c r="B923" s="1" t="s">
        <v>1389</v>
      </c>
      <c r="C923" s="3">
        <v>1.2</v>
      </c>
      <c r="D923" s="5"/>
      <c r="E923" s="5"/>
      <c r="F923" s="5"/>
      <c r="G923" s="4">
        <f t="shared" si="1"/>
        <v>0.6</v>
      </c>
      <c r="H923" s="4" t="str">
        <f t="shared" si="2"/>
        <v>Sin precio neto</v>
      </c>
      <c r="I923" s="4" t="str">
        <f t="shared" si="3"/>
        <v>Sin precio neto G.C.</v>
      </c>
      <c r="J923" s="4">
        <f t="shared" si="4"/>
        <v>0.576</v>
      </c>
      <c r="K923" s="4">
        <f t="shared" si="5"/>
        <v>0.6</v>
      </c>
      <c r="L923" s="4">
        <f t="shared" si="6"/>
        <v>0.576</v>
      </c>
    </row>
    <row r="924">
      <c r="A924" s="1" t="s">
        <v>1390</v>
      </c>
      <c r="B924" s="1" t="s">
        <v>1391</v>
      </c>
      <c r="C924" s="3">
        <v>3.2</v>
      </c>
      <c r="D924" s="5"/>
      <c r="E924" s="5"/>
      <c r="F924" s="5"/>
      <c r="G924" s="4">
        <f t="shared" si="1"/>
        <v>1.6</v>
      </c>
      <c r="H924" s="4" t="str">
        <f t="shared" si="2"/>
        <v>Sin precio neto</v>
      </c>
      <c r="I924" s="4" t="str">
        <f t="shared" si="3"/>
        <v>Sin precio neto G.C.</v>
      </c>
      <c r="J924" s="4">
        <f t="shared" si="4"/>
        <v>1.536</v>
      </c>
      <c r="K924" s="4">
        <f t="shared" si="5"/>
        <v>1.6</v>
      </c>
      <c r="L924" s="4">
        <f t="shared" si="6"/>
        <v>1.536</v>
      </c>
    </row>
    <row r="925">
      <c r="A925" s="3">
        <v>822.0</v>
      </c>
      <c r="B925" s="1" t="s">
        <v>1392</v>
      </c>
      <c r="C925" s="3">
        <v>1.2</v>
      </c>
      <c r="D925" s="5"/>
      <c r="E925" s="5"/>
      <c r="F925" s="5"/>
      <c r="G925" s="4">
        <f t="shared" si="1"/>
        <v>0.6</v>
      </c>
      <c r="H925" s="4" t="str">
        <f t="shared" si="2"/>
        <v>Sin precio neto</v>
      </c>
      <c r="I925" s="4" t="str">
        <f t="shared" si="3"/>
        <v>Sin precio neto G.C.</v>
      </c>
      <c r="J925" s="4">
        <f t="shared" si="4"/>
        <v>0.576</v>
      </c>
      <c r="K925" s="4">
        <f t="shared" si="5"/>
        <v>0.6</v>
      </c>
      <c r="L925" s="4">
        <f t="shared" si="6"/>
        <v>0.576</v>
      </c>
    </row>
    <row r="926">
      <c r="A926" s="1" t="s">
        <v>1393</v>
      </c>
      <c r="B926" s="1" t="s">
        <v>1392</v>
      </c>
      <c r="C926" s="3">
        <v>3.2</v>
      </c>
      <c r="D926" s="5"/>
      <c r="E926" s="5"/>
      <c r="F926" s="5"/>
      <c r="G926" s="4">
        <f t="shared" si="1"/>
        <v>1.6</v>
      </c>
      <c r="H926" s="4" t="str">
        <f t="shared" si="2"/>
        <v>Sin precio neto</v>
      </c>
      <c r="I926" s="4" t="str">
        <f t="shared" si="3"/>
        <v>Sin precio neto G.C.</v>
      </c>
      <c r="J926" s="4">
        <f t="shared" si="4"/>
        <v>1.536</v>
      </c>
      <c r="K926" s="4">
        <f t="shared" si="5"/>
        <v>1.6</v>
      </c>
      <c r="L926" s="4">
        <f t="shared" si="6"/>
        <v>1.536</v>
      </c>
    </row>
    <row r="927">
      <c r="A927" s="3">
        <v>823.0</v>
      </c>
      <c r="B927" s="1" t="s">
        <v>1394</v>
      </c>
      <c r="C927" s="3">
        <v>1.2</v>
      </c>
      <c r="D927" s="5"/>
      <c r="E927" s="5"/>
      <c r="F927" s="5"/>
      <c r="G927" s="4">
        <f t="shared" si="1"/>
        <v>0.6</v>
      </c>
      <c r="H927" s="4" t="str">
        <f t="shared" si="2"/>
        <v>Sin precio neto</v>
      </c>
      <c r="I927" s="4" t="str">
        <f t="shared" si="3"/>
        <v>Sin precio neto G.C.</v>
      </c>
      <c r="J927" s="4">
        <f t="shared" si="4"/>
        <v>0.576</v>
      </c>
      <c r="K927" s="4">
        <f t="shared" si="5"/>
        <v>0.6</v>
      </c>
      <c r="L927" s="4">
        <f t="shared" si="6"/>
        <v>0.576</v>
      </c>
    </row>
    <row r="928">
      <c r="A928" s="1" t="s">
        <v>1395</v>
      </c>
      <c r="B928" s="1" t="s">
        <v>1396</v>
      </c>
      <c r="C928" s="3">
        <v>3.2</v>
      </c>
      <c r="D928" s="5"/>
      <c r="E928" s="5"/>
      <c r="F928" s="5"/>
      <c r="G928" s="4">
        <f t="shared" si="1"/>
        <v>1.6</v>
      </c>
      <c r="H928" s="4" t="str">
        <f t="shared" si="2"/>
        <v>Sin precio neto</v>
      </c>
      <c r="I928" s="4" t="str">
        <f t="shared" si="3"/>
        <v>Sin precio neto G.C.</v>
      </c>
      <c r="J928" s="4">
        <f t="shared" si="4"/>
        <v>1.536</v>
      </c>
      <c r="K928" s="4">
        <f t="shared" si="5"/>
        <v>1.6</v>
      </c>
      <c r="L928" s="4">
        <f t="shared" si="6"/>
        <v>1.536</v>
      </c>
    </row>
    <row r="929">
      <c r="A929" s="3">
        <v>824.0</v>
      </c>
      <c r="B929" s="1" t="s">
        <v>1397</v>
      </c>
      <c r="C929" s="3">
        <v>1.2</v>
      </c>
      <c r="D929" s="5"/>
      <c r="E929" s="5"/>
      <c r="F929" s="5"/>
      <c r="G929" s="4">
        <f t="shared" si="1"/>
        <v>0.6</v>
      </c>
      <c r="H929" s="4" t="str">
        <f t="shared" si="2"/>
        <v>Sin precio neto</v>
      </c>
      <c r="I929" s="4" t="str">
        <f t="shared" si="3"/>
        <v>Sin precio neto G.C.</v>
      </c>
      <c r="J929" s="4">
        <f t="shared" si="4"/>
        <v>0.576</v>
      </c>
      <c r="K929" s="4">
        <f t="shared" si="5"/>
        <v>0.6</v>
      </c>
      <c r="L929" s="4">
        <f t="shared" si="6"/>
        <v>0.576</v>
      </c>
    </row>
    <row r="930">
      <c r="A930" s="1" t="s">
        <v>1398</v>
      </c>
      <c r="B930" s="1" t="s">
        <v>1399</v>
      </c>
      <c r="C930" s="3">
        <v>3.2</v>
      </c>
      <c r="D930" s="5"/>
      <c r="E930" s="5"/>
      <c r="F930" s="5"/>
      <c r="G930" s="4">
        <f t="shared" si="1"/>
        <v>1.6</v>
      </c>
      <c r="H930" s="4" t="str">
        <f t="shared" si="2"/>
        <v>Sin precio neto</v>
      </c>
      <c r="I930" s="4" t="str">
        <f t="shared" si="3"/>
        <v>Sin precio neto G.C.</v>
      </c>
      <c r="J930" s="4">
        <f t="shared" si="4"/>
        <v>1.536</v>
      </c>
      <c r="K930" s="4">
        <f t="shared" si="5"/>
        <v>1.6</v>
      </c>
      <c r="L930" s="4">
        <f t="shared" si="6"/>
        <v>1.536</v>
      </c>
    </row>
    <row r="931">
      <c r="A931" s="3">
        <v>825.0</v>
      </c>
      <c r="B931" s="1" t="s">
        <v>1400</v>
      </c>
      <c r="C931" s="3">
        <v>1.2</v>
      </c>
      <c r="D931" s="5"/>
      <c r="E931" s="5"/>
      <c r="F931" s="5"/>
      <c r="G931" s="4">
        <f t="shared" si="1"/>
        <v>0.6</v>
      </c>
      <c r="H931" s="4" t="str">
        <f t="shared" si="2"/>
        <v>Sin precio neto</v>
      </c>
      <c r="I931" s="4" t="str">
        <f t="shared" si="3"/>
        <v>Sin precio neto G.C.</v>
      </c>
      <c r="J931" s="4">
        <f t="shared" si="4"/>
        <v>0.576</v>
      </c>
      <c r="K931" s="4">
        <f t="shared" si="5"/>
        <v>0.6</v>
      </c>
      <c r="L931" s="4">
        <f t="shared" si="6"/>
        <v>0.576</v>
      </c>
    </row>
    <row r="932">
      <c r="A932" s="1" t="s">
        <v>1401</v>
      </c>
      <c r="B932" s="1" t="s">
        <v>1402</v>
      </c>
      <c r="C932" s="3">
        <v>3.2</v>
      </c>
      <c r="D932" s="5"/>
      <c r="E932" s="5"/>
      <c r="F932" s="5"/>
      <c r="G932" s="4">
        <f t="shared" si="1"/>
        <v>1.6</v>
      </c>
      <c r="H932" s="4" t="str">
        <f t="shared" si="2"/>
        <v>Sin precio neto</v>
      </c>
      <c r="I932" s="4" t="str">
        <f t="shared" si="3"/>
        <v>Sin precio neto G.C.</v>
      </c>
      <c r="J932" s="4">
        <f t="shared" si="4"/>
        <v>1.536</v>
      </c>
      <c r="K932" s="4">
        <f t="shared" si="5"/>
        <v>1.6</v>
      </c>
      <c r="L932" s="4">
        <f t="shared" si="6"/>
        <v>1.536</v>
      </c>
    </row>
    <row r="933">
      <c r="A933" s="3">
        <v>826.0</v>
      </c>
      <c r="B933" s="1" t="s">
        <v>1403</v>
      </c>
      <c r="C933" s="3">
        <v>1.2</v>
      </c>
      <c r="D933" s="5"/>
      <c r="E933" s="5"/>
      <c r="F933" s="5"/>
      <c r="G933" s="4">
        <f t="shared" si="1"/>
        <v>0.6</v>
      </c>
      <c r="H933" s="4" t="str">
        <f t="shared" si="2"/>
        <v>Sin precio neto</v>
      </c>
      <c r="I933" s="4" t="str">
        <f t="shared" si="3"/>
        <v>Sin precio neto G.C.</v>
      </c>
      <c r="J933" s="4">
        <f t="shared" si="4"/>
        <v>0.576</v>
      </c>
      <c r="K933" s="4">
        <f t="shared" si="5"/>
        <v>0.6</v>
      </c>
      <c r="L933" s="4">
        <f t="shared" si="6"/>
        <v>0.576</v>
      </c>
    </row>
    <row r="934">
      <c r="A934" s="1" t="s">
        <v>1404</v>
      </c>
      <c r="B934" s="1" t="s">
        <v>1405</v>
      </c>
      <c r="C934" s="3">
        <v>3.2</v>
      </c>
      <c r="D934" s="5"/>
      <c r="E934" s="5"/>
      <c r="F934" s="5"/>
      <c r="G934" s="4">
        <f t="shared" si="1"/>
        <v>1.6</v>
      </c>
      <c r="H934" s="4" t="str">
        <f t="shared" si="2"/>
        <v>Sin precio neto</v>
      </c>
      <c r="I934" s="4" t="str">
        <f t="shared" si="3"/>
        <v>Sin precio neto G.C.</v>
      </c>
      <c r="J934" s="4">
        <f t="shared" si="4"/>
        <v>1.536</v>
      </c>
      <c r="K934" s="4">
        <f t="shared" si="5"/>
        <v>1.6</v>
      </c>
      <c r="L934" s="4">
        <f t="shared" si="6"/>
        <v>1.536</v>
      </c>
    </row>
    <row r="935">
      <c r="A935" s="3">
        <v>827.0</v>
      </c>
      <c r="B935" s="1" t="s">
        <v>1406</v>
      </c>
      <c r="C935" s="3">
        <v>1.2</v>
      </c>
      <c r="D935" s="5"/>
      <c r="E935" s="5"/>
      <c r="F935" s="5"/>
      <c r="G935" s="4">
        <f t="shared" si="1"/>
        <v>0.6</v>
      </c>
      <c r="H935" s="4" t="str">
        <f t="shared" si="2"/>
        <v>Sin precio neto</v>
      </c>
      <c r="I935" s="4" t="str">
        <f t="shared" si="3"/>
        <v>Sin precio neto G.C.</v>
      </c>
      <c r="J935" s="4">
        <f t="shared" si="4"/>
        <v>0.576</v>
      </c>
      <c r="K935" s="4">
        <f t="shared" si="5"/>
        <v>0.6</v>
      </c>
      <c r="L935" s="4">
        <f t="shared" si="6"/>
        <v>0.576</v>
      </c>
    </row>
    <row r="936">
      <c r="A936" s="1" t="s">
        <v>1407</v>
      </c>
      <c r="B936" s="1" t="s">
        <v>1408</v>
      </c>
      <c r="C936" s="3">
        <v>3.2</v>
      </c>
      <c r="D936" s="5"/>
      <c r="E936" s="5"/>
      <c r="F936" s="5"/>
      <c r="G936" s="4">
        <f t="shared" si="1"/>
        <v>1.6</v>
      </c>
      <c r="H936" s="4" t="str">
        <f t="shared" si="2"/>
        <v>Sin precio neto</v>
      </c>
      <c r="I936" s="4" t="str">
        <f t="shared" si="3"/>
        <v>Sin precio neto G.C.</v>
      </c>
      <c r="J936" s="4">
        <f t="shared" si="4"/>
        <v>1.536</v>
      </c>
      <c r="K936" s="4">
        <f t="shared" si="5"/>
        <v>1.6</v>
      </c>
      <c r="L936" s="4">
        <f t="shared" si="6"/>
        <v>1.536</v>
      </c>
    </row>
    <row r="937">
      <c r="A937" s="3">
        <v>828.0</v>
      </c>
      <c r="B937" s="1" t="s">
        <v>1409</v>
      </c>
      <c r="C937" s="3">
        <v>1.2</v>
      </c>
      <c r="D937" s="5"/>
      <c r="E937" s="5"/>
      <c r="F937" s="5"/>
      <c r="G937" s="4">
        <f t="shared" si="1"/>
        <v>0.6</v>
      </c>
      <c r="H937" s="4" t="str">
        <f t="shared" si="2"/>
        <v>Sin precio neto</v>
      </c>
      <c r="I937" s="4" t="str">
        <f t="shared" si="3"/>
        <v>Sin precio neto G.C.</v>
      </c>
      <c r="J937" s="4">
        <f t="shared" si="4"/>
        <v>0.576</v>
      </c>
      <c r="K937" s="4">
        <f t="shared" si="5"/>
        <v>0.6</v>
      </c>
      <c r="L937" s="4">
        <f t="shared" si="6"/>
        <v>0.576</v>
      </c>
    </row>
    <row r="938">
      <c r="A938" s="1" t="s">
        <v>1410</v>
      </c>
      <c r="B938" s="1" t="s">
        <v>1411</v>
      </c>
      <c r="C938" s="3">
        <v>3.2</v>
      </c>
      <c r="D938" s="5"/>
      <c r="E938" s="5"/>
      <c r="F938" s="5"/>
      <c r="G938" s="4">
        <f t="shared" si="1"/>
        <v>1.6</v>
      </c>
      <c r="H938" s="4" t="str">
        <f t="shared" si="2"/>
        <v>Sin precio neto</v>
      </c>
      <c r="I938" s="4" t="str">
        <f t="shared" si="3"/>
        <v>Sin precio neto G.C.</v>
      </c>
      <c r="J938" s="4">
        <f t="shared" si="4"/>
        <v>1.536</v>
      </c>
      <c r="K938" s="4">
        <f t="shared" si="5"/>
        <v>1.6</v>
      </c>
      <c r="L938" s="4">
        <f t="shared" si="6"/>
        <v>1.536</v>
      </c>
    </row>
    <row r="939">
      <c r="A939" s="3">
        <v>829.0</v>
      </c>
      <c r="B939" s="1" t="s">
        <v>1412</v>
      </c>
      <c r="C939" s="3">
        <v>1.2</v>
      </c>
      <c r="D939" s="5"/>
      <c r="E939" s="5"/>
      <c r="F939" s="5"/>
      <c r="G939" s="4">
        <f t="shared" si="1"/>
        <v>0.6</v>
      </c>
      <c r="H939" s="4" t="str">
        <f t="shared" si="2"/>
        <v>Sin precio neto</v>
      </c>
      <c r="I939" s="4" t="str">
        <f t="shared" si="3"/>
        <v>Sin precio neto G.C.</v>
      </c>
      <c r="J939" s="4">
        <f t="shared" si="4"/>
        <v>0.576</v>
      </c>
      <c r="K939" s="4">
        <f t="shared" si="5"/>
        <v>0.6</v>
      </c>
      <c r="L939" s="4">
        <f t="shared" si="6"/>
        <v>0.576</v>
      </c>
    </row>
    <row r="940">
      <c r="A940" s="1" t="s">
        <v>1413</v>
      </c>
      <c r="B940" s="1" t="s">
        <v>1414</v>
      </c>
      <c r="C940" s="3">
        <v>3.2</v>
      </c>
      <c r="D940" s="5"/>
      <c r="E940" s="5"/>
      <c r="F940" s="5"/>
      <c r="G940" s="4">
        <f t="shared" si="1"/>
        <v>1.6</v>
      </c>
      <c r="H940" s="4" t="str">
        <f t="shared" si="2"/>
        <v>Sin precio neto</v>
      </c>
      <c r="I940" s="4" t="str">
        <f t="shared" si="3"/>
        <v>Sin precio neto G.C.</v>
      </c>
      <c r="J940" s="4">
        <f t="shared" si="4"/>
        <v>1.536</v>
      </c>
      <c r="K940" s="4">
        <f t="shared" si="5"/>
        <v>1.6</v>
      </c>
      <c r="L940" s="4">
        <f t="shared" si="6"/>
        <v>1.536</v>
      </c>
    </row>
    <row r="941">
      <c r="A941" s="3">
        <v>830.0</v>
      </c>
      <c r="B941" s="1" t="s">
        <v>1415</v>
      </c>
      <c r="C941" s="3">
        <v>1.2</v>
      </c>
      <c r="D941" s="5"/>
      <c r="E941" s="5"/>
      <c r="F941" s="5"/>
      <c r="G941" s="4">
        <f t="shared" si="1"/>
        <v>0.6</v>
      </c>
      <c r="H941" s="4" t="str">
        <f t="shared" si="2"/>
        <v>Sin precio neto</v>
      </c>
      <c r="I941" s="4" t="str">
        <f t="shared" si="3"/>
        <v>Sin precio neto G.C.</v>
      </c>
      <c r="J941" s="4">
        <f t="shared" si="4"/>
        <v>0.576</v>
      </c>
      <c r="K941" s="4">
        <f t="shared" si="5"/>
        <v>0.6</v>
      </c>
      <c r="L941" s="4">
        <f t="shared" si="6"/>
        <v>0.576</v>
      </c>
    </row>
    <row r="942">
      <c r="A942" s="1" t="s">
        <v>1416</v>
      </c>
      <c r="B942" s="1" t="s">
        <v>1417</v>
      </c>
      <c r="C942" s="3">
        <v>3.2</v>
      </c>
      <c r="D942" s="5"/>
      <c r="E942" s="5"/>
      <c r="F942" s="5"/>
      <c r="G942" s="4">
        <f t="shared" si="1"/>
        <v>1.6</v>
      </c>
      <c r="H942" s="4" t="str">
        <f t="shared" si="2"/>
        <v>Sin precio neto</v>
      </c>
      <c r="I942" s="4" t="str">
        <f t="shared" si="3"/>
        <v>Sin precio neto G.C.</v>
      </c>
      <c r="J942" s="4">
        <f t="shared" si="4"/>
        <v>1.536</v>
      </c>
      <c r="K942" s="4">
        <f t="shared" si="5"/>
        <v>1.6</v>
      </c>
      <c r="L942" s="4">
        <f t="shared" si="6"/>
        <v>1.536</v>
      </c>
    </row>
    <row r="943">
      <c r="A943" s="3">
        <v>831.0</v>
      </c>
      <c r="B943" s="1" t="s">
        <v>1418</v>
      </c>
      <c r="C943" s="3">
        <v>1.2</v>
      </c>
      <c r="D943" s="5"/>
      <c r="E943" s="5"/>
      <c r="F943" s="5"/>
      <c r="G943" s="4">
        <f t="shared" si="1"/>
        <v>0.6</v>
      </c>
      <c r="H943" s="4" t="str">
        <f t="shared" si="2"/>
        <v>Sin precio neto</v>
      </c>
      <c r="I943" s="4" t="str">
        <f t="shared" si="3"/>
        <v>Sin precio neto G.C.</v>
      </c>
      <c r="J943" s="4">
        <f t="shared" si="4"/>
        <v>0.576</v>
      </c>
      <c r="K943" s="4">
        <f t="shared" si="5"/>
        <v>0.6</v>
      </c>
      <c r="L943" s="4">
        <f t="shared" si="6"/>
        <v>0.576</v>
      </c>
    </row>
    <row r="944">
      <c r="A944" s="1" t="s">
        <v>1419</v>
      </c>
      <c r="B944" s="1" t="s">
        <v>1420</v>
      </c>
      <c r="C944" s="3">
        <v>3.2</v>
      </c>
      <c r="D944" s="5"/>
      <c r="E944" s="5"/>
      <c r="F944" s="5"/>
      <c r="G944" s="4">
        <f t="shared" si="1"/>
        <v>1.6</v>
      </c>
      <c r="H944" s="4" t="str">
        <f t="shared" si="2"/>
        <v>Sin precio neto</v>
      </c>
      <c r="I944" s="4" t="str">
        <f t="shared" si="3"/>
        <v>Sin precio neto G.C.</v>
      </c>
      <c r="J944" s="4">
        <f t="shared" si="4"/>
        <v>1.536</v>
      </c>
      <c r="K944" s="4">
        <f t="shared" si="5"/>
        <v>1.6</v>
      </c>
      <c r="L944" s="4">
        <f t="shared" si="6"/>
        <v>1.536</v>
      </c>
    </row>
    <row r="945">
      <c r="A945" s="3">
        <v>832.0</v>
      </c>
      <c r="B945" s="1" t="s">
        <v>1421</v>
      </c>
      <c r="C945" s="3">
        <v>1.2</v>
      </c>
      <c r="D945" s="5"/>
      <c r="E945" s="5"/>
      <c r="F945" s="5"/>
      <c r="G945" s="4">
        <f t="shared" si="1"/>
        <v>0.6</v>
      </c>
      <c r="H945" s="4" t="str">
        <f t="shared" si="2"/>
        <v>Sin precio neto</v>
      </c>
      <c r="I945" s="4" t="str">
        <f t="shared" si="3"/>
        <v>Sin precio neto G.C.</v>
      </c>
      <c r="J945" s="4">
        <f t="shared" si="4"/>
        <v>0.576</v>
      </c>
      <c r="K945" s="4">
        <f t="shared" si="5"/>
        <v>0.6</v>
      </c>
      <c r="L945" s="4">
        <f t="shared" si="6"/>
        <v>0.576</v>
      </c>
    </row>
    <row r="946">
      <c r="A946" s="1" t="s">
        <v>1422</v>
      </c>
      <c r="B946" s="1" t="s">
        <v>1423</v>
      </c>
      <c r="C946" s="3">
        <v>3.2</v>
      </c>
      <c r="D946" s="5"/>
      <c r="E946" s="5"/>
      <c r="F946" s="5"/>
      <c r="G946" s="4">
        <f t="shared" si="1"/>
        <v>1.6</v>
      </c>
      <c r="H946" s="4" t="str">
        <f t="shared" si="2"/>
        <v>Sin precio neto</v>
      </c>
      <c r="I946" s="4" t="str">
        <f t="shared" si="3"/>
        <v>Sin precio neto G.C.</v>
      </c>
      <c r="J946" s="4">
        <f t="shared" si="4"/>
        <v>1.536</v>
      </c>
      <c r="K946" s="4">
        <f t="shared" si="5"/>
        <v>1.6</v>
      </c>
      <c r="L946" s="4">
        <f t="shared" si="6"/>
        <v>1.536</v>
      </c>
    </row>
    <row r="947">
      <c r="A947" s="3">
        <v>833.0</v>
      </c>
      <c r="B947" s="1" t="s">
        <v>1424</v>
      </c>
      <c r="C947" s="3">
        <v>1.2</v>
      </c>
      <c r="D947" s="5"/>
      <c r="E947" s="5"/>
      <c r="F947" s="5"/>
      <c r="G947" s="4">
        <f t="shared" si="1"/>
        <v>0.6</v>
      </c>
      <c r="H947" s="4" t="str">
        <f t="shared" si="2"/>
        <v>Sin precio neto</v>
      </c>
      <c r="I947" s="4" t="str">
        <f t="shared" si="3"/>
        <v>Sin precio neto G.C.</v>
      </c>
      <c r="J947" s="4">
        <f t="shared" si="4"/>
        <v>0.576</v>
      </c>
      <c r="K947" s="4">
        <f t="shared" si="5"/>
        <v>0.6</v>
      </c>
      <c r="L947" s="4">
        <f t="shared" si="6"/>
        <v>0.576</v>
      </c>
    </row>
    <row r="948">
      <c r="A948" s="1" t="s">
        <v>1425</v>
      </c>
      <c r="B948" s="1" t="s">
        <v>1426</v>
      </c>
      <c r="C948" s="3">
        <v>3.2</v>
      </c>
      <c r="D948" s="5"/>
      <c r="E948" s="5"/>
      <c r="F948" s="5"/>
      <c r="G948" s="4">
        <f t="shared" si="1"/>
        <v>1.6</v>
      </c>
      <c r="H948" s="4" t="str">
        <f t="shared" si="2"/>
        <v>Sin precio neto</v>
      </c>
      <c r="I948" s="4" t="str">
        <f t="shared" si="3"/>
        <v>Sin precio neto G.C.</v>
      </c>
      <c r="J948" s="4">
        <f t="shared" si="4"/>
        <v>1.536</v>
      </c>
      <c r="K948" s="4">
        <f t="shared" si="5"/>
        <v>1.6</v>
      </c>
      <c r="L948" s="4">
        <f t="shared" si="6"/>
        <v>1.536</v>
      </c>
    </row>
    <row r="949">
      <c r="A949" s="3">
        <v>834.0</v>
      </c>
      <c r="B949" s="1" t="s">
        <v>1427</v>
      </c>
      <c r="C949" s="3">
        <v>1.2</v>
      </c>
      <c r="D949" s="5"/>
      <c r="E949" s="5"/>
      <c r="F949" s="5"/>
      <c r="G949" s="4">
        <f t="shared" si="1"/>
        <v>0.6</v>
      </c>
      <c r="H949" s="4" t="str">
        <f t="shared" si="2"/>
        <v>Sin precio neto</v>
      </c>
      <c r="I949" s="4" t="str">
        <f t="shared" si="3"/>
        <v>Sin precio neto G.C.</v>
      </c>
      <c r="J949" s="4">
        <f t="shared" si="4"/>
        <v>0.576</v>
      </c>
      <c r="K949" s="4">
        <f t="shared" si="5"/>
        <v>0.6</v>
      </c>
      <c r="L949" s="4">
        <f t="shared" si="6"/>
        <v>0.576</v>
      </c>
    </row>
    <row r="950">
      <c r="A950" s="1" t="s">
        <v>1428</v>
      </c>
      <c r="B950" s="1" t="s">
        <v>1429</v>
      </c>
      <c r="C950" s="3">
        <v>3.2</v>
      </c>
      <c r="D950" s="5"/>
      <c r="E950" s="5"/>
      <c r="F950" s="5"/>
      <c r="G950" s="4">
        <f t="shared" si="1"/>
        <v>1.6</v>
      </c>
      <c r="H950" s="4" t="str">
        <f t="shared" si="2"/>
        <v>Sin precio neto</v>
      </c>
      <c r="I950" s="4" t="str">
        <f t="shared" si="3"/>
        <v>Sin precio neto G.C.</v>
      </c>
      <c r="J950" s="4">
        <f t="shared" si="4"/>
        <v>1.536</v>
      </c>
      <c r="K950" s="4">
        <f t="shared" si="5"/>
        <v>1.6</v>
      </c>
      <c r="L950" s="4">
        <f t="shared" si="6"/>
        <v>1.536</v>
      </c>
    </row>
    <row r="951">
      <c r="A951" s="3">
        <v>835.0</v>
      </c>
      <c r="B951" s="1" t="s">
        <v>1430</v>
      </c>
      <c r="C951" s="3">
        <v>1.2</v>
      </c>
      <c r="D951" s="5"/>
      <c r="E951" s="5"/>
      <c r="F951" s="5"/>
      <c r="G951" s="4">
        <f t="shared" si="1"/>
        <v>0.6</v>
      </c>
      <c r="H951" s="4" t="str">
        <f t="shared" si="2"/>
        <v>Sin precio neto</v>
      </c>
      <c r="I951" s="4" t="str">
        <f t="shared" si="3"/>
        <v>Sin precio neto G.C.</v>
      </c>
      <c r="J951" s="4">
        <f t="shared" si="4"/>
        <v>0.576</v>
      </c>
      <c r="K951" s="4">
        <f t="shared" si="5"/>
        <v>0.6</v>
      </c>
      <c r="L951" s="4">
        <f t="shared" si="6"/>
        <v>0.576</v>
      </c>
    </row>
    <row r="952">
      <c r="A952" s="1" t="s">
        <v>1431</v>
      </c>
      <c r="B952" s="1" t="s">
        <v>1432</v>
      </c>
      <c r="C952" s="3">
        <v>3.2</v>
      </c>
      <c r="D952" s="5"/>
      <c r="E952" s="5"/>
      <c r="F952" s="5"/>
      <c r="G952" s="4">
        <f t="shared" si="1"/>
        <v>1.6</v>
      </c>
      <c r="H952" s="4" t="str">
        <f t="shared" si="2"/>
        <v>Sin precio neto</v>
      </c>
      <c r="I952" s="4" t="str">
        <f t="shared" si="3"/>
        <v>Sin precio neto G.C.</v>
      </c>
      <c r="J952" s="4">
        <f t="shared" si="4"/>
        <v>1.536</v>
      </c>
      <c r="K952" s="4">
        <f t="shared" si="5"/>
        <v>1.6</v>
      </c>
      <c r="L952" s="4">
        <f t="shared" si="6"/>
        <v>1.536</v>
      </c>
    </row>
    <row r="953">
      <c r="A953" s="3">
        <v>836.0</v>
      </c>
      <c r="B953" s="1" t="s">
        <v>1433</v>
      </c>
      <c r="C953" s="3">
        <v>1.2</v>
      </c>
      <c r="D953" s="5"/>
      <c r="E953" s="5"/>
      <c r="F953" s="5"/>
      <c r="G953" s="4">
        <f t="shared" si="1"/>
        <v>0.6</v>
      </c>
      <c r="H953" s="4" t="str">
        <f t="shared" si="2"/>
        <v>Sin precio neto</v>
      </c>
      <c r="I953" s="4" t="str">
        <f t="shared" si="3"/>
        <v>Sin precio neto G.C.</v>
      </c>
      <c r="J953" s="4">
        <f t="shared" si="4"/>
        <v>0.576</v>
      </c>
      <c r="K953" s="4">
        <f t="shared" si="5"/>
        <v>0.6</v>
      </c>
      <c r="L953" s="4">
        <f t="shared" si="6"/>
        <v>0.576</v>
      </c>
    </row>
    <row r="954">
      <c r="A954" s="1" t="s">
        <v>1434</v>
      </c>
      <c r="B954" s="1" t="s">
        <v>1435</v>
      </c>
      <c r="C954" s="3">
        <v>3.2</v>
      </c>
      <c r="D954" s="5"/>
      <c r="E954" s="5"/>
      <c r="F954" s="5"/>
      <c r="G954" s="4">
        <f t="shared" si="1"/>
        <v>1.6</v>
      </c>
      <c r="H954" s="4" t="str">
        <f t="shared" si="2"/>
        <v>Sin precio neto</v>
      </c>
      <c r="I954" s="4" t="str">
        <f t="shared" si="3"/>
        <v>Sin precio neto G.C.</v>
      </c>
      <c r="J954" s="4">
        <f t="shared" si="4"/>
        <v>1.536</v>
      </c>
      <c r="K954" s="4">
        <f t="shared" si="5"/>
        <v>1.6</v>
      </c>
      <c r="L954" s="4">
        <f t="shared" si="6"/>
        <v>1.536</v>
      </c>
    </row>
    <row r="955">
      <c r="A955" s="3">
        <v>837.0</v>
      </c>
      <c r="B955" s="1" t="s">
        <v>1436</v>
      </c>
      <c r="C955" s="3">
        <v>1.2</v>
      </c>
      <c r="D955" s="5"/>
      <c r="E955" s="5"/>
      <c r="F955" s="5"/>
      <c r="G955" s="4">
        <f t="shared" si="1"/>
        <v>0.6</v>
      </c>
      <c r="H955" s="4" t="str">
        <f t="shared" si="2"/>
        <v>Sin precio neto</v>
      </c>
      <c r="I955" s="4" t="str">
        <f t="shared" si="3"/>
        <v>Sin precio neto G.C.</v>
      </c>
      <c r="J955" s="4">
        <f t="shared" si="4"/>
        <v>0.576</v>
      </c>
      <c r="K955" s="4">
        <f t="shared" si="5"/>
        <v>0.6</v>
      </c>
      <c r="L955" s="4">
        <f t="shared" si="6"/>
        <v>0.576</v>
      </c>
    </row>
    <row r="956">
      <c r="A956" s="1" t="s">
        <v>1437</v>
      </c>
      <c r="B956" s="1" t="s">
        <v>1438</v>
      </c>
      <c r="C956" s="3">
        <v>3.2</v>
      </c>
      <c r="D956" s="5"/>
      <c r="E956" s="5"/>
      <c r="F956" s="5"/>
      <c r="G956" s="4">
        <f t="shared" si="1"/>
        <v>1.6</v>
      </c>
      <c r="H956" s="4" t="str">
        <f t="shared" si="2"/>
        <v>Sin precio neto</v>
      </c>
      <c r="I956" s="4" t="str">
        <f t="shared" si="3"/>
        <v>Sin precio neto G.C.</v>
      </c>
      <c r="J956" s="4">
        <f t="shared" si="4"/>
        <v>1.536</v>
      </c>
      <c r="K956" s="4">
        <f t="shared" si="5"/>
        <v>1.6</v>
      </c>
      <c r="L956" s="4">
        <f t="shared" si="6"/>
        <v>1.536</v>
      </c>
    </row>
    <row r="957">
      <c r="A957" s="3">
        <v>838.0</v>
      </c>
      <c r="B957" s="1" t="s">
        <v>1439</v>
      </c>
      <c r="C957" s="3">
        <v>1.2</v>
      </c>
      <c r="D957" s="5"/>
      <c r="E957" s="5"/>
      <c r="F957" s="5"/>
      <c r="G957" s="4">
        <f t="shared" si="1"/>
        <v>0.6</v>
      </c>
      <c r="H957" s="4" t="str">
        <f t="shared" si="2"/>
        <v>Sin precio neto</v>
      </c>
      <c r="I957" s="4" t="str">
        <f t="shared" si="3"/>
        <v>Sin precio neto G.C.</v>
      </c>
      <c r="J957" s="4">
        <f t="shared" si="4"/>
        <v>0.576</v>
      </c>
      <c r="K957" s="4">
        <f t="shared" si="5"/>
        <v>0.6</v>
      </c>
      <c r="L957" s="4">
        <f t="shared" si="6"/>
        <v>0.576</v>
      </c>
    </row>
    <row r="958">
      <c r="A958" s="1" t="s">
        <v>1440</v>
      </c>
      <c r="B958" s="1" t="s">
        <v>1441</v>
      </c>
      <c r="C958" s="3">
        <v>3.2</v>
      </c>
      <c r="D958" s="5"/>
      <c r="E958" s="5"/>
      <c r="F958" s="5"/>
      <c r="G958" s="4">
        <f t="shared" si="1"/>
        <v>1.6</v>
      </c>
      <c r="H958" s="4" t="str">
        <f t="shared" si="2"/>
        <v>Sin precio neto</v>
      </c>
      <c r="I958" s="4" t="str">
        <f t="shared" si="3"/>
        <v>Sin precio neto G.C.</v>
      </c>
      <c r="J958" s="4">
        <f t="shared" si="4"/>
        <v>1.536</v>
      </c>
      <c r="K958" s="4">
        <f t="shared" si="5"/>
        <v>1.6</v>
      </c>
      <c r="L958" s="4">
        <f t="shared" si="6"/>
        <v>1.536</v>
      </c>
    </row>
    <row r="959">
      <c r="A959" s="3">
        <v>839.0</v>
      </c>
      <c r="B959" s="1" t="s">
        <v>1442</v>
      </c>
      <c r="C959" s="3">
        <v>1.2</v>
      </c>
      <c r="D959" s="5"/>
      <c r="E959" s="5"/>
      <c r="F959" s="5"/>
      <c r="G959" s="4">
        <f t="shared" si="1"/>
        <v>0.6</v>
      </c>
      <c r="H959" s="4" t="str">
        <f t="shared" si="2"/>
        <v>Sin precio neto</v>
      </c>
      <c r="I959" s="4" t="str">
        <f t="shared" si="3"/>
        <v>Sin precio neto G.C.</v>
      </c>
      <c r="J959" s="4">
        <f t="shared" si="4"/>
        <v>0.576</v>
      </c>
      <c r="K959" s="4">
        <f t="shared" si="5"/>
        <v>0.6</v>
      </c>
      <c r="L959" s="4">
        <f t="shared" si="6"/>
        <v>0.576</v>
      </c>
    </row>
    <row r="960">
      <c r="A960" s="1" t="s">
        <v>1443</v>
      </c>
      <c r="B960" s="1" t="s">
        <v>1444</v>
      </c>
      <c r="C960" s="3">
        <v>3.2</v>
      </c>
      <c r="D960" s="5"/>
      <c r="E960" s="5"/>
      <c r="F960" s="5"/>
      <c r="G960" s="4">
        <f t="shared" si="1"/>
        <v>1.6</v>
      </c>
      <c r="H960" s="4" t="str">
        <f t="shared" si="2"/>
        <v>Sin precio neto</v>
      </c>
      <c r="I960" s="4" t="str">
        <f t="shared" si="3"/>
        <v>Sin precio neto G.C.</v>
      </c>
      <c r="J960" s="4">
        <f t="shared" si="4"/>
        <v>1.536</v>
      </c>
      <c r="K960" s="4">
        <f t="shared" si="5"/>
        <v>1.6</v>
      </c>
      <c r="L960" s="4">
        <f t="shared" si="6"/>
        <v>1.536</v>
      </c>
    </row>
    <row r="961">
      <c r="A961" s="3">
        <v>840.0</v>
      </c>
      <c r="B961" s="1" t="s">
        <v>1445</v>
      </c>
      <c r="C961" s="3">
        <v>1.2</v>
      </c>
      <c r="D961" s="5"/>
      <c r="E961" s="5"/>
      <c r="F961" s="5"/>
      <c r="G961" s="4">
        <f t="shared" si="1"/>
        <v>0.6</v>
      </c>
      <c r="H961" s="4" t="str">
        <f t="shared" si="2"/>
        <v>Sin precio neto</v>
      </c>
      <c r="I961" s="4" t="str">
        <f t="shared" si="3"/>
        <v>Sin precio neto G.C.</v>
      </c>
      <c r="J961" s="4">
        <f t="shared" si="4"/>
        <v>0.576</v>
      </c>
      <c r="K961" s="4">
        <f t="shared" si="5"/>
        <v>0.6</v>
      </c>
      <c r="L961" s="4">
        <f t="shared" si="6"/>
        <v>0.576</v>
      </c>
    </row>
    <row r="962">
      <c r="A962" s="1" t="s">
        <v>1446</v>
      </c>
      <c r="B962" s="1" t="s">
        <v>1447</v>
      </c>
      <c r="C962" s="3">
        <v>3.2</v>
      </c>
      <c r="D962" s="5"/>
      <c r="E962" s="5"/>
      <c r="F962" s="5"/>
      <c r="G962" s="4">
        <f t="shared" si="1"/>
        <v>1.6</v>
      </c>
      <c r="H962" s="4" t="str">
        <f t="shared" si="2"/>
        <v>Sin precio neto</v>
      </c>
      <c r="I962" s="4" t="str">
        <f t="shared" si="3"/>
        <v>Sin precio neto G.C.</v>
      </c>
      <c r="J962" s="4">
        <f t="shared" si="4"/>
        <v>1.536</v>
      </c>
      <c r="K962" s="4">
        <f t="shared" si="5"/>
        <v>1.6</v>
      </c>
      <c r="L962" s="4">
        <f t="shared" si="6"/>
        <v>1.536</v>
      </c>
    </row>
    <row r="963">
      <c r="A963" s="3">
        <v>841.0</v>
      </c>
      <c r="B963" s="1" t="s">
        <v>1448</v>
      </c>
      <c r="C963" s="3">
        <v>2.2</v>
      </c>
      <c r="D963" s="5"/>
      <c r="E963" s="5"/>
      <c r="F963" s="5"/>
      <c r="G963" s="4">
        <f t="shared" si="1"/>
        <v>1.1</v>
      </c>
      <c r="H963" s="4" t="str">
        <f t="shared" si="2"/>
        <v>Sin precio neto</v>
      </c>
      <c r="I963" s="4" t="str">
        <f t="shared" si="3"/>
        <v>Sin precio neto G.C.</v>
      </c>
      <c r="J963" s="4">
        <f t="shared" si="4"/>
        <v>1.056</v>
      </c>
      <c r="K963" s="4">
        <f t="shared" si="5"/>
        <v>1.1</v>
      </c>
      <c r="L963" s="4">
        <f t="shared" si="6"/>
        <v>1.056</v>
      </c>
    </row>
    <row r="964">
      <c r="A964" s="1" t="s">
        <v>1449</v>
      </c>
      <c r="B964" s="1" t="s">
        <v>1450</v>
      </c>
      <c r="C964" s="3">
        <v>3.2</v>
      </c>
      <c r="D964" s="5"/>
      <c r="E964" s="5"/>
      <c r="F964" s="5"/>
      <c r="G964" s="4">
        <f t="shared" si="1"/>
        <v>1.6</v>
      </c>
      <c r="H964" s="4" t="str">
        <f t="shared" si="2"/>
        <v>Sin precio neto</v>
      </c>
      <c r="I964" s="4" t="str">
        <f t="shared" si="3"/>
        <v>Sin precio neto G.C.</v>
      </c>
      <c r="J964" s="4">
        <f t="shared" si="4"/>
        <v>1.536</v>
      </c>
      <c r="K964" s="4">
        <f t="shared" si="5"/>
        <v>1.6</v>
      </c>
      <c r="L964" s="4">
        <f t="shared" si="6"/>
        <v>1.536</v>
      </c>
    </row>
    <row r="965">
      <c r="A965" s="1" t="s">
        <v>1451</v>
      </c>
      <c r="B965" s="1" t="s">
        <v>1452</v>
      </c>
      <c r="C965" s="3">
        <v>3.7</v>
      </c>
      <c r="D965" s="5"/>
      <c r="E965" s="5"/>
      <c r="F965" s="5"/>
      <c r="G965" s="4">
        <f t="shared" si="1"/>
        <v>1.85</v>
      </c>
      <c r="H965" s="4" t="str">
        <f t="shared" si="2"/>
        <v>Sin precio neto</v>
      </c>
      <c r="I965" s="4" t="str">
        <f t="shared" si="3"/>
        <v>Sin precio neto G.C.</v>
      </c>
      <c r="J965" s="4">
        <f t="shared" si="4"/>
        <v>1.776</v>
      </c>
      <c r="K965" s="4">
        <f t="shared" si="5"/>
        <v>1.85</v>
      </c>
      <c r="L965" s="4">
        <f t="shared" si="6"/>
        <v>1.776</v>
      </c>
    </row>
    <row r="966">
      <c r="A966" s="3">
        <v>842.0</v>
      </c>
      <c r="B966" s="1" t="s">
        <v>1453</v>
      </c>
      <c r="C966" s="3">
        <v>2.2</v>
      </c>
      <c r="D966" s="5"/>
      <c r="E966" s="5"/>
      <c r="F966" s="5"/>
      <c r="G966" s="4">
        <f t="shared" si="1"/>
        <v>1.1</v>
      </c>
      <c r="H966" s="4" t="str">
        <f t="shared" si="2"/>
        <v>Sin precio neto</v>
      </c>
      <c r="I966" s="4" t="str">
        <f t="shared" si="3"/>
        <v>Sin precio neto G.C.</v>
      </c>
      <c r="J966" s="4">
        <f t="shared" si="4"/>
        <v>1.056</v>
      </c>
      <c r="K966" s="4">
        <f t="shared" si="5"/>
        <v>1.1</v>
      </c>
      <c r="L966" s="4">
        <f t="shared" si="6"/>
        <v>1.056</v>
      </c>
    </row>
    <row r="967">
      <c r="A967" s="1" t="s">
        <v>1454</v>
      </c>
      <c r="B967" s="1" t="s">
        <v>1455</v>
      </c>
      <c r="C967" s="3">
        <v>3.2</v>
      </c>
      <c r="D967" s="5"/>
      <c r="E967" s="5"/>
      <c r="F967" s="5"/>
      <c r="G967" s="4">
        <f t="shared" si="1"/>
        <v>1.6</v>
      </c>
      <c r="H967" s="4" t="str">
        <f t="shared" si="2"/>
        <v>Sin precio neto</v>
      </c>
      <c r="I967" s="4" t="str">
        <f t="shared" si="3"/>
        <v>Sin precio neto G.C.</v>
      </c>
      <c r="J967" s="4">
        <f t="shared" si="4"/>
        <v>1.536</v>
      </c>
      <c r="K967" s="4">
        <f t="shared" si="5"/>
        <v>1.6</v>
      </c>
      <c r="L967" s="4">
        <f t="shared" si="6"/>
        <v>1.536</v>
      </c>
    </row>
    <row r="968">
      <c r="A968" s="1" t="s">
        <v>1456</v>
      </c>
      <c r="B968" s="1" t="s">
        <v>1457</v>
      </c>
      <c r="C968" s="3">
        <v>3.7</v>
      </c>
      <c r="D968" s="5"/>
      <c r="E968" s="5"/>
      <c r="F968" s="5"/>
      <c r="G968" s="4">
        <f t="shared" si="1"/>
        <v>1.85</v>
      </c>
      <c r="H968" s="4" t="str">
        <f t="shared" si="2"/>
        <v>Sin precio neto</v>
      </c>
      <c r="I968" s="4" t="str">
        <f t="shared" si="3"/>
        <v>Sin precio neto G.C.</v>
      </c>
      <c r="J968" s="4">
        <f t="shared" si="4"/>
        <v>1.776</v>
      </c>
      <c r="K968" s="4">
        <f t="shared" si="5"/>
        <v>1.85</v>
      </c>
      <c r="L968" s="4">
        <f t="shared" si="6"/>
        <v>1.776</v>
      </c>
    </row>
    <row r="969">
      <c r="A969" s="3">
        <v>843.0</v>
      </c>
      <c r="B969" s="1" t="s">
        <v>1458</v>
      </c>
      <c r="C969" s="3">
        <v>2.2</v>
      </c>
      <c r="D969" s="5"/>
      <c r="E969" s="5"/>
      <c r="F969" s="5"/>
      <c r="G969" s="4">
        <f t="shared" si="1"/>
        <v>1.1</v>
      </c>
      <c r="H969" s="4" t="str">
        <f t="shared" si="2"/>
        <v>Sin precio neto</v>
      </c>
      <c r="I969" s="4" t="str">
        <f t="shared" si="3"/>
        <v>Sin precio neto G.C.</v>
      </c>
      <c r="J969" s="4">
        <f t="shared" si="4"/>
        <v>1.056</v>
      </c>
      <c r="K969" s="4">
        <f t="shared" si="5"/>
        <v>1.1</v>
      </c>
      <c r="L969" s="4">
        <f t="shared" si="6"/>
        <v>1.056</v>
      </c>
    </row>
    <row r="970">
      <c r="A970" s="1" t="s">
        <v>1459</v>
      </c>
      <c r="B970" s="1" t="s">
        <v>1460</v>
      </c>
      <c r="C970" s="3">
        <v>3.2</v>
      </c>
      <c r="D970" s="5"/>
      <c r="E970" s="5"/>
      <c r="F970" s="5"/>
      <c r="G970" s="4">
        <f t="shared" si="1"/>
        <v>1.6</v>
      </c>
      <c r="H970" s="4" t="str">
        <f t="shared" si="2"/>
        <v>Sin precio neto</v>
      </c>
      <c r="I970" s="4" t="str">
        <f t="shared" si="3"/>
        <v>Sin precio neto G.C.</v>
      </c>
      <c r="J970" s="4">
        <f t="shared" si="4"/>
        <v>1.536</v>
      </c>
      <c r="K970" s="4">
        <f t="shared" si="5"/>
        <v>1.6</v>
      </c>
      <c r="L970" s="4">
        <f t="shared" si="6"/>
        <v>1.536</v>
      </c>
    </row>
    <row r="971">
      <c r="A971" s="1" t="s">
        <v>1461</v>
      </c>
      <c r="B971" s="1" t="s">
        <v>1462</v>
      </c>
      <c r="C971" s="3">
        <v>3.7</v>
      </c>
      <c r="D971" s="5"/>
      <c r="E971" s="5"/>
      <c r="F971" s="5"/>
      <c r="G971" s="4">
        <f t="shared" si="1"/>
        <v>1.85</v>
      </c>
      <c r="H971" s="4" t="str">
        <f t="shared" si="2"/>
        <v>Sin precio neto</v>
      </c>
      <c r="I971" s="4" t="str">
        <f t="shared" si="3"/>
        <v>Sin precio neto G.C.</v>
      </c>
      <c r="J971" s="4">
        <f t="shared" si="4"/>
        <v>1.776</v>
      </c>
      <c r="K971" s="4">
        <f t="shared" si="5"/>
        <v>1.85</v>
      </c>
      <c r="L971" s="4">
        <f t="shared" si="6"/>
        <v>1.776</v>
      </c>
    </row>
    <row r="972">
      <c r="A972" s="3">
        <v>845.0</v>
      </c>
      <c r="B972" s="1" t="s">
        <v>1463</v>
      </c>
      <c r="C972" s="3">
        <v>2.2</v>
      </c>
      <c r="D972" s="5"/>
      <c r="E972" s="5"/>
      <c r="F972" s="5"/>
      <c r="G972" s="4">
        <f t="shared" si="1"/>
        <v>1.1</v>
      </c>
      <c r="H972" s="4" t="str">
        <f t="shared" si="2"/>
        <v>Sin precio neto</v>
      </c>
      <c r="I972" s="4" t="str">
        <f t="shared" si="3"/>
        <v>Sin precio neto G.C.</v>
      </c>
      <c r="J972" s="4">
        <f t="shared" si="4"/>
        <v>1.056</v>
      </c>
      <c r="K972" s="4">
        <f t="shared" si="5"/>
        <v>1.1</v>
      </c>
      <c r="L972" s="4">
        <f t="shared" si="6"/>
        <v>1.056</v>
      </c>
    </row>
    <row r="973">
      <c r="A973" s="1" t="s">
        <v>1464</v>
      </c>
      <c r="B973" s="1" t="s">
        <v>1465</v>
      </c>
      <c r="C973" s="3">
        <v>3.2</v>
      </c>
      <c r="D973" s="5"/>
      <c r="E973" s="5"/>
      <c r="F973" s="5"/>
      <c r="G973" s="4">
        <f t="shared" si="1"/>
        <v>1.6</v>
      </c>
      <c r="H973" s="4" t="str">
        <f t="shared" si="2"/>
        <v>Sin precio neto</v>
      </c>
      <c r="I973" s="4" t="str">
        <f t="shared" si="3"/>
        <v>Sin precio neto G.C.</v>
      </c>
      <c r="J973" s="4">
        <f t="shared" si="4"/>
        <v>1.536</v>
      </c>
      <c r="K973" s="4">
        <f t="shared" si="5"/>
        <v>1.6</v>
      </c>
      <c r="L973" s="4">
        <f t="shared" si="6"/>
        <v>1.536</v>
      </c>
    </row>
    <row r="974">
      <c r="A974" s="1" t="s">
        <v>1466</v>
      </c>
      <c r="B974" s="1" t="s">
        <v>1467</v>
      </c>
      <c r="C974" s="3">
        <v>3.7</v>
      </c>
      <c r="D974" s="5"/>
      <c r="E974" s="5"/>
      <c r="F974" s="5"/>
      <c r="G974" s="4">
        <f t="shared" si="1"/>
        <v>1.85</v>
      </c>
      <c r="H974" s="4" t="str">
        <f t="shared" si="2"/>
        <v>Sin precio neto</v>
      </c>
      <c r="I974" s="4" t="str">
        <f t="shared" si="3"/>
        <v>Sin precio neto G.C.</v>
      </c>
      <c r="J974" s="4">
        <f t="shared" si="4"/>
        <v>1.776</v>
      </c>
      <c r="K974" s="4">
        <f t="shared" si="5"/>
        <v>1.85</v>
      </c>
      <c r="L974" s="4">
        <f t="shared" si="6"/>
        <v>1.776</v>
      </c>
    </row>
    <row r="975">
      <c r="A975" s="3">
        <v>846.0</v>
      </c>
      <c r="B975" s="1" t="s">
        <v>1468</v>
      </c>
      <c r="C975" s="3">
        <v>2.2</v>
      </c>
      <c r="D975" s="5"/>
      <c r="E975" s="5"/>
      <c r="F975" s="5"/>
      <c r="G975" s="4">
        <f t="shared" si="1"/>
        <v>1.1</v>
      </c>
      <c r="H975" s="4" t="str">
        <f t="shared" si="2"/>
        <v>Sin precio neto</v>
      </c>
      <c r="I975" s="4" t="str">
        <f t="shared" si="3"/>
        <v>Sin precio neto G.C.</v>
      </c>
      <c r="J975" s="4">
        <f t="shared" si="4"/>
        <v>1.056</v>
      </c>
      <c r="K975" s="4">
        <f t="shared" si="5"/>
        <v>1.1</v>
      </c>
      <c r="L975" s="4">
        <f t="shared" si="6"/>
        <v>1.056</v>
      </c>
    </row>
    <row r="976">
      <c r="A976" s="1" t="s">
        <v>1469</v>
      </c>
      <c r="B976" s="1" t="s">
        <v>1470</v>
      </c>
      <c r="C976" s="3">
        <v>3.2</v>
      </c>
      <c r="D976" s="5"/>
      <c r="E976" s="5"/>
      <c r="F976" s="5"/>
      <c r="G976" s="4">
        <f t="shared" si="1"/>
        <v>1.6</v>
      </c>
      <c r="H976" s="4" t="str">
        <f t="shared" si="2"/>
        <v>Sin precio neto</v>
      </c>
      <c r="I976" s="4" t="str">
        <f t="shared" si="3"/>
        <v>Sin precio neto G.C.</v>
      </c>
      <c r="J976" s="4">
        <f t="shared" si="4"/>
        <v>1.536</v>
      </c>
      <c r="K976" s="4">
        <f t="shared" si="5"/>
        <v>1.6</v>
      </c>
      <c r="L976" s="4">
        <f t="shared" si="6"/>
        <v>1.536</v>
      </c>
    </row>
    <row r="977">
      <c r="A977" s="1" t="s">
        <v>1471</v>
      </c>
      <c r="B977" s="1" t="s">
        <v>1472</v>
      </c>
      <c r="C977" s="3">
        <v>3.7</v>
      </c>
      <c r="D977" s="5"/>
      <c r="E977" s="5"/>
      <c r="F977" s="5"/>
      <c r="G977" s="4">
        <f t="shared" si="1"/>
        <v>1.85</v>
      </c>
      <c r="H977" s="4" t="str">
        <f t="shared" si="2"/>
        <v>Sin precio neto</v>
      </c>
      <c r="I977" s="4" t="str">
        <f t="shared" si="3"/>
        <v>Sin precio neto G.C.</v>
      </c>
      <c r="J977" s="4">
        <f t="shared" si="4"/>
        <v>1.776</v>
      </c>
      <c r="K977" s="4">
        <f t="shared" si="5"/>
        <v>1.85</v>
      </c>
      <c r="L977" s="4">
        <f t="shared" si="6"/>
        <v>1.776</v>
      </c>
    </row>
    <row r="978">
      <c r="A978" s="3">
        <v>847.0</v>
      </c>
      <c r="B978" s="1" t="s">
        <v>1473</v>
      </c>
      <c r="C978" s="3">
        <v>2.2</v>
      </c>
      <c r="D978" s="5"/>
      <c r="E978" s="5"/>
      <c r="F978" s="5"/>
      <c r="G978" s="4">
        <f t="shared" si="1"/>
        <v>1.1</v>
      </c>
      <c r="H978" s="4" t="str">
        <f t="shared" si="2"/>
        <v>Sin precio neto</v>
      </c>
      <c r="I978" s="4" t="str">
        <f t="shared" si="3"/>
        <v>Sin precio neto G.C.</v>
      </c>
      <c r="J978" s="4">
        <f t="shared" si="4"/>
        <v>1.056</v>
      </c>
      <c r="K978" s="4">
        <f t="shared" si="5"/>
        <v>1.1</v>
      </c>
      <c r="L978" s="4">
        <f t="shared" si="6"/>
        <v>1.056</v>
      </c>
    </row>
    <row r="979">
      <c r="A979" s="1" t="s">
        <v>1474</v>
      </c>
      <c r="B979" s="1" t="s">
        <v>1475</v>
      </c>
      <c r="C979" s="3">
        <v>3.2</v>
      </c>
      <c r="D979" s="5"/>
      <c r="E979" s="5"/>
      <c r="F979" s="5"/>
      <c r="G979" s="4">
        <f t="shared" si="1"/>
        <v>1.6</v>
      </c>
      <c r="H979" s="4" t="str">
        <f t="shared" si="2"/>
        <v>Sin precio neto</v>
      </c>
      <c r="I979" s="4" t="str">
        <f t="shared" si="3"/>
        <v>Sin precio neto G.C.</v>
      </c>
      <c r="J979" s="4">
        <f t="shared" si="4"/>
        <v>1.536</v>
      </c>
      <c r="K979" s="4">
        <f t="shared" si="5"/>
        <v>1.6</v>
      </c>
      <c r="L979" s="4">
        <f t="shared" si="6"/>
        <v>1.536</v>
      </c>
    </row>
    <row r="980">
      <c r="A980" s="1" t="s">
        <v>1476</v>
      </c>
      <c r="B980" s="1" t="s">
        <v>1477</v>
      </c>
      <c r="C980" s="3">
        <v>3.7</v>
      </c>
      <c r="D980" s="5"/>
      <c r="E980" s="5"/>
      <c r="F980" s="5"/>
      <c r="G980" s="4">
        <f t="shared" si="1"/>
        <v>1.85</v>
      </c>
      <c r="H980" s="4" t="str">
        <f t="shared" si="2"/>
        <v>Sin precio neto</v>
      </c>
      <c r="I980" s="4" t="str">
        <f t="shared" si="3"/>
        <v>Sin precio neto G.C.</v>
      </c>
      <c r="J980" s="4">
        <f t="shared" si="4"/>
        <v>1.776</v>
      </c>
      <c r="K980" s="4">
        <f t="shared" si="5"/>
        <v>1.85</v>
      </c>
      <c r="L980" s="4">
        <f t="shared" si="6"/>
        <v>1.776</v>
      </c>
    </row>
    <row r="981">
      <c r="A981" s="3">
        <v>848.0</v>
      </c>
      <c r="B981" s="1" t="s">
        <v>1478</v>
      </c>
      <c r="C981" s="3">
        <v>2.2</v>
      </c>
      <c r="D981" s="5"/>
      <c r="E981" s="5"/>
      <c r="F981" s="5"/>
      <c r="G981" s="4">
        <f t="shared" si="1"/>
        <v>1.1</v>
      </c>
      <c r="H981" s="4" t="str">
        <f t="shared" si="2"/>
        <v>Sin precio neto</v>
      </c>
      <c r="I981" s="4" t="str">
        <f t="shared" si="3"/>
        <v>Sin precio neto G.C.</v>
      </c>
      <c r="J981" s="4">
        <f t="shared" si="4"/>
        <v>1.056</v>
      </c>
      <c r="K981" s="4">
        <f t="shared" si="5"/>
        <v>1.1</v>
      </c>
      <c r="L981" s="4">
        <f t="shared" si="6"/>
        <v>1.056</v>
      </c>
    </row>
    <row r="982">
      <c r="A982" s="1" t="s">
        <v>1479</v>
      </c>
      <c r="B982" s="1" t="s">
        <v>1480</v>
      </c>
      <c r="C982" s="3">
        <v>3.2</v>
      </c>
      <c r="D982" s="5"/>
      <c r="E982" s="5"/>
      <c r="F982" s="5"/>
      <c r="G982" s="4">
        <f t="shared" si="1"/>
        <v>1.6</v>
      </c>
      <c r="H982" s="4" t="str">
        <f t="shared" si="2"/>
        <v>Sin precio neto</v>
      </c>
      <c r="I982" s="4" t="str">
        <f t="shared" si="3"/>
        <v>Sin precio neto G.C.</v>
      </c>
      <c r="J982" s="4">
        <f t="shared" si="4"/>
        <v>1.536</v>
      </c>
      <c r="K982" s="4">
        <f t="shared" si="5"/>
        <v>1.6</v>
      </c>
      <c r="L982" s="4">
        <f t="shared" si="6"/>
        <v>1.536</v>
      </c>
    </row>
    <row r="983">
      <c r="A983" s="1" t="s">
        <v>1481</v>
      </c>
      <c r="B983" s="1" t="s">
        <v>1482</v>
      </c>
      <c r="C983" s="3">
        <v>3.7</v>
      </c>
      <c r="D983" s="5"/>
      <c r="E983" s="5"/>
      <c r="F983" s="5"/>
      <c r="G983" s="4">
        <f t="shared" si="1"/>
        <v>1.85</v>
      </c>
      <c r="H983" s="4" t="str">
        <f t="shared" si="2"/>
        <v>Sin precio neto</v>
      </c>
      <c r="I983" s="4" t="str">
        <f t="shared" si="3"/>
        <v>Sin precio neto G.C.</v>
      </c>
      <c r="J983" s="4">
        <f t="shared" si="4"/>
        <v>1.776</v>
      </c>
      <c r="K983" s="4">
        <f t="shared" si="5"/>
        <v>1.85</v>
      </c>
      <c r="L983" s="4">
        <f t="shared" si="6"/>
        <v>1.776</v>
      </c>
    </row>
    <row r="984">
      <c r="A984" s="3">
        <v>849.0</v>
      </c>
      <c r="B984" s="1" t="s">
        <v>1483</v>
      </c>
      <c r="C984" s="3">
        <v>2.2</v>
      </c>
      <c r="D984" s="5"/>
      <c r="E984" s="5"/>
      <c r="F984" s="5"/>
      <c r="G984" s="4">
        <f t="shared" si="1"/>
        <v>1.1</v>
      </c>
      <c r="H984" s="4" t="str">
        <f t="shared" si="2"/>
        <v>Sin precio neto</v>
      </c>
      <c r="I984" s="4" t="str">
        <f t="shared" si="3"/>
        <v>Sin precio neto G.C.</v>
      </c>
      <c r="J984" s="4">
        <f t="shared" si="4"/>
        <v>1.056</v>
      </c>
      <c r="K984" s="4">
        <f t="shared" si="5"/>
        <v>1.1</v>
      </c>
      <c r="L984" s="4">
        <f t="shared" si="6"/>
        <v>1.056</v>
      </c>
    </row>
    <row r="985">
      <c r="A985" s="1" t="s">
        <v>1484</v>
      </c>
      <c r="B985" s="1" t="s">
        <v>1485</v>
      </c>
      <c r="C985" s="3">
        <v>3.2</v>
      </c>
      <c r="D985" s="5"/>
      <c r="E985" s="5"/>
      <c r="F985" s="5"/>
      <c r="G985" s="4">
        <f t="shared" si="1"/>
        <v>1.6</v>
      </c>
      <c r="H985" s="4" t="str">
        <f t="shared" si="2"/>
        <v>Sin precio neto</v>
      </c>
      <c r="I985" s="4" t="str">
        <f t="shared" si="3"/>
        <v>Sin precio neto G.C.</v>
      </c>
      <c r="J985" s="4">
        <f t="shared" si="4"/>
        <v>1.536</v>
      </c>
      <c r="K985" s="4">
        <f t="shared" si="5"/>
        <v>1.6</v>
      </c>
      <c r="L985" s="4">
        <f t="shared" si="6"/>
        <v>1.536</v>
      </c>
    </row>
    <row r="986">
      <c r="A986" s="1" t="s">
        <v>1486</v>
      </c>
      <c r="B986" s="1" t="s">
        <v>1487</v>
      </c>
      <c r="C986" s="3">
        <v>3.7</v>
      </c>
      <c r="D986" s="5"/>
      <c r="E986" s="5"/>
      <c r="F986" s="5"/>
      <c r="G986" s="4">
        <f t="shared" si="1"/>
        <v>1.85</v>
      </c>
      <c r="H986" s="4" t="str">
        <f t="shared" si="2"/>
        <v>Sin precio neto</v>
      </c>
      <c r="I986" s="4" t="str">
        <f t="shared" si="3"/>
        <v>Sin precio neto G.C.</v>
      </c>
      <c r="J986" s="4">
        <f t="shared" si="4"/>
        <v>1.776</v>
      </c>
      <c r="K986" s="4">
        <f t="shared" si="5"/>
        <v>1.85</v>
      </c>
      <c r="L986" s="4">
        <f t="shared" si="6"/>
        <v>1.776</v>
      </c>
    </row>
    <row r="987">
      <c r="A987" s="3">
        <v>850.0</v>
      </c>
      <c r="B987" s="1" t="s">
        <v>1488</v>
      </c>
      <c r="C987" s="3">
        <v>2.2</v>
      </c>
      <c r="D987" s="5"/>
      <c r="E987" s="5"/>
      <c r="F987" s="5"/>
      <c r="G987" s="4">
        <f t="shared" si="1"/>
        <v>1.1</v>
      </c>
      <c r="H987" s="4" t="str">
        <f t="shared" si="2"/>
        <v>Sin precio neto</v>
      </c>
      <c r="I987" s="4" t="str">
        <f t="shared" si="3"/>
        <v>Sin precio neto G.C.</v>
      </c>
      <c r="J987" s="4">
        <f t="shared" si="4"/>
        <v>1.056</v>
      </c>
      <c r="K987" s="4">
        <f t="shared" si="5"/>
        <v>1.1</v>
      </c>
      <c r="L987" s="4">
        <f t="shared" si="6"/>
        <v>1.056</v>
      </c>
    </row>
    <row r="988">
      <c r="A988" s="1" t="s">
        <v>1489</v>
      </c>
      <c r="B988" s="1" t="s">
        <v>1490</v>
      </c>
      <c r="C988" s="3">
        <v>3.2</v>
      </c>
      <c r="D988" s="5"/>
      <c r="E988" s="5"/>
      <c r="F988" s="5"/>
      <c r="G988" s="4">
        <f t="shared" si="1"/>
        <v>1.6</v>
      </c>
      <c r="H988" s="4" t="str">
        <f t="shared" si="2"/>
        <v>Sin precio neto</v>
      </c>
      <c r="I988" s="4" t="str">
        <f t="shared" si="3"/>
        <v>Sin precio neto G.C.</v>
      </c>
      <c r="J988" s="4">
        <f t="shared" si="4"/>
        <v>1.536</v>
      </c>
      <c r="K988" s="4">
        <f t="shared" si="5"/>
        <v>1.6</v>
      </c>
      <c r="L988" s="4">
        <f t="shared" si="6"/>
        <v>1.536</v>
      </c>
    </row>
    <row r="989">
      <c r="A989" s="1" t="s">
        <v>1491</v>
      </c>
      <c r="B989" s="1" t="s">
        <v>1492</v>
      </c>
      <c r="C989" s="3">
        <v>3.7</v>
      </c>
      <c r="D989" s="5"/>
      <c r="E989" s="5"/>
      <c r="F989" s="5"/>
      <c r="G989" s="4">
        <f t="shared" si="1"/>
        <v>1.85</v>
      </c>
      <c r="H989" s="4" t="str">
        <f t="shared" si="2"/>
        <v>Sin precio neto</v>
      </c>
      <c r="I989" s="4" t="str">
        <f t="shared" si="3"/>
        <v>Sin precio neto G.C.</v>
      </c>
      <c r="J989" s="4">
        <f t="shared" si="4"/>
        <v>1.776</v>
      </c>
      <c r="K989" s="4">
        <f t="shared" si="5"/>
        <v>1.85</v>
      </c>
      <c r="L989" s="4">
        <f t="shared" si="6"/>
        <v>1.776</v>
      </c>
    </row>
    <row r="990">
      <c r="A990" s="3">
        <v>851.0</v>
      </c>
      <c r="B990" s="1" t="s">
        <v>1493</v>
      </c>
      <c r="C990" s="3">
        <v>2.2</v>
      </c>
      <c r="D990" s="5"/>
      <c r="E990" s="5"/>
      <c r="F990" s="5"/>
      <c r="G990" s="4">
        <f t="shared" si="1"/>
        <v>1.1</v>
      </c>
      <c r="H990" s="4" t="str">
        <f t="shared" si="2"/>
        <v>Sin precio neto</v>
      </c>
      <c r="I990" s="4" t="str">
        <f t="shared" si="3"/>
        <v>Sin precio neto G.C.</v>
      </c>
      <c r="J990" s="4">
        <f t="shared" si="4"/>
        <v>1.056</v>
      </c>
      <c r="K990" s="4">
        <f t="shared" si="5"/>
        <v>1.1</v>
      </c>
      <c r="L990" s="4">
        <f t="shared" si="6"/>
        <v>1.056</v>
      </c>
    </row>
    <row r="991">
      <c r="A991" s="1" t="s">
        <v>1494</v>
      </c>
      <c r="B991" s="1" t="s">
        <v>1495</v>
      </c>
      <c r="C991" s="3">
        <v>3.2</v>
      </c>
      <c r="D991" s="5"/>
      <c r="E991" s="5"/>
      <c r="F991" s="5"/>
      <c r="G991" s="4">
        <f t="shared" si="1"/>
        <v>1.6</v>
      </c>
      <c r="H991" s="4" t="str">
        <f t="shared" si="2"/>
        <v>Sin precio neto</v>
      </c>
      <c r="I991" s="4" t="str">
        <f t="shared" si="3"/>
        <v>Sin precio neto G.C.</v>
      </c>
      <c r="J991" s="4">
        <f t="shared" si="4"/>
        <v>1.536</v>
      </c>
      <c r="K991" s="4">
        <f t="shared" si="5"/>
        <v>1.6</v>
      </c>
      <c r="L991" s="4">
        <f t="shared" si="6"/>
        <v>1.536</v>
      </c>
    </row>
    <row r="992">
      <c r="A992" s="1" t="s">
        <v>1496</v>
      </c>
      <c r="B992" s="1" t="s">
        <v>1497</v>
      </c>
      <c r="C992" s="3">
        <v>3.7</v>
      </c>
      <c r="D992" s="5"/>
      <c r="E992" s="5"/>
      <c r="F992" s="5"/>
      <c r="G992" s="4">
        <f t="shared" si="1"/>
        <v>1.85</v>
      </c>
      <c r="H992" s="4" t="str">
        <f t="shared" si="2"/>
        <v>Sin precio neto</v>
      </c>
      <c r="I992" s="4" t="str">
        <f t="shared" si="3"/>
        <v>Sin precio neto G.C.</v>
      </c>
      <c r="J992" s="4">
        <f t="shared" si="4"/>
        <v>1.776</v>
      </c>
      <c r="K992" s="4">
        <f t="shared" si="5"/>
        <v>1.85</v>
      </c>
      <c r="L992" s="4">
        <f t="shared" si="6"/>
        <v>1.776</v>
      </c>
    </row>
    <row r="993">
      <c r="A993" s="3">
        <v>852.0</v>
      </c>
      <c r="B993" s="1" t="s">
        <v>1498</v>
      </c>
      <c r="C993" s="3">
        <v>2.2</v>
      </c>
      <c r="D993" s="5"/>
      <c r="E993" s="5"/>
      <c r="F993" s="5"/>
      <c r="G993" s="4">
        <f t="shared" si="1"/>
        <v>1.1</v>
      </c>
      <c r="H993" s="4" t="str">
        <f t="shared" si="2"/>
        <v>Sin precio neto</v>
      </c>
      <c r="I993" s="4" t="str">
        <f t="shared" si="3"/>
        <v>Sin precio neto G.C.</v>
      </c>
      <c r="J993" s="4">
        <f t="shared" si="4"/>
        <v>1.056</v>
      </c>
      <c r="K993" s="4">
        <f t="shared" si="5"/>
        <v>1.1</v>
      </c>
      <c r="L993" s="4">
        <f t="shared" si="6"/>
        <v>1.056</v>
      </c>
    </row>
    <row r="994">
      <c r="A994" s="1" t="s">
        <v>1499</v>
      </c>
      <c r="B994" s="1" t="s">
        <v>1500</v>
      </c>
      <c r="C994" s="3">
        <v>3.2</v>
      </c>
      <c r="D994" s="5"/>
      <c r="E994" s="5"/>
      <c r="F994" s="5"/>
      <c r="G994" s="4">
        <f t="shared" si="1"/>
        <v>1.6</v>
      </c>
      <c r="H994" s="4" t="str">
        <f t="shared" si="2"/>
        <v>Sin precio neto</v>
      </c>
      <c r="I994" s="4" t="str">
        <f t="shared" si="3"/>
        <v>Sin precio neto G.C.</v>
      </c>
      <c r="J994" s="4">
        <f t="shared" si="4"/>
        <v>1.536</v>
      </c>
      <c r="K994" s="4">
        <f t="shared" si="5"/>
        <v>1.6</v>
      </c>
      <c r="L994" s="4">
        <f t="shared" si="6"/>
        <v>1.536</v>
      </c>
    </row>
    <row r="995">
      <c r="A995" s="1" t="s">
        <v>1501</v>
      </c>
      <c r="B995" s="1" t="s">
        <v>1502</v>
      </c>
      <c r="C995" s="3">
        <v>3.7</v>
      </c>
      <c r="D995" s="5"/>
      <c r="E995" s="5"/>
      <c r="F995" s="5"/>
      <c r="G995" s="4">
        <f t="shared" si="1"/>
        <v>1.85</v>
      </c>
      <c r="H995" s="4" t="str">
        <f t="shared" si="2"/>
        <v>Sin precio neto</v>
      </c>
      <c r="I995" s="4" t="str">
        <f t="shared" si="3"/>
        <v>Sin precio neto G.C.</v>
      </c>
      <c r="J995" s="4">
        <f t="shared" si="4"/>
        <v>1.776</v>
      </c>
      <c r="K995" s="4">
        <f t="shared" si="5"/>
        <v>1.85</v>
      </c>
      <c r="L995" s="4">
        <f t="shared" si="6"/>
        <v>1.776</v>
      </c>
    </row>
    <row r="996">
      <c r="A996" s="3">
        <v>853.0</v>
      </c>
      <c r="B996" s="1" t="s">
        <v>1503</v>
      </c>
      <c r="C996" s="3">
        <v>2.2</v>
      </c>
      <c r="D996" s="5"/>
      <c r="E996" s="5"/>
      <c r="F996" s="5"/>
      <c r="G996" s="4">
        <f t="shared" si="1"/>
        <v>1.1</v>
      </c>
      <c r="H996" s="4" t="str">
        <f t="shared" si="2"/>
        <v>Sin precio neto</v>
      </c>
      <c r="I996" s="4" t="str">
        <f t="shared" si="3"/>
        <v>Sin precio neto G.C.</v>
      </c>
      <c r="J996" s="4">
        <f t="shared" si="4"/>
        <v>1.056</v>
      </c>
      <c r="K996" s="4">
        <f t="shared" si="5"/>
        <v>1.1</v>
      </c>
      <c r="L996" s="4">
        <f t="shared" si="6"/>
        <v>1.056</v>
      </c>
    </row>
    <row r="997">
      <c r="A997" s="1" t="s">
        <v>1504</v>
      </c>
      <c r="B997" s="1" t="s">
        <v>1505</v>
      </c>
      <c r="C997" s="3">
        <v>3.2</v>
      </c>
      <c r="D997" s="5"/>
      <c r="E997" s="5"/>
      <c r="F997" s="5"/>
      <c r="G997" s="4">
        <f t="shared" si="1"/>
        <v>1.6</v>
      </c>
      <c r="H997" s="4" t="str">
        <f t="shared" si="2"/>
        <v>Sin precio neto</v>
      </c>
      <c r="I997" s="4" t="str">
        <f t="shared" si="3"/>
        <v>Sin precio neto G.C.</v>
      </c>
      <c r="J997" s="4">
        <f t="shared" si="4"/>
        <v>1.536</v>
      </c>
      <c r="K997" s="4">
        <f t="shared" si="5"/>
        <v>1.6</v>
      </c>
      <c r="L997" s="4">
        <f t="shared" si="6"/>
        <v>1.536</v>
      </c>
    </row>
    <row r="998">
      <c r="A998" s="1" t="s">
        <v>1506</v>
      </c>
      <c r="B998" s="1" t="s">
        <v>1507</v>
      </c>
      <c r="C998" s="3">
        <v>3.7</v>
      </c>
      <c r="D998" s="5"/>
      <c r="E998" s="5"/>
      <c r="F998" s="5"/>
      <c r="G998" s="4">
        <f t="shared" si="1"/>
        <v>1.85</v>
      </c>
      <c r="H998" s="4" t="str">
        <f t="shared" si="2"/>
        <v>Sin precio neto</v>
      </c>
      <c r="I998" s="4" t="str">
        <f t="shared" si="3"/>
        <v>Sin precio neto G.C.</v>
      </c>
      <c r="J998" s="4">
        <f t="shared" si="4"/>
        <v>1.776</v>
      </c>
      <c r="K998" s="4">
        <f t="shared" si="5"/>
        <v>1.85</v>
      </c>
      <c r="L998" s="4">
        <f t="shared" si="6"/>
        <v>1.776</v>
      </c>
    </row>
    <row r="999">
      <c r="A999" s="3">
        <v>854.0</v>
      </c>
      <c r="B999" s="1" t="s">
        <v>1508</v>
      </c>
      <c r="C999" s="3">
        <v>2.2</v>
      </c>
      <c r="D999" s="5"/>
      <c r="E999" s="5"/>
      <c r="F999" s="5"/>
      <c r="G999" s="4">
        <f t="shared" si="1"/>
        <v>1.1</v>
      </c>
      <c r="H999" s="4" t="str">
        <f t="shared" si="2"/>
        <v>Sin precio neto</v>
      </c>
      <c r="I999" s="4" t="str">
        <f t="shared" si="3"/>
        <v>Sin precio neto G.C.</v>
      </c>
      <c r="J999" s="4">
        <f t="shared" si="4"/>
        <v>1.056</v>
      </c>
      <c r="K999" s="4">
        <f t="shared" si="5"/>
        <v>1.1</v>
      </c>
      <c r="L999" s="4">
        <f t="shared" si="6"/>
        <v>1.056</v>
      </c>
    </row>
    <row r="1000">
      <c r="A1000" s="1" t="s">
        <v>1509</v>
      </c>
      <c r="B1000" s="1" t="s">
        <v>1510</v>
      </c>
      <c r="C1000" s="3">
        <v>3.2</v>
      </c>
      <c r="D1000" s="5"/>
      <c r="E1000" s="5"/>
      <c r="F1000" s="5"/>
      <c r="G1000" s="4">
        <f t="shared" si="1"/>
        <v>1.6</v>
      </c>
      <c r="H1000" s="4" t="str">
        <f t="shared" si="2"/>
        <v>Sin precio neto</v>
      </c>
      <c r="I1000" s="4" t="str">
        <f t="shared" si="3"/>
        <v>Sin precio neto G.C.</v>
      </c>
      <c r="J1000" s="4">
        <f t="shared" si="4"/>
        <v>1.536</v>
      </c>
      <c r="K1000" s="4">
        <f t="shared" si="5"/>
        <v>1.6</v>
      </c>
      <c r="L1000" s="4">
        <f t="shared" si="6"/>
        <v>1.536</v>
      </c>
    </row>
    <row r="1001">
      <c r="A1001" s="1" t="s">
        <v>1511</v>
      </c>
      <c r="B1001" s="1" t="s">
        <v>1512</v>
      </c>
      <c r="C1001" s="3">
        <v>3.7</v>
      </c>
      <c r="D1001" s="5"/>
      <c r="E1001" s="5"/>
      <c r="F1001" s="5"/>
      <c r="G1001" s="4">
        <f t="shared" si="1"/>
        <v>1.85</v>
      </c>
      <c r="H1001" s="4" t="str">
        <f t="shared" si="2"/>
        <v>Sin precio neto</v>
      </c>
      <c r="I1001" s="4" t="str">
        <f t="shared" si="3"/>
        <v>Sin precio neto G.C.</v>
      </c>
      <c r="J1001" s="4">
        <f t="shared" si="4"/>
        <v>1.776</v>
      </c>
      <c r="K1001" s="4">
        <f t="shared" si="5"/>
        <v>1.85</v>
      </c>
      <c r="L1001" s="4">
        <f t="shared" si="6"/>
        <v>1.776</v>
      </c>
    </row>
    <row r="1002">
      <c r="A1002" s="3">
        <v>855.0</v>
      </c>
      <c r="B1002" s="1" t="s">
        <v>1513</v>
      </c>
      <c r="C1002" s="3">
        <v>2.2</v>
      </c>
      <c r="D1002" s="5"/>
      <c r="E1002" s="5"/>
      <c r="F1002" s="5"/>
      <c r="G1002" s="4">
        <f t="shared" si="1"/>
        <v>1.1</v>
      </c>
      <c r="H1002" s="4" t="str">
        <f t="shared" si="2"/>
        <v>Sin precio neto</v>
      </c>
      <c r="I1002" s="4" t="str">
        <f t="shared" si="3"/>
        <v>Sin precio neto G.C.</v>
      </c>
      <c r="J1002" s="4">
        <f t="shared" si="4"/>
        <v>1.056</v>
      </c>
      <c r="K1002" s="4">
        <f t="shared" si="5"/>
        <v>1.1</v>
      </c>
      <c r="L1002" s="4">
        <f t="shared" si="6"/>
        <v>1.056</v>
      </c>
    </row>
    <row r="1003">
      <c r="A1003" s="1" t="s">
        <v>1514</v>
      </c>
      <c r="B1003" s="1" t="s">
        <v>1515</v>
      </c>
      <c r="C1003" s="3">
        <v>3.2</v>
      </c>
      <c r="D1003" s="5"/>
      <c r="E1003" s="5"/>
      <c r="F1003" s="5"/>
      <c r="G1003" s="4">
        <f t="shared" si="1"/>
        <v>1.6</v>
      </c>
      <c r="H1003" s="4" t="str">
        <f t="shared" si="2"/>
        <v>Sin precio neto</v>
      </c>
      <c r="I1003" s="4" t="str">
        <f t="shared" si="3"/>
        <v>Sin precio neto G.C.</v>
      </c>
      <c r="J1003" s="4">
        <f t="shared" si="4"/>
        <v>1.536</v>
      </c>
      <c r="K1003" s="4">
        <f t="shared" si="5"/>
        <v>1.6</v>
      </c>
      <c r="L1003" s="4">
        <f t="shared" si="6"/>
        <v>1.536</v>
      </c>
    </row>
    <row r="1004">
      <c r="A1004" s="1" t="s">
        <v>1516</v>
      </c>
      <c r="B1004" s="1" t="s">
        <v>1517</v>
      </c>
      <c r="C1004" s="3">
        <v>3.7</v>
      </c>
      <c r="D1004" s="5"/>
      <c r="E1004" s="5"/>
      <c r="F1004" s="5"/>
      <c r="G1004" s="4">
        <f t="shared" si="1"/>
        <v>1.85</v>
      </c>
      <c r="H1004" s="4" t="str">
        <f t="shared" si="2"/>
        <v>Sin precio neto</v>
      </c>
      <c r="I1004" s="4" t="str">
        <f t="shared" si="3"/>
        <v>Sin precio neto G.C.</v>
      </c>
      <c r="J1004" s="4">
        <f t="shared" si="4"/>
        <v>1.776</v>
      </c>
      <c r="K1004" s="4">
        <f t="shared" si="5"/>
        <v>1.85</v>
      </c>
      <c r="L1004" s="4">
        <f t="shared" si="6"/>
        <v>1.776</v>
      </c>
    </row>
    <row r="1005">
      <c r="A1005" s="3">
        <v>856.0</v>
      </c>
      <c r="B1005" s="1" t="s">
        <v>1518</v>
      </c>
      <c r="C1005" s="3">
        <v>2.2</v>
      </c>
      <c r="D1005" s="5"/>
      <c r="E1005" s="5"/>
      <c r="F1005" s="5"/>
      <c r="G1005" s="4">
        <f t="shared" si="1"/>
        <v>1.1</v>
      </c>
      <c r="H1005" s="4" t="str">
        <f t="shared" si="2"/>
        <v>Sin precio neto</v>
      </c>
      <c r="I1005" s="4" t="str">
        <f t="shared" si="3"/>
        <v>Sin precio neto G.C.</v>
      </c>
      <c r="J1005" s="4">
        <f t="shared" si="4"/>
        <v>1.056</v>
      </c>
      <c r="K1005" s="4">
        <f t="shared" si="5"/>
        <v>1.1</v>
      </c>
      <c r="L1005" s="4">
        <f t="shared" si="6"/>
        <v>1.056</v>
      </c>
    </row>
    <row r="1006">
      <c r="A1006" s="1" t="s">
        <v>1519</v>
      </c>
      <c r="B1006" s="1" t="s">
        <v>1520</v>
      </c>
      <c r="C1006" s="3">
        <v>3.2</v>
      </c>
      <c r="D1006" s="5"/>
      <c r="E1006" s="5"/>
      <c r="F1006" s="5"/>
      <c r="G1006" s="4">
        <f t="shared" si="1"/>
        <v>1.6</v>
      </c>
      <c r="H1006" s="4" t="str">
        <f t="shared" si="2"/>
        <v>Sin precio neto</v>
      </c>
      <c r="I1006" s="4" t="str">
        <f t="shared" si="3"/>
        <v>Sin precio neto G.C.</v>
      </c>
      <c r="J1006" s="4">
        <f t="shared" si="4"/>
        <v>1.536</v>
      </c>
      <c r="K1006" s="4">
        <f t="shared" si="5"/>
        <v>1.6</v>
      </c>
      <c r="L1006" s="4">
        <f t="shared" si="6"/>
        <v>1.536</v>
      </c>
    </row>
    <row r="1007">
      <c r="A1007" s="1" t="s">
        <v>1521</v>
      </c>
      <c r="B1007" s="1" t="s">
        <v>1522</v>
      </c>
      <c r="C1007" s="3">
        <v>3.7</v>
      </c>
      <c r="D1007" s="5"/>
      <c r="E1007" s="5"/>
      <c r="F1007" s="5"/>
      <c r="G1007" s="4">
        <f t="shared" si="1"/>
        <v>1.85</v>
      </c>
      <c r="H1007" s="4" t="str">
        <f t="shared" si="2"/>
        <v>Sin precio neto</v>
      </c>
      <c r="I1007" s="4" t="str">
        <f t="shared" si="3"/>
        <v>Sin precio neto G.C.</v>
      </c>
      <c r="J1007" s="4">
        <f t="shared" si="4"/>
        <v>1.776</v>
      </c>
      <c r="K1007" s="4">
        <f t="shared" si="5"/>
        <v>1.85</v>
      </c>
      <c r="L1007" s="4">
        <f t="shared" si="6"/>
        <v>1.776</v>
      </c>
    </row>
    <row r="1008">
      <c r="A1008" s="3">
        <v>857.0</v>
      </c>
      <c r="B1008" s="1" t="s">
        <v>1523</v>
      </c>
      <c r="C1008" s="3">
        <v>2.2</v>
      </c>
      <c r="D1008" s="5"/>
      <c r="E1008" s="5"/>
      <c r="F1008" s="5"/>
      <c r="G1008" s="4">
        <f t="shared" si="1"/>
        <v>1.1</v>
      </c>
      <c r="H1008" s="4" t="str">
        <f t="shared" si="2"/>
        <v>Sin precio neto</v>
      </c>
      <c r="I1008" s="4" t="str">
        <f t="shared" si="3"/>
        <v>Sin precio neto G.C.</v>
      </c>
      <c r="J1008" s="4">
        <f t="shared" si="4"/>
        <v>1.056</v>
      </c>
      <c r="K1008" s="4">
        <f t="shared" si="5"/>
        <v>1.1</v>
      </c>
      <c r="L1008" s="4">
        <f t="shared" si="6"/>
        <v>1.056</v>
      </c>
    </row>
    <row r="1009">
      <c r="A1009" s="1" t="s">
        <v>1524</v>
      </c>
      <c r="B1009" s="1" t="s">
        <v>1525</v>
      </c>
      <c r="C1009" s="3">
        <v>3.2</v>
      </c>
      <c r="D1009" s="5"/>
      <c r="E1009" s="5"/>
      <c r="F1009" s="5"/>
      <c r="G1009" s="4">
        <f t="shared" si="1"/>
        <v>1.6</v>
      </c>
      <c r="H1009" s="4" t="str">
        <f t="shared" si="2"/>
        <v>Sin precio neto</v>
      </c>
      <c r="I1009" s="4" t="str">
        <f t="shared" si="3"/>
        <v>Sin precio neto G.C.</v>
      </c>
      <c r="J1009" s="4">
        <f t="shared" si="4"/>
        <v>1.536</v>
      </c>
      <c r="K1009" s="4">
        <f t="shared" si="5"/>
        <v>1.6</v>
      </c>
      <c r="L1009" s="4">
        <f t="shared" si="6"/>
        <v>1.536</v>
      </c>
    </row>
    <row r="1010">
      <c r="A1010" s="1" t="s">
        <v>1526</v>
      </c>
      <c r="B1010" s="1" t="s">
        <v>1527</v>
      </c>
      <c r="C1010" s="3">
        <v>3.7</v>
      </c>
      <c r="D1010" s="5"/>
      <c r="E1010" s="5"/>
      <c r="F1010" s="5"/>
      <c r="G1010" s="4">
        <f t="shared" si="1"/>
        <v>1.85</v>
      </c>
      <c r="H1010" s="4" t="str">
        <f t="shared" si="2"/>
        <v>Sin precio neto</v>
      </c>
      <c r="I1010" s="4" t="str">
        <f t="shared" si="3"/>
        <v>Sin precio neto G.C.</v>
      </c>
      <c r="J1010" s="4">
        <f t="shared" si="4"/>
        <v>1.776</v>
      </c>
      <c r="K1010" s="4">
        <f t="shared" si="5"/>
        <v>1.85</v>
      </c>
      <c r="L1010" s="4">
        <f t="shared" si="6"/>
        <v>1.776</v>
      </c>
    </row>
    <row r="1011">
      <c r="A1011" s="3">
        <v>858.0</v>
      </c>
      <c r="B1011" s="1" t="s">
        <v>1528</v>
      </c>
      <c r="C1011" s="3">
        <v>2.2</v>
      </c>
      <c r="D1011" s="5"/>
      <c r="E1011" s="5"/>
      <c r="F1011" s="5"/>
      <c r="G1011" s="4">
        <f t="shared" si="1"/>
        <v>1.1</v>
      </c>
      <c r="H1011" s="4" t="str">
        <f t="shared" si="2"/>
        <v>Sin precio neto</v>
      </c>
      <c r="I1011" s="4" t="str">
        <f t="shared" si="3"/>
        <v>Sin precio neto G.C.</v>
      </c>
      <c r="J1011" s="4">
        <f t="shared" si="4"/>
        <v>1.056</v>
      </c>
      <c r="K1011" s="4">
        <f t="shared" si="5"/>
        <v>1.1</v>
      </c>
      <c r="L1011" s="4">
        <f t="shared" si="6"/>
        <v>1.056</v>
      </c>
    </row>
    <row r="1012">
      <c r="A1012" s="1" t="s">
        <v>1529</v>
      </c>
      <c r="B1012" s="1" t="s">
        <v>1530</v>
      </c>
      <c r="C1012" s="3">
        <v>3.2</v>
      </c>
      <c r="D1012" s="5"/>
      <c r="E1012" s="5"/>
      <c r="F1012" s="5"/>
      <c r="G1012" s="4">
        <f t="shared" si="1"/>
        <v>1.6</v>
      </c>
      <c r="H1012" s="4" t="str">
        <f t="shared" si="2"/>
        <v>Sin precio neto</v>
      </c>
      <c r="I1012" s="4" t="str">
        <f t="shared" si="3"/>
        <v>Sin precio neto G.C.</v>
      </c>
      <c r="J1012" s="4">
        <f t="shared" si="4"/>
        <v>1.536</v>
      </c>
      <c r="K1012" s="4">
        <f t="shared" si="5"/>
        <v>1.6</v>
      </c>
      <c r="L1012" s="4">
        <f t="shared" si="6"/>
        <v>1.536</v>
      </c>
    </row>
    <row r="1013">
      <c r="A1013" s="1" t="s">
        <v>1531</v>
      </c>
      <c r="B1013" s="1" t="s">
        <v>1532</v>
      </c>
      <c r="C1013" s="3">
        <v>3.7</v>
      </c>
      <c r="D1013" s="5"/>
      <c r="E1013" s="5"/>
      <c r="F1013" s="5"/>
      <c r="G1013" s="4">
        <f t="shared" si="1"/>
        <v>1.85</v>
      </c>
      <c r="H1013" s="4" t="str">
        <f t="shared" si="2"/>
        <v>Sin precio neto</v>
      </c>
      <c r="I1013" s="4" t="str">
        <f t="shared" si="3"/>
        <v>Sin precio neto G.C.</v>
      </c>
      <c r="J1013" s="4">
        <f t="shared" si="4"/>
        <v>1.776</v>
      </c>
      <c r="K1013" s="4">
        <f t="shared" si="5"/>
        <v>1.85</v>
      </c>
      <c r="L1013" s="4">
        <f t="shared" si="6"/>
        <v>1.776</v>
      </c>
    </row>
    <row r="1014">
      <c r="A1014" s="3">
        <v>859.0</v>
      </c>
      <c r="B1014" s="1" t="s">
        <v>1533</v>
      </c>
      <c r="C1014" s="3">
        <v>2.2</v>
      </c>
      <c r="D1014" s="5"/>
      <c r="E1014" s="5"/>
      <c r="F1014" s="5"/>
      <c r="G1014" s="4">
        <f t="shared" si="1"/>
        <v>1.1</v>
      </c>
      <c r="H1014" s="4" t="str">
        <f t="shared" si="2"/>
        <v>Sin precio neto</v>
      </c>
      <c r="I1014" s="4" t="str">
        <f t="shared" si="3"/>
        <v>Sin precio neto G.C.</v>
      </c>
      <c r="J1014" s="4">
        <f t="shared" si="4"/>
        <v>1.056</v>
      </c>
      <c r="K1014" s="4">
        <f t="shared" si="5"/>
        <v>1.1</v>
      </c>
      <c r="L1014" s="4">
        <f t="shared" si="6"/>
        <v>1.056</v>
      </c>
    </row>
    <row r="1015">
      <c r="A1015" s="1" t="s">
        <v>1534</v>
      </c>
      <c r="B1015" s="1" t="s">
        <v>1535</v>
      </c>
      <c r="C1015" s="3">
        <v>3.2</v>
      </c>
      <c r="D1015" s="5"/>
      <c r="E1015" s="5"/>
      <c r="F1015" s="5"/>
      <c r="G1015" s="4">
        <f t="shared" si="1"/>
        <v>1.6</v>
      </c>
      <c r="H1015" s="4" t="str">
        <f t="shared" si="2"/>
        <v>Sin precio neto</v>
      </c>
      <c r="I1015" s="4" t="str">
        <f t="shared" si="3"/>
        <v>Sin precio neto G.C.</v>
      </c>
      <c r="J1015" s="4">
        <f t="shared" si="4"/>
        <v>1.536</v>
      </c>
      <c r="K1015" s="4">
        <f t="shared" si="5"/>
        <v>1.6</v>
      </c>
      <c r="L1015" s="4">
        <f t="shared" si="6"/>
        <v>1.536</v>
      </c>
    </row>
    <row r="1016">
      <c r="A1016" s="1" t="s">
        <v>1536</v>
      </c>
      <c r="B1016" s="1" t="s">
        <v>1537</v>
      </c>
      <c r="C1016" s="3">
        <v>3.7</v>
      </c>
      <c r="D1016" s="5"/>
      <c r="E1016" s="5"/>
      <c r="F1016" s="5"/>
      <c r="G1016" s="4">
        <f t="shared" si="1"/>
        <v>1.85</v>
      </c>
      <c r="H1016" s="4" t="str">
        <f t="shared" si="2"/>
        <v>Sin precio neto</v>
      </c>
      <c r="I1016" s="4" t="str">
        <f t="shared" si="3"/>
        <v>Sin precio neto G.C.</v>
      </c>
      <c r="J1016" s="4">
        <f t="shared" si="4"/>
        <v>1.776</v>
      </c>
      <c r="K1016" s="4">
        <f t="shared" si="5"/>
        <v>1.85</v>
      </c>
      <c r="L1016" s="4">
        <f t="shared" si="6"/>
        <v>1.776</v>
      </c>
    </row>
    <row r="1017">
      <c r="A1017" s="3">
        <v>860.0</v>
      </c>
      <c r="B1017" s="1" t="s">
        <v>1538</v>
      </c>
      <c r="C1017" s="3">
        <v>2.2</v>
      </c>
      <c r="D1017" s="5"/>
      <c r="E1017" s="5"/>
      <c r="F1017" s="5"/>
      <c r="G1017" s="4">
        <f t="shared" si="1"/>
        <v>1.1</v>
      </c>
      <c r="H1017" s="4" t="str">
        <f t="shared" si="2"/>
        <v>Sin precio neto</v>
      </c>
      <c r="I1017" s="4" t="str">
        <f t="shared" si="3"/>
        <v>Sin precio neto G.C.</v>
      </c>
      <c r="J1017" s="4">
        <f t="shared" si="4"/>
        <v>1.056</v>
      </c>
      <c r="K1017" s="4">
        <f t="shared" si="5"/>
        <v>1.1</v>
      </c>
      <c r="L1017" s="4">
        <f t="shared" si="6"/>
        <v>1.056</v>
      </c>
    </row>
    <row r="1018">
      <c r="A1018" s="1" t="s">
        <v>1539</v>
      </c>
      <c r="B1018" s="1" t="s">
        <v>1540</v>
      </c>
      <c r="C1018" s="3">
        <v>3.2</v>
      </c>
      <c r="D1018" s="5"/>
      <c r="E1018" s="5"/>
      <c r="F1018" s="5"/>
      <c r="G1018" s="4">
        <f t="shared" si="1"/>
        <v>1.6</v>
      </c>
      <c r="H1018" s="4" t="str">
        <f t="shared" si="2"/>
        <v>Sin precio neto</v>
      </c>
      <c r="I1018" s="4" t="str">
        <f t="shared" si="3"/>
        <v>Sin precio neto G.C.</v>
      </c>
      <c r="J1018" s="4">
        <f t="shared" si="4"/>
        <v>1.536</v>
      </c>
      <c r="K1018" s="4">
        <f t="shared" si="5"/>
        <v>1.6</v>
      </c>
      <c r="L1018" s="4">
        <f t="shared" si="6"/>
        <v>1.536</v>
      </c>
    </row>
    <row r="1019">
      <c r="A1019" s="1" t="s">
        <v>1541</v>
      </c>
      <c r="B1019" s="1" t="s">
        <v>1542</v>
      </c>
      <c r="C1019" s="3">
        <v>3.7</v>
      </c>
      <c r="D1019" s="5"/>
      <c r="E1019" s="5"/>
      <c r="F1019" s="5"/>
      <c r="G1019" s="4">
        <f t="shared" si="1"/>
        <v>1.85</v>
      </c>
      <c r="H1019" s="4" t="str">
        <f t="shared" si="2"/>
        <v>Sin precio neto</v>
      </c>
      <c r="I1019" s="4" t="str">
        <f t="shared" si="3"/>
        <v>Sin precio neto G.C.</v>
      </c>
      <c r="J1019" s="4">
        <f t="shared" si="4"/>
        <v>1.776</v>
      </c>
      <c r="K1019" s="4">
        <f t="shared" si="5"/>
        <v>1.85</v>
      </c>
      <c r="L1019" s="4">
        <f t="shared" si="6"/>
        <v>1.776</v>
      </c>
    </row>
    <row r="1020">
      <c r="A1020" s="3">
        <v>861.0</v>
      </c>
      <c r="B1020" s="1" t="s">
        <v>1543</v>
      </c>
      <c r="C1020" s="3">
        <v>4.96</v>
      </c>
      <c r="D1020" s="3">
        <v>1.8</v>
      </c>
      <c r="E1020" s="3">
        <v>1.75</v>
      </c>
      <c r="F1020" s="3">
        <v>1.0</v>
      </c>
      <c r="G1020" s="4">
        <f t="shared" si="1"/>
        <v>2.48</v>
      </c>
      <c r="H1020" s="4" t="str">
        <f t="shared" si="2"/>
        <v>Neto: 1,80 € (a partir de 1 uds.)</v>
      </c>
      <c r="I1020" s="4" t="str">
        <f t="shared" si="3"/>
        <v>Neto G.C.: 1,75 € (a partir de 1 uds.)</v>
      </c>
      <c r="J1020" s="4">
        <f t="shared" si="4"/>
        <v>2.3808</v>
      </c>
      <c r="K1020" s="4">
        <f t="shared" si="5"/>
        <v>2.48</v>
      </c>
      <c r="L1020" s="4">
        <f t="shared" si="6"/>
        <v>2.3808</v>
      </c>
    </row>
    <row r="1021">
      <c r="A1021" s="1" t="s">
        <v>1544</v>
      </c>
      <c r="B1021" s="1" t="s">
        <v>1545</v>
      </c>
      <c r="C1021" s="3">
        <v>2.5</v>
      </c>
      <c r="D1021" s="5"/>
      <c r="E1021" s="5"/>
      <c r="F1021" s="5"/>
      <c r="G1021" s="4">
        <f t="shared" si="1"/>
        <v>1.25</v>
      </c>
      <c r="H1021" s="4" t="str">
        <f t="shared" si="2"/>
        <v>Sin precio neto</v>
      </c>
      <c r="I1021" s="4" t="str">
        <f t="shared" si="3"/>
        <v>Sin precio neto G.C.</v>
      </c>
      <c r="J1021" s="4">
        <f t="shared" si="4"/>
        <v>1.2</v>
      </c>
      <c r="K1021" s="4">
        <f t="shared" si="5"/>
        <v>1.25</v>
      </c>
      <c r="L1021" s="4">
        <f t="shared" si="6"/>
        <v>1.2</v>
      </c>
    </row>
    <row r="1022">
      <c r="A1022" s="1" t="s">
        <v>1546</v>
      </c>
      <c r="B1022" s="1" t="s">
        <v>1547</v>
      </c>
      <c r="C1022" s="3">
        <v>3.2</v>
      </c>
      <c r="D1022" s="3">
        <v>1.2</v>
      </c>
      <c r="E1022" s="3">
        <v>1.2</v>
      </c>
      <c r="F1022" s="3">
        <v>1.0</v>
      </c>
      <c r="G1022" s="4">
        <f t="shared" si="1"/>
        <v>1.6</v>
      </c>
      <c r="H1022" s="4" t="str">
        <f t="shared" si="2"/>
        <v>Neto: 1,20 € (a partir de 1 uds.)</v>
      </c>
      <c r="I1022" s="4" t="str">
        <f t="shared" si="3"/>
        <v>Neto G.C.: 1,20 € (a partir de 1 uds.)</v>
      </c>
      <c r="J1022" s="4">
        <f t="shared" si="4"/>
        <v>1.536</v>
      </c>
      <c r="K1022" s="4">
        <f t="shared" si="5"/>
        <v>1.6</v>
      </c>
      <c r="L1022" s="4">
        <f t="shared" si="6"/>
        <v>1.536</v>
      </c>
    </row>
    <row r="1023">
      <c r="A1023" s="3">
        <v>862.0</v>
      </c>
      <c r="B1023" s="1" t="s">
        <v>1548</v>
      </c>
      <c r="C1023" s="3">
        <v>4.96</v>
      </c>
      <c r="D1023" s="3">
        <v>1.8</v>
      </c>
      <c r="E1023" s="3">
        <v>1.75</v>
      </c>
      <c r="F1023" s="3">
        <v>1.0</v>
      </c>
      <c r="G1023" s="4">
        <f t="shared" si="1"/>
        <v>2.48</v>
      </c>
      <c r="H1023" s="4" t="str">
        <f t="shared" si="2"/>
        <v>Neto: 1,80 € (a partir de 1 uds.)</v>
      </c>
      <c r="I1023" s="4" t="str">
        <f t="shared" si="3"/>
        <v>Neto G.C.: 1,75 € (a partir de 1 uds.)</v>
      </c>
      <c r="J1023" s="4">
        <f t="shared" si="4"/>
        <v>2.3808</v>
      </c>
      <c r="K1023" s="4">
        <f t="shared" si="5"/>
        <v>2.48</v>
      </c>
      <c r="L1023" s="4">
        <f t="shared" si="6"/>
        <v>2.3808</v>
      </c>
    </row>
    <row r="1024">
      <c r="A1024" s="1" t="s">
        <v>1549</v>
      </c>
      <c r="B1024" s="1" t="s">
        <v>1550</v>
      </c>
      <c r="C1024" s="3">
        <v>2.5</v>
      </c>
      <c r="D1024" s="5"/>
      <c r="E1024" s="5"/>
      <c r="F1024" s="5"/>
      <c r="G1024" s="4">
        <f t="shared" si="1"/>
        <v>1.25</v>
      </c>
      <c r="H1024" s="4" t="str">
        <f t="shared" si="2"/>
        <v>Sin precio neto</v>
      </c>
      <c r="I1024" s="4" t="str">
        <f t="shared" si="3"/>
        <v>Sin precio neto G.C.</v>
      </c>
      <c r="J1024" s="4">
        <f t="shared" si="4"/>
        <v>1.2</v>
      </c>
      <c r="K1024" s="4">
        <f t="shared" si="5"/>
        <v>1.25</v>
      </c>
      <c r="L1024" s="4">
        <f t="shared" si="6"/>
        <v>1.2</v>
      </c>
    </row>
    <row r="1025">
      <c r="A1025" s="1" t="s">
        <v>1551</v>
      </c>
      <c r="B1025" s="1" t="s">
        <v>1552</v>
      </c>
      <c r="C1025" s="3">
        <v>3.2</v>
      </c>
      <c r="D1025" s="3">
        <v>1.2</v>
      </c>
      <c r="E1025" s="3">
        <v>1.2</v>
      </c>
      <c r="F1025" s="3">
        <v>1.0</v>
      </c>
      <c r="G1025" s="4">
        <f t="shared" si="1"/>
        <v>1.6</v>
      </c>
      <c r="H1025" s="4" t="str">
        <f t="shared" si="2"/>
        <v>Neto: 1,20 € (a partir de 1 uds.)</v>
      </c>
      <c r="I1025" s="4" t="str">
        <f t="shared" si="3"/>
        <v>Neto G.C.: 1,20 € (a partir de 1 uds.)</v>
      </c>
      <c r="J1025" s="4">
        <f t="shared" si="4"/>
        <v>1.536</v>
      </c>
      <c r="K1025" s="4">
        <f t="shared" si="5"/>
        <v>1.6</v>
      </c>
      <c r="L1025" s="4">
        <f t="shared" si="6"/>
        <v>1.536</v>
      </c>
    </row>
    <row r="1026">
      <c r="A1026" s="3">
        <v>863.0</v>
      </c>
      <c r="B1026" s="1" t="s">
        <v>1553</v>
      </c>
      <c r="C1026" s="3">
        <v>4.96</v>
      </c>
      <c r="D1026" s="3">
        <v>1.8</v>
      </c>
      <c r="E1026" s="3">
        <v>1.75</v>
      </c>
      <c r="F1026" s="3">
        <v>1.0</v>
      </c>
      <c r="G1026" s="4">
        <f t="shared" si="1"/>
        <v>2.48</v>
      </c>
      <c r="H1026" s="4" t="str">
        <f t="shared" si="2"/>
        <v>Neto: 1,80 € (a partir de 1 uds.)</v>
      </c>
      <c r="I1026" s="4" t="str">
        <f t="shared" si="3"/>
        <v>Neto G.C.: 1,75 € (a partir de 1 uds.)</v>
      </c>
      <c r="J1026" s="4">
        <f t="shared" si="4"/>
        <v>2.3808</v>
      </c>
      <c r="K1026" s="4">
        <f t="shared" si="5"/>
        <v>2.48</v>
      </c>
      <c r="L1026" s="4">
        <f t="shared" si="6"/>
        <v>2.3808</v>
      </c>
    </row>
    <row r="1027">
      <c r="A1027" s="1" t="s">
        <v>1554</v>
      </c>
      <c r="B1027" s="1" t="s">
        <v>1555</v>
      </c>
      <c r="C1027" s="3">
        <v>2.5</v>
      </c>
      <c r="D1027" s="5"/>
      <c r="E1027" s="5"/>
      <c r="F1027" s="5"/>
      <c r="G1027" s="4">
        <f t="shared" si="1"/>
        <v>1.25</v>
      </c>
      <c r="H1027" s="4" t="str">
        <f t="shared" si="2"/>
        <v>Sin precio neto</v>
      </c>
      <c r="I1027" s="4" t="str">
        <f t="shared" si="3"/>
        <v>Sin precio neto G.C.</v>
      </c>
      <c r="J1027" s="4">
        <f t="shared" si="4"/>
        <v>1.2</v>
      </c>
      <c r="K1027" s="4">
        <f t="shared" si="5"/>
        <v>1.25</v>
      </c>
      <c r="L1027" s="4">
        <f t="shared" si="6"/>
        <v>1.2</v>
      </c>
    </row>
    <row r="1028">
      <c r="A1028" s="1" t="s">
        <v>1556</v>
      </c>
      <c r="B1028" s="1" t="s">
        <v>1557</v>
      </c>
      <c r="C1028" s="3">
        <v>3.2</v>
      </c>
      <c r="D1028" s="3">
        <v>1.2</v>
      </c>
      <c r="E1028" s="3">
        <v>1.2</v>
      </c>
      <c r="F1028" s="3">
        <v>1.0</v>
      </c>
      <c r="G1028" s="4">
        <f t="shared" si="1"/>
        <v>1.6</v>
      </c>
      <c r="H1028" s="4" t="str">
        <f t="shared" si="2"/>
        <v>Neto: 1,20 € (a partir de 1 uds.)</v>
      </c>
      <c r="I1028" s="4" t="str">
        <f t="shared" si="3"/>
        <v>Neto G.C.: 1,20 € (a partir de 1 uds.)</v>
      </c>
      <c r="J1028" s="4">
        <f t="shared" si="4"/>
        <v>1.536</v>
      </c>
      <c r="K1028" s="4">
        <f t="shared" si="5"/>
        <v>1.6</v>
      </c>
      <c r="L1028" s="4">
        <f t="shared" si="6"/>
        <v>1.536</v>
      </c>
    </row>
    <row r="1029">
      <c r="A1029" s="3">
        <v>864.0</v>
      </c>
      <c r="B1029" s="1" t="s">
        <v>1558</v>
      </c>
      <c r="C1029" s="3">
        <v>4.96</v>
      </c>
      <c r="D1029" s="3">
        <v>1.8</v>
      </c>
      <c r="E1029" s="3">
        <v>1.75</v>
      </c>
      <c r="F1029" s="3">
        <v>1.0</v>
      </c>
      <c r="G1029" s="4">
        <f t="shared" si="1"/>
        <v>2.48</v>
      </c>
      <c r="H1029" s="4" t="str">
        <f t="shared" si="2"/>
        <v>Neto: 1,80 € (a partir de 1 uds.)</v>
      </c>
      <c r="I1029" s="4" t="str">
        <f t="shared" si="3"/>
        <v>Neto G.C.: 1,75 € (a partir de 1 uds.)</v>
      </c>
      <c r="J1029" s="4">
        <f t="shared" si="4"/>
        <v>2.3808</v>
      </c>
      <c r="K1029" s="4">
        <f t="shared" si="5"/>
        <v>2.48</v>
      </c>
      <c r="L1029" s="4">
        <f t="shared" si="6"/>
        <v>2.3808</v>
      </c>
    </row>
    <row r="1030">
      <c r="A1030" s="1" t="s">
        <v>1559</v>
      </c>
      <c r="B1030" s="1" t="s">
        <v>1560</v>
      </c>
      <c r="C1030" s="3">
        <v>2.5</v>
      </c>
      <c r="D1030" s="5"/>
      <c r="E1030" s="5"/>
      <c r="F1030" s="5"/>
      <c r="G1030" s="4">
        <f t="shared" si="1"/>
        <v>1.25</v>
      </c>
      <c r="H1030" s="4" t="str">
        <f t="shared" si="2"/>
        <v>Sin precio neto</v>
      </c>
      <c r="I1030" s="4" t="str">
        <f t="shared" si="3"/>
        <v>Sin precio neto G.C.</v>
      </c>
      <c r="J1030" s="4">
        <f t="shared" si="4"/>
        <v>1.2</v>
      </c>
      <c r="K1030" s="4">
        <f t="shared" si="5"/>
        <v>1.25</v>
      </c>
      <c r="L1030" s="4">
        <f t="shared" si="6"/>
        <v>1.2</v>
      </c>
    </row>
    <row r="1031">
      <c r="A1031" s="1" t="s">
        <v>1561</v>
      </c>
      <c r="B1031" s="1" t="s">
        <v>1562</v>
      </c>
      <c r="C1031" s="3">
        <v>3.2</v>
      </c>
      <c r="D1031" s="3">
        <v>1.2</v>
      </c>
      <c r="E1031" s="3">
        <v>1.2</v>
      </c>
      <c r="F1031" s="3">
        <v>1.0</v>
      </c>
      <c r="G1031" s="4">
        <f t="shared" si="1"/>
        <v>1.6</v>
      </c>
      <c r="H1031" s="4" t="str">
        <f t="shared" si="2"/>
        <v>Neto: 1,20 € (a partir de 1 uds.)</v>
      </c>
      <c r="I1031" s="4" t="str">
        <f t="shared" si="3"/>
        <v>Neto G.C.: 1,20 € (a partir de 1 uds.)</v>
      </c>
      <c r="J1031" s="4">
        <f t="shared" si="4"/>
        <v>1.536</v>
      </c>
      <c r="K1031" s="4">
        <f t="shared" si="5"/>
        <v>1.6</v>
      </c>
      <c r="L1031" s="4">
        <f t="shared" si="6"/>
        <v>1.536</v>
      </c>
    </row>
    <row r="1032">
      <c r="A1032" s="3">
        <v>865.0</v>
      </c>
      <c r="B1032" s="1" t="s">
        <v>1563</v>
      </c>
      <c r="C1032" s="3">
        <v>4.96</v>
      </c>
      <c r="D1032" s="3">
        <v>1.8</v>
      </c>
      <c r="E1032" s="3">
        <v>1.75</v>
      </c>
      <c r="F1032" s="3">
        <v>1.0</v>
      </c>
      <c r="G1032" s="4">
        <f t="shared" si="1"/>
        <v>2.48</v>
      </c>
      <c r="H1032" s="4" t="str">
        <f t="shared" si="2"/>
        <v>Neto: 1,80 € (a partir de 1 uds.)</v>
      </c>
      <c r="I1032" s="4" t="str">
        <f t="shared" si="3"/>
        <v>Neto G.C.: 1,75 € (a partir de 1 uds.)</v>
      </c>
      <c r="J1032" s="4">
        <f t="shared" si="4"/>
        <v>2.3808</v>
      </c>
      <c r="K1032" s="4">
        <f t="shared" si="5"/>
        <v>2.48</v>
      </c>
      <c r="L1032" s="4">
        <f t="shared" si="6"/>
        <v>2.3808</v>
      </c>
    </row>
    <row r="1033">
      <c r="A1033" s="1" t="s">
        <v>1564</v>
      </c>
      <c r="B1033" s="1" t="s">
        <v>1565</v>
      </c>
      <c r="C1033" s="3">
        <v>2.5</v>
      </c>
      <c r="D1033" s="5"/>
      <c r="E1033" s="5"/>
      <c r="F1033" s="5"/>
      <c r="G1033" s="4">
        <f t="shared" si="1"/>
        <v>1.25</v>
      </c>
      <c r="H1033" s="4" t="str">
        <f t="shared" si="2"/>
        <v>Sin precio neto</v>
      </c>
      <c r="I1033" s="4" t="str">
        <f t="shared" si="3"/>
        <v>Sin precio neto G.C.</v>
      </c>
      <c r="J1033" s="4">
        <f t="shared" si="4"/>
        <v>1.2</v>
      </c>
      <c r="K1033" s="4">
        <f t="shared" si="5"/>
        <v>1.25</v>
      </c>
      <c r="L1033" s="4">
        <f t="shared" si="6"/>
        <v>1.2</v>
      </c>
    </row>
    <row r="1034">
      <c r="A1034" s="1" t="s">
        <v>1566</v>
      </c>
      <c r="B1034" s="1" t="s">
        <v>1567</v>
      </c>
      <c r="C1034" s="3">
        <v>3.2</v>
      </c>
      <c r="D1034" s="3">
        <v>1.2</v>
      </c>
      <c r="E1034" s="3">
        <v>1.2</v>
      </c>
      <c r="F1034" s="3">
        <v>1.0</v>
      </c>
      <c r="G1034" s="4">
        <f t="shared" si="1"/>
        <v>1.6</v>
      </c>
      <c r="H1034" s="4" t="str">
        <f t="shared" si="2"/>
        <v>Neto: 1,20 € (a partir de 1 uds.)</v>
      </c>
      <c r="I1034" s="4" t="str">
        <f t="shared" si="3"/>
        <v>Neto G.C.: 1,20 € (a partir de 1 uds.)</v>
      </c>
      <c r="J1034" s="4">
        <f t="shared" si="4"/>
        <v>1.536</v>
      </c>
      <c r="K1034" s="4">
        <f t="shared" si="5"/>
        <v>1.6</v>
      </c>
      <c r="L1034" s="4">
        <f t="shared" si="6"/>
        <v>1.536</v>
      </c>
    </row>
    <row r="1035">
      <c r="A1035" s="3">
        <v>866.0</v>
      </c>
      <c r="B1035" s="1" t="s">
        <v>1568</v>
      </c>
      <c r="C1035" s="3">
        <v>4.96</v>
      </c>
      <c r="D1035" s="3">
        <v>1.8</v>
      </c>
      <c r="E1035" s="3">
        <v>1.75</v>
      </c>
      <c r="F1035" s="3">
        <v>1.0</v>
      </c>
      <c r="G1035" s="4">
        <f t="shared" si="1"/>
        <v>2.48</v>
      </c>
      <c r="H1035" s="4" t="str">
        <f t="shared" si="2"/>
        <v>Neto: 1,80 € (a partir de 1 uds.)</v>
      </c>
      <c r="I1035" s="4" t="str">
        <f t="shared" si="3"/>
        <v>Neto G.C.: 1,75 € (a partir de 1 uds.)</v>
      </c>
      <c r="J1035" s="4">
        <f t="shared" si="4"/>
        <v>2.3808</v>
      </c>
      <c r="K1035" s="4">
        <f t="shared" si="5"/>
        <v>2.48</v>
      </c>
      <c r="L1035" s="4">
        <f t="shared" si="6"/>
        <v>2.3808</v>
      </c>
    </row>
    <row r="1036">
      <c r="A1036" s="1" t="s">
        <v>1569</v>
      </c>
      <c r="B1036" s="1" t="s">
        <v>1570</v>
      </c>
      <c r="C1036" s="3">
        <v>2.5</v>
      </c>
      <c r="D1036" s="5"/>
      <c r="E1036" s="5"/>
      <c r="F1036" s="5"/>
      <c r="G1036" s="4">
        <f t="shared" si="1"/>
        <v>1.25</v>
      </c>
      <c r="H1036" s="4" t="str">
        <f t="shared" si="2"/>
        <v>Sin precio neto</v>
      </c>
      <c r="I1036" s="4" t="str">
        <f t="shared" si="3"/>
        <v>Sin precio neto G.C.</v>
      </c>
      <c r="J1036" s="4">
        <f t="shared" si="4"/>
        <v>1.2</v>
      </c>
      <c r="K1036" s="4">
        <f t="shared" si="5"/>
        <v>1.25</v>
      </c>
      <c r="L1036" s="4">
        <f t="shared" si="6"/>
        <v>1.2</v>
      </c>
    </row>
    <row r="1037">
      <c r="A1037" s="1" t="s">
        <v>1571</v>
      </c>
      <c r="B1037" s="1" t="s">
        <v>1572</v>
      </c>
      <c r="C1037" s="3">
        <v>3.2</v>
      </c>
      <c r="D1037" s="3">
        <v>1.2</v>
      </c>
      <c r="E1037" s="3">
        <v>1.2</v>
      </c>
      <c r="F1037" s="3">
        <v>1.0</v>
      </c>
      <c r="G1037" s="4">
        <f t="shared" si="1"/>
        <v>1.6</v>
      </c>
      <c r="H1037" s="4" t="str">
        <f t="shared" si="2"/>
        <v>Neto: 1,20 € (a partir de 1 uds.)</v>
      </c>
      <c r="I1037" s="4" t="str">
        <f t="shared" si="3"/>
        <v>Neto G.C.: 1,20 € (a partir de 1 uds.)</v>
      </c>
      <c r="J1037" s="4">
        <f t="shared" si="4"/>
        <v>1.536</v>
      </c>
      <c r="K1037" s="4">
        <f t="shared" si="5"/>
        <v>1.6</v>
      </c>
      <c r="L1037" s="4">
        <f t="shared" si="6"/>
        <v>1.536</v>
      </c>
    </row>
    <row r="1038">
      <c r="A1038" s="3">
        <v>867.0</v>
      </c>
      <c r="B1038" s="1" t="s">
        <v>1573</v>
      </c>
      <c r="C1038" s="3">
        <v>4.96</v>
      </c>
      <c r="D1038" s="3">
        <v>1.8</v>
      </c>
      <c r="E1038" s="3">
        <v>1.75</v>
      </c>
      <c r="F1038" s="3">
        <v>1.0</v>
      </c>
      <c r="G1038" s="4">
        <f t="shared" si="1"/>
        <v>2.48</v>
      </c>
      <c r="H1038" s="4" t="str">
        <f t="shared" si="2"/>
        <v>Neto: 1,80 € (a partir de 1 uds.)</v>
      </c>
      <c r="I1038" s="4" t="str">
        <f t="shared" si="3"/>
        <v>Neto G.C.: 1,75 € (a partir de 1 uds.)</v>
      </c>
      <c r="J1038" s="4">
        <f t="shared" si="4"/>
        <v>2.3808</v>
      </c>
      <c r="K1038" s="4">
        <f t="shared" si="5"/>
        <v>2.48</v>
      </c>
      <c r="L1038" s="4">
        <f t="shared" si="6"/>
        <v>2.3808</v>
      </c>
    </row>
    <row r="1039">
      <c r="A1039" s="1" t="s">
        <v>1574</v>
      </c>
      <c r="B1039" s="1" t="s">
        <v>1575</v>
      </c>
      <c r="C1039" s="3">
        <v>2.5</v>
      </c>
      <c r="D1039" s="5"/>
      <c r="E1039" s="5"/>
      <c r="F1039" s="5"/>
      <c r="G1039" s="4">
        <f t="shared" si="1"/>
        <v>1.25</v>
      </c>
      <c r="H1039" s="4" t="str">
        <f t="shared" si="2"/>
        <v>Sin precio neto</v>
      </c>
      <c r="I1039" s="4" t="str">
        <f t="shared" si="3"/>
        <v>Sin precio neto G.C.</v>
      </c>
      <c r="J1039" s="4">
        <f t="shared" si="4"/>
        <v>1.2</v>
      </c>
      <c r="K1039" s="4">
        <f t="shared" si="5"/>
        <v>1.25</v>
      </c>
      <c r="L1039" s="4">
        <f t="shared" si="6"/>
        <v>1.2</v>
      </c>
    </row>
    <row r="1040">
      <c r="A1040" s="1" t="s">
        <v>1576</v>
      </c>
      <c r="B1040" s="1" t="s">
        <v>1577</v>
      </c>
      <c r="C1040" s="3">
        <v>3.2</v>
      </c>
      <c r="D1040" s="3">
        <v>1.2</v>
      </c>
      <c r="E1040" s="3">
        <v>1.2</v>
      </c>
      <c r="F1040" s="3">
        <v>1.0</v>
      </c>
      <c r="G1040" s="4">
        <f t="shared" si="1"/>
        <v>1.6</v>
      </c>
      <c r="H1040" s="4" t="str">
        <f t="shared" si="2"/>
        <v>Neto: 1,20 € (a partir de 1 uds.)</v>
      </c>
      <c r="I1040" s="4" t="str">
        <f t="shared" si="3"/>
        <v>Neto G.C.: 1,20 € (a partir de 1 uds.)</v>
      </c>
      <c r="J1040" s="4">
        <f t="shared" si="4"/>
        <v>1.536</v>
      </c>
      <c r="K1040" s="4">
        <f t="shared" si="5"/>
        <v>1.6</v>
      </c>
      <c r="L1040" s="4">
        <f t="shared" si="6"/>
        <v>1.536</v>
      </c>
    </row>
    <row r="1041">
      <c r="A1041" s="3">
        <v>868.0</v>
      </c>
      <c r="B1041" s="1" t="s">
        <v>1578</v>
      </c>
      <c r="C1041" s="3">
        <v>4.96</v>
      </c>
      <c r="D1041" s="3">
        <v>1.8</v>
      </c>
      <c r="E1041" s="3">
        <v>1.75</v>
      </c>
      <c r="F1041" s="3">
        <v>1.0</v>
      </c>
      <c r="G1041" s="4">
        <f t="shared" si="1"/>
        <v>2.48</v>
      </c>
      <c r="H1041" s="4" t="str">
        <f t="shared" si="2"/>
        <v>Neto: 1,80 € (a partir de 1 uds.)</v>
      </c>
      <c r="I1041" s="4" t="str">
        <f t="shared" si="3"/>
        <v>Neto G.C.: 1,75 € (a partir de 1 uds.)</v>
      </c>
      <c r="J1041" s="4">
        <f t="shared" si="4"/>
        <v>2.3808</v>
      </c>
      <c r="K1041" s="4">
        <f t="shared" si="5"/>
        <v>2.48</v>
      </c>
      <c r="L1041" s="4">
        <f t="shared" si="6"/>
        <v>2.3808</v>
      </c>
    </row>
    <row r="1042">
      <c r="A1042" s="1" t="s">
        <v>1579</v>
      </c>
      <c r="B1042" s="1" t="s">
        <v>1580</v>
      </c>
      <c r="C1042" s="3">
        <v>2.5</v>
      </c>
      <c r="D1042" s="5"/>
      <c r="E1042" s="5"/>
      <c r="F1042" s="5"/>
      <c r="G1042" s="4">
        <f t="shared" si="1"/>
        <v>1.25</v>
      </c>
      <c r="H1042" s="4" t="str">
        <f t="shared" si="2"/>
        <v>Sin precio neto</v>
      </c>
      <c r="I1042" s="4" t="str">
        <f t="shared" si="3"/>
        <v>Sin precio neto G.C.</v>
      </c>
      <c r="J1042" s="4">
        <f t="shared" si="4"/>
        <v>1.2</v>
      </c>
      <c r="K1042" s="4">
        <f t="shared" si="5"/>
        <v>1.25</v>
      </c>
      <c r="L1042" s="4">
        <f t="shared" si="6"/>
        <v>1.2</v>
      </c>
    </row>
    <row r="1043">
      <c r="A1043" s="1" t="s">
        <v>1581</v>
      </c>
      <c r="B1043" s="1" t="s">
        <v>1582</v>
      </c>
      <c r="C1043" s="3">
        <v>3.2</v>
      </c>
      <c r="D1043" s="3">
        <v>1.2</v>
      </c>
      <c r="E1043" s="3">
        <v>1.2</v>
      </c>
      <c r="F1043" s="3">
        <v>1.0</v>
      </c>
      <c r="G1043" s="4">
        <f t="shared" si="1"/>
        <v>1.6</v>
      </c>
      <c r="H1043" s="4" t="str">
        <f t="shared" si="2"/>
        <v>Neto: 1,20 € (a partir de 1 uds.)</v>
      </c>
      <c r="I1043" s="4" t="str">
        <f t="shared" si="3"/>
        <v>Neto G.C.: 1,20 € (a partir de 1 uds.)</v>
      </c>
      <c r="J1043" s="4">
        <f t="shared" si="4"/>
        <v>1.536</v>
      </c>
      <c r="K1043" s="4">
        <f t="shared" si="5"/>
        <v>1.6</v>
      </c>
      <c r="L1043" s="4">
        <f t="shared" si="6"/>
        <v>1.536</v>
      </c>
    </row>
    <row r="1044">
      <c r="A1044" s="3">
        <v>869.0</v>
      </c>
      <c r="B1044" s="1" t="s">
        <v>1583</v>
      </c>
      <c r="C1044" s="3">
        <v>4.96</v>
      </c>
      <c r="D1044" s="3">
        <v>1.8</v>
      </c>
      <c r="E1044" s="3">
        <v>1.75</v>
      </c>
      <c r="F1044" s="3">
        <v>1.0</v>
      </c>
      <c r="G1044" s="4">
        <f t="shared" si="1"/>
        <v>2.48</v>
      </c>
      <c r="H1044" s="4" t="str">
        <f t="shared" si="2"/>
        <v>Neto: 1,80 € (a partir de 1 uds.)</v>
      </c>
      <c r="I1044" s="4" t="str">
        <f t="shared" si="3"/>
        <v>Neto G.C.: 1,75 € (a partir de 1 uds.)</v>
      </c>
      <c r="J1044" s="4">
        <f t="shared" si="4"/>
        <v>2.3808</v>
      </c>
      <c r="K1044" s="4">
        <f t="shared" si="5"/>
        <v>2.48</v>
      </c>
      <c r="L1044" s="4">
        <f t="shared" si="6"/>
        <v>2.3808</v>
      </c>
    </row>
    <row r="1045">
      <c r="A1045" s="1" t="s">
        <v>1584</v>
      </c>
      <c r="B1045" s="1" t="s">
        <v>1585</v>
      </c>
      <c r="C1045" s="3">
        <v>2.5</v>
      </c>
      <c r="D1045" s="5"/>
      <c r="E1045" s="5"/>
      <c r="F1045" s="5"/>
      <c r="G1045" s="4">
        <f t="shared" si="1"/>
        <v>1.25</v>
      </c>
      <c r="H1045" s="4" t="str">
        <f t="shared" si="2"/>
        <v>Sin precio neto</v>
      </c>
      <c r="I1045" s="4" t="str">
        <f t="shared" si="3"/>
        <v>Sin precio neto G.C.</v>
      </c>
      <c r="J1045" s="4">
        <f t="shared" si="4"/>
        <v>1.2</v>
      </c>
      <c r="K1045" s="4">
        <f t="shared" si="5"/>
        <v>1.25</v>
      </c>
      <c r="L1045" s="4">
        <f t="shared" si="6"/>
        <v>1.2</v>
      </c>
    </row>
    <row r="1046">
      <c r="A1046" s="1" t="s">
        <v>1586</v>
      </c>
      <c r="B1046" s="1" t="s">
        <v>1587</v>
      </c>
      <c r="C1046" s="3">
        <v>3.2</v>
      </c>
      <c r="D1046" s="3">
        <v>1.2</v>
      </c>
      <c r="E1046" s="3">
        <v>1.2</v>
      </c>
      <c r="F1046" s="3">
        <v>1.0</v>
      </c>
      <c r="G1046" s="4">
        <f t="shared" si="1"/>
        <v>1.6</v>
      </c>
      <c r="H1046" s="4" t="str">
        <f t="shared" si="2"/>
        <v>Neto: 1,20 € (a partir de 1 uds.)</v>
      </c>
      <c r="I1046" s="4" t="str">
        <f t="shared" si="3"/>
        <v>Neto G.C.: 1,20 € (a partir de 1 uds.)</v>
      </c>
      <c r="J1046" s="4">
        <f t="shared" si="4"/>
        <v>1.536</v>
      </c>
      <c r="K1046" s="4">
        <f t="shared" si="5"/>
        <v>1.6</v>
      </c>
      <c r="L1046" s="4">
        <f t="shared" si="6"/>
        <v>1.536</v>
      </c>
    </row>
    <row r="1047">
      <c r="A1047" s="3">
        <v>870.0</v>
      </c>
      <c r="B1047" s="1" t="s">
        <v>1588</v>
      </c>
      <c r="C1047" s="3">
        <v>4.96</v>
      </c>
      <c r="D1047" s="3">
        <v>1.8</v>
      </c>
      <c r="E1047" s="3">
        <v>1.75</v>
      </c>
      <c r="F1047" s="3">
        <v>1.0</v>
      </c>
      <c r="G1047" s="4">
        <f t="shared" si="1"/>
        <v>2.48</v>
      </c>
      <c r="H1047" s="4" t="str">
        <f t="shared" si="2"/>
        <v>Neto: 1,80 € (a partir de 1 uds.)</v>
      </c>
      <c r="I1047" s="4" t="str">
        <f t="shared" si="3"/>
        <v>Neto G.C.: 1,75 € (a partir de 1 uds.)</v>
      </c>
      <c r="J1047" s="4">
        <f t="shared" si="4"/>
        <v>2.3808</v>
      </c>
      <c r="K1047" s="4">
        <f t="shared" si="5"/>
        <v>2.48</v>
      </c>
      <c r="L1047" s="4">
        <f t="shared" si="6"/>
        <v>2.3808</v>
      </c>
    </row>
    <row r="1048">
      <c r="A1048" s="1" t="s">
        <v>1589</v>
      </c>
      <c r="B1048" s="1" t="s">
        <v>1590</v>
      </c>
      <c r="C1048" s="3">
        <v>2.5</v>
      </c>
      <c r="D1048" s="5"/>
      <c r="E1048" s="5"/>
      <c r="F1048" s="5"/>
      <c r="G1048" s="4">
        <f t="shared" si="1"/>
        <v>1.25</v>
      </c>
      <c r="H1048" s="4" t="str">
        <f t="shared" si="2"/>
        <v>Sin precio neto</v>
      </c>
      <c r="I1048" s="4" t="str">
        <f t="shared" si="3"/>
        <v>Sin precio neto G.C.</v>
      </c>
      <c r="J1048" s="4">
        <f t="shared" si="4"/>
        <v>1.2</v>
      </c>
      <c r="K1048" s="4">
        <f t="shared" si="5"/>
        <v>1.25</v>
      </c>
      <c r="L1048" s="4">
        <f t="shared" si="6"/>
        <v>1.2</v>
      </c>
    </row>
    <row r="1049">
      <c r="A1049" s="1" t="s">
        <v>1591</v>
      </c>
      <c r="B1049" s="1" t="s">
        <v>1592</v>
      </c>
      <c r="C1049" s="3">
        <v>3.2</v>
      </c>
      <c r="D1049" s="3">
        <v>1.2</v>
      </c>
      <c r="E1049" s="3">
        <v>1.2</v>
      </c>
      <c r="F1049" s="3">
        <v>1.0</v>
      </c>
      <c r="G1049" s="4">
        <f t="shared" si="1"/>
        <v>1.6</v>
      </c>
      <c r="H1049" s="4" t="str">
        <f t="shared" si="2"/>
        <v>Neto: 1,20 € (a partir de 1 uds.)</v>
      </c>
      <c r="I1049" s="4" t="str">
        <f t="shared" si="3"/>
        <v>Neto G.C.: 1,20 € (a partir de 1 uds.)</v>
      </c>
      <c r="J1049" s="4">
        <f t="shared" si="4"/>
        <v>1.536</v>
      </c>
      <c r="K1049" s="4">
        <f t="shared" si="5"/>
        <v>1.6</v>
      </c>
      <c r="L1049" s="4">
        <f t="shared" si="6"/>
        <v>1.536</v>
      </c>
    </row>
    <row r="1050">
      <c r="A1050" s="3">
        <v>871.0</v>
      </c>
      <c r="B1050" s="1" t="s">
        <v>1593</v>
      </c>
      <c r="C1050" s="3">
        <v>4.96</v>
      </c>
      <c r="D1050" s="3">
        <v>0.18</v>
      </c>
      <c r="E1050" s="3">
        <v>1.75</v>
      </c>
      <c r="F1050" s="3">
        <v>1.0</v>
      </c>
      <c r="G1050" s="4">
        <f t="shared" si="1"/>
        <v>2.48</v>
      </c>
      <c r="H1050" s="4" t="str">
        <f t="shared" si="2"/>
        <v>Neto: 0,18 € (a partir de 1 uds.)</v>
      </c>
      <c r="I1050" s="4" t="str">
        <f t="shared" si="3"/>
        <v>Neto G.C.: 1,75 € (a partir de 1 uds.)</v>
      </c>
      <c r="J1050" s="4">
        <f t="shared" si="4"/>
        <v>2.3808</v>
      </c>
      <c r="K1050" s="4">
        <f t="shared" si="5"/>
        <v>2.48</v>
      </c>
      <c r="L1050" s="4">
        <f t="shared" si="6"/>
        <v>2.3808</v>
      </c>
    </row>
    <row r="1051">
      <c r="A1051" s="1" t="s">
        <v>1594</v>
      </c>
      <c r="B1051" s="1" t="s">
        <v>1595</v>
      </c>
      <c r="C1051" s="3">
        <v>2.5</v>
      </c>
      <c r="D1051" s="5"/>
      <c r="E1051" s="5"/>
      <c r="F1051" s="5"/>
      <c r="G1051" s="4">
        <f t="shared" si="1"/>
        <v>1.25</v>
      </c>
      <c r="H1051" s="4" t="str">
        <f t="shared" si="2"/>
        <v>Sin precio neto</v>
      </c>
      <c r="I1051" s="4" t="str">
        <f t="shared" si="3"/>
        <v>Sin precio neto G.C.</v>
      </c>
      <c r="J1051" s="4">
        <f t="shared" si="4"/>
        <v>1.2</v>
      </c>
      <c r="K1051" s="4">
        <f t="shared" si="5"/>
        <v>1.25</v>
      </c>
      <c r="L1051" s="4">
        <f t="shared" si="6"/>
        <v>1.2</v>
      </c>
    </row>
    <row r="1052">
      <c r="A1052" s="1" t="s">
        <v>1596</v>
      </c>
      <c r="B1052" s="1" t="s">
        <v>1597</v>
      </c>
      <c r="C1052" s="3">
        <v>3.2</v>
      </c>
      <c r="D1052" s="3">
        <v>1.2</v>
      </c>
      <c r="E1052" s="3">
        <v>1.2</v>
      </c>
      <c r="F1052" s="3">
        <v>1.0</v>
      </c>
      <c r="G1052" s="4">
        <f t="shared" si="1"/>
        <v>1.6</v>
      </c>
      <c r="H1052" s="4" t="str">
        <f t="shared" si="2"/>
        <v>Neto: 1,20 € (a partir de 1 uds.)</v>
      </c>
      <c r="I1052" s="4" t="str">
        <f t="shared" si="3"/>
        <v>Neto G.C.: 1,20 € (a partir de 1 uds.)</v>
      </c>
      <c r="J1052" s="4">
        <f t="shared" si="4"/>
        <v>1.536</v>
      </c>
      <c r="K1052" s="4">
        <f t="shared" si="5"/>
        <v>1.6</v>
      </c>
      <c r="L1052" s="4">
        <f t="shared" si="6"/>
        <v>1.536</v>
      </c>
    </row>
    <row r="1053">
      <c r="A1053" s="3">
        <v>872.0</v>
      </c>
      <c r="B1053" s="1" t="s">
        <v>1598</v>
      </c>
      <c r="C1053" s="3">
        <v>4.96</v>
      </c>
      <c r="D1053" s="3">
        <v>1.8</v>
      </c>
      <c r="E1053" s="3">
        <v>1.75</v>
      </c>
      <c r="F1053" s="3">
        <v>1.0</v>
      </c>
      <c r="G1053" s="4">
        <f t="shared" si="1"/>
        <v>2.48</v>
      </c>
      <c r="H1053" s="4" t="str">
        <f t="shared" si="2"/>
        <v>Neto: 1,80 € (a partir de 1 uds.)</v>
      </c>
      <c r="I1053" s="4" t="str">
        <f t="shared" si="3"/>
        <v>Neto G.C.: 1,75 € (a partir de 1 uds.)</v>
      </c>
      <c r="J1053" s="4">
        <f t="shared" si="4"/>
        <v>2.3808</v>
      </c>
      <c r="K1053" s="4">
        <f t="shared" si="5"/>
        <v>2.48</v>
      </c>
      <c r="L1053" s="4">
        <f t="shared" si="6"/>
        <v>2.3808</v>
      </c>
    </row>
    <row r="1054">
      <c r="A1054" s="1" t="s">
        <v>1599</v>
      </c>
      <c r="B1054" s="1" t="s">
        <v>1600</v>
      </c>
      <c r="C1054" s="3">
        <v>2.5</v>
      </c>
      <c r="D1054" s="5"/>
      <c r="E1054" s="5"/>
      <c r="F1054" s="5"/>
      <c r="G1054" s="4">
        <f t="shared" si="1"/>
        <v>1.25</v>
      </c>
      <c r="H1054" s="4" t="str">
        <f t="shared" si="2"/>
        <v>Sin precio neto</v>
      </c>
      <c r="I1054" s="4" t="str">
        <f t="shared" si="3"/>
        <v>Sin precio neto G.C.</v>
      </c>
      <c r="J1054" s="4">
        <f t="shared" si="4"/>
        <v>1.2</v>
      </c>
      <c r="K1054" s="4">
        <f t="shared" si="5"/>
        <v>1.25</v>
      </c>
      <c r="L1054" s="4">
        <f t="shared" si="6"/>
        <v>1.2</v>
      </c>
    </row>
    <row r="1055">
      <c r="A1055" s="1" t="s">
        <v>1601</v>
      </c>
      <c r="B1055" s="1" t="s">
        <v>1602</v>
      </c>
      <c r="C1055" s="3">
        <v>3.2</v>
      </c>
      <c r="D1055" s="3">
        <v>1.2</v>
      </c>
      <c r="E1055" s="3">
        <v>1.2</v>
      </c>
      <c r="F1055" s="3">
        <v>1.0</v>
      </c>
      <c r="G1055" s="4">
        <f t="shared" si="1"/>
        <v>1.6</v>
      </c>
      <c r="H1055" s="4" t="str">
        <f t="shared" si="2"/>
        <v>Neto: 1,20 € (a partir de 1 uds.)</v>
      </c>
      <c r="I1055" s="4" t="str">
        <f t="shared" si="3"/>
        <v>Neto G.C.: 1,20 € (a partir de 1 uds.)</v>
      </c>
      <c r="J1055" s="4">
        <f t="shared" si="4"/>
        <v>1.536</v>
      </c>
      <c r="K1055" s="4">
        <f t="shared" si="5"/>
        <v>1.6</v>
      </c>
      <c r="L1055" s="4">
        <f t="shared" si="6"/>
        <v>1.536</v>
      </c>
    </row>
    <row r="1056">
      <c r="A1056" s="3">
        <v>873.0</v>
      </c>
      <c r="B1056" s="1" t="s">
        <v>1603</v>
      </c>
      <c r="C1056" s="3">
        <v>4.96</v>
      </c>
      <c r="D1056" s="3">
        <v>1.8</v>
      </c>
      <c r="E1056" s="3">
        <v>1.75</v>
      </c>
      <c r="F1056" s="3">
        <v>1.0</v>
      </c>
      <c r="G1056" s="4">
        <f t="shared" si="1"/>
        <v>2.48</v>
      </c>
      <c r="H1056" s="4" t="str">
        <f t="shared" si="2"/>
        <v>Neto: 1,80 € (a partir de 1 uds.)</v>
      </c>
      <c r="I1056" s="4" t="str">
        <f t="shared" si="3"/>
        <v>Neto G.C.: 1,75 € (a partir de 1 uds.)</v>
      </c>
      <c r="J1056" s="4">
        <f t="shared" si="4"/>
        <v>2.3808</v>
      </c>
      <c r="K1056" s="4">
        <f t="shared" si="5"/>
        <v>2.48</v>
      </c>
      <c r="L1056" s="4">
        <f t="shared" si="6"/>
        <v>2.3808</v>
      </c>
    </row>
    <row r="1057">
      <c r="A1057" s="1" t="s">
        <v>1604</v>
      </c>
      <c r="B1057" s="1" t="s">
        <v>1605</v>
      </c>
      <c r="C1057" s="3">
        <v>2.5</v>
      </c>
      <c r="D1057" s="5"/>
      <c r="E1057" s="5"/>
      <c r="F1057" s="5"/>
      <c r="G1057" s="4">
        <f t="shared" si="1"/>
        <v>1.25</v>
      </c>
      <c r="H1057" s="4" t="str">
        <f t="shared" si="2"/>
        <v>Sin precio neto</v>
      </c>
      <c r="I1057" s="4" t="str">
        <f t="shared" si="3"/>
        <v>Sin precio neto G.C.</v>
      </c>
      <c r="J1057" s="4">
        <f t="shared" si="4"/>
        <v>1.2</v>
      </c>
      <c r="K1057" s="4">
        <f t="shared" si="5"/>
        <v>1.25</v>
      </c>
      <c r="L1057" s="4">
        <f t="shared" si="6"/>
        <v>1.2</v>
      </c>
    </row>
    <row r="1058">
      <c r="A1058" s="1" t="s">
        <v>1606</v>
      </c>
      <c r="B1058" s="1" t="s">
        <v>1607</v>
      </c>
      <c r="C1058" s="3">
        <v>2.5</v>
      </c>
      <c r="D1058" s="5"/>
      <c r="E1058" s="5"/>
      <c r="F1058" s="5"/>
      <c r="G1058" s="4">
        <f t="shared" si="1"/>
        <v>1.25</v>
      </c>
      <c r="H1058" s="4" t="str">
        <f t="shared" si="2"/>
        <v>Sin precio neto</v>
      </c>
      <c r="I1058" s="4" t="str">
        <f t="shared" si="3"/>
        <v>Sin precio neto G.C.</v>
      </c>
      <c r="J1058" s="4">
        <f t="shared" si="4"/>
        <v>1.2</v>
      </c>
      <c r="K1058" s="4">
        <f t="shared" si="5"/>
        <v>1.25</v>
      </c>
      <c r="L1058" s="4">
        <f t="shared" si="6"/>
        <v>1.2</v>
      </c>
    </row>
    <row r="1059">
      <c r="A1059" s="3">
        <v>874.0</v>
      </c>
      <c r="B1059" s="1" t="s">
        <v>1608</v>
      </c>
      <c r="C1059" s="3">
        <v>4.96</v>
      </c>
      <c r="D1059" s="3">
        <v>1.8</v>
      </c>
      <c r="E1059" s="3">
        <v>1.8</v>
      </c>
      <c r="F1059" s="3">
        <v>1.0</v>
      </c>
      <c r="G1059" s="4">
        <f t="shared" si="1"/>
        <v>2.48</v>
      </c>
      <c r="H1059" s="4" t="str">
        <f t="shared" si="2"/>
        <v>Neto: 1,80 € (a partir de 1 uds.)</v>
      </c>
      <c r="I1059" s="4" t="str">
        <f t="shared" si="3"/>
        <v>Neto G.C.: 1,80 € (a partir de 1 uds.)</v>
      </c>
      <c r="J1059" s="4">
        <f t="shared" si="4"/>
        <v>2.3808</v>
      </c>
      <c r="K1059" s="4">
        <f t="shared" si="5"/>
        <v>2.48</v>
      </c>
      <c r="L1059" s="4">
        <f t="shared" si="6"/>
        <v>2.3808</v>
      </c>
    </row>
    <row r="1060">
      <c r="A1060" s="1" t="s">
        <v>1609</v>
      </c>
      <c r="B1060" s="1" t="s">
        <v>1610</v>
      </c>
      <c r="C1060" s="3">
        <v>2.5</v>
      </c>
      <c r="D1060" s="5"/>
      <c r="E1060" s="5"/>
      <c r="F1060" s="5"/>
      <c r="G1060" s="4">
        <f t="shared" si="1"/>
        <v>1.25</v>
      </c>
      <c r="H1060" s="4" t="str">
        <f t="shared" si="2"/>
        <v>Sin precio neto</v>
      </c>
      <c r="I1060" s="4" t="str">
        <f t="shared" si="3"/>
        <v>Sin precio neto G.C.</v>
      </c>
      <c r="J1060" s="4">
        <f t="shared" si="4"/>
        <v>1.2</v>
      </c>
      <c r="K1060" s="4">
        <f t="shared" si="5"/>
        <v>1.25</v>
      </c>
      <c r="L1060" s="4">
        <f t="shared" si="6"/>
        <v>1.2</v>
      </c>
    </row>
    <row r="1061">
      <c r="A1061" s="1" t="s">
        <v>1611</v>
      </c>
      <c r="B1061" s="1" t="s">
        <v>1612</v>
      </c>
      <c r="C1061" s="3">
        <v>3.2</v>
      </c>
      <c r="D1061" s="3">
        <v>1.2</v>
      </c>
      <c r="E1061" s="3">
        <v>1.2</v>
      </c>
      <c r="F1061" s="3">
        <v>1.0</v>
      </c>
      <c r="G1061" s="4">
        <f t="shared" si="1"/>
        <v>1.6</v>
      </c>
      <c r="H1061" s="4" t="str">
        <f t="shared" si="2"/>
        <v>Neto: 1,20 € (a partir de 1 uds.)</v>
      </c>
      <c r="I1061" s="4" t="str">
        <f t="shared" si="3"/>
        <v>Neto G.C.: 1,20 € (a partir de 1 uds.)</v>
      </c>
      <c r="J1061" s="4">
        <f t="shared" si="4"/>
        <v>1.536</v>
      </c>
      <c r="K1061" s="4">
        <f t="shared" si="5"/>
        <v>1.6</v>
      </c>
      <c r="L1061" s="4">
        <f t="shared" si="6"/>
        <v>1.536</v>
      </c>
    </row>
    <row r="1062">
      <c r="A1062" s="3">
        <v>875.0</v>
      </c>
      <c r="B1062" s="1" t="s">
        <v>1608</v>
      </c>
      <c r="C1062" s="3">
        <v>4.96</v>
      </c>
      <c r="D1062" s="3">
        <v>1.8</v>
      </c>
      <c r="E1062" s="3">
        <v>1.75</v>
      </c>
      <c r="F1062" s="3">
        <v>1.0</v>
      </c>
      <c r="G1062" s="4">
        <f t="shared" si="1"/>
        <v>2.48</v>
      </c>
      <c r="H1062" s="4" t="str">
        <f t="shared" si="2"/>
        <v>Neto: 1,80 € (a partir de 1 uds.)</v>
      </c>
      <c r="I1062" s="4" t="str">
        <f t="shared" si="3"/>
        <v>Neto G.C.: 1,75 € (a partir de 1 uds.)</v>
      </c>
      <c r="J1062" s="4">
        <f t="shared" si="4"/>
        <v>2.3808</v>
      </c>
      <c r="K1062" s="4">
        <f t="shared" si="5"/>
        <v>2.48</v>
      </c>
      <c r="L1062" s="4">
        <f t="shared" si="6"/>
        <v>2.3808</v>
      </c>
    </row>
    <row r="1063">
      <c r="A1063" s="1" t="s">
        <v>1613</v>
      </c>
      <c r="B1063" s="1" t="s">
        <v>1610</v>
      </c>
      <c r="C1063" s="3">
        <v>2.5</v>
      </c>
      <c r="D1063" s="5"/>
      <c r="E1063" s="5"/>
      <c r="F1063" s="5"/>
      <c r="G1063" s="4">
        <f t="shared" si="1"/>
        <v>1.25</v>
      </c>
      <c r="H1063" s="4" t="str">
        <f t="shared" si="2"/>
        <v>Sin precio neto</v>
      </c>
      <c r="I1063" s="4" t="str">
        <f t="shared" si="3"/>
        <v>Sin precio neto G.C.</v>
      </c>
      <c r="J1063" s="4">
        <f t="shared" si="4"/>
        <v>1.2</v>
      </c>
      <c r="K1063" s="4">
        <f t="shared" si="5"/>
        <v>1.25</v>
      </c>
      <c r="L1063" s="4">
        <f t="shared" si="6"/>
        <v>1.2</v>
      </c>
    </row>
    <row r="1064">
      <c r="A1064" s="1" t="s">
        <v>1614</v>
      </c>
      <c r="B1064" s="1" t="s">
        <v>1612</v>
      </c>
      <c r="C1064" s="3">
        <v>3.2</v>
      </c>
      <c r="D1064" s="3">
        <v>1.2</v>
      </c>
      <c r="E1064" s="3">
        <v>1.2</v>
      </c>
      <c r="F1064" s="3">
        <v>1.0</v>
      </c>
      <c r="G1064" s="4">
        <f t="shared" si="1"/>
        <v>1.6</v>
      </c>
      <c r="H1064" s="4" t="str">
        <f t="shared" si="2"/>
        <v>Neto: 1,20 € (a partir de 1 uds.)</v>
      </c>
      <c r="I1064" s="4" t="str">
        <f t="shared" si="3"/>
        <v>Neto G.C.: 1,20 € (a partir de 1 uds.)</v>
      </c>
      <c r="J1064" s="4">
        <f t="shared" si="4"/>
        <v>1.536</v>
      </c>
      <c r="K1064" s="4">
        <f t="shared" si="5"/>
        <v>1.6</v>
      </c>
      <c r="L1064" s="4">
        <f t="shared" si="6"/>
        <v>1.536</v>
      </c>
    </row>
    <row r="1065">
      <c r="A1065" s="3">
        <v>876.0</v>
      </c>
      <c r="B1065" s="1" t="s">
        <v>1615</v>
      </c>
      <c r="C1065" s="3">
        <v>4.96</v>
      </c>
      <c r="D1065" s="3">
        <v>1.8</v>
      </c>
      <c r="E1065" s="3">
        <v>1.75</v>
      </c>
      <c r="F1065" s="3">
        <v>1.0</v>
      </c>
      <c r="G1065" s="4">
        <f t="shared" si="1"/>
        <v>2.48</v>
      </c>
      <c r="H1065" s="4" t="str">
        <f t="shared" si="2"/>
        <v>Neto: 1,80 € (a partir de 1 uds.)</v>
      </c>
      <c r="I1065" s="4" t="str">
        <f t="shared" si="3"/>
        <v>Neto G.C.: 1,75 € (a partir de 1 uds.)</v>
      </c>
      <c r="J1065" s="4">
        <f t="shared" si="4"/>
        <v>2.3808</v>
      </c>
      <c r="K1065" s="4">
        <f t="shared" si="5"/>
        <v>2.48</v>
      </c>
      <c r="L1065" s="4">
        <f t="shared" si="6"/>
        <v>2.3808</v>
      </c>
    </row>
    <row r="1066">
      <c r="A1066" s="1" t="s">
        <v>1616</v>
      </c>
      <c r="B1066" s="1" t="s">
        <v>1617</v>
      </c>
      <c r="C1066" s="3">
        <v>2.5</v>
      </c>
      <c r="D1066" s="5"/>
      <c r="E1066" s="5"/>
      <c r="F1066" s="5"/>
      <c r="G1066" s="4">
        <f t="shared" si="1"/>
        <v>1.25</v>
      </c>
      <c r="H1066" s="4" t="str">
        <f t="shared" si="2"/>
        <v>Sin precio neto</v>
      </c>
      <c r="I1066" s="4" t="str">
        <f t="shared" si="3"/>
        <v>Sin precio neto G.C.</v>
      </c>
      <c r="J1066" s="4">
        <f t="shared" si="4"/>
        <v>1.2</v>
      </c>
      <c r="K1066" s="4">
        <f t="shared" si="5"/>
        <v>1.25</v>
      </c>
      <c r="L1066" s="4">
        <f t="shared" si="6"/>
        <v>1.2</v>
      </c>
    </row>
    <row r="1067">
      <c r="A1067" s="1" t="s">
        <v>1618</v>
      </c>
      <c r="B1067" s="1" t="s">
        <v>1619</v>
      </c>
      <c r="C1067" s="3">
        <v>3.2</v>
      </c>
      <c r="D1067" s="3">
        <v>1.2</v>
      </c>
      <c r="E1067" s="3">
        <v>1.2</v>
      </c>
      <c r="F1067" s="3">
        <v>1.0</v>
      </c>
      <c r="G1067" s="4">
        <f t="shared" si="1"/>
        <v>1.6</v>
      </c>
      <c r="H1067" s="4" t="str">
        <f t="shared" si="2"/>
        <v>Neto: 1,20 € (a partir de 1 uds.)</v>
      </c>
      <c r="I1067" s="4" t="str">
        <f t="shared" si="3"/>
        <v>Neto G.C.: 1,20 € (a partir de 1 uds.)</v>
      </c>
      <c r="J1067" s="4">
        <f t="shared" si="4"/>
        <v>1.536</v>
      </c>
      <c r="K1067" s="4">
        <f t="shared" si="5"/>
        <v>1.6</v>
      </c>
      <c r="L1067" s="4">
        <f t="shared" si="6"/>
        <v>1.536</v>
      </c>
    </row>
    <row r="1068">
      <c r="A1068" s="3">
        <v>877.0</v>
      </c>
      <c r="B1068" s="1" t="s">
        <v>1620</v>
      </c>
      <c r="C1068" s="3">
        <v>4.96</v>
      </c>
      <c r="D1068" s="3">
        <v>1.8</v>
      </c>
      <c r="E1068" s="3">
        <v>1.75</v>
      </c>
      <c r="F1068" s="3">
        <v>1.0</v>
      </c>
      <c r="G1068" s="4">
        <f t="shared" si="1"/>
        <v>2.48</v>
      </c>
      <c r="H1068" s="4" t="str">
        <f t="shared" si="2"/>
        <v>Neto: 1,80 € (a partir de 1 uds.)</v>
      </c>
      <c r="I1068" s="4" t="str">
        <f t="shared" si="3"/>
        <v>Neto G.C.: 1,75 € (a partir de 1 uds.)</v>
      </c>
      <c r="J1068" s="4">
        <f t="shared" si="4"/>
        <v>2.3808</v>
      </c>
      <c r="K1068" s="4">
        <f t="shared" si="5"/>
        <v>2.48</v>
      </c>
      <c r="L1068" s="4">
        <f t="shared" si="6"/>
        <v>2.3808</v>
      </c>
    </row>
    <row r="1069">
      <c r="A1069" s="1" t="s">
        <v>1621</v>
      </c>
      <c r="B1069" s="1" t="s">
        <v>1622</v>
      </c>
      <c r="C1069" s="3">
        <v>2.5</v>
      </c>
      <c r="D1069" s="5"/>
      <c r="E1069" s="5"/>
      <c r="F1069" s="5"/>
      <c r="G1069" s="4">
        <f t="shared" si="1"/>
        <v>1.25</v>
      </c>
      <c r="H1069" s="4" t="str">
        <f t="shared" si="2"/>
        <v>Sin precio neto</v>
      </c>
      <c r="I1069" s="4" t="str">
        <f t="shared" si="3"/>
        <v>Sin precio neto G.C.</v>
      </c>
      <c r="J1069" s="4">
        <f t="shared" si="4"/>
        <v>1.2</v>
      </c>
      <c r="K1069" s="4">
        <f t="shared" si="5"/>
        <v>1.25</v>
      </c>
      <c r="L1069" s="4">
        <f t="shared" si="6"/>
        <v>1.2</v>
      </c>
    </row>
    <row r="1070">
      <c r="A1070" s="1" t="s">
        <v>1623</v>
      </c>
      <c r="B1070" s="1" t="s">
        <v>1624</v>
      </c>
      <c r="C1070" s="3">
        <v>3.2</v>
      </c>
      <c r="D1070" s="3">
        <v>1.2</v>
      </c>
      <c r="E1070" s="3">
        <v>1.2</v>
      </c>
      <c r="F1070" s="3">
        <v>1.0</v>
      </c>
      <c r="G1070" s="4">
        <f t="shared" si="1"/>
        <v>1.6</v>
      </c>
      <c r="H1070" s="4" t="str">
        <f t="shared" si="2"/>
        <v>Neto: 1,20 € (a partir de 1 uds.)</v>
      </c>
      <c r="I1070" s="4" t="str">
        <f t="shared" si="3"/>
        <v>Neto G.C.: 1,20 € (a partir de 1 uds.)</v>
      </c>
      <c r="J1070" s="4">
        <f t="shared" si="4"/>
        <v>1.536</v>
      </c>
      <c r="K1070" s="4">
        <f t="shared" si="5"/>
        <v>1.6</v>
      </c>
      <c r="L1070" s="4">
        <f t="shared" si="6"/>
        <v>1.536</v>
      </c>
    </row>
    <row r="1071">
      <c r="A1071" s="3">
        <v>878.0</v>
      </c>
      <c r="B1071" s="1" t="s">
        <v>1620</v>
      </c>
      <c r="C1071" s="3">
        <v>4.96</v>
      </c>
      <c r="D1071" s="3">
        <v>1.8</v>
      </c>
      <c r="E1071" s="3">
        <v>1.75</v>
      </c>
      <c r="F1071" s="3">
        <v>1.0</v>
      </c>
      <c r="G1071" s="4">
        <f t="shared" si="1"/>
        <v>2.48</v>
      </c>
      <c r="H1071" s="4" t="str">
        <f t="shared" si="2"/>
        <v>Neto: 1,80 € (a partir de 1 uds.)</v>
      </c>
      <c r="I1071" s="4" t="str">
        <f t="shared" si="3"/>
        <v>Neto G.C.: 1,75 € (a partir de 1 uds.)</v>
      </c>
      <c r="J1071" s="4">
        <f t="shared" si="4"/>
        <v>2.3808</v>
      </c>
      <c r="K1071" s="4">
        <f t="shared" si="5"/>
        <v>2.48</v>
      </c>
      <c r="L1071" s="4">
        <f t="shared" si="6"/>
        <v>2.3808</v>
      </c>
    </row>
    <row r="1072">
      <c r="A1072" s="1" t="s">
        <v>1625</v>
      </c>
      <c r="B1072" s="1" t="s">
        <v>1622</v>
      </c>
      <c r="C1072" s="3">
        <v>2.5</v>
      </c>
      <c r="D1072" s="5"/>
      <c r="E1072" s="5"/>
      <c r="F1072" s="5"/>
      <c r="G1072" s="4">
        <f t="shared" si="1"/>
        <v>1.25</v>
      </c>
      <c r="H1072" s="4" t="str">
        <f t="shared" si="2"/>
        <v>Sin precio neto</v>
      </c>
      <c r="I1072" s="4" t="str">
        <f t="shared" si="3"/>
        <v>Sin precio neto G.C.</v>
      </c>
      <c r="J1072" s="4">
        <f t="shared" si="4"/>
        <v>1.2</v>
      </c>
      <c r="K1072" s="4">
        <f t="shared" si="5"/>
        <v>1.25</v>
      </c>
      <c r="L1072" s="4">
        <f t="shared" si="6"/>
        <v>1.2</v>
      </c>
    </row>
    <row r="1073">
      <c r="A1073" s="1" t="s">
        <v>1626</v>
      </c>
      <c r="B1073" s="1" t="s">
        <v>1624</v>
      </c>
      <c r="C1073" s="3">
        <v>3.2</v>
      </c>
      <c r="D1073" s="3">
        <v>1.2</v>
      </c>
      <c r="E1073" s="3">
        <v>1.2</v>
      </c>
      <c r="F1073" s="3">
        <v>1.0</v>
      </c>
      <c r="G1073" s="4">
        <f t="shared" si="1"/>
        <v>1.6</v>
      </c>
      <c r="H1073" s="4" t="str">
        <f t="shared" si="2"/>
        <v>Neto: 1,20 € (a partir de 1 uds.)</v>
      </c>
      <c r="I1073" s="4" t="str">
        <f t="shared" si="3"/>
        <v>Neto G.C.: 1,20 € (a partir de 1 uds.)</v>
      </c>
      <c r="J1073" s="4">
        <f t="shared" si="4"/>
        <v>1.536</v>
      </c>
      <c r="K1073" s="4">
        <f t="shared" si="5"/>
        <v>1.6</v>
      </c>
      <c r="L1073" s="4">
        <f t="shared" si="6"/>
        <v>1.536</v>
      </c>
    </row>
    <row r="1074">
      <c r="A1074" s="3">
        <v>879.0</v>
      </c>
      <c r="B1074" s="1" t="s">
        <v>1627</v>
      </c>
      <c r="C1074" s="3">
        <v>4.96</v>
      </c>
      <c r="D1074" s="3">
        <v>1.8</v>
      </c>
      <c r="E1074" s="3">
        <v>1.75</v>
      </c>
      <c r="F1074" s="3">
        <v>1.0</v>
      </c>
      <c r="G1074" s="4">
        <f t="shared" si="1"/>
        <v>2.48</v>
      </c>
      <c r="H1074" s="4" t="str">
        <f t="shared" si="2"/>
        <v>Neto: 1,80 € (a partir de 1 uds.)</v>
      </c>
      <c r="I1074" s="4" t="str">
        <f t="shared" si="3"/>
        <v>Neto G.C.: 1,75 € (a partir de 1 uds.)</v>
      </c>
      <c r="J1074" s="4">
        <f t="shared" si="4"/>
        <v>2.3808</v>
      </c>
      <c r="K1074" s="4">
        <f t="shared" si="5"/>
        <v>2.48</v>
      </c>
      <c r="L1074" s="4">
        <f t="shared" si="6"/>
        <v>2.3808</v>
      </c>
    </row>
    <row r="1075">
      <c r="A1075" s="1" t="s">
        <v>1628</v>
      </c>
      <c r="B1075" s="1" t="s">
        <v>1622</v>
      </c>
      <c r="C1075" s="3">
        <v>2.5</v>
      </c>
      <c r="D1075" s="5"/>
      <c r="E1075" s="5"/>
      <c r="F1075" s="5"/>
      <c r="G1075" s="4">
        <f t="shared" si="1"/>
        <v>1.25</v>
      </c>
      <c r="H1075" s="4" t="str">
        <f t="shared" si="2"/>
        <v>Sin precio neto</v>
      </c>
      <c r="I1075" s="4" t="str">
        <f t="shared" si="3"/>
        <v>Sin precio neto G.C.</v>
      </c>
      <c r="J1075" s="4">
        <f t="shared" si="4"/>
        <v>1.2</v>
      </c>
      <c r="K1075" s="4">
        <f t="shared" si="5"/>
        <v>1.25</v>
      </c>
      <c r="L1075" s="4">
        <f t="shared" si="6"/>
        <v>1.2</v>
      </c>
    </row>
    <row r="1076">
      <c r="A1076" s="1" t="s">
        <v>1629</v>
      </c>
      <c r="B1076" s="1" t="s">
        <v>1630</v>
      </c>
      <c r="C1076" s="3">
        <v>3.2</v>
      </c>
      <c r="D1076" s="3">
        <v>1.2</v>
      </c>
      <c r="E1076" s="3">
        <v>1.2</v>
      </c>
      <c r="F1076" s="3">
        <v>1.0</v>
      </c>
      <c r="G1076" s="4">
        <f t="shared" si="1"/>
        <v>1.6</v>
      </c>
      <c r="H1076" s="4" t="str">
        <f t="shared" si="2"/>
        <v>Neto: 1,20 € (a partir de 1 uds.)</v>
      </c>
      <c r="I1076" s="4" t="str">
        <f t="shared" si="3"/>
        <v>Neto G.C.: 1,20 € (a partir de 1 uds.)</v>
      </c>
      <c r="J1076" s="4">
        <f t="shared" si="4"/>
        <v>1.536</v>
      </c>
      <c r="K1076" s="4">
        <f t="shared" si="5"/>
        <v>1.6</v>
      </c>
      <c r="L1076" s="4">
        <f t="shared" si="6"/>
        <v>1.536</v>
      </c>
    </row>
    <row r="1077">
      <c r="A1077" s="3">
        <v>880.0</v>
      </c>
      <c r="B1077" s="1" t="s">
        <v>1631</v>
      </c>
      <c r="C1077" s="3">
        <v>4.96</v>
      </c>
      <c r="D1077" s="3">
        <v>1.8</v>
      </c>
      <c r="E1077" s="3">
        <v>1.75</v>
      </c>
      <c r="F1077" s="3">
        <v>1.0</v>
      </c>
      <c r="G1077" s="4">
        <f t="shared" si="1"/>
        <v>2.48</v>
      </c>
      <c r="H1077" s="4" t="str">
        <f t="shared" si="2"/>
        <v>Neto: 1,80 € (a partir de 1 uds.)</v>
      </c>
      <c r="I1077" s="4" t="str">
        <f t="shared" si="3"/>
        <v>Neto G.C.: 1,75 € (a partir de 1 uds.)</v>
      </c>
      <c r="J1077" s="4">
        <f t="shared" si="4"/>
        <v>2.3808</v>
      </c>
      <c r="K1077" s="4">
        <f t="shared" si="5"/>
        <v>2.48</v>
      </c>
      <c r="L1077" s="4">
        <f t="shared" si="6"/>
        <v>2.3808</v>
      </c>
    </row>
    <row r="1078">
      <c r="A1078" s="1" t="s">
        <v>1632</v>
      </c>
      <c r="B1078" s="1" t="s">
        <v>1633</v>
      </c>
      <c r="C1078" s="3">
        <v>2.5</v>
      </c>
      <c r="D1078" s="5"/>
      <c r="E1078" s="5"/>
      <c r="F1078" s="5"/>
      <c r="G1078" s="4">
        <f t="shared" si="1"/>
        <v>1.25</v>
      </c>
      <c r="H1078" s="4" t="str">
        <f t="shared" si="2"/>
        <v>Sin precio neto</v>
      </c>
      <c r="I1078" s="4" t="str">
        <f t="shared" si="3"/>
        <v>Sin precio neto G.C.</v>
      </c>
      <c r="J1078" s="4">
        <f t="shared" si="4"/>
        <v>1.2</v>
      </c>
      <c r="K1078" s="4">
        <f t="shared" si="5"/>
        <v>1.25</v>
      </c>
      <c r="L1078" s="4">
        <f t="shared" si="6"/>
        <v>1.2</v>
      </c>
    </row>
    <row r="1079">
      <c r="A1079" s="1" t="s">
        <v>1634</v>
      </c>
      <c r="B1079" s="1" t="s">
        <v>1635</v>
      </c>
      <c r="C1079" s="3">
        <v>3.2</v>
      </c>
      <c r="D1079" s="3">
        <v>1.2</v>
      </c>
      <c r="E1079" s="3">
        <v>1.2</v>
      </c>
      <c r="F1079" s="3">
        <v>1.0</v>
      </c>
      <c r="G1079" s="4">
        <f t="shared" si="1"/>
        <v>1.6</v>
      </c>
      <c r="H1079" s="4" t="str">
        <f t="shared" si="2"/>
        <v>Neto: 1,20 € (a partir de 1 uds.)</v>
      </c>
      <c r="I1079" s="4" t="str">
        <f t="shared" si="3"/>
        <v>Neto G.C.: 1,20 € (a partir de 1 uds.)</v>
      </c>
      <c r="J1079" s="4">
        <f t="shared" si="4"/>
        <v>1.536</v>
      </c>
      <c r="K1079" s="4">
        <f t="shared" si="5"/>
        <v>1.6</v>
      </c>
      <c r="L1079" s="4">
        <f t="shared" si="6"/>
        <v>1.536</v>
      </c>
    </row>
    <row r="1080">
      <c r="A1080" s="3">
        <v>881.0</v>
      </c>
      <c r="B1080" s="1" t="s">
        <v>1636</v>
      </c>
      <c r="C1080" s="3">
        <v>4.96</v>
      </c>
      <c r="D1080" s="3">
        <v>1.8</v>
      </c>
      <c r="E1080" s="3">
        <v>1.75</v>
      </c>
      <c r="F1080" s="3">
        <v>1.0</v>
      </c>
      <c r="G1080" s="4">
        <f t="shared" si="1"/>
        <v>2.48</v>
      </c>
      <c r="H1080" s="4" t="str">
        <f t="shared" si="2"/>
        <v>Neto: 1,80 € (a partir de 1 uds.)</v>
      </c>
      <c r="I1080" s="4" t="str">
        <f t="shared" si="3"/>
        <v>Neto G.C.: 1,75 € (a partir de 1 uds.)</v>
      </c>
      <c r="J1080" s="4">
        <f t="shared" si="4"/>
        <v>2.3808</v>
      </c>
      <c r="K1080" s="4">
        <f t="shared" si="5"/>
        <v>2.48</v>
      </c>
      <c r="L1080" s="4">
        <f t="shared" si="6"/>
        <v>2.3808</v>
      </c>
    </row>
    <row r="1081">
      <c r="A1081" s="1" t="s">
        <v>1637</v>
      </c>
      <c r="B1081" s="1" t="s">
        <v>1638</v>
      </c>
      <c r="C1081" s="3">
        <v>2.5</v>
      </c>
      <c r="D1081" s="5"/>
      <c r="E1081" s="5"/>
      <c r="F1081" s="5"/>
      <c r="G1081" s="4">
        <f t="shared" si="1"/>
        <v>1.25</v>
      </c>
      <c r="H1081" s="4" t="str">
        <f t="shared" si="2"/>
        <v>Sin precio neto</v>
      </c>
      <c r="I1081" s="4" t="str">
        <f t="shared" si="3"/>
        <v>Sin precio neto G.C.</v>
      </c>
      <c r="J1081" s="4">
        <f t="shared" si="4"/>
        <v>1.2</v>
      </c>
      <c r="K1081" s="4">
        <f t="shared" si="5"/>
        <v>1.25</v>
      </c>
      <c r="L1081" s="4">
        <f t="shared" si="6"/>
        <v>1.2</v>
      </c>
    </row>
    <row r="1082">
      <c r="A1082" s="1" t="s">
        <v>1639</v>
      </c>
      <c r="B1082" s="1" t="s">
        <v>1640</v>
      </c>
      <c r="C1082" s="3">
        <v>2.94</v>
      </c>
      <c r="D1082" s="3">
        <v>1.2</v>
      </c>
      <c r="E1082" s="3">
        <v>1.2</v>
      </c>
      <c r="F1082" s="3">
        <v>1.0</v>
      </c>
      <c r="G1082" s="4">
        <f t="shared" si="1"/>
        <v>1.47</v>
      </c>
      <c r="H1082" s="4" t="str">
        <f t="shared" si="2"/>
        <v>Neto: 1,20 € (a partir de 1 uds.)</v>
      </c>
      <c r="I1082" s="4" t="str">
        <f t="shared" si="3"/>
        <v>Neto G.C.: 1,20 € (a partir de 1 uds.)</v>
      </c>
      <c r="J1082" s="4">
        <f t="shared" si="4"/>
        <v>1.4112</v>
      </c>
      <c r="K1082" s="4">
        <f t="shared" si="5"/>
        <v>1.47</v>
      </c>
      <c r="L1082" s="4">
        <f t="shared" si="6"/>
        <v>1.4112</v>
      </c>
    </row>
    <row r="1083">
      <c r="A1083" s="3">
        <v>882.0</v>
      </c>
      <c r="B1083" s="1" t="s">
        <v>1641</v>
      </c>
      <c r="C1083" s="3">
        <v>4.96</v>
      </c>
      <c r="D1083" s="3">
        <v>1.8</v>
      </c>
      <c r="E1083" s="3">
        <v>1.75</v>
      </c>
      <c r="F1083" s="3">
        <v>1.0</v>
      </c>
      <c r="G1083" s="4">
        <f t="shared" si="1"/>
        <v>2.48</v>
      </c>
      <c r="H1083" s="4" t="str">
        <f t="shared" si="2"/>
        <v>Neto: 1,80 € (a partir de 1 uds.)</v>
      </c>
      <c r="I1083" s="4" t="str">
        <f t="shared" si="3"/>
        <v>Neto G.C.: 1,75 € (a partir de 1 uds.)</v>
      </c>
      <c r="J1083" s="4">
        <f t="shared" si="4"/>
        <v>2.3808</v>
      </c>
      <c r="K1083" s="4">
        <f t="shared" si="5"/>
        <v>2.48</v>
      </c>
      <c r="L1083" s="4">
        <f t="shared" si="6"/>
        <v>2.3808</v>
      </c>
    </row>
    <row r="1084">
      <c r="A1084" s="1" t="s">
        <v>1642</v>
      </c>
      <c r="B1084" s="1" t="s">
        <v>1643</v>
      </c>
      <c r="C1084" s="3">
        <v>2.5</v>
      </c>
      <c r="D1084" s="5"/>
      <c r="E1084" s="5"/>
      <c r="F1084" s="5"/>
      <c r="G1084" s="4">
        <f t="shared" si="1"/>
        <v>1.25</v>
      </c>
      <c r="H1084" s="4" t="str">
        <f t="shared" si="2"/>
        <v>Sin precio neto</v>
      </c>
      <c r="I1084" s="4" t="str">
        <f t="shared" si="3"/>
        <v>Sin precio neto G.C.</v>
      </c>
      <c r="J1084" s="4">
        <f t="shared" si="4"/>
        <v>1.2</v>
      </c>
      <c r="K1084" s="4">
        <f t="shared" si="5"/>
        <v>1.25</v>
      </c>
      <c r="L1084" s="4">
        <f t="shared" si="6"/>
        <v>1.2</v>
      </c>
    </row>
    <row r="1085">
      <c r="A1085" s="1" t="s">
        <v>1644</v>
      </c>
      <c r="B1085" s="1" t="s">
        <v>1645</v>
      </c>
      <c r="C1085" s="3">
        <v>3.2</v>
      </c>
      <c r="D1085" s="3">
        <v>1.2</v>
      </c>
      <c r="E1085" s="3">
        <v>1.2</v>
      </c>
      <c r="F1085" s="3">
        <v>1.0</v>
      </c>
      <c r="G1085" s="4">
        <f t="shared" si="1"/>
        <v>1.6</v>
      </c>
      <c r="H1085" s="4" t="str">
        <f t="shared" si="2"/>
        <v>Neto: 1,20 € (a partir de 1 uds.)</v>
      </c>
      <c r="I1085" s="4" t="str">
        <f t="shared" si="3"/>
        <v>Neto G.C.: 1,20 € (a partir de 1 uds.)</v>
      </c>
      <c r="J1085" s="4">
        <f t="shared" si="4"/>
        <v>1.536</v>
      </c>
      <c r="K1085" s="4">
        <f t="shared" si="5"/>
        <v>1.6</v>
      </c>
      <c r="L1085" s="4">
        <f t="shared" si="6"/>
        <v>1.536</v>
      </c>
    </row>
    <row r="1086">
      <c r="A1086" s="3">
        <v>883.0</v>
      </c>
      <c r="B1086" s="1" t="s">
        <v>1646</v>
      </c>
      <c r="C1086" s="3">
        <v>2.0</v>
      </c>
      <c r="D1086" s="5"/>
      <c r="E1086" s="5"/>
      <c r="F1086" s="5"/>
      <c r="G1086" s="4">
        <f t="shared" si="1"/>
        <v>1</v>
      </c>
      <c r="H1086" s="4" t="str">
        <f t="shared" si="2"/>
        <v>Sin precio neto</v>
      </c>
      <c r="I1086" s="4" t="str">
        <f t="shared" si="3"/>
        <v>Sin precio neto G.C.</v>
      </c>
      <c r="J1086" s="4">
        <f t="shared" si="4"/>
        <v>0.96</v>
      </c>
      <c r="K1086" s="4">
        <f t="shared" si="5"/>
        <v>1</v>
      </c>
      <c r="L1086" s="4">
        <f t="shared" si="6"/>
        <v>0.96</v>
      </c>
    </row>
    <row r="1087">
      <c r="A1087" s="1" t="s">
        <v>1647</v>
      </c>
      <c r="B1087" s="1" t="s">
        <v>1648</v>
      </c>
      <c r="C1087" s="3">
        <v>3.0</v>
      </c>
      <c r="D1087" s="5"/>
      <c r="E1087" s="5"/>
      <c r="F1087" s="5"/>
      <c r="G1087" s="4">
        <f t="shared" si="1"/>
        <v>1.5</v>
      </c>
      <c r="H1087" s="4" t="str">
        <f t="shared" si="2"/>
        <v>Sin precio neto</v>
      </c>
      <c r="I1087" s="4" t="str">
        <f t="shared" si="3"/>
        <v>Sin precio neto G.C.</v>
      </c>
      <c r="J1087" s="4">
        <f t="shared" si="4"/>
        <v>1.44</v>
      </c>
      <c r="K1087" s="4">
        <f t="shared" si="5"/>
        <v>1.5</v>
      </c>
      <c r="L1087" s="4">
        <f t="shared" si="6"/>
        <v>1.44</v>
      </c>
    </row>
    <row r="1088">
      <c r="A1088" s="1" t="s">
        <v>1649</v>
      </c>
      <c r="B1088" s="1" t="s">
        <v>1650</v>
      </c>
      <c r="C1088" s="3">
        <v>4.0</v>
      </c>
      <c r="D1088" s="5"/>
      <c r="E1088" s="5"/>
      <c r="F1088" s="5"/>
      <c r="G1088" s="4">
        <f t="shared" si="1"/>
        <v>2</v>
      </c>
      <c r="H1088" s="4" t="str">
        <f t="shared" si="2"/>
        <v>Sin precio neto</v>
      </c>
      <c r="I1088" s="4" t="str">
        <f t="shared" si="3"/>
        <v>Sin precio neto G.C.</v>
      </c>
      <c r="J1088" s="4">
        <f t="shared" si="4"/>
        <v>1.92</v>
      </c>
      <c r="K1088" s="4">
        <f t="shared" si="5"/>
        <v>2</v>
      </c>
      <c r="L1088" s="4">
        <f t="shared" si="6"/>
        <v>1.92</v>
      </c>
    </row>
    <row r="1089">
      <c r="A1089" s="3">
        <v>884.0</v>
      </c>
      <c r="B1089" s="1" t="s">
        <v>1651</v>
      </c>
      <c r="C1089" s="3">
        <v>2.0</v>
      </c>
      <c r="D1089" s="5"/>
      <c r="E1089" s="5"/>
      <c r="F1089" s="5"/>
      <c r="G1089" s="4">
        <f t="shared" si="1"/>
        <v>1</v>
      </c>
      <c r="H1089" s="4" t="str">
        <f t="shared" si="2"/>
        <v>Sin precio neto</v>
      </c>
      <c r="I1089" s="4" t="str">
        <f t="shared" si="3"/>
        <v>Sin precio neto G.C.</v>
      </c>
      <c r="J1089" s="4">
        <f t="shared" si="4"/>
        <v>0.96</v>
      </c>
      <c r="K1089" s="4">
        <f t="shared" si="5"/>
        <v>1</v>
      </c>
      <c r="L1089" s="4">
        <f t="shared" si="6"/>
        <v>0.96</v>
      </c>
    </row>
    <row r="1090">
      <c r="A1090" s="1" t="s">
        <v>1652</v>
      </c>
      <c r="B1090" s="1" t="s">
        <v>1653</v>
      </c>
      <c r="C1090" s="3">
        <v>3.0</v>
      </c>
      <c r="D1090" s="5"/>
      <c r="E1090" s="5"/>
      <c r="F1090" s="5"/>
      <c r="G1090" s="4">
        <f t="shared" si="1"/>
        <v>1.5</v>
      </c>
      <c r="H1090" s="4" t="str">
        <f t="shared" si="2"/>
        <v>Sin precio neto</v>
      </c>
      <c r="I1090" s="4" t="str">
        <f t="shared" si="3"/>
        <v>Sin precio neto G.C.</v>
      </c>
      <c r="J1090" s="4">
        <f t="shared" si="4"/>
        <v>1.44</v>
      </c>
      <c r="K1090" s="4">
        <f t="shared" si="5"/>
        <v>1.5</v>
      </c>
      <c r="L1090" s="4">
        <f t="shared" si="6"/>
        <v>1.44</v>
      </c>
    </row>
    <row r="1091">
      <c r="A1091" s="1" t="s">
        <v>1654</v>
      </c>
      <c r="B1091" s="1" t="s">
        <v>1655</v>
      </c>
      <c r="C1091" s="3">
        <v>4.0</v>
      </c>
      <c r="D1091" s="5"/>
      <c r="E1091" s="5"/>
      <c r="F1091" s="5"/>
      <c r="G1091" s="4">
        <f t="shared" si="1"/>
        <v>2</v>
      </c>
      <c r="H1091" s="4" t="str">
        <f t="shared" si="2"/>
        <v>Sin precio neto</v>
      </c>
      <c r="I1091" s="4" t="str">
        <f t="shared" si="3"/>
        <v>Sin precio neto G.C.</v>
      </c>
      <c r="J1091" s="4">
        <f t="shared" si="4"/>
        <v>1.92</v>
      </c>
      <c r="K1091" s="4">
        <f t="shared" si="5"/>
        <v>2</v>
      </c>
      <c r="L1091" s="4">
        <f t="shared" si="6"/>
        <v>1.92</v>
      </c>
    </row>
    <row r="1092">
      <c r="A1092" s="3">
        <v>885.0</v>
      </c>
      <c r="B1092" s="1" t="s">
        <v>1656</v>
      </c>
      <c r="C1092" s="3">
        <v>2.0</v>
      </c>
      <c r="D1092" s="5"/>
      <c r="E1092" s="5"/>
      <c r="F1092" s="5"/>
      <c r="G1092" s="4">
        <f t="shared" si="1"/>
        <v>1</v>
      </c>
      <c r="H1092" s="4" t="str">
        <f t="shared" si="2"/>
        <v>Sin precio neto</v>
      </c>
      <c r="I1092" s="4" t="str">
        <f t="shared" si="3"/>
        <v>Sin precio neto G.C.</v>
      </c>
      <c r="J1092" s="4">
        <f t="shared" si="4"/>
        <v>0.96</v>
      </c>
      <c r="K1092" s="4">
        <f t="shared" si="5"/>
        <v>1</v>
      </c>
      <c r="L1092" s="4">
        <f t="shared" si="6"/>
        <v>0.96</v>
      </c>
    </row>
    <row r="1093">
      <c r="A1093" s="1" t="s">
        <v>1657</v>
      </c>
      <c r="B1093" s="1" t="s">
        <v>1658</v>
      </c>
      <c r="C1093" s="3">
        <v>3.0</v>
      </c>
      <c r="D1093" s="5"/>
      <c r="E1093" s="5"/>
      <c r="F1093" s="5"/>
      <c r="G1093" s="4">
        <f t="shared" si="1"/>
        <v>1.5</v>
      </c>
      <c r="H1093" s="4" t="str">
        <f t="shared" si="2"/>
        <v>Sin precio neto</v>
      </c>
      <c r="I1093" s="4" t="str">
        <f t="shared" si="3"/>
        <v>Sin precio neto G.C.</v>
      </c>
      <c r="J1093" s="4">
        <f t="shared" si="4"/>
        <v>1.44</v>
      </c>
      <c r="K1093" s="4">
        <f t="shared" si="5"/>
        <v>1.5</v>
      </c>
      <c r="L1093" s="4">
        <f t="shared" si="6"/>
        <v>1.44</v>
      </c>
    </row>
    <row r="1094">
      <c r="A1094" s="1" t="s">
        <v>1659</v>
      </c>
      <c r="B1094" s="1" t="s">
        <v>1660</v>
      </c>
      <c r="C1094" s="3">
        <v>4.0</v>
      </c>
      <c r="D1094" s="5"/>
      <c r="E1094" s="5"/>
      <c r="F1094" s="5"/>
      <c r="G1094" s="4">
        <f t="shared" si="1"/>
        <v>2</v>
      </c>
      <c r="H1094" s="4" t="str">
        <f t="shared" si="2"/>
        <v>Sin precio neto</v>
      </c>
      <c r="I1094" s="4" t="str">
        <f t="shared" si="3"/>
        <v>Sin precio neto G.C.</v>
      </c>
      <c r="J1094" s="4">
        <f t="shared" si="4"/>
        <v>1.92</v>
      </c>
      <c r="K1094" s="4">
        <f t="shared" si="5"/>
        <v>2</v>
      </c>
      <c r="L1094" s="4">
        <f t="shared" si="6"/>
        <v>1.92</v>
      </c>
    </row>
    <row r="1095">
      <c r="A1095" s="3">
        <v>886.0</v>
      </c>
      <c r="B1095" s="1" t="s">
        <v>1661</v>
      </c>
      <c r="C1095" s="3">
        <v>2.0</v>
      </c>
      <c r="D1095" s="5"/>
      <c r="E1095" s="5"/>
      <c r="F1095" s="5"/>
      <c r="G1095" s="4">
        <f t="shared" si="1"/>
        <v>1</v>
      </c>
      <c r="H1095" s="4" t="str">
        <f t="shared" si="2"/>
        <v>Sin precio neto</v>
      </c>
      <c r="I1095" s="4" t="str">
        <f t="shared" si="3"/>
        <v>Sin precio neto G.C.</v>
      </c>
      <c r="J1095" s="4">
        <f t="shared" si="4"/>
        <v>0.96</v>
      </c>
      <c r="K1095" s="4">
        <f t="shared" si="5"/>
        <v>1</v>
      </c>
      <c r="L1095" s="4">
        <f t="shared" si="6"/>
        <v>0.96</v>
      </c>
    </row>
    <row r="1096">
      <c r="A1096" s="1" t="s">
        <v>1662</v>
      </c>
      <c r="B1096" s="1" t="s">
        <v>1663</v>
      </c>
      <c r="C1096" s="3">
        <v>4.0</v>
      </c>
      <c r="D1096" s="5"/>
      <c r="E1096" s="5"/>
      <c r="F1096" s="5"/>
      <c r="G1096" s="4">
        <f t="shared" si="1"/>
        <v>2</v>
      </c>
      <c r="H1096" s="4" t="str">
        <f t="shared" si="2"/>
        <v>Sin precio neto</v>
      </c>
      <c r="I1096" s="4" t="str">
        <f t="shared" si="3"/>
        <v>Sin precio neto G.C.</v>
      </c>
      <c r="J1096" s="4">
        <f t="shared" si="4"/>
        <v>1.92</v>
      </c>
      <c r="K1096" s="4">
        <f t="shared" si="5"/>
        <v>2</v>
      </c>
      <c r="L1096" s="4">
        <f t="shared" si="6"/>
        <v>1.92</v>
      </c>
    </row>
    <row r="1097">
      <c r="A1097" s="1" t="s">
        <v>1664</v>
      </c>
      <c r="B1097" s="1" t="s">
        <v>1665</v>
      </c>
      <c r="C1097" s="3">
        <v>3.0</v>
      </c>
      <c r="D1097" s="5"/>
      <c r="E1097" s="5"/>
      <c r="F1097" s="5"/>
      <c r="G1097" s="4">
        <f t="shared" si="1"/>
        <v>1.5</v>
      </c>
      <c r="H1097" s="4" t="str">
        <f t="shared" si="2"/>
        <v>Sin precio neto</v>
      </c>
      <c r="I1097" s="4" t="str">
        <f t="shared" si="3"/>
        <v>Sin precio neto G.C.</v>
      </c>
      <c r="J1097" s="4">
        <f t="shared" si="4"/>
        <v>1.44</v>
      </c>
      <c r="K1097" s="4">
        <f t="shared" si="5"/>
        <v>1.5</v>
      </c>
      <c r="L1097" s="4">
        <f t="shared" si="6"/>
        <v>1.44</v>
      </c>
    </row>
    <row r="1098">
      <c r="A1098" s="3">
        <v>887.0</v>
      </c>
      <c r="B1098" s="1" t="s">
        <v>1666</v>
      </c>
      <c r="C1098" s="3">
        <v>2.0</v>
      </c>
      <c r="D1098" s="5"/>
      <c r="E1098" s="5"/>
      <c r="F1098" s="5"/>
      <c r="G1098" s="4">
        <f t="shared" si="1"/>
        <v>1</v>
      </c>
      <c r="H1098" s="4" t="str">
        <f t="shared" si="2"/>
        <v>Sin precio neto</v>
      </c>
      <c r="I1098" s="4" t="str">
        <f t="shared" si="3"/>
        <v>Sin precio neto G.C.</v>
      </c>
      <c r="J1098" s="4">
        <f t="shared" si="4"/>
        <v>0.96</v>
      </c>
      <c r="K1098" s="4">
        <f t="shared" si="5"/>
        <v>1</v>
      </c>
      <c r="L1098" s="4">
        <f t="shared" si="6"/>
        <v>0.96</v>
      </c>
    </row>
    <row r="1099">
      <c r="A1099" s="1" t="s">
        <v>1667</v>
      </c>
      <c r="B1099" s="1" t="s">
        <v>1668</v>
      </c>
      <c r="C1099" s="3">
        <v>3.0</v>
      </c>
      <c r="D1099" s="5"/>
      <c r="E1099" s="5"/>
      <c r="F1099" s="5"/>
      <c r="G1099" s="4">
        <f t="shared" si="1"/>
        <v>1.5</v>
      </c>
      <c r="H1099" s="4" t="str">
        <f t="shared" si="2"/>
        <v>Sin precio neto</v>
      </c>
      <c r="I1099" s="4" t="str">
        <f t="shared" si="3"/>
        <v>Sin precio neto G.C.</v>
      </c>
      <c r="J1099" s="4">
        <f t="shared" si="4"/>
        <v>1.44</v>
      </c>
      <c r="K1099" s="4">
        <f t="shared" si="5"/>
        <v>1.5</v>
      </c>
      <c r="L1099" s="4">
        <f t="shared" si="6"/>
        <v>1.44</v>
      </c>
    </row>
    <row r="1100">
      <c r="A1100" s="1" t="s">
        <v>1669</v>
      </c>
      <c r="B1100" s="1" t="s">
        <v>1670</v>
      </c>
      <c r="C1100" s="3">
        <v>4.0</v>
      </c>
      <c r="D1100" s="5"/>
      <c r="E1100" s="5"/>
      <c r="F1100" s="5"/>
      <c r="G1100" s="4">
        <f t="shared" si="1"/>
        <v>2</v>
      </c>
      <c r="H1100" s="4" t="str">
        <f t="shared" si="2"/>
        <v>Sin precio neto</v>
      </c>
      <c r="I1100" s="4" t="str">
        <f t="shared" si="3"/>
        <v>Sin precio neto G.C.</v>
      </c>
      <c r="J1100" s="4">
        <f t="shared" si="4"/>
        <v>1.92</v>
      </c>
      <c r="K1100" s="4">
        <f t="shared" si="5"/>
        <v>2</v>
      </c>
      <c r="L1100" s="4">
        <f t="shared" si="6"/>
        <v>1.92</v>
      </c>
    </row>
    <row r="1101">
      <c r="A1101" s="3">
        <v>888.0</v>
      </c>
      <c r="B1101" s="1" t="s">
        <v>1671</v>
      </c>
      <c r="C1101" s="3">
        <v>2.0</v>
      </c>
      <c r="D1101" s="5"/>
      <c r="E1101" s="5"/>
      <c r="F1101" s="5"/>
      <c r="G1101" s="4">
        <f t="shared" si="1"/>
        <v>1</v>
      </c>
      <c r="H1101" s="4" t="str">
        <f t="shared" si="2"/>
        <v>Sin precio neto</v>
      </c>
      <c r="I1101" s="4" t="str">
        <f t="shared" si="3"/>
        <v>Sin precio neto G.C.</v>
      </c>
      <c r="J1101" s="4">
        <f t="shared" si="4"/>
        <v>0.96</v>
      </c>
      <c r="K1101" s="4">
        <f t="shared" si="5"/>
        <v>1</v>
      </c>
      <c r="L1101" s="4">
        <f t="shared" si="6"/>
        <v>0.96</v>
      </c>
    </row>
    <row r="1102">
      <c r="A1102" s="1" t="s">
        <v>1672</v>
      </c>
      <c r="B1102" s="1" t="s">
        <v>1673</v>
      </c>
      <c r="C1102" s="3">
        <v>3.0</v>
      </c>
      <c r="D1102" s="5"/>
      <c r="E1102" s="5"/>
      <c r="F1102" s="5"/>
      <c r="G1102" s="4">
        <f t="shared" si="1"/>
        <v>1.5</v>
      </c>
      <c r="H1102" s="4" t="str">
        <f t="shared" si="2"/>
        <v>Sin precio neto</v>
      </c>
      <c r="I1102" s="4" t="str">
        <f t="shared" si="3"/>
        <v>Sin precio neto G.C.</v>
      </c>
      <c r="J1102" s="4">
        <f t="shared" si="4"/>
        <v>1.44</v>
      </c>
      <c r="K1102" s="4">
        <f t="shared" si="5"/>
        <v>1.5</v>
      </c>
      <c r="L1102" s="4">
        <f t="shared" si="6"/>
        <v>1.44</v>
      </c>
    </row>
    <row r="1103">
      <c r="A1103" s="1" t="s">
        <v>1674</v>
      </c>
      <c r="B1103" s="1" t="s">
        <v>1670</v>
      </c>
      <c r="C1103" s="3">
        <v>4.0</v>
      </c>
      <c r="D1103" s="5"/>
      <c r="E1103" s="5"/>
      <c r="F1103" s="5"/>
      <c r="G1103" s="4">
        <f t="shared" si="1"/>
        <v>2</v>
      </c>
      <c r="H1103" s="4" t="str">
        <f t="shared" si="2"/>
        <v>Sin precio neto</v>
      </c>
      <c r="I1103" s="4" t="str">
        <f t="shared" si="3"/>
        <v>Sin precio neto G.C.</v>
      </c>
      <c r="J1103" s="4">
        <f t="shared" si="4"/>
        <v>1.92</v>
      </c>
      <c r="K1103" s="4">
        <f t="shared" si="5"/>
        <v>2</v>
      </c>
      <c r="L1103" s="4">
        <f t="shared" si="6"/>
        <v>1.92</v>
      </c>
    </row>
    <row r="1104">
      <c r="A1104" s="3">
        <v>889.0</v>
      </c>
      <c r="B1104" s="1" t="s">
        <v>1675</v>
      </c>
      <c r="C1104" s="3">
        <v>2.0</v>
      </c>
      <c r="D1104" s="5"/>
      <c r="E1104" s="5"/>
      <c r="F1104" s="5"/>
      <c r="G1104" s="4">
        <f t="shared" si="1"/>
        <v>1</v>
      </c>
      <c r="H1104" s="4" t="str">
        <f t="shared" si="2"/>
        <v>Sin precio neto</v>
      </c>
      <c r="I1104" s="4" t="str">
        <f t="shared" si="3"/>
        <v>Sin precio neto G.C.</v>
      </c>
      <c r="J1104" s="4">
        <f t="shared" si="4"/>
        <v>0.96</v>
      </c>
      <c r="K1104" s="4">
        <f t="shared" si="5"/>
        <v>1</v>
      </c>
      <c r="L1104" s="4">
        <f t="shared" si="6"/>
        <v>0.96</v>
      </c>
    </row>
    <row r="1105">
      <c r="A1105" s="1" t="s">
        <v>1676</v>
      </c>
      <c r="B1105" s="1" t="s">
        <v>1677</v>
      </c>
      <c r="C1105" s="3">
        <v>3.0</v>
      </c>
      <c r="D1105" s="5"/>
      <c r="E1105" s="5"/>
      <c r="F1105" s="5"/>
      <c r="G1105" s="4">
        <f t="shared" si="1"/>
        <v>1.5</v>
      </c>
      <c r="H1105" s="4" t="str">
        <f t="shared" si="2"/>
        <v>Sin precio neto</v>
      </c>
      <c r="I1105" s="4" t="str">
        <f t="shared" si="3"/>
        <v>Sin precio neto G.C.</v>
      </c>
      <c r="J1105" s="4">
        <f t="shared" si="4"/>
        <v>1.44</v>
      </c>
      <c r="K1105" s="4">
        <f t="shared" si="5"/>
        <v>1.5</v>
      </c>
      <c r="L1105" s="4">
        <f t="shared" si="6"/>
        <v>1.44</v>
      </c>
    </row>
    <row r="1106">
      <c r="A1106" s="1" t="s">
        <v>1678</v>
      </c>
      <c r="B1106" s="1" t="s">
        <v>1679</v>
      </c>
      <c r="C1106" s="3">
        <v>4.0</v>
      </c>
      <c r="D1106" s="5"/>
      <c r="E1106" s="5"/>
      <c r="F1106" s="5"/>
      <c r="G1106" s="4">
        <f t="shared" si="1"/>
        <v>2</v>
      </c>
      <c r="H1106" s="4" t="str">
        <f t="shared" si="2"/>
        <v>Sin precio neto</v>
      </c>
      <c r="I1106" s="4" t="str">
        <f t="shared" si="3"/>
        <v>Sin precio neto G.C.</v>
      </c>
      <c r="J1106" s="4">
        <f t="shared" si="4"/>
        <v>1.92</v>
      </c>
      <c r="K1106" s="4">
        <f t="shared" si="5"/>
        <v>2</v>
      </c>
      <c r="L1106" s="4">
        <f t="shared" si="6"/>
        <v>1.92</v>
      </c>
    </row>
    <row r="1107">
      <c r="A1107" s="3">
        <v>890.0</v>
      </c>
      <c r="B1107" s="1" t="s">
        <v>1675</v>
      </c>
      <c r="C1107" s="3">
        <v>2.0</v>
      </c>
      <c r="D1107" s="5"/>
      <c r="E1107" s="5"/>
      <c r="F1107" s="5"/>
      <c r="G1107" s="4">
        <f t="shared" si="1"/>
        <v>1</v>
      </c>
      <c r="H1107" s="4" t="str">
        <f t="shared" si="2"/>
        <v>Sin precio neto</v>
      </c>
      <c r="I1107" s="4" t="str">
        <f t="shared" si="3"/>
        <v>Sin precio neto G.C.</v>
      </c>
      <c r="J1107" s="4">
        <f t="shared" si="4"/>
        <v>0.96</v>
      </c>
      <c r="K1107" s="4">
        <f t="shared" si="5"/>
        <v>1</v>
      </c>
      <c r="L1107" s="4">
        <f t="shared" si="6"/>
        <v>0.96</v>
      </c>
    </row>
    <row r="1108">
      <c r="A1108" s="1" t="s">
        <v>1680</v>
      </c>
      <c r="B1108" s="1" t="s">
        <v>1677</v>
      </c>
      <c r="C1108" s="3">
        <v>3.0</v>
      </c>
      <c r="D1108" s="5"/>
      <c r="E1108" s="5"/>
      <c r="F1108" s="5"/>
      <c r="G1108" s="4">
        <f t="shared" si="1"/>
        <v>1.5</v>
      </c>
      <c r="H1108" s="4" t="str">
        <f t="shared" si="2"/>
        <v>Sin precio neto</v>
      </c>
      <c r="I1108" s="4" t="str">
        <f t="shared" si="3"/>
        <v>Sin precio neto G.C.</v>
      </c>
      <c r="J1108" s="4">
        <f t="shared" si="4"/>
        <v>1.44</v>
      </c>
      <c r="K1108" s="4">
        <f t="shared" si="5"/>
        <v>1.5</v>
      </c>
      <c r="L1108" s="4">
        <f t="shared" si="6"/>
        <v>1.44</v>
      </c>
    </row>
    <row r="1109">
      <c r="A1109" s="1" t="s">
        <v>1681</v>
      </c>
      <c r="B1109" s="1" t="s">
        <v>1679</v>
      </c>
      <c r="C1109" s="3">
        <v>4.0</v>
      </c>
      <c r="D1109" s="5"/>
      <c r="E1109" s="5"/>
      <c r="F1109" s="5"/>
      <c r="G1109" s="4">
        <f t="shared" si="1"/>
        <v>2</v>
      </c>
      <c r="H1109" s="4" t="str">
        <f t="shared" si="2"/>
        <v>Sin precio neto</v>
      </c>
      <c r="I1109" s="4" t="str">
        <f t="shared" si="3"/>
        <v>Sin precio neto G.C.</v>
      </c>
      <c r="J1109" s="4">
        <f t="shared" si="4"/>
        <v>1.92</v>
      </c>
      <c r="K1109" s="4">
        <f t="shared" si="5"/>
        <v>2</v>
      </c>
      <c r="L1109" s="4">
        <f t="shared" si="6"/>
        <v>1.92</v>
      </c>
    </row>
    <row r="1110">
      <c r="A1110" s="3">
        <v>891.0</v>
      </c>
      <c r="B1110" s="1" t="s">
        <v>1682</v>
      </c>
      <c r="C1110" s="3">
        <v>2.0</v>
      </c>
      <c r="D1110" s="5"/>
      <c r="E1110" s="5"/>
      <c r="F1110" s="5"/>
      <c r="G1110" s="4">
        <f t="shared" si="1"/>
        <v>1</v>
      </c>
      <c r="H1110" s="4" t="str">
        <f t="shared" si="2"/>
        <v>Sin precio neto</v>
      </c>
      <c r="I1110" s="4" t="str">
        <f t="shared" si="3"/>
        <v>Sin precio neto G.C.</v>
      </c>
      <c r="J1110" s="4">
        <f t="shared" si="4"/>
        <v>0.96</v>
      </c>
      <c r="K1110" s="4">
        <f t="shared" si="5"/>
        <v>1</v>
      </c>
      <c r="L1110" s="4">
        <f t="shared" si="6"/>
        <v>0.96</v>
      </c>
    </row>
    <row r="1111">
      <c r="A1111" s="1" t="s">
        <v>1683</v>
      </c>
      <c r="B1111" s="1" t="s">
        <v>1684</v>
      </c>
      <c r="C1111" s="3">
        <v>3.0</v>
      </c>
      <c r="D1111" s="5"/>
      <c r="E1111" s="5"/>
      <c r="F1111" s="5"/>
      <c r="G1111" s="4">
        <f t="shared" si="1"/>
        <v>1.5</v>
      </c>
      <c r="H1111" s="4" t="str">
        <f t="shared" si="2"/>
        <v>Sin precio neto</v>
      </c>
      <c r="I1111" s="4" t="str">
        <f t="shared" si="3"/>
        <v>Sin precio neto G.C.</v>
      </c>
      <c r="J1111" s="4">
        <f t="shared" si="4"/>
        <v>1.44</v>
      </c>
      <c r="K1111" s="4">
        <f t="shared" si="5"/>
        <v>1.5</v>
      </c>
      <c r="L1111" s="4">
        <f t="shared" si="6"/>
        <v>1.44</v>
      </c>
    </row>
    <row r="1112">
      <c r="A1112" s="1" t="s">
        <v>1685</v>
      </c>
      <c r="B1112" s="1" t="s">
        <v>1686</v>
      </c>
      <c r="C1112" s="3">
        <v>4.0</v>
      </c>
      <c r="D1112" s="5"/>
      <c r="E1112" s="5"/>
      <c r="F1112" s="5"/>
      <c r="G1112" s="4">
        <f t="shared" si="1"/>
        <v>2</v>
      </c>
      <c r="H1112" s="4" t="str">
        <f t="shared" si="2"/>
        <v>Sin precio neto</v>
      </c>
      <c r="I1112" s="4" t="str">
        <f t="shared" si="3"/>
        <v>Sin precio neto G.C.</v>
      </c>
      <c r="J1112" s="4">
        <f t="shared" si="4"/>
        <v>1.92</v>
      </c>
      <c r="K1112" s="4">
        <f t="shared" si="5"/>
        <v>2</v>
      </c>
      <c r="L1112" s="4">
        <f t="shared" si="6"/>
        <v>1.92</v>
      </c>
    </row>
    <row r="1113">
      <c r="A1113" s="3">
        <v>892.0</v>
      </c>
      <c r="B1113" s="1" t="s">
        <v>1687</v>
      </c>
      <c r="C1113" s="3">
        <v>2.0</v>
      </c>
      <c r="D1113" s="5"/>
      <c r="E1113" s="5"/>
      <c r="F1113" s="5"/>
      <c r="G1113" s="4">
        <f t="shared" si="1"/>
        <v>1</v>
      </c>
      <c r="H1113" s="4" t="str">
        <f t="shared" si="2"/>
        <v>Sin precio neto</v>
      </c>
      <c r="I1113" s="4" t="str">
        <f t="shared" si="3"/>
        <v>Sin precio neto G.C.</v>
      </c>
      <c r="J1113" s="4">
        <f t="shared" si="4"/>
        <v>0.96</v>
      </c>
      <c r="K1113" s="4">
        <f t="shared" si="5"/>
        <v>1</v>
      </c>
      <c r="L1113" s="4">
        <f t="shared" si="6"/>
        <v>0.96</v>
      </c>
    </row>
    <row r="1114">
      <c r="A1114" s="1" t="s">
        <v>1688</v>
      </c>
      <c r="B1114" s="1" t="s">
        <v>1689</v>
      </c>
      <c r="C1114" s="3">
        <v>3.0</v>
      </c>
      <c r="D1114" s="5"/>
      <c r="E1114" s="5"/>
      <c r="F1114" s="5"/>
      <c r="G1114" s="4">
        <f t="shared" si="1"/>
        <v>1.5</v>
      </c>
      <c r="H1114" s="4" t="str">
        <f t="shared" si="2"/>
        <v>Sin precio neto</v>
      </c>
      <c r="I1114" s="4" t="str">
        <f t="shared" si="3"/>
        <v>Sin precio neto G.C.</v>
      </c>
      <c r="J1114" s="4">
        <f t="shared" si="4"/>
        <v>1.44</v>
      </c>
      <c r="K1114" s="4">
        <f t="shared" si="5"/>
        <v>1.5</v>
      </c>
      <c r="L1114" s="4">
        <f t="shared" si="6"/>
        <v>1.44</v>
      </c>
    </row>
    <row r="1115">
      <c r="A1115" s="1" t="s">
        <v>1690</v>
      </c>
      <c r="B1115" s="1" t="s">
        <v>1691</v>
      </c>
      <c r="C1115" s="3">
        <v>4.0</v>
      </c>
      <c r="D1115" s="5"/>
      <c r="E1115" s="5"/>
      <c r="F1115" s="5"/>
      <c r="G1115" s="4">
        <f t="shared" si="1"/>
        <v>2</v>
      </c>
      <c r="H1115" s="4" t="str">
        <f t="shared" si="2"/>
        <v>Sin precio neto</v>
      </c>
      <c r="I1115" s="4" t="str">
        <f t="shared" si="3"/>
        <v>Sin precio neto G.C.</v>
      </c>
      <c r="J1115" s="4">
        <f t="shared" si="4"/>
        <v>1.92</v>
      </c>
      <c r="K1115" s="4">
        <f t="shared" si="5"/>
        <v>2</v>
      </c>
      <c r="L1115" s="4">
        <f t="shared" si="6"/>
        <v>1.92</v>
      </c>
    </row>
    <row r="1116">
      <c r="A1116" s="3">
        <v>893.0</v>
      </c>
      <c r="B1116" s="1" t="s">
        <v>1692</v>
      </c>
      <c r="C1116" s="3">
        <v>2.0</v>
      </c>
      <c r="D1116" s="5"/>
      <c r="E1116" s="5"/>
      <c r="F1116" s="5"/>
      <c r="G1116" s="4">
        <f t="shared" si="1"/>
        <v>1</v>
      </c>
      <c r="H1116" s="4" t="str">
        <f t="shared" si="2"/>
        <v>Sin precio neto</v>
      </c>
      <c r="I1116" s="4" t="str">
        <f t="shared" si="3"/>
        <v>Sin precio neto G.C.</v>
      </c>
      <c r="J1116" s="4">
        <f t="shared" si="4"/>
        <v>0.96</v>
      </c>
      <c r="K1116" s="4">
        <f t="shared" si="5"/>
        <v>1</v>
      </c>
      <c r="L1116" s="4">
        <f t="shared" si="6"/>
        <v>0.96</v>
      </c>
    </row>
    <row r="1117">
      <c r="A1117" s="1" t="s">
        <v>1693</v>
      </c>
      <c r="B1117" s="1" t="s">
        <v>1694</v>
      </c>
      <c r="C1117" s="3">
        <v>3.0</v>
      </c>
      <c r="D1117" s="5"/>
      <c r="E1117" s="5"/>
      <c r="F1117" s="5"/>
      <c r="G1117" s="4">
        <f t="shared" si="1"/>
        <v>1.5</v>
      </c>
      <c r="H1117" s="4" t="str">
        <f t="shared" si="2"/>
        <v>Sin precio neto</v>
      </c>
      <c r="I1117" s="4" t="str">
        <f t="shared" si="3"/>
        <v>Sin precio neto G.C.</v>
      </c>
      <c r="J1117" s="4">
        <f t="shared" si="4"/>
        <v>1.44</v>
      </c>
      <c r="K1117" s="4">
        <f t="shared" si="5"/>
        <v>1.5</v>
      </c>
      <c r="L1117" s="4">
        <f t="shared" si="6"/>
        <v>1.44</v>
      </c>
    </row>
    <row r="1118">
      <c r="A1118" s="1" t="s">
        <v>1695</v>
      </c>
      <c r="B1118" s="1" t="s">
        <v>1696</v>
      </c>
      <c r="C1118" s="3">
        <v>4.0</v>
      </c>
      <c r="D1118" s="5"/>
      <c r="E1118" s="5"/>
      <c r="F1118" s="5"/>
      <c r="G1118" s="4">
        <f t="shared" si="1"/>
        <v>2</v>
      </c>
      <c r="H1118" s="4" t="str">
        <f t="shared" si="2"/>
        <v>Sin precio neto</v>
      </c>
      <c r="I1118" s="4" t="str">
        <f t="shared" si="3"/>
        <v>Sin precio neto G.C.</v>
      </c>
      <c r="J1118" s="4">
        <f t="shared" si="4"/>
        <v>1.92</v>
      </c>
      <c r="K1118" s="4">
        <f t="shared" si="5"/>
        <v>2</v>
      </c>
      <c r="L1118" s="4">
        <f t="shared" si="6"/>
        <v>1.92</v>
      </c>
    </row>
    <row r="1119">
      <c r="A1119" s="3">
        <v>894.0</v>
      </c>
      <c r="B1119" s="1" t="s">
        <v>1697</v>
      </c>
      <c r="C1119" s="3">
        <v>2.0</v>
      </c>
      <c r="D1119" s="5"/>
      <c r="E1119" s="5"/>
      <c r="F1119" s="5"/>
      <c r="G1119" s="4">
        <f t="shared" si="1"/>
        <v>1</v>
      </c>
      <c r="H1119" s="4" t="str">
        <f t="shared" si="2"/>
        <v>Sin precio neto</v>
      </c>
      <c r="I1119" s="4" t="str">
        <f t="shared" si="3"/>
        <v>Sin precio neto G.C.</v>
      </c>
      <c r="J1119" s="4">
        <f t="shared" si="4"/>
        <v>0.96</v>
      </c>
      <c r="K1119" s="4">
        <f t="shared" si="5"/>
        <v>1</v>
      </c>
      <c r="L1119" s="4">
        <f t="shared" si="6"/>
        <v>0.96</v>
      </c>
    </row>
    <row r="1120">
      <c r="A1120" s="1" t="s">
        <v>1698</v>
      </c>
      <c r="B1120" s="1" t="s">
        <v>1699</v>
      </c>
      <c r="C1120" s="3">
        <v>3.0</v>
      </c>
      <c r="D1120" s="5"/>
      <c r="E1120" s="5"/>
      <c r="F1120" s="5"/>
      <c r="G1120" s="4">
        <f t="shared" si="1"/>
        <v>1.5</v>
      </c>
      <c r="H1120" s="4" t="str">
        <f t="shared" si="2"/>
        <v>Sin precio neto</v>
      </c>
      <c r="I1120" s="4" t="str">
        <f t="shared" si="3"/>
        <v>Sin precio neto G.C.</v>
      </c>
      <c r="J1120" s="4">
        <f t="shared" si="4"/>
        <v>1.44</v>
      </c>
      <c r="K1120" s="4">
        <f t="shared" si="5"/>
        <v>1.5</v>
      </c>
      <c r="L1120" s="4">
        <f t="shared" si="6"/>
        <v>1.44</v>
      </c>
    </row>
    <row r="1121">
      <c r="A1121" s="1" t="s">
        <v>1700</v>
      </c>
      <c r="B1121" s="1" t="s">
        <v>1696</v>
      </c>
      <c r="C1121" s="3">
        <v>4.0</v>
      </c>
      <c r="D1121" s="5"/>
      <c r="E1121" s="5"/>
      <c r="F1121" s="5"/>
      <c r="G1121" s="4">
        <f t="shared" si="1"/>
        <v>2</v>
      </c>
      <c r="H1121" s="4" t="str">
        <f t="shared" si="2"/>
        <v>Sin precio neto</v>
      </c>
      <c r="I1121" s="4" t="str">
        <f t="shared" si="3"/>
        <v>Sin precio neto G.C.</v>
      </c>
      <c r="J1121" s="4">
        <f t="shared" si="4"/>
        <v>1.92</v>
      </c>
      <c r="K1121" s="4">
        <f t="shared" si="5"/>
        <v>2</v>
      </c>
      <c r="L1121" s="4">
        <f t="shared" si="6"/>
        <v>1.92</v>
      </c>
    </row>
    <row r="1122">
      <c r="A1122" s="3">
        <v>895.0</v>
      </c>
      <c r="B1122" s="1" t="s">
        <v>1701</v>
      </c>
      <c r="C1122" s="3">
        <v>2.0</v>
      </c>
      <c r="D1122" s="5"/>
      <c r="E1122" s="5"/>
      <c r="F1122" s="5"/>
      <c r="G1122" s="4">
        <f t="shared" si="1"/>
        <v>1</v>
      </c>
      <c r="H1122" s="4" t="str">
        <f t="shared" si="2"/>
        <v>Sin precio neto</v>
      </c>
      <c r="I1122" s="4" t="str">
        <f t="shared" si="3"/>
        <v>Sin precio neto G.C.</v>
      </c>
      <c r="J1122" s="4">
        <f t="shared" si="4"/>
        <v>0.96</v>
      </c>
      <c r="K1122" s="4">
        <f t="shared" si="5"/>
        <v>1</v>
      </c>
      <c r="L1122" s="4">
        <f t="shared" si="6"/>
        <v>0.96</v>
      </c>
    </row>
    <row r="1123">
      <c r="A1123" s="1" t="s">
        <v>1702</v>
      </c>
      <c r="B1123" s="1" t="s">
        <v>1703</v>
      </c>
      <c r="C1123" s="3">
        <v>3.0</v>
      </c>
      <c r="D1123" s="5"/>
      <c r="E1123" s="5"/>
      <c r="F1123" s="5"/>
      <c r="G1123" s="4">
        <f t="shared" si="1"/>
        <v>1.5</v>
      </c>
      <c r="H1123" s="4" t="str">
        <f t="shared" si="2"/>
        <v>Sin precio neto</v>
      </c>
      <c r="I1123" s="4" t="str">
        <f t="shared" si="3"/>
        <v>Sin precio neto G.C.</v>
      </c>
      <c r="J1123" s="4">
        <f t="shared" si="4"/>
        <v>1.44</v>
      </c>
      <c r="K1123" s="4">
        <f t="shared" si="5"/>
        <v>1.5</v>
      </c>
      <c r="L1123" s="4">
        <f t="shared" si="6"/>
        <v>1.44</v>
      </c>
    </row>
    <row r="1124">
      <c r="A1124" s="1" t="s">
        <v>1704</v>
      </c>
      <c r="B1124" s="1" t="s">
        <v>1705</v>
      </c>
      <c r="C1124" s="3">
        <v>4.0</v>
      </c>
      <c r="D1124" s="5"/>
      <c r="E1124" s="5"/>
      <c r="F1124" s="5"/>
      <c r="G1124" s="4">
        <f t="shared" si="1"/>
        <v>2</v>
      </c>
      <c r="H1124" s="4" t="str">
        <f t="shared" si="2"/>
        <v>Sin precio neto</v>
      </c>
      <c r="I1124" s="4" t="str">
        <f t="shared" si="3"/>
        <v>Sin precio neto G.C.</v>
      </c>
      <c r="J1124" s="4">
        <f t="shared" si="4"/>
        <v>1.92</v>
      </c>
      <c r="K1124" s="4">
        <f t="shared" si="5"/>
        <v>2</v>
      </c>
      <c r="L1124" s="4">
        <f t="shared" si="6"/>
        <v>1.92</v>
      </c>
    </row>
    <row r="1125">
      <c r="A1125" s="3">
        <v>896.0</v>
      </c>
      <c r="B1125" s="1" t="s">
        <v>1701</v>
      </c>
      <c r="C1125" s="3">
        <v>2.0</v>
      </c>
      <c r="D1125" s="5"/>
      <c r="E1125" s="5"/>
      <c r="F1125" s="5"/>
      <c r="G1125" s="4">
        <f t="shared" si="1"/>
        <v>1</v>
      </c>
      <c r="H1125" s="4" t="str">
        <f t="shared" si="2"/>
        <v>Sin precio neto</v>
      </c>
      <c r="I1125" s="4" t="str">
        <f t="shared" si="3"/>
        <v>Sin precio neto G.C.</v>
      </c>
      <c r="J1125" s="4">
        <f t="shared" si="4"/>
        <v>0.96</v>
      </c>
      <c r="K1125" s="4">
        <f t="shared" si="5"/>
        <v>1</v>
      </c>
      <c r="L1125" s="4">
        <f t="shared" si="6"/>
        <v>0.96</v>
      </c>
    </row>
    <row r="1126">
      <c r="A1126" s="1" t="s">
        <v>1706</v>
      </c>
      <c r="B1126" s="1" t="s">
        <v>1703</v>
      </c>
      <c r="C1126" s="3">
        <v>4.0</v>
      </c>
      <c r="D1126" s="5"/>
      <c r="E1126" s="5"/>
      <c r="F1126" s="5"/>
      <c r="G1126" s="4">
        <f t="shared" si="1"/>
        <v>2</v>
      </c>
      <c r="H1126" s="4" t="str">
        <f t="shared" si="2"/>
        <v>Sin precio neto</v>
      </c>
      <c r="I1126" s="4" t="str">
        <f t="shared" si="3"/>
        <v>Sin precio neto G.C.</v>
      </c>
      <c r="J1126" s="4">
        <f t="shared" si="4"/>
        <v>1.92</v>
      </c>
      <c r="K1126" s="4">
        <f t="shared" si="5"/>
        <v>2</v>
      </c>
      <c r="L1126" s="4">
        <f t="shared" si="6"/>
        <v>1.92</v>
      </c>
    </row>
    <row r="1127">
      <c r="A1127" s="1" t="s">
        <v>1707</v>
      </c>
      <c r="B1127" s="1" t="s">
        <v>1705</v>
      </c>
      <c r="C1127" s="3">
        <v>4.0</v>
      </c>
      <c r="D1127" s="5"/>
      <c r="E1127" s="5"/>
      <c r="F1127" s="5"/>
      <c r="G1127" s="4">
        <f t="shared" si="1"/>
        <v>2</v>
      </c>
      <c r="H1127" s="4" t="str">
        <f t="shared" si="2"/>
        <v>Sin precio neto</v>
      </c>
      <c r="I1127" s="4" t="str">
        <f t="shared" si="3"/>
        <v>Sin precio neto G.C.</v>
      </c>
      <c r="J1127" s="4">
        <f t="shared" si="4"/>
        <v>1.92</v>
      </c>
      <c r="K1127" s="4">
        <f t="shared" si="5"/>
        <v>2</v>
      </c>
      <c r="L1127" s="4">
        <f t="shared" si="6"/>
        <v>1.92</v>
      </c>
    </row>
    <row r="1128">
      <c r="A1128" s="1" t="s">
        <v>1708</v>
      </c>
      <c r="B1128" s="1" t="s">
        <v>1709</v>
      </c>
      <c r="C1128" s="3">
        <v>31.5</v>
      </c>
      <c r="D1128" s="5"/>
      <c r="E1128" s="5"/>
      <c r="F1128" s="5"/>
      <c r="G1128" s="4">
        <f t="shared" si="1"/>
        <v>15.75</v>
      </c>
      <c r="H1128" s="4" t="str">
        <f t="shared" si="2"/>
        <v>Sin precio neto</v>
      </c>
      <c r="I1128" s="4" t="str">
        <f t="shared" si="3"/>
        <v>Sin precio neto G.C.</v>
      </c>
      <c r="J1128" s="4">
        <f t="shared" si="4"/>
        <v>15.12</v>
      </c>
      <c r="K1128" s="4">
        <f t="shared" si="5"/>
        <v>15.75</v>
      </c>
      <c r="L1128" s="4">
        <f t="shared" si="6"/>
        <v>15.12</v>
      </c>
    </row>
    <row r="1129">
      <c r="A1129" s="1" t="s">
        <v>1710</v>
      </c>
      <c r="B1129" s="1" t="s">
        <v>1711</v>
      </c>
      <c r="C1129" s="3">
        <v>18.9</v>
      </c>
      <c r="D1129" s="5"/>
      <c r="E1129" s="5"/>
      <c r="F1129" s="5"/>
      <c r="G1129" s="4">
        <f t="shared" si="1"/>
        <v>9.45</v>
      </c>
      <c r="H1129" s="4" t="str">
        <f t="shared" si="2"/>
        <v>Sin precio neto</v>
      </c>
      <c r="I1129" s="4" t="str">
        <f t="shared" si="3"/>
        <v>Sin precio neto G.C.</v>
      </c>
      <c r="J1129" s="4">
        <f t="shared" si="4"/>
        <v>9.072</v>
      </c>
      <c r="K1129" s="4">
        <f t="shared" si="5"/>
        <v>9.45</v>
      </c>
      <c r="L1129" s="4">
        <f t="shared" si="6"/>
        <v>9.072</v>
      </c>
    </row>
    <row r="1130">
      <c r="A1130" s="1" t="s">
        <v>1712</v>
      </c>
      <c r="B1130" s="1" t="s">
        <v>1713</v>
      </c>
      <c r="C1130" s="3">
        <v>31.5</v>
      </c>
      <c r="D1130" s="5"/>
      <c r="E1130" s="5"/>
      <c r="F1130" s="5"/>
      <c r="G1130" s="4">
        <f t="shared" si="1"/>
        <v>15.75</v>
      </c>
      <c r="H1130" s="4" t="str">
        <f t="shared" si="2"/>
        <v>Sin precio neto</v>
      </c>
      <c r="I1130" s="4" t="str">
        <f t="shared" si="3"/>
        <v>Sin precio neto G.C.</v>
      </c>
      <c r="J1130" s="4">
        <f t="shared" si="4"/>
        <v>15.12</v>
      </c>
      <c r="K1130" s="4">
        <f t="shared" si="5"/>
        <v>15.75</v>
      </c>
      <c r="L1130" s="4">
        <f t="shared" si="6"/>
        <v>15.12</v>
      </c>
    </row>
    <row r="1131">
      <c r="A1131" s="1" t="s">
        <v>1714</v>
      </c>
      <c r="B1131" s="1" t="s">
        <v>1715</v>
      </c>
      <c r="C1131" s="3">
        <v>18.9</v>
      </c>
      <c r="D1131" s="5"/>
      <c r="E1131" s="5"/>
      <c r="F1131" s="5"/>
      <c r="G1131" s="4">
        <f t="shared" si="1"/>
        <v>9.45</v>
      </c>
      <c r="H1131" s="4" t="str">
        <f t="shared" si="2"/>
        <v>Sin precio neto</v>
      </c>
      <c r="I1131" s="4" t="str">
        <f t="shared" si="3"/>
        <v>Sin precio neto G.C.</v>
      </c>
      <c r="J1131" s="4">
        <f t="shared" si="4"/>
        <v>9.072</v>
      </c>
      <c r="K1131" s="4">
        <f t="shared" si="5"/>
        <v>9.45</v>
      </c>
      <c r="L1131" s="4">
        <f t="shared" si="6"/>
        <v>9.072</v>
      </c>
    </row>
    <row r="1132">
      <c r="A1132" s="3">
        <v>1029.0</v>
      </c>
      <c r="B1132" s="1" t="s">
        <v>1716</v>
      </c>
      <c r="C1132" s="3">
        <v>199.0</v>
      </c>
      <c r="D1132" s="5"/>
      <c r="E1132" s="5"/>
      <c r="F1132" s="5"/>
      <c r="G1132" s="4">
        <f t="shared" si="1"/>
        <v>99.5</v>
      </c>
      <c r="H1132" s="4" t="str">
        <f t="shared" si="2"/>
        <v>Sin precio neto</v>
      </c>
      <c r="I1132" s="4" t="str">
        <f t="shared" si="3"/>
        <v>Sin precio neto G.C.</v>
      </c>
      <c r="J1132" s="4">
        <f t="shared" si="4"/>
        <v>95.52</v>
      </c>
      <c r="K1132" s="4">
        <f t="shared" si="5"/>
        <v>99.5</v>
      </c>
      <c r="L1132" s="4">
        <f t="shared" si="6"/>
        <v>95.52</v>
      </c>
    </row>
    <row r="1133">
      <c r="A1133" s="1" t="s">
        <v>1717</v>
      </c>
      <c r="B1133" s="1" t="s">
        <v>1718</v>
      </c>
      <c r="C1133" s="3">
        <v>199.0</v>
      </c>
      <c r="D1133" s="5"/>
      <c r="E1133" s="5"/>
      <c r="F1133" s="5"/>
      <c r="G1133" s="4">
        <f t="shared" si="1"/>
        <v>99.5</v>
      </c>
      <c r="H1133" s="4" t="str">
        <f t="shared" si="2"/>
        <v>Sin precio neto</v>
      </c>
      <c r="I1133" s="4" t="str">
        <f t="shared" si="3"/>
        <v>Sin precio neto G.C.</v>
      </c>
      <c r="J1133" s="4">
        <f t="shared" si="4"/>
        <v>95.52</v>
      </c>
      <c r="K1133" s="4">
        <f t="shared" si="5"/>
        <v>99.5</v>
      </c>
      <c r="L1133" s="4">
        <f t="shared" si="6"/>
        <v>95.52</v>
      </c>
    </row>
    <row r="1134">
      <c r="A1134" s="1" t="s">
        <v>1719</v>
      </c>
      <c r="B1134" s="1" t="s">
        <v>1720</v>
      </c>
      <c r="C1134" s="3">
        <v>199.0</v>
      </c>
      <c r="D1134" s="5"/>
      <c r="E1134" s="5"/>
      <c r="F1134" s="5"/>
      <c r="G1134" s="4">
        <f t="shared" si="1"/>
        <v>99.5</v>
      </c>
      <c r="H1134" s="4" t="str">
        <f t="shared" si="2"/>
        <v>Sin precio neto</v>
      </c>
      <c r="I1134" s="4" t="str">
        <f t="shared" si="3"/>
        <v>Sin precio neto G.C.</v>
      </c>
      <c r="J1134" s="4">
        <f t="shared" si="4"/>
        <v>95.52</v>
      </c>
      <c r="K1134" s="4">
        <f t="shared" si="5"/>
        <v>99.5</v>
      </c>
      <c r="L1134" s="4">
        <f t="shared" si="6"/>
        <v>95.52</v>
      </c>
    </row>
    <row r="1135">
      <c r="A1135" s="3">
        <v>1030.0</v>
      </c>
      <c r="B1135" s="1" t="s">
        <v>1721</v>
      </c>
      <c r="C1135" s="3">
        <v>12.8</v>
      </c>
      <c r="D1135" s="5"/>
      <c r="E1135" s="5"/>
      <c r="F1135" s="5"/>
      <c r="G1135" s="4">
        <f t="shared" si="1"/>
        <v>6.4</v>
      </c>
      <c r="H1135" s="4" t="str">
        <f t="shared" si="2"/>
        <v>Sin precio neto</v>
      </c>
      <c r="I1135" s="4" t="str">
        <f t="shared" si="3"/>
        <v>Sin precio neto G.C.</v>
      </c>
      <c r="J1135" s="4">
        <f t="shared" si="4"/>
        <v>6.144</v>
      </c>
      <c r="K1135" s="4">
        <f t="shared" si="5"/>
        <v>6.4</v>
      </c>
      <c r="L1135" s="4">
        <f t="shared" si="6"/>
        <v>6.144</v>
      </c>
    </row>
    <row r="1136">
      <c r="A1136" s="3">
        <v>1032.0</v>
      </c>
      <c r="B1136" s="1" t="s">
        <v>1722</v>
      </c>
      <c r="C1136" s="3">
        <v>10.1</v>
      </c>
      <c r="D1136" s="5"/>
      <c r="E1136" s="5"/>
      <c r="F1136" s="5"/>
      <c r="G1136" s="4">
        <f t="shared" si="1"/>
        <v>5.05</v>
      </c>
      <c r="H1136" s="4" t="str">
        <f t="shared" si="2"/>
        <v>Sin precio neto</v>
      </c>
      <c r="I1136" s="4" t="str">
        <f t="shared" si="3"/>
        <v>Sin precio neto G.C.</v>
      </c>
      <c r="J1136" s="4">
        <f t="shared" si="4"/>
        <v>4.848</v>
      </c>
      <c r="K1136" s="4">
        <f t="shared" si="5"/>
        <v>5.05</v>
      </c>
      <c r="L1136" s="4">
        <f t="shared" si="6"/>
        <v>4.848</v>
      </c>
    </row>
    <row r="1137">
      <c r="A1137" s="3">
        <v>1033.0</v>
      </c>
      <c r="B1137" s="1" t="s">
        <v>1723</v>
      </c>
      <c r="C1137" s="3">
        <v>13.94</v>
      </c>
      <c r="D1137" s="3">
        <v>5.55</v>
      </c>
      <c r="E1137" s="3">
        <v>5.5</v>
      </c>
      <c r="F1137" s="3">
        <v>12.0</v>
      </c>
      <c r="G1137" s="4">
        <f t="shared" si="1"/>
        <v>6.97</v>
      </c>
      <c r="H1137" s="4" t="str">
        <f t="shared" si="2"/>
        <v>Neto: 5,55 € (a partir de 12 uds.)</v>
      </c>
      <c r="I1137" s="4" t="str">
        <f t="shared" si="3"/>
        <v>Neto G.C.: 5,50 € (a partir de 12 uds.)</v>
      </c>
      <c r="J1137" s="4">
        <f t="shared" si="4"/>
        <v>6.6912</v>
      </c>
      <c r="K1137" s="4">
        <f t="shared" si="5"/>
        <v>6.97</v>
      </c>
      <c r="L1137" s="4">
        <f t="shared" si="6"/>
        <v>6.6912</v>
      </c>
    </row>
    <row r="1138">
      <c r="A1138" s="1" t="s">
        <v>1724</v>
      </c>
      <c r="B1138" s="1" t="s">
        <v>1725</v>
      </c>
      <c r="C1138" s="3">
        <v>11.8</v>
      </c>
      <c r="D1138" s="3">
        <v>4.8</v>
      </c>
      <c r="E1138" s="3">
        <v>4.8</v>
      </c>
      <c r="F1138" s="3">
        <v>12.0</v>
      </c>
      <c r="G1138" s="4">
        <f t="shared" si="1"/>
        <v>5.9</v>
      </c>
      <c r="H1138" s="4" t="str">
        <f t="shared" si="2"/>
        <v>Neto: 4,80 € (a partir de 12 uds.)</v>
      </c>
      <c r="I1138" s="4" t="str">
        <f t="shared" si="3"/>
        <v>Neto G.C.: 4,80 € (a partir de 12 uds.)</v>
      </c>
      <c r="J1138" s="4">
        <f t="shared" si="4"/>
        <v>5.664</v>
      </c>
      <c r="K1138" s="4">
        <f t="shared" si="5"/>
        <v>5.9</v>
      </c>
      <c r="L1138" s="4">
        <f t="shared" si="6"/>
        <v>5.664</v>
      </c>
    </row>
    <row r="1139">
      <c r="A1139" s="1" t="s">
        <v>1726</v>
      </c>
      <c r="B1139" s="1" t="s">
        <v>1727</v>
      </c>
      <c r="C1139" s="3">
        <v>14.5</v>
      </c>
      <c r="D1139" s="5"/>
      <c r="E1139" s="5"/>
      <c r="F1139" s="5"/>
      <c r="G1139" s="4">
        <f t="shared" si="1"/>
        <v>7.25</v>
      </c>
      <c r="H1139" s="4" t="str">
        <f t="shared" si="2"/>
        <v>Sin precio neto</v>
      </c>
      <c r="I1139" s="4" t="str">
        <f t="shared" si="3"/>
        <v>Sin precio neto G.C.</v>
      </c>
      <c r="J1139" s="4">
        <f t="shared" si="4"/>
        <v>6.96</v>
      </c>
      <c r="K1139" s="4">
        <f t="shared" si="5"/>
        <v>7.25</v>
      </c>
      <c r="L1139" s="4">
        <f t="shared" si="6"/>
        <v>6.96</v>
      </c>
    </row>
    <row r="1140">
      <c r="A1140" s="1" t="s">
        <v>1728</v>
      </c>
      <c r="B1140" s="1" t="s">
        <v>1729</v>
      </c>
      <c r="C1140" s="3">
        <v>13.9</v>
      </c>
      <c r="D1140" s="5"/>
      <c r="E1140" s="5"/>
      <c r="F1140" s="5"/>
      <c r="G1140" s="4">
        <f t="shared" si="1"/>
        <v>6.95</v>
      </c>
      <c r="H1140" s="4" t="str">
        <f t="shared" si="2"/>
        <v>Sin precio neto</v>
      </c>
      <c r="I1140" s="4" t="str">
        <f t="shared" si="3"/>
        <v>Sin precio neto G.C.</v>
      </c>
      <c r="J1140" s="4">
        <f t="shared" si="4"/>
        <v>6.672</v>
      </c>
      <c r="K1140" s="4">
        <f t="shared" si="5"/>
        <v>6.95</v>
      </c>
      <c r="L1140" s="4">
        <f t="shared" si="6"/>
        <v>6.672</v>
      </c>
    </row>
    <row r="1141">
      <c r="A1141" s="3">
        <v>1034.0</v>
      </c>
      <c r="B1141" s="1" t="s">
        <v>1730</v>
      </c>
      <c r="C1141" s="3">
        <v>3.78</v>
      </c>
      <c r="D1141" s="3">
        <v>1.5</v>
      </c>
      <c r="E1141" s="3">
        <v>1.35</v>
      </c>
      <c r="F1141" s="3">
        <v>24.0</v>
      </c>
      <c r="G1141" s="4">
        <f t="shared" si="1"/>
        <v>1.89</v>
      </c>
      <c r="H1141" s="4" t="str">
        <f t="shared" si="2"/>
        <v>Neto: 1,50 € (a partir de 24 uds.)</v>
      </c>
      <c r="I1141" s="4" t="str">
        <f t="shared" si="3"/>
        <v>Neto G.C.: 1,35 € (a partir de 24 uds.)</v>
      </c>
      <c r="J1141" s="4">
        <f t="shared" si="4"/>
        <v>1.8144</v>
      </c>
      <c r="K1141" s="4">
        <f t="shared" si="5"/>
        <v>1.89</v>
      </c>
      <c r="L1141" s="4">
        <f t="shared" si="6"/>
        <v>1.8144</v>
      </c>
    </row>
    <row r="1142">
      <c r="A1142" s="1" t="s">
        <v>1731</v>
      </c>
      <c r="B1142" s="1" t="s">
        <v>1732</v>
      </c>
      <c r="C1142" s="3">
        <v>21.0</v>
      </c>
      <c r="D1142" s="5"/>
      <c r="E1142" s="5"/>
      <c r="F1142" s="5"/>
      <c r="G1142" s="4">
        <f t="shared" si="1"/>
        <v>10.5</v>
      </c>
      <c r="H1142" s="4" t="str">
        <f t="shared" si="2"/>
        <v>Sin precio neto</v>
      </c>
      <c r="I1142" s="4" t="str">
        <f t="shared" si="3"/>
        <v>Sin precio neto G.C.</v>
      </c>
      <c r="J1142" s="4">
        <f t="shared" si="4"/>
        <v>10.08</v>
      </c>
      <c r="K1142" s="4">
        <f t="shared" si="5"/>
        <v>10.5</v>
      </c>
      <c r="L1142" s="4">
        <f t="shared" si="6"/>
        <v>10.08</v>
      </c>
    </row>
    <row r="1143">
      <c r="A1143" s="3">
        <v>1035.0</v>
      </c>
      <c r="B1143" s="1" t="s">
        <v>1733</v>
      </c>
      <c r="C1143" s="3">
        <v>44.5</v>
      </c>
      <c r="D1143" s="5"/>
      <c r="E1143" s="5"/>
      <c r="F1143" s="5"/>
      <c r="G1143" s="4">
        <f t="shared" si="1"/>
        <v>22.25</v>
      </c>
      <c r="H1143" s="4" t="str">
        <f t="shared" si="2"/>
        <v>Sin precio neto</v>
      </c>
      <c r="I1143" s="4" t="str">
        <f t="shared" si="3"/>
        <v>Sin precio neto G.C.</v>
      </c>
      <c r="J1143" s="4">
        <f t="shared" si="4"/>
        <v>21.36</v>
      </c>
      <c r="K1143" s="4">
        <f t="shared" si="5"/>
        <v>22.25</v>
      </c>
      <c r="L1143" s="4">
        <f t="shared" si="6"/>
        <v>21.36</v>
      </c>
    </row>
    <row r="1144">
      <c r="A1144" s="3">
        <v>1036.0</v>
      </c>
      <c r="B1144" s="1" t="s">
        <v>1734</v>
      </c>
      <c r="C1144" s="3">
        <v>16.0</v>
      </c>
      <c r="D1144" s="5"/>
      <c r="E1144" s="5"/>
      <c r="F1144" s="5"/>
      <c r="G1144" s="4">
        <f t="shared" si="1"/>
        <v>8</v>
      </c>
      <c r="H1144" s="4" t="str">
        <f t="shared" si="2"/>
        <v>Sin precio neto</v>
      </c>
      <c r="I1144" s="4" t="str">
        <f t="shared" si="3"/>
        <v>Sin precio neto G.C.</v>
      </c>
      <c r="J1144" s="4">
        <f t="shared" si="4"/>
        <v>7.68</v>
      </c>
      <c r="K1144" s="4">
        <f t="shared" si="5"/>
        <v>8</v>
      </c>
      <c r="L1144" s="4">
        <f t="shared" si="6"/>
        <v>7.68</v>
      </c>
    </row>
    <row r="1145">
      <c r="A1145" s="3">
        <v>1037.0</v>
      </c>
      <c r="B1145" s="1" t="s">
        <v>1735</v>
      </c>
      <c r="C1145" s="3">
        <v>29.8</v>
      </c>
      <c r="D1145" s="5"/>
      <c r="E1145" s="5"/>
      <c r="F1145" s="5"/>
      <c r="G1145" s="4">
        <f t="shared" si="1"/>
        <v>14.9</v>
      </c>
      <c r="H1145" s="4" t="str">
        <f t="shared" si="2"/>
        <v>Sin precio neto</v>
      </c>
      <c r="I1145" s="4" t="str">
        <f t="shared" si="3"/>
        <v>Sin precio neto G.C.</v>
      </c>
      <c r="J1145" s="4">
        <f t="shared" si="4"/>
        <v>14.304</v>
      </c>
      <c r="K1145" s="4">
        <f t="shared" si="5"/>
        <v>14.9</v>
      </c>
      <c r="L1145" s="4">
        <f t="shared" si="6"/>
        <v>14.304</v>
      </c>
    </row>
    <row r="1146">
      <c r="A1146" s="1" t="s">
        <v>1736</v>
      </c>
      <c r="B1146" s="1" t="s">
        <v>1737</v>
      </c>
      <c r="C1146" s="3">
        <v>92.0</v>
      </c>
      <c r="D1146" s="5"/>
      <c r="E1146" s="5"/>
      <c r="F1146" s="5"/>
      <c r="G1146" s="4">
        <f t="shared" si="1"/>
        <v>46</v>
      </c>
      <c r="H1146" s="4" t="str">
        <f t="shared" si="2"/>
        <v>Sin precio neto</v>
      </c>
      <c r="I1146" s="4" t="str">
        <f t="shared" si="3"/>
        <v>Sin precio neto G.C.</v>
      </c>
      <c r="J1146" s="4">
        <f t="shared" si="4"/>
        <v>44.16</v>
      </c>
      <c r="K1146" s="4">
        <f t="shared" si="5"/>
        <v>46</v>
      </c>
      <c r="L1146" s="4">
        <f t="shared" si="6"/>
        <v>44.16</v>
      </c>
    </row>
    <row r="1147">
      <c r="A1147" s="1" t="s">
        <v>1738</v>
      </c>
      <c r="B1147" s="1" t="s">
        <v>1739</v>
      </c>
      <c r="C1147" s="3">
        <v>92.0</v>
      </c>
      <c r="D1147" s="5"/>
      <c r="E1147" s="5"/>
      <c r="F1147" s="5"/>
      <c r="G1147" s="4">
        <f t="shared" si="1"/>
        <v>46</v>
      </c>
      <c r="H1147" s="4" t="str">
        <f t="shared" si="2"/>
        <v>Sin precio neto</v>
      </c>
      <c r="I1147" s="4" t="str">
        <f t="shared" si="3"/>
        <v>Sin precio neto G.C.</v>
      </c>
      <c r="J1147" s="4">
        <f t="shared" si="4"/>
        <v>44.16</v>
      </c>
      <c r="K1147" s="4">
        <f t="shared" si="5"/>
        <v>46</v>
      </c>
      <c r="L1147" s="4">
        <f t="shared" si="6"/>
        <v>44.16</v>
      </c>
    </row>
    <row r="1148">
      <c r="A1148" s="3">
        <v>1123.0</v>
      </c>
      <c r="B1148" s="1" t="s">
        <v>1740</v>
      </c>
      <c r="C1148" s="3">
        <v>2.1</v>
      </c>
      <c r="D1148" s="5"/>
      <c r="E1148" s="5"/>
      <c r="F1148" s="5"/>
      <c r="G1148" s="4">
        <f t="shared" si="1"/>
        <v>1.05</v>
      </c>
      <c r="H1148" s="4" t="str">
        <f t="shared" si="2"/>
        <v>Sin precio neto</v>
      </c>
      <c r="I1148" s="4" t="str">
        <f t="shared" si="3"/>
        <v>Sin precio neto G.C.</v>
      </c>
      <c r="J1148" s="4">
        <f t="shared" si="4"/>
        <v>1.008</v>
      </c>
      <c r="K1148" s="4">
        <f t="shared" si="5"/>
        <v>1.05</v>
      </c>
      <c r="L1148" s="4">
        <f t="shared" si="6"/>
        <v>1.008</v>
      </c>
    </row>
    <row r="1149">
      <c r="A1149" s="3">
        <v>1124.0</v>
      </c>
      <c r="B1149" s="1" t="s">
        <v>1741</v>
      </c>
      <c r="C1149" s="3">
        <v>2.1</v>
      </c>
      <c r="D1149" s="5"/>
      <c r="E1149" s="5"/>
      <c r="F1149" s="5"/>
      <c r="G1149" s="4">
        <f t="shared" si="1"/>
        <v>1.05</v>
      </c>
      <c r="H1149" s="4" t="str">
        <f t="shared" si="2"/>
        <v>Sin precio neto</v>
      </c>
      <c r="I1149" s="4" t="str">
        <f t="shared" si="3"/>
        <v>Sin precio neto G.C.</v>
      </c>
      <c r="J1149" s="4">
        <f t="shared" si="4"/>
        <v>1.008</v>
      </c>
      <c r="K1149" s="4">
        <f t="shared" si="5"/>
        <v>1.05</v>
      </c>
      <c r="L1149" s="4">
        <f t="shared" si="6"/>
        <v>1.008</v>
      </c>
    </row>
    <row r="1150">
      <c r="A1150" s="3">
        <v>1125.0</v>
      </c>
      <c r="B1150" s="1" t="s">
        <v>1742</v>
      </c>
      <c r="C1150" s="3">
        <v>12.9</v>
      </c>
      <c r="D1150" s="3">
        <v>5.5</v>
      </c>
      <c r="E1150" s="3">
        <v>5.25</v>
      </c>
      <c r="F1150" s="3">
        <v>10.0</v>
      </c>
      <c r="G1150" s="4">
        <f t="shared" si="1"/>
        <v>6.45</v>
      </c>
      <c r="H1150" s="4" t="str">
        <f t="shared" si="2"/>
        <v>Neto: 5,50 € (a partir de 10 uds.)</v>
      </c>
      <c r="I1150" s="4" t="str">
        <f t="shared" si="3"/>
        <v>Neto G.C.: 5,25 € (a partir de 10 uds.)</v>
      </c>
      <c r="J1150" s="4">
        <f t="shared" si="4"/>
        <v>6.192</v>
      </c>
      <c r="K1150" s="4">
        <f t="shared" si="5"/>
        <v>6.45</v>
      </c>
      <c r="L1150" s="4">
        <f t="shared" si="6"/>
        <v>6.192</v>
      </c>
    </row>
    <row r="1151">
      <c r="A1151" s="1" t="s">
        <v>1743</v>
      </c>
      <c r="B1151" s="1" t="s">
        <v>1744</v>
      </c>
      <c r="C1151" s="3">
        <v>12.9</v>
      </c>
      <c r="D1151" s="3">
        <v>5.5</v>
      </c>
      <c r="E1151" s="3">
        <v>5.25</v>
      </c>
      <c r="F1151" s="3">
        <v>10.0</v>
      </c>
      <c r="G1151" s="4">
        <f t="shared" si="1"/>
        <v>6.45</v>
      </c>
      <c r="H1151" s="4" t="str">
        <f t="shared" si="2"/>
        <v>Neto: 5,50 € (a partir de 10 uds.)</v>
      </c>
      <c r="I1151" s="4" t="str">
        <f t="shared" si="3"/>
        <v>Neto G.C.: 5,25 € (a partir de 10 uds.)</v>
      </c>
      <c r="J1151" s="4">
        <f t="shared" si="4"/>
        <v>6.192</v>
      </c>
      <c r="K1151" s="4">
        <f t="shared" si="5"/>
        <v>6.45</v>
      </c>
      <c r="L1151" s="4">
        <f t="shared" si="6"/>
        <v>6.192</v>
      </c>
    </row>
    <row r="1152">
      <c r="A1152" s="1" t="s">
        <v>1745</v>
      </c>
      <c r="B1152" s="1" t="s">
        <v>1746</v>
      </c>
      <c r="C1152" s="3">
        <v>12.9</v>
      </c>
      <c r="D1152" s="3">
        <v>5.5</v>
      </c>
      <c r="E1152" s="3">
        <v>5.25</v>
      </c>
      <c r="F1152" s="3">
        <v>10.0</v>
      </c>
      <c r="G1152" s="4">
        <f t="shared" si="1"/>
        <v>6.45</v>
      </c>
      <c r="H1152" s="4" t="str">
        <f t="shared" si="2"/>
        <v>Neto: 5,50 € (a partir de 10 uds.)</v>
      </c>
      <c r="I1152" s="4" t="str">
        <f t="shared" si="3"/>
        <v>Neto G.C.: 5,25 € (a partir de 10 uds.)</v>
      </c>
      <c r="J1152" s="4">
        <f t="shared" si="4"/>
        <v>6.192</v>
      </c>
      <c r="K1152" s="4">
        <f t="shared" si="5"/>
        <v>6.45</v>
      </c>
      <c r="L1152" s="4">
        <f t="shared" si="6"/>
        <v>6.192</v>
      </c>
    </row>
    <row r="1153">
      <c r="A1153" s="1" t="s">
        <v>1747</v>
      </c>
      <c r="B1153" s="1" t="s">
        <v>1748</v>
      </c>
      <c r="C1153" s="3">
        <v>12.9</v>
      </c>
      <c r="D1153" s="3">
        <v>5.5</v>
      </c>
      <c r="E1153" s="3">
        <v>5.25</v>
      </c>
      <c r="F1153" s="3">
        <v>10.0</v>
      </c>
      <c r="G1153" s="4">
        <f t="shared" si="1"/>
        <v>6.45</v>
      </c>
      <c r="H1153" s="4" t="str">
        <f t="shared" si="2"/>
        <v>Neto: 5,50 € (a partir de 10 uds.)</v>
      </c>
      <c r="I1153" s="4" t="str">
        <f t="shared" si="3"/>
        <v>Neto G.C.: 5,25 € (a partir de 10 uds.)</v>
      </c>
      <c r="J1153" s="4">
        <f t="shared" si="4"/>
        <v>6.192</v>
      </c>
      <c r="K1153" s="4">
        <f t="shared" si="5"/>
        <v>6.45</v>
      </c>
      <c r="L1153" s="4">
        <f t="shared" si="6"/>
        <v>6.192</v>
      </c>
    </row>
    <row r="1154">
      <c r="A1154" s="3">
        <v>1126.0</v>
      </c>
      <c r="B1154" s="1" t="s">
        <v>1749</v>
      </c>
      <c r="C1154" s="3">
        <v>1.3</v>
      </c>
      <c r="D1154" s="3">
        <v>0.6</v>
      </c>
      <c r="E1154" s="3">
        <v>0.48</v>
      </c>
      <c r="F1154" s="3">
        <v>200.0</v>
      </c>
      <c r="G1154" s="4">
        <f t="shared" si="1"/>
        <v>0.65</v>
      </c>
      <c r="H1154" s="4" t="str">
        <f t="shared" si="2"/>
        <v>Neto: 0,60 € (a partir de 200 uds.)</v>
      </c>
      <c r="I1154" s="4" t="str">
        <f t="shared" si="3"/>
        <v>Neto G.C.: 0,48 € (a partir de 200 uds.)</v>
      </c>
      <c r="J1154" s="4">
        <f t="shared" si="4"/>
        <v>0.624</v>
      </c>
      <c r="K1154" s="4">
        <f t="shared" si="5"/>
        <v>0.65</v>
      </c>
      <c r="L1154" s="4">
        <f t="shared" si="6"/>
        <v>0.624</v>
      </c>
    </row>
    <row r="1155">
      <c r="A1155" s="1" t="s">
        <v>1750</v>
      </c>
      <c r="B1155" s="1" t="s">
        <v>1751</v>
      </c>
      <c r="C1155" s="3">
        <v>1.3</v>
      </c>
      <c r="D1155" s="3">
        <v>0.6</v>
      </c>
      <c r="E1155" s="3">
        <v>0.48</v>
      </c>
      <c r="F1155" s="3">
        <v>200.0</v>
      </c>
      <c r="G1155" s="4">
        <f t="shared" si="1"/>
        <v>0.65</v>
      </c>
      <c r="H1155" s="4" t="str">
        <f t="shared" si="2"/>
        <v>Neto: 0,60 € (a partir de 200 uds.)</v>
      </c>
      <c r="I1155" s="4" t="str">
        <f t="shared" si="3"/>
        <v>Neto G.C.: 0,48 € (a partir de 200 uds.)</v>
      </c>
      <c r="J1155" s="4">
        <f t="shared" si="4"/>
        <v>0.624</v>
      </c>
      <c r="K1155" s="4">
        <f t="shared" si="5"/>
        <v>0.65</v>
      </c>
      <c r="L1155" s="4">
        <f t="shared" si="6"/>
        <v>0.624</v>
      </c>
    </row>
    <row r="1156">
      <c r="A1156" s="1" t="s">
        <v>1752</v>
      </c>
      <c r="B1156" s="1" t="s">
        <v>1753</v>
      </c>
      <c r="C1156" s="3">
        <v>1.3</v>
      </c>
      <c r="D1156" s="3">
        <v>0.6</v>
      </c>
      <c r="E1156" s="3">
        <v>0.48</v>
      </c>
      <c r="F1156" s="3">
        <v>200.0</v>
      </c>
      <c r="G1156" s="4">
        <f t="shared" si="1"/>
        <v>0.65</v>
      </c>
      <c r="H1156" s="4" t="str">
        <f t="shared" si="2"/>
        <v>Neto: 0,60 € (a partir de 200 uds.)</v>
      </c>
      <c r="I1156" s="4" t="str">
        <f t="shared" si="3"/>
        <v>Neto G.C.: 0,48 € (a partir de 200 uds.)</v>
      </c>
      <c r="J1156" s="4">
        <f t="shared" si="4"/>
        <v>0.624</v>
      </c>
      <c r="K1156" s="4">
        <f t="shared" si="5"/>
        <v>0.65</v>
      </c>
      <c r="L1156" s="4">
        <f t="shared" si="6"/>
        <v>0.624</v>
      </c>
    </row>
    <row r="1157">
      <c r="A1157" s="1" t="s">
        <v>1754</v>
      </c>
      <c r="B1157" s="1" t="s">
        <v>1755</v>
      </c>
      <c r="C1157" s="3">
        <v>236.25</v>
      </c>
      <c r="D1157" s="5"/>
      <c r="E1157" s="5"/>
      <c r="F1157" s="5"/>
      <c r="G1157" s="4">
        <f t="shared" si="1"/>
        <v>118.125</v>
      </c>
      <c r="H1157" s="4" t="str">
        <f t="shared" si="2"/>
        <v>Sin precio neto</v>
      </c>
      <c r="I1157" s="4" t="str">
        <f t="shared" si="3"/>
        <v>Sin precio neto G.C.</v>
      </c>
      <c r="J1157" s="4">
        <f t="shared" si="4"/>
        <v>113.4</v>
      </c>
      <c r="K1157" s="4">
        <f t="shared" si="5"/>
        <v>118.125</v>
      </c>
      <c r="L1157" s="4">
        <f t="shared" si="6"/>
        <v>113.4</v>
      </c>
    </row>
    <row r="1158">
      <c r="A1158" s="1" t="s">
        <v>1756</v>
      </c>
      <c r="B1158" s="1" t="s">
        <v>1757</v>
      </c>
      <c r="C1158" s="3">
        <v>198.0</v>
      </c>
      <c r="D1158" s="5"/>
      <c r="E1158" s="5"/>
      <c r="F1158" s="5"/>
      <c r="G1158" s="4">
        <f t="shared" si="1"/>
        <v>99</v>
      </c>
      <c r="H1158" s="4" t="str">
        <f t="shared" si="2"/>
        <v>Sin precio neto</v>
      </c>
      <c r="I1158" s="4" t="str">
        <f t="shared" si="3"/>
        <v>Sin precio neto G.C.</v>
      </c>
      <c r="J1158" s="4">
        <f t="shared" si="4"/>
        <v>95.04</v>
      </c>
      <c r="K1158" s="4">
        <f t="shared" si="5"/>
        <v>99</v>
      </c>
      <c r="L1158" s="4">
        <f t="shared" si="6"/>
        <v>95.04</v>
      </c>
    </row>
    <row r="1159">
      <c r="A1159" s="1" t="s">
        <v>1758</v>
      </c>
      <c r="B1159" s="1" t="s">
        <v>1759</v>
      </c>
      <c r="C1159" s="3">
        <v>185.0</v>
      </c>
      <c r="D1159" s="5"/>
      <c r="E1159" s="5"/>
      <c r="F1159" s="5"/>
      <c r="G1159" s="4">
        <f t="shared" si="1"/>
        <v>92.5</v>
      </c>
      <c r="H1159" s="4" t="str">
        <f t="shared" si="2"/>
        <v>Sin precio neto</v>
      </c>
      <c r="I1159" s="4" t="str">
        <f t="shared" si="3"/>
        <v>Sin precio neto G.C.</v>
      </c>
      <c r="J1159" s="4">
        <f t="shared" si="4"/>
        <v>88.8</v>
      </c>
      <c r="K1159" s="4">
        <f t="shared" si="5"/>
        <v>92.5</v>
      </c>
      <c r="L1159" s="4">
        <f t="shared" si="6"/>
        <v>88.8</v>
      </c>
    </row>
    <row r="1160">
      <c r="A1160" s="1" t="s">
        <v>1760</v>
      </c>
      <c r="B1160" s="1" t="s">
        <v>1761</v>
      </c>
      <c r="C1160" s="3">
        <v>180.0</v>
      </c>
      <c r="D1160" s="5"/>
      <c r="E1160" s="5"/>
      <c r="F1160" s="5"/>
      <c r="G1160" s="4">
        <f t="shared" si="1"/>
        <v>90</v>
      </c>
      <c r="H1160" s="4" t="str">
        <f t="shared" si="2"/>
        <v>Sin precio neto</v>
      </c>
      <c r="I1160" s="4" t="str">
        <f t="shared" si="3"/>
        <v>Sin precio neto G.C.</v>
      </c>
      <c r="J1160" s="4">
        <f t="shared" si="4"/>
        <v>86.4</v>
      </c>
      <c r="K1160" s="4">
        <f t="shared" si="5"/>
        <v>90</v>
      </c>
      <c r="L1160" s="4">
        <f t="shared" si="6"/>
        <v>86.4</v>
      </c>
    </row>
    <row r="1161">
      <c r="A1161" s="1" t="s">
        <v>1762</v>
      </c>
      <c r="B1161" s="1" t="s">
        <v>1761</v>
      </c>
      <c r="C1161" s="3">
        <v>180.0</v>
      </c>
      <c r="D1161" s="5"/>
      <c r="E1161" s="5"/>
      <c r="F1161" s="5"/>
      <c r="G1161" s="4">
        <f t="shared" si="1"/>
        <v>90</v>
      </c>
      <c r="H1161" s="4" t="str">
        <f t="shared" si="2"/>
        <v>Sin precio neto</v>
      </c>
      <c r="I1161" s="4" t="str">
        <f t="shared" si="3"/>
        <v>Sin precio neto G.C.</v>
      </c>
      <c r="J1161" s="4">
        <f t="shared" si="4"/>
        <v>86.4</v>
      </c>
      <c r="K1161" s="4">
        <f t="shared" si="5"/>
        <v>90</v>
      </c>
      <c r="L1161" s="4">
        <f t="shared" si="6"/>
        <v>86.4</v>
      </c>
    </row>
    <row r="1162">
      <c r="A1162" s="1" t="s">
        <v>1763</v>
      </c>
      <c r="B1162" s="1" t="s">
        <v>1764</v>
      </c>
      <c r="C1162" s="3">
        <v>1.3</v>
      </c>
      <c r="D1162" s="3">
        <v>0.6</v>
      </c>
      <c r="E1162" s="3">
        <v>0.48</v>
      </c>
      <c r="F1162" s="3">
        <v>200.0</v>
      </c>
      <c r="G1162" s="4">
        <f t="shared" si="1"/>
        <v>0.65</v>
      </c>
      <c r="H1162" s="4" t="str">
        <f t="shared" si="2"/>
        <v>Neto: 0,60 € (a partir de 200 uds.)</v>
      </c>
      <c r="I1162" s="4" t="str">
        <f t="shared" si="3"/>
        <v>Neto G.C.: 0,48 € (a partir de 200 uds.)</v>
      </c>
      <c r="J1162" s="4">
        <f t="shared" si="4"/>
        <v>0.624</v>
      </c>
      <c r="K1162" s="4">
        <f t="shared" si="5"/>
        <v>0.65</v>
      </c>
      <c r="L1162" s="4">
        <f t="shared" si="6"/>
        <v>0.624</v>
      </c>
    </row>
    <row r="1163">
      <c r="A1163" s="1" t="s">
        <v>1765</v>
      </c>
      <c r="B1163" s="1" t="s">
        <v>1766</v>
      </c>
      <c r="C1163" s="3">
        <v>1.3</v>
      </c>
      <c r="D1163" s="3">
        <v>0.6</v>
      </c>
      <c r="E1163" s="3">
        <v>0.48</v>
      </c>
      <c r="F1163" s="3">
        <v>200.0</v>
      </c>
      <c r="G1163" s="4">
        <f t="shared" si="1"/>
        <v>0.65</v>
      </c>
      <c r="H1163" s="4" t="str">
        <f t="shared" si="2"/>
        <v>Neto: 0,60 € (a partir de 200 uds.)</v>
      </c>
      <c r="I1163" s="4" t="str">
        <f t="shared" si="3"/>
        <v>Neto G.C.: 0,48 € (a partir de 200 uds.)</v>
      </c>
      <c r="J1163" s="4">
        <f t="shared" si="4"/>
        <v>0.624</v>
      </c>
      <c r="K1163" s="4">
        <f t="shared" si="5"/>
        <v>0.65</v>
      </c>
      <c r="L1163" s="4">
        <f t="shared" si="6"/>
        <v>0.624</v>
      </c>
    </row>
    <row r="1164">
      <c r="A1164" s="3">
        <v>1127.0</v>
      </c>
      <c r="B1164" s="1" t="s">
        <v>1767</v>
      </c>
      <c r="C1164" s="3">
        <v>1.56</v>
      </c>
      <c r="D1164" s="3">
        <v>0.7</v>
      </c>
      <c r="E1164" s="3">
        <v>0.56</v>
      </c>
      <c r="F1164" s="3">
        <v>100.0</v>
      </c>
      <c r="G1164" s="4">
        <f t="shared" si="1"/>
        <v>0.78</v>
      </c>
      <c r="H1164" s="4" t="str">
        <f t="shared" si="2"/>
        <v>Neto: 0,70 € (a partir de 100 uds.)</v>
      </c>
      <c r="I1164" s="4" t="str">
        <f t="shared" si="3"/>
        <v>Neto G.C.: 0,56 € (a partir de 100 uds.)</v>
      </c>
      <c r="J1164" s="4">
        <f t="shared" si="4"/>
        <v>0.7488</v>
      </c>
      <c r="K1164" s="4">
        <f t="shared" si="5"/>
        <v>0.78</v>
      </c>
      <c r="L1164" s="4">
        <f t="shared" si="6"/>
        <v>0.7488</v>
      </c>
    </row>
    <row r="1165">
      <c r="A1165" s="1" t="s">
        <v>1768</v>
      </c>
      <c r="B1165" s="1" t="s">
        <v>1769</v>
      </c>
      <c r="C1165" s="3">
        <v>1.56</v>
      </c>
      <c r="D1165" s="3">
        <v>0.7</v>
      </c>
      <c r="E1165" s="3">
        <v>0.56</v>
      </c>
      <c r="F1165" s="3">
        <v>100.0</v>
      </c>
      <c r="G1165" s="4">
        <f t="shared" si="1"/>
        <v>0.78</v>
      </c>
      <c r="H1165" s="4" t="str">
        <f t="shared" si="2"/>
        <v>Neto: 0,70 € (a partir de 100 uds.)</v>
      </c>
      <c r="I1165" s="4" t="str">
        <f t="shared" si="3"/>
        <v>Neto G.C.: 0,56 € (a partir de 100 uds.)</v>
      </c>
      <c r="J1165" s="4">
        <f t="shared" si="4"/>
        <v>0.7488</v>
      </c>
      <c r="K1165" s="4">
        <f t="shared" si="5"/>
        <v>0.78</v>
      </c>
      <c r="L1165" s="4">
        <f t="shared" si="6"/>
        <v>0.7488</v>
      </c>
    </row>
    <row r="1166">
      <c r="A1166" s="1" t="s">
        <v>1770</v>
      </c>
      <c r="B1166" s="1" t="s">
        <v>1771</v>
      </c>
      <c r="C1166" s="3">
        <v>1.56</v>
      </c>
      <c r="D1166" s="3">
        <v>0.7</v>
      </c>
      <c r="E1166" s="3">
        <v>0.56</v>
      </c>
      <c r="F1166" s="3">
        <v>100.0</v>
      </c>
      <c r="G1166" s="4">
        <f t="shared" si="1"/>
        <v>0.78</v>
      </c>
      <c r="H1166" s="4" t="str">
        <f t="shared" si="2"/>
        <v>Neto: 0,70 € (a partir de 100 uds.)</v>
      </c>
      <c r="I1166" s="4" t="str">
        <f t="shared" si="3"/>
        <v>Neto G.C.: 0,56 € (a partir de 100 uds.)</v>
      </c>
      <c r="J1166" s="4">
        <f t="shared" si="4"/>
        <v>0.7488</v>
      </c>
      <c r="K1166" s="4">
        <f t="shared" si="5"/>
        <v>0.78</v>
      </c>
      <c r="L1166" s="4">
        <f t="shared" si="6"/>
        <v>0.7488</v>
      </c>
    </row>
    <row r="1167">
      <c r="A1167" s="1" t="s">
        <v>1772</v>
      </c>
      <c r="B1167" s="1" t="s">
        <v>1773</v>
      </c>
      <c r="C1167" s="3">
        <v>1.56</v>
      </c>
      <c r="D1167" s="3">
        <v>0.7</v>
      </c>
      <c r="E1167" s="3">
        <v>0.56</v>
      </c>
      <c r="F1167" s="3">
        <v>100.0</v>
      </c>
      <c r="G1167" s="4">
        <f t="shared" si="1"/>
        <v>0.78</v>
      </c>
      <c r="H1167" s="4" t="str">
        <f t="shared" si="2"/>
        <v>Neto: 0,70 € (a partir de 100 uds.)</v>
      </c>
      <c r="I1167" s="4" t="str">
        <f t="shared" si="3"/>
        <v>Neto G.C.: 0,56 € (a partir de 100 uds.)</v>
      </c>
      <c r="J1167" s="4">
        <f t="shared" si="4"/>
        <v>0.7488</v>
      </c>
      <c r="K1167" s="4">
        <f t="shared" si="5"/>
        <v>0.78</v>
      </c>
      <c r="L1167" s="4">
        <f t="shared" si="6"/>
        <v>0.7488</v>
      </c>
    </row>
    <row r="1168">
      <c r="A1168" s="1" t="s">
        <v>1774</v>
      </c>
      <c r="B1168" s="1" t="s">
        <v>1775</v>
      </c>
      <c r="C1168" s="3">
        <v>1.56</v>
      </c>
      <c r="D1168" s="3">
        <v>0.7</v>
      </c>
      <c r="E1168" s="3">
        <v>0.56</v>
      </c>
      <c r="F1168" s="3">
        <v>100.0</v>
      </c>
      <c r="G1168" s="4">
        <f t="shared" si="1"/>
        <v>0.78</v>
      </c>
      <c r="H1168" s="4" t="str">
        <f t="shared" si="2"/>
        <v>Neto: 0,70 € (a partir de 100 uds.)</v>
      </c>
      <c r="I1168" s="4" t="str">
        <f t="shared" si="3"/>
        <v>Neto G.C.: 0,56 € (a partir de 100 uds.)</v>
      </c>
      <c r="J1168" s="4">
        <f t="shared" si="4"/>
        <v>0.7488</v>
      </c>
      <c r="K1168" s="4">
        <f t="shared" si="5"/>
        <v>0.78</v>
      </c>
      <c r="L1168" s="4">
        <f t="shared" si="6"/>
        <v>0.7488</v>
      </c>
    </row>
    <row r="1169">
      <c r="A1169" s="3">
        <v>1128.0</v>
      </c>
      <c r="B1169" s="1" t="s">
        <v>1776</v>
      </c>
      <c r="C1169" s="3">
        <v>1.3</v>
      </c>
      <c r="D1169" s="3">
        <v>0.6</v>
      </c>
      <c r="E1169" s="3">
        <v>0.48</v>
      </c>
      <c r="F1169" s="3">
        <v>200.0</v>
      </c>
      <c r="G1169" s="4">
        <f t="shared" si="1"/>
        <v>0.65</v>
      </c>
      <c r="H1169" s="4" t="str">
        <f t="shared" si="2"/>
        <v>Neto: 0,60 € (a partir de 200 uds.)</v>
      </c>
      <c r="I1169" s="4" t="str">
        <f t="shared" si="3"/>
        <v>Neto G.C.: 0,48 € (a partir de 200 uds.)</v>
      </c>
      <c r="J1169" s="4">
        <f t="shared" si="4"/>
        <v>0.624</v>
      </c>
      <c r="K1169" s="4">
        <f t="shared" si="5"/>
        <v>0.65</v>
      </c>
      <c r="L1169" s="4">
        <f t="shared" si="6"/>
        <v>0.624</v>
      </c>
    </row>
    <row r="1170">
      <c r="A1170" s="3">
        <v>1129.0</v>
      </c>
      <c r="B1170" s="1" t="s">
        <v>1777</v>
      </c>
      <c r="C1170" s="3">
        <v>1.56</v>
      </c>
      <c r="D1170" s="3">
        <v>0.7</v>
      </c>
      <c r="E1170" s="3">
        <v>0.56</v>
      </c>
      <c r="F1170" s="3">
        <v>100.0</v>
      </c>
      <c r="G1170" s="4">
        <f t="shared" si="1"/>
        <v>0.78</v>
      </c>
      <c r="H1170" s="4" t="str">
        <f t="shared" si="2"/>
        <v>Neto: 0,70 € (a partir de 100 uds.)</v>
      </c>
      <c r="I1170" s="4" t="str">
        <f t="shared" si="3"/>
        <v>Neto G.C.: 0,56 € (a partir de 100 uds.)</v>
      </c>
      <c r="J1170" s="4">
        <f t="shared" si="4"/>
        <v>0.7488</v>
      </c>
      <c r="K1170" s="4">
        <f t="shared" si="5"/>
        <v>0.78</v>
      </c>
      <c r="L1170" s="4">
        <f t="shared" si="6"/>
        <v>0.7488</v>
      </c>
    </row>
    <row r="1171">
      <c r="A1171" s="3">
        <v>1132.0</v>
      </c>
      <c r="B1171" s="1" t="s">
        <v>1778</v>
      </c>
      <c r="C1171" s="3">
        <v>48.0</v>
      </c>
      <c r="D1171" s="5"/>
      <c r="E1171" s="5"/>
      <c r="F1171" s="5"/>
      <c r="G1171" s="4">
        <f t="shared" si="1"/>
        <v>24</v>
      </c>
      <c r="H1171" s="4" t="str">
        <f t="shared" si="2"/>
        <v>Sin precio neto</v>
      </c>
      <c r="I1171" s="4" t="str">
        <f t="shared" si="3"/>
        <v>Sin precio neto G.C.</v>
      </c>
      <c r="J1171" s="4">
        <f t="shared" si="4"/>
        <v>23.04</v>
      </c>
      <c r="K1171" s="4">
        <f t="shared" si="5"/>
        <v>24</v>
      </c>
      <c r="L1171" s="4">
        <f t="shared" si="6"/>
        <v>23.04</v>
      </c>
    </row>
    <row r="1172">
      <c r="A1172" s="1" t="s">
        <v>1779</v>
      </c>
      <c r="B1172" s="1" t="s">
        <v>1780</v>
      </c>
      <c r="C1172" s="3">
        <v>62.0</v>
      </c>
      <c r="D1172" s="5"/>
      <c r="E1172" s="5"/>
      <c r="F1172" s="5"/>
      <c r="G1172" s="4">
        <f t="shared" si="1"/>
        <v>31</v>
      </c>
      <c r="H1172" s="4" t="str">
        <f t="shared" si="2"/>
        <v>Sin precio neto</v>
      </c>
      <c r="I1172" s="4" t="str">
        <f t="shared" si="3"/>
        <v>Sin precio neto G.C.</v>
      </c>
      <c r="J1172" s="4">
        <f t="shared" si="4"/>
        <v>29.76</v>
      </c>
      <c r="K1172" s="4">
        <f t="shared" si="5"/>
        <v>31</v>
      </c>
      <c r="L1172" s="4">
        <f t="shared" si="6"/>
        <v>29.76</v>
      </c>
    </row>
    <row r="1173">
      <c r="A1173" s="1" t="s">
        <v>1781</v>
      </c>
      <c r="B1173" s="1" t="s">
        <v>1782</v>
      </c>
      <c r="C1173" s="3">
        <v>48.0</v>
      </c>
      <c r="D1173" s="5"/>
      <c r="E1173" s="5"/>
      <c r="F1173" s="5"/>
      <c r="G1173" s="4">
        <f t="shared" si="1"/>
        <v>24</v>
      </c>
      <c r="H1173" s="4" t="str">
        <f t="shared" si="2"/>
        <v>Sin precio neto</v>
      </c>
      <c r="I1173" s="4" t="str">
        <f t="shared" si="3"/>
        <v>Sin precio neto G.C.</v>
      </c>
      <c r="J1173" s="4">
        <f t="shared" si="4"/>
        <v>23.04</v>
      </c>
      <c r="K1173" s="4">
        <f t="shared" si="5"/>
        <v>24</v>
      </c>
      <c r="L1173" s="4">
        <f t="shared" si="6"/>
        <v>23.04</v>
      </c>
    </row>
    <row r="1174">
      <c r="A1174" s="1" t="s">
        <v>1783</v>
      </c>
      <c r="B1174" s="1" t="s">
        <v>1784</v>
      </c>
      <c r="C1174" s="3">
        <v>62.0</v>
      </c>
      <c r="D1174" s="5"/>
      <c r="E1174" s="5"/>
      <c r="F1174" s="5"/>
      <c r="G1174" s="4">
        <f t="shared" si="1"/>
        <v>31</v>
      </c>
      <c r="H1174" s="4" t="str">
        <f t="shared" si="2"/>
        <v>Sin precio neto</v>
      </c>
      <c r="I1174" s="4" t="str">
        <f t="shared" si="3"/>
        <v>Sin precio neto G.C.</v>
      </c>
      <c r="J1174" s="4">
        <f t="shared" si="4"/>
        <v>29.76</v>
      </c>
      <c r="K1174" s="4">
        <f t="shared" si="5"/>
        <v>31</v>
      </c>
      <c r="L1174" s="4">
        <f t="shared" si="6"/>
        <v>29.76</v>
      </c>
    </row>
    <row r="1175">
      <c r="A1175" s="1" t="s">
        <v>1785</v>
      </c>
      <c r="B1175" s="1" t="s">
        <v>1786</v>
      </c>
      <c r="C1175" s="3">
        <v>48.0</v>
      </c>
      <c r="D1175" s="5"/>
      <c r="E1175" s="5"/>
      <c r="F1175" s="5"/>
      <c r="G1175" s="4">
        <f t="shared" si="1"/>
        <v>24</v>
      </c>
      <c r="H1175" s="4" t="str">
        <f t="shared" si="2"/>
        <v>Sin precio neto</v>
      </c>
      <c r="I1175" s="4" t="str">
        <f t="shared" si="3"/>
        <v>Sin precio neto G.C.</v>
      </c>
      <c r="J1175" s="4">
        <f t="shared" si="4"/>
        <v>23.04</v>
      </c>
      <c r="K1175" s="4">
        <f t="shared" si="5"/>
        <v>24</v>
      </c>
      <c r="L1175" s="4">
        <f t="shared" si="6"/>
        <v>23.04</v>
      </c>
    </row>
    <row r="1176">
      <c r="A1176" s="1" t="s">
        <v>1787</v>
      </c>
      <c r="B1176" s="1" t="s">
        <v>1788</v>
      </c>
      <c r="C1176" s="3">
        <v>62.0</v>
      </c>
      <c r="D1176" s="5"/>
      <c r="E1176" s="5"/>
      <c r="F1176" s="5"/>
      <c r="G1176" s="4">
        <f t="shared" si="1"/>
        <v>31</v>
      </c>
      <c r="H1176" s="4" t="str">
        <f t="shared" si="2"/>
        <v>Sin precio neto</v>
      </c>
      <c r="I1176" s="4" t="str">
        <f t="shared" si="3"/>
        <v>Sin precio neto G.C.</v>
      </c>
      <c r="J1176" s="4">
        <f t="shared" si="4"/>
        <v>29.76</v>
      </c>
      <c r="K1176" s="4">
        <f t="shared" si="5"/>
        <v>31</v>
      </c>
      <c r="L1176" s="4">
        <f t="shared" si="6"/>
        <v>29.76</v>
      </c>
    </row>
    <row r="1177">
      <c r="A1177" s="3">
        <v>1133.0</v>
      </c>
      <c r="B1177" s="1" t="s">
        <v>1789</v>
      </c>
      <c r="C1177" s="3">
        <v>33.9</v>
      </c>
      <c r="D1177" s="5"/>
      <c r="E1177" s="5"/>
      <c r="F1177" s="5"/>
      <c r="G1177" s="4">
        <f t="shared" si="1"/>
        <v>16.95</v>
      </c>
      <c r="H1177" s="4" t="str">
        <f t="shared" si="2"/>
        <v>Sin precio neto</v>
      </c>
      <c r="I1177" s="4" t="str">
        <f t="shared" si="3"/>
        <v>Sin precio neto G.C.</v>
      </c>
      <c r="J1177" s="4">
        <f t="shared" si="4"/>
        <v>16.272</v>
      </c>
      <c r="K1177" s="4">
        <f t="shared" si="5"/>
        <v>16.95</v>
      </c>
      <c r="L1177" s="4">
        <f t="shared" si="6"/>
        <v>16.272</v>
      </c>
    </row>
    <row r="1178">
      <c r="A1178" s="1" t="s">
        <v>1790</v>
      </c>
      <c r="B1178" s="1" t="s">
        <v>1791</v>
      </c>
      <c r="C1178" s="3">
        <v>58.0</v>
      </c>
      <c r="D1178" s="5"/>
      <c r="E1178" s="5"/>
      <c r="F1178" s="5"/>
      <c r="G1178" s="4">
        <f t="shared" si="1"/>
        <v>29</v>
      </c>
      <c r="H1178" s="4" t="str">
        <f t="shared" si="2"/>
        <v>Sin precio neto</v>
      </c>
      <c r="I1178" s="4" t="str">
        <f t="shared" si="3"/>
        <v>Sin precio neto G.C.</v>
      </c>
      <c r="J1178" s="4">
        <f t="shared" si="4"/>
        <v>27.84</v>
      </c>
      <c r="K1178" s="4">
        <f t="shared" si="5"/>
        <v>29</v>
      </c>
      <c r="L1178" s="4">
        <f t="shared" si="6"/>
        <v>27.84</v>
      </c>
    </row>
    <row r="1179">
      <c r="A1179" s="1" t="s">
        <v>1792</v>
      </c>
      <c r="B1179" s="1" t="s">
        <v>1793</v>
      </c>
      <c r="C1179" s="3">
        <v>3.0</v>
      </c>
      <c r="D1179" s="5"/>
      <c r="E1179" s="5"/>
      <c r="F1179" s="5"/>
      <c r="G1179" s="4">
        <f t="shared" si="1"/>
        <v>1.5</v>
      </c>
      <c r="H1179" s="4" t="str">
        <f t="shared" si="2"/>
        <v>Sin precio neto</v>
      </c>
      <c r="I1179" s="4" t="str">
        <f t="shared" si="3"/>
        <v>Sin precio neto G.C.</v>
      </c>
      <c r="J1179" s="4">
        <f t="shared" si="4"/>
        <v>1.44</v>
      </c>
      <c r="K1179" s="4">
        <f t="shared" si="5"/>
        <v>1.5</v>
      </c>
      <c r="L1179" s="4">
        <f t="shared" si="6"/>
        <v>1.44</v>
      </c>
    </row>
    <row r="1180">
      <c r="A1180" s="1" t="s">
        <v>1794</v>
      </c>
      <c r="B1180" s="1" t="s">
        <v>1795</v>
      </c>
      <c r="C1180" s="3">
        <v>58.0</v>
      </c>
      <c r="D1180" s="5"/>
      <c r="E1180" s="5"/>
      <c r="F1180" s="5"/>
      <c r="G1180" s="4">
        <f t="shared" si="1"/>
        <v>29</v>
      </c>
      <c r="H1180" s="4" t="str">
        <f t="shared" si="2"/>
        <v>Sin precio neto</v>
      </c>
      <c r="I1180" s="4" t="str">
        <f t="shared" si="3"/>
        <v>Sin precio neto G.C.</v>
      </c>
      <c r="J1180" s="4">
        <f t="shared" si="4"/>
        <v>27.84</v>
      </c>
      <c r="K1180" s="4">
        <f t="shared" si="5"/>
        <v>29</v>
      </c>
      <c r="L1180" s="4">
        <f t="shared" si="6"/>
        <v>27.84</v>
      </c>
    </row>
    <row r="1181">
      <c r="A1181" s="1" t="s">
        <v>1796</v>
      </c>
      <c r="B1181" s="1" t="s">
        <v>1797</v>
      </c>
      <c r="C1181" s="3">
        <v>33.9</v>
      </c>
      <c r="D1181" s="5"/>
      <c r="E1181" s="5"/>
      <c r="F1181" s="5"/>
      <c r="G1181" s="4">
        <f t="shared" si="1"/>
        <v>16.95</v>
      </c>
      <c r="H1181" s="4" t="str">
        <f t="shared" si="2"/>
        <v>Sin precio neto</v>
      </c>
      <c r="I1181" s="4" t="str">
        <f t="shared" si="3"/>
        <v>Sin precio neto G.C.</v>
      </c>
      <c r="J1181" s="4">
        <f t="shared" si="4"/>
        <v>16.272</v>
      </c>
      <c r="K1181" s="4">
        <f t="shared" si="5"/>
        <v>16.95</v>
      </c>
      <c r="L1181" s="4">
        <f t="shared" si="6"/>
        <v>16.272</v>
      </c>
    </row>
    <row r="1182">
      <c r="A1182" s="1" t="s">
        <v>1798</v>
      </c>
      <c r="B1182" s="1" t="s">
        <v>1799</v>
      </c>
      <c r="C1182" s="3">
        <v>58.0</v>
      </c>
      <c r="D1182" s="5"/>
      <c r="E1182" s="5"/>
      <c r="F1182" s="5"/>
      <c r="G1182" s="4">
        <f t="shared" si="1"/>
        <v>29</v>
      </c>
      <c r="H1182" s="4" t="str">
        <f t="shared" si="2"/>
        <v>Sin precio neto</v>
      </c>
      <c r="I1182" s="4" t="str">
        <f t="shared" si="3"/>
        <v>Sin precio neto G.C.</v>
      </c>
      <c r="J1182" s="4">
        <f t="shared" si="4"/>
        <v>27.84</v>
      </c>
      <c r="K1182" s="4">
        <f t="shared" si="5"/>
        <v>29</v>
      </c>
      <c r="L1182" s="4">
        <f t="shared" si="6"/>
        <v>27.84</v>
      </c>
    </row>
    <row r="1183">
      <c r="A1183" s="3">
        <v>1134.0</v>
      </c>
      <c r="B1183" s="1" t="s">
        <v>1800</v>
      </c>
      <c r="C1183" s="3">
        <v>49.0</v>
      </c>
      <c r="D1183" s="5"/>
      <c r="E1183" s="5"/>
      <c r="F1183" s="5"/>
      <c r="G1183" s="4">
        <f t="shared" si="1"/>
        <v>24.5</v>
      </c>
      <c r="H1183" s="4" t="str">
        <f t="shared" si="2"/>
        <v>Sin precio neto</v>
      </c>
      <c r="I1183" s="4" t="str">
        <f t="shared" si="3"/>
        <v>Sin precio neto G.C.</v>
      </c>
      <c r="J1183" s="4">
        <f t="shared" si="4"/>
        <v>23.52</v>
      </c>
      <c r="K1183" s="4">
        <f t="shared" si="5"/>
        <v>24.5</v>
      </c>
      <c r="L1183" s="4">
        <f t="shared" si="6"/>
        <v>23.52</v>
      </c>
    </row>
    <row r="1184">
      <c r="A1184" s="1" t="s">
        <v>1801</v>
      </c>
      <c r="B1184" s="1" t="s">
        <v>1802</v>
      </c>
      <c r="C1184" s="3">
        <v>48.0</v>
      </c>
      <c r="D1184" s="5"/>
      <c r="E1184" s="5"/>
      <c r="F1184" s="5"/>
      <c r="G1184" s="4">
        <f t="shared" si="1"/>
        <v>24</v>
      </c>
      <c r="H1184" s="4" t="str">
        <f t="shared" si="2"/>
        <v>Sin precio neto</v>
      </c>
      <c r="I1184" s="4" t="str">
        <f t="shared" si="3"/>
        <v>Sin precio neto G.C.</v>
      </c>
      <c r="J1184" s="4">
        <f t="shared" si="4"/>
        <v>23.04</v>
      </c>
      <c r="K1184" s="4">
        <f t="shared" si="5"/>
        <v>24</v>
      </c>
      <c r="L1184" s="4">
        <f t="shared" si="6"/>
        <v>23.04</v>
      </c>
    </row>
    <row r="1185">
      <c r="A1185" s="1" t="s">
        <v>1803</v>
      </c>
      <c r="B1185" s="1" t="s">
        <v>1804</v>
      </c>
      <c r="C1185" s="3">
        <v>48.0</v>
      </c>
      <c r="D1185" s="5"/>
      <c r="E1185" s="5"/>
      <c r="F1185" s="5"/>
      <c r="G1185" s="4">
        <f t="shared" si="1"/>
        <v>24</v>
      </c>
      <c r="H1185" s="4" t="str">
        <f t="shared" si="2"/>
        <v>Sin precio neto</v>
      </c>
      <c r="I1185" s="4" t="str">
        <f t="shared" si="3"/>
        <v>Sin precio neto G.C.</v>
      </c>
      <c r="J1185" s="4">
        <f t="shared" si="4"/>
        <v>23.04</v>
      </c>
      <c r="K1185" s="4">
        <f t="shared" si="5"/>
        <v>24</v>
      </c>
      <c r="L1185" s="4">
        <f t="shared" si="6"/>
        <v>23.04</v>
      </c>
    </row>
    <row r="1186">
      <c r="A1186" s="1" t="s">
        <v>1805</v>
      </c>
      <c r="B1186" s="1" t="s">
        <v>1806</v>
      </c>
      <c r="C1186" s="3">
        <v>48.0</v>
      </c>
      <c r="D1186" s="5"/>
      <c r="E1186" s="5"/>
      <c r="F1186" s="5"/>
      <c r="G1186" s="4">
        <f t="shared" si="1"/>
        <v>24</v>
      </c>
      <c r="H1186" s="4" t="str">
        <f t="shared" si="2"/>
        <v>Sin precio neto</v>
      </c>
      <c r="I1186" s="4" t="str">
        <f t="shared" si="3"/>
        <v>Sin precio neto G.C.</v>
      </c>
      <c r="J1186" s="4">
        <f t="shared" si="4"/>
        <v>23.04</v>
      </c>
      <c r="K1186" s="4">
        <f t="shared" si="5"/>
        <v>24</v>
      </c>
      <c r="L1186" s="4">
        <f t="shared" si="6"/>
        <v>23.04</v>
      </c>
    </row>
    <row r="1187">
      <c r="A1187" s="1" t="s">
        <v>1807</v>
      </c>
      <c r="B1187" s="1" t="s">
        <v>1808</v>
      </c>
      <c r="C1187" s="3">
        <v>48.0</v>
      </c>
      <c r="D1187" s="5"/>
      <c r="E1187" s="5"/>
      <c r="F1187" s="5"/>
      <c r="G1187" s="4">
        <f t="shared" si="1"/>
        <v>24</v>
      </c>
      <c r="H1187" s="4" t="str">
        <f t="shared" si="2"/>
        <v>Sin precio neto</v>
      </c>
      <c r="I1187" s="4" t="str">
        <f t="shared" si="3"/>
        <v>Sin precio neto G.C.</v>
      </c>
      <c r="J1187" s="4">
        <f t="shared" si="4"/>
        <v>23.04</v>
      </c>
      <c r="K1187" s="4">
        <f t="shared" si="5"/>
        <v>24</v>
      </c>
      <c r="L1187" s="4">
        <f t="shared" si="6"/>
        <v>23.04</v>
      </c>
    </row>
    <row r="1188">
      <c r="A1188" s="3">
        <v>1135.0</v>
      </c>
      <c r="B1188" s="1" t="s">
        <v>1809</v>
      </c>
      <c r="C1188" s="3">
        <v>33.9</v>
      </c>
      <c r="D1188" s="5"/>
      <c r="E1188" s="5"/>
      <c r="F1188" s="5"/>
      <c r="G1188" s="4">
        <f t="shared" si="1"/>
        <v>16.95</v>
      </c>
      <c r="H1188" s="4" t="str">
        <f t="shared" si="2"/>
        <v>Sin precio neto</v>
      </c>
      <c r="I1188" s="4" t="str">
        <f t="shared" si="3"/>
        <v>Sin precio neto G.C.</v>
      </c>
      <c r="J1188" s="4">
        <f t="shared" si="4"/>
        <v>16.272</v>
      </c>
      <c r="K1188" s="4">
        <f t="shared" si="5"/>
        <v>16.95</v>
      </c>
      <c r="L1188" s="4">
        <f t="shared" si="6"/>
        <v>16.272</v>
      </c>
    </row>
    <row r="1189">
      <c r="A1189" s="3">
        <v>1136.0</v>
      </c>
      <c r="B1189" s="1" t="s">
        <v>1810</v>
      </c>
      <c r="C1189" s="3">
        <v>18.9</v>
      </c>
      <c r="D1189" s="5"/>
      <c r="E1189" s="5"/>
      <c r="F1189" s="5"/>
      <c r="G1189" s="4">
        <f t="shared" si="1"/>
        <v>9.45</v>
      </c>
      <c r="H1189" s="4" t="str">
        <f t="shared" si="2"/>
        <v>Sin precio neto</v>
      </c>
      <c r="I1189" s="4" t="str">
        <f t="shared" si="3"/>
        <v>Sin precio neto G.C.</v>
      </c>
      <c r="J1189" s="4">
        <f t="shared" si="4"/>
        <v>9.072</v>
      </c>
      <c r="K1189" s="4">
        <f t="shared" si="5"/>
        <v>9.45</v>
      </c>
      <c r="L1189" s="4">
        <f t="shared" si="6"/>
        <v>9.072</v>
      </c>
    </row>
    <row r="1190">
      <c r="A1190" s="3">
        <v>1138.0</v>
      </c>
      <c r="B1190" s="1" t="s">
        <v>1811</v>
      </c>
      <c r="C1190" s="3">
        <v>15.5</v>
      </c>
      <c r="D1190" s="5"/>
      <c r="E1190" s="5"/>
      <c r="F1190" s="5"/>
      <c r="G1190" s="4">
        <f t="shared" si="1"/>
        <v>7.75</v>
      </c>
      <c r="H1190" s="4" t="str">
        <f t="shared" si="2"/>
        <v>Sin precio neto</v>
      </c>
      <c r="I1190" s="4" t="str">
        <f t="shared" si="3"/>
        <v>Sin precio neto G.C.</v>
      </c>
      <c r="J1190" s="4">
        <f t="shared" si="4"/>
        <v>7.44</v>
      </c>
      <c r="K1190" s="4">
        <f t="shared" si="5"/>
        <v>7.75</v>
      </c>
      <c r="L1190" s="4">
        <f t="shared" si="6"/>
        <v>7.44</v>
      </c>
    </row>
    <row r="1191">
      <c r="A1191" s="3">
        <v>1139.0</v>
      </c>
      <c r="B1191" s="1" t="s">
        <v>1812</v>
      </c>
      <c r="C1191" s="3">
        <v>15.5</v>
      </c>
      <c r="D1191" s="5"/>
      <c r="E1191" s="5"/>
      <c r="F1191" s="5"/>
      <c r="G1191" s="4">
        <f t="shared" si="1"/>
        <v>7.75</v>
      </c>
      <c r="H1191" s="4" t="str">
        <f t="shared" si="2"/>
        <v>Sin precio neto</v>
      </c>
      <c r="I1191" s="4" t="str">
        <f t="shared" si="3"/>
        <v>Sin precio neto G.C.</v>
      </c>
      <c r="J1191" s="4">
        <f t="shared" si="4"/>
        <v>7.44</v>
      </c>
      <c r="K1191" s="4">
        <f t="shared" si="5"/>
        <v>7.75</v>
      </c>
      <c r="L1191" s="4">
        <f t="shared" si="6"/>
        <v>7.44</v>
      </c>
    </row>
    <row r="1192">
      <c r="A1192" s="3">
        <v>1520.0</v>
      </c>
      <c r="B1192" s="1" t="s">
        <v>1813</v>
      </c>
      <c r="C1192" s="3">
        <v>2.9</v>
      </c>
      <c r="D1192" s="5"/>
      <c r="E1192" s="5"/>
      <c r="F1192" s="5"/>
      <c r="G1192" s="4">
        <f t="shared" si="1"/>
        <v>1.45</v>
      </c>
      <c r="H1192" s="4" t="str">
        <f t="shared" si="2"/>
        <v>Sin precio neto</v>
      </c>
      <c r="I1192" s="4" t="str">
        <f t="shared" si="3"/>
        <v>Sin precio neto G.C.</v>
      </c>
      <c r="J1192" s="4">
        <f t="shared" si="4"/>
        <v>1.392</v>
      </c>
      <c r="K1192" s="4">
        <f t="shared" si="5"/>
        <v>1.45</v>
      </c>
      <c r="L1192" s="4">
        <f t="shared" si="6"/>
        <v>1.392</v>
      </c>
    </row>
    <row r="1193">
      <c r="A1193" s="3">
        <v>1522.0</v>
      </c>
      <c r="B1193" s="1" t="s">
        <v>1814</v>
      </c>
      <c r="C1193" s="3">
        <v>3.5</v>
      </c>
      <c r="D1193" s="5"/>
      <c r="E1193" s="5"/>
      <c r="F1193" s="5"/>
      <c r="G1193" s="4">
        <f t="shared" si="1"/>
        <v>1.75</v>
      </c>
      <c r="H1193" s="4" t="str">
        <f t="shared" si="2"/>
        <v>Sin precio neto</v>
      </c>
      <c r="I1193" s="4" t="str">
        <f t="shared" si="3"/>
        <v>Sin precio neto G.C.</v>
      </c>
      <c r="J1193" s="4">
        <f t="shared" si="4"/>
        <v>1.68</v>
      </c>
      <c r="K1193" s="4">
        <f t="shared" si="5"/>
        <v>1.75</v>
      </c>
      <c r="L1193" s="4">
        <f t="shared" si="6"/>
        <v>1.68</v>
      </c>
    </row>
    <row r="1194">
      <c r="A1194" s="3">
        <v>1523.0</v>
      </c>
      <c r="B1194" s="1" t="s">
        <v>1815</v>
      </c>
      <c r="C1194" s="3">
        <v>10.4</v>
      </c>
      <c r="D1194" s="5"/>
      <c r="E1194" s="5"/>
      <c r="F1194" s="5"/>
      <c r="G1194" s="4">
        <f t="shared" si="1"/>
        <v>5.2</v>
      </c>
      <c r="H1194" s="4" t="str">
        <f t="shared" si="2"/>
        <v>Sin precio neto</v>
      </c>
      <c r="I1194" s="4" t="str">
        <f t="shared" si="3"/>
        <v>Sin precio neto G.C.</v>
      </c>
      <c r="J1194" s="4">
        <f t="shared" si="4"/>
        <v>4.992</v>
      </c>
      <c r="K1194" s="4">
        <f t="shared" si="5"/>
        <v>5.2</v>
      </c>
      <c r="L1194" s="4">
        <f t="shared" si="6"/>
        <v>4.992</v>
      </c>
    </row>
    <row r="1195">
      <c r="A1195" s="3">
        <v>1524.0</v>
      </c>
      <c r="B1195" s="1" t="s">
        <v>1816</v>
      </c>
      <c r="C1195" s="3">
        <v>1.9</v>
      </c>
      <c r="D1195" s="5"/>
      <c r="E1195" s="5"/>
      <c r="F1195" s="5"/>
      <c r="G1195" s="4">
        <f t="shared" si="1"/>
        <v>0.95</v>
      </c>
      <c r="H1195" s="4" t="str">
        <f t="shared" si="2"/>
        <v>Sin precio neto</v>
      </c>
      <c r="I1195" s="4" t="str">
        <f t="shared" si="3"/>
        <v>Sin precio neto G.C.</v>
      </c>
      <c r="J1195" s="4">
        <f t="shared" si="4"/>
        <v>0.912</v>
      </c>
      <c r="K1195" s="4">
        <f t="shared" si="5"/>
        <v>0.95</v>
      </c>
      <c r="L1195" s="4">
        <f t="shared" si="6"/>
        <v>0.912</v>
      </c>
    </row>
    <row r="1196">
      <c r="A1196" s="3">
        <v>1525.0</v>
      </c>
      <c r="B1196" s="1" t="s">
        <v>1817</v>
      </c>
      <c r="C1196" s="3">
        <v>8.5</v>
      </c>
      <c r="D1196" s="5"/>
      <c r="E1196" s="5"/>
      <c r="F1196" s="5"/>
      <c r="G1196" s="4">
        <f t="shared" si="1"/>
        <v>4.25</v>
      </c>
      <c r="H1196" s="4" t="str">
        <f t="shared" si="2"/>
        <v>Sin precio neto</v>
      </c>
      <c r="I1196" s="4" t="str">
        <f t="shared" si="3"/>
        <v>Sin precio neto G.C.</v>
      </c>
      <c r="J1196" s="4">
        <f t="shared" si="4"/>
        <v>4.08</v>
      </c>
      <c r="K1196" s="4">
        <f t="shared" si="5"/>
        <v>4.25</v>
      </c>
      <c r="L1196" s="4">
        <f t="shared" si="6"/>
        <v>4.08</v>
      </c>
    </row>
    <row r="1197">
      <c r="A1197" s="3">
        <v>1536.0</v>
      </c>
      <c r="B1197" s="1" t="s">
        <v>1818</v>
      </c>
      <c r="C1197" s="3">
        <v>913.5</v>
      </c>
      <c r="D1197" s="5"/>
      <c r="E1197" s="5"/>
      <c r="F1197" s="5"/>
      <c r="G1197" s="4">
        <f t="shared" si="1"/>
        <v>456.75</v>
      </c>
      <c r="H1197" s="4" t="str">
        <f t="shared" si="2"/>
        <v>Sin precio neto</v>
      </c>
      <c r="I1197" s="4" t="str">
        <f t="shared" si="3"/>
        <v>Sin precio neto G.C.</v>
      </c>
      <c r="J1197" s="4">
        <f t="shared" si="4"/>
        <v>438.48</v>
      </c>
      <c r="K1197" s="4">
        <f t="shared" si="5"/>
        <v>456.75</v>
      </c>
      <c r="L1197" s="4">
        <f t="shared" si="6"/>
        <v>438.48</v>
      </c>
    </row>
    <row r="1198">
      <c r="A1198" s="3">
        <v>1537.0</v>
      </c>
      <c r="B1198" s="1" t="s">
        <v>1819</v>
      </c>
      <c r="C1198" s="3">
        <v>834.75</v>
      </c>
      <c r="D1198" s="5"/>
      <c r="E1198" s="5"/>
      <c r="F1198" s="5"/>
      <c r="G1198" s="4">
        <f t="shared" si="1"/>
        <v>417.375</v>
      </c>
      <c r="H1198" s="4" t="str">
        <f t="shared" si="2"/>
        <v>Sin precio neto</v>
      </c>
      <c r="I1198" s="4" t="str">
        <f t="shared" si="3"/>
        <v>Sin precio neto G.C.</v>
      </c>
      <c r="J1198" s="4">
        <f t="shared" si="4"/>
        <v>400.68</v>
      </c>
      <c r="K1198" s="4">
        <f t="shared" si="5"/>
        <v>417.375</v>
      </c>
      <c r="L1198" s="4">
        <f t="shared" si="6"/>
        <v>400.68</v>
      </c>
    </row>
    <row r="1199">
      <c r="A1199" s="3">
        <v>1538.0</v>
      </c>
      <c r="B1199" s="1" t="s">
        <v>1820</v>
      </c>
      <c r="C1199" s="3">
        <v>94.0</v>
      </c>
      <c r="D1199" s="5"/>
      <c r="E1199" s="5"/>
      <c r="F1199" s="5"/>
      <c r="G1199" s="4">
        <f t="shared" si="1"/>
        <v>47</v>
      </c>
      <c r="H1199" s="4" t="str">
        <f t="shared" si="2"/>
        <v>Sin precio neto</v>
      </c>
      <c r="I1199" s="4" t="str">
        <f t="shared" si="3"/>
        <v>Sin precio neto G.C.</v>
      </c>
      <c r="J1199" s="4">
        <f t="shared" si="4"/>
        <v>45.12</v>
      </c>
      <c r="K1199" s="4">
        <f t="shared" si="5"/>
        <v>47</v>
      </c>
      <c r="L1199" s="4">
        <f t="shared" si="6"/>
        <v>45.12</v>
      </c>
    </row>
    <row r="1200">
      <c r="A1200" s="3">
        <v>1539.0</v>
      </c>
      <c r="B1200" s="1" t="s">
        <v>1821</v>
      </c>
      <c r="C1200" s="3">
        <v>16.5</v>
      </c>
      <c r="D1200" s="5"/>
      <c r="E1200" s="5"/>
      <c r="F1200" s="5"/>
      <c r="G1200" s="4">
        <f t="shared" si="1"/>
        <v>8.25</v>
      </c>
      <c r="H1200" s="4" t="str">
        <f t="shared" si="2"/>
        <v>Sin precio neto</v>
      </c>
      <c r="I1200" s="4" t="str">
        <f t="shared" si="3"/>
        <v>Sin precio neto G.C.</v>
      </c>
      <c r="J1200" s="4">
        <f t="shared" si="4"/>
        <v>7.92</v>
      </c>
      <c r="K1200" s="4">
        <f t="shared" si="5"/>
        <v>8.25</v>
      </c>
      <c r="L1200" s="4">
        <f t="shared" si="6"/>
        <v>7.92</v>
      </c>
    </row>
    <row r="1201">
      <c r="A1201" s="3">
        <v>1540.0</v>
      </c>
      <c r="B1201" s="1" t="s">
        <v>1822</v>
      </c>
      <c r="C1201" s="3">
        <v>28.5</v>
      </c>
      <c r="D1201" s="3">
        <v>13.5</v>
      </c>
      <c r="E1201" s="3">
        <v>11.0</v>
      </c>
      <c r="F1201" s="3">
        <v>24.0</v>
      </c>
      <c r="G1201" s="4">
        <f t="shared" si="1"/>
        <v>14.25</v>
      </c>
      <c r="H1201" s="4" t="str">
        <f t="shared" si="2"/>
        <v>Neto: 13,50 € (a partir de 24 uds.)</v>
      </c>
      <c r="I1201" s="4" t="str">
        <f t="shared" si="3"/>
        <v>Neto G.C.: 11,00 € (a partir de 24 uds.)</v>
      </c>
      <c r="J1201" s="4">
        <f t="shared" si="4"/>
        <v>13.68</v>
      </c>
      <c r="K1201" s="4">
        <f t="shared" si="5"/>
        <v>14.25</v>
      </c>
      <c r="L1201" s="4">
        <f t="shared" si="6"/>
        <v>13.68</v>
      </c>
    </row>
    <row r="1202">
      <c r="A1202" s="3">
        <v>1541.0</v>
      </c>
      <c r="B1202" s="1" t="s">
        <v>1823</v>
      </c>
      <c r="C1202" s="3">
        <v>28.5</v>
      </c>
      <c r="D1202" s="3">
        <v>13.5</v>
      </c>
      <c r="E1202" s="3">
        <v>11.0</v>
      </c>
      <c r="F1202" s="3">
        <v>24.0</v>
      </c>
      <c r="G1202" s="4">
        <f t="shared" si="1"/>
        <v>14.25</v>
      </c>
      <c r="H1202" s="4" t="str">
        <f t="shared" si="2"/>
        <v>Neto: 13,50 € (a partir de 24 uds.)</v>
      </c>
      <c r="I1202" s="4" t="str">
        <f t="shared" si="3"/>
        <v>Neto G.C.: 11,00 € (a partir de 24 uds.)</v>
      </c>
      <c r="J1202" s="4">
        <f t="shared" si="4"/>
        <v>13.68</v>
      </c>
      <c r="K1202" s="4">
        <f t="shared" si="5"/>
        <v>14.25</v>
      </c>
      <c r="L1202" s="4">
        <f t="shared" si="6"/>
        <v>13.68</v>
      </c>
    </row>
    <row r="1203">
      <c r="A1203" s="3">
        <v>1542.0</v>
      </c>
      <c r="B1203" s="1" t="s">
        <v>1824</v>
      </c>
      <c r="C1203" s="3">
        <v>28.5</v>
      </c>
      <c r="D1203" s="3">
        <v>13.5</v>
      </c>
      <c r="E1203" s="3">
        <v>11.0</v>
      </c>
      <c r="F1203" s="3">
        <v>24.0</v>
      </c>
      <c r="G1203" s="4">
        <f t="shared" si="1"/>
        <v>14.25</v>
      </c>
      <c r="H1203" s="4" t="str">
        <f t="shared" si="2"/>
        <v>Neto: 13,50 € (a partir de 24 uds.)</v>
      </c>
      <c r="I1203" s="4" t="str">
        <f t="shared" si="3"/>
        <v>Neto G.C.: 11,00 € (a partir de 24 uds.)</v>
      </c>
      <c r="J1203" s="4">
        <f t="shared" si="4"/>
        <v>13.68</v>
      </c>
      <c r="K1203" s="4">
        <f t="shared" si="5"/>
        <v>14.25</v>
      </c>
      <c r="L1203" s="4">
        <f t="shared" si="6"/>
        <v>13.68</v>
      </c>
    </row>
    <row r="1204">
      <c r="A1204" s="3">
        <v>1547.0</v>
      </c>
      <c r="B1204" s="1" t="s">
        <v>1825</v>
      </c>
      <c r="C1204" s="3">
        <v>254.1</v>
      </c>
      <c r="D1204" s="5"/>
      <c r="E1204" s="5"/>
      <c r="F1204" s="5"/>
      <c r="G1204" s="4">
        <f t="shared" si="1"/>
        <v>127.05</v>
      </c>
      <c r="H1204" s="4" t="str">
        <f t="shared" si="2"/>
        <v>Sin precio neto</v>
      </c>
      <c r="I1204" s="4" t="str">
        <f t="shared" si="3"/>
        <v>Sin precio neto G.C.</v>
      </c>
      <c r="J1204" s="4">
        <f t="shared" si="4"/>
        <v>121.968</v>
      </c>
      <c r="K1204" s="4">
        <f t="shared" si="5"/>
        <v>127.05</v>
      </c>
      <c r="L1204" s="4">
        <f t="shared" si="6"/>
        <v>121.968</v>
      </c>
    </row>
    <row r="1205">
      <c r="A1205" s="1" t="s">
        <v>1826</v>
      </c>
      <c r="B1205" s="1" t="s">
        <v>1827</v>
      </c>
      <c r="C1205" s="3">
        <v>254.1</v>
      </c>
      <c r="D1205" s="5"/>
      <c r="E1205" s="5"/>
      <c r="F1205" s="5"/>
      <c r="G1205" s="4">
        <f t="shared" si="1"/>
        <v>127.05</v>
      </c>
      <c r="H1205" s="4" t="str">
        <f t="shared" si="2"/>
        <v>Sin precio neto</v>
      </c>
      <c r="I1205" s="4" t="str">
        <f t="shared" si="3"/>
        <v>Sin precio neto G.C.</v>
      </c>
      <c r="J1205" s="4">
        <f t="shared" si="4"/>
        <v>121.968</v>
      </c>
      <c r="K1205" s="4">
        <f t="shared" si="5"/>
        <v>127.05</v>
      </c>
      <c r="L1205" s="4">
        <f t="shared" si="6"/>
        <v>121.968</v>
      </c>
    </row>
    <row r="1206">
      <c r="A1206" s="3">
        <v>1548.0</v>
      </c>
      <c r="B1206" s="1" t="s">
        <v>1828</v>
      </c>
      <c r="C1206" s="3">
        <v>254.1</v>
      </c>
      <c r="D1206" s="5"/>
      <c r="E1206" s="5"/>
      <c r="F1206" s="5"/>
      <c r="G1206" s="4">
        <f t="shared" si="1"/>
        <v>127.05</v>
      </c>
      <c r="H1206" s="4" t="str">
        <f t="shared" si="2"/>
        <v>Sin precio neto</v>
      </c>
      <c r="I1206" s="4" t="str">
        <f t="shared" si="3"/>
        <v>Sin precio neto G.C.</v>
      </c>
      <c r="J1206" s="4">
        <f t="shared" si="4"/>
        <v>121.968</v>
      </c>
      <c r="K1206" s="4">
        <f t="shared" si="5"/>
        <v>127.05</v>
      </c>
      <c r="L1206" s="4">
        <f t="shared" si="6"/>
        <v>121.968</v>
      </c>
    </row>
    <row r="1207">
      <c r="A1207" s="1" t="s">
        <v>1829</v>
      </c>
      <c r="B1207" s="1" t="s">
        <v>1830</v>
      </c>
      <c r="C1207" s="3">
        <v>254.1</v>
      </c>
      <c r="D1207" s="5"/>
      <c r="E1207" s="5"/>
      <c r="F1207" s="5"/>
      <c r="G1207" s="4">
        <f t="shared" si="1"/>
        <v>127.05</v>
      </c>
      <c r="H1207" s="4" t="str">
        <f t="shared" si="2"/>
        <v>Sin precio neto</v>
      </c>
      <c r="I1207" s="4" t="str">
        <f t="shared" si="3"/>
        <v>Sin precio neto G.C.</v>
      </c>
      <c r="J1207" s="4">
        <f t="shared" si="4"/>
        <v>121.968</v>
      </c>
      <c r="K1207" s="4">
        <f t="shared" si="5"/>
        <v>127.05</v>
      </c>
      <c r="L1207" s="4">
        <f t="shared" si="6"/>
        <v>121.968</v>
      </c>
    </row>
    <row r="1208">
      <c r="A1208" s="3">
        <v>1549.0</v>
      </c>
      <c r="B1208" s="1" t="s">
        <v>1831</v>
      </c>
      <c r="C1208" s="3">
        <v>254.1</v>
      </c>
      <c r="D1208" s="5"/>
      <c r="E1208" s="5"/>
      <c r="F1208" s="5"/>
      <c r="G1208" s="4">
        <f t="shared" si="1"/>
        <v>127.05</v>
      </c>
      <c r="H1208" s="4" t="str">
        <f t="shared" si="2"/>
        <v>Sin precio neto</v>
      </c>
      <c r="I1208" s="4" t="str">
        <f t="shared" si="3"/>
        <v>Sin precio neto G.C.</v>
      </c>
      <c r="J1208" s="4">
        <f t="shared" si="4"/>
        <v>121.968</v>
      </c>
      <c r="K1208" s="4">
        <f t="shared" si="5"/>
        <v>127.05</v>
      </c>
      <c r="L1208" s="4">
        <f t="shared" si="6"/>
        <v>121.968</v>
      </c>
    </row>
    <row r="1209">
      <c r="A1209" s="1" t="s">
        <v>1832</v>
      </c>
      <c r="B1209" s="1" t="s">
        <v>1833</v>
      </c>
      <c r="C1209" s="3">
        <v>254.1</v>
      </c>
      <c r="D1209" s="5"/>
      <c r="E1209" s="5"/>
      <c r="F1209" s="5"/>
      <c r="G1209" s="4">
        <f t="shared" si="1"/>
        <v>127.05</v>
      </c>
      <c r="H1209" s="4" t="str">
        <f t="shared" si="2"/>
        <v>Sin precio neto</v>
      </c>
      <c r="I1209" s="4" t="str">
        <f t="shared" si="3"/>
        <v>Sin precio neto G.C.</v>
      </c>
      <c r="J1209" s="4">
        <f t="shared" si="4"/>
        <v>121.968</v>
      </c>
      <c r="K1209" s="4">
        <f t="shared" si="5"/>
        <v>127.05</v>
      </c>
      <c r="L1209" s="4">
        <f t="shared" si="6"/>
        <v>121.968</v>
      </c>
    </row>
    <row r="1210">
      <c r="A1210" s="3">
        <v>1550.0</v>
      </c>
      <c r="B1210" s="1" t="s">
        <v>1834</v>
      </c>
      <c r="C1210" s="3">
        <v>29.8</v>
      </c>
      <c r="D1210" s="3">
        <v>12.5</v>
      </c>
      <c r="E1210" s="3">
        <v>12.5</v>
      </c>
      <c r="F1210" s="3">
        <v>12.0</v>
      </c>
      <c r="G1210" s="4">
        <f t="shared" si="1"/>
        <v>14.9</v>
      </c>
      <c r="H1210" s="4" t="str">
        <f t="shared" si="2"/>
        <v>Neto: 12,50 € (a partir de 12 uds.)</v>
      </c>
      <c r="I1210" s="4" t="str">
        <f t="shared" si="3"/>
        <v>Neto G.C.: 12,50 € (a partir de 12 uds.)</v>
      </c>
      <c r="J1210" s="4">
        <f t="shared" si="4"/>
        <v>14.304</v>
      </c>
      <c r="K1210" s="4">
        <f t="shared" si="5"/>
        <v>14.9</v>
      </c>
      <c r="L1210" s="4">
        <f t="shared" si="6"/>
        <v>14.304</v>
      </c>
    </row>
    <row r="1211">
      <c r="A1211" s="3">
        <v>1551.0</v>
      </c>
      <c r="B1211" s="1" t="s">
        <v>1835</v>
      </c>
      <c r="C1211" s="3">
        <v>341.25</v>
      </c>
      <c r="D1211" s="5"/>
      <c r="E1211" s="5"/>
      <c r="F1211" s="5"/>
      <c r="G1211" s="4">
        <f t="shared" si="1"/>
        <v>170.625</v>
      </c>
      <c r="H1211" s="4" t="str">
        <f t="shared" si="2"/>
        <v>Sin precio neto</v>
      </c>
      <c r="I1211" s="4" t="str">
        <f t="shared" si="3"/>
        <v>Sin precio neto G.C.</v>
      </c>
      <c r="J1211" s="4">
        <f t="shared" si="4"/>
        <v>163.8</v>
      </c>
      <c r="K1211" s="4">
        <f t="shared" si="5"/>
        <v>170.625</v>
      </c>
      <c r="L1211" s="4">
        <f t="shared" si="6"/>
        <v>163.8</v>
      </c>
    </row>
    <row r="1212">
      <c r="A1212" s="3">
        <v>1554.0</v>
      </c>
      <c r="B1212" s="1" t="s">
        <v>1836</v>
      </c>
      <c r="C1212" s="3">
        <v>182.0</v>
      </c>
      <c r="D1212" s="5"/>
      <c r="E1212" s="5"/>
      <c r="F1212" s="5"/>
      <c r="G1212" s="4">
        <f t="shared" si="1"/>
        <v>91</v>
      </c>
      <c r="H1212" s="4" t="str">
        <f t="shared" si="2"/>
        <v>Sin precio neto</v>
      </c>
      <c r="I1212" s="4" t="str">
        <f t="shared" si="3"/>
        <v>Sin precio neto G.C.</v>
      </c>
      <c r="J1212" s="4">
        <f t="shared" si="4"/>
        <v>87.36</v>
      </c>
      <c r="K1212" s="4">
        <f t="shared" si="5"/>
        <v>91</v>
      </c>
      <c r="L1212" s="4">
        <f t="shared" si="6"/>
        <v>87.36</v>
      </c>
    </row>
    <row r="1213">
      <c r="A1213" s="3">
        <v>1555.0</v>
      </c>
      <c r="B1213" s="1" t="s">
        <v>1837</v>
      </c>
      <c r="C1213" s="3">
        <v>29.8</v>
      </c>
      <c r="D1213" s="3">
        <v>12.5</v>
      </c>
      <c r="E1213" s="3">
        <v>12.5</v>
      </c>
      <c r="F1213" s="3">
        <v>12.0</v>
      </c>
      <c r="G1213" s="4">
        <f t="shared" si="1"/>
        <v>14.9</v>
      </c>
      <c r="H1213" s="4" t="str">
        <f t="shared" si="2"/>
        <v>Neto: 12,50 € (a partir de 12 uds.)</v>
      </c>
      <c r="I1213" s="4" t="str">
        <f t="shared" si="3"/>
        <v>Neto G.C.: 12,50 € (a partir de 12 uds.)</v>
      </c>
      <c r="J1213" s="4">
        <f t="shared" si="4"/>
        <v>14.304</v>
      </c>
      <c r="K1213" s="4">
        <f t="shared" si="5"/>
        <v>14.9</v>
      </c>
      <c r="L1213" s="4">
        <f t="shared" si="6"/>
        <v>14.304</v>
      </c>
    </row>
    <row r="1214">
      <c r="A1214" s="3">
        <v>1556.0</v>
      </c>
      <c r="B1214" s="1" t="s">
        <v>1838</v>
      </c>
      <c r="C1214" s="3">
        <v>29.8</v>
      </c>
      <c r="D1214" s="3">
        <v>12.5</v>
      </c>
      <c r="E1214" s="3">
        <v>12.5</v>
      </c>
      <c r="F1214" s="3">
        <v>12.0</v>
      </c>
      <c r="G1214" s="4">
        <f t="shared" si="1"/>
        <v>14.9</v>
      </c>
      <c r="H1214" s="4" t="str">
        <f t="shared" si="2"/>
        <v>Neto: 12,50 € (a partir de 12 uds.)</v>
      </c>
      <c r="I1214" s="4" t="str">
        <f t="shared" si="3"/>
        <v>Neto G.C.: 12,50 € (a partir de 12 uds.)</v>
      </c>
      <c r="J1214" s="4">
        <f t="shared" si="4"/>
        <v>14.304</v>
      </c>
      <c r="K1214" s="4">
        <f t="shared" si="5"/>
        <v>14.9</v>
      </c>
      <c r="L1214" s="4">
        <f t="shared" si="6"/>
        <v>14.304</v>
      </c>
    </row>
    <row r="1215">
      <c r="A1215" s="3">
        <v>1557.0</v>
      </c>
      <c r="B1215" s="1" t="s">
        <v>1839</v>
      </c>
      <c r="C1215" s="3">
        <v>54.6</v>
      </c>
      <c r="D1215" s="3">
        <v>22.0</v>
      </c>
      <c r="E1215" s="3">
        <v>21.0</v>
      </c>
      <c r="F1215" s="3">
        <v>12.0</v>
      </c>
      <c r="G1215" s="4">
        <f t="shared" si="1"/>
        <v>27.3</v>
      </c>
      <c r="H1215" s="4" t="str">
        <f t="shared" si="2"/>
        <v>Neto: 22,00 € (a partir de 12 uds.)</v>
      </c>
      <c r="I1215" s="4" t="str">
        <f t="shared" si="3"/>
        <v>Neto G.C.: 21,00 € (a partir de 12 uds.)</v>
      </c>
      <c r="J1215" s="4">
        <f t="shared" si="4"/>
        <v>26.208</v>
      </c>
      <c r="K1215" s="4">
        <f t="shared" si="5"/>
        <v>27.3</v>
      </c>
      <c r="L1215" s="4">
        <f t="shared" si="6"/>
        <v>26.208</v>
      </c>
    </row>
    <row r="1216">
      <c r="A1216" s="3">
        <v>1558.0</v>
      </c>
      <c r="B1216" s="1" t="s">
        <v>1840</v>
      </c>
      <c r="C1216" s="3">
        <v>54.6</v>
      </c>
      <c r="D1216" s="3">
        <v>22.0</v>
      </c>
      <c r="E1216" s="3">
        <v>21.0</v>
      </c>
      <c r="F1216" s="3">
        <v>12.0</v>
      </c>
      <c r="G1216" s="4">
        <f t="shared" si="1"/>
        <v>27.3</v>
      </c>
      <c r="H1216" s="4" t="str">
        <f t="shared" si="2"/>
        <v>Neto: 22,00 € (a partir de 12 uds.)</v>
      </c>
      <c r="I1216" s="4" t="str">
        <f t="shared" si="3"/>
        <v>Neto G.C.: 21,00 € (a partir de 12 uds.)</v>
      </c>
      <c r="J1216" s="4">
        <f t="shared" si="4"/>
        <v>26.208</v>
      </c>
      <c r="K1216" s="4">
        <f t="shared" si="5"/>
        <v>27.3</v>
      </c>
      <c r="L1216" s="4">
        <f t="shared" si="6"/>
        <v>26.208</v>
      </c>
    </row>
    <row r="1217">
      <c r="A1217" s="1" t="s">
        <v>1841</v>
      </c>
      <c r="B1217" s="1" t="s">
        <v>1842</v>
      </c>
      <c r="C1217" s="3">
        <v>5.9</v>
      </c>
      <c r="D1217" s="5"/>
      <c r="E1217" s="5"/>
      <c r="F1217" s="5"/>
      <c r="G1217" s="4">
        <f t="shared" si="1"/>
        <v>2.95</v>
      </c>
      <c r="H1217" s="4" t="str">
        <f t="shared" si="2"/>
        <v>Sin precio neto</v>
      </c>
      <c r="I1217" s="4" t="str">
        <f t="shared" si="3"/>
        <v>Sin precio neto G.C.</v>
      </c>
      <c r="J1217" s="4">
        <f t="shared" si="4"/>
        <v>2.832</v>
      </c>
      <c r="K1217" s="4">
        <f t="shared" si="5"/>
        <v>2.95</v>
      </c>
      <c r="L1217" s="4">
        <f t="shared" si="6"/>
        <v>2.832</v>
      </c>
    </row>
    <row r="1218">
      <c r="A1218" s="1" t="s">
        <v>1843</v>
      </c>
      <c r="B1218" s="1" t="s">
        <v>1844</v>
      </c>
      <c r="C1218" s="3">
        <v>6.4</v>
      </c>
      <c r="D1218" s="5"/>
      <c r="E1218" s="5"/>
      <c r="F1218" s="5"/>
      <c r="G1218" s="4">
        <f t="shared" si="1"/>
        <v>3.2</v>
      </c>
      <c r="H1218" s="4" t="str">
        <f t="shared" si="2"/>
        <v>Sin precio neto</v>
      </c>
      <c r="I1218" s="4" t="str">
        <f t="shared" si="3"/>
        <v>Sin precio neto G.C.</v>
      </c>
      <c r="J1218" s="4">
        <f t="shared" si="4"/>
        <v>3.072</v>
      </c>
      <c r="K1218" s="4">
        <f t="shared" si="5"/>
        <v>3.2</v>
      </c>
      <c r="L1218" s="4">
        <f t="shared" si="6"/>
        <v>3.072</v>
      </c>
    </row>
    <row r="1219">
      <c r="A1219" s="1" t="s">
        <v>1845</v>
      </c>
      <c r="B1219" s="1" t="s">
        <v>1846</v>
      </c>
      <c r="C1219" s="3">
        <v>7.4</v>
      </c>
      <c r="D1219" s="5"/>
      <c r="E1219" s="5"/>
      <c r="F1219" s="5"/>
      <c r="G1219" s="4">
        <f t="shared" si="1"/>
        <v>3.7</v>
      </c>
      <c r="H1219" s="4" t="str">
        <f t="shared" si="2"/>
        <v>Sin precio neto</v>
      </c>
      <c r="I1219" s="4" t="str">
        <f t="shared" si="3"/>
        <v>Sin precio neto G.C.</v>
      </c>
      <c r="J1219" s="4">
        <f t="shared" si="4"/>
        <v>3.552</v>
      </c>
      <c r="K1219" s="4">
        <f t="shared" si="5"/>
        <v>3.7</v>
      </c>
      <c r="L1219" s="4">
        <f t="shared" si="6"/>
        <v>3.552</v>
      </c>
    </row>
    <row r="1220">
      <c r="A1220" s="1" t="s">
        <v>1847</v>
      </c>
      <c r="B1220" s="1" t="s">
        <v>1848</v>
      </c>
      <c r="C1220" s="3">
        <v>6.8</v>
      </c>
      <c r="D1220" s="5"/>
      <c r="E1220" s="5"/>
      <c r="F1220" s="5"/>
      <c r="G1220" s="4">
        <f t="shared" si="1"/>
        <v>3.4</v>
      </c>
      <c r="H1220" s="4" t="str">
        <f t="shared" si="2"/>
        <v>Sin precio neto</v>
      </c>
      <c r="I1220" s="4" t="str">
        <f t="shared" si="3"/>
        <v>Sin precio neto G.C.</v>
      </c>
      <c r="J1220" s="4">
        <f t="shared" si="4"/>
        <v>3.264</v>
      </c>
      <c r="K1220" s="4">
        <f t="shared" si="5"/>
        <v>3.4</v>
      </c>
      <c r="L1220" s="4">
        <f t="shared" si="6"/>
        <v>3.264</v>
      </c>
    </row>
    <row r="1221">
      <c r="A1221" s="1" t="s">
        <v>1849</v>
      </c>
      <c r="B1221" s="1" t="s">
        <v>1850</v>
      </c>
      <c r="C1221" s="3">
        <v>6.8</v>
      </c>
      <c r="D1221" s="5"/>
      <c r="E1221" s="5"/>
      <c r="F1221" s="5"/>
      <c r="G1221" s="4">
        <f t="shared" si="1"/>
        <v>3.4</v>
      </c>
      <c r="H1221" s="4" t="str">
        <f t="shared" si="2"/>
        <v>Sin precio neto</v>
      </c>
      <c r="I1221" s="4" t="str">
        <f t="shared" si="3"/>
        <v>Sin precio neto G.C.</v>
      </c>
      <c r="J1221" s="4">
        <f t="shared" si="4"/>
        <v>3.264</v>
      </c>
      <c r="K1221" s="4">
        <f t="shared" si="5"/>
        <v>3.4</v>
      </c>
      <c r="L1221" s="4">
        <f t="shared" si="6"/>
        <v>3.264</v>
      </c>
    </row>
    <row r="1222">
      <c r="A1222" s="1" t="s">
        <v>1851</v>
      </c>
      <c r="B1222" s="1" t="s">
        <v>1852</v>
      </c>
      <c r="C1222" s="3">
        <v>6.8</v>
      </c>
      <c r="D1222" s="5"/>
      <c r="E1222" s="5"/>
      <c r="F1222" s="5"/>
      <c r="G1222" s="4">
        <f t="shared" si="1"/>
        <v>3.4</v>
      </c>
      <c r="H1222" s="4" t="str">
        <f t="shared" si="2"/>
        <v>Sin precio neto</v>
      </c>
      <c r="I1222" s="4" t="str">
        <f t="shared" si="3"/>
        <v>Sin precio neto G.C.</v>
      </c>
      <c r="J1222" s="4">
        <f t="shared" si="4"/>
        <v>3.264</v>
      </c>
      <c r="K1222" s="4">
        <f t="shared" si="5"/>
        <v>3.4</v>
      </c>
      <c r="L1222" s="4">
        <f t="shared" si="6"/>
        <v>3.264</v>
      </c>
    </row>
    <row r="1223">
      <c r="A1223" s="1" t="s">
        <v>1853</v>
      </c>
      <c r="B1223" s="1" t="s">
        <v>1854</v>
      </c>
      <c r="C1223" s="3">
        <v>6.8</v>
      </c>
      <c r="D1223" s="5"/>
      <c r="E1223" s="5"/>
      <c r="F1223" s="5"/>
      <c r="G1223" s="4">
        <f t="shared" si="1"/>
        <v>3.4</v>
      </c>
      <c r="H1223" s="4" t="str">
        <f t="shared" si="2"/>
        <v>Sin precio neto</v>
      </c>
      <c r="I1223" s="4" t="str">
        <f t="shared" si="3"/>
        <v>Sin precio neto G.C.</v>
      </c>
      <c r="J1223" s="4">
        <f t="shared" si="4"/>
        <v>3.264</v>
      </c>
      <c r="K1223" s="4">
        <f t="shared" si="5"/>
        <v>3.4</v>
      </c>
      <c r="L1223" s="4">
        <f t="shared" si="6"/>
        <v>3.264</v>
      </c>
    </row>
    <row r="1224">
      <c r="A1224" s="1" t="s">
        <v>1855</v>
      </c>
      <c r="B1224" s="1" t="s">
        <v>1856</v>
      </c>
      <c r="C1224" s="3">
        <v>6.8</v>
      </c>
      <c r="D1224" s="5"/>
      <c r="E1224" s="5"/>
      <c r="F1224" s="5"/>
      <c r="G1224" s="4">
        <f t="shared" si="1"/>
        <v>3.4</v>
      </c>
      <c r="H1224" s="4" t="str">
        <f t="shared" si="2"/>
        <v>Sin precio neto</v>
      </c>
      <c r="I1224" s="4" t="str">
        <f t="shared" si="3"/>
        <v>Sin precio neto G.C.</v>
      </c>
      <c r="J1224" s="4">
        <f t="shared" si="4"/>
        <v>3.264</v>
      </c>
      <c r="K1224" s="4">
        <f t="shared" si="5"/>
        <v>3.4</v>
      </c>
      <c r="L1224" s="4">
        <f t="shared" si="6"/>
        <v>3.264</v>
      </c>
    </row>
    <row r="1225">
      <c r="A1225" s="1" t="s">
        <v>1857</v>
      </c>
      <c r="B1225" s="1" t="s">
        <v>1858</v>
      </c>
      <c r="C1225" s="3">
        <v>6.8</v>
      </c>
      <c r="D1225" s="5"/>
      <c r="E1225" s="5"/>
      <c r="F1225" s="5"/>
      <c r="G1225" s="4">
        <f t="shared" si="1"/>
        <v>3.4</v>
      </c>
      <c r="H1225" s="4" t="str">
        <f t="shared" si="2"/>
        <v>Sin precio neto</v>
      </c>
      <c r="I1225" s="4" t="str">
        <f t="shared" si="3"/>
        <v>Sin precio neto G.C.</v>
      </c>
      <c r="J1225" s="4">
        <f t="shared" si="4"/>
        <v>3.264</v>
      </c>
      <c r="K1225" s="4">
        <f t="shared" si="5"/>
        <v>3.4</v>
      </c>
      <c r="L1225" s="4">
        <f t="shared" si="6"/>
        <v>3.264</v>
      </c>
    </row>
    <row r="1226">
      <c r="A1226" s="3">
        <v>1562.0</v>
      </c>
      <c r="B1226" s="1" t="s">
        <v>1859</v>
      </c>
      <c r="C1226" s="3">
        <v>14.5</v>
      </c>
      <c r="D1226" s="3">
        <v>5.5</v>
      </c>
      <c r="E1226" s="3">
        <v>5.5</v>
      </c>
      <c r="F1226" s="3">
        <v>20.0</v>
      </c>
      <c r="G1226" s="4">
        <f t="shared" si="1"/>
        <v>7.25</v>
      </c>
      <c r="H1226" s="4" t="str">
        <f t="shared" si="2"/>
        <v>Neto: 5,50 € (a partir de 20 uds.)</v>
      </c>
      <c r="I1226" s="4" t="str">
        <f t="shared" si="3"/>
        <v>Neto G.C.: 5,50 € (a partir de 20 uds.)</v>
      </c>
      <c r="J1226" s="4">
        <f t="shared" si="4"/>
        <v>6.96</v>
      </c>
      <c r="K1226" s="4">
        <f t="shared" si="5"/>
        <v>7.25</v>
      </c>
      <c r="L1226" s="4">
        <f t="shared" si="6"/>
        <v>6.96</v>
      </c>
    </row>
    <row r="1227">
      <c r="A1227" s="3">
        <v>1563.0</v>
      </c>
      <c r="B1227" s="1" t="s">
        <v>1860</v>
      </c>
      <c r="C1227" s="3">
        <v>7.8</v>
      </c>
      <c r="D1227" s="5"/>
      <c r="E1227" s="5"/>
      <c r="F1227" s="5"/>
      <c r="G1227" s="4">
        <f t="shared" si="1"/>
        <v>3.9</v>
      </c>
      <c r="H1227" s="4" t="str">
        <f t="shared" si="2"/>
        <v>Sin precio neto</v>
      </c>
      <c r="I1227" s="4" t="str">
        <f t="shared" si="3"/>
        <v>Sin precio neto G.C.</v>
      </c>
      <c r="J1227" s="4">
        <f t="shared" si="4"/>
        <v>3.744</v>
      </c>
      <c r="K1227" s="4">
        <f t="shared" si="5"/>
        <v>3.9</v>
      </c>
      <c r="L1227" s="4">
        <f t="shared" si="6"/>
        <v>3.744</v>
      </c>
    </row>
    <row r="1228">
      <c r="A1228" s="3">
        <v>1564.0</v>
      </c>
      <c r="B1228" s="1" t="s">
        <v>1861</v>
      </c>
      <c r="C1228" s="3">
        <v>7.8</v>
      </c>
      <c r="D1228" s="5"/>
      <c r="E1228" s="5"/>
      <c r="F1228" s="5"/>
      <c r="G1228" s="4">
        <f t="shared" si="1"/>
        <v>3.9</v>
      </c>
      <c r="H1228" s="4" t="str">
        <f t="shared" si="2"/>
        <v>Sin precio neto</v>
      </c>
      <c r="I1228" s="4" t="str">
        <f t="shared" si="3"/>
        <v>Sin precio neto G.C.</v>
      </c>
      <c r="J1228" s="4">
        <f t="shared" si="4"/>
        <v>3.744</v>
      </c>
      <c r="K1228" s="4">
        <f t="shared" si="5"/>
        <v>3.9</v>
      </c>
      <c r="L1228" s="4">
        <f t="shared" si="6"/>
        <v>3.744</v>
      </c>
    </row>
    <row r="1229">
      <c r="A1229" s="3">
        <v>1565.0</v>
      </c>
      <c r="B1229" s="1" t="s">
        <v>1862</v>
      </c>
      <c r="C1229" s="3">
        <v>18.4</v>
      </c>
      <c r="D1229" s="5"/>
      <c r="E1229" s="5"/>
      <c r="F1229" s="5"/>
      <c r="G1229" s="4">
        <f t="shared" si="1"/>
        <v>9.2</v>
      </c>
      <c r="H1229" s="4" t="str">
        <f t="shared" si="2"/>
        <v>Sin precio neto</v>
      </c>
      <c r="I1229" s="4" t="str">
        <f t="shared" si="3"/>
        <v>Sin precio neto G.C.</v>
      </c>
      <c r="J1229" s="4">
        <f t="shared" si="4"/>
        <v>8.832</v>
      </c>
      <c r="K1229" s="4">
        <f t="shared" si="5"/>
        <v>9.2</v>
      </c>
      <c r="L1229" s="4">
        <f t="shared" si="6"/>
        <v>8.832</v>
      </c>
    </row>
    <row r="1230">
      <c r="A1230" s="3">
        <v>1566.0</v>
      </c>
      <c r="B1230" s="1" t="s">
        <v>1863</v>
      </c>
      <c r="C1230" s="3">
        <v>15.76</v>
      </c>
      <c r="D1230" s="5"/>
      <c r="E1230" s="5"/>
      <c r="F1230" s="5"/>
      <c r="G1230" s="4">
        <f t="shared" si="1"/>
        <v>7.88</v>
      </c>
      <c r="H1230" s="4" t="str">
        <f t="shared" si="2"/>
        <v>Sin precio neto</v>
      </c>
      <c r="I1230" s="4" t="str">
        <f t="shared" si="3"/>
        <v>Sin precio neto G.C.</v>
      </c>
      <c r="J1230" s="4">
        <f t="shared" si="4"/>
        <v>7.5648</v>
      </c>
      <c r="K1230" s="4">
        <f t="shared" si="5"/>
        <v>7.88</v>
      </c>
      <c r="L1230" s="4">
        <f t="shared" si="6"/>
        <v>7.5648</v>
      </c>
    </row>
    <row r="1231">
      <c r="A1231" s="3">
        <v>1567.0</v>
      </c>
      <c r="B1231" s="1" t="s">
        <v>1864</v>
      </c>
      <c r="C1231" s="3">
        <v>16.5</v>
      </c>
      <c r="D1231" s="5"/>
      <c r="E1231" s="5"/>
      <c r="F1231" s="5"/>
      <c r="G1231" s="4">
        <f t="shared" si="1"/>
        <v>8.25</v>
      </c>
      <c r="H1231" s="4" t="str">
        <f t="shared" si="2"/>
        <v>Sin precio neto</v>
      </c>
      <c r="I1231" s="4" t="str">
        <f t="shared" si="3"/>
        <v>Sin precio neto G.C.</v>
      </c>
      <c r="J1231" s="4">
        <f t="shared" si="4"/>
        <v>7.92</v>
      </c>
      <c r="K1231" s="4">
        <f t="shared" si="5"/>
        <v>8.25</v>
      </c>
      <c r="L1231" s="4">
        <f t="shared" si="6"/>
        <v>7.92</v>
      </c>
    </row>
    <row r="1232">
      <c r="A1232" s="3">
        <v>1568.0</v>
      </c>
      <c r="B1232" s="1" t="s">
        <v>1865</v>
      </c>
      <c r="C1232" s="3">
        <v>4.5</v>
      </c>
      <c r="D1232" s="5"/>
      <c r="E1232" s="5"/>
      <c r="F1232" s="5"/>
      <c r="G1232" s="4">
        <f t="shared" si="1"/>
        <v>2.25</v>
      </c>
      <c r="H1232" s="4" t="str">
        <f t="shared" si="2"/>
        <v>Sin precio neto</v>
      </c>
      <c r="I1232" s="4" t="str">
        <f t="shared" si="3"/>
        <v>Sin precio neto G.C.</v>
      </c>
      <c r="J1232" s="4">
        <f t="shared" si="4"/>
        <v>2.16</v>
      </c>
      <c r="K1232" s="4">
        <f t="shared" si="5"/>
        <v>2.25</v>
      </c>
      <c r="L1232" s="4">
        <f t="shared" si="6"/>
        <v>2.16</v>
      </c>
    </row>
    <row r="1233">
      <c r="A1233" s="3">
        <v>1569.0</v>
      </c>
      <c r="B1233" s="1" t="s">
        <v>1866</v>
      </c>
      <c r="C1233" s="3">
        <v>16.2</v>
      </c>
      <c r="D1233" s="5"/>
      <c r="E1233" s="5"/>
      <c r="F1233" s="5"/>
      <c r="G1233" s="4">
        <f t="shared" si="1"/>
        <v>8.1</v>
      </c>
      <c r="H1233" s="4" t="str">
        <f t="shared" si="2"/>
        <v>Sin precio neto</v>
      </c>
      <c r="I1233" s="4" t="str">
        <f t="shared" si="3"/>
        <v>Sin precio neto G.C.</v>
      </c>
      <c r="J1233" s="4">
        <f t="shared" si="4"/>
        <v>7.776</v>
      </c>
      <c r="K1233" s="4">
        <f t="shared" si="5"/>
        <v>8.1</v>
      </c>
      <c r="L1233" s="4">
        <f t="shared" si="6"/>
        <v>7.776</v>
      </c>
    </row>
    <row r="1234">
      <c r="A1234" s="3">
        <v>1570.0</v>
      </c>
      <c r="B1234" s="1" t="s">
        <v>1867</v>
      </c>
      <c r="C1234" s="3">
        <v>14.5</v>
      </c>
      <c r="D1234" s="3">
        <v>5.5</v>
      </c>
      <c r="E1234" s="3">
        <v>5.5</v>
      </c>
      <c r="F1234" s="3">
        <v>20.0</v>
      </c>
      <c r="G1234" s="4">
        <f t="shared" si="1"/>
        <v>7.25</v>
      </c>
      <c r="H1234" s="4" t="str">
        <f t="shared" si="2"/>
        <v>Neto: 5,50 € (a partir de 20 uds.)</v>
      </c>
      <c r="I1234" s="4" t="str">
        <f t="shared" si="3"/>
        <v>Neto G.C.: 5,50 € (a partir de 20 uds.)</v>
      </c>
      <c r="J1234" s="4">
        <f t="shared" si="4"/>
        <v>6.96</v>
      </c>
      <c r="K1234" s="4">
        <f t="shared" si="5"/>
        <v>7.25</v>
      </c>
      <c r="L1234" s="4">
        <f t="shared" si="6"/>
        <v>6.96</v>
      </c>
    </row>
    <row r="1235">
      <c r="A1235" s="1" t="s">
        <v>1868</v>
      </c>
      <c r="B1235" s="1" t="s">
        <v>1869</v>
      </c>
      <c r="C1235" s="3">
        <v>14.5</v>
      </c>
      <c r="D1235" s="3">
        <v>5.5</v>
      </c>
      <c r="E1235" s="3">
        <v>5.5</v>
      </c>
      <c r="F1235" s="3">
        <v>20.0</v>
      </c>
      <c r="G1235" s="4">
        <f t="shared" si="1"/>
        <v>7.25</v>
      </c>
      <c r="H1235" s="4" t="str">
        <f t="shared" si="2"/>
        <v>Neto: 5,50 € (a partir de 20 uds.)</v>
      </c>
      <c r="I1235" s="4" t="str">
        <f t="shared" si="3"/>
        <v>Neto G.C.: 5,50 € (a partir de 20 uds.)</v>
      </c>
      <c r="J1235" s="4">
        <f t="shared" si="4"/>
        <v>6.96</v>
      </c>
      <c r="K1235" s="4">
        <f t="shared" si="5"/>
        <v>7.25</v>
      </c>
      <c r="L1235" s="4">
        <f t="shared" si="6"/>
        <v>6.96</v>
      </c>
    </row>
    <row r="1236">
      <c r="A1236" s="1" t="s">
        <v>1870</v>
      </c>
      <c r="B1236" s="1" t="s">
        <v>1871</v>
      </c>
      <c r="C1236" s="3">
        <v>14.5</v>
      </c>
      <c r="D1236" s="3">
        <v>5.5</v>
      </c>
      <c r="E1236" s="3">
        <v>5.5</v>
      </c>
      <c r="F1236" s="3">
        <v>20.0</v>
      </c>
      <c r="G1236" s="4">
        <f t="shared" si="1"/>
        <v>7.25</v>
      </c>
      <c r="H1236" s="4" t="str">
        <f t="shared" si="2"/>
        <v>Neto: 5,50 € (a partir de 20 uds.)</v>
      </c>
      <c r="I1236" s="4" t="str">
        <f t="shared" si="3"/>
        <v>Neto G.C.: 5,50 € (a partir de 20 uds.)</v>
      </c>
      <c r="J1236" s="4">
        <f t="shared" si="4"/>
        <v>6.96</v>
      </c>
      <c r="K1236" s="4">
        <f t="shared" si="5"/>
        <v>7.25</v>
      </c>
      <c r="L1236" s="4">
        <f t="shared" si="6"/>
        <v>6.96</v>
      </c>
    </row>
    <row r="1237">
      <c r="A1237" s="3">
        <v>1571.0</v>
      </c>
      <c r="B1237" s="1" t="s">
        <v>1872</v>
      </c>
      <c r="C1237" s="3">
        <v>3.98</v>
      </c>
      <c r="D1237" s="3">
        <v>1.8</v>
      </c>
      <c r="E1237" s="3">
        <v>1.8</v>
      </c>
      <c r="F1237" s="3">
        <v>24.0</v>
      </c>
      <c r="G1237" s="4">
        <f t="shared" si="1"/>
        <v>1.99</v>
      </c>
      <c r="H1237" s="4" t="str">
        <f t="shared" si="2"/>
        <v>Neto: 1,80 € (a partir de 24 uds.)</v>
      </c>
      <c r="I1237" s="4" t="str">
        <f t="shared" si="3"/>
        <v>Neto G.C.: 1,80 € (a partir de 24 uds.)</v>
      </c>
      <c r="J1237" s="4">
        <f t="shared" si="4"/>
        <v>1.9104</v>
      </c>
      <c r="K1237" s="4">
        <f t="shared" si="5"/>
        <v>1.99</v>
      </c>
      <c r="L1237" s="4">
        <f t="shared" si="6"/>
        <v>1.9104</v>
      </c>
    </row>
    <row r="1238">
      <c r="A1238" s="3">
        <v>1572.0</v>
      </c>
      <c r="B1238" s="1" t="s">
        <v>1873</v>
      </c>
      <c r="C1238" s="3">
        <v>23.9</v>
      </c>
      <c r="D1238" s="3">
        <v>9.8</v>
      </c>
      <c r="E1238" s="3">
        <v>9.6</v>
      </c>
      <c r="F1238" s="3">
        <v>12.0</v>
      </c>
      <c r="G1238" s="4">
        <f t="shared" si="1"/>
        <v>11.95</v>
      </c>
      <c r="H1238" s="4" t="str">
        <f t="shared" si="2"/>
        <v>Neto: 9,80 € (a partir de 12 uds.)</v>
      </c>
      <c r="I1238" s="4" t="str">
        <f t="shared" si="3"/>
        <v>Neto G.C.: 9,60 € (a partir de 12 uds.)</v>
      </c>
      <c r="J1238" s="4">
        <f t="shared" si="4"/>
        <v>11.472</v>
      </c>
      <c r="K1238" s="4">
        <f t="shared" si="5"/>
        <v>11.95</v>
      </c>
      <c r="L1238" s="4">
        <f t="shared" si="6"/>
        <v>11.472</v>
      </c>
    </row>
    <row r="1239">
      <c r="A1239" s="1" t="s">
        <v>1874</v>
      </c>
      <c r="B1239" s="1" t="s">
        <v>1875</v>
      </c>
      <c r="C1239" s="3">
        <v>66.0</v>
      </c>
      <c r="D1239" s="5"/>
      <c r="E1239" s="5"/>
      <c r="F1239" s="5"/>
      <c r="G1239" s="4">
        <f t="shared" si="1"/>
        <v>33</v>
      </c>
      <c r="H1239" s="4" t="str">
        <f t="shared" si="2"/>
        <v>Sin precio neto</v>
      </c>
      <c r="I1239" s="4" t="str">
        <f t="shared" si="3"/>
        <v>Sin precio neto G.C.</v>
      </c>
      <c r="J1239" s="4">
        <f t="shared" si="4"/>
        <v>31.68</v>
      </c>
      <c r="K1239" s="4">
        <f t="shared" si="5"/>
        <v>33</v>
      </c>
      <c r="L1239" s="4">
        <f t="shared" si="6"/>
        <v>31.68</v>
      </c>
    </row>
    <row r="1240">
      <c r="A1240" s="3">
        <v>1573.0</v>
      </c>
      <c r="B1240" s="1" t="s">
        <v>1876</v>
      </c>
      <c r="C1240" s="3">
        <v>23.9</v>
      </c>
      <c r="D1240" s="3">
        <v>9.8</v>
      </c>
      <c r="E1240" s="3">
        <v>9.6</v>
      </c>
      <c r="F1240" s="3">
        <v>12.0</v>
      </c>
      <c r="G1240" s="4">
        <f t="shared" si="1"/>
        <v>11.95</v>
      </c>
      <c r="H1240" s="4" t="str">
        <f t="shared" si="2"/>
        <v>Neto: 9,80 € (a partir de 12 uds.)</v>
      </c>
      <c r="I1240" s="4" t="str">
        <f t="shared" si="3"/>
        <v>Neto G.C.: 9,60 € (a partir de 12 uds.)</v>
      </c>
      <c r="J1240" s="4">
        <f t="shared" si="4"/>
        <v>11.472</v>
      </c>
      <c r="K1240" s="4">
        <f t="shared" si="5"/>
        <v>11.95</v>
      </c>
      <c r="L1240" s="4">
        <f t="shared" si="6"/>
        <v>11.472</v>
      </c>
    </row>
    <row r="1241">
      <c r="A1241" s="1" t="s">
        <v>1877</v>
      </c>
      <c r="B1241" s="1" t="s">
        <v>1878</v>
      </c>
      <c r="C1241" s="3">
        <v>66.0</v>
      </c>
      <c r="D1241" s="5"/>
      <c r="E1241" s="5"/>
      <c r="F1241" s="5"/>
      <c r="G1241" s="4">
        <f t="shared" si="1"/>
        <v>33</v>
      </c>
      <c r="H1241" s="4" t="str">
        <f t="shared" si="2"/>
        <v>Sin precio neto</v>
      </c>
      <c r="I1241" s="4" t="str">
        <f t="shared" si="3"/>
        <v>Sin precio neto G.C.</v>
      </c>
      <c r="J1241" s="4">
        <f t="shared" si="4"/>
        <v>31.68</v>
      </c>
      <c r="K1241" s="4">
        <f t="shared" si="5"/>
        <v>33</v>
      </c>
      <c r="L1241" s="4">
        <f t="shared" si="6"/>
        <v>31.68</v>
      </c>
    </row>
    <row r="1242">
      <c r="A1242" s="3">
        <v>1574.0</v>
      </c>
      <c r="B1242" s="1" t="s">
        <v>1879</v>
      </c>
      <c r="C1242" s="3">
        <v>23.9</v>
      </c>
      <c r="D1242" s="3">
        <v>9.8</v>
      </c>
      <c r="E1242" s="3">
        <v>9.6</v>
      </c>
      <c r="F1242" s="3">
        <v>12.0</v>
      </c>
      <c r="G1242" s="4">
        <f t="shared" si="1"/>
        <v>11.95</v>
      </c>
      <c r="H1242" s="4" t="str">
        <f t="shared" si="2"/>
        <v>Neto: 9,80 € (a partir de 12 uds.)</v>
      </c>
      <c r="I1242" s="4" t="str">
        <f t="shared" si="3"/>
        <v>Neto G.C.: 9,60 € (a partir de 12 uds.)</v>
      </c>
      <c r="J1242" s="4">
        <f t="shared" si="4"/>
        <v>11.472</v>
      </c>
      <c r="K1242" s="4">
        <f t="shared" si="5"/>
        <v>11.95</v>
      </c>
      <c r="L1242" s="4">
        <f t="shared" si="6"/>
        <v>11.472</v>
      </c>
    </row>
    <row r="1243">
      <c r="A1243" s="1" t="s">
        <v>1880</v>
      </c>
      <c r="B1243" s="1" t="s">
        <v>1881</v>
      </c>
      <c r="C1243" s="3">
        <v>66.0</v>
      </c>
      <c r="D1243" s="5"/>
      <c r="E1243" s="5"/>
      <c r="F1243" s="5"/>
      <c r="G1243" s="4">
        <f t="shared" si="1"/>
        <v>33</v>
      </c>
      <c r="H1243" s="4" t="str">
        <f t="shared" si="2"/>
        <v>Sin precio neto</v>
      </c>
      <c r="I1243" s="4" t="str">
        <f t="shared" si="3"/>
        <v>Sin precio neto G.C.</v>
      </c>
      <c r="J1243" s="4">
        <f t="shared" si="4"/>
        <v>31.68</v>
      </c>
      <c r="K1243" s="4">
        <f t="shared" si="5"/>
        <v>33</v>
      </c>
      <c r="L1243" s="4">
        <f t="shared" si="6"/>
        <v>31.68</v>
      </c>
    </row>
    <row r="1244">
      <c r="A1244" s="3">
        <v>1575.0</v>
      </c>
      <c r="B1244" s="1" t="s">
        <v>1882</v>
      </c>
      <c r="C1244" s="3">
        <v>23.9</v>
      </c>
      <c r="D1244" s="3">
        <v>9.8</v>
      </c>
      <c r="E1244" s="3">
        <v>9.6</v>
      </c>
      <c r="F1244" s="3">
        <v>12.0</v>
      </c>
      <c r="G1244" s="4">
        <f t="shared" si="1"/>
        <v>11.95</v>
      </c>
      <c r="H1244" s="4" t="str">
        <f t="shared" si="2"/>
        <v>Neto: 9,80 € (a partir de 12 uds.)</v>
      </c>
      <c r="I1244" s="4" t="str">
        <f t="shared" si="3"/>
        <v>Neto G.C.: 9,60 € (a partir de 12 uds.)</v>
      </c>
      <c r="J1244" s="4">
        <f t="shared" si="4"/>
        <v>11.472</v>
      </c>
      <c r="K1244" s="4">
        <f t="shared" si="5"/>
        <v>11.95</v>
      </c>
      <c r="L1244" s="4">
        <f t="shared" si="6"/>
        <v>11.472</v>
      </c>
    </row>
    <row r="1245">
      <c r="A1245" s="1" t="s">
        <v>1883</v>
      </c>
      <c r="B1245" s="1" t="s">
        <v>1884</v>
      </c>
      <c r="C1245" s="3">
        <v>66.0</v>
      </c>
      <c r="D1245" s="5"/>
      <c r="E1245" s="5"/>
      <c r="F1245" s="5"/>
      <c r="G1245" s="4">
        <f t="shared" si="1"/>
        <v>33</v>
      </c>
      <c r="H1245" s="4" t="str">
        <f t="shared" si="2"/>
        <v>Sin precio neto</v>
      </c>
      <c r="I1245" s="4" t="str">
        <f t="shared" si="3"/>
        <v>Sin precio neto G.C.</v>
      </c>
      <c r="J1245" s="4">
        <f t="shared" si="4"/>
        <v>31.68</v>
      </c>
      <c r="K1245" s="4">
        <f t="shared" si="5"/>
        <v>33</v>
      </c>
      <c r="L1245" s="4">
        <f t="shared" si="6"/>
        <v>31.68</v>
      </c>
    </row>
    <row r="1246">
      <c r="A1246" s="1" t="s">
        <v>1885</v>
      </c>
      <c r="B1246" s="1" t="s">
        <v>1886</v>
      </c>
      <c r="C1246" s="3">
        <v>3.0</v>
      </c>
      <c r="D1246" s="5"/>
      <c r="E1246" s="5"/>
      <c r="F1246" s="5"/>
      <c r="G1246" s="4">
        <f t="shared" si="1"/>
        <v>1.5</v>
      </c>
      <c r="H1246" s="4" t="str">
        <f t="shared" si="2"/>
        <v>Sin precio neto</v>
      </c>
      <c r="I1246" s="4" t="str">
        <f t="shared" si="3"/>
        <v>Sin precio neto G.C.</v>
      </c>
      <c r="J1246" s="4">
        <f t="shared" si="4"/>
        <v>1.44</v>
      </c>
      <c r="K1246" s="4">
        <f t="shared" si="5"/>
        <v>1.5</v>
      </c>
      <c r="L1246" s="4">
        <f t="shared" si="6"/>
        <v>1.44</v>
      </c>
    </row>
    <row r="1247">
      <c r="A1247" s="3">
        <v>1576.0</v>
      </c>
      <c r="B1247" s="1" t="s">
        <v>1887</v>
      </c>
      <c r="C1247" s="3">
        <v>17.6</v>
      </c>
      <c r="D1247" s="5"/>
      <c r="E1247" s="5"/>
      <c r="F1247" s="5"/>
      <c r="G1247" s="4">
        <f t="shared" si="1"/>
        <v>8.8</v>
      </c>
      <c r="H1247" s="4" t="str">
        <f t="shared" si="2"/>
        <v>Sin precio neto</v>
      </c>
      <c r="I1247" s="4" t="str">
        <f t="shared" si="3"/>
        <v>Sin precio neto G.C.</v>
      </c>
      <c r="J1247" s="4">
        <f t="shared" si="4"/>
        <v>8.448</v>
      </c>
      <c r="K1247" s="4">
        <f t="shared" si="5"/>
        <v>8.8</v>
      </c>
      <c r="L1247" s="4">
        <f t="shared" si="6"/>
        <v>8.448</v>
      </c>
    </row>
    <row r="1248">
      <c r="A1248" s="3">
        <v>1577.0</v>
      </c>
      <c r="B1248" s="1" t="s">
        <v>1888</v>
      </c>
      <c r="C1248" s="3">
        <v>225.0</v>
      </c>
      <c r="D1248" s="5"/>
      <c r="E1248" s="5"/>
      <c r="F1248" s="5"/>
      <c r="G1248" s="4">
        <f t="shared" si="1"/>
        <v>112.5</v>
      </c>
      <c r="H1248" s="4" t="str">
        <f t="shared" si="2"/>
        <v>Sin precio neto</v>
      </c>
      <c r="I1248" s="4" t="str">
        <f t="shared" si="3"/>
        <v>Sin precio neto G.C.</v>
      </c>
      <c r="J1248" s="4">
        <f t="shared" si="4"/>
        <v>108</v>
      </c>
      <c r="K1248" s="4">
        <f t="shared" si="5"/>
        <v>112.5</v>
      </c>
      <c r="L1248" s="4">
        <f t="shared" si="6"/>
        <v>108</v>
      </c>
    </row>
    <row r="1249">
      <c r="A1249" s="1" t="s">
        <v>1889</v>
      </c>
      <c r="B1249" s="1" t="s">
        <v>1890</v>
      </c>
      <c r="C1249" s="3">
        <v>225.0</v>
      </c>
      <c r="D1249" s="5"/>
      <c r="E1249" s="5"/>
      <c r="F1249" s="5"/>
      <c r="G1249" s="4">
        <f t="shared" si="1"/>
        <v>112.5</v>
      </c>
      <c r="H1249" s="4" t="str">
        <f t="shared" si="2"/>
        <v>Sin precio neto</v>
      </c>
      <c r="I1249" s="4" t="str">
        <f t="shared" si="3"/>
        <v>Sin precio neto G.C.</v>
      </c>
      <c r="J1249" s="4">
        <f t="shared" si="4"/>
        <v>108</v>
      </c>
      <c r="K1249" s="4">
        <f t="shared" si="5"/>
        <v>112.5</v>
      </c>
      <c r="L1249" s="4">
        <f t="shared" si="6"/>
        <v>108</v>
      </c>
    </row>
    <row r="1250">
      <c r="A1250" s="1" t="s">
        <v>1891</v>
      </c>
      <c r="B1250" s="1" t="s">
        <v>1892</v>
      </c>
      <c r="C1250" s="3">
        <v>225.0</v>
      </c>
      <c r="D1250" s="5"/>
      <c r="E1250" s="5"/>
      <c r="F1250" s="5"/>
      <c r="G1250" s="4">
        <f t="shared" si="1"/>
        <v>112.5</v>
      </c>
      <c r="H1250" s="4" t="str">
        <f t="shared" si="2"/>
        <v>Sin precio neto</v>
      </c>
      <c r="I1250" s="4" t="str">
        <f t="shared" si="3"/>
        <v>Sin precio neto G.C.</v>
      </c>
      <c r="J1250" s="4">
        <f t="shared" si="4"/>
        <v>108</v>
      </c>
      <c r="K1250" s="4">
        <f t="shared" si="5"/>
        <v>112.5</v>
      </c>
      <c r="L1250" s="4">
        <f t="shared" si="6"/>
        <v>108</v>
      </c>
    </row>
    <row r="1251">
      <c r="A1251" s="3">
        <v>1578.0</v>
      </c>
      <c r="B1251" s="1" t="s">
        <v>1893</v>
      </c>
      <c r="C1251" s="3">
        <v>17.64</v>
      </c>
      <c r="D1251" s="5"/>
      <c r="E1251" s="5"/>
      <c r="F1251" s="5"/>
      <c r="G1251" s="4">
        <f t="shared" si="1"/>
        <v>8.82</v>
      </c>
      <c r="H1251" s="4" t="str">
        <f t="shared" si="2"/>
        <v>Sin precio neto</v>
      </c>
      <c r="I1251" s="4" t="str">
        <f t="shared" si="3"/>
        <v>Sin precio neto G.C.</v>
      </c>
      <c r="J1251" s="4">
        <f t="shared" si="4"/>
        <v>8.4672</v>
      </c>
      <c r="K1251" s="4">
        <f t="shared" si="5"/>
        <v>8.82</v>
      </c>
      <c r="L1251" s="4">
        <f t="shared" si="6"/>
        <v>8.4672</v>
      </c>
    </row>
    <row r="1252">
      <c r="A1252" s="3">
        <v>1579.0</v>
      </c>
      <c r="B1252" s="1" t="s">
        <v>1894</v>
      </c>
      <c r="C1252" s="3">
        <v>16.5</v>
      </c>
      <c r="D1252" s="5"/>
      <c r="E1252" s="5"/>
      <c r="F1252" s="5"/>
      <c r="G1252" s="4">
        <f t="shared" si="1"/>
        <v>8.25</v>
      </c>
      <c r="H1252" s="4" t="str">
        <f t="shared" si="2"/>
        <v>Sin precio neto</v>
      </c>
      <c r="I1252" s="4" t="str">
        <f t="shared" si="3"/>
        <v>Sin precio neto G.C.</v>
      </c>
      <c r="J1252" s="4">
        <f t="shared" si="4"/>
        <v>7.92</v>
      </c>
      <c r="K1252" s="4">
        <f t="shared" si="5"/>
        <v>8.25</v>
      </c>
      <c r="L1252" s="4">
        <f t="shared" si="6"/>
        <v>7.92</v>
      </c>
    </row>
    <row r="1253">
      <c r="A1253" s="3">
        <v>1580.0</v>
      </c>
      <c r="B1253" s="1" t="s">
        <v>1895</v>
      </c>
      <c r="C1253" s="3">
        <v>1.36</v>
      </c>
      <c r="D1253" s="5"/>
      <c r="E1253" s="5"/>
      <c r="F1253" s="5"/>
      <c r="G1253" s="4">
        <f t="shared" si="1"/>
        <v>0.68</v>
      </c>
      <c r="H1253" s="4" t="str">
        <f t="shared" si="2"/>
        <v>Sin precio neto</v>
      </c>
      <c r="I1253" s="4" t="str">
        <f t="shared" si="3"/>
        <v>Sin precio neto G.C.</v>
      </c>
      <c r="J1253" s="4">
        <f t="shared" si="4"/>
        <v>0.6528</v>
      </c>
      <c r="K1253" s="4">
        <f t="shared" si="5"/>
        <v>0.68</v>
      </c>
      <c r="L1253" s="4">
        <f t="shared" si="6"/>
        <v>0.6528</v>
      </c>
    </row>
    <row r="1254">
      <c r="A1254" s="3">
        <v>1581.0</v>
      </c>
      <c r="B1254" s="1" t="s">
        <v>1896</v>
      </c>
      <c r="C1254" s="3">
        <v>0.68</v>
      </c>
      <c r="D1254" s="5"/>
      <c r="E1254" s="5"/>
      <c r="F1254" s="5"/>
      <c r="G1254" s="4">
        <f t="shared" si="1"/>
        <v>0.34</v>
      </c>
      <c r="H1254" s="4" t="str">
        <f t="shared" si="2"/>
        <v>Sin precio neto</v>
      </c>
      <c r="I1254" s="4" t="str">
        <f t="shared" si="3"/>
        <v>Sin precio neto G.C.</v>
      </c>
      <c r="J1254" s="4">
        <f t="shared" si="4"/>
        <v>0.3264</v>
      </c>
      <c r="K1254" s="4">
        <f t="shared" si="5"/>
        <v>0.34</v>
      </c>
      <c r="L1254" s="4">
        <f t="shared" si="6"/>
        <v>0.3264</v>
      </c>
    </row>
    <row r="1255">
      <c r="A1255" s="3">
        <v>1582.0</v>
      </c>
      <c r="B1255" s="1" t="s">
        <v>1897</v>
      </c>
      <c r="C1255" s="3">
        <v>16.5</v>
      </c>
      <c r="D1255" s="5"/>
      <c r="E1255" s="5"/>
      <c r="F1255" s="5"/>
      <c r="G1255" s="4">
        <f t="shared" si="1"/>
        <v>8.25</v>
      </c>
      <c r="H1255" s="4" t="str">
        <f t="shared" si="2"/>
        <v>Sin precio neto</v>
      </c>
      <c r="I1255" s="4" t="str">
        <f t="shared" si="3"/>
        <v>Sin precio neto G.C.</v>
      </c>
      <c r="J1255" s="4">
        <f t="shared" si="4"/>
        <v>7.92</v>
      </c>
      <c r="K1255" s="4">
        <f t="shared" si="5"/>
        <v>8.25</v>
      </c>
      <c r="L1255" s="4">
        <f t="shared" si="6"/>
        <v>7.92</v>
      </c>
    </row>
    <row r="1256">
      <c r="A1256" s="3">
        <v>1583.0</v>
      </c>
      <c r="B1256" s="1" t="s">
        <v>1898</v>
      </c>
      <c r="C1256" s="3">
        <v>13.9</v>
      </c>
      <c r="D1256" s="5"/>
      <c r="E1256" s="5"/>
      <c r="F1256" s="5"/>
      <c r="G1256" s="4">
        <f t="shared" si="1"/>
        <v>6.95</v>
      </c>
      <c r="H1256" s="4" t="str">
        <f t="shared" si="2"/>
        <v>Sin precio neto</v>
      </c>
      <c r="I1256" s="4" t="str">
        <f t="shared" si="3"/>
        <v>Sin precio neto G.C.</v>
      </c>
      <c r="J1256" s="4">
        <f t="shared" si="4"/>
        <v>6.672</v>
      </c>
      <c r="K1256" s="4">
        <f t="shared" si="5"/>
        <v>6.95</v>
      </c>
      <c r="L1256" s="4">
        <f t="shared" si="6"/>
        <v>6.672</v>
      </c>
    </row>
    <row r="1257">
      <c r="A1257" s="3">
        <v>1585.0</v>
      </c>
      <c r="B1257" s="1" t="s">
        <v>1899</v>
      </c>
      <c r="C1257" s="3">
        <v>14.5</v>
      </c>
      <c r="D1257" s="5"/>
      <c r="E1257" s="5"/>
      <c r="F1257" s="5"/>
      <c r="G1257" s="4">
        <f t="shared" si="1"/>
        <v>7.25</v>
      </c>
      <c r="H1257" s="4" t="str">
        <f t="shared" si="2"/>
        <v>Sin precio neto</v>
      </c>
      <c r="I1257" s="4" t="str">
        <f t="shared" si="3"/>
        <v>Sin precio neto G.C.</v>
      </c>
      <c r="J1257" s="4">
        <f t="shared" si="4"/>
        <v>6.96</v>
      </c>
      <c r="K1257" s="4">
        <f t="shared" si="5"/>
        <v>7.25</v>
      </c>
      <c r="L1257" s="4">
        <f t="shared" si="6"/>
        <v>6.96</v>
      </c>
    </row>
    <row r="1258">
      <c r="A1258" s="3">
        <v>1586.0</v>
      </c>
      <c r="B1258" s="1" t="s">
        <v>1900</v>
      </c>
      <c r="C1258" s="3">
        <v>14.5</v>
      </c>
      <c r="D1258" s="5"/>
      <c r="E1258" s="5"/>
      <c r="F1258" s="5"/>
      <c r="G1258" s="4">
        <f t="shared" si="1"/>
        <v>7.25</v>
      </c>
      <c r="H1258" s="4" t="str">
        <f t="shared" si="2"/>
        <v>Sin precio neto</v>
      </c>
      <c r="I1258" s="4" t="str">
        <f t="shared" si="3"/>
        <v>Sin precio neto G.C.</v>
      </c>
      <c r="J1258" s="4">
        <f t="shared" si="4"/>
        <v>6.96</v>
      </c>
      <c r="K1258" s="4">
        <f t="shared" si="5"/>
        <v>7.25</v>
      </c>
      <c r="L1258" s="4">
        <f t="shared" si="6"/>
        <v>6.96</v>
      </c>
    </row>
    <row r="1259">
      <c r="A1259" s="3">
        <v>1587.0</v>
      </c>
      <c r="B1259" s="1" t="s">
        <v>1901</v>
      </c>
      <c r="C1259" s="3">
        <v>14.5</v>
      </c>
      <c r="D1259" s="5"/>
      <c r="E1259" s="5"/>
      <c r="F1259" s="5"/>
      <c r="G1259" s="4">
        <f t="shared" si="1"/>
        <v>7.25</v>
      </c>
      <c r="H1259" s="4" t="str">
        <f t="shared" si="2"/>
        <v>Sin precio neto</v>
      </c>
      <c r="I1259" s="4" t="str">
        <f t="shared" si="3"/>
        <v>Sin precio neto G.C.</v>
      </c>
      <c r="J1259" s="4">
        <f t="shared" si="4"/>
        <v>6.96</v>
      </c>
      <c r="K1259" s="4">
        <f t="shared" si="5"/>
        <v>7.25</v>
      </c>
      <c r="L1259" s="4">
        <f t="shared" si="6"/>
        <v>6.96</v>
      </c>
    </row>
    <row r="1260">
      <c r="A1260" s="3">
        <v>1588.0</v>
      </c>
      <c r="B1260" s="1" t="s">
        <v>1902</v>
      </c>
      <c r="C1260" s="3">
        <v>14.5</v>
      </c>
      <c r="D1260" s="5"/>
      <c r="E1260" s="5"/>
      <c r="F1260" s="5"/>
      <c r="G1260" s="4">
        <f t="shared" si="1"/>
        <v>7.25</v>
      </c>
      <c r="H1260" s="4" t="str">
        <f t="shared" si="2"/>
        <v>Sin precio neto</v>
      </c>
      <c r="I1260" s="4" t="str">
        <f t="shared" si="3"/>
        <v>Sin precio neto G.C.</v>
      </c>
      <c r="J1260" s="4">
        <f t="shared" si="4"/>
        <v>6.96</v>
      </c>
      <c r="K1260" s="4">
        <f t="shared" si="5"/>
        <v>7.25</v>
      </c>
      <c r="L1260" s="4">
        <f t="shared" si="6"/>
        <v>6.96</v>
      </c>
    </row>
    <row r="1261">
      <c r="A1261" s="3">
        <v>1590.0</v>
      </c>
      <c r="B1261" s="1" t="s">
        <v>1903</v>
      </c>
      <c r="C1261" s="3">
        <v>12.3</v>
      </c>
      <c r="D1261" s="5"/>
      <c r="E1261" s="5"/>
      <c r="F1261" s="5"/>
      <c r="G1261" s="4">
        <f t="shared" si="1"/>
        <v>6.15</v>
      </c>
      <c r="H1261" s="4" t="str">
        <f t="shared" si="2"/>
        <v>Sin precio neto</v>
      </c>
      <c r="I1261" s="4" t="str">
        <f t="shared" si="3"/>
        <v>Sin precio neto G.C.</v>
      </c>
      <c r="J1261" s="4">
        <f t="shared" si="4"/>
        <v>5.904</v>
      </c>
      <c r="K1261" s="4">
        <f t="shared" si="5"/>
        <v>6.15</v>
      </c>
      <c r="L1261" s="4">
        <f t="shared" si="6"/>
        <v>5.904</v>
      </c>
    </row>
    <row r="1262">
      <c r="A1262" s="3">
        <v>1591.0</v>
      </c>
      <c r="B1262" s="1" t="s">
        <v>1904</v>
      </c>
      <c r="C1262" s="3">
        <v>12.3</v>
      </c>
      <c r="D1262" s="5"/>
      <c r="E1262" s="5"/>
      <c r="F1262" s="5"/>
      <c r="G1262" s="4">
        <f t="shared" si="1"/>
        <v>6.15</v>
      </c>
      <c r="H1262" s="4" t="str">
        <f t="shared" si="2"/>
        <v>Sin precio neto</v>
      </c>
      <c r="I1262" s="4" t="str">
        <f t="shared" si="3"/>
        <v>Sin precio neto G.C.</v>
      </c>
      <c r="J1262" s="4">
        <f t="shared" si="4"/>
        <v>5.904</v>
      </c>
      <c r="K1262" s="4">
        <f t="shared" si="5"/>
        <v>6.15</v>
      </c>
      <c r="L1262" s="4">
        <f t="shared" si="6"/>
        <v>5.904</v>
      </c>
    </row>
    <row r="1263">
      <c r="A1263" s="3">
        <v>1592.0</v>
      </c>
      <c r="B1263" s="1" t="s">
        <v>1905</v>
      </c>
      <c r="C1263" s="3">
        <v>12.3</v>
      </c>
      <c r="D1263" s="5"/>
      <c r="E1263" s="5"/>
      <c r="F1263" s="5"/>
      <c r="G1263" s="4">
        <f t="shared" si="1"/>
        <v>6.15</v>
      </c>
      <c r="H1263" s="4" t="str">
        <f t="shared" si="2"/>
        <v>Sin precio neto</v>
      </c>
      <c r="I1263" s="4" t="str">
        <f t="shared" si="3"/>
        <v>Sin precio neto G.C.</v>
      </c>
      <c r="J1263" s="4">
        <f t="shared" si="4"/>
        <v>5.904</v>
      </c>
      <c r="K1263" s="4">
        <f t="shared" si="5"/>
        <v>6.15</v>
      </c>
      <c r="L1263" s="4">
        <f t="shared" si="6"/>
        <v>5.904</v>
      </c>
    </row>
    <row r="1264">
      <c r="A1264" s="3">
        <v>1593.0</v>
      </c>
      <c r="B1264" s="1" t="s">
        <v>1906</v>
      </c>
      <c r="C1264" s="3">
        <v>12.3</v>
      </c>
      <c r="D1264" s="5"/>
      <c r="E1264" s="5"/>
      <c r="F1264" s="5"/>
      <c r="G1264" s="4">
        <f t="shared" si="1"/>
        <v>6.15</v>
      </c>
      <c r="H1264" s="4" t="str">
        <f t="shared" si="2"/>
        <v>Sin precio neto</v>
      </c>
      <c r="I1264" s="4" t="str">
        <f t="shared" si="3"/>
        <v>Sin precio neto G.C.</v>
      </c>
      <c r="J1264" s="4">
        <f t="shared" si="4"/>
        <v>5.904</v>
      </c>
      <c r="K1264" s="4">
        <f t="shared" si="5"/>
        <v>6.15</v>
      </c>
      <c r="L1264" s="4">
        <f t="shared" si="6"/>
        <v>5.904</v>
      </c>
    </row>
    <row r="1265">
      <c r="A1265" s="3">
        <v>1594.0</v>
      </c>
      <c r="B1265" s="1" t="s">
        <v>1907</v>
      </c>
      <c r="C1265" s="3">
        <v>23.9</v>
      </c>
      <c r="D1265" s="5"/>
      <c r="E1265" s="5"/>
      <c r="F1265" s="5"/>
      <c r="G1265" s="4">
        <f t="shared" si="1"/>
        <v>11.95</v>
      </c>
      <c r="H1265" s="4" t="str">
        <f t="shared" si="2"/>
        <v>Sin precio neto</v>
      </c>
      <c r="I1265" s="4" t="str">
        <f t="shared" si="3"/>
        <v>Sin precio neto G.C.</v>
      </c>
      <c r="J1265" s="4">
        <f t="shared" si="4"/>
        <v>11.472</v>
      </c>
      <c r="K1265" s="4">
        <f t="shared" si="5"/>
        <v>11.95</v>
      </c>
      <c r="L1265" s="4">
        <f t="shared" si="6"/>
        <v>11.472</v>
      </c>
    </row>
    <row r="1266">
      <c r="A1266" s="3">
        <v>1600.0</v>
      </c>
      <c r="B1266" s="1" t="s">
        <v>1908</v>
      </c>
      <c r="C1266" s="3">
        <v>6.84</v>
      </c>
      <c r="D1266" s="5"/>
      <c r="E1266" s="5"/>
      <c r="F1266" s="5"/>
      <c r="G1266" s="4">
        <f t="shared" si="1"/>
        <v>3.42</v>
      </c>
      <c r="H1266" s="4" t="str">
        <f t="shared" si="2"/>
        <v>Sin precio neto</v>
      </c>
      <c r="I1266" s="4" t="str">
        <f t="shared" si="3"/>
        <v>Sin precio neto G.C.</v>
      </c>
      <c r="J1266" s="4">
        <f t="shared" si="4"/>
        <v>3.2832</v>
      </c>
      <c r="K1266" s="4">
        <f t="shared" si="5"/>
        <v>3.42</v>
      </c>
      <c r="L1266" s="4">
        <f t="shared" si="6"/>
        <v>3.2832</v>
      </c>
    </row>
    <row r="1267">
      <c r="A1267" s="3">
        <v>1601.0</v>
      </c>
      <c r="B1267" s="1" t="s">
        <v>1909</v>
      </c>
      <c r="C1267" s="3">
        <v>7.6</v>
      </c>
      <c r="D1267" s="5"/>
      <c r="E1267" s="5"/>
      <c r="F1267" s="5"/>
      <c r="G1267" s="4">
        <f t="shared" si="1"/>
        <v>3.8</v>
      </c>
      <c r="H1267" s="4" t="str">
        <f t="shared" si="2"/>
        <v>Sin precio neto</v>
      </c>
      <c r="I1267" s="4" t="str">
        <f t="shared" si="3"/>
        <v>Sin precio neto G.C.</v>
      </c>
      <c r="J1267" s="4">
        <f t="shared" si="4"/>
        <v>3.648</v>
      </c>
      <c r="K1267" s="4">
        <f t="shared" si="5"/>
        <v>3.8</v>
      </c>
      <c r="L1267" s="4">
        <f t="shared" si="6"/>
        <v>3.648</v>
      </c>
    </row>
    <row r="1268">
      <c r="A1268" s="1" t="s">
        <v>1910</v>
      </c>
      <c r="B1268" s="1" t="s">
        <v>1911</v>
      </c>
      <c r="C1268" s="3">
        <v>16.8</v>
      </c>
      <c r="D1268" s="5"/>
      <c r="E1268" s="5"/>
      <c r="F1268" s="5"/>
      <c r="G1268" s="4">
        <f t="shared" si="1"/>
        <v>8.4</v>
      </c>
      <c r="H1268" s="4" t="str">
        <f t="shared" si="2"/>
        <v>Sin precio neto</v>
      </c>
      <c r="I1268" s="4" t="str">
        <f t="shared" si="3"/>
        <v>Sin precio neto G.C.</v>
      </c>
      <c r="J1268" s="4">
        <f t="shared" si="4"/>
        <v>8.064</v>
      </c>
      <c r="K1268" s="4">
        <f t="shared" si="5"/>
        <v>8.4</v>
      </c>
      <c r="L1268" s="4">
        <f t="shared" si="6"/>
        <v>8.064</v>
      </c>
    </row>
    <row r="1269">
      <c r="A1269" s="1" t="s">
        <v>1912</v>
      </c>
      <c r="B1269" s="1" t="s">
        <v>1913</v>
      </c>
      <c r="C1269" s="3">
        <v>16.8</v>
      </c>
      <c r="D1269" s="5"/>
      <c r="E1269" s="5"/>
      <c r="F1269" s="5"/>
      <c r="G1269" s="4">
        <f t="shared" si="1"/>
        <v>8.4</v>
      </c>
      <c r="H1269" s="4" t="str">
        <f t="shared" si="2"/>
        <v>Sin precio neto</v>
      </c>
      <c r="I1269" s="4" t="str">
        <f t="shared" si="3"/>
        <v>Sin precio neto G.C.</v>
      </c>
      <c r="J1269" s="4">
        <f t="shared" si="4"/>
        <v>8.064</v>
      </c>
      <c r="K1269" s="4">
        <f t="shared" si="5"/>
        <v>8.4</v>
      </c>
      <c r="L1269" s="4">
        <f t="shared" si="6"/>
        <v>8.064</v>
      </c>
    </row>
    <row r="1270">
      <c r="A1270" s="3">
        <v>1617.0</v>
      </c>
      <c r="B1270" s="1" t="s">
        <v>1914</v>
      </c>
      <c r="C1270" s="3">
        <v>6.3</v>
      </c>
      <c r="D1270" s="5"/>
      <c r="E1270" s="5"/>
      <c r="F1270" s="5"/>
      <c r="G1270" s="4">
        <f t="shared" si="1"/>
        <v>3.15</v>
      </c>
      <c r="H1270" s="4" t="str">
        <f t="shared" si="2"/>
        <v>Sin precio neto</v>
      </c>
      <c r="I1270" s="4" t="str">
        <f t="shared" si="3"/>
        <v>Sin precio neto G.C.</v>
      </c>
      <c r="J1270" s="4">
        <f t="shared" si="4"/>
        <v>3.024</v>
      </c>
      <c r="K1270" s="4">
        <f t="shared" si="5"/>
        <v>3.15</v>
      </c>
      <c r="L1270" s="4">
        <f t="shared" si="6"/>
        <v>3.024</v>
      </c>
    </row>
    <row r="1271">
      <c r="A1271" s="3">
        <v>1618.0</v>
      </c>
      <c r="B1271" s="1" t="s">
        <v>1915</v>
      </c>
      <c r="C1271" s="3">
        <v>6.3</v>
      </c>
      <c r="D1271" s="5"/>
      <c r="E1271" s="5"/>
      <c r="F1271" s="5"/>
      <c r="G1271" s="4">
        <f t="shared" si="1"/>
        <v>3.15</v>
      </c>
      <c r="H1271" s="4" t="str">
        <f t="shared" si="2"/>
        <v>Sin precio neto</v>
      </c>
      <c r="I1271" s="4" t="str">
        <f t="shared" si="3"/>
        <v>Sin precio neto G.C.</v>
      </c>
      <c r="J1271" s="4">
        <f t="shared" si="4"/>
        <v>3.024</v>
      </c>
      <c r="K1271" s="4">
        <f t="shared" si="5"/>
        <v>3.15</v>
      </c>
      <c r="L1271" s="4">
        <f t="shared" si="6"/>
        <v>3.024</v>
      </c>
    </row>
    <row r="1272">
      <c r="A1272" s="3">
        <v>1619.0</v>
      </c>
      <c r="B1272" s="1" t="s">
        <v>1916</v>
      </c>
      <c r="C1272" s="3">
        <v>6.3</v>
      </c>
      <c r="D1272" s="5"/>
      <c r="E1272" s="5"/>
      <c r="F1272" s="5"/>
      <c r="G1272" s="4">
        <f t="shared" si="1"/>
        <v>3.15</v>
      </c>
      <c r="H1272" s="4" t="str">
        <f t="shared" si="2"/>
        <v>Sin precio neto</v>
      </c>
      <c r="I1272" s="4" t="str">
        <f t="shared" si="3"/>
        <v>Sin precio neto G.C.</v>
      </c>
      <c r="J1272" s="4">
        <f t="shared" si="4"/>
        <v>3.024</v>
      </c>
      <c r="K1272" s="4">
        <f t="shared" si="5"/>
        <v>3.15</v>
      </c>
      <c r="L1272" s="4">
        <f t="shared" si="6"/>
        <v>3.024</v>
      </c>
    </row>
    <row r="1273">
      <c r="A1273" s="3">
        <v>1620.0</v>
      </c>
      <c r="B1273" s="1" t="s">
        <v>1917</v>
      </c>
      <c r="C1273" s="3">
        <v>6.3</v>
      </c>
      <c r="D1273" s="5"/>
      <c r="E1273" s="5"/>
      <c r="F1273" s="5"/>
      <c r="G1273" s="4">
        <f t="shared" si="1"/>
        <v>3.15</v>
      </c>
      <c r="H1273" s="4" t="str">
        <f t="shared" si="2"/>
        <v>Sin precio neto</v>
      </c>
      <c r="I1273" s="4" t="str">
        <f t="shared" si="3"/>
        <v>Sin precio neto G.C.</v>
      </c>
      <c r="J1273" s="4">
        <f t="shared" si="4"/>
        <v>3.024</v>
      </c>
      <c r="K1273" s="4">
        <f t="shared" si="5"/>
        <v>3.15</v>
      </c>
      <c r="L1273" s="4">
        <f t="shared" si="6"/>
        <v>3.024</v>
      </c>
    </row>
    <row r="1274">
      <c r="A1274" s="3">
        <v>1621.0</v>
      </c>
      <c r="B1274" s="1" t="s">
        <v>1918</v>
      </c>
      <c r="C1274" s="3">
        <v>6.3</v>
      </c>
      <c r="D1274" s="5"/>
      <c r="E1274" s="5"/>
      <c r="F1274" s="5"/>
      <c r="G1274" s="4">
        <f t="shared" si="1"/>
        <v>3.15</v>
      </c>
      <c r="H1274" s="4" t="str">
        <f t="shared" si="2"/>
        <v>Sin precio neto</v>
      </c>
      <c r="I1274" s="4" t="str">
        <f t="shared" si="3"/>
        <v>Sin precio neto G.C.</v>
      </c>
      <c r="J1274" s="4">
        <f t="shared" si="4"/>
        <v>3.024</v>
      </c>
      <c r="K1274" s="4">
        <f t="shared" si="5"/>
        <v>3.15</v>
      </c>
      <c r="L1274" s="4">
        <f t="shared" si="6"/>
        <v>3.024</v>
      </c>
    </row>
    <row r="1275">
      <c r="A1275" s="3">
        <v>1622.0</v>
      </c>
      <c r="B1275" s="1" t="s">
        <v>1919</v>
      </c>
      <c r="C1275" s="3">
        <v>2.73</v>
      </c>
      <c r="D1275" s="5"/>
      <c r="E1275" s="5"/>
      <c r="F1275" s="5"/>
      <c r="G1275" s="4">
        <f t="shared" si="1"/>
        <v>1.365</v>
      </c>
      <c r="H1275" s="4" t="str">
        <f t="shared" si="2"/>
        <v>Sin precio neto</v>
      </c>
      <c r="I1275" s="4" t="str">
        <f t="shared" si="3"/>
        <v>Sin precio neto G.C.</v>
      </c>
      <c r="J1275" s="4">
        <f t="shared" si="4"/>
        <v>1.3104</v>
      </c>
      <c r="K1275" s="4">
        <f t="shared" si="5"/>
        <v>1.365</v>
      </c>
      <c r="L1275" s="4">
        <f t="shared" si="6"/>
        <v>1.3104</v>
      </c>
    </row>
    <row r="1276">
      <c r="A1276" s="3">
        <v>1623.0</v>
      </c>
      <c r="B1276" s="1" t="s">
        <v>1920</v>
      </c>
      <c r="C1276" s="3">
        <v>3.2</v>
      </c>
      <c r="D1276" s="3">
        <v>1.2</v>
      </c>
      <c r="E1276" s="3">
        <v>1.2</v>
      </c>
      <c r="F1276" s="3">
        <v>1.0</v>
      </c>
      <c r="G1276" s="4">
        <f t="shared" si="1"/>
        <v>1.6</v>
      </c>
      <c r="H1276" s="4" t="str">
        <f t="shared" si="2"/>
        <v>Neto: 1,20 € (a partir de 1 uds.)</v>
      </c>
      <c r="I1276" s="4" t="str">
        <f t="shared" si="3"/>
        <v>Neto G.C.: 1,20 € (a partir de 1 uds.)</v>
      </c>
      <c r="J1276" s="4">
        <f t="shared" si="4"/>
        <v>1.536</v>
      </c>
      <c r="K1276" s="4">
        <f t="shared" si="5"/>
        <v>1.6</v>
      </c>
      <c r="L1276" s="4">
        <f t="shared" si="6"/>
        <v>1.536</v>
      </c>
    </row>
    <row r="1277">
      <c r="A1277" s="3">
        <v>1625.0</v>
      </c>
      <c r="B1277" s="1" t="s">
        <v>1921</v>
      </c>
      <c r="C1277" s="3">
        <v>8.4</v>
      </c>
      <c r="D1277" s="5"/>
      <c r="E1277" s="5"/>
      <c r="F1277" s="5"/>
      <c r="G1277" s="4">
        <f t="shared" si="1"/>
        <v>4.2</v>
      </c>
      <c r="H1277" s="4" t="str">
        <f t="shared" si="2"/>
        <v>Sin precio neto</v>
      </c>
      <c r="I1277" s="4" t="str">
        <f t="shared" si="3"/>
        <v>Sin precio neto G.C.</v>
      </c>
      <c r="J1277" s="4">
        <f t="shared" si="4"/>
        <v>4.032</v>
      </c>
      <c r="K1277" s="4">
        <f t="shared" si="5"/>
        <v>4.2</v>
      </c>
      <c r="L1277" s="4">
        <f t="shared" si="6"/>
        <v>4.032</v>
      </c>
    </row>
    <row r="1278">
      <c r="A1278" s="3">
        <v>1626.0</v>
      </c>
      <c r="B1278" s="1" t="s">
        <v>1922</v>
      </c>
      <c r="C1278" s="3">
        <v>8.4</v>
      </c>
      <c r="D1278" s="5"/>
      <c r="E1278" s="5"/>
      <c r="F1278" s="5"/>
      <c r="G1278" s="4">
        <f t="shared" si="1"/>
        <v>4.2</v>
      </c>
      <c r="H1278" s="4" t="str">
        <f t="shared" si="2"/>
        <v>Sin precio neto</v>
      </c>
      <c r="I1278" s="4" t="str">
        <f t="shared" si="3"/>
        <v>Sin precio neto G.C.</v>
      </c>
      <c r="J1278" s="4">
        <f t="shared" si="4"/>
        <v>4.032</v>
      </c>
      <c r="K1278" s="4">
        <f t="shared" si="5"/>
        <v>4.2</v>
      </c>
      <c r="L1278" s="4">
        <f t="shared" si="6"/>
        <v>4.032</v>
      </c>
    </row>
    <row r="1279">
      <c r="A1279" s="3">
        <v>1627.0</v>
      </c>
      <c r="B1279" s="1" t="s">
        <v>1923</v>
      </c>
      <c r="C1279" s="3">
        <v>41.4</v>
      </c>
      <c r="D1279" s="5"/>
      <c r="E1279" s="5"/>
      <c r="F1279" s="5"/>
      <c r="G1279" s="4">
        <f t="shared" si="1"/>
        <v>20.7</v>
      </c>
      <c r="H1279" s="4" t="str">
        <f t="shared" si="2"/>
        <v>Sin precio neto</v>
      </c>
      <c r="I1279" s="4" t="str">
        <f t="shared" si="3"/>
        <v>Sin precio neto G.C.</v>
      </c>
      <c r="J1279" s="4">
        <f t="shared" si="4"/>
        <v>19.872</v>
      </c>
      <c r="K1279" s="4">
        <f t="shared" si="5"/>
        <v>20.7</v>
      </c>
      <c r="L1279" s="4">
        <f t="shared" si="6"/>
        <v>19.872</v>
      </c>
    </row>
    <row r="1280">
      <c r="A1280" s="3">
        <v>1629.0</v>
      </c>
      <c r="B1280" s="1" t="s">
        <v>1924</v>
      </c>
      <c r="C1280" s="3">
        <v>9.98</v>
      </c>
      <c r="D1280" s="5"/>
      <c r="E1280" s="5"/>
      <c r="F1280" s="5"/>
      <c r="G1280" s="4">
        <f t="shared" si="1"/>
        <v>4.99</v>
      </c>
      <c r="H1280" s="4" t="str">
        <f t="shared" si="2"/>
        <v>Sin precio neto</v>
      </c>
      <c r="I1280" s="4" t="str">
        <f t="shared" si="3"/>
        <v>Sin precio neto G.C.</v>
      </c>
      <c r="J1280" s="4">
        <f t="shared" si="4"/>
        <v>4.7904</v>
      </c>
      <c r="K1280" s="4">
        <f t="shared" si="5"/>
        <v>4.99</v>
      </c>
      <c r="L1280" s="4">
        <f t="shared" si="6"/>
        <v>4.7904</v>
      </c>
    </row>
    <row r="1281">
      <c r="A1281" s="3">
        <v>1630.0</v>
      </c>
      <c r="B1281" s="1" t="s">
        <v>1925</v>
      </c>
      <c r="C1281" s="3">
        <v>9.98</v>
      </c>
      <c r="D1281" s="5"/>
      <c r="E1281" s="5"/>
      <c r="F1281" s="5"/>
      <c r="G1281" s="4">
        <f t="shared" si="1"/>
        <v>4.99</v>
      </c>
      <c r="H1281" s="4" t="str">
        <f t="shared" si="2"/>
        <v>Sin precio neto</v>
      </c>
      <c r="I1281" s="4" t="str">
        <f t="shared" si="3"/>
        <v>Sin precio neto G.C.</v>
      </c>
      <c r="J1281" s="4">
        <f t="shared" si="4"/>
        <v>4.7904</v>
      </c>
      <c r="K1281" s="4">
        <f t="shared" si="5"/>
        <v>4.99</v>
      </c>
      <c r="L1281" s="4">
        <f t="shared" si="6"/>
        <v>4.7904</v>
      </c>
    </row>
    <row r="1282">
      <c r="A1282" s="3">
        <v>1631.0</v>
      </c>
      <c r="B1282" s="1" t="s">
        <v>1926</v>
      </c>
      <c r="C1282" s="3">
        <v>24.5</v>
      </c>
      <c r="D1282" s="5"/>
      <c r="E1282" s="5"/>
      <c r="F1282" s="5"/>
      <c r="G1282" s="4">
        <f t="shared" si="1"/>
        <v>12.25</v>
      </c>
      <c r="H1282" s="4" t="str">
        <f t="shared" si="2"/>
        <v>Sin precio neto</v>
      </c>
      <c r="I1282" s="4" t="str">
        <f t="shared" si="3"/>
        <v>Sin precio neto G.C.</v>
      </c>
      <c r="J1282" s="4">
        <f t="shared" si="4"/>
        <v>11.76</v>
      </c>
      <c r="K1282" s="4">
        <f t="shared" si="5"/>
        <v>12.25</v>
      </c>
      <c r="L1282" s="4">
        <f t="shared" si="6"/>
        <v>11.76</v>
      </c>
    </row>
    <row r="1283">
      <c r="A1283" s="3">
        <v>1632.0</v>
      </c>
      <c r="B1283" s="1" t="s">
        <v>1927</v>
      </c>
      <c r="C1283" s="3">
        <v>9.5</v>
      </c>
      <c r="D1283" s="5"/>
      <c r="E1283" s="5"/>
      <c r="F1283" s="5"/>
      <c r="G1283" s="4">
        <f t="shared" si="1"/>
        <v>4.75</v>
      </c>
      <c r="H1283" s="4" t="str">
        <f t="shared" si="2"/>
        <v>Sin precio neto</v>
      </c>
      <c r="I1283" s="4" t="str">
        <f t="shared" si="3"/>
        <v>Sin precio neto G.C.</v>
      </c>
      <c r="J1283" s="4">
        <f t="shared" si="4"/>
        <v>4.56</v>
      </c>
      <c r="K1283" s="4">
        <f t="shared" si="5"/>
        <v>4.75</v>
      </c>
      <c r="L1283" s="4">
        <f t="shared" si="6"/>
        <v>4.56</v>
      </c>
    </row>
    <row r="1284">
      <c r="A1284" s="3">
        <v>1633.0</v>
      </c>
      <c r="B1284" s="1" t="s">
        <v>1928</v>
      </c>
      <c r="C1284" s="3">
        <v>16.8</v>
      </c>
      <c r="D1284" s="5"/>
      <c r="E1284" s="5"/>
      <c r="F1284" s="5"/>
      <c r="G1284" s="4">
        <f t="shared" si="1"/>
        <v>8.4</v>
      </c>
      <c r="H1284" s="4" t="str">
        <f t="shared" si="2"/>
        <v>Sin precio neto</v>
      </c>
      <c r="I1284" s="4" t="str">
        <f t="shared" si="3"/>
        <v>Sin precio neto G.C.</v>
      </c>
      <c r="J1284" s="4">
        <f t="shared" si="4"/>
        <v>8.064</v>
      </c>
      <c r="K1284" s="4">
        <f t="shared" si="5"/>
        <v>8.4</v>
      </c>
      <c r="L1284" s="4">
        <f t="shared" si="6"/>
        <v>8.064</v>
      </c>
    </row>
    <row r="1285">
      <c r="A1285" s="3">
        <v>1634.0</v>
      </c>
      <c r="B1285" s="1" t="s">
        <v>1929</v>
      </c>
      <c r="C1285" s="3">
        <v>38.5</v>
      </c>
      <c r="D1285" s="5"/>
      <c r="E1285" s="5"/>
      <c r="F1285" s="5"/>
      <c r="G1285" s="4">
        <f t="shared" si="1"/>
        <v>19.25</v>
      </c>
      <c r="H1285" s="4" t="str">
        <f t="shared" si="2"/>
        <v>Sin precio neto</v>
      </c>
      <c r="I1285" s="4" t="str">
        <f t="shared" si="3"/>
        <v>Sin precio neto G.C.</v>
      </c>
      <c r="J1285" s="4">
        <f t="shared" si="4"/>
        <v>18.48</v>
      </c>
      <c r="K1285" s="4">
        <f t="shared" si="5"/>
        <v>19.25</v>
      </c>
      <c r="L1285" s="4">
        <f t="shared" si="6"/>
        <v>18.48</v>
      </c>
    </row>
    <row r="1286">
      <c r="A1286" s="3">
        <v>1635.0</v>
      </c>
      <c r="B1286" s="1" t="s">
        <v>1930</v>
      </c>
      <c r="C1286" s="3">
        <v>8.4</v>
      </c>
      <c r="D1286" s="3">
        <v>3.6</v>
      </c>
      <c r="E1286" s="3">
        <v>3.2</v>
      </c>
      <c r="F1286" s="3">
        <v>20.0</v>
      </c>
      <c r="G1286" s="4">
        <f t="shared" si="1"/>
        <v>4.2</v>
      </c>
      <c r="H1286" s="4" t="str">
        <f t="shared" si="2"/>
        <v>Neto: 3,60 € (a partir de 20 uds.)</v>
      </c>
      <c r="I1286" s="4" t="str">
        <f t="shared" si="3"/>
        <v>Neto G.C.: 3,20 € (a partir de 20 uds.)</v>
      </c>
      <c r="J1286" s="4">
        <f t="shared" si="4"/>
        <v>4.032</v>
      </c>
      <c r="K1286" s="4">
        <f t="shared" si="5"/>
        <v>4.2</v>
      </c>
      <c r="L1286" s="4">
        <f t="shared" si="6"/>
        <v>4.032</v>
      </c>
    </row>
    <row r="1287">
      <c r="A1287" s="3">
        <v>1636.0</v>
      </c>
      <c r="B1287" s="1" t="s">
        <v>1931</v>
      </c>
      <c r="C1287" s="3">
        <v>9.84</v>
      </c>
      <c r="D1287" s="3">
        <v>4.75</v>
      </c>
      <c r="E1287" s="3">
        <v>4.4</v>
      </c>
      <c r="F1287" s="3">
        <v>20.0</v>
      </c>
      <c r="G1287" s="4">
        <f t="shared" si="1"/>
        <v>4.92</v>
      </c>
      <c r="H1287" s="4" t="str">
        <f t="shared" si="2"/>
        <v>Neto: 4,75 € (a partir de 20 uds.)</v>
      </c>
      <c r="I1287" s="4" t="str">
        <f t="shared" si="3"/>
        <v>Neto G.C.: 4,40 € (a partir de 20 uds.)</v>
      </c>
      <c r="J1287" s="4">
        <f t="shared" si="4"/>
        <v>4.7232</v>
      </c>
      <c r="K1287" s="4">
        <f t="shared" si="5"/>
        <v>4.92</v>
      </c>
      <c r="L1287" s="4">
        <f t="shared" si="6"/>
        <v>4.7232</v>
      </c>
    </row>
    <row r="1288">
      <c r="A1288" s="1" t="s">
        <v>1932</v>
      </c>
      <c r="B1288" s="1" t="s">
        <v>1933</v>
      </c>
      <c r="C1288" s="3">
        <v>9.8</v>
      </c>
      <c r="D1288" s="3">
        <v>4.75</v>
      </c>
      <c r="E1288" s="3">
        <v>4.4</v>
      </c>
      <c r="F1288" s="3">
        <v>20.0</v>
      </c>
      <c r="G1288" s="4">
        <f t="shared" si="1"/>
        <v>4.9</v>
      </c>
      <c r="H1288" s="4" t="str">
        <f t="shared" si="2"/>
        <v>Neto: 4,75 € (a partir de 20 uds.)</v>
      </c>
      <c r="I1288" s="4" t="str">
        <f t="shared" si="3"/>
        <v>Neto G.C.: 4,40 € (a partir de 20 uds.)</v>
      </c>
      <c r="J1288" s="4">
        <f t="shared" si="4"/>
        <v>4.704</v>
      </c>
      <c r="K1288" s="4">
        <f t="shared" si="5"/>
        <v>4.9</v>
      </c>
      <c r="L1288" s="4">
        <f t="shared" si="6"/>
        <v>4.704</v>
      </c>
    </row>
    <row r="1289">
      <c r="A1289" s="3">
        <v>1637.0</v>
      </c>
      <c r="B1289" s="1" t="s">
        <v>1934</v>
      </c>
      <c r="C1289" s="3">
        <v>10.5</v>
      </c>
      <c r="D1289" s="3">
        <v>4.75</v>
      </c>
      <c r="E1289" s="3">
        <v>4.4</v>
      </c>
      <c r="F1289" s="3">
        <v>20.0</v>
      </c>
      <c r="G1289" s="4">
        <f t="shared" si="1"/>
        <v>5.25</v>
      </c>
      <c r="H1289" s="4" t="str">
        <f t="shared" si="2"/>
        <v>Neto: 4,75 € (a partir de 20 uds.)</v>
      </c>
      <c r="I1289" s="4" t="str">
        <f t="shared" si="3"/>
        <v>Neto G.C.: 4,40 € (a partir de 20 uds.)</v>
      </c>
      <c r="J1289" s="4">
        <f t="shared" si="4"/>
        <v>5.04</v>
      </c>
      <c r="K1289" s="4">
        <f t="shared" si="5"/>
        <v>5.25</v>
      </c>
      <c r="L1289" s="4">
        <f t="shared" si="6"/>
        <v>5.04</v>
      </c>
    </row>
    <row r="1290">
      <c r="A1290" s="3">
        <v>1638.0</v>
      </c>
      <c r="B1290" s="1" t="s">
        <v>1935</v>
      </c>
      <c r="C1290" s="3">
        <v>9.8</v>
      </c>
      <c r="D1290" s="3">
        <v>3.5</v>
      </c>
      <c r="E1290" s="3">
        <v>3.25</v>
      </c>
      <c r="F1290" s="3">
        <v>10.0</v>
      </c>
      <c r="G1290" s="4">
        <f t="shared" si="1"/>
        <v>4.9</v>
      </c>
      <c r="H1290" s="4" t="str">
        <f t="shared" si="2"/>
        <v>Neto: 3,50 € (a partir de 10 uds.)</v>
      </c>
      <c r="I1290" s="4" t="str">
        <f t="shared" si="3"/>
        <v>Neto G.C.: 3,25 € (a partir de 10 uds.)</v>
      </c>
      <c r="J1290" s="4">
        <f t="shared" si="4"/>
        <v>4.704</v>
      </c>
      <c r="K1290" s="4">
        <f t="shared" si="5"/>
        <v>4.9</v>
      </c>
      <c r="L1290" s="4">
        <f t="shared" si="6"/>
        <v>4.704</v>
      </c>
    </row>
    <row r="1291">
      <c r="A1291" s="3">
        <v>1640.0</v>
      </c>
      <c r="B1291" s="1" t="s">
        <v>1936</v>
      </c>
      <c r="C1291" s="3">
        <v>14.4</v>
      </c>
      <c r="D1291" s="5"/>
      <c r="E1291" s="5"/>
      <c r="F1291" s="5"/>
      <c r="G1291" s="4">
        <f t="shared" si="1"/>
        <v>7.2</v>
      </c>
      <c r="H1291" s="4" t="str">
        <f t="shared" si="2"/>
        <v>Sin precio neto</v>
      </c>
      <c r="I1291" s="4" t="str">
        <f t="shared" si="3"/>
        <v>Sin precio neto G.C.</v>
      </c>
      <c r="J1291" s="4">
        <f t="shared" si="4"/>
        <v>6.912</v>
      </c>
      <c r="K1291" s="4">
        <f t="shared" si="5"/>
        <v>7.2</v>
      </c>
      <c r="L1291" s="4">
        <f t="shared" si="6"/>
        <v>6.912</v>
      </c>
    </row>
    <row r="1292">
      <c r="A1292" s="1" t="s">
        <v>1937</v>
      </c>
      <c r="B1292" s="1" t="s">
        <v>1938</v>
      </c>
      <c r="C1292" s="3">
        <v>12.8</v>
      </c>
      <c r="D1292" s="3">
        <v>5.5</v>
      </c>
      <c r="E1292" s="3">
        <v>4.75</v>
      </c>
      <c r="F1292" s="3">
        <v>10.0</v>
      </c>
      <c r="G1292" s="4">
        <f t="shared" si="1"/>
        <v>6.4</v>
      </c>
      <c r="H1292" s="4" t="str">
        <f t="shared" si="2"/>
        <v>Neto: 5,50 € (a partir de 10 uds.)</v>
      </c>
      <c r="I1292" s="4" t="str">
        <f t="shared" si="3"/>
        <v>Neto G.C.: 4,75 € (a partir de 10 uds.)</v>
      </c>
      <c r="J1292" s="4">
        <f t="shared" si="4"/>
        <v>6.144</v>
      </c>
      <c r="K1292" s="4">
        <f t="shared" si="5"/>
        <v>6.4</v>
      </c>
      <c r="L1292" s="4">
        <f t="shared" si="6"/>
        <v>6.144</v>
      </c>
    </row>
    <row r="1293">
      <c r="A1293" s="3">
        <v>1645.0</v>
      </c>
      <c r="B1293" s="1" t="s">
        <v>1939</v>
      </c>
      <c r="C1293" s="3">
        <v>35.8</v>
      </c>
      <c r="D1293" s="5"/>
      <c r="E1293" s="5"/>
      <c r="F1293" s="5"/>
      <c r="G1293" s="4">
        <f t="shared" si="1"/>
        <v>17.9</v>
      </c>
      <c r="H1293" s="4" t="str">
        <f t="shared" si="2"/>
        <v>Sin precio neto</v>
      </c>
      <c r="I1293" s="4" t="str">
        <f t="shared" si="3"/>
        <v>Sin precio neto G.C.</v>
      </c>
      <c r="J1293" s="4">
        <f t="shared" si="4"/>
        <v>17.184</v>
      </c>
      <c r="K1293" s="4">
        <f t="shared" si="5"/>
        <v>17.9</v>
      </c>
      <c r="L1293" s="4">
        <f t="shared" si="6"/>
        <v>17.184</v>
      </c>
    </row>
    <row r="1294">
      <c r="A1294" s="3">
        <v>1646.0</v>
      </c>
      <c r="B1294" s="1" t="s">
        <v>1940</v>
      </c>
      <c r="C1294" s="3">
        <v>19.94</v>
      </c>
      <c r="D1294" s="5"/>
      <c r="E1294" s="5"/>
      <c r="F1294" s="5"/>
      <c r="G1294" s="4">
        <f t="shared" si="1"/>
        <v>9.97</v>
      </c>
      <c r="H1294" s="4" t="str">
        <f t="shared" si="2"/>
        <v>Sin precio neto</v>
      </c>
      <c r="I1294" s="4" t="str">
        <f t="shared" si="3"/>
        <v>Sin precio neto G.C.</v>
      </c>
      <c r="J1294" s="4">
        <f t="shared" si="4"/>
        <v>9.5712</v>
      </c>
      <c r="K1294" s="4">
        <f t="shared" si="5"/>
        <v>9.97</v>
      </c>
      <c r="L1294" s="4">
        <f t="shared" si="6"/>
        <v>9.5712</v>
      </c>
    </row>
    <row r="1295">
      <c r="A1295" s="1" t="s">
        <v>1941</v>
      </c>
      <c r="B1295" s="1" t="s">
        <v>1942</v>
      </c>
      <c r="C1295" s="3">
        <v>19.94</v>
      </c>
      <c r="D1295" s="5"/>
      <c r="E1295" s="5"/>
      <c r="F1295" s="5"/>
      <c r="G1295" s="4">
        <f t="shared" si="1"/>
        <v>9.97</v>
      </c>
      <c r="H1295" s="4" t="str">
        <f t="shared" si="2"/>
        <v>Sin precio neto</v>
      </c>
      <c r="I1295" s="4" t="str">
        <f t="shared" si="3"/>
        <v>Sin precio neto G.C.</v>
      </c>
      <c r="J1295" s="4">
        <f t="shared" si="4"/>
        <v>9.5712</v>
      </c>
      <c r="K1295" s="4">
        <f t="shared" si="5"/>
        <v>9.97</v>
      </c>
      <c r="L1295" s="4">
        <f t="shared" si="6"/>
        <v>9.5712</v>
      </c>
    </row>
    <row r="1296">
      <c r="A1296" s="1" t="s">
        <v>1943</v>
      </c>
      <c r="B1296" s="1" t="s">
        <v>1944</v>
      </c>
      <c r="C1296" s="3">
        <v>19.95</v>
      </c>
      <c r="D1296" s="5"/>
      <c r="E1296" s="5"/>
      <c r="F1296" s="5"/>
      <c r="G1296" s="4">
        <f t="shared" si="1"/>
        <v>9.975</v>
      </c>
      <c r="H1296" s="4" t="str">
        <f t="shared" si="2"/>
        <v>Sin precio neto</v>
      </c>
      <c r="I1296" s="4" t="str">
        <f t="shared" si="3"/>
        <v>Sin precio neto G.C.</v>
      </c>
      <c r="J1296" s="4">
        <f t="shared" si="4"/>
        <v>9.576</v>
      </c>
      <c r="K1296" s="4">
        <f t="shared" si="5"/>
        <v>9.975</v>
      </c>
      <c r="L1296" s="4">
        <f t="shared" si="6"/>
        <v>9.576</v>
      </c>
    </row>
    <row r="1297">
      <c r="A1297" s="1" t="s">
        <v>1945</v>
      </c>
      <c r="B1297" s="1" t="s">
        <v>1946</v>
      </c>
      <c r="C1297" s="3">
        <v>19.95</v>
      </c>
      <c r="D1297" s="5"/>
      <c r="E1297" s="5"/>
      <c r="F1297" s="5"/>
      <c r="G1297" s="4">
        <f t="shared" si="1"/>
        <v>9.975</v>
      </c>
      <c r="H1297" s="4" t="str">
        <f t="shared" si="2"/>
        <v>Sin precio neto</v>
      </c>
      <c r="I1297" s="4" t="str">
        <f t="shared" si="3"/>
        <v>Sin precio neto G.C.</v>
      </c>
      <c r="J1297" s="4">
        <f t="shared" si="4"/>
        <v>9.576</v>
      </c>
      <c r="K1297" s="4">
        <f t="shared" si="5"/>
        <v>9.975</v>
      </c>
      <c r="L1297" s="4">
        <f t="shared" si="6"/>
        <v>9.576</v>
      </c>
    </row>
    <row r="1298">
      <c r="A1298" s="3">
        <v>1647.0</v>
      </c>
      <c r="B1298" s="1" t="s">
        <v>1947</v>
      </c>
      <c r="C1298" s="3">
        <v>16.2</v>
      </c>
      <c r="D1298" s="5"/>
      <c r="E1298" s="5"/>
      <c r="F1298" s="5"/>
      <c r="G1298" s="4">
        <f t="shared" si="1"/>
        <v>8.1</v>
      </c>
      <c r="H1298" s="4" t="str">
        <f t="shared" si="2"/>
        <v>Sin precio neto</v>
      </c>
      <c r="I1298" s="4" t="str">
        <f t="shared" si="3"/>
        <v>Sin precio neto G.C.</v>
      </c>
      <c r="J1298" s="4">
        <f t="shared" si="4"/>
        <v>7.776</v>
      </c>
      <c r="K1298" s="4">
        <f t="shared" si="5"/>
        <v>8.1</v>
      </c>
      <c r="L1298" s="4">
        <f t="shared" si="6"/>
        <v>7.776</v>
      </c>
    </row>
    <row r="1299">
      <c r="A1299" s="1" t="s">
        <v>1948</v>
      </c>
      <c r="B1299" s="1" t="s">
        <v>1949</v>
      </c>
      <c r="C1299" s="3">
        <v>16.2</v>
      </c>
      <c r="D1299" s="5"/>
      <c r="E1299" s="5"/>
      <c r="F1299" s="5"/>
      <c r="G1299" s="4">
        <f t="shared" si="1"/>
        <v>8.1</v>
      </c>
      <c r="H1299" s="4" t="str">
        <f t="shared" si="2"/>
        <v>Sin precio neto</v>
      </c>
      <c r="I1299" s="4" t="str">
        <f t="shared" si="3"/>
        <v>Sin precio neto G.C.</v>
      </c>
      <c r="J1299" s="4">
        <f t="shared" si="4"/>
        <v>7.776</v>
      </c>
      <c r="K1299" s="4">
        <f t="shared" si="5"/>
        <v>8.1</v>
      </c>
      <c r="L1299" s="4">
        <f t="shared" si="6"/>
        <v>7.776</v>
      </c>
    </row>
    <row r="1300">
      <c r="A1300" s="1" t="s">
        <v>1950</v>
      </c>
      <c r="B1300" s="1" t="s">
        <v>1951</v>
      </c>
      <c r="C1300" s="3">
        <v>16.2</v>
      </c>
      <c r="D1300" s="5"/>
      <c r="E1300" s="5"/>
      <c r="F1300" s="5"/>
      <c r="G1300" s="4">
        <f t="shared" si="1"/>
        <v>8.1</v>
      </c>
      <c r="H1300" s="4" t="str">
        <f t="shared" si="2"/>
        <v>Sin precio neto</v>
      </c>
      <c r="I1300" s="4" t="str">
        <f t="shared" si="3"/>
        <v>Sin precio neto G.C.</v>
      </c>
      <c r="J1300" s="4">
        <f t="shared" si="4"/>
        <v>7.776</v>
      </c>
      <c r="K1300" s="4">
        <f t="shared" si="5"/>
        <v>8.1</v>
      </c>
      <c r="L1300" s="4">
        <f t="shared" si="6"/>
        <v>7.776</v>
      </c>
    </row>
    <row r="1301">
      <c r="A1301" s="1" t="s">
        <v>1952</v>
      </c>
      <c r="B1301" s="1" t="s">
        <v>1953</v>
      </c>
      <c r="C1301" s="3">
        <v>16.2</v>
      </c>
      <c r="D1301" s="5"/>
      <c r="E1301" s="5"/>
      <c r="F1301" s="5"/>
      <c r="G1301" s="4">
        <f t="shared" si="1"/>
        <v>8.1</v>
      </c>
      <c r="H1301" s="4" t="str">
        <f t="shared" si="2"/>
        <v>Sin precio neto</v>
      </c>
      <c r="I1301" s="4" t="str">
        <f t="shared" si="3"/>
        <v>Sin precio neto G.C.</v>
      </c>
      <c r="J1301" s="4">
        <f t="shared" si="4"/>
        <v>7.776</v>
      </c>
      <c r="K1301" s="4">
        <f t="shared" si="5"/>
        <v>8.1</v>
      </c>
      <c r="L1301" s="4">
        <f t="shared" si="6"/>
        <v>7.776</v>
      </c>
    </row>
    <row r="1302">
      <c r="A1302" s="1" t="s">
        <v>1954</v>
      </c>
      <c r="B1302" s="1" t="s">
        <v>1955</v>
      </c>
      <c r="C1302" s="3">
        <v>16.2</v>
      </c>
      <c r="D1302" s="5"/>
      <c r="E1302" s="5"/>
      <c r="F1302" s="5"/>
      <c r="G1302" s="4">
        <f t="shared" si="1"/>
        <v>8.1</v>
      </c>
      <c r="H1302" s="4" t="str">
        <f t="shared" si="2"/>
        <v>Sin precio neto</v>
      </c>
      <c r="I1302" s="4" t="str">
        <f t="shared" si="3"/>
        <v>Sin precio neto G.C.</v>
      </c>
      <c r="J1302" s="4">
        <f t="shared" si="4"/>
        <v>7.776</v>
      </c>
      <c r="K1302" s="4">
        <f t="shared" si="5"/>
        <v>8.1</v>
      </c>
      <c r="L1302" s="4">
        <f t="shared" si="6"/>
        <v>7.776</v>
      </c>
    </row>
    <row r="1303">
      <c r="A1303" s="3">
        <v>1648.0</v>
      </c>
      <c r="B1303" s="1" t="s">
        <v>1956</v>
      </c>
      <c r="C1303" s="3">
        <v>48.5</v>
      </c>
      <c r="D1303" s="5"/>
      <c r="E1303" s="5"/>
      <c r="F1303" s="5"/>
      <c r="G1303" s="4">
        <f t="shared" si="1"/>
        <v>24.25</v>
      </c>
      <c r="H1303" s="4" t="str">
        <f t="shared" si="2"/>
        <v>Sin precio neto</v>
      </c>
      <c r="I1303" s="4" t="str">
        <f t="shared" si="3"/>
        <v>Sin precio neto G.C.</v>
      </c>
      <c r="J1303" s="4">
        <f t="shared" si="4"/>
        <v>23.28</v>
      </c>
      <c r="K1303" s="4">
        <f t="shared" si="5"/>
        <v>24.25</v>
      </c>
      <c r="L1303" s="4">
        <f t="shared" si="6"/>
        <v>23.28</v>
      </c>
    </row>
    <row r="1304">
      <c r="A1304" s="3">
        <v>1650.0</v>
      </c>
      <c r="B1304" s="1" t="s">
        <v>1957</v>
      </c>
      <c r="C1304" s="3">
        <v>12.44</v>
      </c>
      <c r="D1304" s="3">
        <v>5.5</v>
      </c>
      <c r="E1304" s="3">
        <v>5.25</v>
      </c>
      <c r="F1304" s="3">
        <v>400.0</v>
      </c>
      <c r="G1304" s="4">
        <f t="shared" si="1"/>
        <v>6.22</v>
      </c>
      <c r="H1304" s="4" t="str">
        <f t="shared" si="2"/>
        <v>Neto: 5,50 € (a partir de 400 uds.)</v>
      </c>
      <c r="I1304" s="4" t="str">
        <f t="shared" si="3"/>
        <v>Neto G.C.: 5,25 € (a partir de 400 uds.)</v>
      </c>
      <c r="J1304" s="4">
        <f t="shared" si="4"/>
        <v>5.9712</v>
      </c>
      <c r="K1304" s="4">
        <f t="shared" si="5"/>
        <v>6.22</v>
      </c>
      <c r="L1304" s="4">
        <f t="shared" si="6"/>
        <v>5.9712</v>
      </c>
    </row>
    <row r="1305">
      <c r="A1305" s="3">
        <v>1651.0</v>
      </c>
      <c r="B1305" s="1" t="s">
        <v>1958</v>
      </c>
      <c r="C1305" s="3">
        <v>16.36</v>
      </c>
      <c r="D1305" s="3">
        <v>7.25</v>
      </c>
      <c r="E1305" s="3">
        <v>7.25</v>
      </c>
      <c r="F1305" s="3">
        <v>200.0</v>
      </c>
      <c r="G1305" s="4">
        <f t="shared" si="1"/>
        <v>8.18</v>
      </c>
      <c r="H1305" s="4" t="str">
        <f t="shared" si="2"/>
        <v>Neto: 7,25 € (a partir de 200 uds.)</v>
      </c>
      <c r="I1305" s="4" t="str">
        <f t="shared" si="3"/>
        <v>Neto G.C.: 7,25 € (a partir de 200 uds.)</v>
      </c>
      <c r="J1305" s="4">
        <f t="shared" si="4"/>
        <v>7.8528</v>
      </c>
      <c r="K1305" s="4">
        <f t="shared" si="5"/>
        <v>8.18</v>
      </c>
      <c r="L1305" s="4">
        <f t="shared" si="6"/>
        <v>7.8528</v>
      </c>
    </row>
    <row r="1306">
      <c r="A1306" s="3">
        <v>1652.0</v>
      </c>
      <c r="B1306" s="1" t="s">
        <v>1959</v>
      </c>
      <c r="C1306" s="3">
        <v>19.95</v>
      </c>
      <c r="D1306" s="5"/>
      <c r="E1306" s="5"/>
      <c r="F1306" s="5"/>
      <c r="G1306" s="4">
        <f t="shared" si="1"/>
        <v>9.975</v>
      </c>
      <c r="H1306" s="4" t="str">
        <f t="shared" si="2"/>
        <v>Sin precio neto</v>
      </c>
      <c r="I1306" s="4" t="str">
        <f t="shared" si="3"/>
        <v>Sin precio neto G.C.</v>
      </c>
      <c r="J1306" s="4">
        <f t="shared" si="4"/>
        <v>9.576</v>
      </c>
      <c r="K1306" s="4">
        <f t="shared" si="5"/>
        <v>9.975</v>
      </c>
      <c r="L1306" s="4">
        <f t="shared" si="6"/>
        <v>9.576</v>
      </c>
    </row>
    <row r="1307">
      <c r="A1307" s="3">
        <v>1653.0</v>
      </c>
      <c r="B1307" s="1" t="s">
        <v>1960</v>
      </c>
      <c r="C1307" s="3">
        <v>16.5</v>
      </c>
      <c r="D1307" s="5"/>
      <c r="E1307" s="5"/>
      <c r="F1307" s="5"/>
      <c r="G1307" s="4">
        <f t="shared" si="1"/>
        <v>8.25</v>
      </c>
      <c r="H1307" s="4" t="str">
        <f t="shared" si="2"/>
        <v>Sin precio neto</v>
      </c>
      <c r="I1307" s="4" t="str">
        <f t="shared" si="3"/>
        <v>Sin precio neto G.C.</v>
      </c>
      <c r="J1307" s="4">
        <f t="shared" si="4"/>
        <v>7.92</v>
      </c>
      <c r="K1307" s="4">
        <f t="shared" si="5"/>
        <v>8.25</v>
      </c>
      <c r="L1307" s="4">
        <f t="shared" si="6"/>
        <v>7.92</v>
      </c>
    </row>
    <row r="1308">
      <c r="A1308" s="3">
        <v>1654.0</v>
      </c>
      <c r="B1308" s="1" t="s">
        <v>1961</v>
      </c>
      <c r="C1308" s="3">
        <v>22.5</v>
      </c>
      <c r="D1308" s="5"/>
      <c r="E1308" s="5"/>
      <c r="F1308" s="5"/>
      <c r="G1308" s="4">
        <f t="shared" si="1"/>
        <v>11.25</v>
      </c>
      <c r="H1308" s="4" t="str">
        <f t="shared" si="2"/>
        <v>Sin precio neto</v>
      </c>
      <c r="I1308" s="4" t="str">
        <f t="shared" si="3"/>
        <v>Sin precio neto G.C.</v>
      </c>
      <c r="J1308" s="4">
        <f t="shared" si="4"/>
        <v>10.8</v>
      </c>
      <c r="K1308" s="4">
        <f t="shared" si="5"/>
        <v>11.25</v>
      </c>
      <c r="L1308" s="4">
        <f t="shared" si="6"/>
        <v>10.8</v>
      </c>
    </row>
    <row r="1309">
      <c r="A1309" s="3">
        <v>1655.0</v>
      </c>
      <c r="B1309" s="1" t="s">
        <v>1962</v>
      </c>
      <c r="C1309" s="3">
        <v>34.5</v>
      </c>
      <c r="D1309" s="5"/>
      <c r="E1309" s="5"/>
      <c r="F1309" s="5"/>
      <c r="G1309" s="4">
        <f t="shared" si="1"/>
        <v>17.25</v>
      </c>
      <c r="H1309" s="4" t="str">
        <f t="shared" si="2"/>
        <v>Sin precio neto</v>
      </c>
      <c r="I1309" s="4" t="str">
        <f t="shared" si="3"/>
        <v>Sin precio neto G.C.</v>
      </c>
      <c r="J1309" s="4">
        <f t="shared" si="4"/>
        <v>16.56</v>
      </c>
      <c r="K1309" s="4">
        <f t="shared" si="5"/>
        <v>17.25</v>
      </c>
      <c r="L1309" s="4">
        <f t="shared" si="6"/>
        <v>16.56</v>
      </c>
    </row>
    <row r="1310">
      <c r="A1310" s="3">
        <v>1672.0</v>
      </c>
      <c r="B1310" s="1" t="s">
        <v>1963</v>
      </c>
      <c r="C1310" s="6">
        <v>3200.0</v>
      </c>
      <c r="D1310" s="3">
        <v>1400.0</v>
      </c>
      <c r="E1310" s="3">
        <v>1400.0</v>
      </c>
      <c r="F1310" s="3">
        <v>1.0</v>
      </c>
      <c r="G1310" s="4">
        <f t="shared" si="1"/>
        <v>1600</v>
      </c>
      <c r="H1310" s="4" t="str">
        <f t="shared" si="2"/>
        <v>Neto: 1400,00 € (a partir de 1 uds.)</v>
      </c>
      <c r="I1310" s="4" t="str">
        <f t="shared" si="3"/>
        <v>Neto G.C.: 1400,00 € (a partir de 1 uds.)</v>
      </c>
      <c r="J1310" s="4">
        <f t="shared" si="4"/>
        <v>1536</v>
      </c>
      <c r="K1310" s="4">
        <f t="shared" si="5"/>
        <v>1600</v>
      </c>
      <c r="L1310" s="4">
        <f t="shared" si="6"/>
        <v>1536</v>
      </c>
    </row>
    <row r="1311">
      <c r="A1311" s="3">
        <v>1673.0</v>
      </c>
      <c r="B1311" s="1" t="s">
        <v>1964</v>
      </c>
      <c r="C1311" s="6">
        <v>3400.0</v>
      </c>
      <c r="D1311" s="5"/>
      <c r="E1311" s="5"/>
      <c r="F1311" s="5"/>
      <c r="G1311" s="4">
        <f t="shared" si="1"/>
        <v>1700</v>
      </c>
      <c r="H1311" s="4" t="str">
        <f t="shared" si="2"/>
        <v>Sin precio neto</v>
      </c>
      <c r="I1311" s="4" t="str">
        <f t="shared" si="3"/>
        <v>Sin precio neto G.C.</v>
      </c>
      <c r="J1311" s="4">
        <f t="shared" si="4"/>
        <v>1632</v>
      </c>
      <c r="K1311" s="4">
        <f t="shared" si="5"/>
        <v>1700</v>
      </c>
      <c r="L1311" s="4">
        <f t="shared" si="6"/>
        <v>1632</v>
      </c>
    </row>
    <row r="1312">
      <c r="A1312" s="1" t="s">
        <v>1965</v>
      </c>
      <c r="B1312" s="1" t="s">
        <v>1966</v>
      </c>
      <c r="C1312" s="3">
        <v>680.0</v>
      </c>
      <c r="D1312" s="5"/>
      <c r="E1312" s="5"/>
      <c r="F1312" s="5"/>
      <c r="G1312" s="4">
        <f t="shared" si="1"/>
        <v>340</v>
      </c>
      <c r="H1312" s="4" t="str">
        <f t="shared" si="2"/>
        <v>Sin precio neto</v>
      </c>
      <c r="I1312" s="4" t="str">
        <f t="shared" si="3"/>
        <v>Sin precio neto G.C.</v>
      </c>
      <c r="J1312" s="4">
        <f t="shared" si="4"/>
        <v>326.4</v>
      </c>
      <c r="K1312" s="4">
        <f t="shared" si="5"/>
        <v>340</v>
      </c>
      <c r="L1312" s="4">
        <f t="shared" si="6"/>
        <v>326.4</v>
      </c>
    </row>
    <row r="1313">
      <c r="A1313" s="3">
        <v>1674.0</v>
      </c>
      <c r="B1313" s="1" t="s">
        <v>1967</v>
      </c>
      <c r="C1313" s="6">
        <v>3500.0</v>
      </c>
      <c r="D1313" s="3">
        <v>1450.0</v>
      </c>
      <c r="E1313" s="3">
        <v>1450.0</v>
      </c>
      <c r="F1313" s="3">
        <v>1.0</v>
      </c>
      <c r="G1313" s="4">
        <f t="shared" si="1"/>
        <v>1750</v>
      </c>
      <c r="H1313" s="4" t="str">
        <f t="shared" si="2"/>
        <v>Neto: 1450,00 € (a partir de 1 uds.)</v>
      </c>
      <c r="I1313" s="4" t="str">
        <f t="shared" si="3"/>
        <v>Neto G.C.: 1450,00 € (a partir de 1 uds.)</v>
      </c>
      <c r="J1313" s="4">
        <f t="shared" si="4"/>
        <v>1680</v>
      </c>
      <c r="K1313" s="4">
        <f t="shared" si="5"/>
        <v>1750</v>
      </c>
      <c r="L1313" s="4">
        <f t="shared" si="6"/>
        <v>1680</v>
      </c>
    </row>
    <row r="1314">
      <c r="A1314" s="1" t="s">
        <v>1968</v>
      </c>
      <c r="B1314" s="1" t="s">
        <v>1969</v>
      </c>
      <c r="C1314" s="3">
        <v>68.8</v>
      </c>
      <c r="D1314" s="5"/>
      <c r="E1314" s="5"/>
      <c r="F1314" s="5"/>
      <c r="G1314" s="4">
        <f t="shared" si="1"/>
        <v>34.4</v>
      </c>
      <c r="H1314" s="4" t="str">
        <f t="shared" si="2"/>
        <v>Sin precio neto</v>
      </c>
      <c r="I1314" s="4" t="str">
        <f t="shared" si="3"/>
        <v>Sin precio neto G.C.</v>
      </c>
      <c r="J1314" s="4">
        <f t="shared" si="4"/>
        <v>33.024</v>
      </c>
      <c r="K1314" s="4">
        <f t="shared" si="5"/>
        <v>34.4</v>
      </c>
      <c r="L1314" s="4">
        <f t="shared" si="6"/>
        <v>33.024</v>
      </c>
    </row>
    <row r="1315">
      <c r="A1315" s="1" t="s">
        <v>1970</v>
      </c>
      <c r="B1315" s="1" t="s">
        <v>1971</v>
      </c>
      <c r="C1315" s="3">
        <v>222.9</v>
      </c>
      <c r="D1315" s="5"/>
      <c r="E1315" s="5"/>
      <c r="F1315" s="5"/>
      <c r="G1315" s="4">
        <f t="shared" si="1"/>
        <v>111.45</v>
      </c>
      <c r="H1315" s="4" t="str">
        <f t="shared" si="2"/>
        <v>Sin precio neto</v>
      </c>
      <c r="I1315" s="4" t="str">
        <f t="shared" si="3"/>
        <v>Sin precio neto G.C.</v>
      </c>
      <c r="J1315" s="4">
        <f t="shared" si="4"/>
        <v>106.992</v>
      </c>
      <c r="K1315" s="4">
        <f t="shared" si="5"/>
        <v>111.45</v>
      </c>
      <c r="L1315" s="4">
        <f t="shared" si="6"/>
        <v>106.992</v>
      </c>
    </row>
    <row r="1316">
      <c r="A1316" s="1" t="s">
        <v>1972</v>
      </c>
      <c r="B1316" s="1" t="s">
        <v>1973</v>
      </c>
      <c r="C1316" s="3">
        <v>222.9</v>
      </c>
      <c r="D1316" s="5"/>
      <c r="E1316" s="5"/>
      <c r="F1316" s="5"/>
      <c r="G1316" s="4">
        <f t="shared" si="1"/>
        <v>111.45</v>
      </c>
      <c r="H1316" s="4" t="str">
        <f t="shared" si="2"/>
        <v>Sin precio neto</v>
      </c>
      <c r="I1316" s="4" t="str">
        <f t="shared" si="3"/>
        <v>Sin precio neto G.C.</v>
      </c>
      <c r="J1316" s="4">
        <f t="shared" si="4"/>
        <v>106.992</v>
      </c>
      <c r="K1316" s="4">
        <f t="shared" si="5"/>
        <v>111.45</v>
      </c>
      <c r="L1316" s="4">
        <f t="shared" si="6"/>
        <v>106.992</v>
      </c>
    </row>
    <row r="1317">
      <c r="A1317" s="1" t="s">
        <v>1974</v>
      </c>
      <c r="B1317" s="1" t="s">
        <v>1975</v>
      </c>
      <c r="C1317" s="3">
        <v>222.9</v>
      </c>
      <c r="D1317" s="5"/>
      <c r="E1317" s="5"/>
      <c r="F1317" s="5"/>
      <c r="G1317" s="4">
        <f t="shared" si="1"/>
        <v>111.45</v>
      </c>
      <c r="H1317" s="4" t="str">
        <f t="shared" si="2"/>
        <v>Sin precio neto</v>
      </c>
      <c r="I1317" s="4" t="str">
        <f t="shared" si="3"/>
        <v>Sin precio neto G.C.</v>
      </c>
      <c r="J1317" s="4">
        <f t="shared" si="4"/>
        <v>106.992</v>
      </c>
      <c r="K1317" s="4">
        <f t="shared" si="5"/>
        <v>111.45</v>
      </c>
      <c r="L1317" s="4">
        <f t="shared" si="6"/>
        <v>106.992</v>
      </c>
    </row>
    <row r="1318">
      <c r="A1318" s="1" t="s">
        <v>1976</v>
      </c>
      <c r="B1318" s="1" t="s">
        <v>1977</v>
      </c>
      <c r="C1318" s="3">
        <v>54.2</v>
      </c>
      <c r="D1318" s="5"/>
      <c r="E1318" s="5"/>
      <c r="F1318" s="5"/>
      <c r="G1318" s="4">
        <f t="shared" si="1"/>
        <v>27.1</v>
      </c>
      <c r="H1318" s="4" t="str">
        <f t="shared" si="2"/>
        <v>Sin precio neto</v>
      </c>
      <c r="I1318" s="4" t="str">
        <f t="shared" si="3"/>
        <v>Sin precio neto G.C.</v>
      </c>
      <c r="J1318" s="4">
        <f t="shared" si="4"/>
        <v>26.016</v>
      </c>
      <c r="K1318" s="4">
        <f t="shared" si="5"/>
        <v>27.1</v>
      </c>
      <c r="L1318" s="4">
        <f t="shared" si="6"/>
        <v>26.016</v>
      </c>
    </row>
    <row r="1319">
      <c r="A1319" s="1" t="s">
        <v>1978</v>
      </c>
      <c r="B1319" s="1" t="s">
        <v>1979</v>
      </c>
      <c r="C1319" s="3">
        <v>780.0</v>
      </c>
      <c r="D1319" s="5"/>
      <c r="E1319" s="5"/>
      <c r="F1319" s="5"/>
      <c r="G1319" s="4">
        <f t="shared" si="1"/>
        <v>390</v>
      </c>
      <c r="H1319" s="4" t="str">
        <f t="shared" si="2"/>
        <v>Sin precio neto</v>
      </c>
      <c r="I1319" s="4" t="str">
        <f t="shared" si="3"/>
        <v>Sin precio neto G.C.</v>
      </c>
      <c r="J1319" s="4">
        <f t="shared" si="4"/>
        <v>374.4</v>
      </c>
      <c r="K1319" s="4">
        <f t="shared" si="5"/>
        <v>390</v>
      </c>
      <c r="L1319" s="4">
        <f t="shared" si="6"/>
        <v>374.4</v>
      </c>
    </row>
    <row r="1320">
      <c r="A1320" s="1" t="s">
        <v>1980</v>
      </c>
      <c r="B1320" s="1" t="s">
        <v>1981</v>
      </c>
      <c r="C1320" s="3">
        <v>70.0</v>
      </c>
      <c r="D1320" s="5"/>
      <c r="E1320" s="5"/>
      <c r="F1320" s="5"/>
      <c r="G1320" s="4">
        <f t="shared" si="1"/>
        <v>35</v>
      </c>
      <c r="H1320" s="4" t="str">
        <f t="shared" si="2"/>
        <v>Sin precio neto</v>
      </c>
      <c r="I1320" s="4" t="str">
        <f t="shared" si="3"/>
        <v>Sin precio neto G.C.</v>
      </c>
      <c r="J1320" s="4">
        <f t="shared" si="4"/>
        <v>33.6</v>
      </c>
      <c r="K1320" s="4">
        <f t="shared" si="5"/>
        <v>35</v>
      </c>
      <c r="L1320" s="4">
        <f t="shared" si="6"/>
        <v>33.6</v>
      </c>
    </row>
    <row r="1321">
      <c r="A1321" s="1" t="s">
        <v>1982</v>
      </c>
      <c r="B1321" s="1" t="s">
        <v>1983</v>
      </c>
      <c r="C1321" s="3">
        <v>140.0</v>
      </c>
      <c r="D1321" s="5"/>
      <c r="E1321" s="5"/>
      <c r="F1321" s="5"/>
      <c r="G1321" s="4">
        <f t="shared" si="1"/>
        <v>70</v>
      </c>
      <c r="H1321" s="4" t="str">
        <f t="shared" si="2"/>
        <v>Sin precio neto</v>
      </c>
      <c r="I1321" s="4" t="str">
        <f t="shared" si="3"/>
        <v>Sin precio neto G.C.</v>
      </c>
      <c r="J1321" s="4">
        <f t="shared" si="4"/>
        <v>67.2</v>
      </c>
      <c r="K1321" s="4">
        <f t="shared" si="5"/>
        <v>70</v>
      </c>
      <c r="L1321" s="4">
        <f t="shared" si="6"/>
        <v>67.2</v>
      </c>
    </row>
    <row r="1322">
      <c r="A1322" s="1" t="s">
        <v>1984</v>
      </c>
      <c r="B1322" s="1" t="s">
        <v>1985</v>
      </c>
      <c r="C1322" s="3">
        <v>54.0</v>
      </c>
      <c r="D1322" s="5"/>
      <c r="E1322" s="5"/>
      <c r="F1322" s="5"/>
      <c r="G1322" s="4">
        <f t="shared" si="1"/>
        <v>27</v>
      </c>
      <c r="H1322" s="4" t="str">
        <f t="shared" si="2"/>
        <v>Sin precio neto</v>
      </c>
      <c r="I1322" s="4" t="str">
        <f t="shared" si="3"/>
        <v>Sin precio neto G.C.</v>
      </c>
      <c r="J1322" s="4">
        <f t="shared" si="4"/>
        <v>25.92</v>
      </c>
      <c r="K1322" s="4">
        <f t="shared" si="5"/>
        <v>27</v>
      </c>
      <c r="L1322" s="4">
        <f t="shared" si="6"/>
        <v>25.92</v>
      </c>
    </row>
    <row r="1323">
      <c r="A1323" s="1" t="s">
        <v>1986</v>
      </c>
      <c r="B1323" s="1" t="s">
        <v>1987</v>
      </c>
      <c r="C1323" s="3">
        <v>12.8</v>
      </c>
      <c r="D1323" s="5"/>
      <c r="E1323" s="5"/>
      <c r="F1323" s="5"/>
      <c r="G1323" s="4">
        <f t="shared" si="1"/>
        <v>6.4</v>
      </c>
      <c r="H1323" s="4" t="str">
        <f t="shared" si="2"/>
        <v>Sin precio neto</v>
      </c>
      <c r="I1323" s="4" t="str">
        <f t="shared" si="3"/>
        <v>Sin precio neto G.C.</v>
      </c>
      <c r="J1323" s="4">
        <f t="shared" si="4"/>
        <v>6.144</v>
      </c>
      <c r="K1323" s="4">
        <f t="shared" si="5"/>
        <v>6.4</v>
      </c>
      <c r="L1323" s="4">
        <f t="shared" si="6"/>
        <v>6.144</v>
      </c>
    </row>
    <row r="1324">
      <c r="A1324" s="1" t="s">
        <v>1988</v>
      </c>
      <c r="B1324" s="1" t="s">
        <v>1989</v>
      </c>
      <c r="C1324" s="3">
        <v>48.0</v>
      </c>
      <c r="D1324" s="5"/>
      <c r="E1324" s="5"/>
      <c r="F1324" s="5"/>
      <c r="G1324" s="4">
        <f t="shared" si="1"/>
        <v>24</v>
      </c>
      <c r="H1324" s="4" t="str">
        <f t="shared" si="2"/>
        <v>Sin precio neto</v>
      </c>
      <c r="I1324" s="4" t="str">
        <f t="shared" si="3"/>
        <v>Sin precio neto G.C.</v>
      </c>
      <c r="J1324" s="4">
        <f t="shared" si="4"/>
        <v>23.04</v>
      </c>
      <c r="K1324" s="4">
        <f t="shared" si="5"/>
        <v>24</v>
      </c>
      <c r="L1324" s="4">
        <f t="shared" si="6"/>
        <v>23.04</v>
      </c>
    </row>
    <row r="1325">
      <c r="A1325" s="1" t="s">
        <v>1990</v>
      </c>
      <c r="B1325" s="1" t="s">
        <v>1991</v>
      </c>
      <c r="C1325" s="6">
        <v>2100.0</v>
      </c>
      <c r="D1325" s="5"/>
      <c r="E1325" s="5"/>
      <c r="F1325" s="5"/>
      <c r="G1325" s="4">
        <f t="shared" si="1"/>
        <v>1050</v>
      </c>
      <c r="H1325" s="4" t="str">
        <f t="shared" si="2"/>
        <v>Sin precio neto</v>
      </c>
      <c r="I1325" s="4" t="str">
        <f t="shared" si="3"/>
        <v>Sin precio neto G.C.</v>
      </c>
      <c r="J1325" s="4">
        <f t="shared" si="4"/>
        <v>1008</v>
      </c>
      <c r="K1325" s="4">
        <f t="shared" si="5"/>
        <v>1050</v>
      </c>
      <c r="L1325" s="4">
        <f t="shared" si="6"/>
        <v>1008</v>
      </c>
    </row>
    <row r="1326">
      <c r="A1326" s="1" t="s">
        <v>1992</v>
      </c>
      <c r="B1326" s="1" t="s">
        <v>1993</v>
      </c>
      <c r="C1326" s="3">
        <v>36.0</v>
      </c>
      <c r="D1326" s="5"/>
      <c r="E1326" s="5"/>
      <c r="F1326" s="5"/>
      <c r="G1326" s="4">
        <f t="shared" si="1"/>
        <v>18</v>
      </c>
      <c r="H1326" s="4" t="str">
        <f t="shared" si="2"/>
        <v>Sin precio neto</v>
      </c>
      <c r="I1326" s="4" t="str">
        <f t="shared" si="3"/>
        <v>Sin precio neto G.C.</v>
      </c>
      <c r="J1326" s="4">
        <f t="shared" si="4"/>
        <v>17.28</v>
      </c>
      <c r="K1326" s="4">
        <f t="shared" si="5"/>
        <v>18</v>
      </c>
      <c r="L1326" s="4">
        <f t="shared" si="6"/>
        <v>17.28</v>
      </c>
    </row>
    <row r="1327">
      <c r="A1327" s="3">
        <v>1676.0</v>
      </c>
      <c r="B1327" s="1" t="s">
        <v>1994</v>
      </c>
      <c r="C1327" s="6">
        <v>1468.95</v>
      </c>
      <c r="D1327" s="5"/>
      <c r="E1327" s="5"/>
      <c r="F1327" s="5"/>
      <c r="G1327" s="4">
        <f t="shared" si="1"/>
        <v>734.475</v>
      </c>
      <c r="H1327" s="4" t="str">
        <f t="shared" si="2"/>
        <v>Sin precio neto</v>
      </c>
      <c r="I1327" s="4" t="str">
        <f t="shared" si="3"/>
        <v>Sin precio neto G.C.</v>
      </c>
      <c r="J1327" s="4">
        <f t="shared" si="4"/>
        <v>705.096</v>
      </c>
      <c r="K1327" s="4">
        <f t="shared" si="5"/>
        <v>734.475</v>
      </c>
      <c r="L1327" s="4">
        <f t="shared" si="6"/>
        <v>705.096</v>
      </c>
    </row>
    <row r="1328">
      <c r="A1328" s="1" t="s">
        <v>1995</v>
      </c>
      <c r="B1328" s="1" t="s">
        <v>1996</v>
      </c>
      <c r="C1328" s="3">
        <v>283.5</v>
      </c>
      <c r="D1328" s="5"/>
      <c r="E1328" s="5"/>
      <c r="F1328" s="5"/>
      <c r="G1328" s="4">
        <f t="shared" si="1"/>
        <v>141.75</v>
      </c>
      <c r="H1328" s="4" t="str">
        <f t="shared" si="2"/>
        <v>Sin precio neto</v>
      </c>
      <c r="I1328" s="4" t="str">
        <f t="shared" si="3"/>
        <v>Sin precio neto G.C.</v>
      </c>
      <c r="J1328" s="4">
        <f t="shared" si="4"/>
        <v>136.08</v>
      </c>
      <c r="K1328" s="4">
        <f t="shared" si="5"/>
        <v>141.75</v>
      </c>
      <c r="L1328" s="4">
        <f t="shared" si="6"/>
        <v>136.08</v>
      </c>
    </row>
    <row r="1329">
      <c r="A1329" s="1" t="s">
        <v>1997</v>
      </c>
      <c r="B1329" s="1" t="s">
        <v>1998</v>
      </c>
      <c r="C1329" s="3">
        <v>15.75</v>
      </c>
      <c r="D1329" s="5"/>
      <c r="E1329" s="5"/>
      <c r="F1329" s="5"/>
      <c r="G1329" s="4">
        <f t="shared" si="1"/>
        <v>7.875</v>
      </c>
      <c r="H1329" s="4" t="str">
        <f t="shared" si="2"/>
        <v>Sin precio neto</v>
      </c>
      <c r="I1329" s="4" t="str">
        <f t="shared" si="3"/>
        <v>Sin precio neto G.C.</v>
      </c>
      <c r="J1329" s="4">
        <f t="shared" si="4"/>
        <v>7.56</v>
      </c>
      <c r="K1329" s="4">
        <f t="shared" si="5"/>
        <v>7.875</v>
      </c>
      <c r="L1329" s="4">
        <f t="shared" si="6"/>
        <v>7.56</v>
      </c>
    </row>
    <row r="1330">
      <c r="A1330" s="3">
        <v>1677.0</v>
      </c>
      <c r="B1330" s="1" t="s">
        <v>1999</v>
      </c>
      <c r="C1330" s="6">
        <v>2150.0</v>
      </c>
      <c r="D1330" s="5"/>
      <c r="E1330" s="5"/>
      <c r="F1330" s="5"/>
      <c r="G1330" s="4">
        <f t="shared" si="1"/>
        <v>1075</v>
      </c>
      <c r="H1330" s="4" t="str">
        <f t="shared" si="2"/>
        <v>Sin precio neto</v>
      </c>
      <c r="I1330" s="4" t="str">
        <f t="shared" si="3"/>
        <v>Sin precio neto G.C.</v>
      </c>
      <c r="J1330" s="4">
        <f t="shared" si="4"/>
        <v>1032</v>
      </c>
      <c r="K1330" s="4">
        <f t="shared" si="5"/>
        <v>1075</v>
      </c>
      <c r="L1330" s="4">
        <f t="shared" si="6"/>
        <v>1032</v>
      </c>
    </row>
    <row r="1331">
      <c r="A1331" s="3">
        <v>1678.0</v>
      </c>
      <c r="B1331" s="1" t="s">
        <v>2000</v>
      </c>
      <c r="C1331" s="6">
        <v>1700.0</v>
      </c>
      <c r="D1331" s="5"/>
      <c r="E1331" s="5"/>
      <c r="F1331" s="5"/>
      <c r="G1331" s="4">
        <f t="shared" si="1"/>
        <v>850</v>
      </c>
      <c r="H1331" s="4" t="str">
        <f t="shared" si="2"/>
        <v>Sin precio neto</v>
      </c>
      <c r="I1331" s="4" t="str">
        <f t="shared" si="3"/>
        <v>Sin precio neto G.C.</v>
      </c>
      <c r="J1331" s="4">
        <f t="shared" si="4"/>
        <v>816</v>
      </c>
      <c r="K1331" s="4">
        <f t="shared" si="5"/>
        <v>850</v>
      </c>
      <c r="L1331" s="4">
        <f t="shared" si="6"/>
        <v>816</v>
      </c>
    </row>
    <row r="1332">
      <c r="A1332" s="3">
        <v>1679.0</v>
      </c>
      <c r="B1332" s="1" t="s">
        <v>2001</v>
      </c>
      <c r="C1332" s="3">
        <v>680.0</v>
      </c>
      <c r="D1332" s="5"/>
      <c r="E1332" s="5"/>
      <c r="F1332" s="5"/>
      <c r="G1332" s="4">
        <f t="shared" si="1"/>
        <v>340</v>
      </c>
      <c r="H1332" s="4" t="str">
        <f t="shared" si="2"/>
        <v>Sin precio neto</v>
      </c>
      <c r="I1332" s="4" t="str">
        <f t="shared" si="3"/>
        <v>Sin precio neto G.C.</v>
      </c>
      <c r="J1332" s="4">
        <f t="shared" si="4"/>
        <v>326.4</v>
      </c>
      <c r="K1332" s="4">
        <f t="shared" si="5"/>
        <v>340</v>
      </c>
      <c r="L1332" s="4">
        <f t="shared" si="6"/>
        <v>326.4</v>
      </c>
    </row>
    <row r="1333">
      <c r="A1333" s="3">
        <v>1682.0</v>
      </c>
      <c r="B1333" s="1" t="s">
        <v>2002</v>
      </c>
      <c r="C1333" s="3">
        <v>73.66</v>
      </c>
      <c r="D1333" s="5"/>
      <c r="E1333" s="5"/>
      <c r="F1333" s="5"/>
      <c r="G1333" s="4">
        <f t="shared" si="1"/>
        <v>36.83</v>
      </c>
      <c r="H1333" s="4" t="str">
        <f t="shared" si="2"/>
        <v>Sin precio neto</v>
      </c>
      <c r="I1333" s="4" t="str">
        <f t="shared" si="3"/>
        <v>Sin precio neto G.C.</v>
      </c>
      <c r="J1333" s="4">
        <f t="shared" si="4"/>
        <v>35.3568</v>
      </c>
      <c r="K1333" s="4">
        <f t="shared" si="5"/>
        <v>36.83</v>
      </c>
      <c r="L1333" s="4">
        <f t="shared" si="6"/>
        <v>35.3568</v>
      </c>
    </row>
    <row r="1334">
      <c r="A1334" s="1" t="s">
        <v>2003</v>
      </c>
      <c r="B1334" s="1" t="s">
        <v>2004</v>
      </c>
      <c r="C1334" s="3">
        <v>18.0</v>
      </c>
      <c r="D1334" s="5"/>
      <c r="E1334" s="5"/>
      <c r="F1334" s="5"/>
      <c r="G1334" s="4">
        <f t="shared" si="1"/>
        <v>9</v>
      </c>
      <c r="H1334" s="4" t="str">
        <f t="shared" si="2"/>
        <v>Sin precio neto</v>
      </c>
      <c r="I1334" s="4" t="str">
        <f t="shared" si="3"/>
        <v>Sin precio neto G.C.</v>
      </c>
      <c r="J1334" s="4">
        <f t="shared" si="4"/>
        <v>8.64</v>
      </c>
      <c r="K1334" s="4">
        <f t="shared" si="5"/>
        <v>9</v>
      </c>
      <c r="L1334" s="4">
        <f t="shared" si="6"/>
        <v>8.64</v>
      </c>
    </row>
    <row r="1335">
      <c r="A1335" s="3">
        <v>1683.0</v>
      </c>
      <c r="B1335" s="1" t="s">
        <v>2005</v>
      </c>
      <c r="C1335" s="3">
        <v>590.34</v>
      </c>
      <c r="D1335" s="5"/>
      <c r="E1335" s="5"/>
      <c r="F1335" s="5"/>
      <c r="G1335" s="4">
        <f t="shared" si="1"/>
        <v>295.17</v>
      </c>
      <c r="H1335" s="4" t="str">
        <f t="shared" si="2"/>
        <v>Sin precio neto</v>
      </c>
      <c r="I1335" s="4" t="str">
        <f t="shared" si="3"/>
        <v>Sin precio neto G.C.</v>
      </c>
      <c r="J1335" s="4">
        <f t="shared" si="4"/>
        <v>283.3632</v>
      </c>
      <c r="K1335" s="4">
        <f t="shared" si="5"/>
        <v>295.17</v>
      </c>
      <c r="L1335" s="4">
        <f t="shared" si="6"/>
        <v>283.3632</v>
      </c>
    </row>
    <row r="1336">
      <c r="A1336" s="3">
        <v>1684.0</v>
      </c>
      <c r="B1336" s="1" t="s">
        <v>2006</v>
      </c>
      <c r="C1336" s="3">
        <v>28.0</v>
      </c>
      <c r="D1336" s="5"/>
      <c r="E1336" s="5"/>
      <c r="F1336" s="5"/>
      <c r="G1336" s="4">
        <f t="shared" si="1"/>
        <v>14</v>
      </c>
      <c r="H1336" s="4" t="str">
        <f t="shared" si="2"/>
        <v>Sin precio neto</v>
      </c>
      <c r="I1336" s="4" t="str">
        <f t="shared" si="3"/>
        <v>Sin precio neto G.C.</v>
      </c>
      <c r="J1336" s="4">
        <f t="shared" si="4"/>
        <v>13.44</v>
      </c>
      <c r="K1336" s="4">
        <f t="shared" si="5"/>
        <v>14</v>
      </c>
      <c r="L1336" s="4">
        <f t="shared" si="6"/>
        <v>13.44</v>
      </c>
    </row>
    <row r="1337">
      <c r="A1337" s="3">
        <v>1686.0</v>
      </c>
      <c r="B1337" s="1" t="s">
        <v>2007</v>
      </c>
      <c r="C1337" s="3">
        <v>82.0</v>
      </c>
      <c r="D1337" s="5"/>
      <c r="E1337" s="5"/>
      <c r="F1337" s="5"/>
      <c r="G1337" s="4">
        <f t="shared" si="1"/>
        <v>41</v>
      </c>
      <c r="H1337" s="4" t="str">
        <f t="shared" si="2"/>
        <v>Sin precio neto</v>
      </c>
      <c r="I1337" s="4" t="str">
        <f t="shared" si="3"/>
        <v>Sin precio neto G.C.</v>
      </c>
      <c r="J1337" s="4">
        <f t="shared" si="4"/>
        <v>39.36</v>
      </c>
      <c r="K1337" s="4">
        <f t="shared" si="5"/>
        <v>41</v>
      </c>
      <c r="L1337" s="4">
        <f t="shared" si="6"/>
        <v>39.36</v>
      </c>
    </row>
    <row r="1338">
      <c r="A1338" s="3">
        <v>1687.0</v>
      </c>
      <c r="B1338" s="1" t="s">
        <v>2008</v>
      </c>
      <c r="C1338" s="3">
        <v>52.5</v>
      </c>
      <c r="D1338" s="5"/>
      <c r="E1338" s="5"/>
      <c r="F1338" s="5"/>
      <c r="G1338" s="4">
        <f t="shared" si="1"/>
        <v>26.25</v>
      </c>
      <c r="H1338" s="4" t="str">
        <f t="shared" si="2"/>
        <v>Sin precio neto</v>
      </c>
      <c r="I1338" s="4" t="str">
        <f t="shared" si="3"/>
        <v>Sin precio neto G.C.</v>
      </c>
      <c r="J1338" s="4">
        <f t="shared" si="4"/>
        <v>25.2</v>
      </c>
      <c r="K1338" s="4">
        <f t="shared" si="5"/>
        <v>26.25</v>
      </c>
      <c r="L1338" s="4">
        <f t="shared" si="6"/>
        <v>25.2</v>
      </c>
    </row>
    <row r="1339">
      <c r="A1339" s="3">
        <v>1688.0</v>
      </c>
      <c r="B1339" s="1" t="s">
        <v>2009</v>
      </c>
      <c r="C1339" s="6">
        <v>1814.4</v>
      </c>
      <c r="D1339" s="5"/>
      <c r="E1339" s="5"/>
      <c r="F1339" s="5"/>
      <c r="G1339" s="4">
        <f t="shared" si="1"/>
        <v>907.2</v>
      </c>
      <c r="H1339" s="4" t="str">
        <f t="shared" si="2"/>
        <v>Sin precio neto</v>
      </c>
      <c r="I1339" s="4" t="str">
        <f t="shared" si="3"/>
        <v>Sin precio neto G.C.</v>
      </c>
      <c r="J1339" s="4">
        <f t="shared" si="4"/>
        <v>870.912</v>
      </c>
      <c r="K1339" s="4">
        <f t="shared" si="5"/>
        <v>907.2</v>
      </c>
      <c r="L1339" s="4">
        <f t="shared" si="6"/>
        <v>870.912</v>
      </c>
    </row>
    <row r="1340">
      <c r="A1340" s="3">
        <v>1689.0</v>
      </c>
      <c r="B1340" s="1" t="s">
        <v>2010</v>
      </c>
      <c r="C1340" s="3">
        <v>52.0</v>
      </c>
      <c r="D1340" s="5"/>
      <c r="E1340" s="3">
        <v>22.0</v>
      </c>
      <c r="F1340" s="3">
        <v>20.0</v>
      </c>
      <c r="G1340" s="4">
        <f t="shared" si="1"/>
        <v>26</v>
      </c>
      <c r="H1340" s="4" t="str">
        <f t="shared" si="2"/>
        <v>Sin precio neto</v>
      </c>
      <c r="I1340" s="4" t="str">
        <f t="shared" si="3"/>
        <v>Neto G.C.: 22,00 € (a partir de 20 uds.)</v>
      </c>
      <c r="J1340" s="4">
        <f t="shared" si="4"/>
        <v>24.96</v>
      </c>
      <c r="K1340" s="4">
        <f t="shared" si="5"/>
        <v>26</v>
      </c>
      <c r="L1340" s="4">
        <f t="shared" si="6"/>
        <v>24.96</v>
      </c>
    </row>
    <row r="1341">
      <c r="A1341" s="1" t="s">
        <v>2011</v>
      </c>
      <c r="B1341" s="1" t="s">
        <v>2012</v>
      </c>
      <c r="C1341" s="3">
        <v>14.0</v>
      </c>
      <c r="D1341" s="5"/>
      <c r="E1341" s="5"/>
      <c r="F1341" s="5"/>
      <c r="G1341" s="4">
        <f t="shared" si="1"/>
        <v>7</v>
      </c>
      <c r="H1341" s="4" t="str">
        <f t="shared" si="2"/>
        <v>Sin precio neto</v>
      </c>
      <c r="I1341" s="4" t="str">
        <f t="shared" si="3"/>
        <v>Sin precio neto G.C.</v>
      </c>
      <c r="J1341" s="4">
        <f t="shared" si="4"/>
        <v>6.72</v>
      </c>
      <c r="K1341" s="4">
        <f t="shared" si="5"/>
        <v>7</v>
      </c>
      <c r="L1341" s="4">
        <f t="shared" si="6"/>
        <v>6.72</v>
      </c>
    </row>
    <row r="1342">
      <c r="A1342" s="1" t="s">
        <v>2013</v>
      </c>
      <c r="B1342" s="1" t="s">
        <v>2014</v>
      </c>
      <c r="C1342" s="3">
        <v>12.0</v>
      </c>
      <c r="D1342" s="5"/>
      <c r="E1342" s="5"/>
      <c r="F1342" s="5"/>
      <c r="G1342" s="4">
        <f t="shared" si="1"/>
        <v>6</v>
      </c>
      <c r="H1342" s="4" t="str">
        <f t="shared" si="2"/>
        <v>Sin precio neto</v>
      </c>
      <c r="I1342" s="4" t="str">
        <f t="shared" si="3"/>
        <v>Sin precio neto G.C.</v>
      </c>
      <c r="J1342" s="4">
        <f t="shared" si="4"/>
        <v>5.76</v>
      </c>
      <c r="K1342" s="4">
        <f t="shared" si="5"/>
        <v>6</v>
      </c>
      <c r="L1342" s="4">
        <f t="shared" si="6"/>
        <v>5.76</v>
      </c>
    </row>
    <row r="1343">
      <c r="A1343" s="3">
        <v>1690.0</v>
      </c>
      <c r="B1343" s="1" t="s">
        <v>2015</v>
      </c>
      <c r="C1343" s="3">
        <v>499.8</v>
      </c>
      <c r="D1343" s="5"/>
      <c r="E1343" s="5"/>
      <c r="F1343" s="5"/>
      <c r="G1343" s="4">
        <f t="shared" si="1"/>
        <v>249.9</v>
      </c>
      <c r="H1343" s="4" t="str">
        <f t="shared" si="2"/>
        <v>Sin precio neto</v>
      </c>
      <c r="I1343" s="4" t="str">
        <f t="shared" si="3"/>
        <v>Sin precio neto G.C.</v>
      </c>
      <c r="J1343" s="4">
        <f t="shared" si="4"/>
        <v>239.904</v>
      </c>
      <c r="K1343" s="4">
        <f t="shared" si="5"/>
        <v>249.9</v>
      </c>
      <c r="L1343" s="4">
        <f t="shared" si="6"/>
        <v>239.904</v>
      </c>
    </row>
    <row r="1344">
      <c r="A1344" s="3">
        <v>1691.0</v>
      </c>
      <c r="B1344" s="1" t="s">
        <v>2016</v>
      </c>
      <c r="C1344" s="3">
        <v>69.3</v>
      </c>
      <c r="D1344" s="5"/>
      <c r="E1344" s="5"/>
      <c r="F1344" s="5"/>
      <c r="G1344" s="4">
        <f t="shared" si="1"/>
        <v>34.65</v>
      </c>
      <c r="H1344" s="4" t="str">
        <f t="shared" si="2"/>
        <v>Sin precio neto</v>
      </c>
      <c r="I1344" s="4" t="str">
        <f t="shared" si="3"/>
        <v>Sin precio neto G.C.</v>
      </c>
      <c r="J1344" s="4">
        <f t="shared" si="4"/>
        <v>33.264</v>
      </c>
      <c r="K1344" s="4">
        <f t="shared" si="5"/>
        <v>34.65</v>
      </c>
      <c r="L1344" s="4">
        <f t="shared" si="6"/>
        <v>33.264</v>
      </c>
    </row>
    <row r="1345">
      <c r="A1345" s="3">
        <v>1692.0</v>
      </c>
      <c r="B1345" s="1" t="s">
        <v>2017</v>
      </c>
      <c r="C1345" s="3">
        <v>13.65</v>
      </c>
      <c r="D1345" s="5"/>
      <c r="E1345" s="5"/>
      <c r="F1345" s="5"/>
      <c r="G1345" s="4">
        <f t="shared" si="1"/>
        <v>6.825</v>
      </c>
      <c r="H1345" s="4" t="str">
        <f t="shared" si="2"/>
        <v>Sin precio neto</v>
      </c>
      <c r="I1345" s="4" t="str">
        <f t="shared" si="3"/>
        <v>Sin precio neto G.C.</v>
      </c>
      <c r="J1345" s="4">
        <f t="shared" si="4"/>
        <v>6.552</v>
      </c>
      <c r="K1345" s="4">
        <f t="shared" si="5"/>
        <v>6.825</v>
      </c>
      <c r="L1345" s="4">
        <f t="shared" si="6"/>
        <v>6.552</v>
      </c>
    </row>
    <row r="1346">
      <c r="A1346" s="3">
        <v>1693.0</v>
      </c>
      <c r="B1346" s="1" t="s">
        <v>2018</v>
      </c>
      <c r="C1346" s="3">
        <v>52.5</v>
      </c>
      <c r="D1346" s="5"/>
      <c r="E1346" s="5"/>
      <c r="F1346" s="5"/>
      <c r="G1346" s="4">
        <f t="shared" si="1"/>
        <v>26.25</v>
      </c>
      <c r="H1346" s="4" t="str">
        <f t="shared" si="2"/>
        <v>Sin precio neto</v>
      </c>
      <c r="I1346" s="4" t="str">
        <f t="shared" si="3"/>
        <v>Sin precio neto G.C.</v>
      </c>
      <c r="J1346" s="4">
        <f t="shared" si="4"/>
        <v>25.2</v>
      </c>
      <c r="K1346" s="4">
        <f t="shared" si="5"/>
        <v>26.25</v>
      </c>
      <c r="L1346" s="4">
        <f t="shared" si="6"/>
        <v>25.2</v>
      </c>
    </row>
    <row r="1347">
      <c r="A1347" s="3">
        <v>1694.0</v>
      </c>
      <c r="B1347" s="1" t="s">
        <v>2019</v>
      </c>
      <c r="C1347" s="3">
        <v>100.8</v>
      </c>
      <c r="D1347" s="5"/>
      <c r="E1347" s="5"/>
      <c r="F1347" s="5"/>
      <c r="G1347" s="4">
        <f t="shared" si="1"/>
        <v>50.4</v>
      </c>
      <c r="H1347" s="4" t="str">
        <f t="shared" si="2"/>
        <v>Sin precio neto</v>
      </c>
      <c r="I1347" s="4" t="str">
        <f t="shared" si="3"/>
        <v>Sin precio neto G.C.</v>
      </c>
      <c r="J1347" s="4">
        <f t="shared" si="4"/>
        <v>48.384</v>
      </c>
      <c r="K1347" s="4">
        <f t="shared" si="5"/>
        <v>50.4</v>
      </c>
      <c r="L1347" s="4">
        <f t="shared" si="6"/>
        <v>48.384</v>
      </c>
    </row>
    <row r="1348">
      <c r="A1348" s="3">
        <v>1697.0</v>
      </c>
      <c r="B1348" s="1" t="s">
        <v>2020</v>
      </c>
      <c r="C1348" s="3">
        <v>15.5</v>
      </c>
      <c r="D1348" s="3">
        <v>4.5</v>
      </c>
      <c r="E1348" s="3">
        <v>4.5</v>
      </c>
      <c r="F1348" s="3">
        <v>50.0</v>
      </c>
      <c r="G1348" s="4">
        <f t="shared" si="1"/>
        <v>7.75</v>
      </c>
      <c r="H1348" s="4" t="str">
        <f t="shared" si="2"/>
        <v>Neto: 4,50 € (a partir de 50 uds.)</v>
      </c>
      <c r="I1348" s="4" t="str">
        <f t="shared" si="3"/>
        <v>Neto G.C.: 4,50 € (a partir de 50 uds.)</v>
      </c>
      <c r="J1348" s="4">
        <f t="shared" si="4"/>
        <v>7.44</v>
      </c>
      <c r="K1348" s="4">
        <f t="shared" si="5"/>
        <v>7.75</v>
      </c>
      <c r="L1348" s="4">
        <f t="shared" si="6"/>
        <v>7.44</v>
      </c>
    </row>
    <row r="1349">
      <c r="A1349" s="3">
        <v>1700.0</v>
      </c>
      <c r="B1349" s="1" t="s">
        <v>2021</v>
      </c>
      <c r="C1349" s="6">
        <v>1035.3</v>
      </c>
      <c r="D1349" s="5"/>
      <c r="E1349" s="5"/>
      <c r="F1349" s="5"/>
      <c r="G1349" s="4">
        <f t="shared" si="1"/>
        <v>517.65</v>
      </c>
      <c r="H1349" s="4" t="str">
        <f t="shared" si="2"/>
        <v>Sin precio neto</v>
      </c>
      <c r="I1349" s="4" t="str">
        <f t="shared" si="3"/>
        <v>Sin precio neto G.C.</v>
      </c>
      <c r="J1349" s="4">
        <f t="shared" si="4"/>
        <v>496.944</v>
      </c>
      <c r="K1349" s="4">
        <f t="shared" si="5"/>
        <v>517.65</v>
      </c>
      <c r="L1349" s="4">
        <f t="shared" si="6"/>
        <v>496.944</v>
      </c>
    </row>
    <row r="1350">
      <c r="A1350" s="3">
        <v>1701.0</v>
      </c>
      <c r="B1350" s="1" t="s">
        <v>2022</v>
      </c>
      <c r="C1350" s="6">
        <v>1575.0</v>
      </c>
      <c r="D1350" s="5"/>
      <c r="E1350" s="5"/>
      <c r="F1350" s="5"/>
      <c r="G1350" s="4">
        <f t="shared" si="1"/>
        <v>787.5</v>
      </c>
      <c r="H1350" s="4" t="str">
        <f t="shared" si="2"/>
        <v>Sin precio neto</v>
      </c>
      <c r="I1350" s="4" t="str">
        <f t="shared" si="3"/>
        <v>Sin precio neto G.C.</v>
      </c>
      <c r="J1350" s="4">
        <f t="shared" si="4"/>
        <v>756</v>
      </c>
      <c r="K1350" s="4">
        <f t="shared" si="5"/>
        <v>787.5</v>
      </c>
      <c r="L1350" s="4">
        <f t="shared" si="6"/>
        <v>756</v>
      </c>
    </row>
    <row r="1351">
      <c r="A1351" s="3">
        <v>1900.0</v>
      </c>
      <c r="B1351" s="1" t="s">
        <v>2023</v>
      </c>
      <c r="C1351" s="3">
        <v>90.0</v>
      </c>
      <c r="D1351" s="5"/>
      <c r="E1351" s="5"/>
      <c r="F1351" s="5"/>
      <c r="G1351" s="4">
        <f t="shared" si="1"/>
        <v>45</v>
      </c>
      <c r="H1351" s="4" t="str">
        <f t="shared" si="2"/>
        <v>Sin precio neto</v>
      </c>
      <c r="I1351" s="4" t="str">
        <f t="shared" si="3"/>
        <v>Sin precio neto G.C.</v>
      </c>
      <c r="J1351" s="4">
        <f t="shared" si="4"/>
        <v>43.2</v>
      </c>
      <c r="K1351" s="4">
        <f t="shared" si="5"/>
        <v>45</v>
      </c>
      <c r="L1351" s="4">
        <f t="shared" si="6"/>
        <v>43.2</v>
      </c>
    </row>
    <row r="1352">
      <c r="A1352" s="1" t="s">
        <v>2024</v>
      </c>
      <c r="B1352" s="1" t="s">
        <v>2025</v>
      </c>
      <c r="C1352" s="3">
        <v>81.0</v>
      </c>
      <c r="D1352" s="5"/>
      <c r="E1352" s="5"/>
      <c r="F1352" s="5"/>
      <c r="G1352" s="4">
        <f t="shared" si="1"/>
        <v>40.5</v>
      </c>
      <c r="H1352" s="4" t="str">
        <f t="shared" si="2"/>
        <v>Sin precio neto</v>
      </c>
      <c r="I1352" s="4" t="str">
        <f t="shared" si="3"/>
        <v>Sin precio neto G.C.</v>
      </c>
      <c r="J1352" s="4">
        <f t="shared" si="4"/>
        <v>38.88</v>
      </c>
      <c r="K1352" s="4">
        <f t="shared" si="5"/>
        <v>40.5</v>
      </c>
      <c r="L1352" s="4">
        <f t="shared" si="6"/>
        <v>38.88</v>
      </c>
    </row>
    <row r="1353">
      <c r="A1353" s="1" t="s">
        <v>2026</v>
      </c>
      <c r="B1353" s="1" t="s">
        <v>2027</v>
      </c>
      <c r="C1353" s="3">
        <v>83.5</v>
      </c>
      <c r="D1353" s="5"/>
      <c r="E1353" s="5"/>
      <c r="F1353" s="5"/>
      <c r="G1353" s="4">
        <f t="shared" si="1"/>
        <v>41.75</v>
      </c>
      <c r="H1353" s="4" t="str">
        <f t="shared" si="2"/>
        <v>Sin precio neto</v>
      </c>
      <c r="I1353" s="4" t="str">
        <f t="shared" si="3"/>
        <v>Sin precio neto G.C.</v>
      </c>
      <c r="J1353" s="4">
        <f t="shared" si="4"/>
        <v>40.08</v>
      </c>
      <c r="K1353" s="4">
        <f t="shared" si="5"/>
        <v>41.75</v>
      </c>
      <c r="L1353" s="4">
        <f t="shared" si="6"/>
        <v>40.08</v>
      </c>
    </row>
    <row r="1354">
      <c r="A1354" s="1" t="s">
        <v>2028</v>
      </c>
      <c r="B1354" s="1" t="s">
        <v>2029</v>
      </c>
      <c r="C1354" s="3">
        <v>79.0</v>
      </c>
      <c r="D1354" s="5"/>
      <c r="E1354" s="5"/>
      <c r="F1354" s="5"/>
      <c r="G1354" s="4">
        <f t="shared" si="1"/>
        <v>39.5</v>
      </c>
      <c r="H1354" s="4" t="str">
        <f t="shared" si="2"/>
        <v>Sin precio neto</v>
      </c>
      <c r="I1354" s="4" t="str">
        <f t="shared" si="3"/>
        <v>Sin precio neto G.C.</v>
      </c>
      <c r="J1354" s="4">
        <f t="shared" si="4"/>
        <v>37.92</v>
      </c>
      <c r="K1354" s="4">
        <f t="shared" si="5"/>
        <v>39.5</v>
      </c>
      <c r="L1354" s="4">
        <f t="shared" si="6"/>
        <v>37.92</v>
      </c>
    </row>
    <row r="1355">
      <c r="A1355" s="1" t="s">
        <v>2030</v>
      </c>
      <c r="B1355" s="1" t="s">
        <v>2031</v>
      </c>
      <c r="C1355" s="3">
        <v>30.0</v>
      </c>
      <c r="D1355" s="5"/>
      <c r="E1355" s="5"/>
      <c r="F1355" s="5"/>
      <c r="G1355" s="4">
        <f t="shared" si="1"/>
        <v>15</v>
      </c>
      <c r="H1355" s="4" t="str">
        <f t="shared" si="2"/>
        <v>Sin precio neto</v>
      </c>
      <c r="I1355" s="4" t="str">
        <f t="shared" si="3"/>
        <v>Sin precio neto G.C.</v>
      </c>
      <c r="J1355" s="4">
        <f t="shared" si="4"/>
        <v>14.4</v>
      </c>
      <c r="K1355" s="4">
        <f t="shared" si="5"/>
        <v>15</v>
      </c>
      <c r="L1355" s="4">
        <f t="shared" si="6"/>
        <v>14.4</v>
      </c>
    </row>
    <row r="1356">
      <c r="A1356" s="1" t="s">
        <v>2032</v>
      </c>
      <c r="B1356" s="1" t="s">
        <v>2033</v>
      </c>
      <c r="C1356" s="3">
        <v>30.0</v>
      </c>
      <c r="D1356" s="5"/>
      <c r="E1356" s="5"/>
      <c r="F1356" s="5"/>
      <c r="G1356" s="4">
        <f t="shared" si="1"/>
        <v>15</v>
      </c>
      <c r="H1356" s="4" t="str">
        <f t="shared" si="2"/>
        <v>Sin precio neto</v>
      </c>
      <c r="I1356" s="4" t="str">
        <f t="shared" si="3"/>
        <v>Sin precio neto G.C.</v>
      </c>
      <c r="J1356" s="4">
        <f t="shared" si="4"/>
        <v>14.4</v>
      </c>
      <c r="K1356" s="4">
        <f t="shared" si="5"/>
        <v>15</v>
      </c>
      <c r="L1356" s="4">
        <f t="shared" si="6"/>
        <v>14.4</v>
      </c>
    </row>
    <row r="1357">
      <c r="A1357" s="3">
        <v>1902.0</v>
      </c>
      <c r="B1357" s="1" t="s">
        <v>2034</v>
      </c>
      <c r="C1357" s="3">
        <v>50.36</v>
      </c>
      <c r="D1357" s="5"/>
      <c r="E1357" s="5"/>
      <c r="F1357" s="5"/>
      <c r="G1357" s="4">
        <f t="shared" si="1"/>
        <v>25.18</v>
      </c>
      <c r="H1357" s="4" t="str">
        <f t="shared" si="2"/>
        <v>Sin precio neto</v>
      </c>
      <c r="I1357" s="4" t="str">
        <f t="shared" si="3"/>
        <v>Sin precio neto G.C.</v>
      </c>
      <c r="J1357" s="4">
        <f t="shared" si="4"/>
        <v>24.1728</v>
      </c>
      <c r="K1357" s="4">
        <f t="shared" si="5"/>
        <v>25.18</v>
      </c>
      <c r="L1357" s="4">
        <f t="shared" si="6"/>
        <v>24.1728</v>
      </c>
    </row>
    <row r="1358">
      <c r="A1358" s="3">
        <v>1903.0</v>
      </c>
      <c r="B1358" s="1" t="s">
        <v>2035</v>
      </c>
      <c r="C1358" s="3">
        <v>51.8</v>
      </c>
      <c r="D1358" s="5"/>
      <c r="E1358" s="5"/>
      <c r="F1358" s="5"/>
      <c r="G1358" s="4">
        <f t="shared" si="1"/>
        <v>25.9</v>
      </c>
      <c r="H1358" s="4" t="str">
        <f t="shared" si="2"/>
        <v>Sin precio neto</v>
      </c>
      <c r="I1358" s="4" t="str">
        <f t="shared" si="3"/>
        <v>Sin precio neto G.C.</v>
      </c>
      <c r="J1358" s="4">
        <f t="shared" si="4"/>
        <v>24.864</v>
      </c>
      <c r="K1358" s="4">
        <f t="shared" si="5"/>
        <v>25.9</v>
      </c>
      <c r="L1358" s="4">
        <f t="shared" si="6"/>
        <v>24.864</v>
      </c>
    </row>
    <row r="1359">
      <c r="A1359" s="1" t="s">
        <v>2036</v>
      </c>
      <c r="B1359" s="1" t="s">
        <v>2037</v>
      </c>
      <c r="C1359" s="3">
        <v>32.0</v>
      </c>
      <c r="D1359" s="5"/>
      <c r="E1359" s="5"/>
      <c r="F1359" s="5"/>
      <c r="G1359" s="4">
        <f t="shared" si="1"/>
        <v>16</v>
      </c>
      <c r="H1359" s="4" t="str">
        <f t="shared" si="2"/>
        <v>Sin precio neto</v>
      </c>
      <c r="I1359" s="4" t="str">
        <f t="shared" si="3"/>
        <v>Sin precio neto G.C.</v>
      </c>
      <c r="J1359" s="4">
        <f t="shared" si="4"/>
        <v>15.36</v>
      </c>
      <c r="K1359" s="4">
        <f t="shared" si="5"/>
        <v>16</v>
      </c>
      <c r="L1359" s="4">
        <f t="shared" si="6"/>
        <v>15.36</v>
      </c>
    </row>
    <row r="1360">
      <c r="A1360" s="3">
        <v>1904.0</v>
      </c>
      <c r="B1360" s="1" t="s">
        <v>2038</v>
      </c>
      <c r="C1360" s="3">
        <v>33.9</v>
      </c>
      <c r="D1360" s="5"/>
      <c r="E1360" s="5"/>
      <c r="F1360" s="5"/>
      <c r="G1360" s="4">
        <f t="shared" si="1"/>
        <v>16.95</v>
      </c>
      <c r="H1360" s="4" t="str">
        <f t="shared" si="2"/>
        <v>Sin precio neto</v>
      </c>
      <c r="I1360" s="4" t="str">
        <f t="shared" si="3"/>
        <v>Sin precio neto G.C.</v>
      </c>
      <c r="J1360" s="4">
        <f t="shared" si="4"/>
        <v>16.272</v>
      </c>
      <c r="K1360" s="4">
        <f t="shared" si="5"/>
        <v>16.95</v>
      </c>
      <c r="L1360" s="4">
        <f t="shared" si="6"/>
        <v>16.272</v>
      </c>
    </row>
    <row r="1361">
      <c r="A1361" s="1" t="s">
        <v>2039</v>
      </c>
      <c r="B1361" s="1" t="s">
        <v>2040</v>
      </c>
      <c r="C1361" s="3">
        <v>22.5</v>
      </c>
      <c r="D1361" s="5"/>
      <c r="E1361" s="5"/>
      <c r="F1361" s="5"/>
      <c r="G1361" s="4">
        <f t="shared" si="1"/>
        <v>11.25</v>
      </c>
      <c r="H1361" s="4" t="str">
        <f t="shared" si="2"/>
        <v>Sin precio neto</v>
      </c>
      <c r="I1361" s="4" t="str">
        <f t="shared" si="3"/>
        <v>Sin precio neto G.C.</v>
      </c>
      <c r="J1361" s="4">
        <f t="shared" si="4"/>
        <v>10.8</v>
      </c>
      <c r="K1361" s="4">
        <f t="shared" si="5"/>
        <v>11.25</v>
      </c>
      <c r="L1361" s="4">
        <f t="shared" si="6"/>
        <v>10.8</v>
      </c>
    </row>
    <row r="1362">
      <c r="A1362" s="3">
        <v>1908.0</v>
      </c>
      <c r="B1362" s="1" t="s">
        <v>2041</v>
      </c>
      <c r="C1362" s="3">
        <v>69.5</v>
      </c>
      <c r="D1362" s="5"/>
      <c r="E1362" s="5"/>
      <c r="F1362" s="5"/>
      <c r="G1362" s="4">
        <f t="shared" si="1"/>
        <v>34.75</v>
      </c>
      <c r="H1362" s="4" t="str">
        <f t="shared" si="2"/>
        <v>Sin precio neto</v>
      </c>
      <c r="I1362" s="4" t="str">
        <f t="shared" si="3"/>
        <v>Sin precio neto G.C.</v>
      </c>
      <c r="J1362" s="4">
        <f t="shared" si="4"/>
        <v>33.36</v>
      </c>
      <c r="K1362" s="4">
        <f t="shared" si="5"/>
        <v>34.75</v>
      </c>
      <c r="L1362" s="4">
        <f t="shared" si="6"/>
        <v>33.36</v>
      </c>
    </row>
    <row r="1363">
      <c r="A1363" s="1" t="s">
        <v>2042</v>
      </c>
      <c r="B1363" s="1" t="s">
        <v>2043</v>
      </c>
      <c r="C1363" s="3">
        <v>39.9</v>
      </c>
      <c r="D1363" s="5"/>
      <c r="E1363" s="5"/>
      <c r="F1363" s="5"/>
      <c r="G1363" s="4">
        <f t="shared" si="1"/>
        <v>19.95</v>
      </c>
      <c r="H1363" s="4" t="str">
        <f t="shared" si="2"/>
        <v>Sin precio neto</v>
      </c>
      <c r="I1363" s="4" t="str">
        <f t="shared" si="3"/>
        <v>Sin precio neto G.C.</v>
      </c>
      <c r="J1363" s="4">
        <f t="shared" si="4"/>
        <v>19.152</v>
      </c>
      <c r="K1363" s="4">
        <f t="shared" si="5"/>
        <v>19.95</v>
      </c>
      <c r="L1363" s="4">
        <f t="shared" si="6"/>
        <v>19.152</v>
      </c>
    </row>
    <row r="1364">
      <c r="A1364" s="1" t="s">
        <v>2044</v>
      </c>
      <c r="B1364" s="1" t="s">
        <v>2045</v>
      </c>
      <c r="C1364" s="3">
        <v>39.9</v>
      </c>
      <c r="D1364" s="5"/>
      <c r="E1364" s="5"/>
      <c r="F1364" s="5"/>
      <c r="G1364" s="4">
        <f t="shared" si="1"/>
        <v>19.95</v>
      </c>
      <c r="H1364" s="4" t="str">
        <f t="shared" si="2"/>
        <v>Sin precio neto</v>
      </c>
      <c r="I1364" s="4" t="str">
        <f t="shared" si="3"/>
        <v>Sin precio neto G.C.</v>
      </c>
      <c r="J1364" s="4">
        <f t="shared" si="4"/>
        <v>19.152</v>
      </c>
      <c r="K1364" s="4">
        <f t="shared" si="5"/>
        <v>19.95</v>
      </c>
      <c r="L1364" s="4">
        <f t="shared" si="6"/>
        <v>19.152</v>
      </c>
    </row>
    <row r="1365">
      <c r="A1365" s="3">
        <v>1910.0</v>
      </c>
      <c r="B1365" s="1" t="s">
        <v>2046</v>
      </c>
      <c r="C1365" s="3">
        <v>87.5</v>
      </c>
      <c r="D1365" s="5"/>
      <c r="E1365" s="5"/>
      <c r="F1365" s="5"/>
      <c r="G1365" s="4">
        <f t="shared" si="1"/>
        <v>43.75</v>
      </c>
      <c r="H1365" s="4" t="str">
        <f t="shared" si="2"/>
        <v>Sin precio neto</v>
      </c>
      <c r="I1365" s="4" t="str">
        <f t="shared" si="3"/>
        <v>Sin precio neto G.C.</v>
      </c>
      <c r="J1365" s="4">
        <f t="shared" si="4"/>
        <v>42</v>
      </c>
      <c r="K1365" s="4">
        <f t="shared" si="5"/>
        <v>43.75</v>
      </c>
      <c r="L1365" s="4">
        <f t="shared" si="6"/>
        <v>42</v>
      </c>
    </row>
    <row r="1366">
      <c r="A1366" s="3">
        <v>1912.0</v>
      </c>
      <c r="B1366" s="1" t="s">
        <v>2047</v>
      </c>
      <c r="C1366" s="3">
        <v>15.2</v>
      </c>
      <c r="D1366" s="5"/>
      <c r="E1366" s="5"/>
      <c r="F1366" s="5"/>
      <c r="G1366" s="4">
        <f t="shared" si="1"/>
        <v>7.6</v>
      </c>
      <c r="H1366" s="4" t="str">
        <f t="shared" si="2"/>
        <v>Sin precio neto</v>
      </c>
      <c r="I1366" s="4" t="str">
        <f t="shared" si="3"/>
        <v>Sin precio neto G.C.</v>
      </c>
      <c r="J1366" s="4">
        <f t="shared" si="4"/>
        <v>7.296</v>
      </c>
      <c r="K1366" s="4">
        <f t="shared" si="5"/>
        <v>7.6</v>
      </c>
      <c r="L1366" s="4">
        <f t="shared" si="6"/>
        <v>7.296</v>
      </c>
    </row>
    <row r="1367">
      <c r="A1367" s="1" t="s">
        <v>2048</v>
      </c>
      <c r="B1367" s="1" t="s">
        <v>2049</v>
      </c>
      <c r="C1367" s="3">
        <v>36.0</v>
      </c>
      <c r="D1367" s="5"/>
      <c r="E1367" s="3">
        <v>15.0</v>
      </c>
      <c r="F1367" s="3">
        <v>1.0</v>
      </c>
      <c r="G1367" s="4">
        <f t="shared" si="1"/>
        <v>18</v>
      </c>
      <c r="H1367" s="4" t="str">
        <f t="shared" si="2"/>
        <v>Sin precio neto</v>
      </c>
      <c r="I1367" s="4" t="str">
        <f t="shared" si="3"/>
        <v>Neto G.C.: 15,00 € (a partir de 1 uds.)</v>
      </c>
      <c r="J1367" s="4">
        <f t="shared" si="4"/>
        <v>17.28</v>
      </c>
      <c r="K1367" s="4">
        <f t="shared" si="5"/>
        <v>18</v>
      </c>
      <c r="L1367" s="4">
        <f t="shared" si="6"/>
        <v>17.28</v>
      </c>
    </row>
    <row r="1368">
      <c r="A1368" s="1" t="s">
        <v>2050</v>
      </c>
      <c r="B1368" s="1" t="s">
        <v>2051</v>
      </c>
      <c r="C1368" s="3">
        <v>36.0</v>
      </c>
      <c r="D1368" s="5"/>
      <c r="E1368" s="3">
        <v>15.0</v>
      </c>
      <c r="F1368" s="3">
        <v>1.0</v>
      </c>
      <c r="G1368" s="4">
        <f t="shared" si="1"/>
        <v>18</v>
      </c>
      <c r="H1368" s="4" t="str">
        <f t="shared" si="2"/>
        <v>Sin precio neto</v>
      </c>
      <c r="I1368" s="4" t="str">
        <f t="shared" si="3"/>
        <v>Neto G.C.: 15,00 € (a partir de 1 uds.)</v>
      </c>
      <c r="J1368" s="4">
        <f t="shared" si="4"/>
        <v>17.28</v>
      </c>
      <c r="K1368" s="4">
        <f t="shared" si="5"/>
        <v>18</v>
      </c>
      <c r="L1368" s="4">
        <f t="shared" si="6"/>
        <v>17.28</v>
      </c>
    </row>
    <row r="1369">
      <c r="A1369" s="1" t="s">
        <v>2052</v>
      </c>
      <c r="B1369" s="1" t="s">
        <v>2053</v>
      </c>
      <c r="C1369" s="3">
        <v>36.0</v>
      </c>
      <c r="D1369" s="5"/>
      <c r="E1369" s="3">
        <v>15.0</v>
      </c>
      <c r="F1369" s="3">
        <v>1.0</v>
      </c>
      <c r="G1369" s="4">
        <f t="shared" si="1"/>
        <v>18</v>
      </c>
      <c r="H1369" s="4" t="str">
        <f t="shared" si="2"/>
        <v>Sin precio neto</v>
      </c>
      <c r="I1369" s="4" t="str">
        <f t="shared" si="3"/>
        <v>Neto G.C.: 15,00 € (a partir de 1 uds.)</v>
      </c>
      <c r="J1369" s="4">
        <f t="shared" si="4"/>
        <v>17.28</v>
      </c>
      <c r="K1369" s="4">
        <f t="shared" si="5"/>
        <v>18</v>
      </c>
      <c r="L1369" s="4">
        <f t="shared" si="6"/>
        <v>17.28</v>
      </c>
    </row>
    <row r="1370">
      <c r="A1370" s="3">
        <v>1914.0</v>
      </c>
      <c r="B1370" s="1" t="s">
        <v>2054</v>
      </c>
      <c r="C1370" s="3">
        <v>29.2</v>
      </c>
      <c r="D1370" s="5"/>
      <c r="E1370" s="5"/>
      <c r="F1370" s="5"/>
      <c r="G1370" s="4">
        <f t="shared" si="1"/>
        <v>14.6</v>
      </c>
      <c r="H1370" s="4" t="str">
        <f t="shared" si="2"/>
        <v>Sin precio neto</v>
      </c>
      <c r="I1370" s="4" t="str">
        <f t="shared" si="3"/>
        <v>Sin precio neto G.C.</v>
      </c>
      <c r="J1370" s="4">
        <f t="shared" si="4"/>
        <v>14.016</v>
      </c>
      <c r="K1370" s="4">
        <f t="shared" si="5"/>
        <v>14.6</v>
      </c>
      <c r="L1370" s="4">
        <f t="shared" si="6"/>
        <v>14.016</v>
      </c>
    </row>
    <row r="1371">
      <c r="A1371" s="3">
        <v>1915.0</v>
      </c>
      <c r="B1371" s="1" t="s">
        <v>2055</v>
      </c>
      <c r="C1371" s="3">
        <v>132.0</v>
      </c>
      <c r="D1371" s="5"/>
      <c r="E1371" s="5"/>
      <c r="F1371" s="5"/>
      <c r="G1371" s="4">
        <f t="shared" si="1"/>
        <v>66</v>
      </c>
      <c r="H1371" s="4" t="str">
        <f t="shared" si="2"/>
        <v>Sin precio neto</v>
      </c>
      <c r="I1371" s="4" t="str">
        <f t="shared" si="3"/>
        <v>Sin precio neto G.C.</v>
      </c>
      <c r="J1371" s="4">
        <f t="shared" si="4"/>
        <v>63.36</v>
      </c>
      <c r="K1371" s="4">
        <f t="shared" si="5"/>
        <v>66</v>
      </c>
      <c r="L1371" s="4">
        <f t="shared" si="6"/>
        <v>63.36</v>
      </c>
    </row>
    <row r="1372">
      <c r="A1372" s="1" t="s">
        <v>2056</v>
      </c>
      <c r="B1372" s="1" t="s">
        <v>2057</v>
      </c>
      <c r="C1372" s="3">
        <v>158.2</v>
      </c>
      <c r="D1372" s="5"/>
      <c r="E1372" s="5"/>
      <c r="F1372" s="5"/>
      <c r="G1372" s="4">
        <f t="shared" si="1"/>
        <v>79.1</v>
      </c>
      <c r="H1372" s="4" t="str">
        <f t="shared" si="2"/>
        <v>Sin precio neto</v>
      </c>
      <c r="I1372" s="4" t="str">
        <f t="shared" si="3"/>
        <v>Sin precio neto G.C.</v>
      </c>
      <c r="J1372" s="4">
        <f t="shared" si="4"/>
        <v>75.936</v>
      </c>
      <c r="K1372" s="4">
        <f t="shared" si="5"/>
        <v>79.1</v>
      </c>
      <c r="L1372" s="4">
        <f t="shared" si="6"/>
        <v>75.936</v>
      </c>
    </row>
    <row r="1373">
      <c r="A1373" s="1" t="s">
        <v>2058</v>
      </c>
      <c r="B1373" s="1" t="s">
        <v>2059</v>
      </c>
      <c r="C1373" s="3">
        <v>220.0</v>
      </c>
      <c r="D1373" s="5"/>
      <c r="E1373" s="5"/>
      <c r="F1373" s="5"/>
      <c r="G1373" s="4">
        <f t="shared" si="1"/>
        <v>110</v>
      </c>
      <c r="H1373" s="4" t="str">
        <f t="shared" si="2"/>
        <v>Sin precio neto</v>
      </c>
      <c r="I1373" s="4" t="str">
        <f t="shared" si="3"/>
        <v>Sin precio neto G.C.</v>
      </c>
      <c r="J1373" s="4">
        <f t="shared" si="4"/>
        <v>105.6</v>
      </c>
      <c r="K1373" s="4">
        <f t="shared" si="5"/>
        <v>110</v>
      </c>
      <c r="L1373" s="4">
        <f t="shared" si="6"/>
        <v>105.6</v>
      </c>
    </row>
    <row r="1374">
      <c r="A1374" s="3">
        <v>1916.0</v>
      </c>
      <c r="B1374" s="1" t="s">
        <v>2060</v>
      </c>
      <c r="C1374" s="3">
        <v>38.9</v>
      </c>
      <c r="D1374" s="3">
        <v>18.0</v>
      </c>
      <c r="E1374" s="3">
        <v>17.0</v>
      </c>
      <c r="F1374" s="3">
        <v>1.0</v>
      </c>
      <c r="G1374" s="4">
        <f t="shared" si="1"/>
        <v>19.45</v>
      </c>
      <c r="H1374" s="4" t="str">
        <f t="shared" si="2"/>
        <v>Neto: 18,00 € (a partir de 1 uds.)</v>
      </c>
      <c r="I1374" s="4" t="str">
        <f t="shared" si="3"/>
        <v>Neto G.C.: 17,00 € (a partir de 1 uds.)</v>
      </c>
      <c r="J1374" s="4">
        <f t="shared" si="4"/>
        <v>18.672</v>
      </c>
      <c r="K1374" s="4">
        <f t="shared" si="5"/>
        <v>19.45</v>
      </c>
      <c r="L1374" s="4">
        <f t="shared" si="6"/>
        <v>18.672</v>
      </c>
    </row>
    <row r="1375">
      <c r="A1375" s="3">
        <v>1917.0</v>
      </c>
      <c r="B1375" s="1" t="s">
        <v>2061</v>
      </c>
      <c r="C1375" s="3">
        <v>24.5</v>
      </c>
      <c r="D1375" s="3">
        <v>11.0</v>
      </c>
      <c r="E1375" s="3">
        <v>10.0</v>
      </c>
      <c r="F1375" s="3">
        <v>1.0</v>
      </c>
      <c r="G1375" s="4">
        <f t="shared" si="1"/>
        <v>12.25</v>
      </c>
      <c r="H1375" s="4" t="str">
        <f t="shared" si="2"/>
        <v>Neto: 11,00 € (a partir de 1 uds.)</v>
      </c>
      <c r="I1375" s="4" t="str">
        <f t="shared" si="3"/>
        <v>Neto G.C.: 10,00 € (a partir de 1 uds.)</v>
      </c>
      <c r="J1375" s="4">
        <f t="shared" si="4"/>
        <v>11.76</v>
      </c>
      <c r="K1375" s="4">
        <f t="shared" si="5"/>
        <v>12.25</v>
      </c>
      <c r="L1375" s="4">
        <f t="shared" si="6"/>
        <v>11.76</v>
      </c>
    </row>
    <row r="1376">
      <c r="A1376" s="3">
        <v>1919.0</v>
      </c>
      <c r="B1376" s="1" t="s">
        <v>2062</v>
      </c>
      <c r="C1376" s="3">
        <v>199.0</v>
      </c>
      <c r="D1376" s="5"/>
      <c r="E1376" s="5"/>
      <c r="F1376" s="5"/>
      <c r="G1376" s="4">
        <f t="shared" si="1"/>
        <v>99.5</v>
      </c>
      <c r="H1376" s="4" t="str">
        <f t="shared" si="2"/>
        <v>Sin precio neto</v>
      </c>
      <c r="I1376" s="4" t="str">
        <f t="shared" si="3"/>
        <v>Sin precio neto G.C.</v>
      </c>
      <c r="J1376" s="4">
        <f t="shared" si="4"/>
        <v>95.52</v>
      </c>
      <c r="K1376" s="4">
        <f t="shared" si="5"/>
        <v>99.5</v>
      </c>
      <c r="L1376" s="4">
        <f t="shared" si="6"/>
        <v>95.52</v>
      </c>
    </row>
    <row r="1377">
      <c r="A1377" s="1" t="s">
        <v>2063</v>
      </c>
      <c r="B1377" s="1" t="s">
        <v>2064</v>
      </c>
      <c r="C1377" s="3">
        <v>112.0</v>
      </c>
      <c r="D1377" s="3">
        <v>49.5</v>
      </c>
      <c r="E1377" s="3">
        <v>49.5</v>
      </c>
      <c r="F1377" s="3">
        <v>40.0</v>
      </c>
      <c r="G1377" s="4">
        <f t="shared" si="1"/>
        <v>56</v>
      </c>
      <c r="H1377" s="4" t="str">
        <f t="shared" si="2"/>
        <v>Neto: 49,50 € (a partir de 40 uds.)</v>
      </c>
      <c r="I1377" s="4" t="str">
        <f t="shared" si="3"/>
        <v>Neto G.C.: 49,50 € (a partir de 40 uds.)</v>
      </c>
      <c r="J1377" s="4">
        <f t="shared" si="4"/>
        <v>53.76</v>
      </c>
      <c r="K1377" s="4">
        <f t="shared" si="5"/>
        <v>56</v>
      </c>
      <c r="L1377" s="4">
        <f t="shared" si="6"/>
        <v>53.76</v>
      </c>
    </row>
    <row r="1378">
      <c r="A1378" s="1" t="s">
        <v>2065</v>
      </c>
      <c r="B1378" s="1" t="s">
        <v>2066</v>
      </c>
      <c r="C1378" s="3">
        <v>112.0</v>
      </c>
      <c r="D1378" s="3">
        <v>49.5</v>
      </c>
      <c r="E1378" s="3">
        <v>49.5</v>
      </c>
      <c r="F1378" s="3">
        <v>40.0</v>
      </c>
      <c r="G1378" s="4">
        <f t="shared" si="1"/>
        <v>56</v>
      </c>
      <c r="H1378" s="4" t="str">
        <f t="shared" si="2"/>
        <v>Neto: 49,50 € (a partir de 40 uds.)</v>
      </c>
      <c r="I1378" s="4" t="str">
        <f t="shared" si="3"/>
        <v>Neto G.C.: 49,50 € (a partir de 40 uds.)</v>
      </c>
      <c r="J1378" s="4">
        <f t="shared" si="4"/>
        <v>53.76</v>
      </c>
      <c r="K1378" s="4">
        <f t="shared" si="5"/>
        <v>56</v>
      </c>
      <c r="L1378" s="4">
        <f t="shared" si="6"/>
        <v>53.76</v>
      </c>
    </row>
    <row r="1379">
      <c r="A1379" s="1" t="s">
        <v>2067</v>
      </c>
      <c r="B1379" s="1" t="s">
        <v>2068</v>
      </c>
      <c r="C1379" s="3">
        <v>112.0</v>
      </c>
      <c r="D1379" s="3">
        <v>49.5</v>
      </c>
      <c r="E1379" s="3">
        <v>49.5</v>
      </c>
      <c r="F1379" s="3">
        <v>40.0</v>
      </c>
      <c r="G1379" s="4">
        <f t="shared" si="1"/>
        <v>56</v>
      </c>
      <c r="H1379" s="4" t="str">
        <f t="shared" si="2"/>
        <v>Neto: 49,50 € (a partir de 40 uds.)</v>
      </c>
      <c r="I1379" s="4" t="str">
        <f t="shared" si="3"/>
        <v>Neto G.C.: 49,50 € (a partir de 40 uds.)</v>
      </c>
      <c r="J1379" s="4">
        <f t="shared" si="4"/>
        <v>53.76</v>
      </c>
      <c r="K1379" s="4">
        <f t="shared" si="5"/>
        <v>56</v>
      </c>
      <c r="L1379" s="4">
        <f t="shared" si="6"/>
        <v>53.76</v>
      </c>
    </row>
    <row r="1380">
      <c r="A1380" s="1" t="s">
        <v>2069</v>
      </c>
      <c r="B1380" s="1" t="s">
        <v>2070</v>
      </c>
      <c r="C1380" s="3">
        <v>112.0</v>
      </c>
      <c r="D1380" s="3">
        <v>49.5</v>
      </c>
      <c r="E1380" s="3">
        <v>49.5</v>
      </c>
      <c r="F1380" s="3">
        <v>40.0</v>
      </c>
      <c r="G1380" s="4">
        <f t="shared" si="1"/>
        <v>56</v>
      </c>
      <c r="H1380" s="4" t="str">
        <f t="shared" si="2"/>
        <v>Neto: 49,50 € (a partir de 40 uds.)</v>
      </c>
      <c r="I1380" s="4" t="str">
        <f t="shared" si="3"/>
        <v>Neto G.C.: 49,50 € (a partir de 40 uds.)</v>
      </c>
      <c r="J1380" s="4">
        <f t="shared" si="4"/>
        <v>53.76</v>
      </c>
      <c r="K1380" s="4">
        <f t="shared" si="5"/>
        <v>56</v>
      </c>
      <c r="L1380" s="4">
        <f t="shared" si="6"/>
        <v>53.76</v>
      </c>
    </row>
    <row r="1381">
      <c r="A1381" s="1" t="s">
        <v>2071</v>
      </c>
      <c r="B1381" s="1" t="s">
        <v>2072</v>
      </c>
      <c r="C1381" s="3">
        <v>112.0</v>
      </c>
      <c r="D1381" s="3">
        <v>49.5</v>
      </c>
      <c r="E1381" s="3">
        <v>49.5</v>
      </c>
      <c r="F1381" s="3">
        <v>40.0</v>
      </c>
      <c r="G1381" s="4">
        <f t="shared" si="1"/>
        <v>56</v>
      </c>
      <c r="H1381" s="4" t="str">
        <f t="shared" si="2"/>
        <v>Neto: 49,50 € (a partir de 40 uds.)</v>
      </c>
      <c r="I1381" s="4" t="str">
        <f t="shared" si="3"/>
        <v>Neto G.C.: 49,50 € (a partir de 40 uds.)</v>
      </c>
      <c r="J1381" s="4">
        <f t="shared" si="4"/>
        <v>53.76</v>
      </c>
      <c r="K1381" s="4">
        <f t="shared" si="5"/>
        <v>56</v>
      </c>
      <c r="L1381" s="4">
        <f t="shared" si="6"/>
        <v>53.76</v>
      </c>
    </row>
    <row r="1382">
      <c r="A1382" s="1" t="s">
        <v>2073</v>
      </c>
      <c r="B1382" s="1" t="s">
        <v>2074</v>
      </c>
      <c r="C1382" s="3">
        <v>112.0</v>
      </c>
      <c r="D1382" s="3">
        <v>49.5</v>
      </c>
      <c r="E1382" s="3">
        <v>49.5</v>
      </c>
      <c r="F1382" s="3">
        <v>40.0</v>
      </c>
      <c r="G1382" s="4">
        <f t="shared" si="1"/>
        <v>56</v>
      </c>
      <c r="H1382" s="4" t="str">
        <f t="shared" si="2"/>
        <v>Neto: 49,50 € (a partir de 40 uds.)</v>
      </c>
      <c r="I1382" s="4" t="str">
        <f t="shared" si="3"/>
        <v>Neto G.C.: 49,50 € (a partir de 40 uds.)</v>
      </c>
      <c r="J1382" s="4">
        <f t="shared" si="4"/>
        <v>53.76</v>
      </c>
      <c r="K1382" s="4">
        <f t="shared" si="5"/>
        <v>56</v>
      </c>
      <c r="L1382" s="4">
        <f t="shared" si="6"/>
        <v>53.76</v>
      </c>
    </row>
    <row r="1383">
      <c r="A1383" s="3">
        <v>1925.0</v>
      </c>
      <c r="B1383" s="1" t="s">
        <v>2075</v>
      </c>
      <c r="C1383" s="3">
        <v>158.0</v>
      </c>
      <c r="D1383" s="5"/>
      <c r="E1383" s="5"/>
      <c r="F1383" s="5"/>
      <c r="G1383" s="4">
        <f t="shared" si="1"/>
        <v>79</v>
      </c>
      <c r="H1383" s="4" t="str">
        <f t="shared" si="2"/>
        <v>Sin precio neto</v>
      </c>
      <c r="I1383" s="4" t="str">
        <f t="shared" si="3"/>
        <v>Sin precio neto G.C.</v>
      </c>
      <c r="J1383" s="4">
        <f t="shared" si="4"/>
        <v>75.84</v>
      </c>
      <c r="K1383" s="4">
        <f t="shared" si="5"/>
        <v>79</v>
      </c>
      <c r="L1383" s="4">
        <f t="shared" si="6"/>
        <v>75.84</v>
      </c>
    </row>
    <row r="1384">
      <c r="A1384" s="1" t="s">
        <v>2076</v>
      </c>
      <c r="B1384" s="1" t="s">
        <v>2077</v>
      </c>
      <c r="C1384" s="3">
        <v>168.0</v>
      </c>
      <c r="D1384" s="5"/>
      <c r="E1384" s="5"/>
      <c r="F1384" s="5"/>
      <c r="G1384" s="4">
        <f t="shared" si="1"/>
        <v>84</v>
      </c>
      <c r="H1384" s="4" t="str">
        <f t="shared" si="2"/>
        <v>Sin precio neto</v>
      </c>
      <c r="I1384" s="4" t="str">
        <f t="shared" si="3"/>
        <v>Sin precio neto G.C.</v>
      </c>
      <c r="J1384" s="4">
        <f t="shared" si="4"/>
        <v>80.64</v>
      </c>
      <c r="K1384" s="4">
        <f t="shared" si="5"/>
        <v>84</v>
      </c>
      <c r="L1384" s="4">
        <f t="shared" si="6"/>
        <v>80.64</v>
      </c>
    </row>
    <row r="1385">
      <c r="A1385" s="1" t="s">
        <v>2078</v>
      </c>
      <c r="B1385" s="1" t="s">
        <v>2079</v>
      </c>
      <c r="C1385" s="3">
        <v>398.0</v>
      </c>
      <c r="D1385" s="5"/>
      <c r="E1385" s="5"/>
      <c r="F1385" s="5"/>
      <c r="G1385" s="4">
        <f t="shared" si="1"/>
        <v>199</v>
      </c>
      <c r="H1385" s="4" t="str">
        <f t="shared" si="2"/>
        <v>Sin precio neto</v>
      </c>
      <c r="I1385" s="4" t="str">
        <f t="shared" si="3"/>
        <v>Sin precio neto G.C.</v>
      </c>
      <c r="J1385" s="4">
        <f t="shared" si="4"/>
        <v>191.04</v>
      </c>
      <c r="K1385" s="4">
        <f t="shared" si="5"/>
        <v>199</v>
      </c>
      <c r="L1385" s="4">
        <f t="shared" si="6"/>
        <v>191.04</v>
      </c>
    </row>
    <row r="1386">
      <c r="A1386" s="1" t="s">
        <v>2080</v>
      </c>
      <c r="B1386" s="1" t="s">
        <v>2081</v>
      </c>
      <c r="C1386" s="3">
        <v>75.0</v>
      </c>
      <c r="D1386" s="5"/>
      <c r="E1386" s="5"/>
      <c r="F1386" s="5"/>
      <c r="G1386" s="4">
        <f t="shared" si="1"/>
        <v>37.5</v>
      </c>
      <c r="H1386" s="4" t="str">
        <f t="shared" si="2"/>
        <v>Sin precio neto</v>
      </c>
      <c r="I1386" s="4" t="str">
        <f t="shared" si="3"/>
        <v>Sin precio neto G.C.</v>
      </c>
      <c r="J1386" s="4">
        <f t="shared" si="4"/>
        <v>36</v>
      </c>
      <c r="K1386" s="4">
        <f t="shared" si="5"/>
        <v>37.5</v>
      </c>
      <c r="L1386" s="4">
        <f t="shared" si="6"/>
        <v>36</v>
      </c>
    </row>
    <row r="1387">
      <c r="A1387" s="1" t="s">
        <v>2082</v>
      </c>
      <c r="B1387" s="1" t="s">
        <v>2083</v>
      </c>
      <c r="C1387" s="3">
        <v>75.0</v>
      </c>
      <c r="D1387" s="5"/>
      <c r="E1387" s="5"/>
      <c r="F1387" s="5"/>
      <c r="G1387" s="4">
        <f t="shared" si="1"/>
        <v>37.5</v>
      </c>
      <c r="H1387" s="4" t="str">
        <f t="shared" si="2"/>
        <v>Sin precio neto</v>
      </c>
      <c r="I1387" s="4" t="str">
        <f t="shared" si="3"/>
        <v>Sin precio neto G.C.</v>
      </c>
      <c r="J1387" s="4">
        <f t="shared" si="4"/>
        <v>36</v>
      </c>
      <c r="K1387" s="4">
        <f t="shared" si="5"/>
        <v>37.5</v>
      </c>
      <c r="L1387" s="4">
        <f t="shared" si="6"/>
        <v>36</v>
      </c>
    </row>
    <row r="1388">
      <c r="A1388" s="1" t="s">
        <v>2084</v>
      </c>
      <c r="B1388" s="1" t="s">
        <v>2085</v>
      </c>
      <c r="C1388" s="3">
        <v>75.0</v>
      </c>
      <c r="D1388" s="5"/>
      <c r="E1388" s="5"/>
      <c r="F1388" s="5"/>
      <c r="G1388" s="4">
        <f t="shared" si="1"/>
        <v>37.5</v>
      </c>
      <c r="H1388" s="4" t="str">
        <f t="shared" si="2"/>
        <v>Sin precio neto</v>
      </c>
      <c r="I1388" s="4" t="str">
        <f t="shared" si="3"/>
        <v>Sin precio neto G.C.</v>
      </c>
      <c r="J1388" s="4">
        <f t="shared" si="4"/>
        <v>36</v>
      </c>
      <c r="K1388" s="4">
        <f t="shared" si="5"/>
        <v>37.5</v>
      </c>
      <c r="L1388" s="4">
        <f t="shared" si="6"/>
        <v>36</v>
      </c>
    </row>
    <row r="1389">
      <c r="A1389" s="1" t="s">
        <v>2086</v>
      </c>
      <c r="B1389" s="1" t="s">
        <v>2087</v>
      </c>
      <c r="C1389" s="3">
        <v>75.0</v>
      </c>
      <c r="D1389" s="5"/>
      <c r="E1389" s="5"/>
      <c r="F1389" s="5"/>
      <c r="G1389" s="4">
        <f t="shared" si="1"/>
        <v>37.5</v>
      </c>
      <c r="H1389" s="4" t="str">
        <f t="shared" si="2"/>
        <v>Sin precio neto</v>
      </c>
      <c r="I1389" s="4" t="str">
        <f t="shared" si="3"/>
        <v>Sin precio neto G.C.</v>
      </c>
      <c r="J1389" s="4">
        <f t="shared" si="4"/>
        <v>36</v>
      </c>
      <c r="K1389" s="4">
        <f t="shared" si="5"/>
        <v>37.5</v>
      </c>
      <c r="L1389" s="4">
        <f t="shared" si="6"/>
        <v>36</v>
      </c>
    </row>
    <row r="1390">
      <c r="A1390" s="1" t="s">
        <v>2088</v>
      </c>
      <c r="B1390" s="1" t="s">
        <v>2089</v>
      </c>
      <c r="C1390" s="3">
        <v>108.0</v>
      </c>
      <c r="D1390" s="5"/>
      <c r="E1390" s="5"/>
      <c r="F1390" s="5"/>
      <c r="G1390" s="4">
        <f t="shared" si="1"/>
        <v>54</v>
      </c>
      <c r="H1390" s="4" t="str">
        <f t="shared" si="2"/>
        <v>Sin precio neto</v>
      </c>
      <c r="I1390" s="4" t="str">
        <f t="shared" si="3"/>
        <v>Sin precio neto G.C.</v>
      </c>
      <c r="J1390" s="4">
        <f t="shared" si="4"/>
        <v>51.84</v>
      </c>
      <c r="K1390" s="4">
        <f t="shared" si="5"/>
        <v>54</v>
      </c>
      <c r="L1390" s="4">
        <f t="shared" si="6"/>
        <v>51.84</v>
      </c>
    </row>
    <row r="1391">
      <c r="A1391" s="1" t="s">
        <v>2090</v>
      </c>
      <c r="B1391" s="1" t="s">
        <v>2091</v>
      </c>
      <c r="C1391" s="3">
        <v>82.0</v>
      </c>
      <c r="D1391" s="3">
        <v>38.0</v>
      </c>
      <c r="E1391" s="3">
        <v>38.0</v>
      </c>
      <c r="F1391" s="3">
        <v>40.0</v>
      </c>
      <c r="G1391" s="4">
        <f t="shared" si="1"/>
        <v>41</v>
      </c>
      <c r="H1391" s="4" t="str">
        <f t="shared" si="2"/>
        <v>Neto: 38,00 € (a partir de 40 uds.)</v>
      </c>
      <c r="I1391" s="4" t="str">
        <f t="shared" si="3"/>
        <v>Neto G.C.: 38,00 € (a partir de 40 uds.)</v>
      </c>
      <c r="J1391" s="4">
        <f t="shared" si="4"/>
        <v>39.36</v>
      </c>
      <c r="K1391" s="4">
        <f t="shared" si="5"/>
        <v>41</v>
      </c>
      <c r="L1391" s="4">
        <f t="shared" si="6"/>
        <v>39.36</v>
      </c>
    </row>
    <row r="1392">
      <c r="A1392" s="1" t="s">
        <v>2092</v>
      </c>
      <c r="B1392" s="1" t="s">
        <v>2093</v>
      </c>
      <c r="C1392" s="3">
        <v>82.0</v>
      </c>
      <c r="D1392" s="3">
        <v>38.0</v>
      </c>
      <c r="E1392" s="3">
        <v>38.0</v>
      </c>
      <c r="F1392" s="3">
        <v>40.0</v>
      </c>
      <c r="G1392" s="4">
        <f t="shared" si="1"/>
        <v>41</v>
      </c>
      <c r="H1392" s="4" t="str">
        <f t="shared" si="2"/>
        <v>Neto: 38,00 € (a partir de 40 uds.)</v>
      </c>
      <c r="I1392" s="4" t="str">
        <f t="shared" si="3"/>
        <v>Neto G.C.: 38,00 € (a partir de 40 uds.)</v>
      </c>
      <c r="J1392" s="4">
        <f t="shared" si="4"/>
        <v>39.36</v>
      </c>
      <c r="K1392" s="4">
        <f t="shared" si="5"/>
        <v>41</v>
      </c>
      <c r="L1392" s="4">
        <f t="shared" si="6"/>
        <v>39.36</v>
      </c>
    </row>
    <row r="1393">
      <c r="A1393" s="1" t="s">
        <v>2094</v>
      </c>
      <c r="B1393" s="1" t="s">
        <v>2095</v>
      </c>
      <c r="C1393" s="3">
        <v>82.0</v>
      </c>
      <c r="D1393" s="3">
        <v>38.0</v>
      </c>
      <c r="E1393" s="3">
        <v>38.0</v>
      </c>
      <c r="F1393" s="3">
        <v>40.0</v>
      </c>
      <c r="G1393" s="4">
        <f t="shared" si="1"/>
        <v>41</v>
      </c>
      <c r="H1393" s="4" t="str">
        <f t="shared" si="2"/>
        <v>Neto: 38,00 € (a partir de 40 uds.)</v>
      </c>
      <c r="I1393" s="4" t="str">
        <f t="shared" si="3"/>
        <v>Neto G.C.: 38,00 € (a partir de 40 uds.)</v>
      </c>
      <c r="J1393" s="4">
        <f t="shared" si="4"/>
        <v>39.36</v>
      </c>
      <c r="K1393" s="4">
        <f t="shared" si="5"/>
        <v>41</v>
      </c>
      <c r="L1393" s="4">
        <f t="shared" si="6"/>
        <v>39.36</v>
      </c>
    </row>
    <row r="1394">
      <c r="A1394" s="1" t="s">
        <v>2096</v>
      </c>
      <c r="B1394" s="1" t="s">
        <v>2097</v>
      </c>
      <c r="C1394" s="3">
        <v>82.0</v>
      </c>
      <c r="D1394" s="3">
        <v>38.0</v>
      </c>
      <c r="E1394" s="3">
        <v>38.0</v>
      </c>
      <c r="F1394" s="3">
        <v>40.0</v>
      </c>
      <c r="G1394" s="4">
        <f t="shared" si="1"/>
        <v>41</v>
      </c>
      <c r="H1394" s="4" t="str">
        <f t="shared" si="2"/>
        <v>Neto: 38,00 € (a partir de 40 uds.)</v>
      </c>
      <c r="I1394" s="4" t="str">
        <f t="shared" si="3"/>
        <v>Neto G.C.: 38,00 € (a partir de 40 uds.)</v>
      </c>
      <c r="J1394" s="4">
        <f t="shared" si="4"/>
        <v>39.36</v>
      </c>
      <c r="K1394" s="4">
        <f t="shared" si="5"/>
        <v>41</v>
      </c>
      <c r="L1394" s="4">
        <f t="shared" si="6"/>
        <v>39.36</v>
      </c>
    </row>
    <row r="1395">
      <c r="A1395" s="3">
        <v>1931.0</v>
      </c>
      <c r="B1395" s="1" t="s">
        <v>2098</v>
      </c>
      <c r="C1395" s="3">
        <v>48.5</v>
      </c>
      <c r="D1395" s="5"/>
      <c r="E1395" s="5"/>
      <c r="F1395" s="5"/>
      <c r="G1395" s="4">
        <f t="shared" si="1"/>
        <v>24.25</v>
      </c>
      <c r="H1395" s="4" t="str">
        <f t="shared" si="2"/>
        <v>Sin precio neto</v>
      </c>
      <c r="I1395" s="4" t="str">
        <f t="shared" si="3"/>
        <v>Sin precio neto G.C.</v>
      </c>
      <c r="J1395" s="4">
        <f t="shared" si="4"/>
        <v>23.28</v>
      </c>
      <c r="K1395" s="4">
        <f t="shared" si="5"/>
        <v>24.25</v>
      </c>
      <c r="L1395" s="4">
        <f t="shared" si="6"/>
        <v>23.28</v>
      </c>
    </row>
    <row r="1396">
      <c r="A1396" s="3">
        <v>1932.0</v>
      </c>
      <c r="B1396" s="1" t="s">
        <v>2099</v>
      </c>
      <c r="C1396" s="3">
        <v>48.5</v>
      </c>
      <c r="D1396" s="5"/>
      <c r="E1396" s="5"/>
      <c r="F1396" s="5"/>
      <c r="G1396" s="4">
        <f t="shared" si="1"/>
        <v>24.25</v>
      </c>
      <c r="H1396" s="4" t="str">
        <f t="shared" si="2"/>
        <v>Sin precio neto</v>
      </c>
      <c r="I1396" s="4" t="str">
        <f t="shared" si="3"/>
        <v>Sin precio neto G.C.</v>
      </c>
      <c r="J1396" s="4">
        <f t="shared" si="4"/>
        <v>23.28</v>
      </c>
      <c r="K1396" s="4">
        <f t="shared" si="5"/>
        <v>24.25</v>
      </c>
      <c r="L1396" s="4">
        <f t="shared" si="6"/>
        <v>23.28</v>
      </c>
    </row>
    <row r="1397">
      <c r="A1397" s="3">
        <v>1933.0</v>
      </c>
      <c r="B1397" s="1" t="s">
        <v>2100</v>
      </c>
      <c r="C1397" s="3">
        <v>32.5</v>
      </c>
      <c r="D1397" s="5"/>
      <c r="E1397" s="5"/>
      <c r="F1397" s="5"/>
      <c r="G1397" s="4">
        <f t="shared" si="1"/>
        <v>16.25</v>
      </c>
      <c r="H1397" s="4" t="str">
        <f t="shared" si="2"/>
        <v>Sin precio neto</v>
      </c>
      <c r="I1397" s="4" t="str">
        <f t="shared" si="3"/>
        <v>Sin precio neto G.C.</v>
      </c>
      <c r="J1397" s="4">
        <f t="shared" si="4"/>
        <v>15.6</v>
      </c>
      <c r="K1397" s="4">
        <f t="shared" si="5"/>
        <v>16.25</v>
      </c>
      <c r="L1397" s="4">
        <f t="shared" si="6"/>
        <v>15.6</v>
      </c>
    </row>
    <row r="1398">
      <c r="A1398" s="3">
        <v>1934.0</v>
      </c>
      <c r="B1398" s="1" t="s">
        <v>2101</v>
      </c>
      <c r="C1398" s="3">
        <v>32.5</v>
      </c>
      <c r="D1398" s="5"/>
      <c r="E1398" s="5"/>
      <c r="F1398" s="5"/>
      <c r="G1398" s="4">
        <f t="shared" si="1"/>
        <v>16.25</v>
      </c>
      <c r="H1398" s="4" t="str">
        <f t="shared" si="2"/>
        <v>Sin precio neto</v>
      </c>
      <c r="I1398" s="4" t="str">
        <f t="shared" si="3"/>
        <v>Sin precio neto G.C.</v>
      </c>
      <c r="J1398" s="4">
        <f t="shared" si="4"/>
        <v>15.6</v>
      </c>
      <c r="K1398" s="4">
        <f t="shared" si="5"/>
        <v>16.25</v>
      </c>
      <c r="L1398" s="4">
        <f t="shared" si="6"/>
        <v>15.6</v>
      </c>
    </row>
    <row r="1399">
      <c r="A1399" s="3">
        <v>1937.0</v>
      </c>
      <c r="B1399" s="1" t="s">
        <v>2102</v>
      </c>
      <c r="C1399" s="3">
        <v>145.0</v>
      </c>
      <c r="D1399" s="5"/>
      <c r="E1399" s="5"/>
      <c r="F1399" s="5"/>
      <c r="G1399" s="4">
        <f t="shared" si="1"/>
        <v>72.5</v>
      </c>
      <c r="H1399" s="4" t="str">
        <f t="shared" si="2"/>
        <v>Sin precio neto</v>
      </c>
      <c r="I1399" s="4" t="str">
        <f t="shared" si="3"/>
        <v>Sin precio neto G.C.</v>
      </c>
      <c r="J1399" s="4">
        <f t="shared" si="4"/>
        <v>69.6</v>
      </c>
      <c r="K1399" s="4">
        <f t="shared" si="5"/>
        <v>72.5</v>
      </c>
      <c r="L1399" s="4">
        <f t="shared" si="6"/>
        <v>69.6</v>
      </c>
    </row>
    <row r="1400">
      <c r="A1400" s="3">
        <v>1938.0</v>
      </c>
      <c r="B1400" s="1" t="s">
        <v>2103</v>
      </c>
      <c r="C1400" s="3">
        <v>148.0</v>
      </c>
      <c r="D1400" s="5"/>
      <c r="E1400" s="5"/>
      <c r="F1400" s="5"/>
      <c r="G1400" s="4">
        <f t="shared" si="1"/>
        <v>74</v>
      </c>
      <c r="H1400" s="4" t="str">
        <f t="shared" si="2"/>
        <v>Sin precio neto</v>
      </c>
      <c r="I1400" s="4" t="str">
        <f t="shared" si="3"/>
        <v>Sin precio neto G.C.</v>
      </c>
      <c r="J1400" s="4">
        <f t="shared" si="4"/>
        <v>71.04</v>
      </c>
      <c r="K1400" s="4">
        <f t="shared" si="5"/>
        <v>74</v>
      </c>
      <c r="L1400" s="4">
        <f t="shared" si="6"/>
        <v>71.04</v>
      </c>
    </row>
    <row r="1401">
      <c r="A1401" s="1" t="s">
        <v>2104</v>
      </c>
      <c r="B1401" s="1" t="s">
        <v>2105</v>
      </c>
      <c r="C1401" s="3">
        <v>45.0</v>
      </c>
      <c r="D1401" s="5"/>
      <c r="E1401" s="5"/>
      <c r="F1401" s="5"/>
      <c r="G1401" s="4">
        <f t="shared" si="1"/>
        <v>22.5</v>
      </c>
      <c r="H1401" s="4" t="str">
        <f t="shared" si="2"/>
        <v>Sin precio neto</v>
      </c>
      <c r="I1401" s="4" t="str">
        <f t="shared" si="3"/>
        <v>Sin precio neto G.C.</v>
      </c>
      <c r="J1401" s="4">
        <f t="shared" si="4"/>
        <v>21.6</v>
      </c>
      <c r="K1401" s="4">
        <f t="shared" si="5"/>
        <v>22.5</v>
      </c>
      <c r="L1401" s="4">
        <f t="shared" si="6"/>
        <v>21.6</v>
      </c>
    </row>
    <row r="1402">
      <c r="A1402" s="1" t="s">
        <v>2106</v>
      </c>
      <c r="B1402" s="1" t="s">
        <v>2107</v>
      </c>
      <c r="C1402" s="3">
        <v>98.0</v>
      </c>
      <c r="D1402" s="5"/>
      <c r="E1402" s="5"/>
      <c r="F1402" s="5"/>
      <c r="G1402" s="4">
        <f t="shared" si="1"/>
        <v>49</v>
      </c>
      <c r="H1402" s="4" t="str">
        <f t="shared" si="2"/>
        <v>Sin precio neto</v>
      </c>
      <c r="I1402" s="4" t="str">
        <f t="shared" si="3"/>
        <v>Sin precio neto G.C.</v>
      </c>
      <c r="J1402" s="4">
        <f t="shared" si="4"/>
        <v>47.04</v>
      </c>
      <c r="K1402" s="4">
        <f t="shared" si="5"/>
        <v>49</v>
      </c>
      <c r="L1402" s="4">
        <f t="shared" si="6"/>
        <v>47.04</v>
      </c>
    </row>
    <row r="1403">
      <c r="A1403" s="1" t="s">
        <v>2108</v>
      </c>
      <c r="B1403" s="1" t="s">
        <v>2109</v>
      </c>
      <c r="C1403" s="3">
        <v>112.0</v>
      </c>
      <c r="D1403" s="5"/>
      <c r="E1403" s="5"/>
      <c r="F1403" s="5"/>
      <c r="G1403" s="4">
        <f t="shared" si="1"/>
        <v>56</v>
      </c>
      <c r="H1403" s="4" t="str">
        <f t="shared" si="2"/>
        <v>Sin precio neto</v>
      </c>
      <c r="I1403" s="4" t="str">
        <f t="shared" si="3"/>
        <v>Sin precio neto G.C.</v>
      </c>
      <c r="J1403" s="4">
        <f t="shared" si="4"/>
        <v>53.76</v>
      </c>
      <c r="K1403" s="4">
        <f t="shared" si="5"/>
        <v>56</v>
      </c>
      <c r="L1403" s="4">
        <f t="shared" si="6"/>
        <v>53.76</v>
      </c>
    </row>
    <row r="1404">
      <c r="A1404" s="1" t="s">
        <v>2110</v>
      </c>
      <c r="B1404" s="1" t="s">
        <v>2111</v>
      </c>
      <c r="C1404" s="3">
        <v>112.0</v>
      </c>
      <c r="D1404" s="5"/>
      <c r="E1404" s="5"/>
      <c r="F1404" s="5"/>
      <c r="G1404" s="4">
        <f t="shared" si="1"/>
        <v>56</v>
      </c>
      <c r="H1404" s="4" t="str">
        <f t="shared" si="2"/>
        <v>Sin precio neto</v>
      </c>
      <c r="I1404" s="4" t="str">
        <f t="shared" si="3"/>
        <v>Sin precio neto G.C.</v>
      </c>
      <c r="J1404" s="4">
        <f t="shared" si="4"/>
        <v>53.76</v>
      </c>
      <c r="K1404" s="4">
        <f t="shared" si="5"/>
        <v>56</v>
      </c>
      <c r="L1404" s="4">
        <f t="shared" si="6"/>
        <v>53.76</v>
      </c>
    </row>
    <row r="1405">
      <c r="A1405" s="1" t="s">
        <v>2112</v>
      </c>
      <c r="B1405" s="1" t="s">
        <v>2113</v>
      </c>
      <c r="C1405" s="3">
        <v>88.0</v>
      </c>
      <c r="D1405" s="5"/>
      <c r="E1405" s="5"/>
      <c r="F1405" s="5"/>
      <c r="G1405" s="4">
        <f t="shared" si="1"/>
        <v>44</v>
      </c>
      <c r="H1405" s="4" t="str">
        <f t="shared" si="2"/>
        <v>Sin precio neto</v>
      </c>
      <c r="I1405" s="4" t="str">
        <f t="shared" si="3"/>
        <v>Sin precio neto G.C.</v>
      </c>
      <c r="J1405" s="4">
        <f t="shared" si="4"/>
        <v>42.24</v>
      </c>
      <c r="K1405" s="4">
        <f t="shared" si="5"/>
        <v>44</v>
      </c>
      <c r="L1405" s="4">
        <f t="shared" si="6"/>
        <v>42.24</v>
      </c>
    </row>
    <row r="1406">
      <c r="A1406" s="1" t="s">
        <v>2114</v>
      </c>
      <c r="B1406" s="1" t="s">
        <v>2115</v>
      </c>
      <c r="C1406" s="3">
        <v>88.0</v>
      </c>
      <c r="D1406" s="5"/>
      <c r="E1406" s="5"/>
      <c r="F1406" s="5"/>
      <c r="G1406" s="4">
        <f t="shared" si="1"/>
        <v>44</v>
      </c>
      <c r="H1406" s="4" t="str">
        <f t="shared" si="2"/>
        <v>Sin precio neto</v>
      </c>
      <c r="I1406" s="4" t="str">
        <f t="shared" si="3"/>
        <v>Sin precio neto G.C.</v>
      </c>
      <c r="J1406" s="4">
        <f t="shared" si="4"/>
        <v>42.24</v>
      </c>
      <c r="K1406" s="4">
        <f t="shared" si="5"/>
        <v>44</v>
      </c>
      <c r="L1406" s="4">
        <f t="shared" si="6"/>
        <v>42.24</v>
      </c>
    </row>
    <row r="1407">
      <c r="A1407" s="1" t="s">
        <v>2116</v>
      </c>
      <c r="B1407" s="1" t="s">
        <v>2117</v>
      </c>
      <c r="C1407" s="3">
        <v>94.0</v>
      </c>
      <c r="D1407" s="5"/>
      <c r="E1407" s="5"/>
      <c r="F1407" s="5"/>
      <c r="G1407" s="4">
        <f t="shared" si="1"/>
        <v>47</v>
      </c>
      <c r="H1407" s="4" t="str">
        <f t="shared" si="2"/>
        <v>Sin precio neto</v>
      </c>
      <c r="I1407" s="4" t="str">
        <f t="shared" si="3"/>
        <v>Sin precio neto G.C.</v>
      </c>
      <c r="J1407" s="4">
        <f t="shared" si="4"/>
        <v>45.12</v>
      </c>
      <c r="K1407" s="4">
        <f t="shared" si="5"/>
        <v>47</v>
      </c>
      <c r="L1407" s="4">
        <f t="shared" si="6"/>
        <v>45.12</v>
      </c>
    </row>
    <row r="1408">
      <c r="A1408" s="1" t="s">
        <v>2118</v>
      </c>
      <c r="B1408" s="1" t="s">
        <v>2119</v>
      </c>
      <c r="C1408" s="3">
        <v>94.0</v>
      </c>
      <c r="D1408" s="5"/>
      <c r="E1408" s="5"/>
      <c r="F1408" s="5"/>
      <c r="G1408" s="4">
        <f t="shared" si="1"/>
        <v>47</v>
      </c>
      <c r="H1408" s="4" t="str">
        <f t="shared" si="2"/>
        <v>Sin precio neto</v>
      </c>
      <c r="I1408" s="4" t="str">
        <f t="shared" si="3"/>
        <v>Sin precio neto G.C.</v>
      </c>
      <c r="J1408" s="4">
        <f t="shared" si="4"/>
        <v>45.12</v>
      </c>
      <c r="K1408" s="4">
        <f t="shared" si="5"/>
        <v>47</v>
      </c>
      <c r="L1408" s="4">
        <f t="shared" si="6"/>
        <v>45.12</v>
      </c>
    </row>
    <row r="1409">
      <c r="A1409" s="1" t="s">
        <v>2120</v>
      </c>
      <c r="B1409" s="1" t="s">
        <v>2121</v>
      </c>
      <c r="C1409" s="3">
        <v>106.0</v>
      </c>
      <c r="D1409" s="5"/>
      <c r="E1409" s="5"/>
      <c r="F1409" s="5"/>
      <c r="G1409" s="4">
        <f t="shared" si="1"/>
        <v>53</v>
      </c>
      <c r="H1409" s="4" t="str">
        <f t="shared" si="2"/>
        <v>Sin precio neto</v>
      </c>
      <c r="I1409" s="4" t="str">
        <f t="shared" si="3"/>
        <v>Sin precio neto G.C.</v>
      </c>
      <c r="J1409" s="4">
        <f t="shared" si="4"/>
        <v>50.88</v>
      </c>
      <c r="K1409" s="4">
        <f t="shared" si="5"/>
        <v>53</v>
      </c>
      <c r="L1409" s="4">
        <f t="shared" si="6"/>
        <v>50.88</v>
      </c>
    </row>
    <row r="1410">
      <c r="A1410" s="1" t="s">
        <v>2122</v>
      </c>
      <c r="B1410" s="1" t="s">
        <v>2123</v>
      </c>
      <c r="C1410" s="3">
        <v>106.0</v>
      </c>
      <c r="D1410" s="5"/>
      <c r="E1410" s="5"/>
      <c r="F1410" s="5"/>
      <c r="G1410" s="4">
        <f t="shared" si="1"/>
        <v>53</v>
      </c>
      <c r="H1410" s="4" t="str">
        <f t="shared" si="2"/>
        <v>Sin precio neto</v>
      </c>
      <c r="I1410" s="4" t="str">
        <f t="shared" si="3"/>
        <v>Sin precio neto G.C.</v>
      </c>
      <c r="J1410" s="4">
        <f t="shared" si="4"/>
        <v>50.88</v>
      </c>
      <c r="K1410" s="4">
        <f t="shared" si="5"/>
        <v>53</v>
      </c>
      <c r="L1410" s="4">
        <f t="shared" si="6"/>
        <v>50.88</v>
      </c>
    </row>
    <row r="1411">
      <c r="A1411" s="1" t="s">
        <v>2124</v>
      </c>
      <c r="B1411" s="1" t="s">
        <v>2125</v>
      </c>
      <c r="C1411" s="3">
        <v>106.0</v>
      </c>
      <c r="D1411" s="5"/>
      <c r="E1411" s="5"/>
      <c r="F1411" s="5"/>
      <c r="G1411" s="4">
        <f t="shared" si="1"/>
        <v>53</v>
      </c>
      <c r="H1411" s="4" t="str">
        <f t="shared" si="2"/>
        <v>Sin precio neto</v>
      </c>
      <c r="I1411" s="4" t="str">
        <f t="shared" si="3"/>
        <v>Sin precio neto G.C.</v>
      </c>
      <c r="J1411" s="4">
        <f t="shared" si="4"/>
        <v>50.88</v>
      </c>
      <c r="K1411" s="4">
        <f t="shared" si="5"/>
        <v>53</v>
      </c>
      <c r="L1411" s="4">
        <f t="shared" si="6"/>
        <v>50.88</v>
      </c>
    </row>
    <row r="1412">
      <c r="A1412" s="1" t="s">
        <v>2126</v>
      </c>
      <c r="B1412" s="1" t="s">
        <v>2127</v>
      </c>
      <c r="C1412" s="3">
        <v>106.0</v>
      </c>
      <c r="D1412" s="5"/>
      <c r="E1412" s="5"/>
      <c r="F1412" s="5"/>
      <c r="G1412" s="4">
        <f t="shared" si="1"/>
        <v>53</v>
      </c>
      <c r="H1412" s="4" t="str">
        <f t="shared" si="2"/>
        <v>Sin precio neto</v>
      </c>
      <c r="I1412" s="4" t="str">
        <f t="shared" si="3"/>
        <v>Sin precio neto G.C.</v>
      </c>
      <c r="J1412" s="4">
        <f t="shared" si="4"/>
        <v>50.88</v>
      </c>
      <c r="K1412" s="4">
        <f t="shared" si="5"/>
        <v>53</v>
      </c>
      <c r="L1412" s="4">
        <f t="shared" si="6"/>
        <v>50.88</v>
      </c>
    </row>
    <row r="1413">
      <c r="A1413" s="3">
        <v>2025.0</v>
      </c>
      <c r="B1413" s="1" t="s">
        <v>2128</v>
      </c>
      <c r="C1413" s="3">
        <v>39.9</v>
      </c>
      <c r="D1413" s="5"/>
      <c r="E1413" s="5"/>
      <c r="F1413" s="5"/>
      <c r="G1413" s="4">
        <f t="shared" si="1"/>
        <v>19.95</v>
      </c>
      <c r="H1413" s="4" t="str">
        <f t="shared" si="2"/>
        <v>Sin precio neto</v>
      </c>
      <c r="I1413" s="4" t="str">
        <f t="shared" si="3"/>
        <v>Sin precio neto G.C.</v>
      </c>
      <c r="J1413" s="4">
        <f t="shared" si="4"/>
        <v>19.152</v>
      </c>
      <c r="K1413" s="4">
        <f t="shared" si="5"/>
        <v>19.95</v>
      </c>
      <c r="L1413" s="4">
        <f t="shared" si="6"/>
        <v>19.152</v>
      </c>
    </row>
    <row r="1414">
      <c r="A1414" s="3">
        <v>2031.0</v>
      </c>
      <c r="B1414" s="1" t="s">
        <v>2129</v>
      </c>
      <c r="C1414" s="3">
        <v>18.0</v>
      </c>
      <c r="D1414" s="5"/>
      <c r="E1414" s="5"/>
      <c r="F1414" s="5"/>
      <c r="G1414" s="4">
        <f t="shared" si="1"/>
        <v>9</v>
      </c>
      <c r="H1414" s="4" t="str">
        <f t="shared" si="2"/>
        <v>Sin precio neto</v>
      </c>
      <c r="I1414" s="4" t="str">
        <f t="shared" si="3"/>
        <v>Sin precio neto G.C.</v>
      </c>
      <c r="J1414" s="4">
        <f t="shared" si="4"/>
        <v>8.64</v>
      </c>
      <c r="K1414" s="4">
        <f t="shared" si="5"/>
        <v>9</v>
      </c>
      <c r="L1414" s="4">
        <f t="shared" si="6"/>
        <v>8.64</v>
      </c>
    </row>
    <row r="1415">
      <c r="A1415" s="3">
        <v>2032.0</v>
      </c>
      <c r="B1415" s="1" t="s">
        <v>2130</v>
      </c>
      <c r="C1415" s="3">
        <v>16.0</v>
      </c>
      <c r="D1415" s="5"/>
      <c r="E1415" s="5"/>
      <c r="F1415" s="5"/>
      <c r="G1415" s="4">
        <f t="shared" si="1"/>
        <v>8</v>
      </c>
      <c r="H1415" s="4" t="str">
        <f t="shared" si="2"/>
        <v>Sin precio neto</v>
      </c>
      <c r="I1415" s="4" t="str">
        <f t="shared" si="3"/>
        <v>Sin precio neto G.C.</v>
      </c>
      <c r="J1415" s="4">
        <f t="shared" si="4"/>
        <v>7.68</v>
      </c>
      <c r="K1415" s="4">
        <f t="shared" si="5"/>
        <v>8</v>
      </c>
      <c r="L1415" s="4">
        <f t="shared" si="6"/>
        <v>7.68</v>
      </c>
    </row>
    <row r="1416">
      <c r="A1416" s="3">
        <v>2033.0</v>
      </c>
      <c r="B1416" s="1" t="s">
        <v>2131</v>
      </c>
      <c r="C1416" s="3">
        <v>82.0</v>
      </c>
      <c r="D1416" s="5"/>
      <c r="E1416" s="5"/>
      <c r="F1416" s="5"/>
      <c r="G1416" s="4">
        <f t="shared" si="1"/>
        <v>41</v>
      </c>
      <c r="H1416" s="4" t="str">
        <f t="shared" si="2"/>
        <v>Sin precio neto</v>
      </c>
      <c r="I1416" s="4" t="str">
        <f t="shared" si="3"/>
        <v>Sin precio neto G.C.</v>
      </c>
      <c r="J1416" s="4">
        <f t="shared" si="4"/>
        <v>39.36</v>
      </c>
      <c r="K1416" s="4">
        <f t="shared" si="5"/>
        <v>41</v>
      </c>
      <c r="L1416" s="4">
        <f t="shared" si="6"/>
        <v>39.36</v>
      </c>
    </row>
    <row r="1417">
      <c r="A1417" s="1" t="s">
        <v>2132</v>
      </c>
      <c r="B1417" s="1" t="s">
        <v>2133</v>
      </c>
      <c r="C1417" s="3">
        <v>9.9</v>
      </c>
      <c r="D1417" s="5"/>
      <c r="E1417" s="5"/>
      <c r="F1417" s="5"/>
      <c r="G1417" s="4">
        <f t="shared" si="1"/>
        <v>4.95</v>
      </c>
      <c r="H1417" s="4" t="str">
        <f t="shared" si="2"/>
        <v>Sin precio neto</v>
      </c>
      <c r="I1417" s="4" t="str">
        <f t="shared" si="3"/>
        <v>Sin precio neto G.C.</v>
      </c>
      <c r="J1417" s="4">
        <f t="shared" si="4"/>
        <v>4.752</v>
      </c>
      <c r="K1417" s="4">
        <f t="shared" si="5"/>
        <v>4.95</v>
      </c>
      <c r="L1417" s="4">
        <f t="shared" si="6"/>
        <v>4.752</v>
      </c>
    </row>
    <row r="1418">
      <c r="A1418" s="1" t="s">
        <v>2134</v>
      </c>
      <c r="B1418" s="1" t="s">
        <v>2135</v>
      </c>
      <c r="C1418" s="3">
        <v>9.9</v>
      </c>
      <c r="D1418" s="5"/>
      <c r="E1418" s="5"/>
      <c r="F1418" s="5"/>
      <c r="G1418" s="4">
        <f t="shared" si="1"/>
        <v>4.95</v>
      </c>
      <c r="H1418" s="4" t="str">
        <f t="shared" si="2"/>
        <v>Sin precio neto</v>
      </c>
      <c r="I1418" s="4" t="str">
        <f t="shared" si="3"/>
        <v>Sin precio neto G.C.</v>
      </c>
      <c r="J1418" s="4">
        <f t="shared" si="4"/>
        <v>4.752</v>
      </c>
      <c r="K1418" s="4">
        <f t="shared" si="5"/>
        <v>4.95</v>
      </c>
      <c r="L1418" s="4">
        <f t="shared" si="6"/>
        <v>4.752</v>
      </c>
    </row>
    <row r="1419">
      <c r="A1419" s="1" t="s">
        <v>2136</v>
      </c>
      <c r="B1419" s="1" t="s">
        <v>2137</v>
      </c>
      <c r="C1419" s="3">
        <v>9.9</v>
      </c>
      <c r="D1419" s="5"/>
      <c r="E1419" s="5"/>
      <c r="F1419" s="5"/>
      <c r="G1419" s="4">
        <f t="shared" si="1"/>
        <v>4.95</v>
      </c>
      <c r="H1419" s="4" t="str">
        <f t="shared" si="2"/>
        <v>Sin precio neto</v>
      </c>
      <c r="I1419" s="4" t="str">
        <f t="shared" si="3"/>
        <v>Sin precio neto G.C.</v>
      </c>
      <c r="J1419" s="4">
        <f t="shared" si="4"/>
        <v>4.752</v>
      </c>
      <c r="K1419" s="4">
        <f t="shared" si="5"/>
        <v>4.95</v>
      </c>
      <c r="L1419" s="4">
        <f t="shared" si="6"/>
        <v>4.752</v>
      </c>
    </row>
    <row r="1420">
      <c r="A1420" s="1" t="s">
        <v>2138</v>
      </c>
      <c r="B1420" s="1" t="s">
        <v>2139</v>
      </c>
      <c r="C1420" s="3">
        <v>9.9</v>
      </c>
      <c r="D1420" s="5"/>
      <c r="E1420" s="5"/>
      <c r="F1420" s="5"/>
      <c r="G1420" s="4">
        <f t="shared" si="1"/>
        <v>4.95</v>
      </c>
      <c r="H1420" s="4" t="str">
        <f t="shared" si="2"/>
        <v>Sin precio neto</v>
      </c>
      <c r="I1420" s="4" t="str">
        <f t="shared" si="3"/>
        <v>Sin precio neto G.C.</v>
      </c>
      <c r="J1420" s="4">
        <f t="shared" si="4"/>
        <v>4.752</v>
      </c>
      <c r="K1420" s="4">
        <f t="shared" si="5"/>
        <v>4.95</v>
      </c>
      <c r="L1420" s="4">
        <f t="shared" si="6"/>
        <v>4.752</v>
      </c>
    </row>
    <row r="1421">
      <c r="A1421" s="1" t="s">
        <v>2140</v>
      </c>
      <c r="B1421" s="1" t="s">
        <v>2141</v>
      </c>
      <c r="C1421" s="3">
        <v>9.9</v>
      </c>
      <c r="D1421" s="5"/>
      <c r="E1421" s="5"/>
      <c r="F1421" s="5"/>
      <c r="G1421" s="4">
        <f t="shared" si="1"/>
        <v>4.95</v>
      </c>
      <c r="H1421" s="4" t="str">
        <f t="shared" si="2"/>
        <v>Sin precio neto</v>
      </c>
      <c r="I1421" s="4" t="str">
        <f t="shared" si="3"/>
        <v>Sin precio neto G.C.</v>
      </c>
      <c r="J1421" s="4">
        <f t="shared" si="4"/>
        <v>4.752</v>
      </c>
      <c r="K1421" s="4">
        <f t="shared" si="5"/>
        <v>4.95</v>
      </c>
      <c r="L1421" s="4">
        <f t="shared" si="6"/>
        <v>4.752</v>
      </c>
    </row>
    <row r="1422">
      <c r="A1422" s="1" t="s">
        <v>2142</v>
      </c>
      <c r="B1422" s="1" t="s">
        <v>2143</v>
      </c>
      <c r="C1422" s="3">
        <v>9.9</v>
      </c>
      <c r="D1422" s="5"/>
      <c r="E1422" s="5"/>
      <c r="F1422" s="5"/>
      <c r="G1422" s="4">
        <f t="shared" si="1"/>
        <v>4.95</v>
      </c>
      <c r="H1422" s="4" t="str">
        <f t="shared" si="2"/>
        <v>Sin precio neto</v>
      </c>
      <c r="I1422" s="4" t="str">
        <f t="shared" si="3"/>
        <v>Sin precio neto G.C.</v>
      </c>
      <c r="J1422" s="4">
        <f t="shared" si="4"/>
        <v>4.752</v>
      </c>
      <c r="K1422" s="4">
        <f t="shared" si="5"/>
        <v>4.95</v>
      </c>
      <c r="L1422" s="4">
        <f t="shared" si="6"/>
        <v>4.752</v>
      </c>
    </row>
    <row r="1423">
      <c r="A1423" s="3">
        <v>2035.0</v>
      </c>
      <c r="B1423" s="1" t="s">
        <v>2144</v>
      </c>
      <c r="C1423" s="3">
        <v>18.4</v>
      </c>
      <c r="D1423" s="5"/>
      <c r="E1423" s="5"/>
      <c r="F1423" s="5"/>
      <c r="G1423" s="4">
        <f t="shared" si="1"/>
        <v>9.2</v>
      </c>
      <c r="H1423" s="4" t="str">
        <f t="shared" si="2"/>
        <v>Sin precio neto</v>
      </c>
      <c r="I1423" s="4" t="str">
        <f t="shared" si="3"/>
        <v>Sin precio neto G.C.</v>
      </c>
      <c r="J1423" s="4">
        <f t="shared" si="4"/>
        <v>8.832</v>
      </c>
      <c r="K1423" s="4">
        <f t="shared" si="5"/>
        <v>9.2</v>
      </c>
      <c r="L1423" s="4">
        <f t="shared" si="6"/>
        <v>8.832</v>
      </c>
    </row>
    <row r="1424">
      <c r="A1424" s="3">
        <v>2036.0</v>
      </c>
      <c r="B1424" s="1" t="s">
        <v>2145</v>
      </c>
      <c r="C1424" s="3">
        <v>7.2</v>
      </c>
      <c r="D1424" s="5"/>
      <c r="E1424" s="5"/>
      <c r="F1424" s="5"/>
      <c r="G1424" s="4">
        <f t="shared" si="1"/>
        <v>3.6</v>
      </c>
      <c r="H1424" s="4" t="str">
        <f t="shared" si="2"/>
        <v>Sin precio neto</v>
      </c>
      <c r="I1424" s="4" t="str">
        <f t="shared" si="3"/>
        <v>Sin precio neto G.C.</v>
      </c>
      <c r="J1424" s="4">
        <f t="shared" si="4"/>
        <v>3.456</v>
      </c>
      <c r="K1424" s="4">
        <f t="shared" si="5"/>
        <v>3.6</v>
      </c>
      <c r="L1424" s="4">
        <f t="shared" si="6"/>
        <v>3.456</v>
      </c>
    </row>
    <row r="1425">
      <c r="A1425" s="1" t="s">
        <v>2146</v>
      </c>
      <c r="B1425" s="1" t="s">
        <v>2147</v>
      </c>
      <c r="C1425" s="3">
        <v>98.0</v>
      </c>
      <c r="D1425" s="5"/>
      <c r="E1425" s="5"/>
      <c r="F1425" s="5"/>
      <c r="G1425" s="4">
        <f t="shared" si="1"/>
        <v>49</v>
      </c>
      <c r="H1425" s="4" t="str">
        <f t="shared" si="2"/>
        <v>Sin precio neto</v>
      </c>
      <c r="I1425" s="4" t="str">
        <f t="shared" si="3"/>
        <v>Sin precio neto G.C.</v>
      </c>
      <c r="J1425" s="4">
        <f t="shared" si="4"/>
        <v>47.04</v>
      </c>
      <c r="K1425" s="4">
        <f t="shared" si="5"/>
        <v>49</v>
      </c>
      <c r="L1425" s="4">
        <f t="shared" si="6"/>
        <v>47.04</v>
      </c>
    </row>
    <row r="1426">
      <c r="A1426" s="3">
        <v>2037.0</v>
      </c>
      <c r="B1426" s="1" t="s">
        <v>2148</v>
      </c>
      <c r="C1426" s="3">
        <v>4.73</v>
      </c>
      <c r="D1426" s="5"/>
      <c r="E1426" s="5"/>
      <c r="F1426" s="5"/>
      <c r="G1426" s="4">
        <f t="shared" si="1"/>
        <v>2.365</v>
      </c>
      <c r="H1426" s="4" t="str">
        <f t="shared" si="2"/>
        <v>Sin precio neto</v>
      </c>
      <c r="I1426" s="4" t="str">
        <f t="shared" si="3"/>
        <v>Sin precio neto G.C.</v>
      </c>
      <c r="J1426" s="4">
        <f t="shared" si="4"/>
        <v>2.2704</v>
      </c>
      <c r="K1426" s="4">
        <f t="shared" si="5"/>
        <v>2.365</v>
      </c>
      <c r="L1426" s="4">
        <f t="shared" si="6"/>
        <v>2.2704</v>
      </c>
    </row>
    <row r="1427">
      <c r="A1427" s="3">
        <v>2038.0</v>
      </c>
      <c r="B1427" s="1" t="s">
        <v>2149</v>
      </c>
      <c r="C1427" s="3">
        <v>26.5</v>
      </c>
      <c r="D1427" s="5"/>
      <c r="E1427" s="5"/>
      <c r="F1427" s="5"/>
      <c r="G1427" s="4">
        <f t="shared" si="1"/>
        <v>13.25</v>
      </c>
      <c r="H1427" s="4" t="str">
        <f t="shared" si="2"/>
        <v>Sin precio neto</v>
      </c>
      <c r="I1427" s="4" t="str">
        <f t="shared" si="3"/>
        <v>Sin precio neto G.C.</v>
      </c>
      <c r="J1427" s="4">
        <f t="shared" si="4"/>
        <v>12.72</v>
      </c>
      <c r="K1427" s="4">
        <f t="shared" si="5"/>
        <v>13.25</v>
      </c>
      <c r="L1427" s="4">
        <f t="shared" si="6"/>
        <v>12.72</v>
      </c>
    </row>
    <row r="1428">
      <c r="A1428" s="3">
        <v>2039.0</v>
      </c>
      <c r="B1428" s="1" t="s">
        <v>2150</v>
      </c>
      <c r="C1428" s="3">
        <v>49.3</v>
      </c>
      <c r="D1428" s="5"/>
      <c r="E1428" s="5"/>
      <c r="F1428" s="5"/>
      <c r="G1428" s="4">
        <f t="shared" si="1"/>
        <v>24.65</v>
      </c>
      <c r="H1428" s="4" t="str">
        <f t="shared" si="2"/>
        <v>Sin precio neto</v>
      </c>
      <c r="I1428" s="4" t="str">
        <f t="shared" si="3"/>
        <v>Sin precio neto G.C.</v>
      </c>
      <c r="J1428" s="4">
        <f t="shared" si="4"/>
        <v>23.664</v>
      </c>
      <c r="K1428" s="4">
        <f t="shared" si="5"/>
        <v>24.65</v>
      </c>
      <c r="L1428" s="4">
        <f t="shared" si="6"/>
        <v>23.664</v>
      </c>
    </row>
    <row r="1429">
      <c r="A1429" s="3">
        <v>2040.0</v>
      </c>
      <c r="B1429" s="1" t="s">
        <v>2151</v>
      </c>
      <c r="C1429" s="3">
        <v>12.9</v>
      </c>
      <c r="D1429" s="5"/>
      <c r="E1429" s="5"/>
      <c r="F1429" s="5"/>
      <c r="G1429" s="4">
        <f t="shared" si="1"/>
        <v>6.45</v>
      </c>
      <c r="H1429" s="4" t="str">
        <f t="shared" si="2"/>
        <v>Sin precio neto</v>
      </c>
      <c r="I1429" s="4" t="str">
        <f t="shared" si="3"/>
        <v>Sin precio neto G.C.</v>
      </c>
      <c r="J1429" s="4">
        <f t="shared" si="4"/>
        <v>6.192</v>
      </c>
      <c r="K1429" s="4">
        <f t="shared" si="5"/>
        <v>6.45</v>
      </c>
      <c r="L1429" s="4">
        <f t="shared" si="6"/>
        <v>6.192</v>
      </c>
    </row>
    <row r="1430">
      <c r="A1430" s="3">
        <v>2041.0</v>
      </c>
      <c r="B1430" s="1" t="s">
        <v>2152</v>
      </c>
      <c r="C1430" s="3">
        <v>98.0</v>
      </c>
      <c r="D1430" s="5"/>
      <c r="E1430" s="5"/>
      <c r="F1430" s="5"/>
      <c r="G1430" s="4">
        <f t="shared" si="1"/>
        <v>49</v>
      </c>
      <c r="H1430" s="4" t="str">
        <f t="shared" si="2"/>
        <v>Sin precio neto</v>
      </c>
      <c r="I1430" s="4" t="str">
        <f t="shared" si="3"/>
        <v>Sin precio neto G.C.</v>
      </c>
      <c r="J1430" s="4">
        <f t="shared" si="4"/>
        <v>47.04</v>
      </c>
      <c r="K1430" s="4">
        <f t="shared" si="5"/>
        <v>49</v>
      </c>
      <c r="L1430" s="4">
        <f t="shared" si="6"/>
        <v>47.04</v>
      </c>
    </row>
    <row r="1431">
      <c r="A1431" s="3">
        <v>2042.0</v>
      </c>
      <c r="B1431" s="1" t="s">
        <v>2153</v>
      </c>
      <c r="C1431" s="3">
        <v>160.0</v>
      </c>
      <c r="D1431" s="5"/>
      <c r="E1431" s="5"/>
      <c r="F1431" s="5"/>
      <c r="G1431" s="4">
        <f t="shared" si="1"/>
        <v>80</v>
      </c>
      <c r="H1431" s="4" t="str">
        <f t="shared" si="2"/>
        <v>Sin precio neto</v>
      </c>
      <c r="I1431" s="4" t="str">
        <f t="shared" si="3"/>
        <v>Sin precio neto G.C.</v>
      </c>
      <c r="J1431" s="4">
        <f t="shared" si="4"/>
        <v>76.8</v>
      </c>
      <c r="K1431" s="4">
        <f t="shared" si="5"/>
        <v>80</v>
      </c>
      <c r="L1431" s="4">
        <f t="shared" si="6"/>
        <v>76.8</v>
      </c>
    </row>
    <row r="1432">
      <c r="A1432" s="3">
        <v>2046.0</v>
      </c>
      <c r="B1432" s="1" t="s">
        <v>2154</v>
      </c>
      <c r="C1432" s="3">
        <v>8.0</v>
      </c>
      <c r="D1432" s="5"/>
      <c r="E1432" s="5"/>
      <c r="F1432" s="5"/>
      <c r="G1432" s="4">
        <f t="shared" si="1"/>
        <v>4</v>
      </c>
      <c r="H1432" s="4" t="str">
        <f t="shared" si="2"/>
        <v>Sin precio neto</v>
      </c>
      <c r="I1432" s="4" t="str">
        <f t="shared" si="3"/>
        <v>Sin precio neto G.C.</v>
      </c>
      <c r="J1432" s="4">
        <f t="shared" si="4"/>
        <v>3.84</v>
      </c>
      <c r="K1432" s="4">
        <f t="shared" si="5"/>
        <v>4</v>
      </c>
      <c r="L1432" s="4">
        <f t="shared" si="6"/>
        <v>3.84</v>
      </c>
    </row>
    <row r="1433">
      <c r="A1433" s="3">
        <v>2047.0</v>
      </c>
      <c r="B1433" s="1" t="s">
        <v>2155</v>
      </c>
      <c r="C1433" s="3">
        <v>6.0</v>
      </c>
      <c r="D1433" s="5"/>
      <c r="E1433" s="5"/>
      <c r="F1433" s="5"/>
      <c r="G1433" s="4">
        <f t="shared" si="1"/>
        <v>3</v>
      </c>
      <c r="H1433" s="4" t="str">
        <f t="shared" si="2"/>
        <v>Sin precio neto</v>
      </c>
      <c r="I1433" s="4" t="str">
        <f t="shared" si="3"/>
        <v>Sin precio neto G.C.</v>
      </c>
      <c r="J1433" s="4">
        <f t="shared" si="4"/>
        <v>2.88</v>
      </c>
      <c r="K1433" s="4">
        <f t="shared" si="5"/>
        <v>3</v>
      </c>
      <c r="L1433" s="4">
        <f t="shared" si="6"/>
        <v>2.88</v>
      </c>
    </row>
    <row r="1434">
      <c r="A1434" s="3">
        <v>2050.0</v>
      </c>
      <c r="B1434" s="1" t="s">
        <v>2156</v>
      </c>
      <c r="C1434" s="3">
        <v>7.9</v>
      </c>
      <c r="D1434" s="3">
        <v>3.05</v>
      </c>
      <c r="E1434" s="3">
        <v>3.05</v>
      </c>
      <c r="F1434" s="3">
        <v>30.0</v>
      </c>
      <c r="G1434" s="4">
        <f t="shared" si="1"/>
        <v>3.95</v>
      </c>
      <c r="H1434" s="4" t="str">
        <f t="shared" si="2"/>
        <v>Neto: 3,05 € (a partir de 30 uds.)</v>
      </c>
      <c r="I1434" s="4" t="str">
        <f t="shared" si="3"/>
        <v>Neto G.C.: 3,05 € (a partir de 30 uds.)</v>
      </c>
      <c r="J1434" s="4">
        <f t="shared" si="4"/>
        <v>3.792</v>
      </c>
      <c r="K1434" s="4">
        <f t="shared" si="5"/>
        <v>3.95</v>
      </c>
      <c r="L1434" s="4">
        <f t="shared" si="6"/>
        <v>3.792</v>
      </c>
    </row>
    <row r="1435">
      <c r="A1435" s="3">
        <v>2051.0</v>
      </c>
      <c r="B1435" s="1" t="s">
        <v>2157</v>
      </c>
      <c r="C1435" s="3">
        <v>15.5</v>
      </c>
      <c r="D1435" s="3">
        <v>6.2</v>
      </c>
      <c r="E1435" s="3">
        <v>6.2</v>
      </c>
      <c r="F1435" s="3">
        <v>15.0</v>
      </c>
      <c r="G1435" s="4">
        <f t="shared" si="1"/>
        <v>7.75</v>
      </c>
      <c r="H1435" s="4" t="str">
        <f t="shared" si="2"/>
        <v>Neto: 6,20 € (a partir de 15 uds.)</v>
      </c>
      <c r="I1435" s="4" t="str">
        <f t="shared" si="3"/>
        <v>Neto G.C.: 6,20 € (a partir de 15 uds.)</v>
      </c>
      <c r="J1435" s="4">
        <f t="shared" si="4"/>
        <v>7.44</v>
      </c>
      <c r="K1435" s="4">
        <f t="shared" si="5"/>
        <v>7.75</v>
      </c>
      <c r="L1435" s="4">
        <f t="shared" si="6"/>
        <v>7.44</v>
      </c>
    </row>
    <row r="1436">
      <c r="A1436" s="3">
        <v>2052.0</v>
      </c>
      <c r="B1436" s="1" t="s">
        <v>2158</v>
      </c>
      <c r="C1436" s="3">
        <v>27.8</v>
      </c>
      <c r="D1436" s="3">
        <v>11.5</v>
      </c>
      <c r="E1436" s="3">
        <v>11.5</v>
      </c>
      <c r="F1436" s="3">
        <v>8.0</v>
      </c>
      <c r="G1436" s="4">
        <f t="shared" si="1"/>
        <v>13.9</v>
      </c>
      <c r="H1436" s="4" t="str">
        <f t="shared" si="2"/>
        <v>Neto: 11,50 € (a partir de 8 uds.)</v>
      </c>
      <c r="I1436" s="4" t="str">
        <f t="shared" si="3"/>
        <v>Neto G.C.: 11,50 € (a partir de 8 uds.)</v>
      </c>
      <c r="J1436" s="4">
        <f t="shared" si="4"/>
        <v>13.344</v>
      </c>
      <c r="K1436" s="4">
        <f t="shared" si="5"/>
        <v>13.9</v>
      </c>
      <c r="L1436" s="4">
        <f t="shared" si="6"/>
        <v>13.344</v>
      </c>
    </row>
    <row r="1437">
      <c r="A1437" s="3">
        <v>2053.0</v>
      </c>
      <c r="B1437" s="1" t="s">
        <v>2159</v>
      </c>
      <c r="C1437" s="3">
        <v>49.0</v>
      </c>
      <c r="D1437" s="3">
        <v>17.5</v>
      </c>
      <c r="E1437" s="3">
        <v>17.5</v>
      </c>
      <c r="F1437" s="3">
        <v>5.0</v>
      </c>
      <c r="G1437" s="4">
        <f t="shared" si="1"/>
        <v>24.5</v>
      </c>
      <c r="H1437" s="4" t="str">
        <f t="shared" si="2"/>
        <v>Neto: 17,50 € (a partir de 5 uds.)</v>
      </c>
      <c r="I1437" s="4" t="str">
        <f t="shared" si="3"/>
        <v>Neto G.C.: 17,50 € (a partir de 5 uds.)</v>
      </c>
      <c r="J1437" s="4">
        <f t="shared" si="4"/>
        <v>23.52</v>
      </c>
      <c r="K1437" s="4">
        <f t="shared" si="5"/>
        <v>24.5</v>
      </c>
      <c r="L1437" s="4">
        <f t="shared" si="6"/>
        <v>23.52</v>
      </c>
    </row>
    <row r="1438">
      <c r="A1438" s="3">
        <v>2054.0</v>
      </c>
      <c r="B1438" s="1" t="s">
        <v>2160</v>
      </c>
      <c r="C1438" s="3">
        <v>65.0</v>
      </c>
      <c r="D1438" s="3">
        <v>26.5</v>
      </c>
      <c r="E1438" s="3">
        <v>26.5</v>
      </c>
      <c r="F1438" s="3">
        <v>3.0</v>
      </c>
      <c r="G1438" s="4">
        <f t="shared" si="1"/>
        <v>32.5</v>
      </c>
      <c r="H1438" s="4" t="str">
        <f t="shared" si="2"/>
        <v>Neto: 26,50 € (a partir de 3 uds.)</v>
      </c>
      <c r="I1438" s="4" t="str">
        <f t="shared" si="3"/>
        <v>Neto G.C.: 26,50 € (a partir de 3 uds.)</v>
      </c>
      <c r="J1438" s="4">
        <f t="shared" si="4"/>
        <v>31.2</v>
      </c>
      <c r="K1438" s="4">
        <f t="shared" si="5"/>
        <v>32.5</v>
      </c>
      <c r="L1438" s="4">
        <f t="shared" si="6"/>
        <v>31.2</v>
      </c>
    </row>
    <row r="1439">
      <c r="A1439" s="3">
        <v>2058.0</v>
      </c>
      <c r="B1439" s="1" t="s">
        <v>2161</v>
      </c>
      <c r="C1439" s="3">
        <v>12.4</v>
      </c>
      <c r="D1439" s="3">
        <v>5.3</v>
      </c>
      <c r="E1439" s="3">
        <v>5.3</v>
      </c>
      <c r="F1439" s="3">
        <v>20.0</v>
      </c>
      <c r="G1439" s="4">
        <f t="shared" si="1"/>
        <v>6.2</v>
      </c>
      <c r="H1439" s="4" t="str">
        <f t="shared" si="2"/>
        <v>Neto: 5,30 € (a partir de 20 uds.)</v>
      </c>
      <c r="I1439" s="4" t="str">
        <f t="shared" si="3"/>
        <v>Neto G.C.: 5,30 € (a partir de 20 uds.)</v>
      </c>
      <c r="J1439" s="4">
        <f t="shared" si="4"/>
        <v>5.952</v>
      </c>
      <c r="K1439" s="4">
        <f t="shared" si="5"/>
        <v>6.2</v>
      </c>
      <c r="L1439" s="4">
        <f t="shared" si="6"/>
        <v>5.952</v>
      </c>
    </row>
    <row r="1440">
      <c r="A1440" s="3">
        <v>2059.0</v>
      </c>
      <c r="B1440" s="1" t="s">
        <v>2162</v>
      </c>
      <c r="C1440" s="3">
        <v>21.0</v>
      </c>
      <c r="D1440" s="3">
        <v>7.5</v>
      </c>
      <c r="E1440" s="3">
        <v>7.5</v>
      </c>
      <c r="F1440" s="3">
        <v>10.0</v>
      </c>
      <c r="G1440" s="4">
        <f t="shared" si="1"/>
        <v>10.5</v>
      </c>
      <c r="H1440" s="4" t="str">
        <f t="shared" si="2"/>
        <v>Neto: 7,50 € (a partir de 10 uds.)</v>
      </c>
      <c r="I1440" s="4" t="str">
        <f t="shared" si="3"/>
        <v>Neto G.C.: 7,50 € (a partir de 10 uds.)</v>
      </c>
      <c r="J1440" s="4">
        <f t="shared" si="4"/>
        <v>10.08</v>
      </c>
      <c r="K1440" s="4">
        <f t="shared" si="5"/>
        <v>10.5</v>
      </c>
      <c r="L1440" s="4">
        <f t="shared" si="6"/>
        <v>10.08</v>
      </c>
    </row>
    <row r="1441">
      <c r="A1441" s="3">
        <v>2060.0</v>
      </c>
      <c r="B1441" s="1" t="s">
        <v>2163</v>
      </c>
      <c r="C1441" s="3">
        <v>5.6</v>
      </c>
      <c r="D1441" s="3">
        <v>2.4</v>
      </c>
      <c r="E1441" s="3">
        <v>2.4</v>
      </c>
      <c r="F1441" s="3">
        <v>40.0</v>
      </c>
      <c r="G1441" s="4">
        <f t="shared" si="1"/>
        <v>2.8</v>
      </c>
      <c r="H1441" s="4" t="str">
        <f t="shared" si="2"/>
        <v>Neto: 2,40 € (a partir de 40 uds.)</v>
      </c>
      <c r="I1441" s="4" t="str">
        <f t="shared" si="3"/>
        <v>Neto G.C.: 2,40 € (a partir de 40 uds.)</v>
      </c>
      <c r="J1441" s="4">
        <f t="shared" si="4"/>
        <v>2.688</v>
      </c>
      <c r="K1441" s="4">
        <f t="shared" si="5"/>
        <v>2.8</v>
      </c>
      <c r="L1441" s="4">
        <f t="shared" si="6"/>
        <v>2.688</v>
      </c>
    </row>
    <row r="1442">
      <c r="A1442" s="3">
        <v>2061.0</v>
      </c>
      <c r="B1442" s="1" t="s">
        <v>2164</v>
      </c>
      <c r="C1442" s="3">
        <v>9.7</v>
      </c>
      <c r="D1442" s="3">
        <v>5.1</v>
      </c>
      <c r="E1442" s="3">
        <v>5.1</v>
      </c>
      <c r="F1442" s="3">
        <v>20.0</v>
      </c>
      <c r="G1442" s="4">
        <f t="shared" si="1"/>
        <v>4.85</v>
      </c>
      <c r="H1442" s="4" t="str">
        <f t="shared" si="2"/>
        <v>Neto: 5,10 € (a partir de 20 uds.)</v>
      </c>
      <c r="I1442" s="4" t="str">
        <f t="shared" si="3"/>
        <v>Neto G.C.: 5,10 € (a partir de 20 uds.)</v>
      </c>
      <c r="J1442" s="4">
        <f t="shared" si="4"/>
        <v>4.656</v>
      </c>
      <c r="K1442" s="4">
        <f t="shared" si="5"/>
        <v>4.85</v>
      </c>
      <c r="L1442" s="4">
        <f t="shared" si="6"/>
        <v>4.656</v>
      </c>
    </row>
    <row r="1443">
      <c r="A1443" s="3">
        <v>2062.0</v>
      </c>
      <c r="B1443" s="1" t="s">
        <v>2165</v>
      </c>
      <c r="C1443" s="3">
        <v>22.6</v>
      </c>
      <c r="D1443" s="3">
        <v>8.6</v>
      </c>
      <c r="E1443" s="3">
        <v>8.6</v>
      </c>
      <c r="F1443" s="3">
        <v>10.0</v>
      </c>
      <c r="G1443" s="4">
        <f t="shared" si="1"/>
        <v>11.3</v>
      </c>
      <c r="H1443" s="4" t="str">
        <f t="shared" si="2"/>
        <v>Neto: 8,60 € (a partir de 10 uds.)</v>
      </c>
      <c r="I1443" s="4" t="str">
        <f t="shared" si="3"/>
        <v>Neto G.C.: 8,60 € (a partir de 10 uds.)</v>
      </c>
      <c r="J1443" s="4">
        <f t="shared" si="4"/>
        <v>10.848</v>
      </c>
      <c r="K1443" s="4">
        <f t="shared" si="5"/>
        <v>11.3</v>
      </c>
      <c r="L1443" s="4">
        <f t="shared" si="6"/>
        <v>10.848</v>
      </c>
    </row>
    <row r="1444">
      <c r="A1444" s="3">
        <v>2063.0</v>
      </c>
      <c r="B1444" s="1" t="s">
        <v>2166</v>
      </c>
      <c r="C1444" s="3">
        <v>33.9</v>
      </c>
      <c r="D1444" s="3">
        <v>13.5</v>
      </c>
      <c r="E1444" s="3">
        <v>13.5</v>
      </c>
      <c r="F1444" s="3">
        <v>6.0</v>
      </c>
      <c r="G1444" s="4">
        <f t="shared" si="1"/>
        <v>16.95</v>
      </c>
      <c r="H1444" s="4" t="str">
        <f t="shared" si="2"/>
        <v>Neto: 13,50 € (a partir de 6 uds.)</v>
      </c>
      <c r="I1444" s="4" t="str">
        <f t="shared" si="3"/>
        <v>Neto G.C.: 13,50 € (a partir de 6 uds.)</v>
      </c>
      <c r="J1444" s="4">
        <f t="shared" si="4"/>
        <v>16.272</v>
      </c>
      <c r="K1444" s="4">
        <f t="shared" si="5"/>
        <v>16.95</v>
      </c>
      <c r="L1444" s="4">
        <f t="shared" si="6"/>
        <v>16.272</v>
      </c>
    </row>
    <row r="1445">
      <c r="A1445" s="3">
        <v>2064.0</v>
      </c>
      <c r="B1445" s="1" t="s">
        <v>2167</v>
      </c>
      <c r="C1445" s="3">
        <v>47.0</v>
      </c>
      <c r="D1445" s="3">
        <v>19.5</v>
      </c>
      <c r="E1445" s="3">
        <v>19.5</v>
      </c>
      <c r="F1445" s="3">
        <v>4.0</v>
      </c>
      <c r="G1445" s="4">
        <f t="shared" si="1"/>
        <v>23.5</v>
      </c>
      <c r="H1445" s="4" t="str">
        <f t="shared" si="2"/>
        <v>Neto: 19,50 € (a partir de 4 uds.)</v>
      </c>
      <c r="I1445" s="4" t="str">
        <f t="shared" si="3"/>
        <v>Neto G.C.: 19,50 € (a partir de 4 uds.)</v>
      </c>
      <c r="J1445" s="4">
        <f t="shared" si="4"/>
        <v>22.56</v>
      </c>
      <c r="K1445" s="4">
        <f t="shared" si="5"/>
        <v>23.5</v>
      </c>
      <c r="L1445" s="4">
        <f t="shared" si="6"/>
        <v>22.56</v>
      </c>
    </row>
    <row r="1446">
      <c r="A1446" s="3">
        <v>2065.0</v>
      </c>
      <c r="B1446" s="1" t="s">
        <v>2168</v>
      </c>
      <c r="C1446" s="3">
        <v>60.2</v>
      </c>
      <c r="D1446" s="3">
        <v>32.5</v>
      </c>
      <c r="E1446" s="3">
        <v>32.5</v>
      </c>
      <c r="F1446" s="3">
        <v>2.0</v>
      </c>
      <c r="G1446" s="4">
        <f t="shared" si="1"/>
        <v>30.1</v>
      </c>
      <c r="H1446" s="4" t="str">
        <f t="shared" si="2"/>
        <v>Neto: 32,50 € (a partir de 2 uds.)</v>
      </c>
      <c r="I1446" s="4" t="str">
        <f t="shared" si="3"/>
        <v>Neto G.C.: 32,50 € (a partir de 2 uds.)</v>
      </c>
      <c r="J1446" s="4">
        <f t="shared" si="4"/>
        <v>28.896</v>
      </c>
      <c r="K1446" s="4">
        <f t="shared" si="5"/>
        <v>30.1</v>
      </c>
      <c r="L1446" s="4">
        <f t="shared" si="6"/>
        <v>28.896</v>
      </c>
    </row>
    <row r="1447">
      <c r="A1447" s="3">
        <v>2066.0</v>
      </c>
      <c r="B1447" s="1" t="s">
        <v>2169</v>
      </c>
      <c r="C1447" s="3">
        <v>84.0</v>
      </c>
      <c r="D1447" s="3">
        <v>38.5</v>
      </c>
      <c r="E1447" s="3">
        <v>38.5</v>
      </c>
      <c r="F1447" s="3">
        <v>1.0</v>
      </c>
      <c r="G1447" s="4">
        <f t="shared" si="1"/>
        <v>42</v>
      </c>
      <c r="H1447" s="4" t="str">
        <f t="shared" si="2"/>
        <v>Neto: 38,50 € (a partir de 1 uds.)</v>
      </c>
      <c r="I1447" s="4" t="str">
        <f t="shared" si="3"/>
        <v>Neto G.C.: 38,50 € (a partir de 1 uds.)</v>
      </c>
      <c r="J1447" s="4">
        <f t="shared" si="4"/>
        <v>40.32</v>
      </c>
      <c r="K1447" s="4">
        <f t="shared" si="5"/>
        <v>42</v>
      </c>
      <c r="L1447" s="4">
        <f t="shared" si="6"/>
        <v>40.32</v>
      </c>
    </row>
    <row r="1448">
      <c r="A1448" s="3">
        <v>2101.0</v>
      </c>
      <c r="B1448" s="1" t="s">
        <v>2170</v>
      </c>
      <c r="C1448" s="3">
        <v>39.9</v>
      </c>
      <c r="D1448" s="5"/>
      <c r="E1448" s="5"/>
      <c r="F1448" s="5"/>
      <c r="G1448" s="4">
        <f t="shared" si="1"/>
        <v>19.95</v>
      </c>
      <c r="H1448" s="4" t="str">
        <f t="shared" si="2"/>
        <v>Sin precio neto</v>
      </c>
      <c r="I1448" s="4" t="str">
        <f t="shared" si="3"/>
        <v>Sin precio neto G.C.</v>
      </c>
      <c r="J1448" s="4">
        <f t="shared" si="4"/>
        <v>19.152</v>
      </c>
      <c r="K1448" s="4">
        <f t="shared" si="5"/>
        <v>19.95</v>
      </c>
      <c r="L1448" s="4">
        <f t="shared" si="6"/>
        <v>19.152</v>
      </c>
    </row>
    <row r="1449">
      <c r="A1449" s="3">
        <v>2102.0</v>
      </c>
      <c r="B1449" s="1" t="s">
        <v>2171</v>
      </c>
      <c r="C1449" s="3">
        <v>39.9</v>
      </c>
      <c r="D1449" s="5"/>
      <c r="E1449" s="5"/>
      <c r="F1449" s="5"/>
      <c r="G1449" s="4">
        <f t="shared" si="1"/>
        <v>19.95</v>
      </c>
      <c r="H1449" s="4" t="str">
        <f t="shared" si="2"/>
        <v>Sin precio neto</v>
      </c>
      <c r="I1449" s="4" t="str">
        <f t="shared" si="3"/>
        <v>Sin precio neto G.C.</v>
      </c>
      <c r="J1449" s="4">
        <f t="shared" si="4"/>
        <v>19.152</v>
      </c>
      <c r="K1449" s="4">
        <f t="shared" si="5"/>
        <v>19.95</v>
      </c>
      <c r="L1449" s="4">
        <f t="shared" si="6"/>
        <v>19.152</v>
      </c>
    </row>
    <row r="1450">
      <c r="A1450" s="3">
        <v>2134.0</v>
      </c>
      <c r="B1450" s="1" t="s">
        <v>2172</v>
      </c>
      <c r="C1450" s="3">
        <v>70.18</v>
      </c>
      <c r="D1450" s="5"/>
      <c r="E1450" s="5"/>
      <c r="F1450" s="5"/>
      <c r="G1450" s="4">
        <f t="shared" si="1"/>
        <v>35.09</v>
      </c>
      <c r="H1450" s="4" t="str">
        <f t="shared" si="2"/>
        <v>Sin precio neto</v>
      </c>
      <c r="I1450" s="4" t="str">
        <f t="shared" si="3"/>
        <v>Sin precio neto G.C.</v>
      </c>
      <c r="J1450" s="4">
        <f t="shared" si="4"/>
        <v>33.6864</v>
      </c>
      <c r="K1450" s="4">
        <f t="shared" si="5"/>
        <v>35.09</v>
      </c>
      <c r="L1450" s="4">
        <f t="shared" si="6"/>
        <v>33.6864</v>
      </c>
    </row>
    <row r="1451">
      <c r="A1451" s="3">
        <v>2151.0</v>
      </c>
      <c r="B1451" s="1" t="s">
        <v>2173</v>
      </c>
      <c r="C1451" s="3">
        <v>62.0</v>
      </c>
      <c r="D1451" s="5"/>
      <c r="E1451" s="5"/>
      <c r="F1451" s="5"/>
      <c r="G1451" s="4">
        <f t="shared" si="1"/>
        <v>31</v>
      </c>
      <c r="H1451" s="4" t="str">
        <f t="shared" si="2"/>
        <v>Sin precio neto</v>
      </c>
      <c r="I1451" s="4" t="str">
        <f t="shared" si="3"/>
        <v>Sin precio neto G.C.</v>
      </c>
      <c r="J1451" s="4">
        <f t="shared" si="4"/>
        <v>29.76</v>
      </c>
      <c r="K1451" s="4">
        <f t="shared" si="5"/>
        <v>31</v>
      </c>
      <c r="L1451" s="4">
        <f t="shared" si="6"/>
        <v>29.76</v>
      </c>
    </row>
    <row r="1452">
      <c r="A1452" s="3">
        <v>2234.0</v>
      </c>
      <c r="B1452" s="1" t="s">
        <v>2174</v>
      </c>
      <c r="C1452" s="3">
        <v>8.7</v>
      </c>
      <c r="D1452" s="5"/>
      <c r="E1452" s="5"/>
      <c r="F1452" s="5"/>
      <c r="G1452" s="4">
        <f t="shared" si="1"/>
        <v>4.35</v>
      </c>
      <c r="H1452" s="4" t="str">
        <f t="shared" si="2"/>
        <v>Sin precio neto</v>
      </c>
      <c r="I1452" s="4" t="str">
        <f t="shared" si="3"/>
        <v>Sin precio neto G.C.</v>
      </c>
      <c r="J1452" s="4">
        <f t="shared" si="4"/>
        <v>4.176</v>
      </c>
      <c r="K1452" s="4">
        <f t="shared" si="5"/>
        <v>4.35</v>
      </c>
      <c r="L1452" s="4">
        <f t="shared" si="6"/>
        <v>4.176</v>
      </c>
    </row>
    <row r="1453">
      <c r="A1453" s="3">
        <v>2235.0</v>
      </c>
      <c r="B1453" s="1" t="s">
        <v>2175</v>
      </c>
      <c r="C1453" s="3">
        <v>11.4</v>
      </c>
      <c r="D1453" s="5"/>
      <c r="E1453" s="5"/>
      <c r="F1453" s="5"/>
      <c r="G1453" s="4">
        <f t="shared" si="1"/>
        <v>5.7</v>
      </c>
      <c r="H1453" s="4" t="str">
        <f t="shared" si="2"/>
        <v>Sin precio neto</v>
      </c>
      <c r="I1453" s="4" t="str">
        <f t="shared" si="3"/>
        <v>Sin precio neto G.C.</v>
      </c>
      <c r="J1453" s="4">
        <f t="shared" si="4"/>
        <v>5.472</v>
      </c>
      <c r="K1453" s="4">
        <f t="shared" si="5"/>
        <v>5.7</v>
      </c>
      <c r="L1453" s="4">
        <f t="shared" si="6"/>
        <v>5.472</v>
      </c>
    </row>
    <row r="1454">
      <c r="A1454" s="3">
        <v>2236.0</v>
      </c>
      <c r="B1454" s="1" t="s">
        <v>2176</v>
      </c>
      <c r="C1454" s="3">
        <v>7.6</v>
      </c>
      <c r="D1454" s="5"/>
      <c r="E1454" s="5"/>
      <c r="F1454" s="5"/>
      <c r="G1454" s="4">
        <f t="shared" si="1"/>
        <v>3.8</v>
      </c>
      <c r="H1454" s="4" t="str">
        <f t="shared" si="2"/>
        <v>Sin precio neto</v>
      </c>
      <c r="I1454" s="4" t="str">
        <f t="shared" si="3"/>
        <v>Sin precio neto G.C.</v>
      </c>
      <c r="J1454" s="4">
        <f t="shared" si="4"/>
        <v>3.648</v>
      </c>
      <c r="K1454" s="4">
        <f t="shared" si="5"/>
        <v>3.8</v>
      </c>
      <c r="L1454" s="4">
        <f t="shared" si="6"/>
        <v>3.648</v>
      </c>
    </row>
    <row r="1455">
      <c r="A1455" s="3">
        <v>2237.0</v>
      </c>
      <c r="B1455" s="1" t="s">
        <v>2177</v>
      </c>
      <c r="C1455" s="3">
        <v>7.6</v>
      </c>
      <c r="D1455" s="5"/>
      <c r="E1455" s="5"/>
      <c r="F1455" s="5"/>
      <c r="G1455" s="4">
        <f t="shared" si="1"/>
        <v>3.8</v>
      </c>
      <c r="H1455" s="4" t="str">
        <f t="shared" si="2"/>
        <v>Sin precio neto</v>
      </c>
      <c r="I1455" s="4" t="str">
        <f t="shared" si="3"/>
        <v>Sin precio neto G.C.</v>
      </c>
      <c r="J1455" s="4">
        <f t="shared" si="4"/>
        <v>3.648</v>
      </c>
      <c r="K1455" s="4">
        <f t="shared" si="5"/>
        <v>3.8</v>
      </c>
      <c r="L1455" s="4">
        <f t="shared" si="6"/>
        <v>3.648</v>
      </c>
    </row>
    <row r="1456">
      <c r="A1456" s="3">
        <v>2238.0</v>
      </c>
      <c r="B1456" s="1" t="s">
        <v>2178</v>
      </c>
      <c r="C1456" s="3">
        <v>32.0</v>
      </c>
      <c r="D1456" s="5"/>
      <c r="E1456" s="5"/>
      <c r="F1456" s="5"/>
      <c r="G1456" s="4">
        <f t="shared" si="1"/>
        <v>16</v>
      </c>
      <c r="H1456" s="4" t="str">
        <f t="shared" si="2"/>
        <v>Sin precio neto</v>
      </c>
      <c r="I1456" s="4" t="str">
        <f t="shared" si="3"/>
        <v>Sin precio neto G.C.</v>
      </c>
      <c r="J1456" s="4">
        <f t="shared" si="4"/>
        <v>15.36</v>
      </c>
      <c r="K1456" s="4">
        <f t="shared" si="5"/>
        <v>16</v>
      </c>
      <c r="L1456" s="4">
        <f t="shared" si="6"/>
        <v>15.36</v>
      </c>
    </row>
    <row r="1457">
      <c r="A1457" s="3">
        <v>2240.0</v>
      </c>
      <c r="B1457" s="1" t="s">
        <v>2179</v>
      </c>
      <c r="C1457" s="3">
        <v>66.5</v>
      </c>
      <c r="D1457" s="5"/>
      <c r="E1457" s="5"/>
      <c r="F1457" s="5"/>
      <c r="G1457" s="4">
        <f t="shared" si="1"/>
        <v>33.25</v>
      </c>
      <c r="H1457" s="4" t="str">
        <f t="shared" si="2"/>
        <v>Sin precio neto</v>
      </c>
      <c r="I1457" s="4" t="str">
        <f t="shared" si="3"/>
        <v>Sin precio neto G.C.</v>
      </c>
      <c r="J1457" s="4">
        <f t="shared" si="4"/>
        <v>31.92</v>
      </c>
      <c r="K1457" s="4">
        <f t="shared" si="5"/>
        <v>33.25</v>
      </c>
      <c r="L1457" s="4">
        <f t="shared" si="6"/>
        <v>31.92</v>
      </c>
    </row>
    <row r="1458">
      <c r="A1458" s="3">
        <v>2241.0</v>
      </c>
      <c r="B1458" s="1" t="s">
        <v>2180</v>
      </c>
      <c r="C1458" s="3">
        <v>6.5</v>
      </c>
      <c r="D1458" s="5"/>
      <c r="E1458" s="5"/>
      <c r="F1458" s="5"/>
      <c r="G1458" s="4">
        <f t="shared" si="1"/>
        <v>3.25</v>
      </c>
      <c r="H1458" s="4" t="str">
        <f t="shared" si="2"/>
        <v>Sin precio neto</v>
      </c>
      <c r="I1458" s="4" t="str">
        <f t="shared" si="3"/>
        <v>Sin precio neto G.C.</v>
      </c>
      <c r="J1458" s="4">
        <f t="shared" si="4"/>
        <v>3.12</v>
      </c>
      <c r="K1458" s="4">
        <f t="shared" si="5"/>
        <v>3.25</v>
      </c>
      <c r="L1458" s="4">
        <f t="shared" si="6"/>
        <v>3.12</v>
      </c>
    </row>
    <row r="1459">
      <c r="A1459" s="3">
        <v>2242.0</v>
      </c>
      <c r="B1459" s="1" t="s">
        <v>2181</v>
      </c>
      <c r="C1459" s="3">
        <v>7.2</v>
      </c>
      <c r="D1459" s="5"/>
      <c r="E1459" s="5"/>
      <c r="F1459" s="5"/>
      <c r="G1459" s="4">
        <f t="shared" si="1"/>
        <v>3.6</v>
      </c>
      <c r="H1459" s="4" t="str">
        <f t="shared" si="2"/>
        <v>Sin precio neto</v>
      </c>
      <c r="I1459" s="4" t="str">
        <f t="shared" si="3"/>
        <v>Sin precio neto G.C.</v>
      </c>
      <c r="J1459" s="4">
        <f t="shared" si="4"/>
        <v>3.456</v>
      </c>
      <c r="K1459" s="4">
        <f t="shared" si="5"/>
        <v>3.6</v>
      </c>
      <c r="L1459" s="4">
        <f t="shared" si="6"/>
        <v>3.456</v>
      </c>
    </row>
    <row r="1460">
      <c r="A1460" s="3">
        <v>2244.0</v>
      </c>
      <c r="B1460" s="1" t="s">
        <v>2182</v>
      </c>
      <c r="C1460" s="3">
        <v>98.8</v>
      </c>
      <c r="D1460" s="5"/>
      <c r="E1460" s="5"/>
      <c r="F1460" s="5"/>
      <c r="G1460" s="4">
        <f t="shared" si="1"/>
        <v>49.4</v>
      </c>
      <c r="H1460" s="4" t="str">
        <f t="shared" si="2"/>
        <v>Sin precio neto</v>
      </c>
      <c r="I1460" s="4" t="str">
        <f t="shared" si="3"/>
        <v>Sin precio neto G.C.</v>
      </c>
      <c r="J1460" s="4">
        <f t="shared" si="4"/>
        <v>47.424</v>
      </c>
      <c r="K1460" s="4">
        <f t="shared" si="5"/>
        <v>49.4</v>
      </c>
      <c r="L1460" s="4">
        <f t="shared" si="6"/>
        <v>47.424</v>
      </c>
    </row>
    <row r="1461">
      <c r="A1461" s="3">
        <v>2245.0</v>
      </c>
      <c r="B1461" s="1" t="s">
        <v>2183</v>
      </c>
      <c r="C1461" s="3">
        <v>67.2</v>
      </c>
      <c r="D1461" s="5"/>
      <c r="E1461" s="5"/>
      <c r="F1461" s="5"/>
      <c r="G1461" s="4">
        <f t="shared" si="1"/>
        <v>33.6</v>
      </c>
      <c r="H1461" s="4" t="str">
        <f t="shared" si="2"/>
        <v>Sin precio neto</v>
      </c>
      <c r="I1461" s="4" t="str">
        <f t="shared" si="3"/>
        <v>Sin precio neto G.C.</v>
      </c>
      <c r="J1461" s="4">
        <f t="shared" si="4"/>
        <v>32.256</v>
      </c>
      <c r="K1461" s="4">
        <f t="shared" si="5"/>
        <v>33.6</v>
      </c>
      <c r="L1461" s="4">
        <f t="shared" si="6"/>
        <v>32.256</v>
      </c>
    </row>
    <row r="1462">
      <c r="A1462" s="3">
        <v>2413.0</v>
      </c>
      <c r="B1462" s="1" t="s">
        <v>2184</v>
      </c>
      <c r="C1462" s="3">
        <v>13.0</v>
      </c>
      <c r="D1462" s="5"/>
      <c r="E1462" s="5"/>
      <c r="F1462" s="5"/>
      <c r="G1462" s="4">
        <f t="shared" si="1"/>
        <v>6.5</v>
      </c>
      <c r="H1462" s="4" t="str">
        <f t="shared" si="2"/>
        <v>Sin precio neto</v>
      </c>
      <c r="I1462" s="4" t="str">
        <f t="shared" si="3"/>
        <v>Sin precio neto G.C.</v>
      </c>
      <c r="J1462" s="4">
        <f t="shared" si="4"/>
        <v>6.24</v>
      </c>
      <c r="K1462" s="4">
        <f t="shared" si="5"/>
        <v>6.5</v>
      </c>
      <c r="L1462" s="4">
        <f t="shared" si="6"/>
        <v>6.24</v>
      </c>
    </row>
    <row r="1463">
      <c r="A1463" s="3">
        <v>2414.0</v>
      </c>
      <c r="B1463" s="1" t="s">
        <v>2185</v>
      </c>
      <c r="C1463" s="3">
        <v>11.9</v>
      </c>
      <c r="D1463" s="5"/>
      <c r="E1463" s="5"/>
      <c r="F1463" s="5"/>
      <c r="G1463" s="4">
        <f t="shared" si="1"/>
        <v>5.95</v>
      </c>
      <c r="H1463" s="4" t="str">
        <f t="shared" si="2"/>
        <v>Sin precio neto</v>
      </c>
      <c r="I1463" s="4" t="str">
        <f t="shared" si="3"/>
        <v>Sin precio neto G.C.</v>
      </c>
      <c r="J1463" s="4">
        <f t="shared" si="4"/>
        <v>5.712</v>
      </c>
      <c r="K1463" s="4">
        <f t="shared" si="5"/>
        <v>5.95</v>
      </c>
      <c r="L1463" s="4">
        <f t="shared" si="6"/>
        <v>5.712</v>
      </c>
    </row>
    <row r="1464">
      <c r="A1464" s="3">
        <v>2507.0</v>
      </c>
      <c r="B1464" s="1" t="s">
        <v>2186</v>
      </c>
      <c r="C1464" s="3">
        <v>15.8</v>
      </c>
      <c r="D1464" s="5"/>
      <c r="E1464" s="5"/>
      <c r="F1464" s="5"/>
      <c r="G1464" s="4">
        <f t="shared" si="1"/>
        <v>7.9</v>
      </c>
      <c r="H1464" s="4" t="str">
        <f t="shared" si="2"/>
        <v>Sin precio neto</v>
      </c>
      <c r="I1464" s="4" t="str">
        <f t="shared" si="3"/>
        <v>Sin precio neto G.C.</v>
      </c>
      <c r="J1464" s="4">
        <f t="shared" si="4"/>
        <v>7.584</v>
      </c>
      <c r="K1464" s="4">
        <f t="shared" si="5"/>
        <v>7.9</v>
      </c>
      <c r="L1464" s="4">
        <f t="shared" si="6"/>
        <v>7.584</v>
      </c>
    </row>
    <row r="1465">
      <c r="A1465" s="3">
        <v>2518.0</v>
      </c>
      <c r="B1465" s="1" t="s">
        <v>2187</v>
      </c>
      <c r="C1465" s="3">
        <v>32.0</v>
      </c>
      <c r="D1465" s="5"/>
      <c r="E1465" s="5"/>
      <c r="F1465" s="5"/>
      <c r="G1465" s="4">
        <f t="shared" si="1"/>
        <v>16</v>
      </c>
      <c r="H1465" s="4" t="str">
        <f t="shared" si="2"/>
        <v>Sin precio neto</v>
      </c>
      <c r="I1465" s="4" t="str">
        <f t="shared" si="3"/>
        <v>Sin precio neto G.C.</v>
      </c>
      <c r="J1465" s="4">
        <f t="shared" si="4"/>
        <v>15.36</v>
      </c>
      <c r="K1465" s="4">
        <f t="shared" si="5"/>
        <v>16</v>
      </c>
      <c r="L1465" s="4">
        <f t="shared" si="6"/>
        <v>15.36</v>
      </c>
    </row>
    <row r="1466">
      <c r="A1466" s="3">
        <v>2519.0</v>
      </c>
      <c r="B1466" s="1" t="s">
        <v>2188</v>
      </c>
      <c r="C1466" s="3">
        <v>9.8</v>
      </c>
      <c r="D1466" s="5"/>
      <c r="E1466" s="5"/>
      <c r="F1466" s="5"/>
      <c r="G1466" s="4">
        <f t="shared" si="1"/>
        <v>4.9</v>
      </c>
      <c r="H1466" s="4" t="str">
        <f t="shared" si="2"/>
        <v>Sin precio neto</v>
      </c>
      <c r="I1466" s="4" t="str">
        <f t="shared" si="3"/>
        <v>Sin precio neto G.C.</v>
      </c>
      <c r="J1466" s="4">
        <f t="shared" si="4"/>
        <v>4.704</v>
      </c>
      <c r="K1466" s="4">
        <f t="shared" si="5"/>
        <v>4.9</v>
      </c>
      <c r="L1466" s="4">
        <f t="shared" si="6"/>
        <v>4.704</v>
      </c>
    </row>
    <row r="1467">
      <c r="A1467" s="3">
        <v>2520.0</v>
      </c>
      <c r="B1467" s="1" t="s">
        <v>2189</v>
      </c>
      <c r="C1467" s="3">
        <v>9.8</v>
      </c>
      <c r="D1467" s="5"/>
      <c r="E1467" s="5"/>
      <c r="F1467" s="5"/>
      <c r="G1467" s="4">
        <f t="shared" si="1"/>
        <v>4.9</v>
      </c>
      <c r="H1467" s="4" t="str">
        <f t="shared" si="2"/>
        <v>Sin precio neto</v>
      </c>
      <c r="I1467" s="4" t="str">
        <f t="shared" si="3"/>
        <v>Sin precio neto G.C.</v>
      </c>
      <c r="J1467" s="4">
        <f t="shared" si="4"/>
        <v>4.704</v>
      </c>
      <c r="K1467" s="4">
        <f t="shared" si="5"/>
        <v>4.9</v>
      </c>
      <c r="L1467" s="4">
        <f t="shared" si="6"/>
        <v>4.704</v>
      </c>
    </row>
    <row r="1468">
      <c r="A1468" s="3">
        <v>2530.0</v>
      </c>
      <c r="B1468" s="1" t="s">
        <v>2190</v>
      </c>
      <c r="C1468" s="3">
        <v>9.6</v>
      </c>
      <c r="D1468" s="5"/>
      <c r="E1468" s="5"/>
      <c r="F1468" s="5"/>
      <c r="G1468" s="4">
        <f t="shared" si="1"/>
        <v>4.8</v>
      </c>
      <c r="H1468" s="4" t="str">
        <f t="shared" si="2"/>
        <v>Sin precio neto</v>
      </c>
      <c r="I1468" s="4" t="str">
        <f t="shared" si="3"/>
        <v>Sin precio neto G.C.</v>
      </c>
      <c r="J1468" s="4">
        <f t="shared" si="4"/>
        <v>4.608</v>
      </c>
      <c r="K1468" s="4">
        <f t="shared" si="5"/>
        <v>4.8</v>
      </c>
      <c r="L1468" s="4">
        <f t="shared" si="6"/>
        <v>4.608</v>
      </c>
    </row>
    <row r="1469">
      <c r="A1469" s="1" t="s">
        <v>2191</v>
      </c>
      <c r="B1469" s="1" t="s">
        <v>2192</v>
      </c>
      <c r="C1469" s="3">
        <v>5.24</v>
      </c>
      <c r="D1469" s="5"/>
      <c r="E1469" s="5"/>
      <c r="F1469" s="5"/>
      <c r="G1469" s="4">
        <f t="shared" si="1"/>
        <v>2.62</v>
      </c>
      <c r="H1469" s="4" t="str">
        <f t="shared" si="2"/>
        <v>Sin precio neto</v>
      </c>
      <c r="I1469" s="4" t="str">
        <f t="shared" si="3"/>
        <v>Sin precio neto G.C.</v>
      </c>
      <c r="J1469" s="4">
        <f t="shared" si="4"/>
        <v>2.5152</v>
      </c>
      <c r="K1469" s="4">
        <f t="shared" si="5"/>
        <v>2.62</v>
      </c>
      <c r="L1469" s="4">
        <f t="shared" si="6"/>
        <v>2.5152</v>
      </c>
    </row>
    <row r="1470">
      <c r="A1470" s="3">
        <v>2601.0</v>
      </c>
      <c r="B1470" s="1" t="s">
        <v>2193</v>
      </c>
      <c r="C1470" s="3">
        <v>45.5</v>
      </c>
      <c r="D1470" s="5"/>
      <c r="E1470" s="5"/>
      <c r="F1470" s="5"/>
      <c r="G1470" s="4">
        <f t="shared" si="1"/>
        <v>22.75</v>
      </c>
      <c r="H1470" s="4" t="str">
        <f t="shared" si="2"/>
        <v>Sin precio neto</v>
      </c>
      <c r="I1470" s="4" t="str">
        <f t="shared" si="3"/>
        <v>Sin precio neto G.C.</v>
      </c>
      <c r="J1470" s="4">
        <f t="shared" si="4"/>
        <v>21.84</v>
      </c>
      <c r="K1470" s="4">
        <f t="shared" si="5"/>
        <v>22.75</v>
      </c>
      <c r="L1470" s="4">
        <f t="shared" si="6"/>
        <v>21.84</v>
      </c>
    </row>
    <row r="1471">
      <c r="A1471" s="1" t="s">
        <v>2194</v>
      </c>
      <c r="B1471" s="1" t="s">
        <v>2195</v>
      </c>
      <c r="C1471" s="3">
        <v>48.5</v>
      </c>
      <c r="D1471" s="5"/>
      <c r="E1471" s="5"/>
      <c r="F1471" s="5"/>
      <c r="G1471" s="4">
        <f t="shared" si="1"/>
        <v>24.25</v>
      </c>
      <c r="H1471" s="4" t="str">
        <f t="shared" si="2"/>
        <v>Sin precio neto</v>
      </c>
      <c r="I1471" s="4" t="str">
        <f t="shared" si="3"/>
        <v>Sin precio neto G.C.</v>
      </c>
      <c r="J1471" s="4">
        <f t="shared" si="4"/>
        <v>23.28</v>
      </c>
      <c r="K1471" s="4">
        <f t="shared" si="5"/>
        <v>24.25</v>
      </c>
      <c r="L1471" s="4">
        <f t="shared" si="6"/>
        <v>23.28</v>
      </c>
    </row>
    <row r="1472">
      <c r="A1472" s="3">
        <v>2674.0</v>
      </c>
      <c r="B1472" s="1" t="s">
        <v>2196</v>
      </c>
      <c r="C1472" s="3">
        <v>2.54</v>
      </c>
      <c r="D1472" s="5"/>
      <c r="E1472" s="5"/>
      <c r="F1472" s="5"/>
      <c r="G1472" s="4">
        <f t="shared" si="1"/>
        <v>1.27</v>
      </c>
      <c r="H1472" s="4" t="str">
        <f t="shared" si="2"/>
        <v>Sin precio neto</v>
      </c>
      <c r="I1472" s="4" t="str">
        <f t="shared" si="3"/>
        <v>Sin precio neto G.C.</v>
      </c>
      <c r="J1472" s="4">
        <f t="shared" si="4"/>
        <v>1.2192</v>
      </c>
      <c r="K1472" s="4">
        <f t="shared" si="5"/>
        <v>1.27</v>
      </c>
      <c r="L1472" s="4">
        <f t="shared" si="6"/>
        <v>1.2192</v>
      </c>
    </row>
    <row r="1473">
      <c r="A1473" s="1" t="s">
        <v>2197</v>
      </c>
      <c r="B1473" s="1" t="s">
        <v>2198</v>
      </c>
      <c r="C1473" s="3">
        <v>2.54</v>
      </c>
      <c r="D1473" s="5"/>
      <c r="E1473" s="5"/>
      <c r="F1473" s="5"/>
      <c r="G1473" s="4">
        <f t="shared" si="1"/>
        <v>1.27</v>
      </c>
      <c r="H1473" s="4" t="str">
        <f t="shared" si="2"/>
        <v>Sin precio neto</v>
      </c>
      <c r="I1473" s="4" t="str">
        <f t="shared" si="3"/>
        <v>Sin precio neto G.C.</v>
      </c>
      <c r="J1473" s="4">
        <f t="shared" si="4"/>
        <v>1.2192</v>
      </c>
      <c r="K1473" s="4">
        <f t="shared" si="5"/>
        <v>1.27</v>
      </c>
      <c r="L1473" s="4">
        <f t="shared" si="6"/>
        <v>1.2192</v>
      </c>
    </row>
    <row r="1474">
      <c r="A1474" s="3">
        <v>2675.0</v>
      </c>
      <c r="B1474" s="1" t="s">
        <v>2199</v>
      </c>
      <c r="C1474" s="3">
        <v>5.24</v>
      </c>
      <c r="D1474" s="5"/>
      <c r="E1474" s="5"/>
      <c r="F1474" s="5"/>
      <c r="G1474" s="4">
        <f t="shared" si="1"/>
        <v>2.62</v>
      </c>
      <c r="H1474" s="4" t="str">
        <f t="shared" si="2"/>
        <v>Sin precio neto</v>
      </c>
      <c r="I1474" s="4" t="str">
        <f t="shared" si="3"/>
        <v>Sin precio neto G.C.</v>
      </c>
      <c r="J1474" s="4">
        <f t="shared" si="4"/>
        <v>2.5152</v>
      </c>
      <c r="K1474" s="4">
        <f t="shared" si="5"/>
        <v>2.62</v>
      </c>
      <c r="L1474" s="4">
        <f t="shared" si="6"/>
        <v>2.5152</v>
      </c>
    </row>
    <row r="1475">
      <c r="A1475" s="1" t="s">
        <v>2200</v>
      </c>
      <c r="B1475" s="1" t="s">
        <v>2192</v>
      </c>
      <c r="C1475" s="3">
        <v>5.24</v>
      </c>
      <c r="D1475" s="5"/>
      <c r="E1475" s="5"/>
      <c r="F1475" s="5"/>
      <c r="G1475" s="4">
        <f t="shared" si="1"/>
        <v>2.62</v>
      </c>
      <c r="H1475" s="4" t="str">
        <f t="shared" si="2"/>
        <v>Sin precio neto</v>
      </c>
      <c r="I1475" s="4" t="str">
        <f t="shared" si="3"/>
        <v>Sin precio neto G.C.</v>
      </c>
      <c r="J1475" s="4">
        <f t="shared" si="4"/>
        <v>2.5152</v>
      </c>
      <c r="K1475" s="4">
        <f t="shared" si="5"/>
        <v>2.62</v>
      </c>
      <c r="L1475" s="4">
        <f t="shared" si="6"/>
        <v>2.5152</v>
      </c>
    </row>
    <row r="1476">
      <c r="A1476" s="3">
        <v>2676.0</v>
      </c>
      <c r="B1476" s="1" t="s">
        <v>2201</v>
      </c>
      <c r="C1476" s="3">
        <v>9.2</v>
      </c>
      <c r="D1476" s="5"/>
      <c r="E1476" s="5"/>
      <c r="F1476" s="5"/>
      <c r="G1476" s="4">
        <f t="shared" si="1"/>
        <v>4.6</v>
      </c>
      <c r="H1476" s="4" t="str">
        <f t="shared" si="2"/>
        <v>Sin precio neto</v>
      </c>
      <c r="I1476" s="4" t="str">
        <f t="shared" si="3"/>
        <v>Sin precio neto G.C.</v>
      </c>
      <c r="J1476" s="4">
        <f t="shared" si="4"/>
        <v>4.416</v>
      </c>
      <c r="K1476" s="4">
        <f t="shared" si="5"/>
        <v>4.6</v>
      </c>
      <c r="L1476" s="4">
        <f t="shared" si="6"/>
        <v>4.416</v>
      </c>
    </row>
    <row r="1477">
      <c r="A1477" s="1" t="s">
        <v>2202</v>
      </c>
      <c r="B1477" s="1" t="s">
        <v>2203</v>
      </c>
      <c r="C1477" s="3">
        <v>9.2</v>
      </c>
      <c r="D1477" s="5"/>
      <c r="E1477" s="5"/>
      <c r="F1477" s="5"/>
      <c r="G1477" s="4">
        <f t="shared" si="1"/>
        <v>4.6</v>
      </c>
      <c r="H1477" s="4" t="str">
        <f t="shared" si="2"/>
        <v>Sin precio neto</v>
      </c>
      <c r="I1477" s="4" t="str">
        <f t="shared" si="3"/>
        <v>Sin precio neto G.C.</v>
      </c>
      <c r="J1477" s="4">
        <f t="shared" si="4"/>
        <v>4.416</v>
      </c>
      <c r="K1477" s="4">
        <f t="shared" si="5"/>
        <v>4.6</v>
      </c>
      <c r="L1477" s="4">
        <f t="shared" si="6"/>
        <v>4.416</v>
      </c>
    </row>
    <row r="1478">
      <c r="A1478" s="3">
        <v>2677.0</v>
      </c>
      <c r="B1478" s="1" t="s">
        <v>2204</v>
      </c>
      <c r="C1478" s="3">
        <v>25.24</v>
      </c>
      <c r="D1478" s="5"/>
      <c r="E1478" s="5"/>
      <c r="F1478" s="5"/>
      <c r="G1478" s="4">
        <f t="shared" si="1"/>
        <v>12.62</v>
      </c>
      <c r="H1478" s="4" t="str">
        <f t="shared" si="2"/>
        <v>Sin precio neto</v>
      </c>
      <c r="I1478" s="4" t="str">
        <f t="shared" si="3"/>
        <v>Sin precio neto G.C.</v>
      </c>
      <c r="J1478" s="4">
        <f t="shared" si="4"/>
        <v>12.1152</v>
      </c>
      <c r="K1478" s="4">
        <f t="shared" si="5"/>
        <v>12.62</v>
      </c>
      <c r="L1478" s="4">
        <f t="shared" si="6"/>
        <v>12.1152</v>
      </c>
    </row>
    <row r="1479">
      <c r="A1479" s="1" t="s">
        <v>2205</v>
      </c>
      <c r="B1479" s="1" t="s">
        <v>2206</v>
      </c>
      <c r="C1479" s="3">
        <v>25.24</v>
      </c>
      <c r="D1479" s="5"/>
      <c r="E1479" s="5"/>
      <c r="F1479" s="5"/>
      <c r="G1479" s="4">
        <f t="shared" si="1"/>
        <v>12.62</v>
      </c>
      <c r="H1479" s="4" t="str">
        <f t="shared" si="2"/>
        <v>Sin precio neto</v>
      </c>
      <c r="I1479" s="4" t="str">
        <f t="shared" si="3"/>
        <v>Sin precio neto G.C.</v>
      </c>
      <c r="J1479" s="4">
        <f t="shared" si="4"/>
        <v>12.1152</v>
      </c>
      <c r="K1479" s="4">
        <f t="shared" si="5"/>
        <v>12.62</v>
      </c>
      <c r="L1479" s="4">
        <f t="shared" si="6"/>
        <v>12.1152</v>
      </c>
    </row>
    <row r="1480">
      <c r="A1480" s="3">
        <v>2700.0</v>
      </c>
      <c r="B1480" s="1" t="s">
        <v>2207</v>
      </c>
      <c r="C1480" s="3">
        <v>5.04</v>
      </c>
      <c r="D1480" s="3">
        <v>1.95</v>
      </c>
      <c r="E1480" s="3">
        <v>1.95</v>
      </c>
      <c r="F1480" s="3">
        <v>15.0</v>
      </c>
      <c r="G1480" s="4">
        <f t="shared" si="1"/>
        <v>2.52</v>
      </c>
      <c r="H1480" s="4" t="str">
        <f t="shared" si="2"/>
        <v>Neto: 1,95 € (a partir de 15 uds.)</v>
      </c>
      <c r="I1480" s="4" t="str">
        <f t="shared" si="3"/>
        <v>Neto G.C.: 1,95 € (a partir de 15 uds.)</v>
      </c>
      <c r="J1480" s="4">
        <f t="shared" si="4"/>
        <v>2.4192</v>
      </c>
      <c r="K1480" s="4">
        <f t="shared" si="5"/>
        <v>2.52</v>
      </c>
      <c r="L1480" s="4">
        <f t="shared" si="6"/>
        <v>2.4192</v>
      </c>
    </row>
    <row r="1481">
      <c r="A1481" s="3">
        <v>2701.0</v>
      </c>
      <c r="B1481" s="1" t="s">
        <v>2208</v>
      </c>
      <c r="C1481" s="3">
        <v>6.2</v>
      </c>
      <c r="D1481" s="5"/>
      <c r="E1481" s="5"/>
      <c r="F1481" s="5"/>
      <c r="G1481" s="4">
        <f t="shared" si="1"/>
        <v>3.1</v>
      </c>
      <c r="H1481" s="4" t="str">
        <f t="shared" si="2"/>
        <v>Sin precio neto</v>
      </c>
      <c r="I1481" s="4" t="str">
        <f t="shared" si="3"/>
        <v>Sin precio neto G.C.</v>
      </c>
      <c r="J1481" s="4">
        <f t="shared" si="4"/>
        <v>2.976</v>
      </c>
      <c r="K1481" s="4">
        <f t="shared" si="5"/>
        <v>3.1</v>
      </c>
      <c r="L1481" s="4">
        <f t="shared" si="6"/>
        <v>2.976</v>
      </c>
    </row>
    <row r="1482">
      <c r="A1482" s="1" t="s">
        <v>2209</v>
      </c>
      <c r="B1482" s="1" t="s">
        <v>2210</v>
      </c>
      <c r="C1482" s="3">
        <v>1.2</v>
      </c>
      <c r="D1482" s="5"/>
      <c r="E1482" s="5"/>
      <c r="F1482" s="5"/>
      <c r="G1482" s="4">
        <f t="shared" si="1"/>
        <v>0.6</v>
      </c>
      <c r="H1482" s="4" t="str">
        <f t="shared" si="2"/>
        <v>Sin precio neto</v>
      </c>
      <c r="I1482" s="4" t="str">
        <f t="shared" si="3"/>
        <v>Sin precio neto G.C.</v>
      </c>
      <c r="J1482" s="4">
        <f t="shared" si="4"/>
        <v>0.576</v>
      </c>
      <c r="K1482" s="4">
        <f t="shared" si="5"/>
        <v>0.6</v>
      </c>
      <c r="L1482" s="4">
        <f t="shared" si="6"/>
        <v>0.576</v>
      </c>
    </row>
    <row r="1483">
      <c r="A1483" s="1" t="s">
        <v>2211</v>
      </c>
      <c r="B1483" s="1" t="s">
        <v>2212</v>
      </c>
      <c r="C1483" s="3">
        <v>3.9</v>
      </c>
      <c r="D1483" s="3">
        <v>1.95</v>
      </c>
      <c r="E1483" s="3">
        <v>1.9</v>
      </c>
      <c r="F1483" s="3">
        <v>12.0</v>
      </c>
      <c r="G1483" s="4">
        <f t="shared" si="1"/>
        <v>1.95</v>
      </c>
      <c r="H1483" s="4" t="str">
        <f t="shared" si="2"/>
        <v>Neto: 1,95 € (a partir de 12 uds.)</v>
      </c>
      <c r="I1483" s="4" t="str">
        <f t="shared" si="3"/>
        <v>Neto G.C.: 1,90 € (a partir de 12 uds.)</v>
      </c>
      <c r="J1483" s="4">
        <f t="shared" si="4"/>
        <v>1.872</v>
      </c>
      <c r="K1483" s="4">
        <f t="shared" si="5"/>
        <v>1.95</v>
      </c>
      <c r="L1483" s="4">
        <f t="shared" si="6"/>
        <v>1.872</v>
      </c>
    </row>
    <row r="1484">
      <c r="A1484" s="1" t="s">
        <v>2213</v>
      </c>
      <c r="B1484" s="1" t="s">
        <v>2214</v>
      </c>
      <c r="C1484" s="3">
        <v>3.9</v>
      </c>
      <c r="D1484" s="3">
        <v>1.95</v>
      </c>
      <c r="E1484" s="3">
        <v>1.9</v>
      </c>
      <c r="F1484" s="3">
        <v>12.0</v>
      </c>
      <c r="G1484" s="4">
        <f t="shared" si="1"/>
        <v>1.95</v>
      </c>
      <c r="H1484" s="4" t="str">
        <f t="shared" si="2"/>
        <v>Neto: 1,95 € (a partir de 12 uds.)</v>
      </c>
      <c r="I1484" s="4" t="str">
        <f t="shared" si="3"/>
        <v>Neto G.C.: 1,90 € (a partir de 12 uds.)</v>
      </c>
      <c r="J1484" s="4">
        <f t="shared" si="4"/>
        <v>1.872</v>
      </c>
      <c r="K1484" s="4">
        <f t="shared" si="5"/>
        <v>1.95</v>
      </c>
      <c r="L1484" s="4">
        <f t="shared" si="6"/>
        <v>1.872</v>
      </c>
    </row>
    <row r="1485">
      <c r="A1485" s="1" t="s">
        <v>2215</v>
      </c>
      <c r="B1485" s="1" t="s">
        <v>2216</v>
      </c>
      <c r="C1485" s="3">
        <v>3.9</v>
      </c>
      <c r="D1485" s="3">
        <v>1.95</v>
      </c>
      <c r="E1485" s="3">
        <v>1.9</v>
      </c>
      <c r="F1485" s="3">
        <v>12.0</v>
      </c>
      <c r="G1485" s="4">
        <f t="shared" si="1"/>
        <v>1.95</v>
      </c>
      <c r="H1485" s="4" t="str">
        <f t="shared" si="2"/>
        <v>Neto: 1,95 € (a partir de 12 uds.)</v>
      </c>
      <c r="I1485" s="4" t="str">
        <f t="shared" si="3"/>
        <v>Neto G.C.: 1,90 € (a partir de 12 uds.)</v>
      </c>
      <c r="J1485" s="4">
        <f t="shared" si="4"/>
        <v>1.872</v>
      </c>
      <c r="K1485" s="4">
        <f t="shared" si="5"/>
        <v>1.95</v>
      </c>
      <c r="L1485" s="4">
        <f t="shared" si="6"/>
        <v>1.872</v>
      </c>
    </row>
    <row r="1486">
      <c r="A1486" s="1" t="s">
        <v>2217</v>
      </c>
      <c r="B1486" s="1" t="s">
        <v>2218</v>
      </c>
      <c r="C1486" s="3">
        <v>4.9</v>
      </c>
      <c r="D1486" s="3">
        <v>1.95</v>
      </c>
      <c r="E1486" s="3">
        <v>1.9</v>
      </c>
      <c r="F1486" s="3">
        <v>12.0</v>
      </c>
      <c r="G1486" s="4">
        <f t="shared" si="1"/>
        <v>2.45</v>
      </c>
      <c r="H1486" s="4" t="str">
        <f t="shared" si="2"/>
        <v>Neto: 1,95 € (a partir de 12 uds.)</v>
      </c>
      <c r="I1486" s="4" t="str">
        <f t="shared" si="3"/>
        <v>Neto G.C.: 1,90 € (a partir de 12 uds.)</v>
      </c>
      <c r="J1486" s="4">
        <f t="shared" si="4"/>
        <v>2.352</v>
      </c>
      <c r="K1486" s="4">
        <f t="shared" si="5"/>
        <v>2.45</v>
      </c>
      <c r="L1486" s="4">
        <f t="shared" si="6"/>
        <v>2.352</v>
      </c>
    </row>
    <row r="1487">
      <c r="A1487" s="1" t="s">
        <v>2219</v>
      </c>
      <c r="B1487" s="1" t="s">
        <v>2220</v>
      </c>
      <c r="C1487" s="3">
        <v>4.9</v>
      </c>
      <c r="D1487" s="3">
        <v>1.95</v>
      </c>
      <c r="E1487" s="3">
        <v>1.9</v>
      </c>
      <c r="F1487" s="3">
        <v>12.0</v>
      </c>
      <c r="G1487" s="4">
        <f t="shared" si="1"/>
        <v>2.45</v>
      </c>
      <c r="H1487" s="4" t="str">
        <f t="shared" si="2"/>
        <v>Neto: 1,95 € (a partir de 12 uds.)</v>
      </c>
      <c r="I1487" s="4" t="str">
        <f t="shared" si="3"/>
        <v>Neto G.C.: 1,90 € (a partir de 12 uds.)</v>
      </c>
      <c r="J1487" s="4">
        <f t="shared" si="4"/>
        <v>2.352</v>
      </c>
      <c r="K1487" s="4">
        <f t="shared" si="5"/>
        <v>2.45</v>
      </c>
      <c r="L1487" s="4">
        <f t="shared" si="6"/>
        <v>2.352</v>
      </c>
    </row>
    <row r="1488">
      <c r="A1488" s="1" t="s">
        <v>2221</v>
      </c>
      <c r="B1488" s="1" t="s">
        <v>2222</v>
      </c>
      <c r="C1488" s="3">
        <v>4.9</v>
      </c>
      <c r="D1488" s="3">
        <v>1.95</v>
      </c>
      <c r="E1488" s="3">
        <v>1.9</v>
      </c>
      <c r="F1488" s="3">
        <v>12.0</v>
      </c>
      <c r="G1488" s="4">
        <f t="shared" si="1"/>
        <v>2.45</v>
      </c>
      <c r="H1488" s="4" t="str">
        <f t="shared" si="2"/>
        <v>Neto: 1,95 € (a partir de 12 uds.)</v>
      </c>
      <c r="I1488" s="4" t="str">
        <f t="shared" si="3"/>
        <v>Neto G.C.: 1,90 € (a partir de 12 uds.)</v>
      </c>
      <c r="J1488" s="4">
        <f t="shared" si="4"/>
        <v>2.352</v>
      </c>
      <c r="K1488" s="4">
        <f t="shared" si="5"/>
        <v>2.45</v>
      </c>
      <c r="L1488" s="4">
        <f t="shared" si="6"/>
        <v>2.352</v>
      </c>
    </row>
    <row r="1489">
      <c r="A1489" s="1" t="s">
        <v>2223</v>
      </c>
      <c r="B1489" s="1" t="s">
        <v>2224</v>
      </c>
      <c r="C1489" s="3">
        <v>8.7</v>
      </c>
      <c r="D1489" s="3">
        <v>1.95</v>
      </c>
      <c r="E1489" s="3">
        <v>1.9</v>
      </c>
      <c r="F1489" s="3">
        <v>12.0</v>
      </c>
      <c r="G1489" s="4">
        <f t="shared" si="1"/>
        <v>4.35</v>
      </c>
      <c r="H1489" s="4" t="str">
        <f t="shared" si="2"/>
        <v>Neto: 1,95 € (a partir de 12 uds.)</v>
      </c>
      <c r="I1489" s="4" t="str">
        <f t="shared" si="3"/>
        <v>Neto G.C.: 1,90 € (a partir de 12 uds.)</v>
      </c>
      <c r="J1489" s="4">
        <f t="shared" si="4"/>
        <v>4.176</v>
      </c>
      <c r="K1489" s="4">
        <f t="shared" si="5"/>
        <v>4.35</v>
      </c>
      <c r="L1489" s="4">
        <f t="shared" si="6"/>
        <v>4.176</v>
      </c>
    </row>
    <row r="1490">
      <c r="A1490" s="1" t="s">
        <v>2225</v>
      </c>
      <c r="B1490" s="1" t="s">
        <v>2226</v>
      </c>
      <c r="C1490" s="3">
        <v>8.7</v>
      </c>
      <c r="D1490" s="3">
        <v>1.95</v>
      </c>
      <c r="E1490" s="3">
        <v>1.9</v>
      </c>
      <c r="F1490" s="3">
        <v>12.0</v>
      </c>
      <c r="G1490" s="4">
        <f t="shared" si="1"/>
        <v>4.35</v>
      </c>
      <c r="H1490" s="4" t="str">
        <f t="shared" si="2"/>
        <v>Neto: 1,95 € (a partir de 12 uds.)</v>
      </c>
      <c r="I1490" s="4" t="str">
        <f t="shared" si="3"/>
        <v>Neto G.C.: 1,90 € (a partir de 12 uds.)</v>
      </c>
      <c r="J1490" s="4">
        <f t="shared" si="4"/>
        <v>4.176</v>
      </c>
      <c r="K1490" s="4">
        <f t="shared" si="5"/>
        <v>4.35</v>
      </c>
      <c r="L1490" s="4">
        <f t="shared" si="6"/>
        <v>4.176</v>
      </c>
    </row>
    <row r="1491">
      <c r="A1491" s="1" t="s">
        <v>2227</v>
      </c>
      <c r="B1491" s="1" t="s">
        <v>2228</v>
      </c>
      <c r="C1491" s="3">
        <v>8.7</v>
      </c>
      <c r="D1491" s="3">
        <v>1.95</v>
      </c>
      <c r="E1491" s="3">
        <v>1.9</v>
      </c>
      <c r="F1491" s="3">
        <v>12.0</v>
      </c>
      <c r="G1491" s="4">
        <f t="shared" si="1"/>
        <v>4.35</v>
      </c>
      <c r="H1491" s="4" t="str">
        <f t="shared" si="2"/>
        <v>Neto: 1,95 € (a partir de 12 uds.)</v>
      </c>
      <c r="I1491" s="4" t="str">
        <f t="shared" si="3"/>
        <v>Neto G.C.: 1,90 € (a partir de 12 uds.)</v>
      </c>
      <c r="J1491" s="4">
        <f t="shared" si="4"/>
        <v>4.176</v>
      </c>
      <c r="K1491" s="4">
        <f t="shared" si="5"/>
        <v>4.35</v>
      </c>
      <c r="L1491" s="4">
        <f t="shared" si="6"/>
        <v>4.176</v>
      </c>
    </row>
    <row r="1492">
      <c r="A1492" s="3">
        <v>2703.0</v>
      </c>
      <c r="B1492" s="1" t="s">
        <v>2229</v>
      </c>
      <c r="C1492" s="3">
        <v>26.5</v>
      </c>
      <c r="D1492" s="5"/>
      <c r="E1492" s="5"/>
      <c r="F1492" s="5"/>
      <c r="G1492" s="4">
        <f t="shared" si="1"/>
        <v>13.25</v>
      </c>
      <c r="H1492" s="4" t="str">
        <f t="shared" si="2"/>
        <v>Sin precio neto</v>
      </c>
      <c r="I1492" s="4" t="str">
        <f t="shared" si="3"/>
        <v>Sin precio neto G.C.</v>
      </c>
      <c r="J1492" s="4">
        <f t="shared" si="4"/>
        <v>12.72</v>
      </c>
      <c r="K1492" s="4">
        <f t="shared" si="5"/>
        <v>13.25</v>
      </c>
      <c r="L1492" s="4">
        <f t="shared" si="6"/>
        <v>12.72</v>
      </c>
    </row>
    <row r="1493">
      <c r="A1493" s="3">
        <v>2704.0</v>
      </c>
      <c r="B1493" s="1" t="s">
        <v>2230</v>
      </c>
      <c r="C1493" s="3">
        <v>48.5</v>
      </c>
      <c r="D1493" s="5"/>
      <c r="E1493" s="5"/>
      <c r="F1493" s="5"/>
      <c r="G1493" s="4">
        <f t="shared" si="1"/>
        <v>24.25</v>
      </c>
      <c r="H1493" s="4" t="str">
        <f t="shared" si="2"/>
        <v>Sin precio neto</v>
      </c>
      <c r="I1493" s="4" t="str">
        <f t="shared" si="3"/>
        <v>Sin precio neto G.C.</v>
      </c>
      <c r="J1493" s="4">
        <f t="shared" si="4"/>
        <v>23.28</v>
      </c>
      <c r="K1493" s="4">
        <f t="shared" si="5"/>
        <v>24.25</v>
      </c>
      <c r="L1493" s="4">
        <f t="shared" si="6"/>
        <v>23.28</v>
      </c>
    </row>
    <row r="1494">
      <c r="A1494" s="3">
        <v>2705.0</v>
      </c>
      <c r="B1494" s="1" t="s">
        <v>2231</v>
      </c>
      <c r="C1494" s="3">
        <v>76.0</v>
      </c>
      <c r="D1494" s="5"/>
      <c r="E1494" s="5"/>
      <c r="F1494" s="5"/>
      <c r="G1494" s="4">
        <f t="shared" si="1"/>
        <v>38</v>
      </c>
      <c r="H1494" s="4" t="str">
        <f t="shared" si="2"/>
        <v>Sin precio neto</v>
      </c>
      <c r="I1494" s="4" t="str">
        <f t="shared" si="3"/>
        <v>Sin precio neto G.C.</v>
      </c>
      <c r="J1494" s="4">
        <f t="shared" si="4"/>
        <v>36.48</v>
      </c>
      <c r="K1494" s="4">
        <f t="shared" si="5"/>
        <v>38</v>
      </c>
      <c r="L1494" s="4">
        <f t="shared" si="6"/>
        <v>36.48</v>
      </c>
    </row>
    <row r="1495">
      <c r="A1495" s="3">
        <v>2706.0</v>
      </c>
      <c r="B1495" s="1" t="s">
        <v>2232</v>
      </c>
      <c r="C1495" s="3">
        <v>2.08</v>
      </c>
      <c r="D1495" s="5"/>
      <c r="E1495" s="5"/>
      <c r="F1495" s="5"/>
      <c r="G1495" s="4">
        <f t="shared" si="1"/>
        <v>1.04</v>
      </c>
      <c r="H1495" s="4" t="str">
        <f t="shared" si="2"/>
        <v>Sin precio neto</v>
      </c>
      <c r="I1495" s="4" t="str">
        <f t="shared" si="3"/>
        <v>Sin precio neto G.C.</v>
      </c>
      <c r="J1495" s="4">
        <f t="shared" si="4"/>
        <v>0.9984</v>
      </c>
      <c r="K1495" s="4">
        <f t="shared" si="5"/>
        <v>1.04</v>
      </c>
      <c r="L1495" s="4">
        <f t="shared" si="6"/>
        <v>0.9984</v>
      </c>
    </row>
    <row r="1496">
      <c r="A1496" s="3">
        <v>2707.0</v>
      </c>
      <c r="B1496" s="1" t="s">
        <v>2233</v>
      </c>
      <c r="C1496" s="3">
        <v>1.6</v>
      </c>
      <c r="D1496" s="5"/>
      <c r="E1496" s="5"/>
      <c r="F1496" s="5"/>
      <c r="G1496" s="4">
        <f t="shared" si="1"/>
        <v>0.8</v>
      </c>
      <c r="H1496" s="4" t="str">
        <f t="shared" si="2"/>
        <v>Sin precio neto</v>
      </c>
      <c r="I1496" s="4" t="str">
        <f t="shared" si="3"/>
        <v>Sin precio neto G.C.</v>
      </c>
      <c r="J1496" s="4">
        <f t="shared" si="4"/>
        <v>0.768</v>
      </c>
      <c r="K1496" s="4">
        <f t="shared" si="5"/>
        <v>0.8</v>
      </c>
      <c r="L1496" s="4">
        <f t="shared" si="6"/>
        <v>0.768</v>
      </c>
    </row>
    <row r="1497">
      <c r="A1497" s="3">
        <v>2708.0</v>
      </c>
      <c r="B1497" s="1" t="s">
        <v>2234</v>
      </c>
      <c r="C1497" s="3">
        <v>1.7</v>
      </c>
      <c r="D1497" s="5"/>
      <c r="E1497" s="5"/>
      <c r="F1497" s="5"/>
      <c r="G1497" s="4">
        <f t="shared" si="1"/>
        <v>0.85</v>
      </c>
      <c r="H1497" s="4" t="str">
        <f t="shared" si="2"/>
        <v>Sin precio neto</v>
      </c>
      <c r="I1497" s="4" t="str">
        <f t="shared" si="3"/>
        <v>Sin precio neto G.C.</v>
      </c>
      <c r="J1497" s="4">
        <f t="shared" si="4"/>
        <v>0.816</v>
      </c>
      <c r="K1497" s="4">
        <f t="shared" si="5"/>
        <v>0.85</v>
      </c>
      <c r="L1497" s="4">
        <f t="shared" si="6"/>
        <v>0.816</v>
      </c>
    </row>
    <row r="1498">
      <c r="A1498" s="3">
        <v>2709.0</v>
      </c>
      <c r="B1498" s="1" t="s">
        <v>2235</v>
      </c>
      <c r="C1498" s="3">
        <v>3.26</v>
      </c>
      <c r="D1498" s="5"/>
      <c r="E1498" s="5"/>
      <c r="F1498" s="5"/>
      <c r="G1498" s="4">
        <f t="shared" si="1"/>
        <v>1.63</v>
      </c>
      <c r="H1498" s="4" t="str">
        <f t="shared" si="2"/>
        <v>Sin precio neto</v>
      </c>
      <c r="I1498" s="4" t="str">
        <f t="shared" si="3"/>
        <v>Sin precio neto G.C.</v>
      </c>
      <c r="J1498" s="4">
        <f t="shared" si="4"/>
        <v>1.5648</v>
      </c>
      <c r="K1498" s="4">
        <f t="shared" si="5"/>
        <v>1.63</v>
      </c>
      <c r="L1498" s="4">
        <f t="shared" si="6"/>
        <v>1.5648</v>
      </c>
    </row>
    <row r="1499">
      <c r="A1499" s="3">
        <v>2710.0</v>
      </c>
      <c r="B1499" s="1" t="s">
        <v>2236</v>
      </c>
      <c r="C1499" s="3">
        <v>3.5</v>
      </c>
      <c r="D1499" s="5"/>
      <c r="E1499" s="5"/>
      <c r="F1499" s="5"/>
      <c r="G1499" s="4">
        <f t="shared" si="1"/>
        <v>1.75</v>
      </c>
      <c r="H1499" s="4" t="str">
        <f t="shared" si="2"/>
        <v>Sin precio neto</v>
      </c>
      <c r="I1499" s="4" t="str">
        <f t="shared" si="3"/>
        <v>Sin precio neto G.C.</v>
      </c>
      <c r="J1499" s="4">
        <f t="shared" si="4"/>
        <v>1.68</v>
      </c>
      <c r="K1499" s="4">
        <f t="shared" si="5"/>
        <v>1.75</v>
      </c>
      <c r="L1499" s="4">
        <f t="shared" si="6"/>
        <v>1.68</v>
      </c>
    </row>
    <row r="1500">
      <c r="A1500" s="3">
        <v>2711.0</v>
      </c>
      <c r="B1500" s="1" t="s">
        <v>2237</v>
      </c>
      <c r="C1500" s="3">
        <v>3.5</v>
      </c>
      <c r="D1500" s="5"/>
      <c r="E1500" s="5"/>
      <c r="F1500" s="5"/>
      <c r="G1500" s="4">
        <f t="shared" si="1"/>
        <v>1.75</v>
      </c>
      <c r="H1500" s="4" t="str">
        <f t="shared" si="2"/>
        <v>Sin precio neto</v>
      </c>
      <c r="I1500" s="4" t="str">
        <f t="shared" si="3"/>
        <v>Sin precio neto G.C.</v>
      </c>
      <c r="J1500" s="4">
        <f t="shared" si="4"/>
        <v>1.68</v>
      </c>
      <c r="K1500" s="4">
        <f t="shared" si="5"/>
        <v>1.75</v>
      </c>
      <c r="L1500" s="4">
        <f t="shared" si="6"/>
        <v>1.68</v>
      </c>
    </row>
    <row r="1501">
      <c r="A1501" s="3">
        <v>2712.0</v>
      </c>
      <c r="B1501" s="1" t="s">
        <v>2238</v>
      </c>
      <c r="C1501" s="3">
        <v>3.5</v>
      </c>
      <c r="D1501" s="5"/>
      <c r="E1501" s="5"/>
      <c r="F1501" s="5"/>
      <c r="G1501" s="4">
        <f t="shared" si="1"/>
        <v>1.75</v>
      </c>
      <c r="H1501" s="4" t="str">
        <f t="shared" si="2"/>
        <v>Sin precio neto</v>
      </c>
      <c r="I1501" s="4" t="str">
        <f t="shared" si="3"/>
        <v>Sin precio neto G.C.</v>
      </c>
      <c r="J1501" s="4">
        <f t="shared" si="4"/>
        <v>1.68</v>
      </c>
      <c r="K1501" s="4">
        <f t="shared" si="5"/>
        <v>1.75</v>
      </c>
      <c r="L1501" s="4">
        <f t="shared" si="6"/>
        <v>1.68</v>
      </c>
    </row>
    <row r="1502">
      <c r="A1502" s="3">
        <v>2713.0</v>
      </c>
      <c r="B1502" s="1" t="s">
        <v>2239</v>
      </c>
      <c r="C1502" s="3">
        <v>3.5</v>
      </c>
      <c r="D1502" s="5"/>
      <c r="E1502" s="5"/>
      <c r="F1502" s="5"/>
      <c r="G1502" s="4">
        <f t="shared" si="1"/>
        <v>1.75</v>
      </c>
      <c r="H1502" s="4" t="str">
        <f t="shared" si="2"/>
        <v>Sin precio neto</v>
      </c>
      <c r="I1502" s="4" t="str">
        <f t="shared" si="3"/>
        <v>Sin precio neto G.C.</v>
      </c>
      <c r="J1502" s="4">
        <f t="shared" si="4"/>
        <v>1.68</v>
      </c>
      <c r="K1502" s="4">
        <f t="shared" si="5"/>
        <v>1.75</v>
      </c>
      <c r="L1502" s="4">
        <f t="shared" si="6"/>
        <v>1.68</v>
      </c>
    </row>
    <row r="1503">
      <c r="A1503" s="3">
        <v>2714.0</v>
      </c>
      <c r="B1503" s="1" t="s">
        <v>2240</v>
      </c>
      <c r="C1503" s="3">
        <v>18.5</v>
      </c>
      <c r="D1503" s="5"/>
      <c r="E1503" s="5"/>
      <c r="F1503" s="5"/>
      <c r="G1503" s="4">
        <f t="shared" si="1"/>
        <v>9.25</v>
      </c>
      <c r="H1503" s="4" t="str">
        <f t="shared" si="2"/>
        <v>Sin precio neto</v>
      </c>
      <c r="I1503" s="4" t="str">
        <f t="shared" si="3"/>
        <v>Sin precio neto G.C.</v>
      </c>
      <c r="J1503" s="4">
        <f t="shared" si="4"/>
        <v>8.88</v>
      </c>
      <c r="K1503" s="4">
        <f t="shared" si="5"/>
        <v>9.25</v>
      </c>
      <c r="L1503" s="4">
        <f t="shared" si="6"/>
        <v>8.88</v>
      </c>
    </row>
    <row r="1504">
      <c r="A1504" s="3">
        <v>2715.0</v>
      </c>
      <c r="B1504" s="1" t="s">
        <v>2241</v>
      </c>
      <c r="C1504" s="3">
        <v>0.94</v>
      </c>
      <c r="D1504" s="5"/>
      <c r="E1504" s="5"/>
      <c r="F1504" s="5"/>
      <c r="G1504" s="4">
        <f t="shared" si="1"/>
        <v>0.47</v>
      </c>
      <c r="H1504" s="4" t="str">
        <f t="shared" si="2"/>
        <v>Sin precio neto</v>
      </c>
      <c r="I1504" s="4" t="str">
        <f t="shared" si="3"/>
        <v>Sin precio neto G.C.</v>
      </c>
      <c r="J1504" s="4">
        <f t="shared" si="4"/>
        <v>0.4512</v>
      </c>
      <c r="K1504" s="4">
        <f t="shared" si="5"/>
        <v>0.47</v>
      </c>
      <c r="L1504" s="4">
        <f t="shared" si="6"/>
        <v>0.4512</v>
      </c>
    </row>
    <row r="1505">
      <c r="A1505" s="3">
        <v>2716.0</v>
      </c>
      <c r="B1505" s="1" t="s">
        <v>2242</v>
      </c>
      <c r="C1505" s="3">
        <v>17.5</v>
      </c>
      <c r="D1505" s="5"/>
      <c r="E1505" s="5"/>
      <c r="F1505" s="5"/>
      <c r="G1505" s="4">
        <f t="shared" si="1"/>
        <v>8.75</v>
      </c>
      <c r="H1505" s="4" t="str">
        <f t="shared" si="2"/>
        <v>Sin precio neto</v>
      </c>
      <c r="I1505" s="4" t="str">
        <f t="shared" si="3"/>
        <v>Sin precio neto G.C.</v>
      </c>
      <c r="J1505" s="4">
        <f t="shared" si="4"/>
        <v>8.4</v>
      </c>
      <c r="K1505" s="4">
        <f t="shared" si="5"/>
        <v>8.75</v>
      </c>
      <c r="L1505" s="4">
        <f t="shared" si="6"/>
        <v>8.4</v>
      </c>
    </row>
    <row r="1506">
      <c r="A1506" s="3">
        <v>2785.0</v>
      </c>
      <c r="B1506" s="1" t="s">
        <v>2243</v>
      </c>
      <c r="C1506" s="3">
        <v>154.0</v>
      </c>
      <c r="D1506" s="5"/>
      <c r="E1506" s="5"/>
      <c r="F1506" s="5"/>
      <c r="G1506" s="4">
        <f t="shared" si="1"/>
        <v>77</v>
      </c>
      <c r="H1506" s="4" t="str">
        <f t="shared" si="2"/>
        <v>Sin precio neto</v>
      </c>
      <c r="I1506" s="4" t="str">
        <f t="shared" si="3"/>
        <v>Sin precio neto G.C.</v>
      </c>
      <c r="J1506" s="4">
        <f t="shared" si="4"/>
        <v>73.92</v>
      </c>
      <c r="K1506" s="4">
        <f t="shared" si="5"/>
        <v>77</v>
      </c>
      <c r="L1506" s="4">
        <f t="shared" si="6"/>
        <v>73.92</v>
      </c>
    </row>
    <row r="1507">
      <c r="A1507" s="3">
        <v>2800.0</v>
      </c>
      <c r="B1507" s="1" t="s">
        <v>2244</v>
      </c>
      <c r="C1507" s="3">
        <v>18.0</v>
      </c>
      <c r="D1507" s="5"/>
      <c r="E1507" s="5"/>
      <c r="F1507" s="5"/>
      <c r="G1507" s="4">
        <f t="shared" si="1"/>
        <v>9</v>
      </c>
      <c r="H1507" s="4" t="str">
        <f t="shared" si="2"/>
        <v>Sin precio neto</v>
      </c>
      <c r="I1507" s="4" t="str">
        <f t="shared" si="3"/>
        <v>Sin precio neto G.C.</v>
      </c>
      <c r="J1507" s="4">
        <f t="shared" si="4"/>
        <v>8.64</v>
      </c>
      <c r="K1507" s="4">
        <f t="shared" si="5"/>
        <v>9</v>
      </c>
      <c r="L1507" s="4">
        <f t="shared" si="6"/>
        <v>8.64</v>
      </c>
    </row>
    <row r="1508">
      <c r="A1508" s="3">
        <v>2900.0</v>
      </c>
      <c r="B1508" s="1" t="s">
        <v>2245</v>
      </c>
      <c r="C1508" s="3">
        <v>18.0</v>
      </c>
      <c r="D1508" s="5"/>
      <c r="E1508" s="5"/>
      <c r="F1508" s="5"/>
      <c r="G1508" s="4">
        <f t="shared" si="1"/>
        <v>9</v>
      </c>
      <c r="H1508" s="4" t="str">
        <f t="shared" si="2"/>
        <v>Sin precio neto</v>
      </c>
      <c r="I1508" s="4" t="str">
        <f t="shared" si="3"/>
        <v>Sin precio neto G.C.</v>
      </c>
      <c r="J1508" s="4">
        <f t="shared" si="4"/>
        <v>8.64</v>
      </c>
      <c r="K1508" s="4">
        <f t="shared" si="5"/>
        <v>9</v>
      </c>
      <c r="L1508" s="4">
        <f t="shared" si="6"/>
        <v>8.64</v>
      </c>
    </row>
    <row r="1509">
      <c r="A1509" s="3">
        <v>2901.0</v>
      </c>
      <c r="B1509" s="1" t="s">
        <v>2246</v>
      </c>
      <c r="C1509" s="3">
        <v>2.9</v>
      </c>
      <c r="D1509" s="5"/>
      <c r="E1509" s="5"/>
      <c r="F1509" s="5"/>
      <c r="G1509" s="4">
        <f t="shared" si="1"/>
        <v>1.45</v>
      </c>
      <c r="H1509" s="4" t="str">
        <f t="shared" si="2"/>
        <v>Sin precio neto</v>
      </c>
      <c r="I1509" s="4" t="str">
        <f t="shared" si="3"/>
        <v>Sin precio neto G.C.</v>
      </c>
      <c r="J1509" s="4">
        <f t="shared" si="4"/>
        <v>1.392</v>
      </c>
      <c r="K1509" s="4">
        <f t="shared" si="5"/>
        <v>1.45</v>
      </c>
      <c r="L1509" s="4">
        <f t="shared" si="6"/>
        <v>1.392</v>
      </c>
    </row>
    <row r="1510">
      <c r="A1510" s="3">
        <v>2969.0</v>
      </c>
      <c r="B1510" s="1" t="s">
        <v>2247</v>
      </c>
      <c r="C1510" s="3">
        <v>3.8</v>
      </c>
      <c r="D1510" s="5"/>
      <c r="E1510" s="5"/>
      <c r="F1510" s="5"/>
      <c r="G1510" s="4">
        <f t="shared" si="1"/>
        <v>1.9</v>
      </c>
      <c r="H1510" s="4" t="str">
        <f t="shared" si="2"/>
        <v>Sin precio neto</v>
      </c>
      <c r="I1510" s="4" t="str">
        <f t="shared" si="3"/>
        <v>Sin precio neto G.C.</v>
      </c>
      <c r="J1510" s="4">
        <f t="shared" si="4"/>
        <v>1.824</v>
      </c>
      <c r="K1510" s="4">
        <f t="shared" si="5"/>
        <v>1.9</v>
      </c>
      <c r="L1510" s="4">
        <f t="shared" si="6"/>
        <v>1.824</v>
      </c>
    </row>
    <row r="1511">
      <c r="A1511" s="3">
        <v>2971.0</v>
      </c>
      <c r="B1511" s="1" t="s">
        <v>2248</v>
      </c>
      <c r="C1511" s="3">
        <v>4.4</v>
      </c>
      <c r="D1511" s="5"/>
      <c r="E1511" s="5"/>
      <c r="F1511" s="5"/>
      <c r="G1511" s="4">
        <f t="shared" si="1"/>
        <v>2.2</v>
      </c>
      <c r="H1511" s="4" t="str">
        <f t="shared" si="2"/>
        <v>Sin precio neto</v>
      </c>
      <c r="I1511" s="4" t="str">
        <f t="shared" si="3"/>
        <v>Sin precio neto G.C.</v>
      </c>
      <c r="J1511" s="4">
        <f t="shared" si="4"/>
        <v>2.112</v>
      </c>
      <c r="K1511" s="4">
        <f t="shared" si="5"/>
        <v>2.2</v>
      </c>
      <c r="L1511" s="4">
        <f t="shared" si="6"/>
        <v>2.112</v>
      </c>
    </row>
    <row r="1512">
      <c r="A1512" s="3">
        <v>3015.0</v>
      </c>
      <c r="B1512" s="1" t="s">
        <v>2249</v>
      </c>
      <c r="C1512" s="3">
        <v>2.8</v>
      </c>
      <c r="D1512" s="5"/>
      <c r="E1512" s="5"/>
      <c r="F1512" s="5"/>
      <c r="G1512" s="4">
        <f t="shared" si="1"/>
        <v>1.4</v>
      </c>
      <c r="H1512" s="4" t="str">
        <f t="shared" si="2"/>
        <v>Sin precio neto</v>
      </c>
      <c r="I1512" s="4" t="str">
        <f t="shared" si="3"/>
        <v>Sin precio neto G.C.</v>
      </c>
      <c r="J1512" s="4">
        <f t="shared" si="4"/>
        <v>1.344</v>
      </c>
      <c r="K1512" s="4">
        <f t="shared" si="5"/>
        <v>1.4</v>
      </c>
      <c r="L1512" s="4">
        <f t="shared" si="6"/>
        <v>1.344</v>
      </c>
    </row>
    <row r="1513">
      <c r="A1513" s="3">
        <v>3030.0</v>
      </c>
      <c r="B1513" s="1" t="s">
        <v>2250</v>
      </c>
      <c r="C1513" s="3">
        <v>58.7</v>
      </c>
      <c r="D1513" s="5"/>
      <c r="E1513" s="5"/>
      <c r="F1513" s="5"/>
      <c r="G1513" s="4">
        <f t="shared" si="1"/>
        <v>29.35</v>
      </c>
      <c r="H1513" s="4" t="str">
        <f t="shared" si="2"/>
        <v>Sin precio neto</v>
      </c>
      <c r="I1513" s="4" t="str">
        <f t="shared" si="3"/>
        <v>Sin precio neto G.C.</v>
      </c>
      <c r="J1513" s="4">
        <f t="shared" si="4"/>
        <v>28.176</v>
      </c>
      <c r="K1513" s="4">
        <f t="shared" si="5"/>
        <v>29.35</v>
      </c>
      <c r="L1513" s="4">
        <f t="shared" si="6"/>
        <v>28.176</v>
      </c>
    </row>
    <row r="1514">
      <c r="A1514" s="3">
        <v>3031.0</v>
      </c>
      <c r="B1514" s="1" t="s">
        <v>2251</v>
      </c>
      <c r="C1514" s="3">
        <v>52.4</v>
      </c>
      <c r="D1514" s="5"/>
      <c r="E1514" s="5"/>
      <c r="F1514" s="5"/>
      <c r="G1514" s="4">
        <f t="shared" si="1"/>
        <v>26.2</v>
      </c>
      <c r="H1514" s="4" t="str">
        <f t="shared" si="2"/>
        <v>Sin precio neto</v>
      </c>
      <c r="I1514" s="4" t="str">
        <f t="shared" si="3"/>
        <v>Sin precio neto G.C.</v>
      </c>
      <c r="J1514" s="4">
        <f t="shared" si="4"/>
        <v>25.152</v>
      </c>
      <c r="K1514" s="4">
        <f t="shared" si="5"/>
        <v>26.2</v>
      </c>
      <c r="L1514" s="4">
        <f t="shared" si="6"/>
        <v>25.152</v>
      </c>
    </row>
    <row r="1515">
      <c r="A1515" s="3">
        <v>3032.0</v>
      </c>
      <c r="B1515" s="1" t="s">
        <v>2252</v>
      </c>
      <c r="C1515" s="3">
        <v>83.6</v>
      </c>
      <c r="D1515" s="5"/>
      <c r="E1515" s="5"/>
      <c r="F1515" s="5"/>
      <c r="G1515" s="4">
        <f t="shared" si="1"/>
        <v>41.8</v>
      </c>
      <c r="H1515" s="4" t="str">
        <f t="shared" si="2"/>
        <v>Sin precio neto</v>
      </c>
      <c r="I1515" s="4" t="str">
        <f t="shared" si="3"/>
        <v>Sin precio neto G.C.</v>
      </c>
      <c r="J1515" s="4">
        <f t="shared" si="4"/>
        <v>40.128</v>
      </c>
      <c r="K1515" s="4">
        <f t="shared" si="5"/>
        <v>41.8</v>
      </c>
      <c r="L1515" s="4">
        <f t="shared" si="6"/>
        <v>40.128</v>
      </c>
    </row>
    <row r="1516">
      <c r="A1516" s="3">
        <v>3033.0</v>
      </c>
      <c r="B1516" s="1" t="s">
        <v>2253</v>
      </c>
      <c r="C1516" s="3">
        <v>0.26</v>
      </c>
      <c r="D1516" s="3">
        <v>0.11</v>
      </c>
      <c r="E1516" s="3">
        <v>0.11</v>
      </c>
      <c r="F1516" s="3">
        <v>200.0</v>
      </c>
      <c r="G1516" s="4">
        <f t="shared" si="1"/>
        <v>0.13</v>
      </c>
      <c r="H1516" s="4" t="str">
        <f t="shared" si="2"/>
        <v>Neto: 0,11 € (a partir de 200 uds.)</v>
      </c>
      <c r="I1516" s="4" t="str">
        <f t="shared" si="3"/>
        <v>Neto G.C.: 0,11 € (a partir de 200 uds.)</v>
      </c>
      <c r="J1516" s="4">
        <f t="shared" si="4"/>
        <v>0.1248</v>
      </c>
      <c r="K1516" s="4">
        <f t="shared" si="5"/>
        <v>0.13</v>
      </c>
      <c r="L1516" s="4">
        <f t="shared" si="6"/>
        <v>0.1248</v>
      </c>
    </row>
    <row r="1517">
      <c r="A1517" s="3">
        <v>3034.0</v>
      </c>
      <c r="B1517" s="1" t="s">
        <v>2254</v>
      </c>
      <c r="C1517" s="3">
        <v>66.7</v>
      </c>
      <c r="D1517" s="5"/>
      <c r="E1517" s="5"/>
      <c r="F1517" s="5"/>
      <c r="G1517" s="4">
        <f t="shared" si="1"/>
        <v>33.35</v>
      </c>
      <c r="H1517" s="4" t="str">
        <f t="shared" si="2"/>
        <v>Sin precio neto</v>
      </c>
      <c r="I1517" s="4" t="str">
        <f t="shared" si="3"/>
        <v>Sin precio neto G.C.</v>
      </c>
      <c r="J1517" s="4">
        <f t="shared" si="4"/>
        <v>32.016</v>
      </c>
      <c r="K1517" s="4">
        <f t="shared" si="5"/>
        <v>33.35</v>
      </c>
      <c r="L1517" s="4">
        <f t="shared" si="6"/>
        <v>32.016</v>
      </c>
    </row>
    <row r="1518">
      <c r="A1518" s="3">
        <v>3035.0</v>
      </c>
      <c r="B1518" s="1" t="s">
        <v>2255</v>
      </c>
      <c r="C1518" s="3">
        <v>74.5</v>
      </c>
      <c r="D1518" s="5"/>
      <c r="E1518" s="5"/>
      <c r="F1518" s="5"/>
      <c r="G1518" s="4">
        <f t="shared" si="1"/>
        <v>37.25</v>
      </c>
      <c r="H1518" s="4" t="str">
        <f t="shared" si="2"/>
        <v>Sin precio neto</v>
      </c>
      <c r="I1518" s="4" t="str">
        <f t="shared" si="3"/>
        <v>Sin precio neto G.C.</v>
      </c>
      <c r="J1518" s="4">
        <f t="shared" si="4"/>
        <v>35.76</v>
      </c>
      <c r="K1518" s="4">
        <f t="shared" si="5"/>
        <v>37.25</v>
      </c>
      <c r="L1518" s="4">
        <f t="shared" si="6"/>
        <v>35.76</v>
      </c>
    </row>
    <row r="1519">
      <c r="A1519" s="3">
        <v>3036.0</v>
      </c>
      <c r="B1519" s="1" t="s">
        <v>2256</v>
      </c>
      <c r="C1519" s="3">
        <v>239.7</v>
      </c>
      <c r="D1519" s="5"/>
      <c r="E1519" s="5"/>
      <c r="F1519" s="5"/>
      <c r="G1519" s="4">
        <f t="shared" si="1"/>
        <v>119.85</v>
      </c>
      <c r="H1519" s="4" t="str">
        <f t="shared" si="2"/>
        <v>Sin precio neto</v>
      </c>
      <c r="I1519" s="4" t="str">
        <f t="shared" si="3"/>
        <v>Sin precio neto G.C.</v>
      </c>
      <c r="J1519" s="4">
        <f t="shared" si="4"/>
        <v>115.056</v>
      </c>
      <c r="K1519" s="4">
        <f t="shared" si="5"/>
        <v>119.85</v>
      </c>
      <c r="L1519" s="4">
        <f t="shared" si="6"/>
        <v>115.056</v>
      </c>
    </row>
    <row r="1520">
      <c r="A1520" s="3">
        <v>3037.0</v>
      </c>
      <c r="B1520" s="1" t="s">
        <v>2257</v>
      </c>
      <c r="C1520" s="3">
        <v>88.0</v>
      </c>
      <c r="D1520" s="3">
        <v>38.0</v>
      </c>
      <c r="E1520" s="3">
        <v>36.0</v>
      </c>
      <c r="F1520" s="3">
        <v>1.0</v>
      </c>
      <c r="G1520" s="4">
        <f t="shared" si="1"/>
        <v>44</v>
      </c>
      <c r="H1520" s="4" t="str">
        <f t="shared" si="2"/>
        <v>Neto: 38,00 € (a partir de 1 uds.)</v>
      </c>
      <c r="I1520" s="4" t="str">
        <f t="shared" si="3"/>
        <v>Neto G.C.: 36,00 € (a partir de 1 uds.)</v>
      </c>
      <c r="J1520" s="4">
        <f t="shared" si="4"/>
        <v>42.24</v>
      </c>
      <c r="K1520" s="4">
        <f t="shared" si="5"/>
        <v>44</v>
      </c>
      <c r="L1520" s="4">
        <f t="shared" si="6"/>
        <v>42.24</v>
      </c>
    </row>
    <row r="1521">
      <c r="A1521" s="3">
        <v>3038.0</v>
      </c>
      <c r="B1521" s="1" t="s">
        <v>2258</v>
      </c>
      <c r="C1521" s="3">
        <v>78.75</v>
      </c>
      <c r="D1521" s="5"/>
      <c r="E1521" s="5"/>
      <c r="F1521" s="5"/>
      <c r="G1521" s="4">
        <f t="shared" si="1"/>
        <v>39.375</v>
      </c>
      <c r="H1521" s="4" t="str">
        <f t="shared" si="2"/>
        <v>Sin precio neto</v>
      </c>
      <c r="I1521" s="4" t="str">
        <f t="shared" si="3"/>
        <v>Sin precio neto G.C.</v>
      </c>
      <c r="J1521" s="4">
        <f t="shared" si="4"/>
        <v>37.8</v>
      </c>
      <c r="K1521" s="4">
        <f t="shared" si="5"/>
        <v>39.375</v>
      </c>
      <c r="L1521" s="4">
        <f t="shared" si="6"/>
        <v>37.8</v>
      </c>
    </row>
    <row r="1522">
      <c r="A1522" s="3">
        <v>3039.0</v>
      </c>
      <c r="B1522" s="1" t="s">
        <v>2259</v>
      </c>
      <c r="C1522" s="3">
        <v>0.14</v>
      </c>
      <c r="D1522" s="3">
        <v>0.06</v>
      </c>
      <c r="E1522" s="3">
        <v>0.06</v>
      </c>
      <c r="F1522" s="3">
        <v>100.0</v>
      </c>
      <c r="G1522" s="4">
        <f t="shared" si="1"/>
        <v>0.07</v>
      </c>
      <c r="H1522" s="4" t="str">
        <f t="shared" si="2"/>
        <v>Neto: 0,06 € (a partir de 100 uds.)</v>
      </c>
      <c r="I1522" s="4" t="str">
        <f t="shared" si="3"/>
        <v>Neto G.C.: 0,06 € (a partir de 100 uds.)</v>
      </c>
      <c r="J1522" s="4">
        <f t="shared" si="4"/>
        <v>0.0672</v>
      </c>
      <c r="K1522" s="4">
        <f t="shared" si="5"/>
        <v>0.07</v>
      </c>
      <c r="L1522" s="4">
        <f t="shared" si="6"/>
        <v>0.0672</v>
      </c>
    </row>
    <row r="1523">
      <c r="A1523" s="3">
        <v>3041.0</v>
      </c>
      <c r="B1523" s="1" t="s">
        <v>2260</v>
      </c>
      <c r="C1523" s="3">
        <v>25.6</v>
      </c>
      <c r="D1523" s="5"/>
      <c r="E1523" s="5"/>
      <c r="F1523" s="5"/>
      <c r="G1523" s="4">
        <f t="shared" si="1"/>
        <v>12.8</v>
      </c>
      <c r="H1523" s="4" t="str">
        <f t="shared" si="2"/>
        <v>Sin precio neto</v>
      </c>
      <c r="I1523" s="4" t="str">
        <f t="shared" si="3"/>
        <v>Sin precio neto G.C.</v>
      </c>
      <c r="J1523" s="4">
        <f t="shared" si="4"/>
        <v>12.288</v>
      </c>
      <c r="K1523" s="4">
        <f t="shared" si="5"/>
        <v>12.8</v>
      </c>
      <c r="L1523" s="4">
        <f t="shared" si="6"/>
        <v>12.288</v>
      </c>
    </row>
    <row r="1524">
      <c r="A1524" s="3">
        <v>3042.0</v>
      </c>
      <c r="B1524" s="1" t="s">
        <v>2261</v>
      </c>
      <c r="C1524" s="3">
        <v>67.0</v>
      </c>
      <c r="D1524" s="3">
        <v>34.0</v>
      </c>
      <c r="E1524" s="3">
        <v>32.0</v>
      </c>
      <c r="F1524" s="3">
        <v>1.0</v>
      </c>
      <c r="G1524" s="4">
        <f t="shared" si="1"/>
        <v>33.5</v>
      </c>
      <c r="H1524" s="4" t="str">
        <f t="shared" si="2"/>
        <v>Neto: 34,00 € (a partir de 1 uds.)</v>
      </c>
      <c r="I1524" s="4" t="str">
        <f t="shared" si="3"/>
        <v>Neto G.C.: 32,00 € (a partir de 1 uds.)</v>
      </c>
      <c r="J1524" s="4">
        <f t="shared" si="4"/>
        <v>32.16</v>
      </c>
      <c r="K1524" s="4">
        <f t="shared" si="5"/>
        <v>33.5</v>
      </c>
      <c r="L1524" s="4">
        <f t="shared" si="6"/>
        <v>32.16</v>
      </c>
    </row>
    <row r="1525">
      <c r="A1525" s="3">
        <v>3043.0</v>
      </c>
      <c r="B1525" s="1" t="s">
        <v>2262</v>
      </c>
      <c r="C1525" s="3">
        <v>39.9</v>
      </c>
      <c r="D1525" s="5"/>
      <c r="E1525" s="5"/>
      <c r="F1525" s="5"/>
      <c r="G1525" s="4">
        <f t="shared" si="1"/>
        <v>19.95</v>
      </c>
      <c r="H1525" s="4" t="str">
        <f t="shared" si="2"/>
        <v>Sin precio neto</v>
      </c>
      <c r="I1525" s="4" t="str">
        <f t="shared" si="3"/>
        <v>Sin precio neto G.C.</v>
      </c>
      <c r="J1525" s="4">
        <f t="shared" si="4"/>
        <v>19.152</v>
      </c>
      <c r="K1525" s="4">
        <f t="shared" si="5"/>
        <v>19.95</v>
      </c>
      <c r="L1525" s="4">
        <f t="shared" si="6"/>
        <v>19.152</v>
      </c>
    </row>
    <row r="1526">
      <c r="A1526" s="3">
        <v>3100.0</v>
      </c>
      <c r="B1526" s="1" t="s">
        <v>2263</v>
      </c>
      <c r="C1526" s="3">
        <v>1.76</v>
      </c>
      <c r="D1526" s="5"/>
      <c r="E1526" s="5"/>
      <c r="F1526" s="5"/>
      <c r="G1526" s="4">
        <f t="shared" si="1"/>
        <v>0.88</v>
      </c>
      <c r="H1526" s="4" t="str">
        <f t="shared" si="2"/>
        <v>Sin precio neto</v>
      </c>
      <c r="I1526" s="4" t="str">
        <f t="shared" si="3"/>
        <v>Sin precio neto G.C.</v>
      </c>
      <c r="J1526" s="4">
        <f t="shared" si="4"/>
        <v>0.8448</v>
      </c>
      <c r="K1526" s="4">
        <f t="shared" si="5"/>
        <v>0.88</v>
      </c>
      <c r="L1526" s="4">
        <f t="shared" si="6"/>
        <v>0.8448</v>
      </c>
    </row>
    <row r="1527">
      <c r="A1527" s="3">
        <v>3101.0</v>
      </c>
      <c r="B1527" s="1" t="s">
        <v>2264</v>
      </c>
      <c r="C1527" s="3">
        <v>2.4</v>
      </c>
      <c r="D1527" s="5"/>
      <c r="E1527" s="5"/>
      <c r="F1527" s="5"/>
      <c r="G1527" s="4">
        <f t="shared" si="1"/>
        <v>1.2</v>
      </c>
      <c r="H1527" s="4" t="str">
        <f t="shared" si="2"/>
        <v>Sin precio neto</v>
      </c>
      <c r="I1527" s="4" t="str">
        <f t="shared" si="3"/>
        <v>Sin precio neto G.C.</v>
      </c>
      <c r="J1527" s="4">
        <f t="shared" si="4"/>
        <v>1.152</v>
      </c>
      <c r="K1527" s="4">
        <f t="shared" si="5"/>
        <v>1.2</v>
      </c>
      <c r="L1527" s="4">
        <f t="shared" si="6"/>
        <v>1.152</v>
      </c>
    </row>
    <row r="1528">
      <c r="A1528" s="3">
        <v>3102.0</v>
      </c>
      <c r="B1528" s="1" t="s">
        <v>2265</v>
      </c>
      <c r="C1528" s="3">
        <v>2.8</v>
      </c>
      <c r="D1528" s="5"/>
      <c r="E1528" s="5"/>
      <c r="F1528" s="5"/>
      <c r="G1528" s="4">
        <f t="shared" si="1"/>
        <v>1.4</v>
      </c>
      <c r="H1528" s="4" t="str">
        <f t="shared" si="2"/>
        <v>Sin precio neto</v>
      </c>
      <c r="I1528" s="4" t="str">
        <f t="shared" si="3"/>
        <v>Sin precio neto G.C.</v>
      </c>
      <c r="J1528" s="4">
        <f t="shared" si="4"/>
        <v>1.344</v>
      </c>
      <c r="K1528" s="4">
        <f t="shared" si="5"/>
        <v>1.4</v>
      </c>
      <c r="L1528" s="4">
        <f t="shared" si="6"/>
        <v>1.344</v>
      </c>
    </row>
    <row r="1529">
      <c r="A1529" s="3">
        <v>3103.0</v>
      </c>
      <c r="B1529" s="1" t="s">
        <v>2266</v>
      </c>
      <c r="C1529" s="3">
        <v>6.0</v>
      </c>
      <c r="D1529" s="5"/>
      <c r="E1529" s="5"/>
      <c r="F1529" s="5"/>
      <c r="G1529" s="4">
        <f t="shared" si="1"/>
        <v>3</v>
      </c>
      <c r="H1529" s="4" t="str">
        <f t="shared" si="2"/>
        <v>Sin precio neto</v>
      </c>
      <c r="I1529" s="4" t="str">
        <f t="shared" si="3"/>
        <v>Sin precio neto G.C.</v>
      </c>
      <c r="J1529" s="4">
        <f t="shared" si="4"/>
        <v>2.88</v>
      </c>
      <c r="K1529" s="4">
        <f t="shared" si="5"/>
        <v>3</v>
      </c>
      <c r="L1529" s="4">
        <f t="shared" si="6"/>
        <v>2.88</v>
      </c>
    </row>
    <row r="1530">
      <c r="A1530" s="3">
        <v>3105.0</v>
      </c>
      <c r="B1530" s="1" t="s">
        <v>2267</v>
      </c>
      <c r="C1530" s="3">
        <v>0.94</v>
      </c>
      <c r="D1530" s="5"/>
      <c r="E1530" s="5"/>
      <c r="F1530" s="5"/>
      <c r="G1530" s="4">
        <f t="shared" si="1"/>
        <v>0.47</v>
      </c>
      <c r="H1530" s="4" t="str">
        <f t="shared" si="2"/>
        <v>Sin precio neto</v>
      </c>
      <c r="I1530" s="4" t="str">
        <f t="shared" si="3"/>
        <v>Sin precio neto G.C.</v>
      </c>
      <c r="J1530" s="4">
        <f t="shared" si="4"/>
        <v>0.4512</v>
      </c>
      <c r="K1530" s="4">
        <f t="shared" si="5"/>
        <v>0.47</v>
      </c>
      <c r="L1530" s="4">
        <f t="shared" si="6"/>
        <v>0.4512</v>
      </c>
    </row>
    <row r="1531">
      <c r="A1531" s="3">
        <v>3112.0</v>
      </c>
      <c r="B1531" s="1" t="s">
        <v>2268</v>
      </c>
      <c r="C1531" s="3">
        <v>12.0</v>
      </c>
      <c r="D1531" s="5"/>
      <c r="E1531" s="5"/>
      <c r="F1531" s="5"/>
      <c r="G1531" s="4">
        <f t="shared" si="1"/>
        <v>6</v>
      </c>
      <c r="H1531" s="4" t="str">
        <f t="shared" si="2"/>
        <v>Sin precio neto</v>
      </c>
      <c r="I1531" s="4" t="str">
        <f t="shared" si="3"/>
        <v>Sin precio neto G.C.</v>
      </c>
      <c r="J1531" s="4">
        <f t="shared" si="4"/>
        <v>5.76</v>
      </c>
      <c r="K1531" s="4">
        <f t="shared" si="5"/>
        <v>6</v>
      </c>
      <c r="L1531" s="4">
        <f t="shared" si="6"/>
        <v>5.76</v>
      </c>
    </row>
    <row r="1532">
      <c r="A1532" s="3">
        <v>3250.0</v>
      </c>
      <c r="B1532" s="1" t="s">
        <v>2269</v>
      </c>
      <c r="C1532" s="3">
        <v>0.82</v>
      </c>
      <c r="D1532" s="5"/>
      <c r="E1532" s="5"/>
      <c r="F1532" s="5"/>
      <c r="G1532" s="4">
        <f t="shared" si="1"/>
        <v>0.41</v>
      </c>
      <c r="H1532" s="4" t="str">
        <f t="shared" si="2"/>
        <v>Sin precio neto</v>
      </c>
      <c r="I1532" s="4" t="str">
        <f t="shared" si="3"/>
        <v>Sin precio neto G.C.</v>
      </c>
      <c r="J1532" s="4">
        <f t="shared" si="4"/>
        <v>0.3936</v>
      </c>
      <c r="K1532" s="4">
        <f t="shared" si="5"/>
        <v>0.41</v>
      </c>
      <c r="L1532" s="4">
        <f t="shared" si="6"/>
        <v>0.3936</v>
      </c>
    </row>
    <row r="1533">
      <c r="A1533" s="3">
        <v>3251.0</v>
      </c>
      <c r="B1533" s="1" t="s">
        <v>2270</v>
      </c>
      <c r="C1533" s="3">
        <v>0.86</v>
      </c>
      <c r="D1533" s="5"/>
      <c r="E1533" s="5"/>
      <c r="F1533" s="5"/>
      <c r="G1533" s="4">
        <f t="shared" si="1"/>
        <v>0.43</v>
      </c>
      <c r="H1533" s="4" t="str">
        <f t="shared" si="2"/>
        <v>Sin precio neto</v>
      </c>
      <c r="I1533" s="4" t="str">
        <f t="shared" si="3"/>
        <v>Sin precio neto G.C.</v>
      </c>
      <c r="J1533" s="4">
        <f t="shared" si="4"/>
        <v>0.4128</v>
      </c>
      <c r="K1533" s="4">
        <f t="shared" si="5"/>
        <v>0.43</v>
      </c>
      <c r="L1533" s="4">
        <f t="shared" si="6"/>
        <v>0.4128</v>
      </c>
    </row>
    <row r="1534">
      <c r="A1534" s="3">
        <v>3252.0</v>
      </c>
      <c r="B1534" s="1" t="s">
        <v>2271</v>
      </c>
      <c r="C1534" s="3">
        <v>0.86</v>
      </c>
      <c r="D1534" s="5"/>
      <c r="E1534" s="5"/>
      <c r="F1534" s="5"/>
      <c r="G1534" s="4">
        <f t="shared" si="1"/>
        <v>0.43</v>
      </c>
      <c r="H1534" s="4" t="str">
        <f t="shared" si="2"/>
        <v>Sin precio neto</v>
      </c>
      <c r="I1534" s="4" t="str">
        <f t="shared" si="3"/>
        <v>Sin precio neto G.C.</v>
      </c>
      <c r="J1534" s="4">
        <f t="shared" si="4"/>
        <v>0.4128</v>
      </c>
      <c r="K1534" s="4">
        <f t="shared" si="5"/>
        <v>0.43</v>
      </c>
      <c r="L1534" s="4">
        <f t="shared" si="6"/>
        <v>0.4128</v>
      </c>
    </row>
    <row r="1535">
      <c r="A1535" s="3">
        <v>3253.0</v>
      </c>
      <c r="B1535" s="1" t="s">
        <v>2272</v>
      </c>
      <c r="C1535" s="3">
        <v>0.86</v>
      </c>
      <c r="D1535" s="5"/>
      <c r="E1535" s="5"/>
      <c r="F1535" s="5"/>
      <c r="G1535" s="4">
        <f t="shared" si="1"/>
        <v>0.43</v>
      </c>
      <c r="H1535" s="4" t="str">
        <f t="shared" si="2"/>
        <v>Sin precio neto</v>
      </c>
      <c r="I1535" s="4" t="str">
        <f t="shared" si="3"/>
        <v>Sin precio neto G.C.</v>
      </c>
      <c r="J1535" s="4">
        <f t="shared" si="4"/>
        <v>0.4128</v>
      </c>
      <c r="K1535" s="4">
        <f t="shared" si="5"/>
        <v>0.43</v>
      </c>
      <c r="L1535" s="4">
        <f t="shared" si="6"/>
        <v>0.4128</v>
      </c>
    </row>
    <row r="1536">
      <c r="A1536" s="3">
        <v>3254.0</v>
      </c>
      <c r="B1536" s="1" t="s">
        <v>2273</v>
      </c>
      <c r="C1536" s="3">
        <v>0.66</v>
      </c>
      <c r="D1536" s="5"/>
      <c r="E1536" s="5"/>
      <c r="F1536" s="5"/>
      <c r="G1536" s="4">
        <f t="shared" si="1"/>
        <v>0.33</v>
      </c>
      <c r="H1536" s="4" t="str">
        <f t="shared" si="2"/>
        <v>Sin precio neto</v>
      </c>
      <c r="I1536" s="4" t="str">
        <f t="shared" si="3"/>
        <v>Sin precio neto G.C.</v>
      </c>
      <c r="J1536" s="4">
        <f t="shared" si="4"/>
        <v>0.3168</v>
      </c>
      <c r="K1536" s="4">
        <f t="shared" si="5"/>
        <v>0.33</v>
      </c>
      <c r="L1536" s="4">
        <f t="shared" si="6"/>
        <v>0.3168</v>
      </c>
    </row>
    <row r="1537">
      <c r="A1537" s="3">
        <v>3256.0</v>
      </c>
      <c r="B1537" s="1" t="s">
        <v>2274</v>
      </c>
      <c r="C1537" s="3">
        <v>0.76</v>
      </c>
      <c r="D1537" s="5"/>
      <c r="E1537" s="5"/>
      <c r="F1537" s="5"/>
      <c r="G1537" s="4">
        <f t="shared" si="1"/>
        <v>0.38</v>
      </c>
      <c r="H1537" s="4" t="str">
        <f t="shared" si="2"/>
        <v>Sin precio neto</v>
      </c>
      <c r="I1537" s="4" t="str">
        <f t="shared" si="3"/>
        <v>Sin precio neto G.C.</v>
      </c>
      <c r="J1537" s="4">
        <f t="shared" si="4"/>
        <v>0.3648</v>
      </c>
      <c r="K1537" s="4">
        <f t="shared" si="5"/>
        <v>0.38</v>
      </c>
      <c r="L1537" s="4">
        <f t="shared" si="6"/>
        <v>0.3648</v>
      </c>
    </row>
    <row r="1538">
      <c r="A1538" s="3">
        <v>3300.0</v>
      </c>
      <c r="B1538" s="1" t="s">
        <v>2275</v>
      </c>
      <c r="C1538" s="3">
        <v>0.9</v>
      </c>
      <c r="D1538" s="3">
        <v>0.39</v>
      </c>
      <c r="E1538" s="3">
        <v>0.39</v>
      </c>
      <c r="F1538" s="3">
        <v>75.0</v>
      </c>
      <c r="G1538" s="4">
        <f t="shared" si="1"/>
        <v>0.45</v>
      </c>
      <c r="H1538" s="4" t="str">
        <f t="shared" si="2"/>
        <v>Neto: 0,39 € (a partir de 75 uds.)</v>
      </c>
      <c r="I1538" s="4" t="str">
        <f t="shared" si="3"/>
        <v>Neto G.C.: 0,39 € (a partir de 75 uds.)</v>
      </c>
      <c r="J1538" s="4">
        <f t="shared" si="4"/>
        <v>0.432</v>
      </c>
      <c r="K1538" s="4">
        <f t="shared" si="5"/>
        <v>0.45</v>
      </c>
      <c r="L1538" s="4">
        <f t="shared" si="6"/>
        <v>0.432</v>
      </c>
    </row>
    <row r="1539">
      <c r="A1539" s="3">
        <v>3301.0</v>
      </c>
      <c r="B1539" s="1" t="s">
        <v>2276</v>
      </c>
      <c r="C1539" s="3">
        <v>0.9</v>
      </c>
      <c r="D1539" s="3">
        <v>0.39</v>
      </c>
      <c r="E1539" s="3">
        <v>0.39</v>
      </c>
      <c r="F1539" s="3">
        <v>50.0</v>
      </c>
      <c r="G1539" s="4">
        <f t="shared" si="1"/>
        <v>0.45</v>
      </c>
      <c r="H1539" s="4" t="str">
        <f t="shared" si="2"/>
        <v>Neto: 0,39 € (a partir de 50 uds.)</v>
      </c>
      <c r="I1539" s="4" t="str">
        <f t="shared" si="3"/>
        <v>Neto G.C.: 0,39 € (a partir de 50 uds.)</v>
      </c>
      <c r="J1539" s="4">
        <f t="shared" si="4"/>
        <v>0.432</v>
      </c>
      <c r="K1539" s="4">
        <f t="shared" si="5"/>
        <v>0.45</v>
      </c>
      <c r="L1539" s="4">
        <f t="shared" si="6"/>
        <v>0.432</v>
      </c>
    </row>
    <row r="1540">
      <c r="A1540" s="3">
        <v>3302.0</v>
      </c>
      <c r="B1540" s="1" t="s">
        <v>2277</v>
      </c>
      <c r="C1540" s="3">
        <v>1.1</v>
      </c>
      <c r="D1540" s="3">
        <v>0.49</v>
      </c>
      <c r="E1540" s="3">
        <v>0.49</v>
      </c>
      <c r="F1540" s="3">
        <v>40.0</v>
      </c>
      <c r="G1540" s="4">
        <f t="shared" si="1"/>
        <v>0.55</v>
      </c>
      <c r="H1540" s="4" t="str">
        <f t="shared" si="2"/>
        <v>Neto: 0,49 € (a partir de 40 uds.)</v>
      </c>
      <c r="I1540" s="4" t="str">
        <f t="shared" si="3"/>
        <v>Neto G.C.: 0,49 € (a partir de 40 uds.)</v>
      </c>
      <c r="J1540" s="4">
        <f t="shared" si="4"/>
        <v>0.528</v>
      </c>
      <c r="K1540" s="4">
        <f t="shared" si="5"/>
        <v>0.55</v>
      </c>
      <c r="L1540" s="4">
        <f t="shared" si="6"/>
        <v>0.528</v>
      </c>
    </row>
    <row r="1541">
      <c r="A1541" s="3">
        <v>3303.0</v>
      </c>
      <c r="B1541" s="1" t="s">
        <v>2278</v>
      </c>
      <c r="C1541" s="3">
        <v>0.82</v>
      </c>
      <c r="D1541" s="3">
        <v>0.38</v>
      </c>
      <c r="E1541" s="3">
        <v>0.38</v>
      </c>
      <c r="F1541" s="3">
        <v>125.0</v>
      </c>
      <c r="G1541" s="4">
        <f t="shared" si="1"/>
        <v>0.41</v>
      </c>
      <c r="H1541" s="4" t="str">
        <f t="shared" si="2"/>
        <v>Neto: 0,38 € (a partir de 125 uds.)</v>
      </c>
      <c r="I1541" s="4" t="str">
        <f t="shared" si="3"/>
        <v>Neto G.C.: 0,38 € (a partir de 125 uds.)</v>
      </c>
      <c r="J1541" s="4">
        <f t="shared" si="4"/>
        <v>0.3936</v>
      </c>
      <c r="K1541" s="4">
        <f t="shared" si="5"/>
        <v>0.41</v>
      </c>
      <c r="L1541" s="4">
        <f t="shared" si="6"/>
        <v>0.3936</v>
      </c>
    </row>
    <row r="1542">
      <c r="A1542" s="3">
        <v>3304.0</v>
      </c>
      <c r="B1542" s="1" t="s">
        <v>2279</v>
      </c>
      <c r="C1542" s="3">
        <v>1.06</v>
      </c>
      <c r="D1542" s="3">
        <v>0.42</v>
      </c>
      <c r="E1542" s="3">
        <v>0.42</v>
      </c>
      <c r="F1542" s="3">
        <v>125.0</v>
      </c>
      <c r="G1542" s="4">
        <f t="shared" si="1"/>
        <v>0.53</v>
      </c>
      <c r="H1542" s="4" t="str">
        <f t="shared" si="2"/>
        <v>Neto: 0,42 € (a partir de 125 uds.)</v>
      </c>
      <c r="I1542" s="4" t="str">
        <f t="shared" si="3"/>
        <v>Neto G.C.: 0,42 € (a partir de 125 uds.)</v>
      </c>
      <c r="J1542" s="4">
        <f t="shared" si="4"/>
        <v>0.5088</v>
      </c>
      <c r="K1542" s="4">
        <f t="shared" si="5"/>
        <v>0.53</v>
      </c>
      <c r="L1542" s="4">
        <f t="shared" si="6"/>
        <v>0.5088</v>
      </c>
    </row>
    <row r="1543">
      <c r="A1543" s="3">
        <v>3305.0</v>
      </c>
      <c r="B1543" s="1" t="s">
        <v>2280</v>
      </c>
      <c r="C1543" s="3">
        <v>1.18</v>
      </c>
      <c r="D1543" s="3">
        <v>0.52</v>
      </c>
      <c r="E1543" s="3">
        <v>0.52</v>
      </c>
      <c r="F1543" s="3">
        <v>125.0</v>
      </c>
      <c r="G1543" s="4">
        <f t="shared" si="1"/>
        <v>0.59</v>
      </c>
      <c r="H1543" s="4" t="str">
        <f t="shared" si="2"/>
        <v>Neto: 0,52 € (a partir de 125 uds.)</v>
      </c>
      <c r="I1543" s="4" t="str">
        <f t="shared" si="3"/>
        <v>Neto G.C.: 0,52 € (a partir de 125 uds.)</v>
      </c>
      <c r="J1543" s="4">
        <f t="shared" si="4"/>
        <v>0.5664</v>
      </c>
      <c r="K1543" s="4">
        <f t="shared" si="5"/>
        <v>0.59</v>
      </c>
      <c r="L1543" s="4">
        <f t="shared" si="6"/>
        <v>0.5664</v>
      </c>
    </row>
    <row r="1544">
      <c r="A1544" s="3">
        <v>3306.0</v>
      </c>
      <c r="B1544" s="1" t="s">
        <v>2281</v>
      </c>
      <c r="C1544" s="3">
        <v>0.58</v>
      </c>
      <c r="D1544" s="3">
        <v>0.24</v>
      </c>
      <c r="E1544" s="3">
        <v>0.24</v>
      </c>
      <c r="F1544" s="3">
        <v>50.0</v>
      </c>
      <c r="G1544" s="4">
        <f t="shared" si="1"/>
        <v>0.29</v>
      </c>
      <c r="H1544" s="4" t="str">
        <f t="shared" si="2"/>
        <v>Neto: 0,24 € (a partir de 50 uds.)</v>
      </c>
      <c r="I1544" s="4" t="str">
        <f t="shared" si="3"/>
        <v>Neto G.C.: 0,24 € (a partir de 50 uds.)</v>
      </c>
      <c r="J1544" s="4">
        <f t="shared" si="4"/>
        <v>0.2784</v>
      </c>
      <c r="K1544" s="4">
        <f t="shared" si="5"/>
        <v>0.29</v>
      </c>
      <c r="L1544" s="4">
        <f t="shared" si="6"/>
        <v>0.2784</v>
      </c>
    </row>
    <row r="1545">
      <c r="A1545" s="3">
        <v>3307.0</v>
      </c>
      <c r="B1545" s="1" t="s">
        <v>2282</v>
      </c>
      <c r="C1545" s="3">
        <v>0.62</v>
      </c>
      <c r="D1545" s="3">
        <v>0.26</v>
      </c>
      <c r="E1545" s="3">
        <v>0.26</v>
      </c>
      <c r="F1545" s="3">
        <v>50.0</v>
      </c>
      <c r="G1545" s="4">
        <f t="shared" si="1"/>
        <v>0.31</v>
      </c>
      <c r="H1545" s="4" t="str">
        <f t="shared" si="2"/>
        <v>Neto: 0,26 € (a partir de 50 uds.)</v>
      </c>
      <c r="I1545" s="4" t="str">
        <f t="shared" si="3"/>
        <v>Neto G.C.: 0,26 € (a partir de 50 uds.)</v>
      </c>
      <c r="J1545" s="4">
        <f t="shared" si="4"/>
        <v>0.2976</v>
      </c>
      <c r="K1545" s="4">
        <f t="shared" si="5"/>
        <v>0.31</v>
      </c>
      <c r="L1545" s="4">
        <f t="shared" si="6"/>
        <v>0.2976</v>
      </c>
    </row>
    <row r="1546">
      <c r="A1546" s="3">
        <v>3308.0</v>
      </c>
      <c r="B1546" s="1" t="s">
        <v>2283</v>
      </c>
      <c r="C1546" s="3">
        <v>0.76</v>
      </c>
      <c r="D1546" s="3">
        <v>0.28</v>
      </c>
      <c r="E1546" s="3">
        <v>0.28</v>
      </c>
      <c r="F1546" s="3">
        <v>50.0</v>
      </c>
      <c r="G1546" s="4">
        <f t="shared" si="1"/>
        <v>0.38</v>
      </c>
      <c r="H1546" s="4" t="str">
        <f t="shared" si="2"/>
        <v>Neto: 0,28 € (a partir de 50 uds.)</v>
      </c>
      <c r="I1546" s="4" t="str">
        <f t="shared" si="3"/>
        <v>Neto G.C.: 0,28 € (a partir de 50 uds.)</v>
      </c>
      <c r="J1546" s="4">
        <f t="shared" si="4"/>
        <v>0.3648</v>
      </c>
      <c r="K1546" s="4">
        <f t="shared" si="5"/>
        <v>0.38</v>
      </c>
      <c r="L1546" s="4">
        <f t="shared" si="6"/>
        <v>0.3648</v>
      </c>
    </row>
    <row r="1547">
      <c r="A1547" s="3">
        <v>3309.0</v>
      </c>
      <c r="B1547" s="1" t="s">
        <v>2284</v>
      </c>
      <c r="C1547" s="3">
        <v>0.76</v>
      </c>
      <c r="D1547" s="3">
        <v>0.32</v>
      </c>
      <c r="E1547" s="3">
        <v>0.32</v>
      </c>
      <c r="F1547" s="3">
        <v>50.0</v>
      </c>
      <c r="G1547" s="4">
        <f t="shared" si="1"/>
        <v>0.38</v>
      </c>
      <c r="H1547" s="4" t="str">
        <f t="shared" si="2"/>
        <v>Neto: 0,32 € (a partir de 50 uds.)</v>
      </c>
      <c r="I1547" s="4" t="str">
        <f t="shared" si="3"/>
        <v>Neto G.C.: 0,32 € (a partir de 50 uds.)</v>
      </c>
      <c r="J1547" s="4">
        <f t="shared" si="4"/>
        <v>0.3648</v>
      </c>
      <c r="K1547" s="4">
        <f t="shared" si="5"/>
        <v>0.38</v>
      </c>
      <c r="L1547" s="4">
        <f t="shared" si="6"/>
        <v>0.3648</v>
      </c>
    </row>
    <row r="1548">
      <c r="A1548" s="3">
        <v>3310.0</v>
      </c>
      <c r="B1548" s="1" t="s">
        <v>2285</v>
      </c>
      <c r="C1548" s="3">
        <v>0.92</v>
      </c>
      <c r="D1548" s="3">
        <v>0.39</v>
      </c>
      <c r="E1548" s="3">
        <v>0.39</v>
      </c>
      <c r="F1548" s="3">
        <v>50.0</v>
      </c>
      <c r="G1548" s="4">
        <f t="shared" si="1"/>
        <v>0.46</v>
      </c>
      <c r="H1548" s="4" t="str">
        <f t="shared" si="2"/>
        <v>Neto: 0,39 € (a partir de 50 uds.)</v>
      </c>
      <c r="I1548" s="4" t="str">
        <f t="shared" si="3"/>
        <v>Neto G.C.: 0,39 € (a partir de 50 uds.)</v>
      </c>
      <c r="J1548" s="4">
        <f t="shared" si="4"/>
        <v>0.4416</v>
      </c>
      <c r="K1548" s="4">
        <f t="shared" si="5"/>
        <v>0.46</v>
      </c>
      <c r="L1548" s="4">
        <f t="shared" si="6"/>
        <v>0.4416</v>
      </c>
    </row>
    <row r="1549">
      <c r="A1549" s="3">
        <v>3315.0</v>
      </c>
      <c r="B1549" s="1" t="s">
        <v>2286</v>
      </c>
      <c r="C1549" s="3">
        <v>0.66</v>
      </c>
      <c r="D1549" s="5"/>
      <c r="E1549" s="5"/>
      <c r="F1549" s="5"/>
      <c r="G1549" s="4">
        <f t="shared" si="1"/>
        <v>0.33</v>
      </c>
      <c r="H1549" s="4" t="str">
        <f t="shared" si="2"/>
        <v>Sin precio neto</v>
      </c>
      <c r="I1549" s="4" t="str">
        <f t="shared" si="3"/>
        <v>Sin precio neto G.C.</v>
      </c>
      <c r="J1549" s="4">
        <f t="shared" si="4"/>
        <v>0.3168</v>
      </c>
      <c r="K1549" s="4">
        <f t="shared" si="5"/>
        <v>0.33</v>
      </c>
      <c r="L1549" s="4">
        <f t="shared" si="6"/>
        <v>0.3168</v>
      </c>
    </row>
    <row r="1550">
      <c r="A1550" s="3">
        <v>3370.0</v>
      </c>
      <c r="B1550" s="1" t="s">
        <v>2287</v>
      </c>
      <c r="C1550" s="3">
        <v>55.8</v>
      </c>
      <c r="D1550" s="3">
        <v>23.8</v>
      </c>
      <c r="E1550" s="3">
        <v>23.8</v>
      </c>
      <c r="F1550" s="3">
        <v>1.0</v>
      </c>
      <c r="G1550" s="4">
        <f t="shared" si="1"/>
        <v>27.9</v>
      </c>
      <c r="H1550" s="4" t="str">
        <f t="shared" si="2"/>
        <v>Neto: 23,80 € (a partir de 1 uds.)</v>
      </c>
      <c r="I1550" s="4" t="str">
        <f t="shared" si="3"/>
        <v>Neto G.C.: 23,80 € (a partir de 1 uds.)</v>
      </c>
      <c r="J1550" s="4">
        <f t="shared" si="4"/>
        <v>26.784</v>
      </c>
      <c r="K1550" s="4">
        <f t="shared" si="5"/>
        <v>27.9</v>
      </c>
      <c r="L1550" s="4">
        <f t="shared" si="6"/>
        <v>26.784</v>
      </c>
    </row>
    <row r="1551">
      <c r="A1551" s="3">
        <v>3371.0</v>
      </c>
      <c r="B1551" s="1" t="s">
        <v>2288</v>
      </c>
      <c r="C1551" s="3">
        <v>59.9</v>
      </c>
      <c r="D1551" s="3">
        <v>25.5</v>
      </c>
      <c r="E1551" s="3">
        <v>25.5</v>
      </c>
      <c r="F1551" s="3">
        <v>1.0</v>
      </c>
      <c r="G1551" s="4">
        <f t="shared" si="1"/>
        <v>29.95</v>
      </c>
      <c r="H1551" s="4" t="str">
        <f t="shared" si="2"/>
        <v>Neto: 25,50 € (a partir de 1 uds.)</v>
      </c>
      <c r="I1551" s="4" t="str">
        <f t="shared" si="3"/>
        <v>Neto G.C.: 25,50 € (a partir de 1 uds.)</v>
      </c>
      <c r="J1551" s="4">
        <f t="shared" si="4"/>
        <v>28.752</v>
      </c>
      <c r="K1551" s="4">
        <f t="shared" si="5"/>
        <v>29.95</v>
      </c>
      <c r="L1551" s="4">
        <f t="shared" si="6"/>
        <v>28.752</v>
      </c>
    </row>
    <row r="1552">
      <c r="A1552" s="3">
        <v>3372.0</v>
      </c>
      <c r="B1552" s="1" t="s">
        <v>2289</v>
      </c>
      <c r="C1552" s="3">
        <v>47.0</v>
      </c>
      <c r="D1552" s="3">
        <v>22.0</v>
      </c>
      <c r="E1552" s="3">
        <v>22.0</v>
      </c>
      <c r="F1552" s="3">
        <v>1.0</v>
      </c>
      <c r="G1552" s="4">
        <f t="shared" si="1"/>
        <v>23.5</v>
      </c>
      <c r="H1552" s="4" t="str">
        <f t="shared" si="2"/>
        <v>Neto: 22,00 € (a partir de 1 uds.)</v>
      </c>
      <c r="I1552" s="4" t="str">
        <f t="shared" si="3"/>
        <v>Neto G.C.: 22,00 € (a partir de 1 uds.)</v>
      </c>
      <c r="J1552" s="4">
        <f t="shared" si="4"/>
        <v>22.56</v>
      </c>
      <c r="K1552" s="4">
        <f t="shared" si="5"/>
        <v>23.5</v>
      </c>
      <c r="L1552" s="4">
        <f t="shared" si="6"/>
        <v>22.56</v>
      </c>
    </row>
    <row r="1553">
      <c r="A1553" s="3">
        <v>3373.0</v>
      </c>
      <c r="B1553" s="1" t="s">
        <v>2290</v>
      </c>
      <c r="C1553" s="3">
        <v>58.5</v>
      </c>
      <c r="D1553" s="3">
        <v>24.0</v>
      </c>
      <c r="E1553" s="3">
        <v>24.0</v>
      </c>
      <c r="F1553" s="3">
        <v>1.0</v>
      </c>
      <c r="G1553" s="4">
        <f t="shared" si="1"/>
        <v>29.25</v>
      </c>
      <c r="H1553" s="4" t="str">
        <f t="shared" si="2"/>
        <v>Neto: 24,00 € (a partir de 1 uds.)</v>
      </c>
      <c r="I1553" s="4" t="str">
        <f t="shared" si="3"/>
        <v>Neto G.C.: 24,00 € (a partir de 1 uds.)</v>
      </c>
      <c r="J1553" s="4">
        <f t="shared" si="4"/>
        <v>28.08</v>
      </c>
      <c r="K1553" s="4">
        <f t="shared" si="5"/>
        <v>29.25</v>
      </c>
      <c r="L1553" s="4">
        <f t="shared" si="6"/>
        <v>28.08</v>
      </c>
    </row>
    <row r="1554">
      <c r="A1554" s="3">
        <v>3374.0</v>
      </c>
      <c r="B1554" s="1" t="s">
        <v>2291</v>
      </c>
      <c r="C1554" s="3">
        <v>53.5</v>
      </c>
      <c r="D1554" s="3">
        <v>23.5</v>
      </c>
      <c r="E1554" s="3">
        <v>23.5</v>
      </c>
      <c r="F1554" s="3">
        <v>1.0</v>
      </c>
      <c r="G1554" s="4">
        <f t="shared" si="1"/>
        <v>26.75</v>
      </c>
      <c r="H1554" s="4" t="str">
        <f t="shared" si="2"/>
        <v>Neto: 23,50 € (a partir de 1 uds.)</v>
      </c>
      <c r="I1554" s="4" t="str">
        <f t="shared" si="3"/>
        <v>Neto G.C.: 23,50 € (a partir de 1 uds.)</v>
      </c>
      <c r="J1554" s="4">
        <f t="shared" si="4"/>
        <v>25.68</v>
      </c>
      <c r="K1554" s="4">
        <f t="shared" si="5"/>
        <v>26.75</v>
      </c>
      <c r="L1554" s="4">
        <f t="shared" si="6"/>
        <v>25.68</v>
      </c>
    </row>
    <row r="1555">
      <c r="A1555" s="3">
        <v>3376.0</v>
      </c>
      <c r="B1555" s="1" t="s">
        <v>2292</v>
      </c>
      <c r="C1555" s="3">
        <v>55.5</v>
      </c>
      <c r="D1555" s="3">
        <v>23.0</v>
      </c>
      <c r="E1555" s="3">
        <v>23.0</v>
      </c>
      <c r="F1555" s="3">
        <v>1.0</v>
      </c>
      <c r="G1555" s="4">
        <f t="shared" si="1"/>
        <v>27.75</v>
      </c>
      <c r="H1555" s="4" t="str">
        <f t="shared" si="2"/>
        <v>Neto: 23,00 € (a partir de 1 uds.)</v>
      </c>
      <c r="I1555" s="4" t="str">
        <f t="shared" si="3"/>
        <v>Neto G.C.: 23,00 € (a partir de 1 uds.)</v>
      </c>
      <c r="J1555" s="4">
        <f t="shared" si="4"/>
        <v>26.64</v>
      </c>
      <c r="K1555" s="4">
        <f t="shared" si="5"/>
        <v>27.75</v>
      </c>
      <c r="L1555" s="4">
        <f t="shared" si="6"/>
        <v>26.64</v>
      </c>
    </row>
    <row r="1556">
      <c r="A1556" s="3">
        <v>3390.0</v>
      </c>
      <c r="B1556" s="1" t="s">
        <v>2293</v>
      </c>
      <c r="C1556" s="3">
        <v>110.16</v>
      </c>
      <c r="D1556" s="5"/>
      <c r="E1556" s="5"/>
      <c r="F1556" s="5"/>
      <c r="G1556" s="4">
        <f t="shared" si="1"/>
        <v>55.08</v>
      </c>
      <c r="H1556" s="4" t="str">
        <f t="shared" si="2"/>
        <v>Sin precio neto</v>
      </c>
      <c r="I1556" s="4" t="str">
        <f t="shared" si="3"/>
        <v>Sin precio neto G.C.</v>
      </c>
      <c r="J1556" s="4">
        <f t="shared" si="4"/>
        <v>52.8768</v>
      </c>
      <c r="K1556" s="4">
        <f t="shared" si="5"/>
        <v>55.08</v>
      </c>
      <c r="L1556" s="4">
        <f t="shared" si="6"/>
        <v>52.8768</v>
      </c>
    </row>
    <row r="1557">
      <c r="A1557" s="3">
        <v>3391.0</v>
      </c>
      <c r="B1557" s="1" t="s">
        <v>2294</v>
      </c>
      <c r="C1557" s="3">
        <v>36.0</v>
      </c>
      <c r="D1557" s="3">
        <v>15.5</v>
      </c>
      <c r="E1557" s="3">
        <v>15.5</v>
      </c>
      <c r="F1557" s="3">
        <v>1.0</v>
      </c>
      <c r="G1557" s="4">
        <f t="shared" si="1"/>
        <v>18</v>
      </c>
      <c r="H1557" s="4" t="str">
        <f t="shared" si="2"/>
        <v>Neto: 15,50 € (a partir de 1 uds.)</v>
      </c>
      <c r="I1557" s="4" t="str">
        <f t="shared" si="3"/>
        <v>Neto G.C.: 15,50 € (a partir de 1 uds.)</v>
      </c>
      <c r="J1557" s="4">
        <f t="shared" si="4"/>
        <v>17.28</v>
      </c>
      <c r="K1557" s="4">
        <f t="shared" si="5"/>
        <v>18</v>
      </c>
      <c r="L1557" s="4">
        <f t="shared" si="6"/>
        <v>17.28</v>
      </c>
    </row>
    <row r="1558">
      <c r="A1558" s="3">
        <v>3392.0</v>
      </c>
      <c r="B1558" s="1" t="s">
        <v>2295</v>
      </c>
      <c r="C1558" s="3">
        <v>28.3</v>
      </c>
      <c r="D1558" s="5"/>
      <c r="E1558" s="5"/>
      <c r="F1558" s="5"/>
      <c r="G1558" s="4">
        <f t="shared" si="1"/>
        <v>14.15</v>
      </c>
      <c r="H1558" s="4" t="str">
        <f t="shared" si="2"/>
        <v>Sin precio neto</v>
      </c>
      <c r="I1558" s="4" t="str">
        <f t="shared" si="3"/>
        <v>Sin precio neto G.C.</v>
      </c>
      <c r="J1558" s="4">
        <f t="shared" si="4"/>
        <v>13.584</v>
      </c>
      <c r="K1558" s="4">
        <f t="shared" si="5"/>
        <v>14.15</v>
      </c>
      <c r="L1558" s="4">
        <f t="shared" si="6"/>
        <v>13.584</v>
      </c>
    </row>
    <row r="1559">
      <c r="A1559" s="3">
        <v>3393.0</v>
      </c>
      <c r="B1559" s="1" t="s">
        <v>2296</v>
      </c>
      <c r="C1559" s="3">
        <v>21.0</v>
      </c>
      <c r="D1559" s="5"/>
      <c r="E1559" s="5"/>
      <c r="F1559" s="5"/>
      <c r="G1559" s="4">
        <f t="shared" si="1"/>
        <v>10.5</v>
      </c>
      <c r="H1559" s="4" t="str">
        <f t="shared" si="2"/>
        <v>Sin precio neto</v>
      </c>
      <c r="I1559" s="4" t="str">
        <f t="shared" si="3"/>
        <v>Sin precio neto G.C.</v>
      </c>
      <c r="J1559" s="4">
        <f t="shared" si="4"/>
        <v>10.08</v>
      </c>
      <c r="K1559" s="4">
        <f t="shared" si="5"/>
        <v>10.5</v>
      </c>
      <c r="L1559" s="4">
        <f t="shared" si="6"/>
        <v>10.08</v>
      </c>
    </row>
    <row r="1560">
      <c r="A1560" s="3">
        <v>3394.0</v>
      </c>
      <c r="B1560" s="1" t="s">
        <v>2297</v>
      </c>
      <c r="C1560" s="3">
        <v>34.6</v>
      </c>
      <c r="D1560" s="3">
        <v>14.5</v>
      </c>
      <c r="E1560" s="3">
        <v>14.5</v>
      </c>
      <c r="F1560" s="3">
        <v>1.0</v>
      </c>
      <c r="G1560" s="4">
        <f t="shared" si="1"/>
        <v>17.3</v>
      </c>
      <c r="H1560" s="4" t="str">
        <f t="shared" si="2"/>
        <v>Neto: 14,50 € (a partir de 1 uds.)</v>
      </c>
      <c r="I1560" s="4" t="str">
        <f t="shared" si="3"/>
        <v>Neto G.C.: 14,50 € (a partir de 1 uds.)</v>
      </c>
      <c r="J1560" s="4">
        <f t="shared" si="4"/>
        <v>16.608</v>
      </c>
      <c r="K1560" s="4">
        <f t="shared" si="5"/>
        <v>17.3</v>
      </c>
      <c r="L1560" s="4">
        <f t="shared" si="6"/>
        <v>16.608</v>
      </c>
    </row>
    <row r="1561">
      <c r="A1561" s="3">
        <v>3396.0</v>
      </c>
      <c r="B1561" s="1" t="s">
        <v>2298</v>
      </c>
      <c r="C1561" s="3">
        <v>28.3</v>
      </c>
      <c r="D1561" s="3">
        <v>12.5</v>
      </c>
      <c r="E1561" s="3">
        <v>12.5</v>
      </c>
      <c r="F1561" s="3">
        <v>1.0</v>
      </c>
      <c r="G1561" s="4">
        <f t="shared" si="1"/>
        <v>14.15</v>
      </c>
      <c r="H1561" s="4" t="str">
        <f t="shared" si="2"/>
        <v>Neto: 12,50 € (a partir de 1 uds.)</v>
      </c>
      <c r="I1561" s="4" t="str">
        <f t="shared" si="3"/>
        <v>Neto G.C.: 12,50 € (a partir de 1 uds.)</v>
      </c>
      <c r="J1561" s="4">
        <f t="shared" si="4"/>
        <v>13.584</v>
      </c>
      <c r="K1561" s="4">
        <f t="shared" si="5"/>
        <v>14.15</v>
      </c>
      <c r="L1561" s="4">
        <f t="shared" si="6"/>
        <v>13.584</v>
      </c>
    </row>
    <row r="1562">
      <c r="A1562" s="3">
        <v>3397.0</v>
      </c>
      <c r="B1562" s="1" t="s">
        <v>2299</v>
      </c>
      <c r="C1562" s="3">
        <v>67.2</v>
      </c>
      <c r="D1562" s="5"/>
      <c r="E1562" s="5"/>
      <c r="F1562" s="5"/>
      <c r="G1562" s="4">
        <f t="shared" si="1"/>
        <v>33.6</v>
      </c>
      <c r="H1562" s="4" t="str">
        <f t="shared" si="2"/>
        <v>Sin precio neto</v>
      </c>
      <c r="I1562" s="4" t="str">
        <f t="shared" si="3"/>
        <v>Sin precio neto G.C.</v>
      </c>
      <c r="J1562" s="4">
        <f t="shared" si="4"/>
        <v>32.256</v>
      </c>
      <c r="K1562" s="4">
        <f t="shared" si="5"/>
        <v>33.6</v>
      </c>
      <c r="L1562" s="4">
        <f t="shared" si="6"/>
        <v>32.256</v>
      </c>
    </row>
    <row r="1563">
      <c r="A1563" s="3">
        <v>4004.0</v>
      </c>
      <c r="B1563" s="1" t="s">
        <v>2300</v>
      </c>
      <c r="C1563" s="3">
        <v>0.28</v>
      </c>
      <c r="D1563" s="5"/>
      <c r="E1563" s="5"/>
      <c r="F1563" s="5"/>
      <c r="G1563" s="4">
        <f t="shared" si="1"/>
        <v>0.14</v>
      </c>
      <c r="H1563" s="4" t="str">
        <f t="shared" si="2"/>
        <v>Sin precio neto</v>
      </c>
      <c r="I1563" s="4" t="str">
        <f t="shared" si="3"/>
        <v>Sin precio neto G.C.</v>
      </c>
      <c r="J1563" s="4">
        <f t="shared" si="4"/>
        <v>0.1344</v>
      </c>
      <c r="K1563" s="4">
        <f t="shared" si="5"/>
        <v>0.14</v>
      </c>
      <c r="L1563" s="4">
        <f t="shared" si="6"/>
        <v>0.1344</v>
      </c>
    </row>
    <row r="1564">
      <c r="A1564" s="3">
        <v>4006.0</v>
      </c>
      <c r="B1564" s="1" t="s">
        <v>2301</v>
      </c>
      <c r="C1564" s="3">
        <v>0.38</v>
      </c>
      <c r="D1564" s="5"/>
      <c r="E1564" s="5"/>
      <c r="F1564" s="5"/>
      <c r="G1564" s="4">
        <f t="shared" si="1"/>
        <v>0.19</v>
      </c>
      <c r="H1564" s="4" t="str">
        <f t="shared" si="2"/>
        <v>Sin precio neto</v>
      </c>
      <c r="I1564" s="4" t="str">
        <f t="shared" si="3"/>
        <v>Sin precio neto G.C.</v>
      </c>
      <c r="J1564" s="4">
        <f t="shared" si="4"/>
        <v>0.1824</v>
      </c>
      <c r="K1564" s="4">
        <f t="shared" si="5"/>
        <v>0.19</v>
      </c>
      <c r="L1564" s="4">
        <f t="shared" si="6"/>
        <v>0.1824</v>
      </c>
    </row>
    <row r="1565">
      <c r="A1565" s="3">
        <v>4008.0</v>
      </c>
      <c r="B1565" s="1" t="s">
        <v>2302</v>
      </c>
      <c r="C1565" s="3">
        <v>0.5</v>
      </c>
      <c r="D1565" s="5"/>
      <c r="E1565" s="5"/>
      <c r="F1565" s="5"/>
      <c r="G1565" s="4">
        <f t="shared" si="1"/>
        <v>0.25</v>
      </c>
      <c r="H1565" s="4" t="str">
        <f t="shared" si="2"/>
        <v>Sin precio neto</v>
      </c>
      <c r="I1565" s="4" t="str">
        <f t="shared" si="3"/>
        <v>Sin precio neto G.C.</v>
      </c>
      <c r="J1565" s="4">
        <f t="shared" si="4"/>
        <v>0.24</v>
      </c>
      <c r="K1565" s="4">
        <f t="shared" si="5"/>
        <v>0.25</v>
      </c>
      <c r="L1565" s="4">
        <f t="shared" si="6"/>
        <v>0.24</v>
      </c>
    </row>
    <row r="1566">
      <c r="A1566" s="3">
        <v>4010.0</v>
      </c>
      <c r="B1566" s="1" t="s">
        <v>2303</v>
      </c>
      <c r="C1566" s="3">
        <v>0.82</v>
      </c>
      <c r="D1566" s="5"/>
      <c r="E1566" s="5"/>
      <c r="F1566" s="5"/>
      <c r="G1566" s="4">
        <f t="shared" si="1"/>
        <v>0.41</v>
      </c>
      <c r="H1566" s="4" t="str">
        <f t="shared" si="2"/>
        <v>Sin precio neto</v>
      </c>
      <c r="I1566" s="4" t="str">
        <f t="shared" si="3"/>
        <v>Sin precio neto G.C.</v>
      </c>
      <c r="J1566" s="4">
        <f t="shared" si="4"/>
        <v>0.3936</v>
      </c>
      <c r="K1566" s="4">
        <f t="shared" si="5"/>
        <v>0.41</v>
      </c>
      <c r="L1566" s="4">
        <f t="shared" si="6"/>
        <v>0.3936</v>
      </c>
    </row>
    <row r="1567">
      <c r="A1567" s="3">
        <v>4012.0</v>
      </c>
      <c r="B1567" s="1" t="s">
        <v>2304</v>
      </c>
      <c r="C1567" s="3">
        <v>1.32</v>
      </c>
      <c r="D1567" s="5"/>
      <c r="E1567" s="5"/>
      <c r="F1567" s="5"/>
      <c r="G1567" s="4">
        <f t="shared" si="1"/>
        <v>0.66</v>
      </c>
      <c r="H1567" s="4" t="str">
        <f t="shared" si="2"/>
        <v>Sin precio neto</v>
      </c>
      <c r="I1567" s="4" t="str">
        <f t="shared" si="3"/>
        <v>Sin precio neto G.C.</v>
      </c>
      <c r="J1567" s="4">
        <f t="shared" si="4"/>
        <v>0.6336</v>
      </c>
      <c r="K1567" s="4">
        <f t="shared" si="5"/>
        <v>0.66</v>
      </c>
      <c r="L1567" s="4">
        <f t="shared" si="6"/>
        <v>0.6336</v>
      </c>
    </row>
    <row r="1568">
      <c r="A1568" s="3">
        <v>4014.0</v>
      </c>
      <c r="B1568" s="1" t="s">
        <v>2305</v>
      </c>
      <c r="C1568" s="3">
        <v>1.44</v>
      </c>
      <c r="D1568" s="5"/>
      <c r="E1568" s="5"/>
      <c r="F1568" s="5"/>
      <c r="G1568" s="4">
        <f t="shared" si="1"/>
        <v>0.72</v>
      </c>
      <c r="H1568" s="4" t="str">
        <f t="shared" si="2"/>
        <v>Sin precio neto</v>
      </c>
      <c r="I1568" s="4" t="str">
        <f t="shared" si="3"/>
        <v>Sin precio neto G.C.</v>
      </c>
      <c r="J1568" s="4">
        <f t="shared" si="4"/>
        <v>0.6912</v>
      </c>
      <c r="K1568" s="4">
        <f t="shared" si="5"/>
        <v>0.72</v>
      </c>
      <c r="L1568" s="4">
        <f t="shared" si="6"/>
        <v>0.6912</v>
      </c>
    </row>
    <row r="1569">
      <c r="A1569" s="3">
        <v>4016.0</v>
      </c>
      <c r="B1569" s="1" t="s">
        <v>2306</v>
      </c>
      <c r="C1569" s="3">
        <v>1.76</v>
      </c>
      <c r="D1569" s="5"/>
      <c r="E1569" s="5"/>
      <c r="F1569" s="5"/>
      <c r="G1569" s="4">
        <f t="shared" si="1"/>
        <v>0.88</v>
      </c>
      <c r="H1569" s="4" t="str">
        <f t="shared" si="2"/>
        <v>Sin precio neto</v>
      </c>
      <c r="I1569" s="4" t="str">
        <f t="shared" si="3"/>
        <v>Sin precio neto G.C.</v>
      </c>
      <c r="J1569" s="4">
        <f t="shared" si="4"/>
        <v>0.8448</v>
      </c>
      <c r="K1569" s="4">
        <f t="shared" si="5"/>
        <v>0.88</v>
      </c>
      <c r="L1569" s="4">
        <f t="shared" si="6"/>
        <v>0.8448</v>
      </c>
    </row>
    <row r="1570">
      <c r="A1570" s="3">
        <v>4018.0</v>
      </c>
      <c r="B1570" s="1" t="s">
        <v>2307</v>
      </c>
      <c r="C1570" s="3">
        <v>2.24</v>
      </c>
      <c r="D1570" s="5"/>
      <c r="E1570" s="5"/>
      <c r="F1570" s="5"/>
      <c r="G1570" s="4">
        <f t="shared" si="1"/>
        <v>1.12</v>
      </c>
      <c r="H1570" s="4" t="str">
        <f t="shared" si="2"/>
        <v>Sin precio neto</v>
      </c>
      <c r="I1570" s="4" t="str">
        <f t="shared" si="3"/>
        <v>Sin precio neto G.C.</v>
      </c>
      <c r="J1570" s="4">
        <f t="shared" si="4"/>
        <v>1.0752</v>
      </c>
      <c r="K1570" s="4">
        <f t="shared" si="5"/>
        <v>1.12</v>
      </c>
      <c r="L1570" s="4">
        <f t="shared" si="6"/>
        <v>1.0752</v>
      </c>
    </row>
    <row r="1571">
      <c r="A1571" s="3">
        <v>4020.0</v>
      </c>
      <c r="B1571" s="1" t="s">
        <v>2308</v>
      </c>
      <c r="C1571" s="3">
        <v>2.9</v>
      </c>
      <c r="D1571" s="5"/>
      <c r="E1571" s="5"/>
      <c r="F1571" s="5"/>
      <c r="G1571" s="4">
        <f t="shared" si="1"/>
        <v>1.45</v>
      </c>
      <c r="H1571" s="4" t="str">
        <f t="shared" si="2"/>
        <v>Sin precio neto</v>
      </c>
      <c r="I1571" s="4" t="str">
        <f t="shared" si="3"/>
        <v>Sin precio neto G.C.</v>
      </c>
      <c r="J1571" s="4">
        <f t="shared" si="4"/>
        <v>1.392</v>
      </c>
      <c r="K1571" s="4">
        <f t="shared" si="5"/>
        <v>1.45</v>
      </c>
      <c r="L1571" s="4">
        <f t="shared" si="6"/>
        <v>1.392</v>
      </c>
    </row>
    <row r="1572">
      <c r="A1572" s="3">
        <v>4050.0</v>
      </c>
      <c r="B1572" s="1" t="s">
        <v>2309</v>
      </c>
      <c r="C1572" s="3">
        <v>18.0</v>
      </c>
      <c r="D1572" s="5"/>
      <c r="E1572" s="5"/>
      <c r="F1572" s="5"/>
      <c r="G1572" s="4">
        <f t="shared" si="1"/>
        <v>9</v>
      </c>
      <c r="H1572" s="4" t="str">
        <f t="shared" si="2"/>
        <v>Sin precio neto</v>
      </c>
      <c r="I1572" s="4" t="str">
        <f t="shared" si="3"/>
        <v>Sin precio neto G.C.</v>
      </c>
      <c r="J1572" s="4">
        <f t="shared" si="4"/>
        <v>8.64</v>
      </c>
      <c r="K1572" s="4">
        <f t="shared" si="5"/>
        <v>9</v>
      </c>
      <c r="L1572" s="4">
        <f t="shared" si="6"/>
        <v>8.64</v>
      </c>
    </row>
    <row r="1573">
      <c r="A1573" s="3">
        <v>4080.0</v>
      </c>
      <c r="B1573" s="1" t="s">
        <v>2310</v>
      </c>
      <c r="C1573" s="3">
        <v>19.5</v>
      </c>
      <c r="D1573" s="5"/>
      <c r="E1573" s="5"/>
      <c r="F1573" s="5"/>
      <c r="G1573" s="4">
        <f t="shared" si="1"/>
        <v>9.75</v>
      </c>
      <c r="H1573" s="4" t="str">
        <f t="shared" si="2"/>
        <v>Sin precio neto</v>
      </c>
      <c r="I1573" s="4" t="str">
        <f t="shared" si="3"/>
        <v>Sin precio neto G.C.</v>
      </c>
      <c r="J1573" s="4">
        <f t="shared" si="4"/>
        <v>9.36</v>
      </c>
      <c r="K1573" s="4">
        <f t="shared" si="5"/>
        <v>9.75</v>
      </c>
      <c r="L1573" s="4">
        <f t="shared" si="6"/>
        <v>9.36</v>
      </c>
    </row>
    <row r="1574">
      <c r="A1574" s="3">
        <v>4081.0</v>
      </c>
      <c r="B1574" s="1" t="s">
        <v>2311</v>
      </c>
      <c r="C1574" s="3">
        <v>28.7</v>
      </c>
      <c r="D1574" s="5"/>
      <c r="E1574" s="5"/>
      <c r="F1574" s="5"/>
      <c r="G1574" s="4">
        <f t="shared" si="1"/>
        <v>14.35</v>
      </c>
      <c r="H1574" s="4" t="str">
        <f t="shared" si="2"/>
        <v>Sin precio neto</v>
      </c>
      <c r="I1574" s="4" t="str">
        <f t="shared" si="3"/>
        <v>Sin precio neto G.C.</v>
      </c>
      <c r="J1574" s="4">
        <f t="shared" si="4"/>
        <v>13.776</v>
      </c>
      <c r="K1574" s="4">
        <f t="shared" si="5"/>
        <v>14.35</v>
      </c>
      <c r="L1574" s="4">
        <f t="shared" si="6"/>
        <v>13.776</v>
      </c>
    </row>
    <row r="1575">
      <c r="A1575" s="1" t="s">
        <v>2312</v>
      </c>
      <c r="B1575" s="1" t="s">
        <v>2313</v>
      </c>
      <c r="C1575" s="3">
        <v>99.75</v>
      </c>
      <c r="D1575" s="5"/>
      <c r="E1575" s="5"/>
      <c r="F1575" s="5"/>
      <c r="G1575" s="4">
        <f t="shared" si="1"/>
        <v>49.875</v>
      </c>
      <c r="H1575" s="4" t="str">
        <f t="shared" si="2"/>
        <v>Sin precio neto</v>
      </c>
      <c r="I1575" s="4" t="str">
        <f t="shared" si="3"/>
        <v>Sin precio neto G.C.</v>
      </c>
      <c r="J1575" s="4">
        <f t="shared" si="4"/>
        <v>47.88</v>
      </c>
      <c r="K1575" s="4">
        <f t="shared" si="5"/>
        <v>49.875</v>
      </c>
      <c r="L1575" s="4">
        <f t="shared" si="6"/>
        <v>47.88</v>
      </c>
    </row>
    <row r="1576">
      <c r="A1576" s="1" t="s">
        <v>2314</v>
      </c>
      <c r="B1576" s="1" t="s">
        <v>2315</v>
      </c>
      <c r="C1576" s="3">
        <v>99.75</v>
      </c>
      <c r="D1576" s="5"/>
      <c r="E1576" s="5"/>
      <c r="F1576" s="5"/>
      <c r="G1576" s="4">
        <f t="shared" si="1"/>
        <v>49.875</v>
      </c>
      <c r="H1576" s="4" t="str">
        <f t="shared" si="2"/>
        <v>Sin precio neto</v>
      </c>
      <c r="I1576" s="4" t="str">
        <f t="shared" si="3"/>
        <v>Sin precio neto G.C.</v>
      </c>
      <c r="J1576" s="4">
        <f t="shared" si="4"/>
        <v>47.88</v>
      </c>
      <c r="K1576" s="4">
        <f t="shared" si="5"/>
        <v>49.875</v>
      </c>
      <c r="L1576" s="4">
        <f t="shared" si="6"/>
        <v>47.88</v>
      </c>
    </row>
    <row r="1577">
      <c r="A1577" s="1" t="s">
        <v>2316</v>
      </c>
      <c r="B1577" s="1" t="s">
        <v>2317</v>
      </c>
      <c r="C1577" s="3">
        <v>9.5</v>
      </c>
      <c r="D1577" s="5"/>
      <c r="E1577" s="5"/>
      <c r="F1577" s="5"/>
      <c r="G1577" s="4">
        <f t="shared" si="1"/>
        <v>4.75</v>
      </c>
      <c r="H1577" s="4" t="str">
        <f t="shared" si="2"/>
        <v>Sin precio neto</v>
      </c>
      <c r="I1577" s="4" t="str">
        <f t="shared" si="3"/>
        <v>Sin precio neto G.C.</v>
      </c>
      <c r="J1577" s="4">
        <f t="shared" si="4"/>
        <v>4.56</v>
      </c>
      <c r="K1577" s="4">
        <f t="shared" si="5"/>
        <v>4.75</v>
      </c>
      <c r="L1577" s="4">
        <f t="shared" si="6"/>
        <v>4.56</v>
      </c>
    </row>
    <row r="1578">
      <c r="A1578" s="3">
        <v>4098.0</v>
      </c>
      <c r="B1578" s="1" t="s">
        <v>2318</v>
      </c>
      <c r="C1578" s="3">
        <v>77.26</v>
      </c>
      <c r="D1578" s="5"/>
      <c r="E1578" s="5"/>
      <c r="F1578" s="5"/>
      <c r="G1578" s="4">
        <f t="shared" si="1"/>
        <v>38.63</v>
      </c>
      <c r="H1578" s="4" t="str">
        <f t="shared" si="2"/>
        <v>Sin precio neto</v>
      </c>
      <c r="I1578" s="4" t="str">
        <f t="shared" si="3"/>
        <v>Sin precio neto G.C.</v>
      </c>
      <c r="J1578" s="4">
        <f t="shared" si="4"/>
        <v>37.0848</v>
      </c>
      <c r="K1578" s="4">
        <f t="shared" si="5"/>
        <v>38.63</v>
      </c>
      <c r="L1578" s="4">
        <f t="shared" si="6"/>
        <v>37.0848</v>
      </c>
    </row>
    <row r="1579">
      <c r="A1579" s="3">
        <v>4099.0</v>
      </c>
      <c r="B1579" s="1" t="s">
        <v>2319</v>
      </c>
      <c r="C1579" s="3">
        <v>44.0</v>
      </c>
      <c r="D1579" s="3">
        <v>18.0</v>
      </c>
      <c r="E1579" s="3">
        <v>18.0</v>
      </c>
      <c r="F1579" s="3">
        <v>1.0</v>
      </c>
      <c r="G1579" s="4">
        <f t="shared" si="1"/>
        <v>22</v>
      </c>
      <c r="H1579" s="4" t="str">
        <f t="shared" si="2"/>
        <v>Neto: 18,00 € (a partir de 1 uds.)</v>
      </c>
      <c r="I1579" s="4" t="str">
        <f t="shared" si="3"/>
        <v>Neto G.C.: 18,00 € (a partir de 1 uds.)</v>
      </c>
      <c r="J1579" s="4">
        <f t="shared" si="4"/>
        <v>21.12</v>
      </c>
      <c r="K1579" s="4">
        <f t="shared" si="5"/>
        <v>22</v>
      </c>
      <c r="L1579" s="4">
        <f t="shared" si="6"/>
        <v>21.12</v>
      </c>
    </row>
    <row r="1580">
      <c r="A1580" s="3">
        <v>4100.0</v>
      </c>
      <c r="B1580" s="1" t="s">
        <v>2320</v>
      </c>
      <c r="C1580" s="3">
        <v>69.0</v>
      </c>
      <c r="D1580" s="3">
        <v>29.0</v>
      </c>
      <c r="E1580" s="3">
        <v>29.0</v>
      </c>
      <c r="F1580" s="3">
        <v>5.0</v>
      </c>
      <c r="G1580" s="4">
        <f t="shared" si="1"/>
        <v>34.5</v>
      </c>
      <c r="H1580" s="4" t="str">
        <f t="shared" si="2"/>
        <v>Neto: 29,00 € (a partir de 5 uds.)</v>
      </c>
      <c r="I1580" s="4" t="str">
        <f t="shared" si="3"/>
        <v>Neto G.C.: 29,00 € (a partir de 5 uds.)</v>
      </c>
      <c r="J1580" s="4">
        <f t="shared" si="4"/>
        <v>33.12</v>
      </c>
      <c r="K1580" s="4">
        <f t="shared" si="5"/>
        <v>34.5</v>
      </c>
      <c r="L1580" s="4">
        <f t="shared" si="6"/>
        <v>33.12</v>
      </c>
    </row>
    <row r="1581">
      <c r="A1581" s="3">
        <v>4101.0</v>
      </c>
      <c r="B1581" s="1" t="s">
        <v>2321</v>
      </c>
      <c r="C1581" s="3">
        <v>126.0</v>
      </c>
      <c r="D1581" s="3">
        <v>45.0</v>
      </c>
      <c r="E1581" s="3">
        <v>39.0</v>
      </c>
      <c r="F1581" s="3">
        <v>5.0</v>
      </c>
      <c r="G1581" s="4">
        <f t="shared" si="1"/>
        <v>63</v>
      </c>
      <c r="H1581" s="4" t="str">
        <f t="shared" si="2"/>
        <v>Neto: 45,00 € (a partir de 5 uds.)</v>
      </c>
      <c r="I1581" s="4" t="str">
        <f t="shared" si="3"/>
        <v>Neto G.C.: 39,00 € (a partir de 5 uds.)</v>
      </c>
      <c r="J1581" s="4">
        <f t="shared" si="4"/>
        <v>60.48</v>
      </c>
      <c r="K1581" s="4">
        <f t="shared" si="5"/>
        <v>63</v>
      </c>
      <c r="L1581" s="4">
        <f t="shared" si="6"/>
        <v>60.48</v>
      </c>
    </row>
    <row r="1582">
      <c r="A1582" s="3">
        <v>4103.0</v>
      </c>
      <c r="B1582" s="1" t="s">
        <v>2322</v>
      </c>
      <c r="C1582" s="3">
        <v>8.8</v>
      </c>
      <c r="D1582" s="5"/>
      <c r="E1582" s="5"/>
      <c r="F1582" s="5"/>
      <c r="G1582" s="4">
        <f t="shared" si="1"/>
        <v>4.4</v>
      </c>
      <c r="H1582" s="4" t="str">
        <f t="shared" si="2"/>
        <v>Sin precio neto</v>
      </c>
      <c r="I1582" s="4" t="str">
        <f t="shared" si="3"/>
        <v>Sin precio neto G.C.</v>
      </c>
      <c r="J1582" s="4">
        <f t="shared" si="4"/>
        <v>4.224</v>
      </c>
      <c r="K1582" s="4">
        <f t="shared" si="5"/>
        <v>4.4</v>
      </c>
      <c r="L1582" s="4">
        <f t="shared" si="6"/>
        <v>4.224</v>
      </c>
    </row>
    <row r="1583">
      <c r="A1583" s="3">
        <v>4104.0</v>
      </c>
      <c r="B1583" s="1" t="s">
        <v>2323</v>
      </c>
      <c r="C1583" s="3">
        <v>19.2</v>
      </c>
      <c r="D1583" s="5"/>
      <c r="E1583" s="5"/>
      <c r="F1583" s="5"/>
      <c r="G1583" s="4">
        <f t="shared" si="1"/>
        <v>9.6</v>
      </c>
      <c r="H1583" s="4" t="str">
        <f t="shared" si="2"/>
        <v>Sin precio neto</v>
      </c>
      <c r="I1583" s="4" t="str">
        <f t="shared" si="3"/>
        <v>Sin precio neto G.C.</v>
      </c>
      <c r="J1583" s="4">
        <f t="shared" si="4"/>
        <v>9.216</v>
      </c>
      <c r="K1583" s="4">
        <f t="shared" si="5"/>
        <v>9.6</v>
      </c>
      <c r="L1583" s="4">
        <f t="shared" si="6"/>
        <v>9.216</v>
      </c>
    </row>
    <row r="1584">
      <c r="A1584" s="3">
        <v>4105.0</v>
      </c>
      <c r="B1584" s="1" t="s">
        <v>2324</v>
      </c>
      <c r="C1584" s="3">
        <v>15.5</v>
      </c>
      <c r="D1584" s="5"/>
      <c r="E1584" s="5"/>
      <c r="F1584" s="5"/>
      <c r="G1584" s="4">
        <f t="shared" si="1"/>
        <v>7.75</v>
      </c>
      <c r="H1584" s="4" t="str">
        <f t="shared" si="2"/>
        <v>Sin precio neto</v>
      </c>
      <c r="I1584" s="4" t="str">
        <f t="shared" si="3"/>
        <v>Sin precio neto G.C.</v>
      </c>
      <c r="J1584" s="4">
        <f t="shared" si="4"/>
        <v>7.44</v>
      </c>
      <c r="K1584" s="4">
        <f t="shared" si="5"/>
        <v>7.75</v>
      </c>
      <c r="L1584" s="4">
        <f t="shared" si="6"/>
        <v>7.44</v>
      </c>
    </row>
    <row r="1585">
      <c r="A1585" s="3">
        <v>4106.0</v>
      </c>
      <c r="B1585" s="1" t="s">
        <v>2325</v>
      </c>
      <c r="C1585" s="3">
        <v>0.48</v>
      </c>
      <c r="D1585" s="5"/>
      <c r="E1585" s="5"/>
      <c r="F1585" s="5"/>
      <c r="G1585" s="4">
        <f t="shared" si="1"/>
        <v>0.24</v>
      </c>
      <c r="H1585" s="4" t="str">
        <f t="shared" si="2"/>
        <v>Sin precio neto</v>
      </c>
      <c r="I1585" s="4" t="str">
        <f t="shared" si="3"/>
        <v>Sin precio neto G.C.</v>
      </c>
      <c r="J1585" s="4">
        <f t="shared" si="4"/>
        <v>0.2304</v>
      </c>
      <c r="K1585" s="4">
        <f t="shared" si="5"/>
        <v>0.24</v>
      </c>
      <c r="L1585" s="4">
        <f t="shared" si="6"/>
        <v>0.2304</v>
      </c>
    </row>
    <row r="1586">
      <c r="A1586" s="3">
        <v>4108.0</v>
      </c>
      <c r="B1586" s="1" t="s">
        <v>2326</v>
      </c>
      <c r="C1586" s="3">
        <v>0.86</v>
      </c>
      <c r="D1586" s="5"/>
      <c r="E1586" s="5"/>
      <c r="F1586" s="5"/>
      <c r="G1586" s="4">
        <f t="shared" si="1"/>
        <v>0.43</v>
      </c>
      <c r="H1586" s="4" t="str">
        <f t="shared" si="2"/>
        <v>Sin precio neto</v>
      </c>
      <c r="I1586" s="4" t="str">
        <f t="shared" si="3"/>
        <v>Sin precio neto G.C.</v>
      </c>
      <c r="J1586" s="4">
        <f t="shared" si="4"/>
        <v>0.4128</v>
      </c>
      <c r="K1586" s="4">
        <f t="shared" si="5"/>
        <v>0.43</v>
      </c>
      <c r="L1586" s="4">
        <f t="shared" si="6"/>
        <v>0.4128</v>
      </c>
    </row>
    <row r="1587">
      <c r="A1587" s="3">
        <v>4110.0</v>
      </c>
      <c r="B1587" s="1" t="s">
        <v>2327</v>
      </c>
      <c r="C1587" s="3">
        <v>1.12</v>
      </c>
      <c r="D1587" s="5"/>
      <c r="E1587" s="5"/>
      <c r="F1587" s="5"/>
      <c r="G1587" s="4">
        <f t="shared" si="1"/>
        <v>0.56</v>
      </c>
      <c r="H1587" s="4" t="str">
        <f t="shared" si="2"/>
        <v>Sin precio neto</v>
      </c>
      <c r="I1587" s="4" t="str">
        <f t="shared" si="3"/>
        <v>Sin precio neto G.C.</v>
      </c>
      <c r="J1587" s="4">
        <f t="shared" si="4"/>
        <v>0.5376</v>
      </c>
      <c r="K1587" s="4">
        <f t="shared" si="5"/>
        <v>0.56</v>
      </c>
      <c r="L1587" s="4">
        <f t="shared" si="6"/>
        <v>0.5376</v>
      </c>
    </row>
    <row r="1588">
      <c r="A1588" s="3">
        <v>4112.0</v>
      </c>
      <c r="B1588" s="1" t="s">
        <v>2328</v>
      </c>
      <c r="C1588" s="3">
        <v>1.76</v>
      </c>
      <c r="D1588" s="5"/>
      <c r="E1588" s="5"/>
      <c r="F1588" s="5"/>
      <c r="G1588" s="4">
        <f t="shared" si="1"/>
        <v>0.88</v>
      </c>
      <c r="H1588" s="4" t="str">
        <f t="shared" si="2"/>
        <v>Sin precio neto</v>
      </c>
      <c r="I1588" s="4" t="str">
        <f t="shared" si="3"/>
        <v>Sin precio neto G.C.</v>
      </c>
      <c r="J1588" s="4">
        <f t="shared" si="4"/>
        <v>0.8448</v>
      </c>
      <c r="K1588" s="4">
        <f t="shared" si="5"/>
        <v>0.88</v>
      </c>
      <c r="L1588" s="4">
        <f t="shared" si="6"/>
        <v>0.8448</v>
      </c>
    </row>
    <row r="1589">
      <c r="A1589" s="3">
        <v>4114.0</v>
      </c>
      <c r="B1589" s="1" t="s">
        <v>2329</v>
      </c>
      <c r="C1589" s="3">
        <v>2.32</v>
      </c>
      <c r="D1589" s="5"/>
      <c r="E1589" s="5"/>
      <c r="F1589" s="5"/>
      <c r="G1589" s="4">
        <f t="shared" si="1"/>
        <v>1.16</v>
      </c>
      <c r="H1589" s="4" t="str">
        <f t="shared" si="2"/>
        <v>Sin precio neto</v>
      </c>
      <c r="I1589" s="4" t="str">
        <f t="shared" si="3"/>
        <v>Sin precio neto G.C.</v>
      </c>
      <c r="J1589" s="4">
        <f t="shared" si="4"/>
        <v>1.1136</v>
      </c>
      <c r="K1589" s="4">
        <f t="shared" si="5"/>
        <v>1.16</v>
      </c>
      <c r="L1589" s="4">
        <f t="shared" si="6"/>
        <v>1.1136</v>
      </c>
    </row>
    <row r="1590">
      <c r="A1590" s="3">
        <v>4116.0</v>
      </c>
      <c r="B1590" s="1" t="s">
        <v>2330</v>
      </c>
      <c r="C1590" s="3">
        <v>2.72</v>
      </c>
      <c r="D1590" s="5"/>
      <c r="E1590" s="5"/>
      <c r="F1590" s="5"/>
      <c r="G1590" s="4">
        <f t="shared" si="1"/>
        <v>1.36</v>
      </c>
      <c r="H1590" s="4" t="str">
        <f t="shared" si="2"/>
        <v>Sin precio neto</v>
      </c>
      <c r="I1590" s="4" t="str">
        <f t="shared" si="3"/>
        <v>Sin precio neto G.C.</v>
      </c>
      <c r="J1590" s="4">
        <f t="shared" si="4"/>
        <v>1.3056</v>
      </c>
      <c r="K1590" s="4">
        <f t="shared" si="5"/>
        <v>1.36</v>
      </c>
      <c r="L1590" s="4">
        <f t="shared" si="6"/>
        <v>1.3056</v>
      </c>
    </row>
    <row r="1591">
      <c r="A1591" s="3">
        <v>4118.0</v>
      </c>
      <c r="B1591" s="1" t="s">
        <v>2331</v>
      </c>
      <c r="C1591" s="3">
        <v>3.56</v>
      </c>
      <c r="D1591" s="5"/>
      <c r="E1591" s="5"/>
      <c r="F1591" s="5"/>
      <c r="G1591" s="4">
        <f t="shared" si="1"/>
        <v>1.78</v>
      </c>
      <c r="H1591" s="4" t="str">
        <f t="shared" si="2"/>
        <v>Sin precio neto</v>
      </c>
      <c r="I1591" s="4" t="str">
        <f t="shared" si="3"/>
        <v>Sin precio neto G.C.</v>
      </c>
      <c r="J1591" s="4">
        <f t="shared" si="4"/>
        <v>1.7088</v>
      </c>
      <c r="K1591" s="4">
        <f t="shared" si="5"/>
        <v>1.78</v>
      </c>
      <c r="L1591" s="4">
        <f t="shared" si="6"/>
        <v>1.7088</v>
      </c>
    </row>
    <row r="1592">
      <c r="A1592" s="3">
        <v>4125.0</v>
      </c>
      <c r="B1592" s="1" t="s">
        <v>2332</v>
      </c>
      <c r="C1592" s="3">
        <v>6.0</v>
      </c>
      <c r="D1592" s="5"/>
      <c r="E1592" s="5"/>
      <c r="F1592" s="5"/>
      <c r="G1592" s="4">
        <f t="shared" si="1"/>
        <v>3</v>
      </c>
      <c r="H1592" s="4" t="str">
        <f t="shared" si="2"/>
        <v>Sin precio neto</v>
      </c>
      <c r="I1592" s="4" t="str">
        <f t="shared" si="3"/>
        <v>Sin precio neto G.C.</v>
      </c>
      <c r="J1592" s="4">
        <f t="shared" si="4"/>
        <v>2.88</v>
      </c>
      <c r="K1592" s="4">
        <f t="shared" si="5"/>
        <v>3</v>
      </c>
      <c r="L1592" s="4">
        <f t="shared" si="6"/>
        <v>2.88</v>
      </c>
    </row>
    <row r="1593">
      <c r="A1593" s="3">
        <v>4150.0</v>
      </c>
      <c r="B1593" s="1" t="s">
        <v>2333</v>
      </c>
      <c r="C1593" s="3">
        <v>109.0</v>
      </c>
      <c r="D1593" s="5"/>
      <c r="E1593" s="5"/>
      <c r="F1593" s="5"/>
      <c r="G1593" s="4">
        <f t="shared" si="1"/>
        <v>54.5</v>
      </c>
      <c r="H1593" s="4" t="str">
        <f t="shared" si="2"/>
        <v>Sin precio neto</v>
      </c>
      <c r="I1593" s="4" t="str">
        <f t="shared" si="3"/>
        <v>Sin precio neto G.C.</v>
      </c>
      <c r="J1593" s="4">
        <f t="shared" si="4"/>
        <v>52.32</v>
      </c>
      <c r="K1593" s="4">
        <f t="shared" si="5"/>
        <v>54.5</v>
      </c>
      <c r="L1593" s="4">
        <f t="shared" si="6"/>
        <v>52.32</v>
      </c>
    </row>
    <row r="1594">
      <c r="A1594" s="3">
        <v>4151.0</v>
      </c>
      <c r="B1594" s="1" t="s">
        <v>2334</v>
      </c>
      <c r="C1594" s="3">
        <v>174.0</v>
      </c>
      <c r="D1594" s="5"/>
      <c r="E1594" s="5"/>
      <c r="F1594" s="5"/>
      <c r="G1594" s="4">
        <f t="shared" si="1"/>
        <v>87</v>
      </c>
      <c r="H1594" s="4" t="str">
        <f t="shared" si="2"/>
        <v>Sin precio neto</v>
      </c>
      <c r="I1594" s="4" t="str">
        <f t="shared" si="3"/>
        <v>Sin precio neto G.C.</v>
      </c>
      <c r="J1594" s="4">
        <f t="shared" si="4"/>
        <v>83.52</v>
      </c>
      <c r="K1594" s="4">
        <f t="shared" si="5"/>
        <v>87</v>
      </c>
      <c r="L1594" s="4">
        <f t="shared" si="6"/>
        <v>83.52</v>
      </c>
    </row>
    <row r="1595">
      <c r="A1595" s="3">
        <v>4180.0</v>
      </c>
      <c r="B1595" s="1" t="s">
        <v>2335</v>
      </c>
      <c r="C1595" s="3">
        <v>6.8</v>
      </c>
      <c r="D1595" s="5"/>
      <c r="E1595" s="5"/>
      <c r="F1595" s="5"/>
      <c r="G1595" s="4">
        <f t="shared" si="1"/>
        <v>3.4</v>
      </c>
      <c r="H1595" s="4" t="str">
        <f t="shared" si="2"/>
        <v>Sin precio neto</v>
      </c>
      <c r="I1595" s="4" t="str">
        <f t="shared" si="3"/>
        <v>Sin precio neto G.C.</v>
      </c>
      <c r="J1595" s="4">
        <f t="shared" si="4"/>
        <v>3.264</v>
      </c>
      <c r="K1595" s="4">
        <f t="shared" si="5"/>
        <v>3.4</v>
      </c>
      <c r="L1595" s="4">
        <f t="shared" si="6"/>
        <v>3.264</v>
      </c>
    </row>
    <row r="1596">
      <c r="A1596" s="3">
        <v>4181.0</v>
      </c>
      <c r="B1596" s="1" t="s">
        <v>2336</v>
      </c>
      <c r="C1596" s="3">
        <v>6.8</v>
      </c>
      <c r="D1596" s="5"/>
      <c r="E1596" s="5"/>
      <c r="F1596" s="5"/>
      <c r="G1596" s="4">
        <f t="shared" si="1"/>
        <v>3.4</v>
      </c>
      <c r="H1596" s="4" t="str">
        <f t="shared" si="2"/>
        <v>Sin precio neto</v>
      </c>
      <c r="I1596" s="4" t="str">
        <f t="shared" si="3"/>
        <v>Sin precio neto G.C.</v>
      </c>
      <c r="J1596" s="4">
        <f t="shared" si="4"/>
        <v>3.264</v>
      </c>
      <c r="K1596" s="4">
        <f t="shared" si="5"/>
        <v>3.4</v>
      </c>
      <c r="L1596" s="4">
        <f t="shared" si="6"/>
        <v>3.264</v>
      </c>
    </row>
    <row r="1597">
      <c r="A1597" s="3">
        <v>4182.0</v>
      </c>
      <c r="B1597" s="1" t="s">
        <v>2337</v>
      </c>
      <c r="C1597" s="3">
        <v>78.0</v>
      </c>
      <c r="D1597" s="5"/>
      <c r="E1597" s="5"/>
      <c r="F1597" s="5"/>
      <c r="G1597" s="4">
        <f t="shared" si="1"/>
        <v>39</v>
      </c>
      <c r="H1597" s="4" t="str">
        <f t="shared" si="2"/>
        <v>Sin precio neto</v>
      </c>
      <c r="I1597" s="4" t="str">
        <f t="shared" si="3"/>
        <v>Sin precio neto G.C.</v>
      </c>
      <c r="J1597" s="4">
        <f t="shared" si="4"/>
        <v>37.44</v>
      </c>
      <c r="K1597" s="4">
        <f t="shared" si="5"/>
        <v>39</v>
      </c>
      <c r="L1597" s="4">
        <f t="shared" si="6"/>
        <v>37.44</v>
      </c>
    </row>
    <row r="1598">
      <c r="A1598" s="3">
        <v>4183.0</v>
      </c>
      <c r="B1598" s="1" t="s">
        <v>2338</v>
      </c>
      <c r="C1598" s="3">
        <v>78.0</v>
      </c>
      <c r="D1598" s="5"/>
      <c r="E1598" s="5"/>
      <c r="F1598" s="5"/>
      <c r="G1598" s="4">
        <f t="shared" si="1"/>
        <v>39</v>
      </c>
      <c r="H1598" s="4" t="str">
        <f t="shared" si="2"/>
        <v>Sin precio neto</v>
      </c>
      <c r="I1598" s="4" t="str">
        <f t="shared" si="3"/>
        <v>Sin precio neto G.C.</v>
      </c>
      <c r="J1598" s="4">
        <f t="shared" si="4"/>
        <v>37.44</v>
      </c>
      <c r="K1598" s="4">
        <f t="shared" si="5"/>
        <v>39</v>
      </c>
      <c r="L1598" s="4">
        <f t="shared" si="6"/>
        <v>37.44</v>
      </c>
    </row>
    <row r="1599">
      <c r="A1599" s="3">
        <v>4184.0</v>
      </c>
      <c r="B1599" s="1" t="s">
        <v>2339</v>
      </c>
      <c r="C1599" s="3">
        <v>6.9</v>
      </c>
      <c r="D1599" s="5"/>
      <c r="E1599" s="5"/>
      <c r="F1599" s="5"/>
      <c r="G1599" s="4">
        <f t="shared" si="1"/>
        <v>3.45</v>
      </c>
      <c r="H1599" s="4" t="str">
        <f t="shared" si="2"/>
        <v>Sin precio neto</v>
      </c>
      <c r="I1599" s="4" t="str">
        <f t="shared" si="3"/>
        <v>Sin precio neto G.C.</v>
      </c>
      <c r="J1599" s="4">
        <f t="shared" si="4"/>
        <v>3.312</v>
      </c>
      <c r="K1599" s="4">
        <f t="shared" si="5"/>
        <v>3.45</v>
      </c>
      <c r="L1599" s="4">
        <f t="shared" si="6"/>
        <v>3.312</v>
      </c>
    </row>
    <row r="1600">
      <c r="A1600" s="3">
        <v>4185.0</v>
      </c>
      <c r="B1600" s="1" t="s">
        <v>2340</v>
      </c>
      <c r="C1600" s="3">
        <v>6.9</v>
      </c>
      <c r="D1600" s="5"/>
      <c r="E1600" s="5"/>
      <c r="F1600" s="5"/>
      <c r="G1600" s="4">
        <f t="shared" si="1"/>
        <v>3.45</v>
      </c>
      <c r="H1600" s="4" t="str">
        <f t="shared" si="2"/>
        <v>Sin precio neto</v>
      </c>
      <c r="I1600" s="4" t="str">
        <f t="shared" si="3"/>
        <v>Sin precio neto G.C.</v>
      </c>
      <c r="J1600" s="4">
        <f t="shared" si="4"/>
        <v>3.312</v>
      </c>
      <c r="K1600" s="4">
        <f t="shared" si="5"/>
        <v>3.45</v>
      </c>
      <c r="L1600" s="4">
        <f t="shared" si="6"/>
        <v>3.312</v>
      </c>
    </row>
    <row r="1601">
      <c r="A1601" s="3">
        <v>4186.0</v>
      </c>
      <c r="B1601" s="1" t="s">
        <v>2341</v>
      </c>
      <c r="C1601" s="3">
        <v>11.5</v>
      </c>
      <c r="D1601" s="5"/>
      <c r="E1601" s="5"/>
      <c r="F1601" s="5"/>
      <c r="G1601" s="4">
        <f t="shared" si="1"/>
        <v>5.75</v>
      </c>
      <c r="H1601" s="4" t="str">
        <f t="shared" si="2"/>
        <v>Sin precio neto</v>
      </c>
      <c r="I1601" s="4" t="str">
        <f t="shared" si="3"/>
        <v>Sin precio neto G.C.</v>
      </c>
      <c r="J1601" s="4">
        <f t="shared" si="4"/>
        <v>5.52</v>
      </c>
      <c r="K1601" s="4">
        <f t="shared" si="5"/>
        <v>5.75</v>
      </c>
      <c r="L1601" s="4">
        <f t="shared" si="6"/>
        <v>5.52</v>
      </c>
    </row>
    <row r="1602">
      <c r="A1602" s="3">
        <v>4187.0</v>
      </c>
      <c r="B1602" s="1" t="s">
        <v>2342</v>
      </c>
      <c r="C1602" s="3">
        <v>11.5</v>
      </c>
      <c r="D1602" s="5"/>
      <c r="E1602" s="5"/>
      <c r="F1602" s="5"/>
      <c r="G1602" s="4">
        <f t="shared" si="1"/>
        <v>5.75</v>
      </c>
      <c r="H1602" s="4" t="str">
        <f t="shared" si="2"/>
        <v>Sin precio neto</v>
      </c>
      <c r="I1602" s="4" t="str">
        <f t="shared" si="3"/>
        <v>Sin precio neto G.C.</v>
      </c>
      <c r="J1602" s="4">
        <f t="shared" si="4"/>
        <v>5.52</v>
      </c>
      <c r="K1602" s="4">
        <f t="shared" si="5"/>
        <v>5.75</v>
      </c>
      <c r="L1602" s="4">
        <f t="shared" si="6"/>
        <v>5.52</v>
      </c>
    </row>
    <row r="1603">
      <c r="A1603" s="3">
        <v>4188.0</v>
      </c>
      <c r="B1603" s="1" t="s">
        <v>2343</v>
      </c>
      <c r="C1603" s="3">
        <v>4.4</v>
      </c>
      <c r="D1603" s="5"/>
      <c r="E1603" s="5"/>
      <c r="F1603" s="5"/>
      <c r="G1603" s="4">
        <f t="shared" si="1"/>
        <v>2.2</v>
      </c>
      <c r="H1603" s="4" t="str">
        <f t="shared" si="2"/>
        <v>Sin precio neto</v>
      </c>
      <c r="I1603" s="4" t="str">
        <f t="shared" si="3"/>
        <v>Sin precio neto G.C.</v>
      </c>
      <c r="J1603" s="4">
        <f t="shared" si="4"/>
        <v>2.112</v>
      </c>
      <c r="K1603" s="4">
        <f t="shared" si="5"/>
        <v>2.2</v>
      </c>
      <c r="L1603" s="4">
        <f t="shared" si="6"/>
        <v>2.112</v>
      </c>
    </row>
    <row r="1604">
      <c r="A1604" s="3">
        <v>4189.0</v>
      </c>
      <c r="B1604" s="1" t="s">
        <v>2344</v>
      </c>
      <c r="C1604" s="3">
        <v>4.4</v>
      </c>
      <c r="D1604" s="5"/>
      <c r="E1604" s="5"/>
      <c r="F1604" s="5"/>
      <c r="G1604" s="4">
        <f t="shared" si="1"/>
        <v>2.2</v>
      </c>
      <c r="H1604" s="4" t="str">
        <f t="shared" si="2"/>
        <v>Sin precio neto</v>
      </c>
      <c r="I1604" s="4" t="str">
        <f t="shared" si="3"/>
        <v>Sin precio neto G.C.</v>
      </c>
      <c r="J1604" s="4">
        <f t="shared" si="4"/>
        <v>2.112</v>
      </c>
      <c r="K1604" s="4">
        <f t="shared" si="5"/>
        <v>2.2</v>
      </c>
      <c r="L1604" s="4">
        <f t="shared" si="6"/>
        <v>2.112</v>
      </c>
    </row>
    <row r="1605">
      <c r="A1605" s="3">
        <v>4190.0</v>
      </c>
      <c r="B1605" s="1" t="s">
        <v>2345</v>
      </c>
      <c r="C1605" s="3">
        <v>9.8</v>
      </c>
      <c r="D1605" s="5"/>
      <c r="E1605" s="5"/>
      <c r="F1605" s="5"/>
      <c r="G1605" s="4">
        <f t="shared" si="1"/>
        <v>4.9</v>
      </c>
      <c r="H1605" s="4" t="str">
        <f t="shared" si="2"/>
        <v>Sin precio neto</v>
      </c>
      <c r="I1605" s="4" t="str">
        <f t="shared" si="3"/>
        <v>Sin precio neto G.C.</v>
      </c>
      <c r="J1605" s="4">
        <f t="shared" si="4"/>
        <v>4.704</v>
      </c>
      <c r="K1605" s="4">
        <f t="shared" si="5"/>
        <v>4.9</v>
      </c>
      <c r="L1605" s="4">
        <f t="shared" si="6"/>
        <v>4.704</v>
      </c>
    </row>
    <row r="1606">
      <c r="A1606" s="3">
        <v>4191.0</v>
      </c>
      <c r="B1606" s="1" t="s">
        <v>2346</v>
      </c>
      <c r="C1606" s="3">
        <v>9.8</v>
      </c>
      <c r="D1606" s="5"/>
      <c r="E1606" s="5"/>
      <c r="F1606" s="5"/>
      <c r="G1606" s="4">
        <f t="shared" si="1"/>
        <v>4.9</v>
      </c>
      <c r="H1606" s="4" t="str">
        <f t="shared" si="2"/>
        <v>Sin precio neto</v>
      </c>
      <c r="I1606" s="4" t="str">
        <f t="shared" si="3"/>
        <v>Sin precio neto G.C.</v>
      </c>
      <c r="J1606" s="4">
        <f t="shared" si="4"/>
        <v>4.704</v>
      </c>
      <c r="K1606" s="4">
        <f t="shared" si="5"/>
        <v>4.9</v>
      </c>
      <c r="L1606" s="4">
        <f t="shared" si="6"/>
        <v>4.704</v>
      </c>
    </row>
    <row r="1607">
      <c r="A1607" s="3">
        <v>4192.0</v>
      </c>
      <c r="B1607" s="1" t="s">
        <v>2347</v>
      </c>
      <c r="C1607" s="3">
        <v>7.5</v>
      </c>
      <c r="D1607" s="5"/>
      <c r="E1607" s="5"/>
      <c r="F1607" s="5"/>
      <c r="G1607" s="4">
        <f t="shared" si="1"/>
        <v>3.75</v>
      </c>
      <c r="H1607" s="4" t="str">
        <f t="shared" si="2"/>
        <v>Sin precio neto</v>
      </c>
      <c r="I1607" s="4" t="str">
        <f t="shared" si="3"/>
        <v>Sin precio neto G.C.</v>
      </c>
      <c r="J1607" s="4">
        <f t="shared" si="4"/>
        <v>3.6</v>
      </c>
      <c r="K1607" s="4">
        <f t="shared" si="5"/>
        <v>3.75</v>
      </c>
      <c r="L1607" s="4">
        <f t="shared" si="6"/>
        <v>3.6</v>
      </c>
    </row>
    <row r="1608">
      <c r="A1608" s="3">
        <v>4193.0</v>
      </c>
      <c r="B1608" s="1" t="s">
        <v>2348</v>
      </c>
      <c r="C1608" s="3">
        <v>7.5</v>
      </c>
      <c r="D1608" s="5"/>
      <c r="E1608" s="5"/>
      <c r="F1608" s="5"/>
      <c r="G1608" s="4">
        <f t="shared" si="1"/>
        <v>3.75</v>
      </c>
      <c r="H1608" s="4" t="str">
        <f t="shared" si="2"/>
        <v>Sin precio neto</v>
      </c>
      <c r="I1608" s="4" t="str">
        <f t="shared" si="3"/>
        <v>Sin precio neto G.C.</v>
      </c>
      <c r="J1608" s="4">
        <f t="shared" si="4"/>
        <v>3.6</v>
      </c>
      <c r="K1608" s="4">
        <f t="shared" si="5"/>
        <v>3.75</v>
      </c>
      <c r="L1608" s="4">
        <f t="shared" si="6"/>
        <v>3.6</v>
      </c>
    </row>
    <row r="1609">
      <c r="A1609" s="3">
        <v>4194.0</v>
      </c>
      <c r="B1609" s="1" t="s">
        <v>2349</v>
      </c>
      <c r="C1609" s="3">
        <v>74.0</v>
      </c>
      <c r="D1609" s="5"/>
      <c r="E1609" s="5"/>
      <c r="F1609" s="5"/>
      <c r="G1609" s="4">
        <f t="shared" si="1"/>
        <v>37</v>
      </c>
      <c r="H1609" s="4" t="str">
        <f t="shared" si="2"/>
        <v>Sin precio neto</v>
      </c>
      <c r="I1609" s="4" t="str">
        <f t="shared" si="3"/>
        <v>Sin precio neto G.C.</v>
      </c>
      <c r="J1609" s="4">
        <f t="shared" si="4"/>
        <v>35.52</v>
      </c>
      <c r="K1609" s="4">
        <f t="shared" si="5"/>
        <v>37</v>
      </c>
      <c r="L1609" s="4">
        <f t="shared" si="6"/>
        <v>35.52</v>
      </c>
    </row>
    <row r="1610">
      <c r="A1610" s="3">
        <v>4200.0</v>
      </c>
      <c r="B1610" s="1" t="s">
        <v>2350</v>
      </c>
      <c r="C1610" s="3">
        <v>29.8</v>
      </c>
      <c r="D1610" s="3">
        <v>12.5</v>
      </c>
      <c r="E1610" s="3">
        <v>12.5</v>
      </c>
      <c r="F1610" s="3">
        <v>10.0</v>
      </c>
      <c r="G1610" s="4">
        <f t="shared" si="1"/>
        <v>14.9</v>
      </c>
      <c r="H1610" s="4" t="str">
        <f t="shared" si="2"/>
        <v>Neto: 12,50 € (a partir de 10 uds.)</v>
      </c>
      <c r="I1610" s="4" t="str">
        <f t="shared" si="3"/>
        <v>Neto G.C.: 12,50 € (a partir de 10 uds.)</v>
      </c>
      <c r="J1610" s="4">
        <f t="shared" si="4"/>
        <v>14.304</v>
      </c>
      <c r="K1610" s="4">
        <f t="shared" si="5"/>
        <v>14.9</v>
      </c>
      <c r="L1610" s="4">
        <f t="shared" si="6"/>
        <v>14.304</v>
      </c>
    </row>
    <row r="1611">
      <c r="A1611" s="1" t="s">
        <v>2351</v>
      </c>
      <c r="B1611" s="1" t="s">
        <v>2352</v>
      </c>
      <c r="C1611" s="3">
        <v>29.8</v>
      </c>
      <c r="D1611" s="3">
        <v>12.5</v>
      </c>
      <c r="E1611" s="3">
        <v>12.5</v>
      </c>
      <c r="F1611" s="3">
        <v>10.0</v>
      </c>
      <c r="G1611" s="4">
        <f t="shared" si="1"/>
        <v>14.9</v>
      </c>
      <c r="H1611" s="4" t="str">
        <f t="shared" si="2"/>
        <v>Neto: 12,50 € (a partir de 10 uds.)</v>
      </c>
      <c r="I1611" s="4" t="str">
        <f t="shared" si="3"/>
        <v>Neto G.C.: 12,50 € (a partir de 10 uds.)</v>
      </c>
      <c r="J1611" s="4">
        <f t="shared" si="4"/>
        <v>14.304</v>
      </c>
      <c r="K1611" s="4">
        <f t="shared" si="5"/>
        <v>14.9</v>
      </c>
      <c r="L1611" s="4">
        <f t="shared" si="6"/>
        <v>14.304</v>
      </c>
    </row>
    <row r="1612">
      <c r="A1612" s="1" t="s">
        <v>2353</v>
      </c>
      <c r="B1612" s="1" t="s">
        <v>2354</v>
      </c>
      <c r="C1612" s="3">
        <v>29.8</v>
      </c>
      <c r="D1612" s="3">
        <v>12.5</v>
      </c>
      <c r="E1612" s="3">
        <v>12.5</v>
      </c>
      <c r="F1612" s="3">
        <v>10.0</v>
      </c>
      <c r="G1612" s="4">
        <f t="shared" si="1"/>
        <v>14.9</v>
      </c>
      <c r="H1612" s="4" t="str">
        <f t="shared" si="2"/>
        <v>Neto: 12,50 € (a partir de 10 uds.)</v>
      </c>
      <c r="I1612" s="4" t="str">
        <f t="shared" si="3"/>
        <v>Neto G.C.: 12,50 € (a partir de 10 uds.)</v>
      </c>
      <c r="J1612" s="4">
        <f t="shared" si="4"/>
        <v>14.304</v>
      </c>
      <c r="K1612" s="4">
        <f t="shared" si="5"/>
        <v>14.9</v>
      </c>
      <c r="L1612" s="4">
        <f t="shared" si="6"/>
        <v>14.304</v>
      </c>
    </row>
    <row r="1613">
      <c r="A1613" s="1" t="s">
        <v>2355</v>
      </c>
      <c r="B1613" s="1" t="s">
        <v>2356</v>
      </c>
      <c r="C1613" s="3">
        <v>29.8</v>
      </c>
      <c r="D1613" s="3">
        <v>12.5</v>
      </c>
      <c r="E1613" s="3">
        <v>12.5</v>
      </c>
      <c r="F1613" s="3">
        <v>10.0</v>
      </c>
      <c r="G1613" s="4">
        <f t="shared" si="1"/>
        <v>14.9</v>
      </c>
      <c r="H1613" s="4" t="str">
        <f t="shared" si="2"/>
        <v>Neto: 12,50 € (a partir de 10 uds.)</v>
      </c>
      <c r="I1613" s="4" t="str">
        <f t="shared" si="3"/>
        <v>Neto G.C.: 12,50 € (a partir de 10 uds.)</v>
      </c>
      <c r="J1613" s="4">
        <f t="shared" si="4"/>
        <v>14.304</v>
      </c>
      <c r="K1613" s="4">
        <f t="shared" si="5"/>
        <v>14.9</v>
      </c>
      <c r="L1613" s="4">
        <f t="shared" si="6"/>
        <v>14.304</v>
      </c>
    </row>
    <row r="1614">
      <c r="A1614" s="1" t="s">
        <v>2357</v>
      </c>
      <c r="B1614" s="1" t="s">
        <v>2358</v>
      </c>
      <c r="C1614" s="3">
        <v>29.8</v>
      </c>
      <c r="D1614" s="3">
        <v>12.5</v>
      </c>
      <c r="E1614" s="3">
        <v>12.5</v>
      </c>
      <c r="F1614" s="3">
        <v>10.0</v>
      </c>
      <c r="G1614" s="4">
        <f t="shared" si="1"/>
        <v>14.9</v>
      </c>
      <c r="H1614" s="4" t="str">
        <f t="shared" si="2"/>
        <v>Neto: 12,50 € (a partir de 10 uds.)</v>
      </c>
      <c r="I1614" s="4" t="str">
        <f t="shared" si="3"/>
        <v>Neto G.C.: 12,50 € (a partir de 10 uds.)</v>
      </c>
      <c r="J1614" s="4">
        <f t="shared" si="4"/>
        <v>14.304</v>
      </c>
      <c r="K1614" s="4">
        <f t="shared" si="5"/>
        <v>14.9</v>
      </c>
      <c r="L1614" s="4">
        <f t="shared" si="6"/>
        <v>14.304</v>
      </c>
    </row>
    <row r="1615">
      <c r="A1615" s="1" t="s">
        <v>2359</v>
      </c>
      <c r="B1615" s="1" t="s">
        <v>2360</v>
      </c>
      <c r="C1615" s="3">
        <v>29.8</v>
      </c>
      <c r="D1615" s="3">
        <v>12.5</v>
      </c>
      <c r="E1615" s="3">
        <v>12.5</v>
      </c>
      <c r="F1615" s="3">
        <v>10.0</v>
      </c>
      <c r="G1615" s="4">
        <f t="shared" si="1"/>
        <v>14.9</v>
      </c>
      <c r="H1615" s="4" t="str">
        <f t="shared" si="2"/>
        <v>Neto: 12,50 € (a partir de 10 uds.)</v>
      </c>
      <c r="I1615" s="4" t="str">
        <f t="shared" si="3"/>
        <v>Neto G.C.: 12,50 € (a partir de 10 uds.)</v>
      </c>
      <c r="J1615" s="4">
        <f t="shared" si="4"/>
        <v>14.304</v>
      </c>
      <c r="K1615" s="4">
        <f t="shared" si="5"/>
        <v>14.9</v>
      </c>
      <c r="L1615" s="4">
        <f t="shared" si="6"/>
        <v>14.304</v>
      </c>
    </row>
    <row r="1616">
      <c r="A1616" s="1" t="s">
        <v>2361</v>
      </c>
      <c r="B1616" s="1" t="s">
        <v>2362</v>
      </c>
      <c r="C1616" s="3">
        <v>29.8</v>
      </c>
      <c r="D1616" s="3">
        <v>12.5</v>
      </c>
      <c r="E1616" s="3">
        <v>12.5</v>
      </c>
      <c r="F1616" s="3">
        <v>10.0</v>
      </c>
      <c r="G1616" s="4">
        <f t="shared" si="1"/>
        <v>14.9</v>
      </c>
      <c r="H1616" s="4" t="str">
        <f t="shared" si="2"/>
        <v>Neto: 12,50 € (a partir de 10 uds.)</v>
      </c>
      <c r="I1616" s="4" t="str">
        <f t="shared" si="3"/>
        <v>Neto G.C.: 12,50 € (a partir de 10 uds.)</v>
      </c>
      <c r="J1616" s="4">
        <f t="shared" si="4"/>
        <v>14.304</v>
      </c>
      <c r="K1616" s="4">
        <f t="shared" si="5"/>
        <v>14.9</v>
      </c>
      <c r="L1616" s="4">
        <f t="shared" si="6"/>
        <v>14.304</v>
      </c>
    </row>
    <row r="1617">
      <c r="A1617" s="3">
        <v>4201.0</v>
      </c>
      <c r="B1617" s="1" t="s">
        <v>2363</v>
      </c>
      <c r="C1617" s="3">
        <v>29.8</v>
      </c>
      <c r="D1617" s="3">
        <v>12.5</v>
      </c>
      <c r="E1617" s="3">
        <v>12.5</v>
      </c>
      <c r="F1617" s="3">
        <v>10.0</v>
      </c>
      <c r="G1617" s="4">
        <f t="shared" si="1"/>
        <v>14.9</v>
      </c>
      <c r="H1617" s="4" t="str">
        <f t="shared" si="2"/>
        <v>Neto: 12,50 € (a partir de 10 uds.)</v>
      </c>
      <c r="I1617" s="4" t="str">
        <f t="shared" si="3"/>
        <v>Neto G.C.: 12,50 € (a partir de 10 uds.)</v>
      </c>
      <c r="J1617" s="4">
        <f t="shared" si="4"/>
        <v>14.304</v>
      </c>
      <c r="K1617" s="4">
        <f t="shared" si="5"/>
        <v>14.9</v>
      </c>
      <c r="L1617" s="4">
        <f t="shared" si="6"/>
        <v>14.304</v>
      </c>
    </row>
    <row r="1618">
      <c r="A1618" s="3">
        <v>4204.0</v>
      </c>
      <c r="B1618" s="1" t="s">
        <v>2364</v>
      </c>
      <c r="C1618" s="3">
        <v>82.0</v>
      </c>
      <c r="D1618" s="5"/>
      <c r="E1618" s="5"/>
      <c r="F1618" s="5"/>
      <c r="G1618" s="4">
        <f t="shared" si="1"/>
        <v>41</v>
      </c>
      <c r="H1618" s="4" t="str">
        <f t="shared" si="2"/>
        <v>Sin precio neto</v>
      </c>
      <c r="I1618" s="4" t="str">
        <f t="shared" si="3"/>
        <v>Sin precio neto G.C.</v>
      </c>
      <c r="J1618" s="4">
        <f t="shared" si="4"/>
        <v>39.36</v>
      </c>
      <c r="K1618" s="4">
        <f t="shared" si="5"/>
        <v>41</v>
      </c>
      <c r="L1618" s="4">
        <f t="shared" si="6"/>
        <v>39.36</v>
      </c>
    </row>
    <row r="1619">
      <c r="A1619" s="3">
        <v>4206.0</v>
      </c>
      <c r="B1619" s="1" t="s">
        <v>2365</v>
      </c>
      <c r="C1619" s="3">
        <v>108.0</v>
      </c>
      <c r="D1619" s="5"/>
      <c r="E1619" s="5"/>
      <c r="F1619" s="5"/>
      <c r="G1619" s="4">
        <f t="shared" si="1"/>
        <v>54</v>
      </c>
      <c r="H1619" s="4" t="str">
        <f t="shared" si="2"/>
        <v>Sin precio neto</v>
      </c>
      <c r="I1619" s="4" t="str">
        <f t="shared" si="3"/>
        <v>Sin precio neto G.C.</v>
      </c>
      <c r="J1619" s="4">
        <f t="shared" si="4"/>
        <v>51.84</v>
      </c>
      <c r="K1619" s="4">
        <f t="shared" si="5"/>
        <v>54</v>
      </c>
      <c r="L1619" s="4">
        <f t="shared" si="6"/>
        <v>51.84</v>
      </c>
    </row>
    <row r="1620">
      <c r="A1620" s="3">
        <v>4208.0</v>
      </c>
      <c r="B1620" s="1" t="s">
        <v>2366</v>
      </c>
      <c r="C1620" s="3">
        <v>194.0</v>
      </c>
      <c r="D1620" s="5"/>
      <c r="E1620" s="5"/>
      <c r="F1620" s="5"/>
      <c r="G1620" s="4">
        <f t="shared" si="1"/>
        <v>97</v>
      </c>
      <c r="H1620" s="4" t="str">
        <f t="shared" si="2"/>
        <v>Sin precio neto</v>
      </c>
      <c r="I1620" s="4" t="str">
        <f t="shared" si="3"/>
        <v>Sin precio neto G.C.</v>
      </c>
      <c r="J1620" s="4">
        <f t="shared" si="4"/>
        <v>93.12</v>
      </c>
      <c r="K1620" s="4">
        <f t="shared" si="5"/>
        <v>97</v>
      </c>
      <c r="L1620" s="4">
        <f t="shared" si="6"/>
        <v>93.12</v>
      </c>
    </row>
    <row r="1621">
      <c r="A1621" s="3">
        <v>4209.0</v>
      </c>
      <c r="B1621" s="1" t="s">
        <v>2367</v>
      </c>
      <c r="C1621" s="3">
        <v>205.0</v>
      </c>
      <c r="D1621" s="5"/>
      <c r="E1621" s="5"/>
      <c r="F1621" s="5"/>
      <c r="G1621" s="4">
        <f t="shared" si="1"/>
        <v>102.5</v>
      </c>
      <c r="H1621" s="4" t="str">
        <f t="shared" si="2"/>
        <v>Sin precio neto</v>
      </c>
      <c r="I1621" s="4" t="str">
        <f t="shared" si="3"/>
        <v>Sin precio neto G.C.</v>
      </c>
      <c r="J1621" s="4">
        <f t="shared" si="4"/>
        <v>98.4</v>
      </c>
      <c r="K1621" s="4">
        <f t="shared" si="5"/>
        <v>102.5</v>
      </c>
      <c r="L1621" s="4">
        <f t="shared" si="6"/>
        <v>98.4</v>
      </c>
    </row>
    <row r="1622">
      <c r="A1622" s="3">
        <v>4210.0</v>
      </c>
      <c r="B1622" s="1" t="s">
        <v>2368</v>
      </c>
      <c r="C1622" s="3">
        <v>118.0</v>
      </c>
      <c r="D1622" s="5"/>
      <c r="E1622" s="5"/>
      <c r="F1622" s="5"/>
      <c r="G1622" s="4">
        <f t="shared" si="1"/>
        <v>59</v>
      </c>
      <c r="H1622" s="4" t="str">
        <f t="shared" si="2"/>
        <v>Sin precio neto</v>
      </c>
      <c r="I1622" s="4" t="str">
        <f t="shared" si="3"/>
        <v>Sin precio neto G.C.</v>
      </c>
      <c r="J1622" s="4">
        <f t="shared" si="4"/>
        <v>56.64</v>
      </c>
      <c r="K1622" s="4">
        <f t="shared" si="5"/>
        <v>59</v>
      </c>
      <c r="L1622" s="4">
        <f t="shared" si="6"/>
        <v>56.64</v>
      </c>
    </row>
    <row r="1623">
      <c r="A1623" s="3">
        <v>4211.0</v>
      </c>
      <c r="B1623" s="1" t="s">
        <v>2369</v>
      </c>
      <c r="C1623" s="3">
        <v>201.0</v>
      </c>
      <c r="D1623" s="5"/>
      <c r="E1623" s="5"/>
      <c r="F1623" s="5"/>
      <c r="G1623" s="4">
        <f t="shared" si="1"/>
        <v>100.5</v>
      </c>
      <c r="H1623" s="4" t="str">
        <f t="shared" si="2"/>
        <v>Sin precio neto</v>
      </c>
      <c r="I1623" s="4" t="str">
        <f t="shared" si="3"/>
        <v>Sin precio neto G.C.</v>
      </c>
      <c r="J1623" s="4">
        <f t="shared" si="4"/>
        <v>96.48</v>
      </c>
      <c r="K1623" s="4">
        <f t="shared" si="5"/>
        <v>100.5</v>
      </c>
      <c r="L1623" s="4">
        <f t="shared" si="6"/>
        <v>96.48</v>
      </c>
    </row>
    <row r="1624">
      <c r="A1624" s="3">
        <v>4213.0</v>
      </c>
      <c r="B1624" s="1" t="s">
        <v>2370</v>
      </c>
      <c r="C1624" s="3">
        <v>84.0</v>
      </c>
      <c r="D1624" s="5"/>
      <c r="E1624" s="5"/>
      <c r="F1624" s="5"/>
      <c r="G1624" s="4">
        <f t="shared" si="1"/>
        <v>42</v>
      </c>
      <c r="H1624" s="4" t="str">
        <f t="shared" si="2"/>
        <v>Sin precio neto</v>
      </c>
      <c r="I1624" s="4" t="str">
        <f t="shared" si="3"/>
        <v>Sin precio neto G.C.</v>
      </c>
      <c r="J1624" s="4">
        <f t="shared" si="4"/>
        <v>40.32</v>
      </c>
      <c r="K1624" s="4">
        <f t="shared" si="5"/>
        <v>42</v>
      </c>
      <c r="L1624" s="4">
        <f t="shared" si="6"/>
        <v>40.32</v>
      </c>
    </row>
    <row r="1625">
      <c r="A1625" s="3">
        <v>4215.0</v>
      </c>
      <c r="B1625" s="1" t="s">
        <v>2371</v>
      </c>
      <c r="C1625" s="3">
        <v>164.0</v>
      </c>
      <c r="D1625" s="5"/>
      <c r="E1625" s="5"/>
      <c r="F1625" s="5"/>
      <c r="G1625" s="4">
        <f t="shared" si="1"/>
        <v>82</v>
      </c>
      <c r="H1625" s="4" t="str">
        <f t="shared" si="2"/>
        <v>Sin precio neto</v>
      </c>
      <c r="I1625" s="4" t="str">
        <f t="shared" si="3"/>
        <v>Sin precio neto G.C.</v>
      </c>
      <c r="J1625" s="4">
        <f t="shared" si="4"/>
        <v>78.72</v>
      </c>
      <c r="K1625" s="4">
        <f t="shared" si="5"/>
        <v>82</v>
      </c>
      <c r="L1625" s="4">
        <f t="shared" si="6"/>
        <v>78.72</v>
      </c>
    </row>
    <row r="1626">
      <c r="A1626" s="3">
        <v>4221.0</v>
      </c>
      <c r="B1626" s="1" t="s">
        <v>2372</v>
      </c>
      <c r="C1626" s="3">
        <v>192.0</v>
      </c>
      <c r="D1626" s="5"/>
      <c r="E1626" s="5"/>
      <c r="F1626" s="5"/>
      <c r="G1626" s="4">
        <f t="shared" si="1"/>
        <v>96</v>
      </c>
      <c r="H1626" s="4" t="str">
        <f t="shared" si="2"/>
        <v>Sin precio neto</v>
      </c>
      <c r="I1626" s="4" t="str">
        <f t="shared" si="3"/>
        <v>Sin precio neto G.C.</v>
      </c>
      <c r="J1626" s="4">
        <f t="shared" si="4"/>
        <v>92.16</v>
      </c>
      <c r="K1626" s="4">
        <f t="shared" si="5"/>
        <v>96</v>
      </c>
      <c r="L1626" s="4">
        <f t="shared" si="6"/>
        <v>92.16</v>
      </c>
    </row>
    <row r="1627">
      <c r="A1627" s="3">
        <v>4223.0</v>
      </c>
      <c r="B1627" s="1" t="s">
        <v>2373</v>
      </c>
      <c r="C1627" s="3">
        <v>304.0</v>
      </c>
      <c r="D1627" s="5"/>
      <c r="E1627" s="5"/>
      <c r="F1627" s="5"/>
      <c r="G1627" s="4">
        <f t="shared" si="1"/>
        <v>152</v>
      </c>
      <c r="H1627" s="4" t="str">
        <f t="shared" si="2"/>
        <v>Sin precio neto</v>
      </c>
      <c r="I1627" s="4" t="str">
        <f t="shared" si="3"/>
        <v>Sin precio neto G.C.</v>
      </c>
      <c r="J1627" s="4">
        <f t="shared" si="4"/>
        <v>145.92</v>
      </c>
      <c r="K1627" s="4">
        <f t="shared" si="5"/>
        <v>152</v>
      </c>
      <c r="L1627" s="4">
        <f t="shared" si="6"/>
        <v>145.92</v>
      </c>
    </row>
    <row r="1628">
      <c r="A1628" s="3">
        <v>4227.0</v>
      </c>
      <c r="B1628" s="1" t="s">
        <v>2374</v>
      </c>
      <c r="C1628" s="3">
        <v>248.0</v>
      </c>
      <c r="D1628" s="5"/>
      <c r="E1628" s="5"/>
      <c r="F1628" s="5"/>
      <c r="G1628" s="4">
        <f t="shared" si="1"/>
        <v>124</v>
      </c>
      <c r="H1628" s="4" t="str">
        <f t="shared" si="2"/>
        <v>Sin precio neto</v>
      </c>
      <c r="I1628" s="4" t="str">
        <f t="shared" si="3"/>
        <v>Sin precio neto G.C.</v>
      </c>
      <c r="J1628" s="4">
        <f t="shared" si="4"/>
        <v>119.04</v>
      </c>
      <c r="K1628" s="4">
        <f t="shared" si="5"/>
        <v>124</v>
      </c>
      <c r="L1628" s="4">
        <f t="shared" si="6"/>
        <v>119.04</v>
      </c>
    </row>
    <row r="1629">
      <c r="A1629" s="3">
        <v>4228.0</v>
      </c>
      <c r="B1629" s="1" t="s">
        <v>2375</v>
      </c>
      <c r="C1629" s="3">
        <v>320.0</v>
      </c>
      <c r="D1629" s="5"/>
      <c r="E1629" s="5"/>
      <c r="F1629" s="5"/>
      <c r="G1629" s="4">
        <f t="shared" si="1"/>
        <v>160</v>
      </c>
      <c r="H1629" s="4" t="str">
        <f t="shared" si="2"/>
        <v>Sin precio neto</v>
      </c>
      <c r="I1629" s="4" t="str">
        <f t="shared" si="3"/>
        <v>Sin precio neto G.C.</v>
      </c>
      <c r="J1629" s="4">
        <f t="shared" si="4"/>
        <v>153.6</v>
      </c>
      <c r="K1629" s="4">
        <f t="shared" si="5"/>
        <v>160</v>
      </c>
      <c r="L1629" s="4">
        <f t="shared" si="6"/>
        <v>153.6</v>
      </c>
    </row>
    <row r="1630">
      <c r="A1630" s="3">
        <v>4230.0</v>
      </c>
      <c r="B1630" s="1" t="s">
        <v>2376</v>
      </c>
      <c r="C1630" s="3">
        <v>190.0</v>
      </c>
      <c r="D1630" s="5"/>
      <c r="E1630" s="5"/>
      <c r="F1630" s="5"/>
      <c r="G1630" s="4">
        <f t="shared" si="1"/>
        <v>95</v>
      </c>
      <c r="H1630" s="4" t="str">
        <f t="shared" si="2"/>
        <v>Sin precio neto</v>
      </c>
      <c r="I1630" s="4" t="str">
        <f t="shared" si="3"/>
        <v>Sin precio neto G.C.</v>
      </c>
      <c r="J1630" s="4">
        <f t="shared" si="4"/>
        <v>91.2</v>
      </c>
      <c r="K1630" s="4">
        <f t="shared" si="5"/>
        <v>95</v>
      </c>
      <c r="L1630" s="4">
        <f t="shared" si="6"/>
        <v>91.2</v>
      </c>
    </row>
    <row r="1631">
      <c r="A1631" s="3">
        <v>4231.0</v>
      </c>
      <c r="B1631" s="1" t="s">
        <v>2377</v>
      </c>
      <c r="C1631" s="3">
        <v>250.0</v>
      </c>
      <c r="D1631" s="5"/>
      <c r="E1631" s="5"/>
      <c r="F1631" s="5"/>
      <c r="G1631" s="4">
        <f t="shared" si="1"/>
        <v>125</v>
      </c>
      <c r="H1631" s="4" t="str">
        <f t="shared" si="2"/>
        <v>Sin precio neto</v>
      </c>
      <c r="I1631" s="4" t="str">
        <f t="shared" si="3"/>
        <v>Sin precio neto G.C.</v>
      </c>
      <c r="J1631" s="4">
        <f t="shared" si="4"/>
        <v>120</v>
      </c>
      <c r="K1631" s="4">
        <f t="shared" si="5"/>
        <v>125</v>
      </c>
      <c r="L1631" s="4">
        <f t="shared" si="6"/>
        <v>120</v>
      </c>
    </row>
    <row r="1632">
      <c r="A1632" s="3">
        <v>4232.0</v>
      </c>
      <c r="B1632" s="1" t="s">
        <v>2378</v>
      </c>
      <c r="C1632" s="3">
        <v>358.0</v>
      </c>
      <c r="D1632" s="5"/>
      <c r="E1632" s="5"/>
      <c r="F1632" s="5"/>
      <c r="G1632" s="4">
        <f t="shared" si="1"/>
        <v>179</v>
      </c>
      <c r="H1632" s="4" t="str">
        <f t="shared" si="2"/>
        <v>Sin precio neto</v>
      </c>
      <c r="I1632" s="4" t="str">
        <f t="shared" si="3"/>
        <v>Sin precio neto G.C.</v>
      </c>
      <c r="J1632" s="4">
        <f t="shared" si="4"/>
        <v>171.84</v>
      </c>
      <c r="K1632" s="4">
        <f t="shared" si="5"/>
        <v>179</v>
      </c>
      <c r="L1632" s="4">
        <f t="shared" si="6"/>
        <v>171.84</v>
      </c>
    </row>
    <row r="1633">
      <c r="A1633" s="3">
        <v>4233.0</v>
      </c>
      <c r="B1633" s="1" t="s">
        <v>2379</v>
      </c>
      <c r="C1633" s="3">
        <v>460.0</v>
      </c>
      <c r="D1633" s="5"/>
      <c r="E1633" s="5"/>
      <c r="F1633" s="5"/>
      <c r="G1633" s="4">
        <f t="shared" si="1"/>
        <v>230</v>
      </c>
      <c r="H1633" s="4" t="str">
        <f t="shared" si="2"/>
        <v>Sin precio neto</v>
      </c>
      <c r="I1633" s="4" t="str">
        <f t="shared" si="3"/>
        <v>Sin precio neto G.C.</v>
      </c>
      <c r="J1633" s="4">
        <f t="shared" si="4"/>
        <v>220.8</v>
      </c>
      <c r="K1633" s="4">
        <f t="shared" si="5"/>
        <v>230</v>
      </c>
      <c r="L1633" s="4">
        <f t="shared" si="6"/>
        <v>220.8</v>
      </c>
    </row>
    <row r="1634">
      <c r="A1634" s="3">
        <v>4234.0</v>
      </c>
      <c r="B1634" s="1" t="s">
        <v>2380</v>
      </c>
      <c r="C1634" s="3">
        <v>315.0</v>
      </c>
      <c r="D1634" s="5"/>
      <c r="E1634" s="5"/>
      <c r="F1634" s="5"/>
      <c r="G1634" s="4">
        <f t="shared" si="1"/>
        <v>157.5</v>
      </c>
      <c r="H1634" s="4" t="str">
        <f t="shared" si="2"/>
        <v>Sin precio neto</v>
      </c>
      <c r="I1634" s="4" t="str">
        <f t="shared" si="3"/>
        <v>Sin precio neto G.C.</v>
      </c>
      <c r="J1634" s="4">
        <f t="shared" si="4"/>
        <v>151.2</v>
      </c>
      <c r="K1634" s="4">
        <f t="shared" si="5"/>
        <v>157.5</v>
      </c>
      <c r="L1634" s="4">
        <f t="shared" si="6"/>
        <v>151.2</v>
      </c>
    </row>
    <row r="1635">
      <c r="A1635" s="3">
        <v>4235.0</v>
      </c>
      <c r="B1635" s="1" t="s">
        <v>2381</v>
      </c>
      <c r="C1635" s="3">
        <v>240.0</v>
      </c>
      <c r="D1635" s="5"/>
      <c r="E1635" s="5"/>
      <c r="F1635" s="5"/>
      <c r="G1635" s="4">
        <f t="shared" si="1"/>
        <v>120</v>
      </c>
      <c r="H1635" s="4" t="str">
        <f t="shared" si="2"/>
        <v>Sin precio neto</v>
      </c>
      <c r="I1635" s="4" t="str">
        <f t="shared" si="3"/>
        <v>Sin precio neto G.C.</v>
      </c>
      <c r="J1635" s="4">
        <f t="shared" si="4"/>
        <v>115.2</v>
      </c>
      <c r="K1635" s="4">
        <f t="shared" si="5"/>
        <v>120</v>
      </c>
      <c r="L1635" s="4">
        <f t="shared" si="6"/>
        <v>115.2</v>
      </c>
    </row>
    <row r="1636">
      <c r="A1636" s="3">
        <v>4250.0</v>
      </c>
      <c r="B1636" s="1" t="s">
        <v>2382</v>
      </c>
      <c r="C1636" s="3">
        <v>44.0</v>
      </c>
      <c r="D1636" s="5"/>
      <c r="E1636" s="5"/>
      <c r="F1636" s="5"/>
      <c r="G1636" s="4">
        <f t="shared" si="1"/>
        <v>22</v>
      </c>
      <c r="H1636" s="4" t="str">
        <f t="shared" si="2"/>
        <v>Sin precio neto</v>
      </c>
      <c r="I1636" s="4" t="str">
        <f t="shared" si="3"/>
        <v>Sin precio neto G.C.</v>
      </c>
      <c r="J1636" s="4">
        <f t="shared" si="4"/>
        <v>21.12</v>
      </c>
      <c r="K1636" s="4">
        <f t="shared" si="5"/>
        <v>22</v>
      </c>
      <c r="L1636" s="4">
        <f t="shared" si="6"/>
        <v>21.12</v>
      </c>
    </row>
    <row r="1637">
      <c r="A1637" s="3">
        <v>4300.0</v>
      </c>
      <c r="B1637" s="1" t="s">
        <v>2383</v>
      </c>
      <c r="C1637" s="3">
        <v>7.9</v>
      </c>
      <c r="D1637" s="5"/>
      <c r="E1637" s="5"/>
      <c r="F1637" s="5"/>
      <c r="G1637" s="4">
        <f t="shared" si="1"/>
        <v>3.95</v>
      </c>
      <c r="H1637" s="4" t="str">
        <f t="shared" si="2"/>
        <v>Sin precio neto</v>
      </c>
      <c r="I1637" s="4" t="str">
        <f t="shared" si="3"/>
        <v>Sin precio neto G.C.</v>
      </c>
      <c r="J1637" s="4">
        <f t="shared" si="4"/>
        <v>3.792</v>
      </c>
      <c r="K1637" s="4">
        <f t="shared" si="5"/>
        <v>3.95</v>
      </c>
      <c r="L1637" s="4">
        <f t="shared" si="6"/>
        <v>3.792</v>
      </c>
    </row>
    <row r="1638">
      <c r="A1638" s="3">
        <v>4301.0</v>
      </c>
      <c r="B1638" s="1" t="s">
        <v>2384</v>
      </c>
      <c r="C1638" s="3">
        <v>9.2</v>
      </c>
      <c r="D1638" s="5"/>
      <c r="E1638" s="5"/>
      <c r="F1638" s="5"/>
      <c r="G1638" s="4">
        <f t="shared" si="1"/>
        <v>4.6</v>
      </c>
      <c r="H1638" s="4" t="str">
        <f t="shared" si="2"/>
        <v>Sin precio neto</v>
      </c>
      <c r="I1638" s="4" t="str">
        <f t="shared" si="3"/>
        <v>Sin precio neto G.C.</v>
      </c>
      <c r="J1638" s="4">
        <f t="shared" si="4"/>
        <v>4.416</v>
      </c>
      <c r="K1638" s="4">
        <f t="shared" si="5"/>
        <v>4.6</v>
      </c>
      <c r="L1638" s="4">
        <f t="shared" si="6"/>
        <v>4.416</v>
      </c>
    </row>
    <row r="1639">
      <c r="A1639" s="3">
        <v>4302.0</v>
      </c>
      <c r="B1639" s="1" t="s">
        <v>2385</v>
      </c>
      <c r="C1639" s="3">
        <v>22.5</v>
      </c>
      <c r="D1639" s="5"/>
      <c r="E1639" s="5"/>
      <c r="F1639" s="5"/>
      <c r="G1639" s="4">
        <f t="shared" si="1"/>
        <v>11.25</v>
      </c>
      <c r="H1639" s="4" t="str">
        <f t="shared" si="2"/>
        <v>Sin precio neto</v>
      </c>
      <c r="I1639" s="4" t="str">
        <f t="shared" si="3"/>
        <v>Sin precio neto G.C.</v>
      </c>
      <c r="J1639" s="4">
        <f t="shared" si="4"/>
        <v>10.8</v>
      </c>
      <c r="K1639" s="4">
        <f t="shared" si="5"/>
        <v>11.25</v>
      </c>
      <c r="L1639" s="4">
        <f t="shared" si="6"/>
        <v>10.8</v>
      </c>
    </row>
    <row r="1640">
      <c r="A1640" s="3">
        <v>4303.0</v>
      </c>
      <c r="B1640" s="1" t="s">
        <v>2386</v>
      </c>
      <c r="C1640" s="3">
        <v>14.0</v>
      </c>
      <c r="D1640" s="5"/>
      <c r="E1640" s="5"/>
      <c r="F1640" s="5"/>
      <c r="G1640" s="4">
        <f t="shared" si="1"/>
        <v>7</v>
      </c>
      <c r="H1640" s="4" t="str">
        <f t="shared" si="2"/>
        <v>Sin precio neto</v>
      </c>
      <c r="I1640" s="4" t="str">
        <f t="shared" si="3"/>
        <v>Sin precio neto G.C.</v>
      </c>
      <c r="J1640" s="4">
        <f t="shared" si="4"/>
        <v>6.72</v>
      </c>
      <c r="K1640" s="4">
        <f t="shared" si="5"/>
        <v>7</v>
      </c>
      <c r="L1640" s="4">
        <f t="shared" si="6"/>
        <v>6.72</v>
      </c>
    </row>
    <row r="1641">
      <c r="A1641" s="3">
        <v>4304.0</v>
      </c>
      <c r="B1641" s="1" t="s">
        <v>2387</v>
      </c>
      <c r="C1641" s="3">
        <v>0.52</v>
      </c>
      <c r="D1641" s="5"/>
      <c r="E1641" s="5"/>
      <c r="F1641" s="5"/>
      <c r="G1641" s="4">
        <f t="shared" si="1"/>
        <v>0.26</v>
      </c>
      <c r="H1641" s="4" t="str">
        <f t="shared" si="2"/>
        <v>Sin precio neto</v>
      </c>
      <c r="I1641" s="4" t="str">
        <f t="shared" si="3"/>
        <v>Sin precio neto G.C.</v>
      </c>
      <c r="J1641" s="4">
        <f t="shared" si="4"/>
        <v>0.2496</v>
      </c>
      <c r="K1641" s="4">
        <f t="shared" si="5"/>
        <v>0.26</v>
      </c>
      <c r="L1641" s="4">
        <f t="shared" si="6"/>
        <v>0.2496</v>
      </c>
    </row>
    <row r="1642">
      <c r="A1642" s="3">
        <v>4305.0</v>
      </c>
      <c r="B1642" s="1" t="s">
        <v>2388</v>
      </c>
      <c r="C1642" s="3">
        <v>8.94</v>
      </c>
      <c r="D1642" s="5"/>
      <c r="E1642" s="5"/>
      <c r="F1642" s="5"/>
      <c r="G1642" s="4">
        <f t="shared" si="1"/>
        <v>4.47</v>
      </c>
      <c r="H1642" s="4" t="str">
        <f t="shared" si="2"/>
        <v>Sin precio neto</v>
      </c>
      <c r="I1642" s="4" t="str">
        <f t="shared" si="3"/>
        <v>Sin precio neto G.C.</v>
      </c>
      <c r="J1642" s="4">
        <f t="shared" si="4"/>
        <v>4.2912</v>
      </c>
      <c r="K1642" s="4">
        <f t="shared" si="5"/>
        <v>4.47</v>
      </c>
      <c r="L1642" s="4">
        <f t="shared" si="6"/>
        <v>4.2912</v>
      </c>
    </row>
    <row r="1643">
      <c r="A1643" s="3">
        <v>4690.0</v>
      </c>
      <c r="B1643" s="1" t="s">
        <v>2389</v>
      </c>
      <c r="C1643" s="3">
        <v>3.9</v>
      </c>
      <c r="D1643" s="5"/>
      <c r="E1643" s="5"/>
      <c r="F1643" s="5"/>
      <c r="G1643" s="4">
        <f t="shared" si="1"/>
        <v>1.95</v>
      </c>
      <c r="H1643" s="4" t="str">
        <f t="shared" si="2"/>
        <v>Sin precio neto</v>
      </c>
      <c r="I1643" s="4" t="str">
        <f t="shared" si="3"/>
        <v>Sin precio neto G.C.</v>
      </c>
      <c r="J1643" s="4">
        <f t="shared" si="4"/>
        <v>1.872</v>
      </c>
      <c r="K1643" s="4">
        <f t="shared" si="5"/>
        <v>1.95</v>
      </c>
      <c r="L1643" s="4">
        <f t="shared" si="6"/>
        <v>1.872</v>
      </c>
    </row>
    <row r="1644">
      <c r="A1644" s="3">
        <v>4691.0</v>
      </c>
      <c r="B1644" s="1" t="s">
        <v>2390</v>
      </c>
      <c r="C1644" s="3">
        <v>3.9</v>
      </c>
      <c r="D1644" s="5"/>
      <c r="E1644" s="5"/>
      <c r="F1644" s="5"/>
      <c r="G1644" s="4">
        <f t="shared" si="1"/>
        <v>1.95</v>
      </c>
      <c r="H1644" s="4" t="str">
        <f t="shared" si="2"/>
        <v>Sin precio neto</v>
      </c>
      <c r="I1644" s="4" t="str">
        <f t="shared" si="3"/>
        <v>Sin precio neto G.C.</v>
      </c>
      <c r="J1644" s="4">
        <f t="shared" si="4"/>
        <v>1.872</v>
      </c>
      <c r="K1644" s="4">
        <f t="shared" si="5"/>
        <v>1.95</v>
      </c>
      <c r="L1644" s="4">
        <f t="shared" si="6"/>
        <v>1.872</v>
      </c>
    </row>
    <row r="1645">
      <c r="A1645" s="3">
        <v>4692.0</v>
      </c>
      <c r="B1645" s="1" t="s">
        <v>2391</v>
      </c>
      <c r="C1645" s="3">
        <v>5.4</v>
      </c>
      <c r="D1645" s="5"/>
      <c r="E1645" s="5"/>
      <c r="F1645" s="5"/>
      <c r="G1645" s="4">
        <f t="shared" si="1"/>
        <v>2.7</v>
      </c>
      <c r="H1645" s="4" t="str">
        <f t="shared" si="2"/>
        <v>Sin precio neto</v>
      </c>
      <c r="I1645" s="4" t="str">
        <f t="shared" si="3"/>
        <v>Sin precio neto G.C.</v>
      </c>
      <c r="J1645" s="4">
        <f t="shared" si="4"/>
        <v>2.592</v>
      </c>
      <c r="K1645" s="4">
        <f t="shared" si="5"/>
        <v>2.7</v>
      </c>
      <c r="L1645" s="4">
        <f t="shared" si="6"/>
        <v>2.592</v>
      </c>
    </row>
    <row r="1646">
      <c r="A1646" s="3">
        <v>4695.0</v>
      </c>
      <c r="B1646" s="1" t="s">
        <v>2392</v>
      </c>
      <c r="C1646" s="3">
        <v>4.4</v>
      </c>
      <c r="D1646" s="5"/>
      <c r="E1646" s="5"/>
      <c r="F1646" s="5"/>
      <c r="G1646" s="4">
        <f t="shared" si="1"/>
        <v>2.2</v>
      </c>
      <c r="H1646" s="4" t="str">
        <f t="shared" si="2"/>
        <v>Sin precio neto</v>
      </c>
      <c r="I1646" s="4" t="str">
        <f t="shared" si="3"/>
        <v>Sin precio neto G.C.</v>
      </c>
      <c r="J1646" s="4">
        <f t="shared" si="4"/>
        <v>2.112</v>
      </c>
      <c r="K1646" s="4">
        <f t="shared" si="5"/>
        <v>2.2</v>
      </c>
      <c r="L1646" s="4">
        <f t="shared" si="6"/>
        <v>2.112</v>
      </c>
    </row>
    <row r="1647">
      <c r="A1647" s="3">
        <v>4696.0</v>
      </c>
      <c r="B1647" s="1" t="s">
        <v>2393</v>
      </c>
      <c r="C1647" s="3">
        <v>4.4</v>
      </c>
      <c r="D1647" s="5"/>
      <c r="E1647" s="5"/>
      <c r="F1647" s="5"/>
      <c r="G1647" s="4">
        <f t="shared" si="1"/>
        <v>2.2</v>
      </c>
      <c r="H1647" s="4" t="str">
        <f t="shared" si="2"/>
        <v>Sin precio neto</v>
      </c>
      <c r="I1647" s="4" t="str">
        <f t="shared" si="3"/>
        <v>Sin precio neto G.C.</v>
      </c>
      <c r="J1647" s="4">
        <f t="shared" si="4"/>
        <v>2.112</v>
      </c>
      <c r="K1647" s="4">
        <f t="shared" si="5"/>
        <v>2.2</v>
      </c>
      <c r="L1647" s="4">
        <f t="shared" si="6"/>
        <v>2.112</v>
      </c>
    </row>
    <row r="1648">
      <c r="A1648" s="3">
        <v>4700.0</v>
      </c>
      <c r="B1648" s="1" t="s">
        <v>2394</v>
      </c>
      <c r="C1648" s="3">
        <v>36.8</v>
      </c>
      <c r="D1648" s="5"/>
      <c r="E1648" s="3">
        <v>14.4</v>
      </c>
      <c r="F1648" s="3">
        <v>96.0</v>
      </c>
      <c r="G1648" s="4">
        <f t="shared" si="1"/>
        <v>18.4</v>
      </c>
      <c r="H1648" s="4" t="str">
        <f t="shared" si="2"/>
        <v>Sin precio neto</v>
      </c>
      <c r="I1648" s="4" t="str">
        <f t="shared" si="3"/>
        <v>Neto G.C.: 14,40 € (a partir de 96 uds.)</v>
      </c>
      <c r="J1648" s="4">
        <f t="shared" si="4"/>
        <v>17.664</v>
      </c>
      <c r="K1648" s="4">
        <f t="shared" si="5"/>
        <v>18.4</v>
      </c>
      <c r="L1648" s="4">
        <f t="shared" si="6"/>
        <v>17.664</v>
      </c>
    </row>
    <row r="1649">
      <c r="A1649" s="1" t="s">
        <v>2395</v>
      </c>
      <c r="B1649" s="1" t="s">
        <v>2396</v>
      </c>
      <c r="C1649" s="3">
        <v>34.65</v>
      </c>
      <c r="D1649" s="5"/>
      <c r="E1649" s="5"/>
      <c r="F1649" s="5"/>
      <c r="G1649" s="4">
        <f t="shared" si="1"/>
        <v>17.325</v>
      </c>
      <c r="H1649" s="4" t="str">
        <f t="shared" si="2"/>
        <v>Sin precio neto</v>
      </c>
      <c r="I1649" s="4" t="str">
        <f t="shared" si="3"/>
        <v>Sin precio neto G.C.</v>
      </c>
      <c r="J1649" s="4">
        <f t="shared" si="4"/>
        <v>16.632</v>
      </c>
      <c r="K1649" s="4">
        <f t="shared" si="5"/>
        <v>17.325</v>
      </c>
      <c r="L1649" s="4">
        <f t="shared" si="6"/>
        <v>16.632</v>
      </c>
    </row>
    <row r="1650">
      <c r="A1650" s="1" t="s">
        <v>2397</v>
      </c>
      <c r="B1650" s="1" t="s">
        <v>2398</v>
      </c>
      <c r="C1650" s="3">
        <v>2.5</v>
      </c>
      <c r="D1650" s="5"/>
      <c r="E1650" s="5"/>
      <c r="F1650" s="5"/>
      <c r="G1650" s="4">
        <f t="shared" si="1"/>
        <v>1.25</v>
      </c>
      <c r="H1650" s="4" t="str">
        <f t="shared" si="2"/>
        <v>Sin precio neto</v>
      </c>
      <c r="I1650" s="4" t="str">
        <f t="shared" si="3"/>
        <v>Sin precio neto G.C.</v>
      </c>
      <c r="J1650" s="4">
        <f t="shared" si="4"/>
        <v>1.2</v>
      </c>
      <c r="K1650" s="4">
        <f t="shared" si="5"/>
        <v>1.25</v>
      </c>
      <c r="L1650" s="4">
        <f t="shared" si="6"/>
        <v>1.2</v>
      </c>
    </row>
    <row r="1651">
      <c r="A1651" s="1" t="s">
        <v>2399</v>
      </c>
      <c r="B1651" s="1" t="s">
        <v>2400</v>
      </c>
      <c r="C1651" s="3">
        <v>34.65</v>
      </c>
      <c r="D1651" s="5"/>
      <c r="E1651" s="5"/>
      <c r="F1651" s="5"/>
      <c r="G1651" s="4">
        <f t="shared" si="1"/>
        <v>17.325</v>
      </c>
      <c r="H1651" s="4" t="str">
        <f t="shared" si="2"/>
        <v>Sin precio neto</v>
      </c>
      <c r="I1651" s="4" t="str">
        <f t="shared" si="3"/>
        <v>Sin precio neto G.C.</v>
      </c>
      <c r="J1651" s="4">
        <f t="shared" si="4"/>
        <v>16.632</v>
      </c>
      <c r="K1651" s="4">
        <f t="shared" si="5"/>
        <v>17.325</v>
      </c>
      <c r="L1651" s="4">
        <f t="shared" si="6"/>
        <v>16.632</v>
      </c>
    </row>
    <row r="1652">
      <c r="A1652" s="1" t="s">
        <v>2401</v>
      </c>
      <c r="B1652" s="1" t="s">
        <v>2402</v>
      </c>
      <c r="C1652" s="3">
        <v>34.65</v>
      </c>
      <c r="D1652" s="5"/>
      <c r="E1652" s="5"/>
      <c r="F1652" s="5"/>
      <c r="G1652" s="4">
        <f t="shared" si="1"/>
        <v>17.325</v>
      </c>
      <c r="H1652" s="4" t="str">
        <f t="shared" si="2"/>
        <v>Sin precio neto</v>
      </c>
      <c r="I1652" s="4" t="str">
        <f t="shared" si="3"/>
        <v>Sin precio neto G.C.</v>
      </c>
      <c r="J1652" s="4">
        <f t="shared" si="4"/>
        <v>16.632</v>
      </c>
      <c r="K1652" s="4">
        <f t="shared" si="5"/>
        <v>17.325</v>
      </c>
      <c r="L1652" s="4">
        <f t="shared" si="6"/>
        <v>16.632</v>
      </c>
    </row>
    <row r="1653">
      <c r="A1653" s="3">
        <v>4701.0</v>
      </c>
      <c r="B1653" s="1" t="s">
        <v>2403</v>
      </c>
      <c r="C1653" s="3">
        <v>37.8</v>
      </c>
      <c r="D1653" s="5"/>
      <c r="E1653" s="5"/>
      <c r="F1653" s="5"/>
      <c r="G1653" s="4">
        <f t="shared" si="1"/>
        <v>18.9</v>
      </c>
      <c r="H1653" s="4" t="str">
        <f t="shared" si="2"/>
        <v>Sin precio neto</v>
      </c>
      <c r="I1653" s="4" t="str">
        <f t="shared" si="3"/>
        <v>Sin precio neto G.C.</v>
      </c>
      <c r="J1653" s="4">
        <f t="shared" si="4"/>
        <v>18.144</v>
      </c>
      <c r="K1653" s="4">
        <f t="shared" si="5"/>
        <v>18.9</v>
      </c>
      <c r="L1653" s="4">
        <f t="shared" si="6"/>
        <v>18.144</v>
      </c>
    </row>
    <row r="1654">
      <c r="A1654" s="3">
        <v>4702.0</v>
      </c>
      <c r="B1654" s="1" t="s">
        <v>2404</v>
      </c>
      <c r="C1654" s="3">
        <v>42.0</v>
      </c>
      <c r="D1654" s="5"/>
      <c r="E1654" s="5"/>
      <c r="F1654" s="5"/>
      <c r="G1654" s="4">
        <f t="shared" si="1"/>
        <v>21</v>
      </c>
      <c r="H1654" s="4" t="str">
        <f t="shared" si="2"/>
        <v>Sin precio neto</v>
      </c>
      <c r="I1654" s="4" t="str">
        <f t="shared" si="3"/>
        <v>Sin precio neto G.C.</v>
      </c>
      <c r="J1654" s="4">
        <f t="shared" si="4"/>
        <v>20.16</v>
      </c>
      <c r="K1654" s="4">
        <f t="shared" si="5"/>
        <v>21</v>
      </c>
      <c r="L1654" s="4">
        <f t="shared" si="6"/>
        <v>20.16</v>
      </c>
    </row>
    <row r="1655">
      <c r="A1655" s="3">
        <v>4703.0</v>
      </c>
      <c r="B1655" s="1" t="s">
        <v>2405</v>
      </c>
      <c r="C1655" s="3">
        <v>42.0</v>
      </c>
      <c r="D1655" s="5"/>
      <c r="E1655" s="5"/>
      <c r="F1655" s="5"/>
      <c r="G1655" s="4">
        <f t="shared" si="1"/>
        <v>21</v>
      </c>
      <c r="H1655" s="4" t="str">
        <f t="shared" si="2"/>
        <v>Sin precio neto</v>
      </c>
      <c r="I1655" s="4" t="str">
        <f t="shared" si="3"/>
        <v>Sin precio neto G.C.</v>
      </c>
      <c r="J1655" s="4">
        <f t="shared" si="4"/>
        <v>20.16</v>
      </c>
      <c r="K1655" s="4">
        <f t="shared" si="5"/>
        <v>21</v>
      </c>
      <c r="L1655" s="4">
        <f t="shared" si="6"/>
        <v>20.16</v>
      </c>
    </row>
    <row r="1656">
      <c r="A1656" s="3">
        <v>4704.0</v>
      </c>
      <c r="B1656" s="1" t="s">
        <v>2406</v>
      </c>
      <c r="C1656" s="3">
        <v>42.0</v>
      </c>
      <c r="D1656" s="5"/>
      <c r="E1656" s="5"/>
      <c r="F1656" s="5"/>
      <c r="G1656" s="4">
        <f t="shared" si="1"/>
        <v>21</v>
      </c>
      <c r="H1656" s="4" t="str">
        <f t="shared" si="2"/>
        <v>Sin precio neto</v>
      </c>
      <c r="I1656" s="4" t="str">
        <f t="shared" si="3"/>
        <v>Sin precio neto G.C.</v>
      </c>
      <c r="J1656" s="4">
        <f t="shared" si="4"/>
        <v>20.16</v>
      </c>
      <c r="K1656" s="4">
        <f t="shared" si="5"/>
        <v>21</v>
      </c>
      <c r="L1656" s="4">
        <f t="shared" si="6"/>
        <v>20.16</v>
      </c>
    </row>
    <row r="1657">
      <c r="A1657" s="3">
        <v>4720.0</v>
      </c>
      <c r="B1657" s="1" t="s">
        <v>2407</v>
      </c>
      <c r="C1657" s="3">
        <v>1.6</v>
      </c>
      <c r="D1657" s="3">
        <v>0.75</v>
      </c>
      <c r="E1657" s="3">
        <v>0.75</v>
      </c>
      <c r="F1657" s="3">
        <v>25.0</v>
      </c>
      <c r="G1657" s="4">
        <f t="shared" si="1"/>
        <v>0.8</v>
      </c>
      <c r="H1657" s="4" t="str">
        <f t="shared" si="2"/>
        <v>Neto: 0,75 € (a partir de 25 uds.)</v>
      </c>
      <c r="I1657" s="4" t="str">
        <f t="shared" si="3"/>
        <v>Neto G.C.: 0,75 € (a partir de 25 uds.)</v>
      </c>
      <c r="J1657" s="4">
        <f t="shared" si="4"/>
        <v>0.768</v>
      </c>
      <c r="K1657" s="4">
        <f t="shared" si="5"/>
        <v>0.8</v>
      </c>
      <c r="L1657" s="4">
        <f t="shared" si="6"/>
        <v>0.768</v>
      </c>
    </row>
    <row r="1658">
      <c r="A1658" s="3">
        <v>4730.0</v>
      </c>
      <c r="B1658" s="1" t="s">
        <v>2408</v>
      </c>
      <c r="C1658" s="3">
        <v>0.8</v>
      </c>
      <c r="D1658" s="5"/>
      <c r="E1658" s="5"/>
      <c r="F1658" s="5"/>
      <c r="G1658" s="4">
        <f t="shared" si="1"/>
        <v>0.4</v>
      </c>
      <c r="H1658" s="4" t="str">
        <f t="shared" si="2"/>
        <v>Sin precio neto</v>
      </c>
      <c r="I1658" s="4" t="str">
        <f t="shared" si="3"/>
        <v>Sin precio neto G.C.</v>
      </c>
      <c r="J1658" s="4">
        <f t="shared" si="4"/>
        <v>0.384</v>
      </c>
      <c r="K1658" s="4">
        <f t="shared" si="5"/>
        <v>0.4</v>
      </c>
      <c r="L1658" s="4">
        <f t="shared" si="6"/>
        <v>0.384</v>
      </c>
    </row>
    <row r="1659">
      <c r="A1659" s="3">
        <v>4735.0</v>
      </c>
      <c r="B1659" s="1" t="s">
        <v>2409</v>
      </c>
      <c r="C1659" s="3">
        <v>0.84</v>
      </c>
      <c r="D1659" s="5"/>
      <c r="E1659" s="5"/>
      <c r="F1659" s="5"/>
      <c r="G1659" s="4">
        <f t="shared" si="1"/>
        <v>0.42</v>
      </c>
      <c r="H1659" s="4" t="str">
        <f t="shared" si="2"/>
        <v>Sin precio neto</v>
      </c>
      <c r="I1659" s="4" t="str">
        <f t="shared" si="3"/>
        <v>Sin precio neto G.C.</v>
      </c>
      <c r="J1659" s="4">
        <f t="shared" si="4"/>
        <v>0.4032</v>
      </c>
      <c r="K1659" s="4">
        <f t="shared" si="5"/>
        <v>0.42</v>
      </c>
      <c r="L1659" s="4">
        <f t="shared" si="6"/>
        <v>0.4032</v>
      </c>
    </row>
    <row r="1660">
      <c r="A1660" s="3">
        <v>4740.0</v>
      </c>
      <c r="B1660" s="1" t="s">
        <v>2410</v>
      </c>
      <c r="C1660" s="3">
        <v>0.8</v>
      </c>
      <c r="D1660" s="5"/>
      <c r="E1660" s="5"/>
      <c r="F1660" s="5"/>
      <c r="G1660" s="4">
        <f t="shared" si="1"/>
        <v>0.4</v>
      </c>
      <c r="H1660" s="4" t="str">
        <f t="shared" si="2"/>
        <v>Sin precio neto</v>
      </c>
      <c r="I1660" s="4" t="str">
        <f t="shared" si="3"/>
        <v>Sin precio neto G.C.</v>
      </c>
      <c r="J1660" s="4">
        <f t="shared" si="4"/>
        <v>0.384</v>
      </c>
      <c r="K1660" s="4">
        <f t="shared" si="5"/>
        <v>0.4</v>
      </c>
      <c r="L1660" s="4">
        <f t="shared" si="6"/>
        <v>0.384</v>
      </c>
    </row>
    <row r="1661">
      <c r="A1661" s="3">
        <v>4750.0</v>
      </c>
      <c r="B1661" s="1" t="s">
        <v>2411</v>
      </c>
      <c r="C1661" s="3">
        <v>0.94</v>
      </c>
      <c r="D1661" s="5"/>
      <c r="E1661" s="5"/>
      <c r="F1661" s="5"/>
      <c r="G1661" s="4">
        <f t="shared" si="1"/>
        <v>0.47</v>
      </c>
      <c r="H1661" s="4" t="str">
        <f t="shared" si="2"/>
        <v>Sin precio neto</v>
      </c>
      <c r="I1661" s="4" t="str">
        <f t="shared" si="3"/>
        <v>Sin precio neto G.C.</v>
      </c>
      <c r="J1661" s="4">
        <f t="shared" si="4"/>
        <v>0.4512</v>
      </c>
      <c r="K1661" s="4">
        <f t="shared" si="5"/>
        <v>0.47</v>
      </c>
      <c r="L1661" s="4">
        <f t="shared" si="6"/>
        <v>0.4512</v>
      </c>
    </row>
    <row r="1662">
      <c r="A1662" s="3">
        <v>4760.0</v>
      </c>
      <c r="B1662" s="1" t="s">
        <v>2412</v>
      </c>
      <c r="C1662" s="3">
        <v>1.14</v>
      </c>
      <c r="D1662" s="5"/>
      <c r="E1662" s="5"/>
      <c r="F1662" s="5"/>
      <c r="G1662" s="4">
        <f t="shared" si="1"/>
        <v>0.57</v>
      </c>
      <c r="H1662" s="4" t="str">
        <f t="shared" si="2"/>
        <v>Sin precio neto</v>
      </c>
      <c r="I1662" s="4" t="str">
        <f t="shared" si="3"/>
        <v>Sin precio neto G.C.</v>
      </c>
      <c r="J1662" s="4">
        <f t="shared" si="4"/>
        <v>0.5472</v>
      </c>
      <c r="K1662" s="4">
        <f t="shared" si="5"/>
        <v>0.57</v>
      </c>
      <c r="L1662" s="4">
        <f t="shared" si="6"/>
        <v>0.5472</v>
      </c>
    </row>
    <row r="1663">
      <c r="A1663" s="3">
        <v>4770.0</v>
      </c>
      <c r="B1663" s="1" t="s">
        <v>2413</v>
      </c>
      <c r="C1663" s="3">
        <v>1.34</v>
      </c>
      <c r="D1663" s="5"/>
      <c r="E1663" s="5"/>
      <c r="F1663" s="5"/>
      <c r="G1663" s="4">
        <f t="shared" si="1"/>
        <v>0.67</v>
      </c>
      <c r="H1663" s="4" t="str">
        <f t="shared" si="2"/>
        <v>Sin precio neto</v>
      </c>
      <c r="I1663" s="4" t="str">
        <f t="shared" si="3"/>
        <v>Sin precio neto G.C.</v>
      </c>
      <c r="J1663" s="4">
        <f t="shared" si="4"/>
        <v>0.6432</v>
      </c>
      <c r="K1663" s="4">
        <f t="shared" si="5"/>
        <v>0.67</v>
      </c>
      <c r="L1663" s="4">
        <f t="shared" si="6"/>
        <v>0.6432</v>
      </c>
    </row>
    <row r="1664">
      <c r="A1664" s="3">
        <v>4780.0</v>
      </c>
      <c r="B1664" s="1" t="s">
        <v>2414</v>
      </c>
      <c r="C1664" s="3">
        <v>10.7</v>
      </c>
      <c r="D1664" s="3">
        <v>4.85</v>
      </c>
      <c r="E1664" s="3">
        <v>4.85</v>
      </c>
      <c r="F1664" s="3">
        <v>40.0</v>
      </c>
      <c r="G1664" s="4">
        <f t="shared" si="1"/>
        <v>5.35</v>
      </c>
      <c r="H1664" s="4" t="str">
        <f t="shared" si="2"/>
        <v>Neto: 4,85 € (a partir de 40 uds.)</v>
      </c>
      <c r="I1664" s="4" t="str">
        <f t="shared" si="3"/>
        <v>Neto G.C.: 4,85 € (a partir de 40 uds.)</v>
      </c>
      <c r="J1664" s="4">
        <f t="shared" si="4"/>
        <v>5.136</v>
      </c>
      <c r="K1664" s="4">
        <f t="shared" si="5"/>
        <v>5.35</v>
      </c>
      <c r="L1664" s="4">
        <f t="shared" si="6"/>
        <v>5.136</v>
      </c>
    </row>
    <row r="1665">
      <c r="A1665" s="3">
        <v>4799.0</v>
      </c>
      <c r="B1665" s="1" t="s">
        <v>2415</v>
      </c>
      <c r="C1665" s="3">
        <v>1.88</v>
      </c>
      <c r="D1665" s="5"/>
      <c r="E1665" s="5"/>
      <c r="F1665" s="5"/>
      <c r="G1665" s="4">
        <f t="shared" si="1"/>
        <v>0.94</v>
      </c>
      <c r="H1665" s="4" t="str">
        <f t="shared" si="2"/>
        <v>Sin precio neto</v>
      </c>
      <c r="I1665" s="4" t="str">
        <f t="shared" si="3"/>
        <v>Sin precio neto G.C.</v>
      </c>
      <c r="J1665" s="4">
        <f t="shared" si="4"/>
        <v>0.9024</v>
      </c>
      <c r="K1665" s="4">
        <f t="shared" si="5"/>
        <v>0.94</v>
      </c>
      <c r="L1665" s="4">
        <f t="shared" si="6"/>
        <v>0.9024</v>
      </c>
    </row>
    <row r="1666">
      <c r="A1666" s="3">
        <v>4887.0</v>
      </c>
      <c r="B1666" s="1" t="s">
        <v>2416</v>
      </c>
      <c r="C1666" s="3">
        <v>1.22</v>
      </c>
      <c r="D1666" s="5"/>
      <c r="E1666" s="5"/>
      <c r="F1666" s="5"/>
      <c r="G1666" s="4">
        <f t="shared" si="1"/>
        <v>0.61</v>
      </c>
      <c r="H1666" s="4" t="str">
        <f t="shared" si="2"/>
        <v>Sin precio neto</v>
      </c>
      <c r="I1666" s="4" t="str">
        <f t="shared" si="3"/>
        <v>Sin precio neto G.C.</v>
      </c>
      <c r="J1666" s="4">
        <f t="shared" si="4"/>
        <v>0.5856</v>
      </c>
      <c r="K1666" s="4">
        <f t="shared" si="5"/>
        <v>0.61</v>
      </c>
      <c r="L1666" s="4">
        <f t="shared" si="6"/>
        <v>0.5856</v>
      </c>
    </row>
    <row r="1667">
      <c r="A1667" s="3">
        <v>4888.0</v>
      </c>
      <c r="B1667" s="1" t="s">
        <v>2417</v>
      </c>
      <c r="C1667" s="3">
        <v>1.36</v>
      </c>
      <c r="D1667" s="5"/>
      <c r="E1667" s="5"/>
      <c r="F1667" s="5"/>
      <c r="G1667" s="4">
        <f t="shared" si="1"/>
        <v>0.68</v>
      </c>
      <c r="H1667" s="4" t="str">
        <f t="shared" si="2"/>
        <v>Sin precio neto</v>
      </c>
      <c r="I1667" s="4" t="str">
        <f t="shared" si="3"/>
        <v>Sin precio neto G.C.</v>
      </c>
      <c r="J1667" s="4">
        <f t="shared" si="4"/>
        <v>0.6528</v>
      </c>
      <c r="K1667" s="4">
        <f t="shared" si="5"/>
        <v>0.68</v>
      </c>
      <c r="L1667" s="4">
        <f t="shared" si="6"/>
        <v>0.6528</v>
      </c>
    </row>
    <row r="1668">
      <c r="A1668" s="1" t="s">
        <v>2418</v>
      </c>
      <c r="B1668" s="1" t="s">
        <v>2419</v>
      </c>
      <c r="C1668" s="3">
        <v>12.0</v>
      </c>
      <c r="D1668" s="5"/>
      <c r="E1668" s="5"/>
      <c r="F1668" s="5"/>
      <c r="G1668" s="4">
        <f t="shared" si="1"/>
        <v>6</v>
      </c>
      <c r="H1668" s="4" t="str">
        <f t="shared" si="2"/>
        <v>Sin precio neto</v>
      </c>
      <c r="I1668" s="4" t="str">
        <f t="shared" si="3"/>
        <v>Sin precio neto G.C.</v>
      </c>
      <c r="J1668" s="4">
        <f t="shared" si="4"/>
        <v>5.76</v>
      </c>
      <c r="K1668" s="4">
        <f t="shared" si="5"/>
        <v>6</v>
      </c>
      <c r="L1668" s="4">
        <f t="shared" si="6"/>
        <v>5.76</v>
      </c>
    </row>
    <row r="1669">
      <c r="A1669" s="1" t="s">
        <v>2420</v>
      </c>
      <c r="B1669" s="1" t="s">
        <v>2421</v>
      </c>
      <c r="C1669" s="3">
        <v>8.0</v>
      </c>
      <c r="D1669" s="5"/>
      <c r="E1669" s="5"/>
      <c r="F1669" s="5"/>
      <c r="G1669" s="4">
        <f t="shared" si="1"/>
        <v>4</v>
      </c>
      <c r="H1669" s="4" t="str">
        <f t="shared" si="2"/>
        <v>Sin precio neto</v>
      </c>
      <c r="I1669" s="4" t="str">
        <f t="shared" si="3"/>
        <v>Sin precio neto G.C.</v>
      </c>
      <c r="J1669" s="4">
        <f t="shared" si="4"/>
        <v>3.84</v>
      </c>
      <c r="K1669" s="4">
        <f t="shared" si="5"/>
        <v>4</v>
      </c>
      <c r="L1669" s="4">
        <f t="shared" si="6"/>
        <v>3.84</v>
      </c>
    </row>
    <row r="1670">
      <c r="A1670" s="3">
        <v>4890.0</v>
      </c>
      <c r="B1670" s="1" t="s">
        <v>2422</v>
      </c>
      <c r="C1670" s="3">
        <v>1.09</v>
      </c>
      <c r="D1670" s="5"/>
      <c r="E1670" s="5"/>
      <c r="F1670" s="5"/>
      <c r="G1670" s="4">
        <f t="shared" si="1"/>
        <v>0.545</v>
      </c>
      <c r="H1670" s="4" t="str">
        <f t="shared" si="2"/>
        <v>Sin precio neto</v>
      </c>
      <c r="I1670" s="4" t="str">
        <f t="shared" si="3"/>
        <v>Sin precio neto G.C.</v>
      </c>
      <c r="J1670" s="4">
        <f t="shared" si="4"/>
        <v>0.5232</v>
      </c>
      <c r="K1670" s="4">
        <f t="shared" si="5"/>
        <v>0.545</v>
      </c>
      <c r="L1670" s="4">
        <f t="shared" si="6"/>
        <v>0.5232</v>
      </c>
    </row>
    <row r="1671">
      <c r="A1671" s="3">
        <v>4891.0</v>
      </c>
      <c r="B1671" s="1" t="s">
        <v>2423</v>
      </c>
      <c r="C1671" s="3">
        <v>1.9</v>
      </c>
      <c r="D1671" s="5"/>
      <c r="E1671" s="5"/>
      <c r="F1671" s="5"/>
      <c r="G1671" s="4">
        <f t="shared" si="1"/>
        <v>0.95</v>
      </c>
      <c r="H1671" s="4" t="str">
        <f t="shared" si="2"/>
        <v>Sin precio neto</v>
      </c>
      <c r="I1671" s="4" t="str">
        <f t="shared" si="3"/>
        <v>Sin precio neto G.C.</v>
      </c>
      <c r="J1671" s="4">
        <f t="shared" si="4"/>
        <v>0.912</v>
      </c>
      <c r="K1671" s="4">
        <f t="shared" si="5"/>
        <v>0.95</v>
      </c>
      <c r="L1671" s="4">
        <f t="shared" si="6"/>
        <v>0.912</v>
      </c>
    </row>
    <row r="1672">
      <c r="A1672" s="3">
        <v>4892.0</v>
      </c>
      <c r="B1672" s="1" t="s">
        <v>2424</v>
      </c>
      <c r="C1672" s="3">
        <v>2.08</v>
      </c>
      <c r="D1672" s="5"/>
      <c r="E1672" s="5"/>
      <c r="F1672" s="5"/>
      <c r="G1672" s="4">
        <f t="shared" si="1"/>
        <v>1.04</v>
      </c>
      <c r="H1672" s="4" t="str">
        <f t="shared" si="2"/>
        <v>Sin precio neto</v>
      </c>
      <c r="I1672" s="4" t="str">
        <f t="shared" si="3"/>
        <v>Sin precio neto G.C.</v>
      </c>
      <c r="J1672" s="4">
        <f t="shared" si="4"/>
        <v>0.9984</v>
      </c>
      <c r="K1672" s="4">
        <f t="shared" si="5"/>
        <v>1.04</v>
      </c>
      <c r="L1672" s="4">
        <f t="shared" si="6"/>
        <v>0.9984</v>
      </c>
    </row>
    <row r="1673">
      <c r="A1673" s="3">
        <v>4893.0</v>
      </c>
      <c r="B1673" s="1" t="s">
        <v>2425</v>
      </c>
      <c r="C1673" s="3">
        <v>1.52</v>
      </c>
      <c r="D1673" s="5"/>
      <c r="E1673" s="5"/>
      <c r="F1673" s="5"/>
      <c r="G1673" s="4">
        <f t="shared" si="1"/>
        <v>0.76</v>
      </c>
      <c r="H1673" s="4" t="str">
        <f t="shared" si="2"/>
        <v>Sin precio neto</v>
      </c>
      <c r="I1673" s="4" t="str">
        <f t="shared" si="3"/>
        <v>Sin precio neto G.C.</v>
      </c>
      <c r="J1673" s="4">
        <f t="shared" si="4"/>
        <v>0.7296</v>
      </c>
      <c r="K1673" s="4">
        <f t="shared" si="5"/>
        <v>0.76</v>
      </c>
      <c r="L1673" s="4">
        <f t="shared" si="6"/>
        <v>0.7296</v>
      </c>
    </row>
    <row r="1674">
      <c r="A1674" s="3">
        <v>4894.0</v>
      </c>
      <c r="B1674" s="1" t="s">
        <v>2426</v>
      </c>
      <c r="C1674" s="3">
        <v>10.62</v>
      </c>
      <c r="D1674" s="5"/>
      <c r="E1674" s="5"/>
      <c r="F1674" s="5"/>
      <c r="G1674" s="4">
        <f t="shared" si="1"/>
        <v>5.31</v>
      </c>
      <c r="H1674" s="4" t="str">
        <f t="shared" si="2"/>
        <v>Sin precio neto</v>
      </c>
      <c r="I1674" s="4" t="str">
        <f t="shared" si="3"/>
        <v>Sin precio neto G.C.</v>
      </c>
      <c r="J1674" s="4">
        <f t="shared" si="4"/>
        <v>5.0976</v>
      </c>
      <c r="K1674" s="4">
        <f t="shared" si="5"/>
        <v>5.31</v>
      </c>
      <c r="L1674" s="4">
        <f t="shared" si="6"/>
        <v>5.0976</v>
      </c>
    </row>
    <row r="1675">
      <c r="A1675" s="1" t="s">
        <v>2427</v>
      </c>
      <c r="B1675" s="1" t="s">
        <v>2428</v>
      </c>
      <c r="C1675" s="3">
        <v>100.8</v>
      </c>
      <c r="D1675" s="5"/>
      <c r="E1675" s="5"/>
      <c r="F1675" s="5"/>
      <c r="G1675" s="4">
        <f t="shared" si="1"/>
        <v>50.4</v>
      </c>
      <c r="H1675" s="4" t="str">
        <f t="shared" si="2"/>
        <v>Sin precio neto</v>
      </c>
      <c r="I1675" s="4" t="str">
        <f t="shared" si="3"/>
        <v>Sin precio neto G.C.</v>
      </c>
      <c r="J1675" s="4">
        <f t="shared" si="4"/>
        <v>48.384</v>
      </c>
      <c r="K1675" s="4">
        <f t="shared" si="5"/>
        <v>50.4</v>
      </c>
      <c r="L1675" s="4">
        <f t="shared" si="6"/>
        <v>48.384</v>
      </c>
    </row>
    <row r="1676">
      <c r="A1676" s="1" t="s">
        <v>2429</v>
      </c>
      <c r="B1676" s="1" t="s">
        <v>2430</v>
      </c>
      <c r="C1676" s="3">
        <v>100.8</v>
      </c>
      <c r="D1676" s="5"/>
      <c r="E1676" s="5"/>
      <c r="F1676" s="5"/>
      <c r="G1676" s="4">
        <f t="shared" si="1"/>
        <v>50.4</v>
      </c>
      <c r="H1676" s="4" t="str">
        <f t="shared" si="2"/>
        <v>Sin precio neto</v>
      </c>
      <c r="I1676" s="4" t="str">
        <f t="shared" si="3"/>
        <v>Sin precio neto G.C.</v>
      </c>
      <c r="J1676" s="4">
        <f t="shared" si="4"/>
        <v>48.384</v>
      </c>
      <c r="K1676" s="4">
        <f t="shared" si="5"/>
        <v>50.4</v>
      </c>
      <c r="L1676" s="4">
        <f t="shared" si="6"/>
        <v>48.384</v>
      </c>
    </row>
    <row r="1677">
      <c r="A1677" s="3">
        <v>4897.0</v>
      </c>
      <c r="B1677" s="1" t="s">
        <v>2431</v>
      </c>
      <c r="C1677" s="3">
        <v>1.22</v>
      </c>
      <c r="D1677" s="5"/>
      <c r="E1677" s="5"/>
      <c r="F1677" s="5"/>
      <c r="G1677" s="4">
        <f t="shared" si="1"/>
        <v>0.61</v>
      </c>
      <c r="H1677" s="4" t="str">
        <f t="shared" si="2"/>
        <v>Sin precio neto</v>
      </c>
      <c r="I1677" s="4" t="str">
        <f t="shared" si="3"/>
        <v>Sin precio neto G.C.</v>
      </c>
      <c r="J1677" s="4">
        <f t="shared" si="4"/>
        <v>0.5856</v>
      </c>
      <c r="K1677" s="4">
        <f t="shared" si="5"/>
        <v>0.61</v>
      </c>
      <c r="L1677" s="4">
        <f t="shared" si="6"/>
        <v>0.5856</v>
      </c>
    </row>
    <row r="1678">
      <c r="A1678" s="3">
        <v>4898.0</v>
      </c>
      <c r="B1678" s="1" t="s">
        <v>2432</v>
      </c>
      <c r="C1678" s="3">
        <v>1.78</v>
      </c>
      <c r="D1678" s="5"/>
      <c r="E1678" s="5"/>
      <c r="F1678" s="5"/>
      <c r="G1678" s="4">
        <f t="shared" si="1"/>
        <v>0.89</v>
      </c>
      <c r="H1678" s="4" t="str">
        <f t="shared" si="2"/>
        <v>Sin precio neto</v>
      </c>
      <c r="I1678" s="4" t="str">
        <f t="shared" si="3"/>
        <v>Sin precio neto G.C.</v>
      </c>
      <c r="J1678" s="4">
        <f t="shared" si="4"/>
        <v>0.8544</v>
      </c>
      <c r="K1678" s="4">
        <f t="shared" si="5"/>
        <v>0.89</v>
      </c>
      <c r="L1678" s="4">
        <f t="shared" si="6"/>
        <v>0.8544</v>
      </c>
    </row>
    <row r="1679">
      <c r="A1679" s="3">
        <v>4899.0</v>
      </c>
      <c r="B1679" s="1" t="s">
        <v>2433</v>
      </c>
      <c r="C1679" s="3">
        <v>1.89</v>
      </c>
      <c r="D1679" s="5"/>
      <c r="E1679" s="5"/>
      <c r="F1679" s="5"/>
      <c r="G1679" s="4">
        <f t="shared" si="1"/>
        <v>0.945</v>
      </c>
      <c r="H1679" s="4" t="str">
        <f t="shared" si="2"/>
        <v>Sin precio neto</v>
      </c>
      <c r="I1679" s="4" t="str">
        <f t="shared" si="3"/>
        <v>Sin precio neto G.C.</v>
      </c>
      <c r="J1679" s="4">
        <f t="shared" si="4"/>
        <v>0.9072</v>
      </c>
      <c r="K1679" s="4">
        <f t="shared" si="5"/>
        <v>0.945</v>
      </c>
      <c r="L1679" s="4">
        <f t="shared" si="6"/>
        <v>0.9072</v>
      </c>
    </row>
    <row r="1680">
      <c r="A1680" s="3">
        <v>5100.0</v>
      </c>
      <c r="B1680" s="1" t="s">
        <v>2434</v>
      </c>
      <c r="C1680" s="3">
        <v>2.28</v>
      </c>
      <c r="D1680" s="5"/>
      <c r="E1680" s="5"/>
      <c r="F1680" s="5"/>
      <c r="G1680" s="4">
        <f t="shared" si="1"/>
        <v>1.14</v>
      </c>
      <c r="H1680" s="4" t="str">
        <f t="shared" si="2"/>
        <v>Sin precio neto</v>
      </c>
      <c r="I1680" s="4" t="str">
        <f t="shared" si="3"/>
        <v>Sin precio neto G.C.</v>
      </c>
      <c r="J1680" s="4">
        <f t="shared" si="4"/>
        <v>1.0944</v>
      </c>
      <c r="K1680" s="4">
        <f t="shared" si="5"/>
        <v>1.14</v>
      </c>
      <c r="L1680" s="4">
        <f t="shared" si="6"/>
        <v>1.0944</v>
      </c>
    </row>
    <row r="1681">
      <c r="A1681" s="3">
        <v>5101.0</v>
      </c>
      <c r="B1681" s="1" t="s">
        <v>2435</v>
      </c>
      <c r="C1681" s="3">
        <v>1.6</v>
      </c>
      <c r="D1681" s="5"/>
      <c r="E1681" s="5"/>
      <c r="F1681" s="5"/>
      <c r="G1681" s="4">
        <f t="shared" si="1"/>
        <v>0.8</v>
      </c>
      <c r="H1681" s="4" t="str">
        <f t="shared" si="2"/>
        <v>Sin precio neto</v>
      </c>
      <c r="I1681" s="4" t="str">
        <f t="shared" si="3"/>
        <v>Sin precio neto G.C.</v>
      </c>
      <c r="J1681" s="4">
        <f t="shared" si="4"/>
        <v>0.768</v>
      </c>
      <c r="K1681" s="4">
        <f t="shared" si="5"/>
        <v>0.8</v>
      </c>
      <c r="L1681" s="4">
        <f t="shared" si="6"/>
        <v>0.768</v>
      </c>
    </row>
    <row r="1682">
      <c r="A1682" s="3">
        <v>5102.0</v>
      </c>
      <c r="B1682" s="1" t="s">
        <v>2436</v>
      </c>
      <c r="C1682" s="3">
        <v>2.76</v>
      </c>
      <c r="D1682" s="5"/>
      <c r="E1682" s="5"/>
      <c r="F1682" s="5"/>
      <c r="G1682" s="4">
        <f t="shared" si="1"/>
        <v>1.38</v>
      </c>
      <c r="H1682" s="4" t="str">
        <f t="shared" si="2"/>
        <v>Sin precio neto</v>
      </c>
      <c r="I1682" s="4" t="str">
        <f t="shared" si="3"/>
        <v>Sin precio neto G.C.</v>
      </c>
      <c r="J1682" s="4">
        <f t="shared" si="4"/>
        <v>1.3248</v>
      </c>
      <c r="K1682" s="4">
        <f t="shared" si="5"/>
        <v>1.38</v>
      </c>
      <c r="L1682" s="4">
        <f t="shared" si="6"/>
        <v>1.3248</v>
      </c>
    </row>
    <row r="1683">
      <c r="A1683" s="3">
        <v>5105.0</v>
      </c>
      <c r="B1683" s="1" t="s">
        <v>2437</v>
      </c>
      <c r="C1683" s="3">
        <v>4.2</v>
      </c>
      <c r="D1683" s="5"/>
      <c r="E1683" s="5"/>
      <c r="F1683" s="5"/>
      <c r="G1683" s="4">
        <f t="shared" si="1"/>
        <v>2.1</v>
      </c>
      <c r="H1683" s="4" t="str">
        <f t="shared" si="2"/>
        <v>Sin precio neto</v>
      </c>
      <c r="I1683" s="4" t="str">
        <f t="shared" si="3"/>
        <v>Sin precio neto G.C.</v>
      </c>
      <c r="J1683" s="4">
        <f t="shared" si="4"/>
        <v>2.016</v>
      </c>
      <c r="K1683" s="4">
        <f t="shared" si="5"/>
        <v>2.1</v>
      </c>
      <c r="L1683" s="4">
        <f t="shared" si="6"/>
        <v>2.016</v>
      </c>
    </row>
    <row r="1684">
      <c r="A1684" s="3">
        <v>5200.0</v>
      </c>
      <c r="B1684" s="1" t="s">
        <v>2438</v>
      </c>
      <c r="C1684" s="3">
        <v>0.46</v>
      </c>
      <c r="D1684" s="5"/>
      <c r="E1684" s="5"/>
      <c r="F1684" s="5"/>
      <c r="G1684" s="4">
        <f t="shared" si="1"/>
        <v>0.23</v>
      </c>
      <c r="H1684" s="4" t="str">
        <f t="shared" si="2"/>
        <v>Sin precio neto</v>
      </c>
      <c r="I1684" s="4" t="str">
        <f t="shared" si="3"/>
        <v>Sin precio neto G.C.</v>
      </c>
      <c r="J1684" s="4">
        <f t="shared" si="4"/>
        <v>0.2208</v>
      </c>
      <c r="K1684" s="4">
        <f t="shared" si="5"/>
        <v>0.23</v>
      </c>
      <c r="L1684" s="4">
        <f t="shared" si="6"/>
        <v>0.2208</v>
      </c>
    </row>
    <row r="1685">
      <c r="A1685" s="3">
        <v>5201.0</v>
      </c>
      <c r="B1685" s="1" t="s">
        <v>2439</v>
      </c>
      <c r="C1685" s="3">
        <v>5.06</v>
      </c>
      <c r="D1685" s="5"/>
      <c r="E1685" s="5"/>
      <c r="F1685" s="5"/>
      <c r="G1685" s="4">
        <f t="shared" si="1"/>
        <v>2.53</v>
      </c>
      <c r="H1685" s="4" t="str">
        <f t="shared" si="2"/>
        <v>Sin precio neto</v>
      </c>
      <c r="I1685" s="4" t="str">
        <f t="shared" si="3"/>
        <v>Sin precio neto G.C.</v>
      </c>
      <c r="J1685" s="4">
        <f t="shared" si="4"/>
        <v>2.4288</v>
      </c>
      <c r="K1685" s="4">
        <f t="shared" si="5"/>
        <v>2.53</v>
      </c>
      <c r="L1685" s="4">
        <f t="shared" si="6"/>
        <v>2.4288</v>
      </c>
    </row>
    <row r="1686">
      <c r="A1686" s="1" t="s">
        <v>2440</v>
      </c>
      <c r="B1686" s="1" t="s">
        <v>2441</v>
      </c>
      <c r="C1686" s="3">
        <v>15.8</v>
      </c>
      <c r="D1686" s="5"/>
      <c r="E1686" s="5"/>
      <c r="F1686" s="5"/>
      <c r="G1686" s="4">
        <f t="shared" si="1"/>
        <v>7.9</v>
      </c>
      <c r="H1686" s="4" t="str">
        <f t="shared" si="2"/>
        <v>Sin precio neto</v>
      </c>
      <c r="I1686" s="4" t="str">
        <f t="shared" si="3"/>
        <v>Sin precio neto G.C.</v>
      </c>
      <c r="J1686" s="4">
        <f t="shared" si="4"/>
        <v>7.584</v>
      </c>
      <c r="K1686" s="4">
        <f t="shared" si="5"/>
        <v>7.9</v>
      </c>
      <c r="L1686" s="4">
        <f t="shared" si="6"/>
        <v>7.584</v>
      </c>
    </row>
    <row r="1687">
      <c r="A1687" s="1" t="s">
        <v>2442</v>
      </c>
      <c r="B1687" s="1" t="s">
        <v>2443</v>
      </c>
      <c r="C1687" s="3">
        <v>15.8</v>
      </c>
      <c r="D1687" s="5"/>
      <c r="E1687" s="5"/>
      <c r="F1687" s="5"/>
      <c r="G1687" s="4">
        <f t="shared" si="1"/>
        <v>7.9</v>
      </c>
      <c r="H1687" s="4" t="str">
        <f t="shared" si="2"/>
        <v>Sin precio neto</v>
      </c>
      <c r="I1687" s="4" t="str">
        <f t="shared" si="3"/>
        <v>Sin precio neto G.C.</v>
      </c>
      <c r="J1687" s="4">
        <f t="shared" si="4"/>
        <v>7.584</v>
      </c>
      <c r="K1687" s="4">
        <f t="shared" si="5"/>
        <v>7.9</v>
      </c>
      <c r="L1687" s="4">
        <f t="shared" si="6"/>
        <v>7.584</v>
      </c>
    </row>
    <row r="1688">
      <c r="A1688" s="1" t="s">
        <v>2444</v>
      </c>
      <c r="B1688" s="1" t="s">
        <v>2445</v>
      </c>
      <c r="C1688" s="3">
        <v>15.8</v>
      </c>
      <c r="D1688" s="5"/>
      <c r="E1688" s="5"/>
      <c r="F1688" s="5"/>
      <c r="G1688" s="4">
        <f t="shared" si="1"/>
        <v>7.9</v>
      </c>
      <c r="H1688" s="4" t="str">
        <f t="shared" si="2"/>
        <v>Sin precio neto</v>
      </c>
      <c r="I1688" s="4" t="str">
        <f t="shared" si="3"/>
        <v>Sin precio neto G.C.</v>
      </c>
      <c r="J1688" s="4">
        <f t="shared" si="4"/>
        <v>7.584</v>
      </c>
      <c r="K1688" s="4">
        <f t="shared" si="5"/>
        <v>7.9</v>
      </c>
      <c r="L1688" s="4">
        <f t="shared" si="6"/>
        <v>7.584</v>
      </c>
    </row>
    <row r="1689">
      <c r="A1689" s="3">
        <v>7000.0</v>
      </c>
      <c r="B1689" s="1" t="s">
        <v>2446</v>
      </c>
      <c r="C1689" s="3">
        <v>9.4</v>
      </c>
      <c r="D1689" s="5"/>
      <c r="E1689" s="5"/>
      <c r="F1689" s="5"/>
      <c r="G1689" s="4">
        <f t="shared" si="1"/>
        <v>4.7</v>
      </c>
      <c r="H1689" s="4" t="str">
        <f t="shared" si="2"/>
        <v>Sin precio neto</v>
      </c>
      <c r="I1689" s="4" t="str">
        <f t="shared" si="3"/>
        <v>Sin precio neto G.C.</v>
      </c>
      <c r="J1689" s="4">
        <f t="shared" si="4"/>
        <v>4.512</v>
      </c>
      <c r="K1689" s="4">
        <f t="shared" si="5"/>
        <v>4.7</v>
      </c>
      <c r="L1689" s="4">
        <f t="shared" si="6"/>
        <v>4.512</v>
      </c>
    </row>
    <row r="1690">
      <c r="A1690" s="3">
        <v>7001.0</v>
      </c>
      <c r="B1690" s="1" t="s">
        <v>2447</v>
      </c>
      <c r="C1690" s="3">
        <v>9.4</v>
      </c>
      <c r="D1690" s="5"/>
      <c r="E1690" s="5"/>
      <c r="F1690" s="5"/>
      <c r="G1690" s="4">
        <f t="shared" si="1"/>
        <v>4.7</v>
      </c>
      <c r="H1690" s="4" t="str">
        <f t="shared" si="2"/>
        <v>Sin precio neto</v>
      </c>
      <c r="I1690" s="4" t="str">
        <f t="shared" si="3"/>
        <v>Sin precio neto G.C.</v>
      </c>
      <c r="J1690" s="4">
        <f t="shared" si="4"/>
        <v>4.512</v>
      </c>
      <c r="K1690" s="4">
        <f t="shared" si="5"/>
        <v>4.7</v>
      </c>
      <c r="L1690" s="4">
        <f t="shared" si="6"/>
        <v>4.512</v>
      </c>
    </row>
    <row r="1691">
      <c r="A1691" s="3">
        <v>7002.0</v>
      </c>
      <c r="B1691" s="1" t="s">
        <v>2448</v>
      </c>
      <c r="C1691" s="3">
        <v>9.4</v>
      </c>
      <c r="D1691" s="5"/>
      <c r="E1691" s="5"/>
      <c r="F1691" s="5"/>
      <c r="G1691" s="4">
        <f t="shared" si="1"/>
        <v>4.7</v>
      </c>
      <c r="H1691" s="4" t="str">
        <f t="shared" si="2"/>
        <v>Sin precio neto</v>
      </c>
      <c r="I1691" s="4" t="str">
        <f t="shared" si="3"/>
        <v>Sin precio neto G.C.</v>
      </c>
      <c r="J1691" s="4">
        <f t="shared" si="4"/>
        <v>4.512</v>
      </c>
      <c r="K1691" s="4">
        <f t="shared" si="5"/>
        <v>4.7</v>
      </c>
      <c r="L1691" s="4">
        <f t="shared" si="6"/>
        <v>4.512</v>
      </c>
    </row>
    <row r="1692">
      <c r="A1692" s="3">
        <v>7003.0</v>
      </c>
      <c r="B1692" s="1" t="s">
        <v>2449</v>
      </c>
      <c r="C1692" s="3">
        <v>9.4</v>
      </c>
      <c r="D1692" s="5"/>
      <c r="E1692" s="5"/>
      <c r="F1692" s="5"/>
      <c r="G1692" s="4">
        <f t="shared" si="1"/>
        <v>4.7</v>
      </c>
      <c r="H1692" s="4" t="str">
        <f t="shared" si="2"/>
        <v>Sin precio neto</v>
      </c>
      <c r="I1692" s="4" t="str">
        <f t="shared" si="3"/>
        <v>Sin precio neto G.C.</v>
      </c>
      <c r="J1692" s="4">
        <f t="shared" si="4"/>
        <v>4.512</v>
      </c>
      <c r="K1692" s="4">
        <f t="shared" si="5"/>
        <v>4.7</v>
      </c>
      <c r="L1692" s="4">
        <f t="shared" si="6"/>
        <v>4.512</v>
      </c>
    </row>
    <row r="1693">
      <c r="A1693" s="1" t="s">
        <v>2450</v>
      </c>
      <c r="B1693" s="1" t="s">
        <v>2451</v>
      </c>
      <c r="C1693" s="3">
        <v>18.8</v>
      </c>
      <c r="D1693" s="5"/>
      <c r="E1693" s="5"/>
      <c r="F1693" s="5"/>
      <c r="G1693" s="4">
        <f t="shared" si="1"/>
        <v>9.4</v>
      </c>
      <c r="H1693" s="4" t="str">
        <f t="shared" si="2"/>
        <v>Sin precio neto</v>
      </c>
      <c r="I1693" s="4" t="str">
        <f t="shared" si="3"/>
        <v>Sin precio neto G.C.</v>
      </c>
      <c r="J1693" s="4">
        <f t="shared" si="4"/>
        <v>9.024</v>
      </c>
      <c r="K1693" s="4">
        <f t="shared" si="5"/>
        <v>9.4</v>
      </c>
      <c r="L1693" s="4">
        <f t="shared" si="6"/>
        <v>9.024</v>
      </c>
    </row>
    <row r="1694">
      <c r="A1694" s="3">
        <v>7004.0</v>
      </c>
      <c r="B1694" s="1" t="s">
        <v>2452</v>
      </c>
      <c r="C1694" s="3">
        <v>9.4</v>
      </c>
      <c r="D1694" s="5"/>
      <c r="E1694" s="5"/>
      <c r="F1694" s="5"/>
      <c r="G1694" s="4">
        <f t="shared" si="1"/>
        <v>4.7</v>
      </c>
      <c r="H1694" s="4" t="str">
        <f t="shared" si="2"/>
        <v>Sin precio neto</v>
      </c>
      <c r="I1694" s="4" t="str">
        <f t="shared" si="3"/>
        <v>Sin precio neto G.C.</v>
      </c>
      <c r="J1694" s="4">
        <f t="shared" si="4"/>
        <v>4.512</v>
      </c>
      <c r="K1694" s="4">
        <f t="shared" si="5"/>
        <v>4.7</v>
      </c>
      <c r="L1694" s="4">
        <f t="shared" si="6"/>
        <v>4.512</v>
      </c>
    </row>
    <row r="1695">
      <c r="A1695" s="1" t="s">
        <v>2453</v>
      </c>
      <c r="B1695" s="1" t="s">
        <v>2454</v>
      </c>
      <c r="C1695" s="3">
        <v>18.8</v>
      </c>
      <c r="D1695" s="5"/>
      <c r="E1695" s="5"/>
      <c r="F1695" s="5"/>
      <c r="G1695" s="4">
        <f t="shared" si="1"/>
        <v>9.4</v>
      </c>
      <c r="H1695" s="4" t="str">
        <f t="shared" si="2"/>
        <v>Sin precio neto</v>
      </c>
      <c r="I1695" s="4" t="str">
        <f t="shared" si="3"/>
        <v>Sin precio neto G.C.</v>
      </c>
      <c r="J1695" s="4">
        <f t="shared" si="4"/>
        <v>9.024</v>
      </c>
      <c r="K1695" s="4">
        <f t="shared" si="5"/>
        <v>9.4</v>
      </c>
      <c r="L1695" s="4">
        <f t="shared" si="6"/>
        <v>9.024</v>
      </c>
    </row>
    <row r="1696">
      <c r="A1696" s="3">
        <v>7005.0</v>
      </c>
      <c r="B1696" s="1" t="s">
        <v>2455</v>
      </c>
      <c r="C1696" s="3">
        <v>9.4</v>
      </c>
      <c r="D1696" s="5"/>
      <c r="E1696" s="5"/>
      <c r="F1696" s="5"/>
      <c r="G1696" s="4">
        <f t="shared" si="1"/>
        <v>4.7</v>
      </c>
      <c r="H1696" s="4" t="str">
        <f t="shared" si="2"/>
        <v>Sin precio neto</v>
      </c>
      <c r="I1696" s="4" t="str">
        <f t="shared" si="3"/>
        <v>Sin precio neto G.C.</v>
      </c>
      <c r="J1696" s="4">
        <f t="shared" si="4"/>
        <v>4.512</v>
      </c>
      <c r="K1696" s="4">
        <f t="shared" si="5"/>
        <v>4.7</v>
      </c>
      <c r="L1696" s="4">
        <f t="shared" si="6"/>
        <v>4.512</v>
      </c>
    </row>
    <row r="1697">
      <c r="A1697" s="3">
        <v>7010.0</v>
      </c>
      <c r="B1697" s="1" t="s">
        <v>2456</v>
      </c>
      <c r="C1697" s="3">
        <v>9.94</v>
      </c>
      <c r="D1697" s="5"/>
      <c r="E1697" s="5"/>
      <c r="F1697" s="5"/>
      <c r="G1697" s="4">
        <f t="shared" si="1"/>
        <v>4.97</v>
      </c>
      <c r="H1697" s="4" t="str">
        <f t="shared" si="2"/>
        <v>Sin precio neto</v>
      </c>
      <c r="I1697" s="4" t="str">
        <f t="shared" si="3"/>
        <v>Sin precio neto G.C.</v>
      </c>
      <c r="J1697" s="4">
        <f t="shared" si="4"/>
        <v>4.7712</v>
      </c>
      <c r="K1697" s="4">
        <f t="shared" si="5"/>
        <v>4.97</v>
      </c>
      <c r="L1697" s="4">
        <f t="shared" si="6"/>
        <v>4.7712</v>
      </c>
    </row>
    <row r="1698">
      <c r="A1698" s="3">
        <v>7011.0</v>
      </c>
      <c r="B1698" s="1" t="s">
        <v>2457</v>
      </c>
      <c r="C1698" s="3">
        <v>9.94</v>
      </c>
      <c r="D1698" s="5"/>
      <c r="E1698" s="5"/>
      <c r="F1698" s="5"/>
      <c r="G1698" s="4">
        <f t="shared" si="1"/>
        <v>4.97</v>
      </c>
      <c r="H1698" s="4" t="str">
        <f t="shared" si="2"/>
        <v>Sin precio neto</v>
      </c>
      <c r="I1698" s="4" t="str">
        <f t="shared" si="3"/>
        <v>Sin precio neto G.C.</v>
      </c>
      <c r="J1698" s="4">
        <f t="shared" si="4"/>
        <v>4.7712</v>
      </c>
      <c r="K1698" s="4">
        <f t="shared" si="5"/>
        <v>4.97</v>
      </c>
      <c r="L1698" s="4">
        <f t="shared" si="6"/>
        <v>4.7712</v>
      </c>
    </row>
    <row r="1699">
      <c r="A1699" s="3">
        <v>7012.0</v>
      </c>
      <c r="B1699" s="1" t="s">
        <v>2458</v>
      </c>
      <c r="C1699" s="3">
        <v>9.94</v>
      </c>
      <c r="D1699" s="5"/>
      <c r="E1699" s="5"/>
      <c r="F1699" s="5"/>
      <c r="G1699" s="4">
        <f t="shared" si="1"/>
        <v>4.97</v>
      </c>
      <c r="H1699" s="4" t="str">
        <f t="shared" si="2"/>
        <v>Sin precio neto</v>
      </c>
      <c r="I1699" s="4" t="str">
        <f t="shared" si="3"/>
        <v>Sin precio neto G.C.</v>
      </c>
      <c r="J1699" s="4">
        <f t="shared" si="4"/>
        <v>4.7712</v>
      </c>
      <c r="K1699" s="4">
        <f t="shared" si="5"/>
        <v>4.97</v>
      </c>
      <c r="L1699" s="4">
        <f t="shared" si="6"/>
        <v>4.7712</v>
      </c>
    </row>
    <row r="1700">
      <c r="A1700" s="3">
        <v>7014.0</v>
      </c>
      <c r="B1700" s="1" t="s">
        <v>2459</v>
      </c>
      <c r="C1700" s="3">
        <v>9.94</v>
      </c>
      <c r="D1700" s="5"/>
      <c r="E1700" s="5"/>
      <c r="F1700" s="5"/>
      <c r="G1700" s="4">
        <f t="shared" si="1"/>
        <v>4.97</v>
      </c>
      <c r="H1700" s="4" t="str">
        <f t="shared" si="2"/>
        <v>Sin precio neto</v>
      </c>
      <c r="I1700" s="4" t="str">
        <f t="shared" si="3"/>
        <v>Sin precio neto G.C.</v>
      </c>
      <c r="J1700" s="4">
        <f t="shared" si="4"/>
        <v>4.7712</v>
      </c>
      <c r="K1700" s="4">
        <f t="shared" si="5"/>
        <v>4.97</v>
      </c>
      <c r="L1700" s="4">
        <f t="shared" si="6"/>
        <v>4.7712</v>
      </c>
    </row>
    <row r="1701">
      <c r="A1701" s="3">
        <v>7020.0</v>
      </c>
      <c r="B1701" s="1" t="s">
        <v>2460</v>
      </c>
      <c r="C1701" s="3">
        <v>15.23</v>
      </c>
      <c r="D1701" s="5"/>
      <c r="E1701" s="5"/>
      <c r="F1701" s="5"/>
      <c r="G1701" s="4">
        <f t="shared" si="1"/>
        <v>7.615</v>
      </c>
      <c r="H1701" s="4" t="str">
        <f t="shared" si="2"/>
        <v>Sin precio neto</v>
      </c>
      <c r="I1701" s="4" t="str">
        <f t="shared" si="3"/>
        <v>Sin precio neto G.C.</v>
      </c>
      <c r="J1701" s="4">
        <f t="shared" si="4"/>
        <v>7.3104</v>
      </c>
      <c r="K1701" s="4">
        <f t="shared" si="5"/>
        <v>7.615</v>
      </c>
      <c r="L1701" s="4">
        <f t="shared" si="6"/>
        <v>7.3104</v>
      </c>
    </row>
    <row r="1702">
      <c r="A1702" s="3">
        <v>7022.0</v>
      </c>
      <c r="B1702" s="1" t="s">
        <v>2461</v>
      </c>
      <c r="C1702" s="3">
        <v>15.23</v>
      </c>
      <c r="D1702" s="5"/>
      <c r="E1702" s="5"/>
      <c r="F1702" s="5"/>
      <c r="G1702" s="4">
        <f t="shared" si="1"/>
        <v>7.615</v>
      </c>
      <c r="H1702" s="4" t="str">
        <f t="shared" si="2"/>
        <v>Sin precio neto</v>
      </c>
      <c r="I1702" s="4" t="str">
        <f t="shared" si="3"/>
        <v>Sin precio neto G.C.</v>
      </c>
      <c r="J1702" s="4">
        <f t="shared" si="4"/>
        <v>7.3104</v>
      </c>
      <c r="K1702" s="4">
        <f t="shared" si="5"/>
        <v>7.615</v>
      </c>
      <c r="L1702" s="4">
        <f t="shared" si="6"/>
        <v>7.3104</v>
      </c>
    </row>
    <row r="1703">
      <c r="A1703" s="3">
        <v>7025.0</v>
      </c>
      <c r="B1703" s="1" t="s">
        <v>2462</v>
      </c>
      <c r="C1703" s="3">
        <v>36.75</v>
      </c>
      <c r="D1703" s="5"/>
      <c r="E1703" s="5"/>
      <c r="F1703" s="5"/>
      <c r="G1703" s="4">
        <f t="shared" si="1"/>
        <v>18.375</v>
      </c>
      <c r="H1703" s="4" t="str">
        <f t="shared" si="2"/>
        <v>Sin precio neto</v>
      </c>
      <c r="I1703" s="4" t="str">
        <f t="shared" si="3"/>
        <v>Sin precio neto G.C.</v>
      </c>
      <c r="J1703" s="4">
        <f t="shared" si="4"/>
        <v>17.64</v>
      </c>
      <c r="K1703" s="4">
        <f t="shared" si="5"/>
        <v>18.375</v>
      </c>
      <c r="L1703" s="4">
        <f t="shared" si="6"/>
        <v>17.64</v>
      </c>
    </row>
    <row r="1704">
      <c r="A1704" s="1" t="s">
        <v>2463</v>
      </c>
      <c r="B1704" s="1" t="s">
        <v>2464</v>
      </c>
      <c r="C1704" s="3">
        <v>162.12</v>
      </c>
      <c r="D1704" s="5"/>
      <c r="E1704" s="5"/>
      <c r="F1704" s="5"/>
      <c r="G1704" s="4">
        <f t="shared" si="1"/>
        <v>81.06</v>
      </c>
      <c r="H1704" s="4" t="str">
        <f t="shared" si="2"/>
        <v>Sin precio neto</v>
      </c>
      <c r="I1704" s="4" t="str">
        <f t="shared" si="3"/>
        <v>Sin precio neto G.C.</v>
      </c>
      <c r="J1704" s="4">
        <f t="shared" si="4"/>
        <v>77.8176</v>
      </c>
      <c r="K1704" s="4">
        <f t="shared" si="5"/>
        <v>81.06</v>
      </c>
      <c r="L1704" s="4">
        <f t="shared" si="6"/>
        <v>77.8176</v>
      </c>
    </row>
    <row r="1705">
      <c r="A1705" s="1" t="s">
        <v>2465</v>
      </c>
      <c r="B1705" s="1" t="s">
        <v>2466</v>
      </c>
      <c r="C1705" s="3">
        <v>234.78</v>
      </c>
      <c r="D1705" s="5"/>
      <c r="E1705" s="5"/>
      <c r="F1705" s="5"/>
      <c r="G1705" s="4">
        <f t="shared" si="1"/>
        <v>117.39</v>
      </c>
      <c r="H1705" s="4" t="str">
        <f t="shared" si="2"/>
        <v>Sin precio neto</v>
      </c>
      <c r="I1705" s="4" t="str">
        <f t="shared" si="3"/>
        <v>Sin precio neto G.C.</v>
      </c>
      <c r="J1705" s="4">
        <f t="shared" si="4"/>
        <v>112.6944</v>
      </c>
      <c r="K1705" s="4">
        <f t="shared" si="5"/>
        <v>117.39</v>
      </c>
      <c r="L1705" s="4">
        <f t="shared" si="6"/>
        <v>112.6944</v>
      </c>
    </row>
    <row r="1706">
      <c r="A1706" s="1" t="s">
        <v>2467</v>
      </c>
      <c r="B1706" s="1" t="s">
        <v>2468</v>
      </c>
      <c r="C1706" s="3">
        <v>312.8</v>
      </c>
      <c r="D1706" s="5"/>
      <c r="E1706" s="5"/>
      <c r="F1706" s="5"/>
      <c r="G1706" s="4">
        <f t="shared" si="1"/>
        <v>156.4</v>
      </c>
      <c r="H1706" s="4" t="str">
        <f t="shared" si="2"/>
        <v>Sin precio neto</v>
      </c>
      <c r="I1706" s="4" t="str">
        <f t="shared" si="3"/>
        <v>Sin precio neto G.C.</v>
      </c>
      <c r="J1706" s="4">
        <f t="shared" si="4"/>
        <v>150.144</v>
      </c>
      <c r="K1706" s="4">
        <f t="shared" si="5"/>
        <v>156.4</v>
      </c>
      <c r="L1706" s="4">
        <f t="shared" si="6"/>
        <v>150.144</v>
      </c>
    </row>
    <row r="1707">
      <c r="A1707" s="1" t="s">
        <v>2469</v>
      </c>
      <c r="B1707" s="1" t="s">
        <v>2470</v>
      </c>
      <c r="C1707" s="3">
        <v>357.52</v>
      </c>
      <c r="D1707" s="5"/>
      <c r="E1707" s="5"/>
      <c r="F1707" s="5"/>
      <c r="G1707" s="4">
        <f t="shared" si="1"/>
        <v>178.76</v>
      </c>
      <c r="H1707" s="4" t="str">
        <f t="shared" si="2"/>
        <v>Sin precio neto</v>
      </c>
      <c r="I1707" s="4" t="str">
        <f t="shared" si="3"/>
        <v>Sin precio neto G.C.</v>
      </c>
      <c r="J1707" s="4">
        <f t="shared" si="4"/>
        <v>171.6096</v>
      </c>
      <c r="K1707" s="4">
        <f t="shared" si="5"/>
        <v>178.76</v>
      </c>
      <c r="L1707" s="4">
        <f t="shared" si="6"/>
        <v>171.6096</v>
      </c>
    </row>
    <row r="1708">
      <c r="A1708" s="1" t="s">
        <v>2471</v>
      </c>
      <c r="B1708" s="1" t="s">
        <v>2472</v>
      </c>
      <c r="C1708" s="3">
        <v>449.32</v>
      </c>
      <c r="D1708" s="5"/>
      <c r="E1708" s="5"/>
      <c r="F1708" s="5"/>
      <c r="G1708" s="4">
        <f t="shared" si="1"/>
        <v>224.66</v>
      </c>
      <c r="H1708" s="4" t="str">
        <f t="shared" si="2"/>
        <v>Sin precio neto</v>
      </c>
      <c r="I1708" s="4" t="str">
        <f t="shared" si="3"/>
        <v>Sin precio neto G.C.</v>
      </c>
      <c r="J1708" s="4">
        <f t="shared" si="4"/>
        <v>215.6736</v>
      </c>
      <c r="K1708" s="4">
        <f t="shared" si="5"/>
        <v>224.66</v>
      </c>
      <c r="L1708" s="4">
        <f t="shared" si="6"/>
        <v>215.6736</v>
      </c>
    </row>
    <row r="1709">
      <c r="A1709" s="1" t="s">
        <v>2473</v>
      </c>
      <c r="B1709" s="1" t="s">
        <v>2474</v>
      </c>
      <c r="C1709" s="3">
        <v>573.76</v>
      </c>
      <c r="D1709" s="5"/>
      <c r="E1709" s="5"/>
      <c r="F1709" s="5"/>
      <c r="G1709" s="4">
        <f t="shared" si="1"/>
        <v>286.88</v>
      </c>
      <c r="H1709" s="4" t="str">
        <f t="shared" si="2"/>
        <v>Sin precio neto</v>
      </c>
      <c r="I1709" s="4" t="str">
        <f t="shared" si="3"/>
        <v>Sin precio neto G.C.</v>
      </c>
      <c r="J1709" s="4">
        <f t="shared" si="4"/>
        <v>275.4048</v>
      </c>
      <c r="K1709" s="4">
        <f t="shared" si="5"/>
        <v>286.88</v>
      </c>
      <c r="L1709" s="4">
        <f t="shared" si="6"/>
        <v>275.4048</v>
      </c>
    </row>
    <row r="1710">
      <c r="A1710" s="1" t="s">
        <v>2475</v>
      </c>
      <c r="B1710" s="1" t="s">
        <v>2476</v>
      </c>
      <c r="C1710" s="3">
        <v>48.0</v>
      </c>
      <c r="D1710" s="3">
        <v>21.5</v>
      </c>
      <c r="E1710" s="3">
        <v>21.5</v>
      </c>
      <c r="F1710" s="3">
        <v>1.0</v>
      </c>
      <c r="G1710" s="4">
        <f t="shared" si="1"/>
        <v>24</v>
      </c>
      <c r="H1710" s="4" t="str">
        <f t="shared" si="2"/>
        <v>Neto: 21,50 € (a partir de 1 uds.)</v>
      </c>
      <c r="I1710" s="4" t="str">
        <f t="shared" si="3"/>
        <v>Neto G.C.: 21,50 € (a partir de 1 uds.)</v>
      </c>
      <c r="J1710" s="4">
        <f t="shared" si="4"/>
        <v>23.04</v>
      </c>
      <c r="K1710" s="4">
        <f t="shared" si="5"/>
        <v>24</v>
      </c>
      <c r="L1710" s="4">
        <f t="shared" si="6"/>
        <v>23.04</v>
      </c>
    </row>
    <row r="1711">
      <c r="A1711" s="1" t="s">
        <v>2477</v>
      </c>
      <c r="B1711" s="1" t="s">
        <v>2478</v>
      </c>
      <c r="C1711" s="3">
        <v>62.0</v>
      </c>
      <c r="D1711" s="5"/>
      <c r="E1711" s="5"/>
      <c r="F1711" s="5"/>
      <c r="G1711" s="4">
        <f t="shared" si="1"/>
        <v>31</v>
      </c>
      <c r="H1711" s="4" t="str">
        <f t="shared" si="2"/>
        <v>Sin precio neto</v>
      </c>
      <c r="I1711" s="4" t="str">
        <f t="shared" si="3"/>
        <v>Sin precio neto G.C.</v>
      </c>
      <c r="J1711" s="4">
        <f t="shared" si="4"/>
        <v>29.76</v>
      </c>
      <c r="K1711" s="4">
        <f t="shared" si="5"/>
        <v>31</v>
      </c>
      <c r="L1711" s="4">
        <f t="shared" si="6"/>
        <v>29.76</v>
      </c>
    </row>
    <row r="1712">
      <c r="A1712" s="1" t="s">
        <v>2479</v>
      </c>
      <c r="B1712" s="1" t="s">
        <v>2480</v>
      </c>
      <c r="C1712" s="3">
        <v>99.96</v>
      </c>
      <c r="D1712" s="5"/>
      <c r="E1712" s="5"/>
      <c r="F1712" s="5"/>
      <c r="G1712" s="4">
        <f t="shared" si="1"/>
        <v>49.98</v>
      </c>
      <c r="H1712" s="4" t="str">
        <f t="shared" si="2"/>
        <v>Sin precio neto</v>
      </c>
      <c r="I1712" s="4" t="str">
        <f t="shared" si="3"/>
        <v>Sin precio neto G.C.</v>
      </c>
      <c r="J1712" s="4">
        <f t="shared" si="4"/>
        <v>47.9808</v>
      </c>
      <c r="K1712" s="4">
        <f t="shared" si="5"/>
        <v>49.98</v>
      </c>
      <c r="L1712" s="4">
        <f t="shared" si="6"/>
        <v>47.9808</v>
      </c>
    </row>
    <row r="1713">
      <c r="A1713" s="1" t="s">
        <v>2481</v>
      </c>
      <c r="B1713" s="1" t="s">
        <v>2482</v>
      </c>
      <c r="C1713" s="3">
        <v>88.5</v>
      </c>
      <c r="D1713" s="3">
        <v>31.8</v>
      </c>
      <c r="E1713" s="3">
        <v>31.8</v>
      </c>
      <c r="F1713" s="3">
        <v>1.0</v>
      </c>
      <c r="G1713" s="4">
        <f t="shared" si="1"/>
        <v>44.25</v>
      </c>
      <c r="H1713" s="4" t="str">
        <f t="shared" si="2"/>
        <v>Neto: 31,80 € (a partir de 1 uds.)</v>
      </c>
      <c r="I1713" s="4" t="str">
        <f t="shared" si="3"/>
        <v>Neto G.C.: 31,80 € (a partir de 1 uds.)</v>
      </c>
      <c r="J1713" s="4">
        <f t="shared" si="4"/>
        <v>42.48</v>
      </c>
      <c r="K1713" s="4">
        <f t="shared" si="5"/>
        <v>44.25</v>
      </c>
      <c r="L1713" s="4">
        <f t="shared" si="6"/>
        <v>42.48</v>
      </c>
    </row>
    <row r="1714">
      <c r="A1714" s="1" t="s">
        <v>2483</v>
      </c>
      <c r="B1714" s="1" t="s">
        <v>2484</v>
      </c>
      <c r="C1714" s="3">
        <v>113.9</v>
      </c>
      <c r="D1714" s="5"/>
      <c r="E1714" s="5"/>
      <c r="F1714" s="5"/>
      <c r="G1714" s="4">
        <f t="shared" si="1"/>
        <v>56.95</v>
      </c>
      <c r="H1714" s="4" t="str">
        <f t="shared" si="2"/>
        <v>Sin precio neto</v>
      </c>
      <c r="I1714" s="4" t="str">
        <f t="shared" si="3"/>
        <v>Sin precio neto G.C.</v>
      </c>
      <c r="J1714" s="4">
        <f t="shared" si="4"/>
        <v>54.672</v>
      </c>
      <c r="K1714" s="4">
        <f t="shared" si="5"/>
        <v>56.95</v>
      </c>
      <c r="L1714" s="4">
        <f t="shared" si="6"/>
        <v>54.672</v>
      </c>
    </row>
    <row r="1715">
      <c r="A1715" s="1" t="s">
        <v>2485</v>
      </c>
      <c r="B1715" s="1" t="s">
        <v>2486</v>
      </c>
      <c r="C1715" s="3">
        <v>158.44</v>
      </c>
      <c r="D1715" s="5"/>
      <c r="E1715" s="5"/>
      <c r="F1715" s="5"/>
      <c r="G1715" s="4">
        <f t="shared" si="1"/>
        <v>79.22</v>
      </c>
      <c r="H1715" s="4" t="str">
        <f t="shared" si="2"/>
        <v>Sin precio neto</v>
      </c>
      <c r="I1715" s="4" t="str">
        <f t="shared" si="3"/>
        <v>Sin precio neto G.C.</v>
      </c>
      <c r="J1715" s="4">
        <f t="shared" si="4"/>
        <v>76.0512</v>
      </c>
      <c r="K1715" s="4">
        <f t="shared" si="5"/>
        <v>79.22</v>
      </c>
      <c r="L1715" s="4">
        <f t="shared" si="6"/>
        <v>76.0512</v>
      </c>
    </row>
    <row r="1716">
      <c r="A1716" s="1" t="s">
        <v>2487</v>
      </c>
      <c r="B1716" s="1" t="s">
        <v>2488</v>
      </c>
      <c r="C1716" s="3">
        <v>294.78</v>
      </c>
      <c r="D1716" s="5"/>
      <c r="E1716" s="5"/>
      <c r="F1716" s="5"/>
      <c r="G1716" s="4">
        <f t="shared" si="1"/>
        <v>147.39</v>
      </c>
      <c r="H1716" s="4" t="str">
        <f t="shared" si="2"/>
        <v>Sin precio neto</v>
      </c>
      <c r="I1716" s="4" t="str">
        <f t="shared" si="3"/>
        <v>Sin precio neto G.C.</v>
      </c>
      <c r="J1716" s="4">
        <f t="shared" si="4"/>
        <v>141.4944</v>
      </c>
      <c r="K1716" s="4">
        <f t="shared" si="5"/>
        <v>147.39</v>
      </c>
      <c r="L1716" s="4">
        <f t="shared" si="6"/>
        <v>141.4944</v>
      </c>
    </row>
    <row r="1717">
      <c r="A1717" s="1" t="s">
        <v>2489</v>
      </c>
      <c r="B1717" s="1" t="s">
        <v>2490</v>
      </c>
      <c r="C1717" s="3">
        <v>405.12</v>
      </c>
      <c r="D1717" s="5"/>
      <c r="E1717" s="5"/>
      <c r="F1717" s="5"/>
      <c r="G1717" s="4">
        <f t="shared" si="1"/>
        <v>202.56</v>
      </c>
      <c r="H1717" s="4" t="str">
        <f t="shared" si="2"/>
        <v>Sin precio neto</v>
      </c>
      <c r="I1717" s="4" t="str">
        <f t="shared" si="3"/>
        <v>Sin precio neto G.C.</v>
      </c>
      <c r="J1717" s="4">
        <f t="shared" si="4"/>
        <v>194.4576</v>
      </c>
      <c r="K1717" s="4">
        <f t="shared" si="5"/>
        <v>202.56</v>
      </c>
      <c r="L1717" s="4">
        <f t="shared" si="6"/>
        <v>194.4576</v>
      </c>
    </row>
    <row r="1718">
      <c r="A1718" s="1" t="s">
        <v>2491</v>
      </c>
      <c r="B1718" s="1" t="s">
        <v>2492</v>
      </c>
      <c r="C1718" s="3">
        <v>521.56</v>
      </c>
      <c r="D1718" s="5"/>
      <c r="E1718" s="5"/>
      <c r="F1718" s="5"/>
      <c r="G1718" s="4">
        <f t="shared" si="1"/>
        <v>260.78</v>
      </c>
      <c r="H1718" s="4" t="str">
        <f t="shared" si="2"/>
        <v>Sin precio neto</v>
      </c>
      <c r="I1718" s="4" t="str">
        <f t="shared" si="3"/>
        <v>Sin precio neto G.C.</v>
      </c>
      <c r="J1718" s="4">
        <f t="shared" si="4"/>
        <v>250.3488</v>
      </c>
      <c r="K1718" s="4">
        <f t="shared" si="5"/>
        <v>260.78</v>
      </c>
      <c r="L1718" s="4">
        <f t="shared" si="6"/>
        <v>250.3488</v>
      </c>
    </row>
    <row r="1719">
      <c r="A1719" s="1" t="s">
        <v>2493</v>
      </c>
      <c r="B1719" s="1" t="s">
        <v>2494</v>
      </c>
      <c r="C1719" s="3">
        <v>49.5</v>
      </c>
      <c r="D1719" s="3">
        <v>23.5</v>
      </c>
      <c r="E1719" s="3">
        <v>23.5</v>
      </c>
      <c r="F1719" s="3">
        <v>1.0</v>
      </c>
      <c r="G1719" s="4">
        <f t="shared" si="1"/>
        <v>24.75</v>
      </c>
      <c r="H1719" s="4" t="str">
        <f t="shared" si="2"/>
        <v>Neto: 23,50 € (a partir de 1 uds.)</v>
      </c>
      <c r="I1719" s="4" t="str">
        <f t="shared" si="3"/>
        <v>Neto G.C.: 23,50 € (a partir de 1 uds.)</v>
      </c>
      <c r="J1719" s="4">
        <f t="shared" si="4"/>
        <v>23.76</v>
      </c>
      <c r="K1719" s="4">
        <f t="shared" si="5"/>
        <v>24.75</v>
      </c>
      <c r="L1719" s="4">
        <f t="shared" si="6"/>
        <v>23.76</v>
      </c>
    </row>
    <row r="1720">
      <c r="A1720" s="1" t="s">
        <v>2495</v>
      </c>
      <c r="B1720" s="1" t="s">
        <v>2496</v>
      </c>
      <c r="C1720" s="3">
        <v>62.8</v>
      </c>
      <c r="D1720" s="5"/>
      <c r="E1720" s="5"/>
      <c r="F1720" s="5"/>
      <c r="G1720" s="4">
        <f t="shared" si="1"/>
        <v>31.4</v>
      </c>
      <c r="H1720" s="4" t="str">
        <f t="shared" si="2"/>
        <v>Sin precio neto</v>
      </c>
      <c r="I1720" s="4" t="str">
        <f t="shared" si="3"/>
        <v>Sin precio neto G.C.</v>
      </c>
      <c r="J1720" s="4">
        <f t="shared" si="4"/>
        <v>30.144</v>
      </c>
      <c r="K1720" s="4">
        <f t="shared" si="5"/>
        <v>31.4</v>
      </c>
      <c r="L1720" s="4">
        <f t="shared" si="6"/>
        <v>30.144</v>
      </c>
    </row>
    <row r="1721">
      <c r="A1721" s="1" t="s">
        <v>2497</v>
      </c>
      <c r="B1721" s="1" t="s">
        <v>2498</v>
      </c>
      <c r="C1721" s="3">
        <v>135.04</v>
      </c>
      <c r="D1721" s="5"/>
      <c r="E1721" s="5"/>
      <c r="F1721" s="5"/>
      <c r="G1721" s="4">
        <f t="shared" si="1"/>
        <v>67.52</v>
      </c>
      <c r="H1721" s="4" t="str">
        <f t="shared" si="2"/>
        <v>Sin precio neto</v>
      </c>
      <c r="I1721" s="4" t="str">
        <f t="shared" si="3"/>
        <v>Sin precio neto G.C.</v>
      </c>
      <c r="J1721" s="4">
        <f t="shared" si="4"/>
        <v>64.8192</v>
      </c>
      <c r="K1721" s="4">
        <f t="shared" si="5"/>
        <v>67.52</v>
      </c>
      <c r="L1721" s="4">
        <f t="shared" si="6"/>
        <v>64.8192</v>
      </c>
    </row>
    <row r="1722">
      <c r="A1722" s="1" t="s">
        <v>2499</v>
      </c>
      <c r="B1722" s="1" t="s">
        <v>2500</v>
      </c>
      <c r="C1722" s="3">
        <v>139.06</v>
      </c>
      <c r="D1722" s="3">
        <v>43.0</v>
      </c>
      <c r="E1722" s="3">
        <v>43.0</v>
      </c>
      <c r="F1722" s="3">
        <v>1.0</v>
      </c>
      <c r="G1722" s="4">
        <f t="shared" si="1"/>
        <v>69.53</v>
      </c>
      <c r="H1722" s="4" t="str">
        <f t="shared" si="2"/>
        <v>Neto: 43,00 € (a partir de 1 uds.)</v>
      </c>
      <c r="I1722" s="4" t="str">
        <f t="shared" si="3"/>
        <v>Neto G.C.: 43,00 € (a partir de 1 uds.)</v>
      </c>
      <c r="J1722" s="4">
        <f t="shared" si="4"/>
        <v>66.7488</v>
      </c>
      <c r="K1722" s="4">
        <f t="shared" si="5"/>
        <v>69.53</v>
      </c>
      <c r="L1722" s="4">
        <f t="shared" si="6"/>
        <v>66.7488</v>
      </c>
    </row>
    <row r="1723">
      <c r="A1723" s="1" t="s">
        <v>2501</v>
      </c>
      <c r="B1723" s="1" t="s">
        <v>2502</v>
      </c>
      <c r="C1723" s="3">
        <v>208.0</v>
      </c>
      <c r="D1723" s="5"/>
      <c r="E1723" s="5"/>
      <c r="F1723" s="5"/>
      <c r="G1723" s="4">
        <f t="shared" si="1"/>
        <v>104</v>
      </c>
      <c r="H1723" s="4" t="str">
        <f t="shared" si="2"/>
        <v>Sin precio neto</v>
      </c>
      <c r="I1723" s="4" t="str">
        <f t="shared" si="3"/>
        <v>Sin precio neto G.C.</v>
      </c>
      <c r="J1723" s="4">
        <f t="shared" si="4"/>
        <v>99.84</v>
      </c>
      <c r="K1723" s="4">
        <f t="shared" si="5"/>
        <v>104</v>
      </c>
      <c r="L1723" s="4">
        <f t="shared" si="6"/>
        <v>99.84</v>
      </c>
    </row>
    <row r="1724">
      <c r="A1724" s="1" t="s">
        <v>2503</v>
      </c>
      <c r="B1724" s="1" t="s">
        <v>2504</v>
      </c>
      <c r="C1724" s="3">
        <v>302.0</v>
      </c>
      <c r="D1724" s="5"/>
      <c r="E1724" s="5"/>
      <c r="F1724" s="5"/>
      <c r="G1724" s="4">
        <f t="shared" si="1"/>
        <v>151</v>
      </c>
      <c r="H1724" s="4" t="str">
        <f t="shared" si="2"/>
        <v>Sin precio neto</v>
      </c>
      <c r="I1724" s="4" t="str">
        <f t="shared" si="3"/>
        <v>Sin precio neto G.C.</v>
      </c>
      <c r="J1724" s="4">
        <f t="shared" si="4"/>
        <v>144.96</v>
      </c>
      <c r="K1724" s="4">
        <f t="shared" si="5"/>
        <v>151</v>
      </c>
      <c r="L1724" s="4">
        <f t="shared" si="6"/>
        <v>144.96</v>
      </c>
    </row>
    <row r="1725">
      <c r="A1725" s="3">
        <v>8201.0</v>
      </c>
      <c r="B1725" s="1" t="s">
        <v>2505</v>
      </c>
      <c r="C1725" s="3">
        <v>1.1</v>
      </c>
      <c r="D1725" s="3">
        <v>0.5</v>
      </c>
      <c r="E1725" s="3">
        <v>0.5</v>
      </c>
      <c r="F1725" s="3">
        <v>1.0</v>
      </c>
      <c r="G1725" s="4">
        <f t="shared" si="1"/>
        <v>0.55</v>
      </c>
      <c r="H1725" s="4" t="str">
        <f t="shared" si="2"/>
        <v>Neto: 0,50 € (a partir de 1 uds.)</v>
      </c>
      <c r="I1725" s="4" t="str">
        <f t="shared" si="3"/>
        <v>Neto G.C.: 0,50 € (a partir de 1 uds.)</v>
      </c>
      <c r="J1725" s="4">
        <f t="shared" si="4"/>
        <v>0.528</v>
      </c>
      <c r="K1725" s="4">
        <f t="shared" si="5"/>
        <v>0.55</v>
      </c>
      <c r="L1725" s="4">
        <f t="shared" si="6"/>
        <v>0.528</v>
      </c>
    </row>
    <row r="1726">
      <c r="A1726" s="1" t="s">
        <v>2506</v>
      </c>
      <c r="B1726" s="1" t="s">
        <v>2507</v>
      </c>
      <c r="C1726" s="3">
        <v>8.8</v>
      </c>
      <c r="D1726" s="5"/>
      <c r="E1726" s="5"/>
      <c r="F1726" s="5"/>
      <c r="G1726" s="4">
        <f t="shared" si="1"/>
        <v>4.4</v>
      </c>
      <c r="H1726" s="4" t="str">
        <f t="shared" si="2"/>
        <v>Sin precio neto</v>
      </c>
      <c r="I1726" s="4" t="str">
        <f t="shared" si="3"/>
        <v>Sin precio neto G.C.</v>
      </c>
      <c r="J1726" s="4">
        <f t="shared" si="4"/>
        <v>4.224</v>
      </c>
      <c r="K1726" s="4">
        <f t="shared" si="5"/>
        <v>4.4</v>
      </c>
      <c r="L1726" s="4">
        <f t="shared" si="6"/>
        <v>4.224</v>
      </c>
    </row>
    <row r="1727">
      <c r="A1727" s="3">
        <v>8210.0</v>
      </c>
      <c r="B1727" s="1" t="s">
        <v>2508</v>
      </c>
      <c r="C1727" s="3">
        <v>1.1</v>
      </c>
      <c r="D1727" s="3">
        <v>0.5</v>
      </c>
      <c r="E1727" s="3">
        <v>0.5</v>
      </c>
      <c r="F1727" s="3">
        <v>1.0</v>
      </c>
      <c r="G1727" s="4">
        <f t="shared" si="1"/>
        <v>0.55</v>
      </c>
      <c r="H1727" s="4" t="str">
        <f t="shared" si="2"/>
        <v>Neto: 0,50 € (a partir de 1 uds.)</v>
      </c>
      <c r="I1727" s="4" t="str">
        <f t="shared" si="3"/>
        <v>Neto G.C.: 0,50 € (a partir de 1 uds.)</v>
      </c>
      <c r="J1727" s="4">
        <f t="shared" si="4"/>
        <v>0.528</v>
      </c>
      <c r="K1727" s="4">
        <f t="shared" si="5"/>
        <v>0.55</v>
      </c>
      <c r="L1727" s="4">
        <f t="shared" si="6"/>
        <v>0.528</v>
      </c>
    </row>
    <row r="1728">
      <c r="A1728" s="1" t="s">
        <v>2509</v>
      </c>
      <c r="B1728" s="1" t="s">
        <v>2510</v>
      </c>
      <c r="C1728" s="3">
        <v>8.8</v>
      </c>
      <c r="D1728" s="5"/>
      <c r="E1728" s="5"/>
      <c r="F1728" s="5"/>
      <c r="G1728" s="4">
        <f t="shared" si="1"/>
        <v>4.4</v>
      </c>
      <c r="H1728" s="4" t="str">
        <f t="shared" si="2"/>
        <v>Sin precio neto</v>
      </c>
      <c r="I1728" s="4" t="str">
        <f t="shared" si="3"/>
        <v>Sin precio neto G.C.</v>
      </c>
      <c r="J1728" s="4">
        <f t="shared" si="4"/>
        <v>4.224</v>
      </c>
      <c r="K1728" s="4">
        <f t="shared" si="5"/>
        <v>4.4</v>
      </c>
      <c r="L1728" s="4">
        <f t="shared" si="6"/>
        <v>4.224</v>
      </c>
    </row>
    <row r="1729">
      <c r="A1729" s="3">
        <v>8216.0</v>
      </c>
      <c r="B1729" s="1" t="s">
        <v>2511</v>
      </c>
      <c r="C1729" s="3">
        <v>1.1</v>
      </c>
      <c r="D1729" s="3">
        <v>0.5</v>
      </c>
      <c r="E1729" s="3">
        <v>0.5</v>
      </c>
      <c r="F1729" s="3">
        <v>1.0</v>
      </c>
      <c r="G1729" s="4">
        <f t="shared" si="1"/>
        <v>0.55</v>
      </c>
      <c r="H1729" s="4" t="str">
        <f t="shared" si="2"/>
        <v>Neto: 0,50 € (a partir de 1 uds.)</v>
      </c>
      <c r="I1729" s="4" t="str">
        <f t="shared" si="3"/>
        <v>Neto G.C.: 0,50 € (a partir de 1 uds.)</v>
      </c>
      <c r="J1729" s="4">
        <f t="shared" si="4"/>
        <v>0.528</v>
      </c>
      <c r="K1729" s="4">
        <f t="shared" si="5"/>
        <v>0.55</v>
      </c>
      <c r="L1729" s="4">
        <f t="shared" si="6"/>
        <v>0.528</v>
      </c>
    </row>
    <row r="1730">
      <c r="A1730" s="1" t="s">
        <v>2512</v>
      </c>
      <c r="B1730" s="1" t="s">
        <v>2513</v>
      </c>
      <c r="C1730" s="3">
        <v>8.8</v>
      </c>
      <c r="D1730" s="5"/>
      <c r="E1730" s="5"/>
      <c r="F1730" s="5"/>
      <c r="G1730" s="4">
        <f t="shared" si="1"/>
        <v>4.4</v>
      </c>
      <c r="H1730" s="4" t="str">
        <f t="shared" si="2"/>
        <v>Sin precio neto</v>
      </c>
      <c r="I1730" s="4" t="str">
        <f t="shared" si="3"/>
        <v>Sin precio neto G.C.</v>
      </c>
      <c r="J1730" s="4">
        <f t="shared" si="4"/>
        <v>4.224</v>
      </c>
      <c r="K1730" s="4">
        <f t="shared" si="5"/>
        <v>4.4</v>
      </c>
      <c r="L1730" s="4">
        <f t="shared" si="6"/>
        <v>4.224</v>
      </c>
    </row>
    <row r="1731">
      <c r="A1731" s="3">
        <v>8218.0</v>
      </c>
      <c r="B1731" s="1" t="s">
        <v>2514</v>
      </c>
      <c r="C1731" s="3">
        <v>1.1</v>
      </c>
      <c r="D1731" s="3">
        <v>0.5</v>
      </c>
      <c r="E1731" s="3">
        <v>0.5</v>
      </c>
      <c r="F1731" s="3">
        <v>1.0</v>
      </c>
      <c r="G1731" s="4">
        <f t="shared" si="1"/>
        <v>0.55</v>
      </c>
      <c r="H1731" s="4" t="str">
        <f t="shared" si="2"/>
        <v>Neto: 0,50 € (a partir de 1 uds.)</v>
      </c>
      <c r="I1731" s="4" t="str">
        <f t="shared" si="3"/>
        <v>Neto G.C.: 0,50 € (a partir de 1 uds.)</v>
      </c>
      <c r="J1731" s="4">
        <f t="shared" si="4"/>
        <v>0.528</v>
      </c>
      <c r="K1731" s="4">
        <f t="shared" si="5"/>
        <v>0.55</v>
      </c>
      <c r="L1731" s="4">
        <f t="shared" si="6"/>
        <v>0.528</v>
      </c>
    </row>
    <row r="1732">
      <c r="A1732" s="1" t="s">
        <v>2515</v>
      </c>
      <c r="B1732" s="1" t="s">
        <v>2516</v>
      </c>
      <c r="C1732" s="3">
        <v>8.8</v>
      </c>
      <c r="D1732" s="5"/>
      <c r="E1732" s="5"/>
      <c r="F1732" s="5"/>
      <c r="G1732" s="4">
        <f t="shared" si="1"/>
        <v>4.4</v>
      </c>
      <c r="H1732" s="4" t="str">
        <f t="shared" si="2"/>
        <v>Sin precio neto</v>
      </c>
      <c r="I1732" s="4" t="str">
        <f t="shared" si="3"/>
        <v>Sin precio neto G.C.</v>
      </c>
      <c r="J1732" s="4">
        <f t="shared" si="4"/>
        <v>4.224</v>
      </c>
      <c r="K1732" s="4">
        <f t="shared" si="5"/>
        <v>4.4</v>
      </c>
      <c r="L1732" s="4">
        <f t="shared" si="6"/>
        <v>4.224</v>
      </c>
    </row>
    <row r="1733">
      <c r="A1733" s="3">
        <v>8219.0</v>
      </c>
      <c r="B1733" s="1" t="s">
        <v>2517</v>
      </c>
      <c r="C1733" s="3">
        <v>1.1</v>
      </c>
      <c r="D1733" s="3">
        <v>0.5</v>
      </c>
      <c r="E1733" s="3">
        <v>0.5</v>
      </c>
      <c r="F1733" s="3">
        <v>1.0</v>
      </c>
      <c r="G1733" s="4">
        <f t="shared" si="1"/>
        <v>0.55</v>
      </c>
      <c r="H1733" s="4" t="str">
        <f t="shared" si="2"/>
        <v>Neto: 0,50 € (a partir de 1 uds.)</v>
      </c>
      <c r="I1733" s="4" t="str">
        <f t="shared" si="3"/>
        <v>Neto G.C.: 0,50 € (a partir de 1 uds.)</v>
      </c>
      <c r="J1733" s="4">
        <f t="shared" si="4"/>
        <v>0.528</v>
      </c>
      <c r="K1733" s="4">
        <f t="shared" si="5"/>
        <v>0.55</v>
      </c>
      <c r="L1733" s="4">
        <f t="shared" si="6"/>
        <v>0.528</v>
      </c>
    </row>
    <row r="1734">
      <c r="A1734" s="1" t="s">
        <v>2518</v>
      </c>
      <c r="B1734" s="1" t="s">
        <v>2519</v>
      </c>
      <c r="C1734" s="3">
        <v>8.8</v>
      </c>
      <c r="D1734" s="5"/>
      <c r="E1734" s="5"/>
      <c r="F1734" s="5"/>
      <c r="G1734" s="4">
        <f t="shared" si="1"/>
        <v>4.4</v>
      </c>
      <c r="H1734" s="4" t="str">
        <f t="shared" si="2"/>
        <v>Sin precio neto</v>
      </c>
      <c r="I1734" s="4" t="str">
        <f t="shared" si="3"/>
        <v>Sin precio neto G.C.</v>
      </c>
      <c r="J1734" s="4">
        <f t="shared" si="4"/>
        <v>4.224</v>
      </c>
      <c r="K1734" s="4">
        <f t="shared" si="5"/>
        <v>4.4</v>
      </c>
      <c r="L1734" s="4">
        <f t="shared" si="6"/>
        <v>4.224</v>
      </c>
    </row>
    <row r="1735">
      <c r="A1735" s="3">
        <v>8220.0</v>
      </c>
      <c r="B1735" s="1" t="s">
        <v>2520</v>
      </c>
      <c r="C1735" s="3">
        <v>1.1</v>
      </c>
      <c r="D1735" s="3">
        <v>0.5</v>
      </c>
      <c r="E1735" s="3">
        <v>0.5</v>
      </c>
      <c r="F1735" s="3">
        <v>1.0</v>
      </c>
      <c r="G1735" s="4">
        <f t="shared" si="1"/>
        <v>0.55</v>
      </c>
      <c r="H1735" s="4" t="str">
        <f t="shared" si="2"/>
        <v>Neto: 0,50 € (a partir de 1 uds.)</v>
      </c>
      <c r="I1735" s="4" t="str">
        <f t="shared" si="3"/>
        <v>Neto G.C.: 0,50 € (a partir de 1 uds.)</v>
      </c>
      <c r="J1735" s="4">
        <f t="shared" si="4"/>
        <v>0.528</v>
      </c>
      <c r="K1735" s="4">
        <f t="shared" si="5"/>
        <v>0.55</v>
      </c>
      <c r="L1735" s="4">
        <f t="shared" si="6"/>
        <v>0.528</v>
      </c>
    </row>
    <row r="1736">
      <c r="A1736" s="1" t="s">
        <v>2521</v>
      </c>
      <c r="B1736" s="1" t="s">
        <v>2522</v>
      </c>
      <c r="C1736" s="3">
        <v>8.8</v>
      </c>
      <c r="D1736" s="5"/>
      <c r="E1736" s="5"/>
      <c r="F1736" s="5"/>
      <c r="G1736" s="4">
        <f t="shared" si="1"/>
        <v>4.4</v>
      </c>
      <c r="H1736" s="4" t="str">
        <f t="shared" si="2"/>
        <v>Sin precio neto</v>
      </c>
      <c r="I1736" s="4" t="str">
        <f t="shared" si="3"/>
        <v>Sin precio neto G.C.</v>
      </c>
      <c r="J1736" s="4">
        <f t="shared" si="4"/>
        <v>4.224</v>
      </c>
      <c r="K1736" s="4">
        <f t="shared" si="5"/>
        <v>4.4</v>
      </c>
      <c r="L1736" s="4">
        <f t="shared" si="6"/>
        <v>4.224</v>
      </c>
    </row>
    <row r="1737">
      <c r="A1737" s="3">
        <v>8221.0</v>
      </c>
      <c r="B1737" s="1" t="s">
        <v>2523</v>
      </c>
      <c r="C1737" s="3">
        <v>1.1</v>
      </c>
      <c r="D1737" s="3">
        <v>0.5</v>
      </c>
      <c r="E1737" s="3">
        <v>0.5</v>
      </c>
      <c r="F1737" s="3">
        <v>1.0</v>
      </c>
      <c r="G1737" s="4">
        <f t="shared" si="1"/>
        <v>0.55</v>
      </c>
      <c r="H1737" s="4" t="str">
        <f t="shared" si="2"/>
        <v>Neto: 0,50 € (a partir de 1 uds.)</v>
      </c>
      <c r="I1737" s="4" t="str">
        <f t="shared" si="3"/>
        <v>Neto G.C.: 0,50 € (a partir de 1 uds.)</v>
      </c>
      <c r="J1737" s="4">
        <f t="shared" si="4"/>
        <v>0.528</v>
      </c>
      <c r="K1737" s="4">
        <f t="shared" si="5"/>
        <v>0.55</v>
      </c>
      <c r="L1737" s="4">
        <f t="shared" si="6"/>
        <v>0.528</v>
      </c>
    </row>
    <row r="1738">
      <c r="A1738" s="1" t="s">
        <v>2524</v>
      </c>
      <c r="B1738" s="1" t="s">
        <v>2525</v>
      </c>
      <c r="C1738" s="3">
        <v>8.8</v>
      </c>
      <c r="D1738" s="5"/>
      <c r="E1738" s="5"/>
      <c r="F1738" s="5"/>
      <c r="G1738" s="4">
        <f t="shared" si="1"/>
        <v>4.4</v>
      </c>
      <c r="H1738" s="4" t="str">
        <f t="shared" si="2"/>
        <v>Sin precio neto</v>
      </c>
      <c r="I1738" s="4" t="str">
        <f t="shared" si="3"/>
        <v>Sin precio neto G.C.</v>
      </c>
      <c r="J1738" s="4">
        <f t="shared" si="4"/>
        <v>4.224</v>
      </c>
      <c r="K1738" s="4">
        <f t="shared" si="5"/>
        <v>4.4</v>
      </c>
      <c r="L1738" s="4">
        <f t="shared" si="6"/>
        <v>4.224</v>
      </c>
    </row>
    <row r="1739">
      <c r="A1739" s="3">
        <v>8222.0</v>
      </c>
      <c r="B1739" s="1" t="s">
        <v>2526</v>
      </c>
      <c r="C1739" s="3">
        <v>1.1</v>
      </c>
      <c r="D1739" s="3">
        <v>0.5</v>
      </c>
      <c r="E1739" s="3">
        <v>0.5</v>
      </c>
      <c r="F1739" s="3">
        <v>1.0</v>
      </c>
      <c r="G1739" s="4">
        <f t="shared" si="1"/>
        <v>0.55</v>
      </c>
      <c r="H1739" s="4" t="str">
        <f t="shared" si="2"/>
        <v>Neto: 0,50 € (a partir de 1 uds.)</v>
      </c>
      <c r="I1739" s="4" t="str">
        <f t="shared" si="3"/>
        <v>Neto G.C.: 0,50 € (a partir de 1 uds.)</v>
      </c>
      <c r="J1739" s="4">
        <f t="shared" si="4"/>
        <v>0.528</v>
      </c>
      <c r="K1739" s="4">
        <f t="shared" si="5"/>
        <v>0.55</v>
      </c>
      <c r="L1739" s="4">
        <f t="shared" si="6"/>
        <v>0.528</v>
      </c>
    </row>
    <row r="1740">
      <c r="A1740" s="1" t="s">
        <v>2527</v>
      </c>
      <c r="B1740" s="1" t="s">
        <v>2528</v>
      </c>
      <c r="C1740" s="3">
        <v>8.8</v>
      </c>
      <c r="D1740" s="5"/>
      <c r="E1740" s="5"/>
      <c r="F1740" s="5"/>
      <c r="G1740" s="4">
        <f t="shared" si="1"/>
        <v>4.4</v>
      </c>
      <c r="H1740" s="4" t="str">
        <f t="shared" si="2"/>
        <v>Sin precio neto</v>
      </c>
      <c r="I1740" s="4" t="str">
        <f t="shared" si="3"/>
        <v>Sin precio neto G.C.</v>
      </c>
      <c r="J1740" s="4">
        <f t="shared" si="4"/>
        <v>4.224</v>
      </c>
      <c r="K1740" s="4">
        <f t="shared" si="5"/>
        <v>4.4</v>
      </c>
      <c r="L1740" s="4">
        <f t="shared" si="6"/>
        <v>4.224</v>
      </c>
    </row>
    <row r="1741">
      <c r="A1741" s="3">
        <v>8223.0</v>
      </c>
      <c r="B1741" s="1" t="s">
        <v>2529</v>
      </c>
      <c r="C1741" s="3">
        <v>1.1</v>
      </c>
      <c r="D1741" s="3">
        <v>0.5</v>
      </c>
      <c r="E1741" s="3">
        <v>0.5</v>
      </c>
      <c r="F1741" s="3">
        <v>1.0</v>
      </c>
      <c r="G1741" s="4">
        <f t="shared" si="1"/>
        <v>0.55</v>
      </c>
      <c r="H1741" s="4" t="str">
        <f t="shared" si="2"/>
        <v>Neto: 0,50 € (a partir de 1 uds.)</v>
      </c>
      <c r="I1741" s="4" t="str">
        <f t="shared" si="3"/>
        <v>Neto G.C.: 0,50 € (a partir de 1 uds.)</v>
      </c>
      <c r="J1741" s="4">
        <f t="shared" si="4"/>
        <v>0.528</v>
      </c>
      <c r="K1741" s="4">
        <f t="shared" si="5"/>
        <v>0.55</v>
      </c>
      <c r="L1741" s="4">
        <f t="shared" si="6"/>
        <v>0.528</v>
      </c>
    </row>
    <row r="1742">
      <c r="A1742" s="1" t="s">
        <v>2530</v>
      </c>
      <c r="B1742" s="1" t="s">
        <v>2531</v>
      </c>
      <c r="C1742" s="3">
        <v>8.8</v>
      </c>
      <c r="D1742" s="5"/>
      <c r="E1742" s="5"/>
      <c r="F1742" s="5"/>
      <c r="G1742" s="4">
        <f t="shared" si="1"/>
        <v>4.4</v>
      </c>
      <c r="H1742" s="4" t="str">
        <f t="shared" si="2"/>
        <v>Sin precio neto</v>
      </c>
      <c r="I1742" s="4" t="str">
        <f t="shared" si="3"/>
        <v>Sin precio neto G.C.</v>
      </c>
      <c r="J1742" s="4">
        <f t="shared" si="4"/>
        <v>4.224</v>
      </c>
      <c r="K1742" s="4">
        <f t="shared" si="5"/>
        <v>4.4</v>
      </c>
      <c r="L1742" s="4">
        <f t="shared" si="6"/>
        <v>4.224</v>
      </c>
    </row>
    <row r="1743">
      <c r="A1743" s="3">
        <v>8226.0</v>
      </c>
      <c r="B1743" s="1" t="s">
        <v>2532</v>
      </c>
      <c r="C1743" s="3">
        <v>1.1</v>
      </c>
      <c r="D1743" s="3">
        <v>0.5</v>
      </c>
      <c r="E1743" s="3">
        <v>0.5</v>
      </c>
      <c r="F1743" s="3">
        <v>1.0</v>
      </c>
      <c r="G1743" s="4">
        <f t="shared" si="1"/>
        <v>0.55</v>
      </c>
      <c r="H1743" s="4" t="str">
        <f t="shared" si="2"/>
        <v>Neto: 0,50 € (a partir de 1 uds.)</v>
      </c>
      <c r="I1743" s="4" t="str">
        <f t="shared" si="3"/>
        <v>Neto G.C.: 0,50 € (a partir de 1 uds.)</v>
      </c>
      <c r="J1743" s="4">
        <f t="shared" si="4"/>
        <v>0.528</v>
      </c>
      <c r="K1743" s="4">
        <f t="shared" si="5"/>
        <v>0.55</v>
      </c>
      <c r="L1743" s="4">
        <f t="shared" si="6"/>
        <v>0.528</v>
      </c>
    </row>
    <row r="1744">
      <c r="A1744" s="1" t="s">
        <v>2533</v>
      </c>
      <c r="B1744" s="1" t="s">
        <v>2534</v>
      </c>
      <c r="C1744" s="3">
        <v>8.8</v>
      </c>
      <c r="D1744" s="5"/>
      <c r="E1744" s="5"/>
      <c r="F1744" s="5"/>
      <c r="G1744" s="4">
        <f t="shared" si="1"/>
        <v>4.4</v>
      </c>
      <c r="H1744" s="4" t="str">
        <f t="shared" si="2"/>
        <v>Sin precio neto</v>
      </c>
      <c r="I1744" s="4" t="str">
        <f t="shared" si="3"/>
        <v>Sin precio neto G.C.</v>
      </c>
      <c r="J1744" s="4">
        <f t="shared" si="4"/>
        <v>4.224</v>
      </c>
      <c r="K1744" s="4">
        <f t="shared" si="5"/>
        <v>4.4</v>
      </c>
      <c r="L1744" s="4">
        <f t="shared" si="6"/>
        <v>4.224</v>
      </c>
    </row>
    <row r="1745">
      <c r="A1745" s="3">
        <v>8227.0</v>
      </c>
      <c r="B1745" s="1" t="s">
        <v>2535</v>
      </c>
      <c r="C1745" s="3">
        <v>1.1</v>
      </c>
      <c r="D1745" s="3">
        <v>0.5</v>
      </c>
      <c r="E1745" s="3">
        <v>0.5</v>
      </c>
      <c r="F1745" s="3">
        <v>1.0</v>
      </c>
      <c r="G1745" s="4">
        <f t="shared" si="1"/>
        <v>0.55</v>
      </c>
      <c r="H1745" s="4" t="str">
        <f t="shared" si="2"/>
        <v>Neto: 0,50 € (a partir de 1 uds.)</v>
      </c>
      <c r="I1745" s="4" t="str">
        <f t="shared" si="3"/>
        <v>Neto G.C.: 0,50 € (a partir de 1 uds.)</v>
      </c>
      <c r="J1745" s="4">
        <f t="shared" si="4"/>
        <v>0.528</v>
      </c>
      <c r="K1745" s="4">
        <f t="shared" si="5"/>
        <v>0.55</v>
      </c>
      <c r="L1745" s="4">
        <f t="shared" si="6"/>
        <v>0.528</v>
      </c>
    </row>
    <row r="1746">
      <c r="A1746" s="1" t="s">
        <v>2536</v>
      </c>
      <c r="B1746" s="1" t="s">
        <v>2537</v>
      </c>
      <c r="C1746" s="3">
        <v>8.8</v>
      </c>
      <c r="D1746" s="5"/>
      <c r="E1746" s="5"/>
      <c r="F1746" s="5"/>
      <c r="G1746" s="4">
        <f t="shared" si="1"/>
        <v>4.4</v>
      </c>
      <c r="H1746" s="4" t="str">
        <f t="shared" si="2"/>
        <v>Sin precio neto</v>
      </c>
      <c r="I1746" s="4" t="str">
        <f t="shared" si="3"/>
        <v>Sin precio neto G.C.</v>
      </c>
      <c r="J1746" s="4">
        <f t="shared" si="4"/>
        <v>4.224</v>
      </c>
      <c r="K1746" s="4">
        <f t="shared" si="5"/>
        <v>4.4</v>
      </c>
      <c r="L1746" s="4">
        <f t="shared" si="6"/>
        <v>4.224</v>
      </c>
    </row>
    <row r="1747">
      <c r="A1747" s="3">
        <v>8230.0</v>
      </c>
      <c r="B1747" s="1" t="s">
        <v>2538</v>
      </c>
      <c r="C1747" s="3">
        <v>1.1</v>
      </c>
      <c r="D1747" s="3">
        <v>0.5</v>
      </c>
      <c r="E1747" s="3">
        <v>0.5</v>
      </c>
      <c r="F1747" s="3">
        <v>1.0</v>
      </c>
      <c r="G1747" s="4">
        <f t="shared" si="1"/>
        <v>0.55</v>
      </c>
      <c r="H1747" s="4" t="str">
        <f t="shared" si="2"/>
        <v>Neto: 0,50 € (a partir de 1 uds.)</v>
      </c>
      <c r="I1747" s="4" t="str">
        <f t="shared" si="3"/>
        <v>Neto G.C.: 0,50 € (a partir de 1 uds.)</v>
      </c>
      <c r="J1747" s="4">
        <f t="shared" si="4"/>
        <v>0.528</v>
      </c>
      <c r="K1747" s="4">
        <f t="shared" si="5"/>
        <v>0.55</v>
      </c>
      <c r="L1747" s="4">
        <f t="shared" si="6"/>
        <v>0.528</v>
      </c>
    </row>
    <row r="1748">
      <c r="A1748" s="1" t="s">
        <v>2539</v>
      </c>
      <c r="B1748" s="1" t="s">
        <v>2540</v>
      </c>
      <c r="C1748" s="3">
        <v>8.8</v>
      </c>
      <c r="D1748" s="5"/>
      <c r="E1748" s="5"/>
      <c r="F1748" s="5"/>
      <c r="G1748" s="4">
        <f t="shared" si="1"/>
        <v>4.4</v>
      </c>
      <c r="H1748" s="4" t="str">
        <f t="shared" si="2"/>
        <v>Sin precio neto</v>
      </c>
      <c r="I1748" s="4" t="str">
        <f t="shared" si="3"/>
        <v>Sin precio neto G.C.</v>
      </c>
      <c r="J1748" s="4">
        <f t="shared" si="4"/>
        <v>4.224</v>
      </c>
      <c r="K1748" s="4">
        <f t="shared" si="5"/>
        <v>4.4</v>
      </c>
      <c r="L1748" s="4">
        <f t="shared" si="6"/>
        <v>4.224</v>
      </c>
    </row>
    <row r="1749">
      <c r="A1749" s="3">
        <v>8232.0</v>
      </c>
      <c r="B1749" s="1" t="s">
        <v>2541</v>
      </c>
      <c r="C1749" s="3">
        <v>1.1</v>
      </c>
      <c r="D1749" s="3">
        <v>0.5</v>
      </c>
      <c r="E1749" s="3">
        <v>0.5</v>
      </c>
      <c r="F1749" s="3">
        <v>1.0</v>
      </c>
      <c r="G1749" s="4">
        <f t="shared" si="1"/>
        <v>0.55</v>
      </c>
      <c r="H1749" s="4" t="str">
        <f t="shared" si="2"/>
        <v>Neto: 0,50 € (a partir de 1 uds.)</v>
      </c>
      <c r="I1749" s="4" t="str">
        <f t="shared" si="3"/>
        <v>Neto G.C.: 0,50 € (a partir de 1 uds.)</v>
      </c>
      <c r="J1749" s="4">
        <f t="shared" si="4"/>
        <v>0.528</v>
      </c>
      <c r="K1749" s="4">
        <f t="shared" si="5"/>
        <v>0.55</v>
      </c>
      <c r="L1749" s="4">
        <f t="shared" si="6"/>
        <v>0.528</v>
      </c>
    </row>
    <row r="1750">
      <c r="A1750" s="1" t="s">
        <v>2542</v>
      </c>
      <c r="B1750" s="1" t="s">
        <v>2543</v>
      </c>
      <c r="C1750" s="3">
        <v>8.8</v>
      </c>
      <c r="D1750" s="5"/>
      <c r="E1750" s="5"/>
      <c r="F1750" s="5"/>
      <c r="G1750" s="4">
        <f t="shared" si="1"/>
        <v>4.4</v>
      </c>
      <c r="H1750" s="4" t="str">
        <f t="shared" si="2"/>
        <v>Sin precio neto</v>
      </c>
      <c r="I1750" s="4" t="str">
        <f t="shared" si="3"/>
        <v>Sin precio neto G.C.</v>
      </c>
      <c r="J1750" s="4">
        <f t="shared" si="4"/>
        <v>4.224</v>
      </c>
      <c r="K1750" s="4">
        <f t="shared" si="5"/>
        <v>4.4</v>
      </c>
      <c r="L1750" s="4">
        <f t="shared" si="6"/>
        <v>4.224</v>
      </c>
    </row>
    <row r="1751">
      <c r="A1751" s="3">
        <v>8238.0</v>
      </c>
      <c r="B1751" s="1" t="s">
        <v>2544</v>
      </c>
      <c r="C1751" s="3">
        <v>1.1</v>
      </c>
      <c r="D1751" s="3">
        <v>0.5</v>
      </c>
      <c r="E1751" s="3">
        <v>0.5</v>
      </c>
      <c r="F1751" s="3">
        <v>1.0</v>
      </c>
      <c r="G1751" s="4">
        <f t="shared" si="1"/>
        <v>0.55</v>
      </c>
      <c r="H1751" s="4" t="str">
        <f t="shared" si="2"/>
        <v>Neto: 0,50 € (a partir de 1 uds.)</v>
      </c>
      <c r="I1751" s="4" t="str">
        <f t="shared" si="3"/>
        <v>Neto G.C.: 0,50 € (a partir de 1 uds.)</v>
      </c>
      <c r="J1751" s="4">
        <f t="shared" si="4"/>
        <v>0.528</v>
      </c>
      <c r="K1751" s="4">
        <f t="shared" si="5"/>
        <v>0.55</v>
      </c>
      <c r="L1751" s="4">
        <f t="shared" si="6"/>
        <v>0.528</v>
      </c>
    </row>
    <row r="1752">
      <c r="A1752" s="1" t="s">
        <v>2545</v>
      </c>
      <c r="B1752" s="1" t="s">
        <v>2546</v>
      </c>
      <c r="C1752" s="3">
        <v>8.8</v>
      </c>
      <c r="D1752" s="5"/>
      <c r="E1752" s="5"/>
      <c r="F1752" s="5"/>
      <c r="G1752" s="4">
        <f t="shared" si="1"/>
        <v>4.4</v>
      </c>
      <c r="H1752" s="4" t="str">
        <f t="shared" si="2"/>
        <v>Sin precio neto</v>
      </c>
      <c r="I1752" s="4" t="str">
        <f t="shared" si="3"/>
        <v>Sin precio neto G.C.</v>
      </c>
      <c r="J1752" s="4">
        <f t="shared" si="4"/>
        <v>4.224</v>
      </c>
      <c r="K1752" s="4">
        <f t="shared" si="5"/>
        <v>4.4</v>
      </c>
      <c r="L1752" s="4">
        <f t="shared" si="6"/>
        <v>4.224</v>
      </c>
    </row>
    <row r="1753">
      <c r="A1753" s="3">
        <v>8250.0</v>
      </c>
      <c r="B1753" s="1" t="s">
        <v>2547</v>
      </c>
      <c r="C1753" s="3">
        <v>1.1</v>
      </c>
      <c r="D1753" s="3">
        <v>0.5</v>
      </c>
      <c r="E1753" s="3">
        <v>0.5</v>
      </c>
      <c r="F1753" s="3">
        <v>1.0</v>
      </c>
      <c r="G1753" s="4">
        <f t="shared" si="1"/>
        <v>0.55</v>
      </c>
      <c r="H1753" s="4" t="str">
        <f t="shared" si="2"/>
        <v>Neto: 0,50 € (a partir de 1 uds.)</v>
      </c>
      <c r="I1753" s="4" t="str">
        <f t="shared" si="3"/>
        <v>Neto G.C.: 0,50 € (a partir de 1 uds.)</v>
      </c>
      <c r="J1753" s="4">
        <f t="shared" si="4"/>
        <v>0.528</v>
      </c>
      <c r="K1753" s="4">
        <f t="shared" si="5"/>
        <v>0.55</v>
      </c>
      <c r="L1753" s="4">
        <f t="shared" si="6"/>
        <v>0.528</v>
      </c>
    </row>
    <row r="1754">
      <c r="A1754" s="1" t="s">
        <v>2548</v>
      </c>
      <c r="B1754" s="1" t="s">
        <v>2549</v>
      </c>
      <c r="C1754" s="3">
        <v>8.8</v>
      </c>
      <c r="D1754" s="5"/>
      <c r="E1754" s="5"/>
      <c r="F1754" s="5"/>
      <c r="G1754" s="4">
        <f t="shared" si="1"/>
        <v>4.4</v>
      </c>
      <c r="H1754" s="4" t="str">
        <f t="shared" si="2"/>
        <v>Sin precio neto</v>
      </c>
      <c r="I1754" s="4" t="str">
        <f t="shared" si="3"/>
        <v>Sin precio neto G.C.</v>
      </c>
      <c r="J1754" s="4">
        <f t="shared" si="4"/>
        <v>4.224</v>
      </c>
      <c r="K1754" s="4">
        <f t="shared" si="5"/>
        <v>4.4</v>
      </c>
      <c r="L1754" s="4">
        <f t="shared" si="6"/>
        <v>4.224</v>
      </c>
    </row>
    <row r="1755">
      <c r="A1755" s="3">
        <v>8252.0</v>
      </c>
      <c r="B1755" s="1" t="s">
        <v>2550</v>
      </c>
      <c r="C1755" s="3">
        <v>1.1</v>
      </c>
      <c r="D1755" s="3">
        <v>0.5</v>
      </c>
      <c r="E1755" s="3">
        <v>0.5</v>
      </c>
      <c r="F1755" s="3">
        <v>1.0</v>
      </c>
      <c r="G1755" s="4">
        <f t="shared" si="1"/>
        <v>0.55</v>
      </c>
      <c r="H1755" s="4" t="str">
        <f t="shared" si="2"/>
        <v>Neto: 0,50 € (a partir de 1 uds.)</v>
      </c>
      <c r="I1755" s="4" t="str">
        <f t="shared" si="3"/>
        <v>Neto G.C.: 0,50 € (a partir de 1 uds.)</v>
      </c>
      <c r="J1755" s="4">
        <f t="shared" si="4"/>
        <v>0.528</v>
      </c>
      <c r="K1755" s="4">
        <f t="shared" si="5"/>
        <v>0.55</v>
      </c>
      <c r="L1755" s="4">
        <f t="shared" si="6"/>
        <v>0.528</v>
      </c>
    </row>
    <row r="1756">
      <c r="A1756" s="1" t="s">
        <v>2551</v>
      </c>
      <c r="B1756" s="1" t="s">
        <v>2552</v>
      </c>
      <c r="C1756" s="3">
        <v>8.8</v>
      </c>
      <c r="D1756" s="5"/>
      <c r="E1756" s="5"/>
      <c r="F1756" s="5"/>
      <c r="G1756" s="4">
        <f t="shared" si="1"/>
        <v>4.4</v>
      </c>
      <c r="H1756" s="4" t="str">
        <f t="shared" si="2"/>
        <v>Sin precio neto</v>
      </c>
      <c r="I1756" s="4" t="str">
        <f t="shared" si="3"/>
        <v>Sin precio neto G.C.</v>
      </c>
      <c r="J1756" s="4">
        <f t="shared" si="4"/>
        <v>4.224</v>
      </c>
      <c r="K1756" s="4">
        <f t="shared" si="5"/>
        <v>4.4</v>
      </c>
      <c r="L1756" s="4">
        <f t="shared" si="6"/>
        <v>4.224</v>
      </c>
    </row>
    <row r="1757">
      <c r="A1757" s="3">
        <v>8253.0</v>
      </c>
      <c r="B1757" s="1" t="s">
        <v>2553</v>
      </c>
      <c r="C1757" s="3">
        <v>1.1</v>
      </c>
      <c r="D1757" s="3">
        <v>0.5</v>
      </c>
      <c r="E1757" s="3">
        <v>0.5</v>
      </c>
      <c r="F1757" s="3">
        <v>1.0</v>
      </c>
      <c r="G1757" s="4">
        <f t="shared" si="1"/>
        <v>0.55</v>
      </c>
      <c r="H1757" s="4" t="str">
        <f t="shared" si="2"/>
        <v>Neto: 0,50 € (a partir de 1 uds.)</v>
      </c>
      <c r="I1757" s="4" t="str">
        <f t="shared" si="3"/>
        <v>Neto G.C.: 0,50 € (a partir de 1 uds.)</v>
      </c>
      <c r="J1757" s="4">
        <f t="shared" si="4"/>
        <v>0.528</v>
      </c>
      <c r="K1757" s="4">
        <f t="shared" si="5"/>
        <v>0.55</v>
      </c>
      <c r="L1757" s="4">
        <f t="shared" si="6"/>
        <v>0.528</v>
      </c>
    </row>
    <row r="1758">
      <c r="A1758" s="1" t="s">
        <v>2554</v>
      </c>
      <c r="B1758" s="1" t="s">
        <v>2555</v>
      </c>
      <c r="C1758" s="3">
        <v>8.8</v>
      </c>
      <c r="D1758" s="5"/>
      <c r="E1758" s="5"/>
      <c r="F1758" s="5"/>
      <c r="G1758" s="4">
        <f t="shared" si="1"/>
        <v>4.4</v>
      </c>
      <c r="H1758" s="4" t="str">
        <f t="shared" si="2"/>
        <v>Sin precio neto</v>
      </c>
      <c r="I1758" s="4" t="str">
        <f t="shared" si="3"/>
        <v>Sin precio neto G.C.</v>
      </c>
      <c r="J1758" s="4">
        <f t="shared" si="4"/>
        <v>4.224</v>
      </c>
      <c r="K1758" s="4">
        <f t="shared" si="5"/>
        <v>4.4</v>
      </c>
      <c r="L1758" s="4">
        <f t="shared" si="6"/>
        <v>4.224</v>
      </c>
    </row>
    <row r="1759">
      <c r="A1759" s="3">
        <v>8256.0</v>
      </c>
      <c r="B1759" s="1" t="s">
        <v>2556</v>
      </c>
      <c r="C1759" s="3">
        <v>1.1</v>
      </c>
      <c r="D1759" s="3">
        <v>0.5</v>
      </c>
      <c r="E1759" s="3">
        <v>0.5</v>
      </c>
      <c r="F1759" s="3">
        <v>1.0</v>
      </c>
      <c r="G1759" s="4">
        <f t="shared" si="1"/>
        <v>0.55</v>
      </c>
      <c r="H1759" s="4" t="str">
        <f t="shared" si="2"/>
        <v>Neto: 0,50 € (a partir de 1 uds.)</v>
      </c>
      <c r="I1759" s="4" t="str">
        <f t="shared" si="3"/>
        <v>Neto G.C.: 0,50 € (a partir de 1 uds.)</v>
      </c>
      <c r="J1759" s="4">
        <f t="shared" si="4"/>
        <v>0.528</v>
      </c>
      <c r="K1759" s="4">
        <f t="shared" si="5"/>
        <v>0.55</v>
      </c>
      <c r="L1759" s="4">
        <f t="shared" si="6"/>
        <v>0.528</v>
      </c>
    </row>
    <row r="1760">
      <c r="A1760" s="1" t="s">
        <v>2557</v>
      </c>
      <c r="B1760" s="1" t="s">
        <v>2558</v>
      </c>
      <c r="C1760" s="3">
        <v>8.8</v>
      </c>
      <c r="D1760" s="5"/>
      <c r="E1760" s="5"/>
      <c r="F1760" s="5"/>
      <c r="G1760" s="4">
        <f t="shared" si="1"/>
        <v>4.4</v>
      </c>
      <c r="H1760" s="4" t="str">
        <f t="shared" si="2"/>
        <v>Sin precio neto</v>
      </c>
      <c r="I1760" s="4" t="str">
        <f t="shared" si="3"/>
        <v>Sin precio neto G.C.</v>
      </c>
      <c r="J1760" s="4">
        <f t="shared" si="4"/>
        <v>4.224</v>
      </c>
      <c r="K1760" s="4">
        <f t="shared" si="5"/>
        <v>4.4</v>
      </c>
      <c r="L1760" s="4">
        <f t="shared" si="6"/>
        <v>4.224</v>
      </c>
    </row>
    <row r="1761">
      <c r="A1761" s="3">
        <v>8275.0</v>
      </c>
      <c r="B1761" s="1" t="s">
        <v>2559</v>
      </c>
      <c r="C1761" s="3">
        <v>1.1</v>
      </c>
      <c r="D1761" s="3">
        <v>0.5</v>
      </c>
      <c r="E1761" s="3">
        <v>0.5</v>
      </c>
      <c r="F1761" s="3">
        <v>1.0</v>
      </c>
      <c r="G1761" s="4">
        <f t="shared" si="1"/>
        <v>0.55</v>
      </c>
      <c r="H1761" s="4" t="str">
        <f t="shared" si="2"/>
        <v>Neto: 0,50 € (a partir de 1 uds.)</v>
      </c>
      <c r="I1761" s="4" t="str">
        <f t="shared" si="3"/>
        <v>Neto G.C.: 0,50 € (a partir de 1 uds.)</v>
      </c>
      <c r="J1761" s="4">
        <f t="shared" si="4"/>
        <v>0.528</v>
      </c>
      <c r="K1761" s="4">
        <f t="shared" si="5"/>
        <v>0.55</v>
      </c>
      <c r="L1761" s="4">
        <f t="shared" si="6"/>
        <v>0.528</v>
      </c>
    </row>
    <row r="1762">
      <c r="A1762" s="1" t="s">
        <v>2560</v>
      </c>
      <c r="B1762" s="1" t="s">
        <v>2561</v>
      </c>
      <c r="C1762" s="3">
        <v>8.8</v>
      </c>
      <c r="D1762" s="5"/>
      <c r="E1762" s="5"/>
      <c r="F1762" s="5"/>
      <c r="G1762" s="4">
        <f t="shared" si="1"/>
        <v>4.4</v>
      </c>
      <c r="H1762" s="4" t="str">
        <f t="shared" si="2"/>
        <v>Sin precio neto</v>
      </c>
      <c r="I1762" s="4" t="str">
        <f t="shared" si="3"/>
        <v>Sin precio neto G.C.</v>
      </c>
      <c r="J1762" s="4">
        <f t="shared" si="4"/>
        <v>4.224</v>
      </c>
      <c r="K1762" s="4">
        <f t="shared" si="5"/>
        <v>4.4</v>
      </c>
      <c r="L1762" s="4">
        <f t="shared" si="6"/>
        <v>4.224</v>
      </c>
    </row>
    <row r="1763">
      <c r="A1763" s="3">
        <v>8281.0</v>
      </c>
      <c r="B1763" s="1" t="s">
        <v>2562</v>
      </c>
      <c r="C1763" s="3">
        <v>1.1</v>
      </c>
      <c r="D1763" s="3">
        <v>0.5</v>
      </c>
      <c r="E1763" s="3">
        <v>0.5</v>
      </c>
      <c r="F1763" s="3">
        <v>1.0</v>
      </c>
      <c r="G1763" s="4">
        <f t="shared" si="1"/>
        <v>0.55</v>
      </c>
      <c r="H1763" s="4" t="str">
        <f t="shared" si="2"/>
        <v>Neto: 0,50 € (a partir de 1 uds.)</v>
      </c>
      <c r="I1763" s="4" t="str">
        <f t="shared" si="3"/>
        <v>Neto G.C.: 0,50 € (a partir de 1 uds.)</v>
      </c>
      <c r="J1763" s="4">
        <f t="shared" si="4"/>
        <v>0.528</v>
      </c>
      <c r="K1763" s="4">
        <f t="shared" si="5"/>
        <v>0.55</v>
      </c>
      <c r="L1763" s="4">
        <f t="shared" si="6"/>
        <v>0.528</v>
      </c>
    </row>
    <row r="1764">
      <c r="A1764" s="1" t="s">
        <v>2563</v>
      </c>
      <c r="B1764" s="1" t="s">
        <v>2564</v>
      </c>
      <c r="C1764" s="3">
        <v>8.8</v>
      </c>
      <c r="D1764" s="5"/>
      <c r="E1764" s="5"/>
      <c r="F1764" s="5"/>
      <c r="G1764" s="4">
        <f t="shared" si="1"/>
        <v>4.4</v>
      </c>
      <c r="H1764" s="4" t="str">
        <f t="shared" si="2"/>
        <v>Sin precio neto</v>
      </c>
      <c r="I1764" s="4" t="str">
        <f t="shared" si="3"/>
        <v>Sin precio neto G.C.</v>
      </c>
      <c r="J1764" s="4">
        <f t="shared" si="4"/>
        <v>4.224</v>
      </c>
      <c r="K1764" s="4">
        <f t="shared" si="5"/>
        <v>4.4</v>
      </c>
      <c r="L1764" s="4">
        <f t="shared" si="6"/>
        <v>4.224</v>
      </c>
    </row>
    <row r="1765">
      <c r="A1765" s="3">
        <v>8283.0</v>
      </c>
      <c r="B1765" s="1" t="s">
        <v>2565</v>
      </c>
      <c r="C1765" s="3">
        <v>1.1</v>
      </c>
      <c r="D1765" s="3">
        <v>0.5</v>
      </c>
      <c r="E1765" s="3">
        <v>0.5</v>
      </c>
      <c r="F1765" s="3">
        <v>1.0</v>
      </c>
      <c r="G1765" s="4">
        <f t="shared" si="1"/>
        <v>0.55</v>
      </c>
      <c r="H1765" s="4" t="str">
        <f t="shared" si="2"/>
        <v>Neto: 0,50 € (a partir de 1 uds.)</v>
      </c>
      <c r="I1765" s="4" t="str">
        <f t="shared" si="3"/>
        <v>Neto G.C.: 0,50 € (a partir de 1 uds.)</v>
      </c>
      <c r="J1765" s="4">
        <f t="shared" si="4"/>
        <v>0.528</v>
      </c>
      <c r="K1765" s="4">
        <f t="shared" si="5"/>
        <v>0.55</v>
      </c>
      <c r="L1765" s="4">
        <f t="shared" si="6"/>
        <v>0.528</v>
      </c>
    </row>
    <row r="1766">
      <c r="A1766" s="1" t="s">
        <v>2566</v>
      </c>
      <c r="B1766" s="1" t="s">
        <v>2567</v>
      </c>
      <c r="C1766" s="3">
        <v>8.8</v>
      </c>
      <c r="D1766" s="5"/>
      <c r="E1766" s="5"/>
      <c r="F1766" s="5"/>
      <c r="G1766" s="4">
        <f t="shared" si="1"/>
        <v>4.4</v>
      </c>
      <c r="H1766" s="4" t="str">
        <f t="shared" si="2"/>
        <v>Sin precio neto</v>
      </c>
      <c r="I1766" s="4" t="str">
        <f t="shared" si="3"/>
        <v>Sin precio neto G.C.</v>
      </c>
      <c r="J1766" s="4">
        <f t="shared" si="4"/>
        <v>4.224</v>
      </c>
      <c r="K1766" s="4">
        <f t="shared" si="5"/>
        <v>4.4</v>
      </c>
      <c r="L1766" s="4">
        <f t="shared" si="6"/>
        <v>4.224</v>
      </c>
    </row>
    <row r="1767">
      <c r="A1767" s="3">
        <v>8290.0</v>
      </c>
      <c r="B1767" s="1" t="s">
        <v>2568</v>
      </c>
      <c r="C1767" s="3">
        <v>1.1</v>
      </c>
      <c r="D1767" s="3">
        <v>0.5</v>
      </c>
      <c r="E1767" s="3">
        <v>0.5</v>
      </c>
      <c r="F1767" s="3">
        <v>1.0</v>
      </c>
      <c r="G1767" s="4">
        <f t="shared" si="1"/>
        <v>0.55</v>
      </c>
      <c r="H1767" s="4" t="str">
        <f t="shared" si="2"/>
        <v>Neto: 0,50 € (a partir de 1 uds.)</v>
      </c>
      <c r="I1767" s="4" t="str">
        <f t="shared" si="3"/>
        <v>Neto G.C.: 0,50 € (a partir de 1 uds.)</v>
      </c>
      <c r="J1767" s="4">
        <f t="shared" si="4"/>
        <v>0.528</v>
      </c>
      <c r="K1767" s="4">
        <f t="shared" si="5"/>
        <v>0.55</v>
      </c>
      <c r="L1767" s="4">
        <f t="shared" si="6"/>
        <v>0.528</v>
      </c>
    </row>
    <row r="1768">
      <c r="A1768" s="1" t="s">
        <v>2569</v>
      </c>
      <c r="B1768" s="1" t="s">
        <v>2570</v>
      </c>
      <c r="C1768" s="3">
        <v>8.8</v>
      </c>
      <c r="D1768" s="5"/>
      <c r="E1768" s="5"/>
      <c r="F1768" s="5"/>
      <c r="G1768" s="4">
        <f t="shared" si="1"/>
        <v>4.4</v>
      </c>
      <c r="H1768" s="4" t="str">
        <f t="shared" si="2"/>
        <v>Sin precio neto</v>
      </c>
      <c r="I1768" s="4" t="str">
        <f t="shared" si="3"/>
        <v>Sin precio neto G.C.</v>
      </c>
      <c r="J1768" s="4">
        <f t="shared" si="4"/>
        <v>4.224</v>
      </c>
      <c r="K1768" s="4">
        <f t="shared" si="5"/>
        <v>4.4</v>
      </c>
      <c r="L1768" s="4">
        <f t="shared" si="6"/>
        <v>4.224</v>
      </c>
    </row>
    <row r="1769">
      <c r="A1769" s="3">
        <v>8291.0</v>
      </c>
      <c r="B1769" s="1" t="s">
        <v>2571</v>
      </c>
      <c r="C1769" s="3">
        <v>1.1</v>
      </c>
      <c r="D1769" s="3">
        <v>0.5</v>
      </c>
      <c r="E1769" s="3">
        <v>0.5</v>
      </c>
      <c r="F1769" s="3">
        <v>1.0</v>
      </c>
      <c r="G1769" s="4">
        <f t="shared" si="1"/>
        <v>0.55</v>
      </c>
      <c r="H1769" s="4" t="str">
        <f t="shared" si="2"/>
        <v>Neto: 0,50 € (a partir de 1 uds.)</v>
      </c>
      <c r="I1769" s="4" t="str">
        <f t="shared" si="3"/>
        <v>Neto G.C.: 0,50 € (a partir de 1 uds.)</v>
      </c>
      <c r="J1769" s="4">
        <f t="shared" si="4"/>
        <v>0.528</v>
      </c>
      <c r="K1769" s="4">
        <f t="shared" si="5"/>
        <v>0.55</v>
      </c>
      <c r="L1769" s="4">
        <f t="shared" si="6"/>
        <v>0.528</v>
      </c>
    </row>
    <row r="1770">
      <c r="A1770" s="1" t="s">
        <v>2572</v>
      </c>
      <c r="B1770" s="1" t="s">
        <v>2573</v>
      </c>
      <c r="C1770" s="3">
        <v>8.8</v>
      </c>
      <c r="D1770" s="5"/>
      <c r="E1770" s="5"/>
      <c r="F1770" s="5"/>
      <c r="G1770" s="4">
        <f t="shared" si="1"/>
        <v>4.4</v>
      </c>
      <c r="H1770" s="4" t="str">
        <f t="shared" si="2"/>
        <v>Sin precio neto</v>
      </c>
      <c r="I1770" s="4" t="str">
        <f t="shared" si="3"/>
        <v>Sin precio neto G.C.</v>
      </c>
      <c r="J1770" s="4">
        <f t="shared" si="4"/>
        <v>4.224</v>
      </c>
      <c r="K1770" s="4">
        <f t="shared" si="5"/>
        <v>4.4</v>
      </c>
      <c r="L1770" s="4">
        <f t="shared" si="6"/>
        <v>4.224</v>
      </c>
    </row>
    <row r="1771">
      <c r="A1771" s="1" t="s">
        <v>2574</v>
      </c>
      <c r="B1771" s="1" t="s">
        <v>2575</v>
      </c>
      <c r="C1771" s="3">
        <v>286.28</v>
      </c>
      <c r="D1771" s="5"/>
      <c r="E1771" s="5"/>
      <c r="F1771" s="5"/>
      <c r="G1771" s="4">
        <f t="shared" si="1"/>
        <v>143.14</v>
      </c>
      <c r="H1771" s="4" t="str">
        <f t="shared" si="2"/>
        <v>Sin precio neto</v>
      </c>
      <c r="I1771" s="4" t="str">
        <f t="shared" si="3"/>
        <v>Sin precio neto G.C.</v>
      </c>
      <c r="J1771" s="4">
        <f t="shared" si="4"/>
        <v>137.4144</v>
      </c>
      <c r="K1771" s="4">
        <f t="shared" si="5"/>
        <v>143.14</v>
      </c>
      <c r="L1771" s="4">
        <f t="shared" si="6"/>
        <v>137.4144</v>
      </c>
    </row>
    <row r="1772">
      <c r="A1772" s="1" t="s">
        <v>2576</v>
      </c>
      <c r="B1772" s="1" t="s">
        <v>2577</v>
      </c>
      <c r="C1772" s="3">
        <v>401.2</v>
      </c>
      <c r="D1772" s="5"/>
      <c r="E1772" s="5"/>
      <c r="F1772" s="5"/>
      <c r="G1772" s="4">
        <f t="shared" si="1"/>
        <v>200.6</v>
      </c>
      <c r="H1772" s="4" t="str">
        <f t="shared" si="2"/>
        <v>Sin precio neto</v>
      </c>
      <c r="I1772" s="4" t="str">
        <f t="shared" si="3"/>
        <v>Sin precio neto G.C.</v>
      </c>
      <c r="J1772" s="4">
        <f t="shared" si="4"/>
        <v>192.576</v>
      </c>
      <c r="K1772" s="4">
        <f t="shared" si="5"/>
        <v>200.6</v>
      </c>
      <c r="L1772" s="4">
        <f t="shared" si="6"/>
        <v>192.576</v>
      </c>
    </row>
    <row r="1773">
      <c r="A1773" s="1" t="s">
        <v>2578</v>
      </c>
      <c r="B1773" s="1" t="s">
        <v>2579</v>
      </c>
      <c r="C1773" s="3">
        <v>610.98</v>
      </c>
      <c r="D1773" s="5"/>
      <c r="E1773" s="5"/>
      <c r="F1773" s="5"/>
      <c r="G1773" s="4">
        <f t="shared" si="1"/>
        <v>305.49</v>
      </c>
      <c r="H1773" s="4" t="str">
        <f t="shared" si="2"/>
        <v>Sin precio neto</v>
      </c>
      <c r="I1773" s="4" t="str">
        <f t="shared" si="3"/>
        <v>Sin precio neto G.C.</v>
      </c>
      <c r="J1773" s="4">
        <f t="shared" si="4"/>
        <v>293.2704</v>
      </c>
      <c r="K1773" s="4">
        <f t="shared" si="5"/>
        <v>305.49</v>
      </c>
      <c r="L1773" s="4">
        <f t="shared" si="6"/>
        <v>293.2704</v>
      </c>
    </row>
    <row r="1774">
      <c r="A1774" s="1" t="s">
        <v>2580</v>
      </c>
      <c r="B1774" s="1" t="s">
        <v>2581</v>
      </c>
      <c r="C1774" s="3">
        <v>62.0</v>
      </c>
      <c r="D1774" s="5"/>
      <c r="E1774" s="5"/>
      <c r="F1774" s="5"/>
      <c r="G1774" s="4">
        <f t="shared" si="1"/>
        <v>31</v>
      </c>
      <c r="H1774" s="4" t="str">
        <f t="shared" si="2"/>
        <v>Sin precio neto</v>
      </c>
      <c r="I1774" s="4" t="str">
        <f t="shared" si="3"/>
        <v>Sin precio neto G.C.</v>
      </c>
      <c r="J1774" s="4">
        <f t="shared" si="4"/>
        <v>29.76</v>
      </c>
      <c r="K1774" s="4">
        <f t="shared" si="5"/>
        <v>31</v>
      </c>
      <c r="L1774" s="4">
        <f t="shared" si="6"/>
        <v>29.76</v>
      </c>
    </row>
    <row r="1775">
      <c r="A1775" s="1" t="s">
        <v>2582</v>
      </c>
      <c r="B1775" s="1" t="s">
        <v>2583</v>
      </c>
      <c r="C1775" s="3">
        <v>72.0</v>
      </c>
      <c r="D1775" s="5"/>
      <c r="E1775" s="5"/>
      <c r="F1775" s="5"/>
      <c r="G1775" s="4">
        <f t="shared" si="1"/>
        <v>36</v>
      </c>
      <c r="H1775" s="4" t="str">
        <f t="shared" si="2"/>
        <v>Sin precio neto</v>
      </c>
      <c r="I1775" s="4" t="str">
        <f t="shared" si="3"/>
        <v>Sin precio neto G.C.</v>
      </c>
      <c r="J1775" s="4">
        <f t="shared" si="4"/>
        <v>34.56</v>
      </c>
      <c r="K1775" s="4">
        <f t="shared" si="5"/>
        <v>36</v>
      </c>
      <c r="L1775" s="4">
        <f t="shared" si="6"/>
        <v>34.56</v>
      </c>
    </row>
    <row r="1776">
      <c r="A1776" s="1" t="s">
        <v>2584</v>
      </c>
      <c r="B1776" s="1" t="s">
        <v>2585</v>
      </c>
      <c r="C1776" s="3">
        <v>108.0</v>
      </c>
      <c r="D1776" s="5"/>
      <c r="E1776" s="5"/>
      <c r="F1776" s="5"/>
      <c r="G1776" s="4">
        <f t="shared" si="1"/>
        <v>54</v>
      </c>
      <c r="H1776" s="4" t="str">
        <f t="shared" si="2"/>
        <v>Sin precio neto</v>
      </c>
      <c r="I1776" s="4" t="str">
        <f t="shared" si="3"/>
        <v>Sin precio neto G.C.</v>
      </c>
      <c r="J1776" s="4">
        <f t="shared" si="4"/>
        <v>51.84</v>
      </c>
      <c r="K1776" s="4">
        <f t="shared" si="5"/>
        <v>54</v>
      </c>
      <c r="L1776" s="4">
        <f t="shared" si="6"/>
        <v>51.84</v>
      </c>
    </row>
    <row r="1777">
      <c r="A1777" s="1" t="s">
        <v>2586</v>
      </c>
      <c r="B1777" s="1" t="s">
        <v>2587</v>
      </c>
      <c r="C1777" s="3">
        <v>54.0</v>
      </c>
      <c r="D1777" s="5"/>
      <c r="E1777" s="5"/>
      <c r="F1777" s="5"/>
      <c r="G1777" s="4">
        <f t="shared" si="1"/>
        <v>27</v>
      </c>
      <c r="H1777" s="4" t="str">
        <f t="shared" si="2"/>
        <v>Sin precio neto</v>
      </c>
      <c r="I1777" s="4" t="str">
        <f t="shared" si="3"/>
        <v>Sin precio neto G.C.</v>
      </c>
      <c r="J1777" s="4">
        <f t="shared" si="4"/>
        <v>25.92</v>
      </c>
      <c r="K1777" s="4">
        <f t="shared" si="5"/>
        <v>27</v>
      </c>
      <c r="L1777" s="4">
        <f t="shared" si="6"/>
        <v>25.92</v>
      </c>
    </row>
    <row r="1778">
      <c r="A1778" s="1" t="s">
        <v>2588</v>
      </c>
      <c r="B1778" s="1" t="s">
        <v>2589</v>
      </c>
      <c r="C1778" s="3">
        <v>88.5</v>
      </c>
      <c r="D1778" s="5"/>
      <c r="E1778" s="5"/>
      <c r="F1778" s="5"/>
      <c r="G1778" s="4">
        <f t="shared" si="1"/>
        <v>44.25</v>
      </c>
      <c r="H1778" s="4" t="str">
        <f t="shared" si="2"/>
        <v>Sin precio neto</v>
      </c>
      <c r="I1778" s="4" t="str">
        <f t="shared" si="3"/>
        <v>Sin precio neto G.C.</v>
      </c>
      <c r="J1778" s="4">
        <f t="shared" si="4"/>
        <v>42.48</v>
      </c>
      <c r="K1778" s="4">
        <f t="shared" si="5"/>
        <v>44.25</v>
      </c>
      <c r="L1778" s="4">
        <f t="shared" si="6"/>
        <v>42.48</v>
      </c>
    </row>
    <row r="1779">
      <c r="A1779" s="1" t="s">
        <v>2590</v>
      </c>
      <c r="B1779" s="1" t="s">
        <v>2591</v>
      </c>
      <c r="C1779" s="3">
        <v>145.5</v>
      </c>
      <c r="D1779" s="5"/>
      <c r="E1779" s="5"/>
      <c r="F1779" s="5"/>
      <c r="G1779" s="4">
        <f t="shared" si="1"/>
        <v>72.75</v>
      </c>
      <c r="H1779" s="4" t="str">
        <f t="shared" si="2"/>
        <v>Sin precio neto</v>
      </c>
      <c r="I1779" s="4" t="str">
        <f t="shared" si="3"/>
        <v>Sin precio neto G.C.</v>
      </c>
      <c r="J1779" s="4">
        <f t="shared" si="4"/>
        <v>69.84</v>
      </c>
      <c r="K1779" s="4">
        <f t="shared" si="5"/>
        <v>72.75</v>
      </c>
      <c r="L1779" s="4">
        <f t="shared" si="6"/>
        <v>69.84</v>
      </c>
    </row>
    <row r="1780">
      <c r="A1780" s="3">
        <v>8374.0</v>
      </c>
      <c r="B1780" s="1" t="s">
        <v>2592</v>
      </c>
      <c r="C1780" s="3">
        <v>1.1</v>
      </c>
      <c r="D1780" s="3">
        <v>0.5</v>
      </c>
      <c r="E1780" s="3">
        <v>0.5</v>
      </c>
      <c r="F1780" s="3">
        <v>1.0</v>
      </c>
      <c r="G1780" s="4">
        <f t="shared" si="1"/>
        <v>0.55</v>
      </c>
      <c r="H1780" s="4" t="str">
        <f t="shared" si="2"/>
        <v>Neto: 0,50 € (a partir de 1 uds.)</v>
      </c>
      <c r="I1780" s="4" t="str">
        <f t="shared" si="3"/>
        <v>Neto G.C.: 0,50 € (a partir de 1 uds.)</v>
      </c>
      <c r="J1780" s="4">
        <f t="shared" si="4"/>
        <v>0.528</v>
      </c>
      <c r="K1780" s="4">
        <f t="shared" si="5"/>
        <v>0.55</v>
      </c>
      <c r="L1780" s="4">
        <f t="shared" si="6"/>
        <v>0.528</v>
      </c>
    </row>
    <row r="1781">
      <c r="A1781" s="3">
        <v>8375.0</v>
      </c>
      <c r="B1781" s="1" t="s">
        <v>2593</v>
      </c>
      <c r="C1781" s="3">
        <v>1.1</v>
      </c>
      <c r="D1781" s="3">
        <v>0.5</v>
      </c>
      <c r="E1781" s="3">
        <v>0.5</v>
      </c>
      <c r="F1781" s="3">
        <v>1.0</v>
      </c>
      <c r="G1781" s="4">
        <f t="shared" si="1"/>
        <v>0.55</v>
      </c>
      <c r="H1781" s="4" t="str">
        <f t="shared" si="2"/>
        <v>Neto: 0,50 € (a partir de 1 uds.)</v>
      </c>
      <c r="I1781" s="4" t="str">
        <f t="shared" si="3"/>
        <v>Neto G.C.: 0,50 € (a partir de 1 uds.)</v>
      </c>
      <c r="J1781" s="4">
        <f t="shared" si="4"/>
        <v>0.528</v>
      </c>
      <c r="K1781" s="4">
        <f t="shared" si="5"/>
        <v>0.55</v>
      </c>
      <c r="L1781" s="4">
        <f t="shared" si="6"/>
        <v>0.528</v>
      </c>
    </row>
    <row r="1782">
      <c r="A1782" s="3">
        <v>8381.0</v>
      </c>
      <c r="B1782" s="1" t="s">
        <v>2594</v>
      </c>
      <c r="C1782" s="3">
        <v>1.1</v>
      </c>
      <c r="D1782" s="3">
        <v>0.5</v>
      </c>
      <c r="E1782" s="3">
        <v>0.5</v>
      </c>
      <c r="F1782" s="3">
        <v>1.0</v>
      </c>
      <c r="G1782" s="4">
        <f t="shared" si="1"/>
        <v>0.55</v>
      </c>
      <c r="H1782" s="4" t="str">
        <f t="shared" si="2"/>
        <v>Neto: 0,50 € (a partir de 1 uds.)</v>
      </c>
      <c r="I1782" s="4" t="str">
        <f t="shared" si="3"/>
        <v>Neto G.C.: 0,50 € (a partir de 1 uds.)</v>
      </c>
      <c r="J1782" s="4">
        <f t="shared" si="4"/>
        <v>0.528</v>
      </c>
      <c r="K1782" s="4">
        <f t="shared" si="5"/>
        <v>0.55</v>
      </c>
      <c r="L1782" s="4">
        <f t="shared" si="6"/>
        <v>0.528</v>
      </c>
    </row>
    <row r="1783">
      <c r="A1783" s="3">
        <v>8382.0</v>
      </c>
      <c r="B1783" s="1" t="s">
        <v>2595</v>
      </c>
      <c r="C1783" s="3">
        <v>1.1</v>
      </c>
      <c r="D1783" s="3">
        <v>0.5</v>
      </c>
      <c r="E1783" s="3">
        <v>0.5</v>
      </c>
      <c r="F1783" s="3">
        <v>1.0</v>
      </c>
      <c r="G1783" s="4">
        <f t="shared" si="1"/>
        <v>0.55</v>
      </c>
      <c r="H1783" s="4" t="str">
        <f t="shared" si="2"/>
        <v>Neto: 0,50 € (a partir de 1 uds.)</v>
      </c>
      <c r="I1783" s="4" t="str">
        <f t="shared" si="3"/>
        <v>Neto G.C.: 0,50 € (a partir de 1 uds.)</v>
      </c>
      <c r="J1783" s="4">
        <f t="shared" si="4"/>
        <v>0.528</v>
      </c>
      <c r="K1783" s="4">
        <f t="shared" si="5"/>
        <v>0.55</v>
      </c>
      <c r="L1783" s="4">
        <f t="shared" si="6"/>
        <v>0.528</v>
      </c>
    </row>
    <row r="1784">
      <c r="A1784" s="3">
        <v>8384.0</v>
      </c>
      <c r="B1784" s="1" t="s">
        <v>2596</v>
      </c>
      <c r="C1784" s="3">
        <v>1.1</v>
      </c>
      <c r="D1784" s="3">
        <v>0.5</v>
      </c>
      <c r="E1784" s="3">
        <v>0.5</v>
      </c>
      <c r="F1784" s="3">
        <v>1.0</v>
      </c>
      <c r="G1784" s="4">
        <f t="shared" si="1"/>
        <v>0.55</v>
      </c>
      <c r="H1784" s="4" t="str">
        <f t="shared" si="2"/>
        <v>Neto: 0,50 € (a partir de 1 uds.)</v>
      </c>
      <c r="I1784" s="4" t="str">
        <f t="shared" si="3"/>
        <v>Neto G.C.: 0,50 € (a partir de 1 uds.)</v>
      </c>
      <c r="J1784" s="4">
        <f t="shared" si="4"/>
        <v>0.528</v>
      </c>
      <c r="K1784" s="4">
        <f t="shared" si="5"/>
        <v>0.55</v>
      </c>
      <c r="L1784" s="4">
        <f t="shared" si="6"/>
        <v>0.528</v>
      </c>
    </row>
    <row r="1785">
      <c r="A1785" s="3">
        <v>8385.0</v>
      </c>
      <c r="B1785" s="1" t="s">
        <v>2597</v>
      </c>
      <c r="C1785" s="3">
        <v>1.1</v>
      </c>
      <c r="D1785" s="3">
        <v>0.5</v>
      </c>
      <c r="E1785" s="3">
        <v>0.5</v>
      </c>
      <c r="F1785" s="3">
        <v>1.0</v>
      </c>
      <c r="G1785" s="4">
        <f t="shared" si="1"/>
        <v>0.55</v>
      </c>
      <c r="H1785" s="4" t="str">
        <f t="shared" si="2"/>
        <v>Neto: 0,50 € (a partir de 1 uds.)</v>
      </c>
      <c r="I1785" s="4" t="str">
        <f t="shared" si="3"/>
        <v>Neto G.C.: 0,50 € (a partir de 1 uds.)</v>
      </c>
      <c r="J1785" s="4">
        <f t="shared" si="4"/>
        <v>0.528</v>
      </c>
      <c r="K1785" s="4">
        <f t="shared" si="5"/>
        <v>0.55</v>
      </c>
      <c r="L1785" s="4">
        <f t="shared" si="6"/>
        <v>0.528</v>
      </c>
    </row>
    <row r="1786">
      <c r="A1786" s="1" t="s">
        <v>2598</v>
      </c>
      <c r="B1786" s="1" t="s">
        <v>2599</v>
      </c>
      <c r="C1786" s="3">
        <v>8.8</v>
      </c>
      <c r="D1786" s="5"/>
      <c r="E1786" s="5"/>
      <c r="F1786" s="5"/>
      <c r="G1786" s="4">
        <f t="shared" si="1"/>
        <v>4.4</v>
      </c>
      <c r="H1786" s="4" t="str">
        <f t="shared" si="2"/>
        <v>Sin precio neto</v>
      </c>
      <c r="I1786" s="4" t="str">
        <f t="shared" si="3"/>
        <v>Sin precio neto G.C.</v>
      </c>
      <c r="J1786" s="4">
        <f t="shared" si="4"/>
        <v>4.224</v>
      </c>
      <c r="K1786" s="4">
        <f t="shared" si="5"/>
        <v>4.4</v>
      </c>
      <c r="L1786" s="4">
        <f t="shared" si="6"/>
        <v>4.224</v>
      </c>
    </row>
    <row r="1787">
      <c r="A1787" s="1" t="s">
        <v>2600</v>
      </c>
      <c r="B1787" s="1" t="s">
        <v>2601</v>
      </c>
      <c r="C1787" s="3">
        <v>190.0</v>
      </c>
      <c r="D1787" s="3">
        <v>62.0</v>
      </c>
      <c r="E1787" s="3">
        <v>62.0</v>
      </c>
      <c r="F1787" s="3">
        <v>1.0</v>
      </c>
      <c r="G1787" s="4">
        <f t="shared" si="1"/>
        <v>95</v>
      </c>
      <c r="H1787" s="4" t="str">
        <f t="shared" si="2"/>
        <v>Neto: 62,00 € (a partir de 1 uds.)</v>
      </c>
      <c r="I1787" s="4" t="str">
        <f t="shared" si="3"/>
        <v>Neto G.C.: 62,00 € (a partir de 1 uds.)</v>
      </c>
      <c r="J1787" s="4">
        <f t="shared" si="4"/>
        <v>91.2</v>
      </c>
      <c r="K1787" s="4">
        <f t="shared" si="5"/>
        <v>95</v>
      </c>
      <c r="L1787" s="4">
        <f t="shared" si="6"/>
        <v>91.2</v>
      </c>
    </row>
    <row r="1788">
      <c r="A1788" s="1" t="s">
        <v>2602</v>
      </c>
      <c r="B1788" s="1" t="s">
        <v>2603</v>
      </c>
      <c r="C1788" s="3">
        <v>260.7</v>
      </c>
      <c r="D1788" s="5"/>
      <c r="E1788" s="5"/>
      <c r="F1788" s="5"/>
      <c r="G1788" s="4">
        <f t="shared" si="1"/>
        <v>130.35</v>
      </c>
      <c r="H1788" s="4" t="str">
        <f t="shared" si="2"/>
        <v>Sin precio neto</v>
      </c>
      <c r="I1788" s="4" t="str">
        <f t="shared" si="3"/>
        <v>Sin precio neto G.C.</v>
      </c>
      <c r="J1788" s="4">
        <f t="shared" si="4"/>
        <v>125.136</v>
      </c>
      <c r="K1788" s="4">
        <f t="shared" si="5"/>
        <v>130.35</v>
      </c>
      <c r="L1788" s="4">
        <f t="shared" si="6"/>
        <v>125.136</v>
      </c>
    </row>
    <row r="1789">
      <c r="A1789" s="1" t="s">
        <v>2604</v>
      </c>
      <c r="B1789" s="1" t="s">
        <v>2605</v>
      </c>
      <c r="C1789" s="3">
        <v>314.34</v>
      </c>
      <c r="D1789" s="5"/>
      <c r="E1789" s="5"/>
      <c r="F1789" s="5"/>
      <c r="G1789" s="4">
        <f t="shared" si="1"/>
        <v>157.17</v>
      </c>
      <c r="H1789" s="4" t="str">
        <f t="shared" si="2"/>
        <v>Sin precio neto</v>
      </c>
      <c r="I1789" s="4" t="str">
        <f t="shared" si="3"/>
        <v>Sin precio neto G.C.</v>
      </c>
      <c r="J1789" s="4">
        <f t="shared" si="4"/>
        <v>150.8832</v>
      </c>
      <c r="K1789" s="4">
        <f t="shared" si="5"/>
        <v>157.17</v>
      </c>
      <c r="L1789" s="4">
        <f t="shared" si="6"/>
        <v>150.8832</v>
      </c>
    </row>
    <row r="1790">
      <c r="A1790" s="3">
        <v>8399.0</v>
      </c>
      <c r="B1790" s="1" t="s">
        <v>2606</v>
      </c>
      <c r="C1790" s="3">
        <v>12.0</v>
      </c>
      <c r="D1790" s="5"/>
      <c r="E1790" s="5"/>
      <c r="F1790" s="5"/>
      <c r="G1790" s="4">
        <f t="shared" si="1"/>
        <v>6</v>
      </c>
      <c r="H1790" s="4" t="str">
        <f t="shared" si="2"/>
        <v>Sin precio neto</v>
      </c>
      <c r="I1790" s="4" t="str">
        <f t="shared" si="3"/>
        <v>Sin precio neto G.C.</v>
      </c>
      <c r="J1790" s="4">
        <f t="shared" si="4"/>
        <v>5.76</v>
      </c>
      <c r="K1790" s="4">
        <f t="shared" si="5"/>
        <v>6</v>
      </c>
      <c r="L1790" s="4">
        <f t="shared" si="6"/>
        <v>5.76</v>
      </c>
    </row>
    <row r="1791">
      <c r="A1791" s="1" t="s">
        <v>2607</v>
      </c>
      <c r="B1791" s="1" t="s">
        <v>2608</v>
      </c>
      <c r="C1791" s="3">
        <v>73.0</v>
      </c>
      <c r="D1791" s="5"/>
      <c r="E1791" s="5"/>
      <c r="F1791" s="5"/>
      <c r="G1791" s="4">
        <f t="shared" si="1"/>
        <v>36.5</v>
      </c>
      <c r="H1791" s="4" t="str">
        <f t="shared" si="2"/>
        <v>Sin precio neto</v>
      </c>
      <c r="I1791" s="4" t="str">
        <f t="shared" si="3"/>
        <v>Sin precio neto G.C.</v>
      </c>
      <c r="J1791" s="4">
        <f t="shared" si="4"/>
        <v>35.04</v>
      </c>
      <c r="K1791" s="4">
        <f t="shared" si="5"/>
        <v>36.5</v>
      </c>
      <c r="L1791" s="4">
        <f t="shared" si="6"/>
        <v>35.04</v>
      </c>
    </row>
    <row r="1792">
      <c r="A1792" s="1" t="s">
        <v>2609</v>
      </c>
      <c r="B1792" s="1" t="s">
        <v>2610</v>
      </c>
      <c r="C1792" s="3">
        <v>84.0</v>
      </c>
      <c r="D1792" s="5"/>
      <c r="E1792" s="5"/>
      <c r="F1792" s="5"/>
      <c r="G1792" s="4">
        <f t="shared" si="1"/>
        <v>42</v>
      </c>
      <c r="H1792" s="4" t="str">
        <f t="shared" si="2"/>
        <v>Sin precio neto</v>
      </c>
      <c r="I1792" s="4" t="str">
        <f t="shared" si="3"/>
        <v>Sin precio neto G.C.</v>
      </c>
      <c r="J1792" s="4">
        <f t="shared" si="4"/>
        <v>40.32</v>
      </c>
      <c r="K1792" s="4">
        <f t="shared" si="5"/>
        <v>42</v>
      </c>
      <c r="L1792" s="4">
        <f t="shared" si="6"/>
        <v>40.32</v>
      </c>
    </row>
    <row r="1793">
      <c r="A1793" s="1" t="s">
        <v>2611</v>
      </c>
      <c r="B1793" s="1" t="s">
        <v>2612</v>
      </c>
      <c r="C1793" s="3">
        <v>125.0</v>
      </c>
      <c r="D1793" s="5"/>
      <c r="E1793" s="5"/>
      <c r="F1793" s="5"/>
      <c r="G1793" s="4">
        <f t="shared" si="1"/>
        <v>62.5</v>
      </c>
      <c r="H1793" s="4" t="str">
        <f t="shared" si="2"/>
        <v>Sin precio neto</v>
      </c>
      <c r="I1793" s="4" t="str">
        <f t="shared" si="3"/>
        <v>Sin precio neto G.C.</v>
      </c>
      <c r="J1793" s="4">
        <f t="shared" si="4"/>
        <v>60</v>
      </c>
      <c r="K1793" s="4">
        <f t="shared" si="5"/>
        <v>62.5</v>
      </c>
      <c r="L1793" s="4">
        <f t="shared" si="6"/>
        <v>60</v>
      </c>
    </row>
    <row r="1794">
      <c r="A1794" s="1" t="s">
        <v>2613</v>
      </c>
      <c r="B1794" s="1" t="s">
        <v>2614</v>
      </c>
      <c r="C1794" s="3">
        <v>220.5</v>
      </c>
      <c r="D1794" s="5"/>
      <c r="E1794" s="5"/>
      <c r="F1794" s="5"/>
      <c r="G1794" s="4">
        <f t="shared" si="1"/>
        <v>110.25</v>
      </c>
      <c r="H1794" s="4" t="str">
        <f t="shared" si="2"/>
        <v>Sin precio neto</v>
      </c>
      <c r="I1794" s="4" t="str">
        <f t="shared" si="3"/>
        <v>Sin precio neto G.C.</v>
      </c>
      <c r="J1794" s="4">
        <f t="shared" si="4"/>
        <v>105.84</v>
      </c>
      <c r="K1794" s="4">
        <f t="shared" si="5"/>
        <v>110.25</v>
      </c>
      <c r="L1794" s="4">
        <f t="shared" si="6"/>
        <v>105.84</v>
      </c>
    </row>
    <row r="1795">
      <c r="A1795" s="1" t="s">
        <v>2615</v>
      </c>
      <c r="B1795" s="1" t="s">
        <v>2616</v>
      </c>
      <c r="C1795" s="3">
        <v>224.0</v>
      </c>
      <c r="D1795" s="5"/>
      <c r="E1795" s="5"/>
      <c r="F1795" s="5"/>
      <c r="G1795" s="4">
        <f t="shared" si="1"/>
        <v>112</v>
      </c>
      <c r="H1795" s="4" t="str">
        <f t="shared" si="2"/>
        <v>Sin precio neto</v>
      </c>
      <c r="I1795" s="4" t="str">
        <f t="shared" si="3"/>
        <v>Sin precio neto G.C.</v>
      </c>
      <c r="J1795" s="4">
        <f t="shared" si="4"/>
        <v>107.52</v>
      </c>
      <c r="K1795" s="4">
        <f t="shared" si="5"/>
        <v>112</v>
      </c>
      <c r="L1795" s="4">
        <f t="shared" si="6"/>
        <v>107.52</v>
      </c>
    </row>
    <row r="1796">
      <c r="A1796" s="1" t="s">
        <v>2617</v>
      </c>
      <c r="B1796" s="1" t="s">
        <v>2618</v>
      </c>
      <c r="C1796" s="3">
        <v>328.0</v>
      </c>
      <c r="D1796" s="5"/>
      <c r="E1796" s="5"/>
      <c r="F1796" s="5"/>
      <c r="G1796" s="4">
        <f t="shared" si="1"/>
        <v>164</v>
      </c>
      <c r="H1796" s="4" t="str">
        <f t="shared" si="2"/>
        <v>Sin precio neto</v>
      </c>
      <c r="I1796" s="4" t="str">
        <f t="shared" si="3"/>
        <v>Sin precio neto G.C.</v>
      </c>
      <c r="J1796" s="4">
        <f t="shared" si="4"/>
        <v>157.44</v>
      </c>
      <c r="K1796" s="4">
        <f t="shared" si="5"/>
        <v>164</v>
      </c>
      <c r="L1796" s="4">
        <f t="shared" si="6"/>
        <v>157.44</v>
      </c>
    </row>
    <row r="1797">
      <c r="A1797" s="1" t="s">
        <v>2619</v>
      </c>
      <c r="B1797" s="1" t="s">
        <v>2620</v>
      </c>
      <c r="C1797" s="3">
        <v>88.0</v>
      </c>
      <c r="D1797" s="5"/>
      <c r="E1797" s="5"/>
      <c r="F1797" s="5"/>
      <c r="G1797" s="4">
        <f t="shared" si="1"/>
        <v>44</v>
      </c>
      <c r="H1797" s="4" t="str">
        <f t="shared" si="2"/>
        <v>Sin precio neto</v>
      </c>
      <c r="I1797" s="4" t="str">
        <f t="shared" si="3"/>
        <v>Sin precio neto G.C.</v>
      </c>
      <c r="J1797" s="4">
        <f t="shared" si="4"/>
        <v>42.24</v>
      </c>
      <c r="K1797" s="4">
        <f t="shared" si="5"/>
        <v>44</v>
      </c>
      <c r="L1797" s="4">
        <f t="shared" si="6"/>
        <v>42.24</v>
      </c>
    </row>
    <row r="1798">
      <c r="A1798" s="1" t="s">
        <v>2621</v>
      </c>
      <c r="B1798" s="1" t="s">
        <v>2622</v>
      </c>
      <c r="C1798" s="3">
        <v>176.1</v>
      </c>
      <c r="D1798" s="5"/>
      <c r="E1798" s="5"/>
      <c r="F1798" s="5"/>
      <c r="G1798" s="4">
        <f t="shared" si="1"/>
        <v>88.05</v>
      </c>
      <c r="H1798" s="4" t="str">
        <f t="shared" si="2"/>
        <v>Sin precio neto</v>
      </c>
      <c r="I1798" s="4" t="str">
        <f t="shared" si="3"/>
        <v>Sin precio neto G.C.</v>
      </c>
      <c r="J1798" s="4">
        <f t="shared" si="4"/>
        <v>84.528</v>
      </c>
      <c r="K1798" s="4">
        <f t="shared" si="5"/>
        <v>88.05</v>
      </c>
      <c r="L1798" s="4">
        <f t="shared" si="6"/>
        <v>84.528</v>
      </c>
    </row>
    <row r="1799">
      <c r="A1799" s="1" t="s">
        <v>2623</v>
      </c>
      <c r="B1799" s="1" t="s">
        <v>2624</v>
      </c>
      <c r="C1799" s="3">
        <v>231.28</v>
      </c>
      <c r="D1799" s="5"/>
      <c r="E1799" s="5"/>
      <c r="F1799" s="5"/>
      <c r="G1799" s="4">
        <f t="shared" si="1"/>
        <v>115.64</v>
      </c>
      <c r="H1799" s="4" t="str">
        <f t="shared" si="2"/>
        <v>Sin precio neto</v>
      </c>
      <c r="I1799" s="4" t="str">
        <f t="shared" si="3"/>
        <v>Sin precio neto G.C.</v>
      </c>
      <c r="J1799" s="4">
        <f t="shared" si="4"/>
        <v>111.0144</v>
      </c>
      <c r="K1799" s="4">
        <f t="shared" si="5"/>
        <v>115.64</v>
      </c>
      <c r="L1799" s="4">
        <f t="shared" si="6"/>
        <v>111.0144</v>
      </c>
    </row>
    <row r="1800">
      <c r="A1800" s="1" t="s">
        <v>2625</v>
      </c>
      <c r="B1800" s="1" t="s">
        <v>2626</v>
      </c>
      <c r="C1800" s="3">
        <v>231.2</v>
      </c>
      <c r="D1800" s="5"/>
      <c r="E1800" s="5"/>
      <c r="F1800" s="5"/>
      <c r="G1800" s="4">
        <f t="shared" si="1"/>
        <v>115.6</v>
      </c>
      <c r="H1800" s="4" t="str">
        <f t="shared" si="2"/>
        <v>Sin precio neto</v>
      </c>
      <c r="I1800" s="4" t="str">
        <f t="shared" si="3"/>
        <v>Sin precio neto G.C.</v>
      </c>
      <c r="J1800" s="4">
        <f t="shared" si="4"/>
        <v>110.976</v>
      </c>
      <c r="K1800" s="4">
        <f t="shared" si="5"/>
        <v>115.6</v>
      </c>
      <c r="L1800" s="4">
        <f t="shared" si="6"/>
        <v>110.976</v>
      </c>
    </row>
    <row r="1801">
      <c r="A1801" s="1" t="s">
        <v>2627</v>
      </c>
      <c r="B1801" s="1" t="s">
        <v>2628</v>
      </c>
      <c r="C1801" s="3">
        <v>381.56</v>
      </c>
      <c r="D1801" s="5"/>
      <c r="E1801" s="5"/>
      <c r="F1801" s="5"/>
      <c r="G1801" s="4">
        <f t="shared" si="1"/>
        <v>190.78</v>
      </c>
      <c r="H1801" s="4" t="str">
        <f t="shared" si="2"/>
        <v>Sin precio neto</v>
      </c>
      <c r="I1801" s="4" t="str">
        <f t="shared" si="3"/>
        <v>Sin precio neto G.C.</v>
      </c>
      <c r="J1801" s="4">
        <f t="shared" si="4"/>
        <v>183.1488</v>
      </c>
      <c r="K1801" s="4">
        <f t="shared" si="5"/>
        <v>190.78</v>
      </c>
      <c r="L1801" s="4">
        <f t="shared" si="6"/>
        <v>183.1488</v>
      </c>
    </row>
    <row r="1802">
      <c r="A1802" s="1" t="s">
        <v>2629</v>
      </c>
      <c r="B1802" s="1" t="s">
        <v>2630</v>
      </c>
      <c r="C1802" s="3">
        <v>515.78</v>
      </c>
      <c r="D1802" s="5"/>
      <c r="E1802" s="5"/>
      <c r="F1802" s="5"/>
      <c r="G1802" s="4">
        <f t="shared" si="1"/>
        <v>257.89</v>
      </c>
      <c r="H1802" s="4" t="str">
        <f t="shared" si="2"/>
        <v>Sin precio neto</v>
      </c>
      <c r="I1802" s="4" t="str">
        <f t="shared" si="3"/>
        <v>Sin precio neto G.C.</v>
      </c>
      <c r="J1802" s="4">
        <f t="shared" si="4"/>
        <v>247.5744</v>
      </c>
      <c r="K1802" s="4">
        <f t="shared" si="5"/>
        <v>257.89</v>
      </c>
      <c r="L1802" s="4">
        <f t="shared" si="6"/>
        <v>247.5744</v>
      </c>
    </row>
    <row r="1803">
      <c r="A1803" s="1" t="s">
        <v>2631</v>
      </c>
      <c r="B1803" s="1" t="s">
        <v>2632</v>
      </c>
      <c r="C1803" s="3">
        <v>16.5</v>
      </c>
      <c r="D1803" s="5"/>
      <c r="E1803" s="5"/>
      <c r="F1803" s="5"/>
      <c r="G1803" s="4">
        <f t="shared" si="1"/>
        <v>8.25</v>
      </c>
      <c r="H1803" s="4" t="str">
        <f t="shared" si="2"/>
        <v>Sin precio neto</v>
      </c>
      <c r="I1803" s="4" t="str">
        <f t="shared" si="3"/>
        <v>Sin precio neto G.C.</v>
      </c>
      <c r="J1803" s="4">
        <f t="shared" si="4"/>
        <v>7.92</v>
      </c>
      <c r="K1803" s="4">
        <f t="shared" si="5"/>
        <v>8.25</v>
      </c>
      <c r="L1803" s="4">
        <f t="shared" si="6"/>
        <v>7.92</v>
      </c>
    </row>
    <row r="1804">
      <c r="A1804" s="1" t="s">
        <v>2633</v>
      </c>
      <c r="B1804" s="1" t="s">
        <v>2634</v>
      </c>
      <c r="C1804" s="3">
        <v>18.5</v>
      </c>
      <c r="D1804" s="5"/>
      <c r="E1804" s="5"/>
      <c r="F1804" s="5"/>
      <c r="G1804" s="4">
        <f t="shared" si="1"/>
        <v>9.25</v>
      </c>
      <c r="H1804" s="4" t="str">
        <f t="shared" si="2"/>
        <v>Sin precio neto</v>
      </c>
      <c r="I1804" s="4" t="str">
        <f t="shared" si="3"/>
        <v>Sin precio neto G.C.</v>
      </c>
      <c r="J1804" s="4">
        <f t="shared" si="4"/>
        <v>8.88</v>
      </c>
      <c r="K1804" s="4">
        <f t="shared" si="5"/>
        <v>9.25</v>
      </c>
      <c r="L1804" s="4">
        <f t="shared" si="6"/>
        <v>8.88</v>
      </c>
    </row>
    <row r="1805">
      <c r="A1805" s="1" t="s">
        <v>2635</v>
      </c>
      <c r="B1805" s="1" t="s">
        <v>2636</v>
      </c>
      <c r="C1805" s="3">
        <v>31.68</v>
      </c>
      <c r="D1805" s="5"/>
      <c r="E1805" s="5"/>
      <c r="F1805" s="5"/>
      <c r="G1805" s="4">
        <f t="shared" si="1"/>
        <v>15.84</v>
      </c>
      <c r="H1805" s="4" t="str">
        <f t="shared" si="2"/>
        <v>Sin precio neto</v>
      </c>
      <c r="I1805" s="4" t="str">
        <f t="shared" si="3"/>
        <v>Sin precio neto G.C.</v>
      </c>
      <c r="J1805" s="4">
        <f t="shared" si="4"/>
        <v>15.2064</v>
      </c>
      <c r="K1805" s="4">
        <f t="shared" si="5"/>
        <v>15.84</v>
      </c>
      <c r="L1805" s="4">
        <f t="shared" si="6"/>
        <v>15.2064</v>
      </c>
    </row>
    <row r="1806">
      <c r="A1806" s="1" t="s">
        <v>2637</v>
      </c>
      <c r="B1806" s="1" t="s">
        <v>2638</v>
      </c>
      <c r="C1806" s="3">
        <v>46.0</v>
      </c>
      <c r="D1806" s="5"/>
      <c r="E1806" s="5"/>
      <c r="F1806" s="5"/>
      <c r="G1806" s="4">
        <f t="shared" si="1"/>
        <v>23</v>
      </c>
      <c r="H1806" s="4" t="str">
        <f t="shared" si="2"/>
        <v>Sin precio neto</v>
      </c>
      <c r="I1806" s="4" t="str">
        <f t="shared" si="3"/>
        <v>Sin precio neto G.C.</v>
      </c>
      <c r="J1806" s="4">
        <f t="shared" si="4"/>
        <v>22.08</v>
      </c>
      <c r="K1806" s="4">
        <f t="shared" si="5"/>
        <v>23</v>
      </c>
      <c r="L1806" s="4">
        <f t="shared" si="6"/>
        <v>22.08</v>
      </c>
    </row>
    <row r="1807">
      <c r="A1807" s="1" t="s">
        <v>2639</v>
      </c>
      <c r="B1807" s="1" t="s">
        <v>2640</v>
      </c>
      <c r="C1807" s="3">
        <v>56.64</v>
      </c>
      <c r="D1807" s="5"/>
      <c r="E1807" s="5"/>
      <c r="F1807" s="5"/>
      <c r="G1807" s="4">
        <f t="shared" si="1"/>
        <v>28.32</v>
      </c>
      <c r="H1807" s="4" t="str">
        <f t="shared" si="2"/>
        <v>Sin precio neto</v>
      </c>
      <c r="I1807" s="4" t="str">
        <f t="shared" si="3"/>
        <v>Sin precio neto G.C.</v>
      </c>
      <c r="J1807" s="4">
        <f t="shared" si="4"/>
        <v>27.1872</v>
      </c>
      <c r="K1807" s="4">
        <f t="shared" si="5"/>
        <v>28.32</v>
      </c>
      <c r="L1807" s="4">
        <f t="shared" si="6"/>
        <v>27.1872</v>
      </c>
    </row>
    <row r="1808">
      <c r="A1808" s="1" t="s">
        <v>2641</v>
      </c>
      <c r="B1808" s="1" t="s">
        <v>2642</v>
      </c>
      <c r="C1808" s="3">
        <v>42.0</v>
      </c>
      <c r="D1808" s="5"/>
      <c r="E1808" s="5"/>
      <c r="F1808" s="5"/>
      <c r="G1808" s="4">
        <f t="shared" si="1"/>
        <v>21</v>
      </c>
      <c r="H1808" s="4" t="str">
        <f t="shared" si="2"/>
        <v>Sin precio neto</v>
      </c>
      <c r="I1808" s="4" t="str">
        <f t="shared" si="3"/>
        <v>Sin precio neto G.C.</v>
      </c>
      <c r="J1808" s="4">
        <f t="shared" si="4"/>
        <v>20.16</v>
      </c>
      <c r="K1808" s="4">
        <f t="shared" si="5"/>
        <v>21</v>
      </c>
      <c r="L1808" s="4">
        <f t="shared" si="6"/>
        <v>20.16</v>
      </c>
    </row>
    <row r="1809">
      <c r="A1809" s="1" t="s">
        <v>2643</v>
      </c>
      <c r="B1809" s="1" t="s">
        <v>2644</v>
      </c>
      <c r="C1809" s="3">
        <v>42.5</v>
      </c>
      <c r="D1809" s="5"/>
      <c r="E1809" s="5"/>
      <c r="F1809" s="5"/>
      <c r="G1809" s="4">
        <f t="shared" si="1"/>
        <v>21.25</v>
      </c>
      <c r="H1809" s="4" t="str">
        <f t="shared" si="2"/>
        <v>Sin precio neto</v>
      </c>
      <c r="I1809" s="4" t="str">
        <f t="shared" si="3"/>
        <v>Sin precio neto G.C.</v>
      </c>
      <c r="J1809" s="4">
        <f t="shared" si="4"/>
        <v>20.4</v>
      </c>
      <c r="K1809" s="4">
        <f t="shared" si="5"/>
        <v>21.25</v>
      </c>
      <c r="L1809" s="4">
        <f t="shared" si="6"/>
        <v>20.4</v>
      </c>
    </row>
    <row r="1810">
      <c r="A1810" s="1" t="s">
        <v>2645</v>
      </c>
      <c r="B1810" s="1" t="s">
        <v>2646</v>
      </c>
      <c r="C1810" s="3">
        <v>73.06</v>
      </c>
      <c r="D1810" s="5"/>
      <c r="E1810" s="5"/>
      <c r="F1810" s="5"/>
      <c r="G1810" s="4">
        <f t="shared" si="1"/>
        <v>36.53</v>
      </c>
      <c r="H1810" s="4" t="str">
        <f t="shared" si="2"/>
        <v>Sin precio neto</v>
      </c>
      <c r="I1810" s="4" t="str">
        <f t="shared" si="3"/>
        <v>Sin precio neto G.C.</v>
      </c>
      <c r="J1810" s="4">
        <f t="shared" si="4"/>
        <v>35.0688</v>
      </c>
      <c r="K1810" s="4">
        <f t="shared" si="5"/>
        <v>36.53</v>
      </c>
      <c r="L1810" s="4">
        <f t="shared" si="6"/>
        <v>35.0688</v>
      </c>
    </row>
    <row r="1811">
      <c r="A1811" s="1" t="s">
        <v>2647</v>
      </c>
      <c r="B1811" s="1" t="s">
        <v>2648</v>
      </c>
      <c r="C1811" s="3">
        <v>92.5</v>
      </c>
      <c r="D1811" s="5"/>
      <c r="E1811" s="5"/>
      <c r="F1811" s="5"/>
      <c r="G1811" s="4">
        <f t="shared" si="1"/>
        <v>46.25</v>
      </c>
      <c r="H1811" s="4" t="str">
        <f t="shared" si="2"/>
        <v>Sin precio neto</v>
      </c>
      <c r="I1811" s="4" t="str">
        <f t="shared" si="3"/>
        <v>Sin precio neto G.C.</v>
      </c>
      <c r="J1811" s="4">
        <f t="shared" si="4"/>
        <v>44.4</v>
      </c>
      <c r="K1811" s="4">
        <f t="shared" si="5"/>
        <v>46.25</v>
      </c>
      <c r="L1811" s="4">
        <f t="shared" si="6"/>
        <v>44.4</v>
      </c>
    </row>
    <row r="1812">
      <c r="A1812" s="1" t="s">
        <v>2649</v>
      </c>
      <c r="B1812" s="1" t="s">
        <v>2650</v>
      </c>
      <c r="C1812" s="3">
        <v>16.5</v>
      </c>
      <c r="D1812" s="5"/>
      <c r="E1812" s="5"/>
      <c r="F1812" s="5"/>
      <c r="G1812" s="4">
        <f t="shared" si="1"/>
        <v>8.25</v>
      </c>
      <c r="H1812" s="4" t="str">
        <f t="shared" si="2"/>
        <v>Sin precio neto</v>
      </c>
      <c r="I1812" s="4" t="str">
        <f t="shared" si="3"/>
        <v>Sin precio neto G.C.</v>
      </c>
      <c r="J1812" s="4">
        <f t="shared" si="4"/>
        <v>7.92</v>
      </c>
      <c r="K1812" s="4">
        <f t="shared" si="5"/>
        <v>8.25</v>
      </c>
      <c r="L1812" s="4">
        <f t="shared" si="6"/>
        <v>7.92</v>
      </c>
    </row>
    <row r="1813">
      <c r="A1813" s="1" t="s">
        <v>2651</v>
      </c>
      <c r="B1813" s="1" t="s">
        <v>2652</v>
      </c>
      <c r="C1813" s="3">
        <v>18.5</v>
      </c>
      <c r="D1813" s="5"/>
      <c r="E1813" s="5"/>
      <c r="F1813" s="5"/>
      <c r="G1813" s="4">
        <f t="shared" si="1"/>
        <v>9.25</v>
      </c>
      <c r="H1813" s="4" t="str">
        <f t="shared" si="2"/>
        <v>Sin precio neto</v>
      </c>
      <c r="I1813" s="4" t="str">
        <f t="shared" si="3"/>
        <v>Sin precio neto G.C.</v>
      </c>
      <c r="J1813" s="4">
        <f t="shared" si="4"/>
        <v>8.88</v>
      </c>
      <c r="K1813" s="4">
        <f t="shared" si="5"/>
        <v>9.25</v>
      </c>
      <c r="L1813" s="4">
        <f t="shared" si="6"/>
        <v>8.88</v>
      </c>
    </row>
    <row r="1814">
      <c r="A1814" s="1" t="s">
        <v>2653</v>
      </c>
      <c r="B1814" s="1" t="s">
        <v>2654</v>
      </c>
      <c r="C1814" s="3">
        <v>16.5</v>
      </c>
      <c r="D1814" s="5"/>
      <c r="E1814" s="5"/>
      <c r="F1814" s="5"/>
      <c r="G1814" s="4">
        <f t="shared" si="1"/>
        <v>8.25</v>
      </c>
      <c r="H1814" s="4" t="str">
        <f t="shared" si="2"/>
        <v>Sin precio neto</v>
      </c>
      <c r="I1814" s="4" t="str">
        <f t="shared" si="3"/>
        <v>Sin precio neto G.C.</v>
      </c>
      <c r="J1814" s="4">
        <f t="shared" si="4"/>
        <v>7.92</v>
      </c>
      <c r="K1814" s="4">
        <f t="shared" si="5"/>
        <v>8.25</v>
      </c>
      <c r="L1814" s="4">
        <f t="shared" si="6"/>
        <v>7.92</v>
      </c>
    </row>
    <row r="1815">
      <c r="A1815" s="1" t="s">
        <v>2655</v>
      </c>
      <c r="B1815" s="1" t="s">
        <v>2656</v>
      </c>
      <c r="C1815" s="3">
        <v>18.5</v>
      </c>
      <c r="D1815" s="5"/>
      <c r="E1815" s="5"/>
      <c r="F1815" s="5"/>
      <c r="G1815" s="4">
        <f t="shared" si="1"/>
        <v>9.25</v>
      </c>
      <c r="H1815" s="4" t="str">
        <f t="shared" si="2"/>
        <v>Sin precio neto</v>
      </c>
      <c r="I1815" s="4" t="str">
        <f t="shared" si="3"/>
        <v>Sin precio neto G.C.</v>
      </c>
      <c r="J1815" s="4">
        <f t="shared" si="4"/>
        <v>8.88</v>
      </c>
      <c r="K1815" s="4">
        <f t="shared" si="5"/>
        <v>9.25</v>
      </c>
      <c r="L1815" s="4">
        <f t="shared" si="6"/>
        <v>8.88</v>
      </c>
    </row>
    <row r="1816">
      <c r="A1816" s="1" t="s">
        <v>2657</v>
      </c>
      <c r="B1816" s="1" t="s">
        <v>2658</v>
      </c>
      <c r="C1816" s="3">
        <v>149.34</v>
      </c>
      <c r="D1816" s="5"/>
      <c r="E1816" s="5"/>
      <c r="F1816" s="5"/>
      <c r="G1816" s="4">
        <f t="shared" si="1"/>
        <v>74.67</v>
      </c>
      <c r="H1816" s="4" t="str">
        <f t="shared" si="2"/>
        <v>Sin precio neto</v>
      </c>
      <c r="I1816" s="4" t="str">
        <f t="shared" si="3"/>
        <v>Sin precio neto G.C.</v>
      </c>
      <c r="J1816" s="4">
        <f t="shared" si="4"/>
        <v>71.6832</v>
      </c>
      <c r="K1816" s="4">
        <f t="shared" si="5"/>
        <v>74.67</v>
      </c>
      <c r="L1816" s="4">
        <f t="shared" si="6"/>
        <v>71.6832</v>
      </c>
    </row>
    <row r="1817">
      <c r="A1817" s="1" t="s">
        <v>2659</v>
      </c>
      <c r="B1817" s="1" t="s">
        <v>2660</v>
      </c>
      <c r="C1817" s="3">
        <v>179.5</v>
      </c>
      <c r="D1817" s="5"/>
      <c r="E1817" s="5"/>
      <c r="F1817" s="5"/>
      <c r="G1817" s="4">
        <f t="shared" si="1"/>
        <v>89.75</v>
      </c>
      <c r="H1817" s="4" t="str">
        <f t="shared" si="2"/>
        <v>Sin precio neto</v>
      </c>
      <c r="I1817" s="4" t="str">
        <f t="shared" si="3"/>
        <v>Sin precio neto G.C.</v>
      </c>
      <c r="J1817" s="4">
        <f t="shared" si="4"/>
        <v>86.16</v>
      </c>
      <c r="K1817" s="4">
        <f t="shared" si="5"/>
        <v>89.75</v>
      </c>
      <c r="L1817" s="4">
        <f t="shared" si="6"/>
        <v>86.16</v>
      </c>
    </row>
    <row r="1818">
      <c r="A1818" s="1" t="s">
        <v>2661</v>
      </c>
      <c r="B1818" s="1" t="s">
        <v>2662</v>
      </c>
      <c r="C1818" s="3">
        <v>249.36</v>
      </c>
      <c r="D1818" s="5"/>
      <c r="E1818" s="5"/>
      <c r="F1818" s="5"/>
      <c r="G1818" s="4">
        <f t="shared" si="1"/>
        <v>124.68</v>
      </c>
      <c r="H1818" s="4" t="str">
        <f t="shared" si="2"/>
        <v>Sin precio neto</v>
      </c>
      <c r="I1818" s="4" t="str">
        <f t="shared" si="3"/>
        <v>Sin precio neto G.C.</v>
      </c>
      <c r="J1818" s="4">
        <f t="shared" si="4"/>
        <v>119.6928</v>
      </c>
      <c r="K1818" s="4">
        <f t="shared" si="5"/>
        <v>124.68</v>
      </c>
      <c r="L1818" s="4">
        <f t="shared" si="6"/>
        <v>119.6928</v>
      </c>
    </row>
    <row r="1819">
      <c r="A1819" s="1" t="s">
        <v>2663</v>
      </c>
      <c r="B1819" s="1" t="s">
        <v>2664</v>
      </c>
      <c r="C1819" s="3">
        <v>413.7</v>
      </c>
      <c r="D1819" s="5"/>
      <c r="E1819" s="5"/>
      <c r="F1819" s="5"/>
      <c r="G1819" s="4">
        <f t="shared" si="1"/>
        <v>206.85</v>
      </c>
      <c r="H1819" s="4" t="str">
        <f t="shared" si="2"/>
        <v>Sin precio neto</v>
      </c>
      <c r="I1819" s="4" t="str">
        <f t="shared" si="3"/>
        <v>Sin precio neto G.C.</v>
      </c>
      <c r="J1819" s="4">
        <f t="shared" si="4"/>
        <v>198.576</v>
      </c>
      <c r="K1819" s="4">
        <f t="shared" si="5"/>
        <v>206.85</v>
      </c>
      <c r="L1819" s="4">
        <f t="shared" si="6"/>
        <v>198.576</v>
      </c>
    </row>
    <row r="1820">
      <c r="A1820" s="1" t="s">
        <v>2665</v>
      </c>
      <c r="B1820" s="1" t="s">
        <v>2666</v>
      </c>
      <c r="C1820" s="3">
        <v>482.0</v>
      </c>
      <c r="D1820" s="5"/>
      <c r="E1820" s="5"/>
      <c r="F1820" s="5"/>
      <c r="G1820" s="4">
        <f t="shared" si="1"/>
        <v>241</v>
      </c>
      <c r="H1820" s="4" t="str">
        <f t="shared" si="2"/>
        <v>Sin precio neto</v>
      </c>
      <c r="I1820" s="4" t="str">
        <f t="shared" si="3"/>
        <v>Sin precio neto G.C.</v>
      </c>
      <c r="J1820" s="4">
        <f t="shared" si="4"/>
        <v>231.36</v>
      </c>
      <c r="K1820" s="4">
        <f t="shared" si="5"/>
        <v>241</v>
      </c>
      <c r="L1820" s="4">
        <f t="shared" si="6"/>
        <v>231.36</v>
      </c>
    </row>
    <row r="1821">
      <c r="A1821" s="1" t="s">
        <v>2667</v>
      </c>
      <c r="B1821" s="1" t="s">
        <v>2668</v>
      </c>
      <c r="C1821" s="3">
        <v>640.9</v>
      </c>
      <c r="D1821" s="5"/>
      <c r="E1821" s="5"/>
      <c r="F1821" s="5"/>
      <c r="G1821" s="4">
        <f t="shared" si="1"/>
        <v>320.45</v>
      </c>
      <c r="H1821" s="4" t="str">
        <f t="shared" si="2"/>
        <v>Sin precio neto</v>
      </c>
      <c r="I1821" s="4" t="str">
        <f t="shared" si="3"/>
        <v>Sin precio neto G.C.</v>
      </c>
      <c r="J1821" s="4">
        <f t="shared" si="4"/>
        <v>307.632</v>
      </c>
      <c r="K1821" s="4">
        <f t="shared" si="5"/>
        <v>320.45</v>
      </c>
      <c r="L1821" s="4">
        <f t="shared" si="6"/>
        <v>307.632</v>
      </c>
    </row>
    <row r="1822">
      <c r="A1822" s="1" t="s">
        <v>2669</v>
      </c>
      <c r="B1822" s="1" t="s">
        <v>2670</v>
      </c>
      <c r="C1822" s="3">
        <v>86.0</v>
      </c>
      <c r="D1822" s="5"/>
      <c r="E1822" s="5"/>
      <c r="F1822" s="5"/>
      <c r="G1822" s="4">
        <f t="shared" si="1"/>
        <v>43</v>
      </c>
      <c r="H1822" s="4" t="str">
        <f t="shared" si="2"/>
        <v>Sin precio neto</v>
      </c>
      <c r="I1822" s="4" t="str">
        <f t="shared" si="3"/>
        <v>Sin precio neto G.C.</v>
      </c>
      <c r="J1822" s="4">
        <f t="shared" si="4"/>
        <v>41.28</v>
      </c>
      <c r="K1822" s="4">
        <f t="shared" si="5"/>
        <v>43</v>
      </c>
      <c r="L1822" s="4">
        <f t="shared" si="6"/>
        <v>41.28</v>
      </c>
    </row>
    <row r="1823">
      <c r="A1823" s="1" t="s">
        <v>2671</v>
      </c>
      <c r="B1823" s="1" t="s">
        <v>2672</v>
      </c>
      <c r="C1823" s="3">
        <v>132.4</v>
      </c>
      <c r="D1823" s="5"/>
      <c r="E1823" s="5"/>
      <c r="F1823" s="5"/>
      <c r="G1823" s="4">
        <f t="shared" si="1"/>
        <v>66.2</v>
      </c>
      <c r="H1823" s="4" t="str">
        <f t="shared" si="2"/>
        <v>Sin precio neto</v>
      </c>
      <c r="I1823" s="4" t="str">
        <f t="shared" si="3"/>
        <v>Sin precio neto G.C.</v>
      </c>
      <c r="J1823" s="4">
        <f t="shared" si="4"/>
        <v>63.552</v>
      </c>
      <c r="K1823" s="4">
        <f t="shared" si="5"/>
        <v>66.2</v>
      </c>
      <c r="L1823" s="4">
        <f t="shared" si="6"/>
        <v>63.552</v>
      </c>
    </row>
    <row r="1824">
      <c r="A1824" s="1" t="s">
        <v>2673</v>
      </c>
      <c r="B1824" s="1" t="s">
        <v>2674</v>
      </c>
      <c r="C1824" s="3">
        <v>162.8</v>
      </c>
      <c r="D1824" s="5"/>
      <c r="E1824" s="5"/>
      <c r="F1824" s="5"/>
      <c r="G1824" s="4">
        <f t="shared" si="1"/>
        <v>81.4</v>
      </c>
      <c r="H1824" s="4" t="str">
        <f t="shared" si="2"/>
        <v>Sin precio neto</v>
      </c>
      <c r="I1824" s="4" t="str">
        <f t="shared" si="3"/>
        <v>Sin precio neto G.C.</v>
      </c>
      <c r="J1824" s="4">
        <f t="shared" si="4"/>
        <v>78.144</v>
      </c>
      <c r="K1824" s="4">
        <f t="shared" si="5"/>
        <v>81.4</v>
      </c>
      <c r="L1824" s="4">
        <f t="shared" si="6"/>
        <v>78.144</v>
      </c>
    </row>
    <row r="1825">
      <c r="A1825" s="1" t="s">
        <v>2675</v>
      </c>
      <c r="B1825" s="1" t="s">
        <v>2676</v>
      </c>
      <c r="C1825" s="3">
        <v>16.5</v>
      </c>
      <c r="D1825" s="5"/>
      <c r="E1825" s="5"/>
      <c r="F1825" s="5"/>
      <c r="G1825" s="4">
        <f t="shared" si="1"/>
        <v>8.25</v>
      </c>
      <c r="H1825" s="4" t="str">
        <f t="shared" si="2"/>
        <v>Sin precio neto</v>
      </c>
      <c r="I1825" s="4" t="str">
        <f t="shared" si="3"/>
        <v>Sin precio neto G.C.</v>
      </c>
      <c r="J1825" s="4">
        <f t="shared" si="4"/>
        <v>7.92</v>
      </c>
      <c r="K1825" s="4">
        <f t="shared" si="5"/>
        <v>8.25</v>
      </c>
      <c r="L1825" s="4">
        <f t="shared" si="6"/>
        <v>7.92</v>
      </c>
    </row>
    <row r="1826">
      <c r="A1826" s="1" t="s">
        <v>2677</v>
      </c>
      <c r="B1826" s="1" t="s">
        <v>2678</v>
      </c>
      <c r="C1826" s="3">
        <v>18.5</v>
      </c>
      <c r="D1826" s="5"/>
      <c r="E1826" s="5"/>
      <c r="F1826" s="5"/>
      <c r="G1826" s="4">
        <f t="shared" si="1"/>
        <v>9.25</v>
      </c>
      <c r="H1826" s="4" t="str">
        <f t="shared" si="2"/>
        <v>Sin precio neto</v>
      </c>
      <c r="I1826" s="4" t="str">
        <f t="shared" si="3"/>
        <v>Sin precio neto G.C.</v>
      </c>
      <c r="J1826" s="4">
        <f t="shared" si="4"/>
        <v>8.88</v>
      </c>
      <c r="K1826" s="4">
        <f t="shared" si="5"/>
        <v>9.25</v>
      </c>
      <c r="L1826" s="4">
        <f t="shared" si="6"/>
        <v>8.88</v>
      </c>
    </row>
    <row r="1827">
      <c r="A1827" s="3">
        <v>8.8140251E7</v>
      </c>
      <c r="B1827" s="1" t="s">
        <v>2679</v>
      </c>
      <c r="C1827" s="3">
        <v>161.9</v>
      </c>
      <c r="D1827" s="5"/>
      <c r="E1827" s="5"/>
      <c r="F1827" s="5"/>
      <c r="G1827" s="4">
        <f t="shared" si="1"/>
        <v>80.95</v>
      </c>
      <c r="H1827" s="4" t="str">
        <f t="shared" si="2"/>
        <v>Sin precio neto</v>
      </c>
      <c r="I1827" s="4" t="str">
        <f t="shared" si="3"/>
        <v>Sin precio neto G.C.</v>
      </c>
      <c r="J1827" s="4">
        <f t="shared" si="4"/>
        <v>77.712</v>
      </c>
      <c r="K1827" s="4">
        <f t="shared" si="5"/>
        <v>80.95</v>
      </c>
      <c r="L1827" s="4">
        <f t="shared" si="6"/>
        <v>77.712</v>
      </c>
    </row>
    <row r="1828">
      <c r="A1828" s="1" t="s">
        <v>2680</v>
      </c>
      <c r="B1828" s="1" t="s">
        <v>2681</v>
      </c>
      <c r="C1828" s="3">
        <v>268.0</v>
      </c>
      <c r="D1828" s="5"/>
      <c r="E1828" s="5"/>
      <c r="F1828" s="5"/>
      <c r="G1828" s="4">
        <f t="shared" si="1"/>
        <v>134</v>
      </c>
      <c r="H1828" s="4" t="str">
        <f t="shared" si="2"/>
        <v>Sin precio neto</v>
      </c>
      <c r="I1828" s="4" t="str">
        <f t="shared" si="3"/>
        <v>Sin precio neto G.C.</v>
      </c>
      <c r="J1828" s="4">
        <f t="shared" si="4"/>
        <v>128.64</v>
      </c>
      <c r="K1828" s="4">
        <f t="shared" si="5"/>
        <v>134</v>
      </c>
      <c r="L1828" s="4">
        <f t="shared" si="6"/>
        <v>128.64</v>
      </c>
    </row>
    <row r="1829">
      <c r="A1829" s="1" t="s">
        <v>2682</v>
      </c>
      <c r="B1829" s="1" t="s">
        <v>2683</v>
      </c>
      <c r="C1829" s="3">
        <v>23.5</v>
      </c>
      <c r="D1829" s="5"/>
      <c r="E1829" s="5"/>
      <c r="F1829" s="5"/>
      <c r="G1829" s="4">
        <f t="shared" si="1"/>
        <v>11.75</v>
      </c>
      <c r="H1829" s="4" t="str">
        <f t="shared" si="2"/>
        <v>Sin precio neto</v>
      </c>
      <c r="I1829" s="4" t="str">
        <f t="shared" si="3"/>
        <v>Sin precio neto G.C.</v>
      </c>
      <c r="J1829" s="4">
        <f t="shared" si="4"/>
        <v>11.28</v>
      </c>
      <c r="K1829" s="4">
        <f t="shared" si="5"/>
        <v>11.75</v>
      </c>
      <c r="L1829" s="4">
        <f t="shared" si="6"/>
        <v>11.28</v>
      </c>
    </row>
    <row r="1830">
      <c r="A1830" s="1" t="s">
        <v>2684</v>
      </c>
      <c r="B1830" s="1" t="s">
        <v>2685</v>
      </c>
      <c r="C1830" s="3">
        <v>48.6</v>
      </c>
      <c r="D1830" s="5"/>
      <c r="E1830" s="5"/>
      <c r="F1830" s="5"/>
      <c r="G1830" s="4">
        <f t="shared" si="1"/>
        <v>24.3</v>
      </c>
      <c r="H1830" s="4" t="str">
        <f t="shared" si="2"/>
        <v>Sin precio neto</v>
      </c>
      <c r="I1830" s="4" t="str">
        <f t="shared" si="3"/>
        <v>Sin precio neto G.C.</v>
      </c>
      <c r="J1830" s="4">
        <f t="shared" si="4"/>
        <v>23.328</v>
      </c>
      <c r="K1830" s="4">
        <f t="shared" si="5"/>
        <v>24.3</v>
      </c>
      <c r="L1830" s="4">
        <f t="shared" si="6"/>
        <v>23.328</v>
      </c>
    </row>
    <row r="1831">
      <c r="A1831" s="1" t="s">
        <v>2686</v>
      </c>
      <c r="B1831" s="1" t="s">
        <v>2687</v>
      </c>
      <c r="C1831" s="3">
        <v>17.6</v>
      </c>
      <c r="D1831" s="5"/>
      <c r="E1831" s="5"/>
      <c r="F1831" s="5"/>
      <c r="G1831" s="4">
        <f t="shared" si="1"/>
        <v>8.8</v>
      </c>
      <c r="H1831" s="4" t="str">
        <f t="shared" si="2"/>
        <v>Sin precio neto</v>
      </c>
      <c r="I1831" s="4" t="str">
        <f t="shared" si="3"/>
        <v>Sin precio neto G.C.</v>
      </c>
      <c r="J1831" s="4">
        <f t="shared" si="4"/>
        <v>8.448</v>
      </c>
      <c r="K1831" s="4">
        <f t="shared" si="5"/>
        <v>8.8</v>
      </c>
      <c r="L1831" s="4">
        <f t="shared" si="6"/>
        <v>8.448</v>
      </c>
    </row>
    <row r="1832">
      <c r="A1832" s="1" t="s">
        <v>2688</v>
      </c>
      <c r="B1832" s="1" t="s">
        <v>2689</v>
      </c>
      <c r="C1832" s="3">
        <v>78.5</v>
      </c>
      <c r="D1832" s="5"/>
      <c r="E1832" s="5"/>
      <c r="F1832" s="5"/>
      <c r="G1832" s="4">
        <f t="shared" si="1"/>
        <v>39.25</v>
      </c>
      <c r="H1832" s="4" t="str">
        <f t="shared" si="2"/>
        <v>Sin precio neto</v>
      </c>
      <c r="I1832" s="4" t="str">
        <f t="shared" si="3"/>
        <v>Sin precio neto G.C.</v>
      </c>
      <c r="J1832" s="4">
        <f t="shared" si="4"/>
        <v>37.68</v>
      </c>
      <c r="K1832" s="4">
        <f t="shared" si="5"/>
        <v>39.25</v>
      </c>
      <c r="L1832" s="4">
        <f t="shared" si="6"/>
        <v>37.68</v>
      </c>
    </row>
    <row r="1833">
      <c r="A1833" s="1" t="s">
        <v>2690</v>
      </c>
      <c r="B1833" s="1" t="s">
        <v>2691</v>
      </c>
      <c r="C1833" s="3">
        <v>78.5</v>
      </c>
      <c r="D1833" s="5"/>
      <c r="E1833" s="5"/>
      <c r="F1833" s="5"/>
      <c r="G1833" s="4">
        <f t="shared" si="1"/>
        <v>39.25</v>
      </c>
      <c r="H1833" s="4" t="str">
        <f t="shared" si="2"/>
        <v>Sin precio neto</v>
      </c>
      <c r="I1833" s="4" t="str">
        <f t="shared" si="3"/>
        <v>Sin precio neto G.C.</v>
      </c>
      <c r="J1833" s="4">
        <f t="shared" si="4"/>
        <v>37.68</v>
      </c>
      <c r="K1833" s="4">
        <f t="shared" si="5"/>
        <v>39.25</v>
      </c>
      <c r="L1833" s="4">
        <f t="shared" si="6"/>
        <v>37.68</v>
      </c>
    </row>
    <row r="1834">
      <c r="A1834" s="1" t="s">
        <v>2692</v>
      </c>
      <c r="B1834" s="1" t="s">
        <v>2693</v>
      </c>
      <c r="C1834" s="3">
        <v>116.0</v>
      </c>
      <c r="D1834" s="5"/>
      <c r="E1834" s="5"/>
      <c r="F1834" s="5"/>
      <c r="G1834" s="4">
        <f t="shared" si="1"/>
        <v>58</v>
      </c>
      <c r="H1834" s="4" t="str">
        <f t="shared" si="2"/>
        <v>Sin precio neto</v>
      </c>
      <c r="I1834" s="4" t="str">
        <f t="shared" si="3"/>
        <v>Sin precio neto G.C.</v>
      </c>
      <c r="J1834" s="4">
        <f t="shared" si="4"/>
        <v>55.68</v>
      </c>
      <c r="K1834" s="4">
        <f t="shared" si="5"/>
        <v>58</v>
      </c>
      <c r="L1834" s="4">
        <f t="shared" si="6"/>
        <v>55.68</v>
      </c>
    </row>
    <row r="1835">
      <c r="A1835" s="1" t="s">
        <v>2694</v>
      </c>
      <c r="B1835" s="1" t="s">
        <v>2695</v>
      </c>
      <c r="C1835" s="3">
        <v>138.0</v>
      </c>
      <c r="D1835" s="5"/>
      <c r="E1835" s="5"/>
      <c r="F1835" s="5"/>
      <c r="G1835" s="4">
        <f t="shared" si="1"/>
        <v>69</v>
      </c>
      <c r="H1835" s="4" t="str">
        <f t="shared" si="2"/>
        <v>Sin precio neto</v>
      </c>
      <c r="I1835" s="4" t="str">
        <f t="shared" si="3"/>
        <v>Sin precio neto G.C.</v>
      </c>
      <c r="J1835" s="4">
        <f t="shared" si="4"/>
        <v>66.24</v>
      </c>
      <c r="K1835" s="4">
        <f t="shared" si="5"/>
        <v>69</v>
      </c>
      <c r="L1835" s="4">
        <f t="shared" si="6"/>
        <v>66.24</v>
      </c>
    </row>
    <row r="1836">
      <c r="A1836" s="3">
        <v>9000.0</v>
      </c>
      <c r="B1836" s="1" t="s">
        <v>2696</v>
      </c>
      <c r="C1836" s="3">
        <v>42.5</v>
      </c>
      <c r="D1836" s="5"/>
      <c r="E1836" s="5"/>
      <c r="F1836" s="5"/>
      <c r="G1836" s="4">
        <f t="shared" si="1"/>
        <v>21.25</v>
      </c>
      <c r="H1836" s="4" t="str">
        <f t="shared" si="2"/>
        <v>Sin precio neto</v>
      </c>
      <c r="I1836" s="4" t="str">
        <f t="shared" si="3"/>
        <v>Sin precio neto G.C.</v>
      </c>
      <c r="J1836" s="4">
        <f t="shared" si="4"/>
        <v>20.4</v>
      </c>
      <c r="K1836" s="4">
        <f t="shared" si="5"/>
        <v>21.25</v>
      </c>
      <c r="L1836" s="4">
        <f t="shared" si="6"/>
        <v>20.4</v>
      </c>
    </row>
    <row r="1837">
      <c r="A1837" s="3">
        <v>9001.0</v>
      </c>
      <c r="B1837" s="1" t="s">
        <v>2697</v>
      </c>
      <c r="C1837" s="3">
        <v>27.5</v>
      </c>
      <c r="D1837" s="5"/>
      <c r="E1837" s="5"/>
      <c r="F1837" s="5"/>
      <c r="G1837" s="4">
        <f t="shared" si="1"/>
        <v>13.75</v>
      </c>
      <c r="H1837" s="4" t="str">
        <f t="shared" si="2"/>
        <v>Sin precio neto</v>
      </c>
      <c r="I1837" s="4" t="str">
        <f t="shared" si="3"/>
        <v>Sin precio neto G.C.</v>
      </c>
      <c r="J1837" s="4">
        <f t="shared" si="4"/>
        <v>13.2</v>
      </c>
      <c r="K1837" s="4">
        <f t="shared" si="5"/>
        <v>13.75</v>
      </c>
      <c r="L1837" s="4">
        <f t="shared" si="6"/>
        <v>13.2</v>
      </c>
    </row>
    <row r="1838">
      <c r="A1838" s="3">
        <v>9004.0</v>
      </c>
      <c r="B1838" s="1" t="s">
        <v>2698</v>
      </c>
      <c r="C1838" s="3">
        <v>36.7</v>
      </c>
      <c r="D1838" s="5"/>
      <c r="E1838" s="5"/>
      <c r="F1838" s="5"/>
      <c r="G1838" s="4">
        <f t="shared" si="1"/>
        <v>18.35</v>
      </c>
      <c r="H1838" s="4" t="str">
        <f t="shared" si="2"/>
        <v>Sin precio neto</v>
      </c>
      <c r="I1838" s="4" t="str">
        <f t="shared" si="3"/>
        <v>Sin precio neto G.C.</v>
      </c>
      <c r="J1838" s="4">
        <f t="shared" si="4"/>
        <v>17.616</v>
      </c>
      <c r="K1838" s="4">
        <f t="shared" si="5"/>
        <v>18.35</v>
      </c>
      <c r="L1838" s="4">
        <f t="shared" si="6"/>
        <v>17.616</v>
      </c>
    </row>
    <row r="1839">
      <c r="A1839" s="3">
        <v>9005.0</v>
      </c>
      <c r="B1839" s="1" t="s">
        <v>2699</v>
      </c>
      <c r="C1839" s="3">
        <v>25.5</v>
      </c>
      <c r="D1839" s="5"/>
      <c r="E1839" s="5"/>
      <c r="F1839" s="5"/>
      <c r="G1839" s="4">
        <f t="shared" si="1"/>
        <v>12.75</v>
      </c>
      <c r="H1839" s="4" t="str">
        <f t="shared" si="2"/>
        <v>Sin precio neto</v>
      </c>
      <c r="I1839" s="4" t="str">
        <f t="shared" si="3"/>
        <v>Sin precio neto G.C.</v>
      </c>
      <c r="J1839" s="4">
        <f t="shared" si="4"/>
        <v>12.24</v>
      </c>
      <c r="K1839" s="4">
        <f t="shared" si="5"/>
        <v>12.75</v>
      </c>
      <c r="L1839" s="4">
        <f t="shared" si="6"/>
        <v>12.24</v>
      </c>
    </row>
    <row r="1840">
      <c r="A1840" s="3">
        <v>9006.0</v>
      </c>
      <c r="B1840" s="1" t="s">
        <v>2700</v>
      </c>
      <c r="C1840" s="3">
        <v>29.3</v>
      </c>
      <c r="D1840" s="5"/>
      <c r="E1840" s="5"/>
      <c r="F1840" s="5"/>
      <c r="G1840" s="4">
        <f t="shared" si="1"/>
        <v>14.65</v>
      </c>
      <c r="H1840" s="4" t="str">
        <f t="shared" si="2"/>
        <v>Sin precio neto</v>
      </c>
      <c r="I1840" s="4" t="str">
        <f t="shared" si="3"/>
        <v>Sin precio neto G.C.</v>
      </c>
      <c r="J1840" s="4">
        <f t="shared" si="4"/>
        <v>14.064</v>
      </c>
      <c r="K1840" s="4">
        <f t="shared" si="5"/>
        <v>14.65</v>
      </c>
      <c r="L1840" s="4">
        <f t="shared" si="6"/>
        <v>14.064</v>
      </c>
    </row>
    <row r="1841">
      <c r="A1841" s="3">
        <v>9007.0</v>
      </c>
      <c r="B1841" s="1" t="s">
        <v>2701</v>
      </c>
      <c r="C1841" s="3">
        <v>18.8</v>
      </c>
      <c r="D1841" s="5"/>
      <c r="E1841" s="5"/>
      <c r="F1841" s="5"/>
      <c r="G1841" s="4">
        <f t="shared" si="1"/>
        <v>9.4</v>
      </c>
      <c r="H1841" s="4" t="str">
        <f t="shared" si="2"/>
        <v>Sin precio neto</v>
      </c>
      <c r="I1841" s="4" t="str">
        <f t="shared" si="3"/>
        <v>Sin precio neto G.C.</v>
      </c>
      <c r="J1841" s="4">
        <f t="shared" si="4"/>
        <v>9.024</v>
      </c>
      <c r="K1841" s="4">
        <f t="shared" si="5"/>
        <v>9.4</v>
      </c>
      <c r="L1841" s="4">
        <f t="shared" si="6"/>
        <v>9.024</v>
      </c>
    </row>
    <row r="1842">
      <c r="A1842" s="3">
        <v>9008.0</v>
      </c>
      <c r="B1842" s="1" t="s">
        <v>2702</v>
      </c>
      <c r="C1842" s="3">
        <v>75.4</v>
      </c>
      <c r="D1842" s="5"/>
      <c r="E1842" s="5"/>
      <c r="F1842" s="5"/>
      <c r="G1842" s="4">
        <f t="shared" si="1"/>
        <v>37.7</v>
      </c>
      <c r="H1842" s="4" t="str">
        <f t="shared" si="2"/>
        <v>Sin precio neto</v>
      </c>
      <c r="I1842" s="4" t="str">
        <f t="shared" si="3"/>
        <v>Sin precio neto G.C.</v>
      </c>
      <c r="J1842" s="4">
        <f t="shared" si="4"/>
        <v>36.192</v>
      </c>
      <c r="K1842" s="4">
        <f t="shared" si="5"/>
        <v>37.7</v>
      </c>
      <c r="L1842" s="4">
        <f t="shared" si="6"/>
        <v>36.192</v>
      </c>
    </row>
    <row r="1843">
      <c r="A1843" s="3">
        <v>9009.0</v>
      </c>
      <c r="B1843" s="1" t="s">
        <v>2703</v>
      </c>
      <c r="C1843" s="3">
        <v>42.5</v>
      </c>
      <c r="D1843" s="5"/>
      <c r="E1843" s="5"/>
      <c r="F1843" s="5"/>
      <c r="G1843" s="4">
        <f t="shared" si="1"/>
        <v>21.25</v>
      </c>
      <c r="H1843" s="4" t="str">
        <f t="shared" si="2"/>
        <v>Sin precio neto</v>
      </c>
      <c r="I1843" s="4" t="str">
        <f t="shared" si="3"/>
        <v>Sin precio neto G.C.</v>
      </c>
      <c r="J1843" s="4">
        <f t="shared" si="4"/>
        <v>20.4</v>
      </c>
      <c r="K1843" s="4">
        <f t="shared" si="5"/>
        <v>21.25</v>
      </c>
      <c r="L1843" s="4">
        <f t="shared" si="6"/>
        <v>20.4</v>
      </c>
    </row>
    <row r="1844">
      <c r="A1844" s="3">
        <v>9010.0</v>
      </c>
      <c r="B1844" s="1" t="s">
        <v>2704</v>
      </c>
      <c r="C1844" s="3">
        <v>28.0</v>
      </c>
      <c r="D1844" s="5"/>
      <c r="E1844" s="5"/>
      <c r="F1844" s="5"/>
      <c r="G1844" s="4">
        <f t="shared" si="1"/>
        <v>14</v>
      </c>
      <c r="H1844" s="4" t="str">
        <f t="shared" si="2"/>
        <v>Sin precio neto</v>
      </c>
      <c r="I1844" s="4" t="str">
        <f t="shared" si="3"/>
        <v>Sin precio neto G.C.</v>
      </c>
      <c r="J1844" s="4">
        <f t="shared" si="4"/>
        <v>13.44</v>
      </c>
      <c r="K1844" s="4">
        <f t="shared" si="5"/>
        <v>14</v>
      </c>
      <c r="L1844" s="4">
        <f t="shared" si="6"/>
        <v>13.44</v>
      </c>
    </row>
    <row r="1845">
      <c r="A1845" s="3">
        <v>9011.0</v>
      </c>
      <c r="B1845" s="1" t="s">
        <v>2705</v>
      </c>
      <c r="C1845" s="3">
        <v>28.0</v>
      </c>
      <c r="D1845" s="5"/>
      <c r="E1845" s="5"/>
      <c r="F1845" s="5"/>
      <c r="G1845" s="4">
        <f t="shared" si="1"/>
        <v>14</v>
      </c>
      <c r="H1845" s="4" t="str">
        <f t="shared" si="2"/>
        <v>Sin precio neto</v>
      </c>
      <c r="I1845" s="4" t="str">
        <f t="shared" si="3"/>
        <v>Sin precio neto G.C.</v>
      </c>
      <c r="J1845" s="4">
        <f t="shared" si="4"/>
        <v>13.44</v>
      </c>
      <c r="K1845" s="4">
        <f t="shared" si="5"/>
        <v>14</v>
      </c>
      <c r="L1845" s="4">
        <f t="shared" si="6"/>
        <v>13.44</v>
      </c>
    </row>
    <row r="1846">
      <c r="A1846" s="3">
        <v>9012.0</v>
      </c>
      <c r="B1846" s="1" t="s">
        <v>2706</v>
      </c>
      <c r="C1846" s="3">
        <v>9.0</v>
      </c>
      <c r="D1846" s="5"/>
      <c r="E1846" s="5"/>
      <c r="F1846" s="5"/>
      <c r="G1846" s="4">
        <f t="shared" si="1"/>
        <v>4.5</v>
      </c>
      <c r="H1846" s="4" t="str">
        <f t="shared" si="2"/>
        <v>Sin precio neto</v>
      </c>
      <c r="I1846" s="4" t="str">
        <f t="shared" si="3"/>
        <v>Sin precio neto G.C.</v>
      </c>
      <c r="J1846" s="4">
        <f t="shared" si="4"/>
        <v>4.32</v>
      </c>
      <c r="K1846" s="4">
        <f t="shared" si="5"/>
        <v>4.5</v>
      </c>
      <c r="L1846" s="4">
        <f t="shared" si="6"/>
        <v>4.32</v>
      </c>
    </row>
    <row r="1847">
      <c r="A1847" s="3">
        <v>9013.0</v>
      </c>
      <c r="B1847" s="1" t="s">
        <v>2707</v>
      </c>
      <c r="C1847" s="3">
        <v>9.0</v>
      </c>
      <c r="D1847" s="5"/>
      <c r="E1847" s="5"/>
      <c r="F1847" s="5"/>
      <c r="G1847" s="4">
        <f t="shared" si="1"/>
        <v>4.5</v>
      </c>
      <c r="H1847" s="4" t="str">
        <f t="shared" si="2"/>
        <v>Sin precio neto</v>
      </c>
      <c r="I1847" s="4" t="str">
        <f t="shared" si="3"/>
        <v>Sin precio neto G.C.</v>
      </c>
      <c r="J1847" s="4">
        <f t="shared" si="4"/>
        <v>4.32</v>
      </c>
      <c r="K1847" s="4">
        <f t="shared" si="5"/>
        <v>4.5</v>
      </c>
      <c r="L1847" s="4">
        <f t="shared" si="6"/>
        <v>4.32</v>
      </c>
    </row>
    <row r="1848">
      <c r="A1848" s="1" t="s">
        <v>2708</v>
      </c>
      <c r="B1848" s="1" t="s">
        <v>2709</v>
      </c>
      <c r="C1848" s="3">
        <v>180.06</v>
      </c>
      <c r="D1848" s="5"/>
      <c r="E1848" s="5"/>
      <c r="F1848" s="5"/>
      <c r="G1848" s="4">
        <f t="shared" si="1"/>
        <v>90.03</v>
      </c>
      <c r="H1848" s="4" t="str">
        <f t="shared" si="2"/>
        <v>Sin precio neto</v>
      </c>
      <c r="I1848" s="4" t="str">
        <f t="shared" si="3"/>
        <v>Sin precio neto G.C.</v>
      </c>
      <c r="J1848" s="4">
        <f t="shared" si="4"/>
        <v>86.4288</v>
      </c>
      <c r="K1848" s="4">
        <f t="shared" si="5"/>
        <v>90.03</v>
      </c>
      <c r="L1848" s="4">
        <f t="shared" si="6"/>
        <v>86.4288</v>
      </c>
    </row>
    <row r="1849">
      <c r="A1849" s="1" t="s">
        <v>2710</v>
      </c>
      <c r="B1849" s="1" t="s">
        <v>2711</v>
      </c>
      <c r="C1849" s="3">
        <v>198.18</v>
      </c>
      <c r="D1849" s="5"/>
      <c r="E1849" s="5"/>
      <c r="F1849" s="5"/>
      <c r="G1849" s="4">
        <f t="shared" si="1"/>
        <v>99.09</v>
      </c>
      <c r="H1849" s="4" t="str">
        <f t="shared" si="2"/>
        <v>Sin precio neto</v>
      </c>
      <c r="I1849" s="4" t="str">
        <f t="shared" si="3"/>
        <v>Sin precio neto G.C.</v>
      </c>
      <c r="J1849" s="4">
        <f t="shared" si="4"/>
        <v>95.1264</v>
      </c>
      <c r="K1849" s="4">
        <f t="shared" si="5"/>
        <v>99.09</v>
      </c>
      <c r="L1849" s="4">
        <f t="shared" si="6"/>
        <v>95.1264</v>
      </c>
    </row>
    <row r="1850">
      <c r="A1850" s="1" t="s">
        <v>2712</v>
      </c>
      <c r="B1850" s="1" t="s">
        <v>2713</v>
      </c>
      <c r="C1850" s="3">
        <v>265.58</v>
      </c>
      <c r="D1850" s="5"/>
      <c r="E1850" s="5"/>
      <c r="F1850" s="5"/>
      <c r="G1850" s="4">
        <f t="shared" si="1"/>
        <v>132.79</v>
      </c>
      <c r="H1850" s="4" t="str">
        <f t="shared" si="2"/>
        <v>Sin precio neto</v>
      </c>
      <c r="I1850" s="4" t="str">
        <f t="shared" si="3"/>
        <v>Sin precio neto G.C.</v>
      </c>
      <c r="J1850" s="4">
        <f t="shared" si="4"/>
        <v>127.4784</v>
      </c>
      <c r="K1850" s="4">
        <f t="shared" si="5"/>
        <v>132.79</v>
      </c>
      <c r="L1850" s="4">
        <f t="shared" si="6"/>
        <v>127.4784</v>
      </c>
    </row>
    <row r="1851">
      <c r="A1851" s="1" t="s">
        <v>2714</v>
      </c>
      <c r="B1851" s="1" t="s">
        <v>2715</v>
      </c>
      <c r="C1851" s="3">
        <v>351.9</v>
      </c>
      <c r="D1851" s="5"/>
      <c r="E1851" s="5"/>
      <c r="F1851" s="5"/>
      <c r="G1851" s="4">
        <f t="shared" si="1"/>
        <v>175.95</v>
      </c>
      <c r="H1851" s="4" t="str">
        <f t="shared" si="2"/>
        <v>Sin precio neto</v>
      </c>
      <c r="I1851" s="4" t="str">
        <f t="shared" si="3"/>
        <v>Sin precio neto G.C.</v>
      </c>
      <c r="J1851" s="4">
        <f t="shared" si="4"/>
        <v>168.912</v>
      </c>
      <c r="K1851" s="4">
        <f t="shared" si="5"/>
        <v>175.95</v>
      </c>
      <c r="L1851" s="4">
        <f t="shared" si="6"/>
        <v>168.912</v>
      </c>
    </row>
    <row r="1852">
      <c r="A1852" s="3">
        <v>9014.0</v>
      </c>
      <c r="B1852" s="1" t="s">
        <v>2716</v>
      </c>
      <c r="C1852" s="3">
        <v>26.0</v>
      </c>
      <c r="D1852" s="5"/>
      <c r="E1852" s="5"/>
      <c r="F1852" s="5"/>
      <c r="G1852" s="4">
        <f t="shared" si="1"/>
        <v>13</v>
      </c>
      <c r="H1852" s="4" t="str">
        <f t="shared" si="2"/>
        <v>Sin precio neto</v>
      </c>
      <c r="I1852" s="4" t="str">
        <f t="shared" si="3"/>
        <v>Sin precio neto G.C.</v>
      </c>
      <c r="J1852" s="4">
        <f t="shared" si="4"/>
        <v>12.48</v>
      </c>
      <c r="K1852" s="4">
        <f t="shared" si="5"/>
        <v>13</v>
      </c>
      <c r="L1852" s="4">
        <f t="shared" si="6"/>
        <v>12.48</v>
      </c>
    </row>
    <row r="1853">
      <c r="A1853" s="3">
        <v>9015.0</v>
      </c>
      <c r="B1853" s="1" t="s">
        <v>2717</v>
      </c>
      <c r="C1853" s="3">
        <v>26.0</v>
      </c>
      <c r="D1853" s="5"/>
      <c r="E1853" s="5"/>
      <c r="F1853" s="5"/>
      <c r="G1853" s="4">
        <f t="shared" si="1"/>
        <v>13</v>
      </c>
      <c r="H1853" s="4" t="str">
        <f t="shared" si="2"/>
        <v>Sin precio neto</v>
      </c>
      <c r="I1853" s="4" t="str">
        <f t="shared" si="3"/>
        <v>Sin precio neto G.C.</v>
      </c>
      <c r="J1853" s="4">
        <f t="shared" si="4"/>
        <v>12.48</v>
      </c>
      <c r="K1853" s="4">
        <f t="shared" si="5"/>
        <v>13</v>
      </c>
      <c r="L1853" s="4">
        <f t="shared" si="6"/>
        <v>12.48</v>
      </c>
    </row>
    <row r="1854">
      <c r="A1854" s="3">
        <v>9016.0</v>
      </c>
      <c r="B1854" s="1" t="s">
        <v>2718</v>
      </c>
      <c r="C1854" s="3">
        <v>9.0</v>
      </c>
      <c r="D1854" s="5"/>
      <c r="E1854" s="5"/>
      <c r="F1854" s="5"/>
      <c r="G1854" s="4">
        <f t="shared" si="1"/>
        <v>4.5</v>
      </c>
      <c r="H1854" s="4" t="str">
        <f t="shared" si="2"/>
        <v>Sin precio neto</v>
      </c>
      <c r="I1854" s="4" t="str">
        <f t="shared" si="3"/>
        <v>Sin precio neto G.C.</v>
      </c>
      <c r="J1854" s="4">
        <f t="shared" si="4"/>
        <v>4.32</v>
      </c>
      <c r="K1854" s="4">
        <f t="shared" si="5"/>
        <v>4.5</v>
      </c>
      <c r="L1854" s="4">
        <f t="shared" si="6"/>
        <v>4.32</v>
      </c>
    </row>
    <row r="1855">
      <c r="A1855" s="1" t="s">
        <v>2719</v>
      </c>
      <c r="B1855" s="1" t="s">
        <v>2720</v>
      </c>
      <c r="C1855" s="3">
        <v>390.32</v>
      </c>
      <c r="D1855" s="5"/>
      <c r="E1855" s="5"/>
      <c r="F1855" s="5"/>
      <c r="G1855" s="4">
        <f t="shared" si="1"/>
        <v>195.16</v>
      </c>
      <c r="H1855" s="4" t="str">
        <f t="shared" si="2"/>
        <v>Sin precio neto</v>
      </c>
      <c r="I1855" s="4" t="str">
        <f t="shared" si="3"/>
        <v>Sin precio neto G.C.</v>
      </c>
      <c r="J1855" s="4">
        <f t="shared" si="4"/>
        <v>187.3536</v>
      </c>
      <c r="K1855" s="4">
        <f t="shared" si="5"/>
        <v>195.16</v>
      </c>
      <c r="L1855" s="4">
        <f t="shared" si="6"/>
        <v>187.3536</v>
      </c>
    </row>
    <row r="1856">
      <c r="A1856" s="1" t="s">
        <v>2721</v>
      </c>
      <c r="B1856" s="1" t="s">
        <v>2722</v>
      </c>
      <c r="C1856" s="3">
        <v>437.26</v>
      </c>
      <c r="D1856" s="5"/>
      <c r="E1856" s="5"/>
      <c r="F1856" s="5"/>
      <c r="G1856" s="4">
        <f t="shared" si="1"/>
        <v>218.63</v>
      </c>
      <c r="H1856" s="4" t="str">
        <f t="shared" si="2"/>
        <v>Sin precio neto</v>
      </c>
      <c r="I1856" s="4" t="str">
        <f t="shared" si="3"/>
        <v>Sin precio neto G.C.</v>
      </c>
      <c r="J1856" s="4">
        <f t="shared" si="4"/>
        <v>209.8848</v>
      </c>
      <c r="K1856" s="4">
        <f t="shared" si="5"/>
        <v>218.63</v>
      </c>
      <c r="L1856" s="4">
        <f t="shared" si="6"/>
        <v>209.8848</v>
      </c>
    </row>
    <row r="1857">
      <c r="A1857" s="1" t="s">
        <v>2723</v>
      </c>
      <c r="B1857" s="1" t="s">
        <v>2724</v>
      </c>
      <c r="C1857" s="3">
        <v>627.98</v>
      </c>
      <c r="D1857" s="5"/>
      <c r="E1857" s="5"/>
      <c r="F1857" s="5"/>
      <c r="G1857" s="4">
        <f t="shared" si="1"/>
        <v>313.99</v>
      </c>
      <c r="H1857" s="4" t="str">
        <f t="shared" si="2"/>
        <v>Sin precio neto</v>
      </c>
      <c r="I1857" s="4" t="str">
        <f t="shared" si="3"/>
        <v>Sin precio neto G.C.</v>
      </c>
      <c r="J1857" s="4">
        <f t="shared" si="4"/>
        <v>301.4304</v>
      </c>
      <c r="K1857" s="4">
        <f t="shared" si="5"/>
        <v>313.99</v>
      </c>
      <c r="L1857" s="4">
        <f t="shared" si="6"/>
        <v>301.4304</v>
      </c>
    </row>
    <row r="1858">
      <c r="A1858" s="1" t="s">
        <v>2725</v>
      </c>
      <c r="B1858" s="1" t="s">
        <v>2726</v>
      </c>
      <c r="C1858" s="3">
        <v>57.92</v>
      </c>
      <c r="D1858" s="5"/>
      <c r="E1858" s="5"/>
      <c r="F1858" s="5"/>
      <c r="G1858" s="4">
        <f t="shared" si="1"/>
        <v>28.96</v>
      </c>
      <c r="H1858" s="4" t="str">
        <f t="shared" si="2"/>
        <v>Sin precio neto</v>
      </c>
      <c r="I1858" s="4" t="str">
        <f t="shared" si="3"/>
        <v>Sin precio neto G.C.</v>
      </c>
      <c r="J1858" s="4">
        <f t="shared" si="4"/>
        <v>27.8016</v>
      </c>
      <c r="K1858" s="4">
        <f t="shared" si="5"/>
        <v>28.96</v>
      </c>
      <c r="L1858" s="4">
        <f t="shared" si="6"/>
        <v>27.8016</v>
      </c>
    </row>
    <row r="1859">
      <c r="A1859" s="1" t="s">
        <v>2727</v>
      </c>
      <c r="B1859" s="1" t="s">
        <v>2728</v>
      </c>
      <c r="C1859" s="3">
        <v>72.12</v>
      </c>
      <c r="D1859" s="5"/>
      <c r="E1859" s="5"/>
      <c r="F1859" s="5"/>
      <c r="G1859" s="4">
        <f t="shared" si="1"/>
        <v>36.06</v>
      </c>
      <c r="H1859" s="4" t="str">
        <f t="shared" si="2"/>
        <v>Sin precio neto</v>
      </c>
      <c r="I1859" s="4" t="str">
        <f t="shared" si="3"/>
        <v>Sin precio neto G.C.</v>
      </c>
      <c r="J1859" s="4">
        <f t="shared" si="4"/>
        <v>34.6176</v>
      </c>
      <c r="K1859" s="4">
        <f t="shared" si="5"/>
        <v>36.06</v>
      </c>
      <c r="L1859" s="4">
        <f t="shared" si="6"/>
        <v>34.6176</v>
      </c>
    </row>
    <row r="1860">
      <c r="A1860" s="1" t="s">
        <v>2729</v>
      </c>
      <c r="B1860" s="1" t="s">
        <v>2730</v>
      </c>
      <c r="C1860" s="3">
        <v>90.14</v>
      </c>
      <c r="D1860" s="5"/>
      <c r="E1860" s="5"/>
      <c r="F1860" s="5"/>
      <c r="G1860" s="4">
        <f t="shared" si="1"/>
        <v>45.07</v>
      </c>
      <c r="H1860" s="4" t="str">
        <f t="shared" si="2"/>
        <v>Sin precio neto</v>
      </c>
      <c r="I1860" s="4" t="str">
        <f t="shared" si="3"/>
        <v>Sin precio neto G.C.</v>
      </c>
      <c r="J1860" s="4">
        <f t="shared" si="4"/>
        <v>43.2672</v>
      </c>
      <c r="K1860" s="4">
        <f t="shared" si="5"/>
        <v>45.07</v>
      </c>
      <c r="L1860" s="4">
        <f t="shared" si="6"/>
        <v>43.2672</v>
      </c>
    </row>
    <row r="1861">
      <c r="A1861" s="1" t="s">
        <v>2731</v>
      </c>
      <c r="B1861" s="1" t="s">
        <v>2732</v>
      </c>
      <c r="C1861" s="3">
        <v>118.8</v>
      </c>
      <c r="D1861" s="5"/>
      <c r="E1861" s="5"/>
      <c r="F1861" s="5"/>
      <c r="G1861" s="4">
        <f t="shared" si="1"/>
        <v>59.4</v>
      </c>
      <c r="H1861" s="4" t="str">
        <f t="shared" si="2"/>
        <v>Sin precio neto</v>
      </c>
      <c r="I1861" s="4" t="str">
        <f t="shared" si="3"/>
        <v>Sin precio neto G.C.</v>
      </c>
      <c r="J1861" s="4">
        <f t="shared" si="4"/>
        <v>57.024</v>
      </c>
      <c r="K1861" s="4">
        <f t="shared" si="5"/>
        <v>59.4</v>
      </c>
      <c r="L1861" s="4">
        <f t="shared" si="6"/>
        <v>57.024</v>
      </c>
    </row>
    <row r="1862">
      <c r="A1862" s="1" t="s">
        <v>2733</v>
      </c>
      <c r="B1862" s="1" t="s">
        <v>2734</v>
      </c>
      <c r="C1862" s="3">
        <v>83.32</v>
      </c>
      <c r="D1862" s="5"/>
      <c r="E1862" s="5"/>
      <c r="F1862" s="5"/>
      <c r="G1862" s="4">
        <f t="shared" si="1"/>
        <v>41.66</v>
      </c>
      <c r="H1862" s="4" t="str">
        <f t="shared" si="2"/>
        <v>Sin precio neto</v>
      </c>
      <c r="I1862" s="4" t="str">
        <f t="shared" si="3"/>
        <v>Sin precio neto G.C.</v>
      </c>
      <c r="J1862" s="4">
        <f t="shared" si="4"/>
        <v>39.9936</v>
      </c>
      <c r="K1862" s="4">
        <f t="shared" si="5"/>
        <v>41.66</v>
      </c>
      <c r="L1862" s="4">
        <f t="shared" si="6"/>
        <v>39.9936</v>
      </c>
    </row>
    <row r="1863">
      <c r="A1863" s="1" t="s">
        <v>2735</v>
      </c>
      <c r="B1863" s="1" t="s">
        <v>2736</v>
      </c>
      <c r="C1863" s="3">
        <v>101.8</v>
      </c>
      <c r="D1863" s="5"/>
      <c r="E1863" s="5"/>
      <c r="F1863" s="5"/>
      <c r="G1863" s="4">
        <f t="shared" si="1"/>
        <v>50.9</v>
      </c>
      <c r="H1863" s="4" t="str">
        <f t="shared" si="2"/>
        <v>Sin precio neto</v>
      </c>
      <c r="I1863" s="4" t="str">
        <f t="shared" si="3"/>
        <v>Sin precio neto G.C.</v>
      </c>
      <c r="J1863" s="4">
        <f t="shared" si="4"/>
        <v>48.864</v>
      </c>
      <c r="K1863" s="4">
        <f t="shared" si="5"/>
        <v>50.9</v>
      </c>
      <c r="L1863" s="4">
        <f t="shared" si="6"/>
        <v>48.864</v>
      </c>
    </row>
    <row r="1864">
      <c r="A1864" s="1" t="s">
        <v>2737</v>
      </c>
      <c r="B1864" s="1" t="s">
        <v>2738</v>
      </c>
      <c r="C1864" s="3">
        <v>132.66</v>
      </c>
      <c r="D1864" s="5"/>
      <c r="E1864" s="5"/>
      <c r="F1864" s="5"/>
      <c r="G1864" s="4">
        <f t="shared" si="1"/>
        <v>66.33</v>
      </c>
      <c r="H1864" s="4" t="str">
        <f t="shared" si="2"/>
        <v>Sin precio neto</v>
      </c>
      <c r="I1864" s="4" t="str">
        <f t="shared" si="3"/>
        <v>Sin precio neto G.C.</v>
      </c>
      <c r="J1864" s="4">
        <f t="shared" si="4"/>
        <v>63.6768</v>
      </c>
      <c r="K1864" s="4">
        <f t="shared" si="5"/>
        <v>66.33</v>
      </c>
      <c r="L1864" s="4">
        <f t="shared" si="6"/>
        <v>63.6768</v>
      </c>
    </row>
    <row r="1865">
      <c r="A1865" s="1" t="s">
        <v>2739</v>
      </c>
      <c r="B1865" s="1" t="s">
        <v>2740</v>
      </c>
      <c r="C1865" s="3">
        <v>176.28</v>
      </c>
      <c r="D1865" s="5"/>
      <c r="E1865" s="5"/>
      <c r="F1865" s="5"/>
      <c r="G1865" s="4">
        <f t="shared" si="1"/>
        <v>88.14</v>
      </c>
      <c r="H1865" s="4" t="str">
        <f t="shared" si="2"/>
        <v>Sin precio neto</v>
      </c>
      <c r="I1865" s="4" t="str">
        <f t="shared" si="3"/>
        <v>Sin precio neto G.C.</v>
      </c>
      <c r="J1865" s="4">
        <f t="shared" si="4"/>
        <v>84.6144</v>
      </c>
      <c r="K1865" s="4">
        <f t="shared" si="5"/>
        <v>88.14</v>
      </c>
      <c r="L1865" s="4">
        <f t="shared" si="6"/>
        <v>84.6144</v>
      </c>
    </row>
    <row r="1866">
      <c r="A1866" s="1" t="s">
        <v>2741</v>
      </c>
      <c r="B1866" s="1" t="s">
        <v>2742</v>
      </c>
      <c r="C1866" s="3">
        <v>262.5</v>
      </c>
      <c r="D1866" s="5"/>
      <c r="E1866" s="5"/>
      <c r="F1866" s="5"/>
      <c r="G1866" s="4">
        <f t="shared" si="1"/>
        <v>131.25</v>
      </c>
      <c r="H1866" s="4" t="str">
        <f t="shared" si="2"/>
        <v>Sin precio neto</v>
      </c>
      <c r="I1866" s="4" t="str">
        <f t="shared" si="3"/>
        <v>Sin precio neto G.C.</v>
      </c>
      <c r="J1866" s="4">
        <f t="shared" si="4"/>
        <v>126</v>
      </c>
      <c r="K1866" s="4">
        <f t="shared" si="5"/>
        <v>131.25</v>
      </c>
      <c r="L1866" s="4">
        <f t="shared" si="6"/>
        <v>126</v>
      </c>
    </row>
    <row r="1867">
      <c r="A1867" s="1" t="s">
        <v>2743</v>
      </c>
      <c r="B1867" s="1" t="s">
        <v>2744</v>
      </c>
      <c r="C1867" s="3">
        <v>329.04</v>
      </c>
      <c r="D1867" s="5"/>
      <c r="E1867" s="5"/>
      <c r="F1867" s="5"/>
      <c r="G1867" s="4">
        <f t="shared" si="1"/>
        <v>164.52</v>
      </c>
      <c r="H1867" s="4" t="str">
        <f t="shared" si="2"/>
        <v>Sin precio neto</v>
      </c>
      <c r="I1867" s="4" t="str">
        <f t="shared" si="3"/>
        <v>Sin precio neto G.C.</v>
      </c>
      <c r="J1867" s="4">
        <f t="shared" si="4"/>
        <v>157.9392</v>
      </c>
      <c r="K1867" s="4">
        <f t="shared" si="5"/>
        <v>164.52</v>
      </c>
      <c r="L1867" s="4">
        <f t="shared" si="6"/>
        <v>157.9392</v>
      </c>
    </row>
    <row r="1868">
      <c r="A1868" s="1" t="s">
        <v>2745</v>
      </c>
      <c r="B1868" s="1" t="s">
        <v>2746</v>
      </c>
      <c r="C1868" s="3">
        <v>388.96</v>
      </c>
      <c r="D1868" s="5"/>
      <c r="E1868" s="5"/>
      <c r="F1868" s="5"/>
      <c r="G1868" s="4">
        <f t="shared" si="1"/>
        <v>194.48</v>
      </c>
      <c r="H1868" s="4" t="str">
        <f t="shared" si="2"/>
        <v>Sin precio neto</v>
      </c>
      <c r="I1868" s="4" t="str">
        <f t="shared" si="3"/>
        <v>Sin precio neto G.C.</v>
      </c>
      <c r="J1868" s="4">
        <f t="shared" si="4"/>
        <v>186.7008</v>
      </c>
      <c r="K1868" s="4">
        <f t="shared" si="5"/>
        <v>194.48</v>
      </c>
      <c r="L1868" s="4">
        <f t="shared" si="6"/>
        <v>186.7008</v>
      </c>
    </row>
    <row r="1869">
      <c r="A1869" s="1" t="s">
        <v>2747</v>
      </c>
      <c r="B1869" s="1" t="s">
        <v>2748</v>
      </c>
      <c r="C1869" s="3">
        <v>579.52</v>
      </c>
      <c r="D1869" s="5"/>
      <c r="E1869" s="5"/>
      <c r="F1869" s="5"/>
      <c r="G1869" s="4">
        <f t="shared" si="1"/>
        <v>289.76</v>
      </c>
      <c r="H1869" s="4" t="str">
        <f t="shared" si="2"/>
        <v>Sin precio neto</v>
      </c>
      <c r="I1869" s="4" t="str">
        <f t="shared" si="3"/>
        <v>Sin precio neto G.C.</v>
      </c>
      <c r="J1869" s="4">
        <f t="shared" si="4"/>
        <v>278.1696</v>
      </c>
      <c r="K1869" s="4">
        <f t="shared" si="5"/>
        <v>289.76</v>
      </c>
      <c r="L1869" s="4">
        <f t="shared" si="6"/>
        <v>278.1696</v>
      </c>
    </row>
    <row r="1870">
      <c r="A1870" s="1" t="s">
        <v>2749</v>
      </c>
      <c r="B1870" s="1" t="s">
        <v>2750</v>
      </c>
      <c r="C1870" s="3">
        <v>71.96</v>
      </c>
      <c r="D1870" s="5"/>
      <c r="E1870" s="5"/>
      <c r="F1870" s="5"/>
      <c r="G1870" s="4">
        <f t="shared" si="1"/>
        <v>35.98</v>
      </c>
      <c r="H1870" s="4" t="str">
        <f t="shared" si="2"/>
        <v>Sin precio neto</v>
      </c>
      <c r="I1870" s="4" t="str">
        <f t="shared" si="3"/>
        <v>Sin precio neto G.C.</v>
      </c>
      <c r="J1870" s="4">
        <f t="shared" si="4"/>
        <v>34.5408</v>
      </c>
      <c r="K1870" s="4">
        <f t="shared" si="5"/>
        <v>35.98</v>
      </c>
      <c r="L1870" s="4">
        <f t="shared" si="6"/>
        <v>34.5408</v>
      </c>
    </row>
    <row r="1871">
      <c r="A1871" s="1" t="s">
        <v>2751</v>
      </c>
      <c r="B1871" s="1" t="s">
        <v>2752</v>
      </c>
      <c r="C1871" s="3">
        <v>82.96</v>
      </c>
      <c r="D1871" s="5"/>
      <c r="E1871" s="5"/>
      <c r="F1871" s="5"/>
      <c r="G1871" s="4">
        <f t="shared" si="1"/>
        <v>41.48</v>
      </c>
      <c r="H1871" s="4" t="str">
        <f t="shared" si="2"/>
        <v>Sin precio neto</v>
      </c>
      <c r="I1871" s="4" t="str">
        <f t="shared" si="3"/>
        <v>Sin precio neto G.C.</v>
      </c>
      <c r="J1871" s="4">
        <f t="shared" si="4"/>
        <v>39.8208</v>
      </c>
      <c r="K1871" s="4">
        <f t="shared" si="5"/>
        <v>41.48</v>
      </c>
      <c r="L1871" s="4">
        <f t="shared" si="6"/>
        <v>39.8208</v>
      </c>
    </row>
    <row r="1872">
      <c r="A1872" s="1" t="s">
        <v>2753</v>
      </c>
      <c r="B1872" s="1" t="s">
        <v>2754</v>
      </c>
      <c r="C1872" s="3">
        <v>118.52</v>
      </c>
      <c r="D1872" s="5"/>
      <c r="E1872" s="5"/>
      <c r="F1872" s="5"/>
      <c r="G1872" s="4">
        <f t="shared" si="1"/>
        <v>59.26</v>
      </c>
      <c r="H1872" s="4" t="str">
        <f t="shared" si="2"/>
        <v>Sin precio neto</v>
      </c>
      <c r="I1872" s="4" t="str">
        <f t="shared" si="3"/>
        <v>Sin precio neto G.C.</v>
      </c>
      <c r="J1872" s="4">
        <f t="shared" si="4"/>
        <v>56.8896</v>
      </c>
      <c r="K1872" s="4">
        <f t="shared" si="5"/>
        <v>59.26</v>
      </c>
      <c r="L1872" s="4">
        <f t="shared" si="6"/>
        <v>56.8896</v>
      </c>
    </row>
    <row r="1873">
      <c r="A1873" s="1" t="s">
        <v>2755</v>
      </c>
      <c r="B1873" s="1" t="s">
        <v>2756</v>
      </c>
      <c r="C1873" s="3">
        <v>161.88</v>
      </c>
      <c r="D1873" s="5"/>
      <c r="E1873" s="5"/>
      <c r="F1873" s="5"/>
      <c r="G1873" s="4">
        <f t="shared" si="1"/>
        <v>80.94</v>
      </c>
      <c r="H1873" s="4" t="str">
        <f t="shared" si="2"/>
        <v>Sin precio neto</v>
      </c>
      <c r="I1873" s="4" t="str">
        <f t="shared" si="3"/>
        <v>Sin precio neto G.C.</v>
      </c>
      <c r="J1873" s="4">
        <f t="shared" si="4"/>
        <v>77.7024</v>
      </c>
      <c r="K1873" s="4">
        <f t="shared" si="5"/>
        <v>80.94</v>
      </c>
      <c r="L1873" s="4">
        <f t="shared" si="6"/>
        <v>77.7024</v>
      </c>
    </row>
    <row r="1874">
      <c r="A1874" s="1" t="s">
        <v>2757</v>
      </c>
      <c r="B1874" s="1" t="s">
        <v>2758</v>
      </c>
      <c r="C1874" s="3">
        <v>62.0</v>
      </c>
      <c r="D1874" s="5"/>
      <c r="E1874" s="5"/>
      <c r="F1874" s="5"/>
      <c r="G1874" s="4">
        <f t="shared" si="1"/>
        <v>31</v>
      </c>
      <c r="H1874" s="4" t="str">
        <f t="shared" si="2"/>
        <v>Sin precio neto</v>
      </c>
      <c r="I1874" s="4" t="str">
        <f t="shared" si="3"/>
        <v>Sin precio neto G.C.</v>
      </c>
      <c r="J1874" s="4">
        <f t="shared" si="4"/>
        <v>29.76</v>
      </c>
      <c r="K1874" s="4">
        <f t="shared" si="5"/>
        <v>31</v>
      </c>
      <c r="L1874" s="4">
        <f t="shared" si="6"/>
        <v>29.76</v>
      </c>
    </row>
    <row r="1875">
      <c r="A1875" s="1" t="s">
        <v>2759</v>
      </c>
      <c r="B1875" s="1" t="s">
        <v>2760</v>
      </c>
      <c r="C1875" s="3">
        <v>158.22</v>
      </c>
      <c r="D1875" s="5"/>
      <c r="E1875" s="5"/>
      <c r="F1875" s="5"/>
      <c r="G1875" s="4">
        <f t="shared" si="1"/>
        <v>79.11</v>
      </c>
      <c r="H1875" s="4" t="str">
        <f t="shared" si="2"/>
        <v>Sin precio neto</v>
      </c>
      <c r="I1875" s="4" t="str">
        <f t="shared" si="3"/>
        <v>Sin precio neto G.C.</v>
      </c>
      <c r="J1875" s="4">
        <f t="shared" si="4"/>
        <v>75.9456</v>
      </c>
      <c r="K1875" s="4">
        <f t="shared" si="5"/>
        <v>79.11</v>
      </c>
      <c r="L1875" s="4">
        <f t="shared" si="6"/>
        <v>75.9456</v>
      </c>
    </row>
    <row r="1876">
      <c r="A1876" s="1" t="s">
        <v>2761</v>
      </c>
      <c r="B1876" s="1" t="s">
        <v>2762</v>
      </c>
      <c r="C1876" s="3">
        <v>175.04</v>
      </c>
      <c r="D1876" s="5"/>
      <c r="E1876" s="5"/>
      <c r="F1876" s="5"/>
      <c r="G1876" s="4">
        <f t="shared" si="1"/>
        <v>87.52</v>
      </c>
      <c r="H1876" s="4" t="str">
        <f t="shared" si="2"/>
        <v>Sin precio neto</v>
      </c>
      <c r="I1876" s="4" t="str">
        <f t="shared" si="3"/>
        <v>Sin precio neto G.C.</v>
      </c>
      <c r="J1876" s="4">
        <f t="shared" si="4"/>
        <v>84.0192</v>
      </c>
      <c r="K1876" s="4">
        <f t="shared" si="5"/>
        <v>87.52</v>
      </c>
      <c r="L1876" s="4">
        <f t="shared" si="6"/>
        <v>84.0192</v>
      </c>
    </row>
    <row r="1877">
      <c r="A1877" s="1" t="s">
        <v>2763</v>
      </c>
      <c r="B1877" s="1" t="s">
        <v>2764</v>
      </c>
      <c r="C1877" s="3">
        <v>228.34</v>
      </c>
      <c r="D1877" s="5"/>
      <c r="E1877" s="5"/>
      <c r="F1877" s="5"/>
      <c r="G1877" s="4">
        <f t="shared" si="1"/>
        <v>114.17</v>
      </c>
      <c r="H1877" s="4" t="str">
        <f t="shared" si="2"/>
        <v>Sin precio neto</v>
      </c>
      <c r="I1877" s="4" t="str">
        <f t="shared" si="3"/>
        <v>Sin precio neto G.C.</v>
      </c>
      <c r="J1877" s="4">
        <f t="shared" si="4"/>
        <v>109.6032</v>
      </c>
      <c r="K1877" s="4">
        <f t="shared" si="5"/>
        <v>114.17</v>
      </c>
      <c r="L1877" s="4">
        <f t="shared" si="6"/>
        <v>109.6032</v>
      </c>
    </row>
    <row r="1878">
      <c r="A1878" s="1" t="s">
        <v>2765</v>
      </c>
      <c r="B1878" s="1" t="s">
        <v>2766</v>
      </c>
      <c r="C1878" s="3">
        <v>345.02</v>
      </c>
      <c r="D1878" s="5"/>
      <c r="E1878" s="5"/>
      <c r="F1878" s="5"/>
      <c r="G1878" s="4">
        <f t="shared" si="1"/>
        <v>172.51</v>
      </c>
      <c r="H1878" s="4" t="str">
        <f t="shared" si="2"/>
        <v>Sin precio neto</v>
      </c>
      <c r="I1878" s="4" t="str">
        <f t="shared" si="3"/>
        <v>Sin precio neto G.C.</v>
      </c>
      <c r="J1878" s="4">
        <f t="shared" si="4"/>
        <v>165.6096</v>
      </c>
      <c r="K1878" s="4">
        <f t="shared" si="5"/>
        <v>172.51</v>
      </c>
      <c r="L1878" s="4">
        <f t="shared" si="6"/>
        <v>165.6096</v>
      </c>
    </row>
    <row r="1879">
      <c r="A1879" s="3">
        <v>9210.0</v>
      </c>
      <c r="B1879" s="1" t="s">
        <v>2767</v>
      </c>
      <c r="C1879" s="3">
        <v>8.4</v>
      </c>
      <c r="D1879" s="5"/>
      <c r="E1879" s="5"/>
      <c r="F1879" s="5"/>
      <c r="G1879" s="4">
        <f t="shared" si="1"/>
        <v>4.2</v>
      </c>
      <c r="H1879" s="4" t="str">
        <f t="shared" si="2"/>
        <v>Sin precio neto</v>
      </c>
      <c r="I1879" s="4" t="str">
        <f t="shared" si="3"/>
        <v>Sin precio neto G.C.</v>
      </c>
      <c r="J1879" s="4">
        <f t="shared" si="4"/>
        <v>4.032</v>
      </c>
      <c r="K1879" s="4">
        <f t="shared" si="5"/>
        <v>4.2</v>
      </c>
      <c r="L1879" s="4">
        <f t="shared" si="6"/>
        <v>4.032</v>
      </c>
    </row>
    <row r="1880">
      <c r="A1880" s="1" t="s">
        <v>2768</v>
      </c>
      <c r="B1880" s="1" t="s">
        <v>2769</v>
      </c>
      <c r="C1880" s="3">
        <v>208.8</v>
      </c>
      <c r="D1880" s="5"/>
      <c r="E1880" s="5"/>
      <c r="F1880" s="5"/>
      <c r="G1880" s="4">
        <f t="shared" si="1"/>
        <v>104.4</v>
      </c>
      <c r="H1880" s="4" t="str">
        <f t="shared" si="2"/>
        <v>Sin precio neto</v>
      </c>
      <c r="I1880" s="4" t="str">
        <f t="shared" si="3"/>
        <v>Sin precio neto G.C.</v>
      </c>
      <c r="J1880" s="4">
        <f t="shared" si="4"/>
        <v>100.224</v>
      </c>
      <c r="K1880" s="4">
        <f t="shared" si="5"/>
        <v>104.4</v>
      </c>
      <c r="L1880" s="4">
        <f t="shared" si="6"/>
        <v>100.224</v>
      </c>
    </row>
    <row r="1881">
      <c r="A1881" s="1" t="s">
        <v>2770</v>
      </c>
      <c r="B1881" s="1" t="s">
        <v>2771</v>
      </c>
      <c r="C1881" s="3">
        <v>63.9</v>
      </c>
      <c r="D1881" s="5"/>
      <c r="E1881" s="5"/>
      <c r="F1881" s="5"/>
      <c r="G1881" s="4">
        <f t="shared" si="1"/>
        <v>31.95</v>
      </c>
      <c r="H1881" s="4" t="str">
        <f t="shared" si="2"/>
        <v>Sin precio neto</v>
      </c>
      <c r="I1881" s="4" t="str">
        <f t="shared" si="3"/>
        <v>Sin precio neto G.C.</v>
      </c>
      <c r="J1881" s="4">
        <f t="shared" si="4"/>
        <v>30.672</v>
      </c>
      <c r="K1881" s="4">
        <f t="shared" si="5"/>
        <v>31.95</v>
      </c>
      <c r="L1881" s="4">
        <f t="shared" si="6"/>
        <v>30.672</v>
      </c>
    </row>
    <row r="1882">
      <c r="A1882" s="1" t="s">
        <v>2772</v>
      </c>
      <c r="B1882" s="1" t="s">
        <v>2773</v>
      </c>
      <c r="C1882" s="3">
        <v>86.9</v>
      </c>
      <c r="D1882" s="5"/>
      <c r="E1882" s="5"/>
      <c r="F1882" s="5"/>
      <c r="G1882" s="4">
        <f t="shared" si="1"/>
        <v>43.45</v>
      </c>
      <c r="H1882" s="4" t="str">
        <f t="shared" si="2"/>
        <v>Sin precio neto</v>
      </c>
      <c r="I1882" s="4" t="str">
        <f t="shared" si="3"/>
        <v>Sin precio neto G.C.</v>
      </c>
      <c r="J1882" s="4">
        <f t="shared" si="4"/>
        <v>41.712</v>
      </c>
      <c r="K1882" s="4">
        <f t="shared" si="5"/>
        <v>43.45</v>
      </c>
      <c r="L1882" s="4">
        <f t="shared" si="6"/>
        <v>41.712</v>
      </c>
    </row>
    <row r="1883">
      <c r="A1883" s="1" t="s">
        <v>2774</v>
      </c>
      <c r="B1883" s="1" t="s">
        <v>2775</v>
      </c>
      <c r="C1883" s="3">
        <v>124.4</v>
      </c>
      <c r="D1883" s="5"/>
      <c r="E1883" s="5"/>
      <c r="F1883" s="5"/>
      <c r="G1883" s="4">
        <f t="shared" si="1"/>
        <v>62.2</v>
      </c>
      <c r="H1883" s="4" t="str">
        <f t="shared" si="2"/>
        <v>Sin precio neto</v>
      </c>
      <c r="I1883" s="4" t="str">
        <f t="shared" si="3"/>
        <v>Sin precio neto G.C.</v>
      </c>
      <c r="J1883" s="4">
        <f t="shared" si="4"/>
        <v>59.712</v>
      </c>
      <c r="K1883" s="4">
        <f t="shared" si="5"/>
        <v>62.2</v>
      </c>
      <c r="L1883" s="4">
        <f t="shared" si="6"/>
        <v>59.712</v>
      </c>
    </row>
    <row r="1884">
      <c r="A1884" s="1" t="s">
        <v>2776</v>
      </c>
      <c r="B1884" s="1" t="s">
        <v>2777</v>
      </c>
      <c r="C1884" s="3">
        <v>152.94</v>
      </c>
      <c r="D1884" s="5"/>
      <c r="E1884" s="5"/>
      <c r="F1884" s="5"/>
      <c r="G1884" s="4">
        <f t="shared" si="1"/>
        <v>76.47</v>
      </c>
      <c r="H1884" s="4" t="str">
        <f t="shared" si="2"/>
        <v>Sin precio neto</v>
      </c>
      <c r="I1884" s="4" t="str">
        <f t="shared" si="3"/>
        <v>Sin precio neto G.C.</v>
      </c>
      <c r="J1884" s="4">
        <f t="shared" si="4"/>
        <v>73.4112</v>
      </c>
      <c r="K1884" s="4">
        <f t="shared" si="5"/>
        <v>76.47</v>
      </c>
      <c r="L1884" s="4">
        <f t="shared" si="6"/>
        <v>73.4112</v>
      </c>
    </row>
    <row r="1885">
      <c r="A1885" s="1" t="s">
        <v>2778</v>
      </c>
      <c r="B1885" s="1" t="s">
        <v>2779</v>
      </c>
      <c r="C1885" s="3">
        <v>138.44</v>
      </c>
      <c r="D1885" s="5"/>
      <c r="E1885" s="5"/>
      <c r="F1885" s="5"/>
      <c r="G1885" s="4">
        <f t="shared" si="1"/>
        <v>69.22</v>
      </c>
      <c r="H1885" s="4" t="str">
        <f t="shared" si="2"/>
        <v>Sin precio neto</v>
      </c>
      <c r="I1885" s="4" t="str">
        <f t="shared" si="3"/>
        <v>Sin precio neto G.C.</v>
      </c>
      <c r="J1885" s="4">
        <f t="shared" si="4"/>
        <v>66.4512</v>
      </c>
      <c r="K1885" s="4">
        <f t="shared" si="5"/>
        <v>69.22</v>
      </c>
      <c r="L1885" s="4">
        <f t="shared" si="6"/>
        <v>66.4512</v>
      </c>
    </row>
    <row r="1886">
      <c r="A1886" s="1" t="s">
        <v>2780</v>
      </c>
      <c r="B1886" s="1" t="s">
        <v>2781</v>
      </c>
      <c r="C1886" s="3">
        <v>168.2</v>
      </c>
      <c r="D1886" s="5"/>
      <c r="E1886" s="5"/>
      <c r="F1886" s="5"/>
      <c r="G1886" s="4">
        <f t="shared" si="1"/>
        <v>84.1</v>
      </c>
      <c r="H1886" s="4" t="str">
        <f t="shared" si="2"/>
        <v>Sin precio neto</v>
      </c>
      <c r="I1886" s="4" t="str">
        <f t="shared" si="3"/>
        <v>Sin precio neto G.C.</v>
      </c>
      <c r="J1886" s="4">
        <f t="shared" si="4"/>
        <v>80.736</v>
      </c>
      <c r="K1886" s="4">
        <f t="shared" si="5"/>
        <v>84.1</v>
      </c>
      <c r="L1886" s="4">
        <f t="shared" si="6"/>
        <v>80.736</v>
      </c>
    </row>
    <row r="1887">
      <c r="A1887" s="1" t="s">
        <v>2782</v>
      </c>
      <c r="B1887" s="1" t="s">
        <v>2783</v>
      </c>
      <c r="C1887" s="3">
        <v>245.14</v>
      </c>
      <c r="D1887" s="5"/>
      <c r="E1887" s="5"/>
      <c r="F1887" s="5"/>
      <c r="G1887" s="4">
        <f t="shared" si="1"/>
        <v>122.57</v>
      </c>
      <c r="H1887" s="4" t="str">
        <f t="shared" si="2"/>
        <v>Sin precio neto</v>
      </c>
      <c r="I1887" s="4" t="str">
        <f t="shared" si="3"/>
        <v>Sin precio neto G.C.</v>
      </c>
      <c r="J1887" s="4">
        <f t="shared" si="4"/>
        <v>117.6672</v>
      </c>
      <c r="K1887" s="4">
        <f t="shared" si="5"/>
        <v>122.57</v>
      </c>
      <c r="L1887" s="4">
        <f t="shared" si="6"/>
        <v>117.6672</v>
      </c>
    </row>
    <row r="1888">
      <c r="A1888" s="1" t="s">
        <v>2784</v>
      </c>
      <c r="B1888" s="1" t="s">
        <v>2785</v>
      </c>
      <c r="C1888" s="3">
        <v>326.38</v>
      </c>
      <c r="D1888" s="5"/>
      <c r="E1888" s="5"/>
      <c r="F1888" s="5"/>
      <c r="G1888" s="4">
        <f t="shared" si="1"/>
        <v>163.19</v>
      </c>
      <c r="H1888" s="4" t="str">
        <f t="shared" si="2"/>
        <v>Sin precio neto</v>
      </c>
      <c r="I1888" s="4" t="str">
        <f t="shared" si="3"/>
        <v>Sin precio neto G.C.</v>
      </c>
      <c r="J1888" s="4">
        <f t="shared" si="4"/>
        <v>156.6624</v>
      </c>
      <c r="K1888" s="4">
        <f t="shared" si="5"/>
        <v>163.19</v>
      </c>
      <c r="L1888" s="4">
        <f t="shared" si="6"/>
        <v>156.6624</v>
      </c>
    </row>
    <row r="1889">
      <c r="A1889" s="1" t="s">
        <v>2786</v>
      </c>
      <c r="B1889" s="1" t="s">
        <v>2787</v>
      </c>
      <c r="C1889" s="3">
        <v>47.04</v>
      </c>
      <c r="D1889" s="5"/>
      <c r="E1889" s="5"/>
      <c r="F1889" s="5"/>
      <c r="G1889" s="4">
        <f t="shared" si="1"/>
        <v>23.52</v>
      </c>
      <c r="H1889" s="4" t="str">
        <f t="shared" si="2"/>
        <v>Sin precio neto</v>
      </c>
      <c r="I1889" s="4" t="str">
        <f t="shared" si="3"/>
        <v>Sin precio neto G.C.</v>
      </c>
      <c r="J1889" s="4">
        <f t="shared" si="4"/>
        <v>22.5792</v>
      </c>
      <c r="K1889" s="4">
        <f t="shared" si="5"/>
        <v>23.52</v>
      </c>
      <c r="L1889" s="4">
        <f t="shared" si="6"/>
        <v>22.5792</v>
      </c>
    </row>
    <row r="1890">
      <c r="A1890" s="1" t="s">
        <v>2788</v>
      </c>
      <c r="B1890" s="1" t="s">
        <v>2789</v>
      </c>
      <c r="C1890" s="3">
        <v>53.58</v>
      </c>
      <c r="D1890" s="5"/>
      <c r="E1890" s="5"/>
      <c r="F1890" s="5"/>
      <c r="G1890" s="4">
        <f t="shared" si="1"/>
        <v>26.79</v>
      </c>
      <c r="H1890" s="4" t="str">
        <f t="shared" si="2"/>
        <v>Sin precio neto</v>
      </c>
      <c r="I1890" s="4" t="str">
        <f t="shared" si="3"/>
        <v>Sin precio neto G.C.</v>
      </c>
      <c r="J1890" s="4">
        <f t="shared" si="4"/>
        <v>25.7184</v>
      </c>
      <c r="K1890" s="4">
        <f t="shared" si="5"/>
        <v>26.79</v>
      </c>
      <c r="L1890" s="4">
        <f t="shared" si="6"/>
        <v>25.7184</v>
      </c>
    </row>
    <row r="1891">
      <c r="A1891" s="1" t="s">
        <v>2790</v>
      </c>
      <c r="B1891" s="1" t="s">
        <v>2791</v>
      </c>
      <c r="C1891" s="3">
        <v>74.96</v>
      </c>
      <c r="D1891" s="5"/>
      <c r="E1891" s="5"/>
      <c r="F1891" s="5"/>
      <c r="G1891" s="4">
        <f t="shared" si="1"/>
        <v>37.48</v>
      </c>
      <c r="H1891" s="4" t="str">
        <f t="shared" si="2"/>
        <v>Sin precio neto</v>
      </c>
      <c r="I1891" s="4" t="str">
        <f t="shared" si="3"/>
        <v>Sin precio neto G.C.</v>
      </c>
      <c r="J1891" s="4">
        <f t="shared" si="4"/>
        <v>35.9808</v>
      </c>
      <c r="K1891" s="4">
        <f t="shared" si="5"/>
        <v>37.48</v>
      </c>
      <c r="L1891" s="4">
        <f t="shared" si="6"/>
        <v>35.9808</v>
      </c>
    </row>
    <row r="1892">
      <c r="A1892" s="1" t="s">
        <v>2792</v>
      </c>
      <c r="B1892" s="1" t="s">
        <v>2793</v>
      </c>
      <c r="C1892" s="3">
        <v>112.38</v>
      </c>
      <c r="D1892" s="5"/>
      <c r="E1892" s="5"/>
      <c r="F1892" s="5"/>
      <c r="G1892" s="4">
        <f t="shared" si="1"/>
        <v>56.19</v>
      </c>
      <c r="H1892" s="4" t="str">
        <f t="shared" si="2"/>
        <v>Sin precio neto</v>
      </c>
      <c r="I1892" s="4" t="str">
        <f t="shared" si="3"/>
        <v>Sin precio neto G.C.</v>
      </c>
      <c r="J1892" s="4">
        <f t="shared" si="4"/>
        <v>53.9424</v>
      </c>
      <c r="K1892" s="4">
        <f t="shared" si="5"/>
        <v>56.19</v>
      </c>
      <c r="L1892" s="4">
        <f t="shared" si="6"/>
        <v>53.9424</v>
      </c>
    </row>
    <row r="1893">
      <c r="A1893" s="1" t="s">
        <v>2794</v>
      </c>
      <c r="B1893" s="1" t="s">
        <v>2795</v>
      </c>
      <c r="C1893" s="3">
        <v>62.5</v>
      </c>
      <c r="D1893" s="5"/>
      <c r="E1893" s="5"/>
      <c r="F1893" s="5"/>
      <c r="G1893" s="4">
        <f t="shared" si="1"/>
        <v>31.25</v>
      </c>
      <c r="H1893" s="4" t="str">
        <f t="shared" si="2"/>
        <v>Sin precio neto</v>
      </c>
      <c r="I1893" s="4" t="str">
        <f t="shared" si="3"/>
        <v>Sin precio neto G.C.</v>
      </c>
      <c r="J1893" s="4">
        <f t="shared" si="4"/>
        <v>30</v>
      </c>
      <c r="K1893" s="4">
        <f t="shared" si="5"/>
        <v>31.25</v>
      </c>
      <c r="L1893" s="4">
        <f t="shared" si="6"/>
        <v>30</v>
      </c>
    </row>
    <row r="1894">
      <c r="A1894" s="1" t="s">
        <v>2796</v>
      </c>
      <c r="B1894" s="1" t="s">
        <v>2797</v>
      </c>
      <c r="C1894" s="3">
        <v>82.5</v>
      </c>
      <c r="D1894" s="5"/>
      <c r="E1894" s="5"/>
      <c r="F1894" s="5"/>
      <c r="G1894" s="4">
        <f t="shared" si="1"/>
        <v>41.25</v>
      </c>
      <c r="H1894" s="4" t="str">
        <f t="shared" si="2"/>
        <v>Sin precio neto</v>
      </c>
      <c r="I1894" s="4" t="str">
        <f t="shared" si="3"/>
        <v>Sin precio neto G.C.</v>
      </c>
      <c r="J1894" s="4">
        <f t="shared" si="4"/>
        <v>39.6</v>
      </c>
      <c r="K1894" s="4">
        <f t="shared" si="5"/>
        <v>41.25</v>
      </c>
      <c r="L1894" s="4">
        <f t="shared" si="6"/>
        <v>39.6</v>
      </c>
    </row>
    <row r="1895">
      <c r="A1895" s="1" t="s">
        <v>2798</v>
      </c>
      <c r="B1895" s="1" t="s">
        <v>2799</v>
      </c>
      <c r="C1895" s="3">
        <v>98.5</v>
      </c>
      <c r="D1895" s="5"/>
      <c r="E1895" s="5"/>
      <c r="F1895" s="5"/>
      <c r="G1895" s="4">
        <f t="shared" si="1"/>
        <v>49.25</v>
      </c>
      <c r="H1895" s="4" t="str">
        <f t="shared" si="2"/>
        <v>Sin precio neto</v>
      </c>
      <c r="I1895" s="4" t="str">
        <f t="shared" si="3"/>
        <v>Sin precio neto G.C.</v>
      </c>
      <c r="J1895" s="4">
        <f t="shared" si="4"/>
        <v>47.28</v>
      </c>
      <c r="K1895" s="4">
        <f t="shared" si="5"/>
        <v>49.25</v>
      </c>
      <c r="L1895" s="4">
        <f t="shared" si="6"/>
        <v>47.28</v>
      </c>
    </row>
    <row r="1896">
      <c r="A1896" s="1" t="s">
        <v>2800</v>
      </c>
      <c r="B1896" s="1" t="s">
        <v>2801</v>
      </c>
      <c r="C1896" s="3">
        <v>165.0</v>
      </c>
      <c r="D1896" s="5"/>
      <c r="E1896" s="5"/>
      <c r="F1896" s="5"/>
      <c r="G1896" s="4">
        <f t="shared" si="1"/>
        <v>82.5</v>
      </c>
      <c r="H1896" s="4" t="str">
        <f t="shared" si="2"/>
        <v>Sin precio neto</v>
      </c>
      <c r="I1896" s="4" t="str">
        <f t="shared" si="3"/>
        <v>Sin precio neto G.C.</v>
      </c>
      <c r="J1896" s="4">
        <f t="shared" si="4"/>
        <v>79.2</v>
      </c>
      <c r="K1896" s="4">
        <f t="shared" si="5"/>
        <v>82.5</v>
      </c>
      <c r="L1896" s="4">
        <f t="shared" si="6"/>
        <v>79.2</v>
      </c>
    </row>
    <row r="1897">
      <c r="A1897" s="1" t="s">
        <v>2802</v>
      </c>
      <c r="B1897" s="1" t="s">
        <v>2803</v>
      </c>
      <c r="C1897" s="3">
        <v>138.5</v>
      </c>
      <c r="D1897" s="5"/>
      <c r="E1897" s="5"/>
      <c r="F1897" s="5"/>
      <c r="G1897" s="4">
        <f t="shared" si="1"/>
        <v>69.25</v>
      </c>
      <c r="H1897" s="4" t="str">
        <f t="shared" si="2"/>
        <v>Sin precio neto</v>
      </c>
      <c r="I1897" s="4" t="str">
        <f t="shared" si="3"/>
        <v>Sin precio neto G.C.</v>
      </c>
      <c r="J1897" s="4">
        <f t="shared" si="4"/>
        <v>66.48</v>
      </c>
      <c r="K1897" s="4">
        <f t="shared" si="5"/>
        <v>69.25</v>
      </c>
      <c r="L1897" s="4">
        <f t="shared" si="6"/>
        <v>66.48</v>
      </c>
    </row>
    <row r="1898">
      <c r="A1898" s="1" t="s">
        <v>2804</v>
      </c>
      <c r="B1898" s="1" t="s">
        <v>2805</v>
      </c>
      <c r="C1898" s="3">
        <v>188.02</v>
      </c>
      <c r="D1898" s="5"/>
      <c r="E1898" s="5"/>
      <c r="F1898" s="5"/>
      <c r="G1898" s="4">
        <f t="shared" si="1"/>
        <v>94.01</v>
      </c>
      <c r="H1898" s="4" t="str">
        <f t="shared" si="2"/>
        <v>Sin precio neto</v>
      </c>
      <c r="I1898" s="4" t="str">
        <f t="shared" si="3"/>
        <v>Sin precio neto G.C.</v>
      </c>
      <c r="J1898" s="4">
        <f t="shared" si="4"/>
        <v>90.2496</v>
      </c>
      <c r="K1898" s="4">
        <f t="shared" si="5"/>
        <v>94.01</v>
      </c>
      <c r="L1898" s="4">
        <f t="shared" si="6"/>
        <v>90.2496</v>
      </c>
    </row>
    <row r="1899">
      <c r="A1899" s="1" t="s">
        <v>2806</v>
      </c>
      <c r="B1899" s="1" t="s">
        <v>2807</v>
      </c>
      <c r="C1899" s="3">
        <v>273.64</v>
      </c>
      <c r="D1899" s="5"/>
      <c r="E1899" s="5"/>
      <c r="F1899" s="5"/>
      <c r="G1899" s="4">
        <f t="shared" si="1"/>
        <v>136.82</v>
      </c>
      <c r="H1899" s="4" t="str">
        <f t="shared" si="2"/>
        <v>Sin precio neto</v>
      </c>
      <c r="I1899" s="4" t="str">
        <f t="shared" si="3"/>
        <v>Sin precio neto G.C.</v>
      </c>
      <c r="J1899" s="4">
        <f t="shared" si="4"/>
        <v>131.3472</v>
      </c>
      <c r="K1899" s="4">
        <f t="shared" si="5"/>
        <v>136.82</v>
      </c>
      <c r="L1899" s="4">
        <f t="shared" si="6"/>
        <v>131.3472</v>
      </c>
    </row>
    <row r="1900">
      <c r="A1900" s="1" t="s">
        <v>2808</v>
      </c>
      <c r="B1900" s="1" t="s">
        <v>2809</v>
      </c>
      <c r="C1900" s="3">
        <v>377.44</v>
      </c>
      <c r="D1900" s="5"/>
      <c r="E1900" s="5"/>
      <c r="F1900" s="5"/>
      <c r="G1900" s="4">
        <f t="shared" si="1"/>
        <v>188.72</v>
      </c>
      <c r="H1900" s="4" t="str">
        <f t="shared" si="2"/>
        <v>Sin precio neto</v>
      </c>
      <c r="I1900" s="4" t="str">
        <f t="shared" si="3"/>
        <v>Sin precio neto G.C.</v>
      </c>
      <c r="J1900" s="4">
        <f t="shared" si="4"/>
        <v>181.1712</v>
      </c>
      <c r="K1900" s="4">
        <f t="shared" si="5"/>
        <v>188.72</v>
      </c>
      <c r="L1900" s="4">
        <f t="shared" si="6"/>
        <v>181.1712</v>
      </c>
    </row>
    <row r="1901">
      <c r="A1901" s="1" t="s">
        <v>2810</v>
      </c>
      <c r="B1901" s="1" t="s">
        <v>2811</v>
      </c>
      <c r="C1901" s="3">
        <v>436.5</v>
      </c>
      <c r="D1901" s="5"/>
      <c r="E1901" s="5"/>
      <c r="F1901" s="5"/>
      <c r="G1901" s="4">
        <f t="shared" si="1"/>
        <v>218.25</v>
      </c>
      <c r="H1901" s="4" t="str">
        <f t="shared" si="2"/>
        <v>Sin precio neto</v>
      </c>
      <c r="I1901" s="4" t="str">
        <f t="shared" si="3"/>
        <v>Sin precio neto G.C.</v>
      </c>
      <c r="J1901" s="4">
        <f t="shared" si="4"/>
        <v>209.52</v>
      </c>
      <c r="K1901" s="4">
        <f t="shared" si="5"/>
        <v>218.25</v>
      </c>
      <c r="L1901" s="4">
        <f t="shared" si="6"/>
        <v>209.52</v>
      </c>
    </row>
    <row r="1902">
      <c r="A1902" s="1" t="s">
        <v>2812</v>
      </c>
      <c r="B1902" s="1" t="s">
        <v>2813</v>
      </c>
      <c r="C1902" s="3">
        <v>595.0</v>
      </c>
      <c r="D1902" s="5"/>
      <c r="E1902" s="5"/>
      <c r="F1902" s="5"/>
      <c r="G1902" s="4">
        <f t="shared" si="1"/>
        <v>297.5</v>
      </c>
      <c r="H1902" s="4" t="str">
        <f t="shared" si="2"/>
        <v>Sin precio neto</v>
      </c>
      <c r="I1902" s="4" t="str">
        <f t="shared" si="3"/>
        <v>Sin precio neto G.C.</v>
      </c>
      <c r="J1902" s="4">
        <f t="shared" si="4"/>
        <v>285.6</v>
      </c>
      <c r="K1902" s="4">
        <f t="shared" si="5"/>
        <v>297.5</v>
      </c>
      <c r="L1902" s="4">
        <f t="shared" si="6"/>
        <v>285.6</v>
      </c>
    </row>
    <row r="1903">
      <c r="A1903" s="1" t="s">
        <v>2814</v>
      </c>
      <c r="B1903" s="1" t="s">
        <v>2815</v>
      </c>
      <c r="C1903" s="3">
        <v>855.0</v>
      </c>
      <c r="D1903" s="5"/>
      <c r="E1903" s="5"/>
      <c r="F1903" s="5"/>
      <c r="G1903" s="4">
        <f t="shared" si="1"/>
        <v>427.5</v>
      </c>
      <c r="H1903" s="4" t="str">
        <f t="shared" si="2"/>
        <v>Sin precio neto</v>
      </c>
      <c r="I1903" s="4" t="str">
        <f t="shared" si="3"/>
        <v>Sin precio neto G.C.</v>
      </c>
      <c r="J1903" s="4">
        <f t="shared" si="4"/>
        <v>410.4</v>
      </c>
      <c r="K1903" s="4">
        <f t="shared" si="5"/>
        <v>427.5</v>
      </c>
      <c r="L1903" s="4">
        <f t="shared" si="6"/>
        <v>410.4</v>
      </c>
    </row>
    <row r="1904">
      <c r="A1904" s="1" t="s">
        <v>2816</v>
      </c>
      <c r="B1904" s="1" t="s">
        <v>2817</v>
      </c>
      <c r="C1904" s="3">
        <v>580.6</v>
      </c>
      <c r="D1904" s="5"/>
      <c r="E1904" s="5"/>
      <c r="F1904" s="5"/>
      <c r="G1904" s="4">
        <f t="shared" si="1"/>
        <v>290.3</v>
      </c>
      <c r="H1904" s="4" t="str">
        <f t="shared" si="2"/>
        <v>Sin precio neto</v>
      </c>
      <c r="I1904" s="4" t="str">
        <f t="shared" si="3"/>
        <v>Sin precio neto G.C.</v>
      </c>
      <c r="J1904" s="4">
        <f t="shared" si="4"/>
        <v>278.688</v>
      </c>
      <c r="K1904" s="4">
        <f t="shared" si="5"/>
        <v>290.3</v>
      </c>
      <c r="L1904" s="4">
        <f t="shared" si="6"/>
        <v>278.688</v>
      </c>
    </row>
    <row r="1905">
      <c r="A1905" s="1" t="s">
        <v>2818</v>
      </c>
      <c r="B1905" s="1" t="s">
        <v>2819</v>
      </c>
      <c r="C1905" s="3">
        <v>880.0</v>
      </c>
      <c r="D1905" s="5"/>
      <c r="E1905" s="5"/>
      <c r="F1905" s="5"/>
      <c r="G1905" s="4">
        <f t="shared" si="1"/>
        <v>440</v>
      </c>
      <c r="H1905" s="4" t="str">
        <f t="shared" si="2"/>
        <v>Sin precio neto</v>
      </c>
      <c r="I1905" s="4" t="str">
        <f t="shared" si="3"/>
        <v>Sin precio neto G.C.</v>
      </c>
      <c r="J1905" s="4">
        <f t="shared" si="4"/>
        <v>422.4</v>
      </c>
      <c r="K1905" s="4">
        <f t="shared" si="5"/>
        <v>440</v>
      </c>
      <c r="L1905" s="4">
        <f t="shared" si="6"/>
        <v>422.4</v>
      </c>
    </row>
    <row r="1906">
      <c r="A1906" s="1" t="s">
        <v>2820</v>
      </c>
      <c r="B1906" s="1" t="s">
        <v>2821</v>
      </c>
      <c r="C1906" s="6">
        <v>1220.0</v>
      </c>
      <c r="D1906" s="5"/>
      <c r="E1906" s="5"/>
      <c r="F1906" s="5"/>
      <c r="G1906" s="4">
        <f t="shared" si="1"/>
        <v>610</v>
      </c>
      <c r="H1906" s="4" t="str">
        <f t="shared" si="2"/>
        <v>Sin precio neto</v>
      </c>
      <c r="I1906" s="4" t="str">
        <f t="shared" si="3"/>
        <v>Sin precio neto G.C.</v>
      </c>
      <c r="J1906" s="4">
        <f t="shared" si="4"/>
        <v>585.6</v>
      </c>
      <c r="K1906" s="4">
        <f t="shared" si="5"/>
        <v>610</v>
      </c>
      <c r="L1906" s="4">
        <f t="shared" si="6"/>
        <v>585.6</v>
      </c>
    </row>
    <row r="1907">
      <c r="A1907" s="1" t="s">
        <v>2822</v>
      </c>
      <c r="B1907" s="1" t="s">
        <v>2823</v>
      </c>
      <c r="C1907" s="3">
        <v>66.0</v>
      </c>
      <c r="D1907" s="5"/>
      <c r="E1907" s="5"/>
      <c r="F1907" s="5"/>
      <c r="G1907" s="4">
        <f t="shared" si="1"/>
        <v>33</v>
      </c>
      <c r="H1907" s="4" t="str">
        <f t="shared" si="2"/>
        <v>Sin precio neto</v>
      </c>
      <c r="I1907" s="4" t="str">
        <f t="shared" si="3"/>
        <v>Sin precio neto G.C.</v>
      </c>
      <c r="J1907" s="4">
        <f t="shared" si="4"/>
        <v>31.68</v>
      </c>
      <c r="K1907" s="4">
        <f t="shared" si="5"/>
        <v>33</v>
      </c>
      <c r="L1907" s="4">
        <f t="shared" si="6"/>
        <v>31.68</v>
      </c>
    </row>
    <row r="1908">
      <c r="A1908" s="1" t="s">
        <v>2824</v>
      </c>
      <c r="B1908" s="1" t="s">
        <v>2825</v>
      </c>
      <c r="C1908" s="3">
        <v>78.0</v>
      </c>
      <c r="D1908" s="5"/>
      <c r="E1908" s="5"/>
      <c r="F1908" s="5"/>
      <c r="G1908" s="4">
        <f t="shared" si="1"/>
        <v>39</v>
      </c>
      <c r="H1908" s="4" t="str">
        <f t="shared" si="2"/>
        <v>Sin precio neto</v>
      </c>
      <c r="I1908" s="4" t="str">
        <f t="shared" si="3"/>
        <v>Sin precio neto G.C.</v>
      </c>
      <c r="J1908" s="4">
        <f t="shared" si="4"/>
        <v>37.44</v>
      </c>
      <c r="K1908" s="4">
        <f t="shared" si="5"/>
        <v>39</v>
      </c>
      <c r="L1908" s="4">
        <f t="shared" si="6"/>
        <v>37.44</v>
      </c>
    </row>
    <row r="1909">
      <c r="A1909" s="1" t="s">
        <v>2826</v>
      </c>
      <c r="B1909" s="1" t="s">
        <v>2827</v>
      </c>
      <c r="C1909" s="3">
        <v>86.0</v>
      </c>
      <c r="D1909" s="5"/>
      <c r="E1909" s="5"/>
      <c r="F1909" s="5"/>
      <c r="G1909" s="4">
        <f t="shared" si="1"/>
        <v>43</v>
      </c>
      <c r="H1909" s="4" t="str">
        <f t="shared" si="2"/>
        <v>Sin precio neto</v>
      </c>
      <c r="I1909" s="4" t="str">
        <f t="shared" si="3"/>
        <v>Sin precio neto G.C.</v>
      </c>
      <c r="J1909" s="4">
        <f t="shared" si="4"/>
        <v>41.28</v>
      </c>
      <c r="K1909" s="4">
        <f t="shared" si="5"/>
        <v>43</v>
      </c>
      <c r="L1909" s="4">
        <f t="shared" si="6"/>
        <v>41.28</v>
      </c>
    </row>
    <row r="1910">
      <c r="A1910" s="1" t="s">
        <v>2828</v>
      </c>
      <c r="B1910" s="1" t="s">
        <v>2829</v>
      </c>
      <c r="C1910" s="3">
        <v>125.82</v>
      </c>
      <c r="D1910" s="5"/>
      <c r="E1910" s="5"/>
      <c r="F1910" s="5"/>
      <c r="G1910" s="4">
        <f t="shared" si="1"/>
        <v>62.91</v>
      </c>
      <c r="H1910" s="4" t="str">
        <f t="shared" si="2"/>
        <v>Sin precio neto</v>
      </c>
      <c r="I1910" s="4" t="str">
        <f t="shared" si="3"/>
        <v>Sin precio neto G.C.</v>
      </c>
      <c r="J1910" s="4">
        <f t="shared" si="4"/>
        <v>60.3936</v>
      </c>
      <c r="K1910" s="4">
        <f t="shared" si="5"/>
        <v>62.91</v>
      </c>
      <c r="L1910" s="4">
        <f t="shared" si="6"/>
        <v>60.3936</v>
      </c>
    </row>
    <row r="1911">
      <c r="A1911" s="1" t="s">
        <v>2830</v>
      </c>
      <c r="B1911" s="1" t="s">
        <v>2831</v>
      </c>
      <c r="C1911" s="3">
        <v>168.0</v>
      </c>
      <c r="D1911" s="5"/>
      <c r="E1911" s="5"/>
      <c r="F1911" s="5"/>
      <c r="G1911" s="4">
        <f t="shared" si="1"/>
        <v>84</v>
      </c>
      <c r="H1911" s="4" t="str">
        <f t="shared" si="2"/>
        <v>Sin precio neto</v>
      </c>
      <c r="I1911" s="4" t="str">
        <f t="shared" si="3"/>
        <v>Sin precio neto G.C.</v>
      </c>
      <c r="J1911" s="4">
        <f t="shared" si="4"/>
        <v>80.64</v>
      </c>
      <c r="K1911" s="4">
        <f t="shared" si="5"/>
        <v>84</v>
      </c>
      <c r="L1911" s="4">
        <f t="shared" si="6"/>
        <v>80.64</v>
      </c>
    </row>
    <row r="1912">
      <c r="A1912" s="1" t="s">
        <v>2832</v>
      </c>
      <c r="B1912" s="1" t="s">
        <v>2833</v>
      </c>
      <c r="C1912" s="3">
        <v>199.16</v>
      </c>
      <c r="D1912" s="5"/>
      <c r="E1912" s="5"/>
      <c r="F1912" s="5"/>
      <c r="G1912" s="4">
        <f t="shared" si="1"/>
        <v>99.58</v>
      </c>
      <c r="H1912" s="4" t="str">
        <f t="shared" si="2"/>
        <v>Sin precio neto</v>
      </c>
      <c r="I1912" s="4" t="str">
        <f t="shared" si="3"/>
        <v>Sin precio neto G.C.</v>
      </c>
      <c r="J1912" s="4">
        <f t="shared" si="4"/>
        <v>95.5968</v>
      </c>
      <c r="K1912" s="4">
        <f t="shared" si="5"/>
        <v>99.58</v>
      </c>
      <c r="L1912" s="4">
        <f t="shared" si="6"/>
        <v>95.5968</v>
      </c>
    </row>
    <row r="1913">
      <c r="A1913" s="1" t="s">
        <v>2834</v>
      </c>
      <c r="B1913" s="1" t="s">
        <v>2835</v>
      </c>
      <c r="C1913" s="3">
        <v>262.08</v>
      </c>
      <c r="D1913" s="5"/>
      <c r="E1913" s="5"/>
      <c r="F1913" s="5"/>
      <c r="G1913" s="4">
        <f t="shared" si="1"/>
        <v>131.04</v>
      </c>
      <c r="H1913" s="4" t="str">
        <f t="shared" si="2"/>
        <v>Sin precio neto</v>
      </c>
      <c r="I1913" s="4" t="str">
        <f t="shared" si="3"/>
        <v>Sin precio neto G.C.</v>
      </c>
      <c r="J1913" s="4">
        <f t="shared" si="4"/>
        <v>125.7984</v>
      </c>
      <c r="K1913" s="4">
        <f t="shared" si="5"/>
        <v>131.04</v>
      </c>
      <c r="L1913" s="4">
        <f t="shared" si="6"/>
        <v>125.7984</v>
      </c>
    </row>
    <row r="1914">
      <c r="A1914" s="1" t="s">
        <v>2836</v>
      </c>
      <c r="B1914" s="1" t="s">
        <v>2837</v>
      </c>
      <c r="C1914" s="3">
        <v>335.5</v>
      </c>
      <c r="D1914" s="5"/>
      <c r="E1914" s="5"/>
      <c r="F1914" s="5"/>
      <c r="G1914" s="4">
        <f t="shared" si="1"/>
        <v>167.75</v>
      </c>
      <c r="H1914" s="4" t="str">
        <f t="shared" si="2"/>
        <v>Sin precio neto</v>
      </c>
      <c r="I1914" s="4" t="str">
        <f t="shared" si="3"/>
        <v>Sin precio neto G.C.</v>
      </c>
      <c r="J1914" s="4">
        <f t="shared" si="4"/>
        <v>161.04</v>
      </c>
      <c r="K1914" s="4">
        <f t="shared" si="5"/>
        <v>167.75</v>
      </c>
      <c r="L1914" s="4">
        <f t="shared" si="6"/>
        <v>161.04</v>
      </c>
    </row>
    <row r="1915">
      <c r="A1915" s="1" t="s">
        <v>2838</v>
      </c>
      <c r="B1915" s="1" t="s">
        <v>2839</v>
      </c>
      <c r="C1915" s="3">
        <v>131.48</v>
      </c>
      <c r="D1915" s="5"/>
      <c r="E1915" s="5"/>
      <c r="F1915" s="5"/>
      <c r="G1915" s="4">
        <f t="shared" si="1"/>
        <v>65.74</v>
      </c>
      <c r="H1915" s="4" t="str">
        <f t="shared" si="2"/>
        <v>Sin precio neto</v>
      </c>
      <c r="I1915" s="4" t="str">
        <f t="shared" si="3"/>
        <v>Sin precio neto G.C.</v>
      </c>
      <c r="J1915" s="4">
        <f t="shared" si="4"/>
        <v>63.1104</v>
      </c>
      <c r="K1915" s="4">
        <f t="shared" si="5"/>
        <v>65.74</v>
      </c>
      <c r="L1915" s="4">
        <f t="shared" si="6"/>
        <v>63.1104</v>
      </c>
    </row>
    <row r="1916">
      <c r="A1916" s="1" t="s">
        <v>2840</v>
      </c>
      <c r="B1916" s="1" t="s">
        <v>2841</v>
      </c>
      <c r="C1916" s="3">
        <v>144.18</v>
      </c>
      <c r="D1916" s="5"/>
      <c r="E1916" s="5"/>
      <c r="F1916" s="5"/>
      <c r="G1916" s="4">
        <f t="shared" si="1"/>
        <v>72.09</v>
      </c>
      <c r="H1916" s="4" t="str">
        <f t="shared" si="2"/>
        <v>Sin precio neto</v>
      </c>
      <c r="I1916" s="4" t="str">
        <f t="shared" si="3"/>
        <v>Sin precio neto G.C.</v>
      </c>
      <c r="J1916" s="4">
        <f t="shared" si="4"/>
        <v>69.2064</v>
      </c>
      <c r="K1916" s="4">
        <f t="shared" si="5"/>
        <v>72.09</v>
      </c>
      <c r="L1916" s="4">
        <f t="shared" si="6"/>
        <v>69.2064</v>
      </c>
    </row>
    <row r="1917">
      <c r="A1917" s="1" t="s">
        <v>2842</v>
      </c>
      <c r="B1917" s="1" t="s">
        <v>2843</v>
      </c>
      <c r="C1917" s="3">
        <v>201.82</v>
      </c>
      <c r="D1917" s="5"/>
      <c r="E1917" s="5"/>
      <c r="F1917" s="5"/>
      <c r="G1917" s="4">
        <f t="shared" si="1"/>
        <v>100.91</v>
      </c>
      <c r="H1917" s="4" t="str">
        <f t="shared" si="2"/>
        <v>Sin precio neto</v>
      </c>
      <c r="I1917" s="4" t="str">
        <f t="shared" si="3"/>
        <v>Sin precio neto G.C.</v>
      </c>
      <c r="J1917" s="4">
        <f t="shared" si="4"/>
        <v>96.8736</v>
      </c>
      <c r="K1917" s="4">
        <f t="shared" si="5"/>
        <v>100.91</v>
      </c>
      <c r="L1917" s="4">
        <f t="shared" si="6"/>
        <v>96.8736</v>
      </c>
    </row>
    <row r="1918">
      <c r="A1918" s="1" t="s">
        <v>2844</v>
      </c>
      <c r="B1918" s="1" t="s">
        <v>2845</v>
      </c>
      <c r="C1918" s="3">
        <v>264.52</v>
      </c>
      <c r="D1918" s="5"/>
      <c r="E1918" s="5"/>
      <c r="F1918" s="5"/>
      <c r="G1918" s="4">
        <f t="shared" si="1"/>
        <v>132.26</v>
      </c>
      <c r="H1918" s="4" t="str">
        <f t="shared" si="2"/>
        <v>Sin precio neto</v>
      </c>
      <c r="I1918" s="4" t="str">
        <f t="shared" si="3"/>
        <v>Sin precio neto G.C.</v>
      </c>
      <c r="J1918" s="4">
        <f t="shared" si="4"/>
        <v>126.9696</v>
      </c>
      <c r="K1918" s="4">
        <f t="shared" si="5"/>
        <v>132.26</v>
      </c>
      <c r="L1918" s="4">
        <f t="shared" si="6"/>
        <v>126.9696</v>
      </c>
    </row>
    <row r="1919">
      <c r="A1919" s="1" t="s">
        <v>2846</v>
      </c>
      <c r="B1919" s="1" t="s">
        <v>2847</v>
      </c>
      <c r="C1919" s="3">
        <v>231.92</v>
      </c>
      <c r="D1919" s="5"/>
      <c r="E1919" s="5"/>
      <c r="F1919" s="5"/>
      <c r="G1919" s="4">
        <f t="shared" si="1"/>
        <v>115.96</v>
      </c>
      <c r="H1919" s="4" t="str">
        <f t="shared" si="2"/>
        <v>Sin precio neto</v>
      </c>
      <c r="I1919" s="4" t="str">
        <f t="shared" si="3"/>
        <v>Sin precio neto G.C.</v>
      </c>
      <c r="J1919" s="4">
        <f t="shared" si="4"/>
        <v>111.3216</v>
      </c>
      <c r="K1919" s="4">
        <f t="shared" si="5"/>
        <v>115.96</v>
      </c>
      <c r="L1919" s="4">
        <f t="shared" si="6"/>
        <v>111.3216</v>
      </c>
    </row>
    <row r="1920">
      <c r="A1920" s="1" t="s">
        <v>2848</v>
      </c>
      <c r="B1920" s="1" t="s">
        <v>2849</v>
      </c>
      <c r="C1920" s="3">
        <v>534.48</v>
      </c>
      <c r="D1920" s="5"/>
      <c r="E1920" s="5"/>
      <c r="F1920" s="5"/>
      <c r="G1920" s="4">
        <f t="shared" si="1"/>
        <v>267.24</v>
      </c>
      <c r="H1920" s="4" t="str">
        <f t="shared" si="2"/>
        <v>Sin precio neto</v>
      </c>
      <c r="I1920" s="4" t="str">
        <f t="shared" si="3"/>
        <v>Sin precio neto G.C.</v>
      </c>
      <c r="J1920" s="4">
        <f t="shared" si="4"/>
        <v>256.5504</v>
      </c>
      <c r="K1920" s="4">
        <f t="shared" si="5"/>
        <v>267.24</v>
      </c>
      <c r="L1920" s="4">
        <f t="shared" si="6"/>
        <v>256.5504</v>
      </c>
    </row>
    <row r="1921">
      <c r="A1921" s="1" t="s">
        <v>2850</v>
      </c>
      <c r="B1921" s="1" t="s">
        <v>2851</v>
      </c>
      <c r="C1921" s="3">
        <v>405.0</v>
      </c>
      <c r="D1921" s="5"/>
      <c r="E1921" s="5"/>
      <c r="F1921" s="5"/>
      <c r="G1921" s="4">
        <f t="shared" si="1"/>
        <v>202.5</v>
      </c>
      <c r="H1921" s="4" t="str">
        <f t="shared" si="2"/>
        <v>Sin precio neto</v>
      </c>
      <c r="I1921" s="4" t="str">
        <f t="shared" si="3"/>
        <v>Sin precio neto G.C.</v>
      </c>
      <c r="J1921" s="4">
        <f t="shared" si="4"/>
        <v>194.4</v>
      </c>
      <c r="K1921" s="4">
        <f t="shared" si="5"/>
        <v>202.5</v>
      </c>
      <c r="L1921" s="4">
        <f t="shared" si="6"/>
        <v>194.4</v>
      </c>
    </row>
    <row r="1922">
      <c r="A1922" s="1" t="s">
        <v>2852</v>
      </c>
      <c r="B1922" s="1" t="s">
        <v>2853</v>
      </c>
      <c r="C1922" s="3">
        <v>535.0</v>
      </c>
      <c r="D1922" s="5"/>
      <c r="E1922" s="5"/>
      <c r="F1922" s="5"/>
      <c r="G1922" s="4">
        <f t="shared" si="1"/>
        <v>267.5</v>
      </c>
      <c r="H1922" s="4" t="str">
        <f t="shared" si="2"/>
        <v>Sin precio neto</v>
      </c>
      <c r="I1922" s="4" t="str">
        <f t="shared" si="3"/>
        <v>Sin precio neto G.C.</v>
      </c>
      <c r="J1922" s="4">
        <f t="shared" si="4"/>
        <v>256.8</v>
      </c>
      <c r="K1922" s="4">
        <f t="shared" si="5"/>
        <v>267.5</v>
      </c>
      <c r="L1922" s="4">
        <f t="shared" si="6"/>
        <v>256.8</v>
      </c>
    </row>
    <row r="1923">
      <c r="A1923" s="1" t="s">
        <v>2854</v>
      </c>
      <c r="B1923" s="1" t="s">
        <v>2855</v>
      </c>
      <c r="C1923" s="3">
        <v>54.0</v>
      </c>
      <c r="D1923" s="5"/>
      <c r="E1923" s="5"/>
      <c r="F1923" s="5"/>
      <c r="G1923" s="4">
        <f t="shared" si="1"/>
        <v>27</v>
      </c>
      <c r="H1923" s="4" t="str">
        <f t="shared" si="2"/>
        <v>Sin precio neto</v>
      </c>
      <c r="I1923" s="4" t="str">
        <f t="shared" si="3"/>
        <v>Sin precio neto G.C.</v>
      </c>
      <c r="J1923" s="4">
        <f t="shared" si="4"/>
        <v>25.92</v>
      </c>
      <c r="K1923" s="4">
        <f t="shared" si="5"/>
        <v>27</v>
      </c>
      <c r="L1923" s="4">
        <f t="shared" si="6"/>
        <v>25.92</v>
      </c>
    </row>
    <row r="1924">
      <c r="A1924" s="1" t="s">
        <v>2856</v>
      </c>
      <c r="B1924" s="1" t="s">
        <v>2857</v>
      </c>
      <c r="C1924" s="3">
        <v>60.0</v>
      </c>
      <c r="D1924" s="5"/>
      <c r="E1924" s="5"/>
      <c r="F1924" s="5"/>
      <c r="G1924" s="4">
        <f t="shared" si="1"/>
        <v>30</v>
      </c>
      <c r="H1924" s="4" t="str">
        <f t="shared" si="2"/>
        <v>Sin precio neto</v>
      </c>
      <c r="I1924" s="4" t="str">
        <f t="shared" si="3"/>
        <v>Sin precio neto G.C.</v>
      </c>
      <c r="J1924" s="4">
        <f t="shared" si="4"/>
        <v>28.8</v>
      </c>
      <c r="K1924" s="4">
        <f t="shared" si="5"/>
        <v>30</v>
      </c>
      <c r="L1924" s="4">
        <f t="shared" si="6"/>
        <v>28.8</v>
      </c>
    </row>
    <row r="1925">
      <c r="A1925" s="1" t="s">
        <v>2858</v>
      </c>
      <c r="B1925" s="1" t="s">
        <v>2859</v>
      </c>
      <c r="C1925" s="3">
        <v>38.0</v>
      </c>
      <c r="D1925" s="5"/>
      <c r="E1925" s="5"/>
      <c r="F1925" s="5"/>
      <c r="G1925" s="4">
        <f t="shared" si="1"/>
        <v>19</v>
      </c>
      <c r="H1925" s="4" t="str">
        <f t="shared" si="2"/>
        <v>Sin precio neto</v>
      </c>
      <c r="I1925" s="4" t="str">
        <f t="shared" si="3"/>
        <v>Sin precio neto G.C.</v>
      </c>
      <c r="J1925" s="4">
        <f t="shared" si="4"/>
        <v>18.24</v>
      </c>
      <c r="K1925" s="4">
        <f t="shared" si="5"/>
        <v>19</v>
      </c>
      <c r="L1925" s="4">
        <f t="shared" si="6"/>
        <v>18.24</v>
      </c>
    </row>
    <row r="1926">
      <c r="A1926" s="1" t="s">
        <v>2860</v>
      </c>
      <c r="B1926" s="1" t="s">
        <v>2861</v>
      </c>
      <c r="C1926" s="3">
        <v>44.5</v>
      </c>
      <c r="D1926" s="5"/>
      <c r="E1926" s="5"/>
      <c r="F1926" s="5"/>
      <c r="G1926" s="4">
        <f t="shared" si="1"/>
        <v>22.25</v>
      </c>
      <c r="H1926" s="4" t="str">
        <f t="shared" si="2"/>
        <v>Sin precio neto</v>
      </c>
      <c r="I1926" s="4" t="str">
        <f t="shared" si="3"/>
        <v>Sin precio neto G.C.</v>
      </c>
      <c r="J1926" s="4">
        <f t="shared" si="4"/>
        <v>21.36</v>
      </c>
      <c r="K1926" s="4">
        <f t="shared" si="5"/>
        <v>22.25</v>
      </c>
      <c r="L1926" s="4">
        <f t="shared" si="6"/>
        <v>21.36</v>
      </c>
    </row>
    <row r="1927">
      <c r="A1927" s="1" t="s">
        <v>2862</v>
      </c>
      <c r="B1927" s="1" t="s">
        <v>2863</v>
      </c>
      <c r="C1927" s="3">
        <v>54.5</v>
      </c>
      <c r="D1927" s="5"/>
      <c r="E1927" s="5"/>
      <c r="F1927" s="5"/>
      <c r="G1927" s="4">
        <f t="shared" si="1"/>
        <v>27.25</v>
      </c>
      <c r="H1927" s="4" t="str">
        <f t="shared" si="2"/>
        <v>Sin precio neto</v>
      </c>
      <c r="I1927" s="4" t="str">
        <f t="shared" si="3"/>
        <v>Sin precio neto G.C.</v>
      </c>
      <c r="J1927" s="4">
        <f t="shared" si="4"/>
        <v>26.16</v>
      </c>
      <c r="K1927" s="4">
        <f t="shared" si="5"/>
        <v>27.25</v>
      </c>
      <c r="L1927" s="4">
        <f t="shared" si="6"/>
        <v>26.16</v>
      </c>
    </row>
    <row r="1928">
      <c r="A1928" s="1" t="s">
        <v>2864</v>
      </c>
      <c r="B1928" s="1" t="s">
        <v>2865</v>
      </c>
      <c r="C1928" s="3">
        <v>62.8</v>
      </c>
      <c r="D1928" s="5"/>
      <c r="E1928" s="5"/>
      <c r="F1928" s="5"/>
      <c r="G1928" s="4">
        <f t="shared" si="1"/>
        <v>31.4</v>
      </c>
      <c r="H1928" s="4" t="str">
        <f t="shared" si="2"/>
        <v>Sin precio neto</v>
      </c>
      <c r="I1928" s="4" t="str">
        <f t="shared" si="3"/>
        <v>Sin precio neto G.C.</v>
      </c>
      <c r="J1928" s="4">
        <f t="shared" si="4"/>
        <v>30.144</v>
      </c>
      <c r="K1928" s="4">
        <f t="shared" si="5"/>
        <v>31.4</v>
      </c>
      <c r="L1928" s="4">
        <f t="shared" si="6"/>
        <v>30.144</v>
      </c>
    </row>
    <row r="1929">
      <c r="A1929" s="1" t="s">
        <v>2866</v>
      </c>
      <c r="B1929" s="1" t="s">
        <v>2867</v>
      </c>
      <c r="C1929" s="3">
        <v>46.8</v>
      </c>
      <c r="D1929" s="5"/>
      <c r="E1929" s="5"/>
      <c r="F1929" s="5"/>
      <c r="G1929" s="4">
        <f t="shared" si="1"/>
        <v>23.4</v>
      </c>
      <c r="H1929" s="4" t="str">
        <f t="shared" si="2"/>
        <v>Sin precio neto</v>
      </c>
      <c r="I1929" s="4" t="str">
        <f t="shared" si="3"/>
        <v>Sin precio neto G.C.</v>
      </c>
      <c r="J1929" s="4">
        <f t="shared" si="4"/>
        <v>22.464</v>
      </c>
      <c r="K1929" s="4">
        <f t="shared" si="5"/>
        <v>23.4</v>
      </c>
      <c r="L1929" s="4">
        <f t="shared" si="6"/>
        <v>22.464</v>
      </c>
    </row>
    <row r="1930">
      <c r="A1930" s="1" t="s">
        <v>2868</v>
      </c>
      <c r="B1930" s="1" t="s">
        <v>2869</v>
      </c>
      <c r="C1930" s="3">
        <v>64.5</v>
      </c>
      <c r="D1930" s="5"/>
      <c r="E1930" s="5"/>
      <c r="F1930" s="5"/>
      <c r="G1930" s="4">
        <f t="shared" si="1"/>
        <v>32.25</v>
      </c>
      <c r="H1930" s="4" t="str">
        <f t="shared" si="2"/>
        <v>Sin precio neto</v>
      </c>
      <c r="I1930" s="4" t="str">
        <f t="shared" si="3"/>
        <v>Sin precio neto G.C.</v>
      </c>
      <c r="J1930" s="4">
        <f t="shared" si="4"/>
        <v>30.96</v>
      </c>
      <c r="K1930" s="4">
        <f t="shared" si="5"/>
        <v>32.25</v>
      </c>
      <c r="L1930" s="4">
        <f t="shared" si="6"/>
        <v>30.96</v>
      </c>
    </row>
    <row r="1931">
      <c r="A1931" s="1" t="s">
        <v>2870</v>
      </c>
      <c r="B1931" s="1" t="s">
        <v>2871</v>
      </c>
      <c r="C1931" s="3">
        <v>70.0</v>
      </c>
      <c r="D1931" s="5"/>
      <c r="E1931" s="5"/>
      <c r="F1931" s="5"/>
      <c r="G1931" s="4">
        <f t="shared" si="1"/>
        <v>35</v>
      </c>
      <c r="H1931" s="4" t="str">
        <f t="shared" si="2"/>
        <v>Sin precio neto</v>
      </c>
      <c r="I1931" s="4" t="str">
        <f t="shared" si="3"/>
        <v>Sin precio neto G.C.</v>
      </c>
      <c r="J1931" s="4">
        <f t="shared" si="4"/>
        <v>33.6</v>
      </c>
      <c r="K1931" s="4">
        <f t="shared" si="5"/>
        <v>35</v>
      </c>
      <c r="L1931" s="4">
        <f t="shared" si="6"/>
        <v>33.6</v>
      </c>
    </row>
    <row r="1932">
      <c r="A1932" s="1" t="s">
        <v>2872</v>
      </c>
      <c r="B1932" s="1" t="s">
        <v>2873</v>
      </c>
      <c r="C1932" s="3">
        <v>79.5</v>
      </c>
      <c r="D1932" s="5"/>
      <c r="E1932" s="5"/>
      <c r="F1932" s="5"/>
      <c r="G1932" s="4">
        <f t="shared" si="1"/>
        <v>39.75</v>
      </c>
      <c r="H1932" s="4" t="str">
        <f t="shared" si="2"/>
        <v>Sin precio neto</v>
      </c>
      <c r="I1932" s="4" t="str">
        <f t="shared" si="3"/>
        <v>Sin precio neto G.C.</v>
      </c>
      <c r="J1932" s="4">
        <f t="shared" si="4"/>
        <v>38.16</v>
      </c>
      <c r="K1932" s="4">
        <f t="shared" si="5"/>
        <v>39.75</v>
      </c>
      <c r="L1932" s="4">
        <f t="shared" si="6"/>
        <v>38.16</v>
      </c>
    </row>
    <row r="1933">
      <c r="A1933" s="1" t="s">
        <v>2874</v>
      </c>
      <c r="B1933" s="1" t="s">
        <v>2875</v>
      </c>
      <c r="C1933" s="3">
        <v>58.5</v>
      </c>
      <c r="D1933" s="5"/>
      <c r="E1933" s="5"/>
      <c r="F1933" s="5"/>
      <c r="G1933" s="4">
        <f t="shared" si="1"/>
        <v>29.25</v>
      </c>
      <c r="H1933" s="4" t="str">
        <f t="shared" si="2"/>
        <v>Sin precio neto</v>
      </c>
      <c r="I1933" s="4" t="str">
        <f t="shared" si="3"/>
        <v>Sin precio neto G.C.</v>
      </c>
      <c r="J1933" s="4">
        <f t="shared" si="4"/>
        <v>28.08</v>
      </c>
      <c r="K1933" s="4">
        <f t="shared" si="5"/>
        <v>29.25</v>
      </c>
      <c r="L1933" s="4">
        <f t="shared" si="6"/>
        <v>28.08</v>
      </c>
    </row>
    <row r="1934">
      <c r="A1934" s="1" t="s">
        <v>2876</v>
      </c>
      <c r="B1934" s="1" t="s">
        <v>2877</v>
      </c>
      <c r="C1934" s="3">
        <v>56.5</v>
      </c>
      <c r="D1934" s="5"/>
      <c r="E1934" s="5"/>
      <c r="F1934" s="5"/>
      <c r="G1934" s="4">
        <f t="shared" si="1"/>
        <v>28.25</v>
      </c>
      <c r="H1934" s="4" t="str">
        <f t="shared" si="2"/>
        <v>Sin precio neto</v>
      </c>
      <c r="I1934" s="4" t="str">
        <f t="shared" si="3"/>
        <v>Sin precio neto G.C.</v>
      </c>
      <c r="J1934" s="4">
        <f t="shared" si="4"/>
        <v>27.12</v>
      </c>
      <c r="K1934" s="4">
        <f t="shared" si="5"/>
        <v>28.25</v>
      </c>
      <c r="L1934" s="4">
        <f t="shared" si="6"/>
        <v>27.12</v>
      </c>
    </row>
    <row r="1935">
      <c r="A1935" s="1" t="s">
        <v>2878</v>
      </c>
      <c r="B1935" s="1" t="s">
        <v>2879</v>
      </c>
      <c r="C1935" s="3">
        <v>78.8</v>
      </c>
      <c r="D1935" s="5"/>
      <c r="E1935" s="5"/>
      <c r="F1935" s="5"/>
      <c r="G1935" s="4">
        <f t="shared" si="1"/>
        <v>39.4</v>
      </c>
      <c r="H1935" s="4" t="str">
        <f t="shared" si="2"/>
        <v>Sin precio neto</v>
      </c>
      <c r="I1935" s="4" t="str">
        <f t="shared" si="3"/>
        <v>Sin precio neto G.C.</v>
      </c>
      <c r="J1935" s="4">
        <f t="shared" si="4"/>
        <v>37.824</v>
      </c>
      <c r="K1935" s="4">
        <f t="shared" si="5"/>
        <v>39.4</v>
      </c>
      <c r="L1935" s="4">
        <f t="shared" si="6"/>
        <v>37.824</v>
      </c>
    </row>
    <row r="1936">
      <c r="A1936" s="1" t="s">
        <v>2880</v>
      </c>
      <c r="B1936" s="1" t="s">
        <v>2881</v>
      </c>
      <c r="C1936" s="3">
        <v>98.8</v>
      </c>
      <c r="D1936" s="5"/>
      <c r="E1936" s="5"/>
      <c r="F1936" s="5"/>
      <c r="G1936" s="4">
        <f t="shared" si="1"/>
        <v>49.4</v>
      </c>
      <c r="H1936" s="4" t="str">
        <f t="shared" si="2"/>
        <v>Sin precio neto</v>
      </c>
      <c r="I1936" s="4" t="str">
        <f t="shared" si="3"/>
        <v>Sin precio neto G.C.</v>
      </c>
      <c r="J1936" s="4">
        <f t="shared" si="4"/>
        <v>47.424</v>
      </c>
      <c r="K1936" s="4">
        <f t="shared" si="5"/>
        <v>49.4</v>
      </c>
      <c r="L1936" s="4">
        <f t="shared" si="6"/>
        <v>47.424</v>
      </c>
    </row>
    <row r="1937">
      <c r="A1937" s="1" t="s">
        <v>2882</v>
      </c>
      <c r="B1937" s="1" t="s">
        <v>2883</v>
      </c>
      <c r="C1937" s="3">
        <v>78.4</v>
      </c>
      <c r="D1937" s="5"/>
      <c r="E1937" s="5"/>
      <c r="F1937" s="5"/>
      <c r="G1937" s="4">
        <f t="shared" si="1"/>
        <v>39.2</v>
      </c>
      <c r="H1937" s="4" t="str">
        <f t="shared" si="2"/>
        <v>Sin precio neto</v>
      </c>
      <c r="I1937" s="4" t="str">
        <f t="shared" si="3"/>
        <v>Sin precio neto G.C.</v>
      </c>
      <c r="J1937" s="4">
        <f t="shared" si="4"/>
        <v>37.632</v>
      </c>
      <c r="K1937" s="4">
        <f t="shared" si="5"/>
        <v>39.2</v>
      </c>
      <c r="L1937" s="4">
        <f t="shared" si="6"/>
        <v>37.632</v>
      </c>
    </row>
    <row r="1938">
      <c r="A1938" s="1" t="s">
        <v>2884</v>
      </c>
      <c r="B1938" s="1" t="s">
        <v>2885</v>
      </c>
      <c r="C1938" s="3">
        <v>79.8</v>
      </c>
      <c r="D1938" s="5"/>
      <c r="E1938" s="5"/>
      <c r="F1938" s="5"/>
      <c r="G1938" s="4">
        <f t="shared" si="1"/>
        <v>39.9</v>
      </c>
      <c r="H1938" s="4" t="str">
        <f t="shared" si="2"/>
        <v>Sin precio neto</v>
      </c>
      <c r="I1938" s="4" t="str">
        <f t="shared" si="3"/>
        <v>Sin precio neto G.C.</v>
      </c>
      <c r="J1938" s="4">
        <f t="shared" si="4"/>
        <v>38.304</v>
      </c>
      <c r="K1938" s="4">
        <f t="shared" si="5"/>
        <v>39.9</v>
      </c>
      <c r="L1938" s="4">
        <f t="shared" si="6"/>
        <v>38.304</v>
      </c>
    </row>
    <row r="1939">
      <c r="A1939" s="1" t="s">
        <v>2886</v>
      </c>
      <c r="B1939" s="1" t="s">
        <v>2887</v>
      </c>
      <c r="C1939" s="3">
        <v>84.5</v>
      </c>
      <c r="D1939" s="5"/>
      <c r="E1939" s="5"/>
      <c r="F1939" s="5"/>
      <c r="G1939" s="4">
        <f t="shared" si="1"/>
        <v>42.25</v>
      </c>
      <c r="H1939" s="4" t="str">
        <f t="shared" si="2"/>
        <v>Sin precio neto</v>
      </c>
      <c r="I1939" s="4" t="str">
        <f t="shared" si="3"/>
        <v>Sin precio neto G.C.</v>
      </c>
      <c r="J1939" s="4">
        <f t="shared" si="4"/>
        <v>40.56</v>
      </c>
      <c r="K1939" s="4">
        <f t="shared" si="5"/>
        <v>42.25</v>
      </c>
      <c r="L1939" s="4">
        <f t="shared" si="6"/>
        <v>40.56</v>
      </c>
    </row>
    <row r="1940">
      <c r="A1940" s="1" t="s">
        <v>2888</v>
      </c>
      <c r="B1940" s="1" t="s">
        <v>2889</v>
      </c>
      <c r="C1940" s="3">
        <v>128.5</v>
      </c>
      <c r="D1940" s="5"/>
      <c r="E1940" s="5"/>
      <c r="F1940" s="5"/>
      <c r="G1940" s="4">
        <f t="shared" si="1"/>
        <v>64.25</v>
      </c>
      <c r="H1940" s="4" t="str">
        <f t="shared" si="2"/>
        <v>Sin precio neto</v>
      </c>
      <c r="I1940" s="4" t="str">
        <f t="shared" si="3"/>
        <v>Sin precio neto G.C.</v>
      </c>
      <c r="J1940" s="4">
        <f t="shared" si="4"/>
        <v>61.68</v>
      </c>
      <c r="K1940" s="4">
        <f t="shared" si="5"/>
        <v>64.25</v>
      </c>
      <c r="L1940" s="4">
        <f t="shared" si="6"/>
        <v>61.68</v>
      </c>
    </row>
    <row r="1941">
      <c r="A1941" s="1" t="s">
        <v>2890</v>
      </c>
      <c r="B1941" s="1" t="s">
        <v>2891</v>
      </c>
      <c r="C1941" s="3">
        <v>69.5</v>
      </c>
      <c r="D1941" s="5"/>
      <c r="E1941" s="5"/>
      <c r="F1941" s="5"/>
      <c r="G1941" s="4">
        <f t="shared" si="1"/>
        <v>34.75</v>
      </c>
      <c r="H1941" s="4" t="str">
        <f t="shared" si="2"/>
        <v>Sin precio neto</v>
      </c>
      <c r="I1941" s="4" t="str">
        <f t="shared" si="3"/>
        <v>Sin precio neto G.C.</v>
      </c>
      <c r="J1941" s="4">
        <f t="shared" si="4"/>
        <v>33.36</v>
      </c>
      <c r="K1941" s="4">
        <f t="shared" si="5"/>
        <v>34.75</v>
      </c>
      <c r="L1941" s="4">
        <f t="shared" si="6"/>
        <v>33.36</v>
      </c>
    </row>
    <row r="1942">
      <c r="A1942" s="1" t="s">
        <v>2892</v>
      </c>
      <c r="B1942" s="1" t="s">
        <v>2893</v>
      </c>
      <c r="C1942" s="3">
        <v>94.5</v>
      </c>
      <c r="D1942" s="5"/>
      <c r="E1942" s="5"/>
      <c r="F1942" s="5"/>
      <c r="G1942" s="4">
        <f t="shared" si="1"/>
        <v>47.25</v>
      </c>
      <c r="H1942" s="4" t="str">
        <f t="shared" si="2"/>
        <v>Sin precio neto</v>
      </c>
      <c r="I1942" s="4" t="str">
        <f t="shared" si="3"/>
        <v>Sin precio neto G.C.</v>
      </c>
      <c r="J1942" s="4">
        <f t="shared" si="4"/>
        <v>45.36</v>
      </c>
      <c r="K1942" s="4">
        <f t="shared" si="5"/>
        <v>47.25</v>
      </c>
      <c r="L1942" s="4">
        <f t="shared" si="6"/>
        <v>45.36</v>
      </c>
    </row>
    <row r="1943">
      <c r="A1943" s="1" t="s">
        <v>2894</v>
      </c>
      <c r="B1943" s="1" t="s">
        <v>2895</v>
      </c>
      <c r="C1943" s="3">
        <v>118.5</v>
      </c>
      <c r="D1943" s="5"/>
      <c r="E1943" s="5"/>
      <c r="F1943" s="5"/>
      <c r="G1943" s="4">
        <f t="shared" si="1"/>
        <v>59.25</v>
      </c>
      <c r="H1943" s="4" t="str">
        <f t="shared" si="2"/>
        <v>Sin precio neto</v>
      </c>
      <c r="I1943" s="4" t="str">
        <f t="shared" si="3"/>
        <v>Sin precio neto G.C.</v>
      </c>
      <c r="J1943" s="4">
        <f t="shared" si="4"/>
        <v>56.88</v>
      </c>
      <c r="K1943" s="4">
        <f t="shared" si="5"/>
        <v>59.25</v>
      </c>
      <c r="L1943" s="4">
        <f t="shared" si="6"/>
        <v>56.88</v>
      </c>
    </row>
    <row r="1944">
      <c r="A1944" s="1" t="s">
        <v>2896</v>
      </c>
      <c r="B1944" s="1" t="s">
        <v>2897</v>
      </c>
      <c r="C1944" s="3">
        <v>149.5</v>
      </c>
      <c r="D1944" s="5"/>
      <c r="E1944" s="5"/>
      <c r="F1944" s="5"/>
      <c r="G1944" s="4">
        <f t="shared" si="1"/>
        <v>74.75</v>
      </c>
      <c r="H1944" s="4" t="str">
        <f t="shared" si="2"/>
        <v>Sin precio neto</v>
      </c>
      <c r="I1944" s="4" t="str">
        <f t="shared" si="3"/>
        <v>Sin precio neto G.C.</v>
      </c>
      <c r="J1944" s="4">
        <f t="shared" si="4"/>
        <v>71.76</v>
      </c>
      <c r="K1944" s="4">
        <f t="shared" si="5"/>
        <v>74.75</v>
      </c>
      <c r="L1944" s="4">
        <f t="shared" si="6"/>
        <v>71.76</v>
      </c>
    </row>
    <row r="1945">
      <c r="A1945" s="1" t="s">
        <v>2898</v>
      </c>
      <c r="B1945" s="1" t="s">
        <v>2899</v>
      </c>
      <c r="C1945" s="3">
        <v>68.8</v>
      </c>
      <c r="D1945" s="5"/>
      <c r="E1945" s="5"/>
      <c r="F1945" s="5"/>
      <c r="G1945" s="4">
        <f t="shared" si="1"/>
        <v>34.4</v>
      </c>
      <c r="H1945" s="4" t="str">
        <f t="shared" si="2"/>
        <v>Sin precio neto</v>
      </c>
      <c r="I1945" s="4" t="str">
        <f t="shared" si="3"/>
        <v>Sin precio neto G.C.</v>
      </c>
      <c r="J1945" s="4">
        <f t="shared" si="4"/>
        <v>33.024</v>
      </c>
      <c r="K1945" s="4">
        <f t="shared" si="5"/>
        <v>34.4</v>
      </c>
      <c r="L1945" s="4">
        <f t="shared" si="6"/>
        <v>33.024</v>
      </c>
    </row>
    <row r="1946">
      <c r="A1946" s="1" t="s">
        <v>2900</v>
      </c>
      <c r="B1946" s="1" t="s">
        <v>2901</v>
      </c>
      <c r="C1946" s="3">
        <v>70.5</v>
      </c>
      <c r="D1946" s="5"/>
      <c r="E1946" s="5"/>
      <c r="F1946" s="5"/>
      <c r="G1946" s="4">
        <f t="shared" si="1"/>
        <v>35.25</v>
      </c>
      <c r="H1946" s="4" t="str">
        <f t="shared" si="2"/>
        <v>Sin precio neto</v>
      </c>
      <c r="I1946" s="4" t="str">
        <f t="shared" si="3"/>
        <v>Sin precio neto G.C.</v>
      </c>
      <c r="J1946" s="4">
        <f t="shared" si="4"/>
        <v>33.84</v>
      </c>
      <c r="K1946" s="4">
        <f t="shared" si="5"/>
        <v>35.25</v>
      </c>
      <c r="L1946" s="4">
        <f t="shared" si="6"/>
        <v>33.84</v>
      </c>
    </row>
    <row r="1947">
      <c r="A1947" s="1" t="s">
        <v>2902</v>
      </c>
      <c r="B1947" s="1" t="s">
        <v>2903</v>
      </c>
      <c r="C1947" s="3">
        <v>99.8</v>
      </c>
      <c r="D1947" s="5"/>
      <c r="E1947" s="5"/>
      <c r="F1947" s="5"/>
      <c r="G1947" s="4">
        <f t="shared" si="1"/>
        <v>49.9</v>
      </c>
      <c r="H1947" s="4" t="str">
        <f t="shared" si="2"/>
        <v>Sin precio neto</v>
      </c>
      <c r="I1947" s="4" t="str">
        <f t="shared" si="3"/>
        <v>Sin precio neto G.C.</v>
      </c>
      <c r="J1947" s="4">
        <f t="shared" si="4"/>
        <v>47.904</v>
      </c>
      <c r="K1947" s="4">
        <f t="shared" si="5"/>
        <v>49.9</v>
      </c>
      <c r="L1947" s="4">
        <f t="shared" si="6"/>
        <v>47.904</v>
      </c>
    </row>
    <row r="1948">
      <c r="A1948" s="1" t="s">
        <v>2904</v>
      </c>
      <c r="B1948" s="1" t="s">
        <v>2905</v>
      </c>
      <c r="C1948" s="3">
        <v>94.5</v>
      </c>
      <c r="D1948" s="5"/>
      <c r="E1948" s="5"/>
      <c r="F1948" s="5"/>
      <c r="G1948" s="4">
        <f t="shared" si="1"/>
        <v>47.25</v>
      </c>
      <c r="H1948" s="4" t="str">
        <f t="shared" si="2"/>
        <v>Sin precio neto</v>
      </c>
      <c r="I1948" s="4" t="str">
        <f t="shared" si="3"/>
        <v>Sin precio neto G.C.</v>
      </c>
      <c r="J1948" s="4">
        <f t="shared" si="4"/>
        <v>45.36</v>
      </c>
      <c r="K1948" s="4">
        <f t="shared" si="5"/>
        <v>47.25</v>
      </c>
      <c r="L1948" s="4">
        <f t="shared" si="6"/>
        <v>45.36</v>
      </c>
    </row>
    <row r="1949">
      <c r="A1949" s="1" t="s">
        <v>2906</v>
      </c>
      <c r="B1949" s="1" t="s">
        <v>2907</v>
      </c>
      <c r="C1949" s="3">
        <v>81.5</v>
      </c>
      <c r="D1949" s="5"/>
      <c r="E1949" s="5"/>
      <c r="F1949" s="5"/>
      <c r="G1949" s="4">
        <f t="shared" si="1"/>
        <v>40.75</v>
      </c>
      <c r="H1949" s="4" t="str">
        <f t="shared" si="2"/>
        <v>Sin precio neto</v>
      </c>
      <c r="I1949" s="4" t="str">
        <f t="shared" si="3"/>
        <v>Sin precio neto G.C.</v>
      </c>
      <c r="J1949" s="4">
        <f t="shared" si="4"/>
        <v>39.12</v>
      </c>
      <c r="K1949" s="4">
        <f t="shared" si="5"/>
        <v>40.75</v>
      </c>
      <c r="L1949" s="4">
        <f t="shared" si="6"/>
        <v>39.12</v>
      </c>
    </row>
    <row r="1950">
      <c r="A1950" s="1" t="s">
        <v>2908</v>
      </c>
      <c r="B1950" s="1" t="s">
        <v>2909</v>
      </c>
      <c r="C1950" s="3">
        <v>86.5</v>
      </c>
      <c r="D1950" s="5"/>
      <c r="E1950" s="5"/>
      <c r="F1950" s="5"/>
      <c r="G1950" s="4">
        <f t="shared" si="1"/>
        <v>43.25</v>
      </c>
      <c r="H1950" s="4" t="str">
        <f t="shared" si="2"/>
        <v>Sin precio neto</v>
      </c>
      <c r="I1950" s="4" t="str">
        <f t="shared" si="3"/>
        <v>Sin precio neto G.C.</v>
      </c>
      <c r="J1950" s="4">
        <f t="shared" si="4"/>
        <v>41.52</v>
      </c>
      <c r="K1950" s="4">
        <f t="shared" si="5"/>
        <v>43.25</v>
      </c>
      <c r="L1950" s="4">
        <f t="shared" si="6"/>
        <v>41.52</v>
      </c>
    </row>
    <row r="1951">
      <c r="A1951" s="1" t="s">
        <v>2910</v>
      </c>
      <c r="B1951" s="1" t="s">
        <v>2911</v>
      </c>
      <c r="C1951" s="3">
        <v>114.6</v>
      </c>
      <c r="D1951" s="5"/>
      <c r="E1951" s="5"/>
      <c r="F1951" s="5"/>
      <c r="G1951" s="4">
        <f t="shared" si="1"/>
        <v>57.3</v>
      </c>
      <c r="H1951" s="4" t="str">
        <f t="shared" si="2"/>
        <v>Sin precio neto</v>
      </c>
      <c r="I1951" s="4" t="str">
        <f t="shared" si="3"/>
        <v>Sin precio neto G.C.</v>
      </c>
      <c r="J1951" s="4">
        <f t="shared" si="4"/>
        <v>55.008</v>
      </c>
      <c r="K1951" s="4">
        <f t="shared" si="5"/>
        <v>57.3</v>
      </c>
      <c r="L1951" s="4">
        <f t="shared" si="6"/>
        <v>55.008</v>
      </c>
    </row>
    <row r="1952">
      <c r="A1952" s="1" t="s">
        <v>2912</v>
      </c>
      <c r="B1952" s="1" t="s">
        <v>2913</v>
      </c>
      <c r="C1952" s="3">
        <v>142.5</v>
      </c>
      <c r="D1952" s="5"/>
      <c r="E1952" s="5"/>
      <c r="F1952" s="5"/>
      <c r="G1952" s="4">
        <f t="shared" si="1"/>
        <v>71.25</v>
      </c>
      <c r="H1952" s="4" t="str">
        <f t="shared" si="2"/>
        <v>Sin precio neto</v>
      </c>
      <c r="I1952" s="4" t="str">
        <f t="shared" si="3"/>
        <v>Sin precio neto G.C.</v>
      </c>
      <c r="J1952" s="4">
        <f t="shared" si="4"/>
        <v>68.4</v>
      </c>
      <c r="K1952" s="4">
        <f t="shared" si="5"/>
        <v>71.25</v>
      </c>
      <c r="L1952" s="4">
        <f t="shared" si="6"/>
        <v>68.4</v>
      </c>
    </row>
    <row r="1953">
      <c r="A1953" s="1" t="s">
        <v>2914</v>
      </c>
      <c r="B1953" s="1" t="s">
        <v>2915</v>
      </c>
      <c r="C1953" s="3">
        <v>56.0</v>
      </c>
      <c r="D1953" s="5"/>
      <c r="E1953" s="5"/>
      <c r="F1953" s="5"/>
      <c r="G1953" s="4">
        <f t="shared" si="1"/>
        <v>28</v>
      </c>
      <c r="H1953" s="4" t="str">
        <f t="shared" si="2"/>
        <v>Sin precio neto</v>
      </c>
      <c r="I1953" s="4" t="str">
        <f t="shared" si="3"/>
        <v>Sin precio neto G.C.</v>
      </c>
      <c r="J1953" s="4">
        <f t="shared" si="4"/>
        <v>26.88</v>
      </c>
      <c r="K1953" s="4">
        <f t="shared" si="5"/>
        <v>28</v>
      </c>
      <c r="L1953" s="4">
        <f t="shared" si="6"/>
        <v>26.88</v>
      </c>
    </row>
    <row r="1954">
      <c r="A1954" s="1" t="s">
        <v>2916</v>
      </c>
      <c r="B1954" s="1" t="s">
        <v>2917</v>
      </c>
      <c r="C1954" s="3">
        <v>62.0</v>
      </c>
      <c r="D1954" s="5"/>
      <c r="E1954" s="5"/>
      <c r="F1954" s="5"/>
      <c r="G1954" s="4">
        <f t="shared" si="1"/>
        <v>31</v>
      </c>
      <c r="H1954" s="4" t="str">
        <f t="shared" si="2"/>
        <v>Sin precio neto</v>
      </c>
      <c r="I1954" s="4" t="str">
        <f t="shared" si="3"/>
        <v>Sin precio neto G.C.</v>
      </c>
      <c r="J1954" s="4">
        <f t="shared" si="4"/>
        <v>29.76</v>
      </c>
      <c r="K1954" s="4">
        <f t="shared" si="5"/>
        <v>31</v>
      </c>
      <c r="L1954" s="4">
        <f t="shared" si="6"/>
        <v>29.76</v>
      </c>
    </row>
    <row r="1955">
      <c r="A1955" s="1" t="s">
        <v>2918</v>
      </c>
      <c r="B1955" s="1" t="s">
        <v>2919</v>
      </c>
      <c r="C1955" s="3">
        <v>130.76</v>
      </c>
      <c r="D1955" s="5"/>
      <c r="E1955" s="5"/>
      <c r="F1955" s="5"/>
      <c r="G1955" s="4">
        <f t="shared" si="1"/>
        <v>65.38</v>
      </c>
      <c r="H1955" s="4" t="str">
        <f t="shared" si="2"/>
        <v>Sin precio neto</v>
      </c>
      <c r="I1955" s="4" t="str">
        <f t="shared" si="3"/>
        <v>Sin precio neto G.C.</v>
      </c>
      <c r="J1955" s="4">
        <f t="shared" si="4"/>
        <v>62.7648</v>
      </c>
      <c r="K1955" s="4">
        <f t="shared" si="5"/>
        <v>65.38</v>
      </c>
      <c r="L1955" s="4">
        <f t="shared" si="6"/>
        <v>62.7648</v>
      </c>
    </row>
    <row r="1956">
      <c r="A1956" s="1" t="s">
        <v>2920</v>
      </c>
      <c r="B1956" s="1" t="s">
        <v>2921</v>
      </c>
      <c r="C1956" s="3">
        <v>138.4</v>
      </c>
      <c r="D1956" s="5"/>
      <c r="E1956" s="5"/>
      <c r="F1956" s="5"/>
      <c r="G1956" s="4">
        <f t="shared" si="1"/>
        <v>69.2</v>
      </c>
      <c r="H1956" s="4" t="str">
        <f t="shared" si="2"/>
        <v>Sin precio neto</v>
      </c>
      <c r="I1956" s="4" t="str">
        <f t="shared" si="3"/>
        <v>Sin precio neto G.C.</v>
      </c>
      <c r="J1956" s="4">
        <f t="shared" si="4"/>
        <v>66.432</v>
      </c>
      <c r="K1956" s="4">
        <f t="shared" si="5"/>
        <v>69.2</v>
      </c>
      <c r="L1956" s="4">
        <f t="shared" si="6"/>
        <v>66.432</v>
      </c>
    </row>
    <row r="1957">
      <c r="A1957" s="1" t="s">
        <v>2922</v>
      </c>
      <c r="B1957" s="1" t="s">
        <v>2923</v>
      </c>
      <c r="C1957" s="3">
        <v>136.7</v>
      </c>
      <c r="D1957" s="5"/>
      <c r="E1957" s="5"/>
      <c r="F1957" s="5"/>
      <c r="G1957" s="4">
        <f t="shared" si="1"/>
        <v>68.35</v>
      </c>
      <c r="H1957" s="4" t="str">
        <f t="shared" si="2"/>
        <v>Sin precio neto</v>
      </c>
      <c r="I1957" s="4" t="str">
        <f t="shared" si="3"/>
        <v>Sin precio neto G.C.</v>
      </c>
      <c r="J1957" s="4">
        <f t="shared" si="4"/>
        <v>65.616</v>
      </c>
      <c r="K1957" s="4">
        <f t="shared" si="5"/>
        <v>68.35</v>
      </c>
      <c r="L1957" s="4">
        <f t="shared" si="6"/>
        <v>65.616</v>
      </c>
    </row>
    <row r="1958">
      <c r="A1958" s="1" t="s">
        <v>2924</v>
      </c>
      <c r="B1958" s="1" t="s">
        <v>2925</v>
      </c>
      <c r="C1958" s="3">
        <v>152.0</v>
      </c>
      <c r="D1958" s="5"/>
      <c r="E1958" s="5"/>
      <c r="F1958" s="5"/>
      <c r="G1958" s="4">
        <f t="shared" si="1"/>
        <v>76</v>
      </c>
      <c r="H1958" s="4" t="str">
        <f t="shared" si="2"/>
        <v>Sin precio neto</v>
      </c>
      <c r="I1958" s="4" t="str">
        <f t="shared" si="3"/>
        <v>Sin precio neto G.C.</v>
      </c>
      <c r="J1958" s="4">
        <f t="shared" si="4"/>
        <v>72.96</v>
      </c>
      <c r="K1958" s="4">
        <f t="shared" si="5"/>
        <v>76</v>
      </c>
      <c r="L1958" s="4">
        <f t="shared" si="6"/>
        <v>72.96</v>
      </c>
    </row>
    <row r="1959">
      <c r="A1959" s="1" t="s">
        <v>2926</v>
      </c>
      <c r="B1959" s="1" t="s">
        <v>2927</v>
      </c>
      <c r="C1959" s="3">
        <v>152.4</v>
      </c>
      <c r="D1959" s="5"/>
      <c r="E1959" s="5"/>
      <c r="F1959" s="5"/>
      <c r="G1959" s="4">
        <f t="shared" si="1"/>
        <v>76.2</v>
      </c>
      <c r="H1959" s="4" t="str">
        <f t="shared" si="2"/>
        <v>Sin precio neto</v>
      </c>
      <c r="I1959" s="4" t="str">
        <f t="shared" si="3"/>
        <v>Sin precio neto G.C.</v>
      </c>
      <c r="J1959" s="4">
        <f t="shared" si="4"/>
        <v>73.152</v>
      </c>
      <c r="K1959" s="4">
        <f t="shared" si="5"/>
        <v>76.2</v>
      </c>
      <c r="L1959" s="4">
        <f t="shared" si="6"/>
        <v>73.152</v>
      </c>
    </row>
    <row r="1960">
      <c r="A1960" s="1" t="s">
        <v>2928</v>
      </c>
      <c r="B1960" s="1" t="s">
        <v>2929</v>
      </c>
      <c r="C1960" s="3">
        <v>218.4</v>
      </c>
      <c r="D1960" s="5"/>
      <c r="E1960" s="5"/>
      <c r="F1960" s="5"/>
      <c r="G1960" s="4">
        <f t="shared" si="1"/>
        <v>109.2</v>
      </c>
      <c r="H1960" s="4" t="str">
        <f t="shared" si="2"/>
        <v>Sin precio neto</v>
      </c>
      <c r="I1960" s="4" t="str">
        <f t="shared" si="3"/>
        <v>Sin precio neto G.C.</v>
      </c>
      <c r="J1960" s="4">
        <f t="shared" si="4"/>
        <v>104.832</v>
      </c>
      <c r="K1960" s="4">
        <f t="shared" si="5"/>
        <v>109.2</v>
      </c>
      <c r="L1960" s="4">
        <f t="shared" si="6"/>
        <v>104.832</v>
      </c>
    </row>
    <row r="1961">
      <c r="A1961" s="1" t="s">
        <v>2930</v>
      </c>
      <c r="B1961" s="1" t="s">
        <v>2931</v>
      </c>
      <c r="C1961" s="3">
        <v>220.4</v>
      </c>
      <c r="D1961" s="5"/>
      <c r="E1961" s="5"/>
      <c r="F1961" s="5"/>
      <c r="G1961" s="4">
        <f t="shared" si="1"/>
        <v>110.2</v>
      </c>
      <c r="H1961" s="4" t="str">
        <f t="shared" si="2"/>
        <v>Sin precio neto</v>
      </c>
      <c r="I1961" s="4" t="str">
        <f t="shared" si="3"/>
        <v>Sin precio neto G.C.</v>
      </c>
      <c r="J1961" s="4">
        <f t="shared" si="4"/>
        <v>105.792</v>
      </c>
      <c r="K1961" s="4">
        <f t="shared" si="5"/>
        <v>110.2</v>
      </c>
      <c r="L1961" s="4">
        <f t="shared" si="6"/>
        <v>105.792</v>
      </c>
    </row>
    <row r="1962">
      <c r="A1962" s="1" t="s">
        <v>2932</v>
      </c>
      <c r="B1962" s="1" t="s">
        <v>2933</v>
      </c>
      <c r="C1962" s="3">
        <v>124.7</v>
      </c>
      <c r="D1962" s="5"/>
      <c r="E1962" s="5"/>
      <c r="F1962" s="5"/>
      <c r="G1962" s="4">
        <f t="shared" si="1"/>
        <v>62.35</v>
      </c>
      <c r="H1962" s="4" t="str">
        <f t="shared" si="2"/>
        <v>Sin precio neto</v>
      </c>
      <c r="I1962" s="4" t="str">
        <f t="shared" si="3"/>
        <v>Sin precio neto G.C.</v>
      </c>
      <c r="J1962" s="4">
        <f t="shared" si="4"/>
        <v>59.856</v>
      </c>
      <c r="K1962" s="4">
        <f t="shared" si="5"/>
        <v>62.35</v>
      </c>
      <c r="L1962" s="4">
        <f t="shared" si="6"/>
        <v>59.856</v>
      </c>
    </row>
    <row r="1963">
      <c r="A1963" s="1" t="s">
        <v>2934</v>
      </c>
      <c r="B1963" s="1" t="s">
        <v>2935</v>
      </c>
      <c r="C1963" s="3">
        <v>74.0</v>
      </c>
      <c r="D1963" s="5"/>
      <c r="E1963" s="5"/>
      <c r="F1963" s="5"/>
      <c r="G1963" s="4">
        <f t="shared" si="1"/>
        <v>37</v>
      </c>
      <c r="H1963" s="4" t="str">
        <f t="shared" si="2"/>
        <v>Sin precio neto</v>
      </c>
      <c r="I1963" s="4" t="str">
        <f t="shared" si="3"/>
        <v>Sin precio neto G.C.</v>
      </c>
      <c r="J1963" s="4">
        <f t="shared" si="4"/>
        <v>35.52</v>
      </c>
      <c r="K1963" s="4">
        <f t="shared" si="5"/>
        <v>37</v>
      </c>
      <c r="L1963" s="4">
        <f t="shared" si="6"/>
        <v>35.52</v>
      </c>
    </row>
    <row r="1964">
      <c r="A1964" s="1" t="s">
        <v>2936</v>
      </c>
      <c r="B1964" s="1" t="s">
        <v>2937</v>
      </c>
      <c r="C1964" s="3">
        <v>83.9</v>
      </c>
      <c r="D1964" s="5"/>
      <c r="E1964" s="5"/>
      <c r="F1964" s="5"/>
      <c r="G1964" s="4">
        <f t="shared" si="1"/>
        <v>41.95</v>
      </c>
      <c r="H1964" s="4" t="str">
        <f t="shared" si="2"/>
        <v>Sin precio neto</v>
      </c>
      <c r="I1964" s="4" t="str">
        <f t="shared" si="3"/>
        <v>Sin precio neto G.C.</v>
      </c>
      <c r="J1964" s="4">
        <f t="shared" si="4"/>
        <v>40.272</v>
      </c>
      <c r="K1964" s="4">
        <f t="shared" si="5"/>
        <v>41.95</v>
      </c>
      <c r="L1964" s="4">
        <f t="shared" si="6"/>
        <v>40.272</v>
      </c>
    </row>
    <row r="1965">
      <c r="A1965" s="1" t="s">
        <v>2938</v>
      </c>
      <c r="B1965" s="1" t="s">
        <v>2939</v>
      </c>
      <c r="C1965" s="3">
        <v>83.9</v>
      </c>
      <c r="D1965" s="5"/>
      <c r="E1965" s="5"/>
      <c r="F1965" s="5"/>
      <c r="G1965" s="4">
        <f t="shared" si="1"/>
        <v>41.95</v>
      </c>
      <c r="H1965" s="4" t="str">
        <f t="shared" si="2"/>
        <v>Sin precio neto</v>
      </c>
      <c r="I1965" s="4" t="str">
        <f t="shared" si="3"/>
        <v>Sin precio neto G.C.</v>
      </c>
      <c r="J1965" s="4">
        <f t="shared" si="4"/>
        <v>40.272</v>
      </c>
      <c r="K1965" s="4">
        <f t="shared" si="5"/>
        <v>41.95</v>
      </c>
      <c r="L1965" s="4">
        <f t="shared" si="6"/>
        <v>40.272</v>
      </c>
    </row>
    <row r="1966">
      <c r="A1966" s="1" t="s">
        <v>2940</v>
      </c>
      <c r="B1966" s="1" t="s">
        <v>2941</v>
      </c>
      <c r="C1966" s="3">
        <v>95.46</v>
      </c>
      <c r="D1966" s="5"/>
      <c r="E1966" s="5"/>
      <c r="F1966" s="5"/>
      <c r="G1966" s="4">
        <f t="shared" si="1"/>
        <v>47.73</v>
      </c>
      <c r="H1966" s="4" t="str">
        <f t="shared" si="2"/>
        <v>Sin precio neto</v>
      </c>
      <c r="I1966" s="4" t="str">
        <f t="shared" si="3"/>
        <v>Sin precio neto G.C.</v>
      </c>
      <c r="J1966" s="4">
        <f t="shared" si="4"/>
        <v>45.8208</v>
      </c>
      <c r="K1966" s="4">
        <f t="shared" si="5"/>
        <v>47.73</v>
      </c>
      <c r="L1966" s="4">
        <f t="shared" si="6"/>
        <v>45.8208</v>
      </c>
    </row>
    <row r="1967">
      <c r="A1967" s="1" t="s">
        <v>2942</v>
      </c>
      <c r="B1967" s="1" t="s">
        <v>2943</v>
      </c>
      <c r="C1967" s="3">
        <v>95.46</v>
      </c>
      <c r="D1967" s="5"/>
      <c r="E1967" s="5"/>
      <c r="F1967" s="5"/>
      <c r="G1967" s="4">
        <f t="shared" si="1"/>
        <v>47.73</v>
      </c>
      <c r="H1967" s="4" t="str">
        <f t="shared" si="2"/>
        <v>Sin precio neto</v>
      </c>
      <c r="I1967" s="4" t="str">
        <f t="shared" si="3"/>
        <v>Sin precio neto G.C.</v>
      </c>
      <c r="J1967" s="4">
        <f t="shared" si="4"/>
        <v>45.8208</v>
      </c>
      <c r="K1967" s="4">
        <f t="shared" si="5"/>
        <v>47.73</v>
      </c>
      <c r="L1967" s="4">
        <f t="shared" si="6"/>
        <v>45.8208</v>
      </c>
    </row>
    <row r="1968">
      <c r="A1968" s="1" t="s">
        <v>2944</v>
      </c>
      <c r="B1968" s="1" t="s">
        <v>2945</v>
      </c>
      <c r="C1968" s="3">
        <v>107.0</v>
      </c>
      <c r="D1968" s="5"/>
      <c r="E1968" s="5"/>
      <c r="F1968" s="5"/>
      <c r="G1968" s="4">
        <f t="shared" si="1"/>
        <v>53.5</v>
      </c>
      <c r="H1968" s="4" t="str">
        <f t="shared" si="2"/>
        <v>Sin precio neto</v>
      </c>
      <c r="I1968" s="4" t="str">
        <f t="shared" si="3"/>
        <v>Sin precio neto G.C.</v>
      </c>
      <c r="J1968" s="4">
        <f t="shared" si="4"/>
        <v>51.36</v>
      </c>
      <c r="K1968" s="4">
        <f t="shared" si="5"/>
        <v>53.5</v>
      </c>
      <c r="L1968" s="4">
        <f t="shared" si="6"/>
        <v>51.36</v>
      </c>
    </row>
    <row r="1969">
      <c r="A1969" s="1" t="s">
        <v>2946</v>
      </c>
      <c r="B1969" s="1" t="s">
        <v>2947</v>
      </c>
      <c r="C1969" s="3">
        <v>108.0</v>
      </c>
      <c r="D1969" s="5"/>
      <c r="E1969" s="5"/>
      <c r="F1969" s="5"/>
      <c r="G1969" s="4">
        <f t="shared" si="1"/>
        <v>54</v>
      </c>
      <c r="H1969" s="4" t="str">
        <f t="shared" si="2"/>
        <v>Sin precio neto</v>
      </c>
      <c r="I1969" s="4" t="str">
        <f t="shared" si="3"/>
        <v>Sin precio neto G.C.</v>
      </c>
      <c r="J1969" s="4">
        <f t="shared" si="4"/>
        <v>51.84</v>
      </c>
      <c r="K1969" s="4">
        <f t="shared" si="5"/>
        <v>54</v>
      </c>
      <c r="L1969" s="4">
        <f t="shared" si="6"/>
        <v>51.84</v>
      </c>
    </row>
    <row r="1970">
      <c r="A1970" s="1" t="s">
        <v>2948</v>
      </c>
      <c r="B1970" s="1" t="s">
        <v>2949</v>
      </c>
      <c r="C1970" s="3">
        <v>78.66</v>
      </c>
      <c r="D1970" s="5"/>
      <c r="E1970" s="5"/>
      <c r="F1970" s="5"/>
      <c r="G1970" s="4">
        <f t="shared" si="1"/>
        <v>39.33</v>
      </c>
      <c r="H1970" s="4" t="str">
        <f t="shared" si="2"/>
        <v>Sin precio neto</v>
      </c>
      <c r="I1970" s="4" t="str">
        <f t="shared" si="3"/>
        <v>Sin precio neto G.C.</v>
      </c>
      <c r="J1970" s="4">
        <f t="shared" si="4"/>
        <v>37.7568</v>
      </c>
      <c r="K1970" s="4">
        <f t="shared" si="5"/>
        <v>39.33</v>
      </c>
      <c r="L1970" s="4">
        <f t="shared" si="6"/>
        <v>37.7568</v>
      </c>
    </row>
    <row r="1971">
      <c r="A1971" s="1" t="s">
        <v>2950</v>
      </c>
      <c r="B1971" s="1" t="s">
        <v>2951</v>
      </c>
      <c r="C1971" s="3">
        <v>80.76</v>
      </c>
      <c r="D1971" s="5"/>
      <c r="E1971" s="5"/>
      <c r="F1971" s="5"/>
      <c r="G1971" s="4">
        <f t="shared" si="1"/>
        <v>40.38</v>
      </c>
      <c r="H1971" s="4" t="str">
        <f t="shared" si="2"/>
        <v>Sin precio neto</v>
      </c>
      <c r="I1971" s="4" t="str">
        <f t="shared" si="3"/>
        <v>Sin precio neto G.C.</v>
      </c>
      <c r="J1971" s="4">
        <f t="shared" si="4"/>
        <v>38.7648</v>
      </c>
      <c r="K1971" s="4">
        <f t="shared" si="5"/>
        <v>40.38</v>
      </c>
      <c r="L1971" s="4">
        <f t="shared" si="6"/>
        <v>38.7648</v>
      </c>
    </row>
    <row r="1972">
      <c r="A1972" s="1" t="s">
        <v>2952</v>
      </c>
      <c r="B1972" s="1" t="s">
        <v>2953</v>
      </c>
      <c r="C1972" s="3">
        <v>92.26</v>
      </c>
      <c r="D1972" s="5"/>
      <c r="E1972" s="5"/>
      <c r="F1972" s="5"/>
      <c r="G1972" s="4">
        <f t="shared" si="1"/>
        <v>46.13</v>
      </c>
      <c r="H1972" s="4" t="str">
        <f t="shared" si="2"/>
        <v>Sin precio neto</v>
      </c>
      <c r="I1972" s="4" t="str">
        <f t="shared" si="3"/>
        <v>Sin precio neto G.C.</v>
      </c>
      <c r="J1972" s="4">
        <f t="shared" si="4"/>
        <v>44.2848</v>
      </c>
      <c r="K1972" s="4">
        <f t="shared" si="5"/>
        <v>46.13</v>
      </c>
      <c r="L1972" s="4">
        <f t="shared" si="6"/>
        <v>44.2848</v>
      </c>
    </row>
    <row r="1973">
      <c r="A1973" s="1" t="s">
        <v>2954</v>
      </c>
      <c r="B1973" s="1" t="s">
        <v>2955</v>
      </c>
      <c r="C1973" s="3">
        <v>125.7</v>
      </c>
      <c r="D1973" s="5"/>
      <c r="E1973" s="5"/>
      <c r="F1973" s="5"/>
      <c r="G1973" s="4">
        <f t="shared" si="1"/>
        <v>62.85</v>
      </c>
      <c r="H1973" s="4" t="str">
        <f t="shared" si="2"/>
        <v>Sin precio neto</v>
      </c>
      <c r="I1973" s="4" t="str">
        <f t="shared" si="3"/>
        <v>Sin precio neto G.C.</v>
      </c>
      <c r="J1973" s="4">
        <f t="shared" si="4"/>
        <v>60.336</v>
      </c>
      <c r="K1973" s="4">
        <f t="shared" si="5"/>
        <v>62.85</v>
      </c>
      <c r="L1973" s="4">
        <f t="shared" si="6"/>
        <v>60.336</v>
      </c>
    </row>
    <row r="1974">
      <c r="A1974" s="1" t="s">
        <v>2956</v>
      </c>
      <c r="B1974" s="1" t="s">
        <v>2957</v>
      </c>
      <c r="C1974" s="3">
        <v>107.0</v>
      </c>
      <c r="D1974" s="5"/>
      <c r="E1974" s="5"/>
      <c r="F1974" s="5"/>
      <c r="G1974" s="4">
        <f t="shared" si="1"/>
        <v>53.5</v>
      </c>
      <c r="H1974" s="4" t="str">
        <f t="shared" si="2"/>
        <v>Sin precio neto</v>
      </c>
      <c r="I1974" s="4" t="str">
        <f t="shared" si="3"/>
        <v>Sin precio neto G.C.</v>
      </c>
      <c r="J1974" s="4">
        <f t="shared" si="4"/>
        <v>51.36</v>
      </c>
      <c r="K1974" s="4">
        <f t="shared" si="5"/>
        <v>53.5</v>
      </c>
      <c r="L1974" s="4">
        <f t="shared" si="6"/>
        <v>51.36</v>
      </c>
    </row>
    <row r="1975">
      <c r="A1975" s="1" t="s">
        <v>2958</v>
      </c>
      <c r="B1975" s="1" t="s">
        <v>2959</v>
      </c>
      <c r="C1975" s="3">
        <v>135.8</v>
      </c>
      <c r="D1975" s="5"/>
      <c r="E1975" s="5"/>
      <c r="F1975" s="5"/>
      <c r="G1975" s="4">
        <f t="shared" si="1"/>
        <v>67.9</v>
      </c>
      <c r="H1975" s="4" t="str">
        <f t="shared" si="2"/>
        <v>Sin precio neto</v>
      </c>
      <c r="I1975" s="4" t="str">
        <f t="shared" si="3"/>
        <v>Sin precio neto G.C.</v>
      </c>
      <c r="J1975" s="4">
        <f t="shared" si="4"/>
        <v>65.184</v>
      </c>
      <c r="K1975" s="4">
        <f t="shared" si="5"/>
        <v>67.9</v>
      </c>
      <c r="L1975" s="4">
        <f t="shared" si="6"/>
        <v>65.184</v>
      </c>
    </row>
    <row r="1976">
      <c r="A1976" s="1" t="s">
        <v>2960</v>
      </c>
      <c r="B1976" s="1" t="s">
        <v>2961</v>
      </c>
      <c r="C1976" s="3">
        <v>170.1</v>
      </c>
      <c r="D1976" s="5"/>
      <c r="E1976" s="5"/>
      <c r="F1976" s="5"/>
      <c r="G1976" s="4">
        <f t="shared" si="1"/>
        <v>85.05</v>
      </c>
      <c r="H1976" s="4" t="str">
        <f t="shared" si="2"/>
        <v>Sin precio neto</v>
      </c>
      <c r="I1976" s="4" t="str">
        <f t="shared" si="3"/>
        <v>Sin precio neto G.C.</v>
      </c>
      <c r="J1976" s="4">
        <f t="shared" si="4"/>
        <v>81.648</v>
      </c>
      <c r="K1976" s="4">
        <f t="shared" si="5"/>
        <v>85.05</v>
      </c>
      <c r="L1976" s="4">
        <f t="shared" si="6"/>
        <v>81.648</v>
      </c>
    </row>
    <row r="1977">
      <c r="A1977" s="1" t="s">
        <v>2962</v>
      </c>
      <c r="B1977" s="1" t="s">
        <v>2963</v>
      </c>
      <c r="C1977" s="3">
        <v>161.0</v>
      </c>
      <c r="D1977" s="5"/>
      <c r="E1977" s="5"/>
      <c r="F1977" s="5"/>
      <c r="G1977" s="4">
        <f t="shared" si="1"/>
        <v>80.5</v>
      </c>
      <c r="H1977" s="4" t="str">
        <f t="shared" si="2"/>
        <v>Sin precio neto</v>
      </c>
      <c r="I1977" s="4" t="str">
        <f t="shared" si="3"/>
        <v>Sin precio neto G.C.</v>
      </c>
      <c r="J1977" s="4">
        <f t="shared" si="4"/>
        <v>77.28</v>
      </c>
      <c r="K1977" s="4">
        <f t="shared" si="5"/>
        <v>80.5</v>
      </c>
      <c r="L1977" s="4">
        <f t="shared" si="6"/>
        <v>77.28</v>
      </c>
    </row>
    <row r="1978">
      <c r="A1978" s="1" t="s">
        <v>2964</v>
      </c>
      <c r="B1978" s="1" t="s">
        <v>2965</v>
      </c>
      <c r="C1978" s="3">
        <v>168.9</v>
      </c>
      <c r="D1978" s="5"/>
      <c r="E1978" s="5"/>
      <c r="F1978" s="5"/>
      <c r="G1978" s="4">
        <f t="shared" si="1"/>
        <v>84.45</v>
      </c>
      <c r="H1978" s="4" t="str">
        <f t="shared" si="2"/>
        <v>Sin precio neto</v>
      </c>
      <c r="I1978" s="4" t="str">
        <f t="shared" si="3"/>
        <v>Sin precio neto G.C.</v>
      </c>
      <c r="J1978" s="4">
        <f t="shared" si="4"/>
        <v>81.072</v>
      </c>
      <c r="K1978" s="4">
        <f t="shared" si="5"/>
        <v>84.45</v>
      </c>
      <c r="L1978" s="4">
        <f t="shared" si="6"/>
        <v>81.072</v>
      </c>
    </row>
    <row r="1979">
      <c r="A1979" s="1" t="s">
        <v>2966</v>
      </c>
      <c r="B1979" s="1" t="s">
        <v>2967</v>
      </c>
      <c r="C1979" s="3">
        <v>205.0</v>
      </c>
      <c r="D1979" s="5"/>
      <c r="E1979" s="5"/>
      <c r="F1979" s="5"/>
      <c r="G1979" s="4">
        <f t="shared" si="1"/>
        <v>102.5</v>
      </c>
      <c r="H1979" s="4" t="str">
        <f t="shared" si="2"/>
        <v>Sin precio neto</v>
      </c>
      <c r="I1979" s="4" t="str">
        <f t="shared" si="3"/>
        <v>Sin precio neto G.C.</v>
      </c>
      <c r="J1979" s="4">
        <f t="shared" si="4"/>
        <v>98.4</v>
      </c>
      <c r="K1979" s="4">
        <f t="shared" si="5"/>
        <v>102.5</v>
      </c>
      <c r="L1979" s="4">
        <f t="shared" si="6"/>
        <v>98.4</v>
      </c>
    </row>
    <row r="1980">
      <c r="A1980" s="1" t="s">
        <v>2968</v>
      </c>
      <c r="B1980" s="1" t="s">
        <v>2969</v>
      </c>
      <c r="C1980" s="3">
        <v>204.66</v>
      </c>
      <c r="D1980" s="5"/>
      <c r="E1980" s="5"/>
      <c r="F1980" s="5"/>
      <c r="G1980" s="4">
        <f t="shared" si="1"/>
        <v>102.33</v>
      </c>
      <c r="H1980" s="4" t="str">
        <f t="shared" si="2"/>
        <v>Sin precio neto</v>
      </c>
      <c r="I1980" s="4" t="str">
        <f t="shared" si="3"/>
        <v>Sin precio neto G.C.</v>
      </c>
      <c r="J1980" s="4">
        <f t="shared" si="4"/>
        <v>98.2368</v>
      </c>
      <c r="K1980" s="4">
        <f t="shared" si="5"/>
        <v>102.33</v>
      </c>
      <c r="L1980" s="4">
        <f t="shared" si="6"/>
        <v>98.2368</v>
      </c>
    </row>
    <row r="1981">
      <c r="A1981" s="1" t="s">
        <v>2970</v>
      </c>
      <c r="B1981" s="1" t="s">
        <v>2971</v>
      </c>
      <c r="C1981" s="3">
        <v>212.0</v>
      </c>
      <c r="D1981" s="5"/>
      <c r="E1981" s="5"/>
      <c r="F1981" s="5"/>
      <c r="G1981" s="4">
        <f t="shared" si="1"/>
        <v>106</v>
      </c>
      <c r="H1981" s="4" t="str">
        <f t="shared" si="2"/>
        <v>Sin precio neto</v>
      </c>
      <c r="I1981" s="4" t="str">
        <f t="shared" si="3"/>
        <v>Sin precio neto G.C.</v>
      </c>
      <c r="J1981" s="4">
        <f t="shared" si="4"/>
        <v>101.76</v>
      </c>
      <c r="K1981" s="4">
        <f t="shared" si="5"/>
        <v>106</v>
      </c>
      <c r="L1981" s="4">
        <f t="shared" si="6"/>
        <v>101.76</v>
      </c>
    </row>
    <row r="1982">
      <c r="A1982" s="1" t="s">
        <v>2972</v>
      </c>
      <c r="B1982" s="1" t="s">
        <v>2973</v>
      </c>
      <c r="C1982" s="3">
        <v>235.0</v>
      </c>
      <c r="D1982" s="5"/>
      <c r="E1982" s="5"/>
      <c r="F1982" s="5"/>
      <c r="G1982" s="4">
        <f t="shared" si="1"/>
        <v>117.5</v>
      </c>
      <c r="H1982" s="4" t="str">
        <f t="shared" si="2"/>
        <v>Sin precio neto</v>
      </c>
      <c r="I1982" s="4" t="str">
        <f t="shared" si="3"/>
        <v>Sin precio neto G.C.</v>
      </c>
      <c r="J1982" s="4">
        <f t="shared" si="4"/>
        <v>112.8</v>
      </c>
      <c r="K1982" s="4">
        <f t="shared" si="5"/>
        <v>117.5</v>
      </c>
      <c r="L1982" s="4">
        <f t="shared" si="6"/>
        <v>112.8</v>
      </c>
    </row>
    <row r="1983">
      <c r="A1983" s="1" t="s">
        <v>2974</v>
      </c>
      <c r="B1983" s="1" t="s">
        <v>2975</v>
      </c>
      <c r="C1983" s="3">
        <v>138.3</v>
      </c>
      <c r="D1983" s="5"/>
      <c r="E1983" s="5"/>
      <c r="F1983" s="5"/>
      <c r="G1983" s="4">
        <f t="shared" si="1"/>
        <v>69.15</v>
      </c>
      <c r="H1983" s="4" t="str">
        <f t="shared" si="2"/>
        <v>Sin precio neto</v>
      </c>
      <c r="I1983" s="4" t="str">
        <f t="shared" si="3"/>
        <v>Sin precio neto G.C.</v>
      </c>
      <c r="J1983" s="4">
        <f t="shared" si="4"/>
        <v>66.384</v>
      </c>
      <c r="K1983" s="4">
        <f t="shared" si="5"/>
        <v>69.15</v>
      </c>
      <c r="L1983" s="4">
        <f t="shared" si="6"/>
        <v>66.384</v>
      </c>
    </row>
    <row r="1984">
      <c r="A1984" s="1" t="s">
        <v>2976</v>
      </c>
      <c r="B1984" s="1" t="s">
        <v>2977</v>
      </c>
      <c r="C1984" s="3">
        <v>95.8</v>
      </c>
      <c r="D1984" s="5"/>
      <c r="E1984" s="5"/>
      <c r="F1984" s="5"/>
      <c r="G1984" s="4">
        <f t="shared" si="1"/>
        <v>47.9</v>
      </c>
      <c r="H1984" s="4" t="str">
        <f t="shared" si="2"/>
        <v>Sin precio neto</v>
      </c>
      <c r="I1984" s="4" t="str">
        <f t="shared" si="3"/>
        <v>Sin precio neto G.C.</v>
      </c>
      <c r="J1984" s="4">
        <f t="shared" si="4"/>
        <v>45.984</v>
      </c>
      <c r="K1984" s="4">
        <f t="shared" si="5"/>
        <v>47.9</v>
      </c>
      <c r="L1984" s="4">
        <f t="shared" si="6"/>
        <v>45.984</v>
      </c>
    </row>
    <row r="1985">
      <c r="A1985" s="1" t="s">
        <v>2978</v>
      </c>
      <c r="B1985" s="1" t="s">
        <v>2979</v>
      </c>
      <c r="C1985" s="3">
        <v>105.8</v>
      </c>
      <c r="D1985" s="5"/>
      <c r="E1985" s="5"/>
      <c r="F1985" s="5"/>
      <c r="G1985" s="4">
        <f t="shared" si="1"/>
        <v>52.9</v>
      </c>
      <c r="H1985" s="4" t="str">
        <f t="shared" si="2"/>
        <v>Sin precio neto</v>
      </c>
      <c r="I1985" s="4" t="str">
        <f t="shared" si="3"/>
        <v>Sin precio neto G.C.</v>
      </c>
      <c r="J1985" s="4">
        <f t="shared" si="4"/>
        <v>50.784</v>
      </c>
      <c r="K1985" s="4">
        <f t="shared" si="5"/>
        <v>52.9</v>
      </c>
      <c r="L1985" s="4">
        <f t="shared" si="6"/>
        <v>50.784</v>
      </c>
    </row>
    <row r="1986">
      <c r="A1986" s="1" t="s">
        <v>2980</v>
      </c>
      <c r="B1986" s="1" t="s">
        <v>2981</v>
      </c>
      <c r="C1986" s="3">
        <v>105.84</v>
      </c>
      <c r="D1986" s="5"/>
      <c r="E1986" s="5"/>
      <c r="F1986" s="5"/>
      <c r="G1986" s="4">
        <f t="shared" si="1"/>
        <v>52.92</v>
      </c>
      <c r="H1986" s="4" t="str">
        <f t="shared" si="2"/>
        <v>Sin precio neto</v>
      </c>
      <c r="I1986" s="4" t="str">
        <f t="shared" si="3"/>
        <v>Sin precio neto G.C.</v>
      </c>
      <c r="J1986" s="4">
        <f t="shared" si="4"/>
        <v>50.8032</v>
      </c>
      <c r="K1986" s="4">
        <f t="shared" si="5"/>
        <v>52.92</v>
      </c>
      <c r="L1986" s="4">
        <f t="shared" si="6"/>
        <v>50.8032</v>
      </c>
    </row>
    <row r="1987">
      <c r="A1987" s="1" t="s">
        <v>2982</v>
      </c>
      <c r="B1987" s="1" t="s">
        <v>2983</v>
      </c>
      <c r="C1987" s="3">
        <v>118.65</v>
      </c>
      <c r="D1987" s="5"/>
      <c r="E1987" s="5"/>
      <c r="F1987" s="5"/>
      <c r="G1987" s="4">
        <f t="shared" si="1"/>
        <v>59.325</v>
      </c>
      <c r="H1987" s="4" t="str">
        <f t="shared" si="2"/>
        <v>Sin precio neto</v>
      </c>
      <c r="I1987" s="4" t="str">
        <f t="shared" si="3"/>
        <v>Sin precio neto G.C.</v>
      </c>
      <c r="J1987" s="4">
        <f t="shared" si="4"/>
        <v>56.952</v>
      </c>
      <c r="K1987" s="4">
        <f t="shared" si="5"/>
        <v>59.325</v>
      </c>
      <c r="L1987" s="4">
        <f t="shared" si="6"/>
        <v>56.952</v>
      </c>
    </row>
    <row r="1988">
      <c r="A1988" s="1" t="s">
        <v>2984</v>
      </c>
      <c r="B1988" s="1" t="s">
        <v>2985</v>
      </c>
      <c r="C1988" s="3">
        <v>122.66</v>
      </c>
      <c r="D1988" s="5"/>
      <c r="E1988" s="5"/>
      <c r="F1988" s="5"/>
      <c r="G1988" s="4">
        <f t="shared" si="1"/>
        <v>61.33</v>
      </c>
      <c r="H1988" s="4" t="str">
        <f t="shared" si="2"/>
        <v>Sin precio neto</v>
      </c>
      <c r="I1988" s="4" t="str">
        <f t="shared" si="3"/>
        <v>Sin precio neto G.C.</v>
      </c>
      <c r="J1988" s="4">
        <f t="shared" si="4"/>
        <v>58.8768</v>
      </c>
      <c r="K1988" s="4">
        <f t="shared" si="5"/>
        <v>61.33</v>
      </c>
      <c r="L1988" s="4">
        <f t="shared" si="6"/>
        <v>58.8768</v>
      </c>
    </row>
    <row r="1989">
      <c r="A1989" s="1" t="s">
        <v>2986</v>
      </c>
      <c r="B1989" s="1" t="s">
        <v>2987</v>
      </c>
      <c r="C1989" s="3">
        <v>128.0</v>
      </c>
      <c r="D1989" s="5"/>
      <c r="E1989" s="5"/>
      <c r="F1989" s="5"/>
      <c r="G1989" s="4">
        <f t="shared" si="1"/>
        <v>64</v>
      </c>
      <c r="H1989" s="4" t="str">
        <f t="shared" si="2"/>
        <v>Sin precio neto</v>
      </c>
      <c r="I1989" s="4" t="str">
        <f t="shared" si="3"/>
        <v>Sin precio neto G.C.</v>
      </c>
      <c r="J1989" s="4">
        <f t="shared" si="4"/>
        <v>61.44</v>
      </c>
      <c r="K1989" s="4">
        <f t="shared" si="5"/>
        <v>64</v>
      </c>
      <c r="L1989" s="4">
        <f t="shared" si="6"/>
        <v>61.44</v>
      </c>
    </row>
    <row r="1990">
      <c r="A1990" s="1" t="s">
        <v>2988</v>
      </c>
      <c r="B1990" s="1" t="s">
        <v>2989</v>
      </c>
      <c r="C1990" s="3">
        <v>134.3</v>
      </c>
      <c r="D1990" s="5"/>
      <c r="E1990" s="5"/>
      <c r="F1990" s="5"/>
      <c r="G1990" s="4">
        <f t="shared" si="1"/>
        <v>67.15</v>
      </c>
      <c r="H1990" s="4" t="str">
        <f t="shared" si="2"/>
        <v>Sin precio neto</v>
      </c>
      <c r="I1990" s="4" t="str">
        <f t="shared" si="3"/>
        <v>Sin precio neto G.C.</v>
      </c>
      <c r="J1990" s="4">
        <f t="shared" si="4"/>
        <v>64.464</v>
      </c>
      <c r="K1990" s="4">
        <f t="shared" si="5"/>
        <v>67.15</v>
      </c>
      <c r="L1990" s="4">
        <f t="shared" si="6"/>
        <v>64.464</v>
      </c>
    </row>
    <row r="1991">
      <c r="A1991" s="1" t="s">
        <v>2990</v>
      </c>
      <c r="B1991" s="1" t="s">
        <v>2991</v>
      </c>
      <c r="C1991" s="3">
        <v>94.3</v>
      </c>
      <c r="D1991" s="5"/>
      <c r="E1991" s="5"/>
      <c r="F1991" s="5"/>
      <c r="G1991" s="4">
        <f t="shared" si="1"/>
        <v>47.15</v>
      </c>
      <c r="H1991" s="4" t="str">
        <f t="shared" si="2"/>
        <v>Sin precio neto</v>
      </c>
      <c r="I1991" s="4" t="str">
        <f t="shared" si="3"/>
        <v>Sin precio neto G.C.</v>
      </c>
      <c r="J1991" s="4">
        <f t="shared" si="4"/>
        <v>45.264</v>
      </c>
      <c r="K1991" s="4">
        <f t="shared" si="5"/>
        <v>47.15</v>
      </c>
      <c r="L1991" s="4">
        <f t="shared" si="6"/>
        <v>45.264</v>
      </c>
    </row>
    <row r="1992">
      <c r="A1992" s="1" t="s">
        <v>2992</v>
      </c>
      <c r="B1992" s="1" t="s">
        <v>2993</v>
      </c>
      <c r="C1992" s="3">
        <v>158.4</v>
      </c>
      <c r="D1992" s="5"/>
      <c r="E1992" s="5"/>
      <c r="F1992" s="5"/>
      <c r="G1992" s="4">
        <f t="shared" si="1"/>
        <v>79.2</v>
      </c>
      <c r="H1992" s="4" t="str">
        <f t="shared" si="2"/>
        <v>Sin precio neto</v>
      </c>
      <c r="I1992" s="4" t="str">
        <f t="shared" si="3"/>
        <v>Sin precio neto G.C.</v>
      </c>
      <c r="J1992" s="4">
        <f t="shared" si="4"/>
        <v>76.032</v>
      </c>
      <c r="K1992" s="4">
        <f t="shared" si="5"/>
        <v>79.2</v>
      </c>
      <c r="L1992" s="4">
        <f t="shared" si="6"/>
        <v>76.032</v>
      </c>
    </row>
    <row r="1993">
      <c r="A1993" s="1" t="s">
        <v>2994</v>
      </c>
      <c r="B1993" s="1" t="s">
        <v>2995</v>
      </c>
      <c r="C1993" s="3">
        <v>146.0</v>
      </c>
      <c r="D1993" s="5"/>
      <c r="E1993" s="5"/>
      <c r="F1993" s="5"/>
      <c r="G1993" s="4">
        <f t="shared" si="1"/>
        <v>73</v>
      </c>
      <c r="H1993" s="4" t="str">
        <f t="shared" si="2"/>
        <v>Sin precio neto</v>
      </c>
      <c r="I1993" s="4" t="str">
        <f t="shared" si="3"/>
        <v>Sin precio neto G.C.</v>
      </c>
      <c r="J1993" s="4">
        <f t="shared" si="4"/>
        <v>70.08</v>
      </c>
      <c r="K1993" s="4">
        <f t="shared" si="5"/>
        <v>73</v>
      </c>
      <c r="L1993" s="4">
        <f t="shared" si="6"/>
        <v>70.08</v>
      </c>
    </row>
    <row r="1994">
      <c r="A1994" s="1" t="s">
        <v>2996</v>
      </c>
      <c r="B1994" s="1" t="s">
        <v>2997</v>
      </c>
      <c r="C1994" s="3">
        <v>157.4</v>
      </c>
      <c r="D1994" s="5"/>
      <c r="E1994" s="5"/>
      <c r="F1994" s="5"/>
      <c r="G1994" s="4">
        <f t="shared" si="1"/>
        <v>78.7</v>
      </c>
      <c r="H1994" s="4" t="str">
        <f t="shared" si="2"/>
        <v>Sin precio neto</v>
      </c>
      <c r="I1994" s="4" t="str">
        <f t="shared" si="3"/>
        <v>Sin precio neto G.C.</v>
      </c>
      <c r="J1994" s="4">
        <f t="shared" si="4"/>
        <v>75.552</v>
      </c>
      <c r="K1994" s="4">
        <f t="shared" si="5"/>
        <v>78.7</v>
      </c>
      <c r="L1994" s="4">
        <f t="shared" si="6"/>
        <v>75.552</v>
      </c>
    </row>
    <row r="1995">
      <c r="A1995" s="1" t="s">
        <v>2998</v>
      </c>
      <c r="B1995" s="1" t="s">
        <v>2999</v>
      </c>
      <c r="C1995" s="3">
        <v>175.0</v>
      </c>
      <c r="D1995" s="5"/>
      <c r="E1995" s="5"/>
      <c r="F1995" s="5"/>
      <c r="G1995" s="4">
        <f t="shared" si="1"/>
        <v>87.5</v>
      </c>
      <c r="H1995" s="4" t="str">
        <f t="shared" si="2"/>
        <v>Sin precio neto</v>
      </c>
      <c r="I1995" s="4" t="str">
        <f t="shared" si="3"/>
        <v>Sin precio neto G.C.</v>
      </c>
      <c r="J1995" s="4">
        <f t="shared" si="4"/>
        <v>84</v>
      </c>
      <c r="K1995" s="4">
        <f t="shared" si="5"/>
        <v>87.5</v>
      </c>
      <c r="L1995" s="4">
        <f t="shared" si="6"/>
        <v>84</v>
      </c>
    </row>
    <row r="1996">
      <c r="A1996" s="1" t="s">
        <v>3000</v>
      </c>
      <c r="B1996" s="1" t="s">
        <v>3001</v>
      </c>
      <c r="C1996" s="3">
        <v>182.56</v>
      </c>
      <c r="D1996" s="5"/>
      <c r="E1996" s="5"/>
      <c r="F1996" s="5"/>
      <c r="G1996" s="4">
        <f t="shared" si="1"/>
        <v>91.28</v>
      </c>
      <c r="H1996" s="4" t="str">
        <f t="shared" si="2"/>
        <v>Sin precio neto</v>
      </c>
      <c r="I1996" s="4" t="str">
        <f t="shared" si="3"/>
        <v>Sin precio neto G.C.</v>
      </c>
      <c r="J1996" s="4">
        <f t="shared" si="4"/>
        <v>87.6288</v>
      </c>
      <c r="K1996" s="4">
        <f t="shared" si="5"/>
        <v>91.28</v>
      </c>
      <c r="L1996" s="4">
        <f t="shared" si="6"/>
        <v>87.6288</v>
      </c>
    </row>
    <row r="1997">
      <c r="A1997" s="1" t="s">
        <v>3002</v>
      </c>
      <c r="B1997" s="1" t="s">
        <v>3003</v>
      </c>
      <c r="C1997" s="3">
        <v>242.0</v>
      </c>
      <c r="D1997" s="5"/>
      <c r="E1997" s="5"/>
      <c r="F1997" s="5"/>
      <c r="G1997" s="4">
        <f t="shared" si="1"/>
        <v>121</v>
      </c>
      <c r="H1997" s="4" t="str">
        <f t="shared" si="2"/>
        <v>Sin precio neto</v>
      </c>
      <c r="I1997" s="4" t="str">
        <f t="shared" si="3"/>
        <v>Sin precio neto G.C.</v>
      </c>
      <c r="J1997" s="4">
        <f t="shared" si="4"/>
        <v>116.16</v>
      </c>
      <c r="K1997" s="4">
        <f t="shared" si="5"/>
        <v>121</v>
      </c>
      <c r="L1997" s="4">
        <f t="shared" si="6"/>
        <v>116.16</v>
      </c>
    </row>
    <row r="1998">
      <c r="A1998" s="1" t="s">
        <v>3004</v>
      </c>
      <c r="B1998" s="1" t="s">
        <v>3005</v>
      </c>
      <c r="C1998" s="3">
        <v>268.6</v>
      </c>
      <c r="D1998" s="5"/>
      <c r="E1998" s="5"/>
      <c r="F1998" s="5"/>
      <c r="G1998" s="4">
        <f t="shared" si="1"/>
        <v>134.3</v>
      </c>
      <c r="H1998" s="4" t="str">
        <f t="shared" si="2"/>
        <v>Sin precio neto</v>
      </c>
      <c r="I1998" s="4" t="str">
        <f t="shared" si="3"/>
        <v>Sin precio neto G.C.</v>
      </c>
      <c r="J1998" s="4">
        <f t="shared" si="4"/>
        <v>128.928</v>
      </c>
      <c r="K1998" s="4">
        <f t="shared" si="5"/>
        <v>134.3</v>
      </c>
      <c r="L1998" s="4">
        <f t="shared" si="6"/>
        <v>128.928</v>
      </c>
    </row>
    <row r="1999">
      <c r="A1999" s="1" t="s">
        <v>3006</v>
      </c>
      <c r="B1999" s="1" t="s">
        <v>3007</v>
      </c>
      <c r="C1999" s="3">
        <v>138.4</v>
      </c>
      <c r="D1999" s="5"/>
      <c r="E1999" s="5"/>
      <c r="F1999" s="5"/>
      <c r="G1999" s="4">
        <f t="shared" si="1"/>
        <v>69.2</v>
      </c>
      <c r="H1999" s="4" t="str">
        <f t="shared" si="2"/>
        <v>Sin precio neto</v>
      </c>
      <c r="I1999" s="4" t="str">
        <f t="shared" si="3"/>
        <v>Sin precio neto G.C.</v>
      </c>
      <c r="J1999" s="4">
        <f t="shared" si="4"/>
        <v>66.432</v>
      </c>
      <c r="K1999" s="4">
        <f t="shared" si="5"/>
        <v>69.2</v>
      </c>
      <c r="L1999" s="4">
        <f t="shared" si="6"/>
        <v>66.432</v>
      </c>
    </row>
    <row r="2000">
      <c r="A2000" s="1" t="s">
        <v>3008</v>
      </c>
      <c r="B2000" s="1" t="s">
        <v>3009</v>
      </c>
      <c r="C2000" s="3">
        <v>215.0</v>
      </c>
      <c r="D2000" s="5"/>
      <c r="E2000" s="5"/>
      <c r="F2000" s="5"/>
      <c r="G2000" s="4">
        <f t="shared" si="1"/>
        <v>107.5</v>
      </c>
      <c r="H2000" s="4" t="str">
        <f t="shared" si="2"/>
        <v>Sin precio neto</v>
      </c>
      <c r="I2000" s="4" t="str">
        <f t="shared" si="3"/>
        <v>Sin precio neto G.C.</v>
      </c>
      <c r="J2000" s="4">
        <f t="shared" si="4"/>
        <v>103.2</v>
      </c>
      <c r="K2000" s="4">
        <f t="shared" si="5"/>
        <v>107.5</v>
      </c>
      <c r="L2000" s="4">
        <f t="shared" si="6"/>
        <v>103.2</v>
      </c>
    </row>
    <row r="2001">
      <c r="A2001" s="1" t="s">
        <v>3010</v>
      </c>
      <c r="B2001" s="1" t="s">
        <v>3011</v>
      </c>
      <c r="C2001" s="3">
        <v>228.4</v>
      </c>
      <c r="D2001" s="5"/>
      <c r="E2001" s="5"/>
      <c r="F2001" s="5"/>
      <c r="G2001" s="4">
        <f t="shared" si="1"/>
        <v>114.2</v>
      </c>
      <c r="H2001" s="4" t="str">
        <f t="shared" si="2"/>
        <v>Sin precio neto</v>
      </c>
      <c r="I2001" s="4" t="str">
        <f t="shared" si="3"/>
        <v>Sin precio neto G.C.</v>
      </c>
      <c r="J2001" s="4">
        <f t="shared" si="4"/>
        <v>109.632</v>
      </c>
      <c r="K2001" s="4">
        <f t="shared" si="5"/>
        <v>114.2</v>
      </c>
      <c r="L2001" s="4">
        <f t="shared" si="6"/>
        <v>109.632</v>
      </c>
    </row>
    <row r="2002">
      <c r="A2002" s="1" t="s">
        <v>3012</v>
      </c>
      <c r="B2002" s="1" t="s">
        <v>3013</v>
      </c>
      <c r="C2002" s="3">
        <v>245.8</v>
      </c>
      <c r="D2002" s="5"/>
      <c r="E2002" s="5"/>
      <c r="F2002" s="5"/>
      <c r="G2002" s="4">
        <f t="shared" si="1"/>
        <v>122.9</v>
      </c>
      <c r="H2002" s="4" t="str">
        <f t="shared" si="2"/>
        <v>Sin precio neto</v>
      </c>
      <c r="I2002" s="4" t="str">
        <f t="shared" si="3"/>
        <v>Sin precio neto G.C.</v>
      </c>
      <c r="J2002" s="4">
        <f t="shared" si="4"/>
        <v>117.984</v>
      </c>
      <c r="K2002" s="4">
        <f t="shared" si="5"/>
        <v>122.9</v>
      </c>
      <c r="L2002" s="4">
        <f t="shared" si="6"/>
        <v>117.984</v>
      </c>
    </row>
    <row r="2003">
      <c r="A2003" s="1" t="s">
        <v>3014</v>
      </c>
      <c r="B2003" s="1" t="s">
        <v>3015</v>
      </c>
      <c r="C2003" s="3">
        <v>245.8</v>
      </c>
      <c r="D2003" s="5"/>
      <c r="E2003" s="5"/>
      <c r="F2003" s="5"/>
      <c r="G2003" s="4">
        <f t="shared" si="1"/>
        <v>122.9</v>
      </c>
      <c r="H2003" s="4" t="str">
        <f t="shared" si="2"/>
        <v>Sin precio neto</v>
      </c>
      <c r="I2003" s="4" t="str">
        <f t="shared" si="3"/>
        <v>Sin precio neto G.C.</v>
      </c>
      <c r="J2003" s="4">
        <f t="shared" si="4"/>
        <v>117.984</v>
      </c>
      <c r="K2003" s="4">
        <f t="shared" si="5"/>
        <v>122.9</v>
      </c>
      <c r="L2003" s="4">
        <f t="shared" si="6"/>
        <v>117.984</v>
      </c>
    </row>
    <row r="2004">
      <c r="A2004" s="1" t="s">
        <v>3016</v>
      </c>
      <c r="B2004" s="1" t="s">
        <v>3017</v>
      </c>
      <c r="C2004" s="3">
        <v>298.5</v>
      </c>
      <c r="D2004" s="5"/>
      <c r="E2004" s="5"/>
      <c r="F2004" s="5"/>
      <c r="G2004" s="4">
        <f t="shared" si="1"/>
        <v>149.25</v>
      </c>
      <c r="H2004" s="4" t="str">
        <f t="shared" si="2"/>
        <v>Sin precio neto</v>
      </c>
      <c r="I2004" s="4" t="str">
        <f t="shared" si="3"/>
        <v>Sin precio neto G.C.</v>
      </c>
      <c r="J2004" s="4">
        <f t="shared" si="4"/>
        <v>143.28</v>
      </c>
      <c r="K2004" s="4">
        <f t="shared" si="5"/>
        <v>149.25</v>
      </c>
      <c r="L2004" s="4">
        <f t="shared" si="6"/>
        <v>143.28</v>
      </c>
    </row>
    <row r="2005">
      <c r="A2005" s="1" t="s">
        <v>3018</v>
      </c>
      <c r="B2005" s="1" t="s">
        <v>3019</v>
      </c>
      <c r="C2005" s="3">
        <v>298.5</v>
      </c>
      <c r="D2005" s="5"/>
      <c r="E2005" s="5"/>
      <c r="F2005" s="5"/>
      <c r="G2005" s="4">
        <f t="shared" si="1"/>
        <v>149.25</v>
      </c>
      <c r="H2005" s="4" t="str">
        <f t="shared" si="2"/>
        <v>Sin precio neto</v>
      </c>
      <c r="I2005" s="4" t="str">
        <f t="shared" si="3"/>
        <v>Sin precio neto G.C.</v>
      </c>
      <c r="J2005" s="4">
        <f t="shared" si="4"/>
        <v>143.28</v>
      </c>
      <c r="K2005" s="4">
        <f t="shared" si="5"/>
        <v>149.25</v>
      </c>
      <c r="L2005" s="4">
        <f t="shared" si="6"/>
        <v>143.28</v>
      </c>
    </row>
    <row r="2006">
      <c r="A2006" s="1" t="s">
        <v>3020</v>
      </c>
      <c r="B2006" s="1" t="s">
        <v>3021</v>
      </c>
      <c r="C2006" s="3">
        <v>314.5</v>
      </c>
      <c r="D2006" s="5"/>
      <c r="E2006" s="5"/>
      <c r="F2006" s="5"/>
      <c r="G2006" s="4">
        <f t="shared" si="1"/>
        <v>157.25</v>
      </c>
      <c r="H2006" s="4" t="str">
        <f t="shared" si="2"/>
        <v>Sin precio neto</v>
      </c>
      <c r="I2006" s="4" t="str">
        <f t="shared" si="3"/>
        <v>Sin precio neto G.C.</v>
      </c>
      <c r="J2006" s="4">
        <f t="shared" si="4"/>
        <v>150.96</v>
      </c>
      <c r="K2006" s="4">
        <f t="shared" si="5"/>
        <v>157.25</v>
      </c>
      <c r="L2006" s="4">
        <f t="shared" si="6"/>
        <v>150.96</v>
      </c>
    </row>
    <row r="2007">
      <c r="A2007" s="1" t="s">
        <v>3022</v>
      </c>
      <c r="B2007" s="1" t="s">
        <v>3023</v>
      </c>
      <c r="C2007" s="3">
        <v>314.5</v>
      </c>
      <c r="D2007" s="5"/>
      <c r="E2007" s="5"/>
      <c r="F2007" s="5"/>
      <c r="G2007" s="4">
        <f t="shared" si="1"/>
        <v>157.25</v>
      </c>
      <c r="H2007" s="4" t="str">
        <f t="shared" si="2"/>
        <v>Sin precio neto</v>
      </c>
      <c r="I2007" s="4" t="str">
        <f t="shared" si="3"/>
        <v>Sin precio neto G.C.</v>
      </c>
      <c r="J2007" s="4">
        <f t="shared" si="4"/>
        <v>150.96</v>
      </c>
      <c r="K2007" s="4">
        <f t="shared" si="5"/>
        <v>157.25</v>
      </c>
      <c r="L2007" s="4">
        <f t="shared" si="6"/>
        <v>150.96</v>
      </c>
    </row>
    <row r="2008">
      <c r="A2008" s="1" t="s">
        <v>3024</v>
      </c>
      <c r="B2008" s="1" t="s">
        <v>3025</v>
      </c>
      <c r="C2008" s="3">
        <v>228.4</v>
      </c>
      <c r="D2008" s="5"/>
      <c r="E2008" s="5"/>
      <c r="F2008" s="5"/>
      <c r="G2008" s="4">
        <f t="shared" si="1"/>
        <v>114.2</v>
      </c>
      <c r="H2008" s="4" t="str">
        <f t="shared" si="2"/>
        <v>Sin precio neto</v>
      </c>
      <c r="I2008" s="4" t="str">
        <f t="shared" si="3"/>
        <v>Sin precio neto G.C.</v>
      </c>
      <c r="J2008" s="4">
        <f t="shared" si="4"/>
        <v>109.632</v>
      </c>
      <c r="K2008" s="4">
        <f t="shared" si="5"/>
        <v>114.2</v>
      </c>
      <c r="L2008" s="4">
        <f t="shared" si="6"/>
        <v>109.632</v>
      </c>
    </row>
    <row r="2009">
      <c r="A2009" s="1" t="s">
        <v>3026</v>
      </c>
      <c r="B2009" s="1" t="s">
        <v>3027</v>
      </c>
      <c r="C2009" s="3">
        <v>130.45</v>
      </c>
      <c r="D2009" s="5"/>
      <c r="E2009" s="5"/>
      <c r="F2009" s="5"/>
      <c r="G2009" s="4">
        <f t="shared" si="1"/>
        <v>65.225</v>
      </c>
      <c r="H2009" s="4" t="str">
        <f t="shared" si="2"/>
        <v>Sin precio neto</v>
      </c>
      <c r="I2009" s="4" t="str">
        <f t="shared" si="3"/>
        <v>Sin precio neto G.C.</v>
      </c>
      <c r="J2009" s="4">
        <f t="shared" si="4"/>
        <v>62.616</v>
      </c>
      <c r="K2009" s="4">
        <f t="shared" si="5"/>
        <v>65.225</v>
      </c>
      <c r="L2009" s="4">
        <f t="shared" si="6"/>
        <v>62.616</v>
      </c>
    </row>
    <row r="2010">
      <c r="A2010" s="1" t="s">
        <v>3028</v>
      </c>
      <c r="B2010" s="1" t="s">
        <v>3029</v>
      </c>
      <c r="C2010" s="3">
        <v>148.5</v>
      </c>
      <c r="D2010" s="5"/>
      <c r="E2010" s="5"/>
      <c r="F2010" s="5"/>
      <c r="G2010" s="4">
        <f t="shared" si="1"/>
        <v>74.25</v>
      </c>
      <c r="H2010" s="4" t="str">
        <f t="shared" si="2"/>
        <v>Sin precio neto</v>
      </c>
      <c r="I2010" s="4" t="str">
        <f t="shared" si="3"/>
        <v>Sin precio neto G.C.</v>
      </c>
      <c r="J2010" s="4">
        <f t="shared" si="4"/>
        <v>71.28</v>
      </c>
      <c r="K2010" s="4">
        <f t="shared" si="5"/>
        <v>74.25</v>
      </c>
      <c r="L2010" s="4">
        <f t="shared" si="6"/>
        <v>71.28</v>
      </c>
    </row>
    <row r="2011">
      <c r="A2011" s="1" t="s">
        <v>3030</v>
      </c>
      <c r="B2011" s="1" t="s">
        <v>3031</v>
      </c>
      <c r="C2011" s="3">
        <v>148.5</v>
      </c>
      <c r="D2011" s="5"/>
      <c r="E2011" s="5"/>
      <c r="F2011" s="5"/>
      <c r="G2011" s="4">
        <f t="shared" si="1"/>
        <v>74.25</v>
      </c>
      <c r="H2011" s="4" t="str">
        <f t="shared" si="2"/>
        <v>Sin precio neto</v>
      </c>
      <c r="I2011" s="4" t="str">
        <f t="shared" si="3"/>
        <v>Sin precio neto G.C.</v>
      </c>
      <c r="J2011" s="4">
        <f t="shared" si="4"/>
        <v>71.28</v>
      </c>
      <c r="K2011" s="4">
        <f t="shared" si="5"/>
        <v>74.25</v>
      </c>
      <c r="L2011" s="4">
        <f t="shared" si="6"/>
        <v>71.28</v>
      </c>
    </row>
    <row r="2012">
      <c r="A2012" s="1" t="s">
        <v>3032</v>
      </c>
      <c r="B2012" s="1" t="s">
        <v>3033</v>
      </c>
      <c r="C2012" s="3">
        <v>168.5</v>
      </c>
      <c r="D2012" s="5"/>
      <c r="E2012" s="5"/>
      <c r="F2012" s="5"/>
      <c r="G2012" s="4">
        <f t="shared" si="1"/>
        <v>84.25</v>
      </c>
      <c r="H2012" s="4" t="str">
        <f t="shared" si="2"/>
        <v>Sin precio neto</v>
      </c>
      <c r="I2012" s="4" t="str">
        <f t="shared" si="3"/>
        <v>Sin precio neto G.C.</v>
      </c>
      <c r="J2012" s="4">
        <f t="shared" si="4"/>
        <v>80.88</v>
      </c>
      <c r="K2012" s="4">
        <f t="shared" si="5"/>
        <v>84.25</v>
      </c>
      <c r="L2012" s="4">
        <f t="shared" si="6"/>
        <v>80.88</v>
      </c>
    </row>
    <row r="2013">
      <c r="A2013" s="1" t="s">
        <v>3034</v>
      </c>
      <c r="B2013" s="1" t="s">
        <v>3035</v>
      </c>
      <c r="C2013" s="3">
        <v>168.5</v>
      </c>
      <c r="D2013" s="5"/>
      <c r="E2013" s="5"/>
      <c r="F2013" s="5"/>
      <c r="G2013" s="4">
        <f t="shared" si="1"/>
        <v>84.25</v>
      </c>
      <c r="H2013" s="4" t="str">
        <f t="shared" si="2"/>
        <v>Sin precio neto</v>
      </c>
      <c r="I2013" s="4" t="str">
        <f t="shared" si="3"/>
        <v>Sin precio neto G.C.</v>
      </c>
      <c r="J2013" s="4">
        <f t="shared" si="4"/>
        <v>80.88</v>
      </c>
      <c r="K2013" s="4">
        <f t="shared" si="5"/>
        <v>84.25</v>
      </c>
      <c r="L2013" s="4">
        <f t="shared" si="6"/>
        <v>80.88</v>
      </c>
    </row>
    <row r="2014">
      <c r="A2014" s="1" t="s">
        <v>3036</v>
      </c>
      <c r="B2014" s="1" t="s">
        <v>3037</v>
      </c>
      <c r="C2014" s="3">
        <v>198.5</v>
      </c>
      <c r="D2014" s="5"/>
      <c r="E2014" s="5"/>
      <c r="F2014" s="5"/>
      <c r="G2014" s="4">
        <f t="shared" si="1"/>
        <v>99.25</v>
      </c>
      <c r="H2014" s="4" t="str">
        <f t="shared" si="2"/>
        <v>Sin precio neto</v>
      </c>
      <c r="I2014" s="4" t="str">
        <f t="shared" si="3"/>
        <v>Sin precio neto G.C.</v>
      </c>
      <c r="J2014" s="4">
        <f t="shared" si="4"/>
        <v>95.28</v>
      </c>
      <c r="K2014" s="4">
        <f t="shared" si="5"/>
        <v>99.25</v>
      </c>
      <c r="L2014" s="4">
        <f t="shared" si="6"/>
        <v>95.28</v>
      </c>
    </row>
    <row r="2015">
      <c r="A2015" s="1" t="s">
        <v>3038</v>
      </c>
      <c r="B2015" s="1" t="s">
        <v>3035</v>
      </c>
      <c r="C2015" s="3">
        <v>198.5</v>
      </c>
      <c r="D2015" s="5"/>
      <c r="E2015" s="5"/>
      <c r="F2015" s="5"/>
      <c r="G2015" s="4">
        <f t="shared" si="1"/>
        <v>99.25</v>
      </c>
      <c r="H2015" s="4" t="str">
        <f t="shared" si="2"/>
        <v>Sin precio neto</v>
      </c>
      <c r="I2015" s="4" t="str">
        <f t="shared" si="3"/>
        <v>Sin precio neto G.C.</v>
      </c>
      <c r="J2015" s="4">
        <f t="shared" si="4"/>
        <v>95.28</v>
      </c>
      <c r="K2015" s="4">
        <f t="shared" si="5"/>
        <v>99.25</v>
      </c>
      <c r="L2015" s="4">
        <f t="shared" si="6"/>
        <v>95.28</v>
      </c>
    </row>
    <row r="2016">
      <c r="A2016" s="1" t="s">
        <v>3039</v>
      </c>
      <c r="B2016" s="1" t="s">
        <v>3040</v>
      </c>
      <c r="C2016" s="3">
        <v>130.45</v>
      </c>
      <c r="D2016" s="5"/>
      <c r="E2016" s="5"/>
      <c r="F2016" s="5"/>
      <c r="G2016" s="4">
        <f t="shared" si="1"/>
        <v>65.225</v>
      </c>
      <c r="H2016" s="4" t="str">
        <f t="shared" si="2"/>
        <v>Sin precio neto</v>
      </c>
      <c r="I2016" s="4" t="str">
        <f t="shared" si="3"/>
        <v>Sin precio neto G.C.</v>
      </c>
      <c r="J2016" s="4">
        <f t="shared" si="4"/>
        <v>62.616</v>
      </c>
      <c r="K2016" s="4">
        <f t="shared" si="5"/>
        <v>65.225</v>
      </c>
      <c r="L2016" s="4">
        <f t="shared" si="6"/>
        <v>62.616</v>
      </c>
    </row>
    <row r="2017">
      <c r="A2017" s="1" t="s">
        <v>3041</v>
      </c>
      <c r="B2017" s="1" t="s">
        <v>3042</v>
      </c>
      <c r="C2017" s="3">
        <v>142.0</v>
      </c>
      <c r="D2017" s="5"/>
      <c r="E2017" s="5"/>
      <c r="F2017" s="5"/>
      <c r="G2017" s="4">
        <f t="shared" si="1"/>
        <v>71</v>
      </c>
      <c r="H2017" s="4" t="str">
        <f t="shared" si="2"/>
        <v>Sin precio neto</v>
      </c>
      <c r="I2017" s="4" t="str">
        <f t="shared" si="3"/>
        <v>Sin precio neto G.C.</v>
      </c>
      <c r="J2017" s="4">
        <f t="shared" si="4"/>
        <v>68.16</v>
      </c>
      <c r="K2017" s="4">
        <f t="shared" si="5"/>
        <v>71</v>
      </c>
      <c r="L2017" s="4">
        <f t="shared" si="6"/>
        <v>68.16</v>
      </c>
    </row>
    <row r="2018">
      <c r="A2018" s="1" t="s">
        <v>3043</v>
      </c>
      <c r="B2018" s="1" t="s">
        <v>3044</v>
      </c>
      <c r="C2018" s="3">
        <v>168.0</v>
      </c>
      <c r="D2018" s="5"/>
      <c r="E2018" s="5"/>
      <c r="F2018" s="5"/>
      <c r="G2018" s="4">
        <f t="shared" si="1"/>
        <v>84</v>
      </c>
      <c r="H2018" s="4" t="str">
        <f t="shared" si="2"/>
        <v>Sin precio neto</v>
      </c>
      <c r="I2018" s="4" t="str">
        <f t="shared" si="3"/>
        <v>Sin precio neto G.C.</v>
      </c>
      <c r="J2018" s="4">
        <f t="shared" si="4"/>
        <v>80.64</v>
      </c>
      <c r="K2018" s="4">
        <f t="shared" si="5"/>
        <v>84</v>
      </c>
      <c r="L2018" s="4">
        <f t="shared" si="6"/>
        <v>80.64</v>
      </c>
    </row>
    <row r="2019">
      <c r="A2019" s="1" t="s">
        <v>3045</v>
      </c>
      <c r="B2019" s="1" t="s">
        <v>3046</v>
      </c>
      <c r="C2019" s="3">
        <v>183.75</v>
      </c>
      <c r="D2019" s="5"/>
      <c r="E2019" s="5"/>
      <c r="F2019" s="5"/>
      <c r="G2019" s="4">
        <f t="shared" si="1"/>
        <v>91.875</v>
      </c>
      <c r="H2019" s="4" t="str">
        <f t="shared" si="2"/>
        <v>Sin precio neto</v>
      </c>
      <c r="I2019" s="4" t="str">
        <f t="shared" si="3"/>
        <v>Sin precio neto G.C.</v>
      </c>
      <c r="J2019" s="4">
        <f t="shared" si="4"/>
        <v>88.2</v>
      </c>
      <c r="K2019" s="4">
        <f t="shared" si="5"/>
        <v>91.875</v>
      </c>
      <c r="L2019" s="4">
        <f t="shared" si="6"/>
        <v>88.2</v>
      </c>
    </row>
    <row r="2020">
      <c r="A2020" s="1" t="s">
        <v>3047</v>
      </c>
      <c r="B2020" s="1" t="s">
        <v>3048</v>
      </c>
      <c r="C2020" s="3">
        <v>224.0</v>
      </c>
      <c r="D2020" s="5"/>
      <c r="E2020" s="5"/>
      <c r="F2020" s="5"/>
      <c r="G2020" s="4">
        <f t="shared" si="1"/>
        <v>112</v>
      </c>
      <c r="H2020" s="4" t="str">
        <f t="shared" si="2"/>
        <v>Sin precio neto</v>
      </c>
      <c r="I2020" s="4" t="str">
        <f t="shared" si="3"/>
        <v>Sin precio neto G.C.</v>
      </c>
      <c r="J2020" s="4">
        <f t="shared" si="4"/>
        <v>107.52</v>
      </c>
      <c r="K2020" s="4">
        <f t="shared" si="5"/>
        <v>112</v>
      </c>
      <c r="L2020" s="4">
        <f t="shared" si="6"/>
        <v>107.52</v>
      </c>
    </row>
    <row r="2021">
      <c r="A2021" s="1" t="s">
        <v>3049</v>
      </c>
      <c r="B2021" s="1" t="s">
        <v>3050</v>
      </c>
      <c r="C2021" s="3">
        <v>245.7</v>
      </c>
      <c r="D2021" s="5"/>
      <c r="E2021" s="5"/>
      <c r="F2021" s="5"/>
      <c r="G2021" s="4">
        <f t="shared" si="1"/>
        <v>122.85</v>
      </c>
      <c r="H2021" s="4" t="str">
        <f t="shared" si="2"/>
        <v>Sin precio neto</v>
      </c>
      <c r="I2021" s="4" t="str">
        <f t="shared" si="3"/>
        <v>Sin precio neto G.C.</v>
      </c>
      <c r="J2021" s="4">
        <f t="shared" si="4"/>
        <v>117.936</v>
      </c>
      <c r="K2021" s="4">
        <f t="shared" si="5"/>
        <v>122.85</v>
      </c>
      <c r="L2021" s="4">
        <f t="shared" si="6"/>
        <v>117.936</v>
      </c>
    </row>
    <row r="2022">
      <c r="A2022" s="1" t="s">
        <v>3051</v>
      </c>
      <c r="B2022" s="1" t="s">
        <v>3052</v>
      </c>
      <c r="C2022" s="3">
        <v>319.0</v>
      </c>
      <c r="D2022" s="5"/>
      <c r="E2022" s="5"/>
      <c r="F2022" s="5"/>
      <c r="G2022" s="4">
        <f t="shared" si="1"/>
        <v>159.5</v>
      </c>
      <c r="H2022" s="4" t="str">
        <f t="shared" si="2"/>
        <v>Sin precio neto</v>
      </c>
      <c r="I2022" s="4" t="str">
        <f t="shared" si="3"/>
        <v>Sin precio neto G.C.</v>
      </c>
      <c r="J2022" s="4">
        <f t="shared" si="4"/>
        <v>153.12</v>
      </c>
      <c r="K2022" s="4">
        <f t="shared" si="5"/>
        <v>159.5</v>
      </c>
      <c r="L2022" s="4">
        <f t="shared" si="6"/>
        <v>153.12</v>
      </c>
    </row>
    <row r="2023">
      <c r="A2023" s="1" t="s">
        <v>3053</v>
      </c>
      <c r="B2023" s="1" t="s">
        <v>3054</v>
      </c>
      <c r="C2023" s="3">
        <v>352.8</v>
      </c>
      <c r="D2023" s="5"/>
      <c r="E2023" s="5"/>
      <c r="F2023" s="5"/>
      <c r="G2023" s="4">
        <f t="shared" si="1"/>
        <v>176.4</v>
      </c>
      <c r="H2023" s="4" t="str">
        <f t="shared" si="2"/>
        <v>Sin precio neto</v>
      </c>
      <c r="I2023" s="4" t="str">
        <f t="shared" si="3"/>
        <v>Sin precio neto G.C.</v>
      </c>
      <c r="J2023" s="4">
        <f t="shared" si="4"/>
        <v>169.344</v>
      </c>
      <c r="K2023" s="4">
        <f t="shared" si="5"/>
        <v>176.4</v>
      </c>
      <c r="L2023" s="4">
        <f t="shared" si="6"/>
        <v>169.344</v>
      </c>
    </row>
    <row r="2024">
      <c r="A2024" s="1" t="s">
        <v>3055</v>
      </c>
      <c r="B2024" s="1" t="s">
        <v>3056</v>
      </c>
      <c r="C2024" s="3">
        <v>197.4</v>
      </c>
      <c r="D2024" s="5"/>
      <c r="E2024" s="5"/>
      <c r="F2024" s="5"/>
      <c r="G2024" s="4">
        <f t="shared" si="1"/>
        <v>98.7</v>
      </c>
      <c r="H2024" s="4" t="str">
        <f t="shared" si="2"/>
        <v>Sin precio neto</v>
      </c>
      <c r="I2024" s="4" t="str">
        <f t="shared" si="3"/>
        <v>Sin precio neto G.C.</v>
      </c>
      <c r="J2024" s="4">
        <f t="shared" si="4"/>
        <v>94.752</v>
      </c>
      <c r="K2024" s="4">
        <f t="shared" si="5"/>
        <v>98.7</v>
      </c>
      <c r="L2024" s="4">
        <f t="shared" si="6"/>
        <v>94.752</v>
      </c>
    </row>
    <row r="2025">
      <c r="A2025" s="1" t="s">
        <v>3057</v>
      </c>
      <c r="B2025" s="1" t="s">
        <v>3058</v>
      </c>
      <c r="C2025" s="3">
        <v>614.25</v>
      </c>
      <c r="D2025" s="5"/>
      <c r="E2025" s="5"/>
      <c r="F2025" s="5"/>
      <c r="G2025" s="4">
        <f t="shared" si="1"/>
        <v>307.125</v>
      </c>
      <c r="H2025" s="4" t="str">
        <f t="shared" si="2"/>
        <v>Sin precio neto</v>
      </c>
      <c r="I2025" s="4" t="str">
        <f t="shared" si="3"/>
        <v>Sin precio neto G.C.</v>
      </c>
      <c r="J2025" s="4">
        <f t="shared" si="4"/>
        <v>294.84</v>
      </c>
      <c r="K2025" s="4">
        <f t="shared" si="5"/>
        <v>307.125</v>
      </c>
      <c r="L2025" s="4">
        <f t="shared" si="6"/>
        <v>294.84</v>
      </c>
    </row>
    <row r="2026">
      <c r="A2026" s="1" t="s">
        <v>3059</v>
      </c>
      <c r="B2026" s="1" t="s">
        <v>3060</v>
      </c>
      <c r="C2026" s="3">
        <v>130.5</v>
      </c>
      <c r="D2026" s="5"/>
      <c r="E2026" s="5"/>
      <c r="F2026" s="5"/>
      <c r="G2026" s="4">
        <f t="shared" si="1"/>
        <v>65.25</v>
      </c>
      <c r="H2026" s="4" t="str">
        <f t="shared" si="2"/>
        <v>Sin precio neto</v>
      </c>
      <c r="I2026" s="4" t="str">
        <f t="shared" si="3"/>
        <v>Sin precio neto G.C.</v>
      </c>
      <c r="J2026" s="4">
        <f t="shared" si="4"/>
        <v>62.64</v>
      </c>
      <c r="K2026" s="4">
        <f t="shared" si="5"/>
        <v>65.25</v>
      </c>
      <c r="L2026" s="4">
        <f t="shared" si="6"/>
        <v>62.64</v>
      </c>
    </row>
    <row r="2027">
      <c r="A2027" s="1" t="s">
        <v>3061</v>
      </c>
      <c r="B2027" s="1" t="s">
        <v>3062</v>
      </c>
      <c r="C2027" s="3">
        <v>120.0</v>
      </c>
      <c r="D2027" s="5"/>
      <c r="E2027" s="5"/>
      <c r="F2027" s="5"/>
      <c r="G2027" s="4">
        <f t="shared" si="1"/>
        <v>60</v>
      </c>
      <c r="H2027" s="4" t="str">
        <f t="shared" si="2"/>
        <v>Sin precio neto</v>
      </c>
      <c r="I2027" s="4" t="str">
        <f t="shared" si="3"/>
        <v>Sin precio neto G.C.</v>
      </c>
      <c r="J2027" s="4">
        <f t="shared" si="4"/>
        <v>57.6</v>
      </c>
      <c r="K2027" s="4">
        <f t="shared" si="5"/>
        <v>60</v>
      </c>
      <c r="L2027" s="4">
        <f t="shared" si="6"/>
        <v>57.6</v>
      </c>
    </row>
    <row r="2028">
      <c r="A2028" s="1" t="s">
        <v>3063</v>
      </c>
      <c r="B2028" s="1" t="s">
        <v>3064</v>
      </c>
      <c r="C2028" s="3">
        <v>133.35</v>
      </c>
      <c r="D2028" s="5"/>
      <c r="E2028" s="5"/>
      <c r="F2028" s="5"/>
      <c r="G2028" s="4">
        <f t="shared" si="1"/>
        <v>66.675</v>
      </c>
      <c r="H2028" s="4" t="str">
        <f t="shared" si="2"/>
        <v>Sin precio neto</v>
      </c>
      <c r="I2028" s="4" t="str">
        <f t="shared" si="3"/>
        <v>Sin precio neto G.C.</v>
      </c>
      <c r="J2028" s="4">
        <f t="shared" si="4"/>
        <v>64.008</v>
      </c>
      <c r="K2028" s="4">
        <f t="shared" si="5"/>
        <v>66.675</v>
      </c>
      <c r="L2028" s="4">
        <f t="shared" si="6"/>
        <v>64.008</v>
      </c>
    </row>
    <row r="2029">
      <c r="A2029" s="1" t="s">
        <v>3065</v>
      </c>
      <c r="B2029" s="1" t="s">
        <v>3066</v>
      </c>
      <c r="C2029" s="3">
        <v>154.0</v>
      </c>
      <c r="D2029" s="5"/>
      <c r="E2029" s="5"/>
      <c r="F2029" s="5"/>
      <c r="G2029" s="4">
        <f t="shared" si="1"/>
        <v>77</v>
      </c>
      <c r="H2029" s="4" t="str">
        <f t="shared" si="2"/>
        <v>Sin precio neto</v>
      </c>
      <c r="I2029" s="4" t="str">
        <f t="shared" si="3"/>
        <v>Sin precio neto G.C.</v>
      </c>
      <c r="J2029" s="4">
        <f t="shared" si="4"/>
        <v>73.92</v>
      </c>
      <c r="K2029" s="4">
        <f t="shared" si="5"/>
        <v>77</v>
      </c>
      <c r="L2029" s="4">
        <f t="shared" si="6"/>
        <v>73.92</v>
      </c>
    </row>
    <row r="2030">
      <c r="A2030" s="1" t="s">
        <v>3067</v>
      </c>
      <c r="B2030" s="1" t="s">
        <v>3068</v>
      </c>
      <c r="C2030" s="3">
        <v>168.0</v>
      </c>
      <c r="D2030" s="5"/>
      <c r="E2030" s="5"/>
      <c r="F2030" s="5"/>
      <c r="G2030" s="4">
        <f t="shared" si="1"/>
        <v>84</v>
      </c>
      <c r="H2030" s="4" t="str">
        <f t="shared" si="2"/>
        <v>Sin precio neto</v>
      </c>
      <c r="I2030" s="4" t="str">
        <f t="shared" si="3"/>
        <v>Sin precio neto G.C.</v>
      </c>
      <c r="J2030" s="4">
        <f t="shared" si="4"/>
        <v>80.64</v>
      </c>
      <c r="K2030" s="4">
        <f t="shared" si="5"/>
        <v>84</v>
      </c>
      <c r="L2030" s="4">
        <f t="shared" si="6"/>
        <v>80.64</v>
      </c>
    </row>
    <row r="2031">
      <c r="A2031" s="1" t="s">
        <v>3069</v>
      </c>
      <c r="B2031" s="1" t="s">
        <v>3070</v>
      </c>
      <c r="C2031" s="3">
        <v>289.0</v>
      </c>
      <c r="D2031" s="5"/>
      <c r="E2031" s="5"/>
      <c r="F2031" s="5"/>
      <c r="G2031" s="4">
        <f t="shared" si="1"/>
        <v>144.5</v>
      </c>
      <c r="H2031" s="4" t="str">
        <f t="shared" si="2"/>
        <v>Sin precio neto</v>
      </c>
      <c r="I2031" s="4" t="str">
        <f t="shared" si="3"/>
        <v>Sin precio neto G.C.</v>
      </c>
      <c r="J2031" s="4">
        <f t="shared" si="4"/>
        <v>138.72</v>
      </c>
      <c r="K2031" s="4">
        <f t="shared" si="5"/>
        <v>144.5</v>
      </c>
      <c r="L2031" s="4">
        <f t="shared" si="6"/>
        <v>138.72</v>
      </c>
    </row>
    <row r="2032">
      <c r="A2032" s="1" t="s">
        <v>3071</v>
      </c>
      <c r="B2032" s="1" t="s">
        <v>3072</v>
      </c>
      <c r="C2032" s="3">
        <v>321.3</v>
      </c>
      <c r="D2032" s="5"/>
      <c r="E2032" s="5"/>
      <c r="F2032" s="5"/>
      <c r="G2032" s="4">
        <f t="shared" si="1"/>
        <v>160.65</v>
      </c>
      <c r="H2032" s="4" t="str">
        <f t="shared" si="2"/>
        <v>Sin precio neto</v>
      </c>
      <c r="I2032" s="4" t="str">
        <f t="shared" si="3"/>
        <v>Sin precio neto G.C.</v>
      </c>
      <c r="J2032" s="4">
        <f t="shared" si="4"/>
        <v>154.224</v>
      </c>
      <c r="K2032" s="4">
        <f t="shared" si="5"/>
        <v>160.65</v>
      </c>
      <c r="L2032" s="4">
        <f t="shared" si="6"/>
        <v>154.224</v>
      </c>
    </row>
    <row r="2033">
      <c r="A2033" s="1" t="s">
        <v>3073</v>
      </c>
      <c r="B2033" s="1" t="s">
        <v>3074</v>
      </c>
      <c r="C2033" s="3">
        <v>120.75</v>
      </c>
      <c r="D2033" s="5"/>
      <c r="E2033" s="5"/>
      <c r="F2033" s="5"/>
      <c r="G2033" s="4">
        <f t="shared" si="1"/>
        <v>60.375</v>
      </c>
      <c r="H2033" s="4" t="str">
        <f t="shared" si="2"/>
        <v>Sin precio neto</v>
      </c>
      <c r="I2033" s="4" t="str">
        <f t="shared" si="3"/>
        <v>Sin precio neto G.C.</v>
      </c>
      <c r="J2033" s="4">
        <f t="shared" si="4"/>
        <v>57.96</v>
      </c>
      <c r="K2033" s="4">
        <f t="shared" si="5"/>
        <v>60.375</v>
      </c>
      <c r="L2033" s="4">
        <f t="shared" si="6"/>
        <v>57.96</v>
      </c>
    </row>
    <row r="2034">
      <c r="A2034" s="1" t="s">
        <v>3075</v>
      </c>
      <c r="B2034" s="1" t="s">
        <v>3076</v>
      </c>
      <c r="C2034" s="3">
        <v>295.0</v>
      </c>
      <c r="D2034" s="5"/>
      <c r="E2034" s="5"/>
      <c r="F2034" s="5"/>
      <c r="G2034" s="4">
        <f t="shared" si="1"/>
        <v>147.5</v>
      </c>
      <c r="H2034" s="4" t="str">
        <f t="shared" si="2"/>
        <v>Sin precio neto</v>
      </c>
      <c r="I2034" s="4" t="str">
        <f t="shared" si="3"/>
        <v>Sin precio neto G.C.</v>
      </c>
      <c r="J2034" s="4">
        <f t="shared" si="4"/>
        <v>141.6</v>
      </c>
      <c r="K2034" s="4">
        <f t="shared" si="5"/>
        <v>147.5</v>
      </c>
      <c r="L2034" s="4">
        <f t="shared" si="6"/>
        <v>141.6</v>
      </c>
    </row>
    <row r="2035">
      <c r="A2035" s="1" t="s">
        <v>3077</v>
      </c>
      <c r="B2035" s="1" t="s">
        <v>3078</v>
      </c>
      <c r="C2035" s="3">
        <v>62.0</v>
      </c>
      <c r="D2035" s="5"/>
      <c r="E2035" s="5"/>
      <c r="F2035" s="5"/>
      <c r="G2035" s="4">
        <f t="shared" si="1"/>
        <v>31</v>
      </c>
      <c r="H2035" s="4" t="str">
        <f t="shared" si="2"/>
        <v>Sin precio neto</v>
      </c>
      <c r="I2035" s="4" t="str">
        <f t="shared" si="3"/>
        <v>Sin precio neto G.C.</v>
      </c>
      <c r="J2035" s="4">
        <f t="shared" si="4"/>
        <v>29.76</v>
      </c>
      <c r="K2035" s="4">
        <f t="shared" si="5"/>
        <v>31</v>
      </c>
      <c r="L2035" s="4">
        <f t="shared" si="6"/>
        <v>29.76</v>
      </c>
    </row>
    <row r="2036">
      <c r="A2036" s="1" t="s">
        <v>3079</v>
      </c>
      <c r="B2036" s="1" t="s">
        <v>3080</v>
      </c>
      <c r="C2036" s="3">
        <v>68.0</v>
      </c>
      <c r="D2036" s="5"/>
      <c r="E2036" s="5"/>
      <c r="F2036" s="5"/>
      <c r="G2036" s="4">
        <f t="shared" si="1"/>
        <v>34</v>
      </c>
      <c r="H2036" s="4" t="str">
        <f t="shared" si="2"/>
        <v>Sin precio neto</v>
      </c>
      <c r="I2036" s="4" t="str">
        <f t="shared" si="3"/>
        <v>Sin precio neto G.C.</v>
      </c>
      <c r="J2036" s="4">
        <f t="shared" si="4"/>
        <v>32.64</v>
      </c>
      <c r="K2036" s="4">
        <f t="shared" si="5"/>
        <v>34</v>
      </c>
      <c r="L2036" s="4">
        <f t="shared" si="6"/>
        <v>32.64</v>
      </c>
    </row>
    <row r="2037">
      <c r="A2037" s="1" t="s">
        <v>3081</v>
      </c>
      <c r="B2037" s="1" t="s">
        <v>3082</v>
      </c>
      <c r="C2037" s="3">
        <v>148.0</v>
      </c>
      <c r="D2037" s="5"/>
      <c r="E2037" s="5"/>
      <c r="F2037" s="5"/>
      <c r="G2037" s="4">
        <f t="shared" si="1"/>
        <v>74</v>
      </c>
      <c r="H2037" s="4" t="str">
        <f t="shared" si="2"/>
        <v>Sin precio neto</v>
      </c>
      <c r="I2037" s="4" t="str">
        <f t="shared" si="3"/>
        <v>Sin precio neto G.C.</v>
      </c>
      <c r="J2037" s="4">
        <f t="shared" si="4"/>
        <v>71.04</v>
      </c>
      <c r="K2037" s="4">
        <f t="shared" si="5"/>
        <v>74</v>
      </c>
      <c r="L2037" s="4">
        <f t="shared" si="6"/>
        <v>71.04</v>
      </c>
    </row>
    <row r="2038">
      <c r="A2038" s="1" t="s">
        <v>3083</v>
      </c>
      <c r="B2038" s="1" t="s">
        <v>3084</v>
      </c>
      <c r="C2038" s="3">
        <v>144.0</v>
      </c>
      <c r="D2038" s="5"/>
      <c r="E2038" s="5"/>
      <c r="F2038" s="5"/>
      <c r="G2038" s="4">
        <f t="shared" si="1"/>
        <v>72</v>
      </c>
      <c r="H2038" s="4" t="str">
        <f t="shared" si="2"/>
        <v>Sin precio neto</v>
      </c>
      <c r="I2038" s="4" t="str">
        <f t="shared" si="3"/>
        <v>Sin precio neto G.C.</v>
      </c>
      <c r="J2038" s="4">
        <f t="shared" si="4"/>
        <v>69.12</v>
      </c>
      <c r="K2038" s="4">
        <f t="shared" si="5"/>
        <v>72</v>
      </c>
      <c r="L2038" s="4">
        <f t="shared" si="6"/>
        <v>69.12</v>
      </c>
    </row>
    <row r="2039">
      <c r="A2039" s="1" t="s">
        <v>3085</v>
      </c>
      <c r="B2039" s="1" t="s">
        <v>3086</v>
      </c>
      <c r="C2039" s="3">
        <v>212.0</v>
      </c>
      <c r="D2039" s="5"/>
      <c r="E2039" s="5"/>
      <c r="F2039" s="5"/>
      <c r="G2039" s="4">
        <f t="shared" si="1"/>
        <v>106</v>
      </c>
      <c r="H2039" s="4" t="str">
        <f t="shared" si="2"/>
        <v>Sin precio neto</v>
      </c>
      <c r="I2039" s="4" t="str">
        <f t="shared" si="3"/>
        <v>Sin precio neto G.C.</v>
      </c>
      <c r="J2039" s="4">
        <f t="shared" si="4"/>
        <v>101.76</v>
      </c>
      <c r="K2039" s="4">
        <f t="shared" si="5"/>
        <v>106</v>
      </c>
      <c r="L2039" s="4">
        <f t="shared" si="6"/>
        <v>101.76</v>
      </c>
    </row>
    <row r="2040">
      <c r="A2040" s="1" t="s">
        <v>3087</v>
      </c>
      <c r="B2040" s="1" t="s">
        <v>3088</v>
      </c>
      <c r="C2040" s="3">
        <v>218.0</v>
      </c>
      <c r="D2040" s="5"/>
      <c r="E2040" s="5"/>
      <c r="F2040" s="5"/>
      <c r="G2040" s="4">
        <f t="shared" si="1"/>
        <v>109</v>
      </c>
      <c r="H2040" s="4" t="str">
        <f t="shared" si="2"/>
        <v>Sin precio neto</v>
      </c>
      <c r="I2040" s="4" t="str">
        <f t="shared" si="3"/>
        <v>Sin precio neto G.C.</v>
      </c>
      <c r="J2040" s="4">
        <f t="shared" si="4"/>
        <v>104.64</v>
      </c>
      <c r="K2040" s="4">
        <f t="shared" si="5"/>
        <v>109</v>
      </c>
      <c r="L2040" s="4">
        <f t="shared" si="6"/>
        <v>104.64</v>
      </c>
    </row>
    <row r="2041">
      <c r="A2041" s="1" t="s">
        <v>3089</v>
      </c>
      <c r="B2041" s="1" t="s">
        <v>3090</v>
      </c>
      <c r="C2041" s="3">
        <v>62.0</v>
      </c>
      <c r="D2041" s="5"/>
      <c r="E2041" s="5"/>
      <c r="F2041" s="5"/>
      <c r="G2041" s="4">
        <f t="shared" si="1"/>
        <v>31</v>
      </c>
      <c r="H2041" s="4" t="str">
        <f t="shared" si="2"/>
        <v>Sin precio neto</v>
      </c>
      <c r="I2041" s="4" t="str">
        <f t="shared" si="3"/>
        <v>Sin precio neto G.C.</v>
      </c>
      <c r="J2041" s="4">
        <f t="shared" si="4"/>
        <v>29.76</v>
      </c>
      <c r="K2041" s="4">
        <f t="shared" si="5"/>
        <v>31</v>
      </c>
      <c r="L2041" s="4">
        <f t="shared" si="6"/>
        <v>29.76</v>
      </c>
    </row>
    <row r="2042">
      <c r="A2042" s="1" t="s">
        <v>3091</v>
      </c>
      <c r="B2042" s="1" t="s">
        <v>3092</v>
      </c>
      <c r="C2042" s="3">
        <v>74.0</v>
      </c>
      <c r="D2042" s="5"/>
      <c r="E2042" s="5"/>
      <c r="F2042" s="5"/>
      <c r="G2042" s="4">
        <f t="shared" si="1"/>
        <v>37</v>
      </c>
      <c r="H2042" s="4" t="str">
        <f t="shared" si="2"/>
        <v>Sin precio neto</v>
      </c>
      <c r="I2042" s="4" t="str">
        <f t="shared" si="3"/>
        <v>Sin precio neto G.C.</v>
      </c>
      <c r="J2042" s="4">
        <f t="shared" si="4"/>
        <v>35.52</v>
      </c>
      <c r="K2042" s="4">
        <f t="shared" si="5"/>
        <v>37</v>
      </c>
      <c r="L2042" s="4">
        <f t="shared" si="6"/>
        <v>35.52</v>
      </c>
    </row>
    <row r="2043">
      <c r="A2043" s="1" t="s">
        <v>3093</v>
      </c>
      <c r="B2043" s="1" t="s">
        <v>3094</v>
      </c>
      <c r="C2043" s="3">
        <v>84.0</v>
      </c>
      <c r="D2043" s="5"/>
      <c r="E2043" s="5"/>
      <c r="F2043" s="5"/>
      <c r="G2043" s="4">
        <f t="shared" si="1"/>
        <v>42</v>
      </c>
      <c r="H2043" s="4" t="str">
        <f t="shared" si="2"/>
        <v>Sin precio neto</v>
      </c>
      <c r="I2043" s="4" t="str">
        <f t="shared" si="3"/>
        <v>Sin precio neto G.C.</v>
      </c>
      <c r="J2043" s="4">
        <f t="shared" si="4"/>
        <v>40.32</v>
      </c>
      <c r="K2043" s="4">
        <f t="shared" si="5"/>
        <v>42</v>
      </c>
      <c r="L2043" s="4">
        <f t="shared" si="6"/>
        <v>40.32</v>
      </c>
    </row>
    <row r="2044">
      <c r="A2044" s="1" t="s">
        <v>3095</v>
      </c>
      <c r="B2044" s="1" t="s">
        <v>3096</v>
      </c>
      <c r="C2044" s="3">
        <v>105.8</v>
      </c>
      <c r="D2044" s="5"/>
      <c r="E2044" s="5"/>
      <c r="F2044" s="5"/>
      <c r="G2044" s="4">
        <f t="shared" si="1"/>
        <v>52.9</v>
      </c>
      <c r="H2044" s="4" t="str">
        <f t="shared" si="2"/>
        <v>Sin precio neto</v>
      </c>
      <c r="I2044" s="4" t="str">
        <f t="shared" si="3"/>
        <v>Sin precio neto G.C.</v>
      </c>
      <c r="J2044" s="4">
        <f t="shared" si="4"/>
        <v>50.784</v>
      </c>
      <c r="K2044" s="4">
        <f t="shared" si="5"/>
        <v>52.9</v>
      </c>
      <c r="L2044" s="4">
        <f t="shared" si="6"/>
        <v>50.784</v>
      </c>
    </row>
    <row r="2045">
      <c r="A2045" s="1" t="s">
        <v>3097</v>
      </c>
      <c r="B2045" s="1" t="s">
        <v>3098</v>
      </c>
      <c r="C2045" s="3">
        <v>62.0</v>
      </c>
      <c r="D2045" s="5"/>
      <c r="E2045" s="5"/>
      <c r="F2045" s="5"/>
      <c r="G2045" s="4">
        <f t="shared" si="1"/>
        <v>31</v>
      </c>
      <c r="H2045" s="4" t="str">
        <f t="shared" si="2"/>
        <v>Sin precio neto</v>
      </c>
      <c r="I2045" s="4" t="str">
        <f t="shared" si="3"/>
        <v>Sin precio neto G.C.</v>
      </c>
      <c r="J2045" s="4">
        <f t="shared" si="4"/>
        <v>29.76</v>
      </c>
      <c r="K2045" s="4">
        <f t="shared" si="5"/>
        <v>31</v>
      </c>
      <c r="L2045" s="4">
        <f t="shared" si="6"/>
        <v>29.76</v>
      </c>
    </row>
    <row r="2046">
      <c r="A2046" s="1" t="s">
        <v>3099</v>
      </c>
      <c r="B2046" s="1" t="s">
        <v>3100</v>
      </c>
      <c r="C2046" s="3">
        <v>68.0</v>
      </c>
      <c r="D2046" s="5"/>
      <c r="E2046" s="5"/>
      <c r="F2046" s="5"/>
      <c r="G2046" s="4">
        <f t="shared" si="1"/>
        <v>34</v>
      </c>
      <c r="H2046" s="4" t="str">
        <f t="shared" si="2"/>
        <v>Sin precio neto</v>
      </c>
      <c r="I2046" s="4" t="str">
        <f t="shared" si="3"/>
        <v>Sin precio neto G.C.</v>
      </c>
      <c r="J2046" s="4">
        <f t="shared" si="4"/>
        <v>32.64</v>
      </c>
      <c r="K2046" s="4">
        <f t="shared" si="5"/>
        <v>34</v>
      </c>
      <c r="L2046" s="4">
        <f t="shared" si="6"/>
        <v>32.64</v>
      </c>
    </row>
    <row r="2047">
      <c r="A2047" s="1" t="s">
        <v>3101</v>
      </c>
      <c r="B2047" s="1" t="s">
        <v>3102</v>
      </c>
      <c r="C2047" s="3">
        <v>34.0</v>
      </c>
      <c r="D2047" s="5"/>
      <c r="E2047" s="5"/>
      <c r="F2047" s="5"/>
      <c r="G2047" s="4">
        <f t="shared" si="1"/>
        <v>17</v>
      </c>
      <c r="H2047" s="4" t="str">
        <f t="shared" si="2"/>
        <v>Sin precio neto</v>
      </c>
      <c r="I2047" s="4" t="str">
        <f t="shared" si="3"/>
        <v>Sin precio neto G.C.</v>
      </c>
      <c r="J2047" s="4">
        <f t="shared" si="4"/>
        <v>16.32</v>
      </c>
      <c r="K2047" s="4">
        <f t="shared" si="5"/>
        <v>17</v>
      </c>
      <c r="L2047" s="4">
        <f t="shared" si="6"/>
        <v>16.32</v>
      </c>
    </row>
    <row r="2048">
      <c r="A2048" s="1" t="s">
        <v>3103</v>
      </c>
      <c r="B2048" s="1" t="s">
        <v>3104</v>
      </c>
      <c r="C2048" s="3">
        <v>38.0</v>
      </c>
      <c r="D2048" s="5"/>
      <c r="E2048" s="5"/>
      <c r="F2048" s="5"/>
      <c r="G2048" s="4">
        <f t="shared" si="1"/>
        <v>19</v>
      </c>
      <c r="H2048" s="4" t="str">
        <f t="shared" si="2"/>
        <v>Sin precio neto</v>
      </c>
      <c r="I2048" s="4" t="str">
        <f t="shared" si="3"/>
        <v>Sin precio neto G.C.</v>
      </c>
      <c r="J2048" s="4">
        <f t="shared" si="4"/>
        <v>18.24</v>
      </c>
      <c r="K2048" s="4">
        <f t="shared" si="5"/>
        <v>19</v>
      </c>
      <c r="L2048" s="4">
        <f t="shared" si="6"/>
        <v>18.24</v>
      </c>
    </row>
    <row r="2049">
      <c r="A2049" s="1" t="s">
        <v>3105</v>
      </c>
      <c r="B2049" s="1" t="s">
        <v>3106</v>
      </c>
      <c r="C2049" s="3">
        <v>9.5</v>
      </c>
      <c r="D2049" s="5"/>
      <c r="E2049" s="5"/>
      <c r="F2049" s="5"/>
      <c r="G2049" s="4">
        <f t="shared" si="1"/>
        <v>4.75</v>
      </c>
      <c r="H2049" s="4" t="str">
        <f t="shared" si="2"/>
        <v>Sin precio neto</v>
      </c>
      <c r="I2049" s="4" t="str">
        <f t="shared" si="3"/>
        <v>Sin precio neto G.C.</v>
      </c>
      <c r="J2049" s="4">
        <f t="shared" si="4"/>
        <v>4.56</v>
      </c>
      <c r="K2049" s="4">
        <f t="shared" si="5"/>
        <v>4.75</v>
      </c>
      <c r="L2049" s="4">
        <f t="shared" si="6"/>
        <v>4.56</v>
      </c>
    </row>
    <row r="2050">
      <c r="A2050" s="1" t="s">
        <v>3107</v>
      </c>
      <c r="B2050" s="1" t="s">
        <v>3108</v>
      </c>
      <c r="C2050" s="3">
        <v>5.4</v>
      </c>
      <c r="D2050" s="5"/>
      <c r="E2050" s="5"/>
      <c r="F2050" s="5"/>
      <c r="G2050" s="4">
        <f t="shared" si="1"/>
        <v>2.7</v>
      </c>
      <c r="H2050" s="4" t="str">
        <f t="shared" si="2"/>
        <v>Sin precio neto</v>
      </c>
      <c r="I2050" s="4" t="str">
        <f t="shared" si="3"/>
        <v>Sin precio neto G.C.</v>
      </c>
      <c r="J2050" s="4">
        <f t="shared" si="4"/>
        <v>2.592</v>
      </c>
      <c r="K2050" s="4">
        <f t="shared" si="5"/>
        <v>2.7</v>
      </c>
      <c r="L2050" s="4">
        <f t="shared" si="6"/>
        <v>2.592</v>
      </c>
    </row>
    <row r="2051">
      <c r="A2051" s="1" t="s">
        <v>3109</v>
      </c>
      <c r="B2051" s="1" t="s">
        <v>3110</v>
      </c>
      <c r="C2051" s="3">
        <v>4.3</v>
      </c>
      <c r="D2051" s="5"/>
      <c r="E2051" s="5"/>
      <c r="F2051" s="5"/>
      <c r="G2051" s="4">
        <f t="shared" si="1"/>
        <v>2.15</v>
      </c>
      <c r="H2051" s="4" t="str">
        <f t="shared" si="2"/>
        <v>Sin precio neto</v>
      </c>
      <c r="I2051" s="4" t="str">
        <f t="shared" si="3"/>
        <v>Sin precio neto G.C.</v>
      </c>
      <c r="J2051" s="4">
        <f t="shared" si="4"/>
        <v>2.064</v>
      </c>
      <c r="K2051" s="4">
        <f t="shared" si="5"/>
        <v>2.15</v>
      </c>
      <c r="L2051" s="4">
        <f t="shared" si="6"/>
        <v>2.064</v>
      </c>
    </row>
    <row r="2052">
      <c r="A2052" s="1" t="s">
        <v>3111</v>
      </c>
      <c r="B2052" s="1" t="s">
        <v>3112</v>
      </c>
      <c r="C2052" s="3">
        <v>8.2</v>
      </c>
      <c r="D2052" s="5"/>
      <c r="E2052" s="5"/>
      <c r="F2052" s="5"/>
      <c r="G2052" s="4">
        <f t="shared" si="1"/>
        <v>4.1</v>
      </c>
      <c r="H2052" s="4" t="str">
        <f t="shared" si="2"/>
        <v>Sin precio neto</v>
      </c>
      <c r="I2052" s="4" t="str">
        <f t="shared" si="3"/>
        <v>Sin precio neto G.C.</v>
      </c>
      <c r="J2052" s="4">
        <f t="shared" si="4"/>
        <v>3.936</v>
      </c>
      <c r="K2052" s="4">
        <f t="shared" si="5"/>
        <v>4.1</v>
      </c>
      <c r="L2052" s="4">
        <f t="shared" si="6"/>
        <v>3.936</v>
      </c>
    </row>
    <row r="2053">
      <c r="A2053" s="1" t="s">
        <v>3113</v>
      </c>
      <c r="B2053" s="1" t="s">
        <v>3114</v>
      </c>
      <c r="C2053" s="3">
        <v>21.52</v>
      </c>
      <c r="D2053" s="5"/>
      <c r="E2053" s="5"/>
      <c r="F2053" s="5"/>
      <c r="G2053" s="4">
        <f t="shared" si="1"/>
        <v>10.76</v>
      </c>
      <c r="H2053" s="4" t="str">
        <f t="shared" si="2"/>
        <v>Sin precio neto</v>
      </c>
      <c r="I2053" s="4" t="str">
        <f t="shared" si="3"/>
        <v>Sin precio neto G.C.</v>
      </c>
      <c r="J2053" s="4">
        <f t="shared" si="4"/>
        <v>10.3296</v>
      </c>
      <c r="K2053" s="4">
        <f t="shared" si="5"/>
        <v>10.76</v>
      </c>
      <c r="L2053" s="4">
        <f t="shared" si="6"/>
        <v>10.3296</v>
      </c>
    </row>
    <row r="2054">
      <c r="A2054" s="1" t="s">
        <v>3115</v>
      </c>
      <c r="B2054" s="1" t="s">
        <v>3116</v>
      </c>
      <c r="C2054" s="3">
        <v>63.48</v>
      </c>
      <c r="D2054" s="5"/>
      <c r="E2054" s="5"/>
      <c r="F2054" s="5"/>
      <c r="G2054" s="4">
        <f t="shared" si="1"/>
        <v>31.74</v>
      </c>
      <c r="H2054" s="4" t="str">
        <f t="shared" si="2"/>
        <v>Sin precio neto</v>
      </c>
      <c r="I2054" s="4" t="str">
        <f t="shared" si="3"/>
        <v>Sin precio neto G.C.</v>
      </c>
      <c r="J2054" s="4">
        <f t="shared" si="4"/>
        <v>30.4704</v>
      </c>
      <c r="K2054" s="4">
        <f t="shared" si="5"/>
        <v>31.74</v>
      </c>
      <c r="L2054" s="4">
        <f t="shared" si="6"/>
        <v>30.4704</v>
      </c>
    </row>
    <row r="2055">
      <c r="A2055" s="1" t="s">
        <v>3117</v>
      </c>
      <c r="B2055" s="1" t="s">
        <v>3118</v>
      </c>
      <c r="C2055" s="3">
        <v>74.8</v>
      </c>
      <c r="D2055" s="5"/>
      <c r="E2055" s="5"/>
      <c r="F2055" s="5"/>
      <c r="G2055" s="4">
        <f t="shared" si="1"/>
        <v>37.4</v>
      </c>
      <c r="H2055" s="4" t="str">
        <f t="shared" si="2"/>
        <v>Sin precio neto</v>
      </c>
      <c r="I2055" s="4" t="str">
        <f t="shared" si="3"/>
        <v>Sin precio neto G.C.</v>
      </c>
      <c r="J2055" s="4">
        <f t="shared" si="4"/>
        <v>35.904</v>
      </c>
      <c r="K2055" s="4">
        <f t="shared" si="5"/>
        <v>37.4</v>
      </c>
      <c r="L2055" s="4">
        <f t="shared" si="6"/>
        <v>35.904</v>
      </c>
    </row>
    <row r="2056">
      <c r="A2056" s="1" t="s">
        <v>3119</v>
      </c>
      <c r="B2056" s="1" t="s">
        <v>3120</v>
      </c>
      <c r="C2056" s="3">
        <v>80.46</v>
      </c>
      <c r="D2056" s="5"/>
      <c r="E2056" s="5"/>
      <c r="F2056" s="5"/>
      <c r="G2056" s="4">
        <f t="shared" si="1"/>
        <v>40.23</v>
      </c>
      <c r="H2056" s="4" t="str">
        <f t="shared" si="2"/>
        <v>Sin precio neto</v>
      </c>
      <c r="I2056" s="4" t="str">
        <f t="shared" si="3"/>
        <v>Sin precio neto G.C.</v>
      </c>
      <c r="J2056" s="4">
        <f t="shared" si="4"/>
        <v>38.6208</v>
      </c>
      <c r="K2056" s="4">
        <f t="shared" si="5"/>
        <v>40.23</v>
      </c>
      <c r="L2056" s="4">
        <f t="shared" si="6"/>
        <v>38.6208</v>
      </c>
    </row>
    <row r="2057">
      <c r="A2057" s="1" t="s">
        <v>3121</v>
      </c>
      <c r="B2057" s="1" t="s">
        <v>3122</v>
      </c>
      <c r="C2057" s="3">
        <v>4.23</v>
      </c>
      <c r="D2057" s="5"/>
      <c r="E2057" s="5"/>
      <c r="F2057" s="5"/>
      <c r="G2057" s="4">
        <f t="shared" si="1"/>
        <v>2.115</v>
      </c>
      <c r="H2057" s="4" t="str">
        <f t="shared" si="2"/>
        <v>Sin precio neto</v>
      </c>
      <c r="I2057" s="4" t="str">
        <f t="shared" si="3"/>
        <v>Sin precio neto G.C.</v>
      </c>
      <c r="J2057" s="4">
        <f t="shared" si="4"/>
        <v>2.0304</v>
      </c>
      <c r="K2057" s="4">
        <f t="shared" si="5"/>
        <v>2.115</v>
      </c>
      <c r="L2057" s="4">
        <f t="shared" si="6"/>
        <v>2.0304</v>
      </c>
    </row>
    <row r="2058">
      <c r="A2058" s="1" t="s">
        <v>3123</v>
      </c>
      <c r="B2058" s="1" t="s">
        <v>3124</v>
      </c>
      <c r="C2058" s="3">
        <v>20.16</v>
      </c>
      <c r="D2058" s="5"/>
      <c r="E2058" s="5"/>
      <c r="F2058" s="5"/>
      <c r="G2058" s="4">
        <f t="shared" si="1"/>
        <v>10.08</v>
      </c>
      <c r="H2058" s="4" t="str">
        <f t="shared" si="2"/>
        <v>Sin precio neto</v>
      </c>
      <c r="I2058" s="4" t="str">
        <f t="shared" si="3"/>
        <v>Sin precio neto G.C.</v>
      </c>
      <c r="J2058" s="4">
        <f t="shared" si="4"/>
        <v>9.6768</v>
      </c>
      <c r="K2058" s="4">
        <f t="shared" si="5"/>
        <v>10.08</v>
      </c>
      <c r="L2058" s="4">
        <f t="shared" si="6"/>
        <v>9.6768</v>
      </c>
    </row>
    <row r="2059">
      <c r="A2059" s="1" t="s">
        <v>3125</v>
      </c>
      <c r="B2059" s="1" t="s">
        <v>3126</v>
      </c>
      <c r="C2059" s="3">
        <v>10.08</v>
      </c>
      <c r="D2059" s="5"/>
      <c r="E2059" s="5"/>
      <c r="F2059" s="5"/>
      <c r="G2059" s="4">
        <f t="shared" si="1"/>
        <v>5.04</v>
      </c>
      <c r="H2059" s="4" t="str">
        <f t="shared" si="2"/>
        <v>Sin precio neto</v>
      </c>
      <c r="I2059" s="4" t="str">
        <f t="shared" si="3"/>
        <v>Sin precio neto G.C.</v>
      </c>
      <c r="J2059" s="4">
        <f t="shared" si="4"/>
        <v>4.8384</v>
      </c>
      <c r="K2059" s="4">
        <f t="shared" si="5"/>
        <v>5.04</v>
      </c>
      <c r="L2059" s="4">
        <f t="shared" si="6"/>
        <v>4.8384</v>
      </c>
    </row>
    <row r="2060">
      <c r="A2060" s="1" t="s">
        <v>3127</v>
      </c>
      <c r="B2060" s="1" t="s">
        <v>3128</v>
      </c>
      <c r="C2060" s="3">
        <v>2.48</v>
      </c>
      <c r="D2060" s="5"/>
      <c r="E2060" s="5"/>
      <c r="F2060" s="5"/>
      <c r="G2060" s="4">
        <f t="shared" si="1"/>
        <v>1.24</v>
      </c>
      <c r="H2060" s="4" t="str">
        <f t="shared" si="2"/>
        <v>Sin precio neto</v>
      </c>
      <c r="I2060" s="4" t="str">
        <f t="shared" si="3"/>
        <v>Sin precio neto G.C.</v>
      </c>
      <c r="J2060" s="4">
        <f t="shared" si="4"/>
        <v>1.1904</v>
      </c>
      <c r="K2060" s="4">
        <f t="shared" si="5"/>
        <v>1.24</v>
      </c>
      <c r="L2060" s="4">
        <f t="shared" si="6"/>
        <v>1.1904</v>
      </c>
    </row>
    <row r="2061">
      <c r="A2061" s="1" t="s">
        <v>3129</v>
      </c>
      <c r="B2061" s="1" t="s">
        <v>3130</v>
      </c>
      <c r="C2061" s="3">
        <v>6.8</v>
      </c>
      <c r="D2061" s="5"/>
      <c r="E2061" s="5"/>
      <c r="F2061" s="5"/>
      <c r="G2061" s="4">
        <f t="shared" si="1"/>
        <v>3.4</v>
      </c>
      <c r="H2061" s="4" t="str">
        <f t="shared" si="2"/>
        <v>Sin precio neto</v>
      </c>
      <c r="I2061" s="4" t="str">
        <f t="shared" si="3"/>
        <v>Sin precio neto G.C.</v>
      </c>
      <c r="J2061" s="4">
        <f t="shared" si="4"/>
        <v>3.264</v>
      </c>
      <c r="K2061" s="4">
        <f t="shared" si="5"/>
        <v>3.4</v>
      </c>
      <c r="L2061" s="4">
        <f t="shared" si="6"/>
        <v>3.264</v>
      </c>
    </row>
    <row r="2062">
      <c r="A2062" s="1" t="s">
        <v>3131</v>
      </c>
      <c r="B2062" s="1" t="s">
        <v>3132</v>
      </c>
      <c r="C2062" s="3">
        <v>4.8</v>
      </c>
      <c r="D2062" s="5"/>
      <c r="E2062" s="5"/>
      <c r="F2062" s="5"/>
      <c r="G2062" s="4">
        <f t="shared" si="1"/>
        <v>2.4</v>
      </c>
      <c r="H2062" s="4" t="str">
        <f t="shared" si="2"/>
        <v>Sin precio neto</v>
      </c>
      <c r="I2062" s="4" t="str">
        <f t="shared" si="3"/>
        <v>Sin precio neto G.C.</v>
      </c>
      <c r="J2062" s="4">
        <f t="shared" si="4"/>
        <v>2.304</v>
      </c>
      <c r="K2062" s="4">
        <f t="shared" si="5"/>
        <v>2.4</v>
      </c>
      <c r="L2062" s="4">
        <f t="shared" si="6"/>
        <v>2.304</v>
      </c>
    </row>
    <row r="2063">
      <c r="A2063" s="1" t="s">
        <v>3133</v>
      </c>
      <c r="B2063" s="1" t="s">
        <v>3134</v>
      </c>
      <c r="C2063" s="3">
        <v>4.5</v>
      </c>
      <c r="D2063" s="5"/>
      <c r="E2063" s="5"/>
      <c r="F2063" s="5"/>
      <c r="G2063" s="4">
        <f t="shared" si="1"/>
        <v>2.25</v>
      </c>
      <c r="H2063" s="4" t="str">
        <f t="shared" si="2"/>
        <v>Sin precio neto</v>
      </c>
      <c r="I2063" s="4" t="str">
        <f t="shared" si="3"/>
        <v>Sin precio neto G.C.</v>
      </c>
      <c r="J2063" s="4">
        <f t="shared" si="4"/>
        <v>2.16</v>
      </c>
      <c r="K2063" s="4">
        <f t="shared" si="5"/>
        <v>2.25</v>
      </c>
      <c r="L2063" s="4">
        <f t="shared" si="6"/>
        <v>2.16</v>
      </c>
    </row>
    <row r="2064">
      <c r="A2064" s="1" t="s">
        <v>3135</v>
      </c>
      <c r="B2064" s="1" t="s">
        <v>3136</v>
      </c>
      <c r="C2064" s="3">
        <v>5.8</v>
      </c>
      <c r="D2064" s="5"/>
      <c r="E2064" s="5"/>
      <c r="F2064" s="5"/>
      <c r="G2064" s="4">
        <f t="shared" si="1"/>
        <v>2.9</v>
      </c>
      <c r="H2064" s="4" t="str">
        <f t="shared" si="2"/>
        <v>Sin precio neto</v>
      </c>
      <c r="I2064" s="4" t="str">
        <f t="shared" si="3"/>
        <v>Sin precio neto G.C.</v>
      </c>
      <c r="J2064" s="4">
        <f t="shared" si="4"/>
        <v>2.784</v>
      </c>
      <c r="K2064" s="4">
        <f t="shared" si="5"/>
        <v>2.9</v>
      </c>
      <c r="L2064" s="4">
        <f t="shared" si="6"/>
        <v>2.784</v>
      </c>
    </row>
    <row r="2065">
      <c r="A2065" s="1" t="s">
        <v>3137</v>
      </c>
      <c r="B2065" s="1" t="s">
        <v>3138</v>
      </c>
      <c r="C2065" s="3">
        <v>500.0</v>
      </c>
      <c r="D2065" s="3">
        <v>150.0</v>
      </c>
      <c r="E2065" s="3">
        <v>150.0</v>
      </c>
      <c r="F2065" s="3">
        <v>1.0</v>
      </c>
      <c r="G2065" s="4">
        <f t="shared" si="1"/>
        <v>250</v>
      </c>
      <c r="H2065" s="4" t="str">
        <f t="shared" si="2"/>
        <v>Neto: 150,00 € (a partir de 1 uds.)</v>
      </c>
      <c r="I2065" s="4" t="str">
        <f t="shared" si="3"/>
        <v>Neto G.C.: 150,00 € (a partir de 1 uds.)</v>
      </c>
      <c r="J2065" s="4">
        <f t="shared" si="4"/>
        <v>240</v>
      </c>
      <c r="K2065" s="4">
        <f t="shared" si="5"/>
        <v>250</v>
      </c>
      <c r="L2065" s="4">
        <f t="shared" si="6"/>
        <v>240</v>
      </c>
    </row>
    <row r="2066">
      <c r="A2066" s="1" t="s">
        <v>3139</v>
      </c>
      <c r="B2066" s="1" t="s">
        <v>3140</v>
      </c>
      <c r="C2066" s="6">
        <v>2400.0</v>
      </c>
      <c r="D2066" s="3">
        <v>1000.0</v>
      </c>
      <c r="E2066" s="3">
        <v>1000.0</v>
      </c>
      <c r="F2066" s="3">
        <v>1.0</v>
      </c>
      <c r="G2066" s="4">
        <f t="shared" si="1"/>
        <v>1200</v>
      </c>
      <c r="H2066" s="4" t="str">
        <f t="shared" si="2"/>
        <v>Neto: 1000,00 € (a partir de 1 uds.)</v>
      </c>
      <c r="I2066" s="4" t="str">
        <f t="shared" si="3"/>
        <v>Neto G.C.: 1000,00 € (a partir de 1 uds.)</v>
      </c>
      <c r="J2066" s="4">
        <f t="shared" si="4"/>
        <v>1152</v>
      </c>
      <c r="K2066" s="4">
        <f t="shared" si="5"/>
        <v>1200</v>
      </c>
      <c r="L2066" s="4">
        <f t="shared" si="6"/>
        <v>1152</v>
      </c>
    </row>
    <row r="2067">
      <c r="A2067" s="1" t="s">
        <v>3141</v>
      </c>
      <c r="B2067" s="1" t="s">
        <v>3142</v>
      </c>
      <c r="C2067" s="3">
        <v>65.04</v>
      </c>
      <c r="D2067" s="5"/>
      <c r="E2067" s="5"/>
      <c r="F2067" s="5"/>
      <c r="G2067" s="4">
        <f t="shared" si="1"/>
        <v>32.52</v>
      </c>
      <c r="H2067" s="4" t="str">
        <f t="shared" si="2"/>
        <v>Sin precio neto</v>
      </c>
      <c r="I2067" s="4" t="str">
        <f t="shared" si="3"/>
        <v>Sin precio neto G.C.</v>
      </c>
      <c r="J2067" s="4">
        <f t="shared" si="4"/>
        <v>31.2192</v>
      </c>
      <c r="K2067" s="4">
        <f t="shared" si="5"/>
        <v>32.52</v>
      </c>
      <c r="L2067" s="4">
        <f t="shared" si="6"/>
        <v>31.2192</v>
      </c>
    </row>
    <row r="2068">
      <c r="A2068" s="1" t="s">
        <v>3143</v>
      </c>
      <c r="B2068" s="1" t="s">
        <v>3144</v>
      </c>
      <c r="C2068" s="3">
        <v>36.2</v>
      </c>
      <c r="D2068" s="5"/>
      <c r="E2068" s="5"/>
      <c r="F2068" s="5"/>
      <c r="G2068" s="4">
        <f t="shared" si="1"/>
        <v>18.1</v>
      </c>
      <c r="H2068" s="4" t="str">
        <f t="shared" si="2"/>
        <v>Sin precio neto</v>
      </c>
      <c r="I2068" s="4" t="str">
        <f t="shared" si="3"/>
        <v>Sin precio neto G.C.</v>
      </c>
      <c r="J2068" s="4">
        <f t="shared" si="4"/>
        <v>17.376</v>
      </c>
      <c r="K2068" s="4">
        <f t="shared" si="5"/>
        <v>18.1</v>
      </c>
      <c r="L2068" s="4">
        <f t="shared" si="6"/>
        <v>17.376</v>
      </c>
    </row>
    <row r="2069">
      <c r="A2069" s="1" t="s">
        <v>3145</v>
      </c>
      <c r="B2069" s="1" t="s">
        <v>3146</v>
      </c>
      <c r="C2069" s="3">
        <v>23.76</v>
      </c>
      <c r="D2069" s="5"/>
      <c r="E2069" s="5"/>
      <c r="F2069" s="5"/>
      <c r="G2069" s="4">
        <f t="shared" si="1"/>
        <v>11.88</v>
      </c>
      <c r="H2069" s="4" t="str">
        <f t="shared" si="2"/>
        <v>Sin precio neto</v>
      </c>
      <c r="I2069" s="4" t="str">
        <f t="shared" si="3"/>
        <v>Sin precio neto G.C.</v>
      </c>
      <c r="J2069" s="4">
        <f t="shared" si="4"/>
        <v>11.4048</v>
      </c>
      <c r="K2069" s="4">
        <f t="shared" si="5"/>
        <v>11.88</v>
      </c>
      <c r="L2069" s="4">
        <f t="shared" si="6"/>
        <v>11.4048</v>
      </c>
    </row>
    <row r="2070">
      <c r="A2070" s="1" t="s">
        <v>3147</v>
      </c>
      <c r="B2070" s="1" t="s">
        <v>3148</v>
      </c>
      <c r="C2070" s="3">
        <v>12.6</v>
      </c>
      <c r="D2070" s="5"/>
      <c r="E2070" s="5"/>
      <c r="F2070" s="5"/>
      <c r="G2070" s="4">
        <f t="shared" si="1"/>
        <v>6.3</v>
      </c>
      <c r="H2070" s="4" t="str">
        <f t="shared" si="2"/>
        <v>Sin precio neto</v>
      </c>
      <c r="I2070" s="4" t="str">
        <f t="shared" si="3"/>
        <v>Sin precio neto G.C.</v>
      </c>
      <c r="J2070" s="4">
        <f t="shared" si="4"/>
        <v>6.048</v>
      </c>
      <c r="K2070" s="4">
        <f t="shared" si="5"/>
        <v>6.3</v>
      </c>
      <c r="L2070" s="4">
        <f t="shared" si="6"/>
        <v>6.048</v>
      </c>
    </row>
    <row r="2071">
      <c r="A2071" s="1" t="s">
        <v>3149</v>
      </c>
      <c r="B2071" s="1" t="s">
        <v>3150</v>
      </c>
      <c r="C2071" s="3">
        <v>6.8</v>
      </c>
      <c r="D2071" s="5"/>
      <c r="E2071" s="5"/>
      <c r="F2071" s="5"/>
      <c r="G2071" s="4">
        <f t="shared" si="1"/>
        <v>3.4</v>
      </c>
      <c r="H2071" s="4" t="str">
        <f t="shared" si="2"/>
        <v>Sin precio neto</v>
      </c>
      <c r="I2071" s="4" t="str">
        <f t="shared" si="3"/>
        <v>Sin precio neto G.C.</v>
      </c>
      <c r="J2071" s="4">
        <f t="shared" si="4"/>
        <v>3.264</v>
      </c>
      <c r="K2071" s="4">
        <f t="shared" si="5"/>
        <v>3.4</v>
      </c>
      <c r="L2071" s="4">
        <f t="shared" si="6"/>
        <v>3.264</v>
      </c>
    </row>
    <row r="2072">
      <c r="A2072" s="1" t="s">
        <v>3151</v>
      </c>
      <c r="B2072" s="1" t="s">
        <v>3152</v>
      </c>
      <c r="C2072" s="3">
        <v>4.4</v>
      </c>
      <c r="D2072" s="5"/>
      <c r="E2072" s="5"/>
      <c r="F2072" s="5"/>
      <c r="G2072" s="4">
        <f t="shared" si="1"/>
        <v>2.2</v>
      </c>
      <c r="H2072" s="4" t="str">
        <f t="shared" si="2"/>
        <v>Sin precio neto</v>
      </c>
      <c r="I2072" s="4" t="str">
        <f t="shared" si="3"/>
        <v>Sin precio neto G.C.</v>
      </c>
      <c r="J2072" s="4">
        <f t="shared" si="4"/>
        <v>2.112</v>
      </c>
      <c r="K2072" s="4">
        <f t="shared" si="5"/>
        <v>2.2</v>
      </c>
      <c r="L2072" s="4">
        <f t="shared" si="6"/>
        <v>2.112</v>
      </c>
    </row>
    <row r="2073">
      <c r="A2073" s="1" t="s">
        <v>3153</v>
      </c>
      <c r="B2073" s="1" t="s">
        <v>3154</v>
      </c>
      <c r="C2073" s="3">
        <v>59.1</v>
      </c>
      <c r="D2073" s="5"/>
      <c r="E2073" s="5"/>
      <c r="F2073" s="5"/>
      <c r="G2073" s="4">
        <f t="shared" si="1"/>
        <v>29.55</v>
      </c>
      <c r="H2073" s="4" t="str">
        <f t="shared" si="2"/>
        <v>Sin precio neto</v>
      </c>
      <c r="I2073" s="4" t="str">
        <f t="shared" si="3"/>
        <v>Sin precio neto G.C.</v>
      </c>
      <c r="J2073" s="4">
        <f t="shared" si="4"/>
        <v>28.368</v>
      </c>
      <c r="K2073" s="4">
        <f t="shared" si="5"/>
        <v>29.55</v>
      </c>
      <c r="L2073" s="4">
        <f t="shared" si="6"/>
        <v>28.368</v>
      </c>
    </row>
    <row r="2074">
      <c r="A2074" s="1" t="s">
        <v>3155</v>
      </c>
      <c r="B2074" s="1" t="s">
        <v>3156</v>
      </c>
      <c r="C2074" s="3">
        <v>25.3</v>
      </c>
      <c r="D2074" s="5"/>
      <c r="E2074" s="5"/>
      <c r="F2074" s="5"/>
      <c r="G2074" s="4">
        <f t="shared" si="1"/>
        <v>12.65</v>
      </c>
      <c r="H2074" s="4" t="str">
        <f t="shared" si="2"/>
        <v>Sin precio neto</v>
      </c>
      <c r="I2074" s="4" t="str">
        <f t="shared" si="3"/>
        <v>Sin precio neto G.C.</v>
      </c>
      <c r="J2074" s="4">
        <f t="shared" si="4"/>
        <v>12.144</v>
      </c>
      <c r="K2074" s="4">
        <f t="shared" si="5"/>
        <v>12.65</v>
      </c>
      <c r="L2074" s="4">
        <f t="shared" si="6"/>
        <v>12.144</v>
      </c>
    </row>
    <row r="2075">
      <c r="A2075" s="1" t="s">
        <v>3157</v>
      </c>
      <c r="B2075" s="1" t="s">
        <v>3158</v>
      </c>
      <c r="C2075" s="3">
        <v>10.15</v>
      </c>
      <c r="D2075" s="5"/>
      <c r="E2075" s="5"/>
      <c r="F2075" s="5"/>
      <c r="G2075" s="4">
        <f t="shared" si="1"/>
        <v>5.075</v>
      </c>
      <c r="H2075" s="4" t="str">
        <f t="shared" si="2"/>
        <v>Sin precio neto</v>
      </c>
      <c r="I2075" s="4" t="str">
        <f t="shared" si="3"/>
        <v>Sin precio neto G.C.</v>
      </c>
      <c r="J2075" s="4">
        <f t="shared" si="4"/>
        <v>4.872</v>
      </c>
      <c r="K2075" s="4">
        <f t="shared" si="5"/>
        <v>5.075</v>
      </c>
      <c r="L2075" s="4">
        <f t="shared" si="6"/>
        <v>4.872</v>
      </c>
    </row>
    <row r="2076">
      <c r="A2076" s="1" t="s">
        <v>3159</v>
      </c>
      <c r="B2076" s="1" t="s">
        <v>3160</v>
      </c>
      <c r="C2076" s="3">
        <v>5.5</v>
      </c>
      <c r="D2076" s="5"/>
      <c r="E2076" s="5"/>
      <c r="F2076" s="5"/>
      <c r="G2076" s="4">
        <f t="shared" si="1"/>
        <v>2.75</v>
      </c>
      <c r="H2076" s="4" t="str">
        <f t="shared" si="2"/>
        <v>Sin precio neto</v>
      </c>
      <c r="I2076" s="4" t="str">
        <f t="shared" si="3"/>
        <v>Sin precio neto G.C.</v>
      </c>
      <c r="J2076" s="4">
        <f t="shared" si="4"/>
        <v>2.64</v>
      </c>
      <c r="K2076" s="4">
        <f t="shared" si="5"/>
        <v>2.75</v>
      </c>
      <c r="L2076" s="4">
        <f t="shared" si="6"/>
        <v>2.64</v>
      </c>
    </row>
    <row r="2077">
      <c r="A2077" s="1" t="s">
        <v>3161</v>
      </c>
      <c r="B2077" s="1" t="s">
        <v>3162</v>
      </c>
      <c r="C2077" s="3">
        <v>2.8</v>
      </c>
      <c r="D2077" s="5"/>
      <c r="E2077" s="5"/>
      <c r="F2077" s="5"/>
      <c r="G2077" s="4">
        <f t="shared" si="1"/>
        <v>1.4</v>
      </c>
      <c r="H2077" s="4" t="str">
        <f t="shared" si="2"/>
        <v>Sin precio neto</v>
      </c>
      <c r="I2077" s="4" t="str">
        <f t="shared" si="3"/>
        <v>Sin precio neto G.C.</v>
      </c>
      <c r="J2077" s="4">
        <f t="shared" si="4"/>
        <v>1.344</v>
      </c>
      <c r="K2077" s="4">
        <f t="shared" si="5"/>
        <v>1.4</v>
      </c>
      <c r="L2077" s="4">
        <f t="shared" si="6"/>
        <v>1.344</v>
      </c>
    </row>
    <row r="2078">
      <c r="A2078" s="1" t="s">
        <v>3163</v>
      </c>
      <c r="B2078" s="1" t="s">
        <v>3164</v>
      </c>
      <c r="C2078" s="3">
        <v>2.2</v>
      </c>
      <c r="D2078" s="5"/>
      <c r="E2078" s="5"/>
      <c r="F2078" s="5"/>
      <c r="G2078" s="4">
        <f t="shared" si="1"/>
        <v>1.1</v>
      </c>
      <c r="H2078" s="4" t="str">
        <f t="shared" si="2"/>
        <v>Sin precio neto</v>
      </c>
      <c r="I2078" s="4" t="str">
        <f t="shared" si="3"/>
        <v>Sin precio neto G.C.</v>
      </c>
      <c r="J2078" s="4">
        <f t="shared" si="4"/>
        <v>1.056</v>
      </c>
      <c r="K2078" s="4">
        <f t="shared" si="5"/>
        <v>1.1</v>
      </c>
      <c r="L2078" s="4">
        <f t="shared" si="6"/>
        <v>1.056</v>
      </c>
    </row>
    <row r="2079">
      <c r="A2079" s="1" t="s">
        <v>3165</v>
      </c>
      <c r="B2079" s="1" t="s">
        <v>3166</v>
      </c>
      <c r="C2079" s="3">
        <v>18.76</v>
      </c>
      <c r="D2079" s="5"/>
      <c r="E2079" s="5"/>
      <c r="F2079" s="5"/>
      <c r="G2079" s="4">
        <f t="shared" si="1"/>
        <v>9.38</v>
      </c>
      <c r="H2079" s="4" t="str">
        <f t="shared" si="2"/>
        <v>Sin precio neto</v>
      </c>
      <c r="I2079" s="4" t="str">
        <f t="shared" si="3"/>
        <v>Sin precio neto G.C.</v>
      </c>
      <c r="J2079" s="4">
        <f t="shared" si="4"/>
        <v>9.0048</v>
      </c>
      <c r="K2079" s="4">
        <f t="shared" si="5"/>
        <v>9.38</v>
      </c>
      <c r="L2079" s="4">
        <f t="shared" si="6"/>
        <v>9.0048</v>
      </c>
    </row>
    <row r="2080">
      <c r="A2080" s="1" t="s">
        <v>3167</v>
      </c>
      <c r="B2080" s="1" t="s">
        <v>3168</v>
      </c>
      <c r="C2080" s="3">
        <v>8.96</v>
      </c>
      <c r="D2080" s="5"/>
      <c r="E2080" s="5"/>
      <c r="F2080" s="5"/>
      <c r="G2080" s="4">
        <f t="shared" si="1"/>
        <v>4.48</v>
      </c>
      <c r="H2080" s="4" t="str">
        <f t="shared" si="2"/>
        <v>Sin precio neto</v>
      </c>
      <c r="I2080" s="4" t="str">
        <f t="shared" si="3"/>
        <v>Sin precio neto G.C.</v>
      </c>
      <c r="J2080" s="4">
        <f t="shared" si="4"/>
        <v>4.3008</v>
      </c>
      <c r="K2080" s="4">
        <f t="shared" si="5"/>
        <v>4.48</v>
      </c>
      <c r="L2080" s="4">
        <f t="shared" si="6"/>
        <v>4.3008</v>
      </c>
    </row>
    <row r="2081">
      <c r="A2081" s="1" t="s">
        <v>3169</v>
      </c>
      <c r="B2081" s="1" t="s">
        <v>3170</v>
      </c>
      <c r="C2081" s="3">
        <v>4.88</v>
      </c>
      <c r="D2081" s="5"/>
      <c r="E2081" s="5"/>
      <c r="F2081" s="5"/>
      <c r="G2081" s="4">
        <f t="shared" si="1"/>
        <v>2.44</v>
      </c>
      <c r="H2081" s="4" t="str">
        <f t="shared" si="2"/>
        <v>Sin precio neto</v>
      </c>
      <c r="I2081" s="4" t="str">
        <f t="shared" si="3"/>
        <v>Sin precio neto G.C.</v>
      </c>
      <c r="J2081" s="4">
        <f t="shared" si="4"/>
        <v>2.3424</v>
      </c>
      <c r="K2081" s="4">
        <f t="shared" si="5"/>
        <v>2.44</v>
      </c>
      <c r="L2081" s="4">
        <f t="shared" si="6"/>
        <v>2.3424</v>
      </c>
    </row>
    <row r="2082">
      <c r="A2082" s="1" t="s">
        <v>3171</v>
      </c>
      <c r="B2082" s="1" t="s">
        <v>3172</v>
      </c>
      <c r="C2082" s="3">
        <v>3.5</v>
      </c>
      <c r="D2082" s="5"/>
      <c r="E2082" s="5"/>
      <c r="F2082" s="5"/>
      <c r="G2082" s="4">
        <f t="shared" si="1"/>
        <v>1.75</v>
      </c>
      <c r="H2082" s="4" t="str">
        <f t="shared" si="2"/>
        <v>Sin precio neto</v>
      </c>
      <c r="I2082" s="4" t="str">
        <f t="shared" si="3"/>
        <v>Sin precio neto G.C.</v>
      </c>
      <c r="J2082" s="4">
        <f t="shared" si="4"/>
        <v>1.68</v>
      </c>
      <c r="K2082" s="4">
        <f t="shared" si="5"/>
        <v>1.75</v>
      </c>
      <c r="L2082" s="4">
        <f t="shared" si="6"/>
        <v>1.68</v>
      </c>
    </row>
    <row r="2083">
      <c r="A2083" s="1" t="s">
        <v>3173</v>
      </c>
      <c r="B2083" s="1" t="s">
        <v>3174</v>
      </c>
      <c r="C2083" s="3">
        <v>2.5</v>
      </c>
      <c r="D2083" s="5"/>
      <c r="E2083" s="5"/>
      <c r="F2083" s="5"/>
      <c r="G2083" s="4">
        <f t="shared" si="1"/>
        <v>1.25</v>
      </c>
      <c r="H2083" s="4" t="str">
        <f t="shared" si="2"/>
        <v>Sin precio neto</v>
      </c>
      <c r="I2083" s="4" t="str">
        <f t="shared" si="3"/>
        <v>Sin precio neto G.C.</v>
      </c>
      <c r="J2083" s="4">
        <f t="shared" si="4"/>
        <v>1.2</v>
      </c>
      <c r="K2083" s="4">
        <f t="shared" si="5"/>
        <v>1.25</v>
      </c>
      <c r="L2083" s="4">
        <f t="shared" si="6"/>
        <v>1.2</v>
      </c>
    </row>
    <row r="2084">
      <c r="A2084" s="1" t="s">
        <v>3175</v>
      </c>
      <c r="B2084" s="1" t="s">
        <v>3176</v>
      </c>
      <c r="C2084" s="3">
        <v>1.8</v>
      </c>
      <c r="D2084" s="5"/>
      <c r="E2084" s="5"/>
      <c r="F2084" s="5"/>
      <c r="G2084" s="4">
        <f t="shared" si="1"/>
        <v>0.9</v>
      </c>
      <c r="H2084" s="4" t="str">
        <f t="shared" si="2"/>
        <v>Sin precio neto</v>
      </c>
      <c r="I2084" s="4" t="str">
        <f t="shared" si="3"/>
        <v>Sin precio neto G.C.</v>
      </c>
      <c r="J2084" s="4">
        <f t="shared" si="4"/>
        <v>0.864</v>
      </c>
      <c r="K2084" s="4">
        <f t="shared" si="5"/>
        <v>0.9</v>
      </c>
      <c r="L2084" s="4">
        <f t="shared" si="6"/>
        <v>0.864</v>
      </c>
    </row>
    <row r="2085">
      <c r="A2085" s="1" t="s">
        <v>3177</v>
      </c>
      <c r="B2085" s="1" t="s">
        <v>3178</v>
      </c>
      <c r="C2085" s="3">
        <v>19.5</v>
      </c>
      <c r="D2085" s="5"/>
      <c r="E2085" s="5"/>
      <c r="F2085" s="5"/>
      <c r="G2085" s="4">
        <f t="shared" si="1"/>
        <v>9.75</v>
      </c>
      <c r="H2085" s="4" t="str">
        <f t="shared" si="2"/>
        <v>Sin precio neto</v>
      </c>
      <c r="I2085" s="4" t="str">
        <f t="shared" si="3"/>
        <v>Sin precio neto G.C.</v>
      </c>
      <c r="J2085" s="4">
        <f t="shared" si="4"/>
        <v>9.36</v>
      </c>
      <c r="K2085" s="4">
        <f t="shared" si="5"/>
        <v>9.75</v>
      </c>
      <c r="L2085" s="4">
        <f t="shared" si="6"/>
        <v>9.36</v>
      </c>
    </row>
    <row r="2086">
      <c r="A2086" s="1" t="s">
        <v>3179</v>
      </c>
      <c r="B2086" s="1" t="s">
        <v>3180</v>
      </c>
      <c r="C2086" s="3">
        <v>18.0</v>
      </c>
      <c r="D2086" s="5"/>
      <c r="E2086" s="5"/>
      <c r="F2086" s="5"/>
      <c r="G2086" s="4">
        <f t="shared" si="1"/>
        <v>9</v>
      </c>
      <c r="H2086" s="4" t="str">
        <f t="shared" si="2"/>
        <v>Sin precio neto</v>
      </c>
      <c r="I2086" s="4" t="str">
        <f t="shared" si="3"/>
        <v>Sin precio neto G.C.</v>
      </c>
      <c r="J2086" s="4">
        <f t="shared" si="4"/>
        <v>8.64</v>
      </c>
      <c r="K2086" s="4">
        <f t="shared" si="5"/>
        <v>9</v>
      </c>
      <c r="L2086" s="4">
        <f t="shared" si="6"/>
        <v>8.64</v>
      </c>
    </row>
    <row r="2087">
      <c r="A2087" s="1" t="s">
        <v>3181</v>
      </c>
      <c r="B2087" s="1" t="s">
        <v>3182</v>
      </c>
      <c r="C2087" s="3">
        <v>48.0</v>
      </c>
      <c r="D2087" s="5"/>
      <c r="E2087" s="5"/>
      <c r="F2087" s="5"/>
      <c r="G2087" s="4">
        <f t="shared" si="1"/>
        <v>24</v>
      </c>
      <c r="H2087" s="4" t="str">
        <f t="shared" si="2"/>
        <v>Sin precio neto</v>
      </c>
      <c r="I2087" s="4" t="str">
        <f t="shared" si="3"/>
        <v>Sin precio neto G.C.</v>
      </c>
      <c r="J2087" s="4">
        <f t="shared" si="4"/>
        <v>23.04</v>
      </c>
      <c r="K2087" s="4">
        <f t="shared" si="5"/>
        <v>24</v>
      </c>
      <c r="L2087" s="4">
        <f t="shared" si="6"/>
        <v>23.04</v>
      </c>
    </row>
    <row r="2088">
      <c r="A2088" s="1" t="s">
        <v>3183</v>
      </c>
      <c r="B2088" s="1" t="s">
        <v>3184</v>
      </c>
      <c r="C2088" s="3">
        <v>29.4</v>
      </c>
      <c r="D2088" s="5"/>
      <c r="E2088" s="5"/>
      <c r="F2088" s="5"/>
      <c r="G2088" s="4">
        <f t="shared" si="1"/>
        <v>14.7</v>
      </c>
      <c r="H2088" s="4" t="str">
        <f t="shared" si="2"/>
        <v>Sin precio neto</v>
      </c>
      <c r="I2088" s="4" t="str">
        <f t="shared" si="3"/>
        <v>Sin precio neto G.C.</v>
      </c>
      <c r="J2088" s="4">
        <f t="shared" si="4"/>
        <v>14.112</v>
      </c>
      <c r="K2088" s="4">
        <f t="shared" si="5"/>
        <v>14.7</v>
      </c>
      <c r="L2088" s="4">
        <f t="shared" si="6"/>
        <v>14.112</v>
      </c>
    </row>
    <row r="2089">
      <c r="A2089" s="1" t="s">
        <v>3185</v>
      </c>
      <c r="B2089" s="1" t="s">
        <v>3186</v>
      </c>
      <c r="C2089" s="3">
        <v>17.2</v>
      </c>
      <c r="D2089" s="5"/>
      <c r="E2089" s="5"/>
      <c r="F2089" s="5"/>
      <c r="G2089" s="4">
        <f t="shared" si="1"/>
        <v>8.6</v>
      </c>
      <c r="H2089" s="4" t="str">
        <f t="shared" si="2"/>
        <v>Sin precio neto</v>
      </c>
      <c r="I2089" s="4" t="str">
        <f t="shared" si="3"/>
        <v>Sin precio neto G.C.</v>
      </c>
      <c r="J2089" s="4">
        <f t="shared" si="4"/>
        <v>8.256</v>
      </c>
      <c r="K2089" s="4">
        <f t="shared" si="5"/>
        <v>8.6</v>
      </c>
      <c r="L2089" s="4">
        <f t="shared" si="6"/>
        <v>8.256</v>
      </c>
    </row>
    <row r="2090">
      <c r="A2090" s="1" t="s">
        <v>3187</v>
      </c>
      <c r="B2090" s="1" t="s">
        <v>3188</v>
      </c>
      <c r="C2090" s="3">
        <v>10.88</v>
      </c>
      <c r="D2090" s="5"/>
      <c r="E2090" s="5"/>
      <c r="F2090" s="5"/>
      <c r="G2090" s="4">
        <f t="shared" si="1"/>
        <v>5.44</v>
      </c>
      <c r="H2090" s="4" t="str">
        <f t="shared" si="2"/>
        <v>Sin precio neto</v>
      </c>
      <c r="I2090" s="4" t="str">
        <f t="shared" si="3"/>
        <v>Sin precio neto G.C.</v>
      </c>
      <c r="J2090" s="4">
        <f t="shared" si="4"/>
        <v>5.2224</v>
      </c>
      <c r="K2090" s="4">
        <f t="shared" si="5"/>
        <v>5.44</v>
      </c>
      <c r="L2090" s="4">
        <f t="shared" si="6"/>
        <v>5.2224</v>
      </c>
    </row>
    <row r="2091">
      <c r="A2091" s="1" t="s">
        <v>3189</v>
      </c>
      <c r="B2091" s="1" t="s">
        <v>3190</v>
      </c>
      <c r="C2091" s="3">
        <v>7.5</v>
      </c>
      <c r="D2091" s="5"/>
      <c r="E2091" s="5"/>
      <c r="F2091" s="5"/>
      <c r="G2091" s="4">
        <f t="shared" si="1"/>
        <v>3.75</v>
      </c>
      <c r="H2091" s="4" t="str">
        <f t="shared" si="2"/>
        <v>Sin precio neto</v>
      </c>
      <c r="I2091" s="4" t="str">
        <f t="shared" si="3"/>
        <v>Sin precio neto G.C.</v>
      </c>
      <c r="J2091" s="4">
        <f t="shared" si="4"/>
        <v>3.6</v>
      </c>
      <c r="K2091" s="4">
        <f t="shared" si="5"/>
        <v>3.75</v>
      </c>
      <c r="L2091" s="4">
        <f t="shared" si="6"/>
        <v>3.6</v>
      </c>
    </row>
    <row r="2092">
      <c r="A2092" s="1" t="s">
        <v>3191</v>
      </c>
      <c r="B2092" s="1" t="s">
        <v>3192</v>
      </c>
      <c r="C2092" s="3">
        <v>5.08</v>
      </c>
      <c r="D2092" s="5"/>
      <c r="E2092" s="5"/>
      <c r="F2092" s="5"/>
      <c r="G2092" s="4">
        <f t="shared" si="1"/>
        <v>2.54</v>
      </c>
      <c r="H2092" s="4" t="str">
        <f t="shared" si="2"/>
        <v>Sin precio neto</v>
      </c>
      <c r="I2092" s="4" t="str">
        <f t="shared" si="3"/>
        <v>Sin precio neto G.C.</v>
      </c>
      <c r="J2092" s="4">
        <f t="shared" si="4"/>
        <v>2.4384</v>
      </c>
      <c r="K2092" s="4">
        <f t="shared" si="5"/>
        <v>2.54</v>
      </c>
      <c r="L2092" s="4">
        <f t="shared" si="6"/>
        <v>2.4384</v>
      </c>
    </row>
    <row r="2093">
      <c r="A2093" s="1" t="s">
        <v>3193</v>
      </c>
      <c r="B2093" s="1" t="s">
        <v>3194</v>
      </c>
      <c r="C2093" s="3">
        <v>2.6</v>
      </c>
      <c r="D2093" s="5"/>
      <c r="E2093" s="5"/>
      <c r="F2093" s="5"/>
      <c r="G2093" s="4">
        <f t="shared" si="1"/>
        <v>1.3</v>
      </c>
      <c r="H2093" s="4" t="str">
        <f t="shared" si="2"/>
        <v>Sin precio neto</v>
      </c>
      <c r="I2093" s="4" t="str">
        <f t="shared" si="3"/>
        <v>Sin precio neto G.C.</v>
      </c>
      <c r="J2093" s="4">
        <f t="shared" si="4"/>
        <v>1.248</v>
      </c>
      <c r="K2093" s="4">
        <f t="shared" si="5"/>
        <v>1.3</v>
      </c>
      <c r="L2093" s="4">
        <f t="shared" si="6"/>
        <v>1.248</v>
      </c>
    </row>
    <row r="2094">
      <c r="A2094" s="1" t="s">
        <v>3195</v>
      </c>
      <c r="B2094" s="1" t="s">
        <v>3196</v>
      </c>
      <c r="C2094" s="6">
        <v>1150.0</v>
      </c>
      <c r="D2094" s="5"/>
      <c r="E2094" s="5"/>
      <c r="F2094" s="5"/>
      <c r="G2094" s="4">
        <f t="shared" si="1"/>
        <v>575</v>
      </c>
      <c r="H2094" s="4" t="str">
        <f t="shared" si="2"/>
        <v>Sin precio neto</v>
      </c>
      <c r="I2094" s="4" t="str">
        <f t="shared" si="3"/>
        <v>Sin precio neto G.C.</v>
      </c>
      <c r="J2094" s="4">
        <f t="shared" si="4"/>
        <v>552</v>
      </c>
      <c r="K2094" s="4">
        <f t="shared" si="5"/>
        <v>575</v>
      </c>
      <c r="L2094" s="4">
        <f t="shared" si="6"/>
        <v>552</v>
      </c>
    </row>
    <row r="2095">
      <c r="A2095" s="1" t="s">
        <v>3197</v>
      </c>
      <c r="B2095" s="1" t="s">
        <v>3198</v>
      </c>
      <c r="C2095" s="3">
        <v>780.0</v>
      </c>
      <c r="D2095" s="5"/>
      <c r="E2095" s="5"/>
      <c r="F2095" s="5"/>
      <c r="G2095" s="4">
        <f t="shared" si="1"/>
        <v>390</v>
      </c>
      <c r="H2095" s="4" t="str">
        <f t="shared" si="2"/>
        <v>Sin precio neto</v>
      </c>
      <c r="I2095" s="4" t="str">
        <f t="shared" si="3"/>
        <v>Sin precio neto G.C.</v>
      </c>
      <c r="J2095" s="4">
        <f t="shared" si="4"/>
        <v>374.4</v>
      </c>
      <c r="K2095" s="4">
        <f t="shared" si="5"/>
        <v>390</v>
      </c>
      <c r="L2095" s="4">
        <f t="shared" si="6"/>
        <v>374.4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tr">
        <f>IFERROR(__xludf.DUMMYFUNCTION("QUERY('Hoja 1'!A:L, ""SELECT A, B, G, D, H WHERE A IS NOT NULL"", 1)"),"Referencia")</f>
        <v>Referencia</v>
      </c>
      <c r="B1" s="4" t="str">
        <f>IFERROR(__xludf.DUMMYFUNCTION("""COMPUTED_VALUE"""),"Descripcion")</f>
        <v>Descripcion</v>
      </c>
      <c r="C1" s="4" t="str">
        <f>IFERROR(__xludf.DUMMYFUNCTION("""COMPUTED_VALUE"""),"PRECIO_ESTANDAR")</f>
        <v>PRECIO_ESTANDAR</v>
      </c>
      <c r="D1" s="4" t="str">
        <f>IFERROR(__xludf.DUMMYFUNCTION("""COMPUTED_VALUE"""),"NETOS")</f>
        <v>NETOS</v>
      </c>
      <c r="E1" s="4" t="str">
        <f>IFERROR(__xludf.DUMMYFUNCTION("""COMPUTED_VALUE"""),"CONDICIONES_NETO")</f>
        <v>CONDICIONES_NETO</v>
      </c>
    </row>
    <row r="2">
      <c r="A2" s="4" t="str">
        <f>IFERROR(__xludf.DUMMYFUNCTION("""COMPUTED_VALUE"""),"101")</f>
        <v>101</v>
      </c>
      <c r="B2" s="4" t="str">
        <f>IFERROR(__xludf.DUMMYFUNCTION("""COMPUTED_VALUE"""),"Cartel PVC 21x29 Fotolum. SALIDA FLECHA IZQ.")</f>
        <v>Cartel PVC 21x29 Fotolum. SALIDA FLECHA IZQ.</v>
      </c>
      <c r="C2" s="4">
        <f>IFERROR(__xludf.DUMMYFUNCTION("""COMPUTED_VALUE"""),2.6)</f>
        <v>2.6</v>
      </c>
      <c r="D2" s="4">
        <f>IFERROR(__xludf.DUMMYFUNCTION("""COMPUTED_VALUE"""),2.1)</f>
        <v>2.1</v>
      </c>
      <c r="E2" s="4" t="str">
        <f>IFERROR(__xludf.DUMMYFUNCTION("""COMPUTED_VALUE"""),"Neto: 2,10 € (a partir de 1 uds.)")</f>
        <v>Neto: 2,10 € (a partir de 1 uds.)</v>
      </c>
    </row>
    <row r="3">
      <c r="A3" s="4" t="str">
        <f>IFERROR(__xludf.DUMMYFUNCTION("""COMPUTED_VALUE"""),"0101A")</f>
        <v>0101A</v>
      </c>
      <c r="B3" s="4" t="str">
        <f>IFERROR(__xludf.DUMMYFUNCTION("""COMPUTED_VALUE"""),"Cartel PVC 32x16 Fotolum Salida flecha derecha")</f>
        <v>Cartel PVC 32x16 Fotolum Salida flecha derecha</v>
      </c>
      <c r="C3" s="4">
        <f>IFERROR(__xludf.DUMMYFUNCTION("""COMPUTED_VALUE"""),2.25)</f>
        <v>2.25</v>
      </c>
      <c r="D3" s="4"/>
      <c r="E3" s="4" t="str">
        <f>IFERROR(__xludf.DUMMYFUNCTION("""COMPUTED_VALUE"""),"Sin precio neto")</f>
        <v>Sin precio neto</v>
      </c>
    </row>
    <row r="4">
      <c r="A4" s="4" t="str">
        <f>IFERROR(__xludf.DUMMYFUNCTION("""COMPUTED_VALUE"""),"0101B")</f>
        <v>0101B</v>
      </c>
      <c r="B4" s="4" t="str">
        <f>IFERROR(__xludf.DUMMYFUNCTION("""COMPUTED_VALUE"""),"Cartel PVC 64x32 Fotolum Salida flecha derecha")</f>
        <v>Cartel PVC 64x32 Fotolum Salida flecha derecha</v>
      </c>
      <c r="C4" s="4">
        <f>IFERROR(__xludf.DUMMYFUNCTION("""COMPUTED_VALUE"""),4.48)</f>
        <v>4.48</v>
      </c>
      <c r="D4" s="4"/>
      <c r="E4" s="4" t="str">
        <f>IFERROR(__xludf.DUMMYFUNCTION("""COMPUTED_VALUE"""),"Sin precio neto")</f>
        <v>Sin precio neto</v>
      </c>
    </row>
    <row r="5">
      <c r="A5" s="4" t="str">
        <f>IFERROR(__xludf.DUMMYFUNCTION("""COMPUTED_VALUE"""),"0101C")</f>
        <v>0101C</v>
      </c>
      <c r="B5" s="4" t="str">
        <f>IFERROR(__xludf.DUMMYFUNCTION("""COMPUTED_VALUE"""),"Cartel PVC 96x48 Fotolum Salida flecha derecha")</f>
        <v>Cartel PVC 96x48 Fotolum Salida flecha derecha</v>
      </c>
      <c r="C5" s="4">
        <f>IFERROR(__xludf.DUMMYFUNCTION("""COMPUTED_VALUE"""),8.96)</f>
        <v>8.96</v>
      </c>
      <c r="D5" s="4"/>
      <c r="E5" s="4" t="str">
        <f>IFERROR(__xludf.DUMMYFUNCTION("""COMPUTED_VALUE"""),"Sin precio neto")</f>
        <v>Sin precio neto</v>
      </c>
    </row>
    <row r="6">
      <c r="A6" s="4" t="str">
        <f>IFERROR(__xludf.DUMMYFUNCTION("""COMPUTED_VALUE"""),"102")</f>
        <v>102</v>
      </c>
      <c r="B6" s="4" t="str">
        <f>IFERROR(__xludf.DUMMYFUNCTION("""COMPUTED_VALUE"""),"Cartel PVC 21x29 Fotolum. SALIDA FLECHA IZQ.")</f>
        <v>Cartel PVC 21x29 Fotolum. SALIDA FLECHA IZQ.</v>
      </c>
      <c r="C6" s="4">
        <f>IFERROR(__xludf.DUMMYFUNCTION("""COMPUTED_VALUE"""),2.6)</f>
        <v>2.6</v>
      </c>
      <c r="D6" s="4">
        <f>IFERROR(__xludf.DUMMYFUNCTION("""COMPUTED_VALUE"""),2.1)</f>
        <v>2.1</v>
      </c>
      <c r="E6" s="4" t="str">
        <f>IFERROR(__xludf.DUMMYFUNCTION("""COMPUTED_VALUE"""),"Neto: 2,10 € (a partir de 1 uds.)")</f>
        <v>Neto: 2,10 € (a partir de 1 uds.)</v>
      </c>
    </row>
    <row r="7">
      <c r="A7" s="4" t="str">
        <f>IFERROR(__xludf.DUMMYFUNCTION("""COMPUTED_VALUE"""),"0102A")</f>
        <v>0102A</v>
      </c>
      <c r="B7" s="4" t="str">
        <f>IFERROR(__xludf.DUMMYFUNCTION("""COMPUTED_VALUE"""),"Cartel PVC 32x16 Fotolum Salida flecha izquierda")</f>
        <v>Cartel PVC 32x16 Fotolum Salida flecha izquierda</v>
      </c>
      <c r="C7" s="4">
        <f>IFERROR(__xludf.DUMMYFUNCTION("""COMPUTED_VALUE"""),2.25)</f>
        <v>2.25</v>
      </c>
      <c r="D7" s="4"/>
      <c r="E7" s="4" t="str">
        <f>IFERROR(__xludf.DUMMYFUNCTION("""COMPUTED_VALUE"""),"Sin precio neto")</f>
        <v>Sin precio neto</v>
      </c>
    </row>
    <row r="8">
      <c r="A8" s="4" t="str">
        <f>IFERROR(__xludf.DUMMYFUNCTION("""COMPUTED_VALUE"""),"0102B")</f>
        <v>0102B</v>
      </c>
      <c r="B8" s="4" t="str">
        <f>IFERROR(__xludf.DUMMYFUNCTION("""COMPUTED_VALUE"""),"Cartel PVC 64x32 Fotolum Salida flecha izquierda")</f>
        <v>Cartel PVC 64x32 Fotolum Salida flecha izquierda</v>
      </c>
      <c r="C8" s="4">
        <f>IFERROR(__xludf.DUMMYFUNCTION("""COMPUTED_VALUE"""),4.48)</f>
        <v>4.48</v>
      </c>
      <c r="D8" s="4"/>
      <c r="E8" s="4" t="str">
        <f>IFERROR(__xludf.DUMMYFUNCTION("""COMPUTED_VALUE"""),"Sin precio neto")</f>
        <v>Sin precio neto</v>
      </c>
    </row>
    <row r="9">
      <c r="A9" s="4" t="str">
        <f>IFERROR(__xludf.DUMMYFUNCTION("""COMPUTED_VALUE"""),"0102C")</f>
        <v>0102C</v>
      </c>
      <c r="B9" s="4" t="str">
        <f>IFERROR(__xludf.DUMMYFUNCTION("""COMPUTED_VALUE"""),"Cartel PVC 96x48 Fotolum Salida flecha izquierda")</f>
        <v>Cartel PVC 96x48 Fotolum Salida flecha izquierda</v>
      </c>
      <c r="C9" s="4">
        <f>IFERROR(__xludf.DUMMYFUNCTION("""COMPUTED_VALUE"""),8.96)</f>
        <v>8.96</v>
      </c>
      <c r="D9" s="4"/>
      <c r="E9" s="4" t="str">
        <f>IFERROR(__xludf.DUMMYFUNCTION("""COMPUTED_VALUE"""),"Sin precio neto")</f>
        <v>Sin precio neto</v>
      </c>
    </row>
    <row r="10">
      <c r="A10" s="4" t="str">
        <f>IFERROR(__xludf.DUMMYFUNCTION("""COMPUTED_VALUE"""),"103")</f>
        <v>103</v>
      </c>
      <c r="B10" s="4" t="str">
        <f>IFERROR(__xludf.DUMMYFUNCTION("""COMPUTED_VALUE"""),"Cartel PVC 21x29 Fotolum. SALIDA FLECHA FRONTAL")</f>
        <v>Cartel PVC 21x29 Fotolum. SALIDA FLECHA FRONTAL</v>
      </c>
      <c r="C10" s="4">
        <f>IFERROR(__xludf.DUMMYFUNCTION("""COMPUTED_VALUE"""),2.6)</f>
        <v>2.6</v>
      </c>
      <c r="D10" s="4">
        <f>IFERROR(__xludf.DUMMYFUNCTION("""COMPUTED_VALUE"""),2.1)</f>
        <v>2.1</v>
      </c>
      <c r="E10" s="4" t="str">
        <f>IFERROR(__xludf.DUMMYFUNCTION("""COMPUTED_VALUE"""),"Neto: 2,10 € (a partir de 1 uds.)")</f>
        <v>Neto: 2,10 € (a partir de 1 uds.)</v>
      </c>
    </row>
    <row r="11">
      <c r="A11" s="4" t="str">
        <f>IFERROR(__xludf.DUMMYFUNCTION("""COMPUTED_VALUE"""),"0103A")</f>
        <v>0103A</v>
      </c>
      <c r="B11" s="4" t="str">
        <f>IFERROR(__xludf.DUMMYFUNCTION("""COMPUTED_VALUE"""),"Cartel PVC 32x16 Fotolum Salida flecha arriba")</f>
        <v>Cartel PVC 32x16 Fotolum Salida flecha arriba</v>
      </c>
      <c r="C11" s="4">
        <f>IFERROR(__xludf.DUMMYFUNCTION("""COMPUTED_VALUE"""),2.25)</f>
        <v>2.25</v>
      </c>
      <c r="D11" s="4"/>
      <c r="E11" s="4" t="str">
        <f>IFERROR(__xludf.DUMMYFUNCTION("""COMPUTED_VALUE"""),"Sin precio neto")</f>
        <v>Sin precio neto</v>
      </c>
    </row>
    <row r="12">
      <c r="A12" s="4" t="str">
        <f>IFERROR(__xludf.DUMMYFUNCTION("""COMPUTED_VALUE"""),"0103B")</f>
        <v>0103B</v>
      </c>
      <c r="B12" s="4" t="str">
        <f>IFERROR(__xludf.DUMMYFUNCTION("""COMPUTED_VALUE"""),"Cartel PVC 64x32 Fotolum Salida flecha arriba")</f>
        <v>Cartel PVC 64x32 Fotolum Salida flecha arriba</v>
      </c>
      <c r="C12" s="4">
        <f>IFERROR(__xludf.DUMMYFUNCTION("""COMPUTED_VALUE"""),4.48)</f>
        <v>4.48</v>
      </c>
      <c r="D12" s="4"/>
      <c r="E12" s="4" t="str">
        <f>IFERROR(__xludf.DUMMYFUNCTION("""COMPUTED_VALUE"""),"Sin precio neto")</f>
        <v>Sin precio neto</v>
      </c>
    </row>
    <row r="13">
      <c r="A13" s="4" t="str">
        <f>IFERROR(__xludf.DUMMYFUNCTION("""COMPUTED_VALUE"""),"0103C")</f>
        <v>0103C</v>
      </c>
      <c r="B13" s="4" t="str">
        <f>IFERROR(__xludf.DUMMYFUNCTION("""COMPUTED_VALUE"""),"Cartel PVC 96x48 Fotolum Salida flecha arriba")</f>
        <v>Cartel PVC 96x48 Fotolum Salida flecha arriba</v>
      </c>
      <c r="C13" s="4">
        <f>IFERROR(__xludf.DUMMYFUNCTION("""COMPUTED_VALUE"""),8.96)</f>
        <v>8.96</v>
      </c>
      <c r="D13" s="4"/>
      <c r="E13" s="4" t="str">
        <f>IFERROR(__xludf.DUMMYFUNCTION("""COMPUTED_VALUE"""),"Sin precio neto")</f>
        <v>Sin precio neto</v>
      </c>
    </row>
    <row r="14">
      <c r="A14" s="4" t="str">
        <f>IFERROR(__xludf.DUMMYFUNCTION("""COMPUTED_VALUE"""),"104")</f>
        <v>104</v>
      </c>
      <c r="B14" s="4" t="str">
        <f>IFERROR(__xludf.DUMMYFUNCTION("""COMPUTED_VALUE"""),"Cartel PVC 21x29 Fotolum. SALIDA FLECHA ABAJO")</f>
        <v>Cartel PVC 21x29 Fotolum. SALIDA FLECHA ABAJO</v>
      </c>
      <c r="C14" s="4">
        <f>IFERROR(__xludf.DUMMYFUNCTION("""COMPUTED_VALUE"""),2.6)</f>
        <v>2.6</v>
      </c>
      <c r="D14" s="4">
        <f>IFERROR(__xludf.DUMMYFUNCTION("""COMPUTED_VALUE"""),2.1)</f>
        <v>2.1</v>
      </c>
      <c r="E14" s="4" t="str">
        <f>IFERROR(__xludf.DUMMYFUNCTION("""COMPUTED_VALUE"""),"Neto: 2,10 € (a partir de 1 uds.)")</f>
        <v>Neto: 2,10 € (a partir de 1 uds.)</v>
      </c>
    </row>
    <row r="15">
      <c r="A15" s="4" t="str">
        <f>IFERROR(__xludf.DUMMYFUNCTION("""COMPUTED_VALUE"""),"0104A")</f>
        <v>0104A</v>
      </c>
      <c r="B15" s="4" t="str">
        <f>IFERROR(__xludf.DUMMYFUNCTION("""COMPUTED_VALUE"""),"Cartel PVC 32x16 Fotolum Salida flecha abajo")</f>
        <v>Cartel PVC 32x16 Fotolum Salida flecha abajo</v>
      </c>
      <c r="C15" s="4">
        <f>IFERROR(__xludf.DUMMYFUNCTION("""COMPUTED_VALUE"""),2.25)</f>
        <v>2.25</v>
      </c>
      <c r="D15" s="4"/>
      <c r="E15" s="4" t="str">
        <f>IFERROR(__xludf.DUMMYFUNCTION("""COMPUTED_VALUE"""),"Sin precio neto")</f>
        <v>Sin precio neto</v>
      </c>
    </row>
    <row r="16">
      <c r="A16" s="4" t="str">
        <f>IFERROR(__xludf.DUMMYFUNCTION("""COMPUTED_VALUE"""),"0104B")</f>
        <v>0104B</v>
      </c>
      <c r="B16" s="4" t="str">
        <f>IFERROR(__xludf.DUMMYFUNCTION("""COMPUTED_VALUE"""),"Cartel PVC 64x32 Fotolum Salida flecha abajo")</f>
        <v>Cartel PVC 64x32 Fotolum Salida flecha abajo</v>
      </c>
      <c r="C16" s="4">
        <f>IFERROR(__xludf.DUMMYFUNCTION("""COMPUTED_VALUE"""),4.48)</f>
        <v>4.48</v>
      </c>
      <c r="D16" s="4"/>
      <c r="E16" s="4" t="str">
        <f>IFERROR(__xludf.DUMMYFUNCTION("""COMPUTED_VALUE"""),"Sin precio neto")</f>
        <v>Sin precio neto</v>
      </c>
    </row>
    <row r="17">
      <c r="A17" s="4" t="str">
        <f>IFERROR(__xludf.DUMMYFUNCTION("""COMPUTED_VALUE"""),"0104C")</f>
        <v>0104C</v>
      </c>
      <c r="B17" s="4" t="str">
        <f>IFERROR(__xludf.DUMMYFUNCTION("""COMPUTED_VALUE"""),"Cartel PVC 96x48 Fotolum Salida flecha abajo")</f>
        <v>Cartel PVC 96x48 Fotolum Salida flecha abajo</v>
      </c>
      <c r="C17" s="4">
        <f>IFERROR(__xludf.DUMMYFUNCTION("""COMPUTED_VALUE"""),8.96)</f>
        <v>8.96</v>
      </c>
      <c r="D17" s="4"/>
      <c r="E17" s="4" t="str">
        <f>IFERROR(__xludf.DUMMYFUNCTION("""COMPUTED_VALUE"""),"Sin precio neto")</f>
        <v>Sin precio neto</v>
      </c>
    </row>
    <row r="18">
      <c r="A18" s="4" t="str">
        <f>IFERROR(__xludf.DUMMYFUNCTION("""COMPUTED_VALUE"""),"105")</f>
        <v>105</v>
      </c>
      <c r="B18" s="4" t="str">
        <f>IFERROR(__xludf.DUMMYFUNCTION("""COMPUTED_VALUE"""),"Cartel PVC 21x29 Fotolum. SALIDA-EXIT")</f>
        <v>Cartel PVC 21x29 Fotolum. SALIDA-EXIT</v>
      </c>
      <c r="C18" s="4">
        <f>IFERROR(__xludf.DUMMYFUNCTION("""COMPUTED_VALUE"""),2.6)</f>
        <v>2.6</v>
      </c>
      <c r="D18" s="4">
        <f>IFERROR(__xludf.DUMMYFUNCTION("""COMPUTED_VALUE"""),2.1)</f>
        <v>2.1</v>
      </c>
      <c r="E18" s="4" t="str">
        <f>IFERROR(__xludf.DUMMYFUNCTION("""COMPUTED_VALUE"""),"Neto: 2,10 € (a partir de 1 uds.)")</f>
        <v>Neto: 2,10 € (a partir de 1 uds.)</v>
      </c>
    </row>
    <row r="19">
      <c r="A19" s="4" t="str">
        <f>IFERROR(__xludf.DUMMYFUNCTION("""COMPUTED_VALUE"""),"0105A")</f>
        <v>0105A</v>
      </c>
      <c r="B19" s="4" t="str">
        <f>IFERROR(__xludf.DUMMYFUNCTION("""COMPUTED_VALUE"""),"Cartel PVC 32x16 Fotolum. Salida-Exit")</f>
        <v>Cartel PVC 32x16 Fotolum. Salida-Exit</v>
      </c>
      <c r="C19" s="4">
        <f>IFERROR(__xludf.DUMMYFUNCTION("""COMPUTED_VALUE"""),2.25)</f>
        <v>2.25</v>
      </c>
      <c r="D19" s="4"/>
      <c r="E19" s="4" t="str">
        <f>IFERROR(__xludf.DUMMYFUNCTION("""COMPUTED_VALUE"""),"Sin precio neto")</f>
        <v>Sin precio neto</v>
      </c>
    </row>
    <row r="20">
      <c r="A20" s="4" t="str">
        <f>IFERROR(__xludf.DUMMYFUNCTION("""COMPUTED_VALUE"""),"0105B")</f>
        <v>0105B</v>
      </c>
      <c r="B20" s="4" t="str">
        <f>IFERROR(__xludf.DUMMYFUNCTION("""COMPUTED_VALUE"""),"Cartel PVC 64x32 Fotolum. Salida-Exit")</f>
        <v>Cartel PVC 64x32 Fotolum. Salida-Exit</v>
      </c>
      <c r="C20" s="4">
        <f>IFERROR(__xludf.DUMMYFUNCTION("""COMPUTED_VALUE"""),4.48)</f>
        <v>4.48</v>
      </c>
      <c r="D20" s="4"/>
      <c r="E20" s="4" t="str">
        <f>IFERROR(__xludf.DUMMYFUNCTION("""COMPUTED_VALUE"""),"Sin precio neto")</f>
        <v>Sin precio neto</v>
      </c>
    </row>
    <row r="21">
      <c r="A21" s="4" t="str">
        <f>IFERROR(__xludf.DUMMYFUNCTION("""COMPUTED_VALUE"""),"0105C")</f>
        <v>0105C</v>
      </c>
      <c r="B21" s="4" t="str">
        <f>IFERROR(__xludf.DUMMYFUNCTION("""COMPUTED_VALUE"""),"Cartel PVC 96x48 Fotolum. Salida-Exit")</f>
        <v>Cartel PVC 96x48 Fotolum. Salida-Exit</v>
      </c>
      <c r="C21" s="4">
        <f>IFERROR(__xludf.DUMMYFUNCTION("""COMPUTED_VALUE"""),8.96)</f>
        <v>8.96</v>
      </c>
      <c r="D21" s="4"/>
      <c r="E21" s="4" t="str">
        <f>IFERROR(__xludf.DUMMYFUNCTION("""COMPUTED_VALUE"""),"Sin precio neto")</f>
        <v>Sin precio neto</v>
      </c>
    </row>
    <row r="22">
      <c r="A22" s="4" t="str">
        <f>IFERROR(__xludf.DUMMYFUNCTION("""COMPUTED_VALUE"""),"106")</f>
        <v>106</v>
      </c>
      <c r="B22" s="4" t="str">
        <f>IFERROR(__xludf.DUMMYFUNCTION("""COMPUTED_VALUE"""),"Cartel PVC 21x29 Fotolum. SALIDA EMERG. FLECHA DCHA")</f>
        <v>Cartel PVC 21x29 Fotolum. SALIDA EMERG. FLECHA DCHA</v>
      </c>
      <c r="C22" s="4">
        <f>IFERROR(__xludf.DUMMYFUNCTION("""COMPUTED_VALUE"""),2.6)</f>
        <v>2.6</v>
      </c>
      <c r="D22" s="4">
        <f>IFERROR(__xludf.DUMMYFUNCTION("""COMPUTED_VALUE"""),2.1)</f>
        <v>2.1</v>
      </c>
      <c r="E22" s="4" t="str">
        <f>IFERROR(__xludf.DUMMYFUNCTION("""COMPUTED_VALUE"""),"Neto: 2,10 € (a partir de 1 uds.)")</f>
        <v>Neto: 2,10 € (a partir de 1 uds.)</v>
      </c>
    </row>
    <row r="23">
      <c r="A23" s="4" t="str">
        <f>IFERROR(__xludf.DUMMYFUNCTION("""COMPUTED_VALUE"""),"0106A")</f>
        <v>0106A</v>
      </c>
      <c r="B23" s="4" t="str">
        <f>IFERROR(__xludf.DUMMYFUNCTION("""COMPUTED_VALUE"""),"Cartel PVC 32x16 Fotolum. Salida de emergencia + flecha")</f>
        <v>Cartel PVC 32x16 Fotolum. Salida de emergencia + flecha</v>
      </c>
      <c r="C23" s="4">
        <f>IFERROR(__xludf.DUMMYFUNCTION("""COMPUTED_VALUE"""),2.25)</f>
        <v>2.25</v>
      </c>
      <c r="D23" s="4"/>
      <c r="E23" s="4" t="str">
        <f>IFERROR(__xludf.DUMMYFUNCTION("""COMPUTED_VALUE"""),"Sin precio neto")</f>
        <v>Sin precio neto</v>
      </c>
    </row>
    <row r="24">
      <c r="A24" s="4" t="str">
        <f>IFERROR(__xludf.DUMMYFUNCTION("""COMPUTED_VALUE"""),"0106B")</f>
        <v>0106B</v>
      </c>
      <c r="B24" s="4" t="str">
        <f>IFERROR(__xludf.DUMMYFUNCTION("""COMPUTED_VALUE"""),"Cartel PVC 64x32 Fotolum. Salida de emergencia + flecha")</f>
        <v>Cartel PVC 64x32 Fotolum. Salida de emergencia + flecha</v>
      </c>
      <c r="C24" s="4">
        <f>IFERROR(__xludf.DUMMYFUNCTION("""COMPUTED_VALUE"""),4.48)</f>
        <v>4.48</v>
      </c>
      <c r="D24" s="4"/>
      <c r="E24" s="4" t="str">
        <f>IFERROR(__xludf.DUMMYFUNCTION("""COMPUTED_VALUE"""),"Sin precio neto")</f>
        <v>Sin precio neto</v>
      </c>
    </row>
    <row r="25">
      <c r="A25" s="4" t="str">
        <f>IFERROR(__xludf.DUMMYFUNCTION("""COMPUTED_VALUE"""),"0106C")</f>
        <v>0106C</v>
      </c>
      <c r="B25" s="4" t="str">
        <f>IFERROR(__xludf.DUMMYFUNCTION("""COMPUTED_VALUE"""),"Cartel PVC 96x48 Fotolum. Salida de emergencia + flecha")</f>
        <v>Cartel PVC 96x48 Fotolum. Salida de emergencia + flecha</v>
      </c>
      <c r="C25" s="4">
        <f>IFERROR(__xludf.DUMMYFUNCTION("""COMPUTED_VALUE"""),8.96)</f>
        <v>8.96</v>
      </c>
      <c r="D25" s="4"/>
      <c r="E25" s="4" t="str">
        <f>IFERROR(__xludf.DUMMYFUNCTION("""COMPUTED_VALUE"""),"Sin precio neto")</f>
        <v>Sin precio neto</v>
      </c>
    </row>
    <row r="26">
      <c r="A26" s="4" t="str">
        <f>IFERROR(__xludf.DUMMYFUNCTION("""COMPUTED_VALUE"""),"107")</f>
        <v>107</v>
      </c>
      <c r="B26" s="4" t="str">
        <f>IFERROR(__xludf.DUMMYFUNCTION("""COMPUTED_VALUE"""),"Cartel PVC 21x29 Fotolum. SALIDA EMERG. FLECHA IZQ.")</f>
        <v>Cartel PVC 21x29 Fotolum. SALIDA EMERG. FLECHA IZQ.</v>
      </c>
      <c r="C26" s="4">
        <f>IFERROR(__xludf.DUMMYFUNCTION("""COMPUTED_VALUE"""),2.6)</f>
        <v>2.6</v>
      </c>
      <c r="D26" s="4">
        <f>IFERROR(__xludf.DUMMYFUNCTION("""COMPUTED_VALUE"""),2.1)</f>
        <v>2.1</v>
      </c>
      <c r="E26" s="4" t="str">
        <f>IFERROR(__xludf.DUMMYFUNCTION("""COMPUTED_VALUE"""),"Neto: 2,10 € (a partir de 1 uds.)")</f>
        <v>Neto: 2,10 € (a partir de 1 uds.)</v>
      </c>
    </row>
    <row r="27">
      <c r="A27" s="4" t="str">
        <f>IFERROR(__xludf.DUMMYFUNCTION("""COMPUTED_VALUE"""),"0107A")</f>
        <v>0107A</v>
      </c>
      <c r="B27" s="4" t="str">
        <f>IFERROR(__xludf.DUMMYFUNCTION("""COMPUTED_VALUE"""),"Cartel PVC 32x16 Fotolum. Salida de emergencia + flecha izq")</f>
        <v>Cartel PVC 32x16 Fotolum. Salida de emergencia + flecha izq</v>
      </c>
      <c r="C27" s="4">
        <f>IFERROR(__xludf.DUMMYFUNCTION("""COMPUTED_VALUE"""),2.25)</f>
        <v>2.25</v>
      </c>
      <c r="D27" s="4"/>
      <c r="E27" s="4" t="str">
        <f>IFERROR(__xludf.DUMMYFUNCTION("""COMPUTED_VALUE"""),"Sin precio neto")</f>
        <v>Sin precio neto</v>
      </c>
    </row>
    <row r="28">
      <c r="A28" s="4" t="str">
        <f>IFERROR(__xludf.DUMMYFUNCTION("""COMPUTED_VALUE"""),"0107B")</f>
        <v>0107B</v>
      </c>
      <c r="B28" s="4" t="str">
        <f>IFERROR(__xludf.DUMMYFUNCTION("""COMPUTED_VALUE"""),"Cartel PVC 64x32 Fotolum. Salida de emergencia + flecha izq")</f>
        <v>Cartel PVC 64x32 Fotolum. Salida de emergencia + flecha izq</v>
      </c>
      <c r="C28" s="4">
        <f>IFERROR(__xludf.DUMMYFUNCTION("""COMPUTED_VALUE"""),4.48)</f>
        <v>4.48</v>
      </c>
      <c r="D28" s="4"/>
      <c r="E28" s="4" t="str">
        <f>IFERROR(__xludf.DUMMYFUNCTION("""COMPUTED_VALUE"""),"Sin precio neto")</f>
        <v>Sin precio neto</v>
      </c>
    </row>
    <row r="29">
      <c r="A29" s="4" t="str">
        <f>IFERROR(__xludf.DUMMYFUNCTION("""COMPUTED_VALUE"""),"0107C")</f>
        <v>0107C</v>
      </c>
      <c r="B29" s="4" t="str">
        <f>IFERROR(__xludf.DUMMYFUNCTION("""COMPUTED_VALUE"""),"Cartel PVC 96x48 Fotolum. Salida de emergencia + flecha izq")</f>
        <v>Cartel PVC 96x48 Fotolum. Salida de emergencia + flecha izq</v>
      </c>
      <c r="C29" s="4">
        <f>IFERROR(__xludf.DUMMYFUNCTION("""COMPUTED_VALUE"""),8.96)</f>
        <v>8.96</v>
      </c>
      <c r="D29" s="4"/>
      <c r="E29" s="4" t="str">
        <f>IFERROR(__xludf.DUMMYFUNCTION("""COMPUTED_VALUE"""),"Sin precio neto")</f>
        <v>Sin precio neto</v>
      </c>
    </row>
    <row r="30">
      <c r="A30" s="4" t="str">
        <f>IFERROR(__xludf.DUMMYFUNCTION("""COMPUTED_VALUE"""),"108")</f>
        <v>108</v>
      </c>
      <c r="B30" s="4" t="str">
        <f>IFERROR(__xludf.DUMMYFUNCTION("""COMPUTED_VALUE"""),"Cartel PVC 21X29 Fotolum. ESCALERA EMERG. FLECHA")</f>
        <v>Cartel PVC 21X29 Fotolum. ESCALERA EMERG. FLECHA</v>
      </c>
      <c r="C30" s="4">
        <f>IFERROR(__xludf.DUMMYFUNCTION("""COMPUTED_VALUE"""),2.6)</f>
        <v>2.6</v>
      </c>
      <c r="D30" s="4">
        <f>IFERROR(__xludf.DUMMYFUNCTION("""COMPUTED_VALUE"""),2.1)</f>
        <v>2.1</v>
      </c>
      <c r="E30" s="4" t="str">
        <f>IFERROR(__xludf.DUMMYFUNCTION("""COMPUTED_VALUE"""),"Neto: 2,10 € (a partir de 1 uds.)")</f>
        <v>Neto: 2,10 € (a partir de 1 uds.)</v>
      </c>
    </row>
    <row r="31">
      <c r="A31" s="4" t="str">
        <f>IFERROR(__xludf.DUMMYFUNCTION("""COMPUTED_VALUE"""),"0108A")</f>
        <v>0108A</v>
      </c>
      <c r="B31" s="4" t="str">
        <f>IFERROR(__xludf.DUMMYFUNCTION("""COMPUTED_VALUE"""),"Cartel PVC 32x16 Fotolum. Escal. de emergencia + flecha")</f>
        <v>Cartel PVC 32x16 Fotolum. Escal. de emergencia + flecha</v>
      </c>
      <c r="C31" s="4">
        <f>IFERROR(__xludf.DUMMYFUNCTION("""COMPUTED_VALUE"""),2.25)</f>
        <v>2.25</v>
      </c>
      <c r="D31" s="4"/>
      <c r="E31" s="4" t="str">
        <f>IFERROR(__xludf.DUMMYFUNCTION("""COMPUTED_VALUE"""),"Sin precio neto")</f>
        <v>Sin precio neto</v>
      </c>
    </row>
    <row r="32">
      <c r="A32" s="4" t="str">
        <f>IFERROR(__xludf.DUMMYFUNCTION("""COMPUTED_VALUE"""),"0108B")</f>
        <v>0108B</v>
      </c>
      <c r="B32" s="4" t="str">
        <f>IFERROR(__xludf.DUMMYFUNCTION("""COMPUTED_VALUE"""),"Cartel PVC 64x32 Fotolum. Escal. de emergencia + flecha")</f>
        <v>Cartel PVC 64x32 Fotolum. Escal. de emergencia + flecha</v>
      </c>
      <c r="C32" s="4">
        <f>IFERROR(__xludf.DUMMYFUNCTION("""COMPUTED_VALUE"""),4.48)</f>
        <v>4.48</v>
      </c>
      <c r="D32" s="4"/>
      <c r="E32" s="4" t="str">
        <f>IFERROR(__xludf.DUMMYFUNCTION("""COMPUTED_VALUE"""),"Sin precio neto")</f>
        <v>Sin precio neto</v>
      </c>
    </row>
    <row r="33">
      <c r="A33" s="4" t="str">
        <f>IFERROR(__xludf.DUMMYFUNCTION("""COMPUTED_VALUE"""),"0108C")</f>
        <v>0108C</v>
      </c>
      <c r="B33" s="4" t="str">
        <f>IFERROR(__xludf.DUMMYFUNCTION("""COMPUTED_VALUE"""),"Cartel PVC 96x48 Fotolum. Escal. de emergencia + flecha")</f>
        <v>Cartel PVC 96x48 Fotolum. Escal. de emergencia + flecha</v>
      </c>
      <c r="C33" s="4">
        <f>IFERROR(__xludf.DUMMYFUNCTION("""COMPUTED_VALUE"""),8.96)</f>
        <v>8.96</v>
      </c>
      <c r="D33" s="4"/>
      <c r="E33" s="4" t="str">
        <f>IFERROR(__xludf.DUMMYFUNCTION("""COMPUTED_VALUE"""),"Sin precio neto")</f>
        <v>Sin precio neto</v>
      </c>
    </row>
    <row r="34">
      <c r="A34" s="4" t="str">
        <f>IFERROR(__xludf.DUMMYFUNCTION("""COMPUTED_VALUE"""),"109")</f>
        <v>109</v>
      </c>
      <c r="B34" s="4" t="str">
        <f>IFERROR(__xludf.DUMMYFUNCTION("""COMPUTED_VALUE"""),"Cartel PVC 21x29 Fotolum. ESCALERA EMERG. FLECHA")</f>
        <v>Cartel PVC 21x29 Fotolum. ESCALERA EMERG. FLECHA</v>
      </c>
      <c r="C34" s="4">
        <f>IFERROR(__xludf.DUMMYFUNCTION("""COMPUTED_VALUE"""),2.6)</f>
        <v>2.6</v>
      </c>
      <c r="D34" s="4">
        <f>IFERROR(__xludf.DUMMYFUNCTION("""COMPUTED_VALUE"""),2.1)</f>
        <v>2.1</v>
      </c>
      <c r="E34" s="4" t="str">
        <f>IFERROR(__xludf.DUMMYFUNCTION("""COMPUTED_VALUE"""),"Neto: 2,10 € (a partir de 1 uds.)")</f>
        <v>Neto: 2,10 € (a partir de 1 uds.)</v>
      </c>
    </row>
    <row r="35">
      <c r="A35" s="4" t="str">
        <f>IFERROR(__xludf.DUMMYFUNCTION("""COMPUTED_VALUE"""),"0109A")</f>
        <v>0109A</v>
      </c>
      <c r="B35" s="4" t="str">
        <f>IFERROR(__xludf.DUMMYFUNCTION("""COMPUTED_VALUE"""),"Cartel PVC 32x16 Fotolum. Escal. de emergencia + flecha izq.")</f>
        <v>Cartel PVC 32x16 Fotolum. Escal. de emergencia + flecha izq.</v>
      </c>
      <c r="C35" s="4">
        <f>IFERROR(__xludf.DUMMYFUNCTION("""COMPUTED_VALUE"""),2.25)</f>
        <v>2.25</v>
      </c>
      <c r="D35" s="4"/>
      <c r="E35" s="4" t="str">
        <f>IFERROR(__xludf.DUMMYFUNCTION("""COMPUTED_VALUE"""),"Sin precio neto")</f>
        <v>Sin precio neto</v>
      </c>
    </row>
    <row r="36">
      <c r="A36" s="4" t="str">
        <f>IFERROR(__xludf.DUMMYFUNCTION("""COMPUTED_VALUE"""),"0109B")</f>
        <v>0109B</v>
      </c>
      <c r="B36" s="4" t="str">
        <f>IFERROR(__xludf.DUMMYFUNCTION("""COMPUTED_VALUE"""),"Cartel PVC 64x32 Fotolum. Escal. de emergencia + flecha izq.")</f>
        <v>Cartel PVC 64x32 Fotolum. Escal. de emergencia + flecha izq.</v>
      </c>
      <c r="C36" s="4">
        <f>IFERROR(__xludf.DUMMYFUNCTION("""COMPUTED_VALUE"""),4.48)</f>
        <v>4.48</v>
      </c>
      <c r="D36" s="4"/>
      <c r="E36" s="4" t="str">
        <f>IFERROR(__xludf.DUMMYFUNCTION("""COMPUTED_VALUE"""),"Sin precio neto")</f>
        <v>Sin precio neto</v>
      </c>
    </row>
    <row r="37">
      <c r="A37" s="4" t="str">
        <f>IFERROR(__xludf.DUMMYFUNCTION("""COMPUTED_VALUE"""),"0109C")</f>
        <v>0109C</v>
      </c>
      <c r="B37" s="4" t="str">
        <f>IFERROR(__xludf.DUMMYFUNCTION("""COMPUTED_VALUE"""),"Cartel PVC 96x48 Fotolum. Escal. de emergencia + flecha izq.")</f>
        <v>Cartel PVC 96x48 Fotolum. Escal. de emergencia + flecha izq.</v>
      </c>
      <c r="C37" s="4">
        <f>IFERROR(__xludf.DUMMYFUNCTION("""COMPUTED_VALUE"""),8.96)</f>
        <v>8.96</v>
      </c>
      <c r="D37" s="4"/>
      <c r="E37" s="4" t="str">
        <f>IFERROR(__xludf.DUMMYFUNCTION("""COMPUTED_VALUE"""),"Sin precio neto")</f>
        <v>Sin precio neto</v>
      </c>
    </row>
    <row r="38">
      <c r="A38" s="4" t="str">
        <f>IFERROR(__xludf.DUMMYFUNCTION("""COMPUTED_VALUE"""),"110")</f>
        <v>110</v>
      </c>
      <c r="B38" s="4" t="str">
        <f>IFERROR(__xludf.DUMMYFUNCTION("""COMPUTED_VALUE"""),"Cartel PVC 21x29 Fotolum. No utilizar en caso de incendio")</f>
        <v>Cartel PVC 21x29 Fotolum. No utilizar en caso de incendio</v>
      </c>
      <c r="C38" s="4">
        <f>IFERROR(__xludf.DUMMYFUNCTION("""COMPUTED_VALUE"""),2.6)</f>
        <v>2.6</v>
      </c>
      <c r="D38" s="4">
        <f>IFERROR(__xludf.DUMMYFUNCTION("""COMPUTED_VALUE"""),2.1)</f>
        <v>2.1</v>
      </c>
      <c r="E38" s="4" t="str">
        <f>IFERROR(__xludf.DUMMYFUNCTION("""COMPUTED_VALUE"""),"Neto: 2,10 € (a partir de 1 uds.)")</f>
        <v>Neto: 2,10 € (a partir de 1 uds.)</v>
      </c>
    </row>
    <row r="39">
      <c r="A39" s="4" t="str">
        <f>IFERROR(__xludf.DUMMYFUNCTION("""COMPUTED_VALUE"""),"0116V")</f>
        <v>0116V</v>
      </c>
      <c r="B39" s="4" t="str">
        <f>IFERROR(__xludf.DUMMYFUNCTION("""COMPUTED_VALUE"""),"Vinilo Adhesivo suelo Dir. Peatonal 40 cm")</f>
        <v>Vinilo Adhesivo suelo Dir. Peatonal 40 cm</v>
      </c>
      <c r="C39" s="4">
        <f>IFERROR(__xludf.DUMMYFUNCTION("""COMPUTED_VALUE"""),6.15)</f>
        <v>6.15</v>
      </c>
      <c r="D39" s="4"/>
      <c r="E39" s="4" t="str">
        <f>IFERROR(__xludf.DUMMYFUNCTION("""COMPUTED_VALUE"""),"Sin precio neto")</f>
        <v>Sin precio neto</v>
      </c>
    </row>
    <row r="40">
      <c r="A40" s="4" t="str">
        <f>IFERROR(__xludf.DUMMYFUNCTION("""COMPUTED_VALUE"""),"0150A")</f>
        <v>0150A</v>
      </c>
      <c r="B40" s="4" t="str">
        <f>IFERROR(__xludf.DUMMYFUNCTION("""COMPUTED_VALUE"""),"Cartel PVC 21x21 Fotolum. Pulsador de alarma")</f>
        <v>Cartel PVC 21x21 Fotolum. Pulsador de alarma</v>
      </c>
      <c r="C40" s="4">
        <f>IFERROR(__xludf.DUMMYFUNCTION("""COMPUTED_VALUE"""),2.31)</f>
        <v>2.31</v>
      </c>
      <c r="D40" s="4"/>
      <c r="E40" s="4" t="str">
        <f>IFERROR(__xludf.DUMMYFUNCTION("""COMPUTED_VALUE"""),"Sin precio neto")</f>
        <v>Sin precio neto</v>
      </c>
    </row>
    <row r="41">
      <c r="A41" s="4" t="str">
        <f>IFERROR(__xludf.DUMMYFUNCTION("""COMPUTED_VALUE"""),"0150B")</f>
        <v>0150B</v>
      </c>
      <c r="B41" s="4" t="str">
        <f>IFERROR(__xludf.DUMMYFUNCTION("""COMPUTED_VALUE"""),"Cartel PVC 42x42 Fotolum. Pulsador de alarma")</f>
        <v>Cartel PVC 42x42 Fotolum. Pulsador de alarma</v>
      </c>
      <c r="C41" s="4">
        <f>IFERROR(__xludf.DUMMYFUNCTION("""COMPUTED_VALUE"""),3.9)</f>
        <v>3.9</v>
      </c>
      <c r="D41" s="4"/>
      <c r="E41" s="4" t="str">
        <f>IFERROR(__xludf.DUMMYFUNCTION("""COMPUTED_VALUE"""),"Sin precio neto")</f>
        <v>Sin precio neto</v>
      </c>
    </row>
    <row r="42">
      <c r="A42" s="4" t="str">
        <f>IFERROR(__xludf.DUMMYFUNCTION("""COMPUTED_VALUE"""),"0150C")</f>
        <v>0150C</v>
      </c>
      <c r="B42" s="4" t="str">
        <f>IFERROR(__xludf.DUMMYFUNCTION("""COMPUTED_VALUE"""),"Cartel PVC 63x63 Fotolum. Pulsador de alarma")</f>
        <v>Cartel PVC 63x63 Fotolum. Pulsador de alarma</v>
      </c>
      <c r="C42" s="4">
        <f>IFERROR(__xludf.DUMMYFUNCTION("""COMPUTED_VALUE"""),6.25)</f>
        <v>6.25</v>
      </c>
      <c r="D42" s="4"/>
      <c r="E42" s="4" t="str">
        <f>IFERROR(__xludf.DUMMYFUNCTION("""COMPUTED_VALUE"""),"Sin precio neto")</f>
        <v>Sin precio neto</v>
      </c>
    </row>
    <row r="43">
      <c r="A43" s="4" t="str">
        <f>IFERROR(__xludf.DUMMYFUNCTION("""COMPUTED_VALUE"""),"151")</f>
        <v>151</v>
      </c>
      <c r="B43" s="4" t="str">
        <f>IFERROR(__xludf.DUMMYFUNCTION("""COMPUTED_VALUE"""),"Cartel PVC 21x21 Fotolum. EXTINTOR IZQUIERDA")</f>
        <v>Cartel PVC 21x21 Fotolum. EXTINTOR IZQUIERDA</v>
      </c>
      <c r="C43" s="4">
        <f>IFERROR(__xludf.DUMMYFUNCTION("""COMPUTED_VALUE"""),2.31)</f>
        <v>2.31</v>
      </c>
      <c r="D43" s="4"/>
      <c r="E43" s="4" t="str">
        <f>IFERROR(__xludf.DUMMYFUNCTION("""COMPUTED_VALUE"""),"Sin precio neto")</f>
        <v>Sin precio neto</v>
      </c>
    </row>
    <row r="44">
      <c r="A44" s="4" t="str">
        <f>IFERROR(__xludf.DUMMYFUNCTION("""COMPUTED_VALUE"""),"0151A")</f>
        <v>0151A</v>
      </c>
      <c r="B44" s="4" t="str">
        <f>IFERROR(__xludf.DUMMYFUNCTION("""COMPUTED_VALUE"""),"Cartel PVC 21x21 Fotolum. Carro extintor")</f>
        <v>Cartel PVC 21x21 Fotolum. Carro extintor</v>
      </c>
      <c r="C44" s="4">
        <f>IFERROR(__xludf.DUMMYFUNCTION("""COMPUTED_VALUE"""),2.31)</f>
        <v>2.31</v>
      </c>
      <c r="D44" s="4"/>
      <c r="E44" s="4" t="str">
        <f>IFERROR(__xludf.DUMMYFUNCTION("""COMPUTED_VALUE"""),"Sin precio neto")</f>
        <v>Sin precio neto</v>
      </c>
    </row>
    <row r="45">
      <c r="A45" s="4" t="str">
        <f>IFERROR(__xludf.DUMMYFUNCTION("""COMPUTED_VALUE"""),"0151B")</f>
        <v>0151B</v>
      </c>
      <c r="B45" s="4" t="str">
        <f>IFERROR(__xludf.DUMMYFUNCTION("""COMPUTED_VALUE"""),"Cartel PVC 42x42 Fotolum. Carro extintor")</f>
        <v>Cartel PVC 42x42 Fotolum. Carro extintor</v>
      </c>
      <c r="C45" s="4">
        <f>IFERROR(__xludf.DUMMYFUNCTION("""COMPUTED_VALUE"""),3.9)</f>
        <v>3.9</v>
      </c>
      <c r="D45" s="4"/>
      <c r="E45" s="4" t="str">
        <f>IFERROR(__xludf.DUMMYFUNCTION("""COMPUTED_VALUE"""),"Sin precio neto")</f>
        <v>Sin precio neto</v>
      </c>
    </row>
    <row r="46">
      <c r="A46" s="4" t="str">
        <f>IFERROR(__xludf.DUMMYFUNCTION("""COMPUTED_VALUE"""),"0151C")</f>
        <v>0151C</v>
      </c>
      <c r="B46" s="4" t="str">
        <f>IFERROR(__xludf.DUMMYFUNCTION("""COMPUTED_VALUE"""),"Cartel PVC 63x63 Fotolum. Carro extintor")</f>
        <v>Cartel PVC 63x63 Fotolum. Carro extintor</v>
      </c>
      <c r="C46" s="4">
        <f>IFERROR(__xludf.DUMMYFUNCTION("""COMPUTED_VALUE"""),6.25)</f>
        <v>6.25</v>
      </c>
      <c r="D46" s="4"/>
      <c r="E46" s="4" t="str">
        <f>IFERROR(__xludf.DUMMYFUNCTION("""COMPUTED_VALUE"""),"Sin precio neto")</f>
        <v>Sin precio neto</v>
      </c>
    </row>
    <row r="47">
      <c r="A47" s="4" t="str">
        <f>IFERROR(__xludf.DUMMYFUNCTION("""COMPUTED_VALUE"""),"152")</f>
        <v>152</v>
      </c>
      <c r="B47" s="4" t="str">
        <f>IFERROR(__xludf.DUMMYFUNCTION("""COMPUTED_VALUE"""),"Cartel PVC 21x21 Fotolum. EXTINTOR ABAJO")</f>
        <v>Cartel PVC 21x21 Fotolum. EXTINTOR ABAJO</v>
      </c>
      <c r="C47" s="4">
        <f>IFERROR(__xludf.DUMMYFUNCTION("""COMPUTED_VALUE"""),2.31)</f>
        <v>2.31</v>
      </c>
      <c r="D47" s="4"/>
      <c r="E47" s="4" t="str">
        <f>IFERROR(__xludf.DUMMYFUNCTION("""COMPUTED_VALUE"""),"Sin precio neto")</f>
        <v>Sin precio neto</v>
      </c>
    </row>
    <row r="48">
      <c r="A48" s="4" t="str">
        <f>IFERROR(__xludf.DUMMYFUNCTION("""COMPUTED_VALUE"""),"0152A")</f>
        <v>0152A</v>
      </c>
      <c r="B48" s="4" t="str">
        <f>IFERROR(__xludf.DUMMYFUNCTION("""COMPUTED_VALUE"""),"Cartel PVC 21x21 Fotolum. Escalera")</f>
        <v>Cartel PVC 21x21 Fotolum. Escalera</v>
      </c>
      <c r="C48" s="4">
        <f>IFERROR(__xludf.DUMMYFUNCTION("""COMPUTED_VALUE"""),2.31)</f>
        <v>2.31</v>
      </c>
      <c r="D48" s="4"/>
      <c r="E48" s="4" t="str">
        <f>IFERROR(__xludf.DUMMYFUNCTION("""COMPUTED_VALUE"""),"Sin precio neto")</f>
        <v>Sin precio neto</v>
      </c>
    </row>
    <row r="49">
      <c r="A49" s="4" t="str">
        <f>IFERROR(__xludf.DUMMYFUNCTION("""COMPUTED_VALUE"""),"0152B")</f>
        <v>0152B</v>
      </c>
      <c r="B49" s="4" t="str">
        <f>IFERROR(__xludf.DUMMYFUNCTION("""COMPUTED_VALUE"""),"Cartel PVC 42x42 Fotolum. Escalera")</f>
        <v>Cartel PVC 42x42 Fotolum. Escalera</v>
      </c>
      <c r="C49" s="4">
        <f>IFERROR(__xludf.DUMMYFUNCTION("""COMPUTED_VALUE"""),3.9)</f>
        <v>3.9</v>
      </c>
      <c r="D49" s="4"/>
      <c r="E49" s="4" t="str">
        <f>IFERROR(__xludf.DUMMYFUNCTION("""COMPUTED_VALUE"""),"Sin precio neto")</f>
        <v>Sin precio neto</v>
      </c>
    </row>
    <row r="50">
      <c r="A50" s="4" t="str">
        <f>IFERROR(__xludf.DUMMYFUNCTION("""COMPUTED_VALUE"""),"0152C")</f>
        <v>0152C</v>
      </c>
      <c r="B50" s="4" t="str">
        <f>IFERROR(__xludf.DUMMYFUNCTION("""COMPUTED_VALUE"""),"Cartel PVC 63x63 Fotolum. Escalera")</f>
        <v>Cartel PVC 63x63 Fotolum. Escalera</v>
      </c>
      <c r="C50" s="4">
        <f>IFERROR(__xludf.DUMMYFUNCTION("""COMPUTED_VALUE"""),6.25)</f>
        <v>6.25</v>
      </c>
      <c r="D50" s="4"/>
      <c r="E50" s="4" t="str">
        <f>IFERROR(__xludf.DUMMYFUNCTION("""COMPUTED_VALUE"""),"Sin precio neto")</f>
        <v>Sin precio neto</v>
      </c>
    </row>
    <row r="51">
      <c r="A51" s="4" t="str">
        <f>IFERROR(__xludf.DUMMYFUNCTION("""COMPUTED_VALUE"""),"153")</f>
        <v>153</v>
      </c>
      <c r="B51" s="4" t="str">
        <f>IFERROR(__xludf.DUMMYFUNCTION("""COMPUTED_VALUE"""),"Cartel PVC 21x21 Fotolum. PULSADOR")</f>
        <v>Cartel PVC 21x21 Fotolum. PULSADOR</v>
      </c>
      <c r="C51" s="4">
        <f>IFERROR(__xludf.DUMMYFUNCTION("""COMPUTED_VALUE"""),2.31)</f>
        <v>2.31</v>
      </c>
      <c r="D51" s="4"/>
      <c r="E51" s="4" t="str">
        <f>IFERROR(__xludf.DUMMYFUNCTION("""COMPUTED_VALUE"""),"Sin precio neto")</f>
        <v>Sin precio neto</v>
      </c>
    </row>
    <row r="52">
      <c r="A52" s="4" t="str">
        <f>IFERROR(__xludf.DUMMYFUNCTION("""COMPUTED_VALUE"""),"0153A")</f>
        <v>0153A</v>
      </c>
      <c r="B52" s="4" t="str">
        <f>IFERROR(__xludf.DUMMYFUNCTION("""COMPUTED_VALUE"""),"Cartel PVC 21x21 Fotolum. Flecha abajo derecha")</f>
        <v>Cartel PVC 21x21 Fotolum. Flecha abajo derecha</v>
      </c>
      <c r="C52" s="4">
        <f>IFERROR(__xludf.DUMMYFUNCTION("""COMPUTED_VALUE"""),2.31)</f>
        <v>2.31</v>
      </c>
      <c r="D52" s="4"/>
      <c r="E52" s="4" t="str">
        <f>IFERROR(__xludf.DUMMYFUNCTION("""COMPUTED_VALUE"""),"Sin precio neto")</f>
        <v>Sin precio neto</v>
      </c>
    </row>
    <row r="53">
      <c r="A53" s="4" t="str">
        <f>IFERROR(__xludf.DUMMYFUNCTION("""COMPUTED_VALUE"""),"0153B")</f>
        <v>0153B</v>
      </c>
      <c r="B53" s="4" t="str">
        <f>IFERROR(__xludf.DUMMYFUNCTION("""COMPUTED_VALUE"""),"Cartel PVC 42x42 Fotolum. Flecha abajo derecha")</f>
        <v>Cartel PVC 42x42 Fotolum. Flecha abajo derecha</v>
      </c>
      <c r="C53" s="4">
        <f>IFERROR(__xludf.DUMMYFUNCTION("""COMPUTED_VALUE"""),3.9)</f>
        <v>3.9</v>
      </c>
      <c r="D53" s="4"/>
      <c r="E53" s="4" t="str">
        <f>IFERROR(__xludf.DUMMYFUNCTION("""COMPUTED_VALUE"""),"Sin precio neto")</f>
        <v>Sin precio neto</v>
      </c>
    </row>
    <row r="54">
      <c r="A54" s="4" t="str">
        <f>IFERROR(__xludf.DUMMYFUNCTION("""COMPUTED_VALUE"""),"0153C")</f>
        <v>0153C</v>
      </c>
      <c r="B54" s="4" t="str">
        <f>IFERROR(__xludf.DUMMYFUNCTION("""COMPUTED_VALUE"""),"Cartel PVC 63x63 Fotolum. Flecha abajo derecha")</f>
        <v>Cartel PVC 63x63 Fotolum. Flecha abajo derecha</v>
      </c>
      <c r="C54" s="4">
        <f>IFERROR(__xludf.DUMMYFUNCTION("""COMPUTED_VALUE"""),6.25)</f>
        <v>6.25</v>
      </c>
      <c r="D54" s="4"/>
      <c r="E54" s="4" t="str">
        <f>IFERROR(__xludf.DUMMYFUNCTION("""COMPUTED_VALUE"""),"Sin precio neto")</f>
        <v>Sin precio neto</v>
      </c>
    </row>
    <row r="55">
      <c r="A55" s="4" t="str">
        <f>IFERROR(__xludf.DUMMYFUNCTION("""COMPUTED_VALUE"""),"154")</f>
        <v>154</v>
      </c>
      <c r="B55" s="4" t="str">
        <f>IFERROR(__xludf.DUMMYFUNCTION("""COMPUTED_VALUE"""),"Cartel PVC 21x21 Fotolum. PULSADOR IZQUIERDA")</f>
        <v>Cartel PVC 21x21 Fotolum. PULSADOR IZQUIERDA</v>
      </c>
      <c r="C55" s="4">
        <f>IFERROR(__xludf.DUMMYFUNCTION("""COMPUTED_VALUE"""),2.31)</f>
        <v>2.31</v>
      </c>
      <c r="D55" s="4"/>
      <c r="E55" s="4" t="str">
        <f>IFERROR(__xludf.DUMMYFUNCTION("""COMPUTED_VALUE"""),"Sin precio neto")</f>
        <v>Sin precio neto</v>
      </c>
    </row>
    <row r="56">
      <c r="A56" s="4" t="str">
        <f>IFERROR(__xludf.DUMMYFUNCTION("""COMPUTED_VALUE"""),"0154A")</f>
        <v>0154A</v>
      </c>
      <c r="B56" s="4" t="str">
        <f>IFERROR(__xludf.DUMMYFUNCTION("""COMPUTED_VALUE"""),"Cartel PVC 21x21 Fotolum. Flecha abajo izquierda")</f>
        <v>Cartel PVC 21x21 Fotolum. Flecha abajo izquierda</v>
      </c>
      <c r="C56" s="4">
        <f>IFERROR(__xludf.DUMMYFUNCTION("""COMPUTED_VALUE"""),2.31)</f>
        <v>2.31</v>
      </c>
      <c r="D56" s="4"/>
      <c r="E56" s="4" t="str">
        <f>IFERROR(__xludf.DUMMYFUNCTION("""COMPUTED_VALUE"""),"Sin precio neto")</f>
        <v>Sin precio neto</v>
      </c>
    </row>
    <row r="57">
      <c r="A57" s="4" t="str">
        <f>IFERROR(__xludf.DUMMYFUNCTION("""COMPUTED_VALUE"""),"0154B")</f>
        <v>0154B</v>
      </c>
      <c r="B57" s="4" t="str">
        <f>IFERROR(__xludf.DUMMYFUNCTION("""COMPUTED_VALUE"""),"Cartel PVC 42x42 Fotolum. Flecha abajo izquierda")</f>
        <v>Cartel PVC 42x42 Fotolum. Flecha abajo izquierda</v>
      </c>
      <c r="C57" s="4">
        <f>IFERROR(__xludf.DUMMYFUNCTION("""COMPUTED_VALUE"""),3.9)</f>
        <v>3.9</v>
      </c>
      <c r="D57" s="4"/>
      <c r="E57" s="4" t="str">
        <f>IFERROR(__xludf.DUMMYFUNCTION("""COMPUTED_VALUE"""),"Sin precio neto")</f>
        <v>Sin precio neto</v>
      </c>
    </row>
    <row r="58">
      <c r="A58" s="4" t="str">
        <f>IFERROR(__xludf.DUMMYFUNCTION("""COMPUTED_VALUE"""),"0154C")</f>
        <v>0154C</v>
      </c>
      <c r="B58" s="4" t="str">
        <f>IFERROR(__xludf.DUMMYFUNCTION("""COMPUTED_VALUE"""),"Cartel PVC 21x21 Fotolum. Flecha abajo izquierda")</f>
        <v>Cartel PVC 21x21 Fotolum. Flecha abajo izquierda</v>
      </c>
      <c r="C58" s="4">
        <f>IFERROR(__xludf.DUMMYFUNCTION("""COMPUTED_VALUE"""),6.25)</f>
        <v>6.25</v>
      </c>
      <c r="D58" s="4"/>
      <c r="E58" s="4" t="str">
        <f>IFERROR(__xludf.DUMMYFUNCTION("""COMPUTED_VALUE"""),"Sin precio neto")</f>
        <v>Sin precio neto</v>
      </c>
    </row>
    <row r="59">
      <c r="A59" s="4" t="str">
        <f>IFERROR(__xludf.DUMMYFUNCTION("""COMPUTED_VALUE"""),"155")</f>
        <v>155</v>
      </c>
      <c r="B59" s="4" t="str">
        <f>IFERROR(__xludf.DUMMYFUNCTION("""COMPUTED_VALUE"""),"Cartel PVC 21x21 Fotolum. PULSADOR DERECHA")</f>
        <v>Cartel PVC 21x21 Fotolum. PULSADOR DERECHA</v>
      </c>
      <c r="C59" s="4">
        <f>IFERROR(__xludf.DUMMYFUNCTION("""COMPUTED_VALUE"""),2.31)</f>
        <v>2.31</v>
      </c>
      <c r="D59" s="4"/>
      <c r="E59" s="4" t="str">
        <f>IFERROR(__xludf.DUMMYFUNCTION("""COMPUTED_VALUE"""),"Sin precio neto")</f>
        <v>Sin precio neto</v>
      </c>
    </row>
    <row r="60">
      <c r="A60" s="4" t="str">
        <f>IFERROR(__xludf.DUMMYFUNCTION("""COMPUTED_VALUE"""),"160")</f>
        <v>160</v>
      </c>
      <c r="B60" s="4" t="str">
        <f>IFERROR(__xludf.DUMMYFUNCTION("""COMPUTED_VALUE"""),"Cartel PVC 21x21 Fotolum. PUERTA EMERGENCIA IZQ.")</f>
        <v>Cartel PVC 21x21 Fotolum. PUERTA EMERGENCIA IZQ.</v>
      </c>
      <c r="C60" s="4">
        <f>IFERROR(__xludf.DUMMYFUNCTION("""COMPUTED_VALUE"""),2.31)</f>
        <v>2.31</v>
      </c>
      <c r="D60" s="4"/>
      <c r="E60" s="4" t="str">
        <f>IFERROR(__xludf.DUMMYFUNCTION("""COMPUTED_VALUE"""),"Sin precio neto")</f>
        <v>Sin precio neto</v>
      </c>
    </row>
    <row r="61">
      <c r="A61" s="4" t="str">
        <f>IFERROR(__xludf.DUMMYFUNCTION("""COMPUTED_VALUE"""),"0160A")</f>
        <v>0160A</v>
      </c>
      <c r="B61" s="4" t="str">
        <f>IFERROR(__xludf.DUMMYFUNCTION("""COMPUTED_VALUE"""),"Cartel PVC 21x21 Fotolum. Salida emergencia izquierda")</f>
        <v>Cartel PVC 21x21 Fotolum. Salida emergencia izquierda</v>
      </c>
      <c r="C61" s="4">
        <f>IFERROR(__xludf.DUMMYFUNCTION("""COMPUTED_VALUE"""),2.31)</f>
        <v>2.31</v>
      </c>
      <c r="D61" s="4"/>
      <c r="E61" s="4" t="str">
        <f>IFERROR(__xludf.DUMMYFUNCTION("""COMPUTED_VALUE"""),"Sin precio neto")</f>
        <v>Sin precio neto</v>
      </c>
    </row>
    <row r="62">
      <c r="A62" s="4" t="str">
        <f>IFERROR(__xludf.DUMMYFUNCTION("""COMPUTED_VALUE"""),"0160B")</f>
        <v>0160B</v>
      </c>
      <c r="B62" s="4" t="str">
        <f>IFERROR(__xludf.DUMMYFUNCTION("""COMPUTED_VALUE"""),"Cartel PVC 42x42 Fotolum. Salida emergencia izquierda")</f>
        <v>Cartel PVC 42x42 Fotolum. Salida emergencia izquierda</v>
      </c>
      <c r="C62" s="4">
        <f>IFERROR(__xludf.DUMMYFUNCTION("""COMPUTED_VALUE"""),3.9)</f>
        <v>3.9</v>
      </c>
      <c r="D62" s="4"/>
      <c r="E62" s="4" t="str">
        <f>IFERROR(__xludf.DUMMYFUNCTION("""COMPUTED_VALUE"""),"Sin precio neto")</f>
        <v>Sin precio neto</v>
      </c>
    </row>
    <row r="63">
      <c r="A63" s="4" t="str">
        <f>IFERROR(__xludf.DUMMYFUNCTION("""COMPUTED_VALUE"""),"0160C")</f>
        <v>0160C</v>
      </c>
      <c r="B63" s="4" t="str">
        <f>IFERROR(__xludf.DUMMYFUNCTION("""COMPUTED_VALUE"""),"Cartel PVC 63x63 Fotolum. Salida emergencia izquierda")</f>
        <v>Cartel PVC 63x63 Fotolum. Salida emergencia izquierda</v>
      </c>
      <c r="C63" s="4">
        <f>IFERROR(__xludf.DUMMYFUNCTION("""COMPUTED_VALUE"""),6.25)</f>
        <v>6.25</v>
      </c>
      <c r="D63" s="4"/>
      <c r="E63" s="4" t="str">
        <f>IFERROR(__xludf.DUMMYFUNCTION("""COMPUTED_VALUE"""),"Sin precio neto")</f>
        <v>Sin precio neto</v>
      </c>
    </row>
    <row r="64">
      <c r="A64" s="4" t="str">
        <f>IFERROR(__xludf.DUMMYFUNCTION("""COMPUTED_VALUE"""),"161")</f>
        <v>161</v>
      </c>
      <c r="B64" s="4" t="str">
        <f>IFERROR(__xludf.DUMMYFUNCTION("""COMPUTED_VALUE"""),"Cartel PVC 21x21 Fotolum. PUERTA EMERGENCIA")</f>
        <v>Cartel PVC 21x21 Fotolum. PUERTA EMERGENCIA</v>
      </c>
      <c r="C64" s="4">
        <f>IFERROR(__xludf.DUMMYFUNCTION("""COMPUTED_VALUE"""),2.31)</f>
        <v>2.31</v>
      </c>
      <c r="D64" s="4"/>
      <c r="E64" s="4" t="str">
        <f>IFERROR(__xludf.DUMMYFUNCTION("""COMPUTED_VALUE"""),"Sin precio neto")</f>
        <v>Sin precio neto</v>
      </c>
    </row>
    <row r="65">
      <c r="A65" s="4" t="str">
        <f>IFERROR(__xludf.DUMMYFUNCTION("""COMPUTED_VALUE"""),"0161A")</f>
        <v>0161A</v>
      </c>
      <c r="B65" s="4" t="str">
        <f>IFERROR(__xludf.DUMMYFUNCTION("""COMPUTED_VALUE"""),"Cartel PVC 21x21 Fotolum. Salida emergencia derecha")</f>
        <v>Cartel PVC 21x21 Fotolum. Salida emergencia derecha</v>
      </c>
      <c r="C65" s="4">
        <f>IFERROR(__xludf.DUMMYFUNCTION("""COMPUTED_VALUE"""),2.31)</f>
        <v>2.31</v>
      </c>
      <c r="D65" s="4"/>
      <c r="E65" s="4" t="str">
        <f>IFERROR(__xludf.DUMMYFUNCTION("""COMPUTED_VALUE"""),"Sin precio neto")</f>
        <v>Sin precio neto</v>
      </c>
    </row>
    <row r="66">
      <c r="A66" s="4" t="str">
        <f>IFERROR(__xludf.DUMMYFUNCTION("""COMPUTED_VALUE"""),"0161B")</f>
        <v>0161B</v>
      </c>
      <c r="B66" s="4" t="str">
        <f>IFERROR(__xludf.DUMMYFUNCTION("""COMPUTED_VALUE"""),"Cartel PVC 42x42 Fotolum. Salida emergencia derecha")</f>
        <v>Cartel PVC 42x42 Fotolum. Salida emergencia derecha</v>
      </c>
      <c r="C66" s="4">
        <f>IFERROR(__xludf.DUMMYFUNCTION("""COMPUTED_VALUE"""),3.9)</f>
        <v>3.9</v>
      </c>
      <c r="D66" s="4"/>
      <c r="E66" s="4" t="str">
        <f>IFERROR(__xludf.DUMMYFUNCTION("""COMPUTED_VALUE"""),"Sin precio neto")</f>
        <v>Sin precio neto</v>
      </c>
    </row>
    <row r="67">
      <c r="A67" s="4" t="str">
        <f>IFERROR(__xludf.DUMMYFUNCTION("""COMPUTED_VALUE"""),"0161C")</f>
        <v>0161C</v>
      </c>
      <c r="B67" s="4" t="str">
        <f>IFERROR(__xludf.DUMMYFUNCTION("""COMPUTED_VALUE"""),"Cartel PVC 63x63 Fotolum. Salida emergencia derecha")</f>
        <v>Cartel PVC 63x63 Fotolum. Salida emergencia derecha</v>
      </c>
      <c r="C67" s="4">
        <f>IFERROR(__xludf.DUMMYFUNCTION("""COMPUTED_VALUE"""),6.25)</f>
        <v>6.25</v>
      </c>
      <c r="D67" s="4"/>
      <c r="E67" s="4" t="str">
        <f>IFERROR(__xludf.DUMMYFUNCTION("""COMPUTED_VALUE"""),"Sin precio neto")</f>
        <v>Sin precio neto</v>
      </c>
    </row>
    <row r="68">
      <c r="A68" s="4" t="str">
        <f>IFERROR(__xludf.DUMMYFUNCTION("""COMPUTED_VALUE"""),"162")</f>
        <v>162</v>
      </c>
      <c r="B68" s="4" t="str">
        <f>IFERROR(__xludf.DUMMYFUNCTION("""COMPUTED_VALUE"""),"Cartel PVC 21x21 Fotolum. PUERTA-ESCALERA EMERG. IZ")</f>
        <v>Cartel PVC 21x21 Fotolum. PUERTA-ESCALERA EMERG. IZ</v>
      </c>
      <c r="C68" s="4">
        <f>IFERROR(__xludf.DUMMYFUNCTION("""COMPUTED_VALUE"""),2.31)</f>
        <v>2.31</v>
      </c>
      <c r="D68" s="4"/>
      <c r="E68" s="4" t="str">
        <f>IFERROR(__xludf.DUMMYFUNCTION("""COMPUTED_VALUE"""),"Sin precio neto")</f>
        <v>Sin precio neto</v>
      </c>
    </row>
    <row r="69">
      <c r="A69" s="4" t="str">
        <f>IFERROR(__xludf.DUMMYFUNCTION("""COMPUTED_VALUE"""),"0162A")</f>
        <v>0162A</v>
      </c>
      <c r="B69" s="4" t="str">
        <f>IFERROR(__xludf.DUMMYFUNCTION("""COMPUTED_VALUE"""),"Cartel PVC 21x21 Fotolum. flecha izquierda")</f>
        <v>Cartel PVC 21x21 Fotolum. flecha izquierda</v>
      </c>
      <c r="C69" s="4">
        <f>IFERROR(__xludf.DUMMYFUNCTION("""COMPUTED_VALUE"""),1.25)</f>
        <v>1.25</v>
      </c>
      <c r="D69" s="4"/>
      <c r="E69" s="4" t="str">
        <f>IFERROR(__xludf.DUMMYFUNCTION("""COMPUTED_VALUE"""),"Sin precio neto")</f>
        <v>Sin precio neto</v>
      </c>
    </row>
    <row r="70">
      <c r="A70" s="4" t="str">
        <f>IFERROR(__xludf.DUMMYFUNCTION("""COMPUTED_VALUE"""),"0162B")</f>
        <v>0162B</v>
      </c>
      <c r="B70" s="4" t="str">
        <f>IFERROR(__xludf.DUMMYFUNCTION("""COMPUTED_VALUE"""),"Cartel PVC 42x42 Fotolum. flecha izquierda")</f>
        <v>Cartel PVC 42x42 Fotolum. flecha izquierda</v>
      </c>
      <c r="C70" s="4">
        <f>IFERROR(__xludf.DUMMYFUNCTION("""COMPUTED_VALUE"""),3.9)</f>
        <v>3.9</v>
      </c>
      <c r="D70" s="4"/>
      <c r="E70" s="4" t="str">
        <f>IFERROR(__xludf.DUMMYFUNCTION("""COMPUTED_VALUE"""),"Sin precio neto")</f>
        <v>Sin precio neto</v>
      </c>
    </row>
    <row r="71">
      <c r="A71" s="4" t="str">
        <f>IFERROR(__xludf.DUMMYFUNCTION("""COMPUTED_VALUE"""),"0162C")</f>
        <v>0162C</v>
      </c>
      <c r="B71" s="4" t="str">
        <f>IFERROR(__xludf.DUMMYFUNCTION("""COMPUTED_VALUE"""),"Cartel PVC 63x63 Fotolum. flecha izquierda")</f>
        <v>Cartel PVC 63x63 Fotolum. flecha izquierda</v>
      </c>
      <c r="C71" s="4">
        <f>IFERROR(__xludf.DUMMYFUNCTION("""COMPUTED_VALUE"""),6.25)</f>
        <v>6.25</v>
      </c>
      <c r="D71" s="4"/>
      <c r="E71" s="4" t="str">
        <f>IFERROR(__xludf.DUMMYFUNCTION("""COMPUTED_VALUE"""),"Sin precio neto")</f>
        <v>Sin precio neto</v>
      </c>
    </row>
    <row r="72">
      <c r="A72" s="4" t="str">
        <f>IFERROR(__xludf.DUMMYFUNCTION("""COMPUTED_VALUE"""),"163")</f>
        <v>163</v>
      </c>
      <c r="B72" s="4" t="str">
        <f>IFERROR(__xludf.DUMMYFUNCTION("""COMPUTED_VALUE"""),"Cartel PVC 21x21 Fotolum. PUERTA-ESCALERA EMERG.")</f>
        <v>Cartel PVC 21x21 Fotolum. PUERTA-ESCALERA EMERG.</v>
      </c>
      <c r="C72" s="4">
        <f>IFERROR(__xludf.DUMMYFUNCTION("""COMPUTED_VALUE"""),2.31)</f>
        <v>2.31</v>
      </c>
      <c r="D72" s="4"/>
      <c r="E72" s="4" t="str">
        <f>IFERROR(__xludf.DUMMYFUNCTION("""COMPUTED_VALUE"""),"Sin precio neto")</f>
        <v>Sin precio neto</v>
      </c>
    </row>
    <row r="73">
      <c r="A73" s="4" t="str">
        <f>IFERROR(__xludf.DUMMYFUNCTION("""COMPUTED_VALUE"""),"0163A")</f>
        <v>0163A</v>
      </c>
      <c r="B73" s="4" t="str">
        <f>IFERROR(__xludf.DUMMYFUNCTION("""COMPUTED_VALUE"""),"Cartel PVC 21x21 Fotolum. flecha derecha")</f>
        <v>Cartel PVC 21x21 Fotolum. flecha derecha</v>
      </c>
      <c r="C73" s="4">
        <f>IFERROR(__xludf.DUMMYFUNCTION("""COMPUTED_VALUE"""),2.31)</f>
        <v>2.31</v>
      </c>
      <c r="D73" s="4"/>
      <c r="E73" s="4" t="str">
        <f>IFERROR(__xludf.DUMMYFUNCTION("""COMPUTED_VALUE"""),"Sin precio neto")</f>
        <v>Sin precio neto</v>
      </c>
    </row>
    <row r="74">
      <c r="A74" s="4" t="str">
        <f>IFERROR(__xludf.DUMMYFUNCTION("""COMPUTED_VALUE"""),"0163B")</f>
        <v>0163B</v>
      </c>
      <c r="B74" s="4" t="str">
        <f>IFERROR(__xludf.DUMMYFUNCTION("""COMPUTED_VALUE"""),"Cartel PVC 42x42 Fotolum. flecha derecha")</f>
        <v>Cartel PVC 42x42 Fotolum. flecha derecha</v>
      </c>
      <c r="C74" s="4">
        <f>IFERROR(__xludf.DUMMYFUNCTION("""COMPUTED_VALUE"""),3.9)</f>
        <v>3.9</v>
      </c>
      <c r="D74" s="4"/>
      <c r="E74" s="4" t="str">
        <f>IFERROR(__xludf.DUMMYFUNCTION("""COMPUTED_VALUE"""),"Sin precio neto")</f>
        <v>Sin precio neto</v>
      </c>
    </row>
    <row r="75">
      <c r="A75" s="4" t="str">
        <f>IFERROR(__xludf.DUMMYFUNCTION("""COMPUTED_VALUE"""),"0163C")</f>
        <v>0163C</v>
      </c>
      <c r="B75" s="4" t="str">
        <f>IFERROR(__xludf.DUMMYFUNCTION("""COMPUTED_VALUE"""),"Cartel PVC 63x63 Fotolum. flecha derecha")</f>
        <v>Cartel PVC 63x63 Fotolum. flecha derecha</v>
      </c>
      <c r="C75" s="4">
        <f>IFERROR(__xludf.DUMMYFUNCTION("""COMPUTED_VALUE"""),6.25)</f>
        <v>6.25</v>
      </c>
      <c r="D75" s="4"/>
      <c r="E75" s="4" t="str">
        <f>IFERROR(__xludf.DUMMYFUNCTION("""COMPUTED_VALUE"""),"Sin precio neto")</f>
        <v>Sin precio neto</v>
      </c>
    </row>
    <row r="76">
      <c r="A76" s="4" t="str">
        <f>IFERROR(__xludf.DUMMYFUNCTION("""COMPUTED_VALUE"""),"164")</f>
        <v>164</v>
      </c>
      <c r="B76" s="4" t="str">
        <f>IFERROR(__xludf.DUMMYFUNCTION("""COMPUTED_VALUE"""),"Cartel PVC 21x21 Fotolum. EMPUJAR BARRA APERTURA")</f>
        <v>Cartel PVC 21x21 Fotolum. EMPUJAR BARRA APERTURA</v>
      </c>
      <c r="C76" s="4">
        <f>IFERROR(__xludf.DUMMYFUNCTION("""COMPUTED_VALUE"""),2.31)</f>
        <v>2.31</v>
      </c>
      <c r="D76" s="4"/>
      <c r="E76" s="4" t="str">
        <f>IFERROR(__xludf.DUMMYFUNCTION("""COMPUTED_VALUE"""),"Sin precio neto")</f>
        <v>Sin precio neto</v>
      </c>
    </row>
    <row r="77">
      <c r="A77" s="4" t="str">
        <f>IFERROR(__xludf.DUMMYFUNCTION("""COMPUTED_VALUE"""),"165")</f>
        <v>165</v>
      </c>
      <c r="B77" s="4" t="str">
        <f>IFERROR(__xludf.DUMMYFUNCTION("""COMPUTED_VALUE"""),"Cartel PVC 21x21 Fotolum. FLECHA")</f>
        <v>Cartel PVC 21x21 Fotolum. FLECHA</v>
      </c>
      <c r="C77" s="4">
        <f>IFERROR(__xludf.DUMMYFUNCTION("""COMPUTED_VALUE"""),2.31)</f>
        <v>2.31</v>
      </c>
      <c r="D77" s="4"/>
      <c r="E77" s="4" t="str">
        <f>IFERROR(__xludf.DUMMYFUNCTION("""COMPUTED_VALUE"""),"Sin precio neto")</f>
        <v>Sin precio neto</v>
      </c>
    </row>
    <row r="78">
      <c r="A78" s="4" t="str">
        <f>IFERROR(__xludf.DUMMYFUNCTION("""COMPUTED_VALUE"""),"175")</f>
        <v>175</v>
      </c>
      <c r="B78" s="4" t="str">
        <f>IFERROR(__xludf.DUMMYFUNCTION("""COMPUTED_VALUE"""),"Cartel PVC 30x10 Fotolum. SALIDA")</f>
        <v>Cartel PVC 30x10 Fotolum. SALIDA</v>
      </c>
      <c r="C78" s="4">
        <f>IFERROR(__xludf.DUMMYFUNCTION("""COMPUTED_VALUE"""),1.89)</f>
        <v>1.89</v>
      </c>
      <c r="D78" s="4"/>
      <c r="E78" s="4" t="str">
        <f>IFERROR(__xludf.DUMMYFUNCTION("""COMPUTED_VALUE"""),"Sin precio neto")</f>
        <v>Sin precio neto</v>
      </c>
    </row>
    <row r="79">
      <c r="A79" s="4" t="str">
        <f>IFERROR(__xludf.DUMMYFUNCTION("""COMPUTED_VALUE"""),"176")</f>
        <v>176</v>
      </c>
      <c r="B79" s="4" t="str">
        <f>IFERROR(__xludf.DUMMYFUNCTION("""COMPUTED_VALUE"""),"Cartel PVC 30x10 Fotolum. SALIDA FLECHA DCHA")</f>
        <v>Cartel PVC 30x10 Fotolum. SALIDA FLECHA DCHA</v>
      </c>
      <c r="C79" s="4">
        <f>IFERROR(__xludf.DUMMYFUNCTION("""COMPUTED_VALUE"""),1.89)</f>
        <v>1.89</v>
      </c>
      <c r="D79" s="4"/>
      <c r="E79" s="4" t="str">
        <f>IFERROR(__xludf.DUMMYFUNCTION("""COMPUTED_VALUE"""),"Sin precio neto")</f>
        <v>Sin precio neto</v>
      </c>
    </row>
    <row r="80">
      <c r="A80" s="4" t="str">
        <f>IFERROR(__xludf.DUMMYFUNCTION("""COMPUTED_VALUE"""),"177")</f>
        <v>177</v>
      </c>
      <c r="B80" s="4" t="str">
        <f>IFERROR(__xludf.DUMMYFUNCTION("""COMPUTED_VALUE"""),"Cartel PVC 30x10 Fotolum. SALIDA FLECHA IZQ.")</f>
        <v>Cartel PVC 30x10 Fotolum. SALIDA FLECHA IZQ.</v>
      </c>
      <c r="C80" s="4">
        <f>IFERROR(__xludf.DUMMYFUNCTION("""COMPUTED_VALUE"""),1.89)</f>
        <v>1.89</v>
      </c>
      <c r="D80" s="4"/>
      <c r="E80" s="4" t="str">
        <f>IFERROR(__xludf.DUMMYFUNCTION("""COMPUTED_VALUE"""),"Sin precio neto")</f>
        <v>Sin precio neto</v>
      </c>
    </row>
    <row r="81">
      <c r="A81" s="4" t="str">
        <f>IFERROR(__xludf.DUMMYFUNCTION("""COMPUTED_VALUE"""),"178")</f>
        <v>178</v>
      </c>
      <c r="B81" s="4" t="str">
        <f>IFERROR(__xludf.DUMMYFUNCTION("""COMPUTED_VALUE"""),"Cartel PVC 30x10 Fotolum. SALIDA FLECHA ARRIBA")</f>
        <v>Cartel PVC 30x10 Fotolum. SALIDA FLECHA ARRIBA</v>
      </c>
      <c r="C81" s="4">
        <f>IFERROR(__xludf.DUMMYFUNCTION("""COMPUTED_VALUE"""),1.89)</f>
        <v>1.89</v>
      </c>
      <c r="D81" s="4"/>
      <c r="E81" s="4" t="str">
        <f>IFERROR(__xludf.DUMMYFUNCTION("""COMPUTED_VALUE"""),"Sin precio neto")</f>
        <v>Sin precio neto</v>
      </c>
    </row>
    <row r="82">
      <c r="A82" s="4" t="str">
        <f>IFERROR(__xludf.DUMMYFUNCTION("""COMPUTED_VALUE"""),"179")</f>
        <v>179</v>
      </c>
      <c r="B82" s="4" t="str">
        <f>IFERROR(__xludf.DUMMYFUNCTION("""COMPUTED_VALUE"""),"Cartel PVC 30x10 Fotolum. SALIDA FLECHA ABAJO")</f>
        <v>Cartel PVC 30x10 Fotolum. SALIDA FLECHA ABAJO</v>
      </c>
      <c r="C82" s="4">
        <f>IFERROR(__xludf.DUMMYFUNCTION("""COMPUTED_VALUE"""),1.89)</f>
        <v>1.89</v>
      </c>
      <c r="D82" s="4"/>
      <c r="E82" s="4" t="str">
        <f>IFERROR(__xludf.DUMMYFUNCTION("""COMPUTED_VALUE"""),"Sin precio neto")</f>
        <v>Sin precio neto</v>
      </c>
    </row>
    <row r="83">
      <c r="A83" s="4" t="str">
        <f>IFERROR(__xludf.DUMMYFUNCTION("""COMPUTED_VALUE"""),"180")</f>
        <v>180</v>
      </c>
      <c r="B83" s="4" t="str">
        <f>IFERROR(__xludf.DUMMYFUNCTION("""COMPUTED_VALUE"""),"Cartel PVC 30x10 Fotolum. SALIDA EMERGENCIA FLECHA")</f>
        <v>Cartel PVC 30x10 Fotolum. SALIDA EMERGENCIA FLECHA</v>
      </c>
      <c r="C83" s="4">
        <f>IFERROR(__xludf.DUMMYFUNCTION("""COMPUTED_VALUE"""),1.89)</f>
        <v>1.89</v>
      </c>
      <c r="D83" s="4"/>
      <c r="E83" s="4" t="str">
        <f>IFERROR(__xludf.DUMMYFUNCTION("""COMPUTED_VALUE"""),"Sin precio neto")</f>
        <v>Sin precio neto</v>
      </c>
    </row>
    <row r="84">
      <c r="A84" s="4" t="str">
        <f>IFERROR(__xludf.DUMMYFUNCTION("""COMPUTED_VALUE"""),"181")</f>
        <v>181</v>
      </c>
      <c r="B84" s="4" t="str">
        <f>IFERROR(__xludf.DUMMYFUNCTION("""COMPUTED_VALUE"""),"Cartel PVC 30x10 Fotolum. SALIDA EMERGENCIA FLECHA")</f>
        <v>Cartel PVC 30x10 Fotolum. SALIDA EMERGENCIA FLECHA</v>
      </c>
      <c r="C84" s="4">
        <f>IFERROR(__xludf.DUMMYFUNCTION("""COMPUTED_VALUE"""),1.89)</f>
        <v>1.89</v>
      </c>
      <c r="D84" s="4"/>
      <c r="E84" s="4" t="str">
        <f>IFERROR(__xludf.DUMMYFUNCTION("""COMPUTED_VALUE"""),"Sin precio neto")</f>
        <v>Sin precio neto</v>
      </c>
    </row>
    <row r="85">
      <c r="A85" s="4" t="str">
        <f>IFERROR(__xludf.DUMMYFUNCTION("""COMPUTED_VALUE"""),"182")</f>
        <v>182</v>
      </c>
      <c r="B85" s="4" t="str">
        <f>IFERROR(__xludf.DUMMYFUNCTION("""COMPUTED_VALUE"""),"Cartel PVC 30x10 Fotolum. FLECHA")</f>
        <v>Cartel PVC 30x10 Fotolum. FLECHA</v>
      </c>
      <c r="C85" s="4">
        <f>IFERROR(__xludf.DUMMYFUNCTION("""COMPUTED_VALUE"""),1.89)</f>
        <v>1.89</v>
      </c>
      <c r="D85" s="4"/>
      <c r="E85" s="4" t="str">
        <f>IFERROR(__xludf.DUMMYFUNCTION("""COMPUTED_VALUE"""),"Sin precio neto")</f>
        <v>Sin precio neto</v>
      </c>
    </row>
    <row r="86">
      <c r="A86" s="4" t="str">
        <f>IFERROR(__xludf.DUMMYFUNCTION("""COMPUTED_VALUE"""),"183")</f>
        <v>183</v>
      </c>
      <c r="B86" s="4" t="str">
        <f>IFERROR(__xludf.DUMMYFUNCTION("""COMPUTED_VALUE"""),"Cartel PVC 30x10 Fotolum. SALIDA DE EMERGENCIA")</f>
        <v>Cartel PVC 30x10 Fotolum. SALIDA DE EMERGENCIA</v>
      </c>
      <c r="C86" s="4">
        <f>IFERROR(__xludf.DUMMYFUNCTION("""COMPUTED_VALUE"""),1.89)</f>
        <v>1.89</v>
      </c>
      <c r="D86" s="4"/>
      <c r="E86" s="4" t="str">
        <f>IFERROR(__xludf.DUMMYFUNCTION("""COMPUTED_VALUE"""),"Sin precio neto")</f>
        <v>Sin precio neto</v>
      </c>
    </row>
    <row r="87">
      <c r="A87" s="4" t="str">
        <f>IFERROR(__xludf.DUMMYFUNCTION("""COMPUTED_VALUE"""),"184")</f>
        <v>184</v>
      </c>
      <c r="B87" s="4" t="str">
        <f>IFERROR(__xludf.DUMMYFUNCTION("""COMPUTED_VALUE"""),"Cartel PVC 650x105 mm SALIDA DE EMERGENCIA")</f>
        <v>Cartel PVC 650x105 mm SALIDA DE EMERGENCIA</v>
      </c>
      <c r="C87" s="4">
        <f>IFERROR(__xludf.DUMMYFUNCTION("""COMPUTED_VALUE"""),1.89)</f>
        <v>1.89</v>
      </c>
      <c r="D87" s="4"/>
      <c r="E87" s="4" t="str">
        <f>IFERROR(__xludf.DUMMYFUNCTION("""COMPUTED_VALUE"""),"Sin precio neto")</f>
        <v>Sin precio neto</v>
      </c>
    </row>
    <row r="88">
      <c r="A88" s="4" t="str">
        <f>IFERROR(__xludf.DUMMYFUNCTION("""COMPUTED_VALUE"""),"199")</f>
        <v>199</v>
      </c>
      <c r="B88" s="4" t="str">
        <f>IFERROR(__xludf.DUMMYFUNCTION("""COMPUTED_VALUE"""),"Cartel PVC 21x29 Fotolum. DUCHA DE EMERGENCIA")</f>
        <v>Cartel PVC 21x29 Fotolum. DUCHA DE EMERGENCIA</v>
      </c>
      <c r="C88" s="4">
        <f>IFERROR(__xludf.DUMMYFUNCTION("""COMPUTED_VALUE"""),2.6)</f>
        <v>2.6</v>
      </c>
      <c r="D88" s="4">
        <f>IFERROR(__xludf.DUMMYFUNCTION("""COMPUTED_VALUE"""),2.1)</f>
        <v>2.1</v>
      </c>
      <c r="E88" s="4" t="str">
        <f>IFERROR(__xludf.DUMMYFUNCTION("""COMPUTED_VALUE"""),"Neto: 2,10 € (a partir de 1 uds.)")</f>
        <v>Neto: 2,10 € (a partir de 1 uds.)</v>
      </c>
    </row>
    <row r="89">
      <c r="A89" s="4" t="str">
        <f>IFERROR(__xludf.DUMMYFUNCTION("""COMPUTED_VALUE"""),"0199A")</f>
        <v>0199A</v>
      </c>
      <c r="B89" s="4" t="str">
        <f>IFERROR(__xludf.DUMMYFUNCTION("""COMPUTED_VALUE"""),"Cartel PVC 21x30 Fotolum. ducha de emergencia")</f>
        <v>Cartel PVC 21x30 Fotolum. ducha de emergencia</v>
      </c>
      <c r="C89" s="4">
        <f>IFERROR(__xludf.DUMMYFUNCTION("""COMPUTED_VALUE"""),2.52)</f>
        <v>2.52</v>
      </c>
      <c r="D89" s="4">
        <f>IFERROR(__xludf.DUMMYFUNCTION("""COMPUTED_VALUE"""),2.1)</f>
        <v>2.1</v>
      </c>
      <c r="E89" s="4" t="str">
        <f>IFERROR(__xludf.DUMMYFUNCTION("""COMPUTED_VALUE"""),"Neto: 2,10 € (a partir de 1 uds.)")</f>
        <v>Neto: 2,10 € (a partir de 1 uds.)</v>
      </c>
    </row>
    <row r="90">
      <c r="A90" s="4" t="str">
        <f>IFERROR(__xludf.DUMMYFUNCTION("""COMPUTED_VALUE"""),"0199B")</f>
        <v>0199B</v>
      </c>
      <c r="B90" s="4" t="str">
        <f>IFERROR(__xludf.DUMMYFUNCTION("""COMPUTED_VALUE"""),"Cartel PVC 40x30 Fotolum. ducha de emergencia")</f>
        <v>Cartel PVC 40x30 Fotolum. ducha de emergencia</v>
      </c>
      <c r="C90" s="4">
        <f>IFERROR(__xludf.DUMMYFUNCTION("""COMPUTED_VALUE"""),3.1)</f>
        <v>3.1</v>
      </c>
      <c r="D90" s="4">
        <f>IFERROR(__xludf.DUMMYFUNCTION("""COMPUTED_VALUE"""),3.2)</f>
        <v>3.2</v>
      </c>
      <c r="E90" s="4" t="str">
        <f>IFERROR(__xludf.DUMMYFUNCTION("""COMPUTED_VALUE"""),"Neto: 3,20 € (a partir de 1 uds.)")</f>
        <v>Neto: 3,20 € (a partir de 1 uds.)</v>
      </c>
    </row>
    <row r="91">
      <c r="A91" s="4" t="str">
        <f>IFERROR(__xludf.DUMMYFUNCTION("""COMPUTED_VALUE"""),"0200/G")</f>
        <v>0200/G</v>
      </c>
      <c r="B91" s="4" t="str">
        <f>IFERROR(__xludf.DUMMYFUNCTION("""COMPUTED_VALUE"""),"Señal Poliprop. Amarillo 50x50 c/ollados + Pictograma")</f>
        <v>Señal Poliprop. Amarillo 50x50 c/ollados + Pictograma</v>
      </c>
      <c r="C91" s="4">
        <f>IFERROR(__xludf.DUMMYFUNCTION("""COMPUTED_VALUE"""),9.6)</f>
        <v>9.6</v>
      </c>
      <c r="D91" s="4"/>
      <c r="E91" s="4" t="str">
        <f>IFERROR(__xludf.DUMMYFUNCTION("""COMPUTED_VALUE"""),"Sin precio neto")</f>
        <v>Sin precio neto</v>
      </c>
    </row>
    <row r="92">
      <c r="A92" s="4" t="str">
        <f>IFERROR(__xludf.DUMMYFUNCTION("""COMPUTED_VALUE"""),"0200S2130")</f>
        <v>0200S2130</v>
      </c>
      <c r="B92" s="4" t="str">
        <f>IFERROR(__xludf.DUMMYFUNCTION("""COMPUTED_VALUE"""),"Soperte Acero Inox para cartel 21x29 cm")</f>
        <v>Soperte Acero Inox para cartel 21x29 cm</v>
      </c>
      <c r="C92" s="4">
        <f>IFERROR(__xludf.DUMMYFUNCTION("""COMPUTED_VALUE"""),14.5)</f>
        <v>14.5</v>
      </c>
      <c r="D92" s="4"/>
      <c r="E92" s="4" t="str">
        <f>IFERROR(__xludf.DUMMYFUNCTION("""COMPUTED_VALUE"""),"Sin precio neto")</f>
        <v>Sin precio neto</v>
      </c>
    </row>
    <row r="93">
      <c r="A93" s="4" t="str">
        <f>IFERROR(__xludf.DUMMYFUNCTION("""COMPUTED_VALUE"""),"0200S4030")</f>
        <v>0200S4030</v>
      </c>
      <c r="B93" s="4" t="str">
        <f>IFERROR(__xludf.DUMMYFUNCTION("""COMPUTED_VALUE"""),"Soporte Acero Inox para Cartel 40x30 cm")</f>
        <v>Soporte Acero Inox para Cartel 40x30 cm</v>
      </c>
      <c r="C93" s="4">
        <f>IFERROR(__xludf.DUMMYFUNCTION("""COMPUTED_VALUE"""),17.0)</f>
        <v>17</v>
      </c>
      <c r="D93" s="4"/>
      <c r="E93" s="4" t="str">
        <f>IFERROR(__xludf.DUMMYFUNCTION("""COMPUTED_VALUE"""),"Sin precio neto")</f>
        <v>Sin precio neto</v>
      </c>
    </row>
    <row r="94">
      <c r="A94" s="4" t="str">
        <f>IFERROR(__xludf.DUMMYFUNCTION("""COMPUTED_VALUE"""),"201")</f>
        <v>201</v>
      </c>
      <c r="B94" s="4" t="str">
        <f>IFERROR(__xludf.DUMMYFUNCTION("""COMPUTED_VALUE"""),"Cartel PVC 40x30 Fotolum. EXTINTOR")</f>
        <v>Cartel PVC 40x30 Fotolum. EXTINTOR</v>
      </c>
      <c r="C94" s="4">
        <f>IFERROR(__xludf.DUMMYFUNCTION("""COMPUTED_VALUE"""),3.35)</f>
        <v>3.35</v>
      </c>
      <c r="D94" s="4"/>
      <c r="E94" s="4" t="str">
        <f>IFERROR(__xludf.DUMMYFUNCTION("""COMPUTED_VALUE"""),"Sin precio neto")</f>
        <v>Sin precio neto</v>
      </c>
    </row>
    <row r="95">
      <c r="A95" s="4" t="str">
        <f>IFERROR(__xludf.DUMMYFUNCTION("""COMPUTED_VALUE"""),"202")</f>
        <v>202</v>
      </c>
      <c r="B95" s="4" t="str">
        <f>IFERROR(__xludf.DUMMYFUNCTION("""COMPUTED_VALUE"""),"Cartel PVC 21x30 Fotolum. Duchas emergencia derecha")</f>
        <v>Cartel PVC 21x30 Fotolum. Duchas emergencia derecha</v>
      </c>
      <c r="C95" s="4">
        <f>IFERROR(__xludf.DUMMYFUNCTION("""COMPUTED_VALUE"""),2.6)</f>
        <v>2.6</v>
      </c>
      <c r="D95" s="4">
        <f>IFERROR(__xludf.DUMMYFUNCTION("""COMPUTED_VALUE"""),2.1)</f>
        <v>2.1</v>
      </c>
      <c r="E95" s="4" t="str">
        <f>IFERROR(__xludf.DUMMYFUNCTION("""COMPUTED_VALUE"""),"Neto: 2,10 € (a partir de 1 uds.)")</f>
        <v>Neto: 2,10 € (a partir de 1 uds.)</v>
      </c>
    </row>
    <row r="96">
      <c r="A96" s="4" t="str">
        <f>IFERROR(__xludf.DUMMYFUNCTION("""COMPUTED_VALUE"""),"203")</f>
        <v>203</v>
      </c>
      <c r="B96" s="4" t="str">
        <f>IFERROR(__xludf.DUMMYFUNCTION("""COMPUTED_VALUE"""),"Cartel PVC 21x30 Fotolum. Duchas emergencia izq.")</f>
        <v>Cartel PVC 21x30 Fotolum. Duchas emergencia izq.</v>
      </c>
      <c r="C96" s="4">
        <f>IFERROR(__xludf.DUMMYFUNCTION("""COMPUTED_VALUE"""),2.6)</f>
        <v>2.6</v>
      </c>
      <c r="D96" s="4">
        <f>IFERROR(__xludf.DUMMYFUNCTION("""COMPUTED_VALUE"""),2.1)</f>
        <v>2.1</v>
      </c>
      <c r="E96" s="4" t="str">
        <f>IFERROR(__xludf.DUMMYFUNCTION("""COMPUTED_VALUE"""),"Neto: 2,10 € (a partir de 1 uds.)")</f>
        <v>Neto: 2,10 € (a partir de 1 uds.)</v>
      </c>
    </row>
    <row r="97">
      <c r="A97" s="4" t="str">
        <f>IFERROR(__xludf.DUMMYFUNCTION("""COMPUTED_VALUE"""),"0204A")</f>
        <v>0204A</v>
      </c>
      <c r="B97" s="4" t="str">
        <f>IFERROR(__xludf.DUMMYFUNCTION("""COMPUTED_VALUE"""),"Cartel PVC 21x30 Fotolum. Oficina")</f>
        <v>Cartel PVC 21x30 Fotolum. Oficina</v>
      </c>
      <c r="C97" s="4">
        <f>IFERROR(__xludf.DUMMYFUNCTION("""COMPUTED_VALUE"""),2.52)</f>
        <v>2.52</v>
      </c>
      <c r="D97" s="4">
        <f>IFERROR(__xludf.DUMMYFUNCTION("""COMPUTED_VALUE"""),2.1)</f>
        <v>2.1</v>
      </c>
      <c r="E97" s="4" t="str">
        <f>IFERROR(__xludf.DUMMYFUNCTION("""COMPUTED_VALUE"""),"Neto: 2,10 € (a partir de 1 uds.)")</f>
        <v>Neto: 2,10 € (a partir de 1 uds.)</v>
      </c>
    </row>
    <row r="98">
      <c r="A98" s="4" t="str">
        <f>IFERROR(__xludf.DUMMYFUNCTION("""COMPUTED_VALUE"""),"0204B")</f>
        <v>0204B</v>
      </c>
      <c r="B98" s="4" t="str">
        <f>IFERROR(__xludf.DUMMYFUNCTION("""COMPUTED_VALUE"""),"Cartel PVC 40x30 Fotolum. Oficina")</f>
        <v>Cartel PVC 40x30 Fotolum. Oficina</v>
      </c>
      <c r="C98" s="4">
        <f>IFERROR(__xludf.DUMMYFUNCTION("""COMPUTED_VALUE"""),3.1)</f>
        <v>3.1</v>
      </c>
      <c r="D98" s="4">
        <f>IFERROR(__xludf.DUMMYFUNCTION("""COMPUTED_VALUE"""),3.2)</f>
        <v>3.2</v>
      </c>
      <c r="E98" s="4" t="str">
        <f>IFERROR(__xludf.DUMMYFUNCTION("""COMPUTED_VALUE"""),"Neto: 3,20 € (a partir de 1 uds.)")</f>
        <v>Neto: 3,20 € (a partir de 1 uds.)</v>
      </c>
    </row>
    <row r="99">
      <c r="A99" s="4" t="str">
        <f>IFERROR(__xludf.DUMMYFUNCTION("""COMPUTED_VALUE"""),"0205A")</f>
        <v>0205A</v>
      </c>
      <c r="B99" s="4" t="str">
        <f>IFERROR(__xludf.DUMMYFUNCTION("""COMPUTED_VALUE"""),"Cartel PVC 21x30 Fotolum. Ducha")</f>
        <v>Cartel PVC 21x30 Fotolum. Ducha</v>
      </c>
      <c r="C99" s="4">
        <f>IFERROR(__xludf.DUMMYFUNCTION("""COMPUTED_VALUE"""),2.52)</f>
        <v>2.52</v>
      </c>
      <c r="D99" s="4">
        <f>IFERROR(__xludf.DUMMYFUNCTION("""COMPUTED_VALUE"""),2.1)</f>
        <v>2.1</v>
      </c>
      <c r="E99" s="4" t="str">
        <f>IFERROR(__xludf.DUMMYFUNCTION("""COMPUTED_VALUE"""),"Neto: 2,10 € (a partir de 1 uds.)")</f>
        <v>Neto: 2,10 € (a partir de 1 uds.)</v>
      </c>
    </row>
    <row r="100">
      <c r="A100" s="4" t="str">
        <f>IFERROR(__xludf.DUMMYFUNCTION("""COMPUTED_VALUE"""),"0205B")</f>
        <v>0205B</v>
      </c>
      <c r="B100" s="4" t="str">
        <f>IFERROR(__xludf.DUMMYFUNCTION("""COMPUTED_VALUE"""),"Cartel PVC 40x30 Fotolum. Ducha")</f>
        <v>Cartel PVC 40x30 Fotolum. Ducha</v>
      </c>
      <c r="C100" s="4">
        <f>IFERROR(__xludf.DUMMYFUNCTION("""COMPUTED_VALUE"""),3.1)</f>
        <v>3.1</v>
      </c>
      <c r="D100" s="4">
        <f>IFERROR(__xludf.DUMMYFUNCTION("""COMPUTED_VALUE"""),3.2)</f>
        <v>3.2</v>
      </c>
      <c r="E100" s="4" t="str">
        <f>IFERROR(__xludf.DUMMYFUNCTION("""COMPUTED_VALUE"""),"Neto: 3,20 € (a partir de 1 uds.)")</f>
        <v>Neto: 3,20 € (a partir de 1 uds.)</v>
      </c>
    </row>
    <row r="101">
      <c r="A101" s="4" t="str">
        <f>IFERROR(__xludf.DUMMYFUNCTION("""COMPUTED_VALUE"""),"206")</f>
        <v>206</v>
      </c>
      <c r="B101" s="4" t="str">
        <f>IFERROR(__xludf.DUMMYFUNCTION("""COMPUTED_VALUE"""),"Cartel PVC 21x30 Fotolum. Lavaojos emerg. derecha")</f>
        <v>Cartel PVC 21x30 Fotolum. Lavaojos emerg. derecha</v>
      </c>
      <c r="C101" s="4">
        <f>IFERROR(__xludf.DUMMYFUNCTION("""COMPUTED_VALUE"""),2.6)</f>
        <v>2.6</v>
      </c>
      <c r="D101" s="4">
        <f>IFERROR(__xludf.DUMMYFUNCTION("""COMPUTED_VALUE"""),2.1)</f>
        <v>2.1</v>
      </c>
      <c r="E101" s="4" t="str">
        <f>IFERROR(__xludf.DUMMYFUNCTION("""COMPUTED_VALUE"""),"Neto: 2,10 € (a partir de 1 uds.)")</f>
        <v>Neto: 2,10 € (a partir de 1 uds.)</v>
      </c>
    </row>
    <row r="102">
      <c r="A102" s="4" t="str">
        <f>IFERROR(__xludf.DUMMYFUNCTION("""COMPUTED_VALUE"""),"0206A")</f>
        <v>0206A</v>
      </c>
      <c r="B102" s="4" t="str">
        <f>IFERROR(__xludf.DUMMYFUNCTION("""COMPUTED_VALUE"""),"Cartel PVC 21x30 Fotolum. Lavaojos de emergencia")</f>
        <v>Cartel PVC 21x30 Fotolum. Lavaojos de emergencia</v>
      </c>
      <c r="C102" s="4">
        <f>IFERROR(__xludf.DUMMYFUNCTION("""COMPUTED_VALUE"""),2.52)</f>
        <v>2.52</v>
      </c>
      <c r="D102" s="4">
        <f>IFERROR(__xludf.DUMMYFUNCTION("""COMPUTED_VALUE"""),2.1)</f>
        <v>2.1</v>
      </c>
      <c r="E102" s="4" t="str">
        <f>IFERROR(__xludf.DUMMYFUNCTION("""COMPUTED_VALUE"""),"Neto: 2,10 € (a partir de 1 uds.)")</f>
        <v>Neto: 2,10 € (a partir de 1 uds.)</v>
      </c>
    </row>
    <row r="103">
      <c r="A103" s="4" t="str">
        <f>IFERROR(__xludf.DUMMYFUNCTION("""COMPUTED_VALUE"""),"0206B")</f>
        <v>0206B</v>
      </c>
      <c r="B103" s="4" t="str">
        <f>IFERROR(__xludf.DUMMYFUNCTION("""COMPUTED_VALUE"""),"Cartel PVC 40x30 Fotolum. Lavaojos de emergencia")</f>
        <v>Cartel PVC 40x30 Fotolum. Lavaojos de emergencia</v>
      </c>
      <c r="C103" s="4">
        <f>IFERROR(__xludf.DUMMYFUNCTION("""COMPUTED_VALUE"""),3.1)</f>
        <v>3.1</v>
      </c>
      <c r="D103" s="4">
        <f>IFERROR(__xludf.DUMMYFUNCTION("""COMPUTED_VALUE"""),3.2)</f>
        <v>3.2</v>
      </c>
      <c r="E103" s="4" t="str">
        <f>IFERROR(__xludf.DUMMYFUNCTION("""COMPUTED_VALUE"""),"Neto: 3,20 € (a partir de 1 uds.)")</f>
        <v>Neto: 3,20 € (a partir de 1 uds.)</v>
      </c>
    </row>
    <row r="104">
      <c r="A104" s="4" t="str">
        <f>IFERROR(__xludf.DUMMYFUNCTION("""COMPUTED_VALUE"""),"207")</f>
        <v>207</v>
      </c>
      <c r="B104" s="4" t="str">
        <f>IFERROR(__xludf.DUMMYFUNCTION("""COMPUTED_VALUE"""),"Cartel PVC 21x30 Fotolum. Lavaojos emerg. izq.")</f>
        <v>Cartel PVC 21x30 Fotolum. Lavaojos emerg. izq.</v>
      </c>
      <c r="C104" s="4">
        <f>IFERROR(__xludf.DUMMYFUNCTION("""COMPUTED_VALUE"""),2.6)</f>
        <v>2.6</v>
      </c>
      <c r="D104" s="4">
        <f>IFERROR(__xludf.DUMMYFUNCTION("""COMPUTED_VALUE"""),2.1)</f>
        <v>2.1</v>
      </c>
      <c r="E104" s="4" t="str">
        <f>IFERROR(__xludf.DUMMYFUNCTION("""COMPUTED_VALUE"""),"Neto: 2,10 € (a partir de 1 uds.)")</f>
        <v>Neto: 2,10 € (a partir de 1 uds.)</v>
      </c>
    </row>
    <row r="105">
      <c r="A105" s="4" t="str">
        <f>IFERROR(__xludf.DUMMYFUNCTION("""COMPUTED_VALUE"""),"0208A")</f>
        <v>0208A</v>
      </c>
      <c r="B105" s="4" t="str">
        <f>IFERROR(__xludf.DUMMYFUNCTION("""COMPUTED_VALUE"""),"Cartel PVC 21x30 Fotolum. Comedor")</f>
        <v>Cartel PVC 21x30 Fotolum. Comedor</v>
      </c>
      <c r="C105" s="4">
        <f>IFERROR(__xludf.DUMMYFUNCTION("""COMPUTED_VALUE"""),2.52)</f>
        <v>2.52</v>
      </c>
      <c r="D105" s="4">
        <f>IFERROR(__xludf.DUMMYFUNCTION("""COMPUTED_VALUE"""),2.1)</f>
        <v>2.1</v>
      </c>
      <c r="E105" s="4" t="str">
        <f>IFERROR(__xludf.DUMMYFUNCTION("""COMPUTED_VALUE"""),"Neto: 2,10 € (a partir de 1 uds.)")</f>
        <v>Neto: 2,10 € (a partir de 1 uds.)</v>
      </c>
    </row>
    <row r="106">
      <c r="A106" s="4" t="str">
        <f>IFERROR(__xludf.DUMMYFUNCTION("""COMPUTED_VALUE"""),"0208B")</f>
        <v>0208B</v>
      </c>
      <c r="B106" s="4" t="str">
        <f>IFERROR(__xludf.DUMMYFUNCTION("""COMPUTED_VALUE"""),"Cartel PVC 40x30 Fotolum. Comedor")</f>
        <v>Cartel PVC 40x30 Fotolum. Comedor</v>
      </c>
      <c r="C106" s="4">
        <f>IFERROR(__xludf.DUMMYFUNCTION("""COMPUTED_VALUE"""),3.1)</f>
        <v>3.1</v>
      </c>
      <c r="D106" s="4">
        <f>IFERROR(__xludf.DUMMYFUNCTION("""COMPUTED_VALUE"""),3.2)</f>
        <v>3.2</v>
      </c>
      <c r="E106" s="4" t="str">
        <f>IFERROR(__xludf.DUMMYFUNCTION("""COMPUTED_VALUE"""),"Neto: 3,20 € (a partir de 1 uds.)")</f>
        <v>Neto: 3,20 € (a partir de 1 uds.)</v>
      </c>
    </row>
    <row r="107">
      <c r="A107" s="4" t="str">
        <f>IFERROR(__xludf.DUMMYFUNCTION("""COMPUTED_VALUE"""),"0209A")</f>
        <v>0209A</v>
      </c>
      <c r="B107" s="4" t="str">
        <f>IFERROR(__xludf.DUMMYFUNCTION("""COMPUTED_VALUE"""),"Cartel PVC 21x30 Fotolum. Vestuario")</f>
        <v>Cartel PVC 21x30 Fotolum. Vestuario</v>
      </c>
      <c r="C107" s="4">
        <f>IFERROR(__xludf.DUMMYFUNCTION("""COMPUTED_VALUE"""),2.52)</f>
        <v>2.52</v>
      </c>
      <c r="D107" s="4">
        <f>IFERROR(__xludf.DUMMYFUNCTION("""COMPUTED_VALUE"""),2.1)</f>
        <v>2.1</v>
      </c>
      <c r="E107" s="4" t="str">
        <f>IFERROR(__xludf.DUMMYFUNCTION("""COMPUTED_VALUE"""),"Neto: 2,10 € (a partir de 1 uds.)")</f>
        <v>Neto: 2,10 € (a partir de 1 uds.)</v>
      </c>
    </row>
    <row r="108">
      <c r="A108" s="4" t="str">
        <f>IFERROR(__xludf.DUMMYFUNCTION("""COMPUTED_VALUE"""),"0209B")</f>
        <v>0209B</v>
      </c>
      <c r="B108" s="4" t="str">
        <f>IFERROR(__xludf.DUMMYFUNCTION("""COMPUTED_VALUE"""),"Cartel PVC 40x30 Fotolum. Vestuario")</f>
        <v>Cartel PVC 40x30 Fotolum. Vestuario</v>
      </c>
      <c r="C108" s="4">
        <f>IFERROR(__xludf.DUMMYFUNCTION("""COMPUTED_VALUE"""),3.1)</f>
        <v>3.1</v>
      </c>
      <c r="D108" s="4">
        <f>IFERROR(__xludf.DUMMYFUNCTION("""COMPUTED_VALUE"""),3.2)</f>
        <v>3.2</v>
      </c>
      <c r="E108" s="4" t="str">
        <f>IFERROR(__xludf.DUMMYFUNCTION("""COMPUTED_VALUE"""),"Neto: 3,20 € (a partir de 1 uds.)")</f>
        <v>Neto: 3,20 € (a partir de 1 uds.)</v>
      </c>
    </row>
    <row r="109">
      <c r="A109" s="4" t="str">
        <f>IFERROR(__xludf.DUMMYFUNCTION("""COMPUTED_VALUE"""),"210")</f>
        <v>210</v>
      </c>
      <c r="B109" s="4" t="str">
        <f>IFERROR(__xludf.DUMMYFUNCTION("""COMPUTED_VALUE"""),"Cartel PVC 40x30 Riesgo electrico")</f>
        <v>Cartel PVC 40x30 Riesgo electrico</v>
      </c>
      <c r="C109" s="4">
        <f>IFERROR(__xludf.DUMMYFUNCTION("""COMPUTED_VALUE"""),2.48)</f>
        <v>2.48</v>
      </c>
      <c r="D109" s="4">
        <f>IFERROR(__xludf.DUMMYFUNCTION("""COMPUTED_VALUE"""),1.8)</f>
        <v>1.8</v>
      </c>
      <c r="E109" s="4" t="str">
        <f>IFERROR(__xludf.DUMMYFUNCTION("""COMPUTED_VALUE"""),"Neto: 1,80 € (a partir de 1 uds.)")</f>
        <v>Neto: 1,80 € (a partir de 1 uds.)</v>
      </c>
    </row>
    <row r="110">
      <c r="A110" s="4" t="str">
        <f>IFERROR(__xludf.DUMMYFUNCTION("""COMPUTED_VALUE"""),"0210P")</f>
        <v>0210P</v>
      </c>
      <c r="B110" s="4" t="str">
        <f>IFERROR(__xludf.DUMMYFUNCTION("""COMPUTED_VALUE"""),"Cartel PVC 21x29 RIESGO ELECTRICO")</f>
        <v>Cartel PVC 21x29 RIESGO ELECTRICO</v>
      </c>
      <c r="C110" s="4">
        <f>IFERROR(__xludf.DUMMYFUNCTION("""COMPUTED_VALUE"""),1.6)</f>
        <v>1.6</v>
      </c>
      <c r="D110" s="4">
        <f>IFERROR(__xludf.DUMMYFUNCTION("""COMPUTED_VALUE"""),1.2)</f>
        <v>1.2</v>
      </c>
      <c r="E110" s="4" t="str">
        <f>IFERROR(__xludf.DUMMYFUNCTION("""COMPUTED_VALUE"""),"Neto: 1,20 € (a partir de 1 uds.)")</f>
        <v>Neto: 1,20 € (a partir de 1 uds.)</v>
      </c>
    </row>
    <row r="111">
      <c r="A111" s="4" t="str">
        <f>IFERROR(__xludf.DUMMYFUNCTION("""COMPUTED_VALUE"""),"211")</f>
        <v>211</v>
      </c>
      <c r="B111" s="4" t="str">
        <f>IFERROR(__xludf.DUMMYFUNCTION("""COMPUTED_VALUE"""),"Cartel PVC 40x30 Carga suspendida")</f>
        <v>Cartel PVC 40x30 Carga suspendida</v>
      </c>
      <c r="C111" s="4">
        <f>IFERROR(__xludf.DUMMYFUNCTION("""COMPUTED_VALUE"""),2.48)</f>
        <v>2.48</v>
      </c>
      <c r="D111" s="4">
        <f>IFERROR(__xludf.DUMMYFUNCTION("""COMPUTED_VALUE"""),1.8)</f>
        <v>1.8</v>
      </c>
      <c r="E111" s="4" t="str">
        <f>IFERROR(__xludf.DUMMYFUNCTION("""COMPUTED_VALUE"""),"Neto: 1,80 € (a partir de 1 uds.)")</f>
        <v>Neto: 1,80 € (a partir de 1 uds.)</v>
      </c>
    </row>
    <row r="112">
      <c r="A112" s="4" t="str">
        <f>IFERROR(__xludf.DUMMYFUNCTION("""COMPUTED_VALUE"""),"0211P")</f>
        <v>0211P</v>
      </c>
      <c r="B112" s="4" t="str">
        <f>IFERROR(__xludf.DUMMYFUNCTION("""COMPUTED_VALUE"""),"Cartel PVC 21x29 RIESGO CARGA SUSPENDIDA")</f>
        <v>Cartel PVC 21x29 RIESGO CARGA SUSPENDIDA</v>
      </c>
      <c r="C112" s="4">
        <f>IFERROR(__xludf.DUMMYFUNCTION("""COMPUTED_VALUE"""),1.6)</f>
        <v>1.6</v>
      </c>
      <c r="D112" s="4">
        <f>IFERROR(__xludf.DUMMYFUNCTION("""COMPUTED_VALUE"""),1.2)</f>
        <v>1.2</v>
      </c>
      <c r="E112" s="4" t="str">
        <f>IFERROR(__xludf.DUMMYFUNCTION("""COMPUTED_VALUE"""),"Neto: 1,20 € (a partir de 1 uds.)")</f>
        <v>Neto: 1,20 € (a partir de 1 uds.)</v>
      </c>
    </row>
    <row r="113">
      <c r="A113" s="4" t="str">
        <f>IFERROR(__xludf.DUMMYFUNCTION("""COMPUTED_VALUE"""),"212")</f>
        <v>212</v>
      </c>
      <c r="B113" s="4" t="str">
        <f>IFERROR(__xludf.DUMMYFUNCTION("""COMPUTED_VALUE"""),"Cartel PVC 40x30 Materias corrosivas")</f>
        <v>Cartel PVC 40x30 Materias corrosivas</v>
      </c>
      <c r="C113" s="4">
        <f>IFERROR(__xludf.DUMMYFUNCTION("""COMPUTED_VALUE"""),2.48)</f>
        <v>2.48</v>
      </c>
      <c r="D113" s="4">
        <f>IFERROR(__xludf.DUMMYFUNCTION("""COMPUTED_VALUE"""),1.8)</f>
        <v>1.8</v>
      </c>
      <c r="E113" s="4" t="str">
        <f>IFERROR(__xludf.DUMMYFUNCTION("""COMPUTED_VALUE"""),"Neto: 1,80 € (a partir de 1 uds.)")</f>
        <v>Neto: 1,80 € (a partir de 1 uds.)</v>
      </c>
    </row>
    <row r="114">
      <c r="A114" s="4" t="str">
        <f>IFERROR(__xludf.DUMMYFUNCTION("""COMPUTED_VALUE"""),"0212P")</f>
        <v>0212P</v>
      </c>
      <c r="B114" s="4" t="str">
        <f>IFERROR(__xludf.DUMMYFUNCTION("""COMPUTED_VALUE"""),"Cartel PVC 21x29 RIESGO MATERIAS CORROSIVAS")</f>
        <v>Cartel PVC 21x29 RIESGO MATERIAS CORROSIVAS</v>
      </c>
      <c r="C114" s="4">
        <f>IFERROR(__xludf.DUMMYFUNCTION("""COMPUTED_VALUE"""),1.6)</f>
        <v>1.6</v>
      </c>
      <c r="D114" s="4">
        <f>IFERROR(__xludf.DUMMYFUNCTION("""COMPUTED_VALUE"""),1.2)</f>
        <v>1.2</v>
      </c>
      <c r="E114" s="4" t="str">
        <f>IFERROR(__xludf.DUMMYFUNCTION("""COMPUTED_VALUE"""),"Neto: 1,20 € (a partir de 1 uds.)")</f>
        <v>Neto: 1,20 € (a partir de 1 uds.)</v>
      </c>
    </row>
    <row r="115">
      <c r="A115" s="4" t="str">
        <f>IFERROR(__xludf.DUMMYFUNCTION("""COMPUTED_VALUE"""),"213")</f>
        <v>213</v>
      </c>
      <c r="B115" s="4" t="str">
        <f>IFERROR(__xludf.DUMMYFUNCTION("""COMPUTED_VALUE"""),"Cartel PVC 40x30 Vehículo Manutención")</f>
        <v>Cartel PVC 40x30 Vehículo Manutención</v>
      </c>
      <c r="C115" s="4">
        <f>IFERROR(__xludf.DUMMYFUNCTION("""COMPUTED_VALUE"""),2.48)</f>
        <v>2.48</v>
      </c>
      <c r="D115" s="4">
        <f>IFERROR(__xludf.DUMMYFUNCTION("""COMPUTED_VALUE"""),1.8)</f>
        <v>1.8</v>
      </c>
      <c r="E115" s="4" t="str">
        <f>IFERROR(__xludf.DUMMYFUNCTION("""COMPUTED_VALUE"""),"Neto: 1,80 € (a partir de 1 uds.)")</f>
        <v>Neto: 1,80 € (a partir de 1 uds.)</v>
      </c>
    </row>
    <row r="116">
      <c r="A116" s="4" t="str">
        <f>IFERROR(__xludf.DUMMYFUNCTION("""COMPUTED_VALUE"""),"0213P")</f>
        <v>0213P</v>
      </c>
      <c r="B116" s="4" t="str">
        <f>IFERROR(__xludf.DUMMYFUNCTION("""COMPUTED_VALUE"""),"Cartel PVC 21x29 VEHICULOS DE MANUTENCION")</f>
        <v>Cartel PVC 21x29 VEHICULOS DE MANUTENCION</v>
      </c>
      <c r="C116" s="4">
        <f>IFERROR(__xludf.DUMMYFUNCTION("""COMPUTED_VALUE"""),1.6)</f>
        <v>1.6</v>
      </c>
      <c r="D116" s="4">
        <f>IFERROR(__xludf.DUMMYFUNCTION("""COMPUTED_VALUE"""),1.2)</f>
        <v>1.2</v>
      </c>
      <c r="E116" s="4" t="str">
        <f>IFERROR(__xludf.DUMMYFUNCTION("""COMPUTED_VALUE"""),"Neto: 1,20 € (a partir de 1 uds.)")</f>
        <v>Neto: 1,20 € (a partir de 1 uds.)</v>
      </c>
    </row>
    <row r="117">
      <c r="A117" s="4" t="str">
        <f>IFERROR(__xludf.DUMMYFUNCTION("""COMPUTED_VALUE"""),"214")</f>
        <v>214</v>
      </c>
      <c r="B117" s="4" t="str">
        <f>IFERROR(__xludf.DUMMYFUNCTION("""COMPUTED_VALUE"""),"Cartel PVC 40x30 Caida distinto nivel")</f>
        <v>Cartel PVC 40x30 Caida distinto nivel</v>
      </c>
      <c r="C117" s="4">
        <f>IFERROR(__xludf.DUMMYFUNCTION("""COMPUTED_VALUE"""),2.48)</f>
        <v>2.48</v>
      </c>
      <c r="D117" s="4">
        <f>IFERROR(__xludf.DUMMYFUNCTION("""COMPUTED_VALUE"""),1.8)</f>
        <v>1.8</v>
      </c>
      <c r="E117" s="4" t="str">
        <f>IFERROR(__xludf.DUMMYFUNCTION("""COMPUTED_VALUE"""),"Neto: 1,80 € (a partir de 1 uds.)")</f>
        <v>Neto: 1,80 € (a partir de 1 uds.)</v>
      </c>
    </row>
    <row r="118">
      <c r="A118" s="4" t="str">
        <f>IFERROR(__xludf.DUMMYFUNCTION("""COMPUTED_VALUE"""),"0214P")</f>
        <v>0214P</v>
      </c>
      <c r="B118" s="4" t="str">
        <f>IFERROR(__xludf.DUMMYFUNCTION("""COMPUTED_VALUE"""),"Cartel PVC 21x29 CAIDA A DISTINTO NIVEL")</f>
        <v>Cartel PVC 21x29 CAIDA A DISTINTO NIVEL</v>
      </c>
      <c r="C118" s="4">
        <f>IFERROR(__xludf.DUMMYFUNCTION("""COMPUTED_VALUE"""),1.6)</f>
        <v>1.6</v>
      </c>
      <c r="D118" s="4">
        <f>IFERROR(__xludf.DUMMYFUNCTION("""COMPUTED_VALUE"""),1.2)</f>
        <v>1.2</v>
      </c>
      <c r="E118" s="4" t="str">
        <f>IFERROR(__xludf.DUMMYFUNCTION("""COMPUTED_VALUE"""),"Neto: 1,20 € (a partir de 1 uds.)")</f>
        <v>Neto: 1,20 € (a partir de 1 uds.)</v>
      </c>
    </row>
    <row r="119">
      <c r="A119" s="4" t="str">
        <f>IFERROR(__xludf.DUMMYFUNCTION("""COMPUTED_VALUE"""),"215")</f>
        <v>215</v>
      </c>
      <c r="B119" s="4" t="str">
        <f>IFERROR(__xludf.DUMMYFUNCTION("""COMPUTED_VALUE"""),"Cartel PVC 40x30 Riesgo tropezar")</f>
        <v>Cartel PVC 40x30 Riesgo tropezar</v>
      </c>
      <c r="C119" s="4">
        <f>IFERROR(__xludf.DUMMYFUNCTION("""COMPUTED_VALUE"""),2.48)</f>
        <v>2.48</v>
      </c>
      <c r="D119" s="4">
        <f>IFERROR(__xludf.DUMMYFUNCTION("""COMPUTED_VALUE"""),1.8)</f>
        <v>1.8</v>
      </c>
      <c r="E119" s="4" t="str">
        <f>IFERROR(__xludf.DUMMYFUNCTION("""COMPUTED_VALUE"""),"Neto: 1,80 € (a partir de 1 uds.)")</f>
        <v>Neto: 1,80 € (a partir de 1 uds.)</v>
      </c>
    </row>
    <row r="120">
      <c r="A120" s="4" t="str">
        <f>IFERROR(__xludf.DUMMYFUNCTION("""COMPUTED_VALUE"""),"0215P")</f>
        <v>0215P</v>
      </c>
      <c r="B120" s="4" t="str">
        <f>IFERROR(__xludf.DUMMYFUNCTION("""COMPUTED_VALUE"""),"Cartel PVC 21x29 RIESGO DE TROPEZAR")</f>
        <v>Cartel PVC 21x29 RIESGO DE TROPEZAR</v>
      </c>
      <c r="C120" s="4">
        <f>IFERROR(__xludf.DUMMYFUNCTION("""COMPUTED_VALUE"""),1.6)</f>
        <v>1.6</v>
      </c>
      <c r="D120" s="4">
        <f>IFERROR(__xludf.DUMMYFUNCTION("""COMPUTED_VALUE"""),1.2)</f>
        <v>1.2</v>
      </c>
      <c r="E120" s="4" t="str">
        <f>IFERROR(__xludf.DUMMYFUNCTION("""COMPUTED_VALUE"""),"Neto: 1,20 € (a partir de 1 uds.)")</f>
        <v>Neto: 1,20 € (a partir de 1 uds.)</v>
      </c>
    </row>
    <row r="121">
      <c r="A121" s="4" t="str">
        <f>IFERROR(__xludf.DUMMYFUNCTION("""COMPUTED_VALUE"""),"216")</f>
        <v>216</v>
      </c>
      <c r="B121" s="4" t="str">
        <f>IFERROR(__xludf.DUMMYFUNCTION("""COMPUTED_VALUE"""),"Cartel PVC 40x30 Materias comburentes")</f>
        <v>Cartel PVC 40x30 Materias comburentes</v>
      </c>
      <c r="C121" s="4">
        <f>IFERROR(__xludf.DUMMYFUNCTION("""COMPUTED_VALUE"""),2.48)</f>
        <v>2.48</v>
      </c>
      <c r="D121" s="4">
        <f>IFERROR(__xludf.DUMMYFUNCTION("""COMPUTED_VALUE"""),1.8)</f>
        <v>1.8</v>
      </c>
      <c r="E121" s="4" t="str">
        <f>IFERROR(__xludf.DUMMYFUNCTION("""COMPUTED_VALUE"""),"Neto: 1,80 € (a partir de 1 uds.)")</f>
        <v>Neto: 1,80 € (a partir de 1 uds.)</v>
      </c>
    </row>
    <row r="122">
      <c r="A122" s="4" t="str">
        <f>IFERROR(__xludf.DUMMYFUNCTION("""COMPUTED_VALUE"""),"0216P")</f>
        <v>0216P</v>
      </c>
      <c r="B122" s="4" t="str">
        <f>IFERROR(__xludf.DUMMYFUNCTION("""COMPUTED_VALUE"""),"Cartel PVC 21x29 MATERIAS COMBURENTES")</f>
        <v>Cartel PVC 21x29 MATERIAS COMBURENTES</v>
      </c>
      <c r="C122" s="4">
        <f>IFERROR(__xludf.DUMMYFUNCTION("""COMPUTED_VALUE"""),1.6)</f>
        <v>1.6</v>
      </c>
      <c r="D122" s="4">
        <f>IFERROR(__xludf.DUMMYFUNCTION("""COMPUTED_VALUE"""),1.2)</f>
        <v>1.2</v>
      </c>
      <c r="E122" s="4" t="str">
        <f>IFERROR(__xludf.DUMMYFUNCTION("""COMPUTED_VALUE"""),"Neto: 1,20 € (a partir de 1 uds.)")</f>
        <v>Neto: 1,20 € (a partir de 1 uds.)</v>
      </c>
    </row>
    <row r="123">
      <c r="A123" s="4" t="str">
        <f>IFERROR(__xludf.DUMMYFUNCTION("""COMPUTED_VALUE"""),"217")</f>
        <v>217</v>
      </c>
      <c r="B123" s="4" t="str">
        <f>IFERROR(__xludf.DUMMYFUNCTION("""COMPUTED_VALUE"""),"Cartel PVC 40x30 Materias Toxicas")</f>
        <v>Cartel PVC 40x30 Materias Toxicas</v>
      </c>
      <c r="C123" s="4">
        <f>IFERROR(__xludf.DUMMYFUNCTION("""COMPUTED_VALUE"""),2.48)</f>
        <v>2.48</v>
      </c>
      <c r="D123" s="4">
        <f>IFERROR(__xludf.DUMMYFUNCTION("""COMPUTED_VALUE"""),1.8)</f>
        <v>1.8</v>
      </c>
      <c r="E123" s="4" t="str">
        <f>IFERROR(__xludf.DUMMYFUNCTION("""COMPUTED_VALUE"""),"Neto: 1,80 € (a partir de 1 uds.)")</f>
        <v>Neto: 1,80 € (a partir de 1 uds.)</v>
      </c>
    </row>
    <row r="124">
      <c r="A124" s="4" t="str">
        <f>IFERROR(__xludf.DUMMYFUNCTION("""COMPUTED_VALUE"""),"0217P")</f>
        <v>0217P</v>
      </c>
      <c r="B124" s="4" t="str">
        <f>IFERROR(__xludf.DUMMYFUNCTION("""COMPUTED_VALUE"""),"Cartel PVC 21x29 MATERIAS TOXICAS")</f>
        <v>Cartel PVC 21x29 MATERIAS TOXICAS</v>
      </c>
      <c r="C124" s="4">
        <f>IFERROR(__xludf.DUMMYFUNCTION("""COMPUTED_VALUE"""),1.6)</f>
        <v>1.6</v>
      </c>
      <c r="D124" s="4">
        <f>IFERROR(__xludf.DUMMYFUNCTION("""COMPUTED_VALUE"""),1.2)</f>
        <v>1.2</v>
      </c>
      <c r="E124" s="4" t="str">
        <f>IFERROR(__xludf.DUMMYFUNCTION("""COMPUTED_VALUE"""),"Neto: 1,20 € (a partir de 1 uds.)")</f>
        <v>Neto: 1,20 € (a partir de 1 uds.)</v>
      </c>
    </row>
    <row r="125">
      <c r="A125" s="4" t="str">
        <f>IFERROR(__xludf.DUMMYFUNCTION("""COMPUTED_VALUE"""),"218")</f>
        <v>218</v>
      </c>
      <c r="B125" s="4" t="str">
        <f>IFERROR(__xludf.DUMMYFUNCTION("""COMPUTED_VALUE"""),"Cartel PVC 40x30 Campo Magnetico")</f>
        <v>Cartel PVC 40x30 Campo Magnetico</v>
      </c>
      <c r="C125" s="4">
        <f>IFERROR(__xludf.DUMMYFUNCTION("""COMPUTED_VALUE"""),2.48)</f>
        <v>2.48</v>
      </c>
      <c r="D125" s="4">
        <f>IFERROR(__xludf.DUMMYFUNCTION("""COMPUTED_VALUE"""),1.8)</f>
        <v>1.8</v>
      </c>
      <c r="E125" s="4" t="str">
        <f>IFERROR(__xludf.DUMMYFUNCTION("""COMPUTED_VALUE"""),"Neto: 1,80 € (a partir de 1 uds.)")</f>
        <v>Neto: 1,80 € (a partir de 1 uds.)</v>
      </c>
    </row>
    <row r="126">
      <c r="A126" s="4" t="str">
        <f>IFERROR(__xludf.DUMMYFUNCTION("""COMPUTED_VALUE"""),"0218P")</f>
        <v>0218P</v>
      </c>
      <c r="B126" s="4" t="str">
        <f>IFERROR(__xludf.DUMMYFUNCTION("""COMPUTED_VALUE"""),"Cartel PVC 21x29 CAMPO MAGNETICO INTENSO")</f>
        <v>Cartel PVC 21x29 CAMPO MAGNETICO INTENSO</v>
      </c>
      <c r="C126" s="4">
        <f>IFERROR(__xludf.DUMMYFUNCTION("""COMPUTED_VALUE"""),1.6)</f>
        <v>1.6</v>
      </c>
      <c r="D126" s="4">
        <f>IFERROR(__xludf.DUMMYFUNCTION("""COMPUTED_VALUE"""),1.2)</f>
        <v>1.2</v>
      </c>
      <c r="E126" s="4" t="str">
        <f>IFERROR(__xludf.DUMMYFUNCTION("""COMPUTED_VALUE"""),"Neto: 1,20 € (a partir de 1 uds.)")</f>
        <v>Neto: 1,20 € (a partir de 1 uds.)</v>
      </c>
    </row>
    <row r="127">
      <c r="A127" s="4" t="str">
        <f>IFERROR(__xludf.DUMMYFUNCTION("""COMPUTED_VALUE"""),"219")</f>
        <v>219</v>
      </c>
      <c r="B127" s="4" t="str">
        <f>IFERROR(__xludf.DUMMYFUNCTION("""COMPUTED_VALUE"""),"Cartel PVC 40x30 Materias Inflamables")</f>
        <v>Cartel PVC 40x30 Materias Inflamables</v>
      </c>
      <c r="C127" s="4">
        <f>IFERROR(__xludf.DUMMYFUNCTION("""COMPUTED_VALUE"""),2.48)</f>
        <v>2.48</v>
      </c>
      <c r="D127" s="4">
        <f>IFERROR(__xludf.DUMMYFUNCTION("""COMPUTED_VALUE"""),1.8)</f>
        <v>1.8</v>
      </c>
      <c r="E127" s="4" t="str">
        <f>IFERROR(__xludf.DUMMYFUNCTION("""COMPUTED_VALUE"""),"Neto: 1,80 € (a partir de 1 uds.)")</f>
        <v>Neto: 1,80 € (a partir de 1 uds.)</v>
      </c>
    </row>
    <row r="128">
      <c r="A128" s="4" t="str">
        <f>IFERROR(__xludf.DUMMYFUNCTION("""COMPUTED_VALUE"""),"0219P")</f>
        <v>0219P</v>
      </c>
      <c r="B128" s="4" t="str">
        <f>IFERROR(__xludf.DUMMYFUNCTION("""COMPUTED_VALUE"""),"Cartel PVC 21x29 MATERIAS INFLAMABLES")</f>
        <v>Cartel PVC 21x29 MATERIAS INFLAMABLES</v>
      </c>
      <c r="C128" s="4">
        <f>IFERROR(__xludf.DUMMYFUNCTION("""COMPUTED_VALUE"""),1.6)</f>
        <v>1.6</v>
      </c>
      <c r="D128" s="4">
        <f>IFERROR(__xludf.DUMMYFUNCTION("""COMPUTED_VALUE"""),1.2)</f>
        <v>1.2</v>
      </c>
      <c r="E128" s="4" t="str">
        <f>IFERROR(__xludf.DUMMYFUNCTION("""COMPUTED_VALUE"""),"Neto: 1,20 € (a partir de 1 uds.)")</f>
        <v>Neto: 1,20 € (a partir de 1 uds.)</v>
      </c>
    </row>
    <row r="129">
      <c r="A129" s="4" t="str">
        <f>IFERROR(__xludf.DUMMYFUNCTION("""COMPUTED_VALUE"""),"220")</f>
        <v>220</v>
      </c>
      <c r="B129" s="4" t="str">
        <f>IFERROR(__xludf.DUMMYFUNCTION("""COMPUTED_VALUE"""),"Cartel PVC 40x30 OBLIG.USO CASC+")</f>
        <v>Cartel PVC 40x30 OBLIG.USO CASC+</v>
      </c>
      <c r="C129" s="4">
        <f>IFERROR(__xludf.DUMMYFUNCTION("""COMPUTED_VALUE"""),2.48)</f>
        <v>2.48</v>
      </c>
      <c r="D129" s="4">
        <f>IFERROR(__xludf.DUMMYFUNCTION("""COMPUTED_VALUE"""),1.8)</f>
        <v>1.8</v>
      </c>
      <c r="E129" s="4" t="str">
        <f>IFERROR(__xludf.DUMMYFUNCTION("""COMPUTED_VALUE"""),"Neto: 1,80 € (a partir de 1 uds.)")</f>
        <v>Neto: 1,80 € (a partir de 1 uds.)</v>
      </c>
    </row>
    <row r="130">
      <c r="A130" s="4" t="str">
        <f>IFERROR(__xludf.DUMMYFUNCTION("""COMPUTED_VALUE"""),"0220P")</f>
        <v>0220P</v>
      </c>
      <c r="B130" s="4" t="str">
        <f>IFERROR(__xludf.DUMMYFUNCTION("""COMPUTED_VALUE"""),"Cartel PVC 21x29 USO OBLIGATORIO DEL CASCO")</f>
        <v>Cartel PVC 21x29 USO OBLIGATORIO DEL CASCO</v>
      </c>
      <c r="C130" s="4">
        <f>IFERROR(__xludf.DUMMYFUNCTION("""COMPUTED_VALUE"""),1.6)</f>
        <v>1.6</v>
      </c>
      <c r="D130" s="4">
        <f>IFERROR(__xludf.DUMMYFUNCTION("""COMPUTED_VALUE"""),1.2)</f>
        <v>1.2</v>
      </c>
      <c r="E130" s="4" t="str">
        <f>IFERROR(__xludf.DUMMYFUNCTION("""COMPUTED_VALUE"""),"Neto: 1,20 € (a partir de 1 uds.)")</f>
        <v>Neto: 1,20 € (a partir de 1 uds.)</v>
      </c>
    </row>
    <row r="131">
      <c r="A131" s="4" t="str">
        <f>IFERROR(__xludf.DUMMYFUNCTION("""COMPUTED_VALUE"""),"221")</f>
        <v>221</v>
      </c>
      <c r="B131" s="4" t="str">
        <f>IFERROR(__xludf.DUMMYFUNCTION("""COMPUTED_VALUE"""),"Cartel PVC 40x30 OBLIG.USO BOTA+")</f>
        <v>Cartel PVC 40x30 OBLIG.USO BOTA+</v>
      </c>
      <c r="C131" s="4">
        <f>IFERROR(__xludf.DUMMYFUNCTION("""COMPUTED_VALUE"""),2.48)</f>
        <v>2.48</v>
      </c>
      <c r="D131" s="4">
        <f>IFERROR(__xludf.DUMMYFUNCTION("""COMPUTED_VALUE"""),1.8)</f>
        <v>1.8</v>
      </c>
      <c r="E131" s="4" t="str">
        <f>IFERROR(__xludf.DUMMYFUNCTION("""COMPUTED_VALUE"""),"Neto: 1,80 € (a partir de 1 uds.)")</f>
        <v>Neto: 1,80 € (a partir de 1 uds.)</v>
      </c>
    </row>
    <row r="132">
      <c r="A132" s="4" t="str">
        <f>IFERROR(__xludf.DUMMYFUNCTION("""COMPUTED_VALUE"""),"0221P")</f>
        <v>0221P</v>
      </c>
      <c r="B132" s="4" t="str">
        <f>IFERROR(__xludf.DUMMYFUNCTION("""COMPUTED_VALUE"""),"Cartel PVC 21x29 USO OBLIGATORIO DE LAS BOTAS")</f>
        <v>Cartel PVC 21x29 USO OBLIGATORIO DE LAS BOTAS</v>
      </c>
      <c r="C132" s="4">
        <f>IFERROR(__xludf.DUMMYFUNCTION("""COMPUTED_VALUE"""),1.6)</f>
        <v>1.6</v>
      </c>
      <c r="D132" s="4">
        <f>IFERROR(__xludf.DUMMYFUNCTION("""COMPUTED_VALUE"""),1.2)</f>
        <v>1.2</v>
      </c>
      <c r="E132" s="4" t="str">
        <f>IFERROR(__xludf.DUMMYFUNCTION("""COMPUTED_VALUE"""),"Neto: 1,20 € (a partir de 1 uds.)")</f>
        <v>Neto: 1,20 € (a partir de 1 uds.)</v>
      </c>
    </row>
    <row r="133">
      <c r="A133" s="4" t="str">
        <f>IFERROR(__xludf.DUMMYFUNCTION("""COMPUTED_VALUE"""),"222")</f>
        <v>222</v>
      </c>
      <c r="B133" s="4" t="str">
        <f>IFERROR(__xludf.DUMMYFUNCTION("""COMPUTED_VALUE"""),"Cartel PVC 40x30 OBLIG.USO GUAN+E")</f>
        <v>Cartel PVC 40x30 OBLIG.USO GUAN+E</v>
      </c>
      <c r="C133" s="4">
        <f>IFERROR(__xludf.DUMMYFUNCTION("""COMPUTED_VALUE"""),2.48)</f>
        <v>2.48</v>
      </c>
      <c r="D133" s="4">
        <f>IFERROR(__xludf.DUMMYFUNCTION("""COMPUTED_VALUE"""),1.8)</f>
        <v>1.8</v>
      </c>
      <c r="E133" s="4" t="str">
        <f>IFERROR(__xludf.DUMMYFUNCTION("""COMPUTED_VALUE"""),"Neto: 1,80 € (a partir de 1 uds.)")</f>
        <v>Neto: 1,80 € (a partir de 1 uds.)</v>
      </c>
    </row>
    <row r="134">
      <c r="A134" s="4" t="str">
        <f>IFERROR(__xludf.DUMMYFUNCTION("""COMPUTED_VALUE"""),"0222P")</f>
        <v>0222P</v>
      </c>
      <c r="B134" s="4" t="str">
        <f>IFERROR(__xludf.DUMMYFUNCTION("""COMPUTED_VALUE"""),"Cartel PVC 21x29 USO OBLIGATORIO DE GUANTES")</f>
        <v>Cartel PVC 21x29 USO OBLIGATORIO DE GUANTES</v>
      </c>
      <c r="C134" s="4">
        <f>IFERROR(__xludf.DUMMYFUNCTION("""COMPUTED_VALUE"""),1.6)</f>
        <v>1.6</v>
      </c>
      <c r="D134" s="4">
        <f>IFERROR(__xludf.DUMMYFUNCTION("""COMPUTED_VALUE"""),1.2)</f>
        <v>1.2</v>
      </c>
      <c r="E134" s="4" t="str">
        <f>IFERROR(__xludf.DUMMYFUNCTION("""COMPUTED_VALUE"""),"Neto: 1,20 € (a partir de 1 uds.)")</f>
        <v>Neto: 1,20 € (a partir de 1 uds.)</v>
      </c>
    </row>
    <row r="135">
      <c r="A135" s="4" t="str">
        <f>IFERROR(__xludf.DUMMYFUNCTION("""COMPUTED_VALUE"""),"223")</f>
        <v>223</v>
      </c>
      <c r="B135" s="4" t="str">
        <f>IFERROR(__xludf.DUMMYFUNCTION("""COMPUTED_VALUE"""),"Cartel PVC 40x30 OBLIG.PROT.ACU+T")</f>
        <v>Cartel PVC 40x30 OBLIG.PROT.ACU+T</v>
      </c>
      <c r="C135" s="4">
        <f>IFERROR(__xludf.DUMMYFUNCTION("""COMPUTED_VALUE"""),2.48)</f>
        <v>2.48</v>
      </c>
      <c r="D135" s="4">
        <f>IFERROR(__xludf.DUMMYFUNCTION("""COMPUTED_VALUE"""),1.8)</f>
        <v>1.8</v>
      </c>
      <c r="E135" s="4" t="str">
        <f>IFERROR(__xludf.DUMMYFUNCTION("""COMPUTED_VALUE"""),"Neto: 1,80 € (a partir de 1 uds.)")</f>
        <v>Neto: 1,80 € (a partir de 1 uds.)</v>
      </c>
    </row>
    <row r="136">
      <c r="A136" s="4" t="str">
        <f>IFERROR(__xludf.DUMMYFUNCTION("""COMPUTED_VALUE"""),"0223P")</f>
        <v>0223P</v>
      </c>
      <c r="B136" s="4" t="str">
        <f>IFERROR(__xludf.DUMMYFUNCTION("""COMPUTED_VALUE"""),"Cartel PVC 21x29 USO OBLIGATORIO PROTECCION")</f>
        <v>Cartel PVC 21x29 USO OBLIGATORIO PROTECCION</v>
      </c>
      <c r="C136" s="4">
        <f>IFERROR(__xludf.DUMMYFUNCTION("""COMPUTED_VALUE"""),1.6)</f>
        <v>1.6</v>
      </c>
      <c r="D136" s="4">
        <f>IFERROR(__xludf.DUMMYFUNCTION("""COMPUTED_VALUE"""),1.2)</f>
        <v>1.2</v>
      </c>
      <c r="E136" s="4" t="str">
        <f>IFERROR(__xludf.DUMMYFUNCTION("""COMPUTED_VALUE"""),"Neto: 1,20 € (a partir de 1 uds.)")</f>
        <v>Neto: 1,20 € (a partir de 1 uds.)</v>
      </c>
    </row>
    <row r="137">
      <c r="A137" s="4" t="str">
        <f>IFERROR(__xludf.DUMMYFUNCTION("""COMPUTED_VALUE"""),"224")</f>
        <v>224</v>
      </c>
      <c r="B137" s="4" t="str">
        <f>IFERROR(__xludf.DUMMYFUNCTION("""COMPUTED_VALUE"""),"Cartel PVC 40x30 OBLIG.USO MASC +")</f>
        <v>Cartel PVC 40x30 OBLIG.USO MASC +</v>
      </c>
      <c r="C137" s="4">
        <f>IFERROR(__xludf.DUMMYFUNCTION("""COMPUTED_VALUE"""),2.48)</f>
        <v>2.48</v>
      </c>
      <c r="D137" s="4">
        <f>IFERROR(__xludf.DUMMYFUNCTION("""COMPUTED_VALUE"""),1.8)</f>
        <v>1.8</v>
      </c>
      <c r="E137" s="4" t="str">
        <f>IFERROR(__xludf.DUMMYFUNCTION("""COMPUTED_VALUE"""),"Neto: 1,80 € (a partir de 1 uds.)")</f>
        <v>Neto: 1,80 € (a partir de 1 uds.)</v>
      </c>
    </row>
    <row r="138">
      <c r="A138" s="4" t="str">
        <f>IFERROR(__xludf.DUMMYFUNCTION("""COMPUTED_VALUE"""),"0224P")</f>
        <v>0224P</v>
      </c>
      <c r="B138" s="4" t="str">
        <f>IFERROR(__xludf.DUMMYFUNCTION("""COMPUTED_VALUE"""),"Cartel PVC 21x29 OBLIGATORIO EL USO DE LA MASCARA")</f>
        <v>Cartel PVC 21x29 OBLIGATORIO EL USO DE LA MASCARA</v>
      </c>
      <c r="C138" s="4">
        <f>IFERROR(__xludf.DUMMYFUNCTION("""COMPUTED_VALUE"""),1.6)</f>
        <v>1.6</v>
      </c>
      <c r="D138" s="4">
        <f>IFERROR(__xludf.DUMMYFUNCTION("""COMPUTED_VALUE"""),1.2)</f>
        <v>1.2</v>
      </c>
      <c r="E138" s="4" t="str">
        <f>IFERROR(__xludf.DUMMYFUNCTION("""COMPUTED_VALUE"""),"Neto: 1,20 € (a partir de 1 uds.)")</f>
        <v>Neto: 1,20 € (a partir de 1 uds.)</v>
      </c>
    </row>
    <row r="139">
      <c r="A139" s="4" t="str">
        <f>IFERROR(__xludf.DUMMYFUNCTION("""COMPUTED_VALUE"""),"225")</f>
        <v>225</v>
      </c>
      <c r="B139" s="4" t="str">
        <f>IFERROR(__xludf.DUMMYFUNCTION("""COMPUTED_VALUE"""),"Cartel PVC 40x30 OBLIG.PANT.PRO+E")</f>
        <v>Cartel PVC 40x30 OBLIG.PANT.PRO+E</v>
      </c>
      <c r="C139" s="4">
        <f>IFERROR(__xludf.DUMMYFUNCTION("""COMPUTED_VALUE"""),2.48)</f>
        <v>2.48</v>
      </c>
      <c r="D139" s="4">
        <f>IFERROR(__xludf.DUMMYFUNCTION("""COMPUTED_VALUE"""),1.8)</f>
        <v>1.8</v>
      </c>
      <c r="E139" s="4" t="str">
        <f>IFERROR(__xludf.DUMMYFUNCTION("""COMPUTED_VALUE"""),"Neto: 1,80 € (a partir de 1 uds.)")</f>
        <v>Neto: 1,80 € (a partir de 1 uds.)</v>
      </c>
    </row>
    <row r="140">
      <c r="A140" s="4" t="str">
        <f>IFERROR(__xludf.DUMMYFUNCTION("""COMPUTED_VALUE"""),"0225P")</f>
        <v>0225P</v>
      </c>
      <c r="B140" s="4" t="str">
        <f>IFERROR(__xludf.DUMMYFUNCTION("""COMPUTED_VALUE"""),"Cartel PVC 21x29 OBLIGATORIO USO PANTALLA")</f>
        <v>Cartel PVC 21x29 OBLIGATORIO USO PANTALLA</v>
      </c>
      <c r="C140" s="4">
        <f>IFERROR(__xludf.DUMMYFUNCTION("""COMPUTED_VALUE"""),1.6)</f>
        <v>1.6</v>
      </c>
      <c r="D140" s="4">
        <f>IFERROR(__xludf.DUMMYFUNCTION("""COMPUTED_VALUE"""),1.2)</f>
        <v>1.2</v>
      </c>
      <c r="E140" s="4" t="str">
        <f>IFERROR(__xludf.DUMMYFUNCTION("""COMPUTED_VALUE"""),"Neto: 1,20 € (a partir de 1 uds.)")</f>
        <v>Neto: 1,20 € (a partir de 1 uds.)</v>
      </c>
    </row>
    <row r="141">
      <c r="A141" s="4" t="str">
        <f>IFERROR(__xludf.DUMMYFUNCTION("""COMPUTED_VALUE"""),"226")</f>
        <v>226</v>
      </c>
      <c r="B141" s="4" t="str">
        <f>IFERROR(__xludf.DUMMYFUNCTION("""COMPUTED_VALUE"""),"Cartel PVC 40x30 OBLIG.GAFAS PROT")</f>
        <v>Cartel PVC 40x30 OBLIG.GAFAS PROT</v>
      </c>
      <c r="C141" s="4">
        <f>IFERROR(__xludf.DUMMYFUNCTION("""COMPUTED_VALUE"""),2.48)</f>
        <v>2.48</v>
      </c>
      <c r="D141" s="4">
        <f>IFERROR(__xludf.DUMMYFUNCTION("""COMPUTED_VALUE"""),1.8)</f>
        <v>1.8</v>
      </c>
      <c r="E141" s="4" t="str">
        <f>IFERROR(__xludf.DUMMYFUNCTION("""COMPUTED_VALUE"""),"Neto: 1,80 € (a partir de 1 uds.)")</f>
        <v>Neto: 1,80 € (a partir de 1 uds.)</v>
      </c>
    </row>
    <row r="142">
      <c r="A142" s="4" t="str">
        <f>IFERROR(__xludf.DUMMYFUNCTION("""COMPUTED_VALUE"""),"0226P")</f>
        <v>0226P</v>
      </c>
      <c r="B142" s="4" t="str">
        <f>IFERROR(__xludf.DUMMYFUNCTION("""COMPUTED_VALUE"""),"Cartel PVC 21x29 OBLIGATORIO EL USO GAFAS")</f>
        <v>Cartel PVC 21x29 OBLIGATORIO EL USO GAFAS</v>
      </c>
      <c r="C142" s="4">
        <f>IFERROR(__xludf.DUMMYFUNCTION("""COMPUTED_VALUE"""),1.6)</f>
        <v>1.6</v>
      </c>
      <c r="D142" s="4">
        <f>IFERROR(__xludf.DUMMYFUNCTION("""COMPUTED_VALUE"""),1.2)</f>
        <v>1.2</v>
      </c>
      <c r="E142" s="4" t="str">
        <f>IFERROR(__xludf.DUMMYFUNCTION("""COMPUTED_VALUE"""),"Neto: 1,20 € (a partir de 1 uds.)")</f>
        <v>Neto: 1,20 € (a partir de 1 uds.)</v>
      </c>
    </row>
    <row r="143">
      <c r="A143" s="4" t="str">
        <f>IFERROR(__xludf.DUMMYFUNCTION("""COMPUTED_VALUE"""),"227")</f>
        <v>227</v>
      </c>
      <c r="B143" s="4" t="str">
        <f>IFERROR(__xludf.DUMMYFUNCTION("""COMPUTED_VALUE"""),"Cartel PVC 40x30 OBLIG.ARNES SEGUR.")</f>
        <v>Cartel PVC 40x30 OBLIG.ARNES SEGUR.</v>
      </c>
      <c r="C143" s="4">
        <f>IFERROR(__xludf.DUMMYFUNCTION("""COMPUTED_VALUE"""),2.48)</f>
        <v>2.48</v>
      </c>
      <c r="D143" s="4">
        <f>IFERROR(__xludf.DUMMYFUNCTION("""COMPUTED_VALUE"""),1.8)</f>
        <v>1.8</v>
      </c>
      <c r="E143" s="4" t="str">
        <f>IFERROR(__xludf.DUMMYFUNCTION("""COMPUTED_VALUE"""),"Neto: 1,80 € (a partir de 1 uds.)")</f>
        <v>Neto: 1,80 € (a partir de 1 uds.)</v>
      </c>
    </row>
    <row r="144">
      <c r="A144" s="4" t="str">
        <f>IFERROR(__xludf.DUMMYFUNCTION("""COMPUTED_VALUE"""),"0227P")</f>
        <v>0227P</v>
      </c>
      <c r="B144" s="4" t="str">
        <f>IFERROR(__xludf.DUMMYFUNCTION("""COMPUTED_VALUE"""),"Cartel PVC 21x29 OBLIGATORIO EL USO ARNES")</f>
        <v>Cartel PVC 21x29 OBLIGATORIO EL USO ARNES</v>
      </c>
      <c r="C144" s="4">
        <f>IFERROR(__xludf.DUMMYFUNCTION("""COMPUTED_VALUE"""),1.6)</f>
        <v>1.6</v>
      </c>
      <c r="D144" s="4">
        <f>IFERROR(__xludf.DUMMYFUNCTION("""COMPUTED_VALUE"""),1.2)</f>
        <v>1.2</v>
      </c>
      <c r="E144" s="4" t="str">
        <f>IFERROR(__xludf.DUMMYFUNCTION("""COMPUTED_VALUE"""),"Neto: 1,20 € (a partir de 1 uds.)")</f>
        <v>Neto: 1,20 € (a partir de 1 uds.)</v>
      </c>
    </row>
    <row r="145">
      <c r="A145" s="4" t="str">
        <f>IFERROR(__xludf.DUMMYFUNCTION("""COMPUTED_VALUE"""),"228")</f>
        <v>228</v>
      </c>
      <c r="B145" s="4" t="str">
        <f>IFERROR(__xludf.DUMMYFUNCTION("""COMPUTED_VALUE"""),"Cartel PVC 40x30 PROTECION OBLIGAT.CUERPO")</f>
        <v>Cartel PVC 40x30 PROTECION OBLIGAT.CUERPO</v>
      </c>
      <c r="C145" s="4">
        <f>IFERROR(__xludf.DUMMYFUNCTION("""COMPUTED_VALUE"""),2.48)</f>
        <v>2.48</v>
      </c>
      <c r="D145" s="4">
        <f>IFERROR(__xludf.DUMMYFUNCTION("""COMPUTED_VALUE"""),1.8)</f>
        <v>1.8</v>
      </c>
      <c r="E145" s="4" t="str">
        <f>IFERROR(__xludf.DUMMYFUNCTION("""COMPUTED_VALUE"""),"Neto: 1,80 € (a partir de 1 uds.)")</f>
        <v>Neto: 1,80 € (a partir de 1 uds.)</v>
      </c>
    </row>
    <row r="146">
      <c r="A146" s="4" t="str">
        <f>IFERROR(__xludf.DUMMYFUNCTION("""COMPUTED_VALUE"""),"0228P")</f>
        <v>0228P</v>
      </c>
      <c r="B146" s="4" t="str">
        <f>IFERROR(__xludf.DUMMYFUNCTION("""COMPUTED_VALUE"""),"Cartel PVC 21x29 USO PROTECCION OBLIGATORIA DEL")</f>
        <v>Cartel PVC 21x29 USO PROTECCION OBLIGATORIA DEL</v>
      </c>
      <c r="C146" s="4">
        <f>IFERROR(__xludf.DUMMYFUNCTION("""COMPUTED_VALUE"""),1.6)</f>
        <v>1.6</v>
      </c>
      <c r="D146" s="4">
        <f>IFERROR(__xludf.DUMMYFUNCTION("""COMPUTED_VALUE"""),1.2)</f>
        <v>1.2</v>
      </c>
      <c r="E146" s="4" t="str">
        <f>IFERROR(__xludf.DUMMYFUNCTION("""COMPUTED_VALUE"""),"Neto: 1,20 € (a partir de 1 uds.)")</f>
        <v>Neto: 1,20 € (a partir de 1 uds.)</v>
      </c>
    </row>
    <row r="147">
      <c r="A147" s="4" t="str">
        <f>IFERROR(__xludf.DUMMYFUNCTION("""COMPUTED_VALUE"""),"229")</f>
        <v>229</v>
      </c>
      <c r="B147" s="4" t="str">
        <f>IFERROR(__xludf.DUMMYFUNCTION("""COMPUTED_VALUE"""),"Cartel PVC 40x30 Eliminar puntas")</f>
        <v>Cartel PVC 40x30 Eliminar puntas</v>
      </c>
      <c r="C147" s="4">
        <f>IFERROR(__xludf.DUMMYFUNCTION("""COMPUTED_VALUE"""),2.48)</f>
        <v>2.48</v>
      </c>
      <c r="D147" s="4">
        <f>IFERROR(__xludf.DUMMYFUNCTION("""COMPUTED_VALUE"""),1.8)</f>
        <v>1.8</v>
      </c>
      <c r="E147" s="4" t="str">
        <f>IFERROR(__xludf.DUMMYFUNCTION("""COMPUTED_VALUE"""),"Neto: 1,80 € (a partir de 1 uds.)")</f>
        <v>Neto: 1,80 € (a partir de 1 uds.)</v>
      </c>
    </row>
    <row r="148">
      <c r="A148" s="4" t="str">
        <f>IFERROR(__xludf.DUMMYFUNCTION("""COMPUTED_VALUE"""),"0229P")</f>
        <v>0229P</v>
      </c>
      <c r="B148" s="4" t="str">
        <f>IFERROR(__xludf.DUMMYFUNCTION("""COMPUTED_VALUE"""),"Cartel PVC 21x29 OBLIGATORIO ELIMINAR LAS PUNTAS")</f>
        <v>Cartel PVC 21x29 OBLIGATORIO ELIMINAR LAS PUNTAS</v>
      </c>
      <c r="C148" s="4">
        <f>IFERROR(__xludf.DUMMYFUNCTION("""COMPUTED_VALUE"""),1.6)</f>
        <v>1.6</v>
      </c>
      <c r="D148" s="4">
        <f>IFERROR(__xludf.DUMMYFUNCTION("""COMPUTED_VALUE"""),1.2)</f>
        <v>1.2</v>
      </c>
      <c r="E148" s="4" t="str">
        <f>IFERROR(__xludf.DUMMYFUNCTION("""COMPUTED_VALUE"""),"Neto: 1,20 € (a partir de 1 uds.)")</f>
        <v>Neto: 1,20 € (a partir de 1 uds.)</v>
      </c>
    </row>
    <row r="149">
      <c r="A149" s="4" t="str">
        <f>IFERROR(__xludf.DUMMYFUNCTION("""COMPUTED_VALUE"""),"230")</f>
        <v>230</v>
      </c>
      <c r="B149" s="4" t="str">
        <f>IFERROR(__xludf.DUMMYFUNCTION("""COMPUTED_VALUE"""),"Cartel PVC 40x30 PROHIBIDO FUMA+")</f>
        <v>Cartel PVC 40x30 PROHIBIDO FUMA+</v>
      </c>
      <c r="C149" s="4">
        <f>IFERROR(__xludf.DUMMYFUNCTION("""COMPUTED_VALUE"""),2.48)</f>
        <v>2.48</v>
      </c>
      <c r="D149" s="4">
        <f>IFERROR(__xludf.DUMMYFUNCTION("""COMPUTED_VALUE"""),1.8)</f>
        <v>1.8</v>
      </c>
      <c r="E149" s="4" t="str">
        <f>IFERROR(__xludf.DUMMYFUNCTION("""COMPUTED_VALUE"""),"Neto: 1,80 € (a partir de 1 uds.)")</f>
        <v>Neto: 1,80 € (a partir de 1 uds.)</v>
      </c>
    </row>
    <row r="150">
      <c r="A150" s="4" t="str">
        <f>IFERROR(__xludf.DUMMYFUNCTION("""COMPUTED_VALUE"""),"0230P")</f>
        <v>0230P</v>
      </c>
      <c r="B150" s="4" t="str">
        <f>IFERROR(__xludf.DUMMYFUNCTION("""COMPUTED_VALUE"""),"Cartel 21X29 PROHIBIDO FUMAR")</f>
        <v>Cartel 21X29 PROHIBIDO FUMAR</v>
      </c>
      <c r="C150" s="4">
        <f>IFERROR(__xludf.DUMMYFUNCTION("""COMPUTED_VALUE"""),1.6)</f>
        <v>1.6</v>
      </c>
      <c r="D150" s="4">
        <f>IFERROR(__xludf.DUMMYFUNCTION("""COMPUTED_VALUE"""),1.2)</f>
        <v>1.2</v>
      </c>
      <c r="E150" s="4" t="str">
        <f>IFERROR(__xludf.DUMMYFUNCTION("""COMPUTED_VALUE"""),"Neto: 1,20 € (a partir de 1 uds.)")</f>
        <v>Neto: 1,20 € (a partir de 1 uds.)</v>
      </c>
    </row>
    <row r="151">
      <c r="A151" s="4" t="str">
        <f>IFERROR(__xludf.DUMMYFUNCTION("""COMPUTED_VALUE"""),"231")</f>
        <v>231</v>
      </c>
      <c r="B151" s="4" t="str">
        <f>IFERROR(__xludf.DUMMYFUNCTION("""COMPUTED_VALUE"""),"Cartel PVC 40x30 PROHIBIDO PASO+")</f>
        <v>Cartel PVC 40x30 PROHIBIDO PASO+</v>
      </c>
      <c r="C151" s="4">
        <f>IFERROR(__xludf.DUMMYFUNCTION("""COMPUTED_VALUE"""),2.48)</f>
        <v>2.48</v>
      </c>
      <c r="D151" s="4">
        <f>IFERROR(__xludf.DUMMYFUNCTION("""COMPUTED_VALUE"""),1.8)</f>
        <v>1.8</v>
      </c>
      <c r="E151" s="4" t="str">
        <f>IFERROR(__xludf.DUMMYFUNCTION("""COMPUTED_VALUE"""),"Neto: 1,80 € (a partir de 1 uds.)")</f>
        <v>Neto: 1,80 € (a partir de 1 uds.)</v>
      </c>
    </row>
    <row r="152">
      <c r="A152" s="4" t="str">
        <f>IFERROR(__xludf.DUMMYFUNCTION("""COMPUTED_VALUE"""),"0231P")</f>
        <v>0231P</v>
      </c>
      <c r="B152" s="4" t="str">
        <f>IFERROR(__xludf.DUMMYFUNCTION("""COMPUTED_VALUE"""),"Cartel PVC 21X29 PROHIBIDO PASO PERSONA AJENA")</f>
        <v>Cartel PVC 21X29 PROHIBIDO PASO PERSONA AJENA</v>
      </c>
      <c r="C152" s="4">
        <f>IFERROR(__xludf.DUMMYFUNCTION("""COMPUTED_VALUE"""),1.6)</f>
        <v>1.6</v>
      </c>
      <c r="D152" s="4">
        <f>IFERROR(__xludf.DUMMYFUNCTION("""COMPUTED_VALUE"""),1.2)</f>
        <v>1.2</v>
      </c>
      <c r="E152" s="4" t="str">
        <f>IFERROR(__xludf.DUMMYFUNCTION("""COMPUTED_VALUE"""),"Neto: 1,20 € (a partir de 1 uds.)")</f>
        <v>Neto: 1,20 € (a partir de 1 uds.)</v>
      </c>
    </row>
    <row r="153">
      <c r="A153" s="4" t="str">
        <f>IFERROR(__xludf.DUMMYFUNCTION("""COMPUTED_VALUE"""),"232")</f>
        <v>232</v>
      </c>
      <c r="B153" s="4" t="str">
        <f>IFERROR(__xludf.DUMMYFUNCTION("""COMPUTED_VALUE"""),"Cartel PVC 40x30 Proh. pasar sin casco")</f>
        <v>Cartel PVC 40x30 Proh. pasar sin casco</v>
      </c>
      <c r="C153" s="4">
        <f>IFERROR(__xludf.DUMMYFUNCTION("""COMPUTED_VALUE"""),2.48)</f>
        <v>2.48</v>
      </c>
      <c r="D153" s="4">
        <f>IFERROR(__xludf.DUMMYFUNCTION("""COMPUTED_VALUE"""),1.8)</f>
        <v>1.8</v>
      </c>
      <c r="E153" s="4" t="str">
        <f>IFERROR(__xludf.DUMMYFUNCTION("""COMPUTED_VALUE"""),"Neto: 1,80 € (a partir de 1 uds.)")</f>
        <v>Neto: 1,80 € (a partir de 1 uds.)</v>
      </c>
    </row>
    <row r="154">
      <c r="A154" s="4" t="str">
        <f>IFERROR(__xludf.DUMMYFUNCTION("""COMPUTED_VALUE"""),"0232P")</f>
        <v>0232P</v>
      </c>
      <c r="B154" s="4" t="str">
        <f>IFERROR(__xludf.DUMMYFUNCTION("""COMPUTED_VALUE"""),"Cartel PVC 21X29 PROHIBIDO PASAR SIN CASCO")</f>
        <v>Cartel PVC 21X29 PROHIBIDO PASAR SIN CASCO</v>
      </c>
      <c r="C154" s="4">
        <f>IFERROR(__xludf.DUMMYFUNCTION("""COMPUTED_VALUE"""),1.6)</f>
        <v>1.6</v>
      </c>
      <c r="D154" s="4">
        <f>IFERROR(__xludf.DUMMYFUNCTION("""COMPUTED_VALUE"""),1.2)</f>
        <v>1.2</v>
      </c>
      <c r="E154" s="4" t="str">
        <f>IFERROR(__xludf.DUMMYFUNCTION("""COMPUTED_VALUE"""),"Neto: 1,20 € (a partir de 1 uds.)")</f>
        <v>Neto: 1,20 € (a partir de 1 uds.)</v>
      </c>
    </row>
    <row r="155">
      <c r="A155" s="4" t="str">
        <f>IFERROR(__xludf.DUMMYFUNCTION("""COMPUTED_VALUE"""),"233")</f>
        <v>233</v>
      </c>
      <c r="B155" s="4" t="str">
        <f>IFERROR(__xludf.DUMMYFUNCTION("""COMPUTED_VALUE"""),"Cartel PVC 40x30 Proh. Fumar y encender fuego")</f>
        <v>Cartel PVC 40x30 Proh. Fumar y encender fuego</v>
      </c>
      <c r="C155" s="4">
        <f>IFERROR(__xludf.DUMMYFUNCTION("""COMPUTED_VALUE"""),2.48)</f>
        <v>2.48</v>
      </c>
      <c r="D155" s="4">
        <f>IFERROR(__xludf.DUMMYFUNCTION("""COMPUTED_VALUE"""),1.8)</f>
        <v>1.8</v>
      </c>
      <c r="E155" s="4" t="str">
        <f>IFERROR(__xludf.DUMMYFUNCTION("""COMPUTED_VALUE"""),"Neto: 1,80 € (a partir de 1 uds.)")</f>
        <v>Neto: 1,80 € (a partir de 1 uds.)</v>
      </c>
    </row>
    <row r="156">
      <c r="A156" s="4" t="str">
        <f>IFERROR(__xludf.DUMMYFUNCTION("""COMPUTED_VALUE"""),"0233P")</f>
        <v>0233P</v>
      </c>
      <c r="B156" s="4" t="str">
        <f>IFERROR(__xludf.DUMMYFUNCTION("""COMPUTED_VALUE"""),"Cartel PVC 21X29 PROHIBIDO FUMAR Y ENCENDER")</f>
        <v>Cartel PVC 21X29 PROHIBIDO FUMAR Y ENCENDER</v>
      </c>
      <c r="C156" s="4">
        <f>IFERROR(__xludf.DUMMYFUNCTION("""COMPUTED_VALUE"""),1.6)</f>
        <v>1.6</v>
      </c>
      <c r="D156" s="4">
        <f>IFERROR(__xludf.DUMMYFUNCTION("""COMPUTED_VALUE"""),1.2)</f>
        <v>1.2</v>
      </c>
      <c r="E156" s="4" t="str">
        <f>IFERROR(__xludf.DUMMYFUNCTION("""COMPUTED_VALUE"""),"Neto: 1,20 € (a partir de 1 uds.)")</f>
        <v>Neto: 1,20 € (a partir de 1 uds.)</v>
      </c>
    </row>
    <row r="157">
      <c r="A157" s="4" t="str">
        <f>IFERROR(__xludf.DUMMYFUNCTION("""COMPUTED_VALUE"""),"234")</f>
        <v>234</v>
      </c>
      <c r="B157" s="4" t="str">
        <f>IFERROR(__xludf.DUMMYFUNCTION("""COMPUTED_VALUE"""),"Cartel PVC 40x30 Proh. Apagar con agua")</f>
        <v>Cartel PVC 40x30 Proh. Apagar con agua</v>
      </c>
      <c r="C157" s="4">
        <f>IFERROR(__xludf.DUMMYFUNCTION("""COMPUTED_VALUE"""),2.48)</f>
        <v>2.48</v>
      </c>
      <c r="D157" s="4">
        <f>IFERROR(__xludf.DUMMYFUNCTION("""COMPUTED_VALUE"""),1.8)</f>
        <v>1.8</v>
      </c>
      <c r="E157" s="4" t="str">
        <f>IFERROR(__xludf.DUMMYFUNCTION("""COMPUTED_VALUE"""),"Neto: 1,80 € (a partir de 1 uds.)")</f>
        <v>Neto: 1,80 € (a partir de 1 uds.)</v>
      </c>
    </row>
    <row r="158">
      <c r="A158" s="4" t="str">
        <f>IFERROR(__xludf.DUMMYFUNCTION("""COMPUTED_VALUE"""),"0234P")</f>
        <v>0234P</v>
      </c>
      <c r="B158" s="4" t="str">
        <f>IFERROR(__xludf.DUMMYFUNCTION("""COMPUTED_VALUE"""),"Cartel PVC 21x29 PROHIBIDO APAGAR CON AGUA")</f>
        <v>Cartel PVC 21x29 PROHIBIDO APAGAR CON AGUA</v>
      </c>
      <c r="C158" s="4">
        <f>IFERROR(__xludf.DUMMYFUNCTION("""COMPUTED_VALUE"""),1.6)</f>
        <v>1.6</v>
      </c>
      <c r="D158" s="4">
        <f>IFERROR(__xludf.DUMMYFUNCTION("""COMPUTED_VALUE"""),1.2)</f>
        <v>1.2</v>
      </c>
      <c r="E158" s="4" t="str">
        <f>IFERROR(__xludf.DUMMYFUNCTION("""COMPUTED_VALUE"""),"Neto: 1,20 € (a partir de 1 uds.)")</f>
        <v>Neto: 1,20 € (a partir de 1 uds.)</v>
      </c>
    </row>
    <row r="159">
      <c r="A159" s="4" t="str">
        <f>IFERROR(__xludf.DUMMYFUNCTION("""COMPUTED_VALUE"""),"235")</f>
        <v>235</v>
      </c>
      <c r="B159" s="4" t="str">
        <f>IFERROR(__xludf.DUMMYFUNCTION("""COMPUTED_VALUE"""),"Cartel PVC 40x30 Proh.a los vehculos manutención")</f>
        <v>Cartel PVC 40x30 Proh.a los vehculos manutención</v>
      </c>
      <c r="C159" s="4">
        <f>IFERROR(__xludf.DUMMYFUNCTION("""COMPUTED_VALUE"""),2.48)</f>
        <v>2.48</v>
      </c>
      <c r="D159" s="4">
        <f>IFERROR(__xludf.DUMMYFUNCTION("""COMPUTED_VALUE"""),1.8)</f>
        <v>1.8</v>
      </c>
      <c r="E159" s="4" t="str">
        <f>IFERROR(__xludf.DUMMYFUNCTION("""COMPUTED_VALUE"""),"Neto: 1,80 € (a partir de 1 uds.)")</f>
        <v>Neto: 1,80 € (a partir de 1 uds.)</v>
      </c>
    </row>
    <row r="160">
      <c r="A160" s="4" t="str">
        <f>IFERROR(__xludf.DUMMYFUNCTION("""COMPUTED_VALUE"""),"0235P")</f>
        <v>0235P</v>
      </c>
      <c r="B160" s="4" t="str">
        <f>IFERROR(__xludf.DUMMYFUNCTION("""COMPUTED_VALUE"""),"Cartel PVC 21x29 PROHIBIDO A LOS VEHICULOS DE")</f>
        <v>Cartel PVC 21x29 PROHIBIDO A LOS VEHICULOS DE</v>
      </c>
      <c r="C160" s="4">
        <f>IFERROR(__xludf.DUMMYFUNCTION("""COMPUTED_VALUE"""),1.6)</f>
        <v>1.6</v>
      </c>
      <c r="D160" s="4">
        <f>IFERROR(__xludf.DUMMYFUNCTION("""COMPUTED_VALUE"""),1.2)</f>
        <v>1.2</v>
      </c>
      <c r="E160" s="4" t="str">
        <f>IFERROR(__xludf.DUMMYFUNCTION("""COMPUTED_VALUE"""),"Neto: 1,20 € (a partir de 1 uds.)")</f>
        <v>Neto: 1,20 € (a partir de 1 uds.)</v>
      </c>
    </row>
    <row r="161">
      <c r="A161" s="4" t="str">
        <f>IFERROR(__xludf.DUMMYFUNCTION("""COMPUTED_VALUE"""),"236")</f>
        <v>236</v>
      </c>
      <c r="B161" s="4" t="str">
        <f>IFERROR(__xludf.DUMMYFUNCTION("""COMPUTED_VALUE"""),"Cartel PVC 40x30 Materias Explosivas")</f>
        <v>Cartel PVC 40x30 Materias Explosivas</v>
      </c>
      <c r="C161" s="4">
        <f>IFERROR(__xludf.DUMMYFUNCTION("""COMPUTED_VALUE"""),2.48)</f>
        <v>2.48</v>
      </c>
      <c r="D161" s="4">
        <f>IFERROR(__xludf.DUMMYFUNCTION("""COMPUTED_VALUE"""),1.8)</f>
        <v>1.8</v>
      </c>
      <c r="E161" s="4" t="str">
        <f>IFERROR(__xludf.DUMMYFUNCTION("""COMPUTED_VALUE"""),"Neto: 1,80 € (a partir de 1 uds.)")</f>
        <v>Neto: 1,80 € (a partir de 1 uds.)</v>
      </c>
    </row>
    <row r="162">
      <c r="A162" s="4" t="str">
        <f>IFERROR(__xludf.DUMMYFUNCTION("""COMPUTED_VALUE"""),"0236P")</f>
        <v>0236P</v>
      </c>
      <c r="B162" s="4" t="str">
        <f>IFERROR(__xludf.DUMMYFUNCTION("""COMPUTED_VALUE"""),"Cartel PVC 21x29 MATERIAS EXPLOSIVAS")</f>
        <v>Cartel PVC 21x29 MATERIAS EXPLOSIVAS</v>
      </c>
      <c r="C162" s="4">
        <f>IFERROR(__xludf.DUMMYFUNCTION("""COMPUTED_VALUE"""),1.6)</f>
        <v>1.6</v>
      </c>
      <c r="D162" s="4">
        <f>IFERROR(__xludf.DUMMYFUNCTION("""COMPUTED_VALUE"""),1.2)</f>
        <v>1.2</v>
      </c>
      <c r="E162" s="4" t="str">
        <f>IFERROR(__xludf.DUMMYFUNCTION("""COMPUTED_VALUE"""),"Neto: 1,20 € (a partir de 1 uds.)")</f>
        <v>Neto: 1,20 € (a partir de 1 uds.)</v>
      </c>
    </row>
    <row r="163">
      <c r="A163" s="4" t="str">
        <f>IFERROR(__xludf.DUMMYFUNCTION("""COMPUTED_VALUE"""),"237")</f>
        <v>237</v>
      </c>
      <c r="B163" s="4" t="str">
        <f>IFERROR(__xludf.DUMMYFUNCTION("""COMPUTED_VALUE"""),"Cartel PVC 40x30 Proh. uso personas")</f>
        <v>Cartel PVC 40x30 Proh. uso personas</v>
      </c>
      <c r="C163" s="4">
        <f>IFERROR(__xludf.DUMMYFUNCTION("""COMPUTED_VALUE"""),2.48)</f>
        <v>2.48</v>
      </c>
      <c r="D163" s="4">
        <f>IFERROR(__xludf.DUMMYFUNCTION("""COMPUTED_VALUE"""),1.8)</f>
        <v>1.8</v>
      </c>
      <c r="E163" s="4" t="str">
        <f>IFERROR(__xludf.DUMMYFUNCTION("""COMPUTED_VALUE"""),"Neto: 1,80 € (a partir de 1 uds.)")</f>
        <v>Neto: 1,80 € (a partir de 1 uds.)</v>
      </c>
    </row>
    <row r="164">
      <c r="A164" s="4" t="str">
        <f>IFERROR(__xludf.DUMMYFUNCTION("""COMPUTED_VALUE"""),"0237P")</f>
        <v>0237P</v>
      </c>
      <c r="B164" s="4" t="str">
        <f>IFERROR(__xludf.DUMMYFUNCTION("""COMPUTED_VALUE"""),"Cartel PVC 21x29 PROHIBIDO EL USO A PERSONAS")</f>
        <v>Cartel PVC 21x29 PROHIBIDO EL USO A PERSONAS</v>
      </c>
      <c r="C164" s="4">
        <f>IFERROR(__xludf.DUMMYFUNCTION("""COMPUTED_VALUE"""),1.6)</f>
        <v>1.6</v>
      </c>
      <c r="D164" s="4">
        <f>IFERROR(__xludf.DUMMYFUNCTION("""COMPUTED_VALUE"""),1.2)</f>
        <v>1.2</v>
      </c>
      <c r="E164" s="4" t="str">
        <f>IFERROR(__xludf.DUMMYFUNCTION("""COMPUTED_VALUE"""),"Neto: 1,20 € (a partir de 1 uds.)")</f>
        <v>Neto: 1,20 € (a partir de 1 uds.)</v>
      </c>
    </row>
    <row r="165">
      <c r="A165" s="4" t="str">
        <f>IFERROR(__xludf.DUMMYFUNCTION("""COMPUTED_VALUE"""),"238")</f>
        <v>238</v>
      </c>
      <c r="B165" s="4" t="str">
        <f>IFERROR(__xludf.DUMMYFUNCTION("""COMPUTED_VALUE"""),"Cartel PVC 40x30 Atencion puesta Tierra")</f>
        <v>Cartel PVC 40x30 Atencion puesta Tierra</v>
      </c>
      <c r="C165" s="4">
        <f>IFERROR(__xludf.DUMMYFUNCTION("""COMPUTED_VALUE"""),2.48)</f>
        <v>2.48</v>
      </c>
      <c r="D165" s="4">
        <f>IFERROR(__xludf.DUMMYFUNCTION("""COMPUTED_VALUE"""),1.8)</f>
        <v>1.8</v>
      </c>
      <c r="E165" s="4" t="str">
        <f>IFERROR(__xludf.DUMMYFUNCTION("""COMPUTED_VALUE"""),"Neto: 1,80 € (a partir de 1 uds.)")</f>
        <v>Neto: 1,80 € (a partir de 1 uds.)</v>
      </c>
    </row>
    <row r="166">
      <c r="A166" s="4" t="str">
        <f>IFERROR(__xludf.DUMMYFUNCTION("""COMPUTED_VALUE"""),"0238P")</f>
        <v>0238P</v>
      </c>
      <c r="B166" s="4" t="str">
        <f>IFERROR(__xludf.DUMMYFUNCTION("""COMPUTED_VALUE"""),"Cartel PVC 21x29 ATENCION PUESTA A TIERRA")</f>
        <v>Cartel PVC 21x29 ATENCION PUESTA A TIERRA</v>
      </c>
      <c r="C166" s="4">
        <f>IFERROR(__xludf.DUMMYFUNCTION("""COMPUTED_VALUE"""),1.6)</f>
        <v>1.6</v>
      </c>
      <c r="D166" s="4">
        <f>IFERROR(__xludf.DUMMYFUNCTION("""COMPUTED_VALUE"""),1.2)</f>
        <v>1.2</v>
      </c>
      <c r="E166" s="4" t="str">
        <f>IFERROR(__xludf.DUMMYFUNCTION("""COMPUTED_VALUE"""),"Neto: 1,20 € (a partir de 1 uds.)")</f>
        <v>Neto: 1,20 € (a partir de 1 uds.)</v>
      </c>
    </row>
    <row r="167">
      <c r="A167" s="4" t="str">
        <f>IFERROR(__xludf.DUMMYFUNCTION("""COMPUTED_VALUE"""),"239")</f>
        <v>239</v>
      </c>
      <c r="B167" s="4" t="str">
        <f>IFERROR(__xludf.DUMMYFUNCTION("""COMPUTED_VALUE"""),"Cartel PVC Espacio confinado 40x30 cm")</f>
        <v>Cartel PVC Espacio confinado 40x30 cm</v>
      </c>
      <c r="C167" s="4">
        <f>IFERROR(__xludf.DUMMYFUNCTION("""COMPUTED_VALUE"""),2.48)</f>
        <v>2.48</v>
      </c>
      <c r="D167" s="4">
        <f>IFERROR(__xludf.DUMMYFUNCTION("""COMPUTED_VALUE"""),1.8)</f>
        <v>1.8</v>
      </c>
      <c r="E167" s="4" t="str">
        <f>IFERROR(__xludf.DUMMYFUNCTION("""COMPUTED_VALUE"""),"Neto: 1,80 € (a partir de 1 uds.)")</f>
        <v>Neto: 1,80 € (a partir de 1 uds.)</v>
      </c>
    </row>
    <row r="168">
      <c r="A168" s="4" t="str">
        <f>IFERROR(__xludf.DUMMYFUNCTION("""COMPUTED_VALUE"""),"0239P")</f>
        <v>0239P</v>
      </c>
      <c r="B168" s="4" t="str">
        <f>IFERROR(__xludf.DUMMYFUNCTION("""COMPUTED_VALUE"""),"Cartel PVC Espacio Confinado 21x29 cm")</f>
        <v>Cartel PVC Espacio Confinado 21x29 cm</v>
      </c>
      <c r="C168" s="4">
        <f>IFERROR(__xludf.DUMMYFUNCTION("""COMPUTED_VALUE"""),1.6)</f>
        <v>1.6</v>
      </c>
      <c r="D168" s="4">
        <f>IFERROR(__xludf.DUMMYFUNCTION("""COMPUTED_VALUE"""),1.2)</f>
        <v>1.2</v>
      </c>
      <c r="E168" s="4" t="str">
        <f>IFERROR(__xludf.DUMMYFUNCTION("""COMPUTED_VALUE"""),"Neto: 1,20 € (a partir de 1 uds.)")</f>
        <v>Neto: 1,20 € (a partir de 1 uds.)</v>
      </c>
    </row>
    <row r="169">
      <c r="A169" s="4" t="str">
        <f>IFERROR(__xludf.DUMMYFUNCTION("""COMPUTED_VALUE"""),"240")</f>
        <v>240</v>
      </c>
      <c r="B169" s="4" t="str">
        <f>IFERROR(__xludf.DUMMYFUNCTION("""COMPUTED_VALUE"""),"Cartel PVC 40x30 Maquin.pesada en movim")</f>
        <v>Cartel PVC 40x30 Maquin.pesada en movim</v>
      </c>
      <c r="C169" s="4">
        <f>IFERROR(__xludf.DUMMYFUNCTION("""COMPUTED_VALUE"""),2.48)</f>
        <v>2.48</v>
      </c>
      <c r="D169" s="4">
        <f>IFERROR(__xludf.DUMMYFUNCTION("""COMPUTED_VALUE"""),1.8)</f>
        <v>1.8</v>
      </c>
      <c r="E169" s="4" t="str">
        <f>IFERROR(__xludf.DUMMYFUNCTION("""COMPUTED_VALUE"""),"Neto: 1,80 € (a partir de 1 uds.)")</f>
        <v>Neto: 1,80 € (a partir de 1 uds.)</v>
      </c>
    </row>
    <row r="170">
      <c r="A170" s="4" t="str">
        <f>IFERROR(__xludf.DUMMYFUNCTION("""COMPUTED_VALUE"""),"0240P")</f>
        <v>0240P</v>
      </c>
      <c r="B170" s="4" t="str">
        <f>IFERROR(__xludf.DUMMYFUNCTION("""COMPUTED_VALUE"""),"Cartel PVC 21X29 MAQUINARIA PESADA EN MOVIMIENTO")</f>
        <v>Cartel PVC 21X29 MAQUINARIA PESADA EN MOVIMIENTO</v>
      </c>
      <c r="C170" s="4">
        <f>IFERROR(__xludf.DUMMYFUNCTION("""COMPUTED_VALUE"""),1.6)</f>
        <v>1.6</v>
      </c>
      <c r="D170" s="4">
        <f>IFERROR(__xludf.DUMMYFUNCTION("""COMPUTED_VALUE"""),1.2)</f>
        <v>1.2</v>
      </c>
      <c r="E170" s="4" t="str">
        <f>IFERROR(__xludf.DUMMYFUNCTION("""COMPUTED_VALUE"""),"Neto: 1,20 € (a partir de 1 uds.)")</f>
        <v>Neto: 1,20 € (a partir de 1 uds.)</v>
      </c>
    </row>
    <row r="171">
      <c r="A171" s="4" t="str">
        <f>IFERROR(__xludf.DUMMYFUNCTION("""COMPUTED_VALUE"""),"241")</f>
        <v>241</v>
      </c>
      <c r="B171" s="4" t="str">
        <f>IFERROR(__xludf.DUMMYFUNCTION("""COMPUTED_VALUE"""),"Cartel PVC 40x30 Fluor ( Se Alquila ) c/ojales")</f>
        <v>Cartel PVC 40x30 Fluor ( Se Alquila ) c/ojales</v>
      </c>
      <c r="C171" s="4">
        <f>IFERROR(__xludf.DUMMYFUNCTION("""COMPUTED_VALUE"""),3.7)</f>
        <v>3.7</v>
      </c>
      <c r="D171" s="4">
        <f>IFERROR(__xludf.DUMMYFUNCTION("""COMPUTED_VALUE"""),3.2)</f>
        <v>3.2</v>
      </c>
      <c r="E171" s="4" t="str">
        <f>IFERROR(__xludf.DUMMYFUNCTION("""COMPUTED_VALUE"""),"Neto: 3,20 € (a partir de 1 uds.)")</f>
        <v>Neto: 3,20 € (a partir de 1 uds.)</v>
      </c>
    </row>
    <row r="172">
      <c r="A172" s="4" t="str">
        <f>IFERROR(__xludf.DUMMYFUNCTION("""COMPUTED_VALUE"""),"242")</f>
        <v>242</v>
      </c>
      <c r="B172" s="4" t="str">
        <f>IFERROR(__xludf.DUMMYFUNCTION("""COMPUTED_VALUE"""),"Cartel PVC 40X30 Fluor ( Se Vende ) c/ojales")</f>
        <v>Cartel PVC 40X30 Fluor ( Se Vende ) c/ojales</v>
      </c>
      <c r="C172" s="4">
        <f>IFERROR(__xludf.DUMMYFUNCTION("""COMPUTED_VALUE"""),3.7)</f>
        <v>3.7</v>
      </c>
      <c r="D172" s="4">
        <f>IFERROR(__xludf.DUMMYFUNCTION("""COMPUTED_VALUE"""),3.2)</f>
        <v>3.2</v>
      </c>
      <c r="E172" s="4" t="str">
        <f>IFERROR(__xludf.DUMMYFUNCTION("""COMPUTED_VALUE"""),"Neto: 3,20 € (a partir de 1 uds.)")</f>
        <v>Neto: 3,20 € (a partir de 1 uds.)</v>
      </c>
    </row>
    <row r="173">
      <c r="A173" s="4" t="str">
        <f>IFERROR(__xludf.DUMMYFUNCTION("""COMPUTED_VALUE"""),"243")</f>
        <v>243</v>
      </c>
      <c r="B173" s="4" t="str">
        <f>IFERROR(__xludf.DUMMYFUNCTION("""COMPUTED_VALUE"""),"Cartel PVC 21x29 Fotolum. Hidrante")</f>
        <v>Cartel PVC 21x29 Fotolum. Hidrante</v>
      </c>
      <c r="C173" s="4">
        <f>IFERROR(__xludf.DUMMYFUNCTION("""COMPUTED_VALUE"""),2.6)</f>
        <v>2.6</v>
      </c>
      <c r="D173" s="4">
        <f>IFERROR(__xludf.DUMMYFUNCTION("""COMPUTED_VALUE"""),2.1)</f>
        <v>2.1</v>
      </c>
      <c r="E173" s="4" t="str">
        <f>IFERROR(__xludf.DUMMYFUNCTION("""COMPUTED_VALUE"""),"Neto: 2,10 € (a partir de 1 uds.)")</f>
        <v>Neto: 2,10 € (a partir de 1 uds.)</v>
      </c>
    </row>
    <row r="174">
      <c r="A174" s="4" t="str">
        <f>IFERROR(__xludf.DUMMYFUNCTION("""COMPUTED_VALUE"""),"0243A")</f>
        <v>0243A</v>
      </c>
      <c r="B174" s="4" t="str">
        <f>IFERROR(__xludf.DUMMYFUNCTION("""COMPUTED_VALUE"""),"Cartel PVC 21x30 Fotolum. Hidrante")</f>
        <v>Cartel PVC 21x30 Fotolum. Hidrante</v>
      </c>
      <c r="C174" s="4">
        <f>IFERROR(__xludf.DUMMYFUNCTION("""COMPUTED_VALUE"""),2.52)</f>
        <v>2.52</v>
      </c>
      <c r="D174" s="4">
        <f>IFERROR(__xludf.DUMMYFUNCTION("""COMPUTED_VALUE"""),2.1)</f>
        <v>2.1</v>
      </c>
      <c r="E174" s="4" t="str">
        <f>IFERROR(__xludf.DUMMYFUNCTION("""COMPUTED_VALUE"""),"Neto: 2,10 € (a partir de 1 uds.)")</f>
        <v>Neto: 2,10 € (a partir de 1 uds.)</v>
      </c>
    </row>
    <row r="175">
      <c r="A175" s="4" t="str">
        <f>IFERROR(__xludf.DUMMYFUNCTION("""COMPUTED_VALUE"""),"0243B")</f>
        <v>0243B</v>
      </c>
      <c r="B175" s="4" t="str">
        <f>IFERROR(__xludf.DUMMYFUNCTION("""COMPUTED_VALUE"""),"Cartel PVC 40x30 Fotolum. Hidrante")</f>
        <v>Cartel PVC 40x30 Fotolum. Hidrante</v>
      </c>
      <c r="C175" s="4">
        <f>IFERROR(__xludf.DUMMYFUNCTION("""COMPUTED_VALUE"""),3.1)</f>
        <v>3.1</v>
      </c>
      <c r="D175" s="4">
        <f>IFERROR(__xludf.DUMMYFUNCTION("""COMPUTED_VALUE"""),3.2)</f>
        <v>3.2</v>
      </c>
      <c r="E175" s="4" t="str">
        <f>IFERROR(__xludf.DUMMYFUNCTION("""COMPUTED_VALUE"""),"Neto: 3,20 € (a partir de 1 uds.)")</f>
        <v>Neto: 3,20 € (a partir de 1 uds.)</v>
      </c>
    </row>
    <row r="176">
      <c r="A176" s="4" t="str">
        <f>IFERROR(__xludf.DUMMYFUNCTION("""COMPUTED_VALUE"""),"244")</f>
        <v>244</v>
      </c>
      <c r="B176" s="4" t="str">
        <f>IFERROR(__xludf.DUMMYFUNCTION("""COMPUTED_VALUE"""),"Cartel PVC de 1x0.70 Combinado")</f>
        <v>Cartel PVC de 1x0.70 Combinado</v>
      </c>
      <c r="C176" s="4">
        <f>IFERROR(__xludf.DUMMYFUNCTION("""COMPUTED_VALUE"""),5.9)</f>
        <v>5.9</v>
      </c>
      <c r="D176" s="4">
        <f>IFERROR(__xludf.DUMMYFUNCTION("""COMPUTED_VALUE"""),5.5)</f>
        <v>5.5</v>
      </c>
      <c r="E176" s="4" t="str">
        <f>IFERROR(__xludf.DUMMYFUNCTION("""COMPUTED_VALUE"""),"Neto: 5,50 € (a partir de 50 uds.)")</f>
        <v>Neto: 5,50 € (a partir de 50 uds.)</v>
      </c>
    </row>
    <row r="177">
      <c r="A177" s="4" t="str">
        <f>IFERROR(__xludf.DUMMYFUNCTION("""COMPUTED_VALUE"""),"247")</f>
        <v>247</v>
      </c>
      <c r="B177" s="4" t="str">
        <f>IFERROR(__xludf.DUMMYFUNCTION("""COMPUTED_VALUE"""),"Cartel PVC 40x30 (Salida Camiones)")</f>
        <v>Cartel PVC 40x30 (Salida Camiones)</v>
      </c>
      <c r="C177" s="4">
        <f>IFERROR(__xludf.DUMMYFUNCTION("""COMPUTED_VALUE"""),2.48)</f>
        <v>2.48</v>
      </c>
      <c r="D177" s="4">
        <f>IFERROR(__xludf.DUMMYFUNCTION("""COMPUTED_VALUE"""),1.8)</f>
        <v>1.8</v>
      </c>
      <c r="E177" s="4" t="str">
        <f>IFERROR(__xludf.DUMMYFUNCTION("""COMPUTED_VALUE"""),"Neto: 1,80 € (a partir de 1 uds.)")</f>
        <v>Neto: 1,80 € (a partir de 1 uds.)</v>
      </c>
    </row>
    <row r="178">
      <c r="A178" s="4" t="str">
        <f>IFERROR(__xludf.DUMMYFUNCTION("""COMPUTED_VALUE"""),"0247P")</f>
        <v>0247P</v>
      </c>
      <c r="B178" s="4" t="str">
        <f>IFERROR(__xludf.DUMMYFUNCTION("""COMPUTED_VALUE"""),"Cartel PVC 21x29 SALIDA DE CAMIONES")</f>
        <v>Cartel PVC 21x29 SALIDA DE CAMIONES</v>
      </c>
      <c r="C178" s="4">
        <f>IFERROR(__xludf.DUMMYFUNCTION("""COMPUTED_VALUE"""),1.6)</f>
        <v>1.6</v>
      </c>
      <c r="D178" s="4">
        <f>IFERROR(__xludf.DUMMYFUNCTION("""COMPUTED_VALUE"""),1.2)</f>
        <v>1.2</v>
      </c>
      <c r="E178" s="4" t="str">
        <f>IFERROR(__xludf.DUMMYFUNCTION("""COMPUTED_VALUE"""),"Neto: 1,20 € (a partir de 1 uds.)")</f>
        <v>Neto: 1,20 € (a partir de 1 uds.)</v>
      </c>
    </row>
    <row r="179">
      <c r="A179" s="4" t="str">
        <f>IFERROR(__xludf.DUMMYFUNCTION("""COMPUTED_VALUE"""),"248")</f>
        <v>248</v>
      </c>
      <c r="B179" s="4" t="str">
        <f>IFERROR(__xludf.DUMMYFUNCTION("""COMPUTED_VALUE"""),"Cartel PVC 40x30 (Prohibido Aparcar)")</f>
        <v>Cartel PVC 40x30 (Prohibido Aparcar)</v>
      </c>
      <c r="C179" s="4">
        <f>IFERROR(__xludf.DUMMYFUNCTION("""COMPUTED_VALUE"""),2.48)</f>
        <v>2.48</v>
      </c>
      <c r="D179" s="4">
        <f>IFERROR(__xludf.DUMMYFUNCTION("""COMPUTED_VALUE"""),1.8)</f>
        <v>1.8</v>
      </c>
      <c r="E179" s="4" t="str">
        <f>IFERROR(__xludf.DUMMYFUNCTION("""COMPUTED_VALUE"""),"Neto: 1,80 € (a partir de 1 uds.)")</f>
        <v>Neto: 1,80 € (a partir de 1 uds.)</v>
      </c>
    </row>
    <row r="180">
      <c r="A180" s="4" t="str">
        <f>IFERROR(__xludf.DUMMYFUNCTION("""COMPUTED_VALUE"""),"0248P")</f>
        <v>0248P</v>
      </c>
      <c r="B180" s="4" t="str">
        <f>IFERROR(__xludf.DUMMYFUNCTION("""COMPUTED_VALUE"""),"Cartel PVC 21x29 PROHIBIDO APARCAR")</f>
        <v>Cartel PVC 21x29 PROHIBIDO APARCAR</v>
      </c>
      <c r="C180" s="4">
        <f>IFERROR(__xludf.DUMMYFUNCTION("""COMPUTED_VALUE"""),1.6)</f>
        <v>1.6</v>
      </c>
      <c r="D180" s="4">
        <f>IFERROR(__xludf.DUMMYFUNCTION("""COMPUTED_VALUE"""),1.2)</f>
        <v>1.2</v>
      </c>
      <c r="E180" s="4" t="str">
        <f>IFERROR(__xludf.DUMMYFUNCTION("""COMPUTED_VALUE"""),"Neto: 1,20 € (a partir de 1 uds.)")</f>
        <v>Neto: 1,20 € (a partir de 1 uds.)</v>
      </c>
    </row>
    <row r="181">
      <c r="A181" s="4" t="str">
        <f>IFERROR(__xludf.DUMMYFUNCTION("""COMPUTED_VALUE"""),"249")</f>
        <v>249</v>
      </c>
      <c r="B181" s="4" t="str">
        <f>IFERROR(__xludf.DUMMYFUNCTION("""COMPUTED_VALUE"""),"Cartel PVC 40x30 STOP")</f>
        <v>Cartel PVC 40x30 STOP</v>
      </c>
      <c r="C181" s="4">
        <f>IFERROR(__xludf.DUMMYFUNCTION("""COMPUTED_VALUE"""),2.48)</f>
        <v>2.48</v>
      </c>
      <c r="D181" s="4">
        <f>IFERROR(__xludf.DUMMYFUNCTION("""COMPUTED_VALUE"""),1.8)</f>
        <v>1.8</v>
      </c>
      <c r="E181" s="4" t="str">
        <f>IFERROR(__xludf.DUMMYFUNCTION("""COMPUTED_VALUE"""),"Neto: 1,80 € (a partir de 1 uds.)")</f>
        <v>Neto: 1,80 € (a partir de 1 uds.)</v>
      </c>
    </row>
    <row r="182">
      <c r="A182" s="4" t="str">
        <f>IFERROR(__xludf.DUMMYFUNCTION("""COMPUTED_VALUE"""),"0249P")</f>
        <v>0249P</v>
      </c>
      <c r="B182" s="4" t="str">
        <f>IFERROR(__xludf.DUMMYFUNCTION("""COMPUTED_VALUE"""),"Cartel PVC 21x29 STOP")</f>
        <v>Cartel PVC 21x29 STOP</v>
      </c>
      <c r="C182" s="4">
        <f>IFERROR(__xludf.DUMMYFUNCTION("""COMPUTED_VALUE"""),1.6)</f>
        <v>1.6</v>
      </c>
      <c r="D182" s="4">
        <f>IFERROR(__xludf.DUMMYFUNCTION("""COMPUTED_VALUE"""),1.2)</f>
        <v>1.2</v>
      </c>
      <c r="E182" s="4" t="str">
        <f>IFERROR(__xludf.DUMMYFUNCTION("""COMPUTED_VALUE"""),"Neto: 1,20 € (a partir de 1 uds.)")</f>
        <v>Neto: 1,20 € (a partir de 1 uds.)</v>
      </c>
    </row>
    <row r="183">
      <c r="A183" s="4" t="str">
        <f>IFERROR(__xludf.DUMMYFUNCTION("""COMPUTED_VALUE"""),"250")</f>
        <v>250</v>
      </c>
      <c r="B183" s="4" t="str">
        <f>IFERROR(__xludf.DUMMYFUNCTION("""COMPUTED_VALUE"""),"Cartel PVC 40x30 (Peligro Indefinido)")</f>
        <v>Cartel PVC 40x30 (Peligro Indefinido)</v>
      </c>
      <c r="C183" s="4">
        <f>IFERROR(__xludf.DUMMYFUNCTION("""COMPUTED_VALUE"""),2.48)</f>
        <v>2.48</v>
      </c>
      <c r="D183" s="4">
        <f>IFERROR(__xludf.DUMMYFUNCTION("""COMPUTED_VALUE"""),1.8)</f>
        <v>1.8</v>
      </c>
      <c r="E183" s="4" t="str">
        <f>IFERROR(__xludf.DUMMYFUNCTION("""COMPUTED_VALUE"""),"Neto: 1,80 € (a partir de 1 uds.)")</f>
        <v>Neto: 1,80 € (a partir de 1 uds.)</v>
      </c>
    </row>
    <row r="184">
      <c r="A184" s="4" t="str">
        <f>IFERROR(__xludf.DUMMYFUNCTION("""COMPUTED_VALUE"""),"0250P")</f>
        <v>0250P</v>
      </c>
      <c r="B184" s="4" t="str">
        <f>IFERROR(__xludf.DUMMYFUNCTION("""COMPUTED_VALUE"""),"Cartel PVC 21x29 PELIGRO")</f>
        <v>Cartel PVC 21x29 PELIGRO</v>
      </c>
      <c r="C184" s="4">
        <f>IFERROR(__xludf.DUMMYFUNCTION("""COMPUTED_VALUE"""),1.6)</f>
        <v>1.6</v>
      </c>
      <c r="D184" s="4">
        <f>IFERROR(__xludf.DUMMYFUNCTION("""COMPUTED_VALUE"""),1.2)</f>
        <v>1.2</v>
      </c>
      <c r="E184" s="4" t="str">
        <f>IFERROR(__xludf.DUMMYFUNCTION("""COMPUTED_VALUE"""),"Neto: 1,20 € (a partir de 1 uds.)")</f>
        <v>Neto: 1,20 € (a partir de 1 uds.)</v>
      </c>
    </row>
    <row r="185">
      <c r="A185" s="4" t="str">
        <f>IFERROR(__xludf.DUMMYFUNCTION("""COMPUTED_VALUE"""),"251")</f>
        <v>251</v>
      </c>
      <c r="B185" s="4" t="str">
        <f>IFERROR(__xludf.DUMMYFUNCTION("""COMPUTED_VALUE"""),"Cartel PVC 40x30 (Vado Permanente)")</f>
        <v>Cartel PVC 40x30 (Vado Permanente)</v>
      </c>
      <c r="C185" s="4">
        <f>IFERROR(__xludf.DUMMYFUNCTION("""COMPUTED_VALUE"""),2.48)</f>
        <v>2.48</v>
      </c>
      <c r="D185" s="4">
        <f>IFERROR(__xludf.DUMMYFUNCTION("""COMPUTED_VALUE"""),1.8)</f>
        <v>1.8</v>
      </c>
      <c r="E185" s="4" t="str">
        <f>IFERROR(__xludf.DUMMYFUNCTION("""COMPUTED_VALUE"""),"Neto: 1,80 € (a partir de 1 uds.)")</f>
        <v>Neto: 1,80 € (a partir de 1 uds.)</v>
      </c>
    </row>
    <row r="186">
      <c r="A186" s="4" t="str">
        <f>IFERROR(__xludf.DUMMYFUNCTION("""COMPUTED_VALUE"""),"0251P")</f>
        <v>0251P</v>
      </c>
      <c r="B186" s="4" t="str">
        <f>IFERROR(__xludf.DUMMYFUNCTION("""COMPUTED_VALUE"""),"Cartel PVC 21x29 VADO PERMANENTE")</f>
        <v>Cartel PVC 21x29 VADO PERMANENTE</v>
      </c>
      <c r="C186" s="4">
        <f>IFERROR(__xludf.DUMMYFUNCTION("""COMPUTED_VALUE"""),1.6)</f>
        <v>1.6</v>
      </c>
      <c r="D186" s="4">
        <f>IFERROR(__xludf.DUMMYFUNCTION("""COMPUTED_VALUE"""),1.2)</f>
        <v>1.2</v>
      </c>
      <c r="E186" s="4" t="str">
        <f>IFERROR(__xludf.DUMMYFUNCTION("""COMPUTED_VALUE"""),"Neto: 1,20 € (a partir de 1 uds.)")</f>
        <v>Neto: 1,20 € (a partir de 1 uds.)</v>
      </c>
    </row>
    <row r="187">
      <c r="A187" s="4" t="str">
        <f>IFERROR(__xludf.DUMMYFUNCTION("""COMPUTED_VALUE"""),"252")</f>
        <v>252</v>
      </c>
      <c r="B187" s="4" t="str">
        <f>IFERROR(__xludf.DUMMYFUNCTION("""COMPUTED_VALUE"""),"Cartel PVC 40x30 (Riesgo Atrapamiento)")</f>
        <v>Cartel PVC 40x30 (Riesgo Atrapamiento)</v>
      </c>
      <c r="C187" s="4">
        <f>IFERROR(__xludf.DUMMYFUNCTION("""COMPUTED_VALUE"""),2.48)</f>
        <v>2.48</v>
      </c>
      <c r="D187" s="4">
        <f>IFERROR(__xludf.DUMMYFUNCTION("""COMPUTED_VALUE"""),1.8)</f>
        <v>1.8</v>
      </c>
      <c r="E187" s="4" t="str">
        <f>IFERROR(__xludf.DUMMYFUNCTION("""COMPUTED_VALUE"""),"Neto: 1,80 € (a partir de 1 uds.)")</f>
        <v>Neto: 1,80 € (a partir de 1 uds.)</v>
      </c>
    </row>
    <row r="188">
      <c r="A188" s="4" t="str">
        <f>IFERROR(__xludf.DUMMYFUNCTION("""COMPUTED_VALUE"""),"0252P")</f>
        <v>0252P</v>
      </c>
      <c r="B188" s="4" t="str">
        <f>IFERROR(__xludf.DUMMYFUNCTION("""COMPUTED_VALUE"""),"Cartel PVC 21x29 ATENCION RIESGO DE ATRAPAMIENTO")</f>
        <v>Cartel PVC 21x29 ATENCION RIESGO DE ATRAPAMIENTO</v>
      </c>
      <c r="C188" s="4">
        <f>IFERROR(__xludf.DUMMYFUNCTION("""COMPUTED_VALUE"""),1.6)</f>
        <v>1.6</v>
      </c>
      <c r="D188" s="4">
        <f>IFERROR(__xludf.DUMMYFUNCTION("""COMPUTED_VALUE"""),1.2)</f>
        <v>1.2</v>
      </c>
      <c r="E188" s="4" t="str">
        <f>IFERROR(__xludf.DUMMYFUNCTION("""COMPUTED_VALUE"""),"Neto: 1,20 € (a partir de 1 uds.)")</f>
        <v>Neto: 1,20 € (a partir de 1 uds.)</v>
      </c>
    </row>
    <row r="189">
      <c r="A189" s="4" t="str">
        <f>IFERROR(__xludf.DUMMYFUNCTION("""COMPUTED_VALUE"""),"253")</f>
        <v>253</v>
      </c>
      <c r="B189" s="4" t="str">
        <f>IFERROR(__xludf.DUMMYFUNCTION("""COMPUTED_VALUE"""),"Cartel PVC 40x30 (Proh. paso empresa)")</f>
        <v>Cartel PVC 40x30 (Proh. paso empresa)</v>
      </c>
      <c r="C189" s="4">
        <f>IFERROR(__xludf.DUMMYFUNCTION("""COMPUTED_VALUE"""),2.48)</f>
        <v>2.48</v>
      </c>
      <c r="D189" s="4">
        <f>IFERROR(__xludf.DUMMYFUNCTION("""COMPUTED_VALUE"""),1.8)</f>
        <v>1.8</v>
      </c>
      <c r="E189" s="4" t="str">
        <f>IFERROR(__xludf.DUMMYFUNCTION("""COMPUTED_VALUE"""),"Neto: 1,80 € (a partir de 1 uds.)")</f>
        <v>Neto: 1,80 € (a partir de 1 uds.)</v>
      </c>
    </row>
    <row r="190">
      <c r="A190" s="4" t="str">
        <f>IFERROR(__xludf.DUMMYFUNCTION("""COMPUTED_VALUE"""),"0253P")</f>
        <v>0253P</v>
      </c>
      <c r="B190" s="4" t="str">
        <f>IFERROR(__xludf.DUMMYFUNCTION("""COMPUTED_VALUE"""),"Cartel PVC 21x29 PROHIBIDO PASO PERSONA AJENA")</f>
        <v>Cartel PVC 21x29 PROHIBIDO PASO PERSONA AJENA</v>
      </c>
      <c r="C190" s="4">
        <f>IFERROR(__xludf.DUMMYFUNCTION("""COMPUTED_VALUE"""),1.6)</f>
        <v>1.6</v>
      </c>
      <c r="D190" s="4">
        <f>IFERROR(__xludf.DUMMYFUNCTION("""COMPUTED_VALUE"""),1.2)</f>
        <v>1.2</v>
      </c>
      <c r="E190" s="4" t="str">
        <f>IFERROR(__xludf.DUMMYFUNCTION("""COMPUTED_VALUE"""),"Neto: 1,20 € (a partir de 1 uds.)")</f>
        <v>Neto: 1,20 € (a partir de 1 uds.)</v>
      </c>
    </row>
    <row r="191">
      <c r="A191" s="4" t="str">
        <f>IFERROR(__xludf.DUMMYFUNCTION("""COMPUTED_VALUE"""),"255")</f>
        <v>255</v>
      </c>
      <c r="B191" s="4" t="str">
        <f>IFERROR(__xludf.DUMMYFUNCTION("""COMPUTED_VALUE"""),"Cartel PVC 40x30 (Temperatura elevada)")</f>
        <v>Cartel PVC 40x30 (Temperatura elevada)</v>
      </c>
      <c r="C191" s="4">
        <f>IFERROR(__xludf.DUMMYFUNCTION("""COMPUTED_VALUE"""),2.48)</f>
        <v>2.48</v>
      </c>
      <c r="D191" s="4">
        <f>IFERROR(__xludf.DUMMYFUNCTION("""COMPUTED_VALUE"""),1.8)</f>
        <v>1.8</v>
      </c>
      <c r="E191" s="4" t="str">
        <f>IFERROR(__xludf.DUMMYFUNCTION("""COMPUTED_VALUE"""),"Neto: 1,80 € (a partir de 1 uds.)")</f>
        <v>Neto: 1,80 € (a partir de 1 uds.)</v>
      </c>
    </row>
    <row r="192">
      <c r="A192" s="4" t="str">
        <f>IFERROR(__xludf.DUMMYFUNCTION("""COMPUTED_VALUE"""),"0255P")</f>
        <v>0255P</v>
      </c>
      <c r="B192" s="4" t="str">
        <f>IFERROR(__xludf.DUMMYFUNCTION("""COMPUTED_VALUE"""),"Cartel PVC 21x29 TEMPERATURA ELEVADA")</f>
        <v>Cartel PVC 21x29 TEMPERATURA ELEVADA</v>
      </c>
      <c r="C192" s="4">
        <f>IFERROR(__xludf.DUMMYFUNCTION("""COMPUTED_VALUE"""),1.6)</f>
        <v>1.6</v>
      </c>
      <c r="D192" s="4">
        <f>IFERROR(__xludf.DUMMYFUNCTION("""COMPUTED_VALUE"""),1.2)</f>
        <v>1.2</v>
      </c>
      <c r="E192" s="4" t="str">
        <f>IFERROR(__xludf.DUMMYFUNCTION("""COMPUTED_VALUE"""),"Neto: 1,20 € (a partir de 1 uds.)")</f>
        <v>Neto: 1,20 € (a partir de 1 uds.)</v>
      </c>
    </row>
    <row r="193">
      <c r="A193" s="4" t="str">
        <f>IFERROR(__xludf.DUMMYFUNCTION("""COMPUTED_VALUE"""),"256")</f>
        <v>256</v>
      </c>
      <c r="B193" s="4" t="str">
        <f>IFERROR(__xludf.DUMMYFUNCTION("""COMPUTED_VALUE"""),"Cartel PVC 40x30 Fotolum. Botiquin")</f>
        <v>Cartel PVC 40x30 Fotolum. Botiquin</v>
      </c>
      <c r="C193" s="4">
        <f>IFERROR(__xludf.DUMMYFUNCTION("""COMPUTED_VALUE"""),3.35)</f>
        <v>3.35</v>
      </c>
      <c r="D193" s="4">
        <f>IFERROR(__xludf.DUMMYFUNCTION("""COMPUTED_VALUE"""),3.2)</f>
        <v>3.2</v>
      </c>
      <c r="E193" s="4" t="str">
        <f>IFERROR(__xludf.DUMMYFUNCTION("""COMPUTED_VALUE"""),"Neto: 3,20 € (a partir de 1 uds.)")</f>
        <v>Neto: 3,20 € (a partir de 1 uds.)</v>
      </c>
    </row>
    <row r="194">
      <c r="A194" s="4" t="str">
        <f>IFERROR(__xludf.DUMMYFUNCTION("""COMPUTED_VALUE"""),"257")</f>
        <v>257</v>
      </c>
      <c r="B194" s="4" t="str">
        <f>IFERROR(__xludf.DUMMYFUNCTION("""COMPUTED_VALUE"""),"Cartel PVC 40x30 (Riesgo desprendimiento)")</f>
        <v>Cartel PVC 40x30 (Riesgo desprendimiento)</v>
      </c>
      <c r="C194" s="4">
        <f>IFERROR(__xludf.DUMMYFUNCTION("""COMPUTED_VALUE"""),2.48)</f>
        <v>2.48</v>
      </c>
      <c r="D194" s="4">
        <f>IFERROR(__xludf.DUMMYFUNCTION("""COMPUTED_VALUE"""),1.8)</f>
        <v>1.8</v>
      </c>
      <c r="E194" s="4" t="str">
        <f>IFERROR(__xludf.DUMMYFUNCTION("""COMPUTED_VALUE"""),"Neto: 1,80 € (a partir de 1 uds.)")</f>
        <v>Neto: 1,80 € (a partir de 1 uds.)</v>
      </c>
    </row>
    <row r="195">
      <c r="A195" s="4" t="str">
        <f>IFERROR(__xludf.DUMMYFUNCTION("""COMPUTED_VALUE"""),"0257P")</f>
        <v>0257P</v>
      </c>
      <c r="B195" s="4" t="str">
        <f>IFERROR(__xludf.DUMMYFUNCTION("""COMPUTED_VALUE"""),"Cartel PVC 21x29 RIESGO DESPRENDIMIENTOS")</f>
        <v>Cartel PVC 21x29 RIESGO DESPRENDIMIENTOS</v>
      </c>
      <c r="C195" s="4">
        <f>IFERROR(__xludf.DUMMYFUNCTION("""COMPUTED_VALUE"""),1.6)</f>
        <v>1.6</v>
      </c>
      <c r="D195" s="4">
        <f>IFERROR(__xludf.DUMMYFUNCTION("""COMPUTED_VALUE"""),1.2)</f>
        <v>1.2</v>
      </c>
      <c r="E195" s="4" t="str">
        <f>IFERROR(__xludf.DUMMYFUNCTION("""COMPUTED_VALUE"""),"Neto: 1,20 € (a partir de 1 uds.)")</f>
        <v>Neto: 1,20 € (a partir de 1 uds.)</v>
      </c>
    </row>
    <row r="196">
      <c r="A196" s="4" t="str">
        <f>IFERROR(__xludf.DUMMYFUNCTION("""COMPUTED_VALUE"""),"0258A")</f>
        <v>0258A</v>
      </c>
      <c r="B196" s="4" t="str">
        <f>IFERROR(__xludf.DUMMYFUNCTION("""COMPUTED_VALUE"""),"Cartel PVC 21x30 Fotolum. Pulsador de Alarma")</f>
        <v>Cartel PVC 21x30 Fotolum. Pulsador de Alarma</v>
      </c>
      <c r="C196" s="4">
        <f>IFERROR(__xludf.DUMMYFUNCTION("""COMPUTED_VALUE"""),2.52)</f>
        <v>2.52</v>
      </c>
      <c r="D196" s="4">
        <f>IFERROR(__xludf.DUMMYFUNCTION("""COMPUTED_VALUE"""),2.1)</f>
        <v>2.1</v>
      </c>
      <c r="E196" s="4" t="str">
        <f>IFERROR(__xludf.DUMMYFUNCTION("""COMPUTED_VALUE"""),"Neto: 2,10 € (a partir de 1 uds.)")</f>
        <v>Neto: 2,10 € (a partir de 1 uds.)</v>
      </c>
    </row>
    <row r="197">
      <c r="A197" s="4" t="str">
        <f>IFERROR(__xludf.DUMMYFUNCTION("""COMPUTED_VALUE"""),"0258B")</f>
        <v>0258B</v>
      </c>
      <c r="B197" s="4" t="str">
        <f>IFERROR(__xludf.DUMMYFUNCTION("""COMPUTED_VALUE"""),"Cartel PVC 40x30 Fotolum. Pulsador de Alarma")</f>
        <v>Cartel PVC 40x30 Fotolum. Pulsador de Alarma</v>
      </c>
      <c r="C197" s="4">
        <f>IFERROR(__xludf.DUMMYFUNCTION("""COMPUTED_VALUE"""),3.1)</f>
        <v>3.1</v>
      </c>
      <c r="D197" s="4">
        <f>IFERROR(__xludf.DUMMYFUNCTION("""COMPUTED_VALUE"""),3.2)</f>
        <v>3.2</v>
      </c>
      <c r="E197" s="4" t="str">
        <f>IFERROR(__xludf.DUMMYFUNCTION("""COMPUTED_VALUE"""),"Neto: 3,20 € (a partir de 1 uds.)")</f>
        <v>Neto: 3,20 € (a partir de 1 uds.)</v>
      </c>
    </row>
    <row r="198">
      <c r="A198" s="4" t="str">
        <f>IFERROR(__xludf.DUMMYFUNCTION("""COMPUTED_VALUE"""),"259")</f>
        <v>259</v>
      </c>
      <c r="B198" s="4" t="str">
        <f>IFERROR(__xludf.DUMMYFUNCTION("""COMPUTED_VALUE"""),"Cartel PVC 40x30 Prohib. depositar materiales")</f>
        <v>Cartel PVC 40x30 Prohib. depositar materiales</v>
      </c>
      <c r="C198" s="4">
        <f>IFERROR(__xludf.DUMMYFUNCTION("""COMPUTED_VALUE"""),2.48)</f>
        <v>2.48</v>
      </c>
      <c r="D198" s="4">
        <f>IFERROR(__xludf.DUMMYFUNCTION("""COMPUTED_VALUE"""),1.8)</f>
        <v>1.8</v>
      </c>
      <c r="E198" s="4" t="str">
        <f>IFERROR(__xludf.DUMMYFUNCTION("""COMPUTED_VALUE"""),"Neto: 1,80 € (a partir de 1 uds.)")</f>
        <v>Neto: 1,80 € (a partir de 1 uds.)</v>
      </c>
    </row>
    <row r="199">
      <c r="A199" s="4" t="str">
        <f>IFERROR(__xludf.DUMMYFUNCTION("""COMPUTED_VALUE"""),"0259P")</f>
        <v>0259P</v>
      </c>
      <c r="B199" s="4" t="str">
        <f>IFERROR(__xludf.DUMMYFUNCTION("""COMPUTED_VALUE"""),"Cartel PVC 21x29 PROHIBIDO DEPOSITAR MATERIALES")</f>
        <v>Cartel PVC 21x29 PROHIBIDO DEPOSITAR MATERIALES</v>
      </c>
      <c r="C199" s="4">
        <f>IFERROR(__xludf.DUMMYFUNCTION("""COMPUTED_VALUE"""),1.6)</f>
        <v>1.6</v>
      </c>
      <c r="D199" s="4">
        <f>IFERROR(__xludf.DUMMYFUNCTION("""COMPUTED_VALUE"""),1.2)</f>
        <v>1.2</v>
      </c>
      <c r="E199" s="4" t="str">
        <f>IFERROR(__xludf.DUMMYFUNCTION("""COMPUTED_VALUE"""),"Neto: 1,20 € (a partir de 1 uds.)")</f>
        <v>Neto: 1,20 € (a partir de 1 uds.)</v>
      </c>
    </row>
    <row r="200">
      <c r="A200" s="4" t="str">
        <f>IFERROR(__xludf.DUMMYFUNCTION("""COMPUTED_VALUE"""),"260")</f>
        <v>260</v>
      </c>
      <c r="B200" s="4" t="str">
        <f>IFERROR(__xludf.DUMMYFUNCTION("""COMPUTED_VALUE"""),"Cartel PVC 40x30 Caida de Objetos")</f>
        <v>Cartel PVC 40x30 Caida de Objetos</v>
      </c>
      <c r="C200" s="4">
        <f>IFERROR(__xludf.DUMMYFUNCTION("""COMPUTED_VALUE"""),2.48)</f>
        <v>2.48</v>
      </c>
      <c r="D200" s="4">
        <f>IFERROR(__xludf.DUMMYFUNCTION("""COMPUTED_VALUE"""),1.8)</f>
        <v>1.8</v>
      </c>
      <c r="E200" s="4" t="str">
        <f>IFERROR(__xludf.DUMMYFUNCTION("""COMPUTED_VALUE"""),"Neto: 1,80 € (a partir de 1 uds.)")</f>
        <v>Neto: 1,80 € (a partir de 1 uds.)</v>
      </c>
    </row>
    <row r="201">
      <c r="A201" s="4" t="str">
        <f>IFERROR(__xludf.DUMMYFUNCTION("""COMPUTED_VALUE"""),"0260P")</f>
        <v>0260P</v>
      </c>
      <c r="B201" s="4" t="str">
        <f>IFERROR(__xludf.DUMMYFUNCTION("""COMPUTED_VALUE"""),"Cartel PVC 21x29 PELIGRO CAIDA DE OBJETOS")</f>
        <v>Cartel PVC 21x29 PELIGRO CAIDA DE OBJETOS</v>
      </c>
      <c r="C201" s="4">
        <f>IFERROR(__xludf.DUMMYFUNCTION("""COMPUTED_VALUE"""),1.6)</f>
        <v>1.6</v>
      </c>
      <c r="D201" s="4">
        <f>IFERROR(__xludf.DUMMYFUNCTION("""COMPUTED_VALUE"""),1.2)</f>
        <v>1.2</v>
      </c>
      <c r="E201" s="4" t="str">
        <f>IFERROR(__xludf.DUMMYFUNCTION("""COMPUTED_VALUE"""),"Neto: 1,20 € (a partir de 1 uds.)")</f>
        <v>Neto: 1,20 € (a partir de 1 uds.)</v>
      </c>
    </row>
    <row r="202">
      <c r="A202" s="4" t="str">
        <f>IFERROR(__xludf.DUMMYFUNCTION("""COMPUTED_VALUE"""),"261")</f>
        <v>261</v>
      </c>
      <c r="B202" s="4" t="str">
        <f>IFERROR(__xludf.DUMMYFUNCTION("""COMPUTED_VALUE"""),"Cartel PVC 40x30 Fotolum. Aseos Mujeres")</f>
        <v>Cartel PVC 40x30 Fotolum. Aseos Mujeres</v>
      </c>
      <c r="C202" s="4">
        <f>IFERROR(__xludf.DUMMYFUNCTION("""COMPUTED_VALUE"""),3.35)</f>
        <v>3.35</v>
      </c>
      <c r="D202" s="4">
        <f>IFERROR(__xludf.DUMMYFUNCTION("""COMPUTED_VALUE"""),3.2)</f>
        <v>3.2</v>
      </c>
      <c r="E202" s="4" t="str">
        <f>IFERROR(__xludf.DUMMYFUNCTION("""COMPUTED_VALUE"""),"Neto: 3,20 € (a partir de 1 uds.)")</f>
        <v>Neto: 3,20 € (a partir de 1 uds.)</v>
      </c>
    </row>
    <row r="203">
      <c r="A203" s="4" t="str">
        <f>IFERROR(__xludf.DUMMYFUNCTION("""COMPUTED_VALUE"""),"262")</f>
        <v>262</v>
      </c>
      <c r="B203" s="4" t="str">
        <f>IFERROR(__xludf.DUMMYFUNCTION("""COMPUTED_VALUE"""),"Cartel PVC 40x30 Fotolum. Aseos hombres")</f>
        <v>Cartel PVC 40x30 Fotolum. Aseos hombres</v>
      </c>
      <c r="C203" s="4">
        <f>IFERROR(__xludf.DUMMYFUNCTION("""COMPUTED_VALUE"""),3.35)</f>
        <v>3.35</v>
      </c>
      <c r="D203" s="4">
        <f>IFERROR(__xludf.DUMMYFUNCTION("""COMPUTED_VALUE"""),3.2)</f>
        <v>3.2</v>
      </c>
      <c r="E203" s="4" t="str">
        <f>IFERROR(__xludf.DUMMYFUNCTION("""COMPUTED_VALUE"""),"Neto: 3,20 € (a partir de 1 uds.)")</f>
        <v>Neto: 3,20 € (a partir de 1 uds.)</v>
      </c>
    </row>
    <row r="204">
      <c r="A204" s="4" t="str">
        <f>IFERROR(__xludf.DUMMYFUNCTION("""COMPUTED_VALUE"""),"263")</f>
        <v>263</v>
      </c>
      <c r="B204" s="4" t="str">
        <f>IFERROR(__xludf.DUMMYFUNCTION("""COMPUTED_VALUE"""),"Cartel PVC 40x30 Fotolum.Aseos Mixtos")</f>
        <v>Cartel PVC 40x30 Fotolum.Aseos Mixtos</v>
      </c>
      <c r="C204" s="4">
        <f>IFERROR(__xludf.DUMMYFUNCTION("""COMPUTED_VALUE"""),3.35)</f>
        <v>3.35</v>
      </c>
      <c r="D204" s="4">
        <f>IFERROR(__xludf.DUMMYFUNCTION("""COMPUTED_VALUE"""),3.2)</f>
        <v>3.2</v>
      </c>
      <c r="E204" s="4" t="str">
        <f>IFERROR(__xludf.DUMMYFUNCTION("""COMPUTED_VALUE"""),"Neto: 3,20 € (a partir de 1 uds.)")</f>
        <v>Neto: 3,20 € (a partir de 1 uds.)</v>
      </c>
    </row>
    <row r="205">
      <c r="A205" s="4" t="str">
        <f>IFERROR(__xludf.DUMMYFUNCTION("""COMPUTED_VALUE"""),"264")</f>
        <v>264</v>
      </c>
      <c r="B205" s="4" t="str">
        <f>IFERROR(__xludf.DUMMYFUNCTION("""COMPUTED_VALUE"""),"Cartel PVC 40X30 Fotolum. Salida de Emergencia")</f>
        <v>Cartel PVC 40X30 Fotolum. Salida de Emergencia</v>
      </c>
      <c r="C205" s="4">
        <f>IFERROR(__xludf.DUMMYFUNCTION("""COMPUTED_VALUE"""),3.35)</f>
        <v>3.35</v>
      </c>
      <c r="D205" s="4">
        <f>IFERROR(__xludf.DUMMYFUNCTION("""COMPUTED_VALUE"""),3.2)</f>
        <v>3.2</v>
      </c>
      <c r="E205" s="4" t="str">
        <f>IFERROR(__xludf.DUMMYFUNCTION("""COMPUTED_VALUE"""),"Neto: 3,20 € (a partir de 1 uds.)")</f>
        <v>Neto: 3,20 € (a partir de 1 uds.)</v>
      </c>
    </row>
    <row r="206">
      <c r="A206" s="4" t="str">
        <f>IFERROR(__xludf.DUMMYFUNCTION("""COMPUTED_VALUE"""),"265")</f>
        <v>265</v>
      </c>
      <c r="B206" s="4" t="str">
        <f>IFERROR(__xludf.DUMMYFUNCTION("""COMPUTED_VALUE"""),"Cartel PVC 40x30 Perro Peligroso")</f>
        <v>Cartel PVC 40x30 Perro Peligroso</v>
      </c>
      <c r="C206" s="4">
        <f>IFERROR(__xludf.DUMMYFUNCTION("""COMPUTED_VALUE"""),2.48)</f>
        <v>2.48</v>
      </c>
      <c r="D206" s="4">
        <f>IFERROR(__xludf.DUMMYFUNCTION("""COMPUTED_VALUE"""),1.8)</f>
        <v>1.8</v>
      </c>
      <c r="E206" s="4" t="str">
        <f>IFERROR(__xludf.DUMMYFUNCTION("""COMPUTED_VALUE"""),"Neto: 1,80 € (a partir de 1 uds.)")</f>
        <v>Neto: 1,80 € (a partir de 1 uds.)</v>
      </c>
    </row>
    <row r="207">
      <c r="A207" s="4" t="str">
        <f>IFERROR(__xludf.DUMMYFUNCTION("""COMPUTED_VALUE"""),"0265P")</f>
        <v>0265P</v>
      </c>
      <c r="B207" s="4" t="str">
        <f>IFERROR(__xludf.DUMMYFUNCTION("""COMPUTED_VALUE"""),"Cartel PVC 21x29 PERRO PELIGROSO")</f>
        <v>Cartel PVC 21x29 PERRO PELIGROSO</v>
      </c>
      <c r="C207" s="4">
        <f>IFERROR(__xludf.DUMMYFUNCTION("""COMPUTED_VALUE"""),1.6)</f>
        <v>1.6</v>
      </c>
      <c r="D207" s="4">
        <f>IFERROR(__xludf.DUMMYFUNCTION("""COMPUTED_VALUE"""),1.2)</f>
        <v>1.2</v>
      </c>
      <c r="E207" s="4" t="str">
        <f>IFERROR(__xludf.DUMMYFUNCTION("""COMPUTED_VALUE"""),"Neto: 1,20 € (a partir de 1 uds.)")</f>
        <v>Neto: 1,20 € (a partir de 1 uds.)</v>
      </c>
    </row>
    <row r="208">
      <c r="A208" s="4" t="str">
        <f>IFERROR(__xludf.DUMMYFUNCTION("""COMPUTED_VALUE"""),"266")</f>
        <v>266</v>
      </c>
      <c r="B208" s="4" t="str">
        <f>IFERROR(__xludf.DUMMYFUNCTION("""COMPUTED_VALUE"""),"Cartel PVC 40x30 Peligro zona minera")</f>
        <v>Cartel PVC 40x30 Peligro zona minera</v>
      </c>
      <c r="C208" s="4">
        <f>IFERROR(__xludf.DUMMYFUNCTION("""COMPUTED_VALUE"""),2.48)</f>
        <v>2.48</v>
      </c>
      <c r="D208" s="4">
        <f>IFERROR(__xludf.DUMMYFUNCTION("""COMPUTED_VALUE"""),1.8)</f>
        <v>1.8</v>
      </c>
      <c r="E208" s="4" t="str">
        <f>IFERROR(__xludf.DUMMYFUNCTION("""COMPUTED_VALUE"""),"Neto: 1,80 € (a partir de 1 uds.)")</f>
        <v>Neto: 1,80 € (a partir de 1 uds.)</v>
      </c>
    </row>
    <row r="209">
      <c r="A209" s="4" t="str">
        <f>IFERROR(__xludf.DUMMYFUNCTION("""COMPUTED_VALUE"""),"0266P")</f>
        <v>0266P</v>
      </c>
      <c r="B209" s="4" t="str">
        <f>IFERROR(__xludf.DUMMYFUNCTION("""COMPUTED_VALUE"""),"Cartel PVC 21x29 PELIGRO ZONA MINERA")</f>
        <v>Cartel PVC 21x29 PELIGRO ZONA MINERA</v>
      </c>
      <c r="C209" s="4">
        <f>IFERROR(__xludf.DUMMYFUNCTION("""COMPUTED_VALUE"""),1.6)</f>
        <v>1.6</v>
      </c>
      <c r="D209" s="4">
        <f>IFERROR(__xludf.DUMMYFUNCTION("""COMPUTED_VALUE"""),1.2)</f>
        <v>1.2</v>
      </c>
      <c r="E209" s="4" t="str">
        <f>IFERROR(__xludf.DUMMYFUNCTION("""COMPUTED_VALUE"""),"Neto: 1,20 € (a partir de 1 uds.)")</f>
        <v>Neto: 1,20 € (a partir de 1 uds.)</v>
      </c>
    </row>
    <row r="210">
      <c r="A210" s="4" t="str">
        <f>IFERROR(__xludf.DUMMYFUNCTION("""COMPUTED_VALUE"""),"267")</f>
        <v>267</v>
      </c>
      <c r="B210" s="4" t="str">
        <f>IFERROR(__xludf.DUMMYFUNCTION("""COMPUTED_VALUE"""),"Cartel PVC 40x30 Vehiculo Pesado")</f>
        <v>Cartel PVC 40x30 Vehiculo Pesado</v>
      </c>
      <c r="C210" s="4">
        <f>IFERROR(__xludf.DUMMYFUNCTION("""COMPUTED_VALUE"""),2.48)</f>
        <v>2.48</v>
      </c>
      <c r="D210" s="4">
        <f>IFERROR(__xludf.DUMMYFUNCTION("""COMPUTED_VALUE"""),1.8)</f>
        <v>1.8</v>
      </c>
      <c r="E210" s="4" t="str">
        <f>IFERROR(__xludf.DUMMYFUNCTION("""COMPUTED_VALUE"""),"Neto: 1,80 € (a partir de 1 uds.)")</f>
        <v>Neto: 1,80 € (a partir de 1 uds.)</v>
      </c>
    </row>
    <row r="211">
      <c r="A211" s="4" t="str">
        <f>IFERROR(__xludf.DUMMYFUNCTION("""COMPUTED_VALUE"""),"0267P")</f>
        <v>0267P</v>
      </c>
      <c r="B211" s="4" t="str">
        <f>IFERROR(__xludf.DUMMYFUNCTION("""COMPUTED_VALUE"""),"Cartel PVC 21x29 VEHICULO PESADO")</f>
        <v>Cartel PVC 21x29 VEHICULO PESADO</v>
      </c>
      <c r="C211" s="4">
        <f>IFERROR(__xludf.DUMMYFUNCTION("""COMPUTED_VALUE"""),1.6)</f>
        <v>1.6</v>
      </c>
      <c r="D211" s="4">
        <f>IFERROR(__xludf.DUMMYFUNCTION("""COMPUTED_VALUE"""),1.2)</f>
        <v>1.2</v>
      </c>
      <c r="E211" s="4" t="str">
        <f>IFERROR(__xludf.DUMMYFUNCTION("""COMPUTED_VALUE"""),"Neto: 1,20 € (a partir de 1 uds.)")</f>
        <v>Neto: 1,20 € (a partir de 1 uds.)</v>
      </c>
    </row>
    <row r="212">
      <c r="A212" s="4" t="str">
        <f>IFERROR(__xludf.DUMMYFUNCTION("""COMPUTED_VALUE"""),"268")</f>
        <v>268</v>
      </c>
      <c r="B212" s="4" t="str">
        <f>IFERROR(__xludf.DUMMYFUNCTION("""COMPUTED_VALUE"""),"Cartel PVC 40x30 Peligro Expulsion de Material")</f>
        <v>Cartel PVC 40x30 Peligro Expulsion de Material</v>
      </c>
      <c r="C212" s="4">
        <f>IFERROR(__xludf.DUMMYFUNCTION("""COMPUTED_VALUE"""),2.48)</f>
        <v>2.48</v>
      </c>
      <c r="D212" s="4">
        <f>IFERROR(__xludf.DUMMYFUNCTION("""COMPUTED_VALUE"""),1.8)</f>
        <v>1.8</v>
      </c>
      <c r="E212" s="4" t="str">
        <f>IFERROR(__xludf.DUMMYFUNCTION("""COMPUTED_VALUE"""),"Neto: 1,80 € (a partir de 1 uds.)")</f>
        <v>Neto: 1,80 € (a partir de 1 uds.)</v>
      </c>
    </row>
    <row r="213">
      <c r="A213" s="4" t="str">
        <f>IFERROR(__xludf.DUMMYFUNCTION("""COMPUTED_VALUE"""),"0268P")</f>
        <v>0268P</v>
      </c>
      <c r="B213" s="4" t="str">
        <f>IFERROR(__xludf.DUMMYFUNCTION("""COMPUTED_VALUE"""),"Cartel PVC 21x29 PELIGRO EXPUL.MATERIAL")</f>
        <v>Cartel PVC 21x29 PELIGRO EXPUL.MATERIAL</v>
      </c>
      <c r="C213" s="4">
        <f>IFERROR(__xludf.DUMMYFUNCTION("""COMPUTED_VALUE"""),1.6)</f>
        <v>1.6</v>
      </c>
      <c r="D213" s="4">
        <f>IFERROR(__xludf.DUMMYFUNCTION("""COMPUTED_VALUE"""),1.2)</f>
        <v>1.2</v>
      </c>
      <c r="E213" s="4" t="str">
        <f>IFERROR(__xludf.DUMMYFUNCTION("""COMPUTED_VALUE"""),"Neto: 1,20 € (a partir de 1 uds.)")</f>
        <v>Neto: 1,20 € (a partir de 1 uds.)</v>
      </c>
    </row>
    <row r="214">
      <c r="A214" s="4" t="str">
        <f>IFERROR(__xludf.DUMMYFUNCTION("""COMPUTED_VALUE"""),"269")</f>
        <v>269</v>
      </c>
      <c r="B214" s="4" t="str">
        <f>IFERROR(__xludf.DUMMYFUNCTION("""COMPUTED_VALUE"""),"Cartel PVC 40x30 Atencion Mecanismo Accionado a distancia")</f>
        <v>Cartel PVC 40x30 Atencion Mecanismo Accionado a distancia</v>
      </c>
      <c r="C214" s="4">
        <f>IFERROR(__xludf.DUMMYFUNCTION("""COMPUTED_VALUE"""),2.48)</f>
        <v>2.48</v>
      </c>
      <c r="D214" s="4">
        <f>IFERROR(__xludf.DUMMYFUNCTION("""COMPUTED_VALUE"""),1.8)</f>
        <v>1.8</v>
      </c>
      <c r="E214" s="4" t="str">
        <f>IFERROR(__xludf.DUMMYFUNCTION("""COMPUTED_VALUE"""),"Neto: 1,80 € (a partir de 1 uds.)")</f>
        <v>Neto: 1,80 € (a partir de 1 uds.)</v>
      </c>
    </row>
    <row r="215">
      <c r="A215" s="4" t="str">
        <f>IFERROR(__xludf.DUMMYFUNCTION("""COMPUTED_VALUE"""),"0269P")</f>
        <v>0269P</v>
      </c>
      <c r="B215" s="4" t="str">
        <f>IFERROR(__xludf.DUMMYFUNCTION("""COMPUTED_VALUE"""),"Cartel PVC 21x29 ATENCION MECANISMO ACCION.")</f>
        <v>Cartel PVC 21x29 ATENCION MECANISMO ACCION.</v>
      </c>
      <c r="C215" s="4">
        <f>IFERROR(__xludf.DUMMYFUNCTION("""COMPUTED_VALUE"""),1.6)</f>
        <v>1.6</v>
      </c>
      <c r="D215" s="4">
        <f>IFERROR(__xludf.DUMMYFUNCTION("""COMPUTED_VALUE"""),1.2)</f>
        <v>1.2</v>
      </c>
      <c r="E215" s="4" t="str">
        <f>IFERROR(__xludf.DUMMYFUNCTION("""COMPUTED_VALUE"""),"Neto: 1,20 € (a partir de 1 uds.)")</f>
        <v>Neto: 1,20 € (a partir de 1 uds.)</v>
      </c>
    </row>
    <row r="216">
      <c r="A216" s="4" t="str">
        <f>IFERROR(__xludf.DUMMYFUNCTION("""COMPUTED_VALUE"""),"270")</f>
        <v>270</v>
      </c>
      <c r="B216" s="4" t="str">
        <f>IFERROR(__xludf.DUMMYFUNCTION("""COMPUTED_VALUE"""),"Cartel PVC 40x30 Atencion Grua Accionada a distan.")</f>
        <v>Cartel PVC 40x30 Atencion Grua Accionada a distan.</v>
      </c>
      <c r="C216" s="4">
        <f>IFERROR(__xludf.DUMMYFUNCTION("""COMPUTED_VALUE"""),2.48)</f>
        <v>2.48</v>
      </c>
      <c r="D216" s="4">
        <f>IFERROR(__xludf.DUMMYFUNCTION("""COMPUTED_VALUE"""),1.8)</f>
        <v>1.8</v>
      </c>
      <c r="E216" s="4" t="str">
        <f>IFERROR(__xludf.DUMMYFUNCTION("""COMPUTED_VALUE"""),"Neto: 1,80 € (a partir de 1 uds.)")</f>
        <v>Neto: 1,80 € (a partir de 1 uds.)</v>
      </c>
    </row>
    <row r="217">
      <c r="A217" s="4" t="str">
        <f>IFERROR(__xludf.DUMMYFUNCTION("""COMPUTED_VALUE"""),"0270P")</f>
        <v>0270P</v>
      </c>
      <c r="B217" s="4" t="str">
        <f>IFERROR(__xludf.DUMMYFUNCTION("""COMPUTED_VALUE"""),"Cartel PVC 21x29 ATENCION GRUA ACCIONADA A")</f>
        <v>Cartel PVC 21x29 ATENCION GRUA ACCIONADA A</v>
      </c>
      <c r="C217" s="4">
        <f>IFERROR(__xludf.DUMMYFUNCTION("""COMPUTED_VALUE"""),1.6)</f>
        <v>1.6</v>
      </c>
      <c r="D217" s="4">
        <f>IFERROR(__xludf.DUMMYFUNCTION("""COMPUTED_VALUE"""),1.2)</f>
        <v>1.2</v>
      </c>
      <c r="E217" s="4" t="str">
        <f>IFERROR(__xludf.DUMMYFUNCTION("""COMPUTED_VALUE"""),"Neto: 1,20 € (a partir de 1 uds.)")</f>
        <v>Neto: 1,20 € (a partir de 1 uds.)</v>
      </c>
    </row>
    <row r="218">
      <c r="A218" s="4" t="str">
        <f>IFERROR(__xludf.DUMMYFUNCTION("""COMPUTED_VALUE"""),"271")</f>
        <v>271</v>
      </c>
      <c r="B218" s="4" t="str">
        <f>IFERROR(__xludf.DUMMYFUNCTION("""COMPUTED_VALUE"""),"Cartel PVC 40x30 EX 40x30 cm")</f>
        <v>Cartel PVC 40x30 EX 40x30 cm</v>
      </c>
      <c r="C218" s="4">
        <f>IFERROR(__xludf.DUMMYFUNCTION("""COMPUTED_VALUE"""),2.48)</f>
        <v>2.48</v>
      </c>
      <c r="D218" s="4">
        <f>IFERROR(__xludf.DUMMYFUNCTION("""COMPUTED_VALUE"""),1.8)</f>
        <v>1.8</v>
      </c>
      <c r="E218" s="4" t="str">
        <f>IFERROR(__xludf.DUMMYFUNCTION("""COMPUTED_VALUE"""),"Neto: 1,80 € (a partir de 1 uds.)")</f>
        <v>Neto: 1,80 € (a partir de 1 uds.)</v>
      </c>
    </row>
    <row r="219">
      <c r="A219" s="4" t="str">
        <f>IFERROR(__xludf.DUMMYFUNCTION("""COMPUTED_VALUE"""),"0271P")</f>
        <v>0271P</v>
      </c>
      <c r="B219" s="4" t="str">
        <f>IFERROR(__xludf.DUMMYFUNCTION("""COMPUTED_VALUE"""),"Cartel PVC 21x29 EX 21x29 cm")</f>
        <v>Cartel PVC 21x29 EX 21x29 cm</v>
      </c>
      <c r="C219" s="4">
        <f>IFERROR(__xludf.DUMMYFUNCTION("""COMPUTED_VALUE"""),1.6)</f>
        <v>1.6</v>
      </c>
      <c r="D219" s="4">
        <f>IFERROR(__xludf.DUMMYFUNCTION("""COMPUTED_VALUE"""),1.2)</f>
        <v>1.2</v>
      </c>
      <c r="E219" s="4" t="str">
        <f>IFERROR(__xludf.DUMMYFUNCTION("""COMPUTED_VALUE"""),"Neto: 1,20 € (a partir de 1 uds.)")</f>
        <v>Neto: 1,20 € (a partir de 1 uds.)</v>
      </c>
    </row>
    <row r="220">
      <c r="A220" s="4" t="str">
        <f>IFERROR(__xludf.DUMMYFUNCTION("""COMPUTED_VALUE"""),"272")</f>
        <v>272</v>
      </c>
      <c r="B220" s="4" t="str">
        <f>IFERROR(__xludf.DUMMYFUNCTION("""COMPUTED_VALUE"""),"Cartel PVC 40x30 Peligro Voladuras")</f>
        <v>Cartel PVC 40x30 Peligro Voladuras</v>
      </c>
      <c r="C220" s="4">
        <f>IFERROR(__xludf.DUMMYFUNCTION("""COMPUTED_VALUE"""),2.48)</f>
        <v>2.48</v>
      </c>
      <c r="D220" s="4">
        <f>IFERROR(__xludf.DUMMYFUNCTION("""COMPUTED_VALUE"""),1.8)</f>
        <v>1.8</v>
      </c>
      <c r="E220" s="4" t="str">
        <f>IFERROR(__xludf.DUMMYFUNCTION("""COMPUTED_VALUE"""),"Neto: 1,80 € (a partir de 1 uds.)")</f>
        <v>Neto: 1,80 € (a partir de 1 uds.)</v>
      </c>
    </row>
    <row r="221">
      <c r="A221" s="4" t="str">
        <f>IFERROR(__xludf.DUMMYFUNCTION("""COMPUTED_VALUE"""),"0272P")</f>
        <v>0272P</v>
      </c>
      <c r="B221" s="4" t="str">
        <f>IFERROR(__xludf.DUMMYFUNCTION("""COMPUTED_VALUE"""),"Cartel PVC 21x29 PELIGRO VOLADURA")</f>
        <v>Cartel PVC 21x29 PELIGRO VOLADURA</v>
      </c>
      <c r="C221" s="4">
        <f>IFERROR(__xludf.DUMMYFUNCTION("""COMPUTED_VALUE"""),1.6)</f>
        <v>1.6</v>
      </c>
      <c r="D221" s="4">
        <f>IFERROR(__xludf.DUMMYFUNCTION("""COMPUTED_VALUE"""),1.2)</f>
        <v>1.2</v>
      </c>
      <c r="E221" s="4" t="str">
        <f>IFERROR(__xludf.DUMMYFUNCTION("""COMPUTED_VALUE"""),"Neto: 1,20 € (a partir de 1 uds.)")</f>
        <v>Neto: 1,20 € (a partir de 1 uds.)</v>
      </c>
    </row>
    <row r="222">
      <c r="A222" s="4" t="str">
        <f>IFERROR(__xludf.DUMMYFUNCTION("""COMPUTED_VALUE"""),"273")</f>
        <v>273</v>
      </c>
      <c r="B222" s="4" t="str">
        <f>IFERROR(__xludf.DUMMYFUNCTION("""COMPUTED_VALUE"""),"Cartel PVC 40x30 Prohib. Manipular valvula")</f>
        <v>Cartel PVC 40x30 Prohib. Manipular valvula</v>
      </c>
      <c r="C222" s="4">
        <f>IFERROR(__xludf.DUMMYFUNCTION("""COMPUTED_VALUE"""),2.48)</f>
        <v>2.48</v>
      </c>
      <c r="D222" s="4">
        <f>IFERROR(__xludf.DUMMYFUNCTION("""COMPUTED_VALUE"""),1.8)</f>
        <v>1.8</v>
      </c>
      <c r="E222" s="4" t="str">
        <f>IFERROR(__xludf.DUMMYFUNCTION("""COMPUTED_VALUE"""),"Neto: 1,80 € (a partir de 1 uds.)")</f>
        <v>Neto: 1,80 € (a partir de 1 uds.)</v>
      </c>
    </row>
    <row r="223">
      <c r="A223" s="4" t="str">
        <f>IFERROR(__xludf.DUMMYFUNCTION("""COMPUTED_VALUE"""),"0273P")</f>
        <v>0273P</v>
      </c>
      <c r="B223" s="4" t="str">
        <f>IFERROR(__xludf.DUMMYFUNCTION("""COMPUTED_VALUE"""),"Cartel PVC 21x29 PROHIBIDO MANIPULAR LA VALVULA")</f>
        <v>Cartel PVC 21x29 PROHIBIDO MANIPULAR LA VALVULA</v>
      </c>
      <c r="C223" s="4">
        <f>IFERROR(__xludf.DUMMYFUNCTION("""COMPUTED_VALUE"""),1.6)</f>
        <v>1.6</v>
      </c>
      <c r="D223" s="4">
        <f>IFERROR(__xludf.DUMMYFUNCTION("""COMPUTED_VALUE"""),1.2)</f>
        <v>1.2</v>
      </c>
      <c r="E223" s="4" t="str">
        <f>IFERROR(__xludf.DUMMYFUNCTION("""COMPUTED_VALUE"""),"Neto: 1,20 € (a partir de 1 uds.)")</f>
        <v>Neto: 1,20 € (a partir de 1 uds.)</v>
      </c>
    </row>
    <row r="224">
      <c r="A224" s="4" t="str">
        <f>IFERROR(__xludf.DUMMYFUNCTION("""COMPUTED_VALUE"""),"274")</f>
        <v>274</v>
      </c>
      <c r="B224" s="4" t="str">
        <f>IFERROR(__xludf.DUMMYFUNCTION("""COMPUTED_VALUE"""),"Cartel PVC 40x30 Prohibido Engrasar en funcionamiento")</f>
        <v>Cartel PVC 40x30 Prohibido Engrasar en funcionamiento</v>
      </c>
      <c r="C224" s="4">
        <f>IFERROR(__xludf.DUMMYFUNCTION("""COMPUTED_VALUE"""),2.48)</f>
        <v>2.48</v>
      </c>
      <c r="D224" s="4">
        <f>IFERROR(__xludf.DUMMYFUNCTION("""COMPUTED_VALUE"""),1.8)</f>
        <v>1.8</v>
      </c>
      <c r="E224" s="4" t="str">
        <f>IFERROR(__xludf.DUMMYFUNCTION("""COMPUTED_VALUE"""),"Neto: 1,80 € (a partir de 1 uds.)")</f>
        <v>Neto: 1,80 € (a partir de 1 uds.)</v>
      </c>
    </row>
    <row r="225">
      <c r="A225" s="4" t="str">
        <f>IFERROR(__xludf.DUMMYFUNCTION("""COMPUTED_VALUE"""),"0274P")</f>
        <v>0274P</v>
      </c>
      <c r="B225" s="4" t="str">
        <f>IFERROR(__xludf.DUMMYFUNCTION("""COMPUTED_VALUE"""),"Cartel PVC 21x29 PROHIBIDO ENGRASAR O REPARAR")</f>
        <v>Cartel PVC 21x29 PROHIBIDO ENGRASAR O REPARAR</v>
      </c>
      <c r="C225" s="4">
        <f>IFERROR(__xludf.DUMMYFUNCTION("""COMPUTED_VALUE"""),1.6)</f>
        <v>1.6</v>
      </c>
      <c r="D225" s="4">
        <f>IFERROR(__xludf.DUMMYFUNCTION("""COMPUTED_VALUE"""),1.2)</f>
        <v>1.2</v>
      </c>
      <c r="E225" s="4" t="str">
        <f>IFERROR(__xludf.DUMMYFUNCTION("""COMPUTED_VALUE"""),"Neto: 1,20 € (a partir de 1 uds.)")</f>
        <v>Neto: 1,20 € (a partir de 1 uds.)</v>
      </c>
    </row>
    <row r="226">
      <c r="A226" s="4" t="str">
        <f>IFERROR(__xludf.DUMMYFUNCTION("""COMPUTED_VALUE"""),"275")</f>
        <v>275</v>
      </c>
      <c r="B226" s="4" t="str">
        <f>IFERROR(__xludf.DUMMYFUNCTION("""COMPUTED_VALUE"""),"Cartel PVC 40x30 Prohib. efectuar reparaciones pers. no")</f>
        <v>Cartel PVC 40x30 Prohib. efectuar reparaciones pers. no</v>
      </c>
      <c r="C226" s="4">
        <f>IFERROR(__xludf.DUMMYFUNCTION("""COMPUTED_VALUE"""),2.48)</f>
        <v>2.48</v>
      </c>
      <c r="D226" s="4">
        <f>IFERROR(__xludf.DUMMYFUNCTION("""COMPUTED_VALUE"""),1.8)</f>
        <v>1.8</v>
      </c>
      <c r="E226" s="4" t="str">
        <f>IFERROR(__xludf.DUMMYFUNCTION("""COMPUTED_VALUE"""),"Neto: 1,80 € (a partir de 1 uds.)")</f>
        <v>Neto: 1,80 € (a partir de 1 uds.)</v>
      </c>
    </row>
    <row r="227">
      <c r="A227" s="4" t="str">
        <f>IFERROR(__xludf.DUMMYFUNCTION("""COMPUTED_VALUE"""),"0275P")</f>
        <v>0275P</v>
      </c>
      <c r="B227" s="4" t="str">
        <f>IFERROR(__xludf.DUMMYFUNCTION("""COMPUTED_VALUE"""),"Cartel PVC 21x29 PROHIBIDO REPARACIONES PERSONAL")</f>
        <v>Cartel PVC 21x29 PROHIBIDO REPARACIONES PERSONAL</v>
      </c>
      <c r="C227" s="4">
        <f>IFERROR(__xludf.DUMMYFUNCTION("""COMPUTED_VALUE"""),1.6)</f>
        <v>1.6</v>
      </c>
      <c r="D227" s="4">
        <f>IFERROR(__xludf.DUMMYFUNCTION("""COMPUTED_VALUE"""),1.2)</f>
        <v>1.2</v>
      </c>
      <c r="E227" s="4" t="str">
        <f>IFERROR(__xludf.DUMMYFUNCTION("""COMPUTED_VALUE"""),"Neto: 1,20 € (a partir de 1 uds.)")</f>
        <v>Neto: 1,20 € (a partir de 1 uds.)</v>
      </c>
    </row>
    <row r="228">
      <c r="A228" s="4" t="str">
        <f>IFERROR(__xludf.DUMMYFUNCTION("""COMPUTED_VALUE"""),"276")</f>
        <v>276</v>
      </c>
      <c r="B228" s="4" t="str">
        <f>IFERROR(__xludf.DUMMYFUNCTION("""COMPUTED_VALUE"""),"Cartel PVC 40x30 Prohib. Manipular maquina en")</f>
        <v>Cartel PVC 40x30 Prohib. Manipular maquina en</v>
      </c>
      <c r="C228" s="4">
        <f>IFERROR(__xludf.DUMMYFUNCTION("""COMPUTED_VALUE"""),2.48)</f>
        <v>2.48</v>
      </c>
      <c r="D228" s="4">
        <f>IFERROR(__xludf.DUMMYFUNCTION("""COMPUTED_VALUE"""),1.8)</f>
        <v>1.8</v>
      </c>
      <c r="E228" s="4" t="str">
        <f>IFERROR(__xludf.DUMMYFUNCTION("""COMPUTED_VALUE"""),"Neto: 1,80 € (a partir de 1 uds.)")</f>
        <v>Neto: 1,80 € (a partir de 1 uds.)</v>
      </c>
    </row>
    <row r="229">
      <c r="A229" s="4" t="str">
        <f>IFERROR(__xludf.DUMMYFUNCTION("""COMPUTED_VALUE"""),"0276P")</f>
        <v>0276P</v>
      </c>
      <c r="B229" s="4" t="str">
        <f>IFERROR(__xludf.DUMMYFUNCTION("""COMPUTED_VALUE"""),"Cartel PVC 21x29 PROHIBIDO MANIPULAR LA MAQUINA EN")</f>
        <v>Cartel PVC 21x29 PROHIBIDO MANIPULAR LA MAQUINA EN</v>
      </c>
      <c r="C229" s="4">
        <f>IFERROR(__xludf.DUMMYFUNCTION("""COMPUTED_VALUE"""),1.6)</f>
        <v>1.6</v>
      </c>
      <c r="D229" s="4">
        <f>IFERROR(__xludf.DUMMYFUNCTION("""COMPUTED_VALUE"""),1.2)</f>
        <v>1.2</v>
      </c>
      <c r="E229" s="4" t="str">
        <f>IFERROR(__xludf.DUMMYFUNCTION("""COMPUTED_VALUE"""),"Neto: 1,20 € (a partir de 1 uds.)")</f>
        <v>Neto: 1,20 € (a partir de 1 uds.)</v>
      </c>
    </row>
    <row r="230">
      <c r="A230" s="4" t="str">
        <f>IFERROR(__xludf.DUMMYFUNCTION("""COMPUTED_VALUE"""),"277")</f>
        <v>277</v>
      </c>
      <c r="B230" s="4" t="str">
        <f>IFERROR(__xludf.DUMMYFUNCTION("""COMPUTED_VALUE"""),"Cartel PVC 40x30 Area de Ruido Peligroso")</f>
        <v>Cartel PVC 40x30 Area de Ruido Peligroso</v>
      </c>
      <c r="C230" s="4">
        <f>IFERROR(__xludf.DUMMYFUNCTION("""COMPUTED_VALUE"""),2.48)</f>
        <v>2.48</v>
      </c>
      <c r="D230" s="4">
        <f>IFERROR(__xludf.DUMMYFUNCTION("""COMPUTED_VALUE"""),1.8)</f>
        <v>1.8</v>
      </c>
      <c r="E230" s="4" t="str">
        <f>IFERROR(__xludf.DUMMYFUNCTION("""COMPUTED_VALUE"""),"Neto: 1,80 € (a partir de 1 uds.)")</f>
        <v>Neto: 1,80 € (a partir de 1 uds.)</v>
      </c>
    </row>
    <row r="231">
      <c r="A231" s="4" t="str">
        <f>IFERROR(__xludf.DUMMYFUNCTION("""COMPUTED_VALUE"""),"0277P")</f>
        <v>0277P</v>
      </c>
      <c r="B231" s="4" t="str">
        <f>IFERROR(__xludf.DUMMYFUNCTION("""COMPUTED_VALUE"""),"Cartel PVC 21x29 ATENCION AREA RUIDO PELIGROSO")</f>
        <v>Cartel PVC 21x29 ATENCION AREA RUIDO PELIGROSO</v>
      </c>
      <c r="C231" s="4">
        <f>IFERROR(__xludf.DUMMYFUNCTION("""COMPUTED_VALUE"""),1.6)</f>
        <v>1.6</v>
      </c>
      <c r="D231" s="4">
        <f>IFERROR(__xludf.DUMMYFUNCTION("""COMPUTED_VALUE"""),1.2)</f>
        <v>1.2</v>
      </c>
      <c r="E231" s="4" t="str">
        <f>IFERROR(__xludf.DUMMYFUNCTION("""COMPUTED_VALUE"""),"Neto: 1,20 € (a partir de 1 uds.)")</f>
        <v>Neto: 1,20 € (a partir de 1 uds.)</v>
      </c>
    </row>
    <row r="232">
      <c r="A232" s="4" t="str">
        <f>IFERROR(__xludf.DUMMYFUNCTION("""COMPUTED_VALUE"""),"278")</f>
        <v>278</v>
      </c>
      <c r="B232" s="4" t="str">
        <f>IFERROR(__xludf.DUMMYFUNCTION("""COMPUTED_VALUE"""),"Cartel PVC 40x30 Prohib. la entrada con perros")</f>
        <v>Cartel PVC 40x30 Prohib. la entrada con perros</v>
      </c>
      <c r="C232" s="4">
        <f>IFERROR(__xludf.DUMMYFUNCTION("""COMPUTED_VALUE"""),2.48)</f>
        <v>2.48</v>
      </c>
      <c r="D232" s="4">
        <f>IFERROR(__xludf.DUMMYFUNCTION("""COMPUTED_VALUE"""),1.8)</f>
        <v>1.8</v>
      </c>
      <c r="E232" s="4" t="str">
        <f>IFERROR(__xludf.DUMMYFUNCTION("""COMPUTED_VALUE"""),"Neto: 1,80 € (a partir de 1 uds.)")</f>
        <v>Neto: 1,80 € (a partir de 1 uds.)</v>
      </c>
    </row>
    <row r="233">
      <c r="A233" s="4" t="str">
        <f>IFERROR(__xludf.DUMMYFUNCTION("""COMPUTED_VALUE"""),"0278P")</f>
        <v>0278P</v>
      </c>
      <c r="B233" s="4" t="str">
        <f>IFERROR(__xludf.DUMMYFUNCTION("""COMPUTED_VALUE"""),"Cartel PVC 21x29 PROHIBIDO LA ENTRADA CON PERROS")</f>
        <v>Cartel PVC 21x29 PROHIBIDO LA ENTRADA CON PERROS</v>
      </c>
      <c r="C233" s="4">
        <f>IFERROR(__xludf.DUMMYFUNCTION("""COMPUTED_VALUE"""),1.6)</f>
        <v>1.6</v>
      </c>
      <c r="D233" s="4">
        <f>IFERROR(__xludf.DUMMYFUNCTION("""COMPUTED_VALUE"""),1.2)</f>
        <v>1.2</v>
      </c>
      <c r="E233" s="4" t="str">
        <f>IFERROR(__xludf.DUMMYFUNCTION("""COMPUTED_VALUE"""),"Neto: 1,20 € (a partir de 1 uds.)")</f>
        <v>Neto: 1,20 € (a partir de 1 uds.)</v>
      </c>
    </row>
    <row r="234">
      <c r="A234" s="4" t="str">
        <f>IFERROR(__xludf.DUMMYFUNCTION("""COMPUTED_VALUE"""),"279")</f>
        <v>279</v>
      </c>
      <c r="B234" s="4" t="str">
        <f>IFERROR(__xludf.DUMMYFUNCTION("""COMPUTED_VALUE"""),"Cartel PVC 40x30 Prohibido arrojar objetos")</f>
        <v>Cartel PVC 40x30 Prohibido arrojar objetos</v>
      </c>
      <c r="C234" s="4">
        <f>IFERROR(__xludf.DUMMYFUNCTION("""COMPUTED_VALUE"""),2.48)</f>
        <v>2.48</v>
      </c>
      <c r="D234" s="4">
        <f>IFERROR(__xludf.DUMMYFUNCTION("""COMPUTED_VALUE"""),1.8)</f>
        <v>1.8</v>
      </c>
      <c r="E234" s="4" t="str">
        <f>IFERROR(__xludf.DUMMYFUNCTION("""COMPUTED_VALUE"""),"Neto: 1,80 € (a partir de 1 uds.)")</f>
        <v>Neto: 1,80 € (a partir de 1 uds.)</v>
      </c>
    </row>
    <row r="235">
      <c r="A235" s="4" t="str">
        <f>IFERROR(__xludf.DUMMYFUNCTION("""COMPUTED_VALUE"""),"0279P")</f>
        <v>0279P</v>
      </c>
      <c r="B235" s="4" t="str">
        <f>IFERROR(__xludf.DUMMYFUNCTION("""COMPUTED_VALUE"""),"Cartel PVC 21x29 PROHIBIDO ARROJAR OBJETOS AL")</f>
        <v>Cartel PVC 21x29 PROHIBIDO ARROJAR OBJETOS AL</v>
      </c>
      <c r="C235" s="4">
        <f>IFERROR(__xludf.DUMMYFUNCTION("""COMPUTED_VALUE"""),1.6)</f>
        <v>1.6</v>
      </c>
      <c r="D235" s="4">
        <f>IFERROR(__xludf.DUMMYFUNCTION("""COMPUTED_VALUE"""),1.2)</f>
        <v>1.2</v>
      </c>
      <c r="E235" s="4" t="str">
        <f>IFERROR(__xludf.DUMMYFUNCTION("""COMPUTED_VALUE"""),"Neto: 1,20 € (a partir de 1 uds.)")</f>
        <v>Neto: 1,20 € (a partir de 1 uds.)</v>
      </c>
    </row>
    <row r="236">
      <c r="A236" s="4" t="str">
        <f>IFERROR(__xludf.DUMMYFUNCTION("""COMPUTED_VALUE"""),"280")</f>
        <v>280</v>
      </c>
      <c r="B236" s="4" t="str">
        <f>IFERROR(__xludf.DUMMYFUNCTION("""COMPUTED_VALUE"""),"Cartel PVC 40x30 Alto No Pasar")</f>
        <v>Cartel PVC 40x30 Alto No Pasar</v>
      </c>
      <c r="C236" s="4">
        <f>IFERROR(__xludf.DUMMYFUNCTION("""COMPUTED_VALUE"""),2.48)</f>
        <v>2.48</v>
      </c>
      <c r="D236" s="4">
        <f>IFERROR(__xludf.DUMMYFUNCTION("""COMPUTED_VALUE"""),1.8)</f>
        <v>1.8</v>
      </c>
      <c r="E236" s="4" t="str">
        <f>IFERROR(__xludf.DUMMYFUNCTION("""COMPUTED_VALUE"""),"Neto: 1,80 € (a partir de 1 uds.)")</f>
        <v>Neto: 1,80 € (a partir de 1 uds.)</v>
      </c>
    </row>
    <row r="237">
      <c r="A237" s="4" t="str">
        <f>IFERROR(__xludf.DUMMYFUNCTION("""COMPUTED_VALUE"""),"0280P")</f>
        <v>0280P</v>
      </c>
      <c r="B237" s="4" t="str">
        <f>IFERROR(__xludf.DUMMYFUNCTION("""COMPUTED_VALUE"""),"Cartel PVC 21x29 ALTO NO PASAR")</f>
        <v>Cartel PVC 21x29 ALTO NO PASAR</v>
      </c>
      <c r="C237" s="4">
        <f>IFERROR(__xludf.DUMMYFUNCTION("""COMPUTED_VALUE"""),1.6)</f>
        <v>1.6</v>
      </c>
      <c r="D237" s="4">
        <f>IFERROR(__xludf.DUMMYFUNCTION("""COMPUTED_VALUE"""),1.2)</f>
        <v>1.2</v>
      </c>
      <c r="E237" s="4" t="str">
        <f>IFERROR(__xludf.DUMMYFUNCTION("""COMPUTED_VALUE"""),"Neto: 1,20 € (a partir de 1 uds.)")</f>
        <v>Neto: 1,20 € (a partir de 1 uds.)</v>
      </c>
    </row>
    <row r="238">
      <c r="A238" s="4" t="str">
        <f>IFERROR(__xludf.DUMMYFUNCTION("""COMPUTED_VALUE"""),"281")</f>
        <v>281</v>
      </c>
      <c r="B238" s="4" t="str">
        <f>IFERROR(__xludf.DUMMYFUNCTION("""COMPUTED_VALUE"""),"Cartel PVC 40x30 Agua no Potable")</f>
        <v>Cartel PVC 40x30 Agua no Potable</v>
      </c>
      <c r="C238" s="4">
        <f>IFERROR(__xludf.DUMMYFUNCTION("""COMPUTED_VALUE"""),2.48)</f>
        <v>2.48</v>
      </c>
      <c r="D238" s="4">
        <f>IFERROR(__xludf.DUMMYFUNCTION("""COMPUTED_VALUE"""),1.8)</f>
        <v>1.8</v>
      </c>
      <c r="E238" s="4" t="str">
        <f>IFERROR(__xludf.DUMMYFUNCTION("""COMPUTED_VALUE"""),"Neto: 1,80 € (a partir de 1 uds.)")</f>
        <v>Neto: 1,80 € (a partir de 1 uds.)</v>
      </c>
    </row>
    <row r="239">
      <c r="A239" s="4" t="str">
        <f>IFERROR(__xludf.DUMMYFUNCTION("""COMPUTED_VALUE"""),"0281P")</f>
        <v>0281P</v>
      </c>
      <c r="B239" s="4" t="str">
        <f>IFERROR(__xludf.DUMMYFUNCTION("""COMPUTED_VALUE"""),"Cartel PVC 21x29 AGUA NO POTABLE")</f>
        <v>Cartel PVC 21x29 AGUA NO POTABLE</v>
      </c>
      <c r="C239" s="4">
        <f>IFERROR(__xludf.DUMMYFUNCTION("""COMPUTED_VALUE"""),1.6)</f>
        <v>1.6</v>
      </c>
      <c r="D239" s="4">
        <f>IFERROR(__xludf.DUMMYFUNCTION("""COMPUTED_VALUE"""),1.2)</f>
        <v>1.2</v>
      </c>
      <c r="E239" s="4" t="str">
        <f>IFERROR(__xludf.DUMMYFUNCTION("""COMPUTED_VALUE"""),"Neto: 1,20 € (a partir de 1 uds.)")</f>
        <v>Neto: 1,20 € (a partir de 1 uds.)</v>
      </c>
    </row>
    <row r="240">
      <c r="A240" s="4" t="str">
        <f>IFERROR(__xludf.DUMMYFUNCTION("""COMPUTED_VALUE"""),"282")</f>
        <v>282</v>
      </c>
      <c r="B240" s="4" t="str">
        <f>IFERROR(__xludf.DUMMYFUNCTION("""COMPUTED_VALUE"""),"Cartel PVC 40x30 Prohibido El Paso")</f>
        <v>Cartel PVC 40x30 Prohibido El Paso</v>
      </c>
      <c r="C240" s="4">
        <f>IFERROR(__xludf.DUMMYFUNCTION("""COMPUTED_VALUE"""),2.48)</f>
        <v>2.48</v>
      </c>
      <c r="D240" s="4">
        <f>IFERROR(__xludf.DUMMYFUNCTION("""COMPUTED_VALUE"""),1.8)</f>
        <v>1.8</v>
      </c>
      <c r="E240" s="4" t="str">
        <f>IFERROR(__xludf.DUMMYFUNCTION("""COMPUTED_VALUE"""),"Neto: 1,80 € (a partir de 1 uds.)")</f>
        <v>Neto: 1,80 € (a partir de 1 uds.)</v>
      </c>
    </row>
    <row r="241">
      <c r="A241" s="4" t="str">
        <f>IFERROR(__xludf.DUMMYFUNCTION("""COMPUTED_VALUE"""),"0282P")</f>
        <v>0282P</v>
      </c>
      <c r="B241" s="4" t="str">
        <f>IFERROR(__xludf.DUMMYFUNCTION("""COMPUTED_VALUE"""),"Cartel PVC 21x29 PROHIBIDO EL PASO")</f>
        <v>Cartel PVC 21x29 PROHIBIDO EL PASO</v>
      </c>
      <c r="C241" s="4">
        <f>IFERROR(__xludf.DUMMYFUNCTION("""COMPUTED_VALUE"""),1.6)</f>
        <v>1.6</v>
      </c>
      <c r="D241" s="4">
        <f>IFERROR(__xludf.DUMMYFUNCTION("""COMPUTED_VALUE"""),1.2)</f>
        <v>1.2</v>
      </c>
      <c r="E241" s="4" t="str">
        <f>IFERROR(__xludf.DUMMYFUNCTION("""COMPUTED_VALUE"""),"Neto: 1,20 € (a partir de 1 uds.)")</f>
        <v>Neto: 1,20 € (a partir de 1 uds.)</v>
      </c>
    </row>
    <row r="242">
      <c r="A242" s="4" t="str">
        <f>IFERROR(__xludf.DUMMYFUNCTION("""COMPUTED_VALUE"""),"283")</f>
        <v>283</v>
      </c>
      <c r="B242" s="4" t="str">
        <f>IFERROR(__xludf.DUMMYFUNCTION("""COMPUTED_VALUE"""),"Cartel PVC 40x30 Prohib. Transportar personas")</f>
        <v>Cartel PVC 40x30 Prohib. Transportar personas</v>
      </c>
      <c r="C242" s="4">
        <f>IFERROR(__xludf.DUMMYFUNCTION("""COMPUTED_VALUE"""),2.48)</f>
        <v>2.48</v>
      </c>
      <c r="D242" s="4">
        <f>IFERROR(__xludf.DUMMYFUNCTION("""COMPUTED_VALUE"""),1.8)</f>
        <v>1.8</v>
      </c>
      <c r="E242" s="4" t="str">
        <f>IFERROR(__xludf.DUMMYFUNCTION("""COMPUTED_VALUE"""),"Neto: 1,80 € (a partir de 1 uds.)")</f>
        <v>Neto: 1,80 € (a partir de 1 uds.)</v>
      </c>
    </row>
    <row r="243">
      <c r="A243" s="4" t="str">
        <f>IFERROR(__xludf.DUMMYFUNCTION("""COMPUTED_VALUE"""),"0283P")</f>
        <v>0283P</v>
      </c>
      <c r="B243" s="4" t="str">
        <f>IFERROR(__xludf.DUMMYFUNCTION("""COMPUTED_VALUE"""),"Cartel PVC 21x29 PROHIBIDO TRANSPORTAR PERSONAS")</f>
        <v>Cartel PVC 21x29 PROHIBIDO TRANSPORTAR PERSONAS</v>
      </c>
      <c r="C243" s="4">
        <f>IFERROR(__xludf.DUMMYFUNCTION("""COMPUTED_VALUE"""),1.6)</f>
        <v>1.6</v>
      </c>
      <c r="D243" s="4">
        <f>IFERROR(__xludf.DUMMYFUNCTION("""COMPUTED_VALUE"""),1.2)</f>
        <v>1.2</v>
      </c>
      <c r="E243" s="4" t="str">
        <f>IFERROR(__xludf.DUMMYFUNCTION("""COMPUTED_VALUE"""),"Neto: 1,20 € (a partir de 1 uds.)")</f>
        <v>Neto: 1,20 € (a partir de 1 uds.)</v>
      </c>
    </row>
    <row r="244">
      <c r="A244" s="4" t="str">
        <f>IFERROR(__xludf.DUMMYFUNCTION("""COMPUTED_VALUE"""),"284")</f>
        <v>284</v>
      </c>
      <c r="B244" s="4" t="str">
        <f>IFERROR(__xludf.DUMMYFUNCTION("""COMPUTED_VALUE"""),"Cartel PVC 40x30 Prohib. Situarse debajo de la carga")</f>
        <v>Cartel PVC 40x30 Prohib. Situarse debajo de la carga</v>
      </c>
      <c r="C244" s="4">
        <f>IFERROR(__xludf.DUMMYFUNCTION("""COMPUTED_VALUE"""),2.48)</f>
        <v>2.48</v>
      </c>
      <c r="D244" s="4">
        <f>IFERROR(__xludf.DUMMYFUNCTION("""COMPUTED_VALUE"""),1.8)</f>
        <v>1.8</v>
      </c>
      <c r="E244" s="4" t="str">
        <f>IFERROR(__xludf.DUMMYFUNCTION("""COMPUTED_VALUE"""),"Neto: 1,80 € (a partir de 1 uds.)")</f>
        <v>Neto: 1,80 € (a partir de 1 uds.)</v>
      </c>
    </row>
    <row r="245">
      <c r="A245" s="4" t="str">
        <f>IFERROR(__xludf.DUMMYFUNCTION("""COMPUTED_VALUE"""),"0284P")</f>
        <v>0284P</v>
      </c>
      <c r="B245" s="4" t="str">
        <f>IFERROR(__xludf.DUMMYFUNCTION("""COMPUTED_VALUE"""),"Cartel PVC 21x29 PROHIBIDO SITUARSE DEBAJO DE LA")</f>
        <v>Cartel PVC 21x29 PROHIBIDO SITUARSE DEBAJO DE LA</v>
      </c>
      <c r="C245" s="4">
        <f>IFERROR(__xludf.DUMMYFUNCTION("""COMPUTED_VALUE"""),1.6)</f>
        <v>1.6</v>
      </c>
      <c r="D245" s="4">
        <f>IFERROR(__xludf.DUMMYFUNCTION("""COMPUTED_VALUE"""),1.2)</f>
        <v>1.2</v>
      </c>
      <c r="E245" s="4" t="str">
        <f>IFERROR(__xludf.DUMMYFUNCTION("""COMPUTED_VALUE"""),"Neto: 1,20 € (a partir de 1 uds.)")</f>
        <v>Neto: 1,20 € (a partir de 1 uds.)</v>
      </c>
    </row>
    <row r="246">
      <c r="A246" s="4" t="str">
        <f>IFERROR(__xludf.DUMMYFUNCTION("""COMPUTED_VALUE"""),"285")</f>
        <v>285</v>
      </c>
      <c r="B246" s="4" t="str">
        <f>IFERROR(__xludf.DUMMYFUNCTION("""COMPUTED_VALUE"""),"Cartel PVC 40x30 No utilizar en caso de Emergencia")</f>
        <v>Cartel PVC 40x30 No utilizar en caso de Emergencia</v>
      </c>
      <c r="C246" s="4">
        <f>IFERROR(__xludf.DUMMYFUNCTION("""COMPUTED_VALUE"""),2.48)</f>
        <v>2.48</v>
      </c>
      <c r="D246" s="4">
        <f>IFERROR(__xludf.DUMMYFUNCTION("""COMPUTED_VALUE"""),1.8)</f>
        <v>1.8</v>
      </c>
      <c r="E246" s="4" t="str">
        <f>IFERROR(__xludf.DUMMYFUNCTION("""COMPUTED_VALUE"""),"Neto: 1,80 € (a partir de 1 uds.)")</f>
        <v>Neto: 1,80 € (a partir de 1 uds.)</v>
      </c>
    </row>
    <row r="247">
      <c r="A247" s="4" t="str">
        <f>IFERROR(__xludf.DUMMYFUNCTION("""COMPUTED_VALUE"""),"0285P")</f>
        <v>0285P</v>
      </c>
      <c r="B247" s="4" t="str">
        <f>IFERROR(__xludf.DUMMYFUNCTION("""COMPUTED_VALUE"""),"Cartel PVC 21X29 NO UTILIZAR EN CASO DE EMERGENCIA")</f>
        <v>Cartel PVC 21X29 NO UTILIZAR EN CASO DE EMERGENCIA</v>
      </c>
      <c r="C247" s="4">
        <f>IFERROR(__xludf.DUMMYFUNCTION("""COMPUTED_VALUE"""),1.6)</f>
        <v>1.6</v>
      </c>
      <c r="D247" s="4">
        <f>IFERROR(__xludf.DUMMYFUNCTION("""COMPUTED_VALUE"""),1.2)</f>
        <v>1.2</v>
      </c>
      <c r="E247" s="4" t="str">
        <f>IFERROR(__xludf.DUMMYFUNCTION("""COMPUTED_VALUE"""),"Neto: 1,20 € (a partir de 1 uds.)")</f>
        <v>Neto: 1,20 € (a partir de 1 uds.)</v>
      </c>
    </row>
    <row r="248">
      <c r="A248" s="4" t="str">
        <f>IFERROR(__xludf.DUMMYFUNCTION("""COMPUTED_VALUE"""),"286")</f>
        <v>286</v>
      </c>
      <c r="B248" s="4" t="str">
        <f>IFERROR(__xludf.DUMMYFUNCTION("""COMPUTED_VALUE"""),"Cartel PVC 40x30 No utilizar Incendio")</f>
        <v>Cartel PVC 40x30 No utilizar Incendio</v>
      </c>
      <c r="C248" s="4">
        <f>IFERROR(__xludf.DUMMYFUNCTION("""COMPUTED_VALUE"""),2.48)</f>
        <v>2.48</v>
      </c>
      <c r="D248" s="4">
        <f>IFERROR(__xludf.DUMMYFUNCTION("""COMPUTED_VALUE"""),1.8)</f>
        <v>1.8</v>
      </c>
      <c r="E248" s="4" t="str">
        <f>IFERROR(__xludf.DUMMYFUNCTION("""COMPUTED_VALUE"""),"Neto: 1,80 € (a partir de 1 uds.)")</f>
        <v>Neto: 1,80 € (a partir de 1 uds.)</v>
      </c>
    </row>
    <row r="249">
      <c r="A249" s="4" t="str">
        <f>IFERROR(__xludf.DUMMYFUNCTION("""COMPUTED_VALUE"""),"0286P")</f>
        <v>0286P</v>
      </c>
      <c r="B249" s="4" t="str">
        <f>IFERROR(__xludf.DUMMYFUNCTION("""COMPUTED_VALUE"""),"Cartel PVC 21x29 NO UTILIZAR EN CASO DE INCENDIO")</f>
        <v>Cartel PVC 21x29 NO UTILIZAR EN CASO DE INCENDIO</v>
      </c>
      <c r="C249" s="4">
        <f>IFERROR(__xludf.DUMMYFUNCTION("""COMPUTED_VALUE"""),1.6)</f>
        <v>1.6</v>
      </c>
      <c r="D249" s="4">
        <f>IFERROR(__xludf.DUMMYFUNCTION("""COMPUTED_VALUE"""),1.2)</f>
        <v>1.2</v>
      </c>
      <c r="E249" s="4" t="str">
        <f>IFERROR(__xludf.DUMMYFUNCTION("""COMPUTED_VALUE"""),"Neto: 1,20 € (a partir de 1 uds.)")</f>
        <v>Neto: 1,20 € (a partir de 1 uds.)</v>
      </c>
    </row>
    <row r="250">
      <c r="A250" s="4" t="str">
        <f>IFERROR(__xludf.DUMMYFUNCTION("""COMPUTED_VALUE"""),"287")</f>
        <v>287</v>
      </c>
      <c r="B250" s="4" t="str">
        <f>IFERROR(__xludf.DUMMYFUNCTION("""COMPUTED_VALUE"""),"Cartel PVC 40x30 Atencion Altura Baja")</f>
        <v>Cartel PVC 40x30 Atencion Altura Baja</v>
      </c>
      <c r="C250" s="4">
        <f>IFERROR(__xludf.DUMMYFUNCTION("""COMPUTED_VALUE"""),2.48)</f>
        <v>2.48</v>
      </c>
      <c r="D250" s="4">
        <f>IFERROR(__xludf.DUMMYFUNCTION("""COMPUTED_VALUE"""),1.8)</f>
        <v>1.8</v>
      </c>
      <c r="E250" s="4" t="str">
        <f>IFERROR(__xludf.DUMMYFUNCTION("""COMPUTED_VALUE"""),"Neto: 1,80 € (a partir de 1 uds.)")</f>
        <v>Neto: 1,80 € (a partir de 1 uds.)</v>
      </c>
    </row>
    <row r="251">
      <c r="A251" s="4" t="str">
        <f>IFERROR(__xludf.DUMMYFUNCTION("""COMPUTED_VALUE"""),"0287P")</f>
        <v>0287P</v>
      </c>
      <c r="B251" s="4" t="str">
        <f>IFERROR(__xludf.DUMMYFUNCTION("""COMPUTED_VALUE"""),"Cartel PVC 21x29 ATENCION ALTURA BAJA")</f>
        <v>Cartel PVC 21x29 ATENCION ALTURA BAJA</v>
      </c>
      <c r="C251" s="4">
        <f>IFERROR(__xludf.DUMMYFUNCTION("""COMPUTED_VALUE"""),1.6)</f>
        <v>1.6</v>
      </c>
      <c r="D251" s="4">
        <f>IFERROR(__xludf.DUMMYFUNCTION("""COMPUTED_VALUE"""),1.2)</f>
        <v>1.2</v>
      </c>
      <c r="E251" s="4" t="str">
        <f>IFERROR(__xludf.DUMMYFUNCTION("""COMPUTED_VALUE"""),"Neto: 1,20 € (a partir de 1 uds.)")</f>
        <v>Neto: 1,20 € (a partir de 1 uds.)</v>
      </c>
    </row>
    <row r="252">
      <c r="A252" s="4" t="str">
        <f>IFERROR(__xludf.DUMMYFUNCTION("""COMPUTED_VALUE"""),"288")</f>
        <v>288</v>
      </c>
      <c r="B252" s="4" t="str">
        <f>IFERROR(__xludf.DUMMYFUNCTION("""COMPUTED_VALUE"""),"Cartel PVC 40x30 Prohibido Accionar o maniobrar")</f>
        <v>Cartel PVC 40x30 Prohibido Accionar o maniobrar</v>
      </c>
      <c r="C252" s="4">
        <f>IFERROR(__xludf.DUMMYFUNCTION("""COMPUTED_VALUE"""),2.48)</f>
        <v>2.48</v>
      </c>
      <c r="D252" s="4">
        <f>IFERROR(__xludf.DUMMYFUNCTION("""COMPUTED_VALUE"""),1.8)</f>
        <v>1.8</v>
      </c>
      <c r="E252" s="4" t="str">
        <f>IFERROR(__xludf.DUMMYFUNCTION("""COMPUTED_VALUE"""),"Neto: 1,80 € (a partir de 1 uds.)")</f>
        <v>Neto: 1,80 € (a partir de 1 uds.)</v>
      </c>
    </row>
    <row r="253">
      <c r="A253" s="4" t="str">
        <f>IFERROR(__xludf.DUMMYFUNCTION("""COMPUTED_VALUE"""),"0288P")</f>
        <v>0288P</v>
      </c>
      <c r="B253" s="4" t="str">
        <f>IFERROR(__xludf.DUMMYFUNCTION("""COMPUTED_VALUE"""),"Cartel PVC 21x29 PROHIBIDO ACCIONAR O MANIOBRAR")</f>
        <v>Cartel PVC 21x29 PROHIBIDO ACCIONAR O MANIOBRAR</v>
      </c>
      <c r="C253" s="4">
        <f>IFERROR(__xludf.DUMMYFUNCTION("""COMPUTED_VALUE"""),1.6)</f>
        <v>1.6</v>
      </c>
      <c r="D253" s="4">
        <f>IFERROR(__xludf.DUMMYFUNCTION("""COMPUTED_VALUE"""),1.2)</f>
        <v>1.2</v>
      </c>
      <c r="E253" s="4" t="str">
        <f>IFERROR(__xludf.DUMMYFUNCTION("""COMPUTED_VALUE"""),"Neto: 1,20 € (a partir de 1 uds.)")</f>
        <v>Neto: 1,20 € (a partir de 1 uds.)</v>
      </c>
    </row>
    <row r="254">
      <c r="A254" s="4" t="str">
        <f>IFERROR(__xludf.DUMMYFUNCTION("""COMPUTED_VALUE"""),"289")</f>
        <v>289</v>
      </c>
      <c r="B254" s="4" t="str">
        <f>IFERROR(__xludf.DUMMYFUNCTION("""COMPUTED_VALUE"""),"Cartel PVC 40x30 Fotolum.Hacha contra Incendio")</f>
        <v>Cartel PVC 40x30 Fotolum.Hacha contra Incendio</v>
      </c>
      <c r="C254" s="4">
        <f>IFERROR(__xludf.DUMMYFUNCTION("""COMPUTED_VALUE"""),2.48)</f>
        <v>2.48</v>
      </c>
      <c r="D254" s="4">
        <f>IFERROR(__xludf.DUMMYFUNCTION("""COMPUTED_VALUE"""),1.8)</f>
        <v>1.8</v>
      </c>
      <c r="E254" s="4" t="str">
        <f>IFERROR(__xludf.DUMMYFUNCTION("""COMPUTED_VALUE"""),"Neto: 1,80 € (a partir de 1 uds.)")</f>
        <v>Neto: 1,80 € (a partir de 1 uds.)</v>
      </c>
    </row>
    <row r="255">
      <c r="A255" s="4" t="str">
        <f>IFERROR(__xludf.DUMMYFUNCTION("""COMPUTED_VALUE"""),"0289A")</f>
        <v>0289A</v>
      </c>
      <c r="B255" s="4" t="str">
        <f>IFERROR(__xludf.DUMMYFUNCTION("""COMPUTED_VALUE"""),"Cartel PVC 32x16 Fotolum. No Exit")</f>
        <v>Cartel PVC 32x16 Fotolum. No Exit</v>
      </c>
      <c r="C255" s="4">
        <f>IFERROR(__xludf.DUMMYFUNCTION("""COMPUTED_VALUE"""),2.25)</f>
        <v>2.25</v>
      </c>
      <c r="D255" s="4"/>
      <c r="E255" s="4" t="str">
        <f>IFERROR(__xludf.DUMMYFUNCTION("""COMPUTED_VALUE"""),"Sin precio neto")</f>
        <v>Sin precio neto</v>
      </c>
    </row>
    <row r="256">
      <c r="A256" s="4" t="str">
        <f>IFERROR(__xludf.DUMMYFUNCTION("""COMPUTED_VALUE"""),"0289B")</f>
        <v>0289B</v>
      </c>
      <c r="B256" s="4" t="str">
        <f>IFERROR(__xludf.DUMMYFUNCTION("""COMPUTED_VALUE"""),"Cartel PVC 64x32 Fotolum. No Exit")</f>
        <v>Cartel PVC 64x32 Fotolum. No Exit</v>
      </c>
      <c r="C256" s="4">
        <f>IFERROR(__xludf.DUMMYFUNCTION("""COMPUTED_VALUE"""),4.48)</f>
        <v>4.48</v>
      </c>
      <c r="D256" s="4"/>
      <c r="E256" s="4" t="str">
        <f>IFERROR(__xludf.DUMMYFUNCTION("""COMPUTED_VALUE"""),"Sin precio neto")</f>
        <v>Sin precio neto</v>
      </c>
    </row>
    <row r="257">
      <c r="A257" s="4" t="str">
        <f>IFERROR(__xludf.DUMMYFUNCTION("""COMPUTED_VALUE"""),"0289C")</f>
        <v>0289C</v>
      </c>
      <c r="B257" s="4" t="str">
        <f>IFERROR(__xludf.DUMMYFUNCTION("""COMPUTED_VALUE"""),"Cartel PVC 96x48 Fotolum. No Exit")</f>
        <v>Cartel PVC 96x48 Fotolum. No Exit</v>
      </c>
      <c r="C257" s="4">
        <f>IFERROR(__xludf.DUMMYFUNCTION("""COMPUTED_VALUE"""),8.96)</f>
        <v>8.96</v>
      </c>
      <c r="D257" s="4"/>
      <c r="E257" s="4" t="str">
        <f>IFERROR(__xludf.DUMMYFUNCTION("""COMPUTED_VALUE"""),"Sin precio neto")</f>
        <v>Sin precio neto</v>
      </c>
    </row>
    <row r="258">
      <c r="A258" s="4" t="str">
        <f>IFERROR(__xludf.DUMMYFUNCTION("""COMPUTED_VALUE"""),"290")</f>
        <v>290</v>
      </c>
      <c r="B258" s="4" t="str">
        <f>IFERROR(__xludf.DUMMYFUNCTION("""COMPUTED_VALUE"""),"Cartel PVC 40x30 Peligro Alta Tension")</f>
        <v>Cartel PVC 40x30 Peligro Alta Tension</v>
      </c>
      <c r="C258" s="4">
        <f>IFERROR(__xludf.DUMMYFUNCTION("""COMPUTED_VALUE"""),2.48)</f>
        <v>2.48</v>
      </c>
      <c r="D258" s="4">
        <f>IFERROR(__xludf.DUMMYFUNCTION("""COMPUTED_VALUE"""),1.8)</f>
        <v>1.8</v>
      </c>
      <c r="E258" s="4" t="str">
        <f>IFERROR(__xludf.DUMMYFUNCTION("""COMPUTED_VALUE"""),"Neto: 1,80 € (a partir de 1 uds.)")</f>
        <v>Neto: 1,80 € (a partir de 1 uds.)</v>
      </c>
    </row>
    <row r="259">
      <c r="A259" s="4" t="str">
        <f>IFERROR(__xludf.DUMMYFUNCTION("""COMPUTED_VALUE"""),"0290P")</f>
        <v>0290P</v>
      </c>
      <c r="B259" s="4" t="str">
        <f>IFERROR(__xludf.DUMMYFUNCTION("""COMPUTED_VALUE"""),"Cartel PVC 21x29 PELIGRO ALTA TENSION")</f>
        <v>Cartel PVC 21x29 PELIGRO ALTA TENSION</v>
      </c>
      <c r="C259" s="4">
        <f>IFERROR(__xludf.DUMMYFUNCTION("""COMPUTED_VALUE"""),1.6)</f>
        <v>1.6</v>
      </c>
      <c r="D259" s="4">
        <f>IFERROR(__xludf.DUMMYFUNCTION("""COMPUTED_VALUE"""),1.2)</f>
        <v>1.2</v>
      </c>
      <c r="E259" s="4" t="str">
        <f>IFERROR(__xludf.DUMMYFUNCTION("""COMPUTED_VALUE"""),"Neto: 1,20 € (a partir de 1 uds.)")</f>
        <v>Neto: 1,20 € (a partir de 1 uds.)</v>
      </c>
    </row>
    <row r="260">
      <c r="A260" s="4" t="str">
        <f>IFERROR(__xludf.DUMMYFUNCTION("""COMPUTED_VALUE"""),"291")</f>
        <v>291</v>
      </c>
      <c r="B260" s="4" t="str">
        <f>IFERROR(__xludf.DUMMYFUNCTION("""COMPUTED_VALUE"""),"Cartel PVC 40x30 Peligro no maniobrar")</f>
        <v>Cartel PVC 40x30 Peligro no maniobrar</v>
      </c>
      <c r="C260" s="4">
        <f>IFERROR(__xludf.DUMMYFUNCTION("""COMPUTED_VALUE"""),2.48)</f>
        <v>2.48</v>
      </c>
      <c r="D260" s="4">
        <f>IFERROR(__xludf.DUMMYFUNCTION("""COMPUTED_VALUE"""),1.8)</f>
        <v>1.8</v>
      </c>
      <c r="E260" s="4" t="str">
        <f>IFERROR(__xludf.DUMMYFUNCTION("""COMPUTED_VALUE"""),"Neto: 1,80 € (a partir de 1 uds.)")</f>
        <v>Neto: 1,80 € (a partir de 1 uds.)</v>
      </c>
    </row>
    <row r="261">
      <c r="A261" s="4" t="str">
        <f>IFERROR(__xludf.DUMMYFUNCTION("""COMPUTED_VALUE"""),"0291P")</f>
        <v>0291P</v>
      </c>
      <c r="B261" s="4" t="str">
        <f>IFERROR(__xludf.DUMMYFUNCTION("""COMPUTED_VALUE"""),"Cartel PVC 21x29 PELIGRO NO MANIOBRAR. SOLO")</f>
        <v>Cartel PVC 21x29 PELIGRO NO MANIOBRAR. SOLO</v>
      </c>
      <c r="C261" s="4">
        <f>IFERROR(__xludf.DUMMYFUNCTION("""COMPUTED_VALUE"""),1.6)</f>
        <v>1.6</v>
      </c>
      <c r="D261" s="4">
        <f>IFERROR(__xludf.DUMMYFUNCTION("""COMPUTED_VALUE"""),1.2)</f>
        <v>1.2</v>
      </c>
      <c r="E261" s="4" t="str">
        <f>IFERROR(__xludf.DUMMYFUNCTION("""COMPUTED_VALUE"""),"Neto: 1,20 € (a partir de 1 uds.)")</f>
        <v>Neto: 1,20 € (a partir de 1 uds.)</v>
      </c>
    </row>
    <row r="262">
      <c r="A262" s="4" t="str">
        <f>IFERROR(__xludf.DUMMYFUNCTION("""COMPUTED_VALUE"""),"292")</f>
        <v>292</v>
      </c>
      <c r="B262" s="4" t="str">
        <f>IFERROR(__xludf.DUMMYFUNCTION("""COMPUTED_VALUE"""),"Cartel PVC 40x30 No Tocar")</f>
        <v>Cartel PVC 40x30 No Tocar</v>
      </c>
      <c r="C262" s="4">
        <f>IFERROR(__xludf.DUMMYFUNCTION("""COMPUTED_VALUE"""),2.48)</f>
        <v>2.48</v>
      </c>
      <c r="D262" s="4">
        <f>IFERROR(__xludf.DUMMYFUNCTION("""COMPUTED_VALUE"""),1.8)</f>
        <v>1.8</v>
      </c>
      <c r="E262" s="4" t="str">
        <f>IFERROR(__xludf.DUMMYFUNCTION("""COMPUTED_VALUE"""),"Neto: 1,80 € (a partir de 1 uds.)")</f>
        <v>Neto: 1,80 € (a partir de 1 uds.)</v>
      </c>
    </row>
    <row r="263">
      <c r="A263" s="4" t="str">
        <f>IFERROR(__xludf.DUMMYFUNCTION("""COMPUTED_VALUE"""),"0292P")</f>
        <v>0292P</v>
      </c>
      <c r="B263" s="4" t="str">
        <f>IFERROR(__xludf.DUMMYFUNCTION("""COMPUTED_VALUE"""),"Cartel PVC 21x29 NO TOCAR")</f>
        <v>Cartel PVC 21x29 NO TOCAR</v>
      </c>
      <c r="C263" s="4">
        <f>IFERROR(__xludf.DUMMYFUNCTION("""COMPUTED_VALUE"""),1.6)</f>
        <v>1.6</v>
      </c>
      <c r="D263" s="4">
        <f>IFERROR(__xludf.DUMMYFUNCTION("""COMPUTED_VALUE"""),1.2)</f>
        <v>1.2</v>
      </c>
      <c r="E263" s="4" t="str">
        <f>IFERROR(__xludf.DUMMYFUNCTION("""COMPUTED_VALUE"""),"Neto: 1,20 € (a partir de 1 uds.)")</f>
        <v>Neto: 1,20 € (a partir de 1 uds.)</v>
      </c>
    </row>
    <row r="264">
      <c r="A264" s="4" t="str">
        <f>IFERROR(__xludf.DUMMYFUNCTION("""COMPUTED_VALUE"""),"293")</f>
        <v>293</v>
      </c>
      <c r="B264" s="4" t="str">
        <f>IFERROR(__xludf.DUMMYFUNCTION("""COMPUTED_VALUE"""),"Cartel PVC 40x30 Peligro Materias Radioactivas")</f>
        <v>Cartel PVC 40x30 Peligro Materias Radioactivas</v>
      </c>
      <c r="C264" s="4">
        <f>IFERROR(__xludf.DUMMYFUNCTION("""COMPUTED_VALUE"""),2.48)</f>
        <v>2.48</v>
      </c>
      <c r="D264" s="4">
        <f>IFERROR(__xludf.DUMMYFUNCTION("""COMPUTED_VALUE"""),1.8)</f>
        <v>1.8</v>
      </c>
      <c r="E264" s="4" t="str">
        <f>IFERROR(__xludf.DUMMYFUNCTION("""COMPUTED_VALUE"""),"Neto: 1,80 € (a partir de 1 uds.)")</f>
        <v>Neto: 1,80 € (a partir de 1 uds.)</v>
      </c>
    </row>
    <row r="265">
      <c r="A265" s="4" t="str">
        <f>IFERROR(__xludf.DUMMYFUNCTION("""COMPUTED_VALUE"""),"0293P")</f>
        <v>0293P</v>
      </c>
      <c r="B265" s="4" t="str">
        <f>IFERROR(__xludf.DUMMYFUNCTION("""COMPUTED_VALUE"""),"Cartel PVC 21x29 PELIGRO MATERIAS RADIOACTIVAS")</f>
        <v>Cartel PVC 21x29 PELIGRO MATERIAS RADIOACTIVAS</v>
      </c>
      <c r="C265" s="4">
        <f>IFERROR(__xludf.DUMMYFUNCTION("""COMPUTED_VALUE"""),1.6)</f>
        <v>1.6</v>
      </c>
      <c r="D265" s="4">
        <f>IFERROR(__xludf.DUMMYFUNCTION("""COMPUTED_VALUE"""),1.2)</f>
        <v>1.2</v>
      </c>
      <c r="E265" s="4" t="str">
        <f>IFERROR(__xludf.DUMMYFUNCTION("""COMPUTED_VALUE"""),"Neto: 1,20 € (a partir de 1 uds.)")</f>
        <v>Neto: 1,20 € (a partir de 1 uds.)</v>
      </c>
    </row>
    <row r="266">
      <c r="A266" s="4" t="str">
        <f>IFERROR(__xludf.DUMMYFUNCTION("""COMPUTED_VALUE"""),"294")</f>
        <v>294</v>
      </c>
      <c r="B266" s="4" t="str">
        <f>IFERROR(__xludf.DUMMYFUNCTION("""COMPUTED_VALUE"""),"Cartel PVC 40x30 Peligro Radiaciones Laser")</f>
        <v>Cartel PVC 40x30 Peligro Radiaciones Laser</v>
      </c>
      <c r="C266" s="4">
        <f>IFERROR(__xludf.DUMMYFUNCTION("""COMPUTED_VALUE"""),2.48)</f>
        <v>2.48</v>
      </c>
      <c r="D266" s="4">
        <f>IFERROR(__xludf.DUMMYFUNCTION("""COMPUTED_VALUE"""),1.8)</f>
        <v>1.8</v>
      </c>
      <c r="E266" s="4" t="str">
        <f>IFERROR(__xludf.DUMMYFUNCTION("""COMPUTED_VALUE"""),"Neto: 1,80 € (a partir de 1 uds.)")</f>
        <v>Neto: 1,80 € (a partir de 1 uds.)</v>
      </c>
    </row>
    <row r="267">
      <c r="A267" s="4" t="str">
        <f>IFERROR(__xludf.DUMMYFUNCTION("""COMPUTED_VALUE"""),"0294P")</f>
        <v>0294P</v>
      </c>
      <c r="B267" s="4" t="str">
        <f>IFERROR(__xludf.DUMMYFUNCTION("""COMPUTED_VALUE"""),"Cartel PVC 21x29 PELIGRO RADIACIONES LASER")</f>
        <v>Cartel PVC 21x29 PELIGRO RADIACIONES LASER</v>
      </c>
      <c r="C267" s="4">
        <f>IFERROR(__xludf.DUMMYFUNCTION("""COMPUTED_VALUE"""),1.6)</f>
        <v>1.6</v>
      </c>
      <c r="D267" s="4">
        <f>IFERROR(__xludf.DUMMYFUNCTION("""COMPUTED_VALUE"""),1.2)</f>
        <v>1.2</v>
      </c>
      <c r="E267" s="4" t="str">
        <f>IFERROR(__xludf.DUMMYFUNCTION("""COMPUTED_VALUE"""),"Neto: 1,20 € (a partir de 1 uds.)")</f>
        <v>Neto: 1,20 € (a partir de 1 uds.)</v>
      </c>
    </row>
    <row r="268">
      <c r="A268" s="4" t="str">
        <f>IFERROR(__xludf.DUMMYFUNCTION("""COMPUTED_VALUE"""),"295")</f>
        <v>295</v>
      </c>
      <c r="B268" s="4" t="str">
        <f>IFERROR(__xludf.DUMMYFUNCTION("""COMPUTED_VALUE"""),"Cartel PVC 40x30 Riesgo Biologico")</f>
        <v>Cartel PVC 40x30 Riesgo Biologico</v>
      </c>
      <c r="C268" s="4">
        <f>IFERROR(__xludf.DUMMYFUNCTION("""COMPUTED_VALUE"""),2.48)</f>
        <v>2.48</v>
      </c>
      <c r="D268" s="4">
        <f>IFERROR(__xludf.DUMMYFUNCTION("""COMPUTED_VALUE"""),1.8)</f>
        <v>1.8</v>
      </c>
      <c r="E268" s="4" t="str">
        <f>IFERROR(__xludf.DUMMYFUNCTION("""COMPUTED_VALUE"""),"Neto: 1,80 € (a partir de 1 uds.)")</f>
        <v>Neto: 1,80 € (a partir de 1 uds.)</v>
      </c>
    </row>
    <row r="269">
      <c r="A269" s="4" t="str">
        <f>IFERROR(__xludf.DUMMYFUNCTION("""COMPUTED_VALUE"""),"0295P")</f>
        <v>0295P</v>
      </c>
      <c r="B269" s="4" t="str">
        <f>IFERROR(__xludf.DUMMYFUNCTION("""COMPUTED_VALUE"""),"Cartel PVC 21x29 PELIGRO RIESGO BIOLOGICO")</f>
        <v>Cartel PVC 21x29 PELIGRO RIESGO BIOLOGICO</v>
      </c>
      <c r="C269" s="4">
        <f>IFERROR(__xludf.DUMMYFUNCTION("""COMPUTED_VALUE"""),1.6)</f>
        <v>1.6</v>
      </c>
      <c r="D269" s="4">
        <f>IFERROR(__xludf.DUMMYFUNCTION("""COMPUTED_VALUE"""),1.2)</f>
        <v>1.2</v>
      </c>
      <c r="E269" s="4" t="str">
        <f>IFERROR(__xludf.DUMMYFUNCTION("""COMPUTED_VALUE"""),"Neto: 1,20 € (a partir de 1 uds.)")</f>
        <v>Neto: 1,20 € (a partir de 1 uds.)</v>
      </c>
    </row>
    <row r="270">
      <c r="A270" s="4" t="str">
        <f>IFERROR(__xludf.DUMMYFUNCTION("""COMPUTED_VALUE"""),"296")</f>
        <v>296</v>
      </c>
      <c r="B270" s="4" t="str">
        <f>IFERROR(__xludf.DUMMYFUNCTION("""COMPUTED_VALUE"""),"Cartel PVC 40x30 Fotolum. Cubo uso en incendio")</f>
        <v>Cartel PVC 40x30 Fotolum. Cubo uso en incendio</v>
      </c>
      <c r="C270" s="4">
        <f>IFERROR(__xludf.DUMMYFUNCTION("""COMPUTED_VALUE"""),3.35)</f>
        <v>3.35</v>
      </c>
      <c r="D270" s="4">
        <f>IFERROR(__xludf.DUMMYFUNCTION("""COMPUTED_VALUE"""),1.8)</f>
        <v>1.8</v>
      </c>
      <c r="E270" s="4" t="str">
        <f>IFERROR(__xludf.DUMMYFUNCTION("""COMPUTED_VALUE"""),"Neto: 1,80 € (a partir de 1 uds.)")</f>
        <v>Neto: 1,80 € (a partir de 1 uds.)</v>
      </c>
    </row>
    <row r="271">
      <c r="A271" s="4" t="str">
        <f>IFERROR(__xludf.DUMMYFUNCTION("""COMPUTED_VALUE"""),"0296A")</f>
        <v>0296A</v>
      </c>
      <c r="B271" s="4" t="str">
        <f>IFERROR(__xludf.DUMMYFUNCTION("""COMPUTED_VALUE"""),"Cartel PVC 32x16 Fotolum. Sin Salida")</f>
        <v>Cartel PVC 32x16 Fotolum. Sin Salida</v>
      </c>
      <c r="C271" s="4">
        <f>IFERROR(__xludf.DUMMYFUNCTION("""COMPUTED_VALUE"""),2.25)</f>
        <v>2.25</v>
      </c>
      <c r="D271" s="4"/>
      <c r="E271" s="4" t="str">
        <f>IFERROR(__xludf.DUMMYFUNCTION("""COMPUTED_VALUE"""),"Sin precio neto")</f>
        <v>Sin precio neto</v>
      </c>
    </row>
    <row r="272">
      <c r="A272" s="4" t="str">
        <f>IFERROR(__xludf.DUMMYFUNCTION("""COMPUTED_VALUE"""),"0296B")</f>
        <v>0296B</v>
      </c>
      <c r="B272" s="4" t="str">
        <f>IFERROR(__xludf.DUMMYFUNCTION("""COMPUTED_VALUE"""),"Cartel PVC 64x32 Fotolum. Sin Salida")</f>
        <v>Cartel PVC 64x32 Fotolum. Sin Salida</v>
      </c>
      <c r="C272" s="4">
        <f>IFERROR(__xludf.DUMMYFUNCTION("""COMPUTED_VALUE"""),4.48)</f>
        <v>4.48</v>
      </c>
      <c r="D272" s="4"/>
      <c r="E272" s="4" t="str">
        <f>IFERROR(__xludf.DUMMYFUNCTION("""COMPUTED_VALUE"""),"Sin precio neto")</f>
        <v>Sin precio neto</v>
      </c>
    </row>
    <row r="273">
      <c r="A273" s="4" t="str">
        <f>IFERROR(__xludf.DUMMYFUNCTION("""COMPUTED_VALUE"""),"0296C")</f>
        <v>0296C</v>
      </c>
      <c r="B273" s="4" t="str">
        <f>IFERROR(__xludf.DUMMYFUNCTION("""COMPUTED_VALUE"""),"Cartel PVC 96x48 Fotolum. Sin Salida")</f>
        <v>Cartel PVC 96x48 Fotolum. Sin Salida</v>
      </c>
      <c r="C273" s="4">
        <f>IFERROR(__xludf.DUMMYFUNCTION("""COMPUTED_VALUE"""),8.96)</f>
        <v>8.96</v>
      </c>
      <c r="D273" s="4"/>
      <c r="E273" s="4" t="str">
        <f>IFERROR(__xludf.DUMMYFUNCTION("""COMPUTED_VALUE"""),"Sin precio neto")</f>
        <v>Sin precio neto</v>
      </c>
    </row>
    <row r="274">
      <c r="A274" s="4" t="str">
        <f>IFERROR(__xludf.DUMMYFUNCTION("""COMPUTED_VALUE"""),"297")</f>
        <v>297</v>
      </c>
      <c r="B274" s="4" t="str">
        <f>IFERROR(__xludf.DUMMYFUNCTION("""COMPUTED_VALUE"""),"Cartel PVC 40x30 Fotoum. Manguera contra Incendios")</f>
        <v>Cartel PVC 40x30 Fotoum. Manguera contra Incendios</v>
      </c>
      <c r="C274" s="4">
        <f>IFERROR(__xludf.DUMMYFUNCTION("""COMPUTED_VALUE"""),3.35)</f>
        <v>3.35</v>
      </c>
      <c r="D274" s="4">
        <f>IFERROR(__xludf.DUMMYFUNCTION("""COMPUTED_VALUE"""),3.2)</f>
        <v>3.2</v>
      </c>
      <c r="E274" s="4" t="str">
        <f>IFERROR(__xludf.DUMMYFUNCTION("""COMPUTED_VALUE"""),"Neto: 3,20 € (a partir de 1 uds.)")</f>
        <v>Neto: 3,20 € (a partir de 1 uds.)</v>
      </c>
    </row>
    <row r="275">
      <c r="A275" s="4" t="str">
        <f>IFERROR(__xludf.DUMMYFUNCTION("""COMPUTED_VALUE"""),"298")</f>
        <v>298</v>
      </c>
      <c r="B275" s="4" t="str">
        <f>IFERROR(__xludf.DUMMYFUNCTION("""COMPUTED_VALUE"""),"Cartel PVC 21x29 Fotolum. Escalera incendio")</f>
        <v>Cartel PVC 21x29 Fotolum. Escalera incendio</v>
      </c>
      <c r="C275" s="4">
        <f>IFERROR(__xludf.DUMMYFUNCTION("""COMPUTED_VALUE"""),2.6)</f>
        <v>2.6</v>
      </c>
      <c r="D275" s="4">
        <f>IFERROR(__xludf.DUMMYFUNCTION("""COMPUTED_VALUE"""),2.1)</f>
        <v>2.1</v>
      </c>
      <c r="E275" s="4" t="str">
        <f>IFERROR(__xludf.DUMMYFUNCTION("""COMPUTED_VALUE"""),"Neto: 2,10 € (a partir de 1 uds.)")</f>
        <v>Neto: 2,10 € (a partir de 1 uds.)</v>
      </c>
    </row>
    <row r="276">
      <c r="A276" s="4" t="str">
        <f>IFERROR(__xludf.DUMMYFUNCTION("""COMPUTED_VALUE"""),"0298A")</f>
        <v>0298A</v>
      </c>
      <c r="B276" s="4" t="str">
        <f>IFERROR(__xludf.DUMMYFUNCTION("""COMPUTED_VALUE"""),"Cartel PVC 21x30 Fotolum. Escalera de incendios")</f>
        <v>Cartel PVC 21x30 Fotolum. Escalera de incendios</v>
      </c>
      <c r="C276" s="4">
        <f>IFERROR(__xludf.DUMMYFUNCTION("""COMPUTED_VALUE"""),2.52)</f>
        <v>2.52</v>
      </c>
      <c r="D276" s="4">
        <f>IFERROR(__xludf.DUMMYFUNCTION("""COMPUTED_VALUE"""),2.1)</f>
        <v>2.1</v>
      </c>
      <c r="E276" s="4" t="str">
        <f>IFERROR(__xludf.DUMMYFUNCTION("""COMPUTED_VALUE"""),"Neto: 2,10 € (a partir de 1 uds.)")</f>
        <v>Neto: 2,10 € (a partir de 1 uds.)</v>
      </c>
    </row>
    <row r="277">
      <c r="A277" s="4" t="str">
        <f>IFERROR(__xludf.DUMMYFUNCTION("""COMPUTED_VALUE"""),"0298B")</f>
        <v>0298B</v>
      </c>
      <c r="B277" s="4" t="str">
        <f>IFERROR(__xludf.DUMMYFUNCTION("""COMPUTED_VALUE"""),"Cartel PVC 40x30 Fotolum. Escalera de incendios")</f>
        <v>Cartel PVC 40x30 Fotolum. Escalera de incendios</v>
      </c>
      <c r="C277" s="4">
        <f>IFERROR(__xludf.DUMMYFUNCTION("""COMPUTED_VALUE"""),3.1)</f>
        <v>3.1</v>
      </c>
      <c r="D277" s="4">
        <f>IFERROR(__xludf.DUMMYFUNCTION("""COMPUTED_VALUE"""),3.2)</f>
        <v>3.2</v>
      </c>
      <c r="E277" s="4" t="str">
        <f>IFERROR(__xludf.DUMMYFUNCTION("""COMPUTED_VALUE"""),"Neto: 3,20 € (a partir de 1 uds.)")</f>
        <v>Neto: 3,20 € (a partir de 1 uds.)</v>
      </c>
    </row>
    <row r="278">
      <c r="A278" s="4" t="str">
        <f>IFERROR(__xludf.DUMMYFUNCTION("""COMPUTED_VALUE"""),"299")</f>
        <v>299</v>
      </c>
      <c r="B278" s="4" t="str">
        <f>IFERROR(__xludf.DUMMYFUNCTION("""COMPUTED_VALUE"""),"Cartel PVC 40x30 Uso Oblig. de Protec. Lumbar")</f>
        <v>Cartel PVC 40x30 Uso Oblig. de Protec. Lumbar</v>
      </c>
      <c r="C278" s="4">
        <f>IFERROR(__xludf.DUMMYFUNCTION("""COMPUTED_VALUE"""),2.48)</f>
        <v>2.48</v>
      </c>
      <c r="D278" s="4">
        <f>IFERROR(__xludf.DUMMYFUNCTION("""COMPUTED_VALUE"""),1.8)</f>
        <v>1.8</v>
      </c>
      <c r="E278" s="4" t="str">
        <f>IFERROR(__xludf.DUMMYFUNCTION("""COMPUTED_VALUE"""),"Neto: 1,80 € (a partir de 1 uds.)")</f>
        <v>Neto: 1,80 € (a partir de 1 uds.)</v>
      </c>
    </row>
    <row r="279">
      <c r="A279" s="4" t="str">
        <f>IFERROR(__xludf.DUMMYFUNCTION("""COMPUTED_VALUE"""),"0299P")</f>
        <v>0299P</v>
      </c>
      <c r="B279" s="4" t="str">
        <f>IFERROR(__xludf.DUMMYFUNCTION("""COMPUTED_VALUE"""),"Cartel PVC 21x29 OBLIGATORIO LA PROTECCION LUMBAR")</f>
        <v>Cartel PVC 21x29 OBLIGATORIO LA PROTECCION LUMBAR</v>
      </c>
      <c r="C279" s="4">
        <f>IFERROR(__xludf.DUMMYFUNCTION("""COMPUTED_VALUE"""),1.6)</f>
        <v>1.6</v>
      </c>
      <c r="D279" s="4">
        <f>IFERROR(__xludf.DUMMYFUNCTION("""COMPUTED_VALUE"""),1.2)</f>
        <v>1.2</v>
      </c>
      <c r="E279" s="4" t="str">
        <f>IFERROR(__xludf.DUMMYFUNCTION("""COMPUTED_VALUE"""),"Neto: 1,20 € (a partir de 1 uds.)")</f>
        <v>Neto: 1,20 € (a partir de 1 uds.)</v>
      </c>
    </row>
    <row r="280">
      <c r="A280" s="4" t="str">
        <f>IFERROR(__xludf.DUMMYFUNCTION("""COMPUTED_VALUE"""),"300")</f>
        <v>300</v>
      </c>
      <c r="B280" s="4" t="str">
        <f>IFERROR(__xludf.DUMMYFUNCTION("""COMPUTED_VALUE"""),"Cartel PVC 40x30 Via oblig. peatones")</f>
        <v>Cartel PVC 40x30 Via oblig. peatones</v>
      </c>
      <c r="C280" s="4">
        <f>IFERROR(__xludf.DUMMYFUNCTION("""COMPUTED_VALUE"""),2.48)</f>
        <v>2.48</v>
      </c>
      <c r="D280" s="4">
        <f>IFERROR(__xludf.DUMMYFUNCTION("""COMPUTED_VALUE"""),1.8)</f>
        <v>1.8</v>
      </c>
      <c r="E280" s="4" t="str">
        <f>IFERROR(__xludf.DUMMYFUNCTION("""COMPUTED_VALUE"""),"Neto: 1,80 € (a partir de 1 uds.)")</f>
        <v>Neto: 1,80 € (a partir de 1 uds.)</v>
      </c>
    </row>
    <row r="281">
      <c r="A281" s="4" t="str">
        <f>IFERROR(__xludf.DUMMYFUNCTION("""COMPUTED_VALUE"""),"0300P")</f>
        <v>0300P</v>
      </c>
      <c r="B281" s="4" t="str">
        <f>IFERROR(__xludf.DUMMYFUNCTION("""COMPUTED_VALUE"""),"Cartel PVC 21x29 VIA OBLIGATORIA PARA PEATONES")</f>
        <v>Cartel PVC 21x29 VIA OBLIGATORIA PARA PEATONES</v>
      </c>
      <c r="C281" s="4">
        <f>IFERROR(__xludf.DUMMYFUNCTION("""COMPUTED_VALUE"""),1.6)</f>
        <v>1.6</v>
      </c>
      <c r="D281" s="4">
        <f>IFERROR(__xludf.DUMMYFUNCTION("""COMPUTED_VALUE"""),1.2)</f>
        <v>1.2</v>
      </c>
      <c r="E281" s="4" t="str">
        <f>IFERROR(__xludf.DUMMYFUNCTION("""COMPUTED_VALUE"""),"Neto: 1,20 € (a partir de 1 uds.)")</f>
        <v>Neto: 1,20 € (a partir de 1 uds.)</v>
      </c>
    </row>
    <row r="282">
      <c r="A282" s="4" t="str">
        <f>IFERROR(__xludf.DUMMYFUNCTION("""COMPUTED_VALUE"""),"301")</f>
        <v>301</v>
      </c>
      <c r="B282" s="4" t="str">
        <f>IFERROR(__xludf.DUMMYFUNCTION("""COMPUTED_VALUE"""),"Cartel PVC 40x30 Oblig. Protector")</f>
        <v>Cartel PVC 40x30 Oblig. Protector</v>
      </c>
      <c r="C282" s="4">
        <f>IFERROR(__xludf.DUMMYFUNCTION("""COMPUTED_VALUE"""),2.48)</f>
        <v>2.48</v>
      </c>
      <c r="D282" s="4">
        <f>IFERROR(__xludf.DUMMYFUNCTION("""COMPUTED_VALUE"""),1.8)</f>
        <v>1.8</v>
      </c>
      <c r="E282" s="4" t="str">
        <f>IFERROR(__xludf.DUMMYFUNCTION("""COMPUTED_VALUE"""),"Neto: 1,80 € (a partir de 1 uds.)")</f>
        <v>Neto: 1,80 € (a partir de 1 uds.)</v>
      </c>
    </row>
    <row r="283">
      <c r="A283" s="4" t="str">
        <f>IFERROR(__xludf.DUMMYFUNCTION("""COMPUTED_VALUE"""),"0301P")</f>
        <v>0301P</v>
      </c>
      <c r="B283" s="4" t="str">
        <f>IFERROR(__xludf.DUMMYFUNCTION("""COMPUTED_VALUE"""),"Cartel PVC 21x29 USO OBLIGATORIO DE PROTECTOR")</f>
        <v>Cartel PVC 21x29 USO OBLIGATORIO DE PROTECTOR</v>
      </c>
      <c r="C283" s="4">
        <f>IFERROR(__xludf.DUMMYFUNCTION("""COMPUTED_VALUE"""),1.6)</f>
        <v>1.6</v>
      </c>
      <c r="D283" s="4">
        <f>IFERROR(__xludf.DUMMYFUNCTION("""COMPUTED_VALUE"""),1.2)</f>
        <v>1.2</v>
      </c>
      <c r="E283" s="4" t="str">
        <f>IFERROR(__xludf.DUMMYFUNCTION("""COMPUTED_VALUE"""),"Neto: 1,20 € (a partir de 1 uds.)")</f>
        <v>Neto: 1,20 € (a partir de 1 uds.)</v>
      </c>
    </row>
    <row r="284">
      <c r="A284" s="4" t="str">
        <f>IFERROR(__xludf.DUMMYFUNCTION("""COMPUTED_VALUE"""),"302")</f>
        <v>302</v>
      </c>
      <c r="B284" s="4" t="str">
        <f>IFERROR(__xludf.DUMMYFUNCTION("""COMPUTED_VALUE"""),"Cartel PVC 40x30 Proh. paso a peatones")</f>
        <v>Cartel PVC 40x30 Proh. paso a peatones</v>
      </c>
      <c r="C284" s="4">
        <f>IFERROR(__xludf.DUMMYFUNCTION("""COMPUTED_VALUE"""),2.48)</f>
        <v>2.48</v>
      </c>
      <c r="D284" s="4">
        <f>IFERROR(__xludf.DUMMYFUNCTION("""COMPUTED_VALUE"""),1.8)</f>
        <v>1.8</v>
      </c>
      <c r="E284" s="4" t="str">
        <f>IFERROR(__xludf.DUMMYFUNCTION("""COMPUTED_VALUE"""),"Neto: 1,80 € (a partir de 1 uds.)")</f>
        <v>Neto: 1,80 € (a partir de 1 uds.)</v>
      </c>
    </row>
    <row r="285">
      <c r="A285" s="4" t="str">
        <f>IFERROR(__xludf.DUMMYFUNCTION("""COMPUTED_VALUE"""),"0302P")</f>
        <v>0302P</v>
      </c>
      <c r="B285" s="4" t="str">
        <f>IFERROR(__xludf.DUMMYFUNCTION("""COMPUTED_VALUE"""),"Cartel PVC 21x29 PROHIBIDO PASAR A LOS PEATONES")</f>
        <v>Cartel PVC 21x29 PROHIBIDO PASAR A LOS PEATONES</v>
      </c>
      <c r="C285" s="4">
        <f>IFERROR(__xludf.DUMMYFUNCTION("""COMPUTED_VALUE"""),1.6)</f>
        <v>1.6</v>
      </c>
      <c r="D285" s="4">
        <f>IFERROR(__xludf.DUMMYFUNCTION("""COMPUTED_VALUE"""),1.2)</f>
        <v>1.2</v>
      </c>
      <c r="E285" s="4" t="str">
        <f>IFERROR(__xludf.DUMMYFUNCTION("""COMPUTED_VALUE"""),"Neto: 1,20 € (a partir de 1 uds.)")</f>
        <v>Neto: 1,20 € (a partir de 1 uds.)</v>
      </c>
    </row>
    <row r="286">
      <c r="A286" s="4" t="str">
        <f>IFERROR(__xludf.DUMMYFUNCTION("""COMPUTED_VALUE"""),"303")</f>
        <v>303</v>
      </c>
      <c r="B286" s="4" t="str">
        <f>IFERROR(__xludf.DUMMYFUNCTION("""COMPUTED_VALUE"""),"Cartel PVC 40x30 Rampa personal autor.")</f>
        <v>Cartel PVC 40x30 Rampa personal autor.</v>
      </c>
      <c r="C286" s="4">
        <f>IFERROR(__xludf.DUMMYFUNCTION("""COMPUTED_VALUE"""),2.48)</f>
        <v>2.48</v>
      </c>
      <c r="D286" s="4">
        <f>IFERROR(__xludf.DUMMYFUNCTION("""COMPUTED_VALUE"""),1.8)</f>
        <v>1.8</v>
      </c>
      <c r="E286" s="4" t="str">
        <f>IFERROR(__xludf.DUMMYFUNCTION("""COMPUTED_VALUE"""),"Neto: 1,80 € (a partir de 1 uds.)")</f>
        <v>Neto: 1,80 € (a partir de 1 uds.)</v>
      </c>
    </row>
    <row r="287">
      <c r="A287" s="4" t="str">
        <f>IFERROR(__xludf.DUMMYFUNCTION("""COMPUTED_VALUE"""),"0303B")</f>
        <v>0303B</v>
      </c>
      <c r="B287" s="4" t="str">
        <f>IFERROR(__xludf.DUMMYFUNCTION("""COMPUTED_VALUE"""),"Cartel PVC 21x29 USO OBLIGATORIO PROTECTOR")</f>
        <v>Cartel PVC 21x29 USO OBLIGATORIO PROTECTOR</v>
      </c>
      <c r="C287" s="4">
        <f>IFERROR(__xludf.DUMMYFUNCTION("""COMPUTED_VALUE"""),1.6)</f>
        <v>1.6</v>
      </c>
      <c r="D287" s="4">
        <f>IFERROR(__xludf.DUMMYFUNCTION("""COMPUTED_VALUE"""),1.2)</f>
        <v>1.2</v>
      </c>
      <c r="E287" s="4" t="str">
        <f>IFERROR(__xludf.DUMMYFUNCTION("""COMPUTED_VALUE"""),"Neto: 1,20 € (a partir de 1 uds.)")</f>
        <v>Neto: 1,20 € (a partir de 1 uds.)</v>
      </c>
    </row>
    <row r="288">
      <c r="A288" s="4" t="str">
        <f>IFERROR(__xludf.DUMMYFUNCTION("""COMPUTED_VALUE"""),"0303P")</f>
        <v>0303P</v>
      </c>
      <c r="B288" s="4" t="str">
        <f>IFERROR(__xludf.DUMMYFUNCTION("""COMPUTED_VALUE"""),"Cartel PVC 21x29 RAMPA USO EXCLUSIVO PERSONAL")</f>
        <v>Cartel PVC 21x29 RAMPA USO EXCLUSIVO PERSONAL</v>
      </c>
      <c r="C288" s="4">
        <f>IFERROR(__xludf.DUMMYFUNCTION("""COMPUTED_VALUE"""),1.6)</f>
        <v>1.6</v>
      </c>
      <c r="D288" s="4">
        <f>IFERROR(__xludf.DUMMYFUNCTION("""COMPUTED_VALUE"""),1.2)</f>
        <v>1.2</v>
      </c>
      <c r="E288" s="4" t="str">
        <f>IFERROR(__xludf.DUMMYFUNCTION("""COMPUTED_VALUE"""),"Neto: 1,20 € (a partir de 1 uds.)")</f>
        <v>Neto: 1,20 € (a partir de 1 uds.)</v>
      </c>
    </row>
    <row r="289">
      <c r="A289" s="4" t="str">
        <f>IFERROR(__xludf.DUMMYFUNCTION("""COMPUTED_VALUE"""),"304")</f>
        <v>304</v>
      </c>
      <c r="B289" s="4" t="str">
        <f>IFERROR(__xludf.DUMMYFUNCTION("""COMPUTED_VALUE"""),"Cartel PVC 40x30 Uso oblig. guantes electricos")</f>
        <v>Cartel PVC 40x30 Uso oblig. guantes electricos</v>
      </c>
      <c r="C289" s="4">
        <f>IFERROR(__xludf.DUMMYFUNCTION("""COMPUTED_VALUE"""),2.48)</f>
        <v>2.48</v>
      </c>
      <c r="D289" s="4">
        <f>IFERROR(__xludf.DUMMYFUNCTION("""COMPUTED_VALUE"""),1.8)</f>
        <v>1.8</v>
      </c>
      <c r="E289" s="4" t="str">
        <f>IFERROR(__xludf.DUMMYFUNCTION("""COMPUTED_VALUE"""),"Neto: 1,80 € (a partir de 1 uds.)")</f>
        <v>Neto: 1,80 € (a partir de 1 uds.)</v>
      </c>
    </row>
    <row r="290">
      <c r="A290" s="4" t="str">
        <f>IFERROR(__xludf.DUMMYFUNCTION("""COMPUTED_VALUE"""),"0304P")</f>
        <v>0304P</v>
      </c>
      <c r="B290" s="4" t="str">
        <f>IFERROR(__xludf.DUMMYFUNCTION("""COMPUTED_VALUE"""),"Cartel PVC 21x29 USO OBLIGATORIO DE GUANTES")</f>
        <v>Cartel PVC 21x29 USO OBLIGATORIO DE GUANTES</v>
      </c>
      <c r="C290" s="4">
        <f>IFERROR(__xludf.DUMMYFUNCTION("""COMPUTED_VALUE"""),1.6)</f>
        <v>1.6</v>
      </c>
      <c r="D290" s="4">
        <f>IFERROR(__xludf.DUMMYFUNCTION("""COMPUTED_VALUE"""),1.2)</f>
        <v>1.2</v>
      </c>
      <c r="E290" s="4" t="str">
        <f>IFERROR(__xludf.DUMMYFUNCTION("""COMPUTED_VALUE"""),"Neto: 1,20 € (a partir de 1 uds.)")</f>
        <v>Neto: 1,20 € (a partir de 1 uds.)</v>
      </c>
    </row>
    <row r="291">
      <c r="A291" s="4" t="str">
        <f>IFERROR(__xludf.DUMMYFUNCTION("""COMPUTED_VALUE"""),"305")</f>
        <v>305</v>
      </c>
      <c r="B291" s="4" t="str">
        <f>IFERROR(__xludf.DUMMYFUNCTION("""COMPUTED_VALUE"""),"Cartel PVC 40x30 Uso Oblig. calzado electrico")</f>
        <v>Cartel PVC 40x30 Uso Oblig. calzado electrico</v>
      </c>
      <c r="C291" s="4">
        <f>IFERROR(__xludf.DUMMYFUNCTION("""COMPUTED_VALUE"""),2.48)</f>
        <v>2.48</v>
      </c>
      <c r="D291" s="4">
        <f>IFERROR(__xludf.DUMMYFUNCTION("""COMPUTED_VALUE"""),1.8)</f>
        <v>1.8</v>
      </c>
      <c r="E291" s="4" t="str">
        <f>IFERROR(__xludf.DUMMYFUNCTION("""COMPUTED_VALUE"""),"Neto: 1,80 € (a partir de 1 uds.)")</f>
        <v>Neto: 1,80 € (a partir de 1 uds.)</v>
      </c>
    </row>
    <row r="292">
      <c r="A292" s="4" t="str">
        <f>IFERROR(__xludf.DUMMYFUNCTION("""COMPUTED_VALUE"""),"0305P")</f>
        <v>0305P</v>
      </c>
      <c r="B292" s="4" t="str">
        <f>IFERROR(__xludf.DUMMYFUNCTION("""COMPUTED_VALUE"""),"Cartel PVC 21x29 USO OBLIGATORIO CALZADO")</f>
        <v>Cartel PVC 21x29 USO OBLIGATORIO CALZADO</v>
      </c>
      <c r="C292" s="4">
        <f>IFERROR(__xludf.DUMMYFUNCTION("""COMPUTED_VALUE"""),1.6)</f>
        <v>1.6</v>
      </c>
      <c r="D292" s="4">
        <f>IFERROR(__xludf.DUMMYFUNCTION("""COMPUTED_VALUE"""),1.2)</f>
        <v>1.2</v>
      </c>
      <c r="E292" s="4" t="str">
        <f>IFERROR(__xludf.DUMMYFUNCTION("""COMPUTED_VALUE"""),"Neto: 1,20 € (a partir de 1 uds.)")</f>
        <v>Neto: 1,20 € (a partir de 1 uds.)</v>
      </c>
    </row>
    <row r="293">
      <c r="A293" s="4" t="str">
        <f>IFERROR(__xludf.DUMMYFUNCTION("""COMPUTED_VALUE"""),"306")</f>
        <v>306</v>
      </c>
      <c r="B293" s="4" t="str">
        <f>IFERROR(__xludf.DUMMYFUNCTION("""COMPUTED_VALUE"""),"Cartel PVC 40x30 Oblig. Lavarse las manos")</f>
        <v>Cartel PVC 40x30 Oblig. Lavarse las manos</v>
      </c>
      <c r="C293" s="4">
        <f>IFERROR(__xludf.DUMMYFUNCTION("""COMPUTED_VALUE"""),2.48)</f>
        <v>2.48</v>
      </c>
      <c r="D293" s="4">
        <f>IFERROR(__xludf.DUMMYFUNCTION("""COMPUTED_VALUE"""),1.8)</f>
        <v>1.8</v>
      </c>
      <c r="E293" s="4" t="str">
        <f>IFERROR(__xludf.DUMMYFUNCTION("""COMPUTED_VALUE"""),"Neto: 1,80 € (a partir de 1 uds.)")</f>
        <v>Neto: 1,80 € (a partir de 1 uds.)</v>
      </c>
    </row>
    <row r="294">
      <c r="A294" s="4" t="str">
        <f>IFERROR(__xludf.DUMMYFUNCTION("""COMPUTED_VALUE"""),"0306P")</f>
        <v>0306P</v>
      </c>
      <c r="B294" s="4" t="str">
        <f>IFERROR(__xludf.DUMMYFUNCTION("""COMPUTED_VALUE"""),"Cartel PVC 21x29 OBLIGATORIO LAVARSE LAS MANOS")</f>
        <v>Cartel PVC 21x29 OBLIGATORIO LAVARSE LAS MANOS</v>
      </c>
      <c r="C294" s="4">
        <f>IFERROR(__xludf.DUMMYFUNCTION("""COMPUTED_VALUE"""),1.6)</f>
        <v>1.6</v>
      </c>
      <c r="D294" s="4">
        <f>IFERROR(__xludf.DUMMYFUNCTION("""COMPUTED_VALUE"""),1.2)</f>
        <v>1.2</v>
      </c>
      <c r="E294" s="4" t="str">
        <f>IFERROR(__xludf.DUMMYFUNCTION("""COMPUTED_VALUE"""),"Neto: 1,20 € (a partir de 1 uds.)")</f>
        <v>Neto: 1,20 € (a partir de 1 uds.)</v>
      </c>
    </row>
    <row r="295">
      <c r="A295" s="4" t="str">
        <f>IFERROR(__xludf.DUMMYFUNCTION("""COMPUTED_VALUE"""),"307")</f>
        <v>307</v>
      </c>
      <c r="B295" s="4" t="str">
        <f>IFERROR(__xludf.DUMMYFUNCTION("""COMPUTED_VALUE"""),"Cartel PVC 40x30 Apilar Correctamente")</f>
        <v>Cartel PVC 40x30 Apilar Correctamente</v>
      </c>
      <c r="C295" s="4">
        <f>IFERROR(__xludf.DUMMYFUNCTION("""COMPUTED_VALUE"""),2.48)</f>
        <v>2.48</v>
      </c>
      <c r="D295" s="4">
        <f>IFERROR(__xludf.DUMMYFUNCTION("""COMPUTED_VALUE"""),1.8)</f>
        <v>1.8</v>
      </c>
      <c r="E295" s="4" t="str">
        <f>IFERROR(__xludf.DUMMYFUNCTION("""COMPUTED_VALUE"""),"Neto: 1,80 € (a partir de 1 uds.)")</f>
        <v>Neto: 1,80 € (a partir de 1 uds.)</v>
      </c>
    </row>
    <row r="296">
      <c r="A296" s="4" t="str">
        <f>IFERROR(__xludf.DUMMYFUNCTION("""COMPUTED_VALUE"""),"0307P")</f>
        <v>0307P</v>
      </c>
      <c r="B296" s="4" t="str">
        <f>IFERROR(__xludf.DUMMYFUNCTION("""COMPUTED_VALUE"""),"Cartel PVC 21x29 APILAR CORRECTAMENTE")</f>
        <v>Cartel PVC 21x29 APILAR CORRECTAMENTE</v>
      </c>
      <c r="C296" s="4">
        <f>IFERROR(__xludf.DUMMYFUNCTION("""COMPUTED_VALUE"""),1.6)</f>
        <v>1.6</v>
      </c>
      <c r="D296" s="4">
        <f>IFERROR(__xludf.DUMMYFUNCTION("""COMPUTED_VALUE"""),1.2)</f>
        <v>1.2</v>
      </c>
      <c r="E296" s="4" t="str">
        <f>IFERROR(__xludf.DUMMYFUNCTION("""COMPUTED_VALUE"""),"Neto: 1,20 € (a partir de 1 uds.)")</f>
        <v>Neto: 1,20 € (a partir de 1 uds.)</v>
      </c>
    </row>
    <row r="297">
      <c r="A297" s="4" t="str">
        <f>IFERROR(__xludf.DUMMYFUNCTION("""COMPUTED_VALUE"""),"308")</f>
        <v>308</v>
      </c>
      <c r="B297" s="4" t="str">
        <f>IFERROR(__xludf.DUMMYFUNCTION("""COMPUTED_VALUE"""),"Cartel PVC 40x30 Oblig. Protector Ajustable")</f>
        <v>Cartel PVC 40x30 Oblig. Protector Ajustable</v>
      </c>
      <c r="C297" s="4">
        <f>IFERROR(__xludf.DUMMYFUNCTION("""COMPUTED_VALUE"""),2.48)</f>
        <v>2.48</v>
      </c>
      <c r="D297" s="4">
        <f>IFERROR(__xludf.DUMMYFUNCTION("""COMPUTED_VALUE"""),1.8)</f>
        <v>1.8</v>
      </c>
      <c r="E297" s="4" t="str">
        <f>IFERROR(__xludf.DUMMYFUNCTION("""COMPUTED_VALUE"""),"Neto: 1,80 € (a partir de 1 uds.)")</f>
        <v>Neto: 1,80 € (a partir de 1 uds.)</v>
      </c>
    </row>
    <row r="298">
      <c r="A298" s="4" t="str">
        <f>IFERROR(__xludf.DUMMYFUNCTION("""COMPUTED_VALUE"""),"0308P")</f>
        <v>0308P</v>
      </c>
      <c r="B298" s="4" t="str">
        <f>IFERROR(__xludf.DUMMYFUNCTION("""COMPUTED_VALUE"""),"Cartel PVC 21x29 Oblig. Protector Ajustable")</f>
        <v>Cartel PVC 21x29 Oblig. Protector Ajustable</v>
      </c>
      <c r="C298" s="4">
        <f>IFERROR(__xludf.DUMMYFUNCTION("""COMPUTED_VALUE"""),1.6)</f>
        <v>1.6</v>
      </c>
      <c r="D298" s="4">
        <f>IFERROR(__xludf.DUMMYFUNCTION("""COMPUTED_VALUE"""),1.2)</f>
        <v>1.2</v>
      </c>
      <c r="E298" s="4" t="str">
        <f>IFERROR(__xludf.DUMMYFUNCTION("""COMPUTED_VALUE"""),"Neto: 1,20 € (a partir de 1 uds.)")</f>
        <v>Neto: 1,20 € (a partir de 1 uds.)</v>
      </c>
    </row>
    <row r="299">
      <c r="A299" s="4" t="str">
        <f>IFERROR(__xludf.DUMMYFUNCTION("""COMPUTED_VALUE"""),"309")</f>
        <v>309</v>
      </c>
      <c r="B299" s="4" t="str">
        <f>IFERROR(__xludf.DUMMYFUNCTION("""COMPUTED_VALUE"""),"Cartel PVC 40x30 Oblig. Protector Fijo")</f>
        <v>Cartel PVC 40x30 Oblig. Protector Fijo</v>
      </c>
      <c r="C299" s="4">
        <f>IFERROR(__xludf.DUMMYFUNCTION("""COMPUTED_VALUE"""),2.48)</f>
        <v>2.48</v>
      </c>
      <c r="D299" s="4">
        <f>IFERROR(__xludf.DUMMYFUNCTION("""COMPUTED_VALUE"""),1.8)</f>
        <v>1.8</v>
      </c>
      <c r="E299" s="4" t="str">
        <f>IFERROR(__xludf.DUMMYFUNCTION("""COMPUTED_VALUE"""),"Neto: 1,80 € (a partir de 1 uds.)")</f>
        <v>Neto: 1,80 € (a partir de 1 uds.)</v>
      </c>
    </row>
    <row r="300">
      <c r="A300" s="4" t="str">
        <f>IFERROR(__xludf.DUMMYFUNCTION("""COMPUTED_VALUE"""),"0309P")</f>
        <v>0309P</v>
      </c>
      <c r="B300" s="4" t="str">
        <f>IFERROR(__xludf.DUMMYFUNCTION("""COMPUTED_VALUE"""),"Cartel PVC 21x29 USO OBLIGATORIO PROTECTOR FIJO")</f>
        <v>Cartel PVC 21x29 USO OBLIGATORIO PROTECTOR FIJO</v>
      </c>
      <c r="C300" s="4">
        <f>IFERROR(__xludf.DUMMYFUNCTION("""COMPUTED_VALUE"""),1.6)</f>
        <v>1.6</v>
      </c>
      <c r="D300" s="4">
        <f>IFERROR(__xludf.DUMMYFUNCTION("""COMPUTED_VALUE"""),1.2)</f>
        <v>1.2</v>
      </c>
      <c r="E300" s="4" t="str">
        <f>IFERROR(__xludf.DUMMYFUNCTION("""COMPUTED_VALUE"""),"Neto: 1,20 € (a partir de 1 uds.)")</f>
        <v>Neto: 1,20 € (a partir de 1 uds.)</v>
      </c>
    </row>
    <row r="301">
      <c r="A301" s="4" t="str">
        <f>IFERROR(__xludf.DUMMYFUNCTION("""COMPUTED_VALUE"""),"310")</f>
        <v>310</v>
      </c>
      <c r="B301" s="4" t="str">
        <f>IFERROR(__xludf.DUMMYFUNCTION("""COMPUTED_VALUE"""),"Cartel PVC 40x30 Proh. la entrada con marcapasos")</f>
        <v>Cartel PVC 40x30 Proh. la entrada con marcapasos</v>
      </c>
      <c r="C301" s="4">
        <f>IFERROR(__xludf.DUMMYFUNCTION("""COMPUTED_VALUE"""),2.48)</f>
        <v>2.48</v>
      </c>
      <c r="D301" s="4">
        <f>IFERROR(__xludf.DUMMYFUNCTION("""COMPUTED_VALUE"""),1.8)</f>
        <v>1.8</v>
      </c>
      <c r="E301" s="4" t="str">
        <f>IFERROR(__xludf.DUMMYFUNCTION("""COMPUTED_VALUE"""),"Neto: 1,80 € (a partir de 1 uds.)")</f>
        <v>Neto: 1,80 € (a partir de 1 uds.)</v>
      </c>
    </row>
    <row r="302">
      <c r="A302" s="4" t="str">
        <f>IFERROR(__xludf.DUMMYFUNCTION("""COMPUTED_VALUE"""),"0310P")</f>
        <v>0310P</v>
      </c>
      <c r="B302" s="4" t="str">
        <f>IFERROR(__xludf.DUMMYFUNCTION("""COMPUTED_VALUE"""),"Cartel PVC 21x29 PROHIBIDA LA ENTRADA CON")</f>
        <v>Cartel PVC 21x29 PROHIBIDA LA ENTRADA CON</v>
      </c>
      <c r="C302" s="4">
        <f>IFERROR(__xludf.DUMMYFUNCTION("""COMPUTED_VALUE"""),1.6)</f>
        <v>1.6</v>
      </c>
      <c r="D302" s="4">
        <f>IFERROR(__xludf.DUMMYFUNCTION("""COMPUTED_VALUE"""),1.2)</f>
        <v>1.2</v>
      </c>
      <c r="E302" s="4" t="str">
        <f>IFERROR(__xludf.DUMMYFUNCTION("""COMPUTED_VALUE"""),"Neto: 1,20 € (a partir de 1 uds.)")</f>
        <v>Neto: 1,20 € (a partir de 1 uds.)</v>
      </c>
    </row>
    <row r="303">
      <c r="A303" s="4" t="str">
        <f>IFERROR(__xludf.DUMMYFUNCTION("""COMPUTED_VALUE"""),"311")</f>
        <v>311</v>
      </c>
      <c r="B303" s="4" t="str">
        <f>IFERROR(__xludf.DUMMYFUNCTION("""COMPUTED_VALUE"""),"Cartel PVC 40x30 Peligro zona de carga y descarga")</f>
        <v>Cartel PVC 40x30 Peligro zona de carga y descarga</v>
      </c>
      <c r="C303" s="4">
        <f>IFERROR(__xludf.DUMMYFUNCTION("""COMPUTED_VALUE"""),2.48)</f>
        <v>2.48</v>
      </c>
      <c r="D303" s="4">
        <f>IFERROR(__xludf.DUMMYFUNCTION("""COMPUTED_VALUE"""),1.8)</f>
        <v>1.8</v>
      </c>
      <c r="E303" s="4" t="str">
        <f>IFERROR(__xludf.DUMMYFUNCTION("""COMPUTED_VALUE"""),"Neto: 1,80 € (a partir de 1 uds.)")</f>
        <v>Neto: 1,80 € (a partir de 1 uds.)</v>
      </c>
    </row>
    <row r="304">
      <c r="A304" s="4" t="str">
        <f>IFERROR(__xludf.DUMMYFUNCTION("""COMPUTED_VALUE"""),"0311P")</f>
        <v>0311P</v>
      </c>
      <c r="B304" s="4" t="str">
        <f>IFERROR(__xludf.DUMMYFUNCTION("""COMPUTED_VALUE"""),"Cartel PVC 21x29 PELIGRO ZONA CARGA Y DESCARGA")</f>
        <v>Cartel PVC 21x29 PELIGRO ZONA CARGA Y DESCARGA</v>
      </c>
      <c r="C304" s="4">
        <f>IFERROR(__xludf.DUMMYFUNCTION("""COMPUTED_VALUE"""),1.6)</f>
        <v>1.6</v>
      </c>
      <c r="D304" s="4">
        <f>IFERROR(__xludf.DUMMYFUNCTION("""COMPUTED_VALUE"""),1.2)</f>
        <v>1.2</v>
      </c>
      <c r="E304" s="4" t="str">
        <f>IFERROR(__xludf.DUMMYFUNCTION("""COMPUTED_VALUE"""),"Neto: 1,20 € (a partir de 1 uds.)")</f>
        <v>Neto: 1,20 € (a partir de 1 uds.)</v>
      </c>
    </row>
    <row r="305">
      <c r="A305" s="4" t="str">
        <f>IFERROR(__xludf.DUMMYFUNCTION("""COMPUTED_VALUE"""),"312")</f>
        <v>312</v>
      </c>
      <c r="B305" s="4" t="str">
        <f>IFERROR(__xludf.DUMMYFUNCTION("""COMPUTED_VALUE"""),"Cartel PVC 40x30 Baja Temperatura")</f>
        <v>Cartel PVC 40x30 Baja Temperatura</v>
      </c>
      <c r="C305" s="4">
        <f>IFERROR(__xludf.DUMMYFUNCTION("""COMPUTED_VALUE"""),2.48)</f>
        <v>2.48</v>
      </c>
      <c r="D305" s="4">
        <f>IFERROR(__xludf.DUMMYFUNCTION("""COMPUTED_VALUE"""),1.8)</f>
        <v>1.8</v>
      </c>
      <c r="E305" s="4" t="str">
        <f>IFERROR(__xludf.DUMMYFUNCTION("""COMPUTED_VALUE"""),"Neto: 1,80 € (a partir de 1 uds.)")</f>
        <v>Neto: 1,80 € (a partir de 1 uds.)</v>
      </c>
    </row>
    <row r="306">
      <c r="A306" s="4" t="str">
        <f>IFERROR(__xludf.DUMMYFUNCTION("""COMPUTED_VALUE"""),"0312P")</f>
        <v>0312P</v>
      </c>
      <c r="B306" s="4" t="str">
        <f>IFERROR(__xludf.DUMMYFUNCTION("""COMPUTED_VALUE"""),"Cartel PVC 21x29 ATENCION BAJA TEMPERATURA")</f>
        <v>Cartel PVC 21x29 ATENCION BAJA TEMPERATURA</v>
      </c>
      <c r="C306" s="4">
        <f>IFERROR(__xludf.DUMMYFUNCTION("""COMPUTED_VALUE"""),1.6)</f>
        <v>1.6</v>
      </c>
      <c r="D306" s="4">
        <f>IFERROR(__xludf.DUMMYFUNCTION("""COMPUTED_VALUE"""),1.2)</f>
        <v>1.2</v>
      </c>
      <c r="E306" s="4" t="str">
        <f>IFERROR(__xludf.DUMMYFUNCTION("""COMPUTED_VALUE"""),"Neto: 1,20 € (a partir de 1 uds.)")</f>
        <v>Neto: 1,20 € (a partir de 1 uds.)</v>
      </c>
    </row>
    <row r="307">
      <c r="A307" s="4" t="str">
        <f>IFERROR(__xludf.DUMMYFUNCTION("""COMPUTED_VALUE"""),"313")</f>
        <v>313</v>
      </c>
      <c r="B307" s="4" t="str">
        <f>IFERROR(__xludf.DUMMYFUNCTION("""COMPUTED_VALUE"""),"Cartel PVC 40x30 Peligro Alta Presion")</f>
        <v>Cartel PVC 40x30 Peligro Alta Presion</v>
      </c>
      <c r="C307" s="4">
        <f>IFERROR(__xludf.DUMMYFUNCTION("""COMPUTED_VALUE"""),2.48)</f>
        <v>2.48</v>
      </c>
      <c r="D307" s="4">
        <f>IFERROR(__xludf.DUMMYFUNCTION("""COMPUTED_VALUE"""),1.8)</f>
        <v>1.8</v>
      </c>
      <c r="E307" s="4" t="str">
        <f>IFERROR(__xludf.DUMMYFUNCTION("""COMPUTED_VALUE"""),"Neto: 1,80 € (a partir de 1 uds.)")</f>
        <v>Neto: 1,80 € (a partir de 1 uds.)</v>
      </c>
    </row>
    <row r="308">
      <c r="A308" s="4" t="str">
        <f>IFERROR(__xludf.DUMMYFUNCTION("""COMPUTED_VALUE"""),"0313P")</f>
        <v>0313P</v>
      </c>
      <c r="B308" s="4" t="str">
        <f>IFERROR(__xludf.DUMMYFUNCTION("""COMPUTED_VALUE"""),"Cartel PVC 21x29 PELIGRO ALTA PRESION")</f>
        <v>Cartel PVC 21x29 PELIGRO ALTA PRESION</v>
      </c>
      <c r="C308" s="4">
        <f>IFERROR(__xludf.DUMMYFUNCTION("""COMPUTED_VALUE"""),1.6)</f>
        <v>1.6</v>
      </c>
      <c r="D308" s="4">
        <f>IFERROR(__xludf.DUMMYFUNCTION("""COMPUTED_VALUE"""),1.2)</f>
        <v>1.2</v>
      </c>
      <c r="E308" s="4" t="str">
        <f>IFERROR(__xludf.DUMMYFUNCTION("""COMPUTED_VALUE"""),"Neto: 1,20 € (a partir de 1 uds.)")</f>
        <v>Neto: 1,20 € (a partir de 1 uds.)</v>
      </c>
    </row>
    <row r="309">
      <c r="A309" s="4" t="str">
        <f>IFERROR(__xludf.DUMMYFUNCTION("""COMPUTED_VALUE"""),"314")</f>
        <v>314</v>
      </c>
      <c r="B309" s="4" t="str">
        <f>IFERROR(__xludf.DUMMYFUNCTION("""COMPUTED_VALUE"""),"Cartel PVC 40x30 Peligro Suelo fragil")</f>
        <v>Cartel PVC 40x30 Peligro Suelo fragil</v>
      </c>
      <c r="C309" s="4">
        <f>IFERROR(__xludf.DUMMYFUNCTION("""COMPUTED_VALUE"""),2.48)</f>
        <v>2.48</v>
      </c>
      <c r="D309" s="4">
        <f>IFERROR(__xludf.DUMMYFUNCTION("""COMPUTED_VALUE"""),1.8)</f>
        <v>1.8</v>
      </c>
      <c r="E309" s="4" t="str">
        <f>IFERROR(__xludf.DUMMYFUNCTION("""COMPUTED_VALUE"""),"Neto: 1,80 € (a partir de 1 uds.)")</f>
        <v>Neto: 1,80 € (a partir de 1 uds.)</v>
      </c>
    </row>
    <row r="310">
      <c r="A310" s="4" t="str">
        <f>IFERROR(__xludf.DUMMYFUNCTION("""COMPUTED_VALUE"""),"0314P")</f>
        <v>0314P</v>
      </c>
      <c r="B310" s="4" t="str">
        <f>IFERROR(__xludf.DUMMYFUNCTION("""COMPUTED_VALUE"""),"Cartel PVC 21x29 ATENCION SUELO FRAGIL")</f>
        <v>Cartel PVC 21x29 ATENCION SUELO FRAGIL</v>
      </c>
      <c r="C310" s="4">
        <f>IFERROR(__xludf.DUMMYFUNCTION("""COMPUTED_VALUE"""),1.6)</f>
        <v>1.6</v>
      </c>
      <c r="D310" s="4">
        <f>IFERROR(__xludf.DUMMYFUNCTION("""COMPUTED_VALUE"""),1.2)</f>
        <v>1.2</v>
      </c>
      <c r="E310" s="4" t="str">
        <f>IFERROR(__xludf.DUMMYFUNCTION("""COMPUTED_VALUE"""),"Neto: 1,20 € (a partir de 1 uds.)")</f>
        <v>Neto: 1,20 € (a partir de 1 uds.)</v>
      </c>
    </row>
    <row r="311">
      <c r="A311" s="4" t="str">
        <f>IFERROR(__xludf.DUMMYFUNCTION("""COMPUTED_VALUE"""),"315")</f>
        <v>315</v>
      </c>
      <c r="B311" s="4" t="str">
        <f>IFERROR(__xludf.DUMMYFUNCTION("""COMPUTED_VALUE"""),"Cartel PVC 40x30 Atencion Suelo Resbaladizo")</f>
        <v>Cartel PVC 40x30 Atencion Suelo Resbaladizo</v>
      </c>
      <c r="C311" s="4">
        <f>IFERROR(__xludf.DUMMYFUNCTION("""COMPUTED_VALUE"""),2.48)</f>
        <v>2.48</v>
      </c>
      <c r="D311" s="4">
        <f>IFERROR(__xludf.DUMMYFUNCTION("""COMPUTED_VALUE"""),1.8)</f>
        <v>1.8</v>
      </c>
      <c r="E311" s="4" t="str">
        <f>IFERROR(__xludf.DUMMYFUNCTION("""COMPUTED_VALUE"""),"Neto: 1,80 € (a partir de 1 uds.)")</f>
        <v>Neto: 1,80 € (a partir de 1 uds.)</v>
      </c>
    </row>
    <row r="312">
      <c r="A312" s="4" t="str">
        <f>IFERROR(__xludf.DUMMYFUNCTION("""COMPUTED_VALUE"""),"0315P")</f>
        <v>0315P</v>
      </c>
      <c r="B312" s="4" t="str">
        <f>IFERROR(__xludf.DUMMYFUNCTION("""COMPUTED_VALUE"""),"Cartel PVC 21x29 ATENCION SUELO RESBALADIZO")</f>
        <v>Cartel PVC 21x29 ATENCION SUELO RESBALADIZO</v>
      </c>
      <c r="C312" s="4">
        <f>IFERROR(__xludf.DUMMYFUNCTION("""COMPUTED_VALUE"""),1.6)</f>
        <v>1.6</v>
      </c>
      <c r="D312" s="4">
        <f>IFERROR(__xludf.DUMMYFUNCTION("""COMPUTED_VALUE"""),1.2)</f>
        <v>1.2</v>
      </c>
      <c r="E312" s="4" t="str">
        <f>IFERROR(__xludf.DUMMYFUNCTION("""COMPUTED_VALUE"""),"Neto: 1,20 € (a partir de 1 uds.)")</f>
        <v>Neto: 1,20 € (a partir de 1 uds.)</v>
      </c>
    </row>
    <row r="313">
      <c r="A313" s="4" t="str">
        <f>IFERROR(__xludf.DUMMYFUNCTION("""COMPUTED_VALUE"""),"316")</f>
        <v>316</v>
      </c>
      <c r="B313" s="4" t="str">
        <f>IFERROR(__xludf.DUMMYFUNCTION("""COMPUTED_VALUE"""),"Cartel PVC 40x30 Solo Personal Autorizado")</f>
        <v>Cartel PVC 40x30 Solo Personal Autorizado</v>
      </c>
      <c r="C313" s="4">
        <f>IFERROR(__xludf.DUMMYFUNCTION("""COMPUTED_VALUE"""),2.48)</f>
        <v>2.48</v>
      </c>
      <c r="D313" s="4">
        <f>IFERROR(__xludf.DUMMYFUNCTION("""COMPUTED_VALUE"""),1.8)</f>
        <v>1.8</v>
      </c>
      <c r="E313" s="4" t="str">
        <f>IFERROR(__xludf.DUMMYFUNCTION("""COMPUTED_VALUE"""),"Neto: 1,80 € (a partir de 1 uds.)")</f>
        <v>Neto: 1,80 € (a partir de 1 uds.)</v>
      </c>
    </row>
    <row r="314">
      <c r="A314" s="4" t="str">
        <f>IFERROR(__xludf.DUMMYFUNCTION("""COMPUTED_VALUE"""),"0316P")</f>
        <v>0316P</v>
      </c>
      <c r="B314" s="4" t="str">
        <f>IFERROR(__xludf.DUMMYFUNCTION("""COMPUTED_VALUE"""),"Cartel PVC 21x29 SOLO PERSONAL AUTORIZADO")</f>
        <v>Cartel PVC 21x29 SOLO PERSONAL AUTORIZADO</v>
      </c>
      <c r="C314" s="4">
        <f>IFERROR(__xludf.DUMMYFUNCTION("""COMPUTED_VALUE"""),1.6)</f>
        <v>1.6</v>
      </c>
      <c r="D314" s="4">
        <f>IFERROR(__xludf.DUMMYFUNCTION("""COMPUTED_VALUE"""),1.2)</f>
        <v>1.2</v>
      </c>
      <c r="E314" s="4" t="str">
        <f>IFERROR(__xludf.DUMMYFUNCTION("""COMPUTED_VALUE"""),"Neto: 1,20 € (a partir de 1 uds.)")</f>
        <v>Neto: 1,20 € (a partir de 1 uds.)</v>
      </c>
    </row>
    <row r="315">
      <c r="A315" s="4" t="str">
        <f>IFERROR(__xludf.DUMMYFUNCTION("""COMPUTED_VALUE"""),"317")</f>
        <v>317</v>
      </c>
      <c r="B315" s="4" t="str">
        <f>IFERROR(__xludf.DUMMYFUNCTION("""COMPUTED_VALUE"""),"Cartel PVC 40x30 Prohibido paso con bicicleta")</f>
        <v>Cartel PVC 40x30 Prohibido paso con bicicleta</v>
      </c>
      <c r="C315" s="4">
        <f>IFERROR(__xludf.DUMMYFUNCTION("""COMPUTED_VALUE"""),2.48)</f>
        <v>2.48</v>
      </c>
      <c r="D315" s="4">
        <f>IFERROR(__xludf.DUMMYFUNCTION("""COMPUTED_VALUE"""),1.8)</f>
        <v>1.8</v>
      </c>
      <c r="E315" s="4" t="str">
        <f>IFERROR(__xludf.DUMMYFUNCTION("""COMPUTED_VALUE"""),"Neto: 1,80 € (a partir de 1 uds.)")</f>
        <v>Neto: 1,80 € (a partir de 1 uds.)</v>
      </c>
    </row>
    <row r="316">
      <c r="A316" s="4" t="str">
        <f>IFERROR(__xludf.DUMMYFUNCTION("""COMPUTED_VALUE"""),"0317P")</f>
        <v>0317P</v>
      </c>
      <c r="B316" s="4" t="str">
        <f>IFERROR(__xludf.DUMMYFUNCTION("""COMPUTED_VALUE"""),"Cartel PVC 21x29 PROHIBIDO EL PASO CON BICICLETA")</f>
        <v>Cartel PVC 21x29 PROHIBIDO EL PASO CON BICICLETA</v>
      </c>
      <c r="C316" s="4">
        <f>IFERROR(__xludf.DUMMYFUNCTION("""COMPUTED_VALUE"""),1.6)</f>
        <v>1.6</v>
      </c>
      <c r="D316" s="4">
        <f>IFERROR(__xludf.DUMMYFUNCTION("""COMPUTED_VALUE"""),1.2)</f>
        <v>1.2</v>
      </c>
      <c r="E316" s="4" t="str">
        <f>IFERROR(__xludf.DUMMYFUNCTION("""COMPUTED_VALUE"""),"Neto: 1,20 € (a partir de 1 uds.)")</f>
        <v>Neto: 1,20 € (a partir de 1 uds.)</v>
      </c>
    </row>
    <row r="317">
      <c r="A317" s="4" t="str">
        <f>IFERROR(__xludf.DUMMYFUNCTION("""COMPUTED_VALUE"""),"318")</f>
        <v>318</v>
      </c>
      <c r="B317" s="4" t="str">
        <f>IFERROR(__xludf.DUMMYFUNCTION("""COMPUTED_VALUE"""),"Cartel PVC 40x30 Prohib. Uso de Moviles")</f>
        <v>Cartel PVC 40x30 Prohib. Uso de Moviles</v>
      </c>
      <c r="C317" s="4">
        <f>IFERROR(__xludf.DUMMYFUNCTION("""COMPUTED_VALUE"""),2.48)</f>
        <v>2.48</v>
      </c>
      <c r="D317" s="4">
        <f>IFERROR(__xludf.DUMMYFUNCTION("""COMPUTED_VALUE"""),1.8)</f>
        <v>1.8</v>
      </c>
      <c r="E317" s="4" t="str">
        <f>IFERROR(__xludf.DUMMYFUNCTION("""COMPUTED_VALUE"""),"Neto: 1,80 € (a partir de 1 uds.)")</f>
        <v>Neto: 1,80 € (a partir de 1 uds.)</v>
      </c>
    </row>
    <row r="318">
      <c r="A318" s="4" t="str">
        <f>IFERROR(__xludf.DUMMYFUNCTION("""COMPUTED_VALUE"""),"0318P")</f>
        <v>0318P</v>
      </c>
      <c r="B318" s="4" t="str">
        <f>IFERROR(__xludf.DUMMYFUNCTION("""COMPUTED_VALUE"""),"Cartel PVC 21x29 PROHIBIDO EL USO TELEFONOS")</f>
        <v>Cartel PVC 21x29 PROHIBIDO EL USO TELEFONOS</v>
      </c>
      <c r="C318" s="4">
        <f>IFERROR(__xludf.DUMMYFUNCTION("""COMPUTED_VALUE"""),1.6)</f>
        <v>1.6</v>
      </c>
      <c r="D318" s="4">
        <f>IFERROR(__xludf.DUMMYFUNCTION("""COMPUTED_VALUE"""),1.2)</f>
        <v>1.2</v>
      </c>
      <c r="E318" s="4" t="str">
        <f>IFERROR(__xludf.DUMMYFUNCTION("""COMPUTED_VALUE"""),"Neto: 1,20 € (a partir de 1 uds.)")</f>
        <v>Neto: 1,20 € (a partir de 1 uds.)</v>
      </c>
    </row>
    <row r="319">
      <c r="A319" s="4" t="str">
        <f>IFERROR(__xludf.DUMMYFUNCTION("""COMPUTED_VALUE"""),"319")</f>
        <v>319</v>
      </c>
      <c r="B319" s="4" t="str">
        <f>IFERROR(__xludf.DUMMYFUNCTION("""COMPUTED_VALUE"""),"Cartel PVC 40x30 Fotolum. Hidrante")</f>
        <v>Cartel PVC 40x30 Fotolum. Hidrante</v>
      </c>
      <c r="C319" s="4">
        <f>IFERROR(__xludf.DUMMYFUNCTION("""COMPUTED_VALUE"""),3.45)</f>
        <v>3.45</v>
      </c>
      <c r="D319" s="4">
        <f>IFERROR(__xludf.DUMMYFUNCTION("""COMPUTED_VALUE"""),3.2)</f>
        <v>3.2</v>
      </c>
      <c r="E319" s="4" t="str">
        <f>IFERROR(__xludf.DUMMYFUNCTION("""COMPUTED_VALUE"""),"Neto: 3,20 € (a partir de 1 uds.)")</f>
        <v>Neto: 3,20 € (a partir de 1 uds.)</v>
      </c>
    </row>
    <row r="320">
      <c r="A320" s="4" t="str">
        <f>IFERROR(__xludf.DUMMYFUNCTION("""COMPUTED_VALUE"""),"0319A")</f>
        <v>0319A</v>
      </c>
      <c r="B320" s="4" t="str">
        <f>IFERROR(__xludf.DUMMYFUNCTION("""COMPUTED_VALUE"""),"Cartel PVC 32x16 Fotolum. Salida emergencia dcha abajo")</f>
        <v>Cartel PVC 32x16 Fotolum. Salida emergencia dcha abajo</v>
      </c>
      <c r="C320" s="4">
        <f>IFERROR(__xludf.DUMMYFUNCTION("""COMPUTED_VALUE"""),2.25)</f>
        <v>2.25</v>
      </c>
      <c r="D320" s="4"/>
      <c r="E320" s="4" t="str">
        <f>IFERROR(__xludf.DUMMYFUNCTION("""COMPUTED_VALUE"""),"Sin precio neto")</f>
        <v>Sin precio neto</v>
      </c>
    </row>
    <row r="321">
      <c r="A321" s="4" t="str">
        <f>IFERROR(__xludf.DUMMYFUNCTION("""COMPUTED_VALUE"""),"0319AA")</f>
        <v>0319AA</v>
      </c>
      <c r="B321" s="4" t="str">
        <f>IFERROR(__xludf.DUMMYFUNCTION("""COMPUTED_VALUE"""),"Cartel PVC 32x16 Fotolum. Salida emergencia dcha abajo")</f>
        <v>Cartel PVC 32x16 Fotolum. Salida emergencia dcha abajo</v>
      </c>
      <c r="C321" s="4">
        <f>IFERROR(__xludf.DUMMYFUNCTION("""COMPUTED_VALUE"""),2.25)</f>
        <v>2.25</v>
      </c>
      <c r="D321" s="4"/>
      <c r="E321" s="4" t="str">
        <f>IFERROR(__xludf.DUMMYFUNCTION("""COMPUTED_VALUE"""),"Sin precio neto")</f>
        <v>Sin precio neto</v>
      </c>
    </row>
    <row r="322">
      <c r="A322" s="4" t="str">
        <f>IFERROR(__xludf.DUMMYFUNCTION("""COMPUTED_VALUE"""),"0319B")</f>
        <v>0319B</v>
      </c>
      <c r="B322" s="4" t="str">
        <f>IFERROR(__xludf.DUMMYFUNCTION("""COMPUTED_VALUE"""),"Cartel PVC 64x32 Fotolum. Salida emergencia dcha abajo")</f>
        <v>Cartel PVC 64x32 Fotolum. Salida emergencia dcha abajo</v>
      </c>
      <c r="C322" s="4">
        <f>IFERROR(__xludf.DUMMYFUNCTION("""COMPUTED_VALUE"""),4.48)</f>
        <v>4.48</v>
      </c>
      <c r="D322" s="4"/>
      <c r="E322" s="4" t="str">
        <f>IFERROR(__xludf.DUMMYFUNCTION("""COMPUTED_VALUE"""),"Sin precio neto")</f>
        <v>Sin precio neto</v>
      </c>
    </row>
    <row r="323">
      <c r="A323" s="4" t="str">
        <f>IFERROR(__xludf.DUMMYFUNCTION("""COMPUTED_VALUE"""),"0319BA")</f>
        <v>0319BA</v>
      </c>
      <c r="B323" s="4" t="str">
        <f>IFERROR(__xludf.DUMMYFUNCTION("""COMPUTED_VALUE"""),"Cartel PVC 64x32 Fotolum. Salida emergencia dcha abajo")</f>
        <v>Cartel PVC 64x32 Fotolum. Salida emergencia dcha abajo</v>
      </c>
      <c r="C323" s="4">
        <f>IFERROR(__xludf.DUMMYFUNCTION("""COMPUTED_VALUE"""),4.48)</f>
        <v>4.48</v>
      </c>
      <c r="D323" s="4"/>
      <c r="E323" s="4" t="str">
        <f>IFERROR(__xludf.DUMMYFUNCTION("""COMPUTED_VALUE"""),"Sin precio neto")</f>
        <v>Sin precio neto</v>
      </c>
    </row>
    <row r="324">
      <c r="A324" s="4" t="str">
        <f>IFERROR(__xludf.DUMMYFUNCTION("""COMPUTED_VALUE"""),"0319C")</f>
        <v>0319C</v>
      </c>
      <c r="B324" s="4" t="str">
        <f>IFERROR(__xludf.DUMMYFUNCTION("""COMPUTED_VALUE"""),"Cartel PVC 96x48 Fotolum. Salida emergencia dcha abajo")</f>
        <v>Cartel PVC 96x48 Fotolum. Salida emergencia dcha abajo</v>
      </c>
      <c r="C324" s="4">
        <f>IFERROR(__xludf.DUMMYFUNCTION("""COMPUTED_VALUE"""),8.96)</f>
        <v>8.96</v>
      </c>
      <c r="D324" s="4"/>
      <c r="E324" s="4" t="str">
        <f>IFERROR(__xludf.DUMMYFUNCTION("""COMPUTED_VALUE"""),"Sin precio neto")</f>
        <v>Sin precio neto</v>
      </c>
    </row>
    <row r="325">
      <c r="A325" s="4" t="str">
        <f>IFERROR(__xludf.DUMMYFUNCTION("""COMPUTED_VALUE"""),"0319CA")</f>
        <v>0319CA</v>
      </c>
      <c r="B325" s="4" t="str">
        <f>IFERROR(__xludf.DUMMYFUNCTION("""COMPUTED_VALUE"""),"Cartel PVC 96x48 Fotolum. Salida emergencia dcha abajo")</f>
        <v>Cartel PVC 96x48 Fotolum. Salida emergencia dcha abajo</v>
      </c>
      <c r="C325" s="4">
        <f>IFERROR(__xludf.DUMMYFUNCTION("""COMPUTED_VALUE"""),8.96)</f>
        <v>8.96</v>
      </c>
      <c r="D325" s="4"/>
      <c r="E325" s="4" t="str">
        <f>IFERROR(__xludf.DUMMYFUNCTION("""COMPUTED_VALUE"""),"Sin precio neto")</f>
        <v>Sin precio neto</v>
      </c>
    </row>
    <row r="326">
      <c r="A326" s="4" t="str">
        <f>IFERROR(__xludf.DUMMYFUNCTION("""COMPUTED_VALUE"""),"320")</f>
        <v>320</v>
      </c>
      <c r="B326" s="4" t="str">
        <f>IFERROR(__xludf.DUMMYFUNCTION("""COMPUTED_VALUE"""),"Cartel PVC 21x30 Fotolum. Salida escalera arriba izq.")</f>
        <v>Cartel PVC 21x30 Fotolum. Salida escalera arriba izq.</v>
      </c>
      <c r="C326" s="4">
        <f>IFERROR(__xludf.DUMMYFUNCTION("""COMPUTED_VALUE"""),2.6)</f>
        <v>2.6</v>
      </c>
      <c r="D326" s="4">
        <f>IFERROR(__xludf.DUMMYFUNCTION("""COMPUTED_VALUE"""),2.1)</f>
        <v>2.1</v>
      </c>
      <c r="E326" s="4" t="str">
        <f>IFERROR(__xludf.DUMMYFUNCTION("""COMPUTED_VALUE"""),"Neto: 2,10 € (a partir de 1 uds.)")</f>
        <v>Neto: 2,10 € (a partir de 1 uds.)</v>
      </c>
    </row>
    <row r="327">
      <c r="A327" s="4" t="str">
        <f>IFERROR(__xludf.DUMMYFUNCTION("""COMPUTED_VALUE"""),"0320A")</f>
        <v>0320A</v>
      </c>
      <c r="B327" s="4" t="str">
        <f>IFERROR(__xludf.DUMMYFUNCTION("""COMPUTED_VALUE"""),"Cartel PVC 32x16 Fotolum. Salida emergencia arriba izq")</f>
        <v>Cartel PVC 32x16 Fotolum. Salida emergencia arriba izq</v>
      </c>
      <c r="C327" s="4">
        <f>IFERROR(__xludf.DUMMYFUNCTION("""COMPUTED_VALUE"""),2.25)</f>
        <v>2.25</v>
      </c>
      <c r="D327" s="4"/>
      <c r="E327" s="4" t="str">
        <f>IFERROR(__xludf.DUMMYFUNCTION("""COMPUTED_VALUE"""),"Sin precio neto")</f>
        <v>Sin precio neto</v>
      </c>
    </row>
    <row r="328">
      <c r="A328" s="4" t="str">
        <f>IFERROR(__xludf.DUMMYFUNCTION("""COMPUTED_VALUE"""),"0320AA")</f>
        <v>0320AA</v>
      </c>
      <c r="B328" s="4" t="str">
        <f>IFERROR(__xludf.DUMMYFUNCTION("""COMPUTED_VALUE"""),"Cartel PVC 32x16 Fotolum. Salida emergencia arriba izq Minus")</f>
        <v>Cartel PVC 32x16 Fotolum. Salida emergencia arriba izq Minus</v>
      </c>
      <c r="C328" s="4">
        <f>IFERROR(__xludf.DUMMYFUNCTION("""COMPUTED_VALUE"""),2.25)</f>
        <v>2.25</v>
      </c>
      <c r="D328" s="4"/>
      <c r="E328" s="4" t="str">
        <f>IFERROR(__xludf.DUMMYFUNCTION("""COMPUTED_VALUE"""),"Sin precio neto")</f>
        <v>Sin precio neto</v>
      </c>
    </row>
    <row r="329">
      <c r="A329" s="4" t="str">
        <f>IFERROR(__xludf.DUMMYFUNCTION("""COMPUTED_VALUE"""),"0320B")</f>
        <v>0320B</v>
      </c>
      <c r="B329" s="4" t="str">
        <f>IFERROR(__xludf.DUMMYFUNCTION("""COMPUTED_VALUE"""),"Cartel PVC 64x32 Fotolum. Salida emergencia arriba izq")</f>
        <v>Cartel PVC 64x32 Fotolum. Salida emergencia arriba izq</v>
      </c>
      <c r="C329" s="4">
        <f>IFERROR(__xludf.DUMMYFUNCTION("""COMPUTED_VALUE"""),4.48)</f>
        <v>4.48</v>
      </c>
      <c r="D329" s="4"/>
      <c r="E329" s="4" t="str">
        <f>IFERROR(__xludf.DUMMYFUNCTION("""COMPUTED_VALUE"""),"Sin precio neto")</f>
        <v>Sin precio neto</v>
      </c>
    </row>
    <row r="330">
      <c r="A330" s="4" t="str">
        <f>IFERROR(__xludf.DUMMYFUNCTION("""COMPUTED_VALUE"""),"0320BA")</f>
        <v>0320BA</v>
      </c>
      <c r="B330" s="4" t="str">
        <f>IFERROR(__xludf.DUMMYFUNCTION("""COMPUTED_VALUE"""),"Cartel PVC 64x32 Fotolum. Salida emergencia arriba izq Minus")</f>
        <v>Cartel PVC 64x32 Fotolum. Salida emergencia arriba izq Minus</v>
      </c>
      <c r="C330" s="4">
        <f>IFERROR(__xludf.DUMMYFUNCTION("""COMPUTED_VALUE"""),4.48)</f>
        <v>4.48</v>
      </c>
      <c r="D330" s="4"/>
      <c r="E330" s="4" t="str">
        <f>IFERROR(__xludf.DUMMYFUNCTION("""COMPUTED_VALUE"""),"Sin precio neto")</f>
        <v>Sin precio neto</v>
      </c>
    </row>
    <row r="331">
      <c r="A331" s="4" t="str">
        <f>IFERROR(__xludf.DUMMYFUNCTION("""COMPUTED_VALUE"""),"0320C")</f>
        <v>0320C</v>
      </c>
      <c r="B331" s="4" t="str">
        <f>IFERROR(__xludf.DUMMYFUNCTION("""COMPUTED_VALUE"""),"Cartel PVC 96x48 Fotolum. Salida emergencia arriba izq")</f>
        <v>Cartel PVC 96x48 Fotolum. Salida emergencia arriba izq</v>
      </c>
      <c r="C331" s="4">
        <f>IFERROR(__xludf.DUMMYFUNCTION("""COMPUTED_VALUE"""),8.96)</f>
        <v>8.96</v>
      </c>
      <c r="D331" s="4"/>
      <c r="E331" s="4" t="str">
        <f>IFERROR(__xludf.DUMMYFUNCTION("""COMPUTED_VALUE"""),"Sin precio neto")</f>
        <v>Sin precio neto</v>
      </c>
    </row>
    <row r="332">
      <c r="A332" s="4" t="str">
        <f>IFERROR(__xludf.DUMMYFUNCTION("""COMPUTED_VALUE"""),"0320CA")</f>
        <v>0320CA</v>
      </c>
      <c r="B332" s="4" t="str">
        <f>IFERROR(__xludf.DUMMYFUNCTION("""COMPUTED_VALUE"""),"Cartel PVC 96x48 Fotolum. Salida emergencia arriba izq Minus")</f>
        <v>Cartel PVC 96x48 Fotolum. Salida emergencia arriba izq Minus</v>
      </c>
      <c r="C332" s="4">
        <f>IFERROR(__xludf.DUMMYFUNCTION("""COMPUTED_VALUE"""),8.96)</f>
        <v>8.96</v>
      </c>
      <c r="D332" s="4"/>
      <c r="E332" s="4" t="str">
        <f>IFERROR(__xludf.DUMMYFUNCTION("""COMPUTED_VALUE"""),"Sin precio neto")</f>
        <v>Sin precio neto</v>
      </c>
    </row>
    <row r="333">
      <c r="A333" s="4" t="str">
        <f>IFERROR(__xludf.DUMMYFUNCTION("""COMPUTED_VALUE"""),"321")</f>
        <v>321</v>
      </c>
      <c r="B333" s="4" t="str">
        <f>IFERROR(__xludf.DUMMYFUNCTION("""COMPUTED_VALUE"""),"Cartel PVC 21x30 Fotolum.Salida escalera abajo izq.")</f>
        <v>Cartel PVC 21x30 Fotolum.Salida escalera abajo izq.</v>
      </c>
      <c r="C333" s="4">
        <f>IFERROR(__xludf.DUMMYFUNCTION("""COMPUTED_VALUE"""),2.6)</f>
        <v>2.6</v>
      </c>
      <c r="D333" s="4">
        <f>IFERROR(__xludf.DUMMYFUNCTION("""COMPUTED_VALUE"""),2.1)</f>
        <v>2.1</v>
      </c>
      <c r="E333" s="4" t="str">
        <f>IFERROR(__xludf.DUMMYFUNCTION("""COMPUTED_VALUE"""),"Neto: 2,10 € (a partir de 1 uds.)")</f>
        <v>Neto: 2,10 € (a partir de 1 uds.)</v>
      </c>
    </row>
    <row r="334">
      <c r="A334" s="4" t="str">
        <f>IFERROR(__xludf.DUMMYFUNCTION("""COMPUTED_VALUE"""),"0321A")</f>
        <v>0321A</v>
      </c>
      <c r="B334" s="4" t="str">
        <f>IFERROR(__xludf.DUMMYFUNCTION("""COMPUTED_VALUE"""),"Cartel PVC 32x16 Fotolum. Salida emergencia abajo izq")</f>
        <v>Cartel PVC 32x16 Fotolum. Salida emergencia abajo izq</v>
      </c>
      <c r="C334" s="4">
        <f>IFERROR(__xludf.DUMMYFUNCTION("""COMPUTED_VALUE"""),2.25)</f>
        <v>2.25</v>
      </c>
      <c r="D334" s="4"/>
      <c r="E334" s="4" t="str">
        <f>IFERROR(__xludf.DUMMYFUNCTION("""COMPUTED_VALUE"""),"Sin precio neto")</f>
        <v>Sin precio neto</v>
      </c>
    </row>
    <row r="335">
      <c r="A335" s="4" t="str">
        <f>IFERROR(__xludf.DUMMYFUNCTION("""COMPUTED_VALUE"""),"0321AA")</f>
        <v>0321AA</v>
      </c>
      <c r="B335" s="4" t="str">
        <f>IFERROR(__xludf.DUMMYFUNCTION("""COMPUTED_VALUE"""),"Cartel PVC 32x16 Fotolum. Salida emergencia abajo izq Minus")</f>
        <v>Cartel PVC 32x16 Fotolum. Salida emergencia abajo izq Minus</v>
      </c>
      <c r="C335" s="4">
        <f>IFERROR(__xludf.DUMMYFUNCTION("""COMPUTED_VALUE"""),2.25)</f>
        <v>2.25</v>
      </c>
      <c r="D335" s="4"/>
      <c r="E335" s="4" t="str">
        <f>IFERROR(__xludf.DUMMYFUNCTION("""COMPUTED_VALUE"""),"Sin precio neto")</f>
        <v>Sin precio neto</v>
      </c>
    </row>
    <row r="336">
      <c r="A336" s="4" t="str">
        <f>IFERROR(__xludf.DUMMYFUNCTION("""COMPUTED_VALUE"""),"0321B")</f>
        <v>0321B</v>
      </c>
      <c r="B336" s="4" t="str">
        <f>IFERROR(__xludf.DUMMYFUNCTION("""COMPUTED_VALUE"""),"Cartel PVC 64x32 Fotolum. Salida emergencia abajo izq")</f>
        <v>Cartel PVC 64x32 Fotolum. Salida emergencia abajo izq</v>
      </c>
      <c r="C336" s="4">
        <f>IFERROR(__xludf.DUMMYFUNCTION("""COMPUTED_VALUE"""),4.48)</f>
        <v>4.48</v>
      </c>
      <c r="D336" s="4"/>
      <c r="E336" s="4" t="str">
        <f>IFERROR(__xludf.DUMMYFUNCTION("""COMPUTED_VALUE"""),"Sin precio neto")</f>
        <v>Sin precio neto</v>
      </c>
    </row>
    <row r="337">
      <c r="A337" s="4" t="str">
        <f>IFERROR(__xludf.DUMMYFUNCTION("""COMPUTED_VALUE"""),"0321BA")</f>
        <v>0321BA</v>
      </c>
      <c r="B337" s="4" t="str">
        <f>IFERROR(__xludf.DUMMYFUNCTION("""COMPUTED_VALUE"""),"Cartel PVC 64x32 Fotolum. Salida emergencia abajo izq Minus")</f>
        <v>Cartel PVC 64x32 Fotolum. Salida emergencia abajo izq Minus</v>
      </c>
      <c r="C337" s="4">
        <f>IFERROR(__xludf.DUMMYFUNCTION("""COMPUTED_VALUE"""),4.48)</f>
        <v>4.48</v>
      </c>
      <c r="D337" s="4"/>
      <c r="E337" s="4" t="str">
        <f>IFERROR(__xludf.DUMMYFUNCTION("""COMPUTED_VALUE"""),"Sin precio neto")</f>
        <v>Sin precio neto</v>
      </c>
    </row>
    <row r="338">
      <c r="A338" s="4" t="str">
        <f>IFERROR(__xludf.DUMMYFUNCTION("""COMPUTED_VALUE"""),"0321C")</f>
        <v>0321C</v>
      </c>
      <c r="B338" s="4" t="str">
        <f>IFERROR(__xludf.DUMMYFUNCTION("""COMPUTED_VALUE"""),"Cartel PVC 96x48 Fotolum. Salida emergencia abajo izq")</f>
        <v>Cartel PVC 96x48 Fotolum. Salida emergencia abajo izq</v>
      </c>
      <c r="C338" s="4">
        <f>IFERROR(__xludf.DUMMYFUNCTION("""COMPUTED_VALUE"""),8.96)</f>
        <v>8.96</v>
      </c>
      <c r="D338" s="4"/>
      <c r="E338" s="4" t="str">
        <f>IFERROR(__xludf.DUMMYFUNCTION("""COMPUTED_VALUE"""),"Sin precio neto")</f>
        <v>Sin precio neto</v>
      </c>
    </row>
    <row r="339">
      <c r="A339" s="4" t="str">
        <f>IFERROR(__xludf.DUMMYFUNCTION("""COMPUTED_VALUE"""),"0321CA")</f>
        <v>0321CA</v>
      </c>
      <c r="B339" s="4" t="str">
        <f>IFERROR(__xludf.DUMMYFUNCTION("""COMPUTED_VALUE"""),"Cartel PVC 96x48 Fotolum. Salida emergencia abajo izq Minus")</f>
        <v>Cartel PVC 96x48 Fotolum. Salida emergencia abajo izq Minus</v>
      </c>
      <c r="C339" s="4">
        <f>IFERROR(__xludf.DUMMYFUNCTION("""COMPUTED_VALUE"""),8.96)</f>
        <v>8.96</v>
      </c>
      <c r="D339" s="4"/>
      <c r="E339" s="4" t="str">
        <f>IFERROR(__xludf.DUMMYFUNCTION("""COMPUTED_VALUE"""),"Sin precio neto")</f>
        <v>Sin precio neto</v>
      </c>
    </row>
    <row r="340">
      <c r="A340" s="4" t="str">
        <f>IFERROR(__xludf.DUMMYFUNCTION("""COMPUTED_VALUE"""),"322")</f>
        <v>322</v>
      </c>
      <c r="B340" s="4" t="str">
        <f>IFERROR(__xludf.DUMMYFUNCTION("""COMPUTED_VALUE"""),"Cartel PVC 21x30 Fotolum. Salida escalera arriba dcha.")</f>
        <v>Cartel PVC 21x30 Fotolum. Salida escalera arriba dcha.</v>
      </c>
      <c r="C340" s="4">
        <f>IFERROR(__xludf.DUMMYFUNCTION("""COMPUTED_VALUE"""),2.6)</f>
        <v>2.6</v>
      </c>
      <c r="D340" s="4">
        <f>IFERROR(__xludf.DUMMYFUNCTION("""COMPUTED_VALUE"""),2.1)</f>
        <v>2.1</v>
      </c>
      <c r="E340" s="4" t="str">
        <f>IFERROR(__xludf.DUMMYFUNCTION("""COMPUTED_VALUE"""),"Neto: 2,10 € (a partir de 1 uds.)")</f>
        <v>Neto: 2,10 € (a partir de 1 uds.)</v>
      </c>
    </row>
    <row r="341">
      <c r="A341" s="4" t="str">
        <f>IFERROR(__xludf.DUMMYFUNCTION("""COMPUTED_VALUE"""),"0322A")</f>
        <v>0322A</v>
      </c>
      <c r="B341" s="4" t="str">
        <f>IFERROR(__xludf.DUMMYFUNCTION("""COMPUTED_VALUE"""),"Cartel PVC 32x16 Fotolum. Salida emergencia arriba dcha.")</f>
        <v>Cartel PVC 32x16 Fotolum. Salida emergencia arriba dcha.</v>
      </c>
      <c r="C341" s="4">
        <f>IFERROR(__xludf.DUMMYFUNCTION("""COMPUTED_VALUE"""),2.25)</f>
        <v>2.25</v>
      </c>
      <c r="D341" s="4"/>
      <c r="E341" s="4" t="str">
        <f>IFERROR(__xludf.DUMMYFUNCTION("""COMPUTED_VALUE"""),"Sin precio neto")</f>
        <v>Sin precio neto</v>
      </c>
    </row>
    <row r="342">
      <c r="A342" s="4" t="str">
        <f>IFERROR(__xludf.DUMMYFUNCTION("""COMPUTED_VALUE"""),"0322AA")</f>
        <v>0322AA</v>
      </c>
      <c r="B342" s="4" t="str">
        <f>IFERROR(__xludf.DUMMYFUNCTION("""COMPUTED_VALUE"""),"Cartel PVC 32x16 Fotolum. Salida emergencia arriba dcha.")</f>
        <v>Cartel PVC 32x16 Fotolum. Salida emergencia arriba dcha.</v>
      </c>
      <c r="C342" s="4">
        <f>IFERROR(__xludf.DUMMYFUNCTION("""COMPUTED_VALUE"""),2.25)</f>
        <v>2.25</v>
      </c>
      <c r="D342" s="4"/>
      <c r="E342" s="4" t="str">
        <f>IFERROR(__xludf.DUMMYFUNCTION("""COMPUTED_VALUE"""),"Sin precio neto")</f>
        <v>Sin precio neto</v>
      </c>
    </row>
    <row r="343">
      <c r="A343" s="4" t="str">
        <f>IFERROR(__xludf.DUMMYFUNCTION("""COMPUTED_VALUE"""),"0322B")</f>
        <v>0322B</v>
      </c>
      <c r="B343" s="4" t="str">
        <f>IFERROR(__xludf.DUMMYFUNCTION("""COMPUTED_VALUE"""),"Cartel PVC 64x32 Fotolum. Salida emergencia arriba dcha.")</f>
        <v>Cartel PVC 64x32 Fotolum. Salida emergencia arriba dcha.</v>
      </c>
      <c r="C343" s="4">
        <f>IFERROR(__xludf.DUMMYFUNCTION("""COMPUTED_VALUE"""),4.48)</f>
        <v>4.48</v>
      </c>
      <c r="D343" s="4"/>
      <c r="E343" s="4" t="str">
        <f>IFERROR(__xludf.DUMMYFUNCTION("""COMPUTED_VALUE"""),"Sin precio neto")</f>
        <v>Sin precio neto</v>
      </c>
    </row>
    <row r="344">
      <c r="A344" s="4" t="str">
        <f>IFERROR(__xludf.DUMMYFUNCTION("""COMPUTED_VALUE"""),"0322BA")</f>
        <v>0322BA</v>
      </c>
      <c r="B344" s="4" t="str">
        <f>IFERROR(__xludf.DUMMYFUNCTION("""COMPUTED_VALUE"""),"Cartel PVC 64x32 Fotolum. Salida emergencia arriba")</f>
        <v>Cartel PVC 64x32 Fotolum. Salida emergencia arriba</v>
      </c>
      <c r="C344" s="4">
        <f>IFERROR(__xludf.DUMMYFUNCTION("""COMPUTED_VALUE"""),4.48)</f>
        <v>4.48</v>
      </c>
      <c r="D344" s="4"/>
      <c r="E344" s="4" t="str">
        <f>IFERROR(__xludf.DUMMYFUNCTION("""COMPUTED_VALUE"""),"Sin precio neto")</f>
        <v>Sin precio neto</v>
      </c>
    </row>
    <row r="345">
      <c r="A345" s="4" t="str">
        <f>IFERROR(__xludf.DUMMYFUNCTION("""COMPUTED_VALUE"""),"0322C")</f>
        <v>0322C</v>
      </c>
      <c r="B345" s="4" t="str">
        <f>IFERROR(__xludf.DUMMYFUNCTION("""COMPUTED_VALUE"""),"Cartel PVC 96x48 Fotolum. Salida emergencia arriba dcha.")</f>
        <v>Cartel PVC 96x48 Fotolum. Salida emergencia arriba dcha.</v>
      </c>
      <c r="C345" s="4">
        <f>IFERROR(__xludf.DUMMYFUNCTION("""COMPUTED_VALUE"""),8.96)</f>
        <v>8.96</v>
      </c>
      <c r="D345" s="4"/>
      <c r="E345" s="4" t="str">
        <f>IFERROR(__xludf.DUMMYFUNCTION("""COMPUTED_VALUE"""),"Sin precio neto")</f>
        <v>Sin precio neto</v>
      </c>
    </row>
    <row r="346">
      <c r="A346" s="4" t="str">
        <f>IFERROR(__xludf.DUMMYFUNCTION("""COMPUTED_VALUE"""),"0322CA")</f>
        <v>0322CA</v>
      </c>
      <c r="B346" s="4" t="str">
        <f>IFERROR(__xludf.DUMMYFUNCTION("""COMPUTED_VALUE"""),"Cartel PVC 96x48 Fotolum. Salida emergencia arriba dcha.")</f>
        <v>Cartel PVC 96x48 Fotolum. Salida emergencia arriba dcha.</v>
      </c>
      <c r="C346" s="4">
        <f>IFERROR(__xludf.DUMMYFUNCTION("""COMPUTED_VALUE"""),8.96)</f>
        <v>8.96</v>
      </c>
      <c r="D346" s="4"/>
      <c r="E346" s="4" t="str">
        <f>IFERROR(__xludf.DUMMYFUNCTION("""COMPUTED_VALUE"""),"Sin precio neto")</f>
        <v>Sin precio neto</v>
      </c>
    </row>
    <row r="347">
      <c r="A347" s="4" t="str">
        <f>IFERROR(__xludf.DUMMYFUNCTION("""COMPUTED_VALUE"""),"323")</f>
        <v>323</v>
      </c>
      <c r="B347" s="4" t="str">
        <f>IFERROR(__xludf.DUMMYFUNCTION("""COMPUTED_VALUE"""),"Cartel PVC 21x30 Fotolum. Salida escalera abajo dcha")</f>
        <v>Cartel PVC 21x30 Fotolum. Salida escalera abajo dcha</v>
      </c>
      <c r="C347" s="4">
        <f>IFERROR(__xludf.DUMMYFUNCTION("""COMPUTED_VALUE"""),2.6)</f>
        <v>2.6</v>
      </c>
      <c r="D347" s="4">
        <f>IFERROR(__xludf.DUMMYFUNCTION("""COMPUTED_VALUE"""),2.1)</f>
        <v>2.1</v>
      </c>
      <c r="E347" s="4" t="str">
        <f>IFERROR(__xludf.DUMMYFUNCTION("""COMPUTED_VALUE"""),"Neto: 2,10 € (a partir de 1 uds.)")</f>
        <v>Neto: 2,10 € (a partir de 1 uds.)</v>
      </c>
    </row>
    <row r="348">
      <c r="A348" s="4" t="str">
        <f>IFERROR(__xludf.DUMMYFUNCTION("""COMPUTED_VALUE"""),"324")</f>
        <v>324</v>
      </c>
      <c r="B348" s="4" t="str">
        <f>IFERROR(__xludf.DUMMYFUNCTION("""COMPUTED_VALUE"""),"Cartel PVC 21x30 Fotolum. Salida puerta dcha")</f>
        <v>Cartel PVC 21x30 Fotolum. Salida puerta dcha</v>
      </c>
      <c r="C348" s="4">
        <f>IFERROR(__xludf.DUMMYFUNCTION("""COMPUTED_VALUE"""),2.6)</f>
        <v>2.6</v>
      </c>
      <c r="D348" s="4">
        <f>IFERROR(__xludf.DUMMYFUNCTION("""COMPUTED_VALUE"""),2.1)</f>
        <v>2.1</v>
      </c>
      <c r="E348" s="4" t="str">
        <f>IFERROR(__xludf.DUMMYFUNCTION("""COMPUTED_VALUE"""),"Neto: 2,10 € (a partir de 1 uds.)")</f>
        <v>Neto: 2,10 € (a partir de 1 uds.)</v>
      </c>
    </row>
    <row r="349">
      <c r="A349" s="4" t="str">
        <f>IFERROR(__xludf.DUMMYFUNCTION("""COMPUTED_VALUE"""),"0324A")</f>
        <v>0324A</v>
      </c>
      <c r="B349" s="4" t="str">
        <f>IFERROR(__xludf.DUMMYFUNCTION("""COMPUTED_VALUE"""),"Cartel PVC 32x16 Fotolum. Salida de emergencia Pta. Derecha")</f>
        <v>Cartel PVC 32x16 Fotolum. Salida de emergencia Pta. Derecha</v>
      </c>
      <c r="C349" s="4">
        <f>IFERROR(__xludf.DUMMYFUNCTION("""COMPUTED_VALUE"""),2.25)</f>
        <v>2.25</v>
      </c>
      <c r="D349" s="4"/>
      <c r="E349" s="4" t="str">
        <f>IFERROR(__xludf.DUMMYFUNCTION("""COMPUTED_VALUE"""),"Sin precio neto")</f>
        <v>Sin precio neto</v>
      </c>
    </row>
    <row r="350">
      <c r="A350" s="4" t="str">
        <f>IFERROR(__xludf.DUMMYFUNCTION("""COMPUTED_VALUE"""),"0324AA")</f>
        <v>0324AA</v>
      </c>
      <c r="B350" s="4" t="str">
        <f>IFERROR(__xludf.DUMMYFUNCTION("""COMPUTED_VALUE"""),"Cartel PVC 32x16 Fotolum. Salida de emergencia Pta. Derecha")</f>
        <v>Cartel PVC 32x16 Fotolum. Salida de emergencia Pta. Derecha</v>
      </c>
      <c r="C350" s="4">
        <f>IFERROR(__xludf.DUMMYFUNCTION("""COMPUTED_VALUE"""),2.25)</f>
        <v>2.25</v>
      </c>
      <c r="D350" s="4"/>
      <c r="E350" s="4" t="str">
        <f>IFERROR(__xludf.DUMMYFUNCTION("""COMPUTED_VALUE"""),"Sin precio neto")</f>
        <v>Sin precio neto</v>
      </c>
    </row>
    <row r="351">
      <c r="A351" s="4" t="str">
        <f>IFERROR(__xludf.DUMMYFUNCTION("""COMPUTED_VALUE"""),"0324B")</f>
        <v>0324B</v>
      </c>
      <c r="B351" s="4" t="str">
        <f>IFERROR(__xludf.DUMMYFUNCTION("""COMPUTED_VALUE"""),"Cartel PVC 64x32 Fotolum. Salida de emergencia Pta. Derecha")</f>
        <v>Cartel PVC 64x32 Fotolum. Salida de emergencia Pta. Derecha</v>
      </c>
      <c r="C351" s="4">
        <f>IFERROR(__xludf.DUMMYFUNCTION("""COMPUTED_VALUE"""),4.48)</f>
        <v>4.48</v>
      </c>
      <c r="D351" s="4"/>
      <c r="E351" s="4" t="str">
        <f>IFERROR(__xludf.DUMMYFUNCTION("""COMPUTED_VALUE"""),"Sin precio neto")</f>
        <v>Sin precio neto</v>
      </c>
    </row>
    <row r="352">
      <c r="A352" s="4" t="str">
        <f>IFERROR(__xludf.DUMMYFUNCTION("""COMPUTED_VALUE"""),"0324BA")</f>
        <v>0324BA</v>
      </c>
      <c r="B352" s="4" t="str">
        <f>IFERROR(__xludf.DUMMYFUNCTION("""COMPUTED_VALUE"""),"Cartel PVC 64x32 Fotolum. Salida de emergencia Pta. Derecha")</f>
        <v>Cartel PVC 64x32 Fotolum. Salida de emergencia Pta. Derecha</v>
      </c>
      <c r="C352" s="4">
        <f>IFERROR(__xludf.DUMMYFUNCTION("""COMPUTED_VALUE"""),4.48)</f>
        <v>4.48</v>
      </c>
      <c r="D352" s="4"/>
      <c r="E352" s="4" t="str">
        <f>IFERROR(__xludf.DUMMYFUNCTION("""COMPUTED_VALUE"""),"Sin precio neto")</f>
        <v>Sin precio neto</v>
      </c>
    </row>
    <row r="353">
      <c r="A353" s="4" t="str">
        <f>IFERROR(__xludf.DUMMYFUNCTION("""COMPUTED_VALUE"""),"0324C")</f>
        <v>0324C</v>
      </c>
      <c r="B353" s="4" t="str">
        <f>IFERROR(__xludf.DUMMYFUNCTION("""COMPUTED_VALUE"""),"Cartel PVC 96x48 Fotolum. Salida de emergencia Pta. Derecha")</f>
        <v>Cartel PVC 96x48 Fotolum. Salida de emergencia Pta. Derecha</v>
      </c>
      <c r="C353" s="4">
        <f>IFERROR(__xludf.DUMMYFUNCTION("""COMPUTED_VALUE"""),8.96)</f>
        <v>8.96</v>
      </c>
      <c r="D353" s="4"/>
      <c r="E353" s="4" t="str">
        <f>IFERROR(__xludf.DUMMYFUNCTION("""COMPUTED_VALUE"""),"Sin precio neto")</f>
        <v>Sin precio neto</v>
      </c>
    </row>
    <row r="354">
      <c r="A354" s="4" t="str">
        <f>IFERROR(__xludf.DUMMYFUNCTION("""COMPUTED_VALUE"""),"0324CA")</f>
        <v>0324CA</v>
      </c>
      <c r="B354" s="4" t="str">
        <f>IFERROR(__xludf.DUMMYFUNCTION("""COMPUTED_VALUE"""),"Cartel PVC 96x48 Fotolum. Salida de emergencia Pta. Derecha")</f>
        <v>Cartel PVC 96x48 Fotolum. Salida de emergencia Pta. Derecha</v>
      </c>
      <c r="C354" s="4">
        <f>IFERROR(__xludf.DUMMYFUNCTION("""COMPUTED_VALUE"""),8.96)</f>
        <v>8.96</v>
      </c>
      <c r="D354" s="4"/>
      <c r="E354" s="4" t="str">
        <f>IFERROR(__xludf.DUMMYFUNCTION("""COMPUTED_VALUE"""),"Sin precio neto")</f>
        <v>Sin precio neto</v>
      </c>
    </row>
    <row r="355">
      <c r="A355" s="4" t="str">
        <f>IFERROR(__xludf.DUMMYFUNCTION("""COMPUTED_VALUE"""),"325")</f>
        <v>325</v>
      </c>
      <c r="B355" s="4" t="str">
        <f>IFERROR(__xludf.DUMMYFUNCTION("""COMPUTED_VALUE"""),"Cartel PVC 21x30 Fotolum. Salida puerta izq.")</f>
        <v>Cartel PVC 21x30 Fotolum. Salida puerta izq.</v>
      </c>
      <c r="C355" s="4">
        <f>IFERROR(__xludf.DUMMYFUNCTION("""COMPUTED_VALUE"""),2.6)</f>
        <v>2.6</v>
      </c>
      <c r="D355" s="4">
        <f>IFERROR(__xludf.DUMMYFUNCTION("""COMPUTED_VALUE"""),2.1)</f>
        <v>2.1</v>
      </c>
      <c r="E355" s="4" t="str">
        <f>IFERROR(__xludf.DUMMYFUNCTION("""COMPUTED_VALUE"""),"Neto: 2,10 € (a partir de 1 uds.)")</f>
        <v>Neto: 2,10 € (a partir de 1 uds.)</v>
      </c>
    </row>
    <row r="356">
      <c r="A356" s="4" t="str">
        <f>IFERROR(__xludf.DUMMYFUNCTION("""COMPUTED_VALUE"""),"0325A")</f>
        <v>0325A</v>
      </c>
      <c r="B356" s="4" t="str">
        <f>IFERROR(__xludf.DUMMYFUNCTION("""COMPUTED_VALUE"""),"Cartel PVC 32x16 Fotolum. Salida de emergencia Pta.")</f>
        <v>Cartel PVC 32x16 Fotolum. Salida de emergencia Pta.</v>
      </c>
      <c r="C356" s="4">
        <f>IFERROR(__xludf.DUMMYFUNCTION("""COMPUTED_VALUE"""),2.25)</f>
        <v>2.25</v>
      </c>
      <c r="D356" s="4"/>
      <c r="E356" s="4" t="str">
        <f>IFERROR(__xludf.DUMMYFUNCTION("""COMPUTED_VALUE"""),"Sin precio neto")</f>
        <v>Sin precio neto</v>
      </c>
    </row>
    <row r="357">
      <c r="A357" s="4" t="str">
        <f>IFERROR(__xludf.DUMMYFUNCTION("""COMPUTED_VALUE"""),"0325AA")</f>
        <v>0325AA</v>
      </c>
      <c r="B357" s="4" t="str">
        <f>IFERROR(__xludf.DUMMYFUNCTION("""COMPUTED_VALUE"""),"Cartel PVC 32x16 Fotolum. Salida de emergencia puerta izq.")</f>
        <v>Cartel PVC 32x16 Fotolum. Salida de emergencia puerta izq.</v>
      </c>
      <c r="C357" s="4">
        <f>IFERROR(__xludf.DUMMYFUNCTION("""COMPUTED_VALUE"""),2.25)</f>
        <v>2.25</v>
      </c>
      <c r="D357" s="4"/>
      <c r="E357" s="4" t="str">
        <f>IFERROR(__xludf.DUMMYFUNCTION("""COMPUTED_VALUE"""),"Sin precio neto")</f>
        <v>Sin precio neto</v>
      </c>
    </row>
    <row r="358">
      <c r="A358" s="4" t="str">
        <f>IFERROR(__xludf.DUMMYFUNCTION("""COMPUTED_VALUE"""),"0325B")</f>
        <v>0325B</v>
      </c>
      <c r="B358" s="4" t="str">
        <f>IFERROR(__xludf.DUMMYFUNCTION("""COMPUTED_VALUE"""),"Cartel PVC 64x32 Fotolum. Salida de emergencia Pta.")</f>
        <v>Cartel PVC 64x32 Fotolum. Salida de emergencia Pta.</v>
      </c>
      <c r="C358" s="4">
        <f>IFERROR(__xludf.DUMMYFUNCTION("""COMPUTED_VALUE"""),4.48)</f>
        <v>4.48</v>
      </c>
      <c r="D358" s="4"/>
      <c r="E358" s="4" t="str">
        <f>IFERROR(__xludf.DUMMYFUNCTION("""COMPUTED_VALUE"""),"Sin precio neto")</f>
        <v>Sin precio neto</v>
      </c>
    </row>
    <row r="359">
      <c r="A359" s="4" t="str">
        <f>IFERROR(__xludf.DUMMYFUNCTION("""COMPUTED_VALUE"""),"0325BA")</f>
        <v>0325BA</v>
      </c>
      <c r="B359" s="4" t="str">
        <f>IFERROR(__xludf.DUMMYFUNCTION("""COMPUTED_VALUE"""),"Cartel PVC 64x32 Fotolum. Salida de emergencia Pta. Izq.")</f>
        <v>Cartel PVC 64x32 Fotolum. Salida de emergencia Pta. Izq.</v>
      </c>
      <c r="C359" s="4">
        <f>IFERROR(__xludf.DUMMYFUNCTION("""COMPUTED_VALUE"""),4.48)</f>
        <v>4.48</v>
      </c>
      <c r="D359" s="4"/>
      <c r="E359" s="4" t="str">
        <f>IFERROR(__xludf.DUMMYFUNCTION("""COMPUTED_VALUE"""),"Sin precio neto")</f>
        <v>Sin precio neto</v>
      </c>
    </row>
    <row r="360">
      <c r="A360" s="4" t="str">
        <f>IFERROR(__xludf.DUMMYFUNCTION("""COMPUTED_VALUE"""),"0325C")</f>
        <v>0325C</v>
      </c>
      <c r="B360" s="4" t="str">
        <f>IFERROR(__xludf.DUMMYFUNCTION("""COMPUTED_VALUE"""),"Cartel PVC 96x48 Fotolum. Salida de emergencia Pta.")</f>
        <v>Cartel PVC 96x48 Fotolum. Salida de emergencia Pta.</v>
      </c>
      <c r="C360" s="4">
        <f>IFERROR(__xludf.DUMMYFUNCTION("""COMPUTED_VALUE"""),8.96)</f>
        <v>8.96</v>
      </c>
      <c r="D360" s="4"/>
      <c r="E360" s="4" t="str">
        <f>IFERROR(__xludf.DUMMYFUNCTION("""COMPUTED_VALUE"""),"Sin precio neto")</f>
        <v>Sin precio neto</v>
      </c>
    </row>
    <row r="361">
      <c r="A361" s="4" t="str">
        <f>IFERROR(__xludf.DUMMYFUNCTION("""COMPUTED_VALUE"""),"0325CA")</f>
        <v>0325CA</v>
      </c>
      <c r="B361" s="4" t="str">
        <f>IFERROR(__xludf.DUMMYFUNCTION("""COMPUTED_VALUE"""),"Cartel PVC 96x48 Fotolum. Salida de emergencia Pta. Izq")</f>
        <v>Cartel PVC 96x48 Fotolum. Salida de emergencia Pta. Izq</v>
      </c>
      <c r="C361" s="4">
        <f>IFERROR(__xludf.DUMMYFUNCTION("""COMPUTED_VALUE"""),8.96)</f>
        <v>8.96</v>
      </c>
      <c r="D361" s="4"/>
      <c r="E361" s="4" t="str">
        <f>IFERROR(__xludf.DUMMYFUNCTION("""COMPUTED_VALUE"""),"Sin precio neto")</f>
        <v>Sin precio neto</v>
      </c>
    </row>
    <row r="362">
      <c r="A362" s="4" t="str">
        <f>IFERROR(__xludf.DUMMYFUNCTION("""COMPUTED_VALUE"""),"326")</f>
        <v>326</v>
      </c>
      <c r="B362" s="4" t="str">
        <f>IFERROR(__xludf.DUMMYFUNCTION("""COMPUTED_VALUE"""),"Cartel PVC 21x30 Fotolum. Salida puerta abajo izq.")</f>
        <v>Cartel PVC 21x30 Fotolum. Salida puerta abajo izq.</v>
      </c>
      <c r="C362" s="4">
        <f>IFERROR(__xludf.DUMMYFUNCTION("""COMPUTED_VALUE"""),2.6)</f>
        <v>2.6</v>
      </c>
      <c r="D362" s="4">
        <f>IFERROR(__xludf.DUMMYFUNCTION("""COMPUTED_VALUE"""),2.1)</f>
        <v>2.1</v>
      </c>
      <c r="E362" s="4" t="str">
        <f>IFERROR(__xludf.DUMMYFUNCTION("""COMPUTED_VALUE"""),"Neto: 2,10 € (a partir de 1 uds.)")</f>
        <v>Neto: 2,10 € (a partir de 1 uds.)</v>
      </c>
    </row>
    <row r="363">
      <c r="A363" s="4" t="str">
        <f>IFERROR(__xludf.DUMMYFUNCTION("""COMPUTED_VALUE"""),"0326A")</f>
        <v>0326A</v>
      </c>
      <c r="B363" s="4" t="str">
        <f>IFERROR(__xludf.DUMMYFUNCTION("""COMPUTED_VALUE"""),"Cartel PVC 32x16 Fotolum. Salida de emergencia Pta. Abajo")</f>
        <v>Cartel PVC 32x16 Fotolum. Salida de emergencia Pta. Abajo</v>
      </c>
      <c r="C363" s="4">
        <f>IFERROR(__xludf.DUMMYFUNCTION("""COMPUTED_VALUE"""),2.25)</f>
        <v>2.25</v>
      </c>
      <c r="D363" s="4"/>
      <c r="E363" s="4" t="str">
        <f>IFERROR(__xludf.DUMMYFUNCTION("""COMPUTED_VALUE"""),"Sin precio neto")</f>
        <v>Sin precio neto</v>
      </c>
    </row>
    <row r="364">
      <c r="A364" s="4" t="str">
        <f>IFERROR(__xludf.DUMMYFUNCTION("""COMPUTED_VALUE"""),"0326AA")</f>
        <v>0326AA</v>
      </c>
      <c r="B364" s="4" t="str">
        <f>IFERROR(__xludf.DUMMYFUNCTION("""COMPUTED_VALUE"""),"Cartel PVC 32x16 Fotolum. Salida de emergencia Pta. Abajo")</f>
        <v>Cartel PVC 32x16 Fotolum. Salida de emergencia Pta. Abajo</v>
      </c>
      <c r="C364" s="4">
        <f>IFERROR(__xludf.DUMMYFUNCTION("""COMPUTED_VALUE"""),2.25)</f>
        <v>2.25</v>
      </c>
      <c r="D364" s="4"/>
      <c r="E364" s="4" t="str">
        <f>IFERROR(__xludf.DUMMYFUNCTION("""COMPUTED_VALUE"""),"Sin precio neto")</f>
        <v>Sin precio neto</v>
      </c>
    </row>
    <row r="365">
      <c r="A365" s="4" t="str">
        <f>IFERROR(__xludf.DUMMYFUNCTION("""COMPUTED_VALUE"""),"0326B")</f>
        <v>0326B</v>
      </c>
      <c r="B365" s="4" t="str">
        <f>IFERROR(__xludf.DUMMYFUNCTION("""COMPUTED_VALUE"""),"Cartel PVC 64x32 Fotolum. Salida de emergencia Pta. Abajo")</f>
        <v>Cartel PVC 64x32 Fotolum. Salida de emergencia Pta. Abajo</v>
      </c>
      <c r="C365" s="4">
        <f>IFERROR(__xludf.DUMMYFUNCTION("""COMPUTED_VALUE"""),4.48)</f>
        <v>4.48</v>
      </c>
      <c r="D365" s="4"/>
      <c r="E365" s="4" t="str">
        <f>IFERROR(__xludf.DUMMYFUNCTION("""COMPUTED_VALUE"""),"Sin precio neto")</f>
        <v>Sin precio neto</v>
      </c>
    </row>
    <row r="366">
      <c r="A366" s="4" t="str">
        <f>IFERROR(__xludf.DUMMYFUNCTION("""COMPUTED_VALUE"""),"0326BA")</f>
        <v>0326BA</v>
      </c>
      <c r="B366" s="4" t="str">
        <f>IFERROR(__xludf.DUMMYFUNCTION("""COMPUTED_VALUE"""),"Cartel PVC 64x32 Fotolum. Salida de emergencia Pta. Abajo")</f>
        <v>Cartel PVC 64x32 Fotolum. Salida de emergencia Pta. Abajo</v>
      </c>
      <c r="C366" s="4">
        <f>IFERROR(__xludf.DUMMYFUNCTION("""COMPUTED_VALUE"""),4.48)</f>
        <v>4.48</v>
      </c>
      <c r="D366" s="4"/>
      <c r="E366" s="4" t="str">
        <f>IFERROR(__xludf.DUMMYFUNCTION("""COMPUTED_VALUE"""),"Sin precio neto")</f>
        <v>Sin precio neto</v>
      </c>
    </row>
    <row r="367">
      <c r="A367" s="4" t="str">
        <f>IFERROR(__xludf.DUMMYFUNCTION("""COMPUTED_VALUE"""),"0326C")</f>
        <v>0326C</v>
      </c>
      <c r="B367" s="4" t="str">
        <f>IFERROR(__xludf.DUMMYFUNCTION("""COMPUTED_VALUE"""),"Cartel PVC 96x48 Fotolum. Salida de emergencia Pta. Abajo")</f>
        <v>Cartel PVC 96x48 Fotolum. Salida de emergencia Pta. Abajo</v>
      </c>
      <c r="C367" s="4">
        <f>IFERROR(__xludf.DUMMYFUNCTION("""COMPUTED_VALUE"""),8.96)</f>
        <v>8.96</v>
      </c>
      <c r="D367" s="4"/>
      <c r="E367" s="4" t="str">
        <f>IFERROR(__xludf.DUMMYFUNCTION("""COMPUTED_VALUE"""),"Sin precio neto")</f>
        <v>Sin precio neto</v>
      </c>
    </row>
    <row r="368">
      <c r="A368" s="4" t="str">
        <f>IFERROR(__xludf.DUMMYFUNCTION("""COMPUTED_VALUE"""),"0326CA")</f>
        <v>0326CA</v>
      </c>
      <c r="B368" s="4" t="str">
        <f>IFERROR(__xludf.DUMMYFUNCTION("""COMPUTED_VALUE"""),"Cartel PVC 96x48 Fotolum. Salida de emergencia Pta. Abajo")</f>
        <v>Cartel PVC 96x48 Fotolum. Salida de emergencia Pta. Abajo</v>
      </c>
      <c r="C368" s="4">
        <f>IFERROR(__xludf.DUMMYFUNCTION("""COMPUTED_VALUE"""),8.96)</f>
        <v>8.96</v>
      </c>
      <c r="D368" s="4"/>
      <c r="E368" s="4" t="str">
        <f>IFERROR(__xludf.DUMMYFUNCTION("""COMPUTED_VALUE"""),"Sin precio neto")</f>
        <v>Sin precio neto</v>
      </c>
    </row>
    <row r="369">
      <c r="A369" s="4" t="str">
        <f>IFERROR(__xludf.DUMMYFUNCTION("""COMPUTED_VALUE"""),"327")</f>
        <v>327</v>
      </c>
      <c r="B369" s="4" t="str">
        <f>IFERROR(__xludf.DUMMYFUNCTION("""COMPUTED_VALUE"""),"Cartel PVC 21x30 Fotolum.puerta abajo dcha")</f>
        <v>Cartel PVC 21x30 Fotolum.puerta abajo dcha</v>
      </c>
      <c r="C369" s="4">
        <f>IFERROR(__xludf.DUMMYFUNCTION("""COMPUTED_VALUE"""),2.6)</f>
        <v>2.6</v>
      </c>
      <c r="D369" s="4">
        <f>IFERROR(__xludf.DUMMYFUNCTION("""COMPUTED_VALUE"""),2.1)</f>
        <v>2.1</v>
      </c>
      <c r="E369" s="4" t="str">
        <f>IFERROR(__xludf.DUMMYFUNCTION("""COMPUTED_VALUE"""),"Neto: 2,10 € (a partir de 1 uds.)")</f>
        <v>Neto: 2,10 € (a partir de 1 uds.)</v>
      </c>
    </row>
    <row r="370">
      <c r="A370" s="4" t="str">
        <f>IFERROR(__xludf.DUMMYFUNCTION("""COMPUTED_VALUE"""),"0327A")</f>
        <v>0327A</v>
      </c>
      <c r="B370" s="4" t="str">
        <f>IFERROR(__xludf.DUMMYFUNCTION("""COMPUTED_VALUE"""),"Cartel PVC 32x16 Fotolum. Salida de emergencia Pta. Abajo")</f>
        <v>Cartel PVC 32x16 Fotolum. Salida de emergencia Pta. Abajo</v>
      </c>
      <c r="C370" s="4">
        <f>IFERROR(__xludf.DUMMYFUNCTION("""COMPUTED_VALUE"""),2.25)</f>
        <v>2.25</v>
      </c>
      <c r="D370" s="4"/>
      <c r="E370" s="4" t="str">
        <f>IFERROR(__xludf.DUMMYFUNCTION("""COMPUTED_VALUE"""),"Sin precio neto")</f>
        <v>Sin precio neto</v>
      </c>
    </row>
    <row r="371">
      <c r="A371" s="4" t="str">
        <f>IFERROR(__xludf.DUMMYFUNCTION("""COMPUTED_VALUE"""),"0327AA")</f>
        <v>0327AA</v>
      </c>
      <c r="B371" s="4" t="str">
        <f>IFERROR(__xludf.DUMMYFUNCTION("""COMPUTED_VALUE"""),"Cartel PVC 32x16 Fotolum. Salida de emergencia Pta. Abajo")</f>
        <v>Cartel PVC 32x16 Fotolum. Salida de emergencia Pta. Abajo</v>
      </c>
      <c r="C371" s="4">
        <f>IFERROR(__xludf.DUMMYFUNCTION("""COMPUTED_VALUE"""),2.25)</f>
        <v>2.25</v>
      </c>
      <c r="D371" s="4"/>
      <c r="E371" s="4" t="str">
        <f>IFERROR(__xludf.DUMMYFUNCTION("""COMPUTED_VALUE"""),"Sin precio neto")</f>
        <v>Sin precio neto</v>
      </c>
    </row>
    <row r="372">
      <c r="A372" s="4" t="str">
        <f>IFERROR(__xludf.DUMMYFUNCTION("""COMPUTED_VALUE"""),"0327B")</f>
        <v>0327B</v>
      </c>
      <c r="B372" s="4" t="str">
        <f>IFERROR(__xludf.DUMMYFUNCTION("""COMPUTED_VALUE"""),"Cartel PVC 64x32 Fotolum. Salida de emergencia Pta. Abajo")</f>
        <v>Cartel PVC 64x32 Fotolum. Salida de emergencia Pta. Abajo</v>
      </c>
      <c r="C372" s="4">
        <f>IFERROR(__xludf.DUMMYFUNCTION("""COMPUTED_VALUE"""),4.48)</f>
        <v>4.48</v>
      </c>
      <c r="D372" s="4"/>
      <c r="E372" s="4" t="str">
        <f>IFERROR(__xludf.DUMMYFUNCTION("""COMPUTED_VALUE"""),"Sin precio neto")</f>
        <v>Sin precio neto</v>
      </c>
    </row>
    <row r="373">
      <c r="A373" s="4" t="str">
        <f>IFERROR(__xludf.DUMMYFUNCTION("""COMPUTED_VALUE"""),"0327BA")</f>
        <v>0327BA</v>
      </c>
      <c r="B373" s="4" t="str">
        <f>IFERROR(__xludf.DUMMYFUNCTION("""COMPUTED_VALUE"""),"Cartel PVC 64x32 Fotolum. Salida de emergencia Pta. Abajo")</f>
        <v>Cartel PVC 64x32 Fotolum. Salida de emergencia Pta. Abajo</v>
      </c>
      <c r="C373" s="4">
        <f>IFERROR(__xludf.DUMMYFUNCTION("""COMPUTED_VALUE"""),4.48)</f>
        <v>4.48</v>
      </c>
      <c r="D373" s="4"/>
      <c r="E373" s="4" t="str">
        <f>IFERROR(__xludf.DUMMYFUNCTION("""COMPUTED_VALUE"""),"Sin precio neto")</f>
        <v>Sin precio neto</v>
      </c>
    </row>
    <row r="374">
      <c r="A374" s="4" t="str">
        <f>IFERROR(__xludf.DUMMYFUNCTION("""COMPUTED_VALUE"""),"0327C")</f>
        <v>0327C</v>
      </c>
      <c r="B374" s="4" t="str">
        <f>IFERROR(__xludf.DUMMYFUNCTION("""COMPUTED_VALUE"""),"Cartel PVC 96x48 Fotolum. Salida de emergencia Pta. Abajo")</f>
        <v>Cartel PVC 96x48 Fotolum. Salida de emergencia Pta. Abajo</v>
      </c>
      <c r="C374" s="4">
        <f>IFERROR(__xludf.DUMMYFUNCTION("""COMPUTED_VALUE"""),8.96)</f>
        <v>8.96</v>
      </c>
      <c r="D374" s="4"/>
      <c r="E374" s="4" t="str">
        <f>IFERROR(__xludf.DUMMYFUNCTION("""COMPUTED_VALUE"""),"Sin precio neto")</f>
        <v>Sin precio neto</v>
      </c>
    </row>
    <row r="375">
      <c r="A375" s="4" t="str">
        <f>IFERROR(__xludf.DUMMYFUNCTION("""COMPUTED_VALUE"""),"0327CA")</f>
        <v>0327CA</v>
      </c>
      <c r="B375" s="4" t="str">
        <f>IFERROR(__xludf.DUMMYFUNCTION("""COMPUTED_VALUE"""),"Cartel PVC 96x48 Fotolum. Salida de emergencia Pta. Abajo")</f>
        <v>Cartel PVC 96x48 Fotolum. Salida de emergencia Pta. Abajo</v>
      </c>
      <c r="C375" s="4">
        <f>IFERROR(__xludf.DUMMYFUNCTION("""COMPUTED_VALUE"""),8.96)</f>
        <v>8.96</v>
      </c>
      <c r="D375" s="4"/>
      <c r="E375" s="4" t="str">
        <f>IFERROR(__xludf.DUMMYFUNCTION("""COMPUTED_VALUE"""),"Sin precio neto")</f>
        <v>Sin precio neto</v>
      </c>
    </row>
    <row r="376">
      <c r="A376" s="4" t="str">
        <f>IFERROR(__xludf.DUMMYFUNCTION("""COMPUTED_VALUE"""),"328")</f>
        <v>328</v>
      </c>
      <c r="B376" s="4" t="str">
        <f>IFERROR(__xludf.DUMMYFUNCTION("""COMPUTED_VALUE"""),"Cartel PVC 21x30 Fotolum. Aseos hombres")</f>
        <v>Cartel PVC 21x30 Fotolum. Aseos hombres</v>
      </c>
      <c r="C376" s="4">
        <f>IFERROR(__xludf.DUMMYFUNCTION("""COMPUTED_VALUE"""),2.6)</f>
        <v>2.6</v>
      </c>
      <c r="D376" s="4">
        <f>IFERROR(__xludf.DUMMYFUNCTION("""COMPUTED_VALUE"""),2.1)</f>
        <v>2.1</v>
      </c>
      <c r="E376" s="4" t="str">
        <f>IFERROR(__xludf.DUMMYFUNCTION("""COMPUTED_VALUE"""),"Neto: 2,10 € (a partir de 1 uds.)")</f>
        <v>Neto: 2,10 € (a partir de 1 uds.)</v>
      </c>
    </row>
    <row r="377">
      <c r="A377" s="4" t="str">
        <f>IFERROR(__xludf.DUMMYFUNCTION("""COMPUTED_VALUE"""),"0328A")</f>
        <v>0328A</v>
      </c>
      <c r="B377" s="4" t="str">
        <f>IFERROR(__xludf.DUMMYFUNCTION("""COMPUTED_VALUE"""),"Cartel PVC 21x30 Fotolum. Aseos masculino")</f>
        <v>Cartel PVC 21x30 Fotolum. Aseos masculino</v>
      </c>
      <c r="C377" s="4">
        <f>IFERROR(__xludf.DUMMYFUNCTION("""COMPUTED_VALUE"""),2.52)</f>
        <v>2.52</v>
      </c>
      <c r="D377" s="4">
        <f>IFERROR(__xludf.DUMMYFUNCTION("""COMPUTED_VALUE"""),2.1)</f>
        <v>2.1</v>
      </c>
      <c r="E377" s="4" t="str">
        <f>IFERROR(__xludf.DUMMYFUNCTION("""COMPUTED_VALUE"""),"Neto: 2,10 € (a partir de 1 uds.)")</f>
        <v>Neto: 2,10 € (a partir de 1 uds.)</v>
      </c>
    </row>
    <row r="378">
      <c r="A378" s="4" t="str">
        <f>IFERROR(__xludf.DUMMYFUNCTION("""COMPUTED_VALUE"""),"0328B")</f>
        <v>0328B</v>
      </c>
      <c r="B378" s="4" t="str">
        <f>IFERROR(__xludf.DUMMYFUNCTION("""COMPUTED_VALUE"""),"Cartel PVC 40x30 Fotolum. Aseos Masculino")</f>
        <v>Cartel PVC 40x30 Fotolum. Aseos Masculino</v>
      </c>
      <c r="C378" s="4">
        <f>IFERROR(__xludf.DUMMYFUNCTION("""COMPUTED_VALUE"""),3.1)</f>
        <v>3.1</v>
      </c>
      <c r="D378" s="4">
        <f>IFERROR(__xludf.DUMMYFUNCTION("""COMPUTED_VALUE"""),3.2)</f>
        <v>3.2</v>
      </c>
      <c r="E378" s="4" t="str">
        <f>IFERROR(__xludf.DUMMYFUNCTION("""COMPUTED_VALUE"""),"Neto: 3,20 € (a partir de 1 uds.)")</f>
        <v>Neto: 3,20 € (a partir de 1 uds.)</v>
      </c>
    </row>
    <row r="379">
      <c r="A379" s="4" t="str">
        <f>IFERROR(__xludf.DUMMYFUNCTION("""COMPUTED_VALUE"""),"329")</f>
        <v>329</v>
      </c>
      <c r="B379" s="4" t="str">
        <f>IFERROR(__xludf.DUMMYFUNCTION("""COMPUTED_VALUE"""),"Cartel PVC 21x30 Fotolum. Aseos mujeres")</f>
        <v>Cartel PVC 21x30 Fotolum. Aseos mujeres</v>
      </c>
      <c r="C379" s="4">
        <f>IFERROR(__xludf.DUMMYFUNCTION("""COMPUTED_VALUE"""),2.6)</f>
        <v>2.6</v>
      </c>
      <c r="D379" s="4">
        <f>IFERROR(__xludf.DUMMYFUNCTION("""COMPUTED_VALUE"""),2.1)</f>
        <v>2.1</v>
      </c>
      <c r="E379" s="4" t="str">
        <f>IFERROR(__xludf.DUMMYFUNCTION("""COMPUTED_VALUE"""),"Neto: 2,10 € (a partir de 1 uds.)")</f>
        <v>Neto: 2,10 € (a partir de 1 uds.)</v>
      </c>
    </row>
    <row r="380">
      <c r="A380" s="4" t="str">
        <f>IFERROR(__xludf.DUMMYFUNCTION("""COMPUTED_VALUE"""),"0329A")</f>
        <v>0329A</v>
      </c>
      <c r="B380" s="4" t="str">
        <f>IFERROR(__xludf.DUMMYFUNCTION("""COMPUTED_VALUE"""),"Cartel PVC 21x30 Fotolum. Aseos femenino")</f>
        <v>Cartel PVC 21x30 Fotolum. Aseos femenino</v>
      </c>
      <c r="C380" s="4">
        <f>IFERROR(__xludf.DUMMYFUNCTION("""COMPUTED_VALUE"""),2.52)</f>
        <v>2.52</v>
      </c>
      <c r="D380" s="4">
        <f>IFERROR(__xludf.DUMMYFUNCTION("""COMPUTED_VALUE"""),2.1)</f>
        <v>2.1</v>
      </c>
      <c r="E380" s="4" t="str">
        <f>IFERROR(__xludf.DUMMYFUNCTION("""COMPUTED_VALUE"""),"Neto: 2,10 € (a partir de 1 uds.)")</f>
        <v>Neto: 2,10 € (a partir de 1 uds.)</v>
      </c>
    </row>
    <row r="381">
      <c r="A381" s="4" t="str">
        <f>IFERROR(__xludf.DUMMYFUNCTION("""COMPUTED_VALUE"""),"0329B")</f>
        <v>0329B</v>
      </c>
      <c r="B381" s="4" t="str">
        <f>IFERROR(__xludf.DUMMYFUNCTION("""COMPUTED_VALUE"""),"Cartel PVC 40x30 Fotolum. Aseos femenino")</f>
        <v>Cartel PVC 40x30 Fotolum. Aseos femenino</v>
      </c>
      <c r="C381" s="4">
        <f>IFERROR(__xludf.DUMMYFUNCTION("""COMPUTED_VALUE"""),3.1)</f>
        <v>3.1</v>
      </c>
      <c r="D381" s="4">
        <f>IFERROR(__xludf.DUMMYFUNCTION("""COMPUTED_VALUE"""),3.2)</f>
        <v>3.2</v>
      </c>
      <c r="E381" s="4" t="str">
        <f>IFERROR(__xludf.DUMMYFUNCTION("""COMPUTED_VALUE"""),"Neto: 3,20 € (a partir de 1 uds.)")</f>
        <v>Neto: 3,20 € (a partir de 1 uds.)</v>
      </c>
    </row>
    <row r="382">
      <c r="A382" s="4" t="str">
        <f>IFERROR(__xludf.DUMMYFUNCTION("""COMPUTED_VALUE"""),"330")</f>
        <v>330</v>
      </c>
      <c r="B382" s="4" t="str">
        <f>IFERROR(__xludf.DUMMYFUNCTION("""COMPUTED_VALUE"""),"Cartel PVC 21x30 Fotolum. Mujeres/Hombres")</f>
        <v>Cartel PVC 21x30 Fotolum. Mujeres/Hombres</v>
      </c>
      <c r="C382" s="4">
        <f>IFERROR(__xludf.DUMMYFUNCTION("""COMPUTED_VALUE"""),2.6)</f>
        <v>2.6</v>
      </c>
      <c r="D382" s="4">
        <f>IFERROR(__xludf.DUMMYFUNCTION("""COMPUTED_VALUE"""),2.1)</f>
        <v>2.1</v>
      </c>
      <c r="E382" s="4" t="str">
        <f>IFERROR(__xludf.DUMMYFUNCTION("""COMPUTED_VALUE"""),"Neto: 2,10 € (a partir de 1 uds.)")</f>
        <v>Neto: 2,10 € (a partir de 1 uds.)</v>
      </c>
    </row>
    <row r="383">
      <c r="A383" s="4" t="str">
        <f>IFERROR(__xludf.DUMMYFUNCTION("""COMPUTED_VALUE"""),"0330A")</f>
        <v>0330A</v>
      </c>
      <c r="B383" s="4" t="str">
        <f>IFERROR(__xludf.DUMMYFUNCTION("""COMPUTED_VALUE"""),"Cartel PVC 21x30 Fotolum. Aseos mixtos")</f>
        <v>Cartel PVC 21x30 Fotolum. Aseos mixtos</v>
      </c>
      <c r="C383" s="4">
        <f>IFERROR(__xludf.DUMMYFUNCTION("""COMPUTED_VALUE"""),2.52)</f>
        <v>2.52</v>
      </c>
      <c r="D383" s="4">
        <f>IFERROR(__xludf.DUMMYFUNCTION("""COMPUTED_VALUE"""),2.1)</f>
        <v>2.1</v>
      </c>
      <c r="E383" s="4" t="str">
        <f>IFERROR(__xludf.DUMMYFUNCTION("""COMPUTED_VALUE"""),"Neto: 2,10 € (a partir de 1 uds.)")</f>
        <v>Neto: 2,10 € (a partir de 1 uds.)</v>
      </c>
    </row>
    <row r="384">
      <c r="A384" s="4" t="str">
        <f>IFERROR(__xludf.DUMMYFUNCTION("""COMPUTED_VALUE"""),"0330B")</f>
        <v>0330B</v>
      </c>
      <c r="B384" s="4" t="str">
        <f>IFERROR(__xludf.DUMMYFUNCTION("""COMPUTED_VALUE"""),"Cartel PVC 40x30 Fotolum. Aseos mixtos")</f>
        <v>Cartel PVC 40x30 Fotolum. Aseos mixtos</v>
      </c>
      <c r="C384" s="4">
        <f>IFERROR(__xludf.DUMMYFUNCTION("""COMPUTED_VALUE"""),3.1)</f>
        <v>3.1</v>
      </c>
      <c r="D384" s="4">
        <f>IFERROR(__xludf.DUMMYFUNCTION("""COMPUTED_VALUE"""),3.2)</f>
        <v>3.2</v>
      </c>
      <c r="E384" s="4" t="str">
        <f>IFERROR(__xludf.DUMMYFUNCTION("""COMPUTED_VALUE"""),"Neto: 3,20 € (a partir de 1 uds.)")</f>
        <v>Neto: 3,20 € (a partir de 1 uds.)</v>
      </c>
    </row>
    <row r="385">
      <c r="A385" s="4" t="str">
        <f>IFERROR(__xludf.DUMMYFUNCTION("""COMPUTED_VALUE"""),"331")</f>
        <v>331</v>
      </c>
      <c r="B385" s="4" t="str">
        <f>IFERROR(__xludf.DUMMYFUNCTION("""COMPUTED_VALUE"""),"Cartel PVC 21x29 Fotolum. HIDRANTE")</f>
        <v>Cartel PVC 21x29 Fotolum. HIDRANTE</v>
      </c>
      <c r="C385" s="4">
        <f>IFERROR(__xludf.DUMMYFUNCTION("""COMPUTED_VALUE"""),2.6)</f>
        <v>2.6</v>
      </c>
      <c r="D385" s="4">
        <f>IFERROR(__xludf.DUMMYFUNCTION("""COMPUTED_VALUE"""),2.1)</f>
        <v>2.1</v>
      </c>
      <c r="E385" s="4" t="str">
        <f>IFERROR(__xludf.DUMMYFUNCTION("""COMPUTED_VALUE"""),"Neto: 2,10 € (a partir de 1 uds.)")</f>
        <v>Neto: 2,10 € (a partir de 1 uds.)</v>
      </c>
    </row>
    <row r="386">
      <c r="A386" s="4" t="str">
        <f>IFERROR(__xludf.DUMMYFUNCTION("""COMPUTED_VALUE"""),"332")</f>
        <v>332</v>
      </c>
      <c r="B386" s="4" t="str">
        <f>IFERROR(__xludf.DUMMYFUNCTION("""COMPUTED_VALUE"""),"Cartel PVC 21x30 Fotolum. Salida Emerg. puerta dcha")</f>
        <v>Cartel PVC 21x30 Fotolum. Salida Emerg. puerta dcha</v>
      </c>
      <c r="C386" s="4">
        <f>IFERROR(__xludf.DUMMYFUNCTION("""COMPUTED_VALUE"""),2.6)</f>
        <v>2.6</v>
      </c>
      <c r="D386" s="4">
        <f>IFERROR(__xludf.DUMMYFUNCTION("""COMPUTED_VALUE"""),2.1)</f>
        <v>2.1</v>
      </c>
      <c r="E386" s="4" t="str">
        <f>IFERROR(__xludf.DUMMYFUNCTION("""COMPUTED_VALUE"""),"Neto: 2,10 € (a partir de 1 uds.)")</f>
        <v>Neto: 2,10 € (a partir de 1 uds.)</v>
      </c>
    </row>
    <row r="387">
      <c r="A387" s="4" t="str">
        <f>IFERROR(__xludf.DUMMYFUNCTION("""COMPUTED_VALUE"""),"333")</f>
        <v>333</v>
      </c>
      <c r="B387" s="4" t="str">
        <f>IFERROR(__xludf.DUMMYFUNCTION("""COMPUTED_VALUE"""),"Cartel PVC 21x30 Fotolum. Salida Emerg. puerta abajo dcha.")</f>
        <v>Cartel PVC 21x30 Fotolum. Salida Emerg. puerta abajo dcha.</v>
      </c>
      <c r="C387" s="4">
        <f>IFERROR(__xludf.DUMMYFUNCTION("""COMPUTED_VALUE"""),2.6)</f>
        <v>2.6</v>
      </c>
      <c r="D387" s="4">
        <f>IFERROR(__xludf.DUMMYFUNCTION("""COMPUTED_VALUE"""),2.1)</f>
        <v>2.1</v>
      </c>
      <c r="E387" s="4" t="str">
        <f>IFERROR(__xludf.DUMMYFUNCTION("""COMPUTED_VALUE"""),"Neto: 2,10 € (a partir de 1 uds.)")</f>
        <v>Neto: 2,10 € (a partir de 1 uds.)</v>
      </c>
    </row>
    <row r="388">
      <c r="A388" s="4" t="str">
        <f>IFERROR(__xludf.DUMMYFUNCTION("""COMPUTED_VALUE"""),"334")</f>
        <v>334</v>
      </c>
      <c r="B388" s="4" t="str">
        <f>IFERROR(__xludf.DUMMYFUNCTION("""COMPUTED_VALUE"""),"Cartel PVC 21x30 Fotolum. Salida Emerg. puerta izq.")</f>
        <v>Cartel PVC 21x30 Fotolum. Salida Emerg. puerta izq.</v>
      </c>
      <c r="C388" s="4">
        <f>IFERROR(__xludf.DUMMYFUNCTION("""COMPUTED_VALUE"""),2.6)</f>
        <v>2.6</v>
      </c>
      <c r="D388" s="4">
        <f>IFERROR(__xludf.DUMMYFUNCTION("""COMPUTED_VALUE"""),2.1)</f>
        <v>2.1</v>
      </c>
      <c r="E388" s="4" t="str">
        <f>IFERROR(__xludf.DUMMYFUNCTION("""COMPUTED_VALUE"""),"Neto: 2,10 € (a partir de 1 uds.)")</f>
        <v>Neto: 2,10 € (a partir de 1 uds.)</v>
      </c>
    </row>
    <row r="389">
      <c r="A389" s="4" t="str">
        <f>IFERROR(__xludf.DUMMYFUNCTION("""COMPUTED_VALUE"""),"335")</f>
        <v>335</v>
      </c>
      <c r="B389" s="4" t="str">
        <f>IFERROR(__xludf.DUMMYFUNCTION("""COMPUTED_VALUE"""),"Cartel PVC 21x30 Fotolum. Salida Emerg. puerta abajo izq.")</f>
        <v>Cartel PVC 21x30 Fotolum. Salida Emerg. puerta abajo izq.</v>
      </c>
      <c r="C389" s="4">
        <f>IFERROR(__xludf.DUMMYFUNCTION("""COMPUTED_VALUE"""),2.6)</f>
        <v>2.6</v>
      </c>
      <c r="D389" s="4">
        <f>IFERROR(__xludf.DUMMYFUNCTION("""COMPUTED_VALUE"""),2.1)</f>
        <v>2.1</v>
      </c>
      <c r="E389" s="4" t="str">
        <f>IFERROR(__xludf.DUMMYFUNCTION("""COMPUTED_VALUE"""),"Neto: 2,10 € (a partir de 1 uds.)")</f>
        <v>Neto: 2,10 € (a partir de 1 uds.)</v>
      </c>
    </row>
    <row r="390">
      <c r="A390" s="4" t="str">
        <f>IFERROR(__xludf.DUMMYFUNCTION("""COMPUTED_VALUE"""),"336")</f>
        <v>336</v>
      </c>
      <c r="B390" s="4" t="str">
        <f>IFERROR(__xludf.DUMMYFUNCTION("""COMPUTED_VALUE"""),"Cartel PVC 21x30 Fotolum. Salida Emerg. escalera abajo izq.")</f>
        <v>Cartel PVC 21x30 Fotolum. Salida Emerg. escalera abajo izq.</v>
      </c>
      <c r="C390" s="4">
        <f>IFERROR(__xludf.DUMMYFUNCTION("""COMPUTED_VALUE"""),2.6)</f>
        <v>2.6</v>
      </c>
      <c r="D390" s="4">
        <f>IFERROR(__xludf.DUMMYFUNCTION("""COMPUTED_VALUE"""),2.1)</f>
        <v>2.1</v>
      </c>
      <c r="E390" s="4" t="str">
        <f>IFERROR(__xludf.DUMMYFUNCTION("""COMPUTED_VALUE"""),"Neto: 2,10 € (a partir de 1 uds.)")</f>
        <v>Neto: 2,10 € (a partir de 1 uds.)</v>
      </c>
    </row>
    <row r="391">
      <c r="A391" s="4" t="str">
        <f>IFERROR(__xludf.DUMMYFUNCTION("""COMPUTED_VALUE"""),"0336A")</f>
        <v>0336A</v>
      </c>
      <c r="B391" s="4" t="str">
        <f>IFERROR(__xludf.DUMMYFUNCTION("""COMPUTED_VALUE"""),"Cartel PVC 32x16 Fotolum. Escal. de emergencia izq abajo")</f>
        <v>Cartel PVC 32x16 Fotolum. Escal. de emergencia izq abajo</v>
      </c>
      <c r="C391" s="4">
        <f>IFERROR(__xludf.DUMMYFUNCTION("""COMPUTED_VALUE"""),2.25)</f>
        <v>2.25</v>
      </c>
      <c r="D391" s="4"/>
      <c r="E391" s="4" t="str">
        <f>IFERROR(__xludf.DUMMYFUNCTION("""COMPUTED_VALUE"""),"Sin precio neto")</f>
        <v>Sin precio neto</v>
      </c>
    </row>
    <row r="392">
      <c r="A392" s="4" t="str">
        <f>IFERROR(__xludf.DUMMYFUNCTION("""COMPUTED_VALUE"""),"0336B")</f>
        <v>0336B</v>
      </c>
      <c r="B392" s="4" t="str">
        <f>IFERROR(__xludf.DUMMYFUNCTION("""COMPUTED_VALUE"""),"Cartel PVC 64x32 Fotolum. Escal. de emergencia izq abajo")</f>
        <v>Cartel PVC 64x32 Fotolum. Escal. de emergencia izq abajo</v>
      </c>
      <c r="C392" s="4">
        <f>IFERROR(__xludf.DUMMYFUNCTION("""COMPUTED_VALUE"""),4.48)</f>
        <v>4.48</v>
      </c>
      <c r="D392" s="4"/>
      <c r="E392" s="4" t="str">
        <f>IFERROR(__xludf.DUMMYFUNCTION("""COMPUTED_VALUE"""),"Sin precio neto")</f>
        <v>Sin precio neto</v>
      </c>
    </row>
    <row r="393">
      <c r="A393" s="4" t="str">
        <f>IFERROR(__xludf.DUMMYFUNCTION("""COMPUTED_VALUE"""),"337")</f>
        <v>337</v>
      </c>
      <c r="B393" s="4" t="str">
        <f>IFERROR(__xludf.DUMMYFUNCTION("""COMPUTED_VALUE"""),"Cartel PVC 21x30 Fotolum. Salida Emerg.escalera arriba dcha.")</f>
        <v>Cartel PVC 21x30 Fotolum. Salida Emerg.escalera arriba dcha.</v>
      </c>
      <c r="C393" s="4">
        <f>IFERROR(__xludf.DUMMYFUNCTION("""COMPUTED_VALUE"""),2.6)</f>
        <v>2.6</v>
      </c>
      <c r="D393" s="4">
        <f>IFERROR(__xludf.DUMMYFUNCTION("""COMPUTED_VALUE"""),2.1)</f>
        <v>2.1</v>
      </c>
      <c r="E393" s="4" t="str">
        <f>IFERROR(__xludf.DUMMYFUNCTION("""COMPUTED_VALUE"""),"Neto: 2,10 € (a partir de 1 uds.)")</f>
        <v>Neto: 2,10 € (a partir de 1 uds.)</v>
      </c>
    </row>
    <row r="394">
      <c r="A394" s="4" t="str">
        <f>IFERROR(__xludf.DUMMYFUNCTION("""COMPUTED_VALUE"""),"0337A")</f>
        <v>0337A</v>
      </c>
      <c r="B394" s="4" t="str">
        <f>IFERROR(__xludf.DUMMYFUNCTION("""COMPUTED_VALUE"""),"Cartel PVC 32x16 Fotolum. Escal. de emergencia dcha arriba")</f>
        <v>Cartel PVC 32x16 Fotolum. Escal. de emergencia dcha arriba</v>
      </c>
      <c r="C394" s="4">
        <f>IFERROR(__xludf.DUMMYFUNCTION("""COMPUTED_VALUE"""),2.25)</f>
        <v>2.25</v>
      </c>
      <c r="D394" s="4"/>
      <c r="E394" s="4" t="str">
        <f>IFERROR(__xludf.DUMMYFUNCTION("""COMPUTED_VALUE"""),"Sin precio neto")</f>
        <v>Sin precio neto</v>
      </c>
    </row>
    <row r="395">
      <c r="A395" s="4" t="str">
        <f>IFERROR(__xludf.DUMMYFUNCTION("""COMPUTED_VALUE"""),"0337B")</f>
        <v>0337B</v>
      </c>
      <c r="B395" s="4" t="str">
        <f>IFERROR(__xludf.DUMMYFUNCTION("""COMPUTED_VALUE"""),"Cartel PVC 64x32 Fotolum. Escal. de emergencia dcha arriba")</f>
        <v>Cartel PVC 64x32 Fotolum. Escal. de emergencia dcha arriba</v>
      </c>
      <c r="C395" s="4">
        <f>IFERROR(__xludf.DUMMYFUNCTION("""COMPUTED_VALUE"""),4.48)</f>
        <v>4.48</v>
      </c>
      <c r="D395" s="4"/>
      <c r="E395" s="4" t="str">
        <f>IFERROR(__xludf.DUMMYFUNCTION("""COMPUTED_VALUE"""),"Sin precio neto")</f>
        <v>Sin precio neto</v>
      </c>
    </row>
    <row r="396">
      <c r="A396" s="4" t="str">
        <f>IFERROR(__xludf.DUMMYFUNCTION("""COMPUTED_VALUE"""),"0337C")</f>
        <v>0337C</v>
      </c>
      <c r="B396" s="4" t="str">
        <f>IFERROR(__xludf.DUMMYFUNCTION("""COMPUTED_VALUE"""),"Cartel PVC 96x48 Fotolum. Escal. de emergencia dcha arriba")</f>
        <v>Cartel PVC 96x48 Fotolum. Escal. de emergencia dcha arriba</v>
      </c>
      <c r="C396" s="4">
        <f>IFERROR(__xludf.DUMMYFUNCTION("""COMPUTED_VALUE"""),8.96)</f>
        <v>8.96</v>
      </c>
      <c r="D396" s="4"/>
      <c r="E396" s="4" t="str">
        <f>IFERROR(__xludf.DUMMYFUNCTION("""COMPUTED_VALUE"""),"Sin precio neto")</f>
        <v>Sin precio neto</v>
      </c>
    </row>
    <row r="397">
      <c r="A397" s="4" t="str">
        <f>IFERROR(__xludf.DUMMYFUNCTION("""COMPUTED_VALUE"""),"338")</f>
        <v>338</v>
      </c>
      <c r="B397" s="4" t="str">
        <f>IFERROR(__xludf.DUMMYFUNCTION("""COMPUTED_VALUE"""),"Cartel PVC 21x30 Fotolum. Salida Emerg. escalera abajo dcha")</f>
        <v>Cartel PVC 21x30 Fotolum. Salida Emerg. escalera abajo dcha</v>
      </c>
      <c r="C397" s="4">
        <f>IFERROR(__xludf.DUMMYFUNCTION("""COMPUTED_VALUE"""),2.6)</f>
        <v>2.6</v>
      </c>
      <c r="D397" s="4">
        <f>IFERROR(__xludf.DUMMYFUNCTION("""COMPUTED_VALUE"""),2.1)</f>
        <v>2.1</v>
      </c>
      <c r="E397" s="4" t="str">
        <f>IFERROR(__xludf.DUMMYFUNCTION("""COMPUTED_VALUE"""),"Neto: 2,10 € (a partir de 1 uds.)")</f>
        <v>Neto: 2,10 € (a partir de 1 uds.)</v>
      </c>
    </row>
    <row r="398">
      <c r="A398" s="4" t="str">
        <f>IFERROR(__xludf.DUMMYFUNCTION("""COMPUTED_VALUE"""),"0338A")</f>
        <v>0338A</v>
      </c>
      <c r="B398" s="4" t="str">
        <f>IFERROR(__xludf.DUMMYFUNCTION("""COMPUTED_VALUE"""),"Cartel PVC 32x16 Fotolum. Escal. de emergencia dcha abajo")</f>
        <v>Cartel PVC 32x16 Fotolum. Escal. de emergencia dcha abajo</v>
      </c>
      <c r="C398" s="4">
        <f>IFERROR(__xludf.DUMMYFUNCTION("""COMPUTED_VALUE"""),2.25)</f>
        <v>2.25</v>
      </c>
      <c r="D398" s="4"/>
      <c r="E398" s="4" t="str">
        <f>IFERROR(__xludf.DUMMYFUNCTION("""COMPUTED_VALUE"""),"Sin precio neto")</f>
        <v>Sin precio neto</v>
      </c>
    </row>
    <row r="399">
      <c r="A399" s="4" t="str">
        <f>IFERROR(__xludf.DUMMYFUNCTION("""COMPUTED_VALUE"""),"0338B")</f>
        <v>0338B</v>
      </c>
      <c r="B399" s="4" t="str">
        <f>IFERROR(__xludf.DUMMYFUNCTION("""COMPUTED_VALUE"""),"Cartel PVC 64x32 Fotolum. Escal. de emergencia dcha abajo")</f>
        <v>Cartel PVC 64x32 Fotolum. Escal. de emergencia dcha abajo</v>
      </c>
      <c r="C399" s="4">
        <f>IFERROR(__xludf.DUMMYFUNCTION("""COMPUTED_VALUE"""),4.48)</f>
        <v>4.48</v>
      </c>
      <c r="D399" s="4"/>
      <c r="E399" s="4" t="str">
        <f>IFERROR(__xludf.DUMMYFUNCTION("""COMPUTED_VALUE"""),"Sin precio neto")</f>
        <v>Sin precio neto</v>
      </c>
    </row>
    <row r="400">
      <c r="A400" s="4" t="str">
        <f>IFERROR(__xludf.DUMMYFUNCTION("""COMPUTED_VALUE"""),"339")</f>
        <v>339</v>
      </c>
      <c r="B400" s="4" t="str">
        <f>IFERROR(__xludf.DUMMYFUNCTION("""COMPUTED_VALUE"""),"Cartel PVC 21x30 Fotolum. Salida Emerg. escalera arriba izq.")</f>
        <v>Cartel PVC 21x30 Fotolum. Salida Emerg. escalera arriba izq.</v>
      </c>
      <c r="C400" s="4">
        <f>IFERROR(__xludf.DUMMYFUNCTION("""COMPUTED_VALUE"""),2.6)</f>
        <v>2.6</v>
      </c>
      <c r="D400" s="4">
        <f>IFERROR(__xludf.DUMMYFUNCTION("""COMPUTED_VALUE"""),2.1)</f>
        <v>2.1</v>
      </c>
      <c r="E400" s="4" t="str">
        <f>IFERROR(__xludf.DUMMYFUNCTION("""COMPUTED_VALUE"""),"Neto: 2,10 € (a partir de 1 uds.)")</f>
        <v>Neto: 2,10 € (a partir de 1 uds.)</v>
      </c>
    </row>
    <row r="401">
      <c r="A401" s="4" t="str">
        <f>IFERROR(__xludf.DUMMYFUNCTION("""COMPUTED_VALUE"""),"0339A")</f>
        <v>0339A</v>
      </c>
      <c r="B401" s="4" t="str">
        <f>IFERROR(__xludf.DUMMYFUNCTION("""COMPUTED_VALUE"""),"Cartel PVC 32x16 Fotolum. Escal. de emergencia izq arriba")</f>
        <v>Cartel PVC 32x16 Fotolum. Escal. de emergencia izq arriba</v>
      </c>
      <c r="C401" s="4">
        <f>IFERROR(__xludf.DUMMYFUNCTION("""COMPUTED_VALUE"""),2.25)</f>
        <v>2.25</v>
      </c>
      <c r="D401" s="4"/>
      <c r="E401" s="4" t="str">
        <f>IFERROR(__xludf.DUMMYFUNCTION("""COMPUTED_VALUE"""),"Sin precio neto")</f>
        <v>Sin precio neto</v>
      </c>
    </row>
    <row r="402">
      <c r="A402" s="4" t="str">
        <f>IFERROR(__xludf.DUMMYFUNCTION("""COMPUTED_VALUE"""),"0339B")</f>
        <v>0339B</v>
      </c>
      <c r="B402" s="4" t="str">
        <f>IFERROR(__xludf.DUMMYFUNCTION("""COMPUTED_VALUE"""),"Cartel PVC 64x32 Fotolum. Escal. de emergencia izq arriba")</f>
        <v>Cartel PVC 64x32 Fotolum. Escal. de emergencia izq arriba</v>
      </c>
      <c r="C402" s="4">
        <f>IFERROR(__xludf.DUMMYFUNCTION("""COMPUTED_VALUE"""),4.48)</f>
        <v>4.48</v>
      </c>
      <c r="D402" s="4"/>
      <c r="E402" s="4" t="str">
        <f>IFERROR(__xludf.DUMMYFUNCTION("""COMPUTED_VALUE"""),"Sin precio neto")</f>
        <v>Sin precio neto</v>
      </c>
    </row>
    <row r="403">
      <c r="A403" s="4" t="str">
        <f>IFERROR(__xludf.DUMMYFUNCTION("""COMPUTED_VALUE"""),"0339C")</f>
        <v>0339C</v>
      </c>
      <c r="B403" s="4" t="str">
        <f>IFERROR(__xludf.DUMMYFUNCTION("""COMPUTED_VALUE"""),"Cartel PVC 96x48 Fotolum. Escal. de emergencia izq arriba")</f>
        <v>Cartel PVC 96x48 Fotolum. Escal. de emergencia izq arriba</v>
      </c>
      <c r="C403" s="4">
        <f>IFERROR(__xludf.DUMMYFUNCTION("""COMPUTED_VALUE"""),8.96)</f>
        <v>8.96</v>
      </c>
      <c r="D403" s="4"/>
      <c r="E403" s="4" t="str">
        <f>IFERROR(__xludf.DUMMYFUNCTION("""COMPUTED_VALUE"""),"Sin precio neto")</f>
        <v>Sin precio neto</v>
      </c>
    </row>
    <row r="404">
      <c r="A404" s="4" t="str">
        <f>IFERROR(__xludf.DUMMYFUNCTION("""COMPUTED_VALUE"""),"340")</f>
        <v>340</v>
      </c>
      <c r="B404" s="4" t="str">
        <f>IFERROR(__xludf.DUMMYFUNCTION("""COMPUTED_VALUE"""),"Cartel PVC 40x30 Fotolum. SALIDA")</f>
        <v>Cartel PVC 40x30 Fotolum. SALIDA</v>
      </c>
      <c r="C404" s="4">
        <f>IFERROR(__xludf.DUMMYFUNCTION("""COMPUTED_VALUE"""),3.35)</f>
        <v>3.35</v>
      </c>
      <c r="D404" s="4">
        <f>IFERROR(__xludf.DUMMYFUNCTION("""COMPUTED_VALUE"""),3.2)</f>
        <v>3.2</v>
      </c>
      <c r="E404" s="4" t="str">
        <f>IFERROR(__xludf.DUMMYFUNCTION("""COMPUTED_VALUE"""),"Neto: 3,20 € (a partir de 1 uds.)")</f>
        <v>Neto: 3,20 € (a partir de 1 uds.)</v>
      </c>
    </row>
    <row r="405">
      <c r="A405" s="4" t="str">
        <f>IFERROR(__xludf.DUMMYFUNCTION("""COMPUTED_VALUE"""),"342")</f>
        <v>342</v>
      </c>
      <c r="B405" s="4" t="str">
        <f>IFERROR(__xludf.DUMMYFUNCTION("""COMPUTED_VALUE"""),"Cartel PVC 40x60 Riesgo de Incendio")</f>
        <v>Cartel PVC 40x60 Riesgo de Incendio</v>
      </c>
      <c r="C405" s="4">
        <f>IFERROR(__xludf.DUMMYFUNCTION("""COMPUTED_VALUE"""),4.75)</f>
        <v>4.75</v>
      </c>
      <c r="D405" s="4"/>
      <c r="E405" s="4" t="str">
        <f>IFERROR(__xludf.DUMMYFUNCTION("""COMPUTED_VALUE"""),"Sin precio neto")</f>
        <v>Sin precio neto</v>
      </c>
    </row>
    <row r="406">
      <c r="A406" s="4" t="str">
        <f>IFERROR(__xludf.DUMMYFUNCTION("""COMPUTED_VALUE"""),"343")</f>
        <v>343</v>
      </c>
      <c r="B406" s="4" t="str">
        <f>IFERROR(__xludf.DUMMYFUNCTION("""COMPUTED_VALUE"""),"Cartel PVC 21x30 Fotolum. Extintor")</f>
        <v>Cartel PVC 21x30 Fotolum. Extintor</v>
      </c>
      <c r="C406" s="4">
        <f>IFERROR(__xludf.DUMMYFUNCTION("""COMPUTED_VALUE"""),2.6)</f>
        <v>2.6</v>
      </c>
      <c r="D406" s="4">
        <f>IFERROR(__xludf.DUMMYFUNCTION("""COMPUTED_VALUE"""),2.1)</f>
        <v>2.1</v>
      </c>
      <c r="E406" s="4" t="str">
        <f>IFERROR(__xludf.DUMMYFUNCTION("""COMPUTED_VALUE"""),"Neto: 2,10 € (a partir de 1 uds.)")</f>
        <v>Neto: 2,10 € (a partir de 1 uds.)</v>
      </c>
    </row>
    <row r="407">
      <c r="A407" s="4" t="str">
        <f>IFERROR(__xludf.DUMMYFUNCTION("""COMPUTED_VALUE"""),"0343A")</f>
        <v>0343A</v>
      </c>
      <c r="B407" s="4" t="str">
        <f>IFERROR(__xludf.DUMMYFUNCTION("""COMPUTED_VALUE"""),"Cartel PVC 21x30 Fotolum. Extintor")</f>
        <v>Cartel PVC 21x30 Fotolum. Extintor</v>
      </c>
      <c r="C407" s="4">
        <f>IFERROR(__xludf.DUMMYFUNCTION("""COMPUTED_VALUE"""),2.52)</f>
        <v>2.52</v>
      </c>
      <c r="D407" s="4">
        <f>IFERROR(__xludf.DUMMYFUNCTION("""COMPUTED_VALUE"""),2.1)</f>
        <v>2.1</v>
      </c>
      <c r="E407" s="4" t="str">
        <f>IFERROR(__xludf.DUMMYFUNCTION("""COMPUTED_VALUE"""),"Neto: 2,10 € (a partir de 1 uds.)")</f>
        <v>Neto: 2,10 € (a partir de 1 uds.)</v>
      </c>
    </row>
    <row r="408">
      <c r="A408" s="4" t="str">
        <f>IFERROR(__xludf.DUMMYFUNCTION("""COMPUTED_VALUE"""),"0343B")</f>
        <v>0343B</v>
      </c>
      <c r="B408" s="4" t="str">
        <f>IFERROR(__xludf.DUMMYFUNCTION("""COMPUTED_VALUE"""),"Cartel PVC 40x30 Fotolum. Extintor")</f>
        <v>Cartel PVC 40x30 Fotolum. Extintor</v>
      </c>
      <c r="C408" s="4">
        <f>IFERROR(__xludf.DUMMYFUNCTION("""COMPUTED_VALUE"""),3.1)</f>
        <v>3.1</v>
      </c>
      <c r="D408" s="4">
        <f>IFERROR(__xludf.DUMMYFUNCTION("""COMPUTED_VALUE"""),3.2)</f>
        <v>3.2</v>
      </c>
      <c r="E408" s="4" t="str">
        <f>IFERROR(__xludf.DUMMYFUNCTION("""COMPUTED_VALUE"""),"Neto: 3,20 € (a partir de 1 uds.)")</f>
        <v>Neto: 3,20 € (a partir de 1 uds.)</v>
      </c>
    </row>
    <row r="409">
      <c r="A409" s="4" t="str">
        <f>IFERROR(__xludf.DUMMYFUNCTION("""COMPUTED_VALUE"""),"0343CO")</f>
        <v>0343CO</v>
      </c>
      <c r="B409" s="4" t="str">
        <f>IFERROR(__xludf.DUMMYFUNCTION("""COMPUTED_VALUE"""),"Cartel PVC 21x30 Fotolum. Extintor Co2")</f>
        <v>Cartel PVC 21x30 Fotolum. Extintor Co2</v>
      </c>
      <c r="C409" s="4">
        <f>IFERROR(__xludf.DUMMYFUNCTION("""COMPUTED_VALUE"""),2.6)</f>
        <v>2.6</v>
      </c>
      <c r="D409" s="4">
        <f>IFERROR(__xludf.DUMMYFUNCTION("""COMPUTED_VALUE"""),2.1)</f>
        <v>2.1</v>
      </c>
      <c r="E409" s="4" t="str">
        <f>IFERROR(__xludf.DUMMYFUNCTION("""COMPUTED_VALUE"""),"Neto: 2,10 € (a partir de 1 uds.)")</f>
        <v>Neto: 2,10 € (a partir de 1 uds.)</v>
      </c>
    </row>
    <row r="410">
      <c r="A410" s="4" t="str">
        <f>IFERROR(__xludf.DUMMYFUNCTION("""COMPUTED_VALUE"""),"344")</f>
        <v>344</v>
      </c>
      <c r="B410" s="4" t="str">
        <f>IFERROR(__xludf.DUMMYFUNCTION("""COMPUTED_VALUE"""),"Cartel PVC 21x30 Fotolum. Salida")</f>
        <v>Cartel PVC 21x30 Fotolum. Salida</v>
      </c>
      <c r="C410" s="4">
        <f>IFERROR(__xludf.DUMMYFUNCTION("""COMPUTED_VALUE"""),2.6)</f>
        <v>2.6</v>
      </c>
      <c r="D410" s="4">
        <f>IFERROR(__xludf.DUMMYFUNCTION("""COMPUTED_VALUE"""),2.1)</f>
        <v>2.1</v>
      </c>
      <c r="E410" s="4" t="str">
        <f>IFERROR(__xludf.DUMMYFUNCTION("""COMPUTED_VALUE"""),"Neto: 2,10 € (a partir de 1 uds.)")</f>
        <v>Neto: 2,10 € (a partir de 1 uds.)</v>
      </c>
    </row>
    <row r="411">
      <c r="A411" s="4" t="str">
        <f>IFERROR(__xludf.DUMMYFUNCTION("""COMPUTED_VALUE"""),"0344A")</f>
        <v>0344A</v>
      </c>
      <c r="B411" s="4" t="str">
        <f>IFERROR(__xludf.DUMMYFUNCTION("""COMPUTED_VALUE"""),"Cartel PVC 32x16 Fotolum. Salida")</f>
        <v>Cartel PVC 32x16 Fotolum. Salida</v>
      </c>
      <c r="C411" s="4">
        <f>IFERROR(__xludf.DUMMYFUNCTION("""COMPUTED_VALUE"""),2.25)</f>
        <v>2.25</v>
      </c>
      <c r="D411" s="4"/>
      <c r="E411" s="4" t="str">
        <f>IFERROR(__xludf.DUMMYFUNCTION("""COMPUTED_VALUE"""),"Sin precio neto")</f>
        <v>Sin precio neto</v>
      </c>
    </row>
    <row r="412">
      <c r="A412" s="4" t="str">
        <f>IFERROR(__xludf.DUMMYFUNCTION("""COMPUTED_VALUE"""),"0344B")</f>
        <v>0344B</v>
      </c>
      <c r="B412" s="4" t="str">
        <f>IFERROR(__xludf.DUMMYFUNCTION("""COMPUTED_VALUE"""),"Cartel PVC 64x32 Fotolum. Salida")</f>
        <v>Cartel PVC 64x32 Fotolum. Salida</v>
      </c>
      <c r="C412" s="4">
        <f>IFERROR(__xludf.DUMMYFUNCTION("""COMPUTED_VALUE"""),4.48)</f>
        <v>4.48</v>
      </c>
      <c r="D412" s="4"/>
      <c r="E412" s="4" t="str">
        <f>IFERROR(__xludf.DUMMYFUNCTION("""COMPUTED_VALUE"""),"Sin precio neto")</f>
        <v>Sin precio neto</v>
      </c>
    </row>
    <row r="413">
      <c r="A413" s="4" t="str">
        <f>IFERROR(__xludf.DUMMYFUNCTION("""COMPUTED_VALUE"""),"345")</f>
        <v>345</v>
      </c>
      <c r="B413" s="4" t="str">
        <f>IFERROR(__xludf.DUMMYFUNCTION("""COMPUTED_VALUE"""),"Señal PVC 21x29 Fotolum. avisador sonoro")</f>
        <v>Señal PVC 21x29 Fotolum. avisador sonoro</v>
      </c>
      <c r="C413" s="4">
        <f>IFERROR(__xludf.DUMMYFUNCTION("""COMPUTED_VALUE"""),2.6)</f>
        <v>2.6</v>
      </c>
      <c r="D413" s="4">
        <f>IFERROR(__xludf.DUMMYFUNCTION("""COMPUTED_VALUE"""),2.1)</f>
        <v>2.1</v>
      </c>
      <c r="E413" s="4" t="str">
        <f>IFERROR(__xludf.DUMMYFUNCTION("""COMPUTED_VALUE"""),"Neto: 2,10 € (a partir de 1 uds.)")</f>
        <v>Neto: 2,10 € (a partir de 1 uds.)</v>
      </c>
    </row>
    <row r="414">
      <c r="A414" s="4" t="str">
        <f>IFERROR(__xludf.DUMMYFUNCTION("""COMPUTED_VALUE"""),"346")</f>
        <v>346</v>
      </c>
      <c r="B414" s="4" t="str">
        <f>IFERROR(__xludf.DUMMYFUNCTION("""COMPUTED_VALUE"""),"Cartel PVC 21x30 Fotolum. Extintor dcha")</f>
        <v>Cartel PVC 21x30 Fotolum. Extintor dcha</v>
      </c>
      <c r="C414" s="4">
        <f>IFERROR(__xludf.DUMMYFUNCTION("""COMPUTED_VALUE"""),2.6)</f>
        <v>2.6</v>
      </c>
      <c r="D414" s="4">
        <f>IFERROR(__xludf.DUMMYFUNCTION("""COMPUTED_VALUE"""),2.1)</f>
        <v>2.1</v>
      </c>
      <c r="E414" s="4" t="str">
        <f>IFERROR(__xludf.DUMMYFUNCTION("""COMPUTED_VALUE"""),"Neto: 2,10 € (a partir de 1 uds.)")</f>
        <v>Neto: 2,10 € (a partir de 1 uds.)</v>
      </c>
    </row>
    <row r="415">
      <c r="A415" s="4" t="str">
        <f>IFERROR(__xludf.DUMMYFUNCTION("""COMPUTED_VALUE"""),"0346A")</f>
        <v>0346A</v>
      </c>
      <c r="B415" s="4" t="str">
        <f>IFERROR(__xludf.DUMMYFUNCTION("""COMPUTED_VALUE"""),"Cartel PVC 32x16 Fotolum. Extintor derecha")</f>
        <v>Cartel PVC 32x16 Fotolum. Extintor derecha</v>
      </c>
      <c r="C415" s="4">
        <f>IFERROR(__xludf.DUMMYFUNCTION("""COMPUTED_VALUE"""),2.25)</f>
        <v>2.25</v>
      </c>
      <c r="D415" s="4"/>
      <c r="E415" s="4" t="str">
        <f>IFERROR(__xludf.DUMMYFUNCTION("""COMPUTED_VALUE"""),"Sin precio neto")</f>
        <v>Sin precio neto</v>
      </c>
    </row>
    <row r="416">
      <c r="A416" s="4" t="str">
        <f>IFERROR(__xludf.DUMMYFUNCTION("""COMPUTED_VALUE"""),"0346B")</f>
        <v>0346B</v>
      </c>
      <c r="B416" s="4" t="str">
        <f>IFERROR(__xludf.DUMMYFUNCTION("""COMPUTED_VALUE"""),"Cartel PVC 64x32 Fotolum. Extintor derecha")</f>
        <v>Cartel PVC 64x32 Fotolum. Extintor derecha</v>
      </c>
      <c r="C416" s="4">
        <f>IFERROR(__xludf.DUMMYFUNCTION("""COMPUTED_VALUE"""),4.48)</f>
        <v>4.48</v>
      </c>
      <c r="D416" s="4"/>
      <c r="E416" s="4" t="str">
        <f>IFERROR(__xludf.DUMMYFUNCTION("""COMPUTED_VALUE"""),"Sin precio neto")</f>
        <v>Sin precio neto</v>
      </c>
    </row>
    <row r="417">
      <c r="A417" s="4" t="str">
        <f>IFERROR(__xludf.DUMMYFUNCTION("""COMPUTED_VALUE"""),"0346C")</f>
        <v>0346C</v>
      </c>
      <c r="B417" s="4" t="str">
        <f>IFERROR(__xludf.DUMMYFUNCTION("""COMPUTED_VALUE"""),"Cartel PVC 96x48 Fotolum. Extintor derecha")</f>
        <v>Cartel PVC 96x48 Fotolum. Extintor derecha</v>
      </c>
      <c r="C417" s="4">
        <f>IFERROR(__xludf.DUMMYFUNCTION("""COMPUTED_VALUE"""),8.96)</f>
        <v>8.96</v>
      </c>
      <c r="D417" s="4"/>
      <c r="E417" s="4" t="str">
        <f>IFERROR(__xludf.DUMMYFUNCTION("""COMPUTED_VALUE"""),"Sin precio neto")</f>
        <v>Sin precio neto</v>
      </c>
    </row>
    <row r="418">
      <c r="A418" s="4" t="str">
        <f>IFERROR(__xludf.DUMMYFUNCTION("""COMPUTED_VALUE"""),"347")</f>
        <v>347</v>
      </c>
      <c r="B418" s="4" t="str">
        <f>IFERROR(__xludf.DUMMYFUNCTION("""COMPUTED_VALUE"""),"Cartel PVC 21x30 Fotolum. Extintor Izq.")</f>
        <v>Cartel PVC 21x30 Fotolum. Extintor Izq.</v>
      </c>
      <c r="C418" s="4">
        <f>IFERROR(__xludf.DUMMYFUNCTION("""COMPUTED_VALUE"""),2.6)</f>
        <v>2.6</v>
      </c>
      <c r="D418" s="4">
        <f>IFERROR(__xludf.DUMMYFUNCTION("""COMPUTED_VALUE"""),2.1)</f>
        <v>2.1</v>
      </c>
      <c r="E418" s="4" t="str">
        <f>IFERROR(__xludf.DUMMYFUNCTION("""COMPUTED_VALUE"""),"Neto: 2,10 € (a partir de 1 uds.)")</f>
        <v>Neto: 2,10 € (a partir de 1 uds.)</v>
      </c>
    </row>
    <row r="419">
      <c r="A419" s="4" t="str">
        <f>IFERROR(__xludf.DUMMYFUNCTION("""COMPUTED_VALUE"""),"0347A")</f>
        <v>0347A</v>
      </c>
      <c r="B419" s="4" t="str">
        <f>IFERROR(__xludf.DUMMYFUNCTION("""COMPUTED_VALUE"""),"Cartel PVC 32x16 Fotolum. Extintor izquierda")</f>
        <v>Cartel PVC 32x16 Fotolum. Extintor izquierda</v>
      </c>
      <c r="C419" s="4">
        <f>IFERROR(__xludf.DUMMYFUNCTION("""COMPUTED_VALUE"""),2.25)</f>
        <v>2.25</v>
      </c>
      <c r="D419" s="4"/>
      <c r="E419" s="4" t="str">
        <f>IFERROR(__xludf.DUMMYFUNCTION("""COMPUTED_VALUE"""),"Sin precio neto")</f>
        <v>Sin precio neto</v>
      </c>
    </row>
    <row r="420">
      <c r="A420" s="4" t="str">
        <f>IFERROR(__xludf.DUMMYFUNCTION("""COMPUTED_VALUE"""),"0347B")</f>
        <v>0347B</v>
      </c>
      <c r="B420" s="4" t="str">
        <f>IFERROR(__xludf.DUMMYFUNCTION("""COMPUTED_VALUE"""),"Cartel PVC 64x32 Fotolum. Extintor izquierda")</f>
        <v>Cartel PVC 64x32 Fotolum. Extintor izquierda</v>
      </c>
      <c r="C420" s="4">
        <f>IFERROR(__xludf.DUMMYFUNCTION("""COMPUTED_VALUE"""),4.48)</f>
        <v>4.48</v>
      </c>
      <c r="D420" s="4"/>
      <c r="E420" s="4" t="str">
        <f>IFERROR(__xludf.DUMMYFUNCTION("""COMPUTED_VALUE"""),"Sin precio neto")</f>
        <v>Sin precio neto</v>
      </c>
    </row>
    <row r="421">
      <c r="A421" s="4" t="str">
        <f>IFERROR(__xludf.DUMMYFUNCTION("""COMPUTED_VALUE"""),"0347C")</f>
        <v>0347C</v>
      </c>
      <c r="B421" s="4" t="str">
        <f>IFERROR(__xludf.DUMMYFUNCTION("""COMPUTED_VALUE"""),"Cartel PVC 96x48 Fotolum. Extintor izquierda")</f>
        <v>Cartel PVC 96x48 Fotolum. Extintor izquierda</v>
      </c>
      <c r="C421" s="4">
        <f>IFERROR(__xludf.DUMMYFUNCTION("""COMPUTED_VALUE"""),8.96)</f>
        <v>8.96</v>
      </c>
      <c r="D421" s="4"/>
      <c r="E421" s="4" t="str">
        <f>IFERROR(__xludf.DUMMYFUNCTION("""COMPUTED_VALUE"""),"Sin precio neto")</f>
        <v>Sin precio neto</v>
      </c>
    </row>
    <row r="422">
      <c r="A422" s="4" t="str">
        <f>IFERROR(__xludf.DUMMYFUNCTION("""COMPUTED_VALUE"""),"348")</f>
        <v>348</v>
      </c>
      <c r="B422" s="4" t="str">
        <f>IFERROR(__xludf.DUMMYFUNCTION("""COMPUTED_VALUE"""),"Cartel PVC 15x15 Fotolum. Pulsador de Alarma")</f>
        <v>Cartel PVC 15x15 Fotolum. Pulsador de Alarma</v>
      </c>
      <c r="C422" s="4">
        <f>IFERROR(__xludf.DUMMYFUNCTION("""COMPUTED_VALUE"""),1.68)</f>
        <v>1.68</v>
      </c>
      <c r="D422" s="4"/>
      <c r="E422" s="4" t="str">
        <f>IFERROR(__xludf.DUMMYFUNCTION("""COMPUTED_VALUE"""),"Sin precio neto")</f>
        <v>Sin precio neto</v>
      </c>
    </row>
    <row r="423">
      <c r="A423" s="4" t="str">
        <f>IFERROR(__xludf.DUMMYFUNCTION("""COMPUTED_VALUE"""),"349")</f>
        <v>349</v>
      </c>
      <c r="B423" s="4" t="str">
        <f>IFERROR(__xludf.DUMMYFUNCTION("""COMPUTED_VALUE"""),"Cartel PVC 21x30 Fotolum. Boca Incendios")</f>
        <v>Cartel PVC 21x30 Fotolum. Boca Incendios</v>
      </c>
      <c r="C423" s="4">
        <f>IFERROR(__xludf.DUMMYFUNCTION("""COMPUTED_VALUE"""),2.6)</f>
        <v>2.6</v>
      </c>
      <c r="D423" s="4">
        <f>IFERROR(__xludf.DUMMYFUNCTION("""COMPUTED_VALUE"""),2.1)</f>
        <v>2.1</v>
      </c>
      <c r="E423" s="4" t="str">
        <f>IFERROR(__xludf.DUMMYFUNCTION("""COMPUTED_VALUE"""),"Neto: 2,10 € (a partir de 1 uds.)")</f>
        <v>Neto: 2,10 € (a partir de 1 uds.)</v>
      </c>
    </row>
    <row r="424">
      <c r="A424" s="4" t="str">
        <f>IFERROR(__xludf.DUMMYFUNCTION("""COMPUTED_VALUE"""),"0349A")</f>
        <v>0349A</v>
      </c>
      <c r="B424" s="4" t="str">
        <f>IFERROR(__xludf.DUMMYFUNCTION("""COMPUTED_VALUE"""),"Cartel PVC 21x30 Fotolum. Boca de incendio")</f>
        <v>Cartel PVC 21x30 Fotolum. Boca de incendio</v>
      </c>
      <c r="C424" s="4">
        <f>IFERROR(__xludf.DUMMYFUNCTION("""COMPUTED_VALUE"""),2.52)</f>
        <v>2.52</v>
      </c>
      <c r="D424" s="4">
        <f>IFERROR(__xludf.DUMMYFUNCTION("""COMPUTED_VALUE"""),2.1)</f>
        <v>2.1</v>
      </c>
      <c r="E424" s="4" t="str">
        <f>IFERROR(__xludf.DUMMYFUNCTION("""COMPUTED_VALUE"""),"Neto: 2,10 € (a partir de 1 uds.)")</f>
        <v>Neto: 2,10 € (a partir de 1 uds.)</v>
      </c>
    </row>
    <row r="425">
      <c r="A425" s="4" t="str">
        <f>IFERROR(__xludf.DUMMYFUNCTION("""COMPUTED_VALUE"""),"0349B")</f>
        <v>0349B</v>
      </c>
      <c r="B425" s="4" t="str">
        <f>IFERROR(__xludf.DUMMYFUNCTION("""COMPUTED_VALUE"""),"Cartel PVC 40x30 Fotolum. Boca de incendio")</f>
        <v>Cartel PVC 40x30 Fotolum. Boca de incendio</v>
      </c>
      <c r="C425" s="4">
        <f>IFERROR(__xludf.DUMMYFUNCTION("""COMPUTED_VALUE"""),3.1)</f>
        <v>3.1</v>
      </c>
      <c r="D425" s="4">
        <f>IFERROR(__xludf.DUMMYFUNCTION("""COMPUTED_VALUE"""),3.2)</f>
        <v>3.2</v>
      </c>
      <c r="E425" s="4" t="str">
        <f>IFERROR(__xludf.DUMMYFUNCTION("""COMPUTED_VALUE"""),"Neto: 3,20 € (a partir de 1 uds.)")</f>
        <v>Neto: 3,20 € (a partir de 1 uds.)</v>
      </c>
    </row>
    <row r="426">
      <c r="A426" s="4" t="str">
        <f>IFERROR(__xludf.DUMMYFUNCTION("""COMPUTED_VALUE"""),"350")</f>
        <v>350</v>
      </c>
      <c r="B426" s="4" t="str">
        <f>IFERROR(__xludf.DUMMYFUNCTION("""COMPUTED_VALUE"""),"Cartel PVC 21x30 Fotolum. Boca Incendios dcha")</f>
        <v>Cartel PVC 21x30 Fotolum. Boca Incendios dcha</v>
      </c>
      <c r="C426" s="4">
        <f>IFERROR(__xludf.DUMMYFUNCTION("""COMPUTED_VALUE"""),2.6)</f>
        <v>2.6</v>
      </c>
      <c r="D426" s="4">
        <f>IFERROR(__xludf.DUMMYFUNCTION("""COMPUTED_VALUE"""),2.1)</f>
        <v>2.1</v>
      </c>
      <c r="E426" s="4" t="str">
        <f>IFERROR(__xludf.DUMMYFUNCTION("""COMPUTED_VALUE"""),"Neto: 2,10 € (a partir de 1 uds.)")</f>
        <v>Neto: 2,10 € (a partir de 1 uds.)</v>
      </c>
    </row>
    <row r="427">
      <c r="A427" s="4" t="str">
        <f>IFERROR(__xludf.DUMMYFUNCTION("""COMPUTED_VALUE"""),"0350A")</f>
        <v>0350A</v>
      </c>
      <c r="B427" s="4" t="str">
        <f>IFERROR(__xludf.DUMMYFUNCTION("""COMPUTED_VALUE"""),"Cartel PVC 32x16 Fotolum. Boca Incendios dcha")</f>
        <v>Cartel PVC 32x16 Fotolum. Boca Incendios dcha</v>
      </c>
      <c r="C427" s="4">
        <f>IFERROR(__xludf.DUMMYFUNCTION("""COMPUTED_VALUE"""),1.99)</f>
        <v>1.99</v>
      </c>
      <c r="D427" s="4"/>
      <c r="E427" s="4" t="str">
        <f>IFERROR(__xludf.DUMMYFUNCTION("""COMPUTED_VALUE"""),"Sin precio neto")</f>
        <v>Sin precio neto</v>
      </c>
    </row>
    <row r="428">
      <c r="A428" s="4" t="str">
        <f>IFERROR(__xludf.DUMMYFUNCTION("""COMPUTED_VALUE"""),"0350B")</f>
        <v>0350B</v>
      </c>
      <c r="B428" s="4" t="str">
        <f>IFERROR(__xludf.DUMMYFUNCTION("""COMPUTED_VALUE"""),"Cartel PVC 64x32 Fotolum. Boca Incendios dcha")</f>
        <v>Cartel PVC 64x32 Fotolum. Boca Incendios dcha</v>
      </c>
      <c r="C428" s="4">
        <f>IFERROR(__xludf.DUMMYFUNCTION("""COMPUTED_VALUE"""),4.48)</f>
        <v>4.48</v>
      </c>
      <c r="D428" s="4"/>
      <c r="E428" s="4" t="str">
        <f>IFERROR(__xludf.DUMMYFUNCTION("""COMPUTED_VALUE"""),"Sin precio neto")</f>
        <v>Sin precio neto</v>
      </c>
    </row>
    <row r="429">
      <c r="A429" s="4" t="str">
        <f>IFERROR(__xludf.DUMMYFUNCTION("""COMPUTED_VALUE"""),"0350C")</f>
        <v>0350C</v>
      </c>
      <c r="B429" s="4" t="str">
        <f>IFERROR(__xludf.DUMMYFUNCTION("""COMPUTED_VALUE"""),"Cartel PVC 96x48 Fotolum. Boca Incendios dcha")</f>
        <v>Cartel PVC 96x48 Fotolum. Boca Incendios dcha</v>
      </c>
      <c r="C429" s="4">
        <f>IFERROR(__xludf.DUMMYFUNCTION("""COMPUTED_VALUE"""),8.96)</f>
        <v>8.96</v>
      </c>
      <c r="D429" s="4"/>
      <c r="E429" s="4" t="str">
        <f>IFERROR(__xludf.DUMMYFUNCTION("""COMPUTED_VALUE"""),"Sin precio neto")</f>
        <v>Sin precio neto</v>
      </c>
    </row>
    <row r="430">
      <c r="A430" s="4" t="str">
        <f>IFERROR(__xludf.DUMMYFUNCTION("""COMPUTED_VALUE"""),"351")</f>
        <v>351</v>
      </c>
      <c r="B430" s="4" t="str">
        <f>IFERROR(__xludf.DUMMYFUNCTION("""COMPUTED_VALUE"""),"Cartel PVC 21x30 Fotolum. Boca Incendios Izq.")</f>
        <v>Cartel PVC 21x30 Fotolum. Boca Incendios Izq.</v>
      </c>
      <c r="C430" s="4">
        <f>IFERROR(__xludf.DUMMYFUNCTION("""COMPUTED_VALUE"""),2.6)</f>
        <v>2.6</v>
      </c>
      <c r="D430" s="4">
        <f>IFERROR(__xludf.DUMMYFUNCTION("""COMPUTED_VALUE"""),2.1)</f>
        <v>2.1</v>
      </c>
      <c r="E430" s="4" t="str">
        <f>IFERROR(__xludf.DUMMYFUNCTION("""COMPUTED_VALUE"""),"Neto: 2,10 € (a partir de 1 uds.)")</f>
        <v>Neto: 2,10 € (a partir de 1 uds.)</v>
      </c>
    </row>
    <row r="431">
      <c r="A431" s="4" t="str">
        <f>IFERROR(__xludf.DUMMYFUNCTION("""COMPUTED_VALUE"""),"0351A")</f>
        <v>0351A</v>
      </c>
      <c r="B431" s="4" t="str">
        <f>IFERROR(__xludf.DUMMYFUNCTION("""COMPUTED_VALUE"""),"Cartel PVC 32x16 Fotolum. Boca Incendios izq")</f>
        <v>Cartel PVC 32x16 Fotolum. Boca Incendios izq</v>
      </c>
      <c r="C431" s="4">
        <f>IFERROR(__xludf.DUMMYFUNCTION("""COMPUTED_VALUE"""),2.25)</f>
        <v>2.25</v>
      </c>
      <c r="D431" s="4"/>
      <c r="E431" s="4" t="str">
        <f>IFERROR(__xludf.DUMMYFUNCTION("""COMPUTED_VALUE"""),"Sin precio neto")</f>
        <v>Sin precio neto</v>
      </c>
    </row>
    <row r="432">
      <c r="A432" s="4" t="str">
        <f>IFERROR(__xludf.DUMMYFUNCTION("""COMPUTED_VALUE"""),"0351B")</f>
        <v>0351B</v>
      </c>
      <c r="B432" s="4" t="str">
        <f>IFERROR(__xludf.DUMMYFUNCTION("""COMPUTED_VALUE"""),"Cartel PVC 64x32 Fotolum. Boca Incendios izq")</f>
        <v>Cartel PVC 64x32 Fotolum. Boca Incendios izq</v>
      </c>
      <c r="C432" s="4">
        <f>IFERROR(__xludf.DUMMYFUNCTION("""COMPUTED_VALUE"""),4.48)</f>
        <v>4.48</v>
      </c>
      <c r="D432" s="4"/>
      <c r="E432" s="4" t="str">
        <f>IFERROR(__xludf.DUMMYFUNCTION("""COMPUTED_VALUE"""),"Sin precio neto")</f>
        <v>Sin precio neto</v>
      </c>
    </row>
    <row r="433">
      <c r="A433" s="4" t="str">
        <f>IFERROR(__xludf.DUMMYFUNCTION("""COMPUTED_VALUE"""),"0351C")</f>
        <v>0351C</v>
      </c>
      <c r="B433" s="4" t="str">
        <f>IFERROR(__xludf.DUMMYFUNCTION("""COMPUTED_VALUE"""),"Cartel PVC 96x48 Fotolum. Boca Incendios izq")</f>
        <v>Cartel PVC 96x48 Fotolum. Boca Incendios izq</v>
      </c>
      <c r="C433" s="4">
        <f>IFERROR(__xludf.DUMMYFUNCTION("""COMPUTED_VALUE"""),8.96)</f>
        <v>8.96</v>
      </c>
      <c r="D433" s="4"/>
      <c r="E433" s="4" t="str">
        <f>IFERROR(__xludf.DUMMYFUNCTION("""COMPUTED_VALUE"""),"Sin precio neto")</f>
        <v>Sin precio neto</v>
      </c>
    </row>
    <row r="434">
      <c r="A434" s="4" t="str">
        <f>IFERROR(__xludf.DUMMYFUNCTION("""COMPUTED_VALUE"""),"352")</f>
        <v>352</v>
      </c>
      <c r="B434" s="4" t="str">
        <f>IFERROR(__xludf.DUMMYFUNCTION("""COMPUTED_VALUE"""),"Cartel PVC 21x21 Fotolum. Manguera")</f>
        <v>Cartel PVC 21x21 Fotolum. Manguera</v>
      </c>
      <c r="C434" s="4">
        <f>IFERROR(__xludf.DUMMYFUNCTION("""COMPUTED_VALUE"""),2.31)</f>
        <v>2.31</v>
      </c>
      <c r="D434" s="4"/>
      <c r="E434" s="4" t="str">
        <f>IFERROR(__xludf.DUMMYFUNCTION("""COMPUTED_VALUE"""),"Sin precio neto")</f>
        <v>Sin precio neto</v>
      </c>
    </row>
    <row r="435">
      <c r="A435" s="4" t="str">
        <f>IFERROR(__xludf.DUMMYFUNCTION("""COMPUTED_VALUE"""),"353")</f>
        <v>353</v>
      </c>
      <c r="B435" s="4" t="str">
        <f>IFERROR(__xludf.DUMMYFUNCTION("""COMPUTED_VALUE"""),"Cartel PVC 21x21 Fotolum. Extintor")</f>
        <v>Cartel PVC 21x21 Fotolum. Extintor</v>
      </c>
      <c r="C435" s="4">
        <f>IFERROR(__xludf.DUMMYFUNCTION("""COMPUTED_VALUE"""),2.31)</f>
        <v>2.31</v>
      </c>
      <c r="D435" s="4"/>
      <c r="E435" s="4" t="str">
        <f>IFERROR(__xludf.DUMMYFUNCTION("""COMPUTED_VALUE"""),"Sin precio neto")</f>
        <v>Sin precio neto</v>
      </c>
    </row>
    <row r="436">
      <c r="A436" s="4" t="str">
        <f>IFERROR(__xludf.DUMMYFUNCTION("""COMPUTED_VALUE"""),"0353A")</f>
        <v>0353A</v>
      </c>
      <c r="B436" s="4" t="str">
        <f>IFERROR(__xludf.DUMMYFUNCTION("""COMPUTED_VALUE"""),"Cartel PVC 21x21 Fotolum. Extintor")</f>
        <v>Cartel PVC 21x21 Fotolum. Extintor</v>
      </c>
      <c r="C436" s="4">
        <f>IFERROR(__xludf.DUMMYFUNCTION("""COMPUTED_VALUE"""),2.31)</f>
        <v>2.31</v>
      </c>
      <c r="D436" s="4"/>
      <c r="E436" s="4" t="str">
        <f>IFERROR(__xludf.DUMMYFUNCTION("""COMPUTED_VALUE"""),"Sin precio neto")</f>
        <v>Sin precio neto</v>
      </c>
    </row>
    <row r="437">
      <c r="A437" s="4" t="str">
        <f>IFERROR(__xludf.DUMMYFUNCTION("""COMPUTED_VALUE"""),"0353B")</f>
        <v>0353B</v>
      </c>
      <c r="B437" s="4" t="str">
        <f>IFERROR(__xludf.DUMMYFUNCTION("""COMPUTED_VALUE"""),"Cartel PVC 42x42 Fotolum. Extintor")</f>
        <v>Cartel PVC 42x42 Fotolum. Extintor</v>
      </c>
      <c r="C437" s="4">
        <f>IFERROR(__xludf.DUMMYFUNCTION("""COMPUTED_VALUE"""),3.9)</f>
        <v>3.9</v>
      </c>
      <c r="D437" s="4"/>
      <c r="E437" s="4" t="str">
        <f>IFERROR(__xludf.DUMMYFUNCTION("""COMPUTED_VALUE"""),"Sin precio neto")</f>
        <v>Sin precio neto</v>
      </c>
    </row>
    <row r="438">
      <c r="A438" s="4" t="str">
        <f>IFERROR(__xludf.DUMMYFUNCTION("""COMPUTED_VALUE"""),"0353C")</f>
        <v>0353C</v>
      </c>
      <c r="B438" s="4" t="str">
        <f>IFERROR(__xludf.DUMMYFUNCTION("""COMPUTED_VALUE"""),"Cartel PVC 63x63 Fotolum. Extintor")</f>
        <v>Cartel PVC 63x63 Fotolum. Extintor</v>
      </c>
      <c r="C438" s="4">
        <f>IFERROR(__xludf.DUMMYFUNCTION("""COMPUTED_VALUE"""),6.25)</f>
        <v>6.25</v>
      </c>
      <c r="D438" s="4"/>
      <c r="E438" s="4" t="str">
        <f>IFERROR(__xludf.DUMMYFUNCTION("""COMPUTED_VALUE"""),"Sin precio neto")</f>
        <v>Sin precio neto</v>
      </c>
    </row>
    <row r="439">
      <c r="A439" s="4" t="str">
        <f>IFERROR(__xludf.DUMMYFUNCTION("""COMPUTED_VALUE"""),"354")</f>
        <v>354</v>
      </c>
      <c r="B439" s="4" t="str">
        <f>IFERROR(__xludf.DUMMYFUNCTION("""COMPUTED_VALUE"""),"Cartel PVC 21x15 Fotolum. Flecha Salida")</f>
        <v>Cartel PVC 21x15 Fotolum. Flecha Salida</v>
      </c>
      <c r="C439" s="4">
        <f>IFERROR(__xludf.DUMMYFUNCTION("""COMPUTED_VALUE"""),1.68)</f>
        <v>1.68</v>
      </c>
      <c r="D439" s="4"/>
      <c r="E439" s="4" t="str">
        <f>IFERROR(__xludf.DUMMYFUNCTION("""COMPUTED_VALUE"""),"Sin precio neto")</f>
        <v>Sin precio neto</v>
      </c>
    </row>
    <row r="440">
      <c r="A440" s="4" t="str">
        <f>IFERROR(__xludf.DUMMYFUNCTION("""COMPUTED_VALUE"""),"0354A")</f>
        <v>0354A</v>
      </c>
      <c r="B440" s="4" t="str">
        <f>IFERROR(__xludf.DUMMYFUNCTION("""COMPUTED_VALUE"""),"Cartel PVC 21x21 Fotolum. Manguera contra incendios")</f>
        <v>Cartel PVC 21x21 Fotolum. Manguera contra incendios</v>
      </c>
      <c r="C440" s="4">
        <f>IFERROR(__xludf.DUMMYFUNCTION("""COMPUTED_VALUE"""),2.31)</f>
        <v>2.31</v>
      </c>
      <c r="D440" s="4"/>
      <c r="E440" s="4" t="str">
        <f>IFERROR(__xludf.DUMMYFUNCTION("""COMPUTED_VALUE"""),"Sin precio neto")</f>
        <v>Sin precio neto</v>
      </c>
    </row>
    <row r="441">
      <c r="A441" s="4" t="str">
        <f>IFERROR(__xludf.DUMMYFUNCTION("""COMPUTED_VALUE"""),"0354B")</f>
        <v>0354B</v>
      </c>
      <c r="B441" s="4" t="str">
        <f>IFERROR(__xludf.DUMMYFUNCTION("""COMPUTED_VALUE"""),"Cartel PVC 42x42 Fotolum. Manguera contra incendios")</f>
        <v>Cartel PVC 42x42 Fotolum. Manguera contra incendios</v>
      </c>
      <c r="C441" s="4">
        <f>IFERROR(__xludf.DUMMYFUNCTION("""COMPUTED_VALUE"""),3.9)</f>
        <v>3.9</v>
      </c>
      <c r="D441" s="4"/>
      <c r="E441" s="4" t="str">
        <f>IFERROR(__xludf.DUMMYFUNCTION("""COMPUTED_VALUE"""),"Sin precio neto")</f>
        <v>Sin precio neto</v>
      </c>
    </row>
    <row r="442">
      <c r="A442" s="4" t="str">
        <f>IFERROR(__xludf.DUMMYFUNCTION("""COMPUTED_VALUE"""),"0354C")</f>
        <v>0354C</v>
      </c>
      <c r="B442" s="4" t="str">
        <f>IFERROR(__xludf.DUMMYFUNCTION("""COMPUTED_VALUE"""),"Cartel PVC 63x63 Fotolum. Manguera contra incendios")</f>
        <v>Cartel PVC 63x63 Fotolum. Manguera contra incendios</v>
      </c>
      <c r="C442" s="4">
        <f>IFERROR(__xludf.DUMMYFUNCTION("""COMPUTED_VALUE"""),6.25)</f>
        <v>6.25</v>
      </c>
      <c r="D442" s="4"/>
      <c r="E442" s="4" t="str">
        <f>IFERROR(__xludf.DUMMYFUNCTION("""COMPUTED_VALUE"""),"Sin precio neto")</f>
        <v>Sin precio neto</v>
      </c>
    </row>
    <row r="443">
      <c r="A443" s="4" t="str">
        <f>IFERROR(__xludf.DUMMYFUNCTION("""COMPUTED_VALUE"""),"355")</f>
        <v>355</v>
      </c>
      <c r="B443" s="4" t="str">
        <f>IFERROR(__xludf.DUMMYFUNCTION("""COMPUTED_VALUE"""),"Cartel PVC 21x30 Fotolum. Botiquin")</f>
        <v>Cartel PVC 21x30 Fotolum. Botiquin</v>
      </c>
      <c r="C443" s="4">
        <f>IFERROR(__xludf.DUMMYFUNCTION("""COMPUTED_VALUE"""),2.6)</f>
        <v>2.6</v>
      </c>
      <c r="D443" s="4">
        <f>IFERROR(__xludf.DUMMYFUNCTION("""COMPUTED_VALUE"""),2.1)</f>
        <v>2.1</v>
      </c>
      <c r="E443" s="4" t="str">
        <f>IFERROR(__xludf.DUMMYFUNCTION("""COMPUTED_VALUE"""),"Neto: 2,10 € (a partir de 1 uds.)")</f>
        <v>Neto: 2,10 € (a partir de 1 uds.)</v>
      </c>
    </row>
    <row r="444">
      <c r="A444" s="4" t="str">
        <f>IFERROR(__xludf.DUMMYFUNCTION("""COMPUTED_VALUE"""),"0355A")</f>
        <v>0355A</v>
      </c>
      <c r="B444" s="4" t="str">
        <f>IFERROR(__xludf.DUMMYFUNCTION("""COMPUTED_VALUE"""),"Cartel PVC 21x30 Fotolum. Botiquín")</f>
        <v>Cartel PVC 21x30 Fotolum. Botiquín</v>
      </c>
      <c r="C444" s="4">
        <f>IFERROR(__xludf.DUMMYFUNCTION("""COMPUTED_VALUE"""),2.52)</f>
        <v>2.52</v>
      </c>
      <c r="D444" s="4">
        <f>IFERROR(__xludf.DUMMYFUNCTION("""COMPUTED_VALUE"""),2.1)</f>
        <v>2.1</v>
      </c>
      <c r="E444" s="4" t="str">
        <f>IFERROR(__xludf.DUMMYFUNCTION("""COMPUTED_VALUE"""),"Neto: 2,10 € (a partir de 1 uds.)")</f>
        <v>Neto: 2,10 € (a partir de 1 uds.)</v>
      </c>
    </row>
    <row r="445">
      <c r="A445" s="4" t="str">
        <f>IFERROR(__xludf.DUMMYFUNCTION("""COMPUTED_VALUE"""),"0355B")</f>
        <v>0355B</v>
      </c>
      <c r="B445" s="4" t="str">
        <f>IFERROR(__xludf.DUMMYFUNCTION("""COMPUTED_VALUE"""),"Cartel PVC 40x30 Fotolum. Botiquín")</f>
        <v>Cartel PVC 40x30 Fotolum. Botiquín</v>
      </c>
      <c r="C445" s="4">
        <f>IFERROR(__xludf.DUMMYFUNCTION("""COMPUTED_VALUE"""),3.1)</f>
        <v>3.1</v>
      </c>
      <c r="D445" s="4">
        <f>IFERROR(__xludf.DUMMYFUNCTION("""COMPUTED_VALUE"""),3.2)</f>
        <v>3.2</v>
      </c>
      <c r="E445" s="4" t="str">
        <f>IFERROR(__xludf.DUMMYFUNCTION("""COMPUTED_VALUE"""),"Neto: 3,20 € (a partir de 1 uds.)")</f>
        <v>Neto: 3,20 € (a partir de 1 uds.)</v>
      </c>
    </row>
    <row r="446">
      <c r="A446" s="4" t="str">
        <f>IFERROR(__xludf.DUMMYFUNCTION("""COMPUTED_VALUE"""),"356")</f>
        <v>356</v>
      </c>
      <c r="B446" s="4" t="str">
        <f>IFERROR(__xludf.DUMMYFUNCTION("""COMPUTED_VALUE"""),"Cartel PVC 21x30 Fotolum. Agua Potable")</f>
        <v>Cartel PVC 21x30 Fotolum. Agua Potable</v>
      </c>
      <c r="C446" s="4">
        <f>IFERROR(__xludf.DUMMYFUNCTION("""COMPUTED_VALUE"""),2.6)</f>
        <v>2.6</v>
      </c>
      <c r="D446" s="4">
        <f>IFERROR(__xludf.DUMMYFUNCTION("""COMPUTED_VALUE"""),2.1)</f>
        <v>2.1</v>
      </c>
      <c r="E446" s="4" t="str">
        <f>IFERROR(__xludf.DUMMYFUNCTION("""COMPUTED_VALUE"""),"Neto: 2,10 € (a partir de 1 uds.)")</f>
        <v>Neto: 2,10 € (a partir de 1 uds.)</v>
      </c>
    </row>
    <row r="447">
      <c r="A447" s="4" t="str">
        <f>IFERROR(__xludf.DUMMYFUNCTION("""COMPUTED_VALUE"""),"0356A")</f>
        <v>0356A</v>
      </c>
      <c r="B447" s="4" t="str">
        <f>IFERROR(__xludf.DUMMYFUNCTION("""COMPUTED_VALUE"""),"Cartel PVC 21x30 Fotolum. Agua potable")</f>
        <v>Cartel PVC 21x30 Fotolum. Agua potable</v>
      </c>
      <c r="C447" s="4">
        <f>IFERROR(__xludf.DUMMYFUNCTION("""COMPUTED_VALUE"""),2.52)</f>
        <v>2.52</v>
      </c>
      <c r="D447" s="4">
        <f>IFERROR(__xludf.DUMMYFUNCTION("""COMPUTED_VALUE"""),2.1)</f>
        <v>2.1</v>
      </c>
      <c r="E447" s="4" t="str">
        <f>IFERROR(__xludf.DUMMYFUNCTION("""COMPUTED_VALUE"""),"Neto: 2,10 € (a partir de 1 uds.)")</f>
        <v>Neto: 2,10 € (a partir de 1 uds.)</v>
      </c>
    </row>
    <row r="448">
      <c r="A448" s="4" t="str">
        <f>IFERROR(__xludf.DUMMYFUNCTION("""COMPUTED_VALUE"""),"0356B")</f>
        <v>0356B</v>
      </c>
      <c r="B448" s="4" t="str">
        <f>IFERROR(__xludf.DUMMYFUNCTION("""COMPUTED_VALUE"""),"Cartel PVC 40x30 Fotolum. Agua potable")</f>
        <v>Cartel PVC 40x30 Fotolum. Agua potable</v>
      </c>
      <c r="C448" s="4">
        <f>IFERROR(__xludf.DUMMYFUNCTION("""COMPUTED_VALUE"""),3.1)</f>
        <v>3.1</v>
      </c>
      <c r="D448" s="4">
        <f>IFERROR(__xludf.DUMMYFUNCTION("""COMPUTED_VALUE"""),3.2)</f>
        <v>3.2</v>
      </c>
      <c r="E448" s="4" t="str">
        <f>IFERROR(__xludf.DUMMYFUNCTION("""COMPUTED_VALUE"""),"Neto: 3,20 € (a partir de 1 uds.)")</f>
        <v>Neto: 3,20 € (a partir de 1 uds.)</v>
      </c>
    </row>
    <row r="449">
      <c r="A449" s="4" t="str">
        <f>IFERROR(__xludf.DUMMYFUNCTION("""COMPUTED_VALUE"""),"357")</f>
        <v>357</v>
      </c>
      <c r="B449" s="4" t="str">
        <f>IFERROR(__xludf.DUMMYFUNCTION("""COMPUTED_VALUE"""),"Cartel PVC 21x30 Fotolum. Almacen")</f>
        <v>Cartel PVC 21x30 Fotolum. Almacen</v>
      </c>
      <c r="C449" s="4">
        <f>IFERROR(__xludf.DUMMYFUNCTION("""COMPUTED_VALUE"""),2.6)</f>
        <v>2.6</v>
      </c>
      <c r="D449" s="4">
        <f>IFERROR(__xludf.DUMMYFUNCTION("""COMPUTED_VALUE"""),2.1)</f>
        <v>2.1</v>
      </c>
      <c r="E449" s="4" t="str">
        <f>IFERROR(__xludf.DUMMYFUNCTION("""COMPUTED_VALUE"""),"Neto: 2,10 € (a partir de 1 uds.)")</f>
        <v>Neto: 2,10 € (a partir de 1 uds.)</v>
      </c>
    </row>
    <row r="450">
      <c r="A450" s="4" t="str">
        <f>IFERROR(__xludf.DUMMYFUNCTION("""COMPUTED_VALUE"""),"0357A")</f>
        <v>0357A</v>
      </c>
      <c r="B450" s="4" t="str">
        <f>IFERROR(__xludf.DUMMYFUNCTION("""COMPUTED_VALUE"""),"Cartel PVC 21x30 Fotolum. Almacén")</f>
        <v>Cartel PVC 21x30 Fotolum. Almacén</v>
      </c>
      <c r="C450" s="4">
        <f>IFERROR(__xludf.DUMMYFUNCTION("""COMPUTED_VALUE"""),2.52)</f>
        <v>2.52</v>
      </c>
      <c r="D450" s="4">
        <f>IFERROR(__xludf.DUMMYFUNCTION("""COMPUTED_VALUE"""),2.1)</f>
        <v>2.1</v>
      </c>
      <c r="E450" s="4" t="str">
        <f>IFERROR(__xludf.DUMMYFUNCTION("""COMPUTED_VALUE"""),"Neto: 2,10 € (a partir de 1 uds.)")</f>
        <v>Neto: 2,10 € (a partir de 1 uds.)</v>
      </c>
    </row>
    <row r="451">
      <c r="A451" s="4" t="str">
        <f>IFERROR(__xludf.DUMMYFUNCTION("""COMPUTED_VALUE"""),"0357B")</f>
        <v>0357B</v>
      </c>
      <c r="B451" s="4" t="str">
        <f>IFERROR(__xludf.DUMMYFUNCTION("""COMPUTED_VALUE"""),"Cartel PVC40x30 Fotolum. Almacén")</f>
        <v>Cartel PVC40x30 Fotolum. Almacén</v>
      </c>
      <c r="C451" s="4">
        <f>IFERROR(__xludf.DUMMYFUNCTION("""COMPUTED_VALUE"""),3.1)</f>
        <v>3.1</v>
      </c>
      <c r="D451" s="4">
        <f>IFERROR(__xludf.DUMMYFUNCTION("""COMPUTED_VALUE"""),3.2)</f>
        <v>3.2</v>
      </c>
      <c r="E451" s="4" t="str">
        <f>IFERROR(__xludf.DUMMYFUNCTION("""COMPUTED_VALUE"""),"Neto: 3,20 € (a partir de 1 uds.)")</f>
        <v>Neto: 3,20 € (a partir de 1 uds.)</v>
      </c>
    </row>
    <row r="452">
      <c r="A452" s="4" t="str">
        <f>IFERROR(__xludf.DUMMYFUNCTION("""COMPUTED_VALUE"""),"358")</f>
        <v>358</v>
      </c>
      <c r="B452" s="4" t="str">
        <f>IFERROR(__xludf.DUMMYFUNCTION("""COMPUTED_VALUE"""),"Cartel PVC 21x30 Fotolum. Telefono Emergencia")</f>
        <v>Cartel PVC 21x30 Fotolum. Telefono Emergencia</v>
      </c>
      <c r="C452" s="4">
        <f>IFERROR(__xludf.DUMMYFUNCTION("""COMPUTED_VALUE"""),2.6)</f>
        <v>2.6</v>
      </c>
      <c r="D452" s="4">
        <f>IFERROR(__xludf.DUMMYFUNCTION("""COMPUTED_VALUE"""),2.1)</f>
        <v>2.1</v>
      </c>
      <c r="E452" s="4" t="str">
        <f>IFERROR(__xludf.DUMMYFUNCTION("""COMPUTED_VALUE"""),"Neto: 2,10 € (a partir de 1 uds.)")</f>
        <v>Neto: 2,10 € (a partir de 1 uds.)</v>
      </c>
    </row>
    <row r="453">
      <c r="A453" s="4" t="str">
        <f>IFERROR(__xludf.DUMMYFUNCTION("""COMPUTED_VALUE"""),"0358A")</f>
        <v>0358A</v>
      </c>
      <c r="B453" s="4" t="str">
        <f>IFERROR(__xludf.DUMMYFUNCTION("""COMPUTED_VALUE"""),"Cartel PVC 21x30 Fotolum. Teléfono de emergencia")</f>
        <v>Cartel PVC 21x30 Fotolum. Teléfono de emergencia</v>
      </c>
      <c r="C453" s="4">
        <f>IFERROR(__xludf.DUMMYFUNCTION("""COMPUTED_VALUE"""),2.52)</f>
        <v>2.52</v>
      </c>
      <c r="D453" s="4">
        <f>IFERROR(__xludf.DUMMYFUNCTION("""COMPUTED_VALUE"""),2.1)</f>
        <v>2.1</v>
      </c>
      <c r="E453" s="4" t="str">
        <f>IFERROR(__xludf.DUMMYFUNCTION("""COMPUTED_VALUE"""),"Neto: 2,10 € (a partir de 1 uds.)")</f>
        <v>Neto: 2,10 € (a partir de 1 uds.)</v>
      </c>
    </row>
    <row r="454">
      <c r="A454" s="4" t="str">
        <f>IFERROR(__xludf.DUMMYFUNCTION("""COMPUTED_VALUE"""),"0358B")</f>
        <v>0358B</v>
      </c>
      <c r="B454" s="4" t="str">
        <f>IFERROR(__xludf.DUMMYFUNCTION("""COMPUTED_VALUE"""),"Cartel PVC 40x30 Fotolum. Teléfono de emergencia")</f>
        <v>Cartel PVC 40x30 Fotolum. Teléfono de emergencia</v>
      </c>
      <c r="C454" s="4">
        <f>IFERROR(__xludf.DUMMYFUNCTION("""COMPUTED_VALUE"""),3.1)</f>
        <v>3.1</v>
      </c>
      <c r="D454" s="4">
        <f>IFERROR(__xludf.DUMMYFUNCTION("""COMPUTED_VALUE"""),3.2)</f>
        <v>3.2</v>
      </c>
      <c r="E454" s="4" t="str">
        <f>IFERROR(__xludf.DUMMYFUNCTION("""COMPUTED_VALUE"""),"Neto: 3,20 € (a partir de 1 uds.)")</f>
        <v>Neto: 3,20 € (a partir de 1 uds.)</v>
      </c>
    </row>
    <row r="455">
      <c r="A455" s="4" t="str">
        <f>IFERROR(__xludf.DUMMYFUNCTION("""COMPUTED_VALUE"""),"359")</f>
        <v>359</v>
      </c>
      <c r="B455" s="4" t="str">
        <f>IFERROR(__xludf.DUMMYFUNCTION("""COMPUTED_VALUE"""),"Cartel PVC 21x30 Fotolum. Equipo Prim. Auxilios")</f>
        <v>Cartel PVC 21x30 Fotolum. Equipo Prim. Auxilios</v>
      </c>
      <c r="C455" s="4">
        <f>IFERROR(__xludf.DUMMYFUNCTION("""COMPUTED_VALUE"""),2.6)</f>
        <v>2.6</v>
      </c>
      <c r="D455" s="4">
        <f>IFERROR(__xludf.DUMMYFUNCTION("""COMPUTED_VALUE"""),2.1)</f>
        <v>2.1</v>
      </c>
      <c r="E455" s="4" t="str">
        <f>IFERROR(__xludf.DUMMYFUNCTION("""COMPUTED_VALUE"""),"Neto: 2,10 € (a partir de 1 uds.)")</f>
        <v>Neto: 2,10 € (a partir de 1 uds.)</v>
      </c>
    </row>
    <row r="456">
      <c r="A456" s="4" t="str">
        <f>IFERROR(__xludf.DUMMYFUNCTION("""COMPUTED_VALUE"""),"0359A")</f>
        <v>0359A</v>
      </c>
      <c r="B456" s="4" t="str">
        <f>IFERROR(__xludf.DUMMYFUNCTION("""COMPUTED_VALUE"""),"Cartel PVC 21x30 Fotolum. Equipo primeros auxilios")</f>
        <v>Cartel PVC 21x30 Fotolum. Equipo primeros auxilios</v>
      </c>
      <c r="C456" s="4">
        <f>IFERROR(__xludf.DUMMYFUNCTION("""COMPUTED_VALUE"""),2.52)</f>
        <v>2.52</v>
      </c>
      <c r="D456" s="4">
        <f>IFERROR(__xludf.DUMMYFUNCTION("""COMPUTED_VALUE"""),2.1)</f>
        <v>2.1</v>
      </c>
      <c r="E456" s="4" t="str">
        <f>IFERROR(__xludf.DUMMYFUNCTION("""COMPUTED_VALUE"""),"Neto: 2,10 € (a partir de 1 uds.)")</f>
        <v>Neto: 2,10 € (a partir de 1 uds.)</v>
      </c>
    </row>
    <row r="457">
      <c r="A457" s="4" t="str">
        <f>IFERROR(__xludf.DUMMYFUNCTION("""COMPUTED_VALUE"""),"0359B")</f>
        <v>0359B</v>
      </c>
      <c r="B457" s="4" t="str">
        <f>IFERROR(__xludf.DUMMYFUNCTION("""COMPUTED_VALUE"""),"Cartel PVC 40x30 Fotolum. Equipo primeros auxilios")</f>
        <v>Cartel PVC 40x30 Fotolum. Equipo primeros auxilios</v>
      </c>
      <c r="C457" s="4">
        <f>IFERROR(__xludf.DUMMYFUNCTION("""COMPUTED_VALUE"""),3.1)</f>
        <v>3.1</v>
      </c>
      <c r="D457" s="4">
        <f>IFERROR(__xludf.DUMMYFUNCTION("""COMPUTED_VALUE"""),3.2)</f>
        <v>3.2</v>
      </c>
      <c r="E457" s="4" t="str">
        <f>IFERROR(__xludf.DUMMYFUNCTION("""COMPUTED_VALUE"""),"Neto: 3,20 € (a partir de 1 uds.)")</f>
        <v>Neto: 3,20 € (a partir de 1 uds.)</v>
      </c>
    </row>
    <row r="458">
      <c r="A458" s="4" t="str">
        <f>IFERROR(__xludf.DUMMYFUNCTION("""COMPUTED_VALUE"""),"360")</f>
        <v>360</v>
      </c>
      <c r="B458" s="4" t="str">
        <f>IFERROR(__xludf.DUMMYFUNCTION("""COMPUTED_VALUE"""),"Cartel PVC 40x30 Peatón cruce por la otra acera")</f>
        <v>Cartel PVC 40x30 Peatón cruce por la otra acera</v>
      </c>
      <c r="C458" s="4">
        <f>IFERROR(__xludf.DUMMYFUNCTION("""COMPUTED_VALUE"""),2.48)</f>
        <v>2.48</v>
      </c>
      <c r="D458" s="4">
        <f>IFERROR(__xludf.DUMMYFUNCTION("""COMPUTED_VALUE"""),1.8)</f>
        <v>1.8</v>
      </c>
      <c r="E458" s="4" t="str">
        <f>IFERROR(__xludf.DUMMYFUNCTION("""COMPUTED_VALUE"""),"Neto: 1,80 € (a partir de 1 uds.)")</f>
        <v>Neto: 1,80 € (a partir de 1 uds.)</v>
      </c>
    </row>
    <row r="459">
      <c r="A459" s="4" t="str">
        <f>IFERROR(__xludf.DUMMYFUNCTION("""COMPUTED_VALUE"""),"361")</f>
        <v>361</v>
      </c>
      <c r="B459" s="4" t="str">
        <f>IFERROR(__xludf.DUMMYFUNCTION("""COMPUTED_VALUE"""),"Cartel PVC 40x30 Obras en ejecucion. Perdonen las molestias")</f>
        <v>Cartel PVC 40x30 Obras en ejecucion. Perdonen las molestias</v>
      </c>
      <c r="C459" s="4">
        <f>IFERROR(__xludf.DUMMYFUNCTION("""COMPUTED_VALUE"""),2.48)</f>
        <v>2.48</v>
      </c>
      <c r="D459" s="4">
        <f>IFERROR(__xludf.DUMMYFUNCTION("""COMPUTED_VALUE"""),1.8)</f>
        <v>1.8</v>
      </c>
      <c r="E459" s="4" t="str">
        <f>IFERROR(__xludf.DUMMYFUNCTION("""COMPUTED_VALUE"""),"Neto: 1,80 € (a partir de 1 uds.)")</f>
        <v>Neto: 1,80 € (a partir de 1 uds.)</v>
      </c>
    </row>
    <row r="460">
      <c r="A460" s="4" t="str">
        <f>IFERROR(__xludf.DUMMYFUNCTION("""COMPUTED_VALUE"""),"362")</f>
        <v>362</v>
      </c>
      <c r="B460" s="4" t="str">
        <f>IFERROR(__xludf.DUMMYFUNCTION("""COMPUTED_VALUE"""),"Cartel PVC 21x30 Fotolum. Punto Reunion")</f>
        <v>Cartel PVC 21x30 Fotolum. Punto Reunion</v>
      </c>
      <c r="C460" s="4">
        <f>IFERROR(__xludf.DUMMYFUNCTION("""COMPUTED_VALUE"""),2.6)</f>
        <v>2.6</v>
      </c>
      <c r="D460" s="4">
        <f>IFERROR(__xludf.DUMMYFUNCTION("""COMPUTED_VALUE"""),2.1)</f>
        <v>2.1</v>
      </c>
      <c r="E460" s="4" t="str">
        <f>IFERROR(__xludf.DUMMYFUNCTION("""COMPUTED_VALUE"""),"Neto: 2,10 € (a partir de 1 uds.)")</f>
        <v>Neto: 2,10 € (a partir de 1 uds.)</v>
      </c>
    </row>
    <row r="461">
      <c r="A461" s="4" t="str">
        <f>IFERROR(__xludf.DUMMYFUNCTION("""COMPUTED_VALUE"""),"0362A")</f>
        <v>0362A</v>
      </c>
      <c r="B461" s="4" t="str">
        <f>IFERROR(__xludf.DUMMYFUNCTION("""COMPUTED_VALUE"""),"Cartel PVC 21x30 Fotolum. Punto de Reunión")</f>
        <v>Cartel PVC 21x30 Fotolum. Punto de Reunión</v>
      </c>
      <c r="C461" s="4">
        <f>IFERROR(__xludf.DUMMYFUNCTION("""COMPUTED_VALUE"""),2.52)</f>
        <v>2.52</v>
      </c>
      <c r="D461" s="4">
        <f>IFERROR(__xludf.DUMMYFUNCTION("""COMPUTED_VALUE"""),2.1)</f>
        <v>2.1</v>
      </c>
      <c r="E461" s="4" t="str">
        <f>IFERROR(__xludf.DUMMYFUNCTION("""COMPUTED_VALUE"""),"Neto: 2,10 € (a partir de 1 uds.)")</f>
        <v>Neto: 2,10 € (a partir de 1 uds.)</v>
      </c>
    </row>
    <row r="462">
      <c r="A462" s="4" t="str">
        <f>IFERROR(__xludf.DUMMYFUNCTION("""COMPUTED_VALUE"""),"0362B")</f>
        <v>0362B</v>
      </c>
      <c r="B462" s="4" t="str">
        <f>IFERROR(__xludf.DUMMYFUNCTION("""COMPUTED_VALUE"""),"Cartel PVC 40x30 Fotolum. Punto de reunión")</f>
        <v>Cartel PVC 40x30 Fotolum. Punto de reunión</v>
      </c>
      <c r="C462" s="4">
        <f>IFERROR(__xludf.DUMMYFUNCTION("""COMPUTED_VALUE"""),3.1)</f>
        <v>3.1</v>
      </c>
      <c r="D462" s="4">
        <f>IFERROR(__xludf.DUMMYFUNCTION("""COMPUTED_VALUE"""),3.2)</f>
        <v>3.2</v>
      </c>
      <c r="E462" s="4" t="str">
        <f>IFERROR(__xludf.DUMMYFUNCTION("""COMPUTED_VALUE"""),"Neto: 3,20 € (a partir de 1 uds.)")</f>
        <v>Neto: 3,20 € (a partir de 1 uds.)</v>
      </c>
    </row>
    <row r="463">
      <c r="A463" s="4" t="str">
        <f>IFERROR(__xludf.DUMMYFUNCTION("""COMPUTED_VALUE"""),"363")</f>
        <v>363</v>
      </c>
      <c r="B463" s="4" t="str">
        <f>IFERROR(__xludf.DUMMYFUNCTION("""COMPUTED_VALUE"""),"Cartel PVC 40x30 Atencion salida de camiones")</f>
        <v>Cartel PVC 40x30 Atencion salida de camiones</v>
      </c>
      <c r="C463" s="4">
        <f>IFERROR(__xludf.DUMMYFUNCTION("""COMPUTED_VALUE"""),2.48)</f>
        <v>2.48</v>
      </c>
      <c r="D463" s="4">
        <f>IFERROR(__xludf.DUMMYFUNCTION("""COMPUTED_VALUE"""),1.8)</f>
        <v>1.8</v>
      </c>
      <c r="E463" s="4" t="str">
        <f>IFERROR(__xludf.DUMMYFUNCTION("""COMPUTED_VALUE"""),"Neto: 1,80 € (a partir de 1 uds.)")</f>
        <v>Neto: 1,80 € (a partir de 1 uds.)</v>
      </c>
    </row>
    <row r="464">
      <c r="A464" s="4" t="str">
        <f>IFERROR(__xludf.DUMMYFUNCTION("""COMPUTED_VALUE"""),"364")</f>
        <v>364</v>
      </c>
      <c r="B464" s="4" t="str">
        <f>IFERROR(__xludf.DUMMYFUNCTION("""COMPUTED_VALUE"""),"Cartel PVC 21x30 Fotolum. Camilla de Socorro")</f>
        <v>Cartel PVC 21x30 Fotolum. Camilla de Socorro</v>
      </c>
      <c r="C464" s="4">
        <f>IFERROR(__xludf.DUMMYFUNCTION("""COMPUTED_VALUE"""),2.6)</f>
        <v>2.6</v>
      </c>
      <c r="D464" s="4">
        <f>IFERROR(__xludf.DUMMYFUNCTION("""COMPUTED_VALUE"""),2.1)</f>
        <v>2.1</v>
      </c>
      <c r="E464" s="4" t="str">
        <f>IFERROR(__xludf.DUMMYFUNCTION("""COMPUTED_VALUE"""),"Neto: 2,10 € (a partir de 1 uds.)")</f>
        <v>Neto: 2,10 € (a partir de 1 uds.)</v>
      </c>
    </row>
    <row r="465">
      <c r="A465" s="4" t="str">
        <f>IFERROR(__xludf.DUMMYFUNCTION("""COMPUTED_VALUE"""),"0364A")</f>
        <v>0364A</v>
      </c>
      <c r="B465" s="4" t="str">
        <f>IFERROR(__xludf.DUMMYFUNCTION("""COMPUTED_VALUE"""),"Cartel PVC 21x30 Fotolum. Camilla de socorro")</f>
        <v>Cartel PVC 21x30 Fotolum. Camilla de socorro</v>
      </c>
      <c r="C465" s="4">
        <f>IFERROR(__xludf.DUMMYFUNCTION("""COMPUTED_VALUE"""),2.52)</f>
        <v>2.52</v>
      </c>
      <c r="D465" s="4">
        <f>IFERROR(__xludf.DUMMYFUNCTION("""COMPUTED_VALUE"""),2.1)</f>
        <v>2.1</v>
      </c>
      <c r="E465" s="4" t="str">
        <f>IFERROR(__xludf.DUMMYFUNCTION("""COMPUTED_VALUE"""),"Neto: 2,10 € (a partir de 1 uds.)")</f>
        <v>Neto: 2,10 € (a partir de 1 uds.)</v>
      </c>
    </row>
    <row r="466">
      <c r="A466" s="4" t="str">
        <f>IFERROR(__xludf.DUMMYFUNCTION("""COMPUTED_VALUE"""),"0364B")</f>
        <v>0364B</v>
      </c>
      <c r="B466" s="4" t="str">
        <f>IFERROR(__xludf.DUMMYFUNCTION("""COMPUTED_VALUE"""),"Cartel PVC 40x30 Fotolum. Camilla de socorro")</f>
        <v>Cartel PVC 40x30 Fotolum. Camilla de socorro</v>
      </c>
      <c r="C466" s="4">
        <f>IFERROR(__xludf.DUMMYFUNCTION("""COMPUTED_VALUE"""),3.1)</f>
        <v>3.1</v>
      </c>
      <c r="D466" s="4">
        <f>IFERROR(__xludf.DUMMYFUNCTION("""COMPUTED_VALUE"""),3.2)</f>
        <v>3.2</v>
      </c>
      <c r="E466" s="4" t="str">
        <f>IFERROR(__xludf.DUMMYFUNCTION("""COMPUTED_VALUE"""),"Neto: 3,20 € (a partir de 1 uds.)")</f>
        <v>Neto: 3,20 € (a partir de 1 uds.)</v>
      </c>
    </row>
    <row r="467">
      <c r="A467" s="4" t="str">
        <f>IFERROR(__xludf.DUMMYFUNCTION("""COMPUTED_VALUE"""),"365")</f>
        <v>365</v>
      </c>
      <c r="B467" s="4" t="str">
        <f>IFERROR(__xludf.DUMMYFUNCTION("""COMPUTED_VALUE"""),"Cartel PVC 21x30 Fotolum. Pulsar en caso de Emergencia")</f>
        <v>Cartel PVC 21x30 Fotolum. Pulsar en caso de Emergencia</v>
      </c>
      <c r="C467" s="4">
        <f>IFERROR(__xludf.DUMMYFUNCTION("""COMPUTED_VALUE"""),2.6)</f>
        <v>2.6</v>
      </c>
      <c r="D467" s="4">
        <f>IFERROR(__xludf.DUMMYFUNCTION("""COMPUTED_VALUE"""),2.1)</f>
        <v>2.1</v>
      </c>
      <c r="E467" s="4" t="str">
        <f>IFERROR(__xludf.DUMMYFUNCTION("""COMPUTED_VALUE"""),"Neto: 2,10 € (a partir de 1 uds.)")</f>
        <v>Neto: 2,10 € (a partir de 1 uds.)</v>
      </c>
    </row>
    <row r="468">
      <c r="A468" s="4" t="str">
        <f>IFERROR(__xludf.DUMMYFUNCTION("""COMPUTED_VALUE"""),"366")</f>
        <v>366</v>
      </c>
      <c r="B468" s="4" t="str">
        <f>IFERROR(__xludf.DUMMYFUNCTION("""COMPUTED_VALUE"""),"Cartel PVC 21x30 Fotolum. Empujar barra para salir")</f>
        <v>Cartel PVC 21x30 Fotolum. Empujar barra para salir</v>
      </c>
      <c r="C468" s="4">
        <f>IFERROR(__xludf.DUMMYFUNCTION("""COMPUTED_VALUE"""),2.6)</f>
        <v>2.6</v>
      </c>
      <c r="D468" s="4">
        <f>IFERROR(__xludf.DUMMYFUNCTION("""COMPUTED_VALUE"""),2.1)</f>
        <v>2.1</v>
      </c>
      <c r="E468" s="4" t="str">
        <f>IFERROR(__xludf.DUMMYFUNCTION("""COMPUTED_VALUE"""),"Neto: 2,10 € (a partir de 1 uds.)")</f>
        <v>Neto: 2,10 € (a partir de 1 uds.)</v>
      </c>
    </row>
    <row r="469">
      <c r="A469" s="4" t="str">
        <f>IFERROR(__xludf.DUMMYFUNCTION("""COMPUTED_VALUE"""),"0366A")</f>
        <v>0366A</v>
      </c>
      <c r="B469" s="4" t="str">
        <f>IFERROR(__xludf.DUMMYFUNCTION("""COMPUTED_VALUE"""),"Cartel PVC 21x30 Fotolum. Empujar barra para salir")</f>
        <v>Cartel PVC 21x30 Fotolum. Empujar barra para salir</v>
      </c>
      <c r="C469" s="4">
        <f>IFERROR(__xludf.DUMMYFUNCTION("""COMPUTED_VALUE"""),2.52)</f>
        <v>2.52</v>
      </c>
      <c r="D469" s="4">
        <f>IFERROR(__xludf.DUMMYFUNCTION("""COMPUTED_VALUE"""),2.1)</f>
        <v>2.1</v>
      </c>
      <c r="E469" s="4" t="str">
        <f>IFERROR(__xludf.DUMMYFUNCTION("""COMPUTED_VALUE"""),"Neto: 2,10 € (a partir de 1 uds.)")</f>
        <v>Neto: 2,10 € (a partir de 1 uds.)</v>
      </c>
    </row>
    <row r="470">
      <c r="A470" s="4" t="str">
        <f>IFERROR(__xludf.DUMMYFUNCTION("""COMPUTED_VALUE"""),"0366B")</f>
        <v>0366B</v>
      </c>
      <c r="B470" s="4" t="str">
        <f>IFERROR(__xludf.DUMMYFUNCTION("""COMPUTED_VALUE"""),"Cartel PVC 40x30 Fotolum. Empujar barra para salir")</f>
        <v>Cartel PVC 40x30 Fotolum. Empujar barra para salir</v>
      </c>
      <c r="C470" s="4">
        <f>IFERROR(__xludf.DUMMYFUNCTION("""COMPUTED_VALUE"""),3.1)</f>
        <v>3.1</v>
      </c>
      <c r="D470" s="4">
        <f>IFERROR(__xludf.DUMMYFUNCTION("""COMPUTED_VALUE"""),3.2)</f>
        <v>3.2</v>
      </c>
      <c r="E470" s="4" t="str">
        <f>IFERROR(__xludf.DUMMYFUNCTION("""COMPUTED_VALUE"""),"Neto: 3,20 € (a partir de 1 uds.)")</f>
        <v>Neto: 3,20 € (a partir de 1 uds.)</v>
      </c>
    </row>
    <row r="471">
      <c r="A471" s="4" t="str">
        <f>IFERROR(__xludf.DUMMYFUNCTION("""COMPUTED_VALUE"""),"367")</f>
        <v>367</v>
      </c>
      <c r="B471" s="4" t="str">
        <f>IFERROR(__xludf.DUMMYFUNCTION("""COMPUTED_VALUE"""),"Cartel PVC 21x30 Fotolum. Salida de Emergencia")</f>
        <v>Cartel PVC 21x30 Fotolum. Salida de Emergencia</v>
      </c>
      <c r="C471" s="4">
        <f>IFERROR(__xludf.DUMMYFUNCTION("""COMPUTED_VALUE"""),2.6)</f>
        <v>2.6</v>
      </c>
      <c r="D471" s="4">
        <f>IFERROR(__xludf.DUMMYFUNCTION("""COMPUTED_VALUE"""),2.1)</f>
        <v>2.1</v>
      </c>
      <c r="E471" s="4" t="str">
        <f>IFERROR(__xludf.DUMMYFUNCTION("""COMPUTED_VALUE"""),"Neto: 2,10 € (a partir de 1 uds.)")</f>
        <v>Neto: 2,10 € (a partir de 1 uds.)</v>
      </c>
    </row>
    <row r="472">
      <c r="A472" s="4" t="str">
        <f>IFERROR(__xludf.DUMMYFUNCTION("""COMPUTED_VALUE"""),"0367A")</f>
        <v>0367A</v>
      </c>
      <c r="B472" s="4" t="str">
        <f>IFERROR(__xludf.DUMMYFUNCTION("""COMPUTED_VALUE"""),"Cartel PVC 32x16 Fotolum. Salida de emergenca")</f>
        <v>Cartel PVC 32x16 Fotolum. Salida de emergenca</v>
      </c>
      <c r="C472" s="4">
        <f>IFERROR(__xludf.DUMMYFUNCTION("""COMPUTED_VALUE"""),2.25)</f>
        <v>2.25</v>
      </c>
      <c r="D472" s="4"/>
      <c r="E472" s="4" t="str">
        <f>IFERROR(__xludf.DUMMYFUNCTION("""COMPUTED_VALUE"""),"Sin precio neto")</f>
        <v>Sin precio neto</v>
      </c>
    </row>
    <row r="473">
      <c r="A473" s="4" t="str">
        <f>IFERROR(__xludf.DUMMYFUNCTION("""COMPUTED_VALUE"""),"0367AA")</f>
        <v>0367AA</v>
      </c>
      <c r="B473" s="4" t="str">
        <f>IFERROR(__xludf.DUMMYFUNCTION("""COMPUTED_VALUE"""),"Cartel PVC 21x21 Fotolum.Minusválidos")</f>
        <v>Cartel PVC 21x21 Fotolum.Minusválidos</v>
      </c>
      <c r="C473" s="4">
        <f>IFERROR(__xludf.DUMMYFUNCTION("""COMPUTED_VALUE"""),2.31)</f>
        <v>2.31</v>
      </c>
      <c r="D473" s="4"/>
      <c r="E473" s="4" t="str">
        <f>IFERROR(__xludf.DUMMYFUNCTION("""COMPUTED_VALUE"""),"Sin precio neto")</f>
        <v>Sin precio neto</v>
      </c>
    </row>
    <row r="474">
      <c r="A474" s="4" t="str">
        <f>IFERROR(__xludf.DUMMYFUNCTION("""COMPUTED_VALUE"""),"0367BA")</f>
        <v>0367BA</v>
      </c>
      <c r="B474" s="4" t="str">
        <f>IFERROR(__xludf.DUMMYFUNCTION("""COMPUTED_VALUE"""),"Cartel PVC 42x42 Fotolum.Minusválidos")</f>
        <v>Cartel PVC 42x42 Fotolum.Minusválidos</v>
      </c>
      <c r="C474" s="4">
        <f>IFERROR(__xludf.DUMMYFUNCTION("""COMPUTED_VALUE"""),3.9)</f>
        <v>3.9</v>
      </c>
      <c r="D474" s="4"/>
      <c r="E474" s="4" t="str">
        <f>IFERROR(__xludf.DUMMYFUNCTION("""COMPUTED_VALUE"""),"Sin precio neto")</f>
        <v>Sin precio neto</v>
      </c>
    </row>
    <row r="475">
      <c r="A475" s="4" t="str">
        <f>IFERROR(__xludf.DUMMYFUNCTION("""COMPUTED_VALUE"""),"0367CA")</f>
        <v>0367CA</v>
      </c>
      <c r="B475" s="4" t="str">
        <f>IFERROR(__xludf.DUMMYFUNCTION("""COMPUTED_VALUE"""),"Cartel PVC 63x63 Fotolum.Minusválidos")</f>
        <v>Cartel PVC 63x63 Fotolum.Minusválidos</v>
      </c>
      <c r="C475" s="4">
        <f>IFERROR(__xludf.DUMMYFUNCTION("""COMPUTED_VALUE"""),6.25)</f>
        <v>6.25</v>
      </c>
      <c r="D475" s="4"/>
      <c r="E475" s="4" t="str">
        <f>IFERROR(__xludf.DUMMYFUNCTION("""COMPUTED_VALUE"""),"Sin precio neto")</f>
        <v>Sin precio neto</v>
      </c>
    </row>
    <row r="476">
      <c r="A476" s="4" t="str">
        <f>IFERROR(__xludf.DUMMYFUNCTION("""COMPUTED_VALUE"""),"368")</f>
        <v>368</v>
      </c>
      <c r="B476" s="4" t="str">
        <f>IFERROR(__xludf.DUMMYFUNCTION("""COMPUTED_VALUE"""),"Cartel PVC 21x29 AVISO POLICIA")</f>
        <v>Cartel PVC 21x29 AVISO POLICIA</v>
      </c>
      <c r="C476" s="4">
        <f>IFERROR(__xludf.DUMMYFUNCTION("""COMPUTED_VALUE"""),1.6)</f>
        <v>1.6</v>
      </c>
      <c r="D476" s="4">
        <f>IFERROR(__xludf.DUMMYFUNCTION("""COMPUTED_VALUE"""),1.2)</f>
        <v>1.2</v>
      </c>
      <c r="E476" s="4" t="str">
        <f>IFERROR(__xludf.DUMMYFUNCTION("""COMPUTED_VALUE"""),"Neto: 1,20 € (a partir de 1 uds.)")</f>
        <v>Neto: 1,20 € (a partir de 1 uds.)</v>
      </c>
    </row>
    <row r="477">
      <c r="A477" s="4" t="str">
        <f>IFERROR(__xludf.DUMMYFUNCTION("""COMPUTED_VALUE"""),"369")</f>
        <v>369</v>
      </c>
      <c r="B477" s="4" t="str">
        <f>IFERROR(__xludf.DUMMYFUNCTION("""COMPUTED_VALUE"""),"Cartel PVC 21x29 Zona video vigilada")</f>
        <v>Cartel PVC 21x29 Zona video vigilada</v>
      </c>
      <c r="C477" s="4">
        <f>IFERROR(__xludf.DUMMYFUNCTION("""COMPUTED_VALUE"""),1.6)</f>
        <v>1.6</v>
      </c>
      <c r="D477" s="4">
        <f>IFERROR(__xludf.DUMMYFUNCTION("""COMPUTED_VALUE"""),1.2)</f>
        <v>1.2</v>
      </c>
      <c r="E477" s="4" t="str">
        <f>IFERROR(__xludf.DUMMYFUNCTION("""COMPUTED_VALUE"""),"Neto: 1,20 € (a partir de 1 uds.)")</f>
        <v>Neto: 1,20 € (a partir de 1 uds.)</v>
      </c>
    </row>
    <row r="478">
      <c r="A478" s="4" t="str">
        <f>IFERROR(__xludf.DUMMYFUNCTION("""COMPUTED_VALUE"""),"370")</f>
        <v>370</v>
      </c>
      <c r="B478" s="4" t="str">
        <f>IFERROR(__xludf.DUMMYFUNCTION("""COMPUTED_VALUE"""),"Cartel PVC 40x30 Prohib. Beber y Comer")</f>
        <v>Cartel PVC 40x30 Prohib. Beber y Comer</v>
      </c>
      <c r="C478" s="4">
        <f>IFERROR(__xludf.DUMMYFUNCTION("""COMPUTED_VALUE"""),2.48)</f>
        <v>2.48</v>
      </c>
      <c r="D478" s="4">
        <f>IFERROR(__xludf.DUMMYFUNCTION("""COMPUTED_VALUE"""),1.8)</f>
        <v>1.8</v>
      </c>
      <c r="E478" s="4" t="str">
        <f>IFERROR(__xludf.DUMMYFUNCTION("""COMPUTED_VALUE"""),"Neto: 1,80 € (a partir de 1 uds.)")</f>
        <v>Neto: 1,80 € (a partir de 1 uds.)</v>
      </c>
    </row>
    <row r="479">
      <c r="A479" s="4" t="str">
        <f>IFERROR(__xludf.DUMMYFUNCTION("""COMPUTED_VALUE"""),"0370P")</f>
        <v>0370P</v>
      </c>
      <c r="B479" s="4" t="str">
        <f>IFERROR(__xludf.DUMMYFUNCTION("""COMPUTED_VALUE"""),"Cartel PVC 21x29 PROHIBIDO BEBER Y COMER")</f>
        <v>Cartel PVC 21x29 PROHIBIDO BEBER Y COMER</v>
      </c>
      <c r="C479" s="4">
        <f>IFERROR(__xludf.DUMMYFUNCTION("""COMPUTED_VALUE"""),1.6)</f>
        <v>1.6</v>
      </c>
      <c r="D479" s="4">
        <f>IFERROR(__xludf.DUMMYFUNCTION("""COMPUTED_VALUE"""),1.2)</f>
        <v>1.2</v>
      </c>
      <c r="E479" s="4" t="str">
        <f>IFERROR(__xludf.DUMMYFUNCTION("""COMPUTED_VALUE"""),"Neto: 1,20 € (a partir de 1 uds.)")</f>
        <v>Neto: 1,20 € (a partir de 1 uds.)</v>
      </c>
    </row>
    <row r="480">
      <c r="A480" s="4" t="str">
        <f>IFERROR(__xludf.DUMMYFUNCTION("""COMPUTED_VALUE"""),"371")</f>
        <v>371</v>
      </c>
      <c r="B480" s="4" t="str">
        <f>IFERROR(__xludf.DUMMYFUNCTION("""COMPUTED_VALUE"""),"Cartel PVC 40x30 Peligro Gases Compr.")</f>
        <v>Cartel PVC 40x30 Peligro Gases Compr.</v>
      </c>
      <c r="C480" s="4">
        <f>IFERROR(__xludf.DUMMYFUNCTION("""COMPUTED_VALUE"""),2.48)</f>
        <v>2.48</v>
      </c>
      <c r="D480" s="4">
        <f>IFERROR(__xludf.DUMMYFUNCTION("""COMPUTED_VALUE"""),1.8)</f>
        <v>1.8</v>
      </c>
      <c r="E480" s="4" t="str">
        <f>IFERROR(__xludf.DUMMYFUNCTION("""COMPUTED_VALUE"""),"Neto: 1,80 € (a partir de 1 uds.)")</f>
        <v>Neto: 1,80 € (a partir de 1 uds.)</v>
      </c>
    </row>
    <row r="481">
      <c r="A481" s="4" t="str">
        <f>IFERROR(__xludf.DUMMYFUNCTION("""COMPUTED_VALUE"""),"0371P")</f>
        <v>0371P</v>
      </c>
      <c r="B481" s="4" t="str">
        <f>IFERROR(__xludf.DUMMYFUNCTION("""COMPUTED_VALUE"""),"Cartel PVC 21x29 PELIGRO GASES COMPRIMIDOS")</f>
        <v>Cartel PVC 21x29 PELIGRO GASES COMPRIMIDOS</v>
      </c>
      <c r="C481" s="4">
        <f>IFERROR(__xludf.DUMMYFUNCTION("""COMPUTED_VALUE"""),1.6)</f>
        <v>1.6</v>
      </c>
      <c r="D481" s="4">
        <f>IFERROR(__xludf.DUMMYFUNCTION("""COMPUTED_VALUE"""),1.2)</f>
        <v>1.2</v>
      </c>
      <c r="E481" s="4" t="str">
        <f>IFERROR(__xludf.DUMMYFUNCTION("""COMPUTED_VALUE"""),"Neto: 1,20 € (a partir de 1 uds.)")</f>
        <v>Neto: 1,20 € (a partir de 1 uds.)</v>
      </c>
    </row>
    <row r="482">
      <c r="A482" s="4" t="str">
        <f>IFERROR(__xludf.DUMMYFUNCTION("""COMPUTED_VALUE"""),"372")</f>
        <v>372</v>
      </c>
      <c r="B482" s="4" t="str">
        <f>IFERROR(__xludf.DUMMYFUNCTION("""COMPUTED_VALUE"""),"Cartel PVC 40x30 Peligro Andamio Incom")</f>
        <v>Cartel PVC 40x30 Peligro Andamio Incom</v>
      </c>
      <c r="C482" s="4">
        <f>IFERROR(__xludf.DUMMYFUNCTION("""COMPUTED_VALUE"""),2.48)</f>
        <v>2.48</v>
      </c>
      <c r="D482" s="4">
        <f>IFERROR(__xludf.DUMMYFUNCTION("""COMPUTED_VALUE"""),1.8)</f>
        <v>1.8</v>
      </c>
      <c r="E482" s="4" t="str">
        <f>IFERROR(__xludf.DUMMYFUNCTION("""COMPUTED_VALUE"""),"Neto: 1,80 € (a partir de 1 uds.)")</f>
        <v>Neto: 1,80 € (a partir de 1 uds.)</v>
      </c>
    </row>
    <row r="483">
      <c r="A483" s="4" t="str">
        <f>IFERROR(__xludf.DUMMYFUNCTION("""COMPUTED_VALUE"""),"0372P")</f>
        <v>0372P</v>
      </c>
      <c r="B483" s="4" t="str">
        <f>IFERROR(__xludf.DUMMYFUNCTION("""COMPUTED_VALUE"""),"Cartel PVC 21x29 PELIGRO ANDAMIAJE INCOMPLETO")</f>
        <v>Cartel PVC 21x29 PELIGRO ANDAMIAJE INCOMPLETO</v>
      </c>
      <c r="C483" s="4">
        <f>IFERROR(__xludf.DUMMYFUNCTION("""COMPUTED_VALUE"""),1.6)</f>
        <v>1.6</v>
      </c>
      <c r="D483" s="4">
        <f>IFERROR(__xludf.DUMMYFUNCTION("""COMPUTED_VALUE"""),1.2)</f>
        <v>1.2</v>
      </c>
      <c r="E483" s="4" t="str">
        <f>IFERROR(__xludf.DUMMYFUNCTION("""COMPUTED_VALUE"""),"Neto: 1,20 € (a partir de 1 uds.)")</f>
        <v>Neto: 1,20 € (a partir de 1 uds.)</v>
      </c>
    </row>
    <row r="484">
      <c r="A484" s="4" t="str">
        <f>IFERROR(__xludf.DUMMYFUNCTION("""COMPUTED_VALUE"""),"373")</f>
        <v>373</v>
      </c>
      <c r="B484" s="4" t="str">
        <f>IFERROR(__xludf.DUMMYFUNCTION("""COMPUTED_VALUE"""),"Cartel PVC 40x30 Peligro Escalon")</f>
        <v>Cartel PVC 40x30 Peligro Escalon</v>
      </c>
      <c r="C484" s="4">
        <f>IFERROR(__xludf.DUMMYFUNCTION("""COMPUTED_VALUE"""),2.48)</f>
        <v>2.48</v>
      </c>
      <c r="D484" s="4">
        <f>IFERROR(__xludf.DUMMYFUNCTION("""COMPUTED_VALUE"""),1.8)</f>
        <v>1.8</v>
      </c>
      <c r="E484" s="4" t="str">
        <f>IFERROR(__xludf.DUMMYFUNCTION("""COMPUTED_VALUE"""),"Neto: 1,80 € (a partir de 1 uds.)")</f>
        <v>Neto: 1,80 € (a partir de 1 uds.)</v>
      </c>
    </row>
    <row r="485">
      <c r="A485" s="4" t="str">
        <f>IFERROR(__xludf.DUMMYFUNCTION("""COMPUTED_VALUE"""),"0373P")</f>
        <v>0373P</v>
      </c>
      <c r="B485" s="4" t="str">
        <f>IFERROR(__xludf.DUMMYFUNCTION("""COMPUTED_VALUE"""),"Cartel PVC 21x29 PELIGRO CUIDADO CON ESCALON")</f>
        <v>Cartel PVC 21x29 PELIGRO CUIDADO CON ESCALON</v>
      </c>
      <c r="C485" s="4">
        <f>IFERROR(__xludf.DUMMYFUNCTION("""COMPUTED_VALUE"""),1.6)</f>
        <v>1.6</v>
      </c>
      <c r="D485" s="4">
        <f>IFERROR(__xludf.DUMMYFUNCTION("""COMPUTED_VALUE"""),1.2)</f>
        <v>1.2</v>
      </c>
      <c r="E485" s="4" t="str">
        <f>IFERROR(__xludf.DUMMYFUNCTION("""COMPUTED_VALUE"""),"Neto: 1,20 € (a partir de 1 uds.)")</f>
        <v>Neto: 1,20 € (a partir de 1 uds.)</v>
      </c>
    </row>
    <row r="486">
      <c r="A486" s="4" t="str">
        <f>IFERROR(__xludf.DUMMYFUNCTION("""COMPUTED_VALUE"""),"374")</f>
        <v>374</v>
      </c>
      <c r="B486" s="4" t="str">
        <f>IFERROR(__xludf.DUMMYFUNCTION("""COMPUTED_VALUE"""),"Cartel PVC 40x30 Prohibido el Paso")</f>
        <v>Cartel PVC 40x30 Prohibido el Paso</v>
      </c>
      <c r="C486" s="4">
        <f>IFERROR(__xludf.DUMMYFUNCTION("""COMPUTED_VALUE"""),2.48)</f>
        <v>2.48</v>
      </c>
      <c r="D486" s="4">
        <f>IFERROR(__xludf.DUMMYFUNCTION("""COMPUTED_VALUE"""),1.8)</f>
        <v>1.8</v>
      </c>
      <c r="E486" s="4" t="str">
        <f>IFERROR(__xludf.DUMMYFUNCTION("""COMPUTED_VALUE"""),"Neto: 1,80 € (a partir de 1 uds.)")</f>
        <v>Neto: 1,80 € (a partir de 1 uds.)</v>
      </c>
    </row>
    <row r="487">
      <c r="A487" s="4" t="str">
        <f>IFERROR(__xludf.DUMMYFUNCTION("""COMPUTED_VALUE"""),"0374P")</f>
        <v>0374P</v>
      </c>
      <c r="B487" s="4" t="str">
        <f>IFERROR(__xludf.DUMMYFUNCTION("""COMPUTED_VALUE"""),"Cartel PVC 21x29 PROHIBIDO EL PASO")</f>
        <v>Cartel PVC 21x29 PROHIBIDO EL PASO</v>
      </c>
      <c r="C487" s="4">
        <f>IFERROR(__xludf.DUMMYFUNCTION("""COMPUTED_VALUE"""),1.6)</f>
        <v>1.6</v>
      </c>
      <c r="D487" s="4">
        <f>IFERROR(__xludf.DUMMYFUNCTION("""COMPUTED_VALUE"""),1.2)</f>
        <v>1.2</v>
      </c>
      <c r="E487" s="4" t="str">
        <f>IFERROR(__xludf.DUMMYFUNCTION("""COMPUTED_VALUE"""),"Neto: 1,20 € (a partir de 1 uds.)")</f>
        <v>Neto: 1,20 € (a partir de 1 uds.)</v>
      </c>
    </row>
    <row r="488">
      <c r="A488" s="4" t="str">
        <f>IFERROR(__xludf.DUMMYFUNCTION("""COMPUTED_VALUE"""),"375")</f>
        <v>375</v>
      </c>
      <c r="B488" s="4" t="str">
        <f>IFERROR(__xludf.DUMMYFUNCTION("""COMPUTED_VALUE"""),"Cartel PVC 40x30 Peligro de Incendio")</f>
        <v>Cartel PVC 40x30 Peligro de Incendio</v>
      </c>
      <c r="C488" s="4">
        <f>IFERROR(__xludf.DUMMYFUNCTION("""COMPUTED_VALUE"""),2.48)</f>
        <v>2.48</v>
      </c>
      <c r="D488" s="4">
        <f>IFERROR(__xludf.DUMMYFUNCTION("""COMPUTED_VALUE"""),1.8)</f>
        <v>1.8</v>
      </c>
      <c r="E488" s="4" t="str">
        <f>IFERROR(__xludf.DUMMYFUNCTION("""COMPUTED_VALUE"""),"Neto: 1,80 € (a partir de 1 uds.)")</f>
        <v>Neto: 1,80 € (a partir de 1 uds.)</v>
      </c>
    </row>
    <row r="489">
      <c r="A489" s="4" t="str">
        <f>IFERROR(__xludf.DUMMYFUNCTION("""COMPUTED_VALUE"""),"0375P")</f>
        <v>0375P</v>
      </c>
      <c r="B489" s="4" t="str">
        <f>IFERROR(__xludf.DUMMYFUNCTION("""COMPUTED_VALUE"""),"Cartel PVC 21x29 PELIGRO DE INCENDIO")</f>
        <v>Cartel PVC 21x29 PELIGRO DE INCENDIO</v>
      </c>
      <c r="C489" s="4">
        <f>IFERROR(__xludf.DUMMYFUNCTION("""COMPUTED_VALUE"""),1.6)</f>
        <v>1.6</v>
      </c>
      <c r="D489" s="4">
        <f>IFERROR(__xludf.DUMMYFUNCTION("""COMPUTED_VALUE"""),1.2)</f>
        <v>1.2</v>
      </c>
      <c r="E489" s="4" t="str">
        <f>IFERROR(__xludf.DUMMYFUNCTION("""COMPUTED_VALUE"""),"Neto: 1,20 € (a partir de 1 uds.)")</f>
        <v>Neto: 1,20 € (a partir de 1 uds.)</v>
      </c>
    </row>
    <row r="490">
      <c r="A490" s="4" t="str">
        <f>IFERROR(__xludf.DUMMYFUNCTION("""COMPUTED_VALUE"""),"376")</f>
        <v>376</v>
      </c>
      <c r="B490" s="4" t="str">
        <f>IFERROR(__xludf.DUMMYFUNCTION("""COMPUTED_VALUE"""),"Cartel PVC 40x30 Peligro Zona de Obras")</f>
        <v>Cartel PVC 40x30 Peligro Zona de Obras</v>
      </c>
      <c r="C490" s="4">
        <f>IFERROR(__xludf.DUMMYFUNCTION("""COMPUTED_VALUE"""),2.48)</f>
        <v>2.48</v>
      </c>
      <c r="D490" s="4">
        <f>IFERROR(__xludf.DUMMYFUNCTION("""COMPUTED_VALUE"""),1.8)</f>
        <v>1.8</v>
      </c>
      <c r="E490" s="4" t="str">
        <f>IFERROR(__xludf.DUMMYFUNCTION("""COMPUTED_VALUE"""),"Neto: 1,80 € (a partir de 1 uds.)")</f>
        <v>Neto: 1,80 € (a partir de 1 uds.)</v>
      </c>
    </row>
    <row r="491">
      <c r="A491" s="4" t="str">
        <f>IFERROR(__xludf.DUMMYFUNCTION("""COMPUTED_VALUE"""),"0376P")</f>
        <v>0376P</v>
      </c>
      <c r="B491" s="4" t="str">
        <f>IFERROR(__xludf.DUMMYFUNCTION("""COMPUTED_VALUE"""),"Cartel PVC 21x29 PELIGRO ZONA DE OBRAS")</f>
        <v>Cartel PVC 21x29 PELIGRO ZONA DE OBRAS</v>
      </c>
      <c r="C491" s="4">
        <f>IFERROR(__xludf.DUMMYFUNCTION("""COMPUTED_VALUE"""),1.6)</f>
        <v>1.6</v>
      </c>
      <c r="D491" s="4">
        <f>IFERROR(__xludf.DUMMYFUNCTION("""COMPUTED_VALUE"""),1.2)</f>
        <v>1.2</v>
      </c>
      <c r="E491" s="4" t="str">
        <f>IFERROR(__xludf.DUMMYFUNCTION("""COMPUTED_VALUE"""),"Neto: 1,20 € (a partir de 1 uds.)")</f>
        <v>Neto: 1,20 € (a partir de 1 uds.)</v>
      </c>
    </row>
    <row r="492">
      <c r="A492" s="4" t="str">
        <f>IFERROR(__xludf.DUMMYFUNCTION("""COMPUTED_VALUE"""),"377")</f>
        <v>377</v>
      </c>
      <c r="B492" s="4" t="str">
        <f>IFERROR(__xludf.DUMMYFUNCTION("""COMPUTED_VALUE"""),"Cartel PVC 40x30 Uso de minusvalidos")</f>
        <v>Cartel PVC 40x30 Uso de minusvalidos</v>
      </c>
      <c r="C492" s="4">
        <f>IFERROR(__xludf.DUMMYFUNCTION("""COMPUTED_VALUE"""),2.48)</f>
        <v>2.48</v>
      </c>
      <c r="D492" s="4">
        <f>IFERROR(__xludf.DUMMYFUNCTION("""COMPUTED_VALUE"""),1.8)</f>
        <v>1.8</v>
      </c>
      <c r="E492" s="4" t="str">
        <f>IFERROR(__xludf.DUMMYFUNCTION("""COMPUTED_VALUE"""),"Neto: 1,80 € (a partir de 1 uds.)")</f>
        <v>Neto: 1,80 € (a partir de 1 uds.)</v>
      </c>
    </row>
    <row r="493">
      <c r="A493" s="4" t="str">
        <f>IFERROR(__xludf.DUMMYFUNCTION("""COMPUTED_VALUE"""),"0377P")</f>
        <v>0377P</v>
      </c>
      <c r="B493" s="4" t="str">
        <f>IFERROR(__xludf.DUMMYFUNCTION("""COMPUTED_VALUE"""),"Cartel PVC 21x29 USO DE MINUSVALIDOS")</f>
        <v>Cartel PVC 21x29 USO DE MINUSVALIDOS</v>
      </c>
      <c r="C493" s="4">
        <f>IFERROR(__xludf.DUMMYFUNCTION("""COMPUTED_VALUE"""),1.6)</f>
        <v>1.6</v>
      </c>
      <c r="D493" s="4">
        <f>IFERROR(__xludf.DUMMYFUNCTION("""COMPUTED_VALUE"""),1.2)</f>
        <v>1.2</v>
      </c>
      <c r="E493" s="4" t="str">
        <f>IFERROR(__xludf.DUMMYFUNCTION("""COMPUTED_VALUE"""),"Neto: 1,20 € (a partir de 1 uds.)")</f>
        <v>Neto: 1,20 € (a partir de 1 uds.)</v>
      </c>
    </row>
    <row r="494">
      <c r="A494" s="4" t="str">
        <f>IFERROR(__xludf.DUMMYFUNCTION("""COMPUTED_VALUE"""),"378")</f>
        <v>378</v>
      </c>
      <c r="B494" s="4" t="str">
        <f>IFERROR(__xludf.DUMMYFUNCTION("""COMPUTED_VALUE"""),"Cartel PVC 40x30 Direccion obligatoria derecha")</f>
        <v>Cartel PVC 40x30 Direccion obligatoria derecha</v>
      </c>
      <c r="C494" s="4">
        <f>IFERROR(__xludf.DUMMYFUNCTION("""COMPUTED_VALUE"""),2.48)</f>
        <v>2.48</v>
      </c>
      <c r="D494" s="4">
        <f>IFERROR(__xludf.DUMMYFUNCTION("""COMPUTED_VALUE"""),1.8)</f>
        <v>1.8</v>
      </c>
      <c r="E494" s="4" t="str">
        <f>IFERROR(__xludf.DUMMYFUNCTION("""COMPUTED_VALUE"""),"Neto: 1,80 € (a partir de 1 uds.)")</f>
        <v>Neto: 1,80 € (a partir de 1 uds.)</v>
      </c>
    </row>
    <row r="495">
      <c r="A495" s="4" t="str">
        <f>IFERROR(__xludf.DUMMYFUNCTION("""COMPUTED_VALUE"""),"0378P")</f>
        <v>0378P</v>
      </c>
      <c r="B495" s="4" t="str">
        <f>IFERROR(__xludf.DUMMYFUNCTION("""COMPUTED_VALUE"""),"Cartel PVC 21x29 DIRECCION OBLIGATORIA DERECHA")</f>
        <v>Cartel PVC 21x29 DIRECCION OBLIGATORIA DERECHA</v>
      </c>
      <c r="C495" s="4">
        <f>IFERROR(__xludf.DUMMYFUNCTION("""COMPUTED_VALUE"""),1.6)</f>
        <v>1.6</v>
      </c>
      <c r="D495" s="4">
        <f>IFERROR(__xludf.DUMMYFUNCTION("""COMPUTED_VALUE"""),1.2)</f>
        <v>1.2</v>
      </c>
      <c r="E495" s="4" t="str">
        <f>IFERROR(__xludf.DUMMYFUNCTION("""COMPUTED_VALUE"""),"Neto: 1,20 € (a partir de 1 uds.)")</f>
        <v>Neto: 1,20 € (a partir de 1 uds.)</v>
      </c>
    </row>
    <row r="496">
      <c r="A496" s="4" t="str">
        <f>IFERROR(__xludf.DUMMYFUNCTION("""COMPUTED_VALUE"""),"379")</f>
        <v>379</v>
      </c>
      <c r="B496" s="4" t="str">
        <f>IFERROR(__xludf.DUMMYFUNCTION("""COMPUTED_VALUE"""),"Cartel PVC 40x30 Direccion obligatoria izquierda")</f>
        <v>Cartel PVC 40x30 Direccion obligatoria izquierda</v>
      </c>
      <c r="C496" s="4">
        <f>IFERROR(__xludf.DUMMYFUNCTION("""COMPUTED_VALUE"""),2.48)</f>
        <v>2.48</v>
      </c>
      <c r="D496" s="4">
        <f>IFERROR(__xludf.DUMMYFUNCTION("""COMPUTED_VALUE"""),1.8)</f>
        <v>1.8</v>
      </c>
      <c r="E496" s="4" t="str">
        <f>IFERROR(__xludf.DUMMYFUNCTION("""COMPUTED_VALUE"""),"Neto: 1,80 € (a partir de 1 uds.)")</f>
        <v>Neto: 1,80 € (a partir de 1 uds.)</v>
      </c>
    </row>
    <row r="497">
      <c r="A497" s="4" t="str">
        <f>IFERROR(__xludf.DUMMYFUNCTION("""COMPUTED_VALUE"""),"0379P")</f>
        <v>0379P</v>
      </c>
      <c r="B497" s="4" t="str">
        <f>IFERROR(__xludf.DUMMYFUNCTION("""COMPUTED_VALUE"""),"Cartel PVC 21x29 DIRECCION OBLIGATORIA IZQUIERDA")</f>
        <v>Cartel PVC 21x29 DIRECCION OBLIGATORIA IZQUIERDA</v>
      </c>
      <c r="C497" s="4">
        <f>IFERROR(__xludf.DUMMYFUNCTION("""COMPUTED_VALUE"""),1.6)</f>
        <v>1.6</v>
      </c>
      <c r="D497" s="4">
        <f>IFERROR(__xludf.DUMMYFUNCTION("""COMPUTED_VALUE"""),1.2)</f>
        <v>1.2</v>
      </c>
      <c r="E497" s="4" t="str">
        <f>IFERROR(__xludf.DUMMYFUNCTION("""COMPUTED_VALUE"""),"Neto: 1,20 € (a partir de 1 uds.)")</f>
        <v>Neto: 1,20 € (a partir de 1 uds.)</v>
      </c>
    </row>
    <row r="498">
      <c r="A498" s="4" t="str">
        <f>IFERROR(__xludf.DUMMYFUNCTION("""COMPUTED_VALUE"""),"380")</f>
        <v>380</v>
      </c>
      <c r="B498" s="4" t="str">
        <f>IFERROR(__xludf.DUMMYFUNCTION("""COMPUTED_VALUE"""),"Cartel PVC 40x30 Es obligatorio el uso de Mandil")</f>
        <v>Cartel PVC 40x30 Es obligatorio el uso de Mandil</v>
      </c>
      <c r="C498" s="4">
        <f>IFERROR(__xludf.DUMMYFUNCTION("""COMPUTED_VALUE"""),2.48)</f>
        <v>2.48</v>
      </c>
      <c r="D498" s="4">
        <f>IFERROR(__xludf.DUMMYFUNCTION("""COMPUTED_VALUE"""),1.8)</f>
        <v>1.8</v>
      </c>
      <c r="E498" s="4" t="str">
        <f>IFERROR(__xludf.DUMMYFUNCTION("""COMPUTED_VALUE"""),"Neto: 1,80 € (a partir de 1 uds.)")</f>
        <v>Neto: 1,80 € (a partir de 1 uds.)</v>
      </c>
    </row>
    <row r="499">
      <c r="A499" s="4" t="str">
        <f>IFERROR(__xludf.DUMMYFUNCTION("""COMPUTED_VALUE"""),"0380P")</f>
        <v>0380P</v>
      </c>
      <c r="B499" s="4" t="str">
        <f>IFERROR(__xludf.DUMMYFUNCTION("""COMPUTED_VALUE"""),"Cartel PVC 21x29 OBLIGATORIO EL USO DE MANDIL")</f>
        <v>Cartel PVC 21x29 OBLIGATORIO EL USO DE MANDIL</v>
      </c>
      <c r="C499" s="4">
        <f>IFERROR(__xludf.DUMMYFUNCTION("""COMPUTED_VALUE"""),1.6)</f>
        <v>1.6</v>
      </c>
      <c r="D499" s="4">
        <f>IFERROR(__xludf.DUMMYFUNCTION("""COMPUTED_VALUE"""),1.2)</f>
        <v>1.2</v>
      </c>
      <c r="E499" s="4" t="str">
        <f>IFERROR(__xludf.DUMMYFUNCTION("""COMPUTED_VALUE"""),"Neto: 1,20 € (a partir de 1 uds.)")</f>
        <v>Neto: 1,20 € (a partir de 1 uds.)</v>
      </c>
    </row>
    <row r="500">
      <c r="A500" s="4" t="str">
        <f>IFERROR(__xludf.DUMMYFUNCTION("""COMPUTED_VALUE"""),"381")</f>
        <v>381</v>
      </c>
      <c r="B500" s="4" t="str">
        <f>IFERROR(__xludf.DUMMYFUNCTION("""COMPUTED_VALUE"""),"Cartel PVC 40x30 Estrechamiento de calzada")</f>
        <v>Cartel PVC 40x30 Estrechamiento de calzada</v>
      </c>
      <c r="C500" s="4">
        <f>IFERROR(__xludf.DUMMYFUNCTION("""COMPUTED_VALUE"""),2.48)</f>
        <v>2.48</v>
      </c>
      <c r="D500" s="4">
        <f>IFERROR(__xludf.DUMMYFUNCTION("""COMPUTED_VALUE"""),1.8)</f>
        <v>1.8</v>
      </c>
      <c r="E500" s="4" t="str">
        <f>IFERROR(__xludf.DUMMYFUNCTION("""COMPUTED_VALUE"""),"Neto: 1,80 € (a partir de 1 uds.)")</f>
        <v>Neto: 1,80 € (a partir de 1 uds.)</v>
      </c>
    </row>
    <row r="501">
      <c r="A501" s="4" t="str">
        <f>IFERROR(__xludf.DUMMYFUNCTION("""COMPUTED_VALUE"""),"0381P")</f>
        <v>0381P</v>
      </c>
      <c r="B501" s="4" t="str">
        <f>IFERROR(__xludf.DUMMYFUNCTION("""COMPUTED_VALUE"""),"Cartel PVC 21x29 ESTRECHAMIENTO CALZADA CENTRAL")</f>
        <v>Cartel PVC 21x29 ESTRECHAMIENTO CALZADA CENTRAL</v>
      </c>
      <c r="C501" s="4">
        <f>IFERROR(__xludf.DUMMYFUNCTION("""COMPUTED_VALUE"""),1.6)</f>
        <v>1.6</v>
      </c>
      <c r="D501" s="4">
        <f>IFERROR(__xludf.DUMMYFUNCTION("""COMPUTED_VALUE"""),1.2)</f>
        <v>1.2</v>
      </c>
      <c r="E501" s="4" t="str">
        <f>IFERROR(__xludf.DUMMYFUNCTION("""COMPUTED_VALUE"""),"Neto: 1,20 € (a partir de 1 uds.)")</f>
        <v>Neto: 1,20 € (a partir de 1 uds.)</v>
      </c>
    </row>
    <row r="502">
      <c r="A502" s="4" t="str">
        <f>IFERROR(__xludf.DUMMYFUNCTION("""COMPUTED_VALUE"""),"382")</f>
        <v>382</v>
      </c>
      <c r="B502" s="4" t="str">
        <f>IFERROR(__xludf.DUMMYFUNCTION("""COMPUTED_VALUE"""),"Cartel PVC 40x30 Estrechamiento calzada por la derecha")</f>
        <v>Cartel PVC 40x30 Estrechamiento calzada por la derecha</v>
      </c>
      <c r="C502" s="4">
        <f>IFERROR(__xludf.DUMMYFUNCTION("""COMPUTED_VALUE"""),2.48)</f>
        <v>2.48</v>
      </c>
      <c r="D502" s="4">
        <f>IFERROR(__xludf.DUMMYFUNCTION("""COMPUTED_VALUE"""),1.8)</f>
        <v>1.8</v>
      </c>
      <c r="E502" s="4" t="str">
        <f>IFERROR(__xludf.DUMMYFUNCTION("""COMPUTED_VALUE"""),"Neto: 1,80 € (a partir de 1 uds.)")</f>
        <v>Neto: 1,80 € (a partir de 1 uds.)</v>
      </c>
    </row>
    <row r="503">
      <c r="A503" s="4" t="str">
        <f>IFERROR(__xludf.DUMMYFUNCTION("""COMPUTED_VALUE"""),"0382P")</f>
        <v>0382P</v>
      </c>
      <c r="B503" s="4" t="str">
        <f>IFERROR(__xludf.DUMMYFUNCTION("""COMPUTED_VALUE"""),"Cartel PVC 21x29 ESTRECHAMIENTO CALZADA POR DCHA")</f>
        <v>Cartel PVC 21x29 ESTRECHAMIENTO CALZADA POR DCHA</v>
      </c>
      <c r="C503" s="4">
        <f>IFERROR(__xludf.DUMMYFUNCTION("""COMPUTED_VALUE"""),1.6)</f>
        <v>1.6</v>
      </c>
      <c r="D503" s="4">
        <f>IFERROR(__xludf.DUMMYFUNCTION("""COMPUTED_VALUE"""),1.2)</f>
        <v>1.2</v>
      </c>
      <c r="E503" s="4" t="str">
        <f>IFERROR(__xludf.DUMMYFUNCTION("""COMPUTED_VALUE"""),"Neto: 1,20 € (a partir de 1 uds.)")</f>
        <v>Neto: 1,20 € (a partir de 1 uds.)</v>
      </c>
    </row>
    <row r="504">
      <c r="A504" s="4" t="str">
        <f>IFERROR(__xludf.DUMMYFUNCTION("""COMPUTED_VALUE"""),"383")</f>
        <v>383</v>
      </c>
      <c r="B504" s="4" t="str">
        <f>IFERROR(__xludf.DUMMYFUNCTION("""COMPUTED_VALUE"""),"Cartel PVC 40x30 Estrechamiento calzada por la izq.")</f>
        <v>Cartel PVC 40x30 Estrechamiento calzada por la izq.</v>
      </c>
      <c r="C504" s="4">
        <f>IFERROR(__xludf.DUMMYFUNCTION("""COMPUTED_VALUE"""),2.48)</f>
        <v>2.48</v>
      </c>
      <c r="D504" s="4">
        <f>IFERROR(__xludf.DUMMYFUNCTION("""COMPUTED_VALUE"""),1.8)</f>
        <v>1.8</v>
      </c>
      <c r="E504" s="4" t="str">
        <f>IFERROR(__xludf.DUMMYFUNCTION("""COMPUTED_VALUE"""),"Neto: 1,80 € (a partir de 1 uds.)")</f>
        <v>Neto: 1,80 € (a partir de 1 uds.)</v>
      </c>
    </row>
    <row r="505">
      <c r="A505" s="4" t="str">
        <f>IFERROR(__xludf.DUMMYFUNCTION("""COMPUTED_VALUE"""),"0383P")</f>
        <v>0383P</v>
      </c>
      <c r="B505" s="4" t="str">
        <f>IFERROR(__xludf.DUMMYFUNCTION("""COMPUTED_VALUE"""),"Cartel PVC 21x29 ESTRECHAMIENTO CALZADA POR IZQ.")</f>
        <v>Cartel PVC 21x29 ESTRECHAMIENTO CALZADA POR IZQ.</v>
      </c>
      <c r="C505" s="4">
        <f>IFERROR(__xludf.DUMMYFUNCTION("""COMPUTED_VALUE"""),1.6)</f>
        <v>1.6</v>
      </c>
      <c r="D505" s="4">
        <f>IFERROR(__xludf.DUMMYFUNCTION("""COMPUTED_VALUE"""),1.2)</f>
        <v>1.2</v>
      </c>
      <c r="E505" s="4" t="str">
        <f>IFERROR(__xludf.DUMMYFUNCTION("""COMPUTED_VALUE"""),"Neto: 1,20 € (a partir de 1 uds.)")</f>
        <v>Neto: 1,20 € (a partir de 1 uds.)</v>
      </c>
    </row>
    <row r="506">
      <c r="A506" s="4" t="str">
        <f>IFERROR(__xludf.DUMMYFUNCTION("""COMPUTED_VALUE"""),"384")</f>
        <v>384</v>
      </c>
      <c r="B506" s="4" t="str">
        <f>IFERROR(__xludf.DUMMYFUNCTION("""COMPUTED_VALUE"""),"Cartel PVC 40x30 Peligro cable suspendido")</f>
        <v>Cartel PVC 40x30 Peligro cable suspendido</v>
      </c>
      <c r="C506" s="4">
        <f>IFERROR(__xludf.DUMMYFUNCTION("""COMPUTED_VALUE"""),2.48)</f>
        <v>2.48</v>
      </c>
      <c r="D506" s="4">
        <f>IFERROR(__xludf.DUMMYFUNCTION("""COMPUTED_VALUE"""),1.8)</f>
        <v>1.8</v>
      </c>
      <c r="E506" s="4" t="str">
        <f>IFERROR(__xludf.DUMMYFUNCTION("""COMPUTED_VALUE"""),"Neto: 1,80 € (a partir de 1 uds.)")</f>
        <v>Neto: 1,80 € (a partir de 1 uds.)</v>
      </c>
    </row>
    <row r="507">
      <c r="A507" s="4" t="str">
        <f>IFERROR(__xludf.DUMMYFUNCTION("""COMPUTED_VALUE"""),"0384P")</f>
        <v>0384P</v>
      </c>
      <c r="B507" s="4" t="str">
        <f>IFERROR(__xludf.DUMMYFUNCTION("""COMPUTED_VALUE"""),"Cartel PVC 21x29 PELIGRO CABLE SUSPENDIDO")</f>
        <v>Cartel PVC 21x29 PELIGRO CABLE SUSPENDIDO</v>
      </c>
      <c r="C507" s="4">
        <f>IFERROR(__xludf.DUMMYFUNCTION("""COMPUTED_VALUE"""),1.6)</f>
        <v>1.6</v>
      </c>
      <c r="D507" s="4">
        <f>IFERROR(__xludf.DUMMYFUNCTION("""COMPUTED_VALUE"""),1.2)</f>
        <v>1.2</v>
      </c>
      <c r="E507" s="4" t="str">
        <f>IFERROR(__xludf.DUMMYFUNCTION("""COMPUTED_VALUE"""),"Neto: 1,20 € (a partir de 1 uds.)")</f>
        <v>Neto: 1,20 € (a partir de 1 uds.)</v>
      </c>
    </row>
    <row r="508">
      <c r="A508" s="4" t="str">
        <f>IFERROR(__xludf.DUMMYFUNCTION("""COMPUTED_VALUE"""),"385")</f>
        <v>385</v>
      </c>
      <c r="B508" s="4" t="str">
        <f>IFERROR(__xludf.DUMMYFUNCTION("""COMPUTED_VALUE"""),"Cartel PVC 40x30 Caida al mismo nivel")</f>
        <v>Cartel PVC 40x30 Caida al mismo nivel</v>
      </c>
      <c r="C508" s="4">
        <f>IFERROR(__xludf.DUMMYFUNCTION("""COMPUTED_VALUE"""),2.48)</f>
        <v>2.48</v>
      </c>
      <c r="D508" s="4">
        <f>IFERROR(__xludf.DUMMYFUNCTION("""COMPUTED_VALUE"""),1.8)</f>
        <v>1.8</v>
      </c>
      <c r="E508" s="4" t="str">
        <f>IFERROR(__xludf.DUMMYFUNCTION("""COMPUTED_VALUE"""),"Neto: 1,80 € (a partir de 1 uds.)")</f>
        <v>Neto: 1,80 € (a partir de 1 uds.)</v>
      </c>
    </row>
    <row r="509">
      <c r="A509" s="4" t="str">
        <f>IFERROR(__xludf.DUMMYFUNCTION("""COMPUTED_VALUE"""),"0385P")</f>
        <v>0385P</v>
      </c>
      <c r="B509" s="4" t="str">
        <f>IFERROR(__xludf.DUMMYFUNCTION("""COMPUTED_VALUE"""),"Cartel PVC 21x29 CAIDA AL MISMO NIVEL")</f>
        <v>Cartel PVC 21x29 CAIDA AL MISMO NIVEL</v>
      </c>
      <c r="C509" s="4">
        <f>IFERROR(__xludf.DUMMYFUNCTION("""COMPUTED_VALUE"""),1.6)</f>
        <v>1.6</v>
      </c>
      <c r="D509" s="4">
        <f>IFERROR(__xludf.DUMMYFUNCTION("""COMPUTED_VALUE"""),1.2)</f>
        <v>1.2</v>
      </c>
      <c r="E509" s="4" t="str">
        <f>IFERROR(__xludf.DUMMYFUNCTION("""COMPUTED_VALUE"""),"Neto: 1,20 € (a partir de 1 uds.)")</f>
        <v>Neto: 1,20 € (a partir de 1 uds.)</v>
      </c>
    </row>
    <row r="510">
      <c r="A510" s="4" t="str">
        <f>IFERROR(__xludf.DUMMYFUNCTION("""COMPUTED_VALUE"""),"386")</f>
        <v>386</v>
      </c>
      <c r="B510" s="4" t="str">
        <f>IFERROR(__xludf.DUMMYFUNCTION("""COMPUTED_VALUE"""),"Cartel PVC 40x30 Peligro Amianto")</f>
        <v>Cartel PVC 40x30 Peligro Amianto</v>
      </c>
      <c r="C510" s="4">
        <f>IFERROR(__xludf.DUMMYFUNCTION("""COMPUTED_VALUE"""),2.48)</f>
        <v>2.48</v>
      </c>
      <c r="D510" s="4">
        <f>IFERROR(__xludf.DUMMYFUNCTION("""COMPUTED_VALUE"""),1.8)</f>
        <v>1.8</v>
      </c>
      <c r="E510" s="4" t="str">
        <f>IFERROR(__xludf.DUMMYFUNCTION("""COMPUTED_VALUE"""),"Neto: 1,80 € (a partir de 1 uds.)")</f>
        <v>Neto: 1,80 € (a partir de 1 uds.)</v>
      </c>
    </row>
    <row r="511">
      <c r="A511" s="4" t="str">
        <f>IFERROR(__xludf.DUMMYFUNCTION("""COMPUTED_VALUE"""),"0386P")</f>
        <v>0386P</v>
      </c>
      <c r="B511" s="4" t="str">
        <f>IFERROR(__xludf.DUMMYFUNCTION("""COMPUTED_VALUE"""),"Cartel PVC 21x29 PELIGRO AMIANTO")</f>
        <v>Cartel PVC 21x29 PELIGRO AMIANTO</v>
      </c>
      <c r="C511" s="4">
        <f>IFERROR(__xludf.DUMMYFUNCTION("""COMPUTED_VALUE"""),1.6)</f>
        <v>1.6</v>
      </c>
      <c r="D511" s="4">
        <f>IFERROR(__xludf.DUMMYFUNCTION("""COMPUTED_VALUE"""),1.2)</f>
        <v>1.2</v>
      </c>
      <c r="E511" s="4" t="str">
        <f>IFERROR(__xludf.DUMMYFUNCTION("""COMPUTED_VALUE"""),"Neto: 1,20 € (a partir de 1 uds.)")</f>
        <v>Neto: 1,20 € (a partir de 1 uds.)</v>
      </c>
    </row>
    <row r="512">
      <c r="A512" s="4" t="str">
        <f>IFERROR(__xludf.DUMMYFUNCTION("""COMPUTED_VALUE"""),"387")</f>
        <v>387</v>
      </c>
      <c r="B512" s="4" t="str">
        <f>IFERROR(__xludf.DUMMYFUNCTION("""COMPUTED_VALUE"""),"Cartel PVC 40x30 Uso obligatorio de luces de cruce")</f>
        <v>Cartel PVC 40x30 Uso obligatorio de luces de cruce</v>
      </c>
      <c r="C512" s="4">
        <f>IFERROR(__xludf.DUMMYFUNCTION("""COMPUTED_VALUE"""),2.48)</f>
        <v>2.48</v>
      </c>
      <c r="D512" s="4">
        <f>IFERROR(__xludf.DUMMYFUNCTION("""COMPUTED_VALUE"""),1.8)</f>
        <v>1.8</v>
      </c>
      <c r="E512" s="4" t="str">
        <f>IFERROR(__xludf.DUMMYFUNCTION("""COMPUTED_VALUE"""),"Neto: 1,80 € (a partir de 1 uds.)")</f>
        <v>Neto: 1,80 € (a partir de 1 uds.)</v>
      </c>
    </row>
    <row r="513">
      <c r="A513" s="4" t="str">
        <f>IFERROR(__xludf.DUMMYFUNCTION("""COMPUTED_VALUE"""),"0387P")</f>
        <v>0387P</v>
      </c>
      <c r="B513" s="4" t="str">
        <f>IFERROR(__xludf.DUMMYFUNCTION("""COMPUTED_VALUE"""),"Cartel PVC 21X29 OBLIGATORIO USO DE LUCES DE")</f>
        <v>Cartel PVC 21X29 OBLIGATORIO USO DE LUCES DE</v>
      </c>
      <c r="C513" s="4">
        <f>IFERROR(__xludf.DUMMYFUNCTION("""COMPUTED_VALUE"""),1.6)</f>
        <v>1.6</v>
      </c>
      <c r="D513" s="4">
        <f>IFERROR(__xludf.DUMMYFUNCTION("""COMPUTED_VALUE"""),1.2)</f>
        <v>1.2</v>
      </c>
      <c r="E513" s="4" t="str">
        <f>IFERROR(__xludf.DUMMYFUNCTION("""COMPUTED_VALUE"""),"Neto: 1,20 € (a partir de 1 uds.)")</f>
        <v>Neto: 1,20 € (a partir de 1 uds.)</v>
      </c>
    </row>
    <row r="514">
      <c r="A514" s="4" t="str">
        <f>IFERROR(__xludf.DUMMYFUNCTION("""COMPUTED_VALUE"""),"388")</f>
        <v>388</v>
      </c>
      <c r="B514" s="4" t="str">
        <f>IFERROR(__xludf.DUMMYFUNCTION("""COMPUTED_VALUE"""),"Cartel PVC 40x30 Uso obligatorio de chaleco alta visibilidad")</f>
        <v>Cartel PVC 40x30 Uso obligatorio de chaleco alta visibilidad</v>
      </c>
      <c r="C514" s="4">
        <f>IFERROR(__xludf.DUMMYFUNCTION("""COMPUTED_VALUE"""),2.48)</f>
        <v>2.48</v>
      </c>
      <c r="D514" s="4">
        <f>IFERROR(__xludf.DUMMYFUNCTION("""COMPUTED_VALUE"""),1.8)</f>
        <v>1.8</v>
      </c>
      <c r="E514" s="4" t="str">
        <f>IFERROR(__xludf.DUMMYFUNCTION("""COMPUTED_VALUE"""),"Neto: 1,80 € (a partir de 1 uds.)")</f>
        <v>Neto: 1,80 € (a partir de 1 uds.)</v>
      </c>
    </row>
    <row r="515">
      <c r="A515" s="4" t="str">
        <f>IFERROR(__xludf.DUMMYFUNCTION("""COMPUTED_VALUE"""),"0388P")</f>
        <v>0388P</v>
      </c>
      <c r="B515" s="4" t="str">
        <f>IFERROR(__xludf.DUMMYFUNCTION("""COMPUTED_VALUE"""),"Cartel PVC 21x29 OBLIGATORIO EL USO CHALECO ALTA")</f>
        <v>Cartel PVC 21x29 OBLIGATORIO EL USO CHALECO ALTA</v>
      </c>
      <c r="C515" s="4">
        <f>IFERROR(__xludf.DUMMYFUNCTION("""COMPUTED_VALUE"""),1.6)</f>
        <v>1.6</v>
      </c>
      <c r="D515" s="4">
        <f>IFERROR(__xludf.DUMMYFUNCTION("""COMPUTED_VALUE"""),1.2)</f>
        <v>1.2</v>
      </c>
      <c r="E515" s="4" t="str">
        <f>IFERROR(__xludf.DUMMYFUNCTION("""COMPUTED_VALUE"""),"Neto: 1,20 € (a partir de 1 uds.)")</f>
        <v>Neto: 1,20 € (a partir de 1 uds.)</v>
      </c>
    </row>
    <row r="516">
      <c r="A516" s="4" t="str">
        <f>IFERROR(__xludf.DUMMYFUNCTION("""COMPUTED_VALUE"""),"389")</f>
        <v>389</v>
      </c>
      <c r="B516" s="4" t="str">
        <f>IFERROR(__xludf.DUMMYFUNCTION("""COMPUTED_VALUE"""),"Cartel 50x70 cm c/ojales CALLE CORTADA POR OBRAS (o")</f>
        <v>Cartel 50x70 cm c/ojales CALLE CORTADA POR OBRAS (o</v>
      </c>
      <c r="C516" s="4">
        <f>IFERROR(__xludf.DUMMYFUNCTION("""COMPUTED_VALUE"""),9.97)</f>
        <v>9.97</v>
      </c>
      <c r="D516" s="4"/>
      <c r="E516" s="4" t="str">
        <f>IFERROR(__xludf.DUMMYFUNCTION("""COMPUTED_VALUE"""),"Sin precio neto")</f>
        <v>Sin precio neto</v>
      </c>
    </row>
    <row r="517">
      <c r="A517" s="4" t="str">
        <f>IFERROR(__xludf.DUMMYFUNCTION("""COMPUTED_VALUE"""),"390")</f>
        <v>390</v>
      </c>
      <c r="B517" s="4" t="str">
        <f>IFERROR(__xludf.DUMMYFUNCTION("""COMPUTED_VALUE"""),"Cartel PVC 50x70 Combinado")</f>
        <v>Cartel PVC 50x70 Combinado</v>
      </c>
      <c r="C517" s="4">
        <f>IFERROR(__xludf.DUMMYFUNCTION("""COMPUTED_VALUE"""),5.45)</f>
        <v>5.45</v>
      </c>
      <c r="D517" s="4">
        <f>IFERROR(__xludf.DUMMYFUNCTION("""COMPUTED_VALUE"""),5.5)</f>
        <v>5.5</v>
      </c>
      <c r="E517" s="4" t="str">
        <f>IFERROR(__xludf.DUMMYFUNCTION("""COMPUTED_VALUE"""),"Neto: 5,50 € (a partir de 50 uds.)")</f>
        <v>Neto: 5,50 € (a partir de 50 uds.)</v>
      </c>
    </row>
    <row r="518">
      <c r="A518" s="4" t="str">
        <f>IFERROR(__xludf.DUMMYFUNCTION("""COMPUTED_VALUE"""),"0390PA")</f>
        <v>0390PA</v>
      </c>
      <c r="B518" s="4" t="str">
        <f>IFERROR(__xludf.DUMMYFUNCTION("""COMPUTED_VALUE"""),"Cartel Poliet. 50x70 PROHIBIDO APARCAR CON HORARIO")</f>
        <v>Cartel Poliet. 50x70 PROHIBIDO APARCAR CON HORARIO</v>
      </c>
      <c r="C518" s="4">
        <f>IFERROR(__xludf.DUMMYFUNCTION("""COMPUTED_VALUE"""),7.0)</f>
        <v>7</v>
      </c>
      <c r="D518" s="4"/>
      <c r="E518" s="4" t="str">
        <f>IFERROR(__xludf.DUMMYFUNCTION("""COMPUTED_VALUE"""),"Sin precio neto")</f>
        <v>Sin precio neto</v>
      </c>
    </row>
    <row r="519">
      <c r="A519" s="4" t="str">
        <f>IFERROR(__xludf.DUMMYFUNCTION("""COMPUTED_VALUE"""),"391")</f>
        <v>391</v>
      </c>
      <c r="B519" s="4" t="str">
        <f>IFERROR(__xludf.DUMMYFUNCTION("""COMPUTED_VALUE"""),"Señal PVC suelo plegable")</f>
        <v>Señal PVC suelo plegable</v>
      </c>
      <c r="C519" s="4">
        <f>IFERROR(__xludf.DUMMYFUNCTION("""COMPUTED_VALUE"""),5.95)</f>
        <v>5.95</v>
      </c>
      <c r="D519" s="4">
        <f>IFERROR(__xludf.DUMMYFUNCTION("""COMPUTED_VALUE"""),5.5)</f>
        <v>5.5</v>
      </c>
      <c r="E519" s="4" t="str">
        <f>IFERROR(__xludf.DUMMYFUNCTION("""COMPUTED_VALUE"""),"Neto: 5,50 € (a partir de 10 uds.)")</f>
        <v>Neto: 5,50 € (a partir de 10 uds.)</v>
      </c>
    </row>
    <row r="520">
      <c r="A520" s="4" t="str">
        <f>IFERROR(__xludf.DUMMYFUNCTION("""COMPUTED_VALUE"""),"0391P")</f>
        <v>0391P</v>
      </c>
      <c r="B520" s="4" t="str">
        <f>IFERROR(__xludf.DUMMYFUNCTION("""COMPUTED_VALUE"""),"Caballete plegable amarillo señalizacion personalizado")</f>
        <v>Caballete plegable amarillo señalizacion personalizado</v>
      </c>
      <c r="C520" s="4">
        <f>IFERROR(__xludf.DUMMYFUNCTION("""COMPUTED_VALUE"""),9.0)</f>
        <v>9</v>
      </c>
      <c r="D520" s="4"/>
      <c r="E520" s="4" t="str">
        <f>IFERROR(__xludf.DUMMYFUNCTION("""COMPUTED_VALUE"""),"Sin precio neto")</f>
        <v>Sin precio neto</v>
      </c>
    </row>
    <row r="521">
      <c r="A521" s="4" t="str">
        <f>IFERROR(__xludf.DUMMYFUNCTION("""COMPUTED_VALUE"""),"392")</f>
        <v>392</v>
      </c>
      <c r="B521" s="4" t="str">
        <f>IFERROR(__xludf.DUMMYFUNCTION("""COMPUTED_VALUE"""),"Cartel PVC 40x30 Limite vel. 10")</f>
        <v>Cartel PVC 40x30 Limite vel. 10</v>
      </c>
      <c r="C521" s="4">
        <f>IFERROR(__xludf.DUMMYFUNCTION("""COMPUTED_VALUE"""),2.48)</f>
        <v>2.48</v>
      </c>
      <c r="D521" s="4">
        <f>IFERROR(__xludf.DUMMYFUNCTION("""COMPUTED_VALUE"""),1.8)</f>
        <v>1.8</v>
      </c>
      <c r="E521" s="4" t="str">
        <f>IFERROR(__xludf.DUMMYFUNCTION("""COMPUTED_VALUE"""),"Neto: 1,80 € (a partir de 1 uds.)")</f>
        <v>Neto: 1,80 € (a partir de 1 uds.)</v>
      </c>
    </row>
    <row r="522">
      <c r="A522" s="4" t="str">
        <f>IFERROR(__xludf.DUMMYFUNCTION("""COMPUTED_VALUE"""),"0392P")</f>
        <v>0392P</v>
      </c>
      <c r="B522" s="4" t="str">
        <f>IFERROR(__xludf.DUMMYFUNCTION("""COMPUTED_VALUE"""),"Cartel PVC 21x29 VELOCIDAD MAXIMA 10")</f>
        <v>Cartel PVC 21x29 VELOCIDAD MAXIMA 10</v>
      </c>
      <c r="C522" s="4">
        <f>IFERROR(__xludf.DUMMYFUNCTION("""COMPUTED_VALUE"""),1.6)</f>
        <v>1.6</v>
      </c>
      <c r="D522" s="4">
        <f>IFERROR(__xludf.DUMMYFUNCTION("""COMPUTED_VALUE"""),1.2)</f>
        <v>1.2</v>
      </c>
      <c r="E522" s="4" t="str">
        <f>IFERROR(__xludf.DUMMYFUNCTION("""COMPUTED_VALUE"""),"Neto: 1,20 € (a partir de 1 uds.)")</f>
        <v>Neto: 1,20 € (a partir de 1 uds.)</v>
      </c>
    </row>
    <row r="523">
      <c r="A523" s="4" t="str">
        <f>IFERROR(__xludf.DUMMYFUNCTION("""COMPUTED_VALUE"""),"393")</f>
        <v>393</v>
      </c>
      <c r="B523" s="4" t="str">
        <f>IFERROR(__xludf.DUMMYFUNCTION("""COMPUTED_VALUE"""),"Cartel PVC 40x30 Limite vel. 20")</f>
        <v>Cartel PVC 40x30 Limite vel. 20</v>
      </c>
      <c r="C523" s="4">
        <f>IFERROR(__xludf.DUMMYFUNCTION("""COMPUTED_VALUE"""),2.48)</f>
        <v>2.48</v>
      </c>
      <c r="D523" s="4">
        <f>IFERROR(__xludf.DUMMYFUNCTION("""COMPUTED_VALUE"""),1.8)</f>
        <v>1.8</v>
      </c>
      <c r="E523" s="4" t="str">
        <f>IFERROR(__xludf.DUMMYFUNCTION("""COMPUTED_VALUE"""),"Neto: 1,80 € (a partir de 1 uds.)")</f>
        <v>Neto: 1,80 € (a partir de 1 uds.)</v>
      </c>
    </row>
    <row r="524">
      <c r="A524" s="4" t="str">
        <f>IFERROR(__xludf.DUMMYFUNCTION("""COMPUTED_VALUE"""),"0393P")</f>
        <v>0393P</v>
      </c>
      <c r="B524" s="4" t="str">
        <f>IFERROR(__xludf.DUMMYFUNCTION("""COMPUTED_VALUE"""),"Cartel PVC 21x29 VELOCIDAD MAXIMA 20")</f>
        <v>Cartel PVC 21x29 VELOCIDAD MAXIMA 20</v>
      </c>
      <c r="C524" s="4">
        <f>IFERROR(__xludf.DUMMYFUNCTION("""COMPUTED_VALUE"""),1.6)</f>
        <v>1.6</v>
      </c>
      <c r="D524" s="4">
        <f>IFERROR(__xludf.DUMMYFUNCTION("""COMPUTED_VALUE"""),1.2)</f>
        <v>1.2</v>
      </c>
      <c r="E524" s="4" t="str">
        <f>IFERROR(__xludf.DUMMYFUNCTION("""COMPUTED_VALUE"""),"Neto: 1,20 € (a partir de 1 uds.)")</f>
        <v>Neto: 1,20 € (a partir de 1 uds.)</v>
      </c>
    </row>
    <row r="525">
      <c r="A525" s="4" t="str">
        <f>IFERROR(__xludf.DUMMYFUNCTION("""COMPUTED_VALUE"""),"394")</f>
        <v>394</v>
      </c>
      <c r="B525" s="4" t="str">
        <f>IFERROR(__xludf.DUMMYFUNCTION("""COMPUTED_VALUE"""),"Cartel PVC 40x30 Limite vel. 30")</f>
        <v>Cartel PVC 40x30 Limite vel. 30</v>
      </c>
      <c r="C525" s="4">
        <f>IFERROR(__xludf.DUMMYFUNCTION("""COMPUTED_VALUE"""),2.48)</f>
        <v>2.48</v>
      </c>
      <c r="D525" s="4">
        <f>IFERROR(__xludf.DUMMYFUNCTION("""COMPUTED_VALUE"""),1.8)</f>
        <v>1.8</v>
      </c>
      <c r="E525" s="4" t="str">
        <f>IFERROR(__xludf.DUMMYFUNCTION("""COMPUTED_VALUE"""),"Neto: 1,80 € (a partir de 1 uds.)")</f>
        <v>Neto: 1,80 € (a partir de 1 uds.)</v>
      </c>
    </row>
    <row r="526">
      <c r="A526" s="4" t="str">
        <f>IFERROR(__xludf.DUMMYFUNCTION("""COMPUTED_VALUE"""),"0394P")</f>
        <v>0394P</v>
      </c>
      <c r="B526" s="4" t="str">
        <f>IFERROR(__xludf.DUMMYFUNCTION("""COMPUTED_VALUE"""),"Cartel PVC 21x29 VELOCIDAD MAXIMA 30")</f>
        <v>Cartel PVC 21x29 VELOCIDAD MAXIMA 30</v>
      </c>
      <c r="C526" s="4">
        <f>IFERROR(__xludf.DUMMYFUNCTION("""COMPUTED_VALUE"""),1.6)</f>
        <v>1.6</v>
      </c>
      <c r="D526" s="4">
        <f>IFERROR(__xludf.DUMMYFUNCTION("""COMPUTED_VALUE"""),1.2)</f>
        <v>1.2</v>
      </c>
      <c r="E526" s="4" t="str">
        <f>IFERROR(__xludf.DUMMYFUNCTION("""COMPUTED_VALUE"""),"Neto: 1,20 € (a partir de 1 uds.)")</f>
        <v>Neto: 1,20 € (a partir de 1 uds.)</v>
      </c>
    </row>
    <row r="527">
      <c r="A527" s="4" t="str">
        <f>IFERROR(__xludf.DUMMYFUNCTION("""COMPUTED_VALUE"""),"395")</f>
        <v>395</v>
      </c>
      <c r="B527" s="4" t="str">
        <f>IFERROR(__xludf.DUMMYFUNCTION("""COMPUTED_VALUE"""),"Cartel PVC 40x30 Limite vel. 40")</f>
        <v>Cartel PVC 40x30 Limite vel. 40</v>
      </c>
      <c r="C527" s="4">
        <f>IFERROR(__xludf.DUMMYFUNCTION("""COMPUTED_VALUE"""),2.48)</f>
        <v>2.48</v>
      </c>
      <c r="D527" s="4">
        <f>IFERROR(__xludf.DUMMYFUNCTION("""COMPUTED_VALUE"""),1.8)</f>
        <v>1.8</v>
      </c>
      <c r="E527" s="4" t="str">
        <f>IFERROR(__xludf.DUMMYFUNCTION("""COMPUTED_VALUE"""),"Neto: 1,80 € (a partir de 1 uds.)")</f>
        <v>Neto: 1,80 € (a partir de 1 uds.)</v>
      </c>
    </row>
    <row r="528">
      <c r="A528" s="4" t="str">
        <f>IFERROR(__xludf.DUMMYFUNCTION("""COMPUTED_VALUE"""),"0395P")</f>
        <v>0395P</v>
      </c>
      <c r="B528" s="4" t="str">
        <f>IFERROR(__xludf.DUMMYFUNCTION("""COMPUTED_VALUE"""),"Cartel PVC 21x29 VELOCIDAD MAXIMA 40")</f>
        <v>Cartel PVC 21x29 VELOCIDAD MAXIMA 40</v>
      </c>
      <c r="C528" s="4">
        <f>IFERROR(__xludf.DUMMYFUNCTION("""COMPUTED_VALUE"""),1.6)</f>
        <v>1.6</v>
      </c>
      <c r="D528" s="4">
        <f>IFERROR(__xludf.DUMMYFUNCTION("""COMPUTED_VALUE"""),1.2)</f>
        <v>1.2</v>
      </c>
      <c r="E528" s="4" t="str">
        <f>IFERROR(__xludf.DUMMYFUNCTION("""COMPUTED_VALUE"""),"Neto: 1,20 € (a partir de 1 uds.)")</f>
        <v>Neto: 1,20 € (a partir de 1 uds.)</v>
      </c>
    </row>
    <row r="529">
      <c r="A529" s="4" t="str">
        <f>IFERROR(__xludf.DUMMYFUNCTION("""COMPUTED_VALUE"""),"396")</f>
        <v>396</v>
      </c>
      <c r="B529" s="4" t="str">
        <f>IFERROR(__xludf.DUMMYFUNCTION("""COMPUTED_VALUE"""),"Cartel PVC 21x29 Fotolum. Columna movil extinción")</f>
        <v>Cartel PVC 21x29 Fotolum. Columna movil extinción</v>
      </c>
      <c r="C529" s="4">
        <f>IFERROR(__xludf.DUMMYFUNCTION("""COMPUTED_VALUE"""),2.6)</f>
        <v>2.6</v>
      </c>
      <c r="D529" s="4">
        <f>IFERROR(__xludf.DUMMYFUNCTION("""COMPUTED_VALUE"""),2.1)</f>
        <v>2.1</v>
      </c>
      <c r="E529" s="4" t="str">
        <f>IFERROR(__xludf.DUMMYFUNCTION("""COMPUTED_VALUE"""),"Neto: 2,10 € (a partir de 1 uds.)")</f>
        <v>Neto: 2,10 € (a partir de 1 uds.)</v>
      </c>
    </row>
    <row r="530">
      <c r="A530" s="4" t="str">
        <f>IFERROR(__xludf.DUMMYFUNCTION("""COMPUTED_VALUE"""),"0396A")</f>
        <v>0396A</v>
      </c>
      <c r="B530" s="4" t="str">
        <f>IFERROR(__xludf.DUMMYFUNCTION("""COMPUTED_VALUE"""),"Cartel PVC 21x30 Fotolum. Carro extintor")</f>
        <v>Cartel PVC 21x30 Fotolum. Carro extintor</v>
      </c>
      <c r="C530" s="4">
        <f>IFERROR(__xludf.DUMMYFUNCTION("""COMPUTED_VALUE"""),2.52)</f>
        <v>2.52</v>
      </c>
      <c r="D530" s="4">
        <f>IFERROR(__xludf.DUMMYFUNCTION("""COMPUTED_VALUE"""),2.1)</f>
        <v>2.1</v>
      </c>
      <c r="E530" s="4" t="str">
        <f>IFERROR(__xludf.DUMMYFUNCTION("""COMPUTED_VALUE"""),"Neto: 2,10 € (a partir de 1 uds.)")</f>
        <v>Neto: 2,10 € (a partir de 1 uds.)</v>
      </c>
    </row>
    <row r="531">
      <c r="A531" s="4" t="str">
        <f>IFERROR(__xludf.DUMMYFUNCTION("""COMPUTED_VALUE"""),"0396B")</f>
        <v>0396B</v>
      </c>
      <c r="B531" s="4" t="str">
        <f>IFERROR(__xludf.DUMMYFUNCTION("""COMPUTED_VALUE"""),"Cartel PVC 40x30 Fotolum. Carro extintor")</f>
        <v>Cartel PVC 40x30 Fotolum. Carro extintor</v>
      </c>
      <c r="C531" s="4">
        <f>IFERROR(__xludf.DUMMYFUNCTION("""COMPUTED_VALUE"""),3.1)</f>
        <v>3.1</v>
      </c>
      <c r="D531" s="4">
        <f>IFERROR(__xludf.DUMMYFUNCTION("""COMPUTED_VALUE"""),3.2)</f>
        <v>3.2</v>
      </c>
      <c r="E531" s="4" t="str">
        <f>IFERROR(__xludf.DUMMYFUNCTION("""COMPUTED_VALUE"""),"Neto: 3,20 € (a partir de 1 uds.)")</f>
        <v>Neto: 3,20 € (a partir de 1 uds.)</v>
      </c>
    </row>
    <row r="532">
      <c r="A532" s="4" t="str">
        <f>IFERROR(__xludf.DUMMYFUNCTION("""COMPUTED_VALUE"""),"397")</f>
        <v>397</v>
      </c>
      <c r="B532" s="4" t="str">
        <f>IFERROR(__xludf.DUMMYFUNCTION("""COMPUTED_VALUE"""),"Cartel PVC 21x29 Fotolum. Sin salida")</f>
        <v>Cartel PVC 21x29 Fotolum. Sin salida</v>
      </c>
      <c r="C532" s="4">
        <f>IFERROR(__xludf.DUMMYFUNCTION("""COMPUTED_VALUE"""),2.6)</f>
        <v>2.6</v>
      </c>
      <c r="D532" s="4">
        <f>IFERROR(__xludf.DUMMYFUNCTION("""COMPUTED_VALUE"""),2.1)</f>
        <v>2.1</v>
      </c>
      <c r="E532" s="4" t="str">
        <f>IFERROR(__xludf.DUMMYFUNCTION("""COMPUTED_VALUE"""),"Neto: 2,10 € (a partir de 1 uds.)")</f>
        <v>Neto: 2,10 € (a partir de 1 uds.)</v>
      </c>
    </row>
    <row r="533">
      <c r="A533" s="4" t="str">
        <f>IFERROR(__xludf.DUMMYFUNCTION("""COMPUTED_VALUE"""),"0397A")</f>
        <v>0397A</v>
      </c>
      <c r="B533" s="4" t="str">
        <f>IFERROR(__xludf.DUMMYFUNCTION("""COMPUTED_VALUE"""),"Cartel PVC 32x16 Fotolum. Sin Salida")</f>
        <v>Cartel PVC 32x16 Fotolum. Sin Salida</v>
      </c>
      <c r="C533" s="4">
        <f>IFERROR(__xludf.DUMMYFUNCTION("""COMPUTED_VALUE"""),2.25)</f>
        <v>2.25</v>
      </c>
      <c r="D533" s="4"/>
      <c r="E533" s="4" t="str">
        <f>IFERROR(__xludf.DUMMYFUNCTION("""COMPUTED_VALUE"""),"Sin precio neto")</f>
        <v>Sin precio neto</v>
      </c>
    </row>
    <row r="534">
      <c r="A534" s="4" t="str">
        <f>IFERROR(__xludf.DUMMYFUNCTION("""COMPUTED_VALUE"""),"0397B")</f>
        <v>0397B</v>
      </c>
      <c r="B534" s="4" t="str">
        <f>IFERROR(__xludf.DUMMYFUNCTION("""COMPUTED_VALUE"""),"Cartel PVC 64x32 Fotolum. Sin Salida")</f>
        <v>Cartel PVC 64x32 Fotolum. Sin Salida</v>
      </c>
      <c r="C534" s="4">
        <f>IFERROR(__xludf.DUMMYFUNCTION("""COMPUTED_VALUE"""),4.48)</f>
        <v>4.48</v>
      </c>
      <c r="D534" s="4"/>
      <c r="E534" s="4" t="str">
        <f>IFERROR(__xludf.DUMMYFUNCTION("""COMPUTED_VALUE"""),"Sin precio neto")</f>
        <v>Sin precio neto</v>
      </c>
    </row>
    <row r="535">
      <c r="A535" s="4" t="str">
        <f>IFERROR(__xludf.DUMMYFUNCTION("""COMPUTED_VALUE"""),"0397C")</f>
        <v>0397C</v>
      </c>
      <c r="B535" s="4" t="str">
        <f>IFERROR(__xludf.DUMMYFUNCTION("""COMPUTED_VALUE"""),"Cartel PVC 96x48 Fotolum. Sin Salida")</f>
        <v>Cartel PVC 96x48 Fotolum. Sin Salida</v>
      </c>
      <c r="C535" s="4">
        <f>IFERROR(__xludf.DUMMYFUNCTION("""COMPUTED_VALUE"""),8.99)</f>
        <v>8.99</v>
      </c>
      <c r="D535" s="4"/>
      <c r="E535" s="4" t="str">
        <f>IFERROR(__xludf.DUMMYFUNCTION("""COMPUTED_VALUE"""),"Sin precio neto")</f>
        <v>Sin precio neto</v>
      </c>
    </row>
    <row r="536">
      <c r="A536" s="4" t="str">
        <f>IFERROR(__xludf.DUMMYFUNCTION("""COMPUTED_VALUE"""),"398")</f>
        <v>398</v>
      </c>
      <c r="B536" s="4" t="str">
        <f>IFERROR(__xludf.DUMMYFUNCTION("""COMPUTED_VALUE"""),"Cartel PVC 21x29 Fotolum. Flecha")</f>
        <v>Cartel PVC 21x29 Fotolum. Flecha</v>
      </c>
      <c r="C536" s="4">
        <f>IFERROR(__xludf.DUMMYFUNCTION("""COMPUTED_VALUE"""),2.6)</f>
        <v>2.6</v>
      </c>
      <c r="D536" s="4">
        <f>IFERROR(__xludf.DUMMYFUNCTION("""COMPUTED_VALUE"""),2.1)</f>
        <v>2.1</v>
      </c>
      <c r="E536" s="4" t="str">
        <f>IFERROR(__xludf.DUMMYFUNCTION("""COMPUTED_VALUE"""),"Neto: 2,10 € (a partir de 1 uds.)")</f>
        <v>Neto: 2,10 € (a partir de 1 uds.)</v>
      </c>
    </row>
    <row r="537">
      <c r="A537" s="4" t="str">
        <f>IFERROR(__xludf.DUMMYFUNCTION("""COMPUTED_VALUE"""),"0398DA")</f>
        <v>0398DA</v>
      </c>
      <c r="B537" s="4" t="str">
        <f>IFERROR(__xludf.DUMMYFUNCTION("""COMPUTED_VALUE"""),"Cartel PVC 32x16 Fotolum. Flecha derecha")</f>
        <v>Cartel PVC 32x16 Fotolum. Flecha derecha</v>
      </c>
      <c r="C537" s="4">
        <f>IFERROR(__xludf.DUMMYFUNCTION("""COMPUTED_VALUE"""),2.25)</f>
        <v>2.25</v>
      </c>
      <c r="D537" s="4"/>
      <c r="E537" s="4" t="str">
        <f>IFERROR(__xludf.DUMMYFUNCTION("""COMPUTED_VALUE"""),"Sin precio neto")</f>
        <v>Sin precio neto</v>
      </c>
    </row>
    <row r="538">
      <c r="A538" s="4" t="str">
        <f>IFERROR(__xludf.DUMMYFUNCTION("""COMPUTED_VALUE"""),"0398DB")</f>
        <v>0398DB</v>
      </c>
      <c r="B538" s="4" t="str">
        <f>IFERROR(__xludf.DUMMYFUNCTION("""COMPUTED_VALUE"""),"Cartel PVC 64x32 Fotolum. Flecha derecha")</f>
        <v>Cartel PVC 64x32 Fotolum. Flecha derecha</v>
      </c>
      <c r="C538" s="4">
        <f>IFERROR(__xludf.DUMMYFUNCTION("""COMPUTED_VALUE"""),4.48)</f>
        <v>4.48</v>
      </c>
      <c r="D538" s="4"/>
      <c r="E538" s="4" t="str">
        <f>IFERROR(__xludf.DUMMYFUNCTION("""COMPUTED_VALUE"""),"Sin precio neto")</f>
        <v>Sin precio neto</v>
      </c>
    </row>
    <row r="539">
      <c r="A539" s="4" t="str">
        <f>IFERROR(__xludf.DUMMYFUNCTION("""COMPUTED_VALUE"""),"0398DC")</f>
        <v>0398DC</v>
      </c>
      <c r="B539" s="4" t="str">
        <f>IFERROR(__xludf.DUMMYFUNCTION("""COMPUTED_VALUE"""),"Cartel PVC 96x48 Fotolum. Flecha derecha")</f>
        <v>Cartel PVC 96x48 Fotolum. Flecha derecha</v>
      </c>
      <c r="C539" s="4">
        <f>IFERROR(__xludf.DUMMYFUNCTION("""COMPUTED_VALUE"""),8.96)</f>
        <v>8.96</v>
      </c>
      <c r="D539" s="4"/>
      <c r="E539" s="4" t="str">
        <f>IFERROR(__xludf.DUMMYFUNCTION("""COMPUTED_VALUE"""),"Sin precio neto")</f>
        <v>Sin precio neto</v>
      </c>
    </row>
    <row r="540">
      <c r="A540" s="4" t="str">
        <f>IFERROR(__xludf.DUMMYFUNCTION("""COMPUTED_VALUE"""),"0398IA")</f>
        <v>0398IA</v>
      </c>
      <c r="B540" s="4" t="str">
        <f>IFERROR(__xludf.DUMMYFUNCTION("""COMPUTED_VALUE"""),"Cartel PVC 32x16 Fotolum. Flecha izquierda")</f>
        <v>Cartel PVC 32x16 Fotolum. Flecha izquierda</v>
      </c>
      <c r="C540" s="4">
        <f>IFERROR(__xludf.DUMMYFUNCTION("""COMPUTED_VALUE"""),2.25)</f>
        <v>2.25</v>
      </c>
      <c r="D540" s="4"/>
      <c r="E540" s="4" t="str">
        <f>IFERROR(__xludf.DUMMYFUNCTION("""COMPUTED_VALUE"""),"Sin precio neto")</f>
        <v>Sin precio neto</v>
      </c>
    </row>
    <row r="541">
      <c r="A541" s="4" t="str">
        <f>IFERROR(__xludf.DUMMYFUNCTION("""COMPUTED_VALUE"""),"0398IB")</f>
        <v>0398IB</v>
      </c>
      <c r="B541" s="4" t="str">
        <f>IFERROR(__xludf.DUMMYFUNCTION("""COMPUTED_VALUE"""),"Cartel PVC 64x32 Fotolum. Flecha derecha")</f>
        <v>Cartel PVC 64x32 Fotolum. Flecha derecha</v>
      </c>
      <c r="C541" s="4">
        <f>IFERROR(__xludf.DUMMYFUNCTION("""COMPUTED_VALUE"""),4.48)</f>
        <v>4.48</v>
      </c>
      <c r="D541" s="4"/>
      <c r="E541" s="4" t="str">
        <f>IFERROR(__xludf.DUMMYFUNCTION("""COMPUTED_VALUE"""),"Sin precio neto")</f>
        <v>Sin precio neto</v>
      </c>
    </row>
    <row r="542">
      <c r="A542" s="4" t="str">
        <f>IFERROR(__xludf.DUMMYFUNCTION("""COMPUTED_VALUE"""),"0398IC")</f>
        <v>0398IC</v>
      </c>
      <c r="B542" s="4" t="str">
        <f>IFERROR(__xludf.DUMMYFUNCTION("""COMPUTED_VALUE"""),"Cartel PVC 96x48 Fotolum. Flecha derecha")</f>
        <v>Cartel PVC 96x48 Fotolum. Flecha derecha</v>
      </c>
      <c r="C542" s="4">
        <f>IFERROR(__xludf.DUMMYFUNCTION("""COMPUTED_VALUE"""),8.96)</f>
        <v>8.96</v>
      </c>
      <c r="D542" s="4"/>
      <c r="E542" s="4" t="str">
        <f>IFERROR(__xludf.DUMMYFUNCTION("""COMPUTED_VALUE"""),"Sin precio neto")</f>
        <v>Sin precio neto</v>
      </c>
    </row>
    <row r="543">
      <c r="A543" s="4" t="str">
        <f>IFERROR(__xludf.DUMMYFUNCTION("""COMPUTED_VALUE"""),"399")</f>
        <v>399</v>
      </c>
      <c r="B543" s="4" t="str">
        <f>IFERROR(__xludf.DUMMYFUNCTION("""COMPUTED_VALUE"""),"Cartel PVC 40x30 Calle cortada por obra")</f>
        <v>Cartel PVC 40x30 Calle cortada por obra</v>
      </c>
      <c r="C543" s="4">
        <f>IFERROR(__xludf.DUMMYFUNCTION("""COMPUTED_VALUE"""),2.48)</f>
        <v>2.48</v>
      </c>
      <c r="D543" s="4">
        <f>IFERROR(__xludf.DUMMYFUNCTION("""COMPUTED_VALUE"""),1.8)</f>
        <v>1.8</v>
      </c>
      <c r="E543" s="4" t="str">
        <f>IFERROR(__xludf.DUMMYFUNCTION("""COMPUTED_VALUE"""),"Neto: 1,80 € (a partir de 1 uds.)")</f>
        <v>Neto: 1,80 € (a partir de 1 uds.)</v>
      </c>
    </row>
    <row r="544">
      <c r="A544" s="4" t="str">
        <f>IFERROR(__xludf.DUMMYFUNCTION("""COMPUTED_VALUE"""),"400")</f>
        <v>400</v>
      </c>
      <c r="B544" s="4" t="str">
        <f>IFERROR(__xludf.DUMMYFUNCTION("""COMPUTED_VALUE"""),"Bolsa negra perforada cubre señales trafico")</f>
        <v>Bolsa negra perforada cubre señales trafico</v>
      </c>
      <c r="C544" s="4">
        <f>IFERROR(__xludf.DUMMYFUNCTION("""COMPUTED_VALUE"""),1.7)</f>
        <v>1.7</v>
      </c>
      <c r="D544" s="4">
        <f>IFERROR(__xludf.DUMMYFUNCTION("""COMPUTED_VALUE"""),1.0)</f>
        <v>1</v>
      </c>
      <c r="E544" s="4" t="str">
        <f>IFERROR(__xludf.DUMMYFUNCTION("""COMPUTED_VALUE"""),"Neto: 1,00 € (a partir de 25 uds.)")</f>
        <v>Neto: 1,00 € (a partir de 25 uds.)</v>
      </c>
    </row>
    <row r="545">
      <c r="A545" s="4" t="str">
        <f>IFERROR(__xludf.DUMMYFUNCTION("""COMPUTED_VALUE"""),"401")</f>
        <v>401</v>
      </c>
      <c r="B545" s="4" t="str">
        <f>IFERROR(__xludf.DUMMYFUNCTION("""COMPUTED_VALUE"""),"Se¤al Bolsa de plastico nº1 DIRECION PROHIB.")</f>
        <v>Se¤al Bolsa de plastico nº1 DIRECION PROHIB.</v>
      </c>
      <c r="C545" s="4">
        <f>IFERROR(__xludf.DUMMYFUNCTION("""COMPUTED_VALUE"""),1.7)</f>
        <v>1.7</v>
      </c>
      <c r="D545" s="4">
        <f>IFERROR(__xludf.DUMMYFUNCTION("""COMPUTED_VALUE"""),1.0)</f>
        <v>1</v>
      </c>
      <c r="E545" s="4" t="str">
        <f>IFERROR(__xludf.DUMMYFUNCTION("""COMPUTED_VALUE"""),"Neto: 1,00 € (a partir de 25 uds.)")</f>
        <v>Neto: 1,00 € (a partir de 25 uds.)</v>
      </c>
    </row>
    <row r="546">
      <c r="A546" s="4" t="str">
        <f>IFERROR(__xludf.DUMMYFUNCTION("""COMPUTED_VALUE"""),"402")</f>
        <v>402</v>
      </c>
      <c r="B546" s="4" t="str">
        <f>IFERROR(__xludf.DUMMYFUNCTION("""COMPUTED_VALUE"""),"Señal Bolsa de plastico nº 2 STOP")</f>
        <v>Señal Bolsa de plastico nº 2 STOP</v>
      </c>
      <c r="C546" s="4">
        <f>IFERROR(__xludf.DUMMYFUNCTION("""COMPUTED_VALUE"""),1.7)</f>
        <v>1.7</v>
      </c>
      <c r="D546" s="4">
        <f>IFERROR(__xludf.DUMMYFUNCTION("""COMPUTED_VALUE"""),1.0)</f>
        <v>1</v>
      </c>
      <c r="E546" s="4" t="str">
        <f>IFERROR(__xludf.DUMMYFUNCTION("""COMPUTED_VALUE"""),"Neto: 1,00 € (a partir de 25 uds.)")</f>
        <v>Neto: 1,00 € (a partir de 25 uds.)</v>
      </c>
    </row>
    <row r="547">
      <c r="A547" s="4" t="str">
        <f>IFERROR(__xludf.DUMMYFUNCTION("""COMPUTED_VALUE"""),"403")</f>
        <v>403</v>
      </c>
      <c r="B547" s="4" t="str">
        <f>IFERROR(__xludf.DUMMYFUNCTION("""COMPUTED_VALUE"""),"Señal Bolsa de plastico nº 3 DIR. OBL. DERECHA")</f>
        <v>Señal Bolsa de plastico nº 3 DIR. OBL. DERECHA</v>
      </c>
      <c r="C547" s="4">
        <f>IFERROR(__xludf.DUMMYFUNCTION("""COMPUTED_VALUE"""),1.7)</f>
        <v>1.7</v>
      </c>
      <c r="D547" s="4">
        <f>IFERROR(__xludf.DUMMYFUNCTION("""COMPUTED_VALUE"""),1.0)</f>
        <v>1</v>
      </c>
      <c r="E547" s="4" t="str">
        <f>IFERROR(__xludf.DUMMYFUNCTION("""COMPUTED_VALUE"""),"Neto: 1,00 € (a partir de 25 uds.)")</f>
        <v>Neto: 1,00 € (a partir de 25 uds.)</v>
      </c>
    </row>
    <row r="548">
      <c r="A548" s="4" t="str">
        <f>IFERROR(__xludf.DUMMYFUNCTION("""COMPUTED_VALUE"""),"404")</f>
        <v>404</v>
      </c>
      <c r="B548" s="4" t="str">
        <f>IFERROR(__xludf.DUMMYFUNCTION("""COMPUTED_VALUE"""),"Señal Bolsa de plastico nº 4 PELIGRO INDEF")</f>
        <v>Señal Bolsa de plastico nº 4 PELIGRO INDEF</v>
      </c>
      <c r="C548" s="4">
        <f>IFERROR(__xludf.DUMMYFUNCTION("""COMPUTED_VALUE"""),1.7)</f>
        <v>1.7</v>
      </c>
      <c r="D548" s="4">
        <f>IFERROR(__xludf.DUMMYFUNCTION("""COMPUTED_VALUE"""),1.0)</f>
        <v>1</v>
      </c>
      <c r="E548" s="4" t="str">
        <f>IFERROR(__xludf.DUMMYFUNCTION("""COMPUTED_VALUE"""),"Neto: 1,00 € (a partir de 25 uds.)")</f>
        <v>Neto: 1,00 € (a partir de 25 uds.)</v>
      </c>
    </row>
    <row r="549">
      <c r="A549" s="4" t="str">
        <f>IFERROR(__xludf.DUMMYFUNCTION("""COMPUTED_VALUE"""),"405")</f>
        <v>405</v>
      </c>
      <c r="B549" s="4" t="str">
        <f>IFERROR(__xludf.DUMMYFUNCTION("""COMPUTED_VALUE"""),"Señal Bolsa de plastico nº 5 OBRAS")</f>
        <v>Señal Bolsa de plastico nº 5 OBRAS</v>
      </c>
      <c r="C549" s="4">
        <f>IFERROR(__xludf.DUMMYFUNCTION("""COMPUTED_VALUE"""),1.7)</f>
        <v>1.7</v>
      </c>
      <c r="D549" s="4">
        <f>IFERROR(__xludf.DUMMYFUNCTION("""COMPUTED_VALUE"""),1.0)</f>
        <v>1</v>
      </c>
      <c r="E549" s="4" t="str">
        <f>IFERROR(__xludf.DUMMYFUNCTION("""COMPUTED_VALUE"""),"Neto: 1,00 € (a partir de 25 uds.)")</f>
        <v>Neto: 1,00 € (a partir de 25 uds.)</v>
      </c>
    </row>
    <row r="550">
      <c r="A550" s="4" t="str">
        <f>IFERROR(__xludf.DUMMYFUNCTION("""COMPUTED_VALUE"""),"406")</f>
        <v>406</v>
      </c>
      <c r="B550" s="4" t="str">
        <f>IFERROR(__xludf.DUMMYFUNCTION("""COMPUTED_VALUE"""),"Señal Bolsa de plastico nº 6 VEL. 40")</f>
        <v>Señal Bolsa de plastico nº 6 VEL. 40</v>
      </c>
      <c r="C550" s="4">
        <f>IFERROR(__xludf.DUMMYFUNCTION("""COMPUTED_VALUE"""),1.7)</f>
        <v>1.7</v>
      </c>
      <c r="D550" s="4">
        <f>IFERROR(__xludf.DUMMYFUNCTION("""COMPUTED_VALUE"""),1.0)</f>
        <v>1</v>
      </c>
      <c r="E550" s="4" t="str">
        <f>IFERROR(__xludf.DUMMYFUNCTION("""COMPUTED_VALUE"""),"Neto: 1,00 € (a partir de 25 uds.)")</f>
        <v>Neto: 1,00 € (a partir de 25 uds.)</v>
      </c>
    </row>
    <row r="551">
      <c r="A551" s="4" t="str">
        <f>IFERROR(__xludf.DUMMYFUNCTION("""COMPUTED_VALUE"""),"407")</f>
        <v>407</v>
      </c>
      <c r="B551" s="4" t="str">
        <f>IFERROR(__xludf.DUMMYFUNCTION("""COMPUTED_VALUE"""),"Señal Bolsa de plastico nº 7 VEL. 60")</f>
        <v>Señal Bolsa de plastico nº 7 VEL. 60</v>
      </c>
      <c r="C551" s="4">
        <f>IFERROR(__xludf.DUMMYFUNCTION("""COMPUTED_VALUE"""),1.7)</f>
        <v>1.7</v>
      </c>
      <c r="D551" s="4">
        <f>IFERROR(__xludf.DUMMYFUNCTION("""COMPUTED_VALUE"""),1.0)</f>
        <v>1</v>
      </c>
      <c r="E551" s="4" t="str">
        <f>IFERROR(__xludf.DUMMYFUNCTION("""COMPUTED_VALUE"""),"Neto: 1,00 € (a partir de 25 uds.)")</f>
        <v>Neto: 1,00 € (a partir de 25 uds.)</v>
      </c>
    </row>
    <row r="552">
      <c r="A552" s="4" t="str">
        <f>IFERROR(__xludf.DUMMYFUNCTION("""COMPUTED_VALUE"""),"408")</f>
        <v>408</v>
      </c>
      <c r="B552" s="4" t="str">
        <f>IFERROR(__xludf.DUMMYFUNCTION("""COMPUTED_VALUE"""),"Señal Bolsa de plastico nº 8 ESTRECH")</f>
        <v>Señal Bolsa de plastico nº 8 ESTRECH</v>
      </c>
      <c r="C552" s="4">
        <f>IFERROR(__xludf.DUMMYFUNCTION("""COMPUTED_VALUE"""),1.7)</f>
        <v>1.7</v>
      </c>
      <c r="D552" s="4">
        <f>IFERROR(__xludf.DUMMYFUNCTION("""COMPUTED_VALUE"""),1.0)</f>
        <v>1</v>
      </c>
      <c r="E552" s="4" t="str">
        <f>IFERROR(__xludf.DUMMYFUNCTION("""COMPUTED_VALUE"""),"Neto: 1,00 € (a partir de 25 uds.)")</f>
        <v>Neto: 1,00 € (a partir de 25 uds.)</v>
      </c>
    </row>
    <row r="553">
      <c r="A553" s="4" t="str">
        <f>IFERROR(__xludf.DUMMYFUNCTION("""COMPUTED_VALUE"""),"409")</f>
        <v>409</v>
      </c>
      <c r="B553" s="4" t="str">
        <f>IFERROR(__xludf.DUMMYFUNCTION("""COMPUTED_VALUE"""),"Señal Bolsa de plastico nº 9 PROHIB ADELANT")</f>
        <v>Señal Bolsa de plastico nº 9 PROHIB ADELANT</v>
      </c>
      <c r="C553" s="4">
        <f>IFERROR(__xludf.DUMMYFUNCTION("""COMPUTED_VALUE"""),1.7)</f>
        <v>1.7</v>
      </c>
      <c r="D553" s="4">
        <f>IFERROR(__xludf.DUMMYFUNCTION("""COMPUTED_VALUE"""),1.0)</f>
        <v>1</v>
      </c>
      <c r="E553" s="4" t="str">
        <f>IFERROR(__xludf.DUMMYFUNCTION("""COMPUTED_VALUE"""),"Neto: 1,00 € (a partir de 25 uds.)")</f>
        <v>Neto: 1,00 € (a partir de 25 uds.)</v>
      </c>
    </row>
    <row r="554">
      <c r="A554" s="4" t="str">
        <f>IFERROR(__xludf.DUMMYFUNCTION("""COMPUTED_VALUE"""),"410")</f>
        <v>410</v>
      </c>
      <c r="B554" s="4" t="str">
        <f>IFERROR(__xludf.DUMMYFUNCTION("""COMPUTED_VALUE"""),"Señal Bolsa de plastico nº 10 PRIORIDAD")</f>
        <v>Señal Bolsa de plastico nº 10 PRIORIDAD</v>
      </c>
      <c r="C554" s="4">
        <f>IFERROR(__xludf.DUMMYFUNCTION("""COMPUTED_VALUE"""),1.7)</f>
        <v>1.7</v>
      </c>
      <c r="D554" s="4">
        <f>IFERROR(__xludf.DUMMYFUNCTION("""COMPUTED_VALUE"""),1.0)</f>
        <v>1</v>
      </c>
      <c r="E554" s="4" t="str">
        <f>IFERROR(__xludf.DUMMYFUNCTION("""COMPUTED_VALUE"""),"Neto: 1,00 € (a partir de 25 uds.)")</f>
        <v>Neto: 1,00 € (a partir de 25 uds.)</v>
      </c>
    </row>
    <row r="555">
      <c r="A555" s="4" t="str">
        <f>IFERROR(__xludf.DUMMYFUNCTION("""COMPUTED_VALUE"""),"411")</f>
        <v>411</v>
      </c>
      <c r="B555" s="4" t="str">
        <f>IFERROR(__xludf.DUMMYFUNCTION("""COMPUTED_VALUE"""),"Señal Bolsa de plastico nº 11 PROHIB. APARCAR")</f>
        <v>Señal Bolsa de plastico nº 11 PROHIB. APARCAR</v>
      </c>
      <c r="C555" s="4">
        <f>IFERROR(__xludf.DUMMYFUNCTION("""COMPUTED_VALUE"""),1.7)</f>
        <v>1.7</v>
      </c>
      <c r="D555" s="4">
        <f>IFERROR(__xludf.DUMMYFUNCTION("""COMPUTED_VALUE"""),1.0)</f>
        <v>1</v>
      </c>
      <c r="E555" s="4" t="str">
        <f>IFERROR(__xludf.DUMMYFUNCTION("""COMPUTED_VALUE"""),"Neto: 1,00 € (a partir de 25 uds.)")</f>
        <v>Neto: 1,00 € (a partir de 25 uds.)</v>
      </c>
    </row>
    <row r="556">
      <c r="A556" s="4" t="str">
        <f>IFERROR(__xludf.DUMMYFUNCTION("""COMPUTED_VALUE"""),"412")</f>
        <v>412</v>
      </c>
      <c r="B556" s="4" t="str">
        <f>IFERROR(__xludf.DUMMYFUNCTION("""COMPUTED_VALUE"""),"Señal Bolsa de plastico nº 12 ESCALON LATERAL")</f>
        <v>Señal Bolsa de plastico nº 12 ESCALON LATERAL</v>
      </c>
      <c r="C556" s="4">
        <f>IFERROR(__xludf.DUMMYFUNCTION("""COMPUTED_VALUE"""),1.7)</f>
        <v>1.7</v>
      </c>
      <c r="D556" s="4">
        <f>IFERROR(__xludf.DUMMYFUNCTION("""COMPUTED_VALUE"""),1.0)</f>
        <v>1</v>
      </c>
      <c r="E556" s="4" t="str">
        <f>IFERROR(__xludf.DUMMYFUNCTION("""COMPUTED_VALUE"""),"Neto: 1,00 € (a partir de 25 uds.)")</f>
        <v>Neto: 1,00 € (a partir de 25 uds.)</v>
      </c>
    </row>
    <row r="557">
      <c r="A557" s="4" t="str">
        <f>IFERROR(__xludf.DUMMYFUNCTION("""COMPUTED_VALUE"""),"413")</f>
        <v>413</v>
      </c>
      <c r="B557" s="4" t="str">
        <f>IFERROR(__xludf.DUMMYFUNCTION("""COMPUTED_VALUE"""),"Señal Bolsa de plastico nº 13 SUELO RESVALADIZO")</f>
        <v>Señal Bolsa de plastico nº 13 SUELO RESVALADIZO</v>
      </c>
      <c r="C557" s="4">
        <f>IFERROR(__xludf.DUMMYFUNCTION("""COMPUTED_VALUE"""),1.7)</f>
        <v>1.7</v>
      </c>
      <c r="D557" s="4">
        <f>IFERROR(__xludf.DUMMYFUNCTION("""COMPUTED_VALUE"""),1.0)</f>
        <v>1</v>
      </c>
      <c r="E557" s="4" t="str">
        <f>IFERROR(__xludf.DUMMYFUNCTION("""COMPUTED_VALUE"""),"Neto: 1,00 € (a partir de 25 uds.)")</f>
        <v>Neto: 1,00 € (a partir de 25 uds.)</v>
      </c>
    </row>
    <row r="558">
      <c r="A558" s="4" t="str">
        <f>IFERROR(__xludf.DUMMYFUNCTION("""COMPUTED_VALUE"""),"414")</f>
        <v>414</v>
      </c>
      <c r="B558" s="4" t="str">
        <f>IFERROR(__xludf.DUMMYFUNCTION("""COMPUTED_VALUE"""),"Señal Bolsa de plastico nº 14 VEL 20")</f>
        <v>Señal Bolsa de plastico nº 14 VEL 20</v>
      </c>
      <c r="C558" s="4">
        <f>IFERROR(__xludf.DUMMYFUNCTION("""COMPUTED_VALUE"""),1.7)</f>
        <v>1.7</v>
      </c>
      <c r="D558" s="4">
        <f>IFERROR(__xludf.DUMMYFUNCTION("""COMPUTED_VALUE"""),1.0)</f>
        <v>1</v>
      </c>
      <c r="E558" s="4" t="str">
        <f>IFERROR(__xludf.DUMMYFUNCTION("""COMPUTED_VALUE"""),"Neto: 1,00 € (a partir de 25 uds.)")</f>
        <v>Neto: 1,00 € (a partir de 25 uds.)</v>
      </c>
    </row>
    <row r="559">
      <c r="A559" s="4" t="str">
        <f>IFERROR(__xludf.DUMMYFUNCTION("""COMPUTED_VALUE"""),"415")</f>
        <v>415</v>
      </c>
      <c r="B559" s="4" t="str">
        <f>IFERROR(__xludf.DUMMYFUNCTION("""COMPUTED_VALUE"""),"Señal Bolsa de plastico nº 15 PELIGRO CAMIONES")</f>
        <v>Señal Bolsa de plastico nº 15 PELIGRO CAMIONES</v>
      </c>
      <c r="C559" s="4">
        <f>IFERROR(__xludf.DUMMYFUNCTION("""COMPUTED_VALUE"""),1.7)</f>
        <v>1.7</v>
      </c>
      <c r="D559" s="4">
        <f>IFERROR(__xludf.DUMMYFUNCTION("""COMPUTED_VALUE"""),1.0)</f>
        <v>1</v>
      </c>
      <c r="E559" s="4" t="str">
        <f>IFERROR(__xludf.DUMMYFUNCTION("""COMPUTED_VALUE"""),"Neto: 1,00 € (a partir de 25 uds.)")</f>
        <v>Neto: 1,00 € (a partir de 25 uds.)</v>
      </c>
    </row>
    <row r="560">
      <c r="A560" s="4" t="str">
        <f>IFERROR(__xludf.DUMMYFUNCTION("""COMPUTED_VALUE"""),"416")</f>
        <v>416</v>
      </c>
      <c r="B560" s="4" t="str">
        <f>IFERROR(__xludf.DUMMYFUNCTION("""COMPUTED_VALUE"""),"Señal Bolsa de plastico nº 16 SALIDA CAMIONES")</f>
        <v>Señal Bolsa de plastico nº 16 SALIDA CAMIONES</v>
      </c>
      <c r="C560" s="4">
        <f>IFERROR(__xludf.DUMMYFUNCTION("""COMPUTED_VALUE"""),1.7)</f>
        <v>1.7</v>
      </c>
      <c r="D560" s="4">
        <f>IFERROR(__xludf.DUMMYFUNCTION("""COMPUTED_VALUE"""),1.0)</f>
        <v>1</v>
      </c>
      <c r="E560" s="4" t="str">
        <f>IFERROR(__xludf.DUMMYFUNCTION("""COMPUTED_VALUE"""),"Neto: 1,00 € (a partir de 25 uds.)")</f>
        <v>Neto: 1,00 € (a partir de 25 uds.)</v>
      </c>
    </row>
    <row r="561">
      <c r="A561" s="4" t="str">
        <f>IFERROR(__xludf.DUMMYFUNCTION("""COMPUTED_VALUE"""),"417")</f>
        <v>417</v>
      </c>
      <c r="B561" s="4" t="str">
        <f>IFERROR(__xludf.DUMMYFUNCTION("""COMPUTED_VALUE"""),"Señal Bolsa de plastico nº 17 CALLE CORTADA")</f>
        <v>Señal Bolsa de plastico nº 17 CALLE CORTADA</v>
      </c>
      <c r="C561" s="4">
        <f>IFERROR(__xludf.DUMMYFUNCTION("""COMPUTED_VALUE"""),1.7)</f>
        <v>1.7</v>
      </c>
      <c r="D561" s="4">
        <f>IFERROR(__xludf.DUMMYFUNCTION("""COMPUTED_VALUE"""),1.0)</f>
        <v>1</v>
      </c>
      <c r="E561" s="4" t="str">
        <f>IFERROR(__xludf.DUMMYFUNCTION("""COMPUTED_VALUE"""),"Neto: 1,00 € (a partir de 25 uds.)")</f>
        <v>Neto: 1,00 € (a partir de 25 uds.)</v>
      </c>
    </row>
    <row r="562">
      <c r="A562" s="4" t="str">
        <f>IFERROR(__xludf.DUMMYFUNCTION("""COMPUTED_VALUE"""),"418")</f>
        <v>418</v>
      </c>
      <c r="B562" s="4" t="str">
        <f>IFERROR(__xludf.DUMMYFUNCTION("""COMPUTED_VALUE"""),"Señal Bolsa de plastico nº 18 VEL 30")</f>
        <v>Señal Bolsa de plastico nº 18 VEL 30</v>
      </c>
      <c r="C562" s="4">
        <f>IFERROR(__xludf.DUMMYFUNCTION("""COMPUTED_VALUE"""),1.7)</f>
        <v>1.7</v>
      </c>
      <c r="D562" s="4">
        <f>IFERROR(__xludf.DUMMYFUNCTION("""COMPUTED_VALUE"""),1.0)</f>
        <v>1</v>
      </c>
      <c r="E562" s="4" t="str">
        <f>IFERROR(__xludf.DUMMYFUNCTION("""COMPUTED_VALUE"""),"Neto: 1,00 € (a partir de 25 uds.)")</f>
        <v>Neto: 1,00 € (a partir de 25 uds.)</v>
      </c>
    </row>
    <row r="563">
      <c r="A563" s="4" t="str">
        <f>IFERROR(__xludf.DUMMYFUNCTION("""COMPUTED_VALUE"""),"419")</f>
        <v>419</v>
      </c>
      <c r="B563" s="4" t="str">
        <f>IFERROR(__xludf.DUMMYFUNCTION("""COMPUTED_VALUE"""),"Señal Bolsa de plastico nº 19 DESPRENDIMIENTO")</f>
        <v>Señal Bolsa de plastico nº 19 DESPRENDIMIENTO</v>
      </c>
      <c r="C563" s="4">
        <f>IFERROR(__xludf.DUMMYFUNCTION("""COMPUTED_VALUE"""),1.7)</f>
        <v>1.7</v>
      </c>
      <c r="D563" s="4">
        <f>IFERROR(__xludf.DUMMYFUNCTION("""COMPUTED_VALUE"""),1.0)</f>
        <v>1</v>
      </c>
      <c r="E563" s="4" t="str">
        <f>IFERROR(__xludf.DUMMYFUNCTION("""COMPUTED_VALUE"""),"Neto: 1,00 € (a partir de 25 uds.)")</f>
        <v>Neto: 1,00 € (a partir de 25 uds.)</v>
      </c>
    </row>
    <row r="564">
      <c r="A564" s="4" t="str">
        <f>IFERROR(__xludf.DUMMYFUNCTION("""COMPUTED_VALUE"""),"420")</f>
        <v>420</v>
      </c>
      <c r="B564" s="4" t="str">
        <f>IFERROR(__xludf.DUMMYFUNCTION("""COMPUTED_VALUE"""),"Señal Bolsa de plastico nº 20 ACERA EN OBRAS")</f>
        <v>Señal Bolsa de plastico nº 20 ACERA EN OBRAS</v>
      </c>
      <c r="C564" s="4">
        <f>IFERROR(__xludf.DUMMYFUNCTION("""COMPUTED_VALUE"""),1.7)</f>
        <v>1.7</v>
      </c>
      <c r="D564" s="4">
        <f>IFERROR(__xludf.DUMMYFUNCTION("""COMPUTED_VALUE"""),1.0)</f>
        <v>1</v>
      </c>
      <c r="E564" s="4" t="str">
        <f>IFERROR(__xludf.DUMMYFUNCTION("""COMPUTED_VALUE"""),"Neto: 1,00 € (a partir de 25 uds.)")</f>
        <v>Neto: 1,00 € (a partir de 25 uds.)</v>
      </c>
    </row>
    <row r="565">
      <c r="A565" s="4" t="str">
        <f>IFERROR(__xludf.DUMMYFUNCTION("""COMPUTED_VALUE"""),"421")</f>
        <v>421</v>
      </c>
      <c r="B565" s="4" t="str">
        <f>IFERROR(__xludf.DUMMYFUNCTION("""COMPUTED_VALUE"""),"Señal Bolsa de plastico nº 21 ESTRECH. IZQ.")</f>
        <v>Señal Bolsa de plastico nº 21 ESTRECH. IZQ.</v>
      </c>
      <c r="C565" s="4">
        <f>IFERROR(__xludf.DUMMYFUNCTION("""COMPUTED_VALUE"""),1.7)</f>
        <v>1.7</v>
      </c>
      <c r="D565" s="4">
        <f>IFERROR(__xludf.DUMMYFUNCTION("""COMPUTED_VALUE"""),1.0)</f>
        <v>1</v>
      </c>
      <c r="E565" s="4" t="str">
        <f>IFERROR(__xludf.DUMMYFUNCTION("""COMPUTED_VALUE"""),"Neto: 1,00 € (a partir de 25 uds.)")</f>
        <v>Neto: 1,00 € (a partir de 25 uds.)</v>
      </c>
    </row>
    <row r="566">
      <c r="A566" s="4" t="str">
        <f>IFERROR(__xludf.DUMMYFUNCTION("""COMPUTED_VALUE"""),"422")</f>
        <v>422</v>
      </c>
      <c r="B566" s="4" t="str">
        <f>IFERROR(__xludf.DUMMYFUNCTION("""COMPUTED_VALUE"""),"Señal Bolsa de plastico nº 22 ESTRECH. DERECHA")</f>
        <v>Señal Bolsa de plastico nº 22 ESTRECH. DERECHA</v>
      </c>
      <c r="C566" s="4">
        <f>IFERROR(__xludf.DUMMYFUNCTION("""COMPUTED_VALUE"""),1.7)</f>
        <v>1.7</v>
      </c>
      <c r="D566" s="4">
        <f>IFERROR(__xludf.DUMMYFUNCTION("""COMPUTED_VALUE"""),1.0)</f>
        <v>1</v>
      </c>
      <c r="E566" s="4" t="str">
        <f>IFERROR(__xludf.DUMMYFUNCTION("""COMPUTED_VALUE"""),"Neto: 1,00 € (a partir de 25 uds.)")</f>
        <v>Neto: 1,00 € (a partir de 25 uds.)</v>
      </c>
    </row>
    <row r="567">
      <c r="A567" s="4" t="str">
        <f>IFERROR(__xludf.DUMMYFUNCTION("""COMPUTED_VALUE"""),"423")</f>
        <v>423</v>
      </c>
      <c r="B567" s="4" t="str">
        <f>IFERROR(__xludf.DUMMYFUNCTION("""COMPUTED_VALUE"""),"Señal Bolsa de plastico nº 23 VEL 10")</f>
        <v>Señal Bolsa de plastico nº 23 VEL 10</v>
      </c>
      <c r="C567" s="4">
        <f>IFERROR(__xludf.DUMMYFUNCTION("""COMPUTED_VALUE"""),1.7)</f>
        <v>1.7</v>
      </c>
      <c r="D567" s="4">
        <f>IFERROR(__xludf.DUMMYFUNCTION("""COMPUTED_VALUE"""),1.0)</f>
        <v>1</v>
      </c>
      <c r="E567" s="4" t="str">
        <f>IFERROR(__xludf.DUMMYFUNCTION("""COMPUTED_VALUE"""),"Neto: 1,00 € (a partir de 25 uds.)")</f>
        <v>Neto: 1,00 € (a partir de 25 uds.)</v>
      </c>
    </row>
    <row r="568">
      <c r="A568" s="4" t="str">
        <f>IFERROR(__xludf.DUMMYFUNCTION("""COMPUTED_VALUE"""),"424")</f>
        <v>424</v>
      </c>
      <c r="B568" s="4" t="str">
        <f>IFERROR(__xludf.DUMMYFUNCTION("""COMPUTED_VALUE"""),"Señal Bolsa de plastico nº 24 VEL. 50")</f>
        <v>Señal Bolsa de plastico nº 24 VEL. 50</v>
      </c>
      <c r="C568" s="4">
        <f>IFERROR(__xludf.DUMMYFUNCTION("""COMPUTED_VALUE"""),1.7)</f>
        <v>1.7</v>
      </c>
      <c r="D568" s="4">
        <f>IFERROR(__xludf.DUMMYFUNCTION("""COMPUTED_VALUE"""),1.0)</f>
        <v>1</v>
      </c>
      <c r="E568" s="4" t="str">
        <f>IFERROR(__xludf.DUMMYFUNCTION("""COMPUTED_VALUE"""),"Neto: 1,00 € (a partir de 25 uds.)")</f>
        <v>Neto: 1,00 € (a partir de 25 uds.)</v>
      </c>
    </row>
    <row r="569">
      <c r="A569" s="4" t="str">
        <f>IFERROR(__xludf.DUMMYFUNCTION("""COMPUTED_VALUE"""),"425")</f>
        <v>425</v>
      </c>
      <c r="B569" s="4" t="str">
        <f>IFERROR(__xludf.DUMMYFUNCTION("""COMPUTED_VALUE"""),"Señal Bolsa de plastico nº 25 RESALTO")</f>
        <v>Señal Bolsa de plastico nº 25 RESALTO</v>
      </c>
      <c r="C569" s="4">
        <f>IFERROR(__xludf.DUMMYFUNCTION("""COMPUTED_VALUE"""),1.7)</f>
        <v>1.7</v>
      </c>
      <c r="D569" s="4">
        <f>IFERROR(__xludf.DUMMYFUNCTION("""COMPUTED_VALUE"""),1.0)</f>
        <v>1</v>
      </c>
      <c r="E569" s="4" t="str">
        <f>IFERROR(__xludf.DUMMYFUNCTION("""COMPUTED_VALUE"""),"Neto: 1,00 € (a partir de 25 uds.)")</f>
        <v>Neto: 1,00 € (a partir de 25 uds.)</v>
      </c>
    </row>
    <row r="570">
      <c r="A570" s="4" t="str">
        <f>IFERROR(__xludf.DUMMYFUNCTION("""COMPUTED_VALUE"""),"426")</f>
        <v>426</v>
      </c>
      <c r="B570" s="4" t="str">
        <f>IFERROR(__xludf.DUMMYFUNCTION("""COMPUTED_VALUE"""),"Señal Bolsa de plastico nº 26 CAMINO CORTADO")</f>
        <v>Señal Bolsa de plastico nº 26 CAMINO CORTADO</v>
      </c>
      <c r="C570" s="4">
        <f>IFERROR(__xludf.DUMMYFUNCTION("""COMPUTED_VALUE"""),1.7)</f>
        <v>1.7</v>
      </c>
      <c r="D570" s="4">
        <f>IFERROR(__xludf.DUMMYFUNCTION("""COMPUTED_VALUE"""),1.0)</f>
        <v>1</v>
      </c>
      <c r="E570" s="4" t="str">
        <f>IFERROR(__xludf.DUMMYFUNCTION("""COMPUTED_VALUE"""),"Neto: 1,00 € (a partir de 25 uds.)")</f>
        <v>Neto: 1,00 € (a partir de 25 uds.)</v>
      </c>
    </row>
    <row r="571">
      <c r="A571" s="4" t="str">
        <f>IFERROR(__xludf.DUMMYFUNCTION("""COMPUTED_VALUE"""),"427")</f>
        <v>427</v>
      </c>
      <c r="B571" s="4" t="str">
        <f>IFERROR(__xludf.DUMMYFUNCTION("""COMPUTED_VALUE"""),"Señal Bolsa de plastico nº 27 DIR. OBLI. IZQ.")</f>
        <v>Señal Bolsa de plastico nº 27 DIR. OBLI. IZQ.</v>
      </c>
      <c r="C571" s="4">
        <f>IFERROR(__xludf.DUMMYFUNCTION("""COMPUTED_VALUE"""),1.7)</f>
        <v>1.7</v>
      </c>
      <c r="D571" s="4">
        <f>IFERROR(__xludf.DUMMYFUNCTION("""COMPUTED_VALUE"""),1.0)</f>
        <v>1</v>
      </c>
      <c r="E571" s="4" t="str">
        <f>IFERROR(__xludf.DUMMYFUNCTION("""COMPUTED_VALUE"""),"Neto: 1,00 € (a partir de 25 uds.)")</f>
        <v>Neto: 1,00 € (a partir de 25 uds.)</v>
      </c>
    </row>
    <row r="572">
      <c r="A572" s="4" t="str">
        <f>IFERROR(__xludf.DUMMYFUNCTION("""COMPUTED_VALUE"""),"428")</f>
        <v>428</v>
      </c>
      <c r="B572" s="4" t="str">
        <f>IFERROR(__xludf.DUMMYFUNCTION("""COMPUTED_VALUE"""),"Señal Bolsa de plastico nº 28 CEDA EL PASO")</f>
        <v>Señal Bolsa de plastico nº 28 CEDA EL PASO</v>
      </c>
      <c r="C572" s="4">
        <f>IFERROR(__xludf.DUMMYFUNCTION("""COMPUTED_VALUE"""),1.7)</f>
        <v>1.7</v>
      </c>
      <c r="D572" s="4">
        <f>IFERROR(__xludf.DUMMYFUNCTION("""COMPUTED_VALUE"""),1.0)</f>
        <v>1</v>
      </c>
      <c r="E572" s="4" t="str">
        <f>IFERROR(__xludf.DUMMYFUNCTION("""COMPUTED_VALUE"""),"Neto: 1,00 € (a partir de 25 uds.)")</f>
        <v>Neto: 1,00 € (a partir de 25 uds.)</v>
      </c>
    </row>
    <row r="573">
      <c r="A573" s="4" t="str">
        <f>IFERROR(__xludf.DUMMYFUNCTION("""COMPUTED_VALUE"""),"429")</f>
        <v>429</v>
      </c>
      <c r="B573" s="4" t="str">
        <f>IFERROR(__xludf.DUMMYFUNCTION("""COMPUTED_VALUE"""),"Señal Bolsa de plastico nº 29 CEDA EL PASO C / TEXTO")</f>
        <v>Señal Bolsa de plastico nº 29 CEDA EL PASO C / TEXTO</v>
      </c>
      <c r="C573" s="4">
        <f>IFERROR(__xludf.DUMMYFUNCTION("""COMPUTED_VALUE"""),1.7)</f>
        <v>1.7</v>
      </c>
      <c r="D573" s="4">
        <f>IFERROR(__xludf.DUMMYFUNCTION("""COMPUTED_VALUE"""),1.0)</f>
        <v>1</v>
      </c>
      <c r="E573" s="4" t="str">
        <f>IFERROR(__xludf.DUMMYFUNCTION("""COMPUTED_VALUE"""),"Neto: 1,00 € (a partir de 25 uds.)")</f>
        <v>Neto: 1,00 € (a partir de 25 uds.)</v>
      </c>
    </row>
    <row r="574">
      <c r="A574" s="4" t="str">
        <f>IFERROR(__xludf.DUMMYFUNCTION("""COMPUTED_VALUE"""),"430")</f>
        <v>430</v>
      </c>
      <c r="B574" s="4" t="str">
        <f>IFERROR(__xludf.DUMMYFUNCTION("""COMPUTED_VALUE"""),"Señal Bolsa de plastico nº 30 CONTROL POLICIAL")</f>
        <v>Señal Bolsa de plastico nº 30 CONTROL POLICIAL</v>
      </c>
      <c r="C574" s="4">
        <f>IFERROR(__xludf.DUMMYFUNCTION("""COMPUTED_VALUE"""),1.7)</f>
        <v>1.7</v>
      </c>
      <c r="D574" s="4">
        <f>IFERROR(__xludf.DUMMYFUNCTION("""COMPUTED_VALUE"""),1.0)</f>
        <v>1</v>
      </c>
      <c r="E574" s="4" t="str">
        <f>IFERROR(__xludf.DUMMYFUNCTION("""COMPUTED_VALUE"""),"Neto: 1,00 € (a partir de 25 uds.)")</f>
        <v>Neto: 1,00 € (a partir de 25 uds.)</v>
      </c>
    </row>
    <row r="575">
      <c r="A575" s="4" t="str">
        <f>IFERROR(__xludf.DUMMYFUNCTION("""COMPUTED_VALUE"""),"431")</f>
        <v>431</v>
      </c>
      <c r="B575" s="4" t="str">
        <f>IFERROR(__xludf.DUMMYFUNCTION("""COMPUTED_VALUE"""),"Señal Bolsa de plastico nº 31 TRABAJOS FORESTALES")</f>
        <v>Señal Bolsa de plastico nº 31 TRABAJOS FORESTALES</v>
      </c>
      <c r="C575" s="4">
        <f>IFERROR(__xludf.DUMMYFUNCTION("""COMPUTED_VALUE"""),1.7)</f>
        <v>1.7</v>
      </c>
      <c r="D575" s="4">
        <f>IFERROR(__xludf.DUMMYFUNCTION("""COMPUTED_VALUE"""),1.0)</f>
        <v>1</v>
      </c>
      <c r="E575" s="4" t="str">
        <f>IFERROR(__xludf.DUMMYFUNCTION("""COMPUTED_VALUE"""),"Neto: 1,00 € (a partir de 25 uds.)")</f>
        <v>Neto: 1,00 € (a partir de 25 uds.)</v>
      </c>
    </row>
    <row r="576">
      <c r="A576" s="4" t="str">
        <f>IFERROR(__xludf.DUMMYFUNCTION("""COMPUTED_VALUE"""),"432")</f>
        <v>432</v>
      </c>
      <c r="B576" s="4" t="str">
        <f>IFERROR(__xludf.DUMMYFUNCTION("""COMPUTED_VALUE"""),"Señal Bolsa de plastico nº 32 LUZ OBLIGATORIA")</f>
        <v>Señal Bolsa de plastico nº 32 LUZ OBLIGATORIA</v>
      </c>
      <c r="C576" s="4">
        <f>IFERROR(__xludf.DUMMYFUNCTION("""COMPUTED_VALUE"""),1.7)</f>
        <v>1.7</v>
      </c>
      <c r="D576" s="4">
        <f>IFERROR(__xludf.DUMMYFUNCTION("""COMPUTED_VALUE"""),1.0)</f>
        <v>1</v>
      </c>
      <c r="E576" s="4" t="str">
        <f>IFERROR(__xludf.DUMMYFUNCTION("""COMPUTED_VALUE"""),"Neto: 1,00 € (a partir de 25 uds.)")</f>
        <v>Neto: 1,00 € (a partir de 25 uds.)</v>
      </c>
    </row>
    <row r="577">
      <c r="A577" s="4" t="str">
        <f>IFERROR(__xludf.DUMMYFUNCTION("""COMPUTED_VALUE"""),"0450A")</f>
        <v>0450A</v>
      </c>
      <c r="B577" s="4" t="str">
        <f>IFERROR(__xludf.DUMMYFUNCTION("""COMPUTED_VALUE"""),"Plantilla señalizacion para suelo 50x50 cm")</f>
        <v>Plantilla señalizacion para suelo 50x50 cm</v>
      </c>
      <c r="C577" s="4">
        <f>IFERROR(__xludf.DUMMYFUNCTION("""COMPUTED_VALUE"""),32.75)</f>
        <v>32.75</v>
      </c>
      <c r="D577" s="4"/>
      <c r="E577" s="4" t="str">
        <f>IFERROR(__xludf.DUMMYFUNCTION("""COMPUTED_VALUE"""),"Sin precio neto")</f>
        <v>Sin precio neto</v>
      </c>
    </row>
    <row r="578">
      <c r="A578" s="4" t="str">
        <f>IFERROR(__xludf.DUMMYFUNCTION("""COMPUTED_VALUE"""),"0450B")</f>
        <v>0450B</v>
      </c>
      <c r="B578" s="4" t="str">
        <f>IFERROR(__xludf.DUMMYFUNCTION("""COMPUTED_VALUE"""),"Plantilla señalizacion para suelo 100 x 70 cm")</f>
        <v>Plantilla señalizacion para suelo 100 x 70 cm</v>
      </c>
      <c r="C578" s="4">
        <f>IFERROR(__xludf.DUMMYFUNCTION("""COMPUTED_VALUE"""),47.52)</f>
        <v>47.52</v>
      </c>
      <c r="D578" s="4"/>
      <c r="E578" s="4" t="str">
        <f>IFERROR(__xludf.DUMMYFUNCTION("""COMPUTED_VALUE"""),"Sin precio neto")</f>
        <v>Sin precio neto</v>
      </c>
    </row>
    <row r="579">
      <c r="A579" s="4" t="str">
        <f>IFERROR(__xludf.DUMMYFUNCTION("""COMPUTED_VALUE"""),"0450E")</f>
        <v>0450E</v>
      </c>
      <c r="B579" s="4" t="str">
        <f>IFERROR(__xludf.DUMMYFUNCTION("""COMPUTED_VALUE"""),"Plantilla 60x60 cm carga coche eléctrico")</f>
        <v>Plantilla 60x60 cm carga coche eléctrico</v>
      </c>
      <c r="C579" s="4">
        <f>IFERROR(__xludf.DUMMYFUNCTION("""COMPUTED_VALUE"""),35.15)</f>
        <v>35.15</v>
      </c>
      <c r="D579" s="4"/>
      <c r="E579" s="4" t="str">
        <f>IFERROR(__xludf.DUMMYFUNCTION("""COMPUTED_VALUE"""),"Sin precio neto")</f>
        <v>Sin precio neto</v>
      </c>
    </row>
    <row r="580">
      <c r="A580" s="4" t="str">
        <f>IFERROR(__xludf.DUMMYFUNCTION("""COMPUTED_VALUE"""),"561")</f>
        <v>561</v>
      </c>
      <c r="B580" s="4" t="str">
        <f>IFERROR(__xludf.DUMMYFUNCTION("""COMPUTED_VALUE"""),"Bolardo composite cuadrado Abatible 70 cm c/llave")</f>
        <v>Bolardo composite cuadrado Abatible 70 cm c/llave</v>
      </c>
      <c r="C580" s="4">
        <f>IFERROR(__xludf.DUMMYFUNCTION("""COMPUTED_VALUE"""),32.75)</f>
        <v>32.75</v>
      </c>
      <c r="D580" s="4"/>
      <c r="E580" s="4" t="str">
        <f>IFERROR(__xludf.DUMMYFUNCTION("""COMPUTED_VALUE"""),"Sin precio neto")</f>
        <v>Sin precio neto</v>
      </c>
    </row>
    <row r="581">
      <c r="A581" s="4" t="str">
        <f>IFERROR(__xludf.DUMMYFUNCTION("""COMPUTED_VALUE"""),"562")</f>
        <v>562</v>
      </c>
      <c r="B581" s="4" t="str">
        <f>IFERROR(__xludf.DUMMYFUNCTION("""COMPUTED_VALUE"""),"Bolardo Composite Redondo Abatible 70 cm c/ llave")</f>
        <v>Bolardo Composite Redondo Abatible 70 cm c/ llave</v>
      </c>
      <c r="C581" s="4">
        <f>IFERROR(__xludf.DUMMYFUNCTION("""COMPUTED_VALUE"""),37.25)</f>
        <v>37.25</v>
      </c>
      <c r="D581" s="4"/>
      <c r="E581" s="4" t="str">
        <f>IFERROR(__xludf.DUMMYFUNCTION("""COMPUTED_VALUE"""),"Sin precio neto")</f>
        <v>Sin precio neto</v>
      </c>
    </row>
    <row r="582">
      <c r="A582" s="4" t="str">
        <f>IFERROR(__xludf.DUMMYFUNCTION("""COMPUTED_VALUE"""),"563")</f>
        <v>563</v>
      </c>
      <c r="B582" s="4" t="str">
        <f>IFERROR(__xludf.DUMMYFUNCTION("""COMPUTED_VALUE"""),"Tensa Cono 9 Mts A/N")</f>
        <v>Tensa Cono 9 Mts A/N</v>
      </c>
      <c r="C582" s="4">
        <f>IFERROR(__xludf.DUMMYFUNCTION("""COMPUTED_VALUE"""),34.5)</f>
        <v>34.5</v>
      </c>
      <c r="D582" s="4">
        <f>IFERROR(__xludf.DUMMYFUNCTION("""COMPUTED_VALUE"""),26.0)</f>
        <v>26</v>
      </c>
      <c r="E582" s="4" t="str">
        <f>IFERROR(__xludf.DUMMYFUNCTION("""COMPUTED_VALUE"""),"Neto: 26,00 € (a partir de 10 uds.)")</f>
        <v>Neto: 26,00 € (a partir de 10 uds.)</v>
      </c>
    </row>
    <row r="583">
      <c r="A583" s="4" t="str">
        <f>IFERROR(__xludf.DUMMYFUNCTION("""COMPUTED_VALUE"""),"564")</f>
        <v>564</v>
      </c>
      <c r="B583" s="4" t="str">
        <f>IFERROR(__xludf.DUMMYFUNCTION("""COMPUTED_VALUE"""),"Tensa Cono 9 Mts R/B")</f>
        <v>Tensa Cono 9 Mts R/B</v>
      </c>
      <c r="C583" s="4">
        <f>IFERROR(__xludf.DUMMYFUNCTION("""COMPUTED_VALUE"""),34.5)</f>
        <v>34.5</v>
      </c>
      <c r="D583" s="4">
        <f>IFERROR(__xludf.DUMMYFUNCTION("""COMPUTED_VALUE"""),26.0)</f>
        <v>26</v>
      </c>
      <c r="E583" s="4" t="str">
        <f>IFERROR(__xludf.DUMMYFUNCTION("""COMPUTED_VALUE"""),"Neto: 26,00 € (a partir de 10 uds.)")</f>
        <v>Neto: 26,00 € (a partir de 10 uds.)</v>
      </c>
    </row>
    <row r="584">
      <c r="A584" s="4" t="str">
        <f>IFERROR(__xludf.DUMMYFUNCTION("""COMPUTED_VALUE"""),"565")</f>
        <v>565</v>
      </c>
      <c r="B584" s="4" t="str">
        <f>IFERROR(__xludf.DUMMYFUNCTION("""COMPUTED_VALUE"""),"Tensa Cono 3 Mts R/B")</f>
        <v>Tensa Cono 3 Mts R/B</v>
      </c>
      <c r="C584" s="4">
        <f>IFERROR(__xludf.DUMMYFUNCTION("""COMPUTED_VALUE"""),16.0)</f>
        <v>16</v>
      </c>
      <c r="D584" s="4">
        <f>IFERROR(__xludf.DUMMYFUNCTION("""COMPUTED_VALUE"""),16.0)</f>
        <v>16</v>
      </c>
      <c r="E584" s="4" t="str">
        <f>IFERROR(__xludf.DUMMYFUNCTION("""COMPUTED_VALUE"""),"Neto: 16,00 € (a partir de 10 uds.)")</f>
        <v>Neto: 16,00 € (a partir de 10 uds.)</v>
      </c>
    </row>
    <row r="585">
      <c r="A585" s="4" t="str">
        <f>IFERROR(__xludf.DUMMYFUNCTION("""COMPUTED_VALUE"""),"566")</f>
        <v>566</v>
      </c>
      <c r="B585" s="4" t="str">
        <f>IFERROR(__xludf.DUMMYFUNCTION("""COMPUTED_VALUE"""),"Tensa Cono 3 Mts A/N")</f>
        <v>Tensa Cono 3 Mts A/N</v>
      </c>
      <c r="C585" s="4">
        <f>IFERROR(__xludf.DUMMYFUNCTION("""COMPUTED_VALUE"""),16.0)</f>
        <v>16</v>
      </c>
      <c r="D585" s="4">
        <f>IFERROR(__xludf.DUMMYFUNCTION("""COMPUTED_VALUE"""),16.0)</f>
        <v>16</v>
      </c>
      <c r="E585" s="4" t="str">
        <f>IFERROR(__xludf.DUMMYFUNCTION("""COMPUTED_VALUE"""),"Neto: 16,00 € (a partir de 10 uds.)")</f>
        <v>Neto: 16,00 € (a partir de 10 uds.)</v>
      </c>
    </row>
    <row r="586">
      <c r="A586" s="4" t="str">
        <f>IFERROR(__xludf.DUMMYFUNCTION("""COMPUTED_VALUE"""),"568")</f>
        <v>568</v>
      </c>
      <c r="B586" s="4" t="str">
        <f>IFERROR(__xludf.DUMMYFUNCTION("""COMPUTED_VALUE"""),"Hito vertice divergente 1200x1300")</f>
        <v>Hito vertice divergente 1200x1300</v>
      </c>
      <c r="C586" s="4">
        <f>IFERROR(__xludf.DUMMYFUNCTION("""COMPUTED_VALUE"""),393.75)</f>
        <v>393.75</v>
      </c>
      <c r="D586" s="4"/>
      <c r="E586" s="4" t="str">
        <f>IFERROR(__xludf.DUMMYFUNCTION("""COMPUTED_VALUE"""),"Sin precio neto")</f>
        <v>Sin precio neto</v>
      </c>
    </row>
    <row r="587">
      <c r="A587" s="4" t="str">
        <f>IFERROR(__xludf.DUMMYFUNCTION("""COMPUTED_VALUE"""),"569")</f>
        <v>569</v>
      </c>
      <c r="B587" s="4" t="str">
        <f>IFERROR(__xludf.DUMMYFUNCTION("""COMPUTED_VALUE"""),"Bolardo Acero 100 cm x 8 cm diámetro fijo")</f>
        <v>Bolardo Acero 100 cm x 8 cm diámetro fijo</v>
      </c>
      <c r="C587" s="4">
        <f>IFERROR(__xludf.DUMMYFUNCTION("""COMPUTED_VALUE"""),33.6)</f>
        <v>33.6</v>
      </c>
      <c r="D587" s="4"/>
      <c r="E587" s="4" t="str">
        <f>IFERROR(__xludf.DUMMYFUNCTION("""COMPUTED_VALUE"""),"Sin precio neto")</f>
        <v>Sin precio neto</v>
      </c>
    </row>
    <row r="588">
      <c r="A588" s="4" t="str">
        <f>IFERROR(__xludf.DUMMYFUNCTION("""COMPUTED_VALUE"""),"0569/PLATO")</f>
        <v>0569/PLATO</v>
      </c>
      <c r="B588" s="4" t="str">
        <f>IFERROR(__xludf.DUMMYFUNCTION("""COMPUTED_VALUE"""),"Bolardo Acero 100 cm x 8 cm diam. c/plato")</f>
        <v>Bolardo Acero 100 cm x 8 cm diam. c/plato</v>
      </c>
      <c r="C588" s="4">
        <f>IFERROR(__xludf.DUMMYFUNCTION("""COMPUTED_VALUE"""),56.7)</f>
        <v>56.7</v>
      </c>
      <c r="D588" s="4"/>
      <c r="E588" s="4" t="str">
        <f>IFERROR(__xludf.DUMMYFUNCTION("""COMPUTED_VALUE"""),"Sin precio neto")</f>
        <v>Sin precio neto</v>
      </c>
    </row>
    <row r="589">
      <c r="A589" s="4" t="str">
        <f>IFERROR(__xludf.DUMMYFUNCTION("""COMPUTED_VALUE"""),"0569A")</f>
        <v>0569A</v>
      </c>
      <c r="B589" s="4" t="str">
        <f>IFERROR(__xludf.DUMMYFUNCTION("""COMPUTED_VALUE"""),"Bolardo Acero 100 cm x 8 cm diámetro extraíble")</f>
        <v>Bolardo Acero 100 cm x 8 cm diámetro extraíble</v>
      </c>
      <c r="C589" s="4">
        <f>IFERROR(__xludf.DUMMYFUNCTION("""COMPUTED_VALUE"""),39.9)</f>
        <v>39.9</v>
      </c>
      <c r="D589" s="4"/>
      <c r="E589" s="4" t="str">
        <f>IFERROR(__xludf.DUMMYFUNCTION("""COMPUTED_VALUE"""),"Sin precio neto")</f>
        <v>Sin precio neto</v>
      </c>
    </row>
    <row r="590">
      <c r="A590" s="4" t="str">
        <f>IFERROR(__xludf.DUMMYFUNCTION("""COMPUTED_VALUE"""),"0569E")</f>
        <v>0569E</v>
      </c>
      <c r="B590" s="4" t="str">
        <f>IFERROR(__xludf.DUMMYFUNCTION("""COMPUTED_VALUE"""),"Base-enganche bolardo Acero")</f>
        <v>Base-enganche bolardo Acero</v>
      </c>
      <c r="C590" s="4">
        <f>IFERROR(__xludf.DUMMYFUNCTION("""COMPUTED_VALUE"""),59.0)</f>
        <v>59</v>
      </c>
      <c r="D590" s="4"/>
      <c r="E590" s="4" t="str">
        <f>IFERROR(__xludf.DUMMYFUNCTION("""COMPUTED_VALUE"""),"Sin precio neto")</f>
        <v>Sin precio neto</v>
      </c>
    </row>
    <row r="591">
      <c r="A591" s="4" t="str">
        <f>IFERROR(__xludf.DUMMYFUNCTION("""COMPUTED_VALUE"""),"0569LL")</f>
        <v>0569LL</v>
      </c>
      <c r="B591" s="4" t="str">
        <f>IFERROR(__xludf.DUMMYFUNCTION("""COMPUTED_VALUE"""),"Llave para enganche bolardo Acero")</f>
        <v>Llave para enganche bolardo Acero</v>
      </c>
      <c r="C591" s="4">
        <f>IFERROR(__xludf.DUMMYFUNCTION("""COMPUTED_VALUE"""),6.3)</f>
        <v>6.3</v>
      </c>
      <c r="D591" s="4"/>
      <c r="E591" s="4" t="str">
        <f>IFERROR(__xludf.DUMMYFUNCTION("""COMPUTED_VALUE"""),"Sin precio neto")</f>
        <v>Sin precio neto</v>
      </c>
    </row>
    <row r="592">
      <c r="A592" s="4" t="str">
        <f>IFERROR(__xludf.DUMMYFUNCTION("""COMPUTED_VALUE"""),"570")</f>
        <v>570</v>
      </c>
      <c r="B592" s="4" t="str">
        <f>IFERROR(__xludf.DUMMYFUNCTION("""COMPUTED_VALUE"""),"LLave para colocacion HIto H75")</f>
        <v>LLave para colocacion HIto H75</v>
      </c>
      <c r="C592" s="4">
        <f>IFERROR(__xludf.DUMMYFUNCTION("""COMPUTED_VALUE"""),16.95)</f>
        <v>16.95</v>
      </c>
      <c r="D592" s="4"/>
      <c r="E592" s="4" t="str">
        <f>IFERROR(__xludf.DUMMYFUNCTION("""COMPUTED_VALUE"""),"Sin precio neto")</f>
        <v>Sin precio neto</v>
      </c>
    </row>
    <row r="593">
      <c r="A593" s="4" t="str">
        <f>IFERROR(__xludf.DUMMYFUNCTION("""COMPUTED_VALUE"""),"571")</f>
        <v>571</v>
      </c>
      <c r="B593" s="4" t="str">
        <f>IFERROR(__xludf.DUMMYFUNCTION("""COMPUTED_VALUE"""),"Hito 75 cm c/base basculante Mod. B Verde")</f>
        <v>Hito 75 cm c/base basculante Mod. B Verde</v>
      </c>
      <c r="C593" s="4">
        <f>IFERROR(__xludf.DUMMYFUNCTION("""COMPUTED_VALUE"""),26.0)</f>
        <v>26</v>
      </c>
      <c r="D593" s="4"/>
      <c r="E593" s="4" t="str">
        <f>IFERROR(__xludf.DUMMYFUNCTION("""COMPUTED_VALUE"""),"Sin precio neto")</f>
        <v>Sin precio neto</v>
      </c>
    </row>
    <row r="594">
      <c r="A594" s="4" t="str">
        <f>IFERROR(__xludf.DUMMYFUNCTION("""COMPUTED_VALUE"""),"0571A")</f>
        <v>0571A</v>
      </c>
      <c r="B594" s="4" t="str">
        <f>IFERROR(__xludf.DUMMYFUNCTION("""COMPUTED_VALUE"""),"Hito 75 cm c/base basculante Mod. B Azul")</f>
        <v>Hito 75 cm c/base basculante Mod. B Azul</v>
      </c>
      <c r="C594" s="4">
        <f>IFERROR(__xludf.DUMMYFUNCTION("""COMPUTED_VALUE"""),26.0)</f>
        <v>26</v>
      </c>
      <c r="D594" s="4"/>
      <c r="E594" s="4" t="str">
        <f>IFERROR(__xludf.DUMMYFUNCTION("""COMPUTED_VALUE"""),"Sin precio neto")</f>
        <v>Sin precio neto</v>
      </c>
    </row>
    <row r="595">
      <c r="A595" s="4" t="str">
        <f>IFERROR(__xludf.DUMMYFUNCTION("""COMPUTED_VALUE"""),"574")</f>
        <v>574</v>
      </c>
      <c r="B595" s="4" t="str">
        <f>IFERROR(__xludf.DUMMYFUNCTION("""COMPUTED_VALUE"""),"Hito H-75 Polietileno azul Mod. A")</f>
        <v>Hito H-75 Polietileno azul Mod. A</v>
      </c>
      <c r="C595" s="4">
        <f>IFERROR(__xludf.DUMMYFUNCTION("""COMPUTED_VALUE"""),16.95)</f>
        <v>16.95</v>
      </c>
      <c r="D595" s="4">
        <f>IFERROR(__xludf.DUMMYFUNCTION("""COMPUTED_VALUE"""),15.5)</f>
        <v>15.5</v>
      </c>
      <c r="E595" s="4" t="str">
        <f>IFERROR(__xludf.DUMMYFUNCTION("""COMPUTED_VALUE"""),"Neto: 15,50 € (a partir de 12 uds.)")</f>
        <v>Neto: 15,50 € (a partir de 12 uds.)</v>
      </c>
    </row>
    <row r="596">
      <c r="A596" s="4" t="str">
        <f>IFERROR(__xludf.DUMMYFUNCTION("""COMPUTED_VALUE"""),"0574P")</f>
        <v>0574P</v>
      </c>
      <c r="B596" s="4" t="str">
        <f>IFERROR(__xludf.DUMMYFUNCTION("""COMPUTED_VALUE"""),"Hito H-50 Polietileno azul Mod. A")</f>
        <v>Hito H-50 Polietileno azul Mod. A</v>
      </c>
      <c r="C596" s="4">
        <f>IFERROR(__xludf.DUMMYFUNCTION("""COMPUTED_VALUE"""),13.75)</f>
        <v>13.75</v>
      </c>
      <c r="D596" s="4"/>
      <c r="E596" s="4" t="str">
        <f>IFERROR(__xludf.DUMMYFUNCTION("""COMPUTED_VALUE"""),"Sin precio neto")</f>
        <v>Sin precio neto</v>
      </c>
    </row>
    <row r="597">
      <c r="A597" s="4" t="str">
        <f>IFERROR(__xludf.DUMMYFUNCTION("""COMPUTED_VALUE"""),"0575A")</f>
        <v>0575A</v>
      </c>
      <c r="B597" s="4" t="str">
        <f>IFERROR(__xludf.DUMMYFUNCTION("""COMPUTED_VALUE"""),"Bandera señalizacion Mod. Basic Amarillo")</f>
        <v>Bandera señalizacion Mod. Basic Amarillo</v>
      </c>
      <c r="C597" s="4">
        <f>IFERROR(__xludf.DUMMYFUNCTION("""COMPUTED_VALUE"""),4.9)</f>
        <v>4.9</v>
      </c>
      <c r="D597" s="4"/>
      <c r="E597" s="4" t="str">
        <f>IFERROR(__xludf.DUMMYFUNCTION("""COMPUTED_VALUE"""),"Sin precio neto")</f>
        <v>Sin precio neto</v>
      </c>
    </row>
    <row r="598">
      <c r="A598" s="4" t="str">
        <f>IFERROR(__xludf.DUMMYFUNCTION("""COMPUTED_VALUE"""),"0575R")</f>
        <v>0575R</v>
      </c>
      <c r="B598" s="4" t="str">
        <f>IFERROR(__xludf.DUMMYFUNCTION("""COMPUTED_VALUE"""),"Bandera señalizacion Mod. Basic Rojo")</f>
        <v>Bandera señalizacion Mod. Basic Rojo</v>
      </c>
      <c r="C598" s="4">
        <f>IFERROR(__xludf.DUMMYFUNCTION("""COMPUTED_VALUE"""),4.9)</f>
        <v>4.9</v>
      </c>
      <c r="D598" s="4"/>
      <c r="E598" s="4" t="str">
        <f>IFERROR(__xludf.DUMMYFUNCTION("""COMPUTED_VALUE"""),"Sin precio neto")</f>
        <v>Sin precio neto</v>
      </c>
    </row>
    <row r="599">
      <c r="A599" s="4" t="str">
        <f>IFERROR(__xludf.DUMMYFUNCTION("""COMPUTED_VALUE"""),"0575V")</f>
        <v>0575V</v>
      </c>
      <c r="B599" s="4" t="str">
        <f>IFERROR(__xludf.DUMMYFUNCTION("""COMPUTED_VALUE"""),"Bandera señalizacion Mod. Basic Verde")</f>
        <v>Bandera señalizacion Mod. Basic Verde</v>
      </c>
      <c r="C599" s="4">
        <f>IFERROR(__xludf.DUMMYFUNCTION("""COMPUTED_VALUE"""),4.9)</f>
        <v>4.9</v>
      </c>
      <c r="D599" s="4"/>
      <c r="E599" s="4" t="str">
        <f>IFERROR(__xludf.DUMMYFUNCTION("""COMPUTED_VALUE"""),"Sin precio neto")</f>
        <v>Sin precio neto</v>
      </c>
    </row>
    <row r="600">
      <c r="A600" s="4" t="str">
        <f>IFERROR(__xludf.DUMMYFUNCTION("""COMPUTED_VALUE"""),"0575Z")</f>
        <v>0575Z</v>
      </c>
      <c r="B600" s="4" t="str">
        <f>IFERROR(__xludf.DUMMYFUNCTION("""COMPUTED_VALUE"""),"Bandera señalizacion Mod. Basic Azul")</f>
        <v>Bandera señalizacion Mod. Basic Azul</v>
      </c>
      <c r="C600" s="4">
        <f>IFERROR(__xludf.DUMMYFUNCTION("""COMPUTED_VALUE"""),4.9)</f>
        <v>4.9</v>
      </c>
      <c r="D600" s="4"/>
      <c r="E600" s="4" t="str">
        <f>IFERROR(__xludf.DUMMYFUNCTION("""COMPUTED_VALUE"""),"Sin precio neto")</f>
        <v>Sin precio neto</v>
      </c>
    </row>
    <row r="601">
      <c r="A601" s="4" t="str">
        <f>IFERROR(__xludf.DUMMYFUNCTION("""COMPUTED_VALUE"""),"576")</f>
        <v>576</v>
      </c>
      <c r="B601" s="4" t="str">
        <f>IFERROR(__xludf.DUMMYFUNCTION("""COMPUTED_VALUE"""),"Hito H-75 fijo Polietileno verde Mod. A")</f>
        <v>Hito H-75 fijo Polietileno verde Mod. A</v>
      </c>
      <c r="C601" s="4">
        <f>IFERROR(__xludf.DUMMYFUNCTION("""COMPUTED_VALUE"""),16.95)</f>
        <v>16.95</v>
      </c>
      <c r="D601" s="4">
        <f>IFERROR(__xludf.DUMMYFUNCTION("""COMPUTED_VALUE"""),15.5)</f>
        <v>15.5</v>
      </c>
      <c r="E601" s="4" t="str">
        <f>IFERROR(__xludf.DUMMYFUNCTION("""COMPUTED_VALUE"""),"Neto: 15,50 € (a partir de 12 uds.)")</f>
        <v>Neto: 15,50 € (a partir de 12 uds.)</v>
      </c>
    </row>
    <row r="602">
      <c r="A602" s="4" t="str">
        <f>IFERROR(__xludf.DUMMYFUNCTION("""COMPUTED_VALUE"""),"0576P")</f>
        <v>0576P</v>
      </c>
      <c r="B602" s="4" t="str">
        <f>IFERROR(__xludf.DUMMYFUNCTION("""COMPUTED_VALUE"""),"Hito H-50 fijo Polietileno verde Mod. A")</f>
        <v>Hito H-50 fijo Polietileno verde Mod. A</v>
      </c>
      <c r="C602" s="4">
        <f>IFERROR(__xludf.DUMMYFUNCTION("""COMPUTED_VALUE"""),13.75)</f>
        <v>13.75</v>
      </c>
      <c r="D602" s="4"/>
      <c r="E602" s="4" t="str">
        <f>IFERROR(__xludf.DUMMYFUNCTION("""COMPUTED_VALUE"""),"Sin precio neto")</f>
        <v>Sin precio neto</v>
      </c>
    </row>
    <row r="603">
      <c r="A603" s="4" t="str">
        <f>IFERROR(__xludf.DUMMYFUNCTION("""COMPUTED_VALUE"""),"0576T")</f>
        <v>0576T</v>
      </c>
      <c r="B603" s="4" t="str">
        <f>IFERROR(__xludf.DUMMYFUNCTION("""COMPUTED_VALUE"""),"Tornillo con casquillo para H-75")</f>
        <v>Tornillo con casquillo para H-75</v>
      </c>
      <c r="C603" s="4">
        <f>IFERROR(__xludf.DUMMYFUNCTION("""COMPUTED_VALUE"""),2.15)</f>
        <v>2.15</v>
      </c>
      <c r="D603" s="4"/>
      <c r="E603" s="4" t="str">
        <f>IFERROR(__xludf.DUMMYFUNCTION("""COMPUTED_VALUE"""),"Sin precio neto")</f>
        <v>Sin precio neto</v>
      </c>
    </row>
    <row r="604">
      <c r="A604" s="4" t="str">
        <f>IFERROR(__xludf.DUMMYFUNCTION("""COMPUTED_VALUE"""),"577")</f>
        <v>577</v>
      </c>
      <c r="B604" s="4" t="str">
        <f>IFERROR(__xludf.DUMMYFUNCTION("""COMPUTED_VALUE"""),"Señal Obra con mango STOP-PASO")</f>
        <v>Señal Obra con mango STOP-PASO</v>
      </c>
      <c r="C604" s="4">
        <f>IFERROR(__xludf.DUMMYFUNCTION("""COMPUTED_VALUE"""),4.9)</f>
        <v>4.9</v>
      </c>
      <c r="D604" s="4">
        <f>IFERROR(__xludf.DUMMYFUNCTION("""COMPUTED_VALUE"""),4.5)</f>
        <v>4.5</v>
      </c>
      <c r="E604" s="4" t="str">
        <f>IFERROR(__xludf.DUMMYFUNCTION("""COMPUTED_VALUE"""),"Neto: 4,50 € (a partir de 50 uds.)")</f>
        <v>Neto: 4,50 € (a partir de 50 uds.)</v>
      </c>
    </row>
    <row r="605">
      <c r="A605" s="4" t="str">
        <f>IFERROR(__xludf.DUMMYFUNCTION("""COMPUTED_VALUE"""),"0577A")</f>
        <v>0577A</v>
      </c>
      <c r="B605" s="4" t="str">
        <f>IFERROR(__xludf.DUMMYFUNCTION("""COMPUTED_VALUE"""),"Señal Stop/Paso con Mango Reforzada aluminio")</f>
        <v>Señal Stop/Paso con Mango Reforzada aluminio</v>
      </c>
      <c r="C605" s="4">
        <f>IFERROR(__xludf.DUMMYFUNCTION("""COMPUTED_VALUE"""),9.0)</f>
        <v>9</v>
      </c>
      <c r="D605" s="4"/>
      <c r="E605" s="4" t="str">
        <f>IFERROR(__xludf.DUMMYFUNCTION("""COMPUTED_VALUE"""),"Sin precio neto")</f>
        <v>Sin precio neto</v>
      </c>
    </row>
    <row r="606">
      <c r="A606" s="4" t="str">
        <f>IFERROR(__xludf.DUMMYFUNCTION("""COMPUTED_VALUE"""),"0577B")</f>
        <v>0577B</v>
      </c>
      <c r="B606" s="4" t="str">
        <f>IFERROR(__xludf.DUMMYFUNCTION("""COMPUTED_VALUE"""),"Señal Obra con mango STOP-PASO 1.5 m")</f>
        <v>Señal Obra con mango STOP-PASO 1.5 m</v>
      </c>
      <c r="C606" s="4">
        <f>IFERROR(__xludf.DUMMYFUNCTION("""COMPUTED_VALUE"""),7.75)</f>
        <v>7.75</v>
      </c>
      <c r="D606" s="4"/>
      <c r="E606" s="4" t="str">
        <f>IFERROR(__xludf.DUMMYFUNCTION("""COMPUTED_VALUE"""),"Sin precio neto")</f>
        <v>Sin precio neto</v>
      </c>
    </row>
    <row r="607">
      <c r="A607" s="4" t="str">
        <f>IFERROR(__xludf.DUMMYFUNCTION("""COMPUTED_VALUE"""),"578")</f>
        <v>578</v>
      </c>
      <c r="B607" s="4" t="str">
        <f>IFERROR(__xludf.DUMMYFUNCTION("""COMPUTED_VALUE"""),"Soporte metálica para señal bolsa")</f>
        <v>Soporte metálica para señal bolsa</v>
      </c>
      <c r="C607" s="4">
        <f>IFERROR(__xludf.DUMMYFUNCTION("""COMPUTED_VALUE"""),15.75)</f>
        <v>15.75</v>
      </c>
      <c r="D607" s="4">
        <f>IFERROR(__xludf.DUMMYFUNCTION("""COMPUTED_VALUE"""),15.5)</f>
        <v>15.5</v>
      </c>
      <c r="E607" s="4" t="str">
        <f>IFERROR(__xludf.DUMMYFUNCTION("""COMPUTED_VALUE"""),"Neto: 15,50 € (a partir de 2 uds.)")</f>
        <v>Neto: 15,50 € (a partir de 2 uds.)</v>
      </c>
    </row>
    <row r="608">
      <c r="A608" s="4" t="str">
        <f>IFERROR(__xludf.DUMMYFUNCTION("""COMPUTED_VALUE"""),"0579A")</f>
        <v>0579A</v>
      </c>
      <c r="B608" s="4" t="str">
        <f>IFERROR(__xludf.DUMMYFUNCTION("""COMPUTED_VALUE"""),"Pilona extraible PVC-EVA 810 mm Amarilla")</f>
        <v>Pilona extraible PVC-EVA 810 mm Amarilla</v>
      </c>
      <c r="C608" s="4">
        <f>IFERROR(__xludf.DUMMYFUNCTION("""COMPUTED_VALUE"""),46.0)</f>
        <v>46</v>
      </c>
      <c r="D608" s="4"/>
      <c r="E608" s="4" t="str">
        <f>IFERROR(__xludf.DUMMYFUNCTION("""COMPUTED_VALUE"""),"Sin precio neto")</f>
        <v>Sin precio neto</v>
      </c>
    </row>
    <row r="609">
      <c r="A609" s="4" t="str">
        <f>IFERROR(__xludf.DUMMYFUNCTION("""COMPUTED_VALUE"""),"0579B")</f>
        <v>0579B</v>
      </c>
      <c r="B609" s="4" t="str">
        <f>IFERROR(__xludf.DUMMYFUNCTION("""COMPUTED_VALUE"""),"Sistema extraible para pilona 0579")</f>
        <v>Sistema extraible para pilona 0579</v>
      </c>
      <c r="C609" s="4">
        <f>IFERROR(__xludf.DUMMYFUNCTION("""COMPUTED_VALUE"""),35.63)</f>
        <v>35.63</v>
      </c>
      <c r="D609" s="4"/>
      <c r="E609" s="4" t="str">
        <f>IFERROR(__xludf.DUMMYFUNCTION("""COMPUTED_VALUE"""),"Sin precio neto")</f>
        <v>Sin precio neto</v>
      </c>
    </row>
    <row r="610">
      <c r="A610" s="4" t="str">
        <f>IFERROR(__xludf.DUMMYFUNCTION("""COMPUTED_VALUE"""),"0579LL")</f>
        <v>0579LL</v>
      </c>
      <c r="B610" s="4" t="str">
        <f>IFERROR(__xludf.DUMMYFUNCTION("""COMPUTED_VALUE"""),"Llave para pilona extraible 0579")</f>
        <v>Llave para pilona extraible 0579</v>
      </c>
      <c r="C610" s="4">
        <f>IFERROR(__xludf.DUMMYFUNCTION("""COMPUTED_VALUE"""),8.0)</f>
        <v>8</v>
      </c>
      <c r="D610" s="4"/>
      <c r="E610" s="4" t="str">
        <f>IFERROR(__xludf.DUMMYFUNCTION("""COMPUTED_VALUE"""),"Sin precio neto")</f>
        <v>Sin precio neto</v>
      </c>
    </row>
    <row r="611">
      <c r="A611" s="4" t="str">
        <f>IFERROR(__xludf.DUMMYFUNCTION("""COMPUTED_VALUE"""),"0579N")</f>
        <v>0579N</v>
      </c>
      <c r="B611" s="4" t="str">
        <f>IFERROR(__xludf.DUMMYFUNCTION("""COMPUTED_VALUE"""),"Pilona Extraíble PVC-EVA 810 mm Negro")</f>
        <v>Pilona Extraíble PVC-EVA 810 mm Negro</v>
      </c>
      <c r="C611" s="4">
        <f>IFERROR(__xludf.DUMMYFUNCTION("""COMPUTED_VALUE"""),46.0)</f>
        <v>46</v>
      </c>
      <c r="D611" s="4"/>
      <c r="E611" s="4" t="str">
        <f>IFERROR(__xludf.DUMMYFUNCTION("""COMPUTED_VALUE"""),"Sin precio neto")</f>
        <v>Sin precio neto</v>
      </c>
    </row>
    <row r="612">
      <c r="A612" s="4" t="str">
        <f>IFERROR(__xludf.DUMMYFUNCTION("""COMPUTED_VALUE"""),"0579R")</f>
        <v>0579R</v>
      </c>
      <c r="B612" s="4" t="str">
        <f>IFERROR(__xludf.DUMMYFUNCTION("""COMPUTED_VALUE"""),"Pilona extraible PVC-EVA 810 mm Rojo")</f>
        <v>Pilona extraible PVC-EVA 810 mm Rojo</v>
      </c>
      <c r="C612" s="4">
        <f>IFERROR(__xludf.DUMMYFUNCTION("""COMPUTED_VALUE"""),46.0)</f>
        <v>46</v>
      </c>
      <c r="D612" s="4"/>
      <c r="E612" s="4" t="str">
        <f>IFERROR(__xludf.DUMMYFUNCTION("""COMPUTED_VALUE"""),"Sin precio neto")</f>
        <v>Sin precio neto</v>
      </c>
    </row>
    <row r="613">
      <c r="A613" s="4" t="str">
        <f>IFERROR(__xludf.DUMMYFUNCTION("""COMPUTED_VALUE"""),"0579V")</f>
        <v>0579V</v>
      </c>
      <c r="B613" s="4" t="str">
        <f>IFERROR(__xludf.DUMMYFUNCTION("""COMPUTED_VALUE"""),"Pilona extraible PVC-EVA 810 mm Verde")</f>
        <v>Pilona extraible PVC-EVA 810 mm Verde</v>
      </c>
      <c r="C613" s="4">
        <f>IFERROR(__xludf.DUMMYFUNCTION("""COMPUTED_VALUE"""),46.0)</f>
        <v>46</v>
      </c>
      <c r="D613" s="4"/>
      <c r="E613" s="4" t="str">
        <f>IFERROR(__xludf.DUMMYFUNCTION("""COMPUTED_VALUE"""),"Sin precio neto")</f>
        <v>Sin precio neto</v>
      </c>
    </row>
    <row r="614">
      <c r="A614" s="4" t="str">
        <f>IFERROR(__xludf.DUMMYFUNCTION("""COMPUTED_VALUE"""),"0579Z")</f>
        <v>0579Z</v>
      </c>
      <c r="B614" s="4" t="str">
        <f>IFERROR(__xludf.DUMMYFUNCTION("""COMPUTED_VALUE"""),"Pilona extraible PVC-EVA 810 mm Azul")</f>
        <v>Pilona extraible PVC-EVA 810 mm Azul</v>
      </c>
      <c r="C614" s="4">
        <f>IFERROR(__xludf.DUMMYFUNCTION("""COMPUTED_VALUE"""),46.0)</f>
        <v>46</v>
      </c>
      <c r="D614" s="4"/>
      <c r="E614" s="4" t="str">
        <f>IFERROR(__xludf.DUMMYFUNCTION("""COMPUTED_VALUE"""),"Sin precio neto")</f>
        <v>Sin precio neto</v>
      </c>
    </row>
    <row r="615">
      <c r="A615" s="4" t="str">
        <f>IFERROR(__xludf.DUMMYFUNCTION("""COMPUTED_VALUE"""),"0580A")</f>
        <v>0580A</v>
      </c>
      <c r="B615" s="4" t="str">
        <f>IFERROR(__xludf.DUMMYFUNCTION("""COMPUTED_VALUE"""),"Pilona fija PVC-EVA 810 mm Amarillo con peana")</f>
        <v>Pilona fija PVC-EVA 810 mm Amarillo con peana</v>
      </c>
      <c r="C615" s="4">
        <f>IFERROR(__xludf.DUMMYFUNCTION("""COMPUTED_VALUE"""),47.0)</f>
        <v>47</v>
      </c>
      <c r="D615" s="4"/>
      <c r="E615" s="4" t="str">
        <f>IFERROR(__xludf.DUMMYFUNCTION("""COMPUTED_VALUE"""),"Sin precio neto")</f>
        <v>Sin precio neto</v>
      </c>
    </row>
    <row r="616">
      <c r="A616" s="4" t="str">
        <f>IFERROR(__xludf.DUMMYFUNCTION("""COMPUTED_VALUE"""),"0580N")</f>
        <v>0580N</v>
      </c>
      <c r="B616" s="4" t="str">
        <f>IFERROR(__xludf.DUMMYFUNCTION("""COMPUTED_VALUE"""),"Pilona fija PVC-EVA 810 mm Negro con peana")</f>
        <v>Pilona fija PVC-EVA 810 mm Negro con peana</v>
      </c>
      <c r="C616" s="4">
        <f>IFERROR(__xludf.DUMMYFUNCTION("""COMPUTED_VALUE"""),47.0)</f>
        <v>47</v>
      </c>
      <c r="D616" s="4"/>
      <c r="E616" s="4" t="str">
        <f>IFERROR(__xludf.DUMMYFUNCTION("""COMPUTED_VALUE"""),"Sin precio neto")</f>
        <v>Sin precio neto</v>
      </c>
    </row>
    <row r="617">
      <c r="A617" s="4" t="str">
        <f>IFERROR(__xludf.DUMMYFUNCTION("""COMPUTED_VALUE"""),"0580R")</f>
        <v>0580R</v>
      </c>
      <c r="B617" s="4" t="str">
        <f>IFERROR(__xludf.DUMMYFUNCTION("""COMPUTED_VALUE"""),"Pilona fija PVC-EVA 810 mm Rojo con peana")</f>
        <v>Pilona fija PVC-EVA 810 mm Rojo con peana</v>
      </c>
      <c r="C617" s="4">
        <f>IFERROR(__xludf.DUMMYFUNCTION("""COMPUTED_VALUE"""),47.0)</f>
        <v>47</v>
      </c>
      <c r="D617" s="4"/>
      <c r="E617" s="4" t="str">
        <f>IFERROR(__xludf.DUMMYFUNCTION("""COMPUTED_VALUE"""),"Sin precio neto")</f>
        <v>Sin precio neto</v>
      </c>
    </row>
    <row r="618">
      <c r="A618" s="4" t="str">
        <f>IFERROR(__xludf.DUMMYFUNCTION("""COMPUTED_VALUE"""),"0580V")</f>
        <v>0580V</v>
      </c>
      <c r="B618" s="4" t="str">
        <f>IFERROR(__xludf.DUMMYFUNCTION("""COMPUTED_VALUE"""),"Pilona fija PVC-EVA 810 mm Verde con peana")</f>
        <v>Pilona fija PVC-EVA 810 mm Verde con peana</v>
      </c>
      <c r="C618" s="4">
        <f>IFERROR(__xludf.DUMMYFUNCTION("""COMPUTED_VALUE"""),47.0)</f>
        <v>47</v>
      </c>
      <c r="D618" s="4"/>
      <c r="E618" s="4" t="str">
        <f>IFERROR(__xludf.DUMMYFUNCTION("""COMPUTED_VALUE"""),"Sin precio neto")</f>
        <v>Sin precio neto</v>
      </c>
    </row>
    <row r="619">
      <c r="A619" s="4" t="str">
        <f>IFERROR(__xludf.DUMMYFUNCTION("""COMPUTED_VALUE"""),"0580Z")</f>
        <v>0580Z</v>
      </c>
      <c r="B619" s="4" t="str">
        <f>IFERROR(__xludf.DUMMYFUNCTION("""COMPUTED_VALUE"""),"Pilona fija PVC-EVA 810 mm Azul con peana")</f>
        <v>Pilona fija PVC-EVA 810 mm Azul con peana</v>
      </c>
      <c r="C619" s="4">
        <f>IFERROR(__xludf.DUMMYFUNCTION("""COMPUTED_VALUE"""),47.0)</f>
        <v>47</v>
      </c>
      <c r="D619" s="4"/>
      <c r="E619" s="4" t="str">
        <f>IFERROR(__xludf.DUMMYFUNCTION("""COMPUTED_VALUE"""),"Sin precio neto")</f>
        <v>Sin precio neto</v>
      </c>
    </row>
    <row r="620">
      <c r="A620" s="4" t="str">
        <f>IFERROR(__xludf.DUMMYFUNCTION("""COMPUTED_VALUE"""),"581")</f>
        <v>581</v>
      </c>
      <c r="B620" s="4" t="str">
        <f>IFERROR(__xludf.DUMMYFUNCTION("""COMPUTED_VALUE"""),"Hito 100 cm PVC blando Naranja Mod.J")</f>
        <v>Hito 100 cm PVC blando Naranja Mod.J</v>
      </c>
      <c r="C620" s="4">
        <f>IFERROR(__xludf.DUMMYFUNCTION("""COMPUTED_VALUE"""),22.1)</f>
        <v>22.1</v>
      </c>
      <c r="D620" s="4"/>
      <c r="E620" s="4" t="str">
        <f>IFERROR(__xludf.DUMMYFUNCTION("""COMPUTED_VALUE"""),"Sin precio neto")</f>
        <v>Sin precio neto</v>
      </c>
    </row>
    <row r="621">
      <c r="A621" s="4" t="str">
        <f>IFERROR(__xludf.DUMMYFUNCTION("""COMPUTED_VALUE"""),"0581A")</f>
        <v>0581A</v>
      </c>
      <c r="B621" s="4" t="str">
        <f>IFERROR(__xludf.DUMMYFUNCTION("""COMPUTED_VALUE"""),"Hito 100 cm PVC blando Azul Mod.J")</f>
        <v>Hito 100 cm PVC blando Azul Mod.J</v>
      </c>
      <c r="C621" s="4">
        <f>IFERROR(__xludf.DUMMYFUNCTION("""COMPUTED_VALUE"""),22.1)</f>
        <v>22.1</v>
      </c>
      <c r="D621" s="4"/>
      <c r="E621" s="4" t="str">
        <f>IFERROR(__xludf.DUMMYFUNCTION("""COMPUTED_VALUE"""),"Sin precio neto")</f>
        <v>Sin precio neto</v>
      </c>
    </row>
    <row r="622">
      <c r="A622" s="4" t="str">
        <f>IFERROR(__xludf.DUMMYFUNCTION("""COMPUTED_VALUE"""),"0581AM")</f>
        <v>0581AM</v>
      </c>
      <c r="B622" s="4" t="str">
        <f>IFERROR(__xludf.DUMMYFUNCTION("""COMPUTED_VALUE"""),"Hito 100 cm PVC blando Amarillo Mod.J")</f>
        <v>Hito 100 cm PVC blando Amarillo Mod.J</v>
      </c>
      <c r="C622" s="4">
        <f>IFERROR(__xludf.DUMMYFUNCTION("""COMPUTED_VALUE"""),22.1)</f>
        <v>22.1</v>
      </c>
      <c r="D622" s="4"/>
      <c r="E622" s="4" t="str">
        <f>IFERROR(__xludf.DUMMYFUNCTION("""COMPUTED_VALUE"""),"Sin precio neto")</f>
        <v>Sin precio neto</v>
      </c>
    </row>
    <row r="623">
      <c r="A623" s="4" t="str">
        <f>IFERROR(__xludf.DUMMYFUNCTION("""COMPUTED_VALUE"""),"0581B")</f>
        <v>0581B</v>
      </c>
      <c r="B623" s="4" t="str">
        <f>IFERROR(__xludf.DUMMYFUNCTION("""COMPUTED_VALUE"""),"Hito 100 cm PVC blando Blanco Mod.J")</f>
        <v>Hito 100 cm PVC blando Blanco Mod.J</v>
      </c>
      <c r="C623" s="4">
        <f>IFERROR(__xludf.DUMMYFUNCTION("""COMPUTED_VALUE"""),22.1)</f>
        <v>22.1</v>
      </c>
      <c r="D623" s="4"/>
      <c r="E623" s="4" t="str">
        <f>IFERROR(__xludf.DUMMYFUNCTION("""COMPUTED_VALUE"""),"Sin precio neto")</f>
        <v>Sin precio neto</v>
      </c>
    </row>
    <row r="624">
      <c r="A624" s="4" t="str">
        <f>IFERROR(__xludf.DUMMYFUNCTION("""COMPUTED_VALUE"""),"0581NE")</f>
        <v>0581NE</v>
      </c>
      <c r="B624" s="4" t="str">
        <f>IFERROR(__xludf.DUMMYFUNCTION("""COMPUTED_VALUE"""),"Hito 100 cm PVC blando Negro Mod.J")</f>
        <v>Hito 100 cm PVC blando Negro Mod.J</v>
      </c>
      <c r="C624" s="4">
        <f>IFERROR(__xludf.DUMMYFUNCTION("""COMPUTED_VALUE"""),22.1)</f>
        <v>22.1</v>
      </c>
      <c r="D624" s="4"/>
      <c r="E624" s="4" t="str">
        <f>IFERROR(__xludf.DUMMYFUNCTION("""COMPUTED_VALUE"""),"Sin precio neto")</f>
        <v>Sin precio neto</v>
      </c>
    </row>
    <row r="625">
      <c r="A625" s="4" t="str">
        <f>IFERROR(__xludf.DUMMYFUNCTION("""COMPUTED_VALUE"""),"0581R")</f>
        <v>0581R</v>
      </c>
      <c r="B625" s="4" t="str">
        <f>IFERROR(__xludf.DUMMYFUNCTION("""COMPUTED_VALUE"""),"Hito 100 cm PVC blando Rojo Mod.J")</f>
        <v>Hito 100 cm PVC blando Rojo Mod.J</v>
      </c>
      <c r="C625" s="4">
        <f>IFERROR(__xludf.DUMMYFUNCTION("""COMPUTED_VALUE"""),22.1)</f>
        <v>22.1</v>
      </c>
      <c r="D625" s="4"/>
      <c r="E625" s="4" t="str">
        <f>IFERROR(__xludf.DUMMYFUNCTION("""COMPUTED_VALUE"""),"Sin precio neto")</f>
        <v>Sin precio neto</v>
      </c>
    </row>
    <row r="626">
      <c r="A626" s="4" t="str">
        <f>IFERROR(__xludf.DUMMYFUNCTION("""COMPUTED_VALUE"""),"0581V")</f>
        <v>0581V</v>
      </c>
      <c r="B626" s="4" t="str">
        <f>IFERROR(__xludf.DUMMYFUNCTION("""COMPUTED_VALUE"""),"Hito 100 cm PVC blando Verde Mod.J")</f>
        <v>Hito 100 cm PVC blando Verde Mod.J</v>
      </c>
      <c r="C626" s="4">
        <f>IFERROR(__xludf.DUMMYFUNCTION("""COMPUTED_VALUE"""),22.1)</f>
        <v>22.1</v>
      </c>
      <c r="D626" s="4"/>
      <c r="E626" s="4" t="str">
        <f>IFERROR(__xludf.DUMMYFUNCTION("""COMPUTED_VALUE"""),"Sin precio neto")</f>
        <v>Sin precio neto</v>
      </c>
    </row>
    <row r="627">
      <c r="A627" s="4" t="str">
        <f>IFERROR(__xludf.DUMMYFUNCTION("""COMPUTED_VALUE"""),"582")</f>
        <v>582</v>
      </c>
      <c r="B627" s="4" t="str">
        <f>IFERROR(__xludf.DUMMYFUNCTION("""COMPUTED_VALUE"""),"Hito H-75 flexible E.V.A. verde Mod. C Plus")</f>
        <v>Hito H-75 flexible E.V.A. verde Mod. C Plus</v>
      </c>
      <c r="C627" s="4">
        <f>IFERROR(__xludf.DUMMYFUNCTION("""COMPUTED_VALUE"""),22.25)</f>
        <v>22.25</v>
      </c>
      <c r="D627" s="4">
        <f>IFERROR(__xludf.DUMMYFUNCTION("""COMPUTED_VALUE"""),17.5)</f>
        <v>17.5</v>
      </c>
      <c r="E627" s="4" t="str">
        <f>IFERROR(__xludf.DUMMYFUNCTION("""COMPUTED_VALUE"""),"Neto: 17,50 € (a partir de 12 uds.)")</f>
        <v>Neto: 17,50 € (a partir de 12 uds.)</v>
      </c>
    </row>
    <row r="628">
      <c r="A628" s="4" t="str">
        <f>IFERROR(__xludf.DUMMYFUNCTION("""COMPUTED_VALUE"""),"0582P")</f>
        <v>0582P</v>
      </c>
      <c r="B628" s="4" t="str">
        <f>IFERROR(__xludf.DUMMYFUNCTION("""COMPUTED_VALUE"""),"Hito H-50 flexible E.V.A. verde Mod. C Plus")</f>
        <v>Hito H-50 flexible E.V.A. verde Mod. C Plus</v>
      </c>
      <c r="C628" s="4">
        <f>IFERROR(__xludf.DUMMYFUNCTION("""COMPUTED_VALUE"""),16.25)</f>
        <v>16.25</v>
      </c>
      <c r="D628" s="4"/>
      <c r="E628" s="4" t="str">
        <f>IFERROR(__xludf.DUMMYFUNCTION("""COMPUTED_VALUE"""),"Sin precio neto")</f>
        <v>Sin precio neto</v>
      </c>
    </row>
    <row r="629">
      <c r="A629" s="4" t="str">
        <f>IFERROR(__xludf.DUMMYFUNCTION("""COMPUTED_VALUE"""),"583")</f>
        <v>583</v>
      </c>
      <c r="B629" s="4" t="str">
        <f>IFERROR(__xludf.DUMMYFUNCTION("""COMPUTED_VALUE"""),"Hito H-75 flexible E.V.A. azul Mod. C Plus")</f>
        <v>Hito H-75 flexible E.V.A. azul Mod. C Plus</v>
      </c>
      <c r="C629" s="4">
        <f>IFERROR(__xludf.DUMMYFUNCTION("""COMPUTED_VALUE"""),22.25)</f>
        <v>22.25</v>
      </c>
      <c r="D629" s="4">
        <f>IFERROR(__xludf.DUMMYFUNCTION("""COMPUTED_VALUE"""),17.5)</f>
        <v>17.5</v>
      </c>
      <c r="E629" s="4" t="str">
        <f>IFERROR(__xludf.DUMMYFUNCTION("""COMPUTED_VALUE"""),"Neto: 17,50 € (a partir de 12 uds.)")</f>
        <v>Neto: 17,50 € (a partir de 12 uds.)</v>
      </c>
    </row>
    <row r="630">
      <c r="A630" s="4" t="str">
        <f>IFERROR(__xludf.DUMMYFUNCTION("""COMPUTED_VALUE"""),"0583P")</f>
        <v>0583P</v>
      </c>
      <c r="B630" s="4" t="str">
        <f>IFERROR(__xludf.DUMMYFUNCTION("""COMPUTED_VALUE"""),"Hito H-50 flexible E.V.A. azul Mod. C Plus")</f>
        <v>Hito H-50 flexible E.V.A. azul Mod. C Plus</v>
      </c>
      <c r="C630" s="4">
        <f>IFERROR(__xludf.DUMMYFUNCTION("""COMPUTED_VALUE"""),16.25)</f>
        <v>16.25</v>
      </c>
      <c r="D630" s="4"/>
      <c r="E630" s="4" t="str">
        <f>IFERROR(__xludf.DUMMYFUNCTION("""COMPUTED_VALUE"""),"Sin precio neto")</f>
        <v>Sin precio neto</v>
      </c>
    </row>
    <row r="631">
      <c r="A631" s="4" t="str">
        <f>IFERROR(__xludf.DUMMYFUNCTION("""COMPUTED_VALUE"""),"584")</f>
        <v>584</v>
      </c>
      <c r="B631" s="4" t="str">
        <f>IFERROR(__xludf.DUMMYFUNCTION("""COMPUTED_VALUE"""),"Hito H-75 flexible E.V.A. rojo Mod. C Plus")</f>
        <v>Hito H-75 flexible E.V.A. rojo Mod. C Plus</v>
      </c>
      <c r="C631" s="4">
        <f>IFERROR(__xludf.DUMMYFUNCTION("""COMPUTED_VALUE"""),22.25)</f>
        <v>22.25</v>
      </c>
      <c r="D631" s="4">
        <f>IFERROR(__xludf.DUMMYFUNCTION("""COMPUTED_VALUE"""),17.5)</f>
        <v>17.5</v>
      </c>
      <c r="E631" s="4" t="str">
        <f>IFERROR(__xludf.DUMMYFUNCTION("""COMPUTED_VALUE"""),"Neto: 17,50 € (a partir de 12 uds.)")</f>
        <v>Neto: 17,50 € (a partir de 12 uds.)</v>
      </c>
    </row>
    <row r="632">
      <c r="A632" s="4" t="str">
        <f>IFERROR(__xludf.DUMMYFUNCTION("""COMPUTED_VALUE"""),"0584P")</f>
        <v>0584P</v>
      </c>
      <c r="B632" s="4" t="str">
        <f>IFERROR(__xludf.DUMMYFUNCTION("""COMPUTED_VALUE"""),"Hito H-50 flexible E.V.A. rojo Mod. C Plus")</f>
        <v>Hito H-50 flexible E.V.A. rojo Mod. C Plus</v>
      </c>
      <c r="C632" s="4">
        <f>IFERROR(__xludf.DUMMYFUNCTION("""COMPUTED_VALUE"""),16.25)</f>
        <v>16.25</v>
      </c>
      <c r="D632" s="4"/>
      <c r="E632" s="4" t="str">
        <f>IFERROR(__xludf.DUMMYFUNCTION("""COMPUTED_VALUE"""),"Sin precio neto")</f>
        <v>Sin precio neto</v>
      </c>
    </row>
    <row r="633">
      <c r="A633" s="4" t="str">
        <f>IFERROR(__xludf.DUMMYFUNCTION("""COMPUTED_VALUE"""),"585")</f>
        <v>585</v>
      </c>
      <c r="B633" s="4" t="str">
        <f>IFERROR(__xludf.DUMMYFUNCTION("""COMPUTED_VALUE"""),"Hito H-75 flexible E.V.A. amarillo Mod. C plus")</f>
        <v>Hito H-75 flexible E.V.A. amarillo Mod. C plus</v>
      </c>
      <c r="C633" s="4">
        <f>IFERROR(__xludf.DUMMYFUNCTION("""COMPUTED_VALUE"""),22.05)</f>
        <v>22.05</v>
      </c>
      <c r="D633" s="4">
        <f>IFERROR(__xludf.DUMMYFUNCTION("""COMPUTED_VALUE"""),17.5)</f>
        <v>17.5</v>
      </c>
      <c r="E633" s="4" t="str">
        <f>IFERROR(__xludf.DUMMYFUNCTION("""COMPUTED_VALUE"""),"Neto: 17,50 € (a partir de 12 uds.)")</f>
        <v>Neto: 17,50 € (a partir de 12 uds.)</v>
      </c>
    </row>
    <row r="634">
      <c r="A634" s="4" t="str">
        <f>IFERROR(__xludf.DUMMYFUNCTION("""COMPUTED_VALUE"""),"0585P")</f>
        <v>0585P</v>
      </c>
      <c r="B634" s="4" t="str">
        <f>IFERROR(__xludf.DUMMYFUNCTION("""COMPUTED_VALUE"""),"Hito H-50 flexible E.V.A. amarillo Mod. C Plus")</f>
        <v>Hito H-50 flexible E.V.A. amarillo Mod. C Plus</v>
      </c>
      <c r="C634" s="4">
        <f>IFERROR(__xludf.DUMMYFUNCTION("""COMPUTED_VALUE"""),16.25)</f>
        <v>16.25</v>
      </c>
      <c r="D634" s="4"/>
      <c r="E634" s="4" t="str">
        <f>IFERROR(__xludf.DUMMYFUNCTION("""COMPUTED_VALUE"""),"Sin precio neto")</f>
        <v>Sin precio neto</v>
      </c>
    </row>
    <row r="635">
      <c r="A635" s="4" t="str">
        <f>IFERROR(__xludf.DUMMYFUNCTION("""COMPUTED_VALUE"""),"586")</f>
        <v>586</v>
      </c>
      <c r="B635" s="4" t="str">
        <f>IFERROR(__xludf.DUMMYFUNCTION("""COMPUTED_VALUE"""),"Hito H-75 fijo Polietileno rojo Mod. A")</f>
        <v>Hito H-75 fijo Polietileno rojo Mod. A</v>
      </c>
      <c r="C635" s="4">
        <f>IFERROR(__xludf.DUMMYFUNCTION("""COMPUTED_VALUE"""),16.95)</f>
        <v>16.95</v>
      </c>
      <c r="D635" s="4">
        <f>IFERROR(__xludf.DUMMYFUNCTION("""COMPUTED_VALUE"""),15.5)</f>
        <v>15.5</v>
      </c>
      <c r="E635" s="4" t="str">
        <f>IFERROR(__xludf.DUMMYFUNCTION("""COMPUTED_VALUE"""),"Neto: 15,50 € (a partir de 12 uds.)")</f>
        <v>Neto: 15,50 € (a partir de 12 uds.)</v>
      </c>
    </row>
    <row r="636">
      <c r="A636" s="4" t="str">
        <f>IFERROR(__xludf.DUMMYFUNCTION("""COMPUTED_VALUE"""),"0586P")</f>
        <v>0586P</v>
      </c>
      <c r="B636" s="4" t="str">
        <f>IFERROR(__xludf.DUMMYFUNCTION("""COMPUTED_VALUE"""),"Hito H-50 fijo Polietilieno rojo Mod. A")</f>
        <v>Hito H-50 fijo Polietilieno rojo Mod. A</v>
      </c>
      <c r="C636" s="4">
        <f>IFERROR(__xludf.DUMMYFUNCTION("""COMPUTED_VALUE"""),13.75)</f>
        <v>13.75</v>
      </c>
      <c r="D636" s="4"/>
      <c r="E636" s="4" t="str">
        <f>IFERROR(__xludf.DUMMYFUNCTION("""COMPUTED_VALUE"""),"Sin precio neto")</f>
        <v>Sin precio neto</v>
      </c>
    </row>
    <row r="637">
      <c r="A637" s="4" t="str">
        <f>IFERROR(__xludf.DUMMYFUNCTION("""COMPUTED_VALUE"""),"587")</f>
        <v>587</v>
      </c>
      <c r="B637" s="4" t="str">
        <f>IFERROR(__xludf.DUMMYFUNCTION("""COMPUTED_VALUE"""),"Hito H-75 fijo Polietileno amarillo Mod. A")</f>
        <v>Hito H-75 fijo Polietileno amarillo Mod. A</v>
      </c>
      <c r="C637" s="4">
        <f>IFERROR(__xludf.DUMMYFUNCTION("""COMPUTED_VALUE"""),16.95)</f>
        <v>16.95</v>
      </c>
      <c r="D637" s="4">
        <f>IFERROR(__xludf.DUMMYFUNCTION("""COMPUTED_VALUE"""),15.5)</f>
        <v>15.5</v>
      </c>
      <c r="E637" s="4" t="str">
        <f>IFERROR(__xludf.DUMMYFUNCTION("""COMPUTED_VALUE"""),"Neto: 15,50 € (a partir de 12 uds.)")</f>
        <v>Neto: 15,50 € (a partir de 12 uds.)</v>
      </c>
    </row>
    <row r="638">
      <c r="A638" s="4" t="str">
        <f>IFERROR(__xludf.DUMMYFUNCTION("""COMPUTED_VALUE"""),"0587P")</f>
        <v>0587P</v>
      </c>
      <c r="B638" s="4" t="str">
        <f>IFERROR(__xludf.DUMMYFUNCTION("""COMPUTED_VALUE"""),"Hito H-50 Polietileno amarillo Mod. A")</f>
        <v>Hito H-50 Polietileno amarillo Mod. A</v>
      </c>
      <c r="C638" s="4">
        <f>IFERROR(__xludf.DUMMYFUNCTION("""COMPUTED_VALUE"""),13.75)</f>
        <v>13.75</v>
      </c>
      <c r="D638" s="4"/>
      <c r="E638" s="4" t="str">
        <f>IFERROR(__xludf.DUMMYFUNCTION("""COMPUTED_VALUE"""),"Sin precio neto")</f>
        <v>Sin precio neto</v>
      </c>
    </row>
    <row r="639">
      <c r="A639" s="4" t="str">
        <f>IFERROR(__xludf.DUMMYFUNCTION("""COMPUTED_VALUE"""),"588")</f>
        <v>588</v>
      </c>
      <c r="B639" s="4" t="str">
        <f>IFERROR(__xludf.DUMMYFUNCTION("""COMPUTED_VALUE"""),"Hito 75 cm PVC blando Naranja Mod. E")</f>
        <v>Hito 75 cm PVC blando Naranja Mod. E</v>
      </c>
      <c r="C639" s="4">
        <f>IFERROR(__xludf.DUMMYFUNCTION("""COMPUTED_VALUE"""),13.75)</f>
        <v>13.75</v>
      </c>
      <c r="D639" s="4">
        <f>IFERROR(__xludf.DUMMYFUNCTION("""COMPUTED_VALUE"""),12.5)</f>
        <v>12.5</v>
      </c>
      <c r="E639" s="4" t="str">
        <f>IFERROR(__xludf.DUMMYFUNCTION("""COMPUTED_VALUE"""),"Neto: 12,50 € (a partir de 8 uds.)")</f>
        <v>Neto: 12,50 € (a partir de 8 uds.)</v>
      </c>
    </row>
    <row r="640">
      <c r="A640" s="4" t="str">
        <f>IFERROR(__xludf.DUMMYFUNCTION("""COMPUTED_VALUE"""),"0588A")</f>
        <v>0588A</v>
      </c>
      <c r="B640" s="4" t="str">
        <f>IFERROR(__xludf.DUMMYFUNCTION("""COMPUTED_VALUE"""),"Hito 75 cm PVC blando Azul Mod. E")</f>
        <v>Hito 75 cm PVC blando Azul Mod. E</v>
      </c>
      <c r="C640" s="4">
        <f>IFERROR(__xludf.DUMMYFUNCTION("""COMPUTED_VALUE"""),13.75)</f>
        <v>13.75</v>
      </c>
      <c r="D640" s="4">
        <f>IFERROR(__xludf.DUMMYFUNCTION("""COMPUTED_VALUE"""),12.5)</f>
        <v>12.5</v>
      </c>
      <c r="E640" s="4" t="str">
        <f>IFERROR(__xludf.DUMMYFUNCTION("""COMPUTED_VALUE"""),"Neto: 12,50 € (a partir de 8 uds.)")</f>
        <v>Neto: 12,50 € (a partir de 8 uds.)</v>
      </c>
    </row>
    <row r="641">
      <c r="A641" s="4" t="str">
        <f>IFERROR(__xludf.DUMMYFUNCTION("""COMPUTED_VALUE"""),"0588AM")</f>
        <v>0588AM</v>
      </c>
      <c r="B641" s="4" t="str">
        <f>IFERROR(__xludf.DUMMYFUNCTION("""COMPUTED_VALUE"""),"Hito 75 cm PVC blando Amarillo Mod. E")</f>
        <v>Hito 75 cm PVC blando Amarillo Mod. E</v>
      </c>
      <c r="C641" s="4">
        <f>IFERROR(__xludf.DUMMYFUNCTION("""COMPUTED_VALUE"""),13.75)</f>
        <v>13.75</v>
      </c>
      <c r="D641" s="4">
        <f>IFERROR(__xludf.DUMMYFUNCTION("""COMPUTED_VALUE"""),12.5)</f>
        <v>12.5</v>
      </c>
      <c r="E641" s="4" t="str">
        <f>IFERROR(__xludf.DUMMYFUNCTION("""COMPUTED_VALUE"""),"Neto: 12,50 € (a partir de 8 uds.)")</f>
        <v>Neto: 12,50 € (a partir de 8 uds.)</v>
      </c>
    </row>
    <row r="642">
      <c r="A642" s="4" t="str">
        <f>IFERROR(__xludf.DUMMYFUNCTION("""COMPUTED_VALUE"""),"0588B")</f>
        <v>0588B</v>
      </c>
      <c r="B642" s="4" t="str">
        <f>IFERROR(__xludf.DUMMYFUNCTION("""COMPUTED_VALUE"""),"HIto 75 cm PVC blando Blanco Mod. E")</f>
        <v>HIto 75 cm PVC blando Blanco Mod. E</v>
      </c>
      <c r="C642" s="4">
        <f>IFERROR(__xludf.DUMMYFUNCTION("""COMPUTED_VALUE"""),13.75)</f>
        <v>13.75</v>
      </c>
      <c r="D642" s="4">
        <f>IFERROR(__xludf.DUMMYFUNCTION("""COMPUTED_VALUE"""),12.5)</f>
        <v>12.5</v>
      </c>
      <c r="E642" s="4" t="str">
        <f>IFERROR(__xludf.DUMMYFUNCTION("""COMPUTED_VALUE"""),"Neto: 12,50 € (a partir de 8 uds.)")</f>
        <v>Neto: 12,50 € (a partir de 8 uds.)</v>
      </c>
    </row>
    <row r="643">
      <c r="A643" s="4" t="str">
        <f>IFERROR(__xludf.DUMMYFUNCTION("""COMPUTED_VALUE"""),"0588NE")</f>
        <v>0588NE</v>
      </c>
      <c r="B643" s="4" t="str">
        <f>IFERROR(__xludf.DUMMYFUNCTION("""COMPUTED_VALUE"""),"Hito 75 cm PVC blando Negro Mod. E")</f>
        <v>Hito 75 cm PVC blando Negro Mod. E</v>
      </c>
      <c r="C643" s="4">
        <f>IFERROR(__xludf.DUMMYFUNCTION("""COMPUTED_VALUE"""),13.75)</f>
        <v>13.75</v>
      </c>
      <c r="D643" s="4">
        <f>IFERROR(__xludf.DUMMYFUNCTION("""COMPUTED_VALUE"""),12.5)</f>
        <v>12.5</v>
      </c>
      <c r="E643" s="4" t="str">
        <f>IFERROR(__xludf.DUMMYFUNCTION("""COMPUTED_VALUE"""),"Neto: 12,50 € (a partir de 8 uds.)")</f>
        <v>Neto: 12,50 € (a partir de 8 uds.)</v>
      </c>
    </row>
    <row r="644">
      <c r="A644" s="4" t="str">
        <f>IFERROR(__xludf.DUMMYFUNCTION("""COMPUTED_VALUE"""),"0588R")</f>
        <v>0588R</v>
      </c>
      <c r="B644" s="4" t="str">
        <f>IFERROR(__xludf.DUMMYFUNCTION("""COMPUTED_VALUE"""),"Hito 75 cm PVC blando Rojo Mod. E")</f>
        <v>Hito 75 cm PVC blando Rojo Mod. E</v>
      </c>
      <c r="C644" s="4">
        <f>IFERROR(__xludf.DUMMYFUNCTION("""COMPUTED_VALUE"""),13.75)</f>
        <v>13.75</v>
      </c>
      <c r="D644" s="4">
        <f>IFERROR(__xludf.DUMMYFUNCTION("""COMPUTED_VALUE"""),12.5)</f>
        <v>12.5</v>
      </c>
      <c r="E644" s="4" t="str">
        <f>IFERROR(__xludf.DUMMYFUNCTION("""COMPUTED_VALUE"""),"Neto: 12,50 € (a partir de 8 uds.)")</f>
        <v>Neto: 12,50 € (a partir de 8 uds.)</v>
      </c>
    </row>
    <row r="645">
      <c r="A645" s="4" t="str">
        <f>IFERROR(__xludf.DUMMYFUNCTION("""COMPUTED_VALUE"""),"0588V")</f>
        <v>0588V</v>
      </c>
      <c r="B645" s="4" t="str">
        <f>IFERROR(__xludf.DUMMYFUNCTION("""COMPUTED_VALUE"""),"Hito 75 cm PVC blando Verde Mod. E")</f>
        <v>Hito 75 cm PVC blando Verde Mod. E</v>
      </c>
      <c r="C645" s="4">
        <f>IFERROR(__xludf.DUMMYFUNCTION("""COMPUTED_VALUE"""),13.75)</f>
        <v>13.75</v>
      </c>
      <c r="D645" s="4">
        <f>IFERROR(__xludf.DUMMYFUNCTION("""COMPUTED_VALUE"""),12.0)</f>
        <v>12</v>
      </c>
      <c r="E645" s="4" t="str">
        <f>IFERROR(__xludf.DUMMYFUNCTION("""COMPUTED_VALUE"""),"Neto: 12,00 € (a partir de 8 uds.)")</f>
        <v>Neto: 12,00 € (a partir de 8 uds.)</v>
      </c>
    </row>
    <row r="646">
      <c r="A646" s="4" t="str">
        <f>IFERROR(__xludf.DUMMYFUNCTION("""COMPUTED_VALUE"""),"589")</f>
        <v>589</v>
      </c>
      <c r="B646" s="4" t="str">
        <f>IFERROR(__xludf.DUMMYFUNCTION("""COMPUTED_VALUE"""),"Hito 45 cm PVC blando Naranja Mod. F")</f>
        <v>Hito 45 cm PVC blando Naranja Mod. F</v>
      </c>
      <c r="C646" s="4">
        <f>IFERROR(__xludf.DUMMYFUNCTION("""COMPUTED_VALUE"""),8.25)</f>
        <v>8.25</v>
      </c>
      <c r="D646" s="4"/>
      <c r="E646" s="4" t="str">
        <f>IFERROR(__xludf.DUMMYFUNCTION("""COMPUTED_VALUE"""),"Sin precio neto")</f>
        <v>Sin precio neto</v>
      </c>
    </row>
    <row r="647">
      <c r="A647" s="4" t="str">
        <f>IFERROR(__xludf.DUMMYFUNCTION("""COMPUTED_VALUE"""),"590")</f>
        <v>590</v>
      </c>
      <c r="B647" s="4" t="str">
        <f>IFERROR(__xludf.DUMMYFUNCTION("""COMPUTED_VALUE"""),"Captafaros flexible p/muro doble lente blanco/amarillo")</f>
        <v>Captafaros flexible p/muro doble lente blanco/amarillo</v>
      </c>
      <c r="C647" s="4">
        <f>IFERROR(__xludf.DUMMYFUNCTION("""COMPUTED_VALUE"""),4.7)</f>
        <v>4.7</v>
      </c>
      <c r="D647" s="4"/>
      <c r="E647" s="4" t="str">
        <f>IFERROR(__xludf.DUMMYFUNCTION("""COMPUTED_VALUE"""),"Sin precio neto")</f>
        <v>Sin precio neto</v>
      </c>
    </row>
    <row r="648">
      <c r="A648" s="4" t="str">
        <f>IFERROR(__xludf.DUMMYFUNCTION("""COMPUTED_VALUE"""),"591")</f>
        <v>591</v>
      </c>
      <c r="B648" s="4" t="str">
        <f>IFERROR(__xludf.DUMMYFUNCTION("""COMPUTED_VALUE"""),"Captafaros doble lente blanco/amarillo 3M")</f>
        <v>Captafaros doble lente blanco/amarillo 3M</v>
      </c>
      <c r="C648" s="4">
        <f>IFERROR(__xludf.DUMMYFUNCTION("""COMPUTED_VALUE"""),3.1)</f>
        <v>3.1</v>
      </c>
      <c r="D648" s="4"/>
      <c r="E648" s="4" t="str">
        <f>IFERROR(__xludf.DUMMYFUNCTION("""COMPUTED_VALUE"""),"Sin precio neto")</f>
        <v>Sin precio neto</v>
      </c>
    </row>
    <row r="649">
      <c r="A649" s="4" t="str">
        <f>IFERROR(__xludf.DUMMYFUNCTION("""COMPUTED_VALUE"""),"0591A")</f>
        <v>0591A</v>
      </c>
      <c r="B649" s="4" t="str">
        <f>IFERROR(__xludf.DUMMYFUNCTION("""COMPUTED_VALUE"""),"Captafaros doble lente Blanco/Amarillo Autoadhesivo 3M")</f>
        <v>Captafaros doble lente Blanco/Amarillo Autoadhesivo 3M</v>
      </c>
      <c r="C649" s="4">
        <f>IFERROR(__xludf.DUMMYFUNCTION("""COMPUTED_VALUE"""),4.4)</f>
        <v>4.4</v>
      </c>
      <c r="D649" s="4"/>
      <c r="E649" s="4" t="str">
        <f>IFERROR(__xludf.DUMMYFUNCTION("""COMPUTED_VALUE"""),"Sin precio neto")</f>
        <v>Sin precio neto</v>
      </c>
    </row>
    <row r="650">
      <c r="A650" s="4" t="str">
        <f>IFERROR(__xludf.DUMMYFUNCTION("""COMPUTED_VALUE"""),"0591B")</f>
        <v>0591B</v>
      </c>
      <c r="B650" s="4" t="str">
        <f>IFERROR(__xludf.DUMMYFUNCTION("""COMPUTED_VALUE"""),"Captafaros doble lente Blanco/blanco 3M")</f>
        <v>Captafaros doble lente Blanco/blanco 3M</v>
      </c>
      <c r="C650" s="4">
        <f>IFERROR(__xludf.DUMMYFUNCTION("""COMPUTED_VALUE"""),3.1)</f>
        <v>3.1</v>
      </c>
      <c r="D650" s="4"/>
      <c r="E650" s="4" t="str">
        <f>IFERROR(__xludf.DUMMYFUNCTION("""COMPUTED_VALUE"""),"Sin precio neto")</f>
        <v>Sin precio neto</v>
      </c>
    </row>
    <row r="651">
      <c r="A651" s="4" t="str">
        <f>IFERROR(__xludf.DUMMYFUNCTION("""COMPUTED_VALUE"""),"0591BA")</f>
        <v>0591BA</v>
      </c>
      <c r="B651" s="4" t="str">
        <f>IFERROR(__xludf.DUMMYFUNCTION("""COMPUTED_VALUE"""),"Captafaros doble lente Blanco/Blanco Autoadhesivo 3M")</f>
        <v>Captafaros doble lente Blanco/Blanco Autoadhesivo 3M</v>
      </c>
      <c r="C651" s="4">
        <f>IFERROR(__xludf.DUMMYFUNCTION("""COMPUTED_VALUE"""),4.4)</f>
        <v>4.4</v>
      </c>
      <c r="D651" s="4"/>
      <c r="E651" s="4" t="str">
        <f>IFERROR(__xludf.DUMMYFUNCTION("""COMPUTED_VALUE"""),"Sin precio neto")</f>
        <v>Sin precio neto</v>
      </c>
    </row>
    <row r="652">
      <c r="A652" s="4" t="str">
        <f>IFERROR(__xludf.DUMMYFUNCTION("""COMPUTED_VALUE"""),"0592/A")</f>
        <v>0592/A</v>
      </c>
      <c r="B652" s="4" t="str">
        <f>IFERROR(__xludf.DUMMYFUNCTION("""COMPUTED_VALUE"""),"Delineador de Barrera LDS Amarillo 86x15,3 cm")</f>
        <v>Delineador de Barrera LDS Amarillo 86x15,3 cm</v>
      </c>
      <c r="C652" s="4">
        <f>IFERROR(__xludf.DUMMYFUNCTION("""COMPUTED_VALUE"""),19.95)</f>
        <v>19.95</v>
      </c>
      <c r="D652" s="4"/>
      <c r="E652" s="4" t="str">
        <f>IFERROR(__xludf.DUMMYFUNCTION("""COMPUTED_VALUE"""),"Sin precio neto")</f>
        <v>Sin precio neto</v>
      </c>
    </row>
    <row r="653">
      <c r="A653" s="4" t="str">
        <f>IFERROR(__xludf.DUMMYFUNCTION("""COMPUTED_VALUE"""),"0592/B")</f>
        <v>0592/B</v>
      </c>
      <c r="B653" s="4" t="str">
        <f>IFERROR(__xludf.DUMMYFUNCTION("""COMPUTED_VALUE"""),"Delineador de Barrera LDS Blanco 86x15,3 cm")</f>
        <v>Delineador de Barrera LDS Blanco 86x15,3 cm</v>
      </c>
      <c r="C653" s="4">
        <f>IFERROR(__xludf.DUMMYFUNCTION("""COMPUTED_VALUE"""),19.95)</f>
        <v>19.95</v>
      </c>
      <c r="D653" s="4"/>
      <c r="E653" s="4" t="str">
        <f>IFERROR(__xludf.DUMMYFUNCTION("""COMPUTED_VALUE"""),"Sin precio neto")</f>
        <v>Sin precio neto</v>
      </c>
    </row>
    <row r="654">
      <c r="A654" s="4" t="str">
        <f>IFERROR(__xludf.DUMMYFUNCTION("""COMPUTED_VALUE"""),"0592/R")</f>
        <v>0592/R</v>
      </c>
      <c r="B654" s="4" t="str">
        <f>IFERROR(__xludf.DUMMYFUNCTION("""COMPUTED_VALUE"""),"Delineador de Barrera LDS Rojo 86x15,3 cm")</f>
        <v>Delineador de Barrera LDS Rojo 86x15,3 cm</v>
      </c>
      <c r="C654" s="4">
        <f>IFERROR(__xludf.DUMMYFUNCTION("""COMPUTED_VALUE"""),19.95)</f>
        <v>19.95</v>
      </c>
      <c r="D654" s="4"/>
      <c r="E654" s="4" t="str">
        <f>IFERROR(__xludf.DUMMYFUNCTION("""COMPUTED_VALUE"""),"Sin precio neto")</f>
        <v>Sin precio neto</v>
      </c>
    </row>
    <row r="655">
      <c r="A655" s="4" t="str">
        <f>IFERROR(__xludf.DUMMYFUNCTION("""COMPUTED_VALUE"""),"593")</f>
        <v>593</v>
      </c>
      <c r="B655" s="4" t="str">
        <f>IFERROR(__xludf.DUMMYFUNCTION("""COMPUTED_VALUE"""),"Hito Basculante Flexible 75 cm Mod. G + base")</f>
        <v>Hito Basculante Flexible 75 cm Mod. G + base</v>
      </c>
      <c r="C655" s="4">
        <f>IFERROR(__xludf.DUMMYFUNCTION("""COMPUTED_VALUE"""),24.85)</f>
        <v>24.85</v>
      </c>
      <c r="D655" s="4"/>
      <c r="E655" s="4" t="str">
        <f>IFERROR(__xludf.DUMMYFUNCTION("""COMPUTED_VALUE"""),"Sin precio neto")</f>
        <v>Sin precio neto</v>
      </c>
    </row>
    <row r="656">
      <c r="A656" s="4" t="str">
        <f>IFERROR(__xludf.DUMMYFUNCTION("""COMPUTED_VALUE"""),"594")</f>
        <v>594</v>
      </c>
      <c r="B656" s="4" t="str">
        <f>IFERROR(__xludf.DUMMYFUNCTION("""COMPUTED_VALUE"""),"Panel señal. vertical R/B reflectante 2 caras")</f>
        <v>Panel señal. vertical R/B reflectante 2 caras</v>
      </c>
      <c r="C656" s="4">
        <f>IFERROR(__xludf.DUMMYFUNCTION("""COMPUTED_VALUE"""),18.25)</f>
        <v>18.25</v>
      </c>
      <c r="D656" s="4"/>
      <c r="E656" s="4" t="str">
        <f>IFERROR(__xludf.DUMMYFUNCTION("""COMPUTED_VALUE"""),"Sin precio neto")</f>
        <v>Sin precio neto</v>
      </c>
    </row>
    <row r="657">
      <c r="A657" s="4" t="str">
        <f>IFERROR(__xludf.DUMMYFUNCTION("""COMPUTED_VALUE"""),"595")</f>
        <v>595</v>
      </c>
      <c r="B657" s="4" t="str">
        <f>IFERROR(__xludf.DUMMYFUNCTION("""COMPUTED_VALUE"""),"Conjunto manga viento + poste y rótula")</f>
        <v>Conjunto manga viento + poste y rótula</v>
      </c>
      <c r="C657" s="4">
        <f>IFERROR(__xludf.DUMMYFUNCTION("""COMPUTED_VALUE"""),934.5)</f>
        <v>934.5</v>
      </c>
      <c r="D657" s="4"/>
      <c r="E657" s="4" t="str">
        <f>IFERROR(__xludf.DUMMYFUNCTION("""COMPUTED_VALUE"""),"Sin precio neto")</f>
        <v>Sin precio neto</v>
      </c>
    </row>
    <row r="658">
      <c r="A658" s="4" t="str">
        <f>IFERROR(__xludf.DUMMYFUNCTION("""COMPUTED_VALUE"""),"596")</f>
        <v>596</v>
      </c>
      <c r="B658" s="4" t="str">
        <f>IFERROR(__xludf.DUMMYFUNCTION("""COMPUTED_VALUE"""),"Mástil Manga viento c/ rótula 400cm x 8cm diam x 2mm")</f>
        <v>Mástil Manga viento c/ rótula 400cm x 8cm diam x 2mm</v>
      </c>
      <c r="C658" s="4">
        <f>IFERROR(__xludf.DUMMYFUNCTION("""COMPUTED_VALUE"""),472.5)</f>
        <v>472.5</v>
      </c>
      <c r="D658" s="4"/>
      <c r="E658" s="4" t="str">
        <f>IFERROR(__xludf.DUMMYFUNCTION("""COMPUTED_VALUE"""),"Sin precio neto")</f>
        <v>Sin precio neto</v>
      </c>
    </row>
    <row r="659">
      <c r="A659" s="4" t="str">
        <f>IFERROR(__xludf.DUMMYFUNCTION("""COMPUTED_VALUE"""),"597")</f>
        <v>597</v>
      </c>
      <c r="B659" s="4" t="str">
        <f>IFERROR(__xludf.DUMMYFUNCTION("""COMPUTED_VALUE"""),"Manga de viento c/aro 400x150mm L.1600mm")</f>
        <v>Manga de viento c/aro 400x150mm L.1600mm</v>
      </c>
      <c r="C659" s="4">
        <f>IFERROR(__xludf.DUMMYFUNCTION("""COMPUTED_VALUE"""),294.0)</f>
        <v>294</v>
      </c>
      <c r="D659" s="4"/>
      <c r="E659" s="4" t="str">
        <f>IFERROR(__xludf.DUMMYFUNCTION("""COMPUTED_VALUE"""),"Sin precio neto")</f>
        <v>Sin precio neto</v>
      </c>
    </row>
    <row r="660">
      <c r="A660" s="4" t="str">
        <f>IFERROR(__xludf.DUMMYFUNCTION("""COMPUTED_VALUE"""),"598")</f>
        <v>598</v>
      </c>
      <c r="B660" s="4" t="str">
        <f>IFERROR(__xludf.DUMMYFUNCTION("""COMPUTED_VALUE"""),"Rótula para manga viento")</f>
        <v>Rótula para manga viento</v>
      </c>
      <c r="C660" s="4">
        <f>IFERROR(__xludf.DUMMYFUNCTION("""COMPUTED_VALUE"""),99.75)</f>
        <v>99.75</v>
      </c>
      <c r="D660" s="4"/>
      <c r="E660" s="4" t="str">
        <f>IFERROR(__xludf.DUMMYFUNCTION("""COMPUTED_VALUE"""),"Sin precio neto")</f>
        <v>Sin precio neto</v>
      </c>
    </row>
    <row r="661">
      <c r="A661" s="4" t="str">
        <f>IFERROR(__xludf.DUMMYFUNCTION("""COMPUTED_VALUE"""),"600")</f>
        <v>600</v>
      </c>
      <c r="B661" s="4" t="str">
        <f>IFERROR(__xludf.DUMMYFUNCTION("""COMPUTED_VALUE"""),"Señal metalica TP-3")</f>
        <v>Señal metalica TP-3</v>
      </c>
      <c r="C661" s="4">
        <f>IFERROR(__xludf.DUMMYFUNCTION("""COMPUTED_VALUE"""),11.25)</f>
        <v>11.25</v>
      </c>
      <c r="D661" s="4">
        <f>IFERROR(__xludf.DUMMYFUNCTION("""COMPUTED_VALUE"""),8.5)</f>
        <v>8.5</v>
      </c>
      <c r="E661" s="4" t="str">
        <f>IFERROR(__xludf.DUMMYFUNCTION("""COMPUTED_VALUE"""),"Neto: 8,50 € (a partir de 1 uds.)")</f>
        <v>Neto: 8,50 € (a partir de 1 uds.)</v>
      </c>
    </row>
    <row r="662">
      <c r="A662" s="4" t="str">
        <f>IFERROR(__xludf.DUMMYFUNCTION("""COMPUTED_VALUE"""),"0600D")</f>
        <v>0600D</v>
      </c>
      <c r="B662" s="4" t="str">
        <f>IFERROR(__xludf.DUMMYFUNCTION("""COMPUTED_VALUE"""),"Señal metalica P-3")</f>
        <v>Señal metalica P-3</v>
      </c>
      <c r="C662" s="4">
        <f>IFERROR(__xludf.DUMMYFUNCTION("""COMPUTED_VALUE"""),11.25)</f>
        <v>11.25</v>
      </c>
      <c r="D662" s="4">
        <f>IFERROR(__xludf.DUMMYFUNCTION("""COMPUTED_VALUE"""),8.5)</f>
        <v>8.5</v>
      </c>
      <c r="E662" s="4" t="str">
        <f>IFERROR(__xludf.DUMMYFUNCTION("""COMPUTED_VALUE"""),"Neto: 8,50 € (a partir de 1 uds.)")</f>
        <v>Neto: 8,50 € (a partir de 1 uds.)</v>
      </c>
    </row>
    <row r="663">
      <c r="A663" s="4" t="str">
        <f>IFERROR(__xludf.DUMMYFUNCTION("""COMPUTED_VALUE"""),"601")</f>
        <v>601</v>
      </c>
      <c r="B663" s="4" t="str">
        <f>IFERROR(__xludf.DUMMYFUNCTION("""COMPUTED_VALUE"""),"Señal metalica TP-13a")</f>
        <v>Señal metalica TP-13a</v>
      </c>
      <c r="C663" s="4">
        <f>IFERROR(__xludf.DUMMYFUNCTION("""COMPUTED_VALUE"""),11.25)</f>
        <v>11.25</v>
      </c>
      <c r="D663" s="4">
        <f>IFERROR(__xludf.DUMMYFUNCTION("""COMPUTED_VALUE"""),8.5)</f>
        <v>8.5</v>
      </c>
      <c r="E663" s="4" t="str">
        <f>IFERROR(__xludf.DUMMYFUNCTION("""COMPUTED_VALUE"""),"Neto: 8,50 € (a partir de 1 uds.)")</f>
        <v>Neto: 8,50 € (a partir de 1 uds.)</v>
      </c>
    </row>
    <row r="664">
      <c r="A664" s="4" t="str">
        <f>IFERROR(__xludf.DUMMYFUNCTION("""COMPUTED_VALUE"""),"0601D")</f>
        <v>0601D</v>
      </c>
      <c r="B664" s="4" t="str">
        <f>IFERROR(__xludf.DUMMYFUNCTION("""COMPUTED_VALUE"""),"Señal metalica P-13a")</f>
        <v>Señal metalica P-13a</v>
      </c>
      <c r="C664" s="4">
        <f>IFERROR(__xludf.DUMMYFUNCTION("""COMPUTED_VALUE"""),11.25)</f>
        <v>11.25</v>
      </c>
      <c r="D664" s="4">
        <f>IFERROR(__xludf.DUMMYFUNCTION("""COMPUTED_VALUE"""),8.5)</f>
        <v>8.5</v>
      </c>
      <c r="E664" s="4" t="str">
        <f>IFERROR(__xludf.DUMMYFUNCTION("""COMPUTED_VALUE"""),"Neto: 8,50 € (a partir de 1 uds.)")</f>
        <v>Neto: 8,50 € (a partir de 1 uds.)</v>
      </c>
    </row>
    <row r="665">
      <c r="A665" s="4" t="str">
        <f>IFERROR(__xludf.DUMMYFUNCTION("""COMPUTED_VALUE"""),"602")</f>
        <v>602</v>
      </c>
      <c r="B665" s="4" t="str">
        <f>IFERROR(__xludf.DUMMYFUNCTION("""COMPUTED_VALUE"""),"Señal metalica TP-13b")</f>
        <v>Señal metalica TP-13b</v>
      </c>
      <c r="C665" s="4">
        <f>IFERROR(__xludf.DUMMYFUNCTION("""COMPUTED_VALUE"""),11.25)</f>
        <v>11.25</v>
      </c>
      <c r="D665" s="4">
        <f>IFERROR(__xludf.DUMMYFUNCTION("""COMPUTED_VALUE"""),8.5)</f>
        <v>8.5</v>
      </c>
      <c r="E665" s="4" t="str">
        <f>IFERROR(__xludf.DUMMYFUNCTION("""COMPUTED_VALUE"""),"Neto: 8,50 € (a partir de 1 uds.)")</f>
        <v>Neto: 8,50 € (a partir de 1 uds.)</v>
      </c>
    </row>
    <row r="666">
      <c r="A666" s="4" t="str">
        <f>IFERROR(__xludf.DUMMYFUNCTION("""COMPUTED_VALUE"""),"0602D")</f>
        <v>0602D</v>
      </c>
      <c r="B666" s="4" t="str">
        <f>IFERROR(__xludf.DUMMYFUNCTION("""COMPUTED_VALUE"""),"Señal metalica P-13b")</f>
        <v>Señal metalica P-13b</v>
      </c>
      <c r="C666" s="4">
        <f>IFERROR(__xludf.DUMMYFUNCTION("""COMPUTED_VALUE"""),11.25)</f>
        <v>11.25</v>
      </c>
      <c r="D666" s="4">
        <f>IFERROR(__xludf.DUMMYFUNCTION("""COMPUTED_VALUE"""),8.5)</f>
        <v>8.5</v>
      </c>
      <c r="E666" s="4" t="str">
        <f>IFERROR(__xludf.DUMMYFUNCTION("""COMPUTED_VALUE"""),"Neto: 8,50 € (a partir de 1 uds.)")</f>
        <v>Neto: 8,50 € (a partir de 1 uds.)</v>
      </c>
    </row>
    <row r="667">
      <c r="A667" s="4" t="str">
        <f>IFERROR(__xludf.DUMMYFUNCTION("""COMPUTED_VALUE"""),"603")</f>
        <v>603</v>
      </c>
      <c r="B667" s="4" t="str">
        <f>IFERROR(__xludf.DUMMYFUNCTION("""COMPUTED_VALUE"""),"Señal metalica TP-14a")</f>
        <v>Señal metalica TP-14a</v>
      </c>
      <c r="C667" s="4">
        <f>IFERROR(__xludf.DUMMYFUNCTION("""COMPUTED_VALUE"""),11.25)</f>
        <v>11.25</v>
      </c>
      <c r="D667" s="4">
        <f>IFERROR(__xludf.DUMMYFUNCTION("""COMPUTED_VALUE"""),8.5)</f>
        <v>8.5</v>
      </c>
      <c r="E667" s="4" t="str">
        <f>IFERROR(__xludf.DUMMYFUNCTION("""COMPUTED_VALUE"""),"Neto: 8,50 € (a partir de 1 uds.)")</f>
        <v>Neto: 8,50 € (a partir de 1 uds.)</v>
      </c>
    </row>
    <row r="668">
      <c r="A668" s="4" t="str">
        <f>IFERROR(__xludf.DUMMYFUNCTION("""COMPUTED_VALUE"""),"0603D")</f>
        <v>0603D</v>
      </c>
      <c r="B668" s="4" t="str">
        <f>IFERROR(__xludf.DUMMYFUNCTION("""COMPUTED_VALUE"""),"Señal metalica P-14a")</f>
        <v>Señal metalica P-14a</v>
      </c>
      <c r="C668" s="4">
        <f>IFERROR(__xludf.DUMMYFUNCTION("""COMPUTED_VALUE"""),11.25)</f>
        <v>11.25</v>
      </c>
      <c r="D668" s="4">
        <f>IFERROR(__xludf.DUMMYFUNCTION("""COMPUTED_VALUE"""),8.5)</f>
        <v>8.5</v>
      </c>
      <c r="E668" s="4" t="str">
        <f>IFERROR(__xludf.DUMMYFUNCTION("""COMPUTED_VALUE"""),"Neto: 8,50 € (a partir de 1 uds.)")</f>
        <v>Neto: 8,50 € (a partir de 1 uds.)</v>
      </c>
    </row>
    <row r="669">
      <c r="A669" s="4" t="str">
        <f>IFERROR(__xludf.DUMMYFUNCTION("""COMPUTED_VALUE"""),"604")</f>
        <v>604</v>
      </c>
      <c r="B669" s="4" t="str">
        <f>IFERROR(__xludf.DUMMYFUNCTION("""COMPUTED_VALUE"""),"Señal metalica TP-14b")</f>
        <v>Señal metalica TP-14b</v>
      </c>
      <c r="C669" s="4">
        <f>IFERROR(__xludf.DUMMYFUNCTION("""COMPUTED_VALUE"""),11.25)</f>
        <v>11.25</v>
      </c>
      <c r="D669" s="4">
        <f>IFERROR(__xludf.DUMMYFUNCTION("""COMPUTED_VALUE"""),8.5)</f>
        <v>8.5</v>
      </c>
      <c r="E669" s="4" t="str">
        <f>IFERROR(__xludf.DUMMYFUNCTION("""COMPUTED_VALUE"""),"Neto: 8,50 € (a partir de 1 uds.)")</f>
        <v>Neto: 8,50 € (a partir de 1 uds.)</v>
      </c>
    </row>
    <row r="670">
      <c r="A670" s="4" t="str">
        <f>IFERROR(__xludf.DUMMYFUNCTION("""COMPUTED_VALUE"""),"0604D")</f>
        <v>0604D</v>
      </c>
      <c r="B670" s="4" t="str">
        <f>IFERROR(__xludf.DUMMYFUNCTION("""COMPUTED_VALUE"""),"Señal metalica P-14b")</f>
        <v>Señal metalica P-14b</v>
      </c>
      <c r="C670" s="4">
        <f>IFERROR(__xludf.DUMMYFUNCTION("""COMPUTED_VALUE"""),11.25)</f>
        <v>11.25</v>
      </c>
      <c r="D670" s="4">
        <f>IFERROR(__xludf.DUMMYFUNCTION("""COMPUTED_VALUE"""),8.5)</f>
        <v>8.5</v>
      </c>
      <c r="E670" s="4" t="str">
        <f>IFERROR(__xludf.DUMMYFUNCTION("""COMPUTED_VALUE"""),"Neto: 8,50 € (a partir de 1 uds.)")</f>
        <v>Neto: 8,50 € (a partir de 1 uds.)</v>
      </c>
    </row>
    <row r="671">
      <c r="A671" s="4" t="str">
        <f>IFERROR(__xludf.DUMMYFUNCTION("""COMPUTED_VALUE"""),"605")</f>
        <v>605</v>
      </c>
      <c r="B671" s="4" t="str">
        <f>IFERROR(__xludf.DUMMYFUNCTION("""COMPUTED_VALUE"""),"Señal metalica TP-15")</f>
        <v>Señal metalica TP-15</v>
      </c>
      <c r="C671" s="4">
        <f>IFERROR(__xludf.DUMMYFUNCTION("""COMPUTED_VALUE"""),11.25)</f>
        <v>11.25</v>
      </c>
      <c r="D671" s="4">
        <f>IFERROR(__xludf.DUMMYFUNCTION("""COMPUTED_VALUE"""),8.5)</f>
        <v>8.5</v>
      </c>
      <c r="E671" s="4" t="str">
        <f>IFERROR(__xludf.DUMMYFUNCTION("""COMPUTED_VALUE"""),"Neto: 8,50 € (a partir de 1 uds.)")</f>
        <v>Neto: 8,50 € (a partir de 1 uds.)</v>
      </c>
    </row>
    <row r="672">
      <c r="A672" s="4" t="str">
        <f>IFERROR(__xludf.DUMMYFUNCTION("""COMPUTED_VALUE"""),"0605D")</f>
        <v>0605D</v>
      </c>
      <c r="B672" s="4" t="str">
        <f>IFERROR(__xludf.DUMMYFUNCTION("""COMPUTED_VALUE"""),"Señal metalica P-15")</f>
        <v>Señal metalica P-15</v>
      </c>
      <c r="C672" s="4">
        <f>IFERROR(__xludf.DUMMYFUNCTION("""COMPUTED_VALUE"""),11.25)</f>
        <v>11.25</v>
      </c>
      <c r="D672" s="4">
        <f>IFERROR(__xludf.DUMMYFUNCTION("""COMPUTED_VALUE"""),8.5)</f>
        <v>8.5</v>
      </c>
      <c r="E672" s="4" t="str">
        <f>IFERROR(__xludf.DUMMYFUNCTION("""COMPUTED_VALUE"""),"Neto: 8,50 € (a partir de 1 uds.)")</f>
        <v>Neto: 8,50 € (a partir de 1 uds.)</v>
      </c>
    </row>
    <row r="673">
      <c r="A673" s="4" t="str">
        <f>IFERROR(__xludf.DUMMYFUNCTION("""COMPUTED_VALUE"""),"606")</f>
        <v>606</v>
      </c>
      <c r="B673" s="4" t="str">
        <f>IFERROR(__xludf.DUMMYFUNCTION("""COMPUTED_VALUE"""),"Señal metalica TP-15a")</f>
        <v>Señal metalica TP-15a</v>
      </c>
      <c r="C673" s="4">
        <f>IFERROR(__xludf.DUMMYFUNCTION("""COMPUTED_VALUE"""),11.25)</f>
        <v>11.25</v>
      </c>
      <c r="D673" s="4">
        <f>IFERROR(__xludf.DUMMYFUNCTION("""COMPUTED_VALUE"""),8.5)</f>
        <v>8.5</v>
      </c>
      <c r="E673" s="4" t="str">
        <f>IFERROR(__xludf.DUMMYFUNCTION("""COMPUTED_VALUE"""),"Neto: 8,50 € (a partir de 1 uds.)")</f>
        <v>Neto: 8,50 € (a partir de 1 uds.)</v>
      </c>
    </row>
    <row r="674">
      <c r="A674" s="4" t="str">
        <f>IFERROR(__xludf.DUMMYFUNCTION("""COMPUTED_VALUE"""),"0606D")</f>
        <v>0606D</v>
      </c>
      <c r="B674" s="4" t="str">
        <f>IFERROR(__xludf.DUMMYFUNCTION("""COMPUTED_VALUE"""),"Señal metalica P-15a")</f>
        <v>Señal metalica P-15a</v>
      </c>
      <c r="C674" s="4">
        <f>IFERROR(__xludf.DUMMYFUNCTION("""COMPUTED_VALUE"""),11.25)</f>
        <v>11.25</v>
      </c>
      <c r="D674" s="4">
        <f>IFERROR(__xludf.DUMMYFUNCTION("""COMPUTED_VALUE"""),8.5)</f>
        <v>8.5</v>
      </c>
      <c r="E674" s="4" t="str">
        <f>IFERROR(__xludf.DUMMYFUNCTION("""COMPUTED_VALUE"""),"Neto: 8,50 € (a partir de 1 uds.)")</f>
        <v>Neto: 8,50 € (a partir de 1 uds.)</v>
      </c>
    </row>
    <row r="675">
      <c r="A675" s="4" t="str">
        <f>IFERROR(__xludf.DUMMYFUNCTION("""COMPUTED_VALUE"""),"607")</f>
        <v>607</v>
      </c>
      <c r="B675" s="4" t="str">
        <f>IFERROR(__xludf.DUMMYFUNCTION("""COMPUTED_VALUE"""),"Señal metalica TP-15b")</f>
        <v>Señal metalica TP-15b</v>
      </c>
      <c r="C675" s="4">
        <f>IFERROR(__xludf.DUMMYFUNCTION("""COMPUTED_VALUE"""),11.25)</f>
        <v>11.25</v>
      </c>
      <c r="D675" s="4">
        <f>IFERROR(__xludf.DUMMYFUNCTION("""COMPUTED_VALUE"""),8.5)</f>
        <v>8.5</v>
      </c>
      <c r="E675" s="4" t="str">
        <f>IFERROR(__xludf.DUMMYFUNCTION("""COMPUTED_VALUE"""),"Neto: 8,50 € (a partir de 1 uds.)")</f>
        <v>Neto: 8,50 € (a partir de 1 uds.)</v>
      </c>
    </row>
    <row r="676">
      <c r="A676" s="4" t="str">
        <f>IFERROR(__xludf.DUMMYFUNCTION("""COMPUTED_VALUE"""),"0607D")</f>
        <v>0607D</v>
      </c>
      <c r="B676" s="4" t="str">
        <f>IFERROR(__xludf.DUMMYFUNCTION("""COMPUTED_VALUE"""),"Señal metalica P-15b")</f>
        <v>Señal metalica P-15b</v>
      </c>
      <c r="C676" s="4">
        <f>IFERROR(__xludf.DUMMYFUNCTION("""COMPUTED_VALUE"""),11.25)</f>
        <v>11.25</v>
      </c>
      <c r="D676" s="4">
        <f>IFERROR(__xludf.DUMMYFUNCTION("""COMPUTED_VALUE"""),8.5)</f>
        <v>8.5</v>
      </c>
      <c r="E676" s="4" t="str">
        <f>IFERROR(__xludf.DUMMYFUNCTION("""COMPUTED_VALUE"""),"Neto: 8,50 € (a partir de 1 uds.)")</f>
        <v>Neto: 8,50 € (a partir de 1 uds.)</v>
      </c>
    </row>
    <row r="677">
      <c r="A677" s="4" t="str">
        <f>IFERROR(__xludf.DUMMYFUNCTION("""COMPUTED_VALUE"""),"608")</f>
        <v>608</v>
      </c>
      <c r="B677" s="4" t="str">
        <f>IFERROR(__xludf.DUMMYFUNCTION("""COMPUTED_VALUE"""),"Señal metalica TP-17")</f>
        <v>Señal metalica TP-17</v>
      </c>
      <c r="C677" s="4">
        <f>IFERROR(__xludf.DUMMYFUNCTION("""COMPUTED_VALUE"""),11.25)</f>
        <v>11.25</v>
      </c>
      <c r="D677" s="4">
        <f>IFERROR(__xludf.DUMMYFUNCTION("""COMPUTED_VALUE"""),8.5)</f>
        <v>8.5</v>
      </c>
      <c r="E677" s="4" t="str">
        <f>IFERROR(__xludf.DUMMYFUNCTION("""COMPUTED_VALUE"""),"Neto: 8,50 € (a partir de 1 uds.)")</f>
        <v>Neto: 8,50 € (a partir de 1 uds.)</v>
      </c>
    </row>
    <row r="678">
      <c r="A678" s="4" t="str">
        <f>IFERROR(__xludf.DUMMYFUNCTION("""COMPUTED_VALUE"""),"0608D")</f>
        <v>0608D</v>
      </c>
      <c r="B678" s="4" t="str">
        <f>IFERROR(__xludf.DUMMYFUNCTION("""COMPUTED_VALUE"""),"Señal metalica P-17")</f>
        <v>Señal metalica P-17</v>
      </c>
      <c r="C678" s="4">
        <f>IFERROR(__xludf.DUMMYFUNCTION("""COMPUTED_VALUE"""),11.25)</f>
        <v>11.25</v>
      </c>
      <c r="D678" s="4">
        <f>IFERROR(__xludf.DUMMYFUNCTION("""COMPUTED_VALUE"""),8.5)</f>
        <v>8.5</v>
      </c>
      <c r="E678" s="4" t="str">
        <f>IFERROR(__xludf.DUMMYFUNCTION("""COMPUTED_VALUE"""),"Neto: 8,50 € (a partir de 1 uds.)")</f>
        <v>Neto: 8,50 € (a partir de 1 uds.)</v>
      </c>
    </row>
    <row r="679">
      <c r="A679" s="4" t="str">
        <f>IFERROR(__xludf.DUMMYFUNCTION("""COMPUTED_VALUE"""),"609")</f>
        <v>609</v>
      </c>
      <c r="B679" s="4" t="str">
        <f>IFERROR(__xludf.DUMMYFUNCTION("""COMPUTED_VALUE"""),"Señal metalica TP-17b")</f>
        <v>Señal metalica TP-17b</v>
      </c>
      <c r="C679" s="4">
        <f>IFERROR(__xludf.DUMMYFUNCTION("""COMPUTED_VALUE"""),11.25)</f>
        <v>11.25</v>
      </c>
      <c r="D679" s="4">
        <f>IFERROR(__xludf.DUMMYFUNCTION("""COMPUTED_VALUE"""),8.5)</f>
        <v>8.5</v>
      </c>
      <c r="E679" s="4" t="str">
        <f>IFERROR(__xludf.DUMMYFUNCTION("""COMPUTED_VALUE"""),"Neto: 8,50 € (a partir de 1 uds.)")</f>
        <v>Neto: 8,50 € (a partir de 1 uds.)</v>
      </c>
    </row>
    <row r="680">
      <c r="A680" s="4" t="str">
        <f>IFERROR(__xludf.DUMMYFUNCTION("""COMPUTED_VALUE"""),"0609D")</f>
        <v>0609D</v>
      </c>
      <c r="B680" s="4" t="str">
        <f>IFERROR(__xludf.DUMMYFUNCTION("""COMPUTED_VALUE"""),"Señal metalica P-17b")</f>
        <v>Señal metalica P-17b</v>
      </c>
      <c r="C680" s="4">
        <f>IFERROR(__xludf.DUMMYFUNCTION("""COMPUTED_VALUE"""),11.25)</f>
        <v>11.25</v>
      </c>
      <c r="D680" s="4">
        <f>IFERROR(__xludf.DUMMYFUNCTION("""COMPUTED_VALUE"""),8.5)</f>
        <v>8.5</v>
      </c>
      <c r="E680" s="4" t="str">
        <f>IFERROR(__xludf.DUMMYFUNCTION("""COMPUTED_VALUE"""),"Neto: 8,50 € (a partir de 1 uds.)")</f>
        <v>Neto: 8,50 € (a partir de 1 uds.)</v>
      </c>
    </row>
    <row r="681">
      <c r="A681" s="4" t="str">
        <f>IFERROR(__xludf.DUMMYFUNCTION("""COMPUTED_VALUE"""),"610")</f>
        <v>610</v>
      </c>
      <c r="B681" s="4" t="str">
        <f>IFERROR(__xludf.DUMMYFUNCTION("""COMPUTED_VALUE"""),"Señal metalica TP-17a")</f>
        <v>Señal metalica TP-17a</v>
      </c>
      <c r="C681" s="4">
        <f>IFERROR(__xludf.DUMMYFUNCTION("""COMPUTED_VALUE"""),11.25)</f>
        <v>11.25</v>
      </c>
      <c r="D681" s="4">
        <f>IFERROR(__xludf.DUMMYFUNCTION("""COMPUTED_VALUE"""),8.5)</f>
        <v>8.5</v>
      </c>
      <c r="E681" s="4" t="str">
        <f>IFERROR(__xludf.DUMMYFUNCTION("""COMPUTED_VALUE"""),"Neto: 8,50 € (a partir de 1 uds.)")</f>
        <v>Neto: 8,50 € (a partir de 1 uds.)</v>
      </c>
    </row>
    <row r="682">
      <c r="A682" s="4" t="str">
        <f>IFERROR(__xludf.DUMMYFUNCTION("""COMPUTED_VALUE"""),"0610D")</f>
        <v>0610D</v>
      </c>
      <c r="B682" s="4" t="str">
        <f>IFERROR(__xludf.DUMMYFUNCTION("""COMPUTED_VALUE"""),"Señal metalica P-17a")</f>
        <v>Señal metalica P-17a</v>
      </c>
      <c r="C682" s="4">
        <f>IFERROR(__xludf.DUMMYFUNCTION("""COMPUTED_VALUE"""),11.25)</f>
        <v>11.25</v>
      </c>
      <c r="D682" s="4">
        <f>IFERROR(__xludf.DUMMYFUNCTION("""COMPUTED_VALUE"""),8.5)</f>
        <v>8.5</v>
      </c>
      <c r="E682" s="4" t="str">
        <f>IFERROR(__xludf.DUMMYFUNCTION("""COMPUTED_VALUE"""),"Neto: 8,50 € (a partir de 1 uds.)")</f>
        <v>Neto: 8,50 € (a partir de 1 uds.)</v>
      </c>
    </row>
    <row r="683">
      <c r="A683" s="4" t="str">
        <f>IFERROR(__xludf.DUMMYFUNCTION("""COMPUTED_VALUE"""),"611")</f>
        <v>611</v>
      </c>
      <c r="B683" s="4" t="str">
        <f>IFERROR(__xludf.DUMMYFUNCTION("""COMPUTED_VALUE"""),"Señal metalica TP-18")</f>
        <v>Señal metalica TP-18</v>
      </c>
      <c r="C683" s="4">
        <f>IFERROR(__xludf.DUMMYFUNCTION("""COMPUTED_VALUE"""),11.25)</f>
        <v>11.25</v>
      </c>
      <c r="D683" s="4">
        <f>IFERROR(__xludf.DUMMYFUNCTION("""COMPUTED_VALUE"""),8.5)</f>
        <v>8.5</v>
      </c>
      <c r="E683" s="4" t="str">
        <f>IFERROR(__xludf.DUMMYFUNCTION("""COMPUTED_VALUE"""),"Neto: 8,50 € (a partir de 1 uds.)")</f>
        <v>Neto: 8,50 € (a partir de 1 uds.)</v>
      </c>
    </row>
    <row r="684">
      <c r="A684" s="4" t="str">
        <f>IFERROR(__xludf.DUMMYFUNCTION("""COMPUTED_VALUE"""),"0611D")</f>
        <v>0611D</v>
      </c>
      <c r="B684" s="4" t="str">
        <f>IFERROR(__xludf.DUMMYFUNCTION("""COMPUTED_VALUE"""),"Señal metalica P-18")</f>
        <v>Señal metalica P-18</v>
      </c>
      <c r="C684" s="4">
        <f>IFERROR(__xludf.DUMMYFUNCTION("""COMPUTED_VALUE"""),11.25)</f>
        <v>11.25</v>
      </c>
      <c r="D684" s="4">
        <f>IFERROR(__xludf.DUMMYFUNCTION("""COMPUTED_VALUE"""),8.5)</f>
        <v>8.5</v>
      </c>
      <c r="E684" s="4" t="str">
        <f>IFERROR(__xludf.DUMMYFUNCTION("""COMPUTED_VALUE"""),"Neto: 8,50 € (a partir de 1 uds.)")</f>
        <v>Neto: 8,50 € (a partir de 1 uds.)</v>
      </c>
    </row>
    <row r="685">
      <c r="A685" s="4" t="str">
        <f>IFERROR(__xludf.DUMMYFUNCTION("""COMPUTED_VALUE"""),"612")</f>
        <v>612</v>
      </c>
      <c r="B685" s="4" t="str">
        <f>IFERROR(__xludf.DUMMYFUNCTION("""COMPUTED_VALUE"""),"Señal metalica TP-19")</f>
        <v>Señal metalica TP-19</v>
      </c>
      <c r="C685" s="4">
        <f>IFERROR(__xludf.DUMMYFUNCTION("""COMPUTED_VALUE"""),11.25)</f>
        <v>11.25</v>
      </c>
      <c r="D685" s="4">
        <f>IFERROR(__xludf.DUMMYFUNCTION("""COMPUTED_VALUE"""),8.5)</f>
        <v>8.5</v>
      </c>
      <c r="E685" s="4" t="str">
        <f>IFERROR(__xludf.DUMMYFUNCTION("""COMPUTED_VALUE"""),"Neto: 8,50 € (a partir de 1 uds.)")</f>
        <v>Neto: 8,50 € (a partir de 1 uds.)</v>
      </c>
    </row>
    <row r="686">
      <c r="A686" s="4" t="str">
        <f>IFERROR(__xludf.DUMMYFUNCTION("""COMPUTED_VALUE"""),"0612D")</f>
        <v>0612D</v>
      </c>
      <c r="B686" s="4" t="str">
        <f>IFERROR(__xludf.DUMMYFUNCTION("""COMPUTED_VALUE"""),"Señal metalica P-19")</f>
        <v>Señal metalica P-19</v>
      </c>
      <c r="C686" s="4">
        <f>IFERROR(__xludf.DUMMYFUNCTION("""COMPUTED_VALUE"""),11.25)</f>
        <v>11.25</v>
      </c>
      <c r="D686" s="4">
        <f>IFERROR(__xludf.DUMMYFUNCTION("""COMPUTED_VALUE"""),8.5)</f>
        <v>8.5</v>
      </c>
      <c r="E686" s="4" t="str">
        <f>IFERROR(__xludf.DUMMYFUNCTION("""COMPUTED_VALUE"""),"Neto: 8,50 € (a partir de 1 uds.)")</f>
        <v>Neto: 8,50 € (a partir de 1 uds.)</v>
      </c>
    </row>
    <row r="687">
      <c r="A687" s="4" t="str">
        <f>IFERROR(__xludf.DUMMYFUNCTION("""COMPUTED_VALUE"""),"613")</f>
        <v>613</v>
      </c>
      <c r="B687" s="4" t="str">
        <f>IFERROR(__xludf.DUMMYFUNCTION("""COMPUTED_VALUE"""),"Señal metalica TP-25")</f>
        <v>Señal metalica TP-25</v>
      </c>
      <c r="C687" s="4">
        <f>IFERROR(__xludf.DUMMYFUNCTION("""COMPUTED_VALUE"""),11.25)</f>
        <v>11.25</v>
      </c>
      <c r="D687" s="4">
        <f>IFERROR(__xludf.DUMMYFUNCTION("""COMPUTED_VALUE"""),8.5)</f>
        <v>8.5</v>
      </c>
      <c r="E687" s="4" t="str">
        <f>IFERROR(__xludf.DUMMYFUNCTION("""COMPUTED_VALUE"""),"Neto: 8,50 € (a partir de 1 uds.)")</f>
        <v>Neto: 8,50 € (a partir de 1 uds.)</v>
      </c>
    </row>
    <row r="688">
      <c r="A688" s="4" t="str">
        <f>IFERROR(__xludf.DUMMYFUNCTION("""COMPUTED_VALUE"""),"0613D")</f>
        <v>0613D</v>
      </c>
      <c r="B688" s="4" t="str">
        <f>IFERROR(__xludf.DUMMYFUNCTION("""COMPUTED_VALUE"""),"Señal metalica P-25")</f>
        <v>Señal metalica P-25</v>
      </c>
      <c r="C688" s="4">
        <f>IFERROR(__xludf.DUMMYFUNCTION("""COMPUTED_VALUE"""),11.25)</f>
        <v>11.25</v>
      </c>
      <c r="D688" s="4">
        <f>IFERROR(__xludf.DUMMYFUNCTION("""COMPUTED_VALUE"""),8.5)</f>
        <v>8.5</v>
      </c>
      <c r="E688" s="4" t="str">
        <f>IFERROR(__xludf.DUMMYFUNCTION("""COMPUTED_VALUE"""),"Neto: 8,50 € (a partir de 1 uds.)")</f>
        <v>Neto: 8,50 € (a partir de 1 uds.)</v>
      </c>
    </row>
    <row r="689">
      <c r="A689" s="4" t="str">
        <f>IFERROR(__xludf.DUMMYFUNCTION("""COMPUTED_VALUE"""),"614")</f>
        <v>614</v>
      </c>
      <c r="B689" s="4" t="str">
        <f>IFERROR(__xludf.DUMMYFUNCTION("""COMPUTED_VALUE"""),"Señal metalica TP-26")</f>
        <v>Señal metalica TP-26</v>
      </c>
      <c r="C689" s="4">
        <f>IFERROR(__xludf.DUMMYFUNCTION("""COMPUTED_VALUE"""),11.25)</f>
        <v>11.25</v>
      </c>
      <c r="D689" s="4">
        <f>IFERROR(__xludf.DUMMYFUNCTION("""COMPUTED_VALUE"""),8.5)</f>
        <v>8.5</v>
      </c>
      <c r="E689" s="4" t="str">
        <f>IFERROR(__xludf.DUMMYFUNCTION("""COMPUTED_VALUE"""),"Neto: 8,50 € (a partir de 1 uds.)")</f>
        <v>Neto: 8,50 € (a partir de 1 uds.)</v>
      </c>
    </row>
    <row r="690">
      <c r="A690" s="4" t="str">
        <f>IFERROR(__xludf.DUMMYFUNCTION("""COMPUTED_VALUE"""),"0614D")</f>
        <v>0614D</v>
      </c>
      <c r="B690" s="4" t="str">
        <f>IFERROR(__xludf.DUMMYFUNCTION("""COMPUTED_VALUE"""),"Señal metalica P-26")</f>
        <v>Señal metalica P-26</v>
      </c>
      <c r="C690" s="4">
        <f>IFERROR(__xludf.DUMMYFUNCTION("""COMPUTED_VALUE"""),11.25)</f>
        <v>11.25</v>
      </c>
      <c r="D690" s="4">
        <f>IFERROR(__xludf.DUMMYFUNCTION("""COMPUTED_VALUE"""),8.5)</f>
        <v>8.5</v>
      </c>
      <c r="E690" s="4" t="str">
        <f>IFERROR(__xludf.DUMMYFUNCTION("""COMPUTED_VALUE"""),"Neto: 8,50 € (a partir de 1 uds.)")</f>
        <v>Neto: 8,50 € (a partir de 1 uds.)</v>
      </c>
    </row>
    <row r="691">
      <c r="A691" s="4" t="str">
        <f>IFERROR(__xludf.DUMMYFUNCTION("""COMPUTED_VALUE"""),"615")</f>
        <v>615</v>
      </c>
      <c r="B691" s="4" t="str">
        <f>IFERROR(__xludf.DUMMYFUNCTION("""COMPUTED_VALUE"""),"Señal metalica TP-28")</f>
        <v>Señal metalica TP-28</v>
      </c>
      <c r="C691" s="4">
        <f>IFERROR(__xludf.DUMMYFUNCTION("""COMPUTED_VALUE"""),11.25)</f>
        <v>11.25</v>
      </c>
      <c r="D691" s="4">
        <f>IFERROR(__xludf.DUMMYFUNCTION("""COMPUTED_VALUE"""),8.5)</f>
        <v>8.5</v>
      </c>
      <c r="E691" s="4" t="str">
        <f>IFERROR(__xludf.DUMMYFUNCTION("""COMPUTED_VALUE"""),"Neto: 8,50 € (a partir de 1 uds.)")</f>
        <v>Neto: 8,50 € (a partir de 1 uds.)</v>
      </c>
    </row>
    <row r="692">
      <c r="A692" s="4" t="str">
        <f>IFERROR(__xludf.DUMMYFUNCTION("""COMPUTED_VALUE"""),"0615D")</f>
        <v>0615D</v>
      </c>
      <c r="B692" s="4" t="str">
        <f>IFERROR(__xludf.DUMMYFUNCTION("""COMPUTED_VALUE"""),"Señal metalica P-28")</f>
        <v>Señal metalica P-28</v>
      </c>
      <c r="C692" s="4">
        <f>IFERROR(__xludf.DUMMYFUNCTION("""COMPUTED_VALUE"""),11.25)</f>
        <v>11.25</v>
      </c>
      <c r="D692" s="4">
        <f>IFERROR(__xludf.DUMMYFUNCTION("""COMPUTED_VALUE"""),8.5)</f>
        <v>8.5</v>
      </c>
      <c r="E692" s="4" t="str">
        <f>IFERROR(__xludf.DUMMYFUNCTION("""COMPUTED_VALUE"""),"Neto: 8,50 € (a partir de 1 uds.)")</f>
        <v>Neto: 8,50 € (a partir de 1 uds.)</v>
      </c>
    </row>
    <row r="693">
      <c r="A693" s="4" t="str">
        <f>IFERROR(__xludf.DUMMYFUNCTION("""COMPUTED_VALUE"""),"616")</f>
        <v>616</v>
      </c>
      <c r="B693" s="4" t="str">
        <f>IFERROR(__xludf.DUMMYFUNCTION("""COMPUTED_VALUE"""),"Señal metalica TP-30")</f>
        <v>Señal metalica TP-30</v>
      </c>
      <c r="C693" s="4">
        <f>IFERROR(__xludf.DUMMYFUNCTION("""COMPUTED_VALUE"""),11.25)</f>
        <v>11.25</v>
      </c>
      <c r="D693" s="4">
        <f>IFERROR(__xludf.DUMMYFUNCTION("""COMPUTED_VALUE"""),8.5)</f>
        <v>8.5</v>
      </c>
      <c r="E693" s="4" t="str">
        <f>IFERROR(__xludf.DUMMYFUNCTION("""COMPUTED_VALUE"""),"Neto: 8,50 € (a partir de 1 uds.)")</f>
        <v>Neto: 8,50 € (a partir de 1 uds.)</v>
      </c>
    </row>
    <row r="694">
      <c r="A694" s="4" t="str">
        <f>IFERROR(__xludf.DUMMYFUNCTION("""COMPUTED_VALUE"""),"0616B")</f>
        <v>0616B</v>
      </c>
      <c r="B694" s="4" t="str">
        <f>IFERROR(__xludf.DUMMYFUNCTION("""COMPUTED_VALUE"""),"Cartel PVC 42x42 Fotolum. Salida emergencia derecha")</f>
        <v>Cartel PVC 42x42 Fotolum. Salida emergencia derecha</v>
      </c>
      <c r="C694" s="4">
        <f>IFERROR(__xludf.DUMMYFUNCTION("""COMPUTED_VALUE"""),3.9)</f>
        <v>3.9</v>
      </c>
      <c r="D694" s="4"/>
      <c r="E694" s="4" t="str">
        <f>IFERROR(__xludf.DUMMYFUNCTION("""COMPUTED_VALUE"""),"Sin precio neto")</f>
        <v>Sin precio neto</v>
      </c>
    </row>
    <row r="695">
      <c r="A695" s="4" t="str">
        <f>IFERROR(__xludf.DUMMYFUNCTION("""COMPUTED_VALUE"""),"0616C")</f>
        <v>0616C</v>
      </c>
      <c r="B695" s="4" t="str">
        <f>IFERROR(__xludf.DUMMYFUNCTION("""COMPUTED_VALUE"""),"Cartel PVC 63x63 Fotolum. Salida emergencia derecha")</f>
        <v>Cartel PVC 63x63 Fotolum. Salida emergencia derecha</v>
      </c>
      <c r="C695" s="4">
        <f>IFERROR(__xludf.DUMMYFUNCTION("""COMPUTED_VALUE"""),6.25)</f>
        <v>6.25</v>
      </c>
      <c r="D695" s="4"/>
      <c r="E695" s="4" t="str">
        <f>IFERROR(__xludf.DUMMYFUNCTION("""COMPUTED_VALUE"""),"Sin precio neto")</f>
        <v>Sin precio neto</v>
      </c>
    </row>
    <row r="696">
      <c r="A696" s="4" t="str">
        <f>IFERROR(__xludf.DUMMYFUNCTION("""COMPUTED_VALUE"""),"0616D")</f>
        <v>0616D</v>
      </c>
      <c r="B696" s="4" t="str">
        <f>IFERROR(__xludf.DUMMYFUNCTION("""COMPUTED_VALUE"""),"Señal metalica P-30")</f>
        <v>Señal metalica P-30</v>
      </c>
      <c r="C696" s="4">
        <f>IFERROR(__xludf.DUMMYFUNCTION("""COMPUTED_VALUE"""),11.25)</f>
        <v>11.25</v>
      </c>
      <c r="D696" s="4">
        <f>IFERROR(__xludf.DUMMYFUNCTION("""COMPUTED_VALUE"""),8.5)</f>
        <v>8.5</v>
      </c>
      <c r="E696" s="4" t="str">
        <f>IFERROR(__xludf.DUMMYFUNCTION("""COMPUTED_VALUE"""),"Neto: 8,50 € (a partir de 1 uds.)")</f>
        <v>Neto: 8,50 € (a partir de 1 uds.)</v>
      </c>
    </row>
    <row r="697">
      <c r="A697" s="4" t="str">
        <f>IFERROR(__xludf.DUMMYFUNCTION("""COMPUTED_VALUE"""),"617")</f>
        <v>617</v>
      </c>
      <c r="B697" s="4" t="str">
        <f>IFERROR(__xludf.DUMMYFUNCTION("""COMPUTED_VALUE"""),"Señal metalica TP-50")</f>
        <v>Señal metalica TP-50</v>
      </c>
      <c r="C697" s="4">
        <f>IFERROR(__xludf.DUMMYFUNCTION("""COMPUTED_VALUE"""),11.25)</f>
        <v>11.25</v>
      </c>
      <c r="D697" s="4">
        <f>IFERROR(__xludf.DUMMYFUNCTION("""COMPUTED_VALUE"""),8.5)</f>
        <v>8.5</v>
      </c>
      <c r="E697" s="4" t="str">
        <f>IFERROR(__xludf.DUMMYFUNCTION("""COMPUTED_VALUE"""),"Neto: 8,50 € (a partir de 1 uds.)")</f>
        <v>Neto: 8,50 € (a partir de 1 uds.)</v>
      </c>
    </row>
    <row r="698">
      <c r="A698" s="4" t="str">
        <f>IFERROR(__xludf.DUMMYFUNCTION("""COMPUTED_VALUE"""),"0617D")</f>
        <v>0617D</v>
      </c>
      <c r="B698" s="4" t="str">
        <f>IFERROR(__xludf.DUMMYFUNCTION("""COMPUTED_VALUE"""),"Señal metalica P-50")</f>
        <v>Señal metalica P-50</v>
      </c>
      <c r="C698" s="4">
        <f>IFERROR(__xludf.DUMMYFUNCTION("""COMPUTED_VALUE"""),11.25)</f>
        <v>11.25</v>
      </c>
      <c r="D698" s="4">
        <f>IFERROR(__xludf.DUMMYFUNCTION("""COMPUTED_VALUE"""),8.5)</f>
        <v>8.5</v>
      </c>
      <c r="E698" s="4" t="str">
        <f>IFERROR(__xludf.DUMMYFUNCTION("""COMPUTED_VALUE"""),"Neto: 8,50 € (a partir de 1 uds.)")</f>
        <v>Neto: 8,50 € (a partir de 1 uds.)</v>
      </c>
    </row>
    <row r="699">
      <c r="A699" s="4" t="str">
        <f>IFERROR(__xludf.DUMMYFUNCTION("""COMPUTED_VALUE"""),"619")</f>
        <v>619</v>
      </c>
      <c r="B699" s="4" t="str">
        <f>IFERROR(__xludf.DUMMYFUNCTION("""COMPUTED_VALUE"""),"Señal metalica TP-4")</f>
        <v>Señal metalica TP-4</v>
      </c>
      <c r="C699" s="4">
        <f>IFERROR(__xludf.DUMMYFUNCTION("""COMPUTED_VALUE"""),11.25)</f>
        <v>11.25</v>
      </c>
      <c r="D699" s="4">
        <f>IFERROR(__xludf.DUMMYFUNCTION("""COMPUTED_VALUE"""),8.5)</f>
        <v>8.5</v>
      </c>
      <c r="E699" s="4" t="str">
        <f>IFERROR(__xludf.DUMMYFUNCTION("""COMPUTED_VALUE"""),"Neto: 8,50 € (a partir de 1 uds.)")</f>
        <v>Neto: 8,50 € (a partir de 1 uds.)</v>
      </c>
    </row>
    <row r="700">
      <c r="A700" s="4" t="str">
        <f>IFERROR(__xludf.DUMMYFUNCTION("""COMPUTED_VALUE"""),"0619D")</f>
        <v>0619D</v>
      </c>
      <c r="B700" s="4" t="str">
        <f>IFERROR(__xludf.DUMMYFUNCTION("""COMPUTED_VALUE"""),"Señal metalica P-4")</f>
        <v>Señal metalica P-4</v>
      </c>
      <c r="C700" s="4">
        <f>IFERROR(__xludf.DUMMYFUNCTION("""COMPUTED_VALUE"""),11.25)</f>
        <v>11.25</v>
      </c>
      <c r="D700" s="4">
        <f>IFERROR(__xludf.DUMMYFUNCTION("""COMPUTED_VALUE"""),8.5)</f>
        <v>8.5</v>
      </c>
      <c r="E700" s="4" t="str">
        <f>IFERROR(__xludf.DUMMYFUNCTION("""COMPUTED_VALUE"""),"Neto: 8,50 € (a partir de 1 uds.)")</f>
        <v>Neto: 8,50 € (a partir de 1 uds.)</v>
      </c>
    </row>
    <row r="701">
      <c r="A701" s="4" t="str">
        <f>IFERROR(__xludf.DUMMYFUNCTION("""COMPUTED_VALUE"""),"620")</f>
        <v>620</v>
      </c>
      <c r="B701" s="4" t="str">
        <f>IFERROR(__xludf.DUMMYFUNCTION("""COMPUTED_VALUE"""),"Señal metalica TR-1")</f>
        <v>Señal metalica TR-1</v>
      </c>
      <c r="C701" s="4">
        <f>IFERROR(__xludf.DUMMYFUNCTION("""COMPUTED_VALUE"""),11.25)</f>
        <v>11.25</v>
      </c>
      <c r="D701" s="4">
        <f>IFERROR(__xludf.DUMMYFUNCTION("""COMPUTED_VALUE"""),8.5)</f>
        <v>8.5</v>
      </c>
      <c r="E701" s="4" t="str">
        <f>IFERROR(__xludf.DUMMYFUNCTION("""COMPUTED_VALUE"""),"Neto: 8,50 € (a partir de 1 uds.)")</f>
        <v>Neto: 8,50 € (a partir de 1 uds.)</v>
      </c>
    </row>
    <row r="702">
      <c r="A702" s="4" t="str">
        <f>IFERROR(__xludf.DUMMYFUNCTION("""COMPUTED_VALUE"""),"0620D")</f>
        <v>0620D</v>
      </c>
      <c r="B702" s="4" t="str">
        <f>IFERROR(__xludf.DUMMYFUNCTION("""COMPUTED_VALUE"""),"Señal metalica R-1")</f>
        <v>Señal metalica R-1</v>
      </c>
      <c r="C702" s="4">
        <f>IFERROR(__xludf.DUMMYFUNCTION("""COMPUTED_VALUE"""),11.25)</f>
        <v>11.25</v>
      </c>
      <c r="D702" s="4">
        <f>IFERROR(__xludf.DUMMYFUNCTION("""COMPUTED_VALUE"""),8.5)</f>
        <v>8.5</v>
      </c>
      <c r="E702" s="4" t="str">
        <f>IFERROR(__xludf.DUMMYFUNCTION("""COMPUTED_VALUE"""),"Neto: 8,50 € (a partir de 1 uds.)")</f>
        <v>Neto: 8,50 € (a partir de 1 uds.)</v>
      </c>
    </row>
    <row r="703">
      <c r="A703" s="4" t="str">
        <f>IFERROR(__xludf.DUMMYFUNCTION("""COMPUTED_VALUE"""),"624")</f>
        <v>624</v>
      </c>
      <c r="B703" s="4" t="str">
        <f>IFERROR(__xludf.DUMMYFUNCTION("""COMPUTED_VALUE"""),"Señal metalica Minusvalidos M-1")</f>
        <v>Señal metalica Minusvalidos M-1</v>
      </c>
      <c r="C703" s="4">
        <f>IFERROR(__xludf.DUMMYFUNCTION("""COMPUTED_VALUE"""),11.25)</f>
        <v>11.25</v>
      </c>
      <c r="D703" s="4">
        <f>IFERROR(__xludf.DUMMYFUNCTION("""COMPUTED_VALUE"""),8.5)</f>
        <v>8.5</v>
      </c>
      <c r="E703" s="4" t="str">
        <f>IFERROR(__xludf.DUMMYFUNCTION("""COMPUTED_VALUE"""),"Neto: 8,50 € (a partir de 1 uds.)")</f>
        <v>Neto: 8,50 € (a partir de 1 uds.)</v>
      </c>
    </row>
    <row r="704">
      <c r="A704" s="4" t="str">
        <f>IFERROR(__xludf.DUMMYFUNCTION("""COMPUTED_VALUE"""),"625")</f>
        <v>625</v>
      </c>
      <c r="B704" s="4" t="str">
        <f>IFERROR(__xludf.DUMMYFUNCTION("""COMPUTED_VALUE"""),"Señal metalica S-13")</f>
        <v>Señal metalica S-13</v>
      </c>
      <c r="C704" s="4">
        <f>IFERROR(__xludf.DUMMYFUNCTION("""COMPUTED_VALUE"""),11.25)</f>
        <v>11.25</v>
      </c>
      <c r="D704" s="4">
        <f>IFERROR(__xludf.DUMMYFUNCTION("""COMPUTED_VALUE"""),8.5)</f>
        <v>8.5</v>
      </c>
      <c r="E704" s="4" t="str">
        <f>IFERROR(__xludf.DUMMYFUNCTION("""COMPUTED_VALUE"""),"Neto: 8,50 € (a partir de 1 uds.)")</f>
        <v>Neto: 8,50 € (a partir de 1 uds.)</v>
      </c>
    </row>
    <row r="705">
      <c r="A705" s="4" t="str">
        <f>IFERROR(__xludf.DUMMYFUNCTION("""COMPUTED_VALUE"""),"628")</f>
        <v>628</v>
      </c>
      <c r="B705" s="4" t="str">
        <f>IFERROR(__xludf.DUMMYFUNCTION("""COMPUTED_VALUE"""),"Señal metalica R-402")</f>
        <v>Señal metalica R-402</v>
      </c>
      <c r="C705" s="4">
        <f>IFERROR(__xludf.DUMMYFUNCTION("""COMPUTED_VALUE"""),11.25)</f>
        <v>11.25</v>
      </c>
      <c r="D705" s="4">
        <f>IFERROR(__xludf.DUMMYFUNCTION("""COMPUTED_VALUE"""),8.5)</f>
        <v>8.5</v>
      </c>
      <c r="E705" s="4" t="str">
        <f>IFERROR(__xludf.DUMMYFUNCTION("""COMPUTED_VALUE"""),"Neto: 8,50 € (a partir de 1 uds.)")</f>
        <v>Neto: 8,50 € (a partir de 1 uds.)</v>
      </c>
    </row>
    <row r="706">
      <c r="A706" s="4" t="str">
        <f>IFERROR(__xludf.DUMMYFUNCTION("""COMPUTED_VALUE"""),"629")</f>
        <v>629</v>
      </c>
      <c r="B706" s="4" t="str">
        <f>IFERROR(__xludf.DUMMYFUNCTION("""COMPUTED_VALUE"""),"Señal metalica TR-100")</f>
        <v>Señal metalica TR-100</v>
      </c>
      <c r="C706" s="4">
        <f>IFERROR(__xludf.DUMMYFUNCTION("""COMPUTED_VALUE"""),11.25)</f>
        <v>11.25</v>
      </c>
      <c r="D706" s="4">
        <f>IFERROR(__xludf.DUMMYFUNCTION("""COMPUTED_VALUE"""),8.5)</f>
        <v>8.5</v>
      </c>
      <c r="E706" s="4" t="str">
        <f>IFERROR(__xludf.DUMMYFUNCTION("""COMPUTED_VALUE"""),"Neto: 8,50 € (a partir de 1 uds.)")</f>
        <v>Neto: 8,50 € (a partir de 1 uds.)</v>
      </c>
    </row>
    <row r="707">
      <c r="A707" s="4" t="str">
        <f>IFERROR(__xludf.DUMMYFUNCTION("""COMPUTED_VALUE"""),"0629D")</f>
        <v>0629D</v>
      </c>
      <c r="B707" s="4" t="str">
        <f>IFERROR(__xludf.DUMMYFUNCTION("""COMPUTED_VALUE"""),"Señal metalica R-100")</f>
        <v>Señal metalica R-100</v>
      </c>
      <c r="C707" s="4">
        <f>IFERROR(__xludf.DUMMYFUNCTION("""COMPUTED_VALUE"""),11.25)</f>
        <v>11.25</v>
      </c>
      <c r="D707" s="4">
        <f>IFERROR(__xludf.DUMMYFUNCTION("""COMPUTED_VALUE"""),8.5)</f>
        <v>8.5</v>
      </c>
      <c r="E707" s="4" t="str">
        <f>IFERROR(__xludf.DUMMYFUNCTION("""COMPUTED_VALUE"""),"Neto: 8,50 € (a partir de 1 uds.)")</f>
        <v>Neto: 8,50 € (a partir de 1 uds.)</v>
      </c>
    </row>
    <row r="708">
      <c r="A708" s="4" t="str">
        <f>IFERROR(__xludf.DUMMYFUNCTION("""COMPUTED_VALUE"""),"630")</f>
        <v>630</v>
      </c>
      <c r="B708" s="4" t="str">
        <f>IFERROR(__xludf.DUMMYFUNCTION("""COMPUTED_VALUE"""),"Señal metalica TR-305")</f>
        <v>Señal metalica TR-305</v>
      </c>
      <c r="C708" s="4">
        <f>IFERROR(__xludf.DUMMYFUNCTION("""COMPUTED_VALUE"""),11.25)</f>
        <v>11.25</v>
      </c>
      <c r="D708" s="4">
        <f>IFERROR(__xludf.DUMMYFUNCTION("""COMPUTED_VALUE"""),8.5)</f>
        <v>8.5</v>
      </c>
      <c r="E708" s="4" t="str">
        <f>IFERROR(__xludf.DUMMYFUNCTION("""COMPUTED_VALUE"""),"Neto: 8,50 € (a partir de 1 uds.)")</f>
        <v>Neto: 8,50 € (a partir de 1 uds.)</v>
      </c>
    </row>
    <row r="709">
      <c r="A709" s="4" t="str">
        <f>IFERROR(__xludf.DUMMYFUNCTION("""COMPUTED_VALUE"""),"0630D")</f>
        <v>0630D</v>
      </c>
      <c r="B709" s="4" t="str">
        <f>IFERROR(__xludf.DUMMYFUNCTION("""COMPUTED_VALUE"""),"Señal metalica R-305")</f>
        <v>Señal metalica R-305</v>
      </c>
      <c r="C709" s="4">
        <f>IFERROR(__xludf.DUMMYFUNCTION("""COMPUTED_VALUE"""),11.25)</f>
        <v>11.25</v>
      </c>
      <c r="D709" s="4">
        <f>IFERROR(__xludf.DUMMYFUNCTION("""COMPUTED_VALUE"""),8.5)</f>
        <v>8.5</v>
      </c>
      <c r="E709" s="4" t="str">
        <f>IFERROR(__xludf.DUMMYFUNCTION("""COMPUTED_VALUE"""),"Neto: 8,50 € (a partir de 1 uds.)")</f>
        <v>Neto: 8,50 € (a partir de 1 uds.)</v>
      </c>
    </row>
    <row r="710">
      <c r="A710" s="4" t="str">
        <f>IFERROR(__xludf.DUMMYFUNCTION("""COMPUTED_VALUE"""),"641")</f>
        <v>641</v>
      </c>
      <c r="B710" s="4" t="str">
        <f>IFERROR(__xludf.DUMMYFUNCTION("""COMPUTED_VALUE"""),"Señal metalica TR-101")</f>
        <v>Señal metalica TR-101</v>
      </c>
      <c r="C710" s="4">
        <f>IFERROR(__xludf.DUMMYFUNCTION("""COMPUTED_VALUE"""),11.25)</f>
        <v>11.25</v>
      </c>
      <c r="D710" s="4">
        <f>IFERROR(__xludf.DUMMYFUNCTION("""COMPUTED_VALUE"""),8.5)</f>
        <v>8.5</v>
      </c>
      <c r="E710" s="4" t="str">
        <f>IFERROR(__xludf.DUMMYFUNCTION("""COMPUTED_VALUE"""),"Neto: 8,50 € (a partir de 1 uds.)")</f>
        <v>Neto: 8,50 € (a partir de 1 uds.)</v>
      </c>
    </row>
    <row r="711">
      <c r="A711" s="4" t="str">
        <f>IFERROR(__xludf.DUMMYFUNCTION("""COMPUTED_VALUE"""),"642")</f>
        <v>642</v>
      </c>
      <c r="B711" s="4" t="str">
        <f>IFERROR(__xludf.DUMMYFUNCTION("""COMPUTED_VALUE"""),"Señal metalica TR-106")</f>
        <v>Señal metalica TR-106</v>
      </c>
      <c r="C711" s="4">
        <f>IFERROR(__xludf.DUMMYFUNCTION("""COMPUTED_VALUE"""),11.25)</f>
        <v>11.25</v>
      </c>
      <c r="D711" s="4">
        <f>IFERROR(__xludf.DUMMYFUNCTION("""COMPUTED_VALUE"""),8.5)</f>
        <v>8.5</v>
      </c>
      <c r="E711" s="4" t="str">
        <f>IFERROR(__xludf.DUMMYFUNCTION("""COMPUTED_VALUE"""),"Neto: 8,50 € (a partir de 1 uds.)")</f>
        <v>Neto: 8,50 € (a partir de 1 uds.)</v>
      </c>
    </row>
    <row r="712">
      <c r="A712" s="4" t="str">
        <f>IFERROR(__xludf.DUMMYFUNCTION("""COMPUTED_VALUE"""),"0642D")</f>
        <v>0642D</v>
      </c>
      <c r="B712" s="4" t="str">
        <f>IFERROR(__xludf.DUMMYFUNCTION("""COMPUTED_VALUE"""),"Señal metalica R-106")</f>
        <v>Señal metalica R-106</v>
      </c>
      <c r="C712" s="4">
        <f>IFERROR(__xludf.DUMMYFUNCTION("""COMPUTED_VALUE"""),11.25)</f>
        <v>11.25</v>
      </c>
      <c r="D712" s="4">
        <f>IFERROR(__xludf.DUMMYFUNCTION("""COMPUTED_VALUE"""),8.5)</f>
        <v>8.5</v>
      </c>
      <c r="E712" s="4" t="str">
        <f>IFERROR(__xludf.DUMMYFUNCTION("""COMPUTED_VALUE"""),"Neto: 8,50 € (a partir de 1 uds.)")</f>
        <v>Neto: 8,50 € (a partir de 1 uds.)</v>
      </c>
    </row>
    <row r="713">
      <c r="A713" s="4" t="str">
        <f>IFERROR(__xludf.DUMMYFUNCTION("""COMPUTED_VALUE"""),"643")</f>
        <v>643</v>
      </c>
      <c r="B713" s="4" t="str">
        <f>IFERROR(__xludf.DUMMYFUNCTION("""COMPUTED_VALUE"""),"Señal metalica TR-201")</f>
        <v>Señal metalica TR-201</v>
      </c>
      <c r="C713" s="4">
        <f>IFERROR(__xludf.DUMMYFUNCTION("""COMPUTED_VALUE"""),11.25)</f>
        <v>11.25</v>
      </c>
      <c r="D713" s="4">
        <f>IFERROR(__xludf.DUMMYFUNCTION("""COMPUTED_VALUE"""),8.5)</f>
        <v>8.5</v>
      </c>
      <c r="E713" s="4" t="str">
        <f>IFERROR(__xludf.DUMMYFUNCTION("""COMPUTED_VALUE"""),"Neto: 8,50 € (a partir de 1 uds.)")</f>
        <v>Neto: 8,50 € (a partir de 1 uds.)</v>
      </c>
    </row>
    <row r="714">
      <c r="A714" s="4" t="str">
        <f>IFERROR(__xludf.DUMMYFUNCTION("""COMPUTED_VALUE"""),"0643D")</f>
        <v>0643D</v>
      </c>
      <c r="B714" s="4" t="str">
        <f>IFERROR(__xludf.DUMMYFUNCTION("""COMPUTED_VALUE"""),"Señal metalica R-201")</f>
        <v>Señal metalica R-201</v>
      </c>
      <c r="C714" s="4">
        <f>IFERROR(__xludf.DUMMYFUNCTION("""COMPUTED_VALUE"""),11.25)</f>
        <v>11.25</v>
      </c>
      <c r="D714" s="4">
        <f>IFERROR(__xludf.DUMMYFUNCTION("""COMPUTED_VALUE"""),8.5)</f>
        <v>8.5</v>
      </c>
      <c r="E714" s="4" t="str">
        <f>IFERROR(__xludf.DUMMYFUNCTION("""COMPUTED_VALUE"""),"Neto: 8,50 € (a partir de 1 uds.)")</f>
        <v>Neto: 8,50 € (a partir de 1 uds.)</v>
      </c>
    </row>
    <row r="715">
      <c r="A715" s="4" t="str">
        <f>IFERROR(__xludf.DUMMYFUNCTION("""COMPUTED_VALUE"""),"644")</f>
        <v>644</v>
      </c>
      <c r="B715" s="4" t="str">
        <f>IFERROR(__xludf.DUMMYFUNCTION("""COMPUTED_VALUE"""),"Señal metalica TR-204")</f>
        <v>Señal metalica TR-204</v>
      </c>
      <c r="C715" s="4">
        <f>IFERROR(__xludf.DUMMYFUNCTION("""COMPUTED_VALUE"""),11.25)</f>
        <v>11.25</v>
      </c>
      <c r="D715" s="4">
        <f>IFERROR(__xludf.DUMMYFUNCTION("""COMPUTED_VALUE"""),8.5)</f>
        <v>8.5</v>
      </c>
      <c r="E715" s="4" t="str">
        <f>IFERROR(__xludf.DUMMYFUNCTION("""COMPUTED_VALUE"""),"Neto: 8,50 € (a partir de 1 uds.)")</f>
        <v>Neto: 8,50 € (a partir de 1 uds.)</v>
      </c>
    </row>
    <row r="716">
      <c r="A716" s="4" t="str">
        <f>IFERROR(__xludf.DUMMYFUNCTION("""COMPUTED_VALUE"""),"0644D")</f>
        <v>0644D</v>
      </c>
      <c r="B716" s="4" t="str">
        <f>IFERROR(__xludf.DUMMYFUNCTION("""COMPUTED_VALUE"""),"Señal metalica R-204")</f>
        <v>Señal metalica R-204</v>
      </c>
      <c r="C716" s="4">
        <f>IFERROR(__xludf.DUMMYFUNCTION("""COMPUTED_VALUE"""),11.25)</f>
        <v>11.25</v>
      </c>
      <c r="D716" s="4">
        <f>IFERROR(__xludf.DUMMYFUNCTION("""COMPUTED_VALUE"""),8.5)</f>
        <v>8.5</v>
      </c>
      <c r="E716" s="4" t="str">
        <f>IFERROR(__xludf.DUMMYFUNCTION("""COMPUTED_VALUE"""),"Neto: 8,50 € (a partir de 1 uds.)")</f>
        <v>Neto: 8,50 € (a partir de 1 uds.)</v>
      </c>
    </row>
    <row r="717">
      <c r="A717" s="4" t="str">
        <f>IFERROR(__xludf.DUMMYFUNCTION("""COMPUTED_VALUE"""),"645")</f>
        <v>645</v>
      </c>
      <c r="B717" s="4" t="str">
        <f>IFERROR(__xludf.DUMMYFUNCTION("""COMPUTED_VALUE"""),"Señal metalica TR-205")</f>
        <v>Señal metalica TR-205</v>
      </c>
      <c r="C717" s="4">
        <f>IFERROR(__xludf.DUMMYFUNCTION("""COMPUTED_VALUE"""),11.25)</f>
        <v>11.25</v>
      </c>
      <c r="D717" s="4">
        <f>IFERROR(__xludf.DUMMYFUNCTION("""COMPUTED_VALUE"""),8.5)</f>
        <v>8.5</v>
      </c>
      <c r="E717" s="4" t="str">
        <f>IFERROR(__xludf.DUMMYFUNCTION("""COMPUTED_VALUE"""),"Neto: 8,50 € (a partir de 1 uds.)")</f>
        <v>Neto: 8,50 € (a partir de 1 uds.)</v>
      </c>
    </row>
    <row r="718">
      <c r="A718" s="4" t="str">
        <f>IFERROR(__xludf.DUMMYFUNCTION("""COMPUTED_VALUE"""),"0645D")</f>
        <v>0645D</v>
      </c>
      <c r="B718" s="4" t="str">
        <f>IFERROR(__xludf.DUMMYFUNCTION("""COMPUTED_VALUE"""),"Señal metalica R-205")</f>
        <v>Señal metalica R-205</v>
      </c>
      <c r="C718" s="4">
        <f>IFERROR(__xludf.DUMMYFUNCTION("""COMPUTED_VALUE"""),11.25)</f>
        <v>11.25</v>
      </c>
      <c r="D718" s="4">
        <f>IFERROR(__xludf.DUMMYFUNCTION("""COMPUTED_VALUE"""),8.5)</f>
        <v>8.5</v>
      </c>
      <c r="E718" s="4" t="str">
        <f>IFERROR(__xludf.DUMMYFUNCTION("""COMPUTED_VALUE"""),"Neto: 8,50 € (a partir de 1 uds.)")</f>
        <v>Neto: 8,50 € (a partir de 1 uds.)</v>
      </c>
    </row>
    <row r="719">
      <c r="A719" s="4" t="str">
        <f>IFERROR(__xludf.DUMMYFUNCTION("""COMPUTED_VALUE"""),"647")</f>
        <v>647</v>
      </c>
      <c r="B719" s="4" t="str">
        <f>IFERROR(__xludf.DUMMYFUNCTION("""COMPUTED_VALUE"""),"Señal metalica TR-303")</f>
        <v>Señal metalica TR-303</v>
      </c>
      <c r="C719" s="4">
        <f>IFERROR(__xludf.DUMMYFUNCTION("""COMPUTED_VALUE"""),11.25)</f>
        <v>11.25</v>
      </c>
      <c r="D719" s="4">
        <f>IFERROR(__xludf.DUMMYFUNCTION("""COMPUTED_VALUE"""),8.5)</f>
        <v>8.5</v>
      </c>
      <c r="E719" s="4" t="str">
        <f>IFERROR(__xludf.DUMMYFUNCTION("""COMPUTED_VALUE"""),"Neto: 8,50 € (a partir de 1 uds.)")</f>
        <v>Neto: 8,50 € (a partir de 1 uds.)</v>
      </c>
    </row>
    <row r="720">
      <c r="A720" s="4" t="str">
        <f>IFERROR(__xludf.DUMMYFUNCTION("""COMPUTED_VALUE"""),"0647D")</f>
        <v>0647D</v>
      </c>
      <c r="B720" s="4" t="str">
        <f>IFERROR(__xludf.DUMMYFUNCTION("""COMPUTED_VALUE"""),"Señal metalica R-303")</f>
        <v>Señal metalica R-303</v>
      </c>
      <c r="C720" s="4">
        <f>IFERROR(__xludf.DUMMYFUNCTION("""COMPUTED_VALUE"""),11.25)</f>
        <v>11.25</v>
      </c>
      <c r="D720" s="4">
        <f>IFERROR(__xludf.DUMMYFUNCTION("""COMPUTED_VALUE"""),8.5)</f>
        <v>8.5</v>
      </c>
      <c r="E720" s="4" t="str">
        <f>IFERROR(__xludf.DUMMYFUNCTION("""COMPUTED_VALUE"""),"Neto: 8,50 € (a partir de 1 uds.)")</f>
        <v>Neto: 8,50 € (a partir de 1 uds.)</v>
      </c>
    </row>
    <row r="721">
      <c r="A721" s="4" t="str">
        <f>IFERROR(__xludf.DUMMYFUNCTION("""COMPUTED_VALUE"""),"648")</f>
        <v>648</v>
      </c>
      <c r="B721" s="4" t="str">
        <f>IFERROR(__xludf.DUMMYFUNCTION("""COMPUTED_VALUE"""),"Señal metalica TR-301/20")</f>
        <v>Señal metalica TR-301/20</v>
      </c>
      <c r="C721" s="4">
        <f>IFERROR(__xludf.DUMMYFUNCTION("""COMPUTED_VALUE"""),11.25)</f>
        <v>11.25</v>
      </c>
      <c r="D721" s="4">
        <f>IFERROR(__xludf.DUMMYFUNCTION("""COMPUTED_VALUE"""),8.5)</f>
        <v>8.5</v>
      </c>
      <c r="E721" s="4" t="str">
        <f>IFERROR(__xludf.DUMMYFUNCTION("""COMPUTED_VALUE"""),"Neto: 8,50 € (a partir de 1 uds.)")</f>
        <v>Neto: 8,50 € (a partir de 1 uds.)</v>
      </c>
    </row>
    <row r="722">
      <c r="A722" s="4" t="str">
        <f>IFERROR(__xludf.DUMMYFUNCTION("""COMPUTED_VALUE"""),"0648D")</f>
        <v>0648D</v>
      </c>
      <c r="B722" s="4" t="str">
        <f>IFERROR(__xludf.DUMMYFUNCTION("""COMPUTED_VALUE"""),"Señal metalica R-301/20")</f>
        <v>Señal metalica R-301/20</v>
      </c>
      <c r="C722" s="4">
        <f>IFERROR(__xludf.DUMMYFUNCTION("""COMPUTED_VALUE"""),11.25)</f>
        <v>11.25</v>
      </c>
      <c r="D722" s="4">
        <f>IFERROR(__xludf.DUMMYFUNCTION("""COMPUTED_VALUE"""),8.5)</f>
        <v>8.5</v>
      </c>
      <c r="E722" s="4" t="str">
        <f>IFERROR(__xludf.DUMMYFUNCTION("""COMPUTED_VALUE"""),"Neto: 8,50 € (a partir de 1 uds.)")</f>
        <v>Neto: 8,50 € (a partir de 1 uds.)</v>
      </c>
    </row>
    <row r="723">
      <c r="A723" s="4" t="str">
        <f>IFERROR(__xludf.DUMMYFUNCTION("""COMPUTED_VALUE"""),"649")</f>
        <v>649</v>
      </c>
      <c r="B723" s="4" t="str">
        <f>IFERROR(__xludf.DUMMYFUNCTION("""COMPUTED_VALUE"""),"Señal metalica TR-301/30")</f>
        <v>Señal metalica TR-301/30</v>
      </c>
      <c r="C723" s="4">
        <f>IFERROR(__xludf.DUMMYFUNCTION("""COMPUTED_VALUE"""),11.25)</f>
        <v>11.25</v>
      </c>
      <c r="D723" s="4">
        <f>IFERROR(__xludf.DUMMYFUNCTION("""COMPUTED_VALUE"""),8.5)</f>
        <v>8.5</v>
      </c>
      <c r="E723" s="4" t="str">
        <f>IFERROR(__xludf.DUMMYFUNCTION("""COMPUTED_VALUE"""),"Neto: 8,50 € (a partir de 1 uds.)")</f>
        <v>Neto: 8,50 € (a partir de 1 uds.)</v>
      </c>
    </row>
    <row r="724">
      <c r="A724" s="4" t="str">
        <f>IFERROR(__xludf.DUMMYFUNCTION("""COMPUTED_VALUE"""),"0649D")</f>
        <v>0649D</v>
      </c>
      <c r="B724" s="4" t="str">
        <f>IFERROR(__xludf.DUMMYFUNCTION("""COMPUTED_VALUE"""),"Señal metalica R-301/30")</f>
        <v>Señal metalica R-301/30</v>
      </c>
      <c r="C724" s="4">
        <f>IFERROR(__xludf.DUMMYFUNCTION("""COMPUTED_VALUE"""),11.25)</f>
        <v>11.25</v>
      </c>
      <c r="D724" s="4">
        <f>IFERROR(__xludf.DUMMYFUNCTION("""COMPUTED_VALUE"""),8.5)</f>
        <v>8.5</v>
      </c>
      <c r="E724" s="4" t="str">
        <f>IFERROR(__xludf.DUMMYFUNCTION("""COMPUTED_VALUE"""),"Neto: 8,50 € (a partir de 1 uds.)")</f>
        <v>Neto: 8,50 € (a partir de 1 uds.)</v>
      </c>
    </row>
    <row r="725">
      <c r="A725" s="4" t="str">
        <f>IFERROR(__xludf.DUMMYFUNCTION("""COMPUTED_VALUE"""),"650")</f>
        <v>650</v>
      </c>
      <c r="B725" s="4" t="str">
        <f>IFERROR(__xludf.DUMMYFUNCTION("""COMPUTED_VALUE"""),"Señal metalica TR-301/40")</f>
        <v>Señal metalica TR-301/40</v>
      </c>
      <c r="C725" s="4">
        <f>IFERROR(__xludf.DUMMYFUNCTION("""COMPUTED_VALUE"""),11.25)</f>
        <v>11.25</v>
      </c>
      <c r="D725" s="4">
        <f>IFERROR(__xludf.DUMMYFUNCTION("""COMPUTED_VALUE"""),8.5)</f>
        <v>8.5</v>
      </c>
      <c r="E725" s="4" t="str">
        <f>IFERROR(__xludf.DUMMYFUNCTION("""COMPUTED_VALUE"""),"Neto: 8,50 € (a partir de 1 uds.)")</f>
        <v>Neto: 8,50 € (a partir de 1 uds.)</v>
      </c>
    </row>
    <row r="726">
      <c r="A726" s="4" t="str">
        <f>IFERROR(__xludf.DUMMYFUNCTION("""COMPUTED_VALUE"""),"0650D")</f>
        <v>0650D</v>
      </c>
      <c r="B726" s="4" t="str">
        <f>IFERROR(__xludf.DUMMYFUNCTION("""COMPUTED_VALUE"""),"Señal metalica R301/40")</f>
        <v>Señal metalica R301/40</v>
      </c>
      <c r="C726" s="4">
        <f>IFERROR(__xludf.DUMMYFUNCTION("""COMPUTED_VALUE"""),11.25)</f>
        <v>11.25</v>
      </c>
      <c r="D726" s="4">
        <f>IFERROR(__xludf.DUMMYFUNCTION("""COMPUTED_VALUE"""),8.5)</f>
        <v>8.5</v>
      </c>
      <c r="E726" s="4" t="str">
        <f>IFERROR(__xludf.DUMMYFUNCTION("""COMPUTED_VALUE"""),"Neto: 8,50 € (a partir de 1 uds.)")</f>
        <v>Neto: 8,50 € (a partir de 1 uds.)</v>
      </c>
    </row>
    <row r="727">
      <c r="A727" s="4" t="str">
        <f>IFERROR(__xludf.DUMMYFUNCTION("""COMPUTED_VALUE"""),"651")</f>
        <v>651</v>
      </c>
      <c r="B727" s="4" t="str">
        <f>IFERROR(__xludf.DUMMYFUNCTION("""COMPUTED_VALUE"""),"Señal metalica TR-301/50")</f>
        <v>Señal metalica TR-301/50</v>
      </c>
      <c r="C727" s="4">
        <f>IFERROR(__xludf.DUMMYFUNCTION("""COMPUTED_VALUE"""),11.25)</f>
        <v>11.25</v>
      </c>
      <c r="D727" s="4">
        <f>IFERROR(__xludf.DUMMYFUNCTION("""COMPUTED_VALUE"""),8.5)</f>
        <v>8.5</v>
      </c>
      <c r="E727" s="4" t="str">
        <f>IFERROR(__xludf.DUMMYFUNCTION("""COMPUTED_VALUE"""),"Neto: 8,50 € (a partir de 1 uds.)")</f>
        <v>Neto: 8,50 € (a partir de 1 uds.)</v>
      </c>
    </row>
    <row r="728">
      <c r="A728" s="4" t="str">
        <f>IFERROR(__xludf.DUMMYFUNCTION("""COMPUTED_VALUE"""),"0651D")</f>
        <v>0651D</v>
      </c>
      <c r="B728" s="4" t="str">
        <f>IFERROR(__xludf.DUMMYFUNCTION("""COMPUTED_VALUE"""),"Señal metalica R-301/50")</f>
        <v>Señal metalica R-301/50</v>
      </c>
      <c r="C728" s="4">
        <f>IFERROR(__xludf.DUMMYFUNCTION("""COMPUTED_VALUE"""),11.25)</f>
        <v>11.25</v>
      </c>
      <c r="D728" s="4">
        <f>IFERROR(__xludf.DUMMYFUNCTION("""COMPUTED_VALUE"""),8.5)</f>
        <v>8.5</v>
      </c>
      <c r="E728" s="4" t="str">
        <f>IFERROR(__xludf.DUMMYFUNCTION("""COMPUTED_VALUE"""),"Neto: 8,50 € (a partir de 1 uds.)")</f>
        <v>Neto: 8,50 € (a partir de 1 uds.)</v>
      </c>
    </row>
    <row r="729">
      <c r="A729" s="4" t="str">
        <f>IFERROR(__xludf.DUMMYFUNCTION("""COMPUTED_VALUE"""),"652")</f>
        <v>652</v>
      </c>
      <c r="B729" s="4" t="str">
        <f>IFERROR(__xludf.DUMMYFUNCTION("""COMPUTED_VALUE"""),"Señal metalica TR-301/60")</f>
        <v>Señal metalica TR-301/60</v>
      </c>
      <c r="C729" s="4">
        <f>IFERROR(__xludf.DUMMYFUNCTION("""COMPUTED_VALUE"""),11.25)</f>
        <v>11.25</v>
      </c>
      <c r="D729" s="4">
        <f>IFERROR(__xludf.DUMMYFUNCTION("""COMPUTED_VALUE"""),8.5)</f>
        <v>8.5</v>
      </c>
      <c r="E729" s="4" t="str">
        <f>IFERROR(__xludf.DUMMYFUNCTION("""COMPUTED_VALUE"""),"Neto: 8,50 € (a partir de 1 uds.)")</f>
        <v>Neto: 8,50 € (a partir de 1 uds.)</v>
      </c>
    </row>
    <row r="730">
      <c r="A730" s="4" t="str">
        <f>IFERROR(__xludf.DUMMYFUNCTION("""COMPUTED_VALUE"""),"0652D")</f>
        <v>0652D</v>
      </c>
      <c r="B730" s="4" t="str">
        <f>IFERROR(__xludf.DUMMYFUNCTION("""COMPUTED_VALUE"""),"Señal metalica R-301/60")</f>
        <v>Señal metalica R-301/60</v>
      </c>
      <c r="C730" s="4">
        <f>IFERROR(__xludf.DUMMYFUNCTION("""COMPUTED_VALUE"""),11.25)</f>
        <v>11.25</v>
      </c>
      <c r="D730" s="4">
        <f>IFERROR(__xludf.DUMMYFUNCTION("""COMPUTED_VALUE"""),8.5)</f>
        <v>8.5</v>
      </c>
      <c r="E730" s="4" t="str">
        <f>IFERROR(__xludf.DUMMYFUNCTION("""COMPUTED_VALUE"""),"Neto: 8,50 € (a partir de 1 uds.)")</f>
        <v>Neto: 8,50 € (a partir de 1 uds.)</v>
      </c>
    </row>
    <row r="731">
      <c r="A731" s="4" t="str">
        <f>IFERROR(__xludf.DUMMYFUNCTION("""COMPUTED_VALUE"""),"653")</f>
        <v>653</v>
      </c>
      <c r="B731" s="4" t="str">
        <f>IFERROR(__xludf.DUMMYFUNCTION("""COMPUTED_VALUE"""),"Señal metalica R-307")</f>
        <v>Señal metalica R-307</v>
      </c>
      <c r="C731" s="4">
        <f>IFERROR(__xludf.DUMMYFUNCTION("""COMPUTED_VALUE"""),11.25)</f>
        <v>11.25</v>
      </c>
      <c r="D731" s="4">
        <f>IFERROR(__xludf.DUMMYFUNCTION("""COMPUTED_VALUE"""),8.5)</f>
        <v>8.5</v>
      </c>
      <c r="E731" s="4" t="str">
        <f>IFERROR(__xludf.DUMMYFUNCTION("""COMPUTED_VALUE"""),"Neto: 8,50 € (a partir de 1 uds.)")</f>
        <v>Neto: 8,50 € (a partir de 1 uds.)</v>
      </c>
    </row>
    <row r="732">
      <c r="A732" s="4" t="str">
        <f>IFERROR(__xludf.DUMMYFUNCTION("""COMPUTED_VALUE"""),"654")</f>
        <v>654</v>
      </c>
      <c r="B732" s="4" t="str">
        <f>IFERROR(__xludf.DUMMYFUNCTION("""COMPUTED_VALUE"""),"Señal metalica TR-301/10")</f>
        <v>Señal metalica TR-301/10</v>
      </c>
      <c r="C732" s="4">
        <f>IFERROR(__xludf.DUMMYFUNCTION("""COMPUTED_VALUE"""),11.25)</f>
        <v>11.25</v>
      </c>
      <c r="D732" s="4">
        <f>IFERROR(__xludf.DUMMYFUNCTION("""COMPUTED_VALUE"""),8.5)</f>
        <v>8.5</v>
      </c>
      <c r="E732" s="4" t="str">
        <f>IFERROR(__xludf.DUMMYFUNCTION("""COMPUTED_VALUE"""),"Neto: 8,50 € (a partir de 1 uds.)")</f>
        <v>Neto: 8,50 € (a partir de 1 uds.)</v>
      </c>
    </row>
    <row r="733">
      <c r="A733" s="4" t="str">
        <f>IFERROR(__xludf.DUMMYFUNCTION("""COMPUTED_VALUE"""),"655")</f>
        <v>655</v>
      </c>
      <c r="B733" s="4" t="str">
        <f>IFERROR(__xludf.DUMMYFUNCTION("""COMPUTED_VALUE"""),"Señal metalica Minusvalidos M-2")</f>
        <v>Señal metalica Minusvalidos M-2</v>
      </c>
      <c r="C733" s="4">
        <f>IFERROR(__xludf.DUMMYFUNCTION("""COMPUTED_VALUE"""),11.25)</f>
        <v>11.25</v>
      </c>
      <c r="D733" s="4">
        <f>IFERROR(__xludf.DUMMYFUNCTION("""COMPUTED_VALUE"""),8.5)</f>
        <v>8.5</v>
      </c>
      <c r="E733" s="4" t="str">
        <f>IFERROR(__xludf.DUMMYFUNCTION("""COMPUTED_VALUE"""),"Neto: 8,50 € (a partir de 1 uds.)")</f>
        <v>Neto: 8,50 € (a partir de 1 uds.)</v>
      </c>
    </row>
    <row r="734">
      <c r="A734" s="4" t="str">
        <f>IFERROR(__xludf.DUMMYFUNCTION("""COMPUTED_VALUE"""),"656")</f>
        <v>656</v>
      </c>
      <c r="B734" s="4" t="str">
        <f>IFERROR(__xludf.DUMMYFUNCTION("""COMPUTED_VALUE"""),"Señal metalica TR-302")</f>
        <v>Señal metalica TR-302</v>
      </c>
      <c r="C734" s="4">
        <f>IFERROR(__xludf.DUMMYFUNCTION("""COMPUTED_VALUE"""),11.25)</f>
        <v>11.25</v>
      </c>
      <c r="D734" s="4">
        <f>IFERROR(__xludf.DUMMYFUNCTION("""COMPUTED_VALUE"""),8.5)</f>
        <v>8.5</v>
      </c>
      <c r="E734" s="4" t="str">
        <f>IFERROR(__xludf.DUMMYFUNCTION("""COMPUTED_VALUE"""),"Neto: 8,50 € (a partir de 1 uds.)")</f>
        <v>Neto: 8,50 € (a partir de 1 uds.)</v>
      </c>
    </row>
    <row r="735">
      <c r="A735" s="4" t="str">
        <f>IFERROR(__xludf.DUMMYFUNCTION("""COMPUTED_VALUE"""),"0656D")</f>
        <v>0656D</v>
      </c>
      <c r="B735" s="4" t="str">
        <f>IFERROR(__xludf.DUMMYFUNCTION("""COMPUTED_VALUE"""),"Señal metalica R-302")</f>
        <v>Señal metalica R-302</v>
      </c>
      <c r="C735" s="4">
        <f>IFERROR(__xludf.DUMMYFUNCTION("""COMPUTED_VALUE"""),11.25)</f>
        <v>11.25</v>
      </c>
      <c r="D735" s="4">
        <f>IFERROR(__xludf.DUMMYFUNCTION("""COMPUTED_VALUE"""),8.5)</f>
        <v>8.5</v>
      </c>
      <c r="E735" s="4" t="str">
        <f>IFERROR(__xludf.DUMMYFUNCTION("""COMPUTED_VALUE"""),"Neto: 8,50 € (a partir de 1 uds.)")</f>
        <v>Neto: 8,50 € (a partir de 1 uds.)</v>
      </c>
    </row>
    <row r="736">
      <c r="A736" s="4" t="str">
        <f>IFERROR(__xludf.DUMMYFUNCTION("""COMPUTED_VALUE"""),"657")</f>
        <v>657</v>
      </c>
      <c r="B736" s="4" t="str">
        <f>IFERROR(__xludf.DUMMYFUNCTION("""COMPUTED_VALUE"""),"Señal metalica TR-306")</f>
        <v>Señal metalica TR-306</v>
      </c>
      <c r="C736" s="4">
        <f>IFERROR(__xludf.DUMMYFUNCTION("""COMPUTED_VALUE"""),11.25)</f>
        <v>11.25</v>
      </c>
      <c r="D736" s="4">
        <f>IFERROR(__xludf.DUMMYFUNCTION("""COMPUTED_VALUE"""),8.5)</f>
        <v>8.5</v>
      </c>
      <c r="E736" s="4" t="str">
        <f>IFERROR(__xludf.DUMMYFUNCTION("""COMPUTED_VALUE"""),"Neto: 8,50 € (a partir de 1 uds.)")</f>
        <v>Neto: 8,50 € (a partir de 1 uds.)</v>
      </c>
    </row>
    <row r="737">
      <c r="A737" s="4" t="str">
        <f>IFERROR(__xludf.DUMMYFUNCTION("""COMPUTED_VALUE"""),"0657D")</f>
        <v>0657D</v>
      </c>
      <c r="B737" s="4" t="str">
        <f>IFERROR(__xludf.DUMMYFUNCTION("""COMPUTED_VALUE"""),"Señal metalica R-306")</f>
        <v>Señal metalica R-306</v>
      </c>
      <c r="C737" s="4">
        <f>IFERROR(__xludf.DUMMYFUNCTION("""COMPUTED_VALUE"""),11.25)</f>
        <v>11.25</v>
      </c>
      <c r="D737" s="4">
        <f>IFERROR(__xludf.DUMMYFUNCTION("""COMPUTED_VALUE"""),8.5)</f>
        <v>8.5</v>
      </c>
      <c r="E737" s="4" t="str">
        <f>IFERROR(__xludf.DUMMYFUNCTION("""COMPUTED_VALUE"""),"Neto: 8,50 € (a partir de 1 uds.)")</f>
        <v>Neto: 8,50 € (a partir de 1 uds.)</v>
      </c>
    </row>
    <row r="738">
      <c r="A738" s="4" t="str">
        <f>IFERROR(__xludf.DUMMYFUNCTION("""COMPUTED_VALUE"""),"658")</f>
        <v>658</v>
      </c>
      <c r="B738" s="4" t="str">
        <f>IFERROR(__xludf.DUMMYFUNCTION("""COMPUTED_VALUE"""),"Soporte pared 60 mm para señal MOPU")</f>
        <v>Soporte pared 60 mm para señal MOPU</v>
      </c>
      <c r="C738" s="4">
        <f>IFERROR(__xludf.DUMMYFUNCTION("""COMPUTED_VALUE"""),17.0)</f>
        <v>17</v>
      </c>
      <c r="D738" s="4"/>
      <c r="E738" s="4" t="str">
        <f>IFERROR(__xludf.DUMMYFUNCTION("""COMPUTED_VALUE"""),"Sin precio neto")</f>
        <v>Sin precio neto</v>
      </c>
    </row>
    <row r="739">
      <c r="A739" s="4" t="str">
        <f>IFERROR(__xludf.DUMMYFUNCTION("""COMPUTED_VALUE"""),"661")</f>
        <v>661</v>
      </c>
      <c r="B739" s="4" t="str">
        <f>IFERROR(__xludf.DUMMYFUNCTION("""COMPUTED_VALUE"""),"Señal metalica R2 Stop")</f>
        <v>Señal metalica R2 Stop</v>
      </c>
      <c r="C739" s="4">
        <f>IFERROR(__xludf.DUMMYFUNCTION("""COMPUTED_VALUE"""),11.25)</f>
        <v>11.25</v>
      </c>
      <c r="D739" s="4">
        <f>IFERROR(__xludf.DUMMYFUNCTION("""COMPUTED_VALUE"""),8.5)</f>
        <v>8.5</v>
      </c>
      <c r="E739" s="4" t="str">
        <f>IFERROR(__xludf.DUMMYFUNCTION("""COMPUTED_VALUE"""),"Neto: 8,50 € (a partir de 1 uds.)")</f>
        <v>Neto: 8,50 € (a partir de 1 uds.)</v>
      </c>
    </row>
    <row r="740">
      <c r="A740" s="4" t="str">
        <f>IFERROR(__xludf.DUMMYFUNCTION("""COMPUTED_VALUE"""),"0661V")</f>
        <v>0661V</v>
      </c>
      <c r="B740" s="4" t="str">
        <f>IFERROR(__xludf.DUMMYFUNCTION("""COMPUTED_VALUE"""),"Vinilo adhesivo suelo STOP 40 cm")</f>
        <v>Vinilo adhesivo suelo STOP 40 cm</v>
      </c>
      <c r="C740" s="4">
        <f>IFERROR(__xludf.DUMMYFUNCTION("""COMPUTED_VALUE"""),6.15)</f>
        <v>6.15</v>
      </c>
      <c r="D740" s="4"/>
      <c r="E740" s="4" t="str">
        <f>IFERROR(__xludf.DUMMYFUNCTION("""COMPUTED_VALUE"""),"Sin precio neto")</f>
        <v>Sin precio neto</v>
      </c>
    </row>
    <row r="741">
      <c r="A741" s="4" t="str">
        <f>IFERROR(__xludf.DUMMYFUNCTION("""COMPUTED_VALUE"""),"662")</f>
        <v>662</v>
      </c>
      <c r="B741" s="4" t="str">
        <f>IFERROR(__xludf.DUMMYFUNCTION("""COMPUTED_VALUE"""),"Señal metalica R-308")</f>
        <v>Señal metalica R-308</v>
      </c>
      <c r="C741" s="4">
        <f>IFERROR(__xludf.DUMMYFUNCTION("""COMPUTED_VALUE"""),11.25)</f>
        <v>11.25</v>
      </c>
      <c r="D741" s="4">
        <f>IFERROR(__xludf.DUMMYFUNCTION("""COMPUTED_VALUE"""),8.5)</f>
        <v>8.5</v>
      </c>
      <c r="E741" s="4" t="str">
        <f>IFERROR(__xludf.DUMMYFUNCTION("""COMPUTED_VALUE"""),"Neto: 8,50 € (a partir de 1 uds.)")</f>
        <v>Neto: 8,50 € (a partir de 1 uds.)</v>
      </c>
    </row>
    <row r="742">
      <c r="A742" s="4" t="str">
        <f>IFERROR(__xludf.DUMMYFUNCTION("""COMPUTED_VALUE"""),"663")</f>
        <v>663</v>
      </c>
      <c r="B742" s="4" t="str">
        <f>IFERROR(__xludf.DUMMYFUNCTION("""COMPUTED_VALUE"""),"Señal metalica TR-400a")</f>
        <v>Señal metalica TR-400a</v>
      </c>
      <c r="C742" s="4">
        <f>IFERROR(__xludf.DUMMYFUNCTION("""COMPUTED_VALUE"""),11.25)</f>
        <v>11.25</v>
      </c>
      <c r="D742" s="4">
        <f>IFERROR(__xludf.DUMMYFUNCTION("""COMPUTED_VALUE"""),8.5)</f>
        <v>8.5</v>
      </c>
      <c r="E742" s="4" t="str">
        <f>IFERROR(__xludf.DUMMYFUNCTION("""COMPUTED_VALUE"""),"Neto: 8,50 € (a partir de 1 uds.)")</f>
        <v>Neto: 8,50 € (a partir de 1 uds.)</v>
      </c>
    </row>
    <row r="743">
      <c r="A743" s="4" t="str">
        <f>IFERROR(__xludf.DUMMYFUNCTION("""COMPUTED_VALUE"""),"664")</f>
        <v>664</v>
      </c>
      <c r="B743" s="4" t="str">
        <f>IFERROR(__xludf.DUMMYFUNCTION("""COMPUTED_VALUE"""),"Señal metalica R-400a")</f>
        <v>Señal metalica R-400a</v>
      </c>
      <c r="C743" s="4">
        <f>IFERROR(__xludf.DUMMYFUNCTION("""COMPUTED_VALUE"""),11.25)</f>
        <v>11.25</v>
      </c>
      <c r="D743" s="4">
        <f>IFERROR(__xludf.DUMMYFUNCTION("""COMPUTED_VALUE"""),8.5)</f>
        <v>8.5</v>
      </c>
      <c r="E743" s="4" t="str">
        <f>IFERROR(__xludf.DUMMYFUNCTION("""COMPUTED_VALUE"""),"Neto: 8,50 € (a partir de 1 uds.)")</f>
        <v>Neto: 8,50 € (a partir de 1 uds.)</v>
      </c>
    </row>
    <row r="744">
      <c r="A744" s="4" t="str">
        <f>IFERROR(__xludf.DUMMYFUNCTION("""COMPUTED_VALUE"""),"0664V")</f>
        <v>0664V</v>
      </c>
      <c r="B744" s="4" t="str">
        <f>IFERROR(__xludf.DUMMYFUNCTION("""COMPUTED_VALUE"""),"Vinilo adhesivo suelo Dirección oblig. 40cm")</f>
        <v>Vinilo adhesivo suelo Dirección oblig. 40cm</v>
      </c>
      <c r="C744" s="4">
        <f>IFERROR(__xludf.DUMMYFUNCTION("""COMPUTED_VALUE"""),6.15)</f>
        <v>6.15</v>
      </c>
      <c r="D744" s="4"/>
      <c r="E744" s="4" t="str">
        <f>IFERROR(__xludf.DUMMYFUNCTION("""COMPUTED_VALUE"""),"Sin precio neto")</f>
        <v>Sin precio neto</v>
      </c>
    </row>
    <row r="745">
      <c r="A745" s="4" t="str">
        <f>IFERROR(__xludf.DUMMYFUNCTION("""COMPUTED_VALUE"""),"665")</f>
        <v>665</v>
      </c>
      <c r="B745" s="4" t="str">
        <f>IFERROR(__xludf.DUMMYFUNCTION("""COMPUTED_VALUE"""),"Señal metalica S-17 Parking")</f>
        <v>Señal metalica S-17 Parking</v>
      </c>
      <c r="C745" s="4">
        <f>IFERROR(__xludf.DUMMYFUNCTION("""COMPUTED_VALUE"""),11.25)</f>
        <v>11.25</v>
      </c>
      <c r="D745" s="4">
        <f>IFERROR(__xludf.DUMMYFUNCTION("""COMPUTED_VALUE"""),8.5)</f>
        <v>8.5</v>
      </c>
      <c r="E745" s="4" t="str">
        <f>IFERROR(__xludf.DUMMYFUNCTION("""COMPUTED_VALUE"""),"Neto: 8,50 € (a partir de 1 uds.)")</f>
        <v>Neto: 8,50 € (a partir de 1 uds.)</v>
      </c>
    </row>
    <row r="746">
      <c r="A746" s="4" t="str">
        <f>IFERROR(__xludf.DUMMYFUNCTION("""COMPUTED_VALUE"""),"666")</f>
        <v>666</v>
      </c>
      <c r="B746" s="4" t="str">
        <f>IFERROR(__xludf.DUMMYFUNCTION("""COMPUTED_VALUE"""),"Señal metalica S-15a Calle Cortada")</f>
        <v>Señal metalica S-15a Calle Cortada</v>
      </c>
      <c r="C746" s="4">
        <f>IFERROR(__xludf.DUMMYFUNCTION("""COMPUTED_VALUE"""),11.25)</f>
        <v>11.25</v>
      </c>
      <c r="D746" s="4">
        <f>IFERROR(__xludf.DUMMYFUNCTION("""COMPUTED_VALUE"""),8.5)</f>
        <v>8.5</v>
      </c>
      <c r="E746" s="4" t="str">
        <f>IFERROR(__xludf.DUMMYFUNCTION("""COMPUTED_VALUE"""),"Neto: 8,50 € (a partir de 1 uds.)")</f>
        <v>Neto: 8,50 € (a partir de 1 uds.)</v>
      </c>
    </row>
    <row r="747">
      <c r="A747" s="4" t="str">
        <f>IFERROR(__xludf.DUMMYFUNCTION("""COMPUTED_VALUE"""),"667")</f>
        <v>667</v>
      </c>
      <c r="B747" s="4" t="str">
        <f>IFERROR(__xludf.DUMMYFUNCTION("""COMPUTED_VALUE"""),"Placa carga Sobresaliente V20 50x50")</f>
        <v>Placa carga Sobresaliente V20 50x50</v>
      </c>
      <c r="C747" s="4">
        <f>IFERROR(__xludf.DUMMYFUNCTION("""COMPUTED_VALUE"""),19.5)</f>
        <v>19.5</v>
      </c>
      <c r="D747" s="4">
        <f>IFERROR(__xludf.DUMMYFUNCTION("""COMPUTED_VALUE"""),17.8)</f>
        <v>17.8</v>
      </c>
      <c r="E747" s="4" t="str">
        <f>IFERROR(__xludf.DUMMYFUNCTION("""COMPUTED_VALUE"""),"Neto: 17,80 € (a partir de 10 uds.)")</f>
        <v>Neto: 17,80 € (a partir de 10 uds.)</v>
      </c>
    </row>
    <row r="748">
      <c r="A748" s="4" t="str">
        <f>IFERROR(__xludf.DUMMYFUNCTION("""COMPUTED_VALUE"""),"668")</f>
        <v>668</v>
      </c>
      <c r="B748" s="4" t="str">
        <f>IFERROR(__xludf.DUMMYFUNCTION("""COMPUTED_VALUE"""),"Señal metalica R-101")</f>
        <v>Señal metalica R-101</v>
      </c>
      <c r="C748" s="4">
        <f>IFERROR(__xludf.DUMMYFUNCTION("""COMPUTED_VALUE"""),11.25)</f>
        <v>11.25</v>
      </c>
      <c r="D748" s="4">
        <f>IFERROR(__xludf.DUMMYFUNCTION("""COMPUTED_VALUE"""),8.5)</f>
        <v>8.5</v>
      </c>
      <c r="E748" s="4" t="str">
        <f>IFERROR(__xludf.DUMMYFUNCTION("""COMPUTED_VALUE"""),"Neto: 8,50 € (a partir de 1 uds.)")</f>
        <v>Neto: 8,50 € (a partir de 1 uds.)</v>
      </c>
    </row>
    <row r="749">
      <c r="A749" s="4" t="str">
        <f>IFERROR(__xludf.DUMMYFUNCTION("""COMPUTED_VALUE"""),"670")</f>
        <v>670</v>
      </c>
      <c r="B749" s="4" t="str">
        <f>IFERROR(__xludf.DUMMYFUNCTION("""COMPUTED_VALUE"""),"Señal metalica TR-5")</f>
        <v>Señal metalica TR-5</v>
      </c>
      <c r="C749" s="4">
        <f>IFERROR(__xludf.DUMMYFUNCTION("""COMPUTED_VALUE"""),11.25)</f>
        <v>11.25</v>
      </c>
      <c r="D749" s="4">
        <f>IFERROR(__xludf.DUMMYFUNCTION("""COMPUTED_VALUE"""),8.5)</f>
        <v>8.5</v>
      </c>
      <c r="E749" s="4" t="str">
        <f>IFERROR(__xludf.DUMMYFUNCTION("""COMPUTED_VALUE"""),"Neto: 8,50 € (a partir de 1 uds.)")</f>
        <v>Neto: 8,50 € (a partir de 1 uds.)</v>
      </c>
    </row>
    <row r="750">
      <c r="A750" s="4" t="str">
        <f>IFERROR(__xludf.DUMMYFUNCTION("""COMPUTED_VALUE"""),"0670D")</f>
        <v>0670D</v>
      </c>
      <c r="B750" s="4" t="str">
        <f>IFERROR(__xludf.DUMMYFUNCTION("""COMPUTED_VALUE"""),"Señal metalica R-5")</f>
        <v>Señal metalica R-5</v>
      </c>
      <c r="C750" s="4">
        <f>IFERROR(__xludf.DUMMYFUNCTION("""COMPUTED_VALUE"""),11.25)</f>
        <v>11.25</v>
      </c>
      <c r="D750" s="4">
        <f>IFERROR(__xludf.DUMMYFUNCTION("""COMPUTED_VALUE"""),8.5)</f>
        <v>8.5</v>
      </c>
      <c r="E750" s="4" t="str">
        <f>IFERROR(__xludf.DUMMYFUNCTION("""COMPUTED_VALUE"""),"Neto: 8,50 € (a partir de 1 uds.)")</f>
        <v>Neto: 8,50 € (a partir de 1 uds.)</v>
      </c>
    </row>
    <row r="751">
      <c r="A751" s="4" t="str">
        <f>IFERROR(__xludf.DUMMYFUNCTION("""COMPUTED_VALUE"""),"671")</f>
        <v>671</v>
      </c>
      <c r="B751" s="4" t="str">
        <f>IFERROR(__xludf.DUMMYFUNCTION("""COMPUTED_VALUE"""),"Señal metalica TR-500")</f>
        <v>Señal metalica TR-500</v>
      </c>
      <c r="C751" s="4">
        <f>IFERROR(__xludf.DUMMYFUNCTION("""COMPUTED_VALUE"""),11.25)</f>
        <v>11.25</v>
      </c>
      <c r="D751" s="4">
        <f>IFERROR(__xludf.DUMMYFUNCTION("""COMPUTED_VALUE"""),8.5)</f>
        <v>8.5</v>
      </c>
      <c r="E751" s="4" t="str">
        <f>IFERROR(__xludf.DUMMYFUNCTION("""COMPUTED_VALUE"""),"Neto: 8,50 € (a partir de 1 uds.)")</f>
        <v>Neto: 8,50 € (a partir de 1 uds.)</v>
      </c>
    </row>
    <row r="752">
      <c r="A752" s="4" t="str">
        <f>IFERROR(__xludf.DUMMYFUNCTION("""COMPUTED_VALUE"""),"0671D")</f>
        <v>0671D</v>
      </c>
      <c r="B752" s="4" t="str">
        <f>IFERROR(__xludf.DUMMYFUNCTION("""COMPUTED_VALUE"""),"Señal metalica R-500")</f>
        <v>Señal metalica R-500</v>
      </c>
      <c r="C752" s="4">
        <f>IFERROR(__xludf.DUMMYFUNCTION("""COMPUTED_VALUE"""),11.25)</f>
        <v>11.25</v>
      </c>
      <c r="D752" s="4">
        <f>IFERROR(__xludf.DUMMYFUNCTION("""COMPUTED_VALUE"""),8.5)</f>
        <v>8.5</v>
      </c>
      <c r="E752" s="4" t="str">
        <f>IFERROR(__xludf.DUMMYFUNCTION("""COMPUTED_VALUE"""),"Neto: 8,50 € (a partir de 1 uds.)")</f>
        <v>Neto: 8,50 € (a partir de 1 uds.)</v>
      </c>
    </row>
    <row r="753">
      <c r="A753" s="4" t="str">
        <f>IFERROR(__xludf.DUMMYFUNCTION("""COMPUTED_VALUE"""),"672")</f>
        <v>672</v>
      </c>
      <c r="B753" s="4" t="str">
        <f>IFERROR(__xludf.DUMMYFUNCTION("""COMPUTED_VALUE"""),"Señal metalica TR-502")</f>
        <v>Señal metalica TR-502</v>
      </c>
      <c r="C753" s="4">
        <f>IFERROR(__xludf.DUMMYFUNCTION("""COMPUTED_VALUE"""),11.25)</f>
        <v>11.25</v>
      </c>
      <c r="D753" s="4">
        <f>IFERROR(__xludf.DUMMYFUNCTION("""COMPUTED_VALUE"""),8.5)</f>
        <v>8.5</v>
      </c>
      <c r="E753" s="4" t="str">
        <f>IFERROR(__xludf.DUMMYFUNCTION("""COMPUTED_VALUE"""),"Neto: 8,50 € (a partir de 1 uds.)")</f>
        <v>Neto: 8,50 € (a partir de 1 uds.)</v>
      </c>
    </row>
    <row r="754">
      <c r="A754" s="4" t="str">
        <f>IFERROR(__xludf.DUMMYFUNCTION("""COMPUTED_VALUE"""),"0672D")</f>
        <v>0672D</v>
      </c>
      <c r="B754" s="4" t="str">
        <f>IFERROR(__xludf.DUMMYFUNCTION("""COMPUTED_VALUE"""),"Señal metalica R-502")</f>
        <v>Señal metalica R-502</v>
      </c>
      <c r="C754" s="4">
        <f>IFERROR(__xludf.DUMMYFUNCTION("""COMPUTED_VALUE"""),11.25)</f>
        <v>11.25</v>
      </c>
      <c r="D754" s="4">
        <f>IFERROR(__xludf.DUMMYFUNCTION("""COMPUTED_VALUE"""),8.5)</f>
        <v>8.5</v>
      </c>
      <c r="E754" s="4" t="str">
        <f>IFERROR(__xludf.DUMMYFUNCTION("""COMPUTED_VALUE"""),"Neto: 8,50 € (a partir de 1 uds.)")</f>
        <v>Neto: 8,50 € (a partir de 1 uds.)</v>
      </c>
    </row>
    <row r="755">
      <c r="A755" s="4" t="str">
        <f>IFERROR(__xludf.DUMMYFUNCTION("""COMPUTED_VALUE"""),"673")</f>
        <v>673</v>
      </c>
      <c r="B755" s="4" t="str">
        <f>IFERROR(__xludf.DUMMYFUNCTION("""COMPUTED_VALUE"""),"Señal metalica P-20")</f>
        <v>Señal metalica P-20</v>
      </c>
      <c r="C755" s="4">
        <f>IFERROR(__xludf.DUMMYFUNCTION("""COMPUTED_VALUE"""),11.25)</f>
        <v>11.25</v>
      </c>
      <c r="D755" s="4">
        <f>IFERROR(__xludf.DUMMYFUNCTION("""COMPUTED_VALUE"""),8.5)</f>
        <v>8.5</v>
      </c>
      <c r="E755" s="4" t="str">
        <f>IFERROR(__xludf.DUMMYFUNCTION("""COMPUTED_VALUE"""),"Neto: 8,50 € (a partir de 1 uds.)")</f>
        <v>Neto: 8,50 € (a partir de 1 uds.)</v>
      </c>
    </row>
    <row r="756">
      <c r="A756" s="4" t="str">
        <f>IFERROR(__xludf.DUMMYFUNCTION("""COMPUTED_VALUE"""),"0673D")</f>
        <v>0673D</v>
      </c>
      <c r="B756" s="4" t="str">
        <f>IFERROR(__xludf.DUMMYFUNCTION("""COMPUTED_VALUE"""),"Señal metalica P-20")</f>
        <v>Señal metalica P-20</v>
      </c>
      <c r="C756" s="4">
        <f>IFERROR(__xludf.DUMMYFUNCTION("""COMPUTED_VALUE"""),11.25)</f>
        <v>11.25</v>
      </c>
      <c r="D756" s="4">
        <f>IFERROR(__xludf.DUMMYFUNCTION("""COMPUTED_VALUE"""),8.5)</f>
        <v>8.5</v>
      </c>
      <c r="E756" s="4" t="str">
        <f>IFERROR(__xludf.DUMMYFUNCTION("""COMPUTED_VALUE"""),"Neto: 8,50 € (a partir de 1 uds.)")</f>
        <v>Neto: 8,50 € (a partir de 1 uds.)</v>
      </c>
    </row>
    <row r="757">
      <c r="A757" s="4" t="str">
        <f>IFERROR(__xludf.DUMMYFUNCTION("""COMPUTED_VALUE"""),"674")</f>
        <v>674</v>
      </c>
      <c r="B757" s="4" t="str">
        <f>IFERROR(__xludf.DUMMYFUNCTION("""COMPUTED_VALUE"""),"Señal metalica TR-503")</f>
        <v>Señal metalica TR-503</v>
      </c>
      <c r="C757" s="4">
        <f>IFERROR(__xludf.DUMMYFUNCTION("""COMPUTED_VALUE"""),11.25)</f>
        <v>11.25</v>
      </c>
      <c r="D757" s="4">
        <f>IFERROR(__xludf.DUMMYFUNCTION("""COMPUTED_VALUE"""),8.5)</f>
        <v>8.5</v>
      </c>
      <c r="E757" s="4" t="str">
        <f>IFERROR(__xludf.DUMMYFUNCTION("""COMPUTED_VALUE"""),"Neto: 8,50 € (a partir de 1 uds.)")</f>
        <v>Neto: 8,50 € (a partir de 1 uds.)</v>
      </c>
    </row>
    <row r="758">
      <c r="A758" s="4" t="str">
        <f>IFERROR(__xludf.DUMMYFUNCTION("""COMPUTED_VALUE"""),"0674D")</f>
        <v>0674D</v>
      </c>
      <c r="B758" s="4" t="str">
        <f>IFERROR(__xludf.DUMMYFUNCTION("""COMPUTED_VALUE"""),"Señal metalica R-503")</f>
        <v>Señal metalica R-503</v>
      </c>
      <c r="C758" s="4">
        <f>IFERROR(__xludf.DUMMYFUNCTION("""COMPUTED_VALUE"""),11.25)</f>
        <v>11.25</v>
      </c>
      <c r="D758" s="4">
        <f>IFERROR(__xludf.DUMMYFUNCTION("""COMPUTED_VALUE"""),8.5)</f>
        <v>8.5</v>
      </c>
      <c r="E758" s="4" t="str">
        <f>IFERROR(__xludf.DUMMYFUNCTION("""COMPUTED_VALUE"""),"Neto: 8,50 € (a partir de 1 uds.)")</f>
        <v>Neto: 8,50 € (a partir de 1 uds.)</v>
      </c>
    </row>
    <row r="759">
      <c r="A759" s="4" t="str">
        <f>IFERROR(__xludf.DUMMYFUNCTION("""COMPUTED_VALUE"""),"0674E")</f>
        <v>0674E</v>
      </c>
      <c r="B759" s="4" t="str">
        <f>IFERROR(__xludf.DUMMYFUNCTION("""COMPUTED_VALUE"""),"Señal 50 cm económica recarga eléctrica")</f>
        <v>Señal 50 cm económica recarga eléctrica</v>
      </c>
      <c r="C759" s="4">
        <f>IFERROR(__xludf.DUMMYFUNCTION("""COMPUTED_VALUE"""),11.25)</f>
        <v>11.25</v>
      </c>
      <c r="D759" s="4">
        <f>IFERROR(__xludf.DUMMYFUNCTION("""COMPUTED_VALUE"""),8.5)</f>
        <v>8.5</v>
      </c>
      <c r="E759" s="4" t="str">
        <f>IFERROR(__xludf.DUMMYFUNCTION("""COMPUTED_VALUE"""),"Neto: 8,50 € (a partir de 1 uds.)")</f>
        <v>Neto: 8,50 € (a partir de 1 uds.)</v>
      </c>
    </row>
    <row r="760">
      <c r="A760" s="4" t="str">
        <f>IFERROR(__xludf.DUMMYFUNCTION("""COMPUTED_VALUE"""),"0674P")</f>
        <v>0674P</v>
      </c>
      <c r="B760" s="4" t="str">
        <f>IFERROR(__xludf.DUMMYFUNCTION("""COMPUTED_VALUE"""),"Señal metálica económica ALTO POLICIA")</f>
        <v>Señal metálica económica ALTO POLICIA</v>
      </c>
      <c r="C760" s="4">
        <f>IFERROR(__xludf.DUMMYFUNCTION("""COMPUTED_VALUE"""),11.25)</f>
        <v>11.25</v>
      </c>
      <c r="D760" s="4">
        <f>IFERROR(__xludf.DUMMYFUNCTION("""COMPUTED_VALUE"""),8.5)</f>
        <v>8.5</v>
      </c>
      <c r="E760" s="4" t="str">
        <f>IFERROR(__xludf.DUMMYFUNCTION("""COMPUTED_VALUE"""),"Neto: 8,50 € (a partir de 1 uds.)")</f>
        <v>Neto: 8,50 € (a partir de 1 uds.)</v>
      </c>
    </row>
    <row r="761">
      <c r="A761" s="4" t="str">
        <f>IFERROR(__xludf.DUMMYFUNCTION("""COMPUTED_VALUE"""),"675")</f>
        <v>675</v>
      </c>
      <c r="B761" s="4" t="str">
        <f>IFERROR(__xludf.DUMMYFUNCTION("""COMPUTED_VALUE"""),"Tripode tubular naranja señal metalica mod. A")</f>
        <v>Tripode tubular naranja señal metalica mod. A</v>
      </c>
      <c r="C761" s="4">
        <f>IFERROR(__xludf.DUMMYFUNCTION("""COMPUTED_VALUE"""),11.75)</f>
        <v>11.75</v>
      </c>
      <c r="D761" s="4">
        <f>IFERROR(__xludf.DUMMYFUNCTION("""COMPUTED_VALUE"""),9.5)</f>
        <v>9.5</v>
      </c>
      <c r="E761" s="4" t="str">
        <f>IFERROR(__xludf.DUMMYFUNCTION("""COMPUTED_VALUE"""),"Neto: 9,50 € (a partir de 10 uds.)")</f>
        <v>Neto: 9,50 € (a partir de 10 uds.)</v>
      </c>
    </row>
    <row r="762">
      <c r="A762" s="4" t="str">
        <f>IFERROR(__xludf.DUMMYFUNCTION("""COMPUTED_VALUE"""),"0676/10")</f>
        <v>0676/10</v>
      </c>
      <c r="B762" s="4" t="str">
        <f>IFERROR(__xludf.DUMMYFUNCTION("""COMPUTED_VALUE"""),"Tubo 80x40 para señal metalica 1 metro")</f>
        <v>Tubo 80x40 para señal metalica 1 metro</v>
      </c>
      <c r="C762" s="4">
        <f>IFERROR(__xludf.DUMMYFUNCTION("""COMPUTED_VALUE"""),11.5)</f>
        <v>11.5</v>
      </c>
      <c r="D762" s="4"/>
      <c r="E762" s="4" t="str">
        <f>IFERROR(__xludf.DUMMYFUNCTION("""COMPUTED_VALUE"""),"Sin precio neto")</f>
        <v>Sin precio neto</v>
      </c>
    </row>
    <row r="763">
      <c r="A763" s="4" t="str">
        <f>IFERROR(__xludf.DUMMYFUNCTION("""COMPUTED_VALUE"""),"0676/15")</f>
        <v>0676/15</v>
      </c>
      <c r="B763" s="4" t="str">
        <f>IFERROR(__xludf.DUMMYFUNCTION("""COMPUTED_VALUE"""),"bo 80x40 para señal metalica 1,5 metros")</f>
        <v>bo 80x40 para señal metalica 1,5 metros</v>
      </c>
      <c r="C763" s="4">
        <f>IFERROR(__xludf.DUMMYFUNCTION("""COMPUTED_VALUE"""),16.5)</f>
        <v>16.5</v>
      </c>
      <c r="D763" s="4"/>
      <c r="E763" s="4" t="str">
        <f>IFERROR(__xludf.DUMMYFUNCTION("""COMPUTED_VALUE"""),"Sin precio neto")</f>
        <v>Sin precio neto</v>
      </c>
    </row>
    <row r="764">
      <c r="A764" s="4" t="str">
        <f>IFERROR(__xludf.DUMMYFUNCTION("""COMPUTED_VALUE"""),"0676/20")</f>
        <v>0676/20</v>
      </c>
      <c r="B764" s="4" t="str">
        <f>IFERROR(__xludf.DUMMYFUNCTION("""COMPUTED_VALUE"""),"Tubo 80x40 para señal metalica 2 metros")</f>
        <v>Tubo 80x40 para señal metalica 2 metros</v>
      </c>
      <c r="C764" s="4">
        <f>IFERROR(__xludf.DUMMYFUNCTION("""COMPUTED_VALUE"""),22.0)</f>
        <v>22</v>
      </c>
      <c r="D764" s="4"/>
      <c r="E764" s="4" t="str">
        <f>IFERROR(__xludf.DUMMYFUNCTION("""COMPUTED_VALUE"""),"Sin precio neto")</f>
        <v>Sin precio neto</v>
      </c>
    </row>
    <row r="765">
      <c r="A765" s="4" t="str">
        <f>IFERROR(__xludf.DUMMYFUNCTION("""COMPUTED_VALUE"""),"0676/25")</f>
        <v>0676/25</v>
      </c>
      <c r="B765" s="4" t="str">
        <f>IFERROR(__xludf.DUMMYFUNCTION("""COMPUTED_VALUE"""),"Tubo 80x40 para señal metalica 2,5 metros")</f>
        <v>Tubo 80x40 para señal metalica 2,5 metros</v>
      </c>
      <c r="C765" s="4">
        <f>IFERROR(__xludf.DUMMYFUNCTION("""COMPUTED_VALUE"""),28.0)</f>
        <v>28</v>
      </c>
      <c r="D765" s="4"/>
      <c r="E765" s="4" t="str">
        <f>IFERROR(__xludf.DUMMYFUNCTION("""COMPUTED_VALUE"""),"Sin precio neto")</f>
        <v>Sin precio neto</v>
      </c>
    </row>
    <row r="766">
      <c r="A766" s="4" t="str">
        <f>IFERROR(__xludf.DUMMYFUNCTION("""COMPUTED_VALUE"""),"0676/30")</f>
        <v>0676/30</v>
      </c>
      <c r="B766" s="4" t="str">
        <f>IFERROR(__xludf.DUMMYFUNCTION("""COMPUTED_VALUE"""),"Tubo 80x40 para señal metalica 3 metros")</f>
        <v>Tubo 80x40 para señal metalica 3 metros</v>
      </c>
      <c r="C766" s="4">
        <f>IFERROR(__xludf.DUMMYFUNCTION("""COMPUTED_VALUE"""),36.0)</f>
        <v>36</v>
      </c>
      <c r="D766" s="4"/>
      <c r="E766" s="4" t="str">
        <f>IFERROR(__xludf.DUMMYFUNCTION("""COMPUTED_VALUE"""),"Sin precio neto")</f>
        <v>Sin precio neto</v>
      </c>
    </row>
    <row r="767">
      <c r="A767" s="4" t="str">
        <f>IFERROR(__xludf.DUMMYFUNCTION("""COMPUTED_VALUE"""),"0676/35")</f>
        <v>0676/35</v>
      </c>
      <c r="B767" s="4" t="str">
        <f>IFERROR(__xludf.DUMMYFUNCTION("""COMPUTED_VALUE"""),"Tubo 80x40 para señal metalica 3,5 metros")</f>
        <v>Tubo 80x40 para señal metalica 3,5 metros</v>
      </c>
      <c r="C767" s="4">
        <f>IFERROR(__xludf.DUMMYFUNCTION("""COMPUTED_VALUE"""),39.0)</f>
        <v>39</v>
      </c>
      <c r="D767" s="4"/>
      <c r="E767" s="4" t="str">
        <f>IFERROR(__xludf.DUMMYFUNCTION("""COMPUTED_VALUE"""),"Sin precio neto")</f>
        <v>Sin precio neto</v>
      </c>
    </row>
    <row r="768">
      <c r="A768" s="4" t="str">
        <f>IFERROR(__xludf.DUMMYFUNCTION("""COMPUTED_VALUE"""),"0676/40")</f>
        <v>0676/40</v>
      </c>
      <c r="B768" s="4" t="str">
        <f>IFERROR(__xludf.DUMMYFUNCTION("""COMPUTED_VALUE"""),"Tubo 80x40 para señal metalica 4 metros")</f>
        <v>Tubo 80x40 para señal metalica 4 metros</v>
      </c>
      <c r="C768" s="4">
        <f>IFERROR(__xludf.DUMMYFUNCTION("""COMPUTED_VALUE"""),41.5)</f>
        <v>41.5</v>
      </c>
      <c r="D768" s="4"/>
      <c r="E768" s="4" t="str">
        <f>IFERROR(__xludf.DUMMYFUNCTION("""COMPUTED_VALUE"""),"Sin precio neto")</f>
        <v>Sin precio neto</v>
      </c>
    </row>
    <row r="769">
      <c r="A769" s="4" t="str">
        <f>IFERROR(__xludf.DUMMYFUNCTION("""COMPUTED_VALUE"""),"0676/AL")</f>
        <v>0676/AL</v>
      </c>
      <c r="B769" s="4" t="str">
        <f>IFERROR(__xludf.DUMMYFUNCTION("""COMPUTED_VALUE"""),"Poste aluminio 3.5 m 76 mm pintado")</f>
        <v>Poste aluminio 3.5 m 76 mm pintado</v>
      </c>
      <c r="C769" s="4">
        <f>IFERROR(__xludf.DUMMYFUNCTION("""COMPUTED_VALUE"""),105.0)</f>
        <v>105</v>
      </c>
      <c r="D769" s="4"/>
      <c r="E769" s="4" t="str">
        <f>IFERROR(__xludf.DUMMYFUNCTION("""COMPUTED_VALUE"""),"Sin precio neto")</f>
        <v>Sin precio neto</v>
      </c>
    </row>
    <row r="770">
      <c r="A770" s="4" t="str">
        <f>IFERROR(__xludf.DUMMYFUNCTION("""COMPUTED_VALUE"""),"0676F")</f>
        <v>0676F</v>
      </c>
      <c r="B770" s="4" t="str">
        <f>IFERROR(__xludf.DUMMYFUNCTION("""COMPUTED_VALUE"""),"Poste 80x40 mm 3 m en forma de F")</f>
        <v>Poste 80x40 mm 3 m en forma de F</v>
      </c>
      <c r="C770" s="4">
        <f>IFERROR(__xludf.DUMMYFUNCTION("""COMPUTED_VALUE"""),49.0)</f>
        <v>49</v>
      </c>
      <c r="D770" s="4"/>
      <c r="E770" s="4" t="str">
        <f>IFERROR(__xludf.DUMMYFUNCTION("""COMPUTED_VALUE"""),"Sin precio neto")</f>
        <v>Sin precio neto</v>
      </c>
    </row>
    <row r="771">
      <c r="A771" s="4" t="str">
        <f>IFERROR(__xludf.DUMMYFUNCTION("""COMPUTED_VALUE"""),"677")</f>
        <v>677</v>
      </c>
      <c r="B771" s="4" t="str">
        <f>IFERROR(__xludf.DUMMYFUNCTION("""COMPUTED_VALUE"""),"Cruceta tubo para señales metalicas")</f>
        <v>Cruceta tubo para señales metalicas</v>
      </c>
      <c r="C771" s="4">
        <f>IFERROR(__xludf.DUMMYFUNCTION("""COMPUTED_VALUE"""),17.3)</f>
        <v>17.3</v>
      </c>
      <c r="D771" s="4"/>
      <c r="E771" s="4" t="str">
        <f>IFERROR(__xludf.DUMMYFUNCTION("""COMPUTED_VALUE"""),"Sin precio neto")</f>
        <v>Sin precio neto</v>
      </c>
    </row>
    <row r="772">
      <c r="A772" s="4" t="str">
        <f>IFERROR(__xludf.DUMMYFUNCTION("""COMPUTED_VALUE"""),"678")</f>
        <v>678</v>
      </c>
      <c r="B772" s="4" t="str">
        <f>IFERROR(__xludf.DUMMYFUNCTION("""COMPUTED_VALUE"""),"Señal metalica R- 6 Prioridad")</f>
        <v>Señal metalica R- 6 Prioridad</v>
      </c>
      <c r="C772" s="4">
        <f>IFERROR(__xludf.DUMMYFUNCTION("""COMPUTED_VALUE"""),11.25)</f>
        <v>11.25</v>
      </c>
      <c r="D772" s="4">
        <f>IFERROR(__xludf.DUMMYFUNCTION("""COMPUTED_VALUE"""),8.5)</f>
        <v>8.5</v>
      </c>
      <c r="E772" s="4" t="str">
        <f>IFERROR(__xludf.DUMMYFUNCTION("""COMPUTED_VALUE"""),"Neto: 8,50 € (a partir de 1 uds.)")</f>
        <v>Neto: 8,50 € (a partir de 1 uds.)</v>
      </c>
    </row>
    <row r="773">
      <c r="A773" s="4" t="str">
        <f>IFERROR(__xludf.DUMMYFUNCTION("""COMPUTED_VALUE"""),"679")</f>
        <v>679</v>
      </c>
      <c r="B773" s="4" t="str">
        <f>IFERROR(__xludf.DUMMYFUNCTION("""COMPUTED_VALUE"""),"Placa econ. informat. 20x40 cm f.amarillo")</f>
        <v>Placa econ. informat. 20x40 cm f.amarillo</v>
      </c>
      <c r="C773" s="4">
        <f>IFERROR(__xludf.DUMMYFUNCTION("""COMPUTED_VALUE"""),11.25)</f>
        <v>11.25</v>
      </c>
      <c r="D773" s="4">
        <f>IFERROR(__xludf.DUMMYFUNCTION("""COMPUTED_VALUE"""),8.5)</f>
        <v>8.5</v>
      </c>
      <c r="E773" s="4" t="str">
        <f>IFERROR(__xludf.DUMMYFUNCTION("""COMPUTED_VALUE"""),"Neto: 8,50 € (a partir de 1 uds.)")</f>
        <v>Neto: 8,50 € (a partir de 1 uds.)</v>
      </c>
    </row>
    <row r="774">
      <c r="A774" s="4" t="str">
        <f>IFERROR(__xludf.DUMMYFUNCTION("""COMPUTED_VALUE"""),"680")</f>
        <v>680</v>
      </c>
      <c r="B774" s="4" t="str">
        <f>IFERROR(__xludf.DUMMYFUNCTION("""COMPUTED_VALUE"""),"Placa informativa 40x20 blanca")</f>
        <v>Placa informativa 40x20 blanca</v>
      </c>
      <c r="C774" s="4">
        <f>IFERROR(__xludf.DUMMYFUNCTION("""COMPUTED_VALUE"""),11.25)</f>
        <v>11.25</v>
      </c>
      <c r="D774" s="4">
        <f>IFERROR(__xludf.DUMMYFUNCTION("""COMPUTED_VALUE"""),8.5)</f>
        <v>8.5</v>
      </c>
      <c r="E774" s="4" t="str">
        <f>IFERROR(__xludf.DUMMYFUNCTION("""COMPUTED_VALUE"""),"Neto: 8,50 € (a partir de 1 uds.)")</f>
        <v>Neto: 8,50 € (a partir de 1 uds.)</v>
      </c>
    </row>
    <row r="775">
      <c r="A775" s="4" t="str">
        <f>IFERROR(__xludf.DUMMYFUNCTION("""COMPUTED_VALUE"""),"0681/A")</f>
        <v>0681/A</v>
      </c>
      <c r="B775" s="4" t="str">
        <f>IFERROR(__xludf.DUMMYFUNCTION("""COMPUTED_VALUE"""),"Horquilla protector peatones 120x40 cm Galva")</f>
        <v>Horquilla protector peatones 120x40 cm Galva</v>
      </c>
      <c r="C775" s="4">
        <f>IFERROR(__xludf.DUMMYFUNCTION("""COMPUTED_VALUE"""),42.4)</f>
        <v>42.4</v>
      </c>
      <c r="D775" s="4"/>
      <c r="E775" s="4" t="str">
        <f>IFERROR(__xludf.DUMMYFUNCTION("""COMPUTED_VALUE"""),"Sin precio neto")</f>
        <v>Sin precio neto</v>
      </c>
    </row>
    <row r="776">
      <c r="A776" s="4" t="str">
        <f>IFERROR(__xludf.DUMMYFUNCTION("""COMPUTED_VALUE"""),"0681/A/PLATO")</f>
        <v>0681/A/PLATO</v>
      </c>
      <c r="B776" s="4" t="str">
        <f>IFERROR(__xludf.DUMMYFUNCTION("""COMPUTED_VALUE"""),"Horquilla protector peatones 120x40 cm Galva. c/plato")</f>
        <v>Horquilla protector peatones 120x40 cm Galva. c/plato</v>
      </c>
      <c r="C776" s="4">
        <f>IFERROR(__xludf.DUMMYFUNCTION("""COMPUTED_VALUE"""),52.8)</f>
        <v>52.8</v>
      </c>
      <c r="D776" s="4"/>
      <c r="E776" s="4" t="str">
        <f>IFERROR(__xludf.DUMMYFUNCTION("""COMPUTED_VALUE"""),"Sin precio neto")</f>
        <v>Sin precio neto</v>
      </c>
    </row>
    <row r="777">
      <c r="A777" s="4" t="str">
        <f>IFERROR(__xludf.DUMMYFUNCTION("""COMPUTED_VALUE"""),"0681/B")</f>
        <v>0681/B</v>
      </c>
      <c r="B777" s="4" t="str">
        <f>IFERROR(__xludf.DUMMYFUNCTION("""COMPUTED_VALUE"""),"Horquilla protector peatones 90x40 cm Galva")</f>
        <v>Horquilla protector peatones 90x40 cm Galva</v>
      </c>
      <c r="C777" s="4">
        <f>IFERROR(__xludf.DUMMYFUNCTION("""COMPUTED_VALUE"""),38.85)</f>
        <v>38.85</v>
      </c>
      <c r="D777" s="4"/>
      <c r="E777" s="4" t="str">
        <f>IFERROR(__xludf.DUMMYFUNCTION("""COMPUTED_VALUE"""),"Sin precio neto")</f>
        <v>Sin precio neto</v>
      </c>
    </row>
    <row r="778">
      <c r="A778" s="4" t="str">
        <f>IFERROR(__xludf.DUMMYFUNCTION("""COMPUTED_VALUE"""),"0681/B/PLATO")</f>
        <v>0681/B/PLATO</v>
      </c>
      <c r="B778" s="4" t="str">
        <f>IFERROR(__xludf.DUMMYFUNCTION("""COMPUTED_VALUE"""),"Horquilla protector peatones 90x40 cm Galva c/plato")</f>
        <v>Horquilla protector peatones 90x40 cm Galva c/plato</v>
      </c>
      <c r="C778" s="4">
        <f>IFERROR(__xludf.DUMMYFUNCTION("""COMPUTED_VALUE"""),61.95)</f>
        <v>61.95</v>
      </c>
      <c r="D778" s="4"/>
      <c r="E778" s="4" t="str">
        <f>IFERROR(__xludf.DUMMYFUNCTION("""COMPUTED_VALUE"""),"Sin precio neto")</f>
        <v>Sin precio neto</v>
      </c>
    </row>
    <row r="779">
      <c r="A779" s="4" t="str">
        <f>IFERROR(__xludf.DUMMYFUNCTION("""COMPUTED_VALUE"""),"0681/LA")</f>
        <v>0681/LA</v>
      </c>
      <c r="B779" s="4" t="str">
        <f>IFERROR(__xludf.DUMMYFUNCTION("""COMPUTED_VALUE"""),"Horquilla protector peatones 120x40 cm Amarilla")</f>
        <v>Horquilla protector peatones 120x40 cm Amarilla</v>
      </c>
      <c r="C779" s="4">
        <f>IFERROR(__xludf.DUMMYFUNCTION("""COMPUTED_VALUE"""),48.45)</f>
        <v>48.45</v>
      </c>
      <c r="D779" s="4"/>
      <c r="E779" s="4" t="str">
        <f>IFERROR(__xludf.DUMMYFUNCTION("""COMPUTED_VALUE"""),"Sin precio neto")</f>
        <v>Sin precio neto</v>
      </c>
    </row>
    <row r="780">
      <c r="A780" s="4" t="str">
        <f>IFERROR(__xludf.DUMMYFUNCTION("""COMPUTED_VALUE"""),"0681/LA/PLATO")</f>
        <v>0681/LA/PLATO</v>
      </c>
      <c r="B780" s="4" t="str">
        <f>IFERROR(__xludf.DUMMYFUNCTION("""COMPUTED_VALUE"""),"Horquilla protector peatones 120x40 cm Amar. c/plato")</f>
        <v>Horquilla protector peatones 120x40 cm Amar. c/plato</v>
      </c>
      <c r="C780" s="4">
        <f>IFERROR(__xludf.DUMMYFUNCTION("""COMPUTED_VALUE"""),51.45)</f>
        <v>51.45</v>
      </c>
      <c r="D780" s="4"/>
      <c r="E780" s="4" t="str">
        <f>IFERROR(__xludf.DUMMYFUNCTION("""COMPUTED_VALUE"""),"Sin precio neto")</f>
        <v>Sin precio neto</v>
      </c>
    </row>
    <row r="781">
      <c r="A781" s="4" t="str">
        <f>IFERROR(__xludf.DUMMYFUNCTION("""COMPUTED_VALUE"""),"0681/LB")</f>
        <v>0681/LB</v>
      </c>
      <c r="B781" s="4" t="str">
        <f>IFERROR(__xludf.DUMMYFUNCTION("""COMPUTED_VALUE"""),"Horquilla protector peqtones 90x40 cm Amarilla")</f>
        <v>Horquilla protector peqtones 90x40 cm Amarilla</v>
      </c>
      <c r="C781" s="4">
        <f>IFERROR(__xludf.DUMMYFUNCTION("""COMPUTED_VALUE"""),45.36)</f>
        <v>45.36</v>
      </c>
      <c r="D781" s="4"/>
      <c r="E781" s="4" t="str">
        <f>IFERROR(__xludf.DUMMYFUNCTION("""COMPUTED_VALUE"""),"Sin precio neto")</f>
        <v>Sin precio neto</v>
      </c>
    </row>
    <row r="782">
      <c r="A782" s="4" t="str">
        <f>IFERROR(__xludf.DUMMYFUNCTION("""COMPUTED_VALUE"""),"0681/LB/PLATO")</f>
        <v>0681/LB/PLATO</v>
      </c>
      <c r="B782" s="4" t="str">
        <f>IFERROR(__xludf.DUMMYFUNCTION("""COMPUTED_VALUE"""),"Horquilla protector peatones 90x40 cm Amar.c/plato")</f>
        <v>Horquilla protector peatones 90x40 cm Amar.c/plato</v>
      </c>
      <c r="C782" s="4">
        <f>IFERROR(__xludf.DUMMYFUNCTION("""COMPUTED_VALUE"""),52.73)</f>
        <v>52.73</v>
      </c>
      <c r="D782" s="4"/>
      <c r="E782" s="4" t="str">
        <f>IFERROR(__xludf.DUMMYFUNCTION("""COMPUTED_VALUE"""),"Sin precio neto")</f>
        <v>Sin precio neto</v>
      </c>
    </row>
    <row r="783">
      <c r="A783" s="4" t="str">
        <f>IFERROR(__xludf.DUMMYFUNCTION("""COMPUTED_VALUE"""),"682")</f>
        <v>682</v>
      </c>
      <c r="B783" s="4" t="str">
        <f>IFERROR(__xludf.DUMMYFUNCTION("""COMPUTED_VALUE"""),"Vado Permanente Aluminio 40x30")</f>
        <v>Vado Permanente Aluminio 40x30</v>
      </c>
      <c r="C783" s="4">
        <f>IFERROR(__xludf.DUMMYFUNCTION("""COMPUTED_VALUE"""),8.4)</f>
        <v>8.4</v>
      </c>
      <c r="D783" s="4"/>
      <c r="E783" s="4" t="str">
        <f>IFERROR(__xludf.DUMMYFUNCTION("""COMPUTED_VALUE"""),"Sin precio neto")</f>
        <v>Sin precio neto</v>
      </c>
    </row>
    <row r="784">
      <c r="A784" s="4" t="str">
        <f>IFERROR(__xludf.DUMMYFUNCTION("""COMPUTED_VALUE"""),"0682P")</f>
        <v>0682P</v>
      </c>
      <c r="B784" s="4" t="str">
        <f>IFERROR(__xludf.DUMMYFUNCTION("""COMPUTED_VALUE"""),"Vado permanente 40x30 aluminio personalizado")</f>
        <v>Vado permanente 40x30 aluminio personalizado</v>
      </c>
      <c r="C784" s="4">
        <f>IFERROR(__xludf.DUMMYFUNCTION("""COMPUTED_VALUE"""),12.0)</f>
        <v>12</v>
      </c>
      <c r="D784" s="4"/>
      <c r="E784" s="4" t="str">
        <f>IFERROR(__xludf.DUMMYFUNCTION("""COMPUTED_VALUE"""),"Sin precio neto")</f>
        <v>Sin precio neto</v>
      </c>
    </row>
    <row r="785">
      <c r="A785" s="4" t="str">
        <f>IFERROR(__xludf.DUMMYFUNCTION("""COMPUTED_VALUE"""),"683")</f>
        <v>683</v>
      </c>
      <c r="B785" s="4" t="str">
        <f>IFERROR(__xludf.DUMMYFUNCTION("""COMPUTED_VALUE"""),"Horquilla protector contenedor basura Galva")</f>
        <v>Horquilla protector contenedor basura Galva</v>
      </c>
      <c r="C785" s="4">
        <f>IFERROR(__xludf.DUMMYFUNCTION("""COMPUTED_VALUE"""),134.3)</f>
        <v>134.3</v>
      </c>
      <c r="D785" s="4"/>
      <c r="E785" s="4" t="str">
        <f>IFERROR(__xludf.DUMMYFUNCTION("""COMPUTED_VALUE"""),"Sin precio neto")</f>
        <v>Sin precio neto</v>
      </c>
    </row>
    <row r="786">
      <c r="A786" s="4" t="str">
        <f>IFERROR(__xludf.DUMMYFUNCTION("""COMPUTED_VALUE"""),"0683/B")</f>
        <v>0683/B</v>
      </c>
      <c r="B786" s="4" t="str">
        <f>IFERROR(__xludf.DUMMYFUNCTION("""COMPUTED_VALUE"""),"Isleta hormigon con protector direccional Vados")</f>
        <v>Isleta hormigon con protector direccional Vados</v>
      </c>
      <c r="C786" s="4">
        <f>IFERROR(__xludf.DUMMYFUNCTION("""COMPUTED_VALUE"""),460.0)</f>
        <v>460</v>
      </c>
      <c r="D786" s="4"/>
      <c r="E786" s="4" t="str">
        <f>IFERROR(__xludf.DUMMYFUNCTION("""COMPUTED_VALUE"""),"Sin precio neto")</f>
        <v>Sin precio neto</v>
      </c>
    </row>
    <row r="787">
      <c r="A787" s="4" t="str">
        <f>IFERROR(__xludf.DUMMYFUNCTION("""COMPUTED_VALUE"""),"0683/BS")</f>
        <v>0683/BS</v>
      </c>
      <c r="B787" s="4" t="str">
        <f>IFERROR(__xludf.DUMMYFUNCTION("""COMPUTED_VALUE"""),"Juego 2 angulos sujecion suelo Isleta Vados")</f>
        <v>Juego 2 angulos sujecion suelo Isleta Vados</v>
      </c>
      <c r="C787" s="4">
        <f>IFERROR(__xludf.DUMMYFUNCTION("""COMPUTED_VALUE"""),33.3)</f>
        <v>33.3</v>
      </c>
      <c r="D787" s="4"/>
      <c r="E787" s="4" t="str">
        <f>IFERROR(__xludf.DUMMYFUNCTION("""COMPUTED_VALUE"""),"Sin precio neto")</f>
        <v>Sin precio neto</v>
      </c>
    </row>
    <row r="788">
      <c r="A788" s="4" t="str">
        <f>IFERROR(__xludf.DUMMYFUNCTION("""COMPUTED_VALUE"""),"0683D")</f>
        <v>0683D</v>
      </c>
      <c r="B788" s="4" t="str">
        <f>IFERROR(__xludf.DUMMYFUNCTION("""COMPUTED_VALUE"""),"Protector contenedor basura flecha dcha Galv.")</f>
        <v>Protector contenedor basura flecha dcha Galv.</v>
      </c>
      <c r="C788" s="4">
        <f>IFERROR(__xludf.DUMMYFUNCTION("""COMPUTED_VALUE"""),78.225)</f>
        <v>78.225</v>
      </c>
      <c r="D788" s="4"/>
      <c r="E788" s="4" t="str">
        <f>IFERROR(__xludf.DUMMYFUNCTION("""COMPUTED_VALUE"""),"Sin precio neto")</f>
        <v>Sin precio neto</v>
      </c>
    </row>
    <row r="789">
      <c r="A789" s="4" t="str">
        <f>IFERROR(__xludf.DUMMYFUNCTION("""COMPUTED_VALUE"""),"0683D/PLATO")</f>
        <v>0683D/PLATO</v>
      </c>
      <c r="B789" s="4" t="str">
        <f>IFERROR(__xludf.DUMMYFUNCTION("""COMPUTED_VALUE"""),"Protector contenedor basura flecha Dcha. Galva. c/plato")</f>
        <v>Protector contenedor basura flecha Dcha. Galva. c/plato</v>
      </c>
      <c r="C789" s="4">
        <f>IFERROR(__xludf.DUMMYFUNCTION("""COMPUTED_VALUE"""),89.775)</f>
        <v>89.775</v>
      </c>
      <c r="D789" s="4"/>
      <c r="E789" s="4" t="str">
        <f>IFERROR(__xludf.DUMMYFUNCTION("""COMPUTED_VALUE"""),"Sin precio neto")</f>
        <v>Sin precio neto</v>
      </c>
    </row>
    <row r="790">
      <c r="A790" s="4" t="str">
        <f>IFERROR(__xludf.DUMMYFUNCTION("""COMPUTED_VALUE"""),"0683I")</f>
        <v>0683I</v>
      </c>
      <c r="B790" s="4" t="str">
        <f>IFERROR(__xludf.DUMMYFUNCTION("""COMPUTED_VALUE"""),"Protector contenedor basura flecha izq. Galva.")</f>
        <v>Protector contenedor basura flecha izq. Galva.</v>
      </c>
      <c r="C790" s="4">
        <f>IFERROR(__xludf.DUMMYFUNCTION("""COMPUTED_VALUE"""),78.225)</f>
        <v>78.225</v>
      </c>
      <c r="D790" s="4"/>
      <c r="E790" s="4" t="str">
        <f>IFERROR(__xludf.DUMMYFUNCTION("""COMPUTED_VALUE"""),"Sin precio neto")</f>
        <v>Sin precio neto</v>
      </c>
    </row>
    <row r="791">
      <c r="A791" s="4" t="str">
        <f>IFERROR(__xludf.DUMMYFUNCTION("""COMPUTED_VALUE"""),"0683I/PLATO")</f>
        <v>0683I/PLATO</v>
      </c>
      <c r="B791" s="4" t="str">
        <f>IFERROR(__xludf.DUMMYFUNCTION("""COMPUTED_VALUE"""),"Protector contendor basura flecha Izq.Galva. c/ plato")</f>
        <v>Protector contendor basura flecha Izq.Galva. c/ plato</v>
      </c>
      <c r="C791" s="4">
        <f>IFERROR(__xludf.DUMMYFUNCTION("""COMPUTED_VALUE"""),75.0)</f>
        <v>75</v>
      </c>
      <c r="D791" s="4"/>
      <c r="E791" s="4" t="str">
        <f>IFERROR(__xludf.DUMMYFUNCTION("""COMPUTED_VALUE"""),"Sin precio neto")</f>
        <v>Sin precio neto</v>
      </c>
    </row>
    <row r="792">
      <c r="A792" s="4" t="str">
        <f>IFERROR(__xludf.DUMMYFUNCTION("""COMPUTED_VALUE"""),"687")</f>
        <v>687</v>
      </c>
      <c r="B792" s="4" t="str">
        <f>IFERROR(__xludf.DUMMYFUNCTION("""COMPUTED_VALUE"""),"Placa econ. informat. 55x35 cm f.amarillo")</f>
        <v>Placa econ. informat. 55x35 cm f.amarillo</v>
      </c>
      <c r="C792" s="4">
        <f>IFERROR(__xludf.DUMMYFUNCTION("""COMPUTED_VALUE"""),16.8)</f>
        <v>16.8</v>
      </c>
      <c r="D792" s="4"/>
      <c r="E792" s="4" t="str">
        <f>IFERROR(__xludf.DUMMYFUNCTION("""COMPUTED_VALUE"""),"Sin precio neto")</f>
        <v>Sin precio neto</v>
      </c>
    </row>
    <row r="793">
      <c r="A793" s="4" t="str">
        <f>IFERROR(__xludf.DUMMYFUNCTION("""COMPUTED_VALUE"""),"688")</f>
        <v>688</v>
      </c>
      <c r="B793" s="4" t="str">
        <f>IFERROR(__xludf.DUMMYFUNCTION("""COMPUTED_VALUE"""),"Placa econ. informat. 55x35 cm f.blanco")</f>
        <v>Placa econ. informat. 55x35 cm f.blanco</v>
      </c>
      <c r="C793" s="4">
        <f>IFERROR(__xludf.DUMMYFUNCTION("""COMPUTED_VALUE"""),16.8)</f>
        <v>16.8</v>
      </c>
      <c r="D793" s="4"/>
      <c r="E793" s="4" t="str">
        <f>IFERROR(__xludf.DUMMYFUNCTION("""COMPUTED_VALUE"""),"Sin precio neto")</f>
        <v>Sin precio neto</v>
      </c>
    </row>
    <row r="794">
      <c r="A794" s="4" t="str">
        <f>IFERROR(__xludf.DUMMYFUNCTION("""COMPUTED_VALUE"""),"690")</f>
        <v>690</v>
      </c>
      <c r="B794" s="4" t="str">
        <f>IFERROR(__xludf.DUMMYFUNCTION("""COMPUTED_VALUE"""),"Base caucho multiperfil")</f>
        <v>Base caucho multiperfil</v>
      </c>
      <c r="C794" s="4">
        <f>IFERROR(__xludf.DUMMYFUNCTION("""COMPUTED_VALUE"""),17.0)</f>
        <v>17</v>
      </c>
      <c r="D794" s="4"/>
      <c r="E794" s="4" t="str">
        <f>IFERROR(__xludf.DUMMYFUNCTION("""COMPUTED_VALUE"""),"Sin precio neto")</f>
        <v>Sin precio neto</v>
      </c>
    </row>
    <row r="795">
      <c r="A795" s="4" t="str">
        <f>IFERROR(__xludf.DUMMYFUNCTION("""COMPUTED_VALUE"""),"0690B")</f>
        <v>0690B</v>
      </c>
      <c r="B795" s="4" t="str">
        <f>IFERROR(__xludf.DUMMYFUNCTION("""COMPUTED_VALUE"""),"Base multiperfil para valla y señales 18 kg")</f>
        <v>Base multiperfil para valla y señales 18 kg</v>
      </c>
      <c r="C795" s="4">
        <f>IFERROR(__xludf.DUMMYFUNCTION("""COMPUTED_VALUE"""),14.5)</f>
        <v>14.5</v>
      </c>
      <c r="D795" s="4">
        <f>IFERROR(__xludf.DUMMYFUNCTION("""COMPUTED_VALUE"""),11.5)</f>
        <v>11.5</v>
      </c>
      <c r="E795" s="4" t="str">
        <f>IFERROR(__xludf.DUMMYFUNCTION("""COMPUTED_VALUE"""),"Neto: 11,50 € (a partir de 40 uds.)")</f>
        <v>Neto: 11,50 € (a partir de 40 uds.)</v>
      </c>
    </row>
    <row r="796">
      <c r="A796" s="4" t="str">
        <f>IFERROR(__xludf.DUMMYFUNCTION("""COMPUTED_VALUE"""),"0690D")</f>
        <v>0690D</v>
      </c>
      <c r="B796" s="4" t="str">
        <f>IFERROR(__xludf.DUMMYFUNCTION("""COMPUTED_VALUE"""),"Base de caucho multiperfil mod D")</f>
        <v>Base de caucho multiperfil mod D</v>
      </c>
      <c r="C796" s="4">
        <f>IFERROR(__xludf.DUMMYFUNCTION("""COMPUTED_VALUE"""),13.0)</f>
        <v>13</v>
      </c>
      <c r="D796" s="4">
        <f>IFERROR(__xludf.DUMMYFUNCTION("""COMPUTED_VALUE"""),11.5)</f>
        <v>11.5</v>
      </c>
      <c r="E796" s="4" t="str">
        <f>IFERROR(__xludf.DUMMYFUNCTION("""COMPUTED_VALUE"""),"Neto: 11,50 € (a partir de 40 uds.)")</f>
        <v>Neto: 11,50 € (a partir de 40 uds.)</v>
      </c>
    </row>
    <row r="797">
      <c r="A797" s="4" t="str">
        <f>IFERROR(__xludf.DUMMYFUNCTION("""COMPUTED_VALUE"""),"0690S")</f>
        <v>0690S</v>
      </c>
      <c r="B797" s="4" t="str">
        <f>IFERROR(__xludf.DUMMYFUNCTION("""COMPUTED_VALUE"""),"Base caucho para panel secuencial")</f>
        <v>Base caucho para panel secuencial</v>
      </c>
      <c r="C797" s="4">
        <f>IFERROR(__xludf.DUMMYFUNCTION("""COMPUTED_VALUE"""),19.25)</f>
        <v>19.25</v>
      </c>
      <c r="D797" s="4"/>
      <c r="E797" s="4" t="str">
        <f>IFERROR(__xludf.DUMMYFUNCTION("""COMPUTED_VALUE"""),"Sin precio neto")</f>
        <v>Sin precio neto</v>
      </c>
    </row>
    <row r="798">
      <c r="A798" s="4" t="str">
        <f>IFERROR(__xludf.DUMMYFUNCTION("""COMPUTED_VALUE"""),"692")</f>
        <v>692</v>
      </c>
      <c r="B798" s="4" t="str">
        <f>IFERROR(__xludf.DUMMYFUNCTION("""COMPUTED_VALUE"""),"Poste aluminio 3 mtros señ. urbana Diam 60")</f>
        <v>Poste aluminio 3 mtros señ. urbana Diam 60</v>
      </c>
      <c r="C798" s="4">
        <f>IFERROR(__xludf.DUMMYFUNCTION("""COMPUTED_VALUE"""),55.0)</f>
        <v>55</v>
      </c>
      <c r="D798" s="4"/>
      <c r="E798" s="4" t="str">
        <f>IFERROR(__xludf.DUMMYFUNCTION("""COMPUTED_VALUE"""),"Sin precio neto")</f>
        <v>Sin precio neto</v>
      </c>
    </row>
    <row r="799">
      <c r="A799" s="4" t="str">
        <f>IFERROR(__xludf.DUMMYFUNCTION("""COMPUTED_VALUE"""),"0692E")</f>
        <v>0692E</v>
      </c>
      <c r="B799" s="4" t="str">
        <f>IFERROR(__xludf.DUMMYFUNCTION("""COMPUTED_VALUE"""),"Abrazadera poste aluminio 60 mm estriado")</f>
        <v>Abrazadera poste aluminio 60 mm estriado</v>
      </c>
      <c r="C799" s="4">
        <f>IFERROR(__xludf.DUMMYFUNCTION("""COMPUTED_VALUE"""),1.5)</f>
        <v>1.5</v>
      </c>
      <c r="D799" s="4"/>
      <c r="E799" s="4" t="str">
        <f>IFERROR(__xludf.DUMMYFUNCTION("""COMPUTED_VALUE"""),"Sin precio neto")</f>
        <v>Sin precio neto</v>
      </c>
    </row>
    <row r="800">
      <c r="A800" s="4" t="str">
        <f>IFERROR(__xludf.DUMMYFUNCTION("""COMPUTED_VALUE"""),"693")</f>
        <v>693</v>
      </c>
      <c r="B800" s="4" t="str">
        <f>IFERROR(__xludf.DUMMYFUNCTION("""COMPUTED_VALUE"""),"Tripode Tubular señal metalica mod. C")</f>
        <v>Tripode Tubular señal metalica mod. C</v>
      </c>
      <c r="C800" s="4">
        <f>IFERROR(__xludf.DUMMYFUNCTION("""COMPUTED_VALUE"""),21.0)</f>
        <v>21</v>
      </c>
      <c r="D800" s="4"/>
      <c r="E800" s="4" t="str">
        <f>IFERROR(__xludf.DUMMYFUNCTION("""COMPUTED_VALUE"""),"Sin precio neto")</f>
        <v>Sin precio neto</v>
      </c>
    </row>
    <row r="801">
      <c r="A801" s="4" t="str">
        <f>IFERROR(__xludf.DUMMYFUNCTION("""COMPUTED_VALUE"""),"694")</f>
        <v>694</v>
      </c>
      <c r="B801" s="4" t="str">
        <f>IFERROR(__xludf.DUMMYFUNCTION("""COMPUTED_VALUE"""),"Poste redondo diam. 50 galvan. 3 mt para espejo 4100")</f>
        <v>Poste redondo diam. 50 galvan. 3 mt para espejo 4100</v>
      </c>
      <c r="C801" s="4">
        <f>IFERROR(__xludf.DUMMYFUNCTION("""COMPUTED_VALUE"""),28.3)</f>
        <v>28.3</v>
      </c>
      <c r="D801" s="4"/>
      <c r="E801" s="4" t="str">
        <f>IFERROR(__xludf.DUMMYFUNCTION("""COMPUTED_VALUE"""),"Sin precio neto")</f>
        <v>Sin precio neto</v>
      </c>
    </row>
    <row r="802">
      <c r="A802" s="4" t="str">
        <f>IFERROR(__xludf.DUMMYFUNCTION("""COMPUTED_VALUE"""),"0694/G")</f>
        <v>0694/G</v>
      </c>
      <c r="B802" s="4" t="str">
        <f>IFERROR(__xludf.DUMMYFUNCTION("""COMPUTED_VALUE"""),"Poste redondo diam. 80 galvan. 3 mt para espejo 4101")</f>
        <v>Poste redondo diam. 80 galvan. 3 mt para espejo 4101</v>
      </c>
      <c r="C802" s="4">
        <f>IFERROR(__xludf.DUMMYFUNCTION("""COMPUTED_VALUE"""),40.95)</f>
        <v>40.95</v>
      </c>
      <c r="D802" s="4"/>
      <c r="E802" s="4" t="str">
        <f>IFERROR(__xludf.DUMMYFUNCTION("""COMPUTED_VALUE"""),"Sin precio neto")</f>
        <v>Sin precio neto</v>
      </c>
    </row>
    <row r="803">
      <c r="A803" s="4" t="str">
        <f>IFERROR(__xludf.DUMMYFUNCTION("""COMPUTED_VALUE"""),"0694/M")</f>
        <v>0694/M</v>
      </c>
      <c r="B803" s="4" t="str">
        <f>IFERROR(__xludf.DUMMYFUNCTION("""COMPUTED_VALUE"""),"Poste redondo diam. 60 galva. 3 mt. p/espejos")</f>
        <v>Poste redondo diam. 60 galva. 3 mt. p/espejos</v>
      </c>
      <c r="C803" s="4">
        <f>IFERROR(__xludf.DUMMYFUNCTION("""COMPUTED_VALUE"""),33.0)</f>
        <v>33</v>
      </c>
      <c r="D803" s="4"/>
      <c r="E803" s="4" t="str">
        <f>IFERROR(__xludf.DUMMYFUNCTION("""COMPUTED_VALUE"""),"Sin precio neto")</f>
        <v>Sin precio neto</v>
      </c>
    </row>
    <row r="804">
      <c r="A804" s="4" t="str">
        <f>IFERROR(__xludf.DUMMYFUNCTION("""COMPUTED_VALUE"""),"0694D")</f>
        <v>0694D</v>
      </c>
      <c r="B804" s="4" t="str">
        <f>IFERROR(__xludf.DUMMYFUNCTION("""COMPUTED_VALUE"""),"Poste galva doblado 3 m circular 60 mm")</f>
        <v>Poste galva doblado 3 m circular 60 mm</v>
      </c>
      <c r="C804" s="4">
        <f>IFERROR(__xludf.DUMMYFUNCTION("""COMPUTED_VALUE"""),34.0)</f>
        <v>34</v>
      </c>
      <c r="D804" s="4"/>
      <c r="E804" s="4" t="str">
        <f>IFERROR(__xludf.DUMMYFUNCTION("""COMPUTED_VALUE"""),"Sin precio neto")</f>
        <v>Sin precio neto</v>
      </c>
    </row>
    <row r="805">
      <c r="A805" s="4" t="str">
        <f>IFERROR(__xludf.DUMMYFUNCTION("""COMPUTED_VALUE"""),"0694E")</f>
        <v>0694E</v>
      </c>
      <c r="B805" s="4" t="str">
        <f>IFERROR(__xludf.DUMMYFUNCTION("""COMPUTED_VALUE"""),"Poste tubular 60 mm para cartelería vinilada")</f>
        <v>Poste tubular 60 mm para cartelería vinilada</v>
      </c>
      <c r="C805" s="4">
        <f>IFERROR(__xludf.DUMMYFUNCTION("""COMPUTED_VALUE"""),74.0)</f>
        <v>74</v>
      </c>
      <c r="D805" s="4"/>
      <c r="E805" s="4" t="str">
        <f>IFERROR(__xludf.DUMMYFUNCTION("""COMPUTED_VALUE"""),"Sin precio neto")</f>
        <v>Sin precio neto</v>
      </c>
    </row>
    <row r="806">
      <c r="A806" s="4" t="str">
        <f>IFERROR(__xludf.DUMMYFUNCTION("""COMPUTED_VALUE"""),"695")</f>
        <v>695</v>
      </c>
      <c r="B806" s="4" t="str">
        <f>IFERROR(__xludf.DUMMYFUNCTION("""COMPUTED_VALUE"""),"Tripode angular señal metalica mod. B")</f>
        <v>Tripode angular señal metalica mod. B</v>
      </c>
      <c r="C806" s="4">
        <f>IFERROR(__xludf.DUMMYFUNCTION("""COMPUTED_VALUE"""),12.25)</f>
        <v>12.25</v>
      </c>
      <c r="D806" s="4">
        <f>IFERROR(__xludf.DUMMYFUNCTION("""COMPUTED_VALUE"""),9.5)</f>
        <v>9.5</v>
      </c>
      <c r="E806" s="4" t="str">
        <f>IFERROR(__xludf.DUMMYFUNCTION("""COMPUTED_VALUE"""),"Neto: 9,50 € (a partir de 10 uds.)")</f>
        <v>Neto: 9,50 € (a partir de 10 uds.)</v>
      </c>
    </row>
    <row r="807">
      <c r="A807" s="4" t="str">
        <f>IFERROR(__xludf.DUMMYFUNCTION("""COMPUTED_VALUE"""),"696")</f>
        <v>696</v>
      </c>
      <c r="B807" s="4" t="str">
        <f>IFERROR(__xludf.DUMMYFUNCTION("""COMPUTED_VALUE"""),"Tripode gigante señal metálica")</f>
        <v>Tripode gigante señal metálica</v>
      </c>
      <c r="C807" s="4">
        <f>IFERROR(__xludf.DUMMYFUNCTION("""COMPUTED_VALUE"""),41.05)</f>
        <v>41.05</v>
      </c>
      <c r="D807" s="4"/>
      <c r="E807" s="4" t="str">
        <f>IFERROR(__xludf.DUMMYFUNCTION("""COMPUTED_VALUE"""),"Sin precio neto")</f>
        <v>Sin precio neto</v>
      </c>
    </row>
    <row r="808">
      <c r="A808" s="4" t="str">
        <f>IFERROR(__xludf.DUMMYFUNCTION("""COMPUTED_VALUE"""),"697")</f>
        <v>697</v>
      </c>
      <c r="B808" s="4" t="str">
        <f>IFERROR(__xludf.DUMMYFUNCTION("""COMPUTED_VALUE"""),"Soporte pared p/ espejo 60 cm Mod. Basic")</f>
        <v>Soporte pared p/ espejo 60 cm Mod. Basic</v>
      </c>
      <c r="C808" s="4">
        <f>IFERROR(__xludf.DUMMYFUNCTION("""COMPUTED_VALUE"""),13.4)</f>
        <v>13.4</v>
      </c>
      <c r="D808" s="4"/>
      <c r="E808" s="4" t="str">
        <f>IFERROR(__xludf.DUMMYFUNCTION("""COMPUTED_VALUE"""),"Sin precio neto")</f>
        <v>Sin precio neto</v>
      </c>
    </row>
    <row r="809">
      <c r="A809" s="4" t="str">
        <f>IFERROR(__xludf.DUMMYFUNCTION("""COMPUTED_VALUE"""),"0697/M")</f>
        <v>0697/M</v>
      </c>
      <c r="B809" s="4" t="str">
        <f>IFERROR(__xludf.DUMMYFUNCTION("""COMPUTED_VALUE"""),"Soporte pared para espejo Giotto-Rafaello-Icaro")</f>
        <v>Soporte pared para espejo Giotto-Rafaello-Icaro</v>
      </c>
      <c r="C809" s="4">
        <f>IFERROR(__xludf.DUMMYFUNCTION("""COMPUTED_VALUE"""),13.9)</f>
        <v>13.9</v>
      </c>
      <c r="D809" s="4"/>
      <c r="E809" s="4" t="str">
        <f>IFERROR(__xludf.DUMMYFUNCTION("""COMPUTED_VALUE"""),"Sin precio neto")</f>
        <v>Sin precio neto</v>
      </c>
    </row>
    <row r="810">
      <c r="A810" s="4" t="str">
        <f>IFERROR(__xludf.DUMMYFUNCTION("""COMPUTED_VALUE"""),"0697G")</f>
        <v>0697G</v>
      </c>
      <c r="B810" s="4" t="str">
        <f>IFERROR(__xludf.DUMMYFUNCTION("""COMPUTED_VALUE"""),"Soporte pared p/ espejo 80 cm Mod. Basic")</f>
        <v>Soporte pared p/ espejo 80 cm Mod. Basic</v>
      </c>
      <c r="C810" s="4">
        <f>IFERROR(__xludf.DUMMYFUNCTION("""COMPUTED_VALUE"""),16.25)</f>
        <v>16.25</v>
      </c>
      <c r="D810" s="4"/>
      <c r="E810" s="4" t="str">
        <f>IFERROR(__xludf.DUMMYFUNCTION("""COMPUTED_VALUE"""),"Sin precio neto")</f>
        <v>Sin precio neto</v>
      </c>
    </row>
    <row r="811">
      <c r="A811" s="4" t="str">
        <f>IFERROR(__xludf.DUMMYFUNCTION("""COMPUTED_VALUE"""),"698")</f>
        <v>698</v>
      </c>
      <c r="B811" s="4" t="str">
        <f>IFERROR(__xludf.DUMMYFUNCTION("""COMPUTED_VALUE"""),"Soporte pared señal metalica")</f>
        <v>Soporte pared señal metalica</v>
      </c>
      <c r="C811" s="4">
        <f>IFERROR(__xludf.DUMMYFUNCTION("""COMPUTED_VALUE"""),17.4)</f>
        <v>17.4</v>
      </c>
      <c r="D811" s="4"/>
      <c r="E811" s="4" t="str">
        <f>IFERROR(__xludf.DUMMYFUNCTION("""COMPUTED_VALUE"""),"Sin precio neto")</f>
        <v>Sin precio neto</v>
      </c>
    </row>
    <row r="812">
      <c r="A812" s="4" t="str">
        <f>IFERROR(__xludf.DUMMYFUNCTION("""COMPUTED_VALUE"""),"699")</f>
        <v>699</v>
      </c>
      <c r="B812" s="4" t="str">
        <f>IFERROR(__xludf.DUMMYFUNCTION("""COMPUTED_VALUE"""),"Señal economica reflex")</f>
        <v>Señal economica reflex</v>
      </c>
      <c r="C812" s="4">
        <f>IFERROR(__xludf.DUMMYFUNCTION("""COMPUTED_VALUE"""),14.5)</f>
        <v>14.5</v>
      </c>
      <c r="D812" s="4"/>
      <c r="E812" s="4" t="str">
        <f>IFERROR(__xludf.DUMMYFUNCTION("""COMPUTED_VALUE"""),"Sin precio neto")</f>
        <v>Sin precio neto</v>
      </c>
    </row>
    <row r="813">
      <c r="A813" s="4" t="str">
        <f>IFERROR(__xludf.DUMMYFUNCTION("""COMPUTED_VALUE"""),"701")</f>
        <v>701</v>
      </c>
      <c r="B813" s="4" t="str">
        <f>IFERROR(__xludf.DUMMYFUNCTION("""COMPUTED_VALUE"""),"Conjunto señalización tubular aparcar con soporte y plesilla")</f>
        <v>Conjunto señalización tubular aparcar con soporte y plesilla</v>
      </c>
      <c r="C813" s="4">
        <f>IFERROR(__xludf.DUMMYFUNCTION("""COMPUTED_VALUE"""),79.0)</f>
        <v>79</v>
      </c>
      <c r="D813" s="4"/>
      <c r="E813" s="4" t="str">
        <f>IFERROR(__xludf.DUMMYFUNCTION("""COMPUTED_VALUE"""),"Sin precio neto")</f>
        <v>Sin precio neto</v>
      </c>
    </row>
    <row r="814">
      <c r="A814" s="4" t="str">
        <f>IFERROR(__xludf.DUMMYFUNCTION("""COMPUTED_VALUE"""),"0701/01")</f>
        <v>0701/01</v>
      </c>
      <c r="B814" s="4" t="str">
        <f>IFERROR(__xludf.DUMMYFUNCTION("""COMPUTED_VALUE"""),"Protector esquina acero 45cm lado x 100 cm altura tubo de")</f>
        <v>Protector esquina acero 45cm lado x 100 cm altura tubo de</v>
      </c>
      <c r="C814" s="4">
        <f>IFERROR(__xludf.DUMMYFUNCTION("""COMPUTED_VALUE"""),149.6)</f>
        <v>149.6</v>
      </c>
      <c r="D814" s="4"/>
      <c r="E814" s="4" t="str">
        <f>IFERROR(__xludf.DUMMYFUNCTION("""COMPUTED_VALUE"""),"Sin precio neto")</f>
        <v>Sin precio neto</v>
      </c>
    </row>
    <row r="815">
      <c r="A815" s="4" t="str">
        <f>IFERROR(__xludf.DUMMYFUNCTION("""COMPUTED_VALUE"""),"0701/03")</f>
        <v>0701/03</v>
      </c>
      <c r="B815" s="4" t="str">
        <f>IFERROR(__xludf.DUMMYFUNCTION("""COMPUTED_VALUE"""),"Protector esquina acero 100 cm lado x 100 cm altura tubo de")</f>
        <v>Protector esquina acero 100 cm lado x 100 cm altura tubo de</v>
      </c>
      <c r="C815" s="4">
        <f>IFERROR(__xludf.DUMMYFUNCTION("""COMPUTED_VALUE"""),220.5)</f>
        <v>220.5</v>
      </c>
      <c r="D815" s="4"/>
      <c r="E815" s="4" t="str">
        <f>IFERROR(__xludf.DUMMYFUNCTION("""COMPUTED_VALUE"""),"Sin precio neto")</f>
        <v>Sin precio neto</v>
      </c>
    </row>
    <row r="816">
      <c r="A816" s="4" t="str">
        <f>IFERROR(__xludf.DUMMYFUNCTION("""COMPUTED_VALUE"""),"0702/01")</f>
        <v>0702/01</v>
      </c>
      <c r="B816" s="4" t="str">
        <f>IFERROR(__xludf.DUMMYFUNCTION("""COMPUTED_VALUE"""),"Barrera protectora 100 cm largo x 100 cm altura tubo de 50x2")</f>
        <v>Barrera protectora 100 cm largo x 100 cm altura tubo de 50x2</v>
      </c>
      <c r="C816" s="4">
        <f>IFERROR(__xludf.DUMMYFUNCTION("""COMPUTED_VALUE"""),126.0)</f>
        <v>126</v>
      </c>
      <c r="D816" s="4"/>
      <c r="E816" s="4" t="str">
        <f>IFERROR(__xludf.DUMMYFUNCTION("""COMPUTED_VALUE"""),"Sin precio neto")</f>
        <v>Sin precio neto</v>
      </c>
    </row>
    <row r="817">
      <c r="A817" s="4" t="str">
        <f>IFERROR(__xludf.DUMMYFUNCTION("""COMPUTED_VALUE"""),"0702/02")</f>
        <v>0702/02</v>
      </c>
      <c r="B817" s="4" t="str">
        <f>IFERROR(__xludf.DUMMYFUNCTION("""COMPUTED_VALUE"""),"Barrera protectora 100 cm largo x 100 cm altura tubo de 50x3")</f>
        <v>Barrera protectora 100 cm largo x 100 cm altura tubo de 50x3</v>
      </c>
      <c r="C817" s="4">
        <f>IFERROR(__xludf.DUMMYFUNCTION("""COMPUTED_VALUE"""),137.55)</f>
        <v>137.55</v>
      </c>
      <c r="D817" s="4"/>
      <c r="E817" s="4" t="str">
        <f>IFERROR(__xludf.DUMMYFUNCTION("""COMPUTED_VALUE"""),"Sin precio neto")</f>
        <v>Sin precio neto</v>
      </c>
    </row>
    <row r="818">
      <c r="A818" s="4" t="str">
        <f>IFERROR(__xludf.DUMMYFUNCTION("""COMPUTED_VALUE"""),"0702/03")</f>
        <v>0702/03</v>
      </c>
      <c r="B818" s="4" t="str">
        <f>IFERROR(__xludf.DUMMYFUNCTION("""COMPUTED_VALUE"""),"Barrera protectora 100 cm largo x 100 cm altura tubo de")</f>
        <v>Barrera protectora 100 cm largo x 100 cm altura tubo de</v>
      </c>
      <c r="C818" s="4">
        <f>IFERROR(__xludf.DUMMYFUNCTION("""COMPUTED_VALUE"""),141.75)</f>
        <v>141.75</v>
      </c>
      <c r="D818" s="4"/>
      <c r="E818" s="4" t="str">
        <f>IFERROR(__xludf.DUMMYFUNCTION("""COMPUTED_VALUE"""),"Sin precio neto")</f>
        <v>Sin precio neto</v>
      </c>
    </row>
    <row r="819">
      <c r="A819" s="4" t="str">
        <f>IFERROR(__xludf.DUMMYFUNCTION("""COMPUTED_VALUE"""),"0702/04")</f>
        <v>0702/04</v>
      </c>
      <c r="B819" s="4" t="str">
        <f>IFERROR(__xludf.DUMMYFUNCTION("""COMPUTED_VALUE"""),"Barrera protectora 100 cm largo x 100 cm altura tubo de")</f>
        <v>Barrera protectora 100 cm largo x 100 cm altura tubo de</v>
      </c>
      <c r="C819" s="4">
        <f>IFERROR(__xludf.DUMMYFUNCTION("""COMPUTED_VALUE"""),170.625)</f>
        <v>170.625</v>
      </c>
      <c r="D819" s="4"/>
      <c r="E819" s="4" t="str">
        <f>IFERROR(__xludf.DUMMYFUNCTION("""COMPUTED_VALUE"""),"Sin precio neto")</f>
        <v>Sin precio neto</v>
      </c>
    </row>
    <row r="820">
      <c r="A820" s="4" t="str">
        <f>IFERROR(__xludf.DUMMYFUNCTION("""COMPUTED_VALUE"""),"0702/05")</f>
        <v>0702/05</v>
      </c>
      <c r="B820" s="4" t="str">
        <f>IFERROR(__xludf.DUMMYFUNCTION("""COMPUTED_VALUE"""),"Barrera protectora 200 cm largo x 100 cm altura tubo de")</f>
        <v>Barrera protectora 200 cm largo x 100 cm altura tubo de</v>
      </c>
      <c r="C820" s="4">
        <f>IFERROR(__xludf.DUMMYFUNCTION("""COMPUTED_VALUE"""),173.25)</f>
        <v>173.25</v>
      </c>
      <c r="D820" s="4"/>
      <c r="E820" s="4" t="str">
        <f>IFERROR(__xludf.DUMMYFUNCTION("""COMPUTED_VALUE"""),"Sin precio neto")</f>
        <v>Sin precio neto</v>
      </c>
    </row>
    <row r="821">
      <c r="A821" s="4" t="str">
        <f>IFERROR(__xludf.DUMMYFUNCTION("""COMPUTED_VALUE"""),"0702/06")</f>
        <v>0702/06</v>
      </c>
      <c r="B821" s="4" t="str">
        <f>IFERROR(__xludf.DUMMYFUNCTION("""COMPUTED_VALUE"""),"Barrera protectora 200 cm largo x 100 cm altura tubo 50x3mm")</f>
        <v>Barrera protectora 200 cm largo x 100 cm altura tubo 50x3mm</v>
      </c>
      <c r="C821" s="4">
        <f>IFERROR(__xludf.DUMMYFUNCTION("""COMPUTED_VALUE"""),223.125)</f>
        <v>223.125</v>
      </c>
      <c r="D821" s="4"/>
      <c r="E821" s="4" t="str">
        <f>IFERROR(__xludf.DUMMYFUNCTION("""COMPUTED_VALUE"""),"Sin precio neto")</f>
        <v>Sin precio neto</v>
      </c>
    </row>
    <row r="822">
      <c r="A822" s="4" t="str">
        <f>IFERROR(__xludf.DUMMYFUNCTION("""COMPUTED_VALUE"""),"0702/07")</f>
        <v>0702/07</v>
      </c>
      <c r="B822" s="4" t="str">
        <f>IFERROR(__xludf.DUMMYFUNCTION("""COMPUTED_VALUE"""),"Barrera protectora 200 cm largo x 100 cm altura tubo de")</f>
        <v>Barrera protectora 200 cm largo x 100 cm altura tubo de</v>
      </c>
      <c r="C822" s="4">
        <f>IFERROR(__xludf.DUMMYFUNCTION("""COMPUTED_VALUE"""),175.875)</f>
        <v>175.875</v>
      </c>
      <c r="D822" s="4"/>
      <c r="E822" s="4" t="str">
        <f>IFERROR(__xludf.DUMMYFUNCTION("""COMPUTED_VALUE"""),"Sin precio neto")</f>
        <v>Sin precio neto</v>
      </c>
    </row>
    <row r="823">
      <c r="A823" s="4" t="str">
        <f>IFERROR(__xludf.DUMMYFUNCTION("""COMPUTED_VALUE"""),"0702/08")</f>
        <v>0702/08</v>
      </c>
      <c r="B823" s="4" t="str">
        <f>IFERROR(__xludf.DUMMYFUNCTION("""COMPUTED_VALUE"""),"Barrera protectora 200 cm largo x 100 cm altura tubo de")</f>
        <v>Barrera protectora 200 cm largo x 100 cm altura tubo de</v>
      </c>
      <c r="C823" s="4">
        <f>IFERROR(__xludf.DUMMYFUNCTION("""COMPUTED_VALUE"""),236.25)</f>
        <v>236.25</v>
      </c>
      <c r="D823" s="4"/>
      <c r="E823" s="4" t="str">
        <f>IFERROR(__xludf.DUMMYFUNCTION("""COMPUTED_VALUE"""),"Sin precio neto")</f>
        <v>Sin precio neto</v>
      </c>
    </row>
    <row r="824">
      <c r="A824" s="4" t="str">
        <f>IFERROR(__xludf.DUMMYFUNCTION("""COMPUTED_VALUE"""),"0703/01")</f>
        <v>0703/01</v>
      </c>
      <c r="B824" s="4" t="str">
        <f>IFERROR(__xludf.DUMMYFUNCTION("""COMPUTED_VALUE"""),"Barrera protectora reforzada 100 cm largo x 100 cm altura tubo")</f>
        <v>Barrera protectora reforzada 100 cm largo x 100 cm altura tubo</v>
      </c>
      <c r="C824" s="4">
        <f>IFERROR(__xludf.DUMMYFUNCTION("""COMPUTED_VALUE"""),183.75)</f>
        <v>183.75</v>
      </c>
      <c r="D824" s="4"/>
      <c r="E824" s="4" t="str">
        <f>IFERROR(__xludf.DUMMYFUNCTION("""COMPUTED_VALUE"""),"Sin precio neto")</f>
        <v>Sin precio neto</v>
      </c>
    </row>
    <row r="825">
      <c r="A825" s="4" t="str">
        <f>IFERROR(__xludf.DUMMYFUNCTION("""COMPUTED_VALUE"""),"0703/02")</f>
        <v>0703/02</v>
      </c>
      <c r="B825" s="4" t="str">
        <f>IFERROR(__xludf.DUMMYFUNCTION("""COMPUTED_VALUE"""),"Barrera protectora reforzada 100 cm largo x 100 cm altura tubo")</f>
        <v>Barrera protectora reforzada 100 cm largo x 100 cm altura tubo</v>
      </c>
      <c r="C825" s="4">
        <f>IFERROR(__xludf.DUMMYFUNCTION("""COMPUTED_VALUE"""),147.0)</f>
        <v>147</v>
      </c>
      <c r="D825" s="4"/>
      <c r="E825" s="4" t="str">
        <f>IFERROR(__xludf.DUMMYFUNCTION("""COMPUTED_VALUE"""),"Sin precio neto")</f>
        <v>Sin precio neto</v>
      </c>
    </row>
    <row r="826">
      <c r="A826" s="4" t="str">
        <f>IFERROR(__xludf.DUMMYFUNCTION("""COMPUTED_VALUE"""),"0703/03")</f>
        <v>0703/03</v>
      </c>
      <c r="B826" s="4" t="str">
        <f>IFERROR(__xludf.DUMMYFUNCTION("""COMPUTED_VALUE"""),"Barrera protectora reforzada 100 cm largo x 100 cm altura tubo")</f>
        <v>Barrera protectora reforzada 100 cm largo x 100 cm altura tubo</v>
      </c>
      <c r="C826" s="4">
        <f>IFERROR(__xludf.DUMMYFUNCTION("""COMPUTED_VALUE"""),136.5)</f>
        <v>136.5</v>
      </c>
      <c r="D826" s="4"/>
      <c r="E826" s="4" t="str">
        <f>IFERROR(__xludf.DUMMYFUNCTION("""COMPUTED_VALUE"""),"Sin precio neto")</f>
        <v>Sin precio neto</v>
      </c>
    </row>
    <row r="827">
      <c r="A827" s="4" t="str">
        <f>IFERROR(__xludf.DUMMYFUNCTION("""COMPUTED_VALUE"""),"0703/04")</f>
        <v>0703/04</v>
      </c>
      <c r="B827" s="4" t="str">
        <f>IFERROR(__xludf.DUMMYFUNCTION("""COMPUTED_VALUE"""),"Barrera protectora reforzada 100 cm largo x 100 cm altura tubo")</f>
        <v>Barrera protectora reforzada 100 cm largo x 100 cm altura tubo</v>
      </c>
      <c r="C827" s="4">
        <f>IFERROR(__xludf.DUMMYFUNCTION("""COMPUTED_VALUE"""),183.75)</f>
        <v>183.75</v>
      </c>
      <c r="D827" s="4"/>
      <c r="E827" s="4" t="str">
        <f>IFERROR(__xludf.DUMMYFUNCTION("""COMPUTED_VALUE"""),"Sin precio neto")</f>
        <v>Sin precio neto</v>
      </c>
    </row>
    <row r="828">
      <c r="A828" s="4" t="str">
        <f>IFERROR(__xludf.DUMMYFUNCTION("""COMPUTED_VALUE"""),"0703/05")</f>
        <v>0703/05</v>
      </c>
      <c r="B828" s="4" t="str">
        <f>IFERROR(__xludf.DUMMYFUNCTION("""COMPUTED_VALUE"""),"Barrera protectora reforzada 200 cm largo x 100 cm altura tubo")</f>
        <v>Barrera protectora reforzada 200 cm largo x 100 cm altura tubo</v>
      </c>
      <c r="C828" s="4">
        <f>IFERROR(__xludf.DUMMYFUNCTION("""COMPUTED_VALUE"""),196.875)</f>
        <v>196.875</v>
      </c>
      <c r="D828" s="4"/>
      <c r="E828" s="4" t="str">
        <f>IFERROR(__xludf.DUMMYFUNCTION("""COMPUTED_VALUE"""),"Sin precio neto")</f>
        <v>Sin precio neto</v>
      </c>
    </row>
    <row r="829">
      <c r="A829" s="4" t="str">
        <f>IFERROR(__xludf.DUMMYFUNCTION("""COMPUTED_VALUE"""),"0703/06")</f>
        <v>0703/06</v>
      </c>
      <c r="B829" s="4" t="str">
        <f>IFERROR(__xludf.DUMMYFUNCTION("""COMPUTED_VALUE"""),"Barrera protectora reforzada 200 cm largo x 100 cm altura tubo")</f>
        <v>Barrera protectora reforzada 200 cm largo x 100 cm altura tubo</v>
      </c>
      <c r="C829" s="4">
        <f>IFERROR(__xludf.DUMMYFUNCTION("""COMPUTED_VALUE"""),223.125)</f>
        <v>223.125</v>
      </c>
      <c r="D829" s="4"/>
      <c r="E829" s="4" t="str">
        <f>IFERROR(__xludf.DUMMYFUNCTION("""COMPUTED_VALUE"""),"Sin precio neto")</f>
        <v>Sin precio neto</v>
      </c>
    </row>
    <row r="830">
      <c r="A830" s="4" t="str">
        <f>IFERROR(__xludf.DUMMYFUNCTION("""COMPUTED_VALUE"""),"0703/07")</f>
        <v>0703/07</v>
      </c>
      <c r="B830" s="4" t="str">
        <f>IFERROR(__xludf.DUMMYFUNCTION("""COMPUTED_VALUE"""),"Barrera protectora reforzada 200 cm largo x 100 cm altura tubo")</f>
        <v>Barrera protectora reforzada 200 cm largo x 100 cm altura tubo</v>
      </c>
      <c r="C830" s="4">
        <f>IFERROR(__xludf.DUMMYFUNCTION("""COMPUTED_VALUE"""),196.875)</f>
        <v>196.875</v>
      </c>
      <c r="D830" s="4"/>
      <c r="E830" s="4" t="str">
        <f>IFERROR(__xludf.DUMMYFUNCTION("""COMPUTED_VALUE"""),"Sin precio neto")</f>
        <v>Sin precio neto</v>
      </c>
    </row>
    <row r="831">
      <c r="A831" s="4" t="str">
        <f>IFERROR(__xludf.DUMMYFUNCTION("""COMPUTED_VALUE"""),"0703/08")</f>
        <v>0703/08</v>
      </c>
      <c r="B831" s="4" t="str">
        <f>IFERROR(__xludf.DUMMYFUNCTION("""COMPUTED_VALUE"""),"Barrera protectora reforzada 200 cm largo x 100 cm altiura tubo")</f>
        <v>Barrera protectora reforzada 200 cm largo x 100 cm altiura tubo</v>
      </c>
      <c r="C831" s="4">
        <f>IFERROR(__xludf.DUMMYFUNCTION("""COMPUTED_VALUE"""),246.75)</f>
        <v>246.75</v>
      </c>
      <c r="D831" s="4"/>
      <c r="E831" s="4" t="str">
        <f>IFERROR(__xludf.DUMMYFUNCTION("""COMPUTED_VALUE"""),"Sin precio neto")</f>
        <v>Sin precio neto</v>
      </c>
    </row>
    <row r="832">
      <c r="A832" s="4" t="str">
        <f>IFERROR(__xludf.DUMMYFUNCTION("""COMPUTED_VALUE"""),"0704/01")</f>
        <v>0704/01</v>
      </c>
      <c r="B832" s="4" t="str">
        <f>IFERROR(__xludf.DUMMYFUNCTION("""COMPUTED_VALUE"""),"Bolardo acero N/A 100 cm altura tubo 60x2mm")</f>
        <v>Bolardo acero N/A 100 cm altura tubo 60x2mm</v>
      </c>
      <c r="C832" s="4">
        <f>IFERROR(__xludf.DUMMYFUNCTION("""COMPUTED_VALUE"""),63.0)</f>
        <v>63</v>
      </c>
      <c r="D832" s="4"/>
      <c r="E832" s="4" t="str">
        <f>IFERROR(__xludf.DUMMYFUNCTION("""COMPUTED_VALUE"""),"Sin precio neto")</f>
        <v>Sin precio neto</v>
      </c>
    </row>
    <row r="833">
      <c r="A833" s="4" t="str">
        <f>IFERROR(__xludf.DUMMYFUNCTION("""COMPUTED_VALUE"""),"0704/02")</f>
        <v>0704/02</v>
      </c>
      <c r="B833" s="4" t="str">
        <f>IFERROR(__xludf.DUMMYFUNCTION("""COMPUTED_VALUE"""),"Bolardo acero N/A 100 cm altura tubo de 80x2mm")</f>
        <v>Bolardo acero N/A 100 cm altura tubo de 80x2mm</v>
      </c>
      <c r="C833" s="4">
        <f>IFERROR(__xludf.DUMMYFUNCTION("""COMPUTED_VALUE"""),78.75)</f>
        <v>78.75</v>
      </c>
      <c r="D833" s="4"/>
      <c r="E833" s="4" t="str">
        <f>IFERROR(__xludf.DUMMYFUNCTION("""COMPUTED_VALUE"""),"Sin precio neto")</f>
        <v>Sin precio neto</v>
      </c>
    </row>
    <row r="834">
      <c r="A834" s="4" t="str">
        <f>IFERROR(__xludf.DUMMYFUNCTION("""COMPUTED_VALUE"""),"0705/01")</f>
        <v>0705/01</v>
      </c>
      <c r="B834" s="4" t="str">
        <f>IFERROR(__xludf.DUMMYFUNCTION("""COMPUTED_VALUE"""),"Zocalo proteccion 200 cm largo x 6,6 cm altura tubo de")</f>
        <v>Zocalo proteccion 200 cm largo x 6,6 cm altura tubo de</v>
      </c>
      <c r="C834" s="4">
        <f>IFERROR(__xludf.DUMMYFUNCTION("""COMPUTED_VALUE"""),99.75)</f>
        <v>99.75</v>
      </c>
      <c r="D834" s="4"/>
      <c r="E834" s="4" t="str">
        <f>IFERROR(__xludf.DUMMYFUNCTION("""COMPUTED_VALUE"""),"Sin precio neto")</f>
        <v>Sin precio neto</v>
      </c>
    </row>
    <row r="835">
      <c r="A835" s="4" t="str">
        <f>IFERROR(__xludf.DUMMYFUNCTION("""COMPUTED_VALUE"""),"0705/02")</f>
        <v>0705/02</v>
      </c>
      <c r="B835" s="4" t="str">
        <f>IFERROR(__xludf.DUMMYFUNCTION("""COMPUTED_VALUE"""),"Zocalo proteccion 200 cm largo x 8,6 cm altura tubo de")</f>
        <v>Zocalo proteccion 200 cm largo x 8,6 cm altura tubo de</v>
      </c>
      <c r="C835" s="4">
        <f>IFERROR(__xludf.DUMMYFUNCTION("""COMPUTED_VALUE"""),118.125)</f>
        <v>118.125</v>
      </c>
      <c r="D835" s="4"/>
      <c r="E835" s="4" t="str">
        <f>IFERROR(__xludf.DUMMYFUNCTION("""COMPUTED_VALUE"""),"Sin precio neto")</f>
        <v>Sin precio neto</v>
      </c>
    </row>
    <row r="836">
      <c r="A836" s="4" t="str">
        <f>IFERROR(__xludf.DUMMYFUNCTION("""COMPUTED_VALUE"""),"706")</f>
        <v>706</v>
      </c>
      <c r="B836" s="4" t="str">
        <f>IFERROR(__xludf.DUMMYFUNCTION("""COMPUTED_VALUE"""),"Placa Taller 50x50 cm personalizable")</f>
        <v>Placa Taller 50x50 cm personalizable</v>
      </c>
      <c r="C836" s="4">
        <f>IFERROR(__xludf.DUMMYFUNCTION("""COMPUTED_VALUE"""),11.25)</f>
        <v>11.25</v>
      </c>
      <c r="D836" s="4"/>
      <c r="E836" s="4" t="str">
        <f>IFERROR(__xludf.DUMMYFUNCTION("""COMPUTED_VALUE"""),"Sin precio neto")</f>
        <v>Sin precio neto</v>
      </c>
    </row>
    <row r="837">
      <c r="A837" s="4" t="str">
        <f>IFERROR(__xludf.DUMMYFUNCTION("""COMPUTED_VALUE"""),"708")</f>
        <v>708</v>
      </c>
      <c r="B837" s="4" t="str">
        <f>IFERROR(__xludf.DUMMYFUNCTION("""COMPUTED_VALUE"""),"Conjunto prohibido aparcar + trípode con plesilla")</f>
        <v>Conjunto prohibido aparcar + trípode con plesilla</v>
      </c>
      <c r="C837" s="4">
        <f>IFERROR(__xludf.DUMMYFUNCTION("""COMPUTED_VALUE"""),31.0)</f>
        <v>31</v>
      </c>
      <c r="D837" s="4"/>
      <c r="E837" s="4" t="str">
        <f>IFERROR(__xludf.DUMMYFUNCTION("""COMPUTED_VALUE"""),"Sin precio neto")</f>
        <v>Sin precio neto</v>
      </c>
    </row>
    <row r="838">
      <c r="A838" s="4" t="str">
        <f>IFERROR(__xludf.DUMMYFUNCTION("""COMPUTED_VALUE"""),"710")</f>
        <v>710</v>
      </c>
      <c r="B838" s="4" t="str">
        <f>IFERROR(__xludf.DUMMYFUNCTION("""COMPUTED_VALUE"""),"Placa mercancias peligrosas fija 40x30 troquelada")</f>
        <v>Placa mercancias peligrosas fija 40x30 troquelada</v>
      </c>
      <c r="C838" s="4">
        <f>IFERROR(__xludf.DUMMYFUNCTION("""COMPUTED_VALUE"""),32.9)</f>
        <v>32.9</v>
      </c>
      <c r="D838" s="4"/>
      <c r="E838" s="4" t="str">
        <f>IFERROR(__xludf.DUMMYFUNCTION("""COMPUTED_VALUE"""),"Sin precio neto")</f>
        <v>Sin precio neto</v>
      </c>
    </row>
    <row r="839">
      <c r="A839" s="4" t="str">
        <f>IFERROR(__xludf.DUMMYFUNCTION("""COMPUTED_VALUE"""),"0710T")</f>
        <v>0710T</v>
      </c>
      <c r="B839" s="4" t="str">
        <f>IFERROR(__xludf.DUMMYFUNCTION("""COMPUTED_VALUE"""),"Placa mercancia peligrosa plegable sin troquelar 40x30")</f>
        <v>Placa mercancia peligrosa plegable sin troquelar 40x30</v>
      </c>
      <c r="C839" s="4">
        <f>IFERROR(__xludf.DUMMYFUNCTION("""COMPUTED_VALUE"""),22.1)</f>
        <v>22.1</v>
      </c>
      <c r="D839" s="4"/>
      <c r="E839" s="4" t="str">
        <f>IFERROR(__xludf.DUMMYFUNCTION("""COMPUTED_VALUE"""),"Sin precio neto")</f>
        <v>Sin precio neto</v>
      </c>
    </row>
    <row r="840">
      <c r="A840" s="4" t="str">
        <f>IFERROR(__xludf.DUMMYFUNCTION("""COMPUTED_VALUE"""),"711")</f>
        <v>711</v>
      </c>
      <c r="B840" s="4" t="str">
        <f>IFERROR(__xludf.DUMMYFUNCTION("""COMPUTED_VALUE"""),"Disco nacional 20 cm diám Limitacion Velocidad alumin, Reflex")</f>
        <v>Disco nacional 20 cm diám Limitacion Velocidad alumin, Reflex</v>
      </c>
      <c r="C840" s="4">
        <f>IFERROR(__xludf.DUMMYFUNCTION("""COMPUTED_VALUE"""),8.0)</f>
        <v>8</v>
      </c>
      <c r="D840" s="4"/>
      <c r="E840" s="4" t="str">
        <f>IFERROR(__xludf.DUMMYFUNCTION("""COMPUTED_VALUE"""),"Sin precio neto")</f>
        <v>Sin precio neto</v>
      </c>
    </row>
    <row r="841">
      <c r="A841" s="4" t="str">
        <f>IFERROR(__xludf.DUMMYFUNCTION("""COMPUTED_VALUE"""),"0711/20")</f>
        <v>0711/20</v>
      </c>
      <c r="B841" s="4" t="str">
        <f>IFERROR(__xludf.DUMMYFUNCTION("""COMPUTED_VALUE"""),"Disco alum. diam.20cm Lim Velocidad 20 Reflex 2")</f>
        <v>Disco alum. diam.20cm Lim Velocidad 20 Reflex 2</v>
      </c>
      <c r="C841" s="4">
        <f>IFERROR(__xludf.DUMMYFUNCTION("""COMPUTED_VALUE"""),7.875)</f>
        <v>7.875</v>
      </c>
      <c r="D841" s="4"/>
      <c r="E841" s="4" t="str">
        <f>IFERROR(__xludf.DUMMYFUNCTION("""COMPUTED_VALUE"""),"Sin precio neto")</f>
        <v>Sin precio neto</v>
      </c>
    </row>
    <row r="842">
      <c r="A842" s="4" t="str">
        <f>IFERROR(__xludf.DUMMYFUNCTION("""COMPUTED_VALUE"""),"0711/25")</f>
        <v>0711/25</v>
      </c>
      <c r="B842" s="4" t="str">
        <f>IFERROR(__xludf.DUMMYFUNCTION("""COMPUTED_VALUE"""),"Disco alum. diam.20cm Lim Velocidad 25 Reflex 2")</f>
        <v>Disco alum. diam.20cm Lim Velocidad 25 Reflex 2</v>
      </c>
      <c r="C842" s="4">
        <f>IFERROR(__xludf.DUMMYFUNCTION("""COMPUTED_VALUE"""),7.875)</f>
        <v>7.875</v>
      </c>
      <c r="D842" s="4"/>
      <c r="E842" s="4" t="str">
        <f>IFERROR(__xludf.DUMMYFUNCTION("""COMPUTED_VALUE"""),"Sin precio neto")</f>
        <v>Sin precio neto</v>
      </c>
    </row>
    <row r="843">
      <c r="A843" s="4" t="str">
        <f>IFERROR(__xludf.DUMMYFUNCTION("""COMPUTED_VALUE"""),"0711/30")</f>
        <v>0711/30</v>
      </c>
      <c r="B843" s="4" t="str">
        <f>IFERROR(__xludf.DUMMYFUNCTION("""COMPUTED_VALUE"""),"Disco alum. diam.20cm Lim Velocidad 30 Reflex 2")</f>
        <v>Disco alum. diam.20cm Lim Velocidad 30 Reflex 2</v>
      </c>
      <c r="C843" s="4">
        <f>IFERROR(__xludf.DUMMYFUNCTION("""COMPUTED_VALUE"""),7.875)</f>
        <v>7.875</v>
      </c>
      <c r="D843" s="4"/>
      <c r="E843" s="4" t="str">
        <f>IFERROR(__xludf.DUMMYFUNCTION("""COMPUTED_VALUE"""),"Sin precio neto")</f>
        <v>Sin precio neto</v>
      </c>
    </row>
    <row r="844">
      <c r="A844" s="4" t="str">
        <f>IFERROR(__xludf.DUMMYFUNCTION("""COMPUTED_VALUE"""),"0711/35")</f>
        <v>0711/35</v>
      </c>
      <c r="B844" s="4" t="str">
        <f>IFERROR(__xludf.DUMMYFUNCTION("""COMPUTED_VALUE"""),"Disco alum. diam.20cm Lim Velocidad 35 Reflex 2")</f>
        <v>Disco alum. diam.20cm Lim Velocidad 35 Reflex 2</v>
      </c>
      <c r="C844" s="4">
        <f>IFERROR(__xludf.DUMMYFUNCTION("""COMPUTED_VALUE"""),7.875)</f>
        <v>7.875</v>
      </c>
      <c r="D844" s="4"/>
      <c r="E844" s="4" t="str">
        <f>IFERROR(__xludf.DUMMYFUNCTION("""COMPUTED_VALUE"""),"Sin precio neto")</f>
        <v>Sin precio neto</v>
      </c>
    </row>
    <row r="845">
      <c r="A845" s="4" t="str">
        <f>IFERROR(__xludf.DUMMYFUNCTION("""COMPUTED_VALUE"""),"0711/40")</f>
        <v>0711/40</v>
      </c>
      <c r="B845" s="4" t="str">
        <f>IFERROR(__xludf.DUMMYFUNCTION("""COMPUTED_VALUE"""),"Disco alum. diam.20cm Lim Velocidad 40 Reflex 2")</f>
        <v>Disco alum. diam.20cm Lim Velocidad 40 Reflex 2</v>
      </c>
      <c r="C845" s="4">
        <f>IFERROR(__xludf.DUMMYFUNCTION("""COMPUTED_VALUE"""),7.875)</f>
        <v>7.875</v>
      </c>
      <c r="D845" s="4"/>
      <c r="E845" s="4" t="str">
        <f>IFERROR(__xludf.DUMMYFUNCTION("""COMPUTED_VALUE"""),"Sin precio neto")</f>
        <v>Sin precio neto</v>
      </c>
    </row>
    <row r="846">
      <c r="A846" s="4" t="str">
        <f>IFERROR(__xludf.DUMMYFUNCTION("""COMPUTED_VALUE"""),"0711/45")</f>
        <v>0711/45</v>
      </c>
      <c r="B846" s="4" t="str">
        <f>IFERROR(__xludf.DUMMYFUNCTION("""COMPUTED_VALUE"""),"Disco alum. diam.20cm Lim Velocidad 45 Reflex 2")</f>
        <v>Disco alum. diam.20cm Lim Velocidad 45 Reflex 2</v>
      </c>
      <c r="C846" s="4">
        <f>IFERROR(__xludf.DUMMYFUNCTION("""COMPUTED_VALUE"""),7.875)</f>
        <v>7.875</v>
      </c>
      <c r="D846" s="4"/>
      <c r="E846" s="4" t="str">
        <f>IFERROR(__xludf.DUMMYFUNCTION("""COMPUTED_VALUE"""),"Sin precio neto")</f>
        <v>Sin precio neto</v>
      </c>
    </row>
    <row r="847">
      <c r="A847" s="4" t="str">
        <f>IFERROR(__xludf.DUMMYFUNCTION("""COMPUTED_VALUE"""),"712")</f>
        <v>712</v>
      </c>
      <c r="B847" s="4" t="str">
        <f>IFERROR(__xludf.DUMMYFUNCTION("""COMPUTED_VALUE"""),"Placa Servicio Público 75x150 mm aluminiro Reflex 2")</f>
        <v>Placa Servicio Público 75x150 mm aluminiro Reflex 2</v>
      </c>
      <c r="C847" s="4">
        <f>IFERROR(__xludf.DUMMYFUNCTION("""COMPUTED_VALUE"""),4.25)</f>
        <v>4.25</v>
      </c>
      <c r="D847" s="4"/>
      <c r="E847" s="4" t="str">
        <f>IFERROR(__xludf.DUMMYFUNCTION("""COMPUTED_VALUE"""),"Sin precio neto")</f>
        <v>Sin precio neto</v>
      </c>
    </row>
    <row r="848">
      <c r="A848" s="4" t="str">
        <f>IFERROR(__xludf.DUMMYFUNCTION("""COMPUTED_VALUE"""),"713")</f>
        <v>713</v>
      </c>
      <c r="B848" s="4" t="str">
        <f>IFERROR(__xludf.DUMMYFUNCTION("""COMPUTED_VALUE"""),"Placa Servicio Público 120x225 mm aluminio Reflex N2")</f>
        <v>Placa Servicio Público 120x225 mm aluminio Reflex N2</v>
      </c>
      <c r="C848" s="4">
        <f>IFERROR(__xludf.DUMMYFUNCTION("""COMPUTED_VALUE"""),6.75)</f>
        <v>6.75</v>
      </c>
      <c r="D848" s="4"/>
      <c r="E848" s="4" t="str">
        <f>IFERROR(__xludf.DUMMYFUNCTION("""COMPUTED_VALUE"""),"Sin precio neto")</f>
        <v>Sin precio neto</v>
      </c>
    </row>
    <row r="849">
      <c r="A849" s="4" t="str">
        <f>IFERROR(__xludf.DUMMYFUNCTION("""COMPUTED_VALUE"""),"714")</f>
        <v>714</v>
      </c>
      <c r="B849" s="4" t="str">
        <f>IFERROR(__xludf.DUMMYFUNCTION("""COMPUTED_VALUE"""),"Señal Transporte Animales Vivos aluminio 30x22 cm")</f>
        <v>Señal Transporte Animales Vivos aluminio 30x22 cm</v>
      </c>
      <c r="C849" s="4">
        <f>IFERROR(__xludf.DUMMYFUNCTION("""COMPUTED_VALUE"""),7.75)</f>
        <v>7.75</v>
      </c>
      <c r="D849" s="4"/>
      <c r="E849" s="4" t="str">
        <f>IFERROR(__xludf.DUMMYFUNCTION("""COMPUTED_VALUE"""),"Sin precio neto")</f>
        <v>Sin precio neto</v>
      </c>
    </row>
    <row r="850">
      <c r="A850" s="4" t="str">
        <f>IFERROR(__xludf.DUMMYFUNCTION("""COMPUTED_VALUE"""),"715")</f>
        <v>715</v>
      </c>
      <c r="B850" s="4" t="str">
        <f>IFERROR(__xludf.DUMMYFUNCTION("""COMPUTED_VALUE"""),"Señal adhesiva de TARA P.M.A. 130x330 mm")</f>
        <v>Señal adhesiva de TARA P.M.A. 130x330 mm</v>
      </c>
      <c r="C850" s="4">
        <f>IFERROR(__xludf.DUMMYFUNCTION("""COMPUTED_VALUE"""),2.0)</f>
        <v>2</v>
      </c>
      <c r="D850" s="4"/>
      <c r="E850" s="4" t="str">
        <f>IFERROR(__xludf.DUMMYFUNCTION("""COMPUTED_VALUE"""),"Sin precio neto")</f>
        <v>Sin precio neto</v>
      </c>
    </row>
    <row r="851">
      <c r="A851" s="4" t="str">
        <f>IFERROR(__xludf.DUMMYFUNCTION("""COMPUTED_VALUE"""),"716")</f>
        <v>716</v>
      </c>
      <c r="B851" s="4" t="str">
        <f>IFERROR(__xludf.DUMMYFUNCTION("""COMPUTED_VALUE"""),"Placa Vehículo Lento 365 mm de lado aluminio Reflex N2")</f>
        <v>Placa Vehículo Lento 365 mm de lado aluminio Reflex N2</v>
      </c>
      <c r="C851" s="4">
        <f>IFERROR(__xludf.DUMMYFUNCTION("""COMPUTED_VALUE"""),21.0)</f>
        <v>21</v>
      </c>
      <c r="D851" s="4"/>
      <c r="E851" s="4" t="str">
        <f>IFERROR(__xludf.DUMMYFUNCTION("""COMPUTED_VALUE"""),"Sin precio neto")</f>
        <v>Sin precio neto</v>
      </c>
    </row>
    <row r="852">
      <c r="A852" s="4" t="str">
        <f>IFERROR(__xludf.DUMMYFUNCTION("""COMPUTED_VALUE"""),"717")</f>
        <v>717</v>
      </c>
      <c r="B852" s="4" t="str">
        <f>IFERROR(__xludf.DUMMYFUNCTION("""COMPUTED_VALUE"""),"Placa R-70 corta 565x200mm vehic. largo (juego2 pzas)")</f>
        <v>Placa R-70 corta 565x200mm vehic. largo (juego2 pzas)</v>
      </c>
      <c r="C852" s="4">
        <f>IFERROR(__xludf.DUMMYFUNCTION("""COMPUTED_VALUE"""),34.0)</f>
        <v>34</v>
      </c>
      <c r="D852" s="4"/>
      <c r="E852" s="4" t="str">
        <f>IFERROR(__xludf.DUMMYFUNCTION("""COMPUTED_VALUE"""),"Sin precio neto")</f>
        <v>Sin precio neto</v>
      </c>
    </row>
    <row r="853">
      <c r="A853" s="4" t="str">
        <f>IFERROR(__xludf.DUMMYFUNCTION("""COMPUTED_VALUE"""),"0717/L")</f>
        <v>0717/L</v>
      </c>
      <c r="B853" s="4" t="str">
        <f>IFERROR(__xludf.DUMMYFUNCTION("""COMPUTED_VALUE"""),"Placa 1130x200mm vehículo Largo Reflex N2 Homol. Europea")</f>
        <v>Placa 1130x200mm vehículo Largo Reflex N2 Homol. Europea</v>
      </c>
      <c r="C853" s="4">
        <f>IFERROR(__xludf.DUMMYFUNCTION("""COMPUTED_VALUE"""),28.0)</f>
        <v>28</v>
      </c>
      <c r="D853" s="4"/>
      <c r="E853" s="4" t="str">
        <f>IFERROR(__xludf.DUMMYFUNCTION("""COMPUTED_VALUE"""),"Sin precio neto")</f>
        <v>Sin precio neto</v>
      </c>
    </row>
    <row r="854">
      <c r="A854" s="4" t="str">
        <f>IFERROR(__xludf.DUMMYFUNCTION("""COMPUTED_VALUE"""),"719")</f>
        <v>719</v>
      </c>
      <c r="B854" s="4" t="str">
        <f>IFERROR(__xludf.DUMMYFUNCTION("""COMPUTED_VALUE"""),"Placa 1ª categ COTO PRIVADO DE CAZA + matric. Troquel.")</f>
        <v>Placa 1ª categ COTO PRIVADO DE CAZA + matric. Troquel.</v>
      </c>
      <c r="C854" s="4">
        <f>IFERROR(__xludf.DUMMYFUNCTION("""COMPUTED_VALUE"""),11.0)</f>
        <v>11</v>
      </c>
      <c r="D854" s="4"/>
      <c r="E854" s="4" t="str">
        <f>IFERROR(__xludf.DUMMYFUNCTION("""COMPUTED_VALUE"""),"Sin precio neto")</f>
        <v>Sin precio neto</v>
      </c>
    </row>
    <row r="855">
      <c r="A855" s="4" t="str">
        <f>IFERROR(__xludf.DUMMYFUNCTION("""COMPUTED_VALUE"""),"720")</f>
        <v>720</v>
      </c>
      <c r="B855" s="4" t="str">
        <f>IFERROR(__xludf.DUMMYFUNCTION("""COMPUTED_VALUE"""),"Placa 2ª categ. COTO DE CAZA 30X20 cm")</f>
        <v>Placa 2ª categ. COTO DE CAZA 30X20 cm</v>
      </c>
      <c r="C855" s="4">
        <f>IFERROR(__xludf.DUMMYFUNCTION("""COMPUTED_VALUE"""),6.0)</f>
        <v>6</v>
      </c>
      <c r="D855" s="4"/>
      <c r="E855" s="4" t="str">
        <f>IFERROR(__xludf.DUMMYFUNCTION("""COMPUTED_VALUE"""),"Sin precio neto")</f>
        <v>Sin precio neto</v>
      </c>
    </row>
    <row r="856">
      <c r="A856" s="4" t="str">
        <f>IFERROR(__xludf.DUMMYFUNCTION("""COMPUTED_VALUE"""),"721")</f>
        <v>721</v>
      </c>
      <c r="B856" s="4" t="str">
        <f>IFERROR(__xludf.DUMMYFUNCTION("""COMPUTED_VALUE"""),"Placa Nº puerta aluminio 19x14cm azul")</f>
        <v>Placa Nº puerta aluminio 19x14cm azul</v>
      </c>
      <c r="C856" s="4">
        <f>IFERROR(__xludf.DUMMYFUNCTION("""COMPUTED_VALUE"""),4.0)</f>
        <v>4</v>
      </c>
      <c r="D856" s="4"/>
      <c r="E856" s="4" t="str">
        <f>IFERROR(__xludf.DUMMYFUNCTION("""COMPUTED_VALUE"""),"Sin precio neto")</f>
        <v>Sin precio neto</v>
      </c>
    </row>
    <row r="857">
      <c r="A857" s="4" t="str">
        <f>IFERROR(__xludf.DUMMYFUNCTION("""COMPUTED_VALUE"""),"722")</f>
        <v>722</v>
      </c>
      <c r="B857" s="4" t="str">
        <f>IFERROR(__xludf.DUMMYFUNCTION("""COMPUTED_VALUE"""),"Placa V-10 transporte escolar 20x20 Reflex 2 Homologada")</f>
        <v>Placa V-10 transporte escolar 20x20 Reflex 2 Homologada</v>
      </c>
      <c r="C857" s="4">
        <f>IFERROR(__xludf.DUMMYFUNCTION("""COMPUTED_VALUE"""),10.6)</f>
        <v>10.6</v>
      </c>
      <c r="D857" s="4"/>
      <c r="E857" s="4" t="str">
        <f>IFERROR(__xludf.DUMMYFUNCTION("""COMPUTED_VALUE"""),"Sin precio neto")</f>
        <v>Sin precio neto</v>
      </c>
    </row>
    <row r="858">
      <c r="A858" s="4" t="str">
        <f>IFERROR(__xludf.DUMMYFUNCTION("""COMPUTED_VALUE"""),"726")</f>
        <v>726</v>
      </c>
      <c r="B858" s="4" t="str">
        <f>IFERROR(__xludf.DUMMYFUNCTION("""COMPUTED_VALUE"""),"Bocina neumática a mano")</f>
        <v>Bocina neumática a mano</v>
      </c>
      <c r="C858" s="4">
        <f>IFERROR(__xludf.DUMMYFUNCTION("""COMPUTED_VALUE"""),21.0)</f>
        <v>21</v>
      </c>
      <c r="D858" s="4"/>
      <c r="E858" s="4" t="str">
        <f>IFERROR(__xludf.DUMMYFUNCTION("""COMPUTED_VALUE"""),"Sin precio neto")</f>
        <v>Sin precio neto</v>
      </c>
    </row>
    <row r="859">
      <c r="A859" s="4" t="str">
        <f>IFERROR(__xludf.DUMMYFUNCTION("""COMPUTED_VALUE"""),"727")</f>
        <v>727</v>
      </c>
      <c r="B859" s="4" t="str">
        <f>IFERROR(__xludf.DUMMYFUNCTION("""COMPUTED_VALUE"""),"Pinzas más cable para batería 400 Ah")</f>
        <v>Pinzas más cable para batería 400 Ah</v>
      </c>
      <c r="C859" s="4">
        <f>IFERROR(__xludf.DUMMYFUNCTION("""COMPUTED_VALUE"""),17.0)</f>
        <v>17</v>
      </c>
      <c r="D859" s="4"/>
      <c r="E859" s="4" t="str">
        <f>IFERROR(__xludf.DUMMYFUNCTION("""COMPUTED_VALUE"""),"Sin precio neto")</f>
        <v>Sin precio neto</v>
      </c>
    </row>
    <row r="860">
      <c r="A860" s="4" t="str">
        <f>IFERROR(__xludf.DUMMYFUNCTION("""COMPUTED_VALUE"""),"728")</f>
        <v>728</v>
      </c>
      <c r="B860" s="4" t="str">
        <f>IFERROR(__xludf.DUMMYFUNCTION("""COMPUTED_VALUE"""),"Reductor tensión 24 a 12 v")</f>
        <v>Reductor tensión 24 a 12 v</v>
      </c>
      <c r="C860" s="4">
        <f>IFERROR(__xludf.DUMMYFUNCTION("""COMPUTED_VALUE"""),141.25)</f>
        <v>141.25</v>
      </c>
      <c r="D860" s="4"/>
      <c r="E860" s="4" t="str">
        <f>IFERROR(__xludf.DUMMYFUNCTION("""COMPUTED_VALUE"""),"Sin precio neto")</f>
        <v>Sin precio neto</v>
      </c>
    </row>
    <row r="861">
      <c r="A861" s="4" t="str">
        <f>IFERROR(__xludf.DUMMYFUNCTION("""COMPUTED_VALUE"""),"730")</f>
        <v>730</v>
      </c>
      <c r="B861" s="4" t="str">
        <f>IFERROR(__xludf.DUMMYFUNCTION("""COMPUTED_VALUE"""),"Pinza negra - 80 Ah")</f>
        <v>Pinza negra - 80 Ah</v>
      </c>
      <c r="C861" s="4">
        <f>IFERROR(__xludf.DUMMYFUNCTION("""COMPUTED_VALUE"""),1.9)</f>
        <v>1.9</v>
      </c>
      <c r="D861" s="4"/>
      <c r="E861" s="4" t="str">
        <f>IFERROR(__xludf.DUMMYFUNCTION("""COMPUTED_VALUE"""),"Sin precio neto")</f>
        <v>Sin precio neto</v>
      </c>
    </row>
    <row r="862">
      <c r="A862" s="4" t="str">
        <f>IFERROR(__xludf.DUMMYFUNCTION("""COMPUTED_VALUE"""),"731")</f>
        <v>731</v>
      </c>
      <c r="B862" s="4" t="str">
        <f>IFERROR(__xludf.DUMMYFUNCTION("""COMPUTED_VALUE"""),"Pinza Roja + 80 Ah")</f>
        <v>Pinza Roja + 80 Ah</v>
      </c>
      <c r="C862" s="4">
        <f>IFERROR(__xludf.DUMMYFUNCTION("""COMPUTED_VALUE"""),1.9)</f>
        <v>1.9</v>
      </c>
      <c r="D862" s="4"/>
      <c r="E862" s="4" t="str">
        <f>IFERROR(__xludf.DUMMYFUNCTION("""COMPUTED_VALUE"""),"Sin precio neto")</f>
        <v>Sin precio neto</v>
      </c>
    </row>
    <row r="863">
      <c r="A863" s="4" t="str">
        <f>IFERROR(__xludf.DUMMYFUNCTION("""COMPUTED_VALUE"""),"732")</f>
        <v>732</v>
      </c>
      <c r="B863" s="4" t="str">
        <f>IFERROR(__xludf.DUMMYFUNCTION("""COMPUTED_VALUE"""),"Pinza Negra - 500 Ah")</f>
        <v>Pinza Negra - 500 Ah</v>
      </c>
      <c r="C863" s="4">
        <f>IFERROR(__xludf.DUMMYFUNCTION("""COMPUTED_VALUE"""),14.5)</f>
        <v>14.5</v>
      </c>
      <c r="D863" s="4"/>
      <c r="E863" s="4" t="str">
        <f>IFERROR(__xludf.DUMMYFUNCTION("""COMPUTED_VALUE"""),"Sin precio neto")</f>
        <v>Sin precio neto</v>
      </c>
    </row>
    <row r="864">
      <c r="A864" s="4" t="str">
        <f>IFERROR(__xludf.DUMMYFUNCTION("""COMPUTED_VALUE"""),"733")</f>
        <v>733</v>
      </c>
      <c r="B864" s="4" t="str">
        <f>IFERROR(__xludf.DUMMYFUNCTION("""COMPUTED_VALUE"""),"Pinza Roja + 500 Ah")</f>
        <v>Pinza Roja + 500 Ah</v>
      </c>
      <c r="C864" s="4">
        <f>IFERROR(__xludf.DUMMYFUNCTION("""COMPUTED_VALUE"""),14.5)</f>
        <v>14.5</v>
      </c>
      <c r="D864" s="4"/>
      <c r="E864" s="4" t="str">
        <f>IFERROR(__xludf.DUMMYFUNCTION("""COMPUTED_VALUE"""),"Sin precio neto")</f>
        <v>Sin precio neto</v>
      </c>
    </row>
    <row r="865">
      <c r="A865" s="4" t="str">
        <f>IFERROR(__xludf.DUMMYFUNCTION("""COMPUTED_VALUE"""),"750")</f>
        <v>750</v>
      </c>
      <c r="B865" s="4" t="str">
        <f>IFERROR(__xludf.DUMMYFUNCTION("""COMPUTED_VALUE"""),"Señal plástica 60 cm reflectante triangular para conos")</f>
        <v>Señal plástica 60 cm reflectante triangular para conos</v>
      </c>
      <c r="C865" s="4">
        <f>IFERROR(__xludf.DUMMYFUNCTION("""COMPUTED_VALUE"""),14.95)</f>
        <v>14.95</v>
      </c>
      <c r="D865" s="4"/>
      <c r="E865" s="4" t="str">
        <f>IFERROR(__xludf.DUMMYFUNCTION("""COMPUTED_VALUE"""),"Sin precio neto")</f>
        <v>Sin precio neto</v>
      </c>
    </row>
    <row r="866">
      <c r="A866" s="4" t="str">
        <f>IFERROR(__xludf.DUMMYFUNCTION("""COMPUTED_VALUE"""),"751")</f>
        <v>751</v>
      </c>
      <c r="B866" s="4" t="str">
        <f>IFERROR(__xludf.DUMMYFUNCTION("""COMPUTED_VALUE"""),"Señal plástica 60x30 cm reflectante rectangular para conos")</f>
        <v>Señal plástica 60x30 cm reflectante rectangular para conos</v>
      </c>
      <c r="C866" s="4">
        <f>IFERROR(__xludf.DUMMYFUNCTION("""COMPUTED_VALUE"""),14.95)</f>
        <v>14.95</v>
      </c>
      <c r="D866" s="4"/>
      <c r="E866" s="4" t="str">
        <f>IFERROR(__xludf.DUMMYFUNCTION("""COMPUTED_VALUE"""),"Sin precio neto")</f>
        <v>Sin precio neto</v>
      </c>
    </row>
    <row r="867">
      <c r="A867" s="4" t="str">
        <f>IFERROR(__xludf.DUMMYFUNCTION("""COMPUTED_VALUE"""),"752")</f>
        <v>752</v>
      </c>
      <c r="B867" s="4" t="str">
        <f>IFERROR(__xludf.DUMMYFUNCTION("""COMPUTED_VALUE"""),"Señal plástica 60 cm reflectante circular para conos")</f>
        <v>Señal plástica 60 cm reflectante circular para conos</v>
      </c>
      <c r="C867" s="4">
        <f>IFERROR(__xludf.DUMMYFUNCTION("""COMPUTED_VALUE"""),14.95)</f>
        <v>14.95</v>
      </c>
      <c r="D867" s="4"/>
      <c r="E867" s="4" t="str">
        <f>IFERROR(__xludf.DUMMYFUNCTION("""COMPUTED_VALUE"""),"Sin precio neto")</f>
        <v>Sin precio neto</v>
      </c>
    </row>
    <row r="868">
      <c r="A868" s="4" t="str">
        <f>IFERROR(__xludf.DUMMYFUNCTION("""COMPUTED_VALUE"""),"753")</f>
        <v>753</v>
      </c>
      <c r="B868" s="4" t="str">
        <f>IFERROR(__xludf.DUMMYFUNCTION("""COMPUTED_VALUE"""),"Señal personalizada con soporte pared 40x30 cm")</f>
        <v>Señal personalizada con soporte pared 40x30 cm</v>
      </c>
      <c r="C868" s="4">
        <f>IFERROR(__xludf.DUMMYFUNCTION("""COMPUTED_VALUE"""),19.0)</f>
        <v>19</v>
      </c>
      <c r="D868" s="4"/>
      <c r="E868" s="4" t="str">
        <f>IFERROR(__xludf.DUMMYFUNCTION("""COMPUTED_VALUE"""),"Sin precio neto")</f>
        <v>Sin precio neto</v>
      </c>
    </row>
    <row r="869">
      <c r="A869" s="4" t="str">
        <f>IFERROR(__xludf.DUMMYFUNCTION("""COMPUTED_VALUE"""),"754")</f>
        <v>754</v>
      </c>
      <c r="B869" s="4" t="str">
        <f>IFERROR(__xludf.DUMMYFUNCTION("""COMPUTED_VALUE"""),"Señal personalizada c/soporte suelo 40x60 cm 3 caras")</f>
        <v>Señal personalizada c/soporte suelo 40x60 cm 3 caras</v>
      </c>
      <c r="C869" s="4">
        <f>IFERROR(__xludf.DUMMYFUNCTION("""COMPUTED_VALUE"""),96.0)</f>
        <v>96</v>
      </c>
      <c r="D869" s="4"/>
      <c r="E869" s="4" t="str">
        <f>IFERROR(__xludf.DUMMYFUNCTION("""COMPUTED_VALUE"""),"Sin precio neto")</f>
        <v>Sin precio neto</v>
      </c>
    </row>
    <row r="870">
      <c r="A870" s="4" t="str">
        <f>IFERROR(__xludf.DUMMYFUNCTION("""COMPUTED_VALUE"""),"765")</f>
        <v>765</v>
      </c>
      <c r="B870" s="4" t="str">
        <f>IFERROR(__xludf.DUMMYFUNCTION("""COMPUTED_VALUE"""),"Aparca Patinetes galvanizado 10p 1 cara")</f>
        <v>Aparca Patinetes galvanizado 10p 1 cara</v>
      </c>
      <c r="C870" s="4">
        <f>IFERROR(__xludf.DUMMYFUNCTION("""COMPUTED_VALUE"""),137.6)</f>
        <v>137.6</v>
      </c>
      <c r="D870" s="4"/>
      <c r="E870" s="4" t="str">
        <f>IFERROR(__xludf.DUMMYFUNCTION("""COMPUTED_VALUE"""),"Sin precio neto")</f>
        <v>Sin precio neto</v>
      </c>
    </row>
    <row r="871">
      <c r="A871" s="4" t="str">
        <f>IFERROR(__xludf.DUMMYFUNCTION("""COMPUTED_VALUE"""),"766")</f>
        <v>766</v>
      </c>
      <c r="B871" s="4" t="str">
        <f>IFERROR(__xludf.DUMMYFUNCTION("""COMPUTED_VALUE"""),"Aparca Patinetes galvanizado 20p 2 caras")</f>
        <v>Aparca Patinetes galvanizado 20p 2 caras</v>
      </c>
      <c r="C871" s="4">
        <f>IFERROR(__xludf.DUMMYFUNCTION("""COMPUTED_VALUE"""),210.25)</f>
        <v>210.25</v>
      </c>
      <c r="D871" s="4"/>
      <c r="E871" s="4" t="str">
        <f>IFERROR(__xludf.DUMMYFUNCTION("""COMPUTED_VALUE"""),"Sin precio neto")</f>
        <v>Sin precio neto</v>
      </c>
    </row>
    <row r="872">
      <c r="A872" s="4" t="str">
        <f>IFERROR(__xludf.DUMMYFUNCTION("""COMPUTED_VALUE"""),"768")</f>
        <v>768</v>
      </c>
      <c r="B872" s="4" t="str">
        <f>IFERROR(__xludf.DUMMYFUNCTION("""COMPUTED_VALUE"""),"Aparca Bicis atornillable pared 1p")</f>
        <v>Aparca Bicis atornillable pared 1p</v>
      </c>
      <c r="C872" s="4">
        <f>IFERROR(__xludf.DUMMYFUNCTION("""COMPUTED_VALUE"""),26.0)</f>
        <v>26</v>
      </c>
      <c r="D872" s="4"/>
      <c r="E872" s="4" t="str">
        <f>IFERROR(__xludf.DUMMYFUNCTION("""COMPUTED_VALUE"""),"Sin precio neto")</f>
        <v>Sin precio neto</v>
      </c>
    </row>
    <row r="873">
      <c r="A873" s="4" t="str">
        <f>IFERROR(__xludf.DUMMYFUNCTION("""COMPUTED_VALUE"""),"769")</f>
        <v>769</v>
      </c>
      <c r="B873" s="4" t="str">
        <f>IFERROR(__xludf.DUMMYFUNCTION("""COMPUTED_VALUE"""),"Aparca Bicis atornillable pared 2p")</f>
        <v>Aparca Bicis atornillable pared 2p</v>
      </c>
      <c r="C873" s="4">
        <f>IFERROR(__xludf.DUMMYFUNCTION("""COMPUTED_VALUE"""),44.0)</f>
        <v>44</v>
      </c>
      <c r="D873" s="4"/>
      <c r="E873" s="4" t="str">
        <f>IFERROR(__xludf.DUMMYFUNCTION("""COMPUTED_VALUE"""),"Sin precio neto")</f>
        <v>Sin precio neto</v>
      </c>
    </row>
    <row r="874">
      <c r="A874" s="4" t="str">
        <f>IFERROR(__xludf.DUMMYFUNCTION("""COMPUTED_VALUE"""),"770")</f>
        <v>770</v>
      </c>
      <c r="B874" s="4" t="str">
        <f>IFERROR(__xludf.DUMMYFUNCTION("""COMPUTED_VALUE"""),"Aparca Bicis atornillable pared 5p")</f>
        <v>Aparca Bicis atornillable pared 5p</v>
      </c>
      <c r="C874" s="4">
        <f>IFERROR(__xludf.DUMMYFUNCTION("""COMPUTED_VALUE"""),92.0)</f>
        <v>92</v>
      </c>
      <c r="D874" s="4"/>
      <c r="E874" s="4" t="str">
        <f>IFERROR(__xludf.DUMMYFUNCTION("""COMPUTED_VALUE"""),"Sin precio neto")</f>
        <v>Sin precio neto</v>
      </c>
    </row>
    <row r="875">
      <c r="A875" s="4" t="str">
        <f>IFERROR(__xludf.DUMMYFUNCTION("""COMPUTED_VALUE"""),"771")</f>
        <v>771</v>
      </c>
      <c r="B875" s="4" t="str">
        <f>IFERROR(__xludf.DUMMYFUNCTION("""COMPUTED_VALUE"""),"Pie soporte atornillable 80x40 mm")</f>
        <v>Pie soporte atornillable 80x40 mm</v>
      </c>
      <c r="C875" s="4">
        <f>IFERROR(__xludf.DUMMYFUNCTION("""COMPUTED_VALUE"""),29.0)</f>
        <v>29</v>
      </c>
      <c r="D875" s="4"/>
      <c r="E875" s="4" t="str">
        <f>IFERROR(__xludf.DUMMYFUNCTION("""COMPUTED_VALUE"""),"Sin precio neto")</f>
        <v>Sin precio neto</v>
      </c>
    </row>
    <row r="876">
      <c r="A876" s="4" t="str">
        <f>IFERROR(__xludf.DUMMYFUNCTION("""COMPUTED_VALUE"""),"772")</f>
        <v>772</v>
      </c>
      <c r="B876" s="4" t="str">
        <f>IFERROR(__xludf.DUMMYFUNCTION("""COMPUTED_VALUE"""),"Pie soporte atornillable cuadrado 40 mm")</f>
        <v>Pie soporte atornillable cuadrado 40 mm</v>
      </c>
      <c r="C876" s="4">
        <f>IFERROR(__xludf.DUMMYFUNCTION("""COMPUTED_VALUE"""),29.0)</f>
        <v>29</v>
      </c>
      <c r="D876" s="4"/>
      <c r="E876" s="4" t="str">
        <f>IFERROR(__xludf.DUMMYFUNCTION("""COMPUTED_VALUE"""),"Sin precio neto")</f>
        <v>Sin precio neto</v>
      </c>
    </row>
    <row r="877">
      <c r="A877" s="4" t="str">
        <f>IFERROR(__xludf.DUMMYFUNCTION("""COMPUTED_VALUE"""),"773")</f>
        <v>773</v>
      </c>
      <c r="B877" s="4" t="str">
        <f>IFERROR(__xludf.DUMMYFUNCTION("""COMPUTED_VALUE"""),"Pie soporte atornillable 50 mm circular")</f>
        <v>Pie soporte atornillable 50 mm circular</v>
      </c>
      <c r="C877" s="4">
        <f>IFERROR(__xludf.DUMMYFUNCTION("""COMPUTED_VALUE"""),29.0)</f>
        <v>29</v>
      </c>
      <c r="D877" s="4"/>
      <c r="E877" s="4" t="str">
        <f>IFERROR(__xludf.DUMMYFUNCTION("""COMPUTED_VALUE"""),"Sin precio neto")</f>
        <v>Sin precio neto</v>
      </c>
    </row>
    <row r="878">
      <c r="A878" s="4" t="str">
        <f>IFERROR(__xludf.DUMMYFUNCTION("""COMPUTED_VALUE"""),"774")</f>
        <v>774</v>
      </c>
      <c r="B878" s="4" t="str">
        <f>IFERROR(__xludf.DUMMYFUNCTION("""COMPUTED_VALUE"""),"Pie soporte atornillable 60 mm circular")</f>
        <v>Pie soporte atornillable 60 mm circular</v>
      </c>
      <c r="C878" s="4">
        <f>IFERROR(__xludf.DUMMYFUNCTION("""COMPUTED_VALUE"""),30.0)</f>
        <v>30</v>
      </c>
      <c r="D878" s="4"/>
      <c r="E878" s="4" t="str">
        <f>IFERROR(__xludf.DUMMYFUNCTION("""COMPUTED_VALUE"""),"Sin precio neto")</f>
        <v>Sin precio neto</v>
      </c>
    </row>
    <row r="879">
      <c r="A879" s="4" t="str">
        <f>IFERROR(__xludf.DUMMYFUNCTION("""COMPUTED_VALUE"""),"775")</f>
        <v>775</v>
      </c>
      <c r="B879" s="4" t="str">
        <f>IFERROR(__xludf.DUMMYFUNCTION("""COMPUTED_VALUE"""),"Pie soporte atornillable 70 mm circular")</f>
        <v>Pie soporte atornillable 70 mm circular</v>
      </c>
      <c r="C879" s="4">
        <f>IFERROR(__xludf.DUMMYFUNCTION("""COMPUTED_VALUE"""),31.0)</f>
        <v>31</v>
      </c>
      <c r="D879" s="4"/>
      <c r="E879" s="4" t="str">
        <f>IFERROR(__xludf.DUMMYFUNCTION("""COMPUTED_VALUE"""),"Sin precio neto")</f>
        <v>Sin precio neto</v>
      </c>
    </row>
    <row r="880">
      <c r="A880" s="4" t="str">
        <f>IFERROR(__xludf.DUMMYFUNCTION("""COMPUTED_VALUE"""),"776")</f>
        <v>776</v>
      </c>
      <c r="B880" s="4" t="str">
        <f>IFERROR(__xludf.DUMMYFUNCTION("""COMPUTED_VALUE"""),"Poste 40x40x1.5 mm galva 1.5 m")</f>
        <v>Poste 40x40x1.5 mm galva 1.5 m</v>
      </c>
      <c r="C880" s="4">
        <f>IFERROR(__xludf.DUMMYFUNCTION("""COMPUTED_VALUE"""),11.0)</f>
        <v>11</v>
      </c>
      <c r="D880" s="4"/>
      <c r="E880" s="4" t="str">
        <f>IFERROR(__xludf.DUMMYFUNCTION("""COMPUTED_VALUE"""),"Sin precio neto")</f>
        <v>Sin precio neto</v>
      </c>
    </row>
    <row r="881">
      <c r="A881" s="4" t="str">
        <f>IFERROR(__xludf.DUMMYFUNCTION("""COMPUTED_VALUE"""),"777")</f>
        <v>777</v>
      </c>
      <c r="B881" s="4" t="str">
        <f>IFERROR(__xludf.DUMMYFUNCTION("""COMPUTED_VALUE"""),"Cruceta para poste 40x40 mm")</f>
        <v>Cruceta para poste 40x40 mm</v>
      </c>
      <c r="C881" s="4">
        <f>IFERROR(__xludf.DUMMYFUNCTION("""COMPUTED_VALUE"""),10.8)</f>
        <v>10.8</v>
      </c>
      <c r="D881" s="4"/>
      <c r="E881" s="4" t="str">
        <f>IFERROR(__xludf.DUMMYFUNCTION("""COMPUTED_VALUE"""),"Sin precio neto")</f>
        <v>Sin precio neto</v>
      </c>
    </row>
    <row r="882">
      <c r="A882" s="4" t="str">
        <f>IFERROR(__xludf.DUMMYFUNCTION("""COMPUTED_VALUE"""),"778")</f>
        <v>778</v>
      </c>
      <c r="B882" s="4" t="str">
        <f>IFERROR(__xludf.DUMMYFUNCTION("""COMPUTED_VALUE"""),"Aparca Patinetes gavanizado 10p 2 caras")</f>
        <v>Aparca Patinetes gavanizado 10p 2 caras</v>
      </c>
      <c r="C882" s="4">
        <f>IFERROR(__xludf.DUMMYFUNCTION("""COMPUTED_VALUE"""),192.5)</f>
        <v>192.5</v>
      </c>
      <c r="D882" s="4"/>
      <c r="E882" s="4" t="str">
        <f>IFERROR(__xludf.DUMMYFUNCTION("""COMPUTED_VALUE"""),"Sin precio neto")</f>
        <v>Sin precio neto</v>
      </c>
    </row>
    <row r="883">
      <c r="A883" s="4" t="str">
        <f>IFERROR(__xludf.DUMMYFUNCTION("""COMPUTED_VALUE"""),"779")</f>
        <v>779</v>
      </c>
      <c r="B883" s="4" t="str">
        <f>IFERROR(__xludf.DUMMYFUNCTION("""COMPUTED_VALUE"""),"Aparca Patinetes galvanizado 5p 1 cara")</f>
        <v>Aparca Patinetes galvanizado 5p 1 cara</v>
      </c>
      <c r="C883" s="4">
        <f>IFERROR(__xludf.DUMMYFUNCTION("""COMPUTED_VALUE"""),126.4)</f>
        <v>126.4</v>
      </c>
      <c r="D883" s="4"/>
      <c r="E883" s="4" t="str">
        <f>IFERROR(__xludf.DUMMYFUNCTION("""COMPUTED_VALUE"""),"Sin precio neto")</f>
        <v>Sin precio neto</v>
      </c>
    </row>
    <row r="884">
      <c r="A884" s="4" t="str">
        <f>IFERROR(__xludf.DUMMYFUNCTION("""COMPUTED_VALUE"""),"780")</f>
        <v>780</v>
      </c>
      <c r="B884" s="4" t="str">
        <f>IFERROR(__xludf.DUMMYFUNCTION("""COMPUTED_VALUE"""),"Tope estantería metálica mod. A")</f>
        <v>Tope estantería metálica mod. A</v>
      </c>
      <c r="C884" s="4">
        <f>IFERROR(__xludf.DUMMYFUNCTION("""COMPUTED_VALUE"""),18.0)</f>
        <v>18</v>
      </c>
      <c r="D884" s="4"/>
      <c r="E884" s="4" t="str">
        <f>IFERROR(__xludf.DUMMYFUNCTION("""COMPUTED_VALUE"""),"Sin precio neto")</f>
        <v>Sin precio neto</v>
      </c>
    </row>
    <row r="885">
      <c r="A885" s="4" t="str">
        <f>IFERROR(__xludf.DUMMYFUNCTION("""COMPUTED_VALUE"""),"781")</f>
        <v>781</v>
      </c>
      <c r="B885" s="4" t="str">
        <f>IFERROR(__xludf.DUMMYFUNCTION("""COMPUTED_VALUE"""),"Tope estantería metálica mod. B")</f>
        <v>Tope estantería metálica mod. B</v>
      </c>
      <c r="C885" s="4">
        <f>IFERROR(__xludf.DUMMYFUNCTION("""COMPUTED_VALUE"""),22.5)</f>
        <v>22.5</v>
      </c>
      <c r="D885" s="4"/>
      <c r="E885" s="4" t="str">
        <f>IFERROR(__xludf.DUMMYFUNCTION("""COMPUTED_VALUE"""),"Sin precio neto")</f>
        <v>Sin precio neto</v>
      </c>
    </row>
    <row r="886">
      <c r="A886" s="4" t="str">
        <f>IFERROR(__xludf.DUMMYFUNCTION("""COMPUTED_VALUE"""),"782")</f>
        <v>782</v>
      </c>
      <c r="B886" s="4" t="str">
        <f>IFERROR(__xludf.DUMMYFUNCTION("""COMPUTED_VALUE"""),"Film manual transparente Rec. Eco 500/1,35/23MY (600-150)")</f>
        <v>Film manual transparente Rec. Eco 500/1,35/23MY (600-150)</v>
      </c>
      <c r="C886" s="4">
        <f>IFERROR(__xludf.DUMMYFUNCTION("""COMPUTED_VALUE"""),3.4)</f>
        <v>3.4</v>
      </c>
      <c r="D886" s="4"/>
      <c r="E886" s="4" t="str">
        <f>IFERROR(__xludf.DUMMYFUNCTION("""COMPUTED_VALUE"""),"Sin precio neto")</f>
        <v>Sin precio neto</v>
      </c>
    </row>
    <row r="887">
      <c r="A887" s="4" t="str">
        <f>IFERROR(__xludf.DUMMYFUNCTION("""COMPUTED_VALUE"""),"783")</f>
        <v>783</v>
      </c>
      <c r="B887" s="4" t="str">
        <f>IFERROR(__xludf.DUMMYFUNCTION("""COMPUTED_VALUE"""),"Film manual negro Opaco Rec. Eco 500/1,35/23MY (600-150)")</f>
        <v>Film manual negro Opaco Rec. Eco 500/1,35/23MY (600-150)</v>
      </c>
      <c r="C887" s="4">
        <f>IFERROR(__xludf.DUMMYFUNCTION("""COMPUTED_VALUE"""),3.9)</f>
        <v>3.9</v>
      </c>
      <c r="D887" s="4"/>
      <c r="E887" s="4" t="str">
        <f>IFERROR(__xludf.DUMMYFUNCTION("""COMPUTED_VALUE"""),"Sin precio neto")</f>
        <v>Sin precio neto</v>
      </c>
    </row>
    <row r="888">
      <c r="A888" s="4" t="str">
        <f>IFERROR(__xludf.DUMMYFUNCTION("""COMPUTED_VALUE"""),"784")</f>
        <v>784</v>
      </c>
      <c r="B888" s="4" t="str">
        <f>IFERROR(__xludf.DUMMYFUNCTION("""COMPUTED_VALUE"""),"Cinta adhesiva 125m PPAC Transp 48 mm")</f>
        <v>Cinta adhesiva 125m PPAC Transp 48 mm</v>
      </c>
      <c r="C888" s="4">
        <f>IFERROR(__xludf.DUMMYFUNCTION("""COMPUTED_VALUE"""),1.2)</f>
        <v>1.2</v>
      </c>
      <c r="D888" s="4"/>
      <c r="E888" s="4" t="str">
        <f>IFERROR(__xludf.DUMMYFUNCTION("""COMPUTED_VALUE"""),"Sin precio neto")</f>
        <v>Sin precio neto</v>
      </c>
    </row>
    <row r="889">
      <c r="A889" s="4" t="str">
        <f>IFERROR(__xludf.DUMMYFUNCTION("""COMPUTED_VALUE"""),"800")</f>
        <v>800</v>
      </c>
      <c r="B889" s="4" t="str">
        <f>IFERROR(__xludf.DUMMYFUNCTION("""COMPUTED_VALUE"""),"Adhesivo 100 mm Materias y objetos explosivos A")</f>
        <v>Adhesivo 100 mm Materias y objetos explosivos A</v>
      </c>
      <c r="C889" s="4">
        <f>IFERROR(__xludf.DUMMYFUNCTION("""COMPUTED_VALUE"""),0.6)</f>
        <v>0.6</v>
      </c>
      <c r="D889" s="4"/>
      <c r="E889" s="4" t="str">
        <f>IFERROR(__xludf.DUMMYFUNCTION("""COMPUTED_VALUE"""),"Sin precio neto")</f>
        <v>Sin precio neto</v>
      </c>
    </row>
    <row r="890">
      <c r="A890" s="4" t="str">
        <f>IFERROR(__xludf.DUMMYFUNCTION("""COMPUTED_VALUE"""),"0800A")</f>
        <v>0800A</v>
      </c>
      <c r="B890" s="4" t="str">
        <f>IFERROR(__xludf.DUMMYFUNCTION("""COMPUTED_VALUE"""),"Adhesivo 300 mm Materias y objetos explosivos A")</f>
        <v>Adhesivo 300 mm Materias y objetos explosivos A</v>
      </c>
      <c r="C890" s="4">
        <f>IFERROR(__xludf.DUMMYFUNCTION("""COMPUTED_VALUE"""),1.6)</f>
        <v>1.6</v>
      </c>
      <c r="D890" s="4"/>
      <c r="E890" s="4" t="str">
        <f>IFERROR(__xludf.DUMMYFUNCTION("""COMPUTED_VALUE"""),"Sin precio neto")</f>
        <v>Sin precio neto</v>
      </c>
    </row>
    <row r="891">
      <c r="A891" s="4" t="str">
        <f>IFERROR(__xludf.DUMMYFUNCTION("""COMPUTED_VALUE"""),"801")</f>
        <v>801</v>
      </c>
      <c r="B891" s="4" t="str">
        <f>IFERROR(__xludf.DUMMYFUNCTION("""COMPUTED_VALUE"""),"Adhesivo 100 mm Materias y objetos explosivos 1.4")</f>
        <v>Adhesivo 100 mm Materias y objetos explosivos 1.4</v>
      </c>
      <c r="C891" s="4">
        <f>IFERROR(__xludf.DUMMYFUNCTION("""COMPUTED_VALUE"""),0.6)</f>
        <v>0.6</v>
      </c>
      <c r="D891" s="4"/>
      <c r="E891" s="4" t="str">
        <f>IFERROR(__xludf.DUMMYFUNCTION("""COMPUTED_VALUE"""),"Sin precio neto")</f>
        <v>Sin precio neto</v>
      </c>
    </row>
    <row r="892">
      <c r="A892" s="4" t="str">
        <f>IFERROR(__xludf.DUMMYFUNCTION("""COMPUTED_VALUE"""),"0801A")</f>
        <v>0801A</v>
      </c>
      <c r="B892" s="4" t="str">
        <f>IFERROR(__xludf.DUMMYFUNCTION("""COMPUTED_VALUE"""),"Adhesivo 300 mm Materias y objetos explosivos 1.4")</f>
        <v>Adhesivo 300 mm Materias y objetos explosivos 1.4</v>
      </c>
      <c r="C892" s="4">
        <f>IFERROR(__xludf.DUMMYFUNCTION("""COMPUTED_VALUE"""),1.6)</f>
        <v>1.6</v>
      </c>
      <c r="D892" s="4"/>
      <c r="E892" s="4" t="str">
        <f>IFERROR(__xludf.DUMMYFUNCTION("""COMPUTED_VALUE"""),"Sin precio neto")</f>
        <v>Sin precio neto</v>
      </c>
    </row>
    <row r="893">
      <c r="A893" s="4" t="str">
        <f>IFERROR(__xludf.DUMMYFUNCTION("""COMPUTED_VALUE"""),"802")</f>
        <v>802</v>
      </c>
      <c r="B893" s="4" t="str">
        <f>IFERROR(__xludf.DUMMYFUNCTION("""COMPUTED_VALUE"""),"Adhesivo 100 mm Materias y objetos explosivos 1.5")</f>
        <v>Adhesivo 100 mm Materias y objetos explosivos 1.5</v>
      </c>
      <c r="C893" s="4">
        <f>IFERROR(__xludf.DUMMYFUNCTION("""COMPUTED_VALUE"""),0.6)</f>
        <v>0.6</v>
      </c>
      <c r="D893" s="4"/>
      <c r="E893" s="4" t="str">
        <f>IFERROR(__xludf.DUMMYFUNCTION("""COMPUTED_VALUE"""),"Sin precio neto")</f>
        <v>Sin precio neto</v>
      </c>
    </row>
    <row r="894">
      <c r="A894" s="4" t="str">
        <f>IFERROR(__xludf.DUMMYFUNCTION("""COMPUTED_VALUE"""),"0802A")</f>
        <v>0802A</v>
      </c>
      <c r="B894" s="4" t="str">
        <f>IFERROR(__xludf.DUMMYFUNCTION("""COMPUTED_VALUE"""),"Adhesivo 300 mm Materias y objetos explosivos 1.5")</f>
        <v>Adhesivo 300 mm Materias y objetos explosivos 1.5</v>
      </c>
      <c r="C894" s="4">
        <f>IFERROR(__xludf.DUMMYFUNCTION("""COMPUTED_VALUE"""),1.6)</f>
        <v>1.6</v>
      </c>
      <c r="D894" s="4"/>
      <c r="E894" s="4" t="str">
        <f>IFERROR(__xludf.DUMMYFUNCTION("""COMPUTED_VALUE"""),"Sin precio neto")</f>
        <v>Sin precio neto</v>
      </c>
    </row>
    <row r="895">
      <c r="A895" s="4" t="str">
        <f>IFERROR(__xludf.DUMMYFUNCTION("""COMPUTED_VALUE"""),"803")</f>
        <v>803</v>
      </c>
      <c r="B895" s="4" t="str">
        <f>IFERROR(__xludf.DUMMYFUNCTION("""COMPUTED_VALUE"""),"Adhesivo 100 mm Materias y objetos explosivos 1.6")</f>
        <v>Adhesivo 100 mm Materias y objetos explosivos 1.6</v>
      </c>
      <c r="C895" s="4">
        <f>IFERROR(__xludf.DUMMYFUNCTION("""COMPUTED_VALUE"""),0.6)</f>
        <v>0.6</v>
      </c>
      <c r="D895" s="4"/>
      <c r="E895" s="4" t="str">
        <f>IFERROR(__xludf.DUMMYFUNCTION("""COMPUTED_VALUE"""),"Sin precio neto")</f>
        <v>Sin precio neto</v>
      </c>
    </row>
    <row r="896">
      <c r="A896" s="4" t="str">
        <f>IFERROR(__xludf.DUMMYFUNCTION("""COMPUTED_VALUE"""),"0803A")</f>
        <v>0803A</v>
      </c>
      <c r="B896" s="4" t="str">
        <f>IFERROR(__xludf.DUMMYFUNCTION("""COMPUTED_VALUE"""),"Adhesivo 300 mm Materias y objetos explosivos 1.6")</f>
        <v>Adhesivo 300 mm Materias y objetos explosivos 1.6</v>
      </c>
      <c r="C896" s="4">
        <f>IFERROR(__xludf.DUMMYFUNCTION("""COMPUTED_VALUE"""),1.6)</f>
        <v>1.6</v>
      </c>
      <c r="D896" s="4"/>
      <c r="E896" s="4" t="str">
        <f>IFERROR(__xludf.DUMMYFUNCTION("""COMPUTED_VALUE"""),"Sin precio neto")</f>
        <v>Sin precio neto</v>
      </c>
    </row>
    <row r="897">
      <c r="A897" s="4" t="str">
        <f>IFERROR(__xludf.DUMMYFUNCTION("""COMPUTED_VALUE"""),"805")</f>
        <v>805</v>
      </c>
      <c r="B897" s="4" t="str">
        <f>IFERROR(__xludf.DUMMYFUNCTION("""COMPUTED_VALUE"""),"Adhesivo 100 mm Gases Tóxicos")</f>
        <v>Adhesivo 100 mm Gases Tóxicos</v>
      </c>
      <c r="C897" s="4">
        <f>IFERROR(__xludf.DUMMYFUNCTION("""COMPUTED_VALUE"""),0.6)</f>
        <v>0.6</v>
      </c>
      <c r="D897" s="4"/>
      <c r="E897" s="4" t="str">
        <f>IFERROR(__xludf.DUMMYFUNCTION("""COMPUTED_VALUE"""),"Sin precio neto")</f>
        <v>Sin precio neto</v>
      </c>
    </row>
    <row r="898">
      <c r="A898" s="4" t="str">
        <f>IFERROR(__xludf.DUMMYFUNCTION("""COMPUTED_VALUE"""),"0805A")</f>
        <v>0805A</v>
      </c>
      <c r="B898" s="4" t="str">
        <f>IFERROR(__xludf.DUMMYFUNCTION("""COMPUTED_VALUE"""),"Adhesivo 300 mm Gases Tóxicos")</f>
        <v>Adhesivo 300 mm Gases Tóxicos</v>
      </c>
      <c r="C898" s="4">
        <f>IFERROR(__xludf.DUMMYFUNCTION("""COMPUTED_VALUE"""),1.6)</f>
        <v>1.6</v>
      </c>
      <c r="D898" s="4"/>
      <c r="E898" s="4" t="str">
        <f>IFERROR(__xludf.DUMMYFUNCTION("""COMPUTED_VALUE"""),"Sin precio neto")</f>
        <v>Sin precio neto</v>
      </c>
    </row>
    <row r="899">
      <c r="A899" s="4" t="str">
        <f>IFERROR(__xludf.DUMMYFUNCTION("""COMPUTED_VALUE"""),"806")</f>
        <v>806</v>
      </c>
      <c r="B899" s="4" t="str">
        <f>IFERROR(__xludf.DUMMYFUNCTION("""COMPUTED_VALUE"""),"Adhesivo 100 mm gases inflamables A")</f>
        <v>Adhesivo 100 mm gases inflamables A</v>
      </c>
      <c r="C899" s="4">
        <f>IFERROR(__xludf.DUMMYFUNCTION("""COMPUTED_VALUE"""),0.6)</f>
        <v>0.6</v>
      </c>
      <c r="D899" s="4"/>
      <c r="E899" s="4" t="str">
        <f>IFERROR(__xludf.DUMMYFUNCTION("""COMPUTED_VALUE"""),"Sin precio neto")</f>
        <v>Sin precio neto</v>
      </c>
    </row>
    <row r="900">
      <c r="A900" s="4" t="str">
        <f>IFERROR(__xludf.DUMMYFUNCTION("""COMPUTED_VALUE"""),"0806A")</f>
        <v>0806A</v>
      </c>
      <c r="B900" s="4" t="str">
        <f>IFERROR(__xludf.DUMMYFUNCTION("""COMPUTED_VALUE"""),"Adhesivo 300 mm gases inflamables A")</f>
        <v>Adhesivo 300 mm gases inflamables A</v>
      </c>
      <c r="C900" s="4">
        <f>IFERROR(__xludf.DUMMYFUNCTION("""COMPUTED_VALUE"""),1.6)</f>
        <v>1.6</v>
      </c>
      <c r="D900" s="4"/>
      <c r="E900" s="4" t="str">
        <f>IFERROR(__xludf.DUMMYFUNCTION("""COMPUTED_VALUE"""),"Sin precio neto")</f>
        <v>Sin precio neto</v>
      </c>
    </row>
    <row r="901">
      <c r="A901" s="4" t="str">
        <f>IFERROR(__xludf.DUMMYFUNCTION("""COMPUTED_VALUE"""),"807")</f>
        <v>807</v>
      </c>
      <c r="B901" s="4" t="str">
        <f>IFERROR(__xludf.DUMMYFUNCTION("""COMPUTED_VALUE"""),"Adhesivo 100 mm gases inflamables B")</f>
        <v>Adhesivo 100 mm gases inflamables B</v>
      </c>
      <c r="C901" s="4">
        <f>IFERROR(__xludf.DUMMYFUNCTION("""COMPUTED_VALUE"""),0.6)</f>
        <v>0.6</v>
      </c>
      <c r="D901" s="4"/>
      <c r="E901" s="4" t="str">
        <f>IFERROR(__xludf.DUMMYFUNCTION("""COMPUTED_VALUE"""),"Sin precio neto")</f>
        <v>Sin precio neto</v>
      </c>
    </row>
    <row r="902">
      <c r="A902" s="4" t="str">
        <f>IFERROR(__xludf.DUMMYFUNCTION("""COMPUTED_VALUE"""),"0807A")</f>
        <v>0807A</v>
      </c>
      <c r="B902" s="4" t="str">
        <f>IFERROR(__xludf.DUMMYFUNCTION("""COMPUTED_VALUE"""),"Adhesivo 300 mm gases inflamables B")</f>
        <v>Adhesivo 300 mm gases inflamables B</v>
      </c>
      <c r="C902" s="4">
        <f>IFERROR(__xludf.DUMMYFUNCTION("""COMPUTED_VALUE"""),1.6)</f>
        <v>1.6</v>
      </c>
      <c r="D902" s="4"/>
      <c r="E902" s="4" t="str">
        <f>IFERROR(__xludf.DUMMYFUNCTION("""COMPUTED_VALUE"""),"Sin precio neto")</f>
        <v>Sin precio neto</v>
      </c>
    </row>
    <row r="903">
      <c r="A903" s="4" t="str">
        <f>IFERROR(__xludf.DUMMYFUNCTION("""COMPUTED_VALUE"""),"808")</f>
        <v>808</v>
      </c>
      <c r="B903" s="4" t="str">
        <f>IFERROR(__xludf.DUMMYFUNCTION("""COMPUTED_VALUE"""),"Adhesivo 100 mm gases no inflamables A")</f>
        <v>Adhesivo 100 mm gases no inflamables A</v>
      </c>
      <c r="C903" s="4">
        <f>IFERROR(__xludf.DUMMYFUNCTION("""COMPUTED_VALUE"""),0.6)</f>
        <v>0.6</v>
      </c>
      <c r="D903" s="4"/>
      <c r="E903" s="4" t="str">
        <f>IFERROR(__xludf.DUMMYFUNCTION("""COMPUTED_VALUE"""),"Sin precio neto")</f>
        <v>Sin precio neto</v>
      </c>
    </row>
    <row r="904">
      <c r="A904" s="4" t="str">
        <f>IFERROR(__xludf.DUMMYFUNCTION("""COMPUTED_VALUE"""),"0808A")</f>
        <v>0808A</v>
      </c>
      <c r="B904" s="4" t="str">
        <f>IFERROR(__xludf.DUMMYFUNCTION("""COMPUTED_VALUE"""),"Adhesivo 300 mm gases no inflamables A")</f>
        <v>Adhesivo 300 mm gases no inflamables A</v>
      </c>
      <c r="C904" s="4">
        <f>IFERROR(__xludf.DUMMYFUNCTION("""COMPUTED_VALUE"""),1.6)</f>
        <v>1.6</v>
      </c>
      <c r="D904" s="4"/>
      <c r="E904" s="4" t="str">
        <f>IFERROR(__xludf.DUMMYFUNCTION("""COMPUTED_VALUE"""),"Sin precio neto")</f>
        <v>Sin precio neto</v>
      </c>
    </row>
    <row r="905">
      <c r="A905" s="4" t="str">
        <f>IFERROR(__xludf.DUMMYFUNCTION("""COMPUTED_VALUE"""),"809")</f>
        <v>809</v>
      </c>
      <c r="B905" s="4" t="str">
        <f>IFERROR(__xludf.DUMMYFUNCTION("""COMPUTED_VALUE"""),"Adhesivo 100 mm gases no inflamables B")</f>
        <v>Adhesivo 100 mm gases no inflamables B</v>
      </c>
      <c r="C905" s="4">
        <f>IFERROR(__xludf.DUMMYFUNCTION("""COMPUTED_VALUE"""),0.6)</f>
        <v>0.6</v>
      </c>
      <c r="D905" s="4"/>
      <c r="E905" s="4" t="str">
        <f>IFERROR(__xludf.DUMMYFUNCTION("""COMPUTED_VALUE"""),"Sin precio neto")</f>
        <v>Sin precio neto</v>
      </c>
    </row>
    <row r="906">
      <c r="A906" s="4" t="str">
        <f>IFERROR(__xludf.DUMMYFUNCTION("""COMPUTED_VALUE"""),"0809A")</f>
        <v>0809A</v>
      </c>
      <c r="B906" s="4" t="str">
        <f>IFERROR(__xludf.DUMMYFUNCTION("""COMPUTED_VALUE"""),"Adhesivo 300 mm gases no inflamables B")</f>
        <v>Adhesivo 300 mm gases no inflamables B</v>
      </c>
      <c r="C906" s="4">
        <f>IFERROR(__xludf.DUMMYFUNCTION("""COMPUTED_VALUE"""),1.6)</f>
        <v>1.6</v>
      </c>
      <c r="D906" s="4"/>
      <c r="E906" s="4" t="str">
        <f>IFERROR(__xludf.DUMMYFUNCTION("""COMPUTED_VALUE"""),"Sin precio neto")</f>
        <v>Sin precio neto</v>
      </c>
    </row>
    <row r="907">
      <c r="A907" s="4" t="str">
        <f>IFERROR(__xludf.DUMMYFUNCTION("""COMPUTED_VALUE"""),"810")</f>
        <v>810</v>
      </c>
      <c r="B907" s="4" t="str">
        <f>IFERROR(__xludf.DUMMYFUNCTION("""COMPUTED_VALUE"""),"Lona 100x70 cm multicartel c/ ojales")</f>
        <v>Lona 100x70 cm multicartel c/ ojales</v>
      </c>
      <c r="C907" s="4">
        <f>IFERROR(__xludf.DUMMYFUNCTION("""COMPUTED_VALUE"""),14.7)</f>
        <v>14.7</v>
      </c>
      <c r="D907" s="4"/>
      <c r="E907" s="4" t="str">
        <f>IFERROR(__xludf.DUMMYFUNCTION("""COMPUTED_VALUE"""),"Sin precio neto")</f>
        <v>Sin precio neto</v>
      </c>
    </row>
    <row r="908">
      <c r="A908" s="4" t="str">
        <f>IFERROR(__xludf.DUMMYFUNCTION("""COMPUTED_VALUE"""),"811")</f>
        <v>811</v>
      </c>
      <c r="B908" s="4" t="str">
        <f>IFERROR(__xludf.DUMMYFUNCTION("""COMPUTED_VALUE"""),"Lona 50x70 cm multicartel c/ ojales")</f>
        <v>Lona 50x70 cm multicartel c/ ojales</v>
      </c>
      <c r="C908" s="4">
        <f>IFERROR(__xludf.DUMMYFUNCTION("""COMPUTED_VALUE"""),8.4)</f>
        <v>8.4</v>
      </c>
      <c r="D908" s="4"/>
      <c r="E908" s="4" t="str">
        <f>IFERROR(__xludf.DUMMYFUNCTION("""COMPUTED_VALUE"""),"Sin precio neto")</f>
        <v>Sin precio neto</v>
      </c>
    </row>
    <row r="909">
      <c r="A909" s="4" t="str">
        <f>IFERROR(__xludf.DUMMYFUNCTION("""COMPUTED_VALUE"""),"812")</f>
        <v>812</v>
      </c>
      <c r="B909" s="4" t="str">
        <f>IFERROR(__xludf.DUMMYFUNCTION("""COMPUTED_VALUE"""),"Adhesivo 100 mm líquidos inflamables A")</f>
        <v>Adhesivo 100 mm líquidos inflamables A</v>
      </c>
      <c r="C909" s="4">
        <f>IFERROR(__xludf.DUMMYFUNCTION("""COMPUTED_VALUE"""),0.6)</f>
        <v>0.6</v>
      </c>
      <c r="D909" s="4"/>
      <c r="E909" s="4" t="str">
        <f>IFERROR(__xludf.DUMMYFUNCTION("""COMPUTED_VALUE"""),"Sin precio neto")</f>
        <v>Sin precio neto</v>
      </c>
    </row>
    <row r="910">
      <c r="A910" s="4" t="str">
        <f>IFERROR(__xludf.DUMMYFUNCTION("""COMPUTED_VALUE"""),"0812A")</f>
        <v>0812A</v>
      </c>
      <c r="B910" s="4" t="str">
        <f>IFERROR(__xludf.DUMMYFUNCTION("""COMPUTED_VALUE"""),"Adhesivo 300 mm líquidos inflamables A")</f>
        <v>Adhesivo 300 mm líquidos inflamables A</v>
      </c>
      <c r="C910" s="4">
        <f>IFERROR(__xludf.DUMMYFUNCTION("""COMPUTED_VALUE"""),1.6)</f>
        <v>1.6</v>
      </c>
      <c r="D910" s="4"/>
      <c r="E910" s="4" t="str">
        <f>IFERROR(__xludf.DUMMYFUNCTION("""COMPUTED_VALUE"""),"Sin precio neto")</f>
        <v>Sin precio neto</v>
      </c>
    </row>
    <row r="911">
      <c r="A911" s="4" t="str">
        <f>IFERROR(__xludf.DUMMYFUNCTION("""COMPUTED_VALUE"""),"813")</f>
        <v>813</v>
      </c>
      <c r="B911" s="4" t="str">
        <f>IFERROR(__xludf.DUMMYFUNCTION("""COMPUTED_VALUE"""),"Adhesivo 100 mm líquidos inflamables B")</f>
        <v>Adhesivo 100 mm líquidos inflamables B</v>
      </c>
      <c r="C911" s="4">
        <f>IFERROR(__xludf.DUMMYFUNCTION("""COMPUTED_VALUE"""),0.6)</f>
        <v>0.6</v>
      </c>
      <c r="D911" s="4"/>
      <c r="E911" s="4" t="str">
        <f>IFERROR(__xludf.DUMMYFUNCTION("""COMPUTED_VALUE"""),"Sin precio neto")</f>
        <v>Sin precio neto</v>
      </c>
    </row>
    <row r="912">
      <c r="A912" s="4" t="str">
        <f>IFERROR(__xludf.DUMMYFUNCTION("""COMPUTED_VALUE"""),"0813A")</f>
        <v>0813A</v>
      </c>
      <c r="B912" s="4" t="str">
        <f>IFERROR(__xludf.DUMMYFUNCTION("""COMPUTED_VALUE"""),"Adhesivo 300 mm líquidos inflamables B")</f>
        <v>Adhesivo 300 mm líquidos inflamables B</v>
      </c>
      <c r="C912" s="4">
        <f>IFERROR(__xludf.DUMMYFUNCTION("""COMPUTED_VALUE"""),1.6)</f>
        <v>1.6</v>
      </c>
      <c r="D912" s="4"/>
      <c r="E912" s="4" t="str">
        <f>IFERROR(__xludf.DUMMYFUNCTION("""COMPUTED_VALUE"""),"Sin precio neto")</f>
        <v>Sin precio neto</v>
      </c>
    </row>
    <row r="913">
      <c r="A913" s="4" t="str">
        <f>IFERROR(__xludf.DUMMYFUNCTION("""COMPUTED_VALUE"""),"814")</f>
        <v>814</v>
      </c>
      <c r="B913" s="4" t="str">
        <f>IFERROR(__xludf.DUMMYFUNCTION("""COMPUTED_VALUE"""),"Adhesivo 100 mm mat. sólidas inflamables")</f>
        <v>Adhesivo 100 mm mat. sólidas inflamables</v>
      </c>
      <c r="C913" s="4">
        <f>IFERROR(__xludf.DUMMYFUNCTION("""COMPUTED_VALUE"""),0.6)</f>
        <v>0.6</v>
      </c>
      <c r="D913" s="4"/>
      <c r="E913" s="4" t="str">
        <f>IFERROR(__xludf.DUMMYFUNCTION("""COMPUTED_VALUE"""),"Sin precio neto")</f>
        <v>Sin precio neto</v>
      </c>
    </row>
    <row r="914">
      <c r="A914" s="4" t="str">
        <f>IFERROR(__xludf.DUMMYFUNCTION("""COMPUTED_VALUE"""),"0814A")</f>
        <v>0814A</v>
      </c>
      <c r="B914" s="4" t="str">
        <f>IFERROR(__xludf.DUMMYFUNCTION("""COMPUTED_VALUE"""),"Adhesivo 300 mm mat. sólidas inflamables")</f>
        <v>Adhesivo 300 mm mat. sólidas inflamables</v>
      </c>
      <c r="C914" s="4">
        <f>IFERROR(__xludf.DUMMYFUNCTION("""COMPUTED_VALUE"""),1.6)</f>
        <v>1.6</v>
      </c>
      <c r="D914" s="4"/>
      <c r="E914" s="4" t="str">
        <f>IFERROR(__xludf.DUMMYFUNCTION("""COMPUTED_VALUE"""),"Sin precio neto")</f>
        <v>Sin precio neto</v>
      </c>
    </row>
    <row r="915">
      <c r="A915" s="4" t="str">
        <f>IFERROR(__xludf.DUMMYFUNCTION("""COMPUTED_VALUE"""),"815")</f>
        <v>815</v>
      </c>
      <c r="B915" s="4" t="str">
        <f>IFERROR(__xludf.DUMMYFUNCTION("""COMPUTED_VALUE"""),"Adhesivo 100 mm materias expontáneamente inflamables")</f>
        <v>Adhesivo 100 mm materias expontáneamente inflamables</v>
      </c>
      <c r="C915" s="4">
        <f>IFERROR(__xludf.DUMMYFUNCTION("""COMPUTED_VALUE"""),0.6)</f>
        <v>0.6</v>
      </c>
      <c r="D915" s="4"/>
      <c r="E915" s="4" t="str">
        <f>IFERROR(__xludf.DUMMYFUNCTION("""COMPUTED_VALUE"""),"Sin precio neto")</f>
        <v>Sin precio neto</v>
      </c>
    </row>
    <row r="916">
      <c r="A916" s="4" t="str">
        <f>IFERROR(__xludf.DUMMYFUNCTION("""COMPUTED_VALUE"""),"0815A")</f>
        <v>0815A</v>
      </c>
      <c r="B916" s="4" t="str">
        <f>IFERROR(__xludf.DUMMYFUNCTION("""COMPUTED_VALUE"""),"Adhesivo 300 mm materias expontáneamente inflamables")</f>
        <v>Adhesivo 300 mm materias expontáneamente inflamables</v>
      </c>
      <c r="C916" s="4">
        <f>IFERROR(__xludf.DUMMYFUNCTION("""COMPUTED_VALUE"""),1.6)</f>
        <v>1.6</v>
      </c>
      <c r="D916" s="4"/>
      <c r="E916" s="4" t="str">
        <f>IFERROR(__xludf.DUMMYFUNCTION("""COMPUTED_VALUE"""),"Sin precio neto")</f>
        <v>Sin precio neto</v>
      </c>
    </row>
    <row r="917">
      <c r="A917" s="4" t="str">
        <f>IFERROR(__xludf.DUMMYFUNCTION("""COMPUTED_VALUE"""),"816")</f>
        <v>816</v>
      </c>
      <c r="B917" s="4" t="str">
        <f>IFERROR(__xludf.DUMMYFUNCTION("""COMPUTED_VALUE"""),"Adhesivo 100 mm materias contacto agua gases inflamables A")</f>
        <v>Adhesivo 100 mm materias contacto agua gases inflamables A</v>
      </c>
      <c r="C917" s="4">
        <f>IFERROR(__xludf.DUMMYFUNCTION("""COMPUTED_VALUE"""),0.6)</f>
        <v>0.6</v>
      </c>
      <c r="D917" s="4"/>
      <c r="E917" s="4" t="str">
        <f>IFERROR(__xludf.DUMMYFUNCTION("""COMPUTED_VALUE"""),"Sin precio neto")</f>
        <v>Sin precio neto</v>
      </c>
    </row>
    <row r="918">
      <c r="A918" s="4" t="str">
        <f>IFERROR(__xludf.DUMMYFUNCTION("""COMPUTED_VALUE"""),"0816A")</f>
        <v>0816A</v>
      </c>
      <c r="B918" s="4" t="str">
        <f>IFERROR(__xludf.DUMMYFUNCTION("""COMPUTED_VALUE"""),"Adhesivo 300 mm materias contacto agua gases inflamables A")</f>
        <v>Adhesivo 300 mm materias contacto agua gases inflamables A</v>
      </c>
      <c r="C918" s="4">
        <f>IFERROR(__xludf.DUMMYFUNCTION("""COMPUTED_VALUE"""),1.6)</f>
        <v>1.6</v>
      </c>
      <c r="D918" s="4"/>
      <c r="E918" s="4" t="str">
        <f>IFERROR(__xludf.DUMMYFUNCTION("""COMPUTED_VALUE"""),"Sin precio neto")</f>
        <v>Sin precio neto</v>
      </c>
    </row>
    <row r="919">
      <c r="A919" s="4" t="str">
        <f>IFERROR(__xludf.DUMMYFUNCTION("""COMPUTED_VALUE"""),"817")</f>
        <v>817</v>
      </c>
      <c r="B919" s="4" t="str">
        <f>IFERROR(__xludf.DUMMYFUNCTION("""COMPUTED_VALUE"""),"Adhesivo 100 mm materias contacto agua gases inflamables B")</f>
        <v>Adhesivo 100 mm materias contacto agua gases inflamables B</v>
      </c>
      <c r="C919" s="4">
        <f>IFERROR(__xludf.DUMMYFUNCTION("""COMPUTED_VALUE"""),0.6)</f>
        <v>0.6</v>
      </c>
      <c r="D919" s="4"/>
      <c r="E919" s="4" t="str">
        <f>IFERROR(__xludf.DUMMYFUNCTION("""COMPUTED_VALUE"""),"Sin precio neto")</f>
        <v>Sin precio neto</v>
      </c>
    </row>
    <row r="920">
      <c r="A920" s="4" t="str">
        <f>IFERROR(__xludf.DUMMYFUNCTION("""COMPUTED_VALUE"""),"0817A")</f>
        <v>0817A</v>
      </c>
      <c r="B920" s="4" t="str">
        <f>IFERROR(__xludf.DUMMYFUNCTION("""COMPUTED_VALUE"""),"Adhesivo 300 mm materias contacto agua gases inflamables B")</f>
        <v>Adhesivo 300 mm materias contacto agua gases inflamables B</v>
      </c>
      <c r="C920" s="4">
        <f>IFERROR(__xludf.DUMMYFUNCTION("""COMPUTED_VALUE"""),1.6)</f>
        <v>1.6</v>
      </c>
      <c r="D920" s="4"/>
      <c r="E920" s="4" t="str">
        <f>IFERROR(__xludf.DUMMYFUNCTION("""COMPUTED_VALUE"""),"Sin precio neto")</f>
        <v>Sin precio neto</v>
      </c>
    </row>
    <row r="921">
      <c r="A921" s="4" t="str">
        <f>IFERROR(__xludf.DUMMYFUNCTION("""COMPUTED_VALUE"""),"818")</f>
        <v>818</v>
      </c>
      <c r="B921" s="4" t="str">
        <f>IFERROR(__xludf.DUMMYFUNCTION("""COMPUTED_VALUE"""),"Adhesivo 100 mm materias comburentes")</f>
        <v>Adhesivo 100 mm materias comburentes</v>
      </c>
      <c r="C921" s="4">
        <f>IFERROR(__xludf.DUMMYFUNCTION("""COMPUTED_VALUE"""),0.6)</f>
        <v>0.6</v>
      </c>
      <c r="D921" s="4"/>
      <c r="E921" s="4" t="str">
        <f>IFERROR(__xludf.DUMMYFUNCTION("""COMPUTED_VALUE"""),"Sin precio neto")</f>
        <v>Sin precio neto</v>
      </c>
    </row>
    <row r="922">
      <c r="A922" s="4" t="str">
        <f>IFERROR(__xludf.DUMMYFUNCTION("""COMPUTED_VALUE"""),"0818A")</f>
        <v>0818A</v>
      </c>
      <c r="B922" s="4" t="str">
        <f>IFERROR(__xludf.DUMMYFUNCTION("""COMPUTED_VALUE"""),"Adhesivo 300 mm materias comburentes")</f>
        <v>Adhesivo 300 mm materias comburentes</v>
      </c>
      <c r="C922" s="4">
        <f>IFERROR(__xludf.DUMMYFUNCTION("""COMPUTED_VALUE"""),1.6)</f>
        <v>1.6</v>
      </c>
      <c r="D922" s="4"/>
      <c r="E922" s="4" t="str">
        <f>IFERROR(__xludf.DUMMYFUNCTION("""COMPUTED_VALUE"""),"Sin precio neto")</f>
        <v>Sin precio neto</v>
      </c>
    </row>
    <row r="923">
      <c r="A923" s="4" t="str">
        <f>IFERROR(__xludf.DUMMYFUNCTION("""COMPUTED_VALUE"""),"819")</f>
        <v>819</v>
      </c>
      <c r="B923" s="4" t="str">
        <f>IFERROR(__xludf.DUMMYFUNCTION("""COMPUTED_VALUE"""),"Adhesivo 100 mm peróxidos orgánicos")</f>
        <v>Adhesivo 100 mm peróxidos orgánicos</v>
      </c>
      <c r="C923" s="4">
        <f>IFERROR(__xludf.DUMMYFUNCTION("""COMPUTED_VALUE"""),0.6)</f>
        <v>0.6</v>
      </c>
      <c r="D923" s="4"/>
      <c r="E923" s="4" t="str">
        <f>IFERROR(__xludf.DUMMYFUNCTION("""COMPUTED_VALUE"""),"Sin precio neto")</f>
        <v>Sin precio neto</v>
      </c>
    </row>
    <row r="924">
      <c r="A924" s="4" t="str">
        <f>IFERROR(__xludf.DUMMYFUNCTION("""COMPUTED_VALUE"""),"0819A")</f>
        <v>0819A</v>
      </c>
      <c r="B924" s="4" t="str">
        <f>IFERROR(__xludf.DUMMYFUNCTION("""COMPUTED_VALUE"""),"Adhesivo 300 mm peróxidos orgánicos")</f>
        <v>Adhesivo 300 mm peróxidos orgánicos</v>
      </c>
      <c r="C924" s="4">
        <f>IFERROR(__xludf.DUMMYFUNCTION("""COMPUTED_VALUE"""),1.6)</f>
        <v>1.6</v>
      </c>
      <c r="D924" s="4"/>
      <c r="E924" s="4" t="str">
        <f>IFERROR(__xludf.DUMMYFUNCTION("""COMPUTED_VALUE"""),"Sin precio neto")</f>
        <v>Sin precio neto</v>
      </c>
    </row>
    <row r="925">
      <c r="A925" s="4" t="str">
        <f>IFERROR(__xludf.DUMMYFUNCTION("""COMPUTED_VALUE"""),"822")</f>
        <v>822</v>
      </c>
      <c r="B925" s="4" t="str">
        <f>IFERROR(__xludf.DUMMYFUNCTION("""COMPUTED_VALUE"""),"Adhesivo 100 mm Materias Tóxicas")</f>
        <v>Adhesivo 100 mm Materias Tóxicas</v>
      </c>
      <c r="C925" s="4">
        <f>IFERROR(__xludf.DUMMYFUNCTION("""COMPUTED_VALUE"""),0.6)</f>
        <v>0.6</v>
      </c>
      <c r="D925" s="4"/>
      <c r="E925" s="4" t="str">
        <f>IFERROR(__xludf.DUMMYFUNCTION("""COMPUTED_VALUE"""),"Sin precio neto")</f>
        <v>Sin precio neto</v>
      </c>
    </row>
    <row r="926">
      <c r="A926" s="4" t="str">
        <f>IFERROR(__xludf.DUMMYFUNCTION("""COMPUTED_VALUE"""),"0822A")</f>
        <v>0822A</v>
      </c>
      <c r="B926" s="4" t="str">
        <f>IFERROR(__xludf.DUMMYFUNCTION("""COMPUTED_VALUE"""),"Adhesivo 100 mm Materias Tóxicas")</f>
        <v>Adhesivo 100 mm Materias Tóxicas</v>
      </c>
      <c r="C926" s="4">
        <f>IFERROR(__xludf.DUMMYFUNCTION("""COMPUTED_VALUE"""),1.6)</f>
        <v>1.6</v>
      </c>
      <c r="D926" s="4"/>
      <c r="E926" s="4" t="str">
        <f>IFERROR(__xludf.DUMMYFUNCTION("""COMPUTED_VALUE"""),"Sin precio neto")</f>
        <v>Sin precio neto</v>
      </c>
    </row>
    <row r="927">
      <c r="A927" s="4" t="str">
        <f>IFERROR(__xludf.DUMMYFUNCTION("""COMPUTED_VALUE"""),"823")</f>
        <v>823</v>
      </c>
      <c r="B927" s="4" t="str">
        <f>IFERROR(__xludf.DUMMYFUNCTION("""COMPUTED_VALUE"""),"Adhesivo 100 mm Materias infecciosas")</f>
        <v>Adhesivo 100 mm Materias infecciosas</v>
      </c>
      <c r="C927" s="4">
        <f>IFERROR(__xludf.DUMMYFUNCTION("""COMPUTED_VALUE"""),0.6)</f>
        <v>0.6</v>
      </c>
      <c r="D927" s="4"/>
      <c r="E927" s="4" t="str">
        <f>IFERROR(__xludf.DUMMYFUNCTION("""COMPUTED_VALUE"""),"Sin precio neto")</f>
        <v>Sin precio neto</v>
      </c>
    </row>
    <row r="928">
      <c r="A928" s="4" t="str">
        <f>IFERROR(__xludf.DUMMYFUNCTION("""COMPUTED_VALUE"""),"0823A")</f>
        <v>0823A</v>
      </c>
      <c r="B928" s="4" t="str">
        <f>IFERROR(__xludf.DUMMYFUNCTION("""COMPUTED_VALUE"""),"Adhesivo 300 mm Materias infecciosas")</f>
        <v>Adhesivo 300 mm Materias infecciosas</v>
      </c>
      <c r="C928" s="4">
        <f>IFERROR(__xludf.DUMMYFUNCTION("""COMPUTED_VALUE"""),1.6)</f>
        <v>1.6</v>
      </c>
      <c r="D928" s="4"/>
      <c r="E928" s="4" t="str">
        <f>IFERROR(__xludf.DUMMYFUNCTION("""COMPUTED_VALUE"""),"Sin precio neto")</f>
        <v>Sin precio neto</v>
      </c>
    </row>
    <row r="929">
      <c r="A929" s="4" t="str">
        <f>IFERROR(__xludf.DUMMYFUNCTION("""COMPUTED_VALUE"""),"824")</f>
        <v>824</v>
      </c>
      <c r="B929" s="4" t="str">
        <f>IFERROR(__xludf.DUMMYFUNCTION("""COMPUTED_VALUE"""),"Adhesivo 100 mm Materias radiactivas I")</f>
        <v>Adhesivo 100 mm Materias radiactivas I</v>
      </c>
      <c r="C929" s="4">
        <f>IFERROR(__xludf.DUMMYFUNCTION("""COMPUTED_VALUE"""),0.6)</f>
        <v>0.6</v>
      </c>
      <c r="D929" s="4"/>
      <c r="E929" s="4" t="str">
        <f>IFERROR(__xludf.DUMMYFUNCTION("""COMPUTED_VALUE"""),"Sin precio neto")</f>
        <v>Sin precio neto</v>
      </c>
    </row>
    <row r="930">
      <c r="A930" s="4" t="str">
        <f>IFERROR(__xludf.DUMMYFUNCTION("""COMPUTED_VALUE"""),"0824A")</f>
        <v>0824A</v>
      </c>
      <c r="B930" s="4" t="str">
        <f>IFERROR(__xludf.DUMMYFUNCTION("""COMPUTED_VALUE"""),"Adhesivo 300 mm Materias radiactivas I")</f>
        <v>Adhesivo 300 mm Materias radiactivas I</v>
      </c>
      <c r="C930" s="4">
        <f>IFERROR(__xludf.DUMMYFUNCTION("""COMPUTED_VALUE"""),1.6)</f>
        <v>1.6</v>
      </c>
      <c r="D930" s="4"/>
      <c r="E930" s="4" t="str">
        <f>IFERROR(__xludf.DUMMYFUNCTION("""COMPUTED_VALUE"""),"Sin precio neto")</f>
        <v>Sin precio neto</v>
      </c>
    </row>
    <row r="931">
      <c r="A931" s="4" t="str">
        <f>IFERROR(__xludf.DUMMYFUNCTION("""COMPUTED_VALUE"""),"825")</f>
        <v>825</v>
      </c>
      <c r="B931" s="4" t="str">
        <f>IFERROR(__xludf.DUMMYFUNCTION("""COMPUTED_VALUE"""),"Adhesivo 100 mm Materias radiactivas II")</f>
        <v>Adhesivo 100 mm Materias radiactivas II</v>
      </c>
      <c r="C931" s="4">
        <f>IFERROR(__xludf.DUMMYFUNCTION("""COMPUTED_VALUE"""),0.6)</f>
        <v>0.6</v>
      </c>
      <c r="D931" s="4"/>
      <c r="E931" s="4" t="str">
        <f>IFERROR(__xludf.DUMMYFUNCTION("""COMPUTED_VALUE"""),"Sin precio neto")</f>
        <v>Sin precio neto</v>
      </c>
    </row>
    <row r="932">
      <c r="A932" s="4" t="str">
        <f>IFERROR(__xludf.DUMMYFUNCTION("""COMPUTED_VALUE"""),"0825A")</f>
        <v>0825A</v>
      </c>
      <c r="B932" s="4" t="str">
        <f>IFERROR(__xludf.DUMMYFUNCTION("""COMPUTED_VALUE"""),"Adhesivo 300 mm Materias radiactivas II")</f>
        <v>Adhesivo 300 mm Materias radiactivas II</v>
      </c>
      <c r="C932" s="4">
        <f>IFERROR(__xludf.DUMMYFUNCTION("""COMPUTED_VALUE"""),1.6)</f>
        <v>1.6</v>
      </c>
      <c r="D932" s="4"/>
      <c r="E932" s="4" t="str">
        <f>IFERROR(__xludf.DUMMYFUNCTION("""COMPUTED_VALUE"""),"Sin precio neto")</f>
        <v>Sin precio neto</v>
      </c>
    </row>
    <row r="933">
      <c r="A933" s="4" t="str">
        <f>IFERROR(__xludf.DUMMYFUNCTION("""COMPUTED_VALUE"""),"826")</f>
        <v>826</v>
      </c>
      <c r="B933" s="4" t="str">
        <f>IFERROR(__xludf.DUMMYFUNCTION("""COMPUTED_VALUE"""),"Adhesivo 100 mm Materias radiactivas III")</f>
        <v>Adhesivo 100 mm Materias radiactivas III</v>
      </c>
      <c r="C933" s="4">
        <f>IFERROR(__xludf.DUMMYFUNCTION("""COMPUTED_VALUE"""),0.6)</f>
        <v>0.6</v>
      </c>
      <c r="D933" s="4"/>
      <c r="E933" s="4" t="str">
        <f>IFERROR(__xludf.DUMMYFUNCTION("""COMPUTED_VALUE"""),"Sin precio neto")</f>
        <v>Sin precio neto</v>
      </c>
    </row>
    <row r="934">
      <c r="A934" s="4" t="str">
        <f>IFERROR(__xludf.DUMMYFUNCTION("""COMPUTED_VALUE"""),"0826A")</f>
        <v>0826A</v>
      </c>
      <c r="B934" s="4" t="str">
        <f>IFERROR(__xludf.DUMMYFUNCTION("""COMPUTED_VALUE"""),"Adhesivo 300 mm Materias radiactivas III")</f>
        <v>Adhesivo 300 mm Materias radiactivas III</v>
      </c>
      <c r="C934" s="4">
        <f>IFERROR(__xludf.DUMMYFUNCTION("""COMPUTED_VALUE"""),1.6)</f>
        <v>1.6</v>
      </c>
      <c r="D934" s="4"/>
      <c r="E934" s="4" t="str">
        <f>IFERROR(__xludf.DUMMYFUNCTION("""COMPUTED_VALUE"""),"Sin precio neto")</f>
        <v>Sin precio neto</v>
      </c>
    </row>
    <row r="935">
      <c r="A935" s="4" t="str">
        <f>IFERROR(__xludf.DUMMYFUNCTION("""COMPUTED_VALUE"""),"827")</f>
        <v>827</v>
      </c>
      <c r="B935" s="4" t="str">
        <f>IFERROR(__xludf.DUMMYFUNCTION("""COMPUTED_VALUE"""),"Adhesivo 100 mm Materias fisionables")</f>
        <v>Adhesivo 100 mm Materias fisionables</v>
      </c>
      <c r="C935" s="4">
        <f>IFERROR(__xludf.DUMMYFUNCTION("""COMPUTED_VALUE"""),0.6)</f>
        <v>0.6</v>
      </c>
      <c r="D935" s="4"/>
      <c r="E935" s="4" t="str">
        <f>IFERROR(__xludf.DUMMYFUNCTION("""COMPUTED_VALUE"""),"Sin precio neto")</f>
        <v>Sin precio neto</v>
      </c>
    </row>
    <row r="936">
      <c r="A936" s="4" t="str">
        <f>IFERROR(__xludf.DUMMYFUNCTION("""COMPUTED_VALUE"""),"0827A")</f>
        <v>0827A</v>
      </c>
      <c r="B936" s="4" t="str">
        <f>IFERROR(__xludf.DUMMYFUNCTION("""COMPUTED_VALUE"""),"Adhesivo 300 mm Materias fisionables")</f>
        <v>Adhesivo 300 mm Materias fisionables</v>
      </c>
      <c r="C936" s="4">
        <f>IFERROR(__xludf.DUMMYFUNCTION("""COMPUTED_VALUE"""),1.6)</f>
        <v>1.6</v>
      </c>
      <c r="D936" s="4"/>
      <c r="E936" s="4" t="str">
        <f>IFERROR(__xludf.DUMMYFUNCTION("""COMPUTED_VALUE"""),"Sin precio neto")</f>
        <v>Sin precio neto</v>
      </c>
    </row>
    <row r="937">
      <c r="A937" s="4" t="str">
        <f>IFERROR(__xludf.DUMMYFUNCTION("""COMPUTED_VALUE"""),"828")</f>
        <v>828</v>
      </c>
      <c r="B937" s="4" t="str">
        <f>IFERROR(__xludf.DUMMYFUNCTION("""COMPUTED_VALUE"""),"Adhesivo 100 mm Materias corrosivas")</f>
        <v>Adhesivo 100 mm Materias corrosivas</v>
      </c>
      <c r="C937" s="4">
        <f>IFERROR(__xludf.DUMMYFUNCTION("""COMPUTED_VALUE"""),0.6)</f>
        <v>0.6</v>
      </c>
      <c r="D937" s="4"/>
      <c r="E937" s="4" t="str">
        <f>IFERROR(__xludf.DUMMYFUNCTION("""COMPUTED_VALUE"""),"Sin precio neto")</f>
        <v>Sin precio neto</v>
      </c>
    </row>
    <row r="938">
      <c r="A938" s="4" t="str">
        <f>IFERROR(__xludf.DUMMYFUNCTION("""COMPUTED_VALUE"""),"0828A")</f>
        <v>0828A</v>
      </c>
      <c r="B938" s="4" t="str">
        <f>IFERROR(__xludf.DUMMYFUNCTION("""COMPUTED_VALUE"""),"Adhesivo 300 mm Materias corrosivas")</f>
        <v>Adhesivo 300 mm Materias corrosivas</v>
      </c>
      <c r="C938" s="4">
        <f>IFERROR(__xludf.DUMMYFUNCTION("""COMPUTED_VALUE"""),1.6)</f>
        <v>1.6</v>
      </c>
      <c r="D938" s="4"/>
      <c r="E938" s="4" t="str">
        <f>IFERROR(__xludf.DUMMYFUNCTION("""COMPUTED_VALUE"""),"Sin precio neto")</f>
        <v>Sin precio neto</v>
      </c>
    </row>
    <row r="939">
      <c r="A939" s="4" t="str">
        <f>IFERROR(__xludf.DUMMYFUNCTION("""COMPUTED_VALUE"""),"829")</f>
        <v>829</v>
      </c>
      <c r="B939" s="4" t="str">
        <f>IFERROR(__xludf.DUMMYFUNCTION("""COMPUTED_VALUE"""),"Adhesivo 100 mm Materias y objetos peligrosos diversos")</f>
        <v>Adhesivo 100 mm Materias y objetos peligrosos diversos</v>
      </c>
      <c r="C939" s="4">
        <f>IFERROR(__xludf.DUMMYFUNCTION("""COMPUTED_VALUE"""),0.6)</f>
        <v>0.6</v>
      </c>
      <c r="D939" s="4"/>
      <c r="E939" s="4" t="str">
        <f>IFERROR(__xludf.DUMMYFUNCTION("""COMPUTED_VALUE"""),"Sin precio neto")</f>
        <v>Sin precio neto</v>
      </c>
    </row>
    <row r="940">
      <c r="A940" s="4" t="str">
        <f>IFERROR(__xludf.DUMMYFUNCTION("""COMPUTED_VALUE"""),"0829A")</f>
        <v>0829A</v>
      </c>
      <c r="B940" s="4" t="str">
        <f>IFERROR(__xludf.DUMMYFUNCTION("""COMPUTED_VALUE"""),"Adhesivo 300 mm Materias y objetos peligrosos divesas")</f>
        <v>Adhesivo 300 mm Materias y objetos peligrosos divesas</v>
      </c>
      <c r="C940" s="4">
        <f>IFERROR(__xludf.DUMMYFUNCTION("""COMPUTED_VALUE"""),1.6)</f>
        <v>1.6</v>
      </c>
      <c r="D940" s="4"/>
      <c r="E940" s="4" t="str">
        <f>IFERROR(__xludf.DUMMYFUNCTION("""COMPUTED_VALUE"""),"Sin precio neto")</f>
        <v>Sin precio neto</v>
      </c>
    </row>
    <row r="941">
      <c r="A941" s="4" t="str">
        <f>IFERROR(__xludf.DUMMYFUNCTION("""COMPUTED_VALUE"""),"830")</f>
        <v>830</v>
      </c>
      <c r="B941" s="4" t="str">
        <f>IFERROR(__xludf.DUMMYFUNCTION("""COMPUTED_VALUE"""),"Adhesivo 100 mm Materias peligrosas para el medio ambiente")</f>
        <v>Adhesivo 100 mm Materias peligrosas para el medio ambiente</v>
      </c>
      <c r="C941" s="4">
        <f>IFERROR(__xludf.DUMMYFUNCTION("""COMPUTED_VALUE"""),0.6)</f>
        <v>0.6</v>
      </c>
      <c r="D941" s="4"/>
      <c r="E941" s="4" t="str">
        <f>IFERROR(__xludf.DUMMYFUNCTION("""COMPUTED_VALUE"""),"Sin precio neto")</f>
        <v>Sin precio neto</v>
      </c>
    </row>
    <row r="942">
      <c r="A942" s="4" t="str">
        <f>IFERROR(__xludf.DUMMYFUNCTION("""COMPUTED_VALUE"""),"0830A")</f>
        <v>0830A</v>
      </c>
      <c r="B942" s="4" t="str">
        <f>IFERROR(__xludf.DUMMYFUNCTION("""COMPUTED_VALUE"""),"Adhesivo 300 mm Materias peligrosas para el medio ambiente")</f>
        <v>Adhesivo 300 mm Materias peligrosas para el medio ambiente</v>
      </c>
      <c r="C942" s="4">
        <f>IFERROR(__xludf.DUMMYFUNCTION("""COMPUTED_VALUE"""),1.6)</f>
        <v>1.6</v>
      </c>
      <c r="D942" s="4"/>
      <c r="E942" s="4" t="str">
        <f>IFERROR(__xludf.DUMMYFUNCTION("""COMPUTED_VALUE"""),"Sin precio neto")</f>
        <v>Sin precio neto</v>
      </c>
    </row>
    <row r="943">
      <c r="A943" s="4" t="str">
        <f>IFERROR(__xludf.DUMMYFUNCTION("""COMPUTED_VALUE"""),"831")</f>
        <v>831</v>
      </c>
      <c r="B943" s="4" t="str">
        <f>IFERROR(__xludf.DUMMYFUNCTION("""COMPUTED_VALUE"""),"Adhesivo 100 mm Orientación del bulto")</f>
        <v>Adhesivo 100 mm Orientación del bulto</v>
      </c>
      <c r="C943" s="4">
        <f>IFERROR(__xludf.DUMMYFUNCTION("""COMPUTED_VALUE"""),0.6)</f>
        <v>0.6</v>
      </c>
      <c r="D943" s="4"/>
      <c r="E943" s="4" t="str">
        <f>IFERROR(__xludf.DUMMYFUNCTION("""COMPUTED_VALUE"""),"Sin precio neto")</f>
        <v>Sin precio neto</v>
      </c>
    </row>
    <row r="944">
      <c r="A944" s="4" t="str">
        <f>IFERROR(__xludf.DUMMYFUNCTION("""COMPUTED_VALUE"""),"0831A")</f>
        <v>0831A</v>
      </c>
      <c r="B944" s="4" t="str">
        <f>IFERROR(__xludf.DUMMYFUNCTION("""COMPUTED_VALUE"""),"Adhesivo 300 mm Orientación del bulto")</f>
        <v>Adhesivo 300 mm Orientación del bulto</v>
      </c>
      <c r="C944" s="4">
        <f>IFERROR(__xludf.DUMMYFUNCTION("""COMPUTED_VALUE"""),1.6)</f>
        <v>1.6</v>
      </c>
      <c r="D944" s="4"/>
      <c r="E944" s="4" t="str">
        <f>IFERROR(__xludf.DUMMYFUNCTION("""COMPUTED_VALUE"""),"Sin precio neto")</f>
        <v>Sin precio neto</v>
      </c>
    </row>
    <row r="945">
      <c r="A945" s="4" t="str">
        <f>IFERROR(__xludf.DUMMYFUNCTION("""COMPUTED_VALUE"""),"832")</f>
        <v>832</v>
      </c>
      <c r="B945" s="4" t="str">
        <f>IFERROR(__xludf.DUMMYFUNCTION("""COMPUTED_VALUE"""),"Adhesivo 100 mm productos químicos explosivos")</f>
        <v>Adhesivo 100 mm productos químicos explosivos</v>
      </c>
      <c r="C945" s="4">
        <f>IFERROR(__xludf.DUMMYFUNCTION("""COMPUTED_VALUE"""),0.6)</f>
        <v>0.6</v>
      </c>
      <c r="D945" s="4"/>
      <c r="E945" s="4" t="str">
        <f>IFERROR(__xludf.DUMMYFUNCTION("""COMPUTED_VALUE"""),"Sin precio neto")</f>
        <v>Sin precio neto</v>
      </c>
    </row>
    <row r="946">
      <c r="A946" s="4" t="str">
        <f>IFERROR(__xludf.DUMMYFUNCTION("""COMPUTED_VALUE"""),"0832A")</f>
        <v>0832A</v>
      </c>
      <c r="B946" s="4" t="str">
        <f>IFERROR(__xludf.DUMMYFUNCTION("""COMPUTED_VALUE"""),"Adhesivo 300 mm productos químicos explosivos")</f>
        <v>Adhesivo 300 mm productos químicos explosivos</v>
      </c>
      <c r="C946" s="4">
        <f>IFERROR(__xludf.DUMMYFUNCTION("""COMPUTED_VALUE"""),1.6)</f>
        <v>1.6</v>
      </c>
      <c r="D946" s="4"/>
      <c r="E946" s="4" t="str">
        <f>IFERROR(__xludf.DUMMYFUNCTION("""COMPUTED_VALUE"""),"Sin precio neto")</f>
        <v>Sin precio neto</v>
      </c>
    </row>
    <row r="947">
      <c r="A947" s="4" t="str">
        <f>IFERROR(__xludf.DUMMYFUNCTION("""COMPUTED_VALUE"""),"833")</f>
        <v>833</v>
      </c>
      <c r="B947" s="4" t="str">
        <f>IFERROR(__xludf.DUMMYFUNCTION("""COMPUTED_VALUE"""),"Adhesivo 100 mm productos químicos inflamables")</f>
        <v>Adhesivo 100 mm productos químicos inflamables</v>
      </c>
      <c r="C947" s="4">
        <f>IFERROR(__xludf.DUMMYFUNCTION("""COMPUTED_VALUE"""),0.6)</f>
        <v>0.6</v>
      </c>
      <c r="D947" s="4"/>
      <c r="E947" s="4" t="str">
        <f>IFERROR(__xludf.DUMMYFUNCTION("""COMPUTED_VALUE"""),"Sin precio neto")</f>
        <v>Sin precio neto</v>
      </c>
    </row>
    <row r="948">
      <c r="A948" s="4" t="str">
        <f>IFERROR(__xludf.DUMMYFUNCTION("""COMPUTED_VALUE"""),"0833A")</f>
        <v>0833A</v>
      </c>
      <c r="B948" s="4" t="str">
        <f>IFERROR(__xludf.DUMMYFUNCTION("""COMPUTED_VALUE"""),"Adhesivo 300 mm productos químicos inflamables")</f>
        <v>Adhesivo 300 mm productos químicos inflamables</v>
      </c>
      <c r="C948" s="4">
        <f>IFERROR(__xludf.DUMMYFUNCTION("""COMPUTED_VALUE"""),1.6)</f>
        <v>1.6</v>
      </c>
      <c r="D948" s="4"/>
      <c r="E948" s="4" t="str">
        <f>IFERROR(__xludf.DUMMYFUNCTION("""COMPUTED_VALUE"""),"Sin precio neto")</f>
        <v>Sin precio neto</v>
      </c>
    </row>
    <row r="949">
      <c r="A949" s="4" t="str">
        <f>IFERROR(__xludf.DUMMYFUNCTION("""COMPUTED_VALUE"""),"834")</f>
        <v>834</v>
      </c>
      <c r="B949" s="4" t="str">
        <f>IFERROR(__xludf.DUMMYFUNCTION("""COMPUTED_VALUE"""),"Adhesivo 100 mm productos químicos comburentes")</f>
        <v>Adhesivo 100 mm productos químicos comburentes</v>
      </c>
      <c r="C949" s="4">
        <f>IFERROR(__xludf.DUMMYFUNCTION("""COMPUTED_VALUE"""),0.6)</f>
        <v>0.6</v>
      </c>
      <c r="D949" s="4"/>
      <c r="E949" s="4" t="str">
        <f>IFERROR(__xludf.DUMMYFUNCTION("""COMPUTED_VALUE"""),"Sin precio neto")</f>
        <v>Sin precio neto</v>
      </c>
    </row>
    <row r="950">
      <c r="A950" s="4" t="str">
        <f>IFERROR(__xludf.DUMMYFUNCTION("""COMPUTED_VALUE"""),"0834A")</f>
        <v>0834A</v>
      </c>
      <c r="B950" s="4" t="str">
        <f>IFERROR(__xludf.DUMMYFUNCTION("""COMPUTED_VALUE"""),"Adhesivo 300 mm productos químicos comburentes")</f>
        <v>Adhesivo 300 mm productos químicos comburentes</v>
      </c>
      <c r="C950" s="4">
        <f>IFERROR(__xludf.DUMMYFUNCTION("""COMPUTED_VALUE"""),1.6)</f>
        <v>1.6</v>
      </c>
      <c r="D950" s="4"/>
      <c r="E950" s="4" t="str">
        <f>IFERROR(__xludf.DUMMYFUNCTION("""COMPUTED_VALUE"""),"Sin precio neto")</f>
        <v>Sin precio neto</v>
      </c>
    </row>
    <row r="951">
      <c r="A951" s="4" t="str">
        <f>IFERROR(__xludf.DUMMYFUNCTION("""COMPUTED_VALUE"""),"835")</f>
        <v>835</v>
      </c>
      <c r="B951" s="4" t="str">
        <f>IFERROR(__xludf.DUMMYFUNCTION("""COMPUTED_VALUE"""),"Adhesivo 100 mm productos químicos gas a presión")</f>
        <v>Adhesivo 100 mm productos químicos gas a presión</v>
      </c>
      <c r="C951" s="4">
        <f>IFERROR(__xludf.DUMMYFUNCTION("""COMPUTED_VALUE"""),0.6)</f>
        <v>0.6</v>
      </c>
      <c r="D951" s="4"/>
      <c r="E951" s="4" t="str">
        <f>IFERROR(__xludf.DUMMYFUNCTION("""COMPUTED_VALUE"""),"Sin precio neto")</f>
        <v>Sin precio neto</v>
      </c>
    </row>
    <row r="952">
      <c r="A952" s="4" t="str">
        <f>IFERROR(__xludf.DUMMYFUNCTION("""COMPUTED_VALUE"""),"0835A")</f>
        <v>0835A</v>
      </c>
      <c r="B952" s="4" t="str">
        <f>IFERROR(__xludf.DUMMYFUNCTION("""COMPUTED_VALUE"""),"Adhesivo 300 mm productos químicos gas a presión")</f>
        <v>Adhesivo 300 mm productos químicos gas a presión</v>
      </c>
      <c r="C952" s="4">
        <f>IFERROR(__xludf.DUMMYFUNCTION("""COMPUTED_VALUE"""),1.6)</f>
        <v>1.6</v>
      </c>
      <c r="D952" s="4"/>
      <c r="E952" s="4" t="str">
        <f>IFERROR(__xludf.DUMMYFUNCTION("""COMPUTED_VALUE"""),"Sin precio neto")</f>
        <v>Sin precio neto</v>
      </c>
    </row>
    <row r="953">
      <c r="A953" s="4" t="str">
        <f>IFERROR(__xludf.DUMMYFUNCTION("""COMPUTED_VALUE"""),"836")</f>
        <v>836</v>
      </c>
      <c r="B953" s="4" t="str">
        <f>IFERROR(__xludf.DUMMYFUNCTION("""COMPUTED_VALUE"""),"Adhesivo 100 mm productos químicos toxicidad aguda")</f>
        <v>Adhesivo 100 mm productos químicos toxicidad aguda</v>
      </c>
      <c r="C953" s="4">
        <f>IFERROR(__xludf.DUMMYFUNCTION("""COMPUTED_VALUE"""),0.6)</f>
        <v>0.6</v>
      </c>
      <c r="D953" s="4"/>
      <c r="E953" s="4" t="str">
        <f>IFERROR(__xludf.DUMMYFUNCTION("""COMPUTED_VALUE"""),"Sin precio neto")</f>
        <v>Sin precio neto</v>
      </c>
    </row>
    <row r="954">
      <c r="A954" s="4" t="str">
        <f>IFERROR(__xludf.DUMMYFUNCTION("""COMPUTED_VALUE"""),"0836A")</f>
        <v>0836A</v>
      </c>
      <c r="B954" s="4" t="str">
        <f>IFERROR(__xludf.DUMMYFUNCTION("""COMPUTED_VALUE"""),"Adhesivo 300 mm productos químicos Toxicidad aguda")</f>
        <v>Adhesivo 300 mm productos químicos Toxicidad aguda</v>
      </c>
      <c r="C954" s="4">
        <f>IFERROR(__xludf.DUMMYFUNCTION("""COMPUTED_VALUE"""),1.6)</f>
        <v>1.6</v>
      </c>
      <c r="D954" s="4"/>
      <c r="E954" s="4" t="str">
        <f>IFERROR(__xludf.DUMMYFUNCTION("""COMPUTED_VALUE"""),"Sin precio neto")</f>
        <v>Sin precio neto</v>
      </c>
    </row>
    <row r="955">
      <c r="A955" s="4" t="str">
        <f>IFERROR(__xludf.DUMMYFUNCTION("""COMPUTED_VALUE"""),"837")</f>
        <v>837</v>
      </c>
      <c r="B955" s="4" t="str">
        <f>IFERROR(__xludf.DUMMYFUNCTION("""COMPUTED_VALUE"""),"Adhesivo 100 mm productos químicos corrosivos")</f>
        <v>Adhesivo 100 mm productos químicos corrosivos</v>
      </c>
      <c r="C955" s="4">
        <f>IFERROR(__xludf.DUMMYFUNCTION("""COMPUTED_VALUE"""),0.6)</f>
        <v>0.6</v>
      </c>
      <c r="D955" s="4"/>
      <c r="E955" s="4" t="str">
        <f>IFERROR(__xludf.DUMMYFUNCTION("""COMPUTED_VALUE"""),"Sin precio neto")</f>
        <v>Sin precio neto</v>
      </c>
    </row>
    <row r="956">
      <c r="A956" s="4" t="str">
        <f>IFERROR(__xludf.DUMMYFUNCTION("""COMPUTED_VALUE"""),"0837A")</f>
        <v>0837A</v>
      </c>
      <c r="B956" s="4" t="str">
        <f>IFERROR(__xludf.DUMMYFUNCTION("""COMPUTED_VALUE"""),"Adhesivo 300 mm productos químicos corrosivos")</f>
        <v>Adhesivo 300 mm productos químicos corrosivos</v>
      </c>
      <c r="C956" s="4">
        <f>IFERROR(__xludf.DUMMYFUNCTION("""COMPUTED_VALUE"""),1.6)</f>
        <v>1.6</v>
      </c>
      <c r="D956" s="4"/>
      <c r="E956" s="4" t="str">
        <f>IFERROR(__xludf.DUMMYFUNCTION("""COMPUTED_VALUE"""),"Sin precio neto")</f>
        <v>Sin precio neto</v>
      </c>
    </row>
    <row r="957">
      <c r="A957" s="4" t="str">
        <f>IFERROR(__xludf.DUMMYFUNCTION("""COMPUTED_VALUE"""),"838")</f>
        <v>838</v>
      </c>
      <c r="B957" s="4" t="str">
        <f>IFERROR(__xludf.DUMMYFUNCTION("""COMPUTED_VALUE"""),"Adhesivo 100 mm productos químicos peligro grave para la")</f>
        <v>Adhesivo 100 mm productos químicos peligro grave para la</v>
      </c>
      <c r="C957" s="4">
        <f>IFERROR(__xludf.DUMMYFUNCTION("""COMPUTED_VALUE"""),0.6)</f>
        <v>0.6</v>
      </c>
      <c r="D957" s="4"/>
      <c r="E957" s="4" t="str">
        <f>IFERROR(__xludf.DUMMYFUNCTION("""COMPUTED_VALUE"""),"Sin precio neto")</f>
        <v>Sin precio neto</v>
      </c>
    </row>
    <row r="958">
      <c r="A958" s="4" t="str">
        <f>IFERROR(__xludf.DUMMYFUNCTION("""COMPUTED_VALUE"""),"0838A")</f>
        <v>0838A</v>
      </c>
      <c r="B958" s="4" t="str">
        <f>IFERROR(__xludf.DUMMYFUNCTION("""COMPUTED_VALUE"""),"Adhesivo 300 mm productos químicos peligro grave para la")</f>
        <v>Adhesivo 300 mm productos químicos peligro grave para la</v>
      </c>
      <c r="C958" s="4">
        <f>IFERROR(__xludf.DUMMYFUNCTION("""COMPUTED_VALUE"""),1.6)</f>
        <v>1.6</v>
      </c>
      <c r="D958" s="4"/>
      <c r="E958" s="4" t="str">
        <f>IFERROR(__xludf.DUMMYFUNCTION("""COMPUTED_VALUE"""),"Sin precio neto")</f>
        <v>Sin precio neto</v>
      </c>
    </row>
    <row r="959">
      <c r="A959" s="4" t="str">
        <f>IFERROR(__xludf.DUMMYFUNCTION("""COMPUTED_VALUE"""),"839")</f>
        <v>839</v>
      </c>
      <c r="B959" s="4" t="str">
        <f>IFERROR(__xludf.DUMMYFUNCTION("""COMPUTED_VALUE"""),"Adhesivo 100 mm productos químicos peligro para la salud")</f>
        <v>Adhesivo 100 mm productos químicos peligro para la salud</v>
      </c>
      <c r="C959" s="4">
        <f>IFERROR(__xludf.DUMMYFUNCTION("""COMPUTED_VALUE"""),0.6)</f>
        <v>0.6</v>
      </c>
      <c r="D959" s="4"/>
      <c r="E959" s="4" t="str">
        <f>IFERROR(__xludf.DUMMYFUNCTION("""COMPUTED_VALUE"""),"Sin precio neto")</f>
        <v>Sin precio neto</v>
      </c>
    </row>
    <row r="960">
      <c r="A960" s="4" t="str">
        <f>IFERROR(__xludf.DUMMYFUNCTION("""COMPUTED_VALUE"""),"0839A")</f>
        <v>0839A</v>
      </c>
      <c r="B960" s="4" t="str">
        <f>IFERROR(__xludf.DUMMYFUNCTION("""COMPUTED_VALUE"""),"Adhesivo 300 mm productos químicos peligro para la salud")</f>
        <v>Adhesivo 300 mm productos químicos peligro para la salud</v>
      </c>
      <c r="C960" s="4">
        <f>IFERROR(__xludf.DUMMYFUNCTION("""COMPUTED_VALUE"""),1.6)</f>
        <v>1.6</v>
      </c>
      <c r="D960" s="4"/>
      <c r="E960" s="4" t="str">
        <f>IFERROR(__xludf.DUMMYFUNCTION("""COMPUTED_VALUE"""),"Sin precio neto")</f>
        <v>Sin precio neto</v>
      </c>
    </row>
    <row r="961">
      <c r="A961" s="4" t="str">
        <f>IFERROR(__xludf.DUMMYFUNCTION("""COMPUTED_VALUE"""),"840")</f>
        <v>840</v>
      </c>
      <c r="B961" s="4" t="str">
        <f>IFERROR(__xludf.DUMMYFUNCTION("""COMPUTED_VALUE"""),"Adhesivo 100 mm productos químicos peligro para el medio")</f>
        <v>Adhesivo 100 mm productos químicos peligro para el medio</v>
      </c>
      <c r="C961" s="4">
        <f>IFERROR(__xludf.DUMMYFUNCTION("""COMPUTED_VALUE"""),0.6)</f>
        <v>0.6</v>
      </c>
      <c r="D961" s="4"/>
      <c r="E961" s="4" t="str">
        <f>IFERROR(__xludf.DUMMYFUNCTION("""COMPUTED_VALUE"""),"Sin precio neto")</f>
        <v>Sin precio neto</v>
      </c>
    </row>
    <row r="962">
      <c r="A962" s="4" t="str">
        <f>IFERROR(__xludf.DUMMYFUNCTION("""COMPUTED_VALUE"""),"0840A")</f>
        <v>0840A</v>
      </c>
      <c r="B962" s="4" t="str">
        <f>IFERROR(__xludf.DUMMYFUNCTION("""COMPUTED_VALUE"""),"Adhesivo 300 mm productos químicos peligro para el medio")</f>
        <v>Adhesivo 300 mm productos químicos peligro para el medio</v>
      </c>
      <c r="C962" s="4">
        <f>IFERROR(__xludf.DUMMYFUNCTION("""COMPUTED_VALUE"""),1.6)</f>
        <v>1.6</v>
      </c>
      <c r="D962" s="4"/>
      <c r="E962" s="4" t="str">
        <f>IFERROR(__xludf.DUMMYFUNCTION("""COMPUTED_VALUE"""),"Sin precio neto")</f>
        <v>Sin precio neto</v>
      </c>
    </row>
    <row r="963">
      <c r="A963" s="4" t="str">
        <f>IFERROR(__xludf.DUMMYFUNCTION("""COMPUTED_VALUE"""),"841")</f>
        <v>841</v>
      </c>
      <c r="B963" s="4" t="str">
        <f>IFERROR(__xludf.DUMMYFUNCTION("""COMPUTED_VALUE"""),"Adhesivo información general aparcamiento 200x60 mm")</f>
        <v>Adhesivo información general aparcamiento 200x60 mm</v>
      </c>
      <c r="C963" s="4">
        <f>IFERROR(__xludf.DUMMYFUNCTION("""COMPUTED_VALUE"""),1.1)</f>
        <v>1.1</v>
      </c>
      <c r="D963" s="4"/>
      <c r="E963" s="4" t="str">
        <f>IFERROR(__xludf.DUMMYFUNCTION("""COMPUTED_VALUE"""),"Sin precio neto")</f>
        <v>Sin precio neto</v>
      </c>
    </row>
    <row r="964">
      <c r="A964" s="4" t="str">
        <f>IFERROR(__xludf.DUMMYFUNCTION("""COMPUTED_VALUE"""),"0841A")</f>
        <v>0841A</v>
      </c>
      <c r="B964" s="4" t="str">
        <f>IFERROR(__xludf.DUMMYFUNCTION("""COMPUTED_VALUE"""),"Adhesivo información general aparcamiento 300x100 mm")</f>
        <v>Adhesivo información general aparcamiento 300x100 mm</v>
      </c>
      <c r="C964" s="4">
        <f>IFERROR(__xludf.DUMMYFUNCTION("""COMPUTED_VALUE"""),1.6)</f>
        <v>1.6</v>
      </c>
      <c r="D964" s="4"/>
      <c r="E964" s="4" t="str">
        <f>IFERROR(__xludf.DUMMYFUNCTION("""COMPUTED_VALUE"""),"Sin precio neto")</f>
        <v>Sin precio neto</v>
      </c>
    </row>
    <row r="965">
      <c r="A965" s="4" t="str">
        <f>IFERROR(__xludf.DUMMYFUNCTION("""COMPUTED_VALUE"""),"0841C")</f>
        <v>0841C</v>
      </c>
      <c r="B965" s="4" t="str">
        <f>IFERROR(__xludf.DUMMYFUNCTION("""COMPUTED_VALUE"""),"Cartel PVC información general aparcamiento 300x100 mm")</f>
        <v>Cartel PVC información general aparcamiento 300x100 mm</v>
      </c>
      <c r="C965" s="4">
        <f>IFERROR(__xludf.DUMMYFUNCTION("""COMPUTED_VALUE"""),1.85)</f>
        <v>1.85</v>
      </c>
      <c r="D965" s="4"/>
      <c r="E965" s="4" t="str">
        <f>IFERROR(__xludf.DUMMYFUNCTION("""COMPUTED_VALUE"""),"Sin precio neto")</f>
        <v>Sin precio neto</v>
      </c>
    </row>
    <row r="966">
      <c r="A966" s="4" t="str">
        <f>IFERROR(__xludf.DUMMYFUNCTION("""COMPUTED_VALUE"""),"842")</f>
        <v>842</v>
      </c>
      <c r="B966" s="4" t="str">
        <f>IFERROR(__xludf.DUMMYFUNCTION("""COMPUTED_VALUE"""),"Adhesivo información general aseos minusváldos 200x60 mm")</f>
        <v>Adhesivo información general aseos minusváldos 200x60 mm</v>
      </c>
      <c r="C966" s="4">
        <f>IFERROR(__xludf.DUMMYFUNCTION("""COMPUTED_VALUE"""),1.1)</f>
        <v>1.1</v>
      </c>
      <c r="D966" s="4"/>
      <c r="E966" s="4" t="str">
        <f>IFERROR(__xludf.DUMMYFUNCTION("""COMPUTED_VALUE"""),"Sin precio neto")</f>
        <v>Sin precio neto</v>
      </c>
    </row>
    <row r="967">
      <c r="A967" s="4" t="str">
        <f>IFERROR(__xludf.DUMMYFUNCTION("""COMPUTED_VALUE"""),"0842A")</f>
        <v>0842A</v>
      </c>
      <c r="B967" s="4" t="str">
        <f>IFERROR(__xludf.DUMMYFUNCTION("""COMPUTED_VALUE"""),"Adhesivo información general aseos minusválidos 300x100")</f>
        <v>Adhesivo información general aseos minusválidos 300x100</v>
      </c>
      <c r="C967" s="4">
        <f>IFERROR(__xludf.DUMMYFUNCTION("""COMPUTED_VALUE"""),1.6)</f>
        <v>1.6</v>
      </c>
      <c r="D967" s="4"/>
      <c r="E967" s="4" t="str">
        <f>IFERROR(__xludf.DUMMYFUNCTION("""COMPUTED_VALUE"""),"Sin precio neto")</f>
        <v>Sin precio neto</v>
      </c>
    </row>
    <row r="968">
      <c r="A968" s="4" t="str">
        <f>IFERROR(__xludf.DUMMYFUNCTION("""COMPUTED_VALUE"""),"0842C")</f>
        <v>0842C</v>
      </c>
      <c r="B968" s="4" t="str">
        <f>IFERROR(__xludf.DUMMYFUNCTION("""COMPUTED_VALUE"""),"Cartel PVC información general aseos minusválidos 300x100")</f>
        <v>Cartel PVC información general aseos minusválidos 300x100</v>
      </c>
      <c r="C968" s="4">
        <f>IFERROR(__xludf.DUMMYFUNCTION("""COMPUTED_VALUE"""),1.85)</f>
        <v>1.85</v>
      </c>
      <c r="D968" s="4"/>
      <c r="E968" s="4" t="str">
        <f>IFERROR(__xludf.DUMMYFUNCTION("""COMPUTED_VALUE"""),"Sin precio neto")</f>
        <v>Sin precio neto</v>
      </c>
    </row>
    <row r="969">
      <c r="A969" s="4" t="str">
        <f>IFERROR(__xludf.DUMMYFUNCTION("""COMPUTED_VALUE"""),"843")</f>
        <v>843</v>
      </c>
      <c r="B969" s="4" t="str">
        <f>IFERROR(__xludf.DUMMYFUNCTION("""COMPUTED_VALUE"""),"Adhesivo información general aseos masculino 200x60 mm")</f>
        <v>Adhesivo información general aseos masculino 200x60 mm</v>
      </c>
      <c r="C969" s="4">
        <f>IFERROR(__xludf.DUMMYFUNCTION("""COMPUTED_VALUE"""),1.1)</f>
        <v>1.1</v>
      </c>
      <c r="D969" s="4"/>
      <c r="E969" s="4" t="str">
        <f>IFERROR(__xludf.DUMMYFUNCTION("""COMPUTED_VALUE"""),"Sin precio neto")</f>
        <v>Sin precio neto</v>
      </c>
    </row>
    <row r="970">
      <c r="A970" s="4" t="str">
        <f>IFERROR(__xludf.DUMMYFUNCTION("""COMPUTED_VALUE"""),"0843A")</f>
        <v>0843A</v>
      </c>
      <c r="B970" s="4" t="str">
        <f>IFERROR(__xludf.DUMMYFUNCTION("""COMPUTED_VALUE"""),"Adhesivo información general aseos masculino 300x100 mm")</f>
        <v>Adhesivo información general aseos masculino 300x100 mm</v>
      </c>
      <c r="C970" s="4">
        <f>IFERROR(__xludf.DUMMYFUNCTION("""COMPUTED_VALUE"""),1.6)</f>
        <v>1.6</v>
      </c>
      <c r="D970" s="4"/>
      <c r="E970" s="4" t="str">
        <f>IFERROR(__xludf.DUMMYFUNCTION("""COMPUTED_VALUE"""),"Sin precio neto")</f>
        <v>Sin precio neto</v>
      </c>
    </row>
    <row r="971">
      <c r="A971" s="4" t="str">
        <f>IFERROR(__xludf.DUMMYFUNCTION("""COMPUTED_VALUE"""),"0843C")</f>
        <v>0843C</v>
      </c>
      <c r="B971" s="4" t="str">
        <f>IFERROR(__xludf.DUMMYFUNCTION("""COMPUTED_VALUE"""),"Cartel PVC información general aseos masculino 300x100 mm")</f>
        <v>Cartel PVC información general aseos masculino 300x100 mm</v>
      </c>
      <c r="C971" s="4">
        <f>IFERROR(__xludf.DUMMYFUNCTION("""COMPUTED_VALUE"""),1.85)</f>
        <v>1.85</v>
      </c>
      <c r="D971" s="4"/>
      <c r="E971" s="4" t="str">
        <f>IFERROR(__xludf.DUMMYFUNCTION("""COMPUTED_VALUE"""),"Sin precio neto")</f>
        <v>Sin precio neto</v>
      </c>
    </row>
    <row r="972">
      <c r="A972" s="4" t="str">
        <f>IFERROR(__xludf.DUMMYFUNCTION("""COMPUTED_VALUE"""),"845")</f>
        <v>845</v>
      </c>
      <c r="B972" s="4" t="str">
        <f>IFERROR(__xludf.DUMMYFUNCTION("""COMPUTED_VALUE"""),"Adhesivo información general aseos mixtos 200x60 mm")</f>
        <v>Adhesivo información general aseos mixtos 200x60 mm</v>
      </c>
      <c r="C972" s="4">
        <f>IFERROR(__xludf.DUMMYFUNCTION("""COMPUTED_VALUE"""),1.1)</f>
        <v>1.1</v>
      </c>
      <c r="D972" s="4"/>
      <c r="E972" s="4" t="str">
        <f>IFERROR(__xludf.DUMMYFUNCTION("""COMPUTED_VALUE"""),"Sin precio neto")</f>
        <v>Sin precio neto</v>
      </c>
    </row>
    <row r="973">
      <c r="A973" s="4" t="str">
        <f>IFERROR(__xludf.DUMMYFUNCTION("""COMPUTED_VALUE"""),"0845A")</f>
        <v>0845A</v>
      </c>
      <c r="B973" s="4" t="str">
        <f>IFERROR(__xludf.DUMMYFUNCTION("""COMPUTED_VALUE"""),"Adhesivo información general aseos mixtos 300x100 mm")</f>
        <v>Adhesivo información general aseos mixtos 300x100 mm</v>
      </c>
      <c r="C973" s="4">
        <f>IFERROR(__xludf.DUMMYFUNCTION("""COMPUTED_VALUE"""),1.6)</f>
        <v>1.6</v>
      </c>
      <c r="D973" s="4"/>
      <c r="E973" s="4" t="str">
        <f>IFERROR(__xludf.DUMMYFUNCTION("""COMPUTED_VALUE"""),"Sin precio neto")</f>
        <v>Sin precio neto</v>
      </c>
    </row>
    <row r="974">
      <c r="A974" s="4" t="str">
        <f>IFERROR(__xludf.DUMMYFUNCTION("""COMPUTED_VALUE"""),"0845C")</f>
        <v>0845C</v>
      </c>
      <c r="B974" s="4" t="str">
        <f>IFERROR(__xludf.DUMMYFUNCTION("""COMPUTED_VALUE"""),"Cartel PVC información general asos mixtos 300x100 mm")</f>
        <v>Cartel PVC información general asos mixtos 300x100 mm</v>
      </c>
      <c r="C974" s="4">
        <f>IFERROR(__xludf.DUMMYFUNCTION("""COMPUTED_VALUE"""),1.85)</f>
        <v>1.85</v>
      </c>
      <c r="D974" s="4"/>
      <c r="E974" s="4" t="str">
        <f>IFERROR(__xludf.DUMMYFUNCTION("""COMPUTED_VALUE"""),"Sin precio neto")</f>
        <v>Sin precio neto</v>
      </c>
    </row>
    <row r="975">
      <c r="A975" s="4" t="str">
        <f>IFERROR(__xludf.DUMMYFUNCTION("""COMPUTED_VALUE"""),"846")</f>
        <v>846</v>
      </c>
      <c r="B975" s="4" t="str">
        <f>IFERROR(__xludf.DUMMYFUNCTION("""COMPUTED_VALUE"""),"Adhesivo información general aseos femenino 200x60 mm")</f>
        <v>Adhesivo información general aseos femenino 200x60 mm</v>
      </c>
      <c r="C975" s="4">
        <f>IFERROR(__xludf.DUMMYFUNCTION("""COMPUTED_VALUE"""),1.1)</f>
        <v>1.1</v>
      </c>
      <c r="D975" s="4"/>
      <c r="E975" s="4" t="str">
        <f>IFERROR(__xludf.DUMMYFUNCTION("""COMPUTED_VALUE"""),"Sin precio neto")</f>
        <v>Sin precio neto</v>
      </c>
    </row>
    <row r="976">
      <c r="A976" s="4" t="str">
        <f>IFERROR(__xludf.DUMMYFUNCTION("""COMPUTED_VALUE"""),"0846A")</f>
        <v>0846A</v>
      </c>
      <c r="B976" s="4" t="str">
        <f>IFERROR(__xludf.DUMMYFUNCTION("""COMPUTED_VALUE"""),"Adhesivo información general aseos femeninio 300x100 mm")</f>
        <v>Adhesivo información general aseos femeninio 300x100 mm</v>
      </c>
      <c r="C976" s="4">
        <f>IFERROR(__xludf.DUMMYFUNCTION("""COMPUTED_VALUE"""),1.6)</f>
        <v>1.6</v>
      </c>
      <c r="D976" s="4"/>
      <c r="E976" s="4" t="str">
        <f>IFERROR(__xludf.DUMMYFUNCTION("""COMPUTED_VALUE"""),"Sin precio neto")</f>
        <v>Sin precio neto</v>
      </c>
    </row>
    <row r="977">
      <c r="A977" s="4" t="str">
        <f>IFERROR(__xludf.DUMMYFUNCTION("""COMPUTED_VALUE"""),"0846C")</f>
        <v>0846C</v>
      </c>
      <c r="B977" s="4" t="str">
        <f>IFERROR(__xludf.DUMMYFUNCTION("""COMPUTED_VALUE"""),"Cartel PVC informacion general Aseos femenino 300x100 mm")</f>
        <v>Cartel PVC informacion general Aseos femenino 300x100 mm</v>
      </c>
      <c r="C977" s="4">
        <f>IFERROR(__xludf.DUMMYFUNCTION("""COMPUTED_VALUE"""),1.85)</f>
        <v>1.85</v>
      </c>
      <c r="D977" s="4"/>
      <c r="E977" s="4" t="str">
        <f>IFERROR(__xludf.DUMMYFUNCTION("""COMPUTED_VALUE"""),"Sin precio neto")</f>
        <v>Sin precio neto</v>
      </c>
    </row>
    <row r="978">
      <c r="A978" s="4" t="str">
        <f>IFERROR(__xludf.DUMMYFUNCTION("""COMPUTED_VALUE"""),"847")</f>
        <v>847</v>
      </c>
      <c r="B978" s="4" t="str">
        <f>IFERROR(__xludf.DUMMYFUNCTION("""COMPUTED_VALUE"""),"Adhesivo información general vestuario mixto 200x60 mm")</f>
        <v>Adhesivo información general vestuario mixto 200x60 mm</v>
      </c>
      <c r="C978" s="4">
        <f>IFERROR(__xludf.DUMMYFUNCTION("""COMPUTED_VALUE"""),1.1)</f>
        <v>1.1</v>
      </c>
      <c r="D978" s="4"/>
      <c r="E978" s="4" t="str">
        <f>IFERROR(__xludf.DUMMYFUNCTION("""COMPUTED_VALUE"""),"Sin precio neto")</f>
        <v>Sin precio neto</v>
      </c>
    </row>
    <row r="979">
      <c r="A979" s="4" t="str">
        <f>IFERROR(__xludf.DUMMYFUNCTION("""COMPUTED_VALUE"""),"0847A")</f>
        <v>0847A</v>
      </c>
      <c r="B979" s="4" t="str">
        <f>IFERROR(__xludf.DUMMYFUNCTION("""COMPUTED_VALUE"""),"Adhesivo información general vestuario mixto 300x100 mm")</f>
        <v>Adhesivo información general vestuario mixto 300x100 mm</v>
      </c>
      <c r="C979" s="4">
        <f>IFERROR(__xludf.DUMMYFUNCTION("""COMPUTED_VALUE"""),1.6)</f>
        <v>1.6</v>
      </c>
      <c r="D979" s="4"/>
      <c r="E979" s="4" t="str">
        <f>IFERROR(__xludf.DUMMYFUNCTION("""COMPUTED_VALUE"""),"Sin precio neto")</f>
        <v>Sin precio neto</v>
      </c>
    </row>
    <row r="980">
      <c r="A980" s="4" t="str">
        <f>IFERROR(__xludf.DUMMYFUNCTION("""COMPUTED_VALUE"""),"0847C")</f>
        <v>0847C</v>
      </c>
      <c r="B980" s="4" t="str">
        <f>IFERROR(__xludf.DUMMYFUNCTION("""COMPUTED_VALUE"""),"Cartel PVC información general vestuarios mixtos 300x100 mm")</f>
        <v>Cartel PVC información general vestuarios mixtos 300x100 mm</v>
      </c>
      <c r="C980" s="4">
        <f>IFERROR(__xludf.DUMMYFUNCTION("""COMPUTED_VALUE"""),1.85)</f>
        <v>1.85</v>
      </c>
      <c r="D980" s="4"/>
      <c r="E980" s="4" t="str">
        <f>IFERROR(__xludf.DUMMYFUNCTION("""COMPUTED_VALUE"""),"Sin precio neto")</f>
        <v>Sin precio neto</v>
      </c>
    </row>
    <row r="981">
      <c r="A981" s="4" t="str">
        <f>IFERROR(__xludf.DUMMYFUNCTION("""COMPUTED_VALUE"""),"848")</f>
        <v>848</v>
      </c>
      <c r="B981" s="4" t="str">
        <f>IFERROR(__xludf.DUMMYFUNCTION("""COMPUTED_VALUE"""),"Adhesivo información general vestuario femenino 200x60 mm")</f>
        <v>Adhesivo información general vestuario femenino 200x60 mm</v>
      </c>
      <c r="C981" s="4">
        <f>IFERROR(__xludf.DUMMYFUNCTION("""COMPUTED_VALUE"""),1.1)</f>
        <v>1.1</v>
      </c>
      <c r="D981" s="4"/>
      <c r="E981" s="4" t="str">
        <f>IFERROR(__xludf.DUMMYFUNCTION("""COMPUTED_VALUE"""),"Sin precio neto")</f>
        <v>Sin precio neto</v>
      </c>
    </row>
    <row r="982">
      <c r="A982" s="4" t="str">
        <f>IFERROR(__xludf.DUMMYFUNCTION("""COMPUTED_VALUE"""),"0848A")</f>
        <v>0848A</v>
      </c>
      <c r="B982" s="4" t="str">
        <f>IFERROR(__xludf.DUMMYFUNCTION("""COMPUTED_VALUE"""),"Adhesivo información general vestuario femenino 300x100 mm")</f>
        <v>Adhesivo información general vestuario femenino 300x100 mm</v>
      </c>
      <c r="C982" s="4">
        <f>IFERROR(__xludf.DUMMYFUNCTION("""COMPUTED_VALUE"""),1.6)</f>
        <v>1.6</v>
      </c>
      <c r="D982" s="4"/>
      <c r="E982" s="4" t="str">
        <f>IFERROR(__xludf.DUMMYFUNCTION("""COMPUTED_VALUE"""),"Sin precio neto")</f>
        <v>Sin precio neto</v>
      </c>
    </row>
    <row r="983">
      <c r="A983" s="4" t="str">
        <f>IFERROR(__xludf.DUMMYFUNCTION("""COMPUTED_VALUE"""),"0848C")</f>
        <v>0848C</v>
      </c>
      <c r="B983" s="4" t="str">
        <f>IFERROR(__xludf.DUMMYFUNCTION("""COMPUTED_VALUE"""),"Cartel PVC información general vestuario femenino 300x100")</f>
        <v>Cartel PVC información general vestuario femenino 300x100</v>
      </c>
      <c r="C983" s="4">
        <f>IFERROR(__xludf.DUMMYFUNCTION("""COMPUTED_VALUE"""),1.85)</f>
        <v>1.85</v>
      </c>
      <c r="D983" s="4"/>
      <c r="E983" s="4" t="str">
        <f>IFERROR(__xludf.DUMMYFUNCTION("""COMPUTED_VALUE"""),"Sin precio neto")</f>
        <v>Sin precio neto</v>
      </c>
    </row>
    <row r="984">
      <c r="A984" s="4" t="str">
        <f>IFERROR(__xludf.DUMMYFUNCTION("""COMPUTED_VALUE"""),"849")</f>
        <v>849</v>
      </c>
      <c r="B984" s="4" t="str">
        <f>IFERROR(__xludf.DUMMYFUNCTION("""COMPUTED_VALUE"""),"Adhesivo información general vestuario masculino 200x60 mm")</f>
        <v>Adhesivo información general vestuario masculino 200x60 mm</v>
      </c>
      <c r="C984" s="4">
        <f>IFERROR(__xludf.DUMMYFUNCTION("""COMPUTED_VALUE"""),1.1)</f>
        <v>1.1</v>
      </c>
      <c r="D984" s="4"/>
      <c r="E984" s="4" t="str">
        <f>IFERROR(__xludf.DUMMYFUNCTION("""COMPUTED_VALUE"""),"Sin precio neto")</f>
        <v>Sin precio neto</v>
      </c>
    </row>
    <row r="985">
      <c r="A985" s="4" t="str">
        <f>IFERROR(__xludf.DUMMYFUNCTION("""COMPUTED_VALUE"""),"0849A")</f>
        <v>0849A</v>
      </c>
      <c r="B985" s="4" t="str">
        <f>IFERROR(__xludf.DUMMYFUNCTION("""COMPUTED_VALUE"""),"Adhesivo información general vestuario masculino 300x100")</f>
        <v>Adhesivo información general vestuario masculino 300x100</v>
      </c>
      <c r="C985" s="4">
        <f>IFERROR(__xludf.DUMMYFUNCTION("""COMPUTED_VALUE"""),1.6)</f>
        <v>1.6</v>
      </c>
      <c r="D985" s="4"/>
      <c r="E985" s="4" t="str">
        <f>IFERROR(__xludf.DUMMYFUNCTION("""COMPUTED_VALUE"""),"Sin precio neto")</f>
        <v>Sin precio neto</v>
      </c>
    </row>
    <row r="986">
      <c r="A986" s="4" t="str">
        <f>IFERROR(__xludf.DUMMYFUNCTION("""COMPUTED_VALUE"""),"0849C")</f>
        <v>0849C</v>
      </c>
      <c r="B986" s="4" t="str">
        <f>IFERROR(__xludf.DUMMYFUNCTION("""COMPUTED_VALUE"""),"Cartel PVC información general vestuario masculino 300x100")</f>
        <v>Cartel PVC información general vestuario masculino 300x100</v>
      </c>
      <c r="C986" s="4">
        <f>IFERROR(__xludf.DUMMYFUNCTION("""COMPUTED_VALUE"""),1.85)</f>
        <v>1.85</v>
      </c>
      <c r="D986" s="4"/>
      <c r="E986" s="4" t="str">
        <f>IFERROR(__xludf.DUMMYFUNCTION("""COMPUTED_VALUE"""),"Sin precio neto")</f>
        <v>Sin precio neto</v>
      </c>
    </row>
    <row r="987">
      <c r="A987" s="4" t="str">
        <f>IFERROR(__xludf.DUMMYFUNCTION("""COMPUTED_VALUE"""),"850")</f>
        <v>850</v>
      </c>
      <c r="B987" s="4" t="str">
        <f>IFERROR(__xludf.DUMMYFUNCTION("""COMPUTED_VALUE"""),"Adhesivo información general información 200x60 mm")</f>
        <v>Adhesivo información general información 200x60 mm</v>
      </c>
      <c r="C987" s="4">
        <f>IFERROR(__xludf.DUMMYFUNCTION("""COMPUTED_VALUE"""),1.1)</f>
        <v>1.1</v>
      </c>
      <c r="D987" s="4"/>
      <c r="E987" s="4" t="str">
        <f>IFERROR(__xludf.DUMMYFUNCTION("""COMPUTED_VALUE"""),"Sin precio neto")</f>
        <v>Sin precio neto</v>
      </c>
    </row>
    <row r="988">
      <c r="A988" s="4" t="str">
        <f>IFERROR(__xludf.DUMMYFUNCTION("""COMPUTED_VALUE"""),"0850A")</f>
        <v>0850A</v>
      </c>
      <c r="B988" s="4" t="str">
        <f>IFERROR(__xludf.DUMMYFUNCTION("""COMPUTED_VALUE"""),"Adhesivo información general información 300x100 mm")</f>
        <v>Adhesivo información general información 300x100 mm</v>
      </c>
      <c r="C988" s="4">
        <f>IFERROR(__xludf.DUMMYFUNCTION("""COMPUTED_VALUE"""),1.6)</f>
        <v>1.6</v>
      </c>
      <c r="D988" s="4"/>
      <c r="E988" s="4" t="str">
        <f>IFERROR(__xludf.DUMMYFUNCTION("""COMPUTED_VALUE"""),"Sin precio neto")</f>
        <v>Sin precio neto</v>
      </c>
    </row>
    <row r="989">
      <c r="A989" s="4" t="str">
        <f>IFERROR(__xludf.DUMMYFUNCTION("""COMPUTED_VALUE"""),"0850C")</f>
        <v>0850C</v>
      </c>
      <c r="B989" s="4" t="str">
        <f>IFERROR(__xludf.DUMMYFUNCTION("""COMPUTED_VALUE"""),"Cartel PVC información general información 300x100 mm")</f>
        <v>Cartel PVC información general información 300x100 mm</v>
      </c>
      <c r="C989" s="4">
        <f>IFERROR(__xludf.DUMMYFUNCTION("""COMPUTED_VALUE"""),1.85)</f>
        <v>1.85</v>
      </c>
      <c r="D989" s="4"/>
      <c r="E989" s="4" t="str">
        <f>IFERROR(__xludf.DUMMYFUNCTION("""COMPUTED_VALUE"""),"Sin precio neto")</f>
        <v>Sin precio neto</v>
      </c>
    </row>
    <row r="990">
      <c r="A990" s="4" t="str">
        <f>IFERROR(__xludf.DUMMYFUNCTION("""COMPUTED_VALUE"""),"851")</f>
        <v>851</v>
      </c>
      <c r="B990" s="4" t="str">
        <f>IFERROR(__xludf.DUMMYFUNCTION("""COMPUTED_VALUE"""),"Adhesivo información general teléfono 200x60 mm")</f>
        <v>Adhesivo información general teléfono 200x60 mm</v>
      </c>
      <c r="C990" s="4">
        <f>IFERROR(__xludf.DUMMYFUNCTION("""COMPUTED_VALUE"""),1.1)</f>
        <v>1.1</v>
      </c>
      <c r="D990" s="4"/>
      <c r="E990" s="4" t="str">
        <f>IFERROR(__xludf.DUMMYFUNCTION("""COMPUTED_VALUE"""),"Sin precio neto")</f>
        <v>Sin precio neto</v>
      </c>
    </row>
    <row r="991">
      <c r="A991" s="4" t="str">
        <f>IFERROR(__xludf.DUMMYFUNCTION("""COMPUTED_VALUE"""),"0851A")</f>
        <v>0851A</v>
      </c>
      <c r="B991" s="4" t="str">
        <f>IFERROR(__xludf.DUMMYFUNCTION("""COMPUTED_VALUE"""),"Adhesivo información general teléfono 300x100 mm")</f>
        <v>Adhesivo información general teléfono 300x100 mm</v>
      </c>
      <c r="C991" s="4">
        <f>IFERROR(__xludf.DUMMYFUNCTION("""COMPUTED_VALUE"""),1.6)</f>
        <v>1.6</v>
      </c>
      <c r="D991" s="4"/>
      <c r="E991" s="4" t="str">
        <f>IFERROR(__xludf.DUMMYFUNCTION("""COMPUTED_VALUE"""),"Sin precio neto")</f>
        <v>Sin precio neto</v>
      </c>
    </row>
    <row r="992">
      <c r="A992" s="4" t="str">
        <f>IFERROR(__xludf.DUMMYFUNCTION("""COMPUTED_VALUE"""),"0851C")</f>
        <v>0851C</v>
      </c>
      <c r="B992" s="4" t="str">
        <f>IFERROR(__xludf.DUMMYFUNCTION("""COMPUTED_VALUE"""),"Cartel PVC información general teléfono 300x100 mm")</f>
        <v>Cartel PVC información general teléfono 300x100 mm</v>
      </c>
      <c r="C992" s="4">
        <f>IFERROR(__xludf.DUMMYFUNCTION("""COMPUTED_VALUE"""),1.85)</f>
        <v>1.85</v>
      </c>
      <c r="D992" s="4"/>
      <c r="E992" s="4" t="str">
        <f>IFERROR(__xludf.DUMMYFUNCTION("""COMPUTED_VALUE"""),"Sin precio neto")</f>
        <v>Sin precio neto</v>
      </c>
    </row>
    <row r="993">
      <c r="A993" s="4" t="str">
        <f>IFERROR(__xludf.DUMMYFUNCTION("""COMPUTED_VALUE"""),"852")</f>
        <v>852</v>
      </c>
      <c r="B993" s="4" t="str">
        <f>IFERROR(__xludf.DUMMYFUNCTION("""COMPUTED_VALUE"""),"Adhesivo información general guardarropa 200x60 mm")</f>
        <v>Adhesivo información general guardarropa 200x60 mm</v>
      </c>
      <c r="C993" s="4">
        <f>IFERROR(__xludf.DUMMYFUNCTION("""COMPUTED_VALUE"""),1.1)</f>
        <v>1.1</v>
      </c>
      <c r="D993" s="4"/>
      <c r="E993" s="4" t="str">
        <f>IFERROR(__xludf.DUMMYFUNCTION("""COMPUTED_VALUE"""),"Sin precio neto")</f>
        <v>Sin precio neto</v>
      </c>
    </row>
    <row r="994">
      <c r="A994" s="4" t="str">
        <f>IFERROR(__xludf.DUMMYFUNCTION("""COMPUTED_VALUE"""),"0852A")</f>
        <v>0852A</v>
      </c>
      <c r="B994" s="4" t="str">
        <f>IFERROR(__xludf.DUMMYFUNCTION("""COMPUTED_VALUE"""),"Adhesivo información general guardarropa 300x100 mm")</f>
        <v>Adhesivo información general guardarropa 300x100 mm</v>
      </c>
      <c r="C994" s="4">
        <f>IFERROR(__xludf.DUMMYFUNCTION("""COMPUTED_VALUE"""),1.6)</f>
        <v>1.6</v>
      </c>
      <c r="D994" s="4"/>
      <c r="E994" s="4" t="str">
        <f>IFERROR(__xludf.DUMMYFUNCTION("""COMPUTED_VALUE"""),"Sin precio neto")</f>
        <v>Sin precio neto</v>
      </c>
    </row>
    <row r="995">
      <c r="A995" s="4" t="str">
        <f>IFERROR(__xludf.DUMMYFUNCTION("""COMPUTED_VALUE"""),"0852C")</f>
        <v>0852C</v>
      </c>
      <c r="B995" s="4" t="str">
        <f>IFERROR(__xludf.DUMMYFUNCTION("""COMPUTED_VALUE"""),"Cartel PVC información general Guardarropa 300x100 mm")</f>
        <v>Cartel PVC información general Guardarropa 300x100 mm</v>
      </c>
      <c r="C995" s="4">
        <f>IFERROR(__xludf.DUMMYFUNCTION("""COMPUTED_VALUE"""),1.85)</f>
        <v>1.85</v>
      </c>
      <c r="D995" s="4"/>
      <c r="E995" s="4" t="str">
        <f>IFERROR(__xludf.DUMMYFUNCTION("""COMPUTED_VALUE"""),"Sin precio neto")</f>
        <v>Sin precio neto</v>
      </c>
    </row>
    <row r="996">
      <c r="A996" s="4" t="str">
        <f>IFERROR(__xludf.DUMMYFUNCTION("""COMPUTED_VALUE"""),"853")</f>
        <v>853</v>
      </c>
      <c r="B996" s="4" t="str">
        <f>IFERROR(__xludf.DUMMYFUNCTION("""COMPUTED_VALUE"""),"Adhesivo información general restaurante 200x60 mm")</f>
        <v>Adhesivo información general restaurante 200x60 mm</v>
      </c>
      <c r="C996" s="4">
        <f>IFERROR(__xludf.DUMMYFUNCTION("""COMPUTED_VALUE"""),1.1)</f>
        <v>1.1</v>
      </c>
      <c r="D996" s="4"/>
      <c r="E996" s="4" t="str">
        <f>IFERROR(__xludf.DUMMYFUNCTION("""COMPUTED_VALUE"""),"Sin precio neto")</f>
        <v>Sin precio neto</v>
      </c>
    </row>
    <row r="997">
      <c r="A997" s="4" t="str">
        <f>IFERROR(__xludf.DUMMYFUNCTION("""COMPUTED_VALUE"""),"0853A")</f>
        <v>0853A</v>
      </c>
      <c r="B997" s="4" t="str">
        <f>IFERROR(__xludf.DUMMYFUNCTION("""COMPUTED_VALUE"""),"Adhesivo información general restaurante 300x100 mm")</f>
        <v>Adhesivo información general restaurante 300x100 mm</v>
      </c>
      <c r="C997" s="4">
        <f>IFERROR(__xludf.DUMMYFUNCTION("""COMPUTED_VALUE"""),1.6)</f>
        <v>1.6</v>
      </c>
      <c r="D997" s="4"/>
      <c r="E997" s="4" t="str">
        <f>IFERROR(__xludf.DUMMYFUNCTION("""COMPUTED_VALUE"""),"Sin precio neto")</f>
        <v>Sin precio neto</v>
      </c>
    </row>
    <row r="998">
      <c r="A998" s="4" t="str">
        <f>IFERROR(__xludf.DUMMYFUNCTION("""COMPUTED_VALUE"""),"0853C")</f>
        <v>0853C</v>
      </c>
      <c r="B998" s="4" t="str">
        <f>IFERROR(__xludf.DUMMYFUNCTION("""COMPUTED_VALUE"""),"Cartel PVC información general restaurantes 300x100 mm")</f>
        <v>Cartel PVC información general restaurantes 300x100 mm</v>
      </c>
      <c r="C998" s="4">
        <f>IFERROR(__xludf.DUMMYFUNCTION("""COMPUTED_VALUE"""),1.85)</f>
        <v>1.85</v>
      </c>
      <c r="D998" s="4"/>
      <c r="E998" s="4" t="str">
        <f>IFERROR(__xludf.DUMMYFUNCTION("""COMPUTED_VALUE"""),"Sin precio neto")</f>
        <v>Sin precio neto</v>
      </c>
    </row>
    <row r="999">
      <c r="A999" s="4" t="str">
        <f>IFERROR(__xludf.DUMMYFUNCTION("""COMPUTED_VALUE"""),"854")</f>
        <v>854</v>
      </c>
      <c r="B999" s="4" t="str">
        <f>IFERROR(__xludf.DUMMYFUNCTION("""COMPUTED_VALUE"""),"Adhesivo información general cuarto limpieza 200x60 mm")</f>
        <v>Adhesivo información general cuarto limpieza 200x60 mm</v>
      </c>
      <c r="C999" s="4">
        <f>IFERROR(__xludf.DUMMYFUNCTION("""COMPUTED_VALUE"""),1.1)</f>
        <v>1.1</v>
      </c>
      <c r="D999" s="4"/>
      <c r="E999" s="4" t="str">
        <f>IFERROR(__xludf.DUMMYFUNCTION("""COMPUTED_VALUE"""),"Sin precio neto")</f>
        <v>Sin precio neto</v>
      </c>
    </row>
    <row r="1000">
      <c r="A1000" s="4" t="str">
        <f>IFERROR(__xludf.DUMMYFUNCTION("""COMPUTED_VALUE"""),"0854A")</f>
        <v>0854A</v>
      </c>
      <c r="B1000" s="4" t="str">
        <f>IFERROR(__xludf.DUMMYFUNCTION("""COMPUTED_VALUE"""),"Adhesivo información general cuarto limpieza 300x100 mm")</f>
        <v>Adhesivo información general cuarto limpieza 300x100 mm</v>
      </c>
      <c r="C1000" s="4">
        <f>IFERROR(__xludf.DUMMYFUNCTION("""COMPUTED_VALUE"""),1.6)</f>
        <v>1.6</v>
      </c>
      <c r="D1000" s="4"/>
      <c r="E1000" s="4" t="str">
        <f>IFERROR(__xludf.DUMMYFUNCTION("""COMPUTED_VALUE"""),"Sin precio neto")</f>
        <v>Sin precio neto</v>
      </c>
    </row>
    <row r="1001">
      <c r="A1001" s="4" t="str">
        <f>IFERROR(__xludf.DUMMYFUNCTION("""COMPUTED_VALUE"""),"0854C")</f>
        <v>0854C</v>
      </c>
      <c r="B1001" s="4" t="str">
        <f>IFERROR(__xludf.DUMMYFUNCTION("""COMPUTED_VALUE"""),"Cartel PVC información general cuarto limpieza 300x100 mm")</f>
        <v>Cartel PVC información general cuarto limpieza 300x100 mm</v>
      </c>
      <c r="C1001" s="4">
        <f>IFERROR(__xludf.DUMMYFUNCTION("""COMPUTED_VALUE"""),1.85)</f>
        <v>1.85</v>
      </c>
      <c r="D1001" s="4"/>
      <c r="E1001" s="4" t="str">
        <f>IFERROR(__xludf.DUMMYFUNCTION("""COMPUTED_VALUE"""),"Sin precio neto")</f>
        <v>Sin precio neto</v>
      </c>
    </row>
    <row r="1002">
      <c r="A1002" s="4" t="str">
        <f>IFERROR(__xludf.DUMMYFUNCTION("""COMPUTED_VALUE"""),"855")</f>
        <v>855</v>
      </c>
      <c r="B1002" s="4" t="str">
        <f>IFERROR(__xludf.DUMMYFUNCTION("""COMPUTED_VALUE"""),"Adhesivo información general almacen 200x60 mm")</f>
        <v>Adhesivo información general almacen 200x60 mm</v>
      </c>
      <c r="C1002" s="4">
        <f>IFERROR(__xludf.DUMMYFUNCTION("""COMPUTED_VALUE"""),1.1)</f>
        <v>1.1</v>
      </c>
      <c r="D1002" s="4"/>
      <c r="E1002" s="4" t="str">
        <f>IFERROR(__xludf.DUMMYFUNCTION("""COMPUTED_VALUE"""),"Sin precio neto")</f>
        <v>Sin precio neto</v>
      </c>
    </row>
    <row r="1003">
      <c r="A1003" s="4" t="str">
        <f>IFERROR(__xludf.DUMMYFUNCTION("""COMPUTED_VALUE"""),"0855A")</f>
        <v>0855A</v>
      </c>
      <c r="B1003" s="4" t="str">
        <f>IFERROR(__xludf.DUMMYFUNCTION("""COMPUTED_VALUE"""),"Adhesivo información general almacen 300x100 mm")</f>
        <v>Adhesivo información general almacen 300x100 mm</v>
      </c>
      <c r="C1003" s="4">
        <f>IFERROR(__xludf.DUMMYFUNCTION("""COMPUTED_VALUE"""),1.6)</f>
        <v>1.6</v>
      </c>
      <c r="D1003" s="4"/>
      <c r="E1003" s="4" t="str">
        <f>IFERROR(__xludf.DUMMYFUNCTION("""COMPUTED_VALUE"""),"Sin precio neto")</f>
        <v>Sin precio neto</v>
      </c>
    </row>
    <row r="1004">
      <c r="A1004" s="4" t="str">
        <f>IFERROR(__xludf.DUMMYFUNCTION("""COMPUTED_VALUE"""),"0855C")</f>
        <v>0855C</v>
      </c>
      <c r="B1004" s="4" t="str">
        <f>IFERROR(__xludf.DUMMYFUNCTION("""COMPUTED_VALUE"""),"Cartel PVC información general almacén 300x100 mm")</f>
        <v>Cartel PVC información general almacén 300x100 mm</v>
      </c>
      <c r="C1004" s="4">
        <f>IFERROR(__xludf.DUMMYFUNCTION("""COMPUTED_VALUE"""),1.85)</f>
        <v>1.85</v>
      </c>
      <c r="D1004" s="4"/>
      <c r="E1004" s="4" t="str">
        <f>IFERROR(__xludf.DUMMYFUNCTION("""COMPUTED_VALUE"""),"Sin precio neto")</f>
        <v>Sin precio neto</v>
      </c>
    </row>
    <row r="1005">
      <c r="A1005" s="4" t="str">
        <f>IFERROR(__xludf.DUMMYFUNCTION("""COMPUTED_VALUE"""),"856")</f>
        <v>856</v>
      </c>
      <c r="B1005" s="4" t="str">
        <f>IFERROR(__xludf.DUMMYFUNCTION("""COMPUTED_VALUE"""),"Adhesivo información general oficina 200x60 mm")</f>
        <v>Adhesivo información general oficina 200x60 mm</v>
      </c>
      <c r="C1005" s="4">
        <f>IFERROR(__xludf.DUMMYFUNCTION("""COMPUTED_VALUE"""),1.1)</f>
        <v>1.1</v>
      </c>
      <c r="D1005" s="4"/>
      <c r="E1005" s="4" t="str">
        <f>IFERROR(__xludf.DUMMYFUNCTION("""COMPUTED_VALUE"""),"Sin precio neto")</f>
        <v>Sin precio neto</v>
      </c>
    </row>
    <row r="1006">
      <c r="A1006" s="4" t="str">
        <f>IFERROR(__xludf.DUMMYFUNCTION("""COMPUTED_VALUE"""),"0856A")</f>
        <v>0856A</v>
      </c>
      <c r="B1006" s="4" t="str">
        <f>IFERROR(__xludf.DUMMYFUNCTION("""COMPUTED_VALUE"""),"Adhesivo información general oficina 300x100 mm")</f>
        <v>Adhesivo información general oficina 300x100 mm</v>
      </c>
      <c r="C1006" s="4">
        <f>IFERROR(__xludf.DUMMYFUNCTION("""COMPUTED_VALUE"""),1.6)</f>
        <v>1.6</v>
      </c>
      <c r="D1006" s="4"/>
      <c r="E1006" s="4" t="str">
        <f>IFERROR(__xludf.DUMMYFUNCTION("""COMPUTED_VALUE"""),"Sin precio neto")</f>
        <v>Sin precio neto</v>
      </c>
    </row>
    <row r="1007">
      <c r="A1007" s="4" t="str">
        <f>IFERROR(__xludf.DUMMYFUNCTION("""COMPUTED_VALUE"""),"0856C")</f>
        <v>0856C</v>
      </c>
      <c r="B1007" s="4" t="str">
        <f>IFERROR(__xludf.DUMMYFUNCTION("""COMPUTED_VALUE"""),"Cartel PVC información general oficina 300x100 mm")</f>
        <v>Cartel PVC información general oficina 300x100 mm</v>
      </c>
      <c r="C1007" s="4">
        <f>IFERROR(__xludf.DUMMYFUNCTION("""COMPUTED_VALUE"""),1.85)</f>
        <v>1.85</v>
      </c>
      <c r="D1007" s="4"/>
      <c r="E1007" s="4" t="str">
        <f>IFERROR(__xludf.DUMMYFUNCTION("""COMPUTED_VALUE"""),"Sin precio neto")</f>
        <v>Sin precio neto</v>
      </c>
    </row>
    <row r="1008">
      <c r="A1008" s="4" t="str">
        <f>IFERROR(__xludf.DUMMYFUNCTION("""COMPUTED_VALUE"""),"857")</f>
        <v>857</v>
      </c>
      <c r="B1008" s="4" t="str">
        <f>IFERROR(__xludf.DUMMYFUNCTION("""COMPUTED_VALUE"""),"Adhesivo información general entrada 200x60mm")</f>
        <v>Adhesivo información general entrada 200x60mm</v>
      </c>
      <c r="C1008" s="4">
        <f>IFERROR(__xludf.DUMMYFUNCTION("""COMPUTED_VALUE"""),1.1)</f>
        <v>1.1</v>
      </c>
      <c r="D1008" s="4"/>
      <c r="E1008" s="4" t="str">
        <f>IFERROR(__xludf.DUMMYFUNCTION("""COMPUTED_VALUE"""),"Sin precio neto")</f>
        <v>Sin precio neto</v>
      </c>
    </row>
    <row r="1009">
      <c r="A1009" s="4" t="str">
        <f>IFERROR(__xludf.DUMMYFUNCTION("""COMPUTED_VALUE"""),"0857A")</f>
        <v>0857A</v>
      </c>
      <c r="B1009" s="4" t="str">
        <f>IFERROR(__xludf.DUMMYFUNCTION("""COMPUTED_VALUE"""),"Adhesivo información general entrada 300x100mm")</f>
        <v>Adhesivo información general entrada 300x100mm</v>
      </c>
      <c r="C1009" s="4">
        <f>IFERROR(__xludf.DUMMYFUNCTION("""COMPUTED_VALUE"""),1.6)</f>
        <v>1.6</v>
      </c>
      <c r="D1009" s="4"/>
      <c r="E1009" s="4" t="str">
        <f>IFERROR(__xludf.DUMMYFUNCTION("""COMPUTED_VALUE"""),"Sin precio neto")</f>
        <v>Sin precio neto</v>
      </c>
    </row>
    <row r="1010">
      <c r="A1010" s="4" t="str">
        <f>IFERROR(__xludf.DUMMYFUNCTION("""COMPUTED_VALUE"""),"0857C")</f>
        <v>0857C</v>
      </c>
      <c r="B1010" s="4" t="str">
        <f>IFERROR(__xludf.DUMMYFUNCTION("""COMPUTED_VALUE"""),"Cartel PVC información general entrada 300x100 mm")</f>
        <v>Cartel PVC información general entrada 300x100 mm</v>
      </c>
      <c r="C1010" s="4">
        <f>IFERROR(__xludf.DUMMYFUNCTION("""COMPUTED_VALUE"""),1.85)</f>
        <v>1.85</v>
      </c>
      <c r="D1010" s="4"/>
      <c r="E1010" s="4" t="str">
        <f>IFERROR(__xludf.DUMMYFUNCTION("""COMPUTED_VALUE"""),"Sin precio neto")</f>
        <v>Sin precio neto</v>
      </c>
    </row>
    <row r="1011">
      <c r="A1011" s="4" t="str">
        <f>IFERROR(__xludf.DUMMYFUNCTION("""COMPUTED_VALUE"""),"858")</f>
        <v>858</v>
      </c>
      <c r="B1011" s="4" t="str">
        <f>IFERROR(__xludf.DUMMYFUNCTION("""COMPUTED_VALUE"""),"Adhesivo información general cierre la puerta 200x60 mm")</f>
        <v>Adhesivo información general cierre la puerta 200x60 mm</v>
      </c>
      <c r="C1011" s="4">
        <f>IFERROR(__xludf.DUMMYFUNCTION("""COMPUTED_VALUE"""),1.1)</f>
        <v>1.1</v>
      </c>
      <c r="D1011" s="4"/>
      <c r="E1011" s="4" t="str">
        <f>IFERROR(__xludf.DUMMYFUNCTION("""COMPUTED_VALUE"""),"Sin precio neto")</f>
        <v>Sin precio neto</v>
      </c>
    </row>
    <row r="1012">
      <c r="A1012" s="4" t="str">
        <f>IFERROR(__xludf.DUMMYFUNCTION("""COMPUTED_VALUE"""),"0858A")</f>
        <v>0858A</v>
      </c>
      <c r="B1012" s="4" t="str">
        <f>IFERROR(__xludf.DUMMYFUNCTION("""COMPUTED_VALUE"""),"Adhesivo información general cierre la puerta 300x100 mm")</f>
        <v>Adhesivo información general cierre la puerta 300x100 mm</v>
      </c>
      <c r="C1012" s="4">
        <f>IFERROR(__xludf.DUMMYFUNCTION("""COMPUTED_VALUE"""),1.6)</f>
        <v>1.6</v>
      </c>
      <c r="D1012" s="4"/>
      <c r="E1012" s="4" t="str">
        <f>IFERROR(__xludf.DUMMYFUNCTION("""COMPUTED_VALUE"""),"Sin precio neto")</f>
        <v>Sin precio neto</v>
      </c>
    </row>
    <row r="1013">
      <c r="A1013" s="4" t="str">
        <f>IFERROR(__xludf.DUMMYFUNCTION("""COMPUTED_VALUE"""),"0858C")</f>
        <v>0858C</v>
      </c>
      <c r="B1013" s="4" t="str">
        <f>IFERROR(__xludf.DUMMYFUNCTION("""COMPUTED_VALUE"""),"Cartel PVC información general cierre la puerta 300x100 mm")</f>
        <v>Cartel PVC información general cierre la puerta 300x100 mm</v>
      </c>
      <c r="C1013" s="4">
        <f>IFERROR(__xludf.DUMMYFUNCTION("""COMPUTED_VALUE"""),1.85)</f>
        <v>1.85</v>
      </c>
      <c r="D1013" s="4"/>
      <c r="E1013" s="4" t="str">
        <f>IFERROR(__xludf.DUMMYFUNCTION("""COMPUTED_VALUE"""),"Sin precio neto")</f>
        <v>Sin precio neto</v>
      </c>
    </row>
    <row r="1014">
      <c r="A1014" s="4" t="str">
        <f>IFERROR(__xludf.DUMMYFUNCTION("""COMPUTED_VALUE"""),"859")</f>
        <v>859</v>
      </c>
      <c r="B1014" s="4" t="str">
        <f>IFERROR(__xludf.DUMMYFUNCTION("""COMPUTED_VALUE"""),"Adhesivo información general empujar 200x60 mm")</f>
        <v>Adhesivo información general empujar 200x60 mm</v>
      </c>
      <c r="C1014" s="4">
        <f>IFERROR(__xludf.DUMMYFUNCTION("""COMPUTED_VALUE"""),1.1)</f>
        <v>1.1</v>
      </c>
      <c r="D1014" s="4"/>
      <c r="E1014" s="4" t="str">
        <f>IFERROR(__xludf.DUMMYFUNCTION("""COMPUTED_VALUE"""),"Sin precio neto")</f>
        <v>Sin precio neto</v>
      </c>
    </row>
    <row r="1015">
      <c r="A1015" s="4" t="str">
        <f>IFERROR(__xludf.DUMMYFUNCTION("""COMPUTED_VALUE"""),"0859A")</f>
        <v>0859A</v>
      </c>
      <c r="B1015" s="4" t="str">
        <f>IFERROR(__xludf.DUMMYFUNCTION("""COMPUTED_VALUE"""),"Adhesivo información general empujar 300x100 mm")</f>
        <v>Adhesivo información general empujar 300x100 mm</v>
      </c>
      <c r="C1015" s="4">
        <f>IFERROR(__xludf.DUMMYFUNCTION("""COMPUTED_VALUE"""),1.6)</f>
        <v>1.6</v>
      </c>
      <c r="D1015" s="4"/>
      <c r="E1015" s="4" t="str">
        <f>IFERROR(__xludf.DUMMYFUNCTION("""COMPUTED_VALUE"""),"Sin precio neto")</f>
        <v>Sin precio neto</v>
      </c>
    </row>
    <row r="1016">
      <c r="A1016" s="4" t="str">
        <f>IFERROR(__xludf.DUMMYFUNCTION("""COMPUTED_VALUE"""),"0859C")</f>
        <v>0859C</v>
      </c>
      <c r="B1016" s="4" t="str">
        <f>IFERROR(__xludf.DUMMYFUNCTION("""COMPUTED_VALUE"""),"Cartel PVC información general empujar 300x100 mm")</f>
        <v>Cartel PVC información general empujar 300x100 mm</v>
      </c>
      <c r="C1016" s="4">
        <f>IFERROR(__xludf.DUMMYFUNCTION("""COMPUTED_VALUE"""),1.85)</f>
        <v>1.85</v>
      </c>
      <c r="D1016" s="4"/>
      <c r="E1016" s="4" t="str">
        <f>IFERROR(__xludf.DUMMYFUNCTION("""COMPUTED_VALUE"""),"Sin precio neto")</f>
        <v>Sin precio neto</v>
      </c>
    </row>
    <row r="1017">
      <c r="A1017" s="4" t="str">
        <f>IFERROR(__xludf.DUMMYFUNCTION("""COMPUTED_VALUE"""),"860")</f>
        <v>860</v>
      </c>
      <c r="B1017" s="4" t="str">
        <f>IFERROR(__xludf.DUMMYFUNCTION("""COMPUTED_VALUE"""),"Adhesivo información general tirar 200x60 mm")</f>
        <v>Adhesivo información general tirar 200x60 mm</v>
      </c>
      <c r="C1017" s="4">
        <f>IFERROR(__xludf.DUMMYFUNCTION("""COMPUTED_VALUE"""),1.1)</f>
        <v>1.1</v>
      </c>
      <c r="D1017" s="4"/>
      <c r="E1017" s="4" t="str">
        <f>IFERROR(__xludf.DUMMYFUNCTION("""COMPUTED_VALUE"""),"Sin precio neto")</f>
        <v>Sin precio neto</v>
      </c>
    </row>
    <row r="1018">
      <c r="A1018" s="4" t="str">
        <f>IFERROR(__xludf.DUMMYFUNCTION("""COMPUTED_VALUE"""),"0860A")</f>
        <v>0860A</v>
      </c>
      <c r="B1018" s="4" t="str">
        <f>IFERROR(__xludf.DUMMYFUNCTION("""COMPUTED_VALUE"""),"Adhesivo información general tirar 300x100 mm")</f>
        <v>Adhesivo información general tirar 300x100 mm</v>
      </c>
      <c r="C1018" s="4">
        <f>IFERROR(__xludf.DUMMYFUNCTION("""COMPUTED_VALUE"""),1.6)</f>
        <v>1.6</v>
      </c>
      <c r="D1018" s="4"/>
      <c r="E1018" s="4" t="str">
        <f>IFERROR(__xludf.DUMMYFUNCTION("""COMPUTED_VALUE"""),"Sin precio neto")</f>
        <v>Sin precio neto</v>
      </c>
    </row>
    <row r="1019">
      <c r="A1019" s="4" t="str">
        <f>IFERROR(__xludf.DUMMYFUNCTION("""COMPUTED_VALUE"""),"0860C")</f>
        <v>0860C</v>
      </c>
      <c r="B1019" s="4" t="str">
        <f>IFERROR(__xludf.DUMMYFUNCTION("""COMPUTED_VALUE"""),"Cartel PVC información general tirar 300x100 mm")</f>
        <v>Cartel PVC información general tirar 300x100 mm</v>
      </c>
      <c r="C1019" s="4">
        <f>IFERROR(__xludf.DUMMYFUNCTION("""COMPUTED_VALUE"""),1.85)</f>
        <v>1.85</v>
      </c>
      <c r="D1019" s="4"/>
      <c r="E1019" s="4" t="str">
        <f>IFERROR(__xludf.DUMMYFUNCTION("""COMPUTED_VALUE"""),"Sin precio neto")</f>
        <v>Sin precio neto</v>
      </c>
    </row>
    <row r="1020">
      <c r="A1020" s="4" t="str">
        <f>IFERROR(__xludf.DUMMYFUNCTION("""COMPUTED_VALUE"""),"861")</f>
        <v>861</v>
      </c>
      <c r="B1020" s="4" t="str">
        <f>IFERROR(__xludf.DUMMYFUNCTION("""COMPUTED_VALUE"""),"Cartel PVC 40x30 reciclado vidrio")</f>
        <v>Cartel PVC 40x30 reciclado vidrio</v>
      </c>
      <c r="C1020" s="4">
        <f>IFERROR(__xludf.DUMMYFUNCTION("""COMPUTED_VALUE"""),2.48)</f>
        <v>2.48</v>
      </c>
      <c r="D1020" s="4">
        <f>IFERROR(__xludf.DUMMYFUNCTION("""COMPUTED_VALUE"""),1.8)</f>
        <v>1.8</v>
      </c>
      <c r="E1020" s="4" t="str">
        <f>IFERROR(__xludf.DUMMYFUNCTION("""COMPUTED_VALUE"""),"Neto: 1,80 € (a partir de 1 uds.)")</f>
        <v>Neto: 1,80 € (a partir de 1 uds.)</v>
      </c>
    </row>
    <row r="1021">
      <c r="A1021" s="4" t="str">
        <f>IFERROR(__xludf.DUMMYFUNCTION("""COMPUTED_VALUE"""),"0861A")</f>
        <v>0861A</v>
      </c>
      <c r="B1021" s="4" t="str">
        <f>IFERROR(__xludf.DUMMYFUNCTION("""COMPUTED_VALUE"""),"Adhesivo PVC 21x29 reciclado vidrio")</f>
        <v>Adhesivo PVC 21x29 reciclado vidrio</v>
      </c>
      <c r="C1021" s="4">
        <f>IFERROR(__xludf.DUMMYFUNCTION("""COMPUTED_VALUE"""),1.25)</f>
        <v>1.25</v>
      </c>
      <c r="D1021" s="4"/>
      <c r="E1021" s="4" t="str">
        <f>IFERROR(__xludf.DUMMYFUNCTION("""COMPUTED_VALUE"""),"Sin precio neto")</f>
        <v>Sin precio neto</v>
      </c>
    </row>
    <row r="1022">
      <c r="A1022" s="4" t="str">
        <f>IFERROR(__xludf.DUMMYFUNCTION("""COMPUTED_VALUE"""),"0861P")</f>
        <v>0861P</v>
      </c>
      <c r="B1022" s="4" t="str">
        <f>IFERROR(__xludf.DUMMYFUNCTION("""COMPUTED_VALUE"""),"Cartel PVC 21x29 reciclado vidrio")</f>
        <v>Cartel PVC 21x29 reciclado vidrio</v>
      </c>
      <c r="C1022" s="4">
        <f>IFERROR(__xludf.DUMMYFUNCTION("""COMPUTED_VALUE"""),1.6)</f>
        <v>1.6</v>
      </c>
      <c r="D1022" s="4">
        <f>IFERROR(__xludf.DUMMYFUNCTION("""COMPUTED_VALUE"""),1.2)</f>
        <v>1.2</v>
      </c>
      <c r="E1022" s="4" t="str">
        <f>IFERROR(__xludf.DUMMYFUNCTION("""COMPUTED_VALUE"""),"Neto: 1,20 € (a partir de 1 uds.)")</f>
        <v>Neto: 1,20 € (a partir de 1 uds.)</v>
      </c>
    </row>
    <row r="1023">
      <c r="A1023" s="4" t="str">
        <f>IFERROR(__xludf.DUMMYFUNCTION("""COMPUTED_VALUE"""),"862")</f>
        <v>862</v>
      </c>
      <c r="B1023" s="4" t="str">
        <f>IFERROR(__xludf.DUMMYFUNCTION("""COMPUTED_VALUE"""),"Cartel PVC 40x30 reciclado plástico")</f>
        <v>Cartel PVC 40x30 reciclado plástico</v>
      </c>
      <c r="C1023" s="4">
        <f>IFERROR(__xludf.DUMMYFUNCTION("""COMPUTED_VALUE"""),2.48)</f>
        <v>2.48</v>
      </c>
      <c r="D1023" s="4">
        <f>IFERROR(__xludf.DUMMYFUNCTION("""COMPUTED_VALUE"""),1.8)</f>
        <v>1.8</v>
      </c>
      <c r="E1023" s="4" t="str">
        <f>IFERROR(__xludf.DUMMYFUNCTION("""COMPUTED_VALUE"""),"Neto: 1,80 € (a partir de 1 uds.)")</f>
        <v>Neto: 1,80 € (a partir de 1 uds.)</v>
      </c>
    </row>
    <row r="1024">
      <c r="A1024" s="4" t="str">
        <f>IFERROR(__xludf.DUMMYFUNCTION("""COMPUTED_VALUE"""),"0862A")</f>
        <v>0862A</v>
      </c>
      <c r="B1024" s="4" t="str">
        <f>IFERROR(__xludf.DUMMYFUNCTION("""COMPUTED_VALUE"""),"Adhesivo PVC 21x29 reciclado plástico")</f>
        <v>Adhesivo PVC 21x29 reciclado plástico</v>
      </c>
      <c r="C1024" s="4">
        <f>IFERROR(__xludf.DUMMYFUNCTION("""COMPUTED_VALUE"""),1.25)</f>
        <v>1.25</v>
      </c>
      <c r="D1024" s="4"/>
      <c r="E1024" s="4" t="str">
        <f>IFERROR(__xludf.DUMMYFUNCTION("""COMPUTED_VALUE"""),"Sin precio neto")</f>
        <v>Sin precio neto</v>
      </c>
    </row>
    <row r="1025">
      <c r="A1025" s="4" t="str">
        <f>IFERROR(__xludf.DUMMYFUNCTION("""COMPUTED_VALUE"""),"0862P")</f>
        <v>0862P</v>
      </c>
      <c r="B1025" s="4" t="str">
        <f>IFERROR(__xludf.DUMMYFUNCTION("""COMPUTED_VALUE"""),"Cartel PVC 21x29 reciclado plástico")</f>
        <v>Cartel PVC 21x29 reciclado plástico</v>
      </c>
      <c r="C1025" s="4">
        <f>IFERROR(__xludf.DUMMYFUNCTION("""COMPUTED_VALUE"""),1.6)</f>
        <v>1.6</v>
      </c>
      <c r="D1025" s="4">
        <f>IFERROR(__xludf.DUMMYFUNCTION("""COMPUTED_VALUE"""),1.2)</f>
        <v>1.2</v>
      </c>
      <c r="E1025" s="4" t="str">
        <f>IFERROR(__xludf.DUMMYFUNCTION("""COMPUTED_VALUE"""),"Neto: 1,20 € (a partir de 1 uds.)")</f>
        <v>Neto: 1,20 € (a partir de 1 uds.)</v>
      </c>
    </row>
    <row r="1026">
      <c r="A1026" s="4" t="str">
        <f>IFERROR(__xludf.DUMMYFUNCTION("""COMPUTED_VALUE"""),"863")</f>
        <v>863</v>
      </c>
      <c r="B1026" s="4" t="str">
        <f>IFERROR(__xludf.DUMMYFUNCTION("""COMPUTED_VALUE"""),"Cartel PVC 40x30 reciclado metal")</f>
        <v>Cartel PVC 40x30 reciclado metal</v>
      </c>
      <c r="C1026" s="4">
        <f>IFERROR(__xludf.DUMMYFUNCTION("""COMPUTED_VALUE"""),2.48)</f>
        <v>2.48</v>
      </c>
      <c r="D1026" s="4">
        <f>IFERROR(__xludf.DUMMYFUNCTION("""COMPUTED_VALUE"""),1.8)</f>
        <v>1.8</v>
      </c>
      <c r="E1026" s="4" t="str">
        <f>IFERROR(__xludf.DUMMYFUNCTION("""COMPUTED_VALUE"""),"Neto: 1,80 € (a partir de 1 uds.)")</f>
        <v>Neto: 1,80 € (a partir de 1 uds.)</v>
      </c>
    </row>
    <row r="1027">
      <c r="A1027" s="4" t="str">
        <f>IFERROR(__xludf.DUMMYFUNCTION("""COMPUTED_VALUE"""),"0863A")</f>
        <v>0863A</v>
      </c>
      <c r="B1027" s="4" t="str">
        <f>IFERROR(__xludf.DUMMYFUNCTION("""COMPUTED_VALUE"""),"Adhesivo PVC 21x29 reciclado metal")</f>
        <v>Adhesivo PVC 21x29 reciclado metal</v>
      </c>
      <c r="C1027" s="4">
        <f>IFERROR(__xludf.DUMMYFUNCTION("""COMPUTED_VALUE"""),1.25)</f>
        <v>1.25</v>
      </c>
      <c r="D1027" s="4"/>
      <c r="E1027" s="4" t="str">
        <f>IFERROR(__xludf.DUMMYFUNCTION("""COMPUTED_VALUE"""),"Sin precio neto")</f>
        <v>Sin precio neto</v>
      </c>
    </row>
    <row r="1028">
      <c r="A1028" s="4" t="str">
        <f>IFERROR(__xludf.DUMMYFUNCTION("""COMPUTED_VALUE"""),"0863P")</f>
        <v>0863P</v>
      </c>
      <c r="B1028" s="4" t="str">
        <f>IFERROR(__xludf.DUMMYFUNCTION("""COMPUTED_VALUE"""),"Cartel PVC 21x29 reciclado metal")</f>
        <v>Cartel PVC 21x29 reciclado metal</v>
      </c>
      <c r="C1028" s="4">
        <f>IFERROR(__xludf.DUMMYFUNCTION("""COMPUTED_VALUE"""),1.6)</f>
        <v>1.6</v>
      </c>
      <c r="D1028" s="4">
        <f>IFERROR(__xludf.DUMMYFUNCTION("""COMPUTED_VALUE"""),1.2)</f>
        <v>1.2</v>
      </c>
      <c r="E1028" s="4" t="str">
        <f>IFERROR(__xludf.DUMMYFUNCTION("""COMPUTED_VALUE"""),"Neto: 1,20 € (a partir de 1 uds.)")</f>
        <v>Neto: 1,20 € (a partir de 1 uds.)</v>
      </c>
    </row>
    <row r="1029">
      <c r="A1029" s="4" t="str">
        <f>IFERROR(__xludf.DUMMYFUNCTION("""COMPUTED_VALUE"""),"864")</f>
        <v>864</v>
      </c>
      <c r="B1029" s="4" t="str">
        <f>IFERROR(__xludf.DUMMYFUNCTION("""COMPUTED_VALUE"""),"Cartel PVC 40x30 reciclado madera")</f>
        <v>Cartel PVC 40x30 reciclado madera</v>
      </c>
      <c r="C1029" s="4">
        <f>IFERROR(__xludf.DUMMYFUNCTION("""COMPUTED_VALUE"""),2.48)</f>
        <v>2.48</v>
      </c>
      <c r="D1029" s="4">
        <f>IFERROR(__xludf.DUMMYFUNCTION("""COMPUTED_VALUE"""),1.8)</f>
        <v>1.8</v>
      </c>
      <c r="E1029" s="4" t="str">
        <f>IFERROR(__xludf.DUMMYFUNCTION("""COMPUTED_VALUE"""),"Neto: 1,80 € (a partir de 1 uds.)")</f>
        <v>Neto: 1,80 € (a partir de 1 uds.)</v>
      </c>
    </row>
    <row r="1030">
      <c r="A1030" s="4" t="str">
        <f>IFERROR(__xludf.DUMMYFUNCTION("""COMPUTED_VALUE"""),"0864A")</f>
        <v>0864A</v>
      </c>
      <c r="B1030" s="4" t="str">
        <f>IFERROR(__xludf.DUMMYFUNCTION("""COMPUTED_VALUE"""),"Adhesivo PVC 21x29 reciclado madera")</f>
        <v>Adhesivo PVC 21x29 reciclado madera</v>
      </c>
      <c r="C1030" s="4">
        <f>IFERROR(__xludf.DUMMYFUNCTION("""COMPUTED_VALUE"""),1.25)</f>
        <v>1.25</v>
      </c>
      <c r="D1030" s="4"/>
      <c r="E1030" s="4" t="str">
        <f>IFERROR(__xludf.DUMMYFUNCTION("""COMPUTED_VALUE"""),"Sin precio neto")</f>
        <v>Sin precio neto</v>
      </c>
    </row>
    <row r="1031">
      <c r="A1031" s="4" t="str">
        <f>IFERROR(__xludf.DUMMYFUNCTION("""COMPUTED_VALUE"""),"0864P")</f>
        <v>0864P</v>
      </c>
      <c r="B1031" s="4" t="str">
        <f>IFERROR(__xludf.DUMMYFUNCTION("""COMPUTED_VALUE"""),"Cartel PVC 21x29 reciclado madera")</f>
        <v>Cartel PVC 21x29 reciclado madera</v>
      </c>
      <c r="C1031" s="4">
        <f>IFERROR(__xludf.DUMMYFUNCTION("""COMPUTED_VALUE"""),1.6)</f>
        <v>1.6</v>
      </c>
      <c r="D1031" s="4">
        <f>IFERROR(__xludf.DUMMYFUNCTION("""COMPUTED_VALUE"""),1.2)</f>
        <v>1.2</v>
      </c>
      <c r="E1031" s="4" t="str">
        <f>IFERROR(__xludf.DUMMYFUNCTION("""COMPUTED_VALUE"""),"Neto: 1,20 € (a partir de 1 uds.)")</f>
        <v>Neto: 1,20 € (a partir de 1 uds.)</v>
      </c>
    </row>
    <row r="1032">
      <c r="A1032" s="4" t="str">
        <f>IFERROR(__xludf.DUMMYFUNCTION("""COMPUTED_VALUE"""),"865")</f>
        <v>865</v>
      </c>
      <c r="B1032" s="4" t="str">
        <f>IFERROR(__xludf.DUMMYFUNCTION("""COMPUTED_VALUE"""),"Cartel PVC 40x30 reciclado aluminio")</f>
        <v>Cartel PVC 40x30 reciclado aluminio</v>
      </c>
      <c r="C1032" s="4">
        <f>IFERROR(__xludf.DUMMYFUNCTION("""COMPUTED_VALUE"""),2.48)</f>
        <v>2.48</v>
      </c>
      <c r="D1032" s="4">
        <f>IFERROR(__xludf.DUMMYFUNCTION("""COMPUTED_VALUE"""),1.8)</f>
        <v>1.8</v>
      </c>
      <c r="E1032" s="4" t="str">
        <f>IFERROR(__xludf.DUMMYFUNCTION("""COMPUTED_VALUE"""),"Neto: 1,80 € (a partir de 1 uds.)")</f>
        <v>Neto: 1,80 € (a partir de 1 uds.)</v>
      </c>
    </row>
    <row r="1033">
      <c r="A1033" s="4" t="str">
        <f>IFERROR(__xludf.DUMMYFUNCTION("""COMPUTED_VALUE"""),"0865A")</f>
        <v>0865A</v>
      </c>
      <c r="B1033" s="4" t="str">
        <f>IFERROR(__xludf.DUMMYFUNCTION("""COMPUTED_VALUE"""),"Adhesivo PVC 21x29 reciclado aluminio")</f>
        <v>Adhesivo PVC 21x29 reciclado aluminio</v>
      </c>
      <c r="C1033" s="4">
        <f>IFERROR(__xludf.DUMMYFUNCTION("""COMPUTED_VALUE"""),1.25)</f>
        <v>1.25</v>
      </c>
      <c r="D1033" s="4"/>
      <c r="E1033" s="4" t="str">
        <f>IFERROR(__xludf.DUMMYFUNCTION("""COMPUTED_VALUE"""),"Sin precio neto")</f>
        <v>Sin precio neto</v>
      </c>
    </row>
    <row r="1034">
      <c r="A1034" s="4" t="str">
        <f>IFERROR(__xludf.DUMMYFUNCTION("""COMPUTED_VALUE"""),"0865P")</f>
        <v>0865P</v>
      </c>
      <c r="B1034" s="4" t="str">
        <f>IFERROR(__xludf.DUMMYFUNCTION("""COMPUTED_VALUE"""),"Cartel PVC 21x29 reciclado aluminio")</f>
        <v>Cartel PVC 21x29 reciclado aluminio</v>
      </c>
      <c r="C1034" s="4">
        <f>IFERROR(__xludf.DUMMYFUNCTION("""COMPUTED_VALUE"""),1.6)</f>
        <v>1.6</v>
      </c>
      <c r="D1034" s="4">
        <f>IFERROR(__xludf.DUMMYFUNCTION("""COMPUTED_VALUE"""),1.2)</f>
        <v>1.2</v>
      </c>
      <c r="E1034" s="4" t="str">
        <f>IFERROR(__xludf.DUMMYFUNCTION("""COMPUTED_VALUE"""),"Neto: 1,20 € (a partir de 1 uds.)")</f>
        <v>Neto: 1,20 € (a partir de 1 uds.)</v>
      </c>
    </row>
    <row r="1035">
      <c r="A1035" s="4" t="str">
        <f>IFERROR(__xludf.DUMMYFUNCTION("""COMPUTED_VALUE"""),"866")</f>
        <v>866</v>
      </c>
      <c r="B1035" s="4" t="str">
        <f>IFERROR(__xludf.DUMMYFUNCTION("""COMPUTED_VALUE"""),"Cartel PVC 40x30 reciclado papel")</f>
        <v>Cartel PVC 40x30 reciclado papel</v>
      </c>
      <c r="C1035" s="4">
        <f>IFERROR(__xludf.DUMMYFUNCTION("""COMPUTED_VALUE"""),2.48)</f>
        <v>2.48</v>
      </c>
      <c r="D1035" s="4">
        <f>IFERROR(__xludf.DUMMYFUNCTION("""COMPUTED_VALUE"""),1.8)</f>
        <v>1.8</v>
      </c>
      <c r="E1035" s="4" t="str">
        <f>IFERROR(__xludf.DUMMYFUNCTION("""COMPUTED_VALUE"""),"Neto: 1,80 € (a partir de 1 uds.)")</f>
        <v>Neto: 1,80 € (a partir de 1 uds.)</v>
      </c>
    </row>
    <row r="1036">
      <c r="A1036" s="4" t="str">
        <f>IFERROR(__xludf.DUMMYFUNCTION("""COMPUTED_VALUE"""),"0866A")</f>
        <v>0866A</v>
      </c>
      <c r="B1036" s="4" t="str">
        <f>IFERROR(__xludf.DUMMYFUNCTION("""COMPUTED_VALUE"""),"Adhesivo PVC 21x29 reciclado papel")</f>
        <v>Adhesivo PVC 21x29 reciclado papel</v>
      </c>
      <c r="C1036" s="4">
        <f>IFERROR(__xludf.DUMMYFUNCTION("""COMPUTED_VALUE"""),1.25)</f>
        <v>1.25</v>
      </c>
      <c r="D1036" s="4"/>
      <c r="E1036" s="4" t="str">
        <f>IFERROR(__xludf.DUMMYFUNCTION("""COMPUTED_VALUE"""),"Sin precio neto")</f>
        <v>Sin precio neto</v>
      </c>
    </row>
    <row r="1037">
      <c r="A1037" s="4" t="str">
        <f>IFERROR(__xludf.DUMMYFUNCTION("""COMPUTED_VALUE"""),"0866P")</f>
        <v>0866P</v>
      </c>
      <c r="B1037" s="4" t="str">
        <f>IFERROR(__xludf.DUMMYFUNCTION("""COMPUTED_VALUE"""),"Cartel PVC 21x29 reciclado papel")</f>
        <v>Cartel PVC 21x29 reciclado papel</v>
      </c>
      <c r="C1037" s="4">
        <f>IFERROR(__xludf.DUMMYFUNCTION("""COMPUTED_VALUE"""),1.6)</f>
        <v>1.6</v>
      </c>
      <c r="D1037" s="4">
        <f>IFERROR(__xludf.DUMMYFUNCTION("""COMPUTED_VALUE"""),1.2)</f>
        <v>1.2</v>
      </c>
      <c r="E1037" s="4" t="str">
        <f>IFERROR(__xludf.DUMMYFUNCTION("""COMPUTED_VALUE"""),"Neto: 1,20 € (a partir de 1 uds.)")</f>
        <v>Neto: 1,20 € (a partir de 1 uds.)</v>
      </c>
    </row>
    <row r="1038">
      <c r="A1038" s="4" t="str">
        <f>IFERROR(__xludf.DUMMYFUNCTION("""COMPUTED_VALUE"""),"867")</f>
        <v>867</v>
      </c>
      <c r="B1038" s="4" t="str">
        <f>IFERROR(__xludf.DUMMYFUNCTION("""COMPUTED_VALUE"""),"Cartel PVC 40x30 reciclado envases")</f>
        <v>Cartel PVC 40x30 reciclado envases</v>
      </c>
      <c r="C1038" s="4">
        <f>IFERROR(__xludf.DUMMYFUNCTION("""COMPUTED_VALUE"""),2.48)</f>
        <v>2.48</v>
      </c>
      <c r="D1038" s="4">
        <f>IFERROR(__xludf.DUMMYFUNCTION("""COMPUTED_VALUE"""),1.8)</f>
        <v>1.8</v>
      </c>
      <c r="E1038" s="4" t="str">
        <f>IFERROR(__xludf.DUMMYFUNCTION("""COMPUTED_VALUE"""),"Neto: 1,80 € (a partir de 1 uds.)")</f>
        <v>Neto: 1,80 € (a partir de 1 uds.)</v>
      </c>
    </row>
    <row r="1039">
      <c r="A1039" s="4" t="str">
        <f>IFERROR(__xludf.DUMMYFUNCTION("""COMPUTED_VALUE"""),"0867A")</f>
        <v>0867A</v>
      </c>
      <c r="B1039" s="4" t="str">
        <f>IFERROR(__xludf.DUMMYFUNCTION("""COMPUTED_VALUE"""),"Adhesivo PVC 21x29 reciclado envases")</f>
        <v>Adhesivo PVC 21x29 reciclado envases</v>
      </c>
      <c r="C1039" s="4">
        <f>IFERROR(__xludf.DUMMYFUNCTION("""COMPUTED_VALUE"""),1.25)</f>
        <v>1.25</v>
      </c>
      <c r="D1039" s="4"/>
      <c r="E1039" s="4" t="str">
        <f>IFERROR(__xludf.DUMMYFUNCTION("""COMPUTED_VALUE"""),"Sin precio neto")</f>
        <v>Sin precio neto</v>
      </c>
    </row>
    <row r="1040">
      <c r="A1040" s="4" t="str">
        <f>IFERROR(__xludf.DUMMYFUNCTION("""COMPUTED_VALUE"""),"0867P")</f>
        <v>0867P</v>
      </c>
      <c r="B1040" s="4" t="str">
        <f>IFERROR(__xludf.DUMMYFUNCTION("""COMPUTED_VALUE"""),"Cartel PVC 21x29 reciclado envases")</f>
        <v>Cartel PVC 21x29 reciclado envases</v>
      </c>
      <c r="C1040" s="4">
        <f>IFERROR(__xludf.DUMMYFUNCTION("""COMPUTED_VALUE"""),1.6)</f>
        <v>1.6</v>
      </c>
      <c r="D1040" s="4">
        <f>IFERROR(__xludf.DUMMYFUNCTION("""COMPUTED_VALUE"""),1.2)</f>
        <v>1.2</v>
      </c>
      <c r="E1040" s="4" t="str">
        <f>IFERROR(__xludf.DUMMYFUNCTION("""COMPUTED_VALUE"""),"Neto: 1,20 € (a partir de 1 uds.)")</f>
        <v>Neto: 1,20 € (a partir de 1 uds.)</v>
      </c>
    </row>
    <row r="1041">
      <c r="A1041" s="4" t="str">
        <f>IFERROR(__xludf.DUMMYFUNCTION("""COMPUTED_VALUE"""),"868")</f>
        <v>868</v>
      </c>
      <c r="B1041" s="4" t="str">
        <f>IFERROR(__xludf.DUMMYFUNCTION("""COMPUTED_VALUE"""),"Cartel PVC 40x30 reciclado latas")</f>
        <v>Cartel PVC 40x30 reciclado latas</v>
      </c>
      <c r="C1041" s="4">
        <f>IFERROR(__xludf.DUMMYFUNCTION("""COMPUTED_VALUE"""),2.48)</f>
        <v>2.48</v>
      </c>
      <c r="D1041" s="4">
        <f>IFERROR(__xludf.DUMMYFUNCTION("""COMPUTED_VALUE"""),1.8)</f>
        <v>1.8</v>
      </c>
      <c r="E1041" s="4" t="str">
        <f>IFERROR(__xludf.DUMMYFUNCTION("""COMPUTED_VALUE"""),"Neto: 1,80 € (a partir de 1 uds.)")</f>
        <v>Neto: 1,80 € (a partir de 1 uds.)</v>
      </c>
    </row>
    <row r="1042">
      <c r="A1042" s="4" t="str">
        <f>IFERROR(__xludf.DUMMYFUNCTION("""COMPUTED_VALUE"""),"0868A")</f>
        <v>0868A</v>
      </c>
      <c r="B1042" s="4" t="str">
        <f>IFERROR(__xludf.DUMMYFUNCTION("""COMPUTED_VALUE"""),"Adhesivo PVC 21x29 reciclado latas")</f>
        <v>Adhesivo PVC 21x29 reciclado latas</v>
      </c>
      <c r="C1042" s="4">
        <f>IFERROR(__xludf.DUMMYFUNCTION("""COMPUTED_VALUE"""),1.25)</f>
        <v>1.25</v>
      </c>
      <c r="D1042" s="4"/>
      <c r="E1042" s="4" t="str">
        <f>IFERROR(__xludf.DUMMYFUNCTION("""COMPUTED_VALUE"""),"Sin precio neto")</f>
        <v>Sin precio neto</v>
      </c>
    </row>
    <row r="1043">
      <c r="A1043" s="4" t="str">
        <f>IFERROR(__xludf.DUMMYFUNCTION("""COMPUTED_VALUE"""),"0868P")</f>
        <v>0868P</v>
      </c>
      <c r="B1043" s="4" t="str">
        <f>IFERROR(__xludf.DUMMYFUNCTION("""COMPUTED_VALUE"""),"Cartel PVC 21x29 reciclado latas")</f>
        <v>Cartel PVC 21x29 reciclado latas</v>
      </c>
      <c r="C1043" s="4">
        <f>IFERROR(__xludf.DUMMYFUNCTION("""COMPUTED_VALUE"""),1.6)</f>
        <v>1.6</v>
      </c>
      <c r="D1043" s="4">
        <f>IFERROR(__xludf.DUMMYFUNCTION("""COMPUTED_VALUE"""),1.2)</f>
        <v>1.2</v>
      </c>
      <c r="E1043" s="4" t="str">
        <f>IFERROR(__xludf.DUMMYFUNCTION("""COMPUTED_VALUE"""),"Neto: 1,20 € (a partir de 1 uds.)")</f>
        <v>Neto: 1,20 € (a partir de 1 uds.)</v>
      </c>
    </row>
    <row r="1044">
      <c r="A1044" s="4" t="str">
        <f>IFERROR(__xludf.DUMMYFUNCTION("""COMPUTED_VALUE"""),"869")</f>
        <v>869</v>
      </c>
      <c r="B1044" s="4" t="str">
        <f>IFERROR(__xludf.DUMMYFUNCTION("""COMPUTED_VALUE"""),"Cartel PVC 40x30 reciclado chatarra")</f>
        <v>Cartel PVC 40x30 reciclado chatarra</v>
      </c>
      <c r="C1044" s="4">
        <f>IFERROR(__xludf.DUMMYFUNCTION("""COMPUTED_VALUE"""),2.48)</f>
        <v>2.48</v>
      </c>
      <c r="D1044" s="4">
        <f>IFERROR(__xludf.DUMMYFUNCTION("""COMPUTED_VALUE"""),1.8)</f>
        <v>1.8</v>
      </c>
      <c r="E1044" s="4" t="str">
        <f>IFERROR(__xludf.DUMMYFUNCTION("""COMPUTED_VALUE"""),"Neto: 1,80 € (a partir de 1 uds.)")</f>
        <v>Neto: 1,80 € (a partir de 1 uds.)</v>
      </c>
    </row>
    <row r="1045">
      <c r="A1045" s="4" t="str">
        <f>IFERROR(__xludf.DUMMYFUNCTION("""COMPUTED_VALUE"""),"0869A")</f>
        <v>0869A</v>
      </c>
      <c r="B1045" s="4" t="str">
        <f>IFERROR(__xludf.DUMMYFUNCTION("""COMPUTED_VALUE"""),"Adhesivo PVC 21x29 reciclado chatarra")</f>
        <v>Adhesivo PVC 21x29 reciclado chatarra</v>
      </c>
      <c r="C1045" s="4">
        <f>IFERROR(__xludf.DUMMYFUNCTION("""COMPUTED_VALUE"""),1.25)</f>
        <v>1.25</v>
      </c>
      <c r="D1045" s="4"/>
      <c r="E1045" s="4" t="str">
        <f>IFERROR(__xludf.DUMMYFUNCTION("""COMPUTED_VALUE"""),"Sin precio neto")</f>
        <v>Sin precio neto</v>
      </c>
    </row>
    <row r="1046">
      <c r="A1046" s="4" t="str">
        <f>IFERROR(__xludf.DUMMYFUNCTION("""COMPUTED_VALUE"""),"0869P")</f>
        <v>0869P</v>
      </c>
      <c r="B1046" s="4" t="str">
        <f>IFERROR(__xludf.DUMMYFUNCTION("""COMPUTED_VALUE"""),"Cartel PVC 21x29 reciclado chatarra")</f>
        <v>Cartel PVC 21x29 reciclado chatarra</v>
      </c>
      <c r="C1046" s="4">
        <f>IFERROR(__xludf.DUMMYFUNCTION("""COMPUTED_VALUE"""),1.6)</f>
        <v>1.6</v>
      </c>
      <c r="D1046" s="4">
        <f>IFERROR(__xludf.DUMMYFUNCTION("""COMPUTED_VALUE"""),1.2)</f>
        <v>1.2</v>
      </c>
      <c r="E1046" s="4" t="str">
        <f>IFERROR(__xludf.DUMMYFUNCTION("""COMPUTED_VALUE"""),"Neto: 1,20 € (a partir de 1 uds.)")</f>
        <v>Neto: 1,20 € (a partir de 1 uds.)</v>
      </c>
    </row>
    <row r="1047">
      <c r="A1047" s="4" t="str">
        <f>IFERROR(__xludf.DUMMYFUNCTION("""COMPUTED_VALUE"""),"870")</f>
        <v>870</v>
      </c>
      <c r="B1047" s="4" t="str">
        <f>IFERROR(__xludf.DUMMYFUNCTION("""COMPUTED_VALUE"""),"Cartel PVC 40x30 reciclado basura")</f>
        <v>Cartel PVC 40x30 reciclado basura</v>
      </c>
      <c r="C1047" s="4">
        <f>IFERROR(__xludf.DUMMYFUNCTION("""COMPUTED_VALUE"""),2.48)</f>
        <v>2.48</v>
      </c>
      <c r="D1047" s="4">
        <f>IFERROR(__xludf.DUMMYFUNCTION("""COMPUTED_VALUE"""),1.8)</f>
        <v>1.8</v>
      </c>
      <c r="E1047" s="4" t="str">
        <f>IFERROR(__xludf.DUMMYFUNCTION("""COMPUTED_VALUE"""),"Neto: 1,80 € (a partir de 1 uds.)")</f>
        <v>Neto: 1,80 € (a partir de 1 uds.)</v>
      </c>
    </row>
    <row r="1048">
      <c r="A1048" s="4" t="str">
        <f>IFERROR(__xludf.DUMMYFUNCTION("""COMPUTED_VALUE"""),"0870A")</f>
        <v>0870A</v>
      </c>
      <c r="B1048" s="4" t="str">
        <f>IFERROR(__xludf.DUMMYFUNCTION("""COMPUTED_VALUE"""),"Adhesivo PVC 21x29 reciclado basura")</f>
        <v>Adhesivo PVC 21x29 reciclado basura</v>
      </c>
      <c r="C1048" s="4">
        <f>IFERROR(__xludf.DUMMYFUNCTION("""COMPUTED_VALUE"""),1.25)</f>
        <v>1.25</v>
      </c>
      <c r="D1048" s="4"/>
      <c r="E1048" s="4" t="str">
        <f>IFERROR(__xludf.DUMMYFUNCTION("""COMPUTED_VALUE"""),"Sin precio neto")</f>
        <v>Sin precio neto</v>
      </c>
    </row>
    <row r="1049">
      <c r="A1049" s="4" t="str">
        <f>IFERROR(__xludf.DUMMYFUNCTION("""COMPUTED_VALUE"""),"0870P")</f>
        <v>0870P</v>
      </c>
      <c r="B1049" s="4" t="str">
        <f>IFERROR(__xludf.DUMMYFUNCTION("""COMPUTED_VALUE"""),"Cartel PVC 21x29 reciclado basura")</f>
        <v>Cartel PVC 21x29 reciclado basura</v>
      </c>
      <c r="C1049" s="4">
        <f>IFERROR(__xludf.DUMMYFUNCTION("""COMPUTED_VALUE"""),1.6)</f>
        <v>1.6</v>
      </c>
      <c r="D1049" s="4">
        <f>IFERROR(__xludf.DUMMYFUNCTION("""COMPUTED_VALUE"""),1.2)</f>
        <v>1.2</v>
      </c>
      <c r="E1049" s="4" t="str">
        <f>IFERROR(__xludf.DUMMYFUNCTION("""COMPUTED_VALUE"""),"Neto: 1,20 € (a partir de 1 uds.)")</f>
        <v>Neto: 1,20 € (a partir de 1 uds.)</v>
      </c>
    </row>
    <row r="1050">
      <c r="A1050" s="4" t="str">
        <f>IFERROR(__xludf.DUMMYFUNCTION("""COMPUTED_VALUE"""),"871")</f>
        <v>871</v>
      </c>
      <c r="B1050" s="4" t="str">
        <f>IFERROR(__xludf.DUMMYFUNCTION("""COMPUTED_VALUE"""),"Cartel PVC 40x30 cm zona controlada, riesgo de irradiación")</f>
        <v>Cartel PVC 40x30 cm zona controlada, riesgo de irradiación</v>
      </c>
      <c r="C1050" s="4">
        <f>IFERROR(__xludf.DUMMYFUNCTION("""COMPUTED_VALUE"""),2.48)</f>
        <v>2.48</v>
      </c>
      <c r="D1050" s="4">
        <f>IFERROR(__xludf.DUMMYFUNCTION("""COMPUTED_VALUE"""),0.18)</f>
        <v>0.18</v>
      </c>
      <c r="E1050" s="4" t="str">
        <f>IFERROR(__xludf.DUMMYFUNCTION("""COMPUTED_VALUE"""),"Neto: 0,18 € (a partir de 1 uds.)")</f>
        <v>Neto: 0,18 € (a partir de 1 uds.)</v>
      </c>
    </row>
    <row r="1051">
      <c r="A1051" s="4" t="str">
        <f>IFERROR(__xludf.DUMMYFUNCTION("""COMPUTED_VALUE"""),"0871A")</f>
        <v>0871A</v>
      </c>
      <c r="B1051" s="4" t="str">
        <f>IFERROR(__xludf.DUMMYFUNCTION("""COMPUTED_VALUE"""),"Adhesivo PVC 21x29 cm zona controlada, riesgo de irradiación")</f>
        <v>Adhesivo PVC 21x29 cm zona controlada, riesgo de irradiación</v>
      </c>
      <c r="C1051" s="4">
        <f>IFERROR(__xludf.DUMMYFUNCTION("""COMPUTED_VALUE"""),1.25)</f>
        <v>1.25</v>
      </c>
      <c r="D1051" s="4"/>
      <c r="E1051" s="4" t="str">
        <f>IFERROR(__xludf.DUMMYFUNCTION("""COMPUTED_VALUE"""),"Sin precio neto")</f>
        <v>Sin precio neto</v>
      </c>
    </row>
    <row r="1052">
      <c r="A1052" s="4" t="str">
        <f>IFERROR(__xludf.DUMMYFUNCTION("""COMPUTED_VALUE"""),"0871P")</f>
        <v>0871P</v>
      </c>
      <c r="B1052" s="4" t="str">
        <f>IFERROR(__xludf.DUMMYFUNCTION("""COMPUTED_VALUE"""),"Cartel PVC 21x29 cm zona controlada, riesgo de irradiación")</f>
        <v>Cartel PVC 21x29 cm zona controlada, riesgo de irradiación</v>
      </c>
      <c r="C1052" s="4">
        <f>IFERROR(__xludf.DUMMYFUNCTION("""COMPUTED_VALUE"""),1.6)</f>
        <v>1.6</v>
      </c>
      <c r="D1052" s="4">
        <f>IFERROR(__xludf.DUMMYFUNCTION("""COMPUTED_VALUE"""),1.2)</f>
        <v>1.2</v>
      </c>
      <c r="E1052" s="4" t="str">
        <f>IFERROR(__xludf.DUMMYFUNCTION("""COMPUTED_VALUE"""),"Neto: 1,20 € (a partir de 1 uds.)")</f>
        <v>Neto: 1,20 € (a partir de 1 uds.)</v>
      </c>
    </row>
    <row r="1053">
      <c r="A1053" s="4" t="str">
        <f>IFERROR(__xludf.DUMMYFUNCTION("""COMPUTED_VALUE"""),"872")</f>
        <v>872</v>
      </c>
      <c r="B1053" s="4" t="str">
        <f>IFERROR(__xludf.DUMMYFUNCTION("""COMPUTED_VALUE"""),"Cartel PVC 40x30 cm zona controlada, riesgo de")</f>
        <v>Cartel PVC 40x30 cm zona controlada, riesgo de</v>
      </c>
      <c r="C1053" s="4">
        <f>IFERROR(__xludf.DUMMYFUNCTION("""COMPUTED_VALUE"""),2.48)</f>
        <v>2.48</v>
      </c>
      <c r="D1053" s="4">
        <f>IFERROR(__xludf.DUMMYFUNCTION("""COMPUTED_VALUE"""),1.8)</f>
        <v>1.8</v>
      </c>
      <c r="E1053" s="4" t="str">
        <f>IFERROR(__xludf.DUMMYFUNCTION("""COMPUTED_VALUE"""),"Neto: 1,80 € (a partir de 1 uds.)")</f>
        <v>Neto: 1,80 € (a partir de 1 uds.)</v>
      </c>
    </row>
    <row r="1054">
      <c r="A1054" s="4" t="str">
        <f>IFERROR(__xludf.DUMMYFUNCTION("""COMPUTED_VALUE"""),"0872A")</f>
        <v>0872A</v>
      </c>
      <c r="B1054" s="4" t="str">
        <f>IFERROR(__xludf.DUMMYFUNCTION("""COMPUTED_VALUE"""),"Adhesivo PVC 21x29 cm zona controlada, riesgo de")</f>
        <v>Adhesivo PVC 21x29 cm zona controlada, riesgo de</v>
      </c>
      <c r="C1054" s="4">
        <f>IFERROR(__xludf.DUMMYFUNCTION("""COMPUTED_VALUE"""),1.25)</f>
        <v>1.25</v>
      </c>
      <c r="D1054" s="4"/>
      <c r="E1054" s="4" t="str">
        <f>IFERROR(__xludf.DUMMYFUNCTION("""COMPUTED_VALUE"""),"Sin precio neto")</f>
        <v>Sin precio neto</v>
      </c>
    </row>
    <row r="1055">
      <c r="A1055" s="4" t="str">
        <f>IFERROR(__xludf.DUMMYFUNCTION("""COMPUTED_VALUE"""),"0872P")</f>
        <v>0872P</v>
      </c>
      <c r="B1055" s="4" t="str">
        <f>IFERROR(__xludf.DUMMYFUNCTION("""COMPUTED_VALUE"""),"Cartel PVC 21x29 cm zona controlada, riesgo de")</f>
        <v>Cartel PVC 21x29 cm zona controlada, riesgo de</v>
      </c>
      <c r="C1055" s="4">
        <f>IFERROR(__xludf.DUMMYFUNCTION("""COMPUTED_VALUE"""),1.6)</f>
        <v>1.6</v>
      </c>
      <c r="D1055" s="4">
        <f>IFERROR(__xludf.DUMMYFUNCTION("""COMPUTED_VALUE"""),1.2)</f>
        <v>1.2</v>
      </c>
      <c r="E1055" s="4" t="str">
        <f>IFERROR(__xludf.DUMMYFUNCTION("""COMPUTED_VALUE"""),"Neto: 1,20 € (a partir de 1 uds.)")</f>
        <v>Neto: 1,20 € (a partir de 1 uds.)</v>
      </c>
    </row>
    <row r="1056">
      <c r="A1056" s="4" t="str">
        <f>IFERROR(__xludf.DUMMYFUNCTION("""COMPUTED_VALUE"""),"873")</f>
        <v>873</v>
      </c>
      <c r="B1056" s="4" t="str">
        <f>IFERROR(__xludf.DUMMYFUNCTION("""COMPUTED_VALUE"""),"Cartel PVC 40x30 cm zona controlada, riesgo de cont. e irrad.")</f>
        <v>Cartel PVC 40x30 cm zona controlada, riesgo de cont. e irrad.</v>
      </c>
      <c r="C1056" s="4">
        <f>IFERROR(__xludf.DUMMYFUNCTION("""COMPUTED_VALUE"""),2.48)</f>
        <v>2.48</v>
      </c>
      <c r="D1056" s="4">
        <f>IFERROR(__xludf.DUMMYFUNCTION("""COMPUTED_VALUE"""),1.8)</f>
        <v>1.8</v>
      </c>
      <c r="E1056" s="4" t="str">
        <f>IFERROR(__xludf.DUMMYFUNCTION("""COMPUTED_VALUE"""),"Neto: 1,80 € (a partir de 1 uds.)")</f>
        <v>Neto: 1,80 € (a partir de 1 uds.)</v>
      </c>
    </row>
    <row r="1057">
      <c r="A1057" s="4" t="str">
        <f>IFERROR(__xludf.DUMMYFUNCTION("""COMPUTED_VALUE"""),"0873A")</f>
        <v>0873A</v>
      </c>
      <c r="B1057" s="4" t="str">
        <f>IFERROR(__xludf.DUMMYFUNCTION("""COMPUTED_VALUE"""),"Adhesivo PVC 21x29 cm zona controlada, riesgo de cont. e")</f>
        <v>Adhesivo PVC 21x29 cm zona controlada, riesgo de cont. e</v>
      </c>
      <c r="C1057" s="4">
        <f>IFERROR(__xludf.DUMMYFUNCTION("""COMPUTED_VALUE"""),1.25)</f>
        <v>1.25</v>
      </c>
      <c r="D1057" s="4"/>
      <c r="E1057" s="4" t="str">
        <f>IFERROR(__xludf.DUMMYFUNCTION("""COMPUTED_VALUE"""),"Sin precio neto")</f>
        <v>Sin precio neto</v>
      </c>
    </row>
    <row r="1058">
      <c r="A1058" s="4" t="str">
        <f>IFERROR(__xludf.DUMMYFUNCTION("""COMPUTED_VALUE"""),"0873P")</f>
        <v>0873P</v>
      </c>
      <c r="B1058" s="4" t="str">
        <f>IFERROR(__xludf.DUMMYFUNCTION("""COMPUTED_VALUE"""),"zona controlada, riesgo de cont. e irrad.")</f>
        <v>zona controlada, riesgo de cont. e irrad.</v>
      </c>
      <c r="C1058" s="4">
        <f>IFERROR(__xludf.DUMMYFUNCTION("""COMPUTED_VALUE"""),1.25)</f>
        <v>1.25</v>
      </c>
      <c r="D1058" s="4"/>
      <c r="E1058" s="4" t="str">
        <f>IFERROR(__xludf.DUMMYFUNCTION("""COMPUTED_VALUE"""),"Sin precio neto")</f>
        <v>Sin precio neto</v>
      </c>
    </row>
    <row r="1059">
      <c r="A1059" s="4" t="str">
        <f>IFERROR(__xludf.DUMMYFUNCTION("""COMPUTED_VALUE"""),"874")</f>
        <v>874</v>
      </c>
      <c r="B1059" s="4" t="str">
        <f>IFERROR(__xludf.DUMMYFUNCTION("""COMPUTED_VALUE"""),"Cartel PVC 40x30 cm zona perm. limitada, riesgo de")</f>
        <v>Cartel PVC 40x30 cm zona perm. limitada, riesgo de</v>
      </c>
      <c r="C1059" s="4">
        <f>IFERROR(__xludf.DUMMYFUNCTION("""COMPUTED_VALUE"""),2.48)</f>
        <v>2.48</v>
      </c>
      <c r="D1059" s="4">
        <f>IFERROR(__xludf.DUMMYFUNCTION("""COMPUTED_VALUE"""),1.8)</f>
        <v>1.8</v>
      </c>
      <c r="E1059" s="4" t="str">
        <f>IFERROR(__xludf.DUMMYFUNCTION("""COMPUTED_VALUE"""),"Neto: 1,80 € (a partir de 1 uds.)")</f>
        <v>Neto: 1,80 € (a partir de 1 uds.)</v>
      </c>
    </row>
    <row r="1060">
      <c r="A1060" s="4" t="str">
        <f>IFERROR(__xludf.DUMMYFUNCTION("""COMPUTED_VALUE"""),"0874A")</f>
        <v>0874A</v>
      </c>
      <c r="B1060" s="4" t="str">
        <f>IFERROR(__xludf.DUMMYFUNCTION("""COMPUTED_VALUE"""),"Adhesivo PVC 21x29 cm zona zona perm. limitada, riesgo de")</f>
        <v>Adhesivo PVC 21x29 cm zona zona perm. limitada, riesgo de</v>
      </c>
      <c r="C1060" s="4">
        <f>IFERROR(__xludf.DUMMYFUNCTION("""COMPUTED_VALUE"""),1.25)</f>
        <v>1.25</v>
      </c>
      <c r="D1060" s="4"/>
      <c r="E1060" s="4" t="str">
        <f>IFERROR(__xludf.DUMMYFUNCTION("""COMPUTED_VALUE"""),"Sin precio neto")</f>
        <v>Sin precio neto</v>
      </c>
    </row>
    <row r="1061">
      <c r="A1061" s="4" t="str">
        <f>IFERROR(__xludf.DUMMYFUNCTION("""COMPUTED_VALUE"""),"0874P")</f>
        <v>0874P</v>
      </c>
      <c r="B1061" s="4" t="str">
        <f>IFERROR(__xludf.DUMMYFUNCTION("""COMPUTED_VALUE"""),"Cartel PVC 21x29 cm zona perm. limitada, riesgo de")</f>
        <v>Cartel PVC 21x29 cm zona perm. limitada, riesgo de</v>
      </c>
      <c r="C1061" s="4">
        <f>IFERROR(__xludf.DUMMYFUNCTION("""COMPUTED_VALUE"""),1.6)</f>
        <v>1.6</v>
      </c>
      <c r="D1061" s="4">
        <f>IFERROR(__xludf.DUMMYFUNCTION("""COMPUTED_VALUE"""),1.2)</f>
        <v>1.2</v>
      </c>
      <c r="E1061" s="4" t="str">
        <f>IFERROR(__xludf.DUMMYFUNCTION("""COMPUTED_VALUE"""),"Neto: 1,20 € (a partir de 1 uds.)")</f>
        <v>Neto: 1,20 € (a partir de 1 uds.)</v>
      </c>
    </row>
    <row r="1062">
      <c r="A1062" s="4" t="str">
        <f>IFERROR(__xludf.DUMMYFUNCTION("""COMPUTED_VALUE"""),"875")</f>
        <v>875</v>
      </c>
      <c r="B1062" s="4" t="str">
        <f>IFERROR(__xludf.DUMMYFUNCTION("""COMPUTED_VALUE"""),"Cartel PVC 40x30 cm zona perm. limitada, riesgo de")</f>
        <v>Cartel PVC 40x30 cm zona perm. limitada, riesgo de</v>
      </c>
      <c r="C1062" s="4">
        <f>IFERROR(__xludf.DUMMYFUNCTION("""COMPUTED_VALUE"""),2.48)</f>
        <v>2.48</v>
      </c>
      <c r="D1062" s="4">
        <f>IFERROR(__xludf.DUMMYFUNCTION("""COMPUTED_VALUE"""),1.8)</f>
        <v>1.8</v>
      </c>
      <c r="E1062" s="4" t="str">
        <f>IFERROR(__xludf.DUMMYFUNCTION("""COMPUTED_VALUE"""),"Neto: 1,80 € (a partir de 1 uds.)")</f>
        <v>Neto: 1,80 € (a partir de 1 uds.)</v>
      </c>
    </row>
    <row r="1063">
      <c r="A1063" s="4" t="str">
        <f>IFERROR(__xludf.DUMMYFUNCTION("""COMPUTED_VALUE"""),"0875A")</f>
        <v>0875A</v>
      </c>
      <c r="B1063" s="4" t="str">
        <f>IFERROR(__xludf.DUMMYFUNCTION("""COMPUTED_VALUE"""),"Adhesivo PVC 21x29 cm zona zona perm. limitada, riesgo de")</f>
        <v>Adhesivo PVC 21x29 cm zona zona perm. limitada, riesgo de</v>
      </c>
      <c r="C1063" s="4">
        <f>IFERROR(__xludf.DUMMYFUNCTION("""COMPUTED_VALUE"""),1.25)</f>
        <v>1.25</v>
      </c>
      <c r="D1063" s="4"/>
      <c r="E1063" s="4" t="str">
        <f>IFERROR(__xludf.DUMMYFUNCTION("""COMPUTED_VALUE"""),"Sin precio neto")</f>
        <v>Sin precio neto</v>
      </c>
    </row>
    <row r="1064">
      <c r="A1064" s="4" t="str">
        <f>IFERROR(__xludf.DUMMYFUNCTION("""COMPUTED_VALUE"""),"0875P")</f>
        <v>0875P</v>
      </c>
      <c r="B1064" s="4" t="str">
        <f>IFERROR(__xludf.DUMMYFUNCTION("""COMPUTED_VALUE"""),"Cartel PVC 21x29 cm zona perm. limitada, riesgo de")</f>
        <v>Cartel PVC 21x29 cm zona perm. limitada, riesgo de</v>
      </c>
      <c r="C1064" s="4">
        <f>IFERROR(__xludf.DUMMYFUNCTION("""COMPUTED_VALUE"""),1.6)</f>
        <v>1.6</v>
      </c>
      <c r="D1064" s="4">
        <f>IFERROR(__xludf.DUMMYFUNCTION("""COMPUTED_VALUE"""),1.2)</f>
        <v>1.2</v>
      </c>
      <c r="E1064" s="4" t="str">
        <f>IFERROR(__xludf.DUMMYFUNCTION("""COMPUTED_VALUE"""),"Neto: 1,20 € (a partir de 1 uds.)")</f>
        <v>Neto: 1,20 € (a partir de 1 uds.)</v>
      </c>
    </row>
    <row r="1065">
      <c r="A1065" s="4" t="str">
        <f>IFERROR(__xludf.DUMMYFUNCTION("""COMPUTED_VALUE"""),"876")</f>
        <v>876</v>
      </c>
      <c r="B1065" s="4" t="str">
        <f>IFERROR(__xludf.DUMMYFUNCTION("""COMPUTED_VALUE"""),"Cartel PVC 40x30 cm zona perm. limitada, riesgo de cont. e")</f>
        <v>Cartel PVC 40x30 cm zona perm. limitada, riesgo de cont. e</v>
      </c>
      <c r="C1065" s="4">
        <f>IFERROR(__xludf.DUMMYFUNCTION("""COMPUTED_VALUE"""),2.48)</f>
        <v>2.48</v>
      </c>
      <c r="D1065" s="4">
        <f>IFERROR(__xludf.DUMMYFUNCTION("""COMPUTED_VALUE"""),1.8)</f>
        <v>1.8</v>
      </c>
      <c r="E1065" s="4" t="str">
        <f>IFERROR(__xludf.DUMMYFUNCTION("""COMPUTED_VALUE"""),"Neto: 1,80 € (a partir de 1 uds.)")</f>
        <v>Neto: 1,80 € (a partir de 1 uds.)</v>
      </c>
    </row>
    <row r="1066">
      <c r="A1066" s="4" t="str">
        <f>IFERROR(__xludf.DUMMYFUNCTION("""COMPUTED_VALUE"""),"0876A")</f>
        <v>0876A</v>
      </c>
      <c r="B1066" s="4" t="str">
        <f>IFERROR(__xludf.DUMMYFUNCTION("""COMPUTED_VALUE"""),"Adhesivo PVC 21x29 cm zona zona perm. limitada, riesgo cont.")</f>
        <v>Adhesivo PVC 21x29 cm zona zona perm. limitada, riesgo cont.</v>
      </c>
      <c r="C1066" s="4">
        <f>IFERROR(__xludf.DUMMYFUNCTION("""COMPUTED_VALUE"""),1.25)</f>
        <v>1.25</v>
      </c>
      <c r="D1066" s="4"/>
      <c r="E1066" s="4" t="str">
        <f>IFERROR(__xludf.DUMMYFUNCTION("""COMPUTED_VALUE"""),"Sin precio neto")</f>
        <v>Sin precio neto</v>
      </c>
    </row>
    <row r="1067">
      <c r="A1067" s="4" t="str">
        <f>IFERROR(__xludf.DUMMYFUNCTION("""COMPUTED_VALUE"""),"0876P")</f>
        <v>0876P</v>
      </c>
      <c r="B1067" s="4" t="str">
        <f>IFERROR(__xludf.DUMMYFUNCTION("""COMPUTED_VALUE"""),"Cartel PVC 21x29 cm zona perm. limitada, riesgo de cont. e")</f>
        <v>Cartel PVC 21x29 cm zona perm. limitada, riesgo de cont. e</v>
      </c>
      <c r="C1067" s="4">
        <f>IFERROR(__xludf.DUMMYFUNCTION("""COMPUTED_VALUE"""),1.6)</f>
        <v>1.6</v>
      </c>
      <c r="D1067" s="4">
        <f>IFERROR(__xludf.DUMMYFUNCTION("""COMPUTED_VALUE"""),1.2)</f>
        <v>1.2</v>
      </c>
      <c r="E1067" s="4" t="str">
        <f>IFERROR(__xludf.DUMMYFUNCTION("""COMPUTED_VALUE"""),"Neto: 1,20 € (a partir de 1 uds.)")</f>
        <v>Neto: 1,20 € (a partir de 1 uds.)</v>
      </c>
    </row>
    <row r="1068">
      <c r="A1068" s="4" t="str">
        <f>IFERROR(__xludf.DUMMYFUNCTION("""COMPUTED_VALUE"""),"877")</f>
        <v>877</v>
      </c>
      <c r="B1068" s="4" t="str">
        <f>IFERROR(__xludf.DUMMYFUNCTION("""COMPUTED_VALUE"""),"Cartel PVC 40x30 cm zona acceso prohibido, riesgo de")</f>
        <v>Cartel PVC 40x30 cm zona acceso prohibido, riesgo de</v>
      </c>
      <c r="C1068" s="4">
        <f>IFERROR(__xludf.DUMMYFUNCTION("""COMPUTED_VALUE"""),2.48)</f>
        <v>2.48</v>
      </c>
      <c r="D1068" s="4">
        <f>IFERROR(__xludf.DUMMYFUNCTION("""COMPUTED_VALUE"""),1.8)</f>
        <v>1.8</v>
      </c>
      <c r="E1068" s="4" t="str">
        <f>IFERROR(__xludf.DUMMYFUNCTION("""COMPUTED_VALUE"""),"Neto: 1,80 € (a partir de 1 uds.)")</f>
        <v>Neto: 1,80 € (a partir de 1 uds.)</v>
      </c>
    </row>
    <row r="1069">
      <c r="A1069" s="4" t="str">
        <f>IFERROR(__xludf.DUMMYFUNCTION("""COMPUTED_VALUE"""),"0877A")</f>
        <v>0877A</v>
      </c>
      <c r="B1069" s="4" t="str">
        <f>IFERROR(__xludf.DUMMYFUNCTION("""COMPUTED_VALUE"""),"Adhesivo PVC 21x29 cm zona acceso prohibido, riesgo de")</f>
        <v>Adhesivo PVC 21x29 cm zona acceso prohibido, riesgo de</v>
      </c>
      <c r="C1069" s="4">
        <f>IFERROR(__xludf.DUMMYFUNCTION("""COMPUTED_VALUE"""),1.25)</f>
        <v>1.25</v>
      </c>
      <c r="D1069" s="4"/>
      <c r="E1069" s="4" t="str">
        <f>IFERROR(__xludf.DUMMYFUNCTION("""COMPUTED_VALUE"""),"Sin precio neto")</f>
        <v>Sin precio neto</v>
      </c>
    </row>
    <row r="1070">
      <c r="A1070" s="4" t="str">
        <f>IFERROR(__xludf.DUMMYFUNCTION("""COMPUTED_VALUE"""),"0877P")</f>
        <v>0877P</v>
      </c>
      <c r="B1070" s="4" t="str">
        <f>IFERROR(__xludf.DUMMYFUNCTION("""COMPUTED_VALUE"""),"Cartel PVC 21x29 cm zona acceso prohibido, riesgo de")</f>
        <v>Cartel PVC 21x29 cm zona acceso prohibido, riesgo de</v>
      </c>
      <c r="C1070" s="4">
        <f>IFERROR(__xludf.DUMMYFUNCTION("""COMPUTED_VALUE"""),1.6)</f>
        <v>1.6</v>
      </c>
      <c r="D1070" s="4">
        <f>IFERROR(__xludf.DUMMYFUNCTION("""COMPUTED_VALUE"""),1.2)</f>
        <v>1.2</v>
      </c>
      <c r="E1070" s="4" t="str">
        <f>IFERROR(__xludf.DUMMYFUNCTION("""COMPUTED_VALUE"""),"Neto: 1,20 € (a partir de 1 uds.)")</f>
        <v>Neto: 1,20 € (a partir de 1 uds.)</v>
      </c>
    </row>
    <row r="1071">
      <c r="A1071" s="4" t="str">
        <f>IFERROR(__xludf.DUMMYFUNCTION("""COMPUTED_VALUE"""),"878")</f>
        <v>878</v>
      </c>
      <c r="B1071" s="4" t="str">
        <f>IFERROR(__xludf.DUMMYFUNCTION("""COMPUTED_VALUE"""),"Cartel PVC 40x30 cm zona acceso prohibido, riesgo de")</f>
        <v>Cartel PVC 40x30 cm zona acceso prohibido, riesgo de</v>
      </c>
      <c r="C1071" s="4">
        <f>IFERROR(__xludf.DUMMYFUNCTION("""COMPUTED_VALUE"""),2.48)</f>
        <v>2.48</v>
      </c>
      <c r="D1071" s="4">
        <f>IFERROR(__xludf.DUMMYFUNCTION("""COMPUTED_VALUE"""),1.8)</f>
        <v>1.8</v>
      </c>
      <c r="E1071" s="4" t="str">
        <f>IFERROR(__xludf.DUMMYFUNCTION("""COMPUTED_VALUE"""),"Neto: 1,80 € (a partir de 1 uds.)")</f>
        <v>Neto: 1,80 € (a partir de 1 uds.)</v>
      </c>
    </row>
    <row r="1072">
      <c r="A1072" s="4" t="str">
        <f>IFERROR(__xludf.DUMMYFUNCTION("""COMPUTED_VALUE"""),"0878A")</f>
        <v>0878A</v>
      </c>
      <c r="B1072" s="4" t="str">
        <f>IFERROR(__xludf.DUMMYFUNCTION("""COMPUTED_VALUE"""),"Adhesivo PVC 21x29 cm zona acceso prohibido, riesgo de")</f>
        <v>Adhesivo PVC 21x29 cm zona acceso prohibido, riesgo de</v>
      </c>
      <c r="C1072" s="4">
        <f>IFERROR(__xludf.DUMMYFUNCTION("""COMPUTED_VALUE"""),1.25)</f>
        <v>1.25</v>
      </c>
      <c r="D1072" s="4"/>
      <c r="E1072" s="4" t="str">
        <f>IFERROR(__xludf.DUMMYFUNCTION("""COMPUTED_VALUE"""),"Sin precio neto")</f>
        <v>Sin precio neto</v>
      </c>
    </row>
    <row r="1073">
      <c r="A1073" s="4" t="str">
        <f>IFERROR(__xludf.DUMMYFUNCTION("""COMPUTED_VALUE"""),"0878P")</f>
        <v>0878P</v>
      </c>
      <c r="B1073" s="4" t="str">
        <f>IFERROR(__xludf.DUMMYFUNCTION("""COMPUTED_VALUE"""),"Cartel PVC 21x29 cm zona acceso prohibido, riesgo de")</f>
        <v>Cartel PVC 21x29 cm zona acceso prohibido, riesgo de</v>
      </c>
      <c r="C1073" s="4">
        <f>IFERROR(__xludf.DUMMYFUNCTION("""COMPUTED_VALUE"""),1.6)</f>
        <v>1.6</v>
      </c>
      <c r="D1073" s="4">
        <f>IFERROR(__xludf.DUMMYFUNCTION("""COMPUTED_VALUE"""),1.2)</f>
        <v>1.2</v>
      </c>
      <c r="E1073" s="4" t="str">
        <f>IFERROR(__xludf.DUMMYFUNCTION("""COMPUTED_VALUE"""),"Neto: 1,20 € (a partir de 1 uds.)")</f>
        <v>Neto: 1,20 € (a partir de 1 uds.)</v>
      </c>
    </row>
    <row r="1074">
      <c r="A1074" s="4" t="str">
        <f>IFERROR(__xludf.DUMMYFUNCTION("""COMPUTED_VALUE"""),"879")</f>
        <v>879</v>
      </c>
      <c r="B1074" s="4" t="str">
        <f>IFERROR(__xludf.DUMMYFUNCTION("""COMPUTED_VALUE"""),"Cartel PVC 40x30 cm zona acceso prohibido, riesgo de cont. e")</f>
        <v>Cartel PVC 40x30 cm zona acceso prohibido, riesgo de cont. e</v>
      </c>
      <c r="C1074" s="4">
        <f>IFERROR(__xludf.DUMMYFUNCTION("""COMPUTED_VALUE"""),2.48)</f>
        <v>2.48</v>
      </c>
      <c r="D1074" s="4">
        <f>IFERROR(__xludf.DUMMYFUNCTION("""COMPUTED_VALUE"""),1.8)</f>
        <v>1.8</v>
      </c>
      <c r="E1074" s="4" t="str">
        <f>IFERROR(__xludf.DUMMYFUNCTION("""COMPUTED_VALUE"""),"Neto: 1,80 € (a partir de 1 uds.)")</f>
        <v>Neto: 1,80 € (a partir de 1 uds.)</v>
      </c>
    </row>
    <row r="1075">
      <c r="A1075" s="4" t="str">
        <f>IFERROR(__xludf.DUMMYFUNCTION("""COMPUTED_VALUE"""),"0879A")</f>
        <v>0879A</v>
      </c>
      <c r="B1075" s="4" t="str">
        <f>IFERROR(__xludf.DUMMYFUNCTION("""COMPUTED_VALUE"""),"Adhesivo PVC 21x29 cm zona acceso prohibido, riesgo de")</f>
        <v>Adhesivo PVC 21x29 cm zona acceso prohibido, riesgo de</v>
      </c>
      <c r="C1075" s="4">
        <f>IFERROR(__xludf.DUMMYFUNCTION("""COMPUTED_VALUE"""),1.25)</f>
        <v>1.25</v>
      </c>
      <c r="D1075" s="4"/>
      <c r="E1075" s="4" t="str">
        <f>IFERROR(__xludf.DUMMYFUNCTION("""COMPUTED_VALUE"""),"Sin precio neto")</f>
        <v>Sin precio neto</v>
      </c>
    </row>
    <row r="1076">
      <c r="A1076" s="4" t="str">
        <f>IFERROR(__xludf.DUMMYFUNCTION("""COMPUTED_VALUE"""),"0879P")</f>
        <v>0879P</v>
      </c>
      <c r="B1076" s="4" t="str">
        <f>IFERROR(__xludf.DUMMYFUNCTION("""COMPUTED_VALUE"""),"Cartel PVC 21x29 cm zona acceso prohibido, riesgo de cont. e")</f>
        <v>Cartel PVC 21x29 cm zona acceso prohibido, riesgo de cont. e</v>
      </c>
      <c r="C1076" s="4">
        <f>IFERROR(__xludf.DUMMYFUNCTION("""COMPUTED_VALUE"""),1.6)</f>
        <v>1.6</v>
      </c>
      <c r="D1076" s="4">
        <f>IFERROR(__xludf.DUMMYFUNCTION("""COMPUTED_VALUE"""),1.2)</f>
        <v>1.2</v>
      </c>
      <c r="E1076" s="4" t="str">
        <f>IFERROR(__xludf.DUMMYFUNCTION("""COMPUTED_VALUE"""),"Neto: 1,20 € (a partir de 1 uds.)")</f>
        <v>Neto: 1,20 € (a partir de 1 uds.)</v>
      </c>
    </row>
    <row r="1077">
      <c r="A1077" s="4" t="str">
        <f>IFERROR(__xludf.DUMMYFUNCTION("""COMPUTED_VALUE"""),"880")</f>
        <v>880</v>
      </c>
      <c r="B1077" s="4" t="str">
        <f>IFERROR(__xludf.DUMMYFUNCTION("""COMPUTED_VALUE"""),"Cartel PVC 40x30 cm zona vigilada, riesgo de irradiación")</f>
        <v>Cartel PVC 40x30 cm zona vigilada, riesgo de irradiación</v>
      </c>
      <c r="C1077" s="4">
        <f>IFERROR(__xludf.DUMMYFUNCTION("""COMPUTED_VALUE"""),2.48)</f>
        <v>2.48</v>
      </c>
      <c r="D1077" s="4">
        <f>IFERROR(__xludf.DUMMYFUNCTION("""COMPUTED_VALUE"""),1.8)</f>
        <v>1.8</v>
      </c>
      <c r="E1077" s="4" t="str">
        <f>IFERROR(__xludf.DUMMYFUNCTION("""COMPUTED_VALUE"""),"Neto: 1,80 € (a partir de 1 uds.)")</f>
        <v>Neto: 1,80 € (a partir de 1 uds.)</v>
      </c>
    </row>
    <row r="1078">
      <c r="A1078" s="4" t="str">
        <f>IFERROR(__xludf.DUMMYFUNCTION("""COMPUTED_VALUE"""),"0880A")</f>
        <v>0880A</v>
      </c>
      <c r="B1078" s="4" t="str">
        <f>IFERROR(__xludf.DUMMYFUNCTION("""COMPUTED_VALUE"""),"Adhesivo PVC 21x29 cm zona vigilada, riesgo de irradiación")</f>
        <v>Adhesivo PVC 21x29 cm zona vigilada, riesgo de irradiación</v>
      </c>
      <c r="C1078" s="4">
        <f>IFERROR(__xludf.DUMMYFUNCTION("""COMPUTED_VALUE"""),1.25)</f>
        <v>1.25</v>
      </c>
      <c r="D1078" s="4"/>
      <c r="E1078" s="4" t="str">
        <f>IFERROR(__xludf.DUMMYFUNCTION("""COMPUTED_VALUE"""),"Sin precio neto")</f>
        <v>Sin precio neto</v>
      </c>
    </row>
    <row r="1079">
      <c r="A1079" s="4" t="str">
        <f>IFERROR(__xludf.DUMMYFUNCTION("""COMPUTED_VALUE"""),"0880P")</f>
        <v>0880P</v>
      </c>
      <c r="B1079" s="4" t="str">
        <f>IFERROR(__xludf.DUMMYFUNCTION("""COMPUTED_VALUE"""),"Cartel PVC 21x29 cm zona vigilada, riesgo de irradiación")</f>
        <v>Cartel PVC 21x29 cm zona vigilada, riesgo de irradiación</v>
      </c>
      <c r="C1079" s="4">
        <f>IFERROR(__xludf.DUMMYFUNCTION("""COMPUTED_VALUE"""),1.6)</f>
        <v>1.6</v>
      </c>
      <c r="D1079" s="4">
        <f>IFERROR(__xludf.DUMMYFUNCTION("""COMPUTED_VALUE"""),1.2)</f>
        <v>1.2</v>
      </c>
      <c r="E1079" s="4" t="str">
        <f>IFERROR(__xludf.DUMMYFUNCTION("""COMPUTED_VALUE"""),"Neto: 1,20 € (a partir de 1 uds.)")</f>
        <v>Neto: 1,20 € (a partir de 1 uds.)</v>
      </c>
    </row>
    <row r="1080">
      <c r="A1080" s="4" t="str">
        <f>IFERROR(__xludf.DUMMYFUNCTION("""COMPUTED_VALUE"""),"881")</f>
        <v>881</v>
      </c>
      <c r="B1080" s="4" t="str">
        <f>IFERROR(__xludf.DUMMYFUNCTION("""COMPUTED_VALUE"""),"Cartel PVC 40x30 cm zona vigilada, riesgo de contaminación")</f>
        <v>Cartel PVC 40x30 cm zona vigilada, riesgo de contaminación</v>
      </c>
      <c r="C1080" s="4">
        <f>IFERROR(__xludf.DUMMYFUNCTION("""COMPUTED_VALUE"""),2.48)</f>
        <v>2.48</v>
      </c>
      <c r="D1080" s="4">
        <f>IFERROR(__xludf.DUMMYFUNCTION("""COMPUTED_VALUE"""),1.8)</f>
        <v>1.8</v>
      </c>
      <c r="E1080" s="4" t="str">
        <f>IFERROR(__xludf.DUMMYFUNCTION("""COMPUTED_VALUE"""),"Neto: 1,80 € (a partir de 1 uds.)")</f>
        <v>Neto: 1,80 € (a partir de 1 uds.)</v>
      </c>
    </row>
    <row r="1081">
      <c r="A1081" s="4" t="str">
        <f>IFERROR(__xludf.DUMMYFUNCTION("""COMPUTED_VALUE"""),"0881A")</f>
        <v>0881A</v>
      </c>
      <c r="B1081" s="4" t="str">
        <f>IFERROR(__xludf.DUMMYFUNCTION("""COMPUTED_VALUE"""),"Adhesivo PVC 21x29 cm zona vigilada, riesgo de")</f>
        <v>Adhesivo PVC 21x29 cm zona vigilada, riesgo de</v>
      </c>
      <c r="C1081" s="4">
        <f>IFERROR(__xludf.DUMMYFUNCTION("""COMPUTED_VALUE"""),1.25)</f>
        <v>1.25</v>
      </c>
      <c r="D1081" s="4"/>
      <c r="E1081" s="4" t="str">
        <f>IFERROR(__xludf.DUMMYFUNCTION("""COMPUTED_VALUE"""),"Sin precio neto")</f>
        <v>Sin precio neto</v>
      </c>
    </row>
    <row r="1082">
      <c r="A1082" s="4" t="str">
        <f>IFERROR(__xludf.DUMMYFUNCTION("""COMPUTED_VALUE"""),"0881P")</f>
        <v>0881P</v>
      </c>
      <c r="B1082" s="4" t="str">
        <f>IFERROR(__xludf.DUMMYFUNCTION("""COMPUTED_VALUE"""),"Cartel PVC 21x29 cm zona vigilada, riesgo de contaminación")</f>
        <v>Cartel PVC 21x29 cm zona vigilada, riesgo de contaminación</v>
      </c>
      <c r="C1082" s="4">
        <f>IFERROR(__xludf.DUMMYFUNCTION("""COMPUTED_VALUE"""),1.47)</f>
        <v>1.47</v>
      </c>
      <c r="D1082" s="4">
        <f>IFERROR(__xludf.DUMMYFUNCTION("""COMPUTED_VALUE"""),1.2)</f>
        <v>1.2</v>
      </c>
      <c r="E1082" s="4" t="str">
        <f>IFERROR(__xludf.DUMMYFUNCTION("""COMPUTED_VALUE"""),"Neto: 1,20 € (a partir de 1 uds.)")</f>
        <v>Neto: 1,20 € (a partir de 1 uds.)</v>
      </c>
    </row>
    <row r="1083">
      <c r="A1083" s="4" t="str">
        <f>IFERROR(__xludf.DUMMYFUNCTION("""COMPUTED_VALUE"""),"882")</f>
        <v>882</v>
      </c>
      <c r="B1083" s="4" t="str">
        <f>IFERROR(__xludf.DUMMYFUNCTION("""COMPUTED_VALUE"""),"Cartel PVC 40x30 cm zona vigilada, riesgo de cont. e irrad.")</f>
        <v>Cartel PVC 40x30 cm zona vigilada, riesgo de cont. e irrad.</v>
      </c>
      <c r="C1083" s="4">
        <f>IFERROR(__xludf.DUMMYFUNCTION("""COMPUTED_VALUE"""),2.48)</f>
        <v>2.48</v>
      </c>
      <c r="D1083" s="4">
        <f>IFERROR(__xludf.DUMMYFUNCTION("""COMPUTED_VALUE"""),1.8)</f>
        <v>1.8</v>
      </c>
      <c r="E1083" s="4" t="str">
        <f>IFERROR(__xludf.DUMMYFUNCTION("""COMPUTED_VALUE"""),"Neto: 1,80 € (a partir de 1 uds.)")</f>
        <v>Neto: 1,80 € (a partir de 1 uds.)</v>
      </c>
    </row>
    <row r="1084">
      <c r="A1084" s="4" t="str">
        <f>IFERROR(__xludf.DUMMYFUNCTION("""COMPUTED_VALUE"""),"0882A")</f>
        <v>0882A</v>
      </c>
      <c r="B1084" s="4" t="str">
        <f>IFERROR(__xludf.DUMMYFUNCTION("""COMPUTED_VALUE"""),"Adhesivo PVC 21x29 cm zona vigilada, riesgo de cont. e irrad.")</f>
        <v>Adhesivo PVC 21x29 cm zona vigilada, riesgo de cont. e irrad.</v>
      </c>
      <c r="C1084" s="4">
        <f>IFERROR(__xludf.DUMMYFUNCTION("""COMPUTED_VALUE"""),1.25)</f>
        <v>1.25</v>
      </c>
      <c r="D1084" s="4"/>
      <c r="E1084" s="4" t="str">
        <f>IFERROR(__xludf.DUMMYFUNCTION("""COMPUTED_VALUE"""),"Sin precio neto")</f>
        <v>Sin precio neto</v>
      </c>
    </row>
    <row r="1085">
      <c r="A1085" s="4" t="str">
        <f>IFERROR(__xludf.DUMMYFUNCTION("""COMPUTED_VALUE"""),"0882P")</f>
        <v>0882P</v>
      </c>
      <c r="B1085" s="4" t="str">
        <f>IFERROR(__xludf.DUMMYFUNCTION("""COMPUTED_VALUE"""),"Cartel PVC 21x29 cm zona vigilada, riesgo de cont. e irrad.")</f>
        <v>Cartel PVC 21x29 cm zona vigilada, riesgo de cont. e irrad.</v>
      </c>
      <c r="C1085" s="4">
        <f>IFERROR(__xludf.DUMMYFUNCTION("""COMPUTED_VALUE"""),1.6)</f>
        <v>1.6</v>
      </c>
      <c r="D1085" s="4">
        <f>IFERROR(__xludf.DUMMYFUNCTION("""COMPUTED_VALUE"""),1.2)</f>
        <v>1.2</v>
      </c>
      <c r="E1085" s="4" t="str">
        <f>IFERROR(__xludf.DUMMYFUNCTION("""COMPUTED_VALUE"""),"Neto: 1,20 € (a partir de 1 uds.)")</f>
        <v>Neto: 1,20 € (a partir de 1 uds.)</v>
      </c>
    </row>
    <row r="1086">
      <c r="A1086" s="4" t="str">
        <f>IFERROR(__xludf.DUMMYFUNCTION("""COMPUTED_VALUE"""),"883")</f>
        <v>883</v>
      </c>
      <c r="B1086" s="4" t="str">
        <f>IFERROR(__xludf.DUMMYFUNCTION("""COMPUTED_VALUE"""),"Adhesivo PVC Grupo 0 Oxígeno 100x25 mm")</f>
        <v>Adhesivo PVC Grupo 0 Oxígeno 100x25 mm</v>
      </c>
      <c r="C1086" s="4">
        <f>IFERROR(__xludf.DUMMYFUNCTION("""COMPUTED_VALUE"""),1.0)</f>
        <v>1</v>
      </c>
      <c r="D1086" s="4"/>
      <c r="E1086" s="4" t="str">
        <f>IFERROR(__xludf.DUMMYFUNCTION("""COMPUTED_VALUE"""),"Sin precio neto")</f>
        <v>Sin precio neto</v>
      </c>
    </row>
    <row r="1087">
      <c r="A1087" s="4" t="str">
        <f>IFERROR(__xludf.DUMMYFUNCTION("""COMPUTED_VALUE"""),"0883A")</f>
        <v>0883A</v>
      </c>
      <c r="B1087" s="4" t="str">
        <f>IFERROR(__xludf.DUMMYFUNCTION("""COMPUTED_VALUE"""),"Adhesivo PVC Grupo 0 Oxígeno 200x50 mm")</f>
        <v>Adhesivo PVC Grupo 0 Oxígeno 200x50 mm</v>
      </c>
      <c r="C1087" s="4">
        <f>IFERROR(__xludf.DUMMYFUNCTION("""COMPUTED_VALUE"""),1.5)</f>
        <v>1.5</v>
      </c>
      <c r="D1087" s="4"/>
      <c r="E1087" s="4" t="str">
        <f>IFERROR(__xludf.DUMMYFUNCTION("""COMPUTED_VALUE"""),"Sin precio neto")</f>
        <v>Sin precio neto</v>
      </c>
    </row>
    <row r="1088">
      <c r="A1088" s="4" t="str">
        <f>IFERROR(__xludf.DUMMYFUNCTION("""COMPUTED_VALUE"""),"0883B")</f>
        <v>0883B</v>
      </c>
      <c r="B1088" s="4" t="str">
        <f>IFERROR(__xludf.DUMMYFUNCTION("""COMPUTED_VALUE"""),"Adhesivo PVC Grupo 0 Oxígeno 400x100 mm")</f>
        <v>Adhesivo PVC Grupo 0 Oxígeno 400x100 mm</v>
      </c>
      <c r="C1088" s="4">
        <f>IFERROR(__xludf.DUMMYFUNCTION("""COMPUTED_VALUE"""),2.0)</f>
        <v>2</v>
      </c>
      <c r="D1088" s="4"/>
      <c r="E1088" s="4" t="str">
        <f>IFERROR(__xludf.DUMMYFUNCTION("""COMPUTED_VALUE"""),"Sin precio neto")</f>
        <v>Sin precio neto</v>
      </c>
    </row>
    <row r="1089">
      <c r="A1089" s="4" t="str">
        <f>IFERROR(__xludf.DUMMYFUNCTION("""COMPUTED_VALUE"""),"884")</f>
        <v>884</v>
      </c>
      <c r="B1089" s="4" t="str">
        <f>IFERROR(__xludf.DUMMYFUNCTION("""COMPUTED_VALUE"""),"Adhesivo PVC Grupo 1 Agua 100x25 mm (todas las variantes)")</f>
        <v>Adhesivo PVC Grupo 1 Agua 100x25 mm (todas las variantes)</v>
      </c>
      <c r="C1089" s="4">
        <f>IFERROR(__xludf.DUMMYFUNCTION("""COMPUTED_VALUE"""),1.0)</f>
        <v>1</v>
      </c>
      <c r="D1089" s="4"/>
      <c r="E1089" s="4" t="str">
        <f>IFERROR(__xludf.DUMMYFUNCTION("""COMPUTED_VALUE"""),"Sin precio neto")</f>
        <v>Sin precio neto</v>
      </c>
    </row>
    <row r="1090">
      <c r="A1090" s="4" t="str">
        <f>IFERROR(__xludf.DUMMYFUNCTION("""COMPUTED_VALUE"""),"0884A")</f>
        <v>0884A</v>
      </c>
      <c r="B1090" s="4" t="str">
        <f>IFERROR(__xludf.DUMMYFUNCTION("""COMPUTED_VALUE"""),"Adhesivo PVC Grupo 1 Agua 200x50 mm (todas las variantes)")</f>
        <v>Adhesivo PVC Grupo 1 Agua 200x50 mm (todas las variantes)</v>
      </c>
      <c r="C1090" s="4">
        <f>IFERROR(__xludf.DUMMYFUNCTION("""COMPUTED_VALUE"""),1.5)</f>
        <v>1.5</v>
      </c>
      <c r="D1090" s="4"/>
      <c r="E1090" s="4" t="str">
        <f>IFERROR(__xludf.DUMMYFUNCTION("""COMPUTED_VALUE"""),"Sin precio neto")</f>
        <v>Sin precio neto</v>
      </c>
    </row>
    <row r="1091">
      <c r="A1091" s="4" t="str">
        <f>IFERROR(__xludf.DUMMYFUNCTION("""COMPUTED_VALUE"""),"0884B")</f>
        <v>0884B</v>
      </c>
      <c r="B1091" s="4" t="str">
        <f>IFERROR(__xludf.DUMMYFUNCTION("""COMPUTED_VALUE"""),"Adhesivo PVC Grupo 1 Agua 400x100 mm (todas las")</f>
        <v>Adhesivo PVC Grupo 1 Agua 400x100 mm (todas las</v>
      </c>
      <c r="C1091" s="4">
        <f>IFERROR(__xludf.DUMMYFUNCTION("""COMPUTED_VALUE"""),2.0)</f>
        <v>2</v>
      </c>
      <c r="D1091" s="4"/>
      <c r="E1091" s="4" t="str">
        <f>IFERROR(__xludf.DUMMYFUNCTION("""COMPUTED_VALUE"""),"Sin precio neto")</f>
        <v>Sin precio neto</v>
      </c>
    </row>
    <row r="1092">
      <c r="A1092" s="4" t="str">
        <f>IFERROR(__xludf.DUMMYFUNCTION("""COMPUTED_VALUE"""),"885")</f>
        <v>885</v>
      </c>
      <c r="B1092" s="4" t="str">
        <f>IFERROR(__xludf.DUMMYFUNCTION("""COMPUTED_VALUE"""),"Adhesivo PVC Grupo 2 Vapor de agua 100x25 mm (todas las")</f>
        <v>Adhesivo PVC Grupo 2 Vapor de agua 100x25 mm (todas las</v>
      </c>
      <c r="C1092" s="4">
        <f>IFERROR(__xludf.DUMMYFUNCTION("""COMPUTED_VALUE"""),1.0)</f>
        <v>1</v>
      </c>
      <c r="D1092" s="4"/>
      <c r="E1092" s="4" t="str">
        <f>IFERROR(__xludf.DUMMYFUNCTION("""COMPUTED_VALUE"""),"Sin precio neto")</f>
        <v>Sin precio neto</v>
      </c>
    </row>
    <row r="1093">
      <c r="A1093" s="4" t="str">
        <f>IFERROR(__xludf.DUMMYFUNCTION("""COMPUTED_VALUE"""),"0885A")</f>
        <v>0885A</v>
      </c>
      <c r="B1093" s="4" t="str">
        <f>IFERROR(__xludf.DUMMYFUNCTION("""COMPUTED_VALUE"""),"Adhesivo PVC Grupo 2 Vapor de agua 200x50 mm (todas las")</f>
        <v>Adhesivo PVC Grupo 2 Vapor de agua 200x50 mm (todas las</v>
      </c>
      <c r="C1093" s="4">
        <f>IFERROR(__xludf.DUMMYFUNCTION("""COMPUTED_VALUE"""),1.5)</f>
        <v>1.5</v>
      </c>
      <c r="D1093" s="4"/>
      <c r="E1093" s="4" t="str">
        <f>IFERROR(__xludf.DUMMYFUNCTION("""COMPUTED_VALUE"""),"Sin precio neto")</f>
        <v>Sin precio neto</v>
      </c>
    </row>
    <row r="1094">
      <c r="A1094" s="4" t="str">
        <f>IFERROR(__xludf.DUMMYFUNCTION("""COMPUTED_VALUE"""),"0885B")</f>
        <v>0885B</v>
      </c>
      <c r="B1094" s="4" t="str">
        <f>IFERROR(__xludf.DUMMYFUNCTION("""COMPUTED_VALUE"""),"Adhesivo PVC Grupo 2 Vapor de agua 400x100 mm (todas las")</f>
        <v>Adhesivo PVC Grupo 2 Vapor de agua 400x100 mm (todas las</v>
      </c>
      <c r="C1094" s="4">
        <f>IFERROR(__xludf.DUMMYFUNCTION("""COMPUTED_VALUE"""),2.0)</f>
        <v>2</v>
      </c>
      <c r="D1094" s="4"/>
      <c r="E1094" s="4" t="str">
        <f>IFERROR(__xludf.DUMMYFUNCTION("""COMPUTED_VALUE"""),"Sin precio neto")</f>
        <v>Sin precio neto</v>
      </c>
    </row>
    <row r="1095">
      <c r="A1095" s="4" t="str">
        <f>IFERROR(__xludf.DUMMYFUNCTION("""COMPUTED_VALUE"""),"886")</f>
        <v>886</v>
      </c>
      <c r="B1095" s="4" t="str">
        <f>IFERROR(__xludf.DUMMYFUNCTION("""COMPUTED_VALUE"""),"Adhesivo PVC Grupo 3 Aire 100x25 mm (todas las variantes)")</f>
        <v>Adhesivo PVC Grupo 3 Aire 100x25 mm (todas las variantes)</v>
      </c>
      <c r="C1095" s="4">
        <f>IFERROR(__xludf.DUMMYFUNCTION("""COMPUTED_VALUE"""),1.0)</f>
        <v>1</v>
      </c>
      <c r="D1095" s="4"/>
      <c r="E1095" s="4" t="str">
        <f>IFERROR(__xludf.DUMMYFUNCTION("""COMPUTED_VALUE"""),"Sin precio neto")</f>
        <v>Sin precio neto</v>
      </c>
    </row>
    <row r="1096">
      <c r="A1096" s="4" t="str">
        <f>IFERROR(__xludf.DUMMYFUNCTION("""COMPUTED_VALUE"""),"0886A")</f>
        <v>0886A</v>
      </c>
      <c r="B1096" s="4" t="str">
        <f>IFERROR(__xludf.DUMMYFUNCTION("""COMPUTED_VALUE"""),"Adhesivo PVC Grupo 3 Aire 200x50 mm (todas las variantes)")</f>
        <v>Adhesivo PVC Grupo 3 Aire 200x50 mm (todas las variantes)</v>
      </c>
      <c r="C1096" s="4">
        <f>IFERROR(__xludf.DUMMYFUNCTION("""COMPUTED_VALUE"""),2.0)</f>
        <v>2</v>
      </c>
      <c r="D1096" s="4"/>
      <c r="E1096" s="4" t="str">
        <f>IFERROR(__xludf.DUMMYFUNCTION("""COMPUTED_VALUE"""),"Sin precio neto")</f>
        <v>Sin precio neto</v>
      </c>
    </row>
    <row r="1097">
      <c r="A1097" s="4" t="str">
        <f>IFERROR(__xludf.DUMMYFUNCTION("""COMPUTED_VALUE"""),"0886B")</f>
        <v>0886B</v>
      </c>
      <c r="B1097" s="4" t="str">
        <f>IFERROR(__xludf.DUMMYFUNCTION("""COMPUTED_VALUE"""),"Adhesivo PVC Grupo 3 Aire 400x100 mm (todas las variantes)")</f>
        <v>Adhesivo PVC Grupo 3 Aire 400x100 mm (todas las variantes)</v>
      </c>
      <c r="C1097" s="4">
        <f>IFERROR(__xludf.DUMMYFUNCTION("""COMPUTED_VALUE"""),1.5)</f>
        <v>1.5</v>
      </c>
      <c r="D1097" s="4"/>
      <c r="E1097" s="4" t="str">
        <f>IFERROR(__xludf.DUMMYFUNCTION("""COMPUTED_VALUE"""),"Sin precio neto")</f>
        <v>Sin precio neto</v>
      </c>
    </row>
    <row r="1098">
      <c r="A1098" s="4" t="str">
        <f>IFERROR(__xludf.DUMMYFUNCTION("""COMPUTED_VALUE"""),"887")</f>
        <v>887</v>
      </c>
      <c r="B1098" s="4" t="str">
        <f>IFERROR(__xludf.DUMMYFUNCTION("""COMPUTED_VALUE"""),"Adhesivo PVC Grupo 4 Gases combustibles 100x25 mm (todas")</f>
        <v>Adhesivo PVC Grupo 4 Gases combustibles 100x25 mm (todas</v>
      </c>
      <c r="C1098" s="4">
        <f>IFERROR(__xludf.DUMMYFUNCTION("""COMPUTED_VALUE"""),1.0)</f>
        <v>1</v>
      </c>
      <c r="D1098" s="4"/>
      <c r="E1098" s="4" t="str">
        <f>IFERROR(__xludf.DUMMYFUNCTION("""COMPUTED_VALUE"""),"Sin precio neto")</f>
        <v>Sin precio neto</v>
      </c>
    </row>
    <row r="1099">
      <c r="A1099" s="4" t="str">
        <f>IFERROR(__xludf.DUMMYFUNCTION("""COMPUTED_VALUE"""),"0887A")</f>
        <v>0887A</v>
      </c>
      <c r="B1099" s="4" t="str">
        <f>IFERROR(__xludf.DUMMYFUNCTION("""COMPUTED_VALUE"""),"Adhesivo PVC Grupo 4 Gases combustibles 200x50 mm (todas")</f>
        <v>Adhesivo PVC Grupo 4 Gases combustibles 200x50 mm (todas</v>
      </c>
      <c r="C1099" s="4">
        <f>IFERROR(__xludf.DUMMYFUNCTION("""COMPUTED_VALUE"""),1.5)</f>
        <v>1.5</v>
      </c>
      <c r="D1099" s="4"/>
      <c r="E1099" s="4" t="str">
        <f>IFERROR(__xludf.DUMMYFUNCTION("""COMPUTED_VALUE"""),"Sin precio neto")</f>
        <v>Sin precio neto</v>
      </c>
    </row>
    <row r="1100">
      <c r="A1100" s="4" t="str">
        <f>IFERROR(__xludf.DUMMYFUNCTION("""COMPUTED_VALUE"""),"0887B")</f>
        <v>0887B</v>
      </c>
      <c r="B1100" s="4" t="str">
        <f>IFERROR(__xludf.DUMMYFUNCTION("""COMPUTED_VALUE"""),"Adhesivo PVC Grupo 4 Gases combustibles 400x100 mm")</f>
        <v>Adhesivo PVC Grupo 4 Gases combustibles 400x100 mm</v>
      </c>
      <c r="C1100" s="4">
        <f>IFERROR(__xludf.DUMMYFUNCTION("""COMPUTED_VALUE"""),2.0)</f>
        <v>2</v>
      </c>
      <c r="D1100" s="4"/>
      <c r="E1100" s="4" t="str">
        <f>IFERROR(__xludf.DUMMYFUNCTION("""COMPUTED_VALUE"""),"Sin precio neto")</f>
        <v>Sin precio neto</v>
      </c>
    </row>
    <row r="1101">
      <c r="A1101" s="4" t="str">
        <f>IFERROR(__xludf.DUMMYFUNCTION("""COMPUTED_VALUE"""),"888")</f>
        <v>888</v>
      </c>
      <c r="B1101" s="4" t="str">
        <f>IFERROR(__xludf.DUMMYFUNCTION("""COMPUTED_VALUE"""),"Adhesivo PVC Grupo 4 Gases combustibles 100x25 mm B")</f>
        <v>Adhesivo PVC Grupo 4 Gases combustibles 100x25 mm B</v>
      </c>
      <c r="C1101" s="4">
        <f>IFERROR(__xludf.DUMMYFUNCTION("""COMPUTED_VALUE"""),1.0)</f>
        <v>1</v>
      </c>
      <c r="D1101" s="4"/>
      <c r="E1101" s="4" t="str">
        <f>IFERROR(__xludf.DUMMYFUNCTION("""COMPUTED_VALUE"""),"Sin precio neto")</f>
        <v>Sin precio neto</v>
      </c>
    </row>
    <row r="1102">
      <c r="A1102" s="4" t="str">
        <f>IFERROR(__xludf.DUMMYFUNCTION("""COMPUTED_VALUE"""),"0888A")</f>
        <v>0888A</v>
      </c>
      <c r="B1102" s="4" t="str">
        <f>IFERROR(__xludf.DUMMYFUNCTION("""COMPUTED_VALUE"""),"Adhesivo PVC Grupo 4 Gases combustibles 200x50 mm")</f>
        <v>Adhesivo PVC Grupo 4 Gases combustibles 200x50 mm</v>
      </c>
      <c r="C1102" s="4">
        <f>IFERROR(__xludf.DUMMYFUNCTION("""COMPUTED_VALUE"""),1.5)</f>
        <v>1.5</v>
      </c>
      <c r="D1102" s="4"/>
      <c r="E1102" s="4" t="str">
        <f>IFERROR(__xludf.DUMMYFUNCTION("""COMPUTED_VALUE"""),"Sin precio neto")</f>
        <v>Sin precio neto</v>
      </c>
    </row>
    <row r="1103">
      <c r="A1103" s="4" t="str">
        <f>IFERROR(__xludf.DUMMYFUNCTION("""COMPUTED_VALUE"""),"0888B")</f>
        <v>0888B</v>
      </c>
      <c r="B1103" s="4" t="str">
        <f>IFERROR(__xludf.DUMMYFUNCTION("""COMPUTED_VALUE"""),"Adhesivo PVC Grupo 4 Gases combustibles 400x100 mm")</f>
        <v>Adhesivo PVC Grupo 4 Gases combustibles 400x100 mm</v>
      </c>
      <c r="C1103" s="4">
        <f>IFERROR(__xludf.DUMMYFUNCTION("""COMPUTED_VALUE"""),2.0)</f>
        <v>2</v>
      </c>
      <c r="D1103" s="4"/>
      <c r="E1103" s="4" t="str">
        <f>IFERROR(__xludf.DUMMYFUNCTION("""COMPUTED_VALUE"""),"Sin precio neto")</f>
        <v>Sin precio neto</v>
      </c>
    </row>
    <row r="1104">
      <c r="A1104" s="4" t="str">
        <f>IFERROR(__xludf.DUMMYFUNCTION("""COMPUTED_VALUE"""),"889")</f>
        <v>889</v>
      </c>
      <c r="B1104" s="4" t="str">
        <f>IFERROR(__xludf.DUMMYFUNCTION("""COMPUTED_VALUE"""),"Adhesivo PVC Grupo 5 Gases no combustibles 100x25 mm")</f>
        <v>Adhesivo PVC Grupo 5 Gases no combustibles 100x25 mm</v>
      </c>
      <c r="C1104" s="4">
        <f>IFERROR(__xludf.DUMMYFUNCTION("""COMPUTED_VALUE"""),1.0)</f>
        <v>1</v>
      </c>
      <c r="D1104" s="4"/>
      <c r="E1104" s="4" t="str">
        <f>IFERROR(__xludf.DUMMYFUNCTION("""COMPUTED_VALUE"""),"Sin precio neto")</f>
        <v>Sin precio neto</v>
      </c>
    </row>
    <row r="1105">
      <c r="A1105" s="4" t="str">
        <f>IFERROR(__xludf.DUMMYFUNCTION("""COMPUTED_VALUE"""),"0889A")</f>
        <v>0889A</v>
      </c>
      <c r="B1105" s="4" t="str">
        <f>IFERROR(__xludf.DUMMYFUNCTION("""COMPUTED_VALUE"""),"Adhesivo PVC Grupo 5 Gases no combustibles 200x50 mm")</f>
        <v>Adhesivo PVC Grupo 5 Gases no combustibles 200x50 mm</v>
      </c>
      <c r="C1105" s="4">
        <f>IFERROR(__xludf.DUMMYFUNCTION("""COMPUTED_VALUE"""),1.5)</f>
        <v>1.5</v>
      </c>
      <c r="D1105" s="4"/>
      <c r="E1105" s="4" t="str">
        <f>IFERROR(__xludf.DUMMYFUNCTION("""COMPUTED_VALUE"""),"Sin precio neto")</f>
        <v>Sin precio neto</v>
      </c>
    </row>
    <row r="1106">
      <c r="A1106" s="4" t="str">
        <f>IFERROR(__xludf.DUMMYFUNCTION("""COMPUTED_VALUE"""),"0889B")</f>
        <v>0889B</v>
      </c>
      <c r="B1106" s="4" t="str">
        <f>IFERROR(__xludf.DUMMYFUNCTION("""COMPUTED_VALUE"""),"Adhesivo PVC Grupo 5 Gases no combustibles 400x100 mm")</f>
        <v>Adhesivo PVC Grupo 5 Gases no combustibles 400x100 mm</v>
      </c>
      <c r="C1106" s="4">
        <f>IFERROR(__xludf.DUMMYFUNCTION("""COMPUTED_VALUE"""),2.0)</f>
        <v>2</v>
      </c>
      <c r="D1106" s="4"/>
      <c r="E1106" s="4" t="str">
        <f>IFERROR(__xludf.DUMMYFUNCTION("""COMPUTED_VALUE"""),"Sin precio neto")</f>
        <v>Sin precio neto</v>
      </c>
    </row>
    <row r="1107">
      <c r="A1107" s="4" t="str">
        <f>IFERROR(__xludf.DUMMYFUNCTION("""COMPUTED_VALUE"""),"890")</f>
        <v>890</v>
      </c>
      <c r="B1107" s="4" t="str">
        <f>IFERROR(__xludf.DUMMYFUNCTION("""COMPUTED_VALUE"""),"Adhesivo PVC Grupo 5 Gases no combustibles 100x25 mm")</f>
        <v>Adhesivo PVC Grupo 5 Gases no combustibles 100x25 mm</v>
      </c>
      <c r="C1107" s="4">
        <f>IFERROR(__xludf.DUMMYFUNCTION("""COMPUTED_VALUE"""),1.0)</f>
        <v>1</v>
      </c>
      <c r="D1107" s="4"/>
      <c r="E1107" s="4" t="str">
        <f>IFERROR(__xludf.DUMMYFUNCTION("""COMPUTED_VALUE"""),"Sin precio neto")</f>
        <v>Sin precio neto</v>
      </c>
    </row>
    <row r="1108">
      <c r="A1108" s="4" t="str">
        <f>IFERROR(__xludf.DUMMYFUNCTION("""COMPUTED_VALUE"""),"0890A")</f>
        <v>0890A</v>
      </c>
      <c r="B1108" s="4" t="str">
        <f>IFERROR(__xludf.DUMMYFUNCTION("""COMPUTED_VALUE"""),"Adhesivo PVC Grupo 5 Gases no combustibles 200x50 mm")</f>
        <v>Adhesivo PVC Grupo 5 Gases no combustibles 200x50 mm</v>
      </c>
      <c r="C1108" s="4">
        <f>IFERROR(__xludf.DUMMYFUNCTION("""COMPUTED_VALUE"""),1.5)</f>
        <v>1.5</v>
      </c>
      <c r="D1108" s="4"/>
      <c r="E1108" s="4" t="str">
        <f>IFERROR(__xludf.DUMMYFUNCTION("""COMPUTED_VALUE"""),"Sin precio neto")</f>
        <v>Sin precio neto</v>
      </c>
    </row>
    <row r="1109">
      <c r="A1109" s="4" t="str">
        <f>IFERROR(__xludf.DUMMYFUNCTION("""COMPUTED_VALUE"""),"0890B")</f>
        <v>0890B</v>
      </c>
      <c r="B1109" s="4" t="str">
        <f>IFERROR(__xludf.DUMMYFUNCTION("""COMPUTED_VALUE"""),"Adhesivo PVC Grupo 5 Gases no combustibles 400x100 mm")</f>
        <v>Adhesivo PVC Grupo 5 Gases no combustibles 400x100 mm</v>
      </c>
      <c r="C1109" s="4">
        <f>IFERROR(__xludf.DUMMYFUNCTION("""COMPUTED_VALUE"""),2.0)</f>
        <v>2</v>
      </c>
      <c r="D1109" s="4"/>
      <c r="E1109" s="4" t="str">
        <f>IFERROR(__xludf.DUMMYFUNCTION("""COMPUTED_VALUE"""),"Sin precio neto")</f>
        <v>Sin precio neto</v>
      </c>
    </row>
    <row r="1110">
      <c r="A1110" s="4" t="str">
        <f>IFERROR(__xludf.DUMMYFUNCTION("""COMPUTED_VALUE"""),"891")</f>
        <v>891</v>
      </c>
      <c r="B1110" s="4" t="str">
        <f>IFERROR(__xludf.DUMMYFUNCTION("""COMPUTED_VALUE"""),"Adhesivo PVC Grupo 6 Ácidos 100x25 mm (todas las")</f>
        <v>Adhesivo PVC Grupo 6 Ácidos 100x25 mm (todas las</v>
      </c>
      <c r="C1110" s="4">
        <f>IFERROR(__xludf.DUMMYFUNCTION("""COMPUTED_VALUE"""),1.0)</f>
        <v>1</v>
      </c>
      <c r="D1110" s="4"/>
      <c r="E1110" s="4" t="str">
        <f>IFERROR(__xludf.DUMMYFUNCTION("""COMPUTED_VALUE"""),"Sin precio neto")</f>
        <v>Sin precio neto</v>
      </c>
    </row>
    <row r="1111">
      <c r="A1111" s="4" t="str">
        <f>IFERROR(__xludf.DUMMYFUNCTION("""COMPUTED_VALUE"""),"0891A")</f>
        <v>0891A</v>
      </c>
      <c r="B1111" s="4" t="str">
        <f>IFERROR(__xludf.DUMMYFUNCTION("""COMPUTED_VALUE"""),"Adhesivo PVC Grupo 6 Ácidos 200x50 mm (todas las")</f>
        <v>Adhesivo PVC Grupo 6 Ácidos 200x50 mm (todas las</v>
      </c>
      <c r="C1111" s="4">
        <f>IFERROR(__xludf.DUMMYFUNCTION("""COMPUTED_VALUE"""),1.5)</f>
        <v>1.5</v>
      </c>
      <c r="D1111" s="4"/>
      <c r="E1111" s="4" t="str">
        <f>IFERROR(__xludf.DUMMYFUNCTION("""COMPUTED_VALUE"""),"Sin precio neto")</f>
        <v>Sin precio neto</v>
      </c>
    </row>
    <row r="1112">
      <c r="A1112" s="4" t="str">
        <f>IFERROR(__xludf.DUMMYFUNCTION("""COMPUTED_VALUE"""),"0891B")</f>
        <v>0891B</v>
      </c>
      <c r="B1112" s="4" t="str">
        <f>IFERROR(__xludf.DUMMYFUNCTION("""COMPUTED_VALUE"""),"Adhesivo PVC Grupo 6 Ácidos 400x100 mm (todas las")</f>
        <v>Adhesivo PVC Grupo 6 Ácidos 400x100 mm (todas las</v>
      </c>
      <c r="C1112" s="4">
        <f>IFERROR(__xludf.DUMMYFUNCTION("""COMPUTED_VALUE"""),2.0)</f>
        <v>2</v>
      </c>
      <c r="D1112" s="4"/>
      <c r="E1112" s="4" t="str">
        <f>IFERROR(__xludf.DUMMYFUNCTION("""COMPUTED_VALUE"""),"Sin precio neto")</f>
        <v>Sin precio neto</v>
      </c>
    </row>
    <row r="1113">
      <c r="A1113" s="4" t="str">
        <f>IFERROR(__xludf.DUMMYFUNCTION("""COMPUTED_VALUE"""),"892")</f>
        <v>892</v>
      </c>
      <c r="B1113" s="4" t="str">
        <f>IFERROR(__xludf.DUMMYFUNCTION("""COMPUTED_VALUE"""),"Adhesivo PVC Grupo 7 Lejías 100x25 mm (todas las variantes)")</f>
        <v>Adhesivo PVC Grupo 7 Lejías 100x25 mm (todas las variantes)</v>
      </c>
      <c r="C1113" s="4">
        <f>IFERROR(__xludf.DUMMYFUNCTION("""COMPUTED_VALUE"""),1.0)</f>
        <v>1</v>
      </c>
      <c r="D1113" s="4"/>
      <c r="E1113" s="4" t="str">
        <f>IFERROR(__xludf.DUMMYFUNCTION("""COMPUTED_VALUE"""),"Sin precio neto")</f>
        <v>Sin precio neto</v>
      </c>
    </row>
    <row r="1114">
      <c r="A1114" s="4" t="str">
        <f>IFERROR(__xludf.DUMMYFUNCTION("""COMPUTED_VALUE"""),"0892A")</f>
        <v>0892A</v>
      </c>
      <c r="B1114" s="4" t="str">
        <f>IFERROR(__xludf.DUMMYFUNCTION("""COMPUTED_VALUE"""),"Adhesivo PVC Grupo 7 Lejías 200x50 mm (todas las")</f>
        <v>Adhesivo PVC Grupo 7 Lejías 200x50 mm (todas las</v>
      </c>
      <c r="C1114" s="4">
        <f>IFERROR(__xludf.DUMMYFUNCTION("""COMPUTED_VALUE"""),1.5)</f>
        <v>1.5</v>
      </c>
      <c r="D1114" s="4"/>
      <c r="E1114" s="4" t="str">
        <f>IFERROR(__xludf.DUMMYFUNCTION("""COMPUTED_VALUE"""),"Sin precio neto")</f>
        <v>Sin precio neto</v>
      </c>
    </row>
    <row r="1115">
      <c r="A1115" s="4" t="str">
        <f>IFERROR(__xludf.DUMMYFUNCTION("""COMPUTED_VALUE"""),"0892B")</f>
        <v>0892B</v>
      </c>
      <c r="B1115" s="4" t="str">
        <f>IFERROR(__xludf.DUMMYFUNCTION("""COMPUTED_VALUE"""),"Adhesivo PVC Grupo 7 Lejías 400x100 mm (todas las")</f>
        <v>Adhesivo PVC Grupo 7 Lejías 400x100 mm (todas las</v>
      </c>
      <c r="C1115" s="4">
        <f>IFERROR(__xludf.DUMMYFUNCTION("""COMPUTED_VALUE"""),2.0)</f>
        <v>2</v>
      </c>
      <c r="D1115" s="4"/>
      <c r="E1115" s="4" t="str">
        <f>IFERROR(__xludf.DUMMYFUNCTION("""COMPUTED_VALUE"""),"Sin precio neto")</f>
        <v>Sin precio neto</v>
      </c>
    </row>
    <row r="1116">
      <c r="A1116" s="4" t="str">
        <f>IFERROR(__xludf.DUMMYFUNCTION("""COMPUTED_VALUE"""),"893")</f>
        <v>893</v>
      </c>
      <c r="B1116" s="4" t="str">
        <f>IFERROR(__xludf.DUMMYFUNCTION("""COMPUTED_VALUE"""),"Adhesivo PVC Grupo 8 Líquidos combustibles 100x25 mm")</f>
        <v>Adhesivo PVC Grupo 8 Líquidos combustibles 100x25 mm</v>
      </c>
      <c r="C1116" s="4">
        <f>IFERROR(__xludf.DUMMYFUNCTION("""COMPUTED_VALUE"""),1.0)</f>
        <v>1</v>
      </c>
      <c r="D1116" s="4"/>
      <c r="E1116" s="4" t="str">
        <f>IFERROR(__xludf.DUMMYFUNCTION("""COMPUTED_VALUE"""),"Sin precio neto")</f>
        <v>Sin precio neto</v>
      </c>
    </row>
    <row r="1117">
      <c r="A1117" s="4" t="str">
        <f>IFERROR(__xludf.DUMMYFUNCTION("""COMPUTED_VALUE"""),"0893A")</f>
        <v>0893A</v>
      </c>
      <c r="B1117" s="4" t="str">
        <f>IFERROR(__xludf.DUMMYFUNCTION("""COMPUTED_VALUE"""),"Adhesivo PVC Grupo 8 Líquidos combustibles 200x50 mm")</f>
        <v>Adhesivo PVC Grupo 8 Líquidos combustibles 200x50 mm</v>
      </c>
      <c r="C1117" s="4">
        <f>IFERROR(__xludf.DUMMYFUNCTION("""COMPUTED_VALUE"""),1.5)</f>
        <v>1.5</v>
      </c>
      <c r="D1117" s="4"/>
      <c r="E1117" s="4" t="str">
        <f>IFERROR(__xludf.DUMMYFUNCTION("""COMPUTED_VALUE"""),"Sin precio neto")</f>
        <v>Sin precio neto</v>
      </c>
    </row>
    <row r="1118">
      <c r="A1118" s="4" t="str">
        <f>IFERROR(__xludf.DUMMYFUNCTION("""COMPUTED_VALUE"""),"0893B")</f>
        <v>0893B</v>
      </c>
      <c r="B1118" s="4" t="str">
        <f>IFERROR(__xludf.DUMMYFUNCTION("""COMPUTED_VALUE"""),"Adhesivo PVC Grupo 8 Líquidos combustibles 400x100 mm")</f>
        <v>Adhesivo PVC Grupo 8 Líquidos combustibles 400x100 mm</v>
      </c>
      <c r="C1118" s="4">
        <f>IFERROR(__xludf.DUMMYFUNCTION("""COMPUTED_VALUE"""),2.0)</f>
        <v>2</v>
      </c>
      <c r="D1118" s="4"/>
      <c r="E1118" s="4" t="str">
        <f>IFERROR(__xludf.DUMMYFUNCTION("""COMPUTED_VALUE"""),"Sin precio neto")</f>
        <v>Sin precio neto</v>
      </c>
    </row>
    <row r="1119">
      <c r="A1119" s="4" t="str">
        <f>IFERROR(__xludf.DUMMYFUNCTION("""COMPUTED_VALUE"""),"894")</f>
        <v>894</v>
      </c>
      <c r="B1119" s="4" t="str">
        <f>IFERROR(__xludf.DUMMYFUNCTION("""COMPUTED_VALUE"""),"Adhesivo PVC Grupo 8 Líquidos combustibles 100x25 mm B")</f>
        <v>Adhesivo PVC Grupo 8 Líquidos combustibles 100x25 mm B</v>
      </c>
      <c r="C1119" s="4">
        <f>IFERROR(__xludf.DUMMYFUNCTION("""COMPUTED_VALUE"""),1.0)</f>
        <v>1</v>
      </c>
      <c r="D1119" s="4"/>
      <c r="E1119" s="4" t="str">
        <f>IFERROR(__xludf.DUMMYFUNCTION("""COMPUTED_VALUE"""),"Sin precio neto")</f>
        <v>Sin precio neto</v>
      </c>
    </row>
    <row r="1120">
      <c r="A1120" s="4" t="str">
        <f>IFERROR(__xludf.DUMMYFUNCTION("""COMPUTED_VALUE"""),"0894A")</f>
        <v>0894A</v>
      </c>
      <c r="B1120" s="4" t="str">
        <f>IFERROR(__xludf.DUMMYFUNCTION("""COMPUTED_VALUE"""),"Adhesivo PVC Grupo 8 Líquidos combustibles 200x50 mm B")</f>
        <v>Adhesivo PVC Grupo 8 Líquidos combustibles 200x50 mm B</v>
      </c>
      <c r="C1120" s="4">
        <f>IFERROR(__xludf.DUMMYFUNCTION("""COMPUTED_VALUE"""),1.5)</f>
        <v>1.5</v>
      </c>
      <c r="D1120" s="4"/>
      <c r="E1120" s="4" t="str">
        <f>IFERROR(__xludf.DUMMYFUNCTION("""COMPUTED_VALUE"""),"Sin precio neto")</f>
        <v>Sin precio neto</v>
      </c>
    </row>
    <row r="1121">
      <c r="A1121" s="4" t="str">
        <f>IFERROR(__xludf.DUMMYFUNCTION("""COMPUTED_VALUE"""),"0894B")</f>
        <v>0894B</v>
      </c>
      <c r="B1121" s="4" t="str">
        <f>IFERROR(__xludf.DUMMYFUNCTION("""COMPUTED_VALUE"""),"Adhesivo PVC Grupo 8 Líquidos combustibles 400x100 mm")</f>
        <v>Adhesivo PVC Grupo 8 Líquidos combustibles 400x100 mm</v>
      </c>
      <c r="C1121" s="4">
        <f>IFERROR(__xludf.DUMMYFUNCTION("""COMPUTED_VALUE"""),2.0)</f>
        <v>2</v>
      </c>
      <c r="D1121" s="4"/>
      <c r="E1121" s="4" t="str">
        <f>IFERROR(__xludf.DUMMYFUNCTION("""COMPUTED_VALUE"""),"Sin precio neto")</f>
        <v>Sin precio neto</v>
      </c>
    </row>
    <row r="1122">
      <c r="A1122" s="4" t="str">
        <f>IFERROR(__xludf.DUMMYFUNCTION("""COMPUTED_VALUE"""),"895")</f>
        <v>895</v>
      </c>
      <c r="B1122" s="4" t="str">
        <f>IFERROR(__xludf.DUMMYFUNCTION("""COMPUTED_VALUE"""),"Adhesivo PVC Grupo 9 Líquidos no combustibles 100x25 mm")</f>
        <v>Adhesivo PVC Grupo 9 Líquidos no combustibles 100x25 mm</v>
      </c>
      <c r="C1122" s="4">
        <f>IFERROR(__xludf.DUMMYFUNCTION("""COMPUTED_VALUE"""),1.0)</f>
        <v>1</v>
      </c>
      <c r="D1122" s="4"/>
      <c r="E1122" s="4" t="str">
        <f>IFERROR(__xludf.DUMMYFUNCTION("""COMPUTED_VALUE"""),"Sin precio neto")</f>
        <v>Sin precio neto</v>
      </c>
    </row>
    <row r="1123">
      <c r="A1123" s="4" t="str">
        <f>IFERROR(__xludf.DUMMYFUNCTION("""COMPUTED_VALUE"""),"0895A")</f>
        <v>0895A</v>
      </c>
      <c r="B1123" s="4" t="str">
        <f>IFERROR(__xludf.DUMMYFUNCTION("""COMPUTED_VALUE"""),"Adhesivo PVC Grupo 9 Líquidos no combustibles 200x50 mm")</f>
        <v>Adhesivo PVC Grupo 9 Líquidos no combustibles 200x50 mm</v>
      </c>
      <c r="C1123" s="4">
        <f>IFERROR(__xludf.DUMMYFUNCTION("""COMPUTED_VALUE"""),1.5)</f>
        <v>1.5</v>
      </c>
      <c r="D1123" s="4"/>
      <c r="E1123" s="4" t="str">
        <f>IFERROR(__xludf.DUMMYFUNCTION("""COMPUTED_VALUE"""),"Sin precio neto")</f>
        <v>Sin precio neto</v>
      </c>
    </row>
    <row r="1124">
      <c r="A1124" s="4" t="str">
        <f>IFERROR(__xludf.DUMMYFUNCTION("""COMPUTED_VALUE"""),"0895B")</f>
        <v>0895B</v>
      </c>
      <c r="B1124" s="4" t="str">
        <f>IFERROR(__xludf.DUMMYFUNCTION("""COMPUTED_VALUE"""),"Adhesivo PVC Grupo 9 Líquidos no combustibles 400x100 mm")</f>
        <v>Adhesivo PVC Grupo 9 Líquidos no combustibles 400x100 mm</v>
      </c>
      <c r="C1124" s="4">
        <f>IFERROR(__xludf.DUMMYFUNCTION("""COMPUTED_VALUE"""),2.0)</f>
        <v>2</v>
      </c>
      <c r="D1124" s="4"/>
      <c r="E1124" s="4" t="str">
        <f>IFERROR(__xludf.DUMMYFUNCTION("""COMPUTED_VALUE"""),"Sin precio neto")</f>
        <v>Sin precio neto</v>
      </c>
    </row>
    <row r="1125">
      <c r="A1125" s="4" t="str">
        <f>IFERROR(__xludf.DUMMYFUNCTION("""COMPUTED_VALUE"""),"896")</f>
        <v>896</v>
      </c>
      <c r="B1125" s="4" t="str">
        <f>IFERROR(__xludf.DUMMYFUNCTION("""COMPUTED_VALUE"""),"Adhesivo PVC Grupo 9 Líquidos no combustibles 100x25 mm")</f>
        <v>Adhesivo PVC Grupo 9 Líquidos no combustibles 100x25 mm</v>
      </c>
      <c r="C1125" s="4">
        <f>IFERROR(__xludf.DUMMYFUNCTION("""COMPUTED_VALUE"""),1.0)</f>
        <v>1</v>
      </c>
      <c r="D1125" s="4"/>
      <c r="E1125" s="4" t="str">
        <f>IFERROR(__xludf.DUMMYFUNCTION("""COMPUTED_VALUE"""),"Sin precio neto")</f>
        <v>Sin precio neto</v>
      </c>
    </row>
    <row r="1126">
      <c r="A1126" s="4" t="str">
        <f>IFERROR(__xludf.DUMMYFUNCTION("""COMPUTED_VALUE"""),"0896A")</f>
        <v>0896A</v>
      </c>
      <c r="B1126" s="4" t="str">
        <f>IFERROR(__xludf.DUMMYFUNCTION("""COMPUTED_VALUE"""),"Adhesivo PVC Grupo 9 Líquidos no combustibles 200x50 mm")</f>
        <v>Adhesivo PVC Grupo 9 Líquidos no combustibles 200x50 mm</v>
      </c>
      <c r="C1126" s="4">
        <f>IFERROR(__xludf.DUMMYFUNCTION("""COMPUTED_VALUE"""),2.0)</f>
        <v>2</v>
      </c>
      <c r="D1126" s="4"/>
      <c r="E1126" s="4" t="str">
        <f>IFERROR(__xludf.DUMMYFUNCTION("""COMPUTED_VALUE"""),"Sin precio neto")</f>
        <v>Sin precio neto</v>
      </c>
    </row>
    <row r="1127">
      <c r="A1127" s="4" t="str">
        <f>IFERROR(__xludf.DUMMYFUNCTION("""COMPUTED_VALUE"""),"0896B")</f>
        <v>0896B</v>
      </c>
      <c r="B1127" s="4" t="str">
        <f>IFERROR(__xludf.DUMMYFUNCTION("""COMPUTED_VALUE"""),"Adhesivo PVC Grupo 9 Líquidos no combustibles 400x100 mm")</f>
        <v>Adhesivo PVC Grupo 9 Líquidos no combustibles 400x100 mm</v>
      </c>
      <c r="C1127" s="4">
        <f>IFERROR(__xludf.DUMMYFUNCTION("""COMPUTED_VALUE"""),2.0)</f>
        <v>2</v>
      </c>
      <c r="D1127" s="4"/>
      <c r="E1127" s="4" t="str">
        <f>IFERROR(__xludf.DUMMYFUNCTION("""COMPUTED_VALUE"""),"Sin precio neto")</f>
        <v>Sin precio neto</v>
      </c>
    </row>
    <row r="1128">
      <c r="A1128" s="4" t="str">
        <f>IFERROR(__xludf.DUMMYFUNCTION("""COMPUTED_VALUE"""),"1028/A/BAT")</f>
        <v>1028/A/BAT</v>
      </c>
      <c r="B1128" s="4" t="str">
        <f>IFERROR(__xludf.DUMMYFUNCTION("""COMPUTED_VALUE"""),"Baliza Powerflare azul c/cargador a 220v y 12 v")</f>
        <v>Baliza Powerflare azul c/cargador a 220v y 12 v</v>
      </c>
      <c r="C1128" s="4">
        <f>IFERROR(__xludf.DUMMYFUNCTION("""COMPUTED_VALUE"""),15.75)</f>
        <v>15.75</v>
      </c>
      <c r="D1128" s="4"/>
      <c r="E1128" s="4" t="str">
        <f>IFERROR(__xludf.DUMMYFUNCTION("""COMPUTED_VALUE"""),"Sin precio neto")</f>
        <v>Sin precio neto</v>
      </c>
    </row>
    <row r="1129">
      <c r="A1129" s="4" t="str">
        <f>IFERROR(__xludf.DUMMYFUNCTION("""COMPUTED_VALUE"""),"1028/AZUL")</f>
        <v>1028/AZUL</v>
      </c>
      <c r="B1129" s="4" t="str">
        <f>IFERROR(__xludf.DUMMYFUNCTION("""COMPUTED_VALUE"""),"Baliza powerflare azul ( repuesto )")</f>
        <v>Baliza powerflare azul ( repuesto )</v>
      </c>
      <c r="C1129" s="4">
        <f>IFERROR(__xludf.DUMMYFUNCTION("""COMPUTED_VALUE"""),9.45)</f>
        <v>9.45</v>
      </c>
      <c r="D1129" s="4"/>
      <c r="E1129" s="4" t="str">
        <f>IFERROR(__xludf.DUMMYFUNCTION("""COMPUTED_VALUE"""),"Sin precio neto")</f>
        <v>Sin precio neto</v>
      </c>
    </row>
    <row r="1130">
      <c r="A1130" s="4" t="str">
        <f>IFERROR(__xludf.DUMMYFUNCTION("""COMPUTED_VALUE"""),"1028/N/BAT")</f>
        <v>1028/N/BAT</v>
      </c>
      <c r="B1130" s="4" t="str">
        <f>IFERROR(__xludf.DUMMYFUNCTION("""COMPUTED_VALUE"""),"Baliza Powerflare naranja c/cargador a 220v y 12 v")</f>
        <v>Baliza Powerflare naranja c/cargador a 220v y 12 v</v>
      </c>
      <c r="C1130" s="4">
        <f>IFERROR(__xludf.DUMMYFUNCTION("""COMPUTED_VALUE"""),15.75)</f>
        <v>15.75</v>
      </c>
      <c r="D1130" s="4"/>
      <c r="E1130" s="4" t="str">
        <f>IFERROR(__xludf.DUMMYFUNCTION("""COMPUTED_VALUE"""),"Sin precio neto")</f>
        <v>Sin precio neto</v>
      </c>
    </row>
    <row r="1131">
      <c r="A1131" s="4" t="str">
        <f>IFERROR(__xludf.DUMMYFUNCTION("""COMPUTED_VALUE"""),"1028/NARANJA")</f>
        <v>1028/NARANJA</v>
      </c>
      <c r="B1131" s="4" t="str">
        <f>IFERROR(__xludf.DUMMYFUNCTION("""COMPUTED_VALUE"""),"Baliza powerflare naranja ( repuesto )")</f>
        <v>Baliza powerflare naranja ( repuesto )</v>
      </c>
      <c r="C1131" s="4">
        <f>IFERROR(__xludf.DUMMYFUNCTION("""COMPUTED_VALUE"""),9.45)</f>
        <v>9.45</v>
      </c>
      <c r="D1131" s="4"/>
      <c r="E1131" s="4" t="str">
        <f>IFERROR(__xludf.DUMMYFUNCTION("""COMPUTED_VALUE"""),"Sin precio neto")</f>
        <v>Sin precio neto</v>
      </c>
    </row>
    <row r="1132">
      <c r="A1132" s="4" t="str">
        <f>IFERROR(__xludf.DUMMYFUNCTION("""COMPUTED_VALUE"""),"1029")</f>
        <v>1029</v>
      </c>
      <c r="B1132" s="4" t="str">
        <f>IFERROR(__xludf.DUMMYFUNCTION("""COMPUTED_VALUE"""),"Maletín 6 uds baliza NARANJA led powerflare con cargador")</f>
        <v>Maletín 6 uds baliza NARANJA led powerflare con cargador</v>
      </c>
      <c r="C1132" s="4">
        <f>IFERROR(__xludf.DUMMYFUNCTION("""COMPUTED_VALUE"""),99.5)</f>
        <v>99.5</v>
      </c>
      <c r="D1132" s="4"/>
      <c r="E1132" s="4" t="str">
        <f>IFERROR(__xludf.DUMMYFUNCTION("""COMPUTED_VALUE"""),"Sin precio neto")</f>
        <v>Sin precio neto</v>
      </c>
    </row>
    <row r="1133">
      <c r="A1133" s="4" t="str">
        <f>IFERROR(__xludf.DUMMYFUNCTION("""COMPUTED_VALUE"""),"1029A")</f>
        <v>1029A</v>
      </c>
      <c r="B1133" s="4" t="str">
        <f>IFERROR(__xludf.DUMMYFUNCTION("""COMPUTED_VALUE"""),"Maletín 6 uds baliza AMARILLO led powerflare con cargador")</f>
        <v>Maletín 6 uds baliza AMARILLO led powerflare con cargador</v>
      </c>
      <c r="C1133" s="4">
        <f>IFERROR(__xludf.DUMMYFUNCTION("""COMPUTED_VALUE"""),99.5)</f>
        <v>99.5</v>
      </c>
      <c r="D1133" s="4"/>
      <c r="E1133" s="4" t="str">
        <f>IFERROR(__xludf.DUMMYFUNCTION("""COMPUTED_VALUE"""),"Sin precio neto")</f>
        <v>Sin precio neto</v>
      </c>
    </row>
    <row r="1134">
      <c r="A1134" s="4" t="str">
        <f>IFERROR(__xludf.DUMMYFUNCTION("""COMPUTED_VALUE"""),"1029Z")</f>
        <v>1029Z</v>
      </c>
      <c r="B1134" s="4" t="str">
        <f>IFERROR(__xludf.DUMMYFUNCTION("""COMPUTED_VALUE"""),"Maletín 6 uds baliza AZUL led powerflare con cargador")</f>
        <v>Maletín 6 uds baliza AZUL led powerflare con cargador</v>
      </c>
      <c r="C1134" s="4">
        <f>IFERROR(__xludf.DUMMYFUNCTION("""COMPUTED_VALUE"""),99.5)</f>
        <v>99.5</v>
      </c>
      <c r="D1134" s="4"/>
      <c r="E1134" s="4" t="str">
        <f>IFERROR(__xludf.DUMMYFUNCTION("""COMPUTED_VALUE"""),"Sin precio neto")</f>
        <v>Sin precio neto</v>
      </c>
    </row>
    <row r="1135">
      <c r="A1135" s="4" t="str">
        <f>IFERROR(__xludf.DUMMYFUNCTION("""COMPUTED_VALUE"""),"1030")</f>
        <v>1030</v>
      </c>
      <c r="B1135" s="4" t="str">
        <f>IFERROR(__xludf.DUMMYFUNCTION("""COMPUTED_VALUE"""),"Baliza LED azul intermitente")</f>
        <v>Baliza LED azul intermitente</v>
      </c>
      <c r="C1135" s="4">
        <f>IFERROR(__xludf.DUMMYFUNCTION("""COMPUTED_VALUE"""),6.4)</f>
        <v>6.4</v>
      </c>
      <c r="D1135" s="4"/>
      <c r="E1135" s="4" t="str">
        <f>IFERROR(__xludf.DUMMYFUNCTION("""COMPUTED_VALUE"""),"Sin precio neto")</f>
        <v>Sin precio neto</v>
      </c>
    </row>
    <row r="1136">
      <c r="A1136" s="4" t="str">
        <f>IFERROR(__xludf.DUMMYFUNCTION("""COMPUTED_VALUE"""),"1032")</f>
        <v>1032</v>
      </c>
      <c r="B1136" s="4" t="str">
        <f>IFERROR(__xludf.DUMMYFUNCTION("""COMPUTED_VALUE"""),"Baliza Señalizacion intermitente para 1 bateria")</f>
        <v>Baliza Señalizacion intermitente para 1 bateria</v>
      </c>
      <c r="C1136" s="4">
        <f>IFERROR(__xludf.DUMMYFUNCTION("""COMPUTED_VALUE"""),5.05)</f>
        <v>5.05</v>
      </c>
      <c r="D1136" s="4"/>
      <c r="E1136" s="4" t="str">
        <f>IFERROR(__xludf.DUMMYFUNCTION("""COMPUTED_VALUE"""),"Sin precio neto")</f>
        <v>Sin precio neto</v>
      </c>
    </row>
    <row r="1137">
      <c r="A1137" s="4" t="str">
        <f>IFERROR(__xludf.DUMMYFUNCTION("""COMPUTED_VALUE"""),"1033")</f>
        <v>1033</v>
      </c>
      <c r="B1137" s="4" t="str">
        <f>IFERROR(__xludf.DUMMYFUNCTION("""COMPUTED_VALUE"""),"Baliza Señalización Plus intermitente 2 baterías")</f>
        <v>Baliza Señalización Plus intermitente 2 baterías</v>
      </c>
      <c r="C1137" s="4">
        <f>IFERROR(__xludf.DUMMYFUNCTION("""COMPUTED_VALUE"""),6.97)</f>
        <v>6.97</v>
      </c>
      <c r="D1137" s="4">
        <f>IFERROR(__xludf.DUMMYFUNCTION("""COMPUTED_VALUE"""),5.55)</f>
        <v>5.55</v>
      </c>
      <c r="E1137" s="4" t="str">
        <f>IFERROR(__xludf.DUMMYFUNCTION("""COMPUTED_VALUE"""),"Neto: 5,55 € (a partir de 12 uds.)")</f>
        <v>Neto: 5,55 € (a partir de 12 uds.)</v>
      </c>
    </row>
    <row r="1138">
      <c r="A1138" s="4" t="str">
        <f>IFERROR(__xludf.DUMMYFUNCTION("""COMPUTED_VALUE"""),"1033/B")</f>
        <v>1033/B</v>
      </c>
      <c r="B1138" s="4" t="str">
        <f>IFERROR(__xludf.DUMMYFUNCTION("""COMPUTED_VALUE"""),"Baliza Señalizacion Basic intermitente 2 baterias")</f>
        <v>Baliza Señalizacion Basic intermitente 2 baterias</v>
      </c>
      <c r="C1138" s="4">
        <f>IFERROR(__xludf.DUMMYFUNCTION("""COMPUTED_VALUE"""),5.9)</f>
        <v>5.9</v>
      </c>
      <c r="D1138" s="4">
        <f>IFERROR(__xludf.DUMMYFUNCTION("""COMPUTED_VALUE"""),4.8)</f>
        <v>4.8</v>
      </c>
      <c r="E1138" s="4" t="str">
        <f>IFERROR(__xludf.DUMMYFUNCTION("""COMPUTED_VALUE"""),"Neto: 4,80 € (a partir de 12 uds.)")</f>
        <v>Neto: 4,80 € (a partir de 12 uds.)</v>
      </c>
    </row>
    <row r="1139">
      <c r="A1139" s="4" t="str">
        <f>IFERROR(__xludf.DUMMYFUNCTION("""COMPUTED_VALUE"""),"1033E")</f>
        <v>1033E</v>
      </c>
      <c r="B1139" s="4" t="str">
        <f>IFERROR(__xludf.DUMMYFUNCTION("""COMPUTED_VALUE"""),"Baliza intermitente Euroflash naranja")</f>
        <v>Baliza intermitente Euroflash naranja</v>
      </c>
      <c r="C1139" s="4">
        <f>IFERROR(__xludf.DUMMYFUNCTION("""COMPUTED_VALUE"""),7.25)</f>
        <v>7.25</v>
      </c>
      <c r="D1139" s="4"/>
      <c r="E1139" s="4" t="str">
        <f>IFERROR(__xludf.DUMMYFUNCTION("""COMPUTED_VALUE"""),"Sin precio neto")</f>
        <v>Sin precio neto</v>
      </c>
    </row>
    <row r="1140">
      <c r="A1140" s="4" t="str">
        <f>IFERROR(__xludf.DUMMYFUNCTION("""COMPUTED_VALUE"""),"1033V")</f>
        <v>1033V</v>
      </c>
      <c r="B1140" s="4" t="str">
        <f>IFERROR(__xludf.DUMMYFUNCTION("""COMPUTED_VALUE"""),"Baliza Señalización Plus intermitente 2 baterías VERDE")</f>
        <v>Baliza Señalización Plus intermitente 2 baterías VERDE</v>
      </c>
      <c r="C1140" s="4">
        <f>IFERROR(__xludf.DUMMYFUNCTION("""COMPUTED_VALUE"""),6.95)</f>
        <v>6.95</v>
      </c>
      <c r="D1140" s="4"/>
      <c r="E1140" s="4" t="str">
        <f>IFERROR(__xludf.DUMMYFUNCTION("""COMPUTED_VALUE"""),"Sin precio neto")</f>
        <v>Sin precio neto</v>
      </c>
    </row>
    <row r="1141">
      <c r="A1141" s="4" t="str">
        <f>IFERROR(__xludf.DUMMYFUNCTION("""COMPUTED_VALUE"""),"1034")</f>
        <v>1034</v>
      </c>
      <c r="B1141" s="4" t="str">
        <f>IFERROR(__xludf.DUMMYFUNCTION("""COMPUTED_VALUE"""),"Bateria baliza 6V 4R25 7 Ah. Alta Capacidad")</f>
        <v>Bateria baliza 6V 4R25 7 Ah. Alta Capacidad</v>
      </c>
      <c r="C1141" s="4">
        <f>IFERROR(__xludf.DUMMYFUNCTION("""COMPUTED_VALUE"""),1.89)</f>
        <v>1.89</v>
      </c>
      <c r="D1141" s="4">
        <f>IFERROR(__xludf.DUMMYFUNCTION("""COMPUTED_VALUE"""),1.5)</f>
        <v>1.5</v>
      </c>
      <c r="E1141" s="4" t="str">
        <f>IFERROR(__xludf.DUMMYFUNCTION("""COMPUTED_VALUE"""),"Neto: 1,50 € (a partir de 24 uds.)")</f>
        <v>Neto: 1,50 € (a partir de 24 uds.)</v>
      </c>
    </row>
    <row r="1142">
      <c r="A1142" s="4" t="str">
        <f>IFERROR(__xludf.DUMMYFUNCTION("""COMPUTED_VALUE"""),"1034G")</f>
        <v>1034G</v>
      </c>
      <c r="B1142" s="4" t="str">
        <f>IFERROR(__xludf.DUMMYFUNCTION("""COMPUTED_VALUE"""),"Bateria baliza 6v 25 Ah")</f>
        <v>Bateria baliza 6v 25 Ah</v>
      </c>
      <c r="C1142" s="4">
        <f>IFERROR(__xludf.DUMMYFUNCTION("""COMPUTED_VALUE"""),10.5)</f>
        <v>10.5</v>
      </c>
      <c r="D1142" s="4"/>
      <c r="E1142" s="4" t="str">
        <f>IFERROR(__xludf.DUMMYFUNCTION("""COMPUTED_VALUE"""),"Sin precio neto")</f>
        <v>Sin precio neto</v>
      </c>
    </row>
    <row r="1143">
      <c r="A1143" s="4" t="str">
        <f>IFERROR(__xludf.DUMMYFUNCTION("""COMPUTED_VALUE"""),"1035")</f>
        <v>1035</v>
      </c>
      <c r="B1143" s="4" t="str">
        <f>IFERROR(__xludf.DUMMYFUNCTION("""COMPUTED_VALUE"""),"Baliza Señalizacion flash-Led doble cara")</f>
        <v>Baliza Señalizacion flash-Led doble cara</v>
      </c>
      <c r="C1143" s="4">
        <f>IFERROR(__xludf.DUMMYFUNCTION("""COMPUTED_VALUE"""),22.25)</f>
        <v>22.25</v>
      </c>
      <c r="D1143" s="4"/>
      <c r="E1143" s="4" t="str">
        <f>IFERROR(__xludf.DUMMYFUNCTION("""COMPUTED_VALUE"""),"Sin precio neto")</f>
        <v>Sin precio neto</v>
      </c>
    </row>
    <row r="1144">
      <c r="A1144" s="4" t="str">
        <f>IFERROR(__xludf.DUMMYFUNCTION("""COMPUTED_VALUE"""),"1036")</f>
        <v>1036</v>
      </c>
      <c r="B1144" s="4" t="str">
        <f>IFERROR(__xludf.DUMMYFUNCTION("""COMPUTED_VALUE"""),"Baliza Señalización luz roja VEGA")</f>
        <v>Baliza Señalización luz roja VEGA</v>
      </c>
      <c r="C1144" s="4">
        <f>IFERROR(__xludf.DUMMYFUNCTION("""COMPUTED_VALUE"""),8.0)</f>
        <v>8</v>
      </c>
      <c r="D1144" s="4"/>
      <c r="E1144" s="4" t="str">
        <f>IFERROR(__xludf.DUMMYFUNCTION("""COMPUTED_VALUE"""),"Sin precio neto")</f>
        <v>Sin precio neto</v>
      </c>
    </row>
    <row r="1145">
      <c r="A1145" s="4" t="str">
        <f>IFERROR(__xludf.DUMMYFUNCTION("""COMPUTED_VALUE"""),"1037")</f>
        <v>1037</v>
      </c>
      <c r="B1145" s="4" t="str">
        <f>IFERROR(__xludf.DUMMYFUNCTION("""COMPUTED_VALUE"""),"Baliza Señalizacion solar")</f>
        <v>Baliza Señalizacion solar</v>
      </c>
      <c r="C1145" s="4">
        <f>IFERROR(__xludf.DUMMYFUNCTION("""COMPUTED_VALUE"""),14.9)</f>
        <v>14.9</v>
      </c>
      <c r="D1145" s="4"/>
      <c r="E1145" s="4" t="str">
        <f>IFERROR(__xludf.DUMMYFUNCTION("""COMPUTED_VALUE"""),"Sin precio neto")</f>
        <v>Sin precio neto</v>
      </c>
    </row>
    <row r="1146">
      <c r="A1146" s="4" t="str">
        <f>IFERROR(__xludf.DUMMYFUNCTION("""COMPUTED_VALUE"""),"1122B")</f>
        <v>1122B</v>
      </c>
      <c r="B1146" s="4" t="str">
        <f>IFERROR(__xludf.DUMMYFUNCTION("""COMPUTED_VALUE"""),"Barrera mediana HOG600 Blanca 560x1130x400 mm")</f>
        <v>Barrera mediana HOG600 Blanca 560x1130x400 mm</v>
      </c>
      <c r="C1146" s="4">
        <f>IFERROR(__xludf.DUMMYFUNCTION("""COMPUTED_VALUE"""),46.0)</f>
        <v>46</v>
      </c>
      <c r="D1146" s="4"/>
      <c r="E1146" s="4" t="str">
        <f>IFERROR(__xludf.DUMMYFUNCTION("""COMPUTED_VALUE"""),"Sin precio neto")</f>
        <v>Sin precio neto</v>
      </c>
    </row>
    <row r="1147">
      <c r="A1147" s="4" t="str">
        <f>IFERROR(__xludf.DUMMYFUNCTION("""COMPUTED_VALUE"""),"1122R")</f>
        <v>1122R</v>
      </c>
      <c r="B1147" s="4" t="str">
        <f>IFERROR(__xludf.DUMMYFUNCTION("""COMPUTED_VALUE"""),"Barrera mediana HOG600 Roja 560x1130x400 mm")</f>
        <v>Barrera mediana HOG600 Roja 560x1130x400 mm</v>
      </c>
      <c r="C1147" s="4">
        <f>IFERROR(__xludf.DUMMYFUNCTION("""COMPUTED_VALUE"""),46.0)</f>
        <v>46</v>
      </c>
      <c r="D1147" s="4"/>
      <c r="E1147" s="4" t="str">
        <f>IFERROR(__xludf.DUMMYFUNCTION("""COMPUTED_VALUE"""),"Sin precio neto")</f>
        <v>Sin precio neto</v>
      </c>
    </row>
    <row r="1148">
      <c r="A1148" s="4" t="str">
        <f>IFERROR(__xludf.DUMMYFUNCTION("""COMPUTED_VALUE"""),"1123")</f>
        <v>1123</v>
      </c>
      <c r="B1148" s="4" t="str">
        <f>IFERROR(__xludf.DUMMYFUNCTION("""COMPUTED_VALUE"""),"Mts. Cadena plástico 10 m/m R/B")</f>
        <v>Mts. Cadena plástico 10 m/m R/B</v>
      </c>
      <c r="C1148" s="4">
        <f>IFERROR(__xludf.DUMMYFUNCTION("""COMPUTED_VALUE"""),1.05)</f>
        <v>1.05</v>
      </c>
      <c r="D1148" s="4"/>
      <c r="E1148" s="4" t="str">
        <f>IFERROR(__xludf.DUMMYFUNCTION("""COMPUTED_VALUE"""),"Sin precio neto")</f>
        <v>Sin precio neto</v>
      </c>
    </row>
    <row r="1149">
      <c r="A1149" s="4" t="str">
        <f>IFERROR(__xludf.DUMMYFUNCTION("""COMPUTED_VALUE"""),"1124")</f>
        <v>1124</v>
      </c>
      <c r="B1149" s="4" t="str">
        <f>IFERROR(__xludf.DUMMYFUNCTION("""COMPUTED_VALUE"""),"Mts. Cadena plástico 10 m/m N/A")</f>
        <v>Mts. Cadena plástico 10 m/m N/A</v>
      </c>
      <c r="C1149" s="4">
        <f>IFERROR(__xludf.DUMMYFUNCTION("""COMPUTED_VALUE"""),1.05)</f>
        <v>1.05</v>
      </c>
      <c r="D1149" s="4"/>
      <c r="E1149" s="4" t="str">
        <f>IFERROR(__xludf.DUMMYFUNCTION("""COMPUTED_VALUE"""),"Sin precio neto")</f>
        <v>Sin precio neto</v>
      </c>
    </row>
    <row r="1150">
      <c r="A1150" s="4" t="str">
        <f>IFERROR(__xludf.DUMMYFUNCTION("""COMPUTED_VALUE"""),"1125")</f>
        <v>1125</v>
      </c>
      <c r="B1150" s="4" t="str">
        <f>IFERROR(__xludf.DUMMYFUNCTION("""COMPUTED_VALUE"""),"Poste señaliz. 1 m Rojo/Blanco p/cadena plastica")</f>
        <v>Poste señaliz. 1 m Rojo/Blanco p/cadena plastica</v>
      </c>
      <c r="C1150" s="4">
        <f>IFERROR(__xludf.DUMMYFUNCTION("""COMPUTED_VALUE"""),6.45)</f>
        <v>6.45</v>
      </c>
      <c r="D1150" s="4">
        <f>IFERROR(__xludf.DUMMYFUNCTION("""COMPUTED_VALUE"""),5.5)</f>
        <v>5.5</v>
      </c>
      <c r="E1150" s="4" t="str">
        <f>IFERROR(__xludf.DUMMYFUNCTION("""COMPUTED_VALUE"""),"Neto: 5,50 € (a partir de 10 uds.)")</f>
        <v>Neto: 5,50 € (a partir de 10 uds.)</v>
      </c>
    </row>
    <row r="1151">
      <c r="A1151" s="4" t="str">
        <f>IFERROR(__xludf.DUMMYFUNCTION("""COMPUTED_VALUE"""),"1125AN")</f>
        <v>1125AN</v>
      </c>
      <c r="B1151" s="4" t="str">
        <f>IFERROR(__xludf.DUMMYFUNCTION("""COMPUTED_VALUE"""),"Poste señaliz. 1 m Amarillo/negro p/cadena plastica")</f>
        <v>Poste señaliz. 1 m Amarillo/negro p/cadena plastica</v>
      </c>
      <c r="C1151" s="4">
        <f>IFERROR(__xludf.DUMMYFUNCTION("""COMPUTED_VALUE"""),6.45)</f>
        <v>6.45</v>
      </c>
      <c r="D1151" s="4">
        <f>IFERROR(__xludf.DUMMYFUNCTION("""COMPUTED_VALUE"""),5.5)</f>
        <v>5.5</v>
      </c>
      <c r="E1151" s="4" t="str">
        <f>IFERROR(__xludf.DUMMYFUNCTION("""COMPUTED_VALUE"""),"Neto: 5,50 € (a partir de 10 uds.)")</f>
        <v>Neto: 5,50 € (a partir de 10 uds.)</v>
      </c>
    </row>
    <row r="1152">
      <c r="A1152" s="4" t="str">
        <f>IFERROR(__xludf.DUMMYFUNCTION("""COMPUTED_VALUE"""),"1125BZ")</f>
        <v>1125BZ</v>
      </c>
      <c r="B1152" s="4" t="str">
        <f>IFERROR(__xludf.DUMMYFUNCTION("""COMPUTED_VALUE"""),"Poste señaliz. 1 m Azul/Blanco p/cadena plastica")</f>
        <v>Poste señaliz. 1 m Azul/Blanco p/cadena plastica</v>
      </c>
      <c r="C1152" s="4">
        <f>IFERROR(__xludf.DUMMYFUNCTION("""COMPUTED_VALUE"""),6.45)</f>
        <v>6.45</v>
      </c>
      <c r="D1152" s="4">
        <f>IFERROR(__xludf.DUMMYFUNCTION("""COMPUTED_VALUE"""),5.5)</f>
        <v>5.5</v>
      </c>
      <c r="E1152" s="4" t="str">
        <f>IFERROR(__xludf.DUMMYFUNCTION("""COMPUTED_VALUE"""),"Neto: 5,50 € (a partir de 10 uds.)")</f>
        <v>Neto: 5,50 € (a partir de 10 uds.)</v>
      </c>
    </row>
    <row r="1153">
      <c r="A1153" s="4" t="str">
        <f>IFERROR(__xludf.DUMMYFUNCTION("""COMPUTED_VALUE"""),"1125VB")</f>
        <v>1125VB</v>
      </c>
      <c r="B1153" s="4" t="str">
        <f>IFERROR(__xludf.DUMMYFUNCTION("""COMPUTED_VALUE"""),"Poste señaliz. 1 m Verde/Blanco p/cadena plastica")</f>
        <v>Poste señaliz. 1 m Verde/Blanco p/cadena plastica</v>
      </c>
      <c r="C1153" s="4">
        <f>IFERROR(__xludf.DUMMYFUNCTION("""COMPUTED_VALUE"""),6.45)</f>
        <v>6.45</v>
      </c>
      <c r="D1153" s="4">
        <f>IFERROR(__xludf.DUMMYFUNCTION("""COMPUTED_VALUE"""),5.5)</f>
        <v>5.5</v>
      </c>
      <c r="E1153" s="4" t="str">
        <f>IFERROR(__xludf.DUMMYFUNCTION("""COMPUTED_VALUE"""),"Neto: 5,50 € (a partir de 10 uds.)")</f>
        <v>Neto: 5,50 € (a partir de 10 uds.)</v>
      </c>
    </row>
    <row r="1154">
      <c r="A1154" s="4" t="str">
        <f>IFERROR(__xludf.DUMMYFUNCTION("""COMPUTED_VALUE"""),"1126")</f>
        <v>1126</v>
      </c>
      <c r="B1154" s="4" t="str">
        <f>IFERROR(__xludf.DUMMYFUNCTION("""COMPUTED_VALUE"""),"Mts. Cadena Plástico 5.5 m/m R/B")</f>
        <v>Mts. Cadena Plástico 5.5 m/m R/B</v>
      </c>
      <c r="C1154" s="4">
        <f>IFERROR(__xludf.DUMMYFUNCTION("""COMPUTED_VALUE"""),0.65)</f>
        <v>0.65</v>
      </c>
      <c r="D1154" s="4">
        <f>IFERROR(__xludf.DUMMYFUNCTION("""COMPUTED_VALUE"""),0.6)</f>
        <v>0.6</v>
      </c>
      <c r="E1154" s="4" t="str">
        <f>IFERROR(__xludf.DUMMYFUNCTION("""COMPUTED_VALUE"""),"Neto: 0,60 € (a partir de 200 uds.)")</f>
        <v>Neto: 0,60 € (a partir de 200 uds.)</v>
      </c>
    </row>
    <row r="1155">
      <c r="A1155" s="4" t="str">
        <f>IFERROR(__xludf.DUMMYFUNCTION("""COMPUTED_VALUE"""),"1126B")</f>
        <v>1126B</v>
      </c>
      <c r="B1155" s="4" t="str">
        <f>IFERROR(__xludf.DUMMYFUNCTION("""COMPUTED_VALUE"""),"Mts. cadena Plástico 5.5 mm Blanca")</f>
        <v>Mts. cadena Plástico 5.5 mm Blanca</v>
      </c>
      <c r="C1155" s="4">
        <f>IFERROR(__xludf.DUMMYFUNCTION("""COMPUTED_VALUE"""),0.65)</f>
        <v>0.65</v>
      </c>
      <c r="D1155" s="4">
        <f>IFERROR(__xludf.DUMMYFUNCTION("""COMPUTED_VALUE"""),0.6)</f>
        <v>0.6</v>
      </c>
      <c r="E1155" s="4" t="str">
        <f>IFERROR(__xludf.DUMMYFUNCTION("""COMPUTED_VALUE"""),"Neto: 0,60 € (a partir de 200 uds.)")</f>
        <v>Neto: 0,60 € (a partir de 200 uds.)</v>
      </c>
    </row>
    <row r="1156">
      <c r="A1156" s="4" t="str">
        <f>IFERROR(__xludf.DUMMYFUNCTION("""COMPUTED_VALUE"""),"1126BZ")</f>
        <v>1126BZ</v>
      </c>
      <c r="B1156" s="4" t="str">
        <f>IFERROR(__xludf.DUMMYFUNCTION("""COMPUTED_VALUE"""),"Mts. Cadena Plástico 5.5 m/m B/Z")</f>
        <v>Mts. Cadena Plástico 5.5 m/m B/Z</v>
      </c>
      <c r="C1156" s="4">
        <f>IFERROR(__xludf.DUMMYFUNCTION("""COMPUTED_VALUE"""),0.65)</f>
        <v>0.65</v>
      </c>
      <c r="D1156" s="4">
        <f>IFERROR(__xludf.DUMMYFUNCTION("""COMPUTED_VALUE"""),0.6)</f>
        <v>0.6</v>
      </c>
      <c r="E1156" s="4" t="str">
        <f>IFERROR(__xludf.DUMMYFUNCTION("""COMPUTED_VALUE"""),"Neto: 0,60 € (a partir de 200 uds.)")</f>
        <v>Neto: 0,60 € (a partir de 200 uds.)</v>
      </c>
    </row>
    <row r="1157">
      <c r="A1157" s="4" t="str">
        <f>IFERROR(__xludf.DUMMYFUNCTION("""COMPUTED_VALUE"""),"1126M3")</f>
        <v>1126M3</v>
      </c>
      <c r="B1157" s="4" t="str">
        <f>IFERROR(__xludf.DUMMYFUNCTION("""COMPUTED_VALUE"""),"Rollo 165 m cadena metálica señalización cincada 3 mm")</f>
        <v>Rollo 165 m cadena metálica señalización cincada 3 mm</v>
      </c>
      <c r="C1157" s="4">
        <f>IFERROR(__xludf.DUMMYFUNCTION("""COMPUTED_VALUE"""),118.125)</f>
        <v>118.125</v>
      </c>
      <c r="D1157" s="4"/>
      <c r="E1157" s="4" t="str">
        <f>IFERROR(__xludf.DUMMYFUNCTION("""COMPUTED_VALUE"""),"Sin precio neto")</f>
        <v>Sin precio neto</v>
      </c>
    </row>
    <row r="1158">
      <c r="A1158" s="4" t="str">
        <f>IFERROR(__xludf.DUMMYFUNCTION("""COMPUTED_VALUE"""),"1126M6")</f>
        <v>1126M6</v>
      </c>
      <c r="B1158" s="4" t="str">
        <f>IFERROR(__xludf.DUMMYFUNCTION("""COMPUTED_VALUE"""),"Rollo 38 m cadena metálica señalización cincada 6 mm")</f>
        <v>Rollo 38 m cadena metálica señalización cincada 6 mm</v>
      </c>
      <c r="C1158" s="4">
        <f>IFERROR(__xludf.DUMMYFUNCTION("""COMPUTED_VALUE"""),99.0)</f>
        <v>99</v>
      </c>
      <c r="D1158" s="4"/>
      <c r="E1158" s="4" t="str">
        <f>IFERROR(__xludf.DUMMYFUNCTION("""COMPUTED_VALUE"""),"Sin precio neto")</f>
        <v>Sin precio neto</v>
      </c>
    </row>
    <row r="1159">
      <c r="A1159" s="4" t="str">
        <f>IFERROR(__xludf.DUMMYFUNCTION("""COMPUTED_VALUE"""),"1126M8")</f>
        <v>1126M8</v>
      </c>
      <c r="B1159" s="4" t="str">
        <f>IFERROR(__xludf.DUMMYFUNCTION("""COMPUTED_VALUE"""),"Rollo 21 m cadena metálica señalización cincada 8 mm")</f>
        <v>Rollo 21 m cadena metálica señalización cincada 8 mm</v>
      </c>
      <c r="C1159" s="4">
        <f>IFERROR(__xludf.DUMMYFUNCTION("""COMPUTED_VALUE"""),92.5)</f>
        <v>92.5</v>
      </c>
      <c r="D1159" s="4"/>
      <c r="E1159" s="4" t="str">
        <f>IFERROR(__xludf.DUMMYFUNCTION("""COMPUTED_VALUE"""),"Sin precio neto")</f>
        <v>Sin precio neto</v>
      </c>
    </row>
    <row r="1160">
      <c r="A1160" s="4" t="str">
        <f>IFERROR(__xludf.DUMMYFUNCTION("""COMPUTED_VALUE"""),"1126MNA")</f>
        <v>1126MNA</v>
      </c>
      <c r="B1160" s="4" t="str">
        <f>IFERROR(__xludf.DUMMYFUNCTION("""COMPUTED_VALUE"""),"Rollo 25 m cadena metálica Señalización pintada")</f>
        <v>Rollo 25 m cadena metálica Señalización pintada</v>
      </c>
      <c r="C1160" s="4">
        <f>IFERROR(__xludf.DUMMYFUNCTION("""COMPUTED_VALUE"""),90.0)</f>
        <v>90</v>
      </c>
      <c r="D1160" s="4"/>
      <c r="E1160" s="4" t="str">
        <f>IFERROR(__xludf.DUMMYFUNCTION("""COMPUTED_VALUE"""),"Sin precio neto")</f>
        <v>Sin precio neto</v>
      </c>
    </row>
    <row r="1161">
      <c r="A1161" s="4" t="str">
        <f>IFERROR(__xludf.DUMMYFUNCTION("""COMPUTED_VALUE"""),"1126MRB")</f>
        <v>1126MRB</v>
      </c>
      <c r="B1161" s="4" t="str">
        <f>IFERROR(__xludf.DUMMYFUNCTION("""COMPUTED_VALUE"""),"Rollo 25 m cadena metálica Señalización pintada")</f>
        <v>Rollo 25 m cadena metálica Señalización pintada</v>
      </c>
      <c r="C1161" s="4">
        <f>IFERROR(__xludf.DUMMYFUNCTION("""COMPUTED_VALUE"""),90.0)</f>
        <v>90</v>
      </c>
      <c r="D1161" s="4"/>
      <c r="E1161" s="4" t="str">
        <f>IFERROR(__xludf.DUMMYFUNCTION("""COMPUTED_VALUE"""),"Sin precio neto")</f>
        <v>Sin precio neto</v>
      </c>
    </row>
    <row r="1162">
      <c r="A1162" s="4" t="str">
        <f>IFERROR(__xludf.DUMMYFUNCTION("""COMPUTED_VALUE"""),"1126V")</f>
        <v>1126V</v>
      </c>
      <c r="B1162" s="4" t="str">
        <f>IFERROR(__xludf.DUMMYFUNCTION("""COMPUTED_VALUE"""),"Mts. Cadena Plástico 5.5 mm Verde")</f>
        <v>Mts. Cadena Plástico 5.5 mm Verde</v>
      </c>
      <c r="C1162" s="4">
        <f>IFERROR(__xludf.DUMMYFUNCTION("""COMPUTED_VALUE"""),0.65)</f>
        <v>0.65</v>
      </c>
      <c r="D1162" s="4">
        <f>IFERROR(__xludf.DUMMYFUNCTION("""COMPUTED_VALUE"""),0.6)</f>
        <v>0.6</v>
      </c>
      <c r="E1162" s="4" t="str">
        <f>IFERROR(__xludf.DUMMYFUNCTION("""COMPUTED_VALUE"""),"Neto: 0,60 € (a partir de 200 uds.)")</f>
        <v>Neto: 0,60 € (a partir de 200 uds.)</v>
      </c>
    </row>
    <row r="1163">
      <c r="A1163" s="4" t="str">
        <f>IFERROR(__xludf.DUMMYFUNCTION("""COMPUTED_VALUE"""),"1126VB")</f>
        <v>1126VB</v>
      </c>
      <c r="B1163" s="4" t="str">
        <f>IFERROR(__xludf.DUMMYFUNCTION("""COMPUTED_VALUE"""),"Mts. Cadena Plástico 5.5 mm V/B")</f>
        <v>Mts. Cadena Plástico 5.5 mm V/B</v>
      </c>
      <c r="C1163" s="4">
        <f>IFERROR(__xludf.DUMMYFUNCTION("""COMPUTED_VALUE"""),0.65)</f>
        <v>0.65</v>
      </c>
      <c r="D1163" s="4">
        <f>IFERROR(__xludf.DUMMYFUNCTION("""COMPUTED_VALUE"""),0.6)</f>
        <v>0.6</v>
      </c>
      <c r="E1163" s="4" t="str">
        <f>IFERROR(__xludf.DUMMYFUNCTION("""COMPUTED_VALUE"""),"Neto: 0,60 € (a partir de 200 uds.)")</f>
        <v>Neto: 0,60 € (a partir de 200 uds.)</v>
      </c>
    </row>
    <row r="1164">
      <c r="A1164" s="4" t="str">
        <f>IFERROR(__xludf.DUMMYFUNCTION("""COMPUTED_VALUE"""),"1127")</f>
        <v>1127</v>
      </c>
      <c r="B1164" s="4" t="str">
        <f>IFERROR(__xludf.DUMMYFUNCTION("""COMPUTED_VALUE"""),"Mts. Cadena plastico 7.5 mm R/B")</f>
        <v>Mts. Cadena plastico 7.5 mm R/B</v>
      </c>
      <c r="C1164" s="4">
        <f>IFERROR(__xludf.DUMMYFUNCTION("""COMPUTED_VALUE"""),0.78)</f>
        <v>0.78</v>
      </c>
      <c r="D1164" s="4">
        <f>IFERROR(__xludf.DUMMYFUNCTION("""COMPUTED_VALUE"""),0.7)</f>
        <v>0.7</v>
      </c>
      <c r="E1164" s="4" t="str">
        <f>IFERROR(__xludf.DUMMYFUNCTION("""COMPUTED_VALUE"""),"Neto: 0,70 € (a partir de 100 uds.)")</f>
        <v>Neto: 0,70 € (a partir de 100 uds.)</v>
      </c>
    </row>
    <row r="1165">
      <c r="A1165" s="4" t="str">
        <f>IFERROR(__xludf.DUMMYFUNCTION("""COMPUTED_VALUE"""),"1127B")</f>
        <v>1127B</v>
      </c>
      <c r="B1165" s="4" t="str">
        <f>IFERROR(__xludf.DUMMYFUNCTION("""COMPUTED_VALUE"""),"Mts. cadena Plástico 7.5 mm Blanca")</f>
        <v>Mts. cadena Plástico 7.5 mm Blanca</v>
      </c>
      <c r="C1165" s="4">
        <f>IFERROR(__xludf.DUMMYFUNCTION("""COMPUTED_VALUE"""),0.78)</f>
        <v>0.78</v>
      </c>
      <c r="D1165" s="4">
        <f>IFERROR(__xludf.DUMMYFUNCTION("""COMPUTED_VALUE"""),0.7)</f>
        <v>0.7</v>
      </c>
      <c r="E1165" s="4" t="str">
        <f>IFERROR(__xludf.DUMMYFUNCTION("""COMPUTED_VALUE"""),"Neto: 0,70 € (a partir de 100 uds.)")</f>
        <v>Neto: 0,70 € (a partir de 100 uds.)</v>
      </c>
    </row>
    <row r="1166">
      <c r="A1166" s="4" t="str">
        <f>IFERROR(__xludf.DUMMYFUNCTION("""COMPUTED_VALUE"""),"1127BZ")</f>
        <v>1127BZ</v>
      </c>
      <c r="B1166" s="4" t="str">
        <f>IFERROR(__xludf.DUMMYFUNCTION("""COMPUTED_VALUE"""),"Mts. Cadena Plástico 7.5 mm B/Z")</f>
        <v>Mts. Cadena Plástico 7.5 mm B/Z</v>
      </c>
      <c r="C1166" s="4">
        <f>IFERROR(__xludf.DUMMYFUNCTION("""COMPUTED_VALUE"""),0.78)</f>
        <v>0.78</v>
      </c>
      <c r="D1166" s="4">
        <f>IFERROR(__xludf.DUMMYFUNCTION("""COMPUTED_VALUE"""),0.7)</f>
        <v>0.7</v>
      </c>
      <c r="E1166" s="4" t="str">
        <f>IFERROR(__xludf.DUMMYFUNCTION("""COMPUTED_VALUE"""),"Neto: 0,70 € (a partir de 100 uds.)")</f>
        <v>Neto: 0,70 € (a partir de 100 uds.)</v>
      </c>
    </row>
    <row r="1167">
      <c r="A1167" s="4" t="str">
        <f>IFERROR(__xludf.DUMMYFUNCTION("""COMPUTED_VALUE"""),"1127V")</f>
        <v>1127V</v>
      </c>
      <c r="B1167" s="4" t="str">
        <f>IFERROR(__xludf.DUMMYFUNCTION("""COMPUTED_VALUE"""),"Mts. cadena Plástico 7.5 mm Verde")</f>
        <v>Mts. cadena Plástico 7.5 mm Verde</v>
      </c>
      <c r="C1167" s="4">
        <f>IFERROR(__xludf.DUMMYFUNCTION("""COMPUTED_VALUE"""),0.78)</f>
        <v>0.78</v>
      </c>
      <c r="D1167" s="4">
        <f>IFERROR(__xludf.DUMMYFUNCTION("""COMPUTED_VALUE"""),0.7)</f>
        <v>0.7</v>
      </c>
      <c r="E1167" s="4" t="str">
        <f>IFERROR(__xludf.DUMMYFUNCTION("""COMPUTED_VALUE"""),"Neto: 0,70 € (a partir de 100 uds.)")</f>
        <v>Neto: 0,70 € (a partir de 100 uds.)</v>
      </c>
    </row>
    <row r="1168">
      <c r="A1168" s="4" t="str">
        <f>IFERROR(__xludf.DUMMYFUNCTION("""COMPUTED_VALUE"""),"1127VB")</f>
        <v>1127VB</v>
      </c>
      <c r="B1168" s="4" t="str">
        <f>IFERROR(__xludf.DUMMYFUNCTION("""COMPUTED_VALUE"""),"Mts. Cadena Plástico 7.5 mm V/B")</f>
        <v>Mts. Cadena Plástico 7.5 mm V/B</v>
      </c>
      <c r="C1168" s="4">
        <f>IFERROR(__xludf.DUMMYFUNCTION("""COMPUTED_VALUE"""),0.78)</f>
        <v>0.78</v>
      </c>
      <c r="D1168" s="4">
        <f>IFERROR(__xludf.DUMMYFUNCTION("""COMPUTED_VALUE"""),0.7)</f>
        <v>0.7</v>
      </c>
      <c r="E1168" s="4" t="str">
        <f>IFERROR(__xludf.DUMMYFUNCTION("""COMPUTED_VALUE"""),"Neto: 0,70 € (a partir de 100 uds.)")</f>
        <v>Neto: 0,70 € (a partir de 100 uds.)</v>
      </c>
    </row>
    <row r="1169">
      <c r="A1169" s="4" t="str">
        <f>IFERROR(__xludf.DUMMYFUNCTION("""COMPUTED_VALUE"""),"1128")</f>
        <v>1128</v>
      </c>
      <c r="B1169" s="4" t="str">
        <f>IFERROR(__xludf.DUMMYFUNCTION("""COMPUTED_VALUE"""),"Mts. Cadena plastico 5.5mm N/A")</f>
        <v>Mts. Cadena plastico 5.5mm N/A</v>
      </c>
      <c r="C1169" s="4">
        <f>IFERROR(__xludf.DUMMYFUNCTION("""COMPUTED_VALUE"""),0.65)</f>
        <v>0.65</v>
      </c>
      <c r="D1169" s="4">
        <f>IFERROR(__xludf.DUMMYFUNCTION("""COMPUTED_VALUE"""),0.6)</f>
        <v>0.6</v>
      </c>
      <c r="E1169" s="4" t="str">
        <f>IFERROR(__xludf.DUMMYFUNCTION("""COMPUTED_VALUE"""),"Neto: 0,60 € (a partir de 200 uds.)")</f>
        <v>Neto: 0,60 € (a partir de 200 uds.)</v>
      </c>
    </row>
    <row r="1170">
      <c r="A1170" s="4" t="str">
        <f>IFERROR(__xludf.DUMMYFUNCTION("""COMPUTED_VALUE"""),"1129")</f>
        <v>1129</v>
      </c>
      <c r="B1170" s="4" t="str">
        <f>IFERROR(__xludf.DUMMYFUNCTION("""COMPUTED_VALUE"""),"Mts. Cadena plastico 7.5 mm N/A")</f>
        <v>Mts. Cadena plastico 7.5 mm N/A</v>
      </c>
      <c r="C1170" s="4">
        <f>IFERROR(__xludf.DUMMYFUNCTION("""COMPUTED_VALUE"""),0.78)</f>
        <v>0.78</v>
      </c>
      <c r="D1170" s="4">
        <f>IFERROR(__xludf.DUMMYFUNCTION("""COMPUTED_VALUE"""),0.7)</f>
        <v>0.7</v>
      </c>
      <c r="E1170" s="4" t="str">
        <f>IFERROR(__xludf.DUMMYFUNCTION("""COMPUTED_VALUE"""),"Neto: 0,70 € (a partir de 100 uds.)")</f>
        <v>Neto: 0,70 € (a partir de 100 uds.)</v>
      </c>
    </row>
    <row r="1171">
      <c r="A1171" s="4" t="str">
        <f>IFERROR(__xludf.DUMMYFUNCTION("""COMPUTED_VALUE"""),"1132")</f>
        <v>1132</v>
      </c>
      <c r="B1171" s="4" t="str">
        <f>IFERROR(__xludf.DUMMYFUNCTION("""COMPUTED_VALUE"""),"Poste plata con cinturón retráctil rojo 2 m")</f>
        <v>Poste plata con cinturón retráctil rojo 2 m</v>
      </c>
      <c r="C1171" s="4">
        <f>IFERROR(__xludf.DUMMYFUNCTION("""COMPUTED_VALUE"""),24.0)</f>
        <v>24</v>
      </c>
      <c r="D1171" s="4"/>
      <c r="E1171" s="4" t="str">
        <f>IFERROR(__xludf.DUMMYFUNCTION("""COMPUTED_VALUE"""),"Sin precio neto")</f>
        <v>Sin precio neto</v>
      </c>
    </row>
    <row r="1172">
      <c r="A1172" s="4" t="str">
        <f>IFERROR(__xludf.DUMMYFUNCTION("""COMPUTED_VALUE"""),"11325M")</f>
        <v>11325M</v>
      </c>
      <c r="B1172" s="4" t="str">
        <f>IFERROR(__xludf.DUMMYFUNCTION("""COMPUTED_VALUE"""),"Poste plata con cinturón retráctil rojo 5 m")</f>
        <v>Poste plata con cinturón retráctil rojo 5 m</v>
      </c>
      <c r="C1172" s="4">
        <f>IFERROR(__xludf.DUMMYFUNCTION("""COMPUTED_VALUE"""),31.0)</f>
        <v>31</v>
      </c>
      <c r="D1172" s="4"/>
      <c r="E1172" s="4" t="str">
        <f>IFERROR(__xludf.DUMMYFUNCTION("""COMPUTED_VALUE"""),"Sin precio neto")</f>
        <v>Sin precio neto</v>
      </c>
    </row>
    <row r="1173">
      <c r="A1173" s="4" t="str">
        <f>IFERROR(__xludf.DUMMYFUNCTION("""COMPUTED_VALUE"""),"1132A")</f>
        <v>1132A</v>
      </c>
      <c r="B1173" s="4" t="str">
        <f>IFERROR(__xludf.DUMMYFUNCTION("""COMPUTED_VALUE"""),"Poste plata con cinturón retráctil azul 2 m")</f>
        <v>Poste plata con cinturón retráctil azul 2 m</v>
      </c>
      <c r="C1173" s="4">
        <f>IFERROR(__xludf.DUMMYFUNCTION("""COMPUTED_VALUE"""),24.0)</f>
        <v>24</v>
      </c>
      <c r="D1173" s="4"/>
      <c r="E1173" s="4" t="str">
        <f>IFERROR(__xludf.DUMMYFUNCTION("""COMPUTED_VALUE"""),"Sin precio neto")</f>
        <v>Sin precio neto</v>
      </c>
    </row>
    <row r="1174">
      <c r="A1174" s="4" t="str">
        <f>IFERROR(__xludf.DUMMYFUNCTION("""COMPUTED_VALUE"""),"1132A5M")</f>
        <v>1132A5M</v>
      </c>
      <c r="B1174" s="4" t="str">
        <f>IFERROR(__xludf.DUMMYFUNCTION("""COMPUTED_VALUE"""),"Poste plata con cinturón retráctil azul 5 m")</f>
        <v>Poste plata con cinturón retráctil azul 5 m</v>
      </c>
      <c r="C1174" s="4">
        <f>IFERROR(__xludf.DUMMYFUNCTION("""COMPUTED_VALUE"""),31.0)</f>
        <v>31</v>
      </c>
      <c r="D1174" s="4"/>
      <c r="E1174" s="4" t="str">
        <f>IFERROR(__xludf.DUMMYFUNCTION("""COMPUTED_VALUE"""),"Sin precio neto")</f>
        <v>Sin precio neto</v>
      </c>
    </row>
    <row r="1175">
      <c r="A1175" s="4" t="str">
        <f>IFERROR(__xludf.DUMMYFUNCTION("""COMPUTED_VALUE"""),"1132N")</f>
        <v>1132N</v>
      </c>
      <c r="B1175" s="4" t="str">
        <f>IFERROR(__xludf.DUMMYFUNCTION("""COMPUTED_VALUE"""),"Poste plata con cinturón retráctil negro 2 m")</f>
        <v>Poste plata con cinturón retráctil negro 2 m</v>
      </c>
      <c r="C1175" s="4">
        <f>IFERROR(__xludf.DUMMYFUNCTION("""COMPUTED_VALUE"""),24.0)</f>
        <v>24</v>
      </c>
      <c r="D1175" s="4"/>
      <c r="E1175" s="4" t="str">
        <f>IFERROR(__xludf.DUMMYFUNCTION("""COMPUTED_VALUE"""),"Sin precio neto")</f>
        <v>Sin precio neto</v>
      </c>
    </row>
    <row r="1176">
      <c r="A1176" s="4" t="str">
        <f>IFERROR(__xludf.DUMMYFUNCTION("""COMPUTED_VALUE"""),"1132N5M")</f>
        <v>1132N5M</v>
      </c>
      <c r="B1176" s="4" t="str">
        <f>IFERROR(__xludf.DUMMYFUNCTION("""COMPUTED_VALUE"""),"Poste plata con cinturón retráctil negro 5 m")</f>
        <v>Poste plata con cinturón retráctil negro 5 m</v>
      </c>
      <c r="C1176" s="4">
        <f>IFERROR(__xludf.DUMMYFUNCTION("""COMPUTED_VALUE"""),31.0)</f>
        <v>31</v>
      </c>
      <c r="D1176" s="4"/>
      <c r="E1176" s="4" t="str">
        <f>IFERROR(__xludf.DUMMYFUNCTION("""COMPUTED_VALUE"""),"Sin precio neto")</f>
        <v>Sin precio neto</v>
      </c>
    </row>
    <row r="1177">
      <c r="A1177" s="4" t="str">
        <f>IFERROR(__xludf.DUMMYFUNCTION("""COMPUTED_VALUE"""),"1133")</f>
        <v>1133</v>
      </c>
      <c r="B1177" s="4" t="str">
        <f>IFERROR(__xludf.DUMMYFUNCTION("""COMPUTED_VALUE"""),"Cinturón Retráctil Pared rojo 2 m")</f>
        <v>Cinturón Retráctil Pared rojo 2 m</v>
      </c>
      <c r="C1177" s="4">
        <f>IFERROR(__xludf.DUMMYFUNCTION("""COMPUTED_VALUE"""),16.95)</f>
        <v>16.95</v>
      </c>
      <c r="D1177" s="4"/>
      <c r="E1177" s="4" t="str">
        <f>IFERROR(__xludf.DUMMYFUNCTION("""COMPUTED_VALUE"""),"Sin precio neto")</f>
        <v>Sin precio neto</v>
      </c>
    </row>
    <row r="1178">
      <c r="A1178" s="4" t="str">
        <f>IFERROR(__xludf.DUMMYFUNCTION("""COMPUTED_VALUE"""),"11335M")</f>
        <v>11335M</v>
      </c>
      <c r="B1178" s="4" t="str">
        <f>IFERROR(__xludf.DUMMYFUNCTION("""COMPUTED_VALUE"""),"Cinturón Retráctil Pared rojo 5 m")</f>
        <v>Cinturón Retráctil Pared rojo 5 m</v>
      </c>
      <c r="C1178" s="4">
        <f>IFERROR(__xludf.DUMMYFUNCTION("""COMPUTED_VALUE"""),29.0)</f>
        <v>29</v>
      </c>
      <c r="D1178" s="4"/>
      <c r="E1178" s="4" t="str">
        <f>IFERROR(__xludf.DUMMYFUNCTION("""COMPUTED_VALUE"""),"Sin precio neto")</f>
        <v>Sin precio neto</v>
      </c>
    </row>
    <row r="1179">
      <c r="A1179" s="4" t="str">
        <f>IFERROR(__xludf.DUMMYFUNCTION("""COMPUTED_VALUE"""),"1133A")</f>
        <v>1133A</v>
      </c>
      <c r="B1179" s="4" t="str">
        <f>IFERROR(__xludf.DUMMYFUNCTION("""COMPUTED_VALUE"""),"Enganche pared para cinturón retráctil")</f>
        <v>Enganche pared para cinturón retráctil</v>
      </c>
      <c r="C1179" s="4">
        <f>IFERROR(__xludf.DUMMYFUNCTION("""COMPUTED_VALUE"""),1.5)</f>
        <v>1.5</v>
      </c>
      <c r="D1179" s="4"/>
      <c r="E1179" s="4" t="str">
        <f>IFERROR(__xludf.DUMMYFUNCTION("""COMPUTED_VALUE"""),"Sin precio neto")</f>
        <v>Sin precio neto</v>
      </c>
    </row>
    <row r="1180">
      <c r="A1180" s="4" t="str">
        <f>IFERROR(__xludf.DUMMYFUNCTION("""COMPUTED_VALUE"""),"1133A5M")</f>
        <v>1133A5M</v>
      </c>
      <c r="B1180" s="4" t="str">
        <f>IFERROR(__xludf.DUMMYFUNCTION("""COMPUTED_VALUE"""),"Cinturón Retráctil Pared azul 5 m")</f>
        <v>Cinturón Retráctil Pared azul 5 m</v>
      </c>
      <c r="C1180" s="4">
        <f>IFERROR(__xludf.DUMMYFUNCTION("""COMPUTED_VALUE"""),29.0)</f>
        <v>29</v>
      </c>
      <c r="D1180" s="4"/>
      <c r="E1180" s="4" t="str">
        <f>IFERROR(__xludf.DUMMYFUNCTION("""COMPUTED_VALUE"""),"Sin precio neto")</f>
        <v>Sin precio neto</v>
      </c>
    </row>
    <row r="1181">
      <c r="A1181" s="4" t="str">
        <f>IFERROR(__xludf.DUMMYFUNCTION("""COMPUTED_VALUE"""),"1133N")</f>
        <v>1133N</v>
      </c>
      <c r="B1181" s="4" t="str">
        <f>IFERROR(__xludf.DUMMYFUNCTION("""COMPUTED_VALUE"""),"Cinturón Retráctil Pared negro 2m")</f>
        <v>Cinturón Retráctil Pared negro 2m</v>
      </c>
      <c r="C1181" s="4">
        <f>IFERROR(__xludf.DUMMYFUNCTION("""COMPUTED_VALUE"""),16.95)</f>
        <v>16.95</v>
      </c>
      <c r="D1181" s="4"/>
      <c r="E1181" s="4" t="str">
        <f>IFERROR(__xludf.DUMMYFUNCTION("""COMPUTED_VALUE"""),"Sin precio neto")</f>
        <v>Sin precio neto</v>
      </c>
    </row>
    <row r="1182">
      <c r="A1182" s="4" t="str">
        <f>IFERROR(__xludf.DUMMYFUNCTION("""COMPUTED_VALUE"""),"1133N5M")</f>
        <v>1133N5M</v>
      </c>
      <c r="B1182" s="4" t="str">
        <f>IFERROR(__xludf.DUMMYFUNCTION("""COMPUTED_VALUE"""),"Cinturón Retráctil Pared negro 5 m")</f>
        <v>Cinturón Retráctil Pared negro 5 m</v>
      </c>
      <c r="C1182" s="4">
        <f>IFERROR(__xludf.DUMMYFUNCTION("""COMPUTED_VALUE"""),29.0)</f>
        <v>29</v>
      </c>
      <c r="D1182" s="4"/>
      <c r="E1182" s="4" t="str">
        <f>IFERROR(__xludf.DUMMYFUNCTION("""COMPUTED_VALUE"""),"Sin precio neto")</f>
        <v>Sin precio neto</v>
      </c>
    </row>
    <row r="1183">
      <c r="A1183" s="4" t="str">
        <f>IFERROR(__xludf.DUMMYFUNCTION("""COMPUTED_VALUE"""),"1134")</f>
        <v>1134</v>
      </c>
      <c r="B1183" s="4" t="str">
        <f>IFERROR(__xludf.DUMMYFUNCTION("""COMPUTED_VALUE"""),"Poste Negro con cinturón retráctil rojo 2 m")</f>
        <v>Poste Negro con cinturón retráctil rojo 2 m</v>
      </c>
      <c r="C1183" s="4">
        <f>IFERROR(__xludf.DUMMYFUNCTION("""COMPUTED_VALUE"""),24.5)</f>
        <v>24.5</v>
      </c>
      <c r="D1183" s="4"/>
      <c r="E1183" s="4" t="str">
        <f>IFERROR(__xludf.DUMMYFUNCTION("""COMPUTED_VALUE"""),"Sin precio neto")</f>
        <v>Sin precio neto</v>
      </c>
    </row>
    <row r="1184">
      <c r="A1184" s="4" t="str">
        <f>IFERROR(__xludf.DUMMYFUNCTION("""COMPUTED_VALUE"""),"1134A")</f>
        <v>1134A</v>
      </c>
      <c r="B1184" s="4" t="str">
        <f>IFERROR(__xludf.DUMMYFUNCTION("""COMPUTED_VALUE"""),"Poste Negro con cinturón retráctil azul 2 m")</f>
        <v>Poste Negro con cinturón retráctil azul 2 m</v>
      </c>
      <c r="C1184" s="4">
        <f>IFERROR(__xludf.DUMMYFUNCTION("""COMPUTED_VALUE"""),24.0)</f>
        <v>24</v>
      </c>
      <c r="D1184" s="4"/>
      <c r="E1184" s="4" t="str">
        <f>IFERROR(__xludf.DUMMYFUNCTION("""COMPUTED_VALUE"""),"Sin precio neto")</f>
        <v>Sin precio neto</v>
      </c>
    </row>
    <row r="1185">
      <c r="A1185" s="4" t="str">
        <f>IFERROR(__xludf.DUMMYFUNCTION("""COMPUTED_VALUE"""),"1134N")</f>
        <v>1134N</v>
      </c>
      <c r="B1185" s="4" t="str">
        <f>IFERROR(__xludf.DUMMYFUNCTION("""COMPUTED_VALUE"""),"Poste negro con cinturón retráctil negro 2 m")</f>
        <v>Poste negro con cinturón retráctil negro 2 m</v>
      </c>
      <c r="C1185" s="4">
        <f>IFERROR(__xludf.DUMMYFUNCTION("""COMPUTED_VALUE"""),24.0)</f>
        <v>24</v>
      </c>
      <c r="D1185" s="4"/>
      <c r="E1185" s="4" t="str">
        <f>IFERROR(__xludf.DUMMYFUNCTION("""COMPUTED_VALUE"""),"Sin precio neto")</f>
        <v>Sin precio neto</v>
      </c>
    </row>
    <row r="1186">
      <c r="A1186" s="4" t="str">
        <f>IFERROR(__xludf.DUMMYFUNCTION("""COMPUTED_VALUE"""),"1134NA")</f>
        <v>1134NA</v>
      </c>
      <c r="B1186" s="4" t="str">
        <f>IFERROR(__xludf.DUMMYFUNCTION("""COMPUTED_VALUE"""),"Poste negro con cinturón retráctil negro/amarillo 5 m")</f>
        <v>Poste negro con cinturón retráctil negro/amarillo 5 m</v>
      </c>
      <c r="C1186" s="4">
        <f>IFERROR(__xludf.DUMMYFUNCTION("""COMPUTED_VALUE"""),24.0)</f>
        <v>24</v>
      </c>
      <c r="D1186" s="4"/>
      <c r="E1186" s="4" t="str">
        <f>IFERROR(__xludf.DUMMYFUNCTION("""COMPUTED_VALUE"""),"Sin precio neto")</f>
        <v>Sin precio neto</v>
      </c>
    </row>
    <row r="1187">
      <c r="A1187" s="4" t="str">
        <f>IFERROR(__xludf.DUMMYFUNCTION("""COMPUTED_VALUE"""),"1134RB")</f>
        <v>1134RB</v>
      </c>
      <c r="B1187" s="4" t="str">
        <f>IFERROR(__xludf.DUMMYFUNCTION("""COMPUTED_VALUE"""),"Poste negro con cinturón retráctil rojo/blanco 5 m")</f>
        <v>Poste negro con cinturón retráctil rojo/blanco 5 m</v>
      </c>
      <c r="C1187" s="4">
        <f>IFERROR(__xludf.DUMMYFUNCTION("""COMPUTED_VALUE"""),24.0)</f>
        <v>24</v>
      </c>
      <c r="D1187" s="4"/>
      <c r="E1187" s="4" t="str">
        <f>IFERROR(__xludf.DUMMYFUNCTION("""COMPUTED_VALUE"""),"Sin precio neto")</f>
        <v>Sin precio neto</v>
      </c>
    </row>
    <row r="1188">
      <c r="A1188" s="4" t="str">
        <f>IFERROR(__xludf.DUMMYFUNCTION("""COMPUTED_VALUE"""),"1135")</f>
        <v>1135</v>
      </c>
      <c r="B1188" s="4" t="str">
        <f>IFERROR(__xludf.DUMMYFUNCTION("""COMPUTED_VALUE"""),"Cinturón retractil pared azul 2 m")</f>
        <v>Cinturón retractil pared azul 2 m</v>
      </c>
      <c r="C1188" s="4">
        <f>IFERROR(__xludf.DUMMYFUNCTION("""COMPUTED_VALUE"""),16.95)</f>
        <v>16.95</v>
      </c>
      <c r="D1188" s="4"/>
      <c r="E1188" s="4" t="str">
        <f>IFERROR(__xludf.DUMMYFUNCTION("""COMPUTED_VALUE"""),"Sin precio neto")</f>
        <v>Sin precio neto</v>
      </c>
    </row>
    <row r="1189">
      <c r="A1189" s="4" t="str">
        <f>IFERROR(__xludf.DUMMYFUNCTION("""COMPUTED_VALUE"""),"1136")</f>
        <v>1136</v>
      </c>
      <c r="B1189" s="4" t="str">
        <f>IFERROR(__xludf.DUMMYFUNCTION("""COMPUTED_VALUE"""),"Poste R/B para cadena con base hexagonal pesada")</f>
        <v>Poste R/B para cadena con base hexagonal pesada</v>
      </c>
      <c r="C1189" s="4">
        <f>IFERROR(__xludf.DUMMYFUNCTION("""COMPUTED_VALUE"""),9.45)</f>
        <v>9.45</v>
      </c>
      <c r="D1189" s="4"/>
      <c r="E1189" s="4" t="str">
        <f>IFERROR(__xludf.DUMMYFUNCTION("""COMPUTED_VALUE"""),"Sin precio neto")</f>
        <v>Sin precio neto</v>
      </c>
    </row>
    <row r="1190">
      <c r="A1190" s="4" t="str">
        <f>IFERROR(__xludf.DUMMYFUNCTION("""COMPUTED_VALUE"""),"1138")</f>
        <v>1138</v>
      </c>
      <c r="B1190" s="4" t="str">
        <f>IFERROR(__xludf.DUMMYFUNCTION("""COMPUTED_VALUE"""),"Poste señaliz. R/B p/cadena plastica base caucho 3 kg")</f>
        <v>Poste señaliz. R/B p/cadena plastica base caucho 3 kg</v>
      </c>
      <c r="C1190" s="4">
        <f>IFERROR(__xludf.DUMMYFUNCTION("""COMPUTED_VALUE"""),7.75)</f>
        <v>7.75</v>
      </c>
      <c r="D1190" s="4"/>
      <c r="E1190" s="4" t="str">
        <f>IFERROR(__xludf.DUMMYFUNCTION("""COMPUTED_VALUE"""),"Sin precio neto")</f>
        <v>Sin precio neto</v>
      </c>
    </row>
    <row r="1191">
      <c r="A1191" s="4" t="str">
        <f>IFERROR(__xludf.DUMMYFUNCTION("""COMPUTED_VALUE"""),"1139")</f>
        <v>1139</v>
      </c>
      <c r="B1191" s="4" t="str">
        <f>IFERROR(__xludf.DUMMYFUNCTION("""COMPUTED_VALUE"""),"Poste señaliz. N/A p/cadena plastica base caucho 3 kg")</f>
        <v>Poste señaliz. N/A p/cadena plastica base caucho 3 kg</v>
      </c>
      <c r="C1191" s="4">
        <f>IFERROR(__xludf.DUMMYFUNCTION("""COMPUTED_VALUE"""),7.75)</f>
        <v>7.75</v>
      </c>
      <c r="D1191" s="4"/>
      <c r="E1191" s="4" t="str">
        <f>IFERROR(__xludf.DUMMYFUNCTION("""COMPUTED_VALUE"""),"Sin precio neto")</f>
        <v>Sin precio neto</v>
      </c>
    </row>
    <row r="1192">
      <c r="A1192" s="4" t="str">
        <f>IFERROR(__xludf.DUMMYFUNCTION("""COMPUTED_VALUE"""),"1520")</f>
        <v>1520</v>
      </c>
      <c r="B1192" s="4" t="str">
        <f>IFERROR(__xludf.DUMMYFUNCTION("""COMPUTED_VALUE"""),"Cinta Creppe 48 mm x 45 m")</f>
        <v>Cinta Creppe 48 mm x 45 m</v>
      </c>
      <c r="C1192" s="4">
        <f>IFERROR(__xludf.DUMMYFUNCTION("""COMPUTED_VALUE"""),1.45)</f>
        <v>1.45</v>
      </c>
      <c r="D1192" s="4"/>
      <c r="E1192" s="4" t="str">
        <f>IFERROR(__xludf.DUMMYFUNCTION("""COMPUTED_VALUE"""),"Sin precio neto")</f>
        <v>Sin precio neto</v>
      </c>
    </row>
    <row r="1193">
      <c r="A1193" s="4" t="str">
        <f>IFERROR(__xludf.DUMMYFUNCTION("""COMPUTED_VALUE"""),"1522")</f>
        <v>1522</v>
      </c>
      <c r="B1193" s="4" t="str">
        <f>IFERROR(__xludf.DUMMYFUNCTION("""COMPUTED_VALUE"""),"Cinta Creppe Azul 48 mm x 45 m")</f>
        <v>Cinta Creppe Azul 48 mm x 45 m</v>
      </c>
      <c r="C1193" s="4">
        <f>IFERROR(__xludf.DUMMYFUNCTION("""COMPUTED_VALUE"""),1.75)</f>
        <v>1.75</v>
      </c>
      <c r="D1193" s="4"/>
      <c r="E1193" s="4" t="str">
        <f>IFERROR(__xludf.DUMMYFUNCTION("""COMPUTED_VALUE"""),"Sin precio neto")</f>
        <v>Sin precio neto</v>
      </c>
    </row>
    <row r="1194">
      <c r="A1194" s="4" t="str">
        <f>IFERROR(__xludf.DUMMYFUNCTION("""COMPUTED_VALUE"""),"1523")</f>
        <v>1523</v>
      </c>
      <c r="B1194" s="4" t="str">
        <f>IFERROR(__xludf.DUMMYFUNCTION("""COMPUTED_VALUE"""),"Cinta Creppe Exteriores Azul 48 mm x 45 m")</f>
        <v>Cinta Creppe Exteriores Azul 48 mm x 45 m</v>
      </c>
      <c r="C1194" s="4">
        <f>IFERROR(__xludf.DUMMYFUNCTION("""COMPUTED_VALUE"""),5.2)</f>
        <v>5.2</v>
      </c>
      <c r="D1194" s="4"/>
      <c r="E1194" s="4" t="str">
        <f>IFERROR(__xludf.DUMMYFUNCTION("""COMPUTED_VALUE"""),"Sin precio neto")</f>
        <v>Sin precio neto</v>
      </c>
    </row>
    <row r="1195">
      <c r="A1195" s="4" t="str">
        <f>IFERROR(__xludf.DUMMYFUNCTION("""COMPUTED_VALUE"""),"1524")</f>
        <v>1524</v>
      </c>
      <c r="B1195" s="4" t="str">
        <f>IFERROR(__xludf.DUMMYFUNCTION("""COMPUTED_VALUE"""),"Cinta Aluminio 30 my 50 mm x 10 m")</f>
        <v>Cinta Aluminio 30 my 50 mm x 10 m</v>
      </c>
      <c r="C1195" s="4">
        <f>IFERROR(__xludf.DUMMYFUNCTION("""COMPUTED_VALUE"""),0.95)</f>
        <v>0.95</v>
      </c>
      <c r="D1195" s="4"/>
      <c r="E1195" s="4" t="str">
        <f>IFERROR(__xludf.DUMMYFUNCTION("""COMPUTED_VALUE"""),"Sin precio neto")</f>
        <v>Sin precio neto</v>
      </c>
    </row>
    <row r="1196">
      <c r="A1196" s="4" t="str">
        <f>IFERROR(__xludf.DUMMYFUNCTION("""COMPUTED_VALUE"""),"1525")</f>
        <v>1525</v>
      </c>
      <c r="B1196" s="4" t="str">
        <f>IFERROR(__xludf.DUMMYFUNCTION("""COMPUTED_VALUE"""),"Cinta Aluminio 30 my 50 mm x 45 m")</f>
        <v>Cinta Aluminio 30 my 50 mm x 45 m</v>
      </c>
      <c r="C1196" s="4">
        <f>IFERROR(__xludf.DUMMYFUNCTION("""COMPUTED_VALUE"""),4.25)</f>
        <v>4.25</v>
      </c>
      <c r="D1196" s="4"/>
      <c r="E1196" s="4" t="str">
        <f>IFERROR(__xludf.DUMMYFUNCTION("""COMPUTED_VALUE"""),"Sin precio neto")</f>
        <v>Sin precio neto</v>
      </c>
    </row>
    <row r="1197">
      <c r="A1197" s="4" t="str">
        <f>IFERROR(__xludf.DUMMYFUNCTION("""COMPUTED_VALUE"""),"1536")</f>
        <v>1536</v>
      </c>
      <c r="B1197" s="4" t="str">
        <f>IFERROR(__xludf.DUMMYFUNCTION("""COMPUTED_VALUE"""),"Rollo cinta marcaje temporal Amarilla 3M 75 m x 12 cm")</f>
        <v>Rollo cinta marcaje temporal Amarilla 3M 75 m x 12 cm</v>
      </c>
      <c r="C1197" s="4">
        <f>IFERROR(__xludf.DUMMYFUNCTION("""COMPUTED_VALUE"""),456.75)</f>
        <v>456.75</v>
      </c>
      <c r="D1197" s="4"/>
      <c r="E1197" s="4" t="str">
        <f>IFERROR(__xludf.DUMMYFUNCTION("""COMPUTED_VALUE"""),"Sin precio neto")</f>
        <v>Sin precio neto</v>
      </c>
    </row>
    <row r="1198">
      <c r="A1198" s="4" t="str">
        <f>IFERROR(__xludf.DUMMYFUNCTION("""COMPUTED_VALUE"""),"1537")</f>
        <v>1537</v>
      </c>
      <c r="B1198" s="4" t="str">
        <f>IFERROR(__xludf.DUMMYFUNCTION("""COMPUTED_VALUE"""),"Rollo cinta enmascarar Negra 3M 109 m x 15 cm")</f>
        <v>Rollo cinta enmascarar Negra 3M 109 m x 15 cm</v>
      </c>
      <c r="C1198" s="4">
        <f>IFERROR(__xludf.DUMMYFUNCTION("""COMPUTED_VALUE"""),417.375)</f>
        <v>417.375</v>
      </c>
      <c r="D1198" s="4"/>
      <c r="E1198" s="4" t="str">
        <f>IFERROR(__xludf.DUMMYFUNCTION("""COMPUTED_VALUE"""),"Sin precio neto")</f>
        <v>Sin precio neto</v>
      </c>
    </row>
    <row r="1199">
      <c r="A1199" s="4" t="str">
        <f>IFERROR(__xludf.DUMMYFUNCTION("""COMPUTED_VALUE"""),"1538")</f>
        <v>1538</v>
      </c>
      <c r="B1199" s="4" t="str">
        <f>IFERROR(__xludf.DUMMYFUNCTION("""COMPUTED_VALUE"""),"Rollo cinta antidelizante luminiscente 2,5 cm x 18,30 mt")</f>
        <v>Rollo cinta antidelizante luminiscente 2,5 cm x 18,30 mt</v>
      </c>
      <c r="C1199" s="4">
        <f>IFERROR(__xludf.DUMMYFUNCTION("""COMPUTED_VALUE"""),47.0)</f>
        <v>47</v>
      </c>
      <c r="D1199" s="4"/>
      <c r="E1199" s="4" t="str">
        <f>IFERROR(__xludf.DUMMYFUNCTION("""COMPUTED_VALUE"""),"Sin precio neto")</f>
        <v>Sin precio neto</v>
      </c>
    </row>
    <row r="1200">
      <c r="A1200" s="4" t="str">
        <f>IFERROR(__xludf.DUMMYFUNCTION("""COMPUTED_VALUE"""),"1539")</f>
        <v>1539</v>
      </c>
      <c r="B1200" s="4" t="str">
        <f>IFERROR(__xludf.DUMMYFUNCTION("""COMPUTED_VALUE"""),"Rollo Cinta 10cm x 200 m bomberos Roja/blanca")</f>
        <v>Rollo Cinta 10cm x 200 m bomberos Roja/blanca</v>
      </c>
      <c r="C1200" s="4">
        <f>IFERROR(__xludf.DUMMYFUNCTION("""COMPUTED_VALUE"""),8.25)</f>
        <v>8.25</v>
      </c>
      <c r="D1200" s="4"/>
      <c r="E1200" s="4" t="str">
        <f>IFERROR(__xludf.DUMMYFUNCTION("""COMPUTED_VALUE"""),"Sin precio neto")</f>
        <v>Sin precio neto</v>
      </c>
    </row>
    <row r="1201">
      <c r="A1201" s="4" t="str">
        <f>IFERROR(__xludf.DUMMYFUNCTION("""COMPUTED_VALUE"""),"1540")</f>
        <v>1540</v>
      </c>
      <c r="B1201" s="4" t="str">
        <f>IFERROR(__xludf.DUMMYFUNCTION("""COMPUTED_VALUE"""),"Rollo cinta antideslizante negra 5cm x 18 mt")</f>
        <v>Rollo cinta antideslizante negra 5cm x 18 mt</v>
      </c>
      <c r="C1201" s="4">
        <f>IFERROR(__xludf.DUMMYFUNCTION("""COMPUTED_VALUE"""),14.25)</f>
        <v>14.25</v>
      </c>
      <c r="D1201" s="4">
        <f>IFERROR(__xludf.DUMMYFUNCTION("""COMPUTED_VALUE"""),13.5)</f>
        <v>13.5</v>
      </c>
      <c r="E1201" s="4" t="str">
        <f>IFERROR(__xludf.DUMMYFUNCTION("""COMPUTED_VALUE"""),"Neto: 13,50 € (a partir de 24 uds.)")</f>
        <v>Neto: 13,50 € (a partir de 24 uds.)</v>
      </c>
    </row>
    <row r="1202">
      <c r="A1202" s="4" t="str">
        <f>IFERROR(__xludf.DUMMYFUNCTION("""COMPUTED_VALUE"""),"1541")</f>
        <v>1541</v>
      </c>
      <c r="B1202" s="4" t="str">
        <f>IFERROR(__xludf.DUMMYFUNCTION("""COMPUTED_VALUE"""),"Rollo cinta antideslizante N/A 5 cm x 18 mt")</f>
        <v>Rollo cinta antideslizante N/A 5 cm x 18 mt</v>
      </c>
      <c r="C1202" s="4">
        <f>IFERROR(__xludf.DUMMYFUNCTION("""COMPUTED_VALUE"""),14.25)</f>
        <v>14.25</v>
      </c>
      <c r="D1202" s="4">
        <f>IFERROR(__xludf.DUMMYFUNCTION("""COMPUTED_VALUE"""),13.5)</f>
        <v>13.5</v>
      </c>
      <c r="E1202" s="4" t="str">
        <f>IFERROR(__xludf.DUMMYFUNCTION("""COMPUTED_VALUE"""),"Neto: 13,50 € (a partir de 24 uds.)")</f>
        <v>Neto: 13,50 € (a partir de 24 uds.)</v>
      </c>
    </row>
    <row r="1203">
      <c r="A1203" s="4" t="str">
        <f>IFERROR(__xludf.DUMMYFUNCTION("""COMPUTED_VALUE"""),"1542")</f>
        <v>1542</v>
      </c>
      <c r="B1203" s="4" t="str">
        <f>IFERROR(__xludf.DUMMYFUNCTION("""COMPUTED_VALUE"""),"Rollo cinta antideslizante R/B 5 cm x 18 mt")</f>
        <v>Rollo cinta antideslizante R/B 5 cm x 18 mt</v>
      </c>
      <c r="C1203" s="4">
        <f>IFERROR(__xludf.DUMMYFUNCTION("""COMPUTED_VALUE"""),14.25)</f>
        <v>14.25</v>
      </c>
      <c r="D1203" s="4">
        <f>IFERROR(__xludf.DUMMYFUNCTION("""COMPUTED_VALUE"""),13.5)</f>
        <v>13.5</v>
      </c>
      <c r="E1203" s="4" t="str">
        <f>IFERROR(__xludf.DUMMYFUNCTION("""COMPUTED_VALUE"""),"Neto: 13,50 € (a partir de 24 uds.)")</f>
        <v>Neto: 13,50 € (a partir de 24 uds.)</v>
      </c>
    </row>
    <row r="1204">
      <c r="A1204" s="4" t="str">
        <f>IFERROR(__xludf.DUMMYFUNCTION("""COMPUTED_VALUE"""),"1547")</f>
        <v>1547</v>
      </c>
      <c r="B1204" s="4" t="str">
        <f>IFERROR(__xludf.DUMMYFUNCTION("""COMPUTED_VALUE"""),"Rollo cinta Blanca 55mm x50 metros DG983-10 ECE 104")</f>
        <v>Rollo cinta Blanca 55mm x50 metros DG983-10 ECE 104</v>
      </c>
      <c r="C1204" s="4">
        <f>IFERROR(__xludf.DUMMYFUNCTION("""COMPUTED_VALUE"""),127.05)</f>
        <v>127.05</v>
      </c>
      <c r="D1204" s="4"/>
      <c r="E1204" s="4" t="str">
        <f>IFERROR(__xludf.DUMMYFUNCTION("""COMPUTED_VALUE"""),"Sin precio neto")</f>
        <v>Sin precio neto</v>
      </c>
    </row>
    <row r="1205">
      <c r="A1205" s="4" t="str">
        <f>IFERROR(__xludf.DUMMYFUNCTION("""COMPUTED_VALUE"""),"1547F")</f>
        <v>1547F</v>
      </c>
      <c r="B1205" s="4" t="str">
        <f>IFERROR(__xludf.DUMMYFUNCTION("""COMPUTED_VALUE"""),"Rollo cinta Blanca 51mm x50 metros DG997-10S")</f>
        <v>Rollo cinta Blanca 51mm x50 metros DG997-10S</v>
      </c>
      <c r="C1205" s="4">
        <f>IFERROR(__xludf.DUMMYFUNCTION("""COMPUTED_VALUE"""),127.05)</f>
        <v>127.05</v>
      </c>
      <c r="D1205" s="4"/>
      <c r="E1205" s="4" t="str">
        <f>IFERROR(__xludf.DUMMYFUNCTION("""COMPUTED_VALUE"""),"Sin precio neto")</f>
        <v>Sin precio neto</v>
      </c>
    </row>
    <row r="1206">
      <c r="A1206" s="4" t="str">
        <f>IFERROR(__xludf.DUMMYFUNCTION("""COMPUTED_VALUE"""),"1548")</f>
        <v>1548</v>
      </c>
      <c r="B1206" s="4" t="str">
        <f>IFERROR(__xludf.DUMMYFUNCTION("""COMPUTED_VALUE"""),"Rollo cinta Rojo 55mm x50metros DG983-72 ECE 1R/CTN")</f>
        <v>Rollo cinta Rojo 55mm x50metros DG983-72 ECE 1R/CTN</v>
      </c>
      <c r="C1206" s="4">
        <f>IFERROR(__xludf.DUMMYFUNCTION("""COMPUTED_VALUE"""),127.05)</f>
        <v>127.05</v>
      </c>
      <c r="D1206" s="4"/>
      <c r="E1206" s="4" t="str">
        <f>IFERROR(__xludf.DUMMYFUNCTION("""COMPUTED_VALUE"""),"Sin precio neto")</f>
        <v>Sin precio neto</v>
      </c>
    </row>
    <row r="1207">
      <c r="A1207" s="4" t="str">
        <f>IFERROR(__xludf.DUMMYFUNCTION("""COMPUTED_VALUE"""),"1548F")</f>
        <v>1548F</v>
      </c>
      <c r="B1207" s="4" t="str">
        <f>IFERROR(__xludf.DUMMYFUNCTION("""COMPUTED_VALUE"""),"Rollo cinta Rojo 51mmx 50 metros DG997-72S")</f>
        <v>Rollo cinta Rojo 51mmx 50 metros DG997-72S</v>
      </c>
      <c r="C1207" s="4">
        <f>IFERROR(__xludf.DUMMYFUNCTION("""COMPUTED_VALUE"""),127.05)</f>
        <v>127.05</v>
      </c>
      <c r="D1207" s="4"/>
      <c r="E1207" s="4" t="str">
        <f>IFERROR(__xludf.DUMMYFUNCTION("""COMPUTED_VALUE"""),"Sin precio neto")</f>
        <v>Sin precio neto</v>
      </c>
    </row>
    <row r="1208">
      <c r="A1208" s="4" t="str">
        <f>IFERROR(__xludf.DUMMYFUNCTION("""COMPUTED_VALUE"""),"1549")</f>
        <v>1549</v>
      </c>
      <c r="B1208" s="4" t="str">
        <f>IFERROR(__xludf.DUMMYFUNCTION("""COMPUTED_VALUE"""),"Rollo cinta amarilla 55MM x50metros DG983-71 ECE 104")</f>
        <v>Rollo cinta amarilla 55MM x50metros DG983-71 ECE 104</v>
      </c>
      <c r="C1208" s="4">
        <f>IFERROR(__xludf.DUMMYFUNCTION("""COMPUTED_VALUE"""),127.05)</f>
        <v>127.05</v>
      </c>
      <c r="D1208" s="4"/>
      <c r="E1208" s="4" t="str">
        <f>IFERROR(__xludf.DUMMYFUNCTION("""COMPUTED_VALUE"""),"Sin precio neto")</f>
        <v>Sin precio neto</v>
      </c>
    </row>
    <row r="1209">
      <c r="A1209" s="4" t="str">
        <f>IFERROR(__xludf.DUMMYFUNCTION("""COMPUTED_VALUE"""),"1549F")</f>
        <v>1549F</v>
      </c>
      <c r="B1209" s="4" t="str">
        <f>IFERROR(__xludf.DUMMYFUNCTION("""COMPUTED_VALUE"""),"Rollo cinta Amarilla 51mm x50 metros DG997-71S")</f>
        <v>Rollo cinta Amarilla 51mm x50 metros DG997-71S</v>
      </c>
      <c r="C1209" s="4">
        <f>IFERROR(__xludf.DUMMYFUNCTION("""COMPUTED_VALUE"""),127.05)</f>
        <v>127.05</v>
      </c>
      <c r="D1209" s="4"/>
      <c r="E1209" s="4" t="str">
        <f>IFERROR(__xludf.DUMMYFUNCTION("""COMPUTED_VALUE"""),"Sin precio neto")</f>
        <v>Sin precio neto</v>
      </c>
    </row>
    <row r="1210">
      <c r="A1210" s="4" t="str">
        <f>IFERROR(__xludf.DUMMYFUNCTION("""COMPUTED_VALUE"""),"1550")</f>
        <v>1550</v>
      </c>
      <c r="B1210" s="4" t="str">
        <f>IFERROR(__xludf.DUMMYFUNCTION("""COMPUTED_VALUE"""),"Rollo cinta reflectante adhesiva blanca 5 cm x 46 metros")</f>
        <v>Rollo cinta reflectante adhesiva blanca 5 cm x 46 metros</v>
      </c>
      <c r="C1210" s="4">
        <f>IFERROR(__xludf.DUMMYFUNCTION("""COMPUTED_VALUE"""),14.9)</f>
        <v>14.9</v>
      </c>
      <c r="D1210" s="4">
        <f>IFERROR(__xludf.DUMMYFUNCTION("""COMPUTED_VALUE"""),12.5)</f>
        <v>12.5</v>
      </c>
      <c r="E1210" s="4" t="str">
        <f>IFERROR(__xludf.DUMMYFUNCTION("""COMPUTED_VALUE"""),"Neto: 12,50 € (a partir de 12 uds.)")</f>
        <v>Neto: 12,50 € (a partir de 12 uds.)</v>
      </c>
    </row>
    <row r="1211">
      <c r="A1211" s="4" t="str">
        <f>IFERROR(__xludf.DUMMYFUNCTION("""COMPUTED_VALUE"""),"1551")</f>
        <v>1551</v>
      </c>
      <c r="B1211" s="4" t="str">
        <f>IFERROR(__xludf.DUMMYFUNCTION("""COMPUTED_VALUE"""),"Rollo (2 unid izq-dcha)señal. vehiculos V-2 9 mtros x 14,1 cm")</f>
        <v>Rollo (2 unid izq-dcha)señal. vehiculos V-2 9 mtros x 14,1 cm</v>
      </c>
      <c r="C1211" s="4">
        <f>IFERROR(__xludf.DUMMYFUNCTION("""COMPUTED_VALUE"""),170.625)</f>
        <v>170.625</v>
      </c>
      <c r="D1211" s="4"/>
      <c r="E1211" s="4" t="str">
        <f>IFERROR(__xludf.DUMMYFUNCTION("""COMPUTED_VALUE"""),"Sin precio neto")</f>
        <v>Sin precio neto</v>
      </c>
    </row>
    <row r="1212">
      <c r="A1212" s="4" t="str">
        <f>IFERROR(__xludf.DUMMYFUNCTION("""COMPUTED_VALUE"""),"1554")</f>
        <v>1554</v>
      </c>
      <c r="B1212" s="4" t="str">
        <f>IFERROR(__xludf.DUMMYFUNCTION("""COMPUTED_VALUE"""),"Rollo cinta luminiscente adhesiva 5 cm x 25 metros")</f>
        <v>Rollo cinta luminiscente adhesiva 5 cm x 25 metros</v>
      </c>
      <c r="C1212" s="4">
        <f>IFERROR(__xludf.DUMMYFUNCTION("""COMPUTED_VALUE"""),91.0)</f>
        <v>91</v>
      </c>
      <c r="D1212" s="4"/>
      <c r="E1212" s="4" t="str">
        <f>IFERROR(__xludf.DUMMYFUNCTION("""COMPUTED_VALUE"""),"Sin precio neto")</f>
        <v>Sin precio neto</v>
      </c>
    </row>
    <row r="1213">
      <c r="A1213" s="4" t="str">
        <f>IFERROR(__xludf.DUMMYFUNCTION("""COMPUTED_VALUE"""),"1555")</f>
        <v>1555</v>
      </c>
      <c r="B1213" s="4" t="str">
        <f>IFERROR(__xludf.DUMMYFUNCTION("""COMPUTED_VALUE"""),"Rollo cinta reflectante adhesiva R/B 5 cm x 45 metros")</f>
        <v>Rollo cinta reflectante adhesiva R/B 5 cm x 45 metros</v>
      </c>
      <c r="C1213" s="4">
        <f>IFERROR(__xludf.DUMMYFUNCTION("""COMPUTED_VALUE"""),14.9)</f>
        <v>14.9</v>
      </c>
      <c r="D1213" s="4">
        <f>IFERROR(__xludf.DUMMYFUNCTION("""COMPUTED_VALUE"""),12.5)</f>
        <v>12.5</v>
      </c>
      <c r="E1213" s="4" t="str">
        <f>IFERROR(__xludf.DUMMYFUNCTION("""COMPUTED_VALUE"""),"Neto: 12,50 € (a partir de 12 uds.)")</f>
        <v>Neto: 12,50 € (a partir de 12 uds.)</v>
      </c>
    </row>
    <row r="1214">
      <c r="A1214" s="4" t="str">
        <f>IFERROR(__xludf.DUMMYFUNCTION("""COMPUTED_VALUE"""),"1556")</f>
        <v>1556</v>
      </c>
      <c r="B1214" s="4" t="str">
        <f>IFERROR(__xludf.DUMMYFUNCTION("""COMPUTED_VALUE"""),"Rollo cinta reflectante adhesiva N/A 5 cm x 45 metros")</f>
        <v>Rollo cinta reflectante adhesiva N/A 5 cm x 45 metros</v>
      </c>
      <c r="C1214" s="4">
        <f>IFERROR(__xludf.DUMMYFUNCTION("""COMPUTED_VALUE"""),14.9)</f>
        <v>14.9</v>
      </c>
      <c r="D1214" s="4">
        <f>IFERROR(__xludf.DUMMYFUNCTION("""COMPUTED_VALUE"""),12.5)</f>
        <v>12.5</v>
      </c>
      <c r="E1214" s="4" t="str">
        <f>IFERROR(__xludf.DUMMYFUNCTION("""COMPUTED_VALUE"""),"Neto: 12,50 € (a partir de 12 uds.)")</f>
        <v>Neto: 12,50 € (a partir de 12 uds.)</v>
      </c>
    </row>
    <row r="1215">
      <c r="A1215" s="4" t="str">
        <f>IFERROR(__xludf.DUMMYFUNCTION("""COMPUTED_VALUE"""),"1557")</f>
        <v>1557</v>
      </c>
      <c r="B1215" s="4" t="str">
        <f>IFERROR(__xludf.DUMMYFUNCTION("""COMPUTED_VALUE"""),"Rollo Cinta 10 cm reflectante adhesiva R/B 45 metros")</f>
        <v>Rollo Cinta 10 cm reflectante adhesiva R/B 45 metros</v>
      </c>
      <c r="C1215" s="4">
        <f>IFERROR(__xludf.DUMMYFUNCTION("""COMPUTED_VALUE"""),27.3)</f>
        <v>27.3</v>
      </c>
      <c r="D1215" s="4">
        <f>IFERROR(__xludf.DUMMYFUNCTION("""COMPUTED_VALUE"""),22.0)</f>
        <v>22</v>
      </c>
      <c r="E1215" s="4" t="str">
        <f>IFERROR(__xludf.DUMMYFUNCTION("""COMPUTED_VALUE"""),"Neto: 22,00 € (a partir de 12 uds.)")</f>
        <v>Neto: 22,00 € (a partir de 12 uds.)</v>
      </c>
    </row>
    <row r="1216">
      <c r="A1216" s="4" t="str">
        <f>IFERROR(__xludf.DUMMYFUNCTION("""COMPUTED_VALUE"""),"1558")</f>
        <v>1558</v>
      </c>
      <c r="B1216" s="4" t="str">
        <f>IFERROR(__xludf.DUMMYFUNCTION("""COMPUTED_VALUE"""),"Rollo cinta 10 cm reflectante adhesiva N/A 45 metros")</f>
        <v>Rollo cinta 10 cm reflectante adhesiva N/A 45 metros</v>
      </c>
      <c r="C1216" s="4">
        <f>IFERROR(__xludf.DUMMYFUNCTION("""COMPUTED_VALUE"""),27.3)</f>
        <v>27.3</v>
      </c>
      <c r="D1216" s="4">
        <f>IFERROR(__xludf.DUMMYFUNCTION("""COMPUTED_VALUE"""),22.0)</f>
        <v>22</v>
      </c>
      <c r="E1216" s="4" t="str">
        <f>IFERROR(__xludf.DUMMYFUNCTION("""COMPUTED_VALUE"""),"Neto: 22,00 € (a partir de 12 uds.)")</f>
        <v>Neto: 22,00 € (a partir de 12 uds.)</v>
      </c>
    </row>
    <row r="1217">
      <c r="A1217" s="4" t="str">
        <f>IFERROR(__xludf.DUMMYFUNCTION("""COMPUTED_VALUE"""),"1559A")</f>
        <v>1559A</v>
      </c>
      <c r="B1217" s="4" t="str">
        <f>IFERROR(__xludf.DUMMYFUNCTION("""COMPUTED_VALUE"""),"Rollo Cinta Adhesiva personalizada 1 color 5cm x132 mts")</f>
        <v>Rollo Cinta Adhesiva personalizada 1 color 5cm x132 mts</v>
      </c>
      <c r="C1217" s="4">
        <f>IFERROR(__xludf.DUMMYFUNCTION("""COMPUTED_VALUE"""),2.95)</f>
        <v>2.95</v>
      </c>
      <c r="D1217" s="4"/>
      <c r="E1217" s="4" t="str">
        <f>IFERROR(__xludf.DUMMYFUNCTION("""COMPUTED_VALUE"""),"Sin precio neto")</f>
        <v>Sin precio neto</v>
      </c>
    </row>
    <row r="1218">
      <c r="A1218" s="4" t="str">
        <f>IFERROR(__xludf.DUMMYFUNCTION("""COMPUTED_VALUE"""),"1559B")</f>
        <v>1559B</v>
      </c>
      <c r="B1218" s="4" t="str">
        <f>IFERROR(__xludf.DUMMYFUNCTION("""COMPUTED_VALUE"""),"Rollo Cinta Adhesiva personalizada 2 colores 5cm x132 mts")</f>
        <v>Rollo Cinta Adhesiva personalizada 2 colores 5cm x132 mts</v>
      </c>
      <c r="C1218" s="4">
        <f>IFERROR(__xludf.DUMMYFUNCTION("""COMPUTED_VALUE"""),3.2)</f>
        <v>3.2</v>
      </c>
      <c r="D1218" s="4"/>
      <c r="E1218" s="4" t="str">
        <f>IFERROR(__xludf.DUMMYFUNCTION("""COMPUTED_VALUE"""),"Sin precio neto")</f>
        <v>Sin precio neto</v>
      </c>
    </row>
    <row r="1219">
      <c r="A1219" s="4" t="str">
        <f>IFERROR(__xludf.DUMMYFUNCTION("""COMPUTED_VALUE"""),"1559C")</f>
        <v>1559C</v>
      </c>
      <c r="B1219" s="4" t="str">
        <f>IFERROR(__xludf.DUMMYFUNCTION("""COMPUTED_VALUE"""),"Rollo Cinta Adhesiva personalizada 3 colores 5cm x132 mts")</f>
        <v>Rollo Cinta Adhesiva personalizada 3 colores 5cm x132 mts</v>
      </c>
      <c r="C1219" s="4">
        <f>IFERROR(__xludf.DUMMYFUNCTION("""COMPUTED_VALUE"""),3.7)</f>
        <v>3.7</v>
      </c>
      <c r="D1219" s="4"/>
      <c r="E1219" s="4" t="str">
        <f>IFERROR(__xludf.DUMMYFUNCTION("""COMPUTED_VALUE"""),"Sin precio neto")</f>
        <v>Sin precio neto</v>
      </c>
    </row>
    <row r="1220">
      <c r="A1220" s="4" t="str">
        <f>IFERROR(__xludf.DUMMYFUNCTION("""COMPUTED_VALUE"""),"1561A")</f>
        <v>1561A</v>
      </c>
      <c r="B1220" s="4" t="str">
        <f>IFERROR(__xludf.DUMMYFUNCTION("""COMPUTED_VALUE"""),"Cinta adhesiva 50 mm x 132 m Amarillo")</f>
        <v>Cinta adhesiva 50 mm x 132 m Amarillo</v>
      </c>
      <c r="C1220" s="4">
        <f>IFERROR(__xludf.DUMMYFUNCTION("""COMPUTED_VALUE"""),3.4)</f>
        <v>3.4</v>
      </c>
      <c r="D1220" s="4"/>
      <c r="E1220" s="4" t="str">
        <f>IFERROR(__xludf.DUMMYFUNCTION("""COMPUTED_VALUE"""),"Sin precio neto")</f>
        <v>Sin precio neto</v>
      </c>
    </row>
    <row r="1221">
      <c r="A1221" s="4" t="str">
        <f>IFERROR(__xludf.DUMMYFUNCTION("""COMPUTED_VALUE"""),"1561B")</f>
        <v>1561B</v>
      </c>
      <c r="B1221" s="4" t="str">
        <f>IFERROR(__xludf.DUMMYFUNCTION("""COMPUTED_VALUE"""),"Cinta adhesiva 50 mm x 132 m Blanco")</f>
        <v>Cinta adhesiva 50 mm x 132 m Blanco</v>
      </c>
      <c r="C1221" s="4">
        <f>IFERROR(__xludf.DUMMYFUNCTION("""COMPUTED_VALUE"""),3.4)</f>
        <v>3.4</v>
      </c>
      <c r="D1221" s="4"/>
      <c r="E1221" s="4" t="str">
        <f>IFERROR(__xludf.DUMMYFUNCTION("""COMPUTED_VALUE"""),"Sin precio neto")</f>
        <v>Sin precio neto</v>
      </c>
    </row>
    <row r="1222">
      <c r="A1222" s="4" t="str">
        <f>IFERROR(__xludf.DUMMYFUNCTION("""COMPUTED_VALUE"""),"1561N")</f>
        <v>1561N</v>
      </c>
      <c r="B1222" s="4" t="str">
        <f>IFERROR(__xludf.DUMMYFUNCTION("""COMPUTED_VALUE"""),"Cinta adhesiva 50 mm x 132 m Negro")</f>
        <v>Cinta adhesiva 50 mm x 132 m Negro</v>
      </c>
      <c r="C1222" s="4">
        <f>IFERROR(__xludf.DUMMYFUNCTION("""COMPUTED_VALUE"""),3.4)</f>
        <v>3.4</v>
      </c>
      <c r="D1222" s="4"/>
      <c r="E1222" s="4" t="str">
        <f>IFERROR(__xludf.DUMMYFUNCTION("""COMPUTED_VALUE"""),"Sin precio neto")</f>
        <v>Sin precio neto</v>
      </c>
    </row>
    <row r="1223">
      <c r="A1223" s="4" t="str">
        <f>IFERROR(__xludf.DUMMYFUNCTION("""COMPUTED_VALUE"""),"1561R")</f>
        <v>1561R</v>
      </c>
      <c r="B1223" s="4" t="str">
        <f>IFERROR(__xludf.DUMMYFUNCTION("""COMPUTED_VALUE"""),"Cinta adhesiva 50 mm x 132 m Rojo")</f>
        <v>Cinta adhesiva 50 mm x 132 m Rojo</v>
      </c>
      <c r="C1223" s="4">
        <f>IFERROR(__xludf.DUMMYFUNCTION("""COMPUTED_VALUE"""),3.4)</f>
        <v>3.4</v>
      </c>
      <c r="D1223" s="4"/>
      <c r="E1223" s="4" t="str">
        <f>IFERROR(__xludf.DUMMYFUNCTION("""COMPUTED_VALUE"""),"Sin precio neto")</f>
        <v>Sin precio neto</v>
      </c>
    </row>
    <row r="1224">
      <c r="A1224" s="4" t="str">
        <f>IFERROR(__xludf.DUMMYFUNCTION("""COMPUTED_VALUE"""),"1561V")</f>
        <v>1561V</v>
      </c>
      <c r="B1224" s="4" t="str">
        <f>IFERROR(__xludf.DUMMYFUNCTION("""COMPUTED_VALUE"""),"Cinta adhesiva 50 mm x 132 m Verde")</f>
        <v>Cinta adhesiva 50 mm x 132 m Verde</v>
      </c>
      <c r="C1224" s="4">
        <f>IFERROR(__xludf.DUMMYFUNCTION("""COMPUTED_VALUE"""),3.4)</f>
        <v>3.4</v>
      </c>
      <c r="D1224" s="4"/>
      <c r="E1224" s="4" t="str">
        <f>IFERROR(__xludf.DUMMYFUNCTION("""COMPUTED_VALUE"""),"Sin precio neto")</f>
        <v>Sin precio neto</v>
      </c>
    </row>
    <row r="1225">
      <c r="A1225" s="4" t="str">
        <f>IFERROR(__xludf.DUMMYFUNCTION("""COMPUTED_VALUE"""),"1561Z")</f>
        <v>1561Z</v>
      </c>
      <c r="B1225" s="4" t="str">
        <f>IFERROR(__xludf.DUMMYFUNCTION("""COMPUTED_VALUE"""),"Cinta adhesiva 50 mm x 132 m Azul")</f>
        <v>Cinta adhesiva 50 mm x 132 m Azul</v>
      </c>
      <c r="C1225" s="4">
        <f>IFERROR(__xludf.DUMMYFUNCTION("""COMPUTED_VALUE"""),3.4)</f>
        <v>3.4</v>
      </c>
      <c r="D1225" s="4"/>
      <c r="E1225" s="4" t="str">
        <f>IFERROR(__xludf.DUMMYFUNCTION("""COMPUTED_VALUE"""),"Sin precio neto")</f>
        <v>Sin precio neto</v>
      </c>
    </row>
    <row r="1226">
      <c r="A1226" s="4" t="str">
        <f>IFERROR(__xludf.DUMMYFUNCTION("""COMPUTED_VALUE"""),"1562")</f>
        <v>1562</v>
      </c>
      <c r="B1226" s="4" t="str">
        <f>IFERROR(__xludf.DUMMYFUNCTION("""COMPUTED_VALUE"""),"Rollo Cinta Señal. N/A 10cm x 200m. G300 2 caras")</f>
        <v>Rollo Cinta Señal. N/A 10cm x 200m. G300 2 caras</v>
      </c>
      <c r="C1226" s="4">
        <f>IFERROR(__xludf.DUMMYFUNCTION("""COMPUTED_VALUE"""),7.25)</f>
        <v>7.25</v>
      </c>
      <c r="D1226" s="4">
        <f>IFERROR(__xludf.DUMMYFUNCTION("""COMPUTED_VALUE"""),5.5)</f>
        <v>5.5</v>
      </c>
      <c r="E1226" s="4" t="str">
        <f>IFERROR(__xludf.DUMMYFUNCTION("""COMPUTED_VALUE"""),"Neto: 5,50 € (a partir de 20 uds.)")</f>
        <v>Neto: 5,50 € (a partir de 20 uds.)</v>
      </c>
    </row>
    <row r="1227">
      <c r="A1227" s="4" t="str">
        <f>IFERROR(__xludf.DUMMYFUNCTION("""COMPUTED_VALUE"""),"1563")</f>
        <v>1563</v>
      </c>
      <c r="B1227" s="4" t="str">
        <f>IFERROR(__xludf.DUMMYFUNCTION("""COMPUTED_VALUE"""),"Rollo Cinta Adhesiva N/A 5cm x132 mts")</f>
        <v>Rollo Cinta Adhesiva N/A 5cm x132 mts</v>
      </c>
      <c r="C1227" s="4">
        <f>IFERROR(__xludf.DUMMYFUNCTION("""COMPUTED_VALUE"""),3.9)</f>
        <v>3.9</v>
      </c>
      <c r="D1227" s="4"/>
      <c r="E1227" s="4" t="str">
        <f>IFERROR(__xludf.DUMMYFUNCTION("""COMPUTED_VALUE"""),"Sin precio neto")</f>
        <v>Sin precio neto</v>
      </c>
    </row>
    <row r="1228">
      <c r="A1228" s="4" t="str">
        <f>IFERROR(__xludf.DUMMYFUNCTION("""COMPUTED_VALUE"""),"1564")</f>
        <v>1564</v>
      </c>
      <c r="B1228" s="4" t="str">
        <f>IFERROR(__xludf.DUMMYFUNCTION("""COMPUTED_VALUE"""),"Rollo Cinta Adhesiva B/R 5cm x132 mts")</f>
        <v>Rollo Cinta Adhesiva B/R 5cm x132 mts</v>
      </c>
      <c r="C1228" s="4">
        <f>IFERROR(__xludf.DUMMYFUNCTION("""COMPUTED_VALUE"""),3.9)</f>
        <v>3.9</v>
      </c>
      <c r="D1228" s="4"/>
      <c r="E1228" s="4" t="str">
        <f>IFERROR(__xludf.DUMMYFUNCTION("""COMPUTED_VALUE"""),"Sin precio neto")</f>
        <v>Sin precio neto</v>
      </c>
    </row>
    <row r="1229">
      <c r="A1229" s="4" t="str">
        <f>IFERROR(__xludf.DUMMYFUNCTION("""COMPUTED_VALUE"""),"1565")</f>
        <v>1565</v>
      </c>
      <c r="B1229" s="4" t="str">
        <f>IFERROR(__xludf.DUMMYFUNCTION("""COMPUTED_VALUE"""),"Rollo cinta Señal. R/B 10cm X 200m. plata")</f>
        <v>Rollo cinta Señal. R/B 10cm X 200m. plata</v>
      </c>
      <c r="C1229" s="4">
        <f>IFERROR(__xludf.DUMMYFUNCTION("""COMPUTED_VALUE"""),9.2)</f>
        <v>9.2</v>
      </c>
      <c r="D1229" s="4"/>
      <c r="E1229" s="4" t="str">
        <f>IFERROR(__xludf.DUMMYFUNCTION("""COMPUTED_VALUE"""),"Sin precio neto")</f>
        <v>Sin precio neto</v>
      </c>
    </row>
    <row r="1230">
      <c r="A1230" s="4" t="str">
        <f>IFERROR(__xludf.DUMMYFUNCTION("""COMPUTED_VALUE"""),"1566")</f>
        <v>1566</v>
      </c>
      <c r="B1230" s="4" t="str">
        <f>IFERROR(__xludf.DUMMYFUNCTION("""COMPUTED_VALUE"""),"Rollo cinta Señal. R/B10cmx200m. c/caja G400")</f>
        <v>Rollo cinta Señal. R/B10cmx200m. c/caja G400</v>
      </c>
      <c r="C1230" s="4">
        <f>IFERROR(__xludf.DUMMYFUNCTION("""COMPUTED_VALUE"""),7.88)</f>
        <v>7.88</v>
      </c>
      <c r="D1230" s="4"/>
      <c r="E1230" s="4" t="str">
        <f>IFERROR(__xludf.DUMMYFUNCTION("""COMPUTED_VALUE"""),"Sin precio neto")</f>
        <v>Sin precio neto</v>
      </c>
    </row>
    <row r="1231">
      <c r="A1231" s="4" t="str">
        <f>IFERROR(__xludf.DUMMYFUNCTION("""COMPUTED_VALUE"""),"1567")</f>
        <v>1567</v>
      </c>
      <c r="B1231" s="4" t="str">
        <f>IFERROR(__xludf.DUMMYFUNCTION("""COMPUTED_VALUE"""),"Rollo cinta R/B 10cm x 200m. G400")</f>
        <v>Rollo cinta R/B 10cm x 200m. G400</v>
      </c>
      <c r="C1231" s="4">
        <f>IFERROR(__xludf.DUMMYFUNCTION("""COMPUTED_VALUE"""),8.25)</f>
        <v>8.25</v>
      </c>
      <c r="D1231" s="4"/>
      <c r="E1231" s="4" t="str">
        <f>IFERROR(__xludf.DUMMYFUNCTION("""COMPUTED_VALUE"""),"Sin precio neto")</f>
        <v>Sin precio neto</v>
      </c>
    </row>
    <row r="1232">
      <c r="A1232" s="4" t="str">
        <f>IFERROR(__xludf.DUMMYFUNCTION("""COMPUTED_VALUE"""),"1568")</f>
        <v>1568</v>
      </c>
      <c r="B1232" s="4" t="str">
        <f>IFERROR(__xludf.DUMMYFUNCTION("""COMPUTED_VALUE"""),"Rollo cinta Señal. R/B 7cm x 200m. c/caja")</f>
        <v>Rollo cinta Señal. R/B 7cm x 200m. c/caja</v>
      </c>
      <c r="C1232" s="4">
        <f>IFERROR(__xludf.DUMMYFUNCTION("""COMPUTED_VALUE"""),2.25)</f>
        <v>2.25</v>
      </c>
      <c r="D1232" s="4"/>
      <c r="E1232" s="4" t="str">
        <f>IFERROR(__xludf.DUMMYFUNCTION("""COMPUTED_VALUE"""),"Sin precio neto")</f>
        <v>Sin precio neto</v>
      </c>
    </row>
    <row r="1233">
      <c r="A1233" s="4" t="str">
        <f>IFERROR(__xludf.DUMMYFUNCTION("""COMPUTED_VALUE"""),"1569")</f>
        <v>1569</v>
      </c>
      <c r="B1233" s="4" t="str">
        <f>IFERROR(__xludf.DUMMYFUNCTION("""COMPUTED_VALUE"""),"Rollo cinta R/B 10cm x 200m. c/caja G300")</f>
        <v>Rollo cinta R/B 10cm x 200m. c/caja G300</v>
      </c>
      <c r="C1233" s="4">
        <f>IFERROR(__xludf.DUMMYFUNCTION("""COMPUTED_VALUE"""),8.1)</f>
        <v>8.1</v>
      </c>
      <c r="D1233" s="4"/>
      <c r="E1233" s="4" t="str">
        <f>IFERROR(__xludf.DUMMYFUNCTION("""COMPUTED_VALUE"""),"Sin precio neto")</f>
        <v>Sin precio neto</v>
      </c>
    </row>
    <row r="1234">
      <c r="A1234" s="4" t="str">
        <f>IFERROR(__xludf.DUMMYFUNCTION("""COMPUTED_VALUE"""),"1570")</f>
        <v>1570</v>
      </c>
      <c r="B1234" s="4" t="str">
        <f>IFERROR(__xludf.DUMMYFUNCTION("""COMPUTED_VALUE"""),"Rollo cinta Señal.R-B 10cm x 200m. G300 2 caras")</f>
        <v>Rollo cinta Señal.R-B 10cm x 200m. G300 2 caras</v>
      </c>
      <c r="C1234" s="4">
        <f>IFERROR(__xludf.DUMMYFUNCTION("""COMPUTED_VALUE"""),7.25)</f>
        <v>7.25</v>
      </c>
      <c r="D1234" s="4">
        <f>IFERROR(__xludf.DUMMYFUNCTION("""COMPUTED_VALUE"""),5.5)</f>
        <v>5.5</v>
      </c>
      <c r="E1234" s="4" t="str">
        <f>IFERROR(__xludf.DUMMYFUNCTION("""COMPUTED_VALUE"""),"Neto: 5,50 € (a partir de 20 uds.)")</f>
        <v>Neto: 5,50 € (a partir de 20 uds.)</v>
      </c>
    </row>
    <row r="1235">
      <c r="A1235" s="4" t="str">
        <f>IFERROR(__xludf.DUMMYFUNCTION("""COMPUTED_VALUE"""),"1570V")</f>
        <v>1570V</v>
      </c>
      <c r="B1235" s="4" t="str">
        <f>IFERROR(__xludf.DUMMYFUNCTION("""COMPUTED_VALUE"""),"Rollo cinta Señal.V/B 10cm x 200 m G300 2 caras")</f>
        <v>Rollo cinta Señal.V/B 10cm x 200 m G300 2 caras</v>
      </c>
      <c r="C1235" s="4">
        <f>IFERROR(__xludf.DUMMYFUNCTION("""COMPUTED_VALUE"""),7.25)</f>
        <v>7.25</v>
      </c>
      <c r="D1235" s="4">
        <f>IFERROR(__xludf.DUMMYFUNCTION("""COMPUTED_VALUE"""),5.5)</f>
        <v>5.5</v>
      </c>
      <c r="E1235" s="4" t="str">
        <f>IFERROR(__xludf.DUMMYFUNCTION("""COMPUTED_VALUE"""),"Neto: 5,50 € (a partir de 20 uds.)")</f>
        <v>Neto: 5,50 € (a partir de 20 uds.)</v>
      </c>
    </row>
    <row r="1236">
      <c r="A1236" s="4" t="str">
        <f>IFERROR(__xludf.DUMMYFUNCTION("""COMPUTED_VALUE"""),"1570Z")</f>
        <v>1570Z</v>
      </c>
      <c r="B1236" s="4" t="str">
        <f>IFERROR(__xludf.DUMMYFUNCTION("""COMPUTED_VALUE"""),"Rollo cinta Señal. B/A 10 cm x 200m. G300 2 caras")</f>
        <v>Rollo cinta Señal. B/A 10 cm x 200m. G300 2 caras</v>
      </c>
      <c r="C1236" s="4">
        <f>IFERROR(__xludf.DUMMYFUNCTION("""COMPUTED_VALUE"""),7.25)</f>
        <v>7.25</v>
      </c>
      <c r="D1236" s="4">
        <f>IFERROR(__xludf.DUMMYFUNCTION("""COMPUTED_VALUE"""),5.5)</f>
        <v>5.5</v>
      </c>
      <c r="E1236" s="4" t="str">
        <f>IFERROR(__xludf.DUMMYFUNCTION("""COMPUTED_VALUE"""),"Neto: 5,50 € (a partir de 20 uds.)")</f>
        <v>Neto: 5,50 € (a partir de 20 uds.)</v>
      </c>
    </row>
    <row r="1237">
      <c r="A1237" s="4" t="str">
        <f>IFERROR(__xludf.DUMMYFUNCTION("""COMPUTED_VALUE"""),"1571")</f>
        <v>1571</v>
      </c>
      <c r="B1237" s="4" t="str">
        <f>IFERROR(__xludf.DUMMYFUNCTION("""COMPUTED_VALUE"""),"Rollo cinta Señal. 7cm x 200m. s/caja")</f>
        <v>Rollo cinta Señal. 7cm x 200m. s/caja</v>
      </c>
      <c r="C1237" s="4">
        <f>IFERROR(__xludf.DUMMYFUNCTION("""COMPUTED_VALUE"""),1.99)</f>
        <v>1.99</v>
      </c>
      <c r="D1237" s="4">
        <f>IFERROR(__xludf.DUMMYFUNCTION("""COMPUTED_VALUE"""),1.8)</f>
        <v>1.8</v>
      </c>
      <c r="E1237" s="4" t="str">
        <f>IFERROR(__xludf.DUMMYFUNCTION("""COMPUTED_VALUE"""),"Neto: 1,80 € (a partir de 24 uds.)")</f>
        <v>Neto: 1,80 € (a partir de 24 uds.)</v>
      </c>
    </row>
    <row r="1238">
      <c r="A1238" s="4" t="str">
        <f>IFERROR(__xludf.DUMMYFUNCTION("""COMPUTED_VALUE"""),"1572")</f>
        <v>1572</v>
      </c>
      <c r="B1238" s="4" t="str">
        <f>IFERROR(__xludf.DUMMYFUNCTION("""COMPUTED_VALUE"""),"Rollo cinta Señal. 15cm x 200m. TELECOMUNICACIONES")</f>
        <v>Rollo cinta Señal. 15cm x 200m. TELECOMUNICACIONES</v>
      </c>
      <c r="C1238" s="4">
        <f>IFERROR(__xludf.DUMMYFUNCTION("""COMPUTED_VALUE"""),11.95)</f>
        <v>11.95</v>
      </c>
      <c r="D1238" s="4">
        <f>IFERROR(__xludf.DUMMYFUNCTION("""COMPUTED_VALUE"""),9.8)</f>
        <v>9.8</v>
      </c>
      <c r="E1238" s="4" t="str">
        <f>IFERROR(__xludf.DUMMYFUNCTION("""COMPUTED_VALUE"""),"Neto: 9,80 € (a partir de 12 uds.)")</f>
        <v>Neto: 9,80 € (a partir de 12 uds.)</v>
      </c>
    </row>
    <row r="1239">
      <c r="A1239" s="4" t="str">
        <f>IFERROR(__xludf.DUMMYFUNCTION("""COMPUTED_VALUE"""),"1572M")</f>
        <v>1572M</v>
      </c>
      <c r="B1239" s="4" t="str">
        <f>IFERROR(__xludf.DUMMYFUNCTION("""COMPUTED_VALUE"""),"Malla verde señalización telecomunicaciones 33 cm x 200 m")</f>
        <v>Malla verde señalización telecomunicaciones 33 cm x 200 m</v>
      </c>
      <c r="C1239" s="4">
        <f>IFERROR(__xludf.DUMMYFUNCTION("""COMPUTED_VALUE"""),33.0)</f>
        <v>33</v>
      </c>
      <c r="D1239" s="4"/>
      <c r="E1239" s="4" t="str">
        <f>IFERROR(__xludf.DUMMYFUNCTION("""COMPUTED_VALUE"""),"Sin precio neto")</f>
        <v>Sin precio neto</v>
      </c>
    </row>
    <row r="1240">
      <c r="A1240" s="4" t="str">
        <f>IFERROR(__xludf.DUMMYFUNCTION("""COMPUTED_VALUE"""),"1573")</f>
        <v>1573</v>
      </c>
      <c r="B1240" s="4" t="str">
        <f>IFERROR(__xludf.DUMMYFUNCTION("""COMPUTED_VALUE"""),"Rollo cinta Señal. 15cm x 200m. AGUA")</f>
        <v>Rollo cinta Señal. 15cm x 200m. AGUA</v>
      </c>
      <c r="C1240" s="4">
        <f>IFERROR(__xludf.DUMMYFUNCTION("""COMPUTED_VALUE"""),11.95)</f>
        <v>11.95</v>
      </c>
      <c r="D1240" s="4">
        <f>IFERROR(__xludf.DUMMYFUNCTION("""COMPUTED_VALUE"""),9.8)</f>
        <v>9.8</v>
      </c>
      <c r="E1240" s="4" t="str">
        <f>IFERROR(__xludf.DUMMYFUNCTION("""COMPUTED_VALUE"""),"Neto: 9,80 € (a partir de 12 uds.)")</f>
        <v>Neto: 9,80 € (a partir de 12 uds.)</v>
      </c>
    </row>
    <row r="1241">
      <c r="A1241" s="4" t="str">
        <f>IFERROR(__xludf.DUMMYFUNCTION("""COMPUTED_VALUE"""),"1573M")</f>
        <v>1573M</v>
      </c>
      <c r="B1241" s="4" t="str">
        <f>IFERROR(__xludf.DUMMYFUNCTION("""COMPUTED_VALUE"""),"Malla azul señalización agua 33 cm x 200 m")</f>
        <v>Malla azul señalización agua 33 cm x 200 m</v>
      </c>
      <c r="C1241" s="4">
        <f>IFERROR(__xludf.DUMMYFUNCTION("""COMPUTED_VALUE"""),33.0)</f>
        <v>33</v>
      </c>
      <c r="D1241" s="4"/>
      <c r="E1241" s="4" t="str">
        <f>IFERROR(__xludf.DUMMYFUNCTION("""COMPUTED_VALUE"""),"Sin precio neto")</f>
        <v>Sin precio neto</v>
      </c>
    </row>
    <row r="1242">
      <c r="A1242" s="4" t="str">
        <f>IFERROR(__xludf.DUMMYFUNCTION("""COMPUTED_VALUE"""),"1574")</f>
        <v>1574</v>
      </c>
      <c r="B1242" s="4" t="str">
        <f>IFERROR(__xludf.DUMMYFUNCTION("""COMPUTED_VALUE"""),"Rollo cinta Señal. 15cm x 200m. GAS")</f>
        <v>Rollo cinta Señal. 15cm x 200m. GAS</v>
      </c>
      <c r="C1242" s="4">
        <f>IFERROR(__xludf.DUMMYFUNCTION("""COMPUTED_VALUE"""),11.95)</f>
        <v>11.95</v>
      </c>
      <c r="D1242" s="4">
        <f>IFERROR(__xludf.DUMMYFUNCTION("""COMPUTED_VALUE"""),9.8)</f>
        <v>9.8</v>
      </c>
      <c r="E1242" s="4" t="str">
        <f>IFERROR(__xludf.DUMMYFUNCTION("""COMPUTED_VALUE"""),"Neto: 9,80 € (a partir de 12 uds.)")</f>
        <v>Neto: 9,80 € (a partir de 12 uds.)</v>
      </c>
    </row>
    <row r="1243">
      <c r="A1243" s="4" t="str">
        <f>IFERROR(__xludf.DUMMYFUNCTION("""COMPUTED_VALUE"""),"1574M")</f>
        <v>1574M</v>
      </c>
      <c r="B1243" s="4" t="str">
        <f>IFERROR(__xludf.DUMMYFUNCTION("""COMPUTED_VALUE"""),"Malla amarilla señalización gas 33 cm x 200 m")</f>
        <v>Malla amarilla señalización gas 33 cm x 200 m</v>
      </c>
      <c r="C1243" s="4">
        <f>IFERROR(__xludf.DUMMYFUNCTION("""COMPUTED_VALUE"""),33.0)</f>
        <v>33</v>
      </c>
      <c r="D1243" s="4"/>
      <c r="E1243" s="4" t="str">
        <f>IFERROR(__xludf.DUMMYFUNCTION("""COMPUTED_VALUE"""),"Sin precio neto")</f>
        <v>Sin precio neto</v>
      </c>
    </row>
    <row r="1244">
      <c r="A1244" s="4" t="str">
        <f>IFERROR(__xludf.DUMMYFUNCTION("""COMPUTED_VALUE"""),"1575")</f>
        <v>1575</v>
      </c>
      <c r="B1244" s="4" t="str">
        <f>IFERROR(__xludf.DUMMYFUNCTION("""COMPUTED_VALUE"""),"Rollo cinta Señal. 15cm x 200m. ELECTRI")</f>
        <v>Rollo cinta Señal. 15cm x 200m. ELECTRI</v>
      </c>
      <c r="C1244" s="4">
        <f>IFERROR(__xludf.DUMMYFUNCTION("""COMPUTED_VALUE"""),11.95)</f>
        <v>11.95</v>
      </c>
      <c r="D1244" s="4">
        <f>IFERROR(__xludf.DUMMYFUNCTION("""COMPUTED_VALUE"""),9.8)</f>
        <v>9.8</v>
      </c>
      <c r="E1244" s="4" t="str">
        <f>IFERROR(__xludf.DUMMYFUNCTION("""COMPUTED_VALUE"""),"Neto: 9,80 € (a partir de 12 uds.)")</f>
        <v>Neto: 9,80 € (a partir de 12 uds.)</v>
      </c>
    </row>
    <row r="1245">
      <c r="A1245" s="4" t="str">
        <f>IFERROR(__xludf.DUMMYFUNCTION("""COMPUTED_VALUE"""),"1575M")</f>
        <v>1575M</v>
      </c>
      <c r="B1245" s="4" t="str">
        <f>IFERROR(__xludf.DUMMYFUNCTION("""COMPUTED_VALUE"""),"Malla roja señalización electricidad 33 cm x 200 m")</f>
        <v>Malla roja señalización electricidad 33 cm x 200 m</v>
      </c>
      <c r="C1245" s="4">
        <f>IFERROR(__xludf.DUMMYFUNCTION("""COMPUTED_VALUE"""),33.0)</f>
        <v>33</v>
      </c>
      <c r="D1245" s="4"/>
      <c r="E1245" s="4" t="str">
        <f>IFERROR(__xludf.DUMMYFUNCTION("""COMPUTED_VALUE"""),"Sin precio neto")</f>
        <v>Sin precio neto</v>
      </c>
    </row>
    <row r="1246">
      <c r="A1246" s="4" t="str">
        <f>IFERROR(__xludf.DUMMYFUNCTION("""COMPUTED_VALUE"""),"1575P")</f>
        <v>1575P</v>
      </c>
      <c r="B1246" s="4" t="str">
        <f>IFERROR(__xludf.DUMMYFUNCTION("""COMPUTED_VALUE"""),"Placa señalización eléctrica 1000x250x2.5")</f>
        <v>Placa señalización eléctrica 1000x250x2.5</v>
      </c>
      <c r="C1246" s="4">
        <f>IFERROR(__xludf.DUMMYFUNCTION("""COMPUTED_VALUE"""),1.5)</f>
        <v>1.5</v>
      </c>
      <c r="D1246" s="4"/>
      <c r="E1246" s="4" t="str">
        <f>IFERROR(__xludf.DUMMYFUNCTION("""COMPUTED_VALUE"""),"Sin precio neto")</f>
        <v>Sin precio neto</v>
      </c>
    </row>
    <row r="1247">
      <c r="A1247" s="4" t="str">
        <f>IFERROR(__xludf.DUMMYFUNCTION("""COMPUTED_VALUE"""),"1576")</f>
        <v>1576</v>
      </c>
      <c r="B1247" s="4" t="str">
        <f>IFERROR(__xludf.DUMMYFUNCTION("""COMPUTED_VALUE"""),"Rollo cinta Señal. 10cm x 200m. POLICIA")</f>
        <v>Rollo cinta Señal. 10cm x 200m. POLICIA</v>
      </c>
      <c r="C1247" s="4">
        <f>IFERROR(__xludf.DUMMYFUNCTION("""COMPUTED_VALUE"""),8.8)</f>
        <v>8.8</v>
      </c>
      <c r="D1247" s="4"/>
      <c r="E1247" s="4" t="str">
        <f>IFERROR(__xludf.DUMMYFUNCTION("""COMPUTED_VALUE"""),"Sin precio neto")</f>
        <v>Sin precio neto</v>
      </c>
    </row>
    <row r="1248">
      <c r="A1248" s="4" t="str">
        <f>IFERROR(__xludf.DUMMYFUNCTION("""COMPUTED_VALUE"""),"1577")</f>
        <v>1577</v>
      </c>
      <c r="B1248" s="4" t="str">
        <f>IFERROR(__xludf.DUMMYFUNCTION("""COMPUTED_VALUE"""),"Rollo cinta adhesiva amarilla suelo marcacion temporal")</f>
        <v>Rollo cinta adhesiva amarilla suelo marcacion temporal</v>
      </c>
      <c r="C1248" s="4">
        <f>IFERROR(__xludf.DUMMYFUNCTION("""COMPUTED_VALUE"""),112.5)</f>
        <v>112.5</v>
      </c>
      <c r="D1248" s="4"/>
      <c r="E1248" s="4" t="str">
        <f>IFERROR(__xludf.DUMMYFUNCTION("""COMPUTED_VALUE"""),"Sin precio neto")</f>
        <v>Sin precio neto</v>
      </c>
    </row>
    <row r="1249">
      <c r="A1249" s="4" t="str">
        <f>IFERROR(__xludf.DUMMYFUNCTION("""COMPUTED_VALUE"""),"1577K")</f>
        <v>1577K</v>
      </c>
      <c r="B1249" s="4" t="str">
        <f>IFERROR(__xludf.DUMMYFUNCTION("""COMPUTED_VALUE"""),"Rollo cinta adhesiva negra suelo marcacion temporal")</f>
        <v>Rollo cinta adhesiva negra suelo marcacion temporal</v>
      </c>
      <c r="C1249" s="4">
        <f>IFERROR(__xludf.DUMMYFUNCTION("""COMPUTED_VALUE"""),112.5)</f>
        <v>112.5</v>
      </c>
      <c r="D1249" s="4"/>
      <c r="E1249" s="4" t="str">
        <f>IFERROR(__xludf.DUMMYFUNCTION("""COMPUTED_VALUE"""),"Sin precio neto")</f>
        <v>Sin precio neto</v>
      </c>
    </row>
    <row r="1250">
      <c r="A1250" s="4" t="str">
        <f>IFERROR(__xludf.DUMMYFUNCTION("""COMPUTED_VALUE"""),"1577W")</f>
        <v>1577W</v>
      </c>
      <c r="B1250" s="4" t="str">
        <f>IFERROR(__xludf.DUMMYFUNCTION("""COMPUTED_VALUE"""),"Rollo cinta adhesiva blanca suelo marcacion temporal")</f>
        <v>Rollo cinta adhesiva blanca suelo marcacion temporal</v>
      </c>
      <c r="C1250" s="4">
        <f>IFERROR(__xludf.DUMMYFUNCTION("""COMPUTED_VALUE"""),112.5)</f>
        <v>112.5</v>
      </c>
      <c r="D1250" s="4"/>
      <c r="E1250" s="4" t="str">
        <f>IFERROR(__xludf.DUMMYFUNCTION("""COMPUTED_VALUE"""),"Sin precio neto")</f>
        <v>Sin precio neto</v>
      </c>
    </row>
    <row r="1251">
      <c r="A1251" s="4" t="str">
        <f>IFERROR(__xludf.DUMMYFUNCTION("""COMPUTED_VALUE"""),"1578")</f>
        <v>1578</v>
      </c>
      <c r="B1251" s="4" t="str">
        <f>IFERROR(__xludf.DUMMYFUNCTION("""COMPUTED_VALUE"""),"Rollo cinta Señal.N/A 10cm x200m c/caja G400")</f>
        <v>Rollo cinta Señal.N/A 10cm x200m c/caja G400</v>
      </c>
      <c r="C1251" s="4">
        <f>IFERROR(__xludf.DUMMYFUNCTION("""COMPUTED_VALUE"""),8.82)</f>
        <v>8.82</v>
      </c>
      <c r="D1251" s="4"/>
      <c r="E1251" s="4" t="str">
        <f>IFERROR(__xludf.DUMMYFUNCTION("""COMPUTED_VALUE"""),"Sin precio neto")</f>
        <v>Sin precio neto</v>
      </c>
    </row>
    <row r="1252">
      <c r="A1252" s="4" t="str">
        <f>IFERROR(__xludf.DUMMYFUNCTION("""COMPUTED_VALUE"""),"1579")</f>
        <v>1579</v>
      </c>
      <c r="B1252" s="4" t="str">
        <f>IFERROR(__xludf.DUMMYFUNCTION("""COMPUTED_VALUE"""),"Rollo cinta Señal. N/A 10cm. x 200m. G400")</f>
        <v>Rollo cinta Señal. N/A 10cm. x 200m. G400</v>
      </c>
      <c r="C1252" s="4">
        <f>IFERROR(__xludf.DUMMYFUNCTION("""COMPUTED_VALUE"""),8.25)</f>
        <v>8.25</v>
      </c>
      <c r="D1252" s="4"/>
      <c r="E1252" s="4" t="str">
        <f>IFERROR(__xludf.DUMMYFUNCTION("""COMPUTED_VALUE"""),"Sin precio neto")</f>
        <v>Sin precio neto</v>
      </c>
    </row>
    <row r="1253">
      <c r="A1253" s="4" t="str">
        <f>IFERROR(__xludf.DUMMYFUNCTION("""COMPUTED_VALUE"""),"1580")</f>
        <v>1580</v>
      </c>
      <c r="B1253" s="4" t="str">
        <f>IFERROR(__xludf.DUMMYFUNCTION("""COMPUTED_VALUE"""),"Mts. Banderola Quitamiedos c/reflec")</f>
        <v>Mts. Banderola Quitamiedos c/reflec</v>
      </c>
      <c r="C1253" s="4">
        <f>IFERROR(__xludf.DUMMYFUNCTION("""COMPUTED_VALUE"""),0.68)</f>
        <v>0.68</v>
      </c>
      <c r="D1253" s="4"/>
      <c r="E1253" s="4" t="str">
        <f>IFERROR(__xludf.DUMMYFUNCTION("""COMPUTED_VALUE"""),"Sin precio neto")</f>
        <v>Sin precio neto</v>
      </c>
    </row>
    <row r="1254">
      <c r="A1254" s="4" t="str">
        <f>IFERROR(__xludf.DUMMYFUNCTION("""COMPUTED_VALUE"""),"1581")</f>
        <v>1581</v>
      </c>
      <c r="B1254" s="4" t="str">
        <f>IFERROR(__xludf.DUMMYFUNCTION("""COMPUTED_VALUE"""),"Mts. Banderola Quitamiedos s/reflectante")</f>
        <v>Mts. Banderola Quitamiedos s/reflectante</v>
      </c>
      <c r="C1254" s="4">
        <f>IFERROR(__xludf.DUMMYFUNCTION("""COMPUTED_VALUE"""),0.34)</f>
        <v>0.34</v>
      </c>
      <c r="D1254" s="4"/>
      <c r="E1254" s="4" t="str">
        <f>IFERROR(__xludf.DUMMYFUNCTION("""COMPUTED_VALUE"""),"Sin precio neto")</f>
        <v>Sin precio neto</v>
      </c>
    </row>
    <row r="1255">
      <c r="A1255" s="4" t="str">
        <f>IFERROR(__xludf.DUMMYFUNCTION("""COMPUTED_VALUE"""),"1582")</f>
        <v>1582</v>
      </c>
      <c r="B1255" s="4" t="str">
        <f>IFERROR(__xludf.DUMMYFUNCTION("""COMPUTED_VALUE"""),"Rollos cinta Señal. 10cm x 200m. PROTECCION CIVIL")</f>
        <v>Rollos cinta Señal. 10cm x 200m. PROTECCION CIVIL</v>
      </c>
      <c r="C1255" s="4">
        <f>IFERROR(__xludf.DUMMYFUNCTION("""COMPUTED_VALUE"""),8.25)</f>
        <v>8.25</v>
      </c>
      <c r="D1255" s="4"/>
      <c r="E1255" s="4" t="str">
        <f>IFERROR(__xludf.DUMMYFUNCTION("""COMPUTED_VALUE"""),"Sin precio neto")</f>
        <v>Sin precio neto</v>
      </c>
    </row>
    <row r="1256">
      <c r="A1256" s="4" t="str">
        <f>IFERROR(__xludf.DUMMYFUNCTION("""COMPUTED_VALUE"""),"1583")</f>
        <v>1583</v>
      </c>
      <c r="B1256" s="4" t="str">
        <f>IFERROR(__xludf.DUMMYFUNCTION("""COMPUTED_VALUE"""),"Rollo cinta Señal.N/A 10cm x 200m. G300 AMIANTO")</f>
        <v>Rollo cinta Señal.N/A 10cm x 200m. G300 AMIANTO</v>
      </c>
      <c r="C1256" s="4">
        <f>IFERROR(__xludf.DUMMYFUNCTION("""COMPUTED_VALUE"""),6.95)</f>
        <v>6.95</v>
      </c>
      <c r="D1256" s="4"/>
      <c r="E1256" s="4" t="str">
        <f>IFERROR(__xludf.DUMMYFUNCTION("""COMPUTED_VALUE"""),"Sin precio neto")</f>
        <v>Sin precio neto</v>
      </c>
    </row>
    <row r="1257">
      <c r="A1257" s="4" t="str">
        <f>IFERROR(__xludf.DUMMYFUNCTION("""COMPUTED_VALUE"""),"1585")</f>
        <v>1585</v>
      </c>
      <c r="B1257" s="4" t="str">
        <f>IFERROR(__xludf.DUMMYFUNCTION("""COMPUTED_VALUE"""),"Rollo cinta Señal. 10cm x 200m. NARANJA")</f>
        <v>Rollo cinta Señal. 10cm x 200m. NARANJA</v>
      </c>
      <c r="C1257" s="4">
        <f>IFERROR(__xludf.DUMMYFUNCTION("""COMPUTED_VALUE"""),7.25)</f>
        <v>7.25</v>
      </c>
      <c r="D1257" s="4"/>
      <c r="E1257" s="4" t="str">
        <f>IFERROR(__xludf.DUMMYFUNCTION("""COMPUTED_VALUE"""),"Sin precio neto")</f>
        <v>Sin precio neto</v>
      </c>
    </row>
    <row r="1258">
      <c r="A1258" s="4" t="str">
        <f>IFERROR(__xludf.DUMMYFUNCTION("""COMPUTED_VALUE"""),"1586")</f>
        <v>1586</v>
      </c>
      <c r="B1258" s="4" t="str">
        <f>IFERROR(__xludf.DUMMYFUNCTION("""COMPUTED_VALUE"""),"Rollo cinta Señal. 10cm x 200m. VERDE")</f>
        <v>Rollo cinta Señal. 10cm x 200m. VERDE</v>
      </c>
      <c r="C1258" s="4">
        <f>IFERROR(__xludf.DUMMYFUNCTION("""COMPUTED_VALUE"""),7.25)</f>
        <v>7.25</v>
      </c>
      <c r="D1258" s="4"/>
      <c r="E1258" s="4" t="str">
        <f>IFERROR(__xludf.DUMMYFUNCTION("""COMPUTED_VALUE"""),"Sin precio neto")</f>
        <v>Sin precio neto</v>
      </c>
    </row>
    <row r="1259">
      <c r="A1259" s="4" t="str">
        <f>IFERROR(__xludf.DUMMYFUNCTION("""COMPUTED_VALUE"""),"1587")</f>
        <v>1587</v>
      </c>
      <c r="B1259" s="4" t="str">
        <f>IFERROR(__xludf.DUMMYFUNCTION("""COMPUTED_VALUE"""),"Rollo cinta Señal. 10cm x 200m. AZUL")</f>
        <v>Rollo cinta Señal. 10cm x 200m. AZUL</v>
      </c>
      <c r="C1259" s="4">
        <f>IFERROR(__xludf.DUMMYFUNCTION("""COMPUTED_VALUE"""),7.25)</f>
        <v>7.25</v>
      </c>
      <c r="D1259" s="4"/>
      <c r="E1259" s="4" t="str">
        <f>IFERROR(__xludf.DUMMYFUNCTION("""COMPUTED_VALUE"""),"Sin precio neto")</f>
        <v>Sin precio neto</v>
      </c>
    </row>
    <row r="1260">
      <c r="A1260" s="4" t="str">
        <f>IFERROR(__xludf.DUMMYFUNCTION("""COMPUTED_VALUE"""),"1588")</f>
        <v>1588</v>
      </c>
      <c r="B1260" s="4" t="str">
        <f>IFERROR(__xludf.DUMMYFUNCTION("""COMPUTED_VALUE"""),"Rollo cinta Señal. 10cm x 200m. AMARILLO")</f>
        <v>Rollo cinta Señal. 10cm x 200m. AMARILLO</v>
      </c>
      <c r="C1260" s="4">
        <f>IFERROR(__xludf.DUMMYFUNCTION("""COMPUTED_VALUE"""),7.25)</f>
        <v>7.25</v>
      </c>
      <c r="D1260" s="4"/>
      <c r="E1260" s="4" t="str">
        <f>IFERROR(__xludf.DUMMYFUNCTION("""COMPUTED_VALUE"""),"Sin precio neto")</f>
        <v>Sin precio neto</v>
      </c>
    </row>
    <row r="1261">
      <c r="A1261" s="4" t="str">
        <f>IFERROR(__xludf.DUMMYFUNCTION("""COMPUTED_VALUE"""),"1590")</f>
        <v>1590</v>
      </c>
      <c r="B1261" s="4" t="str">
        <f>IFERROR(__xludf.DUMMYFUNCTION("""COMPUTED_VALUE"""),"Vinilo adhesivo suelo ESPERE SU TURNO 40 cm")</f>
        <v>Vinilo adhesivo suelo ESPERE SU TURNO 40 cm</v>
      </c>
      <c r="C1261" s="4">
        <f>IFERROR(__xludf.DUMMYFUNCTION("""COMPUTED_VALUE"""),6.15)</f>
        <v>6.15</v>
      </c>
      <c r="D1261" s="4"/>
      <c r="E1261" s="4" t="str">
        <f>IFERROR(__xludf.DUMMYFUNCTION("""COMPUTED_VALUE"""),"Sin precio neto")</f>
        <v>Sin precio neto</v>
      </c>
    </row>
    <row r="1262">
      <c r="A1262" s="4" t="str">
        <f>IFERROR(__xludf.DUMMYFUNCTION("""COMPUTED_VALUE"""),"1591")</f>
        <v>1591</v>
      </c>
      <c r="B1262" s="4" t="str">
        <f>IFERROR(__xludf.DUMMYFUNCTION("""COMPUTED_VALUE"""),"Vinilo adhesivo suelo Paso oblig. carretillas 40 cm")</f>
        <v>Vinilo adhesivo suelo Paso oblig. carretillas 40 cm</v>
      </c>
      <c r="C1262" s="4">
        <f>IFERROR(__xludf.DUMMYFUNCTION("""COMPUTED_VALUE"""),6.15)</f>
        <v>6.15</v>
      </c>
      <c r="D1262" s="4"/>
      <c r="E1262" s="4" t="str">
        <f>IFERROR(__xludf.DUMMYFUNCTION("""COMPUTED_VALUE"""),"Sin precio neto")</f>
        <v>Sin precio neto</v>
      </c>
    </row>
    <row r="1263">
      <c r="A1263" s="4" t="str">
        <f>IFERROR(__xludf.DUMMYFUNCTION("""COMPUTED_VALUE"""),"1592")</f>
        <v>1592</v>
      </c>
      <c r="B1263" s="4" t="str">
        <f>IFERROR(__xludf.DUMMYFUNCTION("""COMPUTED_VALUE"""),"Vinilo adhesivo suelo Peligro Paso de carretilla 40 cm")</f>
        <v>Vinilo adhesivo suelo Peligro Paso de carretilla 40 cm</v>
      </c>
      <c r="C1263" s="4">
        <f>IFERROR(__xludf.DUMMYFUNCTION("""COMPUTED_VALUE"""),6.15)</f>
        <v>6.15</v>
      </c>
      <c r="D1263" s="4"/>
      <c r="E1263" s="4" t="str">
        <f>IFERROR(__xludf.DUMMYFUNCTION("""COMPUTED_VALUE"""),"Sin precio neto")</f>
        <v>Sin precio neto</v>
      </c>
    </row>
    <row r="1264">
      <c r="A1264" s="4" t="str">
        <f>IFERROR(__xludf.DUMMYFUNCTION("""COMPUTED_VALUE"""),"1593")</f>
        <v>1593</v>
      </c>
      <c r="B1264" s="4" t="str">
        <f>IFERROR(__xludf.DUMMYFUNCTION("""COMPUTED_VALUE"""),"Vinilo adhesivo suelo Peligro suelo Resbaladizo 40 cm")</f>
        <v>Vinilo adhesivo suelo Peligro suelo Resbaladizo 40 cm</v>
      </c>
      <c r="C1264" s="4">
        <f>IFERROR(__xludf.DUMMYFUNCTION("""COMPUTED_VALUE"""),6.15)</f>
        <v>6.15</v>
      </c>
      <c r="D1264" s="4"/>
      <c r="E1264" s="4" t="str">
        <f>IFERROR(__xludf.DUMMYFUNCTION("""COMPUTED_VALUE"""),"Sin precio neto")</f>
        <v>Sin precio neto</v>
      </c>
    </row>
    <row r="1265">
      <c r="A1265" s="4" t="str">
        <f>IFERROR(__xludf.DUMMYFUNCTION("""COMPUTED_VALUE"""),"1594")</f>
        <v>1594</v>
      </c>
      <c r="B1265" s="4" t="str">
        <f>IFERROR(__xludf.DUMMYFUNCTION("""COMPUTED_VALUE"""),"Rollo Cinta 15 cm x 200 m Aguas residuales")</f>
        <v>Rollo Cinta 15 cm x 200 m Aguas residuales</v>
      </c>
      <c r="C1265" s="4">
        <f>IFERROR(__xludf.DUMMYFUNCTION("""COMPUTED_VALUE"""),11.95)</f>
        <v>11.95</v>
      </c>
      <c r="D1265" s="4"/>
      <c r="E1265" s="4" t="str">
        <f>IFERROR(__xludf.DUMMYFUNCTION("""COMPUTED_VALUE"""),"Sin precio neto")</f>
        <v>Sin precio neto</v>
      </c>
    </row>
    <row r="1266">
      <c r="A1266" s="4" t="str">
        <f>IFERROR(__xludf.DUMMYFUNCTION("""COMPUTED_VALUE"""),"1600")</f>
        <v>1600</v>
      </c>
      <c r="B1266" s="4" t="str">
        <f>IFERROR(__xludf.DUMMYFUNCTION("""COMPUTED_VALUE"""),"Camisa reflec. N.2 cono 50 cm OXFORD")</f>
        <v>Camisa reflec. N.2 cono 50 cm OXFORD</v>
      </c>
      <c r="C1266" s="4">
        <f>IFERROR(__xludf.DUMMYFUNCTION("""COMPUTED_VALUE"""),3.42)</f>
        <v>3.42</v>
      </c>
      <c r="D1266" s="4"/>
      <c r="E1266" s="4" t="str">
        <f>IFERROR(__xludf.DUMMYFUNCTION("""COMPUTED_VALUE"""),"Sin precio neto")</f>
        <v>Sin precio neto</v>
      </c>
    </row>
    <row r="1267">
      <c r="A1267" s="4" t="str">
        <f>IFERROR(__xludf.DUMMYFUNCTION("""COMPUTED_VALUE"""),"1601")</f>
        <v>1601</v>
      </c>
      <c r="B1267" s="4" t="str">
        <f>IFERROR(__xludf.DUMMYFUNCTION("""COMPUTED_VALUE"""),"Camisa reflec. N.2 cono 75 cm OXFORD")</f>
        <v>Camisa reflec. N.2 cono 75 cm OXFORD</v>
      </c>
      <c r="C1267" s="4">
        <f>IFERROR(__xludf.DUMMYFUNCTION("""COMPUTED_VALUE"""),3.8)</f>
        <v>3.8</v>
      </c>
      <c r="D1267" s="4"/>
      <c r="E1267" s="4" t="str">
        <f>IFERROR(__xludf.DUMMYFUNCTION("""COMPUTED_VALUE"""),"Sin precio neto")</f>
        <v>Sin precio neto</v>
      </c>
    </row>
    <row r="1268">
      <c r="A1268" s="4" t="str">
        <f>IFERROR(__xludf.DUMMYFUNCTION("""COMPUTED_VALUE"""),"1604AN")</f>
        <v>1604AN</v>
      </c>
      <c r="B1268" s="4" t="str">
        <f>IFERROR(__xludf.DUMMYFUNCTION("""COMPUTED_VALUE"""),"Barra señaliz. Negra/Amarilla extensible para cono")</f>
        <v>Barra señaliz. Negra/Amarilla extensible para cono</v>
      </c>
      <c r="C1268" s="4">
        <f>IFERROR(__xludf.DUMMYFUNCTION("""COMPUTED_VALUE"""),8.4)</f>
        <v>8.4</v>
      </c>
      <c r="D1268" s="4"/>
      <c r="E1268" s="4" t="str">
        <f>IFERROR(__xludf.DUMMYFUNCTION("""COMPUTED_VALUE"""),"Sin precio neto")</f>
        <v>Sin precio neto</v>
      </c>
    </row>
    <row r="1269">
      <c r="A1269" s="4" t="str">
        <f>IFERROR(__xludf.DUMMYFUNCTION("""COMPUTED_VALUE"""),"1604RB")</f>
        <v>1604RB</v>
      </c>
      <c r="B1269" s="4" t="str">
        <f>IFERROR(__xludf.DUMMYFUNCTION("""COMPUTED_VALUE"""),"Barra señaliz. Roja/Blanca extensible para cono")</f>
        <v>Barra señaliz. Roja/Blanca extensible para cono</v>
      </c>
      <c r="C1269" s="4">
        <f>IFERROR(__xludf.DUMMYFUNCTION("""COMPUTED_VALUE"""),8.4)</f>
        <v>8.4</v>
      </c>
      <c r="D1269" s="4"/>
      <c r="E1269" s="4" t="str">
        <f>IFERROR(__xludf.DUMMYFUNCTION("""COMPUTED_VALUE"""),"Sin precio neto")</f>
        <v>Sin precio neto</v>
      </c>
    </row>
    <row r="1270">
      <c r="A1270" s="4" t="str">
        <f>IFERROR(__xludf.DUMMYFUNCTION("""COMPUTED_VALUE"""),"1617")</f>
        <v>1617</v>
      </c>
      <c r="B1270" s="4" t="str">
        <f>IFERROR(__xludf.DUMMYFUNCTION("""COMPUTED_VALUE"""),"Juego huellas adhesivas 27x10 cm pisable verde")</f>
        <v>Juego huellas adhesivas 27x10 cm pisable verde</v>
      </c>
      <c r="C1270" s="4">
        <f>IFERROR(__xludf.DUMMYFUNCTION("""COMPUTED_VALUE"""),3.15)</f>
        <v>3.15</v>
      </c>
      <c r="D1270" s="4"/>
      <c r="E1270" s="4" t="str">
        <f>IFERROR(__xludf.DUMMYFUNCTION("""COMPUTED_VALUE"""),"Sin precio neto")</f>
        <v>Sin precio neto</v>
      </c>
    </row>
    <row r="1271">
      <c r="A1271" s="4" t="str">
        <f>IFERROR(__xludf.DUMMYFUNCTION("""COMPUTED_VALUE"""),"1618")</f>
        <v>1618</v>
      </c>
      <c r="B1271" s="4" t="str">
        <f>IFERROR(__xludf.DUMMYFUNCTION("""COMPUTED_VALUE"""),"Juego huellas adhesivas 27x10 cm pisable rojo")</f>
        <v>Juego huellas adhesivas 27x10 cm pisable rojo</v>
      </c>
      <c r="C1271" s="4">
        <f>IFERROR(__xludf.DUMMYFUNCTION("""COMPUTED_VALUE"""),3.15)</f>
        <v>3.15</v>
      </c>
      <c r="D1271" s="4"/>
      <c r="E1271" s="4" t="str">
        <f>IFERROR(__xludf.DUMMYFUNCTION("""COMPUTED_VALUE"""),"Sin precio neto")</f>
        <v>Sin precio neto</v>
      </c>
    </row>
    <row r="1272">
      <c r="A1272" s="4" t="str">
        <f>IFERROR(__xludf.DUMMYFUNCTION("""COMPUTED_VALUE"""),"1619")</f>
        <v>1619</v>
      </c>
      <c r="B1272" s="4" t="str">
        <f>IFERROR(__xludf.DUMMYFUNCTION("""COMPUTED_VALUE"""),"Juego huellas adhesivas 27z10 cm pisable negro")</f>
        <v>Juego huellas adhesivas 27z10 cm pisable negro</v>
      </c>
      <c r="C1272" s="4">
        <f>IFERROR(__xludf.DUMMYFUNCTION("""COMPUTED_VALUE"""),3.15)</f>
        <v>3.15</v>
      </c>
      <c r="D1272" s="4"/>
      <c r="E1272" s="4" t="str">
        <f>IFERROR(__xludf.DUMMYFUNCTION("""COMPUTED_VALUE"""),"Sin precio neto")</f>
        <v>Sin precio neto</v>
      </c>
    </row>
    <row r="1273">
      <c r="A1273" s="4" t="str">
        <f>IFERROR(__xludf.DUMMYFUNCTION("""COMPUTED_VALUE"""),"1620")</f>
        <v>1620</v>
      </c>
      <c r="B1273" s="4" t="str">
        <f>IFERROR(__xludf.DUMMYFUNCTION("""COMPUTED_VALUE"""),"Juego 2 Flechas adhesivas 29x8 pisable Verde")</f>
        <v>Juego 2 Flechas adhesivas 29x8 pisable Verde</v>
      </c>
      <c r="C1273" s="4">
        <f>IFERROR(__xludf.DUMMYFUNCTION("""COMPUTED_VALUE"""),3.15)</f>
        <v>3.15</v>
      </c>
      <c r="D1273" s="4"/>
      <c r="E1273" s="4" t="str">
        <f>IFERROR(__xludf.DUMMYFUNCTION("""COMPUTED_VALUE"""),"Sin precio neto")</f>
        <v>Sin precio neto</v>
      </c>
    </row>
    <row r="1274">
      <c r="A1274" s="4" t="str">
        <f>IFERROR(__xludf.DUMMYFUNCTION("""COMPUTED_VALUE"""),"1621")</f>
        <v>1621</v>
      </c>
      <c r="B1274" s="4" t="str">
        <f>IFERROR(__xludf.DUMMYFUNCTION("""COMPUTED_VALUE"""),"Juego2 Flechas adhesivas 29x8 pisable Rojo")</f>
        <v>Juego2 Flechas adhesivas 29x8 pisable Rojo</v>
      </c>
      <c r="C1274" s="4">
        <f>IFERROR(__xludf.DUMMYFUNCTION("""COMPUTED_VALUE"""),3.15)</f>
        <v>3.15</v>
      </c>
      <c r="D1274" s="4"/>
      <c r="E1274" s="4" t="str">
        <f>IFERROR(__xludf.DUMMYFUNCTION("""COMPUTED_VALUE"""),"Sin precio neto")</f>
        <v>Sin precio neto</v>
      </c>
    </row>
    <row r="1275">
      <c r="A1275" s="4" t="str">
        <f>IFERROR(__xludf.DUMMYFUNCTION("""COMPUTED_VALUE"""),"1622")</f>
        <v>1622</v>
      </c>
      <c r="B1275" s="4" t="str">
        <f>IFERROR(__xludf.DUMMYFUNCTION("""COMPUTED_VALUE"""),"Adhesivo 21x29 Uso desinfectante")</f>
        <v>Adhesivo 21x29 Uso desinfectante</v>
      </c>
      <c r="C1275" s="4">
        <f>IFERROR(__xludf.DUMMYFUNCTION("""COMPUTED_VALUE"""),1.365)</f>
        <v>1.365</v>
      </c>
      <c r="D1275" s="4"/>
      <c r="E1275" s="4" t="str">
        <f>IFERROR(__xludf.DUMMYFUNCTION("""COMPUTED_VALUE"""),"Sin precio neto")</f>
        <v>Sin precio neto</v>
      </c>
    </row>
    <row r="1276">
      <c r="A1276" s="4" t="str">
        <f>IFERROR(__xludf.DUMMYFUNCTION("""COMPUTED_VALUE"""),"1623")</f>
        <v>1623</v>
      </c>
      <c r="B1276" s="4" t="str">
        <f>IFERROR(__xludf.DUMMYFUNCTION("""COMPUTED_VALUE"""),"Cartel PVC 21x29 cm USO DESINFECTANTE")</f>
        <v>Cartel PVC 21x29 cm USO DESINFECTANTE</v>
      </c>
      <c r="C1276" s="4">
        <f>IFERROR(__xludf.DUMMYFUNCTION("""COMPUTED_VALUE"""),1.6)</f>
        <v>1.6</v>
      </c>
      <c r="D1276" s="4">
        <f>IFERROR(__xludf.DUMMYFUNCTION("""COMPUTED_VALUE"""),1.2)</f>
        <v>1.2</v>
      </c>
      <c r="E1276" s="4" t="str">
        <f>IFERROR(__xludf.DUMMYFUNCTION("""COMPUTED_VALUE"""),"Neto: 1,20 € (a partir de 1 uds.)")</f>
        <v>Neto: 1,20 € (a partir de 1 uds.)</v>
      </c>
    </row>
    <row r="1277">
      <c r="A1277" s="4" t="str">
        <f>IFERROR(__xludf.DUMMYFUNCTION("""COMPUTED_VALUE"""),"1625")</f>
        <v>1625</v>
      </c>
      <c r="B1277" s="4" t="str">
        <f>IFERROR(__xludf.DUMMYFUNCTION("""COMPUTED_VALUE"""),"Juego huellas adhesivas suelo 27x10 cm Amarillo")</f>
        <v>Juego huellas adhesivas suelo 27x10 cm Amarillo</v>
      </c>
      <c r="C1277" s="4">
        <f>IFERROR(__xludf.DUMMYFUNCTION("""COMPUTED_VALUE"""),4.2)</f>
        <v>4.2</v>
      </c>
      <c r="D1277" s="4"/>
      <c r="E1277" s="4" t="str">
        <f>IFERROR(__xludf.DUMMYFUNCTION("""COMPUTED_VALUE"""),"Sin precio neto")</f>
        <v>Sin precio neto</v>
      </c>
    </row>
    <row r="1278">
      <c r="A1278" s="4" t="str">
        <f>IFERROR(__xludf.DUMMYFUNCTION("""COMPUTED_VALUE"""),"1626")</f>
        <v>1626</v>
      </c>
      <c r="B1278" s="4" t="str">
        <f>IFERROR(__xludf.DUMMYFUNCTION("""COMPUTED_VALUE"""),"Juego huellas adhesivas suelo 27x10 cm Basic")</f>
        <v>Juego huellas adhesivas suelo 27x10 cm Basic</v>
      </c>
      <c r="C1278" s="4">
        <f>IFERROR(__xludf.DUMMYFUNCTION("""COMPUTED_VALUE"""),4.2)</f>
        <v>4.2</v>
      </c>
      <c r="D1278" s="4"/>
      <c r="E1278" s="4" t="str">
        <f>IFERROR(__xludf.DUMMYFUNCTION("""COMPUTED_VALUE"""),"Sin precio neto")</f>
        <v>Sin precio neto</v>
      </c>
    </row>
    <row r="1279">
      <c r="A1279" s="4" t="str">
        <f>IFERROR(__xludf.DUMMYFUNCTION("""COMPUTED_VALUE"""),"1627")</f>
        <v>1627</v>
      </c>
      <c r="B1279" s="4" t="str">
        <f>IFERROR(__xludf.DUMMYFUNCTION("""COMPUTED_VALUE"""),"Kit Adhesivos flechas y tiras suelo")</f>
        <v>Kit Adhesivos flechas y tiras suelo</v>
      </c>
      <c r="C1279" s="4">
        <f>IFERROR(__xludf.DUMMYFUNCTION("""COMPUTED_VALUE"""),20.7)</f>
        <v>20.7</v>
      </c>
      <c r="D1279" s="4"/>
      <c r="E1279" s="4" t="str">
        <f>IFERROR(__xludf.DUMMYFUNCTION("""COMPUTED_VALUE"""),"Sin precio neto")</f>
        <v>Sin precio neto</v>
      </c>
    </row>
    <row r="1280">
      <c r="A1280" s="4" t="str">
        <f>IFERROR(__xludf.DUMMYFUNCTION("""COMPUTED_VALUE"""),"1629")</f>
        <v>1629</v>
      </c>
      <c r="B1280" s="4" t="str">
        <f>IFERROR(__xludf.DUMMYFUNCTION("""COMPUTED_VALUE"""),"Cinta antideslizante N/A DISTANCIA SEGURIDAD 10x100 cm")</f>
        <v>Cinta antideslizante N/A DISTANCIA SEGURIDAD 10x100 cm</v>
      </c>
      <c r="C1280" s="4">
        <f>IFERROR(__xludf.DUMMYFUNCTION("""COMPUTED_VALUE"""),4.99)</f>
        <v>4.99</v>
      </c>
      <c r="D1280" s="4"/>
      <c r="E1280" s="4" t="str">
        <f>IFERROR(__xludf.DUMMYFUNCTION("""COMPUTED_VALUE"""),"Sin precio neto")</f>
        <v>Sin precio neto</v>
      </c>
    </row>
    <row r="1281">
      <c r="A1281" s="4" t="str">
        <f>IFERROR(__xludf.DUMMYFUNCTION("""COMPUTED_VALUE"""),"1630")</f>
        <v>1630</v>
      </c>
      <c r="B1281" s="4" t="str">
        <f>IFERROR(__xludf.DUMMYFUNCTION("""COMPUTED_VALUE"""),"Cinta antideslizante Blanca ESPERE SU TURNO 10x100 cm")</f>
        <v>Cinta antideslizante Blanca ESPERE SU TURNO 10x100 cm</v>
      </c>
      <c r="C1281" s="4">
        <f>IFERROR(__xludf.DUMMYFUNCTION("""COMPUTED_VALUE"""),4.99)</f>
        <v>4.99</v>
      </c>
      <c r="D1281" s="4"/>
      <c r="E1281" s="4" t="str">
        <f>IFERROR(__xludf.DUMMYFUNCTION("""COMPUTED_VALUE"""),"Sin precio neto")</f>
        <v>Sin precio neto</v>
      </c>
    </row>
    <row r="1282">
      <c r="A1282" s="4" t="str">
        <f>IFERROR(__xludf.DUMMYFUNCTION("""COMPUTED_VALUE"""),"1631")</f>
        <v>1631</v>
      </c>
      <c r="B1282" s="4" t="str">
        <f>IFERROR(__xludf.DUMMYFUNCTION("""COMPUTED_VALUE"""),"Cono plegable Reflect 55cm")</f>
        <v>Cono plegable Reflect 55cm</v>
      </c>
      <c r="C1282" s="4">
        <f>IFERROR(__xludf.DUMMYFUNCTION("""COMPUTED_VALUE"""),12.25)</f>
        <v>12.25</v>
      </c>
      <c r="D1282" s="4"/>
      <c r="E1282" s="4" t="str">
        <f>IFERROR(__xludf.DUMMYFUNCTION("""COMPUTED_VALUE"""),"Sin precio neto")</f>
        <v>Sin precio neto</v>
      </c>
    </row>
    <row r="1283">
      <c r="A1283" s="4" t="str">
        <f>IFERROR(__xludf.DUMMYFUNCTION("""COMPUTED_VALUE"""),"1632")</f>
        <v>1632</v>
      </c>
      <c r="B1283" s="4" t="str">
        <f>IFERROR(__xludf.DUMMYFUNCTION("""COMPUTED_VALUE"""),"Cone extender")</f>
        <v>Cone extender</v>
      </c>
      <c r="C1283" s="4">
        <f>IFERROR(__xludf.DUMMYFUNCTION("""COMPUTED_VALUE"""),4.75)</f>
        <v>4.75</v>
      </c>
      <c r="D1283" s="4"/>
      <c r="E1283" s="4" t="str">
        <f>IFERROR(__xludf.DUMMYFUNCTION("""COMPUTED_VALUE"""),"Sin precio neto")</f>
        <v>Sin precio neto</v>
      </c>
    </row>
    <row r="1284">
      <c r="A1284" s="4" t="str">
        <f>IFERROR(__xludf.DUMMYFUNCTION("""COMPUTED_VALUE"""),"1633")</f>
        <v>1633</v>
      </c>
      <c r="B1284" s="4" t="str">
        <f>IFERROR(__xludf.DUMMYFUNCTION("""COMPUTED_VALUE"""),"Cono Señal. 50 cm Amarillo No Aparcar")</f>
        <v>Cono Señal. 50 cm Amarillo No Aparcar</v>
      </c>
      <c r="C1284" s="4">
        <f>IFERROR(__xludf.DUMMYFUNCTION("""COMPUTED_VALUE"""),8.4)</f>
        <v>8.4</v>
      </c>
      <c r="D1284" s="4"/>
      <c r="E1284" s="4" t="str">
        <f>IFERROR(__xludf.DUMMYFUNCTION("""COMPUTED_VALUE"""),"Sin precio neto")</f>
        <v>Sin precio neto</v>
      </c>
    </row>
    <row r="1285">
      <c r="A1285" s="4" t="str">
        <f>IFERROR(__xludf.DUMMYFUNCTION("""COMPUTED_VALUE"""),"1634")</f>
        <v>1634</v>
      </c>
      <c r="B1285" s="4" t="str">
        <f>IFERROR(__xludf.DUMMYFUNCTION("""COMPUTED_VALUE"""),"Tetrapodo 50 cm de señalizacion")</f>
        <v>Tetrapodo 50 cm de señalizacion</v>
      </c>
      <c r="C1285" s="4">
        <f>IFERROR(__xludf.DUMMYFUNCTION("""COMPUTED_VALUE"""),19.25)</f>
        <v>19.25</v>
      </c>
      <c r="D1285" s="4"/>
      <c r="E1285" s="4" t="str">
        <f>IFERROR(__xludf.DUMMYFUNCTION("""COMPUTED_VALUE"""),"Sin precio neto")</f>
        <v>Sin precio neto</v>
      </c>
    </row>
    <row r="1286">
      <c r="A1286" s="4" t="str">
        <f>IFERROR(__xludf.DUMMYFUNCTION("""COMPUTED_VALUE"""),"1635")</f>
        <v>1635</v>
      </c>
      <c r="B1286" s="4" t="str">
        <f>IFERROR(__xludf.DUMMYFUNCTION("""COMPUTED_VALUE"""),"Cono Señalizacion 32 cm. Flurescent")</f>
        <v>Cono Señalizacion 32 cm. Flurescent</v>
      </c>
      <c r="C1286" s="4">
        <f>IFERROR(__xludf.DUMMYFUNCTION("""COMPUTED_VALUE"""),4.2)</f>
        <v>4.2</v>
      </c>
      <c r="D1286" s="4">
        <f>IFERROR(__xludf.DUMMYFUNCTION("""COMPUTED_VALUE"""),3.6)</f>
        <v>3.6</v>
      </c>
      <c r="E1286" s="4" t="str">
        <f>IFERROR(__xludf.DUMMYFUNCTION("""COMPUTED_VALUE"""),"Neto: 3,60 € (a partir de 20 uds.)")</f>
        <v>Neto: 3,60 € (a partir de 20 uds.)</v>
      </c>
    </row>
    <row r="1287">
      <c r="A1287" s="4" t="str">
        <f>IFERROR(__xludf.DUMMYFUNCTION("""COMPUTED_VALUE"""),"1636")</f>
        <v>1636</v>
      </c>
      <c r="B1287" s="4" t="str">
        <f>IFERROR(__xludf.DUMMYFUNCTION("""COMPUTED_VALUE"""),"Cono Señaliz. 50 cm fluor.bandas reflectantes")</f>
        <v>Cono Señaliz. 50 cm fluor.bandas reflectantes</v>
      </c>
      <c r="C1287" s="4">
        <f>IFERROR(__xludf.DUMMYFUNCTION("""COMPUTED_VALUE"""),4.92)</f>
        <v>4.92</v>
      </c>
      <c r="D1287" s="4">
        <f>IFERROR(__xludf.DUMMYFUNCTION("""COMPUTED_VALUE"""),4.75)</f>
        <v>4.75</v>
      </c>
      <c r="E1287" s="4" t="str">
        <f>IFERROR(__xludf.DUMMYFUNCTION("""COMPUTED_VALUE"""),"Neto: 4,75 € (a partir de 20 uds.)")</f>
        <v>Neto: 4,75 € (a partir de 20 uds.)</v>
      </c>
    </row>
    <row r="1288">
      <c r="A1288" s="4" t="str">
        <f>IFERROR(__xludf.DUMMYFUNCTION("""COMPUTED_VALUE"""),"1636AZUL")</f>
        <v>1636AZUL</v>
      </c>
      <c r="B1288" s="4" t="str">
        <f>IFERROR(__xludf.DUMMYFUNCTION("""COMPUTED_VALUE"""),"Cono Señaliz. 50 cm Azul bandas reflectantes")</f>
        <v>Cono Señaliz. 50 cm Azul bandas reflectantes</v>
      </c>
      <c r="C1288" s="4">
        <f>IFERROR(__xludf.DUMMYFUNCTION("""COMPUTED_VALUE"""),4.9)</f>
        <v>4.9</v>
      </c>
      <c r="D1288" s="4">
        <f>IFERROR(__xludf.DUMMYFUNCTION("""COMPUTED_VALUE"""),4.75)</f>
        <v>4.75</v>
      </c>
      <c r="E1288" s="4" t="str">
        <f>IFERROR(__xludf.DUMMYFUNCTION("""COMPUTED_VALUE"""),"Neto: 4,75 € (a partir de 20 uds.)")</f>
        <v>Neto: 4,75 € (a partir de 20 uds.)</v>
      </c>
    </row>
    <row r="1289">
      <c r="A1289" s="4" t="str">
        <f>IFERROR(__xludf.DUMMYFUNCTION("""COMPUTED_VALUE"""),"1637")</f>
        <v>1637</v>
      </c>
      <c r="B1289" s="4" t="str">
        <f>IFERROR(__xludf.DUMMYFUNCTION("""COMPUTED_VALUE"""),"Cono señaliz. 50 cm camisas réflex pvc Blando Bicolor")</f>
        <v>Cono señaliz. 50 cm camisas réflex pvc Blando Bicolor</v>
      </c>
      <c r="C1289" s="4">
        <f>IFERROR(__xludf.DUMMYFUNCTION("""COMPUTED_VALUE"""),5.25)</f>
        <v>5.25</v>
      </c>
      <c r="D1289" s="4">
        <f>IFERROR(__xludf.DUMMYFUNCTION("""COMPUTED_VALUE"""),4.75)</f>
        <v>4.75</v>
      </c>
      <c r="E1289" s="4" t="str">
        <f>IFERROR(__xludf.DUMMYFUNCTION("""COMPUTED_VALUE"""),"Neto: 4,75 € (a partir de 20 uds.)")</f>
        <v>Neto: 4,75 € (a partir de 20 uds.)</v>
      </c>
    </row>
    <row r="1290">
      <c r="A1290" s="4" t="str">
        <f>IFERROR(__xludf.DUMMYFUNCTION("""COMPUTED_VALUE"""),"1638")</f>
        <v>1638</v>
      </c>
      <c r="B1290" s="4" t="str">
        <f>IFERROR(__xludf.DUMMYFUNCTION("""COMPUTED_VALUE"""),"Cono Señaliz. 50 cm. camisa reflec.2 P. CVT")</f>
        <v>Cono Señaliz. 50 cm. camisa reflec.2 P. CVT</v>
      </c>
      <c r="C1290" s="4">
        <f>IFERROR(__xludf.DUMMYFUNCTION("""COMPUTED_VALUE"""),4.9)</f>
        <v>4.9</v>
      </c>
      <c r="D1290" s="4">
        <f>IFERROR(__xludf.DUMMYFUNCTION("""COMPUTED_VALUE"""),3.5)</f>
        <v>3.5</v>
      </c>
      <c r="E1290" s="4" t="str">
        <f>IFERROR(__xludf.DUMMYFUNCTION("""COMPUTED_VALUE"""),"Neto: 3,50 € (a partir de 10 uds.)")</f>
        <v>Neto: 3,50 € (a partir de 10 uds.)</v>
      </c>
    </row>
    <row r="1291">
      <c r="A1291" s="4" t="str">
        <f>IFERROR(__xludf.DUMMYFUNCTION("""COMPUTED_VALUE"""),"1640")</f>
        <v>1640</v>
      </c>
      <c r="B1291" s="4" t="str">
        <f>IFERROR(__xludf.DUMMYFUNCTION("""COMPUTED_VALUE"""),"Cono Señaliz.75 cm. camisa reflec.2p. CVT Plus")</f>
        <v>Cono Señaliz.75 cm. camisa reflec.2p. CVT Plus</v>
      </c>
      <c r="C1291" s="4">
        <f>IFERROR(__xludf.DUMMYFUNCTION("""COMPUTED_VALUE"""),7.2)</f>
        <v>7.2</v>
      </c>
      <c r="D1291" s="4"/>
      <c r="E1291" s="4" t="str">
        <f>IFERROR(__xludf.DUMMYFUNCTION("""COMPUTED_VALUE"""),"Sin precio neto")</f>
        <v>Sin precio neto</v>
      </c>
    </row>
    <row r="1292">
      <c r="A1292" s="4" t="str">
        <f>IFERROR(__xludf.DUMMYFUNCTION("""COMPUTED_VALUE"""),"1640B")</f>
        <v>1640B</v>
      </c>
      <c r="B1292" s="4" t="str">
        <f>IFERROR(__xludf.DUMMYFUNCTION("""COMPUTED_VALUE"""),"Cono Señaizl. 75 cm.camisa reflect.2p. CVT Basic")</f>
        <v>Cono Señaizl. 75 cm.camisa reflect.2p. CVT Basic</v>
      </c>
      <c r="C1292" s="4">
        <f>IFERROR(__xludf.DUMMYFUNCTION("""COMPUTED_VALUE"""),6.4)</f>
        <v>6.4</v>
      </c>
      <c r="D1292" s="4">
        <f>IFERROR(__xludf.DUMMYFUNCTION("""COMPUTED_VALUE"""),5.5)</f>
        <v>5.5</v>
      </c>
      <c r="E1292" s="4" t="str">
        <f>IFERROR(__xludf.DUMMYFUNCTION("""COMPUTED_VALUE"""),"Neto: 5,50 € (a partir de 10 uds.)")</f>
        <v>Neto: 5,50 € (a partir de 10 uds.)</v>
      </c>
    </row>
    <row r="1293">
      <c r="A1293" s="4" t="str">
        <f>IFERROR(__xludf.DUMMYFUNCTION("""COMPUTED_VALUE"""),"1645")</f>
        <v>1645</v>
      </c>
      <c r="B1293" s="4" t="str">
        <f>IFERROR(__xludf.DUMMYFUNCTION("""COMPUTED_VALUE"""),"Cono Señaliz. 100 cm camisa reflec.2 P.MELBA")</f>
        <v>Cono Señaliz. 100 cm camisa reflec.2 P.MELBA</v>
      </c>
      <c r="C1293" s="4">
        <f>IFERROR(__xludf.DUMMYFUNCTION("""COMPUTED_VALUE"""),17.9)</f>
        <v>17.9</v>
      </c>
      <c r="D1293" s="4"/>
      <c r="E1293" s="4" t="str">
        <f>IFERROR(__xludf.DUMMYFUNCTION("""COMPUTED_VALUE"""),"Sin precio neto")</f>
        <v>Sin precio neto</v>
      </c>
    </row>
    <row r="1294">
      <c r="A1294" s="4" t="str">
        <f>IFERROR(__xludf.DUMMYFUNCTION("""COMPUTED_VALUE"""),"1646")</f>
        <v>1646</v>
      </c>
      <c r="B1294" s="4" t="str">
        <f>IFERROR(__xludf.DUMMYFUNCTION("""COMPUTED_VALUE"""),"Cono 80cm PVC blando Reflect. MOD B")</f>
        <v>Cono 80cm PVC blando Reflect. MOD B</v>
      </c>
      <c r="C1294" s="4">
        <f>IFERROR(__xludf.DUMMYFUNCTION("""COMPUTED_VALUE"""),9.97)</f>
        <v>9.97</v>
      </c>
      <c r="D1294" s="4"/>
      <c r="E1294" s="4" t="str">
        <f>IFERROR(__xludf.DUMMYFUNCTION("""COMPUTED_VALUE"""),"Sin precio neto")</f>
        <v>Sin precio neto</v>
      </c>
    </row>
    <row r="1295">
      <c r="A1295" s="4" t="str">
        <f>IFERROR(__xludf.DUMMYFUNCTION("""COMPUTED_VALUE"""),"1646A")</f>
        <v>1646A</v>
      </c>
      <c r="B1295" s="4" t="str">
        <f>IFERROR(__xludf.DUMMYFUNCTION("""COMPUTED_VALUE"""),"Cono 80 cm PVC blando Reflect. Mod B AMARILLO")</f>
        <v>Cono 80 cm PVC blando Reflect. Mod B AMARILLO</v>
      </c>
      <c r="C1295" s="4">
        <f>IFERROR(__xludf.DUMMYFUNCTION("""COMPUTED_VALUE"""),9.97)</f>
        <v>9.97</v>
      </c>
      <c r="D1295" s="4"/>
      <c r="E1295" s="4" t="str">
        <f>IFERROR(__xludf.DUMMYFUNCTION("""COMPUTED_VALUE"""),"Sin precio neto")</f>
        <v>Sin precio neto</v>
      </c>
    </row>
    <row r="1296">
      <c r="A1296" s="4" t="str">
        <f>IFERROR(__xludf.DUMMYFUNCTION("""COMPUTED_VALUE"""),"1646V")</f>
        <v>1646V</v>
      </c>
      <c r="B1296" s="4" t="str">
        <f>IFERROR(__xludf.DUMMYFUNCTION("""COMPUTED_VALUE"""),"Cono 80 cm PVC blando Reflect. Mod B VERDE")</f>
        <v>Cono 80 cm PVC blando Reflect. Mod B VERDE</v>
      </c>
      <c r="C1296" s="4">
        <f>IFERROR(__xludf.DUMMYFUNCTION("""COMPUTED_VALUE"""),9.975)</f>
        <v>9.975</v>
      </c>
      <c r="D1296" s="4"/>
      <c r="E1296" s="4" t="str">
        <f>IFERROR(__xludf.DUMMYFUNCTION("""COMPUTED_VALUE"""),"Sin precio neto")</f>
        <v>Sin precio neto</v>
      </c>
    </row>
    <row r="1297">
      <c r="A1297" s="4" t="str">
        <f>IFERROR(__xludf.DUMMYFUNCTION("""COMPUTED_VALUE"""),"1646Z")</f>
        <v>1646Z</v>
      </c>
      <c r="B1297" s="4" t="str">
        <f>IFERROR(__xludf.DUMMYFUNCTION("""COMPUTED_VALUE"""),"Cono 80 cm PVC blando Reflect. Mod B AZUL")</f>
        <v>Cono 80 cm PVC blando Reflect. Mod B AZUL</v>
      </c>
      <c r="C1297" s="4">
        <f>IFERROR(__xludf.DUMMYFUNCTION("""COMPUTED_VALUE"""),9.975)</f>
        <v>9.975</v>
      </c>
      <c r="D1297" s="4"/>
      <c r="E1297" s="4" t="str">
        <f>IFERROR(__xludf.DUMMYFUNCTION("""COMPUTED_VALUE"""),"Sin precio neto")</f>
        <v>Sin precio neto</v>
      </c>
    </row>
    <row r="1298">
      <c r="A1298" s="4" t="str">
        <f>IFERROR(__xludf.DUMMYFUNCTION("""COMPUTED_VALUE"""),"1647")</f>
        <v>1647</v>
      </c>
      <c r="B1298" s="4" t="str">
        <f>IFERROR(__xludf.DUMMYFUNCTION("""COMPUTED_VALUE"""),"Cono 54cm PVC blando Reflect. MOD B")</f>
        <v>Cono 54cm PVC blando Reflect. MOD B</v>
      </c>
      <c r="C1298" s="4">
        <f>IFERROR(__xludf.DUMMYFUNCTION("""COMPUTED_VALUE"""),8.1)</f>
        <v>8.1</v>
      </c>
      <c r="D1298" s="4"/>
      <c r="E1298" s="4" t="str">
        <f>IFERROR(__xludf.DUMMYFUNCTION("""COMPUTED_VALUE"""),"Sin precio neto")</f>
        <v>Sin precio neto</v>
      </c>
    </row>
    <row r="1299">
      <c r="A1299" s="4" t="str">
        <f>IFERROR(__xludf.DUMMYFUNCTION("""COMPUTED_VALUE"""),"1647A")</f>
        <v>1647A</v>
      </c>
      <c r="B1299" s="4" t="str">
        <f>IFERROR(__xludf.DUMMYFUNCTION("""COMPUTED_VALUE"""),"Cono 54 cm PVC blando Reflect. Mod B AMARILLO")</f>
        <v>Cono 54 cm PVC blando Reflect. Mod B AMARILLO</v>
      </c>
      <c r="C1299" s="4">
        <f>IFERROR(__xludf.DUMMYFUNCTION("""COMPUTED_VALUE"""),8.1)</f>
        <v>8.1</v>
      </c>
      <c r="D1299" s="4"/>
      <c r="E1299" s="4" t="str">
        <f>IFERROR(__xludf.DUMMYFUNCTION("""COMPUTED_VALUE"""),"Sin precio neto")</f>
        <v>Sin precio neto</v>
      </c>
    </row>
    <row r="1300">
      <c r="A1300" s="4" t="str">
        <f>IFERROR(__xludf.DUMMYFUNCTION("""COMPUTED_VALUE"""),"1647RO")</f>
        <v>1647RO</v>
      </c>
      <c r="B1300" s="4" t="str">
        <f>IFERROR(__xludf.DUMMYFUNCTION("""COMPUTED_VALUE"""),"Cono 54 cm PVC blando Reflect. Mod B ROSA")</f>
        <v>Cono 54 cm PVC blando Reflect. Mod B ROSA</v>
      </c>
      <c r="C1300" s="4">
        <f>IFERROR(__xludf.DUMMYFUNCTION("""COMPUTED_VALUE"""),8.1)</f>
        <v>8.1</v>
      </c>
      <c r="D1300" s="4"/>
      <c r="E1300" s="4" t="str">
        <f>IFERROR(__xludf.DUMMYFUNCTION("""COMPUTED_VALUE"""),"Sin precio neto")</f>
        <v>Sin precio neto</v>
      </c>
    </row>
    <row r="1301">
      <c r="A1301" s="4" t="str">
        <f>IFERROR(__xludf.DUMMYFUNCTION("""COMPUTED_VALUE"""),"1647V")</f>
        <v>1647V</v>
      </c>
      <c r="B1301" s="4" t="str">
        <f>IFERROR(__xludf.DUMMYFUNCTION("""COMPUTED_VALUE"""),"Cono 54 cm PVC blando Reflect. Mod B VERDE")</f>
        <v>Cono 54 cm PVC blando Reflect. Mod B VERDE</v>
      </c>
      <c r="C1301" s="4">
        <f>IFERROR(__xludf.DUMMYFUNCTION("""COMPUTED_VALUE"""),8.1)</f>
        <v>8.1</v>
      </c>
      <c r="D1301" s="4"/>
      <c r="E1301" s="4" t="str">
        <f>IFERROR(__xludf.DUMMYFUNCTION("""COMPUTED_VALUE"""),"Sin precio neto")</f>
        <v>Sin precio neto</v>
      </c>
    </row>
    <row r="1302">
      <c r="A1302" s="4" t="str">
        <f>IFERROR(__xludf.DUMMYFUNCTION("""COMPUTED_VALUE"""),"1647Z")</f>
        <v>1647Z</v>
      </c>
      <c r="B1302" s="4" t="str">
        <f>IFERROR(__xludf.DUMMYFUNCTION("""COMPUTED_VALUE"""),"Cono 54 cm PVC blando Reflect. Mod B AZUL")</f>
        <v>Cono 54 cm PVC blando Reflect. Mod B AZUL</v>
      </c>
      <c r="C1302" s="4">
        <f>IFERROR(__xludf.DUMMYFUNCTION("""COMPUTED_VALUE"""),8.1)</f>
        <v>8.1</v>
      </c>
      <c r="D1302" s="4"/>
      <c r="E1302" s="4" t="str">
        <f>IFERROR(__xludf.DUMMYFUNCTION("""COMPUTED_VALUE"""),"Sin precio neto")</f>
        <v>Sin precio neto</v>
      </c>
    </row>
    <row r="1303">
      <c r="A1303" s="4" t="str">
        <f>IFERROR(__xludf.DUMMYFUNCTION("""COMPUTED_VALUE"""),"1648")</f>
        <v>1648</v>
      </c>
      <c r="B1303" s="4" t="str">
        <f>IFERROR(__xludf.DUMMYFUNCTION("""COMPUTED_VALUE"""),"Cono 80cm PVC blando Reflect. MOD B Naranja Plus")</f>
        <v>Cono 80cm PVC blando Reflect. MOD B Naranja Plus</v>
      </c>
      <c r="C1303" s="4">
        <f>IFERROR(__xludf.DUMMYFUNCTION("""COMPUTED_VALUE"""),24.25)</f>
        <v>24.25</v>
      </c>
      <c r="D1303" s="4"/>
      <c r="E1303" s="4" t="str">
        <f>IFERROR(__xludf.DUMMYFUNCTION("""COMPUTED_VALUE"""),"Sin precio neto")</f>
        <v>Sin precio neto</v>
      </c>
    </row>
    <row r="1304">
      <c r="A1304" s="4" t="str">
        <f>IFERROR(__xludf.DUMMYFUNCTION("""COMPUTED_VALUE"""),"1650")</f>
        <v>1650</v>
      </c>
      <c r="B1304" s="4" t="str">
        <f>IFERROR(__xludf.DUMMYFUNCTION("""COMPUTED_VALUE"""),"Cono 1 pza 50 cm 2 bandas Reflect. Melba")</f>
        <v>Cono 1 pza 50 cm 2 bandas Reflect. Melba</v>
      </c>
      <c r="C1304" s="4">
        <f>IFERROR(__xludf.DUMMYFUNCTION("""COMPUTED_VALUE"""),6.22)</f>
        <v>6.22</v>
      </c>
      <c r="D1304" s="4">
        <f>IFERROR(__xludf.DUMMYFUNCTION("""COMPUTED_VALUE"""),5.5)</f>
        <v>5.5</v>
      </c>
      <c r="E1304" s="4" t="str">
        <f>IFERROR(__xludf.DUMMYFUNCTION("""COMPUTED_VALUE"""),"Neto: 5,50 € (a partir de 400 uds.)")</f>
        <v>Neto: 5,50 € (a partir de 400 uds.)</v>
      </c>
    </row>
    <row r="1305">
      <c r="A1305" s="4" t="str">
        <f>IFERROR(__xludf.DUMMYFUNCTION("""COMPUTED_VALUE"""),"1651")</f>
        <v>1651</v>
      </c>
      <c r="B1305" s="4" t="str">
        <f>IFERROR(__xludf.DUMMYFUNCTION("""COMPUTED_VALUE"""),"Cono 1 pza 75 cm 2 bandas Reflect. Melba")</f>
        <v>Cono 1 pza 75 cm 2 bandas Reflect. Melba</v>
      </c>
      <c r="C1305" s="4">
        <f>IFERROR(__xludf.DUMMYFUNCTION("""COMPUTED_VALUE"""),8.18)</f>
        <v>8.18</v>
      </c>
      <c r="D1305" s="4">
        <f>IFERROR(__xludf.DUMMYFUNCTION("""COMPUTED_VALUE"""),7.25)</f>
        <v>7.25</v>
      </c>
      <c r="E1305" s="4" t="str">
        <f>IFERROR(__xludf.DUMMYFUNCTION("""COMPUTED_VALUE"""),"Neto: 7,25 € (a partir de 200 uds.)")</f>
        <v>Neto: 7,25 € (a partir de 200 uds.)</v>
      </c>
    </row>
    <row r="1306">
      <c r="A1306" s="4" t="str">
        <f>IFERROR(__xludf.DUMMYFUNCTION("""COMPUTED_VALUE"""),"1652")</f>
        <v>1652</v>
      </c>
      <c r="B1306" s="4" t="str">
        <f>IFERROR(__xludf.DUMMYFUNCTION("""COMPUTED_VALUE"""),"Cono 2 pza 75 cm 2 bandas Reflect. Melba STARLITE")</f>
        <v>Cono 2 pza 75 cm 2 bandas Reflect. Melba STARLITE</v>
      </c>
      <c r="C1306" s="4">
        <f>IFERROR(__xludf.DUMMYFUNCTION("""COMPUTED_VALUE"""),9.975)</f>
        <v>9.975</v>
      </c>
      <c r="D1306" s="4"/>
      <c r="E1306" s="4" t="str">
        <f>IFERROR(__xludf.DUMMYFUNCTION("""COMPUTED_VALUE"""),"Sin precio neto")</f>
        <v>Sin precio neto</v>
      </c>
    </row>
    <row r="1307">
      <c r="A1307" s="4" t="str">
        <f>IFERROR(__xludf.DUMMYFUNCTION("""COMPUTED_VALUE"""),"1653")</f>
        <v>1653</v>
      </c>
      <c r="B1307" s="4" t="str">
        <f>IFERROR(__xludf.DUMMYFUNCTION("""COMPUTED_VALUE"""),"Cono 2 pza 50 cm 1 banda Reflect. Melba BIG FOOT")</f>
        <v>Cono 2 pza 50 cm 1 banda Reflect. Melba BIG FOOT</v>
      </c>
      <c r="C1307" s="4">
        <f>IFERROR(__xludf.DUMMYFUNCTION("""COMPUTED_VALUE"""),8.25)</f>
        <v>8.25</v>
      </c>
      <c r="D1307" s="4"/>
      <c r="E1307" s="4" t="str">
        <f>IFERROR(__xludf.DUMMYFUNCTION("""COMPUTED_VALUE"""),"Sin precio neto")</f>
        <v>Sin precio neto</v>
      </c>
    </row>
    <row r="1308">
      <c r="A1308" s="4" t="str">
        <f>IFERROR(__xludf.DUMMYFUNCTION("""COMPUTED_VALUE"""),"1654")</f>
        <v>1654</v>
      </c>
      <c r="B1308" s="4" t="str">
        <f>IFERROR(__xludf.DUMMYFUNCTION("""COMPUTED_VALUE"""),"Cono 2 pza 75 cm 1 banda Reflect. Melba BIG FOOT")</f>
        <v>Cono 2 pza 75 cm 1 banda Reflect. Melba BIG FOOT</v>
      </c>
      <c r="C1308" s="4">
        <f>IFERROR(__xludf.DUMMYFUNCTION("""COMPUTED_VALUE"""),11.25)</f>
        <v>11.25</v>
      </c>
      <c r="D1308" s="4"/>
      <c r="E1308" s="4" t="str">
        <f>IFERROR(__xludf.DUMMYFUNCTION("""COMPUTED_VALUE"""),"Sin precio neto")</f>
        <v>Sin precio neto</v>
      </c>
    </row>
    <row r="1309">
      <c r="A1309" s="4" t="str">
        <f>IFERROR(__xludf.DUMMYFUNCTION("""COMPUTED_VALUE"""),"1655")</f>
        <v>1655</v>
      </c>
      <c r="B1309" s="4" t="str">
        <f>IFERROR(__xludf.DUMMYFUNCTION("""COMPUTED_VALUE"""),"Cono 2 pza 100 cm 1 banda Reflect. Melba BIG FOOT")</f>
        <v>Cono 2 pza 100 cm 1 banda Reflect. Melba BIG FOOT</v>
      </c>
      <c r="C1309" s="4">
        <f>IFERROR(__xludf.DUMMYFUNCTION("""COMPUTED_VALUE"""),17.25)</f>
        <v>17.25</v>
      </c>
      <c r="D1309" s="4"/>
      <c r="E1309" s="4" t="str">
        <f>IFERROR(__xludf.DUMMYFUNCTION("""COMPUTED_VALUE"""),"Sin precio neto")</f>
        <v>Sin precio neto</v>
      </c>
    </row>
    <row r="1310">
      <c r="A1310" s="4" t="str">
        <f>IFERROR(__xludf.DUMMYFUNCTION("""COMPUTED_VALUE"""),"1672")</f>
        <v>1672</v>
      </c>
      <c r="B1310" s="4" t="str">
        <f>IFERROR(__xludf.DUMMYFUNCTION("""COMPUTED_VALUE"""),"Pareja semaforos portatiles desmontables Leds mod. B")</f>
        <v>Pareja semaforos portatiles desmontables Leds mod. B</v>
      </c>
      <c r="C1310" s="4">
        <f>IFERROR(__xludf.DUMMYFUNCTION("""COMPUTED_VALUE"""),1600.0)</f>
        <v>1600</v>
      </c>
      <c r="D1310" s="4">
        <f>IFERROR(__xludf.DUMMYFUNCTION("""COMPUTED_VALUE"""),1400.0)</f>
        <v>1400</v>
      </c>
      <c r="E1310" s="4" t="str">
        <f>IFERROR(__xludf.DUMMYFUNCTION("""COMPUTED_VALUE"""),"Neto: 1400,00 € (a partir de 1 uds.)")</f>
        <v>Neto: 1400,00 € (a partir de 1 uds.)</v>
      </c>
    </row>
    <row r="1311">
      <c r="A1311" s="4" t="str">
        <f>IFERROR(__xludf.DUMMYFUNCTION("""COMPUTED_VALUE"""),"1673")</f>
        <v>1673</v>
      </c>
      <c r="B1311" s="4" t="str">
        <f>IFERROR(__xludf.DUMMYFUNCTION("""COMPUTED_VALUE"""),"Pareja semaforos portatiles desmont. Led c/ contador de")</f>
        <v>Pareja semaforos portatiles desmont. Led c/ contador de</v>
      </c>
      <c r="C1311" s="4">
        <f>IFERROR(__xludf.DUMMYFUNCTION("""COMPUTED_VALUE"""),1700.0)</f>
        <v>1700</v>
      </c>
      <c r="D1311" s="4"/>
      <c r="E1311" s="4" t="str">
        <f>IFERROR(__xludf.DUMMYFUNCTION("""COMPUTED_VALUE"""),"Sin precio neto")</f>
        <v>Sin precio neto</v>
      </c>
    </row>
    <row r="1312">
      <c r="A1312" s="4" t="str">
        <f>IFERROR(__xludf.DUMMYFUNCTION("""COMPUTED_VALUE"""),"1673C")</f>
        <v>1673C</v>
      </c>
      <c r="B1312" s="4" t="str">
        <f>IFERROR(__xludf.DUMMYFUNCTION("""COMPUTED_VALUE"""),"Juego de centralitas semaforos Mod.D")</f>
        <v>Juego de centralitas semaforos Mod.D</v>
      </c>
      <c r="C1312" s="4">
        <f>IFERROR(__xludf.DUMMYFUNCTION("""COMPUTED_VALUE"""),340.0)</f>
        <v>340</v>
      </c>
      <c r="D1312" s="4"/>
      <c r="E1312" s="4" t="str">
        <f>IFERROR(__xludf.DUMMYFUNCTION("""COMPUTED_VALUE"""),"Sin precio neto")</f>
        <v>Sin precio neto</v>
      </c>
    </row>
    <row r="1313">
      <c r="A1313" s="4" t="str">
        <f>IFERROR(__xludf.DUMMYFUNCTION("""COMPUTED_VALUE"""),"1674")</f>
        <v>1674</v>
      </c>
      <c r="B1313" s="4" t="str">
        <f>IFERROR(__xludf.DUMMYFUNCTION("""COMPUTED_VALUE"""),"Pareja semaforos portatiles plegables Led mod. C")</f>
        <v>Pareja semaforos portatiles plegables Led mod. C</v>
      </c>
      <c r="C1313" s="4">
        <f>IFERROR(__xludf.DUMMYFUNCTION("""COMPUTED_VALUE"""),1750.0)</f>
        <v>1750</v>
      </c>
      <c r="D1313" s="4">
        <f>IFERROR(__xludf.DUMMYFUNCTION("""COMPUTED_VALUE"""),1450.0)</f>
        <v>1450</v>
      </c>
      <c r="E1313" s="4" t="str">
        <f>IFERROR(__xludf.DUMMYFUNCTION("""COMPUTED_VALUE"""),"Neto: 1450,00 € (a partir de 1 uds.)")</f>
        <v>Neto: 1450,00 € (a partir de 1 uds.)</v>
      </c>
    </row>
    <row r="1314">
      <c r="A1314" s="4" t="str">
        <f>IFERROR(__xludf.DUMMYFUNCTION("""COMPUTED_VALUE"""),"1674/LP")</f>
        <v>1674/LP</v>
      </c>
      <c r="B1314" s="4" t="str">
        <f>IFERROR(__xludf.DUMMYFUNCTION("""COMPUTED_VALUE"""),"Lente plastico semaforo B - C 430126008")</f>
        <v>Lente plastico semaforo B - C 430126008</v>
      </c>
      <c r="C1314" s="4">
        <f>IFERROR(__xludf.DUMMYFUNCTION("""COMPUTED_VALUE"""),34.4)</f>
        <v>34.4</v>
      </c>
      <c r="D1314" s="4"/>
      <c r="E1314" s="4" t="str">
        <f>IFERROR(__xludf.DUMMYFUNCTION("""COMPUTED_VALUE"""),"Sin precio neto")</f>
        <v>Sin precio neto</v>
      </c>
    </row>
    <row r="1315">
      <c r="A1315" s="4" t="str">
        <f>IFERROR(__xludf.DUMMYFUNCTION("""COMPUTED_VALUE"""),"1674/PA")</f>
        <v>1674/PA</v>
      </c>
      <c r="B1315" s="4" t="str">
        <f>IFERROR(__xludf.DUMMYFUNCTION("""COMPUTED_VALUE"""),"Panel Led amarillo semaforo B - C 430208019")</f>
        <v>Panel Led amarillo semaforo B - C 430208019</v>
      </c>
      <c r="C1315" s="4">
        <f>IFERROR(__xludf.DUMMYFUNCTION("""COMPUTED_VALUE"""),111.45)</f>
        <v>111.45</v>
      </c>
      <c r="D1315" s="4"/>
      <c r="E1315" s="4" t="str">
        <f>IFERROR(__xludf.DUMMYFUNCTION("""COMPUTED_VALUE"""),"Sin precio neto")</f>
        <v>Sin precio neto</v>
      </c>
    </row>
    <row r="1316">
      <c r="A1316" s="4" t="str">
        <f>IFERROR(__xludf.DUMMYFUNCTION("""COMPUTED_VALUE"""),"1674/PR")</f>
        <v>1674/PR</v>
      </c>
      <c r="B1316" s="4" t="str">
        <f>IFERROR(__xludf.DUMMYFUNCTION("""COMPUTED_VALUE"""),"Panel Led rojo semaforos B - C 430208020")</f>
        <v>Panel Led rojo semaforos B - C 430208020</v>
      </c>
      <c r="C1316" s="4">
        <f>IFERROR(__xludf.DUMMYFUNCTION("""COMPUTED_VALUE"""),111.45)</f>
        <v>111.45</v>
      </c>
      <c r="D1316" s="4"/>
      <c r="E1316" s="4" t="str">
        <f>IFERROR(__xludf.DUMMYFUNCTION("""COMPUTED_VALUE"""),"Sin precio neto")</f>
        <v>Sin precio neto</v>
      </c>
    </row>
    <row r="1317">
      <c r="A1317" s="4" t="str">
        <f>IFERROR(__xludf.DUMMYFUNCTION("""COMPUTED_VALUE"""),"1674/PV")</f>
        <v>1674/PV</v>
      </c>
      <c r="B1317" s="4" t="str">
        <f>IFERROR(__xludf.DUMMYFUNCTION("""COMPUTED_VALUE"""),"Panel Led verde semaforos B - C 430208018")</f>
        <v>Panel Led verde semaforos B - C 430208018</v>
      </c>
      <c r="C1317" s="4">
        <f>IFERROR(__xludf.DUMMYFUNCTION("""COMPUTED_VALUE"""),111.45)</f>
        <v>111.45</v>
      </c>
      <c r="D1317" s="4"/>
      <c r="E1317" s="4" t="str">
        <f>IFERROR(__xludf.DUMMYFUNCTION("""COMPUTED_VALUE"""),"Sin precio neto")</f>
        <v>Sin precio neto</v>
      </c>
    </row>
    <row r="1318">
      <c r="A1318" s="4" t="str">
        <f>IFERROR(__xludf.DUMMYFUNCTION("""COMPUTED_VALUE"""),"1674/V")</f>
        <v>1674/V</v>
      </c>
      <c r="B1318" s="4" t="str">
        <f>IFERROR(__xludf.DUMMYFUNCTION("""COMPUTED_VALUE"""),"Visera amarilla semaforo B - C 430126009")</f>
        <v>Visera amarilla semaforo B - C 430126009</v>
      </c>
      <c r="C1318" s="4">
        <f>IFERROR(__xludf.DUMMYFUNCTION("""COMPUTED_VALUE"""),27.1)</f>
        <v>27.1</v>
      </c>
      <c r="D1318" s="4"/>
      <c r="E1318" s="4" t="str">
        <f>IFERROR(__xludf.DUMMYFUNCTION("""COMPUTED_VALUE"""),"Sin precio neto")</f>
        <v>Sin precio neto</v>
      </c>
    </row>
    <row r="1319">
      <c r="A1319" s="4" t="str">
        <f>IFERROR(__xludf.DUMMYFUNCTION("""COMPUTED_VALUE"""),"1674C")</f>
        <v>1674C</v>
      </c>
      <c r="B1319" s="4" t="str">
        <f>IFERROR(__xludf.DUMMYFUNCTION("""COMPUTED_VALUE"""),"Cabeza semáforo3 luces 431231016")</f>
        <v>Cabeza semáforo3 luces 431231016</v>
      </c>
      <c r="C1319" s="4">
        <f>IFERROR(__xludf.DUMMYFUNCTION("""COMPUTED_VALUE"""),390.0)</f>
        <v>390</v>
      </c>
      <c r="D1319" s="4"/>
      <c r="E1319" s="4" t="str">
        <f>IFERROR(__xludf.DUMMYFUNCTION("""COMPUTED_VALUE"""),"Sin precio neto")</f>
        <v>Sin precio neto</v>
      </c>
    </row>
    <row r="1320">
      <c r="A1320" s="4" t="str">
        <f>IFERROR(__xludf.DUMMYFUNCTION("""COMPUTED_VALUE"""),"1674D")</f>
        <v>1674D</v>
      </c>
      <c r="B1320" s="4" t="str">
        <f>IFERROR(__xludf.DUMMYFUNCTION("""COMPUTED_VALUE"""),"Recambio pie semáforo 400900000")</f>
        <v>Recambio pie semáforo 400900000</v>
      </c>
      <c r="C1320" s="4">
        <f>IFERROR(__xludf.DUMMYFUNCTION("""COMPUTED_VALUE"""),35.0)</f>
        <v>35</v>
      </c>
      <c r="D1320" s="4"/>
      <c r="E1320" s="4" t="str">
        <f>IFERROR(__xludf.DUMMYFUNCTION("""COMPUTED_VALUE"""),"Sin precio neto")</f>
        <v>Sin precio neto</v>
      </c>
    </row>
    <row r="1321">
      <c r="A1321" s="4" t="str">
        <f>IFERROR(__xludf.DUMMYFUNCTION("""COMPUTED_VALUE"""),"1674E")</f>
        <v>1674E</v>
      </c>
      <c r="B1321" s="4" t="str">
        <f>IFERROR(__xludf.DUMMYFUNCTION("""COMPUTED_VALUE"""),"Recambio poste enganche base semáforo 250303006")</f>
        <v>Recambio poste enganche base semáforo 250303006</v>
      </c>
      <c r="C1321" s="4">
        <f>IFERROR(__xludf.DUMMYFUNCTION("""COMPUTED_VALUE"""),70.0)</f>
        <v>70</v>
      </c>
      <c r="D1321" s="4"/>
      <c r="E1321" s="4" t="str">
        <f>IFERROR(__xludf.DUMMYFUNCTION("""COMPUTED_VALUE"""),"Sin precio neto")</f>
        <v>Sin precio neto</v>
      </c>
    </row>
    <row r="1322">
      <c r="A1322" s="4" t="str">
        <f>IFERROR(__xludf.DUMMYFUNCTION("""COMPUTED_VALUE"""),"1674F")</f>
        <v>1674F</v>
      </c>
      <c r="B1322" s="4" t="str">
        <f>IFERROR(__xludf.DUMMYFUNCTION("""COMPUTED_VALUE"""),"Recambio rueda semáforo 409000006")</f>
        <v>Recambio rueda semáforo 409000006</v>
      </c>
      <c r="C1322" s="4">
        <f>IFERROR(__xludf.DUMMYFUNCTION("""COMPUTED_VALUE"""),27.0)</f>
        <v>27</v>
      </c>
      <c r="D1322" s="4"/>
      <c r="E1322" s="4" t="str">
        <f>IFERROR(__xludf.DUMMYFUNCTION("""COMPUTED_VALUE"""),"Sin precio neto")</f>
        <v>Sin precio neto</v>
      </c>
    </row>
    <row r="1323">
      <c r="A1323" s="4" t="str">
        <f>IFERROR(__xludf.DUMMYFUNCTION("""COMPUTED_VALUE"""),"1674G")</f>
        <v>1674G</v>
      </c>
      <c r="B1323" s="4" t="str">
        <f>IFERROR(__xludf.DUMMYFUNCTION("""COMPUTED_VALUE"""),"Pasador de seguridad semáforo 251636400")</f>
        <v>Pasador de seguridad semáforo 251636400</v>
      </c>
      <c r="C1323" s="4">
        <f>IFERROR(__xludf.DUMMYFUNCTION("""COMPUTED_VALUE"""),6.4)</f>
        <v>6.4</v>
      </c>
      <c r="D1323" s="4"/>
      <c r="E1323" s="4" t="str">
        <f>IFERROR(__xludf.DUMMYFUNCTION("""COMPUTED_VALUE"""),"Sin precio neto")</f>
        <v>Sin precio neto</v>
      </c>
    </row>
    <row r="1324">
      <c r="A1324" s="4" t="str">
        <f>IFERROR(__xludf.DUMMYFUNCTION("""COMPUTED_VALUE"""),"1674H")</f>
        <v>1674H</v>
      </c>
      <c r="B1324" s="4" t="str">
        <f>IFERROR(__xludf.DUMMYFUNCTION("""COMPUTED_VALUE"""),"Recambio cierre semáforo 1674")</f>
        <v>Recambio cierre semáforo 1674</v>
      </c>
      <c r="C1324" s="4">
        <f>IFERROR(__xludf.DUMMYFUNCTION("""COMPUTED_VALUE"""),24.0)</f>
        <v>24</v>
      </c>
      <c r="D1324" s="4"/>
      <c r="E1324" s="4" t="str">
        <f>IFERROR(__xludf.DUMMYFUNCTION("""COMPUTED_VALUE"""),"Sin precio neto")</f>
        <v>Sin precio neto</v>
      </c>
    </row>
    <row r="1325">
      <c r="A1325" s="4" t="str">
        <f>IFERROR(__xludf.DUMMYFUNCTION("""COMPUTED_VALUE"""),"1674K")</f>
        <v>1674K</v>
      </c>
      <c r="B1325" s="4" t="str">
        <f>IFERROR(__xludf.DUMMYFUNCTION("""COMPUTED_VALUE"""),"Kit solar 50w alimentación semáforos")</f>
        <v>Kit solar 50w alimentación semáforos</v>
      </c>
      <c r="C1325" s="4">
        <f>IFERROR(__xludf.DUMMYFUNCTION("""COMPUTED_VALUE"""),1050.0)</f>
        <v>1050</v>
      </c>
      <c r="D1325" s="4"/>
      <c r="E1325" s="4" t="str">
        <f>IFERROR(__xludf.DUMMYFUNCTION("""COMPUTED_VALUE"""),"Sin precio neto")</f>
        <v>Sin precio neto</v>
      </c>
    </row>
    <row r="1326">
      <c r="A1326" s="4" t="str">
        <f>IFERROR(__xludf.DUMMYFUNCTION("""COMPUTED_VALUE"""),"1674Z")</f>
        <v>1674Z</v>
      </c>
      <c r="B1326" s="4" t="str">
        <f>IFERROR(__xludf.DUMMYFUNCTION("""COMPUTED_VALUE"""),"Conexión semáforos batería")</f>
        <v>Conexión semáforos batería</v>
      </c>
      <c r="C1326" s="4">
        <f>IFERROR(__xludf.DUMMYFUNCTION("""COMPUTED_VALUE"""),18.0)</f>
        <v>18</v>
      </c>
      <c r="D1326" s="4"/>
      <c r="E1326" s="4" t="str">
        <f>IFERROR(__xludf.DUMMYFUNCTION("""COMPUTED_VALUE"""),"Sin precio neto")</f>
        <v>Sin precio neto</v>
      </c>
    </row>
    <row r="1327">
      <c r="A1327" s="4" t="str">
        <f>IFERROR(__xludf.DUMMYFUNCTION("""COMPUTED_VALUE"""),"1676")</f>
        <v>1676</v>
      </c>
      <c r="B1327" s="4" t="str">
        <f>IFERROR(__xludf.DUMMYFUNCTION("""COMPUTED_VALUE"""),"Secuencial 5 luces Inalambricas rafiofrecuencia")</f>
        <v>Secuencial 5 luces Inalambricas rafiofrecuencia</v>
      </c>
      <c r="C1327" s="4">
        <f>IFERROR(__xludf.DUMMYFUNCTION("""COMPUTED_VALUE"""),734.475)</f>
        <v>734.475</v>
      </c>
      <c r="D1327" s="4"/>
      <c r="E1327" s="4" t="str">
        <f>IFERROR(__xludf.DUMMYFUNCTION("""COMPUTED_VALUE"""),"Sin precio neto")</f>
        <v>Sin precio neto</v>
      </c>
    </row>
    <row r="1328">
      <c r="A1328" s="4" t="str">
        <f>IFERROR(__xludf.DUMMYFUNCTION("""COMPUTED_VALUE"""),"1676/BAL")</f>
        <v>1676/BAL</v>
      </c>
      <c r="B1328" s="4" t="str">
        <f>IFERROR(__xludf.DUMMYFUNCTION("""COMPUTED_VALUE"""),"Baliza secuencia radiofrecuencia")</f>
        <v>Baliza secuencia radiofrecuencia</v>
      </c>
      <c r="C1328" s="4">
        <f>IFERROR(__xludf.DUMMYFUNCTION("""COMPUTED_VALUE"""),141.75)</f>
        <v>141.75</v>
      </c>
      <c r="D1328" s="4"/>
      <c r="E1328" s="4" t="str">
        <f>IFERROR(__xludf.DUMMYFUNCTION("""COMPUTED_VALUE"""),"Sin precio neto")</f>
        <v>Sin precio neto</v>
      </c>
    </row>
    <row r="1329">
      <c r="A1329" s="4" t="str">
        <f>IFERROR(__xludf.DUMMYFUNCTION("""COMPUTED_VALUE"""),"1676/LEN")</f>
        <v>1676/LEN</v>
      </c>
      <c r="B1329" s="4" t="str">
        <f>IFERROR(__xludf.DUMMYFUNCTION("""COMPUTED_VALUE"""),"Lente delantera baliza radiofrecuencia")</f>
        <v>Lente delantera baliza radiofrecuencia</v>
      </c>
      <c r="C1329" s="4">
        <f>IFERROR(__xludf.DUMMYFUNCTION("""COMPUTED_VALUE"""),7.875)</f>
        <v>7.875</v>
      </c>
      <c r="D1329" s="4"/>
      <c r="E1329" s="4" t="str">
        <f>IFERROR(__xludf.DUMMYFUNCTION("""COMPUTED_VALUE"""),"Sin precio neto")</f>
        <v>Sin precio neto</v>
      </c>
    </row>
    <row r="1330">
      <c r="A1330" s="4" t="str">
        <f>IFERROR(__xludf.DUMMYFUNCTION("""COMPUTED_VALUE"""),"1677")</f>
        <v>1677</v>
      </c>
      <c r="B1330" s="4" t="str">
        <f>IFERROR(__xludf.DUMMYFUNCTION("""COMPUTED_VALUE"""),"Secuencial completo 5 elementos inalambricos por")</f>
        <v>Secuencial completo 5 elementos inalambricos por</v>
      </c>
      <c r="C1330" s="4">
        <f>IFERROR(__xludf.DUMMYFUNCTION("""COMPUTED_VALUE"""),1075.0)</f>
        <v>1075</v>
      </c>
      <c r="D1330" s="4"/>
      <c r="E1330" s="4" t="str">
        <f>IFERROR(__xludf.DUMMYFUNCTION("""COMPUTED_VALUE"""),"Sin precio neto")</f>
        <v>Sin precio neto</v>
      </c>
    </row>
    <row r="1331">
      <c r="A1331" s="4" t="str">
        <f>IFERROR(__xludf.DUMMYFUNCTION("""COMPUTED_VALUE"""),"1678")</f>
        <v>1678</v>
      </c>
      <c r="B1331" s="4" t="str">
        <f>IFERROR(__xludf.DUMMYFUNCTION("""COMPUTED_VALUE"""),"Abanderado electromecanico")</f>
        <v>Abanderado electromecanico</v>
      </c>
      <c r="C1331" s="4">
        <f>IFERROR(__xludf.DUMMYFUNCTION("""COMPUTED_VALUE"""),850.0)</f>
        <v>850</v>
      </c>
      <c r="D1331" s="4"/>
      <c r="E1331" s="4" t="str">
        <f>IFERROR(__xludf.DUMMYFUNCTION("""COMPUTED_VALUE"""),"Sin precio neto")</f>
        <v>Sin precio neto</v>
      </c>
    </row>
    <row r="1332">
      <c r="A1332" s="4" t="str">
        <f>IFERROR(__xludf.DUMMYFUNCTION("""COMPUTED_VALUE"""),"1679")</f>
        <v>1679</v>
      </c>
      <c r="B1332" s="4" t="str">
        <f>IFERROR(__xludf.DUMMYFUNCTION("""COMPUTED_VALUE"""),"Juego centralitas electronicas semaforo mod. B y C")</f>
        <v>Juego centralitas electronicas semaforo mod. B y C</v>
      </c>
      <c r="C1332" s="4">
        <f>IFERROR(__xludf.DUMMYFUNCTION("""COMPUTED_VALUE"""),340.0)</f>
        <v>340</v>
      </c>
      <c r="D1332" s="4"/>
      <c r="E1332" s="4" t="str">
        <f>IFERROR(__xludf.DUMMYFUNCTION("""COMPUTED_VALUE"""),"Sin precio neto")</f>
        <v>Sin precio neto</v>
      </c>
    </row>
    <row r="1333">
      <c r="A1333" s="4" t="str">
        <f>IFERROR(__xludf.DUMMYFUNCTION("""COMPUTED_VALUE"""),"1682")</f>
        <v>1682</v>
      </c>
      <c r="B1333" s="4" t="str">
        <f>IFERROR(__xludf.DUMMYFUNCTION("""COMPUTED_VALUE"""),"Rotativo Halog.55 W 12V Mod. Plus (iman+ ventosa)")</f>
        <v>Rotativo Halog.55 W 12V Mod. Plus (iman+ ventosa)</v>
      </c>
      <c r="C1333" s="4">
        <f>IFERROR(__xludf.DUMMYFUNCTION("""COMPUTED_VALUE"""),36.83)</f>
        <v>36.83</v>
      </c>
      <c r="D1333" s="4"/>
      <c r="E1333" s="4" t="str">
        <f>IFERROR(__xludf.DUMMYFUNCTION("""COMPUTED_VALUE"""),"Sin precio neto")</f>
        <v>Sin precio neto</v>
      </c>
    </row>
    <row r="1334">
      <c r="A1334" s="4" t="str">
        <f>IFERROR(__xludf.DUMMYFUNCTION("""COMPUTED_VALUE"""),"1682/ALARG")</f>
        <v>1682/ALARG</v>
      </c>
      <c r="B1334" s="4" t="str">
        <f>IFERROR(__xludf.DUMMYFUNCTION("""COMPUTED_VALUE"""),"Cable rizado alargadera para Rotativo Mod. Plus")</f>
        <v>Cable rizado alargadera para Rotativo Mod. Plus</v>
      </c>
      <c r="C1334" s="4">
        <f>IFERROR(__xludf.DUMMYFUNCTION("""COMPUTED_VALUE"""),9.0)</f>
        <v>9</v>
      </c>
      <c r="D1334" s="4"/>
      <c r="E1334" s="4" t="str">
        <f>IFERROR(__xludf.DUMMYFUNCTION("""COMPUTED_VALUE"""),"Sin precio neto")</f>
        <v>Sin precio neto</v>
      </c>
    </row>
    <row r="1335">
      <c r="A1335" s="4" t="str">
        <f>IFERROR(__xludf.DUMMYFUNCTION("""COMPUTED_VALUE"""),"1683")</f>
        <v>1683</v>
      </c>
      <c r="B1335" s="4" t="str">
        <f>IFERROR(__xludf.DUMMYFUNCTION("""COMPUTED_VALUE"""),"Juego 3 focos Leds 10 cm para señal metalica")</f>
        <v>Juego 3 focos Leds 10 cm para señal metalica</v>
      </c>
      <c r="C1335" s="4">
        <f>IFERROR(__xludf.DUMMYFUNCTION("""COMPUTED_VALUE"""),295.17)</f>
        <v>295.17</v>
      </c>
      <c r="D1335" s="4"/>
      <c r="E1335" s="4" t="str">
        <f>IFERROR(__xludf.DUMMYFUNCTION("""COMPUTED_VALUE"""),"Sin precio neto")</f>
        <v>Sin precio neto</v>
      </c>
    </row>
    <row r="1336">
      <c r="A1336" s="4" t="str">
        <f>IFERROR(__xludf.DUMMYFUNCTION("""COMPUTED_VALUE"""),"1684")</f>
        <v>1684</v>
      </c>
      <c r="B1336" s="4" t="str">
        <f>IFERROR(__xludf.DUMMYFUNCTION("""COMPUTED_VALUE"""),"Rotativo Halogeno magnet. Mod. BASIC")</f>
        <v>Rotativo Halogeno magnet. Mod. BASIC</v>
      </c>
      <c r="C1336" s="4">
        <f>IFERROR(__xludf.DUMMYFUNCTION("""COMPUTED_VALUE"""),14.0)</f>
        <v>14</v>
      </c>
      <c r="D1336" s="4"/>
      <c r="E1336" s="4" t="str">
        <f>IFERROR(__xludf.DUMMYFUNCTION("""COMPUTED_VALUE"""),"Sin precio neto")</f>
        <v>Sin precio neto</v>
      </c>
    </row>
    <row r="1337">
      <c r="A1337" s="4" t="str">
        <f>IFERROR(__xludf.DUMMYFUNCTION("""COMPUTED_VALUE"""),"1686")</f>
        <v>1686</v>
      </c>
      <c r="B1337" s="4" t="str">
        <f>IFERROR(__xludf.DUMMYFUNCTION("""COMPUTED_VALUE"""),"Conjunto Panel R/B + base caucho")</f>
        <v>Conjunto Panel R/B + base caucho</v>
      </c>
      <c r="C1337" s="4">
        <f>IFERROR(__xludf.DUMMYFUNCTION("""COMPUTED_VALUE"""),41.0)</f>
        <v>41</v>
      </c>
      <c r="D1337" s="4"/>
      <c r="E1337" s="4" t="str">
        <f>IFERROR(__xludf.DUMMYFUNCTION("""COMPUTED_VALUE"""),"Sin precio neto")</f>
        <v>Sin precio neto</v>
      </c>
    </row>
    <row r="1338">
      <c r="A1338" s="4" t="str">
        <f>IFERROR(__xludf.DUMMYFUNCTION("""COMPUTED_VALUE"""),"1687")</f>
        <v>1687</v>
      </c>
      <c r="B1338" s="4" t="str">
        <f>IFERROR(__xludf.DUMMYFUNCTION("""COMPUTED_VALUE"""),"Rotativo fijo carretilla elevadora 21W 12V A/214")</f>
        <v>Rotativo fijo carretilla elevadora 21W 12V A/214</v>
      </c>
      <c r="C1338" s="4">
        <f>IFERROR(__xludf.DUMMYFUNCTION("""COMPUTED_VALUE"""),26.25)</f>
        <v>26.25</v>
      </c>
      <c r="D1338" s="4"/>
      <c r="E1338" s="4" t="str">
        <f>IFERROR(__xludf.DUMMYFUNCTION("""COMPUTED_VALUE"""),"Sin precio neto")</f>
        <v>Sin precio neto</v>
      </c>
    </row>
    <row r="1339">
      <c r="A1339" s="4" t="str">
        <f>IFERROR(__xludf.DUMMYFUNCTION("""COMPUTED_VALUE"""),"1688")</f>
        <v>1688</v>
      </c>
      <c r="B1339" s="4" t="str">
        <f>IFERROR(__xludf.DUMMYFUNCTION("""COMPUTED_VALUE"""),"Panel conjunto 5 Leds para vehículos")</f>
        <v>Panel conjunto 5 Leds para vehículos</v>
      </c>
      <c r="C1339" s="4">
        <f>IFERROR(__xludf.DUMMYFUNCTION("""COMPUTED_VALUE"""),907.2)</f>
        <v>907.2</v>
      </c>
      <c r="D1339" s="4"/>
      <c r="E1339" s="4" t="str">
        <f>IFERROR(__xludf.DUMMYFUNCTION("""COMPUTED_VALUE"""),"Sin precio neto")</f>
        <v>Sin precio neto</v>
      </c>
    </row>
    <row r="1340">
      <c r="A1340" s="4" t="str">
        <f>IFERROR(__xludf.DUMMYFUNCTION("""COMPUTED_VALUE"""),"1689")</f>
        <v>1689</v>
      </c>
      <c r="B1340" s="4" t="str">
        <f>IFERROR(__xludf.DUMMYFUNCTION("""COMPUTED_VALUE"""),"Linterna Super-led Basic 12/220v 3 W+ cono amarillo")</f>
        <v>Linterna Super-led Basic 12/220v 3 W+ cono amarillo</v>
      </c>
      <c r="C1340" s="4">
        <f>IFERROR(__xludf.DUMMYFUNCTION("""COMPUTED_VALUE"""),26.0)</f>
        <v>26</v>
      </c>
      <c r="D1340" s="4"/>
      <c r="E1340" s="4" t="str">
        <f>IFERROR(__xludf.DUMMYFUNCTION("""COMPUTED_VALUE"""),"Sin precio neto")</f>
        <v>Sin precio neto</v>
      </c>
    </row>
    <row r="1341">
      <c r="A1341" s="4" t="str">
        <f>IFERROR(__xludf.DUMMYFUNCTION("""COMPUTED_VALUE"""),"1689B")</f>
        <v>1689B</v>
      </c>
      <c r="B1341" s="4" t="str">
        <f>IFERROR(__xludf.DUMMYFUNCTION("""COMPUTED_VALUE"""),"Batería para Linterna recargable Superled Basic")</f>
        <v>Batería para Linterna recargable Superled Basic</v>
      </c>
      <c r="C1341" s="4">
        <f>IFERROR(__xludf.DUMMYFUNCTION("""COMPUTED_VALUE"""),7.0)</f>
        <v>7</v>
      </c>
      <c r="D1341" s="4"/>
      <c r="E1341" s="4" t="str">
        <f>IFERROR(__xludf.DUMMYFUNCTION("""COMPUTED_VALUE"""),"Sin precio neto")</f>
        <v>Sin precio neto</v>
      </c>
    </row>
    <row r="1342">
      <c r="A1342" s="4" t="str">
        <f>IFERROR(__xludf.DUMMYFUNCTION("""COMPUTED_VALUE"""),"1689C")</f>
        <v>1689C</v>
      </c>
      <c r="B1342" s="4" t="str">
        <f>IFERROR(__xludf.DUMMYFUNCTION("""COMPUTED_VALUE"""),"Cono para linterna recargable Superled Basic")</f>
        <v>Cono para linterna recargable Superled Basic</v>
      </c>
      <c r="C1342" s="4">
        <f>IFERROR(__xludf.DUMMYFUNCTION("""COMPUTED_VALUE"""),6.0)</f>
        <v>6</v>
      </c>
      <c r="D1342" s="4"/>
      <c r="E1342" s="4" t="str">
        <f>IFERROR(__xludf.DUMMYFUNCTION("""COMPUTED_VALUE"""),"Sin precio neto")</f>
        <v>Sin precio neto</v>
      </c>
    </row>
    <row r="1343">
      <c r="A1343" s="4" t="str">
        <f>IFERROR(__xludf.DUMMYFUNCTION("""COMPUTED_VALUE"""),"1690")</f>
        <v>1690</v>
      </c>
      <c r="B1343" s="4" t="str">
        <f>IFERROR(__xludf.DUMMYFUNCTION("""COMPUTED_VALUE"""),"Linterna Super-led Polilux 12-220v 3W")</f>
        <v>Linterna Super-led Polilux 12-220v 3W</v>
      </c>
      <c r="C1343" s="4">
        <f>IFERROR(__xludf.DUMMYFUNCTION("""COMPUTED_VALUE"""),249.9)</f>
        <v>249.9</v>
      </c>
      <c r="D1343" s="4"/>
      <c r="E1343" s="4" t="str">
        <f>IFERROR(__xludf.DUMMYFUNCTION("""COMPUTED_VALUE"""),"Sin precio neto")</f>
        <v>Sin precio neto</v>
      </c>
    </row>
    <row r="1344">
      <c r="A1344" s="4" t="str">
        <f>IFERROR(__xludf.DUMMYFUNCTION("""COMPUTED_VALUE"""),"1691")</f>
        <v>1691</v>
      </c>
      <c r="B1344" s="4" t="str">
        <f>IFERROR(__xludf.DUMMYFUNCTION("""COMPUTED_VALUE"""),"Paleta difusora Stop-Paso p/linterna profesional")</f>
        <v>Paleta difusora Stop-Paso p/linterna profesional</v>
      </c>
      <c r="C1344" s="4">
        <f>IFERROR(__xludf.DUMMYFUNCTION("""COMPUTED_VALUE"""),34.65)</f>
        <v>34.65</v>
      </c>
      <c r="D1344" s="4"/>
      <c r="E1344" s="4" t="str">
        <f>IFERROR(__xludf.DUMMYFUNCTION("""COMPUTED_VALUE"""),"Sin precio neto")</f>
        <v>Sin precio neto</v>
      </c>
    </row>
    <row r="1345">
      <c r="A1345" s="4" t="str">
        <f>IFERROR(__xludf.DUMMYFUNCTION("""COMPUTED_VALUE"""),"1692")</f>
        <v>1692</v>
      </c>
      <c r="B1345" s="4" t="str">
        <f>IFERROR(__xludf.DUMMYFUNCTION("""COMPUTED_VALUE"""),"Cono amarillo señalizacion p/linterna profesional")</f>
        <v>Cono amarillo señalizacion p/linterna profesional</v>
      </c>
      <c r="C1345" s="4">
        <f>IFERROR(__xludf.DUMMYFUNCTION("""COMPUTED_VALUE"""),6.825)</f>
        <v>6.825</v>
      </c>
      <c r="D1345" s="4"/>
      <c r="E1345" s="4" t="str">
        <f>IFERROR(__xludf.DUMMYFUNCTION("""COMPUTED_VALUE"""),"Sin precio neto")</f>
        <v>Sin precio neto</v>
      </c>
    </row>
    <row r="1346">
      <c r="A1346" s="4" t="str">
        <f>IFERROR(__xludf.DUMMYFUNCTION("""COMPUTED_VALUE"""),"1693")</f>
        <v>1693</v>
      </c>
      <c r="B1346" s="4" t="str">
        <f>IFERROR(__xludf.DUMMYFUNCTION("""COMPUTED_VALUE"""),"Avisador acústico para carretilla 97 db")</f>
        <v>Avisador acústico para carretilla 97 db</v>
      </c>
      <c r="C1346" s="4">
        <f>IFERROR(__xludf.DUMMYFUNCTION("""COMPUTED_VALUE"""),26.25)</f>
        <v>26.25</v>
      </c>
      <c r="D1346" s="4"/>
      <c r="E1346" s="4" t="str">
        <f>IFERROR(__xludf.DUMMYFUNCTION("""COMPUTED_VALUE"""),"Sin precio neto")</f>
        <v>Sin precio neto</v>
      </c>
    </row>
    <row r="1347">
      <c r="A1347" s="4" t="str">
        <f>IFERROR(__xludf.DUMMYFUNCTION("""COMPUTED_VALUE"""),"1694")</f>
        <v>1694</v>
      </c>
      <c r="B1347" s="4" t="str">
        <f>IFERROR(__xludf.DUMMYFUNCTION("""COMPUTED_VALUE"""),"Rotativo Led 12V base magnetica + ventosa")</f>
        <v>Rotativo Led 12V base magnetica + ventosa</v>
      </c>
      <c r="C1347" s="4">
        <f>IFERROR(__xludf.DUMMYFUNCTION("""COMPUTED_VALUE"""),50.4)</f>
        <v>50.4</v>
      </c>
      <c r="D1347" s="4"/>
      <c r="E1347" s="4" t="str">
        <f>IFERROR(__xludf.DUMMYFUNCTION("""COMPUTED_VALUE"""),"Sin precio neto")</f>
        <v>Sin precio neto</v>
      </c>
    </row>
    <row r="1348">
      <c r="A1348" s="4" t="str">
        <f>IFERROR(__xludf.DUMMYFUNCTION("""COMPUTED_VALUE"""),"1697")</f>
        <v>1697</v>
      </c>
      <c r="B1348" s="4" t="str">
        <f>IFERROR(__xludf.DUMMYFUNCTION("""COMPUTED_VALUE"""),"Baston luminoso LED ambar")</f>
        <v>Baston luminoso LED ambar</v>
      </c>
      <c r="C1348" s="4">
        <f>IFERROR(__xludf.DUMMYFUNCTION("""COMPUTED_VALUE"""),7.75)</f>
        <v>7.75</v>
      </c>
      <c r="D1348" s="4">
        <f>IFERROR(__xludf.DUMMYFUNCTION("""COMPUTED_VALUE"""),4.5)</f>
        <v>4.5</v>
      </c>
      <c r="E1348" s="4" t="str">
        <f>IFERROR(__xludf.DUMMYFUNCTION("""COMPUTED_VALUE"""),"Neto: 4,50 € (a partir de 50 uds.)")</f>
        <v>Neto: 4,50 € (a partir de 50 uds.)</v>
      </c>
    </row>
    <row r="1349">
      <c r="A1349" s="4" t="str">
        <f>IFERROR(__xludf.DUMMYFUNCTION("""COMPUTED_VALUE"""),"1700")</f>
        <v>1700</v>
      </c>
      <c r="B1349" s="4" t="str">
        <f>IFERROR(__xludf.DUMMYFUNCTION("""COMPUTED_VALUE"""),"Panel direccional 60x60 8 focos Led 100 mm")</f>
        <v>Panel direccional 60x60 8 focos Led 100 mm</v>
      </c>
      <c r="C1349" s="4">
        <f>IFERROR(__xludf.DUMMYFUNCTION("""COMPUTED_VALUE"""),517.65)</f>
        <v>517.65</v>
      </c>
      <c r="D1349" s="4"/>
      <c r="E1349" s="4" t="str">
        <f>IFERROR(__xludf.DUMMYFUNCTION("""COMPUTED_VALUE"""),"Sin precio neto")</f>
        <v>Sin precio neto</v>
      </c>
    </row>
    <row r="1350">
      <c r="A1350" s="4" t="str">
        <f>IFERROR(__xludf.DUMMYFUNCTION("""COMPUTED_VALUE"""),"1701")</f>
        <v>1701</v>
      </c>
      <c r="B1350" s="4" t="str">
        <f>IFERROR(__xludf.DUMMYFUNCTION("""COMPUTED_VALUE"""),"Panel direccional 90x90 8 Focos Led 200 mm")</f>
        <v>Panel direccional 90x90 8 Focos Led 200 mm</v>
      </c>
      <c r="C1350" s="4">
        <f>IFERROR(__xludf.DUMMYFUNCTION("""COMPUTED_VALUE"""),787.5)</f>
        <v>787.5</v>
      </c>
      <c r="D1350" s="4"/>
      <c r="E1350" s="4" t="str">
        <f>IFERROR(__xludf.DUMMYFUNCTION("""COMPUTED_VALUE"""),"Sin precio neto")</f>
        <v>Sin precio neto</v>
      </c>
    </row>
    <row r="1351">
      <c r="A1351" s="4" t="str">
        <f>IFERROR(__xludf.DUMMYFUNCTION("""COMPUTED_VALUE"""),"1900")</f>
        <v>1900</v>
      </c>
      <c r="B1351" s="4" t="str">
        <f>IFERROR(__xludf.DUMMYFUNCTION("""COMPUTED_VALUE"""),"Reductor veloc. proteccion cables 90x50x5cm")</f>
        <v>Reductor veloc. proteccion cables 90x50x5cm</v>
      </c>
      <c r="C1351" s="4">
        <f>IFERROR(__xludf.DUMMYFUNCTION("""COMPUTED_VALUE"""),45.0)</f>
        <v>45</v>
      </c>
      <c r="D1351" s="4"/>
      <c r="E1351" s="4" t="str">
        <f>IFERROR(__xludf.DUMMYFUNCTION("""COMPUTED_VALUE"""),"Sin precio neto")</f>
        <v>Sin precio neto</v>
      </c>
    </row>
    <row r="1352">
      <c r="A1352" s="4" t="str">
        <f>IFERROR(__xludf.DUMMYFUNCTION("""COMPUTED_VALUE"""),"1900B")</f>
        <v>1900B</v>
      </c>
      <c r="B1352" s="4" t="str">
        <f>IFERROR(__xludf.DUMMYFUNCTION("""COMPUTED_VALUE"""),"Reductor veloc. proteccion cables 90x25x4,5 cm")</f>
        <v>Reductor veloc. proteccion cables 90x25x4,5 cm</v>
      </c>
      <c r="C1352" s="4">
        <f>IFERROR(__xludf.DUMMYFUNCTION("""COMPUTED_VALUE"""),40.5)</f>
        <v>40.5</v>
      </c>
      <c r="D1352" s="4"/>
      <c r="E1352" s="4" t="str">
        <f>IFERROR(__xludf.DUMMYFUNCTION("""COMPUTED_VALUE"""),"Sin precio neto")</f>
        <v>Sin precio neto</v>
      </c>
    </row>
    <row r="1353">
      <c r="A1353" s="4" t="str">
        <f>IFERROR(__xludf.DUMMYFUNCTION("""COMPUTED_VALUE"""),"1900C")</f>
        <v>1900C</v>
      </c>
      <c r="B1353" s="4" t="str">
        <f>IFERROR(__xludf.DUMMYFUNCTION("""COMPUTED_VALUE"""),"Rampa proteccion cables 30x82x8,5 cm")</f>
        <v>Rampa proteccion cables 30x82x8,5 cm</v>
      </c>
      <c r="C1353" s="4">
        <f>IFERROR(__xludf.DUMMYFUNCTION("""COMPUTED_VALUE"""),41.75)</f>
        <v>41.75</v>
      </c>
      <c r="D1353" s="4"/>
      <c r="E1353" s="4" t="str">
        <f>IFERROR(__xludf.DUMMYFUNCTION("""COMPUTED_VALUE"""),"Sin precio neto")</f>
        <v>Sin precio neto</v>
      </c>
    </row>
    <row r="1354">
      <c r="A1354" s="4" t="str">
        <f>IFERROR(__xludf.DUMMYFUNCTION("""COMPUTED_VALUE"""),"1900D")</f>
        <v>1900D</v>
      </c>
      <c r="B1354" s="4" t="str">
        <f>IFERROR(__xludf.DUMMYFUNCTION("""COMPUTED_VALUE"""),"Reductor Pasacables MOD D")</f>
        <v>Reductor Pasacables MOD D</v>
      </c>
      <c r="C1354" s="4">
        <f>IFERROR(__xludf.DUMMYFUNCTION("""COMPUTED_VALUE"""),39.5)</f>
        <v>39.5</v>
      </c>
      <c r="D1354" s="4"/>
      <c r="E1354" s="4" t="str">
        <f>IFERROR(__xludf.DUMMYFUNCTION("""COMPUTED_VALUE"""),"Sin precio neto")</f>
        <v>Sin precio neto</v>
      </c>
    </row>
    <row r="1355">
      <c r="A1355" s="4" t="str">
        <f>IFERROR(__xludf.DUMMYFUNCTION("""COMPUTED_VALUE"""),"1901H")</f>
        <v>1901H</v>
      </c>
      <c r="B1355" s="4" t="str">
        <f>IFERROR(__xludf.DUMMYFUNCTION("""COMPUTED_VALUE"""),"Extremo reductor velocidad 25x50x3 cm Mod B H")</f>
        <v>Extremo reductor velocidad 25x50x3 cm Mod B H</v>
      </c>
      <c r="C1355" s="4">
        <f>IFERROR(__xludf.DUMMYFUNCTION("""COMPUTED_VALUE"""),15.0)</f>
        <v>15</v>
      </c>
      <c r="D1355" s="4"/>
      <c r="E1355" s="4" t="str">
        <f>IFERROR(__xludf.DUMMYFUNCTION("""COMPUTED_VALUE"""),"Sin precio neto")</f>
        <v>Sin precio neto</v>
      </c>
    </row>
    <row r="1356">
      <c r="A1356" s="4" t="str">
        <f>IFERROR(__xludf.DUMMYFUNCTION("""COMPUTED_VALUE"""),"1901M")</f>
        <v>1901M</v>
      </c>
      <c r="B1356" s="4" t="str">
        <f>IFERROR(__xludf.DUMMYFUNCTION("""COMPUTED_VALUE"""),"Extremo reductor velocidad 25x50x3 cm Mod B M")</f>
        <v>Extremo reductor velocidad 25x50x3 cm Mod B M</v>
      </c>
      <c r="C1356" s="4">
        <f>IFERROR(__xludf.DUMMYFUNCTION("""COMPUTED_VALUE"""),15.0)</f>
        <v>15</v>
      </c>
      <c r="D1356" s="4"/>
      <c r="E1356" s="4" t="str">
        <f>IFERROR(__xludf.DUMMYFUNCTION("""COMPUTED_VALUE"""),"Sin precio neto")</f>
        <v>Sin precio neto</v>
      </c>
    </row>
    <row r="1357">
      <c r="A1357" s="4" t="str">
        <f>IFERROR(__xludf.DUMMYFUNCTION("""COMPUTED_VALUE"""),"1902")</f>
        <v>1902</v>
      </c>
      <c r="B1357" s="4" t="str">
        <f>IFERROR(__xludf.DUMMYFUNCTION("""COMPUTED_VALUE"""),"Reductor Velocidad 50x50x3 cm. Mod. B")</f>
        <v>Reductor Velocidad 50x50x3 cm. Mod. B</v>
      </c>
      <c r="C1357" s="4">
        <f>IFERROR(__xludf.DUMMYFUNCTION("""COMPUTED_VALUE"""),25.18)</f>
        <v>25.18</v>
      </c>
      <c r="D1357" s="4"/>
      <c r="E1357" s="4" t="str">
        <f>IFERROR(__xludf.DUMMYFUNCTION("""COMPUTED_VALUE"""),"Sin precio neto")</f>
        <v>Sin precio neto</v>
      </c>
    </row>
    <row r="1358">
      <c r="A1358" s="4" t="str">
        <f>IFERROR(__xludf.DUMMYFUNCTION("""COMPUTED_VALUE"""),"1903")</f>
        <v>1903</v>
      </c>
      <c r="B1358" s="4" t="str">
        <f>IFERROR(__xludf.DUMMYFUNCTION("""COMPUTED_VALUE"""),"Reductor Velocidad 50x60x5 cm. Mod. A")</f>
        <v>Reductor Velocidad 50x60x5 cm. Mod. A</v>
      </c>
      <c r="C1358" s="4">
        <f>IFERROR(__xludf.DUMMYFUNCTION("""COMPUTED_VALUE"""),25.9)</f>
        <v>25.9</v>
      </c>
      <c r="D1358" s="4"/>
      <c r="E1358" s="4" t="str">
        <f>IFERROR(__xludf.DUMMYFUNCTION("""COMPUTED_VALUE"""),"Sin precio neto")</f>
        <v>Sin precio neto</v>
      </c>
    </row>
    <row r="1359">
      <c r="A1359" s="4" t="str">
        <f>IFERROR(__xludf.DUMMYFUNCTION("""COMPUTED_VALUE"""),"1903B")</f>
        <v>1903B</v>
      </c>
      <c r="B1359" s="4" t="str">
        <f>IFERROR(__xludf.DUMMYFUNCTION("""COMPUTED_VALUE"""),"Reductor Velocidad 50x60x3 cm. Mod. A")</f>
        <v>Reductor Velocidad 50x60x3 cm. Mod. A</v>
      </c>
      <c r="C1359" s="4">
        <f>IFERROR(__xludf.DUMMYFUNCTION("""COMPUTED_VALUE"""),16.0)</f>
        <v>16</v>
      </c>
      <c r="D1359" s="4"/>
      <c r="E1359" s="4" t="str">
        <f>IFERROR(__xludf.DUMMYFUNCTION("""COMPUTED_VALUE"""),"Sin precio neto")</f>
        <v>Sin precio neto</v>
      </c>
    </row>
    <row r="1360">
      <c r="A1360" s="4" t="str">
        <f>IFERROR(__xludf.DUMMYFUNCTION("""COMPUTED_VALUE"""),"1904")</f>
        <v>1904</v>
      </c>
      <c r="B1360" s="4" t="str">
        <f>IFERROR(__xludf.DUMMYFUNCTION("""COMPUTED_VALUE"""),"Extremo Reductor velocidad 25x60x5 cm Mod. A")</f>
        <v>Extremo Reductor velocidad 25x60x5 cm Mod. A</v>
      </c>
      <c r="C1360" s="4">
        <f>IFERROR(__xludf.DUMMYFUNCTION("""COMPUTED_VALUE"""),16.95)</f>
        <v>16.95</v>
      </c>
      <c r="D1360" s="4"/>
      <c r="E1360" s="4" t="str">
        <f>IFERROR(__xludf.DUMMYFUNCTION("""COMPUTED_VALUE"""),"Sin precio neto")</f>
        <v>Sin precio neto</v>
      </c>
    </row>
    <row r="1361">
      <c r="A1361" s="4" t="str">
        <f>IFERROR(__xludf.DUMMYFUNCTION("""COMPUTED_VALUE"""),"1904B")</f>
        <v>1904B</v>
      </c>
      <c r="B1361" s="4" t="str">
        <f>IFERROR(__xludf.DUMMYFUNCTION("""COMPUTED_VALUE"""),"Extremo reductor Velocidad 50x60x3 cm. Mod. A")</f>
        <v>Extremo reductor Velocidad 50x60x3 cm. Mod. A</v>
      </c>
      <c r="C1361" s="4">
        <f>IFERROR(__xludf.DUMMYFUNCTION("""COMPUTED_VALUE"""),11.25)</f>
        <v>11.25</v>
      </c>
      <c r="D1361" s="4"/>
      <c r="E1361" s="4" t="str">
        <f>IFERROR(__xludf.DUMMYFUNCTION("""COMPUTED_VALUE"""),"Sin precio neto")</f>
        <v>Sin precio neto</v>
      </c>
    </row>
    <row r="1362">
      <c r="A1362" s="4" t="str">
        <f>IFERROR(__xludf.DUMMYFUNCTION("""COMPUTED_VALUE"""),"1908")</f>
        <v>1908</v>
      </c>
      <c r="B1362" s="4" t="str">
        <f>IFERROR(__xludf.DUMMYFUNCTION("""COMPUTED_VALUE"""),"Reductor Velocidad 50x50x5 cm Mod. B")</f>
        <v>Reductor Velocidad 50x50x5 cm Mod. B</v>
      </c>
      <c r="C1362" s="4">
        <f>IFERROR(__xludf.DUMMYFUNCTION("""COMPUTED_VALUE"""),34.75)</f>
        <v>34.75</v>
      </c>
      <c r="D1362" s="4"/>
      <c r="E1362" s="4" t="str">
        <f>IFERROR(__xludf.DUMMYFUNCTION("""COMPUTED_VALUE"""),"Sin precio neto")</f>
        <v>Sin precio neto</v>
      </c>
    </row>
    <row r="1363">
      <c r="A1363" s="4" t="str">
        <f>IFERROR(__xludf.DUMMYFUNCTION("""COMPUTED_VALUE"""),"1909H")</f>
        <v>1909H</v>
      </c>
      <c r="B1363" s="4" t="str">
        <f>IFERROR(__xludf.DUMMYFUNCTION("""COMPUTED_VALUE"""),"Extremo reductor velocidad 25x50x5 cm Mod. B H")</f>
        <v>Extremo reductor velocidad 25x50x5 cm Mod. B H</v>
      </c>
      <c r="C1363" s="4">
        <f>IFERROR(__xludf.DUMMYFUNCTION("""COMPUTED_VALUE"""),19.95)</f>
        <v>19.95</v>
      </c>
      <c r="D1363" s="4"/>
      <c r="E1363" s="4" t="str">
        <f>IFERROR(__xludf.DUMMYFUNCTION("""COMPUTED_VALUE"""),"Sin precio neto")</f>
        <v>Sin precio neto</v>
      </c>
    </row>
    <row r="1364">
      <c r="A1364" s="4" t="str">
        <f>IFERROR(__xludf.DUMMYFUNCTION("""COMPUTED_VALUE"""),"1909M")</f>
        <v>1909M</v>
      </c>
      <c r="B1364" s="4" t="str">
        <f>IFERROR(__xludf.DUMMYFUNCTION("""COMPUTED_VALUE"""),"Extremo reductor velocidad 25x50x5 cm Mod. B M")</f>
        <v>Extremo reductor velocidad 25x50x5 cm Mod. B M</v>
      </c>
      <c r="C1364" s="4">
        <f>IFERROR(__xludf.DUMMYFUNCTION("""COMPUTED_VALUE"""),19.95)</f>
        <v>19.95</v>
      </c>
      <c r="D1364" s="4"/>
      <c r="E1364" s="4" t="str">
        <f>IFERROR(__xludf.DUMMYFUNCTION("""COMPUTED_VALUE"""),"Sin precio neto")</f>
        <v>Sin precio neto</v>
      </c>
    </row>
    <row r="1365">
      <c r="A1365" s="4" t="str">
        <f>IFERROR(__xludf.DUMMYFUNCTION("""COMPUTED_VALUE"""),"1910")</f>
        <v>1910</v>
      </c>
      <c r="B1365" s="4" t="str">
        <f>IFERROR(__xludf.DUMMYFUNCTION("""COMPUTED_VALUE"""),"Reductor velocidad - salva cables 50x60x5")</f>
        <v>Reductor velocidad - salva cables 50x60x5</v>
      </c>
      <c r="C1365" s="4">
        <f>IFERROR(__xludf.DUMMYFUNCTION("""COMPUTED_VALUE"""),43.75)</f>
        <v>43.75</v>
      </c>
      <c r="D1365" s="4"/>
      <c r="E1365" s="4" t="str">
        <f>IFERROR(__xludf.DUMMYFUNCTION("""COMPUTED_VALUE"""),"Sin precio neto")</f>
        <v>Sin precio neto</v>
      </c>
    </row>
    <row r="1366">
      <c r="A1366" s="4" t="str">
        <f>IFERROR(__xludf.DUMMYFUNCTION("""COMPUTED_VALUE"""),"1912")</f>
        <v>1912</v>
      </c>
      <c r="B1366" s="4" t="str">
        <f>IFERROR(__xludf.DUMMYFUNCTION("""COMPUTED_VALUE"""),"Reductor Lenticular 22x4")</f>
        <v>Reductor Lenticular 22x4</v>
      </c>
      <c r="C1366" s="4">
        <f>IFERROR(__xludf.DUMMYFUNCTION("""COMPUTED_VALUE"""),7.6)</f>
        <v>7.6</v>
      </c>
      <c r="D1366" s="4"/>
      <c r="E1366" s="4" t="str">
        <f>IFERROR(__xludf.DUMMYFUNCTION("""COMPUTED_VALUE"""),"Sin precio neto")</f>
        <v>Sin precio neto</v>
      </c>
    </row>
    <row r="1367">
      <c r="A1367" s="4" t="str">
        <f>IFERROR(__xludf.DUMMYFUNCTION("""COMPUTED_VALUE"""),"1913/A")</f>
        <v>1913/A</v>
      </c>
      <c r="B1367" s="4" t="str">
        <f>IFERROR(__xludf.DUMMYFUNCTION("""COMPUTED_VALUE"""),"Separador Amarillo carril- bici 1 mt x 15 cm ancho x 5 cm alto")</f>
        <v>Separador Amarillo carril- bici 1 mt x 15 cm ancho x 5 cm alto</v>
      </c>
      <c r="C1367" s="4">
        <f>IFERROR(__xludf.DUMMYFUNCTION("""COMPUTED_VALUE"""),18.0)</f>
        <v>18</v>
      </c>
      <c r="D1367" s="4"/>
      <c r="E1367" s="4" t="str">
        <f>IFERROR(__xludf.DUMMYFUNCTION("""COMPUTED_VALUE"""),"Sin precio neto")</f>
        <v>Sin precio neto</v>
      </c>
    </row>
    <row r="1368">
      <c r="A1368" s="4" t="str">
        <f>IFERROR(__xludf.DUMMYFUNCTION("""COMPUTED_VALUE"""),"1913/N")</f>
        <v>1913/N</v>
      </c>
      <c r="B1368" s="4" t="str">
        <f>IFERROR(__xludf.DUMMYFUNCTION("""COMPUTED_VALUE"""),"Separador Negro carril-bici 1 mt x 15 cm ancho x 5 cm alto")</f>
        <v>Separador Negro carril-bici 1 mt x 15 cm ancho x 5 cm alto</v>
      </c>
      <c r="C1368" s="4">
        <f>IFERROR(__xludf.DUMMYFUNCTION("""COMPUTED_VALUE"""),18.0)</f>
        <v>18</v>
      </c>
      <c r="D1368" s="4"/>
      <c r="E1368" s="4" t="str">
        <f>IFERROR(__xludf.DUMMYFUNCTION("""COMPUTED_VALUE"""),"Sin precio neto")</f>
        <v>Sin precio neto</v>
      </c>
    </row>
    <row r="1369">
      <c r="A1369" s="4" t="str">
        <f>IFERROR(__xludf.DUMMYFUNCTION("""COMPUTED_VALUE"""),"1913/R")</f>
        <v>1913/R</v>
      </c>
      <c r="B1369" s="4" t="str">
        <f>IFERROR(__xludf.DUMMYFUNCTION("""COMPUTED_VALUE"""),"Separador Rojo carril-bici 1 mt x 15 cm ancho x 5 cm alto")</f>
        <v>Separador Rojo carril-bici 1 mt x 15 cm ancho x 5 cm alto</v>
      </c>
      <c r="C1369" s="4">
        <f>IFERROR(__xludf.DUMMYFUNCTION("""COMPUTED_VALUE"""),18.0)</f>
        <v>18</v>
      </c>
      <c r="D1369" s="4"/>
      <c r="E1369" s="4" t="str">
        <f>IFERROR(__xludf.DUMMYFUNCTION("""COMPUTED_VALUE"""),"Sin precio neto")</f>
        <v>Sin precio neto</v>
      </c>
    </row>
    <row r="1370">
      <c r="A1370" s="4" t="str">
        <f>IFERROR(__xludf.DUMMYFUNCTION("""COMPUTED_VALUE"""),"1914")</f>
        <v>1914</v>
      </c>
      <c r="B1370" s="4" t="str">
        <f>IFERROR(__xludf.DUMMYFUNCTION("""COMPUTED_VALUE"""),"Separador carril-bici 77,5 x 16,6 x 9 cm CVT")</f>
        <v>Separador carril-bici 77,5 x 16,6 x 9 cm CVT</v>
      </c>
      <c r="C1370" s="4">
        <f>IFERROR(__xludf.DUMMYFUNCTION("""COMPUTED_VALUE"""),14.6)</f>
        <v>14.6</v>
      </c>
      <c r="D1370" s="4"/>
      <c r="E1370" s="4" t="str">
        <f>IFERROR(__xludf.DUMMYFUNCTION("""COMPUTED_VALUE"""),"Sin precio neto")</f>
        <v>Sin precio neto</v>
      </c>
    </row>
    <row r="1371">
      <c r="A1371" s="4" t="str">
        <f>IFERROR(__xludf.DUMMYFUNCTION("""COMPUTED_VALUE"""),"1915")</f>
        <v>1915</v>
      </c>
      <c r="B1371" s="4" t="str">
        <f>IFERROR(__xludf.DUMMYFUNCTION("""COMPUTED_VALUE"""),"Valla extensible PVC 2,50 metros N/A")</f>
        <v>Valla extensible PVC 2,50 metros N/A</v>
      </c>
      <c r="C1371" s="4">
        <f>IFERROR(__xludf.DUMMYFUNCTION("""COMPUTED_VALUE"""),66.0)</f>
        <v>66</v>
      </c>
      <c r="D1371" s="4"/>
      <c r="E1371" s="4" t="str">
        <f>IFERROR(__xludf.DUMMYFUNCTION("""COMPUTED_VALUE"""),"Sin precio neto")</f>
        <v>Sin precio neto</v>
      </c>
    </row>
    <row r="1372">
      <c r="A1372" s="4" t="str">
        <f>IFERROR(__xludf.DUMMYFUNCTION("""COMPUTED_VALUE"""),"1915/R")</f>
        <v>1915/R</v>
      </c>
      <c r="B1372" s="4" t="str">
        <f>IFERROR(__xludf.DUMMYFUNCTION("""COMPUTED_VALUE"""),"Valla extensible PVC R/B")</f>
        <v>Valla extensible PVC R/B</v>
      </c>
      <c r="C1372" s="4">
        <f>IFERROR(__xludf.DUMMYFUNCTION("""COMPUTED_VALUE"""),79.1)</f>
        <v>79.1</v>
      </c>
      <c r="D1372" s="4"/>
      <c r="E1372" s="4" t="str">
        <f>IFERROR(__xludf.DUMMYFUNCTION("""COMPUTED_VALUE"""),"Sin precio neto")</f>
        <v>Sin precio neto</v>
      </c>
    </row>
    <row r="1373">
      <c r="A1373" s="4" t="str">
        <f>IFERROR(__xludf.DUMMYFUNCTION("""COMPUTED_VALUE"""),"1915M")</f>
        <v>1915M</v>
      </c>
      <c r="B1373" s="4" t="str">
        <f>IFERROR(__xludf.DUMMYFUNCTION("""COMPUTED_VALUE"""),"Utility Barrier 4 pts. 750 mm")</f>
        <v>Utility Barrier 4 pts. 750 mm</v>
      </c>
      <c r="C1373" s="4">
        <f>IFERROR(__xludf.DUMMYFUNCTION("""COMPUTED_VALUE"""),110.0)</f>
        <v>110</v>
      </c>
      <c r="D1373" s="4"/>
      <c r="E1373" s="4" t="str">
        <f>IFERROR(__xludf.DUMMYFUNCTION("""COMPUTED_VALUE"""),"Sin precio neto")</f>
        <v>Sin precio neto</v>
      </c>
    </row>
    <row r="1374">
      <c r="A1374" s="4" t="str">
        <f>IFERROR(__xludf.DUMMYFUNCTION("""COMPUTED_VALUE"""),"1916")</f>
        <v>1916</v>
      </c>
      <c r="B1374" s="4" t="str">
        <f>IFERROR(__xludf.DUMMYFUNCTION("""COMPUTED_VALUE"""),"Reductor velocidad 50x50x4,5 MOD C")</f>
        <v>Reductor velocidad 50x50x4,5 MOD C</v>
      </c>
      <c r="C1374" s="4">
        <f>IFERROR(__xludf.DUMMYFUNCTION("""COMPUTED_VALUE"""),19.45)</f>
        <v>19.45</v>
      </c>
      <c r="D1374" s="4">
        <f>IFERROR(__xludf.DUMMYFUNCTION("""COMPUTED_VALUE"""),18.0)</f>
        <v>18</v>
      </c>
      <c r="E1374" s="4" t="str">
        <f>IFERROR(__xludf.DUMMYFUNCTION("""COMPUTED_VALUE"""),"Neto: 18,00 € (a partir de 1 uds.)")</f>
        <v>Neto: 18,00 € (a partir de 1 uds.)</v>
      </c>
    </row>
    <row r="1375">
      <c r="A1375" s="4" t="str">
        <f>IFERROR(__xludf.DUMMYFUNCTION("""COMPUTED_VALUE"""),"1917")</f>
        <v>1917</v>
      </c>
      <c r="B1375" s="4" t="str">
        <f>IFERROR(__xludf.DUMMYFUNCTION("""COMPUTED_VALUE"""),"Extremo reductor velocidad 50x25x4,5 MOD C")</f>
        <v>Extremo reductor velocidad 50x25x4,5 MOD C</v>
      </c>
      <c r="C1375" s="4">
        <f>IFERROR(__xludf.DUMMYFUNCTION("""COMPUTED_VALUE"""),12.25)</f>
        <v>12.25</v>
      </c>
      <c r="D1375" s="4">
        <f>IFERROR(__xludf.DUMMYFUNCTION("""COMPUTED_VALUE"""),11.0)</f>
        <v>11</v>
      </c>
      <c r="E1375" s="4" t="str">
        <f>IFERROR(__xludf.DUMMYFUNCTION("""COMPUTED_VALUE"""),"Neto: 11,00 € (a partir de 1 uds.)")</f>
        <v>Neto: 11,00 € (a partir de 1 uds.)</v>
      </c>
    </row>
    <row r="1376">
      <c r="A1376" s="4" t="str">
        <f>IFERROR(__xludf.DUMMYFUNCTION("""COMPUTED_VALUE"""),"1919")</f>
        <v>1919</v>
      </c>
      <c r="B1376" s="4" t="str">
        <f>IFERROR(__xludf.DUMMYFUNCTION("""COMPUTED_VALUE"""),"Valla alcantarillado 4 ptas Plastico Naranja")</f>
        <v>Valla alcantarillado 4 ptas Plastico Naranja</v>
      </c>
      <c r="C1376" s="4">
        <f>IFERROR(__xludf.DUMMYFUNCTION("""COMPUTED_VALUE"""),99.5)</f>
        <v>99.5</v>
      </c>
      <c r="D1376" s="4"/>
      <c r="E1376" s="4" t="str">
        <f>IFERROR(__xludf.DUMMYFUNCTION("""COMPUTED_VALUE"""),"Sin precio neto")</f>
        <v>Sin precio neto</v>
      </c>
    </row>
    <row r="1377">
      <c r="A1377" s="4" t="str">
        <f>IFERROR(__xludf.DUMMYFUNCTION("""COMPUTED_VALUE"""),"1924A")</f>
        <v>1924A</v>
      </c>
      <c r="B1377" s="4" t="str">
        <f>IFERROR(__xludf.DUMMYFUNCTION("""COMPUTED_VALUE"""),"Valla señal. Gate Barrier 2 mtros Amarilla")</f>
        <v>Valla señal. Gate Barrier 2 mtros Amarilla</v>
      </c>
      <c r="C1377" s="4">
        <f>IFERROR(__xludf.DUMMYFUNCTION("""COMPUTED_VALUE"""),56.0)</f>
        <v>56</v>
      </c>
      <c r="D1377" s="4">
        <f>IFERROR(__xludf.DUMMYFUNCTION("""COMPUTED_VALUE"""),49.5)</f>
        <v>49.5</v>
      </c>
      <c r="E1377" s="4" t="str">
        <f>IFERROR(__xludf.DUMMYFUNCTION("""COMPUTED_VALUE"""),"Neto: 49,50 € (a partir de 40 uds.)")</f>
        <v>Neto: 49,50 € (a partir de 40 uds.)</v>
      </c>
    </row>
    <row r="1378">
      <c r="A1378" s="4" t="str">
        <f>IFERROR(__xludf.DUMMYFUNCTION("""COMPUTED_VALUE"""),"1924B")</f>
        <v>1924B</v>
      </c>
      <c r="B1378" s="4" t="str">
        <f>IFERROR(__xludf.DUMMYFUNCTION("""COMPUTED_VALUE"""),"Valla señal. Gate Barrier 2 mtros Blanco")</f>
        <v>Valla señal. Gate Barrier 2 mtros Blanco</v>
      </c>
      <c r="C1378" s="4">
        <f>IFERROR(__xludf.DUMMYFUNCTION("""COMPUTED_VALUE"""),56.0)</f>
        <v>56</v>
      </c>
      <c r="D1378" s="4">
        <f>IFERROR(__xludf.DUMMYFUNCTION("""COMPUTED_VALUE"""),49.5)</f>
        <v>49.5</v>
      </c>
      <c r="E1378" s="4" t="str">
        <f>IFERROR(__xludf.DUMMYFUNCTION("""COMPUTED_VALUE"""),"Neto: 49,50 € (a partir de 40 uds.)")</f>
        <v>Neto: 49,50 € (a partir de 40 uds.)</v>
      </c>
    </row>
    <row r="1379">
      <c r="A1379" s="4" t="str">
        <f>IFERROR(__xludf.DUMMYFUNCTION("""COMPUTED_VALUE"""),"1924N")</f>
        <v>1924N</v>
      </c>
      <c r="B1379" s="4" t="str">
        <f>IFERROR(__xludf.DUMMYFUNCTION("""COMPUTED_VALUE"""),"Valla señal. Gate Barrier 2 mtros Naranja")</f>
        <v>Valla señal. Gate Barrier 2 mtros Naranja</v>
      </c>
      <c r="C1379" s="4">
        <f>IFERROR(__xludf.DUMMYFUNCTION("""COMPUTED_VALUE"""),56.0)</f>
        <v>56</v>
      </c>
      <c r="D1379" s="4">
        <f>IFERROR(__xludf.DUMMYFUNCTION("""COMPUTED_VALUE"""),49.5)</f>
        <v>49.5</v>
      </c>
      <c r="E1379" s="4" t="str">
        <f>IFERROR(__xludf.DUMMYFUNCTION("""COMPUTED_VALUE"""),"Neto: 49,50 € (a partir de 40 uds.)")</f>
        <v>Neto: 49,50 € (a partir de 40 uds.)</v>
      </c>
    </row>
    <row r="1380">
      <c r="A1380" s="4" t="str">
        <f>IFERROR(__xludf.DUMMYFUNCTION("""COMPUTED_VALUE"""),"1924R")</f>
        <v>1924R</v>
      </c>
      <c r="B1380" s="4" t="str">
        <f>IFERROR(__xludf.DUMMYFUNCTION("""COMPUTED_VALUE"""),"Valla Señal. Gate Barrier 2 mtros. Roja")</f>
        <v>Valla Señal. Gate Barrier 2 mtros. Roja</v>
      </c>
      <c r="C1380" s="4">
        <f>IFERROR(__xludf.DUMMYFUNCTION("""COMPUTED_VALUE"""),56.0)</f>
        <v>56</v>
      </c>
      <c r="D1380" s="4">
        <f>IFERROR(__xludf.DUMMYFUNCTION("""COMPUTED_VALUE"""),49.5)</f>
        <v>49.5</v>
      </c>
      <c r="E1380" s="4" t="str">
        <f>IFERROR(__xludf.DUMMYFUNCTION("""COMPUTED_VALUE"""),"Neto: 49,50 € (a partir de 40 uds.)")</f>
        <v>Neto: 49,50 € (a partir de 40 uds.)</v>
      </c>
    </row>
    <row r="1381">
      <c r="A1381" s="4" t="str">
        <f>IFERROR(__xludf.DUMMYFUNCTION("""COMPUTED_VALUE"""),"1924V")</f>
        <v>1924V</v>
      </c>
      <c r="B1381" s="4" t="str">
        <f>IFERROR(__xludf.DUMMYFUNCTION("""COMPUTED_VALUE"""),"Valla señal. Gate Barrier 2 mtros Verde")</f>
        <v>Valla señal. Gate Barrier 2 mtros Verde</v>
      </c>
      <c r="C1381" s="4">
        <f>IFERROR(__xludf.DUMMYFUNCTION("""COMPUTED_VALUE"""),56.0)</f>
        <v>56</v>
      </c>
      <c r="D1381" s="4">
        <f>IFERROR(__xludf.DUMMYFUNCTION("""COMPUTED_VALUE"""),49.5)</f>
        <v>49.5</v>
      </c>
      <c r="E1381" s="4" t="str">
        <f>IFERROR(__xludf.DUMMYFUNCTION("""COMPUTED_VALUE"""),"Neto: 49,50 € (a partir de 40 uds.)")</f>
        <v>Neto: 49,50 € (a partir de 40 uds.)</v>
      </c>
    </row>
    <row r="1382">
      <c r="A1382" s="4" t="str">
        <f>IFERROR(__xludf.DUMMYFUNCTION("""COMPUTED_VALUE"""),"1924Z")</f>
        <v>1924Z</v>
      </c>
      <c r="B1382" s="4" t="str">
        <f>IFERROR(__xludf.DUMMYFUNCTION("""COMPUTED_VALUE"""),"Valla señal. Gate Barrier 2 mtros Azul")</f>
        <v>Valla señal. Gate Barrier 2 mtros Azul</v>
      </c>
      <c r="C1382" s="4">
        <f>IFERROR(__xludf.DUMMYFUNCTION("""COMPUTED_VALUE"""),56.0)</f>
        <v>56</v>
      </c>
      <c r="D1382" s="4">
        <f>IFERROR(__xludf.DUMMYFUNCTION("""COMPUTED_VALUE"""),49.5)</f>
        <v>49.5</v>
      </c>
      <c r="E1382" s="4" t="str">
        <f>IFERROR(__xludf.DUMMYFUNCTION("""COMPUTED_VALUE"""),"Neto: 49,50 € (a partir de 40 uds.)")</f>
        <v>Neto: 49,50 € (a partir de 40 uds.)</v>
      </c>
    </row>
    <row r="1383">
      <c r="A1383" s="4" t="str">
        <f>IFERROR(__xludf.DUMMYFUNCTION("""COMPUTED_VALUE"""),"1925")</f>
        <v>1925</v>
      </c>
      <c r="B1383" s="4" t="str">
        <f>IFERROR(__xludf.DUMMYFUNCTION("""COMPUTED_VALUE"""),"Placa salva-zanjas 120x80 Mod. Basic")</f>
        <v>Placa salva-zanjas 120x80 Mod. Basic</v>
      </c>
      <c r="C1383" s="4">
        <f>IFERROR(__xludf.DUMMYFUNCTION("""COMPUTED_VALUE"""),79.0)</f>
        <v>79</v>
      </c>
      <c r="D1383" s="4"/>
      <c r="E1383" s="4" t="str">
        <f>IFERROR(__xludf.DUMMYFUNCTION("""COMPUTED_VALUE"""),"Sin precio neto")</f>
        <v>Sin precio neto</v>
      </c>
    </row>
    <row r="1384">
      <c r="A1384" s="4" t="str">
        <f>IFERROR(__xludf.DUMMYFUNCTION("""COMPUTED_VALUE"""),"1925B")</f>
        <v>1925B</v>
      </c>
      <c r="B1384" s="4" t="str">
        <f>IFERROR(__xludf.DUMMYFUNCTION("""COMPUTED_VALUE"""),"Placa salva-zanjas 120 x 80 antideslizante")</f>
        <v>Placa salva-zanjas 120 x 80 antideslizante</v>
      </c>
      <c r="C1384" s="4">
        <f>IFERROR(__xludf.DUMMYFUNCTION("""COMPUTED_VALUE"""),84.0)</f>
        <v>84</v>
      </c>
      <c r="D1384" s="4"/>
      <c r="E1384" s="4" t="str">
        <f>IFERROR(__xludf.DUMMYFUNCTION("""COMPUTED_VALUE"""),"Sin precio neto")</f>
        <v>Sin precio neto</v>
      </c>
    </row>
    <row r="1385">
      <c r="A1385" s="4" t="str">
        <f>IFERROR(__xludf.DUMMYFUNCTION("""COMPUTED_VALUE"""),"1925C")</f>
        <v>1925C</v>
      </c>
      <c r="B1385" s="4" t="str">
        <f>IFERROR(__xludf.DUMMYFUNCTION("""COMPUTED_VALUE"""),"Placa salva-zanjas 120x160 antideslizante")</f>
        <v>Placa salva-zanjas 120x160 antideslizante</v>
      </c>
      <c r="C1385" s="4">
        <f>IFERROR(__xludf.DUMMYFUNCTION("""COMPUTED_VALUE"""),199.0)</f>
        <v>199</v>
      </c>
      <c r="D1385" s="4"/>
      <c r="E1385" s="4" t="str">
        <f>IFERROR(__xludf.DUMMYFUNCTION("""COMPUTED_VALUE"""),"Sin precio neto")</f>
        <v>Sin precio neto</v>
      </c>
    </row>
    <row r="1386">
      <c r="A1386" s="4" t="str">
        <f>IFERROR(__xludf.DUMMYFUNCTION("""COMPUTED_VALUE"""),"1927A")</f>
        <v>1927A</v>
      </c>
      <c r="B1386" s="4" t="str">
        <f>IFERROR(__xludf.DUMMYFUNCTION("""COMPUTED_VALUE"""),"Valla señal. Gate Barrier 1 mt. Amarilla publicitaria")</f>
        <v>Valla señal. Gate Barrier 1 mt. Amarilla publicitaria</v>
      </c>
      <c r="C1386" s="4">
        <f>IFERROR(__xludf.DUMMYFUNCTION("""COMPUTED_VALUE"""),37.5)</f>
        <v>37.5</v>
      </c>
      <c r="D1386" s="4"/>
      <c r="E1386" s="4" t="str">
        <f>IFERROR(__xludf.DUMMYFUNCTION("""COMPUTED_VALUE"""),"Sin precio neto")</f>
        <v>Sin precio neto</v>
      </c>
    </row>
    <row r="1387">
      <c r="A1387" s="4" t="str">
        <f>IFERROR(__xludf.DUMMYFUNCTION("""COMPUTED_VALUE"""),"1927B")</f>
        <v>1927B</v>
      </c>
      <c r="B1387" s="4" t="str">
        <f>IFERROR(__xludf.DUMMYFUNCTION("""COMPUTED_VALUE"""),"Valla señal. Gate Barrier 1 mt. Blanca publicitaria")</f>
        <v>Valla señal. Gate Barrier 1 mt. Blanca publicitaria</v>
      </c>
      <c r="C1387" s="4">
        <f>IFERROR(__xludf.DUMMYFUNCTION("""COMPUTED_VALUE"""),37.5)</f>
        <v>37.5</v>
      </c>
      <c r="D1387" s="4"/>
      <c r="E1387" s="4" t="str">
        <f>IFERROR(__xludf.DUMMYFUNCTION("""COMPUTED_VALUE"""),"Sin precio neto")</f>
        <v>Sin precio neto</v>
      </c>
    </row>
    <row r="1388">
      <c r="A1388" s="4" t="str">
        <f>IFERROR(__xludf.DUMMYFUNCTION("""COMPUTED_VALUE"""),"1927N")</f>
        <v>1927N</v>
      </c>
      <c r="B1388" s="4" t="str">
        <f>IFERROR(__xludf.DUMMYFUNCTION("""COMPUTED_VALUE"""),"Valla señal. Gate Barrier 1 mt. Naranja publicitaria")</f>
        <v>Valla señal. Gate Barrier 1 mt. Naranja publicitaria</v>
      </c>
      <c r="C1388" s="4">
        <f>IFERROR(__xludf.DUMMYFUNCTION("""COMPUTED_VALUE"""),37.5)</f>
        <v>37.5</v>
      </c>
      <c r="D1388" s="4"/>
      <c r="E1388" s="4" t="str">
        <f>IFERROR(__xludf.DUMMYFUNCTION("""COMPUTED_VALUE"""),"Sin precio neto")</f>
        <v>Sin precio neto</v>
      </c>
    </row>
    <row r="1389">
      <c r="A1389" s="4" t="str">
        <f>IFERROR(__xludf.DUMMYFUNCTION("""COMPUTED_VALUE"""),"1927Z")</f>
        <v>1927Z</v>
      </c>
      <c r="B1389" s="4" t="str">
        <f>IFERROR(__xludf.DUMMYFUNCTION("""COMPUTED_VALUE"""),"Valla señal. Gate Barrier 1 mt. Azul publicitaria")</f>
        <v>Valla señal. Gate Barrier 1 mt. Azul publicitaria</v>
      </c>
      <c r="C1389" s="4">
        <f>IFERROR(__xludf.DUMMYFUNCTION("""COMPUTED_VALUE"""),37.5)</f>
        <v>37.5</v>
      </c>
      <c r="D1389" s="4"/>
      <c r="E1389" s="4" t="str">
        <f>IFERROR(__xludf.DUMMYFUNCTION("""COMPUTED_VALUE"""),"Sin precio neto")</f>
        <v>Sin precio neto</v>
      </c>
    </row>
    <row r="1390">
      <c r="A1390" s="4" t="str">
        <f>IFERROR(__xludf.DUMMYFUNCTION("""COMPUTED_VALUE"""),"1928A")</f>
        <v>1928A</v>
      </c>
      <c r="B1390" s="4" t="str">
        <f>IFERROR(__xludf.DUMMYFUNCTION("""COMPUTED_VALUE"""),"Valla GateBarrier Slim 2x1 Amarilla")</f>
        <v>Valla GateBarrier Slim 2x1 Amarilla</v>
      </c>
      <c r="C1390" s="4">
        <f>IFERROR(__xludf.DUMMYFUNCTION("""COMPUTED_VALUE"""),54.0)</f>
        <v>54</v>
      </c>
      <c r="D1390" s="4"/>
      <c r="E1390" s="4" t="str">
        <f>IFERROR(__xludf.DUMMYFUNCTION("""COMPUTED_VALUE"""),"Sin precio neto")</f>
        <v>Sin precio neto</v>
      </c>
    </row>
    <row r="1391">
      <c r="A1391" s="4" t="str">
        <f>IFERROR(__xludf.DUMMYFUNCTION("""COMPUTED_VALUE"""),"1929A")</f>
        <v>1929A</v>
      </c>
      <c r="B1391" s="4" t="str">
        <f>IFERROR(__xludf.DUMMYFUNCTION("""COMPUTED_VALUE"""),"Valla 1 mt Gate barrier amarilla")</f>
        <v>Valla 1 mt Gate barrier amarilla</v>
      </c>
      <c r="C1391" s="4">
        <f>IFERROR(__xludf.DUMMYFUNCTION("""COMPUTED_VALUE"""),41.0)</f>
        <v>41</v>
      </c>
      <c r="D1391" s="4">
        <f>IFERROR(__xludf.DUMMYFUNCTION("""COMPUTED_VALUE"""),38.0)</f>
        <v>38</v>
      </c>
      <c r="E1391" s="4" t="str">
        <f>IFERROR(__xludf.DUMMYFUNCTION("""COMPUTED_VALUE"""),"Neto: 38,00 € (a partir de 40 uds.)")</f>
        <v>Neto: 38,00 € (a partir de 40 uds.)</v>
      </c>
    </row>
    <row r="1392">
      <c r="A1392" s="4" t="str">
        <f>IFERROR(__xludf.DUMMYFUNCTION("""COMPUTED_VALUE"""),"1929B")</f>
        <v>1929B</v>
      </c>
      <c r="B1392" s="4" t="str">
        <f>IFERROR(__xludf.DUMMYFUNCTION("""COMPUTED_VALUE"""),"Valla 1 mt Gate Barrier Blanca")</f>
        <v>Valla 1 mt Gate Barrier Blanca</v>
      </c>
      <c r="C1392" s="4">
        <f>IFERROR(__xludf.DUMMYFUNCTION("""COMPUTED_VALUE"""),41.0)</f>
        <v>41</v>
      </c>
      <c r="D1392" s="4">
        <f>IFERROR(__xludf.DUMMYFUNCTION("""COMPUTED_VALUE"""),38.0)</f>
        <v>38</v>
      </c>
      <c r="E1392" s="4" t="str">
        <f>IFERROR(__xludf.DUMMYFUNCTION("""COMPUTED_VALUE"""),"Neto: 38,00 € (a partir de 40 uds.)")</f>
        <v>Neto: 38,00 € (a partir de 40 uds.)</v>
      </c>
    </row>
    <row r="1393">
      <c r="A1393" s="4" t="str">
        <f>IFERROR(__xludf.DUMMYFUNCTION("""COMPUTED_VALUE"""),"1929N")</f>
        <v>1929N</v>
      </c>
      <c r="B1393" s="4" t="str">
        <f>IFERROR(__xludf.DUMMYFUNCTION("""COMPUTED_VALUE"""),"Valla 1 mt Gate barrier Naranja")</f>
        <v>Valla 1 mt Gate barrier Naranja</v>
      </c>
      <c r="C1393" s="4">
        <f>IFERROR(__xludf.DUMMYFUNCTION("""COMPUTED_VALUE"""),41.0)</f>
        <v>41</v>
      </c>
      <c r="D1393" s="4">
        <f>IFERROR(__xludf.DUMMYFUNCTION("""COMPUTED_VALUE"""),38.0)</f>
        <v>38</v>
      </c>
      <c r="E1393" s="4" t="str">
        <f>IFERROR(__xludf.DUMMYFUNCTION("""COMPUTED_VALUE"""),"Neto: 38,00 € (a partir de 40 uds.)")</f>
        <v>Neto: 38,00 € (a partir de 40 uds.)</v>
      </c>
    </row>
    <row r="1394">
      <c r="A1394" s="4" t="str">
        <f>IFERROR(__xludf.DUMMYFUNCTION("""COMPUTED_VALUE"""),"1929Z")</f>
        <v>1929Z</v>
      </c>
      <c r="B1394" s="4" t="str">
        <f>IFERROR(__xludf.DUMMYFUNCTION("""COMPUTED_VALUE"""),"Valla 1 mt Gate barrier azul")</f>
        <v>Valla 1 mt Gate barrier azul</v>
      </c>
      <c r="C1394" s="4">
        <f>IFERROR(__xludf.DUMMYFUNCTION("""COMPUTED_VALUE"""),41.0)</f>
        <v>41</v>
      </c>
      <c r="D1394" s="4">
        <f>IFERROR(__xludf.DUMMYFUNCTION("""COMPUTED_VALUE"""),38.0)</f>
        <v>38</v>
      </c>
      <c r="E1394" s="4" t="str">
        <f>IFERROR(__xludf.DUMMYFUNCTION("""COMPUTED_VALUE"""),"Neto: 38,00 € (a partir de 40 uds.)")</f>
        <v>Neto: 38,00 € (a partir de 40 uds.)</v>
      </c>
    </row>
    <row r="1395">
      <c r="A1395" s="4" t="str">
        <f>IFERROR(__xludf.DUMMYFUNCTION("""COMPUTED_VALUE"""),"1931")</f>
        <v>1931</v>
      </c>
      <c r="B1395" s="4" t="str">
        <f>IFERROR(__xludf.DUMMYFUNCTION("""COMPUTED_VALUE"""),"Reductor Velocidad 50x44x5 cm Mod. D negro")</f>
        <v>Reductor Velocidad 50x44x5 cm Mod. D negro</v>
      </c>
      <c r="C1395" s="4">
        <f>IFERROR(__xludf.DUMMYFUNCTION("""COMPUTED_VALUE"""),24.25)</f>
        <v>24.25</v>
      </c>
      <c r="D1395" s="4"/>
      <c r="E1395" s="4" t="str">
        <f>IFERROR(__xludf.DUMMYFUNCTION("""COMPUTED_VALUE"""),"Sin precio neto")</f>
        <v>Sin precio neto</v>
      </c>
    </row>
    <row r="1396">
      <c r="A1396" s="4" t="str">
        <f>IFERROR(__xludf.DUMMYFUNCTION("""COMPUTED_VALUE"""),"1932")</f>
        <v>1932</v>
      </c>
      <c r="B1396" s="4" t="str">
        <f>IFERROR(__xludf.DUMMYFUNCTION("""COMPUTED_VALUE"""),"Reductor Velocidad 50x44X5cm Mod. D Amarillo")</f>
        <v>Reductor Velocidad 50x44X5cm Mod. D Amarillo</v>
      </c>
      <c r="C1396" s="4">
        <f>IFERROR(__xludf.DUMMYFUNCTION("""COMPUTED_VALUE"""),24.25)</f>
        <v>24.25</v>
      </c>
      <c r="D1396" s="4"/>
      <c r="E1396" s="4" t="str">
        <f>IFERROR(__xludf.DUMMYFUNCTION("""COMPUTED_VALUE"""),"Sin precio neto")</f>
        <v>Sin precio neto</v>
      </c>
    </row>
    <row r="1397">
      <c r="A1397" s="4" t="str">
        <f>IFERROR(__xludf.DUMMYFUNCTION("""COMPUTED_VALUE"""),"1933")</f>
        <v>1933</v>
      </c>
      <c r="B1397" s="4" t="str">
        <f>IFERROR(__xludf.DUMMYFUNCTION("""COMPUTED_VALUE"""),"Extremo reductor velocidad 21x42.5x5 cm Mod. D Negro")</f>
        <v>Extremo reductor velocidad 21x42.5x5 cm Mod. D Negro</v>
      </c>
      <c r="C1397" s="4">
        <f>IFERROR(__xludf.DUMMYFUNCTION("""COMPUTED_VALUE"""),16.25)</f>
        <v>16.25</v>
      </c>
      <c r="D1397" s="4"/>
      <c r="E1397" s="4" t="str">
        <f>IFERROR(__xludf.DUMMYFUNCTION("""COMPUTED_VALUE"""),"Sin precio neto")</f>
        <v>Sin precio neto</v>
      </c>
    </row>
    <row r="1398">
      <c r="A1398" s="4" t="str">
        <f>IFERROR(__xludf.DUMMYFUNCTION("""COMPUTED_VALUE"""),"1934")</f>
        <v>1934</v>
      </c>
      <c r="B1398" s="4" t="str">
        <f>IFERROR(__xludf.DUMMYFUNCTION("""COMPUTED_VALUE"""),"Extremo reductor velocidad 21x42.5x5 cm Mod. D Amarillo")</f>
        <v>Extremo reductor velocidad 21x42.5x5 cm Mod. D Amarillo</v>
      </c>
      <c r="C1398" s="4">
        <f>IFERROR(__xludf.DUMMYFUNCTION("""COMPUTED_VALUE"""),16.25)</f>
        <v>16.25</v>
      </c>
      <c r="D1398" s="4"/>
      <c r="E1398" s="4" t="str">
        <f>IFERROR(__xludf.DUMMYFUNCTION("""COMPUTED_VALUE"""),"Sin precio neto")</f>
        <v>Sin precio neto</v>
      </c>
    </row>
    <row r="1399">
      <c r="A1399" s="4" t="str">
        <f>IFERROR(__xludf.DUMMYFUNCTION("""COMPUTED_VALUE"""),"1937")</f>
        <v>1937</v>
      </c>
      <c r="B1399" s="4" t="str">
        <f>IFERROR(__xludf.DUMMYFUNCTION("""COMPUTED_VALUE"""),"Valla Señal. Olimpic Barrier 2 m Naranja")</f>
        <v>Valla Señal. Olimpic Barrier 2 m Naranja</v>
      </c>
      <c r="C1399" s="4">
        <f>IFERROR(__xludf.DUMMYFUNCTION("""COMPUTED_VALUE"""),72.5)</f>
        <v>72.5</v>
      </c>
      <c r="D1399" s="4"/>
      <c r="E1399" s="4" t="str">
        <f>IFERROR(__xludf.DUMMYFUNCTION("""COMPUTED_VALUE"""),"Sin precio neto")</f>
        <v>Sin precio neto</v>
      </c>
    </row>
    <row r="1400">
      <c r="A1400" s="4" t="str">
        <f>IFERROR(__xludf.DUMMYFUNCTION("""COMPUTED_VALUE"""),"1938")</f>
        <v>1938</v>
      </c>
      <c r="B1400" s="4" t="str">
        <f>IFERROR(__xludf.DUMMYFUNCTION("""COMPUTED_VALUE"""),"Valla Señal. Wonderwall Naranja COMPLETO 1000x1140x500")</f>
        <v>Valla Señal. Wonderwall Naranja COMPLETO 1000x1140x500</v>
      </c>
      <c r="C1400" s="4">
        <f>IFERROR(__xludf.DUMMYFUNCTION("""COMPUTED_VALUE"""),74.0)</f>
        <v>74</v>
      </c>
      <c r="D1400" s="4"/>
      <c r="E1400" s="4" t="str">
        <f>IFERROR(__xludf.DUMMYFUNCTION("""COMPUTED_VALUE"""),"Sin precio neto")</f>
        <v>Sin precio neto</v>
      </c>
    </row>
    <row r="1401">
      <c r="A1401" s="4" t="str">
        <f>IFERROR(__xludf.DUMMYFUNCTION("""COMPUTED_VALUE"""),"1938B")</f>
        <v>1938B</v>
      </c>
      <c r="B1401" s="4" t="str">
        <f>IFERROR(__xludf.DUMMYFUNCTION("""COMPUTED_VALUE"""),"Valla Señal. Wonderwall Naranja BASE")</f>
        <v>Valla Señal. Wonderwall Naranja BASE</v>
      </c>
      <c r="C1401" s="4">
        <f>IFERROR(__xludf.DUMMYFUNCTION("""COMPUTED_VALUE"""),22.5)</f>
        <v>22.5</v>
      </c>
      <c r="D1401" s="4"/>
      <c r="E1401" s="4" t="str">
        <f>IFERROR(__xludf.DUMMYFUNCTION("""COMPUTED_VALUE"""),"Sin precio neto")</f>
        <v>Sin precio neto</v>
      </c>
    </row>
    <row r="1402">
      <c r="A1402" s="4" t="str">
        <f>IFERROR(__xludf.DUMMYFUNCTION("""COMPUTED_VALUE"""),"1938T")</f>
        <v>1938T</v>
      </c>
      <c r="B1402" s="4" t="str">
        <f>IFERROR(__xludf.DUMMYFUNCTION("""COMPUTED_VALUE"""),"Valla Señal. Wonderwall Naranja TOP")</f>
        <v>Valla Señal. Wonderwall Naranja TOP</v>
      </c>
      <c r="C1402" s="4">
        <f>IFERROR(__xludf.DUMMYFUNCTION("""COMPUTED_VALUE"""),49.0)</f>
        <v>49</v>
      </c>
      <c r="D1402" s="4"/>
      <c r="E1402" s="4" t="str">
        <f>IFERROR(__xludf.DUMMYFUNCTION("""COMPUTED_VALUE"""),"Sin precio neto")</f>
        <v>Sin precio neto</v>
      </c>
    </row>
    <row r="1403">
      <c r="A1403" s="4" t="str">
        <f>IFERROR(__xludf.DUMMYFUNCTION("""COMPUTED_VALUE"""),"1939B")</f>
        <v>1939B</v>
      </c>
      <c r="B1403" s="4" t="str">
        <f>IFERROR(__xludf.DUMMYFUNCTION("""COMPUTED_VALUE"""),"Barrera mediana Budda Barrier 800x1040x280 Blanca")</f>
        <v>Barrera mediana Budda Barrier 800x1040x280 Blanca</v>
      </c>
      <c r="C1403" s="4">
        <f>IFERROR(__xludf.DUMMYFUNCTION("""COMPUTED_VALUE"""),56.0)</f>
        <v>56</v>
      </c>
      <c r="D1403" s="4"/>
      <c r="E1403" s="4" t="str">
        <f>IFERROR(__xludf.DUMMYFUNCTION("""COMPUTED_VALUE"""),"Sin precio neto")</f>
        <v>Sin precio neto</v>
      </c>
    </row>
    <row r="1404">
      <c r="A1404" s="4" t="str">
        <f>IFERROR(__xludf.DUMMYFUNCTION("""COMPUTED_VALUE"""),"1939R")</f>
        <v>1939R</v>
      </c>
      <c r="B1404" s="4" t="str">
        <f>IFERROR(__xludf.DUMMYFUNCTION("""COMPUTED_VALUE"""),"Barrera mediana Budda Barrier 800x1040x280 Roja")</f>
        <v>Barrera mediana Budda Barrier 800x1040x280 Roja</v>
      </c>
      <c r="C1404" s="4">
        <f>IFERROR(__xludf.DUMMYFUNCTION("""COMPUTED_VALUE"""),56.0)</f>
        <v>56</v>
      </c>
      <c r="D1404" s="4"/>
      <c r="E1404" s="4" t="str">
        <f>IFERROR(__xludf.DUMMYFUNCTION("""COMPUTED_VALUE"""),"Sin precio neto")</f>
        <v>Sin precio neto</v>
      </c>
    </row>
    <row r="1405">
      <c r="A1405" s="4" t="str">
        <f>IFERROR(__xludf.DUMMYFUNCTION("""COMPUTED_VALUE"""),"1940B")</f>
        <v>1940B</v>
      </c>
      <c r="B1405" s="4" t="str">
        <f>IFERROR(__xludf.DUMMYFUNCTION("""COMPUTED_VALUE"""),"Mini Double top Valla 1115x535 mm blanca")</f>
        <v>Mini Double top Valla 1115x535 mm blanca</v>
      </c>
      <c r="C1405" s="4">
        <f>IFERROR(__xludf.DUMMYFUNCTION("""COMPUTED_VALUE"""),44.0)</f>
        <v>44</v>
      </c>
      <c r="D1405" s="4"/>
      <c r="E1405" s="4" t="str">
        <f>IFERROR(__xludf.DUMMYFUNCTION("""COMPUTED_VALUE"""),"Sin precio neto")</f>
        <v>Sin precio neto</v>
      </c>
    </row>
    <row r="1406">
      <c r="A1406" s="4" t="str">
        <f>IFERROR(__xludf.DUMMYFUNCTION("""COMPUTED_VALUE"""),"1940R")</f>
        <v>1940R</v>
      </c>
      <c r="B1406" s="4" t="str">
        <f>IFERROR(__xludf.DUMMYFUNCTION("""COMPUTED_VALUE"""),"Mini Double top Valla 1115x535 mm roja")</f>
        <v>Mini Double top Valla 1115x535 mm roja</v>
      </c>
      <c r="C1406" s="4">
        <f>IFERROR(__xludf.DUMMYFUNCTION("""COMPUTED_VALUE"""),44.0)</f>
        <v>44</v>
      </c>
      <c r="D1406" s="4"/>
      <c r="E1406" s="4" t="str">
        <f>IFERROR(__xludf.DUMMYFUNCTION("""COMPUTED_VALUE"""),"Sin precio neto")</f>
        <v>Sin precio neto</v>
      </c>
    </row>
    <row r="1407">
      <c r="A1407" s="4" t="str">
        <f>IFERROR(__xludf.DUMMYFUNCTION("""COMPUTED_VALUE"""),"1941B")</f>
        <v>1941B</v>
      </c>
      <c r="B1407" s="4" t="str">
        <f>IFERROR(__xludf.DUMMYFUNCTION("""COMPUTED_VALUE"""),"Double top Valla 1115x1000 mm blanca")</f>
        <v>Double top Valla 1115x1000 mm blanca</v>
      </c>
      <c r="C1407" s="4">
        <f>IFERROR(__xludf.DUMMYFUNCTION("""COMPUTED_VALUE"""),47.0)</f>
        <v>47</v>
      </c>
      <c r="D1407" s="4"/>
      <c r="E1407" s="4" t="str">
        <f>IFERROR(__xludf.DUMMYFUNCTION("""COMPUTED_VALUE"""),"Sin precio neto")</f>
        <v>Sin precio neto</v>
      </c>
    </row>
    <row r="1408">
      <c r="A1408" s="4" t="str">
        <f>IFERROR(__xludf.DUMMYFUNCTION("""COMPUTED_VALUE"""),"1941R")</f>
        <v>1941R</v>
      </c>
      <c r="B1408" s="4" t="str">
        <f>IFERROR(__xludf.DUMMYFUNCTION("""COMPUTED_VALUE"""),"Double top Valla 1115x1000 mm roja")</f>
        <v>Double top Valla 1115x1000 mm roja</v>
      </c>
      <c r="C1408" s="4">
        <f>IFERROR(__xludf.DUMMYFUNCTION("""COMPUTED_VALUE"""),47.0)</f>
        <v>47</v>
      </c>
      <c r="D1408" s="4"/>
      <c r="E1408" s="4" t="str">
        <f>IFERROR(__xludf.DUMMYFUNCTION("""COMPUTED_VALUE"""),"Sin precio neto")</f>
        <v>Sin precio neto</v>
      </c>
    </row>
    <row r="1409">
      <c r="A1409" s="4" t="str">
        <f>IFERROR(__xludf.DUMMYFUNCTION("""COMPUTED_VALUE"""),"1942A")</f>
        <v>1942A</v>
      </c>
      <c r="B1409" s="4" t="str">
        <f>IFERROR(__xludf.DUMMYFUNCTION("""COMPUTED_VALUE"""),"Valla señal.Slim Gate Barrier 2 mtros Amarilla")</f>
        <v>Valla señal.Slim Gate Barrier 2 mtros Amarilla</v>
      </c>
      <c r="C1409" s="4">
        <f>IFERROR(__xludf.DUMMYFUNCTION("""COMPUTED_VALUE"""),53.0)</f>
        <v>53</v>
      </c>
      <c r="D1409" s="4"/>
      <c r="E1409" s="4" t="str">
        <f>IFERROR(__xludf.DUMMYFUNCTION("""COMPUTED_VALUE"""),"Sin precio neto")</f>
        <v>Sin precio neto</v>
      </c>
    </row>
    <row r="1410">
      <c r="A1410" s="4" t="str">
        <f>IFERROR(__xludf.DUMMYFUNCTION("""COMPUTED_VALUE"""),"1942B")</f>
        <v>1942B</v>
      </c>
      <c r="B1410" s="4" t="str">
        <f>IFERROR(__xludf.DUMMYFUNCTION("""COMPUTED_VALUE"""),"Valla señal.Slim Gate Barrier 2 mtros Blanco")</f>
        <v>Valla señal.Slim Gate Barrier 2 mtros Blanco</v>
      </c>
      <c r="C1410" s="4">
        <f>IFERROR(__xludf.DUMMYFUNCTION("""COMPUTED_VALUE"""),53.0)</f>
        <v>53</v>
      </c>
      <c r="D1410" s="4"/>
      <c r="E1410" s="4" t="str">
        <f>IFERROR(__xludf.DUMMYFUNCTION("""COMPUTED_VALUE"""),"Sin precio neto")</f>
        <v>Sin precio neto</v>
      </c>
    </row>
    <row r="1411">
      <c r="A1411" s="4" t="str">
        <f>IFERROR(__xludf.DUMMYFUNCTION("""COMPUTED_VALUE"""),"1942N")</f>
        <v>1942N</v>
      </c>
      <c r="B1411" s="4" t="str">
        <f>IFERROR(__xludf.DUMMYFUNCTION("""COMPUTED_VALUE"""),"Valla señal.Slim Gate Barrier 2 mtros Naranja")</f>
        <v>Valla señal.Slim Gate Barrier 2 mtros Naranja</v>
      </c>
      <c r="C1411" s="4">
        <f>IFERROR(__xludf.DUMMYFUNCTION("""COMPUTED_VALUE"""),53.0)</f>
        <v>53</v>
      </c>
      <c r="D1411" s="4"/>
      <c r="E1411" s="4" t="str">
        <f>IFERROR(__xludf.DUMMYFUNCTION("""COMPUTED_VALUE"""),"Sin precio neto")</f>
        <v>Sin precio neto</v>
      </c>
    </row>
    <row r="1412">
      <c r="A1412" s="4" t="str">
        <f>IFERROR(__xludf.DUMMYFUNCTION("""COMPUTED_VALUE"""),"1942Z")</f>
        <v>1942Z</v>
      </c>
      <c r="B1412" s="4" t="str">
        <f>IFERROR(__xludf.DUMMYFUNCTION("""COMPUTED_VALUE"""),"Valla señal.Slim Gate Barrier 2 mtros Azul")</f>
        <v>Valla señal.Slim Gate Barrier 2 mtros Azul</v>
      </c>
      <c r="C1412" s="4">
        <f>IFERROR(__xludf.DUMMYFUNCTION("""COMPUTED_VALUE"""),53.0)</f>
        <v>53</v>
      </c>
      <c r="D1412" s="4"/>
      <c r="E1412" s="4" t="str">
        <f>IFERROR(__xludf.DUMMYFUNCTION("""COMPUTED_VALUE"""),"Sin precio neto")</f>
        <v>Sin precio neto</v>
      </c>
    </row>
    <row r="1413">
      <c r="A1413" s="4" t="str">
        <f>IFERROR(__xludf.DUMMYFUNCTION("""COMPUTED_VALUE"""),"2025")</f>
        <v>2025</v>
      </c>
      <c r="B1413" s="4" t="str">
        <f>IFERROR(__xludf.DUMMYFUNCTION("""COMPUTED_VALUE"""),"Desinfectante fungicida-bactericida 5 litros")</f>
        <v>Desinfectante fungicida-bactericida 5 litros</v>
      </c>
      <c r="C1413" s="4">
        <f>IFERROR(__xludf.DUMMYFUNCTION("""COMPUTED_VALUE"""),19.95)</f>
        <v>19.95</v>
      </c>
      <c r="D1413" s="4"/>
      <c r="E1413" s="4" t="str">
        <f>IFERROR(__xludf.DUMMYFUNCTION("""COMPUTED_VALUE"""),"Sin precio neto")</f>
        <v>Sin precio neto</v>
      </c>
    </row>
    <row r="1414">
      <c r="A1414" s="4" t="str">
        <f>IFERROR(__xludf.DUMMYFUNCTION("""COMPUTED_VALUE"""),"2031")</f>
        <v>2031</v>
      </c>
      <c r="B1414" s="4" t="str">
        <f>IFERROR(__xludf.DUMMYFUNCTION("""COMPUTED_VALUE"""),"Tiralíneas grande Rolycord GM 100m x 1.5mm")</f>
        <v>Tiralíneas grande Rolycord GM 100m x 1.5mm</v>
      </c>
      <c r="C1414" s="4">
        <f>IFERROR(__xludf.DUMMYFUNCTION("""COMPUTED_VALUE"""),9.0)</f>
        <v>9</v>
      </c>
      <c r="D1414" s="4"/>
      <c r="E1414" s="4" t="str">
        <f>IFERROR(__xludf.DUMMYFUNCTION("""COMPUTED_VALUE"""),"Sin precio neto")</f>
        <v>Sin precio neto</v>
      </c>
    </row>
    <row r="1415">
      <c r="A1415" s="4" t="str">
        <f>IFERROR(__xludf.DUMMYFUNCTION("""COMPUTED_VALUE"""),"2032")</f>
        <v>2032</v>
      </c>
      <c r="B1415" s="4" t="str">
        <f>IFERROR(__xludf.DUMMYFUNCTION("""COMPUTED_VALUE"""),"Tiralíneas Pequeño Rolycord 60m x 2 mmº")</f>
        <v>Tiralíneas Pequeño Rolycord 60m x 2 mmº</v>
      </c>
      <c r="C1415" s="4">
        <f>IFERROR(__xludf.DUMMYFUNCTION("""COMPUTED_VALUE"""),8.0)</f>
        <v>8</v>
      </c>
      <c r="D1415" s="4"/>
      <c r="E1415" s="4" t="str">
        <f>IFERROR(__xludf.DUMMYFUNCTION("""COMPUTED_VALUE"""),"Sin precio neto")</f>
        <v>Sin precio neto</v>
      </c>
    </row>
    <row r="1416">
      <c r="A1416" s="4" t="str">
        <f>IFERROR(__xludf.DUMMYFUNCTION("""COMPUTED_VALUE"""),"2033")</f>
        <v>2033</v>
      </c>
      <c r="B1416" s="4" t="str">
        <f>IFERROR(__xludf.DUMMYFUNCTION("""COMPUTED_VALUE"""),"Lápiz bicolor Dúo Marker Rojo/azul (Display 100 uds)")</f>
        <v>Lápiz bicolor Dúo Marker Rojo/azul (Display 100 uds)</v>
      </c>
      <c r="C1416" s="4">
        <f>IFERROR(__xludf.DUMMYFUNCTION("""COMPUTED_VALUE"""),41.0)</f>
        <v>41</v>
      </c>
      <c r="D1416" s="4"/>
      <c r="E1416" s="4" t="str">
        <f>IFERROR(__xludf.DUMMYFUNCTION("""COMPUTED_VALUE"""),"Sin precio neto")</f>
        <v>Sin precio neto</v>
      </c>
    </row>
    <row r="1417">
      <c r="A1417" s="4" t="str">
        <f>IFERROR(__xludf.DUMMYFUNCTION("""COMPUTED_VALUE"""),"2034A")</f>
        <v>2034A</v>
      </c>
      <c r="B1417" s="4" t="str">
        <f>IFERROR(__xludf.DUMMYFUNCTION("""COMPUTED_VALUE"""),"Tiza hexagonal 120 x12 mm Amarillo (12 uds)")</f>
        <v>Tiza hexagonal 120 x12 mm Amarillo (12 uds)</v>
      </c>
      <c r="C1417" s="4">
        <f>IFERROR(__xludf.DUMMYFUNCTION("""COMPUTED_VALUE"""),4.95)</f>
        <v>4.95</v>
      </c>
      <c r="D1417" s="4"/>
      <c r="E1417" s="4" t="str">
        <f>IFERROR(__xludf.DUMMYFUNCTION("""COMPUTED_VALUE"""),"Sin precio neto")</f>
        <v>Sin precio neto</v>
      </c>
    </row>
    <row r="1418">
      <c r="A1418" s="4" t="str">
        <f>IFERROR(__xludf.DUMMYFUNCTION("""COMPUTED_VALUE"""),"2034B")</f>
        <v>2034B</v>
      </c>
      <c r="B1418" s="4" t="str">
        <f>IFERROR(__xludf.DUMMYFUNCTION("""COMPUTED_VALUE"""),"Tiza hexagonal 120 x12 mm blanco (12 uds)")</f>
        <v>Tiza hexagonal 120 x12 mm blanco (12 uds)</v>
      </c>
      <c r="C1418" s="4">
        <f>IFERROR(__xludf.DUMMYFUNCTION("""COMPUTED_VALUE"""),4.95)</f>
        <v>4.95</v>
      </c>
      <c r="D1418" s="4"/>
      <c r="E1418" s="4" t="str">
        <f>IFERROR(__xludf.DUMMYFUNCTION("""COMPUTED_VALUE"""),"Sin precio neto")</f>
        <v>Sin precio neto</v>
      </c>
    </row>
    <row r="1419">
      <c r="A1419" s="4" t="str">
        <f>IFERROR(__xludf.DUMMYFUNCTION("""COMPUTED_VALUE"""),"2034N")</f>
        <v>2034N</v>
      </c>
      <c r="B1419" s="4" t="str">
        <f>IFERROR(__xludf.DUMMYFUNCTION("""COMPUTED_VALUE"""),"Tiza hexagonal 120 x12 mm Negro (12 uds)")</f>
        <v>Tiza hexagonal 120 x12 mm Negro (12 uds)</v>
      </c>
      <c r="C1419" s="4">
        <f>IFERROR(__xludf.DUMMYFUNCTION("""COMPUTED_VALUE"""),4.95)</f>
        <v>4.95</v>
      </c>
      <c r="D1419" s="4"/>
      <c r="E1419" s="4" t="str">
        <f>IFERROR(__xludf.DUMMYFUNCTION("""COMPUTED_VALUE"""),"Sin precio neto")</f>
        <v>Sin precio neto</v>
      </c>
    </row>
    <row r="1420">
      <c r="A1420" s="4" t="str">
        <f>IFERROR(__xludf.DUMMYFUNCTION("""COMPUTED_VALUE"""),"2034R")</f>
        <v>2034R</v>
      </c>
      <c r="B1420" s="4" t="str">
        <f>IFERROR(__xludf.DUMMYFUNCTION("""COMPUTED_VALUE"""),"Tiza hexagonal 120 x12 mm Rojo (12 uds)")</f>
        <v>Tiza hexagonal 120 x12 mm Rojo (12 uds)</v>
      </c>
      <c r="C1420" s="4">
        <f>IFERROR(__xludf.DUMMYFUNCTION("""COMPUTED_VALUE"""),4.95)</f>
        <v>4.95</v>
      </c>
      <c r="D1420" s="4"/>
      <c r="E1420" s="4" t="str">
        <f>IFERROR(__xludf.DUMMYFUNCTION("""COMPUTED_VALUE"""),"Sin precio neto")</f>
        <v>Sin precio neto</v>
      </c>
    </row>
    <row r="1421">
      <c r="A1421" s="4" t="str">
        <f>IFERROR(__xludf.DUMMYFUNCTION("""COMPUTED_VALUE"""),"2034V")</f>
        <v>2034V</v>
      </c>
      <c r="B1421" s="4" t="str">
        <f>IFERROR(__xludf.DUMMYFUNCTION("""COMPUTED_VALUE"""),"Tiza hexagonal 120 x12 mm Verde (12 uds)")</f>
        <v>Tiza hexagonal 120 x12 mm Verde (12 uds)</v>
      </c>
      <c r="C1421" s="4">
        <f>IFERROR(__xludf.DUMMYFUNCTION("""COMPUTED_VALUE"""),4.95)</f>
        <v>4.95</v>
      </c>
      <c r="D1421" s="4"/>
      <c r="E1421" s="4" t="str">
        <f>IFERROR(__xludf.DUMMYFUNCTION("""COMPUTED_VALUE"""),"Sin precio neto")</f>
        <v>Sin precio neto</v>
      </c>
    </row>
    <row r="1422">
      <c r="A1422" s="4" t="str">
        <f>IFERROR(__xludf.DUMMYFUNCTION("""COMPUTED_VALUE"""),"2034Z")</f>
        <v>2034Z</v>
      </c>
      <c r="B1422" s="4" t="str">
        <f>IFERROR(__xludf.DUMMYFUNCTION("""COMPUTED_VALUE"""),"Tiza hexagonal 120 x12 mm Azul (12 uds)")</f>
        <v>Tiza hexagonal 120 x12 mm Azul (12 uds)</v>
      </c>
      <c r="C1422" s="4">
        <f>IFERROR(__xludf.DUMMYFUNCTION("""COMPUTED_VALUE"""),4.95)</f>
        <v>4.95</v>
      </c>
      <c r="D1422" s="4"/>
      <c r="E1422" s="4" t="str">
        <f>IFERROR(__xludf.DUMMYFUNCTION("""COMPUTED_VALUE"""),"Sin precio neto")</f>
        <v>Sin precio neto</v>
      </c>
    </row>
    <row r="1423">
      <c r="A1423" s="4" t="str">
        <f>IFERROR(__xludf.DUMMYFUNCTION("""COMPUTED_VALUE"""),"2035")</f>
        <v>2035</v>
      </c>
      <c r="B1423" s="4" t="str">
        <f>IFERROR(__xludf.DUMMYFUNCTION("""COMPUTED_VALUE"""),"Caja Lapiceros carpintero 180 (144 unid)")</f>
        <v>Caja Lapiceros carpintero 180 (144 unid)</v>
      </c>
      <c r="C1423" s="4">
        <f>IFERROR(__xludf.DUMMYFUNCTION("""COMPUTED_VALUE"""),9.2)</f>
        <v>9.2</v>
      </c>
      <c r="D1423" s="4"/>
      <c r="E1423" s="4" t="str">
        <f>IFERROR(__xludf.DUMMYFUNCTION("""COMPUTED_VALUE"""),"Sin precio neto")</f>
        <v>Sin precio neto</v>
      </c>
    </row>
    <row r="1424">
      <c r="A1424" s="4" t="str">
        <f>IFERROR(__xludf.DUMMYFUNCTION("""COMPUTED_VALUE"""),"2036")</f>
        <v>2036</v>
      </c>
      <c r="B1424" s="4" t="str">
        <f>IFERROR(__xludf.DUMMYFUNCTION("""COMPUTED_VALUE"""),"Lapiz Recargable Metalico")</f>
        <v>Lapiz Recargable Metalico</v>
      </c>
      <c r="C1424" s="4">
        <f>IFERROR(__xludf.DUMMYFUNCTION("""COMPUTED_VALUE"""),3.6)</f>
        <v>3.6</v>
      </c>
      <c r="D1424" s="4"/>
      <c r="E1424" s="4" t="str">
        <f>IFERROR(__xludf.DUMMYFUNCTION("""COMPUTED_VALUE"""),"Sin precio neto")</f>
        <v>Sin precio neto</v>
      </c>
    </row>
    <row r="1425">
      <c r="A1425" s="4" t="str">
        <f>IFERROR(__xludf.DUMMYFUNCTION("""COMPUTED_VALUE"""),"2036E")</f>
        <v>2036E</v>
      </c>
      <c r="B1425" s="4" t="str">
        <f>IFERROR(__xludf.DUMMYFUNCTION("""COMPUTED_VALUE"""),"Caja lápiz carpintero Mod. Europe (100 uds)")</f>
        <v>Caja lápiz carpintero Mod. Europe (100 uds)</v>
      </c>
      <c r="C1425" s="4">
        <f>IFERROR(__xludf.DUMMYFUNCTION("""COMPUTED_VALUE"""),49.0)</f>
        <v>49</v>
      </c>
      <c r="D1425" s="4"/>
      <c r="E1425" s="4" t="str">
        <f>IFERROR(__xludf.DUMMYFUNCTION("""COMPUTED_VALUE"""),"Sin precio neto")</f>
        <v>Sin precio neto</v>
      </c>
    </row>
    <row r="1426">
      <c r="A1426" s="4" t="str">
        <f>IFERROR(__xludf.DUMMYFUNCTION("""COMPUTED_VALUE"""),"2037")</f>
        <v>2037</v>
      </c>
      <c r="B1426" s="4" t="str">
        <f>IFERROR(__xludf.DUMMYFUNCTION("""COMPUTED_VALUE"""),"Recambio Lapiz Metalico (50 und)")</f>
        <v>Recambio Lapiz Metalico (50 und)</v>
      </c>
      <c r="C1426" s="4">
        <f>IFERROR(__xludf.DUMMYFUNCTION("""COMPUTED_VALUE"""),2.365)</f>
        <v>2.365</v>
      </c>
      <c r="D1426" s="4"/>
      <c r="E1426" s="4" t="str">
        <f>IFERROR(__xludf.DUMMYFUNCTION("""COMPUTED_VALUE"""),"Sin precio neto")</f>
        <v>Sin precio neto</v>
      </c>
    </row>
    <row r="1427">
      <c r="A1427" s="4" t="str">
        <f>IFERROR(__xludf.DUMMYFUNCTION("""COMPUTED_VALUE"""),"2038")</f>
        <v>2038</v>
      </c>
      <c r="B1427" s="4" t="str">
        <f>IFERROR(__xludf.DUMMYFUNCTION("""COMPUTED_VALUE"""),"Tirolesa")</f>
        <v>Tirolesa</v>
      </c>
      <c r="C1427" s="4">
        <f>IFERROR(__xludf.DUMMYFUNCTION("""COMPUTED_VALUE"""),13.25)</f>
        <v>13.25</v>
      </c>
      <c r="D1427" s="4"/>
      <c r="E1427" s="4" t="str">
        <f>IFERROR(__xludf.DUMMYFUNCTION("""COMPUTED_VALUE"""),"Sin precio neto")</f>
        <v>Sin precio neto</v>
      </c>
    </row>
    <row r="1428">
      <c r="A1428" s="4" t="str">
        <f>IFERROR(__xludf.DUMMYFUNCTION("""COMPUTED_VALUE"""),"2039")</f>
        <v>2039</v>
      </c>
      <c r="B1428" s="4" t="str">
        <f>IFERROR(__xludf.DUMMYFUNCTION("""COMPUTED_VALUE"""),"Octometro nueva generacion con mochila de transporte")</f>
        <v>Octometro nueva generacion con mochila de transporte</v>
      </c>
      <c r="C1428" s="4">
        <f>IFERROR(__xludf.DUMMYFUNCTION("""COMPUTED_VALUE"""),24.65)</f>
        <v>24.65</v>
      </c>
      <c r="D1428" s="4"/>
      <c r="E1428" s="4" t="str">
        <f>IFERROR(__xludf.DUMMYFUNCTION("""COMPUTED_VALUE"""),"Sin precio neto")</f>
        <v>Sin precio neto</v>
      </c>
    </row>
    <row r="1429">
      <c r="A1429" s="4" t="str">
        <f>IFERROR(__xludf.DUMMYFUNCTION("""COMPUTED_VALUE"""),"2040")</f>
        <v>2040</v>
      </c>
      <c r="B1429" s="4" t="str">
        <f>IFERROR(__xludf.DUMMYFUNCTION("""COMPUTED_VALUE"""),"Bolsa encofrador polipiel 21x21 1 bolsillo")</f>
        <v>Bolsa encofrador polipiel 21x21 1 bolsillo</v>
      </c>
      <c r="C1429" s="4">
        <f>IFERROR(__xludf.DUMMYFUNCTION("""COMPUTED_VALUE"""),6.45)</f>
        <v>6.45</v>
      </c>
      <c r="D1429" s="4"/>
      <c r="E1429" s="4" t="str">
        <f>IFERROR(__xludf.DUMMYFUNCTION("""COMPUTED_VALUE"""),"Sin precio neto")</f>
        <v>Sin precio neto</v>
      </c>
    </row>
    <row r="1430">
      <c r="A1430" s="4" t="str">
        <f>IFERROR(__xludf.DUMMYFUNCTION("""COMPUTED_VALUE"""),"2041")</f>
        <v>2041</v>
      </c>
      <c r="B1430" s="4" t="str">
        <f>IFERROR(__xludf.DUMMYFUNCTION("""COMPUTED_VALUE"""),"Display 12 tiralineas 15 m (línea eco) + 12 botes azulete 60 gr")</f>
        <v>Display 12 tiralineas 15 m (línea eco) + 12 botes azulete 60 gr</v>
      </c>
      <c r="C1430" s="4">
        <f>IFERROR(__xludf.DUMMYFUNCTION("""COMPUTED_VALUE"""),49.0)</f>
        <v>49</v>
      </c>
      <c r="D1430" s="4"/>
      <c r="E1430" s="4" t="str">
        <f>IFERROR(__xludf.DUMMYFUNCTION("""COMPUTED_VALUE"""),"Sin precio neto")</f>
        <v>Sin precio neto</v>
      </c>
    </row>
    <row r="1431">
      <c r="A1431" s="4" t="str">
        <f>IFERROR(__xludf.DUMMYFUNCTION("""COMPUTED_VALUE"""),"2042")</f>
        <v>2042</v>
      </c>
      <c r="B1431" s="4" t="str">
        <f>IFERROR(__xludf.DUMMYFUNCTION("""COMPUTED_VALUE"""),"Display 3 tiralíneas 50 m y 3 botes azulete 1 kg")</f>
        <v>Display 3 tiralíneas 50 m y 3 botes azulete 1 kg</v>
      </c>
      <c r="C1431" s="4">
        <f>IFERROR(__xludf.DUMMYFUNCTION("""COMPUTED_VALUE"""),80.0)</f>
        <v>80</v>
      </c>
      <c r="D1431" s="4"/>
      <c r="E1431" s="4" t="str">
        <f>IFERROR(__xludf.DUMMYFUNCTION("""COMPUTED_VALUE"""),"Sin precio neto")</f>
        <v>Sin precio neto</v>
      </c>
    </row>
    <row r="1432">
      <c r="A1432" s="4" t="str">
        <f>IFERROR(__xludf.DUMMYFUNCTION("""COMPUTED_VALUE"""),"2046")</f>
        <v>2046</v>
      </c>
      <c r="B1432" s="4" t="str">
        <f>IFERROR(__xludf.DUMMYFUNCTION("""COMPUTED_VALUE"""),"Tiralíneas Prático 30 mts con botella azulete")</f>
        <v>Tiralíneas Prático 30 mts con botella azulete</v>
      </c>
      <c r="C1432" s="4">
        <f>IFERROR(__xludf.DUMMYFUNCTION("""COMPUTED_VALUE"""),4.0)</f>
        <v>4</v>
      </c>
      <c r="D1432" s="4"/>
      <c r="E1432" s="4" t="str">
        <f>IFERROR(__xludf.DUMMYFUNCTION("""COMPUTED_VALUE"""),"Sin precio neto")</f>
        <v>Sin precio neto</v>
      </c>
    </row>
    <row r="1433">
      <c r="A1433" s="4" t="str">
        <f>IFERROR(__xludf.DUMMYFUNCTION("""COMPUTED_VALUE"""),"2047")</f>
        <v>2047</v>
      </c>
      <c r="B1433" s="4" t="str">
        <f>IFERROR(__xludf.DUMMYFUNCTION("""COMPUTED_VALUE"""),"Aplicador cinta balizamiento")</f>
        <v>Aplicador cinta balizamiento</v>
      </c>
      <c r="C1433" s="4">
        <f>IFERROR(__xludf.DUMMYFUNCTION("""COMPUTED_VALUE"""),3.0)</f>
        <v>3</v>
      </c>
      <c r="D1433" s="4"/>
      <c r="E1433" s="4" t="str">
        <f>IFERROR(__xludf.DUMMYFUNCTION("""COMPUTED_VALUE"""),"Sin precio neto")</f>
        <v>Sin precio neto</v>
      </c>
    </row>
    <row r="1434">
      <c r="A1434" s="4" t="str">
        <f>IFERROR(__xludf.DUMMYFUNCTION("""COMPUTED_VALUE"""),"2050")</f>
        <v>2050</v>
      </c>
      <c r="B1434" s="4" t="str">
        <f>IFERROR(__xludf.DUMMYFUNCTION("""COMPUTED_VALUE"""),"Toldo polietileno 2x3 verde 120 gr.")</f>
        <v>Toldo polietileno 2x3 verde 120 gr.</v>
      </c>
      <c r="C1434" s="4">
        <f>IFERROR(__xludf.DUMMYFUNCTION("""COMPUTED_VALUE"""),3.95)</f>
        <v>3.95</v>
      </c>
      <c r="D1434" s="4">
        <f>IFERROR(__xludf.DUMMYFUNCTION("""COMPUTED_VALUE"""),3.05)</f>
        <v>3.05</v>
      </c>
      <c r="E1434" s="4" t="str">
        <f>IFERROR(__xludf.DUMMYFUNCTION("""COMPUTED_VALUE"""),"Neto: 3,05 € (a partir de 30 uds.)")</f>
        <v>Neto: 3,05 € (a partir de 30 uds.)</v>
      </c>
    </row>
    <row r="1435">
      <c r="A1435" s="4" t="str">
        <f>IFERROR(__xludf.DUMMYFUNCTION("""COMPUTED_VALUE"""),"2051")</f>
        <v>2051</v>
      </c>
      <c r="B1435" s="4" t="str">
        <f>IFERROR(__xludf.DUMMYFUNCTION("""COMPUTED_VALUE"""),"Toldo polietileno 3x4 verde 120 gr.")</f>
        <v>Toldo polietileno 3x4 verde 120 gr.</v>
      </c>
      <c r="C1435" s="4">
        <f>IFERROR(__xludf.DUMMYFUNCTION("""COMPUTED_VALUE"""),7.75)</f>
        <v>7.75</v>
      </c>
      <c r="D1435" s="4">
        <f>IFERROR(__xludf.DUMMYFUNCTION("""COMPUTED_VALUE"""),6.2)</f>
        <v>6.2</v>
      </c>
      <c r="E1435" s="4" t="str">
        <f>IFERROR(__xludf.DUMMYFUNCTION("""COMPUTED_VALUE"""),"Neto: 6,20 € (a partir de 15 uds.)")</f>
        <v>Neto: 6,20 € (a partir de 15 uds.)</v>
      </c>
    </row>
    <row r="1436">
      <c r="A1436" s="4" t="str">
        <f>IFERROR(__xludf.DUMMYFUNCTION("""COMPUTED_VALUE"""),"2052")</f>
        <v>2052</v>
      </c>
      <c r="B1436" s="4" t="str">
        <f>IFERROR(__xludf.DUMMYFUNCTION("""COMPUTED_VALUE"""),"Toldo polietileno 4x6 verde 120 gr.")</f>
        <v>Toldo polietileno 4x6 verde 120 gr.</v>
      </c>
      <c r="C1436" s="4">
        <f>IFERROR(__xludf.DUMMYFUNCTION("""COMPUTED_VALUE"""),13.9)</f>
        <v>13.9</v>
      </c>
      <c r="D1436" s="4">
        <f>IFERROR(__xludf.DUMMYFUNCTION("""COMPUTED_VALUE"""),11.5)</f>
        <v>11.5</v>
      </c>
      <c r="E1436" s="4" t="str">
        <f>IFERROR(__xludf.DUMMYFUNCTION("""COMPUTED_VALUE"""),"Neto: 11,50 € (a partir de 8 uds.)")</f>
        <v>Neto: 11,50 € (a partir de 8 uds.)</v>
      </c>
    </row>
    <row r="1437">
      <c r="A1437" s="4" t="str">
        <f>IFERROR(__xludf.DUMMYFUNCTION("""COMPUTED_VALUE"""),"2053")</f>
        <v>2053</v>
      </c>
      <c r="B1437" s="4" t="str">
        <f>IFERROR(__xludf.DUMMYFUNCTION("""COMPUTED_VALUE"""),"Toldo polietileno 5x8 verde 120 gr.")</f>
        <v>Toldo polietileno 5x8 verde 120 gr.</v>
      </c>
      <c r="C1437" s="4">
        <f>IFERROR(__xludf.DUMMYFUNCTION("""COMPUTED_VALUE"""),24.5)</f>
        <v>24.5</v>
      </c>
      <c r="D1437" s="4">
        <f>IFERROR(__xludf.DUMMYFUNCTION("""COMPUTED_VALUE"""),17.5)</f>
        <v>17.5</v>
      </c>
      <c r="E1437" s="4" t="str">
        <f>IFERROR(__xludf.DUMMYFUNCTION("""COMPUTED_VALUE"""),"Neto: 17,50 € (a partir de 5 uds.)")</f>
        <v>Neto: 17,50 € (a partir de 5 uds.)</v>
      </c>
    </row>
    <row r="1438">
      <c r="A1438" s="4" t="str">
        <f>IFERROR(__xludf.DUMMYFUNCTION("""COMPUTED_VALUE"""),"2054")</f>
        <v>2054</v>
      </c>
      <c r="B1438" s="4" t="str">
        <f>IFERROR(__xludf.DUMMYFUNCTION("""COMPUTED_VALUE"""),"Toldo polietileno 6x10 verde 120 gr.")</f>
        <v>Toldo polietileno 6x10 verde 120 gr.</v>
      </c>
      <c r="C1438" s="4">
        <f>IFERROR(__xludf.DUMMYFUNCTION("""COMPUTED_VALUE"""),32.5)</f>
        <v>32.5</v>
      </c>
      <c r="D1438" s="4">
        <f>IFERROR(__xludf.DUMMYFUNCTION("""COMPUTED_VALUE"""),26.5)</f>
        <v>26.5</v>
      </c>
      <c r="E1438" s="4" t="str">
        <f>IFERROR(__xludf.DUMMYFUNCTION("""COMPUTED_VALUE"""),"Neto: 26,50 € (a partir de 3 uds.)")</f>
        <v>Neto: 26,50 € (a partir de 3 uds.)</v>
      </c>
    </row>
    <row r="1439">
      <c r="A1439" s="4" t="str">
        <f>IFERROR(__xludf.DUMMYFUNCTION("""COMPUTED_VALUE"""),"2058")</f>
        <v>2058</v>
      </c>
      <c r="B1439" s="4" t="str">
        <f>IFERROR(__xludf.DUMMYFUNCTION("""COMPUTED_VALUE"""),"Toldo polietileno 3x5 azul 80 gr")</f>
        <v>Toldo polietileno 3x5 azul 80 gr</v>
      </c>
      <c r="C1439" s="4">
        <f>IFERROR(__xludf.DUMMYFUNCTION("""COMPUTED_VALUE"""),6.2)</f>
        <v>6.2</v>
      </c>
      <c r="D1439" s="4">
        <f>IFERROR(__xludf.DUMMYFUNCTION("""COMPUTED_VALUE"""),5.3)</f>
        <v>5.3</v>
      </c>
      <c r="E1439" s="4" t="str">
        <f>IFERROR(__xludf.DUMMYFUNCTION("""COMPUTED_VALUE"""),"Neto: 5,30 € (a partir de 20 uds.)")</f>
        <v>Neto: 5,30 € (a partir de 20 uds.)</v>
      </c>
    </row>
    <row r="1440">
      <c r="A1440" s="4" t="str">
        <f>IFERROR(__xludf.DUMMYFUNCTION("""COMPUTED_VALUE"""),"2059")</f>
        <v>2059</v>
      </c>
      <c r="B1440" s="4" t="str">
        <f>IFERROR(__xludf.DUMMYFUNCTION("""COMPUTED_VALUE"""),"Toldo polietileno 4x5 azul 80 gr")</f>
        <v>Toldo polietileno 4x5 azul 80 gr</v>
      </c>
      <c r="C1440" s="4">
        <f>IFERROR(__xludf.DUMMYFUNCTION("""COMPUTED_VALUE"""),10.5)</f>
        <v>10.5</v>
      </c>
      <c r="D1440" s="4">
        <f>IFERROR(__xludf.DUMMYFUNCTION("""COMPUTED_VALUE"""),7.5)</f>
        <v>7.5</v>
      </c>
      <c r="E1440" s="4" t="str">
        <f>IFERROR(__xludf.DUMMYFUNCTION("""COMPUTED_VALUE"""),"Neto: 7,50 € (a partir de 10 uds.)")</f>
        <v>Neto: 7,50 € (a partir de 10 uds.)</v>
      </c>
    </row>
    <row r="1441">
      <c r="A1441" s="4" t="str">
        <f>IFERROR(__xludf.DUMMYFUNCTION("""COMPUTED_VALUE"""),"2060")</f>
        <v>2060</v>
      </c>
      <c r="B1441" s="4" t="str">
        <f>IFERROR(__xludf.DUMMYFUNCTION("""COMPUTED_VALUE"""),"Toldo polietileno 2x3 azul 80 gr.")</f>
        <v>Toldo polietileno 2x3 azul 80 gr.</v>
      </c>
      <c r="C1441" s="4">
        <f>IFERROR(__xludf.DUMMYFUNCTION("""COMPUTED_VALUE"""),2.8)</f>
        <v>2.8</v>
      </c>
      <c r="D1441" s="4">
        <f>IFERROR(__xludf.DUMMYFUNCTION("""COMPUTED_VALUE"""),2.4)</f>
        <v>2.4</v>
      </c>
      <c r="E1441" s="4" t="str">
        <f>IFERROR(__xludf.DUMMYFUNCTION("""COMPUTED_VALUE"""),"Neto: 2,40 € (a partir de 40 uds.)")</f>
        <v>Neto: 2,40 € (a partir de 40 uds.)</v>
      </c>
    </row>
    <row r="1442">
      <c r="A1442" s="4" t="str">
        <f>IFERROR(__xludf.DUMMYFUNCTION("""COMPUTED_VALUE"""),"2061")</f>
        <v>2061</v>
      </c>
      <c r="B1442" s="4" t="str">
        <f>IFERROR(__xludf.DUMMYFUNCTION("""COMPUTED_VALUE"""),"Toldo polietileno 3x4 azul 80 gr.")</f>
        <v>Toldo polietileno 3x4 azul 80 gr.</v>
      </c>
      <c r="C1442" s="4">
        <f>IFERROR(__xludf.DUMMYFUNCTION("""COMPUTED_VALUE"""),4.85)</f>
        <v>4.85</v>
      </c>
      <c r="D1442" s="4">
        <f>IFERROR(__xludf.DUMMYFUNCTION("""COMPUTED_VALUE"""),5.1)</f>
        <v>5.1</v>
      </c>
      <c r="E1442" s="4" t="str">
        <f>IFERROR(__xludf.DUMMYFUNCTION("""COMPUTED_VALUE"""),"Neto: 5,10 € (a partir de 20 uds.)")</f>
        <v>Neto: 5,10 € (a partir de 20 uds.)</v>
      </c>
    </row>
    <row r="1443">
      <c r="A1443" s="4" t="str">
        <f>IFERROR(__xludf.DUMMYFUNCTION("""COMPUTED_VALUE"""),"2062")</f>
        <v>2062</v>
      </c>
      <c r="B1443" s="4" t="str">
        <f>IFERROR(__xludf.DUMMYFUNCTION("""COMPUTED_VALUE"""),"Toldo polietileno 4x6 azul 80 gr")</f>
        <v>Toldo polietileno 4x6 azul 80 gr</v>
      </c>
      <c r="C1443" s="4">
        <f>IFERROR(__xludf.DUMMYFUNCTION("""COMPUTED_VALUE"""),11.3)</f>
        <v>11.3</v>
      </c>
      <c r="D1443" s="4">
        <f>IFERROR(__xludf.DUMMYFUNCTION("""COMPUTED_VALUE"""),8.6)</f>
        <v>8.6</v>
      </c>
      <c r="E1443" s="4" t="str">
        <f>IFERROR(__xludf.DUMMYFUNCTION("""COMPUTED_VALUE"""),"Neto: 8,60 € (a partir de 10 uds.)")</f>
        <v>Neto: 8,60 € (a partir de 10 uds.)</v>
      </c>
    </row>
    <row r="1444">
      <c r="A1444" s="4" t="str">
        <f>IFERROR(__xludf.DUMMYFUNCTION("""COMPUTED_VALUE"""),"2063")</f>
        <v>2063</v>
      </c>
      <c r="B1444" s="4" t="str">
        <f>IFERROR(__xludf.DUMMYFUNCTION("""COMPUTED_VALUE"""),"Toldo polietileno 5x8 azul 80 gr.")</f>
        <v>Toldo polietileno 5x8 azul 80 gr.</v>
      </c>
      <c r="C1444" s="4">
        <f>IFERROR(__xludf.DUMMYFUNCTION("""COMPUTED_VALUE"""),16.95)</f>
        <v>16.95</v>
      </c>
      <c r="D1444" s="4">
        <f>IFERROR(__xludf.DUMMYFUNCTION("""COMPUTED_VALUE"""),13.5)</f>
        <v>13.5</v>
      </c>
      <c r="E1444" s="4" t="str">
        <f>IFERROR(__xludf.DUMMYFUNCTION("""COMPUTED_VALUE"""),"Neto: 13,50 € (a partir de 6 uds.)")</f>
        <v>Neto: 13,50 € (a partir de 6 uds.)</v>
      </c>
    </row>
    <row r="1445">
      <c r="A1445" s="4" t="str">
        <f>IFERROR(__xludf.DUMMYFUNCTION("""COMPUTED_VALUE"""),"2064")</f>
        <v>2064</v>
      </c>
      <c r="B1445" s="4" t="str">
        <f>IFERROR(__xludf.DUMMYFUNCTION("""COMPUTED_VALUE"""),"Toldo polietileno 6x10 azul 80 gr.")</f>
        <v>Toldo polietileno 6x10 azul 80 gr.</v>
      </c>
      <c r="C1445" s="4">
        <f>IFERROR(__xludf.DUMMYFUNCTION("""COMPUTED_VALUE"""),23.5)</f>
        <v>23.5</v>
      </c>
      <c r="D1445" s="4">
        <f>IFERROR(__xludf.DUMMYFUNCTION("""COMPUTED_VALUE"""),19.5)</f>
        <v>19.5</v>
      </c>
      <c r="E1445" s="4" t="str">
        <f>IFERROR(__xludf.DUMMYFUNCTION("""COMPUTED_VALUE"""),"Neto: 19,50 € (a partir de 4 uds.)")</f>
        <v>Neto: 19,50 € (a partir de 4 uds.)</v>
      </c>
    </row>
    <row r="1446">
      <c r="A1446" s="4" t="str">
        <f>IFERROR(__xludf.DUMMYFUNCTION("""COMPUTED_VALUE"""),"2065")</f>
        <v>2065</v>
      </c>
      <c r="B1446" s="4" t="str">
        <f>IFERROR(__xludf.DUMMYFUNCTION("""COMPUTED_VALUE"""),"Toldo polietileno 8x12 azul 80 gr.")</f>
        <v>Toldo polietileno 8x12 azul 80 gr.</v>
      </c>
      <c r="C1446" s="4">
        <f>IFERROR(__xludf.DUMMYFUNCTION("""COMPUTED_VALUE"""),30.1)</f>
        <v>30.1</v>
      </c>
      <c r="D1446" s="4">
        <f>IFERROR(__xludf.DUMMYFUNCTION("""COMPUTED_VALUE"""),32.5)</f>
        <v>32.5</v>
      </c>
      <c r="E1446" s="4" t="str">
        <f>IFERROR(__xludf.DUMMYFUNCTION("""COMPUTED_VALUE"""),"Neto: 32,50 € (a partir de 2 uds.)")</f>
        <v>Neto: 32,50 € (a partir de 2 uds.)</v>
      </c>
    </row>
    <row r="1447">
      <c r="A1447" s="4" t="str">
        <f>IFERROR(__xludf.DUMMYFUNCTION("""COMPUTED_VALUE"""),"2066")</f>
        <v>2066</v>
      </c>
      <c r="B1447" s="4" t="str">
        <f>IFERROR(__xludf.DUMMYFUNCTION("""COMPUTED_VALUE"""),"Toldo polietileno 10x15 azul 80 gr.")</f>
        <v>Toldo polietileno 10x15 azul 80 gr.</v>
      </c>
      <c r="C1447" s="4">
        <f>IFERROR(__xludf.DUMMYFUNCTION("""COMPUTED_VALUE"""),42.0)</f>
        <v>42</v>
      </c>
      <c r="D1447" s="4">
        <f>IFERROR(__xludf.DUMMYFUNCTION("""COMPUTED_VALUE"""),38.5)</f>
        <v>38.5</v>
      </c>
      <c r="E1447" s="4" t="str">
        <f>IFERROR(__xludf.DUMMYFUNCTION("""COMPUTED_VALUE"""),"Neto: 38,50 € (a partir de 1 uds.)")</f>
        <v>Neto: 38,50 € (a partir de 1 uds.)</v>
      </c>
    </row>
    <row r="1448">
      <c r="A1448" s="4" t="str">
        <f>IFERROR(__xludf.DUMMYFUNCTION("""COMPUTED_VALUE"""),"2101")</f>
        <v>2101</v>
      </c>
      <c r="B1448" s="4" t="str">
        <f>IFERROR(__xludf.DUMMYFUNCTION("""COMPUTED_VALUE"""),"Baliza solar amarilla para cono")</f>
        <v>Baliza solar amarilla para cono</v>
      </c>
      <c r="C1448" s="4">
        <f>IFERROR(__xludf.DUMMYFUNCTION("""COMPUTED_VALUE"""),19.95)</f>
        <v>19.95</v>
      </c>
      <c r="D1448" s="4"/>
      <c r="E1448" s="4" t="str">
        <f>IFERROR(__xludf.DUMMYFUNCTION("""COMPUTED_VALUE"""),"Sin precio neto")</f>
        <v>Sin precio neto</v>
      </c>
    </row>
    <row r="1449">
      <c r="A1449" s="4" t="str">
        <f>IFERROR(__xludf.DUMMYFUNCTION("""COMPUTED_VALUE"""),"2102")</f>
        <v>2102</v>
      </c>
      <c r="B1449" s="4" t="str">
        <f>IFERROR(__xludf.DUMMYFUNCTION("""COMPUTED_VALUE"""),"Baliza Solar Roja para cono")</f>
        <v>Baliza Solar Roja para cono</v>
      </c>
      <c r="C1449" s="4">
        <f>IFERROR(__xludf.DUMMYFUNCTION("""COMPUTED_VALUE"""),19.95)</f>
        <v>19.95</v>
      </c>
      <c r="D1449" s="4"/>
      <c r="E1449" s="4" t="str">
        <f>IFERROR(__xludf.DUMMYFUNCTION("""COMPUTED_VALUE"""),"Sin precio neto")</f>
        <v>Sin precio neto</v>
      </c>
    </row>
    <row r="1450">
      <c r="A1450" s="4" t="str">
        <f>IFERROR(__xludf.DUMMYFUNCTION("""COMPUTED_VALUE"""),"2134")</f>
        <v>2134</v>
      </c>
      <c r="B1450" s="4" t="str">
        <f>IFERROR(__xludf.DUMMYFUNCTION("""COMPUTED_VALUE"""),"Tope parking Mod D 183 cm")</f>
        <v>Tope parking Mod D 183 cm</v>
      </c>
      <c r="C1450" s="4">
        <f>IFERROR(__xludf.DUMMYFUNCTION("""COMPUTED_VALUE"""),35.09)</f>
        <v>35.09</v>
      </c>
      <c r="D1450" s="4"/>
      <c r="E1450" s="4" t="str">
        <f>IFERROR(__xludf.DUMMYFUNCTION("""COMPUTED_VALUE"""),"Sin precio neto")</f>
        <v>Sin precio neto</v>
      </c>
    </row>
    <row r="1451">
      <c r="A1451" s="4" t="str">
        <f>IFERROR(__xludf.DUMMYFUNCTION("""COMPUTED_VALUE"""),"2151")</f>
        <v>2151</v>
      </c>
      <c r="B1451" s="4" t="str">
        <f>IFERROR(__xludf.DUMMYFUNCTION("""COMPUTED_VALUE"""),"Separador Carril 75 cm + base")</f>
        <v>Separador Carril 75 cm + base</v>
      </c>
      <c r="C1451" s="4">
        <f>IFERROR(__xludf.DUMMYFUNCTION("""COMPUTED_VALUE"""),31.0)</f>
        <v>31</v>
      </c>
      <c r="D1451" s="4"/>
      <c r="E1451" s="4" t="str">
        <f>IFERROR(__xludf.DUMMYFUNCTION("""COMPUTED_VALUE"""),"Sin precio neto")</f>
        <v>Sin precio neto</v>
      </c>
    </row>
    <row r="1452">
      <c r="A1452" s="4" t="str">
        <f>IFERROR(__xludf.DUMMYFUNCTION("""COMPUTED_VALUE"""),"2234")</f>
        <v>2234</v>
      </c>
      <c r="B1452" s="4" t="str">
        <f>IFERROR(__xludf.DUMMYFUNCTION("""COMPUTED_VALUE"""),"Botella azulete 1Kg. Extra")</f>
        <v>Botella azulete 1Kg. Extra</v>
      </c>
      <c r="C1452" s="4">
        <f>IFERROR(__xludf.DUMMYFUNCTION("""COMPUTED_VALUE"""),4.35)</f>
        <v>4.35</v>
      </c>
      <c r="D1452" s="4"/>
      <c r="E1452" s="4" t="str">
        <f>IFERROR(__xludf.DUMMYFUNCTION("""COMPUTED_VALUE"""),"Sin precio neto")</f>
        <v>Sin precio neto</v>
      </c>
    </row>
    <row r="1453">
      <c r="A1453" s="4" t="str">
        <f>IFERROR(__xludf.DUMMYFUNCTION("""COMPUTED_VALUE"""),"2235")</f>
        <v>2235</v>
      </c>
      <c r="B1453" s="4" t="str">
        <f>IFERROR(__xludf.DUMMYFUNCTION("""COMPUTED_VALUE"""),"Botella azulete 1Kg. Super Extra")</f>
        <v>Botella azulete 1Kg. Super Extra</v>
      </c>
      <c r="C1453" s="4">
        <f>IFERROR(__xludf.DUMMYFUNCTION("""COMPUTED_VALUE"""),5.7)</f>
        <v>5.7</v>
      </c>
      <c r="D1453" s="4"/>
      <c r="E1453" s="4" t="str">
        <f>IFERROR(__xludf.DUMMYFUNCTION("""COMPUTED_VALUE"""),"Sin precio neto")</f>
        <v>Sin precio neto</v>
      </c>
    </row>
    <row r="1454">
      <c r="A1454" s="4" t="str">
        <f>IFERROR(__xludf.DUMMYFUNCTION("""COMPUTED_VALUE"""),"2236")</f>
        <v>2236</v>
      </c>
      <c r="B1454" s="4" t="str">
        <f>IFERROR(__xludf.DUMMYFUNCTION("""COMPUTED_VALUE"""),"Botella 200 gr. polvo fluo verde")</f>
        <v>Botella 200 gr. polvo fluo verde</v>
      </c>
      <c r="C1454" s="4">
        <f>IFERROR(__xludf.DUMMYFUNCTION("""COMPUTED_VALUE"""),3.8)</f>
        <v>3.8</v>
      </c>
      <c r="D1454" s="4"/>
      <c r="E1454" s="4" t="str">
        <f>IFERROR(__xludf.DUMMYFUNCTION("""COMPUTED_VALUE"""),"Sin precio neto")</f>
        <v>Sin precio neto</v>
      </c>
    </row>
    <row r="1455">
      <c r="A1455" s="4" t="str">
        <f>IFERROR(__xludf.DUMMYFUNCTION("""COMPUTED_VALUE"""),"2237")</f>
        <v>2237</v>
      </c>
      <c r="B1455" s="4" t="str">
        <f>IFERROR(__xludf.DUMMYFUNCTION("""COMPUTED_VALUE"""),"Botella 200 gr. polvo fluo naranja")</f>
        <v>Botella 200 gr. polvo fluo naranja</v>
      </c>
      <c r="C1455" s="4">
        <f>IFERROR(__xludf.DUMMYFUNCTION("""COMPUTED_VALUE"""),3.8)</f>
        <v>3.8</v>
      </c>
      <c r="D1455" s="4"/>
      <c r="E1455" s="4" t="str">
        <f>IFERROR(__xludf.DUMMYFUNCTION("""COMPUTED_VALUE"""),"Sin precio neto")</f>
        <v>Sin precio neto</v>
      </c>
    </row>
    <row r="1456">
      <c r="A1456" s="4" t="str">
        <f>IFERROR(__xludf.DUMMYFUNCTION("""COMPUTED_VALUE"""),"2238")</f>
        <v>2238</v>
      </c>
      <c r="B1456" s="4" t="str">
        <f>IFERROR(__xludf.DUMMYFUNCTION("""COMPUTED_VALUE"""),"Azulete Gaviota caja 1 Kg")</f>
        <v>Azulete Gaviota caja 1 Kg</v>
      </c>
      <c r="C1456" s="4">
        <f>IFERROR(__xludf.DUMMYFUNCTION("""COMPUTED_VALUE"""),16.0)</f>
        <v>16</v>
      </c>
      <c r="D1456" s="4"/>
      <c r="E1456" s="4" t="str">
        <f>IFERROR(__xludf.DUMMYFUNCTION("""COMPUTED_VALUE"""),"Sin precio neto")</f>
        <v>Sin precio neto</v>
      </c>
    </row>
    <row r="1457">
      <c r="A1457" s="4" t="str">
        <f>IFERROR(__xludf.DUMMYFUNCTION("""COMPUTED_VALUE"""),"2240")</f>
        <v>2240</v>
      </c>
      <c r="B1457" s="4" t="str">
        <f>IFERROR(__xludf.DUMMYFUNCTION("""COMPUTED_VALUE"""),"Tiralíneas Gigante 50 Mts.")</f>
        <v>Tiralíneas Gigante 50 Mts.</v>
      </c>
      <c r="C1457" s="4">
        <f>IFERROR(__xludf.DUMMYFUNCTION("""COMPUTED_VALUE"""),33.25)</f>
        <v>33.25</v>
      </c>
      <c r="D1457" s="4"/>
      <c r="E1457" s="4" t="str">
        <f>IFERROR(__xludf.DUMMYFUNCTION("""COMPUTED_VALUE"""),"Sin precio neto")</f>
        <v>Sin precio neto</v>
      </c>
    </row>
    <row r="1458">
      <c r="A1458" s="4" t="str">
        <f>IFERROR(__xludf.DUMMYFUNCTION("""COMPUTED_VALUE"""),"2241")</f>
        <v>2241</v>
      </c>
      <c r="B1458" s="4" t="str">
        <f>IFERROR(__xludf.DUMMYFUNCTION("""COMPUTED_VALUE"""),"Tiralíneas plastico 30 mt + botella polvo 100 gr")</f>
        <v>Tiralíneas plastico 30 mt + botella polvo 100 gr</v>
      </c>
      <c r="C1458" s="4">
        <f>IFERROR(__xludf.DUMMYFUNCTION("""COMPUTED_VALUE"""),3.25)</f>
        <v>3.25</v>
      </c>
      <c r="D1458" s="4"/>
      <c r="E1458" s="4" t="str">
        <f>IFERROR(__xludf.DUMMYFUNCTION("""COMPUTED_VALUE"""),"Sin precio neto")</f>
        <v>Sin precio neto</v>
      </c>
    </row>
    <row r="1459">
      <c r="A1459" s="4" t="str">
        <f>IFERROR(__xludf.DUMMYFUNCTION("""COMPUTED_VALUE"""),"2242")</f>
        <v>2242</v>
      </c>
      <c r="B1459" s="4" t="str">
        <f>IFERROR(__xludf.DUMMYFUNCTION("""COMPUTED_VALUE"""),"Tiralíneas aluminio 30 Mts")</f>
        <v>Tiralíneas aluminio 30 Mts</v>
      </c>
      <c r="C1459" s="4">
        <f>IFERROR(__xludf.DUMMYFUNCTION("""COMPUTED_VALUE"""),3.6)</f>
        <v>3.6</v>
      </c>
      <c r="D1459" s="4"/>
      <c r="E1459" s="4" t="str">
        <f>IFERROR(__xludf.DUMMYFUNCTION("""COMPUTED_VALUE"""),"Sin precio neto")</f>
        <v>Sin precio neto</v>
      </c>
    </row>
    <row r="1460">
      <c r="A1460" s="4" t="str">
        <f>IFERROR(__xludf.DUMMYFUNCTION("""COMPUTED_VALUE"""),"2244")</f>
        <v>2244</v>
      </c>
      <c r="B1460" s="4" t="str">
        <f>IFERROR(__xludf.DUMMYFUNCTION("""COMPUTED_VALUE"""),"Expositor 12 tiralineas Normo 30 metros + 12 botes polvo 100")</f>
        <v>Expositor 12 tiralineas Normo 30 metros + 12 botes polvo 100</v>
      </c>
      <c r="C1460" s="4">
        <f>IFERROR(__xludf.DUMMYFUNCTION("""COMPUTED_VALUE"""),49.4)</f>
        <v>49.4</v>
      </c>
      <c r="D1460" s="4"/>
      <c r="E1460" s="4" t="str">
        <f>IFERROR(__xludf.DUMMYFUNCTION("""COMPUTED_VALUE"""),"Sin precio neto")</f>
        <v>Sin precio neto</v>
      </c>
    </row>
    <row r="1461">
      <c r="A1461" s="4" t="str">
        <f>IFERROR(__xludf.DUMMYFUNCTION("""COMPUTED_VALUE"""),"2245")</f>
        <v>2245</v>
      </c>
      <c r="B1461" s="4" t="str">
        <f>IFERROR(__xludf.DUMMYFUNCTION("""COMPUTED_VALUE"""),"Tiralineas Magnum 50 metros")</f>
        <v>Tiralineas Magnum 50 metros</v>
      </c>
      <c r="C1461" s="4">
        <f>IFERROR(__xludf.DUMMYFUNCTION("""COMPUTED_VALUE"""),33.6)</f>
        <v>33.6</v>
      </c>
      <c r="D1461" s="4"/>
      <c r="E1461" s="4" t="str">
        <f>IFERROR(__xludf.DUMMYFUNCTION("""COMPUTED_VALUE"""),"Sin precio neto")</f>
        <v>Sin precio neto</v>
      </c>
    </row>
    <row r="1462">
      <c r="A1462" s="4" t="str">
        <f>IFERROR(__xludf.DUMMYFUNCTION("""COMPUTED_VALUE"""),"2413")</f>
        <v>2413</v>
      </c>
      <c r="B1462" s="4" t="str">
        <f>IFERROR(__xludf.DUMMYFUNCTION("""COMPUTED_VALUE"""),"Frotas esponja naranja g. GRUESO 280x140x20 (024PA)")</f>
        <v>Frotas esponja naranja g. GRUESO 280x140x20 (024PA)</v>
      </c>
      <c r="C1462" s="4">
        <f>IFERROR(__xludf.DUMMYFUNCTION("""COMPUTED_VALUE"""),6.5)</f>
        <v>6.5</v>
      </c>
      <c r="D1462" s="4"/>
      <c r="E1462" s="4" t="str">
        <f>IFERROR(__xludf.DUMMYFUNCTION("""COMPUTED_VALUE"""),"Sin precio neto")</f>
        <v>Sin precio neto</v>
      </c>
    </row>
    <row r="1463">
      <c r="A1463" s="4" t="str">
        <f>IFERROR(__xludf.DUMMYFUNCTION("""COMPUTED_VALUE"""),"2414")</f>
        <v>2414</v>
      </c>
      <c r="B1463" s="4" t="str">
        <f>IFERROR(__xludf.DUMMYFUNCTION("""COMPUTED_VALUE"""),"Frotas esponja Azul 280x140x14 grano FINO (024PB)")</f>
        <v>Frotas esponja Azul 280x140x14 grano FINO (024PB)</v>
      </c>
      <c r="C1463" s="4">
        <f>IFERROR(__xludf.DUMMYFUNCTION("""COMPUTED_VALUE"""),5.95)</f>
        <v>5.95</v>
      </c>
      <c r="D1463" s="4"/>
      <c r="E1463" s="4" t="str">
        <f>IFERROR(__xludf.DUMMYFUNCTION("""COMPUTED_VALUE"""),"Sin precio neto")</f>
        <v>Sin precio neto</v>
      </c>
    </row>
    <row r="1464">
      <c r="A1464" s="4" t="str">
        <f>IFERROR(__xludf.DUMMYFUNCTION("""COMPUTED_VALUE"""),"2507")</f>
        <v>2507</v>
      </c>
      <c r="B1464" s="4" t="str">
        <f>IFERROR(__xludf.DUMMYFUNCTION("""COMPUTED_VALUE"""),"Hito flexible Naranja 30 cm")</f>
        <v>Hito flexible Naranja 30 cm</v>
      </c>
      <c r="C1464" s="4">
        <f>IFERROR(__xludf.DUMMYFUNCTION("""COMPUTED_VALUE"""),7.9)</f>
        <v>7.9</v>
      </c>
      <c r="D1464" s="4"/>
      <c r="E1464" s="4" t="str">
        <f>IFERROR(__xludf.DUMMYFUNCTION("""COMPUTED_VALUE"""),"Sin precio neto")</f>
        <v>Sin precio neto</v>
      </c>
    </row>
    <row r="1465">
      <c r="A1465" s="4" t="str">
        <f>IFERROR(__xludf.DUMMYFUNCTION("""COMPUTED_VALUE"""),"2518")</f>
        <v>2518</v>
      </c>
      <c r="B1465" s="4" t="str">
        <f>IFERROR(__xludf.DUMMYFUNCTION("""COMPUTED_VALUE"""),"Hito flexible Naranja 100 cm")</f>
        <v>Hito flexible Naranja 100 cm</v>
      </c>
      <c r="C1465" s="4">
        <f>IFERROR(__xludf.DUMMYFUNCTION("""COMPUTED_VALUE"""),16.0)</f>
        <v>16</v>
      </c>
      <c r="D1465" s="4"/>
      <c r="E1465" s="4" t="str">
        <f>IFERROR(__xludf.DUMMYFUNCTION("""COMPUTED_VALUE"""),"Sin precio neto")</f>
        <v>Sin precio neto</v>
      </c>
    </row>
    <row r="1466">
      <c r="A1466" s="4" t="str">
        <f>IFERROR(__xludf.DUMMYFUNCTION("""COMPUTED_VALUE"""),"2519")</f>
        <v>2519</v>
      </c>
      <c r="B1466" s="4" t="str">
        <f>IFERROR(__xludf.DUMMYFUNCTION("""COMPUTED_VALUE"""),"Frotas esponja naranja grano medio 22x14 (018A)")</f>
        <v>Frotas esponja naranja grano medio 22x14 (018A)</v>
      </c>
      <c r="C1466" s="4">
        <f>IFERROR(__xludf.DUMMYFUNCTION("""COMPUTED_VALUE"""),4.9)</f>
        <v>4.9</v>
      </c>
      <c r="D1466" s="4"/>
      <c r="E1466" s="4" t="str">
        <f>IFERROR(__xludf.DUMMYFUNCTION("""COMPUTED_VALUE"""),"Sin precio neto")</f>
        <v>Sin precio neto</v>
      </c>
    </row>
    <row r="1467">
      <c r="A1467" s="4" t="str">
        <f>IFERROR(__xludf.DUMMYFUNCTION("""COMPUTED_VALUE"""),"2520")</f>
        <v>2520</v>
      </c>
      <c r="B1467" s="4" t="str">
        <f>IFERROR(__xludf.DUMMYFUNCTION("""COMPUTED_VALUE"""),"Frotas esponja azul grano fino 22x14 (018B)")</f>
        <v>Frotas esponja azul grano fino 22x14 (018B)</v>
      </c>
      <c r="C1467" s="4">
        <f>IFERROR(__xludf.DUMMYFUNCTION("""COMPUTED_VALUE"""),4.9)</f>
        <v>4.9</v>
      </c>
      <c r="D1467" s="4"/>
      <c r="E1467" s="4" t="str">
        <f>IFERROR(__xludf.DUMMYFUNCTION("""COMPUTED_VALUE"""),"Sin precio neto")</f>
        <v>Sin precio neto</v>
      </c>
    </row>
    <row r="1468">
      <c r="A1468" s="4" t="str">
        <f>IFERROR(__xludf.DUMMYFUNCTION("""COMPUTED_VALUE"""),"2530")</f>
        <v>2530</v>
      </c>
      <c r="B1468" s="4" t="str">
        <f>IFERROR(__xludf.DUMMYFUNCTION("""COMPUTED_VALUE"""),"Juego rodilleras alicatador")</f>
        <v>Juego rodilleras alicatador</v>
      </c>
      <c r="C1468" s="4">
        <f>IFERROR(__xludf.DUMMYFUNCTION("""COMPUTED_VALUE"""),4.8)</f>
        <v>4.8</v>
      </c>
      <c r="D1468" s="4"/>
      <c r="E1468" s="4" t="str">
        <f>IFERROR(__xludf.DUMMYFUNCTION("""COMPUTED_VALUE"""),"Sin precio neto")</f>
        <v>Sin precio neto</v>
      </c>
    </row>
    <row r="1469">
      <c r="A1469" s="4" t="str">
        <f>IFERROR(__xludf.DUMMYFUNCTION("""COMPUTED_VALUE"""),"2575Z")</f>
        <v>2575Z</v>
      </c>
      <c r="B1469" s="4" t="str">
        <f>IFERROR(__xludf.DUMMYFUNCTION("""COMPUTED_VALUE"""),"Rollo cuerda azul trazadora de 100 mts")</f>
        <v>Rollo cuerda azul trazadora de 100 mts</v>
      </c>
      <c r="C1469" s="4">
        <f>IFERROR(__xludf.DUMMYFUNCTION("""COMPUTED_VALUE"""),2.62)</f>
        <v>2.62</v>
      </c>
      <c r="D1469" s="4"/>
      <c r="E1469" s="4" t="str">
        <f>IFERROR(__xludf.DUMMYFUNCTION("""COMPUTED_VALUE"""),"Sin precio neto")</f>
        <v>Sin precio neto</v>
      </c>
    </row>
    <row r="1470">
      <c r="A1470" s="4" t="str">
        <f>IFERROR(__xludf.DUMMYFUNCTION("""COMPUTED_VALUE"""),"2601")</f>
        <v>2601</v>
      </c>
      <c r="B1470" s="4" t="str">
        <f>IFERROR(__xludf.DUMMYFUNCTION("""COMPUTED_VALUE"""),"Hito Direccion Obligatoria 85 cm")</f>
        <v>Hito Direccion Obligatoria 85 cm</v>
      </c>
      <c r="C1470" s="4">
        <f>IFERROR(__xludf.DUMMYFUNCTION("""COMPUTED_VALUE"""),22.75)</f>
        <v>22.75</v>
      </c>
      <c r="D1470" s="4"/>
      <c r="E1470" s="4" t="str">
        <f>IFERROR(__xludf.DUMMYFUNCTION("""COMPUTED_VALUE"""),"Sin precio neto")</f>
        <v>Sin precio neto</v>
      </c>
    </row>
    <row r="1471">
      <c r="A1471" s="4" t="str">
        <f>IFERROR(__xludf.DUMMYFUNCTION("""COMPUTED_VALUE"""),"2601P")</f>
        <v>2601P</v>
      </c>
      <c r="B1471" s="4" t="str">
        <f>IFERROR(__xludf.DUMMYFUNCTION("""COMPUTED_VALUE"""),"Hito flexible personalizable")</f>
        <v>Hito flexible personalizable</v>
      </c>
      <c r="C1471" s="4">
        <f>IFERROR(__xludf.DUMMYFUNCTION("""COMPUTED_VALUE"""),24.25)</f>
        <v>24.25</v>
      </c>
      <c r="D1471" s="4"/>
      <c r="E1471" s="4" t="str">
        <f>IFERROR(__xludf.DUMMYFUNCTION("""COMPUTED_VALUE"""),"Sin precio neto")</f>
        <v>Sin precio neto</v>
      </c>
    </row>
    <row r="1472">
      <c r="A1472" s="4" t="str">
        <f>IFERROR(__xludf.DUMMYFUNCTION("""COMPUTED_VALUE"""),"2674")</f>
        <v>2674</v>
      </c>
      <c r="B1472" s="4" t="str">
        <f>IFERROR(__xludf.DUMMYFUNCTION("""COMPUTED_VALUE"""),"Rollo cuerda blanca trazadora de 50 mts")</f>
        <v>Rollo cuerda blanca trazadora de 50 mts</v>
      </c>
      <c r="C1472" s="4">
        <f>IFERROR(__xludf.DUMMYFUNCTION("""COMPUTED_VALUE"""),1.27)</f>
        <v>1.27</v>
      </c>
      <c r="D1472" s="4"/>
      <c r="E1472" s="4" t="str">
        <f>IFERROR(__xludf.DUMMYFUNCTION("""COMPUTED_VALUE"""),"Sin precio neto")</f>
        <v>Sin precio neto</v>
      </c>
    </row>
    <row r="1473">
      <c r="A1473" s="4" t="str">
        <f>IFERROR(__xludf.DUMMYFUNCTION("""COMPUTED_VALUE"""),"2674Z")</f>
        <v>2674Z</v>
      </c>
      <c r="B1473" s="4" t="str">
        <f>IFERROR(__xludf.DUMMYFUNCTION("""COMPUTED_VALUE"""),"Rollo cuerda azul trazadora de 50 mts")</f>
        <v>Rollo cuerda azul trazadora de 50 mts</v>
      </c>
      <c r="C1473" s="4">
        <f>IFERROR(__xludf.DUMMYFUNCTION("""COMPUTED_VALUE"""),1.27)</f>
        <v>1.27</v>
      </c>
      <c r="D1473" s="4"/>
      <c r="E1473" s="4" t="str">
        <f>IFERROR(__xludf.DUMMYFUNCTION("""COMPUTED_VALUE"""),"Sin precio neto")</f>
        <v>Sin precio neto</v>
      </c>
    </row>
    <row r="1474">
      <c r="A1474" s="4" t="str">
        <f>IFERROR(__xludf.DUMMYFUNCTION("""COMPUTED_VALUE"""),"2675")</f>
        <v>2675</v>
      </c>
      <c r="B1474" s="4" t="str">
        <f>IFERROR(__xludf.DUMMYFUNCTION("""COMPUTED_VALUE"""),"Rollo cuerda blanca trazadora de 100 mts.")</f>
        <v>Rollo cuerda blanca trazadora de 100 mts.</v>
      </c>
      <c r="C1474" s="4">
        <f>IFERROR(__xludf.DUMMYFUNCTION("""COMPUTED_VALUE"""),2.62)</f>
        <v>2.62</v>
      </c>
      <c r="D1474" s="4"/>
      <c r="E1474" s="4" t="str">
        <f>IFERROR(__xludf.DUMMYFUNCTION("""COMPUTED_VALUE"""),"Sin precio neto")</f>
        <v>Sin precio neto</v>
      </c>
    </row>
    <row r="1475">
      <c r="A1475" s="4" t="str">
        <f>IFERROR(__xludf.DUMMYFUNCTION("""COMPUTED_VALUE"""),"2675Z")</f>
        <v>2675Z</v>
      </c>
      <c r="B1475" s="4" t="str">
        <f>IFERROR(__xludf.DUMMYFUNCTION("""COMPUTED_VALUE"""),"Rollo cuerda azul trazadora de 100 mts")</f>
        <v>Rollo cuerda azul trazadora de 100 mts</v>
      </c>
      <c r="C1475" s="4">
        <f>IFERROR(__xludf.DUMMYFUNCTION("""COMPUTED_VALUE"""),2.62)</f>
        <v>2.62</v>
      </c>
      <c r="D1475" s="4"/>
      <c r="E1475" s="4" t="str">
        <f>IFERROR(__xludf.DUMMYFUNCTION("""COMPUTED_VALUE"""),"Sin precio neto")</f>
        <v>Sin precio neto</v>
      </c>
    </row>
    <row r="1476">
      <c r="A1476" s="4" t="str">
        <f>IFERROR(__xludf.DUMMYFUNCTION("""COMPUTED_VALUE"""),"2676")</f>
        <v>2676</v>
      </c>
      <c r="B1476" s="4" t="str">
        <f>IFERROR(__xludf.DUMMYFUNCTION("""COMPUTED_VALUE"""),"Rollo cuerda blanca trazadora de 200 mts.")</f>
        <v>Rollo cuerda blanca trazadora de 200 mts.</v>
      </c>
      <c r="C1476" s="4">
        <f>IFERROR(__xludf.DUMMYFUNCTION("""COMPUTED_VALUE"""),4.6)</f>
        <v>4.6</v>
      </c>
      <c r="D1476" s="4"/>
      <c r="E1476" s="4" t="str">
        <f>IFERROR(__xludf.DUMMYFUNCTION("""COMPUTED_VALUE"""),"Sin precio neto")</f>
        <v>Sin precio neto</v>
      </c>
    </row>
    <row r="1477">
      <c r="A1477" s="4" t="str">
        <f>IFERROR(__xludf.DUMMYFUNCTION("""COMPUTED_VALUE"""),"2676Z")</f>
        <v>2676Z</v>
      </c>
      <c r="B1477" s="4" t="str">
        <f>IFERROR(__xludf.DUMMYFUNCTION("""COMPUTED_VALUE"""),"Rollo cuerda azul trazadora de 200 mts.")</f>
        <v>Rollo cuerda azul trazadora de 200 mts.</v>
      </c>
      <c r="C1477" s="4">
        <f>IFERROR(__xludf.DUMMYFUNCTION("""COMPUTED_VALUE"""),4.6)</f>
        <v>4.6</v>
      </c>
      <c r="D1477" s="4"/>
      <c r="E1477" s="4" t="str">
        <f>IFERROR(__xludf.DUMMYFUNCTION("""COMPUTED_VALUE"""),"Sin precio neto")</f>
        <v>Sin precio neto</v>
      </c>
    </row>
    <row r="1478">
      <c r="A1478" s="4" t="str">
        <f>IFERROR(__xludf.DUMMYFUNCTION("""COMPUTED_VALUE"""),"2677")</f>
        <v>2677</v>
      </c>
      <c r="B1478" s="4" t="str">
        <f>IFERROR(__xludf.DUMMYFUNCTION("""COMPUTED_VALUE"""),"Rollo cuerda blanca trazadora de 500 mts.")</f>
        <v>Rollo cuerda blanca trazadora de 500 mts.</v>
      </c>
      <c r="C1478" s="4">
        <f>IFERROR(__xludf.DUMMYFUNCTION("""COMPUTED_VALUE"""),12.62)</f>
        <v>12.62</v>
      </c>
      <c r="D1478" s="4"/>
      <c r="E1478" s="4" t="str">
        <f>IFERROR(__xludf.DUMMYFUNCTION("""COMPUTED_VALUE"""),"Sin precio neto")</f>
        <v>Sin precio neto</v>
      </c>
    </row>
    <row r="1479">
      <c r="A1479" s="4" t="str">
        <f>IFERROR(__xludf.DUMMYFUNCTION("""COMPUTED_VALUE"""),"2677Z")</f>
        <v>2677Z</v>
      </c>
      <c r="B1479" s="4" t="str">
        <f>IFERROR(__xludf.DUMMYFUNCTION("""COMPUTED_VALUE"""),"Rollo cuerda azul trazadora de 500 mts.")</f>
        <v>Rollo cuerda azul trazadora de 500 mts.</v>
      </c>
      <c r="C1479" s="4">
        <f>IFERROR(__xludf.DUMMYFUNCTION("""COMPUTED_VALUE"""),12.62)</f>
        <v>12.62</v>
      </c>
      <c r="D1479" s="4"/>
      <c r="E1479" s="4" t="str">
        <f>IFERROR(__xludf.DUMMYFUNCTION("""COMPUTED_VALUE"""),"Sin precio neto")</f>
        <v>Sin precio neto</v>
      </c>
    </row>
    <row r="1480">
      <c r="A1480" s="4" t="str">
        <f>IFERROR(__xludf.DUMMYFUNCTION("""COMPUTED_VALUE"""),"2700")</f>
        <v>2700</v>
      </c>
      <c r="B1480" s="4" t="str">
        <f>IFERROR(__xludf.DUMMYFUNCTION("""COMPUTED_VALUE"""),"Caldereta obra 15 L.")</f>
        <v>Caldereta obra 15 L.</v>
      </c>
      <c r="C1480" s="4">
        <f>IFERROR(__xludf.DUMMYFUNCTION("""COMPUTED_VALUE"""),2.52)</f>
        <v>2.52</v>
      </c>
      <c r="D1480" s="4">
        <f>IFERROR(__xludf.DUMMYFUNCTION("""COMPUTED_VALUE"""),1.95)</f>
        <v>1.95</v>
      </c>
      <c r="E1480" s="4" t="str">
        <f>IFERROR(__xludf.DUMMYFUNCTION("""COMPUTED_VALUE"""),"Neto: 1,95 € (a partir de 15 uds.)")</f>
        <v>Neto: 1,95 € (a partir de 15 uds.)</v>
      </c>
    </row>
    <row r="1481">
      <c r="A1481" s="4" t="str">
        <f>IFERROR(__xludf.DUMMYFUNCTION("""COMPUTED_VALUE"""),"2701")</f>
        <v>2701</v>
      </c>
      <c r="B1481" s="4" t="str">
        <f>IFERROR(__xludf.DUMMYFUNCTION("""COMPUTED_VALUE"""),"Cubeta pintura azul 16 con rejilla")</f>
        <v>Cubeta pintura azul 16 con rejilla</v>
      </c>
      <c r="C1481" s="4">
        <f>IFERROR(__xludf.DUMMYFUNCTION("""COMPUTED_VALUE"""),3.1)</f>
        <v>3.1</v>
      </c>
      <c r="D1481" s="4"/>
      <c r="E1481" s="4" t="str">
        <f>IFERROR(__xludf.DUMMYFUNCTION("""COMPUTED_VALUE"""),"Sin precio neto")</f>
        <v>Sin precio neto</v>
      </c>
    </row>
    <row r="1482">
      <c r="A1482" s="4" t="str">
        <f>IFERROR(__xludf.DUMMYFUNCTION("""COMPUTED_VALUE"""),"2701R")</f>
        <v>2701R</v>
      </c>
      <c r="B1482" s="4" t="str">
        <f>IFERROR(__xludf.DUMMYFUNCTION("""COMPUTED_VALUE"""),"Rejilla para cubeta pintura 16")</f>
        <v>Rejilla para cubeta pintura 16</v>
      </c>
      <c r="C1482" s="4">
        <f>IFERROR(__xludf.DUMMYFUNCTION("""COMPUTED_VALUE"""),0.6)</f>
        <v>0.6</v>
      </c>
      <c r="D1482" s="4"/>
      <c r="E1482" s="4" t="str">
        <f>IFERROR(__xludf.DUMMYFUNCTION("""COMPUTED_VALUE"""),"Sin precio neto")</f>
        <v>Sin precio neto</v>
      </c>
    </row>
    <row r="1483">
      <c r="A1483" s="4" t="str">
        <f>IFERROR(__xludf.DUMMYFUNCTION("""COMPUTED_VALUE"""),"270222B")</f>
        <v>270222B</v>
      </c>
      <c r="B1483" s="4" t="str">
        <f>IFERROR(__xludf.DUMMYFUNCTION("""COMPUTED_VALUE"""),"Capazo de goma 22 l Blanco")</f>
        <v>Capazo de goma 22 l Blanco</v>
      </c>
      <c r="C1483" s="4">
        <f>IFERROR(__xludf.DUMMYFUNCTION("""COMPUTED_VALUE"""),1.95)</f>
        <v>1.95</v>
      </c>
      <c r="D1483" s="4">
        <f>IFERROR(__xludf.DUMMYFUNCTION("""COMPUTED_VALUE"""),1.95)</f>
        <v>1.95</v>
      </c>
      <c r="E1483" s="4" t="str">
        <f>IFERROR(__xludf.DUMMYFUNCTION("""COMPUTED_VALUE"""),"Neto: 1,95 € (a partir de 12 uds.)")</f>
        <v>Neto: 1,95 € (a partir de 12 uds.)</v>
      </c>
    </row>
    <row r="1484">
      <c r="A1484" s="4" t="str">
        <f>IFERROR(__xludf.DUMMYFUNCTION("""COMPUTED_VALUE"""),"270222N")</f>
        <v>270222N</v>
      </c>
      <c r="B1484" s="4" t="str">
        <f>IFERROR(__xludf.DUMMYFUNCTION("""COMPUTED_VALUE"""),"Capazo de goma 22 l Negro")</f>
        <v>Capazo de goma 22 l Negro</v>
      </c>
      <c r="C1484" s="4">
        <f>IFERROR(__xludf.DUMMYFUNCTION("""COMPUTED_VALUE"""),1.95)</f>
        <v>1.95</v>
      </c>
      <c r="D1484" s="4">
        <f>IFERROR(__xludf.DUMMYFUNCTION("""COMPUTED_VALUE"""),1.95)</f>
        <v>1.95</v>
      </c>
      <c r="E1484" s="4" t="str">
        <f>IFERROR(__xludf.DUMMYFUNCTION("""COMPUTED_VALUE"""),"Neto: 1,95 € (a partir de 12 uds.)")</f>
        <v>Neto: 1,95 € (a partir de 12 uds.)</v>
      </c>
    </row>
    <row r="1485">
      <c r="A1485" s="4" t="str">
        <f>IFERROR(__xludf.DUMMYFUNCTION("""COMPUTED_VALUE"""),"270222R")</f>
        <v>270222R</v>
      </c>
      <c r="B1485" s="4" t="str">
        <f>IFERROR(__xludf.DUMMYFUNCTION("""COMPUTED_VALUE"""),"Capazo de goma 22 l Rojo")</f>
        <v>Capazo de goma 22 l Rojo</v>
      </c>
      <c r="C1485" s="4">
        <f>IFERROR(__xludf.DUMMYFUNCTION("""COMPUTED_VALUE"""),1.95)</f>
        <v>1.95</v>
      </c>
      <c r="D1485" s="4">
        <f>IFERROR(__xludf.DUMMYFUNCTION("""COMPUTED_VALUE"""),1.95)</f>
        <v>1.95</v>
      </c>
      <c r="E1485" s="4" t="str">
        <f>IFERROR(__xludf.DUMMYFUNCTION("""COMPUTED_VALUE"""),"Neto: 1,95 € (a partir de 12 uds.)")</f>
        <v>Neto: 1,95 € (a partir de 12 uds.)</v>
      </c>
    </row>
    <row r="1486">
      <c r="A1486" s="4" t="str">
        <f>IFERROR(__xludf.DUMMYFUNCTION("""COMPUTED_VALUE"""),"270242B")</f>
        <v>270242B</v>
      </c>
      <c r="B1486" s="4" t="str">
        <f>IFERROR(__xludf.DUMMYFUNCTION("""COMPUTED_VALUE"""),"Capazo de goma 42 l Blanco")</f>
        <v>Capazo de goma 42 l Blanco</v>
      </c>
      <c r="C1486" s="4">
        <f>IFERROR(__xludf.DUMMYFUNCTION("""COMPUTED_VALUE"""),2.45)</f>
        <v>2.45</v>
      </c>
      <c r="D1486" s="4">
        <f>IFERROR(__xludf.DUMMYFUNCTION("""COMPUTED_VALUE"""),1.95)</f>
        <v>1.95</v>
      </c>
      <c r="E1486" s="4" t="str">
        <f>IFERROR(__xludf.DUMMYFUNCTION("""COMPUTED_VALUE"""),"Neto: 1,95 € (a partir de 12 uds.)")</f>
        <v>Neto: 1,95 € (a partir de 12 uds.)</v>
      </c>
    </row>
    <row r="1487">
      <c r="A1487" s="4" t="str">
        <f>IFERROR(__xludf.DUMMYFUNCTION("""COMPUTED_VALUE"""),"270242N")</f>
        <v>270242N</v>
      </c>
      <c r="B1487" s="4" t="str">
        <f>IFERROR(__xludf.DUMMYFUNCTION("""COMPUTED_VALUE"""),"Capazo de goma 42 l Negro")</f>
        <v>Capazo de goma 42 l Negro</v>
      </c>
      <c r="C1487" s="4">
        <f>IFERROR(__xludf.DUMMYFUNCTION("""COMPUTED_VALUE"""),2.45)</f>
        <v>2.45</v>
      </c>
      <c r="D1487" s="4">
        <f>IFERROR(__xludf.DUMMYFUNCTION("""COMPUTED_VALUE"""),1.95)</f>
        <v>1.95</v>
      </c>
      <c r="E1487" s="4" t="str">
        <f>IFERROR(__xludf.DUMMYFUNCTION("""COMPUTED_VALUE"""),"Neto: 1,95 € (a partir de 12 uds.)")</f>
        <v>Neto: 1,95 € (a partir de 12 uds.)</v>
      </c>
    </row>
    <row r="1488">
      <c r="A1488" s="4" t="str">
        <f>IFERROR(__xludf.DUMMYFUNCTION("""COMPUTED_VALUE"""),"270242R")</f>
        <v>270242R</v>
      </c>
      <c r="B1488" s="4" t="str">
        <f>IFERROR(__xludf.DUMMYFUNCTION("""COMPUTED_VALUE"""),"Capazo de goma 42 l Rojo")</f>
        <v>Capazo de goma 42 l Rojo</v>
      </c>
      <c r="C1488" s="4">
        <f>IFERROR(__xludf.DUMMYFUNCTION("""COMPUTED_VALUE"""),2.45)</f>
        <v>2.45</v>
      </c>
      <c r="D1488" s="4">
        <f>IFERROR(__xludf.DUMMYFUNCTION("""COMPUTED_VALUE"""),1.95)</f>
        <v>1.95</v>
      </c>
      <c r="E1488" s="4" t="str">
        <f>IFERROR(__xludf.DUMMYFUNCTION("""COMPUTED_VALUE"""),"Neto: 1,95 € (a partir de 12 uds.)")</f>
        <v>Neto: 1,95 € (a partir de 12 uds.)</v>
      </c>
    </row>
    <row r="1489">
      <c r="A1489" s="4" t="str">
        <f>IFERROR(__xludf.DUMMYFUNCTION("""COMPUTED_VALUE"""),"270255B")</f>
        <v>270255B</v>
      </c>
      <c r="B1489" s="4" t="str">
        <f>IFERROR(__xludf.DUMMYFUNCTION("""COMPUTED_VALUE"""),"Capazo de goma 55 l Blanco")</f>
        <v>Capazo de goma 55 l Blanco</v>
      </c>
      <c r="C1489" s="4">
        <f>IFERROR(__xludf.DUMMYFUNCTION("""COMPUTED_VALUE"""),4.35)</f>
        <v>4.35</v>
      </c>
      <c r="D1489" s="4">
        <f>IFERROR(__xludf.DUMMYFUNCTION("""COMPUTED_VALUE"""),1.95)</f>
        <v>1.95</v>
      </c>
      <c r="E1489" s="4" t="str">
        <f>IFERROR(__xludf.DUMMYFUNCTION("""COMPUTED_VALUE"""),"Neto: 1,95 € (a partir de 12 uds.)")</f>
        <v>Neto: 1,95 € (a partir de 12 uds.)</v>
      </c>
    </row>
    <row r="1490">
      <c r="A1490" s="4" t="str">
        <f>IFERROR(__xludf.DUMMYFUNCTION("""COMPUTED_VALUE"""),"270255N")</f>
        <v>270255N</v>
      </c>
      <c r="B1490" s="4" t="str">
        <f>IFERROR(__xludf.DUMMYFUNCTION("""COMPUTED_VALUE"""),"Capazo de goma 55 l Negro")</f>
        <v>Capazo de goma 55 l Negro</v>
      </c>
      <c r="C1490" s="4">
        <f>IFERROR(__xludf.DUMMYFUNCTION("""COMPUTED_VALUE"""),4.35)</f>
        <v>4.35</v>
      </c>
      <c r="D1490" s="4">
        <f>IFERROR(__xludf.DUMMYFUNCTION("""COMPUTED_VALUE"""),1.95)</f>
        <v>1.95</v>
      </c>
      <c r="E1490" s="4" t="str">
        <f>IFERROR(__xludf.DUMMYFUNCTION("""COMPUTED_VALUE"""),"Neto: 1,95 € (a partir de 12 uds.)")</f>
        <v>Neto: 1,95 € (a partir de 12 uds.)</v>
      </c>
    </row>
    <row r="1491">
      <c r="A1491" s="4" t="str">
        <f>IFERROR(__xludf.DUMMYFUNCTION("""COMPUTED_VALUE"""),"270255R")</f>
        <v>270255R</v>
      </c>
      <c r="B1491" s="4" t="str">
        <f>IFERROR(__xludf.DUMMYFUNCTION("""COMPUTED_VALUE"""),"Capazo de goma 55 l Rojo")</f>
        <v>Capazo de goma 55 l Rojo</v>
      </c>
      <c r="C1491" s="4">
        <f>IFERROR(__xludf.DUMMYFUNCTION("""COMPUTED_VALUE"""),4.35)</f>
        <v>4.35</v>
      </c>
      <c r="D1491" s="4">
        <f>IFERROR(__xludf.DUMMYFUNCTION("""COMPUTED_VALUE"""),1.95)</f>
        <v>1.95</v>
      </c>
      <c r="E1491" s="4" t="str">
        <f>IFERROR(__xludf.DUMMYFUNCTION("""COMPUTED_VALUE"""),"Neto: 1,95 € (a partir de 12 uds.)")</f>
        <v>Neto: 1,95 € (a partir de 12 uds.)</v>
      </c>
    </row>
    <row r="1492">
      <c r="A1492" s="4" t="str">
        <f>IFERROR(__xludf.DUMMYFUNCTION("""COMPUTED_VALUE"""),"2703")</f>
        <v>2703</v>
      </c>
      <c r="B1492" s="4" t="str">
        <f>IFERROR(__xludf.DUMMYFUNCTION("""COMPUTED_VALUE"""),"Cubre cable portatil 1 metro Mod. A")</f>
        <v>Cubre cable portatil 1 metro Mod. A</v>
      </c>
      <c r="C1492" s="4">
        <f>IFERROR(__xludf.DUMMYFUNCTION("""COMPUTED_VALUE"""),13.25)</f>
        <v>13.25</v>
      </c>
      <c r="D1492" s="4"/>
      <c r="E1492" s="4" t="str">
        <f>IFERROR(__xludf.DUMMYFUNCTION("""COMPUTED_VALUE"""),"Sin precio neto")</f>
        <v>Sin precio neto</v>
      </c>
    </row>
    <row r="1493">
      <c r="A1493" s="4" t="str">
        <f>IFERROR(__xludf.DUMMYFUNCTION("""COMPUTED_VALUE"""),"2704")</f>
        <v>2704</v>
      </c>
      <c r="B1493" s="4" t="str">
        <f>IFERROR(__xludf.DUMMYFUNCTION("""COMPUTED_VALUE"""),"Cubre cable portatil 1 metro Mod. B")</f>
        <v>Cubre cable portatil 1 metro Mod. B</v>
      </c>
      <c r="C1493" s="4">
        <f>IFERROR(__xludf.DUMMYFUNCTION("""COMPUTED_VALUE"""),24.25)</f>
        <v>24.25</v>
      </c>
      <c r="D1493" s="4"/>
      <c r="E1493" s="4" t="str">
        <f>IFERROR(__xludf.DUMMYFUNCTION("""COMPUTED_VALUE"""),"Sin precio neto")</f>
        <v>Sin precio neto</v>
      </c>
    </row>
    <row r="1494">
      <c r="A1494" s="4" t="str">
        <f>IFERROR(__xludf.DUMMYFUNCTION("""COMPUTED_VALUE"""),"2705")</f>
        <v>2705</v>
      </c>
      <c r="B1494" s="4" t="str">
        <f>IFERROR(__xludf.DUMMYFUNCTION("""COMPUTED_VALUE"""),"Cubre cable portatil 9 metros Mod. C")</f>
        <v>Cubre cable portatil 9 metros Mod. C</v>
      </c>
      <c r="C1494" s="4">
        <f>IFERROR(__xludf.DUMMYFUNCTION("""COMPUTED_VALUE"""),38.0)</f>
        <v>38</v>
      </c>
      <c r="D1494" s="4"/>
      <c r="E1494" s="4" t="str">
        <f>IFERROR(__xludf.DUMMYFUNCTION("""COMPUTED_VALUE"""),"Sin precio neto")</f>
        <v>Sin precio neto</v>
      </c>
    </row>
    <row r="1495">
      <c r="A1495" s="4" t="str">
        <f>IFERROR(__xludf.DUMMYFUNCTION("""COMPUTED_VALUE"""),"2706")</f>
        <v>2706</v>
      </c>
      <c r="B1495" s="4" t="str">
        <f>IFERROR(__xludf.DUMMYFUNCTION("""COMPUTED_VALUE"""),"Cubo 12 L Reciclado")</f>
        <v>Cubo 12 L Reciclado</v>
      </c>
      <c r="C1495" s="4">
        <f>IFERROR(__xludf.DUMMYFUNCTION("""COMPUTED_VALUE"""),1.04)</f>
        <v>1.04</v>
      </c>
      <c r="D1495" s="4"/>
      <c r="E1495" s="4" t="str">
        <f>IFERROR(__xludf.DUMMYFUNCTION("""COMPUTED_VALUE"""),"Sin precio neto")</f>
        <v>Sin precio neto</v>
      </c>
    </row>
    <row r="1496">
      <c r="A1496" s="4" t="str">
        <f>IFERROR(__xludf.DUMMYFUNCTION("""COMPUTED_VALUE"""),"2707")</f>
        <v>2707</v>
      </c>
      <c r="B1496" s="4" t="str">
        <f>IFERROR(__xludf.DUMMYFUNCTION("""COMPUTED_VALUE"""),"Cubo 6 L Reciclado")</f>
        <v>Cubo 6 L Reciclado</v>
      </c>
      <c r="C1496" s="4">
        <f>IFERROR(__xludf.DUMMYFUNCTION("""COMPUTED_VALUE"""),0.8)</f>
        <v>0.8</v>
      </c>
      <c r="D1496" s="4"/>
      <c r="E1496" s="4" t="str">
        <f>IFERROR(__xludf.DUMMYFUNCTION("""COMPUTED_VALUE"""),"Sin precio neto")</f>
        <v>Sin precio neto</v>
      </c>
    </row>
    <row r="1497">
      <c r="A1497" s="4" t="str">
        <f>IFERROR(__xludf.DUMMYFUNCTION("""COMPUTED_VALUE"""),"2708")</f>
        <v>2708</v>
      </c>
      <c r="B1497" s="4" t="str">
        <f>IFERROR(__xludf.DUMMYFUNCTION("""COMPUTED_VALUE"""),"Cubo 8 L Reciclado")</f>
        <v>Cubo 8 L Reciclado</v>
      </c>
      <c r="C1497" s="4">
        <f>IFERROR(__xludf.DUMMYFUNCTION("""COMPUTED_VALUE"""),0.85)</f>
        <v>0.85</v>
      </c>
      <c r="D1497" s="4"/>
      <c r="E1497" s="4" t="str">
        <f>IFERROR(__xludf.DUMMYFUNCTION("""COMPUTED_VALUE"""),"Sin precio neto")</f>
        <v>Sin precio neto</v>
      </c>
    </row>
    <row r="1498">
      <c r="A1498" s="4" t="str">
        <f>IFERROR(__xludf.DUMMYFUNCTION("""COMPUTED_VALUE"""),"2709")</f>
        <v>2709</v>
      </c>
      <c r="B1498" s="4" t="str">
        <f>IFERROR(__xludf.DUMMYFUNCTION("""COMPUTED_VALUE"""),"Embudo para Combustible Flexible")</f>
        <v>Embudo para Combustible Flexible</v>
      </c>
      <c r="C1498" s="4">
        <f>IFERROR(__xludf.DUMMYFUNCTION("""COMPUTED_VALUE"""),1.63)</f>
        <v>1.63</v>
      </c>
      <c r="D1498" s="4"/>
      <c r="E1498" s="4" t="str">
        <f>IFERROR(__xludf.DUMMYFUNCTION("""COMPUTED_VALUE"""),"Sin precio neto")</f>
        <v>Sin precio neto</v>
      </c>
    </row>
    <row r="1499">
      <c r="A1499" s="4" t="str">
        <f>IFERROR(__xludf.DUMMYFUNCTION("""COMPUTED_VALUE"""),"2710")</f>
        <v>2710</v>
      </c>
      <c r="B1499" s="4" t="str">
        <f>IFERROR(__xludf.DUMMYFUNCTION("""COMPUTED_VALUE"""),"Esponja abrasiva Lija Grado Alto Set 3")</f>
        <v>Esponja abrasiva Lija Grado Alto Set 3</v>
      </c>
      <c r="C1499" s="4">
        <f>IFERROR(__xludf.DUMMYFUNCTION("""COMPUTED_VALUE"""),1.75)</f>
        <v>1.75</v>
      </c>
      <c r="D1499" s="4"/>
      <c r="E1499" s="4" t="str">
        <f>IFERROR(__xludf.DUMMYFUNCTION("""COMPUTED_VALUE"""),"Sin precio neto")</f>
        <v>Sin precio neto</v>
      </c>
    </row>
    <row r="1500">
      <c r="A1500" s="4" t="str">
        <f>IFERROR(__xludf.DUMMYFUNCTION("""COMPUTED_VALUE"""),"2711")</f>
        <v>2711</v>
      </c>
      <c r="B1500" s="4" t="str">
        <f>IFERROR(__xludf.DUMMYFUNCTION("""COMPUTED_VALUE"""),"Esponja Abrasiva Lija Brado Bajo Set 3")</f>
        <v>Esponja Abrasiva Lija Brado Bajo Set 3</v>
      </c>
      <c r="C1500" s="4">
        <f>IFERROR(__xludf.DUMMYFUNCTION("""COMPUTED_VALUE"""),1.75)</f>
        <v>1.75</v>
      </c>
      <c r="D1500" s="4"/>
      <c r="E1500" s="4" t="str">
        <f>IFERROR(__xludf.DUMMYFUNCTION("""COMPUTED_VALUE"""),"Sin precio neto")</f>
        <v>Sin precio neto</v>
      </c>
    </row>
    <row r="1501">
      <c r="A1501" s="4" t="str">
        <f>IFERROR(__xludf.DUMMYFUNCTION("""COMPUTED_VALUE"""),"2712")</f>
        <v>2712</v>
      </c>
      <c r="B1501" s="4" t="str">
        <f>IFERROR(__xludf.DUMMYFUNCTION("""COMPUTED_VALUE"""),"Esponja Abrasiva Lija Grado Medio Set 3")</f>
        <v>Esponja Abrasiva Lija Grado Medio Set 3</v>
      </c>
      <c r="C1501" s="4">
        <f>IFERROR(__xludf.DUMMYFUNCTION("""COMPUTED_VALUE"""),1.75)</f>
        <v>1.75</v>
      </c>
      <c r="D1501" s="4"/>
      <c r="E1501" s="4" t="str">
        <f>IFERROR(__xludf.DUMMYFUNCTION("""COMPUTED_VALUE"""),"Sin precio neto")</f>
        <v>Sin precio neto</v>
      </c>
    </row>
    <row r="1502">
      <c r="A1502" s="4" t="str">
        <f>IFERROR(__xludf.DUMMYFUNCTION("""COMPUTED_VALUE"""),"2713")</f>
        <v>2713</v>
      </c>
      <c r="B1502" s="4" t="str">
        <f>IFERROR(__xludf.DUMMYFUNCTION("""COMPUTED_VALUE"""),"Esponja Abrasiva Lija Set 3")</f>
        <v>Esponja Abrasiva Lija Set 3</v>
      </c>
      <c r="C1502" s="4">
        <f>IFERROR(__xludf.DUMMYFUNCTION("""COMPUTED_VALUE"""),1.75)</f>
        <v>1.75</v>
      </c>
      <c r="D1502" s="4"/>
      <c r="E1502" s="4" t="str">
        <f>IFERROR(__xludf.DUMMYFUNCTION("""COMPUTED_VALUE"""),"Sin precio neto")</f>
        <v>Sin precio neto</v>
      </c>
    </row>
    <row r="1503">
      <c r="A1503" s="4" t="str">
        <f>IFERROR(__xludf.DUMMYFUNCTION("""COMPUTED_VALUE"""),"2714")</f>
        <v>2714</v>
      </c>
      <c r="B1503" s="4" t="str">
        <f>IFERROR(__xludf.DUMMYFUNCTION("""COMPUTED_VALUE"""),"Garrafa Apta contacto Alimentario 20 L")</f>
        <v>Garrafa Apta contacto Alimentario 20 L</v>
      </c>
      <c r="C1503" s="4">
        <f>IFERROR(__xludf.DUMMYFUNCTION("""COMPUTED_VALUE"""),9.25)</f>
        <v>9.25</v>
      </c>
      <c r="D1503" s="4"/>
      <c r="E1503" s="4" t="str">
        <f>IFERROR(__xludf.DUMMYFUNCTION("""COMPUTED_VALUE"""),"Sin precio neto")</f>
        <v>Sin precio neto</v>
      </c>
    </row>
    <row r="1504">
      <c r="A1504" s="4" t="str">
        <f>IFERROR(__xludf.DUMMYFUNCTION("""COMPUTED_VALUE"""),"2715")</f>
        <v>2715</v>
      </c>
      <c r="B1504" s="4" t="str">
        <f>IFERROR(__xludf.DUMMYFUNCTION("""COMPUTED_VALUE"""),"Paño microfibra profesional 35x40 cm Gris")</f>
        <v>Paño microfibra profesional 35x40 cm Gris</v>
      </c>
      <c r="C1504" s="4">
        <f>IFERROR(__xludf.DUMMYFUNCTION("""COMPUTED_VALUE"""),0.47)</f>
        <v>0.47</v>
      </c>
      <c r="D1504" s="4"/>
      <c r="E1504" s="4" t="str">
        <f>IFERROR(__xludf.DUMMYFUNCTION("""COMPUTED_VALUE"""),"Sin precio neto")</f>
        <v>Sin precio neto</v>
      </c>
    </row>
    <row r="1505">
      <c r="A1505" s="4" t="str">
        <f>IFERROR(__xludf.DUMMYFUNCTION("""COMPUTED_VALUE"""),"2716")</f>
        <v>2716</v>
      </c>
      <c r="B1505" s="4" t="str">
        <f>IFERROR(__xludf.DUMMYFUNCTION("""COMPUTED_VALUE"""),"Rollo Fibra abrasiva 15 CM X 6 M")</f>
        <v>Rollo Fibra abrasiva 15 CM X 6 M</v>
      </c>
      <c r="C1505" s="4">
        <f>IFERROR(__xludf.DUMMYFUNCTION("""COMPUTED_VALUE"""),8.75)</f>
        <v>8.75</v>
      </c>
      <c r="D1505" s="4"/>
      <c r="E1505" s="4" t="str">
        <f>IFERROR(__xludf.DUMMYFUNCTION("""COMPUTED_VALUE"""),"Sin precio neto")</f>
        <v>Sin precio neto</v>
      </c>
    </row>
    <row r="1506">
      <c r="A1506" s="4" t="str">
        <f>IFERROR(__xludf.DUMMYFUNCTION("""COMPUTED_VALUE"""),"2785")</f>
        <v>2785</v>
      </c>
      <c r="B1506" s="4" t="str">
        <f>IFERROR(__xludf.DUMMYFUNCTION("""COMPUTED_VALUE"""),"Rodillo de marcar de 180")</f>
        <v>Rodillo de marcar de 180</v>
      </c>
      <c r="C1506" s="4">
        <f>IFERROR(__xludf.DUMMYFUNCTION("""COMPUTED_VALUE"""),77.0)</f>
        <v>77</v>
      </c>
      <c r="D1506" s="4"/>
      <c r="E1506" s="4" t="str">
        <f>IFERROR(__xludf.DUMMYFUNCTION("""COMPUTED_VALUE"""),"Sin precio neto")</f>
        <v>Sin precio neto</v>
      </c>
    </row>
    <row r="1507">
      <c r="A1507" s="4" t="str">
        <f>IFERROR(__xludf.DUMMYFUNCTION("""COMPUTED_VALUE"""),"2800")</f>
        <v>2800</v>
      </c>
      <c r="B1507" s="4" t="str">
        <f>IFERROR(__xludf.DUMMYFUNCTION("""COMPUTED_VALUE"""),"Señal complementaria TPU Triangular 380 mm Reflex 1")</f>
        <v>Señal complementaria TPU Triangular 380 mm Reflex 1</v>
      </c>
      <c r="C1507" s="4">
        <f>IFERROR(__xludf.DUMMYFUNCTION("""COMPUTED_VALUE"""),9.0)</f>
        <v>9</v>
      </c>
      <c r="D1507" s="4"/>
      <c r="E1507" s="4" t="str">
        <f>IFERROR(__xludf.DUMMYFUNCTION("""COMPUTED_VALUE"""),"Sin precio neto")</f>
        <v>Sin precio neto</v>
      </c>
    </row>
    <row r="1508">
      <c r="A1508" s="4" t="str">
        <f>IFERROR(__xludf.DUMMYFUNCTION("""COMPUTED_VALUE"""),"2900")</f>
        <v>2900</v>
      </c>
      <c r="B1508" s="4" t="str">
        <f>IFERROR(__xludf.DUMMYFUNCTION("""COMPUTED_VALUE"""),"Señal complementaria TPU circular 285 mm Reflex 1")</f>
        <v>Señal complementaria TPU circular 285 mm Reflex 1</v>
      </c>
      <c r="C1508" s="4">
        <f>IFERROR(__xludf.DUMMYFUNCTION("""COMPUTED_VALUE"""),9.0)</f>
        <v>9</v>
      </c>
      <c r="D1508" s="4"/>
      <c r="E1508" s="4" t="str">
        <f>IFERROR(__xludf.DUMMYFUNCTION("""COMPUTED_VALUE"""),"Sin precio neto")</f>
        <v>Sin precio neto</v>
      </c>
    </row>
    <row r="1509">
      <c r="A1509" s="4" t="str">
        <f>IFERROR(__xludf.DUMMYFUNCTION("""COMPUTED_VALUE"""),"2901")</f>
        <v>2901</v>
      </c>
      <c r="B1509" s="4" t="str">
        <f>IFERROR(__xludf.DUMMYFUNCTION("""COMPUTED_VALUE"""),"Clavo yesero 250")</f>
        <v>Clavo yesero 250</v>
      </c>
      <c r="C1509" s="4">
        <f>IFERROR(__xludf.DUMMYFUNCTION("""COMPUTED_VALUE"""),1.45)</f>
        <v>1.45</v>
      </c>
      <c r="D1509" s="4"/>
      <c r="E1509" s="4" t="str">
        <f>IFERROR(__xludf.DUMMYFUNCTION("""COMPUTED_VALUE"""),"Sin precio neto")</f>
        <v>Sin precio neto</v>
      </c>
    </row>
    <row r="1510">
      <c r="A1510" s="4" t="str">
        <f>IFERROR(__xludf.DUMMYFUNCTION("""COMPUTED_VALUE"""),"2969")</f>
        <v>2969</v>
      </c>
      <c r="B1510" s="4" t="str">
        <f>IFERROR(__xludf.DUMMYFUNCTION("""COMPUTED_VALUE"""),"Mezclador b/viscosidad 80 m/m")</f>
        <v>Mezclador b/viscosidad 80 m/m</v>
      </c>
      <c r="C1510" s="4">
        <f>IFERROR(__xludf.DUMMYFUNCTION("""COMPUTED_VALUE"""),1.9)</f>
        <v>1.9</v>
      </c>
      <c r="D1510" s="4"/>
      <c r="E1510" s="4" t="str">
        <f>IFERROR(__xludf.DUMMYFUNCTION("""COMPUTED_VALUE"""),"Sin precio neto")</f>
        <v>Sin precio neto</v>
      </c>
    </row>
    <row r="1511">
      <c r="A1511" s="4" t="str">
        <f>IFERROR(__xludf.DUMMYFUNCTION("""COMPUTED_VALUE"""),"2971")</f>
        <v>2971</v>
      </c>
      <c r="B1511" s="4" t="str">
        <f>IFERROR(__xludf.DUMMYFUNCTION("""COMPUTED_VALUE"""),"Mezclador pintura de 100 m/m")</f>
        <v>Mezclador pintura de 100 m/m</v>
      </c>
      <c r="C1511" s="4">
        <f>IFERROR(__xludf.DUMMYFUNCTION("""COMPUTED_VALUE"""),2.2)</f>
        <v>2.2</v>
      </c>
      <c r="D1511" s="4"/>
      <c r="E1511" s="4" t="str">
        <f>IFERROR(__xludf.DUMMYFUNCTION("""COMPUTED_VALUE"""),"Sin precio neto")</f>
        <v>Sin precio neto</v>
      </c>
    </row>
    <row r="1512">
      <c r="A1512" s="4" t="str">
        <f>IFERROR(__xludf.DUMMYFUNCTION("""COMPUTED_VALUE"""),"3015")</f>
        <v>3015</v>
      </c>
      <c r="B1512" s="4" t="str">
        <f>IFERROR(__xludf.DUMMYFUNCTION("""COMPUTED_VALUE"""),"Distanciador cuña 0-7 (200 unid)")</f>
        <v>Distanciador cuña 0-7 (200 unid)</v>
      </c>
      <c r="C1512" s="4">
        <f>IFERROR(__xludf.DUMMYFUNCTION("""COMPUTED_VALUE"""),1.4)</f>
        <v>1.4</v>
      </c>
      <c r="D1512" s="4"/>
      <c r="E1512" s="4" t="str">
        <f>IFERROR(__xludf.DUMMYFUNCTION("""COMPUTED_VALUE"""),"Sin precio neto")</f>
        <v>Sin precio neto</v>
      </c>
    </row>
    <row r="1513">
      <c r="A1513" s="4" t="str">
        <f>IFERROR(__xludf.DUMMYFUNCTION("""COMPUTED_VALUE"""),"3030")</f>
        <v>3030</v>
      </c>
      <c r="B1513" s="4" t="str">
        <f>IFERROR(__xludf.DUMMYFUNCTION("""COMPUTED_VALUE"""),"Separador CONDOR 20 m/m (1000 Unid)")</f>
        <v>Separador CONDOR 20 m/m (1000 Unid)</v>
      </c>
      <c r="C1513" s="4">
        <f>IFERROR(__xludf.DUMMYFUNCTION("""COMPUTED_VALUE"""),29.35)</f>
        <v>29.35</v>
      </c>
      <c r="D1513" s="4"/>
      <c r="E1513" s="4" t="str">
        <f>IFERROR(__xludf.DUMMYFUNCTION("""COMPUTED_VALUE"""),"Sin precio neto")</f>
        <v>Sin precio neto</v>
      </c>
    </row>
    <row r="1514">
      <c r="A1514" s="4" t="str">
        <f>IFERROR(__xludf.DUMMYFUNCTION("""COMPUTED_VALUE"""),"3031")</f>
        <v>3031</v>
      </c>
      <c r="B1514" s="4" t="str">
        <f>IFERROR(__xludf.DUMMYFUNCTION("""COMPUTED_VALUE"""),"Separador CONDOR 40 m/m (500 Unid)")</f>
        <v>Separador CONDOR 40 m/m (500 Unid)</v>
      </c>
      <c r="C1514" s="4">
        <f>IFERROR(__xludf.DUMMYFUNCTION("""COMPUTED_VALUE"""),26.2)</f>
        <v>26.2</v>
      </c>
      <c r="D1514" s="4"/>
      <c r="E1514" s="4" t="str">
        <f>IFERROR(__xludf.DUMMYFUNCTION("""COMPUTED_VALUE"""),"Sin precio neto")</f>
        <v>Sin precio neto</v>
      </c>
    </row>
    <row r="1515">
      <c r="A1515" s="4" t="str">
        <f>IFERROR(__xludf.DUMMYFUNCTION("""COMPUTED_VALUE"""),"3032")</f>
        <v>3032</v>
      </c>
      <c r="B1515" s="4" t="str">
        <f>IFERROR(__xludf.DUMMYFUNCTION("""COMPUTED_VALUE"""),"Separador Universal (1000 Unid)")</f>
        <v>Separador Universal (1000 Unid)</v>
      </c>
      <c r="C1515" s="4">
        <f>IFERROR(__xludf.DUMMYFUNCTION("""COMPUTED_VALUE"""),41.8)</f>
        <v>41.8</v>
      </c>
      <c r="D1515" s="4"/>
      <c r="E1515" s="4" t="str">
        <f>IFERROR(__xludf.DUMMYFUNCTION("""COMPUTED_VALUE"""),"Sin precio neto")</f>
        <v>Sin precio neto</v>
      </c>
    </row>
    <row r="1516">
      <c r="A1516" s="4" t="str">
        <f>IFERROR(__xludf.DUMMYFUNCTION("""COMPUTED_VALUE"""),"3033")</f>
        <v>3033</v>
      </c>
      <c r="B1516" s="4" t="str">
        <f>IFERROR(__xludf.DUMMYFUNCTION("""COMPUTED_VALUE"""),"Cono c/tapa para Guardacuerpos")</f>
        <v>Cono c/tapa para Guardacuerpos</v>
      </c>
      <c r="C1516" s="4">
        <f>IFERROR(__xludf.DUMMYFUNCTION("""COMPUTED_VALUE"""),0.13)</f>
        <v>0.13</v>
      </c>
      <c r="D1516" s="4">
        <f>IFERROR(__xludf.DUMMYFUNCTION("""COMPUTED_VALUE"""),0.11)</f>
        <v>0.11</v>
      </c>
      <c r="E1516" s="4" t="str">
        <f>IFERROR(__xludf.DUMMYFUNCTION("""COMPUTED_VALUE"""),"Neto: 0,11 € (a partir de 200 uds.)")</f>
        <v>Neto: 0,11 € (a partir de 200 uds.)</v>
      </c>
    </row>
    <row r="1517">
      <c r="A1517" s="4" t="str">
        <f>IFERROR(__xludf.DUMMYFUNCTION("""COMPUTED_VALUE"""),"3034")</f>
        <v>3034</v>
      </c>
      <c r="B1517" s="4" t="str">
        <f>IFERROR(__xludf.DUMMYFUNCTION("""COMPUTED_VALUE"""),"Base guardacuerpos cuadr.35x40 (150 und)")</f>
        <v>Base guardacuerpos cuadr.35x40 (150 und)</v>
      </c>
      <c r="C1517" s="4">
        <f>IFERROR(__xludf.DUMMYFUNCTION("""COMPUTED_VALUE"""),33.35)</f>
        <v>33.35</v>
      </c>
      <c r="D1517" s="4"/>
      <c r="E1517" s="4" t="str">
        <f>IFERROR(__xludf.DUMMYFUNCTION("""COMPUTED_VALUE"""),"Sin precio neto")</f>
        <v>Sin precio neto</v>
      </c>
    </row>
    <row r="1518">
      <c r="A1518" s="4" t="str">
        <f>IFERROR(__xludf.DUMMYFUNCTION("""COMPUTED_VALUE"""),"3035")</f>
        <v>3035</v>
      </c>
      <c r="B1518" s="4" t="str">
        <f>IFERROR(__xludf.DUMMYFUNCTION("""COMPUTED_VALUE"""),"Separador CONDOR 30 m/m (1000 Unid)")</f>
        <v>Separador CONDOR 30 m/m (1000 Unid)</v>
      </c>
      <c r="C1518" s="4">
        <f>IFERROR(__xludf.DUMMYFUNCTION("""COMPUTED_VALUE"""),37.25)</f>
        <v>37.25</v>
      </c>
      <c r="D1518" s="4"/>
      <c r="E1518" s="4" t="str">
        <f>IFERROR(__xludf.DUMMYFUNCTION("""COMPUTED_VALUE"""),"Sin precio neto")</f>
        <v>Sin precio neto</v>
      </c>
    </row>
    <row r="1519">
      <c r="A1519" s="4" t="str">
        <f>IFERROR(__xludf.DUMMYFUNCTION("""COMPUTED_VALUE"""),"3036")</f>
        <v>3036</v>
      </c>
      <c r="B1519" s="4" t="str">
        <f>IFERROR(__xludf.DUMMYFUNCTION("""COMPUTED_VALUE"""),"Base horca-pescante 60x40 ( 114 unid)")</f>
        <v>Base horca-pescante 60x40 ( 114 unid)</v>
      </c>
      <c r="C1519" s="4">
        <f>IFERROR(__xludf.DUMMYFUNCTION("""COMPUTED_VALUE"""),119.85)</f>
        <v>119.85</v>
      </c>
      <c r="D1519" s="4"/>
      <c r="E1519" s="4" t="str">
        <f>IFERROR(__xludf.DUMMYFUNCTION("""COMPUTED_VALUE"""),"Sin precio neto")</f>
        <v>Sin precio neto</v>
      </c>
    </row>
    <row r="1520">
      <c r="A1520" s="4" t="str">
        <f>IFERROR(__xludf.DUMMYFUNCTION("""COMPUTED_VALUE"""),"3037")</f>
        <v>3037</v>
      </c>
      <c r="B1520" s="4" t="str">
        <f>IFERROR(__xludf.DUMMYFUNCTION("""COMPUTED_VALUE"""),"Base horca-pescante 60x60 ( 45 unid)")</f>
        <v>Base horca-pescante 60x60 ( 45 unid)</v>
      </c>
      <c r="C1520" s="4">
        <f>IFERROR(__xludf.DUMMYFUNCTION("""COMPUTED_VALUE"""),44.0)</f>
        <v>44</v>
      </c>
      <c r="D1520" s="4">
        <f>IFERROR(__xludf.DUMMYFUNCTION("""COMPUTED_VALUE"""),38.0)</f>
        <v>38</v>
      </c>
      <c r="E1520" s="4" t="str">
        <f>IFERROR(__xludf.DUMMYFUNCTION("""COMPUTED_VALUE"""),"Neto: 38,00 € (a partir de 1 uds.)")</f>
        <v>Neto: 38,00 € (a partir de 1 uds.)</v>
      </c>
    </row>
    <row r="1521">
      <c r="A1521" s="4" t="str">
        <f>IFERROR(__xludf.DUMMYFUNCTION("""COMPUTED_VALUE"""),"3038")</f>
        <v>3038</v>
      </c>
      <c r="B1521" s="4" t="str">
        <f>IFERROR(__xludf.DUMMYFUNCTION("""COMPUTED_VALUE"""),"Separador CONDOR 50 m/m (500 Unid )")</f>
        <v>Separador CONDOR 50 m/m (500 Unid )</v>
      </c>
      <c r="C1521" s="4">
        <f>IFERROR(__xludf.DUMMYFUNCTION("""COMPUTED_VALUE"""),39.375)</f>
        <v>39.375</v>
      </c>
      <c r="D1521" s="4"/>
      <c r="E1521" s="4" t="str">
        <f>IFERROR(__xludf.DUMMYFUNCTION("""COMPUTED_VALUE"""),"Sin precio neto")</f>
        <v>Sin precio neto</v>
      </c>
    </row>
    <row r="1522">
      <c r="A1522" s="4" t="str">
        <f>IFERROR(__xludf.DUMMYFUNCTION("""COMPUTED_VALUE"""),"3039")</f>
        <v>3039</v>
      </c>
      <c r="B1522" s="4" t="str">
        <f>IFERROR(__xludf.DUMMYFUNCTION("""COMPUTED_VALUE"""),"Seta protectora Varilla 12-20")</f>
        <v>Seta protectora Varilla 12-20</v>
      </c>
      <c r="C1522" s="4">
        <f>IFERROR(__xludf.DUMMYFUNCTION("""COMPUTED_VALUE"""),0.07)</f>
        <v>0.07</v>
      </c>
      <c r="D1522" s="4">
        <f>IFERROR(__xludf.DUMMYFUNCTION("""COMPUTED_VALUE"""),0.06)</f>
        <v>0.06</v>
      </c>
      <c r="E1522" s="4" t="str">
        <f>IFERROR(__xludf.DUMMYFUNCTION("""COMPUTED_VALUE"""),"Neto: 0,06 € (a partir de 100 uds.)")</f>
        <v>Neto: 0,06 € (a partir de 100 uds.)</v>
      </c>
    </row>
    <row r="1523">
      <c r="A1523" s="4" t="str">
        <f>IFERROR(__xludf.DUMMYFUNCTION("""COMPUTED_VALUE"""),"3041")</f>
        <v>3041</v>
      </c>
      <c r="B1523" s="4" t="str">
        <f>IFERROR(__xludf.DUMMYFUNCTION("""COMPUTED_VALUE"""),"Seta protect. cuadrada 35x40 ( 100 unid )")</f>
        <v>Seta protect. cuadrada 35x40 ( 100 unid )</v>
      </c>
      <c r="C1523" s="4">
        <f>IFERROR(__xludf.DUMMYFUNCTION("""COMPUTED_VALUE"""),12.8)</f>
        <v>12.8</v>
      </c>
      <c r="D1523" s="4"/>
      <c r="E1523" s="4" t="str">
        <f>IFERROR(__xludf.DUMMYFUNCTION("""COMPUTED_VALUE"""),"Sin precio neto")</f>
        <v>Sin precio neto</v>
      </c>
    </row>
    <row r="1524">
      <c r="A1524" s="4" t="str">
        <f>IFERROR(__xludf.DUMMYFUNCTION("""COMPUTED_VALUE"""),"3042")</f>
        <v>3042</v>
      </c>
      <c r="B1524" s="4" t="str">
        <f>IFERROR(__xludf.DUMMYFUNCTION("""COMPUTED_VALUE"""),"Setón protector varilla 24-40 ( 200 unid )")</f>
        <v>Setón protector varilla 24-40 ( 200 unid )</v>
      </c>
      <c r="C1524" s="4">
        <f>IFERROR(__xludf.DUMMYFUNCTION("""COMPUTED_VALUE"""),33.5)</f>
        <v>33.5</v>
      </c>
      <c r="D1524" s="4">
        <f>IFERROR(__xludf.DUMMYFUNCTION("""COMPUTED_VALUE"""),34.0)</f>
        <v>34</v>
      </c>
      <c r="E1524" s="4" t="str">
        <f>IFERROR(__xludf.DUMMYFUNCTION("""COMPUTED_VALUE"""),"Neto: 34,00 € (a partir de 1 uds.)")</f>
        <v>Neto: 34,00 € (a partir de 1 uds.)</v>
      </c>
    </row>
    <row r="1525">
      <c r="A1525" s="4" t="str">
        <f>IFERROR(__xludf.DUMMYFUNCTION("""COMPUTED_VALUE"""),"3043")</f>
        <v>3043</v>
      </c>
      <c r="B1525" s="4" t="str">
        <f>IFERROR(__xludf.DUMMYFUNCTION("""COMPUTED_VALUE"""),"Seta protectora c/ refuerzo interior (100 unid)")</f>
        <v>Seta protectora c/ refuerzo interior (100 unid)</v>
      </c>
      <c r="C1525" s="4">
        <f>IFERROR(__xludf.DUMMYFUNCTION("""COMPUTED_VALUE"""),19.95)</f>
        <v>19.95</v>
      </c>
      <c r="D1525" s="4"/>
      <c r="E1525" s="4" t="str">
        <f>IFERROR(__xludf.DUMMYFUNCTION("""COMPUTED_VALUE"""),"Sin precio neto")</f>
        <v>Sin precio neto</v>
      </c>
    </row>
    <row r="1526">
      <c r="A1526" s="4" t="str">
        <f>IFERROR(__xludf.DUMMYFUNCTION("""COMPUTED_VALUE"""),"3100")</f>
        <v>3100</v>
      </c>
      <c r="B1526" s="4" t="str">
        <f>IFERROR(__xludf.DUMMYFUNCTION("""COMPUTED_VALUE"""),"Junta de dilatación 4 cm M.Lineal")</f>
        <v>Junta de dilatación 4 cm M.Lineal</v>
      </c>
      <c r="C1526" s="4">
        <f>IFERROR(__xludf.DUMMYFUNCTION("""COMPUTED_VALUE"""),0.88)</f>
        <v>0.88</v>
      </c>
      <c r="D1526" s="4"/>
      <c r="E1526" s="4" t="str">
        <f>IFERROR(__xludf.DUMMYFUNCTION("""COMPUTED_VALUE"""),"Sin precio neto")</f>
        <v>Sin precio neto</v>
      </c>
    </row>
    <row r="1527">
      <c r="A1527" s="4" t="str">
        <f>IFERROR(__xludf.DUMMYFUNCTION("""COMPUTED_VALUE"""),"3101")</f>
        <v>3101</v>
      </c>
      <c r="B1527" s="4" t="str">
        <f>IFERROR(__xludf.DUMMYFUNCTION("""COMPUTED_VALUE"""),"Junta de dilatación 8 cm M.Lineal")</f>
        <v>Junta de dilatación 8 cm M.Lineal</v>
      </c>
      <c r="C1527" s="4">
        <f>IFERROR(__xludf.DUMMYFUNCTION("""COMPUTED_VALUE"""),1.2)</f>
        <v>1.2</v>
      </c>
      <c r="D1527" s="4"/>
      <c r="E1527" s="4" t="str">
        <f>IFERROR(__xludf.DUMMYFUNCTION("""COMPUTED_VALUE"""),"Sin precio neto")</f>
        <v>Sin precio neto</v>
      </c>
    </row>
    <row r="1528">
      <c r="A1528" s="4" t="str">
        <f>IFERROR(__xludf.DUMMYFUNCTION("""COMPUTED_VALUE"""),"3102")</f>
        <v>3102</v>
      </c>
      <c r="B1528" s="4" t="str">
        <f>IFERROR(__xludf.DUMMYFUNCTION("""COMPUTED_VALUE"""),"Conexión para cadena y cinta poste ref 1136")</f>
        <v>Conexión para cadena y cinta poste ref 1136</v>
      </c>
      <c r="C1528" s="4">
        <f>IFERROR(__xludf.DUMMYFUNCTION("""COMPUTED_VALUE"""),1.4)</f>
        <v>1.4</v>
      </c>
      <c r="D1528" s="4"/>
      <c r="E1528" s="4" t="str">
        <f>IFERROR(__xludf.DUMMYFUNCTION("""COMPUTED_VALUE"""),"Sin precio neto")</f>
        <v>Sin precio neto</v>
      </c>
    </row>
    <row r="1529">
      <c r="A1529" s="4" t="str">
        <f>IFERROR(__xludf.DUMMYFUNCTION("""COMPUTED_VALUE"""),"3103")</f>
        <v>3103</v>
      </c>
      <c r="B1529" s="4" t="str">
        <f>IFERROR(__xludf.DUMMYFUNCTION("""COMPUTED_VALUE"""),"Conexion para hito 0588 a señales TPU")</f>
        <v>Conexion para hito 0588 a señales TPU</v>
      </c>
      <c r="C1529" s="4">
        <f>IFERROR(__xludf.DUMMYFUNCTION("""COMPUTED_VALUE"""),3.0)</f>
        <v>3</v>
      </c>
      <c r="D1529" s="4"/>
      <c r="E1529" s="4" t="str">
        <f>IFERROR(__xludf.DUMMYFUNCTION("""COMPUTED_VALUE"""),"Sin precio neto")</f>
        <v>Sin precio neto</v>
      </c>
    </row>
    <row r="1530">
      <c r="A1530" s="4" t="str">
        <f>IFERROR(__xludf.DUMMYFUNCTION("""COMPUTED_VALUE"""),"3105")</f>
        <v>3105</v>
      </c>
      <c r="B1530" s="4" t="str">
        <f>IFERROR(__xludf.DUMMYFUNCTION("""COMPUTED_VALUE"""),"Tornillo y taco para reductor velocidad")</f>
        <v>Tornillo y taco para reductor velocidad</v>
      </c>
      <c r="C1530" s="4">
        <f>IFERROR(__xludf.DUMMYFUNCTION("""COMPUTED_VALUE"""),0.47)</f>
        <v>0.47</v>
      </c>
      <c r="D1530" s="4"/>
      <c r="E1530" s="4" t="str">
        <f>IFERROR(__xludf.DUMMYFUNCTION("""COMPUTED_VALUE"""),"Sin precio neto")</f>
        <v>Sin precio neto</v>
      </c>
    </row>
    <row r="1531">
      <c r="A1531" s="4" t="str">
        <f>IFERROR(__xludf.DUMMYFUNCTION("""COMPUTED_VALUE"""),"3112")</f>
        <v>3112</v>
      </c>
      <c r="B1531" s="4" t="str">
        <f>IFERROR(__xludf.DUMMYFUNCTION("""COMPUTED_VALUE"""),"Conexión para conos")</f>
        <v>Conexión para conos</v>
      </c>
      <c r="C1531" s="4">
        <f>IFERROR(__xludf.DUMMYFUNCTION("""COMPUTED_VALUE"""),6.0)</f>
        <v>6</v>
      </c>
      <c r="D1531" s="4"/>
      <c r="E1531" s="4" t="str">
        <f>IFERROR(__xludf.DUMMYFUNCTION("""COMPUTED_VALUE"""),"Sin precio neto")</f>
        <v>Sin precio neto</v>
      </c>
    </row>
    <row r="1532">
      <c r="A1532" s="4" t="str">
        <f>IFERROR(__xludf.DUMMYFUNCTION("""COMPUTED_VALUE"""),"3250")</f>
        <v>3250</v>
      </c>
      <c r="B1532" s="4" t="str">
        <f>IFERROR(__xludf.DUMMYFUNCTION("""COMPUTED_VALUE"""),"Mts. Guardavivo yeso")</f>
        <v>Mts. Guardavivo yeso</v>
      </c>
      <c r="C1532" s="4">
        <f>IFERROR(__xludf.DUMMYFUNCTION("""COMPUTED_VALUE"""),0.41)</f>
        <v>0.41</v>
      </c>
      <c r="D1532" s="4"/>
      <c r="E1532" s="4" t="str">
        <f>IFERROR(__xludf.DUMMYFUNCTION("""COMPUTED_VALUE"""),"Sin precio neto")</f>
        <v>Sin precio neto</v>
      </c>
    </row>
    <row r="1533">
      <c r="A1533" s="4" t="str">
        <f>IFERROR(__xludf.DUMMYFUNCTION("""COMPUTED_VALUE"""),"3251")</f>
        <v>3251</v>
      </c>
      <c r="B1533" s="4" t="str">
        <f>IFERROR(__xludf.DUMMYFUNCTION("""COMPUTED_VALUE"""),"Mts. Guardacantos c/blanco")</f>
        <v>Mts. Guardacantos c/blanco</v>
      </c>
      <c r="C1533" s="4">
        <f>IFERROR(__xludf.DUMMYFUNCTION("""COMPUTED_VALUE"""),0.43)</f>
        <v>0.43</v>
      </c>
      <c r="D1533" s="4"/>
      <c r="E1533" s="4" t="str">
        <f>IFERROR(__xludf.DUMMYFUNCTION("""COMPUTED_VALUE"""),"Sin precio neto")</f>
        <v>Sin precio neto</v>
      </c>
    </row>
    <row r="1534">
      <c r="A1534" s="4" t="str">
        <f>IFERROR(__xludf.DUMMYFUNCTION("""COMPUTED_VALUE"""),"3252")</f>
        <v>3252</v>
      </c>
      <c r="B1534" s="4" t="str">
        <f>IFERROR(__xludf.DUMMYFUNCTION("""COMPUTED_VALUE"""),"Mts. Guardacantos c/ marfil")</f>
        <v>Mts. Guardacantos c/ marfil</v>
      </c>
      <c r="C1534" s="4">
        <f>IFERROR(__xludf.DUMMYFUNCTION("""COMPUTED_VALUE"""),0.43)</f>
        <v>0.43</v>
      </c>
      <c r="D1534" s="4"/>
      <c r="E1534" s="4" t="str">
        <f>IFERROR(__xludf.DUMMYFUNCTION("""COMPUTED_VALUE"""),"Sin precio neto")</f>
        <v>Sin precio neto</v>
      </c>
    </row>
    <row r="1535">
      <c r="A1535" s="4" t="str">
        <f>IFERROR(__xludf.DUMMYFUNCTION("""COMPUTED_VALUE"""),"3253")</f>
        <v>3253</v>
      </c>
      <c r="B1535" s="4" t="str">
        <f>IFERROR(__xludf.DUMMYFUNCTION("""COMPUTED_VALUE"""),"Mts. Guardacantos c/gris")</f>
        <v>Mts. Guardacantos c/gris</v>
      </c>
      <c r="C1535" s="4">
        <f>IFERROR(__xludf.DUMMYFUNCTION("""COMPUTED_VALUE"""),0.43)</f>
        <v>0.43</v>
      </c>
      <c r="D1535" s="4"/>
      <c r="E1535" s="4" t="str">
        <f>IFERROR(__xludf.DUMMYFUNCTION("""COMPUTED_VALUE"""),"Sin precio neto")</f>
        <v>Sin precio neto</v>
      </c>
    </row>
    <row r="1536">
      <c r="A1536" s="4" t="str">
        <f>IFERROR(__xludf.DUMMYFUNCTION("""COMPUTED_VALUE"""),"3254")</f>
        <v>3254</v>
      </c>
      <c r="B1536" s="4" t="str">
        <f>IFERROR(__xludf.DUMMYFUNCTION("""COMPUTED_VALUE"""),"Mts. Junquillo PVC para monocapa")</f>
        <v>Mts. Junquillo PVC para monocapa</v>
      </c>
      <c r="C1536" s="4">
        <f>IFERROR(__xludf.DUMMYFUNCTION("""COMPUTED_VALUE"""),0.33)</f>
        <v>0.33</v>
      </c>
      <c r="D1536" s="4"/>
      <c r="E1536" s="4" t="str">
        <f>IFERROR(__xludf.DUMMYFUNCTION("""COMPUTED_VALUE"""),"Sin precio neto")</f>
        <v>Sin precio neto</v>
      </c>
    </row>
    <row r="1537">
      <c r="A1537" s="4" t="str">
        <f>IFERROR(__xludf.DUMMYFUNCTION("""COMPUTED_VALUE"""),"3256")</f>
        <v>3256</v>
      </c>
      <c r="B1537" s="4" t="str">
        <f>IFERROR(__xludf.DUMMYFUNCTION("""COMPUTED_VALUE"""),"Mts. Guardavivo monocapa punta fina")</f>
        <v>Mts. Guardavivo monocapa punta fina</v>
      </c>
      <c r="C1537" s="4">
        <f>IFERROR(__xludf.DUMMYFUNCTION("""COMPUTED_VALUE"""),0.38)</f>
        <v>0.38</v>
      </c>
      <c r="D1537" s="4"/>
      <c r="E1537" s="4" t="str">
        <f>IFERROR(__xludf.DUMMYFUNCTION("""COMPUTED_VALUE"""),"Sin precio neto")</f>
        <v>Sin precio neto</v>
      </c>
    </row>
    <row r="1538">
      <c r="A1538" s="4" t="str">
        <f>IFERROR(__xludf.DUMMYFUNCTION("""COMPUTED_VALUE"""),"3300")</f>
        <v>3300</v>
      </c>
      <c r="B1538" s="4" t="str">
        <f>IFERROR(__xludf.DUMMYFUNCTION("""COMPUTED_VALUE"""),"Mt.Tubo encofrado 22/26- ( En 3 mts)")</f>
        <v>Mt.Tubo encofrado 22/26- ( En 3 mts)</v>
      </c>
      <c r="C1538" s="4">
        <f>IFERROR(__xludf.DUMMYFUNCTION("""COMPUTED_VALUE"""),0.45)</f>
        <v>0.45</v>
      </c>
      <c r="D1538" s="4">
        <f>IFERROR(__xludf.DUMMYFUNCTION("""COMPUTED_VALUE"""),0.39)</f>
        <v>0.39</v>
      </c>
      <c r="E1538" s="4" t="str">
        <f>IFERROR(__xludf.DUMMYFUNCTION("""COMPUTED_VALUE"""),"Neto: 0,39 € (a partir de 75 uds.)")</f>
        <v>Neto: 0,39 € (a partir de 75 uds.)</v>
      </c>
    </row>
    <row r="1539">
      <c r="A1539" s="4" t="str">
        <f>IFERROR(__xludf.DUMMYFUNCTION("""COMPUTED_VALUE"""),"3301")</f>
        <v>3301</v>
      </c>
      <c r="B1539" s="4" t="str">
        <f>IFERROR(__xludf.DUMMYFUNCTION("""COMPUTED_VALUE"""),"Mt.Tubo encofrado 22/26 -( En 2 mts)")</f>
        <v>Mt.Tubo encofrado 22/26 -( En 2 mts)</v>
      </c>
      <c r="C1539" s="4">
        <f>IFERROR(__xludf.DUMMYFUNCTION("""COMPUTED_VALUE"""),0.45)</f>
        <v>0.45</v>
      </c>
      <c r="D1539" s="4">
        <f>IFERROR(__xludf.DUMMYFUNCTION("""COMPUTED_VALUE"""),0.39)</f>
        <v>0.39</v>
      </c>
      <c r="E1539" s="4" t="str">
        <f>IFERROR(__xludf.DUMMYFUNCTION("""COMPUTED_VALUE"""),"Neto: 0,39 € (a partir de 50 uds.)")</f>
        <v>Neto: 0,39 € (a partir de 50 uds.)</v>
      </c>
    </row>
    <row r="1540">
      <c r="A1540" s="4" t="str">
        <f>IFERROR(__xludf.DUMMYFUNCTION("""COMPUTED_VALUE"""),"3302")</f>
        <v>3302</v>
      </c>
      <c r="B1540" s="4" t="str">
        <f>IFERROR(__xludf.DUMMYFUNCTION("""COMPUTED_VALUE"""),"Mt Tubo encofrado 26/30- ( En 2 mts)")</f>
        <v>Mt Tubo encofrado 26/30- ( En 2 mts)</v>
      </c>
      <c r="C1540" s="4">
        <f>IFERROR(__xludf.DUMMYFUNCTION("""COMPUTED_VALUE"""),0.55)</f>
        <v>0.55</v>
      </c>
      <c r="D1540" s="4">
        <f>IFERROR(__xludf.DUMMYFUNCTION("""COMPUTED_VALUE"""),0.49)</f>
        <v>0.49</v>
      </c>
      <c r="E1540" s="4" t="str">
        <f>IFERROR(__xludf.DUMMYFUNCTION("""COMPUTED_VALUE"""),"Neto: 0,49 € (a partir de 40 uds.)")</f>
        <v>Neto: 0,49 € (a partir de 40 uds.)</v>
      </c>
    </row>
    <row r="1541">
      <c r="A1541" s="4" t="str">
        <f>IFERROR(__xludf.DUMMYFUNCTION("""COMPUTED_VALUE"""),"3303")</f>
        <v>3303</v>
      </c>
      <c r="B1541" s="4" t="str">
        <f>IFERROR(__xludf.DUMMYFUNCTION("""COMPUTED_VALUE"""),"Mts. Berengeno Pequeño 27,2mm Base x 20mm Alt.")</f>
        <v>Mts. Berengeno Pequeño 27,2mm Base x 20mm Alt.</v>
      </c>
      <c r="C1541" s="4">
        <f>IFERROR(__xludf.DUMMYFUNCTION("""COMPUTED_VALUE"""),0.41)</f>
        <v>0.41</v>
      </c>
      <c r="D1541" s="4">
        <f>IFERROR(__xludf.DUMMYFUNCTION("""COMPUTED_VALUE"""),0.38)</f>
        <v>0.38</v>
      </c>
      <c r="E1541" s="4" t="str">
        <f>IFERROR(__xludf.DUMMYFUNCTION("""COMPUTED_VALUE"""),"Neto: 0,38 € (a partir de 125 uds.)")</f>
        <v>Neto: 0,38 € (a partir de 125 uds.)</v>
      </c>
    </row>
    <row r="1542">
      <c r="A1542" s="4" t="str">
        <f>IFERROR(__xludf.DUMMYFUNCTION("""COMPUTED_VALUE"""),"3304")</f>
        <v>3304</v>
      </c>
      <c r="B1542" s="4" t="str">
        <f>IFERROR(__xludf.DUMMYFUNCTION("""COMPUTED_VALUE"""),"Mts. Berengeno Mediano 34mm Base x 25mm Alt.")</f>
        <v>Mts. Berengeno Mediano 34mm Base x 25mm Alt.</v>
      </c>
      <c r="C1542" s="4">
        <f>IFERROR(__xludf.DUMMYFUNCTION("""COMPUTED_VALUE"""),0.53)</f>
        <v>0.53</v>
      </c>
      <c r="D1542" s="4">
        <f>IFERROR(__xludf.DUMMYFUNCTION("""COMPUTED_VALUE"""),0.42)</f>
        <v>0.42</v>
      </c>
      <c r="E1542" s="4" t="str">
        <f>IFERROR(__xludf.DUMMYFUNCTION("""COMPUTED_VALUE"""),"Neto: 0,42 € (a partir de 125 uds.)")</f>
        <v>Neto: 0,42 € (a partir de 125 uds.)</v>
      </c>
    </row>
    <row r="1543">
      <c r="A1543" s="4" t="str">
        <f>IFERROR(__xludf.DUMMYFUNCTION("""COMPUTED_VALUE"""),"3305")</f>
        <v>3305</v>
      </c>
      <c r="B1543" s="4" t="str">
        <f>IFERROR(__xludf.DUMMYFUNCTION("""COMPUTED_VALUE"""),"Mts. Berengeno Grande 41mm Base x 30mm Alt,")</f>
        <v>Mts. Berengeno Grande 41mm Base x 30mm Alt,</v>
      </c>
      <c r="C1543" s="4">
        <f>IFERROR(__xludf.DUMMYFUNCTION("""COMPUTED_VALUE"""),0.59)</f>
        <v>0.59</v>
      </c>
      <c r="D1543" s="4">
        <f>IFERROR(__xludf.DUMMYFUNCTION("""COMPUTED_VALUE"""),0.52)</f>
        <v>0.52</v>
      </c>
      <c r="E1543" s="4" t="str">
        <f>IFERROR(__xludf.DUMMYFUNCTION("""COMPUTED_VALUE"""),"Neto: 0,52 € (a partir de 125 uds.)")</f>
        <v>Neto: 0,52 € (a partir de 125 uds.)</v>
      </c>
    </row>
    <row r="1544">
      <c r="A1544" s="4" t="str">
        <f>IFERROR(__xludf.DUMMYFUNCTION("""COMPUTED_VALUE"""),"3306")</f>
        <v>3306</v>
      </c>
      <c r="B1544" s="4" t="str">
        <f>IFERROR(__xludf.DUMMYFUNCTION("""COMPUTED_VALUE"""),"Tubo ETUBAX 20 cm")</f>
        <v>Tubo ETUBAX 20 cm</v>
      </c>
      <c r="C1544" s="4">
        <f>IFERROR(__xludf.DUMMYFUNCTION("""COMPUTED_VALUE"""),0.29)</f>
        <v>0.29</v>
      </c>
      <c r="D1544" s="4">
        <f>IFERROR(__xludf.DUMMYFUNCTION("""COMPUTED_VALUE"""),0.24)</f>
        <v>0.24</v>
      </c>
      <c r="E1544" s="4" t="str">
        <f>IFERROR(__xludf.DUMMYFUNCTION("""COMPUTED_VALUE"""),"Neto: 0,24 € (a partir de 50 uds.)")</f>
        <v>Neto: 0,24 € (a partir de 50 uds.)</v>
      </c>
    </row>
    <row r="1545">
      <c r="A1545" s="4" t="str">
        <f>IFERROR(__xludf.DUMMYFUNCTION("""COMPUTED_VALUE"""),"3307")</f>
        <v>3307</v>
      </c>
      <c r="B1545" s="4" t="str">
        <f>IFERROR(__xludf.DUMMYFUNCTION("""COMPUTED_VALUE"""),"Tubo ETUBAX 25 cm")</f>
        <v>Tubo ETUBAX 25 cm</v>
      </c>
      <c r="C1545" s="4">
        <f>IFERROR(__xludf.DUMMYFUNCTION("""COMPUTED_VALUE"""),0.31)</f>
        <v>0.31</v>
      </c>
      <c r="D1545" s="4">
        <f>IFERROR(__xludf.DUMMYFUNCTION("""COMPUTED_VALUE"""),0.26)</f>
        <v>0.26</v>
      </c>
      <c r="E1545" s="4" t="str">
        <f>IFERROR(__xludf.DUMMYFUNCTION("""COMPUTED_VALUE"""),"Neto: 0,26 € (a partir de 50 uds.)")</f>
        <v>Neto: 0,26 € (a partir de 50 uds.)</v>
      </c>
    </row>
    <row r="1546">
      <c r="A1546" s="4" t="str">
        <f>IFERROR(__xludf.DUMMYFUNCTION("""COMPUTED_VALUE"""),"3308")</f>
        <v>3308</v>
      </c>
      <c r="B1546" s="4" t="str">
        <f>IFERROR(__xludf.DUMMYFUNCTION("""COMPUTED_VALUE"""),"Tubo ETUBAX 30 cm")</f>
        <v>Tubo ETUBAX 30 cm</v>
      </c>
      <c r="C1546" s="4">
        <f>IFERROR(__xludf.DUMMYFUNCTION("""COMPUTED_VALUE"""),0.38)</f>
        <v>0.38</v>
      </c>
      <c r="D1546" s="4">
        <f>IFERROR(__xludf.DUMMYFUNCTION("""COMPUTED_VALUE"""),0.28)</f>
        <v>0.28</v>
      </c>
      <c r="E1546" s="4" t="str">
        <f>IFERROR(__xludf.DUMMYFUNCTION("""COMPUTED_VALUE"""),"Neto: 0,28 € (a partir de 50 uds.)")</f>
        <v>Neto: 0,28 € (a partir de 50 uds.)</v>
      </c>
    </row>
    <row r="1547">
      <c r="A1547" s="4" t="str">
        <f>IFERROR(__xludf.DUMMYFUNCTION("""COMPUTED_VALUE"""),"3309")</f>
        <v>3309</v>
      </c>
      <c r="B1547" s="4" t="str">
        <f>IFERROR(__xludf.DUMMYFUNCTION("""COMPUTED_VALUE"""),"Tubo ETUBAX 35 cm")</f>
        <v>Tubo ETUBAX 35 cm</v>
      </c>
      <c r="C1547" s="4">
        <f>IFERROR(__xludf.DUMMYFUNCTION("""COMPUTED_VALUE"""),0.38)</f>
        <v>0.38</v>
      </c>
      <c r="D1547" s="4">
        <f>IFERROR(__xludf.DUMMYFUNCTION("""COMPUTED_VALUE"""),0.32)</f>
        <v>0.32</v>
      </c>
      <c r="E1547" s="4" t="str">
        <f>IFERROR(__xludf.DUMMYFUNCTION("""COMPUTED_VALUE"""),"Neto: 0,32 € (a partir de 50 uds.)")</f>
        <v>Neto: 0,32 € (a partir de 50 uds.)</v>
      </c>
    </row>
    <row r="1548">
      <c r="A1548" s="4" t="str">
        <f>IFERROR(__xludf.DUMMYFUNCTION("""COMPUTED_VALUE"""),"3310")</f>
        <v>3310</v>
      </c>
      <c r="B1548" s="4" t="str">
        <f>IFERROR(__xludf.DUMMYFUNCTION("""COMPUTED_VALUE"""),"Tubo ETUBAX 40 cm")</f>
        <v>Tubo ETUBAX 40 cm</v>
      </c>
      <c r="C1548" s="4">
        <f>IFERROR(__xludf.DUMMYFUNCTION("""COMPUTED_VALUE"""),0.46)</f>
        <v>0.46</v>
      </c>
      <c r="D1548" s="4">
        <f>IFERROR(__xludf.DUMMYFUNCTION("""COMPUTED_VALUE"""),0.39)</f>
        <v>0.39</v>
      </c>
      <c r="E1548" s="4" t="str">
        <f>IFERROR(__xludf.DUMMYFUNCTION("""COMPUTED_VALUE"""),"Neto: 0,39 € (a partir de 50 uds.)")</f>
        <v>Neto: 0,39 € (a partir de 50 uds.)</v>
      </c>
    </row>
    <row r="1549">
      <c r="A1549" s="4" t="str">
        <f>IFERROR(__xludf.DUMMYFUNCTION("""COMPUTED_VALUE"""),"3315")</f>
        <v>3315</v>
      </c>
      <c r="B1549" s="4" t="str">
        <f>IFERROR(__xludf.DUMMYFUNCTION("""COMPUTED_VALUE"""),"Mts. Berengeno Mini 17,2mm Base x 12,5 mm Alt.")</f>
        <v>Mts. Berengeno Mini 17,2mm Base x 12,5 mm Alt.</v>
      </c>
      <c r="C1549" s="4">
        <f>IFERROR(__xludf.DUMMYFUNCTION("""COMPUTED_VALUE"""),0.33)</f>
        <v>0.33</v>
      </c>
      <c r="D1549" s="4"/>
      <c r="E1549" s="4" t="str">
        <f>IFERROR(__xludf.DUMMYFUNCTION("""COMPUTED_VALUE"""),"Sin precio neto")</f>
        <v>Sin precio neto</v>
      </c>
    </row>
    <row r="1550">
      <c r="A1550" s="4" t="str">
        <f>IFERROR(__xludf.DUMMYFUNCTION("""COMPUTED_VALUE"""),"3370")</f>
        <v>3370</v>
      </c>
      <c r="B1550" s="4" t="str">
        <f>IFERROR(__xludf.DUMMYFUNCTION("""COMPUTED_VALUE"""),"Separador rueda 25 m/m (1000 Unid)")</f>
        <v>Separador rueda 25 m/m (1000 Unid)</v>
      </c>
      <c r="C1550" s="4">
        <f>IFERROR(__xludf.DUMMYFUNCTION("""COMPUTED_VALUE"""),27.9)</f>
        <v>27.9</v>
      </c>
      <c r="D1550" s="4">
        <f>IFERROR(__xludf.DUMMYFUNCTION("""COMPUTED_VALUE"""),23.8)</f>
        <v>23.8</v>
      </c>
      <c r="E1550" s="4" t="str">
        <f>IFERROR(__xludf.DUMMYFUNCTION("""COMPUTED_VALUE"""),"Neto: 23,80 € (a partir de 1 uds.)")</f>
        <v>Neto: 23,80 € (a partir de 1 uds.)</v>
      </c>
    </row>
    <row r="1551">
      <c r="A1551" s="4" t="str">
        <f>IFERROR(__xludf.DUMMYFUNCTION("""COMPUTED_VALUE"""),"3371")</f>
        <v>3371</v>
      </c>
      <c r="B1551" s="4" t="str">
        <f>IFERROR(__xludf.DUMMYFUNCTION("""COMPUTED_VALUE"""),"Separador rueda 30 m/m (1000 Unid)")</f>
        <v>Separador rueda 30 m/m (1000 Unid)</v>
      </c>
      <c r="C1551" s="4">
        <f>IFERROR(__xludf.DUMMYFUNCTION("""COMPUTED_VALUE"""),29.95)</f>
        <v>29.95</v>
      </c>
      <c r="D1551" s="4">
        <f>IFERROR(__xludf.DUMMYFUNCTION("""COMPUTED_VALUE"""),25.5)</f>
        <v>25.5</v>
      </c>
      <c r="E1551" s="4" t="str">
        <f>IFERROR(__xludf.DUMMYFUNCTION("""COMPUTED_VALUE"""),"Neto: 25,50 € (a partir de 1 uds.)")</f>
        <v>Neto: 25,50 € (a partir de 1 uds.)</v>
      </c>
    </row>
    <row r="1552">
      <c r="A1552" s="4" t="str">
        <f>IFERROR(__xludf.DUMMYFUNCTION("""COMPUTED_VALUE"""),"3372")</f>
        <v>3372</v>
      </c>
      <c r="B1552" s="4" t="str">
        <f>IFERROR(__xludf.DUMMYFUNCTION("""COMPUTED_VALUE"""),"Separador rueda 35 m/m (500 Unid)")</f>
        <v>Separador rueda 35 m/m (500 Unid)</v>
      </c>
      <c r="C1552" s="4">
        <f>IFERROR(__xludf.DUMMYFUNCTION("""COMPUTED_VALUE"""),23.5)</f>
        <v>23.5</v>
      </c>
      <c r="D1552" s="4">
        <f>IFERROR(__xludf.DUMMYFUNCTION("""COMPUTED_VALUE"""),22.0)</f>
        <v>22</v>
      </c>
      <c r="E1552" s="4" t="str">
        <f>IFERROR(__xludf.DUMMYFUNCTION("""COMPUTED_VALUE"""),"Neto: 22,00 € (a partir de 1 uds.)")</f>
        <v>Neto: 22,00 € (a partir de 1 uds.)</v>
      </c>
    </row>
    <row r="1553">
      <c r="A1553" s="4" t="str">
        <f>IFERROR(__xludf.DUMMYFUNCTION("""COMPUTED_VALUE"""),"3373")</f>
        <v>3373</v>
      </c>
      <c r="B1553" s="4" t="str">
        <f>IFERROR(__xludf.DUMMYFUNCTION("""COMPUTED_VALUE"""),"Separador rueda 40 m/m (500 Unid)")</f>
        <v>Separador rueda 40 m/m (500 Unid)</v>
      </c>
      <c r="C1553" s="4">
        <f>IFERROR(__xludf.DUMMYFUNCTION("""COMPUTED_VALUE"""),29.25)</f>
        <v>29.25</v>
      </c>
      <c r="D1553" s="4">
        <f>IFERROR(__xludf.DUMMYFUNCTION("""COMPUTED_VALUE"""),24.0)</f>
        <v>24</v>
      </c>
      <c r="E1553" s="4" t="str">
        <f>IFERROR(__xludf.DUMMYFUNCTION("""COMPUTED_VALUE"""),"Neto: 24,00 € (a partir de 1 uds.)")</f>
        <v>Neto: 24,00 € (a partir de 1 uds.)</v>
      </c>
    </row>
    <row r="1554">
      <c r="A1554" s="4" t="str">
        <f>IFERROR(__xludf.DUMMYFUNCTION("""COMPUTED_VALUE"""),"3374")</f>
        <v>3374</v>
      </c>
      <c r="B1554" s="4" t="str">
        <f>IFERROR(__xludf.DUMMYFUNCTION("""COMPUTED_VALUE"""),"Separador rueda 50 m/m (250 Unid)")</f>
        <v>Separador rueda 50 m/m (250 Unid)</v>
      </c>
      <c r="C1554" s="4">
        <f>IFERROR(__xludf.DUMMYFUNCTION("""COMPUTED_VALUE"""),26.75)</f>
        <v>26.75</v>
      </c>
      <c r="D1554" s="4">
        <f>IFERROR(__xludf.DUMMYFUNCTION("""COMPUTED_VALUE"""),23.5)</f>
        <v>23.5</v>
      </c>
      <c r="E1554" s="4" t="str">
        <f>IFERROR(__xludf.DUMMYFUNCTION("""COMPUTED_VALUE"""),"Neto: 23,50 € (a partir de 1 uds.)")</f>
        <v>Neto: 23,50 € (a partir de 1 uds.)</v>
      </c>
    </row>
    <row r="1555">
      <c r="A1555" s="4" t="str">
        <f>IFERROR(__xludf.DUMMYFUNCTION("""COMPUTED_VALUE"""),"3376")</f>
        <v>3376</v>
      </c>
      <c r="B1555" s="4" t="str">
        <f>IFERROR(__xludf.DUMMYFUNCTION("""COMPUTED_VALUE"""),"Separador rueda 70 m/m ( 150 unid )")</f>
        <v>Separador rueda 70 m/m ( 150 unid )</v>
      </c>
      <c r="C1555" s="4">
        <f>IFERROR(__xludf.DUMMYFUNCTION("""COMPUTED_VALUE"""),27.75)</f>
        <v>27.75</v>
      </c>
      <c r="D1555" s="4">
        <f>IFERROR(__xludf.DUMMYFUNCTION("""COMPUTED_VALUE"""),23.0)</f>
        <v>23</v>
      </c>
      <c r="E1555" s="4" t="str">
        <f>IFERROR(__xludf.DUMMYFUNCTION("""COMPUTED_VALUE"""),"Neto: 23,00 € (a partir de 1 uds.)")</f>
        <v>Neto: 23,00 € (a partir de 1 uds.)</v>
      </c>
    </row>
    <row r="1556">
      <c r="A1556" s="4" t="str">
        <f>IFERROR(__xludf.DUMMYFUNCTION("""COMPUTED_VALUE"""),"3390")</f>
        <v>3390</v>
      </c>
      <c r="B1556" s="4" t="str">
        <f>IFERROR(__xludf.DUMMYFUNCTION("""COMPUTED_VALUE"""),"Cono standard tubo de 26 mm (1000 unid )")</f>
        <v>Cono standard tubo de 26 mm (1000 unid )</v>
      </c>
      <c r="C1556" s="4">
        <f>IFERROR(__xludf.DUMMYFUNCTION("""COMPUTED_VALUE"""),55.08)</f>
        <v>55.08</v>
      </c>
      <c r="D1556" s="4"/>
      <c r="E1556" s="4" t="str">
        <f>IFERROR(__xludf.DUMMYFUNCTION("""COMPUTED_VALUE"""),"Sin precio neto")</f>
        <v>Sin precio neto</v>
      </c>
    </row>
    <row r="1557">
      <c r="A1557" s="4" t="str">
        <f>IFERROR(__xludf.DUMMYFUNCTION("""COMPUTED_VALUE"""),"3391")</f>
        <v>3391</v>
      </c>
      <c r="B1557" s="4" t="str">
        <f>IFERROR(__xludf.DUMMYFUNCTION("""COMPUTED_VALUE"""),"Cono para tubo 22/26 bolsa 1000 uds")</f>
        <v>Cono para tubo 22/26 bolsa 1000 uds</v>
      </c>
      <c r="C1557" s="4">
        <f>IFERROR(__xludf.DUMMYFUNCTION("""COMPUTED_VALUE"""),18.0)</f>
        <v>18</v>
      </c>
      <c r="D1557" s="4">
        <f>IFERROR(__xludf.DUMMYFUNCTION("""COMPUTED_VALUE"""),15.5)</f>
        <v>15.5</v>
      </c>
      <c r="E1557" s="4" t="str">
        <f>IFERROR(__xludf.DUMMYFUNCTION("""COMPUTED_VALUE"""),"Neto: 15,50 € (a partir de 1 uds.)")</f>
        <v>Neto: 15,50 € (a partir de 1 uds.)</v>
      </c>
    </row>
    <row r="1558">
      <c r="A1558" s="4" t="str">
        <f>IFERROR(__xludf.DUMMYFUNCTION("""COMPUTED_VALUE"""),"3392")</f>
        <v>3392</v>
      </c>
      <c r="B1558" s="4" t="str">
        <f>IFERROR(__xludf.DUMMYFUNCTION("""COMPUTED_VALUE"""),"Cono liso para tubo 22 mm ( 500 unid )")</f>
        <v>Cono liso para tubo 22 mm ( 500 unid )</v>
      </c>
      <c r="C1558" s="4">
        <f>IFERROR(__xludf.DUMMYFUNCTION("""COMPUTED_VALUE"""),14.15)</f>
        <v>14.15</v>
      </c>
      <c r="D1558" s="4"/>
      <c r="E1558" s="4" t="str">
        <f>IFERROR(__xludf.DUMMYFUNCTION("""COMPUTED_VALUE"""),"Sin precio neto")</f>
        <v>Sin precio neto</v>
      </c>
    </row>
    <row r="1559">
      <c r="A1559" s="4" t="str">
        <f>IFERROR(__xludf.DUMMYFUNCTION("""COMPUTED_VALUE"""),"3393")</f>
        <v>3393</v>
      </c>
      <c r="B1559" s="4" t="str">
        <f>IFERROR(__xludf.DUMMYFUNCTION("""COMPUTED_VALUE"""),"Tapón para cono liso (500 und)")</f>
        <v>Tapón para cono liso (500 und)</v>
      </c>
      <c r="C1559" s="4">
        <f>IFERROR(__xludf.DUMMYFUNCTION("""COMPUTED_VALUE"""),10.5)</f>
        <v>10.5</v>
      </c>
      <c r="D1559" s="4"/>
      <c r="E1559" s="4" t="str">
        <f>IFERROR(__xludf.DUMMYFUNCTION("""COMPUTED_VALUE"""),"Sin precio neto")</f>
        <v>Sin precio neto</v>
      </c>
    </row>
    <row r="1560">
      <c r="A1560" s="4" t="str">
        <f>IFERROR(__xludf.DUMMYFUNCTION("""COMPUTED_VALUE"""),"3394")</f>
        <v>3394</v>
      </c>
      <c r="B1560" s="4" t="str">
        <f>IFERROR(__xludf.DUMMYFUNCTION("""COMPUTED_VALUE"""),"Tapon estanco 4 aletas tubo 22 (500 unid)")</f>
        <v>Tapon estanco 4 aletas tubo 22 (500 unid)</v>
      </c>
      <c r="C1560" s="4">
        <f>IFERROR(__xludf.DUMMYFUNCTION("""COMPUTED_VALUE"""),17.3)</f>
        <v>17.3</v>
      </c>
      <c r="D1560" s="4">
        <f>IFERROR(__xludf.DUMMYFUNCTION("""COMPUTED_VALUE"""),14.5)</f>
        <v>14.5</v>
      </c>
      <c r="E1560" s="4" t="str">
        <f>IFERROR(__xludf.DUMMYFUNCTION("""COMPUTED_VALUE"""),"Neto: 14,50 € (a partir de 1 uds.)")</f>
        <v>Neto: 14,50 € (a partir de 1 uds.)</v>
      </c>
    </row>
    <row r="1561">
      <c r="A1561" s="4" t="str">
        <f>IFERROR(__xludf.DUMMYFUNCTION("""COMPUTED_VALUE"""),"3396")</f>
        <v>3396</v>
      </c>
      <c r="B1561" s="4" t="str">
        <f>IFERROR(__xludf.DUMMYFUNCTION("""COMPUTED_VALUE"""),"Tapón standard tubo 22 m/m (1000 Uni)")</f>
        <v>Tapón standard tubo 22 m/m (1000 Uni)</v>
      </c>
      <c r="C1561" s="4">
        <f>IFERROR(__xludf.DUMMYFUNCTION("""COMPUTED_VALUE"""),14.15)</f>
        <v>14.15</v>
      </c>
      <c r="D1561" s="4">
        <f>IFERROR(__xludf.DUMMYFUNCTION("""COMPUTED_VALUE"""),12.5)</f>
        <v>12.5</v>
      </c>
      <c r="E1561" s="4" t="str">
        <f>IFERROR(__xludf.DUMMYFUNCTION("""COMPUTED_VALUE"""),"Neto: 12,50 € (a partir de 1 uds.)")</f>
        <v>Neto: 12,50 € (a partir de 1 uds.)</v>
      </c>
    </row>
    <row r="1562">
      <c r="A1562" s="4" t="str">
        <f>IFERROR(__xludf.DUMMYFUNCTION("""COMPUTED_VALUE"""),"3397")</f>
        <v>3397</v>
      </c>
      <c r="B1562" s="4" t="str">
        <f>IFERROR(__xludf.DUMMYFUNCTION("""COMPUTED_VALUE"""),"Tapón standard tubo 26 m/m 1000 unid)")</f>
        <v>Tapón standard tubo 26 m/m 1000 unid)</v>
      </c>
      <c r="C1562" s="4">
        <f>IFERROR(__xludf.DUMMYFUNCTION("""COMPUTED_VALUE"""),33.6)</f>
        <v>33.6</v>
      </c>
      <c r="D1562" s="4"/>
      <c r="E1562" s="4" t="str">
        <f>IFERROR(__xludf.DUMMYFUNCTION("""COMPUTED_VALUE"""),"Sin precio neto")</f>
        <v>Sin precio neto</v>
      </c>
    </row>
    <row r="1563">
      <c r="A1563" s="4" t="str">
        <f>IFERROR(__xludf.DUMMYFUNCTION("""COMPUTED_VALUE"""),"4004")</f>
        <v>4004</v>
      </c>
      <c r="B1563" s="4" t="str">
        <f>IFERROR(__xludf.DUMMYFUNCTION("""COMPUTED_VALUE"""),"Mts. cuerda CERVINO 4 m/m")</f>
        <v>Mts. cuerda CERVINO 4 m/m</v>
      </c>
      <c r="C1563" s="4">
        <f>IFERROR(__xludf.DUMMYFUNCTION("""COMPUTED_VALUE"""),0.14)</f>
        <v>0.14</v>
      </c>
      <c r="D1563" s="4"/>
      <c r="E1563" s="4" t="str">
        <f>IFERROR(__xludf.DUMMYFUNCTION("""COMPUTED_VALUE"""),"Sin precio neto")</f>
        <v>Sin precio neto</v>
      </c>
    </row>
    <row r="1564">
      <c r="A1564" s="4" t="str">
        <f>IFERROR(__xludf.DUMMYFUNCTION("""COMPUTED_VALUE"""),"4006")</f>
        <v>4006</v>
      </c>
      <c r="B1564" s="4" t="str">
        <f>IFERROR(__xludf.DUMMYFUNCTION("""COMPUTED_VALUE"""),"Mts. cuerda CERVINO 6 m/m")</f>
        <v>Mts. cuerda CERVINO 6 m/m</v>
      </c>
      <c r="C1564" s="4">
        <f>IFERROR(__xludf.DUMMYFUNCTION("""COMPUTED_VALUE"""),0.19)</f>
        <v>0.19</v>
      </c>
      <c r="D1564" s="4"/>
      <c r="E1564" s="4" t="str">
        <f>IFERROR(__xludf.DUMMYFUNCTION("""COMPUTED_VALUE"""),"Sin precio neto")</f>
        <v>Sin precio neto</v>
      </c>
    </row>
    <row r="1565">
      <c r="A1565" s="4" t="str">
        <f>IFERROR(__xludf.DUMMYFUNCTION("""COMPUTED_VALUE"""),"4008")</f>
        <v>4008</v>
      </c>
      <c r="B1565" s="4" t="str">
        <f>IFERROR(__xludf.DUMMYFUNCTION("""COMPUTED_VALUE"""),"Mts. cuerda CERVINO 8 m/m")</f>
        <v>Mts. cuerda CERVINO 8 m/m</v>
      </c>
      <c r="C1565" s="4">
        <f>IFERROR(__xludf.DUMMYFUNCTION("""COMPUTED_VALUE"""),0.25)</f>
        <v>0.25</v>
      </c>
      <c r="D1565" s="4"/>
      <c r="E1565" s="4" t="str">
        <f>IFERROR(__xludf.DUMMYFUNCTION("""COMPUTED_VALUE"""),"Sin precio neto")</f>
        <v>Sin precio neto</v>
      </c>
    </row>
    <row r="1566">
      <c r="A1566" s="4" t="str">
        <f>IFERROR(__xludf.DUMMYFUNCTION("""COMPUTED_VALUE"""),"4010")</f>
        <v>4010</v>
      </c>
      <c r="B1566" s="4" t="str">
        <f>IFERROR(__xludf.DUMMYFUNCTION("""COMPUTED_VALUE"""),"Mts. cuerda CERVINO 10 m/m")</f>
        <v>Mts. cuerda CERVINO 10 m/m</v>
      </c>
      <c r="C1566" s="4">
        <f>IFERROR(__xludf.DUMMYFUNCTION("""COMPUTED_VALUE"""),0.41)</f>
        <v>0.41</v>
      </c>
      <c r="D1566" s="4"/>
      <c r="E1566" s="4" t="str">
        <f>IFERROR(__xludf.DUMMYFUNCTION("""COMPUTED_VALUE"""),"Sin precio neto")</f>
        <v>Sin precio neto</v>
      </c>
    </row>
    <row r="1567">
      <c r="A1567" s="4" t="str">
        <f>IFERROR(__xludf.DUMMYFUNCTION("""COMPUTED_VALUE"""),"4012")</f>
        <v>4012</v>
      </c>
      <c r="B1567" s="4" t="str">
        <f>IFERROR(__xludf.DUMMYFUNCTION("""COMPUTED_VALUE"""),"Mts. cuerda CERVINO 12 m/m")</f>
        <v>Mts. cuerda CERVINO 12 m/m</v>
      </c>
      <c r="C1567" s="4">
        <f>IFERROR(__xludf.DUMMYFUNCTION("""COMPUTED_VALUE"""),0.66)</f>
        <v>0.66</v>
      </c>
      <c r="D1567" s="4"/>
      <c r="E1567" s="4" t="str">
        <f>IFERROR(__xludf.DUMMYFUNCTION("""COMPUTED_VALUE"""),"Sin precio neto")</f>
        <v>Sin precio neto</v>
      </c>
    </row>
    <row r="1568">
      <c r="A1568" s="4" t="str">
        <f>IFERROR(__xludf.DUMMYFUNCTION("""COMPUTED_VALUE"""),"4014")</f>
        <v>4014</v>
      </c>
      <c r="B1568" s="4" t="str">
        <f>IFERROR(__xludf.DUMMYFUNCTION("""COMPUTED_VALUE"""),"Mts. cuerda CERVINO 14 m/m")</f>
        <v>Mts. cuerda CERVINO 14 m/m</v>
      </c>
      <c r="C1568" s="4">
        <f>IFERROR(__xludf.DUMMYFUNCTION("""COMPUTED_VALUE"""),0.72)</f>
        <v>0.72</v>
      </c>
      <c r="D1568" s="4"/>
      <c r="E1568" s="4" t="str">
        <f>IFERROR(__xludf.DUMMYFUNCTION("""COMPUTED_VALUE"""),"Sin precio neto")</f>
        <v>Sin precio neto</v>
      </c>
    </row>
    <row r="1569">
      <c r="A1569" s="4" t="str">
        <f>IFERROR(__xludf.DUMMYFUNCTION("""COMPUTED_VALUE"""),"4016")</f>
        <v>4016</v>
      </c>
      <c r="B1569" s="4" t="str">
        <f>IFERROR(__xludf.DUMMYFUNCTION("""COMPUTED_VALUE"""),"Mts. cuerda CERVINO 16 m/m")</f>
        <v>Mts. cuerda CERVINO 16 m/m</v>
      </c>
      <c r="C1569" s="4">
        <f>IFERROR(__xludf.DUMMYFUNCTION("""COMPUTED_VALUE"""),0.88)</f>
        <v>0.88</v>
      </c>
      <c r="D1569" s="4"/>
      <c r="E1569" s="4" t="str">
        <f>IFERROR(__xludf.DUMMYFUNCTION("""COMPUTED_VALUE"""),"Sin precio neto")</f>
        <v>Sin precio neto</v>
      </c>
    </row>
    <row r="1570">
      <c r="A1570" s="4" t="str">
        <f>IFERROR(__xludf.DUMMYFUNCTION("""COMPUTED_VALUE"""),"4018")</f>
        <v>4018</v>
      </c>
      <c r="B1570" s="4" t="str">
        <f>IFERROR(__xludf.DUMMYFUNCTION("""COMPUTED_VALUE"""),"Mts. cuerda CERVINO 18 m/m")</f>
        <v>Mts. cuerda CERVINO 18 m/m</v>
      </c>
      <c r="C1570" s="4">
        <f>IFERROR(__xludf.DUMMYFUNCTION("""COMPUTED_VALUE"""),1.12)</f>
        <v>1.12</v>
      </c>
      <c r="D1570" s="4"/>
      <c r="E1570" s="4" t="str">
        <f>IFERROR(__xludf.DUMMYFUNCTION("""COMPUTED_VALUE"""),"Sin precio neto")</f>
        <v>Sin precio neto</v>
      </c>
    </row>
    <row r="1571">
      <c r="A1571" s="4" t="str">
        <f>IFERROR(__xludf.DUMMYFUNCTION("""COMPUTED_VALUE"""),"4020")</f>
        <v>4020</v>
      </c>
      <c r="B1571" s="4" t="str">
        <f>IFERROR(__xludf.DUMMYFUNCTION("""COMPUTED_VALUE"""),"Mts. cuerda CERVINO 20 m/m")</f>
        <v>Mts. cuerda CERVINO 20 m/m</v>
      </c>
      <c r="C1571" s="4">
        <f>IFERROR(__xludf.DUMMYFUNCTION("""COMPUTED_VALUE"""),1.45)</f>
        <v>1.45</v>
      </c>
      <c r="D1571" s="4"/>
      <c r="E1571" s="4" t="str">
        <f>IFERROR(__xludf.DUMMYFUNCTION("""COMPUTED_VALUE"""),"Sin precio neto")</f>
        <v>Sin precio neto</v>
      </c>
    </row>
    <row r="1572">
      <c r="A1572" s="4" t="str">
        <f>IFERROR(__xludf.DUMMYFUNCTION("""COMPUTED_VALUE"""),"4050")</f>
        <v>4050</v>
      </c>
      <c r="B1572" s="4" t="str">
        <f>IFERROR(__xludf.DUMMYFUNCTION("""COMPUTED_VALUE"""),"Señal complementaria TPU rectanagular 440x360 mm Reflex")</f>
        <v>Señal complementaria TPU rectanagular 440x360 mm Reflex</v>
      </c>
      <c r="C1572" s="4">
        <f>IFERROR(__xludf.DUMMYFUNCTION("""COMPUTED_VALUE"""),9.0)</f>
        <v>9</v>
      </c>
      <c r="D1572" s="4"/>
      <c r="E1572" s="4" t="str">
        <f>IFERROR(__xludf.DUMMYFUNCTION("""COMPUTED_VALUE"""),"Sin precio neto")</f>
        <v>Sin precio neto</v>
      </c>
    </row>
    <row r="1573">
      <c r="A1573" s="4" t="str">
        <f>IFERROR(__xludf.DUMMYFUNCTION("""COMPUTED_VALUE"""),"4080")</f>
        <v>4080</v>
      </c>
      <c r="B1573" s="4" t="str">
        <f>IFERROR(__xludf.DUMMYFUNCTION("""COMPUTED_VALUE"""),"Tope parking 59 L x 12 Anc. x 10 Alt. Mod. B")</f>
        <v>Tope parking 59 L x 12 Anc. x 10 Alt. Mod. B</v>
      </c>
      <c r="C1573" s="4">
        <f>IFERROR(__xludf.DUMMYFUNCTION("""COMPUTED_VALUE"""),9.75)</f>
        <v>9.75</v>
      </c>
      <c r="D1573" s="4"/>
      <c r="E1573" s="4" t="str">
        <f>IFERROR(__xludf.DUMMYFUNCTION("""COMPUTED_VALUE"""),"Sin precio neto")</f>
        <v>Sin precio neto</v>
      </c>
    </row>
    <row r="1574">
      <c r="A1574" s="4" t="str">
        <f>IFERROR(__xludf.DUMMYFUNCTION("""COMPUTED_VALUE"""),"4081")</f>
        <v>4081</v>
      </c>
      <c r="B1574" s="4" t="str">
        <f>IFERROR(__xludf.DUMMYFUNCTION("""COMPUTED_VALUE"""),"Tope parking 55 L x 14,5 Anc x 15 Alt. Mod. C")</f>
        <v>Tope parking 55 L x 14,5 Anc x 15 Alt. Mod. C</v>
      </c>
      <c r="C1574" s="4">
        <f>IFERROR(__xludf.DUMMYFUNCTION("""COMPUTED_VALUE"""),14.35)</f>
        <v>14.35</v>
      </c>
      <c r="D1574" s="4"/>
      <c r="E1574" s="4" t="str">
        <f>IFERROR(__xludf.DUMMYFUNCTION("""COMPUTED_VALUE"""),"Sin precio neto")</f>
        <v>Sin precio neto</v>
      </c>
    </row>
    <row r="1575">
      <c r="A1575" s="4" t="str">
        <f>IFERROR(__xludf.DUMMYFUNCTION("""COMPUTED_VALUE"""),"4090C")</f>
        <v>4090C</v>
      </c>
      <c r="B1575" s="4" t="str">
        <f>IFERROR(__xludf.DUMMYFUNCTION("""COMPUTED_VALUE"""),"Aparcabicis modulo central 2 bicicletas")</f>
        <v>Aparcabicis modulo central 2 bicicletas</v>
      </c>
      <c r="C1575" s="4">
        <f>IFERROR(__xludf.DUMMYFUNCTION("""COMPUTED_VALUE"""),49.875)</f>
        <v>49.875</v>
      </c>
      <c r="D1575" s="4"/>
      <c r="E1575" s="4" t="str">
        <f>IFERROR(__xludf.DUMMYFUNCTION("""COMPUTED_VALUE"""),"Sin precio neto")</f>
        <v>Sin precio neto</v>
      </c>
    </row>
    <row r="1576">
      <c r="A1576" s="4" t="str">
        <f>IFERROR(__xludf.DUMMYFUNCTION("""COMPUTED_VALUE"""),"4090E")</f>
        <v>4090E</v>
      </c>
      <c r="B1576" s="4" t="str">
        <f>IFERROR(__xludf.DUMMYFUNCTION("""COMPUTED_VALUE"""),"Aparcabicis modulo extremo 2 bicicletas")</f>
        <v>Aparcabicis modulo extremo 2 bicicletas</v>
      </c>
      <c r="C1576" s="4">
        <f>IFERROR(__xludf.DUMMYFUNCTION("""COMPUTED_VALUE"""),49.875)</f>
        <v>49.875</v>
      </c>
      <c r="D1576" s="4"/>
      <c r="E1576" s="4" t="str">
        <f>IFERROR(__xludf.DUMMYFUNCTION("""COMPUTED_VALUE"""),"Sin precio neto")</f>
        <v>Sin precio neto</v>
      </c>
    </row>
    <row r="1577">
      <c r="A1577" s="4" t="str">
        <f>IFERROR(__xludf.DUMMYFUNCTION("""COMPUTED_VALUE"""),"4090U")</f>
        <v>4090U</v>
      </c>
      <c r="B1577" s="4" t="str">
        <f>IFERROR(__xludf.DUMMYFUNCTION("""COMPUTED_VALUE"""),"Aparcabicis unión modulos")</f>
        <v>Aparcabicis unión modulos</v>
      </c>
      <c r="C1577" s="4">
        <f>IFERROR(__xludf.DUMMYFUNCTION("""COMPUTED_VALUE"""),4.75)</f>
        <v>4.75</v>
      </c>
      <c r="D1577" s="4"/>
      <c r="E1577" s="4" t="str">
        <f>IFERROR(__xludf.DUMMYFUNCTION("""COMPUTED_VALUE"""),"Sin precio neto")</f>
        <v>Sin precio neto</v>
      </c>
    </row>
    <row r="1578">
      <c r="A1578" s="4" t="str">
        <f>IFERROR(__xludf.DUMMYFUNCTION("""COMPUTED_VALUE"""),"4098")</f>
        <v>4098</v>
      </c>
      <c r="B1578" s="4" t="str">
        <f>IFERROR(__xludf.DUMMYFUNCTION("""COMPUTED_VALUE"""),"Cepo parking Mod. A 49,5 cm x 49,5 cm x 9 cm con llave")</f>
        <v>Cepo parking Mod. A 49,5 cm x 49,5 cm x 9 cm con llave</v>
      </c>
      <c r="C1578" s="4">
        <f>IFERROR(__xludf.DUMMYFUNCTION("""COMPUTED_VALUE"""),38.63)</f>
        <v>38.63</v>
      </c>
      <c r="D1578" s="4"/>
      <c r="E1578" s="4" t="str">
        <f>IFERROR(__xludf.DUMMYFUNCTION("""COMPUTED_VALUE"""),"Sin precio neto")</f>
        <v>Sin precio neto</v>
      </c>
    </row>
    <row r="1579">
      <c r="A1579" s="4" t="str">
        <f>IFERROR(__xludf.DUMMYFUNCTION("""COMPUTED_VALUE"""),"4099")</f>
        <v>4099</v>
      </c>
      <c r="B1579" s="4" t="str">
        <f>IFERROR(__xludf.DUMMYFUNCTION("""COMPUTED_VALUE"""),"Cepo parking Mod. B 76 cm x 47 cm c/candado")</f>
        <v>Cepo parking Mod. B 76 cm x 47 cm c/candado</v>
      </c>
      <c r="C1579" s="4">
        <f>IFERROR(__xludf.DUMMYFUNCTION("""COMPUTED_VALUE"""),22.0)</f>
        <v>22</v>
      </c>
      <c r="D1579" s="4">
        <f>IFERROR(__xludf.DUMMYFUNCTION("""COMPUTED_VALUE"""),18.0)</f>
        <v>18</v>
      </c>
      <c r="E1579" s="4" t="str">
        <f>IFERROR(__xludf.DUMMYFUNCTION("""COMPUTED_VALUE"""),"Neto: 18,00 € (a partir de 1 uds.)")</f>
        <v>Neto: 18,00 € (a partir de 1 uds.)</v>
      </c>
    </row>
    <row r="1580">
      <c r="A1580" s="4" t="str">
        <f>IFERROR(__xludf.DUMMYFUNCTION("""COMPUTED_VALUE"""),"4100")</f>
        <v>4100</v>
      </c>
      <c r="B1580" s="4" t="str">
        <f>IFERROR(__xludf.DUMMYFUNCTION("""COMPUTED_VALUE"""),"Espejo trafico 600 mm Mod. Basic c/ visera")</f>
        <v>Espejo trafico 600 mm Mod. Basic c/ visera</v>
      </c>
      <c r="C1580" s="4">
        <f>IFERROR(__xludf.DUMMYFUNCTION("""COMPUTED_VALUE"""),34.5)</f>
        <v>34.5</v>
      </c>
      <c r="D1580" s="4">
        <f>IFERROR(__xludf.DUMMYFUNCTION("""COMPUTED_VALUE"""),29.0)</f>
        <v>29</v>
      </c>
      <c r="E1580" s="4" t="str">
        <f>IFERROR(__xludf.DUMMYFUNCTION("""COMPUTED_VALUE"""),"Neto: 29,00 € (a partir de 5 uds.)")</f>
        <v>Neto: 29,00 € (a partir de 5 uds.)</v>
      </c>
    </row>
    <row r="1581">
      <c r="A1581" s="4" t="str">
        <f>IFERROR(__xludf.DUMMYFUNCTION("""COMPUTED_VALUE"""),"4101")</f>
        <v>4101</v>
      </c>
      <c r="B1581" s="4" t="str">
        <f>IFERROR(__xludf.DUMMYFUNCTION("""COMPUTED_VALUE"""),"Espejo Trafico 800 mm Mod. Basic c visera")</f>
        <v>Espejo Trafico 800 mm Mod. Basic c visera</v>
      </c>
      <c r="C1581" s="4">
        <f>IFERROR(__xludf.DUMMYFUNCTION("""COMPUTED_VALUE"""),63.0)</f>
        <v>63</v>
      </c>
      <c r="D1581" s="4">
        <f>IFERROR(__xludf.DUMMYFUNCTION("""COMPUTED_VALUE"""),45.0)</f>
        <v>45</v>
      </c>
      <c r="E1581" s="4" t="str">
        <f>IFERROR(__xludf.DUMMYFUNCTION("""COMPUTED_VALUE"""),"Neto: 45,00 € (a partir de 5 uds.)")</f>
        <v>Neto: 45,00 € (a partir de 5 uds.)</v>
      </c>
    </row>
    <row r="1582">
      <c r="A1582" s="4" t="str">
        <f>IFERROR(__xludf.DUMMYFUNCTION("""COMPUTED_VALUE"""),"4103")</f>
        <v>4103</v>
      </c>
      <c r="B1582" s="4" t="str">
        <f>IFERROR(__xludf.DUMMYFUNCTION("""COMPUTED_VALUE"""),"Esquinera proteccion columna 80 cm mod. B")</f>
        <v>Esquinera proteccion columna 80 cm mod. B</v>
      </c>
      <c r="C1582" s="4">
        <f>IFERROR(__xludf.DUMMYFUNCTION("""COMPUTED_VALUE"""),4.4)</f>
        <v>4.4</v>
      </c>
      <c r="D1582" s="4"/>
      <c r="E1582" s="4" t="str">
        <f>IFERROR(__xludf.DUMMYFUNCTION("""COMPUTED_VALUE"""),"Sin precio neto")</f>
        <v>Sin precio neto</v>
      </c>
    </row>
    <row r="1583">
      <c r="A1583" s="4" t="str">
        <f>IFERROR(__xludf.DUMMYFUNCTION("""COMPUTED_VALUE"""),"4104")</f>
        <v>4104</v>
      </c>
      <c r="B1583" s="4" t="str">
        <f>IFERROR(__xludf.DUMMYFUNCTION("""COMPUTED_VALUE"""),"Tope parking 55 x 15 Anc. x 10 Alt Mod. A")</f>
        <v>Tope parking 55 x 15 Anc. x 10 Alt Mod. A</v>
      </c>
      <c r="C1583" s="4">
        <f>IFERROR(__xludf.DUMMYFUNCTION("""COMPUTED_VALUE"""),9.6)</f>
        <v>9.6</v>
      </c>
      <c r="D1583" s="4"/>
      <c r="E1583" s="4" t="str">
        <f>IFERROR(__xludf.DUMMYFUNCTION("""COMPUTED_VALUE"""),"Sin precio neto")</f>
        <v>Sin precio neto</v>
      </c>
    </row>
    <row r="1584">
      <c r="A1584" s="4" t="str">
        <f>IFERROR(__xludf.DUMMYFUNCTION("""COMPUTED_VALUE"""),"4105")</f>
        <v>4105</v>
      </c>
      <c r="B1584" s="4" t="str">
        <f>IFERROR(__xludf.DUMMYFUNCTION("""COMPUTED_VALUE"""),"Esquinera proteccion columna 80 cm mod. A")</f>
        <v>Esquinera proteccion columna 80 cm mod. A</v>
      </c>
      <c r="C1584" s="4">
        <f>IFERROR(__xludf.DUMMYFUNCTION("""COMPUTED_VALUE"""),7.75)</f>
        <v>7.75</v>
      </c>
      <c r="D1584" s="4"/>
      <c r="E1584" s="4" t="str">
        <f>IFERROR(__xludf.DUMMYFUNCTION("""COMPUTED_VALUE"""),"Sin precio neto")</f>
        <v>Sin precio neto</v>
      </c>
    </row>
    <row r="1585">
      <c r="A1585" s="4" t="str">
        <f>IFERROR(__xludf.DUMMYFUNCTION("""COMPUTED_VALUE"""),"4106")</f>
        <v>4106</v>
      </c>
      <c r="B1585" s="4" t="str">
        <f>IFERROR(__xludf.DUMMYFUNCTION("""COMPUTED_VALUE"""),"Mts.cuerda certif.poliest.Alta Tenacidad 6 m/m")</f>
        <v>Mts.cuerda certif.poliest.Alta Tenacidad 6 m/m</v>
      </c>
      <c r="C1585" s="4">
        <f>IFERROR(__xludf.DUMMYFUNCTION("""COMPUTED_VALUE"""),0.24)</f>
        <v>0.24</v>
      </c>
      <c r="D1585" s="4"/>
      <c r="E1585" s="4" t="str">
        <f>IFERROR(__xludf.DUMMYFUNCTION("""COMPUTED_VALUE"""),"Sin precio neto")</f>
        <v>Sin precio neto</v>
      </c>
    </row>
    <row r="1586">
      <c r="A1586" s="4" t="str">
        <f>IFERROR(__xludf.DUMMYFUNCTION("""COMPUTED_VALUE"""),"4108")</f>
        <v>4108</v>
      </c>
      <c r="B1586" s="4" t="str">
        <f>IFERROR(__xludf.DUMMYFUNCTION("""COMPUTED_VALUE"""),"Mts.cuerda certif.poliest.Alta Tenacidad 8 m/m")</f>
        <v>Mts.cuerda certif.poliest.Alta Tenacidad 8 m/m</v>
      </c>
      <c r="C1586" s="4">
        <f>IFERROR(__xludf.DUMMYFUNCTION("""COMPUTED_VALUE"""),0.43)</f>
        <v>0.43</v>
      </c>
      <c r="D1586" s="4"/>
      <c r="E1586" s="4" t="str">
        <f>IFERROR(__xludf.DUMMYFUNCTION("""COMPUTED_VALUE"""),"Sin precio neto")</f>
        <v>Sin precio neto</v>
      </c>
    </row>
    <row r="1587">
      <c r="A1587" s="4" t="str">
        <f>IFERROR(__xludf.DUMMYFUNCTION("""COMPUTED_VALUE"""),"4110")</f>
        <v>4110</v>
      </c>
      <c r="B1587" s="4" t="str">
        <f>IFERROR(__xludf.DUMMYFUNCTION("""COMPUTED_VALUE"""),"Mts.cuerda certif.poliest.Alta Tenacidad 10 m/m")</f>
        <v>Mts.cuerda certif.poliest.Alta Tenacidad 10 m/m</v>
      </c>
      <c r="C1587" s="4">
        <f>IFERROR(__xludf.DUMMYFUNCTION("""COMPUTED_VALUE"""),0.56)</f>
        <v>0.56</v>
      </c>
      <c r="D1587" s="4"/>
      <c r="E1587" s="4" t="str">
        <f>IFERROR(__xludf.DUMMYFUNCTION("""COMPUTED_VALUE"""),"Sin precio neto")</f>
        <v>Sin precio neto</v>
      </c>
    </row>
    <row r="1588">
      <c r="A1588" s="4" t="str">
        <f>IFERROR(__xludf.DUMMYFUNCTION("""COMPUTED_VALUE"""),"4112")</f>
        <v>4112</v>
      </c>
      <c r="B1588" s="4" t="str">
        <f>IFERROR(__xludf.DUMMYFUNCTION("""COMPUTED_VALUE"""),"Mts.cuerda Certif.poliest.Alta Tenacidad 12 m/m")</f>
        <v>Mts.cuerda Certif.poliest.Alta Tenacidad 12 m/m</v>
      </c>
      <c r="C1588" s="4">
        <f>IFERROR(__xludf.DUMMYFUNCTION("""COMPUTED_VALUE"""),0.88)</f>
        <v>0.88</v>
      </c>
      <c r="D1588" s="4"/>
      <c r="E1588" s="4" t="str">
        <f>IFERROR(__xludf.DUMMYFUNCTION("""COMPUTED_VALUE"""),"Sin precio neto")</f>
        <v>Sin precio neto</v>
      </c>
    </row>
    <row r="1589">
      <c r="A1589" s="4" t="str">
        <f>IFERROR(__xludf.DUMMYFUNCTION("""COMPUTED_VALUE"""),"4114")</f>
        <v>4114</v>
      </c>
      <c r="B1589" s="4" t="str">
        <f>IFERROR(__xludf.DUMMYFUNCTION("""COMPUTED_VALUE"""),"Mts.cuerda Certif.poliest.Alta Tenacidad 14 m/m")</f>
        <v>Mts.cuerda Certif.poliest.Alta Tenacidad 14 m/m</v>
      </c>
      <c r="C1589" s="4">
        <f>IFERROR(__xludf.DUMMYFUNCTION("""COMPUTED_VALUE"""),1.16)</f>
        <v>1.16</v>
      </c>
      <c r="D1589" s="4"/>
      <c r="E1589" s="4" t="str">
        <f>IFERROR(__xludf.DUMMYFUNCTION("""COMPUTED_VALUE"""),"Sin precio neto")</f>
        <v>Sin precio neto</v>
      </c>
    </row>
    <row r="1590">
      <c r="A1590" s="4" t="str">
        <f>IFERROR(__xludf.DUMMYFUNCTION("""COMPUTED_VALUE"""),"4116")</f>
        <v>4116</v>
      </c>
      <c r="B1590" s="4" t="str">
        <f>IFERROR(__xludf.DUMMYFUNCTION("""COMPUTED_VALUE"""),"Mts.cuerda Certif.poliest.Alta Tenacidad 16 m/m")</f>
        <v>Mts.cuerda Certif.poliest.Alta Tenacidad 16 m/m</v>
      </c>
      <c r="C1590" s="4">
        <f>IFERROR(__xludf.DUMMYFUNCTION("""COMPUTED_VALUE"""),1.36)</f>
        <v>1.36</v>
      </c>
      <c r="D1590" s="4"/>
      <c r="E1590" s="4" t="str">
        <f>IFERROR(__xludf.DUMMYFUNCTION("""COMPUTED_VALUE"""),"Sin precio neto")</f>
        <v>Sin precio neto</v>
      </c>
    </row>
    <row r="1591">
      <c r="A1591" s="4" t="str">
        <f>IFERROR(__xludf.DUMMYFUNCTION("""COMPUTED_VALUE"""),"4118")</f>
        <v>4118</v>
      </c>
      <c r="B1591" s="4" t="str">
        <f>IFERROR(__xludf.DUMMYFUNCTION("""COMPUTED_VALUE"""),"Mts.cuerda Certif.poliest.Alta Tenacidad 18 m/m")</f>
        <v>Mts.cuerda Certif.poliest.Alta Tenacidad 18 m/m</v>
      </c>
      <c r="C1591" s="4">
        <f>IFERROR(__xludf.DUMMYFUNCTION("""COMPUTED_VALUE"""),1.78)</f>
        <v>1.78</v>
      </c>
      <c r="D1591" s="4"/>
      <c r="E1591" s="4" t="str">
        <f>IFERROR(__xludf.DUMMYFUNCTION("""COMPUTED_VALUE"""),"Sin precio neto")</f>
        <v>Sin precio neto</v>
      </c>
    </row>
    <row r="1592">
      <c r="A1592" s="4" t="str">
        <f>IFERROR(__xludf.DUMMYFUNCTION("""COMPUTED_VALUE"""),"4125")</f>
        <v>4125</v>
      </c>
      <c r="B1592" s="4" t="str">
        <f>IFERROR(__xludf.DUMMYFUNCTION("""COMPUTED_VALUE"""),"Bolsa tapa señales 95x110 agujereada")</f>
        <v>Bolsa tapa señales 95x110 agujereada</v>
      </c>
      <c r="C1592" s="4">
        <f>IFERROR(__xludf.DUMMYFUNCTION("""COMPUTED_VALUE"""),3.0)</f>
        <v>3</v>
      </c>
      <c r="D1592" s="4"/>
      <c r="E1592" s="4" t="str">
        <f>IFERROR(__xludf.DUMMYFUNCTION("""COMPUTED_VALUE"""),"Sin precio neto")</f>
        <v>Sin precio neto</v>
      </c>
    </row>
    <row r="1593">
      <c r="A1593" s="4" t="str">
        <f>IFERROR(__xludf.DUMMYFUNCTION("""COMPUTED_VALUE"""),"4150")</f>
        <v>4150</v>
      </c>
      <c r="B1593" s="4" t="str">
        <f>IFERROR(__xludf.DUMMYFUNCTION("""COMPUTED_VALUE"""),"Espejo 60 cm Mod. Icaro")</f>
        <v>Espejo 60 cm Mod. Icaro</v>
      </c>
      <c r="C1593" s="4">
        <f>IFERROR(__xludf.DUMMYFUNCTION("""COMPUTED_VALUE"""),54.5)</f>
        <v>54.5</v>
      </c>
      <c r="D1593" s="4"/>
      <c r="E1593" s="4" t="str">
        <f>IFERROR(__xludf.DUMMYFUNCTION("""COMPUTED_VALUE"""),"Sin precio neto")</f>
        <v>Sin precio neto</v>
      </c>
    </row>
    <row r="1594">
      <c r="A1594" s="4" t="str">
        <f>IFERROR(__xludf.DUMMYFUNCTION("""COMPUTED_VALUE"""),"4151")</f>
        <v>4151</v>
      </c>
      <c r="B1594" s="4" t="str">
        <f>IFERROR(__xludf.DUMMYFUNCTION("""COMPUTED_VALUE"""),"Espejo 80 cm Mod. Icaro")</f>
        <v>Espejo 80 cm Mod. Icaro</v>
      </c>
      <c r="C1594" s="4">
        <f>IFERROR(__xludf.DUMMYFUNCTION("""COMPUTED_VALUE"""),87.0)</f>
        <v>87</v>
      </c>
      <c r="D1594" s="4"/>
      <c r="E1594" s="4" t="str">
        <f>IFERROR(__xludf.DUMMYFUNCTION("""COMPUTED_VALUE"""),"Sin precio neto")</f>
        <v>Sin precio neto</v>
      </c>
    </row>
    <row r="1595">
      <c r="A1595" s="4" t="str">
        <f>IFERROR(__xludf.DUMMYFUNCTION("""COMPUTED_VALUE"""),"4180")</f>
        <v>4180</v>
      </c>
      <c r="B1595" s="4" t="str">
        <f>IFERROR(__xludf.DUMMYFUNCTION("""COMPUTED_VALUE"""),"Protector parking FOAM R/B columna 30x25x1,5 cm")</f>
        <v>Protector parking FOAM R/B columna 30x25x1,5 cm</v>
      </c>
      <c r="C1595" s="4">
        <f>IFERROR(__xludf.DUMMYFUNCTION("""COMPUTED_VALUE"""),3.4)</f>
        <v>3.4</v>
      </c>
      <c r="D1595" s="4"/>
      <c r="E1595" s="4" t="str">
        <f>IFERROR(__xludf.DUMMYFUNCTION("""COMPUTED_VALUE"""),"Sin precio neto")</f>
        <v>Sin precio neto</v>
      </c>
    </row>
    <row r="1596">
      <c r="A1596" s="4" t="str">
        <f>IFERROR(__xludf.DUMMYFUNCTION("""COMPUTED_VALUE"""),"4181")</f>
        <v>4181</v>
      </c>
      <c r="B1596" s="4" t="str">
        <f>IFERROR(__xludf.DUMMYFUNCTION("""COMPUTED_VALUE"""),"Protector parking FOAM N/A columna 30X25X1,5 cm")</f>
        <v>Protector parking FOAM N/A columna 30X25X1,5 cm</v>
      </c>
      <c r="C1596" s="4">
        <f>IFERROR(__xludf.DUMMYFUNCTION("""COMPUTED_VALUE"""),3.4)</f>
        <v>3.4</v>
      </c>
      <c r="D1596" s="4"/>
      <c r="E1596" s="4" t="str">
        <f>IFERROR(__xludf.DUMMYFUNCTION("""COMPUTED_VALUE"""),"Sin precio neto")</f>
        <v>Sin precio neto</v>
      </c>
    </row>
    <row r="1597">
      <c r="A1597" s="4" t="str">
        <f>IFERROR(__xludf.DUMMYFUNCTION("""COMPUTED_VALUE"""),"4182")</f>
        <v>4182</v>
      </c>
      <c r="B1597" s="4" t="str">
        <f>IFERROR(__xludf.DUMMYFUNCTION("""COMPUTED_VALUE"""),"Protector parking FOAM R/B columna 100x200x1,5 cm")</f>
        <v>Protector parking FOAM R/B columna 100x200x1,5 cm</v>
      </c>
      <c r="C1597" s="4">
        <f>IFERROR(__xludf.DUMMYFUNCTION("""COMPUTED_VALUE"""),39.0)</f>
        <v>39</v>
      </c>
      <c r="D1597" s="4"/>
      <c r="E1597" s="4" t="str">
        <f>IFERROR(__xludf.DUMMYFUNCTION("""COMPUTED_VALUE"""),"Sin precio neto")</f>
        <v>Sin precio neto</v>
      </c>
    </row>
    <row r="1598">
      <c r="A1598" s="4" t="str">
        <f>IFERROR(__xludf.DUMMYFUNCTION("""COMPUTED_VALUE"""),"4183")</f>
        <v>4183</v>
      </c>
      <c r="B1598" s="4" t="str">
        <f>IFERROR(__xludf.DUMMYFUNCTION("""COMPUTED_VALUE"""),"Protector parking FOAM N/A columna 100x200x1,5 cm")</f>
        <v>Protector parking FOAM N/A columna 100x200x1,5 cm</v>
      </c>
      <c r="C1598" s="4">
        <f>IFERROR(__xludf.DUMMYFUNCTION("""COMPUTED_VALUE"""),39.0)</f>
        <v>39</v>
      </c>
      <c r="D1598" s="4"/>
      <c r="E1598" s="4" t="str">
        <f>IFERROR(__xludf.DUMMYFUNCTION("""COMPUTED_VALUE"""),"Sin precio neto")</f>
        <v>Sin precio neto</v>
      </c>
    </row>
    <row r="1599">
      <c r="A1599" s="4" t="str">
        <f>IFERROR(__xludf.DUMMYFUNCTION("""COMPUTED_VALUE"""),"4184")</f>
        <v>4184</v>
      </c>
      <c r="B1599" s="4" t="str">
        <f>IFERROR(__xludf.DUMMYFUNCTION("""COMPUTED_VALUE"""),"Protector parking FOAM R/B plano 24x18x4cm")</f>
        <v>Protector parking FOAM R/B plano 24x18x4cm</v>
      </c>
      <c r="C1599" s="4">
        <f>IFERROR(__xludf.DUMMYFUNCTION("""COMPUTED_VALUE"""),3.45)</f>
        <v>3.45</v>
      </c>
      <c r="D1599" s="4"/>
      <c r="E1599" s="4" t="str">
        <f>IFERROR(__xludf.DUMMYFUNCTION("""COMPUTED_VALUE"""),"Sin precio neto")</f>
        <v>Sin precio neto</v>
      </c>
    </row>
    <row r="1600">
      <c r="A1600" s="4" t="str">
        <f>IFERROR(__xludf.DUMMYFUNCTION("""COMPUTED_VALUE"""),"4185")</f>
        <v>4185</v>
      </c>
      <c r="B1600" s="4" t="str">
        <f>IFERROR(__xludf.DUMMYFUNCTION("""COMPUTED_VALUE"""),"Protector parking FOAM N/A plano 24x18x4cm")</f>
        <v>Protector parking FOAM N/A plano 24x18x4cm</v>
      </c>
      <c r="C1600" s="4">
        <f>IFERROR(__xludf.DUMMYFUNCTION("""COMPUTED_VALUE"""),3.45)</f>
        <v>3.45</v>
      </c>
      <c r="D1600" s="4"/>
      <c r="E1600" s="4" t="str">
        <f>IFERROR(__xludf.DUMMYFUNCTION("""COMPUTED_VALUE"""),"Sin precio neto")</f>
        <v>Sin precio neto</v>
      </c>
    </row>
    <row r="1601">
      <c r="A1601" s="4" t="str">
        <f>IFERROR(__xludf.DUMMYFUNCTION("""COMPUTED_VALUE"""),"4186")</f>
        <v>4186</v>
      </c>
      <c r="B1601" s="4" t="str">
        <f>IFERROR(__xludf.DUMMYFUNCTION("""COMPUTED_VALUE"""),"Protector parking FOAM R/B esquina 50x(15+15)x1,5 cm")</f>
        <v>Protector parking FOAM R/B esquina 50x(15+15)x1,5 cm</v>
      </c>
      <c r="C1601" s="4">
        <f>IFERROR(__xludf.DUMMYFUNCTION("""COMPUTED_VALUE"""),5.75)</f>
        <v>5.75</v>
      </c>
      <c r="D1601" s="4"/>
      <c r="E1601" s="4" t="str">
        <f>IFERROR(__xludf.DUMMYFUNCTION("""COMPUTED_VALUE"""),"Sin precio neto")</f>
        <v>Sin precio neto</v>
      </c>
    </row>
    <row r="1602">
      <c r="A1602" s="4" t="str">
        <f>IFERROR(__xludf.DUMMYFUNCTION("""COMPUTED_VALUE"""),"4187")</f>
        <v>4187</v>
      </c>
      <c r="B1602" s="4" t="str">
        <f>IFERROR(__xludf.DUMMYFUNCTION("""COMPUTED_VALUE"""),"Protector parking FOAM N/A esquina 50x(15+15)x1,5 cm")</f>
        <v>Protector parking FOAM N/A esquina 50x(15+15)x1,5 cm</v>
      </c>
      <c r="C1602" s="4">
        <f>IFERROR(__xludf.DUMMYFUNCTION("""COMPUTED_VALUE"""),5.75)</f>
        <v>5.75</v>
      </c>
      <c r="D1602" s="4"/>
      <c r="E1602" s="4" t="str">
        <f>IFERROR(__xludf.DUMMYFUNCTION("""COMPUTED_VALUE"""),"Sin precio neto")</f>
        <v>Sin precio neto</v>
      </c>
    </row>
    <row r="1603">
      <c r="A1603" s="4" t="str">
        <f>IFERROR(__xludf.DUMMYFUNCTION("""COMPUTED_VALUE"""),"4188")</f>
        <v>4188</v>
      </c>
      <c r="B1603" s="4" t="str">
        <f>IFERROR(__xludf.DUMMYFUNCTION("""COMPUTED_VALUE"""),"Protector parking FOAM R/B plano 50X10X1,5cm")</f>
        <v>Protector parking FOAM R/B plano 50X10X1,5cm</v>
      </c>
      <c r="C1603" s="4">
        <f>IFERROR(__xludf.DUMMYFUNCTION("""COMPUTED_VALUE"""),2.2)</f>
        <v>2.2</v>
      </c>
      <c r="D1603" s="4"/>
      <c r="E1603" s="4" t="str">
        <f>IFERROR(__xludf.DUMMYFUNCTION("""COMPUTED_VALUE"""),"Sin precio neto")</f>
        <v>Sin precio neto</v>
      </c>
    </row>
    <row r="1604">
      <c r="A1604" s="4" t="str">
        <f>IFERROR(__xludf.DUMMYFUNCTION("""COMPUTED_VALUE"""),"4189")</f>
        <v>4189</v>
      </c>
      <c r="B1604" s="4" t="str">
        <f>IFERROR(__xludf.DUMMYFUNCTION("""COMPUTED_VALUE"""),"Protector parking FOAM N/A plano 50x10x1,5cm")</f>
        <v>Protector parking FOAM N/A plano 50x10x1,5cm</v>
      </c>
      <c r="C1604" s="4">
        <f>IFERROR(__xludf.DUMMYFUNCTION("""COMPUTED_VALUE"""),2.2)</f>
        <v>2.2</v>
      </c>
      <c r="D1604" s="4"/>
      <c r="E1604" s="4" t="str">
        <f>IFERROR(__xludf.DUMMYFUNCTION("""COMPUTED_VALUE"""),"Sin precio neto")</f>
        <v>Sin precio neto</v>
      </c>
    </row>
    <row r="1605">
      <c r="A1605" s="4" t="str">
        <f>IFERROR(__xludf.DUMMYFUNCTION("""COMPUTED_VALUE"""),"4190")</f>
        <v>4190</v>
      </c>
      <c r="B1605" s="4" t="str">
        <f>IFERROR(__xludf.DUMMYFUNCTION("""COMPUTED_VALUE"""),"Protector parking FOAM R/B plano 50x25x2,5cm")</f>
        <v>Protector parking FOAM R/B plano 50x25x2,5cm</v>
      </c>
      <c r="C1605" s="4">
        <f>IFERROR(__xludf.DUMMYFUNCTION("""COMPUTED_VALUE"""),4.9)</f>
        <v>4.9</v>
      </c>
      <c r="D1605" s="4"/>
      <c r="E1605" s="4" t="str">
        <f>IFERROR(__xludf.DUMMYFUNCTION("""COMPUTED_VALUE"""),"Sin precio neto")</f>
        <v>Sin precio neto</v>
      </c>
    </row>
    <row r="1606">
      <c r="A1606" s="4" t="str">
        <f>IFERROR(__xludf.DUMMYFUNCTION("""COMPUTED_VALUE"""),"4191")</f>
        <v>4191</v>
      </c>
      <c r="B1606" s="4" t="str">
        <f>IFERROR(__xludf.DUMMYFUNCTION("""COMPUTED_VALUE"""),"Protector parking FOAM N/A plano 50x25x2,5cm")</f>
        <v>Protector parking FOAM N/A plano 50x25x2,5cm</v>
      </c>
      <c r="C1606" s="4">
        <f>IFERROR(__xludf.DUMMYFUNCTION("""COMPUTED_VALUE"""),4.9)</f>
        <v>4.9</v>
      </c>
      <c r="D1606" s="4"/>
      <c r="E1606" s="4" t="str">
        <f>IFERROR(__xludf.DUMMYFUNCTION("""COMPUTED_VALUE"""),"Sin precio neto")</f>
        <v>Sin precio neto</v>
      </c>
    </row>
    <row r="1607">
      <c r="A1607" s="4" t="str">
        <f>IFERROR(__xludf.DUMMYFUNCTION("""COMPUTED_VALUE"""),"4192")</f>
        <v>4192</v>
      </c>
      <c r="B1607" s="4" t="str">
        <f>IFERROR(__xludf.DUMMYFUNCTION("""COMPUTED_VALUE"""),"Protector parking FOAM R/B plano 30x20x1,5 cm")</f>
        <v>Protector parking FOAM R/B plano 30x20x1,5 cm</v>
      </c>
      <c r="C1607" s="4">
        <f>IFERROR(__xludf.DUMMYFUNCTION("""COMPUTED_VALUE"""),3.75)</f>
        <v>3.75</v>
      </c>
      <c r="D1607" s="4"/>
      <c r="E1607" s="4" t="str">
        <f>IFERROR(__xludf.DUMMYFUNCTION("""COMPUTED_VALUE"""),"Sin precio neto")</f>
        <v>Sin precio neto</v>
      </c>
    </row>
    <row r="1608">
      <c r="A1608" s="4" t="str">
        <f>IFERROR(__xludf.DUMMYFUNCTION("""COMPUTED_VALUE"""),"4193")</f>
        <v>4193</v>
      </c>
      <c r="B1608" s="4" t="str">
        <f>IFERROR(__xludf.DUMMYFUNCTION("""COMPUTED_VALUE"""),"Protector parking FOAM N/A plano 30x20x1,5 cm")</f>
        <v>Protector parking FOAM N/A plano 30x20x1,5 cm</v>
      </c>
      <c r="C1608" s="4">
        <f>IFERROR(__xludf.DUMMYFUNCTION("""COMPUTED_VALUE"""),3.75)</f>
        <v>3.75</v>
      </c>
      <c r="D1608" s="4"/>
      <c r="E1608" s="4" t="str">
        <f>IFERROR(__xludf.DUMMYFUNCTION("""COMPUTED_VALUE"""),"Sin precio neto")</f>
        <v>Sin precio neto</v>
      </c>
    </row>
    <row r="1609">
      <c r="A1609" s="4" t="str">
        <f>IFERROR(__xludf.DUMMYFUNCTION("""COMPUTED_VALUE"""),"4194")</f>
        <v>4194</v>
      </c>
      <c r="B1609" s="4" t="str">
        <f>IFERROR(__xludf.DUMMYFUNCTION("""COMPUTED_VALUE"""),"Protector Antigolpes PVC 15x3 cm (5 metros )")</f>
        <v>Protector Antigolpes PVC 15x3 cm (5 metros )</v>
      </c>
      <c r="C1609" s="4">
        <f>IFERROR(__xludf.DUMMYFUNCTION("""COMPUTED_VALUE"""),37.0)</f>
        <v>37</v>
      </c>
      <c r="D1609" s="4"/>
      <c r="E1609" s="4" t="str">
        <f>IFERROR(__xludf.DUMMYFUNCTION("""COMPUTED_VALUE"""),"Sin precio neto")</f>
        <v>Sin precio neto</v>
      </c>
    </row>
    <row r="1610">
      <c r="A1610" s="4" t="str">
        <f>IFERROR(__xludf.DUMMYFUNCTION("""COMPUTED_VALUE"""),"4200")</f>
        <v>4200</v>
      </c>
      <c r="B1610" s="4" t="str">
        <f>IFERROR(__xludf.DUMMYFUNCTION("""COMPUTED_VALUE"""),"Esq. protec.N/A 100 cm anti-golpe Foam Mod A")</f>
        <v>Esq. protec.N/A 100 cm anti-golpe Foam Mod A</v>
      </c>
      <c r="C1610" s="4">
        <f>IFERROR(__xludf.DUMMYFUNCTION("""COMPUTED_VALUE"""),14.9)</f>
        <v>14.9</v>
      </c>
      <c r="D1610" s="4">
        <f>IFERROR(__xludf.DUMMYFUNCTION("""COMPUTED_VALUE"""),12.5)</f>
        <v>12.5</v>
      </c>
      <c r="E1610" s="4" t="str">
        <f>IFERROR(__xludf.DUMMYFUNCTION("""COMPUTED_VALUE"""),"Neto: 12,50 € (a partir de 10 uds.)")</f>
        <v>Neto: 12,50 € (a partir de 10 uds.)</v>
      </c>
    </row>
    <row r="1611">
      <c r="A1611" s="4" t="str">
        <f>IFERROR(__xludf.DUMMYFUNCTION("""COMPUTED_VALUE"""),"4200B")</f>
        <v>4200B</v>
      </c>
      <c r="B1611" s="4" t="str">
        <f>IFERROR(__xludf.DUMMYFUNCTION("""COMPUTED_VALUE"""),"Esq. protec.N/A 100 cm anti-golpe Foam Mod B")</f>
        <v>Esq. protec.N/A 100 cm anti-golpe Foam Mod B</v>
      </c>
      <c r="C1611" s="4">
        <f>IFERROR(__xludf.DUMMYFUNCTION("""COMPUTED_VALUE"""),14.9)</f>
        <v>14.9</v>
      </c>
      <c r="D1611" s="4">
        <f>IFERROR(__xludf.DUMMYFUNCTION("""COMPUTED_VALUE"""),12.5)</f>
        <v>12.5</v>
      </c>
      <c r="E1611" s="4" t="str">
        <f>IFERROR(__xludf.DUMMYFUNCTION("""COMPUTED_VALUE"""),"Neto: 12,50 € (a partir de 10 uds.)")</f>
        <v>Neto: 12,50 € (a partir de 10 uds.)</v>
      </c>
    </row>
    <row r="1612">
      <c r="A1612" s="4" t="str">
        <f>IFERROR(__xludf.DUMMYFUNCTION("""COMPUTED_VALUE"""),"4200C")</f>
        <v>4200C</v>
      </c>
      <c r="B1612" s="4" t="str">
        <f>IFERROR(__xludf.DUMMYFUNCTION("""COMPUTED_VALUE"""),"Esq. protec.N/A 100 cm anti-golpe Foam Mod C")</f>
        <v>Esq. protec.N/A 100 cm anti-golpe Foam Mod C</v>
      </c>
      <c r="C1612" s="4">
        <f>IFERROR(__xludf.DUMMYFUNCTION("""COMPUTED_VALUE"""),14.9)</f>
        <v>14.9</v>
      </c>
      <c r="D1612" s="4">
        <f>IFERROR(__xludf.DUMMYFUNCTION("""COMPUTED_VALUE"""),12.5)</f>
        <v>12.5</v>
      </c>
      <c r="E1612" s="4" t="str">
        <f>IFERROR(__xludf.DUMMYFUNCTION("""COMPUTED_VALUE"""),"Neto: 12,50 € (a partir de 10 uds.)")</f>
        <v>Neto: 12,50 € (a partir de 10 uds.)</v>
      </c>
    </row>
    <row r="1613">
      <c r="A1613" s="4" t="str">
        <f>IFERROR(__xludf.DUMMYFUNCTION("""COMPUTED_VALUE"""),"4200D")</f>
        <v>4200D</v>
      </c>
      <c r="B1613" s="4" t="str">
        <f>IFERROR(__xludf.DUMMYFUNCTION("""COMPUTED_VALUE"""),"Esq. protec.N/A 100 cm anti-golpe Foam Mod D")</f>
        <v>Esq. protec.N/A 100 cm anti-golpe Foam Mod D</v>
      </c>
      <c r="C1613" s="4">
        <f>IFERROR(__xludf.DUMMYFUNCTION("""COMPUTED_VALUE"""),14.9)</f>
        <v>14.9</v>
      </c>
      <c r="D1613" s="4">
        <f>IFERROR(__xludf.DUMMYFUNCTION("""COMPUTED_VALUE"""),12.5)</f>
        <v>12.5</v>
      </c>
      <c r="E1613" s="4" t="str">
        <f>IFERROR(__xludf.DUMMYFUNCTION("""COMPUTED_VALUE"""),"Neto: 12,50 € (a partir de 10 uds.)")</f>
        <v>Neto: 12,50 € (a partir de 10 uds.)</v>
      </c>
    </row>
    <row r="1614">
      <c r="A1614" s="4" t="str">
        <f>IFERROR(__xludf.DUMMYFUNCTION("""COMPUTED_VALUE"""),"4200E")</f>
        <v>4200E</v>
      </c>
      <c r="B1614" s="4" t="str">
        <f>IFERROR(__xludf.DUMMYFUNCTION("""COMPUTED_VALUE"""),"Esq. protec.N/A 100 cm anti-golpe Foam Mod E")</f>
        <v>Esq. protec.N/A 100 cm anti-golpe Foam Mod E</v>
      </c>
      <c r="C1614" s="4">
        <f>IFERROR(__xludf.DUMMYFUNCTION("""COMPUTED_VALUE"""),14.9)</f>
        <v>14.9</v>
      </c>
      <c r="D1614" s="4">
        <f>IFERROR(__xludf.DUMMYFUNCTION("""COMPUTED_VALUE"""),12.5)</f>
        <v>12.5</v>
      </c>
      <c r="E1614" s="4" t="str">
        <f>IFERROR(__xludf.DUMMYFUNCTION("""COMPUTED_VALUE"""),"Neto: 12,50 € (a partir de 10 uds.)")</f>
        <v>Neto: 12,50 € (a partir de 10 uds.)</v>
      </c>
    </row>
    <row r="1615">
      <c r="A1615" s="4" t="str">
        <f>IFERROR(__xludf.DUMMYFUNCTION("""COMPUTED_VALUE"""),"4200F")</f>
        <v>4200F</v>
      </c>
      <c r="B1615" s="4" t="str">
        <f>IFERROR(__xludf.DUMMYFUNCTION("""COMPUTED_VALUE"""),"Esq. protec.N/A 100 cm anti-golpe Foam Mod. F")</f>
        <v>Esq. protec.N/A 100 cm anti-golpe Foam Mod. F</v>
      </c>
      <c r="C1615" s="4">
        <f>IFERROR(__xludf.DUMMYFUNCTION("""COMPUTED_VALUE"""),14.9)</f>
        <v>14.9</v>
      </c>
      <c r="D1615" s="4">
        <f>IFERROR(__xludf.DUMMYFUNCTION("""COMPUTED_VALUE"""),12.5)</f>
        <v>12.5</v>
      </c>
      <c r="E1615" s="4" t="str">
        <f>IFERROR(__xludf.DUMMYFUNCTION("""COMPUTED_VALUE"""),"Neto: 12,50 € (a partir de 10 uds.)")</f>
        <v>Neto: 12,50 € (a partir de 10 uds.)</v>
      </c>
    </row>
    <row r="1616">
      <c r="A1616" s="4" t="str">
        <f>IFERROR(__xludf.DUMMYFUNCTION("""COMPUTED_VALUE"""),"4200G")</f>
        <v>4200G</v>
      </c>
      <c r="B1616" s="4" t="str">
        <f>IFERROR(__xludf.DUMMYFUNCTION("""COMPUTED_VALUE"""),"Esq. protec.N/A 100 cm anti-golpe Foam Mod. G")</f>
        <v>Esq. protec.N/A 100 cm anti-golpe Foam Mod. G</v>
      </c>
      <c r="C1616" s="4">
        <f>IFERROR(__xludf.DUMMYFUNCTION("""COMPUTED_VALUE"""),14.9)</f>
        <v>14.9</v>
      </c>
      <c r="D1616" s="4">
        <f>IFERROR(__xludf.DUMMYFUNCTION("""COMPUTED_VALUE"""),12.5)</f>
        <v>12.5</v>
      </c>
      <c r="E1616" s="4" t="str">
        <f>IFERROR(__xludf.DUMMYFUNCTION("""COMPUTED_VALUE"""),"Neto: 12,50 € (a partir de 10 uds.)")</f>
        <v>Neto: 12,50 € (a partir de 10 uds.)</v>
      </c>
    </row>
    <row r="1617">
      <c r="A1617" s="4" t="str">
        <f>IFERROR(__xludf.DUMMYFUNCTION("""COMPUTED_VALUE"""),"4201")</f>
        <v>4201</v>
      </c>
      <c r="B1617" s="4" t="str">
        <f>IFERROR(__xludf.DUMMYFUNCTION("""COMPUTED_VALUE"""),"Esq. protec.B/R 100 cm anti-golpe Foam Mod. A")</f>
        <v>Esq. protec.B/R 100 cm anti-golpe Foam Mod. A</v>
      </c>
      <c r="C1617" s="4">
        <f>IFERROR(__xludf.DUMMYFUNCTION("""COMPUTED_VALUE"""),14.9)</f>
        <v>14.9</v>
      </c>
      <c r="D1617" s="4">
        <f>IFERROR(__xludf.DUMMYFUNCTION("""COMPUTED_VALUE"""),12.5)</f>
        <v>12.5</v>
      </c>
      <c r="E1617" s="4" t="str">
        <f>IFERROR(__xludf.DUMMYFUNCTION("""COMPUTED_VALUE"""),"Neto: 12,50 € (a partir de 10 uds.)")</f>
        <v>Neto: 12,50 € (a partir de 10 uds.)</v>
      </c>
    </row>
    <row r="1618">
      <c r="A1618" s="4" t="str">
        <f>IFERROR(__xludf.DUMMYFUNCTION("""COMPUTED_VALUE"""),"4204")</f>
        <v>4204</v>
      </c>
      <c r="B1618" s="4" t="str">
        <f>IFERROR(__xludf.DUMMYFUNCTION("""COMPUTED_VALUE"""),"Espejo Convexo 40 cm Interior Tolomeo")</f>
        <v>Espejo Convexo 40 cm Interior Tolomeo</v>
      </c>
      <c r="C1618" s="4">
        <f>IFERROR(__xludf.DUMMYFUNCTION("""COMPUTED_VALUE"""),41.0)</f>
        <v>41</v>
      </c>
      <c r="D1618" s="4"/>
      <c r="E1618" s="4" t="str">
        <f>IFERROR(__xludf.DUMMYFUNCTION("""COMPUTED_VALUE"""),"Sin precio neto")</f>
        <v>Sin precio neto</v>
      </c>
    </row>
    <row r="1619">
      <c r="A1619" s="4" t="str">
        <f>IFERROR(__xludf.DUMMYFUNCTION("""COMPUTED_VALUE"""),"4206")</f>
        <v>4206</v>
      </c>
      <c r="B1619" s="4" t="str">
        <f>IFERROR(__xludf.DUMMYFUNCTION("""COMPUTED_VALUE"""),"Espejo Convexo 60 cm Interior Tolomeo")</f>
        <v>Espejo Convexo 60 cm Interior Tolomeo</v>
      </c>
      <c r="C1619" s="4">
        <f>IFERROR(__xludf.DUMMYFUNCTION("""COMPUTED_VALUE"""),54.0)</f>
        <v>54</v>
      </c>
      <c r="D1619" s="4"/>
      <c r="E1619" s="4" t="str">
        <f>IFERROR(__xludf.DUMMYFUNCTION("""COMPUTED_VALUE"""),"Sin precio neto")</f>
        <v>Sin precio neto</v>
      </c>
    </row>
    <row r="1620">
      <c r="A1620" s="4" t="str">
        <f>IFERROR(__xludf.DUMMYFUNCTION("""COMPUTED_VALUE"""),"4208")</f>
        <v>4208</v>
      </c>
      <c r="B1620" s="4" t="str">
        <f>IFERROR(__xludf.DUMMYFUNCTION("""COMPUTED_VALUE"""),"Espejo Convexo 80 cm Interior Tolomeo")</f>
        <v>Espejo Convexo 80 cm Interior Tolomeo</v>
      </c>
      <c r="C1620" s="4">
        <f>IFERROR(__xludf.DUMMYFUNCTION("""COMPUTED_VALUE"""),97.0)</f>
        <v>97</v>
      </c>
      <c r="D1620" s="4"/>
      <c r="E1620" s="4" t="str">
        <f>IFERROR(__xludf.DUMMYFUNCTION("""COMPUTED_VALUE"""),"Sin precio neto")</f>
        <v>Sin precio neto</v>
      </c>
    </row>
    <row r="1621">
      <c r="A1621" s="4" t="str">
        <f>IFERROR(__xludf.DUMMYFUNCTION("""COMPUTED_VALUE"""),"4209")</f>
        <v>4209</v>
      </c>
      <c r="B1621" s="4" t="str">
        <f>IFERROR(__xludf.DUMMYFUNCTION("""COMPUTED_VALUE"""),"Espejo Convexo 90 cm Interior Tolomeo")</f>
        <v>Espejo Convexo 90 cm Interior Tolomeo</v>
      </c>
      <c r="C1621" s="4">
        <f>IFERROR(__xludf.DUMMYFUNCTION("""COMPUTED_VALUE"""),102.5)</f>
        <v>102.5</v>
      </c>
      <c r="D1621" s="4"/>
      <c r="E1621" s="4" t="str">
        <f>IFERROR(__xludf.DUMMYFUNCTION("""COMPUTED_VALUE"""),"Sin precio neto")</f>
        <v>Sin precio neto</v>
      </c>
    </row>
    <row r="1622">
      <c r="A1622" s="4" t="str">
        <f>IFERROR(__xludf.DUMMYFUNCTION("""COMPUTED_VALUE"""),"4210")</f>
        <v>4210</v>
      </c>
      <c r="B1622" s="4" t="str">
        <f>IFERROR(__xludf.DUMMYFUNCTION("""COMPUTED_VALUE"""),"Espejo Convexo 40x60 Interior Leonardo")</f>
        <v>Espejo Convexo 40x60 Interior Leonardo</v>
      </c>
      <c r="C1622" s="4">
        <f>IFERROR(__xludf.DUMMYFUNCTION("""COMPUTED_VALUE"""),59.0)</f>
        <v>59</v>
      </c>
      <c r="D1622" s="4"/>
      <c r="E1622" s="4" t="str">
        <f>IFERROR(__xludf.DUMMYFUNCTION("""COMPUTED_VALUE"""),"Sin precio neto")</f>
        <v>Sin precio neto</v>
      </c>
    </row>
    <row r="1623">
      <c r="A1623" s="4" t="str">
        <f>IFERROR(__xludf.DUMMYFUNCTION("""COMPUTED_VALUE"""),"4211")</f>
        <v>4211</v>
      </c>
      <c r="B1623" s="4" t="str">
        <f>IFERROR(__xludf.DUMMYFUNCTION("""COMPUTED_VALUE"""),"Espejo convexo 60x80 Interior Leonardo")</f>
        <v>Espejo convexo 60x80 Interior Leonardo</v>
      </c>
      <c r="C1623" s="4">
        <f>IFERROR(__xludf.DUMMYFUNCTION("""COMPUTED_VALUE"""),100.5)</f>
        <v>100.5</v>
      </c>
      <c r="D1623" s="4"/>
      <c r="E1623" s="4" t="str">
        <f>IFERROR(__xludf.DUMMYFUNCTION("""COMPUTED_VALUE"""),"Sin precio neto")</f>
        <v>Sin precio neto</v>
      </c>
    </row>
    <row r="1624">
      <c r="A1624" s="4" t="str">
        <f>IFERROR(__xludf.DUMMYFUNCTION("""COMPUTED_VALUE"""),"4213")</f>
        <v>4213</v>
      </c>
      <c r="B1624" s="4" t="str">
        <f>IFERROR(__xludf.DUMMYFUNCTION("""COMPUTED_VALUE"""),"Espejo Hemisférico 360º 60 cm Michelangello")</f>
        <v>Espejo Hemisférico 360º 60 cm Michelangello</v>
      </c>
      <c r="C1624" s="4">
        <f>IFERROR(__xludf.DUMMYFUNCTION("""COMPUTED_VALUE"""),42.0)</f>
        <v>42</v>
      </c>
      <c r="D1624" s="4"/>
      <c r="E1624" s="4" t="str">
        <f>IFERROR(__xludf.DUMMYFUNCTION("""COMPUTED_VALUE"""),"Sin precio neto")</f>
        <v>Sin precio neto</v>
      </c>
    </row>
    <row r="1625">
      <c r="A1625" s="4" t="str">
        <f>IFERROR(__xludf.DUMMYFUNCTION("""COMPUTED_VALUE"""),"4215")</f>
        <v>4215</v>
      </c>
      <c r="B1625" s="4" t="str">
        <f>IFERROR(__xludf.DUMMYFUNCTION("""COMPUTED_VALUE"""),"Espejo Hemisférico 360º 90 cm Michelangello")</f>
        <v>Espejo Hemisférico 360º 90 cm Michelangello</v>
      </c>
      <c r="C1625" s="4">
        <f>IFERROR(__xludf.DUMMYFUNCTION("""COMPUTED_VALUE"""),82.0)</f>
        <v>82</v>
      </c>
      <c r="D1625" s="4"/>
      <c r="E1625" s="4" t="str">
        <f>IFERROR(__xludf.DUMMYFUNCTION("""COMPUTED_VALUE"""),"Sin precio neto")</f>
        <v>Sin precio neto</v>
      </c>
    </row>
    <row r="1626">
      <c r="A1626" s="4" t="str">
        <f>IFERROR(__xludf.DUMMYFUNCTION("""COMPUTED_VALUE"""),"4221")</f>
        <v>4221</v>
      </c>
      <c r="B1626" s="4" t="str">
        <f>IFERROR(__xludf.DUMMYFUNCTION("""COMPUTED_VALUE"""),"Espejo Convexo 60 cm Exterior Giotto")</f>
        <v>Espejo Convexo 60 cm Exterior Giotto</v>
      </c>
      <c r="C1626" s="4">
        <f>IFERROR(__xludf.DUMMYFUNCTION("""COMPUTED_VALUE"""),96.0)</f>
        <v>96</v>
      </c>
      <c r="D1626" s="4"/>
      <c r="E1626" s="4" t="str">
        <f>IFERROR(__xludf.DUMMYFUNCTION("""COMPUTED_VALUE"""),"Sin precio neto")</f>
        <v>Sin precio neto</v>
      </c>
    </row>
    <row r="1627">
      <c r="A1627" s="4" t="str">
        <f>IFERROR(__xludf.DUMMYFUNCTION("""COMPUTED_VALUE"""),"4223")</f>
        <v>4223</v>
      </c>
      <c r="B1627" s="4" t="str">
        <f>IFERROR(__xludf.DUMMYFUNCTION("""COMPUTED_VALUE"""),"Espejo Convexo 80 cm Exterior Giotto")</f>
        <v>Espejo Convexo 80 cm Exterior Giotto</v>
      </c>
      <c r="C1627" s="4">
        <f>IFERROR(__xludf.DUMMYFUNCTION("""COMPUTED_VALUE"""),152.0)</f>
        <v>152</v>
      </c>
      <c r="D1627" s="4"/>
      <c r="E1627" s="4" t="str">
        <f>IFERROR(__xludf.DUMMYFUNCTION("""COMPUTED_VALUE"""),"Sin precio neto")</f>
        <v>Sin precio neto</v>
      </c>
    </row>
    <row r="1628">
      <c r="A1628" s="4" t="str">
        <f>IFERROR(__xludf.DUMMYFUNCTION("""COMPUTED_VALUE"""),"4227")</f>
        <v>4227</v>
      </c>
      <c r="B1628" s="4" t="str">
        <f>IFERROR(__xludf.DUMMYFUNCTION("""COMPUTED_VALUE"""),"Espejo Convexo 40x60 cm Exterior Rafaello")</f>
        <v>Espejo Convexo 40x60 cm Exterior Rafaello</v>
      </c>
      <c r="C1628" s="4">
        <f>IFERROR(__xludf.DUMMYFUNCTION("""COMPUTED_VALUE"""),124.0)</f>
        <v>124</v>
      </c>
      <c r="D1628" s="4"/>
      <c r="E1628" s="4" t="str">
        <f>IFERROR(__xludf.DUMMYFUNCTION("""COMPUTED_VALUE"""),"Sin precio neto")</f>
        <v>Sin precio neto</v>
      </c>
    </row>
    <row r="1629">
      <c r="A1629" s="4" t="str">
        <f>IFERROR(__xludf.DUMMYFUNCTION("""COMPUTED_VALUE"""),"4228")</f>
        <v>4228</v>
      </c>
      <c r="B1629" s="4" t="str">
        <f>IFERROR(__xludf.DUMMYFUNCTION("""COMPUTED_VALUE"""),"Espejo Convexo 60x80 cm Exterior Rafaello")</f>
        <v>Espejo Convexo 60x80 cm Exterior Rafaello</v>
      </c>
      <c r="C1629" s="4">
        <f>IFERROR(__xludf.DUMMYFUNCTION("""COMPUTED_VALUE"""),160.0)</f>
        <v>160</v>
      </c>
      <c r="D1629" s="4"/>
      <c r="E1629" s="4" t="str">
        <f>IFERROR(__xludf.DUMMYFUNCTION("""COMPUTED_VALUE"""),"Sin precio neto")</f>
        <v>Sin precio neto</v>
      </c>
    </row>
    <row r="1630">
      <c r="A1630" s="4" t="str">
        <f>IFERROR(__xludf.DUMMYFUNCTION("""COMPUTED_VALUE"""),"4230")</f>
        <v>4230</v>
      </c>
      <c r="B1630" s="4" t="str">
        <f>IFERROR(__xludf.DUMMYFUNCTION("""COMPUTED_VALUE"""),"Espejo Convexo acero exterior 320 MM")</f>
        <v>Espejo Convexo acero exterior 320 MM</v>
      </c>
      <c r="C1630" s="4">
        <f>IFERROR(__xludf.DUMMYFUNCTION("""COMPUTED_VALUE"""),95.0)</f>
        <v>95</v>
      </c>
      <c r="D1630" s="4"/>
      <c r="E1630" s="4" t="str">
        <f>IFERROR(__xludf.DUMMYFUNCTION("""COMPUTED_VALUE"""),"Sin precio neto")</f>
        <v>Sin precio neto</v>
      </c>
    </row>
    <row r="1631">
      <c r="A1631" s="4" t="str">
        <f>IFERROR(__xludf.DUMMYFUNCTION("""COMPUTED_VALUE"""),"4231")</f>
        <v>4231</v>
      </c>
      <c r="B1631" s="4" t="str">
        <f>IFERROR(__xludf.DUMMYFUNCTION("""COMPUTED_VALUE"""),"Espejo Convexo Acero Exterior 490 mm")</f>
        <v>Espejo Convexo Acero Exterior 490 mm</v>
      </c>
      <c r="C1631" s="4">
        <f>IFERROR(__xludf.DUMMYFUNCTION("""COMPUTED_VALUE"""),125.0)</f>
        <v>125</v>
      </c>
      <c r="D1631" s="4"/>
      <c r="E1631" s="4" t="str">
        <f>IFERROR(__xludf.DUMMYFUNCTION("""COMPUTED_VALUE"""),"Sin precio neto")</f>
        <v>Sin precio neto</v>
      </c>
    </row>
    <row r="1632">
      <c r="A1632" s="4" t="str">
        <f>IFERROR(__xludf.DUMMYFUNCTION("""COMPUTED_VALUE"""),"4232")</f>
        <v>4232</v>
      </c>
      <c r="B1632" s="4" t="str">
        <f>IFERROR(__xludf.DUMMYFUNCTION("""COMPUTED_VALUE"""),"Espejo Convexo Acero Exterior 600 mm")</f>
        <v>Espejo Convexo Acero Exterior 600 mm</v>
      </c>
      <c r="C1632" s="4">
        <f>IFERROR(__xludf.DUMMYFUNCTION("""COMPUTED_VALUE"""),179.0)</f>
        <v>179</v>
      </c>
      <c r="D1632" s="4"/>
      <c r="E1632" s="4" t="str">
        <f>IFERROR(__xludf.DUMMYFUNCTION("""COMPUTED_VALUE"""),"Sin precio neto")</f>
        <v>Sin precio neto</v>
      </c>
    </row>
    <row r="1633">
      <c r="A1633" s="4" t="str">
        <f>IFERROR(__xludf.DUMMYFUNCTION("""COMPUTED_VALUE"""),"4233")</f>
        <v>4233</v>
      </c>
      <c r="B1633" s="4" t="str">
        <f>IFERROR(__xludf.DUMMYFUNCTION("""COMPUTED_VALUE"""),"Espejo Convexo Acero Exterior 800 mm")</f>
        <v>Espejo Convexo Acero Exterior 800 mm</v>
      </c>
      <c r="C1633" s="4">
        <f>IFERROR(__xludf.DUMMYFUNCTION("""COMPUTED_VALUE"""),230.0)</f>
        <v>230</v>
      </c>
      <c r="D1633" s="4"/>
      <c r="E1633" s="4" t="str">
        <f>IFERROR(__xludf.DUMMYFUNCTION("""COMPUTED_VALUE"""),"Sin precio neto")</f>
        <v>Sin precio neto</v>
      </c>
    </row>
    <row r="1634">
      <c r="A1634" s="4" t="str">
        <f>IFERROR(__xludf.DUMMYFUNCTION("""COMPUTED_VALUE"""),"4234")</f>
        <v>4234</v>
      </c>
      <c r="B1634" s="4" t="str">
        <f>IFERROR(__xludf.DUMMYFUNCTION("""COMPUTED_VALUE"""),"Espejo Convexo Acero Exterior 450x600 mm")</f>
        <v>Espejo Convexo Acero Exterior 450x600 mm</v>
      </c>
      <c r="C1634" s="4">
        <f>IFERROR(__xludf.DUMMYFUNCTION("""COMPUTED_VALUE"""),157.5)</f>
        <v>157.5</v>
      </c>
      <c r="D1634" s="4"/>
      <c r="E1634" s="4" t="str">
        <f>IFERROR(__xludf.DUMMYFUNCTION("""COMPUTED_VALUE"""),"Sin precio neto")</f>
        <v>Sin precio neto</v>
      </c>
    </row>
    <row r="1635">
      <c r="A1635" s="4" t="str">
        <f>IFERROR(__xludf.DUMMYFUNCTION("""COMPUTED_VALUE"""),"4235")</f>
        <v>4235</v>
      </c>
      <c r="B1635" s="4" t="str">
        <f>IFERROR(__xludf.DUMMYFUNCTION("""COMPUTED_VALUE"""),"Espejo Convexo Acero Interior 490 mm")</f>
        <v>Espejo Convexo Acero Interior 490 mm</v>
      </c>
      <c r="C1635" s="4">
        <f>IFERROR(__xludf.DUMMYFUNCTION("""COMPUTED_VALUE"""),120.0)</f>
        <v>120</v>
      </c>
      <c r="D1635" s="4"/>
      <c r="E1635" s="4" t="str">
        <f>IFERROR(__xludf.DUMMYFUNCTION("""COMPUTED_VALUE"""),"Sin precio neto")</f>
        <v>Sin precio neto</v>
      </c>
    </row>
    <row r="1636">
      <c r="A1636" s="4" t="str">
        <f>IFERROR(__xludf.DUMMYFUNCTION("""COMPUTED_VALUE"""),"4250")</f>
        <v>4250</v>
      </c>
      <c r="B1636" s="4" t="str">
        <f>IFERROR(__xludf.DUMMYFUNCTION("""COMPUTED_VALUE"""),"Tope muelle carga - parking 90x10x10 cm")</f>
        <v>Tope muelle carga - parking 90x10x10 cm</v>
      </c>
      <c r="C1636" s="4">
        <f>IFERROR(__xludf.DUMMYFUNCTION("""COMPUTED_VALUE"""),22.0)</f>
        <v>22</v>
      </c>
      <c r="D1636" s="4"/>
      <c r="E1636" s="4" t="str">
        <f>IFERROR(__xludf.DUMMYFUNCTION("""COMPUTED_VALUE"""),"Sin precio neto")</f>
        <v>Sin precio neto</v>
      </c>
    </row>
    <row r="1637">
      <c r="A1637" s="4" t="str">
        <f>IFERROR(__xludf.DUMMYFUNCTION("""COMPUTED_VALUE"""),"4300")</f>
        <v>4300</v>
      </c>
      <c r="B1637" s="4" t="str">
        <f>IFERROR(__xludf.DUMMYFUNCTION("""COMPUTED_VALUE"""),"Big Bag 850x850x900 1000kg. 5:1")</f>
        <v>Big Bag 850x850x900 1000kg. 5:1</v>
      </c>
      <c r="C1637" s="4">
        <f>IFERROR(__xludf.DUMMYFUNCTION("""COMPUTED_VALUE"""),3.95)</f>
        <v>3.95</v>
      </c>
      <c r="D1637" s="4"/>
      <c r="E1637" s="4" t="str">
        <f>IFERROR(__xludf.DUMMYFUNCTION("""COMPUTED_VALUE"""),"Sin precio neto")</f>
        <v>Sin precio neto</v>
      </c>
    </row>
    <row r="1638">
      <c r="A1638" s="4" t="str">
        <f>IFERROR(__xludf.DUMMYFUNCTION("""COMPUTED_VALUE"""),"4301")</f>
        <v>4301</v>
      </c>
      <c r="B1638" s="4" t="str">
        <f>IFERROR(__xludf.DUMMYFUNCTION("""COMPUTED_VALUE"""),"Big Bag 850x850x900 c/ valvula descarga")</f>
        <v>Big Bag 850x850x900 c/ valvula descarga</v>
      </c>
      <c r="C1638" s="4">
        <f>IFERROR(__xludf.DUMMYFUNCTION("""COMPUTED_VALUE"""),4.6)</f>
        <v>4.6</v>
      </c>
      <c r="D1638" s="4"/>
      <c r="E1638" s="4" t="str">
        <f>IFERROR(__xludf.DUMMYFUNCTION("""COMPUTED_VALUE"""),"Sin precio neto")</f>
        <v>Sin precio neto</v>
      </c>
    </row>
    <row r="1639">
      <c r="A1639" s="4" t="str">
        <f>IFERROR(__xludf.DUMMYFUNCTION("""COMPUTED_VALUE"""),"4302")</f>
        <v>4302</v>
      </c>
      <c r="B1639" s="4" t="str">
        <f>IFERROR(__xludf.DUMMYFUNCTION("""COMPUTED_VALUE"""),"Big Bag 900x900x1200 MM FDC/FP ADR")</f>
        <v>Big Bag 900x900x1200 MM FDC/FP ADR</v>
      </c>
      <c r="C1639" s="4">
        <f>IFERROR(__xludf.DUMMYFUNCTION("""COMPUTED_VALUE"""),11.25)</f>
        <v>11.25</v>
      </c>
      <c r="D1639" s="4"/>
      <c r="E1639" s="4" t="str">
        <f>IFERROR(__xludf.DUMMYFUNCTION("""COMPUTED_VALUE"""),"Sin precio neto")</f>
        <v>Sin precio neto</v>
      </c>
    </row>
    <row r="1640">
      <c r="A1640" s="4" t="str">
        <f>IFERROR(__xludf.DUMMYFUNCTION("""COMPUTED_VALUE"""),"4303")</f>
        <v>4303</v>
      </c>
      <c r="B1640" s="4" t="str">
        <f>IFERROR(__xludf.DUMMYFUNCTION("""COMPUTED_VALUE"""),"Big Bag 900x900x1200 c/tapa")</f>
        <v>Big Bag 900x900x1200 c/tapa</v>
      </c>
      <c r="C1640" s="4">
        <f>IFERROR(__xludf.DUMMYFUNCTION("""COMPUTED_VALUE"""),7.0)</f>
        <v>7</v>
      </c>
      <c r="D1640" s="4"/>
      <c r="E1640" s="4" t="str">
        <f>IFERROR(__xludf.DUMMYFUNCTION("""COMPUTED_VALUE"""),"Sin precio neto")</f>
        <v>Sin precio neto</v>
      </c>
    </row>
    <row r="1641">
      <c r="A1641" s="4" t="str">
        <f>IFERROR(__xludf.DUMMYFUNCTION("""COMPUTED_VALUE"""),"4304")</f>
        <v>4304</v>
      </c>
      <c r="B1641" s="4" t="str">
        <f>IFERROR(__xludf.DUMMYFUNCTION("""COMPUTED_VALUE"""),"Saco de rafia para escombros 55cmx85cm carga 25 Kg")</f>
        <v>Saco de rafia para escombros 55cmx85cm carga 25 Kg</v>
      </c>
      <c r="C1641" s="4">
        <f>IFERROR(__xludf.DUMMYFUNCTION("""COMPUTED_VALUE"""),0.26)</f>
        <v>0.26</v>
      </c>
      <c r="D1641" s="4"/>
      <c r="E1641" s="4" t="str">
        <f>IFERROR(__xludf.DUMMYFUNCTION("""COMPUTED_VALUE"""),"Sin precio neto")</f>
        <v>Sin precio neto</v>
      </c>
    </row>
    <row r="1642">
      <c r="A1642" s="4" t="str">
        <f>IFERROR(__xludf.DUMMYFUNCTION("""COMPUTED_VALUE"""),"4305")</f>
        <v>4305</v>
      </c>
      <c r="B1642" s="4" t="str">
        <f>IFERROR(__xludf.DUMMYFUNCTION("""COMPUTED_VALUE"""),"Paquete 10 unid. saco plastico escombros 55x75")</f>
        <v>Paquete 10 unid. saco plastico escombros 55x75</v>
      </c>
      <c r="C1642" s="4">
        <f>IFERROR(__xludf.DUMMYFUNCTION("""COMPUTED_VALUE"""),4.47)</f>
        <v>4.47</v>
      </c>
      <c r="D1642" s="4"/>
      <c r="E1642" s="4" t="str">
        <f>IFERROR(__xludf.DUMMYFUNCTION("""COMPUTED_VALUE"""),"Sin precio neto")</f>
        <v>Sin precio neto</v>
      </c>
    </row>
    <row r="1643">
      <c r="A1643" s="4" t="str">
        <f>IFERROR(__xludf.DUMMYFUNCTION("""COMPUTED_VALUE"""),"4690")</f>
        <v>4690</v>
      </c>
      <c r="B1643" s="4" t="str">
        <f>IFERROR(__xludf.DUMMYFUNCTION("""COMPUTED_VALUE"""),"Chaleco Reflect. amarillo")</f>
        <v>Chaleco Reflect. amarillo</v>
      </c>
      <c r="C1643" s="4">
        <f>IFERROR(__xludf.DUMMYFUNCTION("""COMPUTED_VALUE"""),1.95)</f>
        <v>1.95</v>
      </c>
      <c r="D1643" s="4"/>
      <c r="E1643" s="4" t="str">
        <f>IFERROR(__xludf.DUMMYFUNCTION("""COMPUTED_VALUE"""),"Sin precio neto")</f>
        <v>Sin precio neto</v>
      </c>
    </row>
    <row r="1644">
      <c r="A1644" s="4" t="str">
        <f>IFERROR(__xludf.DUMMYFUNCTION("""COMPUTED_VALUE"""),"4691")</f>
        <v>4691</v>
      </c>
      <c r="B1644" s="4" t="str">
        <f>IFERROR(__xludf.DUMMYFUNCTION("""COMPUTED_VALUE"""),"Chaleco Reflect. naranja")</f>
        <v>Chaleco Reflect. naranja</v>
      </c>
      <c r="C1644" s="4">
        <f>IFERROR(__xludf.DUMMYFUNCTION("""COMPUTED_VALUE"""),1.95)</f>
        <v>1.95</v>
      </c>
      <c r="D1644" s="4"/>
      <c r="E1644" s="4" t="str">
        <f>IFERROR(__xludf.DUMMYFUNCTION("""COMPUTED_VALUE"""),"Sin precio neto")</f>
        <v>Sin precio neto</v>
      </c>
    </row>
    <row r="1645">
      <c r="A1645" s="4" t="str">
        <f>IFERROR(__xludf.DUMMYFUNCTION("""COMPUTED_VALUE"""),"4692")</f>
        <v>4692</v>
      </c>
      <c r="B1645" s="4" t="str">
        <f>IFERROR(__xludf.DUMMYFUNCTION("""COMPUTED_VALUE"""),"Chaleco Reflect. rejilla verano amarillo NO HOMOLOGADOS")</f>
        <v>Chaleco Reflect. rejilla verano amarillo NO HOMOLOGADOS</v>
      </c>
      <c r="C1645" s="4">
        <f>IFERROR(__xludf.DUMMYFUNCTION("""COMPUTED_VALUE"""),2.7)</f>
        <v>2.7</v>
      </c>
      <c r="D1645" s="4"/>
      <c r="E1645" s="4" t="str">
        <f>IFERROR(__xludf.DUMMYFUNCTION("""COMPUTED_VALUE"""),"Sin precio neto")</f>
        <v>Sin precio neto</v>
      </c>
    </row>
    <row r="1646">
      <c r="A1646" s="4" t="str">
        <f>IFERROR(__xludf.DUMMYFUNCTION("""COMPUTED_VALUE"""),"4695")</f>
        <v>4695</v>
      </c>
      <c r="B1646" s="4" t="str">
        <f>IFERROR(__xludf.DUMMYFUNCTION("""COMPUTED_VALUE"""),"Tirantes reflectantes amarillos NO HOMOLOGADOS")</f>
        <v>Tirantes reflectantes amarillos NO HOMOLOGADOS</v>
      </c>
      <c r="C1646" s="4">
        <f>IFERROR(__xludf.DUMMYFUNCTION("""COMPUTED_VALUE"""),2.2)</f>
        <v>2.2</v>
      </c>
      <c r="D1646" s="4"/>
      <c r="E1646" s="4" t="str">
        <f>IFERROR(__xludf.DUMMYFUNCTION("""COMPUTED_VALUE"""),"Sin precio neto")</f>
        <v>Sin precio neto</v>
      </c>
    </row>
    <row r="1647">
      <c r="A1647" s="4" t="str">
        <f>IFERROR(__xludf.DUMMYFUNCTION("""COMPUTED_VALUE"""),"4696")</f>
        <v>4696</v>
      </c>
      <c r="B1647" s="4" t="str">
        <f>IFERROR(__xludf.DUMMYFUNCTION("""COMPUTED_VALUE"""),"Tirantes reflectantes naranja NO HOMOLOGADOS")</f>
        <v>Tirantes reflectantes naranja NO HOMOLOGADOS</v>
      </c>
      <c r="C1647" s="4">
        <f>IFERROR(__xludf.DUMMYFUNCTION("""COMPUTED_VALUE"""),2.2)</f>
        <v>2.2</v>
      </c>
      <c r="D1647" s="4"/>
      <c r="E1647" s="4" t="str">
        <f>IFERROR(__xludf.DUMMYFUNCTION("""COMPUTED_VALUE"""),"Sin precio neto")</f>
        <v>Sin precio neto</v>
      </c>
    </row>
    <row r="1648">
      <c r="A1648" s="4" t="str">
        <f>IFERROR(__xludf.DUMMYFUNCTION("""COMPUTED_VALUE"""),"4700")</f>
        <v>4700</v>
      </c>
      <c r="B1648" s="4" t="str">
        <f>IFERROR(__xludf.DUMMYFUNCTION("""COMPUTED_VALUE"""),"Rollo Malla Protec Naranja (1x50mts.) 80 gr.")</f>
        <v>Rollo Malla Protec Naranja (1x50mts.) 80 gr.</v>
      </c>
      <c r="C1648" s="4">
        <f>IFERROR(__xludf.DUMMYFUNCTION("""COMPUTED_VALUE"""),18.4)</f>
        <v>18.4</v>
      </c>
      <c r="D1648" s="4"/>
      <c r="E1648" s="4" t="str">
        <f>IFERROR(__xludf.DUMMYFUNCTION("""COMPUTED_VALUE"""),"Sin precio neto")</f>
        <v>Sin precio neto</v>
      </c>
    </row>
    <row r="1649">
      <c r="A1649" s="4" t="str">
        <f>IFERROR(__xludf.DUMMYFUNCTION("""COMPUTED_VALUE"""),"4700A")</f>
        <v>4700A</v>
      </c>
      <c r="B1649" s="4" t="str">
        <f>IFERROR(__xludf.DUMMYFUNCTION("""COMPUTED_VALUE"""),"Rollo malla Protec Amarilla (1x50 m) 80 gr")</f>
        <v>Rollo malla Protec Amarilla (1x50 m) 80 gr</v>
      </c>
      <c r="C1649" s="4">
        <f>IFERROR(__xludf.DUMMYFUNCTION("""COMPUTED_VALUE"""),17.325)</f>
        <v>17.325</v>
      </c>
      <c r="D1649" s="4"/>
      <c r="E1649" s="4" t="str">
        <f>IFERROR(__xludf.DUMMYFUNCTION("""COMPUTED_VALUE"""),"Sin precio neto")</f>
        <v>Sin precio neto</v>
      </c>
    </row>
    <row r="1650">
      <c r="A1650" s="4" t="str">
        <f>IFERROR(__xludf.DUMMYFUNCTION("""COMPUTED_VALUE"""),"4700S")</f>
        <v>4700S</v>
      </c>
      <c r="B1650" s="4" t="str">
        <f>IFERROR(__xludf.DUMMYFUNCTION("""COMPUTED_VALUE"""),"Sistema sujeción para mallas y cinta varilla")</f>
        <v>Sistema sujeción para mallas y cinta varilla</v>
      </c>
      <c r="C1650" s="4">
        <f>IFERROR(__xludf.DUMMYFUNCTION("""COMPUTED_VALUE"""),1.25)</f>
        <v>1.25</v>
      </c>
      <c r="D1650" s="4"/>
      <c r="E1650" s="4" t="str">
        <f>IFERROR(__xludf.DUMMYFUNCTION("""COMPUTED_VALUE"""),"Sin precio neto")</f>
        <v>Sin precio neto</v>
      </c>
    </row>
    <row r="1651">
      <c r="A1651" s="4" t="str">
        <f>IFERROR(__xludf.DUMMYFUNCTION("""COMPUTED_VALUE"""),"4700V")</f>
        <v>4700V</v>
      </c>
      <c r="B1651" s="4" t="str">
        <f>IFERROR(__xludf.DUMMYFUNCTION("""COMPUTED_VALUE"""),"Rollo Malla Protec verde (1x50 m) 80 gr")</f>
        <v>Rollo Malla Protec verde (1x50 m) 80 gr</v>
      </c>
      <c r="C1651" s="4">
        <f>IFERROR(__xludf.DUMMYFUNCTION("""COMPUTED_VALUE"""),17.325)</f>
        <v>17.325</v>
      </c>
      <c r="D1651" s="4"/>
      <c r="E1651" s="4" t="str">
        <f>IFERROR(__xludf.DUMMYFUNCTION("""COMPUTED_VALUE"""),"Sin precio neto")</f>
        <v>Sin precio neto</v>
      </c>
    </row>
    <row r="1652">
      <c r="A1652" s="4" t="str">
        <f>IFERROR(__xludf.DUMMYFUNCTION("""COMPUTED_VALUE"""),"4700Z")</f>
        <v>4700Z</v>
      </c>
      <c r="B1652" s="4" t="str">
        <f>IFERROR(__xludf.DUMMYFUNCTION("""COMPUTED_VALUE"""),"Rollo malla Protec Azul (1x50 m) 80 gr")</f>
        <v>Rollo malla Protec Azul (1x50 m) 80 gr</v>
      </c>
      <c r="C1652" s="4">
        <f>IFERROR(__xludf.DUMMYFUNCTION("""COMPUTED_VALUE"""),17.325)</f>
        <v>17.325</v>
      </c>
      <c r="D1652" s="4"/>
      <c r="E1652" s="4" t="str">
        <f>IFERROR(__xludf.DUMMYFUNCTION("""COMPUTED_VALUE"""),"Sin precio neto")</f>
        <v>Sin precio neto</v>
      </c>
    </row>
    <row r="1653">
      <c r="A1653" s="4" t="str">
        <f>IFERROR(__xludf.DUMMYFUNCTION("""COMPUTED_VALUE"""),"4701")</f>
        <v>4701</v>
      </c>
      <c r="B1653" s="4" t="str">
        <f>IFERROR(__xludf.DUMMYFUNCTION("""COMPUTED_VALUE"""),"Rollo Malla Protec Naranja (1X50mts.) 100 gr.")</f>
        <v>Rollo Malla Protec Naranja (1X50mts.) 100 gr.</v>
      </c>
      <c r="C1653" s="4">
        <f>IFERROR(__xludf.DUMMYFUNCTION("""COMPUTED_VALUE"""),18.9)</f>
        <v>18.9</v>
      </c>
      <c r="D1653" s="4"/>
      <c r="E1653" s="4" t="str">
        <f>IFERROR(__xludf.DUMMYFUNCTION("""COMPUTED_VALUE"""),"Sin precio neto")</f>
        <v>Sin precio neto</v>
      </c>
    </row>
    <row r="1654">
      <c r="A1654" s="4" t="str">
        <f>IFERROR(__xludf.DUMMYFUNCTION("""COMPUTED_VALUE"""),"4702")</f>
        <v>4702</v>
      </c>
      <c r="B1654" s="4" t="str">
        <f>IFERROR(__xludf.DUMMYFUNCTION("""COMPUTED_VALUE"""),"Rollo malla fibra de vidrio Mortero-Reboco azul 1x50 m")</f>
        <v>Rollo malla fibra de vidrio Mortero-Reboco azul 1x50 m</v>
      </c>
      <c r="C1654" s="4">
        <f>IFERROR(__xludf.DUMMYFUNCTION("""COMPUTED_VALUE"""),21.0)</f>
        <v>21</v>
      </c>
      <c r="D1654" s="4"/>
      <c r="E1654" s="4" t="str">
        <f>IFERROR(__xludf.DUMMYFUNCTION("""COMPUTED_VALUE"""),"Sin precio neto")</f>
        <v>Sin precio neto</v>
      </c>
    </row>
    <row r="1655">
      <c r="A1655" s="4" t="str">
        <f>IFERROR(__xludf.DUMMYFUNCTION("""COMPUTED_VALUE"""),"4703")</f>
        <v>4703</v>
      </c>
      <c r="B1655" s="4" t="str">
        <f>IFERROR(__xludf.DUMMYFUNCTION("""COMPUTED_VALUE"""),"Rollo malla fibra de vidrio Yeso Blanca 1x50 m")</f>
        <v>Rollo malla fibra de vidrio Yeso Blanca 1x50 m</v>
      </c>
      <c r="C1655" s="4">
        <f>IFERROR(__xludf.DUMMYFUNCTION("""COMPUTED_VALUE"""),21.0)</f>
        <v>21</v>
      </c>
      <c r="D1655" s="4"/>
      <c r="E1655" s="4" t="str">
        <f>IFERROR(__xludf.DUMMYFUNCTION("""COMPUTED_VALUE"""),"Sin precio neto")</f>
        <v>Sin precio neto</v>
      </c>
    </row>
    <row r="1656">
      <c r="A1656" s="4" t="str">
        <f>IFERROR(__xludf.DUMMYFUNCTION("""COMPUTED_VALUE"""),"4704")</f>
        <v>4704</v>
      </c>
      <c r="B1656" s="4" t="str">
        <f>IFERROR(__xludf.DUMMYFUNCTION("""COMPUTED_VALUE"""),"Rollo Malla fibra de vidrio Blanca pintura 1x50 m")</f>
        <v>Rollo Malla fibra de vidrio Blanca pintura 1x50 m</v>
      </c>
      <c r="C1656" s="4">
        <f>IFERROR(__xludf.DUMMYFUNCTION("""COMPUTED_VALUE"""),21.0)</f>
        <v>21</v>
      </c>
      <c r="D1656" s="4"/>
      <c r="E1656" s="4" t="str">
        <f>IFERROR(__xludf.DUMMYFUNCTION("""COMPUTED_VALUE"""),"Sin precio neto")</f>
        <v>Sin precio neto</v>
      </c>
    </row>
    <row r="1657">
      <c r="A1657" s="4" t="str">
        <f>IFERROR(__xludf.DUMMYFUNCTION("""COMPUTED_VALUE"""),"4720")</f>
        <v>4720</v>
      </c>
      <c r="B1657" s="4" t="str">
        <f>IFERROR(__xludf.DUMMYFUNCTION("""COMPUTED_VALUE"""),"Mubo PVC señal. c/reflec. 1 mt")</f>
        <v>Mubo PVC señal. c/reflec. 1 mt</v>
      </c>
      <c r="C1657" s="4">
        <f>IFERROR(__xludf.DUMMYFUNCTION("""COMPUTED_VALUE"""),0.8)</f>
        <v>0.8</v>
      </c>
      <c r="D1657" s="4">
        <f>IFERROR(__xludf.DUMMYFUNCTION("""COMPUTED_VALUE"""),0.75)</f>
        <v>0.75</v>
      </c>
      <c r="E1657" s="4" t="str">
        <f>IFERROR(__xludf.DUMMYFUNCTION("""COMPUTED_VALUE"""),"Neto: 0,75 € (a partir de 25 uds.)")</f>
        <v>Neto: 0,75 € (a partir de 25 uds.)</v>
      </c>
    </row>
    <row r="1658">
      <c r="A1658" s="4" t="str">
        <f>IFERROR(__xludf.DUMMYFUNCTION("""COMPUTED_VALUE"""),"4730")</f>
        <v>4730</v>
      </c>
      <c r="B1658" s="4" t="str">
        <f>IFERROR(__xludf.DUMMYFUNCTION("""COMPUTED_VALUE"""),"Estaca madera 30x30x30")</f>
        <v>Estaca madera 30x30x30</v>
      </c>
      <c r="C1658" s="4">
        <f>IFERROR(__xludf.DUMMYFUNCTION("""COMPUTED_VALUE"""),0.4)</f>
        <v>0.4</v>
      </c>
      <c r="D1658" s="4"/>
      <c r="E1658" s="4" t="str">
        <f>IFERROR(__xludf.DUMMYFUNCTION("""COMPUTED_VALUE"""),"Sin precio neto")</f>
        <v>Sin precio neto</v>
      </c>
    </row>
    <row r="1659">
      <c r="A1659" s="4" t="str">
        <f>IFERROR(__xludf.DUMMYFUNCTION("""COMPUTED_VALUE"""),"4735")</f>
        <v>4735</v>
      </c>
      <c r="B1659" s="4" t="str">
        <f>IFERROR(__xludf.DUMMYFUNCTION("""COMPUTED_VALUE"""),"Estaca madera 30x30x35")</f>
        <v>Estaca madera 30x30x35</v>
      </c>
      <c r="C1659" s="4">
        <f>IFERROR(__xludf.DUMMYFUNCTION("""COMPUTED_VALUE"""),0.42)</f>
        <v>0.42</v>
      </c>
      <c r="D1659" s="4"/>
      <c r="E1659" s="4" t="str">
        <f>IFERROR(__xludf.DUMMYFUNCTION("""COMPUTED_VALUE"""),"Sin precio neto")</f>
        <v>Sin precio neto</v>
      </c>
    </row>
    <row r="1660">
      <c r="A1660" s="4" t="str">
        <f>IFERROR(__xludf.DUMMYFUNCTION("""COMPUTED_VALUE"""),"4740")</f>
        <v>4740</v>
      </c>
      <c r="B1660" s="4" t="str">
        <f>IFERROR(__xludf.DUMMYFUNCTION("""COMPUTED_VALUE"""),"Estaca madera 30x30x40")</f>
        <v>Estaca madera 30x30x40</v>
      </c>
      <c r="C1660" s="4">
        <f>IFERROR(__xludf.DUMMYFUNCTION("""COMPUTED_VALUE"""),0.4)</f>
        <v>0.4</v>
      </c>
      <c r="D1660" s="4"/>
      <c r="E1660" s="4" t="str">
        <f>IFERROR(__xludf.DUMMYFUNCTION("""COMPUTED_VALUE"""),"Sin precio neto")</f>
        <v>Sin precio neto</v>
      </c>
    </row>
    <row r="1661">
      <c r="A1661" s="4" t="str">
        <f>IFERROR(__xludf.DUMMYFUNCTION("""COMPUTED_VALUE"""),"4750")</f>
        <v>4750</v>
      </c>
      <c r="B1661" s="4" t="str">
        <f>IFERROR(__xludf.DUMMYFUNCTION("""COMPUTED_VALUE"""),"Estaca madera 30x30x50")</f>
        <v>Estaca madera 30x30x50</v>
      </c>
      <c r="C1661" s="4">
        <f>IFERROR(__xludf.DUMMYFUNCTION("""COMPUTED_VALUE"""),0.47)</f>
        <v>0.47</v>
      </c>
      <c r="D1661" s="4"/>
      <c r="E1661" s="4" t="str">
        <f>IFERROR(__xludf.DUMMYFUNCTION("""COMPUTED_VALUE"""),"Sin precio neto")</f>
        <v>Sin precio neto</v>
      </c>
    </row>
    <row r="1662">
      <c r="A1662" s="4" t="str">
        <f>IFERROR(__xludf.DUMMYFUNCTION("""COMPUTED_VALUE"""),"4760")</f>
        <v>4760</v>
      </c>
      <c r="B1662" s="4" t="str">
        <f>IFERROR(__xludf.DUMMYFUNCTION("""COMPUTED_VALUE"""),"Estaca madera 30x30x60")</f>
        <v>Estaca madera 30x30x60</v>
      </c>
      <c r="C1662" s="4">
        <f>IFERROR(__xludf.DUMMYFUNCTION("""COMPUTED_VALUE"""),0.57)</f>
        <v>0.57</v>
      </c>
      <c r="D1662" s="4"/>
      <c r="E1662" s="4" t="str">
        <f>IFERROR(__xludf.DUMMYFUNCTION("""COMPUTED_VALUE"""),"Sin precio neto")</f>
        <v>Sin precio neto</v>
      </c>
    </row>
    <row r="1663">
      <c r="A1663" s="4" t="str">
        <f>IFERROR(__xludf.DUMMYFUNCTION("""COMPUTED_VALUE"""),"4770")</f>
        <v>4770</v>
      </c>
      <c r="B1663" s="4" t="str">
        <f>IFERROR(__xludf.DUMMYFUNCTION("""COMPUTED_VALUE"""),"Estaca madera 30x30x70")</f>
        <v>Estaca madera 30x30x70</v>
      </c>
      <c r="C1663" s="4">
        <f>IFERROR(__xludf.DUMMYFUNCTION("""COMPUTED_VALUE"""),0.67)</f>
        <v>0.67</v>
      </c>
      <c r="D1663" s="4"/>
      <c r="E1663" s="4" t="str">
        <f>IFERROR(__xludf.DUMMYFUNCTION("""COMPUTED_VALUE"""),"Sin precio neto")</f>
        <v>Sin precio neto</v>
      </c>
    </row>
    <row r="1664">
      <c r="A1664" s="4" t="str">
        <f>IFERROR(__xludf.DUMMYFUNCTION("""COMPUTED_VALUE"""),"4780")</f>
        <v>4780</v>
      </c>
      <c r="B1664" s="4" t="str">
        <f>IFERROR(__xludf.DUMMYFUNCTION("""COMPUTED_VALUE"""),"Ecopate 300")</f>
        <v>Ecopate 300</v>
      </c>
      <c r="C1664" s="4">
        <f>IFERROR(__xludf.DUMMYFUNCTION("""COMPUTED_VALUE"""),5.35)</f>
        <v>5.35</v>
      </c>
      <c r="D1664" s="4">
        <f>IFERROR(__xludf.DUMMYFUNCTION("""COMPUTED_VALUE"""),4.85)</f>
        <v>4.85</v>
      </c>
      <c r="E1664" s="4" t="str">
        <f>IFERROR(__xludf.DUMMYFUNCTION("""COMPUTED_VALUE"""),"Neto: 4,85 € (a partir de 40 uds.)")</f>
        <v>Neto: 4,85 € (a partir de 40 uds.)</v>
      </c>
    </row>
    <row r="1665">
      <c r="A1665" s="4" t="str">
        <f>IFERROR(__xludf.DUMMYFUNCTION("""COMPUTED_VALUE"""),"4799")</f>
        <v>4799</v>
      </c>
      <c r="B1665" s="4" t="str">
        <f>IFERROR(__xludf.DUMMYFUNCTION("""COMPUTED_VALUE"""),"Estaca madera 30x30x100")</f>
        <v>Estaca madera 30x30x100</v>
      </c>
      <c r="C1665" s="4">
        <f>IFERROR(__xludf.DUMMYFUNCTION("""COMPUTED_VALUE"""),0.94)</f>
        <v>0.94</v>
      </c>
      <c r="D1665" s="4"/>
      <c r="E1665" s="4" t="str">
        <f>IFERROR(__xludf.DUMMYFUNCTION("""COMPUTED_VALUE"""),"Sin precio neto")</f>
        <v>Sin precio neto</v>
      </c>
    </row>
    <row r="1666">
      <c r="A1666" s="4" t="str">
        <f>IFERROR(__xludf.DUMMYFUNCTION("""COMPUTED_VALUE"""),"4887")</f>
        <v>4887</v>
      </c>
      <c r="B1666" s="4" t="str">
        <f>IFERROR(__xludf.DUMMYFUNCTION("""COMPUTED_VALUE"""),"Mtro.cuadrado malla proteccion andamio Standard")</f>
        <v>Mtro.cuadrado malla proteccion andamio Standard</v>
      </c>
      <c r="C1666" s="4">
        <f>IFERROR(__xludf.DUMMYFUNCTION("""COMPUTED_VALUE"""),0.61)</f>
        <v>0.61</v>
      </c>
      <c r="D1666" s="4"/>
      <c r="E1666" s="4" t="str">
        <f>IFERROR(__xludf.DUMMYFUNCTION("""COMPUTED_VALUE"""),"Sin precio neto")</f>
        <v>Sin precio neto</v>
      </c>
    </row>
    <row r="1667">
      <c r="A1667" s="4" t="str">
        <f>IFERROR(__xludf.DUMMYFUNCTION("""COMPUTED_VALUE"""),"4888")</f>
        <v>4888</v>
      </c>
      <c r="B1667" s="4" t="str">
        <f>IFERROR(__xludf.DUMMYFUNCTION("""COMPUTED_VALUE"""),"Mtro.cuadrado malla proteccion andamio Extra")</f>
        <v>Mtro.cuadrado malla proteccion andamio Extra</v>
      </c>
      <c r="C1667" s="4">
        <f>IFERROR(__xludf.DUMMYFUNCTION("""COMPUTED_VALUE"""),0.68)</f>
        <v>0.68</v>
      </c>
      <c r="D1667" s="4"/>
      <c r="E1667" s="4" t="str">
        <f>IFERROR(__xludf.DUMMYFUNCTION("""COMPUTED_VALUE"""),"Sin precio neto")</f>
        <v>Sin precio neto</v>
      </c>
    </row>
    <row r="1668">
      <c r="A1668" s="4" t="str">
        <f>IFERROR(__xludf.DUMMYFUNCTION("""COMPUTED_VALUE"""),"4888C")</f>
        <v>4888C</v>
      </c>
      <c r="B1668" s="4" t="str">
        <f>IFERROR(__xludf.DUMMYFUNCTION("""COMPUTED_VALUE"""),"Conector grapa para malla ojales y poste cadena (50 uds)")</f>
        <v>Conector grapa para malla ojales y poste cadena (50 uds)</v>
      </c>
      <c r="C1668" s="4">
        <f>IFERROR(__xludf.DUMMYFUNCTION("""COMPUTED_VALUE"""),6.0)</f>
        <v>6</v>
      </c>
      <c r="D1668" s="4"/>
      <c r="E1668" s="4" t="str">
        <f>IFERROR(__xludf.DUMMYFUNCTION("""COMPUTED_VALUE"""),"Sin precio neto")</f>
        <v>Sin precio neto</v>
      </c>
    </row>
    <row r="1669">
      <c r="A1669" s="4" t="str">
        <f>IFERROR(__xludf.DUMMYFUNCTION("""COMPUTED_VALUE"""),"4888G")</f>
        <v>4888G</v>
      </c>
      <c r="B1669" s="4" t="str">
        <f>IFERROR(__xludf.DUMMYFUNCTION("""COMPUTED_VALUE"""),"Grapa 35x40 mm para malla (50 uds)")</f>
        <v>Grapa 35x40 mm para malla (50 uds)</v>
      </c>
      <c r="C1669" s="4">
        <f>IFERROR(__xludf.DUMMYFUNCTION("""COMPUTED_VALUE"""),4.0)</f>
        <v>4</v>
      </c>
      <c r="D1669" s="4"/>
      <c r="E1669" s="4" t="str">
        <f>IFERROR(__xludf.DUMMYFUNCTION("""COMPUTED_VALUE"""),"Sin precio neto")</f>
        <v>Sin precio neto</v>
      </c>
    </row>
    <row r="1670">
      <c r="A1670" s="4" t="str">
        <f>IFERROR(__xludf.DUMMYFUNCTION("""COMPUTED_VALUE"""),"4890")</f>
        <v>4890</v>
      </c>
      <c r="B1670" s="4" t="str">
        <f>IFERROR(__xludf.DUMMYFUNCTION("""COMPUTED_VALUE"""),"Malla sombreo/ocultacion 70% (x M2)")</f>
        <v>Malla sombreo/ocultacion 70% (x M2)</v>
      </c>
      <c r="C1670" s="4">
        <f>IFERROR(__xludf.DUMMYFUNCTION("""COMPUTED_VALUE"""),0.545)</f>
        <v>0.545</v>
      </c>
      <c r="D1670" s="4"/>
      <c r="E1670" s="4" t="str">
        <f>IFERROR(__xludf.DUMMYFUNCTION("""COMPUTED_VALUE"""),"Sin precio neto")</f>
        <v>Sin precio neto</v>
      </c>
    </row>
    <row r="1671">
      <c r="A1671" s="4" t="str">
        <f>IFERROR(__xludf.DUMMYFUNCTION("""COMPUTED_VALUE"""),"4891")</f>
        <v>4891</v>
      </c>
      <c r="B1671" s="4" t="str">
        <f>IFERROR(__xludf.DUMMYFUNCTION("""COMPUTED_VALUE"""),"Malla sombreo/ocultacion 80% (x M2)")</f>
        <v>Malla sombreo/ocultacion 80% (x M2)</v>
      </c>
      <c r="C1671" s="4">
        <f>IFERROR(__xludf.DUMMYFUNCTION("""COMPUTED_VALUE"""),0.95)</f>
        <v>0.95</v>
      </c>
      <c r="D1671" s="4"/>
      <c r="E1671" s="4" t="str">
        <f>IFERROR(__xludf.DUMMYFUNCTION("""COMPUTED_VALUE"""),"Sin precio neto")</f>
        <v>Sin precio neto</v>
      </c>
    </row>
    <row r="1672">
      <c r="A1672" s="4" t="str">
        <f>IFERROR(__xludf.DUMMYFUNCTION("""COMPUTED_VALUE"""),"4892")</f>
        <v>4892</v>
      </c>
      <c r="B1672" s="4" t="str">
        <f>IFERROR(__xludf.DUMMYFUNCTION("""COMPUTED_VALUE"""),"Malla sombreo/ocultacion 90% (x M2)")</f>
        <v>Malla sombreo/ocultacion 90% (x M2)</v>
      </c>
      <c r="C1672" s="4">
        <f>IFERROR(__xludf.DUMMYFUNCTION("""COMPUTED_VALUE"""),1.04)</f>
        <v>1.04</v>
      </c>
      <c r="D1672" s="4"/>
      <c r="E1672" s="4" t="str">
        <f>IFERROR(__xludf.DUMMYFUNCTION("""COMPUTED_VALUE"""),"Sin precio neto")</f>
        <v>Sin precio neto</v>
      </c>
    </row>
    <row r="1673">
      <c r="A1673" s="4" t="str">
        <f>IFERROR(__xludf.DUMMYFUNCTION("""COMPUTED_VALUE"""),"4893")</f>
        <v>4893</v>
      </c>
      <c r="B1673" s="4" t="str">
        <f>IFERROR(__xludf.DUMMYFUNCTION("""COMPUTED_VALUE"""),"Malla/Tejido suelo antihierba negro/verde (x M2)")</f>
        <v>Malla/Tejido suelo antihierba negro/verde (x M2)</v>
      </c>
      <c r="C1673" s="4">
        <f>IFERROR(__xludf.DUMMYFUNCTION("""COMPUTED_VALUE"""),0.76)</f>
        <v>0.76</v>
      </c>
      <c r="D1673" s="4"/>
      <c r="E1673" s="4" t="str">
        <f>IFERROR(__xludf.DUMMYFUNCTION("""COMPUTED_VALUE"""),"Sin precio neto")</f>
        <v>Sin precio neto</v>
      </c>
    </row>
    <row r="1674">
      <c r="A1674" s="4" t="str">
        <f>IFERROR(__xludf.DUMMYFUNCTION("""COMPUTED_VALUE"""),"4894")</f>
        <v>4894</v>
      </c>
      <c r="B1674" s="4" t="str">
        <f>IFERROR(__xludf.DUMMYFUNCTION("""COMPUTED_VALUE"""),"Malla ocultacion negra/franjas 75% 3,50x1,90 blister")</f>
        <v>Malla ocultacion negra/franjas 75% 3,50x1,90 blister</v>
      </c>
      <c r="C1674" s="4">
        <f>IFERROR(__xludf.DUMMYFUNCTION("""COMPUTED_VALUE"""),5.31)</f>
        <v>5.31</v>
      </c>
      <c r="D1674" s="4"/>
      <c r="E1674" s="4" t="str">
        <f>IFERROR(__xludf.DUMMYFUNCTION("""COMPUTED_VALUE"""),"Sin precio neto")</f>
        <v>Sin precio neto</v>
      </c>
    </row>
    <row r="1675">
      <c r="A1675" s="4" t="str">
        <f>IFERROR(__xludf.DUMMYFUNCTION("""COMPUTED_VALUE"""),"4895/A")</f>
        <v>4895/A</v>
      </c>
      <c r="B1675" s="4" t="str">
        <f>IFERROR(__xludf.DUMMYFUNCTION("""COMPUTED_VALUE"""),"Malla señal. monofilamento 1x100 mts Amarilla")</f>
        <v>Malla señal. monofilamento 1x100 mts Amarilla</v>
      </c>
      <c r="C1675" s="4">
        <f>IFERROR(__xludf.DUMMYFUNCTION("""COMPUTED_VALUE"""),50.4)</f>
        <v>50.4</v>
      </c>
      <c r="D1675" s="4"/>
      <c r="E1675" s="4" t="str">
        <f>IFERROR(__xludf.DUMMYFUNCTION("""COMPUTED_VALUE"""),"Sin precio neto")</f>
        <v>Sin precio neto</v>
      </c>
    </row>
    <row r="1676">
      <c r="A1676" s="4" t="str">
        <f>IFERROR(__xludf.DUMMYFUNCTION("""COMPUTED_VALUE"""),"4895/R")</f>
        <v>4895/R</v>
      </c>
      <c r="B1676" s="4" t="str">
        <f>IFERROR(__xludf.DUMMYFUNCTION("""COMPUTED_VALUE"""),"Malla señal. monofilamento 1x100 mts Rojo")</f>
        <v>Malla señal. monofilamento 1x100 mts Rojo</v>
      </c>
      <c r="C1676" s="4">
        <f>IFERROR(__xludf.DUMMYFUNCTION("""COMPUTED_VALUE"""),50.4)</f>
        <v>50.4</v>
      </c>
      <c r="D1676" s="4"/>
      <c r="E1676" s="4" t="str">
        <f>IFERROR(__xludf.DUMMYFUNCTION("""COMPUTED_VALUE"""),"Sin precio neto")</f>
        <v>Sin precio neto</v>
      </c>
    </row>
    <row r="1677">
      <c r="A1677" s="4" t="str">
        <f>IFERROR(__xludf.DUMMYFUNCTION("""COMPUTED_VALUE"""),"4897")</f>
        <v>4897</v>
      </c>
      <c r="B1677" s="4" t="str">
        <f>IFERROR(__xludf.DUMMYFUNCTION("""COMPUTED_VALUE"""),"Malla sombreo/ocultacion 70% manto a medida (x M2)")</f>
        <v>Malla sombreo/ocultacion 70% manto a medida (x M2)</v>
      </c>
      <c r="C1677" s="4">
        <f>IFERROR(__xludf.DUMMYFUNCTION("""COMPUTED_VALUE"""),0.61)</f>
        <v>0.61</v>
      </c>
      <c r="D1677" s="4"/>
      <c r="E1677" s="4" t="str">
        <f>IFERROR(__xludf.DUMMYFUNCTION("""COMPUTED_VALUE"""),"Sin precio neto")</f>
        <v>Sin precio neto</v>
      </c>
    </row>
    <row r="1678">
      <c r="A1678" s="4" t="str">
        <f>IFERROR(__xludf.DUMMYFUNCTION("""COMPUTED_VALUE"""),"4898")</f>
        <v>4898</v>
      </c>
      <c r="B1678" s="4" t="str">
        <f>IFERROR(__xludf.DUMMYFUNCTION("""COMPUTED_VALUE"""),"Malla sombreo/ocultacion 80% manto a medida (x M2)")</f>
        <v>Malla sombreo/ocultacion 80% manto a medida (x M2)</v>
      </c>
      <c r="C1678" s="4">
        <f>IFERROR(__xludf.DUMMYFUNCTION("""COMPUTED_VALUE"""),0.89)</f>
        <v>0.89</v>
      </c>
      <c r="D1678" s="4"/>
      <c r="E1678" s="4" t="str">
        <f>IFERROR(__xludf.DUMMYFUNCTION("""COMPUTED_VALUE"""),"Sin precio neto")</f>
        <v>Sin precio neto</v>
      </c>
    </row>
    <row r="1679">
      <c r="A1679" s="4" t="str">
        <f>IFERROR(__xludf.DUMMYFUNCTION("""COMPUTED_VALUE"""),"4899")</f>
        <v>4899</v>
      </c>
      <c r="B1679" s="4" t="str">
        <f>IFERROR(__xludf.DUMMYFUNCTION("""COMPUTED_VALUE"""),"Malla sombreo/ocultacion 90% manto a medida (x M2)")</f>
        <v>Malla sombreo/ocultacion 90% manto a medida (x M2)</v>
      </c>
      <c r="C1679" s="4">
        <f>IFERROR(__xludf.DUMMYFUNCTION("""COMPUTED_VALUE"""),0.945)</f>
        <v>0.945</v>
      </c>
      <c r="D1679" s="4"/>
      <c r="E1679" s="4" t="str">
        <f>IFERROR(__xludf.DUMMYFUNCTION("""COMPUTED_VALUE"""),"Sin precio neto")</f>
        <v>Sin precio neto</v>
      </c>
    </row>
    <row r="1680">
      <c r="A1680" s="4" t="str">
        <f>IFERROR(__xludf.DUMMYFUNCTION("""COMPUTED_VALUE"""),"5100")</f>
        <v>5100</v>
      </c>
      <c r="B1680" s="4" t="str">
        <f>IFERROR(__xludf.DUMMYFUNCTION("""COMPUTED_VALUE"""),"Gafas protección G-1")</f>
        <v>Gafas protección G-1</v>
      </c>
      <c r="C1680" s="4">
        <f>IFERROR(__xludf.DUMMYFUNCTION("""COMPUTED_VALUE"""),1.14)</f>
        <v>1.14</v>
      </c>
      <c r="D1680" s="4"/>
      <c r="E1680" s="4" t="str">
        <f>IFERROR(__xludf.DUMMYFUNCTION("""COMPUTED_VALUE"""),"Sin precio neto")</f>
        <v>Sin precio neto</v>
      </c>
    </row>
    <row r="1681">
      <c r="A1681" s="4" t="str">
        <f>IFERROR(__xludf.DUMMYFUNCTION("""COMPUTED_VALUE"""),"5101")</f>
        <v>5101</v>
      </c>
      <c r="B1681" s="4" t="str">
        <f>IFERROR(__xludf.DUMMYFUNCTION("""COMPUTED_VALUE"""),"Gafas protección G-2")</f>
        <v>Gafas protección G-2</v>
      </c>
      <c r="C1681" s="4">
        <f>IFERROR(__xludf.DUMMYFUNCTION("""COMPUTED_VALUE"""),0.8)</f>
        <v>0.8</v>
      </c>
      <c r="D1681" s="4"/>
      <c r="E1681" s="4" t="str">
        <f>IFERROR(__xludf.DUMMYFUNCTION("""COMPUTED_VALUE"""),"Sin precio neto")</f>
        <v>Sin precio neto</v>
      </c>
    </row>
    <row r="1682">
      <c r="A1682" s="4" t="str">
        <f>IFERROR(__xludf.DUMMYFUNCTION("""COMPUTED_VALUE"""),"5102")</f>
        <v>5102</v>
      </c>
      <c r="B1682" s="4" t="str">
        <f>IFERROR(__xludf.DUMMYFUNCTION("""COMPUTED_VALUE"""),"Gafas protección G-3")</f>
        <v>Gafas protección G-3</v>
      </c>
      <c r="C1682" s="4">
        <f>IFERROR(__xludf.DUMMYFUNCTION("""COMPUTED_VALUE"""),1.38)</f>
        <v>1.38</v>
      </c>
      <c r="D1682" s="4"/>
      <c r="E1682" s="4" t="str">
        <f>IFERROR(__xludf.DUMMYFUNCTION("""COMPUTED_VALUE"""),"Sin precio neto")</f>
        <v>Sin precio neto</v>
      </c>
    </row>
    <row r="1683">
      <c r="A1683" s="4" t="str">
        <f>IFERROR(__xludf.DUMMYFUNCTION("""COMPUTED_VALUE"""),"5105")</f>
        <v>5105</v>
      </c>
      <c r="B1683" s="4" t="str">
        <f>IFERROR(__xludf.DUMMYFUNCTION("""COMPUTED_VALUE"""),"Pantalla protectora facial fija Basic")</f>
        <v>Pantalla protectora facial fija Basic</v>
      </c>
      <c r="C1683" s="4">
        <f>IFERROR(__xludf.DUMMYFUNCTION("""COMPUTED_VALUE"""),2.1)</f>
        <v>2.1</v>
      </c>
      <c r="D1683" s="4"/>
      <c r="E1683" s="4" t="str">
        <f>IFERROR(__xludf.DUMMYFUNCTION("""COMPUTED_VALUE"""),"Sin precio neto")</f>
        <v>Sin precio neto</v>
      </c>
    </row>
    <row r="1684">
      <c r="A1684" s="4" t="str">
        <f>IFERROR(__xludf.DUMMYFUNCTION("""COMPUTED_VALUE"""),"5200")</f>
        <v>5200</v>
      </c>
      <c r="B1684" s="4" t="str">
        <f>IFERROR(__xludf.DUMMYFUNCTION("""COMPUTED_VALUE"""),"Tapones proteccion auditiva c/ cordón")</f>
        <v>Tapones proteccion auditiva c/ cordón</v>
      </c>
      <c r="C1684" s="4">
        <f>IFERROR(__xludf.DUMMYFUNCTION("""COMPUTED_VALUE"""),0.23)</f>
        <v>0.23</v>
      </c>
      <c r="D1684" s="4"/>
      <c r="E1684" s="4" t="str">
        <f>IFERROR(__xludf.DUMMYFUNCTION("""COMPUTED_VALUE"""),"Sin precio neto")</f>
        <v>Sin precio neto</v>
      </c>
    </row>
    <row r="1685">
      <c r="A1685" s="4" t="str">
        <f>IFERROR(__xludf.DUMMYFUNCTION("""COMPUTED_VALUE"""),"5201")</f>
        <v>5201</v>
      </c>
      <c r="B1685" s="4" t="str">
        <f>IFERROR(__xludf.DUMMYFUNCTION("""COMPUTED_VALUE"""),"Cascos proteccion auditiva mod. A")</f>
        <v>Cascos proteccion auditiva mod. A</v>
      </c>
      <c r="C1685" s="4">
        <f>IFERROR(__xludf.DUMMYFUNCTION("""COMPUTED_VALUE"""),2.53)</f>
        <v>2.53</v>
      </c>
      <c r="D1685" s="4"/>
      <c r="E1685" s="4" t="str">
        <f>IFERROR(__xludf.DUMMYFUNCTION("""COMPUTED_VALUE"""),"Sin precio neto")</f>
        <v>Sin precio neto</v>
      </c>
    </row>
    <row r="1686">
      <c r="A1686" s="4" t="str">
        <f>IFERROR(__xludf.DUMMYFUNCTION("""COMPUTED_VALUE"""),"5300L")</f>
        <v>5300L</v>
      </c>
      <c r="B1686" s="4" t="str">
        <f>IFERROR(__xludf.DUMMYFUNCTION("""COMPUTED_VALUE"""),"Faja elastica proteccion lumbar Talla L")</f>
        <v>Faja elastica proteccion lumbar Talla L</v>
      </c>
      <c r="C1686" s="4">
        <f>IFERROR(__xludf.DUMMYFUNCTION("""COMPUTED_VALUE"""),7.9)</f>
        <v>7.9</v>
      </c>
      <c r="D1686" s="4"/>
      <c r="E1686" s="4" t="str">
        <f>IFERROR(__xludf.DUMMYFUNCTION("""COMPUTED_VALUE"""),"Sin precio neto")</f>
        <v>Sin precio neto</v>
      </c>
    </row>
    <row r="1687">
      <c r="A1687" s="4" t="str">
        <f>IFERROR(__xludf.DUMMYFUNCTION("""COMPUTED_VALUE"""),"5300XL")</f>
        <v>5300XL</v>
      </c>
      <c r="B1687" s="4" t="str">
        <f>IFERROR(__xludf.DUMMYFUNCTION("""COMPUTED_VALUE"""),"Faja elastica proteccion lumbar Talla XL")</f>
        <v>Faja elastica proteccion lumbar Talla XL</v>
      </c>
      <c r="C1687" s="4">
        <f>IFERROR(__xludf.DUMMYFUNCTION("""COMPUTED_VALUE"""),7.9)</f>
        <v>7.9</v>
      </c>
      <c r="D1687" s="4"/>
      <c r="E1687" s="4" t="str">
        <f>IFERROR(__xludf.DUMMYFUNCTION("""COMPUTED_VALUE"""),"Sin precio neto")</f>
        <v>Sin precio neto</v>
      </c>
    </row>
    <row r="1688">
      <c r="A1688" s="4" t="str">
        <f>IFERROR(__xludf.DUMMYFUNCTION("""COMPUTED_VALUE"""),"5300XXL")</f>
        <v>5300XXL</v>
      </c>
      <c r="B1688" s="4" t="str">
        <f>IFERROR(__xludf.DUMMYFUNCTION("""COMPUTED_VALUE"""),"Faja elastica proteccion lumbar Talla XXL")</f>
        <v>Faja elastica proteccion lumbar Talla XXL</v>
      </c>
      <c r="C1688" s="4">
        <f>IFERROR(__xludf.DUMMYFUNCTION("""COMPUTED_VALUE"""),7.9)</f>
        <v>7.9</v>
      </c>
      <c r="D1688" s="4"/>
      <c r="E1688" s="4" t="str">
        <f>IFERROR(__xludf.DUMMYFUNCTION("""COMPUTED_VALUE"""),"Sin precio neto")</f>
        <v>Sin precio neto</v>
      </c>
    </row>
    <row r="1689">
      <c r="A1689" s="4" t="str">
        <f>IFERROR(__xludf.DUMMYFUNCTION("""COMPUTED_VALUE"""),"7000")</f>
        <v>7000</v>
      </c>
      <c r="B1689" s="4" t="str">
        <f>IFERROR(__xludf.DUMMYFUNCTION("""COMPUTED_VALUE"""),"Spray fluo 500 ml S MARK rojo")</f>
        <v>Spray fluo 500 ml S MARK rojo</v>
      </c>
      <c r="C1689" s="4">
        <f>IFERROR(__xludf.DUMMYFUNCTION("""COMPUTED_VALUE"""),4.7)</f>
        <v>4.7</v>
      </c>
      <c r="D1689" s="4"/>
      <c r="E1689" s="4" t="str">
        <f>IFERROR(__xludf.DUMMYFUNCTION("""COMPUTED_VALUE"""),"Sin precio neto")</f>
        <v>Sin precio neto</v>
      </c>
    </row>
    <row r="1690">
      <c r="A1690" s="4" t="str">
        <f>IFERROR(__xludf.DUMMYFUNCTION("""COMPUTED_VALUE"""),"7001")</f>
        <v>7001</v>
      </c>
      <c r="B1690" s="4" t="str">
        <f>IFERROR(__xludf.DUMMYFUNCTION("""COMPUTED_VALUE"""),"Spray fluo 500 ml S MARK azul")</f>
        <v>Spray fluo 500 ml S MARK azul</v>
      </c>
      <c r="C1690" s="4">
        <f>IFERROR(__xludf.DUMMYFUNCTION("""COMPUTED_VALUE"""),4.7)</f>
        <v>4.7</v>
      </c>
      <c r="D1690" s="4"/>
      <c r="E1690" s="4" t="str">
        <f>IFERROR(__xludf.DUMMYFUNCTION("""COMPUTED_VALUE"""),"Sin precio neto")</f>
        <v>Sin precio neto</v>
      </c>
    </row>
    <row r="1691">
      <c r="A1691" s="4" t="str">
        <f>IFERROR(__xludf.DUMMYFUNCTION("""COMPUTED_VALUE"""),"7002")</f>
        <v>7002</v>
      </c>
      <c r="B1691" s="4" t="str">
        <f>IFERROR(__xludf.DUMMYFUNCTION("""COMPUTED_VALUE"""),"Spray fluo 500 ml S MARK amarillo")</f>
        <v>Spray fluo 500 ml S MARK amarillo</v>
      </c>
      <c r="C1691" s="4">
        <f>IFERROR(__xludf.DUMMYFUNCTION("""COMPUTED_VALUE"""),4.7)</f>
        <v>4.7</v>
      </c>
      <c r="D1691" s="4"/>
      <c r="E1691" s="4" t="str">
        <f>IFERROR(__xludf.DUMMYFUNCTION("""COMPUTED_VALUE"""),"Sin precio neto")</f>
        <v>Sin precio neto</v>
      </c>
    </row>
    <row r="1692">
      <c r="A1692" s="4" t="str">
        <f>IFERROR(__xludf.DUMMYFUNCTION("""COMPUTED_VALUE"""),"7003")</f>
        <v>7003</v>
      </c>
      <c r="B1692" s="4" t="str">
        <f>IFERROR(__xludf.DUMMYFUNCTION("""COMPUTED_VALUE"""),"Spray fluo 500 ml S MARK verde")</f>
        <v>Spray fluo 500 ml S MARK verde</v>
      </c>
      <c r="C1692" s="4">
        <f>IFERROR(__xludf.DUMMYFUNCTION("""COMPUTED_VALUE"""),4.7)</f>
        <v>4.7</v>
      </c>
      <c r="D1692" s="4"/>
      <c r="E1692" s="4" t="str">
        <f>IFERROR(__xludf.DUMMYFUNCTION("""COMPUTED_VALUE"""),"Sin precio neto")</f>
        <v>Sin precio neto</v>
      </c>
    </row>
    <row r="1693">
      <c r="A1693" s="4" t="str">
        <f>IFERROR(__xludf.DUMMYFUNCTION("""COMPUTED_VALUE"""),"7003A")</f>
        <v>7003A</v>
      </c>
      <c r="B1693" s="4" t="str">
        <f>IFERROR(__xludf.DUMMYFUNCTION("""COMPUTED_VALUE"""),"Loseta/superficie para guía peatonal Mod A")</f>
        <v>Loseta/superficie para guía peatonal Mod A</v>
      </c>
      <c r="C1693" s="4">
        <f>IFERROR(__xludf.DUMMYFUNCTION("""COMPUTED_VALUE"""),9.4)</f>
        <v>9.4</v>
      </c>
      <c r="D1693" s="4"/>
      <c r="E1693" s="4" t="str">
        <f>IFERROR(__xludf.DUMMYFUNCTION("""COMPUTED_VALUE"""),"Sin precio neto")</f>
        <v>Sin precio neto</v>
      </c>
    </row>
    <row r="1694">
      <c r="A1694" s="4" t="str">
        <f>IFERROR(__xludf.DUMMYFUNCTION("""COMPUTED_VALUE"""),"7004")</f>
        <v>7004</v>
      </c>
      <c r="B1694" s="4" t="str">
        <f>IFERROR(__xludf.DUMMYFUNCTION("""COMPUTED_VALUE"""),"Spray fluo 500 ml S MARK rosa")</f>
        <v>Spray fluo 500 ml S MARK rosa</v>
      </c>
      <c r="C1694" s="4">
        <f>IFERROR(__xludf.DUMMYFUNCTION("""COMPUTED_VALUE"""),4.7)</f>
        <v>4.7</v>
      </c>
      <c r="D1694" s="4"/>
      <c r="E1694" s="4" t="str">
        <f>IFERROR(__xludf.DUMMYFUNCTION("""COMPUTED_VALUE"""),"Sin precio neto")</f>
        <v>Sin precio neto</v>
      </c>
    </row>
    <row r="1695">
      <c r="A1695" s="4" t="str">
        <f>IFERROR(__xludf.DUMMYFUNCTION("""COMPUTED_VALUE"""),"7004B")</f>
        <v>7004B</v>
      </c>
      <c r="B1695" s="4" t="str">
        <f>IFERROR(__xludf.DUMMYFUNCTION("""COMPUTED_VALUE"""),"Loseta/superficie para guía peatonal Mod B")</f>
        <v>Loseta/superficie para guía peatonal Mod B</v>
      </c>
      <c r="C1695" s="4">
        <f>IFERROR(__xludf.DUMMYFUNCTION("""COMPUTED_VALUE"""),9.4)</f>
        <v>9.4</v>
      </c>
      <c r="D1695" s="4"/>
      <c r="E1695" s="4" t="str">
        <f>IFERROR(__xludf.DUMMYFUNCTION("""COMPUTED_VALUE"""),"Sin precio neto")</f>
        <v>Sin precio neto</v>
      </c>
    </row>
    <row r="1696">
      <c r="A1696" s="4" t="str">
        <f>IFERROR(__xludf.DUMMYFUNCTION("""COMPUTED_VALUE"""),"7005")</f>
        <v>7005</v>
      </c>
      <c r="B1696" s="4" t="str">
        <f>IFERROR(__xludf.DUMMYFUNCTION("""COMPUTED_VALUE"""),"Spray fluo 500 ml S MARK naranja")</f>
        <v>Spray fluo 500 ml S MARK naranja</v>
      </c>
      <c r="C1696" s="4">
        <f>IFERROR(__xludf.DUMMYFUNCTION("""COMPUTED_VALUE"""),4.7)</f>
        <v>4.7</v>
      </c>
      <c r="D1696" s="4"/>
      <c r="E1696" s="4" t="str">
        <f>IFERROR(__xludf.DUMMYFUNCTION("""COMPUTED_VALUE"""),"Sin precio neto")</f>
        <v>Sin precio neto</v>
      </c>
    </row>
    <row r="1697">
      <c r="A1697" s="4" t="str">
        <f>IFERROR(__xludf.DUMMYFUNCTION("""COMPUTED_VALUE"""),"7010")</f>
        <v>7010</v>
      </c>
      <c r="B1697" s="4" t="str">
        <f>IFERROR(__xludf.DUMMYFUNCTION("""COMPUTED_VALUE"""),"Spray Fluo 360º 500 ml IDEAL rojo")</f>
        <v>Spray Fluo 360º 500 ml IDEAL rojo</v>
      </c>
      <c r="C1697" s="4">
        <f>IFERROR(__xludf.DUMMYFUNCTION("""COMPUTED_VALUE"""),4.97)</f>
        <v>4.97</v>
      </c>
      <c r="D1697" s="4"/>
      <c r="E1697" s="4" t="str">
        <f>IFERROR(__xludf.DUMMYFUNCTION("""COMPUTED_VALUE"""),"Sin precio neto")</f>
        <v>Sin precio neto</v>
      </c>
    </row>
    <row r="1698">
      <c r="A1698" s="4" t="str">
        <f>IFERROR(__xludf.DUMMYFUNCTION("""COMPUTED_VALUE"""),"7011")</f>
        <v>7011</v>
      </c>
      <c r="B1698" s="4" t="str">
        <f>IFERROR(__xludf.DUMMYFUNCTION("""COMPUTED_VALUE"""),"Spray Fluo 360º 500 ml IDEAL azul")</f>
        <v>Spray Fluo 360º 500 ml IDEAL azul</v>
      </c>
      <c r="C1698" s="4">
        <f>IFERROR(__xludf.DUMMYFUNCTION("""COMPUTED_VALUE"""),4.97)</f>
        <v>4.97</v>
      </c>
      <c r="D1698" s="4"/>
      <c r="E1698" s="4" t="str">
        <f>IFERROR(__xludf.DUMMYFUNCTION("""COMPUTED_VALUE"""),"Sin precio neto")</f>
        <v>Sin precio neto</v>
      </c>
    </row>
    <row r="1699">
      <c r="A1699" s="4" t="str">
        <f>IFERROR(__xludf.DUMMYFUNCTION("""COMPUTED_VALUE"""),"7012")</f>
        <v>7012</v>
      </c>
      <c r="B1699" s="4" t="str">
        <f>IFERROR(__xludf.DUMMYFUNCTION("""COMPUTED_VALUE"""),"Spray Fluo 360º 500 ml IDEAL amarillo")</f>
        <v>Spray Fluo 360º 500 ml IDEAL amarillo</v>
      </c>
      <c r="C1699" s="4">
        <f>IFERROR(__xludf.DUMMYFUNCTION("""COMPUTED_VALUE"""),4.97)</f>
        <v>4.97</v>
      </c>
      <c r="D1699" s="4"/>
      <c r="E1699" s="4" t="str">
        <f>IFERROR(__xludf.DUMMYFUNCTION("""COMPUTED_VALUE"""),"Sin precio neto")</f>
        <v>Sin precio neto</v>
      </c>
    </row>
    <row r="1700">
      <c r="A1700" s="4" t="str">
        <f>IFERROR(__xludf.DUMMYFUNCTION("""COMPUTED_VALUE"""),"7014")</f>
        <v>7014</v>
      </c>
      <c r="B1700" s="4" t="str">
        <f>IFERROR(__xludf.DUMMYFUNCTION("""COMPUTED_VALUE"""),"Spray Fluo 360º 500 ml IDEAL rosa")</f>
        <v>Spray Fluo 360º 500 ml IDEAL rosa</v>
      </c>
      <c r="C1700" s="4">
        <f>IFERROR(__xludf.DUMMYFUNCTION("""COMPUTED_VALUE"""),4.97)</f>
        <v>4.97</v>
      </c>
      <c r="D1700" s="4"/>
      <c r="E1700" s="4" t="str">
        <f>IFERROR(__xludf.DUMMYFUNCTION("""COMPUTED_VALUE"""),"Sin precio neto")</f>
        <v>Sin precio neto</v>
      </c>
    </row>
    <row r="1701">
      <c r="A1701" s="4" t="str">
        <f>IFERROR(__xludf.DUMMYFUNCTION("""COMPUTED_VALUE"""),"7020")</f>
        <v>7020</v>
      </c>
      <c r="B1701" s="4" t="str">
        <f>IFERROR(__xludf.DUMMYFUNCTION("""COMPUTED_VALUE"""),"Spray 500 ml Line Marker Blanco")</f>
        <v>Spray 500 ml Line Marker Blanco</v>
      </c>
      <c r="C1701" s="4">
        <f>IFERROR(__xludf.DUMMYFUNCTION("""COMPUTED_VALUE"""),7.615)</f>
        <v>7.615</v>
      </c>
      <c r="D1701" s="4"/>
      <c r="E1701" s="4" t="str">
        <f>IFERROR(__xludf.DUMMYFUNCTION("""COMPUTED_VALUE"""),"Sin precio neto")</f>
        <v>Sin precio neto</v>
      </c>
    </row>
    <row r="1702">
      <c r="A1702" s="4" t="str">
        <f>IFERROR(__xludf.DUMMYFUNCTION("""COMPUTED_VALUE"""),"7022")</f>
        <v>7022</v>
      </c>
      <c r="B1702" s="4" t="str">
        <f>IFERROR(__xludf.DUMMYFUNCTION("""COMPUTED_VALUE"""),"Spray 500 ml Line Marker Amarillo")</f>
        <v>Spray 500 ml Line Marker Amarillo</v>
      </c>
      <c r="C1702" s="4">
        <f>IFERROR(__xludf.DUMMYFUNCTION("""COMPUTED_VALUE"""),7.615)</f>
        <v>7.615</v>
      </c>
      <c r="D1702" s="4"/>
      <c r="E1702" s="4" t="str">
        <f>IFERROR(__xludf.DUMMYFUNCTION("""COMPUTED_VALUE"""),"Sin precio neto")</f>
        <v>Sin precio neto</v>
      </c>
    </row>
    <row r="1703">
      <c r="A1703" s="4" t="str">
        <f>IFERROR(__xludf.DUMMYFUNCTION("""COMPUTED_VALUE"""),"7025")</f>
        <v>7025</v>
      </c>
      <c r="B1703" s="4" t="str">
        <f>IFERROR(__xludf.DUMMYFUNCTION("""COMPUTED_VALUE"""),"Spray Pintura Luminiscente 400 ml")</f>
        <v>Spray Pintura Luminiscente 400 ml</v>
      </c>
      <c r="C1703" s="4">
        <f>IFERROR(__xludf.DUMMYFUNCTION("""COMPUTED_VALUE"""),18.375)</f>
        <v>18.375</v>
      </c>
      <c r="D1703" s="4"/>
      <c r="E1703" s="4" t="str">
        <f>IFERROR(__xludf.DUMMYFUNCTION("""COMPUTED_VALUE"""),"Sin precio neto")</f>
        <v>Sin precio neto</v>
      </c>
    </row>
    <row r="1704">
      <c r="A1704" s="4" t="str">
        <f>IFERROR(__xludf.DUMMYFUNCTION("""COMPUTED_VALUE"""),"80135N1")</f>
        <v>80135N1</v>
      </c>
      <c r="B1704" s="4" t="str">
        <f>IFERROR(__xludf.DUMMYFUNCTION("""COMPUTED_VALUE"""),"Triangulo MOPU TP 135 cm Reflex I")</f>
        <v>Triangulo MOPU TP 135 cm Reflex I</v>
      </c>
      <c r="C1704" s="4">
        <f>IFERROR(__xludf.DUMMYFUNCTION("""COMPUTED_VALUE"""),81.06)</f>
        <v>81.06</v>
      </c>
      <c r="D1704" s="4"/>
      <c r="E1704" s="4" t="str">
        <f>IFERROR(__xludf.DUMMYFUNCTION("""COMPUTED_VALUE"""),"Sin precio neto")</f>
        <v>Sin precio neto</v>
      </c>
    </row>
    <row r="1705">
      <c r="A1705" s="4" t="str">
        <f>IFERROR(__xludf.DUMMYFUNCTION("""COMPUTED_VALUE"""),"80135N2")</f>
        <v>80135N2</v>
      </c>
      <c r="B1705" s="4" t="str">
        <f>IFERROR(__xludf.DUMMYFUNCTION("""COMPUTED_VALUE"""),"Triangulo MOPU TD 135 cm Reflex II")</f>
        <v>Triangulo MOPU TD 135 cm Reflex II</v>
      </c>
      <c r="C1705" s="4">
        <f>IFERROR(__xludf.DUMMYFUNCTION("""COMPUTED_VALUE"""),117.39)</f>
        <v>117.39</v>
      </c>
      <c r="D1705" s="4"/>
      <c r="E1705" s="4" t="str">
        <f>IFERROR(__xludf.DUMMYFUNCTION("""COMPUTED_VALUE"""),"Sin precio neto")</f>
        <v>Sin precio neto</v>
      </c>
    </row>
    <row r="1706">
      <c r="A1706" s="4" t="str">
        <f>IFERROR(__xludf.DUMMYFUNCTION("""COMPUTED_VALUE"""),"80135N3")</f>
        <v>80135N3</v>
      </c>
      <c r="B1706" s="4" t="str">
        <f>IFERROR(__xludf.DUMMYFUNCTION("""COMPUTED_VALUE"""),"Triangulo MOPU TD 135 cm Reflex III")</f>
        <v>Triangulo MOPU TD 135 cm Reflex III</v>
      </c>
      <c r="C1706" s="4">
        <f>IFERROR(__xludf.DUMMYFUNCTION("""COMPUTED_VALUE"""),156.4)</f>
        <v>156.4</v>
      </c>
      <c r="D1706" s="4"/>
      <c r="E1706" s="4" t="str">
        <f>IFERROR(__xludf.DUMMYFUNCTION("""COMPUTED_VALUE"""),"Sin precio neto")</f>
        <v>Sin precio neto</v>
      </c>
    </row>
    <row r="1707">
      <c r="A1707" s="4" t="str">
        <f>IFERROR(__xludf.DUMMYFUNCTION("""COMPUTED_VALUE"""),"80175N1")</f>
        <v>80175N1</v>
      </c>
      <c r="B1707" s="4" t="str">
        <f>IFERROR(__xludf.DUMMYFUNCTION("""COMPUTED_VALUE"""),"Triangulo MOPU TD 175 cm Reflex I")</f>
        <v>Triangulo MOPU TD 175 cm Reflex I</v>
      </c>
      <c r="C1707" s="4">
        <f>IFERROR(__xludf.DUMMYFUNCTION("""COMPUTED_VALUE"""),178.76)</f>
        <v>178.76</v>
      </c>
      <c r="D1707" s="4"/>
      <c r="E1707" s="4" t="str">
        <f>IFERROR(__xludf.DUMMYFUNCTION("""COMPUTED_VALUE"""),"Sin precio neto")</f>
        <v>Sin precio neto</v>
      </c>
    </row>
    <row r="1708">
      <c r="A1708" s="4" t="str">
        <f>IFERROR(__xludf.DUMMYFUNCTION("""COMPUTED_VALUE"""),"80175N2")</f>
        <v>80175N2</v>
      </c>
      <c r="B1708" s="4" t="str">
        <f>IFERROR(__xludf.DUMMYFUNCTION("""COMPUTED_VALUE"""),"Triangulo MOPU TD 175 cm Reflex II")</f>
        <v>Triangulo MOPU TD 175 cm Reflex II</v>
      </c>
      <c r="C1708" s="4">
        <f>IFERROR(__xludf.DUMMYFUNCTION("""COMPUTED_VALUE"""),224.66)</f>
        <v>224.66</v>
      </c>
      <c r="D1708" s="4"/>
      <c r="E1708" s="4" t="str">
        <f>IFERROR(__xludf.DUMMYFUNCTION("""COMPUTED_VALUE"""),"Sin precio neto")</f>
        <v>Sin precio neto</v>
      </c>
    </row>
    <row r="1709">
      <c r="A1709" s="4" t="str">
        <f>IFERROR(__xludf.DUMMYFUNCTION("""COMPUTED_VALUE"""),"80175N3")</f>
        <v>80175N3</v>
      </c>
      <c r="B1709" s="4" t="str">
        <f>IFERROR(__xludf.DUMMYFUNCTION("""COMPUTED_VALUE"""),"Triangulo MOPU TD 175 cm Reflex III")</f>
        <v>Triangulo MOPU TD 175 cm Reflex III</v>
      </c>
      <c r="C1709" s="4">
        <f>IFERROR(__xludf.DUMMYFUNCTION("""COMPUTED_VALUE"""),286.88)</f>
        <v>286.88</v>
      </c>
      <c r="D1709" s="4"/>
      <c r="E1709" s="4" t="str">
        <f>IFERROR(__xludf.DUMMYFUNCTION("""COMPUTED_VALUE"""),"Sin precio neto")</f>
        <v>Sin precio neto</v>
      </c>
    </row>
    <row r="1710">
      <c r="A1710" s="4" t="str">
        <f>IFERROR(__xludf.DUMMYFUNCTION("""COMPUTED_VALUE"""),"8070N1")</f>
        <v>8070N1</v>
      </c>
      <c r="B1710" s="4" t="str">
        <f>IFERROR(__xludf.DUMMYFUNCTION("""COMPUTED_VALUE"""),"Triangulo MOPU TP 70 cm Reflex I")</f>
        <v>Triangulo MOPU TP 70 cm Reflex I</v>
      </c>
      <c r="C1710" s="4">
        <f>IFERROR(__xludf.DUMMYFUNCTION("""COMPUTED_VALUE"""),24.0)</f>
        <v>24</v>
      </c>
      <c r="D1710" s="4">
        <f>IFERROR(__xludf.DUMMYFUNCTION("""COMPUTED_VALUE"""),21.5)</f>
        <v>21.5</v>
      </c>
      <c r="E1710" s="4" t="str">
        <f>IFERROR(__xludf.DUMMYFUNCTION("""COMPUTED_VALUE"""),"Neto: 21,50 € (a partir de 1 uds.)")</f>
        <v>Neto: 21,50 € (a partir de 1 uds.)</v>
      </c>
    </row>
    <row r="1711">
      <c r="A1711" s="4" t="str">
        <f>IFERROR(__xludf.DUMMYFUNCTION("""COMPUTED_VALUE"""),"8070N2")</f>
        <v>8070N2</v>
      </c>
      <c r="B1711" s="4" t="str">
        <f>IFERROR(__xludf.DUMMYFUNCTION("""COMPUTED_VALUE"""),"Triangulo MOPU TP 70 cm Reflex II")</f>
        <v>Triangulo MOPU TP 70 cm Reflex II</v>
      </c>
      <c r="C1711" s="4">
        <f>IFERROR(__xludf.DUMMYFUNCTION("""COMPUTED_VALUE"""),31.0)</f>
        <v>31</v>
      </c>
      <c r="D1711" s="4"/>
      <c r="E1711" s="4" t="str">
        <f>IFERROR(__xludf.DUMMYFUNCTION("""COMPUTED_VALUE"""),"Sin precio neto")</f>
        <v>Sin precio neto</v>
      </c>
    </row>
    <row r="1712">
      <c r="A1712" s="4" t="str">
        <f>IFERROR(__xludf.DUMMYFUNCTION("""COMPUTED_VALUE"""),"8070N3")</f>
        <v>8070N3</v>
      </c>
      <c r="B1712" s="4" t="str">
        <f>IFERROR(__xludf.DUMMYFUNCTION("""COMPUTED_VALUE"""),"Triangulo MOPU TP 70 cm Reflex III")</f>
        <v>Triangulo MOPU TP 70 cm Reflex III</v>
      </c>
      <c r="C1712" s="4">
        <f>IFERROR(__xludf.DUMMYFUNCTION("""COMPUTED_VALUE"""),49.98)</f>
        <v>49.98</v>
      </c>
      <c r="D1712" s="4"/>
      <c r="E1712" s="4" t="str">
        <f>IFERROR(__xludf.DUMMYFUNCTION("""COMPUTED_VALUE"""),"Sin precio neto")</f>
        <v>Sin precio neto</v>
      </c>
    </row>
    <row r="1713">
      <c r="A1713" s="4" t="str">
        <f>IFERROR(__xludf.DUMMYFUNCTION("""COMPUTED_VALUE"""),"8090N1")</f>
        <v>8090N1</v>
      </c>
      <c r="B1713" s="4" t="str">
        <f>IFERROR(__xludf.DUMMYFUNCTION("""COMPUTED_VALUE"""),"Triangulo MOPU TP 90 cm Reflex I")</f>
        <v>Triangulo MOPU TP 90 cm Reflex I</v>
      </c>
      <c r="C1713" s="4">
        <f>IFERROR(__xludf.DUMMYFUNCTION("""COMPUTED_VALUE"""),44.25)</f>
        <v>44.25</v>
      </c>
      <c r="D1713" s="4">
        <f>IFERROR(__xludf.DUMMYFUNCTION("""COMPUTED_VALUE"""),31.8)</f>
        <v>31.8</v>
      </c>
      <c r="E1713" s="4" t="str">
        <f>IFERROR(__xludf.DUMMYFUNCTION("""COMPUTED_VALUE"""),"Neto: 31,80 € (a partir de 1 uds.)")</f>
        <v>Neto: 31,80 € (a partir de 1 uds.)</v>
      </c>
    </row>
    <row r="1714">
      <c r="A1714" s="4" t="str">
        <f>IFERROR(__xludf.DUMMYFUNCTION("""COMPUTED_VALUE"""),"8090N2")</f>
        <v>8090N2</v>
      </c>
      <c r="B1714" s="4" t="str">
        <f>IFERROR(__xludf.DUMMYFUNCTION("""COMPUTED_VALUE"""),"Triangulo MOPU TP 90 cm Reflex II")</f>
        <v>Triangulo MOPU TP 90 cm Reflex II</v>
      </c>
      <c r="C1714" s="4">
        <f>IFERROR(__xludf.DUMMYFUNCTION("""COMPUTED_VALUE"""),56.95)</f>
        <v>56.95</v>
      </c>
      <c r="D1714" s="4"/>
      <c r="E1714" s="4" t="str">
        <f>IFERROR(__xludf.DUMMYFUNCTION("""COMPUTED_VALUE"""),"Sin precio neto")</f>
        <v>Sin precio neto</v>
      </c>
    </row>
    <row r="1715">
      <c r="A1715" s="4" t="str">
        <f>IFERROR(__xludf.DUMMYFUNCTION("""COMPUTED_VALUE"""),"8090N3")</f>
        <v>8090N3</v>
      </c>
      <c r="B1715" s="4" t="str">
        <f>IFERROR(__xludf.DUMMYFUNCTION("""COMPUTED_VALUE"""),"Triangulo MOPU TP 90 cm Reflex III")</f>
        <v>Triangulo MOPU TP 90 cm Reflex III</v>
      </c>
      <c r="C1715" s="4">
        <f>IFERROR(__xludf.DUMMYFUNCTION("""COMPUTED_VALUE"""),79.22)</f>
        <v>79.22</v>
      </c>
      <c r="D1715" s="4"/>
      <c r="E1715" s="4" t="str">
        <f>IFERROR(__xludf.DUMMYFUNCTION("""COMPUTED_VALUE"""),"Sin precio neto")</f>
        <v>Sin precio neto</v>
      </c>
    </row>
    <row r="1716">
      <c r="A1716" s="4" t="str">
        <f>IFERROR(__xludf.DUMMYFUNCTION("""COMPUTED_VALUE"""),"81120N1")</f>
        <v>81120N1</v>
      </c>
      <c r="B1716" s="4" t="str">
        <f>IFERROR(__xludf.DUMMYFUNCTION("""COMPUTED_VALUE"""),"Disco MOPU TR 120 cm Reflex I")</f>
        <v>Disco MOPU TR 120 cm Reflex I</v>
      </c>
      <c r="C1716" s="4">
        <f>IFERROR(__xludf.DUMMYFUNCTION("""COMPUTED_VALUE"""),147.39)</f>
        <v>147.39</v>
      </c>
      <c r="D1716" s="4"/>
      <c r="E1716" s="4" t="str">
        <f>IFERROR(__xludf.DUMMYFUNCTION("""COMPUTED_VALUE"""),"Sin precio neto")</f>
        <v>Sin precio neto</v>
      </c>
    </row>
    <row r="1717">
      <c r="A1717" s="4" t="str">
        <f>IFERROR(__xludf.DUMMYFUNCTION("""COMPUTED_VALUE"""),"81120N2")</f>
        <v>81120N2</v>
      </c>
      <c r="B1717" s="4" t="str">
        <f>IFERROR(__xludf.DUMMYFUNCTION("""COMPUTED_VALUE"""),"Disco MOPU TR 120 cm Reflex II")</f>
        <v>Disco MOPU TR 120 cm Reflex II</v>
      </c>
      <c r="C1717" s="4">
        <f>IFERROR(__xludf.DUMMYFUNCTION("""COMPUTED_VALUE"""),202.56)</f>
        <v>202.56</v>
      </c>
      <c r="D1717" s="4"/>
      <c r="E1717" s="4" t="str">
        <f>IFERROR(__xludf.DUMMYFUNCTION("""COMPUTED_VALUE"""),"Sin precio neto")</f>
        <v>Sin precio neto</v>
      </c>
    </row>
    <row r="1718">
      <c r="A1718" s="4" t="str">
        <f>IFERROR(__xludf.DUMMYFUNCTION("""COMPUTED_VALUE"""),"81120N3")</f>
        <v>81120N3</v>
      </c>
      <c r="B1718" s="4" t="str">
        <f>IFERROR(__xludf.DUMMYFUNCTION("""COMPUTED_VALUE"""),"Disco MOPU TR 120 cm Reflex III")</f>
        <v>Disco MOPU TR 120 cm Reflex III</v>
      </c>
      <c r="C1718" s="4">
        <f>IFERROR(__xludf.DUMMYFUNCTION("""COMPUTED_VALUE"""),260.78)</f>
        <v>260.78</v>
      </c>
      <c r="D1718" s="4"/>
      <c r="E1718" s="4" t="str">
        <f>IFERROR(__xludf.DUMMYFUNCTION("""COMPUTED_VALUE"""),"Sin precio neto")</f>
        <v>Sin precio neto</v>
      </c>
    </row>
    <row r="1719">
      <c r="A1719" s="4" t="str">
        <f>IFERROR(__xludf.DUMMYFUNCTION("""COMPUTED_VALUE"""),"8160N1")</f>
        <v>8160N1</v>
      </c>
      <c r="B1719" s="4" t="str">
        <f>IFERROR(__xludf.DUMMYFUNCTION("""COMPUTED_VALUE"""),"Disco MOPU TR 60 cm Reflex I")</f>
        <v>Disco MOPU TR 60 cm Reflex I</v>
      </c>
      <c r="C1719" s="4">
        <f>IFERROR(__xludf.DUMMYFUNCTION("""COMPUTED_VALUE"""),24.75)</f>
        <v>24.75</v>
      </c>
      <c r="D1719" s="4">
        <f>IFERROR(__xludf.DUMMYFUNCTION("""COMPUTED_VALUE"""),23.5)</f>
        <v>23.5</v>
      </c>
      <c r="E1719" s="4" t="str">
        <f>IFERROR(__xludf.DUMMYFUNCTION("""COMPUTED_VALUE"""),"Neto: 23,50 € (a partir de 1 uds.)")</f>
        <v>Neto: 23,50 € (a partir de 1 uds.)</v>
      </c>
    </row>
    <row r="1720">
      <c r="A1720" s="4" t="str">
        <f>IFERROR(__xludf.DUMMYFUNCTION("""COMPUTED_VALUE"""),"8160N2")</f>
        <v>8160N2</v>
      </c>
      <c r="B1720" s="4" t="str">
        <f>IFERROR(__xludf.DUMMYFUNCTION("""COMPUTED_VALUE"""),"Disco MOPU TR 60 cm Reflex II")</f>
        <v>Disco MOPU TR 60 cm Reflex II</v>
      </c>
      <c r="C1720" s="4">
        <f>IFERROR(__xludf.DUMMYFUNCTION("""COMPUTED_VALUE"""),31.4)</f>
        <v>31.4</v>
      </c>
      <c r="D1720" s="4"/>
      <c r="E1720" s="4" t="str">
        <f>IFERROR(__xludf.DUMMYFUNCTION("""COMPUTED_VALUE"""),"Sin precio neto")</f>
        <v>Sin precio neto</v>
      </c>
    </row>
    <row r="1721">
      <c r="A1721" s="4" t="str">
        <f>IFERROR(__xludf.DUMMYFUNCTION("""COMPUTED_VALUE"""),"8160N3")</f>
        <v>8160N3</v>
      </c>
      <c r="B1721" s="4" t="str">
        <f>IFERROR(__xludf.DUMMYFUNCTION("""COMPUTED_VALUE"""),"Disco MOPU TR 60 cm Reflex III")</f>
        <v>Disco MOPU TR 60 cm Reflex III</v>
      </c>
      <c r="C1721" s="4">
        <f>IFERROR(__xludf.DUMMYFUNCTION("""COMPUTED_VALUE"""),67.52)</f>
        <v>67.52</v>
      </c>
      <c r="D1721" s="4"/>
      <c r="E1721" s="4" t="str">
        <f>IFERROR(__xludf.DUMMYFUNCTION("""COMPUTED_VALUE"""),"Sin precio neto")</f>
        <v>Sin precio neto</v>
      </c>
    </row>
    <row r="1722">
      <c r="A1722" s="4" t="str">
        <f>IFERROR(__xludf.DUMMYFUNCTION("""COMPUTED_VALUE"""),"8190N1")</f>
        <v>8190N1</v>
      </c>
      <c r="B1722" s="4" t="str">
        <f>IFERROR(__xludf.DUMMYFUNCTION("""COMPUTED_VALUE"""),"Disco MOPU TR 90 cm Reflex I")</f>
        <v>Disco MOPU TR 90 cm Reflex I</v>
      </c>
      <c r="C1722" s="4">
        <f>IFERROR(__xludf.DUMMYFUNCTION("""COMPUTED_VALUE"""),69.53)</f>
        <v>69.53</v>
      </c>
      <c r="D1722" s="4">
        <f>IFERROR(__xludf.DUMMYFUNCTION("""COMPUTED_VALUE"""),43.0)</f>
        <v>43</v>
      </c>
      <c r="E1722" s="4" t="str">
        <f>IFERROR(__xludf.DUMMYFUNCTION("""COMPUTED_VALUE"""),"Neto: 43,00 € (a partir de 1 uds.)")</f>
        <v>Neto: 43,00 € (a partir de 1 uds.)</v>
      </c>
    </row>
    <row r="1723">
      <c r="A1723" s="4" t="str">
        <f>IFERROR(__xludf.DUMMYFUNCTION("""COMPUTED_VALUE"""),"8190N2")</f>
        <v>8190N2</v>
      </c>
      <c r="B1723" s="4" t="str">
        <f>IFERROR(__xludf.DUMMYFUNCTION("""COMPUTED_VALUE"""),"Disco MOPU TR 90 cm Reflex II")</f>
        <v>Disco MOPU TR 90 cm Reflex II</v>
      </c>
      <c r="C1723" s="4">
        <f>IFERROR(__xludf.DUMMYFUNCTION("""COMPUTED_VALUE"""),104.0)</f>
        <v>104</v>
      </c>
      <c r="D1723" s="4"/>
      <c r="E1723" s="4" t="str">
        <f>IFERROR(__xludf.DUMMYFUNCTION("""COMPUTED_VALUE"""),"Sin precio neto")</f>
        <v>Sin precio neto</v>
      </c>
    </row>
    <row r="1724">
      <c r="A1724" s="4" t="str">
        <f>IFERROR(__xludf.DUMMYFUNCTION("""COMPUTED_VALUE"""),"8190N3")</f>
        <v>8190N3</v>
      </c>
      <c r="B1724" s="4" t="str">
        <f>IFERROR(__xludf.DUMMYFUNCTION("""COMPUTED_VALUE"""),"Disco MOPU TR 90 cm Reflex III")</f>
        <v>Disco MOPU TR 90 cm Reflex III</v>
      </c>
      <c r="C1724" s="4">
        <f>IFERROR(__xludf.DUMMYFUNCTION("""COMPUTED_VALUE"""),151.0)</f>
        <v>151</v>
      </c>
      <c r="D1724" s="4"/>
      <c r="E1724" s="4" t="str">
        <f>IFERROR(__xludf.DUMMYFUNCTION("""COMPUTED_VALUE"""),"Sin precio neto")</f>
        <v>Sin precio neto</v>
      </c>
    </row>
    <row r="1725">
      <c r="A1725" s="4" t="str">
        <f>IFERROR(__xludf.DUMMYFUNCTION("""COMPUTED_VALUE"""),"8201")</f>
        <v>8201</v>
      </c>
      <c r="B1725" s="4" t="str">
        <f>IFERROR(__xludf.DUMMYFUNCTION("""COMPUTED_VALUE"""),"Adhesivo 11x15 Extintor")</f>
        <v>Adhesivo 11x15 Extintor</v>
      </c>
      <c r="C1725" s="4">
        <f>IFERROR(__xludf.DUMMYFUNCTION("""COMPUTED_VALUE"""),0.55)</f>
        <v>0.55</v>
      </c>
      <c r="D1725" s="4">
        <f>IFERROR(__xludf.DUMMYFUNCTION("""COMPUTED_VALUE"""),0.5)</f>
        <v>0.5</v>
      </c>
      <c r="E1725" s="4" t="str">
        <f>IFERROR(__xludf.DUMMYFUNCTION("""COMPUTED_VALUE"""),"Neto: 0,50 € (a partir de 1 uds.)")</f>
        <v>Neto: 0,50 € (a partir de 1 uds.)</v>
      </c>
    </row>
    <row r="1726">
      <c r="A1726" s="4" t="str">
        <f>IFERROR(__xludf.DUMMYFUNCTION("""COMPUTED_VALUE"""),"8201/B")</f>
        <v>8201/B</v>
      </c>
      <c r="B1726" s="4" t="str">
        <f>IFERROR(__xludf.DUMMYFUNCTION("""COMPUTED_VALUE"""),"Blister 10 unid. Adhesivo 11x15 Extintor")</f>
        <v>Blister 10 unid. Adhesivo 11x15 Extintor</v>
      </c>
      <c r="C1726" s="4">
        <f>IFERROR(__xludf.DUMMYFUNCTION("""COMPUTED_VALUE"""),4.4)</f>
        <v>4.4</v>
      </c>
      <c r="D1726" s="4"/>
      <c r="E1726" s="4" t="str">
        <f>IFERROR(__xludf.DUMMYFUNCTION("""COMPUTED_VALUE"""),"Sin precio neto")</f>
        <v>Sin precio neto</v>
      </c>
    </row>
    <row r="1727">
      <c r="A1727" s="4" t="str">
        <f>IFERROR(__xludf.DUMMYFUNCTION("""COMPUTED_VALUE"""),"8210")</f>
        <v>8210</v>
      </c>
      <c r="B1727" s="4" t="str">
        <f>IFERROR(__xludf.DUMMYFUNCTION("""COMPUTED_VALUE"""),"Adhesivo 11x15 Riesgo electrico")</f>
        <v>Adhesivo 11x15 Riesgo electrico</v>
      </c>
      <c r="C1727" s="4">
        <f>IFERROR(__xludf.DUMMYFUNCTION("""COMPUTED_VALUE"""),0.55)</f>
        <v>0.55</v>
      </c>
      <c r="D1727" s="4">
        <f>IFERROR(__xludf.DUMMYFUNCTION("""COMPUTED_VALUE"""),0.5)</f>
        <v>0.5</v>
      </c>
      <c r="E1727" s="4" t="str">
        <f>IFERROR(__xludf.DUMMYFUNCTION("""COMPUTED_VALUE"""),"Neto: 0,50 € (a partir de 1 uds.)")</f>
        <v>Neto: 0,50 € (a partir de 1 uds.)</v>
      </c>
    </row>
    <row r="1728">
      <c r="A1728" s="4" t="str">
        <f>IFERROR(__xludf.DUMMYFUNCTION("""COMPUTED_VALUE"""),"8210/B")</f>
        <v>8210/B</v>
      </c>
      <c r="B1728" s="4" t="str">
        <f>IFERROR(__xludf.DUMMYFUNCTION("""COMPUTED_VALUE"""),"Blister 10 unid. Adhesivo 11x15 Riesgo electrico")</f>
        <v>Blister 10 unid. Adhesivo 11x15 Riesgo electrico</v>
      </c>
      <c r="C1728" s="4">
        <f>IFERROR(__xludf.DUMMYFUNCTION("""COMPUTED_VALUE"""),4.4)</f>
        <v>4.4</v>
      </c>
      <c r="D1728" s="4"/>
      <c r="E1728" s="4" t="str">
        <f>IFERROR(__xludf.DUMMYFUNCTION("""COMPUTED_VALUE"""),"Sin precio neto")</f>
        <v>Sin precio neto</v>
      </c>
    </row>
    <row r="1729">
      <c r="A1729" s="4" t="str">
        <f>IFERROR(__xludf.DUMMYFUNCTION("""COMPUTED_VALUE"""),"8216")</f>
        <v>8216</v>
      </c>
      <c r="B1729" s="4" t="str">
        <f>IFERROR(__xludf.DUMMYFUNCTION("""COMPUTED_VALUE"""),"Adhesivo 11x15 Materias comburentes")</f>
        <v>Adhesivo 11x15 Materias comburentes</v>
      </c>
      <c r="C1729" s="4">
        <f>IFERROR(__xludf.DUMMYFUNCTION("""COMPUTED_VALUE"""),0.55)</f>
        <v>0.55</v>
      </c>
      <c r="D1729" s="4">
        <f>IFERROR(__xludf.DUMMYFUNCTION("""COMPUTED_VALUE"""),0.5)</f>
        <v>0.5</v>
      </c>
      <c r="E1729" s="4" t="str">
        <f>IFERROR(__xludf.DUMMYFUNCTION("""COMPUTED_VALUE"""),"Neto: 0,50 € (a partir de 1 uds.)")</f>
        <v>Neto: 0,50 € (a partir de 1 uds.)</v>
      </c>
    </row>
    <row r="1730">
      <c r="A1730" s="4" t="str">
        <f>IFERROR(__xludf.DUMMYFUNCTION("""COMPUTED_VALUE"""),"8216/B")</f>
        <v>8216/B</v>
      </c>
      <c r="B1730" s="4" t="str">
        <f>IFERROR(__xludf.DUMMYFUNCTION("""COMPUTED_VALUE"""),"Blister 10 unid. Adhesivo 11x15 Materias comburentes")</f>
        <v>Blister 10 unid. Adhesivo 11x15 Materias comburentes</v>
      </c>
      <c r="C1730" s="4">
        <f>IFERROR(__xludf.DUMMYFUNCTION("""COMPUTED_VALUE"""),4.4)</f>
        <v>4.4</v>
      </c>
      <c r="D1730" s="4"/>
      <c r="E1730" s="4" t="str">
        <f>IFERROR(__xludf.DUMMYFUNCTION("""COMPUTED_VALUE"""),"Sin precio neto")</f>
        <v>Sin precio neto</v>
      </c>
    </row>
    <row r="1731">
      <c r="A1731" s="4" t="str">
        <f>IFERROR(__xludf.DUMMYFUNCTION("""COMPUTED_VALUE"""),"8218")</f>
        <v>8218</v>
      </c>
      <c r="B1731" s="4" t="str">
        <f>IFERROR(__xludf.DUMMYFUNCTION("""COMPUTED_VALUE"""),"Adhesivo 11x15 Campo Magnetico Intenso")</f>
        <v>Adhesivo 11x15 Campo Magnetico Intenso</v>
      </c>
      <c r="C1731" s="4">
        <f>IFERROR(__xludf.DUMMYFUNCTION("""COMPUTED_VALUE"""),0.55)</f>
        <v>0.55</v>
      </c>
      <c r="D1731" s="4">
        <f>IFERROR(__xludf.DUMMYFUNCTION("""COMPUTED_VALUE"""),0.5)</f>
        <v>0.5</v>
      </c>
      <c r="E1731" s="4" t="str">
        <f>IFERROR(__xludf.DUMMYFUNCTION("""COMPUTED_VALUE"""),"Neto: 0,50 € (a partir de 1 uds.)")</f>
        <v>Neto: 0,50 € (a partir de 1 uds.)</v>
      </c>
    </row>
    <row r="1732">
      <c r="A1732" s="4" t="str">
        <f>IFERROR(__xludf.DUMMYFUNCTION("""COMPUTED_VALUE"""),"8218/B")</f>
        <v>8218/B</v>
      </c>
      <c r="B1732" s="4" t="str">
        <f>IFERROR(__xludf.DUMMYFUNCTION("""COMPUTED_VALUE"""),"Blister 10 unid. Adhesivo 11x15 Campo Magnetico Intenso")</f>
        <v>Blister 10 unid. Adhesivo 11x15 Campo Magnetico Intenso</v>
      </c>
      <c r="C1732" s="4">
        <f>IFERROR(__xludf.DUMMYFUNCTION("""COMPUTED_VALUE"""),4.4)</f>
        <v>4.4</v>
      </c>
      <c r="D1732" s="4"/>
      <c r="E1732" s="4" t="str">
        <f>IFERROR(__xludf.DUMMYFUNCTION("""COMPUTED_VALUE"""),"Sin precio neto")</f>
        <v>Sin precio neto</v>
      </c>
    </row>
    <row r="1733">
      <c r="A1733" s="4" t="str">
        <f>IFERROR(__xludf.DUMMYFUNCTION("""COMPUTED_VALUE"""),"8219")</f>
        <v>8219</v>
      </c>
      <c r="B1733" s="4" t="str">
        <f>IFERROR(__xludf.DUMMYFUNCTION("""COMPUTED_VALUE"""),"Adhesivo 11x15 Materias Inflamables")</f>
        <v>Adhesivo 11x15 Materias Inflamables</v>
      </c>
      <c r="C1733" s="4">
        <f>IFERROR(__xludf.DUMMYFUNCTION("""COMPUTED_VALUE"""),0.55)</f>
        <v>0.55</v>
      </c>
      <c r="D1733" s="4">
        <f>IFERROR(__xludf.DUMMYFUNCTION("""COMPUTED_VALUE"""),0.5)</f>
        <v>0.5</v>
      </c>
      <c r="E1733" s="4" t="str">
        <f>IFERROR(__xludf.DUMMYFUNCTION("""COMPUTED_VALUE"""),"Neto: 0,50 € (a partir de 1 uds.)")</f>
        <v>Neto: 0,50 € (a partir de 1 uds.)</v>
      </c>
    </row>
    <row r="1734">
      <c r="A1734" s="4" t="str">
        <f>IFERROR(__xludf.DUMMYFUNCTION("""COMPUTED_VALUE"""),"8219/B")</f>
        <v>8219/B</v>
      </c>
      <c r="B1734" s="4" t="str">
        <f>IFERROR(__xludf.DUMMYFUNCTION("""COMPUTED_VALUE"""),"Blister 10 unid. Adhesivo 11x15 Materias inflamables")</f>
        <v>Blister 10 unid. Adhesivo 11x15 Materias inflamables</v>
      </c>
      <c r="C1734" s="4">
        <f>IFERROR(__xludf.DUMMYFUNCTION("""COMPUTED_VALUE"""),4.4)</f>
        <v>4.4</v>
      </c>
      <c r="D1734" s="4"/>
      <c r="E1734" s="4" t="str">
        <f>IFERROR(__xludf.DUMMYFUNCTION("""COMPUTED_VALUE"""),"Sin precio neto")</f>
        <v>Sin precio neto</v>
      </c>
    </row>
    <row r="1735">
      <c r="A1735" s="4" t="str">
        <f>IFERROR(__xludf.DUMMYFUNCTION("""COMPUTED_VALUE"""),"8220")</f>
        <v>8220</v>
      </c>
      <c r="B1735" s="4" t="str">
        <f>IFERROR(__xludf.DUMMYFUNCTION("""COMPUTED_VALUE"""),"Adhesivo 11x15 Uso oblig. casco")</f>
        <v>Adhesivo 11x15 Uso oblig. casco</v>
      </c>
      <c r="C1735" s="4">
        <f>IFERROR(__xludf.DUMMYFUNCTION("""COMPUTED_VALUE"""),0.55)</f>
        <v>0.55</v>
      </c>
      <c r="D1735" s="4">
        <f>IFERROR(__xludf.DUMMYFUNCTION("""COMPUTED_VALUE"""),0.5)</f>
        <v>0.5</v>
      </c>
      <c r="E1735" s="4" t="str">
        <f>IFERROR(__xludf.DUMMYFUNCTION("""COMPUTED_VALUE"""),"Neto: 0,50 € (a partir de 1 uds.)")</f>
        <v>Neto: 0,50 € (a partir de 1 uds.)</v>
      </c>
    </row>
    <row r="1736">
      <c r="A1736" s="4" t="str">
        <f>IFERROR(__xludf.DUMMYFUNCTION("""COMPUTED_VALUE"""),"8220/B")</f>
        <v>8220/B</v>
      </c>
      <c r="B1736" s="4" t="str">
        <f>IFERROR(__xludf.DUMMYFUNCTION("""COMPUTED_VALUE"""),"Blister 10 unid. Adhesivo 11x15 Uso oblig. casco")</f>
        <v>Blister 10 unid. Adhesivo 11x15 Uso oblig. casco</v>
      </c>
      <c r="C1736" s="4">
        <f>IFERROR(__xludf.DUMMYFUNCTION("""COMPUTED_VALUE"""),4.4)</f>
        <v>4.4</v>
      </c>
      <c r="D1736" s="4"/>
      <c r="E1736" s="4" t="str">
        <f>IFERROR(__xludf.DUMMYFUNCTION("""COMPUTED_VALUE"""),"Sin precio neto")</f>
        <v>Sin precio neto</v>
      </c>
    </row>
    <row r="1737">
      <c r="A1737" s="4" t="str">
        <f>IFERROR(__xludf.DUMMYFUNCTION("""COMPUTED_VALUE"""),"8221")</f>
        <v>8221</v>
      </c>
      <c r="B1737" s="4" t="str">
        <f>IFERROR(__xludf.DUMMYFUNCTION("""COMPUTED_VALUE"""),"Adhesivo 11x15 Uso Oblig. botas")</f>
        <v>Adhesivo 11x15 Uso Oblig. botas</v>
      </c>
      <c r="C1737" s="4">
        <f>IFERROR(__xludf.DUMMYFUNCTION("""COMPUTED_VALUE"""),0.55)</f>
        <v>0.55</v>
      </c>
      <c r="D1737" s="4">
        <f>IFERROR(__xludf.DUMMYFUNCTION("""COMPUTED_VALUE"""),0.5)</f>
        <v>0.5</v>
      </c>
      <c r="E1737" s="4" t="str">
        <f>IFERROR(__xludf.DUMMYFUNCTION("""COMPUTED_VALUE"""),"Neto: 0,50 € (a partir de 1 uds.)")</f>
        <v>Neto: 0,50 € (a partir de 1 uds.)</v>
      </c>
    </row>
    <row r="1738">
      <c r="A1738" s="4" t="str">
        <f>IFERROR(__xludf.DUMMYFUNCTION("""COMPUTED_VALUE"""),"8221/B")</f>
        <v>8221/B</v>
      </c>
      <c r="B1738" s="4" t="str">
        <f>IFERROR(__xludf.DUMMYFUNCTION("""COMPUTED_VALUE"""),"Blister 10 unid. Adhesivo 11x15 Uso oblig. botas")</f>
        <v>Blister 10 unid. Adhesivo 11x15 Uso oblig. botas</v>
      </c>
      <c r="C1738" s="4">
        <f>IFERROR(__xludf.DUMMYFUNCTION("""COMPUTED_VALUE"""),4.4)</f>
        <v>4.4</v>
      </c>
      <c r="D1738" s="4"/>
      <c r="E1738" s="4" t="str">
        <f>IFERROR(__xludf.DUMMYFUNCTION("""COMPUTED_VALUE"""),"Sin precio neto")</f>
        <v>Sin precio neto</v>
      </c>
    </row>
    <row r="1739">
      <c r="A1739" s="4" t="str">
        <f>IFERROR(__xludf.DUMMYFUNCTION("""COMPUTED_VALUE"""),"8222")</f>
        <v>8222</v>
      </c>
      <c r="B1739" s="4" t="str">
        <f>IFERROR(__xludf.DUMMYFUNCTION("""COMPUTED_VALUE"""),"Adhesivo 11x15 Uso oblig Guantes")</f>
        <v>Adhesivo 11x15 Uso oblig Guantes</v>
      </c>
      <c r="C1739" s="4">
        <f>IFERROR(__xludf.DUMMYFUNCTION("""COMPUTED_VALUE"""),0.55)</f>
        <v>0.55</v>
      </c>
      <c r="D1739" s="4">
        <f>IFERROR(__xludf.DUMMYFUNCTION("""COMPUTED_VALUE"""),0.5)</f>
        <v>0.5</v>
      </c>
      <c r="E1739" s="4" t="str">
        <f>IFERROR(__xludf.DUMMYFUNCTION("""COMPUTED_VALUE"""),"Neto: 0,50 € (a partir de 1 uds.)")</f>
        <v>Neto: 0,50 € (a partir de 1 uds.)</v>
      </c>
    </row>
    <row r="1740">
      <c r="A1740" s="4" t="str">
        <f>IFERROR(__xludf.DUMMYFUNCTION("""COMPUTED_VALUE"""),"8222/B")</f>
        <v>8222/B</v>
      </c>
      <c r="B1740" s="4" t="str">
        <f>IFERROR(__xludf.DUMMYFUNCTION("""COMPUTED_VALUE"""),"Blister 10 unid. Adhesivo 11x15 Uso oblig. guantes")</f>
        <v>Blister 10 unid. Adhesivo 11x15 Uso oblig. guantes</v>
      </c>
      <c r="C1740" s="4">
        <f>IFERROR(__xludf.DUMMYFUNCTION("""COMPUTED_VALUE"""),4.4)</f>
        <v>4.4</v>
      </c>
      <c r="D1740" s="4"/>
      <c r="E1740" s="4" t="str">
        <f>IFERROR(__xludf.DUMMYFUNCTION("""COMPUTED_VALUE"""),"Sin precio neto")</f>
        <v>Sin precio neto</v>
      </c>
    </row>
    <row r="1741">
      <c r="A1741" s="4" t="str">
        <f>IFERROR(__xludf.DUMMYFUNCTION("""COMPUTED_VALUE"""),"8223")</f>
        <v>8223</v>
      </c>
      <c r="B1741" s="4" t="str">
        <f>IFERROR(__xludf.DUMMYFUNCTION("""COMPUTED_VALUE"""),"Adhesivo 11x15 Uso oblig. prot. acustica")</f>
        <v>Adhesivo 11x15 Uso oblig. prot. acustica</v>
      </c>
      <c r="C1741" s="4">
        <f>IFERROR(__xludf.DUMMYFUNCTION("""COMPUTED_VALUE"""),0.55)</f>
        <v>0.55</v>
      </c>
      <c r="D1741" s="4">
        <f>IFERROR(__xludf.DUMMYFUNCTION("""COMPUTED_VALUE"""),0.5)</f>
        <v>0.5</v>
      </c>
      <c r="E1741" s="4" t="str">
        <f>IFERROR(__xludf.DUMMYFUNCTION("""COMPUTED_VALUE"""),"Neto: 0,50 € (a partir de 1 uds.)")</f>
        <v>Neto: 0,50 € (a partir de 1 uds.)</v>
      </c>
    </row>
    <row r="1742">
      <c r="A1742" s="4" t="str">
        <f>IFERROR(__xludf.DUMMYFUNCTION("""COMPUTED_VALUE"""),"8223/B")</f>
        <v>8223/B</v>
      </c>
      <c r="B1742" s="4" t="str">
        <f>IFERROR(__xludf.DUMMYFUNCTION("""COMPUTED_VALUE"""),"Blister 10 unid. Adhesivo 11x15 Uso oblig.protec.acustica")</f>
        <v>Blister 10 unid. Adhesivo 11x15 Uso oblig.protec.acustica</v>
      </c>
      <c r="C1742" s="4">
        <f>IFERROR(__xludf.DUMMYFUNCTION("""COMPUTED_VALUE"""),4.4)</f>
        <v>4.4</v>
      </c>
      <c r="D1742" s="4"/>
      <c r="E1742" s="4" t="str">
        <f>IFERROR(__xludf.DUMMYFUNCTION("""COMPUTED_VALUE"""),"Sin precio neto")</f>
        <v>Sin precio neto</v>
      </c>
    </row>
    <row r="1743">
      <c r="A1743" s="4" t="str">
        <f>IFERROR(__xludf.DUMMYFUNCTION("""COMPUTED_VALUE"""),"8226")</f>
        <v>8226</v>
      </c>
      <c r="B1743" s="4" t="str">
        <f>IFERROR(__xludf.DUMMYFUNCTION("""COMPUTED_VALUE"""),"Adhesivo 11x15 Uso oblig Gafas")</f>
        <v>Adhesivo 11x15 Uso oblig Gafas</v>
      </c>
      <c r="C1743" s="4">
        <f>IFERROR(__xludf.DUMMYFUNCTION("""COMPUTED_VALUE"""),0.55)</f>
        <v>0.55</v>
      </c>
      <c r="D1743" s="4">
        <f>IFERROR(__xludf.DUMMYFUNCTION("""COMPUTED_VALUE"""),0.5)</f>
        <v>0.5</v>
      </c>
      <c r="E1743" s="4" t="str">
        <f>IFERROR(__xludf.DUMMYFUNCTION("""COMPUTED_VALUE"""),"Neto: 0,50 € (a partir de 1 uds.)")</f>
        <v>Neto: 0,50 € (a partir de 1 uds.)</v>
      </c>
    </row>
    <row r="1744">
      <c r="A1744" s="4" t="str">
        <f>IFERROR(__xludf.DUMMYFUNCTION("""COMPUTED_VALUE"""),"8226/B")</f>
        <v>8226/B</v>
      </c>
      <c r="B1744" s="4" t="str">
        <f>IFERROR(__xludf.DUMMYFUNCTION("""COMPUTED_VALUE"""),"Blister 10 unid. Adhesivo 11x15 Uso obligatorio Gafas")</f>
        <v>Blister 10 unid. Adhesivo 11x15 Uso obligatorio Gafas</v>
      </c>
      <c r="C1744" s="4">
        <f>IFERROR(__xludf.DUMMYFUNCTION("""COMPUTED_VALUE"""),4.4)</f>
        <v>4.4</v>
      </c>
      <c r="D1744" s="4"/>
      <c r="E1744" s="4" t="str">
        <f>IFERROR(__xludf.DUMMYFUNCTION("""COMPUTED_VALUE"""),"Sin precio neto")</f>
        <v>Sin precio neto</v>
      </c>
    </row>
    <row r="1745">
      <c r="A1745" s="4" t="str">
        <f>IFERROR(__xludf.DUMMYFUNCTION("""COMPUTED_VALUE"""),"8227")</f>
        <v>8227</v>
      </c>
      <c r="B1745" s="4" t="str">
        <f>IFERROR(__xludf.DUMMYFUNCTION("""COMPUTED_VALUE"""),"Adhesivo 11x 15 Uso oblig. arnes segur.")</f>
        <v>Adhesivo 11x 15 Uso oblig. arnes segur.</v>
      </c>
      <c r="C1745" s="4">
        <f>IFERROR(__xludf.DUMMYFUNCTION("""COMPUTED_VALUE"""),0.55)</f>
        <v>0.55</v>
      </c>
      <c r="D1745" s="4">
        <f>IFERROR(__xludf.DUMMYFUNCTION("""COMPUTED_VALUE"""),0.5)</f>
        <v>0.5</v>
      </c>
      <c r="E1745" s="4" t="str">
        <f>IFERROR(__xludf.DUMMYFUNCTION("""COMPUTED_VALUE"""),"Neto: 0,50 € (a partir de 1 uds.)")</f>
        <v>Neto: 0,50 € (a partir de 1 uds.)</v>
      </c>
    </row>
    <row r="1746">
      <c r="A1746" s="4" t="str">
        <f>IFERROR(__xludf.DUMMYFUNCTION("""COMPUTED_VALUE"""),"8227/B")</f>
        <v>8227/B</v>
      </c>
      <c r="B1746" s="4" t="str">
        <f>IFERROR(__xludf.DUMMYFUNCTION("""COMPUTED_VALUE"""),"Blister 10 und. Adhesivo 11x15 Uso oblig. arnes seguridad")</f>
        <v>Blister 10 und. Adhesivo 11x15 Uso oblig. arnes seguridad</v>
      </c>
      <c r="C1746" s="4">
        <f>IFERROR(__xludf.DUMMYFUNCTION("""COMPUTED_VALUE"""),4.4)</f>
        <v>4.4</v>
      </c>
      <c r="D1746" s="4"/>
      <c r="E1746" s="4" t="str">
        <f>IFERROR(__xludf.DUMMYFUNCTION("""COMPUTED_VALUE"""),"Sin precio neto")</f>
        <v>Sin precio neto</v>
      </c>
    </row>
    <row r="1747">
      <c r="A1747" s="4" t="str">
        <f>IFERROR(__xludf.DUMMYFUNCTION("""COMPUTED_VALUE"""),"8230")</f>
        <v>8230</v>
      </c>
      <c r="B1747" s="4" t="str">
        <f>IFERROR(__xludf.DUMMYFUNCTION("""COMPUTED_VALUE"""),"Adhesivo 11x 15 Prohibido Fumar")</f>
        <v>Adhesivo 11x 15 Prohibido Fumar</v>
      </c>
      <c r="C1747" s="4">
        <f>IFERROR(__xludf.DUMMYFUNCTION("""COMPUTED_VALUE"""),0.55)</f>
        <v>0.55</v>
      </c>
      <c r="D1747" s="4">
        <f>IFERROR(__xludf.DUMMYFUNCTION("""COMPUTED_VALUE"""),0.5)</f>
        <v>0.5</v>
      </c>
      <c r="E1747" s="4" t="str">
        <f>IFERROR(__xludf.DUMMYFUNCTION("""COMPUTED_VALUE"""),"Neto: 0,50 € (a partir de 1 uds.)")</f>
        <v>Neto: 0,50 € (a partir de 1 uds.)</v>
      </c>
    </row>
    <row r="1748">
      <c r="A1748" s="4" t="str">
        <f>IFERROR(__xludf.DUMMYFUNCTION("""COMPUTED_VALUE"""),"8230/B")</f>
        <v>8230/B</v>
      </c>
      <c r="B1748" s="4" t="str">
        <f>IFERROR(__xludf.DUMMYFUNCTION("""COMPUTED_VALUE"""),"Blister 10 unid. Adhesivo 11x15 Prohibido Fumar")</f>
        <v>Blister 10 unid. Adhesivo 11x15 Prohibido Fumar</v>
      </c>
      <c r="C1748" s="4">
        <f>IFERROR(__xludf.DUMMYFUNCTION("""COMPUTED_VALUE"""),4.4)</f>
        <v>4.4</v>
      </c>
      <c r="D1748" s="4"/>
      <c r="E1748" s="4" t="str">
        <f>IFERROR(__xludf.DUMMYFUNCTION("""COMPUTED_VALUE"""),"Sin precio neto")</f>
        <v>Sin precio neto</v>
      </c>
    </row>
    <row r="1749">
      <c r="A1749" s="4" t="str">
        <f>IFERROR(__xludf.DUMMYFUNCTION("""COMPUTED_VALUE"""),"8232")</f>
        <v>8232</v>
      </c>
      <c r="B1749" s="4" t="str">
        <f>IFERROR(__xludf.DUMMYFUNCTION("""COMPUTED_VALUE"""),"Adhesivo 11x15 Prohibido pasar sin casco")</f>
        <v>Adhesivo 11x15 Prohibido pasar sin casco</v>
      </c>
      <c r="C1749" s="4">
        <f>IFERROR(__xludf.DUMMYFUNCTION("""COMPUTED_VALUE"""),0.55)</f>
        <v>0.55</v>
      </c>
      <c r="D1749" s="4">
        <f>IFERROR(__xludf.DUMMYFUNCTION("""COMPUTED_VALUE"""),0.5)</f>
        <v>0.5</v>
      </c>
      <c r="E1749" s="4" t="str">
        <f>IFERROR(__xludf.DUMMYFUNCTION("""COMPUTED_VALUE"""),"Neto: 0,50 € (a partir de 1 uds.)")</f>
        <v>Neto: 0,50 € (a partir de 1 uds.)</v>
      </c>
    </row>
    <row r="1750">
      <c r="A1750" s="4" t="str">
        <f>IFERROR(__xludf.DUMMYFUNCTION("""COMPUTED_VALUE"""),"8232/B")</f>
        <v>8232/B</v>
      </c>
      <c r="B1750" s="4" t="str">
        <f>IFERROR(__xludf.DUMMYFUNCTION("""COMPUTED_VALUE"""),"Blister 10 unid. Adhesivo 11x15 Prohibido pasar sin casco")</f>
        <v>Blister 10 unid. Adhesivo 11x15 Prohibido pasar sin casco</v>
      </c>
      <c r="C1750" s="4">
        <f>IFERROR(__xludf.DUMMYFUNCTION("""COMPUTED_VALUE"""),4.4)</f>
        <v>4.4</v>
      </c>
      <c r="D1750" s="4"/>
      <c r="E1750" s="4" t="str">
        <f>IFERROR(__xludf.DUMMYFUNCTION("""COMPUTED_VALUE"""),"Sin precio neto")</f>
        <v>Sin precio neto</v>
      </c>
    </row>
    <row r="1751">
      <c r="A1751" s="4" t="str">
        <f>IFERROR(__xludf.DUMMYFUNCTION("""COMPUTED_VALUE"""),"8238")</f>
        <v>8238</v>
      </c>
      <c r="B1751" s="4" t="str">
        <f>IFERROR(__xludf.DUMMYFUNCTION("""COMPUTED_VALUE"""),"Adhesivo 11x15 Atencion puesta a tierra")</f>
        <v>Adhesivo 11x15 Atencion puesta a tierra</v>
      </c>
      <c r="C1751" s="4">
        <f>IFERROR(__xludf.DUMMYFUNCTION("""COMPUTED_VALUE"""),0.55)</f>
        <v>0.55</v>
      </c>
      <c r="D1751" s="4">
        <f>IFERROR(__xludf.DUMMYFUNCTION("""COMPUTED_VALUE"""),0.5)</f>
        <v>0.5</v>
      </c>
      <c r="E1751" s="4" t="str">
        <f>IFERROR(__xludf.DUMMYFUNCTION("""COMPUTED_VALUE"""),"Neto: 0,50 € (a partir de 1 uds.)")</f>
        <v>Neto: 0,50 € (a partir de 1 uds.)</v>
      </c>
    </row>
    <row r="1752">
      <c r="A1752" s="4" t="str">
        <f>IFERROR(__xludf.DUMMYFUNCTION("""COMPUTED_VALUE"""),"8238/B")</f>
        <v>8238/B</v>
      </c>
      <c r="B1752" s="4" t="str">
        <f>IFERROR(__xludf.DUMMYFUNCTION("""COMPUTED_VALUE"""),"Blister 10 unid .Adhesivo 11x15 Atencion puesta a tierra")</f>
        <v>Blister 10 unid .Adhesivo 11x15 Atencion puesta a tierra</v>
      </c>
      <c r="C1752" s="4">
        <f>IFERROR(__xludf.DUMMYFUNCTION("""COMPUTED_VALUE"""),4.4)</f>
        <v>4.4</v>
      </c>
      <c r="D1752" s="4"/>
      <c r="E1752" s="4" t="str">
        <f>IFERROR(__xludf.DUMMYFUNCTION("""COMPUTED_VALUE"""),"Sin precio neto")</f>
        <v>Sin precio neto</v>
      </c>
    </row>
    <row r="1753">
      <c r="A1753" s="4" t="str">
        <f>IFERROR(__xludf.DUMMYFUNCTION("""COMPUTED_VALUE"""),"8250")</f>
        <v>8250</v>
      </c>
      <c r="B1753" s="4" t="str">
        <f>IFERROR(__xludf.DUMMYFUNCTION("""COMPUTED_VALUE"""),"Adhesivo 11x15 Peligro")</f>
        <v>Adhesivo 11x15 Peligro</v>
      </c>
      <c r="C1753" s="4">
        <f>IFERROR(__xludf.DUMMYFUNCTION("""COMPUTED_VALUE"""),0.55)</f>
        <v>0.55</v>
      </c>
      <c r="D1753" s="4">
        <f>IFERROR(__xludf.DUMMYFUNCTION("""COMPUTED_VALUE"""),0.5)</f>
        <v>0.5</v>
      </c>
      <c r="E1753" s="4" t="str">
        <f>IFERROR(__xludf.DUMMYFUNCTION("""COMPUTED_VALUE"""),"Neto: 0,50 € (a partir de 1 uds.)")</f>
        <v>Neto: 0,50 € (a partir de 1 uds.)</v>
      </c>
    </row>
    <row r="1754">
      <c r="A1754" s="4" t="str">
        <f>IFERROR(__xludf.DUMMYFUNCTION("""COMPUTED_VALUE"""),"8250/B")</f>
        <v>8250/B</v>
      </c>
      <c r="B1754" s="4" t="str">
        <f>IFERROR(__xludf.DUMMYFUNCTION("""COMPUTED_VALUE"""),"Blister 10 unid. Adhesivo 11x15 Peligro")</f>
        <v>Blister 10 unid. Adhesivo 11x15 Peligro</v>
      </c>
      <c r="C1754" s="4">
        <f>IFERROR(__xludf.DUMMYFUNCTION("""COMPUTED_VALUE"""),4.4)</f>
        <v>4.4</v>
      </c>
      <c r="D1754" s="4"/>
      <c r="E1754" s="4" t="str">
        <f>IFERROR(__xludf.DUMMYFUNCTION("""COMPUTED_VALUE"""),"Sin precio neto")</f>
        <v>Sin precio neto</v>
      </c>
    </row>
    <row r="1755">
      <c r="A1755" s="4" t="str">
        <f>IFERROR(__xludf.DUMMYFUNCTION("""COMPUTED_VALUE"""),"8252")</f>
        <v>8252</v>
      </c>
      <c r="B1755" s="4" t="str">
        <f>IFERROR(__xludf.DUMMYFUNCTION("""COMPUTED_VALUE"""),"Adhesivo 11x15 Riesgo de atrapamiento")</f>
        <v>Adhesivo 11x15 Riesgo de atrapamiento</v>
      </c>
      <c r="C1755" s="4">
        <f>IFERROR(__xludf.DUMMYFUNCTION("""COMPUTED_VALUE"""),0.55)</f>
        <v>0.55</v>
      </c>
      <c r="D1755" s="4">
        <f>IFERROR(__xludf.DUMMYFUNCTION("""COMPUTED_VALUE"""),0.5)</f>
        <v>0.5</v>
      </c>
      <c r="E1755" s="4" t="str">
        <f>IFERROR(__xludf.DUMMYFUNCTION("""COMPUTED_VALUE"""),"Neto: 0,50 € (a partir de 1 uds.)")</f>
        <v>Neto: 0,50 € (a partir de 1 uds.)</v>
      </c>
    </row>
    <row r="1756">
      <c r="A1756" s="4" t="str">
        <f>IFERROR(__xludf.DUMMYFUNCTION("""COMPUTED_VALUE"""),"8252/B")</f>
        <v>8252/B</v>
      </c>
      <c r="B1756" s="4" t="str">
        <f>IFERROR(__xludf.DUMMYFUNCTION("""COMPUTED_VALUE"""),"Blister 10 unid. Adhesivo 11x15 Riesgo de atrapamiento")</f>
        <v>Blister 10 unid. Adhesivo 11x15 Riesgo de atrapamiento</v>
      </c>
      <c r="C1756" s="4">
        <f>IFERROR(__xludf.DUMMYFUNCTION("""COMPUTED_VALUE"""),4.4)</f>
        <v>4.4</v>
      </c>
      <c r="D1756" s="4"/>
      <c r="E1756" s="4" t="str">
        <f>IFERROR(__xludf.DUMMYFUNCTION("""COMPUTED_VALUE"""),"Sin precio neto")</f>
        <v>Sin precio neto</v>
      </c>
    </row>
    <row r="1757">
      <c r="A1757" s="4" t="str">
        <f>IFERROR(__xludf.DUMMYFUNCTION("""COMPUTED_VALUE"""),"8253")</f>
        <v>8253</v>
      </c>
      <c r="B1757" s="4" t="str">
        <f>IFERROR(__xludf.DUMMYFUNCTION("""COMPUTED_VALUE"""),"Adhesivo 11x15 Proh. paso toda person ajena empresa")</f>
        <v>Adhesivo 11x15 Proh. paso toda person ajena empresa</v>
      </c>
      <c r="C1757" s="4">
        <f>IFERROR(__xludf.DUMMYFUNCTION("""COMPUTED_VALUE"""),0.55)</f>
        <v>0.55</v>
      </c>
      <c r="D1757" s="4">
        <f>IFERROR(__xludf.DUMMYFUNCTION("""COMPUTED_VALUE"""),0.5)</f>
        <v>0.5</v>
      </c>
      <c r="E1757" s="4" t="str">
        <f>IFERROR(__xludf.DUMMYFUNCTION("""COMPUTED_VALUE"""),"Neto: 0,50 € (a partir de 1 uds.)")</f>
        <v>Neto: 0,50 € (a partir de 1 uds.)</v>
      </c>
    </row>
    <row r="1758">
      <c r="A1758" s="4" t="str">
        <f>IFERROR(__xludf.DUMMYFUNCTION("""COMPUTED_VALUE"""),"8253/B")</f>
        <v>8253/B</v>
      </c>
      <c r="B1758" s="4" t="str">
        <f>IFERROR(__xludf.DUMMYFUNCTION("""COMPUTED_VALUE"""),"Blister 10 unid. Adehsivo 11x15 Proh. paso toda persona ajena")</f>
        <v>Blister 10 unid. Adehsivo 11x15 Proh. paso toda persona ajena</v>
      </c>
      <c r="C1758" s="4">
        <f>IFERROR(__xludf.DUMMYFUNCTION("""COMPUTED_VALUE"""),4.4)</f>
        <v>4.4</v>
      </c>
      <c r="D1758" s="4"/>
      <c r="E1758" s="4" t="str">
        <f>IFERROR(__xludf.DUMMYFUNCTION("""COMPUTED_VALUE"""),"Sin precio neto")</f>
        <v>Sin precio neto</v>
      </c>
    </row>
    <row r="1759">
      <c r="A1759" s="4" t="str">
        <f>IFERROR(__xludf.DUMMYFUNCTION("""COMPUTED_VALUE"""),"8256")</f>
        <v>8256</v>
      </c>
      <c r="B1759" s="4" t="str">
        <f>IFERROR(__xludf.DUMMYFUNCTION("""COMPUTED_VALUE"""),"Adhesivo 11x15 Botiquin")</f>
        <v>Adhesivo 11x15 Botiquin</v>
      </c>
      <c r="C1759" s="4">
        <f>IFERROR(__xludf.DUMMYFUNCTION("""COMPUTED_VALUE"""),0.55)</f>
        <v>0.55</v>
      </c>
      <c r="D1759" s="4">
        <f>IFERROR(__xludf.DUMMYFUNCTION("""COMPUTED_VALUE"""),0.5)</f>
        <v>0.5</v>
      </c>
      <c r="E1759" s="4" t="str">
        <f>IFERROR(__xludf.DUMMYFUNCTION("""COMPUTED_VALUE"""),"Neto: 0,50 € (a partir de 1 uds.)")</f>
        <v>Neto: 0,50 € (a partir de 1 uds.)</v>
      </c>
    </row>
    <row r="1760">
      <c r="A1760" s="4" t="str">
        <f>IFERROR(__xludf.DUMMYFUNCTION("""COMPUTED_VALUE"""),"8256/B")</f>
        <v>8256/B</v>
      </c>
      <c r="B1760" s="4" t="str">
        <f>IFERROR(__xludf.DUMMYFUNCTION("""COMPUTED_VALUE"""),"Blister 10 unid. adhesivo 11x15 Botiquin")</f>
        <v>Blister 10 unid. adhesivo 11x15 Botiquin</v>
      </c>
      <c r="C1760" s="4">
        <f>IFERROR(__xludf.DUMMYFUNCTION("""COMPUTED_VALUE"""),4.4)</f>
        <v>4.4</v>
      </c>
      <c r="D1760" s="4"/>
      <c r="E1760" s="4" t="str">
        <f>IFERROR(__xludf.DUMMYFUNCTION("""COMPUTED_VALUE"""),"Sin precio neto")</f>
        <v>Sin precio neto</v>
      </c>
    </row>
    <row r="1761">
      <c r="A1761" s="4" t="str">
        <f>IFERROR(__xludf.DUMMYFUNCTION("""COMPUTED_VALUE"""),"8275")</f>
        <v>8275</v>
      </c>
      <c r="B1761" s="4" t="str">
        <f>IFERROR(__xludf.DUMMYFUNCTION("""COMPUTED_VALUE"""),"Adhesivo 11x15 Proh. repar.personal no autorizado")</f>
        <v>Adhesivo 11x15 Proh. repar.personal no autorizado</v>
      </c>
      <c r="C1761" s="4">
        <f>IFERROR(__xludf.DUMMYFUNCTION("""COMPUTED_VALUE"""),0.55)</f>
        <v>0.55</v>
      </c>
      <c r="D1761" s="4">
        <f>IFERROR(__xludf.DUMMYFUNCTION("""COMPUTED_VALUE"""),0.5)</f>
        <v>0.5</v>
      </c>
      <c r="E1761" s="4" t="str">
        <f>IFERROR(__xludf.DUMMYFUNCTION("""COMPUTED_VALUE"""),"Neto: 0,50 € (a partir de 1 uds.)")</f>
        <v>Neto: 0,50 € (a partir de 1 uds.)</v>
      </c>
    </row>
    <row r="1762">
      <c r="A1762" s="4" t="str">
        <f>IFERROR(__xludf.DUMMYFUNCTION("""COMPUTED_VALUE"""),"8275/B")</f>
        <v>8275/B</v>
      </c>
      <c r="B1762" s="4" t="str">
        <f>IFERROR(__xludf.DUMMYFUNCTION("""COMPUTED_VALUE"""),"Blister 10 unid. Adhesivo 11x15 Proh. repar.personal no")</f>
        <v>Blister 10 unid. Adhesivo 11x15 Proh. repar.personal no</v>
      </c>
      <c r="C1762" s="4">
        <f>IFERROR(__xludf.DUMMYFUNCTION("""COMPUTED_VALUE"""),4.4)</f>
        <v>4.4</v>
      </c>
      <c r="D1762" s="4"/>
      <c r="E1762" s="4" t="str">
        <f>IFERROR(__xludf.DUMMYFUNCTION("""COMPUTED_VALUE"""),"Sin precio neto")</f>
        <v>Sin precio neto</v>
      </c>
    </row>
    <row r="1763">
      <c r="A1763" s="4" t="str">
        <f>IFERROR(__xludf.DUMMYFUNCTION("""COMPUTED_VALUE"""),"8281")</f>
        <v>8281</v>
      </c>
      <c r="B1763" s="4" t="str">
        <f>IFERROR(__xludf.DUMMYFUNCTION("""COMPUTED_VALUE"""),"Adhesivo 11x15 Agua no potable")</f>
        <v>Adhesivo 11x15 Agua no potable</v>
      </c>
      <c r="C1763" s="4">
        <f>IFERROR(__xludf.DUMMYFUNCTION("""COMPUTED_VALUE"""),0.55)</f>
        <v>0.55</v>
      </c>
      <c r="D1763" s="4">
        <f>IFERROR(__xludf.DUMMYFUNCTION("""COMPUTED_VALUE"""),0.5)</f>
        <v>0.5</v>
      </c>
      <c r="E1763" s="4" t="str">
        <f>IFERROR(__xludf.DUMMYFUNCTION("""COMPUTED_VALUE"""),"Neto: 0,50 € (a partir de 1 uds.)")</f>
        <v>Neto: 0,50 € (a partir de 1 uds.)</v>
      </c>
    </row>
    <row r="1764">
      <c r="A1764" s="4" t="str">
        <f>IFERROR(__xludf.DUMMYFUNCTION("""COMPUTED_VALUE"""),"8281/B")</f>
        <v>8281/B</v>
      </c>
      <c r="B1764" s="4" t="str">
        <f>IFERROR(__xludf.DUMMYFUNCTION("""COMPUTED_VALUE"""),"Blister 10 unid. Adhesivo 11x15 Agua no potable")</f>
        <v>Blister 10 unid. Adhesivo 11x15 Agua no potable</v>
      </c>
      <c r="C1764" s="4">
        <f>IFERROR(__xludf.DUMMYFUNCTION("""COMPUTED_VALUE"""),4.4)</f>
        <v>4.4</v>
      </c>
      <c r="D1764" s="4"/>
      <c r="E1764" s="4" t="str">
        <f>IFERROR(__xludf.DUMMYFUNCTION("""COMPUTED_VALUE"""),"Sin precio neto")</f>
        <v>Sin precio neto</v>
      </c>
    </row>
    <row r="1765">
      <c r="A1765" s="4" t="str">
        <f>IFERROR(__xludf.DUMMYFUNCTION("""COMPUTED_VALUE"""),"8283")</f>
        <v>8283</v>
      </c>
      <c r="B1765" s="4" t="str">
        <f>IFERROR(__xludf.DUMMYFUNCTION("""COMPUTED_VALUE"""),"Adhesivo 10x15 Uso obligatorio de mascara")</f>
        <v>Adhesivo 10x15 Uso obligatorio de mascara</v>
      </c>
      <c r="C1765" s="4">
        <f>IFERROR(__xludf.DUMMYFUNCTION("""COMPUTED_VALUE"""),0.55)</f>
        <v>0.55</v>
      </c>
      <c r="D1765" s="4">
        <f>IFERROR(__xludf.DUMMYFUNCTION("""COMPUTED_VALUE"""),0.5)</f>
        <v>0.5</v>
      </c>
      <c r="E1765" s="4" t="str">
        <f>IFERROR(__xludf.DUMMYFUNCTION("""COMPUTED_VALUE"""),"Neto: 0,50 € (a partir de 1 uds.)")</f>
        <v>Neto: 0,50 € (a partir de 1 uds.)</v>
      </c>
    </row>
    <row r="1766">
      <c r="A1766" s="4" t="str">
        <f>IFERROR(__xludf.DUMMYFUNCTION("""COMPUTED_VALUE"""),"8283/B")</f>
        <v>8283/B</v>
      </c>
      <c r="B1766" s="4" t="str">
        <f>IFERROR(__xludf.DUMMYFUNCTION("""COMPUTED_VALUE"""),"Blister 10 unid. Adhesivo 11x15 Uso obligatorio mascara")</f>
        <v>Blister 10 unid. Adhesivo 11x15 Uso obligatorio mascara</v>
      </c>
      <c r="C1766" s="4">
        <f>IFERROR(__xludf.DUMMYFUNCTION("""COMPUTED_VALUE"""),4.4)</f>
        <v>4.4</v>
      </c>
      <c r="D1766" s="4"/>
      <c r="E1766" s="4" t="str">
        <f>IFERROR(__xludf.DUMMYFUNCTION("""COMPUTED_VALUE"""),"Sin precio neto")</f>
        <v>Sin precio neto</v>
      </c>
    </row>
    <row r="1767">
      <c r="A1767" s="4" t="str">
        <f>IFERROR(__xludf.DUMMYFUNCTION("""COMPUTED_VALUE"""),"8290")</f>
        <v>8290</v>
      </c>
      <c r="B1767" s="4" t="str">
        <f>IFERROR(__xludf.DUMMYFUNCTION("""COMPUTED_VALUE"""),"Adhesivo 11x15 Peligro alta tension")</f>
        <v>Adhesivo 11x15 Peligro alta tension</v>
      </c>
      <c r="C1767" s="4">
        <f>IFERROR(__xludf.DUMMYFUNCTION("""COMPUTED_VALUE"""),0.55)</f>
        <v>0.55</v>
      </c>
      <c r="D1767" s="4">
        <f>IFERROR(__xludf.DUMMYFUNCTION("""COMPUTED_VALUE"""),0.5)</f>
        <v>0.5</v>
      </c>
      <c r="E1767" s="4" t="str">
        <f>IFERROR(__xludf.DUMMYFUNCTION("""COMPUTED_VALUE"""),"Neto: 0,50 € (a partir de 1 uds.)")</f>
        <v>Neto: 0,50 € (a partir de 1 uds.)</v>
      </c>
    </row>
    <row r="1768">
      <c r="A1768" s="4" t="str">
        <f>IFERROR(__xludf.DUMMYFUNCTION("""COMPUTED_VALUE"""),"8290/B")</f>
        <v>8290/B</v>
      </c>
      <c r="B1768" s="4" t="str">
        <f>IFERROR(__xludf.DUMMYFUNCTION("""COMPUTED_VALUE"""),"Blister 10 unid. Adhesivo 11x15 Peligro Alta Tension")</f>
        <v>Blister 10 unid. Adhesivo 11x15 Peligro Alta Tension</v>
      </c>
      <c r="C1768" s="4">
        <f>IFERROR(__xludf.DUMMYFUNCTION("""COMPUTED_VALUE"""),4.4)</f>
        <v>4.4</v>
      </c>
      <c r="D1768" s="4"/>
      <c r="E1768" s="4" t="str">
        <f>IFERROR(__xludf.DUMMYFUNCTION("""COMPUTED_VALUE"""),"Sin precio neto")</f>
        <v>Sin precio neto</v>
      </c>
    </row>
    <row r="1769">
      <c r="A1769" s="4" t="str">
        <f>IFERROR(__xludf.DUMMYFUNCTION("""COMPUTED_VALUE"""),"8291")</f>
        <v>8291</v>
      </c>
      <c r="B1769" s="4" t="str">
        <f>IFERROR(__xludf.DUMMYFUNCTION("""COMPUTED_VALUE"""),"Adhesivo 11x15 Peligro no maniobrar pers.no autor.")</f>
        <v>Adhesivo 11x15 Peligro no maniobrar pers.no autor.</v>
      </c>
      <c r="C1769" s="4">
        <f>IFERROR(__xludf.DUMMYFUNCTION("""COMPUTED_VALUE"""),0.55)</f>
        <v>0.55</v>
      </c>
      <c r="D1769" s="4">
        <f>IFERROR(__xludf.DUMMYFUNCTION("""COMPUTED_VALUE"""),0.5)</f>
        <v>0.5</v>
      </c>
      <c r="E1769" s="4" t="str">
        <f>IFERROR(__xludf.DUMMYFUNCTION("""COMPUTED_VALUE"""),"Neto: 0,50 € (a partir de 1 uds.)")</f>
        <v>Neto: 0,50 € (a partir de 1 uds.)</v>
      </c>
    </row>
    <row r="1770">
      <c r="A1770" s="4" t="str">
        <f>IFERROR(__xludf.DUMMYFUNCTION("""COMPUTED_VALUE"""),"8291/B")</f>
        <v>8291/B</v>
      </c>
      <c r="B1770" s="4" t="str">
        <f>IFERROR(__xludf.DUMMYFUNCTION("""COMPUTED_VALUE"""),"Blister 10 unid. Adhesivo 11x15 Peligro no maniobrar pers. no")</f>
        <v>Blister 10 unid. Adhesivo 11x15 Peligro no maniobrar pers. no</v>
      </c>
      <c r="C1770" s="4">
        <f>IFERROR(__xludf.DUMMYFUNCTION("""COMPUTED_VALUE"""),4.4)</f>
        <v>4.4</v>
      </c>
      <c r="D1770" s="4"/>
      <c r="E1770" s="4" t="str">
        <f>IFERROR(__xludf.DUMMYFUNCTION("""COMPUTED_VALUE"""),"Sin precio neto")</f>
        <v>Sin precio neto</v>
      </c>
    </row>
    <row r="1771">
      <c r="A1771" s="4" t="str">
        <f>IFERROR(__xludf.DUMMYFUNCTION("""COMPUTED_VALUE"""),"83120N1")</f>
        <v>83120N1</v>
      </c>
      <c r="B1771" s="4" t="str">
        <f>IFERROR(__xludf.DUMMYFUNCTION("""COMPUTED_VALUE"""),"Cuadrado MOPU TS 120x120 cm Reflex I")</f>
        <v>Cuadrado MOPU TS 120x120 cm Reflex I</v>
      </c>
      <c r="C1771" s="4">
        <f>IFERROR(__xludf.DUMMYFUNCTION("""COMPUTED_VALUE"""),143.14)</f>
        <v>143.14</v>
      </c>
      <c r="D1771" s="4"/>
      <c r="E1771" s="4" t="str">
        <f>IFERROR(__xludf.DUMMYFUNCTION("""COMPUTED_VALUE"""),"Sin precio neto")</f>
        <v>Sin precio neto</v>
      </c>
    </row>
    <row r="1772">
      <c r="A1772" s="4" t="str">
        <f>IFERROR(__xludf.DUMMYFUNCTION("""COMPUTED_VALUE"""),"83120N2")</f>
        <v>83120N2</v>
      </c>
      <c r="B1772" s="4" t="str">
        <f>IFERROR(__xludf.DUMMYFUNCTION("""COMPUTED_VALUE"""),"Cuadrado MOPU TS 120x120 cm Reflex II")</f>
        <v>Cuadrado MOPU TS 120x120 cm Reflex II</v>
      </c>
      <c r="C1772" s="4">
        <f>IFERROR(__xludf.DUMMYFUNCTION("""COMPUTED_VALUE"""),200.6)</f>
        <v>200.6</v>
      </c>
      <c r="D1772" s="4"/>
      <c r="E1772" s="4" t="str">
        <f>IFERROR(__xludf.DUMMYFUNCTION("""COMPUTED_VALUE"""),"Sin precio neto")</f>
        <v>Sin precio neto</v>
      </c>
    </row>
    <row r="1773">
      <c r="A1773" s="4" t="str">
        <f>IFERROR(__xludf.DUMMYFUNCTION("""COMPUTED_VALUE"""),"83120N3")</f>
        <v>83120N3</v>
      </c>
      <c r="B1773" s="4" t="str">
        <f>IFERROR(__xludf.DUMMYFUNCTION("""COMPUTED_VALUE"""),"Cuadrado MOPU TS 120x120 cm Reflex III")</f>
        <v>Cuadrado MOPU TS 120x120 cm Reflex III</v>
      </c>
      <c r="C1773" s="4">
        <f>IFERROR(__xludf.DUMMYFUNCTION("""COMPUTED_VALUE"""),305.49)</f>
        <v>305.49</v>
      </c>
      <c r="D1773" s="4"/>
      <c r="E1773" s="4" t="str">
        <f>IFERROR(__xludf.DUMMYFUNCTION("""COMPUTED_VALUE"""),"Sin precio neto")</f>
        <v>Sin precio neto</v>
      </c>
    </row>
    <row r="1774">
      <c r="A1774" s="4" t="str">
        <f>IFERROR(__xludf.DUMMYFUNCTION("""COMPUTED_VALUE"""),"8340N1")</f>
        <v>8340N1</v>
      </c>
      <c r="B1774" s="4" t="str">
        <f>IFERROR(__xludf.DUMMYFUNCTION("""COMPUTED_VALUE"""),"Cuadrado MOPU TS 40x40 cm Reflex I")</f>
        <v>Cuadrado MOPU TS 40x40 cm Reflex I</v>
      </c>
      <c r="C1774" s="4">
        <f>IFERROR(__xludf.DUMMYFUNCTION("""COMPUTED_VALUE"""),31.0)</f>
        <v>31</v>
      </c>
      <c r="D1774" s="4"/>
      <c r="E1774" s="4" t="str">
        <f>IFERROR(__xludf.DUMMYFUNCTION("""COMPUTED_VALUE"""),"Sin precio neto")</f>
        <v>Sin precio neto</v>
      </c>
    </row>
    <row r="1775">
      <c r="A1775" s="4" t="str">
        <f>IFERROR(__xludf.DUMMYFUNCTION("""COMPUTED_VALUE"""),"8340N2")</f>
        <v>8340N2</v>
      </c>
      <c r="B1775" s="4" t="str">
        <f>IFERROR(__xludf.DUMMYFUNCTION("""COMPUTED_VALUE"""),"Cuadrado MOPU TS 40x40 cm Reflex II")</f>
        <v>Cuadrado MOPU TS 40x40 cm Reflex II</v>
      </c>
      <c r="C1775" s="4">
        <f>IFERROR(__xludf.DUMMYFUNCTION("""COMPUTED_VALUE"""),36.0)</f>
        <v>36</v>
      </c>
      <c r="D1775" s="4"/>
      <c r="E1775" s="4" t="str">
        <f>IFERROR(__xludf.DUMMYFUNCTION("""COMPUTED_VALUE"""),"Sin precio neto")</f>
        <v>Sin precio neto</v>
      </c>
    </row>
    <row r="1776">
      <c r="A1776" s="4" t="str">
        <f>IFERROR(__xludf.DUMMYFUNCTION("""COMPUTED_VALUE"""),"8340N3")</f>
        <v>8340N3</v>
      </c>
      <c r="B1776" s="4" t="str">
        <f>IFERROR(__xludf.DUMMYFUNCTION("""COMPUTED_VALUE"""),"Cuadrado MOPU TS 40x40 cm Reflex III")</f>
        <v>Cuadrado MOPU TS 40x40 cm Reflex III</v>
      </c>
      <c r="C1776" s="4">
        <f>IFERROR(__xludf.DUMMYFUNCTION("""COMPUTED_VALUE"""),54.0)</f>
        <v>54</v>
      </c>
      <c r="D1776" s="4"/>
      <c r="E1776" s="4" t="str">
        <f>IFERROR(__xludf.DUMMYFUNCTION("""COMPUTED_VALUE"""),"Sin precio neto")</f>
        <v>Sin precio neto</v>
      </c>
    </row>
    <row r="1777">
      <c r="A1777" s="4" t="str">
        <f>IFERROR(__xludf.DUMMYFUNCTION("""COMPUTED_VALUE"""),"8360N1")</f>
        <v>8360N1</v>
      </c>
      <c r="B1777" s="4" t="str">
        <f>IFERROR(__xludf.DUMMYFUNCTION("""COMPUTED_VALUE"""),"Cuadrado MOPU TS 60x60 cm Reflex I")</f>
        <v>Cuadrado MOPU TS 60x60 cm Reflex I</v>
      </c>
      <c r="C1777" s="4">
        <f>IFERROR(__xludf.DUMMYFUNCTION("""COMPUTED_VALUE"""),27.0)</f>
        <v>27</v>
      </c>
      <c r="D1777" s="4"/>
      <c r="E1777" s="4" t="str">
        <f>IFERROR(__xludf.DUMMYFUNCTION("""COMPUTED_VALUE"""),"Sin precio neto")</f>
        <v>Sin precio neto</v>
      </c>
    </row>
    <row r="1778">
      <c r="A1778" s="4" t="str">
        <f>IFERROR(__xludf.DUMMYFUNCTION("""COMPUTED_VALUE"""),"8360N2")</f>
        <v>8360N2</v>
      </c>
      <c r="B1778" s="4" t="str">
        <f>IFERROR(__xludf.DUMMYFUNCTION("""COMPUTED_VALUE"""),"Cuadrado MOPU TS 60x60 cm Reflex II")</f>
        <v>Cuadrado MOPU TS 60x60 cm Reflex II</v>
      </c>
      <c r="C1778" s="4">
        <f>IFERROR(__xludf.DUMMYFUNCTION("""COMPUTED_VALUE"""),44.25)</f>
        <v>44.25</v>
      </c>
      <c r="D1778" s="4"/>
      <c r="E1778" s="4" t="str">
        <f>IFERROR(__xludf.DUMMYFUNCTION("""COMPUTED_VALUE"""),"Sin precio neto")</f>
        <v>Sin precio neto</v>
      </c>
    </row>
    <row r="1779">
      <c r="A1779" s="4" t="str">
        <f>IFERROR(__xludf.DUMMYFUNCTION("""COMPUTED_VALUE"""),"8360N3")</f>
        <v>8360N3</v>
      </c>
      <c r="B1779" s="4" t="str">
        <f>IFERROR(__xludf.DUMMYFUNCTION("""COMPUTED_VALUE"""),"Cuadrado MOPU TS 60x60 cm Reflex III")</f>
        <v>Cuadrado MOPU TS 60x60 cm Reflex III</v>
      </c>
      <c r="C1779" s="4">
        <f>IFERROR(__xludf.DUMMYFUNCTION("""COMPUTED_VALUE"""),72.75)</f>
        <v>72.75</v>
      </c>
      <c r="D1779" s="4"/>
      <c r="E1779" s="4" t="str">
        <f>IFERROR(__xludf.DUMMYFUNCTION("""COMPUTED_VALUE"""),"Sin precio neto")</f>
        <v>Sin precio neto</v>
      </c>
    </row>
    <row r="1780">
      <c r="A1780" s="4" t="str">
        <f>IFERROR(__xludf.DUMMYFUNCTION("""COMPUTED_VALUE"""),"8374")</f>
        <v>8374</v>
      </c>
      <c r="B1780" s="4" t="str">
        <f>IFERROR(__xludf.DUMMYFUNCTION("""COMPUTED_VALUE"""),"Adhesivo 11x15 Riesgo de proyeccion de particulas")</f>
        <v>Adhesivo 11x15 Riesgo de proyeccion de particulas</v>
      </c>
      <c r="C1780" s="4">
        <f>IFERROR(__xludf.DUMMYFUNCTION("""COMPUTED_VALUE"""),0.55)</f>
        <v>0.55</v>
      </c>
      <c r="D1780" s="4">
        <f>IFERROR(__xludf.DUMMYFUNCTION("""COMPUTED_VALUE"""),0.5)</f>
        <v>0.5</v>
      </c>
      <c r="E1780" s="4" t="str">
        <f>IFERROR(__xludf.DUMMYFUNCTION("""COMPUTED_VALUE"""),"Neto: 0,50 € (a partir de 1 uds.)")</f>
        <v>Neto: 0,50 € (a partir de 1 uds.)</v>
      </c>
    </row>
    <row r="1781">
      <c r="A1781" s="4" t="str">
        <f>IFERROR(__xludf.DUMMYFUNCTION("""COMPUTED_VALUE"""),"8375")</f>
        <v>8375</v>
      </c>
      <c r="B1781" s="4" t="str">
        <f>IFERROR(__xludf.DUMMYFUNCTION("""COMPUTED_VALUE"""),"Adhesivo 11x15 Peligro de incendio")</f>
        <v>Adhesivo 11x15 Peligro de incendio</v>
      </c>
      <c r="C1781" s="4">
        <f>IFERROR(__xludf.DUMMYFUNCTION("""COMPUTED_VALUE"""),0.55)</f>
        <v>0.55</v>
      </c>
      <c r="D1781" s="4">
        <f>IFERROR(__xludf.DUMMYFUNCTION("""COMPUTED_VALUE"""),0.5)</f>
        <v>0.5</v>
      </c>
      <c r="E1781" s="4" t="str">
        <f>IFERROR(__xludf.DUMMYFUNCTION("""COMPUTED_VALUE"""),"Neto: 0,50 € (a partir de 1 uds.)")</f>
        <v>Neto: 0,50 € (a partir de 1 uds.)</v>
      </c>
    </row>
    <row r="1782">
      <c r="A1782" s="4" t="str">
        <f>IFERROR(__xludf.DUMMYFUNCTION("""COMPUTED_VALUE"""),"8381")</f>
        <v>8381</v>
      </c>
      <c r="B1782" s="4" t="str">
        <f>IFERROR(__xludf.DUMMYFUNCTION("""COMPUTED_VALUE"""),"Adhesivo 11x15 Riesgo contacto térmico")</f>
        <v>Adhesivo 11x15 Riesgo contacto térmico</v>
      </c>
      <c r="C1782" s="4">
        <f>IFERROR(__xludf.DUMMYFUNCTION("""COMPUTED_VALUE"""),0.55)</f>
        <v>0.55</v>
      </c>
      <c r="D1782" s="4">
        <f>IFERROR(__xludf.DUMMYFUNCTION("""COMPUTED_VALUE"""),0.5)</f>
        <v>0.5</v>
      </c>
      <c r="E1782" s="4" t="str">
        <f>IFERROR(__xludf.DUMMYFUNCTION("""COMPUTED_VALUE"""),"Neto: 0,50 € (a partir de 1 uds.)")</f>
        <v>Neto: 0,50 € (a partir de 1 uds.)</v>
      </c>
    </row>
    <row r="1783">
      <c r="A1783" s="4" t="str">
        <f>IFERROR(__xludf.DUMMYFUNCTION("""COMPUTED_VALUE"""),"8382")</f>
        <v>8382</v>
      </c>
      <c r="B1783" s="4" t="str">
        <f>IFERROR(__xludf.DUMMYFUNCTION("""COMPUTED_VALUE"""),"Adhesivo 11x15 Riesgo de corte")</f>
        <v>Adhesivo 11x15 Riesgo de corte</v>
      </c>
      <c r="C1783" s="4">
        <f>IFERROR(__xludf.DUMMYFUNCTION("""COMPUTED_VALUE"""),0.55)</f>
        <v>0.55</v>
      </c>
      <c r="D1783" s="4">
        <f>IFERROR(__xludf.DUMMYFUNCTION("""COMPUTED_VALUE"""),0.5)</f>
        <v>0.5</v>
      </c>
      <c r="E1783" s="4" t="str">
        <f>IFERROR(__xludf.DUMMYFUNCTION("""COMPUTED_VALUE"""),"Neto: 0,50 € (a partir de 1 uds.)")</f>
        <v>Neto: 0,50 € (a partir de 1 uds.)</v>
      </c>
    </row>
    <row r="1784">
      <c r="A1784" s="4" t="str">
        <f>IFERROR(__xludf.DUMMYFUNCTION("""COMPUTED_VALUE"""),"8384")</f>
        <v>8384</v>
      </c>
      <c r="B1784" s="4" t="str">
        <f>IFERROR(__xludf.DUMMYFUNCTION("""COMPUTED_VALUE"""),"Adhesivo 10x15 Uso obligatorio equipo autonomo")</f>
        <v>Adhesivo 10x15 Uso obligatorio equipo autonomo</v>
      </c>
      <c r="C1784" s="4">
        <f>IFERROR(__xludf.DUMMYFUNCTION("""COMPUTED_VALUE"""),0.55)</f>
        <v>0.55</v>
      </c>
      <c r="D1784" s="4">
        <f>IFERROR(__xludf.DUMMYFUNCTION("""COMPUTED_VALUE"""),0.5)</f>
        <v>0.5</v>
      </c>
      <c r="E1784" s="4" t="str">
        <f>IFERROR(__xludf.DUMMYFUNCTION("""COMPUTED_VALUE"""),"Neto: 0,50 € (a partir de 1 uds.)")</f>
        <v>Neto: 0,50 € (a partir de 1 uds.)</v>
      </c>
    </row>
    <row r="1785">
      <c r="A1785" s="4" t="str">
        <f>IFERROR(__xludf.DUMMYFUNCTION("""COMPUTED_VALUE"""),"8385")</f>
        <v>8385</v>
      </c>
      <c r="B1785" s="4" t="str">
        <f>IFERROR(__xludf.DUMMYFUNCTION("""COMPUTED_VALUE"""),"Adhesivo 10x15 peligro temperatura elevada")</f>
        <v>Adhesivo 10x15 peligro temperatura elevada</v>
      </c>
      <c r="C1785" s="4">
        <f>IFERROR(__xludf.DUMMYFUNCTION("""COMPUTED_VALUE"""),0.55)</f>
        <v>0.55</v>
      </c>
      <c r="D1785" s="4">
        <f>IFERROR(__xludf.DUMMYFUNCTION("""COMPUTED_VALUE"""),0.5)</f>
        <v>0.5</v>
      </c>
      <c r="E1785" s="4" t="str">
        <f>IFERROR(__xludf.DUMMYFUNCTION("""COMPUTED_VALUE"""),"Neto: 0,50 € (a partir de 1 uds.)")</f>
        <v>Neto: 0,50 € (a partir de 1 uds.)</v>
      </c>
    </row>
    <row r="1786">
      <c r="A1786" s="4" t="str">
        <f>IFERROR(__xludf.DUMMYFUNCTION("""COMPUTED_VALUE"""),"8385/B")</f>
        <v>8385/B</v>
      </c>
      <c r="B1786" s="4" t="str">
        <f>IFERROR(__xludf.DUMMYFUNCTION("""COMPUTED_VALUE"""),"Blístes 10 unid. Ahesivo 11x15 Temperatura Elevada")</f>
        <v>Blístes 10 unid. Ahesivo 11x15 Temperatura Elevada</v>
      </c>
      <c r="C1786" s="4">
        <f>IFERROR(__xludf.DUMMYFUNCTION("""COMPUTED_VALUE"""),4.4)</f>
        <v>4.4</v>
      </c>
      <c r="D1786" s="4"/>
      <c r="E1786" s="4" t="str">
        <f>IFERROR(__xludf.DUMMYFUNCTION("""COMPUTED_VALUE"""),"Sin precio neto")</f>
        <v>Sin precio neto</v>
      </c>
    </row>
    <row r="1787">
      <c r="A1787" s="4" t="str">
        <f>IFERROR(__xludf.DUMMYFUNCTION("""COMPUTED_VALUE"""),"8390N1")</f>
        <v>8390N1</v>
      </c>
      <c r="B1787" s="4" t="str">
        <f>IFERROR(__xludf.DUMMYFUNCTION("""COMPUTED_VALUE"""),"Cuadrado MOPU TS 90x90 cm Reflex I")</f>
        <v>Cuadrado MOPU TS 90x90 cm Reflex I</v>
      </c>
      <c r="C1787" s="4">
        <f>IFERROR(__xludf.DUMMYFUNCTION("""COMPUTED_VALUE"""),95.0)</f>
        <v>95</v>
      </c>
      <c r="D1787" s="4">
        <f>IFERROR(__xludf.DUMMYFUNCTION("""COMPUTED_VALUE"""),62.0)</f>
        <v>62</v>
      </c>
      <c r="E1787" s="4" t="str">
        <f>IFERROR(__xludf.DUMMYFUNCTION("""COMPUTED_VALUE"""),"Neto: 62,00 € (a partir de 1 uds.)")</f>
        <v>Neto: 62,00 € (a partir de 1 uds.)</v>
      </c>
    </row>
    <row r="1788">
      <c r="A1788" s="4" t="str">
        <f>IFERROR(__xludf.DUMMYFUNCTION("""COMPUTED_VALUE"""),"8390N2")</f>
        <v>8390N2</v>
      </c>
      <c r="B1788" s="4" t="str">
        <f>IFERROR(__xludf.DUMMYFUNCTION("""COMPUTED_VALUE"""),"Cuadrado MOPU TS 90x90 cm Reflex II")</f>
        <v>Cuadrado MOPU TS 90x90 cm Reflex II</v>
      </c>
      <c r="C1788" s="4">
        <f>IFERROR(__xludf.DUMMYFUNCTION("""COMPUTED_VALUE"""),130.35)</f>
        <v>130.35</v>
      </c>
      <c r="D1788" s="4"/>
      <c r="E1788" s="4" t="str">
        <f>IFERROR(__xludf.DUMMYFUNCTION("""COMPUTED_VALUE"""),"Sin precio neto")</f>
        <v>Sin precio neto</v>
      </c>
    </row>
    <row r="1789">
      <c r="A1789" s="4" t="str">
        <f>IFERROR(__xludf.DUMMYFUNCTION("""COMPUTED_VALUE"""),"8390N3")</f>
        <v>8390N3</v>
      </c>
      <c r="B1789" s="4" t="str">
        <f>IFERROR(__xludf.DUMMYFUNCTION("""COMPUTED_VALUE"""),"Cuadrado MOPU TS 90x90 cm Reflex III")</f>
        <v>Cuadrado MOPU TS 90x90 cm Reflex III</v>
      </c>
      <c r="C1789" s="4">
        <f>IFERROR(__xludf.DUMMYFUNCTION("""COMPUTED_VALUE"""),157.17)</f>
        <v>157.17</v>
      </c>
      <c r="D1789" s="4"/>
      <c r="E1789" s="4" t="str">
        <f>IFERROR(__xludf.DUMMYFUNCTION("""COMPUTED_VALUE"""),"Sin precio neto")</f>
        <v>Sin precio neto</v>
      </c>
    </row>
    <row r="1790">
      <c r="A1790" s="4" t="str">
        <f>IFERROR(__xludf.DUMMYFUNCTION("""COMPUTED_VALUE"""),"8399")</f>
        <v>8399</v>
      </c>
      <c r="B1790" s="4" t="str">
        <f>IFERROR(__xludf.DUMMYFUNCTION("""COMPUTED_VALUE"""),"Adhesivo Agles Morts 17x25 cm")</f>
        <v>Adhesivo Agles Morts 17x25 cm</v>
      </c>
      <c r="C1790" s="4">
        <f>IFERROR(__xludf.DUMMYFUNCTION("""COMPUTED_VALUE"""),6.0)</f>
        <v>6</v>
      </c>
      <c r="D1790" s="4"/>
      <c r="E1790" s="4" t="str">
        <f>IFERROR(__xludf.DUMMYFUNCTION("""COMPUTED_VALUE"""),"Sin precio neto")</f>
        <v>Sin precio neto</v>
      </c>
    </row>
    <row r="1791">
      <c r="A1791" s="4" t="str">
        <f>IFERROR(__xludf.DUMMYFUNCTION("""COMPUTED_VALUE"""),"844060N1")</f>
        <v>844060N1</v>
      </c>
      <c r="B1791" s="4" t="str">
        <f>IFERROR(__xludf.DUMMYFUNCTION("""COMPUTED_VALUE"""),"Rectangulo MOPU TS 40x60 cm Reflex I")</f>
        <v>Rectangulo MOPU TS 40x60 cm Reflex I</v>
      </c>
      <c r="C1791" s="4">
        <f>IFERROR(__xludf.DUMMYFUNCTION("""COMPUTED_VALUE"""),36.5)</f>
        <v>36.5</v>
      </c>
      <c r="D1791" s="4"/>
      <c r="E1791" s="4" t="str">
        <f>IFERROR(__xludf.DUMMYFUNCTION("""COMPUTED_VALUE"""),"Sin precio neto")</f>
        <v>Sin precio neto</v>
      </c>
    </row>
    <row r="1792">
      <c r="A1792" s="4" t="str">
        <f>IFERROR(__xludf.DUMMYFUNCTION("""COMPUTED_VALUE"""),"844060N2")</f>
        <v>844060N2</v>
      </c>
      <c r="B1792" s="4" t="str">
        <f>IFERROR(__xludf.DUMMYFUNCTION("""COMPUTED_VALUE"""),"Rectangulo MOPU TS 40X60 cm Reflex II")</f>
        <v>Rectangulo MOPU TS 40X60 cm Reflex II</v>
      </c>
      <c r="C1792" s="4">
        <f>IFERROR(__xludf.DUMMYFUNCTION("""COMPUTED_VALUE"""),42.0)</f>
        <v>42</v>
      </c>
      <c r="D1792" s="4"/>
      <c r="E1792" s="4" t="str">
        <f>IFERROR(__xludf.DUMMYFUNCTION("""COMPUTED_VALUE"""),"Sin precio neto")</f>
        <v>Sin precio neto</v>
      </c>
    </row>
    <row r="1793">
      <c r="A1793" s="4" t="str">
        <f>IFERROR(__xludf.DUMMYFUNCTION("""COMPUTED_VALUE"""),"844060N3")</f>
        <v>844060N3</v>
      </c>
      <c r="B1793" s="4" t="str">
        <f>IFERROR(__xludf.DUMMYFUNCTION("""COMPUTED_VALUE"""),"Rectangulo MOPU TS 40X60 cm Reflex III")</f>
        <v>Rectangulo MOPU TS 40X60 cm Reflex III</v>
      </c>
      <c r="C1793" s="4">
        <f>IFERROR(__xludf.DUMMYFUNCTION("""COMPUTED_VALUE"""),62.5)</f>
        <v>62.5</v>
      </c>
      <c r="D1793" s="4"/>
      <c r="E1793" s="4" t="str">
        <f>IFERROR(__xludf.DUMMYFUNCTION("""COMPUTED_VALUE"""),"Sin precio neto")</f>
        <v>Sin precio neto</v>
      </c>
    </row>
    <row r="1794">
      <c r="A1794" s="4" t="str">
        <f>IFERROR(__xludf.DUMMYFUNCTION("""COMPUTED_VALUE"""),"8460120N1")</f>
        <v>8460120N1</v>
      </c>
      <c r="B1794" s="4" t="str">
        <f>IFERROR(__xludf.DUMMYFUNCTION("""COMPUTED_VALUE"""),"Rectangulo MOPU TS 60x120 cm Reflex I")</f>
        <v>Rectangulo MOPU TS 60x120 cm Reflex I</v>
      </c>
      <c r="C1794" s="4">
        <f>IFERROR(__xludf.DUMMYFUNCTION("""COMPUTED_VALUE"""),110.25)</f>
        <v>110.25</v>
      </c>
      <c r="D1794" s="4"/>
      <c r="E1794" s="4" t="str">
        <f>IFERROR(__xludf.DUMMYFUNCTION("""COMPUTED_VALUE"""),"Sin precio neto")</f>
        <v>Sin precio neto</v>
      </c>
    </row>
    <row r="1795">
      <c r="A1795" s="4" t="str">
        <f>IFERROR(__xludf.DUMMYFUNCTION("""COMPUTED_VALUE"""),"8460120N2")</f>
        <v>8460120N2</v>
      </c>
      <c r="B1795" s="4" t="str">
        <f>IFERROR(__xludf.DUMMYFUNCTION("""COMPUTED_VALUE"""),"Rectangulo MOPU TS 60x120 cm Reflex II")</f>
        <v>Rectangulo MOPU TS 60x120 cm Reflex II</v>
      </c>
      <c r="C1795" s="4">
        <f>IFERROR(__xludf.DUMMYFUNCTION("""COMPUTED_VALUE"""),112.0)</f>
        <v>112</v>
      </c>
      <c r="D1795" s="4"/>
      <c r="E1795" s="4" t="str">
        <f>IFERROR(__xludf.DUMMYFUNCTION("""COMPUTED_VALUE"""),"Sin precio neto")</f>
        <v>Sin precio neto</v>
      </c>
    </row>
    <row r="1796">
      <c r="A1796" s="4" t="str">
        <f>IFERROR(__xludf.DUMMYFUNCTION("""COMPUTED_VALUE"""),"8460120N3")</f>
        <v>8460120N3</v>
      </c>
      <c r="B1796" s="4" t="str">
        <f>IFERROR(__xludf.DUMMYFUNCTION("""COMPUTED_VALUE"""),"Rectangulo MOPU TS 60x120 cm Reflex III")</f>
        <v>Rectangulo MOPU TS 60x120 cm Reflex III</v>
      </c>
      <c r="C1796" s="4">
        <f>IFERROR(__xludf.DUMMYFUNCTION("""COMPUTED_VALUE"""),164.0)</f>
        <v>164</v>
      </c>
      <c r="D1796" s="4"/>
      <c r="E1796" s="4" t="str">
        <f>IFERROR(__xludf.DUMMYFUNCTION("""COMPUTED_VALUE"""),"Sin precio neto")</f>
        <v>Sin precio neto</v>
      </c>
    </row>
    <row r="1797">
      <c r="A1797" s="4" t="str">
        <f>IFERROR(__xludf.DUMMYFUNCTION("""COMPUTED_VALUE"""),"846090N1")</f>
        <v>846090N1</v>
      </c>
      <c r="B1797" s="4" t="str">
        <f>IFERROR(__xludf.DUMMYFUNCTION("""COMPUTED_VALUE"""),"Rectangulo MOPU TS 60x90 cm Reflex I")</f>
        <v>Rectangulo MOPU TS 60x90 cm Reflex I</v>
      </c>
      <c r="C1797" s="4">
        <f>IFERROR(__xludf.DUMMYFUNCTION("""COMPUTED_VALUE"""),44.0)</f>
        <v>44</v>
      </c>
      <c r="D1797" s="4"/>
      <c r="E1797" s="4" t="str">
        <f>IFERROR(__xludf.DUMMYFUNCTION("""COMPUTED_VALUE"""),"Sin precio neto")</f>
        <v>Sin precio neto</v>
      </c>
    </row>
    <row r="1798">
      <c r="A1798" s="4" t="str">
        <f>IFERROR(__xludf.DUMMYFUNCTION("""COMPUTED_VALUE"""),"846090N2")</f>
        <v>846090N2</v>
      </c>
      <c r="B1798" s="4" t="str">
        <f>IFERROR(__xludf.DUMMYFUNCTION("""COMPUTED_VALUE"""),"Rectangulo MOPU TS 60x90 cm Reflex II")</f>
        <v>Rectangulo MOPU TS 60x90 cm Reflex II</v>
      </c>
      <c r="C1798" s="4">
        <f>IFERROR(__xludf.DUMMYFUNCTION("""COMPUTED_VALUE"""),88.05)</f>
        <v>88.05</v>
      </c>
      <c r="D1798" s="4"/>
      <c r="E1798" s="4" t="str">
        <f>IFERROR(__xludf.DUMMYFUNCTION("""COMPUTED_VALUE"""),"Sin precio neto")</f>
        <v>Sin precio neto</v>
      </c>
    </row>
    <row r="1799">
      <c r="A1799" s="4" t="str">
        <f>IFERROR(__xludf.DUMMYFUNCTION("""COMPUTED_VALUE"""),"846090N3")</f>
        <v>846090N3</v>
      </c>
      <c r="B1799" s="4" t="str">
        <f>IFERROR(__xludf.DUMMYFUNCTION("""COMPUTED_VALUE"""),"Rectangulo MOPU TS 60x90 cm Reflex III")</f>
        <v>Rectangulo MOPU TS 60x90 cm Reflex III</v>
      </c>
      <c r="C1799" s="4">
        <f>IFERROR(__xludf.DUMMYFUNCTION("""COMPUTED_VALUE"""),115.64)</f>
        <v>115.64</v>
      </c>
      <c r="D1799" s="4"/>
      <c r="E1799" s="4" t="str">
        <f>IFERROR(__xludf.DUMMYFUNCTION("""COMPUTED_VALUE"""),"Sin precio neto")</f>
        <v>Sin precio neto</v>
      </c>
    </row>
    <row r="1800">
      <c r="A1800" s="4" t="str">
        <f>IFERROR(__xludf.DUMMYFUNCTION("""COMPUTED_VALUE"""),"8490135N1")</f>
        <v>8490135N1</v>
      </c>
      <c r="B1800" s="4" t="str">
        <f>IFERROR(__xludf.DUMMYFUNCTION("""COMPUTED_VALUE"""),"Rectangulo MOPU TS 90x135 cm Reflex I")</f>
        <v>Rectangulo MOPU TS 90x135 cm Reflex I</v>
      </c>
      <c r="C1800" s="4">
        <f>IFERROR(__xludf.DUMMYFUNCTION("""COMPUTED_VALUE"""),115.6)</f>
        <v>115.6</v>
      </c>
      <c r="D1800" s="4"/>
      <c r="E1800" s="4" t="str">
        <f>IFERROR(__xludf.DUMMYFUNCTION("""COMPUTED_VALUE"""),"Sin precio neto")</f>
        <v>Sin precio neto</v>
      </c>
    </row>
    <row r="1801">
      <c r="A1801" s="4" t="str">
        <f>IFERROR(__xludf.DUMMYFUNCTION("""COMPUTED_VALUE"""),"8490135N2")</f>
        <v>8490135N2</v>
      </c>
      <c r="B1801" s="4" t="str">
        <f>IFERROR(__xludf.DUMMYFUNCTION("""COMPUTED_VALUE"""),"Rectangulo MOPU TS 90x135 cm Reflex II")</f>
        <v>Rectangulo MOPU TS 90x135 cm Reflex II</v>
      </c>
      <c r="C1801" s="4">
        <f>IFERROR(__xludf.DUMMYFUNCTION("""COMPUTED_VALUE"""),190.78)</f>
        <v>190.78</v>
      </c>
      <c r="D1801" s="4"/>
      <c r="E1801" s="4" t="str">
        <f>IFERROR(__xludf.DUMMYFUNCTION("""COMPUTED_VALUE"""),"Sin precio neto")</f>
        <v>Sin precio neto</v>
      </c>
    </row>
    <row r="1802">
      <c r="A1802" s="4" t="str">
        <f>IFERROR(__xludf.DUMMYFUNCTION("""COMPUTED_VALUE"""),"8490135N3")</f>
        <v>8490135N3</v>
      </c>
      <c r="B1802" s="4" t="str">
        <f>IFERROR(__xludf.DUMMYFUNCTION("""COMPUTED_VALUE"""),"Rectangulo MOPU TS 90x135 cm Reflex III")</f>
        <v>Rectangulo MOPU TS 90x135 cm Reflex III</v>
      </c>
      <c r="C1802" s="4">
        <f>IFERROR(__xludf.DUMMYFUNCTION("""COMPUTED_VALUE"""),257.89)</f>
        <v>257.89</v>
      </c>
      <c r="D1802" s="4"/>
      <c r="E1802" s="4" t="str">
        <f>IFERROR(__xludf.DUMMYFUNCTION("""COMPUTED_VALUE"""),"Sin precio neto")</f>
        <v>Sin precio neto</v>
      </c>
    </row>
    <row r="1803">
      <c r="A1803" s="4" t="str">
        <f>IFERROR(__xludf.DUMMYFUNCTION("""COMPUTED_VALUE"""),"8500N")</f>
        <v>8500N</v>
      </c>
      <c r="B1803" s="4" t="str">
        <f>IFERROR(__xludf.DUMMYFUNCTION("""COMPUTED_VALUE"""),"Señal 30 cm metálica Triangular Normal")</f>
        <v>Señal 30 cm metálica Triangular Normal</v>
      </c>
      <c r="C1803" s="4">
        <f>IFERROR(__xludf.DUMMYFUNCTION("""COMPUTED_VALUE"""),8.25)</f>
        <v>8.25</v>
      </c>
      <c r="D1803" s="4"/>
      <c r="E1803" s="4" t="str">
        <f>IFERROR(__xludf.DUMMYFUNCTION("""COMPUTED_VALUE"""),"Sin precio neto")</f>
        <v>Sin precio neto</v>
      </c>
    </row>
    <row r="1804">
      <c r="A1804" s="4" t="str">
        <f>IFERROR(__xludf.DUMMYFUNCTION("""COMPUTED_VALUE"""),"8500N1")</f>
        <v>8500N1</v>
      </c>
      <c r="B1804" s="4" t="str">
        <f>IFERROR(__xludf.DUMMYFUNCTION("""COMPUTED_VALUE"""),"Señal 30 cm metálica Triangular Nivel 1")</f>
        <v>Señal 30 cm metálica Triangular Nivel 1</v>
      </c>
      <c r="C1804" s="4">
        <f>IFERROR(__xludf.DUMMYFUNCTION("""COMPUTED_VALUE"""),9.25)</f>
        <v>9.25</v>
      </c>
      <c r="D1804" s="4"/>
      <c r="E1804" s="4" t="str">
        <f>IFERROR(__xludf.DUMMYFUNCTION("""COMPUTED_VALUE"""),"Sin precio neto")</f>
        <v>Sin precio neto</v>
      </c>
    </row>
    <row r="1805">
      <c r="A1805" s="4" t="str">
        <f>IFERROR(__xludf.DUMMYFUNCTION("""COMPUTED_VALUE"""),"854020N1")</f>
        <v>854020N1</v>
      </c>
      <c r="B1805" s="4" t="str">
        <f>IFERROR(__xludf.DUMMYFUNCTION("""COMPUTED_VALUE"""),"Cajetin MOPU TS 40x20 cm Reflex I")</f>
        <v>Cajetin MOPU TS 40x20 cm Reflex I</v>
      </c>
      <c r="C1805" s="4">
        <f>IFERROR(__xludf.DUMMYFUNCTION("""COMPUTED_VALUE"""),15.84)</f>
        <v>15.84</v>
      </c>
      <c r="D1805" s="4"/>
      <c r="E1805" s="4" t="str">
        <f>IFERROR(__xludf.DUMMYFUNCTION("""COMPUTED_VALUE"""),"Sin precio neto")</f>
        <v>Sin precio neto</v>
      </c>
    </row>
    <row r="1806">
      <c r="A1806" s="4" t="str">
        <f>IFERROR(__xludf.DUMMYFUNCTION("""COMPUTED_VALUE"""),"854020N2")</f>
        <v>854020N2</v>
      </c>
      <c r="B1806" s="4" t="str">
        <f>IFERROR(__xludf.DUMMYFUNCTION("""COMPUTED_VALUE"""),"Cajetin MOPU TS 40x20 cm Reflex II")</f>
        <v>Cajetin MOPU TS 40x20 cm Reflex II</v>
      </c>
      <c r="C1806" s="4">
        <f>IFERROR(__xludf.DUMMYFUNCTION("""COMPUTED_VALUE"""),23.0)</f>
        <v>23</v>
      </c>
      <c r="D1806" s="4"/>
      <c r="E1806" s="4" t="str">
        <f>IFERROR(__xludf.DUMMYFUNCTION("""COMPUTED_VALUE"""),"Sin precio neto")</f>
        <v>Sin precio neto</v>
      </c>
    </row>
    <row r="1807">
      <c r="A1807" s="4" t="str">
        <f>IFERROR(__xludf.DUMMYFUNCTION("""COMPUTED_VALUE"""),"854020N3")</f>
        <v>854020N3</v>
      </c>
      <c r="B1807" s="4" t="str">
        <f>IFERROR(__xludf.DUMMYFUNCTION("""COMPUTED_VALUE"""),"Cajetin MOPU TS 40x20 cm Reflex III")</f>
        <v>Cajetin MOPU TS 40x20 cm Reflex III</v>
      </c>
      <c r="C1807" s="4">
        <f>IFERROR(__xludf.DUMMYFUNCTION("""COMPUTED_VALUE"""),28.32)</f>
        <v>28.32</v>
      </c>
      <c r="D1807" s="4"/>
      <c r="E1807" s="4" t="str">
        <f>IFERROR(__xludf.DUMMYFUNCTION("""COMPUTED_VALUE"""),"Sin precio neto")</f>
        <v>Sin precio neto</v>
      </c>
    </row>
    <row r="1808">
      <c r="A1808" s="4" t="str">
        <f>IFERROR(__xludf.DUMMYFUNCTION("""COMPUTED_VALUE"""),"856020N1")</f>
        <v>856020N1</v>
      </c>
      <c r="B1808" s="4" t="str">
        <f>IFERROR(__xludf.DUMMYFUNCTION("""COMPUTED_VALUE"""),"Cajetin MOPU TS 60x20 cm Reflex I")</f>
        <v>Cajetin MOPU TS 60x20 cm Reflex I</v>
      </c>
      <c r="C1808" s="4">
        <f>IFERROR(__xludf.DUMMYFUNCTION("""COMPUTED_VALUE"""),21.0)</f>
        <v>21</v>
      </c>
      <c r="D1808" s="4"/>
      <c r="E1808" s="4" t="str">
        <f>IFERROR(__xludf.DUMMYFUNCTION("""COMPUTED_VALUE"""),"Sin precio neto")</f>
        <v>Sin precio neto</v>
      </c>
    </row>
    <row r="1809">
      <c r="A1809" s="4" t="str">
        <f>IFERROR(__xludf.DUMMYFUNCTION("""COMPUTED_VALUE"""),"856030N1")</f>
        <v>856030N1</v>
      </c>
      <c r="B1809" s="4" t="str">
        <f>IFERROR(__xludf.DUMMYFUNCTION("""COMPUTED_VALUE"""),"Cajetin MOPU TS 60x30 cm Reflex I")</f>
        <v>Cajetin MOPU TS 60x30 cm Reflex I</v>
      </c>
      <c r="C1809" s="4">
        <f>IFERROR(__xludf.DUMMYFUNCTION("""COMPUTED_VALUE"""),21.25)</f>
        <v>21.25</v>
      </c>
      <c r="D1809" s="4"/>
      <c r="E1809" s="4" t="str">
        <f>IFERROR(__xludf.DUMMYFUNCTION("""COMPUTED_VALUE"""),"Sin precio neto")</f>
        <v>Sin precio neto</v>
      </c>
    </row>
    <row r="1810">
      <c r="A1810" s="4" t="str">
        <f>IFERROR(__xludf.DUMMYFUNCTION("""COMPUTED_VALUE"""),"856030N2")</f>
        <v>856030N2</v>
      </c>
      <c r="B1810" s="4" t="str">
        <f>IFERROR(__xludf.DUMMYFUNCTION("""COMPUTED_VALUE"""),"Cajetin MOPU TS 60x30 cm Reflex II")</f>
        <v>Cajetin MOPU TS 60x30 cm Reflex II</v>
      </c>
      <c r="C1810" s="4">
        <f>IFERROR(__xludf.DUMMYFUNCTION("""COMPUTED_VALUE"""),36.53)</f>
        <v>36.53</v>
      </c>
      <c r="D1810" s="4"/>
      <c r="E1810" s="4" t="str">
        <f>IFERROR(__xludf.DUMMYFUNCTION("""COMPUTED_VALUE"""),"Sin precio neto")</f>
        <v>Sin precio neto</v>
      </c>
    </row>
    <row r="1811">
      <c r="A1811" s="4" t="str">
        <f>IFERROR(__xludf.DUMMYFUNCTION("""COMPUTED_VALUE"""),"856030N3")</f>
        <v>856030N3</v>
      </c>
      <c r="B1811" s="4" t="str">
        <f>IFERROR(__xludf.DUMMYFUNCTION("""COMPUTED_VALUE"""),"Cajetin MOPU TS 60x30 cm Reflex III")</f>
        <v>Cajetin MOPU TS 60x30 cm Reflex III</v>
      </c>
      <c r="C1811" s="4">
        <f>IFERROR(__xludf.DUMMYFUNCTION("""COMPUTED_VALUE"""),46.25)</f>
        <v>46.25</v>
      </c>
      <c r="D1811" s="4"/>
      <c r="E1811" s="4" t="str">
        <f>IFERROR(__xludf.DUMMYFUNCTION("""COMPUTED_VALUE"""),"Sin precio neto")</f>
        <v>Sin precio neto</v>
      </c>
    </row>
    <row r="1812">
      <c r="A1812" s="4" t="str">
        <f>IFERROR(__xludf.DUMMYFUNCTION("""COMPUTED_VALUE"""),"8600N")</f>
        <v>8600N</v>
      </c>
      <c r="B1812" s="4" t="str">
        <f>IFERROR(__xludf.DUMMYFUNCTION("""COMPUTED_VALUE"""),"Señal 30 cm metálica Circular Normal")</f>
        <v>Señal 30 cm metálica Circular Normal</v>
      </c>
      <c r="C1812" s="4">
        <f>IFERROR(__xludf.DUMMYFUNCTION("""COMPUTED_VALUE"""),8.25)</f>
        <v>8.25</v>
      </c>
      <c r="D1812" s="4"/>
      <c r="E1812" s="4" t="str">
        <f>IFERROR(__xludf.DUMMYFUNCTION("""COMPUTED_VALUE"""),"Sin precio neto")</f>
        <v>Sin precio neto</v>
      </c>
    </row>
    <row r="1813">
      <c r="A1813" s="4" t="str">
        <f>IFERROR(__xludf.DUMMYFUNCTION("""COMPUTED_VALUE"""),"8600N1")</f>
        <v>8600N1</v>
      </c>
      <c r="B1813" s="4" t="str">
        <f>IFERROR(__xludf.DUMMYFUNCTION("""COMPUTED_VALUE"""),"Señal 30 cm metálica Circular Nivel 1")</f>
        <v>Señal 30 cm metálica Circular Nivel 1</v>
      </c>
      <c r="C1813" s="4">
        <f>IFERROR(__xludf.DUMMYFUNCTION("""COMPUTED_VALUE"""),9.25)</f>
        <v>9.25</v>
      </c>
      <c r="D1813" s="4"/>
      <c r="E1813" s="4" t="str">
        <f>IFERROR(__xludf.DUMMYFUNCTION("""COMPUTED_VALUE"""),"Sin precio neto")</f>
        <v>Sin precio neto</v>
      </c>
    </row>
    <row r="1814">
      <c r="A1814" s="4" t="str">
        <f>IFERROR(__xludf.DUMMYFUNCTION("""COMPUTED_VALUE"""),"8700N")</f>
        <v>8700N</v>
      </c>
      <c r="B1814" s="4" t="str">
        <f>IFERROR(__xludf.DUMMYFUNCTION("""COMPUTED_VALUE"""),"Señal 30 cm metálica Cuadrado Normal")</f>
        <v>Señal 30 cm metálica Cuadrado Normal</v>
      </c>
      <c r="C1814" s="4">
        <f>IFERROR(__xludf.DUMMYFUNCTION("""COMPUTED_VALUE"""),8.25)</f>
        <v>8.25</v>
      </c>
      <c r="D1814" s="4"/>
      <c r="E1814" s="4" t="str">
        <f>IFERROR(__xludf.DUMMYFUNCTION("""COMPUTED_VALUE"""),"Sin precio neto")</f>
        <v>Sin precio neto</v>
      </c>
    </row>
    <row r="1815">
      <c r="A1815" s="4" t="str">
        <f>IFERROR(__xludf.DUMMYFUNCTION("""COMPUTED_VALUE"""),"8700N1")</f>
        <v>8700N1</v>
      </c>
      <c r="B1815" s="4" t="str">
        <f>IFERROR(__xludf.DUMMYFUNCTION("""COMPUTED_VALUE"""),"Señal 30 cm metálica Rectangular Nivel 1")</f>
        <v>Señal 30 cm metálica Rectangular Nivel 1</v>
      </c>
      <c r="C1815" s="4">
        <f>IFERROR(__xludf.DUMMYFUNCTION("""COMPUTED_VALUE"""),9.25)</f>
        <v>9.25</v>
      </c>
      <c r="D1815" s="4"/>
      <c r="E1815" s="4" t="str">
        <f>IFERROR(__xludf.DUMMYFUNCTION("""COMPUTED_VALUE"""),"Sin precio neto")</f>
        <v>Sin precio neto</v>
      </c>
    </row>
    <row r="1816">
      <c r="A1816" s="4" t="str">
        <f>IFERROR(__xludf.DUMMYFUNCTION("""COMPUTED_VALUE"""),"8716545N1")</f>
        <v>8716545N1</v>
      </c>
      <c r="B1816" s="4" t="str">
        <f>IFERROR(__xludf.DUMMYFUNCTION("""COMPUTED_VALUE"""),"Panel direccional estrecho R/B TB-2 165x45 cm Reflex I")</f>
        <v>Panel direccional estrecho R/B TB-2 165x45 cm Reflex I</v>
      </c>
      <c r="C1816" s="4">
        <f>IFERROR(__xludf.DUMMYFUNCTION("""COMPUTED_VALUE"""),74.67)</f>
        <v>74.67</v>
      </c>
      <c r="D1816" s="4"/>
      <c r="E1816" s="4" t="str">
        <f>IFERROR(__xludf.DUMMYFUNCTION("""COMPUTED_VALUE"""),"Sin precio neto")</f>
        <v>Sin precio neto</v>
      </c>
    </row>
    <row r="1817">
      <c r="A1817" s="4" t="str">
        <f>IFERROR(__xludf.DUMMYFUNCTION("""COMPUTED_VALUE"""),"8716545N2")</f>
        <v>8716545N2</v>
      </c>
      <c r="B1817" s="4" t="str">
        <f>IFERROR(__xludf.DUMMYFUNCTION("""COMPUTED_VALUE"""),"Panel direccional estrecho R/B TB-2 165x45 cm Reflex II")</f>
        <v>Panel direccional estrecho R/B TB-2 165x45 cm Reflex II</v>
      </c>
      <c r="C1817" s="4">
        <f>IFERROR(__xludf.DUMMYFUNCTION("""COMPUTED_VALUE"""),89.75)</f>
        <v>89.75</v>
      </c>
      <c r="D1817" s="4"/>
      <c r="E1817" s="4" t="str">
        <f>IFERROR(__xludf.DUMMYFUNCTION("""COMPUTED_VALUE"""),"Sin precio neto")</f>
        <v>Sin precio neto</v>
      </c>
    </row>
    <row r="1818">
      <c r="A1818" s="4" t="str">
        <f>IFERROR(__xludf.DUMMYFUNCTION("""COMPUTED_VALUE"""),"8716545N3")</f>
        <v>8716545N3</v>
      </c>
      <c r="B1818" s="4" t="str">
        <f>IFERROR(__xludf.DUMMYFUNCTION("""COMPUTED_VALUE"""),"Panle direccional estrecho R/B TB-2 165x45 cm Reflex III")</f>
        <v>Panle direccional estrecho R/B TB-2 165x45 cm Reflex III</v>
      </c>
      <c r="C1818" s="4">
        <f>IFERROR(__xludf.DUMMYFUNCTION("""COMPUTED_VALUE"""),124.68)</f>
        <v>124.68</v>
      </c>
      <c r="D1818" s="4"/>
      <c r="E1818" s="4" t="str">
        <f>IFERROR(__xludf.DUMMYFUNCTION("""COMPUTED_VALUE"""),"Sin precio neto")</f>
        <v>Sin precio neto</v>
      </c>
    </row>
    <row r="1819">
      <c r="A1819" s="4" t="str">
        <f>IFERROR(__xludf.DUMMYFUNCTION("""COMPUTED_VALUE"""),"8719595N1")</f>
        <v>8719595N1</v>
      </c>
      <c r="B1819" s="4" t="str">
        <f>IFERROR(__xludf.DUMMYFUNCTION("""COMPUTED_VALUE"""),"Panel direccional alto R/B TB-1 195x95 cm Reflex I")</f>
        <v>Panel direccional alto R/B TB-1 195x95 cm Reflex I</v>
      </c>
      <c r="C1819" s="4">
        <f>IFERROR(__xludf.DUMMYFUNCTION("""COMPUTED_VALUE"""),206.85)</f>
        <v>206.85</v>
      </c>
      <c r="D1819" s="4"/>
      <c r="E1819" s="4" t="str">
        <f>IFERROR(__xludf.DUMMYFUNCTION("""COMPUTED_VALUE"""),"Sin precio neto")</f>
        <v>Sin precio neto</v>
      </c>
    </row>
    <row r="1820">
      <c r="A1820" s="4" t="str">
        <f>IFERROR(__xludf.DUMMYFUNCTION("""COMPUTED_VALUE"""),"8719595N2")</f>
        <v>8719595N2</v>
      </c>
      <c r="B1820" s="4" t="str">
        <f>IFERROR(__xludf.DUMMYFUNCTION("""COMPUTED_VALUE"""),"Panel direccional alto R/B TB-1 195x95 cm Reflex II")</f>
        <v>Panel direccional alto R/B TB-1 195x95 cm Reflex II</v>
      </c>
      <c r="C1820" s="4">
        <f>IFERROR(__xludf.DUMMYFUNCTION("""COMPUTED_VALUE"""),241.0)</f>
        <v>241</v>
      </c>
      <c r="D1820" s="4"/>
      <c r="E1820" s="4" t="str">
        <f>IFERROR(__xludf.DUMMYFUNCTION("""COMPUTED_VALUE"""),"Sin precio neto")</f>
        <v>Sin precio neto</v>
      </c>
    </row>
    <row r="1821">
      <c r="A1821" s="4" t="str">
        <f>IFERROR(__xludf.DUMMYFUNCTION("""COMPUTED_VALUE"""),"8719595N3")</f>
        <v>8719595N3</v>
      </c>
      <c r="B1821" s="4" t="str">
        <f>IFERROR(__xludf.DUMMYFUNCTION("""COMPUTED_VALUE"""),"Panel direccional alto R/B TB-1 195x95 cm Reflex III")</f>
        <v>Panel direccional alto R/B TB-1 195x95 cm Reflex III</v>
      </c>
      <c r="C1821" s="4">
        <f>IFERROR(__xludf.DUMMYFUNCTION("""COMPUTED_VALUE"""),320.45)</f>
        <v>320.45</v>
      </c>
      <c r="D1821" s="4"/>
      <c r="E1821" s="4" t="str">
        <f>IFERROR(__xludf.DUMMYFUNCTION("""COMPUTED_VALUE"""),"Sin precio neto")</f>
        <v>Sin precio neto</v>
      </c>
    </row>
    <row r="1822">
      <c r="A1822" s="4" t="str">
        <f>IFERROR(__xludf.DUMMYFUNCTION("""COMPUTED_VALUE"""),"878040N1")</f>
        <v>878040N1</v>
      </c>
      <c r="B1822" s="4" t="str">
        <f>IFERROR(__xludf.DUMMYFUNCTION("""COMPUTED_VALUE"""),"Panel direccional estrecho R/B TB-2 80x40 cm Reflex I")</f>
        <v>Panel direccional estrecho R/B TB-2 80x40 cm Reflex I</v>
      </c>
      <c r="C1822" s="4">
        <f>IFERROR(__xludf.DUMMYFUNCTION("""COMPUTED_VALUE"""),43.0)</f>
        <v>43</v>
      </c>
      <c r="D1822" s="4"/>
      <c r="E1822" s="4" t="str">
        <f>IFERROR(__xludf.DUMMYFUNCTION("""COMPUTED_VALUE"""),"Sin precio neto")</f>
        <v>Sin precio neto</v>
      </c>
    </row>
    <row r="1823">
      <c r="A1823" s="4" t="str">
        <f>IFERROR(__xludf.DUMMYFUNCTION("""COMPUTED_VALUE"""),"878040N2")</f>
        <v>878040N2</v>
      </c>
      <c r="B1823" s="4" t="str">
        <f>IFERROR(__xludf.DUMMYFUNCTION("""COMPUTED_VALUE"""),"Panel direccional estrecho R/B TB-2 80x40 cm Reflex II")</f>
        <v>Panel direccional estrecho R/B TB-2 80x40 cm Reflex II</v>
      </c>
      <c r="C1823" s="4">
        <f>IFERROR(__xludf.DUMMYFUNCTION("""COMPUTED_VALUE"""),66.2)</f>
        <v>66.2</v>
      </c>
      <c r="D1823" s="4"/>
      <c r="E1823" s="4" t="str">
        <f>IFERROR(__xludf.DUMMYFUNCTION("""COMPUTED_VALUE"""),"Sin precio neto")</f>
        <v>Sin precio neto</v>
      </c>
    </row>
    <row r="1824">
      <c r="A1824" s="4" t="str">
        <f>IFERROR(__xludf.DUMMYFUNCTION("""COMPUTED_VALUE"""),"878040N3")</f>
        <v>878040N3</v>
      </c>
      <c r="B1824" s="4" t="str">
        <f>IFERROR(__xludf.DUMMYFUNCTION("""COMPUTED_VALUE"""),"Panel direccional estrecho R/B TB-2 80x40 cm Reflex III")</f>
        <v>Panel direccional estrecho R/B TB-2 80x40 cm Reflex III</v>
      </c>
      <c r="C1824" s="4">
        <f>IFERROR(__xludf.DUMMYFUNCTION("""COMPUTED_VALUE"""),81.4)</f>
        <v>81.4</v>
      </c>
      <c r="D1824" s="4"/>
      <c r="E1824" s="4" t="str">
        <f>IFERROR(__xludf.DUMMYFUNCTION("""COMPUTED_VALUE"""),"Sin precio neto")</f>
        <v>Sin precio neto</v>
      </c>
    </row>
    <row r="1825">
      <c r="A1825" s="4" t="str">
        <f>IFERROR(__xludf.DUMMYFUNCTION("""COMPUTED_VALUE"""),"8800N")</f>
        <v>8800N</v>
      </c>
      <c r="B1825" s="4" t="str">
        <f>IFERROR(__xludf.DUMMYFUNCTION("""COMPUTED_VALUE"""),"Señal 30 cm metálica STOP Normal")</f>
        <v>Señal 30 cm metálica STOP Normal</v>
      </c>
      <c r="C1825" s="4">
        <f>IFERROR(__xludf.DUMMYFUNCTION("""COMPUTED_VALUE"""),8.25)</f>
        <v>8.25</v>
      </c>
      <c r="D1825" s="4"/>
      <c r="E1825" s="4" t="str">
        <f>IFERROR(__xludf.DUMMYFUNCTION("""COMPUTED_VALUE"""),"Sin precio neto")</f>
        <v>Sin precio neto</v>
      </c>
    </row>
    <row r="1826">
      <c r="A1826" s="4" t="str">
        <f>IFERROR(__xludf.DUMMYFUNCTION("""COMPUTED_VALUE"""),"8800N1")</f>
        <v>8800N1</v>
      </c>
      <c r="B1826" s="4" t="str">
        <f>IFERROR(__xludf.DUMMYFUNCTION("""COMPUTED_VALUE"""),"Señal 30 cm metálica STOP Nivel 1")</f>
        <v>Señal 30 cm metálica STOP Nivel 1</v>
      </c>
      <c r="C1826" s="4">
        <f>IFERROR(__xludf.DUMMYFUNCTION("""COMPUTED_VALUE"""),9.25)</f>
        <v>9.25</v>
      </c>
      <c r="D1826" s="4"/>
      <c r="E1826" s="4" t="str">
        <f>IFERROR(__xludf.DUMMYFUNCTION("""COMPUTED_VALUE"""),"Sin precio neto")</f>
        <v>Sin precio neto</v>
      </c>
    </row>
    <row r="1827">
      <c r="A1827" s="4" t="str">
        <f>IFERROR(__xludf.DUMMYFUNCTION("""COMPUTED_VALUE"""),"88140251")</f>
        <v>88140251</v>
      </c>
      <c r="B1827" s="4" t="str">
        <f>IFERROR(__xludf.DUMMYFUNCTION("""COMPUTED_VALUE"""),"Valla movil para obras TB-5")</f>
        <v>Valla movil para obras TB-5</v>
      </c>
      <c r="C1827" s="4">
        <f>IFERROR(__xludf.DUMMYFUNCTION("""COMPUTED_VALUE"""),80.95)</f>
        <v>80.95</v>
      </c>
      <c r="D1827" s="4"/>
      <c r="E1827" s="4" t="str">
        <f>IFERROR(__xludf.DUMMYFUNCTION("""COMPUTED_VALUE"""),"Sin precio neto")</f>
        <v>Sin precio neto</v>
      </c>
    </row>
    <row r="1828">
      <c r="A1828" s="4" t="str">
        <f>IFERROR(__xludf.DUMMYFUNCTION("""COMPUTED_VALUE"""),"8819560N1")</f>
        <v>8819560N1</v>
      </c>
      <c r="B1828" s="4" t="str">
        <f>IFERROR(__xludf.DUMMYFUNCTION("""COMPUTED_VALUE"""),"Panel Hastial 195x60 cm Reflex I 50%")</f>
        <v>Panel Hastial 195x60 cm Reflex I 50%</v>
      </c>
      <c r="C1828" s="4">
        <f>IFERROR(__xludf.DUMMYFUNCTION("""COMPUTED_VALUE"""),134.0)</f>
        <v>134</v>
      </c>
      <c r="D1828" s="4"/>
      <c r="E1828" s="4" t="str">
        <f>IFERROR(__xludf.DUMMYFUNCTION("""COMPUTED_VALUE"""),"Sin precio neto")</f>
        <v>Sin precio neto</v>
      </c>
    </row>
    <row r="1829">
      <c r="A1829" s="4" t="str">
        <f>IFERROR(__xludf.DUMMYFUNCTION("""COMPUTED_VALUE"""),"883010N1")</f>
        <v>883010N1</v>
      </c>
      <c r="B1829" s="4" t="str">
        <f>IFERROR(__xludf.DUMMYFUNCTION("""COMPUTED_VALUE"""),"Piqueta 30x10 cm TB-7 NI")</f>
        <v>Piqueta 30x10 cm TB-7 NI</v>
      </c>
      <c r="C1829" s="4">
        <f>IFERROR(__xludf.DUMMYFUNCTION("""COMPUTED_VALUE"""),11.75)</f>
        <v>11.75</v>
      </c>
      <c r="D1829" s="4"/>
      <c r="E1829" s="4" t="str">
        <f>IFERROR(__xludf.DUMMYFUNCTION("""COMPUTED_VALUE"""),"Sin precio neto")</f>
        <v>Sin precio neto</v>
      </c>
    </row>
    <row r="1830">
      <c r="A1830" s="4" t="str">
        <f>IFERROR(__xludf.DUMMYFUNCTION("""COMPUTED_VALUE"""),"884030N1")</f>
        <v>884030N1</v>
      </c>
      <c r="B1830" s="4" t="str">
        <f>IFERROR(__xludf.DUMMYFUNCTION("""COMPUTED_VALUE"""),"Plac 40x30 cm Escalon Lateral c/piqueta Reflex")</f>
        <v>Plac 40x30 cm Escalon Lateral c/piqueta Reflex</v>
      </c>
      <c r="C1830" s="4">
        <f>IFERROR(__xludf.DUMMYFUNCTION("""COMPUTED_VALUE"""),24.3)</f>
        <v>24.3</v>
      </c>
      <c r="D1830" s="4"/>
      <c r="E1830" s="4" t="str">
        <f>IFERROR(__xludf.DUMMYFUNCTION("""COMPUTED_VALUE"""),"Sin precio neto")</f>
        <v>Sin precio neto</v>
      </c>
    </row>
    <row r="1831">
      <c r="A1831" s="4" t="str">
        <f>IFERROR(__xludf.DUMMYFUNCTION("""COMPUTED_VALUE"""),"8840N1")</f>
        <v>8840N1</v>
      </c>
      <c r="B1831" s="4" t="str">
        <f>IFERROR(__xludf.DUMMYFUNCTION("""COMPUTED_VALUE"""),"Piqueta 40 cm de jalonamiento TB-11 Reflex")</f>
        <v>Piqueta 40 cm de jalonamiento TB-11 Reflex</v>
      </c>
      <c r="C1831" s="4">
        <f>IFERROR(__xludf.DUMMYFUNCTION("""COMPUTED_VALUE"""),8.8)</f>
        <v>8.8</v>
      </c>
      <c r="D1831" s="4"/>
      <c r="E1831" s="4" t="str">
        <f>IFERROR(__xludf.DUMMYFUNCTION("""COMPUTED_VALUE"""),"Sin precio neto")</f>
        <v>Sin precio neto</v>
      </c>
    </row>
    <row r="1832">
      <c r="A1832" s="4" t="str">
        <f>IFERROR(__xludf.DUMMYFUNCTION("""COMPUTED_VALUE"""),"887015DN1")</f>
        <v>887015DN1</v>
      </c>
      <c r="B1832" s="4" t="str">
        <f>IFERROR(__xludf.DUMMYFUNCTION("""COMPUTED_VALUE"""),"Baliza de señalizacion obra TB-8 NI Derecha")</f>
        <v>Baliza de señalizacion obra TB-8 NI Derecha</v>
      </c>
      <c r="C1832" s="4">
        <f>IFERROR(__xludf.DUMMYFUNCTION("""COMPUTED_VALUE"""),39.25)</f>
        <v>39.25</v>
      </c>
      <c r="D1832" s="4"/>
      <c r="E1832" s="4" t="str">
        <f>IFERROR(__xludf.DUMMYFUNCTION("""COMPUTED_VALUE"""),"Sin precio neto")</f>
        <v>Sin precio neto</v>
      </c>
    </row>
    <row r="1833">
      <c r="A1833" s="4" t="str">
        <f>IFERROR(__xludf.DUMMYFUNCTION("""COMPUTED_VALUE"""),"887015IN1")</f>
        <v>887015IN1</v>
      </c>
      <c r="B1833" s="4" t="str">
        <f>IFERROR(__xludf.DUMMYFUNCTION("""COMPUTED_VALUE"""),"Baliza de señalizacion obra TB-9 NI Izquierda")</f>
        <v>Baliza de señalizacion obra TB-9 NI Izquierda</v>
      </c>
      <c r="C1833" s="4">
        <f>IFERROR(__xludf.DUMMYFUNCTION("""COMPUTED_VALUE"""),39.25)</f>
        <v>39.25</v>
      </c>
      <c r="D1833" s="4"/>
      <c r="E1833" s="4" t="str">
        <f>IFERROR(__xludf.DUMMYFUNCTION("""COMPUTED_VALUE"""),"Sin precio neto")</f>
        <v>Sin precio neto</v>
      </c>
    </row>
    <row r="1834">
      <c r="A1834" s="4" t="str">
        <f>IFERROR(__xludf.DUMMYFUNCTION("""COMPUTED_VALUE"""),"889530N1")</f>
        <v>889530N1</v>
      </c>
      <c r="B1834" s="4" t="str">
        <f>IFERROR(__xludf.DUMMYFUNCTION("""COMPUTED_VALUE"""),"Panel Hastial 95x30 cm Reflex I 50%")</f>
        <v>Panel Hastial 95x30 cm Reflex I 50%</v>
      </c>
      <c r="C1834" s="4">
        <f>IFERROR(__xludf.DUMMYFUNCTION("""COMPUTED_VALUE"""),58.0)</f>
        <v>58</v>
      </c>
      <c r="D1834" s="4"/>
      <c r="E1834" s="4" t="str">
        <f>IFERROR(__xludf.DUMMYFUNCTION("""COMPUTED_VALUE"""),"Sin precio neto")</f>
        <v>Sin precio neto</v>
      </c>
    </row>
    <row r="1835">
      <c r="A1835" s="4" t="str">
        <f>IFERROR(__xludf.DUMMYFUNCTION("""COMPUTED_VALUE"""),"889530N2")</f>
        <v>889530N2</v>
      </c>
      <c r="B1835" s="4" t="str">
        <f>IFERROR(__xludf.DUMMYFUNCTION("""COMPUTED_VALUE"""),"Panel Hastial 95x30 cm Reflex II 50%")</f>
        <v>Panel Hastial 95x30 cm Reflex II 50%</v>
      </c>
      <c r="C1835" s="4">
        <f>IFERROR(__xludf.DUMMYFUNCTION("""COMPUTED_VALUE"""),69.0)</f>
        <v>69</v>
      </c>
      <c r="D1835" s="4"/>
      <c r="E1835" s="4" t="str">
        <f>IFERROR(__xludf.DUMMYFUNCTION("""COMPUTED_VALUE"""),"Sin precio neto")</f>
        <v>Sin precio neto</v>
      </c>
    </row>
    <row r="1836">
      <c r="A1836" s="4" t="str">
        <f>IFERROR(__xludf.DUMMYFUNCTION("""COMPUTED_VALUE"""),"9000")</f>
        <v>9000</v>
      </c>
      <c r="B1836" s="4" t="str">
        <f>IFERROR(__xludf.DUMMYFUNCTION("""COMPUTED_VALUE"""),"Reductor velocidad 60x50x4.5 cm Mod. G")</f>
        <v>Reductor velocidad 60x50x4.5 cm Mod. G</v>
      </c>
      <c r="C1836" s="4">
        <f>IFERROR(__xludf.DUMMYFUNCTION("""COMPUTED_VALUE"""),21.25)</f>
        <v>21.25</v>
      </c>
      <c r="D1836" s="4"/>
      <c r="E1836" s="4" t="str">
        <f>IFERROR(__xludf.DUMMYFUNCTION("""COMPUTED_VALUE"""),"Sin precio neto")</f>
        <v>Sin precio neto</v>
      </c>
    </row>
    <row r="1837">
      <c r="A1837" s="4" t="str">
        <f>IFERROR(__xludf.DUMMYFUNCTION("""COMPUTED_VALUE"""),"9001")</f>
        <v>9001</v>
      </c>
      <c r="B1837" s="4" t="str">
        <f>IFERROR(__xludf.DUMMYFUNCTION("""COMPUTED_VALUE"""),"Extremo reductor veloc. 60x25x4,5 cm Mod. G")</f>
        <v>Extremo reductor veloc. 60x25x4,5 cm Mod. G</v>
      </c>
      <c r="C1837" s="4">
        <f>IFERROR(__xludf.DUMMYFUNCTION("""COMPUTED_VALUE"""),13.75)</f>
        <v>13.75</v>
      </c>
      <c r="D1837" s="4"/>
      <c r="E1837" s="4" t="str">
        <f>IFERROR(__xludf.DUMMYFUNCTION("""COMPUTED_VALUE"""),"Sin precio neto")</f>
        <v>Sin precio neto</v>
      </c>
    </row>
    <row r="1838">
      <c r="A1838" s="4" t="str">
        <f>IFERROR(__xludf.DUMMYFUNCTION("""COMPUTED_VALUE"""),"9004")</f>
        <v>9004</v>
      </c>
      <c r="B1838" s="4" t="str">
        <f>IFERROR(__xludf.DUMMYFUNCTION("""COMPUTED_VALUE"""),"Reductor velocidad 40x50x4.5 cm Mod. F")</f>
        <v>Reductor velocidad 40x50x4.5 cm Mod. F</v>
      </c>
      <c r="C1838" s="4">
        <f>IFERROR(__xludf.DUMMYFUNCTION("""COMPUTED_VALUE"""),18.35)</f>
        <v>18.35</v>
      </c>
      <c r="D1838" s="4"/>
      <c r="E1838" s="4" t="str">
        <f>IFERROR(__xludf.DUMMYFUNCTION("""COMPUTED_VALUE"""),"Sin precio neto")</f>
        <v>Sin precio neto</v>
      </c>
    </row>
    <row r="1839">
      <c r="A1839" s="4" t="str">
        <f>IFERROR(__xludf.DUMMYFUNCTION("""COMPUTED_VALUE"""),"9005")</f>
        <v>9005</v>
      </c>
      <c r="B1839" s="4" t="str">
        <f>IFERROR(__xludf.DUMMYFUNCTION("""COMPUTED_VALUE"""),"Extremo reductor veloc. 40x25x4.5 cm Mod. F")</f>
        <v>Extremo reductor veloc. 40x25x4.5 cm Mod. F</v>
      </c>
      <c r="C1839" s="4">
        <f>IFERROR(__xludf.DUMMYFUNCTION("""COMPUTED_VALUE"""),12.75)</f>
        <v>12.75</v>
      </c>
      <c r="D1839" s="4"/>
      <c r="E1839" s="4" t="str">
        <f>IFERROR(__xludf.DUMMYFUNCTION("""COMPUTED_VALUE"""),"Sin precio neto")</f>
        <v>Sin precio neto</v>
      </c>
    </row>
    <row r="1840">
      <c r="A1840" s="4" t="str">
        <f>IFERROR(__xludf.DUMMYFUNCTION("""COMPUTED_VALUE"""),"9006")</f>
        <v>9006</v>
      </c>
      <c r="B1840" s="4" t="str">
        <f>IFERROR(__xludf.DUMMYFUNCTION("""COMPUTED_VALUE"""),"Reductor velocidad 30x33x4 cm Mod. E")</f>
        <v>Reductor velocidad 30x33x4 cm Mod. E</v>
      </c>
      <c r="C1840" s="4">
        <f>IFERROR(__xludf.DUMMYFUNCTION("""COMPUTED_VALUE"""),14.65)</f>
        <v>14.65</v>
      </c>
      <c r="D1840" s="4"/>
      <c r="E1840" s="4" t="str">
        <f>IFERROR(__xludf.DUMMYFUNCTION("""COMPUTED_VALUE"""),"Sin precio neto")</f>
        <v>Sin precio neto</v>
      </c>
    </row>
    <row r="1841">
      <c r="A1841" s="4" t="str">
        <f>IFERROR(__xludf.DUMMYFUNCTION("""COMPUTED_VALUE"""),"9007")</f>
        <v>9007</v>
      </c>
      <c r="B1841" s="4" t="str">
        <f>IFERROR(__xludf.DUMMYFUNCTION("""COMPUTED_VALUE"""),"Extremo reductor velocid. 30x15x4 cm Mod. E")</f>
        <v>Extremo reductor velocid. 30x15x4 cm Mod. E</v>
      </c>
      <c r="C1841" s="4">
        <f>IFERROR(__xludf.DUMMYFUNCTION("""COMPUTED_VALUE"""),9.4)</f>
        <v>9.4</v>
      </c>
      <c r="D1841" s="4"/>
      <c r="E1841" s="4" t="str">
        <f>IFERROR(__xludf.DUMMYFUNCTION("""COMPUTED_VALUE"""),"Sin precio neto")</f>
        <v>Sin precio neto</v>
      </c>
    </row>
    <row r="1842">
      <c r="A1842" s="4" t="str">
        <f>IFERROR(__xludf.DUMMYFUNCTION("""COMPUTED_VALUE"""),"9008")</f>
        <v>9008</v>
      </c>
      <c r="B1842" s="4" t="str">
        <f>IFERROR(__xludf.DUMMYFUNCTION("""COMPUTED_VALUE"""),"Reductor velocidad 90x50x5 cm Mod. H")</f>
        <v>Reductor velocidad 90x50x5 cm Mod. H</v>
      </c>
      <c r="C1842" s="4">
        <f>IFERROR(__xludf.DUMMYFUNCTION("""COMPUTED_VALUE"""),37.7)</f>
        <v>37.7</v>
      </c>
      <c r="D1842" s="4"/>
      <c r="E1842" s="4" t="str">
        <f>IFERROR(__xludf.DUMMYFUNCTION("""COMPUTED_VALUE"""),"Sin precio neto")</f>
        <v>Sin precio neto</v>
      </c>
    </row>
    <row r="1843">
      <c r="A1843" s="4" t="str">
        <f>IFERROR(__xludf.DUMMYFUNCTION("""COMPUTED_VALUE"""),"9009")</f>
        <v>9009</v>
      </c>
      <c r="B1843" s="4" t="str">
        <f>IFERROR(__xludf.DUMMYFUNCTION("""COMPUTED_VALUE"""),"Extremo reductor veloc. 90x25x5 cm Mod. H")</f>
        <v>Extremo reductor veloc. 90x25x5 cm Mod. H</v>
      </c>
      <c r="C1843" s="4">
        <f>IFERROR(__xludf.DUMMYFUNCTION("""COMPUTED_VALUE"""),21.25)</f>
        <v>21.25</v>
      </c>
      <c r="D1843" s="4"/>
      <c r="E1843" s="4" t="str">
        <f>IFERROR(__xludf.DUMMYFUNCTION("""COMPUTED_VALUE"""),"Sin precio neto")</f>
        <v>Sin precio neto</v>
      </c>
    </row>
    <row r="1844">
      <c r="A1844" s="4" t="str">
        <f>IFERROR(__xludf.DUMMYFUNCTION("""COMPUTED_VALUE"""),"9010")</f>
        <v>9010</v>
      </c>
      <c r="B1844" s="4" t="str">
        <f>IFERROR(__xludf.DUMMYFUNCTION("""COMPUTED_VALUE"""),"Reductor velocidad High impact Amarillo")</f>
        <v>Reductor velocidad High impact Amarillo</v>
      </c>
      <c r="C1844" s="4">
        <f>IFERROR(__xludf.DUMMYFUNCTION("""COMPUTED_VALUE"""),14.0)</f>
        <v>14</v>
      </c>
      <c r="D1844" s="4"/>
      <c r="E1844" s="4" t="str">
        <f>IFERROR(__xludf.DUMMYFUNCTION("""COMPUTED_VALUE"""),"Sin precio neto")</f>
        <v>Sin precio neto</v>
      </c>
    </row>
    <row r="1845">
      <c r="A1845" s="4" t="str">
        <f>IFERROR(__xludf.DUMMYFUNCTION("""COMPUTED_VALUE"""),"9011")</f>
        <v>9011</v>
      </c>
      <c r="B1845" s="4" t="str">
        <f>IFERROR(__xludf.DUMMYFUNCTION("""COMPUTED_VALUE"""),"Reductor velocidad High impact Negro")</f>
        <v>Reductor velocidad High impact Negro</v>
      </c>
      <c r="C1845" s="4">
        <f>IFERROR(__xludf.DUMMYFUNCTION("""COMPUTED_VALUE"""),14.0)</f>
        <v>14</v>
      </c>
      <c r="D1845" s="4"/>
      <c r="E1845" s="4" t="str">
        <f>IFERROR(__xludf.DUMMYFUNCTION("""COMPUTED_VALUE"""),"Sin precio neto")</f>
        <v>Sin precio neto</v>
      </c>
    </row>
    <row r="1846">
      <c r="A1846" s="4" t="str">
        <f>IFERROR(__xludf.DUMMYFUNCTION("""COMPUTED_VALUE"""),"9012")</f>
        <v>9012</v>
      </c>
      <c r="B1846" s="4" t="str">
        <f>IFERROR(__xludf.DUMMYFUNCTION("""COMPUTED_VALUE"""),"Extremo reductor velocidad High Impact amarillo")</f>
        <v>Extremo reductor velocidad High Impact amarillo</v>
      </c>
      <c r="C1846" s="4">
        <f>IFERROR(__xludf.DUMMYFUNCTION("""COMPUTED_VALUE"""),4.5)</f>
        <v>4.5</v>
      </c>
      <c r="D1846" s="4"/>
      <c r="E1846" s="4" t="str">
        <f>IFERROR(__xludf.DUMMYFUNCTION("""COMPUTED_VALUE"""),"Sin precio neto")</f>
        <v>Sin precio neto</v>
      </c>
    </row>
    <row r="1847">
      <c r="A1847" s="4" t="str">
        <f>IFERROR(__xludf.DUMMYFUNCTION("""COMPUTED_VALUE"""),"9013")</f>
        <v>9013</v>
      </c>
      <c r="B1847" s="4" t="str">
        <f>IFERROR(__xludf.DUMMYFUNCTION("""COMPUTED_VALUE"""),"Extremo reductor velocidad High Impact negro")</f>
        <v>Extremo reductor velocidad High Impact negro</v>
      </c>
      <c r="C1847" s="4">
        <f>IFERROR(__xludf.DUMMYFUNCTION("""COMPUTED_VALUE"""),4.5)</f>
        <v>4.5</v>
      </c>
      <c r="D1847" s="4"/>
      <c r="E1847" s="4" t="str">
        <f>IFERROR(__xludf.DUMMYFUNCTION("""COMPUTED_VALUE"""),"Sin precio neto")</f>
        <v>Sin precio neto</v>
      </c>
    </row>
    <row r="1848">
      <c r="A1848" s="4" t="str">
        <f>IFERROR(__xludf.DUMMYFUNCTION("""COMPUTED_VALUE"""),"90135N")</f>
        <v>90135N</v>
      </c>
      <c r="B1848" s="4" t="str">
        <f>IFERROR(__xludf.DUMMYFUNCTION("""COMPUTED_VALUE"""),"Señal MOPU T.D. 135 cm N")</f>
        <v>Señal MOPU T.D. 135 cm N</v>
      </c>
      <c r="C1848" s="4">
        <f>IFERROR(__xludf.DUMMYFUNCTION("""COMPUTED_VALUE"""),90.03)</f>
        <v>90.03</v>
      </c>
      <c r="D1848" s="4"/>
      <c r="E1848" s="4" t="str">
        <f>IFERROR(__xludf.DUMMYFUNCTION("""COMPUTED_VALUE"""),"Sin precio neto")</f>
        <v>Sin precio neto</v>
      </c>
    </row>
    <row r="1849">
      <c r="A1849" s="4" t="str">
        <f>IFERROR(__xludf.DUMMYFUNCTION("""COMPUTED_VALUE"""),"90135N1")</f>
        <v>90135N1</v>
      </c>
      <c r="B1849" s="4" t="str">
        <f>IFERROR(__xludf.DUMMYFUNCTION("""COMPUTED_VALUE"""),"Señal MOPU T.D. 135 cm NI")</f>
        <v>Señal MOPU T.D. 135 cm NI</v>
      </c>
      <c r="C1849" s="4">
        <f>IFERROR(__xludf.DUMMYFUNCTION("""COMPUTED_VALUE"""),99.09)</f>
        <v>99.09</v>
      </c>
      <c r="D1849" s="4"/>
      <c r="E1849" s="4" t="str">
        <f>IFERROR(__xludf.DUMMYFUNCTION("""COMPUTED_VALUE"""),"Sin precio neto")</f>
        <v>Sin precio neto</v>
      </c>
    </row>
    <row r="1850">
      <c r="A1850" s="4" t="str">
        <f>IFERROR(__xludf.DUMMYFUNCTION("""COMPUTED_VALUE"""),"90135N2")</f>
        <v>90135N2</v>
      </c>
      <c r="B1850" s="4" t="str">
        <f>IFERROR(__xludf.DUMMYFUNCTION("""COMPUTED_VALUE"""),"Señal MOPU T.D. 135 cm NII")</f>
        <v>Señal MOPU T.D. 135 cm NII</v>
      </c>
      <c r="C1850" s="4">
        <f>IFERROR(__xludf.DUMMYFUNCTION("""COMPUTED_VALUE"""),132.79)</f>
        <v>132.79</v>
      </c>
      <c r="D1850" s="4"/>
      <c r="E1850" s="4" t="str">
        <f>IFERROR(__xludf.DUMMYFUNCTION("""COMPUTED_VALUE"""),"Sin precio neto")</f>
        <v>Sin precio neto</v>
      </c>
    </row>
    <row r="1851">
      <c r="A1851" s="4" t="str">
        <f>IFERROR(__xludf.DUMMYFUNCTION("""COMPUTED_VALUE"""),"90135N3")</f>
        <v>90135N3</v>
      </c>
      <c r="B1851" s="4" t="str">
        <f>IFERROR(__xludf.DUMMYFUNCTION("""COMPUTED_VALUE"""),"Señal MOPU T.D. 135 cm NIII")</f>
        <v>Señal MOPU T.D. 135 cm NIII</v>
      </c>
      <c r="C1851" s="4">
        <f>IFERROR(__xludf.DUMMYFUNCTION("""COMPUTED_VALUE"""),175.95)</f>
        <v>175.95</v>
      </c>
      <c r="D1851" s="4"/>
      <c r="E1851" s="4" t="str">
        <f>IFERROR(__xludf.DUMMYFUNCTION("""COMPUTED_VALUE"""),"Sin precio neto")</f>
        <v>Sin precio neto</v>
      </c>
    </row>
    <row r="1852">
      <c r="A1852" s="4" t="str">
        <f>IFERROR(__xludf.DUMMYFUNCTION("""COMPUTED_VALUE"""),"9014")</f>
        <v>9014</v>
      </c>
      <c r="B1852" s="4" t="str">
        <f>IFERROR(__xludf.DUMMYFUNCTION("""COMPUTED_VALUE"""),"Reductor velocidad High impact Amarillo pasacables")</f>
        <v>Reductor velocidad High impact Amarillo pasacables</v>
      </c>
      <c r="C1852" s="4">
        <f>IFERROR(__xludf.DUMMYFUNCTION("""COMPUTED_VALUE"""),13.0)</f>
        <v>13</v>
      </c>
      <c r="D1852" s="4"/>
      <c r="E1852" s="4" t="str">
        <f>IFERROR(__xludf.DUMMYFUNCTION("""COMPUTED_VALUE"""),"Sin precio neto")</f>
        <v>Sin precio neto</v>
      </c>
    </row>
    <row r="1853">
      <c r="A1853" s="4" t="str">
        <f>IFERROR(__xludf.DUMMYFUNCTION("""COMPUTED_VALUE"""),"9015")</f>
        <v>9015</v>
      </c>
      <c r="B1853" s="4" t="str">
        <f>IFERROR(__xludf.DUMMYFUNCTION("""COMPUTED_VALUE"""),"Reductor velocidad High impact Negro pasacables")</f>
        <v>Reductor velocidad High impact Negro pasacables</v>
      </c>
      <c r="C1853" s="4">
        <f>IFERROR(__xludf.DUMMYFUNCTION("""COMPUTED_VALUE"""),13.0)</f>
        <v>13</v>
      </c>
      <c r="D1853" s="4"/>
      <c r="E1853" s="4" t="str">
        <f>IFERROR(__xludf.DUMMYFUNCTION("""COMPUTED_VALUE"""),"Sin precio neto")</f>
        <v>Sin precio neto</v>
      </c>
    </row>
    <row r="1854">
      <c r="A1854" s="4" t="str">
        <f>IFERROR(__xludf.DUMMYFUNCTION("""COMPUTED_VALUE"""),"9016")</f>
        <v>9016</v>
      </c>
      <c r="B1854" s="4" t="str">
        <f>IFERROR(__xludf.DUMMYFUNCTION("""COMPUTED_VALUE"""),"Reductor velocidad Ovaglint 200x120x28 mm")</f>
        <v>Reductor velocidad Ovaglint 200x120x28 mm</v>
      </c>
      <c r="C1854" s="4">
        <f>IFERROR(__xludf.DUMMYFUNCTION("""COMPUTED_VALUE"""),4.5)</f>
        <v>4.5</v>
      </c>
      <c r="D1854" s="4"/>
      <c r="E1854" s="4" t="str">
        <f>IFERROR(__xludf.DUMMYFUNCTION("""COMPUTED_VALUE"""),"Sin precio neto")</f>
        <v>Sin precio neto</v>
      </c>
    </row>
    <row r="1855">
      <c r="A1855" s="4" t="str">
        <f>IFERROR(__xludf.DUMMYFUNCTION("""COMPUTED_VALUE"""),"90175N1")</f>
        <v>90175N1</v>
      </c>
      <c r="B1855" s="4" t="str">
        <f>IFERROR(__xludf.DUMMYFUNCTION("""COMPUTED_VALUE"""),"Señal MOPU T.D. 175 cm NI")</f>
        <v>Señal MOPU T.D. 175 cm NI</v>
      </c>
      <c r="C1855" s="4">
        <f>IFERROR(__xludf.DUMMYFUNCTION("""COMPUTED_VALUE"""),195.16)</f>
        <v>195.16</v>
      </c>
      <c r="D1855" s="4"/>
      <c r="E1855" s="4" t="str">
        <f>IFERROR(__xludf.DUMMYFUNCTION("""COMPUTED_VALUE"""),"Sin precio neto")</f>
        <v>Sin precio neto</v>
      </c>
    </row>
    <row r="1856">
      <c r="A1856" s="4" t="str">
        <f>IFERROR(__xludf.DUMMYFUNCTION("""COMPUTED_VALUE"""),"90175N2")</f>
        <v>90175N2</v>
      </c>
      <c r="B1856" s="4" t="str">
        <f>IFERROR(__xludf.DUMMYFUNCTION("""COMPUTED_VALUE"""),"Señal MOPU T.D. 175 cm NII")</f>
        <v>Señal MOPU T.D. 175 cm NII</v>
      </c>
      <c r="C1856" s="4">
        <f>IFERROR(__xludf.DUMMYFUNCTION("""COMPUTED_VALUE"""),218.63)</f>
        <v>218.63</v>
      </c>
      <c r="D1856" s="4"/>
      <c r="E1856" s="4" t="str">
        <f>IFERROR(__xludf.DUMMYFUNCTION("""COMPUTED_VALUE"""),"Sin precio neto")</f>
        <v>Sin precio neto</v>
      </c>
    </row>
    <row r="1857">
      <c r="A1857" s="4" t="str">
        <f>IFERROR(__xludf.DUMMYFUNCTION("""COMPUTED_VALUE"""),"90175N3")</f>
        <v>90175N3</v>
      </c>
      <c r="B1857" s="4" t="str">
        <f>IFERROR(__xludf.DUMMYFUNCTION("""COMPUTED_VALUE"""),"Señal MOPU T.D. 175 cm NIII")</f>
        <v>Señal MOPU T.D. 175 cm NIII</v>
      </c>
      <c r="C1857" s="4">
        <f>IFERROR(__xludf.DUMMYFUNCTION("""COMPUTED_VALUE"""),313.99)</f>
        <v>313.99</v>
      </c>
      <c r="D1857" s="4"/>
      <c r="E1857" s="4" t="str">
        <f>IFERROR(__xludf.DUMMYFUNCTION("""COMPUTED_VALUE"""),"Sin precio neto")</f>
        <v>Sin precio neto</v>
      </c>
    </row>
    <row r="1858">
      <c r="A1858" s="4" t="str">
        <f>IFERROR(__xludf.DUMMYFUNCTION("""COMPUTED_VALUE"""),"9070N")</f>
        <v>9070N</v>
      </c>
      <c r="B1858" s="4" t="str">
        <f>IFERROR(__xludf.DUMMYFUNCTION("""COMPUTED_VALUE"""),"Señal MOPU T.D. 70 cm N")</f>
        <v>Señal MOPU T.D. 70 cm N</v>
      </c>
      <c r="C1858" s="4">
        <f>IFERROR(__xludf.DUMMYFUNCTION("""COMPUTED_VALUE"""),28.96)</f>
        <v>28.96</v>
      </c>
      <c r="D1858" s="4"/>
      <c r="E1858" s="4" t="str">
        <f>IFERROR(__xludf.DUMMYFUNCTION("""COMPUTED_VALUE"""),"Sin precio neto")</f>
        <v>Sin precio neto</v>
      </c>
    </row>
    <row r="1859">
      <c r="A1859" s="4" t="str">
        <f>IFERROR(__xludf.DUMMYFUNCTION("""COMPUTED_VALUE"""),"9070N1")</f>
        <v>9070N1</v>
      </c>
      <c r="B1859" s="4" t="str">
        <f>IFERROR(__xludf.DUMMYFUNCTION("""COMPUTED_VALUE"""),"Señal MOPU T.D. 70 cm NI")</f>
        <v>Señal MOPU T.D. 70 cm NI</v>
      </c>
      <c r="C1859" s="4">
        <f>IFERROR(__xludf.DUMMYFUNCTION("""COMPUTED_VALUE"""),36.06)</f>
        <v>36.06</v>
      </c>
      <c r="D1859" s="4"/>
      <c r="E1859" s="4" t="str">
        <f>IFERROR(__xludf.DUMMYFUNCTION("""COMPUTED_VALUE"""),"Sin precio neto")</f>
        <v>Sin precio neto</v>
      </c>
    </row>
    <row r="1860">
      <c r="A1860" s="4" t="str">
        <f>IFERROR(__xludf.DUMMYFUNCTION("""COMPUTED_VALUE"""),"9070N2")</f>
        <v>9070N2</v>
      </c>
      <c r="B1860" s="4" t="str">
        <f>IFERROR(__xludf.DUMMYFUNCTION("""COMPUTED_VALUE"""),"Señal MOPU T.D. 70 cm NII")</f>
        <v>Señal MOPU T.D. 70 cm NII</v>
      </c>
      <c r="C1860" s="4">
        <f>IFERROR(__xludf.DUMMYFUNCTION("""COMPUTED_VALUE"""),45.07)</f>
        <v>45.07</v>
      </c>
      <c r="D1860" s="4"/>
      <c r="E1860" s="4" t="str">
        <f>IFERROR(__xludf.DUMMYFUNCTION("""COMPUTED_VALUE"""),"Sin precio neto")</f>
        <v>Sin precio neto</v>
      </c>
    </row>
    <row r="1861">
      <c r="A1861" s="4" t="str">
        <f>IFERROR(__xludf.DUMMYFUNCTION("""COMPUTED_VALUE"""),"9070N3")</f>
        <v>9070N3</v>
      </c>
      <c r="B1861" s="4" t="str">
        <f>IFERROR(__xludf.DUMMYFUNCTION("""COMPUTED_VALUE"""),"Señal MOPU T.D. 70 cm NIII")</f>
        <v>Señal MOPU T.D. 70 cm NIII</v>
      </c>
      <c r="C1861" s="4">
        <f>IFERROR(__xludf.DUMMYFUNCTION("""COMPUTED_VALUE"""),59.4)</f>
        <v>59.4</v>
      </c>
      <c r="D1861" s="4"/>
      <c r="E1861" s="4" t="str">
        <f>IFERROR(__xludf.DUMMYFUNCTION("""COMPUTED_VALUE"""),"Sin precio neto")</f>
        <v>Sin precio neto</v>
      </c>
    </row>
    <row r="1862">
      <c r="A1862" s="4" t="str">
        <f>IFERROR(__xludf.DUMMYFUNCTION("""COMPUTED_VALUE"""),"9090N")</f>
        <v>9090N</v>
      </c>
      <c r="B1862" s="4" t="str">
        <f>IFERROR(__xludf.DUMMYFUNCTION("""COMPUTED_VALUE"""),"Señal MOPU T.D. 90 cm N")</f>
        <v>Señal MOPU T.D. 90 cm N</v>
      </c>
      <c r="C1862" s="4">
        <f>IFERROR(__xludf.DUMMYFUNCTION("""COMPUTED_VALUE"""),41.66)</f>
        <v>41.66</v>
      </c>
      <c r="D1862" s="4"/>
      <c r="E1862" s="4" t="str">
        <f>IFERROR(__xludf.DUMMYFUNCTION("""COMPUTED_VALUE"""),"Sin precio neto")</f>
        <v>Sin precio neto</v>
      </c>
    </row>
    <row r="1863">
      <c r="A1863" s="4" t="str">
        <f>IFERROR(__xludf.DUMMYFUNCTION("""COMPUTED_VALUE"""),"9090N1")</f>
        <v>9090N1</v>
      </c>
      <c r="B1863" s="4" t="str">
        <f>IFERROR(__xludf.DUMMYFUNCTION("""COMPUTED_VALUE"""),"Señal MOPU T.D. 90 cm NI")</f>
        <v>Señal MOPU T.D. 90 cm NI</v>
      </c>
      <c r="C1863" s="4">
        <f>IFERROR(__xludf.DUMMYFUNCTION("""COMPUTED_VALUE"""),50.9)</f>
        <v>50.9</v>
      </c>
      <c r="D1863" s="4"/>
      <c r="E1863" s="4" t="str">
        <f>IFERROR(__xludf.DUMMYFUNCTION("""COMPUTED_VALUE"""),"Sin precio neto")</f>
        <v>Sin precio neto</v>
      </c>
    </row>
    <row r="1864">
      <c r="A1864" s="4" t="str">
        <f>IFERROR(__xludf.DUMMYFUNCTION("""COMPUTED_VALUE"""),"9090N2")</f>
        <v>9090N2</v>
      </c>
      <c r="B1864" s="4" t="str">
        <f>IFERROR(__xludf.DUMMYFUNCTION("""COMPUTED_VALUE"""),"Señal MOPU T.D. 90 cm NII")</f>
        <v>Señal MOPU T.D. 90 cm NII</v>
      </c>
      <c r="C1864" s="4">
        <f>IFERROR(__xludf.DUMMYFUNCTION("""COMPUTED_VALUE"""),66.33)</f>
        <v>66.33</v>
      </c>
      <c r="D1864" s="4"/>
      <c r="E1864" s="4" t="str">
        <f>IFERROR(__xludf.DUMMYFUNCTION("""COMPUTED_VALUE"""),"Sin precio neto")</f>
        <v>Sin precio neto</v>
      </c>
    </row>
    <row r="1865">
      <c r="A1865" s="4" t="str">
        <f>IFERROR(__xludf.DUMMYFUNCTION("""COMPUTED_VALUE"""),"9090N3")</f>
        <v>9090N3</v>
      </c>
      <c r="B1865" s="4" t="str">
        <f>IFERROR(__xludf.DUMMYFUNCTION("""COMPUTED_VALUE"""),"Señal MOPU T.D. 90 cm NIII")</f>
        <v>Señal MOPU T.D. 90 cm NIII</v>
      </c>
      <c r="C1865" s="4">
        <f>IFERROR(__xludf.DUMMYFUNCTION("""COMPUTED_VALUE"""),88.14)</f>
        <v>88.14</v>
      </c>
      <c r="D1865" s="4"/>
      <c r="E1865" s="4" t="str">
        <f>IFERROR(__xludf.DUMMYFUNCTION("""COMPUTED_VALUE"""),"Sin precio neto")</f>
        <v>Sin precio neto</v>
      </c>
    </row>
    <row r="1866">
      <c r="A1866" s="4" t="str">
        <f>IFERROR(__xludf.DUMMYFUNCTION("""COMPUTED_VALUE"""),"91120N")</f>
        <v>91120N</v>
      </c>
      <c r="B1866" s="4" t="str">
        <f>IFERROR(__xludf.DUMMYFUNCTION("""COMPUTED_VALUE"""),"Señal MOPU R.D. 120cm N")</f>
        <v>Señal MOPU R.D. 120cm N</v>
      </c>
      <c r="C1866" s="4">
        <f>IFERROR(__xludf.DUMMYFUNCTION("""COMPUTED_VALUE"""),131.25)</f>
        <v>131.25</v>
      </c>
      <c r="D1866" s="4"/>
      <c r="E1866" s="4" t="str">
        <f>IFERROR(__xludf.DUMMYFUNCTION("""COMPUTED_VALUE"""),"Sin precio neto")</f>
        <v>Sin precio neto</v>
      </c>
    </row>
    <row r="1867">
      <c r="A1867" s="4" t="str">
        <f>IFERROR(__xludf.DUMMYFUNCTION("""COMPUTED_VALUE"""),"91120N1")</f>
        <v>91120N1</v>
      </c>
      <c r="B1867" s="4" t="str">
        <f>IFERROR(__xludf.DUMMYFUNCTION("""COMPUTED_VALUE"""),"Señal MOPU R.D. 120cm NI")</f>
        <v>Señal MOPU R.D. 120cm NI</v>
      </c>
      <c r="C1867" s="4">
        <f>IFERROR(__xludf.DUMMYFUNCTION("""COMPUTED_VALUE"""),164.52)</f>
        <v>164.52</v>
      </c>
      <c r="D1867" s="4"/>
      <c r="E1867" s="4" t="str">
        <f>IFERROR(__xludf.DUMMYFUNCTION("""COMPUTED_VALUE"""),"Sin precio neto")</f>
        <v>Sin precio neto</v>
      </c>
    </row>
    <row r="1868">
      <c r="A1868" s="4" t="str">
        <f>IFERROR(__xludf.DUMMYFUNCTION("""COMPUTED_VALUE"""),"91120N2")</f>
        <v>91120N2</v>
      </c>
      <c r="B1868" s="4" t="str">
        <f>IFERROR(__xludf.DUMMYFUNCTION("""COMPUTED_VALUE"""),"Señal MOPU R.D. 120 cm NII")</f>
        <v>Señal MOPU R.D. 120 cm NII</v>
      </c>
      <c r="C1868" s="4">
        <f>IFERROR(__xludf.DUMMYFUNCTION("""COMPUTED_VALUE"""),194.48)</f>
        <v>194.48</v>
      </c>
      <c r="D1868" s="4"/>
      <c r="E1868" s="4" t="str">
        <f>IFERROR(__xludf.DUMMYFUNCTION("""COMPUTED_VALUE"""),"Sin precio neto")</f>
        <v>Sin precio neto</v>
      </c>
    </row>
    <row r="1869">
      <c r="A1869" s="4" t="str">
        <f>IFERROR(__xludf.DUMMYFUNCTION("""COMPUTED_VALUE"""),"91120N3")</f>
        <v>91120N3</v>
      </c>
      <c r="B1869" s="4" t="str">
        <f>IFERROR(__xludf.DUMMYFUNCTION("""COMPUTED_VALUE"""),"Señal MOPU R.D. 120 cm NIII")</f>
        <v>Señal MOPU R.D. 120 cm NIII</v>
      </c>
      <c r="C1869" s="4">
        <f>IFERROR(__xludf.DUMMYFUNCTION("""COMPUTED_VALUE"""),289.76)</f>
        <v>289.76</v>
      </c>
      <c r="D1869" s="4"/>
      <c r="E1869" s="4" t="str">
        <f>IFERROR(__xludf.DUMMYFUNCTION("""COMPUTED_VALUE"""),"Sin precio neto")</f>
        <v>Sin precio neto</v>
      </c>
    </row>
    <row r="1870">
      <c r="A1870" s="4" t="str">
        <f>IFERROR(__xludf.DUMMYFUNCTION("""COMPUTED_VALUE"""),"9160N")</f>
        <v>9160N</v>
      </c>
      <c r="B1870" s="4" t="str">
        <f>IFERROR(__xludf.DUMMYFUNCTION("""COMPUTED_VALUE"""),"Señal MOPU R.D. 60 cm N")</f>
        <v>Señal MOPU R.D. 60 cm N</v>
      </c>
      <c r="C1870" s="4">
        <f>IFERROR(__xludf.DUMMYFUNCTION("""COMPUTED_VALUE"""),35.98)</f>
        <v>35.98</v>
      </c>
      <c r="D1870" s="4"/>
      <c r="E1870" s="4" t="str">
        <f>IFERROR(__xludf.DUMMYFUNCTION("""COMPUTED_VALUE"""),"Sin precio neto")</f>
        <v>Sin precio neto</v>
      </c>
    </row>
    <row r="1871">
      <c r="A1871" s="4" t="str">
        <f>IFERROR(__xludf.DUMMYFUNCTION("""COMPUTED_VALUE"""),"9160N1")</f>
        <v>9160N1</v>
      </c>
      <c r="B1871" s="4" t="str">
        <f>IFERROR(__xludf.DUMMYFUNCTION("""COMPUTED_VALUE"""),"Señal MOPU R.D. 60 cm NI")</f>
        <v>Señal MOPU R.D. 60 cm NI</v>
      </c>
      <c r="C1871" s="4">
        <f>IFERROR(__xludf.DUMMYFUNCTION("""COMPUTED_VALUE"""),41.48)</f>
        <v>41.48</v>
      </c>
      <c r="D1871" s="4"/>
      <c r="E1871" s="4" t="str">
        <f>IFERROR(__xludf.DUMMYFUNCTION("""COMPUTED_VALUE"""),"Sin precio neto")</f>
        <v>Sin precio neto</v>
      </c>
    </row>
    <row r="1872">
      <c r="A1872" s="4" t="str">
        <f>IFERROR(__xludf.DUMMYFUNCTION("""COMPUTED_VALUE"""),"9160N2")</f>
        <v>9160N2</v>
      </c>
      <c r="B1872" s="4" t="str">
        <f>IFERROR(__xludf.DUMMYFUNCTION("""COMPUTED_VALUE"""),"Señal MOPU R.D. 60 cm NII")</f>
        <v>Señal MOPU R.D. 60 cm NII</v>
      </c>
      <c r="C1872" s="4">
        <f>IFERROR(__xludf.DUMMYFUNCTION("""COMPUTED_VALUE"""),59.26)</f>
        <v>59.26</v>
      </c>
      <c r="D1872" s="4"/>
      <c r="E1872" s="4" t="str">
        <f>IFERROR(__xludf.DUMMYFUNCTION("""COMPUTED_VALUE"""),"Sin precio neto")</f>
        <v>Sin precio neto</v>
      </c>
    </row>
    <row r="1873">
      <c r="A1873" s="4" t="str">
        <f>IFERROR(__xludf.DUMMYFUNCTION("""COMPUTED_VALUE"""),"9160N3")</f>
        <v>9160N3</v>
      </c>
      <c r="B1873" s="4" t="str">
        <f>IFERROR(__xludf.DUMMYFUNCTION("""COMPUTED_VALUE"""),"Señal MOPU R.D, 60 cm NIII")</f>
        <v>Señal MOPU R.D, 60 cm NIII</v>
      </c>
      <c r="C1873" s="4">
        <f>IFERROR(__xludf.DUMMYFUNCTION("""COMPUTED_VALUE"""),80.94)</f>
        <v>80.94</v>
      </c>
      <c r="D1873" s="4"/>
      <c r="E1873" s="4" t="str">
        <f>IFERROR(__xludf.DUMMYFUNCTION("""COMPUTED_VALUE"""),"Sin precio neto")</f>
        <v>Sin precio neto</v>
      </c>
    </row>
    <row r="1874">
      <c r="A1874" s="4" t="str">
        <f>IFERROR(__xludf.DUMMYFUNCTION("""COMPUTED_VALUE"""),"9160NE")</f>
        <v>9160NE</v>
      </c>
      <c r="B1874" s="4" t="str">
        <f>IFERROR(__xludf.DUMMYFUNCTION("""COMPUTED_VALUE"""),"Señal cuadrada 60 cm Normal recarga eléctrica")</f>
        <v>Señal cuadrada 60 cm Normal recarga eléctrica</v>
      </c>
      <c r="C1874" s="4">
        <f>IFERROR(__xludf.DUMMYFUNCTION("""COMPUTED_VALUE"""),31.0)</f>
        <v>31</v>
      </c>
      <c r="D1874" s="4"/>
      <c r="E1874" s="4" t="str">
        <f>IFERROR(__xludf.DUMMYFUNCTION("""COMPUTED_VALUE"""),"Sin precio neto")</f>
        <v>Sin precio neto</v>
      </c>
    </row>
    <row r="1875">
      <c r="A1875" s="4" t="str">
        <f>IFERROR(__xludf.DUMMYFUNCTION("""COMPUTED_VALUE"""),"9190N")</f>
        <v>9190N</v>
      </c>
      <c r="B1875" s="4" t="str">
        <f>IFERROR(__xludf.DUMMYFUNCTION("""COMPUTED_VALUE"""),"Señal MOPU R.D. 90 cm N")</f>
        <v>Señal MOPU R.D. 90 cm N</v>
      </c>
      <c r="C1875" s="4">
        <f>IFERROR(__xludf.DUMMYFUNCTION("""COMPUTED_VALUE"""),79.11)</f>
        <v>79.11</v>
      </c>
      <c r="D1875" s="4"/>
      <c r="E1875" s="4" t="str">
        <f>IFERROR(__xludf.DUMMYFUNCTION("""COMPUTED_VALUE"""),"Sin precio neto")</f>
        <v>Sin precio neto</v>
      </c>
    </row>
    <row r="1876">
      <c r="A1876" s="4" t="str">
        <f>IFERROR(__xludf.DUMMYFUNCTION("""COMPUTED_VALUE"""),"9190N1")</f>
        <v>9190N1</v>
      </c>
      <c r="B1876" s="4" t="str">
        <f>IFERROR(__xludf.DUMMYFUNCTION("""COMPUTED_VALUE"""),"Señal MOPU R.D. 90 cm NI")</f>
        <v>Señal MOPU R.D. 90 cm NI</v>
      </c>
      <c r="C1876" s="4">
        <f>IFERROR(__xludf.DUMMYFUNCTION("""COMPUTED_VALUE"""),87.52)</f>
        <v>87.52</v>
      </c>
      <c r="D1876" s="4"/>
      <c r="E1876" s="4" t="str">
        <f>IFERROR(__xludf.DUMMYFUNCTION("""COMPUTED_VALUE"""),"Sin precio neto")</f>
        <v>Sin precio neto</v>
      </c>
    </row>
    <row r="1877">
      <c r="A1877" s="4" t="str">
        <f>IFERROR(__xludf.DUMMYFUNCTION("""COMPUTED_VALUE"""),"9190N2")</f>
        <v>9190N2</v>
      </c>
      <c r="B1877" s="4" t="str">
        <f>IFERROR(__xludf.DUMMYFUNCTION("""COMPUTED_VALUE"""),"Señal MOPU R.D. 90 cm NII")</f>
        <v>Señal MOPU R.D. 90 cm NII</v>
      </c>
      <c r="C1877" s="4">
        <f>IFERROR(__xludf.DUMMYFUNCTION("""COMPUTED_VALUE"""),114.17)</f>
        <v>114.17</v>
      </c>
      <c r="D1877" s="4"/>
      <c r="E1877" s="4" t="str">
        <f>IFERROR(__xludf.DUMMYFUNCTION("""COMPUTED_VALUE"""),"Sin precio neto")</f>
        <v>Sin precio neto</v>
      </c>
    </row>
    <row r="1878">
      <c r="A1878" s="4" t="str">
        <f>IFERROR(__xludf.DUMMYFUNCTION("""COMPUTED_VALUE"""),"9190N3")</f>
        <v>9190N3</v>
      </c>
      <c r="B1878" s="4" t="str">
        <f>IFERROR(__xludf.DUMMYFUNCTION("""COMPUTED_VALUE"""),"Señal MOPU R.D. 90 cm NIII")</f>
        <v>Señal MOPU R.D. 90 cm NIII</v>
      </c>
      <c r="C1878" s="4">
        <f>IFERROR(__xludf.DUMMYFUNCTION("""COMPUTED_VALUE"""),172.51)</f>
        <v>172.51</v>
      </c>
      <c r="D1878" s="4"/>
      <c r="E1878" s="4" t="str">
        <f>IFERROR(__xludf.DUMMYFUNCTION("""COMPUTED_VALUE"""),"Sin precio neto")</f>
        <v>Sin precio neto</v>
      </c>
    </row>
    <row r="1879">
      <c r="A1879" s="4" t="str">
        <f>IFERROR(__xludf.DUMMYFUNCTION("""COMPUTED_VALUE"""),"9210")</f>
        <v>9210</v>
      </c>
      <c r="B1879" s="4" t="str">
        <f>IFERROR(__xludf.DUMMYFUNCTION("""COMPUTED_VALUE"""),"Pack 10 uds adhesivos 10x15 riesgo electrico")</f>
        <v>Pack 10 uds adhesivos 10x15 riesgo electrico</v>
      </c>
      <c r="C1879" s="4">
        <f>IFERROR(__xludf.DUMMYFUNCTION("""COMPUTED_VALUE"""),4.2)</f>
        <v>4.2</v>
      </c>
      <c r="D1879" s="4"/>
      <c r="E1879" s="4" t="str">
        <f>IFERROR(__xludf.DUMMYFUNCTION("""COMPUTED_VALUE"""),"Sin precio neto")</f>
        <v>Sin precio neto</v>
      </c>
    </row>
    <row r="1880">
      <c r="A1880" s="4" t="str">
        <f>IFERROR(__xludf.DUMMYFUNCTION("""COMPUTED_VALUE"""),"925170N2")</f>
        <v>925170N2</v>
      </c>
      <c r="B1880" s="4" t="str">
        <f>IFERROR(__xludf.DUMMYFUNCTION("""COMPUTED_VALUE"""),"Señal MOPU informativa 25x170 cm Reflex II")</f>
        <v>Señal MOPU informativa 25x170 cm Reflex II</v>
      </c>
      <c r="C1880" s="4">
        <f>IFERROR(__xludf.DUMMYFUNCTION("""COMPUTED_VALUE"""),104.4)</f>
        <v>104.4</v>
      </c>
      <c r="D1880" s="4"/>
      <c r="E1880" s="4" t="str">
        <f>IFERROR(__xludf.DUMMYFUNCTION("""COMPUTED_VALUE"""),"Sin precio neto")</f>
        <v>Sin precio neto</v>
      </c>
    </row>
    <row r="1881">
      <c r="A1881" s="4" t="str">
        <f>IFERROR(__xludf.DUMMYFUNCTION("""COMPUTED_VALUE"""),"9260N")</f>
        <v>9260N</v>
      </c>
      <c r="B1881" s="4" t="str">
        <f>IFERROR(__xludf.DUMMYFUNCTION("""COMPUTED_VALUE"""),"Señal MOPU R2 60 cm N")</f>
        <v>Señal MOPU R2 60 cm N</v>
      </c>
      <c r="C1881" s="4">
        <f>IFERROR(__xludf.DUMMYFUNCTION("""COMPUTED_VALUE"""),31.95)</f>
        <v>31.95</v>
      </c>
      <c r="D1881" s="4"/>
      <c r="E1881" s="4" t="str">
        <f>IFERROR(__xludf.DUMMYFUNCTION("""COMPUTED_VALUE"""),"Sin precio neto")</f>
        <v>Sin precio neto</v>
      </c>
    </row>
    <row r="1882">
      <c r="A1882" s="4" t="str">
        <f>IFERROR(__xludf.DUMMYFUNCTION("""COMPUTED_VALUE"""),"9260N1")</f>
        <v>9260N1</v>
      </c>
      <c r="B1882" s="4" t="str">
        <f>IFERROR(__xludf.DUMMYFUNCTION("""COMPUTED_VALUE"""),"Señal MOPU R2 60 cm NI")</f>
        <v>Señal MOPU R2 60 cm NI</v>
      </c>
      <c r="C1882" s="4">
        <f>IFERROR(__xludf.DUMMYFUNCTION("""COMPUTED_VALUE"""),43.45)</f>
        <v>43.45</v>
      </c>
      <c r="D1882" s="4"/>
      <c r="E1882" s="4" t="str">
        <f>IFERROR(__xludf.DUMMYFUNCTION("""COMPUTED_VALUE"""),"Sin precio neto")</f>
        <v>Sin precio neto</v>
      </c>
    </row>
    <row r="1883">
      <c r="A1883" s="4" t="str">
        <f>IFERROR(__xludf.DUMMYFUNCTION("""COMPUTED_VALUE"""),"9260N2")</f>
        <v>9260N2</v>
      </c>
      <c r="B1883" s="4" t="str">
        <f>IFERROR(__xludf.DUMMYFUNCTION("""COMPUTED_VALUE"""),"Señal MOPU R2 60 cm NII")</f>
        <v>Señal MOPU R2 60 cm NII</v>
      </c>
      <c r="C1883" s="4">
        <f>IFERROR(__xludf.DUMMYFUNCTION("""COMPUTED_VALUE"""),62.2)</f>
        <v>62.2</v>
      </c>
      <c r="D1883" s="4"/>
      <c r="E1883" s="4" t="str">
        <f>IFERROR(__xludf.DUMMYFUNCTION("""COMPUTED_VALUE"""),"Sin precio neto")</f>
        <v>Sin precio neto</v>
      </c>
    </row>
    <row r="1884">
      <c r="A1884" s="4" t="str">
        <f>IFERROR(__xludf.DUMMYFUNCTION("""COMPUTED_VALUE"""),"9260N3")</f>
        <v>9260N3</v>
      </c>
      <c r="B1884" s="4" t="str">
        <f>IFERROR(__xludf.DUMMYFUNCTION("""COMPUTED_VALUE"""),"Señal MOPU R2 60 cm NIII")</f>
        <v>Señal MOPU R2 60 cm NIII</v>
      </c>
      <c r="C1884" s="4">
        <f>IFERROR(__xludf.DUMMYFUNCTION("""COMPUTED_VALUE"""),76.47)</f>
        <v>76.47</v>
      </c>
      <c r="D1884" s="4"/>
      <c r="E1884" s="4" t="str">
        <f>IFERROR(__xludf.DUMMYFUNCTION("""COMPUTED_VALUE"""),"Sin precio neto")</f>
        <v>Sin precio neto</v>
      </c>
    </row>
    <row r="1885">
      <c r="A1885" s="4" t="str">
        <f>IFERROR(__xludf.DUMMYFUNCTION("""COMPUTED_VALUE"""),"9290N")</f>
        <v>9290N</v>
      </c>
      <c r="B1885" s="4" t="str">
        <f>IFERROR(__xludf.DUMMYFUNCTION("""COMPUTED_VALUE"""),"Señal MOPU R2 90 cm N")</f>
        <v>Señal MOPU R2 90 cm N</v>
      </c>
      <c r="C1885" s="4">
        <f>IFERROR(__xludf.DUMMYFUNCTION("""COMPUTED_VALUE"""),69.22)</f>
        <v>69.22</v>
      </c>
      <c r="D1885" s="4"/>
      <c r="E1885" s="4" t="str">
        <f>IFERROR(__xludf.DUMMYFUNCTION("""COMPUTED_VALUE"""),"Sin precio neto")</f>
        <v>Sin precio neto</v>
      </c>
    </row>
    <row r="1886">
      <c r="A1886" s="4" t="str">
        <f>IFERROR(__xludf.DUMMYFUNCTION("""COMPUTED_VALUE"""),"9290N1")</f>
        <v>9290N1</v>
      </c>
      <c r="B1886" s="4" t="str">
        <f>IFERROR(__xludf.DUMMYFUNCTION("""COMPUTED_VALUE"""),"Señal MOPU R2 90 cm NI")</f>
        <v>Señal MOPU R2 90 cm NI</v>
      </c>
      <c r="C1886" s="4">
        <f>IFERROR(__xludf.DUMMYFUNCTION("""COMPUTED_VALUE"""),84.1)</f>
        <v>84.1</v>
      </c>
      <c r="D1886" s="4"/>
      <c r="E1886" s="4" t="str">
        <f>IFERROR(__xludf.DUMMYFUNCTION("""COMPUTED_VALUE"""),"Sin precio neto")</f>
        <v>Sin precio neto</v>
      </c>
    </row>
    <row r="1887">
      <c r="A1887" s="4" t="str">
        <f>IFERROR(__xludf.DUMMYFUNCTION("""COMPUTED_VALUE"""),"9290N2")</f>
        <v>9290N2</v>
      </c>
      <c r="B1887" s="4" t="str">
        <f>IFERROR(__xludf.DUMMYFUNCTION("""COMPUTED_VALUE"""),"Señal MOPU R2 90 cm NII")</f>
        <v>Señal MOPU R2 90 cm NII</v>
      </c>
      <c r="C1887" s="4">
        <f>IFERROR(__xludf.DUMMYFUNCTION("""COMPUTED_VALUE"""),122.57)</f>
        <v>122.57</v>
      </c>
      <c r="D1887" s="4"/>
      <c r="E1887" s="4" t="str">
        <f>IFERROR(__xludf.DUMMYFUNCTION("""COMPUTED_VALUE"""),"Sin precio neto")</f>
        <v>Sin precio neto</v>
      </c>
    </row>
    <row r="1888">
      <c r="A1888" s="4" t="str">
        <f>IFERROR(__xludf.DUMMYFUNCTION("""COMPUTED_VALUE"""),"9290N3")</f>
        <v>9290N3</v>
      </c>
      <c r="B1888" s="4" t="str">
        <f>IFERROR(__xludf.DUMMYFUNCTION("""COMPUTED_VALUE"""),"Señal MOPU R2 90 cm NIII")</f>
        <v>Señal MOPU R2 90 cm NIII</v>
      </c>
      <c r="C1888" s="4">
        <f>IFERROR(__xludf.DUMMYFUNCTION("""COMPUTED_VALUE"""),163.19)</f>
        <v>163.19</v>
      </c>
      <c r="D1888" s="4"/>
      <c r="E1888" s="4" t="str">
        <f>IFERROR(__xludf.DUMMYFUNCTION("""COMPUTED_VALUE"""),"Sin precio neto")</f>
        <v>Sin precio neto</v>
      </c>
    </row>
    <row r="1889">
      <c r="A1889" s="4" t="str">
        <f>IFERROR(__xludf.DUMMYFUNCTION("""COMPUTED_VALUE"""),"9340N")</f>
        <v>9340N</v>
      </c>
      <c r="B1889" s="4" t="str">
        <f>IFERROR(__xludf.DUMMYFUNCTION("""COMPUTED_VALUE"""),"Señal MOPU C.D. 40x40cm N")</f>
        <v>Señal MOPU C.D. 40x40cm N</v>
      </c>
      <c r="C1889" s="4">
        <f>IFERROR(__xludf.DUMMYFUNCTION("""COMPUTED_VALUE"""),23.52)</f>
        <v>23.52</v>
      </c>
      <c r="D1889" s="4"/>
      <c r="E1889" s="4" t="str">
        <f>IFERROR(__xludf.DUMMYFUNCTION("""COMPUTED_VALUE"""),"Sin precio neto")</f>
        <v>Sin precio neto</v>
      </c>
    </row>
    <row r="1890">
      <c r="A1890" s="4" t="str">
        <f>IFERROR(__xludf.DUMMYFUNCTION("""COMPUTED_VALUE"""),"9340N1")</f>
        <v>9340N1</v>
      </c>
      <c r="B1890" s="4" t="str">
        <f>IFERROR(__xludf.DUMMYFUNCTION("""COMPUTED_VALUE"""),"Señal MOPU C.D, 40x40cm NI")</f>
        <v>Señal MOPU C.D, 40x40cm NI</v>
      </c>
      <c r="C1890" s="4">
        <f>IFERROR(__xludf.DUMMYFUNCTION("""COMPUTED_VALUE"""),26.79)</f>
        <v>26.79</v>
      </c>
      <c r="D1890" s="4"/>
      <c r="E1890" s="4" t="str">
        <f>IFERROR(__xludf.DUMMYFUNCTION("""COMPUTED_VALUE"""),"Sin precio neto")</f>
        <v>Sin precio neto</v>
      </c>
    </row>
    <row r="1891">
      <c r="A1891" s="4" t="str">
        <f>IFERROR(__xludf.DUMMYFUNCTION("""COMPUTED_VALUE"""),"9340N2")</f>
        <v>9340N2</v>
      </c>
      <c r="B1891" s="4" t="str">
        <f>IFERROR(__xludf.DUMMYFUNCTION("""COMPUTED_VALUE"""),"Señal MOPU C.D. 40x40cm NII")</f>
        <v>Señal MOPU C.D. 40x40cm NII</v>
      </c>
      <c r="C1891" s="4">
        <f>IFERROR(__xludf.DUMMYFUNCTION("""COMPUTED_VALUE"""),37.48)</f>
        <v>37.48</v>
      </c>
      <c r="D1891" s="4"/>
      <c r="E1891" s="4" t="str">
        <f>IFERROR(__xludf.DUMMYFUNCTION("""COMPUTED_VALUE"""),"Sin precio neto")</f>
        <v>Sin precio neto</v>
      </c>
    </row>
    <row r="1892">
      <c r="A1892" s="4" t="str">
        <f>IFERROR(__xludf.DUMMYFUNCTION("""COMPUTED_VALUE"""),"9340N3")</f>
        <v>9340N3</v>
      </c>
      <c r="B1892" s="4" t="str">
        <f>IFERROR(__xludf.DUMMYFUNCTION("""COMPUTED_VALUE"""),"Señal MOPU C.D. 40x40 cm NIII")</f>
        <v>Señal MOPU C.D. 40x40 cm NIII</v>
      </c>
      <c r="C1892" s="4">
        <f>IFERROR(__xludf.DUMMYFUNCTION("""COMPUTED_VALUE"""),56.19)</f>
        <v>56.19</v>
      </c>
      <c r="D1892" s="4"/>
      <c r="E1892" s="4" t="str">
        <f>IFERROR(__xludf.DUMMYFUNCTION("""COMPUTED_VALUE"""),"Sin precio neto")</f>
        <v>Sin precio neto</v>
      </c>
    </row>
    <row r="1893">
      <c r="A1893" s="4" t="str">
        <f>IFERROR(__xludf.DUMMYFUNCTION("""COMPUTED_VALUE"""),"9360N")</f>
        <v>9360N</v>
      </c>
      <c r="B1893" s="4" t="str">
        <f>IFERROR(__xludf.DUMMYFUNCTION("""COMPUTED_VALUE"""),"Señal MOPU C.D. 60x60cm N")</f>
        <v>Señal MOPU C.D. 60x60cm N</v>
      </c>
      <c r="C1893" s="4">
        <f>IFERROR(__xludf.DUMMYFUNCTION("""COMPUTED_VALUE"""),31.25)</f>
        <v>31.25</v>
      </c>
      <c r="D1893" s="4"/>
      <c r="E1893" s="4" t="str">
        <f>IFERROR(__xludf.DUMMYFUNCTION("""COMPUTED_VALUE"""),"Sin precio neto")</f>
        <v>Sin precio neto</v>
      </c>
    </row>
    <row r="1894">
      <c r="A1894" s="4" t="str">
        <f>IFERROR(__xludf.DUMMYFUNCTION("""COMPUTED_VALUE"""),"9360N1")</f>
        <v>9360N1</v>
      </c>
      <c r="B1894" s="4" t="str">
        <f>IFERROR(__xludf.DUMMYFUNCTION("""COMPUTED_VALUE"""),"Señal MOPU C.D. 60x60cm NI")</f>
        <v>Señal MOPU C.D. 60x60cm NI</v>
      </c>
      <c r="C1894" s="4">
        <f>IFERROR(__xludf.DUMMYFUNCTION("""COMPUTED_VALUE"""),41.25)</f>
        <v>41.25</v>
      </c>
      <c r="D1894" s="4"/>
      <c r="E1894" s="4" t="str">
        <f>IFERROR(__xludf.DUMMYFUNCTION("""COMPUTED_VALUE"""),"Sin precio neto")</f>
        <v>Sin precio neto</v>
      </c>
    </row>
    <row r="1895">
      <c r="A1895" s="4" t="str">
        <f>IFERROR(__xludf.DUMMYFUNCTION("""COMPUTED_VALUE"""),"9360N2")</f>
        <v>9360N2</v>
      </c>
      <c r="B1895" s="4" t="str">
        <f>IFERROR(__xludf.DUMMYFUNCTION("""COMPUTED_VALUE"""),"Señal MOPU C.D. 60x60cm NII")</f>
        <v>Señal MOPU C.D. 60x60cm NII</v>
      </c>
      <c r="C1895" s="4">
        <f>IFERROR(__xludf.DUMMYFUNCTION("""COMPUTED_VALUE"""),49.25)</f>
        <v>49.25</v>
      </c>
      <c r="D1895" s="4"/>
      <c r="E1895" s="4" t="str">
        <f>IFERROR(__xludf.DUMMYFUNCTION("""COMPUTED_VALUE"""),"Sin precio neto")</f>
        <v>Sin precio neto</v>
      </c>
    </row>
    <row r="1896">
      <c r="A1896" s="4" t="str">
        <f>IFERROR(__xludf.DUMMYFUNCTION("""COMPUTED_VALUE"""),"9360N3")</f>
        <v>9360N3</v>
      </c>
      <c r="B1896" s="4" t="str">
        <f>IFERROR(__xludf.DUMMYFUNCTION("""COMPUTED_VALUE"""),"Señal MOPU C.D. 60x60cm NIII")</f>
        <v>Señal MOPU C.D. 60x60cm NIII</v>
      </c>
      <c r="C1896" s="4">
        <f>IFERROR(__xludf.DUMMYFUNCTION("""COMPUTED_VALUE"""),82.5)</f>
        <v>82.5</v>
      </c>
      <c r="D1896" s="4"/>
      <c r="E1896" s="4" t="str">
        <f>IFERROR(__xludf.DUMMYFUNCTION("""COMPUTED_VALUE"""),"Sin precio neto")</f>
        <v>Sin precio neto</v>
      </c>
    </row>
    <row r="1897">
      <c r="A1897" s="4" t="str">
        <f>IFERROR(__xludf.DUMMYFUNCTION("""COMPUTED_VALUE"""),"9390N")</f>
        <v>9390N</v>
      </c>
      <c r="B1897" s="4" t="str">
        <f>IFERROR(__xludf.DUMMYFUNCTION("""COMPUTED_VALUE"""),"Señal MOPU C.D. 90x90 cm N")</f>
        <v>Señal MOPU C.D. 90x90 cm N</v>
      </c>
      <c r="C1897" s="4">
        <f>IFERROR(__xludf.DUMMYFUNCTION("""COMPUTED_VALUE"""),69.25)</f>
        <v>69.25</v>
      </c>
      <c r="D1897" s="4"/>
      <c r="E1897" s="4" t="str">
        <f>IFERROR(__xludf.DUMMYFUNCTION("""COMPUTED_VALUE"""),"Sin precio neto")</f>
        <v>Sin precio neto</v>
      </c>
    </row>
    <row r="1898">
      <c r="A1898" s="4" t="str">
        <f>IFERROR(__xludf.DUMMYFUNCTION("""COMPUTED_VALUE"""),"9390N1")</f>
        <v>9390N1</v>
      </c>
      <c r="B1898" s="4" t="str">
        <f>IFERROR(__xludf.DUMMYFUNCTION("""COMPUTED_VALUE"""),"Señal MOPU C.D. 90x90 cm NI")</f>
        <v>Señal MOPU C.D. 90x90 cm NI</v>
      </c>
      <c r="C1898" s="4">
        <f>IFERROR(__xludf.DUMMYFUNCTION("""COMPUTED_VALUE"""),94.01)</f>
        <v>94.01</v>
      </c>
      <c r="D1898" s="4"/>
      <c r="E1898" s="4" t="str">
        <f>IFERROR(__xludf.DUMMYFUNCTION("""COMPUTED_VALUE"""),"Sin precio neto")</f>
        <v>Sin precio neto</v>
      </c>
    </row>
    <row r="1899">
      <c r="A1899" s="4" t="str">
        <f>IFERROR(__xludf.DUMMYFUNCTION("""COMPUTED_VALUE"""),"9390N2")</f>
        <v>9390N2</v>
      </c>
      <c r="B1899" s="4" t="str">
        <f>IFERROR(__xludf.DUMMYFUNCTION("""COMPUTED_VALUE"""),"Señal MOPU C.D. 90x90 cm NII")</f>
        <v>Señal MOPU C.D. 90x90 cm NII</v>
      </c>
      <c r="C1899" s="4">
        <f>IFERROR(__xludf.DUMMYFUNCTION("""COMPUTED_VALUE"""),136.82)</f>
        <v>136.82</v>
      </c>
      <c r="D1899" s="4"/>
      <c r="E1899" s="4" t="str">
        <f>IFERROR(__xludf.DUMMYFUNCTION("""COMPUTED_VALUE"""),"Sin precio neto")</f>
        <v>Sin precio neto</v>
      </c>
    </row>
    <row r="1900">
      <c r="A1900" s="4" t="str">
        <f>IFERROR(__xludf.DUMMYFUNCTION("""COMPUTED_VALUE"""),"9390N3")</f>
        <v>9390N3</v>
      </c>
      <c r="B1900" s="4" t="str">
        <f>IFERROR(__xludf.DUMMYFUNCTION("""COMPUTED_VALUE"""),"Señal MOPU C.D. 90x90 cm NIII")</f>
        <v>Señal MOPU C.D. 90x90 cm NIII</v>
      </c>
      <c r="C1900" s="4">
        <f>IFERROR(__xludf.DUMMYFUNCTION("""COMPUTED_VALUE"""),188.72)</f>
        <v>188.72</v>
      </c>
      <c r="D1900" s="4"/>
      <c r="E1900" s="4" t="str">
        <f>IFERROR(__xludf.DUMMYFUNCTION("""COMPUTED_VALUE"""),"Sin precio neto")</f>
        <v>Sin precio neto</v>
      </c>
    </row>
    <row r="1901">
      <c r="A1901" s="4" t="str">
        <f>IFERROR(__xludf.DUMMYFUNCTION("""COMPUTED_VALUE"""),"94120180N1")</f>
        <v>94120180N1</v>
      </c>
      <c r="B1901" s="4" t="str">
        <f>IFERROR(__xludf.DUMMYFUNCTION("""COMPUTED_VALUE"""),"Rectangulo MOPU 120x180 cm Reflex I")</f>
        <v>Rectangulo MOPU 120x180 cm Reflex I</v>
      </c>
      <c r="C1901" s="4">
        <f>IFERROR(__xludf.DUMMYFUNCTION("""COMPUTED_VALUE"""),218.25)</f>
        <v>218.25</v>
      </c>
      <c r="D1901" s="4"/>
      <c r="E1901" s="4" t="str">
        <f>IFERROR(__xludf.DUMMYFUNCTION("""COMPUTED_VALUE"""),"Sin precio neto")</f>
        <v>Sin precio neto</v>
      </c>
    </row>
    <row r="1902">
      <c r="A1902" s="4" t="str">
        <f>IFERROR(__xludf.DUMMYFUNCTION("""COMPUTED_VALUE"""),"94120180N2")</f>
        <v>94120180N2</v>
      </c>
      <c r="B1902" s="4" t="str">
        <f>IFERROR(__xludf.DUMMYFUNCTION("""COMPUTED_VALUE"""),"Rectangulo MOPU 120x180 cm Reflex II")</f>
        <v>Rectangulo MOPU 120x180 cm Reflex II</v>
      </c>
      <c r="C1902" s="4">
        <f>IFERROR(__xludf.DUMMYFUNCTION("""COMPUTED_VALUE"""),297.5)</f>
        <v>297.5</v>
      </c>
      <c r="D1902" s="4"/>
      <c r="E1902" s="4" t="str">
        <f>IFERROR(__xludf.DUMMYFUNCTION("""COMPUTED_VALUE"""),"Sin precio neto")</f>
        <v>Sin precio neto</v>
      </c>
    </row>
    <row r="1903">
      <c r="A1903" s="4" t="str">
        <f>IFERROR(__xludf.DUMMYFUNCTION("""COMPUTED_VALUE"""),"94120180N3")</f>
        <v>94120180N3</v>
      </c>
      <c r="B1903" s="4" t="str">
        <f>IFERROR(__xludf.DUMMYFUNCTION("""COMPUTED_VALUE"""),"Rectangulo MOPU 120x180 cm Reflex III")</f>
        <v>Rectangulo MOPU 120x180 cm Reflex III</v>
      </c>
      <c r="C1903" s="4">
        <f>IFERROR(__xludf.DUMMYFUNCTION("""COMPUTED_VALUE"""),427.5)</f>
        <v>427.5</v>
      </c>
      <c r="D1903" s="4"/>
      <c r="E1903" s="4" t="str">
        <f>IFERROR(__xludf.DUMMYFUNCTION("""COMPUTED_VALUE"""),"Sin precio neto")</f>
        <v>Sin precio neto</v>
      </c>
    </row>
    <row r="1904">
      <c r="A1904" s="4" t="str">
        <f>IFERROR(__xludf.DUMMYFUNCTION("""COMPUTED_VALUE"""),"94120210N1")</f>
        <v>94120210N1</v>
      </c>
      <c r="B1904" s="4" t="str">
        <f>IFERROR(__xludf.DUMMYFUNCTION("""COMPUTED_VALUE"""),"Rectangulo MOPU 120x210 cm Reflex I")</f>
        <v>Rectangulo MOPU 120x210 cm Reflex I</v>
      </c>
      <c r="C1904" s="4">
        <f>IFERROR(__xludf.DUMMYFUNCTION("""COMPUTED_VALUE"""),290.3)</f>
        <v>290.3</v>
      </c>
      <c r="D1904" s="4"/>
      <c r="E1904" s="4" t="str">
        <f>IFERROR(__xludf.DUMMYFUNCTION("""COMPUTED_VALUE"""),"Sin precio neto")</f>
        <v>Sin precio neto</v>
      </c>
    </row>
    <row r="1905">
      <c r="A1905" s="4" t="str">
        <f>IFERROR(__xludf.DUMMYFUNCTION("""COMPUTED_VALUE"""),"94120210N2")</f>
        <v>94120210N2</v>
      </c>
      <c r="B1905" s="4" t="str">
        <f>IFERROR(__xludf.DUMMYFUNCTION("""COMPUTED_VALUE"""),"Rectangulo MOPU 120x210 cm Reflex II")</f>
        <v>Rectangulo MOPU 120x210 cm Reflex II</v>
      </c>
      <c r="C1905" s="4">
        <f>IFERROR(__xludf.DUMMYFUNCTION("""COMPUTED_VALUE"""),440.0)</f>
        <v>440</v>
      </c>
      <c r="D1905" s="4"/>
      <c r="E1905" s="4" t="str">
        <f>IFERROR(__xludf.DUMMYFUNCTION("""COMPUTED_VALUE"""),"Sin precio neto")</f>
        <v>Sin precio neto</v>
      </c>
    </row>
    <row r="1906">
      <c r="A1906" s="4" t="str">
        <f>IFERROR(__xludf.DUMMYFUNCTION("""COMPUTED_VALUE"""),"94120210N3")</f>
        <v>94120210N3</v>
      </c>
      <c r="B1906" s="4" t="str">
        <f>IFERROR(__xludf.DUMMYFUNCTION("""COMPUTED_VALUE"""),"Rectangulo MOPU 120x210 cm Reflex III")</f>
        <v>Rectangulo MOPU 120x210 cm Reflex III</v>
      </c>
      <c r="C1906" s="4">
        <f>IFERROR(__xludf.DUMMYFUNCTION("""COMPUTED_VALUE"""),610.0)</f>
        <v>610</v>
      </c>
      <c r="D1906" s="4"/>
      <c r="E1906" s="4" t="str">
        <f>IFERROR(__xludf.DUMMYFUNCTION("""COMPUTED_VALUE"""),"Sin precio neto")</f>
        <v>Sin precio neto</v>
      </c>
    </row>
    <row r="1907">
      <c r="A1907" s="4" t="str">
        <f>IFERROR(__xludf.DUMMYFUNCTION("""COMPUTED_VALUE"""),"944060N")</f>
        <v>944060N</v>
      </c>
      <c r="B1907" s="4" t="str">
        <f>IFERROR(__xludf.DUMMYFUNCTION("""COMPUTED_VALUE"""),"Rectangulo MOPU 40x60 cm Normal")</f>
        <v>Rectangulo MOPU 40x60 cm Normal</v>
      </c>
      <c r="C1907" s="4">
        <f>IFERROR(__xludf.DUMMYFUNCTION("""COMPUTED_VALUE"""),33.0)</f>
        <v>33</v>
      </c>
      <c r="D1907" s="4"/>
      <c r="E1907" s="4" t="str">
        <f>IFERROR(__xludf.DUMMYFUNCTION("""COMPUTED_VALUE"""),"Sin precio neto")</f>
        <v>Sin precio neto</v>
      </c>
    </row>
    <row r="1908">
      <c r="A1908" s="4" t="str">
        <f>IFERROR(__xludf.DUMMYFUNCTION("""COMPUTED_VALUE"""),"944060N1")</f>
        <v>944060N1</v>
      </c>
      <c r="B1908" s="4" t="str">
        <f>IFERROR(__xludf.DUMMYFUNCTION("""COMPUTED_VALUE"""),"Rectangulo MOPU 40x60 cm Reflex I")</f>
        <v>Rectangulo MOPU 40x60 cm Reflex I</v>
      </c>
      <c r="C1908" s="4">
        <f>IFERROR(__xludf.DUMMYFUNCTION("""COMPUTED_VALUE"""),39.0)</f>
        <v>39</v>
      </c>
      <c r="D1908" s="4"/>
      <c r="E1908" s="4" t="str">
        <f>IFERROR(__xludf.DUMMYFUNCTION("""COMPUTED_VALUE"""),"Sin precio neto")</f>
        <v>Sin precio neto</v>
      </c>
    </row>
    <row r="1909">
      <c r="A1909" s="4" t="str">
        <f>IFERROR(__xludf.DUMMYFUNCTION("""COMPUTED_VALUE"""),"944060N2")</f>
        <v>944060N2</v>
      </c>
      <c r="B1909" s="4" t="str">
        <f>IFERROR(__xludf.DUMMYFUNCTION("""COMPUTED_VALUE"""),"Rectangulo MOPU 40x60 cm Reflex II")</f>
        <v>Rectangulo MOPU 40x60 cm Reflex II</v>
      </c>
      <c r="C1909" s="4">
        <f>IFERROR(__xludf.DUMMYFUNCTION("""COMPUTED_VALUE"""),43.0)</f>
        <v>43</v>
      </c>
      <c r="D1909" s="4"/>
      <c r="E1909" s="4" t="str">
        <f>IFERROR(__xludf.DUMMYFUNCTION("""COMPUTED_VALUE"""),"Sin precio neto")</f>
        <v>Sin precio neto</v>
      </c>
    </row>
    <row r="1910">
      <c r="A1910" s="4" t="str">
        <f>IFERROR(__xludf.DUMMYFUNCTION("""COMPUTED_VALUE"""),"944060N3")</f>
        <v>944060N3</v>
      </c>
      <c r="B1910" s="4" t="str">
        <f>IFERROR(__xludf.DUMMYFUNCTION("""COMPUTED_VALUE"""),"Rectangulo MOPU 40x60 cm Reflex III")</f>
        <v>Rectangulo MOPU 40x60 cm Reflex III</v>
      </c>
      <c r="C1910" s="4">
        <f>IFERROR(__xludf.DUMMYFUNCTION("""COMPUTED_VALUE"""),62.91)</f>
        <v>62.91</v>
      </c>
      <c r="D1910" s="4"/>
      <c r="E1910" s="4" t="str">
        <f>IFERROR(__xludf.DUMMYFUNCTION("""COMPUTED_VALUE"""),"Sin precio neto")</f>
        <v>Sin precio neto</v>
      </c>
    </row>
    <row r="1911">
      <c r="A1911" s="4" t="str">
        <f>IFERROR(__xludf.DUMMYFUNCTION("""COMPUTED_VALUE"""),"9460120N")</f>
        <v>9460120N</v>
      </c>
      <c r="B1911" s="4" t="str">
        <f>IFERROR(__xludf.DUMMYFUNCTION("""COMPUTED_VALUE"""),"Rectangulo MOPU 60x120 cm Normal")</f>
        <v>Rectangulo MOPU 60x120 cm Normal</v>
      </c>
      <c r="C1911" s="4">
        <f>IFERROR(__xludf.DUMMYFUNCTION("""COMPUTED_VALUE"""),84.0)</f>
        <v>84</v>
      </c>
      <c r="D1911" s="4"/>
      <c r="E1911" s="4" t="str">
        <f>IFERROR(__xludf.DUMMYFUNCTION("""COMPUTED_VALUE"""),"Sin precio neto")</f>
        <v>Sin precio neto</v>
      </c>
    </row>
    <row r="1912">
      <c r="A1912" s="4" t="str">
        <f>IFERROR(__xludf.DUMMYFUNCTION("""COMPUTED_VALUE"""),"9460120N1")</f>
        <v>9460120N1</v>
      </c>
      <c r="B1912" s="4" t="str">
        <f>IFERROR(__xludf.DUMMYFUNCTION("""COMPUTED_VALUE"""),"Rectangulo MOPU 60x120 cm Reflex I")</f>
        <v>Rectangulo MOPU 60x120 cm Reflex I</v>
      </c>
      <c r="C1912" s="4">
        <f>IFERROR(__xludf.DUMMYFUNCTION("""COMPUTED_VALUE"""),99.58)</f>
        <v>99.58</v>
      </c>
      <c r="D1912" s="4"/>
      <c r="E1912" s="4" t="str">
        <f>IFERROR(__xludf.DUMMYFUNCTION("""COMPUTED_VALUE"""),"Sin precio neto")</f>
        <v>Sin precio neto</v>
      </c>
    </row>
    <row r="1913">
      <c r="A1913" s="4" t="str">
        <f>IFERROR(__xludf.DUMMYFUNCTION("""COMPUTED_VALUE"""),"9460120N2")</f>
        <v>9460120N2</v>
      </c>
      <c r="B1913" s="4" t="str">
        <f>IFERROR(__xludf.DUMMYFUNCTION("""COMPUTED_VALUE"""),"Rectangulo MOPU 60x120 cm Reflex II")</f>
        <v>Rectangulo MOPU 60x120 cm Reflex II</v>
      </c>
      <c r="C1913" s="4">
        <f>IFERROR(__xludf.DUMMYFUNCTION("""COMPUTED_VALUE"""),131.04)</f>
        <v>131.04</v>
      </c>
      <c r="D1913" s="4"/>
      <c r="E1913" s="4" t="str">
        <f>IFERROR(__xludf.DUMMYFUNCTION("""COMPUTED_VALUE"""),"Sin precio neto")</f>
        <v>Sin precio neto</v>
      </c>
    </row>
    <row r="1914">
      <c r="A1914" s="4" t="str">
        <f>IFERROR(__xludf.DUMMYFUNCTION("""COMPUTED_VALUE"""),"9460120N3")</f>
        <v>9460120N3</v>
      </c>
      <c r="B1914" s="4" t="str">
        <f>IFERROR(__xludf.DUMMYFUNCTION("""COMPUTED_VALUE"""),"Rectangulo MOPU 60x120 cm Reflex III")</f>
        <v>Rectangulo MOPU 60x120 cm Reflex III</v>
      </c>
      <c r="C1914" s="4">
        <f>IFERROR(__xludf.DUMMYFUNCTION("""COMPUTED_VALUE"""),167.75)</f>
        <v>167.75</v>
      </c>
      <c r="D1914" s="4"/>
      <c r="E1914" s="4" t="str">
        <f>IFERROR(__xludf.DUMMYFUNCTION("""COMPUTED_VALUE"""),"Sin precio neto")</f>
        <v>Sin precio neto</v>
      </c>
    </row>
    <row r="1915">
      <c r="A1915" s="4" t="str">
        <f>IFERROR(__xludf.DUMMYFUNCTION("""COMPUTED_VALUE"""),"946090N")</f>
        <v>946090N</v>
      </c>
      <c r="B1915" s="4" t="str">
        <f>IFERROR(__xludf.DUMMYFUNCTION("""COMPUTED_VALUE"""),"Rectangulo MOPU 60x90 cm Normal")</f>
        <v>Rectangulo MOPU 60x90 cm Normal</v>
      </c>
      <c r="C1915" s="4">
        <f>IFERROR(__xludf.DUMMYFUNCTION("""COMPUTED_VALUE"""),65.74)</f>
        <v>65.74</v>
      </c>
      <c r="D1915" s="4"/>
      <c r="E1915" s="4" t="str">
        <f>IFERROR(__xludf.DUMMYFUNCTION("""COMPUTED_VALUE"""),"Sin precio neto")</f>
        <v>Sin precio neto</v>
      </c>
    </row>
    <row r="1916">
      <c r="A1916" s="4" t="str">
        <f>IFERROR(__xludf.DUMMYFUNCTION("""COMPUTED_VALUE"""),"946090N1")</f>
        <v>946090N1</v>
      </c>
      <c r="B1916" s="4" t="str">
        <f>IFERROR(__xludf.DUMMYFUNCTION("""COMPUTED_VALUE"""),"Rectangulo MOPU 60x90 cm Reflex I")</f>
        <v>Rectangulo MOPU 60x90 cm Reflex I</v>
      </c>
      <c r="C1916" s="4">
        <f>IFERROR(__xludf.DUMMYFUNCTION("""COMPUTED_VALUE"""),72.09)</f>
        <v>72.09</v>
      </c>
      <c r="D1916" s="4"/>
      <c r="E1916" s="4" t="str">
        <f>IFERROR(__xludf.DUMMYFUNCTION("""COMPUTED_VALUE"""),"Sin precio neto")</f>
        <v>Sin precio neto</v>
      </c>
    </row>
    <row r="1917">
      <c r="A1917" s="4" t="str">
        <f>IFERROR(__xludf.DUMMYFUNCTION("""COMPUTED_VALUE"""),"946090N2")</f>
        <v>946090N2</v>
      </c>
      <c r="B1917" s="4" t="str">
        <f>IFERROR(__xludf.DUMMYFUNCTION("""COMPUTED_VALUE"""),"Rectangulo MOPU 60x90 cm Reflex II")</f>
        <v>Rectangulo MOPU 60x90 cm Reflex II</v>
      </c>
      <c r="C1917" s="4">
        <f>IFERROR(__xludf.DUMMYFUNCTION("""COMPUTED_VALUE"""),100.91)</f>
        <v>100.91</v>
      </c>
      <c r="D1917" s="4"/>
      <c r="E1917" s="4" t="str">
        <f>IFERROR(__xludf.DUMMYFUNCTION("""COMPUTED_VALUE"""),"Sin precio neto")</f>
        <v>Sin precio neto</v>
      </c>
    </row>
    <row r="1918">
      <c r="A1918" s="4" t="str">
        <f>IFERROR(__xludf.DUMMYFUNCTION("""COMPUTED_VALUE"""),"946090N3")</f>
        <v>946090N3</v>
      </c>
      <c r="B1918" s="4" t="str">
        <f>IFERROR(__xludf.DUMMYFUNCTION("""COMPUTED_VALUE"""),"Rectangulo MOPU 60x90 cm Reflex III")</f>
        <v>Rectangulo MOPU 60x90 cm Reflex III</v>
      </c>
      <c r="C1918" s="4">
        <f>IFERROR(__xludf.DUMMYFUNCTION("""COMPUTED_VALUE"""),132.26)</f>
        <v>132.26</v>
      </c>
      <c r="D1918" s="4"/>
      <c r="E1918" s="4" t="str">
        <f>IFERROR(__xludf.DUMMYFUNCTION("""COMPUTED_VALUE"""),"Sin precio neto")</f>
        <v>Sin precio neto</v>
      </c>
    </row>
    <row r="1919">
      <c r="A1919" s="4" t="str">
        <f>IFERROR(__xludf.DUMMYFUNCTION("""COMPUTED_VALUE"""),"9490135N")</f>
        <v>9490135N</v>
      </c>
      <c r="B1919" s="4" t="str">
        <f>IFERROR(__xludf.DUMMYFUNCTION("""COMPUTED_VALUE"""),"Rectangulo MOPU 90x135 cm Normal")</f>
        <v>Rectangulo MOPU 90x135 cm Normal</v>
      </c>
      <c r="C1919" s="4">
        <f>IFERROR(__xludf.DUMMYFUNCTION("""COMPUTED_VALUE"""),115.96)</f>
        <v>115.96</v>
      </c>
      <c r="D1919" s="4"/>
      <c r="E1919" s="4" t="str">
        <f>IFERROR(__xludf.DUMMYFUNCTION("""COMPUTED_VALUE"""),"Sin precio neto")</f>
        <v>Sin precio neto</v>
      </c>
    </row>
    <row r="1920">
      <c r="A1920" s="4" t="str">
        <f>IFERROR(__xludf.DUMMYFUNCTION("""COMPUTED_VALUE"""),"9490135N1")</f>
        <v>9490135N1</v>
      </c>
      <c r="B1920" s="4" t="str">
        <f>IFERROR(__xludf.DUMMYFUNCTION("""COMPUTED_VALUE"""),"Rectangulo MOPU 90x135 cm Reflex I")</f>
        <v>Rectangulo MOPU 90x135 cm Reflex I</v>
      </c>
      <c r="C1920" s="4">
        <f>IFERROR(__xludf.DUMMYFUNCTION("""COMPUTED_VALUE"""),267.24)</f>
        <v>267.24</v>
      </c>
      <c r="D1920" s="4"/>
      <c r="E1920" s="4" t="str">
        <f>IFERROR(__xludf.DUMMYFUNCTION("""COMPUTED_VALUE"""),"Sin precio neto")</f>
        <v>Sin precio neto</v>
      </c>
    </row>
    <row r="1921">
      <c r="A1921" s="4" t="str">
        <f>IFERROR(__xludf.DUMMYFUNCTION("""COMPUTED_VALUE"""),"9490135N2")</f>
        <v>9490135N2</v>
      </c>
      <c r="B1921" s="4" t="str">
        <f>IFERROR(__xludf.DUMMYFUNCTION("""COMPUTED_VALUE"""),"Rectangulo MOPU 90x135 cm Reflex II")</f>
        <v>Rectangulo MOPU 90x135 cm Reflex II</v>
      </c>
      <c r="C1921" s="4">
        <f>IFERROR(__xludf.DUMMYFUNCTION("""COMPUTED_VALUE"""),202.5)</f>
        <v>202.5</v>
      </c>
      <c r="D1921" s="4"/>
      <c r="E1921" s="4" t="str">
        <f>IFERROR(__xludf.DUMMYFUNCTION("""COMPUTED_VALUE"""),"Sin precio neto")</f>
        <v>Sin precio neto</v>
      </c>
    </row>
    <row r="1922">
      <c r="A1922" s="4" t="str">
        <f>IFERROR(__xludf.DUMMYFUNCTION("""COMPUTED_VALUE"""),"9490135N3")</f>
        <v>9490135N3</v>
      </c>
      <c r="B1922" s="4" t="str">
        <f>IFERROR(__xludf.DUMMYFUNCTION("""COMPUTED_VALUE"""),"Rectangulo MOPU 90x135 cm Reflex III")</f>
        <v>Rectangulo MOPU 90x135 cm Reflex III</v>
      </c>
      <c r="C1922" s="4">
        <f>IFERROR(__xludf.DUMMYFUNCTION("""COMPUTED_VALUE"""),267.5)</f>
        <v>267.5</v>
      </c>
      <c r="D1922" s="4"/>
      <c r="E1922" s="4" t="str">
        <f>IFERROR(__xludf.DUMMYFUNCTION("""COMPUTED_VALUE"""),"Sin precio neto")</f>
        <v>Sin precio neto</v>
      </c>
    </row>
    <row r="1923">
      <c r="A1923" s="4" t="str">
        <f>IFERROR(__xludf.DUMMYFUNCTION("""COMPUTED_VALUE"""),"9500N")</f>
        <v>9500N</v>
      </c>
      <c r="B1923" s="4" t="str">
        <f>IFERROR(__xludf.DUMMYFUNCTION("""COMPUTED_VALUE"""),"Señal Aluminio Triangular 70 cm Normal")</f>
        <v>Señal Aluminio Triangular 70 cm Normal</v>
      </c>
      <c r="C1923" s="4">
        <f>IFERROR(__xludf.DUMMYFUNCTION("""COMPUTED_VALUE"""),27.0)</f>
        <v>27</v>
      </c>
      <c r="D1923" s="4"/>
      <c r="E1923" s="4" t="str">
        <f>IFERROR(__xludf.DUMMYFUNCTION("""COMPUTED_VALUE"""),"Sin precio neto")</f>
        <v>Sin precio neto</v>
      </c>
    </row>
    <row r="1924">
      <c r="A1924" s="4" t="str">
        <f>IFERROR(__xludf.DUMMYFUNCTION("""COMPUTED_VALUE"""),"9500N1")</f>
        <v>9500N1</v>
      </c>
      <c r="B1924" s="4" t="str">
        <f>IFERROR(__xludf.DUMMYFUNCTION("""COMPUTED_VALUE"""),"Señal Aluminio Triangular 70 cm Nivel 1")</f>
        <v>Señal Aluminio Triangular 70 cm Nivel 1</v>
      </c>
      <c r="C1924" s="4">
        <f>IFERROR(__xludf.DUMMYFUNCTION("""COMPUTED_VALUE"""),30.0)</f>
        <v>30</v>
      </c>
      <c r="D1924" s="4"/>
      <c r="E1924" s="4" t="str">
        <f>IFERROR(__xludf.DUMMYFUNCTION("""COMPUTED_VALUE"""),"Sin precio neto")</f>
        <v>Sin precio neto</v>
      </c>
    </row>
    <row r="1925">
      <c r="A1925" s="4" t="str">
        <f>IFERROR(__xludf.DUMMYFUNCTION("""COMPUTED_VALUE"""),"954020N")</f>
        <v>954020N</v>
      </c>
      <c r="B1925" s="4" t="str">
        <f>IFERROR(__xludf.DUMMYFUNCTION("""COMPUTED_VALUE"""),"Señal MOPU complementaria 40x20 cm Normal")</f>
        <v>Señal MOPU complementaria 40x20 cm Normal</v>
      </c>
      <c r="C1925" s="4">
        <f>IFERROR(__xludf.DUMMYFUNCTION("""COMPUTED_VALUE"""),19.0)</f>
        <v>19</v>
      </c>
      <c r="D1925" s="4"/>
      <c r="E1925" s="4" t="str">
        <f>IFERROR(__xludf.DUMMYFUNCTION("""COMPUTED_VALUE"""),"Sin precio neto")</f>
        <v>Sin precio neto</v>
      </c>
    </row>
    <row r="1926">
      <c r="A1926" s="4" t="str">
        <f>IFERROR(__xludf.DUMMYFUNCTION("""COMPUTED_VALUE"""),"954020N1")</f>
        <v>954020N1</v>
      </c>
      <c r="B1926" s="4" t="str">
        <f>IFERROR(__xludf.DUMMYFUNCTION("""COMPUTED_VALUE"""),"Señal MOPU complementaria 40x20 cm Reflex I")</f>
        <v>Señal MOPU complementaria 40x20 cm Reflex I</v>
      </c>
      <c r="C1926" s="4">
        <f>IFERROR(__xludf.DUMMYFUNCTION("""COMPUTED_VALUE"""),22.25)</f>
        <v>22.25</v>
      </c>
      <c r="D1926" s="4"/>
      <c r="E1926" s="4" t="str">
        <f>IFERROR(__xludf.DUMMYFUNCTION("""COMPUTED_VALUE"""),"Sin precio neto")</f>
        <v>Sin precio neto</v>
      </c>
    </row>
    <row r="1927">
      <c r="A1927" s="4" t="str">
        <f>IFERROR(__xludf.DUMMYFUNCTION("""COMPUTED_VALUE"""),"954020N2")</f>
        <v>954020N2</v>
      </c>
      <c r="B1927" s="4" t="str">
        <f>IFERROR(__xludf.DUMMYFUNCTION("""COMPUTED_VALUE"""),"Señal MOPU complementaria 40x20 cm Reflex II")</f>
        <v>Señal MOPU complementaria 40x20 cm Reflex II</v>
      </c>
      <c r="C1927" s="4">
        <f>IFERROR(__xludf.DUMMYFUNCTION("""COMPUTED_VALUE"""),27.25)</f>
        <v>27.25</v>
      </c>
      <c r="D1927" s="4"/>
      <c r="E1927" s="4" t="str">
        <f>IFERROR(__xludf.DUMMYFUNCTION("""COMPUTED_VALUE"""),"Sin precio neto")</f>
        <v>Sin precio neto</v>
      </c>
    </row>
    <row r="1928">
      <c r="A1928" s="4" t="str">
        <f>IFERROR(__xludf.DUMMYFUNCTION("""COMPUTED_VALUE"""),"954020N3")</f>
        <v>954020N3</v>
      </c>
      <c r="B1928" s="4" t="str">
        <f>IFERROR(__xludf.DUMMYFUNCTION("""COMPUTED_VALUE"""),"Señal MOPU complemenaria 40x20 cm Reflex III")</f>
        <v>Señal MOPU complemenaria 40x20 cm Reflex III</v>
      </c>
      <c r="C1928" s="4">
        <f>IFERROR(__xludf.DUMMYFUNCTION("""COMPUTED_VALUE"""),31.4)</f>
        <v>31.4</v>
      </c>
      <c r="D1928" s="4"/>
      <c r="E1928" s="4" t="str">
        <f>IFERROR(__xludf.DUMMYFUNCTION("""COMPUTED_VALUE"""),"Sin precio neto")</f>
        <v>Sin precio neto</v>
      </c>
    </row>
    <row r="1929">
      <c r="A1929" s="4" t="str">
        <f>IFERROR(__xludf.DUMMYFUNCTION("""COMPUTED_VALUE"""),"956020N")</f>
        <v>956020N</v>
      </c>
      <c r="B1929" s="4" t="str">
        <f>IFERROR(__xludf.DUMMYFUNCTION("""COMPUTED_VALUE"""),"Señal MOPU complementaria 60x20 cm Normal")</f>
        <v>Señal MOPU complementaria 60x20 cm Normal</v>
      </c>
      <c r="C1929" s="4">
        <f>IFERROR(__xludf.DUMMYFUNCTION("""COMPUTED_VALUE"""),23.4)</f>
        <v>23.4</v>
      </c>
      <c r="D1929" s="4"/>
      <c r="E1929" s="4" t="str">
        <f>IFERROR(__xludf.DUMMYFUNCTION("""COMPUTED_VALUE"""),"Sin precio neto")</f>
        <v>Sin precio neto</v>
      </c>
    </row>
    <row r="1930">
      <c r="A1930" s="4" t="str">
        <f>IFERROR(__xludf.DUMMYFUNCTION("""COMPUTED_VALUE"""),"956020N1")</f>
        <v>956020N1</v>
      </c>
      <c r="B1930" s="4" t="str">
        <f>IFERROR(__xludf.DUMMYFUNCTION("""COMPUTED_VALUE"""),"Señal MOPU complementaria 60x20 cm Reflex I")</f>
        <v>Señal MOPU complementaria 60x20 cm Reflex I</v>
      </c>
      <c r="C1930" s="4">
        <f>IFERROR(__xludf.DUMMYFUNCTION("""COMPUTED_VALUE"""),32.25)</f>
        <v>32.25</v>
      </c>
      <c r="D1930" s="4"/>
      <c r="E1930" s="4" t="str">
        <f>IFERROR(__xludf.DUMMYFUNCTION("""COMPUTED_VALUE"""),"Sin precio neto")</f>
        <v>Sin precio neto</v>
      </c>
    </row>
    <row r="1931">
      <c r="A1931" s="4" t="str">
        <f>IFERROR(__xludf.DUMMYFUNCTION("""COMPUTED_VALUE"""),"956020N2")</f>
        <v>956020N2</v>
      </c>
      <c r="B1931" s="4" t="str">
        <f>IFERROR(__xludf.DUMMYFUNCTION("""COMPUTED_VALUE"""),"Señal MOPU complementaria 60x20 cm Reflex II")</f>
        <v>Señal MOPU complementaria 60x20 cm Reflex II</v>
      </c>
      <c r="C1931" s="4">
        <f>IFERROR(__xludf.DUMMYFUNCTION("""COMPUTED_VALUE"""),35.0)</f>
        <v>35</v>
      </c>
      <c r="D1931" s="4"/>
      <c r="E1931" s="4" t="str">
        <f>IFERROR(__xludf.DUMMYFUNCTION("""COMPUTED_VALUE"""),"Sin precio neto")</f>
        <v>Sin precio neto</v>
      </c>
    </row>
    <row r="1932">
      <c r="A1932" s="4" t="str">
        <f>IFERROR(__xludf.DUMMYFUNCTION("""COMPUTED_VALUE"""),"956020N3")</f>
        <v>956020N3</v>
      </c>
      <c r="B1932" s="4" t="str">
        <f>IFERROR(__xludf.DUMMYFUNCTION("""COMPUTED_VALUE"""),"Señal MOPU complementaria 60x20 cm Reflex III")</f>
        <v>Señal MOPU complementaria 60x20 cm Reflex III</v>
      </c>
      <c r="C1932" s="4">
        <f>IFERROR(__xludf.DUMMYFUNCTION("""COMPUTED_VALUE"""),39.75)</f>
        <v>39.75</v>
      </c>
      <c r="D1932" s="4"/>
      <c r="E1932" s="4" t="str">
        <f>IFERROR(__xludf.DUMMYFUNCTION("""COMPUTED_VALUE"""),"Sin precio neto")</f>
        <v>Sin precio neto</v>
      </c>
    </row>
    <row r="1933">
      <c r="A1933" s="4" t="str">
        <f>IFERROR(__xludf.DUMMYFUNCTION("""COMPUTED_VALUE"""),"956030N")</f>
        <v>956030N</v>
      </c>
      <c r="B1933" s="4" t="str">
        <f>IFERROR(__xludf.DUMMYFUNCTION("""COMPUTED_VALUE"""),"Señal MOPU complementaria 60x30 cm Normal")</f>
        <v>Señal MOPU complementaria 60x30 cm Normal</v>
      </c>
      <c r="C1933" s="4">
        <f>IFERROR(__xludf.DUMMYFUNCTION("""COMPUTED_VALUE"""),29.25)</f>
        <v>29.25</v>
      </c>
      <c r="D1933" s="4"/>
      <c r="E1933" s="4" t="str">
        <f>IFERROR(__xludf.DUMMYFUNCTION("""COMPUTED_VALUE"""),"Sin precio neto")</f>
        <v>Sin precio neto</v>
      </c>
    </row>
    <row r="1934">
      <c r="A1934" s="4" t="str">
        <f>IFERROR(__xludf.DUMMYFUNCTION("""COMPUTED_VALUE"""),"956030N1")</f>
        <v>956030N1</v>
      </c>
      <c r="B1934" s="4" t="str">
        <f>IFERROR(__xludf.DUMMYFUNCTION("""COMPUTED_VALUE"""),"Señal MOPU complementaria 60x30 cm Reflex I")</f>
        <v>Señal MOPU complementaria 60x30 cm Reflex I</v>
      </c>
      <c r="C1934" s="4">
        <f>IFERROR(__xludf.DUMMYFUNCTION("""COMPUTED_VALUE"""),28.25)</f>
        <v>28.25</v>
      </c>
      <c r="D1934" s="4"/>
      <c r="E1934" s="4" t="str">
        <f>IFERROR(__xludf.DUMMYFUNCTION("""COMPUTED_VALUE"""),"Sin precio neto")</f>
        <v>Sin precio neto</v>
      </c>
    </row>
    <row r="1935">
      <c r="A1935" s="4" t="str">
        <f>IFERROR(__xludf.DUMMYFUNCTION("""COMPUTED_VALUE"""),"956030N2")</f>
        <v>956030N2</v>
      </c>
      <c r="B1935" s="4" t="str">
        <f>IFERROR(__xludf.DUMMYFUNCTION("""COMPUTED_VALUE"""),"Señal MOPU complementaria 60x30 cm Reflex II")</f>
        <v>Señal MOPU complementaria 60x30 cm Reflex II</v>
      </c>
      <c r="C1935" s="4">
        <f>IFERROR(__xludf.DUMMYFUNCTION("""COMPUTED_VALUE"""),39.4)</f>
        <v>39.4</v>
      </c>
      <c r="D1935" s="4"/>
      <c r="E1935" s="4" t="str">
        <f>IFERROR(__xludf.DUMMYFUNCTION("""COMPUTED_VALUE"""),"Sin precio neto")</f>
        <v>Sin precio neto</v>
      </c>
    </row>
    <row r="1936">
      <c r="A1936" s="4" t="str">
        <f>IFERROR(__xludf.DUMMYFUNCTION("""COMPUTED_VALUE"""),"956030N3")</f>
        <v>956030N3</v>
      </c>
      <c r="B1936" s="4" t="str">
        <f>IFERROR(__xludf.DUMMYFUNCTION("""COMPUTED_VALUE"""),"Señal MOPu complementaria 60x30 cm Reflex III")</f>
        <v>Señal MOPu complementaria 60x30 cm Reflex III</v>
      </c>
      <c r="C1936" s="4">
        <f>IFERROR(__xludf.DUMMYFUNCTION("""COMPUTED_VALUE"""),49.4)</f>
        <v>49.4</v>
      </c>
      <c r="D1936" s="4"/>
      <c r="E1936" s="4" t="str">
        <f>IFERROR(__xludf.DUMMYFUNCTION("""COMPUTED_VALUE"""),"Sin precio neto")</f>
        <v>Sin precio neto</v>
      </c>
    </row>
    <row r="1937">
      <c r="A1937" s="4" t="str">
        <f>IFERROR(__xludf.DUMMYFUNCTION("""COMPUTED_VALUE"""),"956040N")</f>
        <v>956040N</v>
      </c>
      <c r="B1937" s="4" t="str">
        <f>IFERROR(__xludf.DUMMYFUNCTION("""COMPUTED_VALUE"""),"Señal MOPU complementaria 60x40 cm Normal")</f>
        <v>Señal MOPU complementaria 60x40 cm Normal</v>
      </c>
      <c r="C1937" s="4">
        <f>IFERROR(__xludf.DUMMYFUNCTION("""COMPUTED_VALUE"""),39.2)</f>
        <v>39.2</v>
      </c>
      <c r="D1937" s="4"/>
      <c r="E1937" s="4" t="str">
        <f>IFERROR(__xludf.DUMMYFUNCTION("""COMPUTED_VALUE"""),"Sin precio neto")</f>
        <v>Sin precio neto</v>
      </c>
    </row>
    <row r="1938">
      <c r="A1938" s="4" t="str">
        <f>IFERROR(__xludf.DUMMYFUNCTION("""COMPUTED_VALUE"""),"956040N1")</f>
        <v>956040N1</v>
      </c>
      <c r="B1938" s="4" t="str">
        <f>IFERROR(__xludf.DUMMYFUNCTION("""COMPUTED_VALUE"""),"Señal MOPU complementaria 60x40 cm Reflex I")</f>
        <v>Señal MOPU complementaria 60x40 cm Reflex I</v>
      </c>
      <c r="C1938" s="4">
        <f>IFERROR(__xludf.DUMMYFUNCTION("""COMPUTED_VALUE"""),39.9)</f>
        <v>39.9</v>
      </c>
      <c r="D1938" s="4"/>
      <c r="E1938" s="4" t="str">
        <f>IFERROR(__xludf.DUMMYFUNCTION("""COMPUTED_VALUE"""),"Sin precio neto")</f>
        <v>Sin precio neto</v>
      </c>
    </row>
    <row r="1939">
      <c r="A1939" s="4" t="str">
        <f>IFERROR(__xludf.DUMMYFUNCTION("""COMPUTED_VALUE"""),"956040N2")</f>
        <v>956040N2</v>
      </c>
      <c r="B1939" s="4" t="str">
        <f>IFERROR(__xludf.DUMMYFUNCTION("""COMPUTED_VALUE"""),"Señal MOPU complementaria 60x40 cm Reflex II")</f>
        <v>Señal MOPU complementaria 60x40 cm Reflex II</v>
      </c>
      <c r="C1939" s="4">
        <f>IFERROR(__xludf.DUMMYFUNCTION("""COMPUTED_VALUE"""),42.25)</f>
        <v>42.25</v>
      </c>
      <c r="D1939" s="4"/>
      <c r="E1939" s="4" t="str">
        <f>IFERROR(__xludf.DUMMYFUNCTION("""COMPUTED_VALUE"""),"Sin precio neto")</f>
        <v>Sin precio neto</v>
      </c>
    </row>
    <row r="1940">
      <c r="A1940" s="4" t="str">
        <f>IFERROR(__xludf.DUMMYFUNCTION("""COMPUTED_VALUE"""),"956040N3")</f>
        <v>956040N3</v>
      </c>
      <c r="B1940" s="4" t="str">
        <f>IFERROR(__xludf.DUMMYFUNCTION("""COMPUTED_VALUE"""),"Señal MOPU complementaria 60x40 cm Reflex III")</f>
        <v>Señal MOPU complementaria 60x40 cm Reflex III</v>
      </c>
      <c r="C1940" s="4">
        <f>IFERROR(__xludf.DUMMYFUNCTION("""COMPUTED_VALUE"""),64.25)</f>
        <v>64.25</v>
      </c>
      <c r="D1940" s="4"/>
      <c r="E1940" s="4" t="str">
        <f>IFERROR(__xludf.DUMMYFUNCTION("""COMPUTED_VALUE"""),"Sin precio neto")</f>
        <v>Sin precio neto</v>
      </c>
    </row>
    <row r="1941">
      <c r="A1941" s="4" t="str">
        <f>IFERROR(__xludf.DUMMYFUNCTION("""COMPUTED_VALUE"""),"958040N")</f>
        <v>958040N</v>
      </c>
      <c r="B1941" s="4" t="str">
        <f>IFERROR(__xludf.DUMMYFUNCTION("""COMPUTED_VALUE"""),"Señal MOPU complementaria 80x40 Normal")</f>
        <v>Señal MOPU complementaria 80x40 Normal</v>
      </c>
      <c r="C1941" s="4">
        <f>IFERROR(__xludf.DUMMYFUNCTION("""COMPUTED_VALUE"""),34.75)</f>
        <v>34.75</v>
      </c>
      <c r="D1941" s="4"/>
      <c r="E1941" s="4" t="str">
        <f>IFERROR(__xludf.DUMMYFUNCTION("""COMPUTED_VALUE"""),"Sin precio neto")</f>
        <v>Sin precio neto</v>
      </c>
    </row>
    <row r="1942">
      <c r="A1942" s="4" t="str">
        <f>IFERROR(__xludf.DUMMYFUNCTION("""COMPUTED_VALUE"""),"958040N1")</f>
        <v>958040N1</v>
      </c>
      <c r="B1942" s="4" t="str">
        <f>IFERROR(__xludf.DUMMYFUNCTION("""COMPUTED_VALUE"""),"Señal MOPU complementaria 80x40 cm Reflex I")</f>
        <v>Señal MOPU complementaria 80x40 cm Reflex I</v>
      </c>
      <c r="C1942" s="4">
        <f>IFERROR(__xludf.DUMMYFUNCTION("""COMPUTED_VALUE"""),47.25)</f>
        <v>47.25</v>
      </c>
      <c r="D1942" s="4"/>
      <c r="E1942" s="4" t="str">
        <f>IFERROR(__xludf.DUMMYFUNCTION("""COMPUTED_VALUE"""),"Sin precio neto")</f>
        <v>Sin precio neto</v>
      </c>
    </row>
    <row r="1943">
      <c r="A1943" s="4" t="str">
        <f>IFERROR(__xludf.DUMMYFUNCTION("""COMPUTED_VALUE"""),"958040N2")</f>
        <v>958040N2</v>
      </c>
      <c r="B1943" s="4" t="str">
        <f>IFERROR(__xludf.DUMMYFUNCTION("""COMPUTED_VALUE"""),"Señal MOPU complementaria 80x40 cm Reflex II")</f>
        <v>Señal MOPU complementaria 80x40 cm Reflex II</v>
      </c>
      <c r="C1943" s="4">
        <f>IFERROR(__xludf.DUMMYFUNCTION("""COMPUTED_VALUE"""),59.25)</f>
        <v>59.25</v>
      </c>
      <c r="D1943" s="4"/>
      <c r="E1943" s="4" t="str">
        <f>IFERROR(__xludf.DUMMYFUNCTION("""COMPUTED_VALUE"""),"Sin precio neto")</f>
        <v>Sin precio neto</v>
      </c>
    </row>
    <row r="1944">
      <c r="A1944" s="4" t="str">
        <f>IFERROR(__xludf.DUMMYFUNCTION("""COMPUTED_VALUE"""),"958040N3")</f>
        <v>958040N3</v>
      </c>
      <c r="B1944" s="4" t="str">
        <f>IFERROR(__xludf.DUMMYFUNCTION("""COMPUTED_VALUE"""),"Señal MOPu complementaria 80x40 cm Reflex III")</f>
        <v>Señal MOPu complementaria 80x40 cm Reflex III</v>
      </c>
      <c r="C1944" s="4">
        <f>IFERROR(__xludf.DUMMYFUNCTION("""COMPUTED_VALUE"""),74.75)</f>
        <v>74.75</v>
      </c>
      <c r="D1944" s="4"/>
      <c r="E1944" s="4" t="str">
        <f>IFERROR(__xludf.DUMMYFUNCTION("""COMPUTED_VALUE"""),"Sin precio neto")</f>
        <v>Sin precio neto</v>
      </c>
    </row>
    <row r="1945">
      <c r="A1945" s="4" t="str">
        <f>IFERROR(__xludf.DUMMYFUNCTION("""COMPUTED_VALUE"""),"958520N")</f>
        <v>958520N</v>
      </c>
      <c r="B1945" s="4" t="str">
        <f>IFERROR(__xludf.DUMMYFUNCTION("""COMPUTED_VALUE"""),"Señal MOPU complementaria 85x20 Normal")</f>
        <v>Señal MOPU complementaria 85x20 Normal</v>
      </c>
      <c r="C1945" s="4">
        <f>IFERROR(__xludf.DUMMYFUNCTION("""COMPUTED_VALUE"""),34.4)</f>
        <v>34.4</v>
      </c>
      <c r="D1945" s="4"/>
      <c r="E1945" s="4" t="str">
        <f>IFERROR(__xludf.DUMMYFUNCTION("""COMPUTED_VALUE"""),"Sin precio neto")</f>
        <v>Sin precio neto</v>
      </c>
    </row>
    <row r="1946">
      <c r="A1946" s="4" t="str">
        <f>IFERROR(__xludf.DUMMYFUNCTION("""COMPUTED_VALUE"""),"958520N1")</f>
        <v>958520N1</v>
      </c>
      <c r="B1946" s="4" t="str">
        <f>IFERROR(__xludf.DUMMYFUNCTION("""COMPUTED_VALUE"""),"Señal MOPU complementaria 85x20 cm Reflex I")</f>
        <v>Señal MOPU complementaria 85x20 cm Reflex I</v>
      </c>
      <c r="C1946" s="4">
        <f>IFERROR(__xludf.DUMMYFUNCTION("""COMPUTED_VALUE"""),35.25)</f>
        <v>35.25</v>
      </c>
      <c r="D1946" s="4"/>
      <c r="E1946" s="4" t="str">
        <f>IFERROR(__xludf.DUMMYFUNCTION("""COMPUTED_VALUE"""),"Sin precio neto")</f>
        <v>Sin precio neto</v>
      </c>
    </row>
    <row r="1947">
      <c r="A1947" s="4" t="str">
        <f>IFERROR(__xludf.DUMMYFUNCTION("""COMPUTED_VALUE"""),"958520N2")</f>
        <v>958520N2</v>
      </c>
      <c r="B1947" s="4" t="str">
        <f>IFERROR(__xludf.DUMMYFUNCTION("""COMPUTED_VALUE"""),"Señal MOPU complementaria 85x20 cm Reflex II")</f>
        <v>Señal MOPU complementaria 85x20 cm Reflex II</v>
      </c>
      <c r="C1947" s="4">
        <f>IFERROR(__xludf.DUMMYFUNCTION("""COMPUTED_VALUE"""),49.9)</f>
        <v>49.9</v>
      </c>
      <c r="D1947" s="4"/>
      <c r="E1947" s="4" t="str">
        <f>IFERROR(__xludf.DUMMYFUNCTION("""COMPUTED_VALUE"""),"Sin precio neto")</f>
        <v>Sin precio neto</v>
      </c>
    </row>
    <row r="1948">
      <c r="A1948" s="4" t="str">
        <f>IFERROR(__xludf.DUMMYFUNCTION("""COMPUTED_VALUE"""),"958520N3")</f>
        <v>958520N3</v>
      </c>
      <c r="B1948" s="4" t="str">
        <f>IFERROR(__xludf.DUMMYFUNCTION("""COMPUTED_VALUE"""),"Señal MOPU complementaria 85x20 cm Reflex III")</f>
        <v>Señal MOPU complementaria 85x20 cm Reflex III</v>
      </c>
      <c r="C1948" s="4">
        <f>IFERROR(__xludf.DUMMYFUNCTION("""COMPUTED_VALUE"""),47.25)</f>
        <v>47.25</v>
      </c>
      <c r="D1948" s="4"/>
      <c r="E1948" s="4" t="str">
        <f>IFERROR(__xludf.DUMMYFUNCTION("""COMPUTED_VALUE"""),"Sin precio neto")</f>
        <v>Sin precio neto</v>
      </c>
    </row>
    <row r="1949">
      <c r="A1949" s="4" t="str">
        <f>IFERROR(__xludf.DUMMYFUNCTION("""COMPUTED_VALUE"""),"959030N")</f>
        <v>959030N</v>
      </c>
      <c r="B1949" s="4" t="str">
        <f>IFERROR(__xludf.DUMMYFUNCTION("""COMPUTED_VALUE"""),"Señal MOPU complementaria 90x30 cm Normal")</f>
        <v>Señal MOPU complementaria 90x30 cm Normal</v>
      </c>
      <c r="C1949" s="4">
        <f>IFERROR(__xludf.DUMMYFUNCTION("""COMPUTED_VALUE"""),40.75)</f>
        <v>40.75</v>
      </c>
      <c r="D1949" s="4"/>
      <c r="E1949" s="4" t="str">
        <f>IFERROR(__xludf.DUMMYFUNCTION("""COMPUTED_VALUE"""),"Sin precio neto")</f>
        <v>Sin precio neto</v>
      </c>
    </row>
    <row r="1950">
      <c r="A1950" s="4" t="str">
        <f>IFERROR(__xludf.DUMMYFUNCTION("""COMPUTED_VALUE"""),"959030N1")</f>
        <v>959030N1</v>
      </c>
      <c r="B1950" s="4" t="str">
        <f>IFERROR(__xludf.DUMMYFUNCTION("""COMPUTED_VALUE"""),"Señal MOPU complementario 90x30 cm Reflex I")</f>
        <v>Señal MOPU complementario 90x30 cm Reflex I</v>
      </c>
      <c r="C1950" s="4">
        <f>IFERROR(__xludf.DUMMYFUNCTION("""COMPUTED_VALUE"""),43.25)</f>
        <v>43.25</v>
      </c>
      <c r="D1950" s="4"/>
      <c r="E1950" s="4" t="str">
        <f>IFERROR(__xludf.DUMMYFUNCTION("""COMPUTED_VALUE"""),"Sin precio neto")</f>
        <v>Sin precio neto</v>
      </c>
    </row>
    <row r="1951">
      <c r="A1951" s="4" t="str">
        <f>IFERROR(__xludf.DUMMYFUNCTION("""COMPUTED_VALUE"""),"959030N2")</f>
        <v>959030N2</v>
      </c>
      <c r="B1951" s="4" t="str">
        <f>IFERROR(__xludf.DUMMYFUNCTION("""COMPUTED_VALUE"""),"Señal MOPU complementaria 90x30 cm Reflex II")</f>
        <v>Señal MOPU complementaria 90x30 cm Reflex II</v>
      </c>
      <c r="C1951" s="4">
        <f>IFERROR(__xludf.DUMMYFUNCTION("""COMPUTED_VALUE"""),57.3)</f>
        <v>57.3</v>
      </c>
      <c r="D1951" s="4"/>
      <c r="E1951" s="4" t="str">
        <f>IFERROR(__xludf.DUMMYFUNCTION("""COMPUTED_VALUE"""),"Sin precio neto")</f>
        <v>Sin precio neto</v>
      </c>
    </row>
    <row r="1952">
      <c r="A1952" s="4" t="str">
        <f>IFERROR(__xludf.DUMMYFUNCTION("""COMPUTED_VALUE"""),"959030N3")</f>
        <v>959030N3</v>
      </c>
      <c r="B1952" s="4" t="str">
        <f>IFERROR(__xludf.DUMMYFUNCTION("""COMPUTED_VALUE"""),"Señal MOPU complementaria 90x30 cm Reflex III")</f>
        <v>Señal MOPU complementaria 90x30 cm Reflex III</v>
      </c>
      <c r="C1952" s="4">
        <f>IFERROR(__xludf.DUMMYFUNCTION("""COMPUTED_VALUE"""),71.25)</f>
        <v>71.25</v>
      </c>
      <c r="D1952" s="4"/>
      <c r="E1952" s="4" t="str">
        <f>IFERROR(__xludf.DUMMYFUNCTION("""COMPUTED_VALUE"""),"Sin precio neto")</f>
        <v>Sin precio neto</v>
      </c>
    </row>
    <row r="1953">
      <c r="A1953" s="4" t="str">
        <f>IFERROR(__xludf.DUMMYFUNCTION("""COMPUTED_VALUE"""),"9600N")</f>
        <v>9600N</v>
      </c>
      <c r="B1953" s="4" t="str">
        <f>IFERROR(__xludf.DUMMYFUNCTION("""COMPUTED_VALUE"""),"Señal Aluminio Circular 60 cm Normal")</f>
        <v>Señal Aluminio Circular 60 cm Normal</v>
      </c>
      <c r="C1953" s="4">
        <f>IFERROR(__xludf.DUMMYFUNCTION("""COMPUTED_VALUE"""),28.0)</f>
        <v>28</v>
      </c>
      <c r="D1953" s="4"/>
      <c r="E1953" s="4" t="str">
        <f>IFERROR(__xludf.DUMMYFUNCTION("""COMPUTED_VALUE"""),"Sin precio neto")</f>
        <v>Sin precio neto</v>
      </c>
    </row>
    <row r="1954">
      <c r="A1954" s="4" t="str">
        <f>IFERROR(__xludf.DUMMYFUNCTION("""COMPUTED_VALUE"""),"9600N1")</f>
        <v>9600N1</v>
      </c>
      <c r="B1954" s="4" t="str">
        <f>IFERROR(__xludf.DUMMYFUNCTION("""COMPUTED_VALUE"""),"Señal Aluminio Circular 60 cm Nivel 1")</f>
        <v>Señal Aluminio Circular 60 cm Nivel 1</v>
      </c>
      <c r="C1954" s="4">
        <f>IFERROR(__xludf.DUMMYFUNCTION("""COMPUTED_VALUE"""),31.0)</f>
        <v>31</v>
      </c>
      <c r="D1954" s="4"/>
      <c r="E1954" s="4" t="str">
        <f>IFERROR(__xludf.DUMMYFUNCTION("""COMPUTED_VALUE"""),"Sin precio neto")</f>
        <v>Sin precio neto</v>
      </c>
    </row>
    <row r="1955">
      <c r="A1955" s="4" t="str">
        <f>IFERROR(__xludf.DUMMYFUNCTION("""COMPUTED_VALUE"""),"9625120N")</f>
        <v>9625120N</v>
      </c>
      <c r="B1955" s="4" t="str">
        <f>IFERROR(__xludf.DUMMYFUNCTION("""COMPUTED_VALUE"""),"Señal MOPU informativa 25x120 cm Normal")</f>
        <v>Señal MOPU informativa 25x120 cm Normal</v>
      </c>
      <c r="C1955" s="4">
        <f>IFERROR(__xludf.DUMMYFUNCTION("""COMPUTED_VALUE"""),65.38)</f>
        <v>65.38</v>
      </c>
      <c r="D1955" s="4"/>
      <c r="E1955" s="4" t="str">
        <f>IFERROR(__xludf.DUMMYFUNCTION("""COMPUTED_VALUE"""),"Sin precio neto")</f>
        <v>Sin precio neto</v>
      </c>
    </row>
    <row r="1956">
      <c r="A1956" s="4" t="str">
        <f>IFERROR(__xludf.DUMMYFUNCTION("""COMPUTED_VALUE"""),"9625120N1")</f>
        <v>9625120N1</v>
      </c>
      <c r="B1956" s="4" t="str">
        <f>IFERROR(__xludf.DUMMYFUNCTION("""COMPUTED_VALUE"""),"Señal MOPU informativa 25x120 cm Reflex I")</f>
        <v>Señal MOPU informativa 25x120 cm Reflex I</v>
      </c>
      <c r="C1956" s="4">
        <f>IFERROR(__xludf.DUMMYFUNCTION("""COMPUTED_VALUE"""),69.2)</f>
        <v>69.2</v>
      </c>
      <c r="D1956" s="4"/>
      <c r="E1956" s="4" t="str">
        <f>IFERROR(__xludf.DUMMYFUNCTION("""COMPUTED_VALUE"""),"Sin precio neto")</f>
        <v>Sin precio neto</v>
      </c>
    </row>
    <row r="1957">
      <c r="A1957" s="4" t="str">
        <f>IFERROR(__xludf.DUMMYFUNCTION("""COMPUTED_VALUE"""),"9625120N1F")</f>
        <v>9625120N1F</v>
      </c>
      <c r="B1957" s="4" t="str">
        <f>IFERROR(__xludf.DUMMYFUNCTION("""COMPUTED_VALUE"""),"Señal MOPU informativa 25x120 Nivel 1 Flechada")</f>
        <v>Señal MOPU informativa 25x120 Nivel 1 Flechada</v>
      </c>
      <c r="C1957" s="4">
        <f>IFERROR(__xludf.DUMMYFUNCTION("""COMPUTED_VALUE"""),68.35)</f>
        <v>68.35</v>
      </c>
      <c r="D1957" s="4"/>
      <c r="E1957" s="4" t="str">
        <f>IFERROR(__xludf.DUMMYFUNCTION("""COMPUTED_VALUE"""),"Sin precio neto")</f>
        <v>Sin precio neto</v>
      </c>
    </row>
    <row r="1958">
      <c r="A1958" s="4" t="str">
        <f>IFERROR(__xludf.DUMMYFUNCTION("""COMPUTED_VALUE"""),"9625120N2")</f>
        <v>9625120N2</v>
      </c>
      <c r="B1958" s="4" t="str">
        <f>IFERROR(__xludf.DUMMYFUNCTION("""COMPUTED_VALUE"""),"Señal MOPU informativa 25x120 cm Reflex II")</f>
        <v>Señal MOPU informativa 25x120 cm Reflex II</v>
      </c>
      <c r="C1958" s="4">
        <f>IFERROR(__xludf.DUMMYFUNCTION("""COMPUTED_VALUE"""),76.0)</f>
        <v>76</v>
      </c>
      <c r="D1958" s="4"/>
      <c r="E1958" s="4" t="str">
        <f>IFERROR(__xludf.DUMMYFUNCTION("""COMPUTED_VALUE"""),"Sin precio neto")</f>
        <v>Sin precio neto</v>
      </c>
    </row>
    <row r="1959">
      <c r="A1959" s="4" t="str">
        <f>IFERROR(__xludf.DUMMYFUNCTION("""COMPUTED_VALUE"""),"9625120N2F")</f>
        <v>9625120N2F</v>
      </c>
      <c r="B1959" s="4" t="str">
        <f>IFERROR(__xludf.DUMMYFUNCTION("""COMPUTED_VALUE"""),"Señal MOPU informativa 25x120 Nivel 2 Flechada")</f>
        <v>Señal MOPU informativa 25x120 Nivel 2 Flechada</v>
      </c>
      <c r="C1959" s="4">
        <f>IFERROR(__xludf.DUMMYFUNCTION("""COMPUTED_VALUE"""),76.2)</f>
        <v>76.2</v>
      </c>
      <c r="D1959" s="4"/>
      <c r="E1959" s="4" t="str">
        <f>IFERROR(__xludf.DUMMYFUNCTION("""COMPUTED_VALUE"""),"Sin precio neto")</f>
        <v>Sin precio neto</v>
      </c>
    </row>
    <row r="1960">
      <c r="A1960" s="4" t="str">
        <f>IFERROR(__xludf.DUMMYFUNCTION("""COMPUTED_VALUE"""),"9625120N3")</f>
        <v>9625120N3</v>
      </c>
      <c r="B1960" s="4" t="str">
        <f>IFERROR(__xludf.DUMMYFUNCTION("""COMPUTED_VALUE"""),"Señal MOPU informativa 25x120 cm Reflex III")</f>
        <v>Señal MOPU informativa 25x120 cm Reflex III</v>
      </c>
      <c r="C1960" s="4">
        <f>IFERROR(__xludf.DUMMYFUNCTION("""COMPUTED_VALUE"""),109.2)</f>
        <v>109.2</v>
      </c>
      <c r="D1960" s="4"/>
      <c r="E1960" s="4" t="str">
        <f>IFERROR(__xludf.DUMMYFUNCTION("""COMPUTED_VALUE"""),"Sin precio neto")</f>
        <v>Sin precio neto</v>
      </c>
    </row>
    <row r="1961">
      <c r="A1961" s="4" t="str">
        <f>IFERROR(__xludf.DUMMYFUNCTION("""COMPUTED_VALUE"""),"9625120N3F")</f>
        <v>9625120N3F</v>
      </c>
      <c r="B1961" s="4" t="str">
        <f>IFERROR(__xludf.DUMMYFUNCTION("""COMPUTED_VALUE"""),"Señal MOPU informativa 25x120 Nivel 3 Flechada")</f>
        <v>Señal MOPU informativa 25x120 Nivel 3 Flechada</v>
      </c>
      <c r="C1961" s="4">
        <f>IFERROR(__xludf.DUMMYFUNCTION("""COMPUTED_VALUE"""),110.2)</f>
        <v>110.2</v>
      </c>
      <c r="D1961" s="4"/>
      <c r="E1961" s="4" t="str">
        <f>IFERROR(__xludf.DUMMYFUNCTION("""COMPUTED_VALUE"""),"Sin precio neto")</f>
        <v>Sin precio neto</v>
      </c>
    </row>
    <row r="1962">
      <c r="A1962" s="4" t="str">
        <f>IFERROR(__xludf.DUMMYFUNCTION("""COMPUTED_VALUE"""),"9625120NF")</f>
        <v>9625120NF</v>
      </c>
      <c r="B1962" s="4" t="str">
        <f>IFERROR(__xludf.DUMMYFUNCTION("""COMPUTED_VALUE"""),"Señal MOPU informativa 25x120 Normal Flechada")</f>
        <v>Señal MOPU informativa 25x120 Normal Flechada</v>
      </c>
      <c r="C1962" s="4">
        <f>IFERROR(__xludf.DUMMYFUNCTION("""COMPUTED_VALUE"""),62.35)</f>
        <v>62.35</v>
      </c>
      <c r="D1962" s="4"/>
      <c r="E1962" s="4" t="str">
        <f>IFERROR(__xludf.DUMMYFUNCTION("""COMPUTED_VALUE"""),"Sin precio neto")</f>
        <v>Sin precio neto</v>
      </c>
    </row>
    <row r="1963">
      <c r="A1963" s="4" t="str">
        <f>IFERROR(__xludf.DUMMYFUNCTION("""COMPUTED_VALUE"""),"962570N")</f>
        <v>962570N</v>
      </c>
      <c r="B1963" s="4" t="str">
        <f>IFERROR(__xludf.DUMMYFUNCTION("""COMPUTED_VALUE"""),"Señal MOPU informativa 25x70 cm Normal")</f>
        <v>Señal MOPU informativa 25x70 cm Normal</v>
      </c>
      <c r="C1963" s="4">
        <f>IFERROR(__xludf.DUMMYFUNCTION("""COMPUTED_VALUE"""),37.0)</f>
        <v>37</v>
      </c>
      <c r="D1963" s="4"/>
      <c r="E1963" s="4" t="str">
        <f>IFERROR(__xludf.DUMMYFUNCTION("""COMPUTED_VALUE"""),"Sin precio neto")</f>
        <v>Sin precio neto</v>
      </c>
    </row>
    <row r="1964">
      <c r="A1964" s="4" t="str">
        <f>IFERROR(__xludf.DUMMYFUNCTION("""COMPUTED_VALUE"""),"962570N1")</f>
        <v>962570N1</v>
      </c>
      <c r="B1964" s="4" t="str">
        <f>IFERROR(__xludf.DUMMYFUNCTION("""COMPUTED_VALUE"""),"Señal MOPU informativa 25x70 cm Reflex I")</f>
        <v>Señal MOPU informativa 25x70 cm Reflex I</v>
      </c>
      <c r="C1964" s="4">
        <f>IFERROR(__xludf.DUMMYFUNCTION("""COMPUTED_VALUE"""),41.95)</f>
        <v>41.95</v>
      </c>
      <c r="D1964" s="4"/>
      <c r="E1964" s="4" t="str">
        <f>IFERROR(__xludf.DUMMYFUNCTION("""COMPUTED_VALUE"""),"Sin precio neto")</f>
        <v>Sin precio neto</v>
      </c>
    </row>
    <row r="1965">
      <c r="A1965" s="4" t="str">
        <f>IFERROR(__xludf.DUMMYFUNCTION("""COMPUTED_VALUE"""),"962570N1F")</f>
        <v>962570N1F</v>
      </c>
      <c r="B1965" s="4" t="str">
        <f>IFERROR(__xludf.DUMMYFUNCTION("""COMPUTED_VALUE"""),"Señal MOPU informativa 25x70 cm Nivel 1 Flechada")</f>
        <v>Señal MOPU informativa 25x70 cm Nivel 1 Flechada</v>
      </c>
      <c r="C1965" s="4">
        <f>IFERROR(__xludf.DUMMYFUNCTION("""COMPUTED_VALUE"""),41.95)</f>
        <v>41.95</v>
      </c>
      <c r="D1965" s="4"/>
      <c r="E1965" s="4" t="str">
        <f>IFERROR(__xludf.DUMMYFUNCTION("""COMPUTED_VALUE"""),"Sin precio neto")</f>
        <v>Sin precio neto</v>
      </c>
    </row>
    <row r="1966">
      <c r="A1966" s="4" t="str">
        <f>IFERROR(__xludf.DUMMYFUNCTION("""COMPUTED_VALUE"""),"962570N2")</f>
        <v>962570N2</v>
      </c>
      <c r="B1966" s="4" t="str">
        <f>IFERROR(__xludf.DUMMYFUNCTION("""COMPUTED_VALUE"""),"Señal MOPU informativa 25x70 cm Reflex II")</f>
        <v>Señal MOPU informativa 25x70 cm Reflex II</v>
      </c>
      <c r="C1966" s="4">
        <f>IFERROR(__xludf.DUMMYFUNCTION("""COMPUTED_VALUE"""),47.73)</f>
        <v>47.73</v>
      </c>
      <c r="D1966" s="4"/>
      <c r="E1966" s="4" t="str">
        <f>IFERROR(__xludf.DUMMYFUNCTION("""COMPUTED_VALUE"""),"Sin precio neto")</f>
        <v>Sin precio neto</v>
      </c>
    </row>
    <row r="1967">
      <c r="A1967" s="4" t="str">
        <f>IFERROR(__xludf.DUMMYFUNCTION("""COMPUTED_VALUE"""),"962570N2F")</f>
        <v>962570N2F</v>
      </c>
      <c r="B1967" s="4" t="str">
        <f>IFERROR(__xludf.DUMMYFUNCTION("""COMPUTED_VALUE"""),"Señal MOPU informativa 25x70 cm Nivel 2 Flechada")</f>
        <v>Señal MOPU informativa 25x70 cm Nivel 2 Flechada</v>
      </c>
      <c r="C1967" s="4">
        <f>IFERROR(__xludf.DUMMYFUNCTION("""COMPUTED_VALUE"""),47.73)</f>
        <v>47.73</v>
      </c>
      <c r="D1967" s="4"/>
      <c r="E1967" s="4" t="str">
        <f>IFERROR(__xludf.DUMMYFUNCTION("""COMPUTED_VALUE"""),"Sin precio neto")</f>
        <v>Sin precio neto</v>
      </c>
    </row>
    <row r="1968">
      <c r="A1968" s="4" t="str">
        <f>IFERROR(__xludf.DUMMYFUNCTION("""COMPUTED_VALUE"""),"962570N3")</f>
        <v>962570N3</v>
      </c>
      <c r="B1968" s="4" t="str">
        <f>IFERROR(__xludf.DUMMYFUNCTION("""COMPUTED_VALUE"""),"Señal MOPU informativa 25x70 cm Reflex III")</f>
        <v>Señal MOPU informativa 25x70 cm Reflex III</v>
      </c>
      <c r="C1968" s="4">
        <f>IFERROR(__xludf.DUMMYFUNCTION("""COMPUTED_VALUE"""),53.5)</f>
        <v>53.5</v>
      </c>
      <c r="D1968" s="4"/>
      <c r="E1968" s="4" t="str">
        <f>IFERROR(__xludf.DUMMYFUNCTION("""COMPUTED_VALUE"""),"Sin precio neto")</f>
        <v>Sin precio neto</v>
      </c>
    </row>
    <row r="1969">
      <c r="A1969" s="4" t="str">
        <f>IFERROR(__xludf.DUMMYFUNCTION("""COMPUTED_VALUE"""),"962570N3F")</f>
        <v>962570N3F</v>
      </c>
      <c r="B1969" s="4" t="str">
        <f>IFERROR(__xludf.DUMMYFUNCTION("""COMPUTED_VALUE"""),"Señal MOPU informativa 25x70 cm Nivel 3 Flechada")</f>
        <v>Señal MOPU informativa 25x70 cm Nivel 3 Flechada</v>
      </c>
      <c r="C1969" s="4">
        <f>IFERROR(__xludf.DUMMYFUNCTION("""COMPUTED_VALUE"""),54.0)</f>
        <v>54</v>
      </c>
      <c r="D1969" s="4"/>
      <c r="E1969" s="4" t="str">
        <f>IFERROR(__xludf.DUMMYFUNCTION("""COMPUTED_VALUE"""),"Sin precio neto")</f>
        <v>Sin precio neto</v>
      </c>
    </row>
    <row r="1970">
      <c r="A1970" s="4" t="str">
        <f>IFERROR(__xludf.DUMMYFUNCTION("""COMPUTED_VALUE"""),"962570NF")</f>
        <v>962570NF</v>
      </c>
      <c r="B1970" s="4" t="str">
        <f>IFERROR(__xludf.DUMMYFUNCTION("""COMPUTED_VALUE"""),"Señal MOPU informativa 25x70 cm Normal flechada")</f>
        <v>Señal MOPU informativa 25x70 cm Normal flechada</v>
      </c>
      <c r="C1970" s="4">
        <f>IFERROR(__xludf.DUMMYFUNCTION("""COMPUTED_VALUE"""),39.33)</f>
        <v>39.33</v>
      </c>
      <c r="D1970" s="4"/>
      <c r="E1970" s="4" t="str">
        <f>IFERROR(__xludf.DUMMYFUNCTION("""COMPUTED_VALUE"""),"Sin precio neto")</f>
        <v>Sin precio neto</v>
      </c>
    </row>
    <row r="1971">
      <c r="A1971" s="4" t="str">
        <f>IFERROR(__xludf.DUMMYFUNCTION("""COMPUTED_VALUE"""),"962595N")</f>
        <v>962595N</v>
      </c>
      <c r="B1971" s="4" t="str">
        <f>IFERROR(__xludf.DUMMYFUNCTION("""COMPUTED_VALUE"""),"Señal MOPU informativa 25x95 cm Normal")</f>
        <v>Señal MOPU informativa 25x95 cm Normal</v>
      </c>
      <c r="C1971" s="4">
        <f>IFERROR(__xludf.DUMMYFUNCTION("""COMPUTED_VALUE"""),40.38)</f>
        <v>40.38</v>
      </c>
      <c r="D1971" s="4"/>
      <c r="E1971" s="4" t="str">
        <f>IFERROR(__xludf.DUMMYFUNCTION("""COMPUTED_VALUE"""),"Sin precio neto")</f>
        <v>Sin precio neto</v>
      </c>
    </row>
    <row r="1972">
      <c r="A1972" s="4" t="str">
        <f>IFERROR(__xludf.DUMMYFUNCTION("""COMPUTED_VALUE"""),"962595N1")</f>
        <v>962595N1</v>
      </c>
      <c r="B1972" s="4" t="str">
        <f>IFERROR(__xludf.DUMMYFUNCTION("""COMPUTED_VALUE"""),"Señal MOPU informativa 25x95 cm Reflex I")</f>
        <v>Señal MOPU informativa 25x95 cm Reflex I</v>
      </c>
      <c r="C1972" s="4">
        <f>IFERROR(__xludf.DUMMYFUNCTION("""COMPUTED_VALUE"""),46.13)</f>
        <v>46.13</v>
      </c>
      <c r="D1972" s="4"/>
      <c r="E1972" s="4" t="str">
        <f>IFERROR(__xludf.DUMMYFUNCTION("""COMPUTED_VALUE"""),"Sin precio neto")</f>
        <v>Sin precio neto</v>
      </c>
    </row>
    <row r="1973">
      <c r="A1973" s="4" t="str">
        <f>IFERROR(__xludf.DUMMYFUNCTION("""COMPUTED_VALUE"""),"962595N3")</f>
        <v>962595N3</v>
      </c>
      <c r="B1973" s="4" t="str">
        <f>IFERROR(__xludf.DUMMYFUNCTION("""COMPUTED_VALUE"""),"Señal MOPU informativa 25x95 cm Reflex III")</f>
        <v>Señal MOPU informativa 25x95 cm Reflex III</v>
      </c>
      <c r="C1973" s="4">
        <f>IFERROR(__xludf.DUMMYFUNCTION("""COMPUTED_VALUE"""),62.85)</f>
        <v>62.85</v>
      </c>
      <c r="D1973" s="4"/>
      <c r="E1973" s="4" t="str">
        <f>IFERROR(__xludf.DUMMYFUNCTION("""COMPUTED_VALUE"""),"Sin precio neto")</f>
        <v>Sin precio neto</v>
      </c>
    </row>
    <row r="1974">
      <c r="A1974" s="4" t="str">
        <f>IFERROR(__xludf.DUMMYFUNCTION("""COMPUTED_VALUE"""),"9630120N")</f>
        <v>9630120N</v>
      </c>
      <c r="B1974" s="4" t="str">
        <f>IFERROR(__xludf.DUMMYFUNCTION("""COMPUTED_VALUE"""),"Señal MOPU informativa 30x120 cm Normal")</f>
        <v>Señal MOPU informativa 30x120 cm Normal</v>
      </c>
      <c r="C1974" s="4">
        <f>IFERROR(__xludf.DUMMYFUNCTION("""COMPUTED_VALUE"""),53.5)</f>
        <v>53.5</v>
      </c>
      <c r="D1974" s="4"/>
      <c r="E1974" s="4" t="str">
        <f>IFERROR(__xludf.DUMMYFUNCTION("""COMPUTED_VALUE"""),"Sin precio neto")</f>
        <v>Sin precio neto</v>
      </c>
    </row>
    <row r="1975">
      <c r="A1975" s="4" t="str">
        <f>IFERROR(__xludf.DUMMYFUNCTION("""COMPUTED_VALUE"""),"9630120N1")</f>
        <v>9630120N1</v>
      </c>
      <c r="B1975" s="4" t="str">
        <f>IFERROR(__xludf.DUMMYFUNCTION("""COMPUTED_VALUE"""),"Señal MOPU informativa 30x120 cm Reflex I")</f>
        <v>Señal MOPU informativa 30x120 cm Reflex I</v>
      </c>
      <c r="C1975" s="4">
        <f>IFERROR(__xludf.DUMMYFUNCTION("""COMPUTED_VALUE"""),67.9)</f>
        <v>67.9</v>
      </c>
      <c r="D1975" s="4"/>
      <c r="E1975" s="4" t="str">
        <f>IFERROR(__xludf.DUMMYFUNCTION("""COMPUTED_VALUE"""),"Sin precio neto")</f>
        <v>Sin precio neto</v>
      </c>
    </row>
    <row r="1976">
      <c r="A1976" s="4" t="str">
        <f>IFERROR(__xludf.DUMMYFUNCTION("""COMPUTED_VALUE"""),"9630145N")</f>
        <v>9630145N</v>
      </c>
      <c r="B1976" s="4" t="str">
        <f>IFERROR(__xludf.DUMMYFUNCTION("""COMPUTED_VALUE"""),"Señal MOPU informativa 30x145 cm Normal")</f>
        <v>Señal MOPU informativa 30x145 cm Normal</v>
      </c>
      <c r="C1976" s="4">
        <f>IFERROR(__xludf.DUMMYFUNCTION("""COMPUTED_VALUE"""),85.05)</f>
        <v>85.05</v>
      </c>
      <c r="D1976" s="4"/>
      <c r="E1976" s="4" t="str">
        <f>IFERROR(__xludf.DUMMYFUNCTION("""COMPUTED_VALUE"""),"Sin precio neto")</f>
        <v>Sin precio neto</v>
      </c>
    </row>
    <row r="1977">
      <c r="A1977" s="4" t="str">
        <f>IFERROR(__xludf.DUMMYFUNCTION("""COMPUTED_VALUE"""),"9630145N1")</f>
        <v>9630145N1</v>
      </c>
      <c r="B1977" s="4" t="str">
        <f>IFERROR(__xludf.DUMMYFUNCTION("""COMPUTED_VALUE"""),"Señal MOPU informativa 30x145 cm Reflex I")</f>
        <v>Señal MOPU informativa 30x145 cm Reflex I</v>
      </c>
      <c r="C1977" s="4">
        <f>IFERROR(__xludf.DUMMYFUNCTION("""COMPUTED_VALUE"""),80.5)</f>
        <v>80.5</v>
      </c>
      <c r="D1977" s="4"/>
      <c r="E1977" s="4" t="str">
        <f>IFERROR(__xludf.DUMMYFUNCTION("""COMPUTED_VALUE"""),"Sin precio neto")</f>
        <v>Sin precio neto</v>
      </c>
    </row>
    <row r="1978">
      <c r="A1978" s="4" t="str">
        <f>IFERROR(__xludf.DUMMYFUNCTION("""COMPUTED_VALUE"""),"9630145N1F")</f>
        <v>9630145N1F</v>
      </c>
      <c r="B1978" s="4" t="str">
        <f>IFERROR(__xludf.DUMMYFUNCTION("""COMPUTED_VALUE"""),"Señal informativa 30x145 cm Nivel 1 Flechada")</f>
        <v>Señal informativa 30x145 cm Nivel 1 Flechada</v>
      </c>
      <c r="C1978" s="4">
        <f>IFERROR(__xludf.DUMMYFUNCTION("""COMPUTED_VALUE"""),84.45)</f>
        <v>84.45</v>
      </c>
      <c r="D1978" s="4"/>
      <c r="E1978" s="4" t="str">
        <f>IFERROR(__xludf.DUMMYFUNCTION("""COMPUTED_VALUE"""),"Sin precio neto")</f>
        <v>Sin precio neto</v>
      </c>
    </row>
    <row r="1979">
      <c r="A1979" s="4" t="str">
        <f>IFERROR(__xludf.DUMMYFUNCTION("""COMPUTED_VALUE"""),"9630145N2")</f>
        <v>9630145N2</v>
      </c>
      <c r="B1979" s="4" t="str">
        <f>IFERROR(__xludf.DUMMYFUNCTION("""COMPUTED_VALUE"""),"Señal MOPU informativa 30x145 cm Reflex II")</f>
        <v>Señal MOPU informativa 30x145 cm Reflex II</v>
      </c>
      <c r="C1979" s="4">
        <f>IFERROR(__xludf.DUMMYFUNCTION("""COMPUTED_VALUE"""),102.5)</f>
        <v>102.5</v>
      </c>
      <c r="D1979" s="4"/>
      <c r="E1979" s="4" t="str">
        <f>IFERROR(__xludf.DUMMYFUNCTION("""COMPUTED_VALUE"""),"Sin precio neto")</f>
        <v>Sin precio neto</v>
      </c>
    </row>
    <row r="1980">
      <c r="A1980" s="4" t="str">
        <f>IFERROR(__xludf.DUMMYFUNCTION("""COMPUTED_VALUE"""),"9630145N2F")</f>
        <v>9630145N2F</v>
      </c>
      <c r="B1980" s="4" t="str">
        <f>IFERROR(__xludf.DUMMYFUNCTION("""COMPUTED_VALUE"""),"Señal informativa 30x145 cm Nivel 2 Flechada")</f>
        <v>Señal informativa 30x145 cm Nivel 2 Flechada</v>
      </c>
      <c r="C1980" s="4">
        <f>IFERROR(__xludf.DUMMYFUNCTION("""COMPUTED_VALUE"""),102.33)</f>
        <v>102.33</v>
      </c>
      <c r="D1980" s="4"/>
      <c r="E1980" s="4" t="str">
        <f>IFERROR(__xludf.DUMMYFUNCTION("""COMPUTED_VALUE"""),"Sin precio neto")</f>
        <v>Sin precio neto</v>
      </c>
    </row>
    <row r="1981">
      <c r="A1981" s="4" t="str">
        <f>IFERROR(__xludf.DUMMYFUNCTION("""COMPUTED_VALUE"""),"9630145N3")</f>
        <v>9630145N3</v>
      </c>
      <c r="B1981" s="4" t="str">
        <f>IFERROR(__xludf.DUMMYFUNCTION("""COMPUTED_VALUE"""),"Señal MOPu informativa 30x145 cm Reflex III")</f>
        <v>Señal MOPu informativa 30x145 cm Reflex III</v>
      </c>
      <c r="C1981" s="4">
        <f>IFERROR(__xludf.DUMMYFUNCTION("""COMPUTED_VALUE"""),106.0)</f>
        <v>106</v>
      </c>
      <c r="D1981" s="4"/>
      <c r="E1981" s="4" t="str">
        <f>IFERROR(__xludf.DUMMYFUNCTION("""COMPUTED_VALUE"""),"Sin precio neto")</f>
        <v>Sin precio neto</v>
      </c>
    </row>
    <row r="1982">
      <c r="A1982" s="4" t="str">
        <f>IFERROR(__xludf.DUMMYFUNCTION("""COMPUTED_VALUE"""),"9630145N3F")</f>
        <v>9630145N3F</v>
      </c>
      <c r="B1982" s="4" t="str">
        <f>IFERROR(__xludf.DUMMYFUNCTION("""COMPUTED_VALUE"""),"Señal informativa 30x145 cm Nivel 3 Flechada")</f>
        <v>Señal informativa 30x145 cm Nivel 3 Flechada</v>
      </c>
      <c r="C1982" s="4">
        <f>IFERROR(__xludf.DUMMYFUNCTION("""COMPUTED_VALUE"""),117.5)</f>
        <v>117.5</v>
      </c>
      <c r="D1982" s="4"/>
      <c r="E1982" s="4" t="str">
        <f>IFERROR(__xludf.DUMMYFUNCTION("""COMPUTED_VALUE"""),"Sin precio neto")</f>
        <v>Sin precio neto</v>
      </c>
    </row>
    <row r="1983">
      <c r="A1983" s="4" t="str">
        <f>IFERROR(__xludf.DUMMYFUNCTION("""COMPUTED_VALUE"""),"9630145NF")</f>
        <v>9630145NF</v>
      </c>
      <c r="B1983" s="4" t="str">
        <f>IFERROR(__xludf.DUMMYFUNCTION("""COMPUTED_VALUE"""),"Señal informativa 30x145 cm Normal Flechada")</f>
        <v>Señal informativa 30x145 cm Normal Flechada</v>
      </c>
      <c r="C1983" s="4">
        <f>IFERROR(__xludf.DUMMYFUNCTION("""COMPUTED_VALUE"""),69.15)</f>
        <v>69.15</v>
      </c>
      <c r="D1983" s="4"/>
      <c r="E1983" s="4" t="str">
        <f>IFERROR(__xludf.DUMMYFUNCTION("""COMPUTED_VALUE"""),"Sin precio neto")</f>
        <v>Sin precio neto</v>
      </c>
    </row>
    <row r="1984">
      <c r="A1984" s="4" t="str">
        <f>IFERROR(__xludf.DUMMYFUNCTION("""COMPUTED_VALUE"""),"963095N")</f>
        <v>963095N</v>
      </c>
      <c r="B1984" s="4" t="str">
        <f>IFERROR(__xludf.DUMMYFUNCTION("""COMPUTED_VALUE"""),"Señal MOPU informativa 30x95 cm Normal")</f>
        <v>Señal MOPU informativa 30x95 cm Normal</v>
      </c>
      <c r="C1984" s="4">
        <f>IFERROR(__xludf.DUMMYFUNCTION("""COMPUTED_VALUE"""),47.9)</f>
        <v>47.9</v>
      </c>
      <c r="D1984" s="4"/>
      <c r="E1984" s="4" t="str">
        <f>IFERROR(__xludf.DUMMYFUNCTION("""COMPUTED_VALUE"""),"Sin precio neto")</f>
        <v>Sin precio neto</v>
      </c>
    </row>
    <row r="1985">
      <c r="A1985" s="4" t="str">
        <f>IFERROR(__xludf.DUMMYFUNCTION("""COMPUTED_VALUE"""),"963095N1")</f>
        <v>963095N1</v>
      </c>
      <c r="B1985" s="4" t="str">
        <f>IFERROR(__xludf.DUMMYFUNCTION("""COMPUTED_VALUE"""),"Señal MOPU informativa 30x95 cm Reflex I")</f>
        <v>Señal MOPU informativa 30x95 cm Reflex I</v>
      </c>
      <c r="C1985" s="4">
        <f>IFERROR(__xludf.DUMMYFUNCTION("""COMPUTED_VALUE"""),52.9)</f>
        <v>52.9</v>
      </c>
      <c r="D1985" s="4"/>
      <c r="E1985" s="4" t="str">
        <f>IFERROR(__xludf.DUMMYFUNCTION("""COMPUTED_VALUE"""),"Sin precio neto")</f>
        <v>Sin precio neto</v>
      </c>
    </row>
    <row r="1986">
      <c r="A1986" s="4" t="str">
        <f>IFERROR(__xludf.DUMMYFUNCTION("""COMPUTED_VALUE"""),"963095N1F")</f>
        <v>963095N1F</v>
      </c>
      <c r="B1986" s="4" t="str">
        <f>IFERROR(__xludf.DUMMYFUNCTION("""COMPUTED_VALUE"""),"Señal MOPU informativa 30x95 Nivel 1 Flechada")</f>
        <v>Señal MOPU informativa 30x95 Nivel 1 Flechada</v>
      </c>
      <c r="C1986" s="4">
        <f>IFERROR(__xludf.DUMMYFUNCTION("""COMPUTED_VALUE"""),52.92)</f>
        <v>52.92</v>
      </c>
      <c r="D1986" s="4"/>
      <c r="E1986" s="4" t="str">
        <f>IFERROR(__xludf.DUMMYFUNCTION("""COMPUTED_VALUE"""),"Sin precio neto")</f>
        <v>Sin precio neto</v>
      </c>
    </row>
    <row r="1987">
      <c r="A1987" s="4" t="str">
        <f>IFERROR(__xludf.DUMMYFUNCTION("""COMPUTED_VALUE"""),"963095N2")</f>
        <v>963095N2</v>
      </c>
      <c r="B1987" s="4" t="str">
        <f>IFERROR(__xludf.DUMMYFUNCTION("""COMPUTED_VALUE"""),"Señal MOPU informativa 30x95 cm Reflex II")</f>
        <v>Señal MOPU informativa 30x95 cm Reflex II</v>
      </c>
      <c r="C1987" s="4">
        <f>IFERROR(__xludf.DUMMYFUNCTION("""COMPUTED_VALUE"""),59.325)</f>
        <v>59.325</v>
      </c>
      <c r="D1987" s="4"/>
      <c r="E1987" s="4" t="str">
        <f>IFERROR(__xludf.DUMMYFUNCTION("""COMPUTED_VALUE"""),"Sin precio neto")</f>
        <v>Sin precio neto</v>
      </c>
    </row>
    <row r="1988">
      <c r="A1988" s="4" t="str">
        <f>IFERROR(__xludf.DUMMYFUNCTION("""COMPUTED_VALUE"""),"963095N2F")</f>
        <v>963095N2F</v>
      </c>
      <c r="B1988" s="4" t="str">
        <f>IFERROR(__xludf.DUMMYFUNCTION("""COMPUTED_VALUE"""),"Señal MOPU informativa 30x95 Nivel 2 Flechada")</f>
        <v>Señal MOPU informativa 30x95 Nivel 2 Flechada</v>
      </c>
      <c r="C1988" s="4">
        <f>IFERROR(__xludf.DUMMYFUNCTION("""COMPUTED_VALUE"""),61.33)</f>
        <v>61.33</v>
      </c>
      <c r="D1988" s="4"/>
      <c r="E1988" s="4" t="str">
        <f>IFERROR(__xludf.DUMMYFUNCTION("""COMPUTED_VALUE"""),"Sin precio neto")</f>
        <v>Sin precio neto</v>
      </c>
    </row>
    <row r="1989">
      <c r="A1989" s="4" t="str">
        <f>IFERROR(__xludf.DUMMYFUNCTION("""COMPUTED_VALUE"""),"963095N3")</f>
        <v>963095N3</v>
      </c>
      <c r="B1989" s="4" t="str">
        <f>IFERROR(__xludf.DUMMYFUNCTION("""COMPUTED_VALUE"""),"Señal MOPU informativa 30x95 cm Reflex III")</f>
        <v>Señal MOPU informativa 30x95 cm Reflex III</v>
      </c>
      <c r="C1989" s="4">
        <f>IFERROR(__xludf.DUMMYFUNCTION("""COMPUTED_VALUE"""),64.0)</f>
        <v>64</v>
      </c>
      <c r="D1989" s="4"/>
      <c r="E1989" s="4" t="str">
        <f>IFERROR(__xludf.DUMMYFUNCTION("""COMPUTED_VALUE"""),"Sin precio neto")</f>
        <v>Sin precio neto</v>
      </c>
    </row>
    <row r="1990">
      <c r="A1990" s="4" t="str">
        <f>IFERROR(__xludf.DUMMYFUNCTION("""COMPUTED_VALUE"""),"963095N3F")</f>
        <v>963095N3F</v>
      </c>
      <c r="B1990" s="4" t="str">
        <f>IFERROR(__xludf.DUMMYFUNCTION("""COMPUTED_VALUE"""),"Señal MOPU informativa 30x95 Nivel 3 Flechada")</f>
        <v>Señal MOPU informativa 30x95 Nivel 3 Flechada</v>
      </c>
      <c r="C1990" s="4">
        <f>IFERROR(__xludf.DUMMYFUNCTION("""COMPUTED_VALUE"""),67.15)</f>
        <v>67.15</v>
      </c>
      <c r="D1990" s="4"/>
      <c r="E1990" s="4" t="str">
        <f>IFERROR(__xludf.DUMMYFUNCTION("""COMPUTED_VALUE"""),"Sin precio neto")</f>
        <v>Sin precio neto</v>
      </c>
    </row>
    <row r="1991">
      <c r="A1991" s="4" t="str">
        <f>IFERROR(__xludf.DUMMYFUNCTION("""COMPUTED_VALUE"""),"963095NF")</f>
        <v>963095NF</v>
      </c>
      <c r="B1991" s="4" t="str">
        <f>IFERROR(__xludf.DUMMYFUNCTION("""COMPUTED_VALUE"""),"Señal MOPU informativa 30x95 Normal Flechada")</f>
        <v>Señal MOPU informativa 30x95 Normal Flechada</v>
      </c>
      <c r="C1991" s="4">
        <f>IFERROR(__xludf.DUMMYFUNCTION("""COMPUTED_VALUE"""),47.15)</f>
        <v>47.15</v>
      </c>
      <c r="D1991" s="4"/>
      <c r="E1991" s="4" t="str">
        <f>IFERROR(__xludf.DUMMYFUNCTION("""COMPUTED_VALUE"""),"Sin precio neto")</f>
        <v>Sin precio neto</v>
      </c>
    </row>
    <row r="1992">
      <c r="A1992" s="4" t="str">
        <f>IFERROR(__xludf.DUMMYFUNCTION("""COMPUTED_VALUE"""),"9640120N")</f>
        <v>9640120N</v>
      </c>
      <c r="B1992" s="4" t="str">
        <f>IFERROR(__xludf.DUMMYFUNCTION("""COMPUTED_VALUE"""),"Señal MOPU informativa 40x120 cm Normal")</f>
        <v>Señal MOPU informativa 40x120 cm Normal</v>
      </c>
      <c r="C1992" s="4">
        <f>IFERROR(__xludf.DUMMYFUNCTION("""COMPUTED_VALUE"""),79.2)</f>
        <v>79.2</v>
      </c>
      <c r="D1992" s="4"/>
      <c r="E1992" s="4" t="str">
        <f>IFERROR(__xludf.DUMMYFUNCTION("""COMPUTED_VALUE"""),"Sin precio neto")</f>
        <v>Sin precio neto</v>
      </c>
    </row>
    <row r="1993">
      <c r="A1993" s="4" t="str">
        <f>IFERROR(__xludf.DUMMYFUNCTION("""COMPUTED_VALUE"""),"9640120N1")</f>
        <v>9640120N1</v>
      </c>
      <c r="B1993" s="4" t="str">
        <f>IFERROR(__xludf.DUMMYFUNCTION("""COMPUTED_VALUE"""),"Señal MOPU informativa 40x120 cm Reflex I")</f>
        <v>Señal MOPU informativa 40x120 cm Reflex I</v>
      </c>
      <c r="C1993" s="4">
        <f>IFERROR(__xludf.DUMMYFUNCTION("""COMPUTED_VALUE"""),73.0)</f>
        <v>73</v>
      </c>
      <c r="D1993" s="4"/>
      <c r="E1993" s="4" t="str">
        <f>IFERROR(__xludf.DUMMYFUNCTION("""COMPUTED_VALUE"""),"Sin precio neto")</f>
        <v>Sin precio neto</v>
      </c>
    </row>
    <row r="1994">
      <c r="A1994" s="4" t="str">
        <f>IFERROR(__xludf.DUMMYFUNCTION("""COMPUTED_VALUE"""),"9640120N1F")</f>
        <v>9640120N1F</v>
      </c>
      <c r="B1994" s="4" t="str">
        <f>IFERROR(__xludf.DUMMYFUNCTION("""COMPUTED_VALUE"""),"Señal MOPU informativa 40x120 cm Nivel 1 flechada")</f>
        <v>Señal MOPU informativa 40x120 cm Nivel 1 flechada</v>
      </c>
      <c r="C1994" s="4">
        <f>IFERROR(__xludf.DUMMYFUNCTION("""COMPUTED_VALUE"""),78.7)</f>
        <v>78.7</v>
      </c>
      <c r="D1994" s="4"/>
      <c r="E1994" s="4" t="str">
        <f>IFERROR(__xludf.DUMMYFUNCTION("""COMPUTED_VALUE"""),"Sin precio neto")</f>
        <v>Sin precio neto</v>
      </c>
    </row>
    <row r="1995">
      <c r="A1995" s="4" t="str">
        <f>IFERROR(__xludf.DUMMYFUNCTION("""COMPUTED_VALUE"""),"9640120N2")</f>
        <v>9640120N2</v>
      </c>
      <c r="B1995" s="4" t="str">
        <f>IFERROR(__xludf.DUMMYFUNCTION("""COMPUTED_VALUE"""),"Señal MOPU informativa 40x120 cm Reflex II")</f>
        <v>Señal MOPU informativa 40x120 cm Reflex II</v>
      </c>
      <c r="C1995" s="4">
        <f>IFERROR(__xludf.DUMMYFUNCTION("""COMPUTED_VALUE"""),87.5)</f>
        <v>87.5</v>
      </c>
      <c r="D1995" s="4"/>
      <c r="E1995" s="4" t="str">
        <f>IFERROR(__xludf.DUMMYFUNCTION("""COMPUTED_VALUE"""),"Sin precio neto")</f>
        <v>Sin precio neto</v>
      </c>
    </row>
    <row r="1996">
      <c r="A1996" s="4" t="str">
        <f>IFERROR(__xludf.DUMMYFUNCTION("""COMPUTED_VALUE"""),"9640120N2F")</f>
        <v>9640120N2F</v>
      </c>
      <c r="B1996" s="4" t="str">
        <f>IFERROR(__xludf.DUMMYFUNCTION("""COMPUTED_VALUE"""),"Señal MOPU informativa 40x120 cm Nivel 2 flechada")</f>
        <v>Señal MOPU informativa 40x120 cm Nivel 2 flechada</v>
      </c>
      <c r="C1996" s="4">
        <f>IFERROR(__xludf.DUMMYFUNCTION("""COMPUTED_VALUE"""),91.28)</f>
        <v>91.28</v>
      </c>
      <c r="D1996" s="4"/>
      <c r="E1996" s="4" t="str">
        <f>IFERROR(__xludf.DUMMYFUNCTION("""COMPUTED_VALUE"""),"Sin precio neto")</f>
        <v>Sin precio neto</v>
      </c>
    </row>
    <row r="1997">
      <c r="A1997" s="4" t="str">
        <f>IFERROR(__xludf.DUMMYFUNCTION("""COMPUTED_VALUE"""),"9640120N3")</f>
        <v>9640120N3</v>
      </c>
      <c r="B1997" s="4" t="str">
        <f>IFERROR(__xludf.DUMMYFUNCTION("""COMPUTED_VALUE"""),"Señal MOPU inforrmativa 40x120 cm Reflex III")</f>
        <v>Señal MOPU inforrmativa 40x120 cm Reflex III</v>
      </c>
      <c r="C1997" s="4">
        <f>IFERROR(__xludf.DUMMYFUNCTION("""COMPUTED_VALUE"""),121.0)</f>
        <v>121</v>
      </c>
      <c r="D1997" s="4"/>
      <c r="E1997" s="4" t="str">
        <f>IFERROR(__xludf.DUMMYFUNCTION("""COMPUTED_VALUE"""),"Sin precio neto")</f>
        <v>Sin precio neto</v>
      </c>
    </row>
    <row r="1998">
      <c r="A1998" s="4" t="str">
        <f>IFERROR(__xludf.DUMMYFUNCTION("""COMPUTED_VALUE"""),"9640120N3F")</f>
        <v>9640120N3F</v>
      </c>
      <c r="B1998" s="4" t="str">
        <f>IFERROR(__xludf.DUMMYFUNCTION("""COMPUTED_VALUE"""),"Señal MOPU informativa 40x120 cm Nivel 3 flechada")</f>
        <v>Señal MOPU informativa 40x120 cm Nivel 3 flechada</v>
      </c>
      <c r="C1998" s="4">
        <f>IFERROR(__xludf.DUMMYFUNCTION("""COMPUTED_VALUE"""),134.3)</f>
        <v>134.3</v>
      </c>
      <c r="D1998" s="4"/>
      <c r="E1998" s="4" t="str">
        <f>IFERROR(__xludf.DUMMYFUNCTION("""COMPUTED_VALUE"""),"Sin precio neto")</f>
        <v>Sin precio neto</v>
      </c>
    </row>
    <row r="1999">
      <c r="A1999" s="4" t="str">
        <f>IFERROR(__xludf.DUMMYFUNCTION("""COMPUTED_VALUE"""),"9640120NF")</f>
        <v>9640120NF</v>
      </c>
      <c r="B1999" s="4" t="str">
        <f>IFERROR(__xludf.DUMMYFUNCTION("""COMPUTED_VALUE"""),"Señal MOPU informativa 40x120 cm Normal Flechada")</f>
        <v>Señal MOPU informativa 40x120 cm Normal Flechada</v>
      </c>
      <c r="C1999" s="4">
        <f>IFERROR(__xludf.DUMMYFUNCTION("""COMPUTED_VALUE"""),69.2)</f>
        <v>69.2</v>
      </c>
      <c r="D1999" s="4"/>
      <c r="E1999" s="4" t="str">
        <f>IFERROR(__xludf.DUMMYFUNCTION("""COMPUTED_VALUE"""),"Sin precio neto")</f>
        <v>Sin precio neto</v>
      </c>
    </row>
    <row r="2000">
      <c r="A2000" s="4" t="str">
        <f>IFERROR(__xludf.DUMMYFUNCTION("""COMPUTED_VALUE"""),"9640170N1")</f>
        <v>9640170N1</v>
      </c>
      <c r="B2000" s="4" t="str">
        <f>IFERROR(__xludf.DUMMYFUNCTION("""COMPUTED_VALUE"""),"Señal MOPU complementaria 40x170 Nivel 1")</f>
        <v>Señal MOPU complementaria 40x170 Nivel 1</v>
      </c>
      <c r="C2000" s="4">
        <f>IFERROR(__xludf.DUMMYFUNCTION("""COMPUTED_VALUE"""),107.5)</f>
        <v>107.5</v>
      </c>
      <c r="D2000" s="4"/>
      <c r="E2000" s="4" t="str">
        <f>IFERROR(__xludf.DUMMYFUNCTION("""COMPUTED_VALUE"""),"Sin precio neto")</f>
        <v>Sin precio neto</v>
      </c>
    </row>
    <row r="2001">
      <c r="A2001" s="4" t="str">
        <f>IFERROR(__xludf.DUMMYFUNCTION("""COMPUTED_VALUE"""),"9640195N")</f>
        <v>9640195N</v>
      </c>
      <c r="B2001" s="4" t="str">
        <f>IFERROR(__xludf.DUMMYFUNCTION("""COMPUTED_VALUE"""),"Señal MOPU informativa 40x195 cm Normal")</f>
        <v>Señal MOPU informativa 40x195 cm Normal</v>
      </c>
      <c r="C2001" s="4">
        <f>IFERROR(__xludf.DUMMYFUNCTION("""COMPUTED_VALUE"""),114.2)</f>
        <v>114.2</v>
      </c>
      <c r="D2001" s="4"/>
      <c r="E2001" s="4" t="str">
        <f>IFERROR(__xludf.DUMMYFUNCTION("""COMPUTED_VALUE"""),"Sin precio neto")</f>
        <v>Sin precio neto</v>
      </c>
    </row>
    <row r="2002">
      <c r="A2002" s="4" t="str">
        <f>IFERROR(__xludf.DUMMYFUNCTION("""COMPUTED_VALUE"""),"9640195N1")</f>
        <v>9640195N1</v>
      </c>
      <c r="B2002" s="4" t="str">
        <f>IFERROR(__xludf.DUMMYFUNCTION("""COMPUTED_VALUE"""),"Señal MOPU informativa 40x195 cm Nivel 1")</f>
        <v>Señal MOPU informativa 40x195 cm Nivel 1</v>
      </c>
      <c r="C2002" s="4">
        <f>IFERROR(__xludf.DUMMYFUNCTION("""COMPUTED_VALUE"""),122.9)</f>
        <v>122.9</v>
      </c>
      <c r="D2002" s="4"/>
      <c r="E2002" s="4" t="str">
        <f>IFERROR(__xludf.DUMMYFUNCTION("""COMPUTED_VALUE"""),"Sin precio neto")</f>
        <v>Sin precio neto</v>
      </c>
    </row>
    <row r="2003">
      <c r="A2003" s="4" t="str">
        <f>IFERROR(__xludf.DUMMYFUNCTION("""COMPUTED_VALUE"""),"9640195N1F")</f>
        <v>9640195N1F</v>
      </c>
      <c r="B2003" s="4" t="str">
        <f>IFERROR(__xludf.DUMMYFUNCTION("""COMPUTED_VALUE"""),"Señal MOPU informativa 40x195 cm Nivel 1 Flechada")</f>
        <v>Señal MOPU informativa 40x195 cm Nivel 1 Flechada</v>
      </c>
      <c r="C2003" s="4">
        <f>IFERROR(__xludf.DUMMYFUNCTION("""COMPUTED_VALUE"""),122.9)</f>
        <v>122.9</v>
      </c>
      <c r="D2003" s="4"/>
      <c r="E2003" s="4" t="str">
        <f>IFERROR(__xludf.DUMMYFUNCTION("""COMPUTED_VALUE"""),"Sin precio neto")</f>
        <v>Sin precio neto</v>
      </c>
    </row>
    <row r="2004">
      <c r="A2004" s="4" t="str">
        <f>IFERROR(__xludf.DUMMYFUNCTION("""COMPUTED_VALUE"""),"9640195N2")</f>
        <v>9640195N2</v>
      </c>
      <c r="B2004" s="4" t="str">
        <f>IFERROR(__xludf.DUMMYFUNCTION("""COMPUTED_VALUE"""),"Señal MOPU informativa 40x195 cm Nivel 2")</f>
        <v>Señal MOPU informativa 40x195 cm Nivel 2</v>
      </c>
      <c r="C2004" s="4">
        <f>IFERROR(__xludf.DUMMYFUNCTION("""COMPUTED_VALUE"""),149.25)</f>
        <v>149.25</v>
      </c>
      <c r="D2004" s="4"/>
      <c r="E2004" s="4" t="str">
        <f>IFERROR(__xludf.DUMMYFUNCTION("""COMPUTED_VALUE"""),"Sin precio neto")</f>
        <v>Sin precio neto</v>
      </c>
    </row>
    <row r="2005">
      <c r="A2005" s="4" t="str">
        <f>IFERROR(__xludf.DUMMYFUNCTION("""COMPUTED_VALUE"""),"9640195N2F")</f>
        <v>9640195N2F</v>
      </c>
      <c r="B2005" s="4" t="str">
        <f>IFERROR(__xludf.DUMMYFUNCTION("""COMPUTED_VALUE"""),"Señal MOPU informativa 40x195 cm Nivel 2 flechada")</f>
        <v>Señal MOPU informativa 40x195 cm Nivel 2 flechada</v>
      </c>
      <c r="C2005" s="4">
        <f>IFERROR(__xludf.DUMMYFUNCTION("""COMPUTED_VALUE"""),149.25)</f>
        <v>149.25</v>
      </c>
      <c r="D2005" s="4"/>
      <c r="E2005" s="4" t="str">
        <f>IFERROR(__xludf.DUMMYFUNCTION("""COMPUTED_VALUE"""),"Sin precio neto")</f>
        <v>Sin precio neto</v>
      </c>
    </row>
    <row r="2006">
      <c r="A2006" s="4" t="str">
        <f>IFERROR(__xludf.DUMMYFUNCTION("""COMPUTED_VALUE"""),"9640195N3")</f>
        <v>9640195N3</v>
      </c>
      <c r="B2006" s="4" t="str">
        <f>IFERROR(__xludf.DUMMYFUNCTION("""COMPUTED_VALUE"""),"Señal MOPU informativa 40x195 cm Nivel 3")</f>
        <v>Señal MOPU informativa 40x195 cm Nivel 3</v>
      </c>
      <c r="C2006" s="4">
        <f>IFERROR(__xludf.DUMMYFUNCTION("""COMPUTED_VALUE"""),157.25)</f>
        <v>157.25</v>
      </c>
      <c r="D2006" s="4"/>
      <c r="E2006" s="4" t="str">
        <f>IFERROR(__xludf.DUMMYFUNCTION("""COMPUTED_VALUE"""),"Sin precio neto")</f>
        <v>Sin precio neto</v>
      </c>
    </row>
    <row r="2007">
      <c r="A2007" s="4" t="str">
        <f>IFERROR(__xludf.DUMMYFUNCTION("""COMPUTED_VALUE"""),"9640195N3F")</f>
        <v>9640195N3F</v>
      </c>
      <c r="B2007" s="4" t="str">
        <f>IFERROR(__xludf.DUMMYFUNCTION("""COMPUTED_VALUE"""),"Señal MOPU informativa 40x195 cm Nivel 3 Flechada")</f>
        <v>Señal MOPU informativa 40x195 cm Nivel 3 Flechada</v>
      </c>
      <c r="C2007" s="4">
        <f>IFERROR(__xludf.DUMMYFUNCTION("""COMPUTED_VALUE"""),157.25)</f>
        <v>157.25</v>
      </c>
      <c r="D2007" s="4"/>
      <c r="E2007" s="4" t="str">
        <f>IFERROR(__xludf.DUMMYFUNCTION("""COMPUTED_VALUE"""),"Sin precio neto")</f>
        <v>Sin precio neto</v>
      </c>
    </row>
    <row r="2008">
      <c r="A2008" s="4" t="str">
        <f>IFERROR(__xludf.DUMMYFUNCTION("""COMPUTED_VALUE"""),"9640195NF")</f>
        <v>9640195NF</v>
      </c>
      <c r="B2008" s="4" t="str">
        <f>IFERROR(__xludf.DUMMYFUNCTION("""COMPUTED_VALUE"""),"Señal MOPU informativa 40x195 cm Normal Flechada")</f>
        <v>Señal MOPU informativa 40x195 cm Normal Flechada</v>
      </c>
      <c r="C2008" s="4">
        <f>IFERROR(__xludf.DUMMYFUNCTION("""COMPUTED_VALUE"""),114.2)</f>
        <v>114.2</v>
      </c>
      <c r="D2008" s="4"/>
      <c r="E2008" s="4" t="str">
        <f>IFERROR(__xludf.DUMMYFUNCTION("""COMPUTED_VALUE"""),"Sin precio neto")</f>
        <v>Sin precio neto</v>
      </c>
    </row>
    <row r="2009">
      <c r="A2009" s="4" t="str">
        <f>IFERROR(__xludf.DUMMYFUNCTION("""COMPUTED_VALUE"""),"964595N")</f>
        <v>964595N</v>
      </c>
      <c r="B2009" s="4" t="str">
        <f>IFERROR(__xludf.DUMMYFUNCTION("""COMPUTED_VALUE"""),"Señal MOPU informativa 45x95 cm Normal")</f>
        <v>Señal MOPU informativa 45x95 cm Normal</v>
      </c>
      <c r="C2009" s="4">
        <f>IFERROR(__xludf.DUMMYFUNCTION("""COMPUTED_VALUE"""),65.225)</f>
        <v>65.225</v>
      </c>
      <c r="D2009" s="4"/>
      <c r="E2009" s="4" t="str">
        <f>IFERROR(__xludf.DUMMYFUNCTION("""COMPUTED_VALUE"""),"Sin precio neto")</f>
        <v>Sin precio neto</v>
      </c>
    </row>
    <row r="2010">
      <c r="A2010" s="4" t="str">
        <f>IFERROR(__xludf.DUMMYFUNCTION("""COMPUTED_VALUE"""),"964595N1")</f>
        <v>964595N1</v>
      </c>
      <c r="B2010" s="4" t="str">
        <f>IFERROR(__xludf.DUMMYFUNCTION("""COMPUTED_VALUE"""),"Señal MOPU informativa 45x95 cm Nivel 1")</f>
        <v>Señal MOPU informativa 45x95 cm Nivel 1</v>
      </c>
      <c r="C2010" s="4">
        <f>IFERROR(__xludf.DUMMYFUNCTION("""COMPUTED_VALUE"""),74.25)</f>
        <v>74.25</v>
      </c>
      <c r="D2010" s="4"/>
      <c r="E2010" s="4" t="str">
        <f>IFERROR(__xludf.DUMMYFUNCTION("""COMPUTED_VALUE"""),"Sin precio neto")</f>
        <v>Sin precio neto</v>
      </c>
    </row>
    <row r="2011">
      <c r="A2011" s="4" t="str">
        <f>IFERROR(__xludf.DUMMYFUNCTION("""COMPUTED_VALUE"""),"964595N1F")</f>
        <v>964595N1F</v>
      </c>
      <c r="B2011" s="4" t="str">
        <f>IFERROR(__xludf.DUMMYFUNCTION("""COMPUTED_VALUE"""),"Señal MOPU informativa 45x95 cm Nivel 1 Flechada")</f>
        <v>Señal MOPU informativa 45x95 cm Nivel 1 Flechada</v>
      </c>
      <c r="C2011" s="4">
        <f>IFERROR(__xludf.DUMMYFUNCTION("""COMPUTED_VALUE"""),74.25)</f>
        <v>74.25</v>
      </c>
      <c r="D2011" s="4"/>
      <c r="E2011" s="4" t="str">
        <f>IFERROR(__xludf.DUMMYFUNCTION("""COMPUTED_VALUE"""),"Sin precio neto")</f>
        <v>Sin precio neto</v>
      </c>
    </row>
    <row r="2012">
      <c r="A2012" s="4" t="str">
        <f>IFERROR(__xludf.DUMMYFUNCTION("""COMPUTED_VALUE"""),"964595N2")</f>
        <v>964595N2</v>
      </c>
      <c r="B2012" s="4" t="str">
        <f>IFERROR(__xludf.DUMMYFUNCTION("""COMPUTED_VALUE"""),"Señal MOPU informativa 45x95 cm Nivel 2")</f>
        <v>Señal MOPU informativa 45x95 cm Nivel 2</v>
      </c>
      <c r="C2012" s="4">
        <f>IFERROR(__xludf.DUMMYFUNCTION("""COMPUTED_VALUE"""),84.25)</f>
        <v>84.25</v>
      </c>
      <c r="D2012" s="4"/>
      <c r="E2012" s="4" t="str">
        <f>IFERROR(__xludf.DUMMYFUNCTION("""COMPUTED_VALUE"""),"Sin precio neto")</f>
        <v>Sin precio neto</v>
      </c>
    </row>
    <row r="2013">
      <c r="A2013" s="4" t="str">
        <f>IFERROR(__xludf.DUMMYFUNCTION("""COMPUTED_VALUE"""),"964595N2F")</f>
        <v>964595N2F</v>
      </c>
      <c r="B2013" s="4" t="str">
        <f>IFERROR(__xludf.DUMMYFUNCTION("""COMPUTED_VALUE"""),"Señal MOPU informativa 45x95 cm Nivel 2 Flechada")</f>
        <v>Señal MOPU informativa 45x95 cm Nivel 2 Flechada</v>
      </c>
      <c r="C2013" s="4">
        <f>IFERROR(__xludf.DUMMYFUNCTION("""COMPUTED_VALUE"""),84.25)</f>
        <v>84.25</v>
      </c>
      <c r="D2013" s="4"/>
      <c r="E2013" s="4" t="str">
        <f>IFERROR(__xludf.DUMMYFUNCTION("""COMPUTED_VALUE"""),"Sin precio neto")</f>
        <v>Sin precio neto</v>
      </c>
    </row>
    <row r="2014">
      <c r="A2014" s="4" t="str">
        <f>IFERROR(__xludf.DUMMYFUNCTION("""COMPUTED_VALUE"""),"964595N3")</f>
        <v>964595N3</v>
      </c>
      <c r="B2014" s="4" t="str">
        <f>IFERROR(__xludf.DUMMYFUNCTION("""COMPUTED_VALUE"""),"Señal MOPU informativa 45x95 cm Nivel 3")</f>
        <v>Señal MOPU informativa 45x95 cm Nivel 3</v>
      </c>
      <c r="C2014" s="4">
        <f>IFERROR(__xludf.DUMMYFUNCTION("""COMPUTED_VALUE"""),99.25)</f>
        <v>99.25</v>
      </c>
      <c r="D2014" s="4"/>
      <c r="E2014" s="4" t="str">
        <f>IFERROR(__xludf.DUMMYFUNCTION("""COMPUTED_VALUE"""),"Sin precio neto")</f>
        <v>Sin precio neto</v>
      </c>
    </row>
    <row r="2015">
      <c r="A2015" s="4" t="str">
        <f>IFERROR(__xludf.DUMMYFUNCTION("""COMPUTED_VALUE"""),"964595N3F")</f>
        <v>964595N3F</v>
      </c>
      <c r="B2015" s="4" t="str">
        <f>IFERROR(__xludf.DUMMYFUNCTION("""COMPUTED_VALUE"""),"Señal MOPU informativa 45x95 cm Nivel 2 Flechada")</f>
        <v>Señal MOPU informativa 45x95 cm Nivel 2 Flechada</v>
      </c>
      <c r="C2015" s="4">
        <f>IFERROR(__xludf.DUMMYFUNCTION("""COMPUTED_VALUE"""),99.25)</f>
        <v>99.25</v>
      </c>
      <c r="D2015" s="4"/>
      <c r="E2015" s="4" t="str">
        <f>IFERROR(__xludf.DUMMYFUNCTION("""COMPUTED_VALUE"""),"Sin precio neto")</f>
        <v>Sin precio neto</v>
      </c>
    </row>
    <row r="2016">
      <c r="A2016" s="4" t="str">
        <f>IFERROR(__xludf.DUMMYFUNCTION("""COMPUTED_VALUE"""),"964595NF")</f>
        <v>964595NF</v>
      </c>
      <c r="B2016" s="4" t="str">
        <f>IFERROR(__xludf.DUMMYFUNCTION("""COMPUTED_VALUE"""),"Señal MOPU informativa 45x95 cm Normal Flechada")</f>
        <v>Señal MOPU informativa 45x95 cm Normal Flechada</v>
      </c>
      <c r="C2016" s="4">
        <f>IFERROR(__xludf.DUMMYFUNCTION("""COMPUTED_VALUE"""),65.225)</f>
        <v>65.225</v>
      </c>
      <c r="D2016" s="4"/>
      <c r="E2016" s="4" t="str">
        <f>IFERROR(__xludf.DUMMYFUNCTION("""COMPUTED_VALUE"""),"Sin precio neto")</f>
        <v>Sin precio neto</v>
      </c>
    </row>
    <row r="2017">
      <c r="A2017" s="4" t="str">
        <f>IFERROR(__xludf.DUMMYFUNCTION("""COMPUTED_VALUE"""),"9655120N")</f>
        <v>9655120N</v>
      </c>
      <c r="B2017" s="4" t="str">
        <f>IFERROR(__xludf.DUMMYFUNCTION("""COMPUTED_VALUE"""),"Señal MOPU informativa 55x120 cm Normal")</f>
        <v>Señal MOPU informativa 55x120 cm Normal</v>
      </c>
      <c r="C2017" s="4">
        <f>IFERROR(__xludf.DUMMYFUNCTION("""COMPUTED_VALUE"""),71.0)</f>
        <v>71</v>
      </c>
      <c r="D2017" s="4"/>
      <c r="E2017" s="4" t="str">
        <f>IFERROR(__xludf.DUMMYFUNCTION("""COMPUTED_VALUE"""),"Sin precio neto")</f>
        <v>Sin precio neto</v>
      </c>
    </row>
    <row r="2018">
      <c r="A2018" s="4" t="str">
        <f>IFERROR(__xludf.DUMMYFUNCTION("""COMPUTED_VALUE"""),"9655120N1")</f>
        <v>9655120N1</v>
      </c>
      <c r="B2018" s="4" t="str">
        <f>IFERROR(__xludf.DUMMYFUNCTION("""COMPUTED_VALUE"""),"Señal MOPU informativa 55x120 cm Reflex I")</f>
        <v>Señal MOPU informativa 55x120 cm Reflex I</v>
      </c>
      <c r="C2018" s="4">
        <f>IFERROR(__xludf.DUMMYFUNCTION("""COMPUTED_VALUE"""),84.0)</f>
        <v>84</v>
      </c>
      <c r="D2018" s="4"/>
      <c r="E2018" s="4" t="str">
        <f>IFERROR(__xludf.DUMMYFUNCTION("""COMPUTED_VALUE"""),"Sin precio neto")</f>
        <v>Sin precio neto</v>
      </c>
    </row>
    <row r="2019">
      <c r="A2019" s="4" t="str">
        <f>IFERROR(__xludf.DUMMYFUNCTION("""COMPUTED_VALUE"""),"9655120N1F")</f>
        <v>9655120N1F</v>
      </c>
      <c r="B2019" s="4" t="str">
        <f>IFERROR(__xludf.DUMMYFUNCTION("""COMPUTED_VALUE"""),"Señal MOPU informativa 55x120 cm Nivel 1 Flechada")</f>
        <v>Señal MOPU informativa 55x120 cm Nivel 1 Flechada</v>
      </c>
      <c r="C2019" s="4">
        <f>IFERROR(__xludf.DUMMYFUNCTION("""COMPUTED_VALUE"""),91.875)</f>
        <v>91.875</v>
      </c>
      <c r="D2019" s="4"/>
      <c r="E2019" s="4" t="str">
        <f>IFERROR(__xludf.DUMMYFUNCTION("""COMPUTED_VALUE"""),"Sin precio neto")</f>
        <v>Sin precio neto</v>
      </c>
    </row>
    <row r="2020">
      <c r="A2020" s="4" t="str">
        <f>IFERROR(__xludf.DUMMYFUNCTION("""COMPUTED_VALUE"""),"9655120N2")</f>
        <v>9655120N2</v>
      </c>
      <c r="B2020" s="4" t="str">
        <f>IFERROR(__xludf.DUMMYFUNCTION("""COMPUTED_VALUE"""),"Señal MOPU informativa 55x120 cm Reflex II")</f>
        <v>Señal MOPU informativa 55x120 cm Reflex II</v>
      </c>
      <c r="C2020" s="4">
        <f>IFERROR(__xludf.DUMMYFUNCTION("""COMPUTED_VALUE"""),112.0)</f>
        <v>112</v>
      </c>
      <c r="D2020" s="4"/>
      <c r="E2020" s="4" t="str">
        <f>IFERROR(__xludf.DUMMYFUNCTION("""COMPUTED_VALUE"""),"Sin precio neto")</f>
        <v>Sin precio neto</v>
      </c>
    </row>
    <row r="2021">
      <c r="A2021" s="4" t="str">
        <f>IFERROR(__xludf.DUMMYFUNCTION("""COMPUTED_VALUE"""),"9655120N2F")</f>
        <v>9655120N2F</v>
      </c>
      <c r="B2021" s="4" t="str">
        <f>IFERROR(__xludf.DUMMYFUNCTION("""COMPUTED_VALUE"""),"Señal MOPU informativa 55x120 cm Nivel 2 Flechada")</f>
        <v>Señal MOPU informativa 55x120 cm Nivel 2 Flechada</v>
      </c>
      <c r="C2021" s="4">
        <f>IFERROR(__xludf.DUMMYFUNCTION("""COMPUTED_VALUE"""),122.85)</f>
        <v>122.85</v>
      </c>
      <c r="D2021" s="4"/>
      <c r="E2021" s="4" t="str">
        <f>IFERROR(__xludf.DUMMYFUNCTION("""COMPUTED_VALUE"""),"Sin precio neto")</f>
        <v>Sin precio neto</v>
      </c>
    </row>
    <row r="2022">
      <c r="A2022" s="4" t="str">
        <f>IFERROR(__xludf.DUMMYFUNCTION("""COMPUTED_VALUE"""),"9655120N3")</f>
        <v>9655120N3</v>
      </c>
      <c r="B2022" s="4" t="str">
        <f>IFERROR(__xludf.DUMMYFUNCTION("""COMPUTED_VALUE"""),"Señal MOPU informativa 55x120 cm Reflex NIII")</f>
        <v>Señal MOPU informativa 55x120 cm Reflex NIII</v>
      </c>
      <c r="C2022" s="4">
        <f>IFERROR(__xludf.DUMMYFUNCTION("""COMPUTED_VALUE"""),159.5)</f>
        <v>159.5</v>
      </c>
      <c r="D2022" s="4"/>
      <c r="E2022" s="4" t="str">
        <f>IFERROR(__xludf.DUMMYFUNCTION("""COMPUTED_VALUE"""),"Sin precio neto")</f>
        <v>Sin precio neto</v>
      </c>
    </row>
    <row r="2023">
      <c r="A2023" s="4" t="str">
        <f>IFERROR(__xludf.DUMMYFUNCTION("""COMPUTED_VALUE"""),"9655120N3F")</f>
        <v>9655120N3F</v>
      </c>
      <c r="B2023" s="4" t="str">
        <f>IFERROR(__xludf.DUMMYFUNCTION("""COMPUTED_VALUE"""),"Señal MOPU informativa 55x120 cm Nivel 3 flechada")</f>
        <v>Señal MOPU informativa 55x120 cm Nivel 3 flechada</v>
      </c>
      <c r="C2023" s="4">
        <f>IFERROR(__xludf.DUMMYFUNCTION("""COMPUTED_VALUE"""),176.4)</f>
        <v>176.4</v>
      </c>
      <c r="D2023" s="4"/>
      <c r="E2023" s="4" t="str">
        <f>IFERROR(__xludf.DUMMYFUNCTION("""COMPUTED_VALUE"""),"Sin precio neto")</f>
        <v>Sin precio neto</v>
      </c>
    </row>
    <row r="2024">
      <c r="A2024" s="4" t="str">
        <f>IFERROR(__xludf.DUMMYFUNCTION("""COMPUTED_VALUE"""),"9655120NF")</f>
        <v>9655120NF</v>
      </c>
      <c r="B2024" s="4" t="str">
        <f>IFERROR(__xludf.DUMMYFUNCTION("""COMPUTED_VALUE"""),"Señal MOPU informativa 55x120 cm Normal Flechada")</f>
        <v>Señal MOPU informativa 55x120 cm Normal Flechada</v>
      </c>
      <c r="C2024" s="4">
        <f>IFERROR(__xludf.DUMMYFUNCTION("""COMPUTED_VALUE"""),98.7)</f>
        <v>98.7</v>
      </c>
      <c r="D2024" s="4"/>
      <c r="E2024" s="4" t="str">
        <f>IFERROR(__xludf.DUMMYFUNCTION("""COMPUTED_VALUE"""),"Sin precio neto")</f>
        <v>Sin precio neto</v>
      </c>
    </row>
    <row r="2025">
      <c r="A2025" s="4" t="str">
        <f>IFERROR(__xludf.DUMMYFUNCTION("""COMPUTED_VALUE"""),"9655170N2")</f>
        <v>9655170N2</v>
      </c>
      <c r="B2025" s="4" t="str">
        <f>IFERROR(__xludf.DUMMYFUNCTION("""COMPUTED_VALUE"""),"Señal MOPU informativa 55x170 cm Reflex II")</f>
        <v>Señal MOPU informativa 55x170 cm Reflex II</v>
      </c>
      <c r="C2025" s="4">
        <f>IFERROR(__xludf.DUMMYFUNCTION("""COMPUTED_VALUE"""),307.125)</f>
        <v>307.125</v>
      </c>
      <c r="D2025" s="4"/>
      <c r="E2025" s="4" t="str">
        <f>IFERROR(__xludf.DUMMYFUNCTION("""COMPUTED_VALUE"""),"Sin precio neto")</f>
        <v>Sin precio neto</v>
      </c>
    </row>
    <row r="2026">
      <c r="A2026" s="4" t="str">
        <f>IFERROR(__xludf.DUMMYFUNCTION("""COMPUTED_VALUE"""),"965595N")</f>
        <v>965595N</v>
      </c>
      <c r="B2026" s="4" t="str">
        <f>IFERROR(__xludf.DUMMYFUNCTION("""COMPUTED_VALUE"""),"Señal MOPU informativa 55x95 cm Normal")</f>
        <v>Señal MOPU informativa 55x95 cm Normal</v>
      </c>
      <c r="C2026" s="4">
        <f>IFERROR(__xludf.DUMMYFUNCTION("""COMPUTED_VALUE"""),65.25)</f>
        <v>65.25</v>
      </c>
      <c r="D2026" s="4"/>
      <c r="E2026" s="4" t="str">
        <f>IFERROR(__xludf.DUMMYFUNCTION("""COMPUTED_VALUE"""),"Sin precio neto")</f>
        <v>Sin precio neto</v>
      </c>
    </row>
    <row r="2027">
      <c r="A2027" s="4" t="str">
        <f>IFERROR(__xludf.DUMMYFUNCTION("""COMPUTED_VALUE"""),"965595N1")</f>
        <v>965595N1</v>
      </c>
      <c r="B2027" s="4" t="str">
        <f>IFERROR(__xludf.DUMMYFUNCTION("""COMPUTED_VALUE"""),"Señal MOPU informativa 55x95 cm Reflex I")</f>
        <v>Señal MOPU informativa 55x95 cm Reflex I</v>
      </c>
      <c r="C2027" s="4">
        <f>IFERROR(__xludf.DUMMYFUNCTION("""COMPUTED_VALUE"""),60.0)</f>
        <v>60</v>
      </c>
      <c r="D2027" s="4"/>
      <c r="E2027" s="4" t="str">
        <f>IFERROR(__xludf.DUMMYFUNCTION("""COMPUTED_VALUE"""),"Sin precio neto")</f>
        <v>Sin precio neto</v>
      </c>
    </row>
    <row r="2028">
      <c r="A2028" s="4" t="str">
        <f>IFERROR(__xludf.DUMMYFUNCTION("""COMPUTED_VALUE"""),"965595N1F")</f>
        <v>965595N1F</v>
      </c>
      <c r="B2028" s="4" t="str">
        <f>IFERROR(__xludf.DUMMYFUNCTION("""COMPUTED_VALUE"""),"Señal MOPU informativa 55x95 cm Nivel 1 Flechada")</f>
        <v>Señal MOPU informativa 55x95 cm Nivel 1 Flechada</v>
      </c>
      <c r="C2028" s="4">
        <f>IFERROR(__xludf.DUMMYFUNCTION("""COMPUTED_VALUE"""),66.675)</f>
        <v>66.675</v>
      </c>
      <c r="D2028" s="4"/>
      <c r="E2028" s="4" t="str">
        <f>IFERROR(__xludf.DUMMYFUNCTION("""COMPUTED_VALUE"""),"Sin precio neto")</f>
        <v>Sin precio neto</v>
      </c>
    </row>
    <row r="2029">
      <c r="A2029" s="4" t="str">
        <f>IFERROR(__xludf.DUMMYFUNCTION("""COMPUTED_VALUE"""),"965595N2")</f>
        <v>965595N2</v>
      </c>
      <c r="B2029" s="4" t="str">
        <f>IFERROR(__xludf.DUMMYFUNCTION("""COMPUTED_VALUE"""),"Señal MOPU informativa 55X95 cm Reflex II")</f>
        <v>Señal MOPU informativa 55X95 cm Reflex II</v>
      </c>
      <c r="C2029" s="4">
        <f>IFERROR(__xludf.DUMMYFUNCTION("""COMPUTED_VALUE"""),77.0)</f>
        <v>77</v>
      </c>
      <c r="D2029" s="4"/>
      <c r="E2029" s="4" t="str">
        <f>IFERROR(__xludf.DUMMYFUNCTION("""COMPUTED_VALUE"""),"Sin precio neto")</f>
        <v>Sin precio neto</v>
      </c>
    </row>
    <row r="2030">
      <c r="A2030" s="4" t="str">
        <f>IFERROR(__xludf.DUMMYFUNCTION("""COMPUTED_VALUE"""),"965595N2F")</f>
        <v>965595N2F</v>
      </c>
      <c r="B2030" s="4" t="str">
        <f>IFERROR(__xludf.DUMMYFUNCTION("""COMPUTED_VALUE"""),"Señal MOPU informativa 55x95 cm Nivel 2 Flechada")</f>
        <v>Señal MOPU informativa 55x95 cm Nivel 2 Flechada</v>
      </c>
      <c r="C2030" s="4">
        <f>IFERROR(__xludf.DUMMYFUNCTION("""COMPUTED_VALUE"""),84.0)</f>
        <v>84</v>
      </c>
      <c r="D2030" s="4"/>
      <c r="E2030" s="4" t="str">
        <f>IFERROR(__xludf.DUMMYFUNCTION("""COMPUTED_VALUE"""),"Sin precio neto")</f>
        <v>Sin precio neto</v>
      </c>
    </row>
    <row r="2031">
      <c r="A2031" s="4" t="str">
        <f>IFERROR(__xludf.DUMMYFUNCTION("""COMPUTED_VALUE"""),"965595N3")</f>
        <v>965595N3</v>
      </c>
      <c r="B2031" s="4" t="str">
        <f>IFERROR(__xludf.DUMMYFUNCTION("""COMPUTED_VALUE"""),"Señal MOPU informativa 55x95 cm Reflex III")</f>
        <v>Señal MOPU informativa 55x95 cm Reflex III</v>
      </c>
      <c r="C2031" s="4">
        <f>IFERROR(__xludf.DUMMYFUNCTION("""COMPUTED_VALUE"""),144.5)</f>
        <v>144.5</v>
      </c>
      <c r="D2031" s="4"/>
      <c r="E2031" s="4" t="str">
        <f>IFERROR(__xludf.DUMMYFUNCTION("""COMPUTED_VALUE"""),"Sin precio neto")</f>
        <v>Sin precio neto</v>
      </c>
    </row>
    <row r="2032">
      <c r="A2032" s="4" t="str">
        <f>IFERROR(__xludf.DUMMYFUNCTION("""COMPUTED_VALUE"""),"965595N3F")</f>
        <v>965595N3F</v>
      </c>
      <c r="B2032" s="4" t="str">
        <f>IFERROR(__xludf.DUMMYFUNCTION("""COMPUTED_VALUE"""),"Señal MOPU informativa 55x95 cm Nivel 3 Flechada")</f>
        <v>Señal MOPU informativa 55x95 cm Nivel 3 Flechada</v>
      </c>
      <c r="C2032" s="4">
        <f>IFERROR(__xludf.DUMMYFUNCTION("""COMPUTED_VALUE"""),160.65)</f>
        <v>160.65</v>
      </c>
      <c r="D2032" s="4"/>
      <c r="E2032" s="4" t="str">
        <f>IFERROR(__xludf.DUMMYFUNCTION("""COMPUTED_VALUE"""),"Sin precio neto")</f>
        <v>Sin precio neto</v>
      </c>
    </row>
    <row r="2033">
      <c r="A2033" s="4" t="str">
        <f>IFERROR(__xludf.DUMMYFUNCTION("""COMPUTED_VALUE"""),"965595NF")</f>
        <v>965595NF</v>
      </c>
      <c r="B2033" s="4" t="str">
        <f>IFERROR(__xludf.DUMMYFUNCTION("""COMPUTED_VALUE"""),"Señal MOPU informativa 55x95 cm Normal Flechada")</f>
        <v>Señal MOPU informativa 55x95 cm Normal Flechada</v>
      </c>
      <c r="C2033" s="4">
        <f>IFERROR(__xludf.DUMMYFUNCTION("""COMPUTED_VALUE"""),60.375)</f>
        <v>60.375</v>
      </c>
      <c r="D2033" s="4"/>
      <c r="E2033" s="4" t="str">
        <f>IFERROR(__xludf.DUMMYFUNCTION("""COMPUTED_VALUE"""),"Sin precio neto")</f>
        <v>Sin precio neto</v>
      </c>
    </row>
    <row r="2034">
      <c r="A2034" s="4" t="str">
        <f>IFERROR(__xludf.DUMMYFUNCTION("""COMPUTED_VALUE"""),"9695145N")</f>
        <v>9695145N</v>
      </c>
      <c r="B2034" s="4" t="str">
        <f>IFERROR(__xludf.DUMMYFUNCTION("""COMPUTED_VALUE"""),"Señal MOPU informativa 95x145 cm Normal")</f>
        <v>Señal MOPU informativa 95x145 cm Normal</v>
      </c>
      <c r="C2034" s="4">
        <f>IFERROR(__xludf.DUMMYFUNCTION("""COMPUTED_VALUE"""),147.5)</f>
        <v>147.5</v>
      </c>
      <c r="D2034" s="4"/>
      <c r="E2034" s="4" t="str">
        <f>IFERROR(__xludf.DUMMYFUNCTION("""COMPUTED_VALUE"""),"Sin precio neto")</f>
        <v>Sin precio neto</v>
      </c>
    </row>
    <row r="2035">
      <c r="A2035" s="4" t="str">
        <f>IFERROR(__xludf.DUMMYFUNCTION("""COMPUTED_VALUE"""),"9700N")</f>
        <v>9700N</v>
      </c>
      <c r="B2035" s="4" t="str">
        <f>IFERROR(__xludf.DUMMYFUNCTION("""COMPUTED_VALUE"""),"Señal Aluminio Cuadrada 60 cm Normal")</f>
        <v>Señal Aluminio Cuadrada 60 cm Normal</v>
      </c>
      <c r="C2035" s="4">
        <f>IFERROR(__xludf.DUMMYFUNCTION("""COMPUTED_VALUE"""),31.0)</f>
        <v>31</v>
      </c>
      <c r="D2035" s="4"/>
      <c r="E2035" s="4" t="str">
        <f>IFERROR(__xludf.DUMMYFUNCTION("""COMPUTED_VALUE"""),"Sin precio neto")</f>
        <v>Sin precio neto</v>
      </c>
    </row>
    <row r="2036">
      <c r="A2036" s="4" t="str">
        <f>IFERROR(__xludf.DUMMYFUNCTION("""COMPUTED_VALUE"""),"9700N1")</f>
        <v>9700N1</v>
      </c>
      <c r="B2036" s="4" t="str">
        <f>IFERROR(__xludf.DUMMYFUNCTION("""COMPUTED_VALUE"""),"Señal Aluminio Cuadrada 60 cm Nivel 1")</f>
        <v>Señal Aluminio Cuadrada 60 cm Nivel 1</v>
      </c>
      <c r="C2036" s="4">
        <f>IFERROR(__xludf.DUMMYFUNCTION("""COMPUTED_VALUE"""),34.0)</f>
        <v>34</v>
      </c>
      <c r="D2036" s="4"/>
      <c r="E2036" s="4" t="str">
        <f>IFERROR(__xludf.DUMMYFUNCTION("""COMPUTED_VALUE"""),"Sin precio neto")</f>
        <v>Sin precio neto</v>
      </c>
    </row>
    <row r="2037">
      <c r="A2037" s="4" t="str">
        <f>IFERROR(__xludf.DUMMYFUNCTION("""COMPUTED_VALUE"""),"9716545N")</f>
        <v>9716545N</v>
      </c>
      <c r="B2037" s="4" t="str">
        <f>IFERROR(__xludf.DUMMYFUNCTION("""COMPUTED_VALUE"""),"Panel direccional A/B 165x45 cm Normal")</f>
        <v>Panel direccional A/B 165x45 cm Normal</v>
      </c>
      <c r="C2037" s="4">
        <f>IFERROR(__xludf.DUMMYFUNCTION("""COMPUTED_VALUE"""),74.0)</f>
        <v>74</v>
      </c>
      <c r="D2037" s="4"/>
      <c r="E2037" s="4" t="str">
        <f>IFERROR(__xludf.DUMMYFUNCTION("""COMPUTED_VALUE"""),"Sin precio neto")</f>
        <v>Sin precio neto</v>
      </c>
    </row>
    <row r="2038">
      <c r="A2038" s="4" t="str">
        <f>IFERROR(__xludf.DUMMYFUNCTION("""COMPUTED_VALUE"""),"9716545N1")</f>
        <v>9716545N1</v>
      </c>
      <c r="B2038" s="4" t="str">
        <f>IFERROR(__xludf.DUMMYFUNCTION("""COMPUTED_VALUE"""),"Panel direccional A/B 165x45 cm Reflex I")</f>
        <v>Panel direccional A/B 165x45 cm Reflex I</v>
      </c>
      <c r="C2038" s="4">
        <f>IFERROR(__xludf.DUMMYFUNCTION("""COMPUTED_VALUE"""),72.0)</f>
        <v>72</v>
      </c>
      <c r="D2038" s="4"/>
      <c r="E2038" s="4" t="str">
        <f>IFERROR(__xludf.DUMMYFUNCTION("""COMPUTED_VALUE"""),"Sin precio neto")</f>
        <v>Sin precio neto</v>
      </c>
    </row>
    <row r="2039">
      <c r="A2039" s="4" t="str">
        <f>IFERROR(__xludf.DUMMYFUNCTION("""COMPUTED_VALUE"""),"9716545N2")</f>
        <v>9716545N2</v>
      </c>
      <c r="B2039" s="4" t="str">
        <f>IFERROR(__xludf.DUMMYFUNCTION("""COMPUTED_VALUE"""),"Panel direccional A/B 165x45 cm Reflex II")</f>
        <v>Panel direccional A/B 165x45 cm Reflex II</v>
      </c>
      <c r="C2039" s="4">
        <f>IFERROR(__xludf.DUMMYFUNCTION("""COMPUTED_VALUE"""),106.0)</f>
        <v>106</v>
      </c>
      <c r="D2039" s="4"/>
      <c r="E2039" s="4" t="str">
        <f>IFERROR(__xludf.DUMMYFUNCTION("""COMPUTED_VALUE"""),"Sin precio neto")</f>
        <v>Sin precio neto</v>
      </c>
    </row>
    <row r="2040">
      <c r="A2040" s="4" t="str">
        <f>IFERROR(__xludf.DUMMYFUNCTION("""COMPUTED_VALUE"""),"9716545N3")</f>
        <v>9716545N3</v>
      </c>
      <c r="B2040" s="4" t="str">
        <f>IFERROR(__xludf.DUMMYFUNCTION("""COMPUTED_VALUE"""),"Panel direccional A/B 165x45 cm Reflex III")</f>
        <v>Panel direccional A/B 165x45 cm Reflex III</v>
      </c>
      <c r="C2040" s="4">
        <f>IFERROR(__xludf.DUMMYFUNCTION("""COMPUTED_VALUE"""),109.0)</f>
        <v>109</v>
      </c>
      <c r="D2040" s="4"/>
      <c r="E2040" s="4" t="str">
        <f>IFERROR(__xludf.DUMMYFUNCTION("""COMPUTED_VALUE"""),"Sin precio neto")</f>
        <v>Sin precio neto</v>
      </c>
    </row>
    <row r="2041">
      <c r="A2041" s="4" t="str">
        <f>IFERROR(__xludf.DUMMYFUNCTION("""COMPUTED_VALUE"""),"978040N")</f>
        <v>978040N</v>
      </c>
      <c r="B2041" s="4" t="str">
        <f>IFERROR(__xludf.DUMMYFUNCTION("""COMPUTED_VALUE"""),"Panel direccional A/B 80x40 cm Normal")</f>
        <v>Panel direccional A/B 80x40 cm Normal</v>
      </c>
      <c r="C2041" s="4">
        <f>IFERROR(__xludf.DUMMYFUNCTION("""COMPUTED_VALUE"""),31.0)</f>
        <v>31</v>
      </c>
      <c r="D2041" s="4"/>
      <c r="E2041" s="4" t="str">
        <f>IFERROR(__xludf.DUMMYFUNCTION("""COMPUTED_VALUE"""),"Sin precio neto")</f>
        <v>Sin precio neto</v>
      </c>
    </row>
    <row r="2042">
      <c r="A2042" s="4" t="str">
        <f>IFERROR(__xludf.DUMMYFUNCTION("""COMPUTED_VALUE"""),"978040N1")</f>
        <v>978040N1</v>
      </c>
      <c r="B2042" s="4" t="str">
        <f>IFERROR(__xludf.DUMMYFUNCTION("""COMPUTED_VALUE"""),"Panel direccional A/B 80x40 cm Reflex I")</f>
        <v>Panel direccional A/B 80x40 cm Reflex I</v>
      </c>
      <c r="C2042" s="4">
        <f>IFERROR(__xludf.DUMMYFUNCTION("""COMPUTED_VALUE"""),37.0)</f>
        <v>37</v>
      </c>
      <c r="D2042" s="4"/>
      <c r="E2042" s="4" t="str">
        <f>IFERROR(__xludf.DUMMYFUNCTION("""COMPUTED_VALUE"""),"Sin precio neto")</f>
        <v>Sin precio neto</v>
      </c>
    </row>
    <row r="2043">
      <c r="A2043" s="4" t="str">
        <f>IFERROR(__xludf.DUMMYFUNCTION("""COMPUTED_VALUE"""),"978040N2")</f>
        <v>978040N2</v>
      </c>
      <c r="B2043" s="4" t="str">
        <f>IFERROR(__xludf.DUMMYFUNCTION("""COMPUTED_VALUE"""),"Panel direccional A/B 80x40 cm Reflex II")</f>
        <v>Panel direccional A/B 80x40 cm Reflex II</v>
      </c>
      <c r="C2043" s="4">
        <f>IFERROR(__xludf.DUMMYFUNCTION("""COMPUTED_VALUE"""),42.0)</f>
        <v>42</v>
      </c>
      <c r="D2043" s="4"/>
      <c r="E2043" s="4" t="str">
        <f>IFERROR(__xludf.DUMMYFUNCTION("""COMPUTED_VALUE"""),"Sin precio neto")</f>
        <v>Sin precio neto</v>
      </c>
    </row>
    <row r="2044">
      <c r="A2044" s="4" t="str">
        <f>IFERROR(__xludf.DUMMYFUNCTION("""COMPUTED_VALUE"""),"978040N3")</f>
        <v>978040N3</v>
      </c>
      <c r="B2044" s="4" t="str">
        <f>IFERROR(__xludf.DUMMYFUNCTION("""COMPUTED_VALUE"""),"Panel direccional A/B 80x40 cm Reflex III")</f>
        <v>Panel direccional A/B 80x40 cm Reflex III</v>
      </c>
      <c r="C2044" s="4">
        <f>IFERROR(__xludf.DUMMYFUNCTION("""COMPUTED_VALUE"""),52.9)</f>
        <v>52.9</v>
      </c>
      <c r="D2044" s="4"/>
      <c r="E2044" s="4" t="str">
        <f>IFERROR(__xludf.DUMMYFUNCTION("""COMPUTED_VALUE"""),"Sin precio neto")</f>
        <v>Sin precio neto</v>
      </c>
    </row>
    <row r="2045">
      <c r="A2045" s="4" t="str">
        <f>IFERROR(__xludf.DUMMYFUNCTION("""COMPUTED_VALUE"""),"9800N")</f>
        <v>9800N</v>
      </c>
      <c r="B2045" s="4" t="str">
        <f>IFERROR(__xludf.DUMMYFUNCTION("""COMPUTED_VALUE"""),"Señal Aluminio Stop 60 cm Normal")</f>
        <v>Señal Aluminio Stop 60 cm Normal</v>
      </c>
      <c r="C2045" s="4">
        <f>IFERROR(__xludf.DUMMYFUNCTION("""COMPUTED_VALUE"""),31.0)</f>
        <v>31</v>
      </c>
      <c r="D2045" s="4"/>
      <c r="E2045" s="4" t="str">
        <f>IFERROR(__xludf.DUMMYFUNCTION("""COMPUTED_VALUE"""),"Sin precio neto")</f>
        <v>Sin precio neto</v>
      </c>
    </row>
    <row r="2046">
      <c r="A2046" s="4" t="str">
        <f>IFERROR(__xludf.DUMMYFUNCTION("""COMPUTED_VALUE"""),"9800N1")</f>
        <v>9800N1</v>
      </c>
      <c r="B2046" s="4" t="str">
        <f>IFERROR(__xludf.DUMMYFUNCTION("""COMPUTED_VALUE"""),"Señal Aluminio Stop 60 cm Nivel 1")</f>
        <v>Señal Aluminio Stop 60 cm Nivel 1</v>
      </c>
      <c r="C2046" s="4">
        <f>IFERROR(__xludf.DUMMYFUNCTION("""COMPUTED_VALUE"""),34.0)</f>
        <v>34</v>
      </c>
      <c r="D2046" s="4"/>
      <c r="E2046" s="4" t="str">
        <f>IFERROR(__xludf.DUMMYFUNCTION("""COMPUTED_VALUE"""),"Sin precio neto")</f>
        <v>Sin precio neto</v>
      </c>
    </row>
    <row r="2047">
      <c r="A2047" s="4" t="str">
        <f>IFERROR(__xludf.DUMMYFUNCTION("""COMPUTED_VALUE"""),"9900N")</f>
        <v>9900N</v>
      </c>
      <c r="B2047" s="4" t="str">
        <f>IFERROR(__xludf.DUMMYFUNCTION("""COMPUTED_VALUE"""),"Señal Aluminio Rectangular 60x30 cm Normal")</f>
        <v>Señal Aluminio Rectangular 60x30 cm Normal</v>
      </c>
      <c r="C2047" s="4">
        <f>IFERROR(__xludf.DUMMYFUNCTION("""COMPUTED_VALUE"""),17.0)</f>
        <v>17</v>
      </c>
      <c r="D2047" s="4"/>
      <c r="E2047" s="4" t="str">
        <f>IFERROR(__xludf.DUMMYFUNCTION("""COMPUTED_VALUE"""),"Sin precio neto")</f>
        <v>Sin precio neto</v>
      </c>
    </row>
    <row r="2048">
      <c r="A2048" s="4" t="str">
        <f>IFERROR(__xludf.DUMMYFUNCTION("""COMPUTED_VALUE"""),"9900N1")</f>
        <v>9900N1</v>
      </c>
      <c r="B2048" s="4" t="str">
        <f>IFERROR(__xludf.DUMMYFUNCTION("""COMPUTED_VALUE"""),"Señal Aluminio Rectangular 60x30 cm Nivel 1")</f>
        <v>Señal Aluminio Rectangular 60x30 cm Nivel 1</v>
      </c>
      <c r="C2048" s="4">
        <f>IFERROR(__xludf.DUMMYFUNCTION("""COMPUTED_VALUE"""),19.0)</f>
        <v>19</v>
      </c>
      <c r="D2048" s="4"/>
      <c r="E2048" s="4" t="str">
        <f>IFERROR(__xludf.DUMMYFUNCTION("""COMPUTED_VALUE"""),"Sin precio neto")</f>
        <v>Sin precio neto</v>
      </c>
    </row>
    <row r="2049">
      <c r="A2049" s="4" t="str">
        <f>IFERROR(__xludf.DUMMYFUNCTION("""COMPUTED_VALUE"""),"ABRAZADERA50-")</f>
        <v>ABRAZADERA50-</v>
      </c>
      <c r="B2049" s="4" t="str">
        <f>IFERROR(__xludf.DUMMYFUNCTION("""COMPUTED_VALUE"""),"Abrazadera completa para poste 50/60")</f>
        <v>Abrazadera completa para poste 50/60</v>
      </c>
      <c r="C2049" s="4">
        <f>IFERROR(__xludf.DUMMYFUNCTION("""COMPUTED_VALUE"""),4.75)</f>
        <v>4.75</v>
      </c>
      <c r="D2049" s="4"/>
      <c r="E2049" s="4" t="str">
        <f>IFERROR(__xludf.DUMMYFUNCTION("""COMPUTED_VALUE"""),"Sin precio neto")</f>
        <v>Sin precio neto</v>
      </c>
    </row>
    <row r="2050">
      <c r="A2050" s="4" t="str">
        <f>IFERROR(__xludf.DUMMYFUNCTION("""COMPUTED_VALUE"""),"ABRAZADERA80X")</f>
        <v>ABRAZADERA80X</v>
      </c>
      <c r="B2050" s="4" t="str">
        <f>IFERROR(__xludf.DUMMYFUNCTION("""COMPUTED_VALUE"""),"Abrazadera para poste de 80x40")</f>
        <v>Abrazadera para poste de 80x40</v>
      </c>
      <c r="C2050" s="4">
        <f>IFERROR(__xludf.DUMMYFUNCTION("""COMPUTED_VALUE"""),2.7)</f>
        <v>2.7</v>
      </c>
      <c r="D2050" s="4"/>
      <c r="E2050" s="4" t="str">
        <f>IFERROR(__xludf.DUMMYFUNCTION("""COMPUTED_VALUE"""),"Sin precio neto")</f>
        <v>Sin precio neto</v>
      </c>
    </row>
    <row r="2051">
      <c r="A2051" s="4" t="str">
        <f>IFERROR(__xludf.DUMMYFUNCTION("""COMPUTED_VALUE"""),"AL297105")</f>
        <v>AL297105</v>
      </c>
      <c r="B2051" s="4" t="str">
        <f>IFERROR(__xludf.DUMMYFUNCTION("""COMPUTED_VALUE"""),"Panel impreso aluminio 297x105 mm")</f>
        <v>Panel impreso aluminio 297x105 mm</v>
      </c>
      <c r="C2051" s="4">
        <f>IFERROR(__xludf.DUMMYFUNCTION("""COMPUTED_VALUE"""),2.15)</f>
        <v>2.15</v>
      </c>
      <c r="D2051" s="4"/>
      <c r="E2051" s="4" t="str">
        <f>IFERROR(__xludf.DUMMYFUNCTION("""COMPUTED_VALUE"""),"Sin precio neto")</f>
        <v>Sin precio neto</v>
      </c>
    </row>
    <row r="2052">
      <c r="A2052" s="4" t="str">
        <f>IFERROR(__xludf.DUMMYFUNCTION("""COMPUTED_VALUE"""),"AL320160")</f>
        <v>AL320160</v>
      </c>
      <c r="B2052" s="4" t="str">
        <f>IFERROR(__xludf.DUMMYFUNCTION("""COMPUTED_VALUE"""),"Panel impreso aluminio 320x160 mm")</f>
        <v>Panel impreso aluminio 320x160 mm</v>
      </c>
      <c r="C2052" s="4">
        <f>IFERROR(__xludf.DUMMYFUNCTION("""COMPUTED_VALUE"""),4.1)</f>
        <v>4.1</v>
      </c>
      <c r="D2052" s="4"/>
      <c r="E2052" s="4" t="str">
        <f>IFERROR(__xludf.DUMMYFUNCTION("""COMPUTED_VALUE"""),"Sin precio neto")</f>
        <v>Sin precio neto</v>
      </c>
    </row>
    <row r="2053">
      <c r="A2053" s="4" t="str">
        <f>IFERROR(__xludf.DUMMYFUNCTION("""COMPUTED_VALUE"""),"AL420320")</f>
        <v>AL420320</v>
      </c>
      <c r="B2053" s="4" t="str">
        <f>IFERROR(__xludf.DUMMYFUNCTION("""COMPUTED_VALUE"""),"Panel impreso aluminio 420x320 mm")</f>
        <v>Panel impreso aluminio 420x320 mm</v>
      </c>
      <c r="C2053" s="4">
        <f>IFERROR(__xludf.DUMMYFUNCTION("""COMPUTED_VALUE"""),10.76)</f>
        <v>10.76</v>
      </c>
      <c r="D2053" s="4"/>
      <c r="E2053" s="4" t="str">
        <f>IFERROR(__xludf.DUMMYFUNCTION("""COMPUTED_VALUE"""),"Sin precio neto")</f>
        <v>Sin precio neto</v>
      </c>
    </row>
    <row r="2054">
      <c r="A2054" s="4" t="str">
        <f>IFERROR(__xludf.DUMMYFUNCTION("""COMPUTED_VALUE"""),"AL630630")</f>
        <v>AL630630</v>
      </c>
      <c r="B2054" s="4" t="str">
        <f>IFERROR(__xludf.DUMMYFUNCTION("""COMPUTED_VALUE"""),"Panel impreso aluminio 630x630 mm")</f>
        <v>Panel impreso aluminio 630x630 mm</v>
      </c>
      <c r="C2054" s="4">
        <f>IFERROR(__xludf.DUMMYFUNCTION("""COMPUTED_VALUE"""),31.74)</f>
        <v>31.74</v>
      </c>
      <c r="D2054" s="4"/>
      <c r="E2054" s="4" t="str">
        <f>IFERROR(__xludf.DUMMYFUNCTION("""COMPUTED_VALUE"""),"Sin precio neto")</f>
        <v>Sin precio neto</v>
      </c>
    </row>
    <row r="2055">
      <c r="A2055" s="4" t="str">
        <f>IFERROR(__xludf.DUMMYFUNCTION("""COMPUTED_VALUE"""),"AL960480")</f>
        <v>AL960480</v>
      </c>
      <c r="B2055" s="4" t="str">
        <f>IFERROR(__xludf.DUMMYFUNCTION("""COMPUTED_VALUE"""),"Panel impreso aluminio 960x480")</f>
        <v>Panel impreso aluminio 960x480</v>
      </c>
      <c r="C2055" s="4">
        <f>IFERROR(__xludf.DUMMYFUNCTION("""COMPUTED_VALUE"""),37.4)</f>
        <v>37.4</v>
      </c>
      <c r="D2055" s="4"/>
      <c r="E2055" s="4" t="str">
        <f>IFERROR(__xludf.DUMMYFUNCTION("""COMPUTED_VALUE"""),"Sin precio neto")</f>
        <v>Sin precio neto</v>
      </c>
    </row>
    <row r="2056">
      <c r="A2056" s="4" t="str">
        <f>IFERROR(__xludf.DUMMYFUNCTION("""COMPUTED_VALUE"""),"ALA1")</f>
        <v>ALA1</v>
      </c>
      <c r="B2056" s="4" t="str">
        <f>IFERROR(__xludf.DUMMYFUNCTION("""COMPUTED_VALUE"""),"Panel impreso aluminio A1 (841x594 mm)")</f>
        <v>Panel impreso aluminio A1 (841x594 mm)</v>
      </c>
      <c r="C2056" s="4">
        <f>IFERROR(__xludf.DUMMYFUNCTION("""COMPUTED_VALUE"""),40.23)</f>
        <v>40.23</v>
      </c>
      <c r="D2056" s="4"/>
      <c r="E2056" s="4" t="str">
        <f>IFERROR(__xludf.DUMMYFUNCTION("""COMPUTED_VALUE"""),"Sin precio neto")</f>
        <v>Sin precio neto</v>
      </c>
    </row>
    <row r="2057">
      <c r="A2057" s="4" t="str">
        <f>IFERROR(__xludf.DUMMYFUNCTION("""COMPUTED_VALUE"""),"ALA2")</f>
        <v>ALA2</v>
      </c>
      <c r="B2057" s="4" t="str">
        <f>IFERROR(__xludf.DUMMYFUNCTION("""COMPUTED_VALUE"""),"Panel impreso aluminio A2 (594X420)")</f>
        <v>Panel impreso aluminio A2 (594X420)</v>
      </c>
      <c r="C2057" s="4">
        <f>IFERROR(__xludf.DUMMYFUNCTION("""COMPUTED_VALUE"""),2.115)</f>
        <v>2.115</v>
      </c>
      <c r="D2057" s="4"/>
      <c r="E2057" s="4" t="str">
        <f>IFERROR(__xludf.DUMMYFUNCTION("""COMPUTED_VALUE"""),"Sin precio neto")</f>
        <v>Sin precio neto</v>
      </c>
    </row>
    <row r="2058">
      <c r="A2058" s="4" t="str">
        <f>IFERROR(__xludf.DUMMYFUNCTION("""COMPUTED_VALUE"""),"ALA3")</f>
        <v>ALA3</v>
      </c>
      <c r="B2058" s="4" t="str">
        <f>IFERROR(__xludf.DUMMYFUNCTION("""COMPUTED_VALUE"""),"Panel impreso aluminio A3 (420X297 mm)")</f>
        <v>Panel impreso aluminio A3 (420X297 mm)</v>
      </c>
      <c r="C2058" s="4">
        <f>IFERROR(__xludf.DUMMYFUNCTION("""COMPUTED_VALUE"""),10.08)</f>
        <v>10.08</v>
      </c>
      <c r="D2058" s="4"/>
      <c r="E2058" s="4" t="str">
        <f>IFERROR(__xludf.DUMMYFUNCTION("""COMPUTED_VALUE"""),"Sin precio neto")</f>
        <v>Sin precio neto</v>
      </c>
    </row>
    <row r="2059">
      <c r="A2059" s="4" t="str">
        <f>IFERROR(__xludf.DUMMYFUNCTION("""COMPUTED_VALUE"""),"ALA4")</f>
        <v>ALA4</v>
      </c>
      <c r="B2059" s="4" t="str">
        <f>IFERROR(__xludf.DUMMYFUNCTION("""COMPUTED_VALUE"""),"Panel impreso aluminio A4 (297x210 mm)")</f>
        <v>Panel impreso aluminio A4 (297x210 mm)</v>
      </c>
      <c r="C2059" s="4">
        <f>IFERROR(__xludf.DUMMYFUNCTION("""COMPUTED_VALUE"""),5.04)</f>
        <v>5.04</v>
      </c>
      <c r="D2059" s="4"/>
      <c r="E2059" s="4" t="str">
        <f>IFERROR(__xludf.DUMMYFUNCTION("""COMPUTED_VALUE"""),"Sin precio neto")</f>
        <v>Sin precio neto</v>
      </c>
    </row>
    <row r="2060">
      <c r="A2060" s="4" t="str">
        <f>IFERROR(__xludf.DUMMYFUNCTION("""COMPUTED_VALUE"""),"ALA6")</f>
        <v>ALA6</v>
      </c>
      <c r="B2060" s="4" t="str">
        <f>IFERROR(__xludf.DUMMYFUNCTION("""COMPUTED_VALUE"""),"Panel impreso aluminio A6 (105x148 mm)")</f>
        <v>Panel impreso aluminio A6 (105x148 mm)</v>
      </c>
      <c r="C2060" s="4">
        <f>IFERROR(__xludf.DUMMYFUNCTION("""COMPUTED_VALUE"""),1.24)</f>
        <v>1.24</v>
      </c>
      <c r="D2060" s="4"/>
      <c r="E2060" s="4" t="str">
        <f>IFERROR(__xludf.DUMMYFUNCTION("""COMPUTED_VALUE"""),"Sin precio neto")</f>
        <v>Sin precio neto</v>
      </c>
    </row>
    <row r="2061">
      <c r="A2061" s="4" t="str">
        <f>IFERROR(__xludf.DUMMYFUNCTION("""COMPUTED_VALUE"""),"CBA3")</f>
        <v>CBA3</v>
      </c>
      <c r="B2061" s="4" t="str">
        <f>IFERROR(__xludf.DUMMYFUNCTION("""COMPUTED_VALUE"""),"Soporte cartel en banderola acero cartel 40x30 cm")</f>
        <v>Soporte cartel en banderola acero cartel 40x30 cm</v>
      </c>
      <c r="C2061" s="4">
        <f>IFERROR(__xludf.DUMMYFUNCTION("""COMPUTED_VALUE"""),3.4)</f>
        <v>3.4</v>
      </c>
      <c r="D2061" s="4"/>
      <c r="E2061" s="4" t="str">
        <f>IFERROR(__xludf.DUMMYFUNCTION("""COMPUTED_VALUE"""),"Sin precio neto")</f>
        <v>Sin precio neto</v>
      </c>
    </row>
    <row r="2062">
      <c r="A2062" s="4" t="str">
        <f>IFERROR(__xludf.DUMMYFUNCTION("""COMPUTED_VALUE"""),"CBA4")</f>
        <v>CBA4</v>
      </c>
      <c r="B2062" s="4" t="str">
        <f>IFERROR(__xludf.DUMMYFUNCTION("""COMPUTED_VALUE"""),"Soporte cartel en banderola acero cartel 21x29 cm")</f>
        <v>Soporte cartel en banderola acero cartel 21x29 cm</v>
      </c>
      <c r="C2062" s="4">
        <f>IFERROR(__xludf.DUMMYFUNCTION("""COMPUTED_VALUE"""),2.4)</f>
        <v>2.4</v>
      </c>
      <c r="D2062" s="4"/>
      <c r="E2062" s="4" t="str">
        <f>IFERROR(__xludf.DUMMYFUNCTION("""COMPUTED_VALUE"""),"Sin precio neto")</f>
        <v>Sin precio neto</v>
      </c>
    </row>
    <row r="2063">
      <c r="A2063" s="4" t="str">
        <f>IFERROR(__xludf.DUMMYFUNCTION("""COMPUTED_VALUE"""),"ESCRUADRA")</f>
        <v>ESCRUADRA</v>
      </c>
      <c r="B2063" s="4" t="str">
        <f>IFERROR(__xludf.DUMMYFUNCTION("""COMPUTED_VALUE"""),"Escuadra 9x8x1,8 cm. señal MOPU")</f>
        <v>Escuadra 9x8x1,8 cm. señal MOPU</v>
      </c>
      <c r="C2063" s="4">
        <f>IFERROR(__xludf.DUMMYFUNCTION("""COMPUTED_VALUE"""),2.25)</f>
        <v>2.25</v>
      </c>
      <c r="D2063" s="4"/>
      <c r="E2063" s="4" t="str">
        <f>IFERROR(__xludf.DUMMYFUNCTION("""COMPUTED_VALUE"""),"Sin precio neto")</f>
        <v>Sin precio neto</v>
      </c>
    </row>
    <row r="2064">
      <c r="A2064" s="4" t="str">
        <f>IFERROR(__xludf.DUMMYFUNCTION("""COMPUTED_VALUE"""),"ESCUADRA")</f>
        <v>ESCUADRA</v>
      </c>
      <c r="B2064" s="4" t="str">
        <f>IFERROR(__xludf.DUMMYFUNCTION("""COMPUTED_VALUE"""),"Escuadra 14x8x1,8 cm señal MOPU")</f>
        <v>Escuadra 14x8x1,8 cm señal MOPU</v>
      </c>
      <c r="C2064" s="4">
        <f>IFERROR(__xludf.DUMMYFUNCTION("""COMPUTED_VALUE"""),2.9)</f>
        <v>2.9</v>
      </c>
      <c r="D2064" s="4"/>
      <c r="E2064" s="4" t="str">
        <f>IFERROR(__xludf.DUMMYFUNCTION("""COMPUTED_VALUE"""),"Sin precio neto")</f>
        <v>Sin precio neto</v>
      </c>
    </row>
    <row r="2065">
      <c r="A2065" s="4" t="str">
        <f>IFERROR(__xludf.DUMMYFUNCTION("""COMPUTED_VALUE"""),"EXPOSIT SEÑAL")</f>
        <v>EXPOSIT SEÑAL</v>
      </c>
      <c r="B2065" s="4" t="str">
        <f>IFERROR(__xludf.DUMMYFUNCTION("""COMPUTED_VALUE"""),"Expositor Señalización SIN SEÑALES")</f>
        <v>Expositor Señalización SIN SEÑALES</v>
      </c>
      <c r="C2065" s="4">
        <f>IFERROR(__xludf.DUMMYFUNCTION("""COMPUTED_VALUE"""),250.0)</f>
        <v>250</v>
      </c>
      <c r="D2065" s="4">
        <f>IFERROR(__xludf.DUMMYFUNCTION("""COMPUTED_VALUE"""),150.0)</f>
        <v>150</v>
      </c>
      <c r="E2065" s="4" t="str">
        <f>IFERROR(__xludf.DUMMYFUNCTION("""COMPUTED_VALUE"""),"Neto: 150,00 € (a partir de 1 uds.)")</f>
        <v>Neto: 150,00 € (a partir de 1 uds.)</v>
      </c>
    </row>
    <row r="2066">
      <c r="A2066" s="4" t="str">
        <f>IFERROR(__xludf.DUMMYFUNCTION("""COMPUTED_VALUE"""),"EXPOSITOR")</f>
        <v>EXPOSITOR</v>
      </c>
      <c r="B2066" s="4" t="str">
        <f>IFERROR(__xludf.DUMMYFUNCTION("""COMPUTED_VALUE"""),"Expositor Señalización + Señales metálicas estándar")</f>
        <v>Expositor Señalización + Señales metálicas estándar</v>
      </c>
      <c r="C2066" s="4">
        <f>IFERROR(__xludf.DUMMYFUNCTION("""COMPUTED_VALUE"""),1200.0)</f>
        <v>1200</v>
      </c>
      <c r="D2066" s="4">
        <f>IFERROR(__xludf.DUMMYFUNCTION("""COMPUTED_VALUE"""),1000.0)</f>
        <v>1000</v>
      </c>
      <c r="E2066" s="4" t="str">
        <f>IFERROR(__xludf.DUMMYFUNCTION("""COMPUTED_VALUE"""),"Neto: 1000,00 € (a partir de 1 uds.)")</f>
        <v>Neto: 1000,00 € (a partir de 1 uds.)</v>
      </c>
    </row>
    <row r="2067">
      <c r="A2067" s="4" t="str">
        <f>IFERROR(__xludf.DUMMYFUNCTION("""COMPUTED_VALUE"""),"MCA1")</f>
        <v>MCA1</v>
      </c>
      <c r="B2067" s="4" t="str">
        <f>IFERROR(__xludf.DUMMYFUNCTION("""COMPUTED_VALUE"""),"Panel impreso Metacrilato colada 2 mm A1 (841x594 mm)")</f>
        <v>Panel impreso Metacrilato colada 2 mm A1 (841x594 mm)</v>
      </c>
      <c r="C2067" s="4">
        <f>IFERROR(__xludf.DUMMYFUNCTION("""COMPUTED_VALUE"""),32.52)</f>
        <v>32.52</v>
      </c>
      <c r="D2067" s="4"/>
      <c r="E2067" s="4" t="str">
        <f>IFERROR(__xludf.DUMMYFUNCTION("""COMPUTED_VALUE"""),"Sin precio neto")</f>
        <v>Sin precio neto</v>
      </c>
    </row>
    <row r="2068">
      <c r="A2068" s="4" t="str">
        <f>IFERROR(__xludf.DUMMYFUNCTION("""COMPUTED_VALUE"""),"MCA2")</f>
        <v>MCA2</v>
      </c>
      <c r="B2068" s="4" t="str">
        <f>IFERROR(__xludf.DUMMYFUNCTION("""COMPUTED_VALUE"""),"Panel impreso Metacrilato colada 2 mm A2 (594x420 mm)")</f>
        <v>Panel impreso Metacrilato colada 2 mm A2 (594x420 mm)</v>
      </c>
      <c r="C2068" s="4">
        <f>IFERROR(__xludf.DUMMYFUNCTION("""COMPUTED_VALUE"""),18.1)</f>
        <v>18.1</v>
      </c>
      <c r="D2068" s="4"/>
      <c r="E2068" s="4" t="str">
        <f>IFERROR(__xludf.DUMMYFUNCTION("""COMPUTED_VALUE"""),"Sin precio neto")</f>
        <v>Sin precio neto</v>
      </c>
    </row>
    <row r="2069">
      <c r="A2069" s="4" t="str">
        <f>IFERROR(__xludf.DUMMYFUNCTION("""COMPUTED_VALUE"""),"MCA3")</f>
        <v>MCA3</v>
      </c>
      <c r="B2069" s="4" t="str">
        <f>IFERROR(__xludf.DUMMYFUNCTION("""COMPUTED_VALUE"""),"Panel impreso Metacrilato colada 2 mm A3 (420x297 mm)")</f>
        <v>Panel impreso Metacrilato colada 2 mm A3 (420x297 mm)</v>
      </c>
      <c r="C2069" s="4">
        <f>IFERROR(__xludf.DUMMYFUNCTION("""COMPUTED_VALUE"""),11.88)</f>
        <v>11.88</v>
      </c>
      <c r="D2069" s="4"/>
      <c r="E2069" s="4" t="str">
        <f>IFERROR(__xludf.DUMMYFUNCTION("""COMPUTED_VALUE"""),"Sin precio neto")</f>
        <v>Sin precio neto</v>
      </c>
    </row>
    <row r="2070">
      <c r="A2070" s="4" t="str">
        <f>IFERROR(__xludf.DUMMYFUNCTION("""COMPUTED_VALUE"""),"MCA4")</f>
        <v>MCA4</v>
      </c>
      <c r="B2070" s="4" t="str">
        <f>IFERROR(__xludf.DUMMYFUNCTION("""COMPUTED_VALUE"""),"Panel impreso Metacrilato colada 2 mm A4 (210x297 mm)")</f>
        <v>Panel impreso Metacrilato colada 2 mm A4 (210x297 mm)</v>
      </c>
      <c r="C2070" s="4">
        <f>IFERROR(__xludf.DUMMYFUNCTION("""COMPUTED_VALUE"""),6.3)</f>
        <v>6.3</v>
      </c>
      <c r="D2070" s="4"/>
      <c r="E2070" s="4" t="str">
        <f>IFERROR(__xludf.DUMMYFUNCTION("""COMPUTED_VALUE"""),"Sin precio neto")</f>
        <v>Sin precio neto</v>
      </c>
    </row>
    <row r="2071">
      <c r="A2071" s="4" t="str">
        <f>IFERROR(__xludf.DUMMYFUNCTION("""COMPUTED_VALUE"""),"MCA5")</f>
        <v>MCA5</v>
      </c>
      <c r="B2071" s="4" t="str">
        <f>IFERROR(__xludf.DUMMYFUNCTION("""COMPUTED_VALUE"""),"Panel impreso Metacrilato colada 2 mm A5 (148x210 mm)")</f>
        <v>Panel impreso Metacrilato colada 2 mm A5 (148x210 mm)</v>
      </c>
      <c r="C2071" s="4">
        <f>IFERROR(__xludf.DUMMYFUNCTION("""COMPUTED_VALUE"""),3.4)</f>
        <v>3.4</v>
      </c>
      <c r="D2071" s="4"/>
      <c r="E2071" s="4" t="str">
        <f>IFERROR(__xludf.DUMMYFUNCTION("""COMPUTED_VALUE"""),"Sin precio neto")</f>
        <v>Sin precio neto</v>
      </c>
    </row>
    <row r="2072">
      <c r="A2072" s="4" t="str">
        <f>IFERROR(__xludf.DUMMYFUNCTION("""COMPUTED_VALUE"""),"MCA6")</f>
        <v>MCA6</v>
      </c>
      <c r="B2072" s="4" t="str">
        <f>IFERROR(__xludf.DUMMYFUNCTION("""COMPUTED_VALUE"""),"Panel impreso Metacrilato colada 2 mm A6 (148x105 mm)")</f>
        <v>Panel impreso Metacrilato colada 2 mm A6 (148x105 mm)</v>
      </c>
      <c r="C2072" s="4">
        <f>IFERROR(__xludf.DUMMYFUNCTION("""COMPUTED_VALUE"""),2.2)</f>
        <v>2.2</v>
      </c>
      <c r="D2072" s="4"/>
      <c r="E2072" s="4" t="str">
        <f>IFERROR(__xludf.DUMMYFUNCTION("""COMPUTED_VALUE"""),"Sin precio neto")</f>
        <v>Sin precio neto</v>
      </c>
    </row>
    <row r="2073">
      <c r="A2073" s="4" t="str">
        <f>IFERROR(__xludf.DUMMYFUNCTION("""COMPUTED_VALUE"""),"PASA1")</f>
        <v>PASA1</v>
      </c>
      <c r="B2073" s="4" t="str">
        <f>IFERROR(__xludf.DUMMYFUNCTION("""COMPUTED_VALUE"""),"Panel impreso Aluminio Sandwich 2mm/0.15 mm A1 (841x594")</f>
        <v>Panel impreso Aluminio Sandwich 2mm/0.15 mm A1 (841x594</v>
      </c>
      <c r="C2073" s="4">
        <f>IFERROR(__xludf.DUMMYFUNCTION("""COMPUTED_VALUE"""),29.55)</f>
        <v>29.55</v>
      </c>
      <c r="D2073" s="4"/>
      <c r="E2073" s="4" t="str">
        <f>IFERROR(__xludf.DUMMYFUNCTION("""COMPUTED_VALUE"""),"Sin precio neto")</f>
        <v>Sin precio neto</v>
      </c>
    </row>
    <row r="2074">
      <c r="A2074" s="4" t="str">
        <f>IFERROR(__xludf.DUMMYFUNCTION("""COMPUTED_VALUE"""),"PASA2")</f>
        <v>PASA2</v>
      </c>
      <c r="B2074" s="4" t="str">
        <f>IFERROR(__xludf.DUMMYFUNCTION("""COMPUTED_VALUE"""),"Panel impreso Aluminio Sandwich 2mm/0.15 mm A2 (594x420")</f>
        <v>Panel impreso Aluminio Sandwich 2mm/0.15 mm A2 (594x420</v>
      </c>
      <c r="C2074" s="4">
        <f>IFERROR(__xludf.DUMMYFUNCTION("""COMPUTED_VALUE"""),12.65)</f>
        <v>12.65</v>
      </c>
      <c r="D2074" s="4"/>
      <c r="E2074" s="4" t="str">
        <f>IFERROR(__xludf.DUMMYFUNCTION("""COMPUTED_VALUE"""),"Sin precio neto")</f>
        <v>Sin precio neto</v>
      </c>
    </row>
    <row r="2075">
      <c r="A2075" s="4" t="str">
        <f>IFERROR(__xludf.DUMMYFUNCTION("""COMPUTED_VALUE"""),"PASA3")</f>
        <v>PASA3</v>
      </c>
      <c r="B2075" s="4" t="str">
        <f>IFERROR(__xludf.DUMMYFUNCTION("""COMPUTED_VALUE"""),"Panel impreso Aluminio Sandwich 2mm/0.15 mm A3 (420x297")</f>
        <v>Panel impreso Aluminio Sandwich 2mm/0.15 mm A3 (420x297</v>
      </c>
      <c r="C2075" s="4">
        <f>IFERROR(__xludf.DUMMYFUNCTION("""COMPUTED_VALUE"""),5.075)</f>
        <v>5.075</v>
      </c>
      <c r="D2075" s="4"/>
      <c r="E2075" s="4" t="str">
        <f>IFERROR(__xludf.DUMMYFUNCTION("""COMPUTED_VALUE"""),"Sin precio neto")</f>
        <v>Sin precio neto</v>
      </c>
    </row>
    <row r="2076">
      <c r="A2076" s="4" t="str">
        <f>IFERROR(__xludf.DUMMYFUNCTION("""COMPUTED_VALUE"""),"PASA4")</f>
        <v>PASA4</v>
      </c>
      <c r="B2076" s="4" t="str">
        <f>IFERROR(__xludf.DUMMYFUNCTION("""COMPUTED_VALUE"""),"Panel impreso Aluminio Sandwich 2mm/0.15 mm A4 (297x210")</f>
        <v>Panel impreso Aluminio Sandwich 2mm/0.15 mm A4 (297x210</v>
      </c>
      <c r="C2076" s="4">
        <f>IFERROR(__xludf.DUMMYFUNCTION("""COMPUTED_VALUE"""),2.75)</f>
        <v>2.75</v>
      </c>
      <c r="D2076" s="4"/>
      <c r="E2076" s="4" t="str">
        <f>IFERROR(__xludf.DUMMYFUNCTION("""COMPUTED_VALUE"""),"Sin precio neto")</f>
        <v>Sin precio neto</v>
      </c>
    </row>
    <row r="2077">
      <c r="A2077" s="4" t="str">
        <f>IFERROR(__xludf.DUMMYFUNCTION("""COMPUTED_VALUE"""),"PASA5")</f>
        <v>PASA5</v>
      </c>
      <c r="B2077" s="4" t="str">
        <f>IFERROR(__xludf.DUMMYFUNCTION("""COMPUTED_VALUE"""),"Panel impreso Aluminio Sandwich 2mm/0.15 mm A5 (148x210")</f>
        <v>Panel impreso Aluminio Sandwich 2mm/0.15 mm A5 (148x210</v>
      </c>
      <c r="C2077" s="4">
        <f>IFERROR(__xludf.DUMMYFUNCTION("""COMPUTED_VALUE"""),1.4)</f>
        <v>1.4</v>
      </c>
      <c r="D2077" s="4"/>
      <c r="E2077" s="4" t="str">
        <f>IFERROR(__xludf.DUMMYFUNCTION("""COMPUTED_VALUE"""),"Sin precio neto")</f>
        <v>Sin precio neto</v>
      </c>
    </row>
    <row r="2078">
      <c r="A2078" s="4" t="str">
        <f>IFERROR(__xludf.DUMMYFUNCTION("""COMPUTED_VALUE"""),"PASA6")</f>
        <v>PASA6</v>
      </c>
      <c r="B2078" s="4" t="str">
        <f>IFERROR(__xludf.DUMMYFUNCTION("""COMPUTED_VALUE"""),"Panel impreso Aluminio Sandwich 2mm/0.15 mm A6 (105x148")</f>
        <v>Panel impreso Aluminio Sandwich 2mm/0.15 mm A6 (105x148</v>
      </c>
      <c r="C2078" s="4">
        <f>IFERROR(__xludf.DUMMYFUNCTION("""COMPUTED_VALUE"""),1.1)</f>
        <v>1.1</v>
      </c>
      <c r="D2078" s="4"/>
      <c r="E2078" s="4" t="str">
        <f>IFERROR(__xludf.DUMMYFUNCTION("""COMPUTED_VALUE"""),"Sin precio neto")</f>
        <v>Sin precio neto</v>
      </c>
    </row>
    <row r="2079">
      <c r="A2079" s="4" t="str">
        <f>IFERROR(__xludf.DUMMYFUNCTION("""COMPUTED_VALUE"""),"PCMA1")</f>
        <v>PCMA1</v>
      </c>
      <c r="B2079" s="4" t="str">
        <f>IFERROR(__xludf.DUMMYFUNCTION("""COMPUTED_VALUE"""),"Panel impreso PP Celular Microcanal 3 mm A1 (841x594 mm)")</f>
        <v>Panel impreso PP Celular Microcanal 3 mm A1 (841x594 mm)</v>
      </c>
      <c r="C2079" s="4">
        <f>IFERROR(__xludf.DUMMYFUNCTION("""COMPUTED_VALUE"""),9.38)</f>
        <v>9.38</v>
      </c>
      <c r="D2079" s="4"/>
      <c r="E2079" s="4" t="str">
        <f>IFERROR(__xludf.DUMMYFUNCTION("""COMPUTED_VALUE"""),"Sin precio neto")</f>
        <v>Sin precio neto</v>
      </c>
    </row>
    <row r="2080">
      <c r="A2080" s="4" t="str">
        <f>IFERROR(__xludf.DUMMYFUNCTION("""COMPUTED_VALUE"""),"PCMA2")</f>
        <v>PCMA2</v>
      </c>
      <c r="B2080" s="4" t="str">
        <f>IFERROR(__xludf.DUMMYFUNCTION("""COMPUTED_VALUE"""),"Panel impreso PP Celular Microcanal 3 mm A2 (594x420 mm)")</f>
        <v>Panel impreso PP Celular Microcanal 3 mm A2 (594x420 mm)</v>
      </c>
      <c r="C2080" s="4">
        <f>IFERROR(__xludf.DUMMYFUNCTION("""COMPUTED_VALUE"""),4.48)</f>
        <v>4.48</v>
      </c>
      <c r="D2080" s="4"/>
      <c r="E2080" s="4" t="str">
        <f>IFERROR(__xludf.DUMMYFUNCTION("""COMPUTED_VALUE"""),"Sin precio neto")</f>
        <v>Sin precio neto</v>
      </c>
    </row>
    <row r="2081">
      <c r="A2081" s="4" t="str">
        <f>IFERROR(__xludf.DUMMYFUNCTION("""COMPUTED_VALUE"""),"PCMA3")</f>
        <v>PCMA3</v>
      </c>
      <c r="B2081" s="4" t="str">
        <f>IFERROR(__xludf.DUMMYFUNCTION("""COMPUTED_VALUE"""),"Panel impreso PP Celular Microcanal 3 mm A3 (420x297 mm)")</f>
        <v>Panel impreso PP Celular Microcanal 3 mm A3 (420x297 mm)</v>
      </c>
      <c r="C2081" s="4">
        <f>IFERROR(__xludf.DUMMYFUNCTION("""COMPUTED_VALUE"""),2.44)</f>
        <v>2.44</v>
      </c>
      <c r="D2081" s="4"/>
      <c r="E2081" s="4" t="str">
        <f>IFERROR(__xludf.DUMMYFUNCTION("""COMPUTED_VALUE"""),"Sin precio neto")</f>
        <v>Sin precio neto</v>
      </c>
    </row>
    <row r="2082">
      <c r="A2082" s="4" t="str">
        <f>IFERROR(__xludf.DUMMYFUNCTION("""COMPUTED_VALUE"""),"PCMA4")</f>
        <v>PCMA4</v>
      </c>
      <c r="B2082" s="4" t="str">
        <f>IFERROR(__xludf.DUMMYFUNCTION("""COMPUTED_VALUE"""),"Panel impreso PP Celular Microcanal 3 mm A4 (297x210 mm)")</f>
        <v>Panel impreso PP Celular Microcanal 3 mm A4 (297x210 mm)</v>
      </c>
      <c r="C2082" s="4">
        <f>IFERROR(__xludf.DUMMYFUNCTION("""COMPUTED_VALUE"""),1.75)</f>
        <v>1.75</v>
      </c>
      <c r="D2082" s="4"/>
      <c r="E2082" s="4" t="str">
        <f>IFERROR(__xludf.DUMMYFUNCTION("""COMPUTED_VALUE"""),"Sin precio neto")</f>
        <v>Sin precio neto</v>
      </c>
    </row>
    <row r="2083">
      <c r="A2083" s="4" t="str">
        <f>IFERROR(__xludf.DUMMYFUNCTION("""COMPUTED_VALUE"""),"PCMA5")</f>
        <v>PCMA5</v>
      </c>
      <c r="B2083" s="4" t="str">
        <f>IFERROR(__xludf.DUMMYFUNCTION("""COMPUTED_VALUE"""),"Panel impreso PP Celular Microcanal 3 mm A5 (148x210 mm)")</f>
        <v>Panel impreso PP Celular Microcanal 3 mm A5 (148x210 mm)</v>
      </c>
      <c r="C2083" s="4">
        <f>IFERROR(__xludf.DUMMYFUNCTION("""COMPUTED_VALUE"""),1.25)</f>
        <v>1.25</v>
      </c>
      <c r="D2083" s="4"/>
      <c r="E2083" s="4" t="str">
        <f>IFERROR(__xludf.DUMMYFUNCTION("""COMPUTED_VALUE"""),"Sin precio neto")</f>
        <v>Sin precio neto</v>
      </c>
    </row>
    <row r="2084">
      <c r="A2084" s="4" t="str">
        <f>IFERROR(__xludf.DUMMYFUNCTION("""COMPUTED_VALUE"""),"PCMA6")</f>
        <v>PCMA6</v>
      </c>
      <c r="B2084" s="4" t="str">
        <f>IFERROR(__xludf.DUMMYFUNCTION("""COMPUTED_VALUE"""),"Panel impreso PP Celular Microcanal 3 mm A6 (105x148 mm)")</f>
        <v>Panel impreso PP Celular Microcanal 3 mm A6 (105x148 mm)</v>
      </c>
      <c r="C2084" s="4">
        <f>IFERROR(__xludf.DUMMYFUNCTION("""COMPUTED_VALUE"""),0.9)</f>
        <v>0.9</v>
      </c>
      <c r="D2084" s="4"/>
      <c r="E2084" s="4" t="str">
        <f>IFERROR(__xludf.DUMMYFUNCTION("""COMPUTED_VALUE"""),"Sin precio neto")</f>
        <v>Sin precio neto</v>
      </c>
    </row>
    <row r="2085">
      <c r="A2085" s="4" t="str">
        <f>IFERROR(__xludf.DUMMYFUNCTION("""COMPUTED_VALUE"""),"PIEVALLA")</f>
        <v>PIEVALLA</v>
      </c>
      <c r="B2085" s="4" t="str">
        <f>IFERROR(__xludf.DUMMYFUNCTION("""COMPUTED_VALUE"""),"Pie de valla Gate Barrier")</f>
        <v>Pie de valla Gate Barrier</v>
      </c>
      <c r="C2085" s="4">
        <f>IFERROR(__xludf.DUMMYFUNCTION("""COMPUTED_VALUE"""),9.75)</f>
        <v>9.75</v>
      </c>
      <c r="D2085" s="4"/>
      <c r="E2085" s="4" t="str">
        <f>IFERROR(__xludf.DUMMYFUNCTION("""COMPUTED_VALUE"""),"Sin precio neto")</f>
        <v>Sin precio neto</v>
      </c>
    </row>
    <row r="2086">
      <c r="A2086" s="4" t="str">
        <f>IFERROR(__xludf.DUMMYFUNCTION("""COMPUTED_VALUE"""),"PIEVALLAP")</f>
        <v>PIEVALLAP</v>
      </c>
      <c r="B2086" s="4" t="str">
        <f>IFERROR(__xludf.DUMMYFUNCTION("""COMPUTED_VALUE"""),"Pie Valla Gate Barrier Asimétrico")</f>
        <v>Pie Valla Gate Barrier Asimétrico</v>
      </c>
      <c r="C2086" s="4">
        <f>IFERROR(__xludf.DUMMYFUNCTION("""COMPUTED_VALUE"""),9.0)</f>
        <v>9</v>
      </c>
      <c r="D2086" s="4"/>
      <c r="E2086" s="4" t="str">
        <f>IFERROR(__xludf.DUMMYFUNCTION("""COMPUTED_VALUE"""),"Sin precio neto")</f>
        <v>Sin precio neto</v>
      </c>
    </row>
    <row r="2087">
      <c r="A2087" s="4" t="str">
        <f>IFERROR(__xludf.DUMMYFUNCTION("""COMPUTED_VALUE"""),"PVC10070FOTOL")</f>
        <v>PVC10070FOTOL</v>
      </c>
      <c r="B2087" s="4" t="str">
        <f>IFERROR(__xludf.DUMMYFUNCTION("""COMPUTED_VALUE"""),"Cartel PVC fotoluminiscente 100x70 cm")</f>
        <v>Cartel PVC fotoluminiscente 100x70 cm</v>
      </c>
      <c r="C2087" s="4">
        <f>IFERROR(__xludf.DUMMYFUNCTION("""COMPUTED_VALUE"""),24.0)</f>
        <v>24</v>
      </c>
      <c r="D2087" s="4"/>
      <c r="E2087" s="4" t="str">
        <f>IFERROR(__xludf.DUMMYFUNCTION("""COMPUTED_VALUE"""),"Sin precio neto")</f>
        <v>Sin precio neto</v>
      </c>
    </row>
    <row r="2088">
      <c r="A2088" s="4" t="str">
        <f>IFERROR(__xludf.DUMMYFUNCTION("""COMPUTED_VALUE"""),"PVCRA1")</f>
        <v>PVCRA1</v>
      </c>
      <c r="B2088" s="4" t="str">
        <f>IFERROR(__xludf.DUMMYFUNCTION("""COMPUTED_VALUE"""),"Panel impreso PVC Rígido espumado 3 mm A1 (841x594 mm)")</f>
        <v>Panel impreso PVC Rígido espumado 3 mm A1 (841x594 mm)</v>
      </c>
      <c r="C2088" s="4">
        <f>IFERROR(__xludf.DUMMYFUNCTION("""COMPUTED_VALUE"""),14.7)</f>
        <v>14.7</v>
      </c>
      <c r="D2088" s="4"/>
      <c r="E2088" s="4" t="str">
        <f>IFERROR(__xludf.DUMMYFUNCTION("""COMPUTED_VALUE"""),"Sin precio neto")</f>
        <v>Sin precio neto</v>
      </c>
    </row>
    <row r="2089">
      <c r="A2089" s="4" t="str">
        <f>IFERROR(__xludf.DUMMYFUNCTION("""COMPUTED_VALUE"""),"PVCRA2")</f>
        <v>PVCRA2</v>
      </c>
      <c r="B2089" s="4" t="str">
        <f>IFERROR(__xludf.DUMMYFUNCTION("""COMPUTED_VALUE"""),"Panel impreso PVC Rígido espumado 3 mm A2 (594X420 mm)")</f>
        <v>Panel impreso PVC Rígido espumado 3 mm A2 (594X420 mm)</v>
      </c>
      <c r="C2089" s="4">
        <f>IFERROR(__xludf.DUMMYFUNCTION("""COMPUTED_VALUE"""),8.6)</f>
        <v>8.6</v>
      </c>
      <c r="D2089" s="4"/>
      <c r="E2089" s="4" t="str">
        <f>IFERROR(__xludf.DUMMYFUNCTION("""COMPUTED_VALUE"""),"Sin precio neto")</f>
        <v>Sin precio neto</v>
      </c>
    </row>
    <row r="2090">
      <c r="A2090" s="4" t="str">
        <f>IFERROR(__xludf.DUMMYFUNCTION("""COMPUTED_VALUE"""),"PVCRA3")</f>
        <v>PVCRA3</v>
      </c>
      <c r="B2090" s="4" t="str">
        <f>IFERROR(__xludf.DUMMYFUNCTION("""COMPUTED_VALUE"""),"Panel impreso PVC Rígido espumado 3 mm A3 (420x297 mm)")</f>
        <v>Panel impreso PVC Rígido espumado 3 mm A3 (420x297 mm)</v>
      </c>
      <c r="C2090" s="4">
        <f>IFERROR(__xludf.DUMMYFUNCTION("""COMPUTED_VALUE"""),5.44)</f>
        <v>5.44</v>
      </c>
      <c r="D2090" s="4"/>
      <c r="E2090" s="4" t="str">
        <f>IFERROR(__xludf.DUMMYFUNCTION("""COMPUTED_VALUE"""),"Sin precio neto")</f>
        <v>Sin precio neto</v>
      </c>
    </row>
    <row r="2091">
      <c r="A2091" s="4" t="str">
        <f>IFERROR(__xludf.DUMMYFUNCTION("""COMPUTED_VALUE"""),"PVCRA4")</f>
        <v>PVCRA4</v>
      </c>
      <c r="B2091" s="4" t="str">
        <f>IFERROR(__xludf.DUMMYFUNCTION("""COMPUTED_VALUE"""),"Panel impreso PVC Rígido espumado 3 mm A4 (297x210 mm)")</f>
        <v>Panel impreso PVC Rígido espumado 3 mm A4 (297x210 mm)</v>
      </c>
      <c r="C2091" s="4">
        <f>IFERROR(__xludf.DUMMYFUNCTION("""COMPUTED_VALUE"""),3.75)</f>
        <v>3.75</v>
      </c>
      <c r="D2091" s="4"/>
      <c r="E2091" s="4" t="str">
        <f>IFERROR(__xludf.DUMMYFUNCTION("""COMPUTED_VALUE"""),"Sin precio neto")</f>
        <v>Sin precio neto</v>
      </c>
    </row>
    <row r="2092">
      <c r="A2092" s="4" t="str">
        <f>IFERROR(__xludf.DUMMYFUNCTION("""COMPUTED_VALUE"""),"PVCRA5")</f>
        <v>PVCRA5</v>
      </c>
      <c r="B2092" s="4" t="str">
        <f>IFERROR(__xludf.DUMMYFUNCTION("""COMPUTED_VALUE"""),"Panel impreso PVC Rígido espumado 3 mm A5 (148x210 mm)")</f>
        <v>Panel impreso PVC Rígido espumado 3 mm A5 (148x210 mm)</v>
      </c>
      <c r="C2092" s="4">
        <f>IFERROR(__xludf.DUMMYFUNCTION("""COMPUTED_VALUE"""),2.54)</f>
        <v>2.54</v>
      </c>
      <c r="D2092" s="4"/>
      <c r="E2092" s="4" t="str">
        <f>IFERROR(__xludf.DUMMYFUNCTION("""COMPUTED_VALUE"""),"Sin precio neto")</f>
        <v>Sin precio neto</v>
      </c>
    </row>
    <row r="2093">
      <c r="A2093" s="4" t="str">
        <f>IFERROR(__xludf.DUMMYFUNCTION("""COMPUTED_VALUE"""),"PVCRA6")</f>
        <v>PVCRA6</v>
      </c>
      <c r="B2093" s="4" t="str">
        <f>IFERROR(__xludf.DUMMYFUNCTION("""COMPUTED_VALUE"""),"Panel impreso PVC Rígido espumado 3 mm A6 (105x148 mm)")</f>
        <v>Panel impreso PVC Rígido espumado 3 mm A6 (105x148 mm)</v>
      </c>
      <c r="C2093" s="4">
        <f>IFERROR(__xludf.DUMMYFUNCTION("""COMPUTED_VALUE"""),1.3)</f>
        <v>1.3</v>
      </c>
      <c r="D2093" s="4"/>
      <c r="E2093" s="4" t="str">
        <f>IFERROR(__xludf.DUMMYFUNCTION("""COMPUTED_VALUE"""),"Sin precio neto")</f>
        <v>Sin precio neto</v>
      </c>
    </row>
    <row r="2094">
      <c r="A2094" s="4" t="str">
        <f>IFERROR(__xludf.DUMMYFUNCTION("""COMPUTED_VALUE"""),"S13LUM")</f>
        <v>S13LUM</v>
      </c>
      <c r="B2094" s="4" t="str">
        <f>IFERROR(__xludf.DUMMYFUNCTION("""COMPUTED_VALUE"""),"Señal aluminio Luminosa S13 60 cm")</f>
        <v>Señal aluminio Luminosa S13 60 cm</v>
      </c>
      <c r="C2094" s="4">
        <f>IFERROR(__xludf.DUMMYFUNCTION("""COMPUTED_VALUE"""),575.0)</f>
        <v>575</v>
      </c>
      <c r="D2094" s="4"/>
      <c r="E2094" s="4" t="str">
        <f>IFERROR(__xludf.DUMMYFUNCTION("""COMPUTED_VALUE"""),"Sin precio neto")</f>
        <v>Sin precio neto</v>
      </c>
    </row>
    <row r="2095">
      <c r="A2095" s="4" t="str">
        <f>IFERROR(__xludf.DUMMYFUNCTION("""COMPUTED_VALUE"""),"S13SOLAR")</f>
        <v>S13SOLAR</v>
      </c>
      <c r="B2095" s="4" t="str">
        <f>IFERROR(__xludf.DUMMYFUNCTION("""COMPUTED_VALUE"""),"Kit Solar 20 w para alimentación 5 ah/12 v")</f>
        <v>Kit Solar 20 w para alimentación 5 ah/12 v</v>
      </c>
      <c r="C2095" s="4">
        <f>IFERROR(__xludf.DUMMYFUNCTION("""COMPUTED_VALUE"""),390.0)</f>
        <v>390</v>
      </c>
      <c r="D2095" s="4"/>
      <c r="E2095" s="4" t="str">
        <f>IFERROR(__xludf.DUMMYFUNCTION("""COMPUTED_VALUE"""),"Sin precio neto")</f>
        <v>Sin precio neto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tr">
        <f>IFERROR(__xludf.DUMMYFUNCTION("QUERY('Hoja 1'!A:L, ""SELECT A, B, G, D, H WHERE A IS NOT NULL"", 1)"),"Referencia")</f>
        <v>Referencia</v>
      </c>
      <c r="B1" s="4" t="str">
        <f>IFERROR(__xludf.DUMMYFUNCTION("""COMPUTED_VALUE"""),"Descripcion")</f>
        <v>Descripcion</v>
      </c>
      <c r="C1" s="4" t="str">
        <f>IFERROR(__xludf.DUMMYFUNCTION("""COMPUTED_VALUE"""),"PRECIO_ESTANDAR")</f>
        <v>PRECIO_ESTANDAR</v>
      </c>
      <c r="D1" s="4" t="str">
        <f>IFERROR(__xludf.DUMMYFUNCTION("""COMPUTED_VALUE"""),"NETOS")</f>
        <v>NETOS</v>
      </c>
      <c r="E1" s="4" t="str">
        <f>IFERROR(__xludf.DUMMYFUNCTION("""COMPUTED_VALUE"""),"CONDICIONES_NETO")</f>
        <v>CONDICIONES_NETO</v>
      </c>
    </row>
    <row r="2">
      <c r="A2" s="4" t="str">
        <f>IFERROR(__xludf.DUMMYFUNCTION("""COMPUTED_VALUE"""),"101")</f>
        <v>101</v>
      </c>
      <c r="B2" s="4" t="str">
        <f>IFERROR(__xludf.DUMMYFUNCTION("""COMPUTED_VALUE"""),"Cartel PVC 21x29 Fotolum. SALIDA FLECHA IZQ.")</f>
        <v>Cartel PVC 21x29 Fotolum. SALIDA FLECHA IZQ.</v>
      </c>
      <c r="C2" s="4">
        <f>IFERROR(__xludf.DUMMYFUNCTION("""COMPUTED_VALUE"""),2.6)</f>
        <v>2.6</v>
      </c>
      <c r="D2" s="4">
        <f>IFERROR(__xludf.DUMMYFUNCTION("""COMPUTED_VALUE"""),2.1)</f>
        <v>2.1</v>
      </c>
      <c r="E2" s="4" t="str">
        <f>IFERROR(__xludf.DUMMYFUNCTION("""COMPUTED_VALUE"""),"Neto: 2,10 € (a partir de 1 uds.)")</f>
        <v>Neto: 2,10 € (a partir de 1 uds.)</v>
      </c>
    </row>
    <row r="3">
      <c r="A3" s="4" t="str">
        <f>IFERROR(__xludf.DUMMYFUNCTION("""COMPUTED_VALUE"""),"0101A")</f>
        <v>0101A</v>
      </c>
      <c r="B3" s="4" t="str">
        <f>IFERROR(__xludf.DUMMYFUNCTION("""COMPUTED_VALUE"""),"Cartel PVC 32x16 Fotolum Salida flecha derecha")</f>
        <v>Cartel PVC 32x16 Fotolum Salida flecha derecha</v>
      </c>
      <c r="C3" s="4">
        <f>IFERROR(__xludf.DUMMYFUNCTION("""COMPUTED_VALUE"""),2.25)</f>
        <v>2.25</v>
      </c>
      <c r="D3" s="4"/>
      <c r="E3" s="4" t="str">
        <f>IFERROR(__xludf.DUMMYFUNCTION("""COMPUTED_VALUE"""),"Sin precio neto")</f>
        <v>Sin precio neto</v>
      </c>
    </row>
    <row r="4">
      <c r="A4" s="4" t="str">
        <f>IFERROR(__xludf.DUMMYFUNCTION("""COMPUTED_VALUE"""),"0101B")</f>
        <v>0101B</v>
      </c>
      <c r="B4" s="4" t="str">
        <f>IFERROR(__xludf.DUMMYFUNCTION("""COMPUTED_VALUE"""),"Cartel PVC 64x32 Fotolum Salida flecha derecha")</f>
        <v>Cartel PVC 64x32 Fotolum Salida flecha derecha</v>
      </c>
      <c r="C4" s="4">
        <f>IFERROR(__xludf.DUMMYFUNCTION("""COMPUTED_VALUE"""),4.48)</f>
        <v>4.48</v>
      </c>
      <c r="D4" s="4"/>
      <c r="E4" s="4" t="str">
        <f>IFERROR(__xludf.DUMMYFUNCTION("""COMPUTED_VALUE"""),"Sin precio neto")</f>
        <v>Sin precio neto</v>
      </c>
    </row>
    <row r="5">
      <c r="A5" s="4" t="str">
        <f>IFERROR(__xludf.DUMMYFUNCTION("""COMPUTED_VALUE"""),"0101C")</f>
        <v>0101C</v>
      </c>
      <c r="B5" s="4" t="str">
        <f>IFERROR(__xludf.DUMMYFUNCTION("""COMPUTED_VALUE"""),"Cartel PVC 96x48 Fotolum Salida flecha derecha")</f>
        <v>Cartel PVC 96x48 Fotolum Salida flecha derecha</v>
      </c>
      <c r="C5" s="4">
        <f>IFERROR(__xludf.DUMMYFUNCTION("""COMPUTED_VALUE"""),8.96)</f>
        <v>8.96</v>
      </c>
      <c r="D5" s="4"/>
      <c r="E5" s="4" t="str">
        <f>IFERROR(__xludf.DUMMYFUNCTION("""COMPUTED_VALUE"""),"Sin precio neto")</f>
        <v>Sin precio neto</v>
      </c>
    </row>
    <row r="6">
      <c r="A6" s="4" t="str">
        <f>IFERROR(__xludf.DUMMYFUNCTION("""COMPUTED_VALUE"""),"102")</f>
        <v>102</v>
      </c>
      <c r="B6" s="4" t="str">
        <f>IFERROR(__xludf.DUMMYFUNCTION("""COMPUTED_VALUE"""),"Cartel PVC 21x29 Fotolum. SALIDA FLECHA IZQ.")</f>
        <v>Cartel PVC 21x29 Fotolum. SALIDA FLECHA IZQ.</v>
      </c>
      <c r="C6" s="4">
        <f>IFERROR(__xludf.DUMMYFUNCTION("""COMPUTED_VALUE"""),2.6)</f>
        <v>2.6</v>
      </c>
      <c r="D6" s="4">
        <f>IFERROR(__xludf.DUMMYFUNCTION("""COMPUTED_VALUE"""),2.1)</f>
        <v>2.1</v>
      </c>
      <c r="E6" s="4" t="str">
        <f>IFERROR(__xludf.DUMMYFUNCTION("""COMPUTED_VALUE"""),"Neto: 2,10 € (a partir de 1 uds.)")</f>
        <v>Neto: 2,10 € (a partir de 1 uds.)</v>
      </c>
    </row>
    <row r="7">
      <c r="A7" s="4" t="str">
        <f>IFERROR(__xludf.DUMMYFUNCTION("""COMPUTED_VALUE"""),"0102A")</f>
        <v>0102A</v>
      </c>
      <c r="B7" s="4" t="str">
        <f>IFERROR(__xludf.DUMMYFUNCTION("""COMPUTED_VALUE"""),"Cartel PVC 32x16 Fotolum Salida flecha izquierda")</f>
        <v>Cartel PVC 32x16 Fotolum Salida flecha izquierda</v>
      </c>
      <c r="C7" s="4">
        <f>IFERROR(__xludf.DUMMYFUNCTION("""COMPUTED_VALUE"""),2.25)</f>
        <v>2.25</v>
      </c>
      <c r="D7" s="4"/>
      <c r="E7" s="4" t="str">
        <f>IFERROR(__xludf.DUMMYFUNCTION("""COMPUTED_VALUE"""),"Sin precio neto")</f>
        <v>Sin precio neto</v>
      </c>
    </row>
    <row r="8">
      <c r="A8" s="4" t="str">
        <f>IFERROR(__xludf.DUMMYFUNCTION("""COMPUTED_VALUE"""),"0102B")</f>
        <v>0102B</v>
      </c>
      <c r="B8" s="4" t="str">
        <f>IFERROR(__xludf.DUMMYFUNCTION("""COMPUTED_VALUE"""),"Cartel PVC 64x32 Fotolum Salida flecha izquierda")</f>
        <v>Cartel PVC 64x32 Fotolum Salida flecha izquierda</v>
      </c>
      <c r="C8" s="4">
        <f>IFERROR(__xludf.DUMMYFUNCTION("""COMPUTED_VALUE"""),4.48)</f>
        <v>4.48</v>
      </c>
      <c r="D8" s="4"/>
      <c r="E8" s="4" t="str">
        <f>IFERROR(__xludf.DUMMYFUNCTION("""COMPUTED_VALUE"""),"Sin precio neto")</f>
        <v>Sin precio neto</v>
      </c>
    </row>
    <row r="9">
      <c r="A9" s="4" t="str">
        <f>IFERROR(__xludf.DUMMYFUNCTION("""COMPUTED_VALUE"""),"0102C")</f>
        <v>0102C</v>
      </c>
      <c r="B9" s="4" t="str">
        <f>IFERROR(__xludf.DUMMYFUNCTION("""COMPUTED_VALUE"""),"Cartel PVC 96x48 Fotolum Salida flecha izquierda")</f>
        <v>Cartel PVC 96x48 Fotolum Salida flecha izquierda</v>
      </c>
      <c r="C9" s="4">
        <f>IFERROR(__xludf.DUMMYFUNCTION("""COMPUTED_VALUE"""),8.96)</f>
        <v>8.96</v>
      </c>
      <c r="D9" s="4"/>
      <c r="E9" s="4" t="str">
        <f>IFERROR(__xludf.DUMMYFUNCTION("""COMPUTED_VALUE"""),"Sin precio neto")</f>
        <v>Sin precio neto</v>
      </c>
    </row>
    <row r="10">
      <c r="A10" s="4" t="str">
        <f>IFERROR(__xludf.DUMMYFUNCTION("""COMPUTED_VALUE"""),"103")</f>
        <v>103</v>
      </c>
      <c r="B10" s="4" t="str">
        <f>IFERROR(__xludf.DUMMYFUNCTION("""COMPUTED_VALUE"""),"Cartel PVC 21x29 Fotolum. SALIDA FLECHA FRONTAL")</f>
        <v>Cartel PVC 21x29 Fotolum. SALIDA FLECHA FRONTAL</v>
      </c>
      <c r="C10" s="4">
        <f>IFERROR(__xludf.DUMMYFUNCTION("""COMPUTED_VALUE"""),2.6)</f>
        <v>2.6</v>
      </c>
      <c r="D10" s="4">
        <f>IFERROR(__xludf.DUMMYFUNCTION("""COMPUTED_VALUE"""),2.1)</f>
        <v>2.1</v>
      </c>
      <c r="E10" s="4" t="str">
        <f>IFERROR(__xludf.DUMMYFUNCTION("""COMPUTED_VALUE"""),"Neto: 2,10 € (a partir de 1 uds.)")</f>
        <v>Neto: 2,10 € (a partir de 1 uds.)</v>
      </c>
    </row>
    <row r="11">
      <c r="A11" s="4" t="str">
        <f>IFERROR(__xludf.DUMMYFUNCTION("""COMPUTED_VALUE"""),"0103A")</f>
        <v>0103A</v>
      </c>
      <c r="B11" s="4" t="str">
        <f>IFERROR(__xludf.DUMMYFUNCTION("""COMPUTED_VALUE"""),"Cartel PVC 32x16 Fotolum Salida flecha arriba")</f>
        <v>Cartel PVC 32x16 Fotolum Salida flecha arriba</v>
      </c>
      <c r="C11" s="4">
        <f>IFERROR(__xludf.DUMMYFUNCTION("""COMPUTED_VALUE"""),2.25)</f>
        <v>2.25</v>
      </c>
      <c r="D11" s="4"/>
      <c r="E11" s="4" t="str">
        <f>IFERROR(__xludf.DUMMYFUNCTION("""COMPUTED_VALUE"""),"Sin precio neto")</f>
        <v>Sin precio neto</v>
      </c>
    </row>
    <row r="12">
      <c r="A12" s="4" t="str">
        <f>IFERROR(__xludf.DUMMYFUNCTION("""COMPUTED_VALUE"""),"0103B")</f>
        <v>0103B</v>
      </c>
      <c r="B12" s="4" t="str">
        <f>IFERROR(__xludf.DUMMYFUNCTION("""COMPUTED_VALUE"""),"Cartel PVC 64x32 Fotolum Salida flecha arriba")</f>
        <v>Cartel PVC 64x32 Fotolum Salida flecha arriba</v>
      </c>
      <c r="C12" s="4">
        <f>IFERROR(__xludf.DUMMYFUNCTION("""COMPUTED_VALUE"""),4.48)</f>
        <v>4.48</v>
      </c>
      <c r="D12" s="4"/>
      <c r="E12" s="4" t="str">
        <f>IFERROR(__xludf.DUMMYFUNCTION("""COMPUTED_VALUE"""),"Sin precio neto")</f>
        <v>Sin precio neto</v>
      </c>
    </row>
    <row r="13">
      <c r="A13" s="4" t="str">
        <f>IFERROR(__xludf.DUMMYFUNCTION("""COMPUTED_VALUE"""),"0103C")</f>
        <v>0103C</v>
      </c>
      <c r="B13" s="4" t="str">
        <f>IFERROR(__xludf.DUMMYFUNCTION("""COMPUTED_VALUE"""),"Cartel PVC 96x48 Fotolum Salida flecha arriba")</f>
        <v>Cartel PVC 96x48 Fotolum Salida flecha arriba</v>
      </c>
      <c r="C13" s="4">
        <f>IFERROR(__xludf.DUMMYFUNCTION("""COMPUTED_VALUE"""),8.96)</f>
        <v>8.96</v>
      </c>
      <c r="D13" s="4"/>
      <c r="E13" s="4" t="str">
        <f>IFERROR(__xludf.DUMMYFUNCTION("""COMPUTED_VALUE"""),"Sin precio neto")</f>
        <v>Sin precio neto</v>
      </c>
    </row>
    <row r="14">
      <c r="A14" s="4" t="str">
        <f>IFERROR(__xludf.DUMMYFUNCTION("""COMPUTED_VALUE"""),"104")</f>
        <v>104</v>
      </c>
      <c r="B14" s="4" t="str">
        <f>IFERROR(__xludf.DUMMYFUNCTION("""COMPUTED_VALUE"""),"Cartel PVC 21x29 Fotolum. SALIDA FLECHA ABAJO")</f>
        <v>Cartel PVC 21x29 Fotolum. SALIDA FLECHA ABAJO</v>
      </c>
      <c r="C14" s="4">
        <f>IFERROR(__xludf.DUMMYFUNCTION("""COMPUTED_VALUE"""),2.6)</f>
        <v>2.6</v>
      </c>
      <c r="D14" s="4">
        <f>IFERROR(__xludf.DUMMYFUNCTION("""COMPUTED_VALUE"""),2.1)</f>
        <v>2.1</v>
      </c>
      <c r="E14" s="4" t="str">
        <f>IFERROR(__xludf.DUMMYFUNCTION("""COMPUTED_VALUE"""),"Neto: 2,10 € (a partir de 1 uds.)")</f>
        <v>Neto: 2,10 € (a partir de 1 uds.)</v>
      </c>
    </row>
    <row r="15">
      <c r="A15" s="4" t="str">
        <f>IFERROR(__xludf.DUMMYFUNCTION("""COMPUTED_VALUE"""),"0104A")</f>
        <v>0104A</v>
      </c>
      <c r="B15" s="4" t="str">
        <f>IFERROR(__xludf.DUMMYFUNCTION("""COMPUTED_VALUE"""),"Cartel PVC 32x16 Fotolum Salida flecha abajo")</f>
        <v>Cartel PVC 32x16 Fotolum Salida flecha abajo</v>
      </c>
      <c r="C15" s="4">
        <f>IFERROR(__xludf.DUMMYFUNCTION("""COMPUTED_VALUE"""),2.25)</f>
        <v>2.25</v>
      </c>
      <c r="D15" s="4"/>
      <c r="E15" s="4" t="str">
        <f>IFERROR(__xludf.DUMMYFUNCTION("""COMPUTED_VALUE"""),"Sin precio neto")</f>
        <v>Sin precio neto</v>
      </c>
    </row>
    <row r="16">
      <c r="A16" s="4" t="str">
        <f>IFERROR(__xludf.DUMMYFUNCTION("""COMPUTED_VALUE"""),"0104B")</f>
        <v>0104B</v>
      </c>
      <c r="B16" s="4" t="str">
        <f>IFERROR(__xludf.DUMMYFUNCTION("""COMPUTED_VALUE"""),"Cartel PVC 64x32 Fotolum Salida flecha abajo")</f>
        <v>Cartel PVC 64x32 Fotolum Salida flecha abajo</v>
      </c>
      <c r="C16" s="4">
        <f>IFERROR(__xludf.DUMMYFUNCTION("""COMPUTED_VALUE"""),4.48)</f>
        <v>4.48</v>
      </c>
      <c r="D16" s="4"/>
      <c r="E16" s="4" t="str">
        <f>IFERROR(__xludf.DUMMYFUNCTION("""COMPUTED_VALUE"""),"Sin precio neto")</f>
        <v>Sin precio neto</v>
      </c>
    </row>
    <row r="17">
      <c r="A17" s="4" t="str">
        <f>IFERROR(__xludf.DUMMYFUNCTION("""COMPUTED_VALUE"""),"0104C")</f>
        <v>0104C</v>
      </c>
      <c r="B17" s="4" t="str">
        <f>IFERROR(__xludf.DUMMYFUNCTION("""COMPUTED_VALUE"""),"Cartel PVC 96x48 Fotolum Salida flecha abajo")</f>
        <v>Cartel PVC 96x48 Fotolum Salida flecha abajo</v>
      </c>
      <c r="C17" s="4">
        <f>IFERROR(__xludf.DUMMYFUNCTION("""COMPUTED_VALUE"""),8.96)</f>
        <v>8.96</v>
      </c>
      <c r="D17" s="4"/>
      <c r="E17" s="4" t="str">
        <f>IFERROR(__xludf.DUMMYFUNCTION("""COMPUTED_VALUE"""),"Sin precio neto")</f>
        <v>Sin precio neto</v>
      </c>
    </row>
    <row r="18">
      <c r="A18" s="4" t="str">
        <f>IFERROR(__xludf.DUMMYFUNCTION("""COMPUTED_VALUE"""),"105")</f>
        <v>105</v>
      </c>
      <c r="B18" s="4" t="str">
        <f>IFERROR(__xludf.DUMMYFUNCTION("""COMPUTED_VALUE"""),"Cartel PVC 21x29 Fotolum. SALIDA-EXIT")</f>
        <v>Cartel PVC 21x29 Fotolum. SALIDA-EXIT</v>
      </c>
      <c r="C18" s="4">
        <f>IFERROR(__xludf.DUMMYFUNCTION("""COMPUTED_VALUE"""),2.6)</f>
        <v>2.6</v>
      </c>
      <c r="D18" s="4">
        <f>IFERROR(__xludf.DUMMYFUNCTION("""COMPUTED_VALUE"""),2.1)</f>
        <v>2.1</v>
      </c>
      <c r="E18" s="4" t="str">
        <f>IFERROR(__xludf.DUMMYFUNCTION("""COMPUTED_VALUE"""),"Neto: 2,10 € (a partir de 1 uds.)")</f>
        <v>Neto: 2,10 € (a partir de 1 uds.)</v>
      </c>
    </row>
    <row r="19">
      <c r="A19" s="4" t="str">
        <f>IFERROR(__xludf.DUMMYFUNCTION("""COMPUTED_VALUE"""),"0105A")</f>
        <v>0105A</v>
      </c>
      <c r="B19" s="4" t="str">
        <f>IFERROR(__xludf.DUMMYFUNCTION("""COMPUTED_VALUE"""),"Cartel PVC 32x16 Fotolum. Salida-Exit")</f>
        <v>Cartel PVC 32x16 Fotolum. Salida-Exit</v>
      </c>
      <c r="C19" s="4">
        <f>IFERROR(__xludf.DUMMYFUNCTION("""COMPUTED_VALUE"""),2.25)</f>
        <v>2.25</v>
      </c>
      <c r="D19" s="4"/>
      <c r="E19" s="4" t="str">
        <f>IFERROR(__xludf.DUMMYFUNCTION("""COMPUTED_VALUE"""),"Sin precio neto")</f>
        <v>Sin precio neto</v>
      </c>
    </row>
    <row r="20">
      <c r="A20" s="4" t="str">
        <f>IFERROR(__xludf.DUMMYFUNCTION("""COMPUTED_VALUE"""),"0105B")</f>
        <v>0105B</v>
      </c>
      <c r="B20" s="4" t="str">
        <f>IFERROR(__xludf.DUMMYFUNCTION("""COMPUTED_VALUE"""),"Cartel PVC 64x32 Fotolum. Salida-Exit")</f>
        <v>Cartel PVC 64x32 Fotolum. Salida-Exit</v>
      </c>
      <c r="C20" s="4">
        <f>IFERROR(__xludf.DUMMYFUNCTION("""COMPUTED_VALUE"""),4.48)</f>
        <v>4.48</v>
      </c>
      <c r="D20" s="4"/>
      <c r="E20" s="4" t="str">
        <f>IFERROR(__xludf.DUMMYFUNCTION("""COMPUTED_VALUE"""),"Sin precio neto")</f>
        <v>Sin precio neto</v>
      </c>
    </row>
    <row r="21">
      <c r="A21" s="4" t="str">
        <f>IFERROR(__xludf.DUMMYFUNCTION("""COMPUTED_VALUE"""),"0105C")</f>
        <v>0105C</v>
      </c>
      <c r="B21" s="4" t="str">
        <f>IFERROR(__xludf.DUMMYFUNCTION("""COMPUTED_VALUE"""),"Cartel PVC 96x48 Fotolum. Salida-Exit")</f>
        <v>Cartel PVC 96x48 Fotolum. Salida-Exit</v>
      </c>
      <c r="C21" s="4">
        <f>IFERROR(__xludf.DUMMYFUNCTION("""COMPUTED_VALUE"""),8.96)</f>
        <v>8.96</v>
      </c>
      <c r="D21" s="4"/>
      <c r="E21" s="4" t="str">
        <f>IFERROR(__xludf.DUMMYFUNCTION("""COMPUTED_VALUE"""),"Sin precio neto")</f>
        <v>Sin precio neto</v>
      </c>
    </row>
    <row r="22">
      <c r="A22" s="4" t="str">
        <f>IFERROR(__xludf.DUMMYFUNCTION("""COMPUTED_VALUE"""),"106")</f>
        <v>106</v>
      </c>
      <c r="B22" s="4" t="str">
        <f>IFERROR(__xludf.DUMMYFUNCTION("""COMPUTED_VALUE"""),"Cartel PVC 21x29 Fotolum. SALIDA EMERG. FLECHA DCHA")</f>
        <v>Cartel PVC 21x29 Fotolum. SALIDA EMERG. FLECHA DCHA</v>
      </c>
      <c r="C22" s="4">
        <f>IFERROR(__xludf.DUMMYFUNCTION("""COMPUTED_VALUE"""),2.6)</f>
        <v>2.6</v>
      </c>
      <c r="D22" s="4">
        <f>IFERROR(__xludf.DUMMYFUNCTION("""COMPUTED_VALUE"""),2.1)</f>
        <v>2.1</v>
      </c>
      <c r="E22" s="4" t="str">
        <f>IFERROR(__xludf.DUMMYFUNCTION("""COMPUTED_VALUE"""),"Neto: 2,10 € (a partir de 1 uds.)")</f>
        <v>Neto: 2,10 € (a partir de 1 uds.)</v>
      </c>
    </row>
    <row r="23">
      <c r="A23" s="4" t="str">
        <f>IFERROR(__xludf.DUMMYFUNCTION("""COMPUTED_VALUE"""),"0106A")</f>
        <v>0106A</v>
      </c>
      <c r="B23" s="4" t="str">
        <f>IFERROR(__xludf.DUMMYFUNCTION("""COMPUTED_VALUE"""),"Cartel PVC 32x16 Fotolum. Salida de emergencia + flecha")</f>
        <v>Cartel PVC 32x16 Fotolum. Salida de emergencia + flecha</v>
      </c>
      <c r="C23" s="4">
        <f>IFERROR(__xludf.DUMMYFUNCTION("""COMPUTED_VALUE"""),2.25)</f>
        <v>2.25</v>
      </c>
      <c r="D23" s="4"/>
      <c r="E23" s="4" t="str">
        <f>IFERROR(__xludf.DUMMYFUNCTION("""COMPUTED_VALUE"""),"Sin precio neto")</f>
        <v>Sin precio neto</v>
      </c>
    </row>
    <row r="24">
      <c r="A24" s="4" t="str">
        <f>IFERROR(__xludf.DUMMYFUNCTION("""COMPUTED_VALUE"""),"0106B")</f>
        <v>0106B</v>
      </c>
      <c r="B24" s="4" t="str">
        <f>IFERROR(__xludf.DUMMYFUNCTION("""COMPUTED_VALUE"""),"Cartel PVC 64x32 Fotolum. Salida de emergencia + flecha")</f>
        <v>Cartel PVC 64x32 Fotolum. Salida de emergencia + flecha</v>
      </c>
      <c r="C24" s="4">
        <f>IFERROR(__xludf.DUMMYFUNCTION("""COMPUTED_VALUE"""),4.48)</f>
        <v>4.48</v>
      </c>
      <c r="D24" s="4"/>
      <c r="E24" s="4" t="str">
        <f>IFERROR(__xludf.DUMMYFUNCTION("""COMPUTED_VALUE"""),"Sin precio neto")</f>
        <v>Sin precio neto</v>
      </c>
    </row>
    <row r="25">
      <c r="A25" s="4" t="str">
        <f>IFERROR(__xludf.DUMMYFUNCTION("""COMPUTED_VALUE"""),"0106C")</f>
        <v>0106C</v>
      </c>
      <c r="B25" s="4" t="str">
        <f>IFERROR(__xludf.DUMMYFUNCTION("""COMPUTED_VALUE"""),"Cartel PVC 96x48 Fotolum. Salida de emergencia + flecha")</f>
        <v>Cartel PVC 96x48 Fotolum. Salida de emergencia + flecha</v>
      </c>
      <c r="C25" s="4">
        <f>IFERROR(__xludf.DUMMYFUNCTION("""COMPUTED_VALUE"""),8.96)</f>
        <v>8.96</v>
      </c>
      <c r="D25" s="4"/>
      <c r="E25" s="4" t="str">
        <f>IFERROR(__xludf.DUMMYFUNCTION("""COMPUTED_VALUE"""),"Sin precio neto")</f>
        <v>Sin precio neto</v>
      </c>
    </row>
    <row r="26">
      <c r="A26" s="4" t="str">
        <f>IFERROR(__xludf.DUMMYFUNCTION("""COMPUTED_VALUE"""),"107")</f>
        <v>107</v>
      </c>
      <c r="B26" s="4" t="str">
        <f>IFERROR(__xludf.DUMMYFUNCTION("""COMPUTED_VALUE"""),"Cartel PVC 21x29 Fotolum. SALIDA EMERG. FLECHA IZQ.")</f>
        <v>Cartel PVC 21x29 Fotolum. SALIDA EMERG. FLECHA IZQ.</v>
      </c>
      <c r="C26" s="4">
        <f>IFERROR(__xludf.DUMMYFUNCTION("""COMPUTED_VALUE"""),2.6)</f>
        <v>2.6</v>
      </c>
      <c r="D26" s="4">
        <f>IFERROR(__xludf.DUMMYFUNCTION("""COMPUTED_VALUE"""),2.1)</f>
        <v>2.1</v>
      </c>
      <c r="E26" s="4" t="str">
        <f>IFERROR(__xludf.DUMMYFUNCTION("""COMPUTED_VALUE"""),"Neto: 2,10 € (a partir de 1 uds.)")</f>
        <v>Neto: 2,10 € (a partir de 1 uds.)</v>
      </c>
    </row>
    <row r="27">
      <c r="A27" s="4" t="str">
        <f>IFERROR(__xludf.DUMMYFUNCTION("""COMPUTED_VALUE"""),"0107A")</f>
        <v>0107A</v>
      </c>
      <c r="B27" s="4" t="str">
        <f>IFERROR(__xludf.DUMMYFUNCTION("""COMPUTED_VALUE"""),"Cartel PVC 32x16 Fotolum. Salida de emergencia + flecha izq")</f>
        <v>Cartel PVC 32x16 Fotolum. Salida de emergencia + flecha izq</v>
      </c>
      <c r="C27" s="4">
        <f>IFERROR(__xludf.DUMMYFUNCTION("""COMPUTED_VALUE"""),2.25)</f>
        <v>2.25</v>
      </c>
      <c r="D27" s="4"/>
      <c r="E27" s="4" t="str">
        <f>IFERROR(__xludf.DUMMYFUNCTION("""COMPUTED_VALUE"""),"Sin precio neto")</f>
        <v>Sin precio neto</v>
      </c>
    </row>
    <row r="28">
      <c r="A28" s="4" t="str">
        <f>IFERROR(__xludf.DUMMYFUNCTION("""COMPUTED_VALUE"""),"0107B")</f>
        <v>0107B</v>
      </c>
      <c r="B28" s="4" t="str">
        <f>IFERROR(__xludf.DUMMYFUNCTION("""COMPUTED_VALUE"""),"Cartel PVC 64x32 Fotolum. Salida de emergencia + flecha izq")</f>
        <v>Cartel PVC 64x32 Fotolum. Salida de emergencia + flecha izq</v>
      </c>
      <c r="C28" s="4">
        <f>IFERROR(__xludf.DUMMYFUNCTION("""COMPUTED_VALUE"""),4.48)</f>
        <v>4.48</v>
      </c>
      <c r="D28" s="4"/>
      <c r="E28" s="4" t="str">
        <f>IFERROR(__xludf.DUMMYFUNCTION("""COMPUTED_VALUE"""),"Sin precio neto")</f>
        <v>Sin precio neto</v>
      </c>
    </row>
    <row r="29">
      <c r="A29" s="4" t="str">
        <f>IFERROR(__xludf.DUMMYFUNCTION("""COMPUTED_VALUE"""),"0107C")</f>
        <v>0107C</v>
      </c>
      <c r="B29" s="4" t="str">
        <f>IFERROR(__xludf.DUMMYFUNCTION("""COMPUTED_VALUE"""),"Cartel PVC 96x48 Fotolum. Salida de emergencia + flecha izq")</f>
        <v>Cartel PVC 96x48 Fotolum. Salida de emergencia + flecha izq</v>
      </c>
      <c r="C29" s="4">
        <f>IFERROR(__xludf.DUMMYFUNCTION("""COMPUTED_VALUE"""),8.96)</f>
        <v>8.96</v>
      </c>
      <c r="D29" s="4"/>
      <c r="E29" s="4" t="str">
        <f>IFERROR(__xludf.DUMMYFUNCTION("""COMPUTED_VALUE"""),"Sin precio neto")</f>
        <v>Sin precio neto</v>
      </c>
    </row>
    <row r="30">
      <c r="A30" s="4" t="str">
        <f>IFERROR(__xludf.DUMMYFUNCTION("""COMPUTED_VALUE"""),"108")</f>
        <v>108</v>
      </c>
      <c r="B30" s="4" t="str">
        <f>IFERROR(__xludf.DUMMYFUNCTION("""COMPUTED_VALUE"""),"Cartel PVC 21X29 Fotolum. ESCALERA EMERG. FLECHA")</f>
        <v>Cartel PVC 21X29 Fotolum. ESCALERA EMERG. FLECHA</v>
      </c>
      <c r="C30" s="4">
        <f>IFERROR(__xludf.DUMMYFUNCTION("""COMPUTED_VALUE"""),2.6)</f>
        <v>2.6</v>
      </c>
      <c r="D30" s="4">
        <f>IFERROR(__xludf.DUMMYFUNCTION("""COMPUTED_VALUE"""),2.1)</f>
        <v>2.1</v>
      </c>
      <c r="E30" s="4" t="str">
        <f>IFERROR(__xludf.DUMMYFUNCTION("""COMPUTED_VALUE"""),"Neto: 2,10 € (a partir de 1 uds.)")</f>
        <v>Neto: 2,10 € (a partir de 1 uds.)</v>
      </c>
    </row>
    <row r="31">
      <c r="A31" s="4" t="str">
        <f>IFERROR(__xludf.DUMMYFUNCTION("""COMPUTED_VALUE"""),"0108A")</f>
        <v>0108A</v>
      </c>
      <c r="B31" s="4" t="str">
        <f>IFERROR(__xludf.DUMMYFUNCTION("""COMPUTED_VALUE"""),"Cartel PVC 32x16 Fotolum. Escal. de emergencia + flecha")</f>
        <v>Cartel PVC 32x16 Fotolum. Escal. de emergencia + flecha</v>
      </c>
      <c r="C31" s="4">
        <f>IFERROR(__xludf.DUMMYFUNCTION("""COMPUTED_VALUE"""),2.25)</f>
        <v>2.25</v>
      </c>
      <c r="D31" s="4"/>
      <c r="E31" s="4" t="str">
        <f>IFERROR(__xludf.DUMMYFUNCTION("""COMPUTED_VALUE"""),"Sin precio neto")</f>
        <v>Sin precio neto</v>
      </c>
    </row>
    <row r="32">
      <c r="A32" s="4" t="str">
        <f>IFERROR(__xludf.DUMMYFUNCTION("""COMPUTED_VALUE"""),"0108B")</f>
        <v>0108B</v>
      </c>
      <c r="B32" s="4" t="str">
        <f>IFERROR(__xludf.DUMMYFUNCTION("""COMPUTED_VALUE"""),"Cartel PVC 64x32 Fotolum. Escal. de emergencia + flecha")</f>
        <v>Cartel PVC 64x32 Fotolum. Escal. de emergencia + flecha</v>
      </c>
      <c r="C32" s="4">
        <f>IFERROR(__xludf.DUMMYFUNCTION("""COMPUTED_VALUE"""),4.48)</f>
        <v>4.48</v>
      </c>
      <c r="D32" s="4"/>
      <c r="E32" s="4" t="str">
        <f>IFERROR(__xludf.DUMMYFUNCTION("""COMPUTED_VALUE"""),"Sin precio neto")</f>
        <v>Sin precio neto</v>
      </c>
    </row>
    <row r="33">
      <c r="A33" s="4" t="str">
        <f>IFERROR(__xludf.DUMMYFUNCTION("""COMPUTED_VALUE"""),"0108C")</f>
        <v>0108C</v>
      </c>
      <c r="B33" s="4" t="str">
        <f>IFERROR(__xludf.DUMMYFUNCTION("""COMPUTED_VALUE"""),"Cartel PVC 96x48 Fotolum. Escal. de emergencia + flecha")</f>
        <v>Cartel PVC 96x48 Fotolum. Escal. de emergencia + flecha</v>
      </c>
      <c r="C33" s="4">
        <f>IFERROR(__xludf.DUMMYFUNCTION("""COMPUTED_VALUE"""),8.96)</f>
        <v>8.96</v>
      </c>
      <c r="D33" s="4"/>
      <c r="E33" s="4" t="str">
        <f>IFERROR(__xludf.DUMMYFUNCTION("""COMPUTED_VALUE"""),"Sin precio neto")</f>
        <v>Sin precio neto</v>
      </c>
    </row>
    <row r="34">
      <c r="A34" s="4" t="str">
        <f>IFERROR(__xludf.DUMMYFUNCTION("""COMPUTED_VALUE"""),"109")</f>
        <v>109</v>
      </c>
      <c r="B34" s="4" t="str">
        <f>IFERROR(__xludf.DUMMYFUNCTION("""COMPUTED_VALUE"""),"Cartel PVC 21x29 Fotolum. ESCALERA EMERG. FLECHA")</f>
        <v>Cartel PVC 21x29 Fotolum. ESCALERA EMERG. FLECHA</v>
      </c>
      <c r="C34" s="4">
        <f>IFERROR(__xludf.DUMMYFUNCTION("""COMPUTED_VALUE"""),2.6)</f>
        <v>2.6</v>
      </c>
      <c r="D34" s="4">
        <f>IFERROR(__xludf.DUMMYFUNCTION("""COMPUTED_VALUE"""),2.1)</f>
        <v>2.1</v>
      </c>
      <c r="E34" s="4" t="str">
        <f>IFERROR(__xludf.DUMMYFUNCTION("""COMPUTED_VALUE"""),"Neto: 2,10 € (a partir de 1 uds.)")</f>
        <v>Neto: 2,10 € (a partir de 1 uds.)</v>
      </c>
    </row>
    <row r="35">
      <c r="A35" s="4" t="str">
        <f>IFERROR(__xludf.DUMMYFUNCTION("""COMPUTED_VALUE"""),"0109A")</f>
        <v>0109A</v>
      </c>
      <c r="B35" s="4" t="str">
        <f>IFERROR(__xludf.DUMMYFUNCTION("""COMPUTED_VALUE"""),"Cartel PVC 32x16 Fotolum. Escal. de emergencia + flecha izq.")</f>
        <v>Cartel PVC 32x16 Fotolum. Escal. de emergencia + flecha izq.</v>
      </c>
      <c r="C35" s="4">
        <f>IFERROR(__xludf.DUMMYFUNCTION("""COMPUTED_VALUE"""),2.25)</f>
        <v>2.25</v>
      </c>
      <c r="D35" s="4"/>
      <c r="E35" s="4" t="str">
        <f>IFERROR(__xludf.DUMMYFUNCTION("""COMPUTED_VALUE"""),"Sin precio neto")</f>
        <v>Sin precio neto</v>
      </c>
    </row>
    <row r="36">
      <c r="A36" s="4" t="str">
        <f>IFERROR(__xludf.DUMMYFUNCTION("""COMPUTED_VALUE"""),"0109B")</f>
        <v>0109B</v>
      </c>
      <c r="B36" s="4" t="str">
        <f>IFERROR(__xludf.DUMMYFUNCTION("""COMPUTED_VALUE"""),"Cartel PVC 64x32 Fotolum. Escal. de emergencia + flecha izq.")</f>
        <v>Cartel PVC 64x32 Fotolum. Escal. de emergencia + flecha izq.</v>
      </c>
      <c r="C36" s="4">
        <f>IFERROR(__xludf.DUMMYFUNCTION("""COMPUTED_VALUE"""),4.48)</f>
        <v>4.48</v>
      </c>
      <c r="D36" s="4"/>
      <c r="E36" s="4" t="str">
        <f>IFERROR(__xludf.DUMMYFUNCTION("""COMPUTED_VALUE"""),"Sin precio neto")</f>
        <v>Sin precio neto</v>
      </c>
    </row>
    <row r="37">
      <c r="A37" s="4" t="str">
        <f>IFERROR(__xludf.DUMMYFUNCTION("""COMPUTED_VALUE"""),"0109C")</f>
        <v>0109C</v>
      </c>
      <c r="B37" s="4" t="str">
        <f>IFERROR(__xludf.DUMMYFUNCTION("""COMPUTED_VALUE"""),"Cartel PVC 96x48 Fotolum. Escal. de emergencia + flecha izq.")</f>
        <v>Cartel PVC 96x48 Fotolum. Escal. de emergencia + flecha izq.</v>
      </c>
      <c r="C37" s="4">
        <f>IFERROR(__xludf.DUMMYFUNCTION("""COMPUTED_VALUE"""),8.96)</f>
        <v>8.96</v>
      </c>
      <c r="D37" s="4"/>
      <c r="E37" s="4" t="str">
        <f>IFERROR(__xludf.DUMMYFUNCTION("""COMPUTED_VALUE"""),"Sin precio neto")</f>
        <v>Sin precio neto</v>
      </c>
    </row>
    <row r="38">
      <c r="A38" s="4" t="str">
        <f>IFERROR(__xludf.DUMMYFUNCTION("""COMPUTED_VALUE"""),"110")</f>
        <v>110</v>
      </c>
      <c r="B38" s="4" t="str">
        <f>IFERROR(__xludf.DUMMYFUNCTION("""COMPUTED_VALUE"""),"Cartel PVC 21x29 Fotolum. No utilizar en caso de incendio")</f>
        <v>Cartel PVC 21x29 Fotolum. No utilizar en caso de incendio</v>
      </c>
      <c r="C38" s="4">
        <f>IFERROR(__xludf.DUMMYFUNCTION("""COMPUTED_VALUE"""),2.6)</f>
        <v>2.6</v>
      </c>
      <c r="D38" s="4">
        <f>IFERROR(__xludf.DUMMYFUNCTION("""COMPUTED_VALUE"""),2.1)</f>
        <v>2.1</v>
      </c>
      <c r="E38" s="4" t="str">
        <f>IFERROR(__xludf.DUMMYFUNCTION("""COMPUTED_VALUE"""),"Neto: 2,10 € (a partir de 1 uds.)")</f>
        <v>Neto: 2,10 € (a partir de 1 uds.)</v>
      </c>
    </row>
    <row r="39">
      <c r="A39" s="4" t="str">
        <f>IFERROR(__xludf.DUMMYFUNCTION("""COMPUTED_VALUE"""),"0116V")</f>
        <v>0116V</v>
      </c>
      <c r="B39" s="4" t="str">
        <f>IFERROR(__xludf.DUMMYFUNCTION("""COMPUTED_VALUE"""),"Vinilo Adhesivo suelo Dir. Peatonal 40 cm")</f>
        <v>Vinilo Adhesivo suelo Dir. Peatonal 40 cm</v>
      </c>
      <c r="C39" s="4">
        <f>IFERROR(__xludf.DUMMYFUNCTION("""COMPUTED_VALUE"""),6.15)</f>
        <v>6.15</v>
      </c>
      <c r="D39" s="4"/>
      <c r="E39" s="4" t="str">
        <f>IFERROR(__xludf.DUMMYFUNCTION("""COMPUTED_VALUE"""),"Sin precio neto")</f>
        <v>Sin precio neto</v>
      </c>
    </row>
    <row r="40">
      <c r="A40" s="4" t="str">
        <f>IFERROR(__xludf.DUMMYFUNCTION("""COMPUTED_VALUE"""),"0150A")</f>
        <v>0150A</v>
      </c>
      <c r="B40" s="4" t="str">
        <f>IFERROR(__xludf.DUMMYFUNCTION("""COMPUTED_VALUE"""),"Cartel PVC 21x21 Fotolum. Pulsador de alarma")</f>
        <v>Cartel PVC 21x21 Fotolum. Pulsador de alarma</v>
      </c>
      <c r="C40" s="4">
        <f>IFERROR(__xludf.DUMMYFUNCTION("""COMPUTED_VALUE"""),2.31)</f>
        <v>2.31</v>
      </c>
      <c r="D40" s="4"/>
      <c r="E40" s="4" t="str">
        <f>IFERROR(__xludf.DUMMYFUNCTION("""COMPUTED_VALUE"""),"Sin precio neto")</f>
        <v>Sin precio neto</v>
      </c>
    </row>
    <row r="41">
      <c r="A41" s="4" t="str">
        <f>IFERROR(__xludf.DUMMYFUNCTION("""COMPUTED_VALUE"""),"0150B")</f>
        <v>0150B</v>
      </c>
      <c r="B41" s="4" t="str">
        <f>IFERROR(__xludf.DUMMYFUNCTION("""COMPUTED_VALUE"""),"Cartel PVC 42x42 Fotolum. Pulsador de alarma")</f>
        <v>Cartel PVC 42x42 Fotolum. Pulsador de alarma</v>
      </c>
      <c r="C41" s="4">
        <f>IFERROR(__xludf.DUMMYFUNCTION("""COMPUTED_VALUE"""),3.9)</f>
        <v>3.9</v>
      </c>
      <c r="D41" s="4"/>
      <c r="E41" s="4" t="str">
        <f>IFERROR(__xludf.DUMMYFUNCTION("""COMPUTED_VALUE"""),"Sin precio neto")</f>
        <v>Sin precio neto</v>
      </c>
    </row>
    <row r="42">
      <c r="A42" s="4" t="str">
        <f>IFERROR(__xludf.DUMMYFUNCTION("""COMPUTED_VALUE"""),"0150C")</f>
        <v>0150C</v>
      </c>
      <c r="B42" s="4" t="str">
        <f>IFERROR(__xludf.DUMMYFUNCTION("""COMPUTED_VALUE"""),"Cartel PVC 63x63 Fotolum. Pulsador de alarma")</f>
        <v>Cartel PVC 63x63 Fotolum. Pulsador de alarma</v>
      </c>
      <c r="C42" s="4">
        <f>IFERROR(__xludf.DUMMYFUNCTION("""COMPUTED_VALUE"""),6.25)</f>
        <v>6.25</v>
      </c>
      <c r="D42" s="4"/>
      <c r="E42" s="4" t="str">
        <f>IFERROR(__xludf.DUMMYFUNCTION("""COMPUTED_VALUE"""),"Sin precio neto")</f>
        <v>Sin precio neto</v>
      </c>
    </row>
    <row r="43">
      <c r="A43" s="4" t="str">
        <f>IFERROR(__xludf.DUMMYFUNCTION("""COMPUTED_VALUE"""),"151")</f>
        <v>151</v>
      </c>
      <c r="B43" s="4" t="str">
        <f>IFERROR(__xludf.DUMMYFUNCTION("""COMPUTED_VALUE"""),"Cartel PVC 21x21 Fotolum. EXTINTOR IZQUIERDA")</f>
        <v>Cartel PVC 21x21 Fotolum. EXTINTOR IZQUIERDA</v>
      </c>
      <c r="C43" s="4">
        <f>IFERROR(__xludf.DUMMYFUNCTION("""COMPUTED_VALUE"""),2.31)</f>
        <v>2.31</v>
      </c>
      <c r="D43" s="4"/>
      <c r="E43" s="4" t="str">
        <f>IFERROR(__xludf.DUMMYFUNCTION("""COMPUTED_VALUE"""),"Sin precio neto")</f>
        <v>Sin precio neto</v>
      </c>
    </row>
    <row r="44">
      <c r="A44" s="4" t="str">
        <f>IFERROR(__xludf.DUMMYFUNCTION("""COMPUTED_VALUE"""),"0151A")</f>
        <v>0151A</v>
      </c>
      <c r="B44" s="4" t="str">
        <f>IFERROR(__xludf.DUMMYFUNCTION("""COMPUTED_VALUE"""),"Cartel PVC 21x21 Fotolum. Carro extintor")</f>
        <v>Cartel PVC 21x21 Fotolum. Carro extintor</v>
      </c>
      <c r="C44" s="4">
        <f>IFERROR(__xludf.DUMMYFUNCTION("""COMPUTED_VALUE"""),2.31)</f>
        <v>2.31</v>
      </c>
      <c r="D44" s="4"/>
      <c r="E44" s="4" t="str">
        <f>IFERROR(__xludf.DUMMYFUNCTION("""COMPUTED_VALUE"""),"Sin precio neto")</f>
        <v>Sin precio neto</v>
      </c>
    </row>
    <row r="45">
      <c r="A45" s="4" t="str">
        <f>IFERROR(__xludf.DUMMYFUNCTION("""COMPUTED_VALUE"""),"0151B")</f>
        <v>0151B</v>
      </c>
      <c r="B45" s="4" t="str">
        <f>IFERROR(__xludf.DUMMYFUNCTION("""COMPUTED_VALUE"""),"Cartel PVC 42x42 Fotolum. Carro extintor")</f>
        <v>Cartel PVC 42x42 Fotolum. Carro extintor</v>
      </c>
      <c r="C45" s="4">
        <f>IFERROR(__xludf.DUMMYFUNCTION("""COMPUTED_VALUE"""),3.9)</f>
        <v>3.9</v>
      </c>
      <c r="D45" s="4"/>
      <c r="E45" s="4" t="str">
        <f>IFERROR(__xludf.DUMMYFUNCTION("""COMPUTED_VALUE"""),"Sin precio neto")</f>
        <v>Sin precio neto</v>
      </c>
    </row>
    <row r="46">
      <c r="A46" s="4" t="str">
        <f>IFERROR(__xludf.DUMMYFUNCTION("""COMPUTED_VALUE"""),"0151C")</f>
        <v>0151C</v>
      </c>
      <c r="B46" s="4" t="str">
        <f>IFERROR(__xludf.DUMMYFUNCTION("""COMPUTED_VALUE"""),"Cartel PVC 63x63 Fotolum. Carro extintor")</f>
        <v>Cartel PVC 63x63 Fotolum. Carro extintor</v>
      </c>
      <c r="C46" s="4">
        <f>IFERROR(__xludf.DUMMYFUNCTION("""COMPUTED_VALUE"""),6.25)</f>
        <v>6.25</v>
      </c>
      <c r="D46" s="4"/>
      <c r="E46" s="4" t="str">
        <f>IFERROR(__xludf.DUMMYFUNCTION("""COMPUTED_VALUE"""),"Sin precio neto")</f>
        <v>Sin precio neto</v>
      </c>
    </row>
    <row r="47">
      <c r="A47" s="4" t="str">
        <f>IFERROR(__xludf.DUMMYFUNCTION("""COMPUTED_VALUE"""),"152")</f>
        <v>152</v>
      </c>
      <c r="B47" s="4" t="str">
        <f>IFERROR(__xludf.DUMMYFUNCTION("""COMPUTED_VALUE"""),"Cartel PVC 21x21 Fotolum. EXTINTOR ABAJO")</f>
        <v>Cartel PVC 21x21 Fotolum. EXTINTOR ABAJO</v>
      </c>
      <c r="C47" s="4">
        <f>IFERROR(__xludf.DUMMYFUNCTION("""COMPUTED_VALUE"""),2.31)</f>
        <v>2.31</v>
      </c>
      <c r="D47" s="4"/>
      <c r="E47" s="4" t="str">
        <f>IFERROR(__xludf.DUMMYFUNCTION("""COMPUTED_VALUE"""),"Sin precio neto")</f>
        <v>Sin precio neto</v>
      </c>
    </row>
    <row r="48">
      <c r="A48" s="4" t="str">
        <f>IFERROR(__xludf.DUMMYFUNCTION("""COMPUTED_VALUE"""),"0152A")</f>
        <v>0152A</v>
      </c>
      <c r="B48" s="4" t="str">
        <f>IFERROR(__xludf.DUMMYFUNCTION("""COMPUTED_VALUE"""),"Cartel PVC 21x21 Fotolum. Escalera")</f>
        <v>Cartel PVC 21x21 Fotolum. Escalera</v>
      </c>
      <c r="C48" s="4">
        <f>IFERROR(__xludf.DUMMYFUNCTION("""COMPUTED_VALUE"""),2.31)</f>
        <v>2.31</v>
      </c>
      <c r="D48" s="4"/>
      <c r="E48" s="4" t="str">
        <f>IFERROR(__xludf.DUMMYFUNCTION("""COMPUTED_VALUE"""),"Sin precio neto")</f>
        <v>Sin precio neto</v>
      </c>
    </row>
    <row r="49">
      <c r="A49" s="4" t="str">
        <f>IFERROR(__xludf.DUMMYFUNCTION("""COMPUTED_VALUE"""),"0152B")</f>
        <v>0152B</v>
      </c>
      <c r="B49" s="4" t="str">
        <f>IFERROR(__xludf.DUMMYFUNCTION("""COMPUTED_VALUE"""),"Cartel PVC 42x42 Fotolum. Escalera")</f>
        <v>Cartel PVC 42x42 Fotolum. Escalera</v>
      </c>
      <c r="C49" s="4">
        <f>IFERROR(__xludf.DUMMYFUNCTION("""COMPUTED_VALUE"""),3.9)</f>
        <v>3.9</v>
      </c>
      <c r="D49" s="4"/>
      <c r="E49" s="4" t="str">
        <f>IFERROR(__xludf.DUMMYFUNCTION("""COMPUTED_VALUE"""),"Sin precio neto")</f>
        <v>Sin precio neto</v>
      </c>
    </row>
    <row r="50">
      <c r="A50" s="4" t="str">
        <f>IFERROR(__xludf.DUMMYFUNCTION("""COMPUTED_VALUE"""),"0152C")</f>
        <v>0152C</v>
      </c>
      <c r="B50" s="4" t="str">
        <f>IFERROR(__xludf.DUMMYFUNCTION("""COMPUTED_VALUE"""),"Cartel PVC 63x63 Fotolum. Escalera")</f>
        <v>Cartel PVC 63x63 Fotolum. Escalera</v>
      </c>
      <c r="C50" s="4">
        <f>IFERROR(__xludf.DUMMYFUNCTION("""COMPUTED_VALUE"""),6.25)</f>
        <v>6.25</v>
      </c>
      <c r="D50" s="4"/>
      <c r="E50" s="4" t="str">
        <f>IFERROR(__xludf.DUMMYFUNCTION("""COMPUTED_VALUE"""),"Sin precio neto")</f>
        <v>Sin precio neto</v>
      </c>
    </row>
    <row r="51">
      <c r="A51" s="4" t="str">
        <f>IFERROR(__xludf.DUMMYFUNCTION("""COMPUTED_VALUE"""),"153")</f>
        <v>153</v>
      </c>
      <c r="B51" s="4" t="str">
        <f>IFERROR(__xludf.DUMMYFUNCTION("""COMPUTED_VALUE"""),"Cartel PVC 21x21 Fotolum. PULSADOR")</f>
        <v>Cartel PVC 21x21 Fotolum. PULSADOR</v>
      </c>
      <c r="C51" s="4">
        <f>IFERROR(__xludf.DUMMYFUNCTION("""COMPUTED_VALUE"""),2.31)</f>
        <v>2.31</v>
      </c>
      <c r="D51" s="4"/>
      <c r="E51" s="4" t="str">
        <f>IFERROR(__xludf.DUMMYFUNCTION("""COMPUTED_VALUE"""),"Sin precio neto")</f>
        <v>Sin precio neto</v>
      </c>
    </row>
    <row r="52">
      <c r="A52" s="4" t="str">
        <f>IFERROR(__xludf.DUMMYFUNCTION("""COMPUTED_VALUE"""),"0153A")</f>
        <v>0153A</v>
      </c>
      <c r="B52" s="4" t="str">
        <f>IFERROR(__xludf.DUMMYFUNCTION("""COMPUTED_VALUE"""),"Cartel PVC 21x21 Fotolum. Flecha abajo derecha")</f>
        <v>Cartel PVC 21x21 Fotolum. Flecha abajo derecha</v>
      </c>
      <c r="C52" s="4">
        <f>IFERROR(__xludf.DUMMYFUNCTION("""COMPUTED_VALUE"""),2.31)</f>
        <v>2.31</v>
      </c>
      <c r="D52" s="4"/>
      <c r="E52" s="4" t="str">
        <f>IFERROR(__xludf.DUMMYFUNCTION("""COMPUTED_VALUE"""),"Sin precio neto")</f>
        <v>Sin precio neto</v>
      </c>
    </row>
    <row r="53">
      <c r="A53" s="4" t="str">
        <f>IFERROR(__xludf.DUMMYFUNCTION("""COMPUTED_VALUE"""),"0153B")</f>
        <v>0153B</v>
      </c>
      <c r="B53" s="4" t="str">
        <f>IFERROR(__xludf.DUMMYFUNCTION("""COMPUTED_VALUE"""),"Cartel PVC 42x42 Fotolum. Flecha abajo derecha")</f>
        <v>Cartel PVC 42x42 Fotolum. Flecha abajo derecha</v>
      </c>
      <c r="C53" s="4">
        <f>IFERROR(__xludf.DUMMYFUNCTION("""COMPUTED_VALUE"""),3.9)</f>
        <v>3.9</v>
      </c>
      <c r="D53" s="4"/>
      <c r="E53" s="4" t="str">
        <f>IFERROR(__xludf.DUMMYFUNCTION("""COMPUTED_VALUE"""),"Sin precio neto")</f>
        <v>Sin precio neto</v>
      </c>
    </row>
    <row r="54">
      <c r="A54" s="4" t="str">
        <f>IFERROR(__xludf.DUMMYFUNCTION("""COMPUTED_VALUE"""),"0153C")</f>
        <v>0153C</v>
      </c>
      <c r="B54" s="4" t="str">
        <f>IFERROR(__xludf.DUMMYFUNCTION("""COMPUTED_VALUE"""),"Cartel PVC 63x63 Fotolum. Flecha abajo derecha")</f>
        <v>Cartel PVC 63x63 Fotolum. Flecha abajo derecha</v>
      </c>
      <c r="C54" s="4">
        <f>IFERROR(__xludf.DUMMYFUNCTION("""COMPUTED_VALUE"""),6.25)</f>
        <v>6.25</v>
      </c>
      <c r="D54" s="4"/>
      <c r="E54" s="4" t="str">
        <f>IFERROR(__xludf.DUMMYFUNCTION("""COMPUTED_VALUE"""),"Sin precio neto")</f>
        <v>Sin precio neto</v>
      </c>
    </row>
    <row r="55">
      <c r="A55" s="4" t="str">
        <f>IFERROR(__xludf.DUMMYFUNCTION("""COMPUTED_VALUE"""),"154")</f>
        <v>154</v>
      </c>
      <c r="B55" s="4" t="str">
        <f>IFERROR(__xludf.DUMMYFUNCTION("""COMPUTED_VALUE"""),"Cartel PVC 21x21 Fotolum. PULSADOR IZQUIERDA")</f>
        <v>Cartel PVC 21x21 Fotolum. PULSADOR IZQUIERDA</v>
      </c>
      <c r="C55" s="4">
        <f>IFERROR(__xludf.DUMMYFUNCTION("""COMPUTED_VALUE"""),2.31)</f>
        <v>2.31</v>
      </c>
      <c r="D55" s="4"/>
      <c r="E55" s="4" t="str">
        <f>IFERROR(__xludf.DUMMYFUNCTION("""COMPUTED_VALUE"""),"Sin precio neto")</f>
        <v>Sin precio neto</v>
      </c>
    </row>
    <row r="56">
      <c r="A56" s="4" t="str">
        <f>IFERROR(__xludf.DUMMYFUNCTION("""COMPUTED_VALUE"""),"0154A")</f>
        <v>0154A</v>
      </c>
      <c r="B56" s="4" t="str">
        <f>IFERROR(__xludf.DUMMYFUNCTION("""COMPUTED_VALUE"""),"Cartel PVC 21x21 Fotolum. Flecha abajo izquierda")</f>
        <v>Cartel PVC 21x21 Fotolum. Flecha abajo izquierda</v>
      </c>
      <c r="C56" s="4">
        <f>IFERROR(__xludf.DUMMYFUNCTION("""COMPUTED_VALUE"""),2.31)</f>
        <v>2.31</v>
      </c>
      <c r="D56" s="4"/>
      <c r="E56" s="4" t="str">
        <f>IFERROR(__xludf.DUMMYFUNCTION("""COMPUTED_VALUE"""),"Sin precio neto")</f>
        <v>Sin precio neto</v>
      </c>
    </row>
    <row r="57">
      <c r="A57" s="4" t="str">
        <f>IFERROR(__xludf.DUMMYFUNCTION("""COMPUTED_VALUE"""),"0154B")</f>
        <v>0154B</v>
      </c>
      <c r="B57" s="4" t="str">
        <f>IFERROR(__xludf.DUMMYFUNCTION("""COMPUTED_VALUE"""),"Cartel PVC 42x42 Fotolum. Flecha abajo izquierda")</f>
        <v>Cartel PVC 42x42 Fotolum. Flecha abajo izquierda</v>
      </c>
      <c r="C57" s="4">
        <f>IFERROR(__xludf.DUMMYFUNCTION("""COMPUTED_VALUE"""),3.9)</f>
        <v>3.9</v>
      </c>
      <c r="D57" s="4"/>
      <c r="E57" s="4" t="str">
        <f>IFERROR(__xludf.DUMMYFUNCTION("""COMPUTED_VALUE"""),"Sin precio neto")</f>
        <v>Sin precio neto</v>
      </c>
    </row>
    <row r="58">
      <c r="A58" s="4" t="str">
        <f>IFERROR(__xludf.DUMMYFUNCTION("""COMPUTED_VALUE"""),"0154C")</f>
        <v>0154C</v>
      </c>
      <c r="B58" s="4" t="str">
        <f>IFERROR(__xludf.DUMMYFUNCTION("""COMPUTED_VALUE"""),"Cartel PVC 21x21 Fotolum. Flecha abajo izquierda")</f>
        <v>Cartel PVC 21x21 Fotolum. Flecha abajo izquierda</v>
      </c>
      <c r="C58" s="4">
        <f>IFERROR(__xludf.DUMMYFUNCTION("""COMPUTED_VALUE"""),6.25)</f>
        <v>6.25</v>
      </c>
      <c r="D58" s="4"/>
      <c r="E58" s="4" t="str">
        <f>IFERROR(__xludf.DUMMYFUNCTION("""COMPUTED_VALUE"""),"Sin precio neto")</f>
        <v>Sin precio neto</v>
      </c>
    </row>
    <row r="59">
      <c r="A59" s="4" t="str">
        <f>IFERROR(__xludf.DUMMYFUNCTION("""COMPUTED_VALUE"""),"155")</f>
        <v>155</v>
      </c>
      <c r="B59" s="4" t="str">
        <f>IFERROR(__xludf.DUMMYFUNCTION("""COMPUTED_VALUE"""),"Cartel PVC 21x21 Fotolum. PULSADOR DERECHA")</f>
        <v>Cartel PVC 21x21 Fotolum. PULSADOR DERECHA</v>
      </c>
      <c r="C59" s="4">
        <f>IFERROR(__xludf.DUMMYFUNCTION("""COMPUTED_VALUE"""),2.31)</f>
        <v>2.31</v>
      </c>
      <c r="D59" s="4"/>
      <c r="E59" s="4" t="str">
        <f>IFERROR(__xludf.DUMMYFUNCTION("""COMPUTED_VALUE"""),"Sin precio neto")</f>
        <v>Sin precio neto</v>
      </c>
    </row>
    <row r="60">
      <c r="A60" s="4" t="str">
        <f>IFERROR(__xludf.DUMMYFUNCTION("""COMPUTED_VALUE"""),"160")</f>
        <v>160</v>
      </c>
      <c r="B60" s="4" t="str">
        <f>IFERROR(__xludf.DUMMYFUNCTION("""COMPUTED_VALUE"""),"Cartel PVC 21x21 Fotolum. PUERTA EMERGENCIA IZQ.")</f>
        <v>Cartel PVC 21x21 Fotolum. PUERTA EMERGENCIA IZQ.</v>
      </c>
      <c r="C60" s="4">
        <f>IFERROR(__xludf.DUMMYFUNCTION("""COMPUTED_VALUE"""),2.31)</f>
        <v>2.31</v>
      </c>
      <c r="D60" s="4"/>
      <c r="E60" s="4" t="str">
        <f>IFERROR(__xludf.DUMMYFUNCTION("""COMPUTED_VALUE"""),"Sin precio neto")</f>
        <v>Sin precio neto</v>
      </c>
    </row>
    <row r="61">
      <c r="A61" s="4" t="str">
        <f>IFERROR(__xludf.DUMMYFUNCTION("""COMPUTED_VALUE"""),"0160A")</f>
        <v>0160A</v>
      </c>
      <c r="B61" s="4" t="str">
        <f>IFERROR(__xludf.DUMMYFUNCTION("""COMPUTED_VALUE"""),"Cartel PVC 21x21 Fotolum. Salida emergencia izquierda")</f>
        <v>Cartel PVC 21x21 Fotolum. Salida emergencia izquierda</v>
      </c>
      <c r="C61" s="4">
        <f>IFERROR(__xludf.DUMMYFUNCTION("""COMPUTED_VALUE"""),2.31)</f>
        <v>2.31</v>
      </c>
      <c r="D61" s="4"/>
      <c r="E61" s="4" t="str">
        <f>IFERROR(__xludf.DUMMYFUNCTION("""COMPUTED_VALUE"""),"Sin precio neto")</f>
        <v>Sin precio neto</v>
      </c>
    </row>
    <row r="62">
      <c r="A62" s="4" t="str">
        <f>IFERROR(__xludf.DUMMYFUNCTION("""COMPUTED_VALUE"""),"0160B")</f>
        <v>0160B</v>
      </c>
      <c r="B62" s="4" t="str">
        <f>IFERROR(__xludf.DUMMYFUNCTION("""COMPUTED_VALUE"""),"Cartel PVC 42x42 Fotolum. Salida emergencia izquierda")</f>
        <v>Cartel PVC 42x42 Fotolum. Salida emergencia izquierda</v>
      </c>
      <c r="C62" s="4">
        <f>IFERROR(__xludf.DUMMYFUNCTION("""COMPUTED_VALUE"""),3.9)</f>
        <v>3.9</v>
      </c>
      <c r="D62" s="4"/>
      <c r="E62" s="4" t="str">
        <f>IFERROR(__xludf.DUMMYFUNCTION("""COMPUTED_VALUE"""),"Sin precio neto")</f>
        <v>Sin precio neto</v>
      </c>
    </row>
    <row r="63">
      <c r="A63" s="4" t="str">
        <f>IFERROR(__xludf.DUMMYFUNCTION("""COMPUTED_VALUE"""),"0160C")</f>
        <v>0160C</v>
      </c>
      <c r="B63" s="4" t="str">
        <f>IFERROR(__xludf.DUMMYFUNCTION("""COMPUTED_VALUE"""),"Cartel PVC 63x63 Fotolum. Salida emergencia izquierda")</f>
        <v>Cartel PVC 63x63 Fotolum. Salida emergencia izquierda</v>
      </c>
      <c r="C63" s="4">
        <f>IFERROR(__xludf.DUMMYFUNCTION("""COMPUTED_VALUE"""),6.25)</f>
        <v>6.25</v>
      </c>
      <c r="D63" s="4"/>
      <c r="E63" s="4" t="str">
        <f>IFERROR(__xludf.DUMMYFUNCTION("""COMPUTED_VALUE"""),"Sin precio neto")</f>
        <v>Sin precio neto</v>
      </c>
    </row>
    <row r="64">
      <c r="A64" s="4" t="str">
        <f>IFERROR(__xludf.DUMMYFUNCTION("""COMPUTED_VALUE"""),"161")</f>
        <v>161</v>
      </c>
      <c r="B64" s="4" t="str">
        <f>IFERROR(__xludf.DUMMYFUNCTION("""COMPUTED_VALUE"""),"Cartel PVC 21x21 Fotolum. PUERTA EMERGENCIA")</f>
        <v>Cartel PVC 21x21 Fotolum. PUERTA EMERGENCIA</v>
      </c>
      <c r="C64" s="4">
        <f>IFERROR(__xludf.DUMMYFUNCTION("""COMPUTED_VALUE"""),2.31)</f>
        <v>2.31</v>
      </c>
      <c r="D64" s="4"/>
      <c r="E64" s="4" t="str">
        <f>IFERROR(__xludf.DUMMYFUNCTION("""COMPUTED_VALUE"""),"Sin precio neto")</f>
        <v>Sin precio neto</v>
      </c>
    </row>
    <row r="65">
      <c r="A65" s="4" t="str">
        <f>IFERROR(__xludf.DUMMYFUNCTION("""COMPUTED_VALUE"""),"0161A")</f>
        <v>0161A</v>
      </c>
      <c r="B65" s="4" t="str">
        <f>IFERROR(__xludf.DUMMYFUNCTION("""COMPUTED_VALUE"""),"Cartel PVC 21x21 Fotolum. Salida emergencia derecha")</f>
        <v>Cartel PVC 21x21 Fotolum. Salida emergencia derecha</v>
      </c>
      <c r="C65" s="4">
        <f>IFERROR(__xludf.DUMMYFUNCTION("""COMPUTED_VALUE"""),2.31)</f>
        <v>2.31</v>
      </c>
      <c r="D65" s="4"/>
      <c r="E65" s="4" t="str">
        <f>IFERROR(__xludf.DUMMYFUNCTION("""COMPUTED_VALUE"""),"Sin precio neto")</f>
        <v>Sin precio neto</v>
      </c>
    </row>
    <row r="66">
      <c r="A66" s="4" t="str">
        <f>IFERROR(__xludf.DUMMYFUNCTION("""COMPUTED_VALUE"""),"0161B")</f>
        <v>0161B</v>
      </c>
      <c r="B66" s="4" t="str">
        <f>IFERROR(__xludf.DUMMYFUNCTION("""COMPUTED_VALUE"""),"Cartel PVC 42x42 Fotolum. Salida emergencia derecha")</f>
        <v>Cartel PVC 42x42 Fotolum. Salida emergencia derecha</v>
      </c>
      <c r="C66" s="4">
        <f>IFERROR(__xludf.DUMMYFUNCTION("""COMPUTED_VALUE"""),3.9)</f>
        <v>3.9</v>
      </c>
      <c r="D66" s="4"/>
      <c r="E66" s="4" t="str">
        <f>IFERROR(__xludf.DUMMYFUNCTION("""COMPUTED_VALUE"""),"Sin precio neto")</f>
        <v>Sin precio neto</v>
      </c>
    </row>
    <row r="67">
      <c r="A67" s="4" t="str">
        <f>IFERROR(__xludf.DUMMYFUNCTION("""COMPUTED_VALUE"""),"0161C")</f>
        <v>0161C</v>
      </c>
      <c r="B67" s="4" t="str">
        <f>IFERROR(__xludf.DUMMYFUNCTION("""COMPUTED_VALUE"""),"Cartel PVC 63x63 Fotolum. Salida emergencia derecha")</f>
        <v>Cartel PVC 63x63 Fotolum. Salida emergencia derecha</v>
      </c>
      <c r="C67" s="4">
        <f>IFERROR(__xludf.DUMMYFUNCTION("""COMPUTED_VALUE"""),6.25)</f>
        <v>6.25</v>
      </c>
      <c r="D67" s="4"/>
      <c r="E67" s="4" t="str">
        <f>IFERROR(__xludf.DUMMYFUNCTION("""COMPUTED_VALUE"""),"Sin precio neto")</f>
        <v>Sin precio neto</v>
      </c>
    </row>
    <row r="68">
      <c r="A68" s="4" t="str">
        <f>IFERROR(__xludf.DUMMYFUNCTION("""COMPUTED_VALUE"""),"162")</f>
        <v>162</v>
      </c>
      <c r="B68" s="4" t="str">
        <f>IFERROR(__xludf.DUMMYFUNCTION("""COMPUTED_VALUE"""),"Cartel PVC 21x21 Fotolum. PUERTA-ESCALERA EMERG. IZ")</f>
        <v>Cartel PVC 21x21 Fotolum. PUERTA-ESCALERA EMERG. IZ</v>
      </c>
      <c r="C68" s="4">
        <f>IFERROR(__xludf.DUMMYFUNCTION("""COMPUTED_VALUE"""),2.31)</f>
        <v>2.31</v>
      </c>
      <c r="D68" s="4"/>
      <c r="E68" s="4" t="str">
        <f>IFERROR(__xludf.DUMMYFUNCTION("""COMPUTED_VALUE"""),"Sin precio neto")</f>
        <v>Sin precio neto</v>
      </c>
    </row>
    <row r="69">
      <c r="A69" s="4" t="str">
        <f>IFERROR(__xludf.DUMMYFUNCTION("""COMPUTED_VALUE"""),"0162A")</f>
        <v>0162A</v>
      </c>
      <c r="B69" s="4" t="str">
        <f>IFERROR(__xludf.DUMMYFUNCTION("""COMPUTED_VALUE"""),"Cartel PVC 21x21 Fotolum. flecha izquierda")</f>
        <v>Cartel PVC 21x21 Fotolum. flecha izquierda</v>
      </c>
      <c r="C69" s="4">
        <f>IFERROR(__xludf.DUMMYFUNCTION("""COMPUTED_VALUE"""),1.25)</f>
        <v>1.25</v>
      </c>
      <c r="D69" s="4"/>
      <c r="E69" s="4" t="str">
        <f>IFERROR(__xludf.DUMMYFUNCTION("""COMPUTED_VALUE"""),"Sin precio neto")</f>
        <v>Sin precio neto</v>
      </c>
    </row>
    <row r="70">
      <c r="A70" s="4" t="str">
        <f>IFERROR(__xludf.DUMMYFUNCTION("""COMPUTED_VALUE"""),"0162B")</f>
        <v>0162B</v>
      </c>
      <c r="B70" s="4" t="str">
        <f>IFERROR(__xludf.DUMMYFUNCTION("""COMPUTED_VALUE"""),"Cartel PVC 42x42 Fotolum. flecha izquierda")</f>
        <v>Cartel PVC 42x42 Fotolum. flecha izquierda</v>
      </c>
      <c r="C70" s="4">
        <f>IFERROR(__xludf.DUMMYFUNCTION("""COMPUTED_VALUE"""),3.9)</f>
        <v>3.9</v>
      </c>
      <c r="D70" s="4"/>
      <c r="E70" s="4" t="str">
        <f>IFERROR(__xludf.DUMMYFUNCTION("""COMPUTED_VALUE"""),"Sin precio neto")</f>
        <v>Sin precio neto</v>
      </c>
    </row>
    <row r="71">
      <c r="A71" s="4" t="str">
        <f>IFERROR(__xludf.DUMMYFUNCTION("""COMPUTED_VALUE"""),"0162C")</f>
        <v>0162C</v>
      </c>
      <c r="B71" s="4" t="str">
        <f>IFERROR(__xludf.DUMMYFUNCTION("""COMPUTED_VALUE"""),"Cartel PVC 63x63 Fotolum. flecha izquierda")</f>
        <v>Cartel PVC 63x63 Fotolum. flecha izquierda</v>
      </c>
      <c r="C71" s="4">
        <f>IFERROR(__xludf.DUMMYFUNCTION("""COMPUTED_VALUE"""),6.25)</f>
        <v>6.25</v>
      </c>
      <c r="D71" s="4"/>
      <c r="E71" s="4" t="str">
        <f>IFERROR(__xludf.DUMMYFUNCTION("""COMPUTED_VALUE"""),"Sin precio neto")</f>
        <v>Sin precio neto</v>
      </c>
    </row>
    <row r="72">
      <c r="A72" s="4" t="str">
        <f>IFERROR(__xludf.DUMMYFUNCTION("""COMPUTED_VALUE"""),"163")</f>
        <v>163</v>
      </c>
      <c r="B72" s="4" t="str">
        <f>IFERROR(__xludf.DUMMYFUNCTION("""COMPUTED_VALUE"""),"Cartel PVC 21x21 Fotolum. PUERTA-ESCALERA EMERG.")</f>
        <v>Cartel PVC 21x21 Fotolum. PUERTA-ESCALERA EMERG.</v>
      </c>
      <c r="C72" s="4">
        <f>IFERROR(__xludf.DUMMYFUNCTION("""COMPUTED_VALUE"""),2.31)</f>
        <v>2.31</v>
      </c>
      <c r="D72" s="4"/>
      <c r="E72" s="4" t="str">
        <f>IFERROR(__xludf.DUMMYFUNCTION("""COMPUTED_VALUE"""),"Sin precio neto")</f>
        <v>Sin precio neto</v>
      </c>
    </row>
    <row r="73">
      <c r="A73" s="4" t="str">
        <f>IFERROR(__xludf.DUMMYFUNCTION("""COMPUTED_VALUE"""),"0163A")</f>
        <v>0163A</v>
      </c>
      <c r="B73" s="4" t="str">
        <f>IFERROR(__xludf.DUMMYFUNCTION("""COMPUTED_VALUE"""),"Cartel PVC 21x21 Fotolum. flecha derecha")</f>
        <v>Cartel PVC 21x21 Fotolum. flecha derecha</v>
      </c>
      <c r="C73" s="4">
        <f>IFERROR(__xludf.DUMMYFUNCTION("""COMPUTED_VALUE"""),2.31)</f>
        <v>2.31</v>
      </c>
      <c r="D73" s="4"/>
      <c r="E73" s="4" t="str">
        <f>IFERROR(__xludf.DUMMYFUNCTION("""COMPUTED_VALUE"""),"Sin precio neto")</f>
        <v>Sin precio neto</v>
      </c>
    </row>
    <row r="74">
      <c r="A74" s="4" t="str">
        <f>IFERROR(__xludf.DUMMYFUNCTION("""COMPUTED_VALUE"""),"0163B")</f>
        <v>0163B</v>
      </c>
      <c r="B74" s="4" t="str">
        <f>IFERROR(__xludf.DUMMYFUNCTION("""COMPUTED_VALUE"""),"Cartel PVC 42x42 Fotolum. flecha derecha")</f>
        <v>Cartel PVC 42x42 Fotolum. flecha derecha</v>
      </c>
      <c r="C74" s="4">
        <f>IFERROR(__xludf.DUMMYFUNCTION("""COMPUTED_VALUE"""),3.9)</f>
        <v>3.9</v>
      </c>
      <c r="D74" s="4"/>
      <c r="E74" s="4" t="str">
        <f>IFERROR(__xludf.DUMMYFUNCTION("""COMPUTED_VALUE"""),"Sin precio neto")</f>
        <v>Sin precio neto</v>
      </c>
    </row>
    <row r="75">
      <c r="A75" s="4" t="str">
        <f>IFERROR(__xludf.DUMMYFUNCTION("""COMPUTED_VALUE"""),"0163C")</f>
        <v>0163C</v>
      </c>
      <c r="B75" s="4" t="str">
        <f>IFERROR(__xludf.DUMMYFUNCTION("""COMPUTED_VALUE"""),"Cartel PVC 63x63 Fotolum. flecha derecha")</f>
        <v>Cartel PVC 63x63 Fotolum. flecha derecha</v>
      </c>
      <c r="C75" s="4">
        <f>IFERROR(__xludf.DUMMYFUNCTION("""COMPUTED_VALUE"""),6.25)</f>
        <v>6.25</v>
      </c>
      <c r="D75" s="4"/>
      <c r="E75" s="4" t="str">
        <f>IFERROR(__xludf.DUMMYFUNCTION("""COMPUTED_VALUE"""),"Sin precio neto")</f>
        <v>Sin precio neto</v>
      </c>
    </row>
    <row r="76">
      <c r="A76" s="4" t="str">
        <f>IFERROR(__xludf.DUMMYFUNCTION("""COMPUTED_VALUE"""),"164")</f>
        <v>164</v>
      </c>
      <c r="B76" s="4" t="str">
        <f>IFERROR(__xludf.DUMMYFUNCTION("""COMPUTED_VALUE"""),"Cartel PVC 21x21 Fotolum. EMPUJAR BARRA APERTURA")</f>
        <v>Cartel PVC 21x21 Fotolum. EMPUJAR BARRA APERTURA</v>
      </c>
      <c r="C76" s="4">
        <f>IFERROR(__xludf.DUMMYFUNCTION("""COMPUTED_VALUE"""),2.31)</f>
        <v>2.31</v>
      </c>
      <c r="D76" s="4"/>
      <c r="E76" s="4" t="str">
        <f>IFERROR(__xludf.DUMMYFUNCTION("""COMPUTED_VALUE"""),"Sin precio neto")</f>
        <v>Sin precio neto</v>
      </c>
    </row>
    <row r="77">
      <c r="A77" s="4" t="str">
        <f>IFERROR(__xludf.DUMMYFUNCTION("""COMPUTED_VALUE"""),"165")</f>
        <v>165</v>
      </c>
      <c r="B77" s="4" t="str">
        <f>IFERROR(__xludf.DUMMYFUNCTION("""COMPUTED_VALUE"""),"Cartel PVC 21x21 Fotolum. FLECHA")</f>
        <v>Cartel PVC 21x21 Fotolum. FLECHA</v>
      </c>
      <c r="C77" s="4">
        <f>IFERROR(__xludf.DUMMYFUNCTION("""COMPUTED_VALUE"""),2.31)</f>
        <v>2.31</v>
      </c>
      <c r="D77" s="4"/>
      <c r="E77" s="4" t="str">
        <f>IFERROR(__xludf.DUMMYFUNCTION("""COMPUTED_VALUE"""),"Sin precio neto")</f>
        <v>Sin precio neto</v>
      </c>
    </row>
    <row r="78">
      <c r="A78" s="4" t="str">
        <f>IFERROR(__xludf.DUMMYFUNCTION("""COMPUTED_VALUE"""),"175")</f>
        <v>175</v>
      </c>
      <c r="B78" s="4" t="str">
        <f>IFERROR(__xludf.DUMMYFUNCTION("""COMPUTED_VALUE"""),"Cartel PVC 30x10 Fotolum. SALIDA")</f>
        <v>Cartel PVC 30x10 Fotolum. SALIDA</v>
      </c>
      <c r="C78" s="4">
        <f>IFERROR(__xludf.DUMMYFUNCTION("""COMPUTED_VALUE"""),1.89)</f>
        <v>1.89</v>
      </c>
      <c r="D78" s="4"/>
      <c r="E78" s="4" t="str">
        <f>IFERROR(__xludf.DUMMYFUNCTION("""COMPUTED_VALUE"""),"Sin precio neto")</f>
        <v>Sin precio neto</v>
      </c>
    </row>
    <row r="79">
      <c r="A79" s="4" t="str">
        <f>IFERROR(__xludf.DUMMYFUNCTION("""COMPUTED_VALUE"""),"176")</f>
        <v>176</v>
      </c>
      <c r="B79" s="4" t="str">
        <f>IFERROR(__xludf.DUMMYFUNCTION("""COMPUTED_VALUE"""),"Cartel PVC 30x10 Fotolum. SALIDA FLECHA DCHA")</f>
        <v>Cartel PVC 30x10 Fotolum. SALIDA FLECHA DCHA</v>
      </c>
      <c r="C79" s="4">
        <f>IFERROR(__xludf.DUMMYFUNCTION("""COMPUTED_VALUE"""),1.89)</f>
        <v>1.89</v>
      </c>
      <c r="D79" s="4"/>
      <c r="E79" s="4" t="str">
        <f>IFERROR(__xludf.DUMMYFUNCTION("""COMPUTED_VALUE"""),"Sin precio neto")</f>
        <v>Sin precio neto</v>
      </c>
    </row>
    <row r="80">
      <c r="A80" s="4" t="str">
        <f>IFERROR(__xludf.DUMMYFUNCTION("""COMPUTED_VALUE"""),"177")</f>
        <v>177</v>
      </c>
      <c r="B80" s="4" t="str">
        <f>IFERROR(__xludf.DUMMYFUNCTION("""COMPUTED_VALUE"""),"Cartel PVC 30x10 Fotolum. SALIDA FLECHA IZQ.")</f>
        <v>Cartel PVC 30x10 Fotolum. SALIDA FLECHA IZQ.</v>
      </c>
      <c r="C80" s="4">
        <f>IFERROR(__xludf.DUMMYFUNCTION("""COMPUTED_VALUE"""),1.89)</f>
        <v>1.89</v>
      </c>
      <c r="D80" s="4"/>
      <c r="E80" s="4" t="str">
        <f>IFERROR(__xludf.DUMMYFUNCTION("""COMPUTED_VALUE"""),"Sin precio neto")</f>
        <v>Sin precio neto</v>
      </c>
    </row>
    <row r="81">
      <c r="A81" s="4" t="str">
        <f>IFERROR(__xludf.DUMMYFUNCTION("""COMPUTED_VALUE"""),"178")</f>
        <v>178</v>
      </c>
      <c r="B81" s="4" t="str">
        <f>IFERROR(__xludf.DUMMYFUNCTION("""COMPUTED_VALUE"""),"Cartel PVC 30x10 Fotolum. SALIDA FLECHA ARRIBA")</f>
        <v>Cartel PVC 30x10 Fotolum. SALIDA FLECHA ARRIBA</v>
      </c>
      <c r="C81" s="4">
        <f>IFERROR(__xludf.DUMMYFUNCTION("""COMPUTED_VALUE"""),1.89)</f>
        <v>1.89</v>
      </c>
      <c r="D81" s="4"/>
      <c r="E81" s="4" t="str">
        <f>IFERROR(__xludf.DUMMYFUNCTION("""COMPUTED_VALUE"""),"Sin precio neto")</f>
        <v>Sin precio neto</v>
      </c>
    </row>
    <row r="82">
      <c r="A82" s="4" t="str">
        <f>IFERROR(__xludf.DUMMYFUNCTION("""COMPUTED_VALUE"""),"179")</f>
        <v>179</v>
      </c>
      <c r="B82" s="4" t="str">
        <f>IFERROR(__xludf.DUMMYFUNCTION("""COMPUTED_VALUE"""),"Cartel PVC 30x10 Fotolum. SALIDA FLECHA ABAJO")</f>
        <v>Cartel PVC 30x10 Fotolum. SALIDA FLECHA ABAJO</v>
      </c>
      <c r="C82" s="4">
        <f>IFERROR(__xludf.DUMMYFUNCTION("""COMPUTED_VALUE"""),1.89)</f>
        <v>1.89</v>
      </c>
      <c r="D82" s="4"/>
      <c r="E82" s="4" t="str">
        <f>IFERROR(__xludf.DUMMYFUNCTION("""COMPUTED_VALUE"""),"Sin precio neto")</f>
        <v>Sin precio neto</v>
      </c>
    </row>
    <row r="83">
      <c r="A83" s="4" t="str">
        <f>IFERROR(__xludf.DUMMYFUNCTION("""COMPUTED_VALUE"""),"180")</f>
        <v>180</v>
      </c>
      <c r="B83" s="4" t="str">
        <f>IFERROR(__xludf.DUMMYFUNCTION("""COMPUTED_VALUE"""),"Cartel PVC 30x10 Fotolum. SALIDA EMERGENCIA FLECHA")</f>
        <v>Cartel PVC 30x10 Fotolum. SALIDA EMERGENCIA FLECHA</v>
      </c>
      <c r="C83" s="4">
        <f>IFERROR(__xludf.DUMMYFUNCTION("""COMPUTED_VALUE"""),1.89)</f>
        <v>1.89</v>
      </c>
      <c r="D83" s="4"/>
      <c r="E83" s="4" t="str">
        <f>IFERROR(__xludf.DUMMYFUNCTION("""COMPUTED_VALUE"""),"Sin precio neto")</f>
        <v>Sin precio neto</v>
      </c>
    </row>
    <row r="84">
      <c r="A84" s="4" t="str">
        <f>IFERROR(__xludf.DUMMYFUNCTION("""COMPUTED_VALUE"""),"181")</f>
        <v>181</v>
      </c>
      <c r="B84" s="4" t="str">
        <f>IFERROR(__xludf.DUMMYFUNCTION("""COMPUTED_VALUE"""),"Cartel PVC 30x10 Fotolum. SALIDA EMERGENCIA FLECHA")</f>
        <v>Cartel PVC 30x10 Fotolum. SALIDA EMERGENCIA FLECHA</v>
      </c>
      <c r="C84" s="4">
        <f>IFERROR(__xludf.DUMMYFUNCTION("""COMPUTED_VALUE"""),1.89)</f>
        <v>1.89</v>
      </c>
      <c r="D84" s="4"/>
      <c r="E84" s="4" t="str">
        <f>IFERROR(__xludf.DUMMYFUNCTION("""COMPUTED_VALUE"""),"Sin precio neto")</f>
        <v>Sin precio neto</v>
      </c>
    </row>
    <row r="85">
      <c r="A85" s="4" t="str">
        <f>IFERROR(__xludf.DUMMYFUNCTION("""COMPUTED_VALUE"""),"182")</f>
        <v>182</v>
      </c>
      <c r="B85" s="4" t="str">
        <f>IFERROR(__xludf.DUMMYFUNCTION("""COMPUTED_VALUE"""),"Cartel PVC 30x10 Fotolum. FLECHA")</f>
        <v>Cartel PVC 30x10 Fotolum. FLECHA</v>
      </c>
      <c r="C85" s="4">
        <f>IFERROR(__xludf.DUMMYFUNCTION("""COMPUTED_VALUE"""),1.89)</f>
        <v>1.89</v>
      </c>
      <c r="D85" s="4"/>
      <c r="E85" s="4" t="str">
        <f>IFERROR(__xludf.DUMMYFUNCTION("""COMPUTED_VALUE"""),"Sin precio neto")</f>
        <v>Sin precio neto</v>
      </c>
    </row>
    <row r="86">
      <c r="A86" s="4" t="str">
        <f>IFERROR(__xludf.DUMMYFUNCTION("""COMPUTED_VALUE"""),"183")</f>
        <v>183</v>
      </c>
      <c r="B86" s="4" t="str">
        <f>IFERROR(__xludf.DUMMYFUNCTION("""COMPUTED_VALUE"""),"Cartel PVC 30x10 Fotolum. SALIDA DE EMERGENCIA")</f>
        <v>Cartel PVC 30x10 Fotolum. SALIDA DE EMERGENCIA</v>
      </c>
      <c r="C86" s="4">
        <f>IFERROR(__xludf.DUMMYFUNCTION("""COMPUTED_VALUE"""),1.89)</f>
        <v>1.89</v>
      </c>
      <c r="D86" s="4"/>
      <c r="E86" s="4" t="str">
        <f>IFERROR(__xludf.DUMMYFUNCTION("""COMPUTED_VALUE"""),"Sin precio neto")</f>
        <v>Sin precio neto</v>
      </c>
    </row>
    <row r="87">
      <c r="A87" s="4" t="str">
        <f>IFERROR(__xludf.DUMMYFUNCTION("""COMPUTED_VALUE"""),"184")</f>
        <v>184</v>
      </c>
      <c r="B87" s="4" t="str">
        <f>IFERROR(__xludf.DUMMYFUNCTION("""COMPUTED_VALUE"""),"Cartel PVC 650x105 mm SALIDA DE EMERGENCIA")</f>
        <v>Cartel PVC 650x105 mm SALIDA DE EMERGENCIA</v>
      </c>
      <c r="C87" s="4">
        <f>IFERROR(__xludf.DUMMYFUNCTION("""COMPUTED_VALUE"""),1.89)</f>
        <v>1.89</v>
      </c>
      <c r="D87" s="4"/>
      <c r="E87" s="4" t="str">
        <f>IFERROR(__xludf.DUMMYFUNCTION("""COMPUTED_VALUE"""),"Sin precio neto")</f>
        <v>Sin precio neto</v>
      </c>
    </row>
    <row r="88">
      <c r="A88" s="4" t="str">
        <f>IFERROR(__xludf.DUMMYFUNCTION("""COMPUTED_VALUE"""),"199")</f>
        <v>199</v>
      </c>
      <c r="B88" s="4" t="str">
        <f>IFERROR(__xludf.DUMMYFUNCTION("""COMPUTED_VALUE"""),"Cartel PVC 21x29 Fotolum. DUCHA DE EMERGENCIA")</f>
        <v>Cartel PVC 21x29 Fotolum. DUCHA DE EMERGENCIA</v>
      </c>
      <c r="C88" s="4">
        <f>IFERROR(__xludf.DUMMYFUNCTION("""COMPUTED_VALUE"""),2.6)</f>
        <v>2.6</v>
      </c>
      <c r="D88" s="4">
        <f>IFERROR(__xludf.DUMMYFUNCTION("""COMPUTED_VALUE"""),2.1)</f>
        <v>2.1</v>
      </c>
      <c r="E88" s="4" t="str">
        <f>IFERROR(__xludf.DUMMYFUNCTION("""COMPUTED_VALUE"""),"Neto: 2,10 € (a partir de 1 uds.)")</f>
        <v>Neto: 2,10 € (a partir de 1 uds.)</v>
      </c>
    </row>
    <row r="89">
      <c r="A89" s="4" t="str">
        <f>IFERROR(__xludf.DUMMYFUNCTION("""COMPUTED_VALUE"""),"0199A")</f>
        <v>0199A</v>
      </c>
      <c r="B89" s="4" t="str">
        <f>IFERROR(__xludf.DUMMYFUNCTION("""COMPUTED_VALUE"""),"Cartel PVC 21x30 Fotolum. ducha de emergencia")</f>
        <v>Cartel PVC 21x30 Fotolum. ducha de emergencia</v>
      </c>
      <c r="C89" s="4">
        <f>IFERROR(__xludf.DUMMYFUNCTION("""COMPUTED_VALUE"""),2.52)</f>
        <v>2.52</v>
      </c>
      <c r="D89" s="4">
        <f>IFERROR(__xludf.DUMMYFUNCTION("""COMPUTED_VALUE"""),2.1)</f>
        <v>2.1</v>
      </c>
      <c r="E89" s="4" t="str">
        <f>IFERROR(__xludf.DUMMYFUNCTION("""COMPUTED_VALUE"""),"Neto: 2,10 € (a partir de 1 uds.)")</f>
        <v>Neto: 2,10 € (a partir de 1 uds.)</v>
      </c>
    </row>
    <row r="90">
      <c r="A90" s="4" t="str">
        <f>IFERROR(__xludf.DUMMYFUNCTION("""COMPUTED_VALUE"""),"0199B")</f>
        <v>0199B</v>
      </c>
      <c r="B90" s="4" t="str">
        <f>IFERROR(__xludf.DUMMYFUNCTION("""COMPUTED_VALUE"""),"Cartel PVC 40x30 Fotolum. ducha de emergencia")</f>
        <v>Cartel PVC 40x30 Fotolum. ducha de emergencia</v>
      </c>
      <c r="C90" s="4">
        <f>IFERROR(__xludf.DUMMYFUNCTION("""COMPUTED_VALUE"""),3.1)</f>
        <v>3.1</v>
      </c>
      <c r="D90" s="4">
        <f>IFERROR(__xludf.DUMMYFUNCTION("""COMPUTED_VALUE"""),3.2)</f>
        <v>3.2</v>
      </c>
      <c r="E90" s="4" t="str">
        <f>IFERROR(__xludf.DUMMYFUNCTION("""COMPUTED_VALUE"""),"Neto: 3,20 € (a partir de 1 uds.)")</f>
        <v>Neto: 3,20 € (a partir de 1 uds.)</v>
      </c>
    </row>
    <row r="91">
      <c r="A91" s="4" t="str">
        <f>IFERROR(__xludf.DUMMYFUNCTION("""COMPUTED_VALUE"""),"0200/G")</f>
        <v>0200/G</v>
      </c>
      <c r="B91" s="4" t="str">
        <f>IFERROR(__xludf.DUMMYFUNCTION("""COMPUTED_VALUE"""),"Señal Poliprop. Amarillo 50x50 c/ollados + Pictograma")</f>
        <v>Señal Poliprop. Amarillo 50x50 c/ollados + Pictograma</v>
      </c>
      <c r="C91" s="4">
        <f>IFERROR(__xludf.DUMMYFUNCTION("""COMPUTED_VALUE"""),9.6)</f>
        <v>9.6</v>
      </c>
      <c r="D91" s="4"/>
      <c r="E91" s="4" t="str">
        <f>IFERROR(__xludf.DUMMYFUNCTION("""COMPUTED_VALUE"""),"Sin precio neto")</f>
        <v>Sin precio neto</v>
      </c>
    </row>
    <row r="92">
      <c r="A92" s="4" t="str">
        <f>IFERROR(__xludf.DUMMYFUNCTION("""COMPUTED_VALUE"""),"0200S2130")</f>
        <v>0200S2130</v>
      </c>
      <c r="B92" s="4" t="str">
        <f>IFERROR(__xludf.DUMMYFUNCTION("""COMPUTED_VALUE"""),"Soperte Acero Inox para cartel 21x29 cm")</f>
        <v>Soperte Acero Inox para cartel 21x29 cm</v>
      </c>
      <c r="C92" s="4">
        <f>IFERROR(__xludf.DUMMYFUNCTION("""COMPUTED_VALUE"""),14.5)</f>
        <v>14.5</v>
      </c>
      <c r="D92" s="4"/>
      <c r="E92" s="4" t="str">
        <f>IFERROR(__xludf.DUMMYFUNCTION("""COMPUTED_VALUE"""),"Sin precio neto")</f>
        <v>Sin precio neto</v>
      </c>
    </row>
    <row r="93">
      <c r="A93" s="4" t="str">
        <f>IFERROR(__xludf.DUMMYFUNCTION("""COMPUTED_VALUE"""),"0200S4030")</f>
        <v>0200S4030</v>
      </c>
      <c r="B93" s="4" t="str">
        <f>IFERROR(__xludf.DUMMYFUNCTION("""COMPUTED_VALUE"""),"Soporte Acero Inox para Cartel 40x30 cm")</f>
        <v>Soporte Acero Inox para Cartel 40x30 cm</v>
      </c>
      <c r="C93" s="4">
        <f>IFERROR(__xludf.DUMMYFUNCTION("""COMPUTED_VALUE"""),17.0)</f>
        <v>17</v>
      </c>
      <c r="D93" s="4"/>
      <c r="E93" s="4" t="str">
        <f>IFERROR(__xludf.DUMMYFUNCTION("""COMPUTED_VALUE"""),"Sin precio neto")</f>
        <v>Sin precio neto</v>
      </c>
    </row>
    <row r="94">
      <c r="A94" s="4" t="str">
        <f>IFERROR(__xludf.DUMMYFUNCTION("""COMPUTED_VALUE"""),"201")</f>
        <v>201</v>
      </c>
      <c r="B94" s="4" t="str">
        <f>IFERROR(__xludf.DUMMYFUNCTION("""COMPUTED_VALUE"""),"Cartel PVC 40x30 Fotolum. EXTINTOR")</f>
        <v>Cartel PVC 40x30 Fotolum. EXTINTOR</v>
      </c>
      <c r="C94" s="4">
        <f>IFERROR(__xludf.DUMMYFUNCTION("""COMPUTED_VALUE"""),3.35)</f>
        <v>3.35</v>
      </c>
      <c r="D94" s="4"/>
      <c r="E94" s="4" t="str">
        <f>IFERROR(__xludf.DUMMYFUNCTION("""COMPUTED_VALUE"""),"Sin precio neto")</f>
        <v>Sin precio neto</v>
      </c>
    </row>
    <row r="95">
      <c r="A95" s="4" t="str">
        <f>IFERROR(__xludf.DUMMYFUNCTION("""COMPUTED_VALUE"""),"202")</f>
        <v>202</v>
      </c>
      <c r="B95" s="4" t="str">
        <f>IFERROR(__xludf.DUMMYFUNCTION("""COMPUTED_VALUE"""),"Cartel PVC 21x30 Fotolum. Duchas emergencia derecha")</f>
        <v>Cartel PVC 21x30 Fotolum. Duchas emergencia derecha</v>
      </c>
      <c r="C95" s="4">
        <f>IFERROR(__xludf.DUMMYFUNCTION("""COMPUTED_VALUE"""),2.6)</f>
        <v>2.6</v>
      </c>
      <c r="D95" s="4">
        <f>IFERROR(__xludf.DUMMYFUNCTION("""COMPUTED_VALUE"""),2.1)</f>
        <v>2.1</v>
      </c>
      <c r="E95" s="4" t="str">
        <f>IFERROR(__xludf.DUMMYFUNCTION("""COMPUTED_VALUE"""),"Neto: 2,10 € (a partir de 1 uds.)")</f>
        <v>Neto: 2,10 € (a partir de 1 uds.)</v>
      </c>
    </row>
    <row r="96">
      <c r="A96" s="4" t="str">
        <f>IFERROR(__xludf.DUMMYFUNCTION("""COMPUTED_VALUE"""),"203")</f>
        <v>203</v>
      </c>
      <c r="B96" s="4" t="str">
        <f>IFERROR(__xludf.DUMMYFUNCTION("""COMPUTED_VALUE"""),"Cartel PVC 21x30 Fotolum. Duchas emergencia izq.")</f>
        <v>Cartel PVC 21x30 Fotolum. Duchas emergencia izq.</v>
      </c>
      <c r="C96" s="4">
        <f>IFERROR(__xludf.DUMMYFUNCTION("""COMPUTED_VALUE"""),2.6)</f>
        <v>2.6</v>
      </c>
      <c r="D96" s="4">
        <f>IFERROR(__xludf.DUMMYFUNCTION("""COMPUTED_VALUE"""),2.1)</f>
        <v>2.1</v>
      </c>
      <c r="E96" s="4" t="str">
        <f>IFERROR(__xludf.DUMMYFUNCTION("""COMPUTED_VALUE"""),"Neto: 2,10 € (a partir de 1 uds.)")</f>
        <v>Neto: 2,10 € (a partir de 1 uds.)</v>
      </c>
    </row>
    <row r="97">
      <c r="A97" s="4" t="str">
        <f>IFERROR(__xludf.DUMMYFUNCTION("""COMPUTED_VALUE"""),"0204A")</f>
        <v>0204A</v>
      </c>
      <c r="B97" s="4" t="str">
        <f>IFERROR(__xludf.DUMMYFUNCTION("""COMPUTED_VALUE"""),"Cartel PVC 21x30 Fotolum. Oficina")</f>
        <v>Cartel PVC 21x30 Fotolum. Oficina</v>
      </c>
      <c r="C97" s="4">
        <f>IFERROR(__xludf.DUMMYFUNCTION("""COMPUTED_VALUE"""),2.52)</f>
        <v>2.52</v>
      </c>
      <c r="D97" s="4">
        <f>IFERROR(__xludf.DUMMYFUNCTION("""COMPUTED_VALUE"""),2.1)</f>
        <v>2.1</v>
      </c>
      <c r="E97" s="4" t="str">
        <f>IFERROR(__xludf.DUMMYFUNCTION("""COMPUTED_VALUE"""),"Neto: 2,10 € (a partir de 1 uds.)")</f>
        <v>Neto: 2,10 € (a partir de 1 uds.)</v>
      </c>
    </row>
    <row r="98">
      <c r="A98" s="4" t="str">
        <f>IFERROR(__xludf.DUMMYFUNCTION("""COMPUTED_VALUE"""),"0204B")</f>
        <v>0204B</v>
      </c>
      <c r="B98" s="4" t="str">
        <f>IFERROR(__xludf.DUMMYFUNCTION("""COMPUTED_VALUE"""),"Cartel PVC 40x30 Fotolum. Oficina")</f>
        <v>Cartel PVC 40x30 Fotolum. Oficina</v>
      </c>
      <c r="C98" s="4">
        <f>IFERROR(__xludf.DUMMYFUNCTION("""COMPUTED_VALUE"""),3.1)</f>
        <v>3.1</v>
      </c>
      <c r="D98" s="4">
        <f>IFERROR(__xludf.DUMMYFUNCTION("""COMPUTED_VALUE"""),3.2)</f>
        <v>3.2</v>
      </c>
      <c r="E98" s="4" t="str">
        <f>IFERROR(__xludf.DUMMYFUNCTION("""COMPUTED_VALUE"""),"Neto: 3,20 € (a partir de 1 uds.)")</f>
        <v>Neto: 3,20 € (a partir de 1 uds.)</v>
      </c>
    </row>
    <row r="99">
      <c r="A99" s="4" t="str">
        <f>IFERROR(__xludf.DUMMYFUNCTION("""COMPUTED_VALUE"""),"0205A")</f>
        <v>0205A</v>
      </c>
      <c r="B99" s="4" t="str">
        <f>IFERROR(__xludf.DUMMYFUNCTION("""COMPUTED_VALUE"""),"Cartel PVC 21x30 Fotolum. Ducha")</f>
        <v>Cartel PVC 21x30 Fotolum. Ducha</v>
      </c>
      <c r="C99" s="4">
        <f>IFERROR(__xludf.DUMMYFUNCTION("""COMPUTED_VALUE"""),2.52)</f>
        <v>2.52</v>
      </c>
      <c r="D99" s="4">
        <f>IFERROR(__xludf.DUMMYFUNCTION("""COMPUTED_VALUE"""),2.1)</f>
        <v>2.1</v>
      </c>
      <c r="E99" s="4" t="str">
        <f>IFERROR(__xludf.DUMMYFUNCTION("""COMPUTED_VALUE"""),"Neto: 2,10 € (a partir de 1 uds.)")</f>
        <v>Neto: 2,10 € (a partir de 1 uds.)</v>
      </c>
    </row>
    <row r="100">
      <c r="A100" s="4" t="str">
        <f>IFERROR(__xludf.DUMMYFUNCTION("""COMPUTED_VALUE"""),"0205B")</f>
        <v>0205B</v>
      </c>
      <c r="B100" s="4" t="str">
        <f>IFERROR(__xludf.DUMMYFUNCTION("""COMPUTED_VALUE"""),"Cartel PVC 40x30 Fotolum. Ducha")</f>
        <v>Cartel PVC 40x30 Fotolum. Ducha</v>
      </c>
      <c r="C100" s="4">
        <f>IFERROR(__xludf.DUMMYFUNCTION("""COMPUTED_VALUE"""),3.1)</f>
        <v>3.1</v>
      </c>
      <c r="D100" s="4">
        <f>IFERROR(__xludf.DUMMYFUNCTION("""COMPUTED_VALUE"""),3.2)</f>
        <v>3.2</v>
      </c>
      <c r="E100" s="4" t="str">
        <f>IFERROR(__xludf.DUMMYFUNCTION("""COMPUTED_VALUE"""),"Neto: 3,20 € (a partir de 1 uds.)")</f>
        <v>Neto: 3,20 € (a partir de 1 uds.)</v>
      </c>
    </row>
    <row r="101">
      <c r="A101" s="4" t="str">
        <f>IFERROR(__xludf.DUMMYFUNCTION("""COMPUTED_VALUE"""),"206")</f>
        <v>206</v>
      </c>
      <c r="B101" s="4" t="str">
        <f>IFERROR(__xludf.DUMMYFUNCTION("""COMPUTED_VALUE"""),"Cartel PVC 21x30 Fotolum. Lavaojos emerg. derecha")</f>
        <v>Cartel PVC 21x30 Fotolum. Lavaojos emerg. derecha</v>
      </c>
      <c r="C101" s="4">
        <f>IFERROR(__xludf.DUMMYFUNCTION("""COMPUTED_VALUE"""),2.6)</f>
        <v>2.6</v>
      </c>
      <c r="D101" s="4">
        <f>IFERROR(__xludf.DUMMYFUNCTION("""COMPUTED_VALUE"""),2.1)</f>
        <v>2.1</v>
      </c>
      <c r="E101" s="4" t="str">
        <f>IFERROR(__xludf.DUMMYFUNCTION("""COMPUTED_VALUE"""),"Neto: 2,10 € (a partir de 1 uds.)")</f>
        <v>Neto: 2,10 € (a partir de 1 uds.)</v>
      </c>
    </row>
    <row r="102">
      <c r="A102" s="4" t="str">
        <f>IFERROR(__xludf.DUMMYFUNCTION("""COMPUTED_VALUE"""),"0206A")</f>
        <v>0206A</v>
      </c>
      <c r="B102" s="4" t="str">
        <f>IFERROR(__xludf.DUMMYFUNCTION("""COMPUTED_VALUE"""),"Cartel PVC 21x30 Fotolum. Lavaojos de emergencia")</f>
        <v>Cartel PVC 21x30 Fotolum. Lavaojos de emergencia</v>
      </c>
      <c r="C102" s="4">
        <f>IFERROR(__xludf.DUMMYFUNCTION("""COMPUTED_VALUE"""),2.52)</f>
        <v>2.52</v>
      </c>
      <c r="D102" s="4">
        <f>IFERROR(__xludf.DUMMYFUNCTION("""COMPUTED_VALUE"""),2.1)</f>
        <v>2.1</v>
      </c>
      <c r="E102" s="4" t="str">
        <f>IFERROR(__xludf.DUMMYFUNCTION("""COMPUTED_VALUE"""),"Neto: 2,10 € (a partir de 1 uds.)")</f>
        <v>Neto: 2,10 € (a partir de 1 uds.)</v>
      </c>
    </row>
    <row r="103">
      <c r="A103" s="4" t="str">
        <f>IFERROR(__xludf.DUMMYFUNCTION("""COMPUTED_VALUE"""),"0206B")</f>
        <v>0206B</v>
      </c>
      <c r="B103" s="4" t="str">
        <f>IFERROR(__xludf.DUMMYFUNCTION("""COMPUTED_VALUE"""),"Cartel PVC 40x30 Fotolum. Lavaojos de emergencia")</f>
        <v>Cartel PVC 40x30 Fotolum. Lavaojos de emergencia</v>
      </c>
      <c r="C103" s="4">
        <f>IFERROR(__xludf.DUMMYFUNCTION("""COMPUTED_VALUE"""),3.1)</f>
        <v>3.1</v>
      </c>
      <c r="D103" s="4">
        <f>IFERROR(__xludf.DUMMYFUNCTION("""COMPUTED_VALUE"""),3.2)</f>
        <v>3.2</v>
      </c>
      <c r="E103" s="4" t="str">
        <f>IFERROR(__xludf.DUMMYFUNCTION("""COMPUTED_VALUE"""),"Neto: 3,20 € (a partir de 1 uds.)")</f>
        <v>Neto: 3,20 € (a partir de 1 uds.)</v>
      </c>
    </row>
    <row r="104">
      <c r="A104" s="4" t="str">
        <f>IFERROR(__xludf.DUMMYFUNCTION("""COMPUTED_VALUE"""),"207")</f>
        <v>207</v>
      </c>
      <c r="B104" s="4" t="str">
        <f>IFERROR(__xludf.DUMMYFUNCTION("""COMPUTED_VALUE"""),"Cartel PVC 21x30 Fotolum. Lavaojos emerg. izq.")</f>
        <v>Cartel PVC 21x30 Fotolum. Lavaojos emerg. izq.</v>
      </c>
      <c r="C104" s="4">
        <f>IFERROR(__xludf.DUMMYFUNCTION("""COMPUTED_VALUE"""),2.6)</f>
        <v>2.6</v>
      </c>
      <c r="D104" s="4">
        <f>IFERROR(__xludf.DUMMYFUNCTION("""COMPUTED_VALUE"""),2.1)</f>
        <v>2.1</v>
      </c>
      <c r="E104" s="4" t="str">
        <f>IFERROR(__xludf.DUMMYFUNCTION("""COMPUTED_VALUE"""),"Neto: 2,10 € (a partir de 1 uds.)")</f>
        <v>Neto: 2,10 € (a partir de 1 uds.)</v>
      </c>
    </row>
    <row r="105">
      <c r="A105" s="4" t="str">
        <f>IFERROR(__xludf.DUMMYFUNCTION("""COMPUTED_VALUE"""),"0208A")</f>
        <v>0208A</v>
      </c>
      <c r="B105" s="4" t="str">
        <f>IFERROR(__xludf.DUMMYFUNCTION("""COMPUTED_VALUE"""),"Cartel PVC 21x30 Fotolum. Comedor")</f>
        <v>Cartel PVC 21x30 Fotolum. Comedor</v>
      </c>
      <c r="C105" s="4">
        <f>IFERROR(__xludf.DUMMYFUNCTION("""COMPUTED_VALUE"""),2.52)</f>
        <v>2.52</v>
      </c>
      <c r="D105" s="4">
        <f>IFERROR(__xludf.DUMMYFUNCTION("""COMPUTED_VALUE"""),2.1)</f>
        <v>2.1</v>
      </c>
      <c r="E105" s="4" t="str">
        <f>IFERROR(__xludf.DUMMYFUNCTION("""COMPUTED_VALUE"""),"Neto: 2,10 € (a partir de 1 uds.)")</f>
        <v>Neto: 2,10 € (a partir de 1 uds.)</v>
      </c>
    </row>
    <row r="106">
      <c r="A106" s="4" t="str">
        <f>IFERROR(__xludf.DUMMYFUNCTION("""COMPUTED_VALUE"""),"0208B")</f>
        <v>0208B</v>
      </c>
      <c r="B106" s="4" t="str">
        <f>IFERROR(__xludf.DUMMYFUNCTION("""COMPUTED_VALUE"""),"Cartel PVC 40x30 Fotolum. Comedor")</f>
        <v>Cartel PVC 40x30 Fotolum. Comedor</v>
      </c>
      <c r="C106" s="4">
        <f>IFERROR(__xludf.DUMMYFUNCTION("""COMPUTED_VALUE"""),3.1)</f>
        <v>3.1</v>
      </c>
      <c r="D106" s="4">
        <f>IFERROR(__xludf.DUMMYFUNCTION("""COMPUTED_VALUE"""),3.2)</f>
        <v>3.2</v>
      </c>
      <c r="E106" s="4" t="str">
        <f>IFERROR(__xludf.DUMMYFUNCTION("""COMPUTED_VALUE"""),"Neto: 3,20 € (a partir de 1 uds.)")</f>
        <v>Neto: 3,20 € (a partir de 1 uds.)</v>
      </c>
    </row>
    <row r="107">
      <c r="A107" s="4" t="str">
        <f>IFERROR(__xludf.DUMMYFUNCTION("""COMPUTED_VALUE"""),"0209A")</f>
        <v>0209A</v>
      </c>
      <c r="B107" s="4" t="str">
        <f>IFERROR(__xludf.DUMMYFUNCTION("""COMPUTED_VALUE"""),"Cartel PVC 21x30 Fotolum. Vestuario")</f>
        <v>Cartel PVC 21x30 Fotolum. Vestuario</v>
      </c>
      <c r="C107" s="4">
        <f>IFERROR(__xludf.DUMMYFUNCTION("""COMPUTED_VALUE"""),2.52)</f>
        <v>2.52</v>
      </c>
      <c r="D107" s="4">
        <f>IFERROR(__xludf.DUMMYFUNCTION("""COMPUTED_VALUE"""),2.1)</f>
        <v>2.1</v>
      </c>
      <c r="E107" s="4" t="str">
        <f>IFERROR(__xludf.DUMMYFUNCTION("""COMPUTED_VALUE"""),"Neto: 2,10 € (a partir de 1 uds.)")</f>
        <v>Neto: 2,10 € (a partir de 1 uds.)</v>
      </c>
    </row>
    <row r="108">
      <c r="A108" s="4" t="str">
        <f>IFERROR(__xludf.DUMMYFUNCTION("""COMPUTED_VALUE"""),"0209B")</f>
        <v>0209B</v>
      </c>
      <c r="B108" s="4" t="str">
        <f>IFERROR(__xludf.DUMMYFUNCTION("""COMPUTED_VALUE"""),"Cartel PVC 40x30 Fotolum. Vestuario")</f>
        <v>Cartel PVC 40x30 Fotolum. Vestuario</v>
      </c>
      <c r="C108" s="4">
        <f>IFERROR(__xludf.DUMMYFUNCTION("""COMPUTED_VALUE"""),3.1)</f>
        <v>3.1</v>
      </c>
      <c r="D108" s="4">
        <f>IFERROR(__xludf.DUMMYFUNCTION("""COMPUTED_VALUE"""),3.2)</f>
        <v>3.2</v>
      </c>
      <c r="E108" s="4" t="str">
        <f>IFERROR(__xludf.DUMMYFUNCTION("""COMPUTED_VALUE"""),"Neto: 3,20 € (a partir de 1 uds.)")</f>
        <v>Neto: 3,20 € (a partir de 1 uds.)</v>
      </c>
    </row>
    <row r="109">
      <c r="A109" s="4" t="str">
        <f>IFERROR(__xludf.DUMMYFUNCTION("""COMPUTED_VALUE"""),"210")</f>
        <v>210</v>
      </c>
      <c r="B109" s="4" t="str">
        <f>IFERROR(__xludf.DUMMYFUNCTION("""COMPUTED_VALUE"""),"Cartel PVC 40x30 Riesgo electrico")</f>
        <v>Cartel PVC 40x30 Riesgo electrico</v>
      </c>
      <c r="C109" s="4">
        <f>IFERROR(__xludf.DUMMYFUNCTION("""COMPUTED_VALUE"""),2.48)</f>
        <v>2.48</v>
      </c>
      <c r="D109" s="4">
        <f>IFERROR(__xludf.DUMMYFUNCTION("""COMPUTED_VALUE"""),1.8)</f>
        <v>1.8</v>
      </c>
      <c r="E109" s="4" t="str">
        <f>IFERROR(__xludf.DUMMYFUNCTION("""COMPUTED_VALUE"""),"Neto: 1,80 € (a partir de 1 uds.)")</f>
        <v>Neto: 1,80 € (a partir de 1 uds.)</v>
      </c>
    </row>
    <row r="110">
      <c r="A110" s="4" t="str">
        <f>IFERROR(__xludf.DUMMYFUNCTION("""COMPUTED_VALUE"""),"0210P")</f>
        <v>0210P</v>
      </c>
      <c r="B110" s="4" t="str">
        <f>IFERROR(__xludf.DUMMYFUNCTION("""COMPUTED_VALUE"""),"Cartel PVC 21x29 RIESGO ELECTRICO")</f>
        <v>Cartel PVC 21x29 RIESGO ELECTRICO</v>
      </c>
      <c r="C110" s="4">
        <f>IFERROR(__xludf.DUMMYFUNCTION("""COMPUTED_VALUE"""),1.6)</f>
        <v>1.6</v>
      </c>
      <c r="D110" s="4">
        <f>IFERROR(__xludf.DUMMYFUNCTION("""COMPUTED_VALUE"""),1.2)</f>
        <v>1.2</v>
      </c>
      <c r="E110" s="4" t="str">
        <f>IFERROR(__xludf.DUMMYFUNCTION("""COMPUTED_VALUE"""),"Neto: 1,20 € (a partir de 1 uds.)")</f>
        <v>Neto: 1,20 € (a partir de 1 uds.)</v>
      </c>
    </row>
    <row r="111">
      <c r="A111" s="4" t="str">
        <f>IFERROR(__xludf.DUMMYFUNCTION("""COMPUTED_VALUE"""),"211")</f>
        <v>211</v>
      </c>
      <c r="B111" s="4" t="str">
        <f>IFERROR(__xludf.DUMMYFUNCTION("""COMPUTED_VALUE"""),"Cartel PVC 40x30 Carga suspendida")</f>
        <v>Cartel PVC 40x30 Carga suspendida</v>
      </c>
      <c r="C111" s="4">
        <f>IFERROR(__xludf.DUMMYFUNCTION("""COMPUTED_VALUE"""),2.48)</f>
        <v>2.48</v>
      </c>
      <c r="D111" s="4">
        <f>IFERROR(__xludf.DUMMYFUNCTION("""COMPUTED_VALUE"""),1.8)</f>
        <v>1.8</v>
      </c>
      <c r="E111" s="4" t="str">
        <f>IFERROR(__xludf.DUMMYFUNCTION("""COMPUTED_VALUE"""),"Neto: 1,80 € (a partir de 1 uds.)")</f>
        <v>Neto: 1,80 € (a partir de 1 uds.)</v>
      </c>
    </row>
    <row r="112">
      <c r="A112" s="4" t="str">
        <f>IFERROR(__xludf.DUMMYFUNCTION("""COMPUTED_VALUE"""),"0211P")</f>
        <v>0211P</v>
      </c>
      <c r="B112" s="4" t="str">
        <f>IFERROR(__xludf.DUMMYFUNCTION("""COMPUTED_VALUE"""),"Cartel PVC 21x29 RIESGO CARGA SUSPENDIDA")</f>
        <v>Cartel PVC 21x29 RIESGO CARGA SUSPENDIDA</v>
      </c>
      <c r="C112" s="4">
        <f>IFERROR(__xludf.DUMMYFUNCTION("""COMPUTED_VALUE"""),1.6)</f>
        <v>1.6</v>
      </c>
      <c r="D112" s="4">
        <f>IFERROR(__xludf.DUMMYFUNCTION("""COMPUTED_VALUE"""),1.2)</f>
        <v>1.2</v>
      </c>
      <c r="E112" s="4" t="str">
        <f>IFERROR(__xludf.DUMMYFUNCTION("""COMPUTED_VALUE"""),"Neto: 1,20 € (a partir de 1 uds.)")</f>
        <v>Neto: 1,20 € (a partir de 1 uds.)</v>
      </c>
    </row>
    <row r="113">
      <c r="A113" s="4" t="str">
        <f>IFERROR(__xludf.DUMMYFUNCTION("""COMPUTED_VALUE"""),"212")</f>
        <v>212</v>
      </c>
      <c r="B113" s="4" t="str">
        <f>IFERROR(__xludf.DUMMYFUNCTION("""COMPUTED_VALUE"""),"Cartel PVC 40x30 Materias corrosivas")</f>
        <v>Cartel PVC 40x30 Materias corrosivas</v>
      </c>
      <c r="C113" s="4">
        <f>IFERROR(__xludf.DUMMYFUNCTION("""COMPUTED_VALUE"""),2.48)</f>
        <v>2.48</v>
      </c>
      <c r="D113" s="4">
        <f>IFERROR(__xludf.DUMMYFUNCTION("""COMPUTED_VALUE"""),1.8)</f>
        <v>1.8</v>
      </c>
      <c r="E113" s="4" t="str">
        <f>IFERROR(__xludf.DUMMYFUNCTION("""COMPUTED_VALUE"""),"Neto: 1,80 € (a partir de 1 uds.)")</f>
        <v>Neto: 1,80 € (a partir de 1 uds.)</v>
      </c>
    </row>
    <row r="114">
      <c r="A114" s="4" t="str">
        <f>IFERROR(__xludf.DUMMYFUNCTION("""COMPUTED_VALUE"""),"0212P")</f>
        <v>0212P</v>
      </c>
      <c r="B114" s="4" t="str">
        <f>IFERROR(__xludf.DUMMYFUNCTION("""COMPUTED_VALUE"""),"Cartel PVC 21x29 RIESGO MATERIAS CORROSIVAS")</f>
        <v>Cartel PVC 21x29 RIESGO MATERIAS CORROSIVAS</v>
      </c>
      <c r="C114" s="4">
        <f>IFERROR(__xludf.DUMMYFUNCTION("""COMPUTED_VALUE"""),1.6)</f>
        <v>1.6</v>
      </c>
      <c r="D114" s="4">
        <f>IFERROR(__xludf.DUMMYFUNCTION("""COMPUTED_VALUE"""),1.2)</f>
        <v>1.2</v>
      </c>
      <c r="E114" s="4" t="str">
        <f>IFERROR(__xludf.DUMMYFUNCTION("""COMPUTED_VALUE"""),"Neto: 1,20 € (a partir de 1 uds.)")</f>
        <v>Neto: 1,20 € (a partir de 1 uds.)</v>
      </c>
    </row>
    <row r="115">
      <c r="A115" s="4" t="str">
        <f>IFERROR(__xludf.DUMMYFUNCTION("""COMPUTED_VALUE"""),"213")</f>
        <v>213</v>
      </c>
      <c r="B115" s="4" t="str">
        <f>IFERROR(__xludf.DUMMYFUNCTION("""COMPUTED_VALUE"""),"Cartel PVC 40x30 Vehículo Manutención")</f>
        <v>Cartel PVC 40x30 Vehículo Manutención</v>
      </c>
      <c r="C115" s="4">
        <f>IFERROR(__xludf.DUMMYFUNCTION("""COMPUTED_VALUE"""),2.48)</f>
        <v>2.48</v>
      </c>
      <c r="D115" s="4">
        <f>IFERROR(__xludf.DUMMYFUNCTION("""COMPUTED_VALUE"""),1.8)</f>
        <v>1.8</v>
      </c>
      <c r="E115" s="4" t="str">
        <f>IFERROR(__xludf.DUMMYFUNCTION("""COMPUTED_VALUE"""),"Neto: 1,80 € (a partir de 1 uds.)")</f>
        <v>Neto: 1,80 € (a partir de 1 uds.)</v>
      </c>
    </row>
    <row r="116">
      <c r="A116" s="4" t="str">
        <f>IFERROR(__xludf.DUMMYFUNCTION("""COMPUTED_VALUE"""),"0213P")</f>
        <v>0213P</v>
      </c>
      <c r="B116" s="4" t="str">
        <f>IFERROR(__xludf.DUMMYFUNCTION("""COMPUTED_VALUE"""),"Cartel PVC 21x29 VEHICULOS DE MANUTENCION")</f>
        <v>Cartel PVC 21x29 VEHICULOS DE MANUTENCION</v>
      </c>
      <c r="C116" s="4">
        <f>IFERROR(__xludf.DUMMYFUNCTION("""COMPUTED_VALUE"""),1.6)</f>
        <v>1.6</v>
      </c>
      <c r="D116" s="4">
        <f>IFERROR(__xludf.DUMMYFUNCTION("""COMPUTED_VALUE"""),1.2)</f>
        <v>1.2</v>
      </c>
      <c r="E116" s="4" t="str">
        <f>IFERROR(__xludf.DUMMYFUNCTION("""COMPUTED_VALUE"""),"Neto: 1,20 € (a partir de 1 uds.)")</f>
        <v>Neto: 1,20 € (a partir de 1 uds.)</v>
      </c>
    </row>
    <row r="117">
      <c r="A117" s="4" t="str">
        <f>IFERROR(__xludf.DUMMYFUNCTION("""COMPUTED_VALUE"""),"214")</f>
        <v>214</v>
      </c>
      <c r="B117" s="4" t="str">
        <f>IFERROR(__xludf.DUMMYFUNCTION("""COMPUTED_VALUE"""),"Cartel PVC 40x30 Caida distinto nivel")</f>
        <v>Cartel PVC 40x30 Caida distinto nivel</v>
      </c>
      <c r="C117" s="4">
        <f>IFERROR(__xludf.DUMMYFUNCTION("""COMPUTED_VALUE"""),2.48)</f>
        <v>2.48</v>
      </c>
      <c r="D117" s="4">
        <f>IFERROR(__xludf.DUMMYFUNCTION("""COMPUTED_VALUE"""),1.8)</f>
        <v>1.8</v>
      </c>
      <c r="E117" s="4" t="str">
        <f>IFERROR(__xludf.DUMMYFUNCTION("""COMPUTED_VALUE"""),"Neto: 1,80 € (a partir de 1 uds.)")</f>
        <v>Neto: 1,80 € (a partir de 1 uds.)</v>
      </c>
    </row>
    <row r="118">
      <c r="A118" s="4" t="str">
        <f>IFERROR(__xludf.DUMMYFUNCTION("""COMPUTED_VALUE"""),"0214P")</f>
        <v>0214P</v>
      </c>
      <c r="B118" s="4" t="str">
        <f>IFERROR(__xludf.DUMMYFUNCTION("""COMPUTED_VALUE"""),"Cartel PVC 21x29 CAIDA A DISTINTO NIVEL")</f>
        <v>Cartel PVC 21x29 CAIDA A DISTINTO NIVEL</v>
      </c>
      <c r="C118" s="4">
        <f>IFERROR(__xludf.DUMMYFUNCTION("""COMPUTED_VALUE"""),1.6)</f>
        <v>1.6</v>
      </c>
      <c r="D118" s="4">
        <f>IFERROR(__xludf.DUMMYFUNCTION("""COMPUTED_VALUE"""),1.2)</f>
        <v>1.2</v>
      </c>
      <c r="E118" s="4" t="str">
        <f>IFERROR(__xludf.DUMMYFUNCTION("""COMPUTED_VALUE"""),"Neto: 1,20 € (a partir de 1 uds.)")</f>
        <v>Neto: 1,20 € (a partir de 1 uds.)</v>
      </c>
    </row>
    <row r="119">
      <c r="A119" s="4" t="str">
        <f>IFERROR(__xludf.DUMMYFUNCTION("""COMPUTED_VALUE"""),"215")</f>
        <v>215</v>
      </c>
      <c r="B119" s="4" t="str">
        <f>IFERROR(__xludf.DUMMYFUNCTION("""COMPUTED_VALUE"""),"Cartel PVC 40x30 Riesgo tropezar")</f>
        <v>Cartel PVC 40x30 Riesgo tropezar</v>
      </c>
      <c r="C119" s="4">
        <f>IFERROR(__xludf.DUMMYFUNCTION("""COMPUTED_VALUE"""),2.48)</f>
        <v>2.48</v>
      </c>
      <c r="D119" s="4">
        <f>IFERROR(__xludf.DUMMYFUNCTION("""COMPUTED_VALUE"""),1.8)</f>
        <v>1.8</v>
      </c>
      <c r="E119" s="4" t="str">
        <f>IFERROR(__xludf.DUMMYFUNCTION("""COMPUTED_VALUE"""),"Neto: 1,80 € (a partir de 1 uds.)")</f>
        <v>Neto: 1,80 € (a partir de 1 uds.)</v>
      </c>
    </row>
    <row r="120">
      <c r="A120" s="4" t="str">
        <f>IFERROR(__xludf.DUMMYFUNCTION("""COMPUTED_VALUE"""),"0215P")</f>
        <v>0215P</v>
      </c>
      <c r="B120" s="4" t="str">
        <f>IFERROR(__xludf.DUMMYFUNCTION("""COMPUTED_VALUE"""),"Cartel PVC 21x29 RIESGO DE TROPEZAR")</f>
        <v>Cartel PVC 21x29 RIESGO DE TROPEZAR</v>
      </c>
      <c r="C120" s="4">
        <f>IFERROR(__xludf.DUMMYFUNCTION("""COMPUTED_VALUE"""),1.6)</f>
        <v>1.6</v>
      </c>
      <c r="D120" s="4">
        <f>IFERROR(__xludf.DUMMYFUNCTION("""COMPUTED_VALUE"""),1.2)</f>
        <v>1.2</v>
      </c>
      <c r="E120" s="4" t="str">
        <f>IFERROR(__xludf.DUMMYFUNCTION("""COMPUTED_VALUE"""),"Neto: 1,20 € (a partir de 1 uds.)")</f>
        <v>Neto: 1,20 € (a partir de 1 uds.)</v>
      </c>
    </row>
    <row r="121">
      <c r="A121" s="4" t="str">
        <f>IFERROR(__xludf.DUMMYFUNCTION("""COMPUTED_VALUE"""),"216")</f>
        <v>216</v>
      </c>
      <c r="B121" s="4" t="str">
        <f>IFERROR(__xludf.DUMMYFUNCTION("""COMPUTED_VALUE"""),"Cartel PVC 40x30 Materias comburentes")</f>
        <v>Cartel PVC 40x30 Materias comburentes</v>
      </c>
      <c r="C121" s="4">
        <f>IFERROR(__xludf.DUMMYFUNCTION("""COMPUTED_VALUE"""),2.48)</f>
        <v>2.48</v>
      </c>
      <c r="D121" s="4">
        <f>IFERROR(__xludf.DUMMYFUNCTION("""COMPUTED_VALUE"""),1.8)</f>
        <v>1.8</v>
      </c>
      <c r="E121" s="4" t="str">
        <f>IFERROR(__xludf.DUMMYFUNCTION("""COMPUTED_VALUE"""),"Neto: 1,80 € (a partir de 1 uds.)")</f>
        <v>Neto: 1,80 € (a partir de 1 uds.)</v>
      </c>
    </row>
    <row r="122">
      <c r="A122" s="4" t="str">
        <f>IFERROR(__xludf.DUMMYFUNCTION("""COMPUTED_VALUE"""),"0216P")</f>
        <v>0216P</v>
      </c>
      <c r="B122" s="4" t="str">
        <f>IFERROR(__xludf.DUMMYFUNCTION("""COMPUTED_VALUE"""),"Cartel PVC 21x29 MATERIAS COMBURENTES")</f>
        <v>Cartel PVC 21x29 MATERIAS COMBURENTES</v>
      </c>
      <c r="C122" s="4">
        <f>IFERROR(__xludf.DUMMYFUNCTION("""COMPUTED_VALUE"""),1.6)</f>
        <v>1.6</v>
      </c>
      <c r="D122" s="4">
        <f>IFERROR(__xludf.DUMMYFUNCTION("""COMPUTED_VALUE"""),1.2)</f>
        <v>1.2</v>
      </c>
      <c r="E122" s="4" t="str">
        <f>IFERROR(__xludf.DUMMYFUNCTION("""COMPUTED_VALUE"""),"Neto: 1,20 € (a partir de 1 uds.)")</f>
        <v>Neto: 1,20 € (a partir de 1 uds.)</v>
      </c>
    </row>
    <row r="123">
      <c r="A123" s="4" t="str">
        <f>IFERROR(__xludf.DUMMYFUNCTION("""COMPUTED_VALUE"""),"217")</f>
        <v>217</v>
      </c>
      <c r="B123" s="4" t="str">
        <f>IFERROR(__xludf.DUMMYFUNCTION("""COMPUTED_VALUE"""),"Cartel PVC 40x30 Materias Toxicas")</f>
        <v>Cartel PVC 40x30 Materias Toxicas</v>
      </c>
      <c r="C123" s="4">
        <f>IFERROR(__xludf.DUMMYFUNCTION("""COMPUTED_VALUE"""),2.48)</f>
        <v>2.48</v>
      </c>
      <c r="D123" s="4">
        <f>IFERROR(__xludf.DUMMYFUNCTION("""COMPUTED_VALUE"""),1.8)</f>
        <v>1.8</v>
      </c>
      <c r="E123" s="4" t="str">
        <f>IFERROR(__xludf.DUMMYFUNCTION("""COMPUTED_VALUE"""),"Neto: 1,80 € (a partir de 1 uds.)")</f>
        <v>Neto: 1,80 € (a partir de 1 uds.)</v>
      </c>
    </row>
    <row r="124">
      <c r="A124" s="4" t="str">
        <f>IFERROR(__xludf.DUMMYFUNCTION("""COMPUTED_VALUE"""),"0217P")</f>
        <v>0217P</v>
      </c>
      <c r="B124" s="4" t="str">
        <f>IFERROR(__xludf.DUMMYFUNCTION("""COMPUTED_VALUE"""),"Cartel PVC 21x29 MATERIAS TOXICAS")</f>
        <v>Cartel PVC 21x29 MATERIAS TOXICAS</v>
      </c>
      <c r="C124" s="4">
        <f>IFERROR(__xludf.DUMMYFUNCTION("""COMPUTED_VALUE"""),1.6)</f>
        <v>1.6</v>
      </c>
      <c r="D124" s="4">
        <f>IFERROR(__xludf.DUMMYFUNCTION("""COMPUTED_VALUE"""),1.2)</f>
        <v>1.2</v>
      </c>
      <c r="E124" s="4" t="str">
        <f>IFERROR(__xludf.DUMMYFUNCTION("""COMPUTED_VALUE"""),"Neto: 1,20 € (a partir de 1 uds.)")</f>
        <v>Neto: 1,20 € (a partir de 1 uds.)</v>
      </c>
    </row>
    <row r="125">
      <c r="A125" s="4" t="str">
        <f>IFERROR(__xludf.DUMMYFUNCTION("""COMPUTED_VALUE"""),"218")</f>
        <v>218</v>
      </c>
      <c r="B125" s="4" t="str">
        <f>IFERROR(__xludf.DUMMYFUNCTION("""COMPUTED_VALUE"""),"Cartel PVC 40x30 Campo Magnetico")</f>
        <v>Cartel PVC 40x30 Campo Magnetico</v>
      </c>
      <c r="C125" s="4">
        <f>IFERROR(__xludf.DUMMYFUNCTION("""COMPUTED_VALUE"""),2.48)</f>
        <v>2.48</v>
      </c>
      <c r="D125" s="4">
        <f>IFERROR(__xludf.DUMMYFUNCTION("""COMPUTED_VALUE"""),1.8)</f>
        <v>1.8</v>
      </c>
      <c r="E125" s="4" t="str">
        <f>IFERROR(__xludf.DUMMYFUNCTION("""COMPUTED_VALUE"""),"Neto: 1,80 € (a partir de 1 uds.)")</f>
        <v>Neto: 1,80 € (a partir de 1 uds.)</v>
      </c>
    </row>
    <row r="126">
      <c r="A126" s="4" t="str">
        <f>IFERROR(__xludf.DUMMYFUNCTION("""COMPUTED_VALUE"""),"0218P")</f>
        <v>0218P</v>
      </c>
      <c r="B126" s="4" t="str">
        <f>IFERROR(__xludf.DUMMYFUNCTION("""COMPUTED_VALUE"""),"Cartel PVC 21x29 CAMPO MAGNETICO INTENSO")</f>
        <v>Cartel PVC 21x29 CAMPO MAGNETICO INTENSO</v>
      </c>
      <c r="C126" s="4">
        <f>IFERROR(__xludf.DUMMYFUNCTION("""COMPUTED_VALUE"""),1.6)</f>
        <v>1.6</v>
      </c>
      <c r="D126" s="4">
        <f>IFERROR(__xludf.DUMMYFUNCTION("""COMPUTED_VALUE"""),1.2)</f>
        <v>1.2</v>
      </c>
      <c r="E126" s="4" t="str">
        <f>IFERROR(__xludf.DUMMYFUNCTION("""COMPUTED_VALUE"""),"Neto: 1,20 € (a partir de 1 uds.)")</f>
        <v>Neto: 1,20 € (a partir de 1 uds.)</v>
      </c>
    </row>
    <row r="127">
      <c r="A127" s="4" t="str">
        <f>IFERROR(__xludf.DUMMYFUNCTION("""COMPUTED_VALUE"""),"219")</f>
        <v>219</v>
      </c>
      <c r="B127" s="4" t="str">
        <f>IFERROR(__xludf.DUMMYFUNCTION("""COMPUTED_VALUE"""),"Cartel PVC 40x30 Materias Inflamables")</f>
        <v>Cartel PVC 40x30 Materias Inflamables</v>
      </c>
      <c r="C127" s="4">
        <f>IFERROR(__xludf.DUMMYFUNCTION("""COMPUTED_VALUE"""),2.48)</f>
        <v>2.48</v>
      </c>
      <c r="D127" s="4">
        <f>IFERROR(__xludf.DUMMYFUNCTION("""COMPUTED_VALUE"""),1.8)</f>
        <v>1.8</v>
      </c>
      <c r="E127" s="4" t="str">
        <f>IFERROR(__xludf.DUMMYFUNCTION("""COMPUTED_VALUE"""),"Neto: 1,80 € (a partir de 1 uds.)")</f>
        <v>Neto: 1,80 € (a partir de 1 uds.)</v>
      </c>
    </row>
    <row r="128">
      <c r="A128" s="4" t="str">
        <f>IFERROR(__xludf.DUMMYFUNCTION("""COMPUTED_VALUE"""),"0219P")</f>
        <v>0219P</v>
      </c>
      <c r="B128" s="4" t="str">
        <f>IFERROR(__xludf.DUMMYFUNCTION("""COMPUTED_VALUE"""),"Cartel PVC 21x29 MATERIAS INFLAMABLES")</f>
        <v>Cartel PVC 21x29 MATERIAS INFLAMABLES</v>
      </c>
      <c r="C128" s="4">
        <f>IFERROR(__xludf.DUMMYFUNCTION("""COMPUTED_VALUE"""),1.6)</f>
        <v>1.6</v>
      </c>
      <c r="D128" s="4">
        <f>IFERROR(__xludf.DUMMYFUNCTION("""COMPUTED_VALUE"""),1.2)</f>
        <v>1.2</v>
      </c>
      <c r="E128" s="4" t="str">
        <f>IFERROR(__xludf.DUMMYFUNCTION("""COMPUTED_VALUE"""),"Neto: 1,20 € (a partir de 1 uds.)")</f>
        <v>Neto: 1,20 € (a partir de 1 uds.)</v>
      </c>
    </row>
    <row r="129">
      <c r="A129" s="4" t="str">
        <f>IFERROR(__xludf.DUMMYFUNCTION("""COMPUTED_VALUE"""),"220")</f>
        <v>220</v>
      </c>
      <c r="B129" s="4" t="str">
        <f>IFERROR(__xludf.DUMMYFUNCTION("""COMPUTED_VALUE"""),"Cartel PVC 40x30 OBLIG.USO CASC+")</f>
        <v>Cartel PVC 40x30 OBLIG.USO CASC+</v>
      </c>
      <c r="C129" s="4">
        <f>IFERROR(__xludf.DUMMYFUNCTION("""COMPUTED_VALUE"""),2.48)</f>
        <v>2.48</v>
      </c>
      <c r="D129" s="4">
        <f>IFERROR(__xludf.DUMMYFUNCTION("""COMPUTED_VALUE"""),1.8)</f>
        <v>1.8</v>
      </c>
      <c r="E129" s="4" t="str">
        <f>IFERROR(__xludf.DUMMYFUNCTION("""COMPUTED_VALUE"""),"Neto: 1,80 € (a partir de 1 uds.)")</f>
        <v>Neto: 1,80 € (a partir de 1 uds.)</v>
      </c>
    </row>
    <row r="130">
      <c r="A130" s="4" t="str">
        <f>IFERROR(__xludf.DUMMYFUNCTION("""COMPUTED_VALUE"""),"0220P")</f>
        <v>0220P</v>
      </c>
      <c r="B130" s="4" t="str">
        <f>IFERROR(__xludf.DUMMYFUNCTION("""COMPUTED_VALUE"""),"Cartel PVC 21x29 USO OBLIGATORIO DEL CASCO")</f>
        <v>Cartel PVC 21x29 USO OBLIGATORIO DEL CASCO</v>
      </c>
      <c r="C130" s="4">
        <f>IFERROR(__xludf.DUMMYFUNCTION("""COMPUTED_VALUE"""),1.6)</f>
        <v>1.6</v>
      </c>
      <c r="D130" s="4">
        <f>IFERROR(__xludf.DUMMYFUNCTION("""COMPUTED_VALUE"""),1.2)</f>
        <v>1.2</v>
      </c>
      <c r="E130" s="4" t="str">
        <f>IFERROR(__xludf.DUMMYFUNCTION("""COMPUTED_VALUE"""),"Neto: 1,20 € (a partir de 1 uds.)")</f>
        <v>Neto: 1,20 € (a partir de 1 uds.)</v>
      </c>
    </row>
    <row r="131">
      <c r="A131" s="4" t="str">
        <f>IFERROR(__xludf.DUMMYFUNCTION("""COMPUTED_VALUE"""),"221")</f>
        <v>221</v>
      </c>
      <c r="B131" s="4" t="str">
        <f>IFERROR(__xludf.DUMMYFUNCTION("""COMPUTED_VALUE"""),"Cartel PVC 40x30 OBLIG.USO BOTA+")</f>
        <v>Cartel PVC 40x30 OBLIG.USO BOTA+</v>
      </c>
      <c r="C131" s="4">
        <f>IFERROR(__xludf.DUMMYFUNCTION("""COMPUTED_VALUE"""),2.48)</f>
        <v>2.48</v>
      </c>
      <c r="D131" s="4">
        <f>IFERROR(__xludf.DUMMYFUNCTION("""COMPUTED_VALUE"""),1.8)</f>
        <v>1.8</v>
      </c>
      <c r="E131" s="4" t="str">
        <f>IFERROR(__xludf.DUMMYFUNCTION("""COMPUTED_VALUE"""),"Neto: 1,80 € (a partir de 1 uds.)")</f>
        <v>Neto: 1,80 € (a partir de 1 uds.)</v>
      </c>
    </row>
    <row r="132">
      <c r="A132" s="4" t="str">
        <f>IFERROR(__xludf.DUMMYFUNCTION("""COMPUTED_VALUE"""),"0221P")</f>
        <v>0221P</v>
      </c>
      <c r="B132" s="4" t="str">
        <f>IFERROR(__xludf.DUMMYFUNCTION("""COMPUTED_VALUE"""),"Cartel PVC 21x29 USO OBLIGATORIO DE LAS BOTAS")</f>
        <v>Cartel PVC 21x29 USO OBLIGATORIO DE LAS BOTAS</v>
      </c>
      <c r="C132" s="4">
        <f>IFERROR(__xludf.DUMMYFUNCTION("""COMPUTED_VALUE"""),1.6)</f>
        <v>1.6</v>
      </c>
      <c r="D132" s="4">
        <f>IFERROR(__xludf.DUMMYFUNCTION("""COMPUTED_VALUE"""),1.2)</f>
        <v>1.2</v>
      </c>
      <c r="E132" s="4" t="str">
        <f>IFERROR(__xludf.DUMMYFUNCTION("""COMPUTED_VALUE"""),"Neto: 1,20 € (a partir de 1 uds.)")</f>
        <v>Neto: 1,20 € (a partir de 1 uds.)</v>
      </c>
    </row>
    <row r="133">
      <c r="A133" s="4" t="str">
        <f>IFERROR(__xludf.DUMMYFUNCTION("""COMPUTED_VALUE"""),"222")</f>
        <v>222</v>
      </c>
      <c r="B133" s="4" t="str">
        <f>IFERROR(__xludf.DUMMYFUNCTION("""COMPUTED_VALUE"""),"Cartel PVC 40x30 OBLIG.USO GUAN+E")</f>
        <v>Cartel PVC 40x30 OBLIG.USO GUAN+E</v>
      </c>
      <c r="C133" s="4">
        <f>IFERROR(__xludf.DUMMYFUNCTION("""COMPUTED_VALUE"""),2.48)</f>
        <v>2.48</v>
      </c>
      <c r="D133" s="4">
        <f>IFERROR(__xludf.DUMMYFUNCTION("""COMPUTED_VALUE"""),1.8)</f>
        <v>1.8</v>
      </c>
      <c r="E133" s="4" t="str">
        <f>IFERROR(__xludf.DUMMYFUNCTION("""COMPUTED_VALUE"""),"Neto: 1,80 € (a partir de 1 uds.)")</f>
        <v>Neto: 1,80 € (a partir de 1 uds.)</v>
      </c>
    </row>
    <row r="134">
      <c r="A134" s="4" t="str">
        <f>IFERROR(__xludf.DUMMYFUNCTION("""COMPUTED_VALUE"""),"0222P")</f>
        <v>0222P</v>
      </c>
      <c r="B134" s="4" t="str">
        <f>IFERROR(__xludf.DUMMYFUNCTION("""COMPUTED_VALUE"""),"Cartel PVC 21x29 USO OBLIGATORIO DE GUANTES")</f>
        <v>Cartel PVC 21x29 USO OBLIGATORIO DE GUANTES</v>
      </c>
      <c r="C134" s="4">
        <f>IFERROR(__xludf.DUMMYFUNCTION("""COMPUTED_VALUE"""),1.6)</f>
        <v>1.6</v>
      </c>
      <c r="D134" s="4">
        <f>IFERROR(__xludf.DUMMYFUNCTION("""COMPUTED_VALUE"""),1.2)</f>
        <v>1.2</v>
      </c>
      <c r="E134" s="4" t="str">
        <f>IFERROR(__xludf.DUMMYFUNCTION("""COMPUTED_VALUE"""),"Neto: 1,20 € (a partir de 1 uds.)")</f>
        <v>Neto: 1,20 € (a partir de 1 uds.)</v>
      </c>
    </row>
    <row r="135">
      <c r="A135" s="4" t="str">
        <f>IFERROR(__xludf.DUMMYFUNCTION("""COMPUTED_VALUE"""),"223")</f>
        <v>223</v>
      </c>
      <c r="B135" s="4" t="str">
        <f>IFERROR(__xludf.DUMMYFUNCTION("""COMPUTED_VALUE"""),"Cartel PVC 40x30 OBLIG.PROT.ACU+T")</f>
        <v>Cartel PVC 40x30 OBLIG.PROT.ACU+T</v>
      </c>
      <c r="C135" s="4">
        <f>IFERROR(__xludf.DUMMYFUNCTION("""COMPUTED_VALUE"""),2.48)</f>
        <v>2.48</v>
      </c>
      <c r="D135" s="4">
        <f>IFERROR(__xludf.DUMMYFUNCTION("""COMPUTED_VALUE"""),1.8)</f>
        <v>1.8</v>
      </c>
      <c r="E135" s="4" t="str">
        <f>IFERROR(__xludf.DUMMYFUNCTION("""COMPUTED_VALUE"""),"Neto: 1,80 € (a partir de 1 uds.)")</f>
        <v>Neto: 1,80 € (a partir de 1 uds.)</v>
      </c>
    </row>
    <row r="136">
      <c r="A136" s="4" t="str">
        <f>IFERROR(__xludf.DUMMYFUNCTION("""COMPUTED_VALUE"""),"0223P")</f>
        <v>0223P</v>
      </c>
      <c r="B136" s="4" t="str">
        <f>IFERROR(__xludf.DUMMYFUNCTION("""COMPUTED_VALUE"""),"Cartel PVC 21x29 USO OBLIGATORIO PROTECCION")</f>
        <v>Cartel PVC 21x29 USO OBLIGATORIO PROTECCION</v>
      </c>
      <c r="C136" s="4">
        <f>IFERROR(__xludf.DUMMYFUNCTION("""COMPUTED_VALUE"""),1.6)</f>
        <v>1.6</v>
      </c>
      <c r="D136" s="4">
        <f>IFERROR(__xludf.DUMMYFUNCTION("""COMPUTED_VALUE"""),1.2)</f>
        <v>1.2</v>
      </c>
      <c r="E136" s="4" t="str">
        <f>IFERROR(__xludf.DUMMYFUNCTION("""COMPUTED_VALUE"""),"Neto: 1,20 € (a partir de 1 uds.)")</f>
        <v>Neto: 1,20 € (a partir de 1 uds.)</v>
      </c>
    </row>
    <row r="137">
      <c r="A137" s="4" t="str">
        <f>IFERROR(__xludf.DUMMYFUNCTION("""COMPUTED_VALUE"""),"224")</f>
        <v>224</v>
      </c>
      <c r="B137" s="4" t="str">
        <f>IFERROR(__xludf.DUMMYFUNCTION("""COMPUTED_VALUE"""),"Cartel PVC 40x30 OBLIG.USO MASC +")</f>
        <v>Cartel PVC 40x30 OBLIG.USO MASC +</v>
      </c>
      <c r="C137" s="4">
        <f>IFERROR(__xludf.DUMMYFUNCTION("""COMPUTED_VALUE"""),2.48)</f>
        <v>2.48</v>
      </c>
      <c r="D137" s="4">
        <f>IFERROR(__xludf.DUMMYFUNCTION("""COMPUTED_VALUE"""),1.8)</f>
        <v>1.8</v>
      </c>
      <c r="E137" s="4" t="str">
        <f>IFERROR(__xludf.DUMMYFUNCTION("""COMPUTED_VALUE"""),"Neto: 1,80 € (a partir de 1 uds.)")</f>
        <v>Neto: 1,80 € (a partir de 1 uds.)</v>
      </c>
    </row>
    <row r="138">
      <c r="A138" s="4" t="str">
        <f>IFERROR(__xludf.DUMMYFUNCTION("""COMPUTED_VALUE"""),"0224P")</f>
        <v>0224P</v>
      </c>
      <c r="B138" s="4" t="str">
        <f>IFERROR(__xludf.DUMMYFUNCTION("""COMPUTED_VALUE"""),"Cartel PVC 21x29 OBLIGATORIO EL USO DE LA MASCARA")</f>
        <v>Cartel PVC 21x29 OBLIGATORIO EL USO DE LA MASCARA</v>
      </c>
      <c r="C138" s="4">
        <f>IFERROR(__xludf.DUMMYFUNCTION("""COMPUTED_VALUE"""),1.6)</f>
        <v>1.6</v>
      </c>
      <c r="D138" s="4">
        <f>IFERROR(__xludf.DUMMYFUNCTION("""COMPUTED_VALUE"""),1.2)</f>
        <v>1.2</v>
      </c>
      <c r="E138" s="4" t="str">
        <f>IFERROR(__xludf.DUMMYFUNCTION("""COMPUTED_VALUE"""),"Neto: 1,20 € (a partir de 1 uds.)")</f>
        <v>Neto: 1,20 € (a partir de 1 uds.)</v>
      </c>
    </row>
    <row r="139">
      <c r="A139" s="4" t="str">
        <f>IFERROR(__xludf.DUMMYFUNCTION("""COMPUTED_VALUE"""),"225")</f>
        <v>225</v>
      </c>
      <c r="B139" s="4" t="str">
        <f>IFERROR(__xludf.DUMMYFUNCTION("""COMPUTED_VALUE"""),"Cartel PVC 40x30 OBLIG.PANT.PRO+E")</f>
        <v>Cartel PVC 40x30 OBLIG.PANT.PRO+E</v>
      </c>
      <c r="C139" s="4">
        <f>IFERROR(__xludf.DUMMYFUNCTION("""COMPUTED_VALUE"""),2.48)</f>
        <v>2.48</v>
      </c>
      <c r="D139" s="4">
        <f>IFERROR(__xludf.DUMMYFUNCTION("""COMPUTED_VALUE"""),1.8)</f>
        <v>1.8</v>
      </c>
      <c r="E139" s="4" t="str">
        <f>IFERROR(__xludf.DUMMYFUNCTION("""COMPUTED_VALUE"""),"Neto: 1,80 € (a partir de 1 uds.)")</f>
        <v>Neto: 1,80 € (a partir de 1 uds.)</v>
      </c>
    </row>
    <row r="140">
      <c r="A140" s="4" t="str">
        <f>IFERROR(__xludf.DUMMYFUNCTION("""COMPUTED_VALUE"""),"0225P")</f>
        <v>0225P</v>
      </c>
      <c r="B140" s="4" t="str">
        <f>IFERROR(__xludf.DUMMYFUNCTION("""COMPUTED_VALUE"""),"Cartel PVC 21x29 OBLIGATORIO USO PANTALLA")</f>
        <v>Cartel PVC 21x29 OBLIGATORIO USO PANTALLA</v>
      </c>
      <c r="C140" s="4">
        <f>IFERROR(__xludf.DUMMYFUNCTION("""COMPUTED_VALUE"""),1.6)</f>
        <v>1.6</v>
      </c>
      <c r="D140" s="4">
        <f>IFERROR(__xludf.DUMMYFUNCTION("""COMPUTED_VALUE"""),1.2)</f>
        <v>1.2</v>
      </c>
      <c r="E140" s="4" t="str">
        <f>IFERROR(__xludf.DUMMYFUNCTION("""COMPUTED_VALUE"""),"Neto: 1,20 € (a partir de 1 uds.)")</f>
        <v>Neto: 1,20 € (a partir de 1 uds.)</v>
      </c>
    </row>
    <row r="141">
      <c r="A141" s="4" t="str">
        <f>IFERROR(__xludf.DUMMYFUNCTION("""COMPUTED_VALUE"""),"226")</f>
        <v>226</v>
      </c>
      <c r="B141" s="4" t="str">
        <f>IFERROR(__xludf.DUMMYFUNCTION("""COMPUTED_VALUE"""),"Cartel PVC 40x30 OBLIG.GAFAS PROT")</f>
        <v>Cartel PVC 40x30 OBLIG.GAFAS PROT</v>
      </c>
      <c r="C141" s="4">
        <f>IFERROR(__xludf.DUMMYFUNCTION("""COMPUTED_VALUE"""),2.48)</f>
        <v>2.48</v>
      </c>
      <c r="D141" s="4">
        <f>IFERROR(__xludf.DUMMYFUNCTION("""COMPUTED_VALUE"""),1.8)</f>
        <v>1.8</v>
      </c>
      <c r="E141" s="4" t="str">
        <f>IFERROR(__xludf.DUMMYFUNCTION("""COMPUTED_VALUE"""),"Neto: 1,80 € (a partir de 1 uds.)")</f>
        <v>Neto: 1,80 € (a partir de 1 uds.)</v>
      </c>
    </row>
    <row r="142">
      <c r="A142" s="4" t="str">
        <f>IFERROR(__xludf.DUMMYFUNCTION("""COMPUTED_VALUE"""),"0226P")</f>
        <v>0226P</v>
      </c>
      <c r="B142" s="4" t="str">
        <f>IFERROR(__xludf.DUMMYFUNCTION("""COMPUTED_VALUE"""),"Cartel PVC 21x29 OBLIGATORIO EL USO GAFAS")</f>
        <v>Cartel PVC 21x29 OBLIGATORIO EL USO GAFAS</v>
      </c>
      <c r="C142" s="4">
        <f>IFERROR(__xludf.DUMMYFUNCTION("""COMPUTED_VALUE"""),1.6)</f>
        <v>1.6</v>
      </c>
      <c r="D142" s="4">
        <f>IFERROR(__xludf.DUMMYFUNCTION("""COMPUTED_VALUE"""),1.2)</f>
        <v>1.2</v>
      </c>
      <c r="E142" s="4" t="str">
        <f>IFERROR(__xludf.DUMMYFUNCTION("""COMPUTED_VALUE"""),"Neto: 1,20 € (a partir de 1 uds.)")</f>
        <v>Neto: 1,20 € (a partir de 1 uds.)</v>
      </c>
    </row>
    <row r="143">
      <c r="A143" s="4" t="str">
        <f>IFERROR(__xludf.DUMMYFUNCTION("""COMPUTED_VALUE"""),"227")</f>
        <v>227</v>
      </c>
      <c r="B143" s="4" t="str">
        <f>IFERROR(__xludf.DUMMYFUNCTION("""COMPUTED_VALUE"""),"Cartel PVC 40x30 OBLIG.ARNES SEGUR.")</f>
        <v>Cartel PVC 40x30 OBLIG.ARNES SEGUR.</v>
      </c>
      <c r="C143" s="4">
        <f>IFERROR(__xludf.DUMMYFUNCTION("""COMPUTED_VALUE"""),2.48)</f>
        <v>2.48</v>
      </c>
      <c r="D143" s="4">
        <f>IFERROR(__xludf.DUMMYFUNCTION("""COMPUTED_VALUE"""),1.8)</f>
        <v>1.8</v>
      </c>
      <c r="E143" s="4" t="str">
        <f>IFERROR(__xludf.DUMMYFUNCTION("""COMPUTED_VALUE"""),"Neto: 1,80 € (a partir de 1 uds.)")</f>
        <v>Neto: 1,80 € (a partir de 1 uds.)</v>
      </c>
    </row>
    <row r="144">
      <c r="A144" s="4" t="str">
        <f>IFERROR(__xludf.DUMMYFUNCTION("""COMPUTED_VALUE"""),"0227P")</f>
        <v>0227P</v>
      </c>
      <c r="B144" s="4" t="str">
        <f>IFERROR(__xludf.DUMMYFUNCTION("""COMPUTED_VALUE"""),"Cartel PVC 21x29 OBLIGATORIO EL USO ARNES")</f>
        <v>Cartel PVC 21x29 OBLIGATORIO EL USO ARNES</v>
      </c>
      <c r="C144" s="4">
        <f>IFERROR(__xludf.DUMMYFUNCTION("""COMPUTED_VALUE"""),1.6)</f>
        <v>1.6</v>
      </c>
      <c r="D144" s="4">
        <f>IFERROR(__xludf.DUMMYFUNCTION("""COMPUTED_VALUE"""),1.2)</f>
        <v>1.2</v>
      </c>
      <c r="E144" s="4" t="str">
        <f>IFERROR(__xludf.DUMMYFUNCTION("""COMPUTED_VALUE"""),"Neto: 1,20 € (a partir de 1 uds.)")</f>
        <v>Neto: 1,20 € (a partir de 1 uds.)</v>
      </c>
    </row>
    <row r="145">
      <c r="A145" s="4" t="str">
        <f>IFERROR(__xludf.DUMMYFUNCTION("""COMPUTED_VALUE"""),"228")</f>
        <v>228</v>
      </c>
      <c r="B145" s="4" t="str">
        <f>IFERROR(__xludf.DUMMYFUNCTION("""COMPUTED_VALUE"""),"Cartel PVC 40x30 PROTECION OBLIGAT.CUERPO")</f>
        <v>Cartel PVC 40x30 PROTECION OBLIGAT.CUERPO</v>
      </c>
      <c r="C145" s="4">
        <f>IFERROR(__xludf.DUMMYFUNCTION("""COMPUTED_VALUE"""),2.48)</f>
        <v>2.48</v>
      </c>
      <c r="D145" s="4">
        <f>IFERROR(__xludf.DUMMYFUNCTION("""COMPUTED_VALUE"""),1.8)</f>
        <v>1.8</v>
      </c>
      <c r="E145" s="4" t="str">
        <f>IFERROR(__xludf.DUMMYFUNCTION("""COMPUTED_VALUE"""),"Neto: 1,80 € (a partir de 1 uds.)")</f>
        <v>Neto: 1,80 € (a partir de 1 uds.)</v>
      </c>
    </row>
    <row r="146">
      <c r="A146" s="4" t="str">
        <f>IFERROR(__xludf.DUMMYFUNCTION("""COMPUTED_VALUE"""),"0228P")</f>
        <v>0228P</v>
      </c>
      <c r="B146" s="4" t="str">
        <f>IFERROR(__xludf.DUMMYFUNCTION("""COMPUTED_VALUE"""),"Cartel PVC 21x29 USO PROTECCION OBLIGATORIA DEL")</f>
        <v>Cartel PVC 21x29 USO PROTECCION OBLIGATORIA DEL</v>
      </c>
      <c r="C146" s="4">
        <f>IFERROR(__xludf.DUMMYFUNCTION("""COMPUTED_VALUE"""),1.6)</f>
        <v>1.6</v>
      </c>
      <c r="D146" s="4">
        <f>IFERROR(__xludf.DUMMYFUNCTION("""COMPUTED_VALUE"""),1.2)</f>
        <v>1.2</v>
      </c>
      <c r="E146" s="4" t="str">
        <f>IFERROR(__xludf.DUMMYFUNCTION("""COMPUTED_VALUE"""),"Neto: 1,20 € (a partir de 1 uds.)")</f>
        <v>Neto: 1,20 € (a partir de 1 uds.)</v>
      </c>
    </row>
    <row r="147">
      <c r="A147" s="4" t="str">
        <f>IFERROR(__xludf.DUMMYFUNCTION("""COMPUTED_VALUE"""),"229")</f>
        <v>229</v>
      </c>
      <c r="B147" s="4" t="str">
        <f>IFERROR(__xludf.DUMMYFUNCTION("""COMPUTED_VALUE"""),"Cartel PVC 40x30 Eliminar puntas")</f>
        <v>Cartel PVC 40x30 Eliminar puntas</v>
      </c>
      <c r="C147" s="4">
        <f>IFERROR(__xludf.DUMMYFUNCTION("""COMPUTED_VALUE"""),2.48)</f>
        <v>2.48</v>
      </c>
      <c r="D147" s="4">
        <f>IFERROR(__xludf.DUMMYFUNCTION("""COMPUTED_VALUE"""),1.8)</f>
        <v>1.8</v>
      </c>
      <c r="E147" s="4" t="str">
        <f>IFERROR(__xludf.DUMMYFUNCTION("""COMPUTED_VALUE"""),"Neto: 1,80 € (a partir de 1 uds.)")</f>
        <v>Neto: 1,80 € (a partir de 1 uds.)</v>
      </c>
    </row>
    <row r="148">
      <c r="A148" s="4" t="str">
        <f>IFERROR(__xludf.DUMMYFUNCTION("""COMPUTED_VALUE"""),"0229P")</f>
        <v>0229P</v>
      </c>
      <c r="B148" s="4" t="str">
        <f>IFERROR(__xludf.DUMMYFUNCTION("""COMPUTED_VALUE"""),"Cartel PVC 21x29 OBLIGATORIO ELIMINAR LAS PUNTAS")</f>
        <v>Cartel PVC 21x29 OBLIGATORIO ELIMINAR LAS PUNTAS</v>
      </c>
      <c r="C148" s="4">
        <f>IFERROR(__xludf.DUMMYFUNCTION("""COMPUTED_VALUE"""),1.6)</f>
        <v>1.6</v>
      </c>
      <c r="D148" s="4">
        <f>IFERROR(__xludf.DUMMYFUNCTION("""COMPUTED_VALUE"""),1.2)</f>
        <v>1.2</v>
      </c>
      <c r="E148" s="4" t="str">
        <f>IFERROR(__xludf.DUMMYFUNCTION("""COMPUTED_VALUE"""),"Neto: 1,20 € (a partir de 1 uds.)")</f>
        <v>Neto: 1,20 € (a partir de 1 uds.)</v>
      </c>
    </row>
    <row r="149">
      <c r="A149" s="4" t="str">
        <f>IFERROR(__xludf.DUMMYFUNCTION("""COMPUTED_VALUE"""),"230")</f>
        <v>230</v>
      </c>
      <c r="B149" s="4" t="str">
        <f>IFERROR(__xludf.DUMMYFUNCTION("""COMPUTED_VALUE"""),"Cartel PVC 40x30 PROHIBIDO FUMA+")</f>
        <v>Cartel PVC 40x30 PROHIBIDO FUMA+</v>
      </c>
      <c r="C149" s="4">
        <f>IFERROR(__xludf.DUMMYFUNCTION("""COMPUTED_VALUE"""),2.48)</f>
        <v>2.48</v>
      </c>
      <c r="D149" s="4">
        <f>IFERROR(__xludf.DUMMYFUNCTION("""COMPUTED_VALUE"""),1.8)</f>
        <v>1.8</v>
      </c>
      <c r="E149" s="4" t="str">
        <f>IFERROR(__xludf.DUMMYFUNCTION("""COMPUTED_VALUE"""),"Neto: 1,80 € (a partir de 1 uds.)")</f>
        <v>Neto: 1,80 € (a partir de 1 uds.)</v>
      </c>
    </row>
    <row r="150">
      <c r="A150" s="4" t="str">
        <f>IFERROR(__xludf.DUMMYFUNCTION("""COMPUTED_VALUE"""),"0230P")</f>
        <v>0230P</v>
      </c>
      <c r="B150" s="4" t="str">
        <f>IFERROR(__xludf.DUMMYFUNCTION("""COMPUTED_VALUE"""),"Cartel 21X29 PROHIBIDO FUMAR")</f>
        <v>Cartel 21X29 PROHIBIDO FUMAR</v>
      </c>
      <c r="C150" s="4">
        <f>IFERROR(__xludf.DUMMYFUNCTION("""COMPUTED_VALUE"""),1.6)</f>
        <v>1.6</v>
      </c>
      <c r="D150" s="4">
        <f>IFERROR(__xludf.DUMMYFUNCTION("""COMPUTED_VALUE"""),1.2)</f>
        <v>1.2</v>
      </c>
      <c r="E150" s="4" t="str">
        <f>IFERROR(__xludf.DUMMYFUNCTION("""COMPUTED_VALUE"""),"Neto: 1,20 € (a partir de 1 uds.)")</f>
        <v>Neto: 1,20 € (a partir de 1 uds.)</v>
      </c>
    </row>
    <row r="151">
      <c r="A151" s="4" t="str">
        <f>IFERROR(__xludf.DUMMYFUNCTION("""COMPUTED_VALUE"""),"231")</f>
        <v>231</v>
      </c>
      <c r="B151" s="4" t="str">
        <f>IFERROR(__xludf.DUMMYFUNCTION("""COMPUTED_VALUE"""),"Cartel PVC 40x30 PROHIBIDO PASO+")</f>
        <v>Cartel PVC 40x30 PROHIBIDO PASO+</v>
      </c>
      <c r="C151" s="4">
        <f>IFERROR(__xludf.DUMMYFUNCTION("""COMPUTED_VALUE"""),2.48)</f>
        <v>2.48</v>
      </c>
      <c r="D151" s="4">
        <f>IFERROR(__xludf.DUMMYFUNCTION("""COMPUTED_VALUE"""),1.8)</f>
        <v>1.8</v>
      </c>
      <c r="E151" s="4" t="str">
        <f>IFERROR(__xludf.DUMMYFUNCTION("""COMPUTED_VALUE"""),"Neto: 1,80 € (a partir de 1 uds.)")</f>
        <v>Neto: 1,80 € (a partir de 1 uds.)</v>
      </c>
    </row>
    <row r="152">
      <c r="A152" s="4" t="str">
        <f>IFERROR(__xludf.DUMMYFUNCTION("""COMPUTED_VALUE"""),"0231P")</f>
        <v>0231P</v>
      </c>
      <c r="B152" s="4" t="str">
        <f>IFERROR(__xludf.DUMMYFUNCTION("""COMPUTED_VALUE"""),"Cartel PVC 21X29 PROHIBIDO PASO PERSONA AJENA")</f>
        <v>Cartel PVC 21X29 PROHIBIDO PASO PERSONA AJENA</v>
      </c>
      <c r="C152" s="4">
        <f>IFERROR(__xludf.DUMMYFUNCTION("""COMPUTED_VALUE"""),1.6)</f>
        <v>1.6</v>
      </c>
      <c r="D152" s="4">
        <f>IFERROR(__xludf.DUMMYFUNCTION("""COMPUTED_VALUE"""),1.2)</f>
        <v>1.2</v>
      </c>
      <c r="E152" s="4" t="str">
        <f>IFERROR(__xludf.DUMMYFUNCTION("""COMPUTED_VALUE"""),"Neto: 1,20 € (a partir de 1 uds.)")</f>
        <v>Neto: 1,20 € (a partir de 1 uds.)</v>
      </c>
    </row>
    <row r="153">
      <c r="A153" s="4" t="str">
        <f>IFERROR(__xludf.DUMMYFUNCTION("""COMPUTED_VALUE"""),"232")</f>
        <v>232</v>
      </c>
      <c r="B153" s="4" t="str">
        <f>IFERROR(__xludf.DUMMYFUNCTION("""COMPUTED_VALUE"""),"Cartel PVC 40x30 Proh. pasar sin casco")</f>
        <v>Cartel PVC 40x30 Proh. pasar sin casco</v>
      </c>
      <c r="C153" s="4">
        <f>IFERROR(__xludf.DUMMYFUNCTION("""COMPUTED_VALUE"""),2.48)</f>
        <v>2.48</v>
      </c>
      <c r="D153" s="4">
        <f>IFERROR(__xludf.DUMMYFUNCTION("""COMPUTED_VALUE"""),1.8)</f>
        <v>1.8</v>
      </c>
      <c r="E153" s="4" t="str">
        <f>IFERROR(__xludf.DUMMYFUNCTION("""COMPUTED_VALUE"""),"Neto: 1,80 € (a partir de 1 uds.)")</f>
        <v>Neto: 1,80 € (a partir de 1 uds.)</v>
      </c>
    </row>
    <row r="154">
      <c r="A154" s="4" t="str">
        <f>IFERROR(__xludf.DUMMYFUNCTION("""COMPUTED_VALUE"""),"0232P")</f>
        <v>0232P</v>
      </c>
      <c r="B154" s="4" t="str">
        <f>IFERROR(__xludf.DUMMYFUNCTION("""COMPUTED_VALUE"""),"Cartel PVC 21X29 PROHIBIDO PASAR SIN CASCO")</f>
        <v>Cartel PVC 21X29 PROHIBIDO PASAR SIN CASCO</v>
      </c>
      <c r="C154" s="4">
        <f>IFERROR(__xludf.DUMMYFUNCTION("""COMPUTED_VALUE"""),1.6)</f>
        <v>1.6</v>
      </c>
      <c r="D154" s="4">
        <f>IFERROR(__xludf.DUMMYFUNCTION("""COMPUTED_VALUE"""),1.2)</f>
        <v>1.2</v>
      </c>
      <c r="E154" s="4" t="str">
        <f>IFERROR(__xludf.DUMMYFUNCTION("""COMPUTED_VALUE"""),"Neto: 1,20 € (a partir de 1 uds.)")</f>
        <v>Neto: 1,20 € (a partir de 1 uds.)</v>
      </c>
    </row>
    <row r="155">
      <c r="A155" s="4" t="str">
        <f>IFERROR(__xludf.DUMMYFUNCTION("""COMPUTED_VALUE"""),"233")</f>
        <v>233</v>
      </c>
      <c r="B155" s="4" t="str">
        <f>IFERROR(__xludf.DUMMYFUNCTION("""COMPUTED_VALUE"""),"Cartel PVC 40x30 Proh. Fumar y encender fuego")</f>
        <v>Cartel PVC 40x30 Proh. Fumar y encender fuego</v>
      </c>
      <c r="C155" s="4">
        <f>IFERROR(__xludf.DUMMYFUNCTION("""COMPUTED_VALUE"""),2.48)</f>
        <v>2.48</v>
      </c>
      <c r="D155" s="4">
        <f>IFERROR(__xludf.DUMMYFUNCTION("""COMPUTED_VALUE"""),1.8)</f>
        <v>1.8</v>
      </c>
      <c r="E155" s="4" t="str">
        <f>IFERROR(__xludf.DUMMYFUNCTION("""COMPUTED_VALUE"""),"Neto: 1,80 € (a partir de 1 uds.)")</f>
        <v>Neto: 1,80 € (a partir de 1 uds.)</v>
      </c>
    </row>
    <row r="156">
      <c r="A156" s="4" t="str">
        <f>IFERROR(__xludf.DUMMYFUNCTION("""COMPUTED_VALUE"""),"0233P")</f>
        <v>0233P</v>
      </c>
      <c r="B156" s="4" t="str">
        <f>IFERROR(__xludf.DUMMYFUNCTION("""COMPUTED_VALUE"""),"Cartel PVC 21X29 PROHIBIDO FUMAR Y ENCENDER")</f>
        <v>Cartel PVC 21X29 PROHIBIDO FUMAR Y ENCENDER</v>
      </c>
      <c r="C156" s="4">
        <f>IFERROR(__xludf.DUMMYFUNCTION("""COMPUTED_VALUE"""),1.6)</f>
        <v>1.6</v>
      </c>
      <c r="D156" s="4">
        <f>IFERROR(__xludf.DUMMYFUNCTION("""COMPUTED_VALUE"""),1.2)</f>
        <v>1.2</v>
      </c>
      <c r="E156" s="4" t="str">
        <f>IFERROR(__xludf.DUMMYFUNCTION("""COMPUTED_VALUE"""),"Neto: 1,20 € (a partir de 1 uds.)")</f>
        <v>Neto: 1,20 € (a partir de 1 uds.)</v>
      </c>
    </row>
    <row r="157">
      <c r="A157" s="4" t="str">
        <f>IFERROR(__xludf.DUMMYFUNCTION("""COMPUTED_VALUE"""),"234")</f>
        <v>234</v>
      </c>
      <c r="B157" s="4" t="str">
        <f>IFERROR(__xludf.DUMMYFUNCTION("""COMPUTED_VALUE"""),"Cartel PVC 40x30 Proh. Apagar con agua")</f>
        <v>Cartel PVC 40x30 Proh. Apagar con agua</v>
      </c>
      <c r="C157" s="4">
        <f>IFERROR(__xludf.DUMMYFUNCTION("""COMPUTED_VALUE"""),2.48)</f>
        <v>2.48</v>
      </c>
      <c r="D157" s="4">
        <f>IFERROR(__xludf.DUMMYFUNCTION("""COMPUTED_VALUE"""),1.8)</f>
        <v>1.8</v>
      </c>
      <c r="E157" s="4" t="str">
        <f>IFERROR(__xludf.DUMMYFUNCTION("""COMPUTED_VALUE"""),"Neto: 1,80 € (a partir de 1 uds.)")</f>
        <v>Neto: 1,80 € (a partir de 1 uds.)</v>
      </c>
    </row>
    <row r="158">
      <c r="A158" s="4" t="str">
        <f>IFERROR(__xludf.DUMMYFUNCTION("""COMPUTED_VALUE"""),"0234P")</f>
        <v>0234P</v>
      </c>
      <c r="B158" s="4" t="str">
        <f>IFERROR(__xludf.DUMMYFUNCTION("""COMPUTED_VALUE"""),"Cartel PVC 21x29 PROHIBIDO APAGAR CON AGUA")</f>
        <v>Cartel PVC 21x29 PROHIBIDO APAGAR CON AGUA</v>
      </c>
      <c r="C158" s="4">
        <f>IFERROR(__xludf.DUMMYFUNCTION("""COMPUTED_VALUE"""),1.6)</f>
        <v>1.6</v>
      </c>
      <c r="D158" s="4">
        <f>IFERROR(__xludf.DUMMYFUNCTION("""COMPUTED_VALUE"""),1.2)</f>
        <v>1.2</v>
      </c>
      <c r="E158" s="4" t="str">
        <f>IFERROR(__xludf.DUMMYFUNCTION("""COMPUTED_VALUE"""),"Neto: 1,20 € (a partir de 1 uds.)")</f>
        <v>Neto: 1,20 € (a partir de 1 uds.)</v>
      </c>
    </row>
    <row r="159">
      <c r="A159" s="4" t="str">
        <f>IFERROR(__xludf.DUMMYFUNCTION("""COMPUTED_VALUE"""),"235")</f>
        <v>235</v>
      </c>
      <c r="B159" s="4" t="str">
        <f>IFERROR(__xludf.DUMMYFUNCTION("""COMPUTED_VALUE"""),"Cartel PVC 40x30 Proh.a los vehculos manutención")</f>
        <v>Cartel PVC 40x30 Proh.a los vehculos manutención</v>
      </c>
      <c r="C159" s="4">
        <f>IFERROR(__xludf.DUMMYFUNCTION("""COMPUTED_VALUE"""),2.48)</f>
        <v>2.48</v>
      </c>
      <c r="D159" s="4">
        <f>IFERROR(__xludf.DUMMYFUNCTION("""COMPUTED_VALUE"""),1.8)</f>
        <v>1.8</v>
      </c>
      <c r="E159" s="4" t="str">
        <f>IFERROR(__xludf.DUMMYFUNCTION("""COMPUTED_VALUE"""),"Neto: 1,80 € (a partir de 1 uds.)")</f>
        <v>Neto: 1,80 € (a partir de 1 uds.)</v>
      </c>
    </row>
    <row r="160">
      <c r="A160" s="4" t="str">
        <f>IFERROR(__xludf.DUMMYFUNCTION("""COMPUTED_VALUE"""),"0235P")</f>
        <v>0235P</v>
      </c>
      <c r="B160" s="4" t="str">
        <f>IFERROR(__xludf.DUMMYFUNCTION("""COMPUTED_VALUE"""),"Cartel PVC 21x29 PROHIBIDO A LOS VEHICULOS DE")</f>
        <v>Cartel PVC 21x29 PROHIBIDO A LOS VEHICULOS DE</v>
      </c>
      <c r="C160" s="4">
        <f>IFERROR(__xludf.DUMMYFUNCTION("""COMPUTED_VALUE"""),1.6)</f>
        <v>1.6</v>
      </c>
      <c r="D160" s="4">
        <f>IFERROR(__xludf.DUMMYFUNCTION("""COMPUTED_VALUE"""),1.2)</f>
        <v>1.2</v>
      </c>
      <c r="E160" s="4" t="str">
        <f>IFERROR(__xludf.DUMMYFUNCTION("""COMPUTED_VALUE"""),"Neto: 1,20 € (a partir de 1 uds.)")</f>
        <v>Neto: 1,20 € (a partir de 1 uds.)</v>
      </c>
    </row>
    <row r="161">
      <c r="A161" s="4" t="str">
        <f>IFERROR(__xludf.DUMMYFUNCTION("""COMPUTED_VALUE"""),"236")</f>
        <v>236</v>
      </c>
      <c r="B161" s="4" t="str">
        <f>IFERROR(__xludf.DUMMYFUNCTION("""COMPUTED_VALUE"""),"Cartel PVC 40x30 Materias Explosivas")</f>
        <v>Cartel PVC 40x30 Materias Explosivas</v>
      </c>
      <c r="C161" s="4">
        <f>IFERROR(__xludf.DUMMYFUNCTION("""COMPUTED_VALUE"""),2.48)</f>
        <v>2.48</v>
      </c>
      <c r="D161" s="4">
        <f>IFERROR(__xludf.DUMMYFUNCTION("""COMPUTED_VALUE"""),1.8)</f>
        <v>1.8</v>
      </c>
      <c r="E161" s="4" t="str">
        <f>IFERROR(__xludf.DUMMYFUNCTION("""COMPUTED_VALUE"""),"Neto: 1,80 € (a partir de 1 uds.)")</f>
        <v>Neto: 1,80 € (a partir de 1 uds.)</v>
      </c>
    </row>
    <row r="162">
      <c r="A162" s="4" t="str">
        <f>IFERROR(__xludf.DUMMYFUNCTION("""COMPUTED_VALUE"""),"0236P")</f>
        <v>0236P</v>
      </c>
      <c r="B162" s="4" t="str">
        <f>IFERROR(__xludf.DUMMYFUNCTION("""COMPUTED_VALUE"""),"Cartel PVC 21x29 MATERIAS EXPLOSIVAS")</f>
        <v>Cartel PVC 21x29 MATERIAS EXPLOSIVAS</v>
      </c>
      <c r="C162" s="4">
        <f>IFERROR(__xludf.DUMMYFUNCTION("""COMPUTED_VALUE"""),1.6)</f>
        <v>1.6</v>
      </c>
      <c r="D162" s="4">
        <f>IFERROR(__xludf.DUMMYFUNCTION("""COMPUTED_VALUE"""),1.2)</f>
        <v>1.2</v>
      </c>
      <c r="E162" s="4" t="str">
        <f>IFERROR(__xludf.DUMMYFUNCTION("""COMPUTED_VALUE"""),"Neto: 1,20 € (a partir de 1 uds.)")</f>
        <v>Neto: 1,20 € (a partir de 1 uds.)</v>
      </c>
    </row>
    <row r="163">
      <c r="A163" s="4" t="str">
        <f>IFERROR(__xludf.DUMMYFUNCTION("""COMPUTED_VALUE"""),"237")</f>
        <v>237</v>
      </c>
      <c r="B163" s="4" t="str">
        <f>IFERROR(__xludf.DUMMYFUNCTION("""COMPUTED_VALUE"""),"Cartel PVC 40x30 Proh. uso personas")</f>
        <v>Cartel PVC 40x30 Proh. uso personas</v>
      </c>
      <c r="C163" s="4">
        <f>IFERROR(__xludf.DUMMYFUNCTION("""COMPUTED_VALUE"""),2.48)</f>
        <v>2.48</v>
      </c>
      <c r="D163" s="4">
        <f>IFERROR(__xludf.DUMMYFUNCTION("""COMPUTED_VALUE"""),1.8)</f>
        <v>1.8</v>
      </c>
      <c r="E163" s="4" t="str">
        <f>IFERROR(__xludf.DUMMYFUNCTION("""COMPUTED_VALUE"""),"Neto: 1,80 € (a partir de 1 uds.)")</f>
        <v>Neto: 1,80 € (a partir de 1 uds.)</v>
      </c>
    </row>
    <row r="164">
      <c r="A164" s="4" t="str">
        <f>IFERROR(__xludf.DUMMYFUNCTION("""COMPUTED_VALUE"""),"0237P")</f>
        <v>0237P</v>
      </c>
      <c r="B164" s="4" t="str">
        <f>IFERROR(__xludf.DUMMYFUNCTION("""COMPUTED_VALUE"""),"Cartel PVC 21x29 PROHIBIDO EL USO A PERSONAS")</f>
        <v>Cartel PVC 21x29 PROHIBIDO EL USO A PERSONAS</v>
      </c>
      <c r="C164" s="4">
        <f>IFERROR(__xludf.DUMMYFUNCTION("""COMPUTED_VALUE"""),1.6)</f>
        <v>1.6</v>
      </c>
      <c r="D164" s="4">
        <f>IFERROR(__xludf.DUMMYFUNCTION("""COMPUTED_VALUE"""),1.2)</f>
        <v>1.2</v>
      </c>
      <c r="E164" s="4" t="str">
        <f>IFERROR(__xludf.DUMMYFUNCTION("""COMPUTED_VALUE"""),"Neto: 1,20 € (a partir de 1 uds.)")</f>
        <v>Neto: 1,20 € (a partir de 1 uds.)</v>
      </c>
    </row>
    <row r="165">
      <c r="A165" s="4" t="str">
        <f>IFERROR(__xludf.DUMMYFUNCTION("""COMPUTED_VALUE"""),"238")</f>
        <v>238</v>
      </c>
      <c r="B165" s="4" t="str">
        <f>IFERROR(__xludf.DUMMYFUNCTION("""COMPUTED_VALUE"""),"Cartel PVC 40x30 Atencion puesta Tierra")</f>
        <v>Cartel PVC 40x30 Atencion puesta Tierra</v>
      </c>
      <c r="C165" s="4">
        <f>IFERROR(__xludf.DUMMYFUNCTION("""COMPUTED_VALUE"""),2.48)</f>
        <v>2.48</v>
      </c>
      <c r="D165" s="4">
        <f>IFERROR(__xludf.DUMMYFUNCTION("""COMPUTED_VALUE"""),1.8)</f>
        <v>1.8</v>
      </c>
      <c r="E165" s="4" t="str">
        <f>IFERROR(__xludf.DUMMYFUNCTION("""COMPUTED_VALUE"""),"Neto: 1,80 € (a partir de 1 uds.)")</f>
        <v>Neto: 1,80 € (a partir de 1 uds.)</v>
      </c>
    </row>
    <row r="166">
      <c r="A166" s="4" t="str">
        <f>IFERROR(__xludf.DUMMYFUNCTION("""COMPUTED_VALUE"""),"0238P")</f>
        <v>0238P</v>
      </c>
      <c r="B166" s="4" t="str">
        <f>IFERROR(__xludf.DUMMYFUNCTION("""COMPUTED_VALUE"""),"Cartel PVC 21x29 ATENCION PUESTA A TIERRA")</f>
        <v>Cartel PVC 21x29 ATENCION PUESTA A TIERRA</v>
      </c>
      <c r="C166" s="4">
        <f>IFERROR(__xludf.DUMMYFUNCTION("""COMPUTED_VALUE"""),1.6)</f>
        <v>1.6</v>
      </c>
      <c r="D166" s="4">
        <f>IFERROR(__xludf.DUMMYFUNCTION("""COMPUTED_VALUE"""),1.2)</f>
        <v>1.2</v>
      </c>
      <c r="E166" s="4" t="str">
        <f>IFERROR(__xludf.DUMMYFUNCTION("""COMPUTED_VALUE"""),"Neto: 1,20 € (a partir de 1 uds.)")</f>
        <v>Neto: 1,20 € (a partir de 1 uds.)</v>
      </c>
    </row>
    <row r="167">
      <c r="A167" s="4" t="str">
        <f>IFERROR(__xludf.DUMMYFUNCTION("""COMPUTED_VALUE"""),"239")</f>
        <v>239</v>
      </c>
      <c r="B167" s="4" t="str">
        <f>IFERROR(__xludf.DUMMYFUNCTION("""COMPUTED_VALUE"""),"Cartel PVC Espacio confinado 40x30 cm")</f>
        <v>Cartel PVC Espacio confinado 40x30 cm</v>
      </c>
      <c r="C167" s="4">
        <f>IFERROR(__xludf.DUMMYFUNCTION("""COMPUTED_VALUE"""),2.48)</f>
        <v>2.48</v>
      </c>
      <c r="D167" s="4">
        <f>IFERROR(__xludf.DUMMYFUNCTION("""COMPUTED_VALUE"""),1.8)</f>
        <v>1.8</v>
      </c>
      <c r="E167" s="4" t="str">
        <f>IFERROR(__xludf.DUMMYFUNCTION("""COMPUTED_VALUE"""),"Neto: 1,80 € (a partir de 1 uds.)")</f>
        <v>Neto: 1,80 € (a partir de 1 uds.)</v>
      </c>
    </row>
    <row r="168">
      <c r="A168" s="4" t="str">
        <f>IFERROR(__xludf.DUMMYFUNCTION("""COMPUTED_VALUE"""),"0239P")</f>
        <v>0239P</v>
      </c>
      <c r="B168" s="4" t="str">
        <f>IFERROR(__xludf.DUMMYFUNCTION("""COMPUTED_VALUE"""),"Cartel PVC Espacio Confinado 21x29 cm")</f>
        <v>Cartel PVC Espacio Confinado 21x29 cm</v>
      </c>
      <c r="C168" s="4">
        <f>IFERROR(__xludf.DUMMYFUNCTION("""COMPUTED_VALUE"""),1.6)</f>
        <v>1.6</v>
      </c>
      <c r="D168" s="4">
        <f>IFERROR(__xludf.DUMMYFUNCTION("""COMPUTED_VALUE"""),1.2)</f>
        <v>1.2</v>
      </c>
      <c r="E168" s="4" t="str">
        <f>IFERROR(__xludf.DUMMYFUNCTION("""COMPUTED_VALUE"""),"Neto: 1,20 € (a partir de 1 uds.)")</f>
        <v>Neto: 1,20 € (a partir de 1 uds.)</v>
      </c>
    </row>
    <row r="169">
      <c r="A169" s="4" t="str">
        <f>IFERROR(__xludf.DUMMYFUNCTION("""COMPUTED_VALUE"""),"240")</f>
        <v>240</v>
      </c>
      <c r="B169" s="4" t="str">
        <f>IFERROR(__xludf.DUMMYFUNCTION("""COMPUTED_VALUE"""),"Cartel PVC 40x30 Maquin.pesada en movim")</f>
        <v>Cartel PVC 40x30 Maquin.pesada en movim</v>
      </c>
      <c r="C169" s="4">
        <f>IFERROR(__xludf.DUMMYFUNCTION("""COMPUTED_VALUE"""),2.48)</f>
        <v>2.48</v>
      </c>
      <c r="D169" s="4">
        <f>IFERROR(__xludf.DUMMYFUNCTION("""COMPUTED_VALUE"""),1.8)</f>
        <v>1.8</v>
      </c>
      <c r="E169" s="4" t="str">
        <f>IFERROR(__xludf.DUMMYFUNCTION("""COMPUTED_VALUE"""),"Neto: 1,80 € (a partir de 1 uds.)")</f>
        <v>Neto: 1,80 € (a partir de 1 uds.)</v>
      </c>
    </row>
    <row r="170">
      <c r="A170" s="4" t="str">
        <f>IFERROR(__xludf.DUMMYFUNCTION("""COMPUTED_VALUE"""),"0240P")</f>
        <v>0240P</v>
      </c>
      <c r="B170" s="4" t="str">
        <f>IFERROR(__xludf.DUMMYFUNCTION("""COMPUTED_VALUE"""),"Cartel PVC 21X29 MAQUINARIA PESADA EN MOVIMIENTO")</f>
        <v>Cartel PVC 21X29 MAQUINARIA PESADA EN MOVIMIENTO</v>
      </c>
      <c r="C170" s="4">
        <f>IFERROR(__xludf.DUMMYFUNCTION("""COMPUTED_VALUE"""),1.6)</f>
        <v>1.6</v>
      </c>
      <c r="D170" s="4">
        <f>IFERROR(__xludf.DUMMYFUNCTION("""COMPUTED_VALUE"""),1.2)</f>
        <v>1.2</v>
      </c>
      <c r="E170" s="4" t="str">
        <f>IFERROR(__xludf.DUMMYFUNCTION("""COMPUTED_VALUE"""),"Neto: 1,20 € (a partir de 1 uds.)")</f>
        <v>Neto: 1,20 € (a partir de 1 uds.)</v>
      </c>
    </row>
    <row r="171">
      <c r="A171" s="4" t="str">
        <f>IFERROR(__xludf.DUMMYFUNCTION("""COMPUTED_VALUE"""),"241")</f>
        <v>241</v>
      </c>
      <c r="B171" s="4" t="str">
        <f>IFERROR(__xludf.DUMMYFUNCTION("""COMPUTED_VALUE"""),"Cartel PVC 40x30 Fluor ( Se Alquila ) c/ojales")</f>
        <v>Cartel PVC 40x30 Fluor ( Se Alquila ) c/ojales</v>
      </c>
      <c r="C171" s="4">
        <f>IFERROR(__xludf.DUMMYFUNCTION("""COMPUTED_VALUE"""),3.7)</f>
        <v>3.7</v>
      </c>
      <c r="D171" s="4">
        <f>IFERROR(__xludf.DUMMYFUNCTION("""COMPUTED_VALUE"""),3.2)</f>
        <v>3.2</v>
      </c>
      <c r="E171" s="4" t="str">
        <f>IFERROR(__xludf.DUMMYFUNCTION("""COMPUTED_VALUE"""),"Neto: 3,20 € (a partir de 1 uds.)")</f>
        <v>Neto: 3,20 € (a partir de 1 uds.)</v>
      </c>
    </row>
    <row r="172">
      <c r="A172" s="4" t="str">
        <f>IFERROR(__xludf.DUMMYFUNCTION("""COMPUTED_VALUE"""),"242")</f>
        <v>242</v>
      </c>
      <c r="B172" s="4" t="str">
        <f>IFERROR(__xludf.DUMMYFUNCTION("""COMPUTED_VALUE"""),"Cartel PVC 40X30 Fluor ( Se Vende ) c/ojales")</f>
        <v>Cartel PVC 40X30 Fluor ( Se Vende ) c/ojales</v>
      </c>
      <c r="C172" s="4">
        <f>IFERROR(__xludf.DUMMYFUNCTION("""COMPUTED_VALUE"""),3.7)</f>
        <v>3.7</v>
      </c>
      <c r="D172" s="4">
        <f>IFERROR(__xludf.DUMMYFUNCTION("""COMPUTED_VALUE"""),3.2)</f>
        <v>3.2</v>
      </c>
      <c r="E172" s="4" t="str">
        <f>IFERROR(__xludf.DUMMYFUNCTION("""COMPUTED_VALUE"""),"Neto: 3,20 € (a partir de 1 uds.)")</f>
        <v>Neto: 3,20 € (a partir de 1 uds.)</v>
      </c>
    </row>
    <row r="173">
      <c r="A173" s="4" t="str">
        <f>IFERROR(__xludf.DUMMYFUNCTION("""COMPUTED_VALUE"""),"243")</f>
        <v>243</v>
      </c>
      <c r="B173" s="4" t="str">
        <f>IFERROR(__xludf.DUMMYFUNCTION("""COMPUTED_VALUE"""),"Cartel PVC 21x29 Fotolum. Hidrante")</f>
        <v>Cartel PVC 21x29 Fotolum. Hidrante</v>
      </c>
      <c r="C173" s="4">
        <f>IFERROR(__xludf.DUMMYFUNCTION("""COMPUTED_VALUE"""),2.6)</f>
        <v>2.6</v>
      </c>
      <c r="D173" s="4">
        <f>IFERROR(__xludf.DUMMYFUNCTION("""COMPUTED_VALUE"""),2.1)</f>
        <v>2.1</v>
      </c>
      <c r="E173" s="4" t="str">
        <f>IFERROR(__xludf.DUMMYFUNCTION("""COMPUTED_VALUE"""),"Neto: 2,10 € (a partir de 1 uds.)")</f>
        <v>Neto: 2,10 € (a partir de 1 uds.)</v>
      </c>
    </row>
    <row r="174">
      <c r="A174" s="4" t="str">
        <f>IFERROR(__xludf.DUMMYFUNCTION("""COMPUTED_VALUE"""),"0243A")</f>
        <v>0243A</v>
      </c>
      <c r="B174" s="4" t="str">
        <f>IFERROR(__xludf.DUMMYFUNCTION("""COMPUTED_VALUE"""),"Cartel PVC 21x30 Fotolum. Hidrante")</f>
        <v>Cartel PVC 21x30 Fotolum. Hidrante</v>
      </c>
      <c r="C174" s="4">
        <f>IFERROR(__xludf.DUMMYFUNCTION("""COMPUTED_VALUE"""),2.52)</f>
        <v>2.52</v>
      </c>
      <c r="D174" s="4">
        <f>IFERROR(__xludf.DUMMYFUNCTION("""COMPUTED_VALUE"""),2.1)</f>
        <v>2.1</v>
      </c>
      <c r="E174" s="4" t="str">
        <f>IFERROR(__xludf.DUMMYFUNCTION("""COMPUTED_VALUE"""),"Neto: 2,10 € (a partir de 1 uds.)")</f>
        <v>Neto: 2,10 € (a partir de 1 uds.)</v>
      </c>
    </row>
    <row r="175">
      <c r="A175" s="4" t="str">
        <f>IFERROR(__xludf.DUMMYFUNCTION("""COMPUTED_VALUE"""),"0243B")</f>
        <v>0243B</v>
      </c>
      <c r="B175" s="4" t="str">
        <f>IFERROR(__xludf.DUMMYFUNCTION("""COMPUTED_VALUE"""),"Cartel PVC 40x30 Fotolum. Hidrante")</f>
        <v>Cartel PVC 40x30 Fotolum. Hidrante</v>
      </c>
      <c r="C175" s="4">
        <f>IFERROR(__xludf.DUMMYFUNCTION("""COMPUTED_VALUE"""),3.1)</f>
        <v>3.1</v>
      </c>
      <c r="D175" s="4">
        <f>IFERROR(__xludf.DUMMYFUNCTION("""COMPUTED_VALUE"""),3.2)</f>
        <v>3.2</v>
      </c>
      <c r="E175" s="4" t="str">
        <f>IFERROR(__xludf.DUMMYFUNCTION("""COMPUTED_VALUE"""),"Neto: 3,20 € (a partir de 1 uds.)")</f>
        <v>Neto: 3,20 € (a partir de 1 uds.)</v>
      </c>
    </row>
    <row r="176">
      <c r="A176" s="4" t="str">
        <f>IFERROR(__xludf.DUMMYFUNCTION("""COMPUTED_VALUE"""),"244")</f>
        <v>244</v>
      </c>
      <c r="B176" s="4" t="str">
        <f>IFERROR(__xludf.DUMMYFUNCTION("""COMPUTED_VALUE"""),"Cartel PVC de 1x0.70 Combinado")</f>
        <v>Cartel PVC de 1x0.70 Combinado</v>
      </c>
      <c r="C176" s="4">
        <f>IFERROR(__xludf.DUMMYFUNCTION("""COMPUTED_VALUE"""),5.9)</f>
        <v>5.9</v>
      </c>
      <c r="D176" s="4">
        <f>IFERROR(__xludf.DUMMYFUNCTION("""COMPUTED_VALUE"""),5.5)</f>
        <v>5.5</v>
      </c>
      <c r="E176" s="4" t="str">
        <f>IFERROR(__xludf.DUMMYFUNCTION("""COMPUTED_VALUE"""),"Neto: 5,50 € (a partir de 50 uds.)")</f>
        <v>Neto: 5,50 € (a partir de 50 uds.)</v>
      </c>
    </row>
    <row r="177">
      <c r="A177" s="4" t="str">
        <f>IFERROR(__xludf.DUMMYFUNCTION("""COMPUTED_VALUE"""),"247")</f>
        <v>247</v>
      </c>
      <c r="B177" s="4" t="str">
        <f>IFERROR(__xludf.DUMMYFUNCTION("""COMPUTED_VALUE"""),"Cartel PVC 40x30 (Salida Camiones)")</f>
        <v>Cartel PVC 40x30 (Salida Camiones)</v>
      </c>
      <c r="C177" s="4">
        <f>IFERROR(__xludf.DUMMYFUNCTION("""COMPUTED_VALUE"""),2.48)</f>
        <v>2.48</v>
      </c>
      <c r="D177" s="4">
        <f>IFERROR(__xludf.DUMMYFUNCTION("""COMPUTED_VALUE"""),1.8)</f>
        <v>1.8</v>
      </c>
      <c r="E177" s="4" t="str">
        <f>IFERROR(__xludf.DUMMYFUNCTION("""COMPUTED_VALUE"""),"Neto: 1,80 € (a partir de 1 uds.)")</f>
        <v>Neto: 1,80 € (a partir de 1 uds.)</v>
      </c>
    </row>
    <row r="178">
      <c r="A178" s="4" t="str">
        <f>IFERROR(__xludf.DUMMYFUNCTION("""COMPUTED_VALUE"""),"0247P")</f>
        <v>0247P</v>
      </c>
      <c r="B178" s="4" t="str">
        <f>IFERROR(__xludf.DUMMYFUNCTION("""COMPUTED_VALUE"""),"Cartel PVC 21x29 SALIDA DE CAMIONES")</f>
        <v>Cartel PVC 21x29 SALIDA DE CAMIONES</v>
      </c>
      <c r="C178" s="4">
        <f>IFERROR(__xludf.DUMMYFUNCTION("""COMPUTED_VALUE"""),1.6)</f>
        <v>1.6</v>
      </c>
      <c r="D178" s="4">
        <f>IFERROR(__xludf.DUMMYFUNCTION("""COMPUTED_VALUE"""),1.2)</f>
        <v>1.2</v>
      </c>
      <c r="E178" s="4" t="str">
        <f>IFERROR(__xludf.DUMMYFUNCTION("""COMPUTED_VALUE"""),"Neto: 1,20 € (a partir de 1 uds.)")</f>
        <v>Neto: 1,20 € (a partir de 1 uds.)</v>
      </c>
    </row>
    <row r="179">
      <c r="A179" s="4" t="str">
        <f>IFERROR(__xludf.DUMMYFUNCTION("""COMPUTED_VALUE"""),"248")</f>
        <v>248</v>
      </c>
      <c r="B179" s="4" t="str">
        <f>IFERROR(__xludf.DUMMYFUNCTION("""COMPUTED_VALUE"""),"Cartel PVC 40x30 (Prohibido Aparcar)")</f>
        <v>Cartel PVC 40x30 (Prohibido Aparcar)</v>
      </c>
      <c r="C179" s="4">
        <f>IFERROR(__xludf.DUMMYFUNCTION("""COMPUTED_VALUE"""),2.48)</f>
        <v>2.48</v>
      </c>
      <c r="D179" s="4">
        <f>IFERROR(__xludf.DUMMYFUNCTION("""COMPUTED_VALUE"""),1.8)</f>
        <v>1.8</v>
      </c>
      <c r="E179" s="4" t="str">
        <f>IFERROR(__xludf.DUMMYFUNCTION("""COMPUTED_VALUE"""),"Neto: 1,80 € (a partir de 1 uds.)")</f>
        <v>Neto: 1,80 € (a partir de 1 uds.)</v>
      </c>
    </row>
    <row r="180">
      <c r="A180" s="4" t="str">
        <f>IFERROR(__xludf.DUMMYFUNCTION("""COMPUTED_VALUE"""),"0248P")</f>
        <v>0248P</v>
      </c>
      <c r="B180" s="4" t="str">
        <f>IFERROR(__xludf.DUMMYFUNCTION("""COMPUTED_VALUE"""),"Cartel PVC 21x29 PROHIBIDO APARCAR")</f>
        <v>Cartel PVC 21x29 PROHIBIDO APARCAR</v>
      </c>
      <c r="C180" s="4">
        <f>IFERROR(__xludf.DUMMYFUNCTION("""COMPUTED_VALUE"""),1.6)</f>
        <v>1.6</v>
      </c>
      <c r="D180" s="4">
        <f>IFERROR(__xludf.DUMMYFUNCTION("""COMPUTED_VALUE"""),1.2)</f>
        <v>1.2</v>
      </c>
      <c r="E180" s="4" t="str">
        <f>IFERROR(__xludf.DUMMYFUNCTION("""COMPUTED_VALUE"""),"Neto: 1,20 € (a partir de 1 uds.)")</f>
        <v>Neto: 1,20 € (a partir de 1 uds.)</v>
      </c>
    </row>
    <row r="181">
      <c r="A181" s="4" t="str">
        <f>IFERROR(__xludf.DUMMYFUNCTION("""COMPUTED_VALUE"""),"249")</f>
        <v>249</v>
      </c>
      <c r="B181" s="4" t="str">
        <f>IFERROR(__xludf.DUMMYFUNCTION("""COMPUTED_VALUE"""),"Cartel PVC 40x30 STOP")</f>
        <v>Cartel PVC 40x30 STOP</v>
      </c>
      <c r="C181" s="4">
        <f>IFERROR(__xludf.DUMMYFUNCTION("""COMPUTED_VALUE"""),2.48)</f>
        <v>2.48</v>
      </c>
      <c r="D181" s="4">
        <f>IFERROR(__xludf.DUMMYFUNCTION("""COMPUTED_VALUE"""),1.8)</f>
        <v>1.8</v>
      </c>
      <c r="E181" s="4" t="str">
        <f>IFERROR(__xludf.DUMMYFUNCTION("""COMPUTED_VALUE"""),"Neto: 1,80 € (a partir de 1 uds.)")</f>
        <v>Neto: 1,80 € (a partir de 1 uds.)</v>
      </c>
    </row>
    <row r="182">
      <c r="A182" s="4" t="str">
        <f>IFERROR(__xludf.DUMMYFUNCTION("""COMPUTED_VALUE"""),"0249P")</f>
        <v>0249P</v>
      </c>
      <c r="B182" s="4" t="str">
        <f>IFERROR(__xludf.DUMMYFUNCTION("""COMPUTED_VALUE"""),"Cartel PVC 21x29 STOP")</f>
        <v>Cartel PVC 21x29 STOP</v>
      </c>
      <c r="C182" s="4">
        <f>IFERROR(__xludf.DUMMYFUNCTION("""COMPUTED_VALUE"""),1.6)</f>
        <v>1.6</v>
      </c>
      <c r="D182" s="4">
        <f>IFERROR(__xludf.DUMMYFUNCTION("""COMPUTED_VALUE"""),1.2)</f>
        <v>1.2</v>
      </c>
      <c r="E182" s="4" t="str">
        <f>IFERROR(__xludf.DUMMYFUNCTION("""COMPUTED_VALUE"""),"Neto: 1,20 € (a partir de 1 uds.)")</f>
        <v>Neto: 1,20 € (a partir de 1 uds.)</v>
      </c>
    </row>
    <row r="183">
      <c r="A183" s="4" t="str">
        <f>IFERROR(__xludf.DUMMYFUNCTION("""COMPUTED_VALUE"""),"250")</f>
        <v>250</v>
      </c>
      <c r="B183" s="4" t="str">
        <f>IFERROR(__xludf.DUMMYFUNCTION("""COMPUTED_VALUE"""),"Cartel PVC 40x30 (Peligro Indefinido)")</f>
        <v>Cartel PVC 40x30 (Peligro Indefinido)</v>
      </c>
      <c r="C183" s="4">
        <f>IFERROR(__xludf.DUMMYFUNCTION("""COMPUTED_VALUE"""),2.48)</f>
        <v>2.48</v>
      </c>
      <c r="D183" s="4">
        <f>IFERROR(__xludf.DUMMYFUNCTION("""COMPUTED_VALUE"""),1.8)</f>
        <v>1.8</v>
      </c>
      <c r="E183" s="4" t="str">
        <f>IFERROR(__xludf.DUMMYFUNCTION("""COMPUTED_VALUE"""),"Neto: 1,80 € (a partir de 1 uds.)")</f>
        <v>Neto: 1,80 € (a partir de 1 uds.)</v>
      </c>
    </row>
    <row r="184">
      <c r="A184" s="4" t="str">
        <f>IFERROR(__xludf.DUMMYFUNCTION("""COMPUTED_VALUE"""),"0250P")</f>
        <v>0250P</v>
      </c>
      <c r="B184" s="4" t="str">
        <f>IFERROR(__xludf.DUMMYFUNCTION("""COMPUTED_VALUE"""),"Cartel PVC 21x29 PELIGRO")</f>
        <v>Cartel PVC 21x29 PELIGRO</v>
      </c>
      <c r="C184" s="4">
        <f>IFERROR(__xludf.DUMMYFUNCTION("""COMPUTED_VALUE"""),1.6)</f>
        <v>1.6</v>
      </c>
      <c r="D184" s="4">
        <f>IFERROR(__xludf.DUMMYFUNCTION("""COMPUTED_VALUE"""),1.2)</f>
        <v>1.2</v>
      </c>
      <c r="E184" s="4" t="str">
        <f>IFERROR(__xludf.DUMMYFUNCTION("""COMPUTED_VALUE"""),"Neto: 1,20 € (a partir de 1 uds.)")</f>
        <v>Neto: 1,20 € (a partir de 1 uds.)</v>
      </c>
    </row>
    <row r="185">
      <c r="A185" s="4" t="str">
        <f>IFERROR(__xludf.DUMMYFUNCTION("""COMPUTED_VALUE"""),"251")</f>
        <v>251</v>
      </c>
      <c r="B185" s="4" t="str">
        <f>IFERROR(__xludf.DUMMYFUNCTION("""COMPUTED_VALUE"""),"Cartel PVC 40x30 (Vado Permanente)")</f>
        <v>Cartel PVC 40x30 (Vado Permanente)</v>
      </c>
      <c r="C185" s="4">
        <f>IFERROR(__xludf.DUMMYFUNCTION("""COMPUTED_VALUE"""),2.48)</f>
        <v>2.48</v>
      </c>
      <c r="D185" s="4">
        <f>IFERROR(__xludf.DUMMYFUNCTION("""COMPUTED_VALUE"""),1.8)</f>
        <v>1.8</v>
      </c>
      <c r="E185" s="4" t="str">
        <f>IFERROR(__xludf.DUMMYFUNCTION("""COMPUTED_VALUE"""),"Neto: 1,80 € (a partir de 1 uds.)")</f>
        <v>Neto: 1,80 € (a partir de 1 uds.)</v>
      </c>
    </row>
    <row r="186">
      <c r="A186" s="4" t="str">
        <f>IFERROR(__xludf.DUMMYFUNCTION("""COMPUTED_VALUE"""),"0251P")</f>
        <v>0251P</v>
      </c>
      <c r="B186" s="4" t="str">
        <f>IFERROR(__xludf.DUMMYFUNCTION("""COMPUTED_VALUE"""),"Cartel PVC 21x29 VADO PERMANENTE")</f>
        <v>Cartel PVC 21x29 VADO PERMANENTE</v>
      </c>
      <c r="C186" s="4">
        <f>IFERROR(__xludf.DUMMYFUNCTION("""COMPUTED_VALUE"""),1.6)</f>
        <v>1.6</v>
      </c>
      <c r="D186" s="4">
        <f>IFERROR(__xludf.DUMMYFUNCTION("""COMPUTED_VALUE"""),1.2)</f>
        <v>1.2</v>
      </c>
      <c r="E186" s="4" t="str">
        <f>IFERROR(__xludf.DUMMYFUNCTION("""COMPUTED_VALUE"""),"Neto: 1,20 € (a partir de 1 uds.)")</f>
        <v>Neto: 1,20 € (a partir de 1 uds.)</v>
      </c>
    </row>
    <row r="187">
      <c r="A187" s="4" t="str">
        <f>IFERROR(__xludf.DUMMYFUNCTION("""COMPUTED_VALUE"""),"252")</f>
        <v>252</v>
      </c>
      <c r="B187" s="4" t="str">
        <f>IFERROR(__xludf.DUMMYFUNCTION("""COMPUTED_VALUE"""),"Cartel PVC 40x30 (Riesgo Atrapamiento)")</f>
        <v>Cartel PVC 40x30 (Riesgo Atrapamiento)</v>
      </c>
      <c r="C187" s="4">
        <f>IFERROR(__xludf.DUMMYFUNCTION("""COMPUTED_VALUE"""),2.48)</f>
        <v>2.48</v>
      </c>
      <c r="D187" s="4">
        <f>IFERROR(__xludf.DUMMYFUNCTION("""COMPUTED_VALUE"""),1.8)</f>
        <v>1.8</v>
      </c>
      <c r="E187" s="4" t="str">
        <f>IFERROR(__xludf.DUMMYFUNCTION("""COMPUTED_VALUE"""),"Neto: 1,80 € (a partir de 1 uds.)")</f>
        <v>Neto: 1,80 € (a partir de 1 uds.)</v>
      </c>
    </row>
    <row r="188">
      <c r="A188" s="4" t="str">
        <f>IFERROR(__xludf.DUMMYFUNCTION("""COMPUTED_VALUE"""),"0252P")</f>
        <v>0252P</v>
      </c>
      <c r="B188" s="4" t="str">
        <f>IFERROR(__xludf.DUMMYFUNCTION("""COMPUTED_VALUE"""),"Cartel PVC 21x29 ATENCION RIESGO DE ATRAPAMIENTO")</f>
        <v>Cartel PVC 21x29 ATENCION RIESGO DE ATRAPAMIENTO</v>
      </c>
      <c r="C188" s="4">
        <f>IFERROR(__xludf.DUMMYFUNCTION("""COMPUTED_VALUE"""),1.6)</f>
        <v>1.6</v>
      </c>
      <c r="D188" s="4">
        <f>IFERROR(__xludf.DUMMYFUNCTION("""COMPUTED_VALUE"""),1.2)</f>
        <v>1.2</v>
      </c>
      <c r="E188" s="4" t="str">
        <f>IFERROR(__xludf.DUMMYFUNCTION("""COMPUTED_VALUE"""),"Neto: 1,20 € (a partir de 1 uds.)")</f>
        <v>Neto: 1,20 € (a partir de 1 uds.)</v>
      </c>
    </row>
    <row r="189">
      <c r="A189" s="4" t="str">
        <f>IFERROR(__xludf.DUMMYFUNCTION("""COMPUTED_VALUE"""),"253")</f>
        <v>253</v>
      </c>
      <c r="B189" s="4" t="str">
        <f>IFERROR(__xludf.DUMMYFUNCTION("""COMPUTED_VALUE"""),"Cartel PVC 40x30 (Proh. paso empresa)")</f>
        <v>Cartel PVC 40x30 (Proh. paso empresa)</v>
      </c>
      <c r="C189" s="4">
        <f>IFERROR(__xludf.DUMMYFUNCTION("""COMPUTED_VALUE"""),2.48)</f>
        <v>2.48</v>
      </c>
      <c r="D189" s="4">
        <f>IFERROR(__xludf.DUMMYFUNCTION("""COMPUTED_VALUE"""),1.8)</f>
        <v>1.8</v>
      </c>
      <c r="E189" s="4" t="str">
        <f>IFERROR(__xludf.DUMMYFUNCTION("""COMPUTED_VALUE"""),"Neto: 1,80 € (a partir de 1 uds.)")</f>
        <v>Neto: 1,80 € (a partir de 1 uds.)</v>
      </c>
    </row>
    <row r="190">
      <c r="A190" s="4" t="str">
        <f>IFERROR(__xludf.DUMMYFUNCTION("""COMPUTED_VALUE"""),"0253P")</f>
        <v>0253P</v>
      </c>
      <c r="B190" s="4" t="str">
        <f>IFERROR(__xludf.DUMMYFUNCTION("""COMPUTED_VALUE"""),"Cartel PVC 21x29 PROHIBIDO PASO PERSONA AJENA")</f>
        <v>Cartel PVC 21x29 PROHIBIDO PASO PERSONA AJENA</v>
      </c>
      <c r="C190" s="4">
        <f>IFERROR(__xludf.DUMMYFUNCTION("""COMPUTED_VALUE"""),1.6)</f>
        <v>1.6</v>
      </c>
      <c r="D190" s="4">
        <f>IFERROR(__xludf.DUMMYFUNCTION("""COMPUTED_VALUE"""),1.2)</f>
        <v>1.2</v>
      </c>
      <c r="E190" s="4" t="str">
        <f>IFERROR(__xludf.DUMMYFUNCTION("""COMPUTED_VALUE"""),"Neto: 1,20 € (a partir de 1 uds.)")</f>
        <v>Neto: 1,20 € (a partir de 1 uds.)</v>
      </c>
    </row>
    <row r="191">
      <c r="A191" s="4" t="str">
        <f>IFERROR(__xludf.DUMMYFUNCTION("""COMPUTED_VALUE"""),"255")</f>
        <v>255</v>
      </c>
      <c r="B191" s="4" t="str">
        <f>IFERROR(__xludf.DUMMYFUNCTION("""COMPUTED_VALUE"""),"Cartel PVC 40x30 (Temperatura elevada)")</f>
        <v>Cartel PVC 40x30 (Temperatura elevada)</v>
      </c>
      <c r="C191" s="4">
        <f>IFERROR(__xludf.DUMMYFUNCTION("""COMPUTED_VALUE"""),2.48)</f>
        <v>2.48</v>
      </c>
      <c r="D191" s="4">
        <f>IFERROR(__xludf.DUMMYFUNCTION("""COMPUTED_VALUE"""),1.8)</f>
        <v>1.8</v>
      </c>
      <c r="E191" s="4" t="str">
        <f>IFERROR(__xludf.DUMMYFUNCTION("""COMPUTED_VALUE"""),"Neto: 1,80 € (a partir de 1 uds.)")</f>
        <v>Neto: 1,80 € (a partir de 1 uds.)</v>
      </c>
    </row>
    <row r="192">
      <c r="A192" s="4" t="str">
        <f>IFERROR(__xludf.DUMMYFUNCTION("""COMPUTED_VALUE"""),"0255P")</f>
        <v>0255P</v>
      </c>
      <c r="B192" s="4" t="str">
        <f>IFERROR(__xludf.DUMMYFUNCTION("""COMPUTED_VALUE"""),"Cartel PVC 21x29 TEMPERATURA ELEVADA")</f>
        <v>Cartel PVC 21x29 TEMPERATURA ELEVADA</v>
      </c>
      <c r="C192" s="4">
        <f>IFERROR(__xludf.DUMMYFUNCTION("""COMPUTED_VALUE"""),1.6)</f>
        <v>1.6</v>
      </c>
      <c r="D192" s="4">
        <f>IFERROR(__xludf.DUMMYFUNCTION("""COMPUTED_VALUE"""),1.2)</f>
        <v>1.2</v>
      </c>
      <c r="E192" s="4" t="str">
        <f>IFERROR(__xludf.DUMMYFUNCTION("""COMPUTED_VALUE"""),"Neto: 1,20 € (a partir de 1 uds.)")</f>
        <v>Neto: 1,20 € (a partir de 1 uds.)</v>
      </c>
    </row>
    <row r="193">
      <c r="A193" s="4" t="str">
        <f>IFERROR(__xludf.DUMMYFUNCTION("""COMPUTED_VALUE"""),"256")</f>
        <v>256</v>
      </c>
      <c r="B193" s="4" t="str">
        <f>IFERROR(__xludf.DUMMYFUNCTION("""COMPUTED_VALUE"""),"Cartel PVC 40x30 Fotolum. Botiquin")</f>
        <v>Cartel PVC 40x30 Fotolum. Botiquin</v>
      </c>
      <c r="C193" s="4">
        <f>IFERROR(__xludf.DUMMYFUNCTION("""COMPUTED_VALUE"""),3.35)</f>
        <v>3.35</v>
      </c>
      <c r="D193" s="4">
        <f>IFERROR(__xludf.DUMMYFUNCTION("""COMPUTED_VALUE"""),3.2)</f>
        <v>3.2</v>
      </c>
      <c r="E193" s="4" t="str">
        <f>IFERROR(__xludf.DUMMYFUNCTION("""COMPUTED_VALUE"""),"Neto: 3,20 € (a partir de 1 uds.)")</f>
        <v>Neto: 3,20 € (a partir de 1 uds.)</v>
      </c>
    </row>
    <row r="194">
      <c r="A194" s="4" t="str">
        <f>IFERROR(__xludf.DUMMYFUNCTION("""COMPUTED_VALUE"""),"257")</f>
        <v>257</v>
      </c>
      <c r="B194" s="4" t="str">
        <f>IFERROR(__xludf.DUMMYFUNCTION("""COMPUTED_VALUE"""),"Cartel PVC 40x30 (Riesgo desprendimiento)")</f>
        <v>Cartel PVC 40x30 (Riesgo desprendimiento)</v>
      </c>
      <c r="C194" s="4">
        <f>IFERROR(__xludf.DUMMYFUNCTION("""COMPUTED_VALUE"""),2.48)</f>
        <v>2.48</v>
      </c>
      <c r="D194" s="4">
        <f>IFERROR(__xludf.DUMMYFUNCTION("""COMPUTED_VALUE"""),1.8)</f>
        <v>1.8</v>
      </c>
      <c r="E194" s="4" t="str">
        <f>IFERROR(__xludf.DUMMYFUNCTION("""COMPUTED_VALUE"""),"Neto: 1,80 € (a partir de 1 uds.)")</f>
        <v>Neto: 1,80 € (a partir de 1 uds.)</v>
      </c>
    </row>
    <row r="195">
      <c r="A195" s="4" t="str">
        <f>IFERROR(__xludf.DUMMYFUNCTION("""COMPUTED_VALUE"""),"0257P")</f>
        <v>0257P</v>
      </c>
      <c r="B195" s="4" t="str">
        <f>IFERROR(__xludf.DUMMYFUNCTION("""COMPUTED_VALUE"""),"Cartel PVC 21x29 RIESGO DESPRENDIMIENTOS")</f>
        <v>Cartel PVC 21x29 RIESGO DESPRENDIMIENTOS</v>
      </c>
      <c r="C195" s="4">
        <f>IFERROR(__xludf.DUMMYFUNCTION("""COMPUTED_VALUE"""),1.6)</f>
        <v>1.6</v>
      </c>
      <c r="D195" s="4">
        <f>IFERROR(__xludf.DUMMYFUNCTION("""COMPUTED_VALUE"""),1.2)</f>
        <v>1.2</v>
      </c>
      <c r="E195" s="4" t="str">
        <f>IFERROR(__xludf.DUMMYFUNCTION("""COMPUTED_VALUE"""),"Neto: 1,20 € (a partir de 1 uds.)")</f>
        <v>Neto: 1,20 € (a partir de 1 uds.)</v>
      </c>
    </row>
    <row r="196">
      <c r="A196" s="4" t="str">
        <f>IFERROR(__xludf.DUMMYFUNCTION("""COMPUTED_VALUE"""),"0258A")</f>
        <v>0258A</v>
      </c>
      <c r="B196" s="4" t="str">
        <f>IFERROR(__xludf.DUMMYFUNCTION("""COMPUTED_VALUE"""),"Cartel PVC 21x30 Fotolum. Pulsador de Alarma")</f>
        <v>Cartel PVC 21x30 Fotolum. Pulsador de Alarma</v>
      </c>
      <c r="C196" s="4">
        <f>IFERROR(__xludf.DUMMYFUNCTION("""COMPUTED_VALUE"""),2.52)</f>
        <v>2.52</v>
      </c>
      <c r="D196" s="4">
        <f>IFERROR(__xludf.DUMMYFUNCTION("""COMPUTED_VALUE"""),2.1)</f>
        <v>2.1</v>
      </c>
      <c r="E196" s="4" t="str">
        <f>IFERROR(__xludf.DUMMYFUNCTION("""COMPUTED_VALUE"""),"Neto: 2,10 € (a partir de 1 uds.)")</f>
        <v>Neto: 2,10 € (a partir de 1 uds.)</v>
      </c>
    </row>
    <row r="197">
      <c r="A197" s="4" t="str">
        <f>IFERROR(__xludf.DUMMYFUNCTION("""COMPUTED_VALUE"""),"0258B")</f>
        <v>0258B</v>
      </c>
      <c r="B197" s="4" t="str">
        <f>IFERROR(__xludf.DUMMYFUNCTION("""COMPUTED_VALUE"""),"Cartel PVC 40x30 Fotolum. Pulsador de Alarma")</f>
        <v>Cartel PVC 40x30 Fotolum. Pulsador de Alarma</v>
      </c>
      <c r="C197" s="4">
        <f>IFERROR(__xludf.DUMMYFUNCTION("""COMPUTED_VALUE"""),3.1)</f>
        <v>3.1</v>
      </c>
      <c r="D197" s="4">
        <f>IFERROR(__xludf.DUMMYFUNCTION("""COMPUTED_VALUE"""),3.2)</f>
        <v>3.2</v>
      </c>
      <c r="E197" s="4" t="str">
        <f>IFERROR(__xludf.DUMMYFUNCTION("""COMPUTED_VALUE"""),"Neto: 3,20 € (a partir de 1 uds.)")</f>
        <v>Neto: 3,20 € (a partir de 1 uds.)</v>
      </c>
    </row>
    <row r="198">
      <c r="A198" s="4" t="str">
        <f>IFERROR(__xludf.DUMMYFUNCTION("""COMPUTED_VALUE"""),"259")</f>
        <v>259</v>
      </c>
      <c r="B198" s="4" t="str">
        <f>IFERROR(__xludf.DUMMYFUNCTION("""COMPUTED_VALUE"""),"Cartel PVC 40x30 Prohib. depositar materiales")</f>
        <v>Cartel PVC 40x30 Prohib. depositar materiales</v>
      </c>
      <c r="C198" s="4">
        <f>IFERROR(__xludf.DUMMYFUNCTION("""COMPUTED_VALUE"""),2.48)</f>
        <v>2.48</v>
      </c>
      <c r="D198" s="4">
        <f>IFERROR(__xludf.DUMMYFUNCTION("""COMPUTED_VALUE"""),1.8)</f>
        <v>1.8</v>
      </c>
      <c r="E198" s="4" t="str">
        <f>IFERROR(__xludf.DUMMYFUNCTION("""COMPUTED_VALUE"""),"Neto: 1,80 € (a partir de 1 uds.)")</f>
        <v>Neto: 1,80 € (a partir de 1 uds.)</v>
      </c>
    </row>
    <row r="199">
      <c r="A199" s="4" t="str">
        <f>IFERROR(__xludf.DUMMYFUNCTION("""COMPUTED_VALUE"""),"0259P")</f>
        <v>0259P</v>
      </c>
      <c r="B199" s="4" t="str">
        <f>IFERROR(__xludf.DUMMYFUNCTION("""COMPUTED_VALUE"""),"Cartel PVC 21x29 PROHIBIDO DEPOSITAR MATERIALES")</f>
        <v>Cartel PVC 21x29 PROHIBIDO DEPOSITAR MATERIALES</v>
      </c>
      <c r="C199" s="4">
        <f>IFERROR(__xludf.DUMMYFUNCTION("""COMPUTED_VALUE"""),1.6)</f>
        <v>1.6</v>
      </c>
      <c r="D199" s="4">
        <f>IFERROR(__xludf.DUMMYFUNCTION("""COMPUTED_VALUE"""),1.2)</f>
        <v>1.2</v>
      </c>
      <c r="E199" s="4" t="str">
        <f>IFERROR(__xludf.DUMMYFUNCTION("""COMPUTED_VALUE"""),"Neto: 1,20 € (a partir de 1 uds.)")</f>
        <v>Neto: 1,20 € (a partir de 1 uds.)</v>
      </c>
    </row>
    <row r="200">
      <c r="A200" s="4" t="str">
        <f>IFERROR(__xludf.DUMMYFUNCTION("""COMPUTED_VALUE"""),"260")</f>
        <v>260</v>
      </c>
      <c r="B200" s="4" t="str">
        <f>IFERROR(__xludf.DUMMYFUNCTION("""COMPUTED_VALUE"""),"Cartel PVC 40x30 Caida de Objetos")</f>
        <v>Cartel PVC 40x30 Caida de Objetos</v>
      </c>
      <c r="C200" s="4">
        <f>IFERROR(__xludf.DUMMYFUNCTION("""COMPUTED_VALUE"""),2.48)</f>
        <v>2.48</v>
      </c>
      <c r="D200" s="4">
        <f>IFERROR(__xludf.DUMMYFUNCTION("""COMPUTED_VALUE"""),1.8)</f>
        <v>1.8</v>
      </c>
      <c r="E200" s="4" t="str">
        <f>IFERROR(__xludf.DUMMYFUNCTION("""COMPUTED_VALUE"""),"Neto: 1,80 € (a partir de 1 uds.)")</f>
        <v>Neto: 1,80 € (a partir de 1 uds.)</v>
      </c>
    </row>
    <row r="201">
      <c r="A201" s="4" t="str">
        <f>IFERROR(__xludf.DUMMYFUNCTION("""COMPUTED_VALUE"""),"0260P")</f>
        <v>0260P</v>
      </c>
      <c r="B201" s="4" t="str">
        <f>IFERROR(__xludf.DUMMYFUNCTION("""COMPUTED_VALUE"""),"Cartel PVC 21x29 PELIGRO CAIDA DE OBJETOS")</f>
        <v>Cartel PVC 21x29 PELIGRO CAIDA DE OBJETOS</v>
      </c>
      <c r="C201" s="4">
        <f>IFERROR(__xludf.DUMMYFUNCTION("""COMPUTED_VALUE"""),1.6)</f>
        <v>1.6</v>
      </c>
      <c r="D201" s="4">
        <f>IFERROR(__xludf.DUMMYFUNCTION("""COMPUTED_VALUE"""),1.2)</f>
        <v>1.2</v>
      </c>
      <c r="E201" s="4" t="str">
        <f>IFERROR(__xludf.DUMMYFUNCTION("""COMPUTED_VALUE"""),"Neto: 1,20 € (a partir de 1 uds.)")</f>
        <v>Neto: 1,20 € (a partir de 1 uds.)</v>
      </c>
    </row>
    <row r="202">
      <c r="A202" s="4" t="str">
        <f>IFERROR(__xludf.DUMMYFUNCTION("""COMPUTED_VALUE"""),"261")</f>
        <v>261</v>
      </c>
      <c r="B202" s="4" t="str">
        <f>IFERROR(__xludf.DUMMYFUNCTION("""COMPUTED_VALUE"""),"Cartel PVC 40x30 Fotolum. Aseos Mujeres")</f>
        <v>Cartel PVC 40x30 Fotolum. Aseos Mujeres</v>
      </c>
      <c r="C202" s="4">
        <f>IFERROR(__xludf.DUMMYFUNCTION("""COMPUTED_VALUE"""),3.35)</f>
        <v>3.35</v>
      </c>
      <c r="D202" s="4">
        <f>IFERROR(__xludf.DUMMYFUNCTION("""COMPUTED_VALUE"""),3.2)</f>
        <v>3.2</v>
      </c>
      <c r="E202" s="4" t="str">
        <f>IFERROR(__xludf.DUMMYFUNCTION("""COMPUTED_VALUE"""),"Neto: 3,20 € (a partir de 1 uds.)")</f>
        <v>Neto: 3,20 € (a partir de 1 uds.)</v>
      </c>
    </row>
    <row r="203">
      <c r="A203" s="4" t="str">
        <f>IFERROR(__xludf.DUMMYFUNCTION("""COMPUTED_VALUE"""),"262")</f>
        <v>262</v>
      </c>
      <c r="B203" s="4" t="str">
        <f>IFERROR(__xludf.DUMMYFUNCTION("""COMPUTED_VALUE"""),"Cartel PVC 40x30 Fotolum. Aseos hombres")</f>
        <v>Cartel PVC 40x30 Fotolum. Aseos hombres</v>
      </c>
      <c r="C203" s="4">
        <f>IFERROR(__xludf.DUMMYFUNCTION("""COMPUTED_VALUE"""),3.35)</f>
        <v>3.35</v>
      </c>
      <c r="D203" s="4">
        <f>IFERROR(__xludf.DUMMYFUNCTION("""COMPUTED_VALUE"""),3.2)</f>
        <v>3.2</v>
      </c>
      <c r="E203" s="4" t="str">
        <f>IFERROR(__xludf.DUMMYFUNCTION("""COMPUTED_VALUE"""),"Neto: 3,20 € (a partir de 1 uds.)")</f>
        <v>Neto: 3,20 € (a partir de 1 uds.)</v>
      </c>
    </row>
    <row r="204">
      <c r="A204" s="4" t="str">
        <f>IFERROR(__xludf.DUMMYFUNCTION("""COMPUTED_VALUE"""),"263")</f>
        <v>263</v>
      </c>
      <c r="B204" s="4" t="str">
        <f>IFERROR(__xludf.DUMMYFUNCTION("""COMPUTED_VALUE"""),"Cartel PVC 40x30 Fotolum.Aseos Mixtos")</f>
        <v>Cartel PVC 40x30 Fotolum.Aseos Mixtos</v>
      </c>
      <c r="C204" s="4">
        <f>IFERROR(__xludf.DUMMYFUNCTION("""COMPUTED_VALUE"""),3.35)</f>
        <v>3.35</v>
      </c>
      <c r="D204" s="4">
        <f>IFERROR(__xludf.DUMMYFUNCTION("""COMPUTED_VALUE"""),3.2)</f>
        <v>3.2</v>
      </c>
      <c r="E204" s="4" t="str">
        <f>IFERROR(__xludf.DUMMYFUNCTION("""COMPUTED_VALUE"""),"Neto: 3,20 € (a partir de 1 uds.)")</f>
        <v>Neto: 3,20 € (a partir de 1 uds.)</v>
      </c>
    </row>
    <row r="205">
      <c r="A205" s="4" t="str">
        <f>IFERROR(__xludf.DUMMYFUNCTION("""COMPUTED_VALUE"""),"264")</f>
        <v>264</v>
      </c>
      <c r="B205" s="4" t="str">
        <f>IFERROR(__xludf.DUMMYFUNCTION("""COMPUTED_VALUE"""),"Cartel PVC 40X30 Fotolum. Salida de Emergencia")</f>
        <v>Cartel PVC 40X30 Fotolum. Salida de Emergencia</v>
      </c>
      <c r="C205" s="4">
        <f>IFERROR(__xludf.DUMMYFUNCTION("""COMPUTED_VALUE"""),3.35)</f>
        <v>3.35</v>
      </c>
      <c r="D205" s="4">
        <f>IFERROR(__xludf.DUMMYFUNCTION("""COMPUTED_VALUE"""),3.2)</f>
        <v>3.2</v>
      </c>
      <c r="E205" s="4" t="str">
        <f>IFERROR(__xludf.DUMMYFUNCTION("""COMPUTED_VALUE"""),"Neto: 3,20 € (a partir de 1 uds.)")</f>
        <v>Neto: 3,20 € (a partir de 1 uds.)</v>
      </c>
    </row>
    <row r="206">
      <c r="A206" s="4" t="str">
        <f>IFERROR(__xludf.DUMMYFUNCTION("""COMPUTED_VALUE"""),"265")</f>
        <v>265</v>
      </c>
      <c r="B206" s="4" t="str">
        <f>IFERROR(__xludf.DUMMYFUNCTION("""COMPUTED_VALUE"""),"Cartel PVC 40x30 Perro Peligroso")</f>
        <v>Cartel PVC 40x30 Perro Peligroso</v>
      </c>
      <c r="C206" s="4">
        <f>IFERROR(__xludf.DUMMYFUNCTION("""COMPUTED_VALUE"""),2.48)</f>
        <v>2.48</v>
      </c>
      <c r="D206" s="4">
        <f>IFERROR(__xludf.DUMMYFUNCTION("""COMPUTED_VALUE"""),1.8)</f>
        <v>1.8</v>
      </c>
      <c r="E206" s="4" t="str">
        <f>IFERROR(__xludf.DUMMYFUNCTION("""COMPUTED_VALUE"""),"Neto: 1,80 € (a partir de 1 uds.)")</f>
        <v>Neto: 1,80 € (a partir de 1 uds.)</v>
      </c>
    </row>
    <row r="207">
      <c r="A207" s="4" t="str">
        <f>IFERROR(__xludf.DUMMYFUNCTION("""COMPUTED_VALUE"""),"0265P")</f>
        <v>0265P</v>
      </c>
      <c r="B207" s="4" t="str">
        <f>IFERROR(__xludf.DUMMYFUNCTION("""COMPUTED_VALUE"""),"Cartel PVC 21x29 PERRO PELIGROSO")</f>
        <v>Cartel PVC 21x29 PERRO PELIGROSO</v>
      </c>
      <c r="C207" s="4">
        <f>IFERROR(__xludf.DUMMYFUNCTION("""COMPUTED_VALUE"""),1.6)</f>
        <v>1.6</v>
      </c>
      <c r="D207" s="4">
        <f>IFERROR(__xludf.DUMMYFUNCTION("""COMPUTED_VALUE"""),1.2)</f>
        <v>1.2</v>
      </c>
      <c r="E207" s="4" t="str">
        <f>IFERROR(__xludf.DUMMYFUNCTION("""COMPUTED_VALUE"""),"Neto: 1,20 € (a partir de 1 uds.)")</f>
        <v>Neto: 1,20 € (a partir de 1 uds.)</v>
      </c>
    </row>
    <row r="208">
      <c r="A208" s="4" t="str">
        <f>IFERROR(__xludf.DUMMYFUNCTION("""COMPUTED_VALUE"""),"266")</f>
        <v>266</v>
      </c>
      <c r="B208" s="4" t="str">
        <f>IFERROR(__xludf.DUMMYFUNCTION("""COMPUTED_VALUE"""),"Cartel PVC 40x30 Peligro zona minera")</f>
        <v>Cartel PVC 40x30 Peligro zona minera</v>
      </c>
      <c r="C208" s="4">
        <f>IFERROR(__xludf.DUMMYFUNCTION("""COMPUTED_VALUE"""),2.48)</f>
        <v>2.48</v>
      </c>
      <c r="D208" s="4">
        <f>IFERROR(__xludf.DUMMYFUNCTION("""COMPUTED_VALUE"""),1.8)</f>
        <v>1.8</v>
      </c>
      <c r="E208" s="4" t="str">
        <f>IFERROR(__xludf.DUMMYFUNCTION("""COMPUTED_VALUE"""),"Neto: 1,80 € (a partir de 1 uds.)")</f>
        <v>Neto: 1,80 € (a partir de 1 uds.)</v>
      </c>
    </row>
    <row r="209">
      <c r="A209" s="4" t="str">
        <f>IFERROR(__xludf.DUMMYFUNCTION("""COMPUTED_VALUE"""),"0266P")</f>
        <v>0266P</v>
      </c>
      <c r="B209" s="4" t="str">
        <f>IFERROR(__xludf.DUMMYFUNCTION("""COMPUTED_VALUE"""),"Cartel PVC 21x29 PELIGRO ZONA MINERA")</f>
        <v>Cartel PVC 21x29 PELIGRO ZONA MINERA</v>
      </c>
      <c r="C209" s="4">
        <f>IFERROR(__xludf.DUMMYFUNCTION("""COMPUTED_VALUE"""),1.6)</f>
        <v>1.6</v>
      </c>
      <c r="D209" s="4">
        <f>IFERROR(__xludf.DUMMYFUNCTION("""COMPUTED_VALUE"""),1.2)</f>
        <v>1.2</v>
      </c>
      <c r="E209" s="4" t="str">
        <f>IFERROR(__xludf.DUMMYFUNCTION("""COMPUTED_VALUE"""),"Neto: 1,20 € (a partir de 1 uds.)")</f>
        <v>Neto: 1,20 € (a partir de 1 uds.)</v>
      </c>
    </row>
    <row r="210">
      <c r="A210" s="4" t="str">
        <f>IFERROR(__xludf.DUMMYFUNCTION("""COMPUTED_VALUE"""),"267")</f>
        <v>267</v>
      </c>
      <c r="B210" s="4" t="str">
        <f>IFERROR(__xludf.DUMMYFUNCTION("""COMPUTED_VALUE"""),"Cartel PVC 40x30 Vehiculo Pesado")</f>
        <v>Cartel PVC 40x30 Vehiculo Pesado</v>
      </c>
      <c r="C210" s="4">
        <f>IFERROR(__xludf.DUMMYFUNCTION("""COMPUTED_VALUE"""),2.48)</f>
        <v>2.48</v>
      </c>
      <c r="D210" s="4">
        <f>IFERROR(__xludf.DUMMYFUNCTION("""COMPUTED_VALUE"""),1.8)</f>
        <v>1.8</v>
      </c>
      <c r="E210" s="4" t="str">
        <f>IFERROR(__xludf.DUMMYFUNCTION("""COMPUTED_VALUE"""),"Neto: 1,80 € (a partir de 1 uds.)")</f>
        <v>Neto: 1,80 € (a partir de 1 uds.)</v>
      </c>
    </row>
    <row r="211">
      <c r="A211" s="4" t="str">
        <f>IFERROR(__xludf.DUMMYFUNCTION("""COMPUTED_VALUE"""),"0267P")</f>
        <v>0267P</v>
      </c>
      <c r="B211" s="4" t="str">
        <f>IFERROR(__xludf.DUMMYFUNCTION("""COMPUTED_VALUE"""),"Cartel PVC 21x29 VEHICULO PESADO")</f>
        <v>Cartel PVC 21x29 VEHICULO PESADO</v>
      </c>
      <c r="C211" s="4">
        <f>IFERROR(__xludf.DUMMYFUNCTION("""COMPUTED_VALUE"""),1.6)</f>
        <v>1.6</v>
      </c>
      <c r="D211" s="4">
        <f>IFERROR(__xludf.DUMMYFUNCTION("""COMPUTED_VALUE"""),1.2)</f>
        <v>1.2</v>
      </c>
      <c r="E211" s="4" t="str">
        <f>IFERROR(__xludf.DUMMYFUNCTION("""COMPUTED_VALUE"""),"Neto: 1,20 € (a partir de 1 uds.)")</f>
        <v>Neto: 1,20 € (a partir de 1 uds.)</v>
      </c>
    </row>
    <row r="212">
      <c r="A212" s="4" t="str">
        <f>IFERROR(__xludf.DUMMYFUNCTION("""COMPUTED_VALUE"""),"268")</f>
        <v>268</v>
      </c>
      <c r="B212" s="4" t="str">
        <f>IFERROR(__xludf.DUMMYFUNCTION("""COMPUTED_VALUE"""),"Cartel PVC 40x30 Peligro Expulsion de Material")</f>
        <v>Cartel PVC 40x30 Peligro Expulsion de Material</v>
      </c>
      <c r="C212" s="4">
        <f>IFERROR(__xludf.DUMMYFUNCTION("""COMPUTED_VALUE"""),2.48)</f>
        <v>2.48</v>
      </c>
      <c r="D212" s="4">
        <f>IFERROR(__xludf.DUMMYFUNCTION("""COMPUTED_VALUE"""),1.8)</f>
        <v>1.8</v>
      </c>
      <c r="E212" s="4" t="str">
        <f>IFERROR(__xludf.DUMMYFUNCTION("""COMPUTED_VALUE"""),"Neto: 1,80 € (a partir de 1 uds.)")</f>
        <v>Neto: 1,80 € (a partir de 1 uds.)</v>
      </c>
    </row>
    <row r="213">
      <c r="A213" s="4" t="str">
        <f>IFERROR(__xludf.DUMMYFUNCTION("""COMPUTED_VALUE"""),"0268P")</f>
        <v>0268P</v>
      </c>
      <c r="B213" s="4" t="str">
        <f>IFERROR(__xludf.DUMMYFUNCTION("""COMPUTED_VALUE"""),"Cartel PVC 21x29 PELIGRO EXPUL.MATERIAL")</f>
        <v>Cartel PVC 21x29 PELIGRO EXPUL.MATERIAL</v>
      </c>
      <c r="C213" s="4">
        <f>IFERROR(__xludf.DUMMYFUNCTION("""COMPUTED_VALUE"""),1.6)</f>
        <v>1.6</v>
      </c>
      <c r="D213" s="4">
        <f>IFERROR(__xludf.DUMMYFUNCTION("""COMPUTED_VALUE"""),1.2)</f>
        <v>1.2</v>
      </c>
      <c r="E213" s="4" t="str">
        <f>IFERROR(__xludf.DUMMYFUNCTION("""COMPUTED_VALUE"""),"Neto: 1,20 € (a partir de 1 uds.)")</f>
        <v>Neto: 1,20 € (a partir de 1 uds.)</v>
      </c>
    </row>
    <row r="214">
      <c r="A214" s="4" t="str">
        <f>IFERROR(__xludf.DUMMYFUNCTION("""COMPUTED_VALUE"""),"269")</f>
        <v>269</v>
      </c>
      <c r="B214" s="4" t="str">
        <f>IFERROR(__xludf.DUMMYFUNCTION("""COMPUTED_VALUE"""),"Cartel PVC 40x30 Atencion Mecanismo Accionado a distancia")</f>
        <v>Cartel PVC 40x30 Atencion Mecanismo Accionado a distancia</v>
      </c>
      <c r="C214" s="4">
        <f>IFERROR(__xludf.DUMMYFUNCTION("""COMPUTED_VALUE"""),2.48)</f>
        <v>2.48</v>
      </c>
      <c r="D214" s="4">
        <f>IFERROR(__xludf.DUMMYFUNCTION("""COMPUTED_VALUE"""),1.8)</f>
        <v>1.8</v>
      </c>
      <c r="E214" s="4" t="str">
        <f>IFERROR(__xludf.DUMMYFUNCTION("""COMPUTED_VALUE"""),"Neto: 1,80 € (a partir de 1 uds.)")</f>
        <v>Neto: 1,80 € (a partir de 1 uds.)</v>
      </c>
    </row>
    <row r="215">
      <c r="A215" s="4" t="str">
        <f>IFERROR(__xludf.DUMMYFUNCTION("""COMPUTED_VALUE"""),"0269P")</f>
        <v>0269P</v>
      </c>
      <c r="B215" s="4" t="str">
        <f>IFERROR(__xludf.DUMMYFUNCTION("""COMPUTED_VALUE"""),"Cartel PVC 21x29 ATENCION MECANISMO ACCION.")</f>
        <v>Cartel PVC 21x29 ATENCION MECANISMO ACCION.</v>
      </c>
      <c r="C215" s="4">
        <f>IFERROR(__xludf.DUMMYFUNCTION("""COMPUTED_VALUE"""),1.6)</f>
        <v>1.6</v>
      </c>
      <c r="D215" s="4">
        <f>IFERROR(__xludf.DUMMYFUNCTION("""COMPUTED_VALUE"""),1.2)</f>
        <v>1.2</v>
      </c>
      <c r="E215" s="4" t="str">
        <f>IFERROR(__xludf.DUMMYFUNCTION("""COMPUTED_VALUE"""),"Neto: 1,20 € (a partir de 1 uds.)")</f>
        <v>Neto: 1,20 € (a partir de 1 uds.)</v>
      </c>
    </row>
    <row r="216">
      <c r="A216" s="4" t="str">
        <f>IFERROR(__xludf.DUMMYFUNCTION("""COMPUTED_VALUE"""),"270")</f>
        <v>270</v>
      </c>
      <c r="B216" s="4" t="str">
        <f>IFERROR(__xludf.DUMMYFUNCTION("""COMPUTED_VALUE"""),"Cartel PVC 40x30 Atencion Grua Accionada a distan.")</f>
        <v>Cartel PVC 40x30 Atencion Grua Accionada a distan.</v>
      </c>
      <c r="C216" s="4">
        <f>IFERROR(__xludf.DUMMYFUNCTION("""COMPUTED_VALUE"""),2.48)</f>
        <v>2.48</v>
      </c>
      <c r="D216" s="4">
        <f>IFERROR(__xludf.DUMMYFUNCTION("""COMPUTED_VALUE"""),1.8)</f>
        <v>1.8</v>
      </c>
      <c r="E216" s="4" t="str">
        <f>IFERROR(__xludf.DUMMYFUNCTION("""COMPUTED_VALUE"""),"Neto: 1,80 € (a partir de 1 uds.)")</f>
        <v>Neto: 1,80 € (a partir de 1 uds.)</v>
      </c>
    </row>
    <row r="217">
      <c r="A217" s="4" t="str">
        <f>IFERROR(__xludf.DUMMYFUNCTION("""COMPUTED_VALUE"""),"0270P")</f>
        <v>0270P</v>
      </c>
      <c r="B217" s="4" t="str">
        <f>IFERROR(__xludf.DUMMYFUNCTION("""COMPUTED_VALUE"""),"Cartel PVC 21x29 ATENCION GRUA ACCIONADA A")</f>
        <v>Cartel PVC 21x29 ATENCION GRUA ACCIONADA A</v>
      </c>
      <c r="C217" s="4">
        <f>IFERROR(__xludf.DUMMYFUNCTION("""COMPUTED_VALUE"""),1.6)</f>
        <v>1.6</v>
      </c>
      <c r="D217" s="4">
        <f>IFERROR(__xludf.DUMMYFUNCTION("""COMPUTED_VALUE"""),1.2)</f>
        <v>1.2</v>
      </c>
      <c r="E217" s="4" t="str">
        <f>IFERROR(__xludf.DUMMYFUNCTION("""COMPUTED_VALUE"""),"Neto: 1,20 € (a partir de 1 uds.)")</f>
        <v>Neto: 1,20 € (a partir de 1 uds.)</v>
      </c>
    </row>
    <row r="218">
      <c r="A218" s="4" t="str">
        <f>IFERROR(__xludf.DUMMYFUNCTION("""COMPUTED_VALUE"""),"271")</f>
        <v>271</v>
      </c>
      <c r="B218" s="4" t="str">
        <f>IFERROR(__xludf.DUMMYFUNCTION("""COMPUTED_VALUE"""),"Cartel PVC 40x30 EX 40x30 cm")</f>
        <v>Cartel PVC 40x30 EX 40x30 cm</v>
      </c>
      <c r="C218" s="4">
        <f>IFERROR(__xludf.DUMMYFUNCTION("""COMPUTED_VALUE"""),2.48)</f>
        <v>2.48</v>
      </c>
      <c r="D218" s="4">
        <f>IFERROR(__xludf.DUMMYFUNCTION("""COMPUTED_VALUE"""),1.8)</f>
        <v>1.8</v>
      </c>
      <c r="E218" s="4" t="str">
        <f>IFERROR(__xludf.DUMMYFUNCTION("""COMPUTED_VALUE"""),"Neto: 1,80 € (a partir de 1 uds.)")</f>
        <v>Neto: 1,80 € (a partir de 1 uds.)</v>
      </c>
    </row>
    <row r="219">
      <c r="A219" s="4" t="str">
        <f>IFERROR(__xludf.DUMMYFUNCTION("""COMPUTED_VALUE"""),"0271P")</f>
        <v>0271P</v>
      </c>
      <c r="B219" s="4" t="str">
        <f>IFERROR(__xludf.DUMMYFUNCTION("""COMPUTED_VALUE"""),"Cartel PVC 21x29 EX 21x29 cm")</f>
        <v>Cartel PVC 21x29 EX 21x29 cm</v>
      </c>
      <c r="C219" s="4">
        <f>IFERROR(__xludf.DUMMYFUNCTION("""COMPUTED_VALUE"""),1.6)</f>
        <v>1.6</v>
      </c>
      <c r="D219" s="4">
        <f>IFERROR(__xludf.DUMMYFUNCTION("""COMPUTED_VALUE"""),1.2)</f>
        <v>1.2</v>
      </c>
      <c r="E219" s="4" t="str">
        <f>IFERROR(__xludf.DUMMYFUNCTION("""COMPUTED_VALUE"""),"Neto: 1,20 € (a partir de 1 uds.)")</f>
        <v>Neto: 1,20 € (a partir de 1 uds.)</v>
      </c>
    </row>
    <row r="220">
      <c r="A220" s="4" t="str">
        <f>IFERROR(__xludf.DUMMYFUNCTION("""COMPUTED_VALUE"""),"272")</f>
        <v>272</v>
      </c>
      <c r="B220" s="4" t="str">
        <f>IFERROR(__xludf.DUMMYFUNCTION("""COMPUTED_VALUE"""),"Cartel PVC 40x30 Peligro Voladuras")</f>
        <v>Cartel PVC 40x30 Peligro Voladuras</v>
      </c>
      <c r="C220" s="4">
        <f>IFERROR(__xludf.DUMMYFUNCTION("""COMPUTED_VALUE"""),2.48)</f>
        <v>2.48</v>
      </c>
      <c r="D220" s="4">
        <f>IFERROR(__xludf.DUMMYFUNCTION("""COMPUTED_VALUE"""),1.8)</f>
        <v>1.8</v>
      </c>
      <c r="E220" s="4" t="str">
        <f>IFERROR(__xludf.DUMMYFUNCTION("""COMPUTED_VALUE"""),"Neto: 1,80 € (a partir de 1 uds.)")</f>
        <v>Neto: 1,80 € (a partir de 1 uds.)</v>
      </c>
    </row>
    <row r="221">
      <c r="A221" s="4" t="str">
        <f>IFERROR(__xludf.DUMMYFUNCTION("""COMPUTED_VALUE"""),"0272P")</f>
        <v>0272P</v>
      </c>
      <c r="B221" s="4" t="str">
        <f>IFERROR(__xludf.DUMMYFUNCTION("""COMPUTED_VALUE"""),"Cartel PVC 21x29 PELIGRO VOLADURA")</f>
        <v>Cartel PVC 21x29 PELIGRO VOLADURA</v>
      </c>
      <c r="C221" s="4">
        <f>IFERROR(__xludf.DUMMYFUNCTION("""COMPUTED_VALUE"""),1.6)</f>
        <v>1.6</v>
      </c>
      <c r="D221" s="4">
        <f>IFERROR(__xludf.DUMMYFUNCTION("""COMPUTED_VALUE"""),1.2)</f>
        <v>1.2</v>
      </c>
      <c r="E221" s="4" t="str">
        <f>IFERROR(__xludf.DUMMYFUNCTION("""COMPUTED_VALUE"""),"Neto: 1,20 € (a partir de 1 uds.)")</f>
        <v>Neto: 1,20 € (a partir de 1 uds.)</v>
      </c>
    </row>
    <row r="222">
      <c r="A222" s="4" t="str">
        <f>IFERROR(__xludf.DUMMYFUNCTION("""COMPUTED_VALUE"""),"273")</f>
        <v>273</v>
      </c>
      <c r="B222" s="4" t="str">
        <f>IFERROR(__xludf.DUMMYFUNCTION("""COMPUTED_VALUE"""),"Cartel PVC 40x30 Prohib. Manipular valvula")</f>
        <v>Cartel PVC 40x30 Prohib. Manipular valvula</v>
      </c>
      <c r="C222" s="4">
        <f>IFERROR(__xludf.DUMMYFUNCTION("""COMPUTED_VALUE"""),2.48)</f>
        <v>2.48</v>
      </c>
      <c r="D222" s="4">
        <f>IFERROR(__xludf.DUMMYFUNCTION("""COMPUTED_VALUE"""),1.8)</f>
        <v>1.8</v>
      </c>
      <c r="E222" s="4" t="str">
        <f>IFERROR(__xludf.DUMMYFUNCTION("""COMPUTED_VALUE"""),"Neto: 1,80 € (a partir de 1 uds.)")</f>
        <v>Neto: 1,80 € (a partir de 1 uds.)</v>
      </c>
    </row>
    <row r="223">
      <c r="A223" s="4" t="str">
        <f>IFERROR(__xludf.DUMMYFUNCTION("""COMPUTED_VALUE"""),"0273P")</f>
        <v>0273P</v>
      </c>
      <c r="B223" s="4" t="str">
        <f>IFERROR(__xludf.DUMMYFUNCTION("""COMPUTED_VALUE"""),"Cartel PVC 21x29 PROHIBIDO MANIPULAR LA VALVULA")</f>
        <v>Cartel PVC 21x29 PROHIBIDO MANIPULAR LA VALVULA</v>
      </c>
      <c r="C223" s="4">
        <f>IFERROR(__xludf.DUMMYFUNCTION("""COMPUTED_VALUE"""),1.6)</f>
        <v>1.6</v>
      </c>
      <c r="D223" s="4">
        <f>IFERROR(__xludf.DUMMYFUNCTION("""COMPUTED_VALUE"""),1.2)</f>
        <v>1.2</v>
      </c>
      <c r="E223" s="4" t="str">
        <f>IFERROR(__xludf.DUMMYFUNCTION("""COMPUTED_VALUE"""),"Neto: 1,20 € (a partir de 1 uds.)")</f>
        <v>Neto: 1,20 € (a partir de 1 uds.)</v>
      </c>
    </row>
    <row r="224">
      <c r="A224" s="4" t="str">
        <f>IFERROR(__xludf.DUMMYFUNCTION("""COMPUTED_VALUE"""),"274")</f>
        <v>274</v>
      </c>
      <c r="B224" s="4" t="str">
        <f>IFERROR(__xludf.DUMMYFUNCTION("""COMPUTED_VALUE"""),"Cartel PVC 40x30 Prohibido Engrasar en funcionamiento")</f>
        <v>Cartel PVC 40x30 Prohibido Engrasar en funcionamiento</v>
      </c>
      <c r="C224" s="4">
        <f>IFERROR(__xludf.DUMMYFUNCTION("""COMPUTED_VALUE"""),2.48)</f>
        <v>2.48</v>
      </c>
      <c r="D224" s="4">
        <f>IFERROR(__xludf.DUMMYFUNCTION("""COMPUTED_VALUE"""),1.8)</f>
        <v>1.8</v>
      </c>
      <c r="E224" s="4" t="str">
        <f>IFERROR(__xludf.DUMMYFUNCTION("""COMPUTED_VALUE"""),"Neto: 1,80 € (a partir de 1 uds.)")</f>
        <v>Neto: 1,80 € (a partir de 1 uds.)</v>
      </c>
    </row>
    <row r="225">
      <c r="A225" s="4" t="str">
        <f>IFERROR(__xludf.DUMMYFUNCTION("""COMPUTED_VALUE"""),"0274P")</f>
        <v>0274P</v>
      </c>
      <c r="B225" s="4" t="str">
        <f>IFERROR(__xludf.DUMMYFUNCTION("""COMPUTED_VALUE"""),"Cartel PVC 21x29 PROHIBIDO ENGRASAR O REPARAR")</f>
        <v>Cartel PVC 21x29 PROHIBIDO ENGRASAR O REPARAR</v>
      </c>
      <c r="C225" s="4">
        <f>IFERROR(__xludf.DUMMYFUNCTION("""COMPUTED_VALUE"""),1.6)</f>
        <v>1.6</v>
      </c>
      <c r="D225" s="4">
        <f>IFERROR(__xludf.DUMMYFUNCTION("""COMPUTED_VALUE"""),1.2)</f>
        <v>1.2</v>
      </c>
      <c r="E225" s="4" t="str">
        <f>IFERROR(__xludf.DUMMYFUNCTION("""COMPUTED_VALUE"""),"Neto: 1,20 € (a partir de 1 uds.)")</f>
        <v>Neto: 1,20 € (a partir de 1 uds.)</v>
      </c>
    </row>
    <row r="226">
      <c r="A226" s="4" t="str">
        <f>IFERROR(__xludf.DUMMYFUNCTION("""COMPUTED_VALUE"""),"275")</f>
        <v>275</v>
      </c>
      <c r="B226" s="4" t="str">
        <f>IFERROR(__xludf.DUMMYFUNCTION("""COMPUTED_VALUE"""),"Cartel PVC 40x30 Prohib. efectuar reparaciones pers. no")</f>
        <v>Cartel PVC 40x30 Prohib. efectuar reparaciones pers. no</v>
      </c>
      <c r="C226" s="4">
        <f>IFERROR(__xludf.DUMMYFUNCTION("""COMPUTED_VALUE"""),2.48)</f>
        <v>2.48</v>
      </c>
      <c r="D226" s="4">
        <f>IFERROR(__xludf.DUMMYFUNCTION("""COMPUTED_VALUE"""),1.8)</f>
        <v>1.8</v>
      </c>
      <c r="E226" s="4" t="str">
        <f>IFERROR(__xludf.DUMMYFUNCTION("""COMPUTED_VALUE"""),"Neto: 1,80 € (a partir de 1 uds.)")</f>
        <v>Neto: 1,80 € (a partir de 1 uds.)</v>
      </c>
    </row>
    <row r="227">
      <c r="A227" s="4" t="str">
        <f>IFERROR(__xludf.DUMMYFUNCTION("""COMPUTED_VALUE"""),"0275P")</f>
        <v>0275P</v>
      </c>
      <c r="B227" s="4" t="str">
        <f>IFERROR(__xludf.DUMMYFUNCTION("""COMPUTED_VALUE"""),"Cartel PVC 21x29 PROHIBIDO REPARACIONES PERSONAL")</f>
        <v>Cartel PVC 21x29 PROHIBIDO REPARACIONES PERSONAL</v>
      </c>
      <c r="C227" s="4">
        <f>IFERROR(__xludf.DUMMYFUNCTION("""COMPUTED_VALUE"""),1.6)</f>
        <v>1.6</v>
      </c>
      <c r="D227" s="4">
        <f>IFERROR(__xludf.DUMMYFUNCTION("""COMPUTED_VALUE"""),1.2)</f>
        <v>1.2</v>
      </c>
      <c r="E227" s="4" t="str">
        <f>IFERROR(__xludf.DUMMYFUNCTION("""COMPUTED_VALUE"""),"Neto: 1,20 € (a partir de 1 uds.)")</f>
        <v>Neto: 1,20 € (a partir de 1 uds.)</v>
      </c>
    </row>
    <row r="228">
      <c r="A228" s="4" t="str">
        <f>IFERROR(__xludf.DUMMYFUNCTION("""COMPUTED_VALUE"""),"276")</f>
        <v>276</v>
      </c>
      <c r="B228" s="4" t="str">
        <f>IFERROR(__xludf.DUMMYFUNCTION("""COMPUTED_VALUE"""),"Cartel PVC 40x30 Prohib. Manipular maquina en")</f>
        <v>Cartel PVC 40x30 Prohib. Manipular maquina en</v>
      </c>
      <c r="C228" s="4">
        <f>IFERROR(__xludf.DUMMYFUNCTION("""COMPUTED_VALUE"""),2.48)</f>
        <v>2.48</v>
      </c>
      <c r="D228" s="4">
        <f>IFERROR(__xludf.DUMMYFUNCTION("""COMPUTED_VALUE"""),1.8)</f>
        <v>1.8</v>
      </c>
      <c r="E228" s="4" t="str">
        <f>IFERROR(__xludf.DUMMYFUNCTION("""COMPUTED_VALUE"""),"Neto: 1,80 € (a partir de 1 uds.)")</f>
        <v>Neto: 1,80 € (a partir de 1 uds.)</v>
      </c>
    </row>
    <row r="229">
      <c r="A229" s="4" t="str">
        <f>IFERROR(__xludf.DUMMYFUNCTION("""COMPUTED_VALUE"""),"0276P")</f>
        <v>0276P</v>
      </c>
      <c r="B229" s="4" t="str">
        <f>IFERROR(__xludf.DUMMYFUNCTION("""COMPUTED_VALUE"""),"Cartel PVC 21x29 PROHIBIDO MANIPULAR LA MAQUINA EN")</f>
        <v>Cartel PVC 21x29 PROHIBIDO MANIPULAR LA MAQUINA EN</v>
      </c>
      <c r="C229" s="4">
        <f>IFERROR(__xludf.DUMMYFUNCTION("""COMPUTED_VALUE"""),1.6)</f>
        <v>1.6</v>
      </c>
      <c r="D229" s="4">
        <f>IFERROR(__xludf.DUMMYFUNCTION("""COMPUTED_VALUE"""),1.2)</f>
        <v>1.2</v>
      </c>
      <c r="E229" s="4" t="str">
        <f>IFERROR(__xludf.DUMMYFUNCTION("""COMPUTED_VALUE"""),"Neto: 1,20 € (a partir de 1 uds.)")</f>
        <v>Neto: 1,20 € (a partir de 1 uds.)</v>
      </c>
    </row>
    <row r="230">
      <c r="A230" s="4" t="str">
        <f>IFERROR(__xludf.DUMMYFUNCTION("""COMPUTED_VALUE"""),"277")</f>
        <v>277</v>
      </c>
      <c r="B230" s="4" t="str">
        <f>IFERROR(__xludf.DUMMYFUNCTION("""COMPUTED_VALUE"""),"Cartel PVC 40x30 Area de Ruido Peligroso")</f>
        <v>Cartel PVC 40x30 Area de Ruido Peligroso</v>
      </c>
      <c r="C230" s="4">
        <f>IFERROR(__xludf.DUMMYFUNCTION("""COMPUTED_VALUE"""),2.48)</f>
        <v>2.48</v>
      </c>
      <c r="D230" s="4">
        <f>IFERROR(__xludf.DUMMYFUNCTION("""COMPUTED_VALUE"""),1.8)</f>
        <v>1.8</v>
      </c>
      <c r="E230" s="4" t="str">
        <f>IFERROR(__xludf.DUMMYFUNCTION("""COMPUTED_VALUE"""),"Neto: 1,80 € (a partir de 1 uds.)")</f>
        <v>Neto: 1,80 € (a partir de 1 uds.)</v>
      </c>
    </row>
    <row r="231">
      <c r="A231" s="4" t="str">
        <f>IFERROR(__xludf.DUMMYFUNCTION("""COMPUTED_VALUE"""),"0277P")</f>
        <v>0277P</v>
      </c>
      <c r="B231" s="4" t="str">
        <f>IFERROR(__xludf.DUMMYFUNCTION("""COMPUTED_VALUE"""),"Cartel PVC 21x29 ATENCION AREA RUIDO PELIGROSO")</f>
        <v>Cartel PVC 21x29 ATENCION AREA RUIDO PELIGROSO</v>
      </c>
      <c r="C231" s="4">
        <f>IFERROR(__xludf.DUMMYFUNCTION("""COMPUTED_VALUE"""),1.6)</f>
        <v>1.6</v>
      </c>
      <c r="D231" s="4">
        <f>IFERROR(__xludf.DUMMYFUNCTION("""COMPUTED_VALUE"""),1.2)</f>
        <v>1.2</v>
      </c>
      <c r="E231" s="4" t="str">
        <f>IFERROR(__xludf.DUMMYFUNCTION("""COMPUTED_VALUE"""),"Neto: 1,20 € (a partir de 1 uds.)")</f>
        <v>Neto: 1,20 € (a partir de 1 uds.)</v>
      </c>
    </row>
    <row r="232">
      <c r="A232" s="4" t="str">
        <f>IFERROR(__xludf.DUMMYFUNCTION("""COMPUTED_VALUE"""),"278")</f>
        <v>278</v>
      </c>
      <c r="B232" s="4" t="str">
        <f>IFERROR(__xludf.DUMMYFUNCTION("""COMPUTED_VALUE"""),"Cartel PVC 40x30 Prohib. la entrada con perros")</f>
        <v>Cartel PVC 40x30 Prohib. la entrada con perros</v>
      </c>
      <c r="C232" s="4">
        <f>IFERROR(__xludf.DUMMYFUNCTION("""COMPUTED_VALUE"""),2.48)</f>
        <v>2.48</v>
      </c>
      <c r="D232" s="4">
        <f>IFERROR(__xludf.DUMMYFUNCTION("""COMPUTED_VALUE"""),1.8)</f>
        <v>1.8</v>
      </c>
      <c r="E232" s="4" t="str">
        <f>IFERROR(__xludf.DUMMYFUNCTION("""COMPUTED_VALUE"""),"Neto: 1,80 € (a partir de 1 uds.)")</f>
        <v>Neto: 1,80 € (a partir de 1 uds.)</v>
      </c>
    </row>
    <row r="233">
      <c r="A233" s="4" t="str">
        <f>IFERROR(__xludf.DUMMYFUNCTION("""COMPUTED_VALUE"""),"0278P")</f>
        <v>0278P</v>
      </c>
      <c r="B233" s="4" t="str">
        <f>IFERROR(__xludf.DUMMYFUNCTION("""COMPUTED_VALUE"""),"Cartel PVC 21x29 PROHIBIDO LA ENTRADA CON PERROS")</f>
        <v>Cartel PVC 21x29 PROHIBIDO LA ENTRADA CON PERROS</v>
      </c>
      <c r="C233" s="4">
        <f>IFERROR(__xludf.DUMMYFUNCTION("""COMPUTED_VALUE"""),1.6)</f>
        <v>1.6</v>
      </c>
      <c r="D233" s="4">
        <f>IFERROR(__xludf.DUMMYFUNCTION("""COMPUTED_VALUE"""),1.2)</f>
        <v>1.2</v>
      </c>
      <c r="E233" s="4" t="str">
        <f>IFERROR(__xludf.DUMMYFUNCTION("""COMPUTED_VALUE"""),"Neto: 1,20 € (a partir de 1 uds.)")</f>
        <v>Neto: 1,20 € (a partir de 1 uds.)</v>
      </c>
    </row>
    <row r="234">
      <c r="A234" s="4" t="str">
        <f>IFERROR(__xludf.DUMMYFUNCTION("""COMPUTED_VALUE"""),"279")</f>
        <v>279</v>
      </c>
      <c r="B234" s="4" t="str">
        <f>IFERROR(__xludf.DUMMYFUNCTION("""COMPUTED_VALUE"""),"Cartel PVC 40x30 Prohibido arrojar objetos")</f>
        <v>Cartel PVC 40x30 Prohibido arrojar objetos</v>
      </c>
      <c r="C234" s="4">
        <f>IFERROR(__xludf.DUMMYFUNCTION("""COMPUTED_VALUE"""),2.48)</f>
        <v>2.48</v>
      </c>
      <c r="D234" s="4">
        <f>IFERROR(__xludf.DUMMYFUNCTION("""COMPUTED_VALUE"""),1.8)</f>
        <v>1.8</v>
      </c>
      <c r="E234" s="4" t="str">
        <f>IFERROR(__xludf.DUMMYFUNCTION("""COMPUTED_VALUE"""),"Neto: 1,80 € (a partir de 1 uds.)")</f>
        <v>Neto: 1,80 € (a partir de 1 uds.)</v>
      </c>
    </row>
    <row r="235">
      <c r="A235" s="4" t="str">
        <f>IFERROR(__xludf.DUMMYFUNCTION("""COMPUTED_VALUE"""),"0279P")</f>
        <v>0279P</v>
      </c>
      <c r="B235" s="4" t="str">
        <f>IFERROR(__xludf.DUMMYFUNCTION("""COMPUTED_VALUE"""),"Cartel PVC 21x29 PROHIBIDO ARROJAR OBJETOS AL")</f>
        <v>Cartel PVC 21x29 PROHIBIDO ARROJAR OBJETOS AL</v>
      </c>
      <c r="C235" s="4">
        <f>IFERROR(__xludf.DUMMYFUNCTION("""COMPUTED_VALUE"""),1.6)</f>
        <v>1.6</v>
      </c>
      <c r="D235" s="4">
        <f>IFERROR(__xludf.DUMMYFUNCTION("""COMPUTED_VALUE"""),1.2)</f>
        <v>1.2</v>
      </c>
      <c r="E235" s="4" t="str">
        <f>IFERROR(__xludf.DUMMYFUNCTION("""COMPUTED_VALUE"""),"Neto: 1,20 € (a partir de 1 uds.)")</f>
        <v>Neto: 1,20 € (a partir de 1 uds.)</v>
      </c>
    </row>
    <row r="236">
      <c r="A236" s="4" t="str">
        <f>IFERROR(__xludf.DUMMYFUNCTION("""COMPUTED_VALUE"""),"280")</f>
        <v>280</v>
      </c>
      <c r="B236" s="4" t="str">
        <f>IFERROR(__xludf.DUMMYFUNCTION("""COMPUTED_VALUE"""),"Cartel PVC 40x30 Alto No Pasar")</f>
        <v>Cartel PVC 40x30 Alto No Pasar</v>
      </c>
      <c r="C236" s="4">
        <f>IFERROR(__xludf.DUMMYFUNCTION("""COMPUTED_VALUE"""),2.48)</f>
        <v>2.48</v>
      </c>
      <c r="D236" s="4">
        <f>IFERROR(__xludf.DUMMYFUNCTION("""COMPUTED_VALUE"""),1.8)</f>
        <v>1.8</v>
      </c>
      <c r="E236" s="4" t="str">
        <f>IFERROR(__xludf.DUMMYFUNCTION("""COMPUTED_VALUE"""),"Neto: 1,80 € (a partir de 1 uds.)")</f>
        <v>Neto: 1,80 € (a partir de 1 uds.)</v>
      </c>
    </row>
    <row r="237">
      <c r="A237" s="4" t="str">
        <f>IFERROR(__xludf.DUMMYFUNCTION("""COMPUTED_VALUE"""),"0280P")</f>
        <v>0280P</v>
      </c>
      <c r="B237" s="4" t="str">
        <f>IFERROR(__xludf.DUMMYFUNCTION("""COMPUTED_VALUE"""),"Cartel PVC 21x29 ALTO NO PASAR")</f>
        <v>Cartel PVC 21x29 ALTO NO PASAR</v>
      </c>
      <c r="C237" s="4">
        <f>IFERROR(__xludf.DUMMYFUNCTION("""COMPUTED_VALUE"""),1.6)</f>
        <v>1.6</v>
      </c>
      <c r="D237" s="4">
        <f>IFERROR(__xludf.DUMMYFUNCTION("""COMPUTED_VALUE"""),1.2)</f>
        <v>1.2</v>
      </c>
      <c r="E237" s="4" t="str">
        <f>IFERROR(__xludf.DUMMYFUNCTION("""COMPUTED_VALUE"""),"Neto: 1,20 € (a partir de 1 uds.)")</f>
        <v>Neto: 1,20 € (a partir de 1 uds.)</v>
      </c>
    </row>
    <row r="238">
      <c r="A238" s="4" t="str">
        <f>IFERROR(__xludf.DUMMYFUNCTION("""COMPUTED_VALUE"""),"281")</f>
        <v>281</v>
      </c>
      <c r="B238" s="4" t="str">
        <f>IFERROR(__xludf.DUMMYFUNCTION("""COMPUTED_VALUE"""),"Cartel PVC 40x30 Agua no Potable")</f>
        <v>Cartel PVC 40x30 Agua no Potable</v>
      </c>
      <c r="C238" s="4">
        <f>IFERROR(__xludf.DUMMYFUNCTION("""COMPUTED_VALUE"""),2.48)</f>
        <v>2.48</v>
      </c>
      <c r="D238" s="4">
        <f>IFERROR(__xludf.DUMMYFUNCTION("""COMPUTED_VALUE"""),1.8)</f>
        <v>1.8</v>
      </c>
      <c r="E238" s="4" t="str">
        <f>IFERROR(__xludf.DUMMYFUNCTION("""COMPUTED_VALUE"""),"Neto: 1,80 € (a partir de 1 uds.)")</f>
        <v>Neto: 1,80 € (a partir de 1 uds.)</v>
      </c>
    </row>
    <row r="239">
      <c r="A239" s="4" t="str">
        <f>IFERROR(__xludf.DUMMYFUNCTION("""COMPUTED_VALUE"""),"0281P")</f>
        <v>0281P</v>
      </c>
      <c r="B239" s="4" t="str">
        <f>IFERROR(__xludf.DUMMYFUNCTION("""COMPUTED_VALUE"""),"Cartel PVC 21x29 AGUA NO POTABLE")</f>
        <v>Cartel PVC 21x29 AGUA NO POTABLE</v>
      </c>
      <c r="C239" s="4">
        <f>IFERROR(__xludf.DUMMYFUNCTION("""COMPUTED_VALUE"""),1.6)</f>
        <v>1.6</v>
      </c>
      <c r="D239" s="4">
        <f>IFERROR(__xludf.DUMMYFUNCTION("""COMPUTED_VALUE"""),1.2)</f>
        <v>1.2</v>
      </c>
      <c r="E239" s="4" t="str">
        <f>IFERROR(__xludf.DUMMYFUNCTION("""COMPUTED_VALUE"""),"Neto: 1,20 € (a partir de 1 uds.)")</f>
        <v>Neto: 1,20 € (a partir de 1 uds.)</v>
      </c>
    </row>
    <row r="240">
      <c r="A240" s="4" t="str">
        <f>IFERROR(__xludf.DUMMYFUNCTION("""COMPUTED_VALUE"""),"282")</f>
        <v>282</v>
      </c>
      <c r="B240" s="4" t="str">
        <f>IFERROR(__xludf.DUMMYFUNCTION("""COMPUTED_VALUE"""),"Cartel PVC 40x30 Prohibido El Paso")</f>
        <v>Cartel PVC 40x30 Prohibido El Paso</v>
      </c>
      <c r="C240" s="4">
        <f>IFERROR(__xludf.DUMMYFUNCTION("""COMPUTED_VALUE"""),2.48)</f>
        <v>2.48</v>
      </c>
      <c r="D240" s="4">
        <f>IFERROR(__xludf.DUMMYFUNCTION("""COMPUTED_VALUE"""),1.8)</f>
        <v>1.8</v>
      </c>
      <c r="E240" s="4" t="str">
        <f>IFERROR(__xludf.DUMMYFUNCTION("""COMPUTED_VALUE"""),"Neto: 1,80 € (a partir de 1 uds.)")</f>
        <v>Neto: 1,80 € (a partir de 1 uds.)</v>
      </c>
    </row>
    <row r="241">
      <c r="A241" s="4" t="str">
        <f>IFERROR(__xludf.DUMMYFUNCTION("""COMPUTED_VALUE"""),"0282P")</f>
        <v>0282P</v>
      </c>
      <c r="B241" s="4" t="str">
        <f>IFERROR(__xludf.DUMMYFUNCTION("""COMPUTED_VALUE"""),"Cartel PVC 21x29 PROHIBIDO EL PASO")</f>
        <v>Cartel PVC 21x29 PROHIBIDO EL PASO</v>
      </c>
      <c r="C241" s="4">
        <f>IFERROR(__xludf.DUMMYFUNCTION("""COMPUTED_VALUE"""),1.6)</f>
        <v>1.6</v>
      </c>
      <c r="D241" s="4">
        <f>IFERROR(__xludf.DUMMYFUNCTION("""COMPUTED_VALUE"""),1.2)</f>
        <v>1.2</v>
      </c>
      <c r="E241" s="4" t="str">
        <f>IFERROR(__xludf.DUMMYFUNCTION("""COMPUTED_VALUE"""),"Neto: 1,20 € (a partir de 1 uds.)")</f>
        <v>Neto: 1,20 € (a partir de 1 uds.)</v>
      </c>
    </row>
    <row r="242">
      <c r="A242" s="4" t="str">
        <f>IFERROR(__xludf.DUMMYFUNCTION("""COMPUTED_VALUE"""),"283")</f>
        <v>283</v>
      </c>
      <c r="B242" s="4" t="str">
        <f>IFERROR(__xludf.DUMMYFUNCTION("""COMPUTED_VALUE"""),"Cartel PVC 40x30 Prohib. Transportar personas")</f>
        <v>Cartel PVC 40x30 Prohib. Transportar personas</v>
      </c>
      <c r="C242" s="4">
        <f>IFERROR(__xludf.DUMMYFUNCTION("""COMPUTED_VALUE"""),2.48)</f>
        <v>2.48</v>
      </c>
      <c r="D242" s="4">
        <f>IFERROR(__xludf.DUMMYFUNCTION("""COMPUTED_VALUE"""),1.8)</f>
        <v>1.8</v>
      </c>
      <c r="E242" s="4" t="str">
        <f>IFERROR(__xludf.DUMMYFUNCTION("""COMPUTED_VALUE"""),"Neto: 1,80 € (a partir de 1 uds.)")</f>
        <v>Neto: 1,80 € (a partir de 1 uds.)</v>
      </c>
    </row>
    <row r="243">
      <c r="A243" s="4" t="str">
        <f>IFERROR(__xludf.DUMMYFUNCTION("""COMPUTED_VALUE"""),"0283P")</f>
        <v>0283P</v>
      </c>
      <c r="B243" s="4" t="str">
        <f>IFERROR(__xludf.DUMMYFUNCTION("""COMPUTED_VALUE"""),"Cartel PVC 21x29 PROHIBIDO TRANSPORTAR PERSONAS")</f>
        <v>Cartel PVC 21x29 PROHIBIDO TRANSPORTAR PERSONAS</v>
      </c>
      <c r="C243" s="4">
        <f>IFERROR(__xludf.DUMMYFUNCTION("""COMPUTED_VALUE"""),1.6)</f>
        <v>1.6</v>
      </c>
      <c r="D243" s="4">
        <f>IFERROR(__xludf.DUMMYFUNCTION("""COMPUTED_VALUE"""),1.2)</f>
        <v>1.2</v>
      </c>
      <c r="E243" s="4" t="str">
        <f>IFERROR(__xludf.DUMMYFUNCTION("""COMPUTED_VALUE"""),"Neto: 1,20 € (a partir de 1 uds.)")</f>
        <v>Neto: 1,20 € (a partir de 1 uds.)</v>
      </c>
    </row>
    <row r="244">
      <c r="A244" s="4" t="str">
        <f>IFERROR(__xludf.DUMMYFUNCTION("""COMPUTED_VALUE"""),"284")</f>
        <v>284</v>
      </c>
      <c r="B244" s="4" t="str">
        <f>IFERROR(__xludf.DUMMYFUNCTION("""COMPUTED_VALUE"""),"Cartel PVC 40x30 Prohib. Situarse debajo de la carga")</f>
        <v>Cartel PVC 40x30 Prohib. Situarse debajo de la carga</v>
      </c>
      <c r="C244" s="4">
        <f>IFERROR(__xludf.DUMMYFUNCTION("""COMPUTED_VALUE"""),2.48)</f>
        <v>2.48</v>
      </c>
      <c r="D244" s="4">
        <f>IFERROR(__xludf.DUMMYFUNCTION("""COMPUTED_VALUE"""),1.8)</f>
        <v>1.8</v>
      </c>
      <c r="E244" s="4" t="str">
        <f>IFERROR(__xludf.DUMMYFUNCTION("""COMPUTED_VALUE"""),"Neto: 1,80 € (a partir de 1 uds.)")</f>
        <v>Neto: 1,80 € (a partir de 1 uds.)</v>
      </c>
    </row>
    <row r="245">
      <c r="A245" s="4" t="str">
        <f>IFERROR(__xludf.DUMMYFUNCTION("""COMPUTED_VALUE"""),"0284P")</f>
        <v>0284P</v>
      </c>
      <c r="B245" s="4" t="str">
        <f>IFERROR(__xludf.DUMMYFUNCTION("""COMPUTED_VALUE"""),"Cartel PVC 21x29 PROHIBIDO SITUARSE DEBAJO DE LA")</f>
        <v>Cartel PVC 21x29 PROHIBIDO SITUARSE DEBAJO DE LA</v>
      </c>
      <c r="C245" s="4">
        <f>IFERROR(__xludf.DUMMYFUNCTION("""COMPUTED_VALUE"""),1.6)</f>
        <v>1.6</v>
      </c>
      <c r="D245" s="4">
        <f>IFERROR(__xludf.DUMMYFUNCTION("""COMPUTED_VALUE"""),1.2)</f>
        <v>1.2</v>
      </c>
      <c r="E245" s="4" t="str">
        <f>IFERROR(__xludf.DUMMYFUNCTION("""COMPUTED_VALUE"""),"Neto: 1,20 € (a partir de 1 uds.)")</f>
        <v>Neto: 1,20 € (a partir de 1 uds.)</v>
      </c>
    </row>
    <row r="246">
      <c r="A246" s="4" t="str">
        <f>IFERROR(__xludf.DUMMYFUNCTION("""COMPUTED_VALUE"""),"285")</f>
        <v>285</v>
      </c>
      <c r="B246" s="4" t="str">
        <f>IFERROR(__xludf.DUMMYFUNCTION("""COMPUTED_VALUE"""),"Cartel PVC 40x30 No utilizar en caso de Emergencia")</f>
        <v>Cartel PVC 40x30 No utilizar en caso de Emergencia</v>
      </c>
      <c r="C246" s="4">
        <f>IFERROR(__xludf.DUMMYFUNCTION("""COMPUTED_VALUE"""),2.48)</f>
        <v>2.48</v>
      </c>
      <c r="D246" s="4">
        <f>IFERROR(__xludf.DUMMYFUNCTION("""COMPUTED_VALUE"""),1.8)</f>
        <v>1.8</v>
      </c>
      <c r="E246" s="4" t="str">
        <f>IFERROR(__xludf.DUMMYFUNCTION("""COMPUTED_VALUE"""),"Neto: 1,80 € (a partir de 1 uds.)")</f>
        <v>Neto: 1,80 € (a partir de 1 uds.)</v>
      </c>
    </row>
    <row r="247">
      <c r="A247" s="4" t="str">
        <f>IFERROR(__xludf.DUMMYFUNCTION("""COMPUTED_VALUE"""),"0285P")</f>
        <v>0285P</v>
      </c>
      <c r="B247" s="4" t="str">
        <f>IFERROR(__xludf.DUMMYFUNCTION("""COMPUTED_VALUE"""),"Cartel PVC 21X29 NO UTILIZAR EN CASO DE EMERGENCIA")</f>
        <v>Cartel PVC 21X29 NO UTILIZAR EN CASO DE EMERGENCIA</v>
      </c>
      <c r="C247" s="4">
        <f>IFERROR(__xludf.DUMMYFUNCTION("""COMPUTED_VALUE"""),1.6)</f>
        <v>1.6</v>
      </c>
      <c r="D247" s="4">
        <f>IFERROR(__xludf.DUMMYFUNCTION("""COMPUTED_VALUE"""),1.2)</f>
        <v>1.2</v>
      </c>
      <c r="E247" s="4" t="str">
        <f>IFERROR(__xludf.DUMMYFUNCTION("""COMPUTED_VALUE"""),"Neto: 1,20 € (a partir de 1 uds.)")</f>
        <v>Neto: 1,20 € (a partir de 1 uds.)</v>
      </c>
    </row>
    <row r="248">
      <c r="A248" s="4" t="str">
        <f>IFERROR(__xludf.DUMMYFUNCTION("""COMPUTED_VALUE"""),"286")</f>
        <v>286</v>
      </c>
      <c r="B248" s="4" t="str">
        <f>IFERROR(__xludf.DUMMYFUNCTION("""COMPUTED_VALUE"""),"Cartel PVC 40x30 No utilizar Incendio")</f>
        <v>Cartel PVC 40x30 No utilizar Incendio</v>
      </c>
      <c r="C248" s="4">
        <f>IFERROR(__xludf.DUMMYFUNCTION("""COMPUTED_VALUE"""),2.48)</f>
        <v>2.48</v>
      </c>
      <c r="D248" s="4">
        <f>IFERROR(__xludf.DUMMYFUNCTION("""COMPUTED_VALUE"""),1.8)</f>
        <v>1.8</v>
      </c>
      <c r="E248" s="4" t="str">
        <f>IFERROR(__xludf.DUMMYFUNCTION("""COMPUTED_VALUE"""),"Neto: 1,80 € (a partir de 1 uds.)")</f>
        <v>Neto: 1,80 € (a partir de 1 uds.)</v>
      </c>
    </row>
    <row r="249">
      <c r="A249" s="4" t="str">
        <f>IFERROR(__xludf.DUMMYFUNCTION("""COMPUTED_VALUE"""),"0286P")</f>
        <v>0286P</v>
      </c>
      <c r="B249" s="4" t="str">
        <f>IFERROR(__xludf.DUMMYFUNCTION("""COMPUTED_VALUE"""),"Cartel PVC 21x29 NO UTILIZAR EN CASO DE INCENDIO")</f>
        <v>Cartel PVC 21x29 NO UTILIZAR EN CASO DE INCENDIO</v>
      </c>
      <c r="C249" s="4">
        <f>IFERROR(__xludf.DUMMYFUNCTION("""COMPUTED_VALUE"""),1.6)</f>
        <v>1.6</v>
      </c>
      <c r="D249" s="4">
        <f>IFERROR(__xludf.DUMMYFUNCTION("""COMPUTED_VALUE"""),1.2)</f>
        <v>1.2</v>
      </c>
      <c r="E249" s="4" t="str">
        <f>IFERROR(__xludf.DUMMYFUNCTION("""COMPUTED_VALUE"""),"Neto: 1,20 € (a partir de 1 uds.)")</f>
        <v>Neto: 1,20 € (a partir de 1 uds.)</v>
      </c>
    </row>
    <row r="250">
      <c r="A250" s="4" t="str">
        <f>IFERROR(__xludf.DUMMYFUNCTION("""COMPUTED_VALUE"""),"287")</f>
        <v>287</v>
      </c>
      <c r="B250" s="4" t="str">
        <f>IFERROR(__xludf.DUMMYFUNCTION("""COMPUTED_VALUE"""),"Cartel PVC 40x30 Atencion Altura Baja")</f>
        <v>Cartel PVC 40x30 Atencion Altura Baja</v>
      </c>
      <c r="C250" s="4">
        <f>IFERROR(__xludf.DUMMYFUNCTION("""COMPUTED_VALUE"""),2.48)</f>
        <v>2.48</v>
      </c>
      <c r="D250" s="4">
        <f>IFERROR(__xludf.DUMMYFUNCTION("""COMPUTED_VALUE"""),1.8)</f>
        <v>1.8</v>
      </c>
      <c r="E250" s="4" t="str">
        <f>IFERROR(__xludf.DUMMYFUNCTION("""COMPUTED_VALUE"""),"Neto: 1,80 € (a partir de 1 uds.)")</f>
        <v>Neto: 1,80 € (a partir de 1 uds.)</v>
      </c>
    </row>
    <row r="251">
      <c r="A251" s="4" t="str">
        <f>IFERROR(__xludf.DUMMYFUNCTION("""COMPUTED_VALUE"""),"0287P")</f>
        <v>0287P</v>
      </c>
      <c r="B251" s="4" t="str">
        <f>IFERROR(__xludf.DUMMYFUNCTION("""COMPUTED_VALUE"""),"Cartel PVC 21x29 ATENCION ALTURA BAJA")</f>
        <v>Cartel PVC 21x29 ATENCION ALTURA BAJA</v>
      </c>
      <c r="C251" s="4">
        <f>IFERROR(__xludf.DUMMYFUNCTION("""COMPUTED_VALUE"""),1.6)</f>
        <v>1.6</v>
      </c>
      <c r="D251" s="4">
        <f>IFERROR(__xludf.DUMMYFUNCTION("""COMPUTED_VALUE"""),1.2)</f>
        <v>1.2</v>
      </c>
      <c r="E251" s="4" t="str">
        <f>IFERROR(__xludf.DUMMYFUNCTION("""COMPUTED_VALUE"""),"Neto: 1,20 € (a partir de 1 uds.)")</f>
        <v>Neto: 1,20 € (a partir de 1 uds.)</v>
      </c>
    </row>
    <row r="252">
      <c r="A252" s="4" t="str">
        <f>IFERROR(__xludf.DUMMYFUNCTION("""COMPUTED_VALUE"""),"288")</f>
        <v>288</v>
      </c>
      <c r="B252" s="4" t="str">
        <f>IFERROR(__xludf.DUMMYFUNCTION("""COMPUTED_VALUE"""),"Cartel PVC 40x30 Prohibido Accionar o maniobrar")</f>
        <v>Cartel PVC 40x30 Prohibido Accionar o maniobrar</v>
      </c>
      <c r="C252" s="4">
        <f>IFERROR(__xludf.DUMMYFUNCTION("""COMPUTED_VALUE"""),2.48)</f>
        <v>2.48</v>
      </c>
      <c r="D252" s="4">
        <f>IFERROR(__xludf.DUMMYFUNCTION("""COMPUTED_VALUE"""),1.8)</f>
        <v>1.8</v>
      </c>
      <c r="E252" s="4" t="str">
        <f>IFERROR(__xludf.DUMMYFUNCTION("""COMPUTED_VALUE"""),"Neto: 1,80 € (a partir de 1 uds.)")</f>
        <v>Neto: 1,80 € (a partir de 1 uds.)</v>
      </c>
    </row>
    <row r="253">
      <c r="A253" s="4" t="str">
        <f>IFERROR(__xludf.DUMMYFUNCTION("""COMPUTED_VALUE"""),"0288P")</f>
        <v>0288P</v>
      </c>
      <c r="B253" s="4" t="str">
        <f>IFERROR(__xludf.DUMMYFUNCTION("""COMPUTED_VALUE"""),"Cartel PVC 21x29 PROHIBIDO ACCIONAR O MANIOBRAR")</f>
        <v>Cartel PVC 21x29 PROHIBIDO ACCIONAR O MANIOBRAR</v>
      </c>
      <c r="C253" s="4">
        <f>IFERROR(__xludf.DUMMYFUNCTION("""COMPUTED_VALUE"""),1.6)</f>
        <v>1.6</v>
      </c>
      <c r="D253" s="4">
        <f>IFERROR(__xludf.DUMMYFUNCTION("""COMPUTED_VALUE"""),1.2)</f>
        <v>1.2</v>
      </c>
      <c r="E253" s="4" t="str">
        <f>IFERROR(__xludf.DUMMYFUNCTION("""COMPUTED_VALUE"""),"Neto: 1,20 € (a partir de 1 uds.)")</f>
        <v>Neto: 1,20 € (a partir de 1 uds.)</v>
      </c>
    </row>
    <row r="254">
      <c r="A254" s="4" t="str">
        <f>IFERROR(__xludf.DUMMYFUNCTION("""COMPUTED_VALUE"""),"289")</f>
        <v>289</v>
      </c>
      <c r="B254" s="4" t="str">
        <f>IFERROR(__xludf.DUMMYFUNCTION("""COMPUTED_VALUE"""),"Cartel PVC 40x30 Fotolum.Hacha contra Incendio")</f>
        <v>Cartel PVC 40x30 Fotolum.Hacha contra Incendio</v>
      </c>
      <c r="C254" s="4">
        <f>IFERROR(__xludf.DUMMYFUNCTION("""COMPUTED_VALUE"""),2.48)</f>
        <v>2.48</v>
      </c>
      <c r="D254" s="4">
        <f>IFERROR(__xludf.DUMMYFUNCTION("""COMPUTED_VALUE"""),1.8)</f>
        <v>1.8</v>
      </c>
      <c r="E254" s="4" t="str">
        <f>IFERROR(__xludf.DUMMYFUNCTION("""COMPUTED_VALUE"""),"Neto: 1,80 € (a partir de 1 uds.)")</f>
        <v>Neto: 1,80 € (a partir de 1 uds.)</v>
      </c>
    </row>
    <row r="255">
      <c r="A255" s="4" t="str">
        <f>IFERROR(__xludf.DUMMYFUNCTION("""COMPUTED_VALUE"""),"0289A")</f>
        <v>0289A</v>
      </c>
      <c r="B255" s="4" t="str">
        <f>IFERROR(__xludf.DUMMYFUNCTION("""COMPUTED_VALUE"""),"Cartel PVC 32x16 Fotolum. No Exit")</f>
        <v>Cartel PVC 32x16 Fotolum. No Exit</v>
      </c>
      <c r="C255" s="4">
        <f>IFERROR(__xludf.DUMMYFUNCTION("""COMPUTED_VALUE"""),2.25)</f>
        <v>2.25</v>
      </c>
      <c r="D255" s="4"/>
      <c r="E255" s="4" t="str">
        <f>IFERROR(__xludf.DUMMYFUNCTION("""COMPUTED_VALUE"""),"Sin precio neto")</f>
        <v>Sin precio neto</v>
      </c>
    </row>
    <row r="256">
      <c r="A256" s="4" t="str">
        <f>IFERROR(__xludf.DUMMYFUNCTION("""COMPUTED_VALUE"""),"0289B")</f>
        <v>0289B</v>
      </c>
      <c r="B256" s="4" t="str">
        <f>IFERROR(__xludf.DUMMYFUNCTION("""COMPUTED_VALUE"""),"Cartel PVC 64x32 Fotolum. No Exit")</f>
        <v>Cartel PVC 64x32 Fotolum. No Exit</v>
      </c>
      <c r="C256" s="4">
        <f>IFERROR(__xludf.DUMMYFUNCTION("""COMPUTED_VALUE"""),4.48)</f>
        <v>4.48</v>
      </c>
      <c r="D256" s="4"/>
      <c r="E256" s="4" t="str">
        <f>IFERROR(__xludf.DUMMYFUNCTION("""COMPUTED_VALUE"""),"Sin precio neto")</f>
        <v>Sin precio neto</v>
      </c>
    </row>
    <row r="257">
      <c r="A257" s="4" t="str">
        <f>IFERROR(__xludf.DUMMYFUNCTION("""COMPUTED_VALUE"""),"0289C")</f>
        <v>0289C</v>
      </c>
      <c r="B257" s="4" t="str">
        <f>IFERROR(__xludf.DUMMYFUNCTION("""COMPUTED_VALUE"""),"Cartel PVC 96x48 Fotolum. No Exit")</f>
        <v>Cartel PVC 96x48 Fotolum. No Exit</v>
      </c>
      <c r="C257" s="4">
        <f>IFERROR(__xludf.DUMMYFUNCTION("""COMPUTED_VALUE"""),8.96)</f>
        <v>8.96</v>
      </c>
      <c r="D257" s="4"/>
      <c r="E257" s="4" t="str">
        <f>IFERROR(__xludf.DUMMYFUNCTION("""COMPUTED_VALUE"""),"Sin precio neto")</f>
        <v>Sin precio neto</v>
      </c>
    </row>
    <row r="258">
      <c r="A258" s="4" t="str">
        <f>IFERROR(__xludf.DUMMYFUNCTION("""COMPUTED_VALUE"""),"290")</f>
        <v>290</v>
      </c>
      <c r="B258" s="4" t="str">
        <f>IFERROR(__xludf.DUMMYFUNCTION("""COMPUTED_VALUE"""),"Cartel PVC 40x30 Peligro Alta Tension")</f>
        <v>Cartel PVC 40x30 Peligro Alta Tension</v>
      </c>
      <c r="C258" s="4">
        <f>IFERROR(__xludf.DUMMYFUNCTION("""COMPUTED_VALUE"""),2.48)</f>
        <v>2.48</v>
      </c>
      <c r="D258" s="4">
        <f>IFERROR(__xludf.DUMMYFUNCTION("""COMPUTED_VALUE"""),1.8)</f>
        <v>1.8</v>
      </c>
      <c r="E258" s="4" t="str">
        <f>IFERROR(__xludf.DUMMYFUNCTION("""COMPUTED_VALUE"""),"Neto: 1,80 € (a partir de 1 uds.)")</f>
        <v>Neto: 1,80 € (a partir de 1 uds.)</v>
      </c>
    </row>
    <row r="259">
      <c r="A259" s="4" t="str">
        <f>IFERROR(__xludf.DUMMYFUNCTION("""COMPUTED_VALUE"""),"0290P")</f>
        <v>0290P</v>
      </c>
      <c r="B259" s="4" t="str">
        <f>IFERROR(__xludf.DUMMYFUNCTION("""COMPUTED_VALUE"""),"Cartel PVC 21x29 PELIGRO ALTA TENSION")</f>
        <v>Cartel PVC 21x29 PELIGRO ALTA TENSION</v>
      </c>
      <c r="C259" s="4">
        <f>IFERROR(__xludf.DUMMYFUNCTION("""COMPUTED_VALUE"""),1.6)</f>
        <v>1.6</v>
      </c>
      <c r="D259" s="4">
        <f>IFERROR(__xludf.DUMMYFUNCTION("""COMPUTED_VALUE"""),1.2)</f>
        <v>1.2</v>
      </c>
      <c r="E259" s="4" t="str">
        <f>IFERROR(__xludf.DUMMYFUNCTION("""COMPUTED_VALUE"""),"Neto: 1,20 € (a partir de 1 uds.)")</f>
        <v>Neto: 1,20 € (a partir de 1 uds.)</v>
      </c>
    </row>
    <row r="260">
      <c r="A260" s="4" t="str">
        <f>IFERROR(__xludf.DUMMYFUNCTION("""COMPUTED_VALUE"""),"291")</f>
        <v>291</v>
      </c>
      <c r="B260" s="4" t="str">
        <f>IFERROR(__xludf.DUMMYFUNCTION("""COMPUTED_VALUE"""),"Cartel PVC 40x30 Peligro no maniobrar")</f>
        <v>Cartel PVC 40x30 Peligro no maniobrar</v>
      </c>
      <c r="C260" s="4">
        <f>IFERROR(__xludf.DUMMYFUNCTION("""COMPUTED_VALUE"""),2.48)</f>
        <v>2.48</v>
      </c>
      <c r="D260" s="4">
        <f>IFERROR(__xludf.DUMMYFUNCTION("""COMPUTED_VALUE"""),1.8)</f>
        <v>1.8</v>
      </c>
      <c r="E260" s="4" t="str">
        <f>IFERROR(__xludf.DUMMYFUNCTION("""COMPUTED_VALUE"""),"Neto: 1,80 € (a partir de 1 uds.)")</f>
        <v>Neto: 1,80 € (a partir de 1 uds.)</v>
      </c>
    </row>
    <row r="261">
      <c r="A261" s="4" t="str">
        <f>IFERROR(__xludf.DUMMYFUNCTION("""COMPUTED_VALUE"""),"0291P")</f>
        <v>0291P</v>
      </c>
      <c r="B261" s="4" t="str">
        <f>IFERROR(__xludf.DUMMYFUNCTION("""COMPUTED_VALUE"""),"Cartel PVC 21x29 PELIGRO NO MANIOBRAR. SOLO")</f>
        <v>Cartel PVC 21x29 PELIGRO NO MANIOBRAR. SOLO</v>
      </c>
      <c r="C261" s="4">
        <f>IFERROR(__xludf.DUMMYFUNCTION("""COMPUTED_VALUE"""),1.6)</f>
        <v>1.6</v>
      </c>
      <c r="D261" s="4">
        <f>IFERROR(__xludf.DUMMYFUNCTION("""COMPUTED_VALUE"""),1.2)</f>
        <v>1.2</v>
      </c>
      <c r="E261" s="4" t="str">
        <f>IFERROR(__xludf.DUMMYFUNCTION("""COMPUTED_VALUE"""),"Neto: 1,20 € (a partir de 1 uds.)")</f>
        <v>Neto: 1,20 € (a partir de 1 uds.)</v>
      </c>
    </row>
    <row r="262">
      <c r="A262" s="4" t="str">
        <f>IFERROR(__xludf.DUMMYFUNCTION("""COMPUTED_VALUE"""),"292")</f>
        <v>292</v>
      </c>
      <c r="B262" s="4" t="str">
        <f>IFERROR(__xludf.DUMMYFUNCTION("""COMPUTED_VALUE"""),"Cartel PVC 40x30 No Tocar")</f>
        <v>Cartel PVC 40x30 No Tocar</v>
      </c>
      <c r="C262" s="4">
        <f>IFERROR(__xludf.DUMMYFUNCTION("""COMPUTED_VALUE"""),2.48)</f>
        <v>2.48</v>
      </c>
      <c r="D262" s="4">
        <f>IFERROR(__xludf.DUMMYFUNCTION("""COMPUTED_VALUE"""),1.8)</f>
        <v>1.8</v>
      </c>
      <c r="E262" s="4" t="str">
        <f>IFERROR(__xludf.DUMMYFUNCTION("""COMPUTED_VALUE"""),"Neto: 1,80 € (a partir de 1 uds.)")</f>
        <v>Neto: 1,80 € (a partir de 1 uds.)</v>
      </c>
    </row>
    <row r="263">
      <c r="A263" s="4" t="str">
        <f>IFERROR(__xludf.DUMMYFUNCTION("""COMPUTED_VALUE"""),"0292P")</f>
        <v>0292P</v>
      </c>
      <c r="B263" s="4" t="str">
        <f>IFERROR(__xludf.DUMMYFUNCTION("""COMPUTED_VALUE"""),"Cartel PVC 21x29 NO TOCAR")</f>
        <v>Cartel PVC 21x29 NO TOCAR</v>
      </c>
      <c r="C263" s="4">
        <f>IFERROR(__xludf.DUMMYFUNCTION("""COMPUTED_VALUE"""),1.6)</f>
        <v>1.6</v>
      </c>
      <c r="D263" s="4">
        <f>IFERROR(__xludf.DUMMYFUNCTION("""COMPUTED_VALUE"""),1.2)</f>
        <v>1.2</v>
      </c>
      <c r="E263" s="4" t="str">
        <f>IFERROR(__xludf.DUMMYFUNCTION("""COMPUTED_VALUE"""),"Neto: 1,20 € (a partir de 1 uds.)")</f>
        <v>Neto: 1,20 € (a partir de 1 uds.)</v>
      </c>
    </row>
    <row r="264">
      <c r="A264" s="4" t="str">
        <f>IFERROR(__xludf.DUMMYFUNCTION("""COMPUTED_VALUE"""),"293")</f>
        <v>293</v>
      </c>
      <c r="B264" s="4" t="str">
        <f>IFERROR(__xludf.DUMMYFUNCTION("""COMPUTED_VALUE"""),"Cartel PVC 40x30 Peligro Materias Radioactivas")</f>
        <v>Cartel PVC 40x30 Peligro Materias Radioactivas</v>
      </c>
      <c r="C264" s="4">
        <f>IFERROR(__xludf.DUMMYFUNCTION("""COMPUTED_VALUE"""),2.48)</f>
        <v>2.48</v>
      </c>
      <c r="D264" s="4">
        <f>IFERROR(__xludf.DUMMYFUNCTION("""COMPUTED_VALUE"""),1.8)</f>
        <v>1.8</v>
      </c>
      <c r="E264" s="4" t="str">
        <f>IFERROR(__xludf.DUMMYFUNCTION("""COMPUTED_VALUE"""),"Neto: 1,80 € (a partir de 1 uds.)")</f>
        <v>Neto: 1,80 € (a partir de 1 uds.)</v>
      </c>
    </row>
    <row r="265">
      <c r="A265" s="4" t="str">
        <f>IFERROR(__xludf.DUMMYFUNCTION("""COMPUTED_VALUE"""),"0293P")</f>
        <v>0293P</v>
      </c>
      <c r="B265" s="4" t="str">
        <f>IFERROR(__xludf.DUMMYFUNCTION("""COMPUTED_VALUE"""),"Cartel PVC 21x29 PELIGRO MATERIAS RADIOACTIVAS")</f>
        <v>Cartel PVC 21x29 PELIGRO MATERIAS RADIOACTIVAS</v>
      </c>
      <c r="C265" s="4">
        <f>IFERROR(__xludf.DUMMYFUNCTION("""COMPUTED_VALUE"""),1.6)</f>
        <v>1.6</v>
      </c>
      <c r="D265" s="4">
        <f>IFERROR(__xludf.DUMMYFUNCTION("""COMPUTED_VALUE"""),1.2)</f>
        <v>1.2</v>
      </c>
      <c r="E265" s="4" t="str">
        <f>IFERROR(__xludf.DUMMYFUNCTION("""COMPUTED_VALUE"""),"Neto: 1,20 € (a partir de 1 uds.)")</f>
        <v>Neto: 1,20 € (a partir de 1 uds.)</v>
      </c>
    </row>
    <row r="266">
      <c r="A266" s="4" t="str">
        <f>IFERROR(__xludf.DUMMYFUNCTION("""COMPUTED_VALUE"""),"294")</f>
        <v>294</v>
      </c>
      <c r="B266" s="4" t="str">
        <f>IFERROR(__xludf.DUMMYFUNCTION("""COMPUTED_VALUE"""),"Cartel PVC 40x30 Peligro Radiaciones Laser")</f>
        <v>Cartel PVC 40x30 Peligro Radiaciones Laser</v>
      </c>
      <c r="C266" s="4">
        <f>IFERROR(__xludf.DUMMYFUNCTION("""COMPUTED_VALUE"""),2.48)</f>
        <v>2.48</v>
      </c>
      <c r="D266" s="4">
        <f>IFERROR(__xludf.DUMMYFUNCTION("""COMPUTED_VALUE"""),1.8)</f>
        <v>1.8</v>
      </c>
      <c r="E266" s="4" t="str">
        <f>IFERROR(__xludf.DUMMYFUNCTION("""COMPUTED_VALUE"""),"Neto: 1,80 € (a partir de 1 uds.)")</f>
        <v>Neto: 1,80 € (a partir de 1 uds.)</v>
      </c>
    </row>
    <row r="267">
      <c r="A267" s="4" t="str">
        <f>IFERROR(__xludf.DUMMYFUNCTION("""COMPUTED_VALUE"""),"0294P")</f>
        <v>0294P</v>
      </c>
      <c r="B267" s="4" t="str">
        <f>IFERROR(__xludf.DUMMYFUNCTION("""COMPUTED_VALUE"""),"Cartel PVC 21x29 PELIGRO RADIACIONES LASER")</f>
        <v>Cartel PVC 21x29 PELIGRO RADIACIONES LASER</v>
      </c>
      <c r="C267" s="4">
        <f>IFERROR(__xludf.DUMMYFUNCTION("""COMPUTED_VALUE"""),1.6)</f>
        <v>1.6</v>
      </c>
      <c r="D267" s="4">
        <f>IFERROR(__xludf.DUMMYFUNCTION("""COMPUTED_VALUE"""),1.2)</f>
        <v>1.2</v>
      </c>
      <c r="E267" s="4" t="str">
        <f>IFERROR(__xludf.DUMMYFUNCTION("""COMPUTED_VALUE"""),"Neto: 1,20 € (a partir de 1 uds.)")</f>
        <v>Neto: 1,20 € (a partir de 1 uds.)</v>
      </c>
    </row>
    <row r="268">
      <c r="A268" s="4" t="str">
        <f>IFERROR(__xludf.DUMMYFUNCTION("""COMPUTED_VALUE"""),"295")</f>
        <v>295</v>
      </c>
      <c r="B268" s="4" t="str">
        <f>IFERROR(__xludf.DUMMYFUNCTION("""COMPUTED_VALUE"""),"Cartel PVC 40x30 Riesgo Biologico")</f>
        <v>Cartel PVC 40x30 Riesgo Biologico</v>
      </c>
      <c r="C268" s="4">
        <f>IFERROR(__xludf.DUMMYFUNCTION("""COMPUTED_VALUE"""),2.48)</f>
        <v>2.48</v>
      </c>
      <c r="D268" s="4">
        <f>IFERROR(__xludf.DUMMYFUNCTION("""COMPUTED_VALUE"""),1.8)</f>
        <v>1.8</v>
      </c>
      <c r="E268" s="4" t="str">
        <f>IFERROR(__xludf.DUMMYFUNCTION("""COMPUTED_VALUE"""),"Neto: 1,80 € (a partir de 1 uds.)")</f>
        <v>Neto: 1,80 € (a partir de 1 uds.)</v>
      </c>
    </row>
    <row r="269">
      <c r="A269" s="4" t="str">
        <f>IFERROR(__xludf.DUMMYFUNCTION("""COMPUTED_VALUE"""),"0295P")</f>
        <v>0295P</v>
      </c>
      <c r="B269" s="4" t="str">
        <f>IFERROR(__xludf.DUMMYFUNCTION("""COMPUTED_VALUE"""),"Cartel PVC 21x29 PELIGRO RIESGO BIOLOGICO")</f>
        <v>Cartel PVC 21x29 PELIGRO RIESGO BIOLOGICO</v>
      </c>
      <c r="C269" s="4">
        <f>IFERROR(__xludf.DUMMYFUNCTION("""COMPUTED_VALUE"""),1.6)</f>
        <v>1.6</v>
      </c>
      <c r="D269" s="4">
        <f>IFERROR(__xludf.DUMMYFUNCTION("""COMPUTED_VALUE"""),1.2)</f>
        <v>1.2</v>
      </c>
      <c r="E269" s="4" t="str">
        <f>IFERROR(__xludf.DUMMYFUNCTION("""COMPUTED_VALUE"""),"Neto: 1,20 € (a partir de 1 uds.)")</f>
        <v>Neto: 1,20 € (a partir de 1 uds.)</v>
      </c>
    </row>
    <row r="270">
      <c r="A270" s="4" t="str">
        <f>IFERROR(__xludf.DUMMYFUNCTION("""COMPUTED_VALUE"""),"296")</f>
        <v>296</v>
      </c>
      <c r="B270" s="4" t="str">
        <f>IFERROR(__xludf.DUMMYFUNCTION("""COMPUTED_VALUE"""),"Cartel PVC 40x30 Fotolum. Cubo uso en incendio")</f>
        <v>Cartel PVC 40x30 Fotolum. Cubo uso en incendio</v>
      </c>
      <c r="C270" s="4">
        <f>IFERROR(__xludf.DUMMYFUNCTION("""COMPUTED_VALUE"""),3.35)</f>
        <v>3.35</v>
      </c>
      <c r="D270" s="4">
        <f>IFERROR(__xludf.DUMMYFUNCTION("""COMPUTED_VALUE"""),1.8)</f>
        <v>1.8</v>
      </c>
      <c r="E270" s="4" t="str">
        <f>IFERROR(__xludf.DUMMYFUNCTION("""COMPUTED_VALUE"""),"Neto: 1,80 € (a partir de 1 uds.)")</f>
        <v>Neto: 1,80 € (a partir de 1 uds.)</v>
      </c>
    </row>
    <row r="271">
      <c r="A271" s="4" t="str">
        <f>IFERROR(__xludf.DUMMYFUNCTION("""COMPUTED_VALUE"""),"0296A")</f>
        <v>0296A</v>
      </c>
      <c r="B271" s="4" t="str">
        <f>IFERROR(__xludf.DUMMYFUNCTION("""COMPUTED_VALUE"""),"Cartel PVC 32x16 Fotolum. Sin Salida")</f>
        <v>Cartel PVC 32x16 Fotolum. Sin Salida</v>
      </c>
      <c r="C271" s="4">
        <f>IFERROR(__xludf.DUMMYFUNCTION("""COMPUTED_VALUE"""),2.25)</f>
        <v>2.25</v>
      </c>
      <c r="D271" s="4"/>
      <c r="E271" s="4" t="str">
        <f>IFERROR(__xludf.DUMMYFUNCTION("""COMPUTED_VALUE"""),"Sin precio neto")</f>
        <v>Sin precio neto</v>
      </c>
    </row>
    <row r="272">
      <c r="A272" s="4" t="str">
        <f>IFERROR(__xludf.DUMMYFUNCTION("""COMPUTED_VALUE"""),"0296B")</f>
        <v>0296B</v>
      </c>
      <c r="B272" s="4" t="str">
        <f>IFERROR(__xludf.DUMMYFUNCTION("""COMPUTED_VALUE"""),"Cartel PVC 64x32 Fotolum. Sin Salida")</f>
        <v>Cartel PVC 64x32 Fotolum. Sin Salida</v>
      </c>
      <c r="C272" s="4">
        <f>IFERROR(__xludf.DUMMYFUNCTION("""COMPUTED_VALUE"""),4.48)</f>
        <v>4.48</v>
      </c>
      <c r="D272" s="4"/>
      <c r="E272" s="4" t="str">
        <f>IFERROR(__xludf.DUMMYFUNCTION("""COMPUTED_VALUE"""),"Sin precio neto")</f>
        <v>Sin precio neto</v>
      </c>
    </row>
    <row r="273">
      <c r="A273" s="4" t="str">
        <f>IFERROR(__xludf.DUMMYFUNCTION("""COMPUTED_VALUE"""),"0296C")</f>
        <v>0296C</v>
      </c>
      <c r="B273" s="4" t="str">
        <f>IFERROR(__xludf.DUMMYFUNCTION("""COMPUTED_VALUE"""),"Cartel PVC 96x48 Fotolum. Sin Salida")</f>
        <v>Cartel PVC 96x48 Fotolum. Sin Salida</v>
      </c>
      <c r="C273" s="4">
        <f>IFERROR(__xludf.DUMMYFUNCTION("""COMPUTED_VALUE"""),8.96)</f>
        <v>8.96</v>
      </c>
      <c r="D273" s="4"/>
      <c r="E273" s="4" t="str">
        <f>IFERROR(__xludf.DUMMYFUNCTION("""COMPUTED_VALUE"""),"Sin precio neto")</f>
        <v>Sin precio neto</v>
      </c>
    </row>
    <row r="274">
      <c r="A274" s="4" t="str">
        <f>IFERROR(__xludf.DUMMYFUNCTION("""COMPUTED_VALUE"""),"297")</f>
        <v>297</v>
      </c>
      <c r="B274" s="4" t="str">
        <f>IFERROR(__xludf.DUMMYFUNCTION("""COMPUTED_VALUE"""),"Cartel PVC 40x30 Fotoum. Manguera contra Incendios")</f>
        <v>Cartel PVC 40x30 Fotoum. Manguera contra Incendios</v>
      </c>
      <c r="C274" s="4">
        <f>IFERROR(__xludf.DUMMYFUNCTION("""COMPUTED_VALUE"""),3.35)</f>
        <v>3.35</v>
      </c>
      <c r="D274" s="4">
        <f>IFERROR(__xludf.DUMMYFUNCTION("""COMPUTED_VALUE"""),3.2)</f>
        <v>3.2</v>
      </c>
      <c r="E274" s="4" t="str">
        <f>IFERROR(__xludf.DUMMYFUNCTION("""COMPUTED_VALUE"""),"Neto: 3,20 € (a partir de 1 uds.)")</f>
        <v>Neto: 3,20 € (a partir de 1 uds.)</v>
      </c>
    </row>
    <row r="275">
      <c r="A275" s="4" t="str">
        <f>IFERROR(__xludf.DUMMYFUNCTION("""COMPUTED_VALUE"""),"298")</f>
        <v>298</v>
      </c>
      <c r="B275" s="4" t="str">
        <f>IFERROR(__xludf.DUMMYFUNCTION("""COMPUTED_VALUE"""),"Cartel PVC 21x29 Fotolum. Escalera incendio")</f>
        <v>Cartel PVC 21x29 Fotolum. Escalera incendio</v>
      </c>
      <c r="C275" s="4">
        <f>IFERROR(__xludf.DUMMYFUNCTION("""COMPUTED_VALUE"""),2.6)</f>
        <v>2.6</v>
      </c>
      <c r="D275" s="4">
        <f>IFERROR(__xludf.DUMMYFUNCTION("""COMPUTED_VALUE"""),2.1)</f>
        <v>2.1</v>
      </c>
      <c r="E275" s="4" t="str">
        <f>IFERROR(__xludf.DUMMYFUNCTION("""COMPUTED_VALUE"""),"Neto: 2,10 € (a partir de 1 uds.)")</f>
        <v>Neto: 2,10 € (a partir de 1 uds.)</v>
      </c>
    </row>
    <row r="276">
      <c r="A276" s="4" t="str">
        <f>IFERROR(__xludf.DUMMYFUNCTION("""COMPUTED_VALUE"""),"0298A")</f>
        <v>0298A</v>
      </c>
      <c r="B276" s="4" t="str">
        <f>IFERROR(__xludf.DUMMYFUNCTION("""COMPUTED_VALUE"""),"Cartel PVC 21x30 Fotolum. Escalera de incendios")</f>
        <v>Cartel PVC 21x30 Fotolum. Escalera de incendios</v>
      </c>
      <c r="C276" s="4">
        <f>IFERROR(__xludf.DUMMYFUNCTION("""COMPUTED_VALUE"""),2.52)</f>
        <v>2.52</v>
      </c>
      <c r="D276" s="4">
        <f>IFERROR(__xludf.DUMMYFUNCTION("""COMPUTED_VALUE"""),2.1)</f>
        <v>2.1</v>
      </c>
      <c r="E276" s="4" t="str">
        <f>IFERROR(__xludf.DUMMYFUNCTION("""COMPUTED_VALUE"""),"Neto: 2,10 € (a partir de 1 uds.)")</f>
        <v>Neto: 2,10 € (a partir de 1 uds.)</v>
      </c>
    </row>
    <row r="277">
      <c r="A277" s="4" t="str">
        <f>IFERROR(__xludf.DUMMYFUNCTION("""COMPUTED_VALUE"""),"0298B")</f>
        <v>0298B</v>
      </c>
      <c r="B277" s="4" t="str">
        <f>IFERROR(__xludf.DUMMYFUNCTION("""COMPUTED_VALUE"""),"Cartel PVC 40x30 Fotolum. Escalera de incendios")</f>
        <v>Cartel PVC 40x30 Fotolum. Escalera de incendios</v>
      </c>
      <c r="C277" s="4">
        <f>IFERROR(__xludf.DUMMYFUNCTION("""COMPUTED_VALUE"""),3.1)</f>
        <v>3.1</v>
      </c>
      <c r="D277" s="4">
        <f>IFERROR(__xludf.DUMMYFUNCTION("""COMPUTED_VALUE"""),3.2)</f>
        <v>3.2</v>
      </c>
      <c r="E277" s="4" t="str">
        <f>IFERROR(__xludf.DUMMYFUNCTION("""COMPUTED_VALUE"""),"Neto: 3,20 € (a partir de 1 uds.)")</f>
        <v>Neto: 3,20 € (a partir de 1 uds.)</v>
      </c>
    </row>
    <row r="278">
      <c r="A278" s="4" t="str">
        <f>IFERROR(__xludf.DUMMYFUNCTION("""COMPUTED_VALUE"""),"299")</f>
        <v>299</v>
      </c>
      <c r="B278" s="4" t="str">
        <f>IFERROR(__xludf.DUMMYFUNCTION("""COMPUTED_VALUE"""),"Cartel PVC 40x30 Uso Oblig. de Protec. Lumbar")</f>
        <v>Cartel PVC 40x30 Uso Oblig. de Protec. Lumbar</v>
      </c>
      <c r="C278" s="4">
        <f>IFERROR(__xludf.DUMMYFUNCTION("""COMPUTED_VALUE"""),2.48)</f>
        <v>2.48</v>
      </c>
      <c r="D278" s="4">
        <f>IFERROR(__xludf.DUMMYFUNCTION("""COMPUTED_VALUE"""),1.8)</f>
        <v>1.8</v>
      </c>
      <c r="E278" s="4" t="str">
        <f>IFERROR(__xludf.DUMMYFUNCTION("""COMPUTED_VALUE"""),"Neto: 1,80 € (a partir de 1 uds.)")</f>
        <v>Neto: 1,80 € (a partir de 1 uds.)</v>
      </c>
    </row>
    <row r="279">
      <c r="A279" s="4" t="str">
        <f>IFERROR(__xludf.DUMMYFUNCTION("""COMPUTED_VALUE"""),"0299P")</f>
        <v>0299P</v>
      </c>
      <c r="B279" s="4" t="str">
        <f>IFERROR(__xludf.DUMMYFUNCTION("""COMPUTED_VALUE"""),"Cartel PVC 21x29 OBLIGATORIO LA PROTECCION LUMBAR")</f>
        <v>Cartel PVC 21x29 OBLIGATORIO LA PROTECCION LUMBAR</v>
      </c>
      <c r="C279" s="4">
        <f>IFERROR(__xludf.DUMMYFUNCTION("""COMPUTED_VALUE"""),1.6)</f>
        <v>1.6</v>
      </c>
      <c r="D279" s="4">
        <f>IFERROR(__xludf.DUMMYFUNCTION("""COMPUTED_VALUE"""),1.2)</f>
        <v>1.2</v>
      </c>
      <c r="E279" s="4" t="str">
        <f>IFERROR(__xludf.DUMMYFUNCTION("""COMPUTED_VALUE"""),"Neto: 1,20 € (a partir de 1 uds.)")</f>
        <v>Neto: 1,20 € (a partir de 1 uds.)</v>
      </c>
    </row>
    <row r="280">
      <c r="A280" s="4" t="str">
        <f>IFERROR(__xludf.DUMMYFUNCTION("""COMPUTED_VALUE"""),"300")</f>
        <v>300</v>
      </c>
      <c r="B280" s="4" t="str">
        <f>IFERROR(__xludf.DUMMYFUNCTION("""COMPUTED_VALUE"""),"Cartel PVC 40x30 Via oblig. peatones")</f>
        <v>Cartel PVC 40x30 Via oblig. peatones</v>
      </c>
      <c r="C280" s="4">
        <f>IFERROR(__xludf.DUMMYFUNCTION("""COMPUTED_VALUE"""),2.48)</f>
        <v>2.48</v>
      </c>
      <c r="D280" s="4">
        <f>IFERROR(__xludf.DUMMYFUNCTION("""COMPUTED_VALUE"""),1.8)</f>
        <v>1.8</v>
      </c>
      <c r="E280" s="4" t="str">
        <f>IFERROR(__xludf.DUMMYFUNCTION("""COMPUTED_VALUE"""),"Neto: 1,80 € (a partir de 1 uds.)")</f>
        <v>Neto: 1,80 € (a partir de 1 uds.)</v>
      </c>
    </row>
    <row r="281">
      <c r="A281" s="4" t="str">
        <f>IFERROR(__xludf.DUMMYFUNCTION("""COMPUTED_VALUE"""),"0300P")</f>
        <v>0300P</v>
      </c>
      <c r="B281" s="4" t="str">
        <f>IFERROR(__xludf.DUMMYFUNCTION("""COMPUTED_VALUE"""),"Cartel PVC 21x29 VIA OBLIGATORIA PARA PEATONES")</f>
        <v>Cartel PVC 21x29 VIA OBLIGATORIA PARA PEATONES</v>
      </c>
      <c r="C281" s="4">
        <f>IFERROR(__xludf.DUMMYFUNCTION("""COMPUTED_VALUE"""),1.6)</f>
        <v>1.6</v>
      </c>
      <c r="D281" s="4">
        <f>IFERROR(__xludf.DUMMYFUNCTION("""COMPUTED_VALUE"""),1.2)</f>
        <v>1.2</v>
      </c>
      <c r="E281" s="4" t="str">
        <f>IFERROR(__xludf.DUMMYFUNCTION("""COMPUTED_VALUE"""),"Neto: 1,20 € (a partir de 1 uds.)")</f>
        <v>Neto: 1,20 € (a partir de 1 uds.)</v>
      </c>
    </row>
    <row r="282">
      <c r="A282" s="4" t="str">
        <f>IFERROR(__xludf.DUMMYFUNCTION("""COMPUTED_VALUE"""),"301")</f>
        <v>301</v>
      </c>
      <c r="B282" s="4" t="str">
        <f>IFERROR(__xludf.DUMMYFUNCTION("""COMPUTED_VALUE"""),"Cartel PVC 40x30 Oblig. Protector")</f>
        <v>Cartel PVC 40x30 Oblig. Protector</v>
      </c>
      <c r="C282" s="4">
        <f>IFERROR(__xludf.DUMMYFUNCTION("""COMPUTED_VALUE"""),2.48)</f>
        <v>2.48</v>
      </c>
      <c r="D282" s="4">
        <f>IFERROR(__xludf.DUMMYFUNCTION("""COMPUTED_VALUE"""),1.8)</f>
        <v>1.8</v>
      </c>
      <c r="E282" s="4" t="str">
        <f>IFERROR(__xludf.DUMMYFUNCTION("""COMPUTED_VALUE"""),"Neto: 1,80 € (a partir de 1 uds.)")</f>
        <v>Neto: 1,80 € (a partir de 1 uds.)</v>
      </c>
    </row>
    <row r="283">
      <c r="A283" s="4" t="str">
        <f>IFERROR(__xludf.DUMMYFUNCTION("""COMPUTED_VALUE"""),"0301P")</f>
        <v>0301P</v>
      </c>
      <c r="B283" s="4" t="str">
        <f>IFERROR(__xludf.DUMMYFUNCTION("""COMPUTED_VALUE"""),"Cartel PVC 21x29 USO OBLIGATORIO DE PROTECTOR")</f>
        <v>Cartel PVC 21x29 USO OBLIGATORIO DE PROTECTOR</v>
      </c>
      <c r="C283" s="4">
        <f>IFERROR(__xludf.DUMMYFUNCTION("""COMPUTED_VALUE"""),1.6)</f>
        <v>1.6</v>
      </c>
      <c r="D283" s="4">
        <f>IFERROR(__xludf.DUMMYFUNCTION("""COMPUTED_VALUE"""),1.2)</f>
        <v>1.2</v>
      </c>
      <c r="E283" s="4" t="str">
        <f>IFERROR(__xludf.DUMMYFUNCTION("""COMPUTED_VALUE"""),"Neto: 1,20 € (a partir de 1 uds.)")</f>
        <v>Neto: 1,20 € (a partir de 1 uds.)</v>
      </c>
    </row>
    <row r="284">
      <c r="A284" s="4" t="str">
        <f>IFERROR(__xludf.DUMMYFUNCTION("""COMPUTED_VALUE"""),"302")</f>
        <v>302</v>
      </c>
      <c r="B284" s="4" t="str">
        <f>IFERROR(__xludf.DUMMYFUNCTION("""COMPUTED_VALUE"""),"Cartel PVC 40x30 Proh. paso a peatones")</f>
        <v>Cartel PVC 40x30 Proh. paso a peatones</v>
      </c>
      <c r="C284" s="4">
        <f>IFERROR(__xludf.DUMMYFUNCTION("""COMPUTED_VALUE"""),2.48)</f>
        <v>2.48</v>
      </c>
      <c r="D284" s="4">
        <f>IFERROR(__xludf.DUMMYFUNCTION("""COMPUTED_VALUE"""),1.8)</f>
        <v>1.8</v>
      </c>
      <c r="E284" s="4" t="str">
        <f>IFERROR(__xludf.DUMMYFUNCTION("""COMPUTED_VALUE"""),"Neto: 1,80 € (a partir de 1 uds.)")</f>
        <v>Neto: 1,80 € (a partir de 1 uds.)</v>
      </c>
    </row>
    <row r="285">
      <c r="A285" s="4" t="str">
        <f>IFERROR(__xludf.DUMMYFUNCTION("""COMPUTED_VALUE"""),"0302P")</f>
        <v>0302P</v>
      </c>
      <c r="B285" s="4" t="str">
        <f>IFERROR(__xludf.DUMMYFUNCTION("""COMPUTED_VALUE"""),"Cartel PVC 21x29 PROHIBIDO PASAR A LOS PEATONES")</f>
        <v>Cartel PVC 21x29 PROHIBIDO PASAR A LOS PEATONES</v>
      </c>
      <c r="C285" s="4">
        <f>IFERROR(__xludf.DUMMYFUNCTION("""COMPUTED_VALUE"""),1.6)</f>
        <v>1.6</v>
      </c>
      <c r="D285" s="4">
        <f>IFERROR(__xludf.DUMMYFUNCTION("""COMPUTED_VALUE"""),1.2)</f>
        <v>1.2</v>
      </c>
      <c r="E285" s="4" t="str">
        <f>IFERROR(__xludf.DUMMYFUNCTION("""COMPUTED_VALUE"""),"Neto: 1,20 € (a partir de 1 uds.)")</f>
        <v>Neto: 1,20 € (a partir de 1 uds.)</v>
      </c>
    </row>
    <row r="286">
      <c r="A286" s="4" t="str">
        <f>IFERROR(__xludf.DUMMYFUNCTION("""COMPUTED_VALUE"""),"303")</f>
        <v>303</v>
      </c>
      <c r="B286" s="4" t="str">
        <f>IFERROR(__xludf.DUMMYFUNCTION("""COMPUTED_VALUE"""),"Cartel PVC 40x30 Rampa personal autor.")</f>
        <v>Cartel PVC 40x30 Rampa personal autor.</v>
      </c>
      <c r="C286" s="4">
        <f>IFERROR(__xludf.DUMMYFUNCTION("""COMPUTED_VALUE"""),2.48)</f>
        <v>2.48</v>
      </c>
      <c r="D286" s="4">
        <f>IFERROR(__xludf.DUMMYFUNCTION("""COMPUTED_VALUE"""),1.8)</f>
        <v>1.8</v>
      </c>
      <c r="E286" s="4" t="str">
        <f>IFERROR(__xludf.DUMMYFUNCTION("""COMPUTED_VALUE"""),"Neto: 1,80 € (a partir de 1 uds.)")</f>
        <v>Neto: 1,80 € (a partir de 1 uds.)</v>
      </c>
    </row>
    <row r="287">
      <c r="A287" s="4" t="str">
        <f>IFERROR(__xludf.DUMMYFUNCTION("""COMPUTED_VALUE"""),"0303B")</f>
        <v>0303B</v>
      </c>
      <c r="B287" s="4" t="str">
        <f>IFERROR(__xludf.DUMMYFUNCTION("""COMPUTED_VALUE"""),"Cartel PVC 21x29 USO OBLIGATORIO PROTECTOR")</f>
        <v>Cartel PVC 21x29 USO OBLIGATORIO PROTECTOR</v>
      </c>
      <c r="C287" s="4">
        <f>IFERROR(__xludf.DUMMYFUNCTION("""COMPUTED_VALUE"""),1.6)</f>
        <v>1.6</v>
      </c>
      <c r="D287" s="4">
        <f>IFERROR(__xludf.DUMMYFUNCTION("""COMPUTED_VALUE"""),1.2)</f>
        <v>1.2</v>
      </c>
      <c r="E287" s="4" t="str">
        <f>IFERROR(__xludf.DUMMYFUNCTION("""COMPUTED_VALUE"""),"Neto: 1,20 € (a partir de 1 uds.)")</f>
        <v>Neto: 1,20 € (a partir de 1 uds.)</v>
      </c>
    </row>
    <row r="288">
      <c r="A288" s="4" t="str">
        <f>IFERROR(__xludf.DUMMYFUNCTION("""COMPUTED_VALUE"""),"0303P")</f>
        <v>0303P</v>
      </c>
      <c r="B288" s="4" t="str">
        <f>IFERROR(__xludf.DUMMYFUNCTION("""COMPUTED_VALUE"""),"Cartel PVC 21x29 RAMPA USO EXCLUSIVO PERSONAL")</f>
        <v>Cartel PVC 21x29 RAMPA USO EXCLUSIVO PERSONAL</v>
      </c>
      <c r="C288" s="4">
        <f>IFERROR(__xludf.DUMMYFUNCTION("""COMPUTED_VALUE"""),1.6)</f>
        <v>1.6</v>
      </c>
      <c r="D288" s="4">
        <f>IFERROR(__xludf.DUMMYFUNCTION("""COMPUTED_VALUE"""),1.2)</f>
        <v>1.2</v>
      </c>
      <c r="E288" s="4" t="str">
        <f>IFERROR(__xludf.DUMMYFUNCTION("""COMPUTED_VALUE"""),"Neto: 1,20 € (a partir de 1 uds.)")</f>
        <v>Neto: 1,20 € (a partir de 1 uds.)</v>
      </c>
    </row>
    <row r="289">
      <c r="A289" s="4" t="str">
        <f>IFERROR(__xludf.DUMMYFUNCTION("""COMPUTED_VALUE"""),"304")</f>
        <v>304</v>
      </c>
      <c r="B289" s="4" t="str">
        <f>IFERROR(__xludf.DUMMYFUNCTION("""COMPUTED_VALUE"""),"Cartel PVC 40x30 Uso oblig. guantes electricos")</f>
        <v>Cartel PVC 40x30 Uso oblig. guantes electricos</v>
      </c>
      <c r="C289" s="4">
        <f>IFERROR(__xludf.DUMMYFUNCTION("""COMPUTED_VALUE"""),2.48)</f>
        <v>2.48</v>
      </c>
      <c r="D289" s="4">
        <f>IFERROR(__xludf.DUMMYFUNCTION("""COMPUTED_VALUE"""),1.8)</f>
        <v>1.8</v>
      </c>
      <c r="E289" s="4" t="str">
        <f>IFERROR(__xludf.DUMMYFUNCTION("""COMPUTED_VALUE"""),"Neto: 1,80 € (a partir de 1 uds.)")</f>
        <v>Neto: 1,80 € (a partir de 1 uds.)</v>
      </c>
    </row>
    <row r="290">
      <c r="A290" s="4" t="str">
        <f>IFERROR(__xludf.DUMMYFUNCTION("""COMPUTED_VALUE"""),"0304P")</f>
        <v>0304P</v>
      </c>
      <c r="B290" s="4" t="str">
        <f>IFERROR(__xludf.DUMMYFUNCTION("""COMPUTED_VALUE"""),"Cartel PVC 21x29 USO OBLIGATORIO DE GUANTES")</f>
        <v>Cartel PVC 21x29 USO OBLIGATORIO DE GUANTES</v>
      </c>
      <c r="C290" s="4">
        <f>IFERROR(__xludf.DUMMYFUNCTION("""COMPUTED_VALUE"""),1.6)</f>
        <v>1.6</v>
      </c>
      <c r="D290" s="4">
        <f>IFERROR(__xludf.DUMMYFUNCTION("""COMPUTED_VALUE"""),1.2)</f>
        <v>1.2</v>
      </c>
      <c r="E290" s="4" t="str">
        <f>IFERROR(__xludf.DUMMYFUNCTION("""COMPUTED_VALUE"""),"Neto: 1,20 € (a partir de 1 uds.)")</f>
        <v>Neto: 1,20 € (a partir de 1 uds.)</v>
      </c>
    </row>
    <row r="291">
      <c r="A291" s="4" t="str">
        <f>IFERROR(__xludf.DUMMYFUNCTION("""COMPUTED_VALUE"""),"305")</f>
        <v>305</v>
      </c>
      <c r="B291" s="4" t="str">
        <f>IFERROR(__xludf.DUMMYFUNCTION("""COMPUTED_VALUE"""),"Cartel PVC 40x30 Uso Oblig. calzado electrico")</f>
        <v>Cartel PVC 40x30 Uso Oblig. calzado electrico</v>
      </c>
      <c r="C291" s="4">
        <f>IFERROR(__xludf.DUMMYFUNCTION("""COMPUTED_VALUE"""),2.48)</f>
        <v>2.48</v>
      </c>
      <c r="D291" s="4">
        <f>IFERROR(__xludf.DUMMYFUNCTION("""COMPUTED_VALUE"""),1.8)</f>
        <v>1.8</v>
      </c>
      <c r="E291" s="4" t="str">
        <f>IFERROR(__xludf.DUMMYFUNCTION("""COMPUTED_VALUE"""),"Neto: 1,80 € (a partir de 1 uds.)")</f>
        <v>Neto: 1,80 € (a partir de 1 uds.)</v>
      </c>
    </row>
    <row r="292">
      <c r="A292" s="4" t="str">
        <f>IFERROR(__xludf.DUMMYFUNCTION("""COMPUTED_VALUE"""),"0305P")</f>
        <v>0305P</v>
      </c>
      <c r="B292" s="4" t="str">
        <f>IFERROR(__xludf.DUMMYFUNCTION("""COMPUTED_VALUE"""),"Cartel PVC 21x29 USO OBLIGATORIO CALZADO")</f>
        <v>Cartel PVC 21x29 USO OBLIGATORIO CALZADO</v>
      </c>
      <c r="C292" s="4">
        <f>IFERROR(__xludf.DUMMYFUNCTION("""COMPUTED_VALUE"""),1.6)</f>
        <v>1.6</v>
      </c>
      <c r="D292" s="4">
        <f>IFERROR(__xludf.DUMMYFUNCTION("""COMPUTED_VALUE"""),1.2)</f>
        <v>1.2</v>
      </c>
      <c r="E292" s="4" t="str">
        <f>IFERROR(__xludf.DUMMYFUNCTION("""COMPUTED_VALUE"""),"Neto: 1,20 € (a partir de 1 uds.)")</f>
        <v>Neto: 1,20 € (a partir de 1 uds.)</v>
      </c>
    </row>
    <row r="293">
      <c r="A293" s="4" t="str">
        <f>IFERROR(__xludf.DUMMYFUNCTION("""COMPUTED_VALUE"""),"306")</f>
        <v>306</v>
      </c>
      <c r="B293" s="4" t="str">
        <f>IFERROR(__xludf.DUMMYFUNCTION("""COMPUTED_VALUE"""),"Cartel PVC 40x30 Oblig. Lavarse las manos")</f>
        <v>Cartel PVC 40x30 Oblig. Lavarse las manos</v>
      </c>
      <c r="C293" s="4">
        <f>IFERROR(__xludf.DUMMYFUNCTION("""COMPUTED_VALUE"""),2.48)</f>
        <v>2.48</v>
      </c>
      <c r="D293" s="4">
        <f>IFERROR(__xludf.DUMMYFUNCTION("""COMPUTED_VALUE"""),1.8)</f>
        <v>1.8</v>
      </c>
      <c r="E293" s="4" t="str">
        <f>IFERROR(__xludf.DUMMYFUNCTION("""COMPUTED_VALUE"""),"Neto: 1,80 € (a partir de 1 uds.)")</f>
        <v>Neto: 1,80 € (a partir de 1 uds.)</v>
      </c>
    </row>
    <row r="294">
      <c r="A294" s="4" t="str">
        <f>IFERROR(__xludf.DUMMYFUNCTION("""COMPUTED_VALUE"""),"0306P")</f>
        <v>0306P</v>
      </c>
      <c r="B294" s="4" t="str">
        <f>IFERROR(__xludf.DUMMYFUNCTION("""COMPUTED_VALUE"""),"Cartel PVC 21x29 OBLIGATORIO LAVARSE LAS MANOS")</f>
        <v>Cartel PVC 21x29 OBLIGATORIO LAVARSE LAS MANOS</v>
      </c>
      <c r="C294" s="4">
        <f>IFERROR(__xludf.DUMMYFUNCTION("""COMPUTED_VALUE"""),1.6)</f>
        <v>1.6</v>
      </c>
      <c r="D294" s="4">
        <f>IFERROR(__xludf.DUMMYFUNCTION("""COMPUTED_VALUE"""),1.2)</f>
        <v>1.2</v>
      </c>
      <c r="E294" s="4" t="str">
        <f>IFERROR(__xludf.DUMMYFUNCTION("""COMPUTED_VALUE"""),"Neto: 1,20 € (a partir de 1 uds.)")</f>
        <v>Neto: 1,20 € (a partir de 1 uds.)</v>
      </c>
    </row>
    <row r="295">
      <c r="A295" s="4" t="str">
        <f>IFERROR(__xludf.DUMMYFUNCTION("""COMPUTED_VALUE"""),"307")</f>
        <v>307</v>
      </c>
      <c r="B295" s="4" t="str">
        <f>IFERROR(__xludf.DUMMYFUNCTION("""COMPUTED_VALUE"""),"Cartel PVC 40x30 Apilar Correctamente")</f>
        <v>Cartel PVC 40x30 Apilar Correctamente</v>
      </c>
      <c r="C295" s="4">
        <f>IFERROR(__xludf.DUMMYFUNCTION("""COMPUTED_VALUE"""),2.48)</f>
        <v>2.48</v>
      </c>
      <c r="D295" s="4">
        <f>IFERROR(__xludf.DUMMYFUNCTION("""COMPUTED_VALUE"""),1.8)</f>
        <v>1.8</v>
      </c>
      <c r="E295" s="4" t="str">
        <f>IFERROR(__xludf.DUMMYFUNCTION("""COMPUTED_VALUE"""),"Neto: 1,80 € (a partir de 1 uds.)")</f>
        <v>Neto: 1,80 € (a partir de 1 uds.)</v>
      </c>
    </row>
    <row r="296">
      <c r="A296" s="4" t="str">
        <f>IFERROR(__xludf.DUMMYFUNCTION("""COMPUTED_VALUE"""),"0307P")</f>
        <v>0307P</v>
      </c>
      <c r="B296" s="4" t="str">
        <f>IFERROR(__xludf.DUMMYFUNCTION("""COMPUTED_VALUE"""),"Cartel PVC 21x29 APILAR CORRECTAMENTE")</f>
        <v>Cartel PVC 21x29 APILAR CORRECTAMENTE</v>
      </c>
      <c r="C296" s="4">
        <f>IFERROR(__xludf.DUMMYFUNCTION("""COMPUTED_VALUE"""),1.6)</f>
        <v>1.6</v>
      </c>
      <c r="D296" s="4">
        <f>IFERROR(__xludf.DUMMYFUNCTION("""COMPUTED_VALUE"""),1.2)</f>
        <v>1.2</v>
      </c>
      <c r="E296" s="4" t="str">
        <f>IFERROR(__xludf.DUMMYFUNCTION("""COMPUTED_VALUE"""),"Neto: 1,20 € (a partir de 1 uds.)")</f>
        <v>Neto: 1,20 € (a partir de 1 uds.)</v>
      </c>
    </row>
    <row r="297">
      <c r="A297" s="4" t="str">
        <f>IFERROR(__xludf.DUMMYFUNCTION("""COMPUTED_VALUE"""),"308")</f>
        <v>308</v>
      </c>
      <c r="B297" s="4" t="str">
        <f>IFERROR(__xludf.DUMMYFUNCTION("""COMPUTED_VALUE"""),"Cartel PVC 40x30 Oblig. Protector Ajustable")</f>
        <v>Cartel PVC 40x30 Oblig. Protector Ajustable</v>
      </c>
      <c r="C297" s="4">
        <f>IFERROR(__xludf.DUMMYFUNCTION("""COMPUTED_VALUE"""),2.48)</f>
        <v>2.48</v>
      </c>
      <c r="D297" s="4">
        <f>IFERROR(__xludf.DUMMYFUNCTION("""COMPUTED_VALUE"""),1.8)</f>
        <v>1.8</v>
      </c>
      <c r="E297" s="4" t="str">
        <f>IFERROR(__xludf.DUMMYFUNCTION("""COMPUTED_VALUE"""),"Neto: 1,80 € (a partir de 1 uds.)")</f>
        <v>Neto: 1,80 € (a partir de 1 uds.)</v>
      </c>
    </row>
    <row r="298">
      <c r="A298" s="4" t="str">
        <f>IFERROR(__xludf.DUMMYFUNCTION("""COMPUTED_VALUE"""),"0308P")</f>
        <v>0308P</v>
      </c>
      <c r="B298" s="4" t="str">
        <f>IFERROR(__xludf.DUMMYFUNCTION("""COMPUTED_VALUE"""),"Cartel PVC 21x29 Oblig. Protector Ajustable")</f>
        <v>Cartel PVC 21x29 Oblig. Protector Ajustable</v>
      </c>
      <c r="C298" s="4">
        <f>IFERROR(__xludf.DUMMYFUNCTION("""COMPUTED_VALUE"""),1.6)</f>
        <v>1.6</v>
      </c>
      <c r="D298" s="4">
        <f>IFERROR(__xludf.DUMMYFUNCTION("""COMPUTED_VALUE"""),1.2)</f>
        <v>1.2</v>
      </c>
      <c r="E298" s="4" t="str">
        <f>IFERROR(__xludf.DUMMYFUNCTION("""COMPUTED_VALUE"""),"Neto: 1,20 € (a partir de 1 uds.)")</f>
        <v>Neto: 1,20 € (a partir de 1 uds.)</v>
      </c>
    </row>
    <row r="299">
      <c r="A299" s="4" t="str">
        <f>IFERROR(__xludf.DUMMYFUNCTION("""COMPUTED_VALUE"""),"309")</f>
        <v>309</v>
      </c>
      <c r="B299" s="4" t="str">
        <f>IFERROR(__xludf.DUMMYFUNCTION("""COMPUTED_VALUE"""),"Cartel PVC 40x30 Oblig. Protector Fijo")</f>
        <v>Cartel PVC 40x30 Oblig. Protector Fijo</v>
      </c>
      <c r="C299" s="4">
        <f>IFERROR(__xludf.DUMMYFUNCTION("""COMPUTED_VALUE"""),2.48)</f>
        <v>2.48</v>
      </c>
      <c r="D299" s="4">
        <f>IFERROR(__xludf.DUMMYFUNCTION("""COMPUTED_VALUE"""),1.8)</f>
        <v>1.8</v>
      </c>
      <c r="E299" s="4" t="str">
        <f>IFERROR(__xludf.DUMMYFUNCTION("""COMPUTED_VALUE"""),"Neto: 1,80 € (a partir de 1 uds.)")</f>
        <v>Neto: 1,80 € (a partir de 1 uds.)</v>
      </c>
    </row>
    <row r="300">
      <c r="A300" s="4" t="str">
        <f>IFERROR(__xludf.DUMMYFUNCTION("""COMPUTED_VALUE"""),"0309P")</f>
        <v>0309P</v>
      </c>
      <c r="B300" s="4" t="str">
        <f>IFERROR(__xludf.DUMMYFUNCTION("""COMPUTED_VALUE"""),"Cartel PVC 21x29 USO OBLIGATORIO PROTECTOR FIJO")</f>
        <v>Cartel PVC 21x29 USO OBLIGATORIO PROTECTOR FIJO</v>
      </c>
      <c r="C300" s="4">
        <f>IFERROR(__xludf.DUMMYFUNCTION("""COMPUTED_VALUE"""),1.6)</f>
        <v>1.6</v>
      </c>
      <c r="D300" s="4">
        <f>IFERROR(__xludf.DUMMYFUNCTION("""COMPUTED_VALUE"""),1.2)</f>
        <v>1.2</v>
      </c>
      <c r="E300" s="4" t="str">
        <f>IFERROR(__xludf.DUMMYFUNCTION("""COMPUTED_VALUE"""),"Neto: 1,20 € (a partir de 1 uds.)")</f>
        <v>Neto: 1,20 € (a partir de 1 uds.)</v>
      </c>
    </row>
    <row r="301">
      <c r="A301" s="4" t="str">
        <f>IFERROR(__xludf.DUMMYFUNCTION("""COMPUTED_VALUE"""),"310")</f>
        <v>310</v>
      </c>
      <c r="B301" s="4" t="str">
        <f>IFERROR(__xludf.DUMMYFUNCTION("""COMPUTED_VALUE"""),"Cartel PVC 40x30 Proh. la entrada con marcapasos")</f>
        <v>Cartel PVC 40x30 Proh. la entrada con marcapasos</v>
      </c>
      <c r="C301" s="4">
        <f>IFERROR(__xludf.DUMMYFUNCTION("""COMPUTED_VALUE"""),2.48)</f>
        <v>2.48</v>
      </c>
      <c r="D301" s="4">
        <f>IFERROR(__xludf.DUMMYFUNCTION("""COMPUTED_VALUE"""),1.8)</f>
        <v>1.8</v>
      </c>
      <c r="E301" s="4" t="str">
        <f>IFERROR(__xludf.DUMMYFUNCTION("""COMPUTED_VALUE"""),"Neto: 1,80 € (a partir de 1 uds.)")</f>
        <v>Neto: 1,80 € (a partir de 1 uds.)</v>
      </c>
    </row>
    <row r="302">
      <c r="A302" s="4" t="str">
        <f>IFERROR(__xludf.DUMMYFUNCTION("""COMPUTED_VALUE"""),"0310P")</f>
        <v>0310P</v>
      </c>
      <c r="B302" s="4" t="str">
        <f>IFERROR(__xludf.DUMMYFUNCTION("""COMPUTED_VALUE"""),"Cartel PVC 21x29 PROHIBIDA LA ENTRADA CON")</f>
        <v>Cartel PVC 21x29 PROHIBIDA LA ENTRADA CON</v>
      </c>
      <c r="C302" s="4">
        <f>IFERROR(__xludf.DUMMYFUNCTION("""COMPUTED_VALUE"""),1.6)</f>
        <v>1.6</v>
      </c>
      <c r="D302" s="4">
        <f>IFERROR(__xludf.DUMMYFUNCTION("""COMPUTED_VALUE"""),1.2)</f>
        <v>1.2</v>
      </c>
      <c r="E302" s="4" t="str">
        <f>IFERROR(__xludf.DUMMYFUNCTION("""COMPUTED_VALUE"""),"Neto: 1,20 € (a partir de 1 uds.)")</f>
        <v>Neto: 1,20 € (a partir de 1 uds.)</v>
      </c>
    </row>
    <row r="303">
      <c r="A303" s="4" t="str">
        <f>IFERROR(__xludf.DUMMYFUNCTION("""COMPUTED_VALUE"""),"311")</f>
        <v>311</v>
      </c>
      <c r="B303" s="4" t="str">
        <f>IFERROR(__xludf.DUMMYFUNCTION("""COMPUTED_VALUE"""),"Cartel PVC 40x30 Peligro zona de carga y descarga")</f>
        <v>Cartel PVC 40x30 Peligro zona de carga y descarga</v>
      </c>
      <c r="C303" s="4">
        <f>IFERROR(__xludf.DUMMYFUNCTION("""COMPUTED_VALUE"""),2.48)</f>
        <v>2.48</v>
      </c>
      <c r="D303" s="4">
        <f>IFERROR(__xludf.DUMMYFUNCTION("""COMPUTED_VALUE"""),1.8)</f>
        <v>1.8</v>
      </c>
      <c r="E303" s="4" t="str">
        <f>IFERROR(__xludf.DUMMYFUNCTION("""COMPUTED_VALUE"""),"Neto: 1,80 € (a partir de 1 uds.)")</f>
        <v>Neto: 1,80 € (a partir de 1 uds.)</v>
      </c>
    </row>
    <row r="304">
      <c r="A304" s="4" t="str">
        <f>IFERROR(__xludf.DUMMYFUNCTION("""COMPUTED_VALUE"""),"0311P")</f>
        <v>0311P</v>
      </c>
      <c r="B304" s="4" t="str">
        <f>IFERROR(__xludf.DUMMYFUNCTION("""COMPUTED_VALUE"""),"Cartel PVC 21x29 PELIGRO ZONA CARGA Y DESCARGA")</f>
        <v>Cartel PVC 21x29 PELIGRO ZONA CARGA Y DESCARGA</v>
      </c>
      <c r="C304" s="4">
        <f>IFERROR(__xludf.DUMMYFUNCTION("""COMPUTED_VALUE"""),1.6)</f>
        <v>1.6</v>
      </c>
      <c r="D304" s="4">
        <f>IFERROR(__xludf.DUMMYFUNCTION("""COMPUTED_VALUE"""),1.2)</f>
        <v>1.2</v>
      </c>
      <c r="E304" s="4" t="str">
        <f>IFERROR(__xludf.DUMMYFUNCTION("""COMPUTED_VALUE"""),"Neto: 1,20 € (a partir de 1 uds.)")</f>
        <v>Neto: 1,20 € (a partir de 1 uds.)</v>
      </c>
    </row>
    <row r="305">
      <c r="A305" s="4" t="str">
        <f>IFERROR(__xludf.DUMMYFUNCTION("""COMPUTED_VALUE"""),"312")</f>
        <v>312</v>
      </c>
      <c r="B305" s="4" t="str">
        <f>IFERROR(__xludf.DUMMYFUNCTION("""COMPUTED_VALUE"""),"Cartel PVC 40x30 Baja Temperatura")</f>
        <v>Cartel PVC 40x30 Baja Temperatura</v>
      </c>
      <c r="C305" s="4">
        <f>IFERROR(__xludf.DUMMYFUNCTION("""COMPUTED_VALUE"""),2.48)</f>
        <v>2.48</v>
      </c>
      <c r="D305" s="4">
        <f>IFERROR(__xludf.DUMMYFUNCTION("""COMPUTED_VALUE"""),1.8)</f>
        <v>1.8</v>
      </c>
      <c r="E305" s="4" t="str">
        <f>IFERROR(__xludf.DUMMYFUNCTION("""COMPUTED_VALUE"""),"Neto: 1,80 € (a partir de 1 uds.)")</f>
        <v>Neto: 1,80 € (a partir de 1 uds.)</v>
      </c>
    </row>
    <row r="306">
      <c r="A306" s="4" t="str">
        <f>IFERROR(__xludf.DUMMYFUNCTION("""COMPUTED_VALUE"""),"0312P")</f>
        <v>0312P</v>
      </c>
      <c r="B306" s="4" t="str">
        <f>IFERROR(__xludf.DUMMYFUNCTION("""COMPUTED_VALUE"""),"Cartel PVC 21x29 ATENCION BAJA TEMPERATURA")</f>
        <v>Cartel PVC 21x29 ATENCION BAJA TEMPERATURA</v>
      </c>
      <c r="C306" s="4">
        <f>IFERROR(__xludf.DUMMYFUNCTION("""COMPUTED_VALUE"""),1.6)</f>
        <v>1.6</v>
      </c>
      <c r="D306" s="4">
        <f>IFERROR(__xludf.DUMMYFUNCTION("""COMPUTED_VALUE"""),1.2)</f>
        <v>1.2</v>
      </c>
      <c r="E306" s="4" t="str">
        <f>IFERROR(__xludf.DUMMYFUNCTION("""COMPUTED_VALUE"""),"Neto: 1,20 € (a partir de 1 uds.)")</f>
        <v>Neto: 1,20 € (a partir de 1 uds.)</v>
      </c>
    </row>
    <row r="307">
      <c r="A307" s="4" t="str">
        <f>IFERROR(__xludf.DUMMYFUNCTION("""COMPUTED_VALUE"""),"313")</f>
        <v>313</v>
      </c>
      <c r="B307" s="4" t="str">
        <f>IFERROR(__xludf.DUMMYFUNCTION("""COMPUTED_VALUE"""),"Cartel PVC 40x30 Peligro Alta Presion")</f>
        <v>Cartel PVC 40x30 Peligro Alta Presion</v>
      </c>
      <c r="C307" s="4">
        <f>IFERROR(__xludf.DUMMYFUNCTION("""COMPUTED_VALUE"""),2.48)</f>
        <v>2.48</v>
      </c>
      <c r="D307" s="4">
        <f>IFERROR(__xludf.DUMMYFUNCTION("""COMPUTED_VALUE"""),1.8)</f>
        <v>1.8</v>
      </c>
      <c r="E307" s="4" t="str">
        <f>IFERROR(__xludf.DUMMYFUNCTION("""COMPUTED_VALUE"""),"Neto: 1,80 € (a partir de 1 uds.)")</f>
        <v>Neto: 1,80 € (a partir de 1 uds.)</v>
      </c>
    </row>
    <row r="308">
      <c r="A308" s="4" t="str">
        <f>IFERROR(__xludf.DUMMYFUNCTION("""COMPUTED_VALUE"""),"0313P")</f>
        <v>0313P</v>
      </c>
      <c r="B308" s="4" t="str">
        <f>IFERROR(__xludf.DUMMYFUNCTION("""COMPUTED_VALUE"""),"Cartel PVC 21x29 PELIGRO ALTA PRESION")</f>
        <v>Cartel PVC 21x29 PELIGRO ALTA PRESION</v>
      </c>
      <c r="C308" s="4">
        <f>IFERROR(__xludf.DUMMYFUNCTION("""COMPUTED_VALUE"""),1.6)</f>
        <v>1.6</v>
      </c>
      <c r="D308" s="4">
        <f>IFERROR(__xludf.DUMMYFUNCTION("""COMPUTED_VALUE"""),1.2)</f>
        <v>1.2</v>
      </c>
      <c r="E308" s="4" t="str">
        <f>IFERROR(__xludf.DUMMYFUNCTION("""COMPUTED_VALUE"""),"Neto: 1,20 € (a partir de 1 uds.)")</f>
        <v>Neto: 1,20 € (a partir de 1 uds.)</v>
      </c>
    </row>
    <row r="309">
      <c r="A309" s="4" t="str">
        <f>IFERROR(__xludf.DUMMYFUNCTION("""COMPUTED_VALUE"""),"314")</f>
        <v>314</v>
      </c>
      <c r="B309" s="4" t="str">
        <f>IFERROR(__xludf.DUMMYFUNCTION("""COMPUTED_VALUE"""),"Cartel PVC 40x30 Peligro Suelo fragil")</f>
        <v>Cartel PVC 40x30 Peligro Suelo fragil</v>
      </c>
      <c r="C309" s="4">
        <f>IFERROR(__xludf.DUMMYFUNCTION("""COMPUTED_VALUE"""),2.48)</f>
        <v>2.48</v>
      </c>
      <c r="D309" s="4">
        <f>IFERROR(__xludf.DUMMYFUNCTION("""COMPUTED_VALUE"""),1.8)</f>
        <v>1.8</v>
      </c>
      <c r="E309" s="4" t="str">
        <f>IFERROR(__xludf.DUMMYFUNCTION("""COMPUTED_VALUE"""),"Neto: 1,80 € (a partir de 1 uds.)")</f>
        <v>Neto: 1,80 € (a partir de 1 uds.)</v>
      </c>
    </row>
    <row r="310">
      <c r="A310" s="4" t="str">
        <f>IFERROR(__xludf.DUMMYFUNCTION("""COMPUTED_VALUE"""),"0314P")</f>
        <v>0314P</v>
      </c>
      <c r="B310" s="4" t="str">
        <f>IFERROR(__xludf.DUMMYFUNCTION("""COMPUTED_VALUE"""),"Cartel PVC 21x29 ATENCION SUELO FRAGIL")</f>
        <v>Cartel PVC 21x29 ATENCION SUELO FRAGIL</v>
      </c>
      <c r="C310" s="4">
        <f>IFERROR(__xludf.DUMMYFUNCTION("""COMPUTED_VALUE"""),1.6)</f>
        <v>1.6</v>
      </c>
      <c r="D310" s="4">
        <f>IFERROR(__xludf.DUMMYFUNCTION("""COMPUTED_VALUE"""),1.2)</f>
        <v>1.2</v>
      </c>
      <c r="E310" s="4" t="str">
        <f>IFERROR(__xludf.DUMMYFUNCTION("""COMPUTED_VALUE"""),"Neto: 1,20 € (a partir de 1 uds.)")</f>
        <v>Neto: 1,20 € (a partir de 1 uds.)</v>
      </c>
    </row>
    <row r="311">
      <c r="A311" s="4" t="str">
        <f>IFERROR(__xludf.DUMMYFUNCTION("""COMPUTED_VALUE"""),"315")</f>
        <v>315</v>
      </c>
      <c r="B311" s="4" t="str">
        <f>IFERROR(__xludf.DUMMYFUNCTION("""COMPUTED_VALUE"""),"Cartel PVC 40x30 Atencion Suelo Resbaladizo")</f>
        <v>Cartel PVC 40x30 Atencion Suelo Resbaladizo</v>
      </c>
      <c r="C311" s="4">
        <f>IFERROR(__xludf.DUMMYFUNCTION("""COMPUTED_VALUE"""),2.48)</f>
        <v>2.48</v>
      </c>
      <c r="D311" s="4">
        <f>IFERROR(__xludf.DUMMYFUNCTION("""COMPUTED_VALUE"""),1.8)</f>
        <v>1.8</v>
      </c>
      <c r="E311" s="4" t="str">
        <f>IFERROR(__xludf.DUMMYFUNCTION("""COMPUTED_VALUE"""),"Neto: 1,80 € (a partir de 1 uds.)")</f>
        <v>Neto: 1,80 € (a partir de 1 uds.)</v>
      </c>
    </row>
    <row r="312">
      <c r="A312" s="4" t="str">
        <f>IFERROR(__xludf.DUMMYFUNCTION("""COMPUTED_VALUE"""),"0315P")</f>
        <v>0315P</v>
      </c>
      <c r="B312" s="4" t="str">
        <f>IFERROR(__xludf.DUMMYFUNCTION("""COMPUTED_VALUE"""),"Cartel PVC 21x29 ATENCION SUELO RESBALADIZO")</f>
        <v>Cartel PVC 21x29 ATENCION SUELO RESBALADIZO</v>
      </c>
      <c r="C312" s="4">
        <f>IFERROR(__xludf.DUMMYFUNCTION("""COMPUTED_VALUE"""),1.6)</f>
        <v>1.6</v>
      </c>
      <c r="D312" s="4">
        <f>IFERROR(__xludf.DUMMYFUNCTION("""COMPUTED_VALUE"""),1.2)</f>
        <v>1.2</v>
      </c>
      <c r="E312" s="4" t="str">
        <f>IFERROR(__xludf.DUMMYFUNCTION("""COMPUTED_VALUE"""),"Neto: 1,20 € (a partir de 1 uds.)")</f>
        <v>Neto: 1,20 € (a partir de 1 uds.)</v>
      </c>
    </row>
    <row r="313">
      <c r="A313" s="4" t="str">
        <f>IFERROR(__xludf.DUMMYFUNCTION("""COMPUTED_VALUE"""),"316")</f>
        <v>316</v>
      </c>
      <c r="B313" s="4" t="str">
        <f>IFERROR(__xludf.DUMMYFUNCTION("""COMPUTED_VALUE"""),"Cartel PVC 40x30 Solo Personal Autorizado")</f>
        <v>Cartel PVC 40x30 Solo Personal Autorizado</v>
      </c>
      <c r="C313" s="4">
        <f>IFERROR(__xludf.DUMMYFUNCTION("""COMPUTED_VALUE"""),2.48)</f>
        <v>2.48</v>
      </c>
      <c r="D313" s="4">
        <f>IFERROR(__xludf.DUMMYFUNCTION("""COMPUTED_VALUE"""),1.8)</f>
        <v>1.8</v>
      </c>
      <c r="E313" s="4" t="str">
        <f>IFERROR(__xludf.DUMMYFUNCTION("""COMPUTED_VALUE"""),"Neto: 1,80 € (a partir de 1 uds.)")</f>
        <v>Neto: 1,80 € (a partir de 1 uds.)</v>
      </c>
    </row>
    <row r="314">
      <c r="A314" s="4" t="str">
        <f>IFERROR(__xludf.DUMMYFUNCTION("""COMPUTED_VALUE"""),"0316P")</f>
        <v>0316P</v>
      </c>
      <c r="B314" s="4" t="str">
        <f>IFERROR(__xludf.DUMMYFUNCTION("""COMPUTED_VALUE"""),"Cartel PVC 21x29 SOLO PERSONAL AUTORIZADO")</f>
        <v>Cartel PVC 21x29 SOLO PERSONAL AUTORIZADO</v>
      </c>
      <c r="C314" s="4">
        <f>IFERROR(__xludf.DUMMYFUNCTION("""COMPUTED_VALUE"""),1.6)</f>
        <v>1.6</v>
      </c>
      <c r="D314" s="4">
        <f>IFERROR(__xludf.DUMMYFUNCTION("""COMPUTED_VALUE"""),1.2)</f>
        <v>1.2</v>
      </c>
      <c r="E314" s="4" t="str">
        <f>IFERROR(__xludf.DUMMYFUNCTION("""COMPUTED_VALUE"""),"Neto: 1,20 € (a partir de 1 uds.)")</f>
        <v>Neto: 1,20 € (a partir de 1 uds.)</v>
      </c>
    </row>
    <row r="315">
      <c r="A315" s="4" t="str">
        <f>IFERROR(__xludf.DUMMYFUNCTION("""COMPUTED_VALUE"""),"317")</f>
        <v>317</v>
      </c>
      <c r="B315" s="4" t="str">
        <f>IFERROR(__xludf.DUMMYFUNCTION("""COMPUTED_VALUE"""),"Cartel PVC 40x30 Prohibido paso con bicicleta")</f>
        <v>Cartel PVC 40x30 Prohibido paso con bicicleta</v>
      </c>
      <c r="C315" s="4">
        <f>IFERROR(__xludf.DUMMYFUNCTION("""COMPUTED_VALUE"""),2.48)</f>
        <v>2.48</v>
      </c>
      <c r="D315" s="4">
        <f>IFERROR(__xludf.DUMMYFUNCTION("""COMPUTED_VALUE"""),1.8)</f>
        <v>1.8</v>
      </c>
      <c r="E315" s="4" t="str">
        <f>IFERROR(__xludf.DUMMYFUNCTION("""COMPUTED_VALUE"""),"Neto: 1,80 € (a partir de 1 uds.)")</f>
        <v>Neto: 1,80 € (a partir de 1 uds.)</v>
      </c>
    </row>
    <row r="316">
      <c r="A316" s="4" t="str">
        <f>IFERROR(__xludf.DUMMYFUNCTION("""COMPUTED_VALUE"""),"0317P")</f>
        <v>0317P</v>
      </c>
      <c r="B316" s="4" t="str">
        <f>IFERROR(__xludf.DUMMYFUNCTION("""COMPUTED_VALUE"""),"Cartel PVC 21x29 PROHIBIDO EL PASO CON BICICLETA")</f>
        <v>Cartel PVC 21x29 PROHIBIDO EL PASO CON BICICLETA</v>
      </c>
      <c r="C316" s="4">
        <f>IFERROR(__xludf.DUMMYFUNCTION("""COMPUTED_VALUE"""),1.6)</f>
        <v>1.6</v>
      </c>
      <c r="D316" s="4">
        <f>IFERROR(__xludf.DUMMYFUNCTION("""COMPUTED_VALUE"""),1.2)</f>
        <v>1.2</v>
      </c>
      <c r="E316" s="4" t="str">
        <f>IFERROR(__xludf.DUMMYFUNCTION("""COMPUTED_VALUE"""),"Neto: 1,20 € (a partir de 1 uds.)")</f>
        <v>Neto: 1,20 € (a partir de 1 uds.)</v>
      </c>
    </row>
    <row r="317">
      <c r="A317" s="4" t="str">
        <f>IFERROR(__xludf.DUMMYFUNCTION("""COMPUTED_VALUE"""),"318")</f>
        <v>318</v>
      </c>
      <c r="B317" s="4" t="str">
        <f>IFERROR(__xludf.DUMMYFUNCTION("""COMPUTED_VALUE"""),"Cartel PVC 40x30 Prohib. Uso de Moviles")</f>
        <v>Cartel PVC 40x30 Prohib. Uso de Moviles</v>
      </c>
      <c r="C317" s="4">
        <f>IFERROR(__xludf.DUMMYFUNCTION("""COMPUTED_VALUE"""),2.48)</f>
        <v>2.48</v>
      </c>
      <c r="D317" s="4">
        <f>IFERROR(__xludf.DUMMYFUNCTION("""COMPUTED_VALUE"""),1.8)</f>
        <v>1.8</v>
      </c>
      <c r="E317" s="4" t="str">
        <f>IFERROR(__xludf.DUMMYFUNCTION("""COMPUTED_VALUE"""),"Neto: 1,80 € (a partir de 1 uds.)")</f>
        <v>Neto: 1,80 € (a partir de 1 uds.)</v>
      </c>
    </row>
    <row r="318">
      <c r="A318" s="4" t="str">
        <f>IFERROR(__xludf.DUMMYFUNCTION("""COMPUTED_VALUE"""),"0318P")</f>
        <v>0318P</v>
      </c>
      <c r="B318" s="4" t="str">
        <f>IFERROR(__xludf.DUMMYFUNCTION("""COMPUTED_VALUE"""),"Cartel PVC 21x29 PROHIBIDO EL USO TELEFONOS")</f>
        <v>Cartel PVC 21x29 PROHIBIDO EL USO TELEFONOS</v>
      </c>
      <c r="C318" s="4">
        <f>IFERROR(__xludf.DUMMYFUNCTION("""COMPUTED_VALUE"""),1.6)</f>
        <v>1.6</v>
      </c>
      <c r="D318" s="4">
        <f>IFERROR(__xludf.DUMMYFUNCTION("""COMPUTED_VALUE"""),1.2)</f>
        <v>1.2</v>
      </c>
      <c r="E318" s="4" t="str">
        <f>IFERROR(__xludf.DUMMYFUNCTION("""COMPUTED_VALUE"""),"Neto: 1,20 € (a partir de 1 uds.)")</f>
        <v>Neto: 1,20 € (a partir de 1 uds.)</v>
      </c>
    </row>
    <row r="319">
      <c r="A319" s="4" t="str">
        <f>IFERROR(__xludf.DUMMYFUNCTION("""COMPUTED_VALUE"""),"319")</f>
        <v>319</v>
      </c>
      <c r="B319" s="4" t="str">
        <f>IFERROR(__xludf.DUMMYFUNCTION("""COMPUTED_VALUE"""),"Cartel PVC 40x30 Fotolum. Hidrante")</f>
        <v>Cartel PVC 40x30 Fotolum. Hidrante</v>
      </c>
      <c r="C319" s="4">
        <f>IFERROR(__xludf.DUMMYFUNCTION("""COMPUTED_VALUE"""),3.45)</f>
        <v>3.45</v>
      </c>
      <c r="D319" s="4">
        <f>IFERROR(__xludf.DUMMYFUNCTION("""COMPUTED_VALUE"""),3.2)</f>
        <v>3.2</v>
      </c>
      <c r="E319" s="4" t="str">
        <f>IFERROR(__xludf.DUMMYFUNCTION("""COMPUTED_VALUE"""),"Neto: 3,20 € (a partir de 1 uds.)")</f>
        <v>Neto: 3,20 € (a partir de 1 uds.)</v>
      </c>
    </row>
    <row r="320">
      <c r="A320" s="4" t="str">
        <f>IFERROR(__xludf.DUMMYFUNCTION("""COMPUTED_VALUE"""),"0319A")</f>
        <v>0319A</v>
      </c>
      <c r="B320" s="4" t="str">
        <f>IFERROR(__xludf.DUMMYFUNCTION("""COMPUTED_VALUE"""),"Cartel PVC 32x16 Fotolum. Salida emergencia dcha abajo")</f>
        <v>Cartel PVC 32x16 Fotolum. Salida emergencia dcha abajo</v>
      </c>
      <c r="C320" s="4">
        <f>IFERROR(__xludf.DUMMYFUNCTION("""COMPUTED_VALUE"""),2.25)</f>
        <v>2.25</v>
      </c>
      <c r="D320" s="4"/>
      <c r="E320" s="4" t="str">
        <f>IFERROR(__xludf.DUMMYFUNCTION("""COMPUTED_VALUE"""),"Sin precio neto")</f>
        <v>Sin precio neto</v>
      </c>
    </row>
    <row r="321">
      <c r="A321" s="4" t="str">
        <f>IFERROR(__xludf.DUMMYFUNCTION("""COMPUTED_VALUE"""),"0319AA")</f>
        <v>0319AA</v>
      </c>
      <c r="B321" s="4" t="str">
        <f>IFERROR(__xludf.DUMMYFUNCTION("""COMPUTED_VALUE"""),"Cartel PVC 32x16 Fotolum. Salida emergencia dcha abajo")</f>
        <v>Cartel PVC 32x16 Fotolum. Salida emergencia dcha abajo</v>
      </c>
      <c r="C321" s="4">
        <f>IFERROR(__xludf.DUMMYFUNCTION("""COMPUTED_VALUE"""),2.25)</f>
        <v>2.25</v>
      </c>
      <c r="D321" s="4"/>
      <c r="E321" s="4" t="str">
        <f>IFERROR(__xludf.DUMMYFUNCTION("""COMPUTED_VALUE"""),"Sin precio neto")</f>
        <v>Sin precio neto</v>
      </c>
    </row>
    <row r="322">
      <c r="A322" s="4" t="str">
        <f>IFERROR(__xludf.DUMMYFUNCTION("""COMPUTED_VALUE"""),"0319B")</f>
        <v>0319B</v>
      </c>
      <c r="B322" s="4" t="str">
        <f>IFERROR(__xludf.DUMMYFUNCTION("""COMPUTED_VALUE"""),"Cartel PVC 64x32 Fotolum. Salida emergencia dcha abajo")</f>
        <v>Cartel PVC 64x32 Fotolum. Salida emergencia dcha abajo</v>
      </c>
      <c r="C322" s="4">
        <f>IFERROR(__xludf.DUMMYFUNCTION("""COMPUTED_VALUE"""),4.48)</f>
        <v>4.48</v>
      </c>
      <c r="D322" s="4"/>
      <c r="E322" s="4" t="str">
        <f>IFERROR(__xludf.DUMMYFUNCTION("""COMPUTED_VALUE"""),"Sin precio neto")</f>
        <v>Sin precio neto</v>
      </c>
    </row>
    <row r="323">
      <c r="A323" s="4" t="str">
        <f>IFERROR(__xludf.DUMMYFUNCTION("""COMPUTED_VALUE"""),"0319BA")</f>
        <v>0319BA</v>
      </c>
      <c r="B323" s="4" t="str">
        <f>IFERROR(__xludf.DUMMYFUNCTION("""COMPUTED_VALUE"""),"Cartel PVC 64x32 Fotolum. Salida emergencia dcha abajo")</f>
        <v>Cartel PVC 64x32 Fotolum. Salida emergencia dcha abajo</v>
      </c>
      <c r="C323" s="4">
        <f>IFERROR(__xludf.DUMMYFUNCTION("""COMPUTED_VALUE"""),4.48)</f>
        <v>4.48</v>
      </c>
      <c r="D323" s="4"/>
      <c r="E323" s="4" t="str">
        <f>IFERROR(__xludf.DUMMYFUNCTION("""COMPUTED_VALUE"""),"Sin precio neto")</f>
        <v>Sin precio neto</v>
      </c>
    </row>
    <row r="324">
      <c r="A324" s="4" t="str">
        <f>IFERROR(__xludf.DUMMYFUNCTION("""COMPUTED_VALUE"""),"0319C")</f>
        <v>0319C</v>
      </c>
      <c r="B324" s="4" t="str">
        <f>IFERROR(__xludf.DUMMYFUNCTION("""COMPUTED_VALUE"""),"Cartel PVC 96x48 Fotolum. Salida emergencia dcha abajo")</f>
        <v>Cartel PVC 96x48 Fotolum. Salida emergencia dcha abajo</v>
      </c>
      <c r="C324" s="4">
        <f>IFERROR(__xludf.DUMMYFUNCTION("""COMPUTED_VALUE"""),8.96)</f>
        <v>8.96</v>
      </c>
      <c r="D324" s="4"/>
      <c r="E324" s="4" t="str">
        <f>IFERROR(__xludf.DUMMYFUNCTION("""COMPUTED_VALUE"""),"Sin precio neto")</f>
        <v>Sin precio neto</v>
      </c>
    </row>
    <row r="325">
      <c r="A325" s="4" t="str">
        <f>IFERROR(__xludf.DUMMYFUNCTION("""COMPUTED_VALUE"""),"0319CA")</f>
        <v>0319CA</v>
      </c>
      <c r="B325" s="4" t="str">
        <f>IFERROR(__xludf.DUMMYFUNCTION("""COMPUTED_VALUE"""),"Cartel PVC 96x48 Fotolum. Salida emergencia dcha abajo")</f>
        <v>Cartel PVC 96x48 Fotolum. Salida emergencia dcha abajo</v>
      </c>
      <c r="C325" s="4">
        <f>IFERROR(__xludf.DUMMYFUNCTION("""COMPUTED_VALUE"""),8.96)</f>
        <v>8.96</v>
      </c>
      <c r="D325" s="4"/>
      <c r="E325" s="4" t="str">
        <f>IFERROR(__xludf.DUMMYFUNCTION("""COMPUTED_VALUE"""),"Sin precio neto")</f>
        <v>Sin precio neto</v>
      </c>
    </row>
    <row r="326">
      <c r="A326" s="4" t="str">
        <f>IFERROR(__xludf.DUMMYFUNCTION("""COMPUTED_VALUE"""),"320")</f>
        <v>320</v>
      </c>
      <c r="B326" s="4" t="str">
        <f>IFERROR(__xludf.DUMMYFUNCTION("""COMPUTED_VALUE"""),"Cartel PVC 21x30 Fotolum. Salida escalera arriba izq.")</f>
        <v>Cartel PVC 21x30 Fotolum. Salida escalera arriba izq.</v>
      </c>
      <c r="C326" s="4">
        <f>IFERROR(__xludf.DUMMYFUNCTION("""COMPUTED_VALUE"""),2.6)</f>
        <v>2.6</v>
      </c>
      <c r="D326" s="4">
        <f>IFERROR(__xludf.DUMMYFUNCTION("""COMPUTED_VALUE"""),2.1)</f>
        <v>2.1</v>
      </c>
      <c r="E326" s="4" t="str">
        <f>IFERROR(__xludf.DUMMYFUNCTION("""COMPUTED_VALUE"""),"Neto: 2,10 € (a partir de 1 uds.)")</f>
        <v>Neto: 2,10 € (a partir de 1 uds.)</v>
      </c>
    </row>
    <row r="327">
      <c r="A327" s="4" t="str">
        <f>IFERROR(__xludf.DUMMYFUNCTION("""COMPUTED_VALUE"""),"0320A")</f>
        <v>0320A</v>
      </c>
      <c r="B327" s="4" t="str">
        <f>IFERROR(__xludf.DUMMYFUNCTION("""COMPUTED_VALUE"""),"Cartel PVC 32x16 Fotolum. Salida emergencia arriba izq")</f>
        <v>Cartel PVC 32x16 Fotolum. Salida emergencia arriba izq</v>
      </c>
      <c r="C327" s="4">
        <f>IFERROR(__xludf.DUMMYFUNCTION("""COMPUTED_VALUE"""),2.25)</f>
        <v>2.25</v>
      </c>
      <c r="D327" s="4"/>
      <c r="E327" s="4" t="str">
        <f>IFERROR(__xludf.DUMMYFUNCTION("""COMPUTED_VALUE"""),"Sin precio neto")</f>
        <v>Sin precio neto</v>
      </c>
    </row>
    <row r="328">
      <c r="A328" s="4" t="str">
        <f>IFERROR(__xludf.DUMMYFUNCTION("""COMPUTED_VALUE"""),"0320AA")</f>
        <v>0320AA</v>
      </c>
      <c r="B328" s="4" t="str">
        <f>IFERROR(__xludf.DUMMYFUNCTION("""COMPUTED_VALUE"""),"Cartel PVC 32x16 Fotolum. Salida emergencia arriba izq Minus")</f>
        <v>Cartel PVC 32x16 Fotolum. Salida emergencia arriba izq Minus</v>
      </c>
      <c r="C328" s="4">
        <f>IFERROR(__xludf.DUMMYFUNCTION("""COMPUTED_VALUE"""),2.25)</f>
        <v>2.25</v>
      </c>
      <c r="D328" s="4"/>
      <c r="E328" s="4" t="str">
        <f>IFERROR(__xludf.DUMMYFUNCTION("""COMPUTED_VALUE"""),"Sin precio neto")</f>
        <v>Sin precio neto</v>
      </c>
    </row>
    <row r="329">
      <c r="A329" s="4" t="str">
        <f>IFERROR(__xludf.DUMMYFUNCTION("""COMPUTED_VALUE"""),"0320B")</f>
        <v>0320B</v>
      </c>
      <c r="B329" s="4" t="str">
        <f>IFERROR(__xludf.DUMMYFUNCTION("""COMPUTED_VALUE"""),"Cartel PVC 64x32 Fotolum. Salida emergencia arriba izq")</f>
        <v>Cartel PVC 64x32 Fotolum. Salida emergencia arriba izq</v>
      </c>
      <c r="C329" s="4">
        <f>IFERROR(__xludf.DUMMYFUNCTION("""COMPUTED_VALUE"""),4.48)</f>
        <v>4.48</v>
      </c>
      <c r="D329" s="4"/>
      <c r="E329" s="4" t="str">
        <f>IFERROR(__xludf.DUMMYFUNCTION("""COMPUTED_VALUE"""),"Sin precio neto")</f>
        <v>Sin precio neto</v>
      </c>
    </row>
    <row r="330">
      <c r="A330" s="4" t="str">
        <f>IFERROR(__xludf.DUMMYFUNCTION("""COMPUTED_VALUE"""),"0320BA")</f>
        <v>0320BA</v>
      </c>
      <c r="B330" s="4" t="str">
        <f>IFERROR(__xludf.DUMMYFUNCTION("""COMPUTED_VALUE"""),"Cartel PVC 64x32 Fotolum. Salida emergencia arriba izq Minus")</f>
        <v>Cartel PVC 64x32 Fotolum. Salida emergencia arriba izq Minus</v>
      </c>
      <c r="C330" s="4">
        <f>IFERROR(__xludf.DUMMYFUNCTION("""COMPUTED_VALUE"""),4.48)</f>
        <v>4.48</v>
      </c>
      <c r="D330" s="4"/>
      <c r="E330" s="4" t="str">
        <f>IFERROR(__xludf.DUMMYFUNCTION("""COMPUTED_VALUE"""),"Sin precio neto")</f>
        <v>Sin precio neto</v>
      </c>
    </row>
    <row r="331">
      <c r="A331" s="4" t="str">
        <f>IFERROR(__xludf.DUMMYFUNCTION("""COMPUTED_VALUE"""),"0320C")</f>
        <v>0320C</v>
      </c>
      <c r="B331" s="4" t="str">
        <f>IFERROR(__xludf.DUMMYFUNCTION("""COMPUTED_VALUE"""),"Cartel PVC 96x48 Fotolum. Salida emergencia arriba izq")</f>
        <v>Cartel PVC 96x48 Fotolum. Salida emergencia arriba izq</v>
      </c>
      <c r="C331" s="4">
        <f>IFERROR(__xludf.DUMMYFUNCTION("""COMPUTED_VALUE"""),8.96)</f>
        <v>8.96</v>
      </c>
      <c r="D331" s="4"/>
      <c r="E331" s="4" t="str">
        <f>IFERROR(__xludf.DUMMYFUNCTION("""COMPUTED_VALUE"""),"Sin precio neto")</f>
        <v>Sin precio neto</v>
      </c>
    </row>
    <row r="332">
      <c r="A332" s="4" t="str">
        <f>IFERROR(__xludf.DUMMYFUNCTION("""COMPUTED_VALUE"""),"0320CA")</f>
        <v>0320CA</v>
      </c>
      <c r="B332" s="4" t="str">
        <f>IFERROR(__xludf.DUMMYFUNCTION("""COMPUTED_VALUE"""),"Cartel PVC 96x48 Fotolum. Salida emergencia arriba izq Minus")</f>
        <v>Cartel PVC 96x48 Fotolum. Salida emergencia arriba izq Minus</v>
      </c>
      <c r="C332" s="4">
        <f>IFERROR(__xludf.DUMMYFUNCTION("""COMPUTED_VALUE"""),8.96)</f>
        <v>8.96</v>
      </c>
      <c r="D332" s="4"/>
      <c r="E332" s="4" t="str">
        <f>IFERROR(__xludf.DUMMYFUNCTION("""COMPUTED_VALUE"""),"Sin precio neto")</f>
        <v>Sin precio neto</v>
      </c>
    </row>
    <row r="333">
      <c r="A333" s="4" t="str">
        <f>IFERROR(__xludf.DUMMYFUNCTION("""COMPUTED_VALUE"""),"321")</f>
        <v>321</v>
      </c>
      <c r="B333" s="4" t="str">
        <f>IFERROR(__xludf.DUMMYFUNCTION("""COMPUTED_VALUE"""),"Cartel PVC 21x30 Fotolum.Salida escalera abajo izq.")</f>
        <v>Cartel PVC 21x30 Fotolum.Salida escalera abajo izq.</v>
      </c>
      <c r="C333" s="4">
        <f>IFERROR(__xludf.DUMMYFUNCTION("""COMPUTED_VALUE"""),2.6)</f>
        <v>2.6</v>
      </c>
      <c r="D333" s="4">
        <f>IFERROR(__xludf.DUMMYFUNCTION("""COMPUTED_VALUE"""),2.1)</f>
        <v>2.1</v>
      </c>
      <c r="E333" s="4" t="str">
        <f>IFERROR(__xludf.DUMMYFUNCTION("""COMPUTED_VALUE"""),"Neto: 2,10 € (a partir de 1 uds.)")</f>
        <v>Neto: 2,10 € (a partir de 1 uds.)</v>
      </c>
    </row>
    <row r="334">
      <c r="A334" s="4" t="str">
        <f>IFERROR(__xludf.DUMMYFUNCTION("""COMPUTED_VALUE"""),"0321A")</f>
        <v>0321A</v>
      </c>
      <c r="B334" s="4" t="str">
        <f>IFERROR(__xludf.DUMMYFUNCTION("""COMPUTED_VALUE"""),"Cartel PVC 32x16 Fotolum. Salida emergencia abajo izq")</f>
        <v>Cartel PVC 32x16 Fotolum. Salida emergencia abajo izq</v>
      </c>
      <c r="C334" s="4">
        <f>IFERROR(__xludf.DUMMYFUNCTION("""COMPUTED_VALUE"""),2.25)</f>
        <v>2.25</v>
      </c>
      <c r="D334" s="4"/>
      <c r="E334" s="4" t="str">
        <f>IFERROR(__xludf.DUMMYFUNCTION("""COMPUTED_VALUE"""),"Sin precio neto")</f>
        <v>Sin precio neto</v>
      </c>
    </row>
    <row r="335">
      <c r="A335" s="4" t="str">
        <f>IFERROR(__xludf.DUMMYFUNCTION("""COMPUTED_VALUE"""),"0321AA")</f>
        <v>0321AA</v>
      </c>
      <c r="B335" s="4" t="str">
        <f>IFERROR(__xludf.DUMMYFUNCTION("""COMPUTED_VALUE"""),"Cartel PVC 32x16 Fotolum. Salida emergencia abajo izq Minus")</f>
        <v>Cartel PVC 32x16 Fotolum. Salida emergencia abajo izq Minus</v>
      </c>
      <c r="C335" s="4">
        <f>IFERROR(__xludf.DUMMYFUNCTION("""COMPUTED_VALUE"""),2.25)</f>
        <v>2.25</v>
      </c>
      <c r="D335" s="4"/>
      <c r="E335" s="4" t="str">
        <f>IFERROR(__xludf.DUMMYFUNCTION("""COMPUTED_VALUE"""),"Sin precio neto")</f>
        <v>Sin precio neto</v>
      </c>
    </row>
    <row r="336">
      <c r="A336" s="4" t="str">
        <f>IFERROR(__xludf.DUMMYFUNCTION("""COMPUTED_VALUE"""),"0321B")</f>
        <v>0321B</v>
      </c>
      <c r="B336" s="4" t="str">
        <f>IFERROR(__xludf.DUMMYFUNCTION("""COMPUTED_VALUE"""),"Cartel PVC 64x32 Fotolum. Salida emergencia abajo izq")</f>
        <v>Cartel PVC 64x32 Fotolum. Salida emergencia abajo izq</v>
      </c>
      <c r="C336" s="4">
        <f>IFERROR(__xludf.DUMMYFUNCTION("""COMPUTED_VALUE"""),4.48)</f>
        <v>4.48</v>
      </c>
      <c r="D336" s="4"/>
      <c r="E336" s="4" t="str">
        <f>IFERROR(__xludf.DUMMYFUNCTION("""COMPUTED_VALUE"""),"Sin precio neto")</f>
        <v>Sin precio neto</v>
      </c>
    </row>
    <row r="337">
      <c r="A337" s="4" t="str">
        <f>IFERROR(__xludf.DUMMYFUNCTION("""COMPUTED_VALUE"""),"0321BA")</f>
        <v>0321BA</v>
      </c>
      <c r="B337" s="4" t="str">
        <f>IFERROR(__xludf.DUMMYFUNCTION("""COMPUTED_VALUE"""),"Cartel PVC 64x32 Fotolum. Salida emergencia abajo izq Minus")</f>
        <v>Cartel PVC 64x32 Fotolum. Salida emergencia abajo izq Minus</v>
      </c>
      <c r="C337" s="4">
        <f>IFERROR(__xludf.DUMMYFUNCTION("""COMPUTED_VALUE"""),4.48)</f>
        <v>4.48</v>
      </c>
      <c r="D337" s="4"/>
      <c r="E337" s="4" t="str">
        <f>IFERROR(__xludf.DUMMYFUNCTION("""COMPUTED_VALUE"""),"Sin precio neto")</f>
        <v>Sin precio neto</v>
      </c>
    </row>
    <row r="338">
      <c r="A338" s="4" t="str">
        <f>IFERROR(__xludf.DUMMYFUNCTION("""COMPUTED_VALUE"""),"0321C")</f>
        <v>0321C</v>
      </c>
      <c r="B338" s="4" t="str">
        <f>IFERROR(__xludf.DUMMYFUNCTION("""COMPUTED_VALUE"""),"Cartel PVC 96x48 Fotolum. Salida emergencia abajo izq")</f>
        <v>Cartel PVC 96x48 Fotolum. Salida emergencia abajo izq</v>
      </c>
      <c r="C338" s="4">
        <f>IFERROR(__xludf.DUMMYFUNCTION("""COMPUTED_VALUE"""),8.96)</f>
        <v>8.96</v>
      </c>
      <c r="D338" s="4"/>
      <c r="E338" s="4" t="str">
        <f>IFERROR(__xludf.DUMMYFUNCTION("""COMPUTED_VALUE"""),"Sin precio neto")</f>
        <v>Sin precio neto</v>
      </c>
    </row>
    <row r="339">
      <c r="A339" s="4" t="str">
        <f>IFERROR(__xludf.DUMMYFUNCTION("""COMPUTED_VALUE"""),"0321CA")</f>
        <v>0321CA</v>
      </c>
      <c r="B339" s="4" t="str">
        <f>IFERROR(__xludf.DUMMYFUNCTION("""COMPUTED_VALUE"""),"Cartel PVC 96x48 Fotolum. Salida emergencia abajo izq Minus")</f>
        <v>Cartel PVC 96x48 Fotolum. Salida emergencia abajo izq Minus</v>
      </c>
      <c r="C339" s="4">
        <f>IFERROR(__xludf.DUMMYFUNCTION("""COMPUTED_VALUE"""),8.96)</f>
        <v>8.96</v>
      </c>
      <c r="D339" s="4"/>
      <c r="E339" s="4" t="str">
        <f>IFERROR(__xludf.DUMMYFUNCTION("""COMPUTED_VALUE"""),"Sin precio neto")</f>
        <v>Sin precio neto</v>
      </c>
    </row>
    <row r="340">
      <c r="A340" s="4" t="str">
        <f>IFERROR(__xludf.DUMMYFUNCTION("""COMPUTED_VALUE"""),"322")</f>
        <v>322</v>
      </c>
      <c r="B340" s="4" t="str">
        <f>IFERROR(__xludf.DUMMYFUNCTION("""COMPUTED_VALUE"""),"Cartel PVC 21x30 Fotolum. Salida escalera arriba dcha.")</f>
        <v>Cartel PVC 21x30 Fotolum. Salida escalera arriba dcha.</v>
      </c>
      <c r="C340" s="4">
        <f>IFERROR(__xludf.DUMMYFUNCTION("""COMPUTED_VALUE"""),2.6)</f>
        <v>2.6</v>
      </c>
      <c r="D340" s="4">
        <f>IFERROR(__xludf.DUMMYFUNCTION("""COMPUTED_VALUE"""),2.1)</f>
        <v>2.1</v>
      </c>
      <c r="E340" s="4" t="str">
        <f>IFERROR(__xludf.DUMMYFUNCTION("""COMPUTED_VALUE"""),"Neto: 2,10 € (a partir de 1 uds.)")</f>
        <v>Neto: 2,10 € (a partir de 1 uds.)</v>
      </c>
    </row>
    <row r="341">
      <c r="A341" s="4" t="str">
        <f>IFERROR(__xludf.DUMMYFUNCTION("""COMPUTED_VALUE"""),"0322A")</f>
        <v>0322A</v>
      </c>
      <c r="B341" s="4" t="str">
        <f>IFERROR(__xludf.DUMMYFUNCTION("""COMPUTED_VALUE"""),"Cartel PVC 32x16 Fotolum. Salida emergencia arriba dcha.")</f>
        <v>Cartel PVC 32x16 Fotolum. Salida emergencia arriba dcha.</v>
      </c>
      <c r="C341" s="4">
        <f>IFERROR(__xludf.DUMMYFUNCTION("""COMPUTED_VALUE"""),2.25)</f>
        <v>2.25</v>
      </c>
      <c r="D341" s="4"/>
      <c r="E341" s="4" t="str">
        <f>IFERROR(__xludf.DUMMYFUNCTION("""COMPUTED_VALUE"""),"Sin precio neto")</f>
        <v>Sin precio neto</v>
      </c>
    </row>
    <row r="342">
      <c r="A342" s="4" t="str">
        <f>IFERROR(__xludf.DUMMYFUNCTION("""COMPUTED_VALUE"""),"0322AA")</f>
        <v>0322AA</v>
      </c>
      <c r="B342" s="4" t="str">
        <f>IFERROR(__xludf.DUMMYFUNCTION("""COMPUTED_VALUE"""),"Cartel PVC 32x16 Fotolum. Salida emergencia arriba dcha.")</f>
        <v>Cartel PVC 32x16 Fotolum. Salida emergencia arriba dcha.</v>
      </c>
      <c r="C342" s="4">
        <f>IFERROR(__xludf.DUMMYFUNCTION("""COMPUTED_VALUE"""),2.25)</f>
        <v>2.25</v>
      </c>
      <c r="D342" s="4"/>
      <c r="E342" s="4" t="str">
        <f>IFERROR(__xludf.DUMMYFUNCTION("""COMPUTED_VALUE"""),"Sin precio neto")</f>
        <v>Sin precio neto</v>
      </c>
    </row>
    <row r="343">
      <c r="A343" s="4" t="str">
        <f>IFERROR(__xludf.DUMMYFUNCTION("""COMPUTED_VALUE"""),"0322B")</f>
        <v>0322B</v>
      </c>
      <c r="B343" s="4" t="str">
        <f>IFERROR(__xludf.DUMMYFUNCTION("""COMPUTED_VALUE"""),"Cartel PVC 64x32 Fotolum. Salida emergencia arriba dcha.")</f>
        <v>Cartel PVC 64x32 Fotolum. Salida emergencia arriba dcha.</v>
      </c>
      <c r="C343" s="4">
        <f>IFERROR(__xludf.DUMMYFUNCTION("""COMPUTED_VALUE"""),4.48)</f>
        <v>4.48</v>
      </c>
      <c r="D343" s="4"/>
      <c r="E343" s="4" t="str">
        <f>IFERROR(__xludf.DUMMYFUNCTION("""COMPUTED_VALUE"""),"Sin precio neto")</f>
        <v>Sin precio neto</v>
      </c>
    </row>
    <row r="344">
      <c r="A344" s="4" t="str">
        <f>IFERROR(__xludf.DUMMYFUNCTION("""COMPUTED_VALUE"""),"0322BA")</f>
        <v>0322BA</v>
      </c>
      <c r="B344" s="4" t="str">
        <f>IFERROR(__xludf.DUMMYFUNCTION("""COMPUTED_VALUE"""),"Cartel PVC 64x32 Fotolum. Salida emergencia arriba")</f>
        <v>Cartel PVC 64x32 Fotolum. Salida emergencia arriba</v>
      </c>
      <c r="C344" s="4">
        <f>IFERROR(__xludf.DUMMYFUNCTION("""COMPUTED_VALUE"""),4.48)</f>
        <v>4.48</v>
      </c>
      <c r="D344" s="4"/>
      <c r="E344" s="4" t="str">
        <f>IFERROR(__xludf.DUMMYFUNCTION("""COMPUTED_VALUE"""),"Sin precio neto")</f>
        <v>Sin precio neto</v>
      </c>
    </row>
    <row r="345">
      <c r="A345" s="4" t="str">
        <f>IFERROR(__xludf.DUMMYFUNCTION("""COMPUTED_VALUE"""),"0322C")</f>
        <v>0322C</v>
      </c>
      <c r="B345" s="4" t="str">
        <f>IFERROR(__xludf.DUMMYFUNCTION("""COMPUTED_VALUE"""),"Cartel PVC 96x48 Fotolum. Salida emergencia arriba dcha.")</f>
        <v>Cartel PVC 96x48 Fotolum. Salida emergencia arriba dcha.</v>
      </c>
      <c r="C345" s="4">
        <f>IFERROR(__xludf.DUMMYFUNCTION("""COMPUTED_VALUE"""),8.96)</f>
        <v>8.96</v>
      </c>
      <c r="D345" s="4"/>
      <c r="E345" s="4" t="str">
        <f>IFERROR(__xludf.DUMMYFUNCTION("""COMPUTED_VALUE"""),"Sin precio neto")</f>
        <v>Sin precio neto</v>
      </c>
    </row>
    <row r="346">
      <c r="A346" s="4" t="str">
        <f>IFERROR(__xludf.DUMMYFUNCTION("""COMPUTED_VALUE"""),"0322CA")</f>
        <v>0322CA</v>
      </c>
      <c r="B346" s="4" t="str">
        <f>IFERROR(__xludf.DUMMYFUNCTION("""COMPUTED_VALUE"""),"Cartel PVC 96x48 Fotolum. Salida emergencia arriba dcha.")</f>
        <v>Cartel PVC 96x48 Fotolum. Salida emergencia arriba dcha.</v>
      </c>
      <c r="C346" s="4">
        <f>IFERROR(__xludf.DUMMYFUNCTION("""COMPUTED_VALUE"""),8.96)</f>
        <v>8.96</v>
      </c>
      <c r="D346" s="4"/>
      <c r="E346" s="4" t="str">
        <f>IFERROR(__xludf.DUMMYFUNCTION("""COMPUTED_VALUE"""),"Sin precio neto")</f>
        <v>Sin precio neto</v>
      </c>
    </row>
    <row r="347">
      <c r="A347" s="4" t="str">
        <f>IFERROR(__xludf.DUMMYFUNCTION("""COMPUTED_VALUE"""),"323")</f>
        <v>323</v>
      </c>
      <c r="B347" s="4" t="str">
        <f>IFERROR(__xludf.DUMMYFUNCTION("""COMPUTED_VALUE"""),"Cartel PVC 21x30 Fotolum. Salida escalera abajo dcha")</f>
        <v>Cartel PVC 21x30 Fotolum. Salida escalera abajo dcha</v>
      </c>
      <c r="C347" s="4">
        <f>IFERROR(__xludf.DUMMYFUNCTION("""COMPUTED_VALUE"""),2.6)</f>
        <v>2.6</v>
      </c>
      <c r="D347" s="4">
        <f>IFERROR(__xludf.DUMMYFUNCTION("""COMPUTED_VALUE"""),2.1)</f>
        <v>2.1</v>
      </c>
      <c r="E347" s="4" t="str">
        <f>IFERROR(__xludf.DUMMYFUNCTION("""COMPUTED_VALUE"""),"Neto: 2,10 € (a partir de 1 uds.)")</f>
        <v>Neto: 2,10 € (a partir de 1 uds.)</v>
      </c>
    </row>
    <row r="348">
      <c r="A348" s="4" t="str">
        <f>IFERROR(__xludf.DUMMYFUNCTION("""COMPUTED_VALUE"""),"324")</f>
        <v>324</v>
      </c>
      <c r="B348" s="4" t="str">
        <f>IFERROR(__xludf.DUMMYFUNCTION("""COMPUTED_VALUE"""),"Cartel PVC 21x30 Fotolum. Salida puerta dcha")</f>
        <v>Cartel PVC 21x30 Fotolum. Salida puerta dcha</v>
      </c>
      <c r="C348" s="4">
        <f>IFERROR(__xludf.DUMMYFUNCTION("""COMPUTED_VALUE"""),2.6)</f>
        <v>2.6</v>
      </c>
      <c r="D348" s="4">
        <f>IFERROR(__xludf.DUMMYFUNCTION("""COMPUTED_VALUE"""),2.1)</f>
        <v>2.1</v>
      </c>
      <c r="E348" s="4" t="str">
        <f>IFERROR(__xludf.DUMMYFUNCTION("""COMPUTED_VALUE"""),"Neto: 2,10 € (a partir de 1 uds.)")</f>
        <v>Neto: 2,10 € (a partir de 1 uds.)</v>
      </c>
    </row>
    <row r="349">
      <c r="A349" s="4" t="str">
        <f>IFERROR(__xludf.DUMMYFUNCTION("""COMPUTED_VALUE"""),"0324A")</f>
        <v>0324A</v>
      </c>
      <c r="B349" s="4" t="str">
        <f>IFERROR(__xludf.DUMMYFUNCTION("""COMPUTED_VALUE"""),"Cartel PVC 32x16 Fotolum. Salida de emergencia Pta. Derecha")</f>
        <v>Cartel PVC 32x16 Fotolum. Salida de emergencia Pta. Derecha</v>
      </c>
      <c r="C349" s="4">
        <f>IFERROR(__xludf.DUMMYFUNCTION("""COMPUTED_VALUE"""),2.25)</f>
        <v>2.25</v>
      </c>
      <c r="D349" s="4"/>
      <c r="E349" s="4" t="str">
        <f>IFERROR(__xludf.DUMMYFUNCTION("""COMPUTED_VALUE"""),"Sin precio neto")</f>
        <v>Sin precio neto</v>
      </c>
    </row>
    <row r="350">
      <c r="A350" s="4" t="str">
        <f>IFERROR(__xludf.DUMMYFUNCTION("""COMPUTED_VALUE"""),"0324AA")</f>
        <v>0324AA</v>
      </c>
      <c r="B350" s="4" t="str">
        <f>IFERROR(__xludf.DUMMYFUNCTION("""COMPUTED_VALUE"""),"Cartel PVC 32x16 Fotolum. Salida de emergencia Pta. Derecha")</f>
        <v>Cartel PVC 32x16 Fotolum. Salida de emergencia Pta. Derecha</v>
      </c>
      <c r="C350" s="4">
        <f>IFERROR(__xludf.DUMMYFUNCTION("""COMPUTED_VALUE"""),2.25)</f>
        <v>2.25</v>
      </c>
      <c r="D350" s="4"/>
      <c r="E350" s="4" t="str">
        <f>IFERROR(__xludf.DUMMYFUNCTION("""COMPUTED_VALUE"""),"Sin precio neto")</f>
        <v>Sin precio neto</v>
      </c>
    </row>
    <row r="351">
      <c r="A351" s="4" t="str">
        <f>IFERROR(__xludf.DUMMYFUNCTION("""COMPUTED_VALUE"""),"0324B")</f>
        <v>0324B</v>
      </c>
      <c r="B351" s="4" t="str">
        <f>IFERROR(__xludf.DUMMYFUNCTION("""COMPUTED_VALUE"""),"Cartel PVC 64x32 Fotolum. Salida de emergencia Pta. Derecha")</f>
        <v>Cartel PVC 64x32 Fotolum. Salida de emergencia Pta. Derecha</v>
      </c>
      <c r="C351" s="4">
        <f>IFERROR(__xludf.DUMMYFUNCTION("""COMPUTED_VALUE"""),4.48)</f>
        <v>4.48</v>
      </c>
      <c r="D351" s="4"/>
      <c r="E351" s="4" t="str">
        <f>IFERROR(__xludf.DUMMYFUNCTION("""COMPUTED_VALUE"""),"Sin precio neto")</f>
        <v>Sin precio neto</v>
      </c>
    </row>
    <row r="352">
      <c r="A352" s="4" t="str">
        <f>IFERROR(__xludf.DUMMYFUNCTION("""COMPUTED_VALUE"""),"0324BA")</f>
        <v>0324BA</v>
      </c>
      <c r="B352" s="4" t="str">
        <f>IFERROR(__xludf.DUMMYFUNCTION("""COMPUTED_VALUE"""),"Cartel PVC 64x32 Fotolum. Salida de emergencia Pta. Derecha")</f>
        <v>Cartel PVC 64x32 Fotolum. Salida de emergencia Pta. Derecha</v>
      </c>
      <c r="C352" s="4">
        <f>IFERROR(__xludf.DUMMYFUNCTION("""COMPUTED_VALUE"""),4.48)</f>
        <v>4.48</v>
      </c>
      <c r="D352" s="4"/>
      <c r="E352" s="4" t="str">
        <f>IFERROR(__xludf.DUMMYFUNCTION("""COMPUTED_VALUE"""),"Sin precio neto")</f>
        <v>Sin precio neto</v>
      </c>
    </row>
    <row r="353">
      <c r="A353" s="4" t="str">
        <f>IFERROR(__xludf.DUMMYFUNCTION("""COMPUTED_VALUE"""),"0324C")</f>
        <v>0324C</v>
      </c>
      <c r="B353" s="4" t="str">
        <f>IFERROR(__xludf.DUMMYFUNCTION("""COMPUTED_VALUE"""),"Cartel PVC 96x48 Fotolum. Salida de emergencia Pta. Derecha")</f>
        <v>Cartel PVC 96x48 Fotolum. Salida de emergencia Pta. Derecha</v>
      </c>
      <c r="C353" s="4">
        <f>IFERROR(__xludf.DUMMYFUNCTION("""COMPUTED_VALUE"""),8.96)</f>
        <v>8.96</v>
      </c>
      <c r="D353" s="4"/>
      <c r="E353" s="4" t="str">
        <f>IFERROR(__xludf.DUMMYFUNCTION("""COMPUTED_VALUE"""),"Sin precio neto")</f>
        <v>Sin precio neto</v>
      </c>
    </row>
    <row r="354">
      <c r="A354" s="4" t="str">
        <f>IFERROR(__xludf.DUMMYFUNCTION("""COMPUTED_VALUE"""),"0324CA")</f>
        <v>0324CA</v>
      </c>
      <c r="B354" s="4" t="str">
        <f>IFERROR(__xludf.DUMMYFUNCTION("""COMPUTED_VALUE"""),"Cartel PVC 96x48 Fotolum. Salida de emergencia Pta. Derecha")</f>
        <v>Cartel PVC 96x48 Fotolum. Salida de emergencia Pta. Derecha</v>
      </c>
      <c r="C354" s="4">
        <f>IFERROR(__xludf.DUMMYFUNCTION("""COMPUTED_VALUE"""),8.96)</f>
        <v>8.96</v>
      </c>
      <c r="D354" s="4"/>
      <c r="E354" s="4" t="str">
        <f>IFERROR(__xludf.DUMMYFUNCTION("""COMPUTED_VALUE"""),"Sin precio neto")</f>
        <v>Sin precio neto</v>
      </c>
    </row>
    <row r="355">
      <c r="A355" s="4" t="str">
        <f>IFERROR(__xludf.DUMMYFUNCTION("""COMPUTED_VALUE"""),"325")</f>
        <v>325</v>
      </c>
      <c r="B355" s="4" t="str">
        <f>IFERROR(__xludf.DUMMYFUNCTION("""COMPUTED_VALUE"""),"Cartel PVC 21x30 Fotolum. Salida puerta izq.")</f>
        <v>Cartel PVC 21x30 Fotolum. Salida puerta izq.</v>
      </c>
      <c r="C355" s="4">
        <f>IFERROR(__xludf.DUMMYFUNCTION("""COMPUTED_VALUE"""),2.6)</f>
        <v>2.6</v>
      </c>
      <c r="D355" s="4">
        <f>IFERROR(__xludf.DUMMYFUNCTION("""COMPUTED_VALUE"""),2.1)</f>
        <v>2.1</v>
      </c>
      <c r="E355" s="4" t="str">
        <f>IFERROR(__xludf.DUMMYFUNCTION("""COMPUTED_VALUE"""),"Neto: 2,10 € (a partir de 1 uds.)")</f>
        <v>Neto: 2,10 € (a partir de 1 uds.)</v>
      </c>
    </row>
    <row r="356">
      <c r="A356" s="4" t="str">
        <f>IFERROR(__xludf.DUMMYFUNCTION("""COMPUTED_VALUE"""),"0325A")</f>
        <v>0325A</v>
      </c>
      <c r="B356" s="4" t="str">
        <f>IFERROR(__xludf.DUMMYFUNCTION("""COMPUTED_VALUE"""),"Cartel PVC 32x16 Fotolum. Salida de emergencia Pta.")</f>
        <v>Cartel PVC 32x16 Fotolum. Salida de emergencia Pta.</v>
      </c>
      <c r="C356" s="4">
        <f>IFERROR(__xludf.DUMMYFUNCTION("""COMPUTED_VALUE"""),2.25)</f>
        <v>2.25</v>
      </c>
      <c r="D356" s="4"/>
      <c r="E356" s="4" t="str">
        <f>IFERROR(__xludf.DUMMYFUNCTION("""COMPUTED_VALUE"""),"Sin precio neto")</f>
        <v>Sin precio neto</v>
      </c>
    </row>
    <row r="357">
      <c r="A357" s="4" t="str">
        <f>IFERROR(__xludf.DUMMYFUNCTION("""COMPUTED_VALUE"""),"0325AA")</f>
        <v>0325AA</v>
      </c>
      <c r="B357" s="4" t="str">
        <f>IFERROR(__xludf.DUMMYFUNCTION("""COMPUTED_VALUE"""),"Cartel PVC 32x16 Fotolum. Salida de emergencia puerta izq.")</f>
        <v>Cartel PVC 32x16 Fotolum. Salida de emergencia puerta izq.</v>
      </c>
      <c r="C357" s="4">
        <f>IFERROR(__xludf.DUMMYFUNCTION("""COMPUTED_VALUE"""),2.25)</f>
        <v>2.25</v>
      </c>
      <c r="D357" s="4"/>
      <c r="E357" s="4" t="str">
        <f>IFERROR(__xludf.DUMMYFUNCTION("""COMPUTED_VALUE"""),"Sin precio neto")</f>
        <v>Sin precio neto</v>
      </c>
    </row>
    <row r="358">
      <c r="A358" s="4" t="str">
        <f>IFERROR(__xludf.DUMMYFUNCTION("""COMPUTED_VALUE"""),"0325B")</f>
        <v>0325B</v>
      </c>
      <c r="B358" s="4" t="str">
        <f>IFERROR(__xludf.DUMMYFUNCTION("""COMPUTED_VALUE"""),"Cartel PVC 64x32 Fotolum. Salida de emergencia Pta.")</f>
        <v>Cartel PVC 64x32 Fotolum. Salida de emergencia Pta.</v>
      </c>
      <c r="C358" s="4">
        <f>IFERROR(__xludf.DUMMYFUNCTION("""COMPUTED_VALUE"""),4.48)</f>
        <v>4.48</v>
      </c>
      <c r="D358" s="4"/>
      <c r="E358" s="4" t="str">
        <f>IFERROR(__xludf.DUMMYFUNCTION("""COMPUTED_VALUE"""),"Sin precio neto")</f>
        <v>Sin precio neto</v>
      </c>
    </row>
    <row r="359">
      <c r="A359" s="4" t="str">
        <f>IFERROR(__xludf.DUMMYFUNCTION("""COMPUTED_VALUE"""),"0325BA")</f>
        <v>0325BA</v>
      </c>
      <c r="B359" s="4" t="str">
        <f>IFERROR(__xludf.DUMMYFUNCTION("""COMPUTED_VALUE"""),"Cartel PVC 64x32 Fotolum. Salida de emergencia Pta. Izq.")</f>
        <v>Cartel PVC 64x32 Fotolum. Salida de emergencia Pta. Izq.</v>
      </c>
      <c r="C359" s="4">
        <f>IFERROR(__xludf.DUMMYFUNCTION("""COMPUTED_VALUE"""),4.48)</f>
        <v>4.48</v>
      </c>
      <c r="D359" s="4"/>
      <c r="E359" s="4" t="str">
        <f>IFERROR(__xludf.DUMMYFUNCTION("""COMPUTED_VALUE"""),"Sin precio neto")</f>
        <v>Sin precio neto</v>
      </c>
    </row>
    <row r="360">
      <c r="A360" s="4" t="str">
        <f>IFERROR(__xludf.DUMMYFUNCTION("""COMPUTED_VALUE"""),"0325C")</f>
        <v>0325C</v>
      </c>
      <c r="B360" s="4" t="str">
        <f>IFERROR(__xludf.DUMMYFUNCTION("""COMPUTED_VALUE"""),"Cartel PVC 96x48 Fotolum. Salida de emergencia Pta.")</f>
        <v>Cartel PVC 96x48 Fotolum. Salida de emergencia Pta.</v>
      </c>
      <c r="C360" s="4">
        <f>IFERROR(__xludf.DUMMYFUNCTION("""COMPUTED_VALUE"""),8.96)</f>
        <v>8.96</v>
      </c>
      <c r="D360" s="4"/>
      <c r="E360" s="4" t="str">
        <f>IFERROR(__xludf.DUMMYFUNCTION("""COMPUTED_VALUE"""),"Sin precio neto")</f>
        <v>Sin precio neto</v>
      </c>
    </row>
    <row r="361">
      <c r="A361" s="4" t="str">
        <f>IFERROR(__xludf.DUMMYFUNCTION("""COMPUTED_VALUE"""),"0325CA")</f>
        <v>0325CA</v>
      </c>
      <c r="B361" s="4" t="str">
        <f>IFERROR(__xludf.DUMMYFUNCTION("""COMPUTED_VALUE"""),"Cartel PVC 96x48 Fotolum. Salida de emergencia Pta. Izq")</f>
        <v>Cartel PVC 96x48 Fotolum. Salida de emergencia Pta. Izq</v>
      </c>
      <c r="C361" s="4">
        <f>IFERROR(__xludf.DUMMYFUNCTION("""COMPUTED_VALUE"""),8.96)</f>
        <v>8.96</v>
      </c>
      <c r="D361" s="4"/>
      <c r="E361" s="4" t="str">
        <f>IFERROR(__xludf.DUMMYFUNCTION("""COMPUTED_VALUE"""),"Sin precio neto")</f>
        <v>Sin precio neto</v>
      </c>
    </row>
    <row r="362">
      <c r="A362" s="4" t="str">
        <f>IFERROR(__xludf.DUMMYFUNCTION("""COMPUTED_VALUE"""),"326")</f>
        <v>326</v>
      </c>
      <c r="B362" s="4" t="str">
        <f>IFERROR(__xludf.DUMMYFUNCTION("""COMPUTED_VALUE"""),"Cartel PVC 21x30 Fotolum. Salida puerta abajo izq.")</f>
        <v>Cartel PVC 21x30 Fotolum. Salida puerta abajo izq.</v>
      </c>
      <c r="C362" s="4">
        <f>IFERROR(__xludf.DUMMYFUNCTION("""COMPUTED_VALUE"""),2.6)</f>
        <v>2.6</v>
      </c>
      <c r="D362" s="4">
        <f>IFERROR(__xludf.DUMMYFUNCTION("""COMPUTED_VALUE"""),2.1)</f>
        <v>2.1</v>
      </c>
      <c r="E362" s="4" t="str">
        <f>IFERROR(__xludf.DUMMYFUNCTION("""COMPUTED_VALUE"""),"Neto: 2,10 € (a partir de 1 uds.)")</f>
        <v>Neto: 2,10 € (a partir de 1 uds.)</v>
      </c>
    </row>
    <row r="363">
      <c r="A363" s="4" t="str">
        <f>IFERROR(__xludf.DUMMYFUNCTION("""COMPUTED_VALUE"""),"0326A")</f>
        <v>0326A</v>
      </c>
      <c r="B363" s="4" t="str">
        <f>IFERROR(__xludf.DUMMYFUNCTION("""COMPUTED_VALUE"""),"Cartel PVC 32x16 Fotolum. Salida de emergencia Pta. Abajo")</f>
        <v>Cartel PVC 32x16 Fotolum. Salida de emergencia Pta. Abajo</v>
      </c>
      <c r="C363" s="4">
        <f>IFERROR(__xludf.DUMMYFUNCTION("""COMPUTED_VALUE"""),2.25)</f>
        <v>2.25</v>
      </c>
      <c r="D363" s="4"/>
      <c r="E363" s="4" t="str">
        <f>IFERROR(__xludf.DUMMYFUNCTION("""COMPUTED_VALUE"""),"Sin precio neto")</f>
        <v>Sin precio neto</v>
      </c>
    </row>
    <row r="364">
      <c r="A364" s="4" t="str">
        <f>IFERROR(__xludf.DUMMYFUNCTION("""COMPUTED_VALUE"""),"0326AA")</f>
        <v>0326AA</v>
      </c>
      <c r="B364" s="4" t="str">
        <f>IFERROR(__xludf.DUMMYFUNCTION("""COMPUTED_VALUE"""),"Cartel PVC 32x16 Fotolum. Salida de emergencia Pta. Abajo")</f>
        <v>Cartel PVC 32x16 Fotolum. Salida de emergencia Pta. Abajo</v>
      </c>
      <c r="C364" s="4">
        <f>IFERROR(__xludf.DUMMYFUNCTION("""COMPUTED_VALUE"""),2.25)</f>
        <v>2.25</v>
      </c>
      <c r="D364" s="4"/>
      <c r="E364" s="4" t="str">
        <f>IFERROR(__xludf.DUMMYFUNCTION("""COMPUTED_VALUE"""),"Sin precio neto")</f>
        <v>Sin precio neto</v>
      </c>
    </row>
    <row r="365">
      <c r="A365" s="4" t="str">
        <f>IFERROR(__xludf.DUMMYFUNCTION("""COMPUTED_VALUE"""),"0326B")</f>
        <v>0326B</v>
      </c>
      <c r="B365" s="4" t="str">
        <f>IFERROR(__xludf.DUMMYFUNCTION("""COMPUTED_VALUE"""),"Cartel PVC 64x32 Fotolum. Salida de emergencia Pta. Abajo")</f>
        <v>Cartel PVC 64x32 Fotolum. Salida de emergencia Pta. Abajo</v>
      </c>
      <c r="C365" s="4">
        <f>IFERROR(__xludf.DUMMYFUNCTION("""COMPUTED_VALUE"""),4.48)</f>
        <v>4.48</v>
      </c>
      <c r="D365" s="4"/>
      <c r="E365" s="4" t="str">
        <f>IFERROR(__xludf.DUMMYFUNCTION("""COMPUTED_VALUE"""),"Sin precio neto")</f>
        <v>Sin precio neto</v>
      </c>
    </row>
    <row r="366">
      <c r="A366" s="4" t="str">
        <f>IFERROR(__xludf.DUMMYFUNCTION("""COMPUTED_VALUE"""),"0326BA")</f>
        <v>0326BA</v>
      </c>
      <c r="B366" s="4" t="str">
        <f>IFERROR(__xludf.DUMMYFUNCTION("""COMPUTED_VALUE"""),"Cartel PVC 64x32 Fotolum. Salida de emergencia Pta. Abajo")</f>
        <v>Cartel PVC 64x32 Fotolum. Salida de emergencia Pta. Abajo</v>
      </c>
      <c r="C366" s="4">
        <f>IFERROR(__xludf.DUMMYFUNCTION("""COMPUTED_VALUE"""),4.48)</f>
        <v>4.48</v>
      </c>
      <c r="D366" s="4"/>
      <c r="E366" s="4" t="str">
        <f>IFERROR(__xludf.DUMMYFUNCTION("""COMPUTED_VALUE"""),"Sin precio neto")</f>
        <v>Sin precio neto</v>
      </c>
    </row>
    <row r="367">
      <c r="A367" s="4" t="str">
        <f>IFERROR(__xludf.DUMMYFUNCTION("""COMPUTED_VALUE"""),"0326C")</f>
        <v>0326C</v>
      </c>
      <c r="B367" s="4" t="str">
        <f>IFERROR(__xludf.DUMMYFUNCTION("""COMPUTED_VALUE"""),"Cartel PVC 96x48 Fotolum. Salida de emergencia Pta. Abajo")</f>
        <v>Cartel PVC 96x48 Fotolum. Salida de emergencia Pta. Abajo</v>
      </c>
      <c r="C367" s="4">
        <f>IFERROR(__xludf.DUMMYFUNCTION("""COMPUTED_VALUE"""),8.96)</f>
        <v>8.96</v>
      </c>
      <c r="D367" s="4"/>
      <c r="E367" s="4" t="str">
        <f>IFERROR(__xludf.DUMMYFUNCTION("""COMPUTED_VALUE"""),"Sin precio neto")</f>
        <v>Sin precio neto</v>
      </c>
    </row>
    <row r="368">
      <c r="A368" s="4" t="str">
        <f>IFERROR(__xludf.DUMMYFUNCTION("""COMPUTED_VALUE"""),"0326CA")</f>
        <v>0326CA</v>
      </c>
      <c r="B368" s="4" t="str">
        <f>IFERROR(__xludf.DUMMYFUNCTION("""COMPUTED_VALUE"""),"Cartel PVC 96x48 Fotolum. Salida de emergencia Pta. Abajo")</f>
        <v>Cartel PVC 96x48 Fotolum. Salida de emergencia Pta. Abajo</v>
      </c>
      <c r="C368" s="4">
        <f>IFERROR(__xludf.DUMMYFUNCTION("""COMPUTED_VALUE"""),8.96)</f>
        <v>8.96</v>
      </c>
      <c r="D368" s="4"/>
      <c r="E368" s="4" t="str">
        <f>IFERROR(__xludf.DUMMYFUNCTION("""COMPUTED_VALUE"""),"Sin precio neto")</f>
        <v>Sin precio neto</v>
      </c>
    </row>
    <row r="369">
      <c r="A369" s="4" t="str">
        <f>IFERROR(__xludf.DUMMYFUNCTION("""COMPUTED_VALUE"""),"327")</f>
        <v>327</v>
      </c>
      <c r="B369" s="4" t="str">
        <f>IFERROR(__xludf.DUMMYFUNCTION("""COMPUTED_VALUE"""),"Cartel PVC 21x30 Fotolum.puerta abajo dcha")</f>
        <v>Cartel PVC 21x30 Fotolum.puerta abajo dcha</v>
      </c>
      <c r="C369" s="4">
        <f>IFERROR(__xludf.DUMMYFUNCTION("""COMPUTED_VALUE"""),2.6)</f>
        <v>2.6</v>
      </c>
      <c r="D369" s="4">
        <f>IFERROR(__xludf.DUMMYFUNCTION("""COMPUTED_VALUE"""),2.1)</f>
        <v>2.1</v>
      </c>
      <c r="E369" s="4" t="str">
        <f>IFERROR(__xludf.DUMMYFUNCTION("""COMPUTED_VALUE"""),"Neto: 2,10 € (a partir de 1 uds.)")</f>
        <v>Neto: 2,10 € (a partir de 1 uds.)</v>
      </c>
    </row>
    <row r="370">
      <c r="A370" s="4" t="str">
        <f>IFERROR(__xludf.DUMMYFUNCTION("""COMPUTED_VALUE"""),"0327A")</f>
        <v>0327A</v>
      </c>
      <c r="B370" s="4" t="str">
        <f>IFERROR(__xludf.DUMMYFUNCTION("""COMPUTED_VALUE"""),"Cartel PVC 32x16 Fotolum. Salida de emergencia Pta. Abajo")</f>
        <v>Cartel PVC 32x16 Fotolum. Salida de emergencia Pta. Abajo</v>
      </c>
      <c r="C370" s="4">
        <f>IFERROR(__xludf.DUMMYFUNCTION("""COMPUTED_VALUE"""),2.25)</f>
        <v>2.25</v>
      </c>
      <c r="D370" s="4"/>
      <c r="E370" s="4" t="str">
        <f>IFERROR(__xludf.DUMMYFUNCTION("""COMPUTED_VALUE"""),"Sin precio neto")</f>
        <v>Sin precio neto</v>
      </c>
    </row>
    <row r="371">
      <c r="A371" s="4" t="str">
        <f>IFERROR(__xludf.DUMMYFUNCTION("""COMPUTED_VALUE"""),"0327AA")</f>
        <v>0327AA</v>
      </c>
      <c r="B371" s="4" t="str">
        <f>IFERROR(__xludf.DUMMYFUNCTION("""COMPUTED_VALUE"""),"Cartel PVC 32x16 Fotolum. Salida de emergencia Pta. Abajo")</f>
        <v>Cartel PVC 32x16 Fotolum. Salida de emergencia Pta. Abajo</v>
      </c>
      <c r="C371" s="4">
        <f>IFERROR(__xludf.DUMMYFUNCTION("""COMPUTED_VALUE"""),2.25)</f>
        <v>2.25</v>
      </c>
      <c r="D371" s="4"/>
      <c r="E371" s="4" t="str">
        <f>IFERROR(__xludf.DUMMYFUNCTION("""COMPUTED_VALUE"""),"Sin precio neto")</f>
        <v>Sin precio neto</v>
      </c>
    </row>
    <row r="372">
      <c r="A372" s="4" t="str">
        <f>IFERROR(__xludf.DUMMYFUNCTION("""COMPUTED_VALUE"""),"0327B")</f>
        <v>0327B</v>
      </c>
      <c r="B372" s="4" t="str">
        <f>IFERROR(__xludf.DUMMYFUNCTION("""COMPUTED_VALUE"""),"Cartel PVC 64x32 Fotolum. Salida de emergencia Pta. Abajo")</f>
        <v>Cartel PVC 64x32 Fotolum. Salida de emergencia Pta. Abajo</v>
      </c>
      <c r="C372" s="4">
        <f>IFERROR(__xludf.DUMMYFUNCTION("""COMPUTED_VALUE"""),4.48)</f>
        <v>4.48</v>
      </c>
      <c r="D372" s="4"/>
      <c r="E372" s="4" t="str">
        <f>IFERROR(__xludf.DUMMYFUNCTION("""COMPUTED_VALUE"""),"Sin precio neto")</f>
        <v>Sin precio neto</v>
      </c>
    </row>
    <row r="373">
      <c r="A373" s="4" t="str">
        <f>IFERROR(__xludf.DUMMYFUNCTION("""COMPUTED_VALUE"""),"0327BA")</f>
        <v>0327BA</v>
      </c>
      <c r="B373" s="4" t="str">
        <f>IFERROR(__xludf.DUMMYFUNCTION("""COMPUTED_VALUE"""),"Cartel PVC 64x32 Fotolum. Salida de emergencia Pta. Abajo")</f>
        <v>Cartel PVC 64x32 Fotolum. Salida de emergencia Pta. Abajo</v>
      </c>
      <c r="C373" s="4">
        <f>IFERROR(__xludf.DUMMYFUNCTION("""COMPUTED_VALUE"""),4.48)</f>
        <v>4.48</v>
      </c>
      <c r="D373" s="4"/>
      <c r="E373" s="4" t="str">
        <f>IFERROR(__xludf.DUMMYFUNCTION("""COMPUTED_VALUE"""),"Sin precio neto")</f>
        <v>Sin precio neto</v>
      </c>
    </row>
    <row r="374">
      <c r="A374" s="4" t="str">
        <f>IFERROR(__xludf.DUMMYFUNCTION("""COMPUTED_VALUE"""),"0327C")</f>
        <v>0327C</v>
      </c>
      <c r="B374" s="4" t="str">
        <f>IFERROR(__xludf.DUMMYFUNCTION("""COMPUTED_VALUE"""),"Cartel PVC 96x48 Fotolum. Salida de emergencia Pta. Abajo")</f>
        <v>Cartel PVC 96x48 Fotolum. Salida de emergencia Pta. Abajo</v>
      </c>
      <c r="C374" s="4">
        <f>IFERROR(__xludf.DUMMYFUNCTION("""COMPUTED_VALUE"""),8.96)</f>
        <v>8.96</v>
      </c>
      <c r="D374" s="4"/>
      <c r="E374" s="4" t="str">
        <f>IFERROR(__xludf.DUMMYFUNCTION("""COMPUTED_VALUE"""),"Sin precio neto")</f>
        <v>Sin precio neto</v>
      </c>
    </row>
    <row r="375">
      <c r="A375" s="4" t="str">
        <f>IFERROR(__xludf.DUMMYFUNCTION("""COMPUTED_VALUE"""),"0327CA")</f>
        <v>0327CA</v>
      </c>
      <c r="B375" s="4" t="str">
        <f>IFERROR(__xludf.DUMMYFUNCTION("""COMPUTED_VALUE"""),"Cartel PVC 96x48 Fotolum. Salida de emergencia Pta. Abajo")</f>
        <v>Cartel PVC 96x48 Fotolum. Salida de emergencia Pta. Abajo</v>
      </c>
      <c r="C375" s="4">
        <f>IFERROR(__xludf.DUMMYFUNCTION("""COMPUTED_VALUE"""),8.96)</f>
        <v>8.96</v>
      </c>
      <c r="D375" s="4"/>
      <c r="E375" s="4" t="str">
        <f>IFERROR(__xludf.DUMMYFUNCTION("""COMPUTED_VALUE"""),"Sin precio neto")</f>
        <v>Sin precio neto</v>
      </c>
    </row>
    <row r="376">
      <c r="A376" s="4" t="str">
        <f>IFERROR(__xludf.DUMMYFUNCTION("""COMPUTED_VALUE"""),"328")</f>
        <v>328</v>
      </c>
      <c r="B376" s="4" t="str">
        <f>IFERROR(__xludf.DUMMYFUNCTION("""COMPUTED_VALUE"""),"Cartel PVC 21x30 Fotolum. Aseos hombres")</f>
        <v>Cartel PVC 21x30 Fotolum. Aseos hombres</v>
      </c>
      <c r="C376" s="4">
        <f>IFERROR(__xludf.DUMMYFUNCTION("""COMPUTED_VALUE"""),2.6)</f>
        <v>2.6</v>
      </c>
      <c r="D376" s="4">
        <f>IFERROR(__xludf.DUMMYFUNCTION("""COMPUTED_VALUE"""),2.1)</f>
        <v>2.1</v>
      </c>
      <c r="E376" s="4" t="str">
        <f>IFERROR(__xludf.DUMMYFUNCTION("""COMPUTED_VALUE"""),"Neto: 2,10 € (a partir de 1 uds.)")</f>
        <v>Neto: 2,10 € (a partir de 1 uds.)</v>
      </c>
    </row>
    <row r="377">
      <c r="A377" s="4" t="str">
        <f>IFERROR(__xludf.DUMMYFUNCTION("""COMPUTED_VALUE"""),"0328A")</f>
        <v>0328A</v>
      </c>
      <c r="B377" s="4" t="str">
        <f>IFERROR(__xludf.DUMMYFUNCTION("""COMPUTED_VALUE"""),"Cartel PVC 21x30 Fotolum. Aseos masculino")</f>
        <v>Cartel PVC 21x30 Fotolum. Aseos masculino</v>
      </c>
      <c r="C377" s="4">
        <f>IFERROR(__xludf.DUMMYFUNCTION("""COMPUTED_VALUE"""),2.52)</f>
        <v>2.52</v>
      </c>
      <c r="D377" s="4">
        <f>IFERROR(__xludf.DUMMYFUNCTION("""COMPUTED_VALUE"""),2.1)</f>
        <v>2.1</v>
      </c>
      <c r="E377" s="4" t="str">
        <f>IFERROR(__xludf.DUMMYFUNCTION("""COMPUTED_VALUE"""),"Neto: 2,10 € (a partir de 1 uds.)")</f>
        <v>Neto: 2,10 € (a partir de 1 uds.)</v>
      </c>
    </row>
    <row r="378">
      <c r="A378" s="4" t="str">
        <f>IFERROR(__xludf.DUMMYFUNCTION("""COMPUTED_VALUE"""),"0328B")</f>
        <v>0328B</v>
      </c>
      <c r="B378" s="4" t="str">
        <f>IFERROR(__xludf.DUMMYFUNCTION("""COMPUTED_VALUE"""),"Cartel PVC 40x30 Fotolum. Aseos Masculino")</f>
        <v>Cartel PVC 40x30 Fotolum. Aseos Masculino</v>
      </c>
      <c r="C378" s="4">
        <f>IFERROR(__xludf.DUMMYFUNCTION("""COMPUTED_VALUE"""),3.1)</f>
        <v>3.1</v>
      </c>
      <c r="D378" s="4">
        <f>IFERROR(__xludf.DUMMYFUNCTION("""COMPUTED_VALUE"""),3.2)</f>
        <v>3.2</v>
      </c>
      <c r="E378" s="4" t="str">
        <f>IFERROR(__xludf.DUMMYFUNCTION("""COMPUTED_VALUE"""),"Neto: 3,20 € (a partir de 1 uds.)")</f>
        <v>Neto: 3,20 € (a partir de 1 uds.)</v>
      </c>
    </row>
    <row r="379">
      <c r="A379" s="4" t="str">
        <f>IFERROR(__xludf.DUMMYFUNCTION("""COMPUTED_VALUE"""),"329")</f>
        <v>329</v>
      </c>
      <c r="B379" s="4" t="str">
        <f>IFERROR(__xludf.DUMMYFUNCTION("""COMPUTED_VALUE"""),"Cartel PVC 21x30 Fotolum. Aseos mujeres")</f>
        <v>Cartel PVC 21x30 Fotolum. Aseos mujeres</v>
      </c>
      <c r="C379" s="4">
        <f>IFERROR(__xludf.DUMMYFUNCTION("""COMPUTED_VALUE"""),2.6)</f>
        <v>2.6</v>
      </c>
      <c r="D379" s="4">
        <f>IFERROR(__xludf.DUMMYFUNCTION("""COMPUTED_VALUE"""),2.1)</f>
        <v>2.1</v>
      </c>
      <c r="E379" s="4" t="str">
        <f>IFERROR(__xludf.DUMMYFUNCTION("""COMPUTED_VALUE"""),"Neto: 2,10 € (a partir de 1 uds.)")</f>
        <v>Neto: 2,10 € (a partir de 1 uds.)</v>
      </c>
    </row>
    <row r="380">
      <c r="A380" s="4" t="str">
        <f>IFERROR(__xludf.DUMMYFUNCTION("""COMPUTED_VALUE"""),"0329A")</f>
        <v>0329A</v>
      </c>
      <c r="B380" s="4" t="str">
        <f>IFERROR(__xludf.DUMMYFUNCTION("""COMPUTED_VALUE"""),"Cartel PVC 21x30 Fotolum. Aseos femenino")</f>
        <v>Cartel PVC 21x30 Fotolum. Aseos femenino</v>
      </c>
      <c r="C380" s="4">
        <f>IFERROR(__xludf.DUMMYFUNCTION("""COMPUTED_VALUE"""),2.52)</f>
        <v>2.52</v>
      </c>
      <c r="D380" s="4">
        <f>IFERROR(__xludf.DUMMYFUNCTION("""COMPUTED_VALUE"""),2.1)</f>
        <v>2.1</v>
      </c>
      <c r="E380" s="4" t="str">
        <f>IFERROR(__xludf.DUMMYFUNCTION("""COMPUTED_VALUE"""),"Neto: 2,10 € (a partir de 1 uds.)")</f>
        <v>Neto: 2,10 € (a partir de 1 uds.)</v>
      </c>
    </row>
    <row r="381">
      <c r="A381" s="4" t="str">
        <f>IFERROR(__xludf.DUMMYFUNCTION("""COMPUTED_VALUE"""),"0329B")</f>
        <v>0329B</v>
      </c>
      <c r="B381" s="4" t="str">
        <f>IFERROR(__xludf.DUMMYFUNCTION("""COMPUTED_VALUE"""),"Cartel PVC 40x30 Fotolum. Aseos femenino")</f>
        <v>Cartel PVC 40x30 Fotolum. Aseos femenino</v>
      </c>
      <c r="C381" s="4">
        <f>IFERROR(__xludf.DUMMYFUNCTION("""COMPUTED_VALUE"""),3.1)</f>
        <v>3.1</v>
      </c>
      <c r="D381" s="4">
        <f>IFERROR(__xludf.DUMMYFUNCTION("""COMPUTED_VALUE"""),3.2)</f>
        <v>3.2</v>
      </c>
      <c r="E381" s="4" t="str">
        <f>IFERROR(__xludf.DUMMYFUNCTION("""COMPUTED_VALUE"""),"Neto: 3,20 € (a partir de 1 uds.)")</f>
        <v>Neto: 3,20 € (a partir de 1 uds.)</v>
      </c>
    </row>
    <row r="382">
      <c r="A382" s="4" t="str">
        <f>IFERROR(__xludf.DUMMYFUNCTION("""COMPUTED_VALUE"""),"330")</f>
        <v>330</v>
      </c>
      <c r="B382" s="4" t="str">
        <f>IFERROR(__xludf.DUMMYFUNCTION("""COMPUTED_VALUE"""),"Cartel PVC 21x30 Fotolum. Mujeres/Hombres")</f>
        <v>Cartel PVC 21x30 Fotolum. Mujeres/Hombres</v>
      </c>
      <c r="C382" s="4">
        <f>IFERROR(__xludf.DUMMYFUNCTION("""COMPUTED_VALUE"""),2.6)</f>
        <v>2.6</v>
      </c>
      <c r="D382" s="4">
        <f>IFERROR(__xludf.DUMMYFUNCTION("""COMPUTED_VALUE"""),2.1)</f>
        <v>2.1</v>
      </c>
      <c r="E382" s="4" t="str">
        <f>IFERROR(__xludf.DUMMYFUNCTION("""COMPUTED_VALUE"""),"Neto: 2,10 € (a partir de 1 uds.)")</f>
        <v>Neto: 2,10 € (a partir de 1 uds.)</v>
      </c>
    </row>
    <row r="383">
      <c r="A383" s="4" t="str">
        <f>IFERROR(__xludf.DUMMYFUNCTION("""COMPUTED_VALUE"""),"0330A")</f>
        <v>0330A</v>
      </c>
      <c r="B383" s="4" t="str">
        <f>IFERROR(__xludf.DUMMYFUNCTION("""COMPUTED_VALUE"""),"Cartel PVC 21x30 Fotolum. Aseos mixtos")</f>
        <v>Cartel PVC 21x30 Fotolum. Aseos mixtos</v>
      </c>
      <c r="C383" s="4">
        <f>IFERROR(__xludf.DUMMYFUNCTION("""COMPUTED_VALUE"""),2.52)</f>
        <v>2.52</v>
      </c>
      <c r="D383" s="4">
        <f>IFERROR(__xludf.DUMMYFUNCTION("""COMPUTED_VALUE"""),2.1)</f>
        <v>2.1</v>
      </c>
      <c r="E383" s="4" t="str">
        <f>IFERROR(__xludf.DUMMYFUNCTION("""COMPUTED_VALUE"""),"Neto: 2,10 € (a partir de 1 uds.)")</f>
        <v>Neto: 2,10 € (a partir de 1 uds.)</v>
      </c>
    </row>
    <row r="384">
      <c r="A384" s="4" t="str">
        <f>IFERROR(__xludf.DUMMYFUNCTION("""COMPUTED_VALUE"""),"0330B")</f>
        <v>0330B</v>
      </c>
      <c r="B384" s="4" t="str">
        <f>IFERROR(__xludf.DUMMYFUNCTION("""COMPUTED_VALUE"""),"Cartel PVC 40x30 Fotolum. Aseos mixtos")</f>
        <v>Cartel PVC 40x30 Fotolum. Aseos mixtos</v>
      </c>
      <c r="C384" s="4">
        <f>IFERROR(__xludf.DUMMYFUNCTION("""COMPUTED_VALUE"""),3.1)</f>
        <v>3.1</v>
      </c>
      <c r="D384" s="4">
        <f>IFERROR(__xludf.DUMMYFUNCTION("""COMPUTED_VALUE"""),3.2)</f>
        <v>3.2</v>
      </c>
      <c r="E384" s="4" t="str">
        <f>IFERROR(__xludf.DUMMYFUNCTION("""COMPUTED_VALUE"""),"Neto: 3,20 € (a partir de 1 uds.)")</f>
        <v>Neto: 3,20 € (a partir de 1 uds.)</v>
      </c>
    </row>
    <row r="385">
      <c r="A385" s="4" t="str">
        <f>IFERROR(__xludf.DUMMYFUNCTION("""COMPUTED_VALUE"""),"331")</f>
        <v>331</v>
      </c>
      <c r="B385" s="4" t="str">
        <f>IFERROR(__xludf.DUMMYFUNCTION("""COMPUTED_VALUE"""),"Cartel PVC 21x29 Fotolum. HIDRANTE")</f>
        <v>Cartel PVC 21x29 Fotolum. HIDRANTE</v>
      </c>
      <c r="C385" s="4">
        <f>IFERROR(__xludf.DUMMYFUNCTION("""COMPUTED_VALUE"""),2.6)</f>
        <v>2.6</v>
      </c>
      <c r="D385" s="4">
        <f>IFERROR(__xludf.DUMMYFUNCTION("""COMPUTED_VALUE"""),2.1)</f>
        <v>2.1</v>
      </c>
      <c r="E385" s="4" t="str">
        <f>IFERROR(__xludf.DUMMYFUNCTION("""COMPUTED_VALUE"""),"Neto: 2,10 € (a partir de 1 uds.)")</f>
        <v>Neto: 2,10 € (a partir de 1 uds.)</v>
      </c>
    </row>
    <row r="386">
      <c r="A386" s="4" t="str">
        <f>IFERROR(__xludf.DUMMYFUNCTION("""COMPUTED_VALUE"""),"332")</f>
        <v>332</v>
      </c>
      <c r="B386" s="4" t="str">
        <f>IFERROR(__xludf.DUMMYFUNCTION("""COMPUTED_VALUE"""),"Cartel PVC 21x30 Fotolum. Salida Emerg. puerta dcha")</f>
        <v>Cartel PVC 21x30 Fotolum. Salida Emerg. puerta dcha</v>
      </c>
      <c r="C386" s="4">
        <f>IFERROR(__xludf.DUMMYFUNCTION("""COMPUTED_VALUE"""),2.6)</f>
        <v>2.6</v>
      </c>
      <c r="D386" s="4">
        <f>IFERROR(__xludf.DUMMYFUNCTION("""COMPUTED_VALUE"""),2.1)</f>
        <v>2.1</v>
      </c>
      <c r="E386" s="4" t="str">
        <f>IFERROR(__xludf.DUMMYFUNCTION("""COMPUTED_VALUE"""),"Neto: 2,10 € (a partir de 1 uds.)")</f>
        <v>Neto: 2,10 € (a partir de 1 uds.)</v>
      </c>
    </row>
    <row r="387">
      <c r="A387" s="4" t="str">
        <f>IFERROR(__xludf.DUMMYFUNCTION("""COMPUTED_VALUE"""),"333")</f>
        <v>333</v>
      </c>
      <c r="B387" s="4" t="str">
        <f>IFERROR(__xludf.DUMMYFUNCTION("""COMPUTED_VALUE"""),"Cartel PVC 21x30 Fotolum. Salida Emerg. puerta abajo dcha.")</f>
        <v>Cartel PVC 21x30 Fotolum. Salida Emerg. puerta abajo dcha.</v>
      </c>
      <c r="C387" s="4">
        <f>IFERROR(__xludf.DUMMYFUNCTION("""COMPUTED_VALUE"""),2.6)</f>
        <v>2.6</v>
      </c>
      <c r="D387" s="4">
        <f>IFERROR(__xludf.DUMMYFUNCTION("""COMPUTED_VALUE"""),2.1)</f>
        <v>2.1</v>
      </c>
      <c r="E387" s="4" t="str">
        <f>IFERROR(__xludf.DUMMYFUNCTION("""COMPUTED_VALUE"""),"Neto: 2,10 € (a partir de 1 uds.)")</f>
        <v>Neto: 2,10 € (a partir de 1 uds.)</v>
      </c>
    </row>
    <row r="388">
      <c r="A388" s="4" t="str">
        <f>IFERROR(__xludf.DUMMYFUNCTION("""COMPUTED_VALUE"""),"334")</f>
        <v>334</v>
      </c>
      <c r="B388" s="4" t="str">
        <f>IFERROR(__xludf.DUMMYFUNCTION("""COMPUTED_VALUE"""),"Cartel PVC 21x30 Fotolum. Salida Emerg. puerta izq.")</f>
        <v>Cartel PVC 21x30 Fotolum. Salida Emerg. puerta izq.</v>
      </c>
      <c r="C388" s="4">
        <f>IFERROR(__xludf.DUMMYFUNCTION("""COMPUTED_VALUE"""),2.6)</f>
        <v>2.6</v>
      </c>
      <c r="D388" s="4">
        <f>IFERROR(__xludf.DUMMYFUNCTION("""COMPUTED_VALUE"""),2.1)</f>
        <v>2.1</v>
      </c>
      <c r="E388" s="4" t="str">
        <f>IFERROR(__xludf.DUMMYFUNCTION("""COMPUTED_VALUE"""),"Neto: 2,10 € (a partir de 1 uds.)")</f>
        <v>Neto: 2,10 € (a partir de 1 uds.)</v>
      </c>
    </row>
    <row r="389">
      <c r="A389" s="4" t="str">
        <f>IFERROR(__xludf.DUMMYFUNCTION("""COMPUTED_VALUE"""),"335")</f>
        <v>335</v>
      </c>
      <c r="B389" s="4" t="str">
        <f>IFERROR(__xludf.DUMMYFUNCTION("""COMPUTED_VALUE"""),"Cartel PVC 21x30 Fotolum. Salida Emerg. puerta abajo izq.")</f>
        <v>Cartel PVC 21x30 Fotolum. Salida Emerg. puerta abajo izq.</v>
      </c>
      <c r="C389" s="4">
        <f>IFERROR(__xludf.DUMMYFUNCTION("""COMPUTED_VALUE"""),2.6)</f>
        <v>2.6</v>
      </c>
      <c r="D389" s="4">
        <f>IFERROR(__xludf.DUMMYFUNCTION("""COMPUTED_VALUE"""),2.1)</f>
        <v>2.1</v>
      </c>
      <c r="E389" s="4" t="str">
        <f>IFERROR(__xludf.DUMMYFUNCTION("""COMPUTED_VALUE"""),"Neto: 2,10 € (a partir de 1 uds.)")</f>
        <v>Neto: 2,10 € (a partir de 1 uds.)</v>
      </c>
    </row>
    <row r="390">
      <c r="A390" s="4" t="str">
        <f>IFERROR(__xludf.DUMMYFUNCTION("""COMPUTED_VALUE"""),"336")</f>
        <v>336</v>
      </c>
      <c r="B390" s="4" t="str">
        <f>IFERROR(__xludf.DUMMYFUNCTION("""COMPUTED_VALUE"""),"Cartel PVC 21x30 Fotolum. Salida Emerg. escalera abajo izq.")</f>
        <v>Cartel PVC 21x30 Fotolum. Salida Emerg. escalera abajo izq.</v>
      </c>
      <c r="C390" s="4">
        <f>IFERROR(__xludf.DUMMYFUNCTION("""COMPUTED_VALUE"""),2.6)</f>
        <v>2.6</v>
      </c>
      <c r="D390" s="4">
        <f>IFERROR(__xludf.DUMMYFUNCTION("""COMPUTED_VALUE"""),2.1)</f>
        <v>2.1</v>
      </c>
      <c r="E390" s="4" t="str">
        <f>IFERROR(__xludf.DUMMYFUNCTION("""COMPUTED_VALUE"""),"Neto: 2,10 € (a partir de 1 uds.)")</f>
        <v>Neto: 2,10 € (a partir de 1 uds.)</v>
      </c>
    </row>
    <row r="391">
      <c r="A391" s="4" t="str">
        <f>IFERROR(__xludf.DUMMYFUNCTION("""COMPUTED_VALUE"""),"0336A")</f>
        <v>0336A</v>
      </c>
      <c r="B391" s="4" t="str">
        <f>IFERROR(__xludf.DUMMYFUNCTION("""COMPUTED_VALUE"""),"Cartel PVC 32x16 Fotolum. Escal. de emergencia izq abajo")</f>
        <v>Cartel PVC 32x16 Fotolum. Escal. de emergencia izq abajo</v>
      </c>
      <c r="C391" s="4">
        <f>IFERROR(__xludf.DUMMYFUNCTION("""COMPUTED_VALUE"""),2.25)</f>
        <v>2.25</v>
      </c>
      <c r="D391" s="4"/>
      <c r="E391" s="4" t="str">
        <f>IFERROR(__xludf.DUMMYFUNCTION("""COMPUTED_VALUE"""),"Sin precio neto")</f>
        <v>Sin precio neto</v>
      </c>
    </row>
    <row r="392">
      <c r="A392" s="4" t="str">
        <f>IFERROR(__xludf.DUMMYFUNCTION("""COMPUTED_VALUE"""),"0336B")</f>
        <v>0336B</v>
      </c>
      <c r="B392" s="4" t="str">
        <f>IFERROR(__xludf.DUMMYFUNCTION("""COMPUTED_VALUE"""),"Cartel PVC 64x32 Fotolum. Escal. de emergencia izq abajo")</f>
        <v>Cartel PVC 64x32 Fotolum. Escal. de emergencia izq abajo</v>
      </c>
      <c r="C392" s="4">
        <f>IFERROR(__xludf.DUMMYFUNCTION("""COMPUTED_VALUE"""),4.48)</f>
        <v>4.48</v>
      </c>
      <c r="D392" s="4"/>
      <c r="E392" s="4" t="str">
        <f>IFERROR(__xludf.DUMMYFUNCTION("""COMPUTED_VALUE"""),"Sin precio neto")</f>
        <v>Sin precio neto</v>
      </c>
    </row>
    <row r="393">
      <c r="A393" s="4" t="str">
        <f>IFERROR(__xludf.DUMMYFUNCTION("""COMPUTED_VALUE"""),"337")</f>
        <v>337</v>
      </c>
      <c r="B393" s="4" t="str">
        <f>IFERROR(__xludf.DUMMYFUNCTION("""COMPUTED_VALUE"""),"Cartel PVC 21x30 Fotolum. Salida Emerg.escalera arriba dcha.")</f>
        <v>Cartel PVC 21x30 Fotolum. Salida Emerg.escalera arriba dcha.</v>
      </c>
      <c r="C393" s="4">
        <f>IFERROR(__xludf.DUMMYFUNCTION("""COMPUTED_VALUE"""),2.6)</f>
        <v>2.6</v>
      </c>
      <c r="D393" s="4">
        <f>IFERROR(__xludf.DUMMYFUNCTION("""COMPUTED_VALUE"""),2.1)</f>
        <v>2.1</v>
      </c>
      <c r="E393" s="4" t="str">
        <f>IFERROR(__xludf.DUMMYFUNCTION("""COMPUTED_VALUE"""),"Neto: 2,10 € (a partir de 1 uds.)")</f>
        <v>Neto: 2,10 € (a partir de 1 uds.)</v>
      </c>
    </row>
    <row r="394">
      <c r="A394" s="4" t="str">
        <f>IFERROR(__xludf.DUMMYFUNCTION("""COMPUTED_VALUE"""),"0337A")</f>
        <v>0337A</v>
      </c>
      <c r="B394" s="4" t="str">
        <f>IFERROR(__xludf.DUMMYFUNCTION("""COMPUTED_VALUE"""),"Cartel PVC 32x16 Fotolum. Escal. de emergencia dcha arriba")</f>
        <v>Cartel PVC 32x16 Fotolum. Escal. de emergencia dcha arriba</v>
      </c>
      <c r="C394" s="4">
        <f>IFERROR(__xludf.DUMMYFUNCTION("""COMPUTED_VALUE"""),2.25)</f>
        <v>2.25</v>
      </c>
      <c r="D394" s="4"/>
      <c r="E394" s="4" t="str">
        <f>IFERROR(__xludf.DUMMYFUNCTION("""COMPUTED_VALUE"""),"Sin precio neto")</f>
        <v>Sin precio neto</v>
      </c>
    </row>
    <row r="395">
      <c r="A395" s="4" t="str">
        <f>IFERROR(__xludf.DUMMYFUNCTION("""COMPUTED_VALUE"""),"0337B")</f>
        <v>0337B</v>
      </c>
      <c r="B395" s="4" t="str">
        <f>IFERROR(__xludf.DUMMYFUNCTION("""COMPUTED_VALUE"""),"Cartel PVC 64x32 Fotolum. Escal. de emergencia dcha arriba")</f>
        <v>Cartel PVC 64x32 Fotolum. Escal. de emergencia dcha arriba</v>
      </c>
      <c r="C395" s="4">
        <f>IFERROR(__xludf.DUMMYFUNCTION("""COMPUTED_VALUE"""),4.48)</f>
        <v>4.48</v>
      </c>
      <c r="D395" s="4"/>
      <c r="E395" s="4" t="str">
        <f>IFERROR(__xludf.DUMMYFUNCTION("""COMPUTED_VALUE"""),"Sin precio neto")</f>
        <v>Sin precio neto</v>
      </c>
    </row>
    <row r="396">
      <c r="A396" s="4" t="str">
        <f>IFERROR(__xludf.DUMMYFUNCTION("""COMPUTED_VALUE"""),"0337C")</f>
        <v>0337C</v>
      </c>
      <c r="B396" s="4" t="str">
        <f>IFERROR(__xludf.DUMMYFUNCTION("""COMPUTED_VALUE"""),"Cartel PVC 96x48 Fotolum. Escal. de emergencia dcha arriba")</f>
        <v>Cartel PVC 96x48 Fotolum. Escal. de emergencia dcha arriba</v>
      </c>
      <c r="C396" s="4">
        <f>IFERROR(__xludf.DUMMYFUNCTION("""COMPUTED_VALUE"""),8.96)</f>
        <v>8.96</v>
      </c>
      <c r="D396" s="4"/>
      <c r="E396" s="4" t="str">
        <f>IFERROR(__xludf.DUMMYFUNCTION("""COMPUTED_VALUE"""),"Sin precio neto")</f>
        <v>Sin precio neto</v>
      </c>
    </row>
    <row r="397">
      <c r="A397" s="4" t="str">
        <f>IFERROR(__xludf.DUMMYFUNCTION("""COMPUTED_VALUE"""),"338")</f>
        <v>338</v>
      </c>
      <c r="B397" s="4" t="str">
        <f>IFERROR(__xludf.DUMMYFUNCTION("""COMPUTED_VALUE"""),"Cartel PVC 21x30 Fotolum. Salida Emerg. escalera abajo dcha")</f>
        <v>Cartel PVC 21x30 Fotolum. Salida Emerg. escalera abajo dcha</v>
      </c>
      <c r="C397" s="4">
        <f>IFERROR(__xludf.DUMMYFUNCTION("""COMPUTED_VALUE"""),2.6)</f>
        <v>2.6</v>
      </c>
      <c r="D397" s="4">
        <f>IFERROR(__xludf.DUMMYFUNCTION("""COMPUTED_VALUE"""),2.1)</f>
        <v>2.1</v>
      </c>
      <c r="E397" s="4" t="str">
        <f>IFERROR(__xludf.DUMMYFUNCTION("""COMPUTED_VALUE"""),"Neto: 2,10 € (a partir de 1 uds.)")</f>
        <v>Neto: 2,10 € (a partir de 1 uds.)</v>
      </c>
    </row>
    <row r="398">
      <c r="A398" s="4" t="str">
        <f>IFERROR(__xludf.DUMMYFUNCTION("""COMPUTED_VALUE"""),"0338A")</f>
        <v>0338A</v>
      </c>
      <c r="B398" s="4" t="str">
        <f>IFERROR(__xludf.DUMMYFUNCTION("""COMPUTED_VALUE"""),"Cartel PVC 32x16 Fotolum. Escal. de emergencia dcha abajo")</f>
        <v>Cartel PVC 32x16 Fotolum. Escal. de emergencia dcha abajo</v>
      </c>
      <c r="C398" s="4">
        <f>IFERROR(__xludf.DUMMYFUNCTION("""COMPUTED_VALUE"""),2.25)</f>
        <v>2.25</v>
      </c>
      <c r="D398" s="4"/>
      <c r="E398" s="4" t="str">
        <f>IFERROR(__xludf.DUMMYFUNCTION("""COMPUTED_VALUE"""),"Sin precio neto")</f>
        <v>Sin precio neto</v>
      </c>
    </row>
    <row r="399">
      <c r="A399" s="4" t="str">
        <f>IFERROR(__xludf.DUMMYFUNCTION("""COMPUTED_VALUE"""),"0338B")</f>
        <v>0338B</v>
      </c>
      <c r="B399" s="4" t="str">
        <f>IFERROR(__xludf.DUMMYFUNCTION("""COMPUTED_VALUE"""),"Cartel PVC 64x32 Fotolum. Escal. de emergencia dcha abajo")</f>
        <v>Cartel PVC 64x32 Fotolum. Escal. de emergencia dcha abajo</v>
      </c>
      <c r="C399" s="4">
        <f>IFERROR(__xludf.DUMMYFUNCTION("""COMPUTED_VALUE"""),4.48)</f>
        <v>4.48</v>
      </c>
      <c r="D399" s="4"/>
      <c r="E399" s="4" t="str">
        <f>IFERROR(__xludf.DUMMYFUNCTION("""COMPUTED_VALUE"""),"Sin precio neto")</f>
        <v>Sin precio neto</v>
      </c>
    </row>
    <row r="400">
      <c r="A400" s="4" t="str">
        <f>IFERROR(__xludf.DUMMYFUNCTION("""COMPUTED_VALUE"""),"339")</f>
        <v>339</v>
      </c>
      <c r="B400" s="4" t="str">
        <f>IFERROR(__xludf.DUMMYFUNCTION("""COMPUTED_VALUE"""),"Cartel PVC 21x30 Fotolum. Salida Emerg. escalera arriba izq.")</f>
        <v>Cartel PVC 21x30 Fotolum. Salida Emerg. escalera arriba izq.</v>
      </c>
      <c r="C400" s="4">
        <f>IFERROR(__xludf.DUMMYFUNCTION("""COMPUTED_VALUE"""),2.6)</f>
        <v>2.6</v>
      </c>
      <c r="D400" s="4">
        <f>IFERROR(__xludf.DUMMYFUNCTION("""COMPUTED_VALUE"""),2.1)</f>
        <v>2.1</v>
      </c>
      <c r="E400" s="4" t="str">
        <f>IFERROR(__xludf.DUMMYFUNCTION("""COMPUTED_VALUE"""),"Neto: 2,10 € (a partir de 1 uds.)")</f>
        <v>Neto: 2,10 € (a partir de 1 uds.)</v>
      </c>
    </row>
    <row r="401">
      <c r="A401" s="4" t="str">
        <f>IFERROR(__xludf.DUMMYFUNCTION("""COMPUTED_VALUE"""),"0339A")</f>
        <v>0339A</v>
      </c>
      <c r="B401" s="4" t="str">
        <f>IFERROR(__xludf.DUMMYFUNCTION("""COMPUTED_VALUE"""),"Cartel PVC 32x16 Fotolum. Escal. de emergencia izq arriba")</f>
        <v>Cartel PVC 32x16 Fotolum. Escal. de emergencia izq arriba</v>
      </c>
      <c r="C401" s="4">
        <f>IFERROR(__xludf.DUMMYFUNCTION("""COMPUTED_VALUE"""),2.25)</f>
        <v>2.25</v>
      </c>
      <c r="D401" s="4"/>
      <c r="E401" s="4" t="str">
        <f>IFERROR(__xludf.DUMMYFUNCTION("""COMPUTED_VALUE"""),"Sin precio neto")</f>
        <v>Sin precio neto</v>
      </c>
    </row>
    <row r="402">
      <c r="A402" s="4" t="str">
        <f>IFERROR(__xludf.DUMMYFUNCTION("""COMPUTED_VALUE"""),"0339B")</f>
        <v>0339B</v>
      </c>
      <c r="B402" s="4" t="str">
        <f>IFERROR(__xludf.DUMMYFUNCTION("""COMPUTED_VALUE"""),"Cartel PVC 64x32 Fotolum. Escal. de emergencia izq arriba")</f>
        <v>Cartel PVC 64x32 Fotolum. Escal. de emergencia izq arriba</v>
      </c>
      <c r="C402" s="4">
        <f>IFERROR(__xludf.DUMMYFUNCTION("""COMPUTED_VALUE"""),4.48)</f>
        <v>4.48</v>
      </c>
      <c r="D402" s="4"/>
      <c r="E402" s="4" t="str">
        <f>IFERROR(__xludf.DUMMYFUNCTION("""COMPUTED_VALUE"""),"Sin precio neto")</f>
        <v>Sin precio neto</v>
      </c>
    </row>
    <row r="403">
      <c r="A403" s="4" t="str">
        <f>IFERROR(__xludf.DUMMYFUNCTION("""COMPUTED_VALUE"""),"0339C")</f>
        <v>0339C</v>
      </c>
      <c r="B403" s="4" t="str">
        <f>IFERROR(__xludf.DUMMYFUNCTION("""COMPUTED_VALUE"""),"Cartel PVC 96x48 Fotolum. Escal. de emergencia izq arriba")</f>
        <v>Cartel PVC 96x48 Fotolum. Escal. de emergencia izq arriba</v>
      </c>
      <c r="C403" s="4">
        <f>IFERROR(__xludf.DUMMYFUNCTION("""COMPUTED_VALUE"""),8.96)</f>
        <v>8.96</v>
      </c>
      <c r="D403" s="4"/>
      <c r="E403" s="4" t="str">
        <f>IFERROR(__xludf.DUMMYFUNCTION("""COMPUTED_VALUE"""),"Sin precio neto")</f>
        <v>Sin precio neto</v>
      </c>
    </row>
    <row r="404">
      <c r="A404" s="4" t="str">
        <f>IFERROR(__xludf.DUMMYFUNCTION("""COMPUTED_VALUE"""),"340")</f>
        <v>340</v>
      </c>
      <c r="B404" s="4" t="str">
        <f>IFERROR(__xludf.DUMMYFUNCTION("""COMPUTED_VALUE"""),"Cartel PVC 40x30 Fotolum. SALIDA")</f>
        <v>Cartel PVC 40x30 Fotolum. SALIDA</v>
      </c>
      <c r="C404" s="4">
        <f>IFERROR(__xludf.DUMMYFUNCTION("""COMPUTED_VALUE"""),3.35)</f>
        <v>3.35</v>
      </c>
      <c r="D404" s="4">
        <f>IFERROR(__xludf.DUMMYFUNCTION("""COMPUTED_VALUE"""),3.2)</f>
        <v>3.2</v>
      </c>
      <c r="E404" s="4" t="str">
        <f>IFERROR(__xludf.DUMMYFUNCTION("""COMPUTED_VALUE"""),"Neto: 3,20 € (a partir de 1 uds.)")</f>
        <v>Neto: 3,20 € (a partir de 1 uds.)</v>
      </c>
    </row>
    <row r="405">
      <c r="A405" s="4" t="str">
        <f>IFERROR(__xludf.DUMMYFUNCTION("""COMPUTED_VALUE"""),"342")</f>
        <v>342</v>
      </c>
      <c r="B405" s="4" t="str">
        <f>IFERROR(__xludf.DUMMYFUNCTION("""COMPUTED_VALUE"""),"Cartel PVC 40x60 Riesgo de Incendio")</f>
        <v>Cartel PVC 40x60 Riesgo de Incendio</v>
      </c>
      <c r="C405" s="4">
        <f>IFERROR(__xludf.DUMMYFUNCTION("""COMPUTED_VALUE"""),4.75)</f>
        <v>4.75</v>
      </c>
      <c r="D405" s="4"/>
      <c r="E405" s="4" t="str">
        <f>IFERROR(__xludf.DUMMYFUNCTION("""COMPUTED_VALUE"""),"Sin precio neto")</f>
        <v>Sin precio neto</v>
      </c>
    </row>
    <row r="406">
      <c r="A406" s="4" t="str">
        <f>IFERROR(__xludf.DUMMYFUNCTION("""COMPUTED_VALUE"""),"343")</f>
        <v>343</v>
      </c>
      <c r="B406" s="4" t="str">
        <f>IFERROR(__xludf.DUMMYFUNCTION("""COMPUTED_VALUE"""),"Cartel PVC 21x30 Fotolum. Extintor")</f>
        <v>Cartel PVC 21x30 Fotolum. Extintor</v>
      </c>
      <c r="C406" s="4">
        <f>IFERROR(__xludf.DUMMYFUNCTION("""COMPUTED_VALUE"""),2.6)</f>
        <v>2.6</v>
      </c>
      <c r="D406" s="4">
        <f>IFERROR(__xludf.DUMMYFUNCTION("""COMPUTED_VALUE"""),2.1)</f>
        <v>2.1</v>
      </c>
      <c r="E406" s="4" t="str">
        <f>IFERROR(__xludf.DUMMYFUNCTION("""COMPUTED_VALUE"""),"Neto: 2,10 € (a partir de 1 uds.)")</f>
        <v>Neto: 2,10 € (a partir de 1 uds.)</v>
      </c>
    </row>
    <row r="407">
      <c r="A407" s="4" t="str">
        <f>IFERROR(__xludf.DUMMYFUNCTION("""COMPUTED_VALUE"""),"0343A")</f>
        <v>0343A</v>
      </c>
      <c r="B407" s="4" t="str">
        <f>IFERROR(__xludf.DUMMYFUNCTION("""COMPUTED_VALUE"""),"Cartel PVC 21x30 Fotolum. Extintor")</f>
        <v>Cartel PVC 21x30 Fotolum. Extintor</v>
      </c>
      <c r="C407" s="4">
        <f>IFERROR(__xludf.DUMMYFUNCTION("""COMPUTED_VALUE"""),2.52)</f>
        <v>2.52</v>
      </c>
      <c r="D407" s="4">
        <f>IFERROR(__xludf.DUMMYFUNCTION("""COMPUTED_VALUE"""),2.1)</f>
        <v>2.1</v>
      </c>
      <c r="E407" s="4" t="str">
        <f>IFERROR(__xludf.DUMMYFUNCTION("""COMPUTED_VALUE"""),"Neto: 2,10 € (a partir de 1 uds.)")</f>
        <v>Neto: 2,10 € (a partir de 1 uds.)</v>
      </c>
    </row>
    <row r="408">
      <c r="A408" s="4" t="str">
        <f>IFERROR(__xludf.DUMMYFUNCTION("""COMPUTED_VALUE"""),"0343B")</f>
        <v>0343B</v>
      </c>
      <c r="B408" s="4" t="str">
        <f>IFERROR(__xludf.DUMMYFUNCTION("""COMPUTED_VALUE"""),"Cartel PVC 40x30 Fotolum. Extintor")</f>
        <v>Cartel PVC 40x30 Fotolum. Extintor</v>
      </c>
      <c r="C408" s="4">
        <f>IFERROR(__xludf.DUMMYFUNCTION("""COMPUTED_VALUE"""),3.1)</f>
        <v>3.1</v>
      </c>
      <c r="D408" s="4">
        <f>IFERROR(__xludf.DUMMYFUNCTION("""COMPUTED_VALUE"""),3.2)</f>
        <v>3.2</v>
      </c>
      <c r="E408" s="4" t="str">
        <f>IFERROR(__xludf.DUMMYFUNCTION("""COMPUTED_VALUE"""),"Neto: 3,20 € (a partir de 1 uds.)")</f>
        <v>Neto: 3,20 € (a partir de 1 uds.)</v>
      </c>
    </row>
    <row r="409">
      <c r="A409" s="4" t="str">
        <f>IFERROR(__xludf.DUMMYFUNCTION("""COMPUTED_VALUE"""),"0343CO")</f>
        <v>0343CO</v>
      </c>
      <c r="B409" s="4" t="str">
        <f>IFERROR(__xludf.DUMMYFUNCTION("""COMPUTED_VALUE"""),"Cartel PVC 21x30 Fotolum. Extintor Co2")</f>
        <v>Cartel PVC 21x30 Fotolum. Extintor Co2</v>
      </c>
      <c r="C409" s="4">
        <f>IFERROR(__xludf.DUMMYFUNCTION("""COMPUTED_VALUE"""),2.6)</f>
        <v>2.6</v>
      </c>
      <c r="D409" s="4">
        <f>IFERROR(__xludf.DUMMYFUNCTION("""COMPUTED_VALUE"""),2.1)</f>
        <v>2.1</v>
      </c>
      <c r="E409" s="4" t="str">
        <f>IFERROR(__xludf.DUMMYFUNCTION("""COMPUTED_VALUE"""),"Neto: 2,10 € (a partir de 1 uds.)")</f>
        <v>Neto: 2,10 € (a partir de 1 uds.)</v>
      </c>
    </row>
    <row r="410">
      <c r="A410" s="4" t="str">
        <f>IFERROR(__xludf.DUMMYFUNCTION("""COMPUTED_VALUE"""),"344")</f>
        <v>344</v>
      </c>
      <c r="B410" s="4" t="str">
        <f>IFERROR(__xludf.DUMMYFUNCTION("""COMPUTED_VALUE"""),"Cartel PVC 21x30 Fotolum. Salida")</f>
        <v>Cartel PVC 21x30 Fotolum. Salida</v>
      </c>
      <c r="C410" s="4">
        <f>IFERROR(__xludf.DUMMYFUNCTION("""COMPUTED_VALUE"""),2.6)</f>
        <v>2.6</v>
      </c>
      <c r="D410" s="4">
        <f>IFERROR(__xludf.DUMMYFUNCTION("""COMPUTED_VALUE"""),2.1)</f>
        <v>2.1</v>
      </c>
      <c r="E410" s="4" t="str">
        <f>IFERROR(__xludf.DUMMYFUNCTION("""COMPUTED_VALUE"""),"Neto: 2,10 € (a partir de 1 uds.)")</f>
        <v>Neto: 2,10 € (a partir de 1 uds.)</v>
      </c>
    </row>
    <row r="411">
      <c r="A411" s="4" t="str">
        <f>IFERROR(__xludf.DUMMYFUNCTION("""COMPUTED_VALUE"""),"0344A")</f>
        <v>0344A</v>
      </c>
      <c r="B411" s="4" t="str">
        <f>IFERROR(__xludf.DUMMYFUNCTION("""COMPUTED_VALUE"""),"Cartel PVC 32x16 Fotolum. Salida")</f>
        <v>Cartel PVC 32x16 Fotolum. Salida</v>
      </c>
      <c r="C411" s="4">
        <f>IFERROR(__xludf.DUMMYFUNCTION("""COMPUTED_VALUE"""),2.25)</f>
        <v>2.25</v>
      </c>
      <c r="D411" s="4"/>
      <c r="E411" s="4" t="str">
        <f>IFERROR(__xludf.DUMMYFUNCTION("""COMPUTED_VALUE"""),"Sin precio neto")</f>
        <v>Sin precio neto</v>
      </c>
    </row>
    <row r="412">
      <c r="A412" s="4" t="str">
        <f>IFERROR(__xludf.DUMMYFUNCTION("""COMPUTED_VALUE"""),"0344B")</f>
        <v>0344B</v>
      </c>
      <c r="B412" s="4" t="str">
        <f>IFERROR(__xludf.DUMMYFUNCTION("""COMPUTED_VALUE"""),"Cartel PVC 64x32 Fotolum. Salida")</f>
        <v>Cartel PVC 64x32 Fotolum. Salida</v>
      </c>
      <c r="C412" s="4">
        <f>IFERROR(__xludf.DUMMYFUNCTION("""COMPUTED_VALUE"""),4.48)</f>
        <v>4.48</v>
      </c>
      <c r="D412" s="4"/>
      <c r="E412" s="4" t="str">
        <f>IFERROR(__xludf.DUMMYFUNCTION("""COMPUTED_VALUE"""),"Sin precio neto")</f>
        <v>Sin precio neto</v>
      </c>
    </row>
    <row r="413">
      <c r="A413" s="4" t="str">
        <f>IFERROR(__xludf.DUMMYFUNCTION("""COMPUTED_VALUE"""),"345")</f>
        <v>345</v>
      </c>
      <c r="B413" s="4" t="str">
        <f>IFERROR(__xludf.DUMMYFUNCTION("""COMPUTED_VALUE"""),"Señal PVC 21x29 Fotolum. avisador sonoro")</f>
        <v>Señal PVC 21x29 Fotolum. avisador sonoro</v>
      </c>
      <c r="C413" s="4">
        <f>IFERROR(__xludf.DUMMYFUNCTION("""COMPUTED_VALUE"""),2.6)</f>
        <v>2.6</v>
      </c>
      <c r="D413" s="4">
        <f>IFERROR(__xludf.DUMMYFUNCTION("""COMPUTED_VALUE"""),2.1)</f>
        <v>2.1</v>
      </c>
      <c r="E413" s="4" t="str">
        <f>IFERROR(__xludf.DUMMYFUNCTION("""COMPUTED_VALUE"""),"Neto: 2,10 € (a partir de 1 uds.)")</f>
        <v>Neto: 2,10 € (a partir de 1 uds.)</v>
      </c>
    </row>
    <row r="414">
      <c r="A414" s="4" t="str">
        <f>IFERROR(__xludf.DUMMYFUNCTION("""COMPUTED_VALUE"""),"346")</f>
        <v>346</v>
      </c>
      <c r="B414" s="4" t="str">
        <f>IFERROR(__xludf.DUMMYFUNCTION("""COMPUTED_VALUE"""),"Cartel PVC 21x30 Fotolum. Extintor dcha")</f>
        <v>Cartel PVC 21x30 Fotolum. Extintor dcha</v>
      </c>
      <c r="C414" s="4">
        <f>IFERROR(__xludf.DUMMYFUNCTION("""COMPUTED_VALUE"""),2.6)</f>
        <v>2.6</v>
      </c>
      <c r="D414" s="4">
        <f>IFERROR(__xludf.DUMMYFUNCTION("""COMPUTED_VALUE"""),2.1)</f>
        <v>2.1</v>
      </c>
      <c r="E414" s="4" t="str">
        <f>IFERROR(__xludf.DUMMYFUNCTION("""COMPUTED_VALUE"""),"Neto: 2,10 € (a partir de 1 uds.)")</f>
        <v>Neto: 2,10 € (a partir de 1 uds.)</v>
      </c>
    </row>
    <row r="415">
      <c r="A415" s="4" t="str">
        <f>IFERROR(__xludf.DUMMYFUNCTION("""COMPUTED_VALUE"""),"0346A")</f>
        <v>0346A</v>
      </c>
      <c r="B415" s="4" t="str">
        <f>IFERROR(__xludf.DUMMYFUNCTION("""COMPUTED_VALUE"""),"Cartel PVC 32x16 Fotolum. Extintor derecha")</f>
        <v>Cartel PVC 32x16 Fotolum. Extintor derecha</v>
      </c>
      <c r="C415" s="4">
        <f>IFERROR(__xludf.DUMMYFUNCTION("""COMPUTED_VALUE"""),2.25)</f>
        <v>2.25</v>
      </c>
      <c r="D415" s="4"/>
      <c r="E415" s="4" t="str">
        <f>IFERROR(__xludf.DUMMYFUNCTION("""COMPUTED_VALUE"""),"Sin precio neto")</f>
        <v>Sin precio neto</v>
      </c>
    </row>
    <row r="416">
      <c r="A416" s="4" t="str">
        <f>IFERROR(__xludf.DUMMYFUNCTION("""COMPUTED_VALUE"""),"0346B")</f>
        <v>0346B</v>
      </c>
      <c r="B416" s="4" t="str">
        <f>IFERROR(__xludf.DUMMYFUNCTION("""COMPUTED_VALUE"""),"Cartel PVC 64x32 Fotolum. Extintor derecha")</f>
        <v>Cartel PVC 64x32 Fotolum. Extintor derecha</v>
      </c>
      <c r="C416" s="4">
        <f>IFERROR(__xludf.DUMMYFUNCTION("""COMPUTED_VALUE"""),4.48)</f>
        <v>4.48</v>
      </c>
      <c r="D416" s="4"/>
      <c r="E416" s="4" t="str">
        <f>IFERROR(__xludf.DUMMYFUNCTION("""COMPUTED_VALUE"""),"Sin precio neto")</f>
        <v>Sin precio neto</v>
      </c>
    </row>
    <row r="417">
      <c r="A417" s="4" t="str">
        <f>IFERROR(__xludf.DUMMYFUNCTION("""COMPUTED_VALUE"""),"0346C")</f>
        <v>0346C</v>
      </c>
      <c r="B417" s="4" t="str">
        <f>IFERROR(__xludf.DUMMYFUNCTION("""COMPUTED_VALUE"""),"Cartel PVC 96x48 Fotolum. Extintor derecha")</f>
        <v>Cartel PVC 96x48 Fotolum. Extintor derecha</v>
      </c>
      <c r="C417" s="4">
        <f>IFERROR(__xludf.DUMMYFUNCTION("""COMPUTED_VALUE"""),8.96)</f>
        <v>8.96</v>
      </c>
      <c r="D417" s="4"/>
      <c r="E417" s="4" t="str">
        <f>IFERROR(__xludf.DUMMYFUNCTION("""COMPUTED_VALUE"""),"Sin precio neto")</f>
        <v>Sin precio neto</v>
      </c>
    </row>
    <row r="418">
      <c r="A418" s="4" t="str">
        <f>IFERROR(__xludf.DUMMYFUNCTION("""COMPUTED_VALUE"""),"347")</f>
        <v>347</v>
      </c>
      <c r="B418" s="4" t="str">
        <f>IFERROR(__xludf.DUMMYFUNCTION("""COMPUTED_VALUE"""),"Cartel PVC 21x30 Fotolum. Extintor Izq.")</f>
        <v>Cartel PVC 21x30 Fotolum. Extintor Izq.</v>
      </c>
      <c r="C418" s="4">
        <f>IFERROR(__xludf.DUMMYFUNCTION("""COMPUTED_VALUE"""),2.6)</f>
        <v>2.6</v>
      </c>
      <c r="D418" s="4">
        <f>IFERROR(__xludf.DUMMYFUNCTION("""COMPUTED_VALUE"""),2.1)</f>
        <v>2.1</v>
      </c>
      <c r="E418" s="4" t="str">
        <f>IFERROR(__xludf.DUMMYFUNCTION("""COMPUTED_VALUE"""),"Neto: 2,10 € (a partir de 1 uds.)")</f>
        <v>Neto: 2,10 € (a partir de 1 uds.)</v>
      </c>
    </row>
    <row r="419">
      <c r="A419" s="4" t="str">
        <f>IFERROR(__xludf.DUMMYFUNCTION("""COMPUTED_VALUE"""),"0347A")</f>
        <v>0347A</v>
      </c>
      <c r="B419" s="4" t="str">
        <f>IFERROR(__xludf.DUMMYFUNCTION("""COMPUTED_VALUE"""),"Cartel PVC 32x16 Fotolum. Extintor izquierda")</f>
        <v>Cartel PVC 32x16 Fotolum. Extintor izquierda</v>
      </c>
      <c r="C419" s="4">
        <f>IFERROR(__xludf.DUMMYFUNCTION("""COMPUTED_VALUE"""),2.25)</f>
        <v>2.25</v>
      </c>
      <c r="D419" s="4"/>
      <c r="E419" s="4" t="str">
        <f>IFERROR(__xludf.DUMMYFUNCTION("""COMPUTED_VALUE"""),"Sin precio neto")</f>
        <v>Sin precio neto</v>
      </c>
    </row>
    <row r="420">
      <c r="A420" s="4" t="str">
        <f>IFERROR(__xludf.DUMMYFUNCTION("""COMPUTED_VALUE"""),"0347B")</f>
        <v>0347B</v>
      </c>
      <c r="B420" s="4" t="str">
        <f>IFERROR(__xludf.DUMMYFUNCTION("""COMPUTED_VALUE"""),"Cartel PVC 64x32 Fotolum. Extintor izquierda")</f>
        <v>Cartel PVC 64x32 Fotolum. Extintor izquierda</v>
      </c>
      <c r="C420" s="4">
        <f>IFERROR(__xludf.DUMMYFUNCTION("""COMPUTED_VALUE"""),4.48)</f>
        <v>4.48</v>
      </c>
      <c r="D420" s="4"/>
      <c r="E420" s="4" t="str">
        <f>IFERROR(__xludf.DUMMYFUNCTION("""COMPUTED_VALUE"""),"Sin precio neto")</f>
        <v>Sin precio neto</v>
      </c>
    </row>
    <row r="421">
      <c r="A421" s="4" t="str">
        <f>IFERROR(__xludf.DUMMYFUNCTION("""COMPUTED_VALUE"""),"0347C")</f>
        <v>0347C</v>
      </c>
      <c r="B421" s="4" t="str">
        <f>IFERROR(__xludf.DUMMYFUNCTION("""COMPUTED_VALUE"""),"Cartel PVC 96x48 Fotolum. Extintor izquierda")</f>
        <v>Cartel PVC 96x48 Fotolum. Extintor izquierda</v>
      </c>
      <c r="C421" s="4">
        <f>IFERROR(__xludf.DUMMYFUNCTION("""COMPUTED_VALUE"""),8.96)</f>
        <v>8.96</v>
      </c>
      <c r="D421" s="4"/>
      <c r="E421" s="4" t="str">
        <f>IFERROR(__xludf.DUMMYFUNCTION("""COMPUTED_VALUE"""),"Sin precio neto")</f>
        <v>Sin precio neto</v>
      </c>
    </row>
    <row r="422">
      <c r="A422" s="4" t="str">
        <f>IFERROR(__xludf.DUMMYFUNCTION("""COMPUTED_VALUE"""),"348")</f>
        <v>348</v>
      </c>
      <c r="B422" s="4" t="str">
        <f>IFERROR(__xludf.DUMMYFUNCTION("""COMPUTED_VALUE"""),"Cartel PVC 15x15 Fotolum. Pulsador de Alarma")</f>
        <v>Cartel PVC 15x15 Fotolum. Pulsador de Alarma</v>
      </c>
      <c r="C422" s="4">
        <f>IFERROR(__xludf.DUMMYFUNCTION("""COMPUTED_VALUE"""),1.68)</f>
        <v>1.68</v>
      </c>
      <c r="D422" s="4"/>
      <c r="E422" s="4" t="str">
        <f>IFERROR(__xludf.DUMMYFUNCTION("""COMPUTED_VALUE"""),"Sin precio neto")</f>
        <v>Sin precio neto</v>
      </c>
    </row>
    <row r="423">
      <c r="A423" s="4" t="str">
        <f>IFERROR(__xludf.DUMMYFUNCTION("""COMPUTED_VALUE"""),"349")</f>
        <v>349</v>
      </c>
      <c r="B423" s="4" t="str">
        <f>IFERROR(__xludf.DUMMYFUNCTION("""COMPUTED_VALUE"""),"Cartel PVC 21x30 Fotolum. Boca Incendios")</f>
        <v>Cartel PVC 21x30 Fotolum. Boca Incendios</v>
      </c>
      <c r="C423" s="4">
        <f>IFERROR(__xludf.DUMMYFUNCTION("""COMPUTED_VALUE"""),2.6)</f>
        <v>2.6</v>
      </c>
      <c r="D423" s="4">
        <f>IFERROR(__xludf.DUMMYFUNCTION("""COMPUTED_VALUE"""),2.1)</f>
        <v>2.1</v>
      </c>
      <c r="E423" s="4" t="str">
        <f>IFERROR(__xludf.DUMMYFUNCTION("""COMPUTED_VALUE"""),"Neto: 2,10 € (a partir de 1 uds.)")</f>
        <v>Neto: 2,10 € (a partir de 1 uds.)</v>
      </c>
    </row>
    <row r="424">
      <c r="A424" s="4" t="str">
        <f>IFERROR(__xludf.DUMMYFUNCTION("""COMPUTED_VALUE"""),"0349A")</f>
        <v>0349A</v>
      </c>
      <c r="B424" s="4" t="str">
        <f>IFERROR(__xludf.DUMMYFUNCTION("""COMPUTED_VALUE"""),"Cartel PVC 21x30 Fotolum. Boca de incendio")</f>
        <v>Cartel PVC 21x30 Fotolum. Boca de incendio</v>
      </c>
      <c r="C424" s="4">
        <f>IFERROR(__xludf.DUMMYFUNCTION("""COMPUTED_VALUE"""),2.52)</f>
        <v>2.52</v>
      </c>
      <c r="D424" s="4">
        <f>IFERROR(__xludf.DUMMYFUNCTION("""COMPUTED_VALUE"""),2.1)</f>
        <v>2.1</v>
      </c>
      <c r="E424" s="4" t="str">
        <f>IFERROR(__xludf.DUMMYFUNCTION("""COMPUTED_VALUE"""),"Neto: 2,10 € (a partir de 1 uds.)")</f>
        <v>Neto: 2,10 € (a partir de 1 uds.)</v>
      </c>
    </row>
    <row r="425">
      <c r="A425" s="4" t="str">
        <f>IFERROR(__xludf.DUMMYFUNCTION("""COMPUTED_VALUE"""),"0349B")</f>
        <v>0349B</v>
      </c>
      <c r="B425" s="4" t="str">
        <f>IFERROR(__xludf.DUMMYFUNCTION("""COMPUTED_VALUE"""),"Cartel PVC 40x30 Fotolum. Boca de incendio")</f>
        <v>Cartel PVC 40x30 Fotolum. Boca de incendio</v>
      </c>
      <c r="C425" s="4">
        <f>IFERROR(__xludf.DUMMYFUNCTION("""COMPUTED_VALUE"""),3.1)</f>
        <v>3.1</v>
      </c>
      <c r="D425" s="4">
        <f>IFERROR(__xludf.DUMMYFUNCTION("""COMPUTED_VALUE"""),3.2)</f>
        <v>3.2</v>
      </c>
      <c r="E425" s="4" t="str">
        <f>IFERROR(__xludf.DUMMYFUNCTION("""COMPUTED_VALUE"""),"Neto: 3,20 € (a partir de 1 uds.)")</f>
        <v>Neto: 3,20 € (a partir de 1 uds.)</v>
      </c>
    </row>
    <row r="426">
      <c r="A426" s="4" t="str">
        <f>IFERROR(__xludf.DUMMYFUNCTION("""COMPUTED_VALUE"""),"350")</f>
        <v>350</v>
      </c>
      <c r="B426" s="4" t="str">
        <f>IFERROR(__xludf.DUMMYFUNCTION("""COMPUTED_VALUE"""),"Cartel PVC 21x30 Fotolum. Boca Incendios dcha")</f>
        <v>Cartel PVC 21x30 Fotolum. Boca Incendios dcha</v>
      </c>
      <c r="C426" s="4">
        <f>IFERROR(__xludf.DUMMYFUNCTION("""COMPUTED_VALUE"""),2.6)</f>
        <v>2.6</v>
      </c>
      <c r="D426" s="4">
        <f>IFERROR(__xludf.DUMMYFUNCTION("""COMPUTED_VALUE"""),2.1)</f>
        <v>2.1</v>
      </c>
      <c r="E426" s="4" t="str">
        <f>IFERROR(__xludf.DUMMYFUNCTION("""COMPUTED_VALUE"""),"Neto: 2,10 € (a partir de 1 uds.)")</f>
        <v>Neto: 2,10 € (a partir de 1 uds.)</v>
      </c>
    </row>
    <row r="427">
      <c r="A427" s="4" t="str">
        <f>IFERROR(__xludf.DUMMYFUNCTION("""COMPUTED_VALUE"""),"0350A")</f>
        <v>0350A</v>
      </c>
      <c r="B427" s="4" t="str">
        <f>IFERROR(__xludf.DUMMYFUNCTION("""COMPUTED_VALUE"""),"Cartel PVC 32x16 Fotolum. Boca Incendios dcha")</f>
        <v>Cartel PVC 32x16 Fotolum. Boca Incendios dcha</v>
      </c>
      <c r="C427" s="4">
        <f>IFERROR(__xludf.DUMMYFUNCTION("""COMPUTED_VALUE"""),1.99)</f>
        <v>1.99</v>
      </c>
      <c r="D427" s="4"/>
      <c r="E427" s="4" t="str">
        <f>IFERROR(__xludf.DUMMYFUNCTION("""COMPUTED_VALUE"""),"Sin precio neto")</f>
        <v>Sin precio neto</v>
      </c>
    </row>
    <row r="428">
      <c r="A428" s="4" t="str">
        <f>IFERROR(__xludf.DUMMYFUNCTION("""COMPUTED_VALUE"""),"0350B")</f>
        <v>0350B</v>
      </c>
      <c r="B428" s="4" t="str">
        <f>IFERROR(__xludf.DUMMYFUNCTION("""COMPUTED_VALUE"""),"Cartel PVC 64x32 Fotolum. Boca Incendios dcha")</f>
        <v>Cartel PVC 64x32 Fotolum. Boca Incendios dcha</v>
      </c>
      <c r="C428" s="4">
        <f>IFERROR(__xludf.DUMMYFUNCTION("""COMPUTED_VALUE"""),4.48)</f>
        <v>4.48</v>
      </c>
      <c r="D428" s="4"/>
      <c r="E428" s="4" t="str">
        <f>IFERROR(__xludf.DUMMYFUNCTION("""COMPUTED_VALUE"""),"Sin precio neto")</f>
        <v>Sin precio neto</v>
      </c>
    </row>
    <row r="429">
      <c r="A429" s="4" t="str">
        <f>IFERROR(__xludf.DUMMYFUNCTION("""COMPUTED_VALUE"""),"0350C")</f>
        <v>0350C</v>
      </c>
      <c r="B429" s="4" t="str">
        <f>IFERROR(__xludf.DUMMYFUNCTION("""COMPUTED_VALUE"""),"Cartel PVC 96x48 Fotolum. Boca Incendios dcha")</f>
        <v>Cartel PVC 96x48 Fotolum. Boca Incendios dcha</v>
      </c>
      <c r="C429" s="4">
        <f>IFERROR(__xludf.DUMMYFUNCTION("""COMPUTED_VALUE"""),8.96)</f>
        <v>8.96</v>
      </c>
      <c r="D429" s="4"/>
      <c r="E429" s="4" t="str">
        <f>IFERROR(__xludf.DUMMYFUNCTION("""COMPUTED_VALUE"""),"Sin precio neto")</f>
        <v>Sin precio neto</v>
      </c>
    </row>
    <row r="430">
      <c r="A430" s="4" t="str">
        <f>IFERROR(__xludf.DUMMYFUNCTION("""COMPUTED_VALUE"""),"351")</f>
        <v>351</v>
      </c>
      <c r="B430" s="4" t="str">
        <f>IFERROR(__xludf.DUMMYFUNCTION("""COMPUTED_VALUE"""),"Cartel PVC 21x30 Fotolum. Boca Incendios Izq.")</f>
        <v>Cartel PVC 21x30 Fotolum. Boca Incendios Izq.</v>
      </c>
      <c r="C430" s="4">
        <f>IFERROR(__xludf.DUMMYFUNCTION("""COMPUTED_VALUE"""),2.6)</f>
        <v>2.6</v>
      </c>
      <c r="D430" s="4">
        <f>IFERROR(__xludf.DUMMYFUNCTION("""COMPUTED_VALUE"""),2.1)</f>
        <v>2.1</v>
      </c>
      <c r="E430" s="4" t="str">
        <f>IFERROR(__xludf.DUMMYFUNCTION("""COMPUTED_VALUE"""),"Neto: 2,10 € (a partir de 1 uds.)")</f>
        <v>Neto: 2,10 € (a partir de 1 uds.)</v>
      </c>
    </row>
    <row r="431">
      <c r="A431" s="4" t="str">
        <f>IFERROR(__xludf.DUMMYFUNCTION("""COMPUTED_VALUE"""),"0351A")</f>
        <v>0351A</v>
      </c>
      <c r="B431" s="4" t="str">
        <f>IFERROR(__xludf.DUMMYFUNCTION("""COMPUTED_VALUE"""),"Cartel PVC 32x16 Fotolum. Boca Incendios izq")</f>
        <v>Cartel PVC 32x16 Fotolum. Boca Incendios izq</v>
      </c>
      <c r="C431" s="4">
        <f>IFERROR(__xludf.DUMMYFUNCTION("""COMPUTED_VALUE"""),2.25)</f>
        <v>2.25</v>
      </c>
      <c r="D431" s="4"/>
      <c r="E431" s="4" t="str">
        <f>IFERROR(__xludf.DUMMYFUNCTION("""COMPUTED_VALUE"""),"Sin precio neto")</f>
        <v>Sin precio neto</v>
      </c>
    </row>
    <row r="432">
      <c r="A432" s="4" t="str">
        <f>IFERROR(__xludf.DUMMYFUNCTION("""COMPUTED_VALUE"""),"0351B")</f>
        <v>0351B</v>
      </c>
      <c r="B432" s="4" t="str">
        <f>IFERROR(__xludf.DUMMYFUNCTION("""COMPUTED_VALUE"""),"Cartel PVC 64x32 Fotolum. Boca Incendios izq")</f>
        <v>Cartel PVC 64x32 Fotolum. Boca Incendios izq</v>
      </c>
      <c r="C432" s="4">
        <f>IFERROR(__xludf.DUMMYFUNCTION("""COMPUTED_VALUE"""),4.48)</f>
        <v>4.48</v>
      </c>
      <c r="D432" s="4"/>
      <c r="E432" s="4" t="str">
        <f>IFERROR(__xludf.DUMMYFUNCTION("""COMPUTED_VALUE"""),"Sin precio neto")</f>
        <v>Sin precio neto</v>
      </c>
    </row>
    <row r="433">
      <c r="A433" s="4" t="str">
        <f>IFERROR(__xludf.DUMMYFUNCTION("""COMPUTED_VALUE"""),"0351C")</f>
        <v>0351C</v>
      </c>
      <c r="B433" s="4" t="str">
        <f>IFERROR(__xludf.DUMMYFUNCTION("""COMPUTED_VALUE"""),"Cartel PVC 96x48 Fotolum. Boca Incendios izq")</f>
        <v>Cartel PVC 96x48 Fotolum. Boca Incendios izq</v>
      </c>
      <c r="C433" s="4">
        <f>IFERROR(__xludf.DUMMYFUNCTION("""COMPUTED_VALUE"""),8.96)</f>
        <v>8.96</v>
      </c>
      <c r="D433" s="4"/>
      <c r="E433" s="4" t="str">
        <f>IFERROR(__xludf.DUMMYFUNCTION("""COMPUTED_VALUE"""),"Sin precio neto")</f>
        <v>Sin precio neto</v>
      </c>
    </row>
    <row r="434">
      <c r="A434" s="4" t="str">
        <f>IFERROR(__xludf.DUMMYFUNCTION("""COMPUTED_VALUE"""),"352")</f>
        <v>352</v>
      </c>
      <c r="B434" s="4" t="str">
        <f>IFERROR(__xludf.DUMMYFUNCTION("""COMPUTED_VALUE"""),"Cartel PVC 21x21 Fotolum. Manguera")</f>
        <v>Cartel PVC 21x21 Fotolum. Manguera</v>
      </c>
      <c r="C434" s="4">
        <f>IFERROR(__xludf.DUMMYFUNCTION("""COMPUTED_VALUE"""),2.31)</f>
        <v>2.31</v>
      </c>
      <c r="D434" s="4"/>
      <c r="E434" s="4" t="str">
        <f>IFERROR(__xludf.DUMMYFUNCTION("""COMPUTED_VALUE"""),"Sin precio neto")</f>
        <v>Sin precio neto</v>
      </c>
    </row>
    <row r="435">
      <c r="A435" s="4" t="str">
        <f>IFERROR(__xludf.DUMMYFUNCTION("""COMPUTED_VALUE"""),"353")</f>
        <v>353</v>
      </c>
      <c r="B435" s="4" t="str">
        <f>IFERROR(__xludf.DUMMYFUNCTION("""COMPUTED_VALUE"""),"Cartel PVC 21x21 Fotolum. Extintor")</f>
        <v>Cartel PVC 21x21 Fotolum. Extintor</v>
      </c>
      <c r="C435" s="4">
        <f>IFERROR(__xludf.DUMMYFUNCTION("""COMPUTED_VALUE"""),2.31)</f>
        <v>2.31</v>
      </c>
      <c r="D435" s="4"/>
      <c r="E435" s="4" t="str">
        <f>IFERROR(__xludf.DUMMYFUNCTION("""COMPUTED_VALUE"""),"Sin precio neto")</f>
        <v>Sin precio neto</v>
      </c>
    </row>
    <row r="436">
      <c r="A436" s="4" t="str">
        <f>IFERROR(__xludf.DUMMYFUNCTION("""COMPUTED_VALUE"""),"0353A")</f>
        <v>0353A</v>
      </c>
      <c r="B436" s="4" t="str">
        <f>IFERROR(__xludf.DUMMYFUNCTION("""COMPUTED_VALUE"""),"Cartel PVC 21x21 Fotolum. Extintor")</f>
        <v>Cartel PVC 21x21 Fotolum. Extintor</v>
      </c>
      <c r="C436" s="4">
        <f>IFERROR(__xludf.DUMMYFUNCTION("""COMPUTED_VALUE"""),2.31)</f>
        <v>2.31</v>
      </c>
      <c r="D436" s="4"/>
      <c r="E436" s="4" t="str">
        <f>IFERROR(__xludf.DUMMYFUNCTION("""COMPUTED_VALUE"""),"Sin precio neto")</f>
        <v>Sin precio neto</v>
      </c>
    </row>
    <row r="437">
      <c r="A437" s="4" t="str">
        <f>IFERROR(__xludf.DUMMYFUNCTION("""COMPUTED_VALUE"""),"0353B")</f>
        <v>0353B</v>
      </c>
      <c r="B437" s="4" t="str">
        <f>IFERROR(__xludf.DUMMYFUNCTION("""COMPUTED_VALUE"""),"Cartel PVC 42x42 Fotolum. Extintor")</f>
        <v>Cartel PVC 42x42 Fotolum. Extintor</v>
      </c>
      <c r="C437" s="4">
        <f>IFERROR(__xludf.DUMMYFUNCTION("""COMPUTED_VALUE"""),3.9)</f>
        <v>3.9</v>
      </c>
      <c r="D437" s="4"/>
      <c r="E437" s="4" t="str">
        <f>IFERROR(__xludf.DUMMYFUNCTION("""COMPUTED_VALUE"""),"Sin precio neto")</f>
        <v>Sin precio neto</v>
      </c>
    </row>
    <row r="438">
      <c r="A438" s="4" t="str">
        <f>IFERROR(__xludf.DUMMYFUNCTION("""COMPUTED_VALUE"""),"0353C")</f>
        <v>0353C</v>
      </c>
      <c r="B438" s="4" t="str">
        <f>IFERROR(__xludf.DUMMYFUNCTION("""COMPUTED_VALUE"""),"Cartel PVC 63x63 Fotolum. Extintor")</f>
        <v>Cartel PVC 63x63 Fotolum. Extintor</v>
      </c>
      <c r="C438" s="4">
        <f>IFERROR(__xludf.DUMMYFUNCTION("""COMPUTED_VALUE"""),6.25)</f>
        <v>6.25</v>
      </c>
      <c r="D438" s="4"/>
      <c r="E438" s="4" t="str">
        <f>IFERROR(__xludf.DUMMYFUNCTION("""COMPUTED_VALUE"""),"Sin precio neto")</f>
        <v>Sin precio neto</v>
      </c>
    </row>
    <row r="439">
      <c r="A439" s="4" t="str">
        <f>IFERROR(__xludf.DUMMYFUNCTION("""COMPUTED_VALUE"""),"354")</f>
        <v>354</v>
      </c>
      <c r="B439" s="4" t="str">
        <f>IFERROR(__xludf.DUMMYFUNCTION("""COMPUTED_VALUE"""),"Cartel PVC 21x15 Fotolum. Flecha Salida")</f>
        <v>Cartel PVC 21x15 Fotolum. Flecha Salida</v>
      </c>
      <c r="C439" s="4">
        <f>IFERROR(__xludf.DUMMYFUNCTION("""COMPUTED_VALUE"""),1.68)</f>
        <v>1.68</v>
      </c>
      <c r="D439" s="4"/>
      <c r="E439" s="4" t="str">
        <f>IFERROR(__xludf.DUMMYFUNCTION("""COMPUTED_VALUE"""),"Sin precio neto")</f>
        <v>Sin precio neto</v>
      </c>
    </row>
    <row r="440">
      <c r="A440" s="4" t="str">
        <f>IFERROR(__xludf.DUMMYFUNCTION("""COMPUTED_VALUE"""),"0354A")</f>
        <v>0354A</v>
      </c>
      <c r="B440" s="4" t="str">
        <f>IFERROR(__xludf.DUMMYFUNCTION("""COMPUTED_VALUE"""),"Cartel PVC 21x21 Fotolum. Manguera contra incendios")</f>
        <v>Cartel PVC 21x21 Fotolum. Manguera contra incendios</v>
      </c>
      <c r="C440" s="4">
        <f>IFERROR(__xludf.DUMMYFUNCTION("""COMPUTED_VALUE"""),2.31)</f>
        <v>2.31</v>
      </c>
      <c r="D440" s="4"/>
      <c r="E440" s="4" t="str">
        <f>IFERROR(__xludf.DUMMYFUNCTION("""COMPUTED_VALUE"""),"Sin precio neto")</f>
        <v>Sin precio neto</v>
      </c>
    </row>
    <row r="441">
      <c r="A441" s="4" t="str">
        <f>IFERROR(__xludf.DUMMYFUNCTION("""COMPUTED_VALUE"""),"0354B")</f>
        <v>0354B</v>
      </c>
      <c r="B441" s="4" t="str">
        <f>IFERROR(__xludf.DUMMYFUNCTION("""COMPUTED_VALUE"""),"Cartel PVC 42x42 Fotolum. Manguera contra incendios")</f>
        <v>Cartel PVC 42x42 Fotolum. Manguera contra incendios</v>
      </c>
      <c r="C441" s="4">
        <f>IFERROR(__xludf.DUMMYFUNCTION("""COMPUTED_VALUE"""),3.9)</f>
        <v>3.9</v>
      </c>
      <c r="D441" s="4"/>
      <c r="E441" s="4" t="str">
        <f>IFERROR(__xludf.DUMMYFUNCTION("""COMPUTED_VALUE"""),"Sin precio neto")</f>
        <v>Sin precio neto</v>
      </c>
    </row>
    <row r="442">
      <c r="A442" s="4" t="str">
        <f>IFERROR(__xludf.DUMMYFUNCTION("""COMPUTED_VALUE"""),"0354C")</f>
        <v>0354C</v>
      </c>
      <c r="B442" s="4" t="str">
        <f>IFERROR(__xludf.DUMMYFUNCTION("""COMPUTED_VALUE"""),"Cartel PVC 63x63 Fotolum. Manguera contra incendios")</f>
        <v>Cartel PVC 63x63 Fotolum. Manguera contra incendios</v>
      </c>
      <c r="C442" s="4">
        <f>IFERROR(__xludf.DUMMYFUNCTION("""COMPUTED_VALUE"""),6.25)</f>
        <v>6.25</v>
      </c>
      <c r="D442" s="4"/>
      <c r="E442" s="4" t="str">
        <f>IFERROR(__xludf.DUMMYFUNCTION("""COMPUTED_VALUE"""),"Sin precio neto")</f>
        <v>Sin precio neto</v>
      </c>
    </row>
    <row r="443">
      <c r="A443" s="4" t="str">
        <f>IFERROR(__xludf.DUMMYFUNCTION("""COMPUTED_VALUE"""),"355")</f>
        <v>355</v>
      </c>
      <c r="B443" s="4" t="str">
        <f>IFERROR(__xludf.DUMMYFUNCTION("""COMPUTED_VALUE"""),"Cartel PVC 21x30 Fotolum. Botiquin")</f>
        <v>Cartel PVC 21x30 Fotolum. Botiquin</v>
      </c>
      <c r="C443" s="4">
        <f>IFERROR(__xludf.DUMMYFUNCTION("""COMPUTED_VALUE"""),2.6)</f>
        <v>2.6</v>
      </c>
      <c r="D443" s="4">
        <f>IFERROR(__xludf.DUMMYFUNCTION("""COMPUTED_VALUE"""),2.1)</f>
        <v>2.1</v>
      </c>
      <c r="E443" s="4" t="str">
        <f>IFERROR(__xludf.DUMMYFUNCTION("""COMPUTED_VALUE"""),"Neto: 2,10 € (a partir de 1 uds.)")</f>
        <v>Neto: 2,10 € (a partir de 1 uds.)</v>
      </c>
    </row>
    <row r="444">
      <c r="A444" s="4" t="str">
        <f>IFERROR(__xludf.DUMMYFUNCTION("""COMPUTED_VALUE"""),"0355A")</f>
        <v>0355A</v>
      </c>
      <c r="B444" s="4" t="str">
        <f>IFERROR(__xludf.DUMMYFUNCTION("""COMPUTED_VALUE"""),"Cartel PVC 21x30 Fotolum. Botiquín")</f>
        <v>Cartel PVC 21x30 Fotolum. Botiquín</v>
      </c>
      <c r="C444" s="4">
        <f>IFERROR(__xludf.DUMMYFUNCTION("""COMPUTED_VALUE"""),2.52)</f>
        <v>2.52</v>
      </c>
      <c r="D444" s="4">
        <f>IFERROR(__xludf.DUMMYFUNCTION("""COMPUTED_VALUE"""),2.1)</f>
        <v>2.1</v>
      </c>
      <c r="E444" s="4" t="str">
        <f>IFERROR(__xludf.DUMMYFUNCTION("""COMPUTED_VALUE"""),"Neto: 2,10 € (a partir de 1 uds.)")</f>
        <v>Neto: 2,10 € (a partir de 1 uds.)</v>
      </c>
    </row>
    <row r="445">
      <c r="A445" s="4" t="str">
        <f>IFERROR(__xludf.DUMMYFUNCTION("""COMPUTED_VALUE"""),"0355B")</f>
        <v>0355B</v>
      </c>
      <c r="B445" s="4" t="str">
        <f>IFERROR(__xludf.DUMMYFUNCTION("""COMPUTED_VALUE"""),"Cartel PVC 40x30 Fotolum. Botiquín")</f>
        <v>Cartel PVC 40x30 Fotolum. Botiquín</v>
      </c>
      <c r="C445" s="4">
        <f>IFERROR(__xludf.DUMMYFUNCTION("""COMPUTED_VALUE"""),3.1)</f>
        <v>3.1</v>
      </c>
      <c r="D445" s="4">
        <f>IFERROR(__xludf.DUMMYFUNCTION("""COMPUTED_VALUE"""),3.2)</f>
        <v>3.2</v>
      </c>
      <c r="E445" s="4" t="str">
        <f>IFERROR(__xludf.DUMMYFUNCTION("""COMPUTED_VALUE"""),"Neto: 3,20 € (a partir de 1 uds.)")</f>
        <v>Neto: 3,20 € (a partir de 1 uds.)</v>
      </c>
    </row>
    <row r="446">
      <c r="A446" s="4" t="str">
        <f>IFERROR(__xludf.DUMMYFUNCTION("""COMPUTED_VALUE"""),"356")</f>
        <v>356</v>
      </c>
      <c r="B446" s="4" t="str">
        <f>IFERROR(__xludf.DUMMYFUNCTION("""COMPUTED_VALUE"""),"Cartel PVC 21x30 Fotolum. Agua Potable")</f>
        <v>Cartel PVC 21x30 Fotolum. Agua Potable</v>
      </c>
      <c r="C446" s="4">
        <f>IFERROR(__xludf.DUMMYFUNCTION("""COMPUTED_VALUE"""),2.6)</f>
        <v>2.6</v>
      </c>
      <c r="D446" s="4">
        <f>IFERROR(__xludf.DUMMYFUNCTION("""COMPUTED_VALUE"""),2.1)</f>
        <v>2.1</v>
      </c>
      <c r="E446" s="4" t="str">
        <f>IFERROR(__xludf.DUMMYFUNCTION("""COMPUTED_VALUE"""),"Neto: 2,10 € (a partir de 1 uds.)")</f>
        <v>Neto: 2,10 € (a partir de 1 uds.)</v>
      </c>
    </row>
    <row r="447">
      <c r="A447" s="4" t="str">
        <f>IFERROR(__xludf.DUMMYFUNCTION("""COMPUTED_VALUE"""),"0356A")</f>
        <v>0356A</v>
      </c>
      <c r="B447" s="4" t="str">
        <f>IFERROR(__xludf.DUMMYFUNCTION("""COMPUTED_VALUE"""),"Cartel PVC 21x30 Fotolum. Agua potable")</f>
        <v>Cartel PVC 21x30 Fotolum. Agua potable</v>
      </c>
      <c r="C447" s="4">
        <f>IFERROR(__xludf.DUMMYFUNCTION("""COMPUTED_VALUE"""),2.52)</f>
        <v>2.52</v>
      </c>
      <c r="D447" s="4">
        <f>IFERROR(__xludf.DUMMYFUNCTION("""COMPUTED_VALUE"""),2.1)</f>
        <v>2.1</v>
      </c>
      <c r="E447" s="4" t="str">
        <f>IFERROR(__xludf.DUMMYFUNCTION("""COMPUTED_VALUE"""),"Neto: 2,10 € (a partir de 1 uds.)")</f>
        <v>Neto: 2,10 € (a partir de 1 uds.)</v>
      </c>
    </row>
    <row r="448">
      <c r="A448" s="4" t="str">
        <f>IFERROR(__xludf.DUMMYFUNCTION("""COMPUTED_VALUE"""),"0356B")</f>
        <v>0356B</v>
      </c>
      <c r="B448" s="4" t="str">
        <f>IFERROR(__xludf.DUMMYFUNCTION("""COMPUTED_VALUE"""),"Cartel PVC 40x30 Fotolum. Agua potable")</f>
        <v>Cartel PVC 40x30 Fotolum. Agua potable</v>
      </c>
      <c r="C448" s="4">
        <f>IFERROR(__xludf.DUMMYFUNCTION("""COMPUTED_VALUE"""),3.1)</f>
        <v>3.1</v>
      </c>
      <c r="D448" s="4">
        <f>IFERROR(__xludf.DUMMYFUNCTION("""COMPUTED_VALUE"""),3.2)</f>
        <v>3.2</v>
      </c>
      <c r="E448" s="4" t="str">
        <f>IFERROR(__xludf.DUMMYFUNCTION("""COMPUTED_VALUE"""),"Neto: 3,20 € (a partir de 1 uds.)")</f>
        <v>Neto: 3,20 € (a partir de 1 uds.)</v>
      </c>
    </row>
    <row r="449">
      <c r="A449" s="4" t="str">
        <f>IFERROR(__xludf.DUMMYFUNCTION("""COMPUTED_VALUE"""),"357")</f>
        <v>357</v>
      </c>
      <c r="B449" s="4" t="str">
        <f>IFERROR(__xludf.DUMMYFUNCTION("""COMPUTED_VALUE"""),"Cartel PVC 21x30 Fotolum. Almacen")</f>
        <v>Cartel PVC 21x30 Fotolum. Almacen</v>
      </c>
      <c r="C449" s="4">
        <f>IFERROR(__xludf.DUMMYFUNCTION("""COMPUTED_VALUE"""),2.6)</f>
        <v>2.6</v>
      </c>
      <c r="D449" s="4">
        <f>IFERROR(__xludf.DUMMYFUNCTION("""COMPUTED_VALUE"""),2.1)</f>
        <v>2.1</v>
      </c>
      <c r="E449" s="4" t="str">
        <f>IFERROR(__xludf.DUMMYFUNCTION("""COMPUTED_VALUE"""),"Neto: 2,10 € (a partir de 1 uds.)")</f>
        <v>Neto: 2,10 € (a partir de 1 uds.)</v>
      </c>
    </row>
    <row r="450">
      <c r="A450" s="4" t="str">
        <f>IFERROR(__xludf.DUMMYFUNCTION("""COMPUTED_VALUE"""),"0357A")</f>
        <v>0357A</v>
      </c>
      <c r="B450" s="4" t="str">
        <f>IFERROR(__xludf.DUMMYFUNCTION("""COMPUTED_VALUE"""),"Cartel PVC 21x30 Fotolum. Almacén")</f>
        <v>Cartel PVC 21x30 Fotolum. Almacén</v>
      </c>
      <c r="C450" s="4">
        <f>IFERROR(__xludf.DUMMYFUNCTION("""COMPUTED_VALUE"""),2.52)</f>
        <v>2.52</v>
      </c>
      <c r="D450" s="4">
        <f>IFERROR(__xludf.DUMMYFUNCTION("""COMPUTED_VALUE"""),2.1)</f>
        <v>2.1</v>
      </c>
      <c r="E450" s="4" t="str">
        <f>IFERROR(__xludf.DUMMYFUNCTION("""COMPUTED_VALUE"""),"Neto: 2,10 € (a partir de 1 uds.)")</f>
        <v>Neto: 2,10 € (a partir de 1 uds.)</v>
      </c>
    </row>
    <row r="451">
      <c r="A451" s="4" t="str">
        <f>IFERROR(__xludf.DUMMYFUNCTION("""COMPUTED_VALUE"""),"0357B")</f>
        <v>0357B</v>
      </c>
      <c r="B451" s="4" t="str">
        <f>IFERROR(__xludf.DUMMYFUNCTION("""COMPUTED_VALUE"""),"Cartel PVC40x30 Fotolum. Almacén")</f>
        <v>Cartel PVC40x30 Fotolum. Almacén</v>
      </c>
      <c r="C451" s="4">
        <f>IFERROR(__xludf.DUMMYFUNCTION("""COMPUTED_VALUE"""),3.1)</f>
        <v>3.1</v>
      </c>
      <c r="D451" s="4">
        <f>IFERROR(__xludf.DUMMYFUNCTION("""COMPUTED_VALUE"""),3.2)</f>
        <v>3.2</v>
      </c>
      <c r="E451" s="4" t="str">
        <f>IFERROR(__xludf.DUMMYFUNCTION("""COMPUTED_VALUE"""),"Neto: 3,20 € (a partir de 1 uds.)")</f>
        <v>Neto: 3,20 € (a partir de 1 uds.)</v>
      </c>
    </row>
    <row r="452">
      <c r="A452" s="4" t="str">
        <f>IFERROR(__xludf.DUMMYFUNCTION("""COMPUTED_VALUE"""),"358")</f>
        <v>358</v>
      </c>
      <c r="B452" s="4" t="str">
        <f>IFERROR(__xludf.DUMMYFUNCTION("""COMPUTED_VALUE"""),"Cartel PVC 21x30 Fotolum. Telefono Emergencia")</f>
        <v>Cartel PVC 21x30 Fotolum. Telefono Emergencia</v>
      </c>
      <c r="C452" s="4">
        <f>IFERROR(__xludf.DUMMYFUNCTION("""COMPUTED_VALUE"""),2.6)</f>
        <v>2.6</v>
      </c>
      <c r="D452" s="4">
        <f>IFERROR(__xludf.DUMMYFUNCTION("""COMPUTED_VALUE"""),2.1)</f>
        <v>2.1</v>
      </c>
      <c r="E452" s="4" t="str">
        <f>IFERROR(__xludf.DUMMYFUNCTION("""COMPUTED_VALUE"""),"Neto: 2,10 € (a partir de 1 uds.)")</f>
        <v>Neto: 2,10 € (a partir de 1 uds.)</v>
      </c>
    </row>
    <row r="453">
      <c r="A453" s="4" t="str">
        <f>IFERROR(__xludf.DUMMYFUNCTION("""COMPUTED_VALUE"""),"0358A")</f>
        <v>0358A</v>
      </c>
      <c r="B453" s="4" t="str">
        <f>IFERROR(__xludf.DUMMYFUNCTION("""COMPUTED_VALUE"""),"Cartel PVC 21x30 Fotolum. Teléfono de emergencia")</f>
        <v>Cartel PVC 21x30 Fotolum. Teléfono de emergencia</v>
      </c>
      <c r="C453" s="4">
        <f>IFERROR(__xludf.DUMMYFUNCTION("""COMPUTED_VALUE"""),2.52)</f>
        <v>2.52</v>
      </c>
      <c r="D453" s="4">
        <f>IFERROR(__xludf.DUMMYFUNCTION("""COMPUTED_VALUE"""),2.1)</f>
        <v>2.1</v>
      </c>
      <c r="E453" s="4" t="str">
        <f>IFERROR(__xludf.DUMMYFUNCTION("""COMPUTED_VALUE"""),"Neto: 2,10 € (a partir de 1 uds.)")</f>
        <v>Neto: 2,10 € (a partir de 1 uds.)</v>
      </c>
    </row>
    <row r="454">
      <c r="A454" s="4" t="str">
        <f>IFERROR(__xludf.DUMMYFUNCTION("""COMPUTED_VALUE"""),"0358B")</f>
        <v>0358B</v>
      </c>
      <c r="B454" s="4" t="str">
        <f>IFERROR(__xludf.DUMMYFUNCTION("""COMPUTED_VALUE"""),"Cartel PVC 40x30 Fotolum. Teléfono de emergencia")</f>
        <v>Cartel PVC 40x30 Fotolum. Teléfono de emergencia</v>
      </c>
      <c r="C454" s="4">
        <f>IFERROR(__xludf.DUMMYFUNCTION("""COMPUTED_VALUE"""),3.1)</f>
        <v>3.1</v>
      </c>
      <c r="D454" s="4">
        <f>IFERROR(__xludf.DUMMYFUNCTION("""COMPUTED_VALUE"""),3.2)</f>
        <v>3.2</v>
      </c>
      <c r="E454" s="4" t="str">
        <f>IFERROR(__xludf.DUMMYFUNCTION("""COMPUTED_VALUE"""),"Neto: 3,20 € (a partir de 1 uds.)")</f>
        <v>Neto: 3,20 € (a partir de 1 uds.)</v>
      </c>
    </row>
    <row r="455">
      <c r="A455" s="4" t="str">
        <f>IFERROR(__xludf.DUMMYFUNCTION("""COMPUTED_VALUE"""),"359")</f>
        <v>359</v>
      </c>
      <c r="B455" s="4" t="str">
        <f>IFERROR(__xludf.DUMMYFUNCTION("""COMPUTED_VALUE"""),"Cartel PVC 21x30 Fotolum. Equipo Prim. Auxilios")</f>
        <v>Cartel PVC 21x30 Fotolum. Equipo Prim. Auxilios</v>
      </c>
      <c r="C455" s="4">
        <f>IFERROR(__xludf.DUMMYFUNCTION("""COMPUTED_VALUE"""),2.6)</f>
        <v>2.6</v>
      </c>
      <c r="D455" s="4">
        <f>IFERROR(__xludf.DUMMYFUNCTION("""COMPUTED_VALUE"""),2.1)</f>
        <v>2.1</v>
      </c>
      <c r="E455" s="4" t="str">
        <f>IFERROR(__xludf.DUMMYFUNCTION("""COMPUTED_VALUE"""),"Neto: 2,10 € (a partir de 1 uds.)")</f>
        <v>Neto: 2,10 € (a partir de 1 uds.)</v>
      </c>
    </row>
    <row r="456">
      <c r="A456" s="4" t="str">
        <f>IFERROR(__xludf.DUMMYFUNCTION("""COMPUTED_VALUE"""),"0359A")</f>
        <v>0359A</v>
      </c>
      <c r="B456" s="4" t="str">
        <f>IFERROR(__xludf.DUMMYFUNCTION("""COMPUTED_VALUE"""),"Cartel PVC 21x30 Fotolum. Equipo primeros auxilios")</f>
        <v>Cartel PVC 21x30 Fotolum. Equipo primeros auxilios</v>
      </c>
      <c r="C456" s="4">
        <f>IFERROR(__xludf.DUMMYFUNCTION("""COMPUTED_VALUE"""),2.52)</f>
        <v>2.52</v>
      </c>
      <c r="D456" s="4">
        <f>IFERROR(__xludf.DUMMYFUNCTION("""COMPUTED_VALUE"""),2.1)</f>
        <v>2.1</v>
      </c>
      <c r="E456" s="4" t="str">
        <f>IFERROR(__xludf.DUMMYFUNCTION("""COMPUTED_VALUE"""),"Neto: 2,10 € (a partir de 1 uds.)")</f>
        <v>Neto: 2,10 € (a partir de 1 uds.)</v>
      </c>
    </row>
    <row r="457">
      <c r="A457" s="4" t="str">
        <f>IFERROR(__xludf.DUMMYFUNCTION("""COMPUTED_VALUE"""),"0359B")</f>
        <v>0359B</v>
      </c>
      <c r="B457" s="4" t="str">
        <f>IFERROR(__xludf.DUMMYFUNCTION("""COMPUTED_VALUE"""),"Cartel PVC 40x30 Fotolum. Equipo primeros auxilios")</f>
        <v>Cartel PVC 40x30 Fotolum. Equipo primeros auxilios</v>
      </c>
      <c r="C457" s="4">
        <f>IFERROR(__xludf.DUMMYFUNCTION("""COMPUTED_VALUE"""),3.1)</f>
        <v>3.1</v>
      </c>
      <c r="D457" s="4">
        <f>IFERROR(__xludf.DUMMYFUNCTION("""COMPUTED_VALUE"""),3.2)</f>
        <v>3.2</v>
      </c>
      <c r="E457" s="4" t="str">
        <f>IFERROR(__xludf.DUMMYFUNCTION("""COMPUTED_VALUE"""),"Neto: 3,20 € (a partir de 1 uds.)")</f>
        <v>Neto: 3,20 € (a partir de 1 uds.)</v>
      </c>
    </row>
    <row r="458">
      <c r="A458" s="4" t="str">
        <f>IFERROR(__xludf.DUMMYFUNCTION("""COMPUTED_VALUE"""),"360")</f>
        <v>360</v>
      </c>
      <c r="B458" s="4" t="str">
        <f>IFERROR(__xludf.DUMMYFUNCTION("""COMPUTED_VALUE"""),"Cartel PVC 40x30 Peatón cruce por la otra acera")</f>
        <v>Cartel PVC 40x30 Peatón cruce por la otra acera</v>
      </c>
      <c r="C458" s="4">
        <f>IFERROR(__xludf.DUMMYFUNCTION("""COMPUTED_VALUE"""),2.48)</f>
        <v>2.48</v>
      </c>
      <c r="D458" s="4">
        <f>IFERROR(__xludf.DUMMYFUNCTION("""COMPUTED_VALUE"""),1.8)</f>
        <v>1.8</v>
      </c>
      <c r="E458" s="4" t="str">
        <f>IFERROR(__xludf.DUMMYFUNCTION("""COMPUTED_VALUE"""),"Neto: 1,80 € (a partir de 1 uds.)")</f>
        <v>Neto: 1,80 € (a partir de 1 uds.)</v>
      </c>
    </row>
    <row r="459">
      <c r="A459" s="4" t="str">
        <f>IFERROR(__xludf.DUMMYFUNCTION("""COMPUTED_VALUE"""),"361")</f>
        <v>361</v>
      </c>
      <c r="B459" s="4" t="str">
        <f>IFERROR(__xludf.DUMMYFUNCTION("""COMPUTED_VALUE"""),"Cartel PVC 40x30 Obras en ejecucion. Perdonen las molestias")</f>
        <v>Cartel PVC 40x30 Obras en ejecucion. Perdonen las molestias</v>
      </c>
      <c r="C459" s="4">
        <f>IFERROR(__xludf.DUMMYFUNCTION("""COMPUTED_VALUE"""),2.48)</f>
        <v>2.48</v>
      </c>
      <c r="D459" s="4">
        <f>IFERROR(__xludf.DUMMYFUNCTION("""COMPUTED_VALUE"""),1.8)</f>
        <v>1.8</v>
      </c>
      <c r="E459" s="4" t="str">
        <f>IFERROR(__xludf.DUMMYFUNCTION("""COMPUTED_VALUE"""),"Neto: 1,80 € (a partir de 1 uds.)")</f>
        <v>Neto: 1,80 € (a partir de 1 uds.)</v>
      </c>
    </row>
    <row r="460">
      <c r="A460" s="4" t="str">
        <f>IFERROR(__xludf.DUMMYFUNCTION("""COMPUTED_VALUE"""),"362")</f>
        <v>362</v>
      </c>
      <c r="B460" s="4" t="str">
        <f>IFERROR(__xludf.DUMMYFUNCTION("""COMPUTED_VALUE"""),"Cartel PVC 21x30 Fotolum. Punto Reunion")</f>
        <v>Cartel PVC 21x30 Fotolum. Punto Reunion</v>
      </c>
      <c r="C460" s="4">
        <f>IFERROR(__xludf.DUMMYFUNCTION("""COMPUTED_VALUE"""),2.6)</f>
        <v>2.6</v>
      </c>
      <c r="D460" s="4">
        <f>IFERROR(__xludf.DUMMYFUNCTION("""COMPUTED_VALUE"""),2.1)</f>
        <v>2.1</v>
      </c>
      <c r="E460" s="4" t="str">
        <f>IFERROR(__xludf.DUMMYFUNCTION("""COMPUTED_VALUE"""),"Neto: 2,10 € (a partir de 1 uds.)")</f>
        <v>Neto: 2,10 € (a partir de 1 uds.)</v>
      </c>
    </row>
    <row r="461">
      <c r="A461" s="4" t="str">
        <f>IFERROR(__xludf.DUMMYFUNCTION("""COMPUTED_VALUE"""),"0362A")</f>
        <v>0362A</v>
      </c>
      <c r="B461" s="4" t="str">
        <f>IFERROR(__xludf.DUMMYFUNCTION("""COMPUTED_VALUE"""),"Cartel PVC 21x30 Fotolum. Punto de Reunión")</f>
        <v>Cartel PVC 21x30 Fotolum. Punto de Reunión</v>
      </c>
      <c r="C461" s="4">
        <f>IFERROR(__xludf.DUMMYFUNCTION("""COMPUTED_VALUE"""),2.52)</f>
        <v>2.52</v>
      </c>
      <c r="D461" s="4">
        <f>IFERROR(__xludf.DUMMYFUNCTION("""COMPUTED_VALUE"""),2.1)</f>
        <v>2.1</v>
      </c>
      <c r="E461" s="4" t="str">
        <f>IFERROR(__xludf.DUMMYFUNCTION("""COMPUTED_VALUE"""),"Neto: 2,10 € (a partir de 1 uds.)")</f>
        <v>Neto: 2,10 € (a partir de 1 uds.)</v>
      </c>
    </row>
    <row r="462">
      <c r="A462" s="4" t="str">
        <f>IFERROR(__xludf.DUMMYFUNCTION("""COMPUTED_VALUE"""),"0362B")</f>
        <v>0362B</v>
      </c>
      <c r="B462" s="4" t="str">
        <f>IFERROR(__xludf.DUMMYFUNCTION("""COMPUTED_VALUE"""),"Cartel PVC 40x30 Fotolum. Punto de reunión")</f>
        <v>Cartel PVC 40x30 Fotolum. Punto de reunión</v>
      </c>
      <c r="C462" s="4">
        <f>IFERROR(__xludf.DUMMYFUNCTION("""COMPUTED_VALUE"""),3.1)</f>
        <v>3.1</v>
      </c>
      <c r="D462" s="4">
        <f>IFERROR(__xludf.DUMMYFUNCTION("""COMPUTED_VALUE"""),3.2)</f>
        <v>3.2</v>
      </c>
      <c r="E462" s="4" t="str">
        <f>IFERROR(__xludf.DUMMYFUNCTION("""COMPUTED_VALUE"""),"Neto: 3,20 € (a partir de 1 uds.)")</f>
        <v>Neto: 3,20 € (a partir de 1 uds.)</v>
      </c>
    </row>
    <row r="463">
      <c r="A463" s="4" t="str">
        <f>IFERROR(__xludf.DUMMYFUNCTION("""COMPUTED_VALUE"""),"363")</f>
        <v>363</v>
      </c>
      <c r="B463" s="4" t="str">
        <f>IFERROR(__xludf.DUMMYFUNCTION("""COMPUTED_VALUE"""),"Cartel PVC 40x30 Atencion salida de camiones")</f>
        <v>Cartel PVC 40x30 Atencion salida de camiones</v>
      </c>
      <c r="C463" s="4">
        <f>IFERROR(__xludf.DUMMYFUNCTION("""COMPUTED_VALUE"""),2.48)</f>
        <v>2.48</v>
      </c>
      <c r="D463" s="4">
        <f>IFERROR(__xludf.DUMMYFUNCTION("""COMPUTED_VALUE"""),1.8)</f>
        <v>1.8</v>
      </c>
      <c r="E463" s="4" t="str">
        <f>IFERROR(__xludf.DUMMYFUNCTION("""COMPUTED_VALUE"""),"Neto: 1,80 € (a partir de 1 uds.)")</f>
        <v>Neto: 1,80 € (a partir de 1 uds.)</v>
      </c>
    </row>
    <row r="464">
      <c r="A464" s="4" t="str">
        <f>IFERROR(__xludf.DUMMYFUNCTION("""COMPUTED_VALUE"""),"364")</f>
        <v>364</v>
      </c>
      <c r="B464" s="4" t="str">
        <f>IFERROR(__xludf.DUMMYFUNCTION("""COMPUTED_VALUE"""),"Cartel PVC 21x30 Fotolum. Camilla de Socorro")</f>
        <v>Cartel PVC 21x30 Fotolum. Camilla de Socorro</v>
      </c>
      <c r="C464" s="4">
        <f>IFERROR(__xludf.DUMMYFUNCTION("""COMPUTED_VALUE"""),2.6)</f>
        <v>2.6</v>
      </c>
      <c r="D464" s="4">
        <f>IFERROR(__xludf.DUMMYFUNCTION("""COMPUTED_VALUE"""),2.1)</f>
        <v>2.1</v>
      </c>
      <c r="E464" s="4" t="str">
        <f>IFERROR(__xludf.DUMMYFUNCTION("""COMPUTED_VALUE"""),"Neto: 2,10 € (a partir de 1 uds.)")</f>
        <v>Neto: 2,10 € (a partir de 1 uds.)</v>
      </c>
    </row>
    <row r="465">
      <c r="A465" s="4" t="str">
        <f>IFERROR(__xludf.DUMMYFUNCTION("""COMPUTED_VALUE"""),"0364A")</f>
        <v>0364A</v>
      </c>
      <c r="B465" s="4" t="str">
        <f>IFERROR(__xludf.DUMMYFUNCTION("""COMPUTED_VALUE"""),"Cartel PVC 21x30 Fotolum. Camilla de socorro")</f>
        <v>Cartel PVC 21x30 Fotolum. Camilla de socorro</v>
      </c>
      <c r="C465" s="4">
        <f>IFERROR(__xludf.DUMMYFUNCTION("""COMPUTED_VALUE"""),2.52)</f>
        <v>2.52</v>
      </c>
      <c r="D465" s="4">
        <f>IFERROR(__xludf.DUMMYFUNCTION("""COMPUTED_VALUE"""),2.1)</f>
        <v>2.1</v>
      </c>
      <c r="E465" s="4" t="str">
        <f>IFERROR(__xludf.DUMMYFUNCTION("""COMPUTED_VALUE"""),"Neto: 2,10 € (a partir de 1 uds.)")</f>
        <v>Neto: 2,10 € (a partir de 1 uds.)</v>
      </c>
    </row>
    <row r="466">
      <c r="A466" s="4" t="str">
        <f>IFERROR(__xludf.DUMMYFUNCTION("""COMPUTED_VALUE"""),"0364B")</f>
        <v>0364B</v>
      </c>
      <c r="B466" s="4" t="str">
        <f>IFERROR(__xludf.DUMMYFUNCTION("""COMPUTED_VALUE"""),"Cartel PVC 40x30 Fotolum. Camilla de socorro")</f>
        <v>Cartel PVC 40x30 Fotolum. Camilla de socorro</v>
      </c>
      <c r="C466" s="4">
        <f>IFERROR(__xludf.DUMMYFUNCTION("""COMPUTED_VALUE"""),3.1)</f>
        <v>3.1</v>
      </c>
      <c r="D466" s="4">
        <f>IFERROR(__xludf.DUMMYFUNCTION("""COMPUTED_VALUE"""),3.2)</f>
        <v>3.2</v>
      </c>
      <c r="E466" s="4" t="str">
        <f>IFERROR(__xludf.DUMMYFUNCTION("""COMPUTED_VALUE"""),"Neto: 3,20 € (a partir de 1 uds.)")</f>
        <v>Neto: 3,20 € (a partir de 1 uds.)</v>
      </c>
    </row>
    <row r="467">
      <c r="A467" s="4" t="str">
        <f>IFERROR(__xludf.DUMMYFUNCTION("""COMPUTED_VALUE"""),"365")</f>
        <v>365</v>
      </c>
      <c r="B467" s="4" t="str">
        <f>IFERROR(__xludf.DUMMYFUNCTION("""COMPUTED_VALUE"""),"Cartel PVC 21x30 Fotolum. Pulsar en caso de Emergencia")</f>
        <v>Cartel PVC 21x30 Fotolum. Pulsar en caso de Emergencia</v>
      </c>
      <c r="C467" s="4">
        <f>IFERROR(__xludf.DUMMYFUNCTION("""COMPUTED_VALUE"""),2.6)</f>
        <v>2.6</v>
      </c>
      <c r="D467" s="4">
        <f>IFERROR(__xludf.DUMMYFUNCTION("""COMPUTED_VALUE"""),2.1)</f>
        <v>2.1</v>
      </c>
      <c r="E467" s="4" t="str">
        <f>IFERROR(__xludf.DUMMYFUNCTION("""COMPUTED_VALUE"""),"Neto: 2,10 € (a partir de 1 uds.)")</f>
        <v>Neto: 2,10 € (a partir de 1 uds.)</v>
      </c>
    </row>
    <row r="468">
      <c r="A468" s="4" t="str">
        <f>IFERROR(__xludf.DUMMYFUNCTION("""COMPUTED_VALUE"""),"366")</f>
        <v>366</v>
      </c>
      <c r="B468" s="4" t="str">
        <f>IFERROR(__xludf.DUMMYFUNCTION("""COMPUTED_VALUE"""),"Cartel PVC 21x30 Fotolum. Empujar barra para salir")</f>
        <v>Cartel PVC 21x30 Fotolum. Empujar barra para salir</v>
      </c>
      <c r="C468" s="4">
        <f>IFERROR(__xludf.DUMMYFUNCTION("""COMPUTED_VALUE"""),2.6)</f>
        <v>2.6</v>
      </c>
      <c r="D468" s="4">
        <f>IFERROR(__xludf.DUMMYFUNCTION("""COMPUTED_VALUE"""),2.1)</f>
        <v>2.1</v>
      </c>
      <c r="E468" s="4" t="str">
        <f>IFERROR(__xludf.DUMMYFUNCTION("""COMPUTED_VALUE"""),"Neto: 2,10 € (a partir de 1 uds.)")</f>
        <v>Neto: 2,10 € (a partir de 1 uds.)</v>
      </c>
    </row>
    <row r="469">
      <c r="A469" s="4" t="str">
        <f>IFERROR(__xludf.DUMMYFUNCTION("""COMPUTED_VALUE"""),"0366A")</f>
        <v>0366A</v>
      </c>
      <c r="B469" s="4" t="str">
        <f>IFERROR(__xludf.DUMMYFUNCTION("""COMPUTED_VALUE"""),"Cartel PVC 21x30 Fotolum. Empujar barra para salir")</f>
        <v>Cartel PVC 21x30 Fotolum. Empujar barra para salir</v>
      </c>
      <c r="C469" s="4">
        <f>IFERROR(__xludf.DUMMYFUNCTION("""COMPUTED_VALUE"""),2.52)</f>
        <v>2.52</v>
      </c>
      <c r="D469" s="4">
        <f>IFERROR(__xludf.DUMMYFUNCTION("""COMPUTED_VALUE"""),2.1)</f>
        <v>2.1</v>
      </c>
      <c r="E469" s="4" t="str">
        <f>IFERROR(__xludf.DUMMYFUNCTION("""COMPUTED_VALUE"""),"Neto: 2,10 € (a partir de 1 uds.)")</f>
        <v>Neto: 2,10 € (a partir de 1 uds.)</v>
      </c>
    </row>
    <row r="470">
      <c r="A470" s="4" t="str">
        <f>IFERROR(__xludf.DUMMYFUNCTION("""COMPUTED_VALUE"""),"0366B")</f>
        <v>0366B</v>
      </c>
      <c r="B470" s="4" t="str">
        <f>IFERROR(__xludf.DUMMYFUNCTION("""COMPUTED_VALUE"""),"Cartel PVC 40x30 Fotolum. Empujar barra para salir")</f>
        <v>Cartel PVC 40x30 Fotolum. Empujar barra para salir</v>
      </c>
      <c r="C470" s="4">
        <f>IFERROR(__xludf.DUMMYFUNCTION("""COMPUTED_VALUE"""),3.1)</f>
        <v>3.1</v>
      </c>
      <c r="D470" s="4">
        <f>IFERROR(__xludf.DUMMYFUNCTION("""COMPUTED_VALUE"""),3.2)</f>
        <v>3.2</v>
      </c>
      <c r="E470" s="4" t="str">
        <f>IFERROR(__xludf.DUMMYFUNCTION("""COMPUTED_VALUE"""),"Neto: 3,20 € (a partir de 1 uds.)")</f>
        <v>Neto: 3,20 € (a partir de 1 uds.)</v>
      </c>
    </row>
    <row r="471">
      <c r="A471" s="4" t="str">
        <f>IFERROR(__xludf.DUMMYFUNCTION("""COMPUTED_VALUE"""),"367")</f>
        <v>367</v>
      </c>
      <c r="B471" s="4" t="str">
        <f>IFERROR(__xludf.DUMMYFUNCTION("""COMPUTED_VALUE"""),"Cartel PVC 21x30 Fotolum. Salida de Emergencia")</f>
        <v>Cartel PVC 21x30 Fotolum. Salida de Emergencia</v>
      </c>
      <c r="C471" s="4">
        <f>IFERROR(__xludf.DUMMYFUNCTION("""COMPUTED_VALUE"""),2.6)</f>
        <v>2.6</v>
      </c>
      <c r="D471" s="4">
        <f>IFERROR(__xludf.DUMMYFUNCTION("""COMPUTED_VALUE"""),2.1)</f>
        <v>2.1</v>
      </c>
      <c r="E471" s="4" t="str">
        <f>IFERROR(__xludf.DUMMYFUNCTION("""COMPUTED_VALUE"""),"Neto: 2,10 € (a partir de 1 uds.)")</f>
        <v>Neto: 2,10 € (a partir de 1 uds.)</v>
      </c>
    </row>
    <row r="472">
      <c r="A472" s="4" t="str">
        <f>IFERROR(__xludf.DUMMYFUNCTION("""COMPUTED_VALUE"""),"0367A")</f>
        <v>0367A</v>
      </c>
      <c r="B472" s="4" t="str">
        <f>IFERROR(__xludf.DUMMYFUNCTION("""COMPUTED_VALUE"""),"Cartel PVC 32x16 Fotolum. Salida de emergenca")</f>
        <v>Cartel PVC 32x16 Fotolum. Salida de emergenca</v>
      </c>
      <c r="C472" s="4">
        <f>IFERROR(__xludf.DUMMYFUNCTION("""COMPUTED_VALUE"""),2.25)</f>
        <v>2.25</v>
      </c>
      <c r="D472" s="4"/>
      <c r="E472" s="4" t="str">
        <f>IFERROR(__xludf.DUMMYFUNCTION("""COMPUTED_VALUE"""),"Sin precio neto")</f>
        <v>Sin precio neto</v>
      </c>
    </row>
    <row r="473">
      <c r="A473" s="4" t="str">
        <f>IFERROR(__xludf.DUMMYFUNCTION("""COMPUTED_VALUE"""),"0367AA")</f>
        <v>0367AA</v>
      </c>
      <c r="B473" s="4" t="str">
        <f>IFERROR(__xludf.DUMMYFUNCTION("""COMPUTED_VALUE"""),"Cartel PVC 21x21 Fotolum.Minusválidos")</f>
        <v>Cartel PVC 21x21 Fotolum.Minusválidos</v>
      </c>
      <c r="C473" s="4">
        <f>IFERROR(__xludf.DUMMYFUNCTION("""COMPUTED_VALUE"""),2.31)</f>
        <v>2.31</v>
      </c>
      <c r="D473" s="4"/>
      <c r="E473" s="4" t="str">
        <f>IFERROR(__xludf.DUMMYFUNCTION("""COMPUTED_VALUE"""),"Sin precio neto")</f>
        <v>Sin precio neto</v>
      </c>
    </row>
    <row r="474">
      <c r="A474" s="4" t="str">
        <f>IFERROR(__xludf.DUMMYFUNCTION("""COMPUTED_VALUE"""),"0367BA")</f>
        <v>0367BA</v>
      </c>
      <c r="B474" s="4" t="str">
        <f>IFERROR(__xludf.DUMMYFUNCTION("""COMPUTED_VALUE"""),"Cartel PVC 42x42 Fotolum.Minusválidos")</f>
        <v>Cartel PVC 42x42 Fotolum.Minusválidos</v>
      </c>
      <c r="C474" s="4">
        <f>IFERROR(__xludf.DUMMYFUNCTION("""COMPUTED_VALUE"""),3.9)</f>
        <v>3.9</v>
      </c>
      <c r="D474" s="4"/>
      <c r="E474" s="4" t="str">
        <f>IFERROR(__xludf.DUMMYFUNCTION("""COMPUTED_VALUE"""),"Sin precio neto")</f>
        <v>Sin precio neto</v>
      </c>
    </row>
    <row r="475">
      <c r="A475" s="4" t="str">
        <f>IFERROR(__xludf.DUMMYFUNCTION("""COMPUTED_VALUE"""),"0367CA")</f>
        <v>0367CA</v>
      </c>
      <c r="B475" s="4" t="str">
        <f>IFERROR(__xludf.DUMMYFUNCTION("""COMPUTED_VALUE"""),"Cartel PVC 63x63 Fotolum.Minusválidos")</f>
        <v>Cartel PVC 63x63 Fotolum.Minusválidos</v>
      </c>
      <c r="C475" s="4">
        <f>IFERROR(__xludf.DUMMYFUNCTION("""COMPUTED_VALUE"""),6.25)</f>
        <v>6.25</v>
      </c>
      <c r="D475" s="4"/>
      <c r="E475" s="4" t="str">
        <f>IFERROR(__xludf.DUMMYFUNCTION("""COMPUTED_VALUE"""),"Sin precio neto")</f>
        <v>Sin precio neto</v>
      </c>
    </row>
    <row r="476">
      <c r="A476" s="4" t="str">
        <f>IFERROR(__xludf.DUMMYFUNCTION("""COMPUTED_VALUE"""),"368")</f>
        <v>368</v>
      </c>
      <c r="B476" s="4" t="str">
        <f>IFERROR(__xludf.DUMMYFUNCTION("""COMPUTED_VALUE"""),"Cartel PVC 21x29 AVISO POLICIA")</f>
        <v>Cartel PVC 21x29 AVISO POLICIA</v>
      </c>
      <c r="C476" s="4">
        <f>IFERROR(__xludf.DUMMYFUNCTION("""COMPUTED_VALUE"""),1.6)</f>
        <v>1.6</v>
      </c>
      <c r="D476" s="4">
        <f>IFERROR(__xludf.DUMMYFUNCTION("""COMPUTED_VALUE"""),1.2)</f>
        <v>1.2</v>
      </c>
      <c r="E476" s="4" t="str">
        <f>IFERROR(__xludf.DUMMYFUNCTION("""COMPUTED_VALUE"""),"Neto: 1,20 € (a partir de 1 uds.)")</f>
        <v>Neto: 1,20 € (a partir de 1 uds.)</v>
      </c>
    </row>
    <row r="477">
      <c r="A477" s="4" t="str">
        <f>IFERROR(__xludf.DUMMYFUNCTION("""COMPUTED_VALUE"""),"369")</f>
        <v>369</v>
      </c>
      <c r="B477" s="4" t="str">
        <f>IFERROR(__xludf.DUMMYFUNCTION("""COMPUTED_VALUE"""),"Cartel PVC 21x29 Zona video vigilada")</f>
        <v>Cartel PVC 21x29 Zona video vigilada</v>
      </c>
      <c r="C477" s="4">
        <f>IFERROR(__xludf.DUMMYFUNCTION("""COMPUTED_VALUE"""),1.6)</f>
        <v>1.6</v>
      </c>
      <c r="D477" s="4">
        <f>IFERROR(__xludf.DUMMYFUNCTION("""COMPUTED_VALUE"""),1.2)</f>
        <v>1.2</v>
      </c>
      <c r="E477" s="4" t="str">
        <f>IFERROR(__xludf.DUMMYFUNCTION("""COMPUTED_VALUE"""),"Neto: 1,20 € (a partir de 1 uds.)")</f>
        <v>Neto: 1,20 € (a partir de 1 uds.)</v>
      </c>
    </row>
    <row r="478">
      <c r="A478" s="4" t="str">
        <f>IFERROR(__xludf.DUMMYFUNCTION("""COMPUTED_VALUE"""),"370")</f>
        <v>370</v>
      </c>
      <c r="B478" s="4" t="str">
        <f>IFERROR(__xludf.DUMMYFUNCTION("""COMPUTED_VALUE"""),"Cartel PVC 40x30 Prohib. Beber y Comer")</f>
        <v>Cartel PVC 40x30 Prohib. Beber y Comer</v>
      </c>
      <c r="C478" s="4">
        <f>IFERROR(__xludf.DUMMYFUNCTION("""COMPUTED_VALUE"""),2.48)</f>
        <v>2.48</v>
      </c>
      <c r="D478" s="4">
        <f>IFERROR(__xludf.DUMMYFUNCTION("""COMPUTED_VALUE"""),1.8)</f>
        <v>1.8</v>
      </c>
      <c r="E478" s="4" t="str">
        <f>IFERROR(__xludf.DUMMYFUNCTION("""COMPUTED_VALUE"""),"Neto: 1,80 € (a partir de 1 uds.)")</f>
        <v>Neto: 1,80 € (a partir de 1 uds.)</v>
      </c>
    </row>
    <row r="479">
      <c r="A479" s="4" t="str">
        <f>IFERROR(__xludf.DUMMYFUNCTION("""COMPUTED_VALUE"""),"0370P")</f>
        <v>0370P</v>
      </c>
      <c r="B479" s="4" t="str">
        <f>IFERROR(__xludf.DUMMYFUNCTION("""COMPUTED_VALUE"""),"Cartel PVC 21x29 PROHIBIDO BEBER Y COMER")</f>
        <v>Cartel PVC 21x29 PROHIBIDO BEBER Y COMER</v>
      </c>
      <c r="C479" s="4">
        <f>IFERROR(__xludf.DUMMYFUNCTION("""COMPUTED_VALUE"""),1.6)</f>
        <v>1.6</v>
      </c>
      <c r="D479" s="4">
        <f>IFERROR(__xludf.DUMMYFUNCTION("""COMPUTED_VALUE"""),1.2)</f>
        <v>1.2</v>
      </c>
      <c r="E479" s="4" t="str">
        <f>IFERROR(__xludf.DUMMYFUNCTION("""COMPUTED_VALUE"""),"Neto: 1,20 € (a partir de 1 uds.)")</f>
        <v>Neto: 1,20 € (a partir de 1 uds.)</v>
      </c>
    </row>
    <row r="480">
      <c r="A480" s="4" t="str">
        <f>IFERROR(__xludf.DUMMYFUNCTION("""COMPUTED_VALUE"""),"371")</f>
        <v>371</v>
      </c>
      <c r="B480" s="4" t="str">
        <f>IFERROR(__xludf.DUMMYFUNCTION("""COMPUTED_VALUE"""),"Cartel PVC 40x30 Peligro Gases Compr.")</f>
        <v>Cartel PVC 40x30 Peligro Gases Compr.</v>
      </c>
      <c r="C480" s="4">
        <f>IFERROR(__xludf.DUMMYFUNCTION("""COMPUTED_VALUE"""),2.48)</f>
        <v>2.48</v>
      </c>
      <c r="D480" s="4">
        <f>IFERROR(__xludf.DUMMYFUNCTION("""COMPUTED_VALUE"""),1.8)</f>
        <v>1.8</v>
      </c>
      <c r="E480" s="4" t="str">
        <f>IFERROR(__xludf.DUMMYFUNCTION("""COMPUTED_VALUE"""),"Neto: 1,80 € (a partir de 1 uds.)")</f>
        <v>Neto: 1,80 € (a partir de 1 uds.)</v>
      </c>
    </row>
    <row r="481">
      <c r="A481" s="4" t="str">
        <f>IFERROR(__xludf.DUMMYFUNCTION("""COMPUTED_VALUE"""),"0371P")</f>
        <v>0371P</v>
      </c>
      <c r="B481" s="4" t="str">
        <f>IFERROR(__xludf.DUMMYFUNCTION("""COMPUTED_VALUE"""),"Cartel PVC 21x29 PELIGRO GASES COMPRIMIDOS")</f>
        <v>Cartel PVC 21x29 PELIGRO GASES COMPRIMIDOS</v>
      </c>
      <c r="C481" s="4">
        <f>IFERROR(__xludf.DUMMYFUNCTION("""COMPUTED_VALUE"""),1.6)</f>
        <v>1.6</v>
      </c>
      <c r="D481" s="4">
        <f>IFERROR(__xludf.DUMMYFUNCTION("""COMPUTED_VALUE"""),1.2)</f>
        <v>1.2</v>
      </c>
      <c r="E481" s="4" t="str">
        <f>IFERROR(__xludf.DUMMYFUNCTION("""COMPUTED_VALUE"""),"Neto: 1,20 € (a partir de 1 uds.)")</f>
        <v>Neto: 1,20 € (a partir de 1 uds.)</v>
      </c>
    </row>
    <row r="482">
      <c r="A482" s="4" t="str">
        <f>IFERROR(__xludf.DUMMYFUNCTION("""COMPUTED_VALUE"""),"372")</f>
        <v>372</v>
      </c>
      <c r="B482" s="4" t="str">
        <f>IFERROR(__xludf.DUMMYFUNCTION("""COMPUTED_VALUE"""),"Cartel PVC 40x30 Peligro Andamio Incom")</f>
        <v>Cartel PVC 40x30 Peligro Andamio Incom</v>
      </c>
      <c r="C482" s="4">
        <f>IFERROR(__xludf.DUMMYFUNCTION("""COMPUTED_VALUE"""),2.48)</f>
        <v>2.48</v>
      </c>
      <c r="D482" s="4">
        <f>IFERROR(__xludf.DUMMYFUNCTION("""COMPUTED_VALUE"""),1.8)</f>
        <v>1.8</v>
      </c>
      <c r="E482" s="4" t="str">
        <f>IFERROR(__xludf.DUMMYFUNCTION("""COMPUTED_VALUE"""),"Neto: 1,80 € (a partir de 1 uds.)")</f>
        <v>Neto: 1,80 € (a partir de 1 uds.)</v>
      </c>
    </row>
    <row r="483">
      <c r="A483" s="4" t="str">
        <f>IFERROR(__xludf.DUMMYFUNCTION("""COMPUTED_VALUE"""),"0372P")</f>
        <v>0372P</v>
      </c>
      <c r="B483" s="4" t="str">
        <f>IFERROR(__xludf.DUMMYFUNCTION("""COMPUTED_VALUE"""),"Cartel PVC 21x29 PELIGRO ANDAMIAJE INCOMPLETO")</f>
        <v>Cartel PVC 21x29 PELIGRO ANDAMIAJE INCOMPLETO</v>
      </c>
      <c r="C483" s="4">
        <f>IFERROR(__xludf.DUMMYFUNCTION("""COMPUTED_VALUE"""),1.6)</f>
        <v>1.6</v>
      </c>
      <c r="D483" s="4">
        <f>IFERROR(__xludf.DUMMYFUNCTION("""COMPUTED_VALUE"""),1.2)</f>
        <v>1.2</v>
      </c>
      <c r="E483" s="4" t="str">
        <f>IFERROR(__xludf.DUMMYFUNCTION("""COMPUTED_VALUE"""),"Neto: 1,20 € (a partir de 1 uds.)")</f>
        <v>Neto: 1,20 € (a partir de 1 uds.)</v>
      </c>
    </row>
    <row r="484">
      <c r="A484" s="4" t="str">
        <f>IFERROR(__xludf.DUMMYFUNCTION("""COMPUTED_VALUE"""),"373")</f>
        <v>373</v>
      </c>
      <c r="B484" s="4" t="str">
        <f>IFERROR(__xludf.DUMMYFUNCTION("""COMPUTED_VALUE"""),"Cartel PVC 40x30 Peligro Escalon")</f>
        <v>Cartel PVC 40x30 Peligro Escalon</v>
      </c>
      <c r="C484" s="4">
        <f>IFERROR(__xludf.DUMMYFUNCTION("""COMPUTED_VALUE"""),2.48)</f>
        <v>2.48</v>
      </c>
      <c r="D484" s="4">
        <f>IFERROR(__xludf.DUMMYFUNCTION("""COMPUTED_VALUE"""),1.8)</f>
        <v>1.8</v>
      </c>
      <c r="E484" s="4" t="str">
        <f>IFERROR(__xludf.DUMMYFUNCTION("""COMPUTED_VALUE"""),"Neto: 1,80 € (a partir de 1 uds.)")</f>
        <v>Neto: 1,80 € (a partir de 1 uds.)</v>
      </c>
    </row>
    <row r="485">
      <c r="A485" s="4" t="str">
        <f>IFERROR(__xludf.DUMMYFUNCTION("""COMPUTED_VALUE"""),"0373P")</f>
        <v>0373P</v>
      </c>
      <c r="B485" s="4" t="str">
        <f>IFERROR(__xludf.DUMMYFUNCTION("""COMPUTED_VALUE"""),"Cartel PVC 21x29 PELIGRO CUIDADO CON ESCALON")</f>
        <v>Cartel PVC 21x29 PELIGRO CUIDADO CON ESCALON</v>
      </c>
      <c r="C485" s="4">
        <f>IFERROR(__xludf.DUMMYFUNCTION("""COMPUTED_VALUE"""),1.6)</f>
        <v>1.6</v>
      </c>
      <c r="D485" s="4">
        <f>IFERROR(__xludf.DUMMYFUNCTION("""COMPUTED_VALUE"""),1.2)</f>
        <v>1.2</v>
      </c>
      <c r="E485" s="4" t="str">
        <f>IFERROR(__xludf.DUMMYFUNCTION("""COMPUTED_VALUE"""),"Neto: 1,20 € (a partir de 1 uds.)")</f>
        <v>Neto: 1,20 € (a partir de 1 uds.)</v>
      </c>
    </row>
    <row r="486">
      <c r="A486" s="4" t="str">
        <f>IFERROR(__xludf.DUMMYFUNCTION("""COMPUTED_VALUE"""),"374")</f>
        <v>374</v>
      </c>
      <c r="B486" s="4" t="str">
        <f>IFERROR(__xludf.DUMMYFUNCTION("""COMPUTED_VALUE"""),"Cartel PVC 40x30 Prohibido el Paso")</f>
        <v>Cartel PVC 40x30 Prohibido el Paso</v>
      </c>
      <c r="C486" s="4">
        <f>IFERROR(__xludf.DUMMYFUNCTION("""COMPUTED_VALUE"""),2.48)</f>
        <v>2.48</v>
      </c>
      <c r="D486" s="4">
        <f>IFERROR(__xludf.DUMMYFUNCTION("""COMPUTED_VALUE"""),1.8)</f>
        <v>1.8</v>
      </c>
      <c r="E486" s="4" t="str">
        <f>IFERROR(__xludf.DUMMYFUNCTION("""COMPUTED_VALUE"""),"Neto: 1,80 € (a partir de 1 uds.)")</f>
        <v>Neto: 1,80 € (a partir de 1 uds.)</v>
      </c>
    </row>
    <row r="487">
      <c r="A487" s="4" t="str">
        <f>IFERROR(__xludf.DUMMYFUNCTION("""COMPUTED_VALUE"""),"0374P")</f>
        <v>0374P</v>
      </c>
      <c r="B487" s="4" t="str">
        <f>IFERROR(__xludf.DUMMYFUNCTION("""COMPUTED_VALUE"""),"Cartel PVC 21x29 PROHIBIDO EL PASO")</f>
        <v>Cartel PVC 21x29 PROHIBIDO EL PASO</v>
      </c>
      <c r="C487" s="4">
        <f>IFERROR(__xludf.DUMMYFUNCTION("""COMPUTED_VALUE"""),1.6)</f>
        <v>1.6</v>
      </c>
      <c r="D487" s="4">
        <f>IFERROR(__xludf.DUMMYFUNCTION("""COMPUTED_VALUE"""),1.2)</f>
        <v>1.2</v>
      </c>
      <c r="E487" s="4" t="str">
        <f>IFERROR(__xludf.DUMMYFUNCTION("""COMPUTED_VALUE"""),"Neto: 1,20 € (a partir de 1 uds.)")</f>
        <v>Neto: 1,20 € (a partir de 1 uds.)</v>
      </c>
    </row>
    <row r="488">
      <c r="A488" s="4" t="str">
        <f>IFERROR(__xludf.DUMMYFUNCTION("""COMPUTED_VALUE"""),"375")</f>
        <v>375</v>
      </c>
      <c r="B488" s="4" t="str">
        <f>IFERROR(__xludf.DUMMYFUNCTION("""COMPUTED_VALUE"""),"Cartel PVC 40x30 Peligro de Incendio")</f>
        <v>Cartel PVC 40x30 Peligro de Incendio</v>
      </c>
      <c r="C488" s="4">
        <f>IFERROR(__xludf.DUMMYFUNCTION("""COMPUTED_VALUE"""),2.48)</f>
        <v>2.48</v>
      </c>
      <c r="D488" s="4">
        <f>IFERROR(__xludf.DUMMYFUNCTION("""COMPUTED_VALUE"""),1.8)</f>
        <v>1.8</v>
      </c>
      <c r="E488" s="4" t="str">
        <f>IFERROR(__xludf.DUMMYFUNCTION("""COMPUTED_VALUE"""),"Neto: 1,80 € (a partir de 1 uds.)")</f>
        <v>Neto: 1,80 € (a partir de 1 uds.)</v>
      </c>
    </row>
    <row r="489">
      <c r="A489" s="4" t="str">
        <f>IFERROR(__xludf.DUMMYFUNCTION("""COMPUTED_VALUE"""),"0375P")</f>
        <v>0375P</v>
      </c>
      <c r="B489" s="4" t="str">
        <f>IFERROR(__xludf.DUMMYFUNCTION("""COMPUTED_VALUE"""),"Cartel PVC 21x29 PELIGRO DE INCENDIO")</f>
        <v>Cartel PVC 21x29 PELIGRO DE INCENDIO</v>
      </c>
      <c r="C489" s="4">
        <f>IFERROR(__xludf.DUMMYFUNCTION("""COMPUTED_VALUE"""),1.6)</f>
        <v>1.6</v>
      </c>
      <c r="D489" s="4">
        <f>IFERROR(__xludf.DUMMYFUNCTION("""COMPUTED_VALUE"""),1.2)</f>
        <v>1.2</v>
      </c>
      <c r="E489" s="4" t="str">
        <f>IFERROR(__xludf.DUMMYFUNCTION("""COMPUTED_VALUE"""),"Neto: 1,20 € (a partir de 1 uds.)")</f>
        <v>Neto: 1,20 € (a partir de 1 uds.)</v>
      </c>
    </row>
    <row r="490">
      <c r="A490" s="4" t="str">
        <f>IFERROR(__xludf.DUMMYFUNCTION("""COMPUTED_VALUE"""),"376")</f>
        <v>376</v>
      </c>
      <c r="B490" s="4" t="str">
        <f>IFERROR(__xludf.DUMMYFUNCTION("""COMPUTED_VALUE"""),"Cartel PVC 40x30 Peligro Zona de Obras")</f>
        <v>Cartel PVC 40x30 Peligro Zona de Obras</v>
      </c>
      <c r="C490" s="4">
        <f>IFERROR(__xludf.DUMMYFUNCTION("""COMPUTED_VALUE"""),2.48)</f>
        <v>2.48</v>
      </c>
      <c r="D490" s="4">
        <f>IFERROR(__xludf.DUMMYFUNCTION("""COMPUTED_VALUE"""),1.8)</f>
        <v>1.8</v>
      </c>
      <c r="E490" s="4" t="str">
        <f>IFERROR(__xludf.DUMMYFUNCTION("""COMPUTED_VALUE"""),"Neto: 1,80 € (a partir de 1 uds.)")</f>
        <v>Neto: 1,80 € (a partir de 1 uds.)</v>
      </c>
    </row>
    <row r="491">
      <c r="A491" s="4" t="str">
        <f>IFERROR(__xludf.DUMMYFUNCTION("""COMPUTED_VALUE"""),"0376P")</f>
        <v>0376P</v>
      </c>
      <c r="B491" s="4" t="str">
        <f>IFERROR(__xludf.DUMMYFUNCTION("""COMPUTED_VALUE"""),"Cartel PVC 21x29 PELIGRO ZONA DE OBRAS")</f>
        <v>Cartel PVC 21x29 PELIGRO ZONA DE OBRAS</v>
      </c>
      <c r="C491" s="4">
        <f>IFERROR(__xludf.DUMMYFUNCTION("""COMPUTED_VALUE"""),1.6)</f>
        <v>1.6</v>
      </c>
      <c r="D491" s="4">
        <f>IFERROR(__xludf.DUMMYFUNCTION("""COMPUTED_VALUE"""),1.2)</f>
        <v>1.2</v>
      </c>
      <c r="E491" s="4" t="str">
        <f>IFERROR(__xludf.DUMMYFUNCTION("""COMPUTED_VALUE"""),"Neto: 1,20 € (a partir de 1 uds.)")</f>
        <v>Neto: 1,20 € (a partir de 1 uds.)</v>
      </c>
    </row>
    <row r="492">
      <c r="A492" s="4" t="str">
        <f>IFERROR(__xludf.DUMMYFUNCTION("""COMPUTED_VALUE"""),"377")</f>
        <v>377</v>
      </c>
      <c r="B492" s="4" t="str">
        <f>IFERROR(__xludf.DUMMYFUNCTION("""COMPUTED_VALUE"""),"Cartel PVC 40x30 Uso de minusvalidos")</f>
        <v>Cartel PVC 40x30 Uso de minusvalidos</v>
      </c>
      <c r="C492" s="4">
        <f>IFERROR(__xludf.DUMMYFUNCTION("""COMPUTED_VALUE"""),2.48)</f>
        <v>2.48</v>
      </c>
      <c r="D492" s="4">
        <f>IFERROR(__xludf.DUMMYFUNCTION("""COMPUTED_VALUE"""),1.8)</f>
        <v>1.8</v>
      </c>
      <c r="E492" s="4" t="str">
        <f>IFERROR(__xludf.DUMMYFUNCTION("""COMPUTED_VALUE"""),"Neto: 1,80 € (a partir de 1 uds.)")</f>
        <v>Neto: 1,80 € (a partir de 1 uds.)</v>
      </c>
    </row>
    <row r="493">
      <c r="A493" s="4" t="str">
        <f>IFERROR(__xludf.DUMMYFUNCTION("""COMPUTED_VALUE"""),"0377P")</f>
        <v>0377P</v>
      </c>
      <c r="B493" s="4" t="str">
        <f>IFERROR(__xludf.DUMMYFUNCTION("""COMPUTED_VALUE"""),"Cartel PVC 21x29 USO DE MINUSVALIDOS")</f>
        <v>Cartel PVC 21x29 USO DE MINUSVALIDOS</v>
      </c>
      <c r="C493" s="4">
        <f>IFERROR(__xludf.DUMMYFUNCTION("""COMPUTED_VALUE"""),1.6)</f>
        <v>1.6</v>
      </c>
      <c r="D493" s="4">
        <f>IFERROR(__xludf.DUMMYFUNCTION("""COMPUTED_VALUE"""),1.2)</f>
        <v>1.2</v>
      </c>
      <c r="E493" s="4" t="str">
        <f>IFERROR(__xludf.DUMMYFUNCTION("""COMPUTED_VALUE"""),"Neto: 1,20 € (a partir de 1 uds.)")</f>
        <v>Neto: 1,20 € (a partir de 1 uds.)</v>
      </c>
    </row>
    <row r="494">
      <c r="A494" s="4" t="str">
        <f>IFERROR(__xludf.DUMMYFUNCTION("""COMPUTED_VALUE"""),"378")</f>
        <v>378</v>
      </c>
      <c r="B494" s="4" t="str">
        <f>IFERROR(__xludf.DUMMYFUNCTION("""COMPUTED_VALUE"""),"Cartel PVC 40x30 Direccion obligatoria derecha")</f>
        <v>Cartel PVC 40x30 Direccion obligatoria derecha</v>
      </c>
      <c r="C494" s="4">
        <f>IFERROR(__xludf.DUMMYFUNCTION("""COMPUTED_VALUE"""),2.48)</f>
        <v>2.48</v>
      </c>
      <c r="D494" s="4">
        <f>IFERROR(__xludf.DUMMYFUNCTION("""COMPUTED_VALUE"""),1.8)</f>
        <v>1.8</v>
      </c>
      <c r="E494" s="4" t="str">
        <f>IFERROR(__xludf.DUMMYFUNCTION("""COMPUTED_VALUE"""),"Neto: 1,80 € (a partir de 1 uds.)")</f>
        <v>Neto: 1,80 € (a partir de 1 uds.)</v>
      </c>
    </row>
    <row r="495">
      <c r="A495" s="4" t="str">
        <f>IFERROR(__xludf.DUMMYFUNCTION("""COMPUTED_VALUE"""),"0378P")</f>
        <v>0378P</v>
      </c>
      <c r="B495" s="4" t="str">
        <f>IFERROR(__xludf.DUMMYFUNCTION("""COMPUTED_VALUE"""),"Cartel PVC 21x29 DIRECCION OBLIGATORIA DERECHA")</f>
        <v>Cartel PVC 21x29 DIRECCION OBLIGATORIA DERECHA</v>
      </c>
      <c r="C495" s="4">
        <f>IFERROR(__xludf.DUMMYFUNCTION("""COMPUTED_VALUE"""),1.6)</f>
        <v>1.6</v>
      </c>
      <c r="D495" s="4">
        <f>IFERROR(__xludf.DUMMYFUNCTION("""COMPUTED_VALUE"""),1.2)</f>
        <v>1.2</v>
      </c>
      <c r="E495" s="4" t="str">
        <f>IFERROR(__xludf.DUMMYFUNCTION("""COMPUTED_VALUE"""),"Neto: 1,20 € (a partir de 1 uds.)")</f>
        <v>Neto: 1,20 € (a partir de 1 uds.)</v>
      </c>
    </row>
    <row r="496">
      <c r="A496" s="4" t="str">
        <f>IFERROR(__xludf.DUMMYFUNCTION("""COMPUTED_VALUE"""),"379")</f>
        <v>379</v>
      </c>
      <c r="B496" s="4" t="str">
        <f>IFERROR(__xludf.DUMMYFUNCTION("""COMPUTED_VALUE"""),"Cartel PVC 40x30 Direccion obligatoria izquierda")</f>
        <v>Cartel PVC 40x30 Direccion obligatoria izquierda</v>
      </c>
      <c r="C496" s="4">
        <f>IFERROR(__xludf.DUMMYFUNCTION("""COMPUTED_VALUE"""),2.48)</f>
        <v>2.48</v>
      </c>
      <c r="D496" s="4">
        <f>IFERROR(__xludf.DUMMYFUNCTION("""COMPUTED_VALUE"""),1.8)</f>
        <v>1.8</v>
      </c>
      <c r="E496" s="4" t="str">
        <f>IFERROR(__xludf.DUMMYFUNCTION("""COMPUTED_VALUE"""),"Neto: 1,80 € (a partir de 1 uds.)")</f>
        <v>Neto: 1,80 € (a partir de 1 uds.)</v>
      </c>
    </row>
    <row r="497">
      <c r="A497" s="4" t="str">
        <f>IFERROR(__xludf.DUMMYFUNCTION("""COMPUTED_VALUE"""),"0379P")</f>
        <v>0379P</v>
      </c>
      <c r="B497" s="4" t="str">
        <f>IFERROR(__xludf.DUMMYFUNCTION("""COMPUTED_VALUE"""),"Cartel PVC 21x29 DIRECCION OBLIGATORIA IZQUIERDA")</f>
        <v>Cartel PVC 21x29 DIRECCION OBLIGATORIA IZQUIERDA</v>
      </c>
      <c r="C497" s="4">
        <f>IFERROR(__xludf.DUMMYFUNCTION("""COMPUTED_VALUE"""),1.6)</f>
        <v>1.6</v>
      </c>
      <c r="D497" s="4">
        <f>IFERROR(__xludf.DUMMYFUNCTION("""COMPUTED_VALUE"""),1.2)</f>
        <v>1.2</v>
      </c>
      <c r="E497" s="4" t="str">
        <f>IFERROR(__xludf.DUMMYFUNCTION("""COMPUTED_VALUE"""),"Neto: 1,20 € (a partir de 1 uds.)")</f>
        <v>Neto: 1,20 € (a partir de 1 uds.)</v>
      </c>
    </row>
    <row r="498">
      <c r="A498" s="4" t="str">
        <f>IFERROR(__xludf.DUMMYFUNCTION("""COMPUTED_VALUE"""),"380")</f>
        <v>380</v>
      </c>
      <c r="B498" s="4" t="str">
        <f>IFERROR(__xludf.DUMMYFUNCTION("""COMPUTED_VALUE"""),"Cartel PVC 40x30 Es obligatorio el uso de Mandil")</f>
        <v>Cartel PVC 40x30 Es obligatorio el uso de Mandil</v>
      </c>
      <c r="C498" s="4">
        <f>IFERROR(__xludf.DUMMYFUNCTION("""COMPUTED_VALUE"""),2.48)</f>
        <v>2.48</v>
      </c>
      <c r="D498" s="4">
        <f>IFERROR(__xludf.DUMMYFUNCTION("""COMPUTED_VALUE"""),1.8)</f>
        <v>1.8</v>
      </c>
      <c r="E498" s="4" t="str">
        <f>IFERROR(__xludf.DUMMYFUNCTION("""COMPUTED_VALUE"""),"Neto: 1,80 € (a partir de 1 uds.)")</f>
        <v>Neto: 1,80 € (a partir de 1 uds.)</v>
      </c>
    </row>
    <row r="499">
      <c r="A499" s="4" t="str">
        <f>IFERROR(__xludf.DUMMYFUNCTION("""COMPUTED_VALUE"""),"0380P")</f>
        <v>0380P</v>
      </c>
      <c r="B499" s="4" t="str">
        <f>IFERROR(__xludf.DUMMYFUNCTION("""COMPUTED_VALUE"""),"Cartel PVC 21x29 OBLIGATORIO EL USO DE MANDIL")</f>
        <v>Cartel PVC 21x29 OBLIGATORIO EL USO DE MANDIL</v>
      </c>
      <c r="C499" s="4">
        <f>IFERROR(__xludf.DUMMYFUNCTION("""COMPUTED_VALUE"""),1.6)</f>
        <v>1.6</v>
      </c>
      <c r="D499" s="4">
        <f>IFERROR(__xludf.DUMMYFUNCTION("""COMPUTED_VALUE"""),1.2)</f>
        <v>1.2</v>
      </c>
      <c r="E499" s="4" t="str">
        <f>IFERROR(__xludf.DUMMYFUNCTION("""COMPUTED_VALUE"""),"Neto: 1,20 € (a partir de 1 uds.)")</f>
        <v>Neto: 1,20 € (a partir de 1 uds.)</v>
      </c>
    </row>
    <row r="500">
      <c r="A500" s="4" t="str">
        <f>IFERROR(__xludf.DUMMYFUNCTION("""COMPUTED_VALUE"""),"381")</f>
        <v>381</v>
      </c>
      <c r="B500" s="4" t="str">
        <f>IFERROR(__xludf.DUMMYFUNCTION("""COMPUTED_VALUE"""),"Cartel PVC 40x30 Estrechamiento de calzada")</f>
        <v>Cartel PVC 40x30 Estrechamiento de calzada</v>
      </c>
      <c r="C500" s="4">
        <f>IFERROR(__xludf.DUMMYFUNCTION("""COMPUTED_VALUE"""),2.48)</f>
        <v>2.48</v>
      </c>
      <c r="D500" s="4">
        <f>IFERROR(__xludf.DUMMYFUNCTION("""COMPUTED_VALUE"""),1.8)</f>
        <v>1.8</v>
      </c>
      <c r="E500" s="4" t="str">
        <f>IFERROR(__xludf.DUMMYFUNCTION("""COMPUTED_VALUE"""),"Neto: 1,80 € (a partir de 1 uds.)")</f>
        <v>Neto: 1,80 € (a partir de 1 uds.)</v>
      </c>
    </row>
    <row r="501">
      <c r="A501" s="4" t="str">
        <f>IFERROR(__xludf.DUMMYFUNCTION("""COMPUTED_VALUE"""),"0381P")</f>
        <v>0381P</v>
      </c>
      <c r="B501" s="4" t="str">
        <f>IFERROR(__xludf.DUMMYFUNCTION("""COMPUTED_VALUE"""),"Cartel PVC 21x29 ESTRECHAMIENTO CALZADA CENTRAL")</f>
        <v>Cartel PVC 21x29 ESTRECHAMIENTO CALZADA CENTRAL</v>
      </c>
      <c r="C501" s="4">
        <f>IFERROR(__xludf.DUMMYFUNCTION("""COMPUTED_VALUE"""),1.6)</f>
        <v>1.6</v>
      </c>
      <c r="D501" s="4">
        <f>IFERROR(__xludf.DUMMYFUNCTION("""COMPUTED_VALUE"""),1.2)</f>
        <v>1.2</v>
      </c>
      <c r="E501" s="4" t="str">
        <f>IFERROR(__xludf.DUMMYFUNCTION("""COMPUTED_VALUE"""),"Neto: 1,20 € (a partir de 1 uds.)")</f>
        <v>Neto: 1,20 € (a partir de 1 uds.)</v>
      </c>
    </row>
    <row r="502">
      <c r="A502" s="4" t="str">
        <f>IFERROR(__xludf.DUMMYFUNCTION("""COMPUTED_VALUE"""),"382")</f>
        <v>382</v>
      </c>
      <c r="B502" s="4" t="str">
        <f>IFERROR(__xludf.DUMMYFUNCTION("""COMPUTED_VALUE"""),"Cartel PVC 40x30 Estrechamiento calzada por la derecha")</f>
        <v>Cartel PVC 40x30 Estrechamiento calzada por la derecha</v>
      </c>
      <c r="C502" s="4">
        <f>IFERROR(__xludf.DUMMYFUNCTION("""COMPUTED_VALUE"""),2.48)</f>
        <v>2.48</v>
      </c>
      <c r="D502" s="4">
        <f>IFERROR(__xludf.DUMMYFUNCTION("""COMPUTED_VALUE"""),1.8)</f>
        <v>1.8</v>
      </c>
      <c r="E502" s="4" t="str">
        <f>IFERROR(__xludf.DUMMYFUNCTION("""COMPUTED_VALUE"""),"Neto: 1,80 € (a partir de 1 uds.)")</f>
        <v>Neto: 1,80 € (a partir de 1 uds.)</v>
      </c>
    </row>
    <row r="503">
      <c r="A503" s="4" t="str">
        <f>IFERROR(__xludf.DUMMYFUNCTION("""COMPUTED_VALUE"""),"0382P")</f>
        <v>0382P</v>
      </c>
      <c r="B503" s="4" t="str">
        <f>IFERROR(__xludf.DUMMYFUNCTION("""COMPUTED_VALUE"""),"Cartel PVC 21x29 ESTRECHAMIENTO CALZADA POR DCHA")</f>
        <v>Cartel PVC 21x29 ESTRECHAMIENTO CALZADA POR DCHA</v>
      </c>
      <c r="C503" s="4">
        <f>IFERROR(__xludf.DUMMYFUNCTION("""COMPUTED_VALUE"""),1.6)</f>
        <v>1.6</v>
      </c>
      <c r="D503" s="4">
        <f>IFERROR(__xludf.DUMMYFUNCTION("""COMPUTED_VALUE"""),1.2)</f>
        <v>1.2</v>
      </c>
      <c r="E503" s="4" t="str">
        <f>IFERROR(__xludf.DUMMYFUNCTION("""COMPUTED_VALUE"""),"Neto: 1,20 € (a partir de 1 uds.)")</f>
        <v>Neto: 1,20 € (a partir de 1 uds.)</v>
      </c>
    </row>
    <row r="504">
      <c r="A504" s="4" t="str">
        <f>IFERROR(__xludf.DUMMYFUNCTION("""COMPUTED_VALUE"""),"383")</f>
        <v>383</v>
      </c>
      <c r="B504" s="4" t="str">
        <f>IFERROR(__xludf.DUMMYFUNCTION("""COMPUTED_VALUE"""),"Cartel PVC 40x30 Estrechamiento calzada por la izq.")</f>
        <v>Cartel PVC 40x30 Estrechamiento calzada por la izq.</v>
      </c>
      <c r="C504" s="4">
        <f>IFERROR(__xludf.DUMMYFUNCTION("""COMPUTED_VALUE"""),2.48)</f>
        <v>2.48</v>
      </c>
      <c r="D504" s="4">
        <f>IFERROR(__xludf.DUMMYFUNCTION("""COMPUTED_VALUE"""),1.8)</f>
        <v>1.8</v>
      </c>
      <c r="E504" s="4" t="str">
        <f>IFERROR(__xludf.DUMMYFUNCTION("""COMPUTED_VALUE"""),"Neto: 1,80 € (a partir de 1 uds.)")</f>
        <v>Neto: 1,80 € (a partir de 1 uds.)</v>
      </c>
    </row>
    <row r="505">
      <c r="A505" s="4" t="str">
        <f>IFERROR(__xludf.DUMMYFUNCTION("""COMPUTED_VALUE"""),"0383P")</f>
        <v>0383P</v>
      </c>
      <c r="B505" s="4" t="str">
        <f>IFERROR(__xludf.DUMMYFUNCTION("""COMPUTED_VALUE"""),"Cartel PVC 21x29 ESTRECHAMIENTO CALZADA POR IZQ.")</f>
        <v>Cartel PVC 21x29 ESTRECHAMIENTO CALZADA POR IZQ.</v>
      </c>
      <c r="C505" s="4">
        <f>IFERROR(__xludf.DUMMYFUNCTION("""COMPUTED_VALUE"""),1.6)</f>
        <v>1.6</v>
      </c>
      <c r="D505" s="4">
        <f>IFERROR(__xludf.DUMMYFUNCTION("""COMPUTED_VALUE"""),1.2)</f>
        <v>1.2</v>
      </c>
      <c r="E505" s="4" t="str">
        <f>IFERROR(__xludf.DUMMYFUNCTION("""COMPUTED_VALUE"""),"Neto: 1,20 € (a partir de 1 uds.)")</f>
        <v>Neto: 1,20 € (a partir de 1 uds.)</v>
      </c>
    </row>
    <row r="506">
      <c r="A506" s="4" t="str">
        <f>IFERROR(__xludf.DUMMYFUNCTION("""COMPUTED_VALUE"""),"384")</f>
        <v>384</v>
      </c>
      <c r="B506" s="4" t="str">
        <f>IFERROR(__xludf.DUMMYFUNCTION("""COMPUTED_VALUE"""),"Cartel PVC 40x30 Peligro cable suspendido")</f>
        <v>Cartel PVC 40x30 Peligro cable suspendido</v>
      </c>
      <c r="C506" s="4">
        <f>IFERROR(__xludf.DUMMYFUNCTION("""COMPUTED_VALUE"""),2.48)</f>
        <v>2.48</v>
      </c>
      <c r="D506" s="4">
        <f>IFERROR(__xludf.DUMMYFUNCTION("""COMPUTED_VALUE"""),1.8)</f>
        <v>1.8</v>
      </c>
      <c r="E506" s="4" t="str">
        <f>IFERROR(__xludf.DUMMYFUNCTION("""COMPUTED_VALUE"""),"Neto: 1,80 € (a partir de 1 uds.)")</f>
        <v>Neto: 1,80 € (a partir de 1 uds.)</v>
      </c>
    </row>
    <row r="507">
      <c r="A507" s="4" t="str">
        <f>IFERROR(__xludf.DUMMYFUNCTION("""COMPUTED_VALUE"""),"0384P")</f>
        <v>0384P</v>
      </c>
      <c r="B507" s="4" t="str">
        <f>IFERROR(__xludf.DUMMYFUNCTION("""COMPUTED_VALUE"""),"Cartel PVC 21x29 PELIGRO CABLE SUSPENDIDO")</f>
        <v>Cartel PVC 21x29 PELIGRO CABLE SUSPENDIDO</v>
      </c>
      <c r="C507" s="4">
        <f>IFERROR(__xludf.DUMMYFUNCTION("""COMPUTED_VALUE"""),1.6)</f>
        <v>1.6</v>
      </c>
      <c r="D507" s="4">
        <f>IFERROR(__xludf.DUMMYFUNCTION("""COMPUTED_VALUE"""),1.2)</f>
        <v>1.2</v>
      </c>
      <c r="E507" s="4" t="str">
        <f>IFERROR(__xludf.DUMMYFUNCTION("""COMPUTED_VALUE"""),"Neto: 1,20 € (a partir de 1 uds.)")</f>
        <v>Neto: 1,20 € (a partir de 1 uds.)</v>
      </c>
    </row>
    <row r="508">
      <c r="A508" s="4" t="str">
        <f>IFERROR(__xludf.DUMMYFUNCTION("""COMPUTED_VALUE"""),"385")</f>
        <v>385</v>
      </c>
      <c r="B508" s="4" t="str">
        <f>IFERROR(__xludf.DUMMYFUNCTION("""COMPUTED_VALUE"""),"Cartel PVC 40x30 Caida al mismo nivel")</f>
        <v>Cartel PVC 40x30 Caida al mismo nivel</v>
      </c>
      <c r="C508" s="4">
        <f>IFERROR(__xludf.DUMMYFUNCTION("""COMPUTED_VALUE"""),2.48)</f>
        <v>2.48</v>
      </c>
      <c r="D508" s="4">
        <f>IFERROR(__xludf.DUMMYFUNCTION("""COMPUTED_VALUE"""),1.8)</f>
        <v>1.8</v>
      </c>
      <c r="E508" s="4" t="str">
        <f>IFERROR(__xludf.DUMMYFUNCTION("""COMPUTED_VALUE"""),"Neto: 1,80 € (a partir de 1 uds.)")</f>
        <v>Neto: 1,80 € (a partir de 1 uds.)</v>
      </c>
    </row>
    <row r="509">
      <c r="A509" s="4" t="str">
        <f>IFERROR(__xludf.DUMMYFUNCTION("""COMPUTED_VALUE"""),"0385P")</f>
        <v>0385P</v>
      </c>
      <c r="B509" s="4" t="str">
        <f>IFERROR(__xludf.DUMMYFUNCTION("""COMPUTED_VALUE"""),"Cartel PVC 21x29 CAIDA AL MISMO NIVEL")</f>
        <v>Cartel PVC 21x29 CAIDA AL MISMO NIVEL</v>
      </c>
      <c r="C509" s="4">
        <f>IFERROR(__xludf.DUMMYFUNCTION("""COMPUTED_VALUE"""),1.6)</f>
        <v>1.6</v>
      </c>
      <c r="D509" s="4">
        <f>IFERROR(__xludf.DUMMYFUNCTION("""COMPUTED_VALUE"""),1.2)</f>
        <v>1.2</v>
      </c>
      <c r="E509" s="4" t="str">
        <f>IFERROR(__xludf.DUMMYFUNCTION("""COMPUTED_VALUE"""),"Neto: 1,20 € (a partir de 1 uds.)")</f>
        <v>Neto: 1,20 € (a partir de 1 uds.)</v>
      </c>
    </row>
    <row r="510">
      <c r="A510" s="4" t="str">
        <f>IFERROR(__xludf.DUMMYFUNCTION("""COMPUTED_VALUE"""),"386")</f>
        <v>386</v>
      </c>
      <c r="B510" s="4" t="str">
        <f>IFERROR(__xludf.DUMMYFUNCTION("""COMPUTED_VALUE"""),"Cartel PVC 40x30 Peligro Amianto")</f>
        <v>Cartel PVC 40x30 Peligro Amianto</v>
      </c>
      <c r="C510" s="4">
        <f>IFERROR(__xludf.DUMMYFUNCTION("""COMPUTED_VALUE"""),2.48)</f>
        <v>2.48</v>
      </c>
      <c r="D510" s="4">
        <f>IFERROR(__xludf.DUMMYFUNCTION("""COMPUTED_VALUE"""),1.8)</f>
        <v>1.8</v>
      </c>
      <c r="E510" s="4" t="str">
        <f>IFERROR(__xludf.DUMMYFUNCTION("""COMPUTED_VALUE"""),"Neto: 1,80 € (a partir de 1 uds.)")</f>
        <v>Neto: 1,80 € (a partir de 1 uds.)</v>
      </c>
    </row>
    <row r="511">
      <c r="A511" s="4" t="str">
        <f>IFERROR(__xludf.DUMMYFUNCTION("""COMPUTED_VALUE"""),"0386P")</f>
        <v>0386P</v>
      </c>
      <c r="B511" s="4" t="str">
        <f>IFERROR(__xludf.DUMMYFUNCTION("""COMPUTED_VALUE"""),"Cartel PVC 21x29 PELIGRO AMIANTO")</f>
        <v>Cartel PVC 21x29 PELIGRO AMIANTO</v>
      </c>
      <c r="C511" s="4">
        <f>IFERROR(__xludf.DUMMYFUNCTION("""COMPUTED_VALUE"""),1.6)</f>
        <v>1.6</v>
      </c>
      <c r="D511" s="4">
        <f>IFERROR(__xludf.DUMMYFUNCTION("""COMPUTED_VALUE"""),1.2)</f>
        <v>1.2</v>
      </c>
      <c r="E511" s="4" t="str">
        <f>IFERROR(__xludf.DUMMYFUNCTION("""COMPUTED_VALUE"""),"Neto: 1,20 € (a partir de 1 uds.)")</f>
        <v>Neto: 1,20 € (a partir de 1 uds.)</v>
      </c>
    </row>
    <row r="512">
      <c r="A512" s="4" t="str">
        <f>IFERROR(__xludf.DUMMYFUNCTION("""COMPUTED_VALUE"""),"387")</f>
        <v>387</v>
      </c>
      <c r="B512" s="4" t="str">
        <f>IFERROR(__xludf.DUMMYFUNCTION("""COMPUTED_VALUE"""),"Cartel PVC 40x30 Uso obligatorio de luces de cruce")</f>
        <v>Cartel PVC 40x30 Uso obligatorio de luces de cruce</v>
      </c>
      <c r="C512" s="4">
        <f>IFERROR(__xludf.DUMMYFUNCTION("""COMPUTED_VALUE"""),2.48)</f>
        <v>2.48</v>
      </c>
      <c r="D512" s="4">
        <f>IFERROR(__xludf.DUMMYFUNCTION("""COMPUTED_VALUE"""),1.8)</f>
        <v>1.8</v>
      </c>
      <c r="E512" s="4" t="str">
        <f>IFERROR(__xludf.DUMMYFUNCTION("""COMPUTED_VALUE"""),"Neto: 1,80 € (a partir de 1 uds.)")</f>
        <v>Neto: 1,80 € (a partir de 1 uds.)</v>
      </c>
    </row>
    <row r="513">
      <c r="A513" s="4" t="str">
        <f>IFERROR(__xludf.DUMMYFUNCTION("""COMPUTED_VALUE"""),"0387P")</f>
        <v>0387P</v>
      </c>
      <c r="B513" s="4" t="str">
        <f>IFERROR(__xludf.DUMMYFUNCTION("""COMPUTED_VALUE"""),"Cartel PVC 21X29 OBLIGATORIO USO DE LUCES DE")</f>
        <v>Cartel PVC 21X29 OBLIGATORIO USO DE LUCES DE</v>
      </c>
      <c r="C513" s="4">
        <f>IFERROR(__xludf.DUMMYFUNCTION("""COMPUTED_VALUE"""),1.6)</f>
        <v>1.6</v>
      </c>
      <c r="D513" s="4">
        <f>IFERROR(__xludf.DUMMYFUNCTION("""COMPUTED_VALUE"""),1.2)</f>
        <v>1.2</v>
      </c>
      <c r="E513" s="4" t="str">
        <f>IFERROR(__xludf.DUMMYFUNCTION("""COMPUTED_VALUE"""),"Neto: 1,20 € (a partir de 1 uds.)")</f>
        <v>Neto: 1,20 € (a partir de 1 uds.)</v>
      </c>
    </row>
    <row r="514">
      <c r="A514" s="4" t="str">
        <f>IFERROR(__xludf.DUMMYFUNCTION("""COMPUTED_VALUE"""),"388")</f>
        <v>388</v>
      </c>
      <c r="B514" s="4" t="str">
        <f>IFERROR(__xludf.DUMMYFUNCTION("""COMPUTED_VALUE"""),"Cartel PVC 40x30 Uso obligatorio de chaleco alta visibilidad")</f>
        <v>Cartel PVC 40x30 Uso obligatorio de chaleco alta visibilidad</v>
      </c>
      <c r="C514" s="4">
        <f>IFERROR(__xludf.DUMMYFUNCTION("""COMPUTED_VALUE"""),2.48)</f>
        <v>2.48</v>
      </c>
      <c r="D514" s="4">
        <f>IFERROR(__xludf.DUMMYFUNCTION("""COMPUTED_VALUE"""),1.8)</f>
        <v>1.8</v>
      </c>
      <c r="E514" s="4" t="str">
        <f>IFERROR(__xludf.DUMMYFUNCTION("""COMPUTED_VALUE"""),"Neto: 1,80 € (a partir de 1 uds.)")</f>
        <v>Neto: 1,80 € (a partir de 1 uds.)</v>
      </c>
    </row>
    <row r="515">
      <c r="A515" s="4" t="str">
        <f>IFERROR(__xludf.DUMMYFUNCTION("""COMPUTED_VALUE"""),"0388P")</f>
        <v>0388P</v>
      </c>
      <c r="B515" s="4" t="str">
        <f>IFERROR(__xludf.DUMMYFUNCTION("""COMPUTED_VALUE"""),"Cartel PVC 21x29 OBLIGATORIO EL USO CHALECO ALTA")</f>
        <v>Cartel PVC 21x29 OBLIGATORIO EL USO CHALECO ALTA</v>
      </c>
      <c r="C515" s="4">
        <f>IFERROR(__xludf.DUMMYFUNCTION("""COMPUTED_VALUE"""),1.6)</f>
        <v>1.6</v>
      </c>
      <c r="D515" s="4">
        <f>IFERROR(__xludf.DUMMYFUNCTION("""COMPUTED_VALUE"""),1.2)</f>
        <v>1.2</v>
      </c>
      <c r="E515" s="4" t="str">
        <f>IFERROR(__xludf.DUMMYFUNCTION("""COMPUTED_VALUE"""),"Neto: 1,20 € (a partir de 1 uds.)")</f>
        <v>Neto: 1,20 € (a partir de 1 uds.)</v>
      </c>
    </row>
    <row r="516">
      <c r="A516" s="4" t="str">
        <f>IFERROR(__xludf.DUMMYFUNCTION("""COMPUTED_VALUE"""),"389")</f>
        <v>389</v>
      </c>
      <c r="B516" s="4" t="str">
        <f>IFERROR(__xludf.DUMMYFUNCTION("""COMPUTED_VALUE"""),"Cartel 50x70 cm c/ojales CALLE CORTADA POR OBRAS (o")</f>
        <v>Cartel 50x70 cm c/ojales CALLE CORTADA POR OBRAS (o</v>
      </c>
      <c r="C516" s="4">
        <f>IFERROR(__xludf.DUMMYFUNCTION("""COMPUTED_VALUE"""),9.97)</f>
        <v>9.97</v>
      </c>
      <c r="D516" s="4"/>
      <c r="E516" s="4" t="str">
        <f>IFERROR(__xludf.DUMMYFUNCTION("""COMPUTED_VALUE"""),"Sin precio neto")</f>
        <v>Sin precio neto</v>
      </c>
    </row>
    <row r="517">
      <c r="A517" s="4" t="str">
        <f>IFERROR(__xludf.DUMMYFUNCTION("""COMPUTED_VALUE"""),"390")</f>
        <v>390</v>
      </c>
      <c r="B517" s="4" t="str">
        <f>IFERROR(__xludf.DUMMYFUNCTION("""COMPUTED_VALUE"""),"Cartel PVC 50x70 Combinado")</f>
        <v>Cartel PVC 50x70 Combinado</v>
      </c>
      <c r="C517" s="4">
        <f>IFERROR(__xludf.DUMMYFUNCTION("""COMPUTED_VALUE"""),5.45)</f>
        <v>5.45</v>
      </c>
      <c r="D517" s="4">
        <f>IFERROR(__xludf.DUMMYFUNCTION("""COMPUTED_VALUE"""),5.5)</f>
        <v>5.5</v>
      </c>
      <c r="E517" s="4" t="str">
        <f>IFERROR(__xludf.DUMMYFUNCTION("""COMPUTED_VALUE"""),"Neto: 5,50 € (a partir de 50 uds.)")</f>
        <v>Neto: 5,50 € (a partir de 50 uds.)</v>
      </c>
    </row>
    <row r="518">
      <c r="A518" s="4" t="str">
        <f>IFERROR(__xludf.DUMMYFUNCTION("""COMPUTED_VALUE"""),"0390PA")</f>
        <v>0390PA</v>
      </c>
      <c r="B518" s="4" t="str">
        <f>IFERROR(__xludf.DUMMYFUNCTION("""COMPUTED_VALUE"""),"Cartel Poliet. 50x70 PROHIBIDO APARCAR CON HORARIO")</f>
        <v>Cartel Poliet. 50x70 PROHIBIDO APARCAR CON HORARIO</v>
      </c>
      <c r="C518" s="4">
        <f>IFERROR(__xludf.DUMMYFUNCTION("""COMPUTED_VALUE"""),7.0)</f>
        <v>7</v>
      </c>
      <c r="D518" s="4"/>
      <c r="E518" s="4" t="str">
        <f>IFERROR(__xludf.DUMMYFUNCTION("""COMPUTED_VALUE"""),"Sin precio neto")</f>
        <v>Sin precio neto</v>
      </c>
    </row>
    <row r="519">
      <c r="A519" s="4" t="str">
        <f>IFERROR(__xludf.DUMMYFUNCTION("""COMPUTED_VALUE"""),"391")</f>
        <v>391</v>
      </c>
      <c r="B519" s="4" t="str">
        <f>IFERROR(__xludf.DUMMYFUNCTION("""COMPUTED_VALUE"""),"Señal PVC suelo plegable")</f>
        <v>Señal PVC suelo plegable</v>
      </c>
      <c r="C519" s="4">
        <f>IFERROR(__xludf.DUMMYFUNCTION("""COMPUTED_VALUE"""),5.95)</f>
        <v>5.95</v>
      </c>
      <c r="D519" s="4">
        <f>IFERROR(__xludf.DUMMYFUNCTION("""COMPUTED_VALUE"""),5.5)</f>
        <v>5.5</v>
      </c>
      <c r="E519" s="4" t="str">
        <f>IFERROR(__xludf.DUMMYFUNCTION("""COMPUTED_VALUE"""),"Neto: 5,50 € (a partir de 10 uds.)")</f>
        <v>Neto: 5,50 € (a partir de 10 uds.)</v>
      </c>
    </row>
    <row r="520">
      <c r="A520" s="4" t="str">
        <f>IFERROR(__xludf.DUMMYFUNCTION("""COMPUTED_VALUE"""),"0391P")</f>
        <v>0391P</v>
      </c>
      <c r="B520" s="4" t="str">
        <f>IFERROR(__xludf.DUMMYFUNCTION("""COMPUTED_VALUE"""),"Caballete plegable amarillo señalizacion personalizado")</f>
        <v>Caballete plegable amarillo señalizacion personalizado</v>
      </c>
      <c r="C520" s="4">
        <f>IFERROR(__xludf.DUMMYFUNCTION("""COMPUTED_VALUE"""),9.0)</f>
        <v>9</v>
      </c>
      <c r="D520" s="4"/>
      <c r="E520" s="4" t="str">
        <f>IFERROR(__xludf.DUMMYFUNCTION("""COMPUTED_VALUE"""),"Sin precio neto")</f>
        <v>Sin precio neto</v>
      </c>
    </row>
    <row r="521">
      <c r="A521" s="4" t="str">
        <f>IFERROR(__xludf.DUMMYFUNCTION("""COMPUTED_VALUE"""),"392")</f>
        <v>392</v>
      </c>
      <c r="B521" s="4" t="str">
        <f>IFERROR(__xludf.DUMMYFUNCTION("""COMPUTED_VALUE"""),"Cartel PVC 40x30 Limite vel. 10")</f>
        <v>Cartel PVC 40x30 Limite vel. 10</v>
      </c>
      <c r="C521" s="4">
        <f>IFERROR(__xludf.DUMMYFUNCTION("""COMPUTED_VALUE"""),2.48)</f>
        <v>2.48</v>
      </c>
      <c r="D521" s="4">
        <f>IFERROR(__xludf.DUMMYFUNCTION("""COMPUTED_VALUE"""),1.8)</f>
        <v>1.8</v>
      </c>
      <c r="E521" s="4" t="str">
        <f>IFERROR(__xludf.DUMMYFUNCTION("""COMPUTED_VALUE"""),"Neto: 1,80 € (a partir de 1 uds.)")</f>
        <v>Neto: 1,80 € (a partir de 1 uds.)</v>
      </c>
    </row>
    <row r="522">
      <c r="A522" s="4" t="str">
        <f>IFERROR(__xludf.DUMMYFUNCTION("""COMPUTED_VALUE"""),"0392P")</f>
        <v>0392P</v>
      </c>
      <c r="B522" s="4" t="str">
        <f>IFERROR(__xludf.DUMMYFUNCTION("""COMPUTED_VALUE"""),"Cartel PVC 21x29 VELOCIDAD MAXIMA 10")</f>
        <v>Cartel PVC 21x29 VELOCIDAD MAXIMA 10</v>
      </c>
      <c r="C522" s="4">
        <f>IFERROR(__xludf.DUMMYFUNCTION("""COMPUTED_VALUE"""),1.6)</f>
        <v>1.6</v>
      </c>
      <c r="D522" s="4">
        <f>IFERROR(__xludf.DUMMYFUNCTION("""COMPUTED_VALUE"""),1.2)</f>
        <v>1.2</v>
      </c>
      <c r="E522" s="4" t="str">
        <f>IFERROR(__xludf.DUMMYFUNCTION("""COMPUTED_VALUE"""),"Neto: 1,20 € (a partir de 1 uds.)")</f>
        <v>Neto: 1,20 € (a partir de 1 uds.)</v>
      </c>
    </row>
    <row r="523">
      <c r="A523" s="4" t="str">
        <f>IFERROR(__xludf.DUMMYFUNCTION("""COMPUTED_VALUE"""),"393")</f>
        <v>393</v>
      </c>
      <c r="B523" s="4" t="str">
        <f>IFERROR(__xludf.DUMMYFUNCTION("""COMPUTED_VALUE"""),"Cartel PVC 40x30 Limite vel. 20")</f>
        <v>Cartel PVC 40x30 Limite vel. 20</v>
      </c>
      <c r="C523" s="4">
        <f>IFERROR(__xludf.DUMMYFUNCTION("""COMPUTED_VALUE"""),2.48)</f>
        <v>2.48</v>
      </c>
      <c r="D523" s="4">
        <f>IFERROR(__xludf.DUMMYFUNCTION("""COMPUTED_VALUE"""),1.8)</f>
        <v>1.8</v>
      </c>
      <c r="E523" s="4" t="str">
        <f>IFERROR(__xludf.DUMMYFUNCTION("""COMPUTED_VALUE"""),"Neto: 1,80 € (a partir de 1 uds.)")</f>
        <v>Neto: 1,80 € (a partir de 1 uds.)</v>
      </c>
    </row>
    <row r="524">
      <c r="A524" s="4" t="str">
        <f>IFERROR(__xludf.DUMMYFUNCTION("""COMPUTED_VALUE"""),"0393P")</f>
        <v>0393P</v>
      </c>
      <c r="B524" s="4" t="str">
        <f>IFERROR(__xludf.DUMMYFUNCTION("""COMPUTED_VALUE"""),"Cartel PVC 21x29 VELOCIDAD MAXIMA 20")</f>
        <v>Cartel PVC 21x29 VELOCIDAD MAXIMA 20</v>
      </c>
      <c r="C524" s="4">
        <f>IFERROR(__xludf.DUMMYFUNCTION("""COMPUTED_VALUE"""),1.6)</f>
        <v>1.6</v>
      </c>
      <c r="D524" s="4">
        <f>IFERROR(__xludf.DUMMYFUNCTION("""COMPUTED_VALUE"""),1.2)</f>
        <v>1.2</v>
      </c>
      <c r="E524" s="4" t="str">
        <f>IFERROR(__xludf.DUMMYFUNCTION("""COMPUTED_VALUE"""),"Neto: 1,20 € (a partir de 1 uds.)")</f>
        <v>Neto: 1,20 € (a partir de 1 uds.)</v>
      </c>
    </row>
    <row r="525">
      <c r="A525" s="4" t="str">
        <f>IFERROR(__xludf.DUMMYFUNCTION("""COMPUTED_VALUE"""),"394")</f>
        <v>394</v>
      </c>
      <c r="B525" s="4" t="str">
        <f>IFERROR(__xludf.DUMMYFUNCTION("""COMPUTED_VALUE"""),"Cartel PVC 40x30 Limite vel. 30")</f>
        <v>Cartel PVC 40x30 Limite vel. 30</v>
      </c>
      <c r="C525" s="4">
        <f>IFERROR(__xludf.DUMMYFUNCTION("""COMPUTED_VALUE"""),2.48)</f>
        <v>2.48</v>
      </c>
      <c r="D525" s="4">
        <f>IFERROR(__xludf.DUMMYFUNCTION("""COMPUTED_VALUE"""),1.8)</f>
        <v>1.8</v>
      </c>
      <c r="E525" s="4" t="str">
        <f>IFERROR(__xludf.DUMMYFUNCTION("""COMPUTED_VALUE"""),"Neto: 1,80 € (a partir de 1 uds.)")</f>
        <v>Neto: 1,80 € (a partir de 1 uds.)</v>
      </c>
    </row>
    <row r="526">
      <c r="A526" s="4" t="str">
        <f>IFERROR(__xludf.DUMMYFUNCTION("""COMPUTED_VALUE"""),"0394P")</f>
        <v>0394P</v>
      </c>
      <c r="B526" s="4" t="str">
        <f>IFERROR(__xludf.DUMMYFUNCTION("""COMPUTED_VALUE"""),"Cartel PVC 21x29 VELOCIDAD MAXIMA 30")</f>
        <v>Cartel PVC 21x29 VELOCIDAD MAXIMA 30</v>
      </c>
      <c r="C526" s="4">
        <f>IFERROR(__xludf.DUMMYFUNCTION("""COMPUTED_VALUE"""),1.6)</f>
        <v>1.6</v>
      </c>
      <c r="D526" s="4">
        <f>IFERROR(__xludf.DUMMYFUNCTION("""COMPUTED_VALUE"""),1.2)</f>
        <v>1.2</v>
      </c>
      <c r="E526" s="4" t="str">
        <f>IFERROR(__xludf.DUMMYFUNCTION("""COMPUTED_VALUE"""),"Neto: 1,20 € (a partir de 1 uds.)")</f>
        <v>Neto: 1,20 € (a partir de 1 uds.)</v>
      </c>
    </row>
    <row r="527">
      <c r="A527" s="4" t="str">
        <f>IFERROR(__xludf.DUMMYFUNCTION("""COMPUTED_VALUE"""),"395")</f>
        <v>395</v>
      </c>
      <c r="B527" s="4" t="str">
        <f>IFERROR(__xludf.DUMMYFUNCTION("""COMPUTED_VALUE"""),"Cartel PVC 40x30 Limite vel. 40")</f>
        <v>Cartel PVC 40x30 Limite vel. 40</v>
      </c>
      <c r="C527" s="4">
        <f>IFERROR(__xludf.DUMMYFUNCTION("""COMPUTED_VALUE"""),2.48)</f>
        <v>2.48</v>
      </c>
      <c r="D527" s="4">
        <f>IFERROR(__xludf.DUMMYFUNCTION("""COMPUTED_VALUE"""),1.8)</f>
        <v>1.8</v>
      </c>
      <c r="E527" s="4" t="str">
        <f>IFERROR(__xludf.DUMMYFUNCTION("""COMPUTED_VALUE"""),"Neto: 1,80 € (a partir de 1 uds.)")</f>
        <v>Neto: 1,80 € (a partir de 1 uds.)</v>
      </c>
    </row>
    <row r="528">
      <c r="A528" s="4" t="str">
        <f>IFERROR(__xludf.DUMMYFUNCTION("""COMPUTED_VALUE"""),"0395P")</f>
        <v>0395P</v>
      </c>
      <c r="B528" s="4" t="str">
        <f>IFERROR(__xludf.DUMMYFUNCTION("""COMPUTED_VALUE"""),"Cartel PVC 21x29 VELOCIDAD MAXIMA 40")</f>
        <v>Cartel PVC 21x29 VELOCIDAD MAXIMA 40</v>
      </c>
      <c r="C528" s="4">
        <f>IFERROR(__xludf.DUMMYFUNCTION("""COMPUTED_VALUE"""),1.6)</f>
        <v>1.6</v>
      </c>
      <c r="D528" s="4">
        <f>IFERROR(__xludf.DUMMYFUNCTION("""COMPUTED_VALUE"""),1.2)</f>
        <v>1.2</v>
      </c>
      <c r="E528" s="4" t="str">
        <f>IFERROR(__xludf.DUMMYFUNCTION("""COMPUTED_VALUE"""),"Neto: 1,20 € (a partir de 1 uds.)")</f>
        <v>Neto: 1,20 € (a partir de 1 uds.)</v>
      </c>
    </row>
    <row r="529">
      <c r="A529" s="4" t="str">
        <f>IFERROR(__xludf.DUMMYFUNCTION("""COMPUTED_VALUE"""),"396")</f>
        <v>396</v>
      </c>
      <c r="B529" s="4" t="str">
        <f>IFERROR(__xludf.DUMMYFUNCTION("""COMPUTED_VALUE"""),"Cartel PVC 21x29 Fotolum. Columna movil extinción")</f>
        <v>Cartel PVC 21x29 Fotolum. Columna movil extinción</v>
      </c>
      <c r="C529" s="4">
        <f>IFERROR(__xludf.DUMMYFUNCTION("""COMPUTED_VALUE"""),2.6)</f>
        <v>2.6</v>
      </c>
      <c r="D529" s="4">
        <f>IFERROR(__xludf.DUMMYFUNCTION("""COMPUTED_VALUE"""),2.1)</f>
        <v>2.1</v>
      </c>
      <c r="E529" s="4" t="str">
        <f>IFERROR(__xludf.DUMMYFUNCTION("""COMPUTED_VALUE"""),"Neto: 2,10 € (a partir de 1 uds.)")</f>
        <v>Neto: 2,10 € (a partir de 1 uds.)</v>
      </c>
    </row>
    <row r="530">
      <c r="A530" s="4" t="str">
        <f>IFERROR(__xludf.DUMMYFUNCTION("""COMPUTED_VALUE"""),"0396A")</f>
        <v>0396A</v>
      </c>
      <c r="B530" s="4" t="str">
        <f>IFERROR(__xludf.DUMMYFUNCTION("""COMPUTED_VALUE"""),"Cartel PVC 21x30 Fotolum. Carro extintor")</f>
        <v>Cartel PVC 21x30 Fotolum. Carro extintor</v>
      </c>
      <c r="C530" s="4">
        <f>IFERROR(__xludf.DUMMYFUNCTION("""COMPUTED_VALUE"""),2.52)</f>
        <v>2.52</v>
      </c>
      <c r="D530" s="4">
        <f>IFERROR(__xludf.DUMMYFUNCTION("""COMPUTED_VALUE"""),2.1)</f>
        <v>2.1</v>
      </c>
      <c r="E530" s="4" t="str">
        <f>IFERROR(__xludf.DUMMYFUNCTION("""COMPUTED_VALUE"""),"Neto: 2,10 € (a partir de 1 uds.)")</f>
        <v>Neto: 2,10 € (a partir de 1 uds.)</v>
      </c>
    </row>
    <row r="531">
      <c r="A531" s="4" t="str">
        <f>IFERROR(__xludf.DUMMYFUNCTION("""COMPUTED_VALUE"""),"0396B")</f>
        <v>0396B</v>
      </c>
      <c r="B531" s="4" t="str">
        <f>IFERROR(__xludf.DUMMYFUNCTION("""COMPUTED_VALUE"""),"Cartel PVC 40x30 Fotolum. Carro extintor")</f>
        <v>Cartel PVC 40x30 Fotolum. Carro extintor</v>
      </c>
      <c r="C531" s="4">
        <f>IFERROR(__xludf.DUMMYFUNCTION("""COMPUTED_VALUE"""),3.1)</f>
        <v>3.1</v>
      </c>
      <c r="D531" s="4">
        <f>IFERROR(__xludf.DUMMYFUNCTION("""COMPUTED_VALUE"""),3.2)</f>
        <v>3.2</v>
      </c>
      <c r="E531" s="4" t="str">
        <f>IFERROR(__xludf.DUMMYFUNCTION("""COMPUTED_VALUE"""),"Neto: 3,20 € (a partir de 1 uds.)")</f>
        <v>Neto: 3,20 € (a partir de 1 uds.)</v>
      </c>
    </row>
    <row r="532">
      <c r="A532" s="4" t="str">
        <f>IFERROR(__xludf.DUMMYFUNCTION("""COMPUTED_VALUE"""),"397")</f>
        <v>397</v>
      </c>
      <c r="B532" s="4" t="str">
        <f>IFERROR(__xludf.DUMMYFUNCTION("""COMPUTED_VALUE"""),"Cartel PVC 21x29 Fotolum. Sin salida")</f>
        <v>Cartel PVC 21x29 Fotolum. Sin salida</v>
      </c>
      <c r="C532" s="4">
        <f>IFERROR(__xludf.DUMMYFUNCTION("""COMPUTED_VALUE"""),2.6)</f>
        <v>2.6</v>
      </c>
      <c r="D532" s="4">
        <f>IFERROR(__xludf.DUMMYFUNCTION("""COMPUTED_VALUE"""),2.1)</f>
        <v>2.1</v>
      </c>
      <c r="E532" s="4" t="str">
        <f>IFERROR(__xludf.DUMMYFUNCTION("""COMPUTED_VALUE"""),"Neto: 2,10 € (a partir de 1 uds.)")</f>
        <v>Neto: 2,10 € (a partir de 1 uds.)</v>
      </c>
    </row>
    <row r="533">
      <c r="A533" s="4" t="str">
        <f>IFERROR(__xludf.DUMMYFUNCTION("""COMPUTED_VALUE"""),"0397A")</f>
        <v>0397A</v>
      </c>
      <c r="B533" s="4" t="str">
        <f>IFERROR(__xludf.DUMMYFUNCTION("""COMPUTED_VALUE"""),"Cartel PVC 32x16 Fotolum. Sin Salida")</f>
        <v>Cartel PVC 32x16 Fotolum. Sin Salida</v>
      </c>
      <c r="C533" s="4">
        <f>IFERROR(__xludf.DUMMYFUNCTION("""COMPUTED_VALUE"""),2.25)</f>
        <v>2.25</v>
      </c>
      <c r="D533" s="4"/>
      <c r="E533" s="4" t="str">
        <f>IFERROR(__xludf.DUMMYFUNCTION("""COMPUTED_VALUE"""),"Sin precio neto")</f>
        <v>Sin precio neto</v>
      </c>
    </row>
    <row r="534">
      <c r="A534" s="4" t="str">
        <f>IFERROR(__xludf.DUMMYFUNCTION("""COMPUTED_VALUE"""),"0397B")</f>
        <v>0397B</v>
      </c>
      <c r="B534" s="4" t="str">
        <f>IFERROR(__xludf.DUMMYFUNCTION("""COMPUTED_VALUE"""),"Cartel PVC 64x32 Fotolum. Sin Salida")</f>
        <v>Cartel PVC 64x32 Fotolum. Sin Salida</v>
      </c>
      <c r="C534" s="4">
        <f>IFERROR(__xludf.DUMMYFUNCTION("""COMPUTED_VALUE"""),4.48)</f>
        <v>4.48</v>
      </c>
      <c r="D534" s="4"/>
      <c r="E534" s="4" t="str">
        <f>IFERROR(__xludf.DUMMYFUNCTION("""COMPUTED_VALUE"""),"Sin precio neto")</f>
        <v>Sin precio neto</v>
      </c>
    </row>
    <row r="535">
      <c r="A535" s="4" t="str">
        <f>IFERROR(__xludf.DUMMYFUNCTION("""COMPUTED_VALUE"""),"0397C")</f>
        <v>0397C</v>
      </c>
      <c r="B535" s="4" t="str">
        <f>IFERROR(__xludf.DUMMYFUNCTION("""COMPUTED_VALUE"""),"Cartel PVC 96x48 Fotolum. Sin Salida")</f>
        <v>Cartel PVC 96x48 Fotolum. Sin Salida</v>
      </c>
      <c r="C535" s="4">
        <f>IFERROR(__xludf.DUMMYFUNCTION("""COMPUTED_VALUE"""),8.99)</f>
        <v>8.99</v>
      </c>
      <c r="D535" s="4"/>
      <c r="E535" s="4" t="str">
        <f>IFERROR(__xludf.DUMMYFUNCTION("""COMPUTED_VALUE"""),"Sin precio neto")</f>
        <v>Sin precio neto</v>
      </c>
    </row>
    <row r="536">
      <c r="A536" s="4" t="str">
        <f>IFERROR(__xludf.DUMMYFUNCTION("""COMPUTED_VALUE"""),"398")</f>
        <v>398</v>
      </c>
      <c r="B536" s="4" t="str">
        <f>IFERROR(__xludf.DUMMYFUNCTION("""COMPUTED_VALUE"""),"Cartel PVC 21x29 Fotolum. Flecha")</f>
        <v>Cartel PVC 21x29 Fotolum. Flecha</v>
      </c>
      <c r="C536" s="4">
        <f>IFERROR(__xludf.DUMMYFUNCTION("""COMPUTED_VALUE"""),2.6)</f>
        <v>2.6</v>
      </c>
      <c r="D536" s="4">
        <f>IFERROR(__xludf.DUMMYFUNCTION("""COMPUTED_VALUE"""),2.1)</f>
        <v>2.1</v>
      </c>
      <c r="E536" s="4" t="str">
        <f>IFERROR(__xludf.DUMMYFUNCTION("""COMPUTED_VALUE"""),"Neto: 2,10 € (a partir de 1 uds.)")</f>
        <v>Neto: 2,10 € (a partir de 1 uds.)</v>
      </c>
    </row>
    <row r="537">
      <c r="A537" s="4" t="str">
        <f>IFERROR(__xludf.DUMMYFUNCTION("""COMPUTED_VALUE"""),"0398DA")</f>
        <v>0398DA</v>
      </c>
      <c r="B537" s="4" t="str">
        <f>IFERROR(__xludf.DUMMYFUNCTION("""COMPUTED_VALUE"""),"Cartel PVC 32x16 Fotolum. Flecha derecha")</f>
        <v>Cartel PVC 32x16 Fotolum. Flecha derecha</v>
      </c>
      <c r="C537" s="4">
        <f>IFERROR(__xludf.DUMMYFUNCTION("""COMPUTED_VALUE"""),2.25)</f>
        <v>2.25</v>
      </c>
      <c r="D537" s="4"/>
      <c r="E537" s="4" t="str">
        <f>IFERROR(__xludf.DUMMYFUNCTION("""COMPUTED_VALUE"""),"Sin precio neto")</f>
        <v>Sin precio neto</v>
      </c>
    </row>
    <row r="538">
      <c r="A538" s="4" t="str">
        <f>IFERROR(__xludf.DUMMYFUNCTION("""COMPUTED_VALUE"""),"0398DB")</f>
        <v>0398DB</v>
      </c>
      <c r="B538" s="4" t="str">
        <f>IFERROR(__xludf.DUMMYFUNCTION("""COMPUTED_VALUE"""),"Cartel PVC 64x32 Fotolum. Flecha derecha")</f>
        <v>Cartel PVC 64x32 Fotolum. Flecha derecha</v>
      </c>
      <c r="C538" s="4">
        <f>IFERROR(__xludf.DUMMYFUNCTION("""COMPUTED_VALUE"""),4.48)</f>
        <v>4.48</v>
      </c>
      <c r="D538" s="4"/>
      <c r="E538" s="4" t="str">
        <f>IFERROR(__xludf.DUMMYFUNCTION("""COMPUTED_VALUE"""),"Sin precio neto")</f>
        <v>Sin precio neto</v>
      </c>
    </row>
    <row r="539">
      <c r="A539" s="4" t="str">
        <f>IFERROR(__xludf.DUMMYFUNCTION("""COMPUTED_VALUE"""),"0398DC")</f>
        <v>0398DC</v>
      </c>
      <c r="B539" s="4" t="str">
        <f>IFERROR(__xludf.DUMMYFUNCTION("""COMPUTED_VALUE"""),"Cartel PVC 96x48 Fotolum. Flecha derecha")</f>
        <v>Cartel PVC 96x48 Fotolum. Flecha derecha</v>
      </c>
      <c r="C539" s="4">
        <f>IFERROR(__xludf.DUMMYFUNCTION("""COMPUTED_VALUE"""),8.96)</f>
        <v>8.96</v>
      </c>
      <c r="D539" s="4"/>
      <c r="E539" s="4" t="str">
        <f>IFERROR(__xludf.DUMMYFUNCTION("""COMPUTED_VALUE"""),"Sin precio neto")</f>
        <v>Sin precio neto</v>
      </c>
    </row>
    <row r="540">
      <c r="A540" s="4" t="str">
        <f>IFERROR(__xludf.DUMMYFUNCTION("""COMPUTED_VALUE"""),"0398IA")</f>
        <v>0398IA</v>
      </c>
      <c r="B540" s="4" t="str">
        <f>IFERROR(__xludf.DUMMYFUNCTION("""COMPUTED_VALUE"""),"Cartel PVC 32x16 Fotolum. Flecha izquierda")</f>
        <v>Cartel PVC 32x16 Fotolum. Flecha izquierda</v>
      </c>
      <c r="C540" s="4">
        <f>IFERROR(__xludf.DUMMYFUNCTION("""COMPUTED_VALUE"""),2.25)</f>
        <v>2.25</v>
      </c>
      <c r="D540" s="4"/>
      <c r="E540" s="4" t="str">
        <f>IFERROR(__xludf.DUMMYFUNCTION("""COMPUTED_VALUE"""),"Sin precio neto")</f>
        <v>Sin precio neto</v>
      </c>
    </row>
    <row r="541">
      <c r="A541" s="4" t="str">
        <f>IFERROR(__xludf.DUMMYFUNCTION("""COMPUTED_VALUE"""),"0398IB")</f>
        <v>0398IB</v>
      </c>
      <c r="B541" s="4" t="str">
        <f>IFERROR(__xludf.DUMMYFUNCTION("""COMPUTED_VALUE"""),"Cartel PVC 64x32 Fotolum. Flecha derecha")</f>
        <v>Cartel PVC 64x32 Fotolum. Flecha derecha</v>
      </c>
      <c r="C541" s="4">
        <f>IFERROR(__xludf.DUMMYFUNCTION("""COMPUTED_VALUE"""),4.48)</f>
        <v>4.48</v>
      </c>
      <c r="D541" s="4"/>
      <c r="E541" s="4" t="str">
        <f>IFERROR(__xludf.DUMMYFUNCTION("""COMPUTED_VALUE"""),"Sin precio neto")</f>
        <v>Sin precio neto</v>
      </c>
    </row>
    <row r="542">
      <c r="A542" s="4" t="str">
        <f>IFERROR(__xludf.DUMMYFUNCTION("""COMPUTED_VALUE"""),"0398IC")</f>
        <v>0398IC</v>
      </c>
      <c r="B542" s="4" t="str">
        <f>IFERROR(__xludf.DUMMYFUNCTION("""COMPUTED_VALUE"""),"Cartel PVC 96x48 Fotolum. Flecha derecha")</f>
        <v>Cartel PVC 96x48 Fotolum. Flecha derecha</v>
      </c>
      <c r="C542" s="4">
        <f>IFERROR(__xludf.DUMMYFUNCTION("""COMPUTED_VALUE"""),8.96)</f>
        <v>8.96</v>
      </c>
      <c r="D542" s="4"/>
      <c r="E542" s="4" t="str">
        <f>IFERROR(__xludf.DUMMYFUNCTION("""COMPUTED_VALUE"""),"Sin precio neto")</f>
        <v>Sin precio neto</v>
      </c>
    </row>
    <row r="543">
      <c r="A543" s="4" t="str">
        <f>IFERROR(__xludf.DUMMYFUNCTION("""COMPUTED_VALUE"""),"399")</f>
        <v>399</v>
      </c>
      <c r="B543" s="4" t="str">
        <f>IFERROR(__xludf.DUMMYFUNCTION("""COMPUTED_VALUE"""),"Cartel PVC 40x30 Calle cortada por obra")</f>
        <v>Cartel PVC 40x30 Calle cortada por obra</v>
      </c>
      <c r="C543" s="4">
        <f>IFERROR(__xludf.DUMMYFUNCTION("""COMPUTED_VALUE"""),2.48)</f>
        <v>2.48</v>
      </c>
      <c r="D543" s="4">
        <f>IFERROR(__xludf.DUMMYFUNCTION("""COMPUTED_VALUE"""),1.8)</f>
        <v>1.8</v>
      </c>
      <c r="E543" s="4" t="str">
        <f>IFERROR(__xludf.DUMMYFUNCTION("""COMPUTED_VALUE"""),"Neto: 1,80 € (a partir de 1 uds.)")</f>
        <v>Neto: 1,80 € (a partir de 1 uds.)</v>
      </c>
    </row>
    <row r="544">
      <c r="A544" s="4" t="str">
        <f>IFERROR(__xludf.DUMMYFUNCTION("""COMPUTED_VALUE"""),"400")</f>
        <v>400</v>
      </c>
      <c r="B544" s="4" t="str">
        <f>IFERROR(__xludf.DUMMYFUNCTION("""COMPUTED_VALUE"""),"Bolsa negra perforada cubre señales trafico")</f>
        <v>Bolsa negra perforada cubre señales trafico</v>
      </c>
      <c r="C544" s="4">
        <f>IFERROR(__xludf.DUMMYFUNCTION("""COMPUTED_VALUE"""),1.7)</f>
        <v>1.7</v>
      </c>
      <c r="D544" s="4">
        <f>IFERROR(__xludf.DUMMYFUNCTION("""COMPUTED_VALUE"""),1.0)</f>
        <v>1</v>
      </c>
      <c r="E544" s="4" t="str">
        <f>IFERROR(__xludf.DUMMYFUNCTION("""COMPUTED_VALUE"""),"Neto: 1,00 € (a partir de 25 uds.)")</f>
        <v>Neto: 1,00 € (a partir de 25 uds.)</v>
      </c>
    </row>
    <row r="545">
      <c r="A545" s="4" t="str">
        <f>IFERROR(__xludf.DUMMYFUNCTION("""COMPUTED_VALUE"""),"401")</f>
        <v>401</v>
      </c>
      <c r="B545" s="4" t="str">
        <f>IFERROR(__xludf.DUMMYFUNCTION("""COMPUTED_VALUE"""),"Se¤al Bolsa de plastico nº1 DIRECION PROHIB.")</f>
        <v>Se¤al Bolsa de plastico nº1 DIRECION PROHIB.</v>
      </c>
      <c r="C545" s="4">
        <f>IFERROR(__xludf.DUMMYFUNCTION("""COMPUTED_VALUE"""),1.7)</f>
        <v>1.7</v>
      </c>
      <c r="D545" s="4">
        <f>IFERROR(__xludf.DUMMYFUNCTION("""COMPUTED_VALUE"""),1.0)</f>
        <v>1</v>
      </c>
      <c r="E545" s="4" t="str">
        <f>IFERROR(__xludf.DUMMYFUNCTION("""COMPUTED_VALUE"""),"Neto: 1,00 € (a partir de 25 uds.)")</f>
        <v>Neto: 1,00 € (a partir de 25 uds.)</v>
      </c>
    </row>
    <row r="546">
      <c r="A546" s="4" t="str">
        <f>IFERROR(__xludf.DUMMYFUNCTION("""COMPUTED_VALUE"""),"402")</f>
        <v>402</v>
      </c>
      <c r="B546" s="4" t="str">
        <f>IFERROR(__xludf.DUMMYFUNCTION("""COMPUTED_VALUE"""),"Señal Bolsa de plastico nº 2 STOP")</f>
        <v>Señal Bolsa de plastico nº 2 STOP</v>
      </c>
      <c r="C546" s="4">
        <f>IFERROR(__xludf.DUMMYFUNCTION("""COMPUTED_VALUE"""),1.7)</f>
        <v>1.7</v>
      </c>
      <c r="D546" s="4">
        <f>IFERROR(__xludf.DUMMYFUNCTION("""COMPUTED_VALUE"""),1.0)</f>
        <v>1</v>
      </c>
      <c r="E546" s="4" t="str">
        <f>IFERROR(__xludf.DUMMYFUNCTION("""COMPUTED_VALUE"""),"Neto: 1,00 € (a partir de 25 uds.)")</f>
        <v>Neto: 1,00 € (a partir de 25 uds.)</v>
      </c>
    </row>
    <row r="547">
      <c r="A547" s="4" t="str">
        <f>IFERROR(__xludf.DUMMYFUNCTION("""COMPUTED_VALUE"""),"403")</f>
        <v>403</v>
      </c>
      <c r="B547" s="4" t="str">
        <f>IFERROR(__xludf.DUMMYFUNCTION("""COMPUTED_VALUE"""),"Señal Bolsa de plastico nº 3 DIR. OBL. DERECHA")</f>
        <v>Señal Bolsa de plastico nº 3 DIR. OBL. DERECHA</v>
      </c>
      <c r="C547" s="4">
        <f>IFERROR(__xludf.DUMMYFUNCTION("""COMPUTED_VALUE"""),1.7)</f>
        <v>1.7</v>
      </c>
      <c r="D547" s="4">
        <f>IFERROR(__xludf.DUMMYFUNCTION("""COMPUTED_VALUE"""),1.0)</f>
        <v>1</v>
      </c>
      <c r="E547" s="4" t="str">
        <f>IFERROR(__xludf.DUMMYFUNCTION("""COMPUTED_VALUE"""),"Neto: 1,00 € (a partir de 25 uds.)")</f>
        <v>Neto: 1,00 € (a partir de 25 uds.)</v>
      </c>
    </row>
    <row r="548">
      <c r="A548" s="4" t="str">
        <f>IFERROR(__xludf.DUMMYFUNCTION("""COMPUTED_VALUE"""),"404")</f>
        <v>404</v>
      </c>
      <c r="B548" s="4" t="str">
        <f>IFERROR(__xludf.DUMMYFUNCTION("""COMPUTED_VALUE"""),"Señal Bolsa de plastico nº 4 PELIGRO INDEF")</f>
        <v>Señal Bolsa de plastico nº 4 PELIGRO INDEF</v>
      </c>
      <c r="C548" s="4">
        <f>IFERROR(__xludf.DUMMYFUNCTION("""COMPUTED_VALUE"""),1.7)</f>
        <v>1.7</v>
      </c>
      <c r="D548" s="4">
        <f>IFERROR(__xludf.DUMMYFUNCTION("""COMPUTED_VALUE"""),1.0)</f>
        <v>1</v>
      </c>
      <c r="E548" s="4" t="str">
        <f>IFERROR(__xludf.DUMMYFUNCTION("""COMPUTED_VALUE"""),"Neto: 1,00 € (a partir de 25 uds.)")</f>
        <v>Neto: 1,00 € (a partir de 25 uds.)</v>
      </c>
    </row>
    <row r="549">
      <c r="A549" s="4" t="str">
        <f>IFERROR(__xludf.DUMMYFUNCTION("""COMPUTED_VALUE"""),"405")</f>
        <v>405</v>
      </c>
      <c r="B549" s="4" t="str">
        <f>IFERROR(__xludf.DUMMYFUNCTION("""COMPUTED_VALUE"""),"Señal Bolsa de plastico nº 5 OBRAS")</f>
        <v>Señal Bolsa de plastico nº 5 OBRAS</v>
      </c>
      <c r="C549" s="4">
        <f>IFERROR(__xludf.DUMMYFUNCTION("""COMPUTED_VALUE"""),1.7)</f>
        <v>1.7</v>
      </c>
      <c r="D549" s="4">
        <f>IFERROR(__xludf.DUMMYFUNCTION("""COMPUTED_VALUE"""),1.0)</f>
        <v>1</v>
      </c>
      <c r="E549" s="4" t="str">
        <f>IFERROR(__xludf.DUMMYFUNCTION("""COMPUTED_VALUE"""),"Neto: 1,00 € (a partir de 25 uds.)")</f>
        <v>Neto: 1,00 € (a partir de 25 uds.)</v>
      </c>
    </row>
    <row r="550">
      <c r="A550" s="4" t="str">
        <f>IFERROR(__xludf.DUMMYFUNCTION("""COMPUTED_VALUE"""),"406")</f>
        <v>406</v>
      </c>
      <c r="B550" s="4" t="str">
        <f>IFERROR(__xludf.DUMMYFUNCTION("""COMPUTED_VALUE"""),"Señal Bolsa de plastico nº 6 VEL. 40")</f>
        <v>Señal Bolsa de plastico nº 6 VEL. 40</v>
      </c>
      <c r="C550" s="4">
        <f>IFERROR(__xludf.DUMMYFUNCTION("""COMPUTED_VALUE"""),1.7)</f>
        <v>1.7</v>
      </c>
      <c r="D550" s="4">
        <f>IFERROR(__xludf.DUMMYFUNCTION("""COMPUTED_VALUE"""),1.0)</f>
        <v>1</v>
      </c>
      <c r="E550" s="4" t="str">
        <f>IFERROR(__xludf.DUMMYFUNCTION("""COMPUTED_VALUE"""),"Neto: 1,00 € (a partir de 25 uds.)")</f>
        <v>Neto: 1,00 € (a partir de 25 uds.)</v>
      </c>
    </row>
    <row r="551">
      <c r="A551" s="4" t="str">
        <f>IFERROR(__xludf.DUMMYFUNCTION("""COMPUTED_VALUE"""),"407")</f>
        <v>407</v>
      </c>
      <c r="B551" s="4" t="str">
        <f>IFERROR(__xludf.DUMMYFUNCTION("""COMPUTED_VALUE"""),"Señal Bolsa de plastico nº 7 VEL. 60")</f>
        <v>Señal Bolsa de plastico nº 7 VEL. 60</v>
      </c>
      <c r="C551" s="4">
        <f>IFERROR(__xludf.DUMMYFUNCTION("""COMPUTED_VALUE"""),1.7)</f>
        <v>1.7</v>
      </c>
      <c r="D551" s="4">
        <f>IFERROR(__xludf.DUMMYFUNCTION("""COMPUTED_VALUE"""),1.0)</f>
        <v>1</v>
      </c>
      <c r="E551" s="4" t="str">
        <f>IFERROR(__xludf.DUMMYFUNCTION("""COMPUTED_VALUE"""),"Neto: 1,00 € (a partir de 25 uds.)")</f>
        <v>Neto: 1,00 € (a partir de 25 uds.)</v>
      </c>
    </row>
    <row r="552">
      <c r="A552" s="4" t="str">
        <f>IFERROR(__xludf.DUMMYFUNCTION("""COMPUTED_VALUE"""),"408")</f>
        <v>408</v>
      </c>
      <c r="B552" s="4" t="str">
        <f>IFERROR(__xludf.DUMMYFUNCTION("""COMPUTED_VALUE"""),"Señal Bolsa de plastico nº 8 ESTRECH")</f>
        <v>Señal Bolsa de plastico nº 8 ESTRECH</v>
      </c>
      <c r="C552" s="4">
        <f>IFERROR(__xludf.DUMMYFUNCTION("""COMPUTED_VALUE"""),1.7)</f>
        <v>1.7</v>
      </c>
      <c r="D552" s="4">
        <f>IFERROR(__xludf.DUMMYFUNCTION("""COMPUTED_VALUE"""),1.0)</f>
        <v>1</v>
      </c>
      <c r="E552" s="4" t="str">
        <f>IFERROR(__xludf.DUMMYFUNCTION("""COMPUTED_VALUE"""),"Neto: 1,00 € (a partir de 25 uds.)")</f>
        <v>Neto: 1,00 € (a partir de 25 uds.)</v>
      </c>
    </row>
    <row r="553">
      <c r="A553" s="4" t="str">
        <f>IFERROR(__xludf.DUMMYFUNCTION("""COMPUTED_VALUE"""),"409")</f>
        <v>409</v>
      </c>
      <c r="B553" s="4" t="str">
        <f>IFERROR(__xludf.DUMMYFUNCTION("""COMPUTED_VALUE"""),"Señal Bolsa de plastico nº 9 PROHIB ADELANT")</f>
        <v>Señal Bolsa de plastico nº 9 PROHIB ADELANT</v>
      </c>
      <c r="C553" s="4">
        <f>IFERROR(__xludf.DUMMYFUNCTION("""COMPUTED_VALUE"""),1.7)</f>
        <v>1.7</v>
      </c>
      <c r="D553" s="4">
        <f>IFERROR(__xludf.DUMMYFUNCTION("""COMPUTED_VALUE"""),1.0)</f>
        <v>1</v>
      </c>
      <c r="E553" s="4" t="str">
        <f>IFERROR(__xludf.DUMMYFUNCTION("""COMPUTED_VALUE"""),"Neto: 1,00 € (a partir de 25 uds.)")</f>
        <v>Neto: 1,00 € (a partir de 25 uds.)</v>
      </c>
    </row>
    <row r="554">
      <c r="A554" s="4" t="str">
        <f>IFERROR(__xludf.DUMMYFUNCTION("""COMPUTED_VALUE"""),"410")</f>
        <v>410</v>
      </c>
      <c r="B554" s="4" t="str">
        <f>IFERROR(__xludf.DUMMYFUNCTION("""COMPUTED_VALUE"""),"Señal Bolsa de plastico nº 10 PRIORIDAD")</f>
        <v>Señal Bolsa de plastico nº 10 PRIORIDAD</v>
      </c>
      <c r="C554" s="4">
        <f>IFERROR(__xludf.DUMMYFUNCTION("""COMPUTED_VALUE"""),1.7)</f>
        <v>1.7</v>
      </c>
      <c r="D554" s="4">
        <f>IFERROR(__xludf.DUMMYFUNCTION("""COMPUTED_VALUE"""),1.0)</f>
        <v>1</v>
      </c>
      <c r="E554" s="4" t="str">
        <f>IFERROR(__xludf.DUMMYFUNCTION("""COMPUTED_VALUE"""),"Neto: 1,00 € (a partir de 25 uds.)")</f>
        <v>Neto: 1,00 € (a partir de 25 uds.)</v>
      </c>
    </row>
    <row r="555">
      <c r="A555" s="4" t="str">
        <f>IFERROR(__xludf.DUMMYFUNCTION("""COMPUTED_VALUE"""),"411")</f>
        <v>411</v>
      </c>
      <c r="B555" s="4" t="str">
        <f>IFERROR(__xludf.DUMMYFUNCTION("""COMPUTED_VALUE"""),"Señal Bolsa de plastico nº 11 PROHIB. APARCAR")</f>
        <v>Señal Bolsa de plastico nº 11 PROHIB. APARCAR</v>
      </c>
      <c r="C555" s="4">
        <f>IFERROR(__xludf.DUMMYFUNCTION("""COMPUTED_VALUE"""),1.7)</f>
        <v>1.7</v>
      </c>
      <c r="D555" s="4">
        <f>IFERROR(__xludf.DUMMYFUNCTION("""COMPUTED_VALUE"""),1.0)</f>
        <v>1</v>
      </c>
      <c r="E555" s="4" t="str">
        <f>IFERROR(__xludf.DUMMYFUNCTION("""COMPUTED_VALUE"""),"Neto: 1,00 € (a partir de 25 uds.)")</f>
        <v>Neto: 1,00 € (a partir de 25 uds.)</v>
      </c>
    </row>
    <row r="556">
      <c r="A556" s="4" t="str">
        <f>IFERROR(__xludf.DUMMYFUNCTION("""COMPUTED_VALUE"""),"412")</f>
        <v>412</v>
      </c>
      <c r="B556" s="4" t="str">
        <f>IFERROR(__xludf.DUMMYFUNCTION("""COMPUTED_VALUE"""),"Señal Bolsa de plastico nº 12 ESCALON LATERAL")</f>
        <v>Señal Bolsa de plastico nº 12 ESCALON LATERAL</v>
      </c>
      <c r="C556" s="4">
        <f>IFERROR(__xludf.DUMMYFUNCTION("""COMPUTED_VALUE"""),1.7)</f>
        <v>1.7</v>
      </c>
      <c r="D556" s="4">
        <f>IFERROR(__xludf.DUMMYFUNCTION("""COMPUTED_VALUE"""),1.0)</f>
        <v>1</v>
      </c>
      <c r="E556" s="4" t="str">
        <f>IFERROR(__xludf.DUMMYFUNCTION("""COMPUTED_VALUE"""),"Neto: 1,00 € (a partir de 25 uds.)")</f>
        <v>Neto: 1,00 € (a partir de 25 uds.)</v>
      </c>
    </row>
    <row r="557">
      <c r="A557" s="4" t="str">
        <f>IFERROR(__xludf.DUMMYFUNCTION("""COMPUTED_VALUE"""),"413")</f>
        <v>413</v>
      </c>
      <c r="B557" s="4" t="str">
        <f>IFERROR(__xludf.DUMMYFUNCTION("""COMPUTED_VALUE"""),"Señal Bolsa de plastico nº 13 SUELO RESVALADIZO")</f>
        <v>Señal Bolsa de plastico nº 13 SUELO RESVALADIZO</v>
      </c>
      <c r="C557" s="4">
        <f>IFERROR(__xludf.DUMMYFUNCTION("""COMPUTED_VALUE"""),1.7)</f>
        <v>1.7</v>
      </c>
      <c r="D557" s="4">
        <f>IFERROR(__xludf.DUMMYFUNCTION("""COMPUTED_VALUE"""),1.0)</f>
        <v>1</v>
      </c>
      <c r="E557" s="4" t="str">
        <f>IFERROR(__xludf.DUMMYFUNCTION("""COMPUTED_VALUE"""),"Neto: 1,00 € (a partir de 25 uds.)")</f>
        <v>Neto: 1,00 € (a partir de 25 uds.)</v>
      </c>
    </row>
    <row r="558">
      <c r="A558" s="4" t="str">
        <f>IFERROR(__xludf.DUMMYFUNCTION("""COMPUTED_VALUE"""),"414")</f>
        <v>414</v>
      </c>
      <c r="B558" s="4" t="str">
        <f>IFERROR(__xludf.DUMMYFUNCTION("""COMPUTED_VALUE"""),"Señal Bolsa de plastico nº 14 VEL 20")</f>
        <v>Señal Bolsa de plastico nº 14 VEL 20</v>
      </c>
      <c r="C558" s="4">
        <f>IFERROR(__xludf.DUMMYFUNCTION("""COMPUTED_VALUE"""),1.7)</f>
        <v>1.7</v>
      </c>
      <c r="D558" s="4">
        <f>IFERROR(__xludf.DUMMYFUNCTION("""COMPUTED_VALUE"""),1.0)</f>
        <v>1</v>
      </c>
      <c r="E558" s="4" t="str">
        <f>IFERROR(__xludf.DUMMYFUNCTION("""COMPUTED_VALUE"""),"Neto: 1,00 € (a partir de 25 uds.)")</f>
        <v>Neto: 1,00 € (a partir de 25 uds.)</v>
      </c>
    </row>
    <row r="559">
      <c r="A559" s="4" t="str">
        <f>IFERROR(__xludf.DUMMYFUNCTION("""COMPUTED_VALUE"""),"415")</f>
        <v>415</v>
      </c>
      <c r="B559" s="4" t="str">
        <f>IFERROR(__xludf.DUMMYFUNCTION("""COMPUTED_VALUE"""),"Señal Bolsa de plastico nº 15 PELIGRO CAMIONES")</f>
        <v>Señal Bolsa de plastico nº 15 PELIGRO CAMIONES</v>
      </c>
      <c r="C559" s="4">
        <f>IFERROR(__xludf.DUMMYFUNCTION("""COMPUTED_VALUE"""),1.7)</f>
        <v>1.7</v>
      </c>
      <c r="D559" s="4">
        <f>IFERROR(__xludf.DUMMYFUNCTION("""COMPUTED_VALUE"""),1.0)</f>
        <v>1</v>
      </c>
      <c r="E559" s="4" t="str">
        <f>IFERROR(__xludf.DUMMYFUNCTION("""COMPUTED_VALUE"""),"Neto: 1,00 € (a partir de 25 uds.)")</f>
        <v>Neto: 1,00 € (a partir de 25 uds.)</v>
      </c>
    </row>
    <row r="560">
      <c r="A560" s="4" t="str">
        <f>IFERROR(__xludf.DUMMYFUNCTION("""COMPUTED_VALUE"""),"416")</f>
        <v>416</v>
      </c>
      <c r="B560" s="4" t="str">
        <f>IFERROR(__xludf.DUMMYFUNCTION("""COMPUTED_VALUE"""),"Señal Bolsa de plastico nº 16 SALIDA CAMIONES")</f>
        <v>Señal Bolsa de plastico nº 16 SALIDA CAMIONES</v>
      </c>
      <c r="C560" s="4">
        <f>IFERROR(__xludf.DUMMYFUNCTION("""COMPUTED_VALUE"""),1.7)</f>
        <v>1.7</v>
      </c>
      <c r="D560" s="4">
        <f>IFERROR(__xludf.DUMMYFUNCTION("""COMPUTED_VALUE"""),1.0)</f>
        <v>1</v>
      </c>
      <c r="E560" s="4" t="str">
        <f>IFERROR(__xludf.DUMMYFUNCTION("""COMPUTED_VALUE"""),"Neto: 1,00 € (a partir de 25 uds.)")</f>
        <v>Neto: 1,00 € (a partir de 25 uds.)</v>
      </c>
    </row>
    <row r="561">
      <c r="A561" s="4" t="str">
        <f>IFERROR(__xludf.DUMMYFUNCTION("""COMPUTED_VALUE"""),"417")</f>
        <v>417</v>
      </c>
      <c r="B561" s="4" t="str">
        <f>IFERROR(__xludf.DUMMYFUNCTION("""COMPUTED_VALUE"""),"Señal Bolsa de plastico nº 17 CALLE CORTADA")</f>
        <v>Señal Bolsa de plastico nº 17 CALLE CORTADA</v>
      </c>
      <c r="C561" s="4">
        <f>IFERROR(__xludf.DUMMYFUNCTION("""COMPUTED_VALUE"""),1.7)</f>
        <v>1.7</v>
      </c>
      <c r="D561" s="4">
        <f>IFERROR(__xludf.DUMMYFUNCTION("""COMPUTED_VALUE"""),1.0)</f>
        <v>1</v>
      </c>
      <c r="E561" s="4" t="str">
        <f>IFERROR(__xludf.DUMMYFUNCTION("""COMPUTED_VALUE"""),"Neto: 1,00 € (a partir de 25 uds.)")</f>
        <v>Neto: 1,00 € (a partir de 25 uds.)</v>
      </c>
    </row>
    <row r="562">
      <c r="A562" s="4" t="str">
        <f>IFERROR(__xludf.DUMMYFUNCTION("""COMPUTED_VALUE"""),"418")</f>
        <v>418</v>
      </c>
      <c r="B562" s="4" t="str">
        <f>IFERROR(__xludf.DUMMYFUNCTION("""COMPUTED_VALUE"""),"Señal Bolsa de plastico nº 18 VEL 30")</f>
        <v>Señal Bolsa de plastico nº 18 VEL 30</v>
      </c>
      <c r="C562" s="4">
        <f>IFERROR(__xludf.DUMMYFUNCTION("""COMPUTED_VALUE"""),1.7)</f>
        <v>1.7</v>
      </c>
      <c r="D562" s="4">
        <f>IFERROR(__xludf.DUMMYFUNCTION("""COMPUTED_VALUE"""),1.0)</f>
        <v>1</v>
      </c>
      <c r="E562" s="4" t="str">
        <f>IFERROR(__xludf.DUMMYFUNCTION("""COMPUTED_VALUE"""),"Neto: 1,00 € (a partir de 25 uds.)")</f>
        <v>Neto: 1,00 € (a partir de 25 uds.)</v>
      </c>
    </row>
    <row r="563">
      <c r="A563" s="4" t="str">
        <f>IFERROR(__xludf.DUMMYFUNCTION("""COMPUTED_VALUE"""),"419")</f>
        <v>419</v>
      </c>
      <c r="B563" s="4" t="str">
        <f>IFERROR(__xludf.DUMMYFUNCTION("""COMPUTED_VALUE"""),"Señal Bolsa de plastico nº 19 DESPRENDIMIENTO")</f>
        <v>Señal Bolsa de plastico nº 19 DESPRENDIMIENTO</v>
      </c>
      <c r="C563" s="4">
        <f>IFERROR(__xludf.DUMMYFUNCTION("""COMPUTED_VALUE"""),1.7)</f>
        <v>1.7</v>
      </c>
      <c r="D563" s="4">
        <f>IFERROR(__xludf.DUMMYFUNCTION("""COMPUTED_VALUE"""),1.0)</f>
        <v>1</v>
      </c>
      <c r="E563" s="4" t="str">
        <f>IFERROR(__xludf.DUMMYFUNCTION("""COMPUTED_VALUE"""),"Neto: 1,00 € (a partir de 25 uds.)")</f>
        <v>Neto: 1,00 € (a partir de 25 uds.)</v>
      </c>
    </row>
    <row r="564">
      <c r="A564" s="4" t="str">
        <f>IFERROR(__xludf.DUMMYFUNCTION("""COMPUTED_VALUE"""),"420")</f>
        <v>420</v>
      </c>
      <c r="B564" s="4" t="str">
        <f>IFERROR(__xludf.DUMMYFUNCTION("""COMPUTED_VALUE"""),"Señal Bolsa de plastico nº 20 ACERA EN OBRAS")</f>
        <v>Señal Bolsa de plastico nº 20 ACERA EN OBRAS</v>
      </c>
      <c r="C564" s="4">
        <f>IFERROR(__xludf.DUMMYFUNCTION("""COMPUTED_VALUE"""),1.7)</f>
        <v>1.7</v>
      </c>
      <c r="D564" s="4">
        <f>IFERROR(__xludf.DUMMYFUNCTION("""COMPUTED_VALUE"""),1.0)</f>
        <v>1</v>
      </c>
      <c r="E564" s="4" t="str">
        <f>IFERROR(__xludf.DUMMYFUNCTION("""COMPUTED_VALUE"""),"Neto: 1,00 € (a partir de 25 uds.)")</f>
        <v>Neto: 1,00 € (a partir de 25 uds.)</v>
      </c>
    </row>
    <row r="565">
      <c r="A565" s="4" t="str">
        <f>IFERROR(__xludf.DUMMYFUNCTION("""COMPUTED_VALUE"""),"421")</f>
        <v>421</v>
      </c>
      <c r="B565" s="4" t="str">
        <f>IFERROR(__xludf.DUMMYFUNCTION("""COMPUTED_VALUE"""),"Señal Bolsa de plastico nº 21 ESTRECH. IZQ.")</f>
        <v>Señal Bolsa de plastico nº 21 ESTRECH. IZQ.</v>
      </c>
      <c r="C565" s="4">
        <f>IFERROR(__xludf.DUMMYFUNCTION("""COMPUTED_VALUE"""),1.7)</f>
        <v>1.7</v>
      </c>
      <c r="D565" s="4">
        <f>IFERROR(__xludf.DUMMYFUNCTION("""COMPUTED_VALUE"""),1.0)</f>
        <v>1</v>
      </c>
      <c r="E565" s="4" t="str">
        <f>IFERROR(__xludf.DUMMYFUNCTION("""COMPUTED_VALUE"""),"Neto: 1,00 € (a partir de 25 uds.)")</f>
        <v>Neto: 1,00 € (a partir de 25 uds.)</v>
      </c>
    </row>
    <row r="566">
      <c r="A566" s="4" t="str">
        <f>IFERROR(__xludf.DUMMYFUNCTION("""COMPUTED_VALUE"""),"422")</f>
        <v>422</v>
      </c>
      <c r="B566" s="4" t="str">
        <f>IFERROR(__xludf.DUMMYFUNCTION("""COMPUTED_VALUE"""),"Señal Bolsa de plastico nº 22 ESTRECH. DERECHA")</f>
        <v>Señal Bolsa de plastico nº 22 ESTRECH. DERECHA</v>
      </c>
      <c r="C566" s="4">
        <f>IFERROR(__xludf.DUMMYFUNCTION("""COMPUTED_VALUE"""),1.7)</f>
        <v>1.7</v>
      </c>
      <c r="D566" s="4">
        <f>IFERROR(__xludf.DUMMYFUNCTION("""COMPUTED_VALUE"""),1.0)</f>
        <v>1</v>
      </c>
      <c r="E566" s="4" t="str">
        <f>IFERROR(__xludf.DUMMYFUNCTION("""COMPUTED_VALUE"""),"Neto: 1,00 € (a partir de 25 uds.)")</f>
        <v>Neto: 1,00 € (a partir de 25 uds.)</v>
      </c>
    </row>
    <row r="567">
      <c r="A567" s="4" t="str">
        <f>IFERROR(__xludf.DUMMYFUNCTION("""COMPUTED_VALUE"""),"423")</f>
        <v>423</v>
      </c>
      <c r="B567" s="4" t="str">
        <f>IFERROR(__xludf.DUMMYFUNCTION("""COMPUTED_VALUE"""),"Señal Bolsa de plastico nº 23 VEL 10")</f>
        <v>Señal Bolsa de plastico nº 23 VEL 10</v>
      </c>
      <c r="C567" s="4">
        <f>IFERROR(__xludf.DUMMYFUNCTION("""COMPUTED_VALUE"""),1.7)</f>
        <v>1.7</v>
      </c>
      <c r="D567" s="4">
        <f>IFERROR(__xludf.DUMMYFUNCTION("""COMPUTED_VALUE"""),1.0)</f>
        <v>1</v>
      </c>
      <c r="E567" s="4" t="str">
        <f>IFERROR(__xludf.DUMMYFUNCTION("""COMPUTED_VALUE"""),"Neto: 1,00 € (a partir de 25 uds.)")</f>
        <v>Neto: 1,00 € (a partir de 25 uds.)</v>
      </c>
    </row>
    <row r="568">
      <c r="A568" s="4" t="str">
        <f>IFERROR(__xludf.DUMMYFUNCTION("""COMPUTED_VALUE"""),"424")</f>
        <v>424</v>
      </c>
      <c r="B568" s="4" t="str">
        <f>IFERROR(__xludf.DUMMYFUNCTION("""COMPUTED_VALUE"""),"Señal Bolsa de plastico nº 24 VEL. 50")</f>
        <v>Señal Bolsa de plastico nº 24 VEL. 50</v>
      </c>
      <c r="C568" s="4">
        <f>IFERROR(__xludf.DUMMYFUNCTION("""COMPUTED_VALUE"""),1.7)</f>
        <v>1.7</v>
      </c>
      <c r="D568" s="4">
        <f>IFERROR(__xludf.DUMMYFUNCTION("""COMPUTED_VALUE"""),1.0)</f>
        <v>1</v>
      </c>
      <c r="E568" s="4" t="str">
        <f>IFERROR(__xludf.DUMMYFUNCTION("""COMPUTED_VALUE"""),"Neto: 1,00 € (a partir de 25 uds.)")</f>
        <v>Neto: 1,00 € (a partir de 25 uds.)</v>
      </c>
    </row>
    <row r="569">
      <c r="A569" s="4" t="str">
        <f>IFERROR(__xludf.DUMMYFUNCTION("""COMPUTED_VALUE"""),"425")</f>
        <v>425</v>
      </c>
      <c r="B569" s="4" t="str">
        <f>IFERROR(__xludf.DUMMYFUNCTION("""COMPUTED_VALUE"""),"Señal Bolsa de plastico nº 25 RESALTO")</f>
        <v>Señal Bolsa de plastico nº 25 RESALTO</v>
      </c>
      <c r="C569" s="4">
        <f>IFERROR(__xludf.DUMMYFUNCTION("""COMPUTED_VALUE"""),1.7)</f>
        <v>1.7</v>
      </c>
      <c r="D569" s="4">
        <f>IFERROR(__xludf.DUMMYFUNCTION("""COMPUTED_VALUE"""),1.0)</f>
        <v>1</v>
      </c>
      <c r="E569" s="4" t="str">
        <f>IFERROR(__xludf.DUMMYFUNCTION("""COMPUTED_VALUE"""),"Neto: 1,00 € (a partir de 25 uds.)")</f>
        <v>Neto: 1,00 € (a partir de 25 uds.)</v>
      </c>
    </row>
    <row r="570">
      <c r="A570" s="4" t="str">
        <f>IFERROR(__xludf.DUMMYFUNCTION("""COMPUTED_VALUE"""),"426")</f>
        <v>426</v>
      </c>
      <c r="B570" s="4" t="str">
        <f>IFERROR(__xludf.DUMMYFUNCTION("""COMPUTED_VALUE"""),"Señal Bolsa de plastico nº 26 CAMINO CORTADO")</f>
        <v>Señal Bolsa de plastico nº 26 CAMINO CORTADO</v>
      </c>
      <c r="C570" s="4">
        <f>IFERROR(__xludf.DUMMYFUNCTION("""COMPUTED_VALUE"""),1.7)</f>
        <v>1.7</v>
      </c>
      <c r="D570" s="4">
        <f>IFERROR(__xludf.DUMMYFUNCTION("""COMPUTED_VALUE"""),1.0)</f>
        <v>1</v>
      </c>
      <c r="E570" s="4" t="str">
        <f>IFERROR(__xludf.DUMMYFUNCTION("""COMPUTED_VALUE"""),"Neto: 1,00 € (a partir de 25 uds.)")</f>
        <v>Neto: 1,00 € (a partir de 25 uds.)</v>
      </c>
    </row>
    <row r="571">
      <c r="A571" s="4" t="str">
        <f>IFERROR(__xludf.DUMMYFUNCTION("""COMPUTED_VALUE"""),"427")</f>
        <v>427</v>
      </c>
      <c r="B571" s="4" t="str">
        <f>IFERROR(__xludf.DUMMYFUNCTION("""COMPUTED_VALUE"""),"Señal Bolsa de plastico nº 27 DIR. OBLI. IZQ.")</f>
        <v>Señal Bolsa de plastico nº 27 DIR. OBLI. IZQ.</v>
      </c>
      <c r="C571" s="4">
        <f>IFERROR(__xludf.DUMMYFUNCTION("""COMPUTED_VALUE"""),1.7)</f>
        <v>1.7</v>
      </c>
      <c r="D571" s="4">
        <f>IFERROR(__xludf.DUMMYFUNCTION("""COMPUTED_VALUE"""),1.0)</f>
        <v>1</v>
      </c>
      <c r="E571" s="4" t="str">
        <f>IFERROR(__xludf.DUMMYFUNCTION("""COMPUTED_VALUE"""),"Neto: 1,00 € (a partir de 25 uds.)")</f>
        <v>Neto: 1,00 € (a partir de 25 uds.)</v>
      </c>
    </row>
    <row r="572">
      <c r="A572" s="4" t="str">
        <f>IFERROR(__xludf.DUMMYFUNCTION("""COMPUTED_VALUE"""),"428")</f>
        <v>428</v>
      </c>
      <c r="B572" s="4" t="str">
        <f>IFERROR(__xludf.DUMMYFUNCTION("""COMPUTED_VALUE"""),"Señal Bolsa de plastico nº 28 CEDA EL PASO")</f>
        <v>Señal Bolsa de plastico nº 28 CEDA EL PASO</v>
      </c>
      <c r="C572" s="4">
        <f>IFERROR(__xludf.DUMMYFUNCTION("""COMPUTED_VALUE"""),1.7)</f>
        <v>1.7</v>
      </c>
      <c r="D572" s="4">
        <f>IFERROR(__xludf.DUMMYFUNCTION("""COMPUTED_VALUE"""),1.0)</f>
        <v>1</v>
      </c>
      <c r="E572" s="4" t="str">
        <f>IFERROR(__xludf.DUMMYFUNCTION("""COMPUTED_VALUE"""),"Neto: 1,00 € (a partir de 25 uds.)")</f>
        <v>Neto: 1,00 € (a partir de 25 uds.)</v>
      </c>
    </row>
    <row r="573">
      <c r="A573" s="4" t="str">
        <f>IFERROR(__xludf.DUMMYFUNCTION("""COMPUTED_VALUE"""),"429")</f>
        <v>429</v>
      </c>
      <c r="B573" s="4" t="str">
        <f>IFERROR(__xludf.DUMMYFUNCTION("""COMPUTED_VALUE"""),"Señal Bolsa de plastico nº 29 CEDA EL PASO C / TEXTO")</f>
        <v>Señal Bolsa de plastico nº 29 CEDA EL PASO C / TEXTO</v>
      </c>
      <c r="C573" s="4">
        <f>IFERROR(__xludf.DUMMYFUNCTION("""COMPUTED_VALUE"""),1.7)</f>
        <v>1.7</v>
      </c>
      <c r="D573" s="4">
        <f>IFERROR(__xludf.DUMMYFUNCTION("""COMPUTED_VALUE"""),1.0)</f>
        <v>1</v>
      </c>
      <c r="E573" s="4" t="str">
        <f>IFERROR(__xludf.DUMMYFUNCTION("""COMPUTED_VALUE"""),"Neto: 1,00 € (a partir de 25 uds.)")</f>
        <v>Neto: 1,00 € (a partir de 25 uds.)</v>
      </c>
    </row>
    <row r="574">
      <c r="A574" s="4" t="str">
        <f>IFERROR(__xludf.DUMMYFUNCTION("""COMPUTED_VALUE"""),"430")</f>
        <v>430</v>
      </c>
      <c r="B574" s="4" t="str">
        <f>IFERROR(__xludf.DUMMYFUNCTION("""COMPUTED_VALUE"""),"Señal Bolsa de plastico nº 30 CONTROL POLICIAL")</f>
        <v>Señal Bolsa de plastico nº 30 CONTROL POLICIAL</v>
      </c>
      <c r="C574" s="4">
        <f>IFERROR(__xludf.DUMMYFUNCTION("""COMPUTED_VALUE"""),1.7)</f>
        <v>1.7</v>
      </c>
      <c r="D574" s="4">
        <f>IFERROR(__xludf.DUMMYFUNCTION("""COMPUTED_VALUE"""),1.0)</f>
        <v>1</v>
      </c>
      <c r="E574" s="4" t="str">
        <f>IFERROR(__xludf.DUMMYFUNCTION("""COMPUTED_VALUE"""),"Neto: 1,00 € (a partir de 25 uds.)")</f>
        <v>Neto: 1,00 € (a partir de 25 uds.)</v>
      </c>
    </row>
    <row r="575">
      <c r="A575" s="4" t="str">
        <f>IFERROR(__xludf.DUMMYFUNCTION("""COMPUTED_VALUE"""),"431")</f>
        <v>431</v>
      </c>
      <c r="B575" s="4" t="str">
        <f>IFERROR(__xludf.DUMMYFUNCTION("""COMPUTED_VALUE"""),"Señal Bolsa de plastico nº 31 TRABAJOS FORESTALES")</f>
        <v>Señal Bolsa de plastico nº 31 TRABAJOS FORESTALES</v>
      </c>
      <c r="C575" s="4">
        <f>IFERROR(__xludf.DUMMYFUNCTION("""COMPUTED_VALUE"""),1.7)</f>
        <v>1.7</v>
      </c>
      <c r="D575" s="4">
        <f>IFERROR(__xludf.DUMMYFUNCTION("""COMPUTED_VALUE"""),1.0)</f>
        <v>1</v>
      </c>
      <c r="E575" s="4" t="str">
        <f>IFERROR(__xludf.DUMMYFUNCTION("""COMPUTED_VALUE"""),"Neto: 1,00 € (a partir de 25 uds.)")</f>
        <v>Neto: 1,00 € (a partir de 25 uds.)</v>
      </c>
    </row>
    <row r="576">
      <c r="A576" s="4" t="str">
        <f>IFERROR(__xludf.DUMMYFUNCTION("""COMPUTED_VALUE"""),"432")</f>
        <v>432</v>
      </c>
      <c r="B576" s="4" t="str">
        <f>IFERROR(__xludf.DUMMYFUNCTION("""COMPUTED_VALUE"""),"Señal Bolsa de plastico nº 32 LUZ OBLIGATORIA")</f>
        <v>Señal Bolsa de plastico nº 32 LUZ OBLIGATORIA</v>
      </c>
      <c r="C576" s="4">
        <f>IFERROR(__xludf.DUMMYFUNCTION("""COMPUTED_VALUE"""),1.7)</f>
        <v>1.7</v>
      </c>
      <c r="D576" s="4">
        <f>IFERROR(__xludf.DUMMYFUNCTION("""COMPUTED_VALUE"""),1.0)</f>
        <v>1</v>
      </c>
      <c r="E576" s="4" t="str">
        <f>IFERROR(__xludf.DUMMYFUNCTION("""COMPUTED_VALUE"""),"Neto: 1,00 € (a partir de 25 uds.)")</f>
        <v>Neto: 1,00 € (a partir de 25 uds.)</v>
      </c>
    </row>
    <row r="577">
      <c r="A577" s="4" t="str">
        <f>IFERROR(__xludf.DUMMYFUNCTION("""COMPUTED_VALUE"""),"0450A")</f>
        <v>0450A</v>
      </c>
      <c r="B577" s="4" t="str">
        <f>IFERROR(__xludf.DUMMYFUNCTION("""COMPUTED_VALUE"""),"Plantilla señalizacion para suelo 50x50 cm")</f>
        <v>Plantilla señalizacion para suelo 50x50 cm</v>
      </c>
      <c r="C577" s="4">
        <f>IFERROR(__xludf.DUMMYFUNCTION("""COMPUTED_VALUE"""),32.75)</f>
        <v>32.75</v>
      </c>
      <c r="D577" s="4"/>
      <c r="E577" s="4" t="str">
        <f>IFERROR(__xludf.DUMMYFUNCTION("""COMPUTED_VALUE"""),"Sin precio neto")</f>
        <v>Sin precio neto</v>
      </c>
    </row>
    <row r="578">
      <c r="A578" s="4" t="str">
        <f>IFERROR(__xludf.DUMMYFUNCTION("""COMPUTED_VALUE"""),"0450B")</f>
        <v>0450B</v>
      </c>
      <c r="B578" s="4" t="str">
        <f>IFERROR(__xludf.DUMMYFUNCTION("""COMPUTED_VALUE"""),"Plantilla señalizacion para suelo 100 x 70 cm")</f>
        <v>Plantilla señalizacion para suelo 100 x 70 cm</v>
      </c>
      <c r="C578" s="4">
        <f>IFERROR(__xludf.DUMMYFUNCTION("""COMPUTED_VALUE"""),47.52)</f>
        <v>47.52</v>
      </c>
      <c r="D578" s="4"/>
      <c r="E578" s="4" t="str">
        <f>IFERROR(__xludf.DUMMYFUNCTION("""COMPUTED_VALUE"""),"Sin precio neto")</f>
        <v>Sin precio neto</v>
      </c>
    </row>
    <row r="579">
      <c r="A579" s="4" t="str">
        <f>IFERROR(__xludf.DUMMYFUNCTION("""COMPUTED_VALUE"""),"0450E")</f>
        <v>0450E</v>
      </c>
      <c r="B579" s="4" t="str">
        <f>IFERROR(__xludf.DUMMYFUNCTION("""COMPUTED_VALUE"""),"Plantilla 60x60 cm carga coche eléctrico")</f>
        <v>Plantilla 60x60 cm carga coche eléctrico</v>
      </c>
      <c r="C579" s="4">
        <f>IFERROR(__xludf.DUMMYFUNCTION("""COMPUTED_VALUE"""),35.15)</f>
        <v>35.15</v>
      </c>
      <c r="D579" s="4"/>
      <c r="E579" s="4" t="str">
        <f>IFERROR(__xludf.DUMMYFUNCTION("""COMPUTED_VALUE"""),"Sin precio neto")</f>
        <v>Sin precio neto</v>
      </c>
    </row>
    <row r="580">
      <c r="A580" s="4" t="str">
        <f>IFERROR(__xludf.DUMMYFUNCTION("""COMPUTED_VALUE"""),"561")</f>
        <v>561</v>
      </c>
      <c r="B580" s="4" t="str">
        <f>IFERROR(__xludf.DUMMYFUNCTION("""COMPUTED_VALUE"""),"Bolardo composite cuadrado Abatible 70 cm c/llave")</f>
        <v>Bolardo composite cuadrado Abatible 70 cm c/llave</v>
      </c>
      <c r="C580" s="4">
        <f>IFERROR(__xludf.DUMMYFUNCTION("""COMPUTED_VALUE"""),32.75)</f>
        <v>32.75</v>
      </c>
      <c r="D580" s="4"/>
      <c r="E580" s="4" t="str">
        <f>IFERROR(__xludf.DUMMYFUNCTION("""COMPUTED_VALUE"""),"Sin precio neto")</f>
        <v>Sin precio neto</v>
      </c>
    </row>
    <row r="581">
      <c r="A581" s="4" t="str">
        <f>IFERROR(__xludf.DUMMYFUNCTION("""COMPUTED_VALUE"""),"562")</f>
        <v>562</v>
      </c>
      <c r="B581" s="4" t="str">
        <f>IFERROR(__xludf.DUMMYFUNCTION("""COMPUTED_VALUE"""),"Bolardo Composite Redondo Abatible 70 cm c/ llave")</f>
        <v>Bolardo Composite Redondo Abatible 70 cm c/ llave</v>
      </c>
      <c r="C581" s="4">
        <f>IFERROR(__xludf.DUMMYFUNCTION("""COMPUTED_VALUE"""),37.25)</f>
        <v>37.25</v>
      </c>
      <c r="D581" s="4"/>
      <c r="E581" s="4" t="str">
        <f>IFERROR(__xludf.DUMMYFUNCTION("""COMPUTED_VALUE"""),"Sin precio neto")</f>
        <v>Sin precio neto</v>
      </c>
    </row>
    <row r="582">
      <c r="A582" s="4" t="str">
        <f>IFERROR(__xludf.DUMMYFUNCTION("""COMPUTED_VALUE"""),"563")</f>
        <v>563</v>
      </c>
      <c r="B582" s="4" t="str">
        <f>IFERROR(__xludf.DUMMYFUNCTION("""COMPUTED_VALUE"""),"Tensa Cono 9 Mts A/N")</f>
        <v>Tensa Cono 9 Mts A/N</v>
      </c>
      <c r="C582" s="4">
        <f>IFERROR(__xludf.DUMMYFUNCTION("""COMPUTED_VALUE"""),34.5)</f>
        <v>34.5</v>
      </c>
      <c r="D582" s="4">
        <f>IFERROR(__xludf.DUMMYFUNCTION("""COMPUTED_VALUE"""),26.0)</f>
        <v>26</v>
      </c>
      <c r="E582" s="4" t="str">
        <f>IFERROR(__xludf.DUMMYFUNCTION("""COMPUTED_VALUE"""),"Neto: 26,00 € (a partir de 10 uds.)")</f>
        <v>Neto: 26,00 € (a partir de 10 uds.)</v>
      </c>
    </row>
    <row r="583">
      <c r="A583" s="4" t="str">
        <f>IFERROR(__xludf.DUMMYFUNCTION("""COMPUTED_VALUE"""),"564")</f>
        <v>564</v>
      </c>
      <c r="B583" s="4" t="str">
        <f>IFERROR(__xludf.DUMMYFUNCTION("""COMPUTED_VALUE"""),"Tensa Cono 9 Mts R/B")</f>
        <v>Tensa Cono 9 Mts R/B</v>
      </c>
      <c r="C583" s="4">
        <f>IFERROR(__xludf.DUMMYFUNCTION("""COMPUTED_VALUE"""),34.5)</f>
        <v>34.5</v>
      </c>
      <c r="D583" s="4">
        <f>IFERROR(__xludf.DUMMYFUNCTION("""COMPUTED_VALUE"""),26.0)</f>
        <v>26</v>
      </c>
      <c r="E583" s="4" t="str">
        <f>IFERROR(__xludf.DUMMYFUNCTION("""COMPUTED_VALUE"""),"Neto: 26,00 € (a partir de 10 uds.)")</f>
        <v>Neto: 26,00 € (a partir de 10 uds.)</v>
      </c>
    </row>
    <row r="584">
      <c r="A584" s="4" t="str">
        <f>IFERROR(__xludf.DUMMYFUNCTION("""COMPUTED_VALUE"""),"565")</f>
        <v>565</v>
      </c>
      <c r="B584" s="4" t="str">
        <f>IFERROR(__xludf.DUMMYFUNCTION("""COMPUTED_VALUE"""),"Tensa Cono 3 Mts R/B")</f>
        <v>Tensa Cono 3 Mts R/B</v>
      </c>
      <c r="C584" s="4">
        <f>IFERROR(__xludf.DUMMYFUNCTION("""COMPUTED_VALUE"""),16.0)</f>
        <v>16</v>
      </c>
      <c r="D584" s="4">
        <f>IFERROR(__xludf.DUMMYFUNCTION("""COMPUTED_VALUE"""),16.0)</f>
        <v>16</v>
      </c>
      <c r="E584" s="4" t="str">
        <f>IFERROR(__xludf.DUMMYFUNCTION("""COMPUTED_VALUE"""),"Neto: 16,00 € (a partir de 10 uds.)")</f>
        <v>Neto: 16,00 € (a partir de 10 uds.)</v>
      </c>
    </row>
    <row r="585">
      <c r="A585" s="4" t="str">
        <f>IFERROR(__xludf.DUMMYFUNCTION("""COMPUTED_VALUE"""),"566")</f>
        <v>566</v>
      </c>
      <c r="B585" s="4" t="str">
        <f>IFERROR(__xludf.DUMMYFUNCTION("""COMPUTED_VALUE"""),"Tensa Cono 3 Mts A/N")</f>
        <v>Tensa Cono 3 Mts A/N</v>
      </c>
      <c r="C585" s="4">
        <f>IFERROR(__xludf.DUMMYFUNCTION("""COMPUTED_VALUE"""),16.0)</f>
        <v>16</v>
      </c>
      <c r="D585" s="4">
        <f>IFERROR(__xludf.DUMMYFUNCTION("""COMPUTED_VALUE"""),16.0)</f>
        <v>16</v>
      </c>
      <c r="E585" s="4" t="str">
        <f>IFERROR(__xludf.DUMMYFUNCTION("""COMPUTED_VALUE"""),"Neto: 16,00 € (a partir de 10 uds.)")</f>
        <v>Neto: 16,00 € (a partir de 10 uds.)</v>
      </c>
    </row>
    <row r="586">
      <c r="A586" s="4" t="str">
        <f>IFERROR(__xludf.DUMMYFUNCTION("""COMPUTED_VALUE"""),"568")</f>
        <v>568</v>
      </c>
      <c r="B586" s="4" t="str">
        <f>IFERROR(__xludf.DUMMYFUNCTION("""COMPUTED_VALUE"""),"Hito vertice divergente 1200x1300")</f>
        <v>Hito vertice divergente 1200x1300</v>
      </c>
      <c r="C586" s="4">
        <f>IFERROR(__xludf.DUMMYFUNCTION("""COMPUTED_VALUE"""),393.75)</f>
        <v>393.75</v>
      </c>
      <c r="D586" s="4"/>
      <c r="E586" s="4" t="str">
        <f>IFERROR(__xludf.DUMMYFUNCTION("""COMPUTED_VALUE"""),"Sin precio neto")</f>
        <v>Sin precio neto</v>
      </c>
    </row>
    <row r="587">
      <c r="A587" s="4" t="str">
        <f>IFERROR(__xludf.DUMMYFUNCTION("""COMPUTED_VALUE"""),"569")</f>
        <v>569</v>
      </c>
      <c r="B587" s="4" t="str">
        <f>IFERROR(__xludf.DUMMYFUNCTION("""COMPUTED_VALUE"""),"Bolardo Acero 100 cm x 8 cm diámetro fijo")</f>
        <v>Bolardo Acero 100 cm x 8 cm diámetro fijo</v>
      </c>
      <c r="C587" s="4">
        <f>IFERROR(__xludf.DUMMYFUNCTION("""COMPUTED_VALUE"""),33.6)</f>
        <v>33.6</v>
      </c>
      <c r="D587" s="4"/>
      <c r="E587" s="4" t="str">
        <f>IFERROR(__xludf.DUMMYFUNCTION("""COMPUTED_VALUE"""),"Sin precio neto")</f>
        <v>Sin precio neto</v>
      </c>
    </row>
    <row r="588">
      <c r="A588" s="4" t="str">
        <f>IFERROR(__xludf.DUMMYFUNCTION("""COMPUTED_VALUE"""),"0569/PLATO")</f>
        <v>0569/PLATO</v>
      </c>
      <c r="B588" s="4" t="str">
        <f>IFERROR(__xludf.DUMMYFUNCTION("""COMPUTED_VALUE"""),"Bolardo Acero 100 cm x 8 cm diam. c/plato")</f>
        <v>Bolardo Acero 100 cm x 8 cm diam. c/plato</v>
      </c>
      <c r="C588" s="4">
        <f>IFERROR(__xludf.DUMMYFUNCTION("""COMPUTED_VALUE"""),56.7)</f>
        <v>56.7</v>
      </c>
      <c r="D588" s="4"/>
      <c r="E588" s="4" t="str">
        <f>IFERROR(__xludf.DUMMYFUNCTION("""COMPUTED_VALUE"""),"Sin precio neto")</f>
        <v>Sin precio neto</v>
      </c>
    </row>
    <row r="589">
      <c r="A589" s="4" t="str">
        <f>IFERROR(__xludf.DUMMYFUNCTION("""COMPUTED_VALUE"""),"0569A")</f>
        <v>0569A</v>
      </c>
      <c r="B589" s="4" t="str">
        <f>IFERROR(__xludf.DUMMYFUNCTION("""COMPUTED_VALUE"""),"Bolardo Acero 100 cm x 8 cm diámetro extraíble")</f>
        <v>Bolardo Acero 100 cm x 8 cm diámetro extraíble</v>
      </c>
      <c r="C589" s="4">
        <f>IFERROR(__xludf.DUMMYFUNCTION("""COMPUTED_VALUE"""),39.9)</f>
        <v>39.9</v>
      </c>
      <c r="D589" s="4"/>
      <c r="E589" s="4" t="str">
        <f>IFERROR(__xludf.DUMMYFUNCTION("""COMPUTED_VALUE"""),"Sin precio neto")</f>
        <v>Sin precio neto</v>
      </c>
    </row>
    <row r="590">
      <c r="A590" s="4" t="str">
        <f>IFERROR(__xludf.DUMMYFUNCTION("""COMPUTED_VALUE"""),"0569E")</f>
        <v>0569E</v>
      </c>
      <c r="B590" s="4" t="str">
        <f>IFERROR(__xludf.DUMMYFUNCTION("""COMPUTED_VALUE"""),"Base-enganche bolardo Acero")</f>
        <v>Base-enganche bolardo Acero</v>
      </c>
      <c r="C590" s="4">
        <f>IFERROR(__xludf.DUMMYFUNCTION("""COMPUTED_VALUE"""),59.0)</f>
        <v>59</v>
      </c>
      <c r="D590" s="4"/>
      <c r="E590" s="4" t="str">
        <f>IFERROR(__xludf.DUMMYFUNCTION("""COMPUTED_VALUE"""),"Sin precio neto")</f>
        <v>Sin precio neto</v>
      </c>
    </row>
    <row r="591">
      <c r="A591" s="4" t="str">
        <f>IFERROR(__xludf.DUMMYFUNCTION("""COMPUTED_VALUE"""),"0569LL")</f>
        <v>0569LL</v>
      </c>
      <c r="B591" s="4" t="str">
        <f>IFERROR(__xludf.DUMMYFUNCTION("""COMPUTED_VALUE"""),"Llave para enganche bolardo Acero")</f>
        <v>Llave para enganche bolardo Acero</v>
      </c>
      <c r="C591" s="4">
        <f>IFERROR(__xludf.DUMMYFUNCTION("""COMPUTED_VALUE"""),6.3)</f>
        <v>6.3</v>
      </c>
      <c r="D591" s="4"/>
      <c r="E591" s="4" t="str">
        <f>IFERROR(__xludf.DUMMYFUNCTION("""COMPUTED_VALUE"""),"Sin precio neto")</f>
        <v>Sin precio neto</v>
      </c>
    </row>
    <row r="592">
      <c r="A592" s="4" t="str">
        <f>IFERROR(__xludf.DUMMYFUNCTION("""COMPUTED_VALUE"""),"570")</f>
        <v>570</v>
      </c>
      <c r="B592" s="4" t="str">
        <f>IFERROR(__xludf.DUMMYFUNCTION("""COMPUTED_VALUE"""),"LLave para colocacion HIto H75")</f>
        <v>LLave para colocacion HIto H75</v>
      </c>
      <c r="C592" s="4">
        <f>IFERROR(__xludf.DUMMYFUNCTION("""COMPUTED_VALUE"""),16.95)</f>
        <v>16.95</v>
      </c>
      <c r="D592" s="4"/>
      <c r="E592" s="4" t="str">
        <f>IFERROR(__xludf.DUMMYFUNCTION("""COMPUTED_VALUE"""),"Sin precio neto")</f>
        <v>Sin precio neto</v>
      </c>
    </row>
    <row r="593">
      <c r="A593" s="4" t="str">
        <f>IFERROR(__xludf.DUMMYFUNCTION("""COMPUTED_VALUE"""),"571")</f>
        <v>571</v>
      </c>
      <c r="B593" s="4" t="str">
        <f>IFERROR(__xludf.DUMMYFUNCTION("""COMPUTED_VALUE"""),"Hito 75 cm c/base basculante Mod. B Verde")</f>
        <v>Hito 75 cm c/base basculante Mod. B Verde</v>
      </c>
      <c r="C593" s="4">
        <f>IFERROR(__xludf.DUMMYFUNCTION("""COMPUTED_VALUE"""),26.0)</f>
        <v>26</v>
      </c>
      <c r="D593" s="4"/>
      <c r="E593" s="4" t="str">
        <f>IFERROR(__xludf.DUMMYFUNCTION("""COMPUTED_VALUE"""),"Sin precio neto")</f>
        <v>Sin precio neto</v>
      </c>
    </row>
    <row r="594">
      <c r="A594" s="4" t="str">
        <f>IFERROR(__xludf.DUMMYFUNCTION("""COMPUTED_VALUE"""),"0571A")</f>
        <v>0571A</v>
      </c>
      <c r="B594" s="4" t="str">
        <f>IFERROR(__xludf.DUMMYFUNCTION("""COMPUTED_VALUE"""),"Hito 75 cm c/base basculante Mod. B Azul")</f>
        <v>Hito 75 cm c/base basculante Mod. B Azul</v>
      </c>
      <c r="C594" s="4">
        <f>IFERROR(__xludf.DUMMYFUNCTION("""COMPUTED_VALUE"""),26.0)</f>
        <v>26</v>
      </c>
      <c r="D594" s="4"/>
      <c r="E594" s="4" t="str">
        <f>IFERROR(__xludf.DUMMYFUNCTION("""COMPUTED_VALUE"""),"Sin precio neto")</f>
        <v>Sin precio neto</v>
      </c>
    </row>
    <row r="595">
      <c r="A595" s="4" t="str">
        <f>IFERROR(__xludf.DUMMYFUNCTION("""COMPUTED_VALUE"""),"574")</f>
        <v>574</v>
      </c>
      <c r="B595" s="4" t="str">
        <f>IFERROR(__xludf.DUMMYFUNCTION("""COMPUTED_VALUE"""),"Hito H-75 Polietileno azul Mod. A")</f>
        <v>Hito H-75 Polietileno azul Mod. A</v>
      </c>
      <c r="C595" s="4">
        <f>IFERROR(__xludf.DUMMYFUNCTION("""COMPUTED_VALUE"""),16.95)</f>
        <v>16.95</v>
      </c>
      <c r="D595" s="4">
        <f>IFERROR(__xludf.DUMMYFUNCTION("""COMPUTED_VALUE"""),15.5)</f>
        <v>15.5</v>
      </c>
      <c r="E595" s="4" t="str">
        <f>IFERROR(__xludf.DUMMYFUNCTION("""COMPUTED_VALUE"""),"Neto: 15,50 € (a partir de 12 uds.)")</f>
        <v>Neto: 15,50 € (a partir de 12 uds.)</v>
      </c>
    </row>
    <row r="596">
      <c r="A596" s="4" t="str">
        <f>IFERROR(__xludf.DUMMYFUNCTION("""COMPUTED_VALUE"""),"0574P")</f>
        <v>0574P</v>
      </c>
      <c r="B596" s="4" t="str">
        <f>IFERROR(__xludf.DUMMYFUNCTION("""COMPUTED_VALUE"""),"Hito H-50 Polietileno azul Mod. A")</f>
        <v>Hito H-50 Polietileno azul Mod. A</v>
      </c>
      <c r="C596" s="4">
        <f>IFERROR(__xludf.DUMMYFUNCTION("""COMPUTED_VALUE"""),13.75)</f>
        <v>13.75</v>
      </c>
      <c r="D596" s="4"/>
      <c r="E596" s="4" t="str">
        <f>IFERROR(__xludf.DUMMYFUNCTION("""COMPUTED_VALUE"""),"Sin precio neto")</f>
        <v>Sin precio neto</v>
      </c>
    </row>
    <row r="597">
      <c r="A597" s="4" t="str">
        <f>IFERROR(__xludf.DUMMYFUNCTION("""COMPUTED_VALUE"""),"0575A")</f>
        <v>0575A</v>
      </c>
      <c r="B597" s="4" t="str">
        <f>IFERROR(__xludf.DUMMYFUNCTION("""COMPUTED_VALUE"""),"Bandera señalizacion Mod. Basic Amarillo")</f>
        <v>Bandera señalizacion Mod. Basic Amarillo</v>
      </c>
      <c r="C597" s="4">
        <f>IFERROR(__xludf.DUMMYFUNCTION("""COMPUTED_VALUE"""),4.9)</f>
        <v>4.9</v>
      </c>
      <c r="D597" s="4"/>
      <c r="E597" s="4" t="str">
        <f>IFERROR(__xludf.DUMMYFUNCTION("""COMPUTED_VALUE"""),"Sin precio neto")</f>
        <v>Sin precio neto</v>
      </c>
    </row>
    <row r="598">
      <c r="A598" s="4" t="str">
        <f>IFERROR(__xludf.DUMMYFUNCTION("""COMPUTED_VALUE"""),"0575R")</f>
        <v>0575R</v>
      </c>
      <c r="B598" s="4" t="str">
        <f>IFERROR(__xludf.DUMMYFUNCTION("""COMPUTED_VALUE"""),"Bandera señalizacion Mod. Basic Rojo")</f>
        <v>Bandera señalizacion Mod. Basic Rojo</v>
      </c>
      <c r="C598" s="4">
        <f>IFERROR(__xludf.DUMMYFUNCTION("""COMPUTED_VALUE"""),4.9)</f>
        <v>4.9</v>
      </c>
      <c r="D598" s="4"/>
      <c r="E598" s="4" t="str">
        <f>IFERROR(__xludf.DUMMYFUNCTION("""COMPUTED_VALUE"""),"Sin precio neto")</f>
        <v>Sin precio neto</v>
      </c>
    </row>
    <row r="599">
      <c r="A599" s="4" t="str">
        <f>IFERROR(__xludf.DUMMYFUNCTION("""COMPUTED_VALUE"""),"0575V")</f>
        <v>0575V</v>
      </c>
      <c r="B599" s="4" t="str">
        <f>IFERROR(__xludf.DUMMYFUNCTION("""COMPUTED_VALUE"""),"Bandera señalizacion Mod. Basic Verde")</f>
        <v>Bandera señalizacion Mod. Basic Verde</v>
      </c>
      <c r="C599" s="4">
        <f>IFERROR(__xludf.DUMMYFUNCTION("""COMPUTED_VALUE"""),4.9)</f>
        <v>4.9</v>
      </c>
      <c r="D599" s="4"/>
      <c r="E599" s="4" t="str">
        <f>IFERROR(__xludf.DUMMYFUNCTION("""COMPUTED_VALUE"""),"Sin precio neto")</f>
        <v>Sin precio neto</v>
      </c>
    </row>
    <row r="600">
      <c r="A600" s="4" t="str">
        <f>IFERROR(__xludf.DUMMYFUNCTION("""COMPUTED_VALUE"""),"0575Z")</f>
        <v>0575Z</v>
      </c>
      <c r="B600" s="4" t="str">
        <f>IFERROR(__xludf.DUMMYFUNCTION("""COMPUTED_VALUE"""),"Bandera señalizacion Mod. Basic Azul")</f>
        <v>Bandera señalizacion Mod. Basic Azul</v>
      </c>
      <c r="C600" s="4">
        <f>IFERROR(__xludf.DUMMYFUNCTION("""COMPUTED_VALUE"""),4.9)</f>
        <v>4.9</v>
      </c>
      <c r="D600" s="4"/>
      <c r="E600" s="4" t="str">
        <f>IFERROR(__xludf.DUMMYFUNCTION("""COMPUTED_VALUE"""),"Sin precio neto")</f>
        <v>Sin precio neto</v>
      </c>
    </row>
    <row r="601">
      <c r="A601" s="4" t="str">
        <f>IFERROR(__xludf.DUMMYFUNCTION("""COMPUTED_VALUE"""),"576")</f>
        <v>576</v>
      </c>
      <c r="B601" s="4" t="str">
        <f>IFERROR(__xludf.DUMMYFUNCTION("""COMPUTED_VALUE"""),"Hito H-75 fijo Polietileno verde Mod. A")</f>
        <v>Hito H-75 fijo Polietileno verde Mod. A</v>
      </c>
      <c r="C601" s="4">
        <f>IFERROR(__xludf.DUMMYFUNCTION("""COMPUTED_VALUE"""),16.95)</f>
        <v>16.95</v>
      </c>
      <c r="D601" s="4">
        <f>IFERROR(__xludf.DUMMYFUNCTION("""COMPUTED_VALUE"""),15.5)</f>
        <v>15.5</v>
      </c>
      <c r="E601" s="4" t="str">
        <f>IFERROR(__xludf.DUMMYFUNCTION("""COMPUTED_VALUE"""),"Neto: 15,50 € (a partir de 12 uds.)")</f>
        <v>Neto: 15,50 € (a partir de 12 uds.)</v>
      </c>
    </row>
    <row r="602">
      <c r="A602" s="4" t="str">
        <f>IFERROR(__xludf.DUMMYFUNCTION("""COMPUTED_VALUE"""),"0576P")</f>
        <v>0576P</v>
      </c>
      <c r="B602" s="4" t="str">
        <f>IFERROR(__xludf.DUMMYFUNCTION("""COMPUTED_VALUE"""),"Hito H-50 fijo Polietileno verde Mod. A")</f>
        <v>Hito H-50 fijo Polietileno verde Mod. A</v>
      </c>
      <c r="C602" s="4">
        <f>IFERROR(__xludf.DUMMYFUNCTION("""COMPUTED_VALUE"""),13.75)</f>
        <v>13.75</v>
      </c>
      <c r="D602" s="4"/>
      <c r="E602" s="4" t="str">
        <f>IFERROR(__xludf.DUMMYFUNCTION("""COMPUTED_VALUE"""),"Sin precio neto")</f>
        <v>Sin precio neto</v>
      </c>
    </row>
    <row r="603">
      <c r="A603" s="4" t="str">
        <f>IFERROR(__xludf.DUMMYFUNCTION("""COMPUTED_VALUE"""),"0576T")</f>
        <v>0576T</v>
      </c>
      <c r="B603" s="4" t="str">
        <f>IFERROR(__xludf.DUMMYFUNCTION("""COMPUTED_VALUE"""),"Tornillo con casquillo para H-75")</f>
        <v>Tornillo con casquillo para H-75</v>
      </c>
      <c r="C603" s="4">
        <f>IFERROR(__xludf.DUMMYFUNCTION("""COMPUTED_VALUE"""),2.15)</f>
        <v>2.15</v>
      </c>
      <c r="D603" s="4"/>
      <c r="E603" s="4" t="str">
        <f>IFERROR(__xludf.DUMMYFUNCTION("""COMPUTED_VALUE"""),"Sin precio neto")</f>
        <v>Sin precio neto</v>
      </c>
    </row>
    <row r="604">
      <c r="A604" s="4" t="str">
        <f>IFERROR(__xludf.DUMMYFUNCTION("""COMPUTED_VALUE"""),"577")</f>
        <v>577</v>
      </c>
      <c r="B604" s="4" t="str">
        <f>IFERROR(__xludf.DUMMYFUNCTION("""COMPUTED_VALUE"""),"Señal Obra con mango STOP-PASO")</f>
        <v>Señal Obra con mango STOP-PASO</v>
      </c>
      <c r="C604" s="4">
        <f>IFERROR(__xludf.DUMMYFUNCTION("""COMPUTED_VALUE"""),4.9)</f>
        <v>4.9</v>
      </c>
      <c r="D604" s="4">
        <f>IFERROR(__xludf.DUMMYFUNCTION("""COMPUTED_VALUE"""),4.5)</f>
        <v>4.5</v>
      </c>
      <c r="E604" s="4" t="str">
        <f>IFERROR(__xludf.DUMMYFUNCTION("""COMPUTED_VALUE"""),"Neto: 4,50 € (a partir de 50 uds.)")</f>
        <v>Neto: 4,50 € (a partir de 50 uds.)</v>
      </c>
    </row>
    <row r="605">
      <c r="A605" s="4" t="str">
        <f>IFERROR(__xludf.DUMMYFUNCTION("""COMPUTED_VALUE"""),"0577A")</f>
        <v>0577A</v>
      </c>
      <c r="B605" s="4" t="str">
        <f>IFERROR(__xludf.DUMMYFUNCTION("""COMPUTED_VALUE"""),"Señal Stop/Paso con Mango Reforzada aluminio")</f>
        <v>Señal Stop/Paso con Mango Reforzada aluminio</v>
      </c>
      <c r="C605" s="4">
        <f>IFERROR(__xludf.DUMMYFUNCTION("""COMPUTED_VALUE"""),9.0)</f>
        <v>9</v>
      </c>
      <c r="D605" s="4"/>
      <c r="E605" s="4" t="str">
        <f>IFERROR(__xludf.DUMMYFUNCTION("""COMPUTED_VALUE"""),"Sin precio neto")</f>
        <v>Sin precio neto</v>
      </c>
    </row>
    <row r="606">
      <c r="A606" s="4" t="str">
        <f>IFERROR(__xludf.DUMMYFUNCTION("""COMPUTED_VALUE"""),"0577B")</f>
        <v>0577B</v>
      </c>
      <c r="B606" s="4" t="str">
        <f>IFERROR(__xludf.DUMMYFUNCTION("""COMPUTED_VALUE"""),"Señal Obra con mango STOP-PASO 1.5 m")</f>
        <v>Señal Obra con mango STOP-PASO 1.5 m</v>
      </c>
      <c r="C606" s="4">
        <f>IFERROR(__xludf.DUMMYFUNCTION("""COMPUTED_VALUE"""),7.75)</f>
        <v>7.75</v>
      </c>
      <c r="D606" s="4"/>
      <c r="E606" s="4" t="str">
        <f>IFERROR(__xludf.DUMMYFUNCTION("""COMPUTED_VALUE"""),"Sin precio neto")</f>
        <v>Sin precio neto</v>
      </c>
    </row>
    <row r="607">
      <c r="A607" s="4" t="str">
        <f>IFERROR(__xludf.DUMMYFUNCTION("""COMPUTED_VALUE"""),"578")</f>
        <v>578</v>
      </c>
      <c r="B607" s="4" t="str">
        <f>IFERROR(__xludf.DUMMYFUNCTION("""COMPUTED_VALUE"""),"Soporte metálica para señal bolsa")</f>
        <v>Soporte metálica para señal bolsa</v>
      </c>
      <c r="C607" s="4">
        <f>IFERROR(__xludf.DUMMYFUNCTION("""COMPUTED_VALUE"""),15.75)</f>
        <v>15.75</v>
      </c>
      <c r="D607" s="4">
        <f>IFERROR(__xludf.DUMMYFUNCTION("""COMPUTED_VALUE"""),15.5)</f>
        <v>15.5</v>
      </c>
      <c r="E607" s="4" t="str">
        <f>IFERROR(__xludf.DUMMYFUNCTION("""COMPUTED_VALUE"""),"Neto: 15,50 € (a partir de 2 uds.)")</f>
        <v>Neto: 15,50 € (a partir de 2 uds.)</v>
      </c>
    </row>
    <row r="608">
      <c r="A608" s="4" t="str">
        <f>IFERROR(__xludf.DUMMYFUNCTION("""COMPUTED_VALUE"""),"0579A")</f>
        <v>0579A</v>
      </c>
      <c r="B608" s="4" t="str">
        <f>IFERROR(__xludf.DUMMYFUNCTION("""COMPUTED_VALUE"""),"Pilona extraible PVC-EVA 810 mm Amarilla")</f>
        <v>Pilona extraible PVC-EVA 810 mm Amarilla</v>
      </c>
      <c r="C608" s="4">
        <f>IFERROR(__xludf.DUMMYFUNCTION("""COMPUTED_VALUE"""),46.0)</f>
        <v>46</v>
      </c>
      <c r="D608" s="4"/>
      <c r="E608" s="4" t="str">
        <f>IFERROR(__xludf.DUMMYFUNCTION("""COMPUTED_VALUE"""),"Sin precio neto")</f>
        <v>Sin precio neto</v>
      </c>
    </row>
    <row r="609">
      <c r="A609" s="4" t="str">
        <f>IFERROR(__xludf.DUMMYFUNCTION("""COMPUTED_VALUE"""),"0579B")</f>
        <v>0579B</v>
      </c>
      <c r="B609" s="4" t="str">
        <f>IFERROR(__xludf.DUMMYFUNCTION("""COMPUTED_VALUE"""),"Sistema extraible para pilona 0579")</f>
        <v>Sistema extraible para pilona 0579</v>
      </c>
      <c r="C609" s="4">
        <f>IFERROR(__xludf.DUMMYFUNCTION("""COMPUTED_VALUE"""),35.63)</f>
        <v>35.63</v>
      </c>
      <c r="D609" s="4"/>
      <c r="E609" s="4" t="str">
        <f>IFERROR(__xludf.DUMMYFUNCTION("""COMPUTED_VALUE"""),"Sin precio neto")</f>
        <v>Sin precio neto</v>
      </c>
    </row>
    <row r="610">
      <c r="A610" s="4" t="str">
        <f>IFERROR(__xludf.DUMMYFUNCTION("""COMPUTED_VALUE"""),"0579LL")</f>
        <v>0579LL</v>
      </c>
      <c r="B610" s="4" t="str">
        <f>IFERROR(__xludf.DUMMYFUNCTION("""COMPUTED_VALUE"""),"Llave para pilona extraible 0579")</f>
        <v>Llave para pilona extraible 0579</v>
      </c>
      <c r="C610" s="4">
        <f>IFERROR(__xludf.DUMMYFUNCTION("""COMPUTED_VALUE"""),8.0)</f>
        <v>8</v>
      </c>
      <c r="D610" s="4"/>
      <c r="E610" s="4" t="str">
        <f>IFERROR(__xludf.DUMMYFUNCTION("""COMPUTED_VALUE"""),"Sin precio neto")</f>
        <v>Sin precio neto</v>
      </c>
    </row>
    <row r="611">
      <c r="A611" s="4" t="str">
        <f>IFERROR(__xludf.DUMMYFUNCTION("""COMPUTED_VALUE"""),"0579N")</f>
        <v>0579N</v>
      </c>
      <c r="B611" s="4" t="str">
        <f>IFERROR(__xludf.DUMMYFUNCTION("""COMPUTED_VALUE"""),"Pilona Extraíble PVC-EVA 810 mm Negro")</f>
        <v>Pilona Extraíble PVC-EVA 810 mm Negro</v>
      </c>
      <c r="C611" s="4">
        <f>IFERROR(__xludf.DUMMYFUNCTION("""COMPUTED_VALUE"""),46.0)</f>
        <v>46</v>
      </c>
      <c r="D611" s="4"/>
      <c r="E611" s="4" t="str">
        <f>IFERROR(__xludf.DUMMYFUNCTION("""COMPUTED_VALUE"""),"Sin precio neto")</f>
        <v>Sin precio neto</v>
      </c>
    </row>
    <row r="612">
      <c r="A612" s="4" t="str">
        <f>IFERROR(__xludf.DUMMYFUNCTION("""COMPUTED_VALUE"""),"0579R")</f>
        <v>0579R</v>
      </c>
      <c r="B612" s="4" t="str">
        <f>IFERROR(__xludf.DUMMYFUNCTION("""COMPUTED_VALUE"""),"Pilona extraible PVC-EVA 810 mm Rojo")</f>
        <v>Pilona extraible PVC-EVA 810 mm Rojo</v>
      </c>
      <c r="C612" s="4">
        <f>IFERROR(__xludf.DUMMYFUNCTION("""COMPUTED_VALUE"""),46.0)</f>
        <v>46</v>
      </c>
      <c r="D612" s="4"/>
      <c r="E612" s="4" t="str">
        <f>IFERROR(__xludf.DUMMYFUNCTION("""COMPUTED_VALUE"""),"Sin precio neto")</f>
        <v>Sin precio neto</v>
      </c>
    </row>
    <row r="613">
      <c r="A613" s="4" t="str">
        <f>IFERROR(__xludf.DUMMYFUNCTION("""COMPUTED_VALUE"""),"0579V")</f>
        <v>0579V</v>
      </c>
      <c r="B613" s="4" t="str">
        <f>IFERROR(__xludf.DUMMYFUNCTION("""COMPUTED_VALUE"""),"Pilona extraible PVC-EVA 810 mm Verde")</f>
        <v>Pilona extraible PVC-EVA 810 mm Verde</v>
      </c>
      <c r="C613" s="4">
        <f>IFERROR(__xludf.DUMMYFUNCTION("""COMPUTED_VALUE"""),46.0)</f>
        <v>46</v>
      </c>
      <c r="D613" s="4"/>
      <c r="E613" s="4" t="str">
        <f>IFERROR(__xludf.DUMMYFUNCTION("""COMPUTED_VALUE"""),"Sin precio neto")</f>
        <v>Sin precio neto</v>
      </c>
    </row>
    <row r="614">
      <c r="A614" s="4" t="str">
        <f>IFERROR(__xludf.DUMMYFUNCTION("""COMPUTED_VALUE"""),"0579Z")</f>
        <v>0579Z</v>
      </c>
      <c r="B614" s="4" t="str">
        <f>IFERROR(__xludf.DUMMYFUNCTION("""COMPUTED_VALUE"""),"Pilona extraible PVC-EVA 810 mm Azul")</f>
        <v>Pilona extraible PVC-EVA 810 mm Azul</v>
      </c>
      <c r="C614" s="4">
        <f>IFERROR(__xludf.DUMMYFUNCTION("""COMPUTED_VALUE"""),46.0)</f>
        <v>46</v>
      </c>
      <c r="D614" s="4"/>
      <c r="E614" s="4" t="str">
        <f>IFERROR(__xludf.DUMMYFUNCTION("""COMPUTED_VALUE"""),"Sin precio neto")</f>
        <v>Sin precio neto</v>
      </c>
    </row>
    <row r="615">
      <c r="A615" s="4" t="str">
        <f>IFERROR(__xludf.DUMMYFUNCTION("""COMPUTED_VALUE"""),"0580A")</f>
        <v>0580A</v>
      </c>
      <c r="B615" s="4" t="str">
        <f>IFERROR(__xludf.DUMMYFUNCTION("""COMPUTED_VALUE"""),"Pilona fija PVC-EVA 810 mm Amarillo con peana")</f>
        <v>Pilona fija PVC-EVA 810 mm Amarillo con peana</v>
      </c>
      <c r="C615" s="4">
        <f>IFERROR(__xludf.DUMMYFUNCTION("""COMPUTED_VALUE"""),47.0)</f>
        <v>47</v>
      </c>
      <c r="D615" s="4"/>
      <c r="E615" s="4" t="str">
        <f>IFERROR(__xludf.DUMMYFUNCTION("""COMPUTED_VALUE"""),"Sin precio neto")</f>
        <v>Sin precio neto</v>
      </c>
    </row>
    <row r="616">
      <c r="A616" s="4" t="str">
        <f>IFERROR(__xludf.DUMMYFUNCTION("""COMPUTED_VALUE"""),"0580N")</f>
        <v>0580N</v>
      </c>
      <c r="B616" s="4" t="str">
        <f>IFERROR(__xludf.DUMMYFUNCTION("""COMPUTED_VALUE"""),"Pilona fija PVC-EVA 810 mm Negro con peana")</f>
        <v>Pilona fija PVC-EVA 810 mm Negro con peana</v>
      </c>
      <c r="C616" s="4">
        <f>IFERROR(__xludf.DUMMYFUNCTION("""COMPUTED_VALUE"""),47.0)</f>
        <v>47</v>
      </c>
      <c r="D616" s="4"/>
      <c r="E616" s="4" t="str">
        <f>IFERROR(__xludf.DUMMYFUNCTION("""COMPUTED_VALUE"""),"Sin precio neto")</f>
        <v>Sin precio neto</v>
      </c>
    </row>
    <row r="617">
      <c r="A617" s="4" t="str">
        <f>IFERROR(__xludf.DUMMYFUNCTION("""COMPUTED_VALUE"""),"0580R")</f>
        <v>0580R</v>
      </c>
      <c r="B617" s="4" t="str">
        <f>IFERROR(__xludf.DUMMYFUNCTION("""COMPUTED_VALUE"""),"Pilona fija PVC-EVA 810 mm Rojo con peana")</f>
        <v>Pilona fija PVC-EVA 810 mm Rojo con peana</v>
      </c>
      <c r="C617" s="4">
        <f>IFERROR(__xludf.DUMMYFUNCTION("""COMPUTED_VALUE"""),47.0)</f>
        <v>47</v>
      </c>
      <c r="D617" s="4"/>
      <c r="E617" s="4" t="str">
        <f>IFERROR(__xludf.DUMMYFUNCTION("""COMPUTED_VALUE"""),"Sin precio neto")</f>
        <v>Sin precio neto</v>
      </c>
    </row>
    <row r="618">
      <c r="A618" s="4" t="str">
        <f>IFERROR(__xludf.DUMMYFUNCTION("""COMPUTED_VALUE"""),"0580V")</f>
        <v>0580V</v>
      </c>
      <c r="B618" s="4" t="str">
        <f>IFERROR(__xludf.DUMMYFUNCTION("""COMPUTED_VALUE"""),"Pilona fija PVC-EVA 810 mm Verde con peana")</f>
        <v>Pilona fija PVC-EVA 810 mm Verde con peana</v>
      </c>
      <c r="C618" s="4">
        <f>IFERROR(__xludf.DUMMYFUNCTION("""COMPUTED_VALUE"""),47.0)</f>
        <v>47</v>
      </c>
      <c r="D618" s="4"/>
      <c r="E618" s="4" t="str">
        <f>IFERROR(__xludf.DUMMYFUNCTION("""COMPUTED_VALUE"""),"Sin precio neto")</f>
        <v>Sin precio neto</v>
      </c>
    </row>
    <row r="619">
      <c r="A619" s="4" t="str">
        <f>IFERROR(__xludf.DUMMYFUNCTION("""COMPUTED_VALUE"""),"0580Z")</f>
        <v>0580Z</v>
      </c>
      <c r="B619" s="4" t="str">
        <f>IFERROR(__xludf.DUMMYFUNCTION("""COMPUTED_VALUE"""),"Pilona fija PVC-EVA 810 mm Azul con peana")</f>
        <v>Pilona fija PVC-EVA 810 mm Azul con peana</v>
      </c>
      <c r="C619" s="4">
        <f>IFERROR(__xludf.DUMMYFUNCTION("""COMPUTED_VALUE"""),47.0)</f>
        <v>47</v>
      </c>
      <c r="D619" s="4"/>
      <c r="E619" s="4" t="str">
        <f>IFERROR(__xludf.DUMMYFUNCTION("""COMPUTED_VALUE"""),"Sin precio neto")</f>
        <v>Sin precio neto</v>
      </c>
    </row>
    <row r="620">
      <c r="A620" s="4" t="str">
        <f>IFERROR(__xludf.DUMMYFUNCTION("""COMPUTED_VALUE"""),"581")</f>
        <v>581</v>
      </c>
      <c r="B620" s="4" t="str">
        <f>IFERROR(__xludf.DUMMYFUNCTION("""COMPUTED_VALUE"""),"Hito 100 cm PVC blando Naranja Mod.J")</f>
        <v>Hito 100 cm PVC blando Naranja Mod.J</v>
      </c>
      <c r="C620" s="4">
        <f>IFERROR(__xludf.DUMMYFUNCTION("""COMPUTED_VALUE"""),22.1)</f>
        <v>22.1</v>
      </c>
      <c r="D620" s="4"/>
      <c r="E620" s="4" t="str">
        <f>IFERROR(__xludf.DUMMYFUNCTION("""COMPUTED_VALUE"""),"Sin precio neto")</f>
        <v>Sin precio neto</v>
      </c>
    </row>
    <row r="621">
      <c r="A621" s="4" t="str">
        <f>IFERROR(__xludf.DUMMYFUNCTION("""COMPUTED_VALUE"""),"0581A")</f>
        <v>0581A</v>
      </c>
      <c r="B621" s="4" t="str">
        <f>IFERROR(__xludf.DUMMYFUNCTION("""COMPUTED_VALUE"""),"Hito 100 cm PVC blando Azul Mod.J")</f>
        <v>Hito 100 cm PVC blando Azul Mod.J</v>
      </c>
      <c r="C621" s="4">
        <f>IFERROR(__xludf.DUMMYFUNCTION("""COMPUTED_VALUE"""),22.1)</f>
        <v>22.1</v>
      </c>
      <c r="D621" s="4"/>
      <c r="E621" s="4" t="str">
        <f>IFERROR(__xludf.DUMMYFUNCTION("""COMPUTED_VALUE"""),"Sin precio neto")</f>
        <v>Sin precio neto</v>
      </c>
    </row>
    <row r="622">
      <c r="A622" s="4" t="str">
        <f>IFERROR(__xludf.DUMMYFUNCTION("""COMPUTED_VALUE"""),"0581AM")</f>
        <v>0581AM</v>
      </c>
      <c r="B622" s="4" t="str">
        <f>IFERROR(__xludf.DUMMYFUNCTION("""COMPUTED_VALUE"""),"Hito 100 cm PVC blando Amarillo Mod.J")</f>
        <v>Hito 100 cm PVC blando Amarillo Mod.J</v>
      </c>
      <c r="C622" s="4">
        <f>IFERROR(__xludf.DUMMYFUNCTION("""COMPUTED_VALUE"""),22.1)</f>
        <v>22.1</v>
      </c>
      <c r="D622" s="4"/>
      <c r="E622" s="4" t="str">
        <f>IFERROR(__xludf.DUMMYFUNCTION("""COMPUTED_VALUE"""),"Sin precio neto")</f>
        <v>Sin precio neto</v>
      </c>
    </row>
    <row r="623">
      <c r="A623" s="4" t="str">
        <f>IFERROR(__xludf.DUMMYFUNCTION("""COMPUTED_VALUE"""),"0581B")</f>
        <v>0581B</v>
      </c>
      <c r="B623" s="4" t="str">
        <f>IFERROR(__xludf.DUMMYFUNCTION("""COMPUTED_VALUE"""),"Hito 100 cm PVC blando Blanco Mod.J")</f>
        <v>Hito 100 cm PVC blando Blanco Mod.J</v>
      </c>
      <c r="C623" s="4">
        <f>IFERROR(__xludf.DUMMYFUNCTION("""COMPUTED_VALUE"""),22.1)</f>
        <v>22.1</v>
      </c>
      <c r="D623" s="4"/>
      <c r="E623" s="4" t="str">
        <f>IFERROR(__xludf.DUMMYFUNCTION("""COMPUTED_VALUE"""),"Sin precio neto")</f>
        <v>Sin precio neto</v>
      </c>
    </row>
    <row r="624">
      <c r="A624" s="4" t="str">
        <f>IFERROR(__xludf.DUMMYFUNCTION("""COMPUTED_VALUE"""),"0581NE")</f>
        <v>0581NE</v>
      </c>
      <c r="B624" s="4" t="str">
        <f>IFERROR(__xludf.DUMMYFUNCTION("""COMPUTED_VALUE"""),"Hito 100 cm PVC blando Negro Mod.J")</f>
        <v>Hito 100 cm PVC blando Negro Mod.J</v>
      </c>
      <c r="C624" s="4">
        <f>IFERROR(__xludf.DUMMYFUNCTION("""COMPUTED_VALUE"""),22.1)</f>
        <v>22.1</v>
      </c>
      <c r="D624" s="4"/>
      <c r="E624" s="4" t="str">
        <f>IFERROR(__xludf.DUMMYFUNCTION("""COMPUTED_VALUE"""),"Sin precio neto")</f>
        <v>Sin precio neto</v>
      </c>
    </row>
    <row r="625">
      <c r="A625" s="4" t="str">
        <f>IFERROR(__xludf.DUMMYFUNCTION("""COMPUTED_VALUE"""),"0581R")</f>
        <v>0581R</v>
      </c>
      <c r="B625" s="4" t="str">
        <f>IFERROR(__xludf.DUMMYFUNCTION("""COMPUTED_VALUE"""),"Hito 100 cm PVC blando Rojo Mod.J")</f>
        <v>Hito 100 cm PVC blando Rojo Mod.J</v>
      </c>
      <c r="C625" s="4">
        <f>IFERROR(__xludf.DUMMYFUNCTION("""COMPUTED_VALUE"""),22.1)</f>
        <v>22.1</v>
      </c>
      <c r="D625" s="4"/>
      <c r="E625" s="4" t="str">
        <f>IFERROR(__xludf.DUMMYFUNCTION("""COMPUTED_VALUE"""),"Sin precio neto")</f>
        <v>Sin precio neto</v>
      </c>
    </row>
    <row r="626">
      <c r="A626" s="4" t="str">
        <f>IFERROR(__xludf.DUMMYFUNCTION("""COMPUTED_VALUE"""),"0581V")</f>
        <v>0581V</v>
      </c>
      <c r="B626" s="4" t="str">
        <f>IFERROR(__xludf.DUMMYFUNCTION("""COMPUTED_VALUE"""),"Hito 100 cm PVC blando Verde Mod.J")</f>
        <v>Hito 100 cm PVC blando Verde Mod.J</v>
      </c>
      <c r="C626" s="4">
        <f>IFERROR(__xludf.DUMMYFUNCTION("""COMPUTED_VALUE"""),22.1)</f>
        <v>22.1</v>
      </c>
      <c r="D626" s="4"/>
      <c r="E626" s="4" t="str">
        <f>IFERROR(__xludf.DUMMYFUNCTION("""COMPUTED_VALUE"""),"Sin precio neto")</f>
        <v>Sin precio neto</v>
      </c>
    </row>
    <row r="627">
      <c r="A627" s="4" t="str">
        <f>IFERROR(__xludf.DUMMYFUNCTION("""COMPUTED_VALUE"""),"582")</f>
        <v>582</v>
      </c>
      <c r="B627" s="4" t="str">
        <f>IFERROR(__xludf.DUMMYFUNCTION("""COMPUTED_VALUE"""),"Hito H-75 flexible E.V.A. verde Mod. C Plus")</f>
        <v>Hito H-75 flexible E.V.A. verde Mod. C Plus</v>
      </c>
      <c r="C627" s="4">
        <f>IFERROR(__xludf.DUMMYFUNCTION("""COMPUTED_VALUE"""),22.25)</f>
        <v>22.25</v>
      </c>
      <c r="D627" s="4">
        <f>IFERROR(__xludf.DUMMYFUNCTION("""COMPUTED_VALUE"""),17.5)</f>
        <v>17.5</v>
      </c>
      <c r="E627" s="4" t="str">
        <f>IFERROR(__xludf.DUMMYFUNCTION("""COMPUTED_VALUE"""),"Neto: 17,50 € (a partir de 12 uds.)")</f>
        <v>Neto: 17,50 € (a partir de 12 uds.)</v>
      </c>
    </row>
    <row r="628">
      <c r="A628" s="4" t="str">
        <f>IFERROR(__xludf.DUMMYFUNCTION("""COMPUTED_VALUE"""),"0582P")</f>
        <v>0582P</v>
      </c>
      <c r="B628" s="4" t="str">
        <f>IFERROR(__xludf.DUMMYFUNCTION("""COMPUTED_VALUE"""),"Hito H-50 flexible E.V.A. verde Mod. C Plus")</f>
        <v>Hito H-50 flexible E.V.A. verde Mod. C Plus</v>
      </c>
      <c r="C628" s="4">
        <f>IFERROR(__xludf.DUMMYFUNCTION("""COMPUTED_VALUE"""),16.25)</f>
        <v>16.25</v>
      </c>
      <c r="D628" s="4"/>
      <c r="E628" s="4" t="str">
        <f>IFERROR(__xludf.DUMMYFUNCTION("""COMPUTED_VALUE"""),"Sin precio neto")</f>
        <v>Sin precio neto</v>
      </c>
    </row>
    <row r="629">
      <c r="A629" s="4" t="str">
        <f>IFERROR(__xludf.DUMMYFUNCTION("""COMPUTED_VALUE"""),"583")</f>
        <v>583</v>
      </c>
      <c r="B629" s="4" t="str">
        <f>IFERROR(__xludf.DUMMYFUNCTION("""COMPUTED_VALUE"""),"Hito H-75 flexible E.V.A. azul Mod. C Plus")</f>
        <v>Hito H-75 flexible E.V.A. azul Mod. C Plus</v>
      </c>
      <c r="C629" s="4">
        <f>IFERROR(__xludf.DUMMYFUNCTION("""COMPUTED_VALUE"""),22.25)</f>
        <v>22.25</v>
      </c>
      <c r="D629" s="4">
        <f>IFERROR(__xludf.DUMMYFUNCTION("""COMPUTED_VALUE"""),17.5)</f>
        <v>17.5</v>
      </c>
      <c r="E629" s="4" t="str">
        <f>IFERROR(__xludf.DUMMYFUNCTION("""COMPUTED_VALUE"""),"Neto: 17,50 € (a partir de 12 uds.)")</f>
        <v>Neto: 17,50 € (a partir de 12 uds.)</v>
      </c>
    </row>
    <row r="630">
      <c r="A630" s="4" t="str">
        <f>IFERROR(__xludf.DUMMYFUNCTION("""COMPUTED_VALUE"""),"0583P")</f>
        <v>0583P</v>
      </c>
      <c r="B630" s="4" t="str">
        <f>IFERROR(__xludf.DUMMYFUNCTION("""COMPUTED_VALUE"""),"Hito H-50 flexible E.V.A. azul Mod. C Plus")</f>
        <v>Hito H-50 flexible E.V.A. azul Mod. C Plus</v>
      </c>
      <c r="C630" s="4">
        <f>IFERROR(__xludf.DUMMYFUNCTION("""COMPUTED_VALUE"""),16.25)</f>
        <v>16.25</v>
      </c>
      <c r="D630" s="4"/>
      <c r="E630" s="4" t="str">
        <f>IFERROR(__xludf.DUMMYFUNCTION("""COMPUTED_VALUE"""),"Sin precio neto")</f>
        <v>Sin precio neto</v>
      </c>
    </row>
    <row r="631">
      <c r="A631" s="4" t="str">
        <f>IFERROR(__xludf.DUMMYFUNCTION("""COMPUTED_VALUE"""),"584")</f>
        <v>584</v>
      </c>
      <c r="B631" s="4" t="str">
        <f>IFERROR(__xludf.DUMMYFUNCTION("""COMPUTED_VALUE"""),"Hito H-75 flexible E.V.A. rojo Mod. C Plus")</f>
        <v>Hito H-75 flexible E.V.A. rojo Mod. C Plus</v>
      </c>
      <c r="C631" s="4">
        <f>IFERROR(__xludf.DUMMYFUNCTION("""COMPUTED_VALUE"""),22.25)</f>
        <v>22.25</v>
      </c>
      <c r="D631" s="4">
        <f>IFERROR(__xludf.DUMMYFUNCTION("""COMPUTED_VALUE"""),17.5)</f>
        <v>17.5</v>
      </c>
      <c r="E631" s="4" t="str">
        <f>IFERROR(__xludf.DUMMYFUNCTION("""COMPUTED_VALUE"""),"Neto: 17,50 € (a partir de 12 uds.)")</f>
        <v>Neto: 17,50 € (a partir de 12 uds.)</v>
      </c>
    </row>
    <row r="632">
      <c r="A632" s="4" t="str">
        <f>IFERROR(__xludf.DUMMYFUNCTION("""COMPUTED_VALUE"""),"0584P")</f>
        <v>0584P</v>
      </c>
      <c r="B632" s="4" t="str">
        <f>IFERROR(__xludf.DUMMYFUNCTION("""COMPUTED_VALUE"""),"Hito H-50 flexible E.V.A. rojo Mod. C Plus")</f>
        <v>Hito H-50 flexible E.V.A. rojo Mod. C Plus</v>
      </c>
      <c r="C632" s="4">
        <f>IFERROR(__xludf.DUMMYFUNCTION("""COMPUTED_VALUE"""),16.25)</f>
        <v>16.25</v>
      </c>
      <c r="D632" s="4"/>
      <c r="E632" s="4" t="str">
        <f>IFERROR(__xludf.DUMMYFUNCTION("""COMPUTED_VALUE"""),"Sin precio neto")</f>
        <v>Sin precio neto</v>
      </c>
    </row>
    <row r="633">
      <c r="A633" s="4" t="str">
        <f>IFERROR(__xludf.DUMMYFUNCTION("""COMPUTED_VALUE"""),"585")</f>
        <v>585</v>
      </c>
      <c r="B633" s="4" t="str">
        <f>IFERROR(__xludf.DUMMYFUNCTION("""COMPUTED_VALUE"""),"Hito H-75 flexible E.V.A. amarillo Mod. C plus")</f>
        <v>Hito H-75 flexible E.V.A. amarillo Mod. C plus</v>
      </c>
      <c r="C633" s="4">
        <f>IFERROR(__xludf.DUMMYFUNCTION("""COMPUTED_VALUE"""),22.05)</f>
        <v>22.05</v>
      </c>
      <c r="D633" s="4">
        <f>IFERROR(__xludf.DUMMYFUNCTION("""COMPUTED_VALUE"""),17.5)</f>
        <v>17.5</v>
      </c>
      <c r="E633" s="4" t="str">
        <f>IFERROR(__xludf.DUMMYFUNCTION("""COMPUTED_VALUE"""),"Neto: 17,50 € (a partir de 12 uds.)")</f>
        <v>Neto: 17,50 € (a partir de 12 uds.)</v>
      </c>
    </row>
    <row r="634">
      <c r="A634" s="4" t="str">
        <f>IFERROR(__xludf.DUMMYFUNCTION("""COMPUTED_VALUE"""),"0585P")</f>
        <v>0585P</v>
      </c>
      <c r="B634" s="4" t="str">
        <f>IFERROR(__xludf.DUMMYFUNCTION("""COMPUTED_VALUE"""),"Hito H-50 flexible E.V.A. amarillo Mod. C Plus")</f>
        <v>Hito H-50 flexible E.V.A. amarillo Mod. C Plus</v>
      </c>
      <c r="C634" s="4">
        <f>IFERROR(__xludf.DUMMYFUNCTION("""COMPUTED_VALUE"""),16.25)</f>
        <v>16.25</v>
      </c>
      <c r="D634" s="4"/>
      <c r="E634" s="4" t="str">
        <f>IFERROR(__xludf.DUMMYFUNCTION("""COMPUTED_VALUE"""),"Sin precio neto")</f>
        <v>Sin precio neto</v>
      </c>
    </row>
    <row r="635">
      <c r="A635" s="4" t="str">
        <f>IFERROR(__xludf.DUMMYFUNCTION("""COMPUTED_VALUE"""),"586")</f>
        <v>586</v>
      </c>
      <c r="B635" s="4" t="str">
        <f>IFERROR(__xludf.DUMMYFUNCTION("""COMPUTED_VALUE"""),"Hito H-75 fijo Polietileno rojo Mod. A")</f>
        <v>Hito H-75 fijo Polietileno rojo Mod. A</v>
      </c>
      <c r="C635" s="4">
        <f>IFERROR(__xludf.DUMMYFUNCTION("""COMPUTED_VALUE"""),16.95)</f>
        <v>16.95</v>
      </c>
      <c r="D635" s="4">
        <f>IFERROR(__xludf.DUMMYFUNCTION("""COMPUTED_VALUE"""),15.5)</f>
        <v>15.5</v>
      </c>
      <c r="E635" s="4" t="str">
        <f>IFERROR(__xludf.DUMMYFUNCTION("""COMPUTED_VALUE"""),"Neto: 15,50 € (a partir de 12 uds.)")</f>
        <v>Neto: 15,50 € (a partir de 12 uds.)</v>
      </c>
    </row>
    <row r="636">
      <c r="A636" s="4" t="str">
        <f>IFERROR(__xludf.DUMMYFUNCTION("""COMPUTED_VALUE"""),"0586P")</f>
        <v>0586P</v>
      </c>
      <c r="B636" s="4" t="str">
        <f>IFERROR(__xludf.DUMMYFUNCTION("""COMPUTED_VALUE"""),"Hito H-50 fijo Polietilieno rojo Mod. A")</f>
        <v>Hito H-50 fijo Polietilieno rojo Mod. A</v>
      </c>
      <c r="C636" s="4">
        <f>IFERROR(__xludf.DUMMYFUNCTION("""COMPUTED_VALUE"""),13.75)</f>
        <v>13.75</v>
      </c>
      <c r="D636" s="4"/>
      <c r="E636" s="4" t="str">
        <f>IFERROR(__xludf.DUMMYFUNCTION("""COMPUTED_VALUE"""),"Sin precio neto")</f>
        <v>Sin precio neto</v>
      </c>
    </row>
    <row r="637">
      <c r="A637" s="4" t="str">
        <f>IFERROR(__xludf.DUMMYFUNCTION("""COMPUTED_VALUE"""),"587")</f>
        <v>587</v>
      </c>
      <c r="B637" s="4" t="str">
        <f>IFERROR(__xludf.DUMMYFUNCTION("""COMPUTED_VALUE"""),"Hito H-75 fijo Polietileno amarillo Mod. A")</f>
        <v>Hito H-75 fijo Polietileno amarillo Mod. A</v>
      </c>
      <c r="C637" s="4">
        <f>IFERROR(__xludf.DUMMYFUNCTION("""COMPUTED_VALUE"""),16.95)</f>
        <v>16.95</v>
      </c>
      <c r="D637" s="4">
        <f>IFERROR(__xludf.DUMMYFUNCTION("""COMPUTED_VALUE"""),15.5)</f>
        <v>15.5</v>
      </c>
      <c r="E637" s="4" t="str">
        <f>IFERROR(__xludf.DUMMYFUNCTION("""COMPUTED_VALUE"""),"Neto: 15,50 € (a partir de 12 uds.)")</f>
        <v>Neto: 15,50 € (a partir de 12 uds.)</v>
      </c>
    </row>
    <row r="638">
      <c r="A638" s="4" t="str">
        <f>IFERROR(__xludf.DUMMYFUNCTION("""COMPUTED_VALUE"""),"0587P")</f>
        <v>0587P</v>
      </c>
      <c r="B638" s="4" t="str">
        <f>IFERROR(__xludf.DUMMYFUNCTION("""COMPUTED_VALUE"""),"Hito H-50 Polietileno amarillo Mod. A")</f>
        <v>Hito H-50 Polietileno amarillo Mod. A</v>
      </c>
      <c r="C638" s="4">
        <f>IFERROR(__xludf.DUMMYFUNCTION("""COMPUTED_VALUE"""),13.75)</f>
        <v>13.75</v>
      </c>
      <c r="D638" s="4"/>
      <c r="E638" s="4" t="str">
        <f>IFERROR(__xludf.DUMMYFUNCTION("""COMPUTED_VALUE"""),"Sin precio neto")</f>
        <v>Sin precio neto</v>
      </c>
    </row>
    <row r="639">
      <c r="A639" s="4" t="str">
        <f>IFERROR(__xludf.DUMMYFUNCTION("""COMPUTED_VALUE"""),"588")</f>
        <v>588</v>
      </c>
      <c r="B639" s="4" t="str">
        <f>IFERROR(__xludf.DUMMYFUNCTION("""COMPUTED_VALUE"""),"Hito 75 cm PVC blando Naranja Mod. E")</f>
        <v>Hito 75 cm PVC blando Naranja Mod. E</v>
      </c>
      <c r="C639" s="4">
        <f>IFERROR(__xludf.DUMMYFUNCTION("""COMPUTED_VALUE"""),13.75)</f>
        <v>13.75</v>
      </c>
      <c r="D639" s="4">
        <f>IFERROR(__xludf.DUMMYFUNCTION("""COMPUTED_VALUE"""),12.5)</f>
        <v>12.5</v>
      </c>
      <c r="E639" s="4" t="str">
        <f>IFERROR(__xludf.DUMMYFUNCTION("""COMPUTED_VALUE"""),"Neto: 12,50 € (a partir de 8 uds.)")</f>
        <v>Neto: 12,50 € (a partir de 8 uds.)</v>
      </c>
    </row>
    <row r="640">
      <c r="A640" s="4" t="str">
        <f>IFERROR(__xludf.DUMMYFUNCTION("""COMPUTED_VALUE"""),"0588A")</f>
        <v>0588A</v>
      </c>
      <c r="B640" s="4" t="str">
        <f>IFERROR(__xludf.DUMMYFUNCTION("""COMPUTED_VALUE"""),"Hito 75 cm PVC blando Azul Mod. E")</f>
        <v>Hito 75 cm PVC blando Azul Mod. E</v>
      </c>
      <c r="C640" s="4">
        <f>IFERROR(__xludf.DUMMYFUNCTION("""COMPUTED_VALUE"""),13.75)</f>
        <v>13.75</v>
      </c>
      <c r="D640" s="4">
        <f>IFERROR(__xludf.DUMMYFUNCTION("""COMPUTED_VALUE"""),12.5)</f>
        <v>12.5</v>
      </c>
      <c r="E640" s="4" t="str">
        <f>IFERROR(__xludf.DUMMYFUNCTION("""COMPUTED_VALUE"""),"Neto: 12,50 € (a partir de 8 uds.)")</f>
        <v>Neto: 12,50 € (a partir de 8 uds.)</v>
      </c>
    </row>
    <row r="641">
      <c r="A641" s="4" t="str">
        <f>IFERROR(__xludf.DUMMYFUNCTION("""COMPUTED_VALUE"""),"0588AM")</f>
        <v>0588AM</v>
      </c>
      <c r="B641" s="4" t="str">
        <f>IFERROR(__xludf.DUMMYFUNCTION("""COMPUTED_VALUE"""),"Hito 75 cm PVC blando Amarillo Mod. E")</f>
        <v>Hito 75 cm PVC blando Amarillo Mod. E</v>
      </c>
      <c r="C641" s="4">
        <f>IFERROR(__xludf.DUMMYFUNCTION("""COMPUTED_VALUE"""),13.75)</f>
        <v>13.75</v>
      </c>
      <c r="D641" s="4">
        <f>IFERROR(__xludf.DUMMYFUNCTION("""COMPUTED_VALUE"""),12.5)</f>
        <v>12.5</v>
      </c>
      <c r="E641" s="4" t="str">
        <f>IFERROR(__xludf.DUMMYFUNCTION("""COMPUTED_VALUE"""),"Neto: 12,50 € (a partir de 8 uds.)")</f>
        <v>Neto: 12,50 € (a partir de 8 uds.)</v>
      </c>
    </row>
    <row r="642">
      <c r="A642" s="4" t="str">
        <f>IFERROR(__xludf.DUMMYFUNCTION("""COMPUTED_VALUE"""),"0588B")</f>
        <v>0588B</v>
      </c>
      <c r="B642" s="4" t="str">
        <f>IFERROR(__xludf.DUMMYFUNCTION("""COMPUTED_VALUE"""),"HIto 75 cm PVC blando Blanco Mod. E")</f>
        <v>HIto 75 cm PVC blando Blanco Mod. E</v>
      </c>
      <c r="C642" s="4">
        <f>IFERROR(__xludf.DUMMYFUNCTION("""COMPUTED_VALUE"""),13.75)</f>
        <v>13.75</v>
      </c>
      <c r="D642" s="4">
        <f>IFERROR(__xludf.DUMMYFUNCTION("""COMPUTED_VALUE"""),12.5)</f>
        <v>12.5</v>
      </c>
      <c r="E642" s="4" t="str">
        <f>IFERROR(__xludf.DUMMYFUNCTION("""COMPUTED_VALUE"""),"Neto: 12,50 € (a partir de 8 uds.)")</f>
        <v>Neto: 12,50 € (a partir de 8 uds.)</v>
      </c>
    </row>
    <row r="643">
      <c r="A643" s="4" t="str">
        <f>IFERROR(__xludf.DUMMYFUNCTION("""COMPUTED_VALUE"""),"0588NE")</f>
        <v>0588NE</v>
      </c>
      <c r="B643" s="4" t="str">
        <f>IFERROR(__xludf.DUMMYFUNCTION("""COMPUTED_VALUE"""),"Hito 75 cm PVC blando Negro Mod. E")</f>
        <v>Hito 75 cm PVC blando Negro Mod. E</v>
      </c>
      <c r="C643" s="4">
        <f>IFERROR(__xludf.DUMMYFUNCTION("""COMPUTED_VALUE"""),13.75)</f>
        <v>13.75</v>
      </c>
      <c r="D643" s="4">
        <f>IFERROR(__xludf.DUMMYFUNCTION("""COMPUTED_VALUE"""),12.5)</f>
        <v>12.5</v>
      </c>
      <c r="E643" s="4" t="str">
        <f>IFERROR(__xludf.DUMMYFUNCTION("""COMPUTED_VALUE"""),"Neto: 12,50 € (a partir de 8 uds.)")</f>
        <v>Neto: 12,50 € (a partir de 8 uds.)</v>
      </c>
    </row>
    <row r="644">
      <c r="A644" s="4" t="str">
        <f>IFERROR(__xludf.DUMMYFUNCTION("""COMPUTED_VALUE"""),"0588R")</f>
        <v>0588R</v>
      </c>
      <c r="B644" s="4" t="str">
        <f>IFERROR(__xludf.DUMMYFUNCTION("""COMPUTED_VALUE"""),"Hito 75 cm PVC blando Rojo Mod. E")</f>
        <v>Hito 75 cm PVC blando Rojo Mod. E</v>
      </c>
      <c r="C644" s="4">
        <f>IFERROR(__xludf.DUMMYFUNCTION("""COMPUTED_VALUE"""),13.75)</f>
        <v>13.75</v>
      </c>
      <c r="D644" s="4">
        <f>IFERROR(__xludf.DUMMYFUNCTION("""COMPUTED_VALUE"""),12.5)</f>
        <v>12.5</v>
      </c>
      <c r="E644" s="4" t="str">
        <f>IFERROR(__xludf.DUMMYFUNCTION("""COMPUTED_VALUE"""),"Neto: 12,50 € (a partir de 8 uds.)")</f>
        <v>Neto: 12,50 € (a partir de 8 uds.)</v>
      </c>
    </row>
    <row r="645">
      <c r="A645" s="4" t="str">
        <f>IFERROR(__xludf.DUMMYFUNCTION("""COMPUTED_VALUE"""),"0588V")</f>
        <v>0588V</v>
      </c>
      <c r="B645" s="4" t="str">
        <f>IFERROR(__xludf.DUMMYFUNCTION("""COMPUTED_VALUE"""),"Hito 75 cm PVC blando Verde Mod. E")</f>
        <v>Hito 75 cm PVC blando Verde Mod. E</v>
      </c>
      <c r="C645" s="4">
        <f>IFERROR(__xludf.DUMMYFUNCTION("""COMPUTED_VALUE"""),13.75)</f>
        <v>13.75</v>
      </c>
      <c r="D645" s="4">
        <f>IFERROR(__xludf.DUMMYFUNCTION("""COMPUTED_VALUE"""),12.0)</f>
        <v>12</v>
      </c>
      <c r="E645" s="4" t="str">
        <f>IFERROR(__xludf.DUMMYFUNCTION("""COMPUTED_VALUE"""),"Neto: 12,00 € (a partir de 8 uds.)")</f>
        <v>Neto: 12,00 € (a partir de 8 uds.)</v>
      </c>
    </row>
    <row r="646">
      <c r="A646" s="4" t="str">
        <f>IFERROR(__xludf.DUMMYFUNCTION("""COMPUTED_VALUE"""),"589")</f>
        <v>589</v>
      </c>
      <c r="B646" s="4" t="str">
        <f>IFERROR(__xludf.DUMMYFUNCTION("""COMPUTED_VALUE"""),"Hito 45 cm PVC blando Naranja Mod. F")</f>
        <v>Hito 45 cm PVC blando Naranja Mod. F</v>
      </c>
      <c r="C646" s="4">
        <f>IFERROR(__xludf.DUMMYFUNCTION("""COMPUTED_VALUE"""),8.25)</f>
        <v>8.25</v>
      </c>
      <c r="D646" s="4"/>
      <c r="E646" s="4" t="str">
        <f>IFERROR(__xludf.DUMMYFUNCTION("""COMPUTED_VALUE"""),"Sin precio neto")</f>
        <v>Sin precio neto</v>
      </c>
    </row>
    <row r="647">
      <c r="A647" s="4" t="str">
        <f>IFERROR(__xludf.DUMMYFUNCTION("""COMPUTED_VALUE"""),"590")</f>
        <v>590</v>
      </c>
      <c r="B647" s="4" t="str">
        <f>IFERROR(__xludf.DUMMYFUNCTION("""COMPUTED_VALUE"""),"Captafaros flexible p/muro doble lente blanco/amarillo")</f>
        <v>Captafaros flexible p/muro doble lente blanco/amarillo</v>
      </c>
      <c r="C647" s="4">
        <f>IFERROR(__xludf.DUMMYFUNCTION("""COMPUTED_VALUE"""),4.7)</f>
        <v>4.7</v>
      </c>
      <c r="D647" s="4"/>
      <c r="E647" s="4" t="str">
        <f>IFERROR(__xludf.DUMMYFUNCTION("""COMPUTED_VALUE"""),"Sin precio neto")</f>
        <v>Sin precio neto</v>
      </c>
    </row>
    <row r="648">
      <c r="A648" s="4" t="str">
        <f>IFERROR(__xludf.DUMMYFUNCTION("""COMPUTED_VALUE"""),"591")</f>
        <v>591</v>
      </c>
      <c r="B648" s="4" t="str">
        <f>IFERROR(__xludf.DUMMYFUNCTION("""COMPUTED_VALUE"""),"Captafaros doble lente blanco/amarillo 3M")</f>
        <v>Captafaros doble lente blanco/amarillo 3M</v>
      </c>
      <c r="C648" s="4">
        <f>IFERROR(__xludf.DUMMYFUNCTION("""COMPUTED_VALUE"""),3.1)</f>
        <v>3.1</v>
      </c>
      <c r="D648" s="4"/>
      <c r="E648" s="4" t="str">
        <f>IFERROR(__xludf.DUMMYFUNCTION("""COMPUTED_VALUE"""),"Sin precio neto")</f>
        <v>Sin precio neto</v>
      </c>
    </row>
    <row r="649">
      <c r="A649" s="4" t="str">
        <f>IFERROR(__xludf.DUMMYFUNCTION("""COMPUTED_VALUE"""),"0591A")</f>
        <v>0591A</v>
      </c>
      <c r="B649" s="4" t="str">
        <f>IFERROR(__xludf.DUMMYFUNCTION("""COMPUTED_VALUE"""),"Captafaros doble lente Blanco/Amarillo Autoadhesivo 3M")</f>
        <v>Captafaros doble lente Blanco/Amarillo Autoadhesivo 3M</v>
      </c>
      <c r="C649" s="4">
        <f>IFERROR(__xludf.DUMMYFUNCTION("""COMPUTED_VALUE"""),4.4)</f>
        <v>4.4</v>
      </c>
      <c r="D649" s="4"/>
      <c r="E649" s="4" t="str">
        <f>IFERROR(__xludf.DUMMYFUNCTION("""COMPUTED_VALUE"""),"Sin precio neto")</f>
        <v>Sin precio neto</v>
      </c>
    </row>
    <row r="650">
      <c r="A650" s="4" t="str">
        <f>IFERROR(__xludf.DUMMYFUNCTION("""COMPUTED_VALUE"""),"0591B")</f>
        <v>0591B</v>
      </c>
      <c r="B650" s="4" t="str">
        <f>IFERROR(__xludf.DUMMYFUNCTION("""COMPUTED_VALUE"""),"Captafaros doble lente Blanco/blanco 3M")</f>
        <v>Captafaros doble lente Blanco/blanco 3M</v>
      </c>
      <c r="C650" s="4">
        <f>IFERROR(__xludf.DUMMYFUNCTION("""COMPUTED_VALUE"""),3.1)</f>
        <v>3.1</v>
      </c>
      <c r="D650" s="4"/>
      <c r="E650" s="4" t="str">
        <f>IFERROR(__xludf.DUMMYFUNCTION("""COMPUTED_VALUE"""),"Sin precio neto")</f>
        <v>Sin precio neto</v>
      </c>
    </row>
    <row r="651">
      <c r="A651" s="4" t="str">
        <f>IFERROR(__xludf.DUMMYFUNCTION("""COMPUTED_VALUE"""),"0591BA")</f>
        <v>0591BA</v>
      </c>
      <c r="B651" s="4" t="str">
        <f>IFERROR(__xludf.DUMMYFUNCTION("""COMPUTED_VALUE"""),"Captafaros doble lente Blanco/Blanco Autoadhesivo 3M")</f>
        <v>Captafaros doble lente Blanco/Blanco Autoadhesivo 3M</v>
      </c>
      <c r="C651" s="4">
        <f>IFERROR(__xludf.DUMMYFUNCTION("""COMPUTED_VALUE"""),4.4)</f>
        <v>4.4</v>
      </c>
      <c r="D651" s="4"/>
      <c r="E651" s="4" t="str">
        <f>IFERROR(__xludf.DUMMYFUNCTION("""COMPUTED_VALUE"""),"Sin precio neto")</f>
        <v>Sin precio neto</v>
      </c>
    </row>
    <row r="652">
      <c r="A652" s="4" t="str">
        <f>IFERROR(__xludf.DUMMYFUNCTION("""COMPUTED_VALUE"""),"0592/A")</f>
        <v>0592/A</v>
      </c>
      <c r="B652" s="4" t="str">
        <f>IFERROR(__xludf.DUMMYFUNCTION("""COMPUTED_VALUE"""),"Delineador de Barrera LDS Amarillo 86x15,3 cm")</f>
        <v>Delineador de Barrera LDS Amarillo 86x15,3 cm</v>
      </c>
      <c r="C652" s="4">
        <f>IFERROR(__xludf.DUMMYFUNCTION("""COMPUTED_VALUE"""),19.95)</f>
        <v>19.95</v>
      </c>
      <c r="D652" s="4"/>
      <c r="E652" s="4" t="str">
        <f>IFERROR(__xludf.DUMMYFUNCTION("""COMPUTED_VALUE"""),"Sin precio neto")</f>
        <v>Sin precio neto</v>
      </c>
    </row>
    <row r="653">
      <c r="A653" s="4" t="str">
        <f>IFERROR(__xludf.DUMMYFUNCTION("""COMPUTED_VALUE"""),"0592/B")</f>
        <v>0592/B</v>
      </c>
      <c r="B653" s="4" t="str">
        <f>IFERROR(__xludf.DUMMYFUNCTION("""COMPUTED_VALUE"""),"Delineador de Barrera LDS Blanco 86x15,3 cm")</f>
        <v>Delineador de Barrera LDS Blanco 86x15,3 cm</v>
      </c>
      <c r="C653" s="4">
        <f>IFERROR(__xludf.DUMMYFUNCTION("""COMPUTED_VALUE"""),19.95)</f>
        <v>19.95</v>
      </c>
      <c r="D653" s="4"/>
      <c r="E653" s="4" t="str">
        <f>IFERROR(__xludf.DUMMYFUNCTION("""COMPUTED_VALUE"""),"Sin precio neto")</f>
        <v>Sin precio neto</v>
      </c>
    </row>
    <row r="654">
      <c r="A654" s="4" t="str">
        <f>IFERROR(__xludf.DUMMYFUNCTION("""COMPUTED_VALUE"""),"0592/R")</f>
        <v>0592/R</v>
      </c>
      <c r="B654" s="4" t="str">
        <f>IFERROR(__xludf.DUMMYFUNCTION("""COMPUTED_VALUE"""),"Delineador de Barrera LDS Rojo 86x15,3 cm")</f>
        <v>Delineador de Barrera LDS Rojo 86x15,3 cm</v>
      </c>
      <c r="C654" s="4">
        <f>IFERROR(__xludf.DUMMYFUNCTION("""COMPUTED_VALUE"""),19.95)</f>
        <v>19.95</v>
      </c>
      <c r="D654" s="4"/>
      <c r="E654" s="4" t="str">
        <f>IFERROR(__xludf.DUMMYFUNCTION("""COMPUTED_VALUE"""),"Sin precio neto")</f>
        <v>Sin precio neto</v>
      </c>
    </row>
    <row r="655">
      <c r="A655" s="4" t="str">
        <f>IFERROR(__xludf.DUMMYFUNCTION("""COMPUTED_VALUE"""),"593")</f>
        <v>593</v>
      </c>
      <c r="B655" s="4" t="str">
        <f>IFERROR(__xludf.DUMMYFUNCTION("""COMPUTED_VALUE"""),"Hito Basculante Flexible 75 cm Mod. G + base")</f>
        <v>Hito Basculante Flexible 75 cm Mod. G + base</v>
      </c>
      <c r="C655" s="4">
        <f>IFERROR(__xludf.DUMMYFUNCTION("""COMPUTED_VALUE"""),24.85)</f>
        <v>24.85</v>
      </c>
      <c r="D655" s="4"/>
      <c r="E655" s="4" t="str">
        <f>IFERROR(__xludf.DUMMYFUNCTION("""COMPUTED_VALUE"""),"Sin precio neto")</f>
        <v>Sin precio neto</v>
      </c>
    </row>
    <row r="656">
      <c r="A656" s="4" t="str">
        <f>IFERROR(__xludf.DUMMYFUNCTION("""COMPUTED_VALUE"""),"594")</f>
        <v>594</v>
      </c>
      <c r="B656" s="4" t="str">
        <f>IFERROR(__xludf.DUMMYFUNCTION("""COMPUTED_VALUE"""),"Panel señal. vertical R/B reflectante 2 caras")</f>
        <v>Panel señal. vertical R/B reflectante 2 caras</v>
      </c>
      <c r="C656" s="4">
        <f>IFERROR(__xludf.DUMMYFUNCTION("""COMPUTED_VALUE"""),18.25)</f>
        <v>18.25</v>
      </c>
      <c r="D656" s="4"/>
      <c r="E656" s="4" t="str">
        <f>IFERROR(__xludf.DUMMYFUNCTION("""COMPUTED_VALUE"""),"Sin precio neto")</f>
        <v>Sin precio neto</v>
      </c>
    </row>
    <row r="657">
      <c r="A657" s="4" t="str">
        <f>IFERROR(__xludf.DUMMYFUNCTION("""COMPUTED_VALUE"""),"595")</f>
        <v>595</v>
      </c>
      <c r="B657" s="4" t="str">
        <f>IFERROR(__xludf.DUMMYFUNCTION("""COMPUTED_VALUE"""),"Conjunto manga viento + poste y rótula")</f>
        <v>Conjunto manga viento + poste y rótula</v>
      </c>
      <c r="C657" s="4">
        <f>IFERROR(__xludf.DUMMYFUNCTION("""COMPUTED_VALUE"""),934.5)</f>
        <v>934.5</v>
      </c>
      <c r="D657" s="4"/>
      <c r="E657" s="4" t="str">
        <f>IFERROR(__xludf.DUMMYFUNCTION("""COMPUTED_VALUE"""),"Sin precio neto")</f>
        <v>Sin precio neto</v>
      </c>
    </row>
    <row r="658">
      <c r="A658" s="4" t="str">
        <f>IFERROR(__xludf.DUMMYFUNCTION("""COMPUTED_VALUE"""),"596")</f>
        <v>596</v>
      </c>
      <c r="B658" s="4" t="str">
        <f>IFERROR(__xludf.DUMMYFUNCTION("""COMPUTED_VALUE"""),"Mástil Manga viento c/ rótula 400cm x 8cm diam x 2mm")</f>
        <v>Mástil Manga viento c/ rótula 400cm x 8cm diam x 2mm</v>
      </c>
      <c r="C658" s="4">
        <f>IFERROR(__xludf.DUMMYFUNCTION("""COMPUTED_VALUE"""),472.5)</f>
        <v>472.5</v>
      </c>
      <c r="D658" s="4"/>
      <c r="E658" s="4" t="str">
        <f>IFERROR(__xludf.DUMMYFUNCTION("""COMPUTED_VALUE"""),"Sin precio neto")</f>
        <v>Sin precio neto</v>
      </c>
    </row>
    <row r="659">
      <c r="A659" s="4" t="str">
        <f>IFERROR(__xludf.DUMMYFUNCTION("""COMPUTED_VALUE"""),"597")</f>
        <v>597</v>
      </c>
      <c r="B659" s="4" t="str">
        <f>IFERROR(__xludf.DUMMYFUNCTION("""COMPUTED_VALUE"""),"Manga de viento c/aro 400x150mm L.1600mm")</f>
        <v>Manga de viento c/aro 400x150mm L.1600mm</v>
      </c>
      <c r="C659" s="4">
        <f>IFERROR(__xludf.DUMMYFUNCTION("""COMPUTED_VALUE"""),294.0)</f>
        <v>294</v>
      </c>
      <c r="D659" s="4"/>
      <c r="E659" s="4" t="str">
        <f>IFERROR(__xludf.DUMMYFUNCTION("""COMPUTED_VALUE"""),"Sin precio neto")</f>
        <v>Sin precio neto</v>
      </c>
    </row>
    <row r="660">
      <c r="A660" s="4" t="str">
        <f>IFERROR(__xludf.DUMMYFUNCTION("""COMPUTED_VALUE"""),"598")</f>
        <v>598</v>
      </c>
      <c r="B660" s="4" t="str">
        <f>IFERROR(__xludf.DUMMYFUNCTION("""COMPUTED_VALUE"""),"Rótula para manga viento")</f>
        <v>Rótula para manga viento</v>
      </c>
      <c r="C660" s="4">
        <f>IFERROR(__xludf.DUMMYFUNCTION("""COMPUTED_VALUE"""),99.75)</f>
        <v>99.75</v>
      </c>
      <c r="D660" s="4"/>
      <c r="E660" s="4" t="str">
        <f>IFERROR(__xludf.DUMMYFUNCTION("""COMPUTED_VALUE"""),"Sin precio neto")</f>
        <v>Sin precio neto</v>
      </c>
    </row>
    <row r="661">
      <c r="A661" s="4" t="str">
        <f>IFERROR(__xludf.DUMMYFUNCTION("""COMPUTED_VALUE"""),"600")</f>
        <v>600</v>
      </c>
      <c r="B661" s="4" t="str">
        <f>IFERROR(__xludf.DUMMYFUNCTION("""COMPUTED_VALUE"""),"Señal metalica TP-3")</f>
        <v>Señal metalica TP-3</v>
      </c>
      <c r="C661" s="4">
        <f>IFERROR(__xludf.DUMMYFUNCTION("""COMPUTED_VALUE"""),11.25)</f>
        <v>11.25</v>
      </c>
      <c r="D661" s="4">
        <f>IFERROR(__xludf.DUMMYFUNCTION("""COMPUTED_VALUE"""),8.5)</f>
        <v>8.5</v>
      </c>
      <c r="E661" s="4" t="str">
        <f>IFERROR(__xludf.DUMMYFUNCTION("""COMPUTED_VALUE"""),"Neto: 8,50 € (a partir de 1 uds.)")</f>
        <v>Neto: 8,50 € (a partir de 1 uds.)</v>
      </c>
    </row>
    <row r="662">
      <c r="A662" s="4" t="str">
        <f>IFERROR(__xludf.DUMMYFUNCTION("""COMPUTED_VALUE"""),"0600D")</f>
        <v>0600D</v>
      </c>
      <c r="B662" s="4" t="str">
        <f>IFERROR(__xludf.DUMMYFUNCTION("""COMPUTED_VALUE"""),"Señal metalica P-3")</f>
        <v>Señal metalica P-3</v>
      </c>
      <c r="C662" s="4">
        <f>IFERROR(__xludf.DUMMYFUNCTION("""COMPUTED_VALUE"""),11.25)</f>
        <v>11.25</v>
      </c>
      <c r="D662" s="4">
        <f>IFERROR(__xludf.DUMMYFUNCTION("""COMPUTED_VALUE"""),8.5)</f>
        <v>8.5</v>
      </c>
      <c r="E662" s="4" t="str">
        <f>IFERROR(__xludf.DUMMYFUNCTION("""COMPUTED_VALUE"""),"Neto: 8,50 € (a partir de 1 uds.)")</f>
        <v>Neto: 8,50 € (a partir de 1 uds.)</v>
      </c>
    </row>
    <row r="663">
      <c r="A663" s="4" t="str">
        <f>IFERROR(__xludf.DUMMYFUNCTION("""COMPUTED_VALUE"""),"601")</f>
        <v>601</v>
      </c>
      <c r="B663" s="4" t="str">
        <f>IFERROR(__xludf.DUMMYFUNCTION("""COMPUTED_VALUE"""),"Señal metalica TP-13a")</f>
        <v>Señal metalica TP-13a</v>
      </c>
      <c r="C663" s="4">
        <f>IFERROR(__xludf.DUMMYFUNCTION("""COMPUTED_VALUE"""),11.25)</f>
        <v>11.25</v>
      </c>
      <c r="D663" s="4">
        <f>IFERROR(__xludf.DUMMYFUNCTION("""COMPUTED_VALUE"""),8.5)</f>
        <v>8.5</v>
      </c>
      <c r="E663" s="4" t="str">
        <f>IFERROR(__xludf.DUMMYFUNCTION("""COMPUTED_VALUE"""),"Neto: 8,50 € (a partir de 1 uds.)")</f>
        <v>Neto: 8,50 € (a partir de 1 uds.)</v>
      </c>
    </row>
    <row r="664">
      <c r="A664" s="4" t="str">
        <f>IFERROR(__xludf.DUMMYFUNCTION("""COMPUTED_VALUE"""),"0601D")</f>
        <v>0601D</v>
      </c>
      <c r="B664" s="4" t="str">
        <f>IFERROR(__xludf.DUMMYFUNCTION("""COMPUTED_VALUE"""),"Señal metalica P-13a")</f>
        <v>Señal metalica P-13a</v>
      </c>
      <c r="C664" s="4">
        <f>IFERROR(__xludf.DUMMYFUNCTION("""COMPUTED_VALUE"""),11.25)</f>
        <v>11.25</v>
      </c>
      <c r="D664" s="4">
        <f>IFERROR(__xludf.DUMMYFUNCTION("""COMPUTED_VALUE"""),8.5)</f>
        <v>8.5</v>
      </c>
      <c r="E664" s="4" t="str">
        <f>IFERROR(__xludf.DUMMYFUNCTION("""COMPUTED_VALUE"""),"Neto: 8,50 € (a partir de 1 uds.)")</f>
        <v>Neto: 8,50 € (a partir de 1 uds.)</v>
      </c>
    </row>
    <row r="665">
      <c r="A665" s="4" t="str">
        <f>IFERROR(__xludf.DUMMYFUNCTION("""COMPUTED_VALUE"""),"602")</f>
        <v>602</v>
      </c>
      <c r="B665" s="4" t="str">
        <f>IFERROR(__xludf.DUMMYFUNCTION("""COMPUTED_VALUE"""),"Señal metalica TP-13b")</f>
        <v>Señal metalica TP-13b</v>
      </c>
      <c r="C665" s="4">
        <f>IFERROR(__xludf.DUMMYFUNCTION("""COMPUTED_VALUE"""),11.25)</f>
        <v>11.25</v>
      </c>
      <c r="D665" s="4">
        <f>IFERROR(__xludf.DUMMYFUNCTION("""COMPUTED_VALUE"""),8.5)</f>
        <v>8.5</v>
      </c>
      <c r="E665" s="4" t="str">
        <f>IFERROR(__xludf.DUMMYFUNCTION("""COMPUTED_VALUE"""),"Neto: 8,50 € (a partir de 1 uds.)")</f>
        <v>Neto: 8,50 € (a partir de 1 uds.)</v>
      </c>
    </row>
    <row r="666">
      <c r="A666" s="4" t="str">
        <f>IFERROR(__xludf.DUMMYFUNCTION("""COMPUTED_VALUE"""),"0602D")</f>
        <v>0602D</v>
      </c>
      <c r="B666" s="4" t="str">
        <f>IFERROR(__xludf.DUMMYFUNCTION("""COMPUTED_VALUE"""),"Señal metalica P-13b")</f>
        <v>Señal metalica P-13b</v>
      </c>
      <c r="C666" s="4">
        <f>IFERROR(__xludf.DUMMYFUNCTION("""COMPUTED_VALUE"""),11.25)</f>
        <v>11.25</v>
      </c>
      <c r="D666" s="4">
        <f>IFERROR(__xludf.DUMMYFUNCTION("""COMPUTED_VALUE"""),8.5)</f>
        <v>8.5</v>
      </c>
      <c r="E666" s="4" t="str">
        <f>IFERROR(__xludf.DUMMYFUNCTION("""COMPUTED_VALUE"""),"Neto: 8,50 € (a partir de 1 uds.)")</f>
        <v>Neto: 8,50 € (a partir de 1 uds.)</v>
      </c>
    </row>
    <row r="667">
      <c r="A667" s="4" t="str">
        <f>IFERROR(__xludf.DUMMYFUNCTION("""COMPUTED_VALUE"""),"603")</f>
        <v>603</v>
      </c>
      <c r="B667" s="4" t="str">
        <f>IFERROR(__xludf.DUMMYFUNCTION("""COMPUTED_VALUE"""),"Señal metalica TP-14a")</f>
        <v>Señal metalica TP-14a</v>
      </c>
      <c r="C667" s="4">
        <f>IFERROR(__xludf.DUMMYFUNCTION("""COMPUTED_VALUE"""),11.25)</f>
        <v>11.25</v>
      </c>
      <c r="D667" s="4">
        <f>IFERROR(__xludf.DUMMYFUNCTION("""COMPUTED_VALUE"""),8.5)</f>
        <v>8.5</v>
      </c>
      <c r="E667" s="4" t="str">
        <f>IFERROR(__xludf.DUMMYFUNCTION("""COMPUTED_VALUE"""),"Neto: 8,50 € (a partir de 1 uds.)")</f>
        <v>Neto: 8,50 € (a partir de 1 uds.)</v>
      </c>
    </row>
    <row r="668">
      <c r="A668" s="4" t="str">
        <f>IFERROR(__xludf.DUMMYFUNCTION("""COMPUTED_VALUE"""),"0603D")</f>
        <v>0603D</v>
      </c>
      <c r="B668" s="4" t="str">
        <f>IFERROR(__xludf.DUMMYFUNCTION("""COMPUTED_VALUE"""),"Señal metalica P-14a")</f>
        <v>Señal metalica P-14a</v>
      </c>
      <c r="C668" s="4">
        <f>IFERROR(__xludf.DUMMYFUNCTION("""COMPUTED_VALUE"""),11.25)</f>
        <v>11.25</v>
      </c>
      <c r="D668" s="4">
        <f>IFERROR(__xludf.DUMMYFUNCTION("""COMPUTED_VALUE"""),8.5)</f>
        <v>8.5</v>
      </c>
      <c r="E668" s="4" t="str">
        <f>IFERROR(__xludf.DUMMYFUNCTION("""COMPUTED_VALUE"""),"Neto: 8,50 € (a partir de 1 uds.)")</f>
        <v>Neto: 8,50 € (a partir de 1 uds.)</v>
      </c>
    </row>
    <row r="669">
      <c r="A669" s="4" t="str">
        <f>IFERROR(__xludf.DUMMYFUNCTION("""COMPUTED_VALUE"""),"604")</f>
        <v>604</v>
      </c>
      <c r="B669" s="4" t="str">
        <f>IFERROR(__xludf.DUMMYFUNCTION("""COMPUTED_VALUE"""),"Señal metalica TP-14b")</f>
        <v>Señal metalica TP-14b</v>
      </c>
      <c r="C669" s="4">
        <f>IFERROR(__xludf.DUMMYFUNCTION("""COMPUTED_VALUE"""),11.25)</f>
        <v>11.25</v>
      </c>
      <c r="D669" s="4">
        <f>IFERROR(__xludf.DUMMYFUNCTION("""COMPUTED_VALUE"""),8.5)</f>
        <v>8.5</v>
      </c>
      <c r="E669" s="4" t="str">
        <f>IFERROR(__xludf.DUMMYFUNCTION("""COMPUTED_VALUE"""),"Neto: 8,50 € (a partir de 1 uds.)")</f>
        <v>Neto: 8,50 € (a partir de 1 uds.)</v>
      </c>
    </row>
    <row r="670">
      <c r="A670" s="4" t="str">
        <f>IFERROR(__xludf.DUMMYFUNCTION("""COMPUTED_VALUE"""),"0604D")</f>
        <v>0604D</v>
      </c>
      <c r="B670" s="4" t="str">
        <f>IFERROR(__xludf.DUMMYFUNCTION("""COMPUTED_VALUE"""),"Señal metalica P-14b")</f>
        <v>Señal metalica P-14b</v>
      </c>
      <c r="C670" s="4">
        <f>IFERROR(__xludf.DUMMYFUNCTION("""COMPUTED_VALUE"""),11.25)</f>
        <v>11.25</v>
      </c>
      <c r="D670" s="4">
        <f>IFERROR(__xludf.DUMMYFUNCTION("""COMPUTED_VALUE"""),8.5)</f>
        <v>8.5</v>
      </c>
      <c r="E670" s="4" t="str">
        <f>IFERROR(__xludf.DUMMYFUNCTION("""COMPUTED_VALUE"""),"Neto: 8,50 € (a partir de 1 uds.)")</f>
        <v>Neto: 8,50 € (a partir de 1 uds.)</v>
      </c>
    </row>
    <row r="671">
      <c r="A671" s="4" t="str">
        <f>IFERROR(__xludf.DUMMYFUNCTION("""COMPUTED_VALUE"""),"605")</f>
        <v>605</v>
      </c>
      <c r="B671" s="4" t="str">
        <f>IFERROR(__xludf.DUMMYFUNCTION("""COMPUTED_VALUE"""),"Señal metalica TP-15")</f>
        <v>Señal metalica TP-15</v>
      </c>
      <c r="C671" s="4">
        <f>IFERROR(__xludf.DUMMYFUNCTION("""COMPUTED_VALUE"""),11.25)</f>
        <v>11.25</v>
      </c>
      <c r="D671" s="4">
        <f>IFERROR(__xludf.DUMMYFUNCTION("""COMPUTED_VALUE"""),8.5)</f>
        <v>8.5</v>
      </c>
      <c r="E671" s="4" t="str">
        <f>IFERROR(__xludf.DUMMYFUNCTION("""COMPUTED_VALUE"""),"Neto: 8,50 € (a partir de 1 uds.)")</f>
        <v>Neto: 8,50 € (a partir de 1 uds.)</v>
      </c>
    </row>
    <row r="672">
      <c r="A672" s="4" t="str">
        <f>IFERROR(__xludf.DUMMYFUNCTION("""COMPUTED_VALUE"""),"0605D")</f>
        <v>0605D</v>
      </c>
      <c r="B672" s="4" t="str">
        <f>IFERROR(__xludf.DUMMYFUNCTION("""COMPUTED_VALUE"""),"Señal metalica P-15")</f>
        <v>Señal metalica P-15</v>
      </c>
      <c r="C672" s="4">
        <f>IFERROR(__xludf.DUMMYFUNCTION("""COMPUTED_VALUE"""),11.25)</f>
        <v>11.25</v>
      </c>
      <c r="D672" s="4">
        <f>IFERROR(__xludf.DUMMYFUNCTION("""COMPUTED_VALUE"""),8.5)</f>
        <v>8.5</v>
      </c>
      <c r="E672" s="4" t="str">
        <f>IFERROR(__xludf.DUMMYFUNCTION("""COMPUTED_VALUE"""),"Neto: 8,50 € (a partir de 1 uds.)")</f>
        <v>Neto: 8,50 € (a partir de 1 uds.)</v>
      </c>
    </row>
    <row r="673">
      <c r="A673" s="4" t="str">
        <f>IFERROR(__xludf.DUMMYFUNCTION("""COMPUTED_VALUE"""),"606")</f>
        <v>606</v>
      </c>
      <c r="B673" s="4" t="str">
        <f>IFERROR(__xludf.DUMMYFUNCTION("""COMPUTED_VALUE"""),"Señal metalica TP-15a")</f>
        <v>Señal metalica TP-15a</v>
      </c>
      <c r="C673" s="4">
        <f>IFERROR(__xludf.DUMMYFUNCTION("""COMPUTED_VALUE"""),11.25)</f>
        <v>11.25</v>
      </c>
      <c r="D673" s="4">
        <f>IFERROR(__xludf.DUMMYFUNCTION("""COMPUTED_VALUE"""),8.5)</f>
        <v>8.5</v>
      </c>
      <c r="E673" s="4" t="str">
        <f>IFERROR(__xludf.DUMMYFUNCTION("""COMPUTED_VALUE"""),"Neto: 8,50 € (a partir de 1 uds.)")</f>
        <v>Neto: 8,50 € (a partir de 1 uds.)</v>
      </c>
    </row>
    <row r="674">
      <c r="A674" s="4" t="str">
        <f>IFERROR(__xludf.DUMMYFUNCTION("""COMPUTED_VALUE"""),"0606D")</f>
        <v>0606D</v>
      </c>
      <c r="B674" s="4" t="str">
        <f>IFERROR(__xludf.DUMMYFUNCTION("""COMPUTED_VALUE"""),"Señal metalica P-15a")</f>
        <v>Señal metalica P-15a</v>
      </c>
      <c r="C674" s="4">
        <f>IFERROR(__xludf.DUMMYFUNCTION("""COMPUTED_VALUE"""),11.25)</f>
        <v>11.25</v>
      </c>
      <c r="D674" s="4">
        <f>IFERROR(__xludf.DUMMYFUNCTION("""COMPUTED_VALUE"""),8.5)</f>
        <v>8.5</v>
      </c>
      <c r="E674" s="4" t="str">
        <f>IFERROR(__xludf.DUMMYFUNCTION("""COMPUTED_VALUE"""),"Neto: 8,50 € (a partir de 1 uds.)")</f>
        <v>Neto: 8,50 € (a partir de 1 uds.)</v>
      </c>
    </row>
    <row r="675">
      <c r="A675" s="4" t="str">
        <f>IFERROR(__xludf.DUMMYFUNCTION("""COMPUTED_VALUE"""),"607")</f>
        <v>607</v>
      </c>
      <c r="B675" s="4" t="str">
        <f>IFERROR(__xludf.DUMMYFUNCTION("""COMPUTED_VALUE"""),"Señal metalica TP-15b")</f>
        <v>Señal metalica TP-15b</v>
      </c>
      <c r="C675" s="4">
        <f>IFERROR(__xludf.DUMMYFUNCTION("""COMPUTED_VALUE"""),11.25)</f>
        <v>11.25</v>
      </c>
      <c r="D675" s="4">
        <f>IFERROR(__xludf.DUMMYFUNCTION("""COMPUTED_VALUE"""),8.5)</f>
        <v>8.5</v>
      </c>
      <c r="E675" s="4" t="str">
        <f>IFERROR(__xludf.DUMMYFUNCTION("""COMPUTED_VALUE"""),"Neto: 8,50 € (a partir de 1 uds.)")</f>
        <v>Neto: 8,50 € (a partir de 1 uds.)</v>
      </c>
    </row>
    <row r="676">
      <c r="A676" s="4" t="str">
        <f>IFERROR(__xludf.DUMMYFUNCTION("""COMPUTED_VALUE"""),"0607D")</f>
        <v>0607D</v>
      </c>
      <c r="B676" s="4" t="str">
        <f>IFERROR(__xludf.DUMMYFUNCTION("""COMPUTED_VALUE"""),"Señal metalica P-15b")</f>
        <v>Señal metalica P-15b</v>
      </c>
      <c r="C676" s="4">
        <f>IFERROR(__xludf.DUMMYFUNCTION("""COMPUTED_VALUE"""),11.25)</f>
        <v>11.25</v>
      </c>
      <c r="D676" s="4">
        <f>IFERROR(__xludf.DUMMYFUNCTION("""COMPUTED_VALUE"""),8.5)</f>
        <v>8.5</v>
      </c>
      <c r="E676" s="4" t="str">
        <f>IFERROR(__xludf.DUMMYFUNCTION("""COMPUTED_VALUE"""),"Neto: 8,50 € (a partir de 1 uds.)")</f>
        <v>Neto: 8,50 € (a partir de 1 uds.)</v>
      </c>
    </row>
    <row r="677">
      <c r="A677" s="4" t="str">
        <f>IFERROR(__xludf.DUMMYFUNCTION("""COMPUTED_VALUE"""),"608")</f>
        <v>608</v>
      </c>
      <c r="B677" s="4" t="str">
        <f>IFERROR(__xludf.DUMMYFUNCTION("""COMPUTED_VALUE"""),"Señal metalica TP-17")</f>
        <v>Señal metalica TP-17</v>
      </c>
      <c r="C677" s="4">
        <f>IFERROR(__xludf.DUMMYFUNCTION("""COMPUTED_VALUE"""),11.25)</f>
        <v>11.25</v>
      </c>
      <c r="D677" s="4">
        <f>IFERROR(__xludf.DUMMYFUNCTION("""COMPUTED_VALUE"""),8.5)</f>
        <v>8.5</v>
      </c>
      <c r="E677" s="4" t="str">
        <f>IFERROR(__xludf.DUMMYFUNCTION("""COMPUTED_VALUE"""),"Neto: 8,50 € (a partir de 1 uds.)")</f>
        <v>Neto: 8,50 € (a partir de 1 uds.)</v>
      </c>
    </row>
    <row r="678">
      <c r="A678" s="4" t="str">
        <f>IFERROR(__xludf.DUMMYFUNCTION("""COMPUTED_VALUE"""),"0608D")</f>
        <v>0608D</v>
      </c>
      <c r="B678" s="4" t="str">
        <f>IFERROR(__xludf.DUMMYFUNCTION("""COMPUTED_VALUE"""),"Señal metalica P-17")</f>
        <v>Señal metalica P-17</v>
      </c>
      <c r="C678" s="4">
        <f>IFERROR(__xludf.DUMMYFUNCTION("""COMPUTED_VALUE"""),11.25)</f>
        <v>11.25</v>
      </c>
      <c r="D678" s="4">
        <f>IFERROR(__xludf.DUMMYFUNCTION("""COMPUTED_VALUE"""),8.5)</f>
        <v>8.5</v>
      </c>
      <c r="E678" s="4" t="str">
        <f>IFERROR(__xludf.DUMMYFUNCTION("""COMPUTED_VALUE"""),"Neto: 8,50 € (a partir de 1 uds.)")</f>
        <v>Neto: 8,50 € (a partir de 1 uds.)</v>
      </c>
    </row>
    <row r="679">
      <c r="A679" s="4" t="str">
        <f>IFERROR(__xludf.DUMMYFUNCTION("""COMPUTED_VALUE"""),"609")</f>
        <v>609</v>
      </c>
      <c r="B679" s="4" t="str">
        <f>IFERROR(__xludf.DUMMYFUNCTION("""COMPUTED_VALUE"""),"Señal metalica TP-17b")</f>
        <v>Señal metalica TP-17b</v>
      </c>
      <c r="C679" s="4">
        <f>IFERROR(__xludf.DUMMYFUNCTION("""COMPUTED_VALUE"""),11.25)</f>
        <v>11.25</v>
      </c>
      <c r="D679" s="4">
        <f>IFERROR(__xludf.DUMMYFUNCTION("""COMPUTED_VALUE"""),8.5)</f>
        <v>8.5</v>
      </c>
      <c r="E679" s="4" t="str">
        <f>IFERROR(__xludf.DUMMYFUNCTION("""COMPUTED_VALUE"""),"Neto: 8,50 € (a partir de 1 uds.)")</f>
        <v>Neto: 8,50 € (a partir de 1 uds.)</v>
      </c>
    </row>
    <row r="680">
      <c r="A680" s="4" t="str">
        <f>IFERROR(__xludf.DUMMYFUNCTION("""COMPUTED_VALUE"""),"0609D")</f>
        <v>0609D</v>
      </c>
      <c r="B680" s="4" t="str">
        <f>IFERROR(__xludf.DUMMYFUNCTION("""COMPUTED_VALUE"""),"Señal metalica P-17b")</f>
        <v>Señal metalica P-17b</v>
      </c>
      <c r="C680" s="4">
        <f>IFERROR(__xludf.DUMMYFUNCTION("""COMPUTED_VALUE"""),11.25)</f>
        <v>11.25</v>
      </c>
      <c r="D680" s="4">
        <f>IFERROR(__xludf.DUMMYFUNCTION("""COMPUTED_VALUE"""),8.5)</f>
        <v>8.5</v>
      </c>
      <c r="E680" s="4" t="str">
        <f>IFERROR(__xludf.DUMMYFUNCTION("""COMPUTED_VALUE"""),"Neto: 8,50 € (a partir de 1 uds.)")</f>
        <v>Neto: 8,50 € (a partir de 1 uds.)</v>
      </c>
    </row>
    <row r="681">
      <c r="A681" s="4" t="str">
        <f>IFERROR(__xludf.DUMMYFUNCTION("""COMPUTED_VALUE"""),"610")</f>
        <v>610</v>
      </c>
      <c r="B681" s="4" t="str">
        <f>IFERROR(__xludf.DUMMYFUNCTION("""COMPUTED_VALUE"""),"Señal metalica TP-17a")</f>
        <v>Señal metalica TP-17a</v>
      </c>
      <c r="C681" s="4">
        <f>IFERROR(__xludf.DUMMYFUNCTION("""COMPUTED_VALUE"""),11.25)</f>
        <v>11.25</v>
      </c>
      <c r="D681" s="4">
        <f>IFERROR(__xludf.DUMMYFUNCTION("""COMPUTED_VALUE"""),8.5)</f>
        <v>8.5</v>
      </c>
      <c r="E681" s="4" t="str">
        <f>IFERROR(__xludf.DUMMYFUNCTION("""COMPUTED_VALUE"""),"Neto: 8,50 € (a partir de 1 uds.)")</f>
        <v>Neto: 8,50 € (a partir de 1 uds.)</v>
      </c>
    </row>
    <row r="682">
      <c r="A682" s="4" t="str">
        <f>IFERROR(__xludf.DUMMYFUNCTION("""COMPUTED_VALUE"""),"0610D")</f>
        <v>0610D</v>
      </c>
      <c r="B682" s="4" t="str">
        <f>IFERROR(__xludf.DUMMYFUNCTION("""COMPUTED_VALUE"""),"Señal metalica P-17a")</f>
        <v>Señal metalica P-17a</v>
      </c>
      <c r="C682" s="4">
        <f>IFERROR(__xludf.DUMMYFUNCTION("""COMPUTED_VALUE"""),11.25)</f>
        <v>11.25</v>
      </c>
      <c r="D682" s="4">
        <f>IFERROR(__xludf.DUMMYFUNCTION("""COMPUTED_VALUE"""),8.5)</f>
        <v>8.5</v>
      </c>
      <c r="E682" s="4" t="str">
        <f>IFERROR(__xludf.DUMMYFUNCTION("""COMPUTED_VALUE"""),"Neto: 8,50 € (a partir de 1 uds.)")</f>
        <v>Neto: 8,50 € (a partir de 1 uds.)</v>
      </c>
    </row>
    <row r="683">
      <c r="A683" s="4" t="str">
        <f>IFERROR(__xludf.DUMMYFUNCTION("""COMPUTED_VALUE"""),"611")</f>
        <v>611</v>
      </c>
      <c r="B683" s="4" t="str">
        <f>IFERROR(__xludf.DUMMYFUNCTION("""COMPUTED_VALUE"""),"Señal metalica TP-18")</f>
        <v>Señal metalica TP-18</v>
      </c>
      <c r="C683" s="4">
        <f>IFERROR(__xludf.DUMMYFUNCTION("""COMPUTED_VALUE"""),11.25)</f>
        <v>11.25</v>
      </c>
      <c r="D683" s="4">
        <f>IFERROR(__xludf.DUMMYFUNCTION("""COMPUTED_VALUE"""),8.5)</f>
        <v>8.5</v>
      </c>
      <c r="E683" s="4" t="str">
        <f>IFERROR(__xludf.DUMMYFUNCTION("""COMPUTED_VALUE"""),"Neto: 8,50 € (a partir de 1 uds.)")</f>
        <v>Neto: 8,50 € (a partir de 1 uds.)</v>
      </c>
    </row>
    <row r="684">
      <c r="A684" s="4" t="str">
        <f>IFERROR(__xludf.DUMMYFUNCTION("""COMPUTED_VALUE"""),"0611D")</f>
        <v>0611D</v>
      </c>
      <c r="B684" s="4" t="str">
        <f>IFERROR(__xludf.DUMMYFUNCTION("""COMPUTED_VALUE"""),"Señal metalica P-18")</f>
        <v>Señal metalica P-18</v>
      </c>
      <c r="C684" s="4">
        <f>IFERROR(__xludf.DUMMYFUNCTION("""COMPUTED_VALUE"""),11.25)</f>
        <v>11.25</v>
      </c>
      <c r="D684" s="4">
        <f>IFERROR(__xludf.DUMMYFUNCTION("""COMPUTED_VALUE"""),8.5)</f>
        <v>8.5</v>
      </c>
      <c r="E684" s="4" t="str">
        <f>IFERROR(__xludf.DUMMYFUNCTION("""COMPUTED_VALUE"""),"Neto: 8,50 € (a partir de 1 uds.)")</f>
        <v>Neto: 8,50 € (a partir de 1 uds.)</v>
      </c>
    </row>
    <row r="685">
      <c r="A685" s="4" t="str">
        <f>IFERROR(__xludf.DUMMYFUNCTION("""COMPUTED_VALUE"""),"612")</f>
        <v>612</v>
      </c>
      <c r="B685" s="4" t="str">
        <f>IFERROR(__xludf.DUMMYFUNCTION("""COMPUTED_VALUE"""),"Señal metalica TP-19")</f>
        <v>Señal metalica TP-19</v>
      </c>
      <c r="C685" s="4">
        <f>IFERROR(__xludf.DUMMYFUNCTION("""COMPUTED_VALUE"""),11.25)</f>
        <v>11.25</v>
      </c>
      <c r="D685" s="4">
        <f>IFERROR(__xludf.DUMMYFUNCTION("""COMPUTED_VALUE"""),8.5)</f>
        <v>8.5</v>
      </c>
      <c r="E685" s="4" t="str">
        <f>IFERROR(__xludf.DUMMYFUNCTION("""COMPUTED_VALUE"""),"Neto: 8,50 € (a partir de 1 uds.)")</f>
        <v>Neto: 8,50 € (a partir de 1 uds.)</v>
      </c>
    </row>
    <row r="686">
      <c r="A686" s="4" t="str">
        <f>IFERROR(__xludf.DUMMYFUNCTION("""COMPUTED_VALUE"""),"0612D")</f>
        <v>0612D</v>
      </c>
      <c r="B686" s="4" t="str">
        <f>IFERROR(__xludf.DUMMYFUNCTION("""COMPUTED_VALUE"""),"Señal metalica P-19")</f>
        <v>Señal metalica P-19</v>
      </c>
      <c r="C686" s="4">
        <f>IFERROR(__xludf.DUMMYFUNCTION("""COMPUTED_VALUE"""),11.25)</f>
        <v>11.25</v>
      </c>
      <c r="D686" s="4">
        <f>IFERROR(__xludf.DUMMYFUNCTION("""COMPUTED_VALUE"""),8.5)</f>
        <v>8.5</v>
      </c>
      <c r="E686" s="4" t="str">
        <f>IFERROR(__xludf.DUMMYFUNCTION("""COMPUTED_VALUE"""),"Neto: 8,50 € (a partir de 1 uds.)")</f>
        <v>Neto: 8,50 € (a partir de 1 uds.)</v>
      </c>
    </row>
    <row r="687">
      <c r="A687" s="4" t="str">
        <f>IFERROR(__xludf.DUMMYFUNCTION("""COMPUTED_VALUE"""),"613")</f>
        <v>613</v>
      </c>
      <c r="B687" s="4" t="str">
        <f>IFERROR(__xludf.DUMMYFUNCTION("""COMPUTED_VALUE"""),"Señal metalica TP-25")</f>
        <v>Señal metalica TP-25</v>
      </c>
      <c r="C687" s="4">
        <f>IFERROR(__xludf.DUMMYFUNCTION("""COMPUTED_VALUE"""),11.25)</f>
        <v>11.25</v>
      </c>
      <c r="D687" s="4">
        <f>IFERROR(__xludf.DUMMYFUNCTION("""COMPUTED_VALUE"""),8.5)</f>
        <v>8.5</v>
      </c>
      <c r="E687" s="4" t="str">
        <f>IFERROR(__xludf.DUMMYFUNCTION("""COMPUTED_VALUE"""),"Neto: 8,50 € (a partir de 1 uds.)")</f>
        <v>Neto: 8,50 € (a partir de 1 uds.)</v>
      </c>
    </row>
    <row r="688">
      <c r="A688" s="4" t="str">
        <f>IFERROR(__xludf.DUMMYFUNCTION("""COMPUTED_VALUE"""),"0613D")</f>
        <v>0613D</v>
      </c>
      <c r="B688" s="4" t="str">
        <f>IFERROR(__xludf.DUMMYFUNCTION("""COMPUTED_VALUE"""),"Señal metalica P-25")</f>
        <v>Señal metalica P-25</v>
      </c>
      <c r="C688" s="4">
        <f>IFERROR(__xludf.DUMMYFUNCTION("""COMPUTED_VALUE"""),11.25)</f>
        <v>11.25</v>
      </c>
      <c r="D688" s="4">
        <f>IFERROR(__xludf.DUMMYFUNCTION("""COMPUTED_VALUE"""),8.5)</f>
        <v>8.5</v>
      </c>
      <c r="E688" s="4" t="str">
        <f>IFERROR(__xludf.DUMMYFUNCTION("""COMPUTED_VALUE"""),"Neto: 8,50 € (a partir de 1 uds.)")</f>
        <v>Neto: 8,50 € (a partir de 1 uds.)</v>
      </c>
    </row>
    <row r="689">
      <c r="A689" s="4" t="str">
        <f>IFERROR(__xludf.DUMMYFUNCTION("""COMPUTED_VALUE"""),"614")</f>
        <v>614</v>
      </c>
      <c r="B689" s="4" t="str">
        <f>IFERROR(__xludf.DUMMYFUNCTION("""COMPUTED_VALUE"""),"Señal metalica TP-26")</f>
        <v>Señal metalica TP-26</v>
      </c>
      <c r="C689" s="4">
        <f>IFERROR(__xludf.DUMMYFUNCTION("""COMPUTED_VALUE"""),11.25)</f>
        <v>11.25</v>
      </c>
      <c r="D689" s="4">
        <f>IFERROR(__xludf.DUMMYFUNCTION("""COMPUTED_VALUE"""),8.5)</f>
        <v>8.5</v>
      </c>
      <c r="E689" s="4" t="str">
        <f>IFERROR(__xludf.DUMMYFUNCTION("""COMPUTED_VALUE"""),"Neto: 8,50 € (a partir de 1 uds.)")</f>
        <v>Neto: 8,50 € (a partir de 1 uds.)</v>
      </c>
    </row>
    <row r="690">
      <c r="A690" s="4" t="str">
        <f>IFERROR(__xludf.DUMMYFUNCTION("""COMPUTED_VALUE"""),"0614D")</f>
        <v>0614D</v>
      </c>
      <c r="B690" s="4" t="str">
        <f>IFERROR(__xludf.DUMMYFUNCTION("""COMPUTED_VALUE"""),"Señal metalica P-26")</f>
        <v>Señal metalica P-26</v>
      </c>
      <c r="C690" s="4">
        <f>IFERROR(__xludf.DUMMYFUNCTION("""COMPUTED_VALUE"""),11.25)</f>
        <v>11.25</v>
      </c>
      <c r="D690" s="4">
        <f>IFERROR(__xludf.DUMMYFUNCTION("""COMPUTED_VALUE"""),8.5)</f>
        <v>8.5</v>
      </c>
      <c r="E690" s="4" t="str">
        <f>IFERROR(__xludf.DUMMYFUNCTION("""COMPUTED_VALUE"""),"Neto: 8,50 € (a partir de 1 uds.)")</f>
        <v>Neto: 8,50 € (a partir de 1 uds.)</v>
      </c>
    </row>
    <row r="691">
      <c r="A691" s="4" t="str">
        <f>IFERROR(__xludf.DUMMYFUNCTION("""COMPUTED_VALUE"""),"615")</f>
        <v>615</v>
      </c>
      <c r="B691" s="4" t="str">
        <f>IFERROR(__xludf.DUMMYFUNCTION("""COMPUTED_VALUE"""),"Señal metalica TP-28")</f>
        <v>Señal metalica TP-28</v>
      </c>
      <c r="C691" s="4">
        <f>IFERROR(__xludf.DUMMYFUNCTION("""COMPUTED_VALUE"""),11.25)</f>
        <v>11.25</v>
      </c>
      <c r="D691" s="4">
        <f>IFERROR(__xludf.DUMMYFUNCTION("""COMPUTED_VALUE"""),8.5)</f>
        <v>8.5</v>
      </c>
      <c r="E691" s="4" t="str">
        <f>IFERROR(__xludf.DUMMYFUNCTION("""COMPUTED_VALUE"""),"Neto: 8,50 € (a partir de 1 uds.)")</f>
        <v>Neto: 8,50 € (a partir de 1 uds.)</v>
      </c>
    </row>
    <row r="692">
      <c r="A692" s="4" t="str">
        <f>IFERROR(__xludf.DUMMYFUNCTION("""COMPUTED_VALUE"""),"0615D")</f>
        <v>0615D</v>
      </c>
      <c r="B692" s="4" t="str">
        <f>IFERROR(__xludf.DUMMYFUNCTION("""COMPUTED_VALUE"""),"Señal metalica P-28")</f>
        <v>Señal metalica P-28</v>
      </c>
      <c r="C692" s="4">
        <f>IFERROR(__xludf.DUMMYFUNCTION("""COMPUTED_VALUE"""),11.25)</f>
        <v>11.25</v>
      </c>
      <c r="D692" s="4">
        <f>IFERROR(__xludf.DUMMYFUNCTION("""COMPUTED_VALUE"""),8.5)</f>
        <v>8.5</v>
      </c>
      <c r="E692" s="4" t="str">
        <f>IFERROR(__xludf.DUMMYFUNCTION("""COMPUTED_VALUE"""),"Neto: 8,50 € (a partir de 1 uds.)")</f>
        <v>Neto: 8,50 € (a partir de 1 uds.)</v>
      </c>
    </row>
    <row r="693">
      <c r="A693" s="4" t="str">
        <f>IFERROR(__xludf.DUMMYFUNCTION("""COMPUTED_VALUE"""),"616")</f>
        <v>616</v>
      </c>
      <c r="B693" s="4" t="str">
        <f>IFERROR(__xludf.DUMMYFUNCTION("""COMPUTED_VALUE"""),"Señal metalica TP-30")</f>
        <v>Señal metalica TP-30</v>
      </c>
      <c r="C693" s="4">
        <f>IFERROR(__xludf.DUMMYFUNCTION("""COMPUTED_VALUE"""),11.25)</f>
        <v>11.25</v>
      </c>
      <c r="D693" s="4">
        <f>IFERROR(__xludf.DUMMYFUNCTION("""COMPUTED_VALUE"""),8.5)</f>
        <v>8.5</v>
      </c>
      <c r="E693" s="4" t="str">
        <f>IFERROR(__xludf.DUMMYFUNCTION("""COMPUTED_VALUE"""),"Neto: 8,50 € (a partir de 1 uds.)")</f>
        <v>Neto: 8,50 € (a partir de 1 uds.)</v>
      </c>
    </row>
    <row r="694">
      <c r="A694" s="4" t="str">
        <f>IFERROR(__xludf.DUMMYFUNCTION("""COMPUTED_VALUE"""),"0616B")</f>
        <v>0616B</v>
      </c>
      <c r="B694" s="4" t="str">
        <f>IFERROR(__xludf.DUMMYFUNCTION("""COMPUTED_VALUE"""),"Cartel PVC 42x42 Fotolum. Salida emergencia derecha")</f>
        <v>Cartel PVC 42x42 Fotolum. Salida emergencia derecha</v>
      </c>
      <c r="C694" s="4">
        <f>IFERROR(__xludf.DUMMYFUNCTION("""COMPUTED_VALUE"""),3.9)</f>
        <v>3.9</v>
      </c>
      <c r="D694" s="4"/>
      <c r="E694" s="4" t="str">
        <f>IFERROR(__xludf.DUMMYFUNCTION("""COMPUTED_VALUE"""),"Sin precio neto")</f>
        <v>Sin precio neto</v>
      </c>
    </row>
    <row r="695">
      <c r="A695" s="4" t="str">
        <f>IFERROR(__xludf.DUMMYFUNCTION("""COMPUTED_VALUE"""),"0616C")</f>
        <v>0616C</v>
      </c>
      <c r="B695" s="4" t="str">
        <f>IFERROR(__xludf.DUMMYFUNCTION("""COMPUTED_VALUE"""),"Cartel PVC 63x63 Fotolum. Salida emergencia derecha")</f>
        <v>Cartel PVC 63x63 Fotolum. Salida emergencia derecha</v>
      </c>
      <c r="C695" s="4">
        <f>IFERROR(__xludf.DUMMYFUNCTION("""COMPUTED_VALUE"""),6.25)</f>
        <v>6.25</v>
      </c>
      <c r="D695" s="4"/>
      <c r="E695" s="4" t="str">
        <f>IFERROR(__xludf.DUMMYFUNCTION("""COMPUTED_VALUE"""),"Sin precio neto")</f>
        <v>Sin precio neto</v>
      </c>
    </row>
    <row r="696">
      <c r="A696" s="4" t="str">
        <f>IFERROR(__xludf.DUMMYFUNCTION("""COMPUTED_VALUE"""),"0616D")</f>
        <v>0616D</v>
      </c>
      <c r="B696" s="4" t="str">
        <f>IFERROR(__xludf.DUMMYFUNCTION("""COMPUTED_VALUE"""),"Señal metalica P-30")</f>
        <v>Señal metalica P-30</v>
      </c>
      <c r="C696" s="4">
        <f>IFERROR(__xludf.DUMMYFUNCTION("""COMPUTED_VALUE"""),11.25)</f>
        <v>11.25</v>
      </c>
      <c r="D696" s="4">
        <f>IFERROR(__xludf.DUMMYFUNCTION("""COMPUTED_VALUE"""),8.5)</f>
        <v>8.5</v>
      </c>
      <c r="E696" s="4" t="str">
        <f>IFERROR(__xludf.DUMMYFUNCTION("""COMPUTED_VALUE"""),"Neto: 8,50 € (a partir de 1 uds.)")</f>
        <v>Neto: 8,50 € (a partir de 1 uds.)</v>
      </c>
    </row>
    <row r="697">
      <c r="A697" s="4" t="str">
        <f>IFERROR(__xludf.DUMMYFUNCTION("""COMPUTED_VALUE"""),"617")</f>
        <v>617</v>
      </c>
      <c r="B697" s="4" t="str">
        <f>IFERROR(__xludf.DUMMYFUNCTION("""COMPUTED_VALUE"""),"Señal metalica TP-50")</f>
        <v>Señal metalica TP-50</v>
      </c>
      <c r="C697" s="4">
        <f>IFERROR(__xludf.DUMMYFUNCTION("""COMPUTED_VALUE"""),11.25)</f>
        <v>11.25</v>
      </c>
      <c r="D697" s="4">
        <f>IFERROR(__xludf.DUMMYFUNCTION("""COMPUTED_VALUE"""),8.5)</f>
        <v>8.5</v>
      </c>
      <c r="E697" s="4" t="str">
        <f>IFERROR(__xludf.DUMMYFUNCTION("""COMPUTED_VALUE"""),"Neto: 8,50 € (a partir de 1 uds.)")</f>
        <v>Neto: 8,50 € (a partir de 1 uds.)</v>
      </c>
    </row>
    <row r="698">
      <c r="A698" s="4" t="str">
        <f>IFERROR(__xludf.DUMMYFUNCTION("""COMPUTED_VALUE"""),"0617D")</f>
        <v>0617D</v>
      </c>
      <c r="B698" s="4" t="str">
        <f>IFERROR(__xludf.DUMMYFUNCTION("""COMPUTED_VALUE"""),"Señal metalica P-50")</f>
        <v>Señal metalica P-50</v>
      </c>
      <c r="C698" s="4">
        <f>IFERROR(__xludf.DUMMYFUNCTION("""COMPUTED_VALUE"""),11.25)</f>
        <v>11.25</v>
      </c>
      <c r="D698" s="4">
        <f>IFERROR(__xludf.DUMMYFUNCTION("""COMPUTED_VALUE"""),8.5)</f>
        <v>8.5</v>
      </c>
      <c r="E698" s="4" t="str">
        <f>IFERROR(__xludf.DUMMYFUNCTION("""COMPUTED_VALUE"""),"Neto: 8,50 € (a partir de 1 uds.)")</f>
        <v>Neto: 8,50 € (a partir de 1 uds.)</v>
      </c>
    </row>
    <row r="699">
      <c r="A699" s="4" t="str">
        <f>IFERROR(__xludf.DUMMYFUNCTION("""COMPUTED_VALUE"""),"619")</f>
        <v>619</v>
      </c>
      <c r="B699" s="4" t="str">
        <f>IFERROR(__xludf.DUMMYFUNCTION("""COMPUTED_VALUE"""),"Señal metalica TP-4")</f>
        <v>Señal metalica TP-4</v>
      </c>
      <c r="C699" s="4">
        <f>IFERROR(__xludf.DUMMYFUNCTION("""COMPUTED_VALUE"""),11.25)</f>
        <v>11.25</v>
      </c>
      <c r="D699" s="4">
        <f>IFERROR(__xludf.DUMMYFUNCTION("""COMPUTED_VALUE"""),8.5)</f>
        <v>8.5</v>
      </c>
      <c r="E699" s="4" t="str">
        <f>IFERROR(__xludf.DUMMYFUNCTION("""COMPUTED_VALUE"""),"Neto: 8,50 € (a partir de 1 uds.)")</f>
        <v>Neto: 8,50 € (a partir de 1 uds.)</v>
      </c>
    </row>
    <row r="700">
      <c r="A700" s="4" t="str">
        <f>IFERROR(__xludf.DUMMYFUNCTION("""COMPUTED_VALUE"""),"0619D")</f>
        <v>0619D</v>
      </c>
      <c r="B700" s="4" t="str">
        <f>IFERROR(__xludf.DUMMYFUNCTION("""COMPUTED_VALUE"""),"Señal metalica P-4")</f>
        <v>Señal metalica P-4</v>
      </c>
      <c r="C700" s="4">
        <f>IFERROR(__xludf.DUMMYFUNCTION("""COMPUTED_VALUE"""),11.25)</f>
        <v>11.25</v>
      </c>
      <c r="D700" s="4">
        <f>IFERROR(__xludf.DUMMYFUNCTION("""COMPUTED_VALUE"""),8.5)</f>
        <v>8.5</v>
      </c>
      <c r="E700" s="4" t="str">
        <f>IFERROR(__xludf.DUMMYFUNCTION("""COMPUTED_VALUE"""),"Neto: 8,50 € (a partir de 1 uds.)")</f>
        <v>Neto: 8,50 € (a partir de 1 uds.)</v>
      </c>
    </row>
    <row r="701">
      <c r="A701" s="4" t="str">
        <f>IFERROR(__xludf.DUMMYFUNCTION("""COMPUTED_VALUE"""),"620")</f>
        <v>620</v>
      </c>
      <c r="B701" s="4" t="str">
        <f>IFERROR(__xludf.DUMMYFUNCTION("""COMPUTED_VALUE"""),"Señal metalica TR-1")</f>
        <v>Señal metalica TR-1</v>
      </c>
      <c r="C701" s="4">
        <f>IFERROR(__xludf.DUMMYFUNCTION("""COMPUTED_VALUE"""),11.25)</f>
        <v>11.25</v>
      </c>
      <c r="D701" s="4">
        <f>IFERROR(__xludf.DUMMYFUNCTION("""COMPUTED_VALUE"""),8.5)</f>
        <v>8.5</v>
      </c>
      <c r="E701" s="4" t="str">
        <f>IFERROR(__xludf.DUMMYFUNCTION("""COMPUTED_VALUE"""),"Neto: 8,50 € (a partir de 1 uds.)")</f>
        <v>Neto: 8,50 € (a partir de 1 uds.)</v>
      </c>
    </row>
    <row r="702">
      <c r="A702" s="4" t="str">
        <f>IFERROR(__xludf.DUMMYFUNCTION("""COMPUTED_VALUE"""),"0620D")</f>
        <v>0620D</v>
      </c>
      <c r="B702" s="4" t="str">
        <f>IFERROR(__xludf.DUMMYFUNCTION("""COMPUTED_VALUE"""),"Señal metalica R-1")</f>
        <v>Señal metalica R-1</v>
      </c>
      <c r="C702" s="4">
        <f>IFERROR(__xludf.DUMMYFUNCTION("""COMPUTED_VALUE"""),11.25)</f>
        <v>11.25</v>
      </c>
      <c r="D702" s="4">
        <f>IFERROR(__xludf.DUMMYFUNCTION("""COMPUTED_VALUE"""),8.5)</f>
        <v>8.5</v>
      </c>
      <c r="E702" s="4" t="str">
        <f>IFERROR(__xludf.DUMMYFUNCTION("""COMPUTED_VALUE"""),"Neto: 8,50 € (a partir de 1 uds.)")</f>
        <v>Neto: 8,50 € (a partir de 1 uds.)</v>
      </c>
    </row>
    <row r="703">
      <c r="A703" s="4" t="str">
        <f>IFERROR(__xludf.DUMMYFUNCTION("""COMPUTED_VALUE"""),"624")</f>
        <v>624</v>
      </c>
      <c r="B703" s="4" t="str">
        <f>IFERROR(__xludf.DUMMYFUNCTION("""COMPUTED_VALUE"""),"Señal metalica Minusvalidos M-1")</f>
        <v>Señal metalica Minusvalidos M-1</v>
      </c>
      <c r="C703" s="4">
        <f>IFERROR(__xludf.DUMMYFUNCTION("""COMPUTED_VALUE"""),11.25)</f>
        <v>11.25</v>
      </c>
      <c r="D703" s="4">
        <f>IFERROR(__xludf.DUMMYFUNCTION("""COMPUTED_VALUE"""),8.5)</f>
        <v>8.5</v>
      </c>
      <c r="E703" s="4" t="str">
        <f>IFERROR(__xludf.DUMMYFUNCTION("""COMPUTED_VALUE"""),"Neto: 8,50 € (a partir de 1 uds.)")</f>
        <v>Neto: 8,50 € (a partir de 1 uds.)</v>
      </c>
    </row>
    <row r="704">
      <c r="A704" s="4" t="str">
        <f>IFERROR(__xludf.DUMMYFUNCTION("""COMPUTED_VALUE"""),"625")</f>
        <v>625</v>
      </c>
      <c r="B704" s="4" t="str">
        <f>IFERROR(__xludf.DUMMYFUNCTION("""COMPUTED_VALUE"""),"Señal metalica S-13")</f>
        <v>Señal metalica S-13</v>
      </c>
      <c r="C704" s="4">
        <f>IFERROR(__xludf.DUMMYFUNCTION("""COMPUTED_VALUE"""),11.25)</f>
        <v>11.25</v>
      </c>
      <c r="D704" s="4">
        <f>IFERROR(__xludf.DUMMYFUNCTION("""COMPUTED_VALUE"""),8.5)</f>
        <v>8.5</v>
      </c>
      <c r="E704" s="4" t="str">
        <f>IFERROR(__xludf.DUMMYFUNCTION("""COMPUTED_VALUE"""),"Neto: 8,50 € (a partir de 1 uds.)")</f>
        <v>Neto: 8,50 € (a partir de 1 uds.)</v>
      </c>
    </row>
    <row r="705">
      <c r="A705" s="4" t="str">
        <f>IFERROR(__xludf.DUMMYFUNCTION("""COMPUTED_VALUE"""),"628")</f>
        <v>628</v>
      </c>
      <c r="B705" s="4" t="str">
        <f>IFERROR(__xludf.DUMMYFUNCTION("""COMPUTED_VALUE"""),"Señal metalica R-402")</f>
        <v>Señal metalica R-402</v>
      </c>
      <c r="C705" s="4">
        <f>IFERROR(__xludf.DUMMYFUNCTION("""COMPUTED_VALUE"""),11.25)</f>
        <v>11.25</v>
      </c>
      <c r="D705" s="4">
        <f>IFERROR(__xludf.DUMMYFUNCTION("""COMPUTED_VALUE"""),8.5)</f>
        <v>8.5</v>
      </c>
      <c r="E705" s="4" t="str">
        <f>IFERROR(__xludf.DUMMYFUNCTION("""COMPUTED_VALUE"""),"Neto: 8,50 € (a partir de 1 uds.)")</f>
        <v>Neto: 8,50 € (a partir de 1 uds.)</v>
      </c>
    </row>
    <row r="706">
      <c r="A706" s="4" t="str">
        <f>IFERROR(__xludf.DUMMYFUNCTION("""COMPUTED_VALUE"""),"629")</f>
        <v>629</v>
      </c>
      <c r="B706" s="4" t="str">
        <f>IFERROR(__xludf.DUMMYFUNCTION("""COMPUTED_VALUE"""),"Señal metalica TR-100")</f>
        <v>Señal metalica TR-100</v>
      </c>
      <c r="C706" s="4">
        <f>IFERROR(__xludf.DUMMYFUNCTION("""COMPUTED_VALUE"""),11.25)</f>
        <v>11.25</v>
      </c>
      <c r="D706" s="4">
        <f>IFERROR(__xludf.DUMMYFUNCTION("""COMPUTED_VALUE"""),8.5)</f>
        <v>8.5</v>
      </c>
      <c r="E706" s="4" t="str">
        <f>IFERROR(__xludf.DUMMYFUNCTION("""COMPUTED_VALUE"""),"Neto: 8,50 € (a partir de 1 uds.)")</f>
        <v>Neto: 8,50 € (a partir de 1 uds.)</v>
      </c>
    </row>
    <row r="707">
      <c r="A707" s="4" t="str">
        <f>IFERROR(__xludf.DUMMYFUNCTION("""COMPUTED_VALUE"""),"0629D")</f>
        <v>0629D</v>
      </c>
      <c r="B707" s="4" t="str">
        <f>IFERROR(__xludf.DUMMYFUNCTION("""COMPUTED_VALUE"""),"Señal metalica R-100")</f>
        <v>Señal metalica R-100</v>
      </c>
      <c r="C707" s="4">
        <f>IFERROR(__xludf.DUMMYFUNCTION("""COMPUTED_VALUE"""),11.25)</f>
        <v>11.25</v>
      </c>
      <c r="D707" s="4">
        <f>IFERROR(__xludf.DUMMYFUNCTION("""COMPUTED_VALUE"""),8.5)</f>
        <v>8.5</v>
      </c>
      <c r="E707" s="4" t="str">
        <f>IFERROR(__xludf.DUMMYFUNCTION("""COMPUTED_VALUE"""),"Neto: 8,50 € (a partir de 1 uds.)")</f>
        <v>Neto: 8,50 € (a partir de 1 uds.)</v>
      </c>
    </row>
    <row r="708">
      <c r="A708" s="4" t="str">
        <f>IFERROR(__xludf.DUMMYFUNCTION("""COMPUTED_VALUE"""),"630")</f>
        <v>630</v>
      </c>
      <c r="B708" s="4" t="str">
        <f>IFERROR(__xludf.DUMMYFUNCTION("""COMPUTED_VALUE"""),"Señal metalica TR-305")</f>
        <v>Señal metalica TR-305</v>
      </c>
      <c r="C708" s="4">
        <f>IFERROR(__xludf.DUMMYFUNCTION("""COMPUTED_VALUE"""),11.25)</f>
        <v>11.25</v>
      </c>
      <c r="D708" s="4">
        <f>IFERROR(__xludf.DUMMYFUNCTION("""COMPUTED_VALUE"""),8.5)</f>
        <v>8.5</v>
      </c>
      <c r="E708" s="4" t="str">
        <f>IFERROR(__xludf.DUMMYFUNCTION("""COMPUTED_VALUE"""),"Neto: 8,50 € (a partir de 1 uds.)")</f>
        <v>Neto: 8,50 € (a partir de 1 uds.)</v>
      </c>
    </row>
    <row r="709">
      <c r="A709" s="4" t="str">
        <f>IFERROR(__xludf.DUMMYFUNCTION("""COMPUTED_VALUE"""),"0630D")</f>
        <v>0630D</v>
      </c>
      <c r="B709" s="4" t="str">
        <f>IFERROR(__xludf.DUMMYFUNCTION("""COMPUTED_VALUE"""),"Señal metalica R-305")</f>
        <v>Señal metalica R-305</v>
      </c>
      <c r="C709" s="4">
        <f>IFERROR(__xludf.DUMMYFUNCTION("""COMPUTED_VALUE"""),11.25)</f>
        <v>11.25</v>
      </c>
      <c r="D709" s="4">
        <f>IFERROR(__xludf.DUMMYFUNCTION("""COMPUTED_VALUE"""),8.5)</f>
        <v>8.5</v>
      </c>
      <c r="E709" s="4" t="str">
        <f>IFERROR(__xludf.DUMMYFUNCTION("""COMPUTED_VALUE"""),"Neto: 8,50 € (a partir de 1 uds.)")</f>
        <v>Neto: 8,50 € (a partir de 1 uds.)</v>
      </c>
    </row>
    <row r="710">
      <c r="A710" s="4" t="str">
        <f>IFERROR(__xludf.DUMMYFUNCTION("""COMPUTED_VALUE"""),"641")</f>
        <v>641</v>
      </c>
      <c r="B710" s="4" t="str">
        <f>IFERROR(__xludf.DUMMYFUNCTION("""COMPUTED_VALUE"""),"Señal metalica TR-101")</f>
        <v>Señal metalica TR-101</v>
      </c>
      <c r="C710" s="4">
        <f>IFERROR(__xludf.DUMMYFUNCTION("""COMPUTED_VALUE"""),11.25)</f>
        <v>11.25</v>
      </c>
      <c r="D710" s="4">
        <f>IFERROR(__xludf.DUMMYFUNCTION("""COMPUTED_VALUE"""),8.5)</f>
        <v>8.5</v>
      </c>
      <c r="E710" s="4" t="str">
        <f>IFERROR(__xludf.DUMMYFUNCTION("""COMPUTED_VALUE"""),"Neto: 8,50 € (a partir de 1 uds.)")</f>
        <v>Neto: 8,50 € (a partir de 1 uds.)</v>
      </c>
    </row>
    <row r="711">
      <c r="A711" s="4" t="str">
        <f>IFERROR(__xludf.DUMMYFUNCTION("""COMPUTED_VALUE"""),"642")</f>
        <v>642</v>
      </c>
      <c r="B711" s="4" t="str">
        <f>IFERROR(__xludf.DUMMYFUNCTION("""COMPUTED_VALUE"""),"Señal metalica TR-106")</f>
        <v>Señal metalica TR-106</v>
      </c>
      <c r="C711" s="4">
        <f>IFERROR(__xludf.DUMMYFUNCTION("""COMPUTED_VALUE"""),11.25)</f>
        <v>11.25</v>
      </c>
      <c r="D711" s="4">
        <f>IFERROR(__xludf.DUMMYFUNCTION("""COMPUTED_VALUE"""),8.5)</f>
        <v>8.5</v>
      </c>
      <c r="E711" s="4" t="str">
        <f>IFERROR(__xludf.DUMMYFUNCTION("""COMPUTED_VALUE"""),"Neto: 8,50 € (a partir de 1 uds.)")</f>
        <v>Neto: 8,50 € (a partir de 1 uds.)</v>
      </c>
    </row>
    <row r="712">
      <c r="A712" s="4" t="str">
        <f>IFERROR(__xludf.DUMMYFUNCTION("""COMPUTED_VALUE"""),"0642D")</f>
        <v>0642D</v>
      </c>
      <c r="B712" s="4" t="str">
        <f>IFERROR(__xludf.DUMMYFUNCTION("""COMPUTED_VALUE"""),"Señal metalica R-106")</f>
        <v>Señal metalica R-106</v>
      </c>
      <c r="C712" s="4">
        <f>IFERROR(__xludf.DUMMYFUNCTION("""COMPUTED_VALUE"""),11.25)</f>
        <v>11.25</v>
      </c>
      <c r="D712" s="4">
        <f>IFERROR(__xludf.DUMMYFUNCTION("""COMPUTED_VALUE"""),8.5)</f>
        <v>8.5</v>
      </c>
      <c r="E712" s="4" t="str">
        <f>IFERROR(__xludf.DUMMYFUNCTION("""COMPUTED_VALUE"""),"Neto: 8,50 € (a partir de 1 uds.)")</f>
        <v>Neto: 8,50 € (a partir de 1 uds.)</v>
      </c>
    </row>
    <row r="713">
      <c r="A713" s="4" t="str">
        <f>IFERROR(__xludf.DUMMYFUNCTION("""COMPUTED_VALUE"""),"643")</f>
        <v>643</v>
      </c>
      <c r="B713" s="4" t="str">
        <f>IFERROR(__xludf.DUMMYFUNCTION("""COMPUTED_VALUE"""),"Señal metalica TR-201")</f>
        <v>Señal metalica TR-201</v>
      </c>
      <c r="C713" s="4">
        <f>IFERROR(__xludf.DUMMYFUNCTION("""COMPUTED_VALUE"""),11.25)</f>
        <v>11.25</v>
      </c>
      <c r="D713" s="4">
        <f>IFERROR(__xludf.DUMMYFUNCTION("""COMPUTED_VALUE"""),8.5)</f>
        <v>8.5</v>
      </c>
      <c r="E713" s="4" t="str">
        <f>IFERROR(__xludf.DUMMYFUNCTION("""COMPUTED_VALUE"""),"Neto: 8,50 € (a partir de 1 uds.)")</f>
        <v>Neto: 8,50 € (a partir de 1 uds.)</v>
      </c>
    </row>
    <row r="714">
      <c r="A714" s="4" t="str">
        <f>IFERROR(__xludf.DUMMYFUNCTION("""COMPUTED_VALUE"""),"0643D")</f>
        <v>0643D</v>
      </c>
      <c r="B714" s="4" t="str">
        <f>IFERROR(__xludf.DUMMYFUNCTION("""COMPUTED_VALUE"""),"Señal metalica R-201")</f>
        <v>Señal metalica R-201</v>
      </c>
      <c r="C714" s="4">
        <f>IFERROR(__xludf.DUMMYFUNCTION("""COMPUTED_VALUE"""),11.25)</f>
        <v>11.25</v>
      </c>
      <c r="D714" s="4">
        <f>IFERROR(__xludf.DUMMYFUNCTION("""COMPUTED_VALUE"""),8.5)</f>
        <v>8.5</v>
      </c>
      <c r="E714" s="4" t="str">
        <f>IFERROR(__xludf.DUMMYFUNCTION("""COMPUTED_VALUE"""),"Neto: 8,50 € (a partir de 1 uds.)")</f>
        <v>Neto: 8,50 € (a partir de 1 uds.)</v>
      </c>
    </row>
    <row r="715">
      <c r="A715" s="4" t="str">
        <f>IFERROR(__xludf.DUMMYFUNCTION("""COMPUTED_VALUE"""),"644")</f>
        <v>644</v>
      </c>
      <c r="B715" s="4" t="str">
        <f>IFERROR(__xludf.DUMMYFUNCTION("""COMPUTED_VALUE"""),"Señal metalica TR-204")</f>
        <v>Señal metalica TR-204</v>
      </c>
      <c r="C715" s="4">
        <f>IFERROR(__xludf.DUMMYFUNCTION("""COMPUTED_VALUE"""),11.25)</f>
        <v>11.25</v>
      </c>
      <c r="D715" s="4">
        <f>IFERROR(__xludf.DUMMYFUNCTION("""COMPUTED_VALUE"""),8.5)</f>
        <v>8.5</v>
      </c>
      <c r="E715" s="4" t="str">
        <f>IFERROR(__xludf.DUMMYFUNCTION("""COMPUTED_VALUE"""),"Neto: 8,50 € (a partir de 1 uds.)")</f>
        <v>Neto: 8,50 € (a partir de 1 uds.)</v>
      </c>
    </row>
    <row r="716">
      <c r="A716" s="4" t="str">
        <f>IFERROR(__xludf.DUMMYFUNCTION("""COMPUTED_VALUE"""),"0644D")</f>
        <v>0644D</v>
      </c>
      <c r="B716" s="4" t="str">
        <f>IFERROR(__xludf.DUMMYFUNCTION("""COMPUTED_VALUE"""),"Señal metalica R-204")</f>
        <v>Señal metalica R-204</v>
      </c>
      <c r="C716" s="4">
        <f>IFERROR(__xludf.DUMMYFUNCTION("""COMPUTED_VALUE"""),11.25)</f>
        <v>11.25</v>
      </c>
      <c r="D716" s="4">
        <f>IFERROR(__xludf.DUMMYFUNCTION("""COMPUTED_VALUE"""),8.5)</f>
        <v>8.5</v>
      </c>
      <c r="E716" s="4" t="str">
        <f>IFERROR(__xludf.DUMMYFUNCTION("""COMPUTED_VALUE"""),"Neto: 8,50 € (a partir de 1 uds.)")</f>
        <v>Neto: 8,50 € (a partir de 1 uds.)</v>
      </c>
    </row>
    <row r="717">
      <c r="A717" s="4" t="str">
        <f>IFERROR(__xludf.DUMMYFUNCTION("""COMPUTED_VALUE"""),"645")</f>
        <v>645</v>
      </c>
      <c r="B717" s="4" t="str">
        <f>IFERROR(__xludf.DUMMYFUNCTION("""COMPUTED_VALUE"""),"Señal metalica TR-205")</f>
        <v>Señal metalica TR-205</v>
      </c>
      <c r="C717" s="4">
        <f>IFERROR(__xludf.DUMMYFUNCTION("""COMPUTED_VALUE"""),11.25)</f>
        <v>11.25</v>
      </c>
      <c r="D717" s="4">
        <f>IFERROR(__xludf.DUMMYFUNCTION("""COMPUTED_VALUE"""),8.5)</f>
        <v>8.5</v>
      </c>
      <c r="E717" s="4" t="str">
        <f>IFERROR(__xludf.DUMMYFUNCTION("""COMPUTED_VALUE"""),"Neto: 8,50 € (a partir de 1 uds.)")</f>
        <v>Neto: 8,50 € (a partir de 1 uds.)</v>
      </c>
    </row>
    <row r="718">
      <c r="A718" s="4" t="str">
        <f>IFERROR(__xludf.DUMMYFUNCTION("""COMPUTED_VALUE"""),"0645D")</f>
        <v>0645D</v>
      </c>
      <c r="B718" s="4" t="str">
        <f>IFERROR(__xludf.DUMMYFUNCTION("""COMPUTED_VALUE"""),"Señal metalica R-205")</f>
        <v>Señal metalica R-205</v>
      </c>
      <c r="C718" s="4">
        <f>IFERROR(__xludf.DUMMYFUNCTION("""COMPUTED_VALUE"""),11.25)</f>
        <v>11.25</v>
      </c>
      <c r="D718" s="4">
        <f>IFERROR(__xludf.DUMMYFUNCTION("""COMPUTED_VALUE"""),8.5)</f>
        <v>8.5</v>
      </c>
      <c r="E718" s="4" t="str">
        <f>IFERROR(__xludf.DUMMYFUNCTION("""COMPUTED_VALUE"""),"Neto: 8,50 € (a partir de 1 uds.)")</f>
        <v>Neto: 8,50 € (a partir de 1 uds.)</v>
      </c>
    </row>
    <row r="719">
      <c r="A719" s="4" t="str">
        <f>IFERROR(__xludf.DUMMYFUNCTION("""COMPUTED_VALUE"""),"647")</f>
        <v>647</v>
      </c>
      <c r="B719" s="4" t="str">
        <f>IFERROR(__xludf.DUMMYFUNCTION("""COMPUTED_VALUE"""),"Señal metalica TR-303")</f>
        <v>Señal metalica TR-303</v>
      </c>
      <c r="C719" s="4">
        <f>IFERROR(__xludf.DUMMYFUNCTION("""COMPUTED_VALUE"""),11.25)</f>
        <v>11.25</v>
      </c>
      <c r="D719" s="4">
        <f>IFERROR(__xludf.DUMMYFUNCTION("""COMPUTED_VALUE"""),8.5)</f>
        <v>8.5</v>
      </c>
      <c r="E719" s="4" t="str">
        <f>IFERROR(__xludf.DUMMYFUNCTION("""COMPUTED_VALUE"""),"Neto: 8,50 € (a partir de 1 uds.)")</f>
        <v>Neto: 8,50 € (a partir de 1 uds.)</v>
      </c>
    </row>
    <row r="720">
      <c r="A720" s="4" t="str">
        <f>IFERROR(__xludf.DUMMYFUNCTION("""COMPUTED_VALUE"""),"0647D")</f>
        <v>0647D</v>
      </c>
      <c r="B720" s="4" t="str">
        <f>IFERROR(__xludf.DUMMYFUNCTION("""COMPUTED_VALUE"""),"Señal metalica R-303")</f>
        <v>Señal metalica R-303</v>
      </c>
      <c r="C720" s="4">
        <f>IFERROR(__xludf.DUMMYFUNCTION("""COMPUTED_VALUE"""),11.25)</f>
        <v>11.25</v>
      </c>
      <c r="D720" s="4">
        <f>IFERROR(__xludf.DUMMYFUNCTION("""COMPUTED_VALUE"""),8.5)</f>
        <v>8.5</v>
      </c>
      <c r="E720" s="4" t="str">
        <f>IFERROR(__xludf.DUMMYFUNCTION("""COMPUTED_VALUE"""),"Neto: 8,50 € (a partir de 1 uds.)")</f>
        <v>Neto: 8,50 € (a partir de 1 uds.)</v>
      </c>
    </row>
    <row r="721">
      <c r="A721" s="4" t="str">
        <f>IFERROR(__xludf.DUMMYFUNCTION("""COMPUTED_VALUE"""),"648")</f>
        <v>648</v>
      </c>
      <c r="B721" s="4" t="str">
        <f>IFERROR(__xludf.DUMMYFUNCTION("""COMPUTED_VALUE"""),"Señal metalica TR-301/20")</f>
        <v>Señal metalica TR-301/20</v>
      </c>
      <c r="C721" s="4">
        <f>IFERROR(__xludf.DUMMYFUNCTION("""COMPUTED_VALUE"""),11.25)</f>
        <v>11.25</v>
      </c>
      <c r="D721" s="4">
        <f>IFERROR(__xludf.DUMMYFUNCTION("""COMPUTED_VALUE"""),8.5)</f>
        <v>8.5</v>
      </c>
      <c r="E721" s="4" t="str">
        <f>IFERROR(__xludf.DUMMYFUNCTION("""COMPUTED_VALUE"""),"Neto: 8,50 € (a partir de 1 uds.)")</f>
        <v>Neto: 8,50 € (a partir de 1 uds.)</v>
      </c>
    </row>
    <row r="722">
      <c r="A722" s="4" t="str">
        <f>IFERROR(__xludf.DUMMYFUNCTION("""COMPUTED_VALUE"""),"0648D")</f>
        <v>0648D</v>
      </c>
      <c r="B722" s="4" t="str">
        <f>IFERROR(__xludf.DUMMYFUNCTION("""COMPUTED_VALUE"""),"Señal metalica R-301/20")</f>
        <v>Señal metalica R-301/20</v>
      </c>
      <c r="C722" s="4">
        <f>IFERROR(__xludf.DUMMYFUNCTION("""COMPUTED_VALUE"""),11.25)</f>
        <v>11.25</v>
      </c>
      <c r="D722" s="4">
        <f>IFERROR(__xludf.DUMMYFUNCTION("""COMPUTED_VALUE"""),8.5)</f>
        <v>8.5</v>
      </c>
      <c r="E722" s="4" t="str">
        <f>IFERROR(__xludf.DUMMYFUNCTION("""COMPUTED_VALUE"""),"Neto: 8,50 € (a partir de 1 uds.)")</f>
        <v>Neto: 8,50 € (a partir de 1 uds.)</v>
      </c>
    </row>
    <row r="723">
      <c r="A723" s="4" t="str">
        <f>IFERROR(__xludf.DUMMYFUNCTION("""COMPUTED_VALUE"""),"649")</f>
        <v>649</v>
      </c>
      <c r="B723" s="4" t="str">
        <f>IFERROR(__xludf.DUMMYFUNCTION("""COMPUTED_VALUE"""),"Señal metalica TR-301/30")</f>
        <v>Señal metalica TR-301/30</v>
      </c>
      <c r="C723" s="4">
        <f>IFERROR(__xludf.DUMMYFUNCTION("""COMPUTED_VALUE"""),11.25)</f>
        <v>11.25</v>
      </c>
      <c r="D723" s="4">
        <f>IFERROR(__xludf.DUMMYFUNCTION("""COMPUTED_VALUE"""),8.5)</f>
        <v>8.5</v>
      </c>
      <c r="E723" s="4" t="str">
        <f>IFERROR(__xludf.DUMMYFUNCTION("""COMPUTED_VALUE"""),"Neto: 8,50 € (a partir de 1 uds.)")</f>
        <v>Neto: 8,50 € (a partir de 1 uds.)</v>
      </c>
    </row>
    <row r="724">
      <c r="A724" s="4" t="str">
        <f>IFERROR(__xludf.DUMMYFUNCTION("""COMPUTED_VALUE"""),"0649D")</f>
        <v>0649D</v>
      </c>
      <c r="B724" s="4" t="str">
        <f>IFERROR(__xludf.DUMMYFUNCTION("""COMPUTED_VALUE"""),"Señal metalica R-301/30")</f>
        <v>Señal metalica R-301/30</v>
      </c>
      <c r="C724" s="4">
        <f>IFERROR(__xludf.DUMMYFUNCTION("""COMPUTED_VALUE"""),11.25)</f>
        <v>11.25</v>
      </c>
      <c r="D724" s="4">
        <f>IFERROR(__xludf.DUMMYFUNCTION("""COMPUTED_VALUE"""),8.5)</f>
        <v>8.5</v>
      </c>
      <c r="E724" s="4" t="str">
        <f>IFERROR(__xludf.DUMMYFUNCTION("""COMPUTED_VALUE"""),"Neto: 8,50 € (a partir de 1 uds.)")</f>
        <v>Neto: 8,50 € (a partir de 1 uds.)</v>
      </c>
    </row>
    <row r="725">
      <c r="A725" s="4" t="str">
        <f>IFERROR(__xludf.DUMMYFUNCTION("""COMPUTED_VALUE"""),"650")</f>
        <v>650</v>
      </c>
      <c r="B725" s="4" t="str">
        <f>IFERROR(__xludf.DUMMYFUNCTION("""COMPUTED_VALUE"""),"Señal metalica TR-301/40")</f>
        <v>Señal metalica TR-301/40</v>
      </c>
      <c r="C725" s="4">
        <f>IFERROR(__xludf.DUMMYFUNCTION("""COMPUTED_VALUE"""),11.25)</f>
        <v>11.25</v>
      </c>
      <c r="D725" s="4">
        <f>IFERROR(__xludf.DUMMYFUNCTION("""COMPUTED_VALUE"""),8.5)</f>
        <v>8.5</v>
      </c>
      <c r="E725" s="4" t="str">
        <f>IFERROR(__xludf.DUMMYFUNCTION("""COMPUTED_VALUE"""),"Neto: 8,50 € (a partir de 1 uds.)")</f>
        <v>Neto: 8,50 € (a partir de 1 uds.)</v>
      </c>
    </row>
    <row r="726">
      <c r="A726" s="4" t="str">
        <f>IFERROR(__xludf.DUMMYFUNCTION("""COMPUTED_VALUE"""),"0650D")</f>
        <v>0650D</v>
      </c>
      <c r="B726" s="4" t="str">
        <f>IFERROR(__xludf.DUMMYFUNCTION("""COMPUTED_VALUE"""),"Señal metalica R301/40")</f>
        <v>Señal metalica R301/40</v>
      </c>
      <c r="C726" s="4">
        <f>IFERROR(__xludf.DUMMYFUNCTION("""COMPUTED_VALUE"""),11.25)</f>
        <v>11.25</v>
      </c>
      <c r="D726" s="4">
        <f>IFERROR(__xludf.DUMMYFUNCTION("""COMPUTED_VALUE"""),8.5)</f>
        <v>8.5</v>
      </c>
      <c r="E726" s="4" t="str">
        <f>IFERROR(__xludf.DUMMYFUNCTION("""COMPUTED_VALUE"""),"Neto: 8,50 € (a partir de 1 uds.)")</f>
        <v>Neto: 8,50 € (a partir de 1 uds.)</v>
      </c>
    </row>
    <row r="727">
      <c r="A727" s="4" t="str">
        <f>IFERROR(__xludf.DUMMYFUNCTION("""COMPUTED_VALUE"""),"651")</f>
        <v>651</v>
      </c>
      <c r="B727" s="4" t="str">
        <f>IFERROR(__xludf.DUMMYFUNCTION("""COMPUTED_VALUE"""),"Señal metalica TR-301/50")</f>
        <v>Señal metalica TR-301/50</v>
      </c>
      <c r="C727" s="4">
        <f>IFERROR(__xludf.DUMMYFUNCTION("""COMPUTED_VALUE"""),11.25)</f>
        <v>11.25</v>
      </c>
      <c r="D727" s="4">
        <f>IFERROR(__xludf.DUMMYFUNCTION("""COMPUTED_VALUE"""),8.5)</f>
        <v>8.5</v>
      </c>
      <c r="E727" s="4" t="str">
        <f>IFERROR(__xludf.DUMMYFUNCTION("""COMPUTED_VALUE"""),"Neto: 8,50 € (a partir de 1 uds.)")</f>
        <v>Neto: 8,50 € (a partir de 1 uds.)</v>
      </c>
    </row>
    <row r="728">
      <c r="A728" s="4" t="str">
        <f>IFERROR(__xludf.DUMMYFUNCTION("""COMPUTED_VALUE"""),"0651D")</f>
        <v>0651D</v>
      </c>
      <c r="B728" s="4" t="str">
        <f>IFERROR(__xludf.DUMMYFUNCTION("""COMPUTED_VALUE"""),"Señal metalica R-301/50")</f>
        <v>Señal metalica R-301/50</v>
      </c>
      <c r="C728" s="4">
        <f>IFERROR(__xludf.DUMMYFUNCTION("""COMPUTED_VALUE"""),11.25)</f>
        <v>11.25</v>
      </c>
      <c r="D728" s="4">
        <f>IFERROR(__xludf.DUMMYFUNCTION("""COMPUTED_VALUE"""),8.5)</f>
        <v>8.5</v>
      </c>
      <c r="E728" s="4" t="str">
        <f>IFERROR(__xludf.DUMMYFUNCTION("""COMPUTED_VALUE"""),"Neto: 8,50 € (a partir de 1 uds.)")</f>
        <v>Neto: 8,50 € (a partir de 1 uds.)</v>
      </c>
    </row>
    <row r="729">
      <c r="A729" s="4" t="str">
        <f>IFERROR(__xludf.DUMMYFUNCTION("""COMPUTED_VALUE"""),"652")</f>
        <v>652</v>
      </c>
      <c r="B729" s="4" t="str">
        <f>IFERROR(__xludf.DUMMYFUNCTION("""COMPUTED_VALUE"""),"Señal metalica TR-301/60")</f>
        <v>Señal metalica TR-301/60</v>
      </c>
      <c r="C729" s="4">
        <f>IFERROR(__xludf.DUMMYFUNCTION("""COMPUTED_VALUE"""),11.25)</f>
        <v>11.25</v>
      </c>
      <c r="D729" s="4">
        <f>IFERROR(__xludf.DUMMYFUNCTION("""COMPUTED_VALUE"""),8.5)</f>
        <v>8.5</v>
      </c>
      <c r="E729" s="4" t="str">
        <f>IFERROR(__xludf.DUMMYFUNCTION("""COMPUTED_VALUE"""),"Neto: 8,50 € (a partir de 1 uds.)")</f>
        <v>Neto: 8,50 € (a partir de 1 uds.)</v>
      </c>
    </row>
    <row r="730">
      <c r="A730" s="4" t="str">
        <f>IFERROR(__xludf.DUMMYFUNCTION("""COMPUTED_VALUE"""),"0652D")</f>
        <v>0652D</v>
      </c>
      <c r="B730" s="4" t="str">
        <f>IFERROR(__xludf.DUMMYFUNCTION("""COMPUTED_VALUE"""),"Señal metalica R-301/60")</f>
        <v>Señal metalica R-301/60</v>
      </c>
      <c r="C730" s="4">
        <f>IFERROR(__xludf.DUMMYFUNCTION("""COMPUTED_VALUE"""),11.25)</f>
        <v>11.25</v>
      </c>
      <c r="D730" s="4">
        <f>IFERROR(__xludf.DUMMYFUNCTION("""COMPUTED_VALUE"""),8.5)</f>
        <v>8.5</v>
      </c>
      <c r="E730" s="4" t="str">
        <f>IFERROR(__xludf.DUMMYFUNCTION("""COMPUTED_VALUE"""),"Neto: 8,50 € (a partir de 1 uds.)")</f>
        <v>Neto: 8,50 € (a partir de 1 uds.)</v>
      </c>
    </row>
    <row r="731">
      <c r="A731" s="4" t="str">
        <f>IFERROR(__xludf.DUMMYFUNCTION("""COMPUTED_VALUE"""),"653")</f>
        <v>653</v>
      </c>
      <c r="B731" s="4" t="str">
        <f>IFERROR(__xludf.DUMMYFUNCTION("""COMPUTED_VALUE"""),"Señal metalica R-307")</f>
        <v>Señal metalica R-307</v>
      </c>
      <c r="C731" s="4">
        <f>IFERROR(__xludf.DUMMYFUNCTION("""COMPUTED_VALUE"""),11.25)</f>
        <v>11.25</v>
      </c>
      <c r="D731" s="4">
        <f>IFERROR(__xludf.DUMMYFUNCTION("""COMPUTED_VALUE"""),8.5)</f>
        <v>8.5</v>
      </c>
      <c r="E731" s="4" t="str">
        <f>IFERROR(__xludf.DUMMYFUNCTION("""COMPUTED_VALUE"""),"Neto: 8,50 € (a partir de 1 uds.)")</f>
        <v>Neto: 8,50 € (a partir de 1 uds.)</v>
      </c>
    </row>
    <row r="732">
      <c r="A732" s="4" t="str">
        <f>IFERROR(__xludf.DUMMYFUNCTION("""COMPUTED_VALUE"""),"654")</f>
        <v>654</v>
      </c>
      <c r="B732" s="4" t="str">
        <f>IFERROR(__xludf.DUMMYFUNCTION("""COMPUTED_VALUE"""),"Señal metalica TR-301/10")</f>
        <v>Señal metalica TR-301/10</v>
      </c>
      <c r="C732" s="4">
        <f>IFERROR(__xludf.DUMMYFUNCTION("""COMPUTED_VALUE"""),11.25)</f>
        <v>11.25</v>
      </c>
      <c r="D732" s="4">
        <f>IFERROR(__xludf.DUMMYFUNCTION("""COMPUTED_VALUE"""),8.5)</f>
        <v>8.5</v>
      </c>
      <c r="E732" s="4" t="str">
        <f>IFERROR(__xludf.DUMMYFUNCTION("""COMPUTED_VALUE"""),"Neto: 8,50 € (a partir de 1 uds.)")</f>
        <v>Neto: 8,50 € (a partir de 1 uds.)</v>
      </c>
    </row>
    <row r="733">
      <c r="A733" s="4" t="str">
        <f>IFERROR(__xludf.DUMMYFUNCTION("""COMPUTED_VALUE"""),"655")</f>
        <v>655</v>
      </c>
      <c r="B733" s="4" t="str">
        <f>IFERROR(__xludf.DUMMYFUNCTION("""COMPUTED_VALUE"""),"Señal metalica Minusvalidos M-2")</f>
        <v>Señal metalica Minusvalidos M-2</v>
      </c>
      <c r="C733" s="4">
        <f>IFERROR(__xludf.DUMMYFUNCTION("""COMPUTED_VALUE"""),11.25)</f>
        <v>11.25</v>
      </c>
      <c r="D733" s="4">
        <f>IFERROR(__xludf.DUMMYFUNCTION("""COMPUTED_VALUE"""),8.5)</f>
        <v>8.5</v>
      </c>
      <c r="E733" s="4" t="str">
        <f>IFERROR(__xludf.DUMMYFUNCTION("""COMPUTED_VALUE"""),"Neto: 8,50 € (a partir de 1 uds.)")</f>
        <v>Neto: 8,50 € (a partir de 1 uds.)</v>
      </c>
    </row>
    <row r="734">
      <c r="A734" s="4" t="str">
        <f>IFERROR(__xludf.DUMMYFUNCTION("""COMPUTED_VALUE"""),"656")</f>
        <v>656</v>
      </c>
      <c r="B734" s="4" t="str">
        <f>IFERROR(__xludf.DUMMYFUNCTION("""COMPUTED_VALUE"""),"Señal metalica TR-302")</f>
        <v>Señal metalica TR-302</v>
      </c>
      <c r="C734" s="4">
        <f>IFERROR(__xludf.DUMMYFUNCTION("""COMPUTED_VALUE"""),11.25)</f>
        <v>11.25</v>
      </c>
      <c r="D734" s="4">
        <f>IFERROR(__xludf.DUMMYFUNCTION("""COMPUTED_VALUE"""),8.5)</f>
        <v>8.5</v>
      </c>
      <c r="E734" s="4" t="str">
        <f>IFERROR(__xludf.DUMMYFUNCTION("""COMPUTED_VALUE"""),"Neto: 8,50 € (a partir de 1 uds.)")</f>
        <v>Neto: 8,50 € (a partir de 1 uds.)</v>
      </c>
    </row>
    <row r="735">
      <c r="A735" s="4" t="str">
        <f>IFERROR(__xludf.DUMMYFUNCTION("""COMPUTED_VALUE"""),"0656D")</f>
        <v>0656D</v>
      </c>
      <c r="B735" s="4" t="str">
        <f>IFERROR(__xludf.DUMMYFUNCTION("""COMPUTED_VALUE"""),"Señal metalica R-302")</f>
        <v>Señal metalica R-302</v>
      </c>
      <c r="C735" s="4">
        <f>IFERROR(__xludf.DUMMYFUNCTION("""COMPUTED_VALUE"""),11.25)</f>
        <v>11.25</v>
      </c>
      <c r="D735" s="4">
        <f>IFERROR(__xludf.DUMMYFUNCTION("""COMPUTED_VALUE"""),8.5)</f>
        <v>8.5</v>
      </c>
      <c r="E735" s="4" t="str">
        <f>IFERROR(__xludf.DUMMYFUNCTION("""COMPUTED_VALUE"""),"Neto: 8,50 € (a partir de 1 uds.)")</f>
        <v>Neto: 8,50 € (a partir de 1 uds.)</v>
      </c>
    </row>
    <row r="736">
      <c r="A736" s="4" t="str">
        <f>IFERROR(__xludf.DUMMYFUNCTION("""COMPUTED_VALUE"""),"657")</f>
        <v>657</v>
      </c>
      <c r="B736" s="4" t="str">
        <f>IFERROR(__xludf.DUMMYFUNCTION("""COMPUTED_VALUE"""),"Señal metalica TR-306")</f>
        <v>Señal metalica TR-306</v>
      </c>
      <c r="C736" s="4">
        <f>IFERROR(__xludf.DUMMYFUNCTION("""COMPUTED_VALUE"""),11.25)</f>
        <v>11.25</v>
      </c>
      <c r="D736" s="4">
        <f>IFERROR(__xludf.DUMMYFUNCTION("""COMPUTED_VALUE"""),8.5)</f>
        <v>8.5</v>
      </c>
      <c r="E736" s="4" t="str">
        <f>IFERROR(__xludf.DUMMYFUNCTION("""COMPUTED_VALUE"""),"Neto: 8,50 € (a partir de 1 uds.)")</f>
        <v>Neto: 8,50 € (a partir de 1 uds.)</v>
      </c>
    </row>
    <row r="737">
      <c r="A737" s="4" t="str">
        <f>IFERROR(__xludf.DUMMYFUNCTION("""COMPUTED_VALUE"""),"0657D")</f>
        <v>0657D</v>
      </c>
      <c r="B737" s="4" t="str">
        <f>IFERROR(__xludf.DUMMYFUNCTION("""COMPUTED_VALUE"""),"Señal metalica R-306")</f>
        <v>Señal metalica R-306</v>
      </c>
      <c r="C737" s="4">
        <f>IFERROR(__xludf.DUMMYFUNCTION("""COMPUTED_VALUE"""),11.25)</f>
        <v>11.25</v>
      </c>
      <c r="D737" s="4">
        <f>IFERROR(__xludf.DUMMYFUNCTION("""COMPUTED_VALUE"""),8.5)</f>
        <v>8.5</v>
      </c>
      <c r="E737" s="4" t="str">
        <f>IFERROR(__xludf.DUMMYFUNCTION("""COMPUTED_VALUE"""),"Neto: 8,50 € (a partir de 1 uds.)")</f>
        <v>Neto: 8,50 € (a partir de 1 uds.)</v>
      </c>
    </row>
    <row r="738">
      <c r="A738" s="4" t="str">
        <f>IFERROR(__xludf.DUMMYFUNCTION("""COMPUTED_VALUE"""),"658")</f>
        <v>658</v>
      </c>
      <c r="B738" s="4" t="str">
        <f>IFERROR(__xludf.DUMMYFUNCTION("""COMPUTED_VALUE"""),"Soporte pared 60 mm para señal MOPU")</f>
        <v>Soporte pared 60 mm para señal MOPU</v>
      </c>
      <c r="C738" s="4">
        <f>IFERROR(__xludf.DUMMYFUNCTION("""COMPUTED_VALUE"""),17.0)</f>
        <v>17</v>
      </c>
      <c r="D738" s="4"/>
      <c r="E738" s="4" t="str">
        <f>IFERROR(__xludf.DUMMYFUNCTION("""COMPUTED_VALUE"""),"Sin precio neto")</f>
        <v>Sin precio neto</v>
      </c>
    </row>
    <row r="739">
      <c r="A739" s="4" t="str">
        <f>IFERROR(__xludf.DUMMYFUNCTION("""COMPUTED_VALUE"""),"661")</f>
        <v>661</v>
      </c>
      <c r="B739" s="4" t="str">
        <f>IFERROR(__xludf.DUMMYFUNCTION("""COMPUTED_VALUE"""),"Señal metalica R2 Stop")</f>
        <v>Señal metalica R2 Stop</v>
      </c>
      <c r="C739" s="4">
        <f>IFERROR(__xludf.DUMMYFUNCTION("""COMPUTED_VALUE"""),11.25)</f>
        <v>11.25</v>
      </c>
      <c r="D739" s="4">
        <f>IFERROR(__xludf.DUMMYFUNCTION("""COMPUTED_VALUE"""),8.5)</f>
        <v>8.5</v>
      </c>
      <c r="E739" s="4" t="str">
        <f>IFERROR(__xludf.DUMMYFUNCTION("""COMPUTED_VALUE"""),"Neto: 8,50 € (a partir de 1 uds.)")</f>
        <v>Neto: 8,50 € (a partir de 1 uds.)</v>
      </c>
    </row>
    <row r="740">
      <c r="A740" s="4" t="str">
        <f>IFERROR(__xludf.DUMMYFUNCTION("""COMPUTED_VALUE"""),"0661V")</f>
        <v>0661V</v>
      </c>
      <c r="B740" s="4" t="str">
        <f>IFERROR(__xludf.DUMMYFUNCTION("""COMPUTED_VALUE"""),"Vinilo adhesivo suelo STOP 40 cm")</f>
        <v>Vinilo adhesivo suelo STOP 40 cm</v>
      </c>
      <c r="C740" s="4">
        <f>IFERROR(__xludf.DUMMYFUNCTION("""COMPUTED_VALUE"""),6.15)</f>
        <v>6.15</v>
      </c>
      <c r="D740" s="4"/>
      <c r="E740" s="4" t="str">
        <f>IFERROR(__xludf.DUMMYFUNCTION("""COMPUTED_VALUE"""),"Sin precio neto")</f>
        <v>Sin precio neto</v>
      </c>
    </row>
    <row r="741">
      <c r="A741" s="4" t="str">
        <f>IFERROR(__xludf.DUMMYFUNCTION("""COMPUTED_VALUE"""),"662")</f>
        <v>662</v>
      </c>
      <c r="B741" s="4" t="str">
        <f>IFERROR(__xludf.DUMMYFUNCTION("""COMPUTED_VALUE"""),"Señal metalica R-308")</f>
        <v>Señal metalica R-308</v>
      </c>
      <c r="C741" s="4">
        <f>IFERROR(__xludf.DUMMYFUNCTION("""COMPUTED_VALUE"""),11.25)</f>
        <v>11.25</v>
      </c>
      <c r="D741" s="4">
        <f>IFERROR(__xludf.DUMMYFUNCTION("""COMPUTED_VALUE"""),8.5)</f>
        <v>8.5</v>
      </c>
      <c r="E741" s="4" t="str">
        <f>IFERROR(__xludf.DUMMYFUNCTION("""COMPUTED_VALUE"""),"Neto: 8,50 € (a partir de 1 uds.)")</f>
        <v>Neto: 8,50 € (a partir de 1 uds.)</v>
      </c>
    </row>
    <row r="742">
      <c r="A742" s="4" t="str">
        <f>IFERROR(__xludf.DUMMYFUNCTION("""COMPUTED_VALUE"""),"663")</f>
        <v>663</v>
      </c>
      <c r="B742" s="4" t="str">
        <f>IFERROR(__xludf.DUMMYFUNCTION("""COMPUTED_VALUE"""),"Señal metalica TR-400a")</f>
        <v>Señal metalica TR-400a</v>
      </c>
      <c r="C742" s="4">
        <f>IFERROR(__xludf.DUMMYFUNCTION("""COMPUTED_VALUE"""),11.25)</f>
        <v>11.25</v>
      </c>
      <c r="D742" s="4">
        <f>IFERROR(__xludf.DUMMYFUNCTION("""COMPUTED_VALUE"""),8.5)</f>
        <v>8.5</v>
      </c>
      <c r="E742" s="4" t="str">
        <f>IFERROR(__xludf.DUMMYFUNCTION("""COMPUTED_VALUE"""),"Neto: 8,50 € (a partir de 1 uds.)")</f>
        <v>Neto: 8,50 € (a partir de 1 uds.)</v>
      </c>
    </row>
    <row r="743">
      <c r="A743" s="4" t="str">
        <f>IFERROR(__xludf.DUMMYFUNCTION("""COMPUTED_VALUE"""),"664")</f>
        <v>664</v>
      </c>
      <c r="B743" s="4" t="str">
        <f>IFERROR(__xludf.DUMMYFUNCTION("""COMPUTED_VALUE"""),"Señal metalica R-400a")</f>
        <v>Señal metalica R-400a</v>
      </c>
      <c r="C743" s="4">
        <f>IFERROR(__xludf.DUMMYFUNCTION("""COMPUTED_VALUE"""),11.25)</f>
        <v>11.25</v>
      </c>
      <c r="D743" s="4">
        <f>IFERROR(__xludf.DUMMYFUNCTION("""COMPUTED_VALUE"""),8.5)</f>
        <v>8.5</v>
      </c>
      <c r="E743" s="4" t="str">
        <f>IFERROR(__xludf.DUMMYFUNCTION("""COMPUTED_VALUE"""),"Neto: 8,50 € (a partir de 1 uds.)")</f>
        <v>Neto: 8,50 € (a partir de 1 uds.)</v>
      </c>
    </row>
    <row r="744">
      <c r="A744" s="4" t="str">
        <f>IFERROR(__xludf.DUMMYFUNCTION("""COMPUTED_VALUE"""),"0664V")</f>
        <v>0664V</v>
      </c>
      <c r="B744" s="4" t="str">
        <f>IFERROR(__xludf.DUMMYFUNCTION("""COMPUTED_VALUE"""),"Vinilo adhesivo suelo Dirección oblig. 40cm")</f>
        <v>Vinilo adhesivo suelo Dirección oblig. 40cm</v>
      </c>
      <c r="C744" s="4">
        <f>IFERROR(__xludf.DUMMYFUNCTION("""COMPUTED_VALUE"""),6.15)</f>
        <v>6.15</v>
      </c>
      <c r="D744" s="4"/>
      <c r="E744" s="4" t="str">
        <f>IFERROR(__xludf.DUMMYFUNCTION("""COMPUTED_VALUE"""),"Sin precio neto")</f>
        <v>Sin precio neto</v>
      </c>
    </row>
    <row r="745">
      <c r="A745" s="4" t="str">
        <f>IFERROR(__xludf.DUMMYFUNCTION("""COMPUTED_VALUE"""),"665")</f>
        <v>665</v>
      </c>
      <c r="B745" s="4" t="str">
        <f>IFERROR(__xludf.DUMMYFUNCTION("""COMPUTED_VALUE"""),"Señal metalica S-17 Parking")</f>
        <v>Señal metalica S-17 Parking</v>
      </c>
      <c r="C745" s="4">
        <f>IFERROR(__xludf.DUMMYFUNCTION("""COMPUTED_VALUE"""),11.25)</f>
        <v>11.25</v>
      </c>
      <c r="D745" s="4">
        <f>IFERROR(__xludf.DUMMYFUNCTION("""COMPUTED_VALUE"""),8.5)</f>
        <v>8.5</v>
      </c>
      <c r="E745" s="4" t="str">
        <f>IFERROR(__xludf.DUMMYFUNCTION("""COMPUTED_VALUE"""),"Neto: 8,50 € (a partir de 1 uds.)")</f>
        <v>Neto: 8,50 € (a partir de 1 uds.)</v>
      </c>
    </row>
    <row r="746">
      <c r="A746" s="4" t="str">
        <f>IFERROR(__xludf.DUMMYFUNCTION("""COMPUTED_VALUE"""),"666")</f>
        <v>666</v>
      </c>
      <c r="B746" s="4" t="str">
        <f>IFERROR(__xludf.DUMMYFUNCTION("""COMPUTED_VALUE"""),"Señal metalica S-15a Calle Cortada")</f>
        <v>Señal metalica S-15a Calle Cortada</v>
      </c>
      <c r="C746" s="4">
        <f>IFERROR(__xludf.DUMMYFUNCTION("""COMPUTED_VALUE"""),11.25)</f>
        <v>11.25</v>
      </c>
      <c r="D746" s="4">
        <f>IFERROR(__xludf.DUMMYFUNCTION("""COMPUTED_VALUE"""),8.5)</f>
        <v>8.5</v>
      </c>
      <c r="E746" s="4" t="str">
        <f>IFERROR(__xludf.DUMMYFUNCTION("""COMPUTED_VALUE"""),"Neto: 8,50 € (a partir de 1 uds.)")</f>
        <v>Neto: 8,50 € (a partir de 1 uds.)</v>
      </c>
    </row>
    <row r="747">
      <c r="A747" s="4" t="str">
        <f>IFERROR(__xludf.DUMMYFUNCTION("""COMPUTED_VALUE"""),"667")</f>
        <v>667</v>
      </c>
      <c r="B747" s="4" t="str">
        <f>IFERROR(__xludf.DUMMYFUNCTION("""COMPUTED_VALUE"""),"Placa carga Sobresaliente V20 50x50")</f>
        <v>Placa carga Sobresaliente V20 50x50</v>
      </c>
      <c r="C747" s="4">
        <f>IFERROR(__xludf.DUMMYFUNCTION("""COMPUTED_VALUE"""),19.5)</f>
        <v>19.5</v>
      </c>
      <c r="D747" s="4">
        <f>IFERROR(__xludf.DUMMYFUNCTION("""COMPUTED_VALUE"""),17.8)</f>
        <v>17.8</v>
      </c>
      <c r="E747" s="4" t="str">
        <f>IFERROR(__xludf.DUMMYFUNCTION("""COMPUTED_VALUE"""),"Neto: 17,80 € (a partir de 10 uds.)")</f>
        <v>Neto: 17,80 € (a partir de 10 uds.)</v>
      </c>
    </row>
    <row r="748">
      <c r="A748" s="4" t="str">
        <f>IFERROR(__xludf.DUMMYFUNCTION("""COMPUTED_VALUE"""),"668")</f>
        <v>668</v>
      </c>
      <c r="B748" s="4" t="str">
        <f>IFERROR(__xludf.DUMMYFUNCTION("""COMPUTED_VALUE"""),"Señal metalica R-101")</f>
        <v>Señal metalica R-101</v>
      </c>
      <c r="C748" s="4">
        <f>IFERROR(__xludf.DUMMYFUNCTION("""COMPUTED_VALUE"""),11.25)</f>
        <v>11.25</v>
      </c>
      <c r="D748" s="4">
        <f>IFERROR(__xludf.DUMMYFUNCTION("""COMPUTED_VALUE"""),8.5)</f>
        <v>8.5</v>
      </c>
      <c r="E748" s="4" t="str">
        <f>IFERROR(__xludf.DUMMYFUNCTION("""COMPUTED_VALUE"""),"Neto: 8,50 € (a partir de 1 uds.)")</f>
        <v>Neto: 8,50 € (a partir de 1 uds.)</v>
      </c>
    </row>
    <row r="749">
      <c r="A749" s="4" t="str">
        <f>IFERROR(__xludf.DUMMYFUNCTION("""COMPUTED_VALUE"""),"670")</f>
        <v>670</v>
      </c>
      <c r="B749" s="4" t="str">
        <f>IFERROR(__xludf.DUMMYFUNCTION("""COMPUTED_VALUE"""),"Señal metalica TR-5")</f>
        <v>Señal metalica TR-5</v>
      </c>
      <c r="C749" s="4">
        <f>IFERROR(__xludf.DUMMYFUNCTION("""COMPUTED_VALUE"""),11.25)</f>
        <v>11.25</v>
      </c>
      <c r="D749" s="4">
        <f>IFERROR(__xludf.DUMMYFUNCTION("""COMPUTED_VALUE"""),8.5)</f>
        <v>8.5</v>
      </c>
      <c r="E749" s="4" t="str">
        <f>IFERROR(__xludf.DUMMYFUNCTION("""COMPUTED_VALUE"""),"Neto: 8,50 € (a partir de 1 uds.)")</f>
        <v>Neto: 8,50 € (a partir de 1 uds.)</v>
      </c>
    </row>
    <row r="750">
      <c r="A750" s="4" t="str">
        <f>IFERROR(__xludf.DUMMYFUNCTION("""COMPUTED_VALUE"""),"0670D")</f>
        <v>0670D</v>
      </c>
      <c r="B750" s="4" t="str">
        <f>IFERROR(__xludf.DUMMYFUNCTION("""COMPUTED_VALUE"""),"Señal metalica R-5")</f>
        <v>Señal metalica R-5</v>
      </c>
      <c r="C750" s="4">
        <f>IFERROR(__xludf.DUMMYFUNCTION("""COMPUTED_VALUE"""),11.25)</f>
        <v>11.25</v>
      </c>
      <c r="D750" s="4">
        <f>IFERROR(__xludf.DUMMYFUNCTION("""COMPUTED_VALUE"""),8.5)</f>
        <v>8.5</v>
      </c>
      <c r="E750" s="4" t="str">
        <f>IFERROR(__xludf.DUMMYFUNCTION("""COMPUTED_VALUE"""),"Neto: 8,50 € (a partir de 1 uds.)")</f>
        <v>Neto: 8,50 € (a partir de 1 uds.)</v>
      </c>
    </row>
    <row r="751">
      <c r="A751" s="4" t="str">
        <f>IFERROR(__xludf.DUMMYFUNCTION("""COMPUTED_VALUE"""),"671")</f>
        <v>671</v>
      </c>
      <c r="B751" s="4" t="str">
        <f>IFERROR(__xludf.DUMMYFUNCTION("""COMPUTED_VALUE"""),"Señal metalica TR-500")</f>
        <v>Señal metalica TR-500</v>
      </c>
      <c r="C751" s="4">
        <f>IFERROR(__xludf.DUMMYFUNCTION("""COMPUTED_VALUE"""),11.25)</f>
        <v>11.25</v>
      </c>
      <c r="D751" s="4">
        <f>IFERROR(__xludf.DUMMYFUNCTION("""COMPUTED_VALUE"""),8.5)</f>
        <v>8.5</v>
      </c>
      <c r="E751" s="4" t="str">
        <f>IFERROR(__xludf.DUMMYFUNCTION("""COMPUTED_VALUE"""),"Neto: 8,50 € (a partir de 1 uds.)")</f>
        <v>Neto: 8,50 € (a partir de 1 uds.)</v>
      </c>
    </row>
    <row r="752">
      <c r="A752" s="4" t="str">
        <f>IFERROR(__xludf.DUMMYFUNCTION("""COMPUTED_VALUE"""),"0671D")</f>
        <v>0671D</v>
      </c>
      <c r="B752" s="4" t="str">
        <f>IFERROR(__xludf.DUMMYFUNCTION("""COMPUTED_VALUE"""),"Señal metalica R-500")</f>
        <v>Señal metalica R-500</v>
      </c>
      <c r="C752" s="4">
        <f>IFERROR(__xludf.DUMMYFUNCTION("""COMPUTED_VALUE"""),11.25)</f>
        <v>11.25</v>
      </c>
      <c r="D752" s="4">
        <f>IFERROR(__xludf.DUMMYFUNCTION("""COMPUTED_VALUE"""),8.5)</f>
        <v>8.5</v>
      </c>
      <c r="E752" s="4" t="str">
        <f>IFERROR(__xludf.DUMMYFUNCTION("""COMPUTED_VALUE"""),"Neto: 8,50 € (a partir de 1 uds.)")</f>
        <v>Neto: 8,50 € (a partir de 1 uds.)</v>
      </c>
    </row>
    <row r="753">
      <c r="A753" s="4" t="str">
        <f>IFERROR(__xludf.DUMMYFUNCTION("""COMPUTED_VALUE"""),"672")</f>
        <v>672</v>
      </c>
      <c r="B753" s="4" t="str">
        <f>IFERROR(__xludf.DUMMYFUNCTION("""COMPUTED_VALUE"""),"Señal metalica TR-502")</f>
        <v>Señal metalica TR-502</v>
      </c>
      <c r="C753" s="4">
        <f>IFERROR(__xludf.DUMMYFUNCTION("""COMPUTED_VALUE"""),11.25)</f>
        <v>11.25</v>
      </c>
      <c r="D753" s="4">
        <f>IFERROR(__xludf.DUMMYFUNCTION("""COMPUTED_VALUE"""),8.5)</f>
        <v>8.5</v>
      </c>
      <c r="E753" s="4" t="str">
        <f>IFERROR(__xludf.DUMMYFUNCTION("""COMPUTED_VALUE"""),"Neto: 8,50 € (a partir de 1 uds.)")</f>
        <v>Neto: 8,50 € (a partir de 1 uds.)</v>
      </c>
    </row>
    <row r="754">
      <c r="A754" s="4" t="str">
        <f>IFERROR(__xludf.DUMMYFUNCTION("""COMPUTED_VALUE"""),"0672D")</f>
        <v>0672D</v>
      </c>
      <c r="B754" s="4" t="str">
        <f>IFERROR(__xludf.DUMMYFUNCTION("""COMPUTED_VALUE"""),"Señal metalica R-502")</f>
        <v>Señal metalica R-502</v>
      </c>
      <c r="C754" s="4">
        <f>IFERROR(__xludf.DUMMYFUNCTION("""COMPUTED_VALUE"""),11.25)</f>
        <v>11.25</v>
      </c>
      <c r="D754" s="4">
        <f>IFERROR(__xludf.DUMMYFUNCTION("""COMPUTED_VALUE"""),8.5)</f>
        <v>8.5</v>
      </c>
      <c r="E754" s="4" t="str">
        <f>IFERROR(__xludf.DUMMYFUNCTION("""COMPUTED_VALUE"""),"Neto: 8,50 € (a partir de 1 uds.)")</f>
        <v>Neto: 8,50 € (a partir de 1 uds.)</v>
      </c>
    </row>
    <row r="755">
      <c r="A755" s="4" t="str">
        <f>IFERROR(__xludf.DUMMYFUNCTION("""COMPUTED_VALUE"""),"673")</f>
        <v>673</v>
      </c>
      <c r="B755" s="4" t="str">
        <f>IFERROR(__xludf.DUMMYFUNCTION("""COMPUTED_VALUE"""),"Señal metalica P-20")</f>
        <v>Señal metalica P-20</v>
      </c>
      <c r="C755" s="4">
        <f>IFERROR(__xludf.DUMMYFUNCTION("""COMPUTED_VALUE"""),11.25)</f>
        <v>11.25</v>
      </c>
      <c r="D755" s="4">
        <f>IFERROR(__xludf.DUMMYFUNCTION("""COMPUTED_VALUE"""),8.5)</f>
        <v>8.5</v>
      </c>
      <c r="E755" s="4" t="str">
        <f>IFERROR(__xludf.DUMMYFUNCTION("""COMPUTED_VALUE"""),"Neto: 8,50 € (a partir de 1 uds.)")</f>
        <v>Neto: 8,50 € (a partir de 1 uds.)</v>
      </c>
    </row>
    <row r="756">
      <c r="A756" s="4" t="str">
        <f>IFERROR(__xludf.DUMMYFUNCTION("""COMPUTED_VALUE"""),"0673D")</f>
        <v>0673D</v>
      </c>
      <c r="B756" s="4" t="str">
        <f>IFERROR(__xludf.DUMMYFUNCTION("""COMPUTED_VALUE"""),"Señal metalica P-20")</f>
        <v>Señal metalica P-20</v>
      </c>
      <c r="C756" s="4">
        <f>IFERROR(__xludf.DUMMYFUNCTION("""COMPUTED_VALUE"""),11.25)</f>
        <v>11.25</v>
      </c>
      <c r="D756" s="4">
        <f>IFERROR(__xludf.DUMMYFUNCTION("""COMPUTED_VALUE"""),8.5)</f>
        <v>8.5</v>
      </c>
      <c r="E756" s="4" t="str">
        <f>IFERROR(__xludf.DUMMYFUNCTION("""COMPUTED_VALUE"""),"Neto: 8,50 € (a partir de 1 uds.)")</f>
        <v>Neto: 8,50 € (a partir de 1 uds.)</v>
      </c>
    </row>
    <row r="757">
      <c r="A757" s="4" t="str">
        <f>IFERROR(__xludf.DUMMYFUNCTION("""COMPUTED_VALUE"""),"674")</f>
        <v>674</v>
      </c>
      <c r="B757" s="4" t="str">
        <f>IFERROR(__xludf.DUMMYFUNCTION("""COMPUTED_VALUE"""),"Señal metalica TR-503")</f>
        <v>Señal metalica TR-503</v>
      </c>
      <c r="C757" s="4">
        <f>IFERROR(__xludf.DUMMYFUNCTION("""COMPUTED_VALUE"""),11.25)</f>
        <v>11.25</v>
      </c>
      <c r="D757" s="4">
        <f>IFERROR(__xludf.DUMMYFUNCTION("""COMPUTED_VALUE"""),8.5)</f>
        <v>8.5</v>
      </c>
      <c r="E757" s="4" t="str">
        <f>IFERROR(__xludf.DUMMYFUNCTION("""COMPUTED_VALUE"""),"Neto: 8,50 € (a partir de 1 uds.)")</f>
        <v>Neto: 8,50 € (a partir de 1 uds.)</v>
      </c>
    </row>
    <row r="758">
      <c r="A758" s="4" t="str">
        <f>IFERROR(__xludf.DUMMYFUNCTION("""COMPUTED_VALUE"""),"0674D")</f>
        <v>0674D</v>
      </c>
      <c r="B758" s="4" t="str">
        <f>IFERROR(__xludf.DUMMYFUNCTION("""COMPUTED_VALUE"""),"Señal metalica R-503")</f>
        <v>Señal metalica R-503</v>
      </c>
      <c r="C758" s="4">
        <f>IFERROR(__xludf.DUMMYFUNCTION("""COMPUTED_VALUE"""),11.25)</f>
        <v>11.25</v>
      </c>
      <c r="D758" s="4">
        <f>IFERROR(__xludf.DUMMYFUNCTION("""COMPUTED_VALUE"""),8.5)</f>
        <v>8.5</v>
      </c>
      <c r="E758" s="4" t="str">
        <f>IFERROR(__xludf.DUMMYFUNCTION("""COMPUTED_VALUE"""),"Neto: 8,50 € (a partir de 1 uds.)")</f>
        <v>Neto: 8,50 € (a partir de 1 uds.)</v>
      </c>
    </row>
    <row r="759">
      <c r="A759" s="4" t="str">
        <f>IFERROR(__xludf.DUMMYFUNCTION("""COMPUTED_VALUE"""),"0674E")</f>
        <v>0674E</v>
      </c>
      <c r="B759" s="4" t="str">
        <f>IFERROR(__xludf.DUMMYFUNCTION("""COMPUTED_VALUE"""),"Señal 50 cm económica recarga eléctrica")</f>
        <v>Señal 50 cm económica recarga eléctrica</v>
      </c>
      <c r="C759" s="4">
        <f>IFERROR(__xludf.DUMMYFUNCTION("""COMPUTED_VALUE"""),11.25)</f>
        <v>11.25</v>
      </c>
      <c r="D759" s="4">
        <f>IFERROR(__xludf.DUMMYFUNCTION("""COMPUTED_VALUE"""),8.5)</f>
        <v>8.5</v>
      </c>
      <c r="E759" s="4" t="str">
        <f>IFERROR(__xludf.DUMMYFUNCTION("""COMPUTED_VALUE"""),"Neto: 8,50 € (a partir de 1 uds.)")</f>
        <v>Neto: 8,50 € (a partir de 1 uds.)</v>
      </c>
    </row>
    <row r="760">
      <c r="A760" s="4" t="str">
        <f>IFERROR(__xludf.DUMMYFUNCTION("""COMPUTED_VALUE"""),"0674P")</f>
        <v>0674P</v>
      </c>
      <c r="B760" s="4" t="str">
        <f>IFERROR(__xludf.DUMMYFUNCTION("""COMPUTED_VALUE"""),"Señal metálica económica ALTO POLICIA")</f>
        <v>Señal metálica económica ALTO POLICIA</v>
      </c>
      <c r="C760" s="4">
        <f>IFERROR(__xludf.DUMMYFUNCTION("""COMPUTED_VALUE"""),11.25)</f>
        <v>11.25</v>
      </c>
      <c r="D760" s="4">
        <f>IFERROR(__xludf.DUMMYFUNCTION("""COMPUTED_VALUE"""),8.5)</f>
        <v>8.5</v>
      </c>
      <c r="E760" s="4" t="str">
        <f>IFERROR(__xludf.DUMMYFUNCTION("""COMPUTED_VALUE"""),"Neto: 8,50 € (a partir de 1 uds.)")</f>
        <v>Neto: 8,50 € (a partir de 1 uds.)</v>
      </c>
    </row>
    <row r="761">
      <c r="A761" s="4" t="str">
        <f>IFERROR(__xludf.DUMMYFUNCTION("""COMPUTED_VALUE"""),"675")</f>
        <v>675</v>
      </c>
      <c r="B761" s="4" t="str">
        <f>IFERROR(__xludf.DUMMYFUNCTION("""COMPUTED_VALUE"""),"Tripode tubular naranja señal metalica mod. A")</f>
        <v>Tripode tubular naranja señal metalica mod. A</v>
      </c>
      <c r="C761" s="4">
        <f>IFERROR(__xludf.DUMMYFUNCTION("""COMPUTED_VALUE"""),11.75)</f>
        <v>11.75</v>
      </c>
      <c r="D761" s="4">
        <f>IFERROR(__xludf.DUMMYFUNCTION("""COMPUTED_VALUE"""),9.5)</f>
        <v>9.5</v>
      </c>
      <c r="E761" s="4" t="str">
        <f>IFERROR(__xludf.DUMMYFUNCTION("""COMPUTED_VALUE"""),"Neto: 9,50 € (a partir de 10 uds.)")</f>
        <v>Neto: 9,50 € (a partir de 10 uds.)</v>
      </c>
    </row>
    <row r="762">
      <c r="A762" s="4" t="str">
        <f>IFERROR(__xludf.DUMMYFUNCTION("""COMPUTED_VALUE"""),"0676/10")</f>
        <v>0676/10</v>
      </c>
      <c r="B762" s="4" t="str">
        <f>IFERROR(__xludf.DUMMYFUNCTION("""COMPUTED_VALUE"""),"Tubo 80x40 para señal metalica 1 metro")</f>
        <v>Tubo 80x40 para señal metalica 1 metro</v>
      </c>
      <c r="C762" s="4">
        <f>IFERROR(__xludf.DUMMYFUNCTION("""COMPUTED_VALUE"""),11.5)</f>
        <v>11.5</v>
      </c>
      <c r="D762" s="4"/>
      <c r="E762" s="4" t="str">
        <f>IFERROR(__xludf.DUMMYFUNCTION("""COMPUTED_VALUE"""),"Sin precio neto")</f>
        <v>Sin precio neto</v>
      </c>
    </row>
    <row r="763">
      <c r="A763" s="4" t="str">
        <f>IFERROR(__xludf.DUMMYFUNCTION("""COMPUTED_VALUE"""),"0676/15")</f>
        <v>0676/15</v>
      </c>
      <c r="B763" s="4" t="str">
        <f>IFERROR(__xludf.DUMMYFUNCTION("""COMPUTED_VALUE"""),"bo 80x40 para señal metalica 1,5 metros")</f>
        <v>bo 80x40 para señal metalica 1,5 metros</v>
      </c>
      <c r="C763" s="4">
        <f>IFERROR(__xludf.DUMMYFUNCTION("""COMPUTED_VALUE"""),16.5)</f>
        <v>16.5</v>
      </c>
      <c r="D763" s="4"/>
      <c r="E763" s="4" t="str">
        <f>IFERROR(__xludf.DUMMYFUNCTION("""COMPUTED_VALUE"""),"Sin precio neto")</f>
        <v>Sin precio neto</v>
      </c>
    </row>
    <row r="764">
      <c r="A764" s="4" t="str">
        <f>IFERROR(__xludf.DUMMYFUNCTION("""COMPUTED_VALUE"""),"0676/20")</f>
        <v>0676/20</v>
      </c>
      <c r="B764" s="4" t="str">
        <f>IFERROR(__xludf.DUMMYFUNCTION("""COMPUTED_VALUE"""),"Tubo 80x40 para señal metalica 2 metros")</f>
        <v>Tubo 80x40 para señal metalica 2 metros</v>
      </c>
      <c r="C764" s="4">
        <f>IFERROR(__xludf.DUMMYFUNCTION("""COMPUTED_VALUE"""),22.0)</f>
        <v>22</v>
      </c>
      <c r="D764" s="4"/>
      <c r="E764" s="4" t="str">
        <f>IFERROR(__xludf.DUMMYFUNCTION("""COMPUTED_VALUE"""),"Sin precio neto")</f>
        <v>Sin precio neto</v>
      </c>
    </row>
    <row r="765">
      <c r="A765" s="4" t="str">
        <f>IFERROR(__xludf.DUMMYFUNCTION("""COMPUTED_VALUE"""),"0676/25")</f>
        <v>0676/25</v>
      </c>
      <c r="B765" s="4" t="str">
        <f>IFERROR(__xludf.DUMMYFUNCTION("""COMPUTED_VALUE"""),"Tubo 80x40 para señal metalica 2,5 metros")</f>
        <v>Tubo 80x40 para señal metalica 2,5 metros</v>
      </c>
      <c r="C765" s="4">
        <f>IFERROR(__xludf.DUMMYFUNCTION("""COMPUTED_VALUE"""),28.0)</f>
        <v>28</v>
      </c>
      <c r="D765" s="4"/>
      <c r="E765" s="4" t="str">
        <f>IFERROR(__xludf.DUMMYFUNCTION("""COMPUTED_VALUE"""),"Sin precio neto")</f>
        <v>Sin precio neto</v>
      </c>
    </row>
    <row r="766">
      <c r="A766" s="4" t="str">
        <f>IFERROR(__xludf.DUMMYFUNCTION("""COMPUTED_VALUE"""),"0676/30")</f>
        <v>0676/30</v>
      </c>
      <c r="B766" s="4" t="str">
        <f>IFERROR(__xludf.DUMMYFUNCTION("""COMPUTED_VALUE"""),"Tubo 80x40 para señal metalica 3 metros")</f>
        <v>Tubo 80x40 para señal metalica 3 metros</v>
      </c>
      <c r="C766" s="4">
        <f>IFERROR(__xludf.DUMMYFUNCTION("""COMPUTED_VALUE"""),36.0)</f>
        <v>36</v>
      </c>
      <c r="D766" s="4"/>
      <c r="E766" s="4" t="str">
        <f>IFERROR(__xludf.DUMMYFUNCTION("""COMPUTED_VALUE"""),"Sin precio neto")</f>
        <v>Sin precio neto</v>
      </c>
    </row>
    <row r="767">
      <c r="A767" s="4" t="str">
        <f>IFERROR(__xludf.DUMMYFUNCTION("""COMPUTED_VALUE"""),"0676/35")</f>
        <v>0676/35</v>
      </c>
      <c r="B767" s="4" t="str">
        <f>IFERROR(__xludf.DUMMYFUNCTION("""COMPUTED_VALUE"""),"Tubo 80x40 para señal metalica 3,5 metros")</f>
        <v>Tubo 80x40 para señal metalica 3,5 metros</v>
      </c>
      <c r="C767" s="4">
        <f>IFERROR(__xludf.DUMMYFUNCTION("""COMPUTED_VALUE"""),39.0)</f>
        <v>39</v>
      </c>
      <c r="D767" s="4"/>
      <c r="E767" s="4" t="str">
        <f>IFERROR(__xludf.DUMMYFUNCTION("""COMPUTED_VALUE"""),"Sin precio neto")</f>
        <v>Sin precio neto</v>
      </c>
    </row>
    <row r="768">
      <c r="A768" s="4" t="str">
        <f>IFERROR(__xludf.DUMMYFUNCTION("""COMPUTED_VALUE"""),"0676/40")</f>
        <v>0676/40</v>
      </c>
      <c r="B768" s="4" t="str">
        <f>IFERROR(__xludf.DUMMYFUNCTION("""COMPUTED_VALUE"""),"Tubo 80x40 para señal metalica 4 metros")</f>
        <v>Tubo 80x40 para señal metalica 4 metros</v>
      </c>
      <c r="C768" s="4">
        <f>IFERROR(__xludf.DUMMYFUNCTION("""COMPUTED_VALUE"""),41.5)</f>
        <v>41.5</v>
      </c>
      <c r="D768" s="4"/>
      <c r="E768" s="4" t="str">
        <f>IFERROR(__xludf.DUMMYFUNCTION("""COMPUTED_VALUE"""),"Sin precio neto")</f>
        <v>Sin precio neto</v>
      </c>
    </row>
    <row r="769">
      <c r="A769" s="4" t="str">
        <f>IFERROR(__xludf.DUMMYFUNCTION("""COMPUTED_VALUE"""),"0676/AL")</f>
        <v>0676/AL</v>
      </c>
      <c r="B769" s="4" t="str">
        <f>IFERROR(__xludf.DUMMYFUNCTION("""COMPUTED_VALUE"""),"Poste aluminio 3.5 m 76 mm pintado")</f>
        <v>Poste aluminio 3.5 m 76 mm pintado</v>
      </c>
      <c r="C769" s="4">
        <f>IFERROR(__xludf.DUMMYFUNCTION("""COMPUTED_VALUE"""),105.0)</f>
        <v>105</v>
      </c>
      <c r="D769" s="4"/>
      <c r="E769" s="4" t="str">
        <f>IFERROR(__xludf.DUMMYFUNCTION("""COMPUTED_VALUE"""),"Sin precio neto")</f>
        <v>Sin precio neto</v>
      </c>
    </row>
    <row r="770">
      <c r="A770" s="4" t="str">
        <f>IFERROR(__xludf.DUMMYFUNCTION("""COMPUTED_VALUE"""),"0676F")</f>
        <v>0676F</v>
      </c>
      <c r="B770" s="4" t="str">
        <f>IFERROR(__xludf.DUMMYFUNCTION("""COMPUTED_VALUE"""),"Poste 80x40 mm 3 m en forma de F")</f>
        <v>Poste 80x40 mm 3 m en forma de F</v>
      </c>
      <c r="C770" s="4">
        <f>IFERROR(__xludf.DUMMYFUNCTION("""COMPUTED_VALUE"""),49.0)</f>
        <v>49</v>
      </c>
      <c r="D770" s="4"/>
      <c r="E770" s="4" t="str">
        <f>IFERROR(__xludf.DUMMYFUNCTION("""COMPUTED_VALUE"""),"Sin precio neto")</f>
        <v>Sin precio neto</v>
      </c>
    </row>
    <row r="771">
      <c r="A771" s="4" t="str">
        <f>IFERROR(__xludf.DUMMYFUNCTION("""COMPUTED_VALUE"""),"677")</f>
        <v>677</v>
      </c>
      <c r="B771" s="4" t="str">
        <f>IFERROR(__xludf.DUMMYFUNCTION("""COMPUTED_VALUE"""),"Cruceta tubo para señales metalicas")</f>
        <v>Cruceta tubo para señales metalicas</v>
      </c>
      <c r="C771" s="4">
        <f>IFERROR(__xludf.DUMMYFUNCTION("""COMPUTED_VALUE"""),17.3)</f>
        <v>17.3</v>
      </c>
      <c r="D771" s="4"/>
      <c r="E771" s="4" t="str">
        <f>IFERROR(__xludf.DUMMYFUNCTION("""COMPUTED_VALUE"""),"Sin precio neto")</f>
        <v>Sin precio neto</v>
      </c>
    </row>
    <row r="772">
      <c r="A772" s="4" t="str">
        <f>IFERROR(__xludf.DUMMYFUNCTION("""COMPUTED_VALUE"""),"678")</f>
        <v>678</v>
      </c>
      <c r="B772" s="4" t="str">
        <f>IFERROR(__xludf.DUMMYFUNCTION("""COMPUTED_VALUE"""),"Señal metalica R- 6 Prioridad")</f>
        <v>Señal metalica R- 6 Prioridad</v>
      </c>
      <c r="C772" s="4">
        <f>IFERROR(__xludf.DUMMYFUNCTION("""COMPUTED_VALUE"""),11.25)</f>
        <v>11.25</v>
      </c>
      <c r="D772" s="4">
        <f>IFERROR(__xludf.DUMMYFUNCTION("""COMPUTED_VALUE"""),8.5)</f>
        <v>8.5</v>
      </c>
      <c r="E772" s="4" t="str">
        <f>IFERROR(__xludf.DUMMYFUNCTION("""COMPUTED_VALUE"""),"Neto: 8,50 € (a partir de 1 uds.)")</f>
        <v>Neto: 8,50 € (a partir de 1 uds.)</v>
      </c>
    </row>
    <row r="773">
      <c r="A773" s="4" t="str">
        <f>IFERROR(__xludf.DUMMYFUNCTION("""COMPUTED_VALUE"""),"679")</f>
        <v>679</v>
      </c>
      <c r="B773" s="4" t="str">
        <f>IFERROR(__xludf.DUMMYFUNCTION("""COMPUTED_VALUE"""),"Placa econ. informat. 20x40 cm f.amarillo")</f>
        <v>Placa econ. informat. 20x40 cm f.amarillo</v>
      </c>
      <c r="C773" s="4">
        <f>IFERROR(__xludf.DUMMYFUNCTION("""COMPUTED_VALUE"""),11.25)</f>
        <v>11.25</v>
      </c>
      <c r="D773" s="4">
        <f>IFERROR(__xludf.DUMMYFUNCTION("""COMPUTED_VALUE"""),8.5)</f>
        <v>8.5</v>
      </c>
      <c r="E773" s="4" t="str">
        <f>IFERROR(__xludf.DUMMYFUNCTION("""COMPUTED_VALUE"""),"Neto: 8,50 € (a partir de 1 uds.)")</f>
        <v>Neto: 8,50 € (a partir de 1 uds.)</v>
      </c>
    </row>
    <row r="774">
      <c r="A774" s="4" t="str">
        <f>IFERROR(__xludf.DUMMYFUNCTION("""COMPUTED_VALUE"""),"680")</f>
        <v>680</v>
      </c>
      <c r="B774" s="4" t="str">
        <f>IFERROR(__xludf.DUMMYFUNCTION("""COMPUTED_VALUE"""),"Placa informativa 40x20 blanca")</f>
        <v>Placa informativa 40x20 blanca</v>
      </c>
      <c r="C774" s="4">
        <f>IFERROR(__xludf.DUMMYFUNCTION("""COMPUTED_VALUE"""),11.25)</f>
        <v>11.25</v>
      </c>
      <c r="D774" s="4">
        <f>IFERROR(__xludf.DUMMYFUNCTION("""COMPUTED_VALUE"""),8.5)</f>
        <v>8.5</v>
      </c>
      <c r="E774" s="4" t="str">
        <f>IFERROR(__xludf.DUMMYFUNCTION("""COMPUTED_VALUE"""),"Neto: 8,50 € (a partir de 1 uds.)")</f>
        <v>Neto: 8,50 € (a partir de 1 uds.)</v>
      </c>
    </row>
    <row r="775">
      <c r="A775" s="4" t="str">
        <f>IFERROR(__xludf.DUMMYFUNCTION("""COMPUTED_VALUE"""),"0681/A")</f>
        <v>0681/A</v>
      </c>
      <c r="B775" s="4" t="str">
        <f>IFERROR(__xludf.DUMMYFUNCTION("""COMPUTED_VALUE"""),"Horquilla protector peatones 120x40 cm Galva")</f>
        <v>Horquilla protector peatones 120x40 cm Galva</v>
      </c>
      <c r="C775" s="4">
        <f>IFERROR(__xludf.DUMMYFUNCTION("""COMPUTED_VALUE"""),42.4)</f>
        <v>42.4</v>
      </c>
      <c r="D775" s="4"/>
      <c r="E775" s="4" t="str">
        <f>IFERROR(__xludf.DUMMYFUNCTION("""COMPUTED_VALUE"""),"Sin precio neto")</f>
        <v>Sin precio neto</v>
      </c>
    </row>
    <row r="776">
      <c r="A776" s="4" t="str">
        <f>IFERROR(__xludf.DUMMYFUNCTION("""COMPUTED_VALUE"""),"0681/A/PLATO")</f>
        <v>0681/A/PLATO</v>
      </c>
      <c r="B776" s="4" t="str">
        <f>IFERROR(__xludf.DUMMYFUNCTION("""COMPUTED_VALUE"""),"Horquilla protector peatones 120x40 cm Galva. c/plato")</f>
        <v>Horquilla protector peatones 120x40 cm Galva. c/plato</v>
      </c>
      <c r="C776" s="4">
        <f>IFERROR(__xludf.DUMMYFUNCTION("""COMPUTED_VALUE"""),52.8)</f>
        <v>52.8</v>
      </c>
      <c r="D776" s="4"/>
      <c r="E776" s="4" t="str">
        <f>IFERROR(__xludf.DUMMYFUNCTION("""COMPUTED_VALUE"""),"Sin precio neto")</f>
        <v>Sin precio neto</v>
      </c>
    </row>
    <row r="777">
      <c r="A777" s="4" t="str">
        <f>IFERROR(__xludf.DUMMYFUNCTION("""COMPUTED_VALUE"""),"0681/B")</f>
        <v>0681/B</v>
      </c>
      <c r="B777" s="4" t="str">
        <f>IFERROR(__xludf.DUMMYFUNCTION("""COMPUTED_VALUE"""),"Horquilla protector peatones 90x40 cm Galva")</f>
        <v>Horquilla protector peatones 90x40 cm Galva</v>
      </c>
      <c r="C777" s="4">
        <f>IFERROR(__xludf.DUMMYFUNCTION("""COMPUTED_VALUE"""),38.85)</f>
        <v>38.85</v>
      </c>
      <c r="D777" s="4"/>
      <c r="E777" s="4" t="str">
        <f>IFERROR(__xludf.DUMMYFUNCTION("""COMPUTED_VALUE"""),"Sin precio neto")</f>
        <v>Sin precio neto</v>
      </c>
    </row>
    <row r="778">
      <c r="A778" s="4" t="str">
        <f>IFERROR(__xludf.DUMMYFUNCTION("""COMPUTED_VALUE"""),"0681/B/PLATO")</f>
        <v>0681/B/PLATO</v>
      </c>
      <c r="B778" s="4" t="str">
        <f>IFERROR(__xludf.DUMMYFUNCTION("""COMPUTED_VALUE"""),"Horquilla protector peatones 90x40 cm Galva c/plato")</f>
        <v>Horquilla protector peatones 90x40 cm Galva c/plato</v>
      </c>
      <c r="C778" s="4">
        <f>IFERROR(__xludf.DUMMYFUNCTION("""COMPUTED_VALUE"""),61.95)</f>
        <v>61.95</v>
      </c>
      <c r="D778" s="4"/>
      <c r="E778" s="4" t="str">
        <f>IFERROR(__xludf.DUMMYFUNCTION("""COMPUTED_VALUE"""),"Sin precio neto")</f>
        <v>Sin precio neto</v>
      </c>
    </row>
    <row r="779">
      <c r="A779" s="4" t="str">
        <f>IFERROR(__xludf.DUMMYFUNCTION("""COMPUTED_VALUE"""),"0681/LA")</f>
        <v>0681/LA</v>
      </c>
      <c r="B779" s="4" t="str">
        <f>IFERROR(__xludf.DUMMYFUNCTION("""COMPUTED_VALUE"""),"Horquilla protector peatones 120x40 cm Amarilla")</f>
        <v>Horquilla protector peatones 120x40 cm Amarilla</v>
      </c>
      <c r="C779" s="4">
        <f>IFERROR(__xludf.DUMMYFUNCTION("""COMPUTED_VALUE"""),48.45)</f>
        <v>48.45</v>
      </c>
      <c r="D779" s="4"/>
      <c r="E779" s="4" t="str">
        <f>IFERROR(__xludf.DUMMYFUNCTION("""COMPUTED_VALUE"""),"Sin precio neto")</f>
        <v>Sin precio neto</v>
      </c>
    </row>
    <row r="780">
      <c r="A780" s="4" t="str">
        <f>IFERROR(__xludf.DUMMYFUNCTION("""COMPUTED_VALUE"""),"0681/LA/PLATO")</f>
        <v>0681/LA/PLATO</v>
      </c>
      <c r="B780" s="4" t="str">
        <f>IFERROR(__xludf.DUMMYFUNCTION("""COMPUTED_VALUE"""),"Horquilla protector peatones 120x40 cm Amar. c/plato")</f>
        <v>Horquilla protector peatones 120x40 cm Amar. c/plato</v>
      </c>
      <c r="C780" s="4">
        <f>IFERROR(__xludf.DUMMYFUNCTION("""COMPUTED_VALUE"""),51.45)</f>
        <v>51.45</v>
      </c>
      <c r="D780" s="4"/>
      <c r="E780" s="4" t="str">
        <f>IFERROR(__xludf.DUMMYFUNCTION("""COMPUTED_VALUE"""),"Sin precio neto")</f>
        <v>Sin precio neto</v>
      </c>
    </row>
    <row r="781">
      <c r="A781" s="4" t="str">
        <f>IFERROR(__xludf.DUMMYFUNCTION("""COMPUTED_VALUE"""),"0681/LB")</f>
        <v>0681/LB</v>
      </c>
      <c r="B781" s="4" t="str">
        <f>IFERROR(__xludf.DUMMYFUNCTION("""COMPUTED_VALUE"""),"Horquilla protector peqtones 90x40 cm Amarilla")</f>
        <v>Horquilla protector peqtones 90x40 cm Amarilla</v>
      </c>
      <c r="C781" s="4">
        <f>IFERROR(__xludf.DUMMYFUNCTION("""COMPUTED_VALUE"""),45.36)</f>
        <v>45.36</v>
      </c>
      <c r="D781" s="4"/>
      <c r="E781" s="4" t="str">
        <f>IFERROR(__xludf.DUMMYFUNCTION("""COMPUTED_VALUE"""),"Sin precio neto")</f>
        <v>Sin precio neto</v>
      </c>
    </row>
    <row r="782">
      <c r="A782" s="4" t="str">
        <f>IFERROR(__xludf.DUMMYFUNCTION("""COMPUTED_VALUE"""),"0681/LB/PLATO")</f>
        <v>0681/LB/PLATO</v>
      </c>
      <c r="B782" s="4" t="str">
        <f>IFERROR(__xludf.DUMMYFUNCTION("""COMPUTED_VALUE"""),"Horquilla protector peatones 90x40 cm Amar.c/plato")</f>
        <v>Horquilla protector peatones 90x40 cm Amar.c/plato</v>
      </c>
      <c r="C782" s="4">
        <f>IFERROR(__xludf.DUMMYFUNCTION("""COMPUTED_VALUE"""),52.73)</f>
        <v>52.73</v>
      </c>
      <c r="D782" s="4"/>
      <c r="E782" s="4" t="str">
        <f>IFERROR(__xludf.DUMMYFUNCTION("""COMPUTED_VALUE"""),"Sin precio neto")</f>
        <v>Sin precio neto</v>
      </c>
    </row>
    <row r="783">
      <c r="A783" s="4" t="str">
        <f>IFERROR(__xludf.DUMMYFUNCTION("""COMPUTED_VALUE"""),"682")</f>
        <v>682</v>
      </c>
      <c r="B783" s="4" t="str">
        <f>IFERROR(__xludf.DUMMYFUNCTION("""COMPUTED_VALUE"""),"Vado Permanente Aluminio 40x30")</f>
        <v>Vado Permanente Aluminio 40x30</v>
      </c>
      <c r="C783" s="4">
        <f>IFERROR(__xludf.DUMMYFUNCTION("""COMPUTED_VALUE"""),8.4)</f>
        <v>8.4</v>
      </c>
      <c r="D783" s="4"/>
      <c r="E783" s="4" t="str">
        <f>IFERROR(__xludf.DUMMYFUNCTION("""COMPUTED_VALUE"""),"Sin precio neto")</f>
        <v>Sin precio neto</v>
      </c>
    </row>
    <row r="784">
      <c r="A784" s="4" t="str">
        <f>IFERROR(__xludf.DUMMYFUNCTION("""COMPUTED_VALUE"""),"0682P")</f>
        <v>0682P</v>
      </c>
      <c r="B784" s="4" t="str">
        <f>IFERROR(__xludf.DUMMYFUNCTION("""COMPUTED_VALUE"""),"Vado permanente 40x30 aluminio personalizado")</f>
        <v>Vado permanente 40x30 aluminio personalizado</v>
      </c>
      <c r="C784" s="4">
        <f>IFERROR(__xludf.DUMMYFUNCTION("""COMPUTED_VALUE"""),12.0)</f>
        <v>12</v>
      </c>
      <c r="D784" s="4"/>
      <c r="E784" s="4" t="str">
        <f>IFERROR(__xludf.DUMMYFUNCTION("""COMPUTED_VALUE"""),"Sin precio neto")</f>
        <v>Sin precio neto</v>
      </c>
    </row>
    <row r="785">
      <c r="A785" s="4" t="str">
        <f>IFERROR(__xludf.DUMMYFUNCTION("""COMPUTED_VALUE"""),"683")</f>
        <v>683</v>
      </c>
      <c r="B785" s="4" t="str">
        <f>IFERROR(__xludf.DUMMYFUNCTION("""COMPUTED_VALUE"""),"Horquilla protector contenedor basura Galva")</f>
        <v>Horquilla protector contenedor basura Galva</v>
      </c>
      <c r="C785" s="4">
        <f>IFERROR(__xludf.DUMMYFUNCTION("""COMPUTED_VALUE"""),134.3)</f>
        <v>134.3</v>
      </c>
      <c r="D785" s="4"/>
      <c r="E785" s="4" t="str">
        <f>IFERROR(__xludf.DUMMYFUNCTION("""COMPUTED_VALUE"""),"Sin precio neto")</f>
        <v>Sin precio neto</v>
      </c>
    </row>
    <row r="786">
      <c r="A786" s="4" t="str">
        <f>IFERROR(__xludf.DUMMYFUNCTION("""COMPUTED_VALUE"""),"0683/B")</f>
        <v>0683/B</v>
      </c>
      <c r="B786" s="4" t="str">
        <f>IFERROR(__xludf.DUMMYFUNCTION("""COMPUTED_VALUE"""),"Isleta hormigon con protector direccional Vados")</f>
        <v>Isleta hormigon con protector direccional Vados</v>
      </c>
      <c r="C786" s="4">
        <f>IFERROR(__xludf.DUMMYFUNCTION("""COMPUTED_VALUE"""),460.0)</f>
        <v>460</v>
      </c>
      <c r="D786" s="4"/>
      <c r="E786" s="4" t="str">
        <f>IFERROR(__xludf.DUMMYFUNCTION("""COMPUTED_VALUE"""),"Sin precio neto")</f>
        <v>Sin precio neto</v>
      </c>
    </row>
    <row r="787">
      <c r="A787" s="4" t="str">
        <f>IFERROR(__xludf.DUMMYFUNCTION("""COMPUTED_VALUE"""),"0683/BS")</f>
        <v>0683/BS</v>
      </c>
      <c r="B787" s="4" t="str">
        <f>IFERROR(__xludf.DUMMYFUNCTION("""COMPUTED_VALUE"""),"Juego 2 angulos sujecion suelo Isleta Vados")</f>
        <v>Juego 2 angulos sujecion suelo Isleta Vados</v>
      </c>
      <c r="C787" s="4">
        <f>IFERROR(__xludf.DUMMYFUNCTION("""COMPUTED_VALUE"""),33.3)</f>
        <v>33.3</v>
      </c>
      <c r="D787" s="4"/>
      <c r="E787" s="4" t="str">
        <f>IFERROR(__xludf.DUMMYFUNCTION("""COMPUTED_VALUE"""),"Sin precio neto")</f>
        <v>Sin precio neto</v>
      </c>
    </row>
    <row r="788">
      <c r="A788" s="4" t="str">
        <f>IFERROR(__xludf.DUMMYFUNCTION("""COMPUTED_VALUE"""),"0683D")</f>
        <v>0683D</v>
      </c>
      <c r="B788" s="4" t="str">
        <f>IFERROR(__xludf.DUMMYFUNCTION("""COMPUTED_VALUE"""),"Protector contenedor basura flecha dcha Galv.")</f>
        <v>Protector contenedor basura flecha dcha Galv.</v>
      </c>
      <c r="C788" s="4">
        <f>IFERROR(__xludf.DUMMYFUNCTION("""COMPUTED_VALUE"""),78.225)</f>
        <v>78.225</v>
      </c>
      <c r="D788" s="4"/>
      <c r="E788" s="4" t="str">
        <f>IFERROR(__xludf.DUMMYFUNCTION("""COMPUTED_VALUE"""),"Sin precio neto")</f>
        <v>Sin precio neto</v>
      </c>
    </row>
    <row r="789">
      <c r="A789" s="4" t="str">
        <f>IFERROR(__xludf.DUMMYFUNCTION("""COMPUTED_VALUE"""),"0683D/PLATO")</f>
        <v>0683D/PLATO</v>
      </c>
      <c r="B789" s="4" t="str">
        <f>IFERROR(__xludf.DUMMYFUNCTION("""COMPUTED_VALUE"""),"Protector contenedor basura flecha Dcha. Galva. c/plato")</f>
        <v>Protector contenedor basura flecha Dcha. Galva. c/plato</v>
      </c>
      <c r="C789" s="4">
        <f>IFERROR(__xludf.DUMMYFUNCTION("""COMPUTED_VALUE"""),89.775)</f>
        <v>89.775</v>
      </c>
      <c r="D789" s="4"/>
      <c r="E789" s="4" t="str">
        <f>IFERROR(__xludf.DUMMYFUNCTION("""COMPUTED_VALUE"""),"Sin precio neto")</f>
        <v>Sin precio neto</v>
      </c>
    </row>
    <row r="790">
      <c r="A790" s="4" t="str">
        <f>IFERROR(__xludf.DUMMYFUNCTION("""COMPUTED_VALUE"""),"0683I")</f>
        <v>0683I</v>
      </c>
      <c r="B790" s="4" t="str">
        <f>IFERROR(__xludf.DUMMYFUNCTION("""COMPUTED_VALUE"""),"Protector contenedor basura flecha izq. Galva.")</f>
        <v>Protector contenedor basura flecha izq. Galva.</v>
      </c>
      <c r="C790" s="4">
        <f>IFERROR(__xludf.DUMMYFUNCTION("""COMPUTED_VALUE"""),78.225)</f>
        <v>78.225</v>
      </c>
      <c r="D790" s="4"/>
      <c r="E790" s="4" t="str">
        <f>IFERROR(__xludf.DUMMYFUNCTION("""COMPUTED_VALUE"""),"Sin precio neto")</f>
        <v>Sin precio neto</v>
      </c>
    </row>
    <row r="791">
      <c r="A791" s="4" t="str">
        <f>IFERROR(__xludf.DUMMYFUNCTION("""COMPUTED_VALUE"""),"0683I/PLATO")</f>
        <v>0683I/PLATO</v>
      </c>
      <c r="B791" s="4" t="str">
        <f>IFERROR(__xludf.DUMMYFUNCTION("""COMPUTED_VALUE"""),"Protector contendor basura flecha Izq.Galva. c/ plato")</f>
        <v>Protector contendor basura flecha Izq.Galva. c/ plato</v>
      </c>
      <c r="C791" s="4">
        <f>IFERROR(__xludf.DUMMYFUNCTION("""COMPUTED_VALUE"""),75.0)</f>
        <v>75</v>
      </c>
      <c r="D791" s="4"/>
      <c r="E791" s="4" t="str">
        <f>IFERROR(__xludf.DUMMYFUNCTION("""COMPUTED_VALUE"""),"Sin precio neto")</f>
        <v>Sin precio neto</v>
      </c>
    </row>
    <row r="792">
      <c r="A792" s="4" t="str">
        <f>IFERROR(__xludf.DUMMYFUNCTION("""COMPUTED_VALUE"""),"687")</f>
        <v>687</v>
      </c>
      <c r="B792" s="4" t="str">
        <f>IFERROR(__xludf.DUMMYFUNCTION("""COMPUTED_VALUE"""),"Placa econ. informat. 55x35 cm f.amarillo")</f>
        <v>Placa econ. informat. 55x35 cm f.amarillo</v>
      </c>
      <c r="C792" s="4">
        <f>IFERROR(__xludf.DUMMYFUNCTION("""COMPUTED_VALUE"""),16.8)</f>
        <v>16.8</v>
      </c>
      <c r="D792" s="4"/>
      <c r="E792" s="4" t="str">
        <f>IFERROR(__xludf.DUMMYFUNCTION("""COMPUTED_VALUE"""),"Sin precio neto")</f>
        <v>Sin precio neto</v>
      </c>
    </row>
    <row r="793">
      <c r="A793" s="4" t="str">
        <f>IFERROR(__xludf.DUMMYFUNCTION("""COMPUTED_VALUE"""),"688")</f>
        <v>688</v>
      </c>
      <c r="B793" s="4" t="str">
        <f>IFERROR(__xludf.DUMMYFUNCTION("""COMPUTED_VALUE"""),"Placa econ. informat. 55x35 cm f.blanco")</f>
        <v>Placa econ. informat. 55x35 cm f.blanco</v>
      </c>
      <c r="C793" s="4">
        <f>IFERROR(__xludf.DUMMYFUNCTION("""COMPUTED_VALUE"""),16.8)</f>
        <v>16.8</v>
      </c>
      <c r="D793" s="4"/>
      <c r="E793" s="4" t="str">
        <f>IFERROR(__xludf.DUMMYFUNCTION("""COMPUTED_VALUE"""),"Sin precio neto")</f>
        <v>Sin precio neto</v>
      </c>
    </row>
    <row r="794">
      <c r="A794" s="4" t="str">
        <f>IFERROR(__xludf.DUMMYFUNCTION("""COMPUTED_VALUE"""),"690")</f>
        <v>690</v>
      </c>
      <c r="B794" s="4" t="str">
        <f>IFERROR(__xludf.DUMMYFUNCTION("""COMPUTED_VALUE"""),"Base caucho multiperfil")</f>
        <v>Base caucho multiperfil</v>
      </c>
      <c r="C794" s="4">
        <f>IFERROR(__xludf.DUMMYFUNCTION("""COMPUTED_VALUE"""),17.0)</f>
        <v>17</v>
      </c>
      <c r="D794" s="4"/>
      <c r="E794" s="4" t="str">
        <f>IFERROR(__xludf.DUMMYFUNCTION("""COMPUTED_VALUE"""),"Sin precio neto")</f>
        <v>Sin precio neto</v>
      </c>
    </row>
    <row r="795">
      <c r="A795" s="4" t="str">
        <f>IFERROR(__xludf.DUMMYFUNCTION("""COMPUTED_VALUE"""),"0690B")</f>
        <v>0690B</v>
      </c>
      <c r="B795" s="4" t="str">
        <f>IFERROR(__xludf.DUMMYFUNCTION("""COMPUTED_VALUE"""),"Base multiperfil para valla y señales 18 kg")</f>
        <v>Base multiperfil para valla y señales 18 kg</v>
      </c>
      <c r="C795" s="4">
        <f>IFERROR(__xludf.DUMMYFUNCTION("""COMPUTED_VALUE"""),14.5)</f>
        <v>14.5</v>
      </c>
      <c r="D795" s="4">
        <f>IFERROR(__xludf.DUMMYFUNCTION("""COMPUTED_VALUE"""),11.5)</f>
        <v>11.5</v>
      </c>
      <c r="E795" s="4" t="str">
        <f>IFERROR(__xludf.DUMMYFUNCTION("""COMPUTED_VALUE"""),"Neto: 11,50 € (a partir de 40 uds.)")</f>
        <v>Neto: 11,50 € (a partir de 40 uds.)</v>
      </c>
    </row>
    <row r="796">
      <c r="A796" s="4" t="str">
        <f>IFERROR(__xludf.DUMMYFUNCTION("""COMPUTED_VALUE"""),"0690D")</f>
        <v>0690D</v>
      </c>
      <c r="B796" s="4" t="str">
        <f>IFERROR(__xludf.DUMMYFUNCTION("""COMPUTED_VALUE"""),"Base de caucho multiperfil mod D")</f>
        <v>Base de caucho multiperfil mod D</v>
      </c>
      <c r="C796" s="4">
        <f>IFERROR(__xludf.DUMMYFUNCTION("""COMPUTED_VALUE"""),13.0)</f>
        <v>13</v>
      </c>
      <c r="D796" s="4">
        <f>IFERROR(__xludf.DUMMYFUNCTION("""COMPUTED_VALUE"""),11.5)</f>
        <v>11.5</v>
      </c>
      <c r="E796" s="4" t="str">
        <f>IFERROR(__xludf.DUMMYFUNCTION("""COMPUTED_VALUE"""),"Neto: 11,50 € (a partir de 40 uds.)")</f>
        <v>Neto: 11,50 € (a partir de 40 uds.)</v>
      </c>
    </row>
    <row r="797">
      <c r="A797" s="4" t="str">
        <f>IFERROR(__xludf.DUMMYFUNCTION("""COMPUTED_VALUE"""),"0690S")</f>
        <v>0690S</v>
      </c>
      <c r="B797" s="4" t="str">
        <f>IFERROR(__xludf.DUMMYFUNCTION("""COMPUTED_VALUE"""),"Base caucho para panel secuencial")</f>
        <v>Base caucho para panel secuencial</v>
      </c>
      <c r="C797" s="4">
        <f>IFERROR(__xludf.DUMMYFUNCTION("""COMPUTED_VALUE"""),19.25)</f>
        <v>19.25</v>
      </c>
      <c r="D797" s="4"/>
      <c r="E797" s="4" t="str">
        <f>IFERROR(__xludf.DUMMYFUNCTION("""COMPUTED_VALUE"""),"Sin precio neto")</f>
        <v>Sin precio neto</v>
      </c>
    </row>
    <row r="798">
      <c r="A798" s="4" t="str">
        <f>IFERROR(__xludf.DUMMYFUNCTION("""COMPUTED_VALUE"""),"692")</f>
        <v>692</v>
      </c>
      <c r="B798" s="4" t="str">
        <f>IFERROR(__xludf.DUMMYFUNCTION("""COMPUTED_VALUE"""),"Poste aluminio 3 mtros señ. urbana Diam 60")</f>
        <v>Poste aluminio 3 mtros señ. urbana Diam 60</v>
      </c>
      <c r="C798" s="4">
        <f>IFERROR(__xludf.DUMMYFUNCTION("""COMPUTED_VALUE"""),55.0)</f>
        <v>55</v>
      </c>
      <c r="D798" s="4"/>
      <c r="E798" s="4" t="str">
        <f>IFERROR(__xludf.DUMMYFUNCTION("""COMPUTED_VALUE"""),"Sin precio neto")</f>
        <v>Sin precio neto</v>
      </c>
    </row>
    <row r="799">
      <c r="A799" s="4" t="str">
        <f>IFERROR(__xludf.DUMMYFUNCTION("""COMPUTED_VALUE"""),"0692E")</f>
        <v>0692E</v>
      </c>
      <c r="B799" s="4" t="str">
        <f>IFERROR(__xludf.DUMMYFUNCTION("""COMPUTED_VALUE"""),"Abrazadera poste aluminio 60 mm estriado")</f>
        <v>Abrazadera poste aluminio 60 mm estriado</v>
      </c>
      <c r="C799" s="4">
        <f>IFERROR(__xludf.DUMMYFUNCTION("""COMPUTED_VALUE"""),1.5)</f>
        <v>1.5</v>
      </c>
      <c r="D799" s="4"/>
      <c r="E799" s="4" t="str">
        <f>IFERROR(__xludf.DUMMYFUNCTION("""COMPUTED_VALUE"""),"Sin precio neto")</f>
        <v>Sin precio neto</v>
      </c>
    </row>
    <row r="800">
      <c r="A800" s="4" t="str">
        <f>IFERROR(__xludf.DUMMYFUNCTION("""COMPUTED_VALUE"""),"693")</f>
        <v>693</v>
      </c>
      <c r="B800" s="4" t="str">
        <f>IFERROR(__xludf.DUMMYFUNCTION("""COMPUTED_VALUE"""),"Tripode Tubular señal metalica mod. C")</f>
        <v>Tripode Tubular señal metalica mod. C</v>
      </c>
      <c r="C800" s="4">
        <f>IFERROR(__xludf.DUMMYFUNCTION("""COMPUTED_VALUE"""),21.0)</f>
        <v>21</v>
      </c>
      <c r="D800" s="4"/>
      <c r="E800" s="4" t="str">
        <f>IFERROR(__xludf.DUMMYFUNCTION("""COMPUTED_VALUE"""),"Sin precio neto")</f>
        <v>Sin precio neto</v>
      </c>
    </row>
    <row r="801">
      <c r="A801" s="4" t="str">
        <f>IFERROR(__xludf.DUMMYFUNCTION("""COMPUTED_VALUE"""),"694")</f>
        <v>694</v>
      </c>
      <c r="B801" s="4" t="str">
        <f>IFERROR(__xludf.DUMMYFUNCTION("""COMPUTED_VALUE"""),"Poste redondo diam. 50 galvan. 3 mt para espejo 4100")</f>
        <v>Poste redondo diam. 50 galvan. 3 mt para espejo 4100</v>
      </c>
      <c r="C801" s="4">
        <f>IFERROR(__xludf.DUMMYFUNCTION("""COMPUTED_VALUE"""),28.3)</f>
        <v>28.3</v>
      </c>
      <c r="D801" s="4"/>
      <c r="E801" s="4" t="str">
        <f>IFERROR(__xludf.DUMMYFUNCTION("""COMPUTED_VALUE"""),"Sin precio neto")</f>
        <v>Sin precio neto</v>
      </c>
    </row>
    <row r="802">
      <c r="A802" s="4" t="str">
        <f>IFERROR(__xludf.DUMMYFUNCTION("""COMPUTED_VALUE"""),"0694/G")</f>
        <v>0694/G</v>
      </c>
      <c r="B802" s="4" t="str">
        <f>IFERROR(__xludf.DUMMYFUNCTION("""COMPUTED_VALUE"""),"Poste redondo diam. 80 galvan. 3 mt para espejo 4101")</f>
        <v>Poste redondo diam. 80 galvan. 3 mt para espejo 4101</v>
      </c>
      <c r="C802" s="4">
        <f>IFERROR(__xludf.DUMMYFUNCTION("""COMPUTED_VALUE"""),40.95)</f>
        <v>40.95</v>
      </c>
      <c r="D802" s="4"/>
      <c r="E802" s="4" t="str">
        <f>IFERROR(__xludf.DUMMYFUNCTION("""COMPUTED_VALUE"""),"Sin precio neto")</f>
        <v>Sin precio neto</v>
      </c>
    </row>
    <row r="803">
      <c r="A803" s="4" t="str">
        <f>IFERROR(__xludf.DUMMYFUNCTION("""COMPUTED_VALUE"""),"0694/M")</f>
        <v>0694/M</v>
      </c>
      <c r="B803" s="4" t="str">
        <f>IFERROR(__xludf.DUMMYFUNCTION("""COMPUTED_VALUE"""),"Poste redondo diam. 60 galva. 3 mt. p/espejos")</f>
        <v>Poste redondo diam. 60 galva. 3 mt. p/espejos</v>
      </c>
      <c r="C803" s="4">
        <f>IFERROR(__xludf.DUMMYFUNCTION("""COMPUTED_VALUE"""),33.0)</f>
        <v>33</v>
      </c>
      <c r="D803" s="4"/>
      <c r="E803" s="4" t="str">
        <f>IFERROR(__xludf.DUMMYFUNCTION("""COMPUTED_VALUE"""),"Sin precio neto")</f>
        <v>Sin precio neto</v>
      </c>
    </row>
    <row r="804">
      <c r="A804" s="4" t="str">
        <f>IFERROR(__xludf.DUMMYFUNCTION("""COMPUTED_VALUE"""),"0694D")</f>
        <v>0694D</v>
      </c>
      <c r="B804" s="4" t="str">
        <f>IFERROR(__xludf.DUMMYFUNCTION("""COMPUTED_VALUE"""),"Poste galva doblado 3 m circular 60 mm")</f>
        <v>Poste galva doblado 3 m circular 60 mm</v>
      </c>
      <c r="C804" s="4">
        <f>IFERROR(__xludf.DUMMYFUNCTION("""COMPUTED_VALUE"""),34.0)</f>
        <v>34</v>
      </c>
      <c r="D804" s="4"/>
      <c r="E804" s="4" t="str">
        <f>IFERROR(__xludf.DUMMYFUNCTION("""COMPUTED_VALUE"""),"Sin precio neto")</f>
        <v>Sin precio neto</v>
      </c>
    </row>
    <row r="805">
      <c r="A805" s="4" t="str">
        <f>IFERROR(__xludf.DUMMYFUNCTION("""COMPUTED_VALUE"""),"0694E")</f>
        <v>0694E</v>
      </c>
      <c r="B805" s="4" t="str">
        <f>IFERROR(__xludf.DUMMYFUNCTION("""COMPUTED_VALUE"""),"Poste tubular 60 mm para cartelería vinilada")</f>
        <v>Poste tubular 60 mm para cartelería vinilada</v>
      </c>
      <c r="C805" s="4">
        <f>IFERROR(__xludf.DUMMYFUNCTION("""COMPUTED_VALUE"""),74.0)</f>
        <v>74</v>
      </c>
      <c r="D805" s="4"/>
      <c r="E805" s="4" t="str">
        <f>IFERROR(__xludf.DUMMYFUNCTION("""COMPUTED_VALUE"""),"Sin precio neto")</f>
        <v>Sin precio neto</v>
      </c>
    </row>
    <row r="806">
      <c r="A806" s="4" t="str">
        <f>IFERROR(__xludf.DUMMYFUNCTION("""COMPUTED_VALUE"""),"695")</f>
        <v>695</v>
      </c>
      <c r="B806" s="4" t="str">
        <f>IFERROR(__xludf.DUMMYFUNCTION("""COMPUTED_VALUE"""),"Tripode angular señal metalica mod. B")</f>
        <v>Tripode angular señal metalica mod. B</v>
      </c>
      <c r="C806" s="4">
        <f>IFERROR(__xludf.DUMMYFUNCTION("""COMPUTED_VALUE"""),12.25)</f>
        <v>12.25</v>
      </c>
      <c r="D806" s="4">
        <f>IFERROR(__xludf.DUMMYFUNCTION("""COMPUTED_VALUE"""),9.5)</f>
        <v>9.5</v>
      </c>
      <c r="E806" s="4" t="str">
        <f>IFERROR(__xludf.DUMMYFUNCTION("""COMPUTED_VALUE"""),"Neto: 9,50 € (a partir de 10 uds.)")</f>
        <v>Neto: 9,50 € (a partir de 10 uds.)</v>
      </c>
    </row>
    <row r="807">
      <c r="A807" s="4" t="str">
        <f>IFERROR(__xludf.DUMMYFUNCTION("""COMPUTED_VALUE"""),"696")</f>
        <v>696</v>
      </c>
      <c r="B807" s="4" t="str">
        <f>IFERROR(__xludf.DUMMYFUNCTION("""COMPUTED_VALUE"""),"Tripode gigante señal metálica")</f>
        <v>Tripode gigante señal metálica</v>
      </c>
      <c r="C807" s="4">
        <f>IFERROR(__xludf.DUMMYFUNCTION("""COMPUTED_VALUE"""),41.05)</f>
        <v>41.05</v>
      </c>
      <c r="D807" s="4"/>
      <c r="E807" s="4" t="str">
        <f>IFERROR(__xludf.DUMMYFUNCTION("""COMPUTED_VALUE"""),"Sin precio neto")</f>
        <v>Sin precio neto</v>
      </c>
    </row>
    <row r="808">
      <c r="A808" s="4" t="str">
        <f>IFERROR(__xludf.DUMMYFUNCTION("""COMPUTED_VALUE"""),"697")</f>
        <v>697</v>
      </c>
      <c r="B808" s="4" t="str">
        <f>IFERROR(__xludf.DUMMYFUNCTION("""COMPUTED_VALUE"""),"Soporte pared p/ espejo 60 cm Mod. Basic")</f>
        <v>Soporte pared p/ espejo 60 cm Mod. Basic</v>
      </c>
      <c r="C808" s="4">
        <f>IFERROR(__xludf.DUMMYFUNCTION("""COMPUTED_VALUE"""),13.4)</f>
        <v>13.4</v>
      </c>
      <c r="D808" s="4"/>
      <c r="E808" s="4" t="str">
        <f>IFERROR(__xludf.DUMMYFUNCTION("""COMPUTED_VALUE"""),"Sin precio neto")</f>
        <v>Sin precio neto</v>
      </c>
    </row>
    <row r="809">
      <c r="A809" s="4" t="str">
        <f>IFERROR(__xludf.DUMMYFUNCTION("""COMPUTED_VALUE"""),"0697/M")</f>
        <v>0697/M</v>
      </c>
      <c r="B809" s="4" t="str">
        <f>IFERROR(__xludf.DUMMYFUNCTION("""COMPUTED_VALUE"""),"Soporte pared para espejo Giotto-Rafaello-Icaro")</f>
        <v>Soporte pared para espejo Giotto-Rafaello-Icaro</v>
      </c>
      <c r="C809" s="4">
        <f>IFERROR(__xludf.DUMMYFUNCTION("""COMPUTED_VALUE"""),13.9)</f>
        <v>13.9</v>
      </c>
      <c r="D809" s="4"/>
      <c r="E809" s="4" t="str">
        <f>IFERROR(__xludf.DUMMYFUNCTION("""COMPUTED_VALUE"""),"Sin precio neto")</f>
        <v>Sin precio neto</v>
      </c>
    </row>
    <row r="810">
      <c r="A810" s="4" t="str">
        <f>IFERROR(__xludf.DUMMYFUNCTION("""COMPUTED_VALUE"""),"0697G")</f>
        <v>0697G</v>
      </c>
      <c r="B810" s="4" t="str">
        <f>IFERROR(__xludf.DUMMYFUNCTION("""COMPUTED_VALUE"""),"Soporte pared p/ espejo 80 cm Mod. Basic")</f>
        <v>Soporte pared p/ espejo 80 cm Mod. Basic</v>
      </c>
      <c r="C810" s="4">
        <f>IFERROR(__xludf.DUMMYFUNCTION("""COMPUTED_VALUE"""),16.25)</f>
        <v>16.25</v>
      </c>
      <c r="D810" s="4"/>
      <c r="E810" s="4" t="str">
        <f>IFERROR(__xludf.DUMMYFUNCTION("""COMPUTED_VALUE"""),"Sin precio neto")</f>
        <v>Sin precio neto</v>
      </c>
    </row>
    <row r="811">
      <c r="A811" s="4" t="str">
        <f>IFERROR(__xludf.DUMMYFUNCTION("""COMPUTED_VALUE"""),"698")</f>
        <v>698</v>
      </c>
      <c r="B811" s="4" t="str">
        <f>IFERROR(__xludf.DUMMYFUNCTION("""COMPUTED_VALUE"""),"Soporte pared señal metalica")</f>
        <v>Soporte pared señal metalica</v>
      </c>
      <c r="C811" s="4">
        <f>IFERROR(__xludf.DUMMYFUNCTION("""COMPUTED_VALUE"""),17.4)</f>
        <v>17.4</v>
      </c>
      <c r="D811" s="4"/>
      <c r="E811" s="4" t="str">
        <f>IFERROR(__xludf.DUMMYFUNCTION("""COMPUTED_VALUE"""),"Sin precio neto")</f>
        <v>Sin precio neto</v>
      </c>
    </row>
    <row r="812">
      <c r="A812" s="4" t="str">
        <f>IFERROR(__xludf.DUMMYFUNCTION("""COMPUTED_VALUE"""),"699")</f>
        <v>699</v>
      </c>
      <c r="B812" s="4" t="str">
        <f>IFERROR(__xludf.DUMMYFUNCTION("""COMPUTED_VALUE"""),"Señal economica reflex")</f>
        <v>Señal economica reflex</v>
      </c>
      <c r="C812" s="4">
        <f>IFERROR(__xludf.DUMMYFUNCTION("""COMPUTED_VALUE"""),14.5)</f>
        <v>14.5</v>
      </c>
      <c r="D812" s="4"/>
      <c r="E812" s="4" t="str">
        <f>IFERROR(__xludf.DUMMYFUNCTION("""COMPUTED_VALUE"""),"Sin precio neto")</f>
        <v>Sin precio neto</v>
      </c>
    </row>
    <row r="813">
      <c r="A813" s="4" t="str">
        <f>IFERROR(__xludf.DUMMYFUNCTION("""COMPUTED_VALUE"""),"701")</f>
        <v>701</v>
      </c>
      <c r="B813" s="4" t="str">
        <f>IFERROR(__xludf.DUMMYFUNCTION("""COMPUTED_VALUE"""),"Conjunto señalización tubular aparcar con soporte y plesilla")</f>
        <v>Conjunto señalización tubular aparcar con soporte y plesilla</v>
      </c>
      <c r="C813" s="4">
        <f>IFERROR(__xludf.DUMMYFUNCTION("""COMPUTED_VALUE"""),79.0)</f>
        <v>79</v>
      </c>
      <c r="D813" s="4"/>
      <c r="E813" s="4" t="str">
        <f>IFERROR(__xludf.DUMMYFUNCTION("""COMPUTED_VALUE"""),"Sin precio neto")</f>
        <v>Sin precio neto</v>
      </c>
    </row>
    <row r="814">
      <c r="A814" s="4" t="str">
        <f>IFERROR(__xludf.DUMMYFUNCTION("""COMPUTED_VALUE"""),"0701/01")</f>
        <v>0701/01</v>
      </c>
      <c r="B814" s="4" t="str">
        <f>IFERROR(__xludf.DUMMYFUNCTION("""COMPUTED_VALUE"""),"Protector esquina acero 45cm lado x 100 cm altura tubo de")</f>
        <v>Protector esquina acero 45cm lado x 100 cm altura tubo de</v>
      </c>
      <c r="C814" s="4">
        <f>IFERROR(__xludf.DUMMYFUNCTION("""COMPUTED_VALUE"""),149.6)</f>
        <v>149.6</v>
      </c>
      <c r="D814" s="4"/>
      <c r="E814" s="4" t="str">
        <f>IFERROR(__xludf.DUMMYFUNCTION("""COMPUTED_VALUE"""),"Sin precio neto")</f>
        <v>Sin precio neto</v>
      </c>
    </row>
    <row r="815">
      <c r="A815" s="4" t="str">
        <f>IFERROR(__xludf.DUMMYFUNCTION("""COMPUTED_VALUE"""),"0701/03")</f>
        <v>0701/03</v>
      </c>
      <c r="B815" s="4" t="str">
        <f>IFERROR(__xludf.DUMMYFUNCTION("""COMPUTED_VALUE"""),"Protector esquina acero 100 cm lado x 100 cm altura tubo de")</f>
        <v>Protector esquina acero 100 cm lado x 100 cm altura tubo de</v>
      </c>
      <c r="C815" s="4">
        <f>IFERROR(__xludf.DUMMYFUNCTION("""COMPUTED_VALUE"""),220.5)</f>
        <v>220.5</v>
      </c>
      <c r="D815" s="4"/>
      <c r="E815" s="4" t="str">
        <f>IFERROR(__xludf.DUMMYFUNCTION("""COMPUTED_VALUE"""),"Sin precio neto")</f>
        <v>Sin precio neto</v>
      </c>
    </row>
    <row r="816">
      <c r="A816" s="4" t="str">
        <f>IFERROR(__xludf.DUMMYFUNCTION("""COMPUTED_VALUE"""),"0702/01")</f>
        <v>0702/01</v>
      </c>
      <c r="B816" s="4" t="str">
        <f>IFERROR(__xludf.DUMMYFUNCTION("""COMPUTED_VALUE"""),"Barrera protectora 100 cm largo x 100 cm altura tubo de 50x2")</f>
        <v>Barrera protectora 100 cm largo x 100 cm altura tubo de 50x2</v>
      </c>
      <c r="C816" s="4">
        <f>IFERROR(__xludf.DUMMYFUNCTION("""COMPUTED_VALUE"""),126.0)</f>
        <v>126</v>
      </c>
      <c r="D816" s="4"/>
      <c r="E816" s="4" t="str">
        <f>IFERROR(__xludf.DUMMYFUNCTION("""COMPUTED_VALUE"""),"Sin precio neto")</f>
        <v>Sin precio neto</v>
      </c>
    </row>
    <row r="817">
      <c r="A817" s="4" t="str">
        <f>IFERROR(__xludf.DUMMYFUNCTION("""COMPUTED_VALUE"""),"0702/02")</f>
        <v>0702/02</v>
      </c>
      <c r="B817" s="4" t="str">
        <f>IFERROR(__xludf.DUMMYFUNCTION("""COMPUTED_VALUE"""),"Barrera protectora 100 cm largo x 100 cm altura tubo de 50x3")</f>
        <v>Barrera protectora 100 cm largo x 100 cm altura tubo de 50x3</v>
      </c>
      <c r="C817" s="4">
        <f>IFERROR(__xludf.DUMMYFUNCTION("""COMPUTED_VALUE"""),137.55)</f>
        <v>137.55</v>
      </c>
      <c r="D817" s="4"/>
      <c r="E817" s="4" t="str">
        <f>IFERROR(__xludf.DUMMYFUNCTION("""COMPUTED_VALUE"""),"Sin precio neto")</f>
        <v>Sin precio neto</v>
      </c>
    </row>
    <row r="818">
      <c r="A818" s="4" t="str">
        <f>IFERROR(__xludf.DUMMYFUNCTION("""COMPUTED_VALUE"""),"0702/03")</f>
        <v>0702/03</v>
      </c>
      <c r="B818" s="4" t="str">
        <f>IFERROR(__xludf.DUMMYFUNCTION("""COMPUTED_VALUE"""),"Barrera protectora 100 cm largo x 100 cm altura tubo de")</f>
        <v>Barrera protectora 100 cm largo x 100 cm altura tubo de</v>
      </c>
      <c r="C818" s="4">
        <f>IFERROR(__xludf.DUMMYFUNCTION("""COMPUTED_VALUE"""),141.75)</f>
        <v>141.75</v>
      </c>
      <c r="D818" s="4"/>
      <c r="E818" s="4" t="str">
        <f>IFERROR(__xludf.DUMMYFUNCTION("""COMPUTED_VALUE"""),"Sin precio neto")</f>
        <v>Sin precio neto</v>
      </c>
    </row>
    <row r="819">
      <c r="A819" s="4" t="str">
        <f>IFERROR(__xludf.DUMMYFUNCTION("""COMPUTED_VALUE"""),"0702/04")</f>
        <v>0702/04</v>
      </c>
      <c r="B819" s="4" t="str">
        <f>IFERROR(__xludf.DUMMYFUNCTION("""COMPUTED_VALUE"""),"Barrera protectora 100 cm largo x 100 cm altura tubo de")</f>
        <v>Barrera protectora 100 cm largo x 100 cm altura tubo de</v>
      </c>
      <c r="C819" s="4">
        <f>IFERROR(__xludf.DUMMYFUNCTION("""COMPUTED_VALUE"""),170.625)</f>
        <v>170.625</v>
      </c>
      <c r="D819" s="4"/>
      <c r="E819" s="4" t="str">
        <f>IFERROR(__xludf.DUMMYFUNCTION("""COMPUTED_VALUE"""),"Sin precio neto")</f>
        <v>Sin precio neto</v>
      </c>
    </row>
    <row r="820">
      <c r="A820" s="4" t="str">
        <f>IFERROR(__xludf.DUMMYFUNCTION("""COMPUTED_VALUE"""),"0702/05")</f>
        <v>0702/05</v>
      </c>
      <c r="B820" s="4" t="str">
        <f>IFERROR(__xludf.DUMMYFUNCTION("""COMPUTED_VALUE"""),"Barrera protectora 200 cm largo x 100 cm altura tubo de")</f>
        <v>Barrera protectora 200 cm largo x 100 cm altura tubo de</v>
      </c>
      <c r="C820" s="4">
        <f>IFERROR(__xludf.DUMMYFUNCTION("""COMPUTED_VALUE"""),173.25)</f>
        <v>173.25</v>
      </c>
      <c r="D820" s="4"/>
      <c r="E820" s="4" t="str">
        <f>IFERROR(__xludf.DUMMYFUNCTION("""COMPUTED_VALUE"""),"Sin precio neto")</f>
        <v>Sin precio neto</v>
      </c>
    </row>
    <row r="821">
      <c r="A821" s="4" t="str">
        <f>IFERROR(__xludf.DUMMYFUNCTION("""COMPUTED_VALUE"""),"0702/06")</f>
        <v>0702/06</v>
      </c>
      <c r="B821" s="4" t="str">
        <f>IFERROR(__xludf.DUMMYFUNCTION("""COMPUTED_VALUE"""),"Barrera protectora 200 cm largo x 100 cm altura tubo 50x3mm")</f>
        <v>Barrera protectora 200 cm largo x 100 cm altura tubo 50x3mm</v>
      </c>
      <c r="C821" s="4">
        <f>IFERROR(__xludf.DUMMYFUNCTION("""COMPUTED_VALUE"""),223.125)</f>
        <v>223.125</v>
      </c>
      <c r="D821" s="4"/>
      <c r="E821" s="4" t="str">
        <f>IFERROR(__xludf.DUMMYFUNCTION("""COMPUTED_VALUE"""),"Sin precio neto")</f>
        <v>Sin precio neto</v>
      </c>
    </row>
    <row r="822">
      <c r="A822" s="4" t="str">
        <f>IFERROR(__xludf.DUMMYFUNCTION("""COMPUTED_VALUE"""),"0702/07")</f>
        <v>0702/07</v>
      </c>
      <c r="B822" s="4" t="str">
        <f>IFERROR(__xludf.DUMMYFUNCTION("""COMPUTED_VALUE"""),"Barrera protectora 200 cm largo x 100 cm altura tubo de")</f>
        <v>Barrera protectora 200 cm largo x 100 cm altura tubo de</v>
      </c>
      <c r="C822" s="4">
        <f>IFERROR(__xludf.DUMMYFUNCTION("""COMPUTED_VALUE"""),175.875)</f>
        <v>175.875</v>
      </c>
      <c r="D822" s="4"/>
      <c r="E822" s="4" t="str">
        <f>IFERROR(__xludf.DUMMYFUNCTION("""COMPUTED_VALUE"""),"Sin precio neto")</f>
        <v>Sin precio neto</v>
      </c>
    </row>
    <row r="823">
      <c r="A823" s="4" t="str">
        <f>IFERROR(__xludf.DUMMYFUNCTION("""COMPUTED_VALUE"""),"0702/08")</f>
        <v>0702/08</v>
      </c>
      <c r="B823" s="4" t="str">
        <f>IFERROR(__xludf.DUMMYFUNCTION("""COMPUTED_VALUE"""),"Barrera protectora 200 cm largo x 100 cm altura tubo de")</f>
        <v>Barrera protectora 200 cm largo x 100 cm altura tubo de</v>
      </c>
      <c r="C823" s="4">
        <f>IFERROR(__xludf.DUMMYFUNCTION("""COMPUTED_VALUE"""),236.25)</f>
        <v>236.25</v>
      </c>
      <c r="D823" s="4"/>
      <c r="E823" s="4" t="str">
        <f>IFERROR(__xludf.DUMMYFUNCTION("""COMPUTED_VALUE"""),"Sin precio neto")</f>
        <v>Sin precio neto</v>
      </c>
    </row>
    <row r="824">
      <c r="A824" s="4" t="str">
        <f>IFERROR(__xludf.DUMMYFUNCTION("""COMPUTED_VALUE"""),"0703/01")</f>
        <v>0703/01</v>
      </c>
      <c r="B824" s="4" t="str">
        <f>IFERROR(__xludf.DUMMYFUNCTION("""COMPUTED_VALUE"""),"Barrera protectora reforzada 100 cm largo x 100 cm altura tubo")</f>
        <v>Barrera protectora reforzada 100 cm largo x 100 cm altura tubo</v>
      </c>
      <c r="C824" s="4">
        <f>IFERROR(__xludf.DUMMYFUNCTION("""COMPUTED_VALUE"""),183.75)</f>
        <v>183.75</v>
      </c>
      <c r="D824" s="4"/>
      <c r="E824" s="4" t="str">
        <f>IFERROR(__xludf.DUMMYFUNCTION("""COMPUTED_VALUE"""),"Sin precio neto")</f>
        <v>Sin precio neto</v>
      </c>
    </row>
    <row r="825">
      <c r="A825" s="4" t="str">
        <f>IFERROR(__xludf.DUMMYFUNCTION("""COMPUTED_VALUE"""),"0703/02")</f>
        <v>0703/02</v>
      </c>
      <c r="B825" s="4" t="str">
        <f>IFERROR(__xludf.DUMMYFUNCTION("""COMPUTED_VALUE"""),"Barrera protectora reforzada 100 cm largo x 100 cm altura tubo")</f>
        <v>Barrera protectora reforzada 100 cm largo x 100 cm altura tubo</v>
      </c>
      <c r="C825" s="4">
        <f>IFERROR(__xludf.DUMMYFUNCTION("""COMPUTED_VALUE"""),147.0)</f>
        <v>147</v>
      </c>
      <c r="D825" s="4"/>
      <c r="E825" s="4" t="str">
        <f>IFERROR(__xludf.DUMMYFUNCTION("""COMPUTED_VALUE"""),"Sin precio neto")</f>
        <v>Sin precio neto</v>
      </c>
    </row>
    <row r="826">
      <c r="A826" s="4" t="str">
        <f>IFERROR(__xludf.DUMMYFUNCTION("""COMPUTED_VALUE"""),"0703/03")</f>
        <v>0703/03</v>
      </c>
      <c r="B826" s="4" t="str">
        <f>IFERROR(__xludf.DUMMYFUNCTION("""COMPUTED_VALUE"""),"Barrera protectora reforzada 100 cm largo x 100 cm altura tubo")</f>
        <v>Barrera protectora reforzada 100 cm largo x 100 cm altura tubo</v>
      </c>
      <c r="C826" s="4">
        <f>IFERROR(__xludf.DUMMYFUNCTION("""COMPUTED_VALUE"""),136.5)</f>
        <v>136.5</v>
      </c>
      <c r="D826" s="4"/>
      <c r="E826" s="4" t="str">
        <f>IFERROR(__xludf.DUMMYFUNCTION("""COMPUTED_VALUE"""),"Sin precio neto")</f>
        <v>Sin precio neto</v>
      </c>
    </row>
    <row r="827">
      <c r="A827" s="4" t="str">
        <f>IFERROR(__xludf.DUMMYFUNCTION("""COMPUTED_VALUE"""),"0703/04")</f>
        <v>0703/04</v>
      </c>
      <c r="B827" s="4" t="str">
        <f>IFERROR(__xludf.DUMMYFUNCTION("""COMPUTED_VALUE"""),"Barrera protectora reforzada 100 cm largo x 100 cm altura tubo")</f>
        <v>Barrera protectora reforzada 100 cm largo x 100 cm altura tubo</v>
      </c>
      <c r="C827" s="4">
        <f>IFERROR(__xludf.DUMMYFUNCTION("""COMPUTED_VALUE"""),183.75)</f>
        <v>183.75</v>
      </c>
      <c r="D827" s="4"/>
      <c r="E827" s="4" t="str">
        <f>IFERROR(__xludf.DUMMYFUNCTION("""COMPUTED_VALUE"""),"Sin precio neto")</f>
        <v>Sin precio neto</v>
      </c>
    </row>
    <row r="828">
      <c r="A828" s="4" t="str">
        <f>IFERROR(__xludf.DUMMYFUNCTION("""COMPUTED_VALUE"""),"0703/05")</f>
        <v>0703/05</v>
      </c>
      <c r="B828" s="4" t="str">
        <f>IFERROR(__xludf.DUMMYFUNCTION("""COMPUTED_VALUE"""),"Barrera protectora reforzada 200 cm largo x 100 cm altura tubo")</f>
        <v>Barrera protectora reforzada 200 cm largo x 100 cm altura tubo</v>
      </c>
      <c r="C828" s="4">
        <f>IFERROR(__xludf.DUMMYFUNCTION("""COMPUTED_VALUE"""),196.875)</f>
        <v>196.875</v>
      </c>
      <c r="D828" s="4"/>
      <c r="E828" s="4" t="str">
        <f>IFERROR(__xludf.DUMMYFUNCTION("""COMPUTED_VALUE"""),"Sin precio neto")</f>
        <v>Sin precio neto</v>
      </c>
    </row>
    <row r="829">
      <c r="A829" s="4" t="str">
        <f>IFERROR(__xludf.DUMMYFUNCTION("""COMPUTED_VALUE"""),"0703/06")</f>
        <v>0703/06</v>
      </c>
      <c r="B829" s="4" t="str">
        <f>IFERROR(__xludf.DUMMYFUNCTION("""COMPUTED_VALUE"""),"Barrera protectora reforzada 200 cm largo x 100 cm altura tubo")</f>
        <v>Barrera protectora reforzada 200 cm largo x 100 cm altura tubo</v>
      </c>
      <c r="C829" s="4">
        <f>IFERROR(__xludf.DUMMYFUNCTION("""COMPUTED_VALUE"""),223.125)</f>
        <v>223.125</v>
      </c>
      <c r="D829" s="4"/>
      <c r="E829" s="4" t="str">
        <f>IFERROR(__xludf.DUMMYFUNCTION("""COMPUTED_VALUE"""),"Sin precio neto")</f>
        <v>Sin precio neto</v>
      </c>
    </row>
    <row r="830">
      <c r="A830" s="4" t="str">
        <f>IFERROR(__xludf.DUMMYFUNCTION("""COMPUTED_VALUE"""),"0703/07")</f>
        <v>0703/07</v>
      </c>
      <c r="B830" s="4" t="str">
        <f>IFERROR(__xludf.DUMMYFUNCTION("""COMPUTED_VALUE"""),"Barrera protectora reforzada 200 cm largo x 100 cm altura tubo")</f>
        <v>Barrera protectora reforzada 200 cm largo x 100 cm altura tubo</v>
      </c>
      <c r="C830" s="4">
        <f>IFERROR(__xludf.DUMMYFUNCTION("""COMPUTED_VALUE"""),196.875)</f>
        <v>196.875</v>
      </c>
      <c r="D830" s="4"/>
      <c r="E830" s="4" t="str">
        <f>IFERROR(__xludf.DUMMYFUNCTION("""COMPUTED_VALUE"""),"Sin precio neto")</f>
        <v>Sin precio neto</v>
      </c>
    </row>
    <row r="831">
      <c r="A831" s="4" t="str">
        <f>IFERROR(__xludf.DUMMYFUNCTION("""COMPUTED_VALUE"""),"0703/08")</f>
        <v>0703/08</v>
      </c>
      <c r="B831" s="4" t="str">
        <f>IFERROR(__xludf.DUMMYFUNCTION("""COMPUTED_VALUE"""),"Barrera protectora reforzada 200 cm largo x 100 cm altiura tubo")</f>
        <v>Barrera protectora reforzada 200 cm largo x 100 cm altiura tubo</v>
      </c>
      <c r="C831" s="4">
        <f>IFERROR(__xludf.DUMMYFUNCTION("""COMPUTED_VALUE"""),246.75)</f>
        <v>246.75</v>
      </c>
      <c r="D831" s="4"/>
      <c r="E831" s="4" t="str">
        <f>IFERROR(__xludf.DUMMYFUNCTION("""COMPUTED_VALUE"""),"Sin precio neto")</f>
        <v>Sin precio neto</v>
      </c>
    </row>
    <row r="832">
      <c r="A832" s="4" t="str">
        <f>IFERROR(__xludf.DUMMYFUNCTION("""COMPUTED_VALUE"""),"0704/01")</f>
        <v>0704/01</v>
      </c>
      <c r="B832" s="4" t="str">
        <f>IFERROR(__xludf.DUMMYFUNCTION("""COMPUTED_VALUE"""),"Bolardo acero N/A 100 cm altura tubo 60x2mm")</f>
        <v>Bolardo acero N/A 100 cm altura tubo 60x2mm</v>
      </c>
      <c r="C832" s="4">
        <f>IFERROR(__xludf.DUMMYFUNCTION("""COMPUTED_VALUE"""),63.0)</f>
        <v>63</v>
      </c>
      <c r="D832" s="4"/>
      <c r="E832" s="4" t="str">
        <f>IFERROR(__xludf.DUMMYFUNCTION("""COMPUTED_VALUE"""),"Sin precio neto")</f>
        <v>Sin precio neto</v>
      </c>
    </row>
    <row r="833">
      <c r="A833" s="4" t="str">
        <f>IFERROR(__xludf.DUMMYFUNCTION("""COMPUTED_VALUE"""),"0704/02")</f>
        <v>0704/02</v>
      </c>
      <c r="B833" s="4" t="str">
        <f>IFERROR(__xludf.DUMMYFUNCTION("""COMPUTED_VALUE"""),"Bolardo acero N/A 100 cm altura tubo de 80x2mm")</f>
        <v>Bolardo acero N/A 100 cm altura tubo de 80x2mm</v>
      </c>
      <c r="C833" s="4">
        <f>IFERROR(__xludf.DUMMYFUNCTION("""COMPUTED_VALUE"""),78.75)</f>
        <v>78.75</v>
      </c>
      <c r="D833" s="4"/>
      <c r="E833" s="4" t="str">
        <f>IFERROR(__xludf.DUMMYFUNCTION("""COMPUTED_VALUE"""),"Sin precio neto")</f>
        <v>Sin precio neto</v>
      </c>
    </row>
    <row r="834">
      <c r="A834" s="4" t="str">
        <f>IFERROR(__xludf.DUMMYFUNCTION("""COMPUTED_VALUE"""),"0705/01")</f>
        <v>0705/01</v>
      </c>
      <c r="B834" s="4" t="str">
        <f>IFERROR(__xludf.DUMMYFUNCTION("""COMPUTED_VALUE"""),"Zocalo proteccion 200 cm largo x 6,6 cm altura tubo de")</f>
        <v>Zocalo proteccion 200 cm largo x 6,6 cm altura tubo de</v>
      </c>
      <c r="C834" s="4">
        <f>IFERROR(__xludf.DUMMYFUNCTION("""COMPUTED_VALUE"""),99.75)</f>
        <v>99.75</v>
      </c>
      <c r="D834" s="4"/>
      <c r="E834" s="4" t="str">
        <f>IFERROR(__xludf.DUMMYFUNCTION("""COMPUTED_VALUE"""),"Sin precio neto")</f>
        <v>Sin precio neto</v>
      </c>
    </row>
    <row r="835">
      <c r="A835" s="4" t="str">
        <f>IFERROR(__xludf.DUMMYFUNCTION("""COMPUTED_VALUE"""),"0705/02")</f>
        <v>0705/02</v>
      </c>
      <c r="B835" s="4" t="str">
        <f>IFERROR(__xludf.DUMMYFUNCTION("""COMPUTED_VALUE"""),"Zocalo proteccion 200 cm largo x 8,6 cm altura tubo de")</f>
        <v>Zocalo proteccion 200 cm largo x 8,6 cm altura tubo de</v>
      </c>
      <c r="C835" s="4">
        <f>IFERROR(__xludf.DUMMYFUNCTION("""COMPUTED_VALUE"""),118.125)</f>
        <v>118.125</v>
      </c>
      <c r="D835" s="4"/>
      <c r="E835" s="4" t="str">
        <f>IFERROR(__xludf.DUMMYFUNCTION("""COMPUTED_VALUE"""),"Sin precio neto")</f>
        <v>Sin precio neto</v>
      </c>
    </row>
    <row r="836">
      <c r="A836" s="4" t="str">
        <f>IFERROR(__xludf.DUMMYFUNCTION("""COMPUTED_VALUE"""),"706")</f>
        <v>706</v>
      </c>
      <c r="B836" s="4" t="str">
        <f>IFERROR(__xludf.DUMMYFUNCTION("""COMPUTED_VALUE"""),"Placa Taller 50x50 cm personalizable")</f>
        <v>Placa Taller 50x50 cm personalizable</v>
      </c>
      <c r="C836" s="4">
        <f>IFERROR(__xludf.DUMMYFUNCTION("""COMPUTED_VALUE"""),11.25)</f>
        <v>11.25</v>
      </c>
      <c r="D836" s="4"/>
      <c r="E836" s="4" t="str">
        <f>IFERROR(__xludf.DUMMYFUNCTION("""COMPUTED_VALUE"""),"Sin precio neto")</f>
        <v>Sin precio neto</v>
      </c>
    </row>
    <row r="837">
      <c r="A837" s="4" t="str">
        <f>IFERROR(__xludf.DUMMYFUNCTION("""COMPUTED_VALUE"""),"708")</f>
        <v>708</v>
      </c>
      <c r="B837" s="4" t="str">
        <f>IFERROR(__xludf.DUMMYFUNCTION("""COMPUTED_VALUE"""),"Conjunto prohibido aparcar + trípode con plesilla")</f>
        <v>Conjunto prohibido aparcar + trípode con plesilla</v>
      </c>
      <c r="C837" s="4">
        <f>IFERROR(__xludf.DUMMYFUNCTION("""COMPUTED_VALUE"""),31.0)</f>
        <v>31</v>
      </c>
      <c r="D837" s="4"/>
      <c r="E837" s="4" t="str">
        <f>IFERROR(__xludf.DUMMYFUNCTION("""COMPUTED_VALUE"""),"Sin precio neto")</f>
        <v>Sin precio neto</v>
      </c>
    </row>
    <row r="838">
      <c r="A838" s="4" t="str">
        <f>IFERROR(__xludf.DUMMYFUNCTION("""COMPUTED_VALUE"""),"710")</f>
        <v>710</v>
      </c>
      <c r="B838" s="4" t="str">
        <f>IFERROR(__xludf.DUMMYFUNCTION("""COMPUTED_VALUE"""),"Placa mercancias peligrosas fija 40x30 troquelada")</f>
        <v>Placa mercancias peligrosas fija 40x30 troquelada</v>
      </c>
      <c r="C838" s="4">
        <f>IFERROR(__xludf.DUMMYFUNCTION("""COMPUTED_VALUE"""),32.9)</f>
        <v>32.9</v>
      </c>
      <c r="D838" s="4"/>
      <c r="E838" s="4" t="str">
        <f>IFERROR(__xludf.DUMMYFUNCTION("""COMPUTED_VALUE"""),"Sin precio neto")</f>
        <v>Sin precio neto</v>
      </c>
    </row>
    <row r="839">
      <c r="A839" s="4" t="str">
        <f>IFERROR(__xludf.DUMMYFUNCTION("""COMPUTED_VALUE"""),"0710T")</f>
        <v>0710T</v>
      </c>
      <c r="B839" s="4" t="str">
        <f>IFERROR(__xludf.DUMMYFUNCTION("""COMPUTED_VALUE"""),"Placa mercancia peligrosa plegable sin troquelar 40x30")</f>
        <v>Placa mercancia peligrosa plegable sin troquelar 40x30</v>
      </c>
      <c r="C839" s="4">
        <f>IFERROR(__xludf.DUMMYFUNCTION("""COMPUTED_VALUE"""),22.1)</f>
        <v>22.1</v>
      </c>
      <c r="D839" s="4"/>
      <c r="E839" s="4" t="str">
        <f>IFERROR(__xludf.DUMMYFUNCTION("""COMPUTED_VALUE"""),"Sin precio neto")</f>
        <v>Sin precio neto</v>
      </c>
    </row>
    <row r="840">
      <c r="A840" s="4" t="str">
        <f>IFERROR(__xludf.DUMMYFUNCTION("""COMPUTED_VALUE"""),"711")</f>
        <v>711</v>
      </c>
      <c r="B840" s="4" t="str">
        <f>IFERROR(__xludf.DUMMYFUNCTION("""COMPUTED_VALUE"""),"Disco nacional 20 cm diám Limitacion Velocidad alumin, Reflex")</f>
        <v>Disco nacional 20 cm diám Limitacion Velocidad alumin, Reflex</v>
      </c>
      <c r="C840" s="4">
        <f>IFERROR(__xludf.DUMMYFUNCTION("""COMPUTED_VALUE"""),8.0)</f>
        <v>8</v>
      </c>
      <c r="D840" s="4"/>
      <c r="E840" s="4" t="str">
        <f>IFERROR(__xludf.DUMMYFUNCTION("""COMPUTED_VALUE"""),"Sin precio neto")</f>
        <v>Sin precio neto</v>
      </c>
    </row>
    <row r="841">
      <c r="A841" s="4" t="str">
        <f>IFERROR(__xludf.DUMMYFUNCTION("""COMPUTED_VALUE"""),"0711/20")</f>
        <v>0711/20</v>
      </c>
      <c r="B841" s="4" t="str">
        <f>IFERROR(__xludf.DUMMYFUNCTION("""COMPUTED_VALUE"""),"Disco alum. diam.20cm Lim Velocidad 20 Reflex 2")</f>
        <v>Disco alum. diam.20cm Lim Velocidad 20 Reflex 2</v>
      </c>
      <c r="C841" s="4">
        <f>IFERROR(__xludf.DUMMYFUNCTION("""COMPUTED_VALUE"""),7.875)</f>
        <v>7.875</v>
      </c>
      <c r="D841" s="4"/>
      <c r="E841" s="4" t="str">
        <f>IFERROR(__xludf.DUMMYFUNCTION("""COMPUTED_VALUE"""),"Sin precio neto")</f>
        <v>Sin precio neto</v>
      </c>
    </row>
    <row r="842">
      <c r="A842" s="4" t="str">
        <f>IFERROR(__xludf.DUMMYFUNCTION("""COMPUTED_VALUE"""),"0711/25")</f>
        <v>0711/25</v>
      </c>
      <c r="B842" s="4" t="str">
        <f>IFERROR(__xludf.DUMMYFUNCTION("""COMPUTED_VALUE"""),"Disco alum. diam.20cm Lim Velocidad 25 Reflex 2")</f>
        <v>Disco alum. diam.20cm Lim Velocidad 25 Reflex 2</v>
      </c>
      <c r="C842" s="4">
        <f>IFERROR(__xludf.DUMMYFUNCTION("""COMPUTED_VALUE"""),7.875)</f>
        <v>7.875</v>
      </c>
      <c r="D842" s="4"/>
      <c r="E842" s="4" t="str">
        <f>IFERROR(__xludf.DUMMYFUNCTION("""COMPUTED_VALUE"""),"Sin precio neto")</f>
        <v>Sin precio neto</v>
      </c>
    </row>
    <row r="843">
      <c r="A843" s="4" t="str">
        <f>IFERROR(__xludf.DUMMYFUNCTION("""COMPUTED_VALUE"""),"0711/30")</f>
        <v>0711/30</v>
      </c>
      <c r="B843" s="4" t="str">
        <f>IFERROR(__xludf.DUMMYFUNCTION("""COMPUTED_VALUE"""),"Disco alum. diam.20cm Lim Velocidad 30 Reflex 2")</f>
        <v>Disco alum. diam.20cm Lim Velocidad 30 Reflex 2</v>
      </c>
      <c r="C843" s="4">
        <f>IFERROR(__xludf.DUMMYFUNCTION("""COMPUTED_VALUE"""),7.875)</f>
        <v>7.875</v>
      </c>
      <c r="D843" s="4"/>
      <c r="E843" s="4" t="str">
        <f>IFERROR(__xludf.DUMMYFUNCTION("""COMPUTED_VALUE"""),"Sin precio neto")</f>
        <v>Sin precio neto</v>
      </c>
    </row>
    <row r="844">
      <c r="A844" s="4" t="str">
        <f>IFERROR(__xludf.DUMMYFUNCTION("""COMPUTED_VALUE"""),"0711/35")</f>
        <v>0711/35</v>
      </c>
      <c r="B844" s="4" t="str">
        <f>IFERROR(__xludf.DUMMYFUNCTION("""COMPUTED_VALUE"""),"Disco alum. diam.20cm Lim Velocidad 35 Reflex 2")</f>
        <v>Disco alum. diam.20cm Lim Velocidad 35 Reflex 2</v>
      </c>
      <c r="C844" s="4">
        <f>IFERROR(__xludf.DUMMYFUNCTION("""COMPUTED_VALUE"""),7.875)</f>
        <v>7.875</v>
      </c>
      <c r="D844" s="4"/>
      <c r="E844" s="4" t="str">
        <f>IFERROR(__xludf.DUMMYFUNCTION("""COMPUTED_VALUE"""),"Sin precio neto")</f>
        <v>Sin precio neto</v>
      </c>
    </row>
    <row r="845">
      <c r="A845" s="4" t="str">
        <f>IFERROR(__xludf.DUMMYFUNCTION("""COMPUTED_VALUE"""),"0711/40")</f>
        <v>0711/40</v>
      </c>
      <c r="B845" s="4" t="str">
        <f>IFERROR(__xludf.DUMMYFUNCTION("""COMPUTED_VALUE"""),"Disco alum. diam.20cm Lim Velocidad 40 Reflex 2")</f>
        <v>Disco alum. diam.20cm Lim Velocidad 40 Reflex 2</v>
      </c>
      <c r="C845" s="4">
        <f>IFERROR(__xludf.DUMMYFUNCTION("""COMPUTED_VALUE"""),7.875)</f>
        <v>7.875</v>
      </c>
      <c r="D845" s="4"/>
      <c r="E845" s="4" t="str">
        <f>IFERROR(__xludf.DUMMYFUNCTION("""COMPUTED_VALUE"""),"Sin precio neto")</f>
        <v>Sin precio neto</v>
      </c>
    </row>
    <row r="846">
      <c r="A846" s="4" t="str">
        <f>IFERROR(__xludf.DUMMYFUNCTION("""COMPUTED_VALUE"""),"0711/45")</f>
        <v>0711/45</v>
      </c>
      <c r="B846" s="4" t="str">
        <f>IFERROR(__xludf.DUMMYFUNCTION("""COMPUTED_VALUE"""),"Disco alum. diam.20cm Lim Velocidad 45 Reflex 2")</f>
        <v>Disco alum. diam.20cm Lim Velocidad 45 Reflex 2</v>
      </c>
      <c r="C846" s="4">
        <f>IFERROR(__xludf.DUMMYFUNCTION("""COMPUTED_VALUE"""),7.875)</f>
        <v>7.875</v>
      </c>
      <c r="D846" s="4"/>
      <c r="E846" s="4" t="str">
        <f>IFERROR(__xludf.DUMMYFUNCTION("""COMPUTED_VALUE"""),"Sin precio neto")</f>
        <v>Sin precio neto</v>
      </c>
    </row>
    <row r="847">
      <c r="A847" s="4" t="str">
        <f>IFERROR(__xludf.DUMMYFUNCTION("""COMPUTED_VALUE"""),"712")</f>
        <v>712</v>
      </c>
      <c r="B847" s="4" t="str">
        <f>IFERROR(__xludf.DUMMYFUNCTION("""COMPUTED_VALUE"""),"Placa Servicio Público 75x150 mm aluminiro Reflex 2")</f>
        <v>Placa Servicio Público 75x150 mm aluminiro Reflex 2</v>
      </c>
      <c r="C847" s="4">
        <f>IFERROR(__xludf.DUMMYFUNCTION("""COMPUTED_VALUE"""),4.25)</f>
        <v>4.25</v>
      </c>
      <c r="D847" s="4"/>
      <c r="E847" s="4" t="str">
        <f>IFERROR(__xludf.DUMMYFUNCTION("""COMPUTED_VALUE"""),"Sin precio neto")</f>
        <v>Sin precio neto</v>
      </c>
    </row>
    <row r="848">
      <c r="A848" s="4" t="str">
        <f>IFERROR(__xludf.DUMMYFUNCTION("""COMPUTED_VALUE"""),"713")</f>
        <v>713</v>
      </c>
      <c r="B848" s="4" t="str">
        <f>IFERROR(__xludf.DUMMYFUNCTION("""COMPUTED_VALUE"""),"Placa Servicio Público 120x225 mm aluminio Reflex N2")</f>
        <v>Placa Servicio Público 120x225 mm aluminio Reflex N2</v>
      </c>
      <c r="C848" s="4">
        <f>IFERROR(__xludf.DUMMYFUNCTION("""COMPUTED_VALUE"""),6.75)</f>
        <v>6.75</v>
      </c>
      <c r="D848" s="4"/>
      <c r="E848" s="4" t="str">
        <f>IFERROR(__xludf.DUMMYFUNCTION("""COMPUTED_VALUE"""),"Sin precio neto")</f>
        <v>Sin precio neto</v>
      </c>
    </row>
    <row r="849">
      <c r="A849" s="4" t="str">
        <f>IFERROR(__xludf.DUMMYFUNCTION("""COMPUTED_VALUE"""),"714")</f>
        <v>714</v>
      </c>
      <c r="B849" s="4" t="str">
        <f>IFERROR(__xludf.DUMMYFUNCTION("""COMPUTED_VALUE"""),"Señal Transporte Animales Vivos aluminio 30x22 cm")</f>
        <v>Señal Transporte Animales Vivos aluminio 30x22 cm</v>
      </c>
      <c r="C849" s="4">
        <f>IFERROR(__xludf.DUMMYFUNCTION("""COMPUTED_VALUE"""),7.75)</f>
        <v>7.75</v>
      </c>
      <c r="D849" s="4"/>
      <c r="E849" s="4" t="str">
        <f>IFERROR(__xludf.DUMMYFUNCTION("""COMPUTED_VALUE"""),"Sin precio neto")</f>
        <v>Sin precio neto</v>
      </c>
    </row>
    <row r="850">
      <c r="A850" s="4" t="str">
        <f>IFERROR(__xludf.DUMMYFUNCTION("""COMPUTED_VALUE"""),"715")</f>
        <v>715</v>
      </c>
      <c r="B850" s="4" t="str">
        <f>IFERROR(__xludf.DUMMYFUNCTION("""COMPUTED_VALUE"""),"Señal adhesiva de TARA P.M.A. 130x330 mm")</f>
        <v>Señal adhesiva de TARA P.M.A. 130x330 mm</v>
      </c>
      <c r="C850" s="4">
        <f>IFERROR(__xludf.DUMMYFUNCTION("""COMPUTED_VALUE"""),2.0)</f>
        <v>2</v>
      </c>
      <c r="D850" s="4"/>
      <c r="E850" s="4" t="str">
        <f>IFERROR(__xludf.DUMMYFUNCTION("""COMPUTED_VALUE"""),"Sin precio neto")</f>
        <v>Sin precio neto</v>
      </c>
    </row>
    <row r="851">
      <c r="A851" s="4" t="str">
        <f>IFERROR(__xludf.DUMMYFUNCTION("""COMPUTED_VALUE"""),"716")</f>
        <v>716</v>
      </c>
      <c r="B851" s="4" t="str">
        <f>IFERROR(__xludf.DUMMYFUNCTION("""COMPUTED_VALUE"""),"Placa Vehículo Lento 365 mm de lado aluminio Reflex N2")</f>
        <v>Placa Vehículo Lento 365 mm de lado aluminio Reflex N2</v>
      </c>
      <c r="C851" s="4">
        <f>IFERROR(__xludf.DUMMYFUNCTION("""COMPUTED_VALUE"""),21.0)</f>
        <v>21</v>
      </c>
      <c r="D851" s="4"/>
      <c r="E851" s="4" t="str">
        <f>IFERROR(__xludf.DUMMYFUNCTION("""COMPUTED_VALUE"""),"Sin precio neto")</f>
        <v>Sin precio neto</v>
      </c>
    </row>
    <row r="852">
      <c r="A852" s="4" t="str">
        <f>IFERROR(__xludf.DUMMYFUNCTION("""COMPUTED_VALUE"""),"717")</f>
        <v>717</v>
      </c>
      <c r="B852" s="4" t="str">
        <f>IFERROR(__xludf.DUMMYFUNCTION("""COMPUTED_VALUE"""),"Placa R-70 corta 565x200mm vehic. largo (juego2 pzas)")</f>
        <v>Placa R-70 corta 565x200mm vehic. largo (juego2 pzas)</v>
      </c>
      <c r="C852" s="4">
        <f>IFERROR(__xludf.DUMMYFUNCTION("""COMPUTED_VALUE"""),34.0)</f>
        <v>34</v>
      </c>
      <c r="D852" s="4"/>
      <c r="E852" s="4" t="str">
        <f>IFERROR(__xludf.DUMMYFUNCTION("""COMPUTED_VALUE"""),"Sin precio neto")</f>
        <v>Sin precio neto</v>
      </c>
    </row>
    <row r="853">
      <c r="A853" s="4" t="str">
        <f>IFERROR(__xludf.DUMMYFUNCTION("""COMPUTED_VALUE"""),"0717/L")</f>
        <v>0717/L</v>
      </c>
      <c r="B853" s="4" t="str">
        <f>IFERROR(__xludf.DUMMYFUNCTION("""COMPUTED_VALUE"""),"Placa 1130x200mm vehículo Largo Reflex N2 Homol. Europea")</f>
        <v>Placa 1130x200mm vehículo Largo Reflex N2 Homol. Europea</v>
      </c>
      <c r="C853" s="4">
        <f>IFERROR(__xludf.DUMMYFUNCTION("""COMPUTED_VALUE"""),28.0)</f>
        <v>28</v>
      </c>
      <c r="D853" s="4"/>
      <c r="E853" s="4" t="str">
        <f>IFERROR(__xludf.DUMMYFUNCTION("""COMPUTED_VALUE"""),"Sin precio neto")</f>
        <v>Sin precio neto</v>
      </c>
    </row>
    <row r="854">
      <c r="A854" s="4" t="str">
        <f>IFERROR(__xludf.DUMMYFUNCTION("""COMPUTED_VALUE"""),"719")</f>
        <v>719</v>
      </c>
      <c r="B854" s="4" t="str">
        <f>IFERROR(__xludf.DUMMYFUNCTION("""COMPUTED_VALUE"""),"Placa 1ª categ COTO PRIVADO DE CAZA + matric. Troquel.")</f>
        <v>Placa 1ª categ COTO PRIVADO DE CAZA + matric. Troquel.</v>
      </c>
      <c r="C854" s="4">
        <f>IFERROR(__xludf.DUMMYFUNCTION("""COMPUTED_VALUE"""),11.0)</f>
        <v>11</v>
      </c>
      <c r="D854" s="4"/>
      <c r="E854" s="4" t="str">
        <f>IFERROR(__xludf.DUMMYFUNCTION("""COMPUTED_VALUE"""),"Sin precio neto")</f>
        <v>Sin precio neto</v>
      </c>
    </row>
    <row r="855">
      <c r="A855" s="4" t="str">
        <f>IFERROR(__xludf.DUMMYFUNCTION("""COMPUTED_VALUE"""),"720")</f>
        <v>720</v>
      </c>
      <c r="B855" s="4" t="str">
        <f>IFERROR(__xludf.DUMMYFUNCTION("""COMPUTED_VALUE"""),"Placa 2ª categ. COTO DE CAZA 30X20 cm")</f>
        <v>Placa 2ª categ. COTO DE CAZA 30X20 cm</v>
      </c>
      <c r="C855" s="4">
        <f>IFERROR(__xludf.DUMMYFUNCTION("""COMPUTED_VALUE"""),6.0)</f>
        <v>6</v>
      </c>
      <c r="D855" s="4"/>
      <c r="E855" s="4" t="str">
        <f>IFERROR(__xludf.DUMMYFUNCTION("""COMPUTED_VALUE"""),"Sin precio neto")</f>
        <v>Sin precio neto</v>
      </c>
    </row>
    <row r="856">
      <c r="A856" s="4" t="str">
        <f>IFERROR(__xludf.DUMMYFUNCTION("""COMPUTED_VALUE"""),"721")</f>
        <v>721</v>
      </c>
      <c r="B856" s="4" t="str">
        <f>IFERROR(__xludf.DUMMYFUNCTION("""COMPUTED_VALUE"""),"Placa Nº puerta aluminio 19x14cm azul")</f>
        <v>Placa Nº puerta aluminio 19x14cm azul</v>
      </c>
      <c r="C856" s="4">
        <f>IFERROR(__xludf.DUMMYFUNCTION("""COMPUTED_VALUE"""),4.0)</f>
        <v>4</v>
      </c>
      <c r="D856" s="4"/>
      <c r="E856" s="4" t="str">
        <f>IFERROR(__xludf.DUMMYFUNCTION("""COMPUTED_VALUE"""),"Sin precio neto")</f>
        <v>Sin precio neto</v>
      </c>
    </row>
    <row r="857">
      <c r="A857" s="4" t="str">
        <f>IFERROR(__xludf.DUMMYFUNCTION("""COMPUTED_VALUE"""),"722")</f>
        <v>722</v>
      </c>
      <c r="B857" s="4" t="str">
        <f>IFERROR(__xludf.DUMMYFUNCTION("""COMPUTED_VALUE"""),"Placa V-10 transporte escolar 20x20 Reflex 2 Homologada")</f>
        <v>Placa V-10 transporte escolar 20x20 Reflex 2 Homologada</v>
      </c>
      <c r="C857" s="4">
        <f>IFERROR(__xludf.DUMMYFUNCTION("""COMPUTED_VALUE"""),10.6)</f>
        <v>10.6</v>
      </c>
      <c r="D857" s="4"/>
      <c r="E857" s="4" t="str">
        <f>IFERROR(__xludf.DUMMYFUNCTION("""COMPUTED_VALUE"""),"Sin precio neto")</f>
        <v>Sin precio neto</v>
      </c>
    </row>
    <row r="858">
      <c r="A858" s="4" t="str">
        <f>IFERROR(__xludf.DUMMYFUNCTION("""COMPUTED_VALUE"""),"726")</f>
        <v>726</v>
      </c>
      <c r="B858" s="4" t="str">
        <f>IFERROR(__xludf.DUMMYFUNCTION("""COMPUTED_VALUE"""),"Bocina neumática a mano")</f>
        <v>Bocina neumática a mano</v>
      </c>
      <c r="C858" s="4">
        <f>IFERROR(__xludf.DUMMYFUNCTION("""COMPUTED_VALUE"""),21.0)</f>
        <v>21</v>
      </c>
      <c r="D858" s="4"/>
      <c r="E858" s="4" t="str">
        <f>IFERROR(__xludf.DUMMYFUNCTION("""COMPUTED_VALUE"""),"Sin precio neto")</f>
        <v>Sin precio neto</v>
      </c>
    </row>
    <row r="859">
      <c r="A859" s="4" t="str">
        <f>IFERROR(__xludf.DUMMYFUNCTION("""COMPUTED_VALUE"""),"727")</f>
        <v>727</v>
      </c>
      <c r="B859" s="4" t="str">
        <f>IFERROR(__xludf.DUMMYFUNCTION("""COMPUTED_VALUE"""),"Pinzas más cable para batería 400 Ah")</f>
        <v>Pinzas más cable para batería 400 Ah</v>
      </c>
      <c r="C859" s="4">
        <f>IFERROR(__xludf.DUMMYFUNCTION("""COMPUTED_VALUE"""),17.0)</f>
        <v>17</v>
      </c>
      <c r="D859" s="4"/>
      <c r="E859" s="4" t="str">
        <f>IFERROR(__xludf.DUMMYFUNCTION("""COMPUTED_VALUE"""),"Sin precio neto")</f>
        <v>Sin precio neto</v>
      </c>
    </row>
    <row r="860">
      <c r="A860" s="4" t="str">
        <f>IFERROR(__xludf.DUMMYFUNCTION("""COMPUTED_VALUE"""),"728")</f>
        <v>728</v>
      </c>
      <c r="B860" s="4" t="str">
        <f>IFERROR(__xludf.DUMMYFUNCTION("""COMPUTED_VALUE"""),"Reductor tensión 24 a 12 v")</f>
        <v>Reductor tensión 24 a 12 v</v>
      </c>
      <c r="C860" s="4">
        <f>IFERROR(__xludf.DUMMYFUNCTION("""COMPUTED_VALUE"""),141.25)</f>
        <v>141.25</v>
      </c>
      <c r="D860" s="4"/>
      <c r="E860" s="4" t="str">
        <f>IFERROR(__xludf.DUMMYFUNCTION("""COMPUTED_VALUE"""),"Sin precio neto")</f>
        <v>Sin precio neto</v>
      </c>
    </row>
    <row r="861">
      <c r="A861" s="4" t="str">
        <f>IFERROR(__xludf.DUMMYFUNCTION("""COMPUTED_VALUE"""),"730")</f>
        <v>730</v>
      </c>
      <c r="B861" s="4" t="str">
        <f>IFERROR(__xludf.DUMMYFUNCTION("""COMPUTED_VALUE"""),"Pinza negra - 80 Ah")</f>
        <v>Pinza negra - 80 Ah</v>
      </c>
      <c r="C861" s="4">
        <f>IFERROR(__xludf.DUMMYFUNCTION("""COMPUTED_VALUE"""),1.9)</f>
        <v>1.9</v>
      </c>
      <c r="D861" s="4"/>
      <c r="E861" s="4" t="str">
        <f>IFERROR(__xludf.DUMMYFUNCTION("""COMPUTED_VALUE"""),"Sin precio neto")</f>
        <v>Sin precio neto</v>
      </c>
    </row>
    <row r="862">
      <c r="A862" s="4" t="str">
        <f>IFERROR(__xludf.DUMMYFUNCTION("""COMPUTED_VALUE"""),"731")</f>
        <v>731</v>
      </c>
      <c r="B862" s="4" t="str">
        <f>IFERROR(__xludf.DUMMYFUNCTION("""COMPUTED_VALUE"""),"Pinza Roja + 80 Ah")</f>
        <v>Pinza Roja + 80 Ah</v>
      </c>
      <c r="C862" s="4">
        <f>IFERROR(__xludf.DUMMYFUNCTION("""COMPUTED_VALUE"""),1.9)</f>
        <v>1.9</v>
      </c>
      <c r="D862" s="4"/>
      <c r="E862" s="4" t="str">
        <f>IFERROR(__xludf.DUMMYFUNCTION("""COMPUTED_VALUE"""),"Sin precio neto")</f>
        <v>Sin precio neto</v>
      </c>
    </row>
    <row r="863">
      <c r="A863" s="4" t="str">
        <f>IFERROR(__xludf.DUMMYFUNCTION("""COMPUTED_VALUE"""),"732")</f>
        <v>732</v>
      </c>
      <c r="B863" s="4" t="str">
        <f>IFERROR(__xludf.DUMMYFUNCTION("""COMPUTED_VALUE"""),"Pinza Negra - 500 Ah")</f>
        <v>Pinza Negra - 500 Ah</v>
      </c>
      <c r="C863" s="4">
        <f>IFERROR(__xludf.DUMMYFUNCTION("""COMPUTED_VALUE"""),14.5)</f>
        <v>14.5</v>
      </c>
      <c r="D863" s="4"/>
      <c r="E863" s="4" t="str">
        <f>IFERROR(__xludf.DUMMYFUNCTION("""COMPUTED_VALUE"""),"Sin precio neto")</f>
        <v>Sin precio neto</v>
      </c>
    </row>
    <row r="864">
      <c r="A864" s="4" t="str">
        <f>IFERROR(__xludf.DUMMYFUNCTION("""COMPUTED_VALUE"""),"733")</f>
        <v>733</v>
      </c>
      <c r="B864" s="4" t="str">
        <f>IFERROR(__xludf.DUMMYFUNCTION("""COMPUTED_VALUE"""),"Pinza Roja + 500 Ah")</f>
        <v>Pinza Roja + 500 Ah</v>
      </c>
      <c r="C864" s="4">
        <f>IFERROR(__xludf.DUMMYFUNCTION("""COMPUTED_VALUE"""),14.5)</f>
        <v>14.5</v>
      </c>
      <c r="D864" s="4"/>
      <c r="E864" s="4" t="str">
        <f>IFERROR(__xludf.DUMMYFUNCTION("""COMPUTED_VALUE"""),"Sin precio neto")</f>
        <v>Sin precio neto</v>
      </c>
    </row>
    <row r="865">
      <c r="A865" s="4" t="str">
        <f>IFERROR(__xludf.DUMMYFUNCTION("""COMPUTED_VALUE"""),"750")</f>
        <v>750</v>
      </c>
      <c r="B865" s="4" t="str">
        <f>IFERROR(__xludf.DUMMYFUNCTION("""COMPUTED_VALUE"""),"Señal plástica 60 cm reflectante triangular para conos")</f>
        <v>Señal plástica 60 cm reflectante triangular para conos</v>
      </c>
      <c r="C865" s="4">
        <f>IFERROR(__xludf.DUMMYFUNCTION("""COMPUTED_VALUE"""),14.95)</f>
        <v>14.95</v>
      </c>
      <c r="D865" s="4"/>
      <c r="E865" s="4" t="str">
        <f>IFERROR(__xludf.DUMMYFUNCTION("""COMPUTED_VALUE"""),"Sin precio neto")</f>
        <v>Sin precio neto</v>
      </c>
    </row>
    <row r="866">
      <c r="A866" s="4" t="str">
        <f>IFERROR(__xludf.DUMMYFUNCTION("""COMPUTED_VALUE"""),"751")</f>
        <v>751</v>
      </c>
      <c r="B866" s="4" t="str">
        <f>IFERROR(__xludf.DUMMYFUNCTION("""COMPUTED_VALUE"""),"Señal plástica 60x30 cm reflectante rectangular para conos")</f>
        <v>Señal plástica 60x30 cm reflectante rectangular para conos</v>
      </c>
      <c r="C866" s="4">
        <f>IFERROR(__xludf.DUMMYFUNCTION("""COMPUTED_VALUE"""),14.95)</f>
        <v>14.95</v>
      </c>
      <c r="D866" s="4"/>
      <c r="E866" s="4" t="str">
        <f>IFERROR(__xludf.DUMMYFUNCTION("""COMPUTED_VALUE"""),"Sin precio neto")</f>
        <v>Sin precio neto</v>
      </c>
    </row>
    <row r="867">
      <c r="A867" s="4" t="str">
        <f>IFERROR(__xludf.DUMMYFUNCTION("""COMPUTED_VALUE"""),"752")</f>
        <v>752</v>
      </c>
      <c r="B867" s="4" t="str">
        <f>IFERROR(__xludf.DUMMYFUNCTION("""COMPUTED_VALUE"""),"Señal plástica 60 cm reflectante circular para conos")</f>
        <v>Señal plástica 60 cm reflectante circular para conos</v>
      </c>
      <c r="C867" s="4">
        <f>IFERROR(__xludf.DUMMYFUNCTION("""COMPUTED_VALUE"""),14.95)</f>
        <v>14.95</v>
      </c>
      <c r="D867" s="4"/>
      <c r="E867" s="4" t="str">
        <f>IFERROR(__xludf.DUMMYFUNCTION("""COMPUTED_VALUE"""),"Sin precio neto")</f>
        <v>Sin precio neto</v>
      </c>
    </row>
    <row r="868">
      <c r="A868" s="4" t="str">
        <f>IFERROR(__xludf.DUMMYFUNCTION("""COMPUTED_VALUE"""),"753")</f>
        <v>753</v>
      </c>
      <c r="B868" s="4" t="str">
        <f>IFERROR(__xludf.DUMMYFUNCTION("""COMPUTED_VALUE"""),"Señal personalizada con soporte pared 40x30 cm")</f>
        <v>Señal personalizada con soporte pared 40x30 cm</v>
      </c>
      <c r="C868" s="4">
        <f>IFERROR(__xludf.DUMMYFUNCTION("""COMPUTED_VALUE"""),19.0)</f>
        <v>19</v>
      </c>
      <c r="D868" s="4"/>
      <c r="E868" s="4" t="str">
        <f>IFERROR(__xludf.DUMMYFUNCTION("""COMPUTED_VALUE"""),"Sin precio neto")</f>
        <v>Sin precio neto</v>
      </c>
    </row>
    <row r="869">
      <c r="A869" s="4" t="str">
        <f>IFERROR(__xludf.DUMMYFUNCTION("""COMPUTED_VALUE"""),"754")</f>
        <v>754</v>
      </c>
      <c r="B869" s="4" t="str">
        <f>IFERROR(__xludf.DUMMYFUNCTION("""COMPUTED_VALUE"""),"Señal personalizada c/soporte suelo 40x60 cm 3 caras")</f>
        <v>Señal personalizada c/soporte suelo 40x60 cm 3 caras</v>
      </c>
      <c r="C869" s="4">
        <f>IFERROR(__xludf.DUMMYFUNCTION("""COMPUTED_VALUE"""),96.0)</f>
        <v>96</v>
      </c>
      <c r="D869" s="4"/>
      <c r="E869" s="4" t="str">
        <f>IFERROR(__xludf.DUMMYFUNCTION("""COMPUTED_VALUE"""),"Sin precio neto")</f>
        <v>Sin precio neto</v>
      </c>
    </row>
    <row r="870">
      <c r="A870" s="4" t="str">
        <f>IFERROR(__xludf.DUMMYFUNCTION("""COMPUTED_VALUE"""),"765")</f>
        <v>765</v>
      </c>
      <c r="B870" s="4" t="str">
        <f>IFERROR(__xludf.DUMMYFUNCTION("""COMPUTED_VALUE"""),"Aparca Patinetes galvanizado 10p 1 cara")</f>
        <v>Aparca Patinetes galvanizado 10p 1 cara</v>
      </c>
      <c r="C870" s="4">
        <f>IFERROR(__xludf.DUMMYFUNCTION("""COMPUTED_VALUE"""),137.6)</f>
        <v>137.6</v>
      </c>
      <c r="D870" s="4"/>
      <c r="E870" s="4" t="str">
        <f>IFERROR(__xludf.DUMMYFUNCTION("""COMPUTED_VALUE"""),"Sin precio neto")</f>
        <v>Sin precio neto</v>
      </c>
    </row>
    <row r="871">
      <c r="A871" s="4" t="str">
        <f>IFERROR(__xludf.DUMMYFUNCTION("""COMPUTED_VALUE"""),"766")</f>
        <v>766</v>
      </c>
      <c r="B871" s="4" t="str">
        <f>IFERROR(__xludf.DUMMYFUNCTION("""COMPUTED_VALUE"""),"Aparca Patinetes galvanizado 20p 2 caras")</f>
        <v>Aparca Patinetes galvanizado 20p 2 caras</v>
      </c>
      <c r="C871" s="4">
        <f>IFERROR(__xludf.DUMMYFUNCTION("""COMPUTED_VALUE"""),210.25)</f>
        <v>210.25</v>
      </c>
      <c r="D871" s="4"/>
      <c r="E871" s="4" t="str">
        <f>IFERROR(__xludf.DUMMYFUNCTION("""COMPUTED_VALUE"""),"Sin precio neto")</f>
        <v>Sin precio neto</v>
      </c>
    </row>
    <row r="872">
      <c r="A872" s="4" t="str">
        <f>IFERROR(__xludf.DUMMYFUNCTION("""COMPUTED_VALUE"""),"768")</f>
        <v>768</v>
      </c>
      <c r="B872" s="4" t="str">
        <f>IFERROR(__xludf.DUMMYFUNCTION("""COMPUTED_VALUE"""),"Aparca Bicis atornillable pared 1p")</f>
        <v>Aparca Bicis atornillable pared 1p</v>
      </c>
      <c r="C872" s="4">
        <f>IFERROR(__xludf.DUMMYFUNCTION("""COMPUTED_VALUE"""),26.0)</f>
        <v>26</v>
      </c>
      <c r="D872" s="4"/>
      <c r="E872" s="4" t="str">
        <f>IFERROR(__xludf.DUMMYFUNCTION("""COMPUTED_VALUE"""),"Sin precio neto")</f>
        <v>Sin precio neto</v>
      </c>
    </row>
    <row r="873">
      <c r="A873" s="4" t="str">
        <f>IFERROR(__xludf.DUMMYFUNCTION("""COMPUTED_VALUE"""),"769")</f>
        <v>769</v>
      </c>
      <c r="B873" s="4" t="str">
        <f>IFERROR(__xludf.DUMMYFUNCTION("""COMPUTED_VALUE"""),"Aparca Bicis atornillable pared 2p")</f>
        <v>Aparca Bicis atornillable pared 2p</v>
      </c>
      <c r="C873" s="4">
        <f>IFERROR(__xludf.DUMMYFUNCTION("""COMPUTED_VALUE"""),44.0)</f>
        <v>44</v>
      </c>
      <c r="D873" s="4"/>
      <c r="E873" s="4" t="str">
        <f>IFERROR(__xludf.DUMMYFUNCTION("""COMPUTED_VALUE"""),"Sin precio neto")</f>
        <v>Sin precio neto</v>
      </c>
    </row>
    <row r="874">
      <c r="A874" s="4" t="str">
        <f>IFERROR(__xludf.DUMMYFUNCTION("""COMPUTED_VALUE"""),"770")</f>
        <v>770</v>
      </c>
      <c r="B874" s="4" t="str">
        <f>IFERROR(__xludf.DUMMYFUNCTION("""COMPUTED_VALUE"""),"Aparca Bicis atornillable pared 5p")</f>
        <v>Aparca Bicis atornillable pared 5p</v>
      </c>
      <c r="C874" s="4">
        <f>IFERROR(__xludf.DUMMYFUNCTION("""COMPUTED_VALUE"""),92.0)</f>
        <v>92</v>
      </c>
      <c r="D874" s="4"/>
      <c r="E874" s="4" t="str">
        <f>IFERROR(__xludf.DUMMYFUNCTION("""COMPUTED_VALUE"""),"Sin precio neto")</f>
        <v>Sin precio neto</v>
      </c>
    </row>
    <row r="875">
      <c r="A875" s="4" t="str">
        <f>IFERROR(__xludf.DUMMYFUNCTION("""COMPUTED_VALUE"""),"771")</f>
        <v>771</v>
      </c>
      <c r="B875" s="4" t="str">
        <f>IFERROR(__xludf.DUMMYFUNCTION("""COMPUTED_VALUE"""),"Pie soporte atornillable 80x40 mm")</f>
        <v>Pie soporte atornillable 80x40 mm</v>
      </c>
      <c r="C875" s="4">
        <f>IFERROR(__xludf.DUMMYFUNCTION("""COMPUTED_VALUE"""),29.0)</f>
        <v>29</v>
      </c>
      <c r="D875" s="4"/>
      <c r="E875" s="4" t="str">
        <f>IFERROR(__xludf.DUMMYFUNCTION("""COMPUTED_VALUE"""),"Sin precio neto")</f>
        <v>Sin precio neto</v>
      </c>
    </row>
    <row r="876">
      <c r="A876" s="4" t="str">
        <f>IFERROR(__xludf.DUMMYFUNCTION("""COMPUTED_VALUE"""),"772")</f>
        <v>772</v>
      </c>
      <c r="B876" s="4" t="str">
        <f>IFERROR(__xludf.DUMMYFUNCTION("""COMPUTED_VALUE"""),"Pie soporte atornillable cuadrado 40 mm")</f>
        <v>Pie soporte atornillable cuadrado 40 mm</v>
      </c>
      <c r="C876" s="4">
        <f>IFERROR(__xludf.DUMMYFUNCTION("""COMPUTED_VALUE"""),29.0)</f>
        <v>29</v>
      </c>
      <c r="D876" s="4"/>
      <c r="E876" s="4" t="str">
        <f>IFERROR(__xludf.DUMMYFUNCTION("""COMPUTED_VALUE"""),"Sin precio neto")</f>
        <v>Sin precio neto</v>
      </c>
    </row>
    <row r="877">
      <c r="A877" s="4" t="str">
        <f>IFERROR(__xludf.DUMMYFUNCTION("""COMPUTED_VALUE"""),"773")</f>
        <v>773</v>
      </c>
      <c r="B877" s="4" t="str">
        <f>IFERROR(__xludf.DUMMYFUNCTION("""COMPUTED_VALUE"""),"Pie soporte atornillable 50 mm circular")</f>
        <v>Pie soporte atornillable 50 mm circular</v>
      </c>
      <c r="C877" s="4">
        <f>IFERROR(__xludf.DUMMYFUNCTION("""COMPUTED_VALUE"""),29.0)</f>
        <v>29</v>
      </c>
      <c r="D877" s="4"/>
      <c r="E877" s="4" t="str">
        <f>IFERROR(__xludf.DUMMYFUNCTION("""COMPUTED_VALUE"""),"Sin precio neto")</f>
        <v>Sin precio neto</v>
      </c>
    </row>
    <row r="878">
      <c r="A878" s="4" t="str">
        <f>IFERROR(__xludf.DUMMYFUNCTION("""COMPUTED_VALUE"""),"774")</f>
        <v>774</v>
      </c>
      <c r="B878" s="4" t="str">
        <f>IFERROR(__xludf.DUMMYFUNCTION("""COMPUTED_VALUE"""),"Pie soporte atornillable 60 mm circular")</f>
        <v>Pie soporte atornillable 60 mm circular</v>
      </c>
      <c r="C878" s="4">
        <f>IFERROR(__xludf.DUMMYFUNCTION("""COMPUTED_VALUE"""),30.0)</f>
        <v>30</v>
      </c>
      <c r="D878" s="4"/>
      <c r="E878" s="4" t="str">
        <f>IFERROR(__xludf.DUMMYFUNCTION("""COMPUTED_VALUE"""),"Sin precio neto")</f>
        <v>Sin precio neto</v>
      </c>
    </row>
    <row r="879">
      <c r="A879" s="4" t="str">
        <f>IFERROR(__xludf.DUMMYFUNCTION("""COMPUTED_VALUE"""),"775")</f>
        <v>775</v>
      </c>
      <c r="B879" s="4" t="str">
        <f>IFERROR(__xludf.DUMMYFUNCTION("""COMPUTED_VALUE"""),"Pie soporte atornillable 70 mm circular")</f>
        <v>Pie soporte atornillable 70 mm circular</v>
      </c>
      <c r="C879" s="4">
        <f>IFERROR(__xludf.DUMMYFUNCTION("""COMPUTED_VALUE"""),31.0)</f>
        <v>31</v>
      </c>
      <c r="D879" s="4"/>
      <c r="E879" s="4" t="str">
        <f>IFERROR(__xludf.DUMMYFUNCTION("""COMPUTED_VALUE"""),"Sin precio neto")</f>
        <v>Sin precio neto</v>
      </c>
    </row>
    <row r="880">
      <c r="A880" s="4" t="str">
        <f>IFERROR(__xludf.DUMMYFUNCTION("""COMPUTED_VALUE"""),"776")</f>
        <v>776</v>
      </c>
      <c r="B880" s="4" t="str">
        <f>IFERROR(__xludf.DUMMYFUNCTION("""COMPUTED_VALUE"""),"Poste 40x40x1.5 mm galva 1.5 m")</f>
        <v>Poste 40x40x1.5 mm galva 1.5 m</v>
      </c>
      <c r="C880" s="4">
        <f>IFERROR(__xludf.DUMMYFUNCTION("""COMPUTED_VALUE"""),11.0)</f>
        <v>11</v>
      </c>
      <c r="D880" s="4"/>
      <c r="E880" s="4" t="str">
        <f>IFERROR(__xludf.DUMMYFUNCTION("""COMPUTED_VALUE"""),"Sin precio neto")</f>
        <v>Sin precio neto</v>
      </c>
    </row>
    <row r="881">
      <c r="A881" s="4" t="str">
        <f>IFERROR(__xludf.DUMMYFUNCTION("""COMPUTED_VALUE"""),"777")</f>
        <v>777</v>
      </c>
      <c r="B881" s="4" t="str">
        <f>IFERROR(__xludf.DUMMYFUNCTION("""COMPUTED_VALUE"""),"Cruceta para poste 40x40 mm")</f>
        <v>Cruceta para poste 40x40 mm</v>
      </c>
      <c r="C881" s="4">
        <f>IFERROR(__xludf.DUMMYFUNCTION("""COMPUTED_VALUE"""),10.8)</f>
        <v>10.8</v>
      </c>
      <c r="D881" s="4"/>
      <c r="E881" s="4" t="str">
        <f>IFERROR(__xludf.DUMMYFUNCTION("""COMPUTED_VALUE"""),"Sin precio neto")</f>
        <v>Sin precio neto</v>
      </c>
    </row>
    <row r="882">
      <c r="A882" s="4" t="str">
        <f>IFERROR(__xludf.DUMMYFUNCTION("""COMPUTED_VALUE"""),"778")</f>
        <v>778</v>
      </c>
      <c r="B882" s="4" t="str">
        <f>IFERROR(__xludf.DUMMYFUNCTION("""COMPUTED_VALUE"""),"Aparca Patinetes gavanizado 10p 2 caras")</f>
        <v>Aparca Patinetes gavanizado 10p 2 caras</v>
      </c>
      <c r="C882" s="4">
        <f>IFERROR(__xludf.DUMMYFUNCTION("""COMPUTED_VALUE"""),192.5)</f>
        <v>192.5</v>
      </c>
      <c r="D882" s="4"/>
      <c r="E882" s="4" t="str">
        <f>IFERROR(__xludf.DUMMYFUNCTION("""COMPUTED_VALUE"""),"Sin precio neto")</f>
        <v>Sin precio neto</v>
      </c>
    </row>
    <row r="883">
      <c r="A883" s="4" t="str">
        <f>IFERROR(__xludf.DUMMYFUNCTION("""COMPUTED_VALUE"""),"779")</f>
        <v>779</v>
      </c>
      <c r="B883" s="4" t="str">
        <f>IFERROR(__xludf.DUMMYFUNCTION("""COMPUTED_VALUE"""),"Aparca Patinetes galvanizado 5p 1 cara")</f>
        <v>Aparca Patinetes galvanizado 5p 1 cara</v>
      </c>
      <c r="C883" s="4">
        <f>IFERROR(__xludf.DUMMYFUNCTION("""COMPUTED_VALUE"""),126.4)</f>
        <v>126.4</v>
      </c>
      <c r="D883" s="4"/>
      <c r="E883" s="4" t="str">
        <f>IFERROR(__xludf.DUMMYFUNCTION("""COMPUTED_VALUE"""),"Sin precio neto")</f>
        <v>Sin precio neto</v>
      </c>
    </row>
    <row r="884">
      <c r="A884" s="4" t="str">
        <f>IFERROR(__xludf.DUMMYFUNCTION("""COMPUTED_VALUE"""),"780")</f>
        <v>780</v>
      </c>
      <c r="B884" s="4" t="str">
        <f>IFERROR(__xludf.DUMMYFUNCTION("""COMPUTED_VALUE"""),"Tope estantería metálica mod. A")</f>
        <v>Tope estantería metálica mod. A</v>
      </c>
      <c r="C884" s="4">
        <f>IFERROR(__xludf.DUMMYFUNCTION("""COMPUTED_VALUE"""),18.0)</f>
        <v>18</v>
      </c>
      <c r="D884" s="4"/>
      <c r="E884" s="4" t="str">
        <f>IFERROR(__xludf.DUMMYFUNCTION("""COMPUTED_VALUE"""),"Sin precio neto")</f>
        <v>Sin precio neto</v>
      </c>
    </row>
    <row r="885">
      <c r="A885" s="4" t="str">
        <f>IFERROR(__xludf.DUMMYFUNCTION("""COMPUTED_VALUE"""),"781")</f>
        <v>781</v>
      </c>
      <c r="B885" s="4" t="str">
        <f>IFERROR(__xludf.DUMMYFUNCTION("""COMPUTED_VALUE"""),"Tope estantería metálica mod. B")</f>
        <v>Tope estantería metálica mod. B</v>
      </c>
      <c r="C885" s="4">
        <f>IFERROR(__xludf.DUMMYFUNCTION("""COMPUTED_VALUE"""),22.5)</f>
        <v>22.5</v>
      </c>
      <c r="D885" s="4"/>
      <c r="E885" s="4" t="str">
        <f>IFERROR(__xludf.DUMMYFUNCTION("""COMPUTED_VALUE"""),"Sin precio neto")</f>
        <v>Sin precio neto</v>
      </c>
    </row>
    <row r="886">
      <c r="A886" s="4" t="str">
        <f>IFERROR(__xludf.DUMMYFUNCTION("""COMPUTED_VALUE"""),"782")</f>
        <v>782</v>
      </c>
      <c r="B886" s="4" t="str">
        <f>IFERROR(__xludf.DUMMYFUNCTION("""COMPUTED_VALUE"""),"Film manual transparente Rec. Eco 500/1,35/23MY (600-150)")</f>
        <v>Film manual transparente Rec. Eco 500/1,35/23MY (600-150)</v>
      </c>
      <c r="C886" s="4">
        <f>IFERROR(__xludf.DUMMYFUNCTION("""COMPUTED_VALUE"""),3.4)</f>
        <v>3.4</v>
      </c>
      <c r="D886" s="4"/>
      <c r="E886" s="4" t="str">
        <f>IFERROR(__xludf.DUMMYFUNCTION("""COMPUTED_VALUE"""),"Sin precio neto")</f>
        <v>Sin precio neto</v>
      </c>
    </row>
    <row r="887">
      <c r="A887" s="4" t="str">
        <f>IFERROR(__xludf.DUMMYFUNCTION("""COMPUTED_VALUE"""),"783")</f>
        <v>783</v>
      </c>
      <c r="B887" s="4" t="str">
        <f>IFERROR(__xludf.DUMMYFUNCTION("""COMPUTED_VALUE"""),"Film manual negro Opaco Rec. Eco 500/1,35/23MY (600-150)")</f>
        <v>Film manual negro Opaco Rec. Eco 500/1,35/23MY (600-150)</v>
      </c>
      <c r="C887" s="4">
        <f>IFERROR(__xludf.DUMMYFUNCTION("""COMPUTED_VALUE"""),3.9)</f>
        <v>3.9</v>
      </c>
      <c r="D887" s="4"/>
      <c r="E887" s="4" t="str">
        <f>IFERROR(__xludf.DUMMYFUNCTION("""COMPUTED_VALUE"""),"Sin precio neto")</f>
        <v>Sin precio neto</v>
      </c>
    </row>
    <row r="888">
      <c r="A888" s="4" t="str">
        <f>IFERROR(__xludf.DUMMYFUNCTION("""COMPUTED_VALUE"""),"784")</f>
        <v>784</v>
      </c>
      <c r="B888" s="4" t="str">
        <f>IFERROR(__xludf.DUMMYFUNCTION("""COMPUTED_VALUE"""),"Cinta adhesiva 125m PPAC Transp 48 mm")</f>
        <v>Cinta adhesiva 125m PPAC Transp 48 mm</v>
      </c>
      <c r="C888" s="4">
        <f>IFERROR(__xludf.DUMMYFUNCTION("""COMPUTED_VALUE"""),1.2)</f>
        <v>1.2</v>
      </c>
      <c r="D888" s="4"/>
      <c r="E888" s="4" t="str">
        <f>IFERROR(__xludf.DUMMYFUNCTION("""COMPUTED_VALUE"""),"Sin precio neto")</f>
        <v>Sin precio neto</v>
      </c>
    </row>
    <row r="889">
      <c r="A889" s="4" t="str">
        <f>IFERROR(__xludf.DUMMYFUNCTION("""COMPUTED_VALUE"""),"800")</f>
        <v>800</v>
      </c>
      <c r="B889" s="4" t="str">
        <f>IFERROR(__xludf.DUMMYFUNCTION("""COMPUTED_VALUE"""),"Adhesivo 100 mm Materias y objetos explosivos A")</f>
        <v>Adhesivo 100 mm Materias y objetos explosivos A</v>
      </c>
      <c r="C889" s="4">
        <f>IFERROR(__xludf.DUMMYFUNCTION("""COMPUTED_VALUE"""),0.6)</f>
        <v>0.6</v>
      </c>
      <c r="D889" s="4"/>
      <c r="E889" s="4" t="str">
        <f>IFERROR(__xludf.DUMMYFUNCTION("""COMPUTED_VALUE"""),"Sin precio neto")</f>
        <v>Sin precio neto</v>
      </c>
    </row>
    <row r="890">
      <c r="A890" s="4" t="str">
        <f>IFERROR(__xludf.DUMMYFUNCTION("""COMPUTED_VALUE"""),"0800A")</f>
        <v>0800A</v>
      </c>
      <c r="B890" s="4" t="str">
        <f>IFERROR(__xludf.DUMMYFUNCTION("""COMPUTED_VALUE"""),"Adhesivo 300 mm Materias y objetos explosivos A")</f>
        <v>Adhesivo 300 mm Materias y objetos explosivos A</v>
      </c>
      <c r="C890" s="4">
        <f>IFERROR(__xludf.DUMMYFUNCTION("""COMPUTED_VALUE"""),1.6)</f>
        <v>1.6</v>
      </c>
      <c r="D890" s="4"/>
      <c r="E890" s="4" t="str">
        <f>IFERROR(__xludf.DUMMYFUNCTION("""COMPUTED_VALUE"""),"Sin precio neto")</f>
        <v>Sin precio neto</v>
      </c>
    </row>
    <row r="891">
      <c r="A891" s="4" t="str">
        <f>IFERROR(__xludf.DUMMYFUNCTION("""COMPUTED_VALUE"""),"801")</f>
        <v>801</v>
      </c>
      <c r="B891" s="4" t="str">
        <f>IFERROR(__xludf.DUMMYFUNCTION("""COMPUTED_VALUE"""),"Adhesivo 100 mm Materias y objetos explosivos 1.4")</f>
        <v>Adhesivo 100 mm Materias y objetos explosivos 1.4</v>
      </c>
      <c r="C891" s="4">
        <f>IFERROR(__xludf.DUMMYFUNCTION("""COMPUTED_VALUE"""),0.6)</f>
        <v>0.6</v>
      </c>
      <c r="D891" s="4"/>
      <c r="E891" s="4" t="str">
        <f>IFERROR(__xludf.DUMMYFUNCTION("""COMPUTED_VALUE"""),"Sin precio neto")</f>
        <v>Sin precio neto</v>
      </c>
    </row>
    <row r="892">
      <c r="A892" s="4" t="str">
        <f>IFERROR(__xludf.DUMMYFUNCTION("""COMPUTED_VALUE"""),"0801A")</f>
        <v>0801A</v>
      </c>
      <c r="B892" s="4" t="str">
        <f>IFERROR(__xludf.DUMMYFUNCTION("""COMPUTED_VALUE"""),"Adhesivo 300 mm Materias y objetos explosivos 1.4")</f>
        <v>Adhesivo 300 mm Materias y objetos explosivos 1.4</v>
      </c>
      <c r="C892" s="4">
        <f>IFERROR(__xludf.DUMMYFUNCTION("""COMPUTED_VALUE"""),1.6)</f>
        <v>1.6</v>
      </c>
      <c r="D892" s="4"/>
      <c r="E892" s="4" t="str">
        <f>IFERROR(__xludf.DUMMYFUNCTION("""COMPUTED_VALUE"""),"Sin precio neto")</f>
        <v>Sin precio neto</v>
      </c>
    </row>
    <row r="893">
      <c r="A893" s="4" t="str">
        <f>IFERROR(__xludf.DUMMYFUNCTION("""COMPUTED_VALUE"""),"802")</f>
        <v>802</v>
      </c>
      <c r="B893" s="4" t="str">
        <f>IFERROR(__xludf.DUMMYFUNCTION("""COMPUTED_VALUE"""),"Adhesivo 100 mm Materias y objetos explosivos 1.5")</f>
        <v>Adhesivo 100 mm Materias y objetos explosivos 1.5</v>
      </c>
      <c r="C893" s="4">
        <f>IFERROR(__xludf.DUMMYFUNCTION("""COMPUTED_VALUE"""),0.6)</f>
        <v>0.6</v>
      </c>
      <c r="D893" s="4"/>
      <c r="E893" s="4" t="str">
        <f>IFERROR(__xludf.DUMMYFUNCTION("""COMPUTED_VALUE"""),"Sin precio neto")</f>
        <v>Sin precio neto</v>
      </c>
    </row>
    <row r="894">
      <c r="A894" s="4" t="str">
        <f>IFERROR(__xludf.DUMMYFUNCTION("""COMPUTED_VALUE"""),"0802A")</f>
        <v>0802A</v>
      </c>
      <c r="B894" s="4" t="str">
        <f>IFERROR(__xludf.DUMMYFUNCTION("""COMPUTED_VALUE"""),"Adhesivo 300 mm Materias y objetos explosivos 1.5")</f>
        <v>Adhesivo 300 mm Materias y objetos explosivos 1.5</v>
      </c>
      <c r="C894" s="4">
        <f>IFERROR(__xludf.DUMMYFUNCTION("""COMPUTED_VALUE"""),1.6)</f>
        <v>1.6</v>
      </c>
      <c r="D894" s="4"/>
      <c r="E894" s="4" t="str">
        <f>IFERROR(__xludf.DUMMYFUNCTION("""COMPUTED_VALUE"""),"Sin precio neto")</f>
        <v>Sin precio neto</v>
      </c>
    </row>
    <row r="895">
      <c r="A895" s="4" t="str">
        <f>IFERROR(__xludf.DUMMYFUNCTION("""COMPUTED_VALUE"""),"803")</f>
        <v>803</v>
      </c>
      <c r="B895" s="4" t="str">
        <f>IFERROR(__xludf.DUMMYFUNCTION("""COMPUTED_VALUE"""),"Adhesivo 100 mm Materias y objetos explosivos 1.6")</f>
        <v>Adhesivo 100 mm Materias y objetos explosivos 1.6</v>
      </c>
      <c r="C895" s="4">
        <f>IFERROR(__xludf.DUMMYFUNCTION("""COMPUTED_VALUE"""),0.6)</f>
        <v>0.6</v>
      </c>
      <c r="D895" s="4"/>
      <c r="E895" s="4" t="str">
        <f>IFERROR(__xludf.DUMMYFUNCTION("""COMPUTED_VALUE"""),"Sin precio neto")</f>
        <v>Sin precio neto</v>
      </c>
    </row>
    <row r="896">
      <c r="A896" s="4" t="str">
        <f>IFERROR(__xludf.DUMMYFUNCTION("""COMPUTED_VALUE"""),"0803A")</f>
        <v>0803A</v>
      </c>
      <c r="B896" s="4" t="str">
        <f>IFERROR(__xludf.DUMMYFUNCTION("""COMPUTED_VALUE"""),"Adhesivo 300 mm Materias y objetos explosivos 1.6")</f>
        <v>Adhesivo 300 mm Materias y objetos explosivos 1.6</v>
      </c>
      <c r="C896" s="4">
        <f>IFERROR(__xludf.DUMMYFUNCTION("""COMPUTED_VALUE"""),1.6)</f>
        <v>1.6</v>
      </c>
      <c r="D896" s="4"/>
      <c r="E896" s="4" t="str">
        <f>IFERROR(__xludf.DUMMYFUNCTION("""COMPUTED_VALUE"""),"Sin precio neto")</f>
        <v>Sin precio neto</v>
      </c>
    </row>
    <row r="897">
      <c r="A897" s="4" t="str">
        <f>IFERROR(__xludf.DUMMYFUNCTION("""COMPUTED_VALUE"""),"805")</f>
        <v>805</v>
      </c>
      <c r="B897" s="4" t="str">
        <f>IFERROR(__xludf.DUMMYFUNCTION("""COMPUTED_VALUE"""),"Adhesivo 100 mm Gases Tóxicos")</f>
        <v>Adhesivo 100 mm Gases Tóxicos</v>
      </c>
      <c r="C897" s="4">
        <f>IFERROR(__xludf.DUMMYFUNCTION("""COMPUTED_VALUE"""),0.6)</f>
        <v>0.6</v>
      </c>
      <c r="D897" s="4"/>
      <c r="E897" s="4" t="str">
        <f>IFERROR(__xludf.DUMMYFUNCTION("""COMPUTED_VALUE"""),"Sin precio neto")</f>
        <v>Sin precio neto</v>
      </c>
    </row>
    <row r="898">
      <c r="A898" s="4" t="str">
        <f>IFERROR(__xludf.DUMMYFUNCTION("""COMPUTED_VALUE"""),"0805A")</f>
        <v>0805A</v>
      </c>
      <c r="B898" s="4" t="str">
        <f>IFERROR(__xludf.DUMMYFUNCTION("""COMPUTED_VALUE"""),"Adhesivo 300 mm Gases Tóxicos")</f>
        <v>Adhesivo 300 mm Gases Tóxicos</v>
      </c>
      <c r="C898" s="4">
        <f>IFERROR(__xludf.DUMMYFUNCTION("""COMPUTED_VALUE"""),1.6)</f>
        <v>1.6</v>
      </c>
      <c r="D898" s="4"/>
      <c r="E898" s="4" t="str">
        <f>IFERROR(__xludf.DUMMYFUNCTION("""COMPUTED_VALUE"""),"Sin precio neto")</f>
        <v>Sin precio neto</v>
      </c>
    </row>
    <row r="899">
      <c r="A899" s="4" t="str">
        <f>IFERROR(__xludf.DUMMYFUNCTION("""COMPUTED_VALUE"""),"806")</f>
        <v>806</v>
      </c>
      <c r="B899" s="4" t="str">
        <f>IFERROR(__xludf.DUMMYFUNCTION("""COMPUTED_VALUE"""),"Adhesivo 100 mm gases inflamables A")</f>
        <v>Adhesivo 100 mm gases inflamables A</v>
      </c>
      <c r="C899" s="4">
        <f>IFERROR(__xludf.DUMMYFUNCTION("""COMPUTED_VALUE"""),0.6)</f>
        <v>0.6</v>
      </c>
      <c r="D899" s="4"/>
      <c r="E899" s="4" t="str">
        <f>IFERROR(__xludf.DUMMYFUNCTION("""COMPUTED_VALUE"""),"Sin precio neto")</f>
        <v>Sin precio neto</v>
      </c>
    </row>
    <row r="900">
      <c r="A900" s="4" t="str">
        <f>IFERROR(__xludf.DUMMYFUNCTION("""COMPUTED_VALUE"""),"0806A")</f>
        <v>0806A</v>
      </c>
      <c r="B900" s="4" t="str">
        <f>IFERROR(__xludf.DUMMYFUNCTION("""COMPUTED_VALUE"""),"Adhesivo 300 mm gases inflamables A")</f>
        <v>Adhesivo 300 mm gases inflamables A</v>
      </c>
      <c r="C900" s="4">
        <f>IFERROR(__xludf.DUMMYFUNCTION("""COMPUTED_VALUE"""),1.6)</f>
        <v>1.6</v>
      </c>
      <c r="D900" s="4"/>
      <c r="E900" s="4" t="str">
        <f>IFERROR(__xludf.DUMMYFUNCTION("""COMPUTED_VALUE"""),"Sin precio neto")</f>
        <v>Sin precio neto</v>
      </c>
    </row>
    <row r="901">
      <c r="A901" s="4" t="str">
        <f>IFERROR(__xludf.DUMMYFUNCTION("""COMPUTED_VALUE"""),"807")</f>
        <v>807</v>
      </c>
      <c r="B901" s="4" t="str">
        <f>IFERROR(__xludf.DUMMYFUNCTION("""COMPUTED_VALUE"""),"Adhesivo 100 mm gases inflamables B")</f>
        <v>Adhesivo 100 mm gases inflamables B</v>
      </c>
      <c r="C901" s="4">
        <f>IFERROR(__xludf.DUMMYFUNCTION("""COMPUTED_VALUE"""),0.6)</f>
        <v>0.6</v>
      </c>
      <c r="D901" s="4"/>
      <c r="E901" s="4" t="str">
        <f>IFERROR(__xludf.DUMMYFUNCTION("""COMPUTED_VALUE"""),"Sin precio neto")</f>
        <v>Sin precio neto</v>
      </c>
    </row>
    <row r="902">
      <c r="A902" s="4" t="str">
        <f>IFERROR(__xludf.DUMMYFUNCTION("""COMPUTED_VALUE"""),"0807A")</f>
        <v>0807A</v>
      </c>
      <c r="B902" s="4" t="str">
        <f>IFERROR(__xludf.DUMMYFUNCTION("""COMPUTED_VALUE"""),"Adhesivo 300 mm gases inflamables B")</f>
        <v>Adhesivo 300 mm gases inflamables B</v>
      </c>
      <c r="C902" s="4">
        <f>IFERROR(__xludf.DUMMYFUNCTION("""COMPUTED_VALUE"""),1.6)</f>
        <v>1.6</v>
      </c>
      <c r="D902" s="4"/>
      <c r="E902" s="4" t="str">
        <f>IFERROR(__xludf.DUMMYFUNCTION("""COMPUTED_VALUE"""),"Sin precio neto")</f>
        <v>Sin precio neto</v>
      </c>
    </row>
    <row r="903">
      <c r="A903" s="4" t="str">
        <f>IFERROR(__xludf.DUMMYFUNCTION("""COMPUTED_VALUE"""),"808")</f>
        <v>808</v>
      </c>
      <c r="B903" s="4" t="str">
        <f>IFERROR(__xludf.DUMMYFUNCTION("""COMPUTED_VALUE"""),"Adhesivo 100 mm gases no inflamables A")</f>
        <v>Adhesivo 100 mm gases no inflamables A</v>
      </c>
      <c r="C903" s="4">
        <f>IFERROR(__xludf.DUMMYFUNCTION("""COMPUTED_VALUE"""),0.6)</f>
        <v>0.6</v>
      </c>
      <c r="D903" s="4"/>
      <c r="E903" s="4" t="str">
        <f>IFERROR(__xludf.DUMMYFUNCTION("""COMPUTED_VALUE"""),"Sin precio neto")</f>
        <v>Sin precio neto</v>
      </c>
    </row>
    <row r="904">
      <c r="A904" s="4" t="str">
        <f>IFERROR(__xludf.DUMMYFUNCTION("""COMPUTED_VALUE"""),"0808A")</f>
        <v>0808A</v>
      </c>
      <c r="B904" s="4" t="str">
        <f>IFERROR(__xludf.DUMMYFUNCTION("""COMPUTED_VALUE"""),"Adhesivo 300 mm gases no inflamables A")</f>
        <v>Adhesivo 300 mm gases no inflamables A</v>
      </c>
      <c r="C904" s="4">
        <f>IFERROR(__xludf.DUMMYFUNCTION("""COMPUTED_VALUE"""),1.6)</f>
        <v>1.6</v>
      </c>
      <c r="D904" s="4"/>
      <c r="E904" s="4" t="str">
        <f>IFERROR(__xludf.DUMMYFUNCTION("""COMPUTED_VALUE"""),"Sin precio neto")</f>
        <v>Sin precio neto</v>
      </c>
    </row>
    <row r="905">
      <c r="A905" s="4" t="str">
        <f>IFERROR(__xludf.DUMMYFUNCTION("""COMPUTED_VALUE"""),"809")</f>
        <v>809</v>
      </c>
      <c r="B905" s="4" t="str">
        <f>IFERROR(__xludf.DUMMYFUNCTION("""COMPUTED_VALUE"""),"Adhesivo 100 mm gases no inflamables B")</f>
        <v>Adhesivo 100 mm gases no inflamables B</v>
      </c>
      <c r="C905" s="4">
        <f>IFERROR(__xludf.DUMMYFUNCTION("""COMPUTED_VALUE"""),0.6)</f>
        <v>0.6</v>
      </c>
      <c r="D905" s="4"/>
      <c r="E905" s="4" t="str">
        <f>IFERROR(__xludf.DUMMYFUNCTION("""COMPUTED_VALUE"""),"Sin precio neto")</f>
        <v>Sin precio neto</v>
      </c>
    </row>
    <row r="906">
      <c r="A906" s="4" t="str">
        <f>IFERROR(__xludf.DUMMYFUNCTION("""COMPUTED_VALUE"""),"0809A")</f>
        <v>0809A</v>
      </c>
      <c r="B906" s="4" t="str">
        <f>IFERROR(__xludf.DUMMYFUNCTION("""COMPUTED_VALUE"""),"Adhesivo 300 mm gases no inflamables B")</f>
        <v>Adhesivo 300 mm gases no inflamables B</v>
      </c>
      <c r="C906" s="4">
        <f>IFERROR(__xludf.DUMMYFUNCTION("""COMPUTED_VALUE"""),1.6)</f>
        <v>1.6</v>
      </c>
      <c r="D906" s="4"/>
      <c r="E906" s="4" t="str">
        <f>IFERROR(__xludf.DUMMYFUNCTION("""COMPUTED_VALUE"""),"Sin precio neto")</f>
        <v>Sin precio neto</v>
      </c>
    </row>
    <row r="907">
      <c r="A907" s="4" t="str">
        <f>IFERROR(__xludf.DUMMYFUNCTION("""COMPUTED_VALUE"""),"810")</f>
        <v>810</v>
      </c>
      <c r="B907" s="4" t="str">
        <f>IFERROR(__xludf.DUMMYFUNCTION("""COMPUTED_VALUE"""),"Lona 100x70 cm multicartel c/ ojales")</f>
        <v>Lona 100x70 cm multicartel c/ ojales</v>
      </c>
      <c r="C907" s="4">
        <f>IFERROR(__xludf.DUMMYFUNCTION("""COMPUTED_VALUE"""),14.7)</f>
        <v>14.7</v>
      </c>
      <c r="D907" s="4"/>
      <c r="E907" s="4" t="str">
        <f>IFERROR(__xludf.DUMMYFUNCTION("""COMPUTED_VALUE"""),"Sin precio neto")</f>
        <v>Sin precio neto</v>
      </c>
    </row>
    <row r="908">
      <c r="A908" s="4" t="str">
        <f>IFERROR(__xludf.DUMMYFUNCTION("""COMPUTED_VALUE"""),"811")</f>
        <v>811</v>
      </c>
      <c r="B908" s="4" t="str">
        <f>IFERROR(__xludf.DUMMYFUNCTION("""COMPUTED_VALUE"""),"Lona 50x70 cm multicartel c/ ojales")</f>
        <v>Lona 50x70 cm multicartel c/ ojales</v>
      </c>
      <c r="C908" s="4">
        <f>IFERROR(__xludf.DUMMYFUNCTION("""COMPUTED_VALUE"""),8.4)</f>
        <v>8.4</v>
      </c>
      <c r="D908" s="4"/>
      <c r="E908" s="4" t="str">
        <f>IFERROR(__xludf.DUMMYFUNCTION("""COMPUTED_VALUE"""),"Sin precio neto")</f>
        <v>Sin precio neto</v>
      </c>
    </row>
    <row r="909">
      <c r="A909" s="4" t="str">
        <f>IFERROR(__xludf.DUMMYFUNCTION("""COMPUTED_VALUE"""),"812")</f>
        <v>812</v>
      </c>
      <c r="B909" s="4" t="str">
        <f>IFERROR(__xludf.DUMMYFUNCTION("""COMPUTED_VALUE"""),"Adhesivo 100 mm líquidos inflamables A")</f>
        <v>Adhesivo 100 mm líquidos inflamables A</v>
      </c>
      <c r="C909" s="4">
        <f>IFERROR(__xludf.DUMMYFUNCTION("""COMPUTED_VALUE"""),0.6)</f>
        <v>0.6</v>
      </c>
      <c r="D909" s="4"/>
      <c r="E909" s="4" t="str">
        <f>IFERROR(__xludf.DUMMYFUNCTION("""COMPUTED_VALUE"""),"Sin precio neto")</f>
        <v>Sin precio neto</v>
      </c>
    </row>
    <row r="910">
      <c r="A910" s="4" t="str">
        <f>IFERROR(__xludf.DUMMYFUNCTION("""COMPUTED_VALUE"""),"0812A")</f>
        <v>0812A</v>
      </c>
      <c r="B910" s="4" t="str">
        <f>IFERROR(__xludf.DUMMYFUNCTION("""COMPUTED_VALUE"""),"Adhesivo 300 mm líquidos inflamables A")</f>
        <v>Adhesivo 300 mm líquidos inflamables A</v>
      </c>
      <c r="C910" s="4">
        <f>IFERROR(__xludf.DUMMYFUNCTION("""COMPUTED_VALUE"""),1.6)</f>
        <v>1.6</v>
      </c>
      <c r="D910" s="4"/>
      <c r="E910" s="4" t="str">
        <f>IFERROR(__xludf.DUMMYFUNCTION("""COMPUTED_VALUE"""),"Sin precio neto")</f>
        <v>Sin precio neto</v>
      </c>
    </row>
    <row r="911">
      <c r="A911" s="4" t="str">
        <f>IFERROR(__xludf.DUMMYFUNCTION("""COMPUTED_VALUE"""),"813")</f>
        <v>813</v>
      </c>
      <c r="B911" s="4" t="str">
        <f>IFERROR(__xludf.DUMMYFUNCTION("""COMPUTED_VALUE"""),"Adhesivo 100 mm líquidos inflamables B")</f>
        <v>Adhesivo 100 mm líquidos inflamables B</v>
      </c>
      <c r="C911" s="4">
        <f>IFERROR(__xludf.DUMMYFUNCTION("""COMPUTED_VALUE"""),0.6)</f>
        <v>0.6</v>
      </c>
      <c r="D911" s="4"/>
      <c r="E911" s="4" t="str">
        <f>IFERROR(__xludf.DUMMYFUNCTION("""COMPUTED_VALUE"""),"Sin precio neto")</f>
        <v>Sin precio neto</v>
      </c>
    </row>
    <row r="912">
      <c r="A912" s="4" t="str">
        <f>IFERROR(__xludf.DUMMYFUNCTION("""COMPUTED_VALUE"""),"0813A")</f>
        <v>0813A</v>
      </c>
      <c r="B912" s="4" t="str">
        <f>IFERROR(__xludf.DUMMYFUNCTION("""COMPUTED_VALUE"""),"Adhesivo 300 mm líquidos inflamables B")</f>
        <v>Adhesivo 300 mm líquidos inflamables B</v>
      </c>
      <c r="C912" s="4">
        <f>IFERROR(__xludf.DUMMYFUNCTION("""COMPUTED_VALUE"""),1.6)</f>
        <v>1.6</v>
      </c>
      <c r="D912" s="4"/>
      <c r="E912" s="4" t="str">
        <f>IFERROR(__xludf.DUMMYFUNCTION("""COMPUTED_VALUE"""),"Sin precio neto")</f>
        <v>Sin precio neto</v>
      </c>
    </row>
    <row r="913">
      <c r="A913" s="4" t="str">
        <f>IFERROR(__xludf.DUMMYFUNCTION("""COMPUTED_VALUE"""),"814")</f>
        <v>814</v>
      </c>
      <c r="B913" s="4" t="str">
        <f>IFERROR(__xludf.DUMMYFUNCTION("""COMPUTED_VALUE"""),"Adhesivo 100 mm mat. sólidas inflamables")</f>
        <v>Adhesivo 100 mm mat. sólidas inflamables</v>
      </c>
      <c r="C913" s="4">
        <f>IFERROR(__xludf.DUMMYFUNCTION("""COMPUTED_VALUE"""),0.6)</f>
        <v>0.6</v>
      </c>
      <c r="D913" s="4"/>
      <c r="E913" s="4" t="str">
        <f>IFERROR(__xludf.DUMMYFUNCTION("""COMPUTED_VALUE"""),"Sin precio neto")</f>
        <v>Sin precio neto</v>
      </c>
    </row>
    <row r="914">
      <c r="A914" s="4" t="str">
        <f>IFERROR(__xludf.DUMMYFUNCTION("""COMPUTED_VALUE"""),"0814A")</f>
        <v>0814A</v>
      </c>
      <c r="B914" s="4" t="str">
        <f>IFERROR(__xludf.DUMMYFUNCTION("""COMPUTED_VALUE"""),"Adhesivo 300 mm mat. sólidas inflamables")</f>
        <v>Adhesivo 300 mm mat. sólidas inflamables</v>
      </c>
      <c r="C914" s="4">
        <f>IFERROR(__xludf.DUMMYFUNCTION("""COMPUTED_VALUE"""),1.6)</f>
        <v>1.6</v>
      </c>
      <c r="D914" s="4"/>
      <c r="E914" s="4" t="str">
        <f>IFERROR(__xludf.DUMMYFUNCTION("""COMPUTED_VALUE"""),"Sin precio neto")</f>
        <v>Sin precio neto</v>
      </c>
    </row>
    <row r="915">
      <c r="A915" s="4" t="str">
        <f>IFERROR(__xludf.DUMMYFUNCTION("""COMPUTED_VALUE"""),"815")</f>
        <v>815</v>
      </c>
      <c r="B915" s="4" t="str">
        <f>IFERROR(__xludf.DUMMYFUNCTION("""COMPUTED_VALUE"""),"Adhesivo 100 mm materias expontáneamente inflamables")</f>
        <v>Adhesivo 100 mm materias expontáneamente inflamables</v>
      </c>
      <c r="C915" s="4">
        <f>IFERROR(__xludf.DUMMYFUNCTION("""COMPUTED_VALUE"""),0.6)</f>
        <v>0.6</v>
      </c>
      <c r="D915" s="4"/>
      <c r="E915" s="4" t="str">
        <f>IFERROR(__xludf.DUMMYFUNCTION("""COMPUTED_VALUE"""),"Sin precio neto")</f>
        <v>Sin precio neto</v>
      </c>
    </row>
    <row r="916">
      <c r="A916" s="4" t="str">
        <f>IFERROR(__xludf.DUMMYFUNCTION("""COMPUTED_VALUE"""),"0815A")</f>
        <v>0815A</v>
      </c>
      <c r="B916" s="4" t="str">
        <f>IFERROR(__xludf.DUMMYFUNCTION("""COMPUTED_VALUE"""),"Adhesivo 300 mm materias expontáneamente inflamables")</f>
        <v>Adhesivo 300 mm materias expontáneamente inflamables</v>
      </c>
      <c r="C916" s="4">
        <f>IFERROR(__xludf.DUMMYFUNCTION("""COMPUTED_VALUE"""),1.6)</f>
        <v>1.6</v>
      </c>
      <c r="D916" s="4"/>
      <c r="E916" s="4" t="str">
        <f>IFERROR(__xludf.DUMMYFUNCTION("""COMPUTED_VALUE"""),"Sin precio neto")</f>
        <v>Sin precio neto</v>
      </c>
    </row>
    <row r="917">
      <c r="A917" s="4" t="str">
        <f>IFERROR(__xludf.DUMMYFUNCTION("""COMPUTED_VALUE"""),"816")</f>
        <v>816</v>
      </c>
      <c r="B917" s="4" t="str">
        <f>IFERROR(__xludf.DUMMYFUNCTION("""COMPUTED_VALUE"""),"Adhesivo 100 mm materias contacto agua gases inflamables A")</f>
        <v>Adhesivo 100 mm materias contacto agua gases inflamables A</v>
      </c>
      <c r="C917" s="4">
        <f>IFERROR(__xludf.DUMMYFUNCTION("""COMPUTED_VALUE"""),0.6)</f>
        <v>0.6</v>
      </c>
      <c r="D917" s="4"/>
      <c r="E917" s="4" t="str">
        <f>IFERROR(__xludf.DUMMYFUNCTION("""COMPUTED_VALUE"""),"Sin precio neto")</f>
        <v>Sin precio neto</v>
      </c>
    </row>
    <row r="918">
      <c r="A918" s="4" t="str">
        <f>IFERROR(__xludf.DUMMYFUNCTION("""COMPUTED_VALUE"""),"0816A")</f>
        <v>0816A</v>
      </c>
      <c r="B918" s="4" t="str">
        <f>IFERROR(__xludf.DUMMYFUNCTION("""COMPUTED_VALUE"""),"Adhesivo 300 mm materias contacto agua gases inflamables A")</f>
        <v>Adhesivo 300 mm materias contacto agua gases inflamables A</v>
      </c>
      <c r="C918" s="4">
        <f>IFERROR(__xludf.DUMMYFUNCTION("""COMPUTED_VALUE"""),1.6)</f>
        <v>1.6</v>
      </c>
      <c r="D918" s="4"/>
      <c r="E918" s="4" t="str">
        <f>IFERROR(__xludf.DUMMYFUNCTION("""COMPUTED_VALUE"""),"Sin precio neto")</f>
        <v>Sin precio neto</v>
      </c>
    </row>
    <row r="919">
      <c r="A919" s="4" t="str">
        <f>IFERROR(__xludf.DUMMYFUNCTION("""COMPUTED_VALUE"""),"817")</f>
        <v>817</v>
      </c>
      <c r="B919" s="4" t="str">
        <f>IFERROR(__xludf.DUMMYFUNCTION("""COMPUTED_VALUE"""),"Adhesivo 100 mm materias contacto agua gases inflamables B")</f>
        <v>Adhesivo 100 mm materias contacto agua gases inflamables B</v>
      </c>
      <c r="C919" s="4">
        <f>IFERROR(__xludf.DUMMYFUNCTION("""COMPUTED_VALUE"""),0.6)</f>
        <v>0.6</v>
      </c>
      <c r="D919" s="4"/>
      <c r="E919" s="4" t="str">
        <f>IFERROR(__xludf.DUMMYFUNCTION("""COMPUTED_VALUE"""),"Sin precio neto")</f>
        <v>Sin precio neto</v>
      </c>
    </row>
    <row r="920">
      <c r="A920" s="4" t="str">
        <f>IFERROR(__xludf.DUMMYFUNCTION("""COMPUTED_VALUE"""),"0817A")</f>
        <v>0817A</v>
      </c>
      <c r="B920" s="4" t="str">
        <f>IFERROR(__xludf.DUMMYFUNCTION("""COMPUTED_VALUE"""),"Adhesivo 300 mm materias contacto agua gases inflamables B")</f>
        <v>Adhesivo 300 mm materias contacto agua gases inflamables B</v>
      </c>
      <c r="C920" s="4">
        <f>IFERROR(__xludf.DUMMYFUNCTION("""COMPUTED_VALUE"""),1.6)</f>
        <v>1.6</v>
      </c>
      <c r="D920" s="4"/>
      <c r="E920" s="4" t="str">
        <f>IFERROR(__xludf.DUMMYFUNCTION("""COMPUTED_VALUE"""),"Sin precio neto")</f>
        <v>Sin precio neto</v>
      </c>
    </row>
    <row r="921">
      <c r="A921" s="4" t="str">
        <f>IFERROR(__xludf.DUMMYFUNCTION("""COMPUTED_VALUE"""),"818")</f>
        <v>818</v>
      </c>
      <c r="B921" s="4" t="str">
        <f>IFERROR(__xludf.DUMMYFUNCTION("""COMPUTED_VALUE"""),"Adhesivo 100 mm materias comburentes")</f>
        <v>Adhesivo 100 mm materias comburentes</v>
      </c>
      <c r="C921" s="4">
        <f>IFERROR(__xludf.DUMMYFUNCTION("""COMPUTED_VALUE"""),0.6)</f>
        <v>0.6</v>
      </c>
      <c r="D921" s="4"/>
      <c r="E921" s="4" t="str">
        <f>IFERROR(__xludf.DUMMYFUNCTION("""COMPUTED_VALUE"""),"Sin precio neto")</f>
        <v>Sin precio neto</v>
      </c>
    </row>
    <row r="922">
      <c r="A922" s="4" t="str">
        <f>IFERROR(__xludf.DUMMYFUNCTION("""COMPUTED_VALUE"""),"0818A")</f>
        <v>0818A</v>
      </c>
      <c r="B922" s="4" t="str">
        <f>IFERROR(__xludf.DUMMYFUNCTION("""COMPUTED_VALUE"""),"Adhesivo 300 mm materias comburentes")</f>
        <v>Adhesivo 300 mm materias comburentes</v>
      </c>
      <c r="C922" s="4">
        <f>IFERROR(__xludf.DUMMYFUNCTION("""COMPUTED_VALUE"""),1.6)</f>
        <v>1.6</v>
      </c>
      <c r="D922" s="4"/>
      <c r="E922" s="4" t="str">
        <f>IFERROR(__xludf.DUMMYFUNCTION("""COMPUTED_VALUE"""),"Sin precio neto")</f>
        <v>Sin precio neto</v>
      </c>
    </row>
    <row r="923">
      <c r="A923" s="4" t="str">
        <f>IFERROR(__xludf.DUMMYFUNCTION("""COMPUTED_VALUE"""),"819")</f>
        <v>819</v>
      </c>
      <c r="B923" s="4" t="str">
        <f>IFERROR(__xludf.DUMMYFUNCTION("""COMPUTED_VALUE"""),"Adhesivo 100 mm peróxidos orgánicos")</f>
        <v>Adhesivo 100 mm peróxidos orgánicos</v>
      </c>
      <c r="C923" s="4">
        <f>IFERROR(__xludf.DUMMYFUNCTION("""COMPUTED_VALUE"""),0.6)</f>
        <v>0.6</v>
      </c>
      <c r="D923" s="4"/>
      <c r="E923" s="4" t="str">
        <f>IFERROR(__xludf.DUMMYFUNCTION("""COMPUTED_VALUE"""),"Sin precio neto")</f>
        <v>Sin precio neto</v>
      </c>
    </row>
    <row r="924">
      <c r="A924" s="4" t="str">
        <f>IFERROR(__xludf.DUMMYFUNCTION("""COMPUTED_VALUE"""),"0819A")</f>
        <v>0819A</v>
      </c>
      <c r="B924" s="4" t="str">
        <f>IFERROR(__xludf.DUMMYFUNCTION("""COMPUTED_VALUE"""),"Adhesivo 300 mm peróxidos orgánicos")</f>
        <v>Adhesivo 300 mm peróxidos orgánicos</v>
      </c>
      <c r="C924" s="4">
        <f>IFERROR(__xludf.DUMMYFUNCTION("""COMPUTED_VALUE"""),1.6)</f>
        <v>1.6</v>
      </c>
      <c r="D924" s="4"/>
      <c r="E924" s="4" t="str">
        <f>IFERROR(__xludf.DUMMYFUNCTION("""COMPUTED_VALUE"""),"Sin precio neto")</f>
        <v>Sin precio neto</v>
      </c>
    </row>
    <row r="925">
      <c r="A925" s="4" t="str">
        <f>IFERROR(__xludf.DUMMYFUNCTION("""COMPUTED_VALUE"""),"822")</f>
        <v>822</v>
      </c>
      <c r="B925" s="4" t="str">
        <f>IFERROR(__xludf.DUMMYFUNCTION("""COMPUTED_VALUE"""),"Adhesivo 100 mm Materias Tóxicas")</f>
        <v>Adhesivo 100 mm Materias Tóxicas</v>
      </c>
      <c r="C925" s="4">
        <f>IFERROR(__xludf.DUMMYFUNCTION("""COMPUTED_VALUE"""),0.6)</f>
        <v>0.6</v>
      </c>
      <c r="D925" s="4"/>
      <c r="E925" s="4" t="str">
        <f>IFERROR(__xludf.DUMMYFUNCTION("""COMPUTED_VALUE"""),"Sin precio neto")</f>
        <v>Sin precio neto</v>
      </c>
    </row>
    <row r="926">
      <c r="A926" s="4" t="str">
        <f>IFERROR(__xludf.DUMMYFUNCTION("""COMPUTED_VALUE"""),"0822A")</f>
        <v>0822A</v>
      </c>
      <c r="B926" s="4" t="str">
        <f>IFERROR(__xludf.DUMMYFUNCTION("""COMPUTED_VALUE"""),"Adhesivo 100 mm Materias Tóxicas")</f>
        <v>Adhesivo 100 mm Materias Tóxicas</v>
      </c>
      <c r="C926" s="4">
        <f>IFERROR(__xludf.DUMMYFUNCTION("""COMPUTED_VALUE"""),1.6)</f>
        <v>1.6</v>
      </c>
      <c r="D926" s="4"/>
      <c r="E926" s="4" t="str">
        <f>IFERROR(__xludf.DUMMYFUNCTION("""COMPUTED_VALUE"""),"Sin precio neto")</f>
        <v>Sin precio neto</v>
      </c>
    </row>
    <row r="927">
      <c r="A927" s="4" t="str">
        <f>IFERROR(__xludf.DUMMYFUNCTION("""COMPUTED_VALUE"""),"823")</f>
        <v>823</v>
      </c>
      <c r="B927" s="4" t="str">
        <f>IFERROR(__xludf.DUMMYFUNCTION("""COMPUTED_VALUE"""),"Adhesivo 100 mm Materias infecciosas")</f>
        <v>Adhesivo 100 mm Materias infecciosas</v>
      </c>
      <c r="C927" s="4">
        <f>IFERROR(__xludf.DUMMYFUNCTION("""COMPUTED_VALUE"""),0.6)</f>
        <v>0.6</v>
      </c>
      <c r="D927" s="4"/>
      <c r="E927" s="4" t="str">
        <f>IFERROR(__xludf.DUMMYFUNCTION("""COMPUTED_VALUE"""),"Sin precio neto")</f>
        <v>Sin precio neto</v>
      </c>
    </row>
    <row r="928">
      <c r="A928" s="4" t="str">
        <f>IFERROR(__xludf.DUMMYFUNCTION("""COMPUTED_VALUE"""),"0823A")</f>
        <v>0823A</v>
      </c>
      <c r="B928" s="4" t="str">
        <f>IFERROR(__xludf.DUMMYFUNCTION("""COMPUTED_VALUE"""),"Adhesivo 300 mm Materias infecciosas")</f>
        <v>Adhesivo 300 mm Materias infecciosas</v>
      </c>
      <c r="C928" s="4">
        <f>IFERROR(__xludf.DUMMYFUNCTION("""COMPUTED_VALUE"""),1.6)</f>
        <v>1.6</v>
      </c>
      <c r="D928" s="4"/>
      <c r="E928" s="4" t="str">
        <f>IFERROR(__xludf.DUMMYFUNCTION("""COMPUTED_VALUE"""),"Sin precio neto")</f>
        <v>Sin precio neto</v>
      </c>
    </row>
    <row r="929">
      <c r="A929" s="4" t="str">
        <f>IFERROR(__xludf.DUMMYFUNCTION("""COMPUTED_VALUE"""),"824")</f>
        <v>824</v>
      </c>
      <c r="B929" s="4" t="str">
        <f>IFERROR(__xludf.DUMMYFUNCTION("""COMPUTED_VALUE"""),"Adhesivo 100 mm Materias radiactivas I")</f>
        <v>Adhesivo 100 mm Materias radiactivas I</v>
      </c>
      <c r="C929" s="4">
        <f>IFERROR(__xludf.DUMMYFUNCTION("""COMPUTED_VALUE"""),0.6)</f>
        <v>0.6</v>
      </c>
      <c r="D929" s="4"/>
      <c r="E929" s="4" t="str">
        <f>IFERROR(__xludf.DUMMYFUNCTION("""COMPUTED_VALUE"""),"Sin precio neto")</f>
        <v>Sin precio neto</v>
      </c>
    </row>
    <row r="930">
      <c r="A930" s="4" t="str">
        <f>IFERROR(__xludf.DUMMYFUNCTION("""COMPUTED_VALUE"""),"0824A")</f>
        <v>0824A</v>
      </c>
      <c r="B930" s="4" t="str">
        <f>IFERROR(__xludf.DUMMYFUNCTION("""COMPUTED_VALUE"""),"Adhesivo 300 mm Materias radiactivas I")</f>
        <v>Adhesivo 300 mm Materias radiactivas I</v>
      </c>
      <c r="C930" s="4">
        <f>IFERROR(__xludf.DUMMYFUNCTION("""COMPUTED_VALUE"""),1.6)</f>
        <v>1.6</v>
      </c>
      <c r="D930" s="4"/>
      <c r="E930" s="4" t="str">
        <f>IFERROR(__xludf.DUMMYFUNCTION("""COMPUTED_VALUE"""),"Sin precio neto")</f>
        <v>Sin precio neto</v>
      </c>
    </row>
    <row r="931">
      <c r="A931" s="4" t="str">
        <f>IFERROR(__xludf.DUMMYFUNCTION("""COMPUTED_VALUE"""),"825")</f>
        <v>825</v>
      </c>
      <c r="B931" s="4" t="str">
        <f>IFERROR(__xludf.DUMMYFUNCTION("""COMPUTED_VALUE"""),"Adhesivo 100 mm Materias radiactivas II")</f>
        <v>Adhesivo 100 mm Materias radiactivas II</v>
      </c>
      <c r="C931" s="4">
        <f>IFERROR(__xludf.DUMMYFUNCTION("""COMPUTED_VALUE"""),0.6)</f>
        <v>0.6</v>
      </c>
      <c r="D931" s="4"/>
      <c r="E931" s="4" t="str">
        <f>IFERROR(__xludf.DUMMYFUNCTION("""COMPUTED_VALUE"""),"Sin precio neto")</f>
        <v>Sin precio neto</v>
      </c>
    </row>
    <row r="932">
      <c r="A932" s="4" t="str">
        <f>IFERROR(__xludf.DUMMYFUNCTION("""COMPUTED_VALUE"""),"0825A")</f>
        <v>0825A</v>
      </c>
      <c r="B932" s="4" t="str">
        <f>IFERROR(__xludf.DUMMYFUNCTION("""COMPUTED_VALUE"""),"Adhesivo 300 mm Materias radiactivas II")</f>
        <v>Adhesivo 300 mm Materias radiactivas II</v>
      </c>
      <c r="C932" s="4">
        <f>IFERROR(__xludf.DUMMYFUNCTION("""COMPUTED_VALUE"""),1.6)</f>
        <v>1.6</v>
      </c>
      <c r="D932" s="4"/>
      <c r="E932" s="4" t="str">
        <f>IFERROR(__xludf.DUMMYFUNCTION("""COMPUTED_VALUE"""),"Sin precio neto")</f>
        <v>Sin precio neto</v>
      </c>
    </row>
    <row r="933">
      <c r="A933" s="4" t="str">
        <f>IFERROR(__xludf.DUMMYFUNCTION("""COMPUTED_VALUE"""),"826")</f>
        <v>826</v>
      </c>
      <c r="B933" s="4" t="str">
        <f>IFERROR(__xludf.DUMMYFUNCTION("""COMPUTED_VALUE"""),"Adhesivo 100 mm Materias radiactivas III")</f>
        <v>Adhesivo 100 mm Materias radiactivas III</v>
      </c>
      <c r="C933" s="4">
        <f>IFERROR(__xludf.DUMMYFUNCTION("""COMPUTED_VALUE"""),0.6)</f>
        <v>0.6</v>
      </c>
      <c r="D933" s="4"/>
      <c r="E933" s="4" t="str">
        <f>IFERROR(__xludf.DUMMYFUNCTION("""COMPUTED_VALUE"""),"Sin precio neto")</f>
        <v>Sin precio neto</v>
      </c>
    </row>
    <row r="934">
      <c r="A934" s="4" t="str">
        <f>IFERROR(__xludf.DUMMYFUNCTION("""COMPUTED_VALUE"""),"0826A")</f>
        <v>0826A</v>
      </c>
      <c r="B934" s="4" t="str">
        <f>IFERROR(__xludf.DUMMYFUNCTION("""COMPUTED_VALUE"""),"Adhesivo 300 mm Materias radiactivas III")</f>
        <v>Adhesivo 300 mm Materias radiactivas III</v>
      </c>
      <c r="C934" s="4">
        <f>IFERROR(__xludf.DUMMYFUNCTION("""COMPUTED_VALUE"""),1.6)</f>
        <v>1.6</v>
      </c>
      <c r="D934" s="4"/>
      <c r="E934" s="4" t="str">
        <f>IFERROR(__xludf.DUMMYFUNCTION("""COMPUTED_VALUE"""),"Sin precio neto")</f>
        <v>Sin precio neto</v>
      </c>
    </row>
    <row r="935">
      <c r="A935" s="4" t="str">
        <f>IFERROR(__xludf.DUMMYFUNCTION("""COMPUTED_VALUE"""),"827")</f>
        <v>827</v>
      </c>
      <c r="B935" s="4" t="str">
        <f>IFERROR(__xludf.DUMMYFUNCTION("""COMPUTED_VALUE"""),"Adhesivo 100 mm Materias fisionables")</f>
        <v>Adhesivo 100 mm Materias fisionables</v>
      </c>
      <c r="C935" s="4">
        <f>IFERROR(__xludf.DUMMYFUNCTION("""COMPUTED_VALUE"""),0.6)</f>
        <v>0.6</v>
      </c>
      <c r="D935" s="4"/>
      <c r="E935" s="4" t="str">
        <f>IFERROR(__xludf.DUMMYFUNCTION("""COMPUTED_VALUE"""),"Sin precio neto")</f>
        <v>Sin precio neto</v>
      </c>
    </row>
    <row r="936">
      <c r="A936" s="4" t="str">
        <f>IFERROR(__xludf.DUMMYFUNCTION("""COMPUTED_VALUE"""),"0827A")</f>
        <v>0827A</v>
      </c>
      <c r="B936" s="4" t="str">
        <f>IFERROR(__xludf.DUMMYFUNCTION("""COMPUTED_VALUE"""),"Adhesivo 300 mm Materias fisionables")</f>
        <v>Adhesivo 300 mm Materias fisionables</v>
      </c>
      <c r="C936" s="4">
        <f>IFERROR(__xludf.DUMMYFUNCTION("""COMPUTED_VALUE"""),1.6)</f>
        <v>1.6</v>
      </c>
      <c r="D936" s="4"/>
      <c r="E936" s="4" t="str">
        <f>IFERROR(__xludf.DUMMYFUNCTION("""COMPUTED_VALUE"""),"Sin precio neto")</f>
        <v>Sin precio neto</v>
      </c>
    </row>
    <row r="937">
      <c r="A937" s="4" t="str">
        <f>IFERROR(__xludf.DUMMYFUNCTION("""COMPUTED_VALUE"""),"828")</f>
        <v>828</v>
      </c>
      <c r="B937" s="4" t="str">
        <f>IFERROR(__xludf.DUMMYFUNCTION("""COMPUTED_VALUE"""),"Adhesivo 100 mm Materias corrosivas")</f>
        <v>Adhesivo 100 mm Materias corrosivas</v>
      </c>
      <c r="C937" s="4">
        <f>IFERROR(__xludf.DUMMYFUNCTION("""COMPUTED_VALUE"""),0.6)</f>
        <v>0.6</v>
      </c>
      <c r="D937" s="4"/>
      <c r="E937" s="4" t="str">
        <f>IFERROR(__xludf.DUMMYFUNCTION("""COMPUTED_VALUE"""),"Sin precio neto")</f>
        <v>Sin precio neto</v>
      </c>
    </row>
    <row r="938">
      <c r="A938" s="4" t="str">
        <f>IFERROR(__xludf.DUMMYFUNCTION("""COMPUTED_VALUE"""),"0828A")</f>
        <v>0828A</v>
      </c>
      <c r="B938" s="4" t="str">
        <f>IFERROR(__xludf.DUMMYFUNCTION("""COMPUTED_VALUE"""),"Adhesivo 300 mm Materias corrosivas")</f>
        <v>Adhesivo 300 mm Materias corrosivas</v>
      </c>
      <c r="C938" s="4">
        <f>IFERROR(__xludf.DUMMYFUNCTION("""COMPUTED_VALUE"""),1.6)</f>
        <v>1.6</v>
      </c>
      <c r="D938" s="4"/>
      <c r="E938" s="4" t="str">
        <f>IFERROR(__xludf.DUMMYFUNCTION("""COMPUTED_VALUE"""),"Sin precio neto")</f>
        <v>Sin precio neto</v>
      </c>
    </row>
    <row r="939">
      <c r="A939" s="4" t="str">
        <f>IFERROR(__xludf.DUMMYFUNCTION("""COMPUTED_VALUE"""),"829")</f>
        <v>829</v>
      </c>
      <c r="B939" s="4" t="str">
        <f>IFERROR(__xludf.DUMMYFUNCTION("""COMPUTED_VALUE"""),"Adhesivo 100 mm Materias y objetos peligrosos diversos")</f>
        <v>Adhesivo 100 mm Materias y objetos peligrosos diversos</v>
      </c>
      <c r="C939" s="4">
        <f>IFERROR(__xludf.DUMMYFUNCTION("""COMPUTED_VALUE"""),0.6)</f>
        <v>0.6</v>
      </c>
      <c r="D939" s="4"/>
      <c r="E939" s="4" t="str">
        <f>IFERROR(__xludf.DUMMYFUNCTION("""COMPUTED_VALUE"""),"Sin precio neto")</f>
        <v>Sin precio neto</v>
      </c>
    </row>
    <row r="940">
      <c r="A940" s="4" t="str">
        <f>IFERROR(__xludf.DUMMYFUNCTION("""COMPUTED_VALUE"""),"0829A")</f>
        <v>0829A</v>
      </c>
      <c r="B940" s="4" t="str">
        <f>IFERROR(__xludf.DUMMYFUNCTION("""COMPUTED_VALUE"""),"Adhesivo 300 mm Materias y objetos peligrosos divesas")</f>
        <v>Adhesivo 300 mm Materias y objetos peligrosos divesas</v>
      </c>
      <c r="C940" s="4">
        <f>IFERROR(__xludf.DUMMYFUNCTION("""COMPUTED_VALUE"""),1.6)</f>
        <v>1.6</v>
      </c>
      <c r="D940" s="4"/>
      <c r="E940" s="4" t="str">
        <f>IFERROR(__xludf.DUMMYFUNCTION("""COMPUTED_VALUE"""),"Sin precio neto")</f>
        <v>Sin precio neto</v>
      </c>
    </row>
    <row r="941">
      <c r="A941" s="4" t="str">
        <f>IFERROR(__xludf.DUMMYFUNCTION("""COMPUTED_VALUE"""),"830")</f>
        <v>830</v>
      </c>
      <c r="B941" s="4" t="str">
        <f>IFERROR(__xludf.DUMMYFUNCTION("""COMPUTED_VALUE"""),"Adhesivo 100 mm Materias peligrosas para el medio ambiente")</f>
        <v>Adhesivo 100 mm Materias peligrosas para el medio ambiente</v>
      </c>
      <c r="C941" s="4">
        <f>IFERROR(__xludf.DUMMYFUNCTION("""COMPUTED_VALUE"""),0.6)</f>
        <v>0.6</v>
      </c>
      <c r="D941" s="4"/>
      <c r="E941" s="4" t="str">
        <f>IFERROR(__xludf.DUMMYFUNCTION("""COMPUTED_VALUE"""),"Sin precio neto")</f>
        <v>Sin precio neto</v>
      </c>
    </row>
    <row r="942">
      <c r="A942" s="4" t="str">
        <f>IFERROR(__xludf.DUMMYFUNCTION("""COMPUTED_VALUE"""),"0830A")</f>
        <v>0830A</v>
      </c>
      <c r="B942" s="4" t="str">
        <f>IFERROR(__xludf.DUMMYFUNCTION("""COMPUTED_VALUE"""),"Adhesivo 300 mm Materias peligrosas para el medio ambiente")</f>
        <v>Adhesivo 300 mm Materias peligrosas para el medio ambiente</v>
      </c>
      <c r="C942" s="4">
        <f>IFERROR(__xludf.DUMMYFUNCTION("""COMPUTED_VALUE"""),1.6)</f>
        <v>1.6</v>
      </c>
      <c r="D942" s="4"/>
      <c r="E942" s="4" t="str">
        <f>IFERROR(__xludf.DUMMYFUNCTION("""COMPUTED_VALUE"""),"Sin precio neto")</f>
        <v>Sin precio neto</v>
      </c>
    </row>
    <row r="943">
      <c r="A943" s="4" t="str">
        <f>IFERROR(__xludf.DUMMYFUNCTION("""COMPUTED_VALUE"""),"831")</f>
        <v>831</v>
      </c>
      <c r="B943" s="4" t="str">
        <f>IFERROR(__xludf.DUMMYFUNCTION("""COMPUTED_VALUE"""),"Adhesivo 100 mm Orientación del bulto")</f>
        <v>Adhesivo 100 mm Orientación del bulto</v>
      </c>
      <c r="C943" s="4">
        <f>IFERROR(__xludf.DUMMYFUNCTION("""COMPUTED_VALUE"""),0.6)</f>
        <v>0.6</v>
      </c>
      <c r="D943" s="4"/>
      <c r="E943" s="4" t="str">
        <f>IFERROR(__xludf.DUMMYFUNCTION("""COMPUTED_VALUE"""),"Sin precio neto")</f>
        <v>Sin precio neto</v>
      </c>
    </row>
    <row r="944">
      <c r="A944" s="4" t="str">
        <f>IFERROR(__xludf.DUMMYFUNCTION("""COMPUTED_VALUE"""),"0831A")</f>
        <v>0831A</v>
      </c>
      <c r="B944" s="4" t="str">
        <f>IFERROR(__xludf.DUMMYFUNCTION("""COMPUTED_VALUE"""),"Adhesivo 300 mm Orientación del bulto")</f>
        <v>Adhesivo 300 mm Orientación del bulto</v>
      </c>
      <c r="C944" s="4">
        <f>IFERROR(__xludf.DUMMYFUNCTION("""COMPUTED_VALUE"""),1.6)</f>
        <v>1.6</v>
      </c>
      <c r="D944" s="4"/>
      <c r="E944" s="4" t="str">
        <f>IFERROR(__xludf.DUMMYFUNCTION("""COMPUTED_VALUE"""),"Sin precio neto")</f>
        <v>Sin precio neto</v>
      </c>
    </row>
    <row r="945">
      <c r="A945" s="4" t="str">
        <f>IFERROR(__xludf.DUMMYFUNCTION("""COMPUTED_VALUE"""),"832")</f>
        <v>832</v>
      </c>
      <c r="B945" s="4" t="str">
        <f>IFERROR(__xludf.DUMMYFUNCTION("""COMPUTED_VALUE"""),"Adhesivo 100 mm productos químicos explosivos")</f>
        <v>Adhesivo 100 mm productos químicos explosivos</v>
      </c>
      <c r="C945" s="4">
        <f>IFERROR(__xludf.DUMMYFUNCTION("""COMPUTED_VALUE"""),0.6)</f>
        <v>0.6</v>
      </c>
      <c r="D945" s="4"/>
      <c r="E945" s="4" t="str">
        <f>IFERROR(__xludf.DUMMYFUNCTION("""COMPUTED_VALUE"""),"Sin precio neto")</f>
        <v>Sin precio neto</v>
      </c>
    </row>
    <row r="946">
      <c r="A946" s="4" t="str">
        <f>IFERROR(__xludf.DUMMYFUNCTION("""COMPUTED_VALUE"""),"0832A")</f>
        <v>0832A</v>
      </c>
      <c r="B946" s="4" t="str">
        <f>IFERROR(__xludf.DUMMYFUNCTION("""COMPUTED_VALUE"""),"Adhesivo 300 mm productos químicos explosivos")</f>
        <v>Adhesivo 300 mm productos químicos explosivos</v>
      </c>
      <c r="C946" s="4">
        <f>IFERROR(__xludf.DUMMYFUNCTION("""COMPUTED_VALUE"""),1.6)</f>
        <v>1.6</v>
      </c>
      <c r="D946" s="4"/>
      <c r="E946" s="4" t="str">
        <f>IFERROR(__xludf.DUMMYFUNCTION("""COMPUTED_VALUE"""),"Sin precio neto")</f>
        <v>Sin precio neto</v>
      </c>
    </row>
    <row r="947">
      <c r="A947" s="4" t="str">
        <f>IFERROR(__xludf.DUMMYFUNCTION("""COMPUTED_VALUE"""),"833")</f>
        <v>833</v>
      </c>
      <c r="B947" s="4" t="str">
        <f>IFERROR(__xludf.DUMMYFUNCTION("""COMPUTED_VALUE"""),"Adhesivo 100 mm productos químicos inflamables")</f>
        <v>Adhesivo 100 mm productos químicos inflamables</v>
      </c>
      <c r="C947" s="4">
        <f>IFERROR(__xludf.DUMMYFUNCTION("""COMPUTED_VALUE"""),0.6)</f>
        <v>0.6</v>
      </c>
      <c r="D947" s="4"/>
      <c r="E947" s="4" t="str">
        <f>IFERROR(__xludf.DUMMYFUNCTION("""COMPUTED_VALUE"""),"Sin precio neto")</f>
        <v>Sin precio neto</v>
      </c>
    </row>
    <row r="948">
      <c r="A948" s="4" t="str">
        <f>IFERROR(__xludf.DUMMYFUNCTION("""COMPUTED_VALUE"""),"0833A")</f>
        <v>0833A</v>
      </c>
      <c r="B948" s="4" t="str">
        <f>IFERROR(__xludf.DUMMYFUNCTION("""COMPUTED_VALUE"""),"Adhesivo 300 mm productos químicos inflamables")</f>
        <v>Adhesivo 300 mm productos químicos inflamables</v>
      </c>
      <c r="C948" s="4">
        <f>IFERROR(__xludf.DUMMYFUNCTION("""COMPUTED_VALUE"""),1.6)</f>
        <v>1.6</v>
      </c>
      <c r="D948" s="4"/>
      <c r="E948" s="4" t="str">
        <f>IFERROR(__xludf.DUMMYFUNCTION("""COMPUTED_VALUE"""),"Sin precio neto")</f>
        <v>Sin precio neto</v>
      </c>
    </row>
    <row r="949">
      <c r="A949" s="4" t="str">
        <f>IFERROR(__xludf.DUMMYFUNCTION("""COMPUTED_VALUE"""),"834")</f>
        <v>834</v>
      </c>
      <c r="B949" s="4" t="str">
        <f>IFERROR(__xludf.DUMMYFUNCTION("""COMPUTED_VALUE"""),"Adhesivo 100 mm productos químicos comburentes")</f>
        <v>Adhesivo 100 mm productos químicos comburentes</v>
      </c>
      <c r="C949" s="4">
        <f>IFERROR(__xludf.DUMMYFUNCTION("""COMPUTED_VALUE"""),0.6)</f>
        <v>0.6</v>
      </c>
      <c r="D949" s="4"/>
      <c r="E949" s="4" t="str">
        <f>IFERROR(__xludf.DUMMYFUNCTION("""COMPUTED_VALUE"""),"Sin precio neto")</f>
        <v>Sin precio neto</v>
      </c>
    </row>
    <row r="950">
      <c r="A950" s="4" t="str">
        <f>IFERROR(__xludf.DUMMYFUNCTION("""COMPUTED_VALUE"""),"0834A")</f>
        <v>0834A</v>
      </c>
      <c r="B950" s="4" t="str">
        <f>IFERROR(__xludf.DUMMYFUNCTION("""COMPUTED_VALUE"""),"Adhesivo 300 mm productos químicos comburentes")</f>
        <v>Adhesivo 300 mm productos químicos comburentes</v>
      </c>
      <c r="C950" s="4">
        <f>IFERROR(__xludf.DUMMYFUNCTION("""COMPUTED_VALUE"""),1.6)</f>
        <v>1.6</v>
      </c>
      <c r="D950" s="4"/>
      <c r="E950" s="4" t="str">
        <f>IFERROR(__xludf.DUMMYFUNCTION("""COMPUTED_VALUE"""),"Sin precio neto")</f>
        <v>Sin precio neto</v>
      </c>
    </row>
    <row r="951">
      <c r="A951" s="4" t="str">
        <f>IFERROR(__xludf.DUMMYFUNCTION("""COMPUTED_VALUE"""),"835")</f>
        <v>835</v>
      </c>
      <c r="B951" s="4" t="str">
        <f>IFERROR(__xludf.DUMMYFUNCTION("""COMPUTED_VALUE"""),"Adhesivo 100 mm productos químicos gas a presión")</f>
        <v>Adhesivo 100 mm productos químicos gas a presión</v>
      </c>
      <c r="C951" s="4">
        <f>IFERROR(__xludf.DUMMYFUNCTION("""COMPUTED_VALUE"""),0.6)</f>
        <v>0.6</v>
      </c>
      <c r="D951" s="4"/>
      <c r="E951" s="4" t="str">
        <f>IFERROR(__xludf.DUMMYFUNCTION("""COMPUTED_VALUE"""),"Sin precio neto")</f>
        <v>Sin precio neto</v>
      </c>
    </row>
    <row r="952">
      <c r="A952" s="4" t="str">
        <f>IFERROR(__xludf.DUMMYFUNCTION("""COMPUTED_VALUE"""),"0835A")</f>
        <v>0835A</v>
      </c>
      <c r="B952" s="4" t="str">
        <f>IFERROR(__xludf.DUMMYFUNCTION("""COMPUTED_VALUE"""),"Adhesivo 300 mm productos químicos gas a presión")</f>
        <v>Adhesivo 300 mm productos químicos gas a presión</v>
      </c>
      <c r="C952" s="4">
        <f>IFERROR(__xludf.DUMMYFUNCTION("""COMPUTED_VALUE"""),1.6)</f>
        <v>1.6</v>
      </c>
      <c r="D952" s="4"/>
      <c r="E952" s="4" t="str">
        <f>IFERROR(__xludf.DUMMYFUNCTION("""COMPUTED_VALUE"""),"Sin precio neto")</f>
        <v>Sin precio neto</v>
      </c>
    </row>
    <row r="953">
      <c r="A953" s="4" t="str">
        <f>IFERROR(__xludf.DUMMYFUNCTION("""COMPUTED_VALUE"""),"836")</f>
        <v>836</v>
      </c>
      <c r="B953" s="4" t="str">
        <f>IFERROR(__xludf.DUMMYFUNCTION("""COMPUTED_VALUE"""),"Adhesivo 100 mm productos químicos toxicidad aguda")</f>
        <v>Adhesivo 100 mm productos químicos toxicidad aguda</v>
      </c>
      <c r="C953" s="4">
        <f>IFERROR(__xludf.DUMMYFUNCTION("""COMPUTED_VALUE"""),0.6)</f>
        <v>0.6</v>
      </c>
      <c r="D953" s="4"/>
      <c r="E953" s="4" t="str">
        <f>IFERROR(__xludf.DUMMYFUNCTION("""COMPUTED_VALUE"""),"Sin precio neto")</f>
        <v>Sin precio neto</v>
      </c>
    </row>
    <row r="954">
      <c r="A954" s="4" t="str">
        <f>IFERROR(__xludf.DUMMYFUNCTION("""COMPUTED_VALUE"""),"0836A")</f>
        <v>0836A</v>
      </c>
      <c r="B954" s="4" t="str">
        <f>IFERROR(__xludf.DUMMYFUNCTION("""COMPUTED_VALUE"""),"Adhesivo 300 mm productos químicos Toxicidad aguda")</f>
        <v>Adhesivo 300 mm productos químicos Toxicidad aguda</v>
      </c>
      <c r="C954" s="4">
        <f>IFERROR(__xludf.DUMMYFUNCTION("""COMPUTED_VALUE"""),1.6)</f>
        <v>1.6</v>
      </c>
      <c r="D954" s="4"/>
      <c r="E954" s="4" t="str">
        <f>IFERROR(__xludf.DUMMYFUNCTION("""COMPUTED_VALUE"""),"Sin precio neto")</f>
        <v>Sin precio neto</v>
      </c>
    </row>
    <row r="955">
      <c r="A955" s="4" t="str">
        <f>IFERROR(__xludf.DUMMYFUNCTION("""COMPUTED_VALUE"""),"837")</f>
        <v>837</v>
      </c>
      <c r="B955" s="4" t="str">
        <f>IFERROR(__xludf.DUMMYFUNCTION("""COMPUTED_VALUE"""),"Adhesivo 100 mm productos químicos corrosivos")</f>
        <v>Adhesivo 100 mm productos químicos corrosivos</v>
      </c>
      <c r="C955" s="4">
        <f>IFERROR(__xludf.DUMMYFUNCTION("""COMPUTED_VALUE"""),0.6)</f>
        <v>0.6</v>
      </c>
      <c r="D955" s="4"/>
      <c r="E955" s="4" t="str">
        <f>IFERROR(__xludf.DUMMYFUNCTION("""COMPUTED_VALUE"""),"Sin precio neto")</f>
        <v>Sin precio neto</v>
      </c>
    </row>
    <row r="956">
      <c r="A956" s="4" t="str">
        <f>IFERROR(__xludf.DUMMYFUNCTION("""COMPUTED_VALUE"""),"0837A")</f>
        <v>0837A</v>
      </c>
      <c r="B956" s="4" t="str">
        <f>IFERROR(__xludf.DUMMYFUNCTION("""COMPUTED_VALUE"""),"Adhesivo 300 mm productos químicos corrosivos")</f>
        <v>Adhesivo 300 mm productos químicos corrosivos</v>
      </c>
      <c r="C956" s="4">
        <f>IFERROR(__xludf.DUMMYFUNCTION("""COMPUTED_VALUE"""),1.6)</f>
        <v>1.6</v>
      </c>
      <c r="D956" s="4"/>
      <c r="E956" s="4" t="str">
        <f>IFERROR(__xludf.DUMMYFUNCTION("""COMPUTED_VALUE"""),"Sin precio neto")</f>
        <v>Sin precio neto</v>
      </c>
    </row>
    <row r="957">
      <c r="A957" s="4" t="str">
        <f>IFERROR(__xludf.DUMMYFUNCTION("""COMPUTED_VALUE"""),"838")</f>
        <v>838</v>
      </c>
      <c r="B957" s="4" t="str">
        <f>IFERROR(__xludf.DUMMYFUNCTION("""COMPUTED_VALUE"""),"Adhesivo 100 mm productos químicos peligro grave para la")</f>
        <v>Adhesivo 100 mm productos químicos peligro grave para la</v>
      </c>
      <c r="C957" s="4">
        <f>IFERROR(__xludf.DUMMYFUNCTION("""COMPUTED_VALUE"""),0.6)</f>
        <v>0.6</v>
      </c>
      <c r="D957" s="4"/>
      <c r="E957" s="4" t="str">
        <f>IFERROR(__xludf.DUMMYFUNCTION("""COMPUTED_VALUE"""),"Sin precio neto")</f>
        <v>Sin precio neto</v>
      </c>
    </row>
    <row r="958">
      <c r="A958" s="4" t="str">
        <f>IFERROR(__xludf.DUMMYFUNCTION("""COMPUTED_VALUE"""),"0838A")</f>
        <v>0838A</v>
      </c>
      <c r="B958" s="4" t="str">
        <f>IFERROR(__xludf.DUMMYFUNCTION("""COMPUTED_VALUE"""),"Adhesivo 300 mm productos químicos peligro grave para la")</f>
        <v>Adhesivo 300 mm productos químicos peligro grave para la</v>
      </c>
      <c r="C958" s="4">
        <f>IFERROR(__xludf.DUMMYFUNCTION("""COMPUTED_VALUE"""),1.6)</f>
        <v>1.6</v>
      </c>
      <c r="D958" s="4"/>
      <c r="E958" s="4" t="str">
        <f>IFERROR(__xludf.DUMMYFUNCTION("""COMPUTED_VALUE"""),"Sin precio neto")</f>
        <v>Sin precio neto</v>
      </c>
    </row>
    <row r="959">
      <c r="A959" s="4" t="str">
        <f>IFERROR(__xludf.DUMMYFUNCTION("""COMPUTED_VALUE"""),"839")</f>
        <v>839</v>
      </c>
      <c r="B959" s="4" t="str">
        <f>IFERROR(__xludf.DUMMYFUNCTION("""COMPUTED_VALUE"""),"Adhesivo 100 mm productos químicos peligro para la salud")</f>
        <v>Adhesivo 100 mm productos químicos peligro para la salud</v>
      </c>
      <c r="C959" s="4">
        <f>IFERROR(__xludf.DUMMYFUNCTION("""COMPUTED_VALUE"""),0.6)</f>
        <v>0.6</v>
      </c>
      <c r="D959" s="4"/>
      <c r="E959" s="4" t="str">
        <f>IFERROR(__xludf.DUMMYFUNCTION("""COMPUTED_VALUE"""),"Sin precio neto")</f>
        <v>Sin precio neto</v>
      </c>
    </row>
    <row r="960">
      <c r="A960" s="4" t="str">
        <f>IFERROR(__xludf.DUMMYFUNCTION("""COMPUTED_VALUE"""),"0839A")</f>
        <v>0839A</v>
      </c>
      <c r="B960" s="4" t="str">
        <f>IFERROR(__xludf.DUMMYFUNCTION("""COMPUTED_VALUE"""),"Adhesivo 300 mm productos químicos peligro para la salud")</f>
        <v>Adhesivo 300 mm productos químicos peligro para la salud</v>
      </c>
      <c r="C960" s="4">
        <f>IFERROR(__xludf.DUMMYFUNCTION("""COMPUTED_VALUE"""),1.6)</f>
        <v>1.6</v>
      </c>
      <c r="D960" s="4"/>
      <c r="E960" s="4" t="str">
        <f>IFERROR(__xludf.DUMMYFUNCTION("""COMPUTED_VALUE"""),"Sin precio neto")</f>
        <v>Sin precio neto</v>
      </c>
    </row>
    <row r="961">
      <c r="A961" s="4" t="str">
        <f>IFERROR(__xludf.DUMMYFUNCTION("""COMPUTED_VALUE"""),"840")</f>
        <v>840</v>
      </c>
      <c r="B961" s="4" t="str">
        <f>IFERROR(__xludf.DUMMYFUNCTION("""COMPUTED_VALUE"""),"Adhesivo 100 mm productos químicos peligro para el medio")</f>
        <v>Adhesivo 100 mm productos químicos peligro para el medio</v>
      </c>
      <c r="C961" s="4">
        <f>IFERROR(__xludf.DUMMYFUNCTION("""COMPUTED_VALUE"""),0.6)</f>
        <v>0.6</v>
      </c>
      <c r="D961" s="4"/>
      <c r="E961" s="4" t="str">
        <f>IFERROR(__xludf.DUMMYFUNCTION("""COMPUTED_VALUE"""),"Sin precio neto")</f>
        <v>Sin precio neto</v>
      </c>
    </row>
    <row r="962">
      <c r="A962" s="4" t="str">
        <f>IFERROR(__xludf.DUMMYFUNCTION("""COMPUTED_VALUE"""),"0840A")</f>
        <v>0840A</v>
      </c>
      <c r="B962" s="4" t="str">
        <f>IFERROR(__xludf.DUMMYFUNCTION("""COMPUTED_VALUE"""),"Adhesivo 300 mm productos químicos peligro para el medio")</f>
        <v>Adhesivo 300 mm productos químicos peligro para el medio</v>
      </c>
      <c r="C962" s="4">
        <f>IFERROR(__xludf.DUMMYFUNCTION("""COMPUTED_VALUE"""),1.6)</f>
        <v>1.6</v>
      </c>
      <c r="D962" s="4"/>
      <c r="E962" s="4" t="str">
        <f>IFERROR(__xludf.DUMMYFUNCTION("""COMPUTED_VALUE"""),"Sin precio neto")</f>
        <v>Sin precio neto</v>
      </c>
    </row>
    <row r="963">
      <c r="A963" s="4" t="str">
        <f>IFERROR(__xludf.DUMMYFUNCTION("""COMPUTED_VALUE"""),"841")</f>
        <v>841</v>
      </c>
      <c r="B963" s="4" t="str">
        <f>IFERROR(__xludf.DUMMYFUNCTION("""COMPUTED_VALUE"""),"Adhesivo información general aparcamiento 200x60 mm")</f>
        <v>Adhesivo información general aparcamiento 200x60 mm</v>
      </c>
      <c r="C963" s="4">
        <f>IFERROR(__xludf.DUMMYFUNCTION("""COMPUTED_VALUE"""),1.1)</f>
        <v>1.1</v>
      </c>
      <c r="D963" s="4"/>
      <c r="E963" s="4" t="str">
        <f>IFERROR(__xludf.DUMMYFUNCTION("""COMPUTED_VALUE"""),"Sin precio neto")</f>
        <v>Sin precio neto</v>
      </c>
    </row>
    <row r="964">
      <c r="A964" s="4" t="str">
        <f>IFERROR(__xludf.DUMMYFUNCTION("""COMPUTED_VALUE"""),"0841A")</f>
        <v>0841A</v>
      </c>
      <c r="B964" s="4" t="str">
        <f>IFERROR(__xludf.DUMMYFUNCTION("""COMPUTED_VALUE"""),"Adhesivo información general aparcamiento 300x100 mm")</f>
        <v>Adhesivo información general aparcamiento 300x100 mm</v>
      </c>
      <c r="C964" s="4">
        <f>IFERROR(__xludf.DUMMYFUNCTION("""COMPUTED_VALUE"""),1.6)</f>
        <v>1.6</v>
      </c>
      <c r="D964" s="4"/>
      <c r="E964" s="4" t="str">
        <f>IFERROR(__xludf.DUMMYFUNCTION("""COMPUTED_VALUE"""),"Sin precio neto")</f>
        <v>Sin precio neto</v>
      </c>
    </row>
    <row r="965">
      <c r="A965" s="4" t="str">
        <f>IFERROR(__xludf.DUMMYFUNCTION("""COMPUTED_VALUE"""),"0841C")</f>
        <v>0841C</v>
      </c>
      <c r="B965" s="4" t="str">
        <f>IFERROR(__xludf.DUMMYFUNCTION("""COMPUTED_VALUE"""),"Cartel PVC información general aparcamiento 300x100 mm")</f>
        <v>Cartel PVC información general aparcamiento 300x100 mm</v>
      </c>
      <c r="C965" s="4">
        <f>IFERROR(__xludf.DUMMYFUNCTION("""COMPUTED_VALUE"""),1.85)</f>
        <v>1.85</v>
      </c>
      <c r="D965" s="4"/>
      <c r="E965" s="4" t="str">
        <f>IFERROR(__xludf.DUMMYFUNCTION("""COMPUTED_VALUE"""),"Sin precio neto")</f>
        <v>Sin precio neto</v>
      </c>
    </row>
    <row r="966">
      <c r="A966" s="4" t="str">
        <f>IFERROR(__xludf.DUMMYFUNCTION("""COMPUTED_VALUE"""),"842")</f>
        <v>842</v>
      </c>
      <c r="B966" s="4" t="str">
        <f>IFERROR(__xludf.DUMMYFUNCTION("""COMPUTED_VALUE"""),"Adhesivo información general aseos minusváldos 200x60 mm")</f>
        <v>Adhesivo información general aseos minusváldos 200x60 mm</v>
      </c>
      <c r="C966" s="4">
        <f>IFERROR(__xludf.DUMMYFUNCTION("""COMPUTED_VALUE"""),1.1)</f>
        <v>1.1</v>
      </c>
      <c r="D966" s="4"/>
      <c r="E966" s="4" t="str">
        <f>IFERROR(__xludf.DUMMYFUNCTION("""COMPUTED_VALUE"""),"Sin precio neto")</f>
        <v>Sin precio neto</v>
      </c>
    </row>
    <row r="967">
      <c r="A967" s="4" t="str">
        <f>IFERROR(__xludf.DUMMYFUNCTION("""COMPUTED_VALUE"""),"0842A")</f>
        <v>0842A</v>
      </c>
      <c r="B967" s="4" t="str">
        <f>IFERROR(__xludf.DUMMYFUNCTION("""COMPUTED_VALUE"""),"Adhesivo información general aseos minusválidos 300x100")</f>
        <v>Adhesivo información general aseos minusválidos 300x100</v>
      </c>
      <c r="C967" s="4">
        <f>IFERROR(__xludf.DUMMYFUNCTION("""COMPUTED_VALUE"""),1.6)</f>
        <v>1.6</v>
      </c>
      <c r="D967" s="4"/>
      <c r="E967" s="4" t="str">
        <f>IFERROR(__xludf.DUMMYFUNCTION("""COMPUTED_VALUE"""),"Sin precio neto")</f>
        <v>Sin precio neto</v>
      </c>
    </row>
    <row r="968">
      <c r="A968" s="4" t="str">
        <f>IFERROR(__xludf.DUMMYFUNCTION("""COMPUTED_VALUE"""),"0842C")</f>
        <v>0842C</v>
      </c>
      <c r="B968" s="4" t="str">
        <f>IFERROR(__xludf.DUMMYFUNCTION("""COMPUTED_VALUE"""),"Cartel PVC información general aseos minusválidos 300x100")</f>
        <v>Cartel PVC información general aseos minusválidos 300x100</v>
      </c>
      <c r="C968" s="4">
        <f>IFERROR(__xludf.DUMMYFUNCTION("""COMPUTED_VALUE"""),1.85)</f>
        <v>1.85</v>
      </c>
      <c r="D968" s="4"/>
      <c r="E968" s="4" t="str">
        <f>IFERROR(__xludf.DUMMYFUNCTION("""COMPUTED_VALUE"""),"Sin precio neto")</f>
        <v>Sin precio neto</v>
      </c>
    </row>
    <row r="969">
      <c r="A969" s="4" t="str">
        <f>IFERROR(__xludf.DUMMYFUNCTION("""COMPUTED_VALUE"""),"843")</f>
        <v>843</v>
      </c>
      <c r="B969" s="4" t="str">
        <f>IFERROR(__xludf.DUMMYFUNCTION("""COMPUTED_VALUE"""),"Adhesivo información general aseos masculino 200x60 mm")</f>
        <v>Adhesivo información general aseos masculino 200x60 mm</v>
      </c>
      <c r="C969" s="4">
        <f>IFERROR(__xludf.DUMMYFUNCTION("""COMPUTED_VALUE"""),1.1)</f>
        <v>1.1</v>
      </c>
      <c r="D969" s="4"/>
      <c r="E969" s="4" t="str">
        <f>IFERROR(__xludf.DUMMYFUNCTION("""COMPUTED_VALUE"""),"Sin precio neto")</f>
        <v>Sin precio neto</v>
      </c>
    </row>
    <row r="970">
      <c r="A970" s="4" t="str">
        <f>IFERROR(__xludf.DUMMYFUNCTION("""COMPUTED_VALUE"""),"0843A")</f>
        <v>0843A</v>
      </c>
      <c r="B970" s="4" t="str">
        <f>IFERROR(__xludf.DUMMYFUNCTION("""COMPUTED_VALUE"""),"Adhesivo información general aseos masculino 300x100 mm")</f>
        <v>Adhesivo información general aseos masculino 300x100 mm</v>
      </c>
      <c r="C970" s="4">
        <f>IFERROR(__xludf.DUMMYFUNCTION("""COMPUTED_VALUE"""),1.6)</f>
        <v>1.6</v>
      </c>
      <c r="D970" s="4"/>
      <c r="E970" s="4" t="str">
        <f>IFERROR(__xludf.DUMMYFUNCTION("""COMPUTED_VALUE"""),"Sin precio neto")</f>
        <v>Sin precio neto</v>
      </c>
    </row>
    <row r="971">
      <c r="A971" s="4" t="str">
        <f>IFERROR(__xludf.DUMMYFUNCTION("""COMPUTED_VALUE"""),"0843C")</f>
        <v>0843C</v>
      </c>
      <c r="B971" s="4" t="str">
        <f>IFERROR(__xludf.DUMMYFUNCTION("""COMPUTED_VALUE"""),"Cartel PVC información general aseos masculino 300x100 mm")</f>
        <v>Cartel PVC información general aseos masculino 300x100 mm</v>
      </c>
      <c r="C971" s="4">
        <f>IFERROR(__xludf.DUMMYFUNCTION("""COMPUTED_VALUE"""),1.85)</f>
        <v>1.85</v>
      </c>
      <c r="D971" s="4"/>
      <c r="E971" s="4" t="str">
        <f>IFERROR(__xludf.DUMMYFUNCTION("""COMPUTED_VALUE"""),"Sin precio neto")</f>
        <v>Sin precio neto</v>
      </c>
    </row>
    <row r="972">
      <c r="A972" s="4" t="str">
        <f>IFERROR(__xludf.DUMMYFUNCTION("""COMPUTED_VALUE"""),"845")</f>
        <v>845</v>
      </c>
      <c r="B972" s="4" t="str">
        <f>IFERROR(__xludf.DUMMYFUNCTION("""COMPUTED_VALUE"""),"Adhesivo información general aseos mixtos 200x60 mm")</f>
        <v>Adhesivo información general aseos mixtos 200x60 mm</v>
      </c>
      <c r="C972" s="4">
        <f>IFERROR(__xludf.DUMMYFUNCTION("""COMPUTED_VALUE"""),1.1)</f>
        <v>1.1</v>
      </c>
      <c r="D972" s="4"/>
      <c r="E972" s="4" t="str">
        <f>IFERROR(__xludf.DUMMYFUNCTION("""COMPUTED_VALUE"""),"Sin precio neto")</f>
        <v>Sin precio neto</v>
      </c>
    </row>
    <row r="973">
      <c r="A973" s="4" t="str">
        <f>IFERROR(__xludf.DUMMYFUNCTION("""COMPUTED_VALUE"""),"0845A")</f>
        <v>0845A</v>
      </c>
      <c r="B973" s="4" t="str">
        <f>IFERROR(__xludf.DUMMYFUNCTION("""COMPUTED_VALUE"""),"Adhesivo información general aseos mixtos 300x100 mm")</f>
        <v>Adhesivo información general aseos mixtos 300x100 mm</v>
      </c>
      <c r="C973" s="4">
        <f>IFERROR(__xludf.DUMMYFUNCTION("""COMPUTED_VALUE"""),1.6)</f>
        <v>1.6</v>
      </c>
      <c r="D973" s="4"/>
      <c r="E973" s="4" t="str">
        <f>IFERROR(__xludf.DUMMYFUNCTION("""COMPUTED_VALUE"""),"Sin precio neto")</f>
        <v>Sin precio neto</v>
      </c>
    </row>
    <row r="974">
      <c r="A974" s="4" t="str">
        <f>IFERROR(__xludf.DUMMYFUNCTION("""COMPUTED_VALUE"""),"0845C")</f>
        <v>0845C</v>
      </c>
      <c r="B974" s="4" t="str">
        <f>IFERROR(__xludf.DUMMYFUNCTION("""COMPUTED_VALUE"""),"Cartel PVC información general asos mixtos 300x100 mm")</f>
        <v>Cartel PVC información general asos mixtos 300x100 mm</v>
      </c>
      <c r="C974" s="4">
        <f>IFERROR(__xludf.DUMMYFUNCTION("""COMPUTED_VALUE"""),1.85)</f>
        <v>1.85</v>
      </c>
      <c r="D974" s="4"/>
      <c r="E974" s="4" t="str">
        <f>IFERROR(__xludf.DUMMYFUNCTION("""COMPUTED_VALUE"""),"Sin precio neto")</f>
        <v>Sin precio neto</v>
      </c>
    </row>
    <row r="975">
      <c r="A975" s="4" t="str">
        <f>IFERROR(__xludf.DUMMYFUNCTION("""COMPUTED_VALUE"""),"846")</f>
        <v>846</v>
      </c>
      <c r="B975" s="4" t="str">
        <f>IFERROR(__xludf.DUMMYFUNCTION("""COMPUTED_VALUE"""),"Adhesivo información general aseos femenino 200x60 mm")</f>
        <v>Adhesivo información general aseos femenino 200x60 mm</v>
      </c>
      <c r="C975" s="4">
        <f>IFERROR(__xludf.DUMMYFUNCTION("""COMPUTED_VALUE"""),1.1)</f>
        <v>1.1</v>
      </c>
      <c r="D975" s="4"/>
      <c r="E975" s="4" t="str">
        <f>IFERROR(__xludf.DUMMYFUNCTION("""COMPUTED_VALUE"""),"Sin precio neto")</f>
        <v>Sin precio neto</v>
      </c>
    </row>
    <row r="976">
      <c r="A976" s="4" t="str">
        <f>IFERROR(__xludf.DUMMYFUNCTION("""COMPUTED_VALUE"""),"0846A")</f>
        <v>0846A</v>
      </c>
      <c r="B976" s="4" t="str">
        <f>IFERROR(__xludf.DUMMYFUNCTION("""COMPUTED_VALUE"""),"Adhesivo información general aseos femeninio 300x100 mm")</f>
        <v>Adhesivo información general aseos femeninio 300x100 mm</v>
      </c>
      <c r="C976" s="4">
        <f>IFERROR(__xludf.DUMMYFUNCTION("""COMPUTED_VALUE"""),1.6)</f>
        <v>1.6</v>
      </c>
      <c r="D976" s="4"/>
      <c r="E976" s="4" t="str">
        <f>IFERROR(__xludf.DUMMYFUNCTION("""COMPUTED_VALUE"""),"Sin precio neto")</f>
        <v>Sin precio neto</v>
      </c>
    </row>
    <row r="977">
      <c r="A977" s="4" t="str">
        <f>IFERROR(__xludf.DUMMYFUNCTION("""COMPUTED_VALUE"""),"0846C")</f>
        <v>0846C</v>
      </c>
      <c r="B977" s="4" t="str">
        <f>IFERROR(__xludf.DUMMYFUNCTION("""COMPUTED_VALUE"""),"Cartel PVC informacion general Aseos femenino 300x100 mm")</f>
        <v>Cartel PVC informacion general Aseos femenino 300x100 mm</v>
      </c>
      <c r="C977" s="4">
        <f>IFERROR(__xludf.DUMMYFUNCTION("""COMPUTED_VALUE"""),1.85)</f>
        <v>1.85</v>
      </c>
      <c r="D977" s="4"/>
      <c r="E977" s="4" t="str">
        <f>IFERROR(__xludf.DUMMYFUNCTION("""COMPUTED_VALUE"""),"Sin precio neto")</f>
        <v>Sin precio neto</v>
      </c>
    </row>
    <row r="978">
      <c r="A978" s="4" t="str">
        <f>IFERROR(__xludf.DUMMYFUNCTION("""COMPUTED_VALUE"""),"847")</f>
        <v>847</v>
      </c>
      <c r="B978" s="4" t="str">
        <f>IFERROR(__xludf.DUMMYFUNCTION("""COMPUTED_VALUE"""),"Adhesivo información general vestuario mixto 200x60 mm")</f>
        <v>Adhesivo información general vestuario mixto 200x60 mm</v>
      </c>
      <c r="C978" s="4">
        <f>IFERROR(__xludf.DUMMYFUNCTION("""COMPUTED_VALUE"""),1.1)</f>
        <v>1.1</v>
      </c>
      <c r="D978" s="4"/>
      <c r="E978" s="4" t="str">
        <f>IFERROR(__xludf.DUMMYFUNCTION("""COMPUTED_VALUE"""),"Sin precio neto")</f>
        <v>Sin precio neto</v>
      </c>
    </row>
    <row r="979">
      <c r="A979" s="4" t="str">
        <f>IFERROR(__xludf.DUMMYFUNCTION("""COMPUTED_VALUE"""),"0847A")</f>
        <v>0847A</v>
      </c>
      <c r="B979" s="4" t="str">
        <f>IFERROR(__xludf.DUMMYFUNCTION("""COMPUTED_VALUE"""),"Adhesivo información general vestuario mixto 300x100 mm")</f>
        <v>Adhesivo información general vestuario mixto 300x100 mm</v>
      </c>
      <c r="C979" s="4">
        <f>IFERROR(__xludf.DUMMYFUNCTION("""COMPUTED_VALUE"""),1.6)</f>
        <v>1.6</v>
      </c>
      <c r="D979" s="4"/>
      <c r="E979" s="4" t="str">
        <f>IFERROR(__xludf.DUMMYFUNCTION("""COMPUTED_VALUE"""),"Sin precio neto")</f>
        <v>Sin precio neto</v>
      </c>
    </row>
    <row r="980">
      <c r="A980" s="4" t="str">
        <f>IFERROR(__xludf.DUMMYFUNCTION("""COMPUTED_VALUE"""),"0847C")</f>
        <v>0847C</v>
      </c>
      <c r="B980" s="4" t="str">
        <f>IFERROR(__xludf.DUMMYFUNCTION("""COMPUTED_VALUE"""),"Cartel PVC información general vestuarios mixtos 300x100 mm")</f>
        <v>Cartel PVC información general vestuarios mixtos 300x100 mm</v>
      </c>
      <c r="C980" s="4">
        <f>IFERROR(__xludf.DUMMYFUNCTION("""COMPUTED_VALUE"""),1.85)</f>
        <v>1.85</v>
      </c>
      <c r="D980" s="4"/>
      <c r="E980" s="4" t="str">
        <f>IFERROR(__xludf.DUMMYFUNCTION("""COMPUTED_VALUE"""),"Sin precio neto")</f>
        <v>Sin precio neto</v>
      </c>
    </row>
    <row r="981">
      <c r="A981" s="4" t="str">
        <f>IFERROR(__xludf.DUMMYFUNCTION("""COMPUTED_VALUE"""),"848")</f>
        <v>848</v>
      </c>
      <c r="B981" s="4" t="str">
        <f>IFERROR(__xludf.DUMMYFUNCTION("""COMPUTED_VALUE"""),"Adhesivo información general vestuario femenino 200x60 mm")</f>
        <v>Adhesivo información general vestuario femenino 200x60 mm</v>
      </c>
      <c r="C981" s="4">
        <f>IFERROR(__xludf.DUMMYFUNCTION("""COMPUTED_VALUE"""),1.1)</f>
        <v>1.1</v>
      </c>
      <c r="D981" s="4"/>
      <c r="E981" s="4" t="str">
        <f>IFERROR(__xludf.DUMMYFUNCTION("""COMPUTED_VALUE"""),"Sin precio neto")</f>
        <v>Sin precio neto</v>
      </c>
    </row>
    <row r="982">
      <c r="A982" s="4" t="str">
        <f>IFERROR(__xludf.DUMMYFUNCTION("""COMPUTED_VALUE"""),"0848A")</f>
        <v>0848A</v>
      </c>
      <c r="B982" s="4" t="str">
        <f>IFERROR(__xludf.DUMMYFUNCTION("""COMPUTED_VALUE"""),"Adhesivo información general vestuario femenino 300x100 mm")</f>
        <v>Adhesivo información general vestuario femenino 300x100 mm</v>
      </c>
      <c r="C982" s="4">
        <f>IFERROR(__xludf.DUMMYFUNCTION("""COMPUTED_VALUE"""),1.6)</f>
        <v>1.6</v>
      </c>
      <c r="D982" s="4"/>
      <c r="E982" s="4" t="str">
        <f>IFERROR(__xludf.DUMMYFUNCTION("""COMPUTED_VALUE"""),"Sin precio neto")</f>
        <v>Sin precio neto</v>
      </c>
    </row>
    <row r="983">
      <c r="A983" s="4" t="str">
        <f>IFERROR(__xludf.DUMMYFUNCTION("""COMPUTED_VALUE"""),"0848C")</f>
        <v>0848C</v>
      </c>
      <c r="B983" s="4" t="str">
        <f>IFERROR(__xludf.DUMMYFUNCTION("""COMPUTED_VALUE"""),"Cartel PVC información general vestuario femenino 300x100")</f>
        <v>Cartel PVC información general vestuario femenino 300x100</v>
      </c>
      <c r="C983" s="4">
        <f>IFERROR(__xludf.DUMMYFUNCTION("""COMPUTED_VALUE"""),1.85)</f>
        <v>1.85</v>
      </c>
      <c r="D983" s="4"/>
      <c r="E983" s="4" t="str">
        <f>IFERROR(__xludf.DUMMYFUNCTION("""COMPUTED_VALUE"""),"Sin precio neto")</f>
        <v>Sin precio neto</v>
      </c>
    </row>
    <row r="984">
      <c r="A984" s="4" t="str">
        <f>IFERROR(__xludf.DUMMYFUNCTION("""COMPUTED_VALUE"""),"849")</f>
        <v>849</v>
      </c>
      <c r="B984" s="4" t="str">
        <f>IFERROR(__xludf.DUMMYFUNCTION("""COMPUTED_VALUE"""),"Adhesivo información general vestuario masculino 200x60 mm")</f>
        <v>Adhesivo información general vestuario masculino 200x60 mm</v>
      </c>
      <c r="C984" s="4">
        <f>IFERROR(__xludf.DUMMYFUNCTION("""COMPUTED_VALUE"""),1.1)</f>
        <v>1.1</v>
      </c>
      <c r="D984" s="4"/>
      <c r="E984" s="4" t="str">
        <f>IFERROR(__xludf.DUMMYFUNCTION("""COMPUTED_VALUE"""),"Sin precio neto")</f>
        <v>Sin precio neto</v>
      </c>
    </row>
    <row r="985">
      <c r="A985" s="4" t="str">
        <f>IFERROR(__xludf.DUMMYFUNCTION("""COMPUTED_VALUE"""),"0849A")</f>
        <v>0849A</v>
      </c>
      <c r="B985" s="4" t="str">
        <f>IFERROR(__xludf.DUMMYFUNCTION("""COMPUTED_VALUE"""),"Adhesivo información general vestuario masculino 300x100")</f>
        <v>Adhesivo información general vestuario masculino 300x100</v>
      </c>
      <c r="C985" s="4">
        <f>IFERROR(__xludf.DUMMYFUNCTION("""COMPUTED_VALUE"""),1.6)</f>
        <v>1.6</v>
      </c>
      <c r="D985" s="4"/>
      <c r="E985" s="4" t="str">
        <f>IFERROR(__xludf.DUMMYFUNCTION("""COMPUTED_VALUE"""),"Sin precio neto")</f>
        <v>Sin precio neto</v>
      </c>
    </row>
    <row r="986">
      <c r="A986" s="4" t="str">
        <f>IFERROR(__xludf.DUMMYFUNCTION("""COMPUTED_VALUE"""),"0849C")</f>
        <v>0849C</v>
      </c>
      <c r="B986" s="4" t="str">
        <f>IFERROR(__xludf.DUMMYFUNCTION("""COMPUTED_VALUE"""),"Cartel PVC información general vestuario masculino 300x100")</f>
        <v>Cartel PVC información general vestuario masculino 300x100</v>
      </c>
      <c r="C986" s="4">
        <f>IFERROR(__xludf.DUMMYFUNCTION("""COMPUTED_VALUE"""),1.85)</f>
        <v>1.85</v>
      </c>
      <c r="D986" s="4"/>
      <c r="E986" s="4" t="str">
        <f>IFERROR(__xludf.DUMMYFUNCTION("""COMPUTED_VALUE"""),"Sin precio neto")</f>
        <v>Sin precio neto</v>
      </c>
    </row>
    <row r="987">
      <c r="A987" s="4" t="str">
        <f>IFERROR(__xludf.DUMMYFUNCTION("""COMPUTED_VALUE"""),"850")</f>
        <v>850</v>
      </c>
      <c r="B987" s="4" t="str">
        <f>IFERROR(__xludf.DUMMYFUNCTION("""COMPUTED_VALUE"""),"Adhesivo información general información 200x60 mm")</f>
        <v>Adhesivo información general información 200x60 mm</v>
      </c>
      <c r="C987" s="4">
        <f>IFERROR(__xludf.DUMMYFUNCTION("""COMPUTED_VALUE"""),1.1)</f>
        <v>1.1</v>
      </c>
      <c r="D987" s="4"/>
      <c r="E987" s="4" t="str">
        <f>IFERROR(__xludf.DUMMYFUNCTION("""COMPUTED_VALUE"""),"Sin precio neto")</f>
        <v>Sin precio neto</v>
      </c>
    </row>
    <row r="988">
      <c r="A988" s="4" t="str">
        <f>IFERROR(__xludf.DUMMYFUNCTION("""COMPUTED_VALUE"""),"0850A")</f>
        <v>0850A</v>
      </c>
      <c r="B988" s="4" t="str">
        <f>IFERROR(__xludf.DUMMYFUNCTION("""COMPUTED_VALUE"""),"Adhesivo información general información 300x100 mm")</f>
        <v>Adhesivo información general información 300x100 mm</v>
      </c>
      <c r="C988" s="4">
        <f>IFERROR(__xludf.DUMMYFUNCTION("""COMPUTED_VALUE"""),1.6)</f>
        <v>1.6</v>
      </c>
      <c r="D988" s="4"/>
      <c r="E988" s="4" t="str">
        <f>IFERROR(__xludf.DUMMYFUNCTION("""COMPUTED_VALUE"""),"Sin precio neto")</f>
        <v>Sin precio neto</v>
      </c>
    </row>
    <row r="989">
      <c r="A989" s="4" t="str">
        <f>IFERROR(__xludf.DUMMYFUNCTION("""COMPUTED_VALUE"""),"0850C")</f>
        <v>0850C</v>
      </c>
      <c r="B989" s="4" t="str">
        <f>IFERROR(__xludf.DUMMYFUNCTION("""COMPUTED_VALUE"""),"Cartel PVC información general información 300x100 mm")</f>
        <v>Cartel PVC información general información 300x100 mm</v>
      </c>
      <c r="C989" s="4">
        <f>IFERROR(__xludf.DUMMYFUNCTION("""COMPUTED_VALUE"""),1.85)</f>
        <v>1.85</v>
      </c>
      <c r="D989" s="4"/>
      <c r="E989" s="4" t="str">
        <f>IFERROR(__xludf.DUMMYFUNCTION("""COMPUTED_VALUE"""),"Sin precio neto")</f>
        <v>Sin precio neto</v>
      </c>
    </row>
    <row r="990">
      <c r="A990" s="4" t="str">
        <f>IFERROR(__xludf.DUMMYFUNCTION("""COMPUTED_VALUE"""),"851")</f>
        <v>851</v>
      </c>
      <c r="B990" s="4" t="str">
        <f>IFERROR(__xludf.DUMMYFUNCTION("""COMPUTED_VALUE"""),"Adhesivo información general teléfono 200x60 mm")</f>
        <v>Adhesivo información general teléfono 200x60 mm</v>
      </c>
      <c r="C990" s="4">
        <f>IFERROR(__xludf.DUMMYFUNCTION("""COMPUTED_VALUE"""),1.1)</f>
        <v>1.1</v>
      </c>
      <c r="D990" s="4"/>
      <c r="E990" s="4" t="str">
        <f>IFERROR(__xludf.DUMMYFUNCTION("""COMPUTED_VALUE"""),"Sin precio neto")</f>
        <v>Sin precio neto</v>
      </c>
    </row>
    <row r="991">
      <c r="A991" s="4" t="str">
        <f>IFERROR(__xludf.DUMMYFUNCTION("""COMPUTED_VALUE"""),"0851A")</f>
        <v>0851A</v>
      </c>
      <c r="B991" s="4" t="str">
        <f>IFERROR(__xludf.DUMMYFUNCTION("""COMPUTED_VALUE"""),"Adhesivo información general teléfono 300x100 mm")</f>
        <v>Adhesivo información general teléfono 300x100 mm</v>
      </c>
      <c r="C991" s="4">
        <f>IFERROR(__xludf.DUMMYFUNCTION("""COMPUTED_VALUE"""),1.6)</f>
        <v>1.6</v>
      </c>
      <c r="D991" s="4"/>
      <c r="E991" s="4" t="str">
        <f>IFERROR(__xludf.DUMMYFUNCTION("""COMPUTED_VALUE"""),"Sin precio neto")</f>
        <v>Sin precio neto</v>
      </c>
    </row>
    <row r="992">
      <c r="A992" s="4" t="str">
        <f>IFERROR(__xludf.DUMMYFUNCTION("""COMPUTED_VALUE"""),"0851C")</f>
        <v>0851C</v>
      </c>
      <c r="B992" s="4" t="str">
        <f>IFERROR(__xludf.DUMMYFUNCTION("""COMPUTED_VALUE"""),"Cartel PVC información general teléfono 300x100 mm")</f>
        <v>Cartel PVC información general teléfono 300x100 mm</v>
      </c>
      <c r="C992" s="4">
        <f>IFERROR(__xludf.DUMMYFUNCTION("""COMPUTED_VALUE"""),1.85)</f>
        <v>1.85</v>
      </c>
      <c r="D992" s="4"/>
      <c r="E992" s="4" t="str">
        <f>IFERROR(__xludf.DUMMYFUNCTION("""COMPUTED_VALUE"""),"Sin precio neto")</f>
        <v>Sin precio neto</v>
      </c>
    </row>
    <row r="993">
      <c r="A993" s="4" t="str">
        <f>IFERROR(__xludf.DUMMYFUNCTION("""COMPUTED_VALUE"""),"852")</f>
        <v>852</v>
      </c>
      <c r="B993" s="4" t="str">
        <f>IFERROR(__xludf.DUMMYFUNCTION("""COMPUTED_VALUE"""),"Adhesivo información general guardarropa 200x60 mm")</f>
        <v>Adhesivo información general guardarropa 200x60 mm</v>
      </c>
      <c r="C993" s="4">
        <f>IFERROR(__xludf.DUMMYFUNCTION("""COMPUTED_VALUE"""),1.1)</f>
        <v>1.1</v>
      </c>
      <c r="D993" s="4"/>
      <c r="E993" s="4" t="str">
        <f>IFERROR(__xludf.DUMMYFUNCTION("""COMPUTED_VALUE"""),"Sin precio neto")</f>
        <v>Sin precio neto</v>
      </c>
    </row>
    <row r="994">
      <c r="A994" s="4" t="str">
        <f>IFERROR(__xludf.DUMMYFUNCTION("""COMPUTED_VALUE"""),"0852A")</f>
        <v>0852A</v>
      </c>
      <c r="B994" s="4" t="str">
        <f>IFERROR(__xludf.DUMMYFUNCTION("""COMPUTED_VALUE"""),"Adhesivo información general guardarropa 300x100 mm")</f>
        <v>Adhesivo información general guardarropa 300x100 mm</v>
      </c>
      <c r="C994" s="4">
        <f>IFERROR(__xludf.DUMMYFUNCTION("""COMPUTED_VALUE"""),1.6)</f>
        <v>1.6</v>
      </c>
      <c r="D994" s="4"/>
      <c r="E994" s="4" t="str">
        <f>IFERROR(__xludf.DUMMYFUNCTION("""COMPUTED_VALUE"""),"Sin precio neto")</f>
        <v>Sin precio neto</v>
      </c>
    </row>
    <row r="995">
      <c r="A995" s="4" t="str">
        <f>IFERROR(__xludf.DUMMYFUNCTION("""COMPUTED_VALUE"""),"0852C")</f>
        <v>0852C</v>
      </c>
      <c r="B995" s="4" t="str">
        <f>IFERROR(__xludf.DUMMYFUNCTION("""COMPUTED_VALUE"""),"Cartel PVC información general Guardarropa 300x100 mm")</f>
        <v>Cartel PVC información general Guardarropa 300x100 mm</v>
      </c>
      <c r="C995" s="4">
        <f>IFERROR(__xludf.DUMMYFUNCTION("""COMPUTED_VALUE"""),1.85)</f>
        <v>1.85</v>
      </c>
      <c r="D995" s="4"/>
      <c r="E995" s="4" t="str">
        <f>IFERROR(__xludf.DUMMYFUNCTION("""COMPUTED_VALUE"""),"Sin precio neto")</f>
        <v>Sin precio neto</v>
      </c>
    </row>
    <row r="996">
      <c r="A996" s="4" t="str">
        <f>IFERROR(__xludf.DUMMYFUNCTION("""COMPUTED_VALUE"""),"853")</f>
        <v>853</v>
      </c>
      <c r="B996" s="4" t="str">
        <f>IFERROR(__xludf.DUMMYFUNCTION("""COMPUTED_VALUE"""),"Adhesivo información general restaurante 200x60 mm")</f>
        <v>Adhesivo información general restaurante 200x60 mm</v>
      </c>
      <c r="C996" s="4">
        <f>IFERROR(__xludf.DUMMYFUNCTION("""COMPUTED_VALUE"""),1.1)</f>
        <v>1.1</v>
      </c>
      <c r="D996" s="4"/>
      <c r="E996" s="4" t="str">
        <f>IFERROR(__xludf.DUMMYFUNCTION("""COMPUTED_VALUE"""),"Sin precio neto")</f>
        <v>Sin precio neto</v>
      </c>
    </row>
    <row r="997">
      <c r="A997" s="4" t="str">
        <f>IFERROR(__xludf.DUMMYFUNCTION("""COMPUTED_VALUE"""),"0853A")</f>
        <v>0853A</v>
      </c>
      <c r="B997" s="4" t="str">
        <f>IFERROR(__xludf.DUMMYFUNCTION("""COMPUTED_VALUE"""),"Adhesivo información general restaurante 300x100 mm")</f>
        <v>Adhesivo información general restaurante 300x100 mm</v>
      </c>
      <c r="C997" s="4">
        <f>IFERROR(__xludf.DUMMYFUNCTION("""COMPUTED_VALUE"""),1.6)</f>
        <v>1.6</v>
      </c>
      <c r="D997" s="4"/>
      <c r="E997" s="4" t="str">
        <f>IFERROR(__xludf.DUMMYFUNCTION("""COMPUTED_VALUE"""),"Sin precio neto")</f>
        <v>Sin precio neto</v>
      </c>
    </row>
    <row r="998">
      <c r="A998" s="4" t="str">
        <f>IFERROR(__xludf.DUMMYFUNCTION("""COMPUTED_VALUE"""),"0853C")</f>
        <v>0853C</v>
      </c>
      <c r="B998" s="4" t="str">
        <f>IFERROR(__xludf.DUMMYFUNCTION("""COMPUTED_VALUE"""),"Cartel PVC información general restaurantes 300x100 mm")</f>
        <v>Cartel PVC información general restaurantes 300x100 mm</v>
      </c>
      <c r="C998" s="4">
        <f>IFERROR(__xludf.DUMMYFUNCTION("""COMPUTED_VALUE"""),1.85)</f>
        <v>1.85</v>
      </c>
      <c r="D998" s="4"/>
      <c r="E998" s="4" t="str">
        <f>IFERROR(__xludf.DUMMYFUNCTION("""COMPUTED_VALUE"""),"Sin precio neto")</f>
        <v>Sin precio neto</v>
      </c>
    </row>
    <row r="999">
      <c r="A999" s="4" t="str">
        <f>IFERROR(__xludf.DUMMYFUNCTION("""COMPUTED_VALUE"""),"854")</f>
        <v>854</v>
      </c>
      <c r="B999" s="4" t="str">
        <f>IFERROR(__xludf.DUMMYFUNCTION("""COMPUTED_VALUE"""),"Adhesivo información general cuarto limpieza 200x60 mm")</f>
        <v>Adhesivo información general cuarto limpieza 200x60 mm</v>
      </c>
      <c r="C999" s="4">
        <f>IFERROR(__xludf.DUMMYFUNCTION("""COMPUTED_VALUE"""),1.1)</f>
        <v>1.1</v>
      </c>
      <c r="D999" s="4"/>
      <c r="E999" s="4" t="str">
        <f>IFERROR(__xludf.DUMMYFUNCTION("""COMPUTED_VALUE"""),"Sin precio neto")</f>
        <v>Sin precio neto</v>
      </c>
    </row>
    <row r="1000">
      <c r="A1000" s="4" t="str">
        <f>IFERROR(__xludf.DUMMYFUNCTION("""COMPUTED_VALUE"""),"0854A")</f>
        <v>0854A</v>
      </c>
      <c r="B1000" s="4" t="str">
        <f>IFERROR(__xludf.DUMMYFUNCTION("""COMPUTED_VALUE"""),"Adhesivo información general cuarto limpieza 300x100 mm")</f>
        <v>Adhesivo información general cuarto limpieza 300x100 mm</v>
      </c>
      <c r="C1000" s="4">
        <f>IFERROR(__xludf.DUMMYFUNCTION("""COMPUTED_VALUE"""),1.6)</f>
        <v>1.6</v>
      </c>
      <c r="D1000" s="4"/>
      <c r="E1000" s="4" t="str">
        <f>IFERROR(__xludf.DUMMYFUNCTION("""COMPUTED_VALUE"""),"Sin precio neto")</f>
        <v>Sin precio neto</v>
      </c>
    </row>
    <row r="1001">
      <c r="A1001" s="4" t="str">
        <f>IFERROR(__xludf.DUMMYFUNCTION("""COMPUTED_VALUE"""),"0854C")</f>
        <v>0854C</v>
      </c>
      <c r="B1001" s="4" t="str">
        <f>IFERROR(__xludf.DUMMYFUNCTION("""COMPUTED_VALUE"""),"Cartel PVC información general cuarto limpieza 300x100 mm")</f>
        <v>Cartel PVC información general cuarto limpieza 300x100 mm</v>
      </c>
      <c r="C1001" s="4">
        <f>IFERROR(__xludf.DUMMYFUNCTION("""COMPUTED_VALUE"""),1.85)</f>
        <v>1.85</v>
      </c>
      <c r="D1001" s="4"/>
      <c r="E1001" s="4" t="str">
        <f>IFERROR(__xludf.DUMMYFUNCTION("""COMPUTED_VALUE"""),"Sin precio neto")</f>
        <v>Sin precio neto</v>
      </c>
    </row>
    <row r="1002">
      <c r="A1002" s="4" t="str">
        <f>IFERROR(__xludf.DUMMYFUNCTION("""COMPUTED_VALUE"""),"855")</f>
        <v>855</v>
      </c>
      <c r="B1002" s="4" t="str">
        <f>IFERROR(__xludf.DUMMYFUNCTION("""COMPUTED_VALUE"""),"Adhesivo información general almacen 200x60 mm")</f>
        <v>Adhesivo información general almacen 200x60 mm</v>
      </c>
      <c r="C1002" s="4">
        <f>IFERROR(__xludf.DUMMYFUNCTION("""COMPUTED_VALUE"""),1.1)</f>
        <v>1.1</v>
      </c>
      <c r="D1002" s="4"/>
      <c r="E1002" s="4" t="str">
        <f>IFERROR(__xludf.DUMMYFUNCTION("""COMPUTED_VALUE"""),"Sin precio neto")</f>
        <v>Sin precio neto</v>
      </c>
    </row>
    <row r="1003">
      <c r="A1003" s="4" t="str">
        <f>IFERROR(__xludf.DUMMYFUNCTION("""COMPUTED_VALUE"""),"0855A")</f>
        <v>0855A</v>
      </c>
      <c r="B1003" s="4" t="str">
        <f>IFERROR(__xludf.DUMMYFUNCTION("""COMPUTED_VALUE"""),"Adhesivo información general almacen 300x100 mm")</f>
        <v>Adhesivo información general almacen 300x100 mm</v>
      </c>
      <c r="C1003" s="4">
        <f>IFERROR(__xludf.DUMMYFUNCTION("""COMPUTED_VALUE"""),1.6)</f>
        <v>1.6</v>
      </c>
      <c r="D1003" s="4"/>
      <c r="E1003" s="4" t="str">
        <f>IFERROR(__xludf.DUMMYFUNCTION("""COMPUTED_VALUE"""),"Sin precio neto")</f>
        <v>Sin precio neto</v>
      </c>
    </row>
    <row r="1004">
      <c r="A1004" s="4" t="str">
        <f>IFERROR(__xludf.DUMMYFUNCTION("""COMPUTED_VALUE"""),"0855C")</f>
        <v>0855C</v>
      </c>
      <c r="B1004" s="4" t="str">
        <f>IFERROR(__xludf.DUMMYFUNCTION("""COMPUTED_VALUE"""),"Cartel PVC información general almacén 300x100 mm")</f>
        <v>Cartel PVC información general almacén 300x100 mm</v>
      </c>
      <c r="C1004" s="4">
        <f>IFERROR(__xludf.DUMMYFUNCTION("""COMPUTED_VALUE"""),1.85)</f>
        <v>1.85</v>
      </c>
      <c r="D1004" s="4"/>
      <c r="E1004" s="4" t="str">
        <f>IFERROR(__xludf.DUMMYFUNCTION("""COMPUTED_VALUE"""),"Sin precio neto")</f>
        <v>Sin precio neto</v>
      </c>
    </row>
    <row r="1005">
      <c r="A1005" s="4" t="str">
        <f>IFERROR(__xludf.DUMMYFUNCTION("""COMPUTED_VALUE"""),"856")</f>
        <v>856</v>
      </c>
      <c r="B1005" s="4" t="str">
        <f>IFERROR(__xludf.DUMMYFUNCTION("""COMPUTED_VALUE"""),"Adhesivo información general oficina 200x60 mm")</f>
        <v>Adhesivo información general oficina 200x60 mm</v>
      </c>
      <c r="C1005" s="4">
        <f>IFERROR(__xludf.DUMMYFUNCTION("""COMPUTED_VALUE"""),1.1)</f>
        <v>1.1</v>
      </c>
      <c r="D1005" s="4"/>
      <c r="E1005" s="4" t="str">
        <f>IFERROR(__xludf.DUMMYFUNCTION("""COMPUTED_VALUE"""),"Sin precio neto")</f>
        <v>Sin precio neto</v>
      </c>
    </row>
    <row r="1006">
      <c r="A1006" s="4" t="str">
        <f>IFERROR(__xludf.DUMMYFUNCTION("""COMPUTED_VALUE"""),"0856A")</f>
        <v>0856A</v>
      </c>
      <c r="B1006" s="4" t="str">
        <f>IFERROR(__xludf.DUMMYFUNCTION("""COMPUTED_VALUE"""),"Adhesivo información general oficina 300x100 mm")</f>
        <v>Adhesivo información general oficina 300x100 mm</v>
      </c>
      <c r="C1006" s="4">
        <f>IFERROR(__xludf.DUMMYFUNCTION("""COMPUTED_VALUE"""),1.6)</f>
        <v>1.6</v>
      </c>
      <c r="D1006" s="4"/>
      <c r="E1006" s="4" t="str">
        <f>IFERROR(__xludf.DUMMYFUNCTION("""COMPUTED_VALUE"""),"Sin precio neto")</f>
        <v>Sin precio neto</v>
      </c>
    </row>
    <row r="1007">
      <c r="A1007" s="4" t="str">
        <f>IFERROR(__xludf.DUMMYFUNCTION("""COMPUTED_VALUE"""),"0856C")</f>
        <v>0856C</v>
      </c>
      <c r="B1007" s="4" t="str">
        <f>IFERROR(__xludf.DUMMYFUNCTION("""COMPUTED_VALUE"""),"Cartel PVC información general oficina 300x100 mm")</f>
        <v>Cartel PVC información general oficina 300x100 mm</v>
      </c>
      <c r="C1007" s="4">
        <f>IFERROR(__xludf.DUMMYFUNCTION("""COMPUTED_VALUE"""),1.85)</f>
        <v>1.85</v>
      </c>
      <c r="D1007" s="4"/>
      <c r="E1007" s="4" t="str">
        <f>IFERROR(__xludf.DUMMYFUNCTION("""COMPUTED_VALUE"""),"Sin precio neto")</f>
        <v>Sin precio neto</v>
      </c>
    </row>
    <row r="1008">
      <c r="A1008" s="4" t="str">
        <f>IFERROR(__xludf.DUMMYFUNCTION("""COMPUTED_VALUE"""),"857")</f>
        <v>857</v>
      </c>
      <c r="B1008" s="4" t="str">
        <f>IFERROR(__xludf.DUMMYFUNCTION("""COMPUTED_VALUE"""),"Adhesivo información general entrada 200x60mm")</f>
        <v>Adhesivo información general entrada 200x60mm</v>
      </c>
      <c r="C1008" s="4">
        <f>IFERROR(__xludf.DUMMYFUNCTION("""COMPUTED_VALUE"""),1.1)</f>
        <v>1.1</v>
      </c>
      <c r="D1008" s="4"/>
      <c r="E1008" s="4" t="str">
        <f>IFERROR(__xludf.DUMMYFUNCTION("""COMPUTED_VALUE"""),"Sin precio neto")</f>
        <v>Sin precio neto</v>
      </c>
    </row>
    <row r="1009">
      <c r="A1009" s="4" t="str">
        <f>IFERROR(__xludf.DUMMYFUNCTION("""COMPUTED_VALUE"""),"0857A")</f>
        <v>0857A</v>
      </c>
      <c r="B1009" s="4" t="str">
        <f>IFERROR(__xludf.DUMMYFUNCTION("""COMPUTED_VALUE"""),"Adhesivo información general entrada 300x100mm")</f>
        <v>Adhesivo información general entrada 300x100mm</v>
      </c>
      <c r="C1009" s="4">
        <f>IFERROR(__xludf.DUMMYFUNCTION("""COMPUTED_VALUE"""),1.6)</f>
        <v>1.6</v>
      </c>
      <c r="D1009" s="4"/>
      <c r="E1009" s="4" t="str">
        <f>IFERROR(__xludf.DUMMYFUNCTION("""COMPUTED_VALUE"""),"Sin precio neto")</f>
        <v>Sin precio neto</v>
      </c>
    </row>
    <row r="1010">
      <c r="A1010" s="4" t="str">
        <f>IFERROR(__xludf.DUMMYFUNCTION("""COMPUTED_VALUE"""),"0857C")</f>
        <v>0857C</v>
      </c>
      <c r="B1010" s="4" t="str">
        <f>IFERROR(__xludf.DUMMYFUNCTION("""COMPUTED_VALUE"""),"Cartel PVC información general entrada 300x100 mm")</f>
        <v>Cartel PVC información general entrada 300x100 mm</v>
      </c>
      <c r="C1010" s="4">
        <f>IFERROR(__xludf.DUMMYFUNCTION("""COMPUTED_VALUE"""),1.85)</f>
        <v>1.85</v>
      </c>
      <c r="D1010" s="4"/>
      <c r="E1010" s="4" t="str">
        <f>IFERROR(__xludf.DUMMYFUNCTION("""COMPUTED_VALUE"""),"Sin precio neto")</f>
        <v>Sin precio neto</v>
      </c>
    </row>
    <row r="1011">
      <c r="A1011" s="4" t="str">
        <f>IFERROR(__xludf.DUMMYFUNCTION("""COMPUTED_VALUE"""),"858")</f>
        <v>858</v>
      </c>
      <c r="B1011" s="4" t="str">
        <f>IFERROR(__xludf.DUMMYFUNCTION("""COMPUTED_VALUE"""),"Adhesivo información general cierre la puerta 200x60 mm")</f>
        <v>Adhesivo información general cierre la puerta 200x60 mm</v>
      </c>
      <c r="C1011" s="4">
        <f>IFERROR(__xludf.DUMMYFUNCTION("""COMPUTED_VALUE"""),1.1)</f>
        <v>1.1</v>
      </c>
      <c r="D1011" s="4"/>
      <c r="E1011" s="4" t="str">
        <f>IFERROR(__xludf.DUMMYFUNCTION("""COMPUTED_VALUE"""),"Sin precio neto")</f>
        <v>Sin precio neto</v>
      </c>
    </row>
    <row r="1012">
      <c r="A1012" s="4" t="str">
        <f>IFERROR(__xludf.DUMMYFUNCTION("""COMPUTED_VALUE"""),"0858A")</f>
        <v>0858A</v>
      </c>
      <c r="B1012" s="4" t="str">
        <f>IFERROR(__xludf.DUMMYFUNCTION("""COMPUTED_VALUE"""),"Adhesivo información general cierre la puerta 300x100 mm")</f>
        <v>Adhesivo información general cierre la puerta 300x100 mm</v>
      </c>
      <c r="C1012" s="4">
        <f>IFERROR(__xludf.DUMMYFUNCTION("""COMPUTED_VALUE"""),1.6)</f>
        <v>1.6</v>
      </c>
      <c r="D1012" s="4"/>
      <c r="E1012" s="4" t="str">
        <f>IFERROR(__xludf.DUMMYFUNCTION("""COMPUTED_VALUE"""),"Sin precio neto")</f>
        <v>Sin precio neto</v>
      </c>
    </row>
    <row r="1013">
      <c r="A1013" s="4" t="str">
        <f>IFERROR(__xludf.DUMMYFUNCTION("""COMPUTED_VALUE"""),"0858C")</f>
        <v>0858C</v>
      </c>
      <c r="B1013" s="4" t="str">
        <f>IFERROR(__xludf.DUMMYFUNCTION("""COMPUTED_VALUE"""),"Cartel PVC información general cierre la puerta 300x100 mm")</f>
        <v>Cartel PVC información general cierre la puerta 300x100 mm</v>
      </c>
      <c r="C1013" s="4">
        <f>IFERROR(__xludf.DUMMYFUNCTION("""COMPUTED_VALUE"""),1.85)</f>
        <v>1.85</v>
      </c>
      <c r="D1013" s="4"/>
      <c r="E1013" s="4" t="str">
        <f>IFERROR(__xludf.DUMMYFUNCTION("""COMPUTED_VALUE"""),"Sin precio neto")</f>
        <v>Sin precio neto</v>
      </c>
    </row>
    <row r="1014">
      <c r="A1014" s="4" t="str">
        <f>IFERROR(__xludf.DUMMYFUNCTION("""COMPUTED_VALUE"""),"859")</f>
        <v>859</v>
      </c>
      <c r="B1014" s="4" t="str">
        <f>IFERROR(__xludf.DUMMYFUNCTION("""COMPUTED_VALUE"""),"Adhesivo información general empujar 200x60 mm")</f>
        <v>Adhesivo información general empujar 200x60 mm</v>
      </c>
      <c r="C1014" s="4">
        <f>IFERROR(__xludf.DUMMYFUNCTION("""COMPUTED_VALUE"""),1.1)</f>
        <v>1.1</v>
      </c>
      <c r="D1014" s="4"/>
      <c r="E1014" s="4" t="str">
        <f>IFERROR(__xludf.DUMMYFUNCTION("""COMPUTED_VALUE"""),"Sin precio neto")</f>
        <v>Sin precio neto</v>
      </c>
    </row>
    <row r="1015">
      <c r="A1015" s="4" t="str">
        <f>IFERROR(__xludf.DUMMYFUNCTION("""COMPUTED_VALUE"""),"0859A")</f>
        <v>0859A</v>
      </c>
      <c r="B1015" s="4" t="str">
        <f>IFERROR(__xludf.DUMMYFUNCTION("""COMPUTED_VALUE"""),"Adhesivo información general empujar 300x100 mm")</f>
        <v>Adhesivo información general empujar 300x100 mm</v>
      </c>
      <c r="C1015" s="4">
        <f>IFERROR(__xludf.DUMMYFUNCTION("""COMPUTED_VALUE"""),1.6)</f>
        <v>1.6</v>
      </c>
      <c r="D1015" s="4"/>
      <c r="E1015" s="4" t="str">
        <f>IFERROR(__xludf.DUMMYFUNCTION("""COMPUTED_VALUE"""),"Sin precio neto")</f>
        <v>Sin precio neto</v>
      </c>
    </row>
    <row r="1016">
      <c r="A1016" s="4" t="str">
        <f>IFERROR(__xludf.DUMMYFUNCTION("""COMPUTED_VALUE"""),"0859C")</f>
        <v>0859C</v>
      </c>
      <c r="B1016" s="4" t="str">
        <f>IFERROR(__xludf.DUMMYFUNCTION("""COMPUTED_VALUE"""),"Cartel PVC información general empujar 300x100 mm")</f>
        <v>Cartel PVC información general empujar 300x100 mm</v>
      </c>
      <c r="C1016" s="4">
        <f>IFERROR(__xludf.DUMMYFUNCTION("""COMPUTED_VALUE"""),1.85)</f>
        <v>1.85</v>
      </c>
      <c r="D1016" s="4"/>
      <c r="E1016" s="4" t="str">
        <f>IFERROR(__xludf.DUMMYFUNCTION("""COMPUTED_VALUE"""),"Sin precio neto")</f>
        <v>Sin precio neto</v>
      </c>
    </row>
    <row r="1017">
      <c r="A1017" s="4" t="str">
        <f>IFERROR(__xludf.DUMMYFUNCTION("""COMPUTED_VALUE"""),"860")</f>
        <v>860</v>
      </c>
      <c r="B1017" s="4" t="str">
        <f>IFERROR(__xludf.DUMMYFUNCTION("""COMPUTED_VALUE"""),"Adhesivo información general tirar 200x60 mm")</f>
        <v>Adhesivo información general tirar 200x60 mm</v>
      </c>
      <c r="C1017" s="4">
        <f>IFERROR(__xludf.DUMMYFUNCTION("""COMPUTED_VALUE"""),1.1)</f>
        <v>1.1</v>
      </c>
      <c r="D1017" s="4"/>
      <c r="E1017" s="4" t="str">
        <f>IFERROR(__xludf.DUMMYFUNCTION("""COMPUTED_VALUE"""),"Sin precio neto")</f>
        <v>Sin precio neto</v>
      </c>
    </row>
    <row r="1018">
      <c r="A1018" s="4" t="str">
        <f>IFERROR(__xludf.DUMMYFUNCTION("""COMPUTED_VALUE"""),"0860A")</f>
        <v>0860A</v>
      </c>
      <c r="B1018" s="4" t="str">
        <f>IFERROR(__xludf.DUMMYFUNCTION("""COMPUTED_VALUE"""),"Adhesivo información general tirar 300x100 mm")</f>
        <v>Adhesivo información general tirar 300x100 mm</v>
      </c>
      <c r="C1018" s="4">
        <f>IFERROR(__xludf.DUMMYFUNCTION("""COMPUTED_VALUE"""),1.6)</f>
        <v>1.6</v>
      </c>
      <c r="D1018" s="4"/>
      <c r="E1018" s="4" t="str">
        <f>IFERROR(__xludf.DUMMYFUNCTION("""COMPUTED_VALUE"""),"Sin precio neto")</f>
        <v>Sin precio neto</v>
      </c>
    </row>
    <row r="1019">
      <c r="A1019" s="4" t="str">
        <f>IFERROR(__xludf.DUMMYFUNCTION("""COMPUTED_VALUE"""),"0860C")</f>
        <v>0860C</v>
      </c>
      <c r="B1019" s="4" t="str">
        <f>IFERROR(__xludf.DUMMYFUNCTION("""COMPUTED_VALUE"""),"Cartel PVC información general tirar 300x100 mm")</f>
        <v>Cartel PVC información general tirar 300x100 mm</v>
      </c>
      <c r="C1019" s="4">
        <f>IFERROR(__xludf.DUMMYFUNCTION("""COMPUTED_VALUE"""),1.85)</f>
        <v>1.85</v>
      </c>
      <c r="D1019" s="4"/>
      <c r="E1019" s="4" t="str">
        <f>IFERROR(__xludf.DUMMYFUNCTION("""COMPUTED_VALUE"""),"Sin precio neto")</f>
        <v>Sin precio neto</v>
      </c>
    </row>
    <row r="1020">
      <c r="A1020" s="4" t="str">
        <f>IFERROR(__xludf.DUMMYFUNCTION("""COMPUTED_VALUE"""),"861")</f>
        <v>861</v>
      </c>
      <c r="B1020" s="4" t="str">
        <f>IFERROR(__xludf.DUMMYFUNCTION("""COMPUTED_VALUE"""),"Cartel PVC 40x30 reciclado vidrio")</f>
        <v>Cartel PVC 40x30 reciclado vidrio</v>
      </c>
      <c r="C1020" s="4">
        <f>IFERROR(__xludf.DUMMYFUNCTION("""COMPUTED_VALUE"""),2.48)</f>
        <v>2.48</v>
      </c>
      <c r="D1020" s="4">
        <f>IFERROR(__xludf.DUMMYFUNCTION("""COMPUTED_VALUE"""),1.8)</f>
        <v>1.8</v>
      </c>
      <c r="E1020" s="4" t="str">
        <f>IFERROR(__xludf.DUMMYFUNCTION("""COMPUTED_VALUE"""),"Neto: 1,80 € (a partir de 1 uds.)")</f>
        <v>Neto: 1,80 € (a partir de 1 uds.)</v>
      </c>
    </row>
    <row r="1021">
      <c r="A1021" s="4" t="str">
        <f>IFERROR(__xludf.DUMMYFUNCTION("""COMPUTED_VALUE"""),"0861A")</f>
        <v>0861A</v>
      </c>
      <c r="B1021" s="4" t="str">
        <f>IFERROR(__xludf.DUMMYFUNCTION("""COMPUTED_VALUE"""),"Adhesivo PVC 21x29 reciclado vidrio")</f>
        <v>Adhesivo PVC 21x29 reciclado vidrio</v>
      </c>
      <c r="C1021" s="4">
        <f>IFERROR(__xludf.DUMMYFUNCTION("""COMPUTED_VALUE"""),1.25)</f>
        <v>1.25</v>
      </c>
      <c r="D1021" s="4"/>
      <c r="E1021" s="4" t="str">
        <f>IFERROR(__xludf.DUMMYFUNCTION("""COMPUTED_VALUE"""),"Sin precio neto")</f>
        <v>Sin precio neto</v>
      </c>
    </row>
    <row r="1022">
      <c r="A1022" s="4" t="str">
        <f>IFERROR(__xludf.DUMMYFUNCTION("""COMPUTED_VALUE"""),"0861P")</f>
        <v>0861P</v>
      </c>
      <c r="B1022" s="4" t="str">
        <f>IFERROR(__xludf.DUMMYFUNCTION("""COMPUTED_VALUE"""),"Cartel PVC 21x29 reciclado vidrio")</f>
        <v>Cartel PVC 21x29 reciclado vidrio</v>
      </c>
      <c r="C1022" s="4">
        <f>IFERROR(__xludf.DUMMYFUNCTION("""COMPUTED_VALUE"""),1.6)</f>
        <v>1.6</v>
      </c>
      <c r="D1022" s="4">
        <f>IFERROR(__xludf.DUMMYFUNCTION("""COMPUTED_VALUE"""),1.2)</f>
        <v>1.2</v>
      </c>
      <c r="E1022" s="4" t="str">
        <f>IFERROR(__xludf.DUMMYFUNCTION("""COMPUTED_VALUE"""),"Neto: 1,20 € (a partir de 1 uds.)")</f>
        <v>Neto: 1,20 € (a partir de 1 uds.)</v>
      </c>
    </row>
    <row r="1023">
      <c r="A1023" s="4" t="str">
        <f>IFERROR(__xludf.DUMMYFUNCTION("""COMPUTED_VALUE"""),"862")</f>
        <v>862</v>
      </c>
      <c r="B1023" s="4" t="str">
        <f>IFERROR(__xludf.DUMMYFUNCTION("""COMPUTED_VALUE"""),"Cartel PVC 40x30 reciclado plástico")</f>
        <v>Cartel PVC 40x30 reciclado plástico</v>
      </c>
      <c r="C1023" s="4">
        <f>IFERROR(__xludf.DUMMYFUNCTION("""COMPUTED_VALUE"""),2.48)</f>
        <v>2.48</v>
      </c>
      <c r="D1023" s="4">
        <f>IFERROR(__xludf.DUMMYFUNCTION("""COMPUTED_VALUE"""),1.8)</f>
        <v>1.8</v>
      </c>
      <c r="E1023" s="4" t="str">
        <f>IFERROR(__xludf.DUMMYFUNCTION("""COMPUTED_VALUE"""),"Neto: 1,80 € (a partir de 1 uds.)")</f>
        <v>Neto: 1,80 € (a partir de 1 uds.)</v>
      </c>
    </row>
    <row r="1024">
      <c r="A1024" s="4" t="str">
        <f>IFERROR(__xludf.DUMMYFUNCTION("""COMPUTED_VALUE"""),"0862A")</f>
        <v>0862A</v>
      </c>
      <c r="B1024" s="4" t="str">
        <f>IFERROR(__xludf.DUMMYFUNCTION("""COMPUTED_VALUE"""),"Adhesivo PVC 21x29 reciclado plástico")</f>
        <v>Adhesivo PVC 21x29 reciclado plástico</v>
      </c>
      <c r="C1024" s="4">
        <f>IFERROR(__xludf.DUMMYFUNCTION("""COMPUTED_VALUE"""),1.25)</f>
        <v>1.25</v>
      </c>
      <c r="D1024" s="4"/>
      <c r="E1024" s="4" t="str">
        <f>IFERROR(__xludf.DUMMYFUNCTION("""COMPUTED_VALUE"""),"Sin precio neto")</f>
        <v>Sin precio neto</v>
      </c>
    </row>
    <row r="1025">
      <c r="A1025" s="4" t="str">
        <f>IFERROR(__xludf.DUMMYFUNCTION("""COMPUTED_VALUE"""),"0862P")</f>
        <v>0862P</v>
      </c>
      <c r="B1025" s="4" t="str">
        <f>IFERROR(__xludf.DUMMYFUNCTION("""COMPUTED_VALUE"""),"Cartel PVC 21x29 reciclado plástico")</f>
        <v>Cartel PVC 21x29 reciclado plástico</v>
      </c>
      <c r="C1025" s="4">
        <f>IFERROR(__xludf.DUMMYFUNCTION("""COMPUTED_VALUE"""),1.6)</f>
        <v>1.6</v>
      </c>
      <c r="D1025" s="4">
        <f>IFERROR(__xludf.DUMMYFUNCTION("""COMPUTED_VALUE"""),1.2)</f>
        <v>1.2</v>
      </c>
      <c r="E1025" s="4" t="str">
        <f>IFERROR(__xludf.DUMMYFUNCTION("""COMPUTED_VALUE"""),"Neto: 1,20 € (a partir de 1 uds.)")</f>
        <v>Neto: 1,20 € (a partir de 1 uds.)</v>
      </c>
    </row>
    <row r="1026">
      <c r="A1026" s="4" t="str">
        <f>IFERROR(__xludf.DUMMYFUNCTION("""COMPUTED_VALUE"""),"863")</f>
        <v>863</v>
      </c>
      <c r="B1026" s="4" t="str">
        <f>IFERROR(__xludf.DUMMYFUNCTION("""COMPUTED_VALUE"""),"Cartel PVC 40x30 reciclado metal")</f>
        <v>Cartel PVC 40x30 reciclado metal</v>
      </c>
      <c r="C1026" s="4">
        <f>IFERROR(__xludf.DUMMYFUNCTION("""COMPUTED_VALUE"""),2.48)</f>
        <v>2.48</v>
      </c>
      <c r="D1026" s="4">
        <f>IFERROR(__xludf.DUMMYFUNCTION("""COMPUTED_VALUE"""),1.8)</f>
        <v>1.8</v>
      </c>
      <c r="E1026" s="4" t="str">
        <f>IFERROR(__xludf.DUMMYFUNCTION("""COMPUTED_VALUE"""),"Neto: 1,80 € (a partir de 1 uds.)")</f>
        <v>Neto: 1,80 € (a partir de 1 uds.)</v>
      </c>
    </row>
    <row r="1027">
      <c r="A1027" s="4" t="str">
        <f>IFERROR(__xludf.DUMMYFUNCTION("""COMPUTED_VALUE"""),"0863A")</f>
        <v>0863A</v>
      </c>
      <c r="B1027" s="4" t="str">
        <f>IFERROR(__xludf.DUMMYFUNCTION("""COMPUTED_VALUE"""),"Adhesivo PVC 21x29 reciclado metal")</f>
        <v>Adhesivo PVC 21x29 reciclado metal</v>
      </c>
      <c r="C1027" s="4">
        <f>IFERROR(__xludf.DUMMYFUNCTION("""COMPUTED_VALUE"""),1.25)</f>
        <v>1.25</v>
      </c>
      <c r="D1027" s="4"/>
      <c r="E1027" s="4" t="str">
        <f>IFERROR(__xludf.DUMMYFUNCTION("""COMPUTED_VALUE"""),"Sin precio neto")</f>
        <v>Sin precio neto</v>
      </c>
    </row>
    <row r="1028">
      <c r="A1028" s="4" t="str">
        <f>IFERROR(__xludf.DUMMYFUNCTION("""COMPUTED_VALUE"""),"0863P")</f>
        <v>0863P</v>
      </c>
      <c r="B1028" s="4" t="str">
        <f>IFERROR(__xludf.DUMMYFUNCTION("""COMPUTED_VALUE"""),"Cartel PVC 21x29 reciclado metal")</f>
        <v>Cartel PVC 21x29 reciclado metal</v>
      </c>
      <c r="C1028" s="4">
        <f>IFERROR(__xludf.DUMMYFUNCTION("""COMPUTED_VALUE"""),1.6)</f>
        <v>1.6</v>
      </c>
      <c r="D1028" s="4">
        <f>IFERROR(__xludf.DUMMYFUNCTION("""COMPUTED_VALUE"""),1.2)</f>
        <v>1.2</v>
      </c>
      <c r="E1028" s="4" t="str">
        <f>IFERROR(__xludf.DUMMYFUNCTION("""COMPUTED_VALUE"""),"Neto: 1,20 € (a partir de 1 uds.)")</f>
        <v>Neto: 1,20 € (a partir de 1 uds.)</v>
      </c>
    </row>
    <row r="1029">
      <c r="A1029" s="4" t="str">
        <f>IFERROR(__xludf.DUMMYFUNCTION("""COMPUTED_VALUE"""),"864")</f>
        <v>864</v>
      </c>
      <c r="B1029" s="4" t="str">
        <f>IFERROR(__xludf.DUMMYFUNCTION("""COMPUTED_VALUE"""),"Cartel PVC 40x30 reciclado madera")</f>
        <v>Cartel PVC 40x30 reciclado madera</v>
      </c>
      <c r="C1029" s="4">
        <f>IFERROR(__xludf.DUMMYFUNCTION("""COMPUTED_VALUE"""),2.48)</f>
        <v>2.48</v>
      </c>
      <c r="D1029" s="4">
        <f>IFERROR(__xludf.DUMMYFUNCTION("""COMPUTED_VALUE"""),1.8)</f>
        <v>1.8</v>
      </c>
      <c r="E1029" s="4" t="str">
        <f>IFERROR(__xludf.DUMMYFUNCTION("""COMPUTED_VALUE"""),"Neto: 1,80 € (a partir de 1 uds.)")</f>
        <v>Neto: 1,80 € (a partir de 1 uds.)</v>
      </c>
    </row>
    <row r="1030">
      <c r="A1030" s="4" t="str">
        <f>IFERROR(__xludf.DUMMYFUNCTION("""COMPUTED_VALUE"""),"0864A")</f>
        <v>0864A</v>
      </c>
      <c r="B1030" s="4" t="str">
        <f>IFERROR(__xludf.DUMMYFUNCTION("""COMPUTED_VALUE"""),"Adhesivo PVC 21x29 reciclado madera")</f>
        <v>Adhesivo PVC 21x29 reciclado madera</v>
      </c>
      <c r="C1030" s="4">
        <f>IFERROR(__xludf.DUMMYFUNCTION("""COMPUTED_VALUE"""),1.25)</f>
        <v>1.25</v>
      </c>
      <c r="D1030" s="4"/>
      <c r="E1030" s="4" t="str">
        <f>IFERROR(__xludf.DUMMYFUNCTION("""COMPUTED_VALUE"""),"Sin precio neto")</f>
        <v>Sin precio neto</v>
      </c>
    </row>
    <row r="1031">
      <c r="A1031" s="4" t="str">
        <f>IFERROR(__xludf.DUMMYFUNCTION("""COMPUTED_VALUE"""),"0864P")</f>
        <v>0864P</v>
      </c>
      <c r="B1031" s="4" t="str">
        <f>IFERROR(__xludf.DUMMYFUNCTION("""COMPUTED_VALUE"""),"Cartel PVC 21x29 reciclado madera")</f>
        <v>Cartel PVC 21x29 reciclado madera</v>
      </c>
      <c r="C1031" s="4">
        <f>IFERROR(__xludf.DUMMYFUNCTION("""COMPUTED_VALUE"""),1.6)</f>
        <v>1.6</v>
      </c>
      <c r="D1031" s="4">
        <f>IFERROR(__xludf.DUMMYFUNCTION("""COMPUTED_VALUE"""),1.2)</f>
        <v>1.2</v>
      </c>
      <c r="E1031" s="4" t="str">
        <f>IFERROR(__xludf.DUMMYFUNCTION("""COMPUTED_VALUE"""),"Neto: 1,20 € (a partir de 1 uds.)")</f>
        <v>Neto: 1,20 € (a partir de 1 uds.)</v>
      </c>
    </row>
    <row r="1032">
      <c r="A1032" s="4" t="str">
        <f>IFERROR(__xludf.DUMMYFUNCTION("""COMPUTED_VALUE"""),"865")</f>
        <v>865</v>
      </c>
      <c r="B1032" s="4" t="str">
        <f>IFERROR(__xludf.DUMMYFUNCTION("""COMPUTED_VALUE"""),"Cartel PVC 40x30 reciclado aluminio")</f>
        <v>Cartel PVC 40x30 reciclado aluminio</v>
      </c>
      <c r="C1032" s="4">
        <f>IFERROR(__xludf.DUMMYFUNCTION("""COMPUTED_VALUE"""),2.48)</f>
        <v>2.48</v>
      </c>
      <c r="D1032" s="4">
        <f>IFERROR(__xludf.DUMMYFUNCTION("""COMPUTED_VALUE"""),1.8)</f>
        <v>1.8</v>
      </c>
      <c r="E1032" s="4" t="str">
        <f>IFERROR(__xludf.DUMMYFUNCTION("""COMPUTED_VALUE"""),"Neto: 1,80 € (a partir de 1 uds.)")</f>
        <v>Neto: 1,80 € (a partir de 1 uds.)</v>
      </c>
    </row>
    <row r="1033">
      <c r="A1033" s="4" t="str">
        <f>IFERROR(__xludf.DUMMYFUNCTION("""COMPUTED_VALUE"""),"0865A")</f>
        <v>0865A</v>
      </c>
      <c r="B1033" s="4" t="str">
        <f>IFERROR(__xludf.DUMMYFUNCTION("""COMPUTED_VALUE"""),"Adhesivo PVC 21x29 reciclado aluminio")</f>
        <v>Adhesivo PVC 21x29 reciclado aluminio</v>
      </c>
      <c r="C1033" s="4">
        <f>IFERROR(__xludf.DUMMYFUNCTION("""COMPUTED_VALUE"""),1.25)</f>
        <v>1.25</v>
      </c>
      <c r="D1033" s="4"/>
      <c r="E1033" s="4" t="str">
        <f>IFERROR(__xludf.DUMMYFUNCTION("""COMPUTED_VALUE"""),"Sin precio neto")</f>
        <v>Sin precio neto</v>
      </c>
    </row>
    <row r="1034">
      <c r="A1034" s="4" t="str">
        <f>IFERROR(__xludf.DUMMYFUNCTION("""COMPUTED_VALUE"""),"0865P")</f>
        <v>0865P</v>
      </c>
      <c r="B1034" s="4" t="str">
        <f>IFERROR(__xludf.DUMMYFUNCTION("""COMPUTED_VALUE"""),"Cartel PVC 21x29 reciclado aluminio")</f>
        <v>Cartel PVC 21x29 reciclado aluminio</v>
      </c>
      <c r="C1034" s="4">
        <f>IFERROR(__xludf.DUMMYFUNCTION("""COMPUTED_VALUE"""),1.6)</f>
        <v>1.6</v>
      </c>
      <c r="D1034" s="4">
        <f>IFERROR(__xludf.DUMMYFUNCTION("""COMPUTED_VALUE"""),1.2)</f>
        <v>1.2</v>
      </c>
      <c r="E1034" s="4" t="str">
        <f>IFERROR(__xludf.DUMMYFUNCTION("""COMPUTED_VALUE"""),"Neto: 1,20 € (a partir de 1 uds.)")</f>
        <v>Neto: 1,20 € (a partir de 1 uds.)</v>
      </c>
    </row>
    <row r="1035">
      <c r="A1035" s="4" t="str">
        <f>IFERROR(__xludf.DUMMYFUNCTION("""COMPUTED_VALUE"""),"866")</f>
        <v>866</v>
      </c>
      <c r="B1035" s="4" t="str">
        <f>IFERROR(__xludf.DUMMYFUNCTION("""COMPUTED_VALUE"""),"Cartel PVC 40x30 reciclado papel")</f>
        <v>Cartel PVC 40x30 reciclado papel</v>
      </c>
      <c r="C1035" s="4">
        <f>IFERROR(__xludf.DUMMYFUNCTION("""COMPUTED_VALUE"""),2.48)</f>
        <v>2.48</v>
      </c>
      <c r="D1035" s="4">
        <f>IFERROR(__xludf.DUMMYFUNCTION("""COMPUTED_VALUE"""),1.8)</f>
        <v>1.8</v>
      </c>
      <c r="E1035" s="4" t="str">
        <f>IFERROR(__xludf.DUMMYFUNCTION("""COMPUTED_VALUE"""),"Neto: 1,80 € (a partir de 1 uds.)")</f>
        <v>Neto: 1,80 € (a partir de 1 uds.)</v>
      </c>
    </row>
    <row r="1036">
      <c r="A1036" s="4" t="str">
        <f>IFERROR(__xludf.DUMMYFUNCTION("""COMPUTED_VALUE"""),"0866A")</f>
        <v>0866A</v>
      </c>
      <c r="B1036" s="4" t="str">
        <f>IFERROR(__xludf.DUMMYFUNCTION("""COMPUTED_VALUE"""),"Adhesivo PVC 21x29 reciclado papel")</f>
        <v>Adhesivo PVC 21x29 reciclado papel</v>
      </c>
      <c r="C1036" s="4">
        <f>IFERROR(__xludf.DUMMYFUNCTION("""COMPUTED_VALUE"""),1.25)</f>
        <v>1.25</v>
      </c>
      <c r="D1036" s="4"/>
      <c r="E1036" s="4" t="str">
        <f>IFERROR(__xludf.DUMMYFUNCTION("""COMPUTED_VALUE"""),"Sin precio neto")</f>
        <v>Sin precio neto</v>
      </c>
    </row>
    <row r="1037">
      <c r="A1037" s="4" t="str">
        <f>IFERROR(__xludf.DUMMYFUNCTION("""COMPUTED_VALUE"""),"0866P")</f>
        <v>0866P</v>
      </c>
      <c r="B1037" s="4" t="str">
        <f>IFERROR(__xludf.DUMMYFUNCTION("""COMPUTED_VALUE"""),"Cartel PVC 21x29 reciclado papel")</f>
        <v>Cartel PVC 21x29 reciclado papel</v>
      </c>
      <c r="C1037" s="4">
        <f>IFERROR(__xludf.DUMMYFUNCTION("""COMPUTED_VALUE"""),1.6)</f>
        <v>1.6</v>
      </c>
      <c r="D1037" s="4">
        <f>IFERROR(__xludf.DUMMYFUNCTION("""COMPUTED_VALUE"""),1.2)</f>
        <v>1.2</v>
      </c>
      <c r="E1037" s="4" t="str">
        <f>IFERROR(__xludf.DUMMYFUNCTION("""COMPUTED_VALUE"""),"Neto: 1,20 € (a partir de 1 uds.)")</f>
        <v>Neto: 1,20 € (a partir de 1 uds.)</v>
      </c>
    </row>
    <row r="1038">
      <c r="A1038" s="4" t="str">
        <f>IFERROR(__xludf.DUMMYFUNCTION("""COMPUTED_VALUE"""),"867")</f>
        <v>867</v>
      </c>
      <c r="B1038" s="4" t="str">
        <f>IFERROR(__xludf.DUMMYFUNCTION("""COMPUTED_VALUE"""),"Cartel PVC 40x30 reciclado envases")</f>
        <v>Cartel PVC 40x30 reciclado envases</v>
      </c>
      <c r="C1038" s="4">
        <f>IFERROR(__xludf.DUMMYFUNCTION("""COMPUTED_VALUE"""),2.48)</f>
        <v>2.48</v>
      </c>
      <c r="D1038" s="4">
        <f>IFERROR(__xludf.DUMMYFUNCTION("""COMPUTED_VALUE"""),1.8)</f>
        <v>1.8</v>
      </c>
      <c r="E1038" s="4" t="str">
        <f>IFERROR(__xludf.DUMMYFUNCTION("""COMPUTED_VALUE"""),"Neto: 1,80 € (a partir de 1 uds.)")</f>
        <v>Neto: 1,80 € (a partir de 1 uds.)</v>
      </c>
    </row>
    <row r="1039">
      <c r="A1039" s="4" t="str">
        <f>IFERROR(__xludf.DUMMYFUNCTION("""COMPUTED_VALUE"""),"0867A")</f>
        <v>0867A</v>
      </c>
      <c r="B1039" s="4" t="str">
        <f>IFERROR(__xludf.DUMMYFUNCTION("""COMPUTED_VALUE"""),"Adhesivo PVC 21x29 reciclado envases")</f>
        <v>Adhesivo PVC 21x29 reciclado envases</v>
      </c>
      <c r="C1039" s="4">
        <f>IFERROR(__xludf.DUMMYFUNCTION("""COMPUTED_VALUE"""),1.25)</f>
        <v>1.25</v>
      </c>
      <c r="D1039" s="4"/>
      <c r="E1039" s="4" t="str">
        <f>IFERROR(__xludf.DUMMYFUNCTION("""COMPUTED_VALUE"""),"Sin precio neto")</f>
        <v>Sin precio neto</v>
      </c>
    </row>
    <row r="1040">
      <c r="A1040" s="4" t="str">
        <f>IFERROR(__xludf.DUMMYFUNCTION("""COMPUTED_VALUE"""),"0867P")</f>
        <v>0867P</v>
      </c>
      <c r="B1040" s="4" t="str">
        <f>IFERROR(__xludf.DUMMYFUNCTION("""COMPUTED_VALUE"""),"Cartel PVC 21x29 reciclado envases")</f>
        <v>Cartel PVC 21x29 reciclado envases</v>
      </c>
      <c r="C1040" s="4">
        <f>IFERROR(__xludf.DUMMYFUNCTION("""COMPUTED_VALUE"""),1.6)</f>
        <v>1.6</v>
      </c>
      <c r="D1040" s="4">
        <f>IFERROR(__xludf.DUMMYFUNCTION("""COMPUTED_VALUE"""),1.2)</f>
        <v>1.2</v>
      </c>
      <c r="E1040" s="4" t="str">
        <f>IFERROR(__xludf.DUMMYFUNCTION("""COMPUTED_VALUE"""),"Neto: 1,20 € (a partir de 1 uds.)")</f>
        <v>Neto: 1,20 € (a partir de 1 uds.)</v>
      </c>
    </row>
    <row r="1041">
      <c r="A1041" s="4" t="str">
        <f>IFERROR(__xludf.DUMMYFUNCTION("""COMPUTED_VALUE"""),"868")</f>
        <v>868</v>
      </c>
      <c r="B1041" s="4" t="str">
        <f>IFERROR(__xludf.DUMMYFUNCTION("""COMPUTED_VALUE"""),"Cartel PVC 40x30 reciclado latas")</f>
        <v>Cartel PVC 40x30 reciclado latas</v>
      </c>
      <c r="C1041" s="4">
        <f>IFERROR(__xludf.DUMMYFUNCTION("""COMPUTED_VALUE"""),2.48)</f>
        <v>2.48</v>
      </c>
      <c r="D1041" s="4">
        <f>IFERROR(__xludf.DUMMYFUNCTION("""COMPUTED_VALUE"""),1.8)</f>
        <v>1.8</v>
      </c>
      <c r="E1041" s="4" t="str">
        <f>IFERROR(__xludf.DUMMYFUNCTION("""COMPUTED_VALUE"""),"Neto: 1,80 € (a partir de 1 uds.)")</f>
        <v>Neto: 1,80 € (a partir de 1 uds.)</v>
      </c>
    </row>
    <row r="1042">
      <c r="A1042" s="4" t="str">
        <f>IFERROR(__xludf.DUMMYFUNCTION("""COMPUTED_VALUE"""),"0868A")</f>
        <v>0868A</v>
      </c>
      <c r="B1042" s="4" t="str">
        <f>IFERROR(__xludf.DUMMYFUNCTION("""COMPUTED_VALUE"""),"Adhesivo PVC 21x29 reciclado latas")</f>
        <v>Adhesivo PVC 21x29 reciclado latas</v>
      </c>
      <c r="C1042" s="4">
        <f>IFERROR(__xludf.DUMMYFUNCTION("""COMPUTED_VALUE"""),1.25)</f>
        <v>1.25</v>
      </c>
      <c r="D1042" s="4"/>
      <c r="E1042" s="4" t="str">
        <f>IFERROR(__xludf.DUMMYFUNCTION("""COMPUTED_VALUE"""),"Sin precio neto")</f>
        <v>Sin precio neto</v>
      </c>
    </row>
    <row r="1043">
      <c r="A1043" s="4" t="str">
        <f>IFERROR(__xludf.DUMMYFUNCTION("""COMPUTED_VALUE"""),"0868P")</f>
        <v>0868P</v>
      </c>
      <c r="B1043" s="4" t="str">
        <f>IFERROR(__xludf.DUMMYFUNCTION("""COMPUTED_VALUE"""),"Cartel PVC 21x29 reciclado latas")</f>
        <v>Cartel PVC 21x29 reciclado latas</v>
      </c>
      <c r="C1043" s="4">
        <f>IFERROR(__xludf.DUMMYFUNCTION("""COMPUTED_VALUE"""),1.6)</f>
        <v>1.6</v>
      </c>
      <c r="D1043" s="4">
        <f>IFERROR(__xludf.DUMMYFUNCTION("""COMPUTED_VALUE"""),1.2)</f>
        <v>1.2</v>
      </c>
      <c r="E1043" s="4" t="str">
        <f>IFERROR(__xludf.DUMMYFUNCTION("""COMPUTED_VALUE"""),"Neto: 1,20 € (a partir de 1 uds.)")</f>
        <v>Neto: 1,20 € (a partir de 1 uds.)</v>
      </c>
    </row>
    <row r="1044">
      <c r="A1044" s="4" t="str">
        <f>IFERROR(__xludf.DUMMYFUNCTION("""COMPUTED_VALUE"""),"869")</f>
        <v>869</v>
      </c>
      <c r="B1044" s="4" t="str">
        <f>IFERROR(__xludf.DUMMYFUNCTION("""COMPUTED_VALUE"""),"Cartel PVC 40x30 reciclado chatarra")</f>
        <v>Cartel PVC 40x30 reciclado chatarra</v>
      </c>
      <c r="C1044" s="4">
        <f>IFERROR(__xludf.DUMMYFUNCTION("""COMPUTED_VALUE"""),2.48)</f>
        <v>2.48</v>
      </c>
      <c r="D1044" s="4">
        <f>IFERROR(__xludf.DUMMYFUNCTION("""COMPUTED_VALUE"""),1.8)</f>
        <v>1.8</v>
      </c>
      <c r="E1044" s="4" t="str">
        <f>IFERROR(__xludf.DUMMYFUNCTION("""COMPUTED_VALUE"""),"Neto: 1,80 € (a partir de 1 uds.)")</f>
        <v>Neto: 1,80 € (a partir de 1 uds.)</v>
      </c>
    </row>
    <row r="1045">
      <c r="A1045" s="4" t="str">
        <f>IFERROR(__xludf.DUMMYFUNCTION("""COMPUTED_VALUE"""),"0869A")</f>
        <v>0869A</v>
      </c>
      <c r="B1045" s="4" t="str">
        <f>IFERROR(__xludf.DUMMYFUNCTION("""COMPUTED_VALUE"""),"Adhesivo PVC 21x29 reciclado chatarra")</f>
        <v>Adhesivo PVC 21x29 reciclado chatarra</v>
      </c>
      <c r="C1045" s="4">
        <f>IFERROR(__xludf.DUMMYFUNCTION("""COMPUTED_VALUE"""),1.25)</f>
        <v>1.25</v>
      </c>
      <c r="D1045" s="4"/>
      <c r="E1045" s="4" t="str">
        <f>IFERROR(__xludf.DUMMYFUNCTION("""COMPUTED_VALUE"""),"Sin precio neto")</f>
        <v>Sin precio neto</v>
      </c>
    </row>
    <row r="1046">
      <c r="A1046" s="4" t="str">
        <f>IFERROR(__xludf.DUMMYFUNCTION("""COMPUTED_VALUE"""),"0869P")</f>
        <v>0869P</v>
      </c>
      <c r="B1046" s="4" t="str">
        <f>IFERROR(__xludf.DUMMYFUNCTION("""COMPUTED_VALUE"""),"Cartel PVC 21x29 reciclado chatarra")</f>
        <v>Cartel PVC 21x29 reciclado chatarra</v>
      </c>
      <c r="C1046" s="4">
        <f>IFERROR(__xludf.DUMMYFUNCTION("""COMPUTED_VALUE"""),1.6)</f>
        <v>1.6</v>
      </c>
      <c r="D1046" s="4">
        <f>IFERROR(__xludf.DUMMYFUNCTION("""COMPUTED_VALUE"""),1.2)</f>
        <v>1.2</v>
      </c>
      <c r="E1046" s="4" t="str">
        <f>IFERROR(__xludf.DUMMYFUNCTION("""COMPUTED_VALUE"""),"Neto: 1,20 € (a partir de 1 uds.)")</f>
        <v>Neto: 1,20 € (a partir de 1 uds.)</v>
      </c>
    </row>
    <row r="1047">
      <c r="A1047" s="4" t="str">
        <f>IFERROR(__xludf.DUMMYFUNCTION("""COMPUTED_VALUE"""),"870")</f>
        <v>870</v>
      </c>
      <c r="B1047" s="4" t="str">
        <f>IFERROR(__xludf.DUMMYFUNCTION("""COMPUTED_VALUE"""),"Cartel PVC 40x30 reciclado basura")</f>
        <v>Cartel PVC 40x30 reciclado basura</v>
      </c>
      <c r="C1047" s="4">
        <f>IFERROR(__xludf.DUMMYFUNCTION("""COMPUTED_VALUE"""),2.48)</f>
        <v>2.48</v>
      </c>
      <c r="D1047" s="4">
        <f>IFERROR(__xludf.DUMMYFUNCTION("""COMPUTED_VALUE"""),1.8)</f>
        <v>1.8</v>
      </c>
      <c r="E1047" s="4" t="str">
        <f>IFERROR(__xludf.DUMMYFUNCTION("""COMPUTED_VALUE"""),"Neto: 1,80 € (a partir de 1 uds.)")</f>
        <v>Neto: 1,80 € (a partir de 1 uds.)</v>
      </c>
    </row>
    <row r="1048">
      <c r="A1048" s="4" t="str">
        <f>IFERROR(__xludf.DUMMYFUNCTION("""COMPUTED_VALUE"""),"0870A")</f>
        <v>0870A</v>
      </c>
      <c r="B1048" s="4" t="str">
        <f>IFERROR(__xludf.DUMMYFUNCTION("""COMPUTED_VALUE"""),"Adhesivo PVC 21x29 reciclado basura")</f>
        <v>Adhesivo PVC 21x29 reciclado basura</v>
      </c>
      <c r="C1048" s="4">
        <f>IFERROR(__xludf.DUMMYFUNCTION("""COMPUTED_VALUE"""),1.25)</f>
        <v>1.25</v>
      </c>
      <c r="D1048" s="4"/>
      <c r="E1048" s="4" t="str">
        <f>IFERROR(__xludf.DUMMYFUNCTION("""COMPUTED_VALUE"""),"Sin precio neto")</f>
        <v>Sin precio neto</v>
      </c>
    </row>
    <row r="1049">
      <c r="A1049" s="4" t="str">
        <f>IFERROR(__xludf.DUMMYFUNCTION("""COMPUTED_VALUE"""),"0870P")</f>
        <v>0870P</v>
      </c>
      <c r="B1049" s="4" t="str">
        <f>IFERROR(__xludf.DUMMYFUNCTION("""COMPUTED_VALUE"""),"Cartel PVC 21x29 reciclado basura")</f>
        <v>Cartel PVC 21x29 reciclado basura</v>
      </c>
      <c r="C1049" s="4">
        <f>IFERROR(__xludf.DUMMYFUNCTION("""COMPUTED_VALUE"""),1.6)</f>
        <v>1.6</v>
      </c>
      <c r="D1049" s="4">
        <f>IFERROR(__xludf.DUMMYFUNCTION("""COMPUTED_VALUE"""),1.2)</f>
        <v>1.2</v>
      </c>
      <c r="E1049" s="4" t="str">
        <f>IFERROR(__xludf.DUMMYFUNCTION("""COMPUTED_VALUE"""),"Neto: 1,20 € (a partir de 1 uds.)")</f>
        <v>Neto: 1,20 € (a partir de 1 uds.)</v>
      </c>
    </row>
    <row r="1050">
      <c r="A1050" s="4" t="str">
        <f>IFERROR(__xludf.DUMMYFUNCTION("""COMPUTED_VALUE"""),"871")</f>
        <v>871</v>
      </c>
      <c r="B1050" s="4" t="str">
        <f>IFERROR(__xludf.DUMMYFUNCTION("""COMPUTED_VALUE"""),"Cartel PVC 40x30 cm zona controlada, riesgo de irradiación")</f>
        <v>Cartel PVC 40x30 cm zona controlada, riesgo de irradiación</v>
      </c>
      <c r="C1050" s="4">
        <f>IFERROR(__xludf.DUMMYFUNCTION("""COMPUTED_VALUE"""),2.48)</f>
        <v>2.48</v>
      </c>
      <c r="D1050" s="4">
        <f>IFERROR(__xludf.DUMMYFUNCTION("""COMPUTED_VALUE"""),0.18)</f>
        <v>0.18</v>
      </c>
      <c r="E1050" s="4" t="str">
        <f>IFERROR(__xludf.DUMMYFUNCTION("""COMPUTED_VALUE"""),"Neto: 0,18 € (a partir de 1 uds.)")</f>
        <v>Neto: 0,18 € (a partir de 1 uds.)</v>
      </c>
    </row>
    <row r="1051">
      <c r="A1051" s="4" t="str">
        <f>IFERROR(__xludf.DUMMYFUNCTION("""COMPUTED_VALUE"""),"0871A")</f>
        <v>0871A</v>
      </c>
      <c r="B1051" s="4" t="str">
        <f>IFERROR(__xludf.DUMMYFUNCTION("""COMPUTED_VALUE"""),"Adhesivo PVC 21x29 cm zona controlada, riesgo de irradiación")</f>
        <v>Adhesivo PVC 21x29 cm zona controlada, riesgo de irradiación</v>
      </c>
      <c r="C1051" s="4">
        <f>IFERROR(__xludf.DUMMYFUNCTION("""COMPUTED_VALUE"""),1.25)</f>
        <v>1.25</v>
      </c>
      <c r="D1051" s="4"/>
      <c r="E1051" s="4" t="str">
        <f>IFERROR(__xludf.DUMMYFUNCTION("""COMPUTED_VALUE"""),"Sin precio neto")</f>
        <v>Sin precio neto</v>
      </c>
    </row>
    <row r="1052">
      <c r="A1052" s="4" t="str">
        <f>IFERROR(__xludf.DUMMYFUNCTION("""COMPUTED_VALUE"""),"0871P")</f>
        <v>0871P</v>
      </c>
      <c r="B1052" s="4" t="str">
        <f>IFERROR(__xludf.DUMMYFUNCTION("""COMPUTED_VALUE"""),"Cartel PVC 21x29 cm zona controlada, riesgo de irradiación")</f>
        <v>Cartel PVC 21x29 cm zona controlada, riesgo de irradiación</v>
      </c>
      <c r="C1052" s="4">
        <f>IFERROR(__xludf.DUMMYFUNCTION("""COMPUTED_VALUE"""),1.6)</f>
        <v>1.6</v>
      </c>
      <c r="D1052" s="4">
        <f>IFERROR(__xludf.DUMMYFUNCTION("""COMPUTED_VALUE"""),1.2)</f>
        <v>1.2</v>
      </c>
      <c r="E1052" s="4" t="str">
        <f>IFERROR(__xludf.DUMMYFUNCTION("""COMPUTED_VALUE"""),"Neto: 1,20 € (a partir de 1 uds.)")</f>
        <v>Neto: 1,20 € (a partir de 1 uds.)</v>
      </c>
    </row>
    <row r="1053">
      <c r="A1053" s="4" t="str">
        <f>IFERROR(__xludf.DUMMYFUNCTION("""COMPUTED_VALUE"""),"872")</f>
        <v>872</v>
      </c>
      <c r="B1053" s="4" t="str">
        <f>IFERROR(__xludf.DUMMYFUNCTION("""COMPUTED_VALUE"""),"Cartel PVC 40x30 cm zona controlada, riesgo de")</f>
        <v>Cartel PVC 40x30 cm zona controlada, riesgo de</v>
      </c>
      <c r="C1053" s="4">
        <f>IFERROR(__xludf.DUMMYFUNCTION("""COMPUTED_VALUE"""),2.48)</f>
        <v>2.48</v>
      </c>
      <c r="D1053" s="4">
        <f>IFERROR(__xludf.DUMMYFUNCTION("""COMPUTED_VALUE"""),1.8)</f>
        <v>1.8</v>
      </c>
      <c r="E1053" s="4" t="str">
        <f>IFERROR(__xludf.DUMMYFUNCTION("""COMPUTED_VALUE"""),"Neto: 1,80 € (a partir de 1 uds.)")</f>
        <v>Neto: 1,80 € (a partir de 1 uds.)</v>
      </c>
    </row>
    <row r="1054">
      <c r="A1054" s="4" t="str">
        <f>IFERROR(__xludf.DUMMYFUNCTION("""COMPUTED_VALUE"""),"0872A")</f>
        <v>0872A</v>
      </c>
      <c r="B1054" s="4" t="str">
        <f>IFERROR(__xludf.DUMMYFUNCTION("""COMPUTED_VALUE"""),"Adhesivo PVC 21x29 cm zona controlada, riesgo de")</f>
        <v>Adhesivo PVC 21x29 cm zona controlada, riesgo de</v>
      </c>
      <c r="C1054" s="4">
        <f>IFERROR(__xludf.DUMMYFUNCTION("""COMPUTED_VALUE"""),1.25)</f>
        <v>1.25</v>
      </c>
      <c r="D1054" s="4"/>
      <c r="E1054" s="4" t="str">
        <f>IFERROR(__xludf.DUMMYFUNCTION("""COMPUTED_VALUE"""),"Sin precio neto")</f>
        <v>Sin precio neto</v>
      </c>
    </row>
    <row r="1055">
      <c r="A1055" s="4" t="str">
        <f>IFERROR(__xludf.DUMMYFUNCTION("""COMPUTED_VALUE"""),"0872P")</f>
        <v>0872P</v>
      </c>
      <c r="B1055" s="4" t="str">
        <f>IFERROR(__xludf.DUMMYFUNCTION("""COMPUTED_VALUE"""),"Cartel PVC 21x29 cm zona controlada, riesgo de")</f>
        <v>Cartel PVC 21x29 cm zona controlada, riesgo de</v>
      </c>
      <c r="C1055" s="4">
        <f>IFERROR(__xludf.DUMMYFUNCTION("""COMPUTED_VALUE"""),1.6)</f>
        <v>1.6</v>
      </c>
      <c r="D1055" s="4">
        <f>IFERROR(__xludf.DUMMYFUNCTION("""COMPUTED_VALUE"""),1.2)</f>
        <v>1.2</v>
      </c>
      <c r="E1055" s="4" t="str">
        <f>IFERROR(__xludf.DUMMYFUNCTION("""COMPUTED_VALUE"""),"Neto: 1,20 € (a partir de 1 uds.)")</f>
        <v>Neto: 1,20 € (a partir de 1 uds.)</v>
      </c>
    </row>
    <row r="1056">
      <c r="A1056" s="4" t="str">
        <f>IFERROR(__xludf.DUMMYFUNCTION("""COMPUTED_VALUE"""),"873")</f>
        <v>873</v>
      </c>
      <c r="B1056" s="4" t="str">
        <f>IFERROR(__xludf.DUMMYFUNCTION("""COMPUTED_VALUE"""),"Cartel PVC 40x30 cm zona controlada, riesgo de cont. e irrad.")</f>
        <v>Cartel PVC 40x30 cm zona controlada, riesgo de cont. e irrad.</v>
      </c>
      <c r="C1056" s="4">
        <f>IFERROR(__xludf.DUMMYFUNCTION("""COMPUTED_VALUE"""),2.48)</f>
        <v>2.48</v>
      </c>
      <c r="D1056" s="4">
        <f>IFERROR(__xludf.DUMMYFUNCTION("""COMPUTED_VALUE"""),1.8)</f>
        <v>1.8</v>
      </c>
      <c r="E1056" s="4" t="str">
        <f>IFERROR(__xludf.DUMMYFUNCTION("""COMPUTED_VALUE"""),"Neto: 1,80 € (a partir de 1 uds.)")</f>
        <v>Neto: 1,80 € (a partir de 1 uds.)</v>
      </c>
    </row>
    <row r="1057">
      <c r="A1057" s="4" t="str">
        <f>IFERROR(__xludf.DUMMYFUNCTION("""COMPUTED_VALUE"""),"0873A")</f>
        <v>0873A</v>
      </c>
      <c r="B1057" s="4" t="str">
        <f>IFERROR(__xludf.DUMMYFUNCTION("""COMPUTED_VALUE"""),"Adhesivo PVC 21x29 cm zona controlada, riesgo de cont. e")</f>
        <v>Adhesivo PVC 21x29 cm zona controlada, riesgo de cont. e</v>
      </c>
      <c r="C1057" s="4">
        <f>IFERROR(__xludf.DUMMYFUNCTION("""COMPUTED_VALUE"""),1.25)</f>
        <v>1.25</v>
      </c>
      <c r="D1057" s="4"/>
      <c r="E1057" s="4" t="str">
        <f>IFERROR(__xludf.DUMMYFUNCTION("""COMPUTED_VALUE"""),"Sin precio neto")</f>
        <v>Sin precio neto</v>
      </c>
    </row>
    <row r="1058">
      <c r="A1058" s="4" t="str">
        <f>IFERROR(__xludf.DUMMYFUNCTION("""COMPUTED_VALUE"""),"0873P")</f>
        <v>0873P</v>
      </c>
      <c r="B1058" s="4" t="str">
        <f>IFERROR(__xludf.DUMMYFUNCTION("""COMPUTED_VALUE"""),"zona controlada, riesgo de cont. e irrad.")</f>
        <v>zona controlada, riesgo de cont. e irrad.</v>
      </c>
      <c r="C1058" s="4">
        <f>IFERROR(__xludf.DUMMYFUNCTION("""COMPUTED_VALUE"""),1.25)</f>
        <v>1.25</v>
      </c>
      <c r="D1058" s="4"/>
      <c r="E1058" s="4" t="str">
        <f>IFERROR(__xludf.DUMMYFUNCTION("""COMPUTED_VALUE"""),"Sin precio neto")</f>
        <v>Sin precio neto</v>
      </c>
    </row>
    <row r="1059">
      <c r="A1059" s="4" t="str">
        <f>IFERROR(__xludf.DUMMYFUNCTION("""COMPUTED_VALUE"""),"874")</f>
        <v>874</v>
      </c>
      <c r="B1059" s="4" t="str">
        <f>IFERROR(__xludf.DUMMYFUNCTION("""COMPUTED_VALUE"""),"Cartel PVC 40x30 cm zona perm. limitada, riesgo de")</f>
        <v>Cartel PVC 40x30 cm zona perm. limitada, riesgo de</v>
      </c>
      <c r="C1059" s="4">
        <f>IFERROR(__xludf.DUMMYFUNCTION("""COMPUTED_VALUE"""),2.48)</f>
        <v>2.48</v>
      </c>
      <c r="D1059" s="4">
        <f>IFERROR(__xludf.DUMMYFUNCTION("""COMPUTED_VALUE"""),1.8)</f>
        <v>1.8</v>
      </c>
      <c r="E1059" s="4" t="str">
        <f>IFERROR(__xludf.DUMMYFUNCTION("""COMPUTED_VALUE"""),"Neto: 1,80 € (a partir de 1 uds.)")</f>
        <v>Neto: 1,80 € (a partir de 1 uds.)</v>
      </c>
    </row>
    <row r="1060">
      <c r="A1060" s="4" t="str">
        <f>IFERROR(__xludf.DUMMYFUNCTION("""COMPUTED_VALUE"""),"0874A")</f>
        <v>0874A</v>
      </c>
      <c r="B1060" s="4" t="str">
        <f>IFERROR(__xludf.DUMMYFUNCTION("""COMPUTED_VALUE"""),"Adhesivo PVC 21x29 cm zona zona perm. limitada, riesgo de")</f>
        <v>Adhesivo PVC 21x29 cm zona zona perm. limitada, riesgo de</v>
      </c>
      <c r="C1060" s="4">
        <f>IFERROR(__xludf.DUMMYFUNCTION("""COMPUTED_VALUE"""),1.25)</f>
        <v>1.25</v>
      </c>
      <c r="D1060" s="4"/>
      <c r="E1060" s="4" t="str">
        <f>IFERROR(__xludf.DUMMYFUNCTION("""COMPUTED_VALUE"""),"Sin precio neto")</f>
        <v>Sin precio neto</v>
      </c>
    </row>
    <row r="1061">
      <c r="A1061" s="4" t="str">
        <f>IFERROR(__xludf.DUMMYFUNCTION("""COMPUTED_VALUE"""),"0874P")</f>
        <v>0874P</v>
      </c>
      <c r="B1061" s="4" t="str">
        <f>IFERROR(__xludf.DUMMYFUNCTION("""COMPUTED_VALUE"""),"Cartel PVC 21x29 cm zona perm. limitada, riesgo de")</f>
        <v>Cartel PVC 21x29 cm zona perm. limitada, riesgo de</v>
      </c>
      <c r="C1061" s="4">
        <f>IFERROR(__xludf.DUMMYFUNCTION("""COMPUTED_VALUE"""),1.6)</f>
        <v>1.6</v>
      </c>
      <c r="D1061" s="4">
        <f>IFERROR(__xludf.DUMMYFUNCTION("""COMPUTED_VALUE"""),1.2)</f>
        <v>1.2</v>
      </c>
      <c r="E1061" s="4" t="str">
        <f>IFERROR(__xludf.DUMMYFUNCTION("""COMPUTED_VALUE"""),"Neto: 1,20 € (a partir de 1 uds.)")</f>
        <v>Neto: 1,20 € (a partir de 1 uds.)</v>
      </c>
    </row>
    <row r="1062">
      <c r="A1062" s="4" t="str">
        <f>IFERROR(__xludf.DUMMYFUNCTION("""COMPUTED_VALUE"""),"875")</f>
        <v>875</v>
      </c>
      <c r="B1062" s="4" t="str">
        <f>IFERROR(__xludf.DUMMYFUNCTION("""COMPUTED_VALUE"""),"Cartel PVC 40x30 cm zona perm. limitada, riesgo de")</f>
        <v>Cartel PVC 40x30 cm zona perm. limitada, riesgo de</v>
      </c>
      <c r="C1062" s="4">
        <f>IFERROR(__xludf.DUMMYFUNCTION("""COMPUTED_VALUE"""),2.48)</f>
        <v>2.48</v>
      </c>
      <c r="D1062" s="4">
        <f>IFERROR(__xludf.DUMMYFUNCTION("""COMPUTED_VALUE"""),1.8)</f>
        <v>1.8</v>
      </c>
      <c r="E1062" s="4" t="str">
        <f>IFERROR(__xludf.DUMMYFUNCTION("""COMPUTED_VALUE"""),"Neto: 1,80 € (a partir de 1 uds.)")</f>
        <v>Neto: 1,80 € (a partir de 1 uds.)</v>
      </c>
    </row>
    <row r="1063">
      <c r="A1063" s="4" t="str">
        <f>IFERROR(__xludf.DUMMYFUNCTION("""COMPUTED_VALUE"""),"0875A")</f>
        <v>0875A</v>
      </c>
      <c r="B1063" s="4" t="str">
        <f>IFERROR(__xludf.DUMMYFUNCTION("""COMPUTED_VALUE"""),"Adhesivo PVC 21x29 cm zona zona perm. limitada, riesgo de")</f>
        <v>Adhesivo PVC 21x29 cm zona zona perm. limitada, riesgo de</v>
      </c>
      <c r="C1063" s="4">
        <f>IFERROR(__xludf.DUMMYFUNCTION("""COMPUTED_VALUE"""),1.25)</f>
        <v>1.25</v>
      </c>
      <c r="D1063" s="4"/>
      <c r="E1063" s="4" t="str">
        <f>IFERROR(__xludf.DUMMYFUNCTION("""COMPUTED_VALUE"""),"Sin precio neto")</f>
        <v>Sin precio neto</v>
      </c>
    </row>
    <row r="1064">
      <c r="A1064" s="4" t="str">
        <f>IFERROR(__xludf.DUMMYFUNCTION("""COMPUTED_VALUE"""),"0875P")</f>
        <v>0875P</v>
      </c>
      <c r="B1064" s="4" t="str">
        <f>IFERROR(__xludf.DUMMYFUNCTION("""COMPUTED_VALUE"""),"Cartel PVC 21x29 cm zona perm. limitada, riesgo de")</f>
        <v>Cartel PVC 21x29 cm zona perm. limitada, riesgo de</v>
      </c>
      <c r="C1064" s="4">
        <f>IFERROR(__xludf.DUMMYFUNCTION("""COMPUTED_VALUE"""),1.6)</f>
        <v>1.6</v>
      </c>
      <c r="D1064" s="4">
        <f>IFERROR(__xludf.DUMMYFUNCTION("""COMPUTED_VALUE"""),1.2)</f>
        <v>1.2</v>
      </c>
      <c r="E1064" s="4" t="str">
        <f>IFERROR(__xludf.DUMMYFUNCTION("""COMPUTED_VALUE"""),"Neto: 1,20 € (a partir de 1 uds.)")</f>
        <v>Neto: 1,20 € (a partir de 1 uds.)</v>
      </c>
    </row>
    <row r="1065">
      <c r="A1065" s="4" t="str">
        <f>IFERROR(__xludf.DUMMYFUNCTION("""COMPUTED_VALUE"""),"876")</f>
        <v>876</v>
      </c>
      <c r="B1065" s="4" t="str">
        <f>IFERROR(__xludf.DUMMYFUNCTION("""COMPUTED_VALUE"""),"Cartel PVC 40x30 cm zona perm. limitada, riesgo de cont. e")</f>
        <v>Cartel PVC 40x30 cm zona perm. limitada, riesgo de cont. e</v>
      </c>
      <c r="C1065" s="4">
        <f>IFERROR(__xludf.DUMMYFUNCTION("""COMPUTED_VALUE"""),2.48)</f>
        <v>2.48</v>
      </c>
      <c r="D1065" s="4">
        <f>IFERROR(__xludf.DUMMYFUNCTION("""COMPUTED_VALUE"""),1.8)</f>
        <v>1.8</v>
      </c>
      <c r="E1065" s="4" t="str">
        <f>IFERROR(__xludf.DUMMYFUNCTION("""COMPUTED_VALUE"""),"Neto: 1,80 € (a partir de 1 uds.)")</f>
        <v>Neto: 1,80 € (a partir de 1 uds.)</v>
      </c>
    </row>
    <row r="1066">
      <c r="A1066" s="4" t="str">
        <f>IFERROR(__xludf.DUMMYFUNCTION("""COMPUTED_VALUE"""),"0876A")</f>
        <v>0876A</v>
      </c>
      <c r="B1066" s="4" t="str">
        <f>IFERROR(__xludf.DUMMYFUNCTION("""COMPUTED_VALUE"""),"Adhesivo PVC 21x29 cm zona zona perm. limitada, riesgo cont.")</f>
        <v>Adhesivo PVC 21x29 cm zona zona perm. limitada, riesgo cont.</v>
      </c>
      <c r="C1066" s="4">
        <f>IFERROR(__xludf.DUMMYFUNCTION("""COMPUTED_VALUE"""),1.25)</f>
        <v>1.25</v>
      </c>
      <c r="D1066" s="4"/>
      <c r="E1066" s="4" t="str">
        <f>IFERROR(__xludf.DUMMYFUNCTION("""COMPUTED_VALUE"""),"Sin precio neto")</f>
        <v>Sin precio neto</v>
      </c>
    </row>
    <row r="1067">
      <c r="A1067" s="4" t="str">
        <f>IFERROR(__xludf.DUMMYFUNCTION("""COMPUTED_VALUE"""),"0876P")</f>
        <v>0876P</v>
      </c>
      <c r="B1067" s="4" t="str">
        <f>IFERROR(__xludf.DUMMYFUNCTION("""COMPUTED_VALUE"""),"Cartel PVC 21x29 cm zona perm. limitada, riesgo de cont. e")</f>
        <v>Cartel PVC 21x29 cm zona perm. limitada, riesgo de cont. e</v>
      </c>
      <c r="C1067" s="4">
        <f>IFERROR(__xludf.DUMMYFUNCTION("""COMPUTED_VALUE"""),1.6)</f>
        <v>1.6</v>
      </c>
      <c r="D1067" s="4">
        <f>IFERROR(__xludf.DUMMYFUNCTION("""COMPUTED_VALUE"""),1.2)</f>
        <v>1.2</v>
      </c>
      <c r="E1067" s="4" t="str">
        <f>IFERROR(__xludf.DUMMYFUNCTION("""COMPUTED_VALUE"""),"Neto: 1,20 € (a partir de 1 uds.)")</f>
        <v>Neto: 1,20 € (a partir de 1 uds.)</v>
      </c>
    </row>
    <row r="1068">
      <c r="A1068" s="4" t="str">
        <f>IFERROR(__xludf.DUMMYFUNCTION("""COMPUTED_VALUE"""),"877")</f>
        <v>877</v>
      </c>
      <c r="B1068" s="4" t="str">
        <f>IFERROR(__xludf.DUMMYFUNCTION("""COMPUTED_VALUE"""),"Cartel PVC 40x30 cm zona acceso prohibido, riesgo de")</f>
        <v>Cartel PVC 40x30 cm zona acceso prohibido, riesgo de</v>
      </c>
      <c r="C1068" s="4">
        <f>IFERROR(__xludf.DUMMYFUNCTION("""COMPUTED_VALUE"""),2.48)</f>
        <v>2.48</v>
      </c>
      <c r="D1068" s="4">
        <f>IFERROR(__xludf.DUMMYFUNCTION("""COMPUTED_VALUE"""),1.8)</f>
        <v>1.8</v>
      </c>
      <c r="E1068" s="4" t="str">
        <f>IFERROR(__xludf.DUMMYFUNCTION("""COMPUTED_VALUE"""),"Neto: 1,80 € (a partir de 1 uds.)")</f>
        <v>Neto: 1,80 € (a partir de 1 uds.)</v>
      </c>
    </row>
    <row r="1069">
      <c r="A1069" s="4" t="str">
        <f>IFERROR(__xludf.DUMMYFUNCTION("""COMPUTED_VALUE"""),"0877A")</f>
        <v>0877A</v>
      </c>
      <c r="B1069" s="4" t="str">
        <f>IFERROR(__xludf.DUMMYFUNCTION("""COMPUTED_VALUE"""),"Adhesivo PVC 21x29 cm zona acceso prohibido, riesgo de")</f>
        <v>Adhesivo PVC 21x29 cm zona acceso prohibido, riesgo de</v>
      </c>
      <c r="C1069" s="4">
        <f>IFERROR(__xludf.DUMMYFUNCTION("""COMPUTED_VALUE"""),1.25)</f>
        <v>1.25</v>
      </c>
      <c r="D1069" s="4"/>
      <c r="E1069" s="4" t="str">
        <f>IFERROR(__xludf.DUMMYFUNCTION("""COMPUTED_VALUE"""),"Sin precio neto")</f>
        <v>Sin precio neto</v>
      </c>
    </row>
    <row r="1070">
      <c r="A1070" s="4" t="str">
        <f>IFERROR(__xludf.DUMMYFUNCTION("""COMPUTED_VALUE"""),"0877P")</f>
        <v>0877P</v>
      </c>
      <c r="B1070" s="4" t="str">
        <f>IFERROR(__xludf.DUMMYFUNCTION("""COMPUTED_VALUE"""),"Cartel PVC 21x29 cm zona acceso prohibido, riesgo de")</f>
        <v>Cartel PVC 21x29 cm zona acceso prohibido, riesgo de</v>
      </c>
      <c r="C1070" s="4">
        <f>IFERROR(__xludf.DUMMYFUNCTION("""COMPUTED_VALUE"""),1.6)</f>
        <v>1.6</v>
      </c>
      <c r="D1070" s="4">
        <f>IFERROR(__xludf.DUMMYFUNCTION("""COMPUTED_VALUE"""),1.2)</f>
        <v>1.2</v>
      </c>
      <c r="E1070" s="4" t="str">
        <f>IFERROR(__xludf.DUMMYFUNCTION("""COMPUTED_VALUE"""),"Neto: 1,20 € (a partir de 1 uds.)")</f>
        <v>Neto: 1,20 € (a partir de 1 uds.)</v>
      </c>
    </row>
    <row r="1071">
      <c r="A1071" s="4" t="str">
        <f>IFERROR(__xludf.DUMMYFUNCTION("""COMPUTED_VALUE"""),"878")</f>
        <v>878</v>
      </c>
      <c r="B1071" s="4" t="str">
        <f>IFERROR(__xludf.DUMMYFUNCTION("""COMPUTED_VALUE"""),"Cartel PVC 40x30 cm zona acceso prohibido, riesgo de")</f>
        <v>Cartel PVC 40x30 cm zona acceso prohibido, riesgo de</v>
      </c>
      <c r="C1071" s="4">
        <f>IFERROR(__xludf.DUMMYFUNCTION("""COMPUTED_VALUE"""),2.48)</f>
        <v>2.48</v>
      </c>
      <c r="D1071" s="4">
        <f>IFERROR(__xludf.DUMMYFUNCTION("""COMPUTED_VALUE"""),1.8)</f>
        <v>1.8</v>
      </c>
      <c r="E1071" s="4" t="str">
        <f>IFERROR(__xludf.DUMMYFUNCTION("""COMPUTED_VALUE"""),"Neto: 1,80 € (a partir de 1 uds.)")</f>
        <v>Neto: 1,80 € (a partir de 1 uds.)</v>
      </c>
    </row>
    <row r="1072">
      <c r="A1072" s="4" t="str">
        <f>IFERROR(__xludf.DUMMYFUNCTION("""COMPUTED_VALUE"""),"0878A")</f>
        <v>0878A</v>
      </c>
      <c r="B1072" s="4" t="str">
        <f>IFERROR(__xludf.DUMMYFUNCTION("""COMPUTED_VALUE"""),"Adhesivo PVC 21x29 cm zona acceso prohibido, riesgo de")</f>
        <v>Adhesivo PVC 21x29 cm zona acceso prohibido, riesgo de</v>
      </c>
      <c r="C1072" s="4">
        <f>IFERROR(__xludf.DUMMYFUNCTION("""COMPUTED_VALUE"""),1.25)</f>
        <v>1.25</v>
      </c>
      <c r="D1072" s="4"/>
      <c r="E1072" s="4" t="str">
        <f>IFERROR(__xludf.DUMMYFUNCTION("""COMPUTED_VALUE"""),"Sin precio neto")</f>
        <v>Sin precio neto</v>
      </c>
    </row>
    <row r="1073">
      <c r="A1073" s="4" t="str">
        <f>IFERROR(__xludf.DUMMYFUNCTION("""COMPUTED_VALUE"""),"0878P")</f>
        <v>0878P</v>
      </c>
      <c r="B1073" s="4" t="str">
        <f>IFERROR(__xludf.DUMMYFUNCTION("""COMPUTED_VALUE"""),"Cartel PVC 21x29 cm zona acceso prohibido, riesgo de")</f>
        <v>Cartel PVC 21x29 cm zona acceso prohibido, riesgo de</v>
      </c>
      <c r="C1073" s="4">
        <f>IFERROR(__xludf.DUMMYFUNCTION("""COMPUTED_VALUE"""),1.6)</f>
        <v>1.6</v>
      </c>
      <c r="D1073" s="4">
        <f>IFERROR(__xludf.DUMMYFUNCTION("""COMPUTED_VALUE"""),1.2)</f>
        <v>1.2</v>
      </c>
      <c r="E1073" s="4" t="str">
        <f>IFERROR(__xludf.DUMMYFUNCTION("""COMPUTED_VALUE"""),"Neto: 1,20 € (a partir de 1 uds.)")</f>
        <v>Neto: 1,20 € (a partir de 1 uds.)</v>
      </c>
    </row>
    <row r="1074">
      <c r="A1074" s="4" t="str">
        <f>IFERROR(__xludf.DUMMYFUNCTION("""COMPUTED_VALUE"""),"879")</f>
        <v>879</v>
      </c>
      <c r="B1074" s="4" t="str">
        <f>IFERROR(__xludf.DUMMYFUNCTION("""COMPUTED_VALUE"""),"Cartel PVC 40x30 cm zona acceso prohibido, riesgo de cont. e")</f>
        <v>Cartel PVC 40x30 cm zona acceso prohibido, riesgo de cont. e</v>
      </c>
      <c r="C1074" s="4">
        <f>IFERROR(__xludf.DUMMYFUNCTION("""COMPUTED_VALUE"""),2.48)</f>
        <v>2.48</v>
      </c>
      <c r="D1074" s="4">
        <f>IFERROR(__xludf.DUMMYFUNCTION("""COMPUTED_VALUE"""),1.8)</f>
        <v>1.8</v>
      </c>
      <c r="E1074" s="4" t="str">
        <f>IFERROR(__xludf.DUMMYFUNCTION("""COMPUTED_VALUE"""),"Neto: 1,80 € (a partir de 1 uds.)")</f>
        <v>Neto: 1,80 € (a partir de 1 uds.)</v>
      </c>
    </row>
    <row r="1075">
      <c r="A1075" s="4" t="str">
        <f>IFERROR(__xludf.DUMMYFUNCTION("""COMPUTED_VALUE"""),"0879A")</f>
        <v>0879A</v>
      </c>
      <c r="B1075" s="4" t="str">
        <f>IFERROR(__xludf.DUMMYFUNCTION("""COMPUTED_VALUE"""),"Adhesivo PVC 21x29 cm zona acceso prohibido, riesgo de")</f>
        <v>Adhesivo PVC 21x29 cm zona acceso prohibido, riesgo de</v>
      </c>
      <c r="C1075" s="4">
        <f>IFERROR(__xludf.DUMMYFUNCTION("""COMPUTED_VALUE"""),1.25)</f>
        <v>1.25</v>
      </c>
      <c r="D1075" s="4"/>
      <c r="E1075" s="4" t="str">
        <f>IFERROR(__xludf.DUMMYFUNCTION("""COMPUTED_VALUE"""),"Sin precio neto")</f>
        <v>Sin precio neto</v>
      </c>
    </row>
    <row r="1076">
      <c r="A1076" s="4" t="str">
        <f>IFERROR(__xludf.DUMMYFUNCTION("""COMPUTED_VALUE"""),"0879P")</f>
        <v>0879P</v>
      </c>
      <c r="B1076" s="4" t="str">
        <f>IFERROR(__xludf.DUMMYFUNCTION("""COMPUTED_VALUE"""),"Cartel PVC 21x29 cm zona acceso prohibido, riesgo de cont. e")</f>
        <v>Cartel PVC 21x29 cm zona acceso prohibido, riesgo de cont. e</v>
      </c>
      <c r="C1076" s="4">
        <f>IFERROR(__xludf.DUMMYFUNCTION("""COMPUTED_VALUE"""),1.6)</f>
        <v>1.6</v>
      </c>
      <c r="D1076" s="4">
        <f>IFERROR(__xludf.DUMMYFUNCTION("""COMPUTED_VALUE"""),1.2)</f>
        <v>1.2</v>
      </c>
      <c r="E1076" s="4" t="str">
        <f>IFERROR(__xludf.DUMMYFUNCTION("""COMPUTED_VALUE"""),"Neto: 1,20 € (a partir de 1 uds.)")</f>
        <v>Neto: 1,20 € (a partir de 1 uds.)</v>
      </c>
    </row>
    <row r="1077">
      <c r="A1077" s="4" t="str">
        <f>IFERROR(__xludf.DUMMYFUNCTION("""COMPUTED_VALUE"""),"880")</f>
        <v>880</v>
      </c>
      <c r="B1077" s="4" t="str">
        <f>IFERROR(__xludf.DUMMYFUNCTION("""COMPUTED_VALUE"""),"Cartel PVC 40x30 cm zona vigilada, riesgo de irradiación")</f>
        <v>Cartel PVC 40x30 cm zona vigilada, riesgo de irradiación</v>
      </c>
      <c r="C1077" s="4">
        <f>IFERROR(__xludf.DUMMYFUNCTION("""COMPUTED_VALUE"""),2.48)</f>
        <v>2.48</v>
      </c>
      <c r="D1077" s="4">
        <f>IFERROR(__xludf.DUMMYFUNCTION("""COMPUTED_VALUE"""),1.8)</f>
        <v>1.8</v>
      </c>
      <c r="E1077" s="4" t="str">
        <f>IFERROR(__xludf.DUMMYFUNCTION("""COMPUTED_VALUE"""),"Neto: 1,80 € (a partir de 1 uds.)")</f>
        <v>Neto: 1,80 € (a partir de 1 uds.)</v>
      </c>
    </row>
    <row r="1078">
      <c r="A1078" s="4" t="str">
        <f>IFERROR(__xludf.DUMMYFUNCTION("""COMPUTED_VALUE"""),"0880A")</f>
        <v>0880A</v>
      </c>
      <c r="B1078" s="4" t="str">
        <f>IFERROR(__xludf.DUMMYFUNCTION("""COMPUTED_VALUE"""),"Adhesivo PVC 21x29 cm zona vigilada, riesgo de irradiación")</f>
        <v>Adhesivo PVC 21x29 cm zona vigilada, riesgo de irradiación</v>
      </c>
      <c r="C1078" s="4">
        <f>IFERROR(__xludf.DUMMYFUNCTION("""COMPUTED_VALUE"""),1.25)</f>
        <v>1.25</v>
      </c>
      <c r="D1078" s="4"/>
      <c r="E1078" s="4" t="str">
        <f>IFERROR(__xludf.DUMMYFUNCTION("""COMPUTED_VALUE"""),"Sin precio neto")</f>
        <v>Sin precio neto</v>
      </c>
    </row>
    <row r="1079">
      <c r="A1079" s="4" t="str">
        <f>IFERROR(__xludf.DUMMYFUNCTION("""COMPUTED_VALUE"""),"0880P")</f>
        <v>0880P</v>
      </c>
      <c r="B1079" s="4" t="str">
        <f>IFERROR(__xludf.DUMMYFUNCTION("""COMPUTED_VALUE"""),"Cartel PVC 21x29 cm zona vigilada, riesgo de irradiación")</f>
        <v>Cartel PVC 21x29 cm zona vigilada, riesgo de irradiación</v>
      </c>
      <c r="C1079" s="4">
        <f>IFERROR(__xludf.DUMMYFUNCTION("""COMPUTED_VALUE"""),1.6)</f>
        <v>1.6</v>
      </c>
      <c r="D1079" s="4">
        <f>IFERROR(__xludf.DUMMYFUNCTION("""COMPUTED_VALUE"""),1.2)</f>
        <v>1.2</v>
      </c>
      <c r="E1079" s="4" t="str">
        <f>IFERROR(__xludf.DUMMYFUNCTION("""COMPUTED_VALUE"""),"Neto: 1,20 € (a partir de 1 uds.)")</f>
        <v>Neto: 1,20 € (a partir de 1 uds.)</v>
      </c>
    </row>
    <row r="1080">
      <c r="A1080" s="4" t="str">
        <f>IFERROR(__xludf.DUMMYFUNCTION("""COMPUTED_VALUE"""),"881")</f>
        <v>881</v>
      </c>
      <c r="B1080" s="4" t="str">
        <f>IFERROR(__xludf.DUMMYFUNCTION("""COMPUTED_VALUE"""),"Cartel PVC 40x30 cm zona vigilada, riesgo de contaminación")</f>
        <v>Cartel PVC 40x30 cm zona vigilada, riesgo de contaminación</v>
      </c>
      <c r="C1080" s="4">
        <f>IFERROR(__xludf.DUMMYFUNCTION("""COMPUTED_VALUE"""),2.48)</f>
        <v>2.48</v>
      </c>
      <c r="D1080" s="4">
        <f>IFERROR(__xludf.DUMMYFUNCTION("""COMPUTED_VALUE"""),1.8)</f>
        <v>1.8</v>
      </c>
      <c r="E1080" s="4" t="str">
        <f>IFERROR(__xludf.DUMMYFUNCTION("""COMPUTED_VALUE"""),"Neto: 1,80 € (a partir de 1 uds.)")</f>
        <v>Neto: 1,80 € (a partir de 1 uds.)</v>
      </c>
    </row>
    <row r="1081">
      <c r="A1081" s="4" t="str">
        <f>IFERROR(__xludf.DUMMYFUNCTION("""COMPUTED_VALUE"""),"0881A")</f>
        <v>0881A</v>
      </c>
      <c r="B1081" s="4" t="str">
        <f>IFERROR(__xludf.DUMMYFUNCTION("""COMPUTED_VALUE"""),"Adhesivo PVC 21x29 cm zona vigilada, riesgo de")</f>
        <v>Adhesivo PVC 21x29 cm zona vigilada, riesgo de</v>
      </c>
      <c r="C1081" s="4">
        <f>IFERROR(__xludf.DUMMYFUNCTION("""COMPUTED_VALUE"""),1.25)</f>
        <v>1.25</v>
      </c>
      <c r="D1081" s="4"/>
      <c r="E1081" s="4" t="str">
        <f>IFERROR(__xludf.DUMMYFUNCTION("""COMPUTED_VALUE"""),"Sin precio neto")</f>
        <v>Sin precio neto</v>
      </c>
    </row>
    <row r="1082">
      <c r="A1082" s="4" t="str">
        <f>IFERROR(__xludf.DUMMYFUNCTION("""COMPUTED_VALUE"""),"0881P")</f>
        <v>0881P</v>
      </c>
      <c r="B1082" s="4" t="str">
        <f>IFERROR(__xludf.DUMMYFUNCTION("""COMPUTED_VALUE"""),"Cartel PVC 21x29 cm zona vigilada, riesgo de contaminación")</f>
        <v>Cartel PVC 21x29 cm zona vigilada, riesgo de contaminación</v>
      </c>
      <c r="C1082" s="4">
        <f>IFERROR(__xludf.DUMMYFUNCTION("""COMPUTED_VALUE"""),1.47)</f>
        <v>1.47</v>
      </c>
      <c r="D1082" s="4">
        <f>IFERROR(__xludf.DUMMYFUNCTION("""COMPUTED_VALUE"""),1.2)</f>
        <v>1.2</v>
      </c>
      <c r="E1082" s="4" t="str">
        <f>IFERROR(__xludf.DUMMYFUNCTION("""COMPUTED_VALUE"""),"Neto: 1,20 € (a partir de 1 uds.)")</f>
        <v>Neto: 1,20 € (a partir de 1 uds.)</v>
      </c>
    </row>
    <row r="1083">
      <c r="A1083" s="4" t="str">
        <f>IFERROR(__xludf.DUMMYFUNCTION("""COMPUTED_VALUE"""),"882")</f>
        <v>882</v>
      </c>
      <c r="B1083" s="4" t="str">
        <f>IFERROR(__xludf.DUMMYFUNCTION("""COMPUTED_VALUE"""),"Cartel PVC 40x30 cm zona vigilada, riesgo de cont. e irrad.")</f>
        <v>Cartel PVC 40x30 cm zona vigilada, riesgo de cont. e irrad.</v>
      </c>
      <c r="C1083" s="4">
        <f>IFERROR(__xludf.DUMMYFUNCTION("""COMPUTED_VALUE"""),2.48)</f>
        <v>2.48</v>
      </c>
      <c r="D1083" s="4">
        <f>IFERROR(__xludf.DUMMYFUNCTION("""COMPUTED_VALUE"""),1.8)</f>
        <v>1.8</v>
      </c>
      <c r="E1083" s="4" t="str">
        <f>IFERROR(__xludf.DUMMYFUNCTION("""COMPUTED_VALUE"""),"Neto: 1,80 € (a partir de 1 uds.)")</f>
        <v>Neto: 1,80 € (a partir de 1 uds.)</v>
      </c>
    </row>
    <row r="1084">
      <c r="A1084" s="4" t="str">
        <f>IFERROR(__xludf.DUMMYFUNCTION("""COMPUTED_VALUE"""),"0882A")</f>
        <v>0882A</v>
      </c>
      <c r="B1084" s="4" t="str">
        <f>IFERROR(__xludf.DUMMYFUNCTION("""COMPUTED_VALUE"""),"Adhesivo PVC 21x29 cm zona vigilada, riesgo de cont. e irrad.")</f>
        <v>Adhesivo PVC 21x29 cm zona vigilada, riesgo de cont. e irrad.</v>
      </c>
      <c r="C1084" s="4">
        <f>IFERROR(__xludf.DUMMYFUNCTION("""COMPUTED_VALUE"""),1.25)</f>
        <v>1.25</v>
      </c>
      <c r="D1084" s="4"/>
      <c r="E1084" s="4" t="str">
        <f>IFERROR(__xludf.DUMMYFUNCTION("""COMPUTED_VALUE"""),"Sin precio neto")</f>
        <v>Sin precio neto</v>
      </c>
    </row>
    <row r="1085">
      <c r="A1085" s="4" t="str">
        <f>IFERROR(__xludf.DUMMYFUNCTION("""COMPUTED_VALUE"""),"0882P")</f>
        <v>0882P</v>
      </c>
      <c r="B1085" s="4" t="str">
        <f>IFERROR(__xludf.DUMMYFUNCTION("""COMPUTED_VALUE"""),"Cartel PVC 21x29 cm zona vigilada, riesgo de cont. e irrad.")</f>
        <v>Cartel PVC 21x29 cm zona vigilada, riesgo de cont. e irrad.</v>
      </c>
      <c r="C1085" s="4">
        <f>IFERROR(__xludf.DUMMYFUNCTION("""COMPUTED_VALUE"""),1.6)</f>
        <v>1.6</v>
      </c>
      <c r="D1085" s="4">
        <f>IFERROR(__xludf.DUMMYFUNCTION("""COMPUTED_VALUE"""),1.2)</f>
        <v>1.2</v>
      </c>
      <c r="E1085" s="4" t="str">
        <f>IFERROR(__xludf.DUMMYFUNCTION("""COMPUTED_VALUE"""),"Neto: 1,20 € (a partir de 1 uds.)")</f>
        <v>Neto: 1,20 € (a partir de 1 uds.)</v>
      </c>
    </row>
    <row r="1086">
      <c r="A1086" s="4" t="str">
        <f>IFERROR(__xludf.DUMMYFUNCTION("""COMPUTED_VALUE"""),"883")</f>
        <v>883</v>
      </c>
      <c r="B1086" s="4" t="str">
        <f>IFERROR(__xludf.DUMMYFUNCTION("""COMPUTED_VALUE"""),"Adhesivo PVC Grupo 0 Oxígeno 100x25 mm")</f>
        <v>Adhesivo PVC Grupo 0 Oxígeno 100x25 mm</v>
      </c>
      <c r="C1086" s="4">
        <f>IFERROR(__xludf.DUMMYFUNCTION("""COMPUTED_VALUE"""),1.0)</f>
        <v>1</v>
      </c>
      <c r="D1086" s="4"/>
      <c r="E1086" s="4" t="str">
        <f>IFERROR(__xludf.DUMMYFUNCTION("""COMPUTED_VALUE"""),"Sin precio neto")</f>
        <v>Sin precio neto</v>
      </c>
    </row>
    <row r="1087">
      <c r="A1087" s="4" t="str">
        <f>IFERROR(__xludf.DUMMYFUNCTION("""COMPUTED_VALUE"""),"0883A")</f>
        <v>0883A</v>
      </c>
      <c r="B1087" s="4" t="str">
        <f>IFERROR(__xludf.DUMMYFUNCTION("""COMPUTED_VALUE"""),"Adhesivo PVC Grupo 0 Oxígeno 200x50 mm")</f>
        <v>Adhesivo PVC Grupo 0 Oxígeno 200x50 mm</v>
      </c>
      <c r="C1087" s="4">
        <f>IFERROR(__xludf.DUMMYFUNCTION("""COMPUTED_VALUE"""),1.5)</f>
        <v>1.5</v>
      </c>
      <c r="D1087" s="4"/>
      <c r="E1087" s="4" t="str">
        <f>IFERROR(__xludf.DUMMYFUNCTION("""COMPUTED_VALUE"""),"Sin precio neto")</f>
        <v>Sin precio neto</v>
      </c>
    </row>
    <row r="1088">
      <c r="A1088" s="4" t="str">
        <f>IFERROR(__xludf.DUMMYFUNCTION("""COMPUTED_VALUE"""),"0883B")</f>
        <v>0883B</v>
      </c>
      <c r="B1088" s="4" t="str">
        <f>IFERROR(__xludf.DUMMYFUNCTION("""COMPUTED_VALUE"""),"Adhesivo PVC Grupo 0 Oxígeno 400x100 mm")</f>
        <v>Adhesivo PVC Grupo 0 Oxígeno 400x100 mm</v>
      </c>
      <c r="C1088" s="4">
        <f>IFERROR(__xludf.DUMMYFUNCTION("""COMPUTED_VALUE"""),2.0)</f>
        <v>2</v>
      </c>
      <c r="D1088" s="4"/>
      <c r="E1088" s="4" t="str">
        <f>IFERROR(__xludf.DUMMYFUNCTION("""COMPUTED_VALUE"""),"Sin precio neto")</f>
        <v>Sin precio neto</v>
      </c>
    </row>
    <row r="1089">
      <c r="A1089" s="4" t="str">
        <f>IFERROR(__xludf.DUMMYFUNCTION("""COMPUTED_VALUE"""),"884")</f>
        <v>884</v>
      </c>
      <c r="B1089" s="4" t="str">
        <f>IFERROR(__xludf.DUMMYFUNCTION("""COMPUTED_VALUE"""),"Adhesivo PVC Grupo 1 Agua 100x25 mm (todas las variantes)")</f>
        <v>Adhesivo PVC Grupo 1 Agua 100x25 mm (todas las variantes)</v>
      </c>
      <c r="C1089" s="4">
        <f>IFERROR(__xludf.DUMMYFUNCTION("""COMPUTED_VALUE"""),1.0)</f>
        <v>1</v>
      </c>
      <c r="D1089" s="4"/>
      <c r="E1089" s="4" t="str">
        <f>IFERROR(__xludf.DUMMYFUNCTION("""COMPUTED_VALUE"""),"Sin precio neto")</f>
        <v>Sin precio neto</v>
      </c>
    </row>
    <row r="1090">
      <c r="A1090" s="4" t="str">
        <f>IFERROR(__xludf.DUMMYFUNCTION("""COMPUTED_VALUE"""),"0884A")</f>
        <v>0884A</v>
      </c>
      <c r="B1090" s="4" t="str">
        <f>IFERROR(__xludf.DUMMYFUNCTION("""COMPUTED_VALUE"""),"Adhesivo PVC Grupo 1 Agua 200x50 mm (todas las variantes)")</f>
        <v>Adhesivo PVC Grupo 1 Agua 200x50 mm (todas las variantes)</v>
      </c>
      <c r="C1090" s="4">
        <f>IFERROR(__xludf.DUMMYFUNCTION("""COMPUTED_VALUE"""),1.5)</f>
        <v>1.5</v>
      </c>
      <c r="D1090" s="4"/>
      <c r="E1090" s="4" t="str">
        <f>IFERROR(__xludf.DUMMYFUNCTION("""COMPUTED_VALUE"""),"Sin precio neto")</f>
        <v>Sin precio neto</v>
      </c>
    </row>
    <row r="1091">
      <c r="A1091" s="4" t="str">
        <f>IFERROR(__xludf.DUMMYFUNCTION("""COMPUTED_VALUE"""),"0884B")</f>
        <v>0884B</v>
      </c>
      <c r="B1091" s="4" t="str">
        <f>IFERROR(__xludf.DUMMYFUNCTION("""COMPUTED_VALUE"""),"Adhesivo PVC Grupo 1 Agua 400x100 mm (todas las")</f>
        <v>Adhesivo PVC Grupo 1 Agua 400x100 mm (todas las</v>
      </c>
      <c r="C1091" s="4">
        <f>IFERROR(__xludf.DUMMYFUNCTION("""COMPUTED_VALUE"""),2.0)</f>
        <v>2</v>
      </c>
      <c r="D1091" s="4"/>
      <c r="E1091" s="4" t="str">
        <f>IFERROR(__xludf.DUMMYFUNCTION("""COMPUTED_VALUE"""),"Sin precio neto")</f>
        <v>Sin precio neto</v>
      </c>
    </row>
    <row r="1092">
      <c r="A1092" s="4" t="str">
        <f>IFERROR(__xludf.DUMMYFUNCTION("""COMPUTED_VALUE"""),"885")</f>
        <v>885</v>
      </c>
      <c r="B1092" s="4" t="str">
        <f>IFERROR(__xludf.DUMMYFUNCTION("""COMPUTED_VALUE"""),"Adhesivo PVC Grupo 2 Vapor de agua 100x25 mm (todas las")</f>
        <v>Adhesivo PVC Grupo 2 Vapor de agua 100x25 mm (todas las</v>
      </c>
      <c r="C1092" s="4">
        <f>IFERROR(__xludf.DUMMYFUNCTION("""COMPUTED_VALUE"""),1.0)</f>
        <v>1</v>
      </c>
      <c r="D1092" s="4"/>
      <c r="E1092" s="4" t="str">
        <f>IFERROR(__xludf.DUMMYFUNCTION("""COMPUTED_VALUE"""),"Sin precio neto")</f>
        <v>Sin precio neto</v>
      </c>
    </row>
    <row r="1093">
      <c r="A1093" s="4" t="str">
        <f>IFERROR(__xludf.DUMMYFUNCTION("""COMPUTED_VALUE"""),"0885A")</f>
        <v>0885A</v>
      </c>
      <c r="B1093" s="4" t="str">
        <f>IFERROR(__xludf.DUMMYFUNCTION("""COMPUTED_VALUE"""),"Adhesivo PVC Grupo 2 Vapor de agua 200x50 mm (todas las")</f>
        <v>Adhesivo PVC Grupo 2 Vapor de agua 200x50 mm (todas las</v>
      </c>
      <c r="C1093" s="4">
        <f>IFERROR(__xludf.DUMMYFUNCTION("""COMPUTED_VALUE"""),1.5)</f>
        <v>1.5</v>
      </c>
      <c r="D1093" s="4"/>
      <c r="E1093" s="4" t="str">
        <f>IFERROR(__xludf.DUMMYFUNCTION("""COMPUTED_VALUE"""),"Sin precio neto")</f>
        <v>Sin precio neto</v>
      </c>
    </row>
    <row r="1094">
      <c r="A1094" s="4" t="str">
        <f>IFERROR(__xludf.DUMMYFUNCTION("""COMPUTED_VALUE"""),"0885B")</f>
        <v>0885B</v>
      </c>
      <c r="B1094" s="4" t="str">
        <f>IFERROR(__xludf.DUMMYFUNCTION("""COMPUTED_VALUE"""),"Adhesivo PVC Grupo 2 Vapor de agua 400x100 mm (todas las")</f>
        <v>Adhesivo PVC Grupo 2 Vapor de agua 400x100 mm (todas las</v>
      </c>
      <c r="C1094" s="4">
        <f>IFERROR(__xludf.DUMMYFUNCTION("""COMPUTED_VALUE"""),2.0)</f>
        <v>2</v>
      </c>
      <c r="D1094" s="4"/>
      <c r="E1094" s="4" t="str">
        <f>IFERROR(__xludf.DUMMYFUNCTION("""COMPUTED_VALUE"""),"Sin precio neto")</f>
        <v>Sin precio neto</v>
      </c>
    </row>
    <row r="1095">
      <c r="A1095" s="4" t="str">
        <f>IFERROR(__xludf.DUMMYFUNCTION("""COMPUTED_VALUE"""),"886")</f>
        <v>886</v>
      </c>
      <c r="B1095" s="4" t="str">
        <f>IFERROR(__xludf.DUMMYFUNCTION("""COMPUTED_VALUE"""),"Adhesivo PVC Grupo 3 Aire 100x25 mm (todas las variantes)")</f>
        <v>Adhesivo PVC Grupo 3 Aire 100x25 mm (todas las variantes)</v>
      </c>
      <c r="C1095" s="4">
        <f>IFERROR(__xludf.DUMMYFUNCTION("""COMPUTED_VALUE"""),1.0)</f>
        <v>1</v>
      </c>
      <c r="D1095" s="4"/>
      <c r="E1095" s="4" t="str">
        <f>IFERROR(__xludf.DUMMYFUNCTION("""COMPUTED_VALUE"""),"Sin precio neto")</f>
        <v>Sin precio neto</v>
      </c>
    </row>
    <row r="1096">
      <c r="A1096" s="4" t="str">
        <f>IFERROR(__xludf.DUMMYFUNCTION("""COMPUTED_VALUE"""),"0886A")</f>
        <v>0886A</v>
      </c>
      <c r="B1096" s="4" t="str">
        <f>IFERROR(__xludf.DUMMYFUNCTION("""COMPUTED_VALUE"""),"Adhesivo PVC Grupo 3 Aire 200x50 mm (todas las variantes)")</f>
        <v>Adhesivo PVC Grupo 3 Aire 200x50 mm (todas las variantes)</v>
      </c>
      <c r="C1096" s="4">
        <f>IFERROR(__xludf.DUMMYFUNCTION("""COMPUTED_VALUE"""),2.0)</f>
        <v>2</v>
      </c>
      <c r="D1096" s="4"/>
      <c r="E1096" s="4" t="str">
        <f>IFERROR(__xludf.DUMMYFUNCTION("""COMPUTED_VALUE"""),"Sin precio neto")</f>
        <v>Sin precio neto</v>
      </c>
    </row>
    <row r="1097">
      <c r="A1097" s="4" t="str">
        <f>IFERROR(__xludf.DUMMYFUNCTION("""COMPUTED_VALUE"""),"0886B")</f>
        <v>0886B</v>
      </c>
      <c r="B1097" s="4" t="str">
        <f>IFERROR(__xludf.DUMMYFUNCTION("""COMPUTED_VALUE"""),"Adhesivo PVC Grupo 3 Aire 400x100 mm (todas las variantes)")</f>
        <v>Adhesivo PVC Grupo 3 Aire 400x100 mm (todas las variantes)</v>
      </c>
      <c r="C1097" s="4">
        <f>IFERROR(__xludf.DUMMYFUNCTION("""COMPUTED_VALUE"""),1.5)</f>
        <v>1.5</v>
      </c>
      <c r="D1097" s="4"/>
      <c r="E1097" s="4" t="str">
        <f>IFERROR(__xludf.DUMMYFUNCTION("""COMPUTED_VALUE"""),"Sin precio neto")</f>
        <v>Sin precio neto</v>
      </c>
    </row>
    <row r="1098">
      <c r="A1098" s="4" t="str">
        <f>IFERROR(__xludf.DUMMYFUNCTION("""COMPUTED_VALUE"""),"887")</f>
        <v>887</v>
      </c>
      <c r="B1098" s="4" t="str">
        <f>IFERROR(__xludf.DUMMYFUNCTION("""COMPUTED_VALUE"""),"Adhesivo PVC Grupo 4 Gases combustibles 100x25 mm (todas")</f>
        <v>Adhesivo PVC Grupo 4 Gases combustibles 100x25 mm (todas</v>
      </c>
      <c r="C1098" s="4">
        <f>IFERROR(__xludf.DUMMYFUNCTION("""COMPUTED_VALUE"""),1.0)</f>
        <v>1</v>
      </c>
      <c r="D1098" s="4"/>
      <c r="E1098" s="4" t="str">
        <f>IFERROR(__xludf.DUMMYFUNCTION("""COMPUTED_VALUE"""),"Sin precio neto")</f>
        <v>Sin precio neto</v>
      </c>
    </row>
    <row r="1099">
      <c r="A1099" s="4" t="str">
        <f>IFERROR(__xludf.DUMMYFUNCTION("""COMPUTED_VALUE"""),"0887A")</f>
        <v>0887A</v>
      </c>
      <c r="B1099" s="4" t="str">
        <f>IFERROR(__xludf.DUMMYFUNCTION("""COMPUTED_VALUE"""),"Adhesivo PVC Grupo 4 Gases combustibles 200x50 mm (todas")</f>
        <v>Adhesivo PVC Grupo 4 Gases combustibles 200x50 mm (todas</v>
      </c>
      <c r="C1099" s="4">
        <f>IFERROR(__xludf.DUMMYFUNCTION("""COMPUTED_VALUE"""),1.5)</f>
        <v>1.5</v>
      </c>
      <c r="D1099" s="4"/>
      <c r="E1099" s="4" t="str">
        <f>IFERROR(__xludf.DUMMYFUNCTION("""COMPUTED_VALUE"""),"Sin precio neto")</f>
        <v>Sin precio neto</v>
      </c>
    </row>
    <row r="1100">
      <c r="A1100" s="4" t="str">
        <f>IFERROR(__xludf.DUMMYFUNCTION("""COMPUTED_VALUE"""),"0887B")</f>
        <v>0887B</v>
      </c>
      <c r="B1100" s="4" t="str">
        <f>IFERROR(__xludf.DUMMYFUNCTION("""COMPUTED_VALUE"""),"Adhesivo PVC Grupo 4 Gases combustibles 400x100 mm")</f>
        <v>Adhesivo PVC Grupo 4 Gases combustibles 400x100 mm</v>
      </c>
      <c r="C1100" s="4">
        <f>IFERROR(__xludf.DUMMYFUNCTION("""COMPUTED_VALUE"""),2.0)</f>
        <v>2</v>
      </c>
      <c r="D1100" s="4"/>
      <c r="E1100" s="4" t="str">
        <f>IFERROR(__xludf.DUMMYFUNCTION("""COMPUTED_VALUE"""),"Sin precio neto")</f>
        <v>Sin precio neto</v>
      </c>
    </row>
    <row r="1101">
      <c r="A1101" s="4" t="str">
        <f>IFERROR(__xludf.DUMMYFUNCTION("""COMPUTED_VALUE"""),"888")</f>
        <v>888</v>
      </c>
      <c r="B1101" s="4" t="str">
        <f>IFERROR(__xludf.DUMMYFUNCTION("""COMPUTED_VALUE"""),"Adhesivo PVC Grupo 4 Gases combustibles 100x25 mm B")</f>
        <v>Adhesivo PVC Grupo 4 Gases combustibles 100x25 mm B</v>
      </c>
      <c r="C1101" s="4">
        <f>IFERROR(__xludf.DUMMYFUNCTION("""COMPUTED_VALUE"""),1.0)</f>
        <v>1</v>
      </c>
      <c r="D1101" s="4"/>
      <c r="E1101" s="4" t="str">
        <f>IFERROR(__xludf.DUMMYFUNCTION("""COMPUTED_VALUE"""),"Sin precio neto")</f>
        <v>Sin precio neto</v>
      </c>
    </row>
    <row r="1102">
      <c r="A1102" s="4" t="str">
        <f>IFERROR(__xludf.DUMMYFUNCTION("""COMPUTED_VALUE"""),"0888A")</f>
        <v>0888A</v>
      </c>
      <c r="B1102" s="4" t="str">
        <f>IFERROR(__xludf.DUMMYFUNCTION("""COMPUTED_VALUE"""),"Adhesivo PVC Grupo 4 Gases combustibles 200x50 mm")</f>
        <v>Adhesivo PVC Grupo 4 Gases combustibles 200x50 mm</v>
      </c>
      <c r="C1102" s="4">
        <f>IFERROR(__xludf.DUMMYFUNCTION("""COMPUTED_VALUE"""),1.5)</f>
        <v>1.5</v>
      </c>
      <c r="D1102" s="4"/>
      <c r="E1102" s="4" t="str">
        <f>IFERROR(__xludf.DUMMYFUNCTION("""COMPUTED_VALUE"""),"Sin precio neto")</f>
        <v>Sin precio neto</v>
      </c>
    </row>
    <row r="1103">
      <c r="A1103" s="4" t="str">
        <f>IFERROR(__xludf.DUMMYFUNCTION("""COMPUTED_VALUE"""),"0888B")</f>
        <v>0888B</v>
      </c>
      <c r="B1103" s="4" t="str">
        <f>IFERROR(__xludf.DUMMYFUNCTION("""COMPUTED_VALUE"""),"Adhesivo PVC Grupo 4 Gases combustibles 400x100 mm")</f>
        <v>Adhesivo PVC Grupo 4 Gases combustibles 400x100 mm</v>
      </c>
      <c r="C1103" s="4">
        <f>IFERROR(__xludf.DUMMYFUNCTION("""COMPUTED_VALUE"""),2.0)</f>
        <v>2</v>
      </c>
      <c r="D1103" s="4"/>
      <c r="E1103" s="4" t="str">
        <f>IFERROR(__xludf.DUMMYFUNCTION("""COMPUTED_VALUE"""),"Sin precio neto")</f>
        <v>Sin precio neto</v>
      </c>
    </row>
    <row r="1104">
      <c r="A1104" s="4" t="str">
        <f>IFERROR(__xludf.DUMMYFUNCTION("""COMPUTED_VALUE"""),"889")</f>
        <v>889</v>
      </c>
      <c r="B1104" s="4" t="str">
        <f>IFERROR(__xludf.DUMMYFUNCTION("""COMPUTED_VALUE"""),"Adhesivo PVC Grupo 5 Gases no combustibles 100x25 mm")</f>
        <v>Adhesivo PVC Grupo 5 Gases no combustibles 100x25 mm</v>
      </c>
      <c r="C1104" s="4">
        <f>IFERROR(__xludf.DUMMYFUNCTION("""COMPUTED_VALUE"""),1.0)</f>
        <v>1</v>
      </c>
      <c r="D1104" s="4"/>
      <c r="E1104" s="4" t="str">
        <f>IFERROR(__xludf.DUMMYFUNCTION("""COMPUTED_VALUE"""),"Sin precio neto")</f>
        <v>Sin precio neto</v>
      </c>
    </row>
    <row r="1105">
      <c r="A1105" s="4" t="str">
        <f>IFERROR(__xludf.DUMMYFUNCTION("""COMPUTED_VALUE"""),"0889A")</f>
        <v>0889A</v>
      </c>
      <c r="B1105" s="4" t="str">
        <f>IFERROR(__xludf.DUMMYFUNCTION("""COMPUTED_VALUE"""),"Adhesivo PVC Grupo 5 Gases no combustibles 200x50 mm")</f>
        <v>Adhesivo PVC Grupo 5 Gases no combustibles 200x50 mm</v>
      </c>
      <c r="C1105" s="4">
        <f>IFERROR(__xludf.DUMMYFUNCTION("""COMPUTED_VALUE"""),1.5)</f>
        <v>1.5</v>
      </c>
      <c r="D1105" s="4"/>
      <c r="E1105" s="4" t="str">
        <f>IFERROR(__xludf.DUMMYFUNCTION("""COMPUTED_VALUE"""),"Sin precio neto")</f>
        <v>Sin precio neto</v>
      </c>
    </row>
    <row r="1106">
      <c r="A1106" s="4" t="str">
        <f>IFERROR(__xludf.DUMMYFUNCTION("""COMPUTED_VALUE"""),"0889B")</f>
        <v>0889B</v>
      </c>
      <c r="B1106" s="4" t="str">
        <f>IFERROR(__xludf.DUMMYFUNCTION("""COMPUTED_VALUE"""),"Adhesivo PVC Grupo 5 Gases no combustibles 400x100 mm")</f>
        <v>Adhesivo PVC Grupo 5 Gases no combustibles 400x100 mm</v>
      </c>
      <c r="C1106" s="4">
        <f>IFERROR(__xludf.DUMMYFUNCTION("""COMPUTED_VALUE"""),2.0)</f>
        <v>2</v>
      </c>
      <c r="D1106" s="4"/>
      <c r="E1106" s="4" t="str">
        <f>IFERROR(__xludf.DUMMYFUNCTION("""COMPUTED_VALUE"""),"Sin precio neto")</f>
        <v>Sin precio neto</v>
      </c>
    </row>
    <row r="1107">
      <c r="A1107" s="4" t="str">
        <f>IFERROR(__xludf.DUMMYFUNCTION("""COMPUTED_VALUE"""),"890")</f>
        <v>890</v>
      </c>
      <c r="B1107" s="4" t="str">
        <f>IFERROR(__xludf.DUMMYFUNCTION("""COMPUTED_VALUE"""),"Adhesivo PVC Grupo 5 Gases no combustibles 100x25 mm")</f>
        <v>Adhesivo PVC Grupo 5 Gases no combustibles 100x25 mm</v>
      </c>
      <c r="C1107" s="4">
        <f>IFERROR(__xludf.DUMMYFUNCTION("""COMPUTED_VALUE"""),1.0)</f>
        <v>1</v>
      </c>
      <c r="D1107" s="4"/>
      <c r="E1107" s="4" t="str">
        <f>IFERROR(__xludf.DUMMYFUNCTION("""COMPUTED_VALUE"""),"Sin precio neto")</f>
        <v>Sin precio neto</v>
      </c>
    </row>
    <row r="1108">
      <c r="A1108" s="4" t="str">
        <f>IFERROR(__xludf.DUMMYFUNCTION("""COMPUTED_VALUE"""),"0890A")</f>
        <v>0890A</v>
      </c>
      <c r="B1108" s="4" t="str">
        <f>IFERROR(__xludf.DUMMYFUNCTION("""COMPUTED_VALUE"""),"Adhesivo PVC Grupo 5 Gases no combustibles 200x50 mm")</f>
        <v>Adhesivo PVC Grupo 5 Gases no combustibles 200x50 mm</v>
      </c>
      <c r="C1108" s="4">
        <f>IFERROR(__xludf.DUMMYFUNCTION("""COMPUTED_VALUE"""),1.5)</f>
        <v>1.5</v>
      </c>
      <c r="D1108" s="4"/>
      <c r="E1108" s="4" t="str">
        <f>IFERROR(__xludf.DUMMYFUNCTION("""COMPUTED_VALUE"""),"Sin precio neto")</f>
        <v>Sin precio neto</v>
      </c>
    </row>
    <row r="1109">
      <c r="A1109" s="4" t="str">
        <f>IFERROR(__xludf.DUMMYFUNCTION("""COMPUTED_VALUE"""),"0890B")</f>
        <v>0890B</v>
      </c>
      <c r="B1109" s="4" t="str">
        <f>IFERROR(__xludf.DUMMYFUNCTION("""COMPUTED_VALUE"""),"Adhesivo PVC Grupo 5 Gases no combustibles 400x100 mm")</f>
        <v>Adhesivo PVC Grupo 5 Gases no combustibles 400x100 mm</v>
      </c>
      <c r="C1109" s="4">
        <f>IFERROR(__xludf.DUMMYFUNCTION("""COMPUTED_VALUE"""),2.0)</f>
        <v>2</v>
      </c>
      <c r="D1109" s="4"/>
      <c r="E1109" s="4" t="str">
        <f>IFERROR(__xludf.DUMMYFUNCTION("""COMPUTED_VALUE"""),"Sin precio neto")</f>
        <v>Sin precio neto</v>
      </c>
    </row>
    <row r="1110">
      <c r="A1110" s="4" t="str">
        <f>IFERROR(__xludf.DUMMYFUNCTION("""COMPUTED_VALUE"""),"891")</f>
        <v>891</v>
      </c>
      <c r="B1110" s="4" t="str">
        <f>IFERROR(__xludf.DUMMYFUNCTION("""COMPUTED_VALUE"""),"Adhesivo PVC Grupo 6 Ácidos 100x25 mm (todas las")</f>
        <v>Adhesivo PVC Grupo 6 Ácidos 100x25 mm (todas las</v>
      </c>
      <c r="C1110" s="4">
        <f>IFERROR(__xludf.DUMMYFUNCTION("""COMPUTED_VALUE"""),1.0)</f>
        <v>1</v>
      </c>
      <c r="D1110" s="4"/>
      <c r="E1110" s="4" t="str">
        <f>IFERROR(__xludf.DUMMYFUNCTION("""COMPUTED_VALUE"""),"Sin precio neto")</f>
        <v>Sin precio neto</v>
      </c>
    </row>
    <row r="1111">
      <c r="A1111" s="4" t="str">
        <f>IFERROR(__xludf.DUMMYFUNCTION("""COMPUTED_VALUE"""),"0891A")</f>
        <v>0891A</v>
      </c>
      <c r="B1111" s="4" t="str">
        <f>IFERROR(__xludf.DUMMYFUNCTION("""COMPUTED_VALUE"""),"Adhesivo PVC Grupo 6 Ácidos 200x50 mm (todas las")</f>
        <v>Adhesivo PVC Grupo 6 Ácidos 200x50 mm (todas las</v>
      </c>
      <c r="C1111" s="4">
        <f>IFERROR(__xludf.DUMMYFUNCTION("""COMPUTED_VALUE"""),1.5)</f>
        <v>1.5</v>
      </c>
      <c r="D1111" s="4"/>
      <c r="E1111" s="4" t="str">
        <f>IFERROR(__xludf.DUMMYFUNCTION("""COMPUTED_VALUE"""),"Sin precio neto")</f>
        <v>Sin precio neto</v>
      </c>
    </row>
    <row r="1112">
      <c r="A1112" s="4" t="str">
        <f>IFERROR(__xludf.DUMMYFUNCTION("""COMPUTED_VALUE"""),"0891B")</f>
        <v>0891B</v>
      </c>
      <c r="B1112" s="4" t="str">
        <f>IFERROR(__xludf.DUMMYFUNCTION("""COMPUTED_VALUE"""),"Adhesivo PVC Grupo 6 Ácidos 400x100 mm (todas las")</f>
        <v>Adhesivo PVC Grupo 6 Ácidos 400x100 mm (todas las</v>
      </c>
      <c r="C1112" s="4">
        <f>IFERROR(__xludf.DUMMYFUNCTION("""COMPUTED_VALUE"""),2.0)</f>
        <v>2</v>
      </c>
      <c r="D1112" s="4"/>
      <c r="E1112" s="4" t="str">
        <f>IFERROR(__xludf.DUMMYFUNCTION("""COMPUTED_VALUE"""),"Sin precio neto")</f>
        <v>Sin precio neto</v>
      </c>
    </row>
    <row r="1113">
      <c r="A1113" s="4" t="str">
        <f>IFERROR(__xludf.DUMMYFUNCTION("""COMPUTED_VALUE"""),"892")</f>
        <v>892</v>
      </c>
      <c r="B1113" s="4" t="str">
        <f>IFERROR(__xludf.DUMMYFUNCTION("""COMPUTED_VALUE"""),"Adhesivo PVC Grupo 7 Lejías 100x25 mm (todas las variantes)")</f>
        <v>Adhesivo PVC Grupo 7 Lejías 100x25 mm (todas las variantes)</v>
      </c>
      <c r="C1113" s="4">
        <f>IFERROR(__xludf.DUMMYFUNCTION("""COMPUTED_VALUE"""),1.0)</f>
        <v>1</v>
      </c>
      <c r="D1113" s="4"/>
      <c r="E1113" s="4" t="str">
        <f>IFERROR(__xludf.DUMMYFUNCTION("""COMPUTED_VALUE"""),"Sin precio neto")</f>
        <v>Sin precio neto</v>
      </c>
    </row>
    <row r="1114">
      <c r="A1114" s="4" t="str">
        <f>IFERROR(__xludf.DUMMYFUNCTION("""COMPUTED_VALUE"""),"0892A")</f>
        <v>0892A</v>
      </c>
      <c r="B1114" s="4" t="str">
        <f>IFERROR(__xludf.DUMMYFUNCTION("""COMPUTED_VALUE"""),"Adhesivo PVC Grupo 7 Lejías 200x50 mm (todas las")</f>
        <v>Adhesivo PVC Grupo 7 Lejías 200x50 mm (todas las</v>
      </c>
      <c r="C1114" s="4">
        <f>IFERROR(__xludf.DUMMYFUNCTION("""COMPUTED_VALUE"""),1.5)</f>
        <v>1.5</v>
      </c>
      <c r="D1114" s="4"/>
      <c r="E1114" s="4" t="str">
        <f>IFERROR(__xludf.DUMMYFUNCTION("""COMPUTED_VALUE"""),"Sin precio neto")</f>
        <v>Sin precio neto</v>
      </c>
    </row>
    <row r="1115">
      <c r="A1115" s="4" t="str">
        <f>IFERROR(__xludf.DUMMYFUNCTION("""COMPUTED_VALUE"""),"0892B")</f>
        <v>0892B</v>
      </c>
      <c r="B1115" s="4" t="str">
        <f>IFERROR(__xludf.DUMMYFUNCTION("""COMPUTED_VALUE"""),"Adhesivo PVC Grupo 7 Lejías 400x100 mm (todas las")</f>
        <v>Adhesivo PVC Grupo 7 Lejías 400x100 mm (todas las</v>
      </c>
      <c r="C1115" s="4">
        <f>IFERROR(__xludf.DUMMYFUNCTION("""COMPUTED_VALUE"""),2.0)</f>
        <v>2</v>
      </c>
      <c r="D1115" s="4"/>
      <c r="E1115" s="4" t="str">
        <f>IFERROR(__xludf.DUMMYFUNCTION("""COMPUTED_VALUE"""),"Sin precio neto")</f>
        <v>Sin precio neto</v>
      </c>
    </row>
    <row r="1116">
      <c r="A1116" s="4" t="str">
        <f>IFERROR(__xludf.DUMMYFUNCTION("""COMPUTED_VALUE"""),"893")</f>
        <v>893</v>
      </c>
      <c r="B1116" s="4" t="str">
        <f>IFERROR(__xludf.DUMMYFUNCTION("""COMPUTED_VALUE"""),"Adhesivo PVC Grupo 8 Líquidos combustibles 100x25 mm")</f>
        <v>Adhesivo PVC Grupo 8 Líquidos combustibles 100x25 mm</v>
      </c>
      <c r="C1116" s="4">
        <f>IFERROR(__xludf.DUMMYFUNCTION("""COMPUTED_VALUE"""),1.0)</f>
        <v>1</v>
      </c>
      <c r="D1116" s="4"/>
      <c r="E1116" s="4" t="str">
        <f>IFERROR(__xludf.DUMMYFUNCTION("""COMPUTED_VALUE"""),"Sin precio neto")</f>
        <v>Sin precio neto</v>
      </c>
    </row>
    <row r="1117">
      <c r="A1117" s="4" t="str">
        <f>IFERROR(__xludf.DUMMYFUNCTION("""COMPUTED_VALUE"""),"0893A")</f>
        <v>0893A</v>
      </c>
      <c r="B1117" s="4" t="str">
        <f>IFERROR(__xludf.DUMMYFUNCTION("""COMPUTED_VALUE"""),"Adhesivo PVC Grupo 8 Líquidos combustibles 200x50 mm")</f>
        <v>Adhesivo PVC Grupo 8 Líquidos combustibles 200x50 mm</v>
      </c>
      <c r="C1117" s="4">
        <f>IFERROR(__xludf.DUMMYFUNCTION("""COMPUTED_VALUE"""),1.5)</f>
        <v>1.5</v>
      </c>
      <c r="D1117" s="4"/>
      <c r="E1117" s="4" t="str">
        <f>IFERROR(__xludf.DUMMYFUNCTION("""COMPUTED_VALUE"""),"Sin precio neto")</f>
        <v>Sin precio neto</v>
      </c>
    </row>
    <row r="1118">
      <c r="A1118" s="4" t="str">
        <f>IFERROR(__xludf.DUMMYFUNCTION("""COMPUTED_VALUE"""),"0893B")</f>
        <v>0893B</v>
      </c>
      <c r="B1118" s="4" t="str">
        <f>IFERROR(__xludf.DUMMYFUNCTION("""COMPUTED_VALUE"""),"Adhesivo PVC Grupo 8 Líquidos combustibles 400x100 mm")</f>
        <v>Adhesivo PVC Grupo 8 Líquidos combustibles 400x100 mm</v>
      </c>
      <c r="C1118" s="4">
        <f>IFERROR(__xludf.DUMMYFUNCTION("""COMPUTED_VALUE"""),2.0)</f>
        <v>2</v>
      </c>
      <c r="D1118" s="4"/>
      <c r="E1118" s="4" t="str">
        <f>IFERROR(__xludf.DUMMYFUNCTION("""COMPUTED_VALUE"""),"Sin precio neto")</f>
        <v>Sin precio neto</v>
      </c>
    </row>
    <row r="1119">
      <c r="A1119" s="4" t="str">
        <f>IFERROR(__xludf.DUMMYFUNCTION("""COMPUTED_VALUE"""),"894")</f>
        <v>894</v>
      </c>
      <c r="B1119" s="4" t="str">
        <f>IFERROR(__xludf.DUMMYFUNCTION("""COMPUTED_VALUE"""),"Adhesivo PVC Grupo 8 Líquidos combustibles 100x25 mm B")</f>
        <v>Adhesivo PVC Grupo 8 Líquidos combustibles 100x25 mm B</v>
      </c>
      <c r="C1119" s="4">
        <f>IFERROR(__xludf.DUMMYFUNCTION("""COMPUTED_VALUE"""),1.0)</f>
        <v>1</v>
      </c>
      <c r="D1119" s="4"/>
      <c r="E1119" s="4" t="str">
        <f>IFERROR(__xludf.DUMMYFUNCTION("""COMPUTED_VALUE"""),"Sin precio neto")</f>
        <v>Sin precio neto</v>
      </c>
    </row>
    <row r="1120">
      <c r="A1120" s="4" t="str">
        <f>IFERROR(__xludf.DUMMYFUNCTION("""COMPUTED_VALUE"""),"0894A")</f>
        <v>0894A</v>
      </c>
      <c r="B1120" s="4" t="str">
        <f>IFERROR(__xludf.DUMMYFUNCTION("""COMPUTED_VALUE"""),"Adhesivo PVC Grupo 8 Líquidos combustibles 200x50 mm B")</f>
        <v>Adhesivo PVC Grupo 8 Líquidos combustibles 200x50 mm B</v>
      </c>
      <c r="C1120" s="4">
        <f>IFERROR(__xludf.DUMMYFUNCTION("""COMPUTED_VALUE"""),1.5)</f>
        <v>1.5</v>
      </c>
      <c r="D1120" s="4"/>
      <c r="E1120" s="4" t="str">
        <f>IFERROR(__xludf.DUMMYFUNCTION("""COMPUTED_VALUE"""),"Sin precio neto")</f>
        <v>Sin precio neto</v>
      </c>
    </row>
    <row r="1121">
      <c r="A1121" s="4" t="str">
        <f>IFERROR(__xludf.DUMMYFUNCTION("""COMPUTED_VALUE"""),"0894B")</f>
        <v>0894B</v>
      </c>
      <c r="B1121" s="4" t="str">
        <f>IFERROR(__xludf.DUMMYFUNCTION("""COMPUTED_VALUE"""),"Adhesivo PVC Grupo 8 Líquidos combustibles 400x100 mm")</f>
        <v>Adhesivo PVC Grupo 8 Líquidos combustibles 400x100 mm</v>
      </c>
      <c r="C1121" s="4">
        <f>IFERROR(__xludf.DUMMYFUNCTION("""COMPUTED_VALUE"""),2.0)</f>
        <v>2</v>
      </c>
      <c r="D1121" s="4"/>
      <c r="E1121" s="4" t="str">
        <f>IFERROR(__xludf.DUMMYFUNCTION("""COMPUTED_VALUE"""),"Sin precio neto")</f>
        <v>Sin precio neto</v>
      </c>
    </row>
    <row r="1122">
      <c r="A1122" s="4" t="str">
        <f>IFERROR(__xludf.DUMMYFUNCTION("""COMPUTED_VALUE"""),"895")</f>
        <v>895</v>
      </c>
      <c r="B1122" s="4" t="str">
        <f>IFERROR(__xludf.DUMMYFUNCTION("""COMPUTED_VALUE"""),"Adhesivo PVC Grupo 9 Líquidos no combustibles 100x25 mm")</f>
        <v>Adhesivo PVC Grupo 9 Líquidos no combustibles 100x25 mm</v>
      </c>
      <c r="C1122" s="4">
        <f>IFERROR(__xludf.DUMMYFUNCTION("""COMPUTED_VALUE"""),1.0)</f>
        <v>1</v>
      </c>
      <c r="D1122" s="4"/>
      <c r="E1122" s="4" t="str">
        <f>IFERROR(__xludf.DUMMYFUNCTION("""COMPUTED_VALUE"""),"Sin precio neto")</f>
        <v>Sin precio neto</v>
      </c>
    </row>
    <row r="1123">
      <c r="A1123" s="4" t="str">
        <f>IFERROR(__xludf.DUMMYFUNCTION("""COMPUTED_VALUE"""),"0895A")</f>
        <v>0895A</v>
      </c>
      <c r="B1123" s="4" t="str">
        <f>IFERROR(__xludf.DUMMYFUNCTION("""COMPUTED_VALUE"""),"Adhesivo PVC Grupo 9 Líquidos no combustibles 200x50 mm")</f>
        <v>Adhesivo PVC Grupo 9 Líquidos no combustibles 200x50 mm</v>
      </c>
      <c r="C1123" s="4">
        <f>IFERROR(__xludf.DUMMYFUNCTION("""COMPUTED_VALUE"""),1.5)</f>
        <v>1.5</v>
      </c>
      <c r="D1123" s="4"/>
      <c r="E1123" s="4" t="str">
        <f>IFERROR(__xludf.DUMMYFUNCTION("""COMPUTED_VALUE"""),"Sin precio neto")</f>
        <v>Sin precio neto</v>
      </c>
    </row>
    <row r="1124">
      <c r="A1124" s="4" t="str">
        <f>IFERROR(__xludf.DUMMYFUNCTION("""COMPUTED_VALUE"""),"0895B")</f>
        <v>0895B</v>
      </c>
      <c r="B1124" s="4" t="str">
        <f>IFERROR(__xludf.DUMMYFUNCTION("""COMPUTED_VALUE"""),"Adhesivo PVC Grupo 9 Líquidos no combustibles 400x100 mm")</f>
        <v>Adhesivo PVC Grupo 9 Líquidos no combustibles 400x100 mm</v>
      </c>
      <c r="C1124" s="4">
        <f>IFERROR(__xludf.DUMMYFUNCTION("""COMPUTED_VALUE"""),2.0)</f>
        <v>2</v>
      </c>
      <c r="D1124" s="4"/>
      <c r="E1124" s="4" t="str">
        <f>IFERROR(__xludf.DUMMYFUNCTION("""COMPUTED_VALUE"""),"Sin precio neto")</f>
        <v>Sin precio neto</v>
      </c>
    </row>
    <row r="1125">
      <c r="A1125" s="4" t="str">
        <f>IFERROR(__xludf.DUMMYFUNCTION("""COMPUTED_VALUE"""),"896")</f>
        <v>896</v>
      </c>
      <c r="B1125" s="4" t="str">
        <f>IFERROR(__xludf.DUMMYFUNCTION("""COMPUTED_VALUE"""),"Adhesivo PVC Grupo 9 Líquidos no combustibles 100x25 mm")</f>
        <v>Adhesivo PVC Grupo 9 Líquidos no combustibles 100x25 mm</v>
      </c>
      <c r="C1125" s="4">
        <f>IFERROR(__xludf.DUMMYFUNCTION("""COMPUTED_VALUE"""),1.0)</f>
        <v>1</v>
      </c>
      <c r="D1125" s="4"/>
      <c r="E1125" s="4" t="str">
        <f>IFERROR(__xludf.DUMMYFUNCTION("""COMPUTED_VALUE"""),"Sin precio neto")</f>
        <v>Sin precio neto</v>
      </c>
    </row>
    <row r="1126">
      <c r="A1126" s="4" t="str">
        <f>IFERROR(__xludf.DUMMYFUNCTION("""COMPUTED_VALUE"""),"0896A")</f>
        <v>0896A</v>
      </c>
      <c r="B1126" s="4" t="str">
        <f>IFERROR(__xludf.DUMMYFUNCTION("""COMPUTED_VALUE"""),"Adhesivo PVC Grupo 9 Líquidos no combustibles 200x50 mm")</f>
        <v>Adhesivo PVC Grupo 9 Líquidos no combustibles 200x50 mm</v>
      </c>
      <c r="C1126" s="4">
        <f>IFERROR(__xludf.DUMMYFUNCTION("""COMPUTED_VALUE"""),2.0)</f>
        <v>2</v>
      </c>
      <c r="D1126" s="4"/>
      <c r="E1126" s="4" t="str">
        <f>IFERROR(__xludf.DUMMYFUNCTION("""COMPUTED_VALUE"""),"Sin precio neto")</f>
        <v>Sin precio neto</v>
      </c>
    </row>
    <row r="1127">
      <c r="A1127" s="4" t="str">
        <f>IFERROR(__xludf.DUMMYFUNCTION("""COMPUTED_VALUE"""),"0896B")</f>
        <v>0896B</v>
      </c>
      <c r="B1127" s="4" t="str">
        <f>IFERROR(__xludf.DUMMYFUNCTION("""COMPUTED_VALUE"""),"Adhesivo PVC Grupo 9 Líquidos no combustibles 400x100 mm")</f>
        <v>Adhesivo PVC Grupo 9 Líquidos no combustibles 400x100 mm</v>
      </c>
      <c r="C1127" s="4">
        <f>IFERROR(__xludf.DUMMYFUNCTION("""COMPUTED_VALUE"""),2.0)</f>
        <v>2</v>
      </c>
      <c r="D1127" s="4"/>
      <c r="E1127" s="4" t="str">
        <f>IFERROR(__xludf.DUMMYFUNCTION("""COMPUTED_VALUE"""),"Sin precio neto")</f>
        <v>Sin precio neto</v>
      </c>
    </row>
    <row r="1128">
      <c r="A1128" s="4" t="str">
        <f>IFERROR(__xludf.DUMMYFUNCTION("""COMPUTED_VALUE"""),"1028/A/BAT")</f>
        <v>1028/A/BAT</v>
      </c>
      <c r="B1128" s="4" t="str">
        <f>IFERROR(__xludf.DUMMYFUNCTION("""COMPUTED_VALUE"""),"Baliza Powerflare azul c/cargador a 220v y 12 v")</f>
        <v>Baliza Powerflare azul c/cargador a 220v y 12 v</v>
      </c>
      <c r="C1128" s="4">
        <f>IFERROR(__xludf.DUMMYFUNCTION("""COMPUTED_VALUE"""),15.75)</f>
        <v>15.75</v>
      </c>
      <c r="D1128" s="4"/>
      <c r="E1128" s="4" t="str">
        <f>IFERROR(__xludf.DUMMYFUNCTION("""COMPUTED_VALUE"""),"Sin precio neto")</f>
        <v>Sin precio neto</v>
      </c>
    </row>
    <row r="1129">
      <c r="A1129" s="4" t="str">
        <f>IFERROR(__xludf.DUMMYFUNCTION("""COMPUTED_VALUE"""),"1028/AZUL")</f>
        <v>1028/AZUL</v>
      </c>
      <c r="B1129" s="4" t="str">
        <f>IFERROR(__xludf.DUMMYFUNCTION("""COMPUTED_VALUE"""),"Baliza powerflare azul ( repuesto )")</f>
        <v>Baliza powerflare azul ( repuesto )</v>
      </c>
      <c r="C1129" s="4">
        <f>IFERROR(__xludf.DUMMYFUNCTION("""COMPUTED_VALUE"""),9.45)</f>
        <v>9.45</v>
      </c>
      <c r="D1129" s="4"/>
      <c r="E1129" s="4" t="str">
        <f>IFERROR(__xludf.DUMMYFUNCTION("""COMPUTED_VALUE"""),"Sin precio neto")</f>
        <v>Sin precio neto</v>
      </c>
    </row>
    <row r="1130">
      <c r="A1130" s="4" t="str">
        <f>IFERROR(__xludf.DUMMYFUNCTION("""COMPUTED_VALUE"""),"1028/N/BAT")</f>
        <v>1028/N/BAT</v>
      </c>
      <c r="B1130" s="4" t="str">
        <f>IFERROR(__xludf.DUMMYFUNCTION("""COMPUTED_VALUE"""),"Baliza Powerflare naranja c/cargador a 220v y 12 v")</f>
        <v>Baliza Powerflare naranja c/cargador a 220v y 12 v</v>
      </c>
      <c r="C1130" s="4">
        <f>IFERROR(__xludf.DUMMYFUNCTION("""COMPUTED_VALUE"""),15.75)</f>
        <v>15.75</v>
      </c>
      <c r="D1130" s="4"/>
      <c r="E1130" s="4" t="str">
        <f>IFERROR(__xludf.DUMMYFUNCTION("""COMPUTED_VALUE"""),"Sin precio neto")</f>
        <v>Sin precio neto</v>
      </c>
    </row>
    <row r="1131">
      <c r="A1131" s="4" t="str">
        <f>IFERROR(__xludf.DUMMYFUNCTION("""COMPUTED_VALUE"""),"1028/NARANJA")</f>
        <v>1028/NARANJA</v>
      </c>
      <c r="B1131" s="4" t="str">
        <f>IFERROR(__xludf.DUMMYFUNCTION("""COMPUTED_VALUE"""),"Baliza powerflare naranja ( repuesto )")</f>
        <v>Baliza powerflare naranja ( repuesto )</v>
      </c>
      <c r="C1131" s="4">
        <f>IFERROR(__xludf.DUMMYFUNCTION("""COMPUTED_VALUE"""),9.45)</f>
        <v>9.45</v>
      </c>
      <c r="D1131" s="4"/>
      <c r="E1131" s="4" t="str">
        <f>IFERROR(__xludf.DUMMYFUNCTION("""COMPUTED_VALUE"""),"Sin precio neto")</f>
        <v>Sin precio neto</v>
      </c>
    </row>
    <row r="1132">
      <c r="A1132" s="4" t="str">
        <f>IFERROR(__xludf.DUMMYFUNCTION("""COMPUTED_VALUE"""),"1029")</f>
        <v>1029</v>
      </c>
      <c r="B1132" s="4" t="str">
        <f>IFERROR(__xludf.DUMMYFUNCTION("""COMPUTED_VALUE"""),"Maletín 6 uds baliza NARANJA led powerflare con cargador")</f>
        <v>Maletín 6 uds baliza NARANJA led powerflare con cargador</v>
      </c>
      <c r="C1132" s="4">
        <f>IFERROR(__xludf.DUMMYFUNCTION("""COMPUTED_VALUE"""),99.5)</f>
        <v>99.5</v>
      </c>
      <c r="D1132" s="4"/>
      <c r="E1132" s="4" t="str">
        <f>IFERROR(__xludf.DUMMYFUNCTION("""COMPUTED_VALUE"""),"Sin precio neto")</f>
        <v>Sin precio neto</v>
      </c>
    </row>
    <row r="1133">
      <c r="A1133" s="4" t="str">
        <f>IFERROR(__xludf.DUMMYFUNCTION("""COMPUTED_VALUE"""),"1029A")</f>
        <v>1029A</v>
      </c>
      <c r="B1133" s="4" t="str">
        <f>IFERROR(__xludf.DUMMYFUNCTION("""COMPUTED_VALUE"""),"Maletín 6 uds baliza AMARILLO led powerflare con cargador")</f>
        <v>Maletín 6 uds baliza AMARILLO led powerflare con cargador</v>
      </c>
      <c r="C1133" s="4">
        <f>IFERROR(__xludf.DUMMYFUNCTION("""COMPUTED_VALUE"""),99.5)</f>
        <v>99.5</v>
      </c>
      <c r="D1133" s="4"/>
      <c r="E1133" s="4" t="str">
        <f>IFERROR(__xludf.DUMMYFUNCTION("""COMPUTED_VALUE"""),"Sin precio neto")</f>
        <v>Sin precio neto</v>
      </c>
    </row>
    <row r="1134">
      <c r="A1134" s="4" t="str">
        <f>IFERROR(__xludf.DUMMYFUNCTION("""COMPUTED_VALUE"""),"1029Z")</f>
        <v>1029Z</v>
      </c>
      <c r="B1134" s="4" t="str">
        <f>IFERROR(__xludf.DUMMYFUNCTION("""COMPUTED_VALUE"""),"Maletín 6 uds baliza AZUL led powerflare con cargador")</f>
        <v>Maletín 6 uds baliza AZUL led powerflare con cargador</v>
      </c>
      <c r="C1134" s="4">
        <f>IFERROR(__xludf.DUMMYFUNCTION("""COMPUTED_VALUE"""),99.5)</f>
        <v>99.5</v>
      </c>
      <c r="D1134" s="4"/>
      <c r="E1134" s="4" t="str">
        <f>IFERROR(__xludf.DUMMYFUNCTION("""COMPUTED_VALUE"""),"Sin precio neto")</f>
        <v>Sin precio neto</v>
      </c>
    </row>
    <row r="1135">
      <c r="A1135" s="4" t="str">
        <f>IFERROR(__xludf.DUMMYFUNCTION("""COMPUTED_VALUE"""),"1030")</f>
        <v>1030</v>
      </c>
      <c r="B1135" s="4" t="str">
        <f>IFERROR(__xludf.DUMMYFUNCTION("""COMPUTED_VALUE"""),"Baliza LED azul intermitente")</f>
        <v>Baliza LED azul intermitente</v>
      </c>
      <c r="C1135" s="4">
        <f>IFERROR(__xludf.DUMMYFUNCTION("""COMPUTED_VALUE"""),6.4)</f>
        <v>6.4</v>
      </c>
      <c r="D1135" s="4"/>
      <c r="E1135" s="4" t="str">
        <f>IFERROR(__xludf.DUMMYFUNCTION("""COMPUTED_VALUE"""),"Sin precio neto")</f>
        <v>Sin precio neto</v>
      </c>
    </row>
    <row r="1136">
      <c r="A1136" s="4" t="str">
        <f>IFERROR(__xludf.DUMMYFUNCTION("""COMPUTED_VALUE"""),"1032")</f>
        <v>1032</v>
      </c>
      <c r="B1136" s="4" t="str">
        <f>IFERROR(__xludf.DUMMYFUNCTION("""COMPUTED_VALUE"""),"Baliza Señalizacion intermitente para 1 bateria")</f>
        <v>Baliza Señalizacion intermitente para 1 bateria</v>
      </c>
      <c r="C1136" s="4">
        <f>IFERROR(__xludf.DUMMYFUNCTION("""COMPUTED_VALUE"""),5.05)</f>
        <v>5.05</v>
      </c>
      <c r="D1136" s="4"/>
      <c r="E1136" s="4" t="str">
        <f>IFERROR(__xludf.DUMMYFUNCTION("""COMPUTED_VALUE"""),"Sin precio neto")</f>
        <v>Sin precio neto</v>
      </c>
    </row>
    <row r="1137">
      <c r="A1137" s="4" t="str">
        <f>IFERROR(__xludf.DUMMYFUNCTION("""COMPUTED_VALUE"""),"1033")</f>
        <v>1033</v>
      </c>
      <c r="B1137" s="4" t="str">
        <f>IFERROR(__xludf.DUMMYFUNCTION("""COMPUTED_VALUE"""),"Baliza Señalización Plus intermitente 2 baterías")</f>
        <v>Baliza Señalización Plus intermitente 2 baterías</v>
      </c>
      <c r="C1137" s="4">
        <f>IFERROR(__xludf.DUMMYFUNCTION("""COMPUTED_VALUE"""),6.97)</f>
        <v>6.97</v>
      </c>
      <c r="D1137" s="4">
        <f>IFERROR(__xludf.DUMMYFUNCTION("""COMPUTED_VALUE"""),5.55)</f>
        <v>5.55</v>
      </c>
      <c r="E1137" s="4" t="str">
        <f>IFERROR(__xludf.DUMMYFUNCTION("""COMPUTED_VALUE"""),"Neto: 5,55 € (a partir de 12 uds.)")</f>
        <v>Neto: 5,55 € (a partir de 12 uds.)</v>
      </c>
    </row>
    <row r="1138">
      <c r="A1138" s="4" t="str">
        <f>IFERROR(__xludf.DUMMYFUNCTION("""COMPUTED_VALUE"""),"1033/B")</f>
        <v>1033/B</v>
      </c>
      <c r="B1138" s="4" t="str">
        <f>IFERROR(__xludf.DUMMYFUNCTION("""COMPUTED_VALUE"""),"Baliza Señalizacion Basic intermitente 2 baterias")</f>
        <v>Baliza Señalizacion Basic intermitente 2 baterias</v>
      </c>
      <c r="C1138" s="4">
        <f>IFERROR(__xludf.DUMMYFUNCTION("""COMPUTED_VALUE"""),5.9)</f>
        <v>5.9</v>
      </c>
      <c r="D1138" s="4">
        <f>IFERROR(__xludf.DUMMYFUNCTION("""COMPUTED_VALUE"""),4.8)</f>
        <v>4.8</v>
      </c>
      <c r="E1138" s="4" t="str">
        <f>IFERROR(__xludf.DUMMYFUNCTION("""COMPUTED_VALUE"""),"Neto: 4,80 € (a partir de 12 uds.)")</f>
        <v>Neto: 4,80 € (a partir de 12 uds.)</v>
      </c>
    </row>
    <row r="1139">
      <c r="A1139" s="4" t="str">
        <f>IFERROR(__xludf.DUMMYFUNCTION("""COMPUTED_VALUE"""),"1033E")</f>
        <v>1033E</v>
      </c>
      <c r="B1139" s="4" t="str">
        <f>IFERROR(__xludf.DUMMYFUNCTION("""COMPUTED_VALUE"""),"Baliza intermitente Euroflash naranja")</f>
        <v>Baliza intermitente Euroflash naranja</v>
      </c>
      <c r="C1139" s="4">
        <f>IFERROR(__xludf.DUMMYFUNCTION("""COMPUTED_VALUE"""),7.25)</f>
        <v>7.25</v>
      </c>
      <c r="D1139" s="4"/>
      <c r="E1139" s="4" t="str">
        <f>IFERROR(__xludf.DUMMYFUNCTION("""COMPUTED_VALUE"""),"Sin precio neto")</f>
        <v>Sin precio neto</v>
      </c>
    </row>
    <row r="1140">
      <c r="A1140" s="4" t="str">
        <f>IFERROR(__xludf.DUMMYFUNCTION("""COMPUTED_VALUE"""),"1033V")</f>
        <v>1033V</v>
      </c>
      <c r="B1140" s="4" t="str">
        <f>IFERROR(__xludf.DUMMYFUNCTION("""COMPUTED_VALUE"""),"Baliza Señalización Plus intermitente 2 baterías VERDE")</f>
        <v>Baliza Señalización Plus intermitente 2 baterías VERDE</v>
      </c>
      <c r="C1140" s="4">
        <f>IFERROR(__xludf.DUMMYFUNCTION("""COMPUTED_VALUE"""),6.95)</f>
        <v>6.95</v>
      </c>
      <c r="D1140" s="4"/>
      <c r="E1140" s="4" t="str">
        <f>IFERROR(__xludf.DUMMYFUNCTION("""COMPUTED_VALUE"""),"Sin precio neto")</f>
        <v>Sin precio neto</v>
      </c>
    </row>
    <row r="1141">
      <c r="A1141" s="4" t="str">
        <f>IFERROR(__xludf.DUMMYFUNCTION("""COMPUTED_VALUE"""),"1034")</f>
        <v>1034</v>
      </c>
      <c r="B1141" s="4" t="str">
        <f>IFERROR(__xludf.DUMMYFUNCTION("""COMPUTED_VALUE"""),"Bateria baliza 6V 4R25 7 Ah. Alta Capacidad")</f>
        <v>Bateria baliza 6V 4R25 7 Ah. Alta Capacidad</v>
      </c>
      <c r="C1141" s="4">
        <f>IFERROR(__xludf.DUMMYFUNCTION("""COMPUTED_VALUE"""),1.89)</f>
        <v>1.89</v>
      </c>
      <c r="D1141" s="4">
        <f>IFERROR(__xludf.DUMMYFUNCTION("""COMPUTED_VALUE"""),1.5)</f>
        <v>1.5</v>
      </c>
      <c r="E1141" s="4" t="str">
        <f>IFERROR(__xludf.DUMMYFUNCTION("""COMPUTED_VALUE"""),"Neto: 1,50 € (a partir de 24 uds.)")</f>
        <v>Neto: 1,50 € (a partir de 24 uds.)</v>
      </c>
    </row>
    <row r="1142">
      <c r="A1142" s="4" t="str">
        <f>IFERROR(__xludf.DUMMYFUNCTION("""COMPUTED_VALUE"""),"1034G")</f>
        <v>1034G</v>
      </c>
      <c r="B1142" s="4" t="str">
        <f>IFERROR(__xludf.DUMMYFUNCTION("""COMPUTED_VALUE"""),"Bateria baliza 6v 25 Ah")</f>
        <v>Bateria baliza 6v 25 Ah</v>
      </c>
      <c r="C1142" s="4">
        <f>IFERROR(__xludf.DUMMYFUNCTION("""COMPUTED_VALUE"""),10.5)</f>
        <v>10.5</v>
      </c>
      <c r="D1142" s="4"/>
      <c r="E1142" s="4" t="str">
        <f>IFERROR(__xludf.DUMMYFUNCTION("""COMPUTED_VALUE"""),"Sin precio neto")</f>
        <v>Sin precio neto</v>
      </c>
    </row>
    <row r="1143">
      <c r="A1143" s="4" t="str">
        <f>IFERROR(__xludf.DUMMYFUNCTION("""COMPUTED_VALUE"""),"1035")</f>
        <v>1035</v>
      </c>
      <c r="B1143" s="4" t="str">
        <f>IFERROR(__xludf.DUMMYFUNCTION("""COMPUTED_VALUE"""),"Baliza Señalizacion flash-Led doble cara")</f>
        <v>Baliza Señalizacion flash-Led doble cara</v>
      </c>
      <c r="C1143" s="4">
        <f>IFERROR(__xludf.DUMMYFUNCTION("""COMPUTED_VALUE"""),22.25)</f>
        <v>22.25</v>
      </c>
      <c r="D1143" s="4"/>
      <c r="E1143" s="4" t="str">
        <f>IFERROR(__xludf.DUMMYFUNCTION("""COMPUTED_VALUE"""),"Sin precio neto")</f>
        <v>Sin precio neto</v>
      </c>
    </row>
    <row r="1144">
      <c r="A1144" s="4" t="str">
        <f>IFERROR(__xludf.DUMMYFUNCTION("""COMPUTED_VALUE"""),"1036")</f>
        <v>1036</v>
      </c>
      <c r="B1144" s="4" t="str">
        <f>IFERROR(__xludf.DUMMYFUNCTION("""COMPUTED_VALUE"""),"Baliza Señalización luz roja VEGA")</f>
        <v>Baliza Señalización luz roja VEGA</v>
      </c>
      <c r="C1144" s="4">
        <f>IFERROR(__xludf.DUMMYFUNCTION("""COMPUTED_VALUE"""),8.0)</f>
        <v>8</v>
      </c>
      <c r="D1144" s="4"/>
      <c r="E1144" s="4" t="str">
        <f>IFERROR(__xludf.DUMMYFUNCTION("""COMPUTED_VALUE"""),"Sin precio neto")</f>
        <v>Sin precio neto</v>
      </c>
    </row>
    <row r="1145">
      <c r="A1145" s="4" t="str">
        <f>IFERROR(__xludf.DUMMYFUNCTION("""COMPUTED_VALUE"""),"1037")</f>
        <v>1037</v>
      </c>
      <c r="B1145" s="4" t="str">
        <f>IFERROR(__xludf.DUMMYFUNCTION("""COMPUTED_VALUE"""),"Baliza Señalizacion solar")</f>
        <v>Baliza Señalizacion solar</v>
      </c>
      <c r="C1145" s="4">
        <f>IFERROR(__xludf.DUMMYFUNCTION("""COMPUTED_VALUE"""),14.9)</f>
        <v>14.9</v>
      </c>
      <c r="D1145" s="4"/>
      <c r="E1145" s="4" t="str">
        <f>IFERROR(__xludf.DUMMYFUNCTION("""COMPUTED_VALUE"""),"Sin precio neto")</f>
        <v>Sin precio neto</v>
      </c>
    </row>
    <row r="1146">
      <c r="A1146" s="4" t="str">
        <f>IFERROR(__xludf.DUMMYFUNCTION("""COMPUTED_VALUE"""),"1122B")</f>
        <v>1122B</v>
      </c>
      <c r="B1146" s="4" t="str">
        <f>IFERROR(__xludf.DUMMYFUNCTION("""COMPUTED_VALUE"""),"Barrera mediana HOG600 Blanca 560x1130x400 mm")</f>
        <v>Barrera mediana HOG600 Blanca 560x1130x400 mm</v>
      </c>
      <c r="C1146" s="4">
        <f>IFERROR(__xludf.DUMMYFUNCTION("""COMPUTED_VALUE"""),46.0)</f>
        <v>46</v>
      </c>
      <c r="D1146" s="4"/>
      <c r="E1146" s="4" t="str">
        <f>IFERROR(__xludf.DUMMYFUNCTION("""COMPUTED_VALUE"""),"Sin precio neto")</f>
        <v>Sin precio neto</v>
      </c>
    </row>
    <row r="1147">
      <c r="A1147" s="4" t="str">
        <f>IFERROR(__xludf.DUMMYFUNCTION("""COMPUTED_VALUE"""),"1122R")</f>
        <v>1122R</v>
      </c>
      <c r="B1147" s="4" t="str">
        <f>IFERROR(__xludf.DUMMYFUNCTION("""COMPUTED_VALUE"""),"Barrera mediana HOG600 Roja 560x1130x400 mm")</f>
        <v>Barrera mediana HOG600 Roja 560x1130x400 mm</v>
      </c>
      <c r="C1147" s="4">
        <f>IFERROR(__xludf.DUMMYFUNCTION("""COMPUTED_VALUE"""),46.0)</f>
        <v>46</v>
      </c>
      <c r="D1147" s="4"/>
      <c r="E1147" s="4" t="str">
        <f>IFERROR(__xludf.DUMMYFUNCTION("""COMPUTED_VALUE"""),"Sin precio neto")</f>
        <v>Sin precio neto</v>
      </c>
    </row>
    <row r="1148">
      <c r="A1148" s="4" t="str">
        <f>IFERROR(__xludf.DUMMYFUNCTION("""COMPUTED_VALUE"""),"1123")</f>
        <v>1123</v>
      </c>
      <c r="B1148" s="4" t="str">
        <f>IFERROR(__xludf.DUMMYFUNCTION("""COMPUTED_VALUE"""),"Mts. Cadena plástico 10 m/m R/B")</f>
        <v>Mts. Cadena plástico 10 m/m R/B</v>
      </c>
      <c r="C1148" s="4">
        <f>IFERROR(__xludf.DUMMYFUNCTION("""COMPUTED_VALUE"""),1.05)</f>
        <v>1.05</v>
      </c>
      <c r="D1148" s="4"/>
      <c r="E1148" s="4" t="str">
        <f>IFERROR(__xludf.DUMMYFUNCTION("""COMPUTED_VALUE"""),"Sin precio neto")</f>
        <v>Sin precio neto</v>
      </c>
    </row>
    <row r="1149">
      <c r="A1149" s="4" t="str">
        <f>IFERROR(__xludf.DUMMYFUNCTION("""COMPUTED_VALUE"""),"1124")</f>
        <v>1124</v>
      </c>
      <c r="B1149" s="4" t="str">
        <f>IFERROR(__xludf.DUMMYFUNCTION("""COMPUTED_VALUE"""),"Mts. Cadena plástico 10 m/m N/A")</f>
        <v>Mts. Cadena plástico 10 m/m N/A</v>
      </c>
      <c r="C1149" s="4">
        <f>IFERROR(__xludf.DUMMYFUNCTION("""COMPUTED_VALUE"""),1.05)</f>
        <v>1.05</v>
      </c>
      <c r="D1149" s="4"/>
      <c r="E1149" s="4" t="str">
        <f>IFERROR(__xludf.DUMMYFUNCTION("""COMPUTED_VALUE"""),"Sin precio neto")</f>
        <v>Sin precio neto</v>
      </c>
    </row>
    <row r="1150">
      <c r="A1150" s="4" t="str">
        <f>IFERROR(__xludf.DUMMYFUNCTION("""COMPUTED_VALUE"""),"1125")</f>
        <v>1125</v>
      </c>
      <c r="B1150" s="4" t="str">
        <f>IFERROR(__xludf.DUMMYFUNCTION("""COMPUTED_VALUE"""),"Poste señaliz. 1 m Rojo/Blanco p/cadena plastica")</f>
        <v>Poste señaliz. 1 m Rojo/Blanco p/cadena plastica</v>
      </c>
      <c r="C1150" s="4">
        <f>IFERROR(__xludf.DUMMYFUNCTION("""COMPUTED_VALUE"""),6.45)</f>
        <v>6.45</v>
      </c>
      <c r="D1150" s="4">
        <f>IFERROR(__xludf.DUMMYFUNCTION("""COMPUTED_VALUE"""),5.5)</f>
        <v>5.5</v>
      </c>
      <c r="E1150" s="4" t="str">
        <f>IFERROR(__xludf.DUMMYFUNCTION("""COMPUTED_VALUE"""),"Neto: 5,50 € (a partir de 10 uds.)")</f>
        <v>Neto: 5,50 € (a partir de 10 uds.)</v>
      </c>
    </row>
    <row r="1151">
      <c r="A1151" s="4" t="str">
        <f>IFERROR(__xludf.DUMMYFUNCTION("""COMPUTED_VALUE"""),"1125AN")</f>
        <v>1125AN</v>
      </c>
      <c r="B1151" s="4" t="str">
        <f>IFERROR(__xludf.DUMMYFUNCTION("""COMPUTED_VALUE"""),"Poste señaliz. 1 m Amarillo/negro p/cadena plastica")</f>
        <v>Poste señaliz. 1 m Amarillo/negro p/cadena plastica</v>
      </c>
      <c r="C1151" s="4">
        <f>IFERROR(__xludf.DUMMYFUNCTION("""COMPUTED_VALUE"""),6.45)</f>
        <v>6.45</v>
      </c>
      <c r="D1151" s="4">
        <f>IFERROR(__xludf.DUMMYFUNCTION("""COMPUTED_VALUE"""),5.5)</f>
        <v>5.5</v>
      </c>
      <c r="E1151" s="4" t="str">
        <f>IFERROR(__xludf.DUMMYFUNCTION("""COMPUTED_VALUE"""),"Neto: 5,50 € (a partir de 10 uds.)")</f>
        <v>Neto: 5,50 € (a partir de 10 uds.)</v>
      </c>
    </row>
    <row r="1152">
      <c r="A1152" s="4" t="str">
        <f>IFERROR(__xludf.DUMMYFUNCTION("""COMPUTED_VALUE"""),"1125BZ")</f>
        <v>1125BZ</v>
      </c>
      <c r="B1152" s="4" t="str">
        <f>IFERROR(__xludf.DUMMYFUNCTION("""COMPUTED_VALUE"""),"Poste señaliz. 1 m Azul/Blanco p/cadena plastica")</f>
        <v>Poste señaliz. 1 m Azul/Blanco p/cadena plastica</v>
      </c>
      <c r="C1152" s="4">
        <f>IFERROR(__xludf.DUMMYFUNCTION("""COMPUTED_VALUE"""),6.45)</f>
        <v>6.45</v>
      </c>
      <c r="D1152" s="4">
        <f>IFERROR(__xludf.DUMMYFUNCTION("""COMPUTED_VALUE"""),5.5)</f>
        <v>5.5</v>
      </c>
      <c r="E1152" s="4" t="str">
        <f>IFERROR(__xludf.DUMMYFUNCTION("""COMPUTED_VALUE"""),"Neto: 5,50 € (a partir de 10 uds.)")</f>
        <v>Neto: 5,50 € (a partir de 10 uds.)</v>
      </c>
    </row>
    <row r="1153">
      <c r="A1153" s="4" t="str">
        <f>IFERROR(__xludf.DUMMYFUNCTION("""COMPUTED_VALUE"""),"1125VB")</f>
        <v>1125VB</v>
      </c>
      <c r="B1153" s="4" t="str">
        <f>IFERROR(__xludf.DUMMYFUNCTION("""COMPUTED_VALUE"""),"Poste señaliz. 1 m Verde/Blanco p/cadena plastica")</f>
        <v>Poste señaliz. 1 m Verde/Blanco p/cadena plastica</v>
      </c>
      <c r="C1153" s="4">
        <f>IFERROR(__xludf.DUMMYFUNCTION("""COMPUTED_VALUE"""),6.45)</f>
        <v>6.45</v>
      </c>
      <c r="D1153" s="4">
        <f>IFERROR(__xludf.DUMMYFUNCTION("""COMPUTED_VALUE"""),5.5)</f>
        <v>5.5</v>
      </c>
      <c r="E1153" s="4" t="str">
        <f>IFERROR(__xludf.DUMMYFUNCTION("""COMPUTED_VALUE"""),"Neto: 5,50 € (a partir de 10 uds.)")</f>
        <v>Neto: 5,50 € (a partir de 10 uds.)</v>
      </c>
    </row>
    <row r="1154">
      <c r="A1154" s="4" t="str">
        <f>IFERROR(__xludf.DUMMYFUNCTION("""COMPUTED_VALUE"""),"1126")</f>
        <v>1126</v>
      </c>
      <c r="B1154" s="4" t="str">
        <f>IFERROR(__xludf.DUMMYFUNCTION("""COMPUTED_VALUE"""),"Mts. Cadena Plástico 5.5 m/m R/B")</f>
        <v>Mts. Cadena Plástico 5.5 m/m R/B</v>
      </c>
      <c r="C1154" s="4">
        <f>IFERROR(__xludf.DUMMYFUNCTION("""COMPUTED_VALUE"""),0.65)</f>
        <v>0.65</v>
      </c>
      <c r="D1154" s="4">
        <f>IFERROR(__xludf.DUMMYFUNCTION("""COMPUTED_VALUE"""),0.6)</f>
        <v>0.6</v>
      </c>
      <c r="E1154" s="4" t="str">
        <f>IFERROR(__xludf.DUMMYFUNCTION("""COMPUTED_VALUE"""),"Neto: 0,60 € (a partir de 200 uds.)")</f>
        <v>Neto: 0,60 € (a partir de 200 uds.)</v>
      </c>
    </row>
    <row r="1155">
      <c r="A1155" s="4" t="str">
        <f>IFERROR(__xludf.DUMMYFUNCTION("""COMPUTED_VALUE"""),"1126B")</f>
        <v>1126B</v>
      </c>
      <c r="B1155" s="4" t="str">
        <f>IFERROR(__xludf.DUMMYFUNCTION("""COMPUTED_VALUE"""),"Mts. cadena Plástico 5.5 mm Blanca")</f>
        <v>Mts. cadena Plástico 5.5 mm Blanca</v>
      </c>
      <c r="C1155" s="4">
        <f>IFERROR(__xludf.DUMMYFUNCTION("""COMPUTED_VALUE"""),0.65)</f>
        <v>0.65</v>
      </c>
      <c r="D1155" s="4">
        <f>IFERROR(__xludf.DUMMYFUNCTION("""COMPUTED_VALUE"""),0.6)</f>
        <v>0.6</v>
      </c>
      <c r="E1155" s="4" t="str">
        <f>IFERROR(__xludf.DUMMYFUNCTION("""COMPUTED_VALUE"""),"Neto: 0,60 € (a partir de 200 uds.)")</f>
        <v>Neto: 0,60 € (a partir de 200 uds.)</v>
      </c>
    </row>
    <row r="1156">
      <c r="A1156" s="4" t="str">
        <f>IFERROR(__xludf.DUMMYFUNCTION("""COMPUTED_VALUE"""),"1126BZ")</f>
        <v>1126BZ</v>
      </c>
      <c r="B1156" s="4" t="str">
        <f>IFERROR(__xludf.DUMMYFUNCTION("""COMPUTED_VALUE"""),"Mts. Cadena Plástico 5.5 m/m B/Z")</f>
        <v>Mts. Cadena Plástico 5.5 m/m B/Z</v>
      </c>
      <c r="C1156" s="4">
        <f>IFERROR(__xludf.DUMMYFUNCTION("""COMPUTED_VALUE"""),0.65)</f>
        <v>0.65</v>
      </c>
      <c r="D1156" s="4">
        <f>IFERROR(__xludf.DUMMYFUNCTION("""COMPUTED_VALUE"""),0.6)</f>
        <v>0.6</v>
      </c>
      <c r="E1156" s="4" t="str">
        <f>IFERROR(__xludf.DUMMYFUNCTION("""COMPUTED_VALUE"""),"Neto: 0,60 € (a partir de 200 uds.)")</f>
        <v>Neto: 0,60 € (a partir de 200 uds.)</v>
      </c>
    </row>
    <row r="1157">
      <c r="A1157" s="4" t="str">
        <f>IFERROR(__xludf.DUMMYFUNCTION("""COMPUTED_VALUE"""),"1126M3")</f>
        <v>1126M3</v>
      </c>
      <c r="B1157" s="4" t="str">
        <f>IFERROR(__xludf.DUMMYFUNCTION("""COMPUTED_VALUE"""),"Rollo 165 m cadena metálica señalización cincada 3 mm")</f>
        <v>Rollo 165 m cadena metálica señalización cincada 3 mm</v>
      </c>
      <c r="C1157" s="4">
        <f>IFERROR(__xludf.DUMMYFUNCTION("""COMPUTED_VALUE"""),118.125)</f>
        <v>118.125</v>
      </c>
      <c r="D1157" s="4"/>
      <c r="E1157" s="4" t="str">
        <f>IFERROR(__xludf.DUMMYFUNCTION("""COMPUTED_VALUE"""),"Sin precio neto")</f>
        <v>Sin precio neto</v>
      </c>
    </row>
    <row r="1158">
      <c r="A1158" s="4" t="str">
        <f>IFERROR(__xludf.DUMMYFUNCTION("""COMPUTED_VALUE"""),"1126M6")</f>
        <v>1126M6</v>
      </c>
      <c r="B1158" s="4" t="str">
        <f>IFERROR(__xludf.DUMMYFUNCTION("""COMPUTED_VALUE"""),"Rollo 38 m cadena metálica señalización cincada 6 mm")</f>
        <v>Rollo 38 m cadena metálica señalización cincada 6 mm</v>
      </c>
      <c r="C1158" s="4">
        <f>IFERROR(__xludf.DUMMYFUNCTION("""COMPUTED_VALUE"""),99.0)</f>
        <v>99</v>
      </c>
      <c r="D1158" s="4"/>
      <c r="E1158" s="4" t="str">
        <f>IFERROR(__xludf.DUMMYFUNCTION("""COMPUTED_VALUE"""),"Sin precio neto")</f>
        <v>Sin precio neto</v>
      </c>
    </row>
    <row r="1159">
      <c r="A1159" s="4" t="str">
        <f>IFERROR(__xludf.DUMMYFUNCTION("""COMPUTED_VALUE"""),"1126M8")</f>
        <v>1126M8</v>
      </c>
      <c r="B1159" s="4" t="str">
        <f>IFERROR(__xludf.DUMMYFUNCTION("""COMPUTED_VALUE"""),"Rollo 21 m cadena metálica señalización cincada 8 mm")</f>
        <v>Rollo 21 m cadena metálica señalización cincada 8 mm</v>
      </c>
      <c r="C1159" s="4">
        <f>IFERROR(__xludf.DUMMYFUNCTION("""COMPUTED_VALUE"""),92.5)</f>
        <v>92.5</v>
      </c>
      <c r="D1159" s="4"/>
      <c r="E1159" s="4" t="str">
        <f>IFERROR(__xludf.DUMMYFUNCTION("""COMPUTED_VALUE"""),"Sin precio neto")</f>
        <v>Sin precio neto</v>
      </c>
    </row>
    <row r="1160">
      <c r="A1160" s="4" t="str">
        <f>IFERROR(__xludf.DUMMYFUNCTION("""COMPUTED_VALUE"""),"1126MNA")</f>
        <v>1126MNA</v>
      </c>
      <c r="B1160" s="4" t="str">
        <f>IFERROR(__xludf.DUMMYFUNCTION("""COMPUTED_VALUE"""),"Rollo 25 m cadena metálica Señalización pintada")</f>
        <v>Rollo 25 m cadena metálica Señalización pintada</v>
      </c>
      <c r="C1160" s="4">
        <f>IFERROR(__xludf.DUMMYFUNCTION("""COMPUTED_VALUE"""),90.0)</f>
        <v>90</v>
      </c>
      <c r="D1160" s="4"/>
      <c r="E1160" s="4" t="str">
        <f>IFERROR(__xludf.DUMMYFUNCTION("""COMPUTED_VALUE"""),"Sin precio neto")</f>
        <v>Sin precio neto</v>
      </c>
    </row>
    <row r="1161">
      <c r="A1161" s="4" t="str">
        <f>IFERROR(__xludf.DUMMYFUNCTION("""COMPUTED_VALUE"""),"1126MRB")</f>
        <v>1126MRB</v>
      </c>
      <c r="B1161" s="4" t="str">
        <f>IFERROR(__xludf.DUMMYFUNCTION("""COMPUTED_VALUE"""),"Rollo 25 m cadena metálica Señalización pintada")</f>
        <v>Rollo 25 m cadena metálica Señalización pintada</v>
      </c>
      <c r="C1161" s="4">
        <f>IFERROR(__xludf.DUMMYFUNCTION("""COMPUTED_VALUE"""),90.0)</f>
        <v>90</v>
      </c>
      <c r="D1161" s="4"/>
      <c r="E1161" s="4" t="str">
        <f>IFERROR(__xludf.DUMMYFUNCTION("""COMPUTED_VALUE"""),"Sin precio neto")</f>
        <v>Sin precio neto</v>
      </c>
    </row>
    <row r="1162">
      <c r="A1162" s="4" t="str">
        <f>IFERROR(__xludf.DUMMYFUNCTION("""COMPUTED_VALUE"""),"1126V")</f>
        <v>1126V</v>
      </c>
      <c r="B1162" s="4" t="str">
        <f>IFERROR(__xludf.DUMMYFUNCTION("""COMPUTED_VALUE"""),"Mts. Cadena Plástico 5.5 mm Verde")</f>
        <v>Mts. Cadena Plástico 5.5 mm Verde</v>
      </c>
      <c r="C1162" s="4">
        <f>IFERROR(__xludf.DUMMYFUNCTION("""COMPUTED_VALUE"""),0.65)</f>
        <v>0.65</v>
      </c>
      <c r="D1162" s="4">
        <f>IFERROR(__xludf.DUMMYFUNCTION("""COMPUTED_VALUE"""),0.6)</f>
        <v>0.6</v>
      </c>
      <c r="E1162" s="4" t="str">
        <f>IFERROR(__xludf.DUMMYFUNCTION("""COMPUTED_VALUE"""),"Neto: 0,60 € (a partir de 200 uds.)")</f>
        <v>Neto: 0,60 € (a partir de 200 uds.)</v>
      </c>
    </row>
    <row r="1163">
      <c r="A1163" s="4" t="str">
        <f>IFERROR(__xludf.DUMMYFUNCTION("""COMPUTED_VALUE"""),"1126VB")</f>
        <v>1126VB</v>
      </c>
      <c r="B1163" s="4" t="str">
        <f>IFERROR(__xludf.DUMMYFUNCTION("""COMPUTED_VALUE"""),"Mts. Cadena Plástico 5.5 mm V/B")</f>
        <v>Mts. Cadena Plástico 5.5 mm V/B</v>
      </c>
      <c r="C1163" s="4">
        <f>IFERROR(__xludf.DUMMYFUNCTION("""COMPUTED_VALUE"""),0.65)</f>
        <v>0.65</v>
      </c>
      <c r="D1163" s="4">
        <f>IFERROR(__xludf.DUMMYFUNCTION("""COMPUTED_VALUE"""),0.6)</f>
        <v>0.6</v>
      </c>
      <c r="E1163" s="4" t="str">
        <f>IFERROR(__xludf.DUMMYFUNCTION("""COMPUTED_VALUE"""),"Neto: 0,60 € (a partir de 200 uds.)")</f>
        <v>Neto: 0,60 € (a partir de 200 uds.)</v>
      </c>
    </row>
    <row r="1164">
      <c r="A1164" s="4" t="str">
        <f>IFERROR(__xludf.DUMMYFUNCTION("""COMPUTED_VALUE"""),"1127")</f>
        <v>1127</v>
      </c>
      <c r="B1164" s="4" t="str">
        <f>IFERROR(__xludf.DUMMYFUNCTION("""COMPUTED_VALUE"""),"Mts. Cadena plastico 7.5 mm R/B")</f>
        <v>Mts. Cadena plastico 7.5 mm R/B</v>
      </c>
      <c r="C1164" s="4">
        <f>IFERROR(__xludf.DUMMYFUNCTION("""COMPUTED_VALUE"""),0.78)</f>
        <v>0.78</v>
      </c>
      <c r="D1164" s="4">
        <f>IFERROR(__xludf.DUMMYFUNCTION("""COMPUTED_VALUE"""),0.7)</f>
        <v>0.7</v>
      </c>
      <c r="E1164" s="4" t="str">
        <f>IFERROR(__xludf.DUMMYFUNCTION("""COMPUTED_VALUE"""),"Neto: 0,70 € (a partir de 100 uds.)")</f>
        <v>Neto: 0,70 € (a partir de 100 uds.)</v>
      </c>
    </row>
    <row r="1165">
      <c r="A1165" s="4" t="str">
        <f>IFERROR(__xludf.DUMMYFUNCTION("""COMPUTED_VALUE"""),"1127B")</f>
        <v>1127B</v>
      </c>
      <c r="B1165" s="4" t="str">
        <f>IFERROR(__xludf.DUMMYFUNCTION("""COMPUTED_VALUE"""),"Mts. cadena Plástico 7.5 mm Blanca")</f>
        <v>Mts. cadena Plástico 7.5 mm Blanca</v>
      </c>
      <c r="C1165" s="4">
        <f>IFERROR(__xludf.DUMMYFUNCTION("""COMPUTED_VALUE"""),0.78)</f>
        <v>0.78</v>
      </c>
      <c r="D1165" s="4">
        <f>IFERROR(__xludf.DUMMYFUNCTION("""COMPUTED_VALUE"""),0.7)</f>
        <v>0.7</v>
      </c>
      <c r="E1165" s="4" t="str">
        <f>IFERROR(__xludf.DUMMYFUNCTION("""COMPUTED_VALUE"""),"Neto: 0,70 € (a partir de 100 uds.)")</f>
        <v>Neto: 0,70 € (a partir de 100 uds.)</v>
      </c>
    </row>
    <row r="1166">
      <c r="A1166" s="4" t="str">
        <f>IFERROR(__xludf.DUMMYFUNCTION("""COMPUTED_VALUE"""),"1127BZ")</f>
        <v>1127BZ</v>
      </c>
      <c r="B1166" s="4" t="str">
        <f>IFERROR(__xludf.DUMMYFUNCTION("""COMPUTED_VALUE"""),"Mts. Cadena Plástico 7.5 mm B/Z")</f>
        <v>Mts. Cadena Plástico 7.5 mm B/Z</v>
      </c>
      <c r="C1166" s="4">
        <f>IFERROR(__xludf.DUMMYFUNCTION("""COMPUTED_VALUE"""),0.78)</f>
        <v>0.78</v>
      </c>
      <c r="D1166" s="4">
        <f>IFERROR(__xludf.DUMMYFUNCTION("""COMPUTED_VALUE"""),0.7)</f>
        <v>0.7</v>
      </c>
      <c r="E1166" s="4" t="str">
        <f>IFERROR(__xludf.DUMMYFUNCTION("""COMPUTED_VALUE"""),"Neto: 0,70 € (a partir de 100 uds.)")</f>
        <v>Neto: 0,70 € (a partir de 100 uds.)</v>
      </c>
    </row>
    <row r="1167">
      <c r="A1167" s="4" t="str">
        <f>IFERROR(__xludf.DUMMYFUNCTION("""COMPUTED_VALUE"""),"1127V")</f>
        <v>1127V</v>
      </c>
      <c r="B1167" s="4" t="str">
        <f>IFERROR(__xludf.DUMMYFUNCTION("""COMPUTED_VALUE"""),"Mts. cadena Plástico 7.5 mm Verde")</f>
        <v>Mts. cadena Plástico 7.5 mm Verde</v>
      </c>
      <c r="C1167" s="4">
        <f>IFERROR(__xludf.DUMMYFUNCTION("""COMPUTED_VALUE"""),0.78)</f>
        <v>0.78</v>
      </c>
      <c r="D1167" s="4">
        <f>IFERROR(__xludf.DUMMYFUNCTION("""COMPUTED_VALUE"""),0.7)</f>
        <v>0.7</v>
      </c>
      <c r="E1167" s="4" t="str">
        <f>IFERROR(__xludf.DUMMYFUNCTION("""COMPUTED_VALUE"""),"Neto: 0,70 € (a partir de 100 uds.)")</f>
        <v>Neto: 0,70 € (a partir de 100 uds.)</v>
      </c>
    </row>
    <row r="1168">
      <c r="A1168" s="4" t="str">
        <f>IFERROR(__xludf.DUMMYFUNCTION("""COMPUTED_VALUE"""),"1127VB")</f>
        <v>1127VB</v>
      </c>
      <c r="B1168" s="4" t="str">
        <f>IFERROR(__xludf.DUMMYFUNCTION("""COMPUTED_VALUE"""),"Mts. Cadena Plástico 7.5 mm V/B")</f>
        <v>Mts. Cadena Plástico 7.5 mm V/B</v>
      </c>
      <c r="C1168" s="4">
        <f>IFERROR(__xludf.DUMMYFUNCTION("""COMPUTED_VALUE"""),0.78)</f>
        <v>0.78</v>
      </c>
      <c r="D1168" s="4">
        <f>IFERROR(__xludf.DUMMYFUNCTION("""COMPUTED_VALUE"""),0.7)</f>
        <v>0.7</v>
      </c>
      <c r="E1168" s="4" t="str">
        <f>IFERROR(__xludf.DUMMYFUNCTION("""COMPUTED_VALUE"""),"Neto: 0,70 € (a partir de 100 uds.)")</f>
        <v>Neto: 0,70 € (a partir de 100 uds.)</v>
      </c>
    </row>
    <row r="1169">
      <c r="A1169" s="4" t="str">
        <f>IFERROR(__xludf.DUMMYFUNCTION("""COMPUTED_VALUE"""),"1128")</f>
        <v>1128</v>
      </c>
      <c r="B1169" s="4" t="str">
        <f>IFERROR(__xludf.DUMMYFUNCTION("""COMPUTED_VALUE"""),"Mts. Cadena plastico 5.5mm N/A")</f>
        <v>Mts. Cadena plastico 5.5mm N/A</v>
      </c>
      <c r="C1169" s="4">
        <f>IFERROR(__xludf.DUMMYFUNCTION("""COMPUTED_VALUE"""),0.65)</f>
        <v>0.65</v>
      </c>
      <c r="D1169" s="4">
        <f>IFERROR(__xludf.DUMMYFUNCTION("""COMPUTED_VALUE"""),0.6)</f>
        <v>0.6</v>
      </c>
      <c r="E1169" s="4" t="str">
        <f>IFERROR(__xludf.DUMMYFUNCTION("""COMPUTED_VALUE"""),"Neto: 0,60 € (a partir de 200 uds.)")</f>
        <v>Neto: 0,60 € (a partir de 200 uds.)</v>
      </c>
    </row>
    <row r="1170">
      <c r="A1170" s="4" t="str">
        <f>IFERROR(__xludf.DUMMYFUNCTION("""COMPUTED_VALUE"""),"1129")</f>
        <v>1129</v>
      </c>
      <c r="B1170" s="4" t="str">
        <f>IFERROR(__xludf.DUMMYFUNCTION("""COMPUTED_VALUE"""),"Mts. Cadena plastico 7.5 mm N/A")</f>
        <v>Mts. Cadena plastico 7.5 mm N/A</v>
      </c>
      <c r="C1170" s="4">
        <f>IFERROR(__xludf.DUMMYFUNCTION("""COMPUTED_VALUE"""),0.78)</f>
        <v>0.78</v>
      </c>
      <c r="D1170" s="4">
        <f>IFERROR(__xludf.DUMMYFUNCTION("""COMPUTED_VALUE"""),0.7)</f>
        <v>0.7</v>
      </c>
      <c r="E1170" s="4" t="str">
        <f>IFERROR(__xludf.DUMMYFUNCTION("""COMPUTED_VALUE"""),"Neto: 0,70 € (a partir de 100 uds.)")</f>
        <v>Neto: 0,70 € (a partir de 100 uds.)</v>
      </c>
    </row>
    <row r="1171">
      <c r="A1171" s="4" t="str">
        <f>IFERROR(__xludf.DUMMYFUNCTION("""COMPUTED_VALUE"""),"1132")</f>
        <v>1132</v>
      </c>
      <c r="B1171" s="4" t="str">
        <f>IFERROR(__xludf.DUMMYFUNCTION("""COMPUTED_VALUE"""),"Poste plata con cinturón retráctil rojo 2 m")</f>
        <v>Poste plata con cinturón retráctil rojo 2 m</v>
      </c>
      <c r="C1171" s="4">
        <f>IFERROR(__xludf.DUMMYFUNCTION("""COMPUTED_VALUE"""),24.0)</f>
        <v>24</v>
      </c>
      <c r="D1171" s="4"/>
      <c r="E1171" s="4" t="str">
        <f>IFERROR(__xludf.DUMMYFUNCTION("""COMPUTED_VALUE"""),"Sin precio neto")</f>
        <v>Sin precio neto</v>
      </c>
    </row>
    <row r="1172">
      <c r="A1172" s="4" t="str">
        <f>IFERROR(__xludf.DUMMYFUNCTION("""COMPUTED_VALUE"""),"11325M")</f>
        <v>11325M</v>
      </c>
      <c r="B1172" s="4" t="str">
        <f>IFERROR(__xludf.DUMMYFUNCTION("""COMPUTED_VALUE"""),"Poste plata con cinturón retráctil rojo 5 m")</f>
        <v>Poste plata con cinturón retráctil rojo 5 m</v>
      </c>
      <c r="C1172" s="4">
        <f>IFERROR(__xludf.DUMMYFUNCTION("""COMPUTED_VALUE"""),31.0)</f>
        <v>31</v>
      </c>
      <c r="D1172" s="4"/>
      <c r="E1172" s="4" t="str">
        <f>IFERROR(__xludf.DUMMYFUNCTION("""COMPUTED_VALUE"""),"Sin precio neto")</f>
        <v>Sin precio neto</v>
      </c>
    </row>
    <row r="1173">
      <c r="A1173" s="4" t="str">
        <f>IFERROR(__xludf.DUMMYFUNCTION("""COMPUTED_VALUE"""),"1132A")</f>
        <v>1132A</v>
      </c>
      <c r="B1173" s="4" t="str">
        <f>IFERROR(__xludf.DUMMYFUNCTION("""COMPUTED_VALUE"""),"Poste plata con cinturón retráctil azul 2 m")</f>
        <v>Poste plata con cinturón retráctil azul 2 m</v>
      </c>
      <c r="C1173" s="4">
        <f>IFERROR(__xludf.DUMMYFUNCTION("""COMPUTED_VALUE"""),24.0)</f>
        <v>24</v>
      </c>
      <c r="D1173" s="4"/>
      <c r="E1173" s="4" t="str">
        <f>IFERROR(__xludf.DUMMYFUNCTION("""COMPUTED_VALUE"""),"Sin precio neto")</f>
        <v>Sin precio neto</v>
      </c>
    </row>
    <row r="1174">
      <c r="A1174" s="4" t="str">
        <f>IFERROR(__xludf.DUMMYFUNCTION("""COMPUTED_VALUE"""),"1132A5M")</f>
        <v>1132A5M</v>
      </c>
      <c r="B1174" s="4" t="str">
        <f>IFERROR(__xludf.DUMMYFUNCTION("""COMPUTED_VALUE"""),"Poste plata con cinturón retráctil azul 5 m")</f>
        <v>Poste plata con cinturón retráctil azul 5 m</v>
      </c>
      <c r="C1174" s="4">
        <f>IFERROR(__xludf.DUMMYFUNCTION("""COMPUTED_VALUE"""),31.0)</f>
        <v>31</v>
      </c>
      <c r="D1174" s="4"/>
      <c r="E1174" s="4" t="str">
        <f>IFERROR(__xludf.DUMMYFUNCTION("""COMPUTED_VALUE"""),"Sin precio neto")</f>
        <v>Sin precio neto</v>
      </c>
    </row>
    <row r="1175">
      <c r="A1175" s="4" t="str">
        <f>IFERROR(__xludf.DUMMYFUNCTION("""COMPUTED_VALUE"""),"1132N")</f>
        <v>1132N</v>
      </c>
      <c r="B1175" s="4" t="str">
        <f>IFERROR(__xludf.DUMMYFUNCTION("""COMPUTED_VALUE"""),"Poste plata con cinturón retráctil negro 2 m")</f>
        <v>Poste plata con cinturón retráctil negro 2 m</v>
      </c>
      <c r="C1175" s="4">
        <f>IFERROR(__xludf.DUMMYFUNCTION("""COMPUTED_VALUE"""),24.0)</f>
        <v>24</v>
      </c>
      <c r="D1175" s="4"/>
      <c r="E1175" s="4" t="str">
        <f>IFERROR(__xludf.DUMMYFUNCTION("""COMPUTED_VALUE"""),"Sin precio neto")</f>
        <v>Sin precio neto</v>
      </c>
    </row>
    <row r="1176">
      <c r="A1176" s="4" t="str">
        <f>IFERROR(__xludf.DUMMYFUNCTION("""COMPUTED_VALUE"""),"1132N5M")</f>
        <v>1132N5M</v>
      </c>
      <c r="B1176" s="4" t="str">
        <f>IFERROR(__xludf.DUMMYFUNCTION("""COMPUTED_VALUE"""),"Poste plata con cinturón retráctil negro 5 m")</f>
        <v>Poste plata con cinturón retráctil negro 5 m</v>
      </c>
      <c r="C1176" s="4">
        <f>IFERROR(__xludf.DUMMYFUNCTION("""COMPUTED_VALUE"""),31.0)</f>
        <v>31</v>
      </c>
      <c r="D1176" s="4"/>
      <c r="E1176" s="4" t="str">
        <f>IFERROR(__xludf.DUMMYFUNCTION("""COMPUTED_VALUE"""),"Sin precio neto")</f>
        <v>Sin precio neto</v>
      </c>
    </row>
    <row r="1177">
      <c r="A1177" s="4" t="str">
        <f>IFERROR(__xludf.DUMMYFUNCTION("""COMPUTED_VALUE"""),"1133")</f>
        <v>1133</v>
      </c>
      <c r="B1177" s="4" t="str">
        <f>IFERROR(__xludf.DUMMYFUNCTION("""COMPUTED_VALUE"""),"Cinturón Retráctil Pared rojo 2 m")</f>
        <v>Cinturón Retráctil Pared rojo 2 m</v>
      </c>
      <c r="C1177" s="4">
        <f>IFERROR(__xludf.DUMMYFUNCTION("""COMPUTED_VALUE"""),16.95)</f>
        <v>16.95</v>
      </c>
      <c r="D1177" s="4"/>
      <c r="E1177" s="4" t="str">
        <f>IFERROR(__xludf.DUMMYFUNCTION("""COMPUTED_VALUE"""),"Sin precio neto")</f>
        <v>Sin precio neto</v>
      </c>
    </row>
    <row r="1178">
      <c r="A1178" s="4" t="str">
        <f>IFERROR(__xludf.DUMMYFUNCTION("""COMPUTED_VALUE"""),"11335M")</f>
        <v>11335M</v>
      </c>
      <c r="B1178" s="4" t="str">
        <f>IFERROR(__xludf.DUMMYFUNCTION("""COMPUTED_VALUE"""),"Cinturón Retráctil Pared rojo 5 m")</f>
        <v>Cinturón Retráctil Pared rojo 5 m</v>
      </c>
      <c r="C1178" s="4">
        <f>IFERROR(__xludf.DUMMYFUNCTION("""COMPUTED_VALUE"""),29.0)</f>
        <v>29</v>
      </c>
      <c r="D1178" s="4"/>
      <c r="E1178" s="4" t="str">
        <f>IFERROR(__xludf.DUMMYFUNCTION("""COMPUTED_VALUE"""),"Sin precio neto")</f>
        <v>Sin precio neto</v>
      </c>
    </row>
    <row r="1179">
      <c r="A1179" s="4" t="str">
        <f>IFERROR(__xludf.DUMMYFUNCTION("""COMPUTED_VALUE"""),"1133A")</f>
        <v>1133A</v>
      </c>
      <c r="B1179" s="4" t="str">
        <f>IFERROR(__xludf.DUMMYFUNCTION("""COMPUTED_VALUE"""),"Enganche pared para cinturón retráctil")</f>
        <v>Enganche pared para cinturón retráctil</v>
      </c>
      <c r="C1179" s="4">
        <f>IFERROR(__xludf.DUMMYFUNCTION("""COMPUTED_VALUE"""),1.5)</f>
        <v>1.5</v>
      </c>
      <c r="D1179" s="4"/>
      <c r="E1179" s="4" t="str">
        <f>IFERROR(__xludf.DUMMYFUNCTION("""COMPUTED_VALUE"""),"Sin precio neto")</f>
        <v>Sin precio neto</v>
      </c>
    </row>
    <row r="1180">
      <c r="A1180" s="4" t="str">
        <f>IFERROR(__xludf.DUMMYFUNCTION("""COMPUTED_VALUE"""),"1133A5M")</f>
        <v>1133A5M</v>
      </c>
      <c r="B1180" s="4" t="str">
        <f>IFERROR(__xludf.DUMMYFUNCTION("""COMPUTED_VALUE"""),"Cinturón Retráctil Pared azul 5 m")</f>
        <v>Cinturón Retráctil Pared azul 5 m</v>
      </c>
      <c r="C1180" s="4">
        <f>IFERROR(__xludf.DUMMYFUNCTION("""COMPUTED_VALUE"""),29.0)</f>
        <v>29</v>
      </c>
      <c r="D1180" s="4"/>
      <c r="E1180" s="4" t="str">
        <f>IFERROR(__xludf.DUMMYFUNCTION("""COMPUTED_VALUE"""),"Sin precio neto")</f>
        <v>Sin precio neto</v>
      </c>
    </row>
    <row r="1181">
      <c r="A1181" s="4" t="str">
        <f>IFERROR(__xludf.DUMMYFUNCTION("""COMPUTED_VALUE"""),"1133N")</f>
        <v>1133N</v>
      </c>
      <c r="B1181" s="4" t="str">
        <f>IFERROR(__xludf.DUMMYFUNCTION("""COMPUTED_VALUE"""),"Cinturón Retráctil Pared negro 2m")</f>
        <v>Cinturón Retráctil Pared negro 2m</v>
      </c>
      <c r="C1181" s="4">
        <f>IFERROR(__xludf.DUMMYFUNCTION("""COMPUTED_VALUE"""),16.95)</f>
        <v>16.95</v>
      </c>
      <c r="D1181" s="4"/>
      <c r="E1181" s="4" t="str">
        <f>IFERROR(__xludf.DUMMYFUNCTION("""COMPUTED_VALUE"""),"Sin precio neto")</f>
        <v>Sin precio neto</v>
      </c>
    </row>
    <row r="1182">
      <c r="A1182" s="4" t="str">
        <f>IFERROR(__xludf.DUMMYFUNCTION("""COMPUTED_VALUE"""),"1133N5M")</f>
        <v>1133N5M</v>
      </c>
      <c r="B1182" s="4" t="str">
        <f>IFERROR(__xludf.DUMMYFUNCTION("""COMPUTED_VALUE"""),"Cinturón Retráctil Pared negro 5 m")</f>
        <v>Cinturón Retráctil Pared negro 5 m</v>
      </c>
      <c r="C1182" s="4">
        <f>IFERROR(__xludf.DUMMYFUNCTION("""COMPUTED_VALUE"""),29.0)</f>
        <v>29</v>
      </c>
      <c r="D1182" s="4"/>
      <c r="E1182" s="4" t="str">
        <f>IFERROR(__xludf.DUMMYFUNCTION("""COMPUTED_VALUE"""),"Sin precio neto")</f>
        <v>Sin precio neto</v>
      </c>
    </row>
    <row r="1183">
      <c r="A1183" s="4" t="str">
        <f>IFERROR(__xludf.DUMMYFUNCTION("""COMPUTED_VALUE"""),"1134")</f>
        <v>1134</v>
      </c>
      <c r="B1183" s="4" t="str">
        <f>IFERROR(__xludf.DUMMYFUNCTION("""COMPUTED_VALUE"""),"Poste Negro con cinturón retráctil rojo 2 m")</f>
        <v>Poste Negro con cinturón retráctil rojo 2 m</v>
      </c>
      <c r="C1183" s="4">
        <f>IFERROR(__xludf.DUMMYFUNCTION("""COMPUTED_VALUE"""),24.5)</f>
        <v>24.5</v>
      </c>
      <c r="D1183" s="4"/>
      <c r="E1183" s="4" t="str">
        <f>IFERROR(__xludf.DUMMYFUNCTION("""COMPUTED_VALUE"""),"Sin precio neto")</f>
        <v>Sin precio neto</v>
      </c>
    </row>
    <row r="1184">
      <c r="A1184" s="4" t="str">
        <f>IFERROR(__xludf.DUMMYFUNCTION("""COMPUTED_VALUE"""),"1134A")</f>
        <v>1134A</v>
      </c>
      <c r="B1184" s="4" t="str">
        <f>IFERROR(__xludf.DUMMYFUNCTION("""COMPUTED_VALUE"""),"Poste Negro con cinturón retráctil azul 2 m")</f>
        <v>Poste Negro con cinturón retráctil azul 2 m</v>
      </c>
      <c r="C1184" s="4">
        <f>IFERROR(__xludf.DUMMYFUNCTION("""COMPUTED_VALUE"""),24.0)</f>
        <v>24</v>
      </c>
      <c r="D1184" s="4"/>
      <c r="E1184" s="4" t="str">
        <f>IFERROR(__xludf.DUMMYFUNCTION("""COMPUTED_VALUE"""),"Sin precio neto")</f>
        <v>Sin precio neto</v>
      </c>
    </row>
    <row r="1185">
      <c r="A1185" s="4" t="str">
        <f>IFERROR(__xludf.DUMMYFUNCTION("""COMPUTED_VALUE"""),"1134N")</f>
        <v>1134N</v>
      </c>
      <c r="B1185" s="4" t="str">
        <f>IFERROR(__xludf.DUMMYFUNCTION("""COMPUTED_VALUE"""),"Poste negro con cinturón retráctil negro 2 m")</f>
        <v>Poste negro con cinturón retráctil negro 2 m</v>
      </c>
      <c r="C1185" s="4">
        <f>IFERROR(__xludf.DUMMYFUNCTION("""COMPUTED_VALUE"""),24.0)</f>
        <v>24</v>
      </c>
      <c r="D1185" s="4"/>
      <c r="E1185" s="4" t="str">
        <f>IFERROR(__xludf.DUMMYFUNCTION("""COMPUTED_VALUE"""),"Sin precio neto")</f>
        <v>Sin precio neto</v>
      </c>
    </row>
    <row r="1186">
      <c r="A1186" s="4" t="str">
        <f>IFERROR(__xludf.DUMMYFUNCTION("""COMPUTED_VALUE"""),"1134NA")</f>
        <v>1134NA</v>
      </c>
      <c r="B1186" s="4" t="str">
        <f>IFERROR(__xludf.DUMMYFUNCTION("""COMPUTED_VALUE"""),"Poste negro con cinturón retráctil negro/amarillo 5 m")</f>
        <v>Poste negro con cinturón retráctil negro/amarillo 5 m</v>
      </c>
      <c r="C1186" s="4">
        <f>IFERROR(__xludf.DUMMYFUNCTION("""COMPUTED_VALUE"""),24.0)</f>
        <v>24</v>
      </c>
      <c r="D1186" s="4"/>
      <c r="E1186" s="4" t="str">
        <f>IFERROR(__xludf.DUMMYFUNCTION("""COMPUTED_VALUE"""),"Sin precio neto")</f>
        <v>Sin precio neto</v>
      </c>
    </row>
    <row r="1187">
      <c r="A1187" s="4" t="str">
        <f>IFERROR(__xludf.DUMMYFUNCTION("""COMPUTED_VALUE"""),"1134RB")</f>
        <v>1134RB</v>
      </c>
      <c r="B1187" s="4" t="str">
        <f>IFERROR(__xludf.DUMMYFUNCTION("""COMPUTED_VALUE"""),"Poste negro con cinturón retráctil rojo/blanco 5 m")</f>
        <v>Poste negro con cinturón retráctil rojo/blanco 5 m</v>
      </c>
      <c r="C1187" s="4">
        <f>IFERROR(__xludf.DUMMYFUNCTION("""COMPUTED_VALUE"""),24.0)</f>
        <v>24</v>
      </c>
      <c r="D1187" s="4"/>
      <c r="E1187" s="4" t="str">
        <f>IFERROR(__xludf.DUMMYFUNCTION("""COMPUTED_VALUE"""),"Sin precio neto")</f>
        <v>Sin precio neto</v>
      </c>
    </row>
    <row r="1188">
      <c r="A1188" s="4" t="str">
        <f>IFERROR(__xludf.DUMMYFUNCTION("""COMPUTED_VALUE"""),"1135")</f>
        <v>1135</v>
      </c>
      <c r="B1188" s="4" t="str">
        <f>IFERROR(__xludf.DUMMYFUNCTION("""COMPUTED_VALUE"""),"Cinturón retractil pared azul 2 m")</f>
        <v>Cinturón retractil pared azul 2 m</v>
      </c>
      <c r="C1188" s="4">
        <f>IFERROR(__xludf.DUMMYFUNCTION("""COMPUTED_VALUE"""),16.95)</f>
        <v>16.95</v>
      </c>
      <c r="D1188" s="4"/>
      <c r="E1188" s="4" t="str">
        <f>IFERROR(__xludf.DUMMYFUNCTION("""COMPUTED_VALUE"""),"Sin precio neto")</f>
        <v>Sin precio neto</v>
      </c>
    </row>
    <row r="1189">
      <c r="A1189" s="4" t="str">
        <f>IFERROR(__xludf.DUMMYFUNCTION("""COMPUTED_VALUE"""),"1136")</f>
        <v>1136</v>
      </c>
      <c r="B1189" s="4" t="str">
        <f>IFERROR(__xludf.DUMMYFUNCTION("""COMPUTED_VALUE"""),"Poste R/B para cadena con base hexagonal pesada")</f>
        <v>Poste R/B para cadena con base hexagonal pesada</v>
      </c>
      <c r="C1189" s="4">
        <f>IFERROR(__xludf.DUMMYFUNCTION("""COMPUTED_VALUE"""),9.45)</f>
        <v>9.45</v>
      </c>
      <c r="D1189" s="4"/>
      <c r="E1189" s="4" t="str">
        <f>IFERROR(__xludf.DUMMYFUNCTION("""COMPUTED_VALUE"""),"Sin precio neto")</f>
        <v>Sin precio neto</v>
      </c>
    </row>
    <row r="1190">
      <c r="A1190" s="4" t="str">
        <f>IFERROR(__xludf.DUMMYFUNCTION("""COMPUTED_VALUE"""),"1138")</f>
        <v>1138</v>
      </c>
      <c r="B1190" s="4" t="str">
        <f>IFERROR(__xludf.DUMMYFUNCTION("""COMPUTED_VALUE"""),"Poste señaliz. R/B p/cadena plastica base caucho 3 kg")</f>
        <v>Poste señaliz. R/B p/cadena plastica base caucho 3 kg</v>
      </c>
      <c r="C1190" s="4">
        <f>IFERROR(__xludf.DUMMYFUNCTION("""COMPUTED_VALUE"""),7.75)</f>
        <v>7.75</v>
      </c>
      <c r="D1190" s="4"/>
      <c r="E1190" s="4" t="str">
        <f>IFERROR(__xludf.DUMMYFUNCTION("""COMPUTED_VALUE"""),"Sin precio neto")</f>
        <v>Sin precio neto</v>
      </c>
    </row>
    <row r="1191">
      <c r="A1191" s="4" t="str">
        <f>IFERROR(__xludf.DUMMYFUNCTION("""COMPUTED_VALUE"""),"1139")</f>
        <v>1139</v>
      </c>
      <c r="B1191" s="4" t="str">
        <f>IFERROR(__xludf.DUMMYFUNCTION("""COMPUTED_VALUE"""),"Poste señaliz. N/A p/cadena plastica base caucho 3 kg")</f>
        <v>Poste señaliz. N/A p/cadena plastica base caucho 3 kg</v>
      </c>
      <c r="C1191" s="4">
        <f>IFERROR(__xludf.DUMMYFUNCTION("""COMPUTED_VALUE"""),7.75)</f>
        <v>7.75</v>
      </c>
      <c r="D1191" s="4"/>
      <c r="E1191" s="4" t="str">
        <f>IFERROR(__xludf.DUMMYFUNCTION("""COMPUTED_VALUE"""),"Sin precio neto")</f>
        <v>Sin precio neto</v>
      </c>
    </row>
    <row r="1192">
      <c r="A1192" s="4" t="str">
        <f>IFERROR(__xludf.DUMMYFUNCTION("""COMPUTED_VALUE"""),"1520")</f>
        <v>1520</v>
      </c>
      <c r="B1192" s="4" t="str">
        <f>IFERROR(__xludf.DUMMYFUNCTION("""COMPUTED_VALUE"""),"Cinta Creppe 48 mm x 45 m")</f>
        <v>Cinta Creppe 48 mm x 45 m</v>
      </c>
      <c r="C1192" s="4">
        <f>IFERROR(__xludf.DUMMYFUNCTION("""COMPUTED_VALUE"""),1.45)</f>
        <v>1.45</v>
      </c>
      <c r="D1192" s="4"/>
      <c r="E1192" s="4" t="str">
        <f>IFERROR(__xludf.DUMMYFUNCTION("""COMPUTED_VALUE"""),"Sin precio neto")</f>
        <v>Sin precio neto</v>
      </c>
    </row>
    <row r="1193">
      <c r="A1193" s="4" t="str">
        <f>IFERROR(__xludf.DUMMYFUNCTION("""COMPUTED_VALUE"""),"1522")</f>
        <v>1522</v>
      </c>
      <c r="B1193" s="4" t="str">
        <f>IFERROR(__xludf.DUMMYFUNCTION("""COMPUTED_VALUE"""),"Cinta Creppe Azul 48 mm x 45 m")</f>
        <v>Cinta Creppe Azul 48 mm x 45 m</v>
      </c>
      <c r="C1193" s="4">
        <f>IFERROR(__xludf.DUMMYFUNCTION("""COMPUTED_VALUE"""),1.75)</f>
        <v>1.75</v>
      </c>
      <c r="D1193" s="4"/>
      <c r="E1193" s="4" t="str">
        <f>IFERROR(__xludf.DUMMYFUNCTION("""COMPUTED_VALUE"""),"Sin precio neto")</f>
        <v>Sin precio neto</v>
      </c>
    </row>
    <row r="1194">
      <c r="A1194" s="4" t="str">
        <f>IFERROR(__xludf.DUMMYFUNCTION("""COMPUTED_VALUE"""),"1523")</f>
        <v>1523</v>
      </c>
      <c r="B1194" s="4" t="str">
        <f>IFERROR(__xludf.DUMMYFUNCTION("""COMPUTED_VALUE"""),"Cinta Creppe Exteriores Azul 48 mm x 45 m")</f>
        <v>Cinta Creppe Exteriores Azul 48 mm x 45 m</v>
      </c>
      <c r="C1194" s="4">
        <f>IFERROR(__xludf.DUMMYFUNCTION("""COMPUTED_VALUE"""),5.2)</f>
        <v>5.2</v>
      </c>
      <c r="D1194" s="4"/>
      <c r="E1194" s="4" t="str">
        <f>IFERROR(__xludf.DUMMYFUNCTION("""COMPUTED_VALUE"""),"Sin precio neto")</f>
        <v>Sin precio neto</v>
      </c>
    </row>
    <row r="1195">
      <c r="A1195" s="4" t="str">
        <f>IFERROR(__xludf.DUMMYFUNCTION("""COMPUTED_VALUE"""),"1524")</f>
        <v>1524</v>
      </c>
      <c r="B1195" s="4" t="str">
        <f>IFERROR(__xludf.DUMMYFUNCTION("""COMPUTED_VALUE"""),"Cinta Aluminio 30 my 50 mm x 10 m")</f>
        <v>Cinta Aluminio 30 my 50 mm x 10 m</v>
      </c>
      <c r="C1195" s="4">
        <f>IFERROR(__xludf.DUMMYFUNCTION("""COMPUTED_VALUE"""),0.95)</f>
        <v>0.95</v>
      </c>
      <c r="D1195" s="4"/>
      <c r="E1195" s="4" t="str">
        <f>IFERROR(__xludf.DUMMYFUNCTION("""COMPUTED_VALUE"""),"Sin precio neto")</f>
        <v>Sin precio neto</v>
      </c>
    </row>
    <row r="1196">
      <c r="A1196" s="4" t="str">
        <f>IFERROR(__xludf.DUMMYFUNCTION("""COMPUTED_VALUE"""),"1525")</f>
        <v>1525</v>
      </c>
      <c r="B1196" s="4" t="str">
        <f>IFERROR(__xludf.DUMMYFUNCTION("""COMPUTED_VALUE"""),"Cinta Aluminio 30 my 50 mm x 45 m")</f>
        <v>Cinta Aluminio 30 my 50 mm x 45 m</v>
      </c>
      <c r="C1196" s="4">
        <f>IFERROR(__xludf.DUMMYFUNCTION("""COMPUTED_VALUE"""),4.25)</f>
        <v>4.25</v>
      </c>
      <c r="D1196" s="4"/>
      <c r="E1196" s="4" t="str">
        <f>IFERROR(__xludf.DUMMYFUNCTION("""COMPUTED_VALUE"""),"Sin precio neto")</f>
        <v>Sin precio neto</v>
      </c>
    </row>
    <row r="1197">
      <c r="A1197" s="4" t="str">
        <f>IFERROR(__xludf.DUMMYFUNCTION("""COMPUTED_VALUE"""),"1536")</f>
        <v>1536</v>
      </c>
      <c r="B1197" s="4" t="str">
        <f>IFERROR(__xludf.DUMMYFUNCTION("""COMPUTED_VALUE"""),"Rollo cinta marcaje temporal Amarilla 3M 75 m x 12 cm")</f>
        <v>Rollo cinta marcaje temporal Amarilla 3M 75 m x 12 cm</v>
      </c>
      <c r="C1197" s="4">
        <f>IFERROR(__xludf.DUMMYFUNCTION("""COMPUTED_VALUE"""),456.75)</f>
        <v>456.75</v>
      </c>
      <c r="D1197" s="4"/>
      <c r="E1197" s="4" t="str">
        <f>IFERROR(__xludf.DUMMYFUNCTION("""COMPUTED_VALUE"""),"Sin precio neto")</f>
        <v>Sin precio neto</v>
      </c>
    </row>
    <row r="1198">
      <c r="A1198" s="4" t="str">
        <f>IFERROR(__xludf.DUMMYFUNCTION("""COMPUTED_VALUE"""),"1537")</f>
        <v>1537</v>
      </c>
      <c r="B1198" s="4" t="str">
        <f>IFERROR(__xludf.DUMMYFUNCTION("""COMPUTED_VALUE"""),"Rollo cinta enmascarar Negra 3M 109 m x 15 cm")</f>
        <v>Rollo cinta enmascarar Negra 3M 109 m x 15 cm</v>
      </c>
      <c r="C1198" s="4">
        <f>IFERROR(__xludf.DUMMYFUNCTION("""COMPUTED_VALUE"""),417.375)</f>
        <v>417.375</v>
      </c>
      <c r="D1198" s="4"/>
      <c r="E1198" s="4" t="str">
        <f>IFERROR(__xludf.DUMMYFUNCTION("""COMPUTED_VALUE"""),"Sin precio neto")</f>
        <v>Sin precio neto</v>
      </c>
    </row>
    <row r="1199">
      <c r="A1199" s="4" t="str">
        <f>IFERROR(__xludf.DUMMYFUNCTION("""COMPUTED_VALUE"""),"1538")</f>
        <v>1538</v>
      </c>
      <c r="B1199" s="4" t="str">
        <f>IFERROR(__xludf.DUMMYFUNCTION("""COMPUTED_VALUE"""),"Rollo cinta antidelizante luminiscente 2,5 cm x 18,30 mt")</f>
        <v>Rollo cinta antidelizante luminiscente 2,5 cm x 18,30 mt</v>
      </c>
      <c r="C1199" s="4">
        <f>IFERROR(__xludf.DUMMYFUNCTION("""COMPUTED_VALUE"""),47.0)</f>
        <v>47</v>
      </c>
      <c r="D1199" s="4"/>
      <c r="E1199" s="4" t="str">
        <f>IFERROR(__xludf.DUMMYFUNCTION("""COMPUTED_VALUE"""),"Sin precio neto")</f>
        <v>Sin precio neto</v>
      </c>
    </row>
    <row r="1200">
      <c r="A1200" s="4" t="str">
        <f>IFERROR(__xludf.DUMMYFUNCTION("""COMPUTED_VALUE"""),"1539")</f>
        <v>1539</v>
      </c>
      <c r="B1200" s="4" t="str">
        <f>IFERROR(__xludf.DUMMYFUNCTION("""COMPUTED_VALUE"""),"Rollo Cinta 10cm x 200 m bomberos Roja/blanca")</f>
        <v>Rollo Cinta 10cm x 200 m bomberos Roja/blanca</v>
      </c>
      <c r="C1200" s="4">
        <f>IFERROR(__xludf.DUMMYFUNCTION("""COMPUTED_VALUE"""),8.25)</f>
        <v>8.25</v>
      </c>
      <c r="D1200" s="4"/>
      <c r="E1200" s="4" t="str">
        <f>IFERROR(__xludf.DUMMYFUNCTION("""COMPUTED_VALUE"""),"Sin precio neto")</f>
        <v>Sin precio neto</v>
      </c>
    </row>
    <row r="1201">
      <c r="A1201" s="4" t="str">
        <f>IFERROR(__xludf.DUMMYFUNCTION("""COMPUTED_VALUE"""),"1540")</f>
        <v>1540</v>
      </c>
      <c r="B1201" s="4" t="str">
        <f>IFERROR(__xludf.DUMMYFUNCTION("""COMPUTED_VALUE"""),"Rollo cinta antideslizante negra 5cm x 18 mt")</f>
        <v>Rollo cinta antideslizante negra 5cm x 18 mt</v>
      </c>
      <c r="C1201" s="4">
        <f>IFERROR(__xludf.DUMMYFUNCTION("""COMPUTED_VALUE"""),14.25)</f>
        <v>14.25</v>
      </c>
      <c r="D1201" s="4">
        <f>IFERROR(__xludf.DUMMYFUNCTION("""COMPUTED_VALUE"""),13.5)</f>
        <v>13.5</v>
      </c>
      <c r="E1201" s="4" t="str">
        <f>IFERROR(__xludf.DUMMYFUNCTION("""COMPUTED_VALUE"""),"Neto: 13,50 € (a partir de 24 uds.)")</f>
        <v>Neto: 13,50 € (a partir de 24 uds.)</v>
      </c>
    </row>
    <row r="1202">
      <c r="A1202" s="4" t="str">
        <f>IFERROR(__xludf.DUMMYFUNCTION("""COMPUTED_VALUE"""),"1541")</f>
        <v>1541</v>
      </c>
      <c r="B1202" s="4" t="str">
        <f>IFERROR(__xludf.DUMMYFUNCTION("""COMPUTED_VALUE"""),"Rollo cinta antideslizante N/A 5 cm x 18 mt")</f>
        <v>Rollo cinta antideslizante N/A 5 cm x 18 mt</v>
      </c>
      <c r="C1202" s="4">
        <f>IFERROR(__xludf.DUMMYFUNCTION("""COMPUTED_VALUE"""),14.25)</f>
        <v>14.25</v>
      </c>
      <c r="D1202" s="4">
        <f>IFERROR(__xludf.DUMMYFUNCTION("""COMPUTED_VALUE"""),13.5)</f>
        <v>13.5</v>
      </c>
      <c r="E1202" s="4" t="str">
        <f>IFERROR(__xludf.DUMMYFUNCTION("""COMPUTED_VALUE"""),"Neto: 13,50 € (a partir de 24 uds.)")</f>
        <v>Neto: 13,50 € (a partir de 24 uds.)</v>
      </c>
    </row>
    <row r="1203">
      <c r="A1203" s="4" t="str">
        <f>IFERROR(__xludf.DUMMYFUNCTION("""COMPUTED_VALUE"""),"1542")</f>
        <v>1542</v>
      </c>
      <c r="B1203" s="4" t="str">
        <f>IFERROR(__xludf.DUMMYFUNCTION("""COMPUTED_VALUE"""),"Rollo cinta antideslizante R/B 5 cm x 18 mt")</f>
        <v>Rollo cinta antideslizante R/B 5 cm x 18 mt</v>
      </c>
      <c r="C1203" s="4">
        <f>IFERROR(__xludf.DUMMYFUNCTION("""COMPUTED_VALUE"""),14.25)</f>
        <v>14.25</v>
      </c>
      <c r="D1203" s="4">
        <f>IFERROR(__xludf.DUMMYFUNCTION("""COMPUTED_VALUE"""),13.5)</f>
        <v>13.5</v>
      </c>
      <c r="E1203" s="4" t="str">
        <f>IFERROR(__xludf.DUMMYFUNCTION("""COMPUTED_VALUE"""),"Neto: 13,50 € (a partir de 24 uds.)")</f>
        <v>Neto: 13,50 € (a partir de 24 uds.)</v>
      </c>
    </row>
    <row r="1204">
      <c r="A1204" s="4" t="str">
        <f>IFERROR(__xludf.DUMMYFUNCTION("""COMPUTED_VALUE"""),"1547")</f>
        <v>1547</v>
      </c>
      <c r="B1204" s="4" t="str">
        <f>IFERROR(__xludf.DUMMYFUNCTION("""COMPUTED_VALUE"""),"Rollo cinta Blanca 55mm x50 metros DG983-10 ECE 104")</f>
        <v>Rollo cinta Blanca 55mm x50 metros DG983-10 ECE 104</v>
      </c>
      <c r="C1204" s="4">
        <f>IFERROR(__xludf.DUMMYFUNCTION("""COMPUTED_VALUE"""),127.05)</f>
        <v>127.05</v>
      </c>
      <c r="D1204" s="4"/>
      <c r="E1204" s="4" t="str">
        <f>IFERROR(__xludf.DUMMYFUNCTION("""COMPUTED_VALUE"""),"Sin precio neto")</f>
        <v>Sin precio neto</v>
      </c>
    </row>
    <row r="1205">
      <c r="A1205" s="4" t="str">
        <f>IFERROR(__xludf.DUMMYFUNCTION("""COMPUTED_VALUE"""),"1547F")</f>
        <v>1547F</v>
      </c>
      <c r="B1205" s="4" t="str">
        <f>IFERROR(__xludf.DUMMYFUNCTION("""COMPUTED_VALUE"""),"Rollo cinta Blanca 51mm x50 metros DG997-10S")</f>
        <v>Rollo cinta Blanca 51mm x50 metros DG997-10S</v>
      </c>
      <c r="C1205" s="4">
        <f>IFERROR(__xludf.DUMMYFUNCTION("""COMPUTED_VALUE"""),127.05)</f>
        <v>127.05</v>
      </c>
      <c r="D1205" s="4"/>
      <c r="E1205" s="4" t="str">
        <f>IFERROR(__xludf.DUMMYFUNCTION("""COMPUTED_VALUE"""),"Sin precio neto")</f>
        <v>Sin precio neto</v>
      </c>
    </row>
    <row r="1206">
      <c r="A1206" s="4" t="str">
        <f>IFERROR(__xludf.DUMMYFUNCTION("""COMPUTED_VALUE"""),"1548")</f>
        <v>1548</v>
      </c>
      <c r="B1206" s="4" t="str">
        <f>IFERROR(__xludf.DUMMYFUNCTION("""COMPUTED_VALUE"""),"Rollo cinta Rojo 55mm x50metros DG983-72 ECE 1R/CTN")</f>
        <v>Rollo cinta Rojo 55mm x50metros DG983-72 ECE 1R/CTN</v>
      </c>
      <c r="C1206" s="4">
        <f>IFERROR(__xludf.DUMMYFUNCTION("""COMPUTED_VALUE"""),127.05)</f>
        <v>127.05</v>
      </c>
      <c r="D1206" s="4"/>
      <c r="E1206" s="4" t="str">
        <f>IFERROR(__xludf.DUMMYFUNCTION("""COMPUTED_VALUE"""),"Sin precio neto")</f>
        <v>Sin precio neto</v>
      </c>
    </row>
    <row r="1207">
      <c r="A1207" s="4" t="str">
        <f>IFERROR(__xludf.DUMMYFUNCTION("""COMPUTED_VALUE"""),"1548F")</f>
        <v>1548F</v>
      </c>
      <c r="B1207" s="4" t="str">
        <f>IFERROR(__xludf.DUMMYFUNCTION("""COMPUTED_VALUE"""),"Rollo cinta Rojo 51mmx 50 metros DG997-72S")</f>
        <v>Rollo cinta Rojo 51mmx 50 metros DG997-72S</v>
      </c>
      <c r="C1207" s="4">
        <f>IFERROR(__xludf.DUMMYFUNCTION("""COMPUTED_VALUE"""),127.05)</f>
        <v>127.05</v>
      </c>
      <c r="D1207" s="4"/>
      <c r="E1207" s="4" t="str">
        <f>IFERROR(__xludf.DUMMYFUNCTION("""COMPUTED_VALUE"""),"Sin precio neto")</f>
        <v>Sin precio neto</v>
      </c>
    </row>
    <row r="1208">
      <c r="A1208" s="4" t="str">
        <f>IFERROR(__xludf.DUMMYFUNCTION("""COMPUTED_VALUE"""),"1549")</f>
        <v>1549</v>
      </c>
      <c r="B1208" s="4" t="str">
        <f>IFERROR(__xludf.DUMMYFUNCTION("""COMPUTED_VALUE"""),"Rollo cinta amarilla 55MM x50metros DG983-71 ECE 104")</f>
        <v>Rollo cinta amarilla 55MM x50metros DG983-71 ECE 104</v>
      </c>
      <c r="C1208" s="4">
        <f>IFERROR(__xludf.DUMMYFUNCTION("""COMPUTED_VALUE"""),127.05)</f>
        <v>127.05</v>
      </c>
      <c r="D1208" s="4"/>
      <c r="E1208" s="4" t="str">
        <f>IFERROR(__xludf.DUMMYFUNCTION("""COMPUTED_VALUE"""),"Sin precio neto")</f>
        <v>Sin precio neto</v>
      </c>
    </row>
    <row r="1209">
      <c r="A1209" s="4" t="str">
        <f>IFERROR(__xludf.DUMMYFUNCTION("""COMPUTED_VALUE"""),"1549F")</f>
        <v>1549F</v>
      </c>
      <c r="B1209" s="4" t="str">
        <f>IFERROR(__xludf.DUMMYFUNCTION("""COMPUTED_VALUE"""),"Rollo cinta Amarilla 51mm x50 metros DG997-71S")</f>
        <v>Rollo cinta Amarilla 51mm x50 metros DG997-71S</v>
      </c>
      <c r="C1209" s="4">
        <f>IFERROR(__xludf.DUMMYFUNCTION("""COMPUTED_VALUE"""),127.05)</f>
        <v>127.05</v>
      </c>
      <c r="D1209" s="4"/>
      <c r="E1209" s="4" t="str">
        <f>IFERROR(__xludf.DUMMYFUNCTION("""COMPUTED_VALUE"""),"Sin precio neto")</f>
        <v>Sin precio neto</v>
      </c>
    </row>
    <row r="1210">
      <c r="A1210" s="4" t="str">
        <f>IFERROR(__xludf.DUMMYFUNCTION("""COMPUTED_VALUE"""),"1550")</f>
        <v>1550</v>
      </c>
      <c r="B1210" s="4" t="str">
        <f>IFERROR(__xludf.DUMMYFUNCTION("""COMPUTED_VALUE"""),"Rollo cinta reflectante adhesiva blanca 5 cm x 46 metros")</f>
        <v>Rollo cinta reflectante adhesiva blanca 5 cm x 46 metros</v>
      </c>
      <c r="C1210" s="4">
        <f>IFERROR(__xludf.DUMMYFUNCTION("""COMPUTED_VALUE"""),14.9)</f>
        <v>14.9</v>
      </c>
      <c r="D1210" s="4">
        <f>IFERROR(__xludf.DUMMYFUNCTION("""COMPUTED_VALUE"""),12.5)</f>
        <v>12.5</v>
      </c>
      <c r="E1210" s="4" t="str">
        <f>IFERROR(__xludf.DUMMYFUNCTION("""COMPUTED_VALUE"""),"Neto: 12,50 € (a partir de 12 uds.)")</f>
        <v>Neto: 12,50 € (a partir de 12 uds.)</v>
      </c>
    </row>
    <row r="1211">
      <c r="A1211" s="4" t="str">
        <f>IFERROR(__xludf.DUMMYFUNCTION("""COMPUTED_VALUE"""),"1551")</f>
        <v>1551</v>
      </c>
      <c r="B1211" s="4" t="str">
        <f>IFERROR(__xludf.DUMMYFUNCTION("""COMPUTED_VALUE"""),"Rollo (2 unid izq-dcha)señal. vehiculos V-2 9 mtros x 14,1 cm")</f>
        <v>Rollo (2 unid izq-dcha)señal. vehiculos V-2 9 mtros x 14,1 cm</v>
      </c>
      <c r="C1211" s="4">
        <f>IFERROR(__xludf.DUMMYFUNCTION("""COMPUTED_VALUE"""),170.625)</f>
        <v>170.625</v>
      </c>
      <c r="D1211" s="4"/>
      <c r="E1211" s="4" t="str">
        <f>IFERROR(__xludf.DUMMYFUNCTION("""COMPUTED_VALUE"""),"Sin precio neto")</f>
        <v>Sin precio neto</v>
      </c>
    </row>
    <row r="1212">
      <c r="A1212" s="4" t="str">
        <f>IFERROR(__xludf.DUMMYFUNCTION("""COMPUTED_VALUE"""),"1554")</f>
        <v>1554</v>
      </c>
      <c r="B1212" s="4" t="str">
        <f>IFERROR(__xludf.DUMMYFUNCTION("""COMPUTED_VALUE"""),"Rollo cinta luminiscente adhesiva 5 cm x 25 metros")</f>
        <v>Rollo cinta luminiscente adhesiva 5 cm x 25 metros</v>
      </c>
      <c r="C1212" s="4">
        <f>IFERROR(__xludf.DUMMYFUNCTION("""COMPUTED_VALUE"""),91.0)</f>
        <v>91</v>
      </c>
      <c r="D1212" s="4"/>
      <c r="E1212" s="4" t="str">
        <f>IFERROR(__xludf.DUMMYFUNCTION("""COMPUTED_VALUE"""),"Sin precio neto")</f>
        <v>Sin precio neto</v>
      </c>
    </row>
    <row r="1213">
      <c r="A1213" s="4" t="str">
        <f>IFERROR(__xludf.DUMMYFUNCTION("""COMPUTED_VALUE"""),"1555")</f>
        <v>1555</v>
      </c>
      <c r="B1213" s="4" t="str">
        <f>IFERROR(__xludf.DUMMYFUNCTION("""COMPUTED_VALUE"""),"Rollo cinta reflectante adhesiva R/B 5 cm x 45 metros")</f>
        <v>Rollo cinta reflectante adhesiva R/B 5 cm x 45 metros</v>
      </c>
      <c r="C1213" s="4">
        <f>IFERROR(__xludf.DUMMYFUNCTION("""COMPUTED_VALUE"""),14.9)</f>
        <v>14.9</v>
      </c>
      <c r="D1213" s="4">
        <f>IFERROR(__xludf.DUMMYFUNCTION("""COMPUTED_VALUE"""),12.5)</f>
        <v>12.5</v>
      </c>
      <c r="E1213" s="4" t="str">
        <f>IFERROR(__xludf.DUMMYFUNCTION("""COMPUTED_VALUE"""),"Neto: 12,50 € (a partir de 12 uds.)")</f>
        <v>Neto: 12,50 € (a partir de 12 uds.)</v>
      </c>
    </row>
    <row r="1214">
      <c r="A1214" s="4" t="str">
        <f>IFERROR(__xludf.DUMMYFUNCTION("""COMPUTED_VALUE"""),"1556")</f>
        <v>1556</v>
      </c>
      <c r="B1214" s="4" t="str">
        <f>IFERROR(__xludf.DUMMYFUNCTION("""COMPUTED_VALUE"""),"Rollo cinta reflectante adhesiva N/A 5 cm x 45 metros")</f>
        <v>Rollo cinta reflectante adhesiva N/A 5 cm x 45 metros</v>
      </c>
      <c r="C1214" s="4">
        <f>IFERROR(__xludf.DUMMYFUNCTION("""COMPUTED_VALUE"""),14.9)</f>
        <v>14.9</v>
      </c>
      <c r="D1214" s="4">
        <f>IFERROR(__xludf.DUMMYFUNCTION("""COMPUTED_VALUE"""),12.5)</f>
        <v>12.5</v>
      </c>
      <c r="E1214" s="4" t="str">
        <f>IFERROR(__xludf.DUMMYFUNCTION("""COMPUTED_VALUE"""),"Neto: 12,50 € (a partir de 12 uds.)")</f>
        <v>Neto: 12,50 € (a partir de 12 uds.)</v>
      </c>
    </row>
    <row r="1215">
      <c r="A1215" s="4" t="str">
        <f>IFERROR(__xludf.DUMMYFUNCTION("""COMPUTED_VALUE"""),"1557")</f>
        <v>1557</v>
      </c>
      <c r="B1215" s="4" t="str">
        <f>IFERROR(__xludf.DUMMYFUNCTION("""COMPUTED_VALUE"""),"Rollo Cinta 10 cm reflectante adhesiva R/B 45 metros")</f>
        <v>Rollo Cinta 10 cm reflectante adhesiva R/B 45 metros</v>
      </c>
      <c r="C1215" s="4">
        <f>IFERROR(__xludf.DUMMYFUNCTION("""COMPUTED_VALUE"""),27.3)</f>
        <v>27.3</v>
      </c>
      <c r="D1215" s="4">
        <f>IFERROR(__xludf.DUMMYFUNCTION("""COMPUTED_VALUE"""),22.0)</f>
        <v>22</v>
      </c>
      <c r="E1215" s="4" t="str">
        <f>IFERROR(__xludf.DUMMYFUNCTION("""COMPUTED_VALUE"""),"Neto: 22,00 € (a partir de 12 uds.)")</f>
        <v>Neto: 22,00 € (a partir de 12 uds.)</v>
      </c>
    </row>
    <row r="1216">
      <c r="A1216" s="4" t="str">
        <f>IFERROR(__xludf.DUMMYFUNCTION("""COMPUTED_VALUE"""),"1558")</f>
        <v>1558</v>
      </c>
      <c r="B1216" s="4" t="str">
        <f>IFERROR(__xludf.DUMMYFUNCTION("""COMPUTED_VALUE"""),"Rollo cinta 10 cm reflectante adhesiva N/A 45 metros")</f>
        <v>Rollo cinta 10 cm reflectante adhesiva N/A 45 metros</v>
      </c>
      <c r="C1216" s="4">
        <f>IFERROR(__xludf.DUMMYFUNCTION("""COMPUTED_VALUE"""),27.3)</f>
        <v>27.3</v>
      </c>
      <c r="D1216" s="4">
        <f>IFERROR(__xludf.DUMMYFUNCTION("""COMPUTED_VALUE"""),22.0)</f>
        <v>22</v>
      </c>
      <c r="E1216" s="4" t="str">
        <f>IFERROR(__xludf.DUMMYFUNCTION("""COMPUTED_VALUE"""),"Neto: 22,00 € (a partir de 12 uds.)")</f>
        <v>Neto: 22,00 € (a partir de 12 uds.)</v>
      </c>
    </row>
    <row r="1217">
      <c r="A1217" s="4" t="str">
        <f>IFERROR(__xludf.DUMMYFUNCTION("""COMPUTED_VALUE"""),"1559A")</f>
        <v>1559A</v>
      </c>
      <c r="B1217" s="4" t="str">
        <f>IFERROR(__xludf.DUMMYFUNCTION("""COMPUTED_VALUE"""),"Rollo Cinta Adhesiva personalizada 1 color 5cm x132 mts")</f>
        <v>Rollo Cinta Adhesiva personalizada 1 color 5cm x132 mts</v>
      </c>
      <c r="C1217" s="4">
        <f>IFERROR(__xludf.DUMMYFUNCTION("""COMPUTED_VALUE"""),2.95)</f>
        <v>2.95</v>
      </c>
      <c r="D1217" s="4"/>
      <c r="E1217" s="4" t="str">
        <f>IFERROR(__xludf.DUMMYFUNCTION("""COMPUTED_VALUE"""),"Sin precio neto")</f>
        <v>Sin precio neto</v>
      </c>
    </row>
    <row r="1218">
      <c r="A1218" s="4" t="str">
        <f>IFERROR(__xludf.DUMMYFUNCTION("""COMPUTED_VALUE"""),"1559B")</f>
        <v>1559B</v>
      </c>
      <c r="B1218" s="4" t="str">
        <f>IFERROR(__xludf.DUMMYFUNCTION("""COMPUTED_VALUE"""),"Rollo Cinta Adhesiva personalizada 2 colores 5cm x132 mts")</f>
        <v>Rollo Cinta Adhesiva personalizada 2 colores 5cm x132 mts</v>
      </c>
      <c r="C1218" s="4">
        <f>IFERROR(__xludf.DUMMYFUNCTION("""COMPUTED_VALUE"""),3.2)</f>
        <v>3.2</v>
      </c>
      <c r="D1218" s="4"/>
      <c r="E1218" s="4" t="str">
        <f>IFERROR(__xludf.DUMMYFUNCTION("""COMPUTED_VALUE"""),"Sin precio neto")</f>
        <v>Sin precio neto</v>
      </c>
    </row>
    <row r="1219">
      <c r="A1219" s="4" t="str">
        <f>IFERROR(__xludf.DUMMYFUNCTION("""COMPUTED_VALUE"""),"1559C")</f>
        <v>1559C</v>
      </c>
      <c r="B1219" s="4" t="str">
        <f>IFERROR(__xludf.DUMMYFUNCTION("""COMPUTED_VALUE"""),"Rollo Cinta Adhesiva personalizada 3 colores 5cm x132 mts")</f>
        <v>Rollo Cinta Adhesiva personalizada 3 colores 5cm x132 mts</v>
      </c>
      <c r="C1219" s="4">
        <f>IFERROR(__xludf.DUMMYFUNCTION("""COMPUTED_VALUE"""),3.7)</f>
        <v>3.7</v>
      </c>
      <c r="D1219" s="4"/>
      <c r="E1219" s="4" t="str">
        <f>IFERROR(__xludf.DUMMYFUNCTION("""COMPUTED_VALUE"""),"Sin precio neto")</f>
        <v>Sin precio neto</v>
      </c>
    </row>
    <row r="1220">
      <c r="A1220" s="4" t="str">
        <f>IFERROR(__xludf.DUMMYFUNCTION("""COMPUTED_VALUE"""),"1561A")</f>
        <v>1561A</v>
      </c>
      <c r="B1220" s="4" t="str">
        <f>IFERROR(__xludf.DUMMYFUNCTION("""COMPUTED_VALUE"""),"Cinta adhesiva 50 mm x 132 m Amarillo")</f>
        <v>Cinta adhesiva 50 mm x 132 m Amarillo</v>
      </c>
      <c r="C1220" s="4">
        <f>IFERROR(__xludf.DUMMYFUNCTION("""COMPUTED_VALUE"""),3.4)</f>
        <v>3.4</v>
      </c>
      <c r="D1220" s="4"/>
      <c r="E1220" s="4" t="str">
        <f>IFERROR(__xludf.DUMMYFUNCTION("""COMPUTED_VALUE"""),"Sin precio neto")</f>
        <v>Sin precio neto</v>
      </c>
    </row>
    <row r="1221">
      <c r="A1221" s="4" t="str">
        <f>IFERROR(__xludf.DUMMYFUNCTION("""COMPUTED_VALUE"""),"1561B")</f>
        <v>1561B</v>
      </c>
      <c r="B1221" s="4" t="str">
        <f>IFERROR(__xludf.DUMMYFUNCTION("""COMPUTED_VALUE"""),"Cinta adhesiva 50 mm x 132 m Blanco")</f>
        <v>Cinta adhesiva 50 mm x 132 m Blanco</v>
      </c>
      <c r="C1221" s="4">
        <f>IFERROR(__xludf.DUMMYFUNCTION("""COMPUTED_VALUE"""),3.4)</f>
        <v>3.4</v>
      </c>
      <c r="D1221" s="4"/>
      <c r="E1221" s="4" t="str">
        <f>IFERROR(__xludf.DUMMYFUNCTION("""COMPUTED_VALUE"""),"Sin precio neto")</f>
        <v>Sin precio neto</v>
      </c>
    </row>
    <row r="1222">
      <c r="A1222" s="4" t="str">
        <f>IFERROR(__xludf.DUMMYFUNCTION("""COMPUTED_VALUE"""),"1561N")</f>
        <v>1561N</v>
      </c>
      <c r="B1222" s="4" t="str">
        <f>IFERROR(__xludf.DUMMYFUNCTION("""COMPUTED_VALUE"""),"Cinta adhesiva 50 mm x 132 m Negro")</f>
        <v>Cinta adhesiva 50 mm x 132 m Negro</v>
      </c>
      <c r="C1222" s="4">
        <f>IFERROR(__xludf.DUMMYFUNCTION("""COMPUTED_VALUE"""),3.4)</f>
        <v>3.4</v>
      </c>
      <c r="D1222" s="4"/>
      <c r="E1222" s="4" t="str">
        <f>IFERROR(__xludf.DUMMYFUNCTION("""COMPUTED_VALUE"""),"Sin precio neto")</f>
        <v>Sin precio neto</v>
      </c>
    </row>
    <row r="1223">
      <c r="A1223" s="4" t="str">
        <f>IFERROR(__xludf.DUMMYFUNCTION("""COMPUTED_VALUE"""),"1561R")</f>
        <v>1561R</v>
      </c>
      <c r="B1223" s="4" t="str">
        <f>IFERROR(__xludf.DUMMYFUNCTION("""COMPUTED_VALUE"""),"Cinta adhesiva 50 mm x 132 m Rojo")</f>
        <v>Cinta adhesiva 50 mm x 132 m Rojo</v>
      </c>
      <c r="C1223" s="4">
        <f>IFERROR(__xludf.DUMMYFUNCTION("""COMPUTED_VALUE"""),3.4)</f>
        <v>3.4</v>
      </c>
      <c r="D1223" s="4"/>
      <c r="E1223" s="4" t="str">
        <f>IFERROR(__xludf.DUMMYFUNCTION("""COMPUTED_VALUE"""),"Sin precio neto")</f>
        <v>Sin precio neto</v>
      </c>
    </row>
    <row r="1224">
      <c r="A1224" s="4" t="str">
        <f>IFERROR(__xludf.DUMMYFUNCTION("""COMPUTED_VALUE"""),"1561V")</f>
        <v>1561V</v>
      </c>
      <c r="B1224" s="4" t="str">
        <f>IFERROR(__xludf.DUMMYFUNCTION("""COMPUTED_VALUE"""),"Cinta adhesiva 50 mm x 132 m Verde")</f>
        <v>Cinta adhesiva 50 mm x 132 m Verde</v>
      </c>
      <c r="C1224" s="4">
        <f>IFERROR(__xludf.DUMMYFUNCTION("""COMPUTED_VALUE"""),3.4)</f>
        <v>3.4</v>
      </c>
      <c r="D1224" s="4"/>
      <c r="E1224" s="4" t="str">
        <f>IFERROR(__xludf.DUMMYFUNCTION("""COMPUTED_VALUE"""),"Sin precio neto")</f>
        <v>Sin precio neto</v>
      </c>
    </row>
    <row r="1225">
      <c r="A1225" s="4" t="str">
        <f>IFERROR(__xludf.DUMMYFUNCTION("""COMPUTED_VALUE"""),"1561Z")</f>
        <v>1561Z</v>
      </c>
      <c r="B1225" s="4" t="str">
        <f>IFERROR(__xludf.DUMMYFUNCTION("""COMPUTED_VALUE"""),"Cinta adhesiva 50 mm x 132 m Azul")</f>
        <v>Cinta adhesiva 50 mm x 132 m Azul</v>
      </c>
      <c r="C1225" s="4">
        <f>IFERROR(__xludf.DUMMYFUNCTION("""COMPUTED_VALUE"""),3.4)</f>
        <v>3.4</v>
      </c>
      <c r="D1225" s="4"/>
      <c r="E1225" s="4" t="str">
        <f>IFERROR(__xludf.DUMMYFUNCTION("""COMPUTED_VALUE"""),"Sin precio neto")</f>
        <v>Sin precio neto</v>
      </c>
    </row>
    <row r="1226">
      <c r="A1226" s="4" t="str">
        <f>IFERROR(__xludf.DUMMYFUNCTION("""COMPUTED_VALUE"""),"1562")</f>
        <v>1562</v>
      </c>
      <c r="B1226" s="4" t="str">
        <f>IFERROR(__xludf.DUMMYFUNCTION("""COMPUTED_VALUE"""),"Rollo Cinta Señal. N/A 10cm x 200m. G300 2 caras")</f>
        <v>Rollo Cinta Señal. N/A 10cm x 200m. G300 2 caras</v>
      </c>
      <c r="C1226" s="4">
        <f>IFERROR(__xludf.DUMMYFUNCTION("""COMPUTED_VALUE"""),7.25)</f>
        <v>7.25</v>
      </c>
      <c r="D1226" s="4">
        <f>IFERROR(__xludf.DUMMYFUNCTION("""COMPUTED_VALUE"""),5.5)</f>
        <v>5.5</v>
      </c>
      <c r="E1226" s="4" t="str">
        <f>IFERROR(__xludf.DUMMYFUNCTION("""COMPUTED_VALUE"""),"Neto: 5,50 € (a partir de 20 uds.)")</f>
        <v>Neto: 5,50 € (a partir de 20 uds.)</v>
      </c>
    </row>
    <row r="1227">
      <c r="A1227" s="4" t="str">
        <f>IFERROR(__xludf.DUMMYFUNCTION("""COMPUTED_VALUE"""),"1563")</f>
        <v>1563</v>
      </c>
      <c r="B1227" s="4" t="str">
        <f>IFERROR(__xludf.DUMMYFUNCTION("""COMPUTED_VALUE"""),"Rollo Cinta Adhesiva N/A 5cm x132 mts")</f>
        <v>Rollo Cinta Adhesiva N/A 5cm x132 mts</v>
      </c>
      <c r="C1227" s="4">
        <f>IFERROR(__xludf.DUMMYFUNCTION("""COMPUTED_VALUE"""),3.9)</f>
        <v>3.9</v>
      </c>
      <c r="D1227" s="4"/>
      <c r="E1227" s="4" t="str">
        <f>IFERROR(__xludf.DUMMYFUNCTION("""COMPUTED_VALUE"""),"Sin precio neto")</f>
        <v>Sin precio neto</v>
      </c>
    </row>
    <row r="1228">
      <c r="A1228" s="4" t="str">
        <f>IFERROR(__xludf.DUMMYFUNCTION("""COMPUTED_VALUE"""),"1564")</f>
        <v>1564</v>
      </c>
      <c r="B1228" s="4" t="str">
        <f>IFERROR(__xludf.DUMMYFUNCTION("""COMPUTED_VALUE"""),"Rollo Cinta Adhesiva B/R 5cm x132 mts")</f>
        <v>Rollo Cinta Adhesiva B/R 5cm x132 mts</v>
      </c>
      <c r="C1228" s="4">
        <f>IFERROR(__xludf.DUMMYFUNCTION("""COMPUTED_VALUE"""),3.9)</f>
        <v>3.9</v>
      </c>
      <c r="D1228" s="4"/>
      <c r="E1228" s="4" t="str">
        <f>IFERROR(__xludf.DUMMYFUNCTION("""COMPUTED_VALUE"""),"Sin precio neto")</f>
        <v>Sin precio neto</v>
      </c>
    </row>
    <row r="1229">
      <c r="A1229" s="4" t="str">
        <f>IFERROR(__xludf.DUMMYFUNCTION("""COMPUTED_VALUE"""),"1565")</f>
        <v>1565</v>
      </c>
      <c r="B1229" s="4" t="str">
        <f>IFERROR(__xludf.DUMMYFUNCTION("""COMPUTED_VALUE"""),"Rollo cinta Señal. R/B 10cm X 200m. plata")</f>
        <v>Rollo cinta Señal. R/B 10cm X 200m. plata</v>
      </c>
      <c r="C1229" s="4">
        <f>IFERROR(__xludf.DUMMYFUNCTION("""COMPUTED_VALUE"""),9.2)</f>
        <v>9.2</v>
      </c>
      <c r="D1229" s="4"/>
      <c r="E1229" s="4" t="str">
        <f>IFERROR(__xludf.DUMMYFUNCTION("""COMPUTED_VALUE"""),"Sin precio neto")</f>
        <v>Sin precio neto</v>
      </c>
    </row>
    <row r="1230">
      <c r="A1230" s="4" t="str">
        <f>IFERROR(__xludf.DUMMYFUNCTION("""COMPUTED_VALUE"""),"1566")</f>
        <v>1566</v>
      </c>
      <c r="B1230" s="4" t="str">
        <f>IFERROR(__xludf.DUMMYFUNCTION("""COMPUTED_VALUE"""),"Rollo cinta Señal. R/B10cmx200m. c/caja G400")</f>
        <v>Rollo cinta Señal. R/B10cmx200m. c/caja G400</v>
      </c>
      <c r="C1230" s="4">
        <f>IFERROR(__xludf.DUMMYFUNCTION("""COMPUTED_VALUE"""),7.88)</f>
        <v>7.88</v>
      </c>
      <c r="D1230" s="4"/>
      <c r="E1230" s="4" t="str">
        <f>IFERROR(__xludf.DUMMYFUNCTION("""COMPUTED_VALUE"""),"Sin precio neto")</f>
        <v>Sin precio neto</v>
      </c>
    </row>
    <row r="1231">
      <c r="A1231" s="4" t="str">
        <f>IFERROR(__xludf.DUMMYFUNCTION("""COMPUTED_VALUE"""),"1567")</f>
        <v>1567</v>
      </c>
      <c r="B1231" s="4" t="str">
        <f>IFERROR(__xludf.DUMMYFUNCTION("""COMPUTED_VALUE"""),"Rollo cinta R/B 10cm x 200m. G400")</f>
        <v>Rollo cinta R/B 10cm x 200m. G400</v>
      </c>
      <c r="C1231" s="4">
        <f>IFERROR(__xludf.DUMMYFUNCTION("""COMPUTED_VALUE"""),8.25)</f>
        <v>8.25</v>
      </c>
      <c r="D1231" s="4"/>
      <c r="E1231" s="4" t="str">
        <f>IFERROR(__xludf.DUMMYFUNCTION("""COMPUTED_VALUE"""),"Sin precio neto")</f>
        <v>Sin precio neto</v>
      </c>
    </row>
    <row r="1232">
      <c r="A1232" s="4" t="str">
        <f>IFERROR(__xludf.DUMMYFUNCTION("""COMPUTED_VALUE"""),"1568")</f>
        <v>1568</v>
      </c>
      <c r="B1232" s="4" t="str">
        <f>IFERROR(__xludf.DUMMYFUNCTION("""COMPUTED_VALUE"""),"Rollo cinta Señal. R/B 7cm x 200m. c/caja")</f>
        <v>Rollo cinta Señal. R/B 7cm x 200m. c/caja</v>
      </c>
      <c r="C1232" s="4">
        <f>IFERROR(__xludf.DUMMYFUNCTION("""COMPUTED_VALUE"""),2.25)</f>
        <v>2.25</v>
      </c>
      <c r="D1232" s="4"/>
      <c r="E1232" s="4" t="str">
        <f>IFERROR(__xludf.DUMMYFUNCTION("""COMPUTED_VALUE"""),"Sin precio neto")</f>
        <v>Sin precio neto</v>
      </c>
    </row>
    <row r="1233">
      <c r="A1233" s="4" t="str">
        <f>IFERROR(__xludf.DUMMYFUNCTION("""COMPUTED_VALUE"""),"1569")</f>
        <v>1569</v>
      </c>
      <c r="B1233" s="4" t="str">
        <f>IFERROR(__xludf.DUMMYFUNCTION("""COMPUTED_VALUE"""),"Rollo cinta R/B 10cm x 200m. c/caja G300")</f>
        <v>Rollo cinta R/B 10cm x 200m. c/caja G300</v>
      </c>
      <c r="C1233" s="4">
        <f>IFERROR(__xludf.DUMMYFUNCTION("""COMPUTED_VALUE"""),8.1)</f>
        <v>8.1</v>
      </c>
      <c r="D1233" s="4"/>
      <c r="E1233" s="4" t="str">
        <f>IFERROR(__xludf.DUMMYFUNCTION("""COMPUTED_VALUE"""),"Sin precio neto")</f>
        <v>Sin precio neto</v>
      </c>
    </row>
    <row r="1234">
      <c r="A1234" s="4" t="str">
        <f>IFERROR(__xludf.DUMMYFUNCTION("""COMPUTED_VALUE"""),"1570")</f>
        <v>1570</v>
      </c>
      <c r="B1234" s="4" t="str">
        <f>IFERROR(__xludf.DUMMYFUNCTION("""COMPUTED_VALUE"""),"Rollo cinta Señal.R-B 10cm x 200m. G300 2 caras")</f>
        <v>Rollo cinta Señal.R-B 10cm x 200m. G300 2 caras</v>
      </c>
      <c r="C1234" s="4">
        <f>IFERROR(__xludf.DUMMYFUNCTION("""COMPUTED_VALUE"""),7.25)</f>
        <v>7.25</v>
      </c>
      <c r="D1234" s="4">
        <f>IFERROR(__xludf.DUMMYFUNCTION("""COMPUTED_VALUE"""),5.5)</f>
        <v>5.5</v>
      </c>
      <c r="E1234" s="4" t="str">
        <f>IFERROR(__xludf.DUMMYFUNCTION("""COMPUTED_VALUE"""),"Neto: 5,50 € (a partir de 20 uds.)")</f>
        <v>Neto: 5,50 € (a partir de 20 uds.)</v>
      </c>
    </row>
    <row r="1235">
      <c r="A1235" s="4" t="str">
        <f>IFERROR(__xludf.DUMMYFUNCTION("""COMPUTED_VALUE"""),"1570V")</f>
        <v>1570V</v>
      </c>
      <c r="B1235" s="4" t="str">
        <f>IFERROR(__xludf.DUMMYFUNCTION("""COMPUTED_VALUE"""),"Rollo cinta Señal.V/B 10cm x 200 m G300 2 caras")</f>
        <v>Rollo cinta Señal.V/B 10cm x 200 m G300 2 caras</v>
      </c>
      <c r="C1235" s="4">
        <f>IFERROR(__xludf.DUMMYFUNCTION("""COMPUTED_VALUE"""),7.25)</f>
        <v>7.25</v>
      </c>
      <c r="D1235" s="4">
        <f>IFERROR(__xludf.DUMMYFUNCTION("""COMPUTED_VALUE"""),5.5)</f>
        <v>5.5</v>
      </c>
      <c r="E1235" s="4" t="str">
        <f>IFERROR(__xludf.DUMMYFUNCTION("""COMPUTED_VALUE"""),"Neto: 5,50 € (a partir de 20 uds.)")</f>
        <v>Neto: 5,50 € (a partir de 20 uds.)</v>
      </c>
    </row>
    <row r="1236">
      <c r="A1236" s="4" t="str">
        <f>IFERROR(__xludf.DUMMYFUNCTION("""COMPUTED_VALUE"""),"1570Z")</f>
        <v>1570Z</v>
      </c>
      <c r="B1236" s="4" t="str">
        <f>IFERROR(__xludf.DUMMYFUNCTION("""COMPUTED_VALUE"""),"Rollo cinta Señal. B/A 10 cm x 200m. G300 2 caras")</f>
        <v>Rollo cinta Señal. B/A 10 cm x 200m. G300 2 caras</v>
      </c>
      <c r="C1236" s="4">
        <f>IFERROR(__xludf.DUMMYFUNCTION("""COMPUTED_VALUE"""),7.25)</f>
        <v>7.25</v>
      </c>
      <c r="D1236" s="4">
        <f>IFERROR(__xludf.DUMMYFUNCTION("""COMPUTED_VALUE"""),5.5)</f>
        <v>5.5</v>
      </c>
      <c r="E1236" s="4" t="str">
        <f>IFERROR(__xludf.DUMMYFUNCTION("""COMPUTED_VALUE"""),"Neto: 5,50 € (a partir de 20 uds.)")</f>
        <v>Neto: 5,50 € (a partir de 20 uds.)</v>
      </c>
    </row>
    <row r="1237">
      <c r="A1237" s="4" t="str">
        <f>IFERROR(__xludf.DUMMYFUNCTION("""COMPUTED_VALUE"""),"1571")</f>
        <v>1571</v>
      </c>
      <c r="B1237" s="4" t="str">
        <f>IFERROR(__xludf.DUMMYFUNCTION("""COMPUTED_VALUE"""),"Rollo cinta Señal. 7cm x 200m. s/caja")</f>
        <v>Rollo cinta Señal. 7cm x 200m. s/caja</v>
      </c>
      <c r="C1237" s="4">
        <f>IFERROR(__xludf.DUMMYFUNCTION("""COMPUTED_VALUE"""),1.99)</f>
        <v>1.99</v>
      </c>
      <c r="D1237" s="4">
        <f>IFERROR(__xludf.DUMMYFUNCTION("""COMPUTED_VALUE"""),1.8)</f>
        <v>1.8</v>
      </c>
      <c r="E1237" s="4" t="str">
        <f>IFERROR(__xludf.DUMMYFUNCTION("""COMPUTED_VALUE"""),"Neto: 1,80 € (a partir de 24 uds.)")</f>
        <v>Neto: 1,80 € (a partir de 24 uds.)</v>
      </c>
    </row>
    <row r="1238">
      <c r="A1238" s="4" t="str">
        <f>IFERROR(__xludf.DUMMYFUNCTION("""COMPUTED_VALUE"""),"1572")</f>
        <v>1572</v>
      </c>
      <c r="B1238" s="4" t="str">
        <f>IFERROR(__xludf.DUMMYFUNCTION("""COMPUTED_VALUE"""),"Rollo cinta Señal. 15cm x 200m. TELECOMUNICACIONES")</f>
        <v>Rollo cinta Señal. 15cm x 200m. TELECOMUNICACIONES</v>
      </c>
      <c r="C1238" s="4">
        <f>IFERROR(__xludf.DUMMYFUNCTION("""COMPUTED_VALUE"""),11.95)</f>
        <v>11.95</v>
      </c>
      <c r="D1238" s="4">
        <f>IFERROR(__xludf.DUMMYFUNCTION("""COMPUTED_VALUE"""),9.8)</f>
        <v>9.8</v>
      </c>
      <c r="E1238" s="4" t="str">
        <f>IFERROR(__xludf.DUMMYFUNCTION("""COMPUTED_VALUE"""),"Neto: 9,80 € (a partir de 12 uds.)")</f>
        <v>Neto: 9,80 € (a partir de 12 uds.)</v>
      </c>
    </row>
    <row r="1239">
      <c r="A1239" s="4" t="str">
        <f>IFERROR(__xludf.DUMMYFUNCTION("""COMPUTED_VALUE"""),"1572M")</f>
        <v>1572M</v>
      </c>
      <c r="B1239" s="4" t="str">
        <f>IFERROR(__xludf.DUMMYFUNCTION("""COMPUTED_VALUE"""),"Malla verde señalización telecomunicaciones 33 cm x 200 m")</f>
        <v>Malla verde señalización telecomunicaciones 33 cm x 200 m</v>
      </c>
      <c r="C1239" s="4">
        <f>IFERROR(__xludf.DUMMYFUNCTION("""COMPUTED_VALUE"""),33.0)</f>
        <v>33</v>
      </c>
      <c r="D1239" s="4"/>
      <c r="E1239" s="4" t="str">
        <f>IFERROR(__xludf.DUMMYFUNCTION("""COMPUTED_VALUE"""),"Sin precio neto")</f>
        <v>Sin precio neto</v>
      </c>
    </row>
    <row r="1240">
      <c r="A1240" s="4" t="str">
        <f>IFERROR(__xludf.DUMMYFUNCTION("""COMPUTED_VALUE"""),"1573")</f>
        <v>1573</v>
      </c>
      <c r="B1240" s="4" t="str">
        <f>IFERROR(__xludf.DUMMYFUNCTION("""COMPUTED_VALUE"""),"Rollo cinta Señal. 15cm x 200m. AGUA")</f>
        <v>Rollo cinta Señal. 15cm x 200m. AGUA</v>
      </c>
      <c r="C1240" s="4">
        <f>IFERROR(__xludf.DUMMYFUNCTION("""COMPUTED_VALUE"""),11.95)</f>
        <v>11.95</v>
      </c>
      <c r="D1240" s="4">
        <f>IFERROR(__xludf.DUMMYFUNCTION("""COMPUTED_VALUE"""),9.8)</f>
        <v>9.8</v>
      </c>
      <c r="E1240" s="4" t="str">
        <f>IFERROR(__xludf.DUMMYFUNCTION("""COMPUTED_VALUE"""),"Neto: 9,80 € (a partir de 12 uds.)")</f>
        <v>Neto: 9,80 € (a partir de 12 uds.)</v>
      </c>
    </row>
    <row r="1241">
      <c r="A1241" s="4" t="str">
        <f>IFERROR(__xludf.DUMMYFUNCTION("""COMPUTED_VALUE"""),"1573M")</f>
        <v>1573M</v>
      </c>
      <c r="B1241" s="4" t="str">
        <f>IFERROR(__xludf.DUMMYFUNCTION("""COMPUTED_VALUE"""),"Malla azul señalización agua 33 cm x 200 m")</f>
        <v>Malla azul señalización agua 33 cm x 200 m</v>
      </c>
      <c r="C1241" s="4">
        <f>IFERROR(__xludf.DUMMYFUNCTION("""COMPUTED_VALUE"""),33.0)</f>
        <v>33</v>
      </c>
      <c r="D1241" s="4"/>
      <c r="E1241" s="4" t="str">
        <f>IFERROR(__xludf.DUMMYFUNCTION("""COMPUTED_VALUE"""),"Sin precio neto")</f>
        <v>Sin precio neto</v>
      </c>
    </row>
    <row r="1242">
      <c r="A1242" s="4" t="str">
        <f>IFERROR(__xludf.DUMMYFUNCTION("""COMPUTED_VALUE"""),"1574")</f>
        <v>1574</v>
      </c>
      <c r="B1242" s="4" t="str">
        <f>IFERROR(__xludf.DUMMYFUNCTION("""COMPUTED_VALUE"""),"Rollo cinta Señal. 15cm x 200m. GAS")</f>
        <v>Rollo cinta Señal. 15cm x 200m. GAS</v>
      </c>
      <c r="C1242" s="4">
        <f>IFERROR(__xludf.DUMMYFUNCTION("""COMPUTED_VALUE"""),11.95)</f>
        <v>11.95</v>
      </c>
      <c r="D1242" s="4">
        <f>IFERROR(__xludf.DUMMYFUNCTION("""COMPUTED_VALUE"""),9.8)</f>
        <v>9.8</v>
      </c>
      <c r="E1242" s="4" t="str">
        <f>IFERROR(__xludf.DUMMYFUNCTION("""COMPUTED_VALUE"""),"Neto: 9,80 € (a partir de 12 uds.)")</f>
        <v>Neto: 9,80 € (a partir de 12 uds.)</v>
      </c>
    </row>
    <row r="1243">
      <c r="A1243" s="4" t="str">
        <f>IFERROR(__xludf.DUMMYFUNCTION("""COMPUTED_VALUE"""),"1574M")</f>
        <v>1574M</v>
      </c>
      <c r="B1243" s="4" t="str">
        <f>IFERROR(__xludf.DUMMYFUNCTION("""COMPUTED_VALUE"""),"Malla amarilla señalización gas 33 cm x 200 m")</f>
        <v>Malla amarilla señalización gas 33 cm x 200 m</v>
      </c>
      <c r="C1243" s="4">
        <f>IFERROR(__xludf.DUMMYFUNCTION("""COMPUTED_VALUE"""),33.0)</f>
        <v>33</v>
      </c>
      <c r="D1243" s="4"/>
      <c r="E1243" s="4" t="str">
        <f>IFERROR(__xludf.DUMMYFUNCTION("""COMPUTED_VALUE"""),"Sin precio neto")</f>
        <v>Sin precio neto</v>
      </c>
    </row>
    <row r="1244">
      <c r="A1244" s="4" t="str">
        <f>IFERROR(__xludf.DUMMYFUNCTION("""COMPUTED_VALUE"""),"1575")</f>
        <v>1575</v>
      </c>
      <c r="B1244" s="4" t="str">
        <f>IFERROR(__xludf.DUMMYFUNCTION("""COMPUTED_VALUE"""),"Rollo cinta Señal. 15cm x 200m. ELECTRI")</f>
        <v>Rollo cinta Señal. 15cm x 200m. ELECTRI</v>
      </c>
      <c r="C1244" s="4">
        <f>IFERROR(__xludf.DUMMYFUNCTION("""COMPUTED_VALUE"""),11.95)</f>
        <v>11.95</v>
      </c>
      <c r="D1244" s="4">
        <f>IFERROR(__xludf.DUMMYFUNCTION("""COMPUTED_VALUE"""),9.8)</f>
        <v>9.8</v>
      </c>
      <c r="E1244" s="4" t="str">
        <f>IFERROR(__xludf.DUMMYFUNCTION("""COMPUTED_VALUE"""),"Neto: 9,80 € (a partir de 12 uds.)")</f>
        <v>Neto: 9,80 € (a partir de 12 uds.)</v>
      </c>
    </row>
    <row r="1245">
      <c r="A1245" s="4" t="str">
        <f>IFERROR(__xludf.DUMMYFUNCTION("""COMPUTED_VALUE"""),"1575M")</f>
        <v>1575M</v>
      </c>
      <c r="B1245" s="4" t="str">
        <f>IFERROR(__xludf.DUMMYFUNCTION("""COMPUTED_VALUE"""),"Malla roja señalización electricidad 33 cm x 200 m")</f>
        <v>Malla roja señalización electricidad 33 cm x 200 m</v>
      </c>
      <c r="C1245" s="4">
        <f>IFERROR(__xludf.DUMMYFUNCTION("""COMPUTED_VALUE"""),33.0)</f>
        <v>33</v>
      </c>
      <c r="D1245" s="4"/>
      <c r="E1245" s="4" t="str">
        <f>IFERROR(__xludf.DUMMYFUNCTION("""COMPUTED_VALUE"""),"Sin precio neto")</f>
        <v>Sin precio neto</v>
      </c>
    </row>
    <row r="1246">
      <c r="A1246" s="4" t="str">
        <f>IFERROR(__xludf.DUMMYFUNCTION("""COMPUTED_VALUE"""),"1575P")</f>
        <v>1575P</v>
      </c>
      <c r="B1246" s="4" t="str">
        <f>IFERROR(__xludf.DUMMYFUNCTION("""COMPUTED_VALUE"""),"Placa señalización eléctrica 1000x250x2.5")</f>
        <v>Placa señalización eléctrica 1000x250x2.5</v>
      </c>
      <c r="C1246" s="4">
        <f>IFERROR(__xludf.DUMMYFUNCTION("""COMPUTED_VALUE"""),1.5)</f>
        <v>1.5</v>
      </c>
      <c r="D1246" s="4"/>
      <c r="E1246" s="4" t="str">
        <f>IFERROR(__xludf.DUMMYFUNCTION("""COMPUTED_VALUE"""),"Sin precio neto")</f>
        <v>Sin precio neto</v>
      </c>
    </row>
    <row r="1247">
      <c r="A1247" s="4" t="str">
        <f>IFERROR(__xludf.DUMMYFUNCTION("""COMPUTED_VALUE"""),"1576")</f>
        <v>1576</v>
      </c>
      <c r="B1247" s="4" t="str">
        <f>IFERROR(__xludf.DUMMYFUNCTION("""COMPUTED_VALUE"""),"Rollo cinta Señal. 10cm x 200m. POLICIA")</f>
        <v>Rollo cinta Señal. 10cm x 200m. POLICIA</v>
      </c>
      <c r="C1247" s="4">
        <f>IFERROR(__xludf.DUMMYFUNCTION("""COMPUTED_VALUE"""),8.8)</f>
        <v>8.8</v>
      </c>
      <c r="D1247" s="4"/>
      <c r="E1247" s="4" t="str">
        <f>IFERROR(__xludf.DUMMYFUNCTION("""COMPUTED_VALUE"""),"Sin precio neto")</f>
        <v>Sin precio neto</v>
      </c>
    </row>
    <row r="1248">
      <c r="A1248" s="4" t="str">
        <f>IFERROR(__xludf.DUMMYFUNCTION("""COMPUTED_VALUE"""),"1577")</f>
        <v>1577</v>
      </c>
      <c r="B1248" s="4" t="str">
        <f>IFERROR(__xludf.DUMMYFUNCTION("""COMPUTED_VALUE"""),"Rollo cinta adhesiva amarilla suelo marcacion temporal")</f>
        <v>Rollo cinta adhesiva amarilla suelo marcacion temporal</v>
      </c>
      <c r="C1248" s="4">
        <f>IFERROR(__xludf.DUMMYFUNCTION("""COMPUTED_VALUE"""),112.5)</f>
        <v>112.5</v>
      </c>
      <c r="D1248" s="4"/>
      <c r="E1248" s="4" t="str">
        <f>IFERROR(__xludf.DUMMYFUNCTION("""COMPUTED_VALUE"""),"Sin precio neto")</f>
        <v>Sin precio neto</v>
      </c>
    </row>
    <row r="1249">
      <c r="A1249" s="4" t="str">
        <f>IFERROR(__xludf.DUMMYFUNCTION("""COMPUTED_VALUE"""),"1577K")</f>
        <v>1577K</v>
      </c>
      <c r="B1249" s="4" t="str">
        <f>IFERROR(__xludf.DUMMYFUNCTION("""COMPUTED_VALUE"""),"Rollo cinta adhesiva negra suelo marcacion temporal")</f>
        <v>Rollo cinta adhesiva negra suelo marcacion temporal</v>
      </c>
      <c r="C1249" s="4">
        <f>IFERROR(__xludf.DUMMYFUNCTION("""COMPUTED_VALUE"""),112.5)</f>
        <v>112.5</v>
      </c>
      <c r="D1249" s="4"/>
      <c r="E1249" s="4" t="str">
        <f>IFERROR(__xludf.DUMMYFUNCTION("""COMPUTED_VALUE"""),"Sin precio neto")</f>
        <v>Sin precio neto</v>
      </c>
    </row>
    <row r="1250">
      <c r="A1250" s="4" t="str">
        <f>IFERROR(__xludf.DUMMYFUNCTION("""COMPUTED_VALUE"""),"1577W")</f>
        <v>1577W</v>
      </c>
      <c r="B1250" s="4" t="str">
        <f>IFERROR(__xludf.DUMMYFUNCTION("""COMPUTED_VALUE"""),"Rollo cinta adhesiva blanca suelo marcacion temporal")</f>
        <v>Rollo cinta adhesiva blanca suelo marcacion temporal</v>
      </c>
      <c r="C1250" s="4">
        <f>IFERROR(__xludf.DUMMYFUNCTION("""COMPUTED_VALUE"""),112.5)</f>
        <v>112.5</v>
      </c>
      <c r="D1250" s="4"/>
      <c r="E1250" s="4" t="str">
        <f>IFERROR(__xludf.DUMMYFUNCTION("""COMPUTED_VALUE"""),"Sin precio neto")</f>
        <v>Sin precio neto</v>
      </c>
    </row>
    <row r="1251">
      <c r="A1251" s="4" t="str">
        <f>IFERROR(__xludf.DUMMYFUNCTION("""COMPUTED_VALUE"""),"1578")</f>
        <v>1578</v>
      </c>
      <c r="B1251" s="4" t="str">
        <f>IFERROR(__xludf.DUMMYFUNCTION("""COMPUTED_VALUE"""),"Rollo cinta Señal.N/A 10cm x200m c/caja G400")</f>
        <v>Rollo cinta Señal.N/A 10cm x200m c/caja G400</v>
      </c>
      <c r="C1251" s="4">
        <f>IFERROR(__xludf.DUMMYFUNCTION("""COMPUTED_VALUE"""),8.82)</f>
        <v>8.82</v>
      </c>
      <c r="D1251" s="4"/>
      <c r="E1251" s="4" t="str">
        <f>IFERROR(__xludf.DUMMYFUNCTION("""COMPUTED_VALUE"""),"Sin precio neto")</f>
        <v>Sin precio neto</v>
      </c>
    </row>
    <row r="1252">
      <c r="A1252" s="4" t="str">
        <f>IFERROR(__xludf.DUMMYFUNCTION("""COMPUTED_VALUE"""),"1579")</f>
        <v>1579</v>
      </c>
      <c r="B1252" s="4" t="str">
        <f>IFERROR(__xludf.DUMMYFUNCTION("""COMPUTED_VALUE"""),"Rollo cinta Señal. N/A 10cm. x 200m. G400")</f>
        <v>Rollo cinta Señal. N/A 10cm. x 200m. G400</v>
      </c>
      <c r="C1252" s="4">
        <f>IFERROR(__xludf.DUMMYFUNCTION("""COMPUTED_VALUE"""),8.25)</f>
        <v>8.25</v>
      </c>
      <c r="D1252" s="4"/>
      <c r="E1252" s="4" t="str">
        <f>IFERROR(__xludf.DUMMYFUNCTION("""COMPUTED_VALUE"""),"Sin precio neto")</f>
        <v>Sin precio neto</v>
      </c>
    </row>
    <row r="1253">
      <c r="A1253" s="4" t="str">
        <f>IFERROR(__xludf.DUMMYFUNCTION("""COMPUTED_VALUE"""),"1580")</f>
        <v>1580</v>
      </c>
      <c r="B1253" s="4" t="str">
        <f>IFERROR(__xludf.DUMMYFUNCTION("""COMPUTED_VALUE"""),"Mts. Banderola Quitamiedos c/reflec")</f>
        <v>Mts. Banderola Quitamiedos c/reflec</v>
      </c>
      <c r="C1253" s="4">
        <f>IFERROR(__xludf.DUMMYFUNCTION("""COMPUTED_VALUE"""),0.68)</f>
        <v>0.68</v>
      </c>
      <c r="D1253" s="4"/>
      <c r="E1253" s="4" t="str">
        <f>IFERROR(__xludf.DUMMYFUNCTION("""COMPUTED_VALUE"""),"Sin precio neto")</f>
        <v>Sin precio neto</v>
      </c>
    </row>
    <row r="1254">
      <c r="A1254" s="4" t="str">
        <f>IFERROR(__xludf.DUMMYFUNCTION("""COMPUTED_VALUE"""),"1581")</f>
        <v>1581</v>
      </c>
      <c r="B1254" s="4" t="str">
        <f>IFERROR(__xludf.DUMMYFUNCTION("""COMPUTED_VALUE"""),"Mts. Banderola Quitamiedos s/reflectante")</f>
        <v>Mts. Banderola Quitamiedos s/reflectante</v>
      </c>
      <c r="C1254" s="4">
        <f>IFERROR(__xludf.DUMMYFUNCTION("""COMPUTED_VALUE"""),0.34)</f>
        <v>0.34</v>
      </c>
      <c r="D1254" s="4"/>
      <c r="E1254" s="4" t="str">
        <f>IFERROR(__xludf.DUMMYFUNCTION("""COMPUTED_VALUE"""),"Sin precio neto")</f>
        <v>Sin precio neto</v>
      </c>
    </row>
    <row r="1255">
      <c r="A1255" s="4" t="str">
        <f>IFERROR(__xludf.DUMMYFUNCTION("""COMPUTED_VALUE"""),"1582")</f>
        <v>1582</v>
      </c>
      <c r="B1255" s="4" t="str">
        <f>IFERROR(__xludf.DUMMYFUNCTION("""COMPUTED_VALUE"""),"Rollos cinta Señal. 10cm x 200m. PROTECCION CIVIL")</f>
        <v>Rollos cinta Señal. 10cm x 200m. PROTECCION CIVIL</v>
      </c>
      <c r="C1255" s="4">
        <f>IFERROR(__xludf.DUMMYFUNCTION("""COMPUTED_VALUE"""),8.25)</f>
        <v>8.25</v>
      </c>
      <c r="D1255" s="4"/>
      <c r="E1255" s="4" t="str">
        <f>IFERROR(__xludf.DUMMYFUNCTION("""COMPUTED_VALUE"""),"Sin precio neto")</f>
        <v>Sin precio neto</v>
      </c>
    </row>
    <row r="1256">
      <c r="A1256" s="4" t="str">
        <f>IFERROR(__xludf.DUMMYFUNCTION("""COMPUTED_VALUE"""),"1583")</f>
        <v>1583</v>
      </c>
      <c r="B1256" s="4" t="str">
        <f>IFERROR(__xludf.DUMMYFUNCTION("""COMPUTED_VALUE"""),"Rollo cinta Señal.N/A 10cm x 200m. G300 AMIANTO")</f>
        <v>Rollo cinta Señal.N/A 10cm x 200m. G300 AMIANTO</v>
      </c>
      <c r="C1256" s="4">
        <f>IFERROR(__xludf.DUMMYFUNCTION("""COMPUTED_VALUE"""),6.95)</f>
        <v>6.95</v>
      </c>
      <c r="D1256" s="4"/>
      <c r="E1256" s="4" t="str">
        <f>IFERROR(__xludf.DUMMYFUNCTION("""COMPUTED_VALUE"""),"Sin precio neto")</f>
        <v>Sin precio neto</v>
      </c>
    </row>
    <row r="1257">
      <c r="A1257" s="4" t="str">
        <f>IFERROR(__xludf.DUMMYFUNCTION("""COMPUTED_VALUE"""),"1585")</f>
        <v>1585</v>
      </c>
      <c r="B1257" s="4" t="str">
        <f>IFERROR(__xludf.DUMMYFUNCTION("""COMPUTED_VALUE"""),"Rollo cinta Señal. 10cm x 200m. NARANJA")</f>
        <v>Rollo cinta Señal. 10cm x 200m. NARANJA</v>
      </c>
      <c r="C1257" s="4">
        <f>IFERROR(__xludf.DUMMYFUNCTION("""COMPUTED_VALUE"""),7.25)</f>
        <v>7.25</v>
      </c>
      <c r="D1257" s="4"/>
      <c r="E1257" s="4" t="str">
        <f>IFERROR(__xludf.DUMMYFUNCTION("""COMPUTED_VALUE"""),"Sin precio neto")</f>
        <v>Sin precio neto</v>
      </c>
    </row>
    <row r="1258">
      <c r="A1258" s="4" t="str">
        <f>IFERROR(__xludf.DUMMYFUNCTION("""COMPUTED_VALUE"""),"1586")</f>
        <v>1586</v>
      </c>
      <c r="B1258" s="4" t="str">
        <f>IFERROR(__xludf.DUMMYFUNCTION("""COMPUTED_VALUE"""),"Rollo cinta Señal. 10cm x 200m. VERDE")</f>
        <v>Rollo cinta Señal. 10cm x 200m. VERDE</v>
      </c>
      <c r="C1258" s="4">
        <f>IFERROR(__xludf.DUMMYFUNCTION("""COMPUTED_VALUE"""),7.25)</f>
        <v>7.25</v>
      </c>
      <c r="D1258" s="4"/>
      <c r="E1258" s="4" t="str">
        <f>IFERROR(__xludf.DUMMYFUNCTION("""COMPUTED_VALUE"""),"Sin precio neto")</f>
        <v>Sin precio neto</v>
      </c>
    </row>
    <row r="1259">
      <c r="A1259" s="4" t="str">
        <f>IFERROR(__xludf.DUMMYFUNCTION("""COMPUTED_VALUE"""),"1587")</f>
        <v>1587</v>
      </c>
      <c r="B1259" s="4" t="str">
        <f>IFERROR(__xludf.DUMMYFUNCTION("""COMPUTED_VALUE"""),"Rollo cinta Señal. 10cm x 200m. AZUL")</f>
        <v>Rollo cinta Señal. 10cm x 200m. AZUL</v>
      </c>
      <c r="C1259" s="4">
        <f>IFERROR(__xludf.DUMMYFUNCTION("""COMPUTED_VALUE"""),7.25)</f>
        <v>7.25</v>
      </c>
      <c r="D1259" s="4"/>
      <c r="E1259" s="4" t="str">
        <f>IFERROR(__xludf.DUMMYFUNCTION("""COMPUTED_VALUE"""),"Sin precio neto")</f>
        <v>Sin precio neto</v>
      </c>
    </row>
    <row r="1260">
      <c r="A1260" s="4" t="str">
        <f>IFERROR(__xludf.DUMMYFUNCTION("""COMPUTED_VALUE"""),"1588")</f>
        <v>1588</v>
      </c>
      <c r="B1260" s="4" t="str">
        <f>IFERROR(__xludf.DUMMYFUNCTION("""COMPUTED_VALUE"""),"Rollo cinta Señal. 10cm x 200m. AMARILLO")</f>
        <v>Rollo cinta Señal. 10cm x 200m. AMARILLO</v>
      </c>
      <c r="C1260" s="4">
        <f>IFERROR(__xludf.DUMMYFUNCTION("""COMPUTED_VALUE"""),7.25)</f>
        <v>7.25</v>
      </c>
      <c r="D1260" s="4"/>
      <c r="E1260" s="4" t="str">
        <f>IFERROR(__xludf.DUMMYFUNCTION("""COMPUTED_VALUE"""),"Sin precio neto")</f>
        <v>Sin precio neto</v>
      </c>
    </row>
    <row r="1261">
      <c r="A1261" s="4" t="str">
        <f>IFERROR(__xludf.DUMMYFUNCTION("""COMPUTED_VALUE"""),"1590")</f>
        <v>1590</v>
      </c>
      <c r="B1261" s="4" t="str">
        <f>IFERROR(__xludf.DUMMYFUNCTION("""COMPUTED_VALUE"""),"Vinilo adhesivo suelo ESPERE SU TURNO 40 cm")</f>
        <v>Vinilo adhesivo suelo ESPERE SU TURNO 40 cm</v>
      </c>
      <c r="C1261" s="4">
        <f>IFERROR(__xludf.DUMMYFUNCTION("""COMPUTED_VALUE"""),6.15)</f>
        <v>6.15</v>
      </c>
      <c r="D1261" s="4"/>
      <c r="E1261" s="4" t="str">
        <f>IFERROR(__xludf.DUMMYFUNCTION("""COMPUTED_VALUE"""),"Sin precio neto")</f>
        <v>Sin precio neto</v>
      </c>
    </row>
    <row r="1262">
      <c r="A1262" s="4" t="str">
        <f>IFERROR(__xludf.DUMMYFUNCTION("""COMPUTED_VALUE"""),"1591")</f>
        <v>1591</v>
      </c>
      <c r="B1262" s="4" t="str">
        <f>IFERROR(__xludf.DUMMYFUNCTION("""COMPUTED_VALUE"""),"Vinilo adhesivo suelo Paso oblig. carretillas 40 cm")</f>
        <v>Vinilo adhesivo suelo Paso oblig. carretillas 40 cm</v>
      </c>
      <c r="C1262" s="4">
        <f>IFERROR(__xludf.DUMMYFUNCTION("""COMPUTED_VALUE"""),6.15)</f>
        <v>6.15</v>
      </c>
      <c r="D1262" s="4"/>
      <c r="E1262" s="4" t="str">
        <f>IFERROR(__xludf.DUMMYFUNCTION("""COMPUTED_VALUE"""),"Sin precio neto")</f>
        <v>Sin precio neto</v>
      </c>
    </row>
    <row r="1263">
      <c r="A1263" s="4" t="str">
        <f>IFERROR(__xludf.DUMMYFUNCTION("""COMPUTED_VALUE"""),"1592")</f>
        <v>1592</v>
      </c>
      <c r="B1263" s="4" t="str">
        <f>IFERROR(__xludf.DUMMYFUNCTION("""COMPUTED_VALUE"""),"Vinilo adhesivo suelo Peligro Paso de carretilla 40 cm")</f>
        <v>Vinilo adhesivo suelo Peligro Paso de carretilla 40 cm</v>
      </c>
      <c r="C1263" s="4">
        <f>IFERROR(__xludf.DUMMYFUNCTION("""COMPUTED_VALUE"""),6.15)</f>
        <v>6.15</v>
      </c>
      <c r="D1263" s="4"/>
      <c r="E1263" s="4" t="str">
        <f>IFERROR(__xludf.DUMMYFUNCTION("""COMPUTED_VALUE"""),"Sin precio neto")</f>
        <v>Sin precio neto</v>
      </c>
    </row>
    <row r="1264">
      <c r="A1264" s="4" t="str">
        <f>IFERROR(__xludf.DUMMYFUNCTION("""COMPUTED_VALUE"""),"1593")</f>
        <v>1593</v>
      </c>
      <c r="B1264" s="4" t="str">
        <f>IFERROR(__xludf.DUMMYFUNCTION("""COMPUTED_VALUE"""),"Vinilo adhesivo suelo Peligro suelo Resbaladizo 40 cm")</f>
        <v>Vinilo adhesivo suelo Peligro suelo Resbaladizo 40 cm</v>
      </c>
      <c r="C1264" s="4">
        <f>IFERROR(__xludf.DUMMYFUNCTION("""COMPUTED_VALUE"""),6.15)</f>
        <v>6.15</v>
      </c>
      <c r="D1264" s="4"/>
      <c r="E1264" s="4" t="str">
        <f>IFERROR(__xludf.DUMMYFUNCTION("""COMPUTED_VALUE"""),"Sin precio neto")</f>
        <v>Sin precio neto</v>
      </c>
    </row>
    <row r="1265">
      <c r="A1265" s="4" t="str">
        <f>IFERROR(__xludf.DUMMYFUNCTION("""COMPUTED_VALUE"""),"1594")</f>
        <v>1594</v>
      </c>
      <c r="B1265" s="4" t="str">
        <f>IFERROR(__xludf.DUMMYFUNCTION("""COMPUTED_VALUE"""),"Rollo Cinta 15 cm x 200 m Aguas residuales")</f>
        <v>Rollo Cinta 15 cm x 200 m Aguas residuales</v>
      </c>
      <c r="C1265" s="4">
        <f>IFERROR(__xludf.DUMMYFUNCTION("""COMPUTED_VALUE"""),11.95)</f>
        <v>11.95</v>
      </c>
      <c r="D1265" s="4"/>
      <c r="E1265" s="4" t="str">
        <f>IFERROR(__xludf.DUMMYFUNCTION("""COMPUTED_VALUE"""),"Sin precio neto")</f>
        <v>Sin precio neto</v>
      </c>
    </row>
    <row r="1266">
      <c r="A1266" s="4" t="str">
        <f>IFERROR(__xludf.DUMMYFUNCTION("""COMPUTED_VALUE"""),"1600")</f>
        <v>1600</v>
      </c>
      <c r="B1266" s="4" t="str">
        <f>IFERROR(__xludf.DUMMYFUNCTION("""COMPUTED_VALUE"""),"Camisa reflec. N.2 cono 50 cm OXFORD")</f>
        <v>Camisa reflec. N.2 cono 50 cm OXFORD</v>
      </c>
      <c r="C1266" s="4">
        <f>IFERROR(__xludf.DUMMYFUNCTION("""COMPUTED_VALUE"""),3.42)</f>
        <v>3.42</v>
      </c>
      <c r="D1266" s="4"/>
      <c r="E1266" s="4" t="str">
        <f>IFERROR(__xludf.DUMMYFUNCTION("""COMPUTED_VALUE"""),"Sin precio neto")</f>
        <v>Sin precio neto</v>
      </c>
    </row>
    <row r="1267">
      <c r="A1267" s="4" t="str">
        <f>IFERROR(__xludf.DUMMYFUNCTION("""COMPUTED_VALUE"""),"1601")</f>
        <v>1601</v>
      </c>
      <c r="B1267" s="4" t="str">
        <f>IFERROR(__xludf.DUMMYFUNCTION("""COMPUTED_VALUE"""),"Camisa reflec. N.2 cono 75 cm OXFORD")</f>
        <v>Camisa reflec. N.2 cono 75 cm OXFORD</v>
      </c>
      <c r="C1267" s="4">
        <f>IFERROR(__xludf.DUMMYFUNCTION("""COMPUTED_VALUE"""),3.8)</f>
        <v>3.8</v>
      </c>
      <c r="D1267" s="4"/>
      <c r="E1267" s="4" t="str">
        <f>IFERROR(__xludf.DUMMYFUNCTION("""COMPUTED_VALUE"""),"Sin precio neto")</f>
        <v>Sin precio neto</v>
      </c>
    </row>
    <row r="1268">
      <c r="A1268" s="4" t="str">
        <f>IFERROR(__xludf.DUMMYFUNCTION("""COMPUTED_VALUE"""),"1604AN")</f>
        <v>1604AN</v>
      </c>
      <c r="B1268" s="4" t="str">
        <f>IFERROR(__xludf.DUMMYFUNCTION("""COMPUTED_VALUE"""),"Barra señaliz. Negra/Amarilla extensible para cono")</f>
        <v>Barra señaliz. Negra/Amarilla extensible para cono</v>
      </c>
      <c r="C1268" s="4">
        <f>IFERROR(__xludf.DUMMYFUNCTION("""COMPUTED_VALUE"""),8.4)</f>
        <v>8.4</v>
      </c>
      <c r="D1268" s="4"/>
      <c r="E1268" s="4" t="str">
        <f>IFERROR(__xludf.DUMMYFUNCTION("""COMPUTED_VALUE"""),"Sin precio neto")</f>
        <v>Sin precio neto</v>
      </c>
    </row>
    <row r="1269">
      <c r="A1269" s="4" t="str">
        <f>IFERROR(__xludf.DUMMYFUNCTION("""COMPUTED_VALUE"""),"1604RB")</f>
        <v>1604RB</v>
      </c>
      <c r="B1269" s="4" t="str">
        <f>IFERROR(__xludf.DUMMYFUNCTION("""COMPUTED_VALUE"""),"Barra señaliz. Roja/Blanca extensible para cono")</f>
        <v>Barra señaliz. Roja/Blanca extensible para cono</v>
      </c>
      <c r="C1269" s="4">
        <f>IFERROR(__xludf.DUMMYFUNCTION("""COMPUTED_VALUE"""),8.4)</f>
        <v>8.4</v>
      </c>
      <c r="D1269" s="4"/>
      <c r="E1269" s="4" t="str">
        <f>IFERROR(__xludf.DUMMYFUNCTION("""COMPUTED_VALUE"""),"Sin precio neto")</f>
        <v>Sin precio neto</v>
      </c>
    </row>
    <row r="1270">
      <c r="A1270" s="4" t="str">
        <f>IFERROR(__xludf.DUMMYFUNCTION("""COMPUTED_VALUE"""),"1617")</f>
        <v>1617</v>
      </c>
      <c r="B1270" s="4" t="str">
        <f>IFERROR(__xludf.DUMMYFUNCTION("""COMPUTED_VALUE"""),"Juego huellas adhesivas 27x10 cm pisable verde")</f>
        <v>Juego huellas adhesivas 27x10 cm pisable verde</v>
      </c>
      <c r="C1270" s="4">
        <f>IFERROR(__xludf.DUMMYFUNCTION("""COMPUTED_VALUE"""),3.15)</f>
        <v>3.15</v>
      </c>
      <c r="D1270" s="4"/>
      <c r="E1270" s="4" t="str">
        <f>IFERROR(__xludf.DUMMYFUNCTION("""COMPUTED_VALUE"""),"Sin precio neto")</f>
        <v>Sin precio neto</v>
      </c>
    </row>
    <row r="1271">
      <c r="A1271" s="4" t="str">
        <f>IFERROR(__xludf.DUMMYFUNCTION("""COMPUTED_VALUE"""),"1618")</f>
        <v>1618</v>
      </c>
      <c r="B1271" s="4" t="str">
        <f>IFERROR(__xludf.DUMMYFUNCTION("""COMPUTED_VALUE"""),"Juego huellas adhesivas 27x10 cm pisable rojo")</f>
        <v>Juego huellas adhesivas 27x10 cm pisable rojo</v>
      </c>
      <c r="C1271" s="4">
        <f>IFERROR(__xludf.DUMMYFUNCTION("""COMPUTED_VALUE"""),3.15)</f>
        <v>3.15</v>
      </c>
      <c r="D1271" s="4"/>
      <c r="E1271" s="4" t="str">
        <f>IFERROR(__xludf.DUMMYFUNCTION("""COMPUTED_VALUE"""),"Sin precio neto")</f>
        <v>Sin precio neto</v>
      </c>
    </row>
    <row r="1272">
      <c r="A1272" s="4" t="str">
        <f>IFERROR(__xludf.DUMMYFUNCTION("""COMPUTED_VALUE"""),"1619")</f>
        <v>1619</v>
      </c>
      <c r="B1272" s="4" t="str">
        <f>IFERROR(__xludf.DUMMYFUNCTION("""COMPUTED_VALUE"""),"Juego huellas adhesivas 27z10 cm pisable negro")</f>
        <v>Juego huellas adhesivas 27z10 cm pisable negro</v>
      </c>
      <c r="C1272" s="4">
        <f>IFERROR(__xludf.DUMMYFUNCTION("""COMPUTED_VALUE"""),3.15)</f>
        <v>3.15</v>
      </c>
      <c r="D1272" s="4"/>
      <c r="E1272" s="4" t="str">
        <f>IFERROR(__xludf.DUMMYFUNCTION("""COMPUTED_VALUE"""),"Sin precio neto")</f>
        <v>Sin precio neto</v>
      </c>
    </row>
    <row r="1273">
      <c r="A1273" s="4" t="str">
        <f>IFERROR(__xludf.DUMMYFUNCTION("""COMPUTED_VALUE"""),"1620")</f>
        <v>1620</v>
      </c>
      <c r="B1273" s="4" t="str">
        <f>IFERROR(__xludf.DUMMYFUNCTION("""COMPUTED_VALUE"""),"Juego 2 Flechas adhesivas 29x8 pisable Verde")</f>
        <v>Juego 2 Flechas adhesivas 29x8 pisable Verde</v>
      </c>
      <c r="C1273" s="4">
        <f>IFERROR(__xludf.DUMMYFUNCTION("""COMPUTED_VALUE"""),3.15)</f>
        <v>3.15</v>
      </c>
      <c r="D1273" s="4"/>
      <c r="E1273" s="4" t="str">
        <f>IFERROR(__xludf.DUMMYFUNCTION("""COMPUTED_VALUE"""),"Sin precio neto")</f>
        <v>Sin precio neto</v>
      </c>
    </row>
    <row r="1274">
      <c r="A1274" s="4" t="str">
        <f>IFERROR(__xludf.DUMMYFUNCTION("""COMPUTED_VALUE"""),"1621")</f>
        <v>1621</v>
      </c>
      <c r="B1274" s="4" t="str">
        <f>IFERROR(__xludf.DUMMYFUNCTION("""COMPUTED_VALUE"""),"Juego2 Flechas adhesivas 29x8 pisable Rojo")</f>
        <v>Juego2 Flechas adhesivas 29x8 pisable Rojo</v>
      </c>
      <c r="C1274" s="4">
        <f>IFERROR(__xludf.DUMMYFUNCTION("""COMPUTED_VALUE"""),3.15)</f>
        <v>3.15</v>
      </c>
      <c r="D1274" s="4"/>
      <c r="E1274" s="4" t="str">
        <f>IFERROR(__xludf.DUMMYFUNCTION("""COMPUTED_VALUE"""),"Sin precio neto")</f>
        <v>Sin precio neto</v>
      </c>
    </row>
    <row r="1275">
      <c r="A1275" s="4" t="str">
        <f>IFERROR(__xludf.DUMMYFUNCTION("""COMPUTED_VALUE"""),"1622")</f>
        <v>1622</v>
      </c>
      <c r="B1275" s="4" t="str">
        <f>IFERROR(__xludf.DUMMYFUNCTION("""COMPUTED_VALUE"""),"Adhesivo 21x29 Uso desinfectante")</f>
        <v>Adhesivo 21x29 Uso desinfectante</v>
      </c>
      <c r="C1275" s="4">
        <f>IFERROR(__xludf.DUMMYFUNCTION("""COMPUTED_VALUE"""),1.365)</f>
        <v>1.365</v>
      </c>
      <c r="D1275" s="4"/>
      <c r="E1275" s="4" t="str">
        <f>IFERROR(__xludf.DUMMYFUNCTION("""COMPUTED_VALUE"""),"Sin precio neto")</f>
        <v>Sin precio neto</v>
      </c>
    </row>
    <row r="1276">
      <c r="A1276" s="4" t="str">
        <f>IFERROR(__xludf.DUMMYFUNCTION("""COMPUTED_VALUE"""),"1623")</f>
        <v>1623</v>
      </c>
      <c r="B1276" s="4" t="str">
        <f>IFERROR(__xludf.DUMMYFUNCTION("""COMPUTED_VALUE"""),"Cartel PVC 21x29 cm USO DESINFECTANTE")</f>
        <v>Cartel PVC 21x29 cm USO DESINFECTANTE</v>
      </c>
      <c r="C1276" s="4">
        <f>IFERROR(__xludf.DUMMYFUNCTION("""COMPUTED_VALUE"""),1.6)</f>
        <v>1.6</v>
      </c>
      <c r="D1276" s="4">
        <f>IFERROR(__xludf.DUMMYFUNCTION("""COMPUTED_VALUE"""),1.2)</f>
        <v>1.2</v>
      </c>
      <c r="E1276" s="4" t="str">
        <f>IFERROR(__xludf.DUMMYFUNCTION("""COMPUTED_VALUE"""),"Neto: 1,20 € (a partir de 1 uds.)")</f>
        <v>Neto: 1,20 € (a partir de 1 uds.)</v>
      </c>
    </row>
    <row r="1277">
      <c r="A1277" s="4" t="str">
        <f>IFERROR(__xludf.DUMMYFUNCTION("""COMPUTED_VALUE"""),"1625")</f>
        <v>1625</v>
      </c>
      <c r="B1277" s="4" t="str">
        <f>IFERROR(__xludf.DUMMYFUNCTION("""COMPUTED_VALUE"""),"Juego huellas adhesivas suelo 27x10 cm Amarillo")</f>
        <v>Juego huellas adhesivas suelo 27x10 cm Amarillo</v>
      </c>
      <c r="C1277" s="4">
        <f>IFERROR(__xludf.DUMMYFUNCTION("""COMPUTED_VALUE"""),4.2)</f>
        <v>4.2</v>
      </c>
      <c r="D1277" s="4"/>
      <c r="E1277" s="4" t="str">
        <f>IFERROR(__xludf.DUMMYFUNCTION("""COMPUTED_VALUE"""),"Sin precio neto")</f>
        <v>Sin precio neto</v>
      </c>
    </row>
    <row r="1278">
      <c r="A1278" s="4" t="str">
        <f>IFERROR(__xludf.DUMMYFUNCTION("""COMPUTED_VALUE"""),"1626")</f>
        <v>1626</v>
      </c>
      <c r="B1278" s="4" t="str">
        <f>IFERROR(__xludf.DUMMYFUNCTION("""COMPUTED_VALUE"""),"Juego huellas adhesivas suelo 27x10 cm Basic")</f>
        <v>Juego huellas adhesivas suelo 27x10 cm Basic</v>
      </c>
      <c r="C1278" s="4">
        <f>IFERROR(__xludf.DUMMYFUNCTION("""COMPUTED_VALUE"""),4.2)</f>
        <v>4.2</v>
      </c>
      <c r="D1278" s="4"/>
      <c r="E1278" s="4" t="str">
        <f>IFERROR(__xludf.DUMMYFUNCTION("""COMPUTED_VALUE"""),"Sin precio neto")</f>
        <v>Sin precio neto</v>
      </c>
    </row>
    <row r="1279">
      <c r="A1279" s="4" t="str">
        <f>IFERROR(__xludf.DUMMYFUNCTION("""COMPUTED_VALUE"""),"1627")</f>
        <v>1627</v>
      </c>
      <c r="B1279" s="4" t="str">
        <f>IFERROR(__xludf.DUMMYFUNCTION("""COMPUTED_VALUE"""),"Kit Adhesivos flechas y tiras suelo")</f>
        <v>Kit Adhesivos flechas y tiras suelo</v>
      </c>
      <c r="C1279" s="4">
        <f>IFERROR(__xludf.DUMMYFUNCTION("""COMPUTED_VALUE"""),20.7)</f>
        <v>20.7</v>
      </c>
      <c r="D1279" s="4"/>
      <c r="E1279" s="4" t="str">
        <f>IFERROR(__xludf.DUMMYFUNCTION("""COMPUTED_VALUE"""),"Sin precio neto")</f>
        <v>Sin precio neto</v>
      </c>
    </row>
    <row r="1280">
      <c r="A1280" s="4" t="str">
        <f>IFERROR(__xludf.DUMMYFUNCTION("""COMPUTED_VALUE"""),"1629")</f>
        <v>1629</v>
      </c>
      <c r="B1280" s="4" t="str">
        <f>IFERROR(__xludf.DUMMYFUNCTION("""COMPUTED_VALUE"""),"Cinta antideslizante N/A DISTANCIA SEGURIDAD 10x100 cm")</f>
        <v>Cinta antideslizante N/A DISTANCIA SEGURIDAD 10x100 cm</v>
      </c>
      <c r="C1280" s="4">
        <f>IFERROR(__xludf.DUMMYFUNCTION("""COMPUTED_VALUE"""),4.99)</f>
        <v>4.99</v>
      </c>
      <c r="D1280" s="4"/>
      <c r="E1280" s="4" t="str">
        <f>IFERROR(__xludf.DUMMYFUNCTION("""COMPUTED_VALUE"""),"Sin precio neto")</f>
        <v>Sin precio neto</v>
      </c>
    </row>
    <row r="1281">
      <c r="A1281" s="4" t="str">
        <f>IFERROR(__xludf.DUMMYFUNCTION("""COMPUTED_VALUE"""),"1630")</f>
        <v>1630</v>
      </c>
      <c r="B1281" s="4" t="str">
        <f>IFERROR(__xludf.DUMMYFUNCTION("""COMPUTED_VALUE"""),"Cinta antideslizante Blanca ESPERE SU TURNO 10x100 cm")</f>
        <v>Cinta antideslizante Blanca ESPERE SU TURNO 10x100 cm</v>
      </c>
      <c r="C1281" s="4">
        <f>IFERROR(__xludf.DUMMYFUNCTION("""COMPUTED_VALUE"""),4.99)</f>
        <v>4.99</v>
      </c>
      <c r="D1281" s="4"/>
      <c r="E1281" s="4" t="str">
        <f>IFERROR(__xludf.DUMMYFUNCTION("""COMPUTED_VALUE"""),"Sin precio neto")</f>
        <v>Sin precio neto</v>
      </c>
    </row>
    <row r="1282">
      <c r="A1282" s="4" t="str">
        <f>IFERROR(__xludf.DUMMYFUNCTION("""COMPUTED_VALUE"""),"1631")</f>
        <v>1631</v>
      </c>
      <c r="B1282" s="4" t="str">
        <f>IFERROR(__xludf.DUMMYFUNCTION("""COMPUTED_VALUE"""),"Cono plegable Reflect 55cm")</f>
        <v>Cono plegable Reflect 55cm</v>
      </c>
      <c r="C1282" s="4">
        <f>IFERROR(__xludf.DUMMYFUNCTION("""COMPUTED_VALUE"""),12.25)</f>
        <v>12.25</v>
      </c>
      <c r="D1282" s="4"/>
      <c r="E1282" s="4" t="str">
        <f>IFERROR(__xludf.DUMMYFUNCTION("""COMPUTED_VALUE"""),"Sin precio neto")</f>
        <v>Sin precio neto</v>
      </c>
    </row>
    <row r="1283">
      <c r="A1283" s="4" t="str">
        <f>IFERROR(__xludf.DUMMYFUNCTION("""COMPUTED_VALUE"""),"1632")</f>
        <v>1632</v>
      </c>
      <c r="B1283" s="4" t="str">
        <f>IFERROR(__xludf.DUMMYFUNCTION("""COMPUTED_VALUE"""),"Cone extender")</f>
        <v>Cone extender</v>
      </c>
      <c r="C1283" s="4">
        <f>IFERROR(__xludf.DUMMYFUNCTION("""COMPUTED_VALUE"""),4.75)</f>
        <v>4.75</v>
      </c>
      <c r="D1283" s="4"/>
      <c r="E1283" s="4" t="str">
        <f>IFERROR(__xludf.DUMMYFUNCTION("""COMPUTED_VALUE"""),"Sin precio neto")</f>
        <v>Sin precio neto</v>
      </c>
    </row>
    <row r="1284">
      <c r="A1284" s="4" t="str">
        <f>IFERROR(__xludf.DUMMYFUNCTION("""COMPUTED_VALUE"""),"1633")</f>
        <v>1633</v>
      </c>
      <c r="B1284" s="4" t="str">
        <f>IFERROR(__xludf.DUMMYFUNCTION("""COMPUTED_VALUE"""),"Cono Señal. 50 cm Amarillo No Aparcar")</f>
        <v>Cono Señal. 50 cm Amarillo No Aparcar</v>
      </c>
      <c r="C1284" s="4">
        <f>IFERROR(__xludf.DUMMYFUNCTION("""COMPUTED_VALUE"""),8.4)</f>
        <v>8.4</v>
      </c>
      <c r="D1284" s="4"/>
      <c r="E1284" s="4" t="str">
        <f>IFERROR(__xludf.DUMMYFUNCTION("""COMPUTED_VALUE"""),"Sin precio neto")</f>
        <v>Sin precio neto</v>
      </c>
    </row>
    <row r="1285">
      <c r="A1285" s="4" t="str">
        <f>IFERROR(__xludf.DUMMYFUNCTION("""COMPUTED_VALUE"""),"1634")</f>
        <v>1634</v>
      </c>
      <c r="B1285" s="4" t="str">
        <f>IFERROR(__xludf.DUMMYFUNCTION("""COMPUTED_VALUE"""),"Tetrapodo 50 cm de señalizacion")</f>
        <v>Tetrapodo 50 cm de señalizacion</v>
      </c>
      <c r="C1285" s="4">
        <f>IFERROR(__xludf.DUMMYFUNCTION("""COMPUTED_VALUE"""),19.25)</f>
        <v>19.25</v>
      </c>
      <c r="D1285" s="4"/>
      <c r="E1285" s="4" t="str">
        <f>IFERROR(__xludf.DUMMYFUNCTION("""COMPUTED_VALUE"""),"Sin precio neto")</f>
        <v>Sin precio neto</v>
      </c>
    </row>
    <row r="1286">
      <c r="A1286" s="4" t="str">
        <f>IFERROR(__xludf.DUMMYFUNCTION("""COMPUTED_VALUE"""),"1635")</f>
        <v>1635</v>
      </c>
      <c r="B1286" s="4" t="str">
        <f>IFERROR(__xludf.DUMMYFUNCTION("""COMPUTED_VALUE"""),"Cono Señalizacion 32 cm. Flurescent")</f>
        <v>Cono Señalizacion 32 cm. Flurescent</v>
      </c>
      <c r="C1286" s="4">
        <f>IFERROR(__xludf.DUMMYFUNCTION("""COMPUTED_VALUE"""),4.2)</f>
        <v>4.2</v>
      </c>
      <c r="D1286" s="4">
        <f>IFERROR(__xludf.DUMMYFUNCTION("""COMPUTED_VALUE"""),3.6)</f>
        <v>3.6</v>
      </c>
      <c r="E1286" s="4" t="str">
        <f>IFERROR(__xludf.DUMMYFUNCTION("""COMPUTED_VALUE"""),"Neto: 3,60 € (a partir de 20 uds.)")</f>
        <v>Neto: 3,60 € (a partir de 20 uds.)</v>
      </c>
    </row>
    <row r="1287">
      <c r="A1287" s="4" t="str">
        <f>IFERROR(__xludf.DUMMYFUNCTION("""COMPUTED_VALUE"""),"1636")</f>
        <v>1636</v>
      </c>
      <c r="B1287" s="4" t="str">
        <f>IFERROR(__xludf.DUMMYFUNCTION("""COMPUTED_VALUE"""),"Cono Señaliz. 50 cm fluor.bandas reflectantes")</f>
        <v>Cono Señaliz. 50 cm fluor.bandas reflectantes</v>
      </c>
      <c r="C1287" s="4">
        <f>IFERROR(__xludf.DUMMYFUNCTION("""COMPUTED_VALUE"""),4.92)</f>
        <v>4.92</v>
      </c>
      <c r="D1287" s="4">
        <f>IFERROR(__xludf.DUMMYFUNCTION("""COMPUTED_VALUE"""),4.75)</f>
        <v>4.75</v>
      </c>
      <c r="E1287" s="4" t="str">
        <f>IFERROR(__xludf.DUMMYFUNCTION("""COMPUTED_VALUE"""),"Neto: 4,75 € (a partir de 20 uds.)")</f>
        <v>Neto: 4,75 € (a partir de 20 uds.)</v>
      </c>
    </row>
    <row r="1288">
      <c r="A1288" s="4" t="str">
        <f>IFERROR(__xludf.DUMMYFUNCTION("""COMPUTED_VALUE"""),"1636AZUL")</f>
        <v>1636AZUL</v>
      </c>
      <c r="B1288" s="4" t="str">
        <f>IFERROR(__xludf.DUMMYFUNCTION("""COMPUTED_VALUE"""),"Cono Señaliz. 50 cm Azul bandas reflectantes")</f>
        <v>Cono Señaliz. 50 cm Azul bandas reflectantes</v>
      </c>
      <c r="C1288" s="4">
        <f>IFERROR(__xludf.DUMMYFUNCTION("""COMPUTED_VALUE"""),4.9)</f>
        <v>4.9</v>
      </c>
      <c r="D1288" s="4">
        <f>IFERROR(__xludf.DUMMYFUNCTION("""COMPUTED_VALUE"""),4.75)</f>
        <v>4.75</v>
      </c>
      <c r="E1288" s="4" t="str">
        <f>IFERROR(__xludf.DUMMYFUNCTION("""COMPUTED_VALUE"""),"Neto: 4,75 € (a partir de 20 uds.)")</f>
        <v>Neto: 4,75 € (a partir de 20 uds.)</v>
      </c>
    </row>
    <row r="1289">
      <c r="A1289" s="4" t="str">
        <f>IFERROR(__xludf.DUMMYFUNCTION("""COMPUTED_VALUE"""),"1637")</f>
        <v>1637</v>
      </c>
      <c r="B1289" s="4" t="str">
        <f>IFERROR(__xludf.DUMMYFUNCTION("""COMPUTED_VALUE"""),"Cono señaliz. 50 cm camisas réflex pvc Blando Bicolor")</f>
        <v>Cono señaliz. 50 cm camisas réflex pvc Blando Bicolor</v>
      </c>
      <c r="C1289" s="4">
        <f>IFERROR(__xludf.DUMMYFUNCTION("""COMPUTED_VALUE"""),5.25)</f>
        <v>5.25</v>
      </c>
      <c r="D1289" s="4">
        <f>IFERROR(__xludf.DUMMYFUNCTION("""COMPUTED_VALUE"""),4.75)</f>
        <v>4.75</v>
      </c>
      <c r="E1289" s="4" t="str">
        <f>IFERROR(__xludf.DUMMYFUNCTION("""COMPUTED_VALUE"""),"Neto: 4,75 € (a partir de 20 uds.)")</f>
        <v>Neto: 4,75 € (a partir de 20 uds.)</v>
      </c>
    </row>
    <row r="1290">
      <c r="A1290" s="4" t="str">
        <f>IFERROR(__xludf.DUMMYFUNCTION("""COMPUTED_VALUE"""),"1638")</f>
        <v>1638</v>
      </c>
      <c r="B1290" s="4" t="str">
        <f>IFERROR(__xludf.DUMMYFUNCTION("""COMPUTED_VALUE"""),"Cono Señaliz. 50 cm. camisa reflec.2 P. CVT")</f>
        <v>Cono Señaliz. 50 cm. camisa reflec.2 P. CVT</v>
      </c>
      <c r="C1290" s="4">
        <f>IFERROR(__xludf.DUMMYFUNCTION("""COMPUTED_VALUE"""),4.9)</f>
        <v>4.9</v>
      </c>
      <c r="D1290" s="4">
        <f>IFERROR(__xludf.DUMMYFUNCTION("""COMPUTED_VALUE"""),3.5)</f>
        <v>3.5</v>
      </c>
      <c r="E1290" s="4" t="str">
        <f>IFERROR(__xludf.DUMMYFUNCTION("""COMPUTED_VALUE"""),"Neto: 3,50 € (a partir de 10 uds.)")</f>
        <v>Neto: 3,50 € (a partir de 10 uds.)</v>
      </c>
    </row>
    <row r="1291">
      <c r="A1291" s="4" t="str">
        <f>IFERROR(__xludf.DUMMYFUNCTION("""COMPUTED_VALUE"""),"1640")</f>
        <v>1640</v>
      </c>
      <c r="B1291" s="4" t="str">
        <f>IFERROR(__xludf.DUMMYFUNCTION("""COMPUTED_VALUE"""),"Cono Señaliz.75 cm. camisa reflec.2p. CVT Plus")</f>
        <v>Cono Señaliz.75 cm. camisa reflec.2p. CVT Plus</v>
      </c>
      <c r="C1291" s="4">
        <f>IFERROR(__xludf.DUMMYFUNCTION("""COMPUTED_VALUE"""),7.2)</f>
        <v>7.2</v>
      </c>
      <c r="D1291" s="4"/>
      <c r="E1291" s="4" t="str">
        <f>IFERROR(__xludf.DUMMYFUNCTION("""COMPUTED_VALUE"""),"Sin precio neto")</f>
        <v>Sin precio neto</v>
      </c>
    </row>
    <row r="1292">
      <c r="A1292" s="4" t="str">
        <f>IFERROR(__xludf.DUMMYFUNCTION("""COMPUTED_VALUE"""),"1640B")</f>
        <v>1640B</v>
      </c>
      <c r="B1292" s="4" t="str">
        <f>IFERROR(__xludf.DUMMYFUNCTION("""COMPUTED_VALUE"""),"Cono Señaizl. 75 cm.camisa reflect.2p. CVT Basic")</f>
        <v>Cono Señaizl. 75 cm.camisa reflect.2p. CVT Basic</v>
      </c>
      <c r="C1292" s="4">
        <f>IFERROR(__xludf.DUMMYFUNCTION("""COMPUTED_VALUE"""),6.4)</f>
        <v>6.4</v>
      </c>
      <c r="D1292" s="4">
        <f>IFERROR(__xludf.DUMMYFUNCTION("""COMPUTED_VALUE"""),5.5)</f>
        <v>5.5</v>
      </c>
      <c r="E1292" s="4" t="str">
        <f>IFERROR(__xludf.DUMMYFUNCTION("""COMPUTED_VALUE"""),"Neto: 5,50 € (a partir de 10 uds.)")</f>
        <v>Neto: 5,50 € (a partir de 10 uds.)</v>
      </c>
    </row>
    <row r="1293">
      <c r="A1293" s="4" t="str">
        <f>IFERROR(__xludf.DUMMYFUNCTION("""COMPUTED_VALUE"""),"1645")</f>
        <v>1645</v>
      </c>
      <c r="B1293" s="4" t="str">
        <f>IFERROR(__xludf.DUMMYFUNCTION("""COMPUTED_VALUE"""),"Cono Señaliz. 100 cm camisa reflec.2 P.MELBA")</f>
        <v>Cono Señaliz. 100 cm camisa reflec.2 P.MELBA</v>
      </c>
      <c r="C1293" s="4">
        <f>IFERROR(__xludf.DUMMYFUNCTION("""COMPUTED_VALUE"""),17.9)</f>
        <v>17.9</v>
      </c>
      <c r="D1293" s="4"/>
      <c r="E1293" s="4" t="str">
        <f>IFERROR(__xludf.DUMMYFUNCTION("""COMPUTED_VALUE"""),"Sin precio neto")</f>
        <v>Sin precio neto</v>
      </c>
    </row>
    <row r="1294">
      <c r="A1294" s="4" t="str">
        <f>IFERROR(__xludf.DUMMYFUNCTION("""COMPUTED_VALUE"""),"1646")</f>
        <v>1646</v>
      </c>
      <c r="B1294" s="4" t="str">
        <f>IFERROR(__xludf.DUMMYFUNCTION("""COMPUTED_VALUE"""),"Cono 80cm PVC blando Reflect. MOD B")</f>
        <v>Cono 80cm PVC blando Reflect. MOD B</v>
      </c>
      <c r="C1294" s="4">
        <f>IFERROR(__xludf.DUMMYFUNCTION("""COMPUTED_VALUE"""),9.97)</f>
        <v>9.97</v>
      </c>
      <c r="D1294" s="4"/>
      <c r="E1294" s="4" t="str">
        <f>IFERROR(__xludf.DUMMYFUNCTION("""COMPUTED_VALUE"""),"Sin precio neto")</f>
        <v>Sin precio neto</v>
      </c>
    </row>
    <row r="1295">
      <c r="A1295" s="4" t="str">
        <f>IFERROR(__xludf.DUMMYFUNCTION("""COMPUTED_VALUE"""),"1646A")</f>
        <v>1646A</v>
      </c>
      <c r="B1295" s="4" t="str">
        <f>IFERROR(__xludf.DUMMYFUNCTION("""COMPUTED_VALUE"""),"Cono 80 cm PVC blando Reflect. Mod B AMARILLO")</f>
        <v>Cono 80 cm PVC blando Reflect. Mod B AMARILLO</v>
      </c>
      <c r="C1295" s="4">
        <f>IFERROR(__xludf.DUMMYFUNCTION("""COMPUTED_VALUE"""),9.97)</f>
        <v>9.97</v>
      </c>
      <c r="D1295" s="4"/>
      <c r="E1295" s="4" t="str">
        <f>IFERROR(__xludf.DUMMYFUNCTION("""COMPUTED_VALUE"""),"Sin precio neto")</f>
        <v>Sin precio neto</v>
      </c>
    </row>
    <row r="1296">
      <c r="A1296" s="4" t="str">
        <f>IFERROR(__xludf.DUMMYFUNCTION("""COMPUTED_VALUE"""),"1646V")</f>
        <v>1646V</v>
      </c>
      <c r="B1296" s="4" t="str">
        <f>IFERROR(__xludf.DUMMYFUNCTION("""COMPUTED_VALUE"""),"Cono 80 cm PVC blando Reflect. Mod B VERDE")</f>
        <v>Cono 80 cm PVC blando Reflect. Mod B VERDE</v>
      </c>
      <c r="C1296" s="4">
        <f>IFERROR(__xludf.DUMMYFUNCTION("""COMPUTED_VALUE"""),9.975)</f>
        <v>9.975</v>
      </c>
      <c r="D1296" s="4"/>
      <c r="E1296" s="4" t="str">
        <f>IFERROR(__xludf.DUMMYFUNCTION("""COMPUTED_VALUE"""),"Sin precio neto")</f>
        <v>Sin precio neto</v>
      </c>
    </row>
    <row r="1297">
      <c r="A1297" s="4" t="str">
        <f>IFERROR(__xludf.DUMMYFUNCTION("""COMPUTED_VALUE"""),"1646Z")</f>
        <v>1646Z</v>
      </c>
      <c r="B1297" s="4" t="str">
        <f>IFERROR(__xludf.DUMMYFUNCTION("""COMPUTED_VALUE"""),"Cono 80 cm PVC blando Reflect. Mod B AZUL")</f>
        <v>Cono 80 cm PVC blando Reflect. Mod B AZUL</v>
      </c>
      <c r="C1297" s="4">
        <f>IFERROR(__xludf.DUMMYFUNCTION("""COMPUTED_VALUE"""),9.975)</f>
        <v>9.975</v>
      </c>
      <c r="D1297" s="4"/>
      <c r="E1297" s="4" t="str">
        <f>IFERROR(__xludf.DUMMYFUNCTION("""COMPUTED_VALUE"""),"Sin precio neto")</f>
        <v>Sin precio neto</v>
      </c>
    </row>
    <row r="1298">
      <c r="A1298" s="4" t="str">
        <f>IFERROR(__xludf.DUMMYFUNCTION("""COMPUTED_VALUE"""),"1647")</f>
        <v>1647</v>
      </c>
      <c r="B1298" s="4" t="str">
        <f>IFERROR(__xludf.DUMMYFUNCTION("""COMPUTED_VALUE"""),"Cono 54cm PVC blando Reflect. MOD B")</f>
        <v>Cono 54cm PVC blando Reflect. MOD B</v>
      </c>
      <c r="C1298" s="4">
        <f>IFERROR(__xludf.DUMMYFUNCTION("""COMPUTED_VALUE"""),8.1)</f>
        <v>8.1</v>
      </c>
      <c r="D1298" s="4"/>
      <c r="E1298" s="4" t="str">
        <f>IFERROR(__xludf.DUMMYFUNCTION("""COMPUTED_VALUE"""),"Sin precio neto")</f>
        <v>Sin precio neto</v>
      </c>
    </row>
    <row r="1299">
      <c r="A1299" s="4" t="str">
        <f>IFERROR(__xludf.DUMMYFUNCTION("""COMPUTED_VALUE"""),"1647A")</f>
        <v>1647A</v>
      </c>
      <c r="B1299" s="4" t="str">
        <f>IFERROR(__xludf.DUMMYFUNCTION("""COMPUTED_VALUE"""),"Cono 54 cm PVC blando Reflect. Mod B AMARILLO")</f>
        <v>Cono 54 cm PVC blando Reflect. Mod B AMARILLO</v>
      </c>
      <c r="C1299" s="4">
        <f>IFERROR(__xludf.DUMMYFUNCTION("""COMPUTED_VALUE"""),8.1)</f>
        <v>8.1</v>
      </c>
      <c r="D1299" s="4"/>
      <c r="E1299" s="4" t="str">
        <f>IFERROR(__xludf.DUMMYFUNCTION("""COMPUTED_VALUE"""),"Sin precio neto")</f>
        <v>Sin precio neto</v>
      </c>
    </row>
    <row r="1300">
      <c r="A1300" s="4" t="str">
        <f>IFERROR(__xludf.DUMMYFUNCTION("""COMPUTED_VALUE"""),"1647RO")</f>
        <v>1647RO</v>
      </c>
      <c r="B1300" s="4" t="str">
        <f>IFERROR(__xludf.DUMMYFUNCTION("""COMPUTED_VALUE"""),"Cono 54 cm PVC blando Reflect. Mod B ROSA")</f>
        <v>Cono 54 cm PVC blando Reflect. Mod B ROSA</v>
      </c>
      <c r="C1300" s="4">
        <f>IFERROR(__xludf.DUMMYFUNCTION("""COMPUTED_VALUE"""),8.1)</f>
        <v>8.1</v>
      </c>
      <c r="D1300" s="4"/>
      <c r="E1300" s="4" t="str">
        <f>IFERROR(__xludf.DUMMYFUNCTION("""COMPUTED_VALUE"""),"Sin precio neto")</f>
        <v>Sin precio neto</v>
      </c>
    </row>
    <row r="1301">
      <c r="A1301" s="4" t="str">
        <f>IFERROR(__xludf.DUMMYFUNCTION("""COMPUTED_VALUE"""),"1647V")</f>
        <v>1647V</v>
      </c>
      <c r="B1301" s="4" t="str">
        <f>IFERROR(__xludf.DUMMYFUNCTION("""COMPUTED_VALUE"""),"Cono 54 cm PVC blando Reflect. Mod B VERDE")</f>
        <v>Cono 54 cm PVC blando Reflect. Mod B VERDE</v>
      </c>
      <c r="C1301" s="4">
        <f>IFERROR(__xludf.DUMMYFUNCTION("""COMPUTED_VALUE"""),8.1)</f>
        <v>8.1</v>
      </c>
      <c r="D1301" s="4"/>
      <c r="E1301" s="4" t="str">
        <f>IFERROR(__xludf.DUMMYFUNCTION("""COMPUTED_VALUE"""),"Sin precio neto")</f>
        <v>Sin precio neto</v>
      </c>
    </row>
    <row r="1302">
      <c r="A1302" s="4" t="str">
        <f>IFERROR(__xludf.DUMMYFUNCTION("""COMPUTED_VALUE"""),"1647Z")</f>
        <v>1647Z</v>
      </c>
      <c r="B1302" s="4" t="str">
        <f>IFERROR(__xludf.DUMMYFUNCTION("""COMPUTED_VALUE"""),"Cono 54 cm PVC blando Reflect. Mod B AZUL")</f>
        <v>Cono 54 cm PVC blando Reflect. Mod B AZUL</v>
      </c>
      <c r="C1302" s="4">
        <f>IFERROR(__xludf.DUMMYFUNCTION("""COMPUTED_VALUE"""),8.1)</f>
        <v>8.1</v>
      </c>
      <c r="D1302" s="4"/>
      <c r="E1302" s="4" t="str">
        <f>IFERROR(__xludf.DUMMYFUNCTION("""COMPUTED_VALUE"""),"Sin precio neto")</f>
        <v>Sin precio neto</v>
      </c>
    </row>
    <row r="1303">
      <c r="A1303" s="4" t="str">
        <f>IFERROR(__xludf.DUMMYFUNCTION("""COMPUTED_VALUE"""),"1648")</f>
        <v>1648</v>
      </c>
      <c r="B1303" s="4" t="str">
        <f>IFERROR(__xludf.DUMMYFUNCTION("""COMPUTED_VALUE"""),"Cono 80cm PVC blando Reflect. MOD B Naranja Plus")</f>
        <v>Cono 80cm PVC blando Reflect. MOD B Naranja Plus</v>
      </c>
      <c r="C1303" s="4">
        <f>IFERROR(__xludf.DUMMYFUNCTION("""COMPUTED_VALUE"""),24.25)</f>
        <v>24.25</v>
      </c>
      <c r="D1303" s="4"/>
      <c r="E1303" s="4" t="str">
        <f>IFERROR(__xludf.DUMMYFUNCTION("""COMPUTED_VALUE"""),"Sin precio neto")</f>
        <v>Sin precio neto</v>
      </c>
    </row>
    <row r="1304">
      <c r="A1304" s="4" t="str">
        <f>IFERROR(__xludf.DUMMYFUNCTION("""COMPUTED_VALUE"""),"1650")</f>
        <v>1650</v>
      </c>
      <c r="B1304" s="4" t="str">
        <f>IFERROR(__xludf.DUMMYFUNCTION("""COMPUTED_VALUE"""),"Cono 1 pza 50 cm 2 bandas Reflect. Melba")</f>
        <v>Cono 1 pza 50 cm 2 bandas Reflect. Melba</v>
      </c>
      <c r="C1304" s="4">
        <f>IFERROR(__xludf.DUMMYFUNCTION("""COMPUTED_VALUE"""),6.22)</f>
        <v>6.22</v>
      </c>
      <c r="D1304" s="4">
        <f>IFERROR(__xludf.DUMMYFUNCTION("""COMPUTED_VALUE"""),5.5)</f>
        <v>5.5</v>
      </c>
      <c r="E1304" s="4" t="str">
        <f>IFERROR(__xludf.DUMMYFUNCTION("""COMPUTED_VALUE"""),"Neto: 5,50 € (a partir de 400 uds.)")</f>
        <v>Neto: 5,50 € (a partir de 400 uds.)</v>
      </c>
    </row>
    <row r="1305">
      <c r="A1305" s="4" t="str">
        <f>IFERROR(__xludf.DUMMYFUNCTION("""COMPUTED_VALUE"""),"1651")</f>
        <v>1651</v>
      </c>
      <c r="B1305" s="4" t="str">
        <f>IFERROR(__xludf.DUMMYFUNCTION("""COMPUTED_VALUE"""),"Cono 1 pza 75 cm 2 bandas Reflect. Melba")</f>
        <v>Cono 1 pza 75 cm 2 bandas Reflect. Melba</v>
      </c>
      <c r="C1305" s="4">
        <f>IFERROR(__xludf.DUMMYFUNCTION("""COMPUTED_VALUE"""),8.18)</f>
        <v>8.18</v>
      </c>
      <c r="D1305" s="4">
        <f>IFERROR(__xludf.DUMMYFUNCTION("""COMPUTED_VALUE"""),7.25)</f>
        <v>7.25</v>
      </c>
      <c r="E1305" s="4" t="str">
        <f>IFERROR(__xludf.DUMMYFUNCTION("""COMPUTED_VALUE"""),"Neto: 7,25 € (a partir de 200 uds.)")</f>
        <v>Neto: 7,25 € (a partir de 200 uds.)</v>
      </c>
    </row>
    <row r="1306">
      <c r="A1306" s="4" t="str">
        <f>IFERROR(__xludf.DUMMYFUNCTION("""COMPUTED_VALUE"""),"1652")</f>
        <v>1652</v>
      </c>
      <c r="B1306" s="4" t="str">
        <f>IFERROR(__xludf.DUMMYFUNCTION("""COMPUTED_VALUE"""),"Cono 2 pza 75 cm 2 bandas Reflect. Melba STARLITE")</f>
        <v>Cono 2 pza 75 cm 2 bandas Reflect. Melba STARLITE</v>
      </c>
      <c r="C1306" s="4">
        <f>IFERROR(__xludf.DUMMYFUNCTION("""COMPUTED_VALUE"""),9.975)</f>
        <v>9.975</v>
      </c>
      <c r="D1306" s="4"/>
      <c r="E1306" s="4" t="str">
        <f>IFERROR(__xludf.DUMMYFUNCTION("""COMPUTED_VALUE"""),"Sin precio neto")</f>
        <v>Sin precio neto</v>
      </c>
    </row>
    <row r="1307">
      <c r="A1307" s="4" t="str">
        <f>IFERROR(__xludf.DUMMYFUNCTION("""COMPUTED_VALUE"""),"1653")</f>
        <v>1653</v>
      </c>
      <c r="B1307" s="4" t="str">
        <f>IFERROR(__xludf.DUMMYFUNCTION("""COMPUTED_VALUE"""),"Cono 2 pza 50 cm 1 banda Reflect. Melba BIG FOOT")</f>
        <v>Cono 2 pza 50 cm 1 banda Reflect. Melba BIG FOOT</v>
      </c>
      <c r="C1307" s="4">
        <f>IFERROR(__xludf.DUMMYFUNCTION("""COMPUTED_VALUE"""),8.25)</f>
        <v>8.25</v>
      </c>
      <c r="D1307" s="4"/>
      <c r="E1307" s="4" t="str">
        <f>IFERROR(__xludf.DUMMYFUNCTION("""COMPUTED_VALUE"""),"Sin precio neto")</f>
        <v>Sin precio neto</v>
      </c>
    </row>
    <row r="1308">
      <c r="A1308" s="4" t="str">
        <f>IFERROR(__xludf.DUMMYFUNCTION("""COMPUTED_VALUE"""),"1654")</f>
        <v>1654</v>
      </c>
      <c r="B1308" s="4" t="str">
        <f>IFERROR(__xludf.DUMMYFUNCTION("""COMPUTED_VALUE"""),"Cono 2 pza 75 cm 1 banda Reflect. Melba BIG FOOT")</f>
        <v>Cono 2 pza 75 cm 1 banda Reflect. Melba BIG FOOT</v>
      </c>
      <c r="C1308" s="4">
        <f>IFERROR(__xludf.DUMMYFUNCTION("""COMPUTED_VALUE"""),11.25)</f>
        <v>11.25</v>
      </c>
      <c r="D1308" s="4"/>
      <c r="E1308" s="4" t="str">
        <f>IFERROR(__xludf.DUMMYFUNCTION("""COMPUTED_VALUE"""),"Sin precio neto")</f>
        <v>Sin precio neto</v>
      </c>
    </row>
    <row r="1309">
      <c r="A1309" s="4" t="str">
        <f>IFERROR(__xludf.DUMMYFUNCTION("""COMPUTED_VALUE"""),"1655")</f>
        <v>1655</v>
      </c>
      <c r="B1309" s="4" t="str">
        <f>IFERROR(__xludf.DUMMYFUNCTION("""COMPUTED_VALUE"""),"Cono 2 pza 100 cm 1 banda Reflect. Melba BIG FOOT")</f>
        <v>Cono 2 pza 100 cm 1 banda Reflect. Melba BIG FOOT</v>
      </c>
      <c r="C1309" s="4">
        <f>IFERROR(__xludf.DUMMYFUNCTION("""COMPUTED_VALUE"""),17.25)</f>
        <v>17.25</v>
      </c>
      <c r="D1309" s="4"/>
      <c r="E1309" s="4" t="str">
        <f>IFERROR(__xludf.DUMMYFUNCTION("""COMPUTED_VALUE"""),"Sin precio neto")</f>
        <v>Sin precio neto</v>
      </c>
    </row>
    <row r="1310">
      <c r="A1310" s="4" t="str">
        <f>IFERROR(__xludf.DUMMYFUNCTION("""COMPUTED_VALUE"""),"1672")</f>
        <v>1672</v>
      </c>
      <c r="B1310" s="4" t="str">
        <f>IFERROR(__xludf.DUMMYFUNCTION("""COMPUTED_VALUE"""),"Pareja semaforos portatiles desmontables Leds mod. B")</f>
        <v>Pareja semaforos portatiles desmontables Leds mod. B</v>
      </c>
      <c r="C1310" s="4">
        <f>IFERROR(__xludf.DUMMYFUNCTION("""COMPUTED_VALUE"""),1600.0)</f>
        <v>1600</v>
      </c>
      <c r="D1310" s="4">
        <f>IFERROR(__xludf.DUMMYFUNCTION("""COMPUTED_VALUE"""),1400.0)</f>
        <v>1400</v>
      </c>
      <c r="E1310" s="4" t="str">
        <f>IFERROR(__xludf.DUMMYFUNCTION("""COMPUTED_VALUE"""),"Neto: 1400,00 € (a partir de 1 uds.)")</f>
        <v>Neto: 1400,00 € (a partir de 1 uds.)</v>
      </c>
    </row>
    <row r="1311">
      <c r="A1311" s="4" t="str">
        <f>IFERROR(__xludf.DUMMYFUNCTION("""COMPUTED_VALUE"""),"1673")</f>
        <v>1673</v>
      </c>
      <c r="B1311" s="4" t="str">
        <f>IFERROR(__xludf.DUMMYFUNCTION("""COMPUTED_VALUE"""),"Pareja semaforos portatiles desmont. Led c/ contador de")</f>
        <v>Pareja semaforos portatiles desmont. Led c/ contador de</v>
      </c>
      <c r="C1311" s="4">
        <f>IFERROR(__xludf.DUMMYFUNCTION("""COMPUTED_VALUE"""),1700.0)</f>
        <v>1700</v>
      </c>
      <c r="D1311" s="4"/>
      <c r="E1311" s="4" t="str">
        <f>IFERROR(__xludf.DUMMYFUNCTION("""COMPUTED_VALUE"""),"Sin precio neto")</f>
        <v>Sin precio neto</v>
      </c>
    </row>
    <row r="1312">
      <c r="A1312" s="4" t="str">
        <f>IFERROR(__xludf.DUMMYFUNCTION("""COMPUTED_VALUE"""),"1673C")</f>
        <v>1673C</v>
      </c>
      <c r="B1312" s="4" t="str">
        <f>IFERROR(__xludf.DUMMYFUNCTION("""COMPUTED_VALUE"""),"Juego de centralitas semaforos Mod.D")</f>
        <v>Juego de centralitas semaforos Mod.D</v>
      </c>
      <c r="C1312" s="4">
        <f>IFERROR(__xludf.DUMMYFUNCTION("""COMPUTED_VALUE"""),340.0)</f>
        <v>340</v>
      </c>
      <c r="D1312" s="4"/>
      <c r="E1312" s="4" t="str">
        <f>IFERROR(__xludf.DUMMYFUNCTION("""COMPUTED_VALUE"""),"Sin precio neto")</f>
        <v>Sin precio neto</v>
      </c>
    </row>
    <row r="1313">
      <c r="A1313" s="4" t="str">
        <f>IFERROR(__xludf.DUMMYFUNCTION("""COMPUTED_VALUE"""),"1674")</f>
        <v>1674</v>
      </c>
      <c r="B1313" s="4" t="str">
        <f>IFERROR(__xludf.DUMMYFUNCTION("""COMPUTED_VALUE"""),"Pareja semaforos portatiles plegables Led mod. C")</f>
        <v>Pareja semaforos portatiles plegables Led mod. C</v>
      </c>
      <c r="C1313" s="4">
        <f>IFERROR(__xludf.DUMMYFUNCTION("""COMPUTED_VALUE"""),1750.0)</f>
        <v>1750</v>
      </c>
      <c r="D1313" s="4">
        <f>IFERROR(__xludf.DUMMYFUNCTION("""COMPUTED_VALUE"""),1450.0)</f>
        <v>1450</v>
      </c>
      <c r="E1313" s="4" t="str">
        <f>IFERROR(__xludf.DUMMYFUNCTION("""COMPUTED_VALUE"""),"Neto: 1450,00 € (a partir de 1 uds.)")</f>
        <v>Neto: 1450,00 € (a partir de 1 uds.)</v>
      </c>
    </row>
    <row r="1314">
      <c r="A1314" s="4" t="str">
        <f>IFERROR(__xludf.DUMMYFUNCTION("""COMPUTED_VALUE"""),"1674/LP")</f>
        <v>1674/LP</v>
      </c>
      <c r="B1314" s="4" t="str">
        <f>IFERROR(__xludf.DUMMYFUNCTION("""COMPUTED_VALUE"""),"Lente plastico semaforo B - C 430126008")</f>
        <v>Lente plastico semaforo B - C 430126008</v>
      </c>
      <c r="C1314" s="4">
        <f>IFERROR(__xludf.DUMMYFUNCTION("""COMPUTED_VALUE"""),34.4)</f>
        <v>34.4</v>
      </c>
      <c r="D1314" s="4"/>
      <c r="E1314" s="4" t="str">
        <f>IFERROR(__xludf.DUMMYFUNCTION("""COMPUTED_VALUE"""),"Sin precio neto")</f>
        <v>Sin precio neto</v>
      </c>
    </row>
    <row r="1315">
      <c r="A1315" s="4" t="str">
        <f>IFERROR(__xludf.DUMMYFUNCTION("""COMPUTED_VALUE"""),"1674/PA")</f>
        <v>1674/PA</v>
      </c>
      <c r="B1315" s="4" t="str">
        <f>IFERROR(__xludf.DUMMYFUNCTION("""COMPUTED_VALUE"""),"Panel Led amarillo semaforo B - C 430208019")</f>
        <v>Panel Led amarillo semaforo B - C 430208019</v>
      </c>
      <c r="C1315" s="4">
        <f>IFERROR(__xludf.DUMMYFUNCTION("""COMPUTED_VALUE"""),111.45)</f>
        <v>111.45</v>
      </c>
      <c r="D1315" s="4"/>
      <c r="E1315" s="4" t="str">
        <f>IFERROR(__xludf.DUMMYFUNCTION("""COMPUTED_VALUE"""),"Sin precio neto")</f>
        <v>Sin precio neto</v>
      </c>
    </row>
    <row r="1316">
      <c r="A1316" s="4" t="str">
        <f>IFERROR(__xludf.DUMMYFUNCTION("""COMPUTED_VALUE"""),"1674/PR")</f>
        <v>1674/PR</v>
      </c>
      <c r="B1316" s="4" t="str">
        <f>IFERROR(__xludf.DUMMYFUNCTION("""COMPUTED_VALUE"""),"Panel Led rojo semaforos B - C 430208020")</f>
        <v>Panel Led rojo semaforos B - C 430208020</v>
      </c>
      <c r="C1316" s="4">
        <f>IFERROR(__xludf.DUMMYFUNCTION("""COMPUTED_VALUE"""),111.45)</f>
        <v>111.45</v>
      </c>
      <c r="D1316" s="4"/>
      <c r="E1316" s="4" t="str">
        <f>IFERROR(__xludf.DUMMYFUNCTION("""COMPUTED_VALUE"""),"Sin precio neto")</f>
        <v>Sin precio neto</v>
      </c>
    </row>
    <row r="1317">
      <c r="A1317" s="4" t="str">
        <f>IFERROR(__xludf.DUMMYFUNCTION("""COMPUTED_VALUE"""),"1674/PV")</f>
        <v>1674/PV</v>
      </c>
      <c r="B1317" s="4" t="str">
        <f>IFERROR(__xludf.DUMMYFUNCTION("""COMPUTED_VALUE"""),"Panel Led verde semaforos B - C 430208018")</f>
        <v>Panel Led verde semaforos B - C 430208018</v>
      </c>
      <c r="C1317" s="4">
        <f>IFERROR(__xludf.DUMMYFUNCTION("""COMPUTED_VALUE"""),111.45)</f>
        <v>111.45</v>
      </c>
      <c r="D1317" s="4"/>
      <c r="E1317" s="4" t="str">
        <f>IFERROR(__xludf.DUMMYFUNCTION("""COMPUTED_VALUE"""),"Sin precio neto")</f>
        <v>Sin precio neto</v>
      </c>
    </row>
    <row r="1318">
      <c r="A1318" s="4" t="str">
        <f>IFERROR(__xludf.DUMMYFUNCTION("""COMPUTED_VALUE"""),"1674/V")</f>
        <v>1674/V</v>
      </c>
      <c r="B1318" s="4" t="str">
        <f>IFERROR(__xludf.DUMMYFUNCTION("""COMPUTED_VALUE"""),"Visera amarilla semaforo B - C 430126009")</f>
        <v>Visera amarilla semaforo B - C 430126009</v>
      </c>
      <c r="C1318" s="4">
        <f>IFERROR(__xludf.DUMMYFUNCTION("""COMPUTED_VALUE"""),27.1)</f>
        <v>27.1</v>
      </c>
      <c r="D1318" s="4"/>
      <c r="E1318" s="4" t="str">
        <f>IFERROR(__xludf.DUMMYFUNCTION("""COMPUTED_VALUE"""),"Sin precio neto")</f>
        <v>Sin precio neto</v>
      </c>
    </row>
    <row r="1319">
      <c r="A1319" s="4" t="str">
        <f>IFERROR(__xludf.DUMMYFUNCTION("""COMPUTED_VALUE"""),"1674C")</f>
        <v>1674C</v>
      </c>
      <c r="B1319" s="4" t="str">
        <f>IFERROR(__xludf.DUMMYFUNCTION("""COMPUTED_VALUE"""),"Cabeza semáforo3 luces 431231016")</f>
        <v>Cabeza semáforo3 luces 431231016</v>
      </c>
      <c r="C1319" s="4">
        <f>IFERROR(__xludf.DUMMYFUNCTION("""COMPUTED_VALUE"""),390.0)</f>
        <v>390</v>
      </c>
      <c r="D1319" s="4"/>
      <c r="E1319" s="4" t="str">
        <f>IFERROR(__xludf.DUMMYFUNCTION("""COMPUTED_VALUE"""),"Sin precio neto")</f>
        <v>Sin precio neto</v>
      </c>
    </row>
    <row r="1320">
      <c r="A1320" s="4" t="str">
        <f>IFERROR(__xludf.DUMMYFUNCTION("""COMPUTED_VALUE"""),"1674D")</f>
        <v>1674D</v>
      </c>
      <c r="B1320" s="4" t="str">
        <f>IFERROR(__xludf.DUMMYFUNCTION("""COMPUTED_VALUE"""),"Recambio pie semáforo 400900000")</f>
        <v>Recambio pie semáforo 400900000</v>
      </c>
      <c r="C1320" s="4">
        <f>IFERROR(__xludf.DUMMYFUNCTION("""COMPUTED_VALUE"""),35.0)</f>
        <v>35</v>
      </c>
      <c r="D1320" s="4"/>
      <c r="E1320" s="4" t="str">
        <f>IFERROR(__xludf.DUMMYFUNCTION("""COMPUTED_VALUE"""),"Sin precio neto")</f>
        <v>Sin precio neto</v>
      </c>
    </row>
    <row r="1321">
      <c r="A1321" s="4" t="str">
        <f>IFERROR(__xludf.DUMMYFUNCTION("""COMPUTED_VALUE"""),"1674E")</f>
        <v>1674E</v>
      </c>
      <c r="B1321" s="4" t="str">
        <f>IFERROR(__xludf.DUMMYFUNCTION("""COMPUTED_VALUE"""),"Recambio poste enganche base semáforo 250303006")</f>
        <v>Recambio poste enganche base semáforo 250303006</v>
      </c>
      <c r="C1321" s="4">
        <f>IFERROR(__xludf.DUMMYFUNCTION("""COMPUTED_VALUE"""),70.0)</f>
        <v>70</v>
      </c>
      <c r="D1321" s="4"/>
      <c r="E1321" s="4" t="str">
        <f>IFERROR(__xludf.DUMMYFUNCTION("""COMPUTED_VALUE"""),"Sin precio neto")</f>
        <v>Sin precio neto</v>
      </c>
    </row>
    <row r="1322">
      <c r="A1322" s="4" t="str">
        <f>IFERROR(__xludf.DUMMYFUNCTION("""COMPUTED_VALUE"""),"1674F")</f>
        <v>1674F</v>
      </c>
      <c r="B1322" s="4" t="str">
        <f>IFERROR(__xludf.DUMMYFUNCTION("""COMPUTED_VALUE"""),"Recambio rueda semáforo 409000006")</f>
        <v>Recambio rueda semáforo 409000006</v>
      </c>
      <c r="C1322" s="4">
        <f>IFERROR(__xludf.DUMMYFUNCTION("""COMPUTED_VALUE"""),27.0)</f>
        <v>27</v>
      </c>
      <c r="D1322" s="4"/>
      <c r="E1322" s="4" t="str">
        <f>IFERROR(__xludf.DUMMYFUNCTION("""COMPUTED_VALUE"""),"Sin precio neto")</f>
        <v>Sin precio neto</v>
      </c>
    </row>
    <row r="1323">
      <c r="A1323" s="4" t="str">
        <f>IFERROR(__xludf.DUMMYFUNCTION("""COMPUTED_VALUE"""),"1674G")</f>
        <v>1674G</v>
      </c>
      <c r="B1323" s="4" t="str">
        <f>IFERROR(__xludf.DUMMYFUNCTION("""COMPUTED_VALUE"""),"Pasador de seguridad semáforo 251636400")</f>
        <v>Pasador de seguridad semáforo 251636400</v>
      </c>
      <c r="C1323" s="4">
        <f>IFERROR(__xludf.DUMMYFUNCTION("""COMPUTED_VALUE"""),6.4)</f>
        <v>6.4</v>
      </c>
      <c r="D1323" s="4"/>
      <c r="E1323" s="4" t="str">
        <f>IFERROR(__xludf.DUMMYFUNCTION("""COMPUTED_VALUE"""),"Sin precio neto")</f>
        <v>Sin precio neto</v>
      </c>
    </row>
    <row r="1324">
      <c r="A1324" s="4" t="str">
        <f>IFERROR(__xludf.DUMMYFUNCTION("""COMPUTED_VALUE"""),"1674H")</f>
        <v>1674H</v>
      </c>
      <c r="B1324" s="4" t="str">
        <f>IFERROR(__xludf.DUMMYFUNCTION("""COMPUTED_VALUE"""),"Recambio cierre semáforo 1674")</f>
        <v>Recambio cierre semáforo 1674</v>
      </c>
      <c r="C1324" s="4">
        <f>IFERROR(__xludf.DUMMYFUNCTION("""COMPUTED_VALUE"""),24.0)</f>
        <v>24</v>
      </c>
      <c r="D1324" s="4"/>
      <c r="E1324" s="4" t="str">
        <f>IFERROR(__xludf.DUMMYFUNCTION("""COMPUTED_VALUE"""),"Sin precio neto")</f>
        <v>Sin precio neto</v>
      </c>
    </row>
    <row r="1325">
      <c r="A1325" s="4" t="str">
        <f>IFERROR(__xludf.DUMMYFUNCTION("""COMPUTED_VALUE"""),"1674K")</f>
        <v>1674K</v>
      </c>
      <c r="B1325" s="4" t="str">
        <f>IFERROR(__xludf.DUMMYFUNCTION("""COMPUTED_VALUE"""),"Kit solar 50w alimentación semáforos")</f>
        <v>Kit solar 50w alimentación semáforos</v>
      </c>
      <c r="C1325" s="4">
        <f>IFERROR(__xludf.DUMMYFUNCTION("""COMPUTED_VALUE"""),1050.0)</f>
        <v>1050</v>
      </c>
      <c r="D1325" s="4"/>
      <c r="E1325" s="4" t="str">
        <f>IFERROR(__xludf.DUMMYFUNCTION("""COMPUTED_VALUE"""),"Sin precio neto")</f>
        <v>Sin precio neto</v>
      </c>
    </row>
    <row r="1326">
      <c r="A1326" s="4" t="str">
        <f>IFERROR(__xludf.DUMMYFUNCTION("""COMPUTED_VALUE"""),"1674Z")</f>
        <v>1674Z</v>
      </c>
      <c r="B1326" s="4" t="str">
        <f>IFERROR(__xludf.DUMMYFUNCTION("""COMPUTED_VALUE"""),"Conexión semáforos batería")</f>
        <v>Conexión semáforos batería</v>
      </c>
      <c r="C1326" s="4">
        <f>IFERROR(__xludf.DUMMYFUNCTION("""COMPUTED_VALUE"""),18.0)</f>
        <v>18</v>
      </c>
      <c r="D1326" s="4"/>
      <c r="E1326" s="4" t="str">
        <f>IFERROR(__xludf.DUMMYFUNCTION("""COMPUTED_VALUE"""),"Sin precio neto")</f>
        <v>Sin precio neto</v>
      </c>
    </row>
    <row r="1327">
      <c r="A1327" s="4" t="str">
        <f>IFERROR(__xludf.DUMMYFUNCTION("""COMPUTED_VALUE"""),"1676")</f>
        <v>1676</v>
      </c>
      <c r="B1327" s="4" t="str">
        <f>IFERROR(__xludf.DUMMYFUNCTION("""COMPUTED_VALUE"""),"Secuencial 5 luces Inalambricas rafiofrecuencia")</f>
        <v>Secuencial 5 luces Inalambricas rafiofrecuencia</v>
      </c>
      <c r="C1327" s="4">
        <f>IFERROR(__xludf.DUMMYFUNCTION("""COMPUTED_VALUE"""),734.475)</f>
        <v>734.475</v>
      </c>
      <c r="D1327" s="4"/>
      <c r="E1327" s="4" t="str">
        <f>IFERROR(__xludf.DUMMYFUNCTION("""COMPUTED_VALUE"""),"Sin precio neto")</f>
        <v>Sin precio neto</v>
      </c>
    </row>
    <row r="1328">
      <c r="A1328" s="4" t="str">
        <f>IFERROR(__xludf.DUMMYFUNCTION("""COMPUTED_VALUE"""),"1676/BAL")</f>
        <v>1676/BAL</v>
      </c>
      <c r="B1328" s="4" t="str">
        <f>IFERROR(__xludf.DUMMYFUNCTION("""COMPUTED_VALUE"""),"Baliza secuencia radiofrecuencia")</f>
        <v>Baliza secuencia radiofrecuencia</v>
      </c>
      <c r="C1328" s="4">
        <f>IFERROR(__xludf.DUMMYFUNCTION("""COMPUTED_VALUE"""),141.75)</f>
        <v>141.75</v>
      </c>
      <c r="D1328" s="4"/>
      <c r="E1328" s="4" t="str">
        <f>IFERROR(__xludf.DUMMYFUNCTION("""COMPUTED_VALUE"""),"Sin precio neto")</f>
        <v>Sin precio neto</v>
      </c>
    </row>
    <row r="1329">
      <c r="A1329" s="4" t="str">
        <f>IFERROR(__xludf.DUMMYFUNCTION("""COMPUTED_VALUE"""),"1676/LEN")</f>
        <v>1676/LEN</v>
      </c>
      <c r="B1329" s="4" t="str">
        <f>IFERROR(__xludf.DUMMYFUNCTION("""COMPUTED_VALUE"""),"Lente delantera baliza radiofrecuencia")</f>
        <v>Lente delantera baliza radiofrecuencia</v>
      </c>
      <c r="C1329" s="4">
        <f>IFERROR(__xludf.DUMMYFUNCTION("""COMPUTED_VALUE"""),7.875)</f>
        <v>7.875</v>
      </c>
      <c r="D1329" s="4"/>
      <c r="E1329" s="4" t="str">
        <f>IFERROR(__xludf.DUMMYFUNCTION("""COMPUTED_VALUE"""),"Sin precio neto")</f>
        <v>Sin precio neto</v>
      </c>
    </row>
    <row r="1330">
      <c r="A1330" s="4" t="str">
        <f>IFERROR(__xludf.DUMMYFUNCTION("""COMPUTED_VALUE"""),"1677")</f>
        <v>1677</v>
      </c>
      <c r="B1330" s="4" t="str">
        <f>IFERROR(__xludf.DUMMYFUNCTION("""COMPUTED_VALUE"""),"Secuencial completo 5 elementos inalambricos por")</f>
        <v>Secuencial completo 5 elementos inalambricos por</v>
      </c>
      <c r="C1330" s="4">
        <f>IFERROR(__xludf.DUMMYFUNCTION("""COMPUTED_VALUE"""),1075.0)</f>
        <v>1075</v>
      </c>
      <c r="D1330" s="4"/>
      <c r="E1330" s="4" t="str">
        <f>IFERROR(__xludf.DUMMYFUNCTION("""COMPUTED_VALUE"""),"Sin precio neto")</f>
        <v>Sin precio neto</v>
      </c>
    </row>
    <row r="1331">
      <c r="A1331" s="4" t="str">
        <f>IFERROR(__xludf.DUMMYFUNCTION("""COMPUTED_VALUE"""),"1678")</f>
        <v>1678</v>
      </c>
      <c r="B1331" s="4" t="str">
        <f>IFERROR(__xludf.DUMMYFUNCTION("""COMPUTED_VALUE"""),"Abanderado electromecanico")</f>
        <v>Abanderado electromecanico</v>
      </c>
      <c r="C1331" s="4">
        <f>IFERROR(__xludf.DUMMYFUNCTION("""COMPUTED_VALUE"""),850.0)</f>
        <v>850</v>
      </c>
      <c r="D1331" s="4"/>
      <c r="E1331" s="4" t="str">
        <f>IFERROR(__xludf.DUMMYFUNCTION("""COMPUTED_VALUE"""),"Sin precio neto")</f>
        <v>Sin precio neto</v>
      </c>
    </row>
    <row r="1332">
      <c r="A1332" s="4" t="str">
        <f>IFERROR(__xludf.DUMMYFUNCTION("""COMPUTED_VALUE"""),"1679")</f>
        <v>1679</v>
      </c>
      <c r="B1332" s="4" t="str">
        <f>IFERROR(__xludf.DUMMYFUNCTION("""COMPUTED_VALUE"""),"Juego centralitas electronicas semaforo mod. B y C")</f>
        <v>Juego centralitas electronicas semaforo mod. B y C</v>
      </c>
      <c r="C1332" s="4">
        <f>IFERROR(__xludf.DUMMYFUNCTION("""COMPUTED_VALUE"""),340.0)</f>
        <v>340</v>
      </c>
      <c r="D1332" s="4"/>
      <c r="E1332" s="4" t="str">
        <f>IFERROR(__xludf.DUMMYFUNCTION("""COMPUTED_VALUE"""),"Sin precio neto")</f>
        <v>Sin precio neto</v>
      </c>
    </row>
    <row r="1333">
      <c r="A1333" s="4" t="str">
        <f>IFERROR(__xludf.DUMMYFUNCTION("""COMPUTED_VALUE"""),"1682")</f>
        <v>1682</v>
      </c>
      <c r="B1333" s="4" t="str">
        <f>IFERROR(__xludf.DUMMYFUNCTION("""COMPUTED_VALUE"""),"Rotativo Halog.55 W 12V Mod. Plus (iman+ ventosa)")</f>
        <v>Rotativo Halog.55 W 12V Mod. Plus (iman+ ventosa)</v>
      </c>
      <c r="C1333" s="4">
        <f>IFERROR(__xludf.DUMMYFUNCTION("""COMPUTED_VALUE"""),36.83)</f>
        <v>36.83</v>
      </c>
      <c r="D1333" s="4"/>
      <c r="E1333" s="4" t="str">
        <f>IFERROR(__xludf.DUMMYFUNCTION("""COMPUTED_VALUE"""),"Sin precio neto")</f>
        <v>Sin precio neto</v>
      </c>
    </row>
    <row r="1334">
      <c r="A1334" s="4" t="str">
        <f>IFERROR(__xludf.DUMMYFUNCTION("""COMPUTED_VALUE"""),"1682/ALARG")</f>
        <v>1682/ALARG</v>
      </c>
      <c r="B1334" s="4" t="str">
        <f>IFERROR(__xludf.DUMMYFUNCTION("""COMPUTED_VALUE"""),"Cable rizado alargadera para Rotativo Mod. Plus")</f>
        <v>Cable rizado alargadera para Rotativo Mod. Plus</v>
      </c>
      <c r="C1334" s="4">
        <f>IFERROR(__xludf.DUMMYFUNCTION("""COMPUTED_VALUE"""),9.0)</f>
        <v>9</v>
      </c>
      <c r="D1334" s="4"/>
      <c r="E1334" s="4" t="str">
        <f>IFERROR(__xludf.DUMMYFUNCTION("""COMPUTED_VALUE"""),"Sin precio neto")</f>
        <v>Sin precio neto</v>
      </c>
    </row>
    <row r="1335">
      <c r="A1335" s="4" t="str">
        <f>IFERROR(__xludf.DUMMYFUNCTION("""COMPUTED_VALUE"""),"1683")</f>
        <v>1683</v>
      </c>
      <c r="B1335" s="4" t="str">
        <f>IFERROR(__xludf.DUMMYFUNCTION("""COMPUTED_VALUE"""),"Juego 3 focos Leds 10 cm para señal metalica")</f>
        <v>Juego 3 focos Leds 10 cm para señal metalica</v>
      </c>
      <c r="C1335" s="4">
        <f>IFERROR(__xludf.DUMMYFUNCTION("""COMPUTED_VALUE"""),295.17)</f>
        <v>295.17</v>
      </c>
      <c r="D1335" s="4"/>
      <c r="E1335" s="4" t="str">
        <f>IFERROR(__xludf.DUMMYFUNCTION("""COMPUTED_VALUE"""),"Sin precio neto")</f>
        <v>Sin precio neto</v>
      </c>
    </row>
    <row r="1336">
      <c r="A1336" s="4" t="str">
        <f>IFERROR(__xludf.DUMMYFUNCTION("""COMPUTED_VALUE"""),"1684")</f>
        <v>1684</v>
      </c>
      <c r="B1336" s="4" t="str">
        <f>IFERROR(__xludf.DUMMYFUNCTION("""COMPUTED_VALUE"""),"Rotativo Halogeno magnet. Mod. BASIC")</f>
        <v>Rotativo Halogeno magnet. Mod. BASIC</v>
      </c>
      <c r="C1336" s="4">
        <f>IFERROR(__xludf.DUMMYFUNCTION("""COMPUTED_VALUE"""),14.0)</f>
        <v>14</v>
      </c>
      <c r="D1336" s="4"/>
      <c r="E1336" s="4" t="str">
        <f>IFERROR(__xludf.DUMMYFUNCTION("""COMPUTED_VALUE"""),"Sin precio neto")</f>
        <v>Sin precio neto</v>
      </c>
    </row>
    <row r="1337">
      <c r="A1337" s="4" t="str">
        <f>IFERROR(__xludf.DUMMYFUNCTION("""COMPUTED_VALUE"""),"1686")</f>
        <v>1686</v>
      </c>
      <c r="B1337" s="4" t="str">
        <f>IFERROR(__xludf.DUMMYFUNCTION("""COMPUTED_VALUE"""),"Conjunto Panel R/B + base caucho")</f>
        <v>Conjunto Panel R/B + base caucho</v>
      </c>
      <c r="C1337" s="4">
        <f>IFERROR(__xludf.DUMMYFUNCTION("""COMPUTED_VALUE"""),41.0)</f>
        <v>41</v>
      </c>
      <c r="D1337" s="4"/>
      <c r="E1337" s="4" t="str">
        <f>IFERROR(__xludf.DUMMYFUNCTION("""COMPUTED_VALUE"""),"Sin precio neto")</f>
        <v>Sin precio neto</v>
      </c>
    </row>
    <row r="1338">
      <c r="A1338" s="4" t="str">
        <f>IFERROR(__xludf.DUMMYFUNCTION("""COMPUTED_VALUE"""),"1687")</f>
        <v>1687</v>
      </c>
      <c r="B1338" s="4" t="str">
        <f>IFERROR(__xludf.DUMMYFUNCTION("""COMPUTED_VALUE"""),"Rotativo fijo carretilla elevadora 21W 12V A/214")</f>
        <v>Rotativo fijo carretilla elevadora 21W 12V A/214</v>
      </c>
      <c r="C1338" s="4">
        <f>IFERROR(__xludf.DUMMYFUNCTION("""COMPUTED_VALUE"""),26.25)</f>
        <v>26.25</v>
      </c>
      <c r="D1338" s="4"/>
      <c r="E1338" s="4" t="str">
        <f>IFERROR(__xludf.DUMMYFUNCTION("""COMPUTED_VALUE"""),"Sin precio neto")</f>
        <v>Sin precio neto</v>
      </c>
    </row>
    <row r="1339">
      <c r="A1339" s="4" t="str">
        <f>IFERROR(__xludf.DUMMYFUNCTION("""COMPUTED_VALUE"""),"1688")</f>
        <v>1688</v>
      </c>
      <c r="B1339" s="4" t="str">
        <f>IFERROR(__xludf.DUMMYFUNCTION("""COMPUTED_VALUE"""),"Panel conjunto 5 Leds para vehículos")</f>
        <v>Panel conjunto 5 Leds para vehículos</v>
      </c>
      <c r="C1339" s="4">
        <f>IFERROR(__xludf.DUMMYFUNCTION("""COMPUTED_VALUE"""),907.2)</f>
        <v>907.2</v>
      </c>
      <c r="D1339" s="4"/>
      <c r="E1339" s="4" t="str">
        <f>IFERROR(__xludf.DUMMYFUNCTION("""COMPUTED_VALUE"""),"Sin precio neto")</f>
        <v>Sin precio neto</v>
      </c>
    </row>
    <row r="1340">
      <c r="A1340" s="4" t="str">
        <f>IFERROR(__xludf.DUMMYFUNCTION("""COMPUTED_VALUE"""),"1689")</f>
        <v>1689</v>
      </c>
      <c r="B1340" s="4" t="str">
        <f>IFERROR(__xludf.DUMMYFUNCTION("""COMPUTED_VALUE"""),"Linterna Super-led Basic 12/220v 3 W+ cono amarillo")</f>
        <v>Linterna Super-led Basic 12/220v 3 W+ cono amarillo</v>
      </c>
      <c r="C1340" s="4">
        <f>IFERROR(__xludf.DUMMYFUNCTION("""COMPUTED_VALUE"""),26.0)</f>
        <v>26</v>
      </c>
      <c r="D1340" s="4"/>
      <c r="E1340" s="4" t="str">
        <f>IFERROR(__xludf.DUMMYFUNCTION("""COMPUTED_VALUE"""),"Sin precio neto")</f>
        <v>Sin precio neto</v>
      </c>
    </row>
    <row r="1341">
      <c r="A1341" s="4" t="str">
        <f>IFERROR(__xludf.DUMMYFUNCTION("""COMPUTED_VALUE"""),"1689B")</f>
        <v>1689B</v>
      </c>
      <c r="B1341" s="4" t="str">
        <f>IFERROR(__xludf.DUMMYFUNCTION("""COMPUTED_VALUE"""),"Batería para Linterna recargable Superled Basic")</f>
        <v>Batería para Linterna recargable Superled Basic</v>
      </c>
      <c r="C1341" s="4">
        <f>IFERROR(__xludf.DUMMYFUNCTION("""COMPUTED_VALUE"""),7.0)</f>
        <v>7</v>
      </c>
      <c r="D1341" s="4"/>
      <c r="E1341" s="4" t="str">
        <f>IFERROR(__xludf.DUMMYFUNCTION("""COMPUTED_VALUE"""),"Sin precio neto")</f>
        <v>Sin precio neto</v>
      </c>
    </row>
    <row r="1342">
      <c r="A1342" s="4" t="str">
        <f>IFERROR(__xludf.DUMMYFUNCTION("""COMPUTED_VALUE"""),"1689C")</f>
        <v>1689C</v>
      </c>
      <c r="B1342" s="4" t="str">
        <f>IFERROR(__xludf.DUMMYFUNCTION("""COMPUTED_VALUE"""),"Cono para linterna recargable Superled Basic")</f>
        <v>Cono para linterna recargable Superled Basic</v>
      </c>
      <c r="C1342" s="4">
        <f>IFERROR(__xludf.DUMMYFUNCTION("""COMPUTED_VALUE"""),6.0)</f>
        <v>6</v>
      </c>
      <c r="D1342" s="4"/>
      <c r="E1342" s="4" t="str">
        <f>IFERROR(__xludf.DUMMYFUNCTION("""COMPUTED_VALUE"""),"Sin precio neto")</f>
        <v>Sin precio neto</v>
      </c>
    </row>
    <row r="1343">
      <c r="A1343" s="4" t="str">
        <f>IFERROR(__xludf.DUMMYFUNCTION("""COMPUTED_VALUE"""),"1690")</f>
        <v>1690</v>
      </c>
      <c r="B1343" s="4" t="str">
        <f>IFERROR(__xludf.DUMMYFUNCTION("""COMPUTED_VALUE"""),"Linterna Super-led Polilux 12-220v 3W")</f>
        <v>Linterna Super-led Polilux 12-220v 3W</v>
      </c>
      <c r="C1343" s="4">
        <f>IFERROR(__xludf.DUMMYFUNCTION("""COMPUTED_VALUE"""),249.9)</f>
        <v>249.9</v>
      </c>
      <c r="D1343" s="4"/>
      <c r="E1343" s="4" t="str">
        <f>IFERROR(__xludf.DUMMYFUNCTION("""COMPUTED_VALUE"""),"Sin precio neto")</f>
        <v>Sin precio neto</v>
      </c>
    </row>
    <row r="1344">
      <c r="A1344" s="4" t="str">
        <f>IFERROR(__xludf.DUMMYFUNCTION("""COMPUTED_VALUE"""),"1691")</f>
        <v>1691</v>
      </c>
      <c r="B1344" s="4" t="str">
        <f>IFERROR(__xludf.DUMMYFUNCTION("""COMPUTED_VALUE"""),"Paleta difusora Stop-Paso p/linterna profesional")</f>
        <v>Paleta difusora Stop-Paso p/linterna profesional</v>
      </c>
      <c r="C1344" s="4">
        <f>IFERROR(__xludf.DUMMYFUNCTION("""COMPUTED_VALUE"""),34.65)</f>
        <v>34.65</v>
      </c>
      <c r="D1344" s="4"/>
      <c r="E1344" s="4" t="str">
        <f>IFERROR(__xludf.DUMMYFUNCTION("""COMPUTED_VALUE"""),"Sin precio neto")</f>
        <v>Sin precio neto</v>
      </c>
    </row>
    <row r="1345">
      <c r="A1345" s="4" t="str">
        <f>IFERROR(__xludf.DUMMYFUNCTION("""COMPUTED_VALUE"""),"1692")</f>
        <v>1692</v>
      </c>
      <c r="B1345" s="4" t="str">
        <f>IFERROR(__xludf.DUMMYFUNCTION("""COMPUTED_VALUE"""),"Cono amarillo señalizacion p/linterna profesional")</f>
        <v>Cono amarillo señalizacion p/linterna profesional</v>
      </c>
      <c r="C1345" s="4">
        <f>IFERROR(__xludf.DUMMYFUNCTION("""COMPUTED_VALUE"""),6.825)</f>
        <v>6.825</v>
      </c>
      <c r="D1345" s="4"/>
      <c r="E1345" s="4" t="str">
        <f>IFERROR(__xludf.DUMMYFUNCTION("""COMPUTED_VALUE"""),"Sin precio neto")</f>
        <v>Sin precio neto</v>
      </c>
    </row>
    <row r="1346">
      <c r="A1346" s="4" t="str">
        <f>IFERROR(__xludf.DUMMYFUNCTION("""COMPUTED_VALUE"""),"1693")</f>
        <v>1693</v>
      </c>
      <c r="B1346" s="4" t="str">
        <f>IFERROR(__xludf.DUMMYFUNCTION("""COMPUTED_VALUE"""),"Avisador acústico para carretilla 97 db")</f>
        <v>Avisador acústico para carretilla 97 db</v>
      </c>
      <c r="C1346" s="4">
        <f>IFERROR(__xludf.DUMMYFUNCTION("""COMPUTED_VALUE"""),26.25)</f>
        <v>26.25</v>
      </c>
      <c r="D1346" s="4"/>
      <c r="E1346" s="4" t="str">
        <f>IFERROR(__xludf.DUMMYFUNCTION("""COMPUTED_VALUE"""),"Sin precio neto")</f>
        <v>Sin precio neto</v>
      </c>
    </row>
    <row r="1347">
      <c r="A1347" s="4" t="str">
        <f>IFERROR(__xludf.DUMMYFUNCTION("""COMPUTED_VALUE"""),"1694")</f>
        <v>1694</v>
      </c>
      <c r="B1347" s="4" t="str">
        <f>IFERROR(__xludf.DUMMYFUNCTION("""COMPUTED_VALUE"""),"Rotativo Led 12V base magnetica + ventosa")</f>
        <v>Rotativo Led 12V base magnetica + ventosa</v>
      </c>
      <c r="C1347" s="4">
        <f>IFERROR(__xludf.DUMMYFUNCTION("""COMPUTED_VALUE"""),50.4)</f>
        <v>50.4</v>
      </c>
      <c r="D1347" s="4"/>
      <c r="E1347" s="4" t="str">
        <f>IFERROR(__xludf.DUMMYFUNCTION("""COMPUTED_VALUE"""),"Sin precio neto")</f>
        <v>Sin precio neto</v>
      </c>
    </row>
    <row r="1348">
      <c r="A1348" s="4" t="str">
        <f>IFERROR(__xludf.DUMMYFUNCTION("""COMPUTED_VALUE"""),"1697")</f>
        <v>1697</v>
      </c>
      <c r="B1348" s="4" t="str">
        <f>IFERROR(__xludf.DUMMYFUNCTION("""COMPUTED_VALUE"""),"Baston luminoso LED ambar")</f>
        <v>Baston luminoso LED ambar</v>
      </c>
      <c r="C1348" s="4">
        <f>IFERROR(__xludf.DUMMYFUNCTION("""COMPUTED_VALUE"""),7.75)</f>
        <v>7.75</v>
      </c>
      <c r="D1348" s="4">
        <f>IFERROR(__xludf.DUMMYFUNCTION("""COMPUTED_VALUE"""),4.5)</f>
        <v>4.5</v>
      </c>
      <c r="E1348" s="4" t="str">
        <f>IFERROR(__xludf.DUMMYFUNCTION("""COMPUTED_VALUE"""),"Neto: 4,50 € (a partir de 50 uds.)")</f>
        <v>Neto: 4,50 € (a partir de 50 uds.)</v>
      </c>
    </row>
    <row r="1349">
      <c r="A1349" s="4" t="str">
        <f>IFERROR(__xludf.DUMMYFUNCTION("""COMPUTED_VALUE"""),"1700")</f>
        <v>1700</v>
      </c>
      <c r="B1349" s="4" t="str">
        <f>IFERROR(__xludf.DUMMYFUNCTION("""COMPUTED_VALUE"""),"Panel direccional 60x60 8 focos Led 100 mm")</f>
        <v>Panel direccional 60x60 8 focos Led 100 mm</v>
      </c>
      <c r="C1349" s="4">
        <f>IFERROR(__xludf.DUMMYFUNCTION("""COMPUTED_VALUE"""),517.65)</f>
        <v>517.65</v>
      </c>
      <c r="D1349" s="4"/>
      <c r="E1349" s="4" t="str">
        <f>IFERROR(__xludf.DUMMYFUNCTION("""COMPUTED_VALUE"""),"Sin precio neto")</f>
        <v>Sin precio neto</v>
      </c>
    </row>
    <row r="1350">
      <c r="A1350" s="4" t="str">
        <f>IFERROR(__xludf.DUMMYFUNCTION("""COMPUTED_VALUE"""),"1701")</f>
        <v>1701</v>
      </c>
      <c r="B1350" s="4" t="str">
        <f>IFERROR(__xludf.DUMMYFUNCTION("""COMPUTED_VALUE"""),"Panel direccional 90x90 8 Focos Led 200 mm")</f>
        <v>Panel direccional 90x90 8 Focos Led 200 mm</v>
      </c>
      <c r="C1350" s="4">
        <f>IFERROR(__xludf.DUMMYFUNCTION("""COMPUTED_VALUE"""),787.5)</f>
        <v>787.5</v>
      </c>
      <c r="D1350" s="4"/>
      <c r="E1350" s="4" t="str">
        <f>IFERROR(__xludf.DUMMYFUNCTION("""COMPUTED_VALUE"""),"Sin precio neto")</f>
        <v>Sin precio neto</v>
      </c>
    </row>
    <row r="1351">
      <c r="A1351" s="4" t="str">
        <f>IFERROR(__xludf.DUMMYFUNCTION("""COMPUTED_VALUE"""),"1900")</f>
        <v>1900</v>
      </c>
      <c r="B1351" s="4" t="str">
        <f>IFERROR(__xludf.DUMMYFUNCTION("""COMPUTED_VALUE"""),"Reductor veloc. proteccion cables 90x50x5cm")</f>
        <v>Reductor veloc. proteccion cables 90x50x5cm</v>
      </c>
      <c r="C1351" s="4">
        <f>IFERROR(__xludf.DUMMYFUNCTION("""COMPUTED_VALUE"""),45.0)</f>
        <v>45</v>
      </c>
      <c r="D1351" s="4"/>
      <c r="E1351" s="4" t="str">
        <f>IFERROR(__xludf.DUMMYFUNCTION("""COMPUTED_VALUE"""),"Sin precio neto")</f>
        <v>Sin precio neto</v>
      </c>
    </row>
    <row r="1352">
      <c r="A1352" s="4" t="str">
        <f>IFERROR(__xludf.DUMMYFUNCTION("""COMPUTED_VALUE"""),"1900B")</f>
        <v>1900B</v>
      </c>
      <c r="B1352" s="4" t="str">
        <f>IFERROR(__xludf.DUMMYFUNCTION("""COMPUTED_VALUE"""),"Reductor veloc. proteccion cables 90x25x4,5 cm")</f>
        <v>Reductor veloc. proteccion cables 90x25x4,5 cm</v>
      </c>
      <c r="C1352" s="4">
        <f>IFERROR(__xludf.DUMMYFUNCTION("""COMPUTED_VALUE"""),40.5)</f>
        <v>40.5</v>
      </c>
      <c r="D1352" s="4"/>
      <c r="E1352" s="4" t="str">
        <f>IFERROR(__xludf.DUMMYFUNCTION("""COMPUTED_VALUE"""),"Sin precio neto")</f>
        <v>Sin precio neto</v>
      </c>
    </row>
    <row r="1353">
      <c r="A1353" s="4" t="str">
        <f>IFERROR(__xludf.DUMMYFUNCTION("""COMPUTED_VALUE"""),"1900C")</f>
        <v>1900C</v>
      </c>
      <c r="B1353" s="4" t="str">
        <f>IFERROR(__xludf.DUMMYFUNCTION("""COMPUTED_VALUE"""),"Rampa proteccion cables 30x82x8,5 cm")</f>
        <v>Rampa proteccion cables 30x82x8,5 cm</v>
      </c>
      <c r="C1353" s="4">
        <f>IFERROR(__xludf.DUMMYFUNCTION("""COMPUTED_VALUE"""),41.75)</f>
        <v>41.75</v>
      </c>
      <c r="D1353" s="4"/>
      <c r="E1353" s="4" t="str">
        <f>IFERROR(__xludf.DUMMYFUNCTION("""COMPUTED_VALUE"""),"Sin precio neto")</f>
        <v>Sin precio neto</v>
      </c>
    </row>
    <row r="1354">
      <c r="A1354" s="4" t="str">
        <f>IFERROR(__xludf.DUMMYFUNCTION("""COMPUTED_VALUE"""),"1900D")</f>
        <v>1900D</v>
      </c>
      <c r="B1354" s="4" t="str">
        <f>IFERROR(__xludf.DUMMYFUNCTION("""COMPUTED_VALUE"""),"Reductor Pasacables MOD D")</f>
        <v>Reductor Pasacables MOD D</v>
      </c>
      <c r="C1354" s="4">
        <f>IFERROR(__xludf.DUMMYFUNCTION("""COMPUTED_VALUE"""),39.5)</f>
        <v>39.5</v>
      </c>
      <c r="D1354" s="4"/>
      <c r="E1354" s="4" t="str">
        <f>IFERROR(__xludf.DUMMYFUNCTION("""COMPUTED_VALUE"""),"Sin precio neto")</f>
        <v>Sin precio neto</v>
      </c>
    </row>
    <row r="1355">
      <c r="A1355" s="4" t="str">
        <f>IFERROR(__xludf.DUMMYFUNCTION("""COMPUTED_VALUE"""),"1901H")</f>
        <v>1901H</v>
      </c>
      <c r="B1355" s="4" t="str">
        <f>IFERROR(__xludf.DUMMYFUNCTION("""COMPUTED_VALUE"""),"Extremo reductor velocidad 25x50x3 cm Mod B H")</f>
        <v>Extremo reductor velocidad 25x50x3 cm Mod B H</v>
      </c>
      <c r="C1355" s="4">
        <f>IFERROR(__xludf.DUMMYFUNCTION("""COMPUTED_VALUE"""),15.0)</f>
        <v>15</v>
      </c>
      <c r="D1355" s="4"/>
      <c r="E1355" s="4" t="str">
        <f>IFERROR(__xludf.DUMMYFUNCTION("""COMPUTED_VALUE"""),"Sin precio neto")</f>
        <v>Sin precio neto</v>
      </c>
    </row>
    <row r="1356">
      <c r="A1356" s="4" t="str">
        <f>IFERROR(__xludf.DUMMYFUNCTION("""COMPUTED_VALUE"""),"1901M")</f>
        <v>1901M</v>
      </c>
      <c r="B1356" s="4" t="str">
        <f>IFERROR(__xludf.DUMMYFUNCTION("""COMPUTED_VALUE"""),"Extremo reductor velocidad 25x50x3 cm Mod B M")</f>
        <v>Extremo reductor velocidad 25x50x3 cm Mod B M</v>
      </c>
      <c r="C1356" s="4">
        <f>IFERROR(__xludf.DUMMYFUNCTION("""COMPUTED_VALUE"""),15.0)</f>
        <v>15</v>
      </c>
      <c r="D1356" s="4"/>
      <c r="E1356" s="4" t="str">
        <f>IFERROR(__xludf.DUMMYFUNCTION("""COMPUTED_VALUE"""),"Sin precio neto")</f>
        <v>Sin precio neto</v>
      </c>
    </row>
    <row r="1357">
      <c r="A1357" s="4" t="str">
        <f>IFERROR(__xludf.DUMMYFUNCTION("""COMPUTED_VALUE"""),"1902")</f>
        <v>1902</v>
      </c>
      <c r="B1357" s="4" t="str">
        <f>IFERROR(__xludf.DUMMYFUNCTION("""COMPUTED_VALUE"""),"Reductor Velocidad 50x50x3 cm. Mod. B")</f>
        <v>Reductor Velocidad 50x50x3 cm. Mod. B</v>
      </c>
      <c r="C1357" s="4">
        <f>IFERROR(__xludf.DUMMYFUNCTION("""COMPUTED_VALUE"""),25.18)</f>
        <v>25.18</v>
      </c>
      <c r="D1357" s="4"/>
      <c r="E1357" s="4" t="str">
        <f>IFERROR(__xludf.DUMMYFUNCTION("""COMPUTED_VALUE"""),"Sin precio neto")</f>
        <v>Sin precio neto</v>
      </c>
    </row>
    <row r="1358">
      <c r="A1358" s="4" t="str">
        <f>IFERROR(__xludf.DUMMYFUNCTION("""COMPUTED_VALUE"""),"1903")</f>
        <v>1903</v>
      </c>
      <c r="B1358" s="4" t="str">
        <f>IFERROR(__xludf.DUMMYFUNCTION("""COMPUTED_VALUE"""),"Reductor Velocidad 50x60x5 cm. Mod. A")</f>
        <v>Reductor Velocidad 50x60x5 cm. Mod. A</v>
      </c>
      <c r="C1358" s="4">
        <f>IFERROR(__xludf.DUMMYFUNCTION("""COMPUTED_VALUE"""),25.9)</f>
        <v>25.9</v>
      </c>
      <c r="D1358" s="4"/>
      <c r="E1358" s="4" t="str">
        <f>IFERROR(__xludf.DUMMYFUNCTION("""COMPUTED_VALUE"""),"Sin precio neto")</f>
        <v>Sin precio neto</v>
      </c>
    </row>
    <row r="1359">
      <c r="A1359" s="4" t="str">
        <f>IFERROR(__xludf.DUMMYFUNCTION("""COMPUTED_VALUE"""),"1903B")</f>
        <v>1903B</v>
      </c>
      <c r="B1359" s="4" t="str">
        <f>IFERROR(__xludf.DUMMYFUNCTION("""COMPUTED_VALUE"""),"Reductor Velocidad 50x60x3 cm. Mod. A")</f>
        <v>Reductor Velocidad 50x60x3 cm. Mod. A</v>
      </c>
      <c r="C1359" s="4">
        <f>IFERROR(__xludf.DUMMYFUNCTION("""COMPUTED_VALUE"""),16.0)</f>
        <v>16</v>
      </c>
      <c r="D1359" s="4"/>
      <c r="E1359" s="4" t="str">
        <f>IFERROR(__xludf.DUMMYFUNCTION("""COMPUTED_VALUE"""),"Sin precio neto")</f>
        <v>Sin precio neto</v>
      </c>
    </row>
    <row r="1360">
      <c r="A1360" s="4" t="str">
        <f>IFERROR(__xludf.DUMMYFUNCTION("""COMPUTED_VALUE"""),"1904")</f>
        <v>1904</v>
      </c>
      <c r="B1360" s="4" t="str">
        <f>IFERROR(__xludf.DUMMYFUNCTION("""COMPUTED_VALUE"""),"Extremo Reductor velocidad 25x60x5 cm Mod. A")</f>
        <v>Extremo Reductor velocidad 25x60x5 cm Mod. A</v>
      </c>
      <c r="C1360" s="4">
        <f>IFERROR(__xludf.DUMMYFUNCTION("""COMPUTED_VALUE"""),16.95)</f>
        <v>16.95</v>
      </c>
      <c r="D1360" s="4"/>
      <c r="E1360" s="4" t="str">
        <f>IFERROR(__xludf.DUMMYFUNCTION("""COMPUTED_VALUE"""),"Sin precio neto")</f>
        <v>Sin precio neto</v>
      </c>
    </row>
    <row r="1361">
      <c r="A1361" s="4" t="str">
        <f>IFERROR(__xludf.DUMMYFUNCTION("""COMPUTED_VALUE"""),"1904B")</f>
        <v>1904B</v>
      </c>
      <c r="B1361" s="4" t="str">
        <f>IFERROR(__xludf.DUMMYFUNCTION("""COMPUTED_VALUE"""),"Extremo reductor Velocidad 50x60x3 cm. Mod. A")</f>
        <v>Extremo reductor Velocidad 50x60x3 cm. Mod. A</v>
      </c>
      <c r="C1361" s="4">
        <f>IFERROR(__xludf.DUMMYFUNCTION("""COMPUTED_VALUE"""),11.25)</f>
        <v>11.25</v>
      </c>
      <c r="D1361" s="4"/>
      <c r="E1361" s="4" t="str">
        <f>IFERROR(__xludf.DUMMYFUNCTION("""COMPUTED_VALUE"""),"Sin precio neto")</f>
        <v>Sin precio neto</v>
      </c>
    </row>
    <row r="1362">
      <c r="A1362" s="4" t="str">
        <f>IFERROR(__xludf.DUMMYFUNCTION("""COMPUTED_VALUE"""),"1908")</f>
        <v>1908</v>
      </c>
      <c r="B1362" s="4" t="str">
        <f>IFERROR(__xludf.DUMMYFUNCTION("""COMPUTED_VALUE"""),"Reductor Velocidad 50x50x5 cm Mod. B")</f>
        <v>Reductor Velocidad 50x50x5 cm Mod. B</v>
      </c>
      <c r="C1362" s="4">
        <f>IFERROR(__xludf.DUMMYFUNCTION("""COMPUTED_VALUE"""),34.75)</f>
        <v>34.75</v>
      </c>
      <c r="D1362" s="4"/>
      <c r="E1362" s="4" t="str">
        <f>IFERROR(__xludf.DUMMYFUNCTION("""COMPUTED_VALUE"""),"Sin precio neto")</f>
        <v>Sin precio neto</v>
      </c>
    </row>
    <row r="1363">
      <c r="A1363" s="4" t="str">
        <f>IFERROR(__xludf.DUMMYFUNCTION("""COMPUTED_VALUE"""),"1909H")</f>
        <v>1909H</v>
      </c>
      <c r="B1363" s="4" t="str">
        <f>IFERROR(__xludf.DUMMYFUNCTION("""COMPUTED_VALUE"""),"Extremo reductor velocidad 25x50x5 cm Mod. B H")</f>
        <v>Extremo reductor velocidad 25x50x5 cm Mod. B H</v>
      </c>
      <c r="C1363" s="4">
        <f>IFERROR(__xludf.DUMMYFUNCTION("""COMPUTED_VALUE"""),19.95)</f>
        <v>19.95</v>
      </c>
      <c r="D1363" s="4"/>
      <c r="E1363" s="4" t="str">
        <f>IFERROR(__xludf.DUMMYFUNCTION("""COMPUTED_VALUE"""),"Sin precio neto")</f>
        <v>Sin precio neto</v>
      </c>
    </row>
    <row r="1364">
      <c r="A1364" s="4" t="str">
        <f>IFERROR(__xludf.DUMMYFUNCTION("""COMPUTED_VALUE"""),"1909M")</f>
        <v>1909M</v>
      </c>
      <c r="B1364" s="4" t="str">
        <f>IFERROR(__xludf.DUMMYFUNCTION("""COMPUTED_VALUE"""),"Extremo reductor velocidad 25x50x5 cm Mod. B M")</f>
        <v>Extremo reductor velocidad 25x50x5 cm Mod. B M</v>
      </c>
      <c r="C1364" s="4">
        <f>IFERROR(__xludf.DUMMYFUNCTION("""COMPUTED_VALUE"""),19.95)</f>
        <v>19.95</v>
      </c>
      <c r="D1364" s="4"/>
      <c r="E1364" s="4" t="str">
        <f>IFERROR(__xludf.DUMMYFUNCTION("""COMPUTED_VALUE"""),"Sin precio neto")</f>
        <v>Sin precio neto</v>
      </c>
    </row>
    <row r="1365">
      <c r="A1365" s="4" t="str">
        <f>IFERROR(__xludf.DUMMYFUNCTION("""COMPUTED_VALUE"""),"1910")</f>
        <v>1910</v>
      </c>
      <c r="B1365" s="4" t="str">
        <f>IFERROR(__xludf.DUMMYFUNCTION("""COMPUTED_VALUE"""),"Reductor velocidad - salva cables 50x60x5")</f>
        <v>Reductor velocidad - salva cables 50x60x5</v>
      </c>
      <c r="C1365" s="4">
        <f>IFERROR(__xludf.DUMMYFUNCTION("""COMPUTED_VALUE"""),43.75)</f>
        <v>43.75</v>
      </c>
      <c r="D1365" s="4"/>
      <c r="E1365" s="4" t="str">
        <f>IFERROR(__xludf.DUMMYFUNCTION("""COMPUTED_VALUE"""),"Sin precio neto")</f>
        <v>Sin precio neto</v>
      </c>
    </row>
    <row r="1366">
      <c r="A1366" s="4" t="str">
        <f>IFERROR(__xludf.DUMMYFUNCTION("""COMPUTED_VALUE"""),"1912")</f>
        <v>1912</v>
      </c>
      <c r="B1366" s="4" t="str">
        <f>IFERROR(__xludf.DUMMYFUNCTION("""COMPUTED_VALUE"""),"Reductor Lenticular 22x4")</f>
        <v>Reductor Lenticular 22x4</v>
      </c>
      <c r="C1366" s="4">
        <f>IFERROR(__xludf.DUMMYFUNCTION("""COMPUTED_VALUE"""),7.6)</f>
        <v>7.6</v>
      </c>
      <c r="D1366" s="4"/>
      <c r="E1366" s="4" t="str">
        <f>IFERROR(__xludf.DUMMYFUNCTION("""COMPUTED_VALUE"""),"Sin precio neto")</f>
        <v>Sin precio neto</v>
      </c>
    </row>
    <row r="1367">
      <c r="A1367" s="4" t="str">
        <f>IFERROR(__xludf.DUMMYFUNCTION("""COMPUTED_VALUE"""),"1913/A")</f>
        <v>1913/A</v>
      </c>
      <c r="B1367" s="4" t="str">
        <f>IFERROR(__xludf.DUMMYFUNCTION("""COMPUTED_VALUE"""),"Separador Amarillo carril- bici 1 mt x 15 cm ancho x 5 cm alto")</f>
        <v>Separador Amarillo carril- bici 1 mt x 15 cm ancho x 5 cm alto</v>
      </c>
      <c r="C1367" s="4">
        <f>IFERROR(__xludf.DUMMYFUNCTION("""COMPUTED_VALUE"""),18.0)</f>
        <v>18</v>
      </c>
      <c r="D1367" s="4"/>
      <c r="E1367" s="4" t="str">
        <f>IFERROR(__xludf.DUMMYFUNCTION("""COMPUTED_VALUE"""),"Sin precio neto")</f>
        <v>Sin precio neto</v>
      </c>
    </row>
    <row r="1368">
      <c r="A1368" s="4" t="str">
        <f>IFERROR(__xludf.DUMMYFUNCTION("""COMPUTED_VALUE"""),"1913/N")</f>
        <v>1913/N</v>
      </c>
      <c r="B1368" s="4" t="str">
        <f>IFERROR(__xludf.DUMMYFUNCTION("""COMPUTED_VALUE"""),"Separador Negro carril-bici 1 mt x 15 cm ancho x 5 cm alto")</f>
        <v>Separador Negro carril-bici 1 mt x 15 cm ancho x 5 cm alto</v>
      </c>
      <c r="C1368" s="4">
        <f>IFERROR(__xludf.DUMMYFUNCTION("""COMPUTED_VALUE"""),18.0)</f>
        <v>18</v>
      </c>
      <c r="D1368" s="4"/>
      <c r="E1368" s="4" t="str">
        <f>IFERROR(__xludf.DUMMYFUNCTION("""COMPUTED_VALUE"""),"Sin precio neto")</f>
        <v>Sin precio neto</v>
      </c>
    </row>
    <row r="1369">
      <c r="A1369" s="4" t="str">
        <f>IFERROR(__xludf.DUMMYFUNCTION("""COMPUTED_VALUE"""),"1913/R")</f>
        <v>1913/R</v>
      </c>
      <c r="B1369" s="4" t="str">
        <f>IFERROR(__xludf.DUMMYFUNCTION("""COMPUTED_VALUE"""),"Separador Rojo carril-bici 1 mt x 15 cm ancho x 5 cm alto")</f>
        <v>Separador Rojo carril-bici 1 mt x 15 cm ancho x 5 cm alto</v>
      </c>
      <c r="C1369" s="4">
        <f>IFERROR(__xludf.DUMMYFUNCTION("""COMPUTED_VALUE"""),18.0)</f>
        <v>18</v>
      </c>
      <c r="D1369" s="4"/>
      <c r="E1369" s="4" t="str">
        <f>IFERROR(__xludf.DUMMYFUNCTION("""COMPUTED_VALUE"""),"Sin precio neto")</f>
        <v>Sin precio neto</v>
      </c>
    </row>
    <row r="1370">
      <c r="A1370" s="4" t="str">
        <f>IFERROR(__xludf.DUMMYFUNCTION("""COMPUTED_VALUE"""),"1914")</f>
        <v>1914</v>
      </c>
      <c r="B1370" s="4" t="str">
        <f>IFERROR(__xludf.DUMMYFUNCTION("""COMPUTED_VALUE"""),"Separador carril-bici 77,5 x 16,6 x 9 cm CVT")</f>
        <v>Separador carril-bici 77,5 x 16,6 x 9 cm CVT</v>
      </c>
      <c r="C1370" s="4">
        <f>IFERROR(__xludf.DUMMYFUNCTION("""COMPUTED_VALUE"""),14.6)</f>
        <v>14.6</v>
      </c>
      <c r="D1370" s="4"/>
      <c r="E1370" s="4" t="str">
        <f>IFERROR(__xludf.DUMMYFUNCTION("""COMPUTED_VALUE"""),"Sin precio neto")</f>
        <v>Sin precio neto</v>
      </c>
    </row>
    <row r="1371">
      <c r="A1371" s="4" t="str">
        <f>IFERROR(__xludf.DUMMYFUNCTION("""COMPUTED_VALUE"""),"1915")</f>
        <v>1915</v>
      </c>
      <c r="B1371" s="4" t="str">
        <f>IFERROR(__xludf.DUMMYFUNCTION("""COMPUTED_VALUE"""),"Valla extensible PVC 2,50 metros N/A")</f>
        <v>Valla extensible PVC 2,50 metros N/A</v>
      </c>
      <c r="C1371" s="4">
        <f>IFERROR(__xludf.DUMMYFUNCTION("""COMPUTED_VALUE"""),66.0)</f>
        <v>66</v>
      </c>
      <c r="D1371" s="4"/>
      <c r="E1371" s="4" t="str">
        <f>IFERROR(__xludf.DUMMYFUNCTION("""COMPUTED_VALUE"""),"Sin precio neto")</f>
        <v>Sin precio neto</v>
      </c>
    </row>
    <row r="1372">
      <c r="A1372" s="4" t="str">
        <f>IFERROR(__xludf.DUMMYFUNCTION("""COMPUTED_VALUE"""),"1915/R")</f>
        <v>1915/R</v>
      </c>
      <c r="B1372" s="4" t="str">
        <f>IFERROR(__xludf.DUMMYFUNCTION("""COMPUTED_VALUE"""),"Valla extensible PVC R/B")</f>
        <v>Valla extensible PVC R/B</v>
      </c>
      <c r="C1372" s="4">
        <f>IFERROR(__xludf.DUMMYFUNCTION("""COMPUTED_VALUE"""),79.1)</f>
        <v>79.1</v>
      </c>
      <c r="D1372" s="4"/>
      <c r="E1372" s="4" t="str">
        <f>IFERROR(__xludf.DUMMYFUNCTION("""COMPUTED_VALUE"""),"Sin precio neto")</f>
        <v>Sin precio neto</v>
      </c>
    </row>
    <row r="1373">
      <c r="A1373" s="4" t="str">
        <f>IFERROR(__xludf.DUMMYFUNCTION("""COMPUTED_VALUE"""),"1915M")</f>
        <v>1915M</v>
      </c>
      <c r="B1373" s="4" t="str">
        <f>IFERROR(__xludf.DUMMYFUNCTION("""COMPUTED_VALUE"""),"Utility Barrier 4 pts. 750 mm")</f>
        <v>Utility Barrier 4 pts. 750 mm</v>
      </c>
      <c r="C1373" s="4">
        <f>IFERROR(__xludf.DUMMYFUNCTION("""COMPUTED_VALUE"""),110.0)</f>
        <v>110</v>
      </c>
      <c r="D1373" s="4"/>
      <c r="E1373" s="4" t="str">
        <f>IFERROR(__xludf.DUMMYFUNCTION("""COMPUTED_VALUE"""),"Sin precio neto")</f>
        <v>Sin precio neto</v>
      </c>
    </row>
    <row r="1374">
      <c r="A1374" s="4" t="str">
        <f>IFERROR(__xludf.DUMMYFUNCTION("""COMPUTED_VALUE"""),"1916")</f>
        <v>1916</v>
      </c>
      <c r="B1374" s="4" t="str">
        <f>IFERROR(__xludf.DUMMYFUNCTION("""COMPUTED_VALUE"""),"Reductor velocidad 50x50x4,5 MOD C")</f>
        <v>Reductor velocidad 50x50x4,5 MOD C</v>
      </c>
      <c r="C1374" s="4">
        <f>IFERROR(__xludf.DUMMYFUNCTION("""COMPUTED_VALUE"""),19.45)</f>
        <v>19.45</v>
      </c>
      <c r="D1374" s="4">
        <f>IFERROR(__xludf.DUMMYFUNCTION("""COMPUTED_VALUE"""),18.0)</f>
        <v>18</v>
      </c>
      <c r="E1374" s="4" t="str">
        <f>IFERROR(__xludf.DUMMYFUNCTION("""COMPUTED_VALUE"""),"Neto: 18,00 € (a partir de 1 uds.)")</f>
        <v>Neto: 18,00 € (a partir de 1 uds.)</v>
      </c>
    </row>
    <row r="1375">
      <c r="A1375" s="4" t="str">
        <f>IFERROR(__xludf.DUMMYFUNCTION("""COMPUTED_VALUE"""),"1917")</f>
        <v>1917</v>
      </c>
      <c r="B1375" s="4" t="str">
        <f>IFERROR(__xludf.DUMMYFUNCTION("""COMPUTED_VALUE"""),"Extremo reductor velocidad 50x25x4,5 MOD C")</f>
        <v>Extremo reductor velocidad 50x25x4,5 MOD C</v>
      </c>
      <c r="C1375" s="4">
        <f>IFERROR(__xludf.DUMMYFUNCTION("""COMPUTED_VALUE"""),12.25)</f>
        <v>12.25</v>
      </c>
      <c r="D1375" s="4">
        <f>IFERROR(__xludf.DUMMYFUNCTION("""COMPUTED_VALUE"""),11.0)</f>
        <v>11</v>
      </c>
      <c r="E1375" s="4" t="str">
        <f>IFERROR(__xludf.DUMMYFUNCTION("""COMPUTED_VALUE"""),"Neto: 11,00 € (a partir de 1 uds.)")</f>
        <v>Neto: 11,00 € (a partir de 1 uds.)</v>
      </c>
    </row>
    <row r="1376">
      <c r="A1376" s="4" t="str">
        <f>IFERROR(__xludf.DUMMYFUNCTION("""COMPUTED_VALUE"""),"1919")</f>
        <v>1919</v>
      </c>
      <c r="B1376" s="4" t="str">
        <f>IFERROR(__xludf.DUMMYFUNCTION("""COMPUTED_VALUE"""),"Valla alcantarillado 4 ptas Plastico Naranja")</f>
        <v>Valla alcantarillado 4 ptas Plastico Naranja</v>
      </c>
      <c r="C1376" s="4">
        <f>IFERROR(__xludf.DUMMYFUNCTION("""COMPUTED_VALUE"""),99.5)</f>
        <v>99.5</v>
      </c>
      <c r="D1376" s="4"/>
      <c r="E1376" s="4" t="str">
        <f>IFERROR(__xludf.DUMMYFUNCTION("""COMPUTED_VALUE"""),"Sin precio neto")</f>
        <v>Sin precio neto</v>
      </c>
    </row>
    <row r="1377">
      <c r="A1377" s="4" t="str">
        <f>IFERROR(__xludf.DUMMYFUNCTION("""COMPUTED_VALUE"""),"1924A")</f>
        <v>1924A</v>
      </c>
      <c r="B1377" s="4" t="str">
        <f>IFERROR(__xludf.DUMMYFUNCTION("""COMPUTED_VALUE"""),"Valla señal. Gate Barrier 2 mtros Amarilla")</f>
        <v>Valla señal. Gate Barrier 2 mtros Amarilla</v>
      </c>
      <c r="C1377" s="4">
        <f>IFERROR(__xludf.DUMMYFUNCTION("""COMPUTED_VALUE"""),56.0)</f>
        <v>56</v>
      </c>
      <c r="D1377" s="4">
        <f>IFERROR(__xludf.DUMMYFUNCTION("""COMPUTED_VALUE"""),49.5)</f>
        <v>49.5</v>
      </c>
      <c r="E1377" s="4" t="str">
        <f>IFERROR(__xludf.DUMMYFUNCTION("""COMPUTED_VALUE"""),"Neto: 49,50 € (a partir de 40 uds.)")</f>
        <v>Neto: 49,50 € (a partir de 40 uds.)</v>
      </c>
    </row>
    <row r="1378">
      <c r="A1378" s="4" t="str">
        <f>IFERROR(__xludf.DUMMYFUNCTION("""COMPUTED_VALUE"""),"1924B")</f>
        <v>1924B</v>
      </c>
      <c r="B1378" s="4" t="str">
        <f>IFERROR(__xludf.DUMMYFUNCTION("""COMPUTED_VALUE"""),"Valla señal. Gate Barrier 2 mtros Blanco")</f>
        <v>Valla señal. Gate Barrier 2 mtros Blanco</v>
      </c>
      <c r="C1378" s="4">
        <f>IFERROR(__xludf.DUMMYFUNCTION("""COMPUTED_VALUE"""),56.0)</f>
        <v>56</v>
      </c>
      <c r="D1378" s="4">
        <f>IFERROR(__xludf.DUMMYFUNCTION("""COMPUTED_VALUE"""),49.5)</f>
        <v>49.5</v>
      </c>
      <c r="E1378" s="4" t="str">
        <f>IFERROR(__xludf.DUMMYFUNCTION("""COMPUTED_VALUE"""),"Neto: 49,50 € (a partir de 40 uds.)")</f>
        <v>Neto: 49,50 € (a partir de 40 uds.)</v>
      </c>
    </row>
    <row r="1379">
      <c r="A1379" s="4" t="str">
        <f>IFERROR(__xludf.DUMMYFUNCTION("""COMPUTED_VALUE"""),"1924N")</f>
        <v>1924N</v>
      </c>
      <c r="B1379" s="4" t="str">
        <f>IFERROR(__xludf.DUMMYFUNCTION("""COMPUTED_VALUE"""),"Valla señal. Gate Barrier 2 mtros Naranja")</f>
        <v>Valla señal. Gate Barrier 2 mtros Naranja</v>
      </c>
      <c r="C1379" s="4">
        <f>IFERROR(__xludf.DUMMYFUNCTION("""COMPUTED_VALUE"""),56.0)</f>
        <v>56</v>
      </c>
      <c r="D1379" s="4">
        <f>IFERROR(__xludf.DUMMYFUNCTION("""COMPUTED_VALUE"""),49.5)</f>
        <v>49.5</v>
      </c>
      <c r="E1379" s="4" t="str">
        <f>IFERROR(__xludf.DUMMYFUNCTION("""COMPUTED_VALUE"""),"Neto: 49,50 € (a partir de 40 uds.)")</f>
        <v>Neto: 49,50 € (a partir de 40 uds.)</v>
      </c>
    </row>
    <row r="1380">
      <c r="A1380" s="4" t="str">
        <f>IFERROR(__xludf.DUMMYFUNCTION("""COMPUTED_VALUE"""),"1924R")</f>
        <v>1924R</v>
      </c>
      <c r="B1380" s="4" t="str">
        <f>IFERROR(__xludf.DUMMYFUNCTION("""COMPUTED_VALUE"""),"Valla Señal. Gate Barrier 2 mtros. Roja")</f>
        <v>Valla Señal. Gate Barrier 2 mtros. Roja</v>
      </c>
      <c r="C1380" s="4">
        <f>IFERROR(__xludf.DUMMYFUNCTION("""COMPUTED_VALUE"""),56.0)</f>
        <v>56</v>
      </c>
      <c r="D1380" s="4">
        <f>IFERROR(__xludf.DUMMYFUNCTION("""COMPUTED_VALUE"""),49.5)</f>
        <v>49.5</v>
      </c>
      <c r="E1380" s="4" t="str">
        <f>IFERROR(__xludf.DUMMYFUNCTION("""COMPUTED_VALUE"""),"Neto: 49,50 € (a partir de 40 uds.)")</f>
        <v>Neto: 49,50 € (a partir de 40 uds.)</v>
      </c>
    </row>
    <row r="1381">
      <c r="A1381" s="4" t="str">
        <f>IFERROR(__xludf.DUMMYFUNCTION("""COMPUTED_VALUE"""),"1924V")</f>
        <v>1924V</v>
      </c>
      <c r="B1381" s="4" t="str">
        <f>IFERROR(__xludf.DUMMYFUNCTION("""COMPUTED_VALUE"""),"Valla señal. Gate Barrier 2 mtros Verde")</f>
        <v>Valla señal. Gate Barrier 2 mtros Verde</v>
      </c>
      <c r="C1381" s="4">
        <f>IFERROR(__xludf.DUMMYFUNCTION("""COMPUTED_VALUE"""),56.0)</f>
        <v>56</v>
      </c>
      <c r="D1381" s="4">
        <f>IFERROR(__xludf.DUMMYFUNCTION("""COMPUTED_VALUE"""),49.5)</f>
        <v>49.5</v>
      </c>
      <c r="E1381" s="4" t="str">
        <f>IFERROR(__xludf.DUMMYFUNCTION("""COMPUTED_VALUE"""),"Neto: 49,50 € (a partir de 40 uds.)")</f>
        <v>Neto: 49,50 € (a partir de 40 uds.)</v>
      </c>
    </row>
    <row r="1382">
      <c r="A1382" s="4" t="str">
        <f>IFERROR(__xludf.DUMMYFUNCTION("""COMPUTED_VALUE"""),"1924Z")</f>
        <v>1924Z</v>
      </c>
      <c r="B1382" s="4" t="str">
        <f>IFERROR(__xludf.DUMMYFUNCTION("""COMPUTED_VALUE"""),"Valla señal. Gate Barrier 2 mtros Azul")</f>
        <v>Valla señal. Gate Barrier 2 mtros Azul</v>
      </c>
      <c r="C1382" s="4">
        <f>IFERROR(__xludf.DUMMYFUNCTION("""COMPUTED_VALUE"""),56.0)</f>
        <v>56</v>
      </c>
      <c r="D1382" s="4">
        <f>IFERROR(__xludf.DUMMYFUNCTION("""COMPUTED_VALUE"""),49.5)</f>
        <v>49.5</v>
      </c>
      <c r="E1382" s="4" t="str">
        <f>IFERROR(__xludf.DUMMYFUNCTION("""COMPUTED_VALUE"""),"Neto: 49,50 € (a partir de 40 uds.)")</f>
        <v>Neto: 49,50 € (a partir de 40 uds.)</v>
      </c>
    </row>
    <row r="1383">
      <c r="A1383" s="4" t="str">
        <f>IFERROR(__xludf.DUMMYFUNCTION("""COMPUTED_VALUE"""),"1925")</f>
        <v>1925</v>
      </c>
      <c r="B1383" s="4" t="str">
        <f>IFERROR(__xludf.DUMMYFUNCTION("""COMPUTED_VALUE"""),"Placa salva-zanjas 120x80 Mod. Basic")</f>
        <v>Placa salva-zanjas 120x80 Mod. Basic</v>
      </c>
      <c r="C1383" s="4">
        <f>IFERROR(__xludf.DUMMYFUNCTION("""COMPUTED_VALUE"""),79.0)</f>
        <v>79</v>
      </c>
      <c r="D1383" s="4"/>
      <c r="E1383" s="4" t="str">
        <f>IFERROR(__xludf.DUMMYFUNCTION("""COMPUTED_VALUE"""),"Sin precio neto")</f>
        <v>Sin precio neto</v>
      </c>
    </row>
    <row r="1384">
      <c r="A1384" s="4" t="str">
        <f>IFERROR(__xludf.DUMMYFUNCTION("""COMPUTED_VALUE"""),"1925B")</f>
        <v>1925B</v>
      </c>
      <c r="B1384" s="4" t="str">
        <f>IFERROR(__xludf.DUMMYFUNCTION("""COMPUTED_VALUE"""),"Placa salva-zanjas 120 x 80 antideslizante")</f>
        <v>Placa salva-zanjas 120 x 80 antideslizante</v>
      </c>
      <c r="C1384" s="4">
        <f>IFERROR(__xludf.DUMMYFUNCTION("""COMPUTED_VALUE"""),84.0)</f>
        <v>84</v>
      </c>
      <c r="D1384" s="4"/>
      <c r="E1384" s="4" t="str">
        <f>IFERROR(__xludf.DUMMYFUNCTION("""COMPUTED_VALUE"""),"Sin precio neto")</f>
        <v>Sin precio neto</v>
      </c>
    </row>
    <row r="1385">
      <c r="A1385" s="4" t="str">
        <f>IFERROR(__xludf.DUMMYFUNCTION("""COMPUTED_VALUE"""),"1925C")</f>
        <v>1925C</v>
      </c>
      <c r="B1385" s="4" t="str">
        <f>IFERROR(__xludf.DUMMYFUNCTION("""COMPUTED_VALUE"""),"Placa salva-zanjas 120x160 antideslizante")</f>
        <v>Placa salva-zanjas 120x160 antideslizante</v>
      </c>
      <c r="C1385" s="4">
        <f>IFERROR(__xludf.DUMMYFUNCTION("""COMPUTED_VALUE"""),199.0)</f>
        <v>199</v>
      </c>
      <c r="D1385" s="4"/>
      <c r="E1385" s="4" t="str">
        <f>IFERROR(__xludf.DUMMYFUNCTION("""COMPUTED_VALUE"""),"Sin precio neto")</f>
        <v>Sin precio neto</v>
      </c>
    </row>
    <row r="1386">
      <c r="A1386" s="4" t="str">
        <f>IFERROR(__xludf.DUMMYFUNCTION("""COMPUTED_VALUE"""),"1927A")</f>
        <v>1927A</v>
      </c>
      <c r="B1386" s="4" t="str">
        <f>IFERROR(__xludf.DUMMYFUNCTION("""COMPUTED_VALUE"""),"Valla señal. Gate Barrier 1 mt. Amarilla publicitaria")</f>
        <v>Valla señal. Gate Barrier 1 mt. Amarilla publicitaria</v>
      </c>
      <c r="C1386" s="4">
        <f>IFERROR(__xludf.DUMMYFUNCTION("""COMPUTED_VALUE"""),37.5)</f>
        <v>37.5</v>
      </c>
      <c r="D1386" s="4"/>
      <c r="E1386" s="4" t="str">
        <f>IFERROR(__xludf.DUMMYFUNCTION("""COMPUTED_VALUE"""),"Sin precio neto")</f>
        <v>Sin precio neto</v>
      </c>
    </row>
    <row r="1387">
      <c r="A1387" s="4" t="str">
        <f>IFERROR(__xludf.DUMMYFUNCTION("""COMPUTED_VALUE"""),"1927B")</f>
        <v>1927B</v>
      </c>
      <c r="B1387" s="4" t="str">
        <f>IFERROR(__xludf.DUMMYFUNCTION("""COMPUTED_VALUE"""),"Valla señal. Gate Barrier 1 mt. Blanca publicitaria")</f>
        <v>Valla señal. Gate Barrier 1 mt. Blanca publicitaria</v>
      </c>
      <c r="C1387" s="4">
        <f>IFERROR(__xludf.DUMMYFUNCTION("""COMPUTED_VALUE"""),37.5)</f>
        <v>37.5</v>
      </c>
      <c r="D1387" s="4"/>
      <c r="E1387" s="4" t="str">
        <f>IFERROR(__xludf.DUMMYFUNCTION("""COMPUTED_VALUE"""),"Sin precio neto")</f>
        <v>Sin precio neto</v>
      </c>
    </row>
    <row r="1388">
      <c r="A1388" s="4" t="str">
        <f>IFERROR(__xludf.DUMMYFUNCTION("""COMPUTED_VALUE"""),"1927N")</f>
        <v>1927N</v>
      </c>
      <c r="B1388" s="4" t="str">
        <f>IFERROR(__xludf.DUMMYFUNCTION("""COMPUTED_VALUE"""),"Valla señal. Gate Barrier 1 mt. Naranja publicitaria")</f>
        <v>Valla señal. Gate Barrier 1 mt. Naranja publicitaria</v>
      </c>
      <c r="C1388" s="4">
        <f>IFERROR(__xludf.DUMMYFUNCTION("""COMPUTED_VALUE"""),37.5)</f>
        <v>37.5</v>
      </c>
      <c r="D1388" s="4"/>
      <c r="E1388" s="4" t="str">
        <f>IFERROR(__xludf.DUMMYFUNCTION("""COMPUTED_VALUE"""),"Sin precio neto")</f>
        <v>Sin precio neto</v>
      </c>
    </row>
    <row r="1389">
      <c r="A1389" s="4" t="str">
        <f>IFERROR(__xludf.DUMMYFUNCTION("""COMPUTED_VALUE"""),"1927Z")</f>
        <v>1927Z</v>
      </c>
      <c r="B1389" s="4" t="str">
        <f>IFERROR(__xludf.DUMMYFUNCTION("""COMPUTED_VALUE"""),"Valla señal. Gate Barrier 1 mt. Azul publicitaria")</f>
        <v>Valla señal. Gate Barrier 1 mt. Azul publicitaria</v>
      </c>
      <c r="C1389" s="4">
        <f>IFERROR(__xludf.DUMMYFUNCTION("""COMPUTED_VALUE"""),37.5)</f>
        <v>37.5</v>
      </c>
      <c r="D1389" s="4"/>
      <c r="E1389" s="4" t="str">
        <f>IFERROR(__xludf.DUMMYFUNCTION("""COMPUTED_VALUE"""),"Sin precio neto")</f>
        <v>Sin precio neto</v>
      </c>
    </row>
    <row r="1390">
      <c r="A1390" s="4" t="str">
        <f>IFERROR(__xludf.DUMMYFUNCTION("""COMPUTED_VALUE"""),"1928A")</f>
        <v>1928A</v>
      </c>
      <c r="B1390" s="4" t="str">
        <f>IFERROR(__xludf.DUMMYFUNCTION("""COMPUTED_VALUE"""),"Valla GateBarrier Slim 2x1 Amarilla")</f>
        <v>Valla GateBarrier Slim 2x1 Amarilla</v>
      </c>
      <c r="C1390" s="4">
        <f>IFERROR(__xludf.DUMMYFUNCTION("""COMPUTED_VALUE"""),54.0)</f>
        <v>54</v>
      </c>
      <c r="D1390" s="4"/>
      <c r="E1390" s="4" t="str">
        <f>IFERROR(__xludf.DUMMYFUNCTION("""COMPUTED_VALUE"""),"Sin precio neto")</f>
        <v>Sin precio neto</v>
      </c>
    </row>
    <row r="1391">
      <c r="A1391" s="4" t="str">
        <f>IFERROR(__xludf.DUMMYFUNCTION("""COMPUTED_VALUE"""),"1929A")</f>
        <v>1929A</v>
      </c>
      <c r="B1391" s="4" t="str">
        <f>IFERROR(__xludf.DUMMYFUNCTION("""COMPUTED_VALUE"""),"Valla 1 mt Gate barrier amarilla")</f>
        <v>Valla 1 mt Gate barrier amarilla</v>
      </c>
      <c r="C1391" s="4">
        <f>IFERROR(__xludf.DUMMYFUNCTION("""COMPUTED_VALUE"""),41.0)</f>
        <v>41</v>
      </c>
      <c r="D1391" s="4">
        <f>IFERROR(__xludf.DUMMYFUNCTION("""COMPUTED_VALUE"""),38.0)</f>
        <v>38</v>
      </c>
      <c r="E1391" s="4" t="str">
        <f>IFERROR(__xludf.DUMMYFUNCTION("""COMPUTED_VALUE"""),"Neto: 38,00 € (a partir de 40 uds.)")</f>
        <v>Neto: 38,00 € (a partir de 40 uds.)</v>
      </c>
    </row>
    <row r="1392">
      <c r="A1392" s="4" t="str">
        <f>IFERROR(__xludf.DUMMYFUNCTION("""COMPUTED_VALUE"""),"1929B")</f>
        <v>1929B</v>
      </c>
      <c r="B1392" s="4" t="str">
        <f>IFERROR(__xludf.DUMMYFUNCTION("""COMPUTED_VALUE"""),"Valla 1 mt Gate Barrier Blanca")</f>
        <v>Valla 1 mt Gate Barrier Blanca</v>
      </c>
      <c r="C1392" s="4">
        <f>IFERROR(__xludf.DUMMYFUNCTION("""COMPUTED_VALUE"""),41.0)</f>
        <v>41</v>
      </c>
      <c r="D1392" s="4">
        <f>IFERROR(__xludf.DUMMYFUNCTION("""COMPUTED_VALUE"""),38.0)</f>
        <v>38</v>
      </c>
      <c r="E1392" s="4" t="str">
        <f>IFERROR(__xludf.DUMMYFUNCTION("""COMPUTED_VALUE"""),"Neto: 38,00 € (a partir de 40 uds.)")</f>
        <v>Neto: 38,00 € (a partir de 40 uds.)</v>
      </c>
    </row>
    <row r="1393">
      <c r="A1393" s="4" t="str">
        <f>IFERROR(__xludf.DUMMYFUNCTION("""COMPUTED_VALUE"""),"1929N")</f>
        <v>1929N</v>
      </c>
      <c r="B1393" s="4" t="str">
        <f>IFERROR(__xludf.DUMMYFUNCTION("""COMPUTED_VALUE"""),"Valla 1 mt Gate barrier Naranja")</f>
        <v>Valla 1 mt Gate barrier Naranja</v>
      </c>
      <c r="C1393" s="4">
        <f>IFERROR(__xludf.DUMMYFUNCTION("""COMPUTED_VALUE"""),41.0)</f>
        <v>41</v>
      </c>
      <c r="D1393" s="4">
        <f>IFERROR(__xludf.DUMMYFUNCTION("""COMPUTED_VALUE"""),38.0)</f>
        <v>38</v>
      </c>
      <c r="E1393" s="4" t="str">
        <f>IFERROR(__xludf.DUMMYFUNCTION("""COMPUTED_VALUE"""),"Neto: 38,00 € (a partir de 40 uds.)")</f>
        <v>Neto: 38,00 € (a partir de 40 uds.)</v>
      </c>
    </row>
    <row r="1394">
      <c r="A1394" s="4" t="str">
        <f>IFERROR(__xludf.DUMMYFUNCTION("""COMPUTED_VALUE"""),"1929Z")</f>
        <v>1929Z</v>
      </c>
      <c r="B1394" s="4" t="str">
        <f>IFERROR(__xludf.DUMMYFUNCTION("""COMPUTED_VALUE"""),"Valla 1 mt Gate barrier azul")</f>
        <v>Valla 1 mt Gate barrier azul</v>
      </c>
      <c r="C1394" s="4">
        <f>IFERROR(__xludf.DUMMYFUNCTION("""COMPUTED_VALUE"""),41.0)</f>
        <v>41</v>
      </c>
      <c r="D1394" s="4">
        <f>IFERROR(__xludf.DUMMYFUNCTION("""COMPUTED_VALUE"""),38.0)</f>
        <v>38</v>
      </c>
      <c r="E1394" s="4" t="str">
        <f>IFERROR(__xludf.DUMMYFUNCTION("""COMPUTED_VALUE"""),"Neto: 38,00 € (a partir de 40 uds.)")</f>
        <v>Neto: 38,00 € (a partir de 40 uds.)</v>
      </c>
    </row>
    <row r="1395">
      <c r="A1395" s="4" t="str">
        <f>IFERROR(__xludf.DUMMYFUNCTION("""COMPUTED_VALUE"""),"1931")</f>
        <v>1931</v>
      </c>
      <c r="B1395" s="4" t="str">
        <f>IFERROR(__xludf.DUMMYFUNCTION("""COMPUTED_VALUE"""),"Reductor Velocidad 50x44x5 cm Mod. D negro")</f>
        <v>Reductor Velocidad 50x44x5 cm Mod. D negro</v>
      </c>
      <c r="C1395" s="4">
        <f>IFERROR(__xludf.DUMMYFUNCTION("""COMPUTED_VALUE"""),24.25)</f>
        <v>24.25</v>
      </c>
      <c r="D1395" s="4"/>
      <c r="E1395" s="4" t="str">
        <f>IFERROR(__xludf.DUMMYFUNCTION("""COMPUTED_VALUE"""),"Sin precio neto")</f>
        <v>Sin precio neto</v>
      </c>
    </row>
    <row r="1396">
      <c r="A1396" s="4" t="str">
        <f>IFERROR(__xludf.DUMMYFUNCTION("""COMPUTED_VALUE"""),"1932")</f>
        <v>1932</v>
      </c>
      <c r="B1396" s="4" t="str">
        <f>IFERROR(__xludf.DUMMYFUNCTION("""COMPUTED_VALUE"""),"Reductor Velocidad 50x44X5cm Mod. D Amarillo")</f>
        <v>Reductor Velocidad 50x44X5cm Mod. D Amarillo</v>
      </c>
      <c r="C1396" s="4">
        <f>IFERROR(__xludf.DUMMYFUNCTION("""COMPUTED_VALUE"""),24.25)</f>
        <v>24.25</v>
      </c>
      <c r="D1396" s="4"/>
      <c r="E1396" s="4" t="str">
        <f>IFERROR(__xludf.DUMMYFUNCTION("""COMPUTED_VALUE"""),"Sin precio neto")</f>
        <v>Sin precio neto</v>
      </c>
    </row>
    <row r="1397">
      <c r="A1397" s="4" t="str">
        <f>IFERROR(__xludf.DUMMYFUNCTION("""COMPUTED_VALUE"""),"1933")</f>
        <v>1933</v>
      </c>
      <c r="B1397" s="4" t="str">
        <f>IFERROR(__xludf.DUMMYFUNCTION("""COMPUTED_VALUE"""),"Extremo reductor velocidad 21x42.5x5 cm Mod. D Negro")</f>
        <v>Extremo reductor velocidad 21x42.5x5 cm Mod. D Negro</v>
      </c>
      <c r="C1397" s="4">
        <f>IFERROR(__xludf.DUMMYFUNCTION("""COMPUTED_VALUE"""),16.25)</f>
        <v>16.25</v>
      </c>
      <c r="D1397" s="4"/>
      <c r="E1397" s="4" t="str">
        <f>IFERROR(__xludf.DUMMYFUNCTION("""COMPUTED_VALUE"""),"Sin precio neto")</f>
        <v>Sin precio neto</v>
      </c>
    </row>
    <row r="1398">
      <c r="A1398" s="4" t="str">
        <f>IFERROR(__xludf.DUMMYFUNCTION("""COMPUTED_VALUE"""),"1934")</f>
        <v>1934</v>
      </c>
      <c r="B1398" s="4" t="str">
        <f>IFERROR(__xludf.DUMMYFUNCTION("""COMPUTED_VALUE"""),"Extremo reductor velocidad 21x42.5x5 cm Mod. D Amarillo")</f>
        <v>Extremo reductor velocidad 21x42.5x5 cm Mod. D Amarillo</v>
      </c>
      <c r="C1398" s="4">
        <f>IFERROR(__xludf.DUMMYFUNCTION("""COMPUTED_VALUE"""),16.25)</f>
        <v>16.25</v>
      </c>
      <c r="D1398" s="4"/>
      <c r="E1398" s="4" t="str">
        <f>IFERROR(__xludf.DUMMYFUNCTION("""COMPUTED_VALUE"""),"Sin precio neto")</f>
        <v>Sin precio neto</v>
      </c>
    </row>
    <row r="1399">
      <c r="A1399" s="4" t="str">
        <f>IFERROR(__xludf.DUMMYFUNCTION("""COMPUTED_VALUE"""),"1937")</f>
        <v>1937</v>
      </c>
      <c r="B1399" s="4" t="str">
        <f>IFERROR(__xludf.DUMMYFUNCTION("""COMPUTED_VALUE"""),"Valla Señal. Olimpic Barrier 2 m Naranja")</f>
        <v>Valla Señal. Olimpic Barrier 2 m Naranja</v>
      </c>
      <c r="C1399" s="4">
        <f>IFERROR(__xludf.DUMMYFUNCTION("""COMPUTED_VALUE"""),72.5)</f>
        <v>72.5</v>
      </c>
      <c r="D1399" s="4"/>
      <c r="E1399" s="4" t="str">
        <f>IFERROR(__xludf.DUMMYFUNCTION("""COMPUTED_VALUE"""),"Sin precio neto")</f>
        <v>Sin precio neto</v>
      </c>
    </row>
    <row r="1400">
      <c r="A1400" s="4" t="str">
        <f>IFERROR(__xludf.DUMMYFUNCTION("""COMPUTED_VALUE"""),"1938")</f>
        <v>1938</v>
      </c>
      <c r="B1400" s="4" t="str">
        <f>IFERROR(__xludf.DUMMYFUNCTION("""COMPUTED_VALUE"""),"Valla Señal. Wonderwall Naranja COMPLETO 1000x1140x500")</f>
        <v>Valla Señal. Wonderwall Naranja COMPLETO 1000x1140x500</v>
      </c>
      <c r="C1400" s="4">
        <f>IFERROR(__xludf.DUMMYFUNCTION("""COMPUTED_VALUE"""),74.0)</f>
        <v>74</v>
      </c>
      <c r="D1400" s="4"/>
      <c r="E1400" s="4" t="str">
        <f>IFERROR(__xludf.DUMMYFUNCTION("""COMPUTED_VALUE"""),"Sin precio neto")</f>
        <v>Sin precio neto</v>
      </c>
    </row>
    <row r="1401">
      <c r="A1401" s="4" t="str">
        <f>IFERROR(__xludf.DUMMYFUNCTION("""COMPUTED_VALUE"""),"1938B")</f>
        <v>1938B</v>
      </c>
      <c r="B1401" s="4" t="str">
        <f>IFERROR(__xludf.DUMMYFUNCTION("""COMPUTED_VALUE"""),"Valla Señal. Wonderwall Naranja BASE")</f>
        <v>Valla Señal. Wonderwall Naranja BASE</v>
      </c>
      <c r="C1401" s="4">
        <f>IFERROR(__xludf.DUMMYFUNCTION("""COMPUTED_VALUE"""),22.5)</f>
        <v>22.5</v>
      </c>
      <c r="D1401" s="4"/>
      <c r="E1401" s="4" t="str">
        <f>IFERROR(__xludf.DUMMYFUNCTION("""COMPUTED_VALUE"""),"Sin precio neto")</f>
        <v>Sin precio neto</v>
      </c>
    </row>
    <row r="1402">
      <c r="A1402" s="4" t="str">
        <f>IFERROR(__xludf.DUMMYFUNCTION("""COMPUTED_VALUE"""),"1938T")</f>
        <v>1938T</v>
      </c>
      <c r="B1402" s="4" t="str">
        <f>IFERROR(__xludf.DUMMYFUNCTION("""COMPUTED_VALUE"""),"Valla Señal. Wonderwall Naranja TOP")</f>
        <v>Valla Señal. Wonderwall Naranja TOP</v>
      </c>
      <c r="C1402" s="4">
        <f>IFERROR(__xludf.DUMMYFUNCTION("""COMPUTED_VALUE"""),49.0)</f>
        <v>49</v>
      </c>
      <c r="D1402" s="4"/>
      <c r="E1402" s="4" t="str">
        <f>IFERROR(__xludf.DUMMYFUNCTION("""COMPUTED_VALUE"""),"Sin precio neto")</f>
        <v>Sin precio neto</v>
      </c>
    </row>
    <row r="1403">
      <c r="A1403" s="4" t="str">
        <f>IFERROR(__xludf.DUMMYFUNCTION("""COMPUTED_VALUE"""),"1939B")</f>
        <v>1939B</v>
      </c>
      <c r="B1403" s="4" t="str">
        <f>IFERROR(__xludf.DUMMYFUNCTION("""COMPUTED_VALUE"""),"Barrera mediana Budda Barrier 800x1040x280 Blanca")</f>
        <v>Barrera mediana Budda Barrier 800x1040x280 Blanca</v>
      </c>
      <c r="C1403" s="4">
        <f>IFERROR(__xludf.DUMMYFUNCTION("""COMPUTED_VALUE"""),56.0)</f>
        <v>56</v>
      </c>
      <c r="D1403" s="4"/>
      <c r="E1403" s="4" t="str">
        <f>IFERROR(__xludf.DUMMYFUNCTION("""COMPUTED_VALUE"""),"Sin precio neto")</f>
        <v>Sin precio neto</v>
      </c>
    </row>
    <row r="1404">
      <c r="A1404" s="4" t="str">
        <f>IFERROR(__xludf.DUMMYFUNCTION("""COMPUTED_VALUE"""),"1939R")</f>
        <v>1939R</v>
      </c>
      <c r="B1404" s="4" t="str">
        <f>IFERROR(__xludf.DUMMYFUNCTION("""COMPUTED_VALUE"""),"Barrera mediana Budda Barrier 800x1040x280 Roja")</f>
        <v>Barrera mediana Budda Barrier 800x1040x280 Roja</v>
      </c>
      <c r="C1404" s="4">
        <f>IFERROR(__xludf.DUMMYFUNCTION("""COMPUTED_VALUE"""),56.0)</f>
        <v>56</v>
      </c>
      <c r="D1404" s="4"/>
      <c r="E1404" s="4" t="str">
        <f>IFERROR(__xludf.DUMMYFUNCTION("""COMPUTED_VALUE"""),"Sin precio neto")</f>
        <v>Sin precio neto</v>
      </c>
    </row>
    <row r="1405">
      <c r="A1405" s="4" t="str">
        <f>IFERROR(__xludf.DUMMYFUNCTION("""COMPUTED_VALUE"""),"1940B")</f>
        <v>1940B</v>
      </c>
      <c r="B1405" s="4" t="str">
        <f>IFERROR(__xludf.DUMMYFUNCTION("""COMPUTED_VALUE"""),"Mini Double top Valla 1115x535 mm blanca")</f>
        <v>Mini Double top Valla 1115x535 mm blanca</v>
      </c>
      <c r="C1405" s="4">
        <f>IFERROR(__xludf.DUMMYFUNCTION("""COMPUTED_VALUE"""),44.0)</f>
        <v>44</v>
      </c>
      <c r="D1405" s="4"/>
      <c r="E1405" s="4" t="str">
        <f>IFERROR(__xludf.DUMMYFUNCTION("""COMPUTED_VALUE"""),"Sin precio neto")</f>
        <v>Sin precio neto</v>
      </c>
    </row>
    <row r="1406">
      <c r="A1406" s="4" t="str">
        <f>IFERROR(__xludf.DUMMYFUNCTION("""COMPUTED_VALUE"""),"1940R")</f>
        <v>1940R</v>
      </c>
      <c r="B1406" s="4" t="str">
        <f>IFERROR(__xludf.DUMMYFUNCTION("""COMPUTED_VALUE"""),"Mini Double top Valla 1115x535 mm roja")</f>
        <v>Mini Double top Valla 1115x535 mm roja</v>
      </c>
      <c r="C1406" s="4">
        <f>IFERROR(__xludf.DUMMYFUNCTION("""COMPUTED_VALUE"""),44.0)</f>
        <v>44</v>
      </c>
      <c r="D1406" s="4"/>
      <c r="E1406" s="4" t="str">
        <f>IFERROR(__xludf.DUMMYFUNCTION("""COMPUTED_VALUE"""),"Sin precio neto")</f>
        <v>Sin precio neto</v>
      </c>
    </row>
    <row r="1407">
      <c r="A1407" s="4" t="str">
        <f>IFERROR(__xludf.DUMMYFUNCTION("""COMPUTED_VALUE"""),"1941B")</f>
        <v>1941B</v>
      </c>
      <c r="B1407" s="4" t="str">
        <f>IFERROR(__xludf.DUMMYFUNCTION("""COMPUTED_VALUE"""),"Double top Valla 1115x1000 mm blanca")</f>
        <v>Double top Valla 1115x1000 mm blanca</v>
      </c>
      <c r="C1407" s="4">
        <f>IFERROR(__xludf.DUMMYFUNCTION("""COMPUTED_VALUE"""),47.0)</f>
        <v>47</v>
      </c>
      <c r="D1407" s="4"/>
      <c r="E1407" s="4" t="str">
        <f>IFERROR(__xludf.DUMMYFUNCTION("""COMPUTED_VALUE"""),"Sin precio neto")</f>
        <v>Sin precio neto</v>
      </c>
    </row>
    <row r="1408">
      <c r="A1408" s="4" t="str">
        <f>IFERROR(__xludf.DUMMYFUNCTION("""COMPUTED_VALUE"""),"1941R")</f>
        <v>1941R</v>
      </c>
      <c r="B1408" s="4" t="str">
        <f>IFERROR(__xludf.DUMMYFUNCTION("""COMPUTED_VALUE"""),"Double top Valla 1115x1000 mm roja")</f>
        <v>Double top Valla 1115x1000 mm roja</v>
      </c>
      <c r="C1408" s="4">
        <f>IFERROR(__xludf.DUMMYFUNCTION("""COMPUTED_VALUE"""),47.0)</f>
        <v>47</v>
      </c>
      <c r="D1408" s="4"/>
      <c r="E1408" s="4" t="str">
        <f>IFERROR(__xludf.DUMMYFUNCTION("""COMPUTED_VALUE"""),"Sin precio neto")</f>
        <v>Sin precio neto</v>
      </c>
    </row>
    <row r="1409">
      <c r="A1409" s="4" t="str">
        <f>IFERROR(__xludf.DUMMYFUNCTION("""COMPUTED_VALUE"""),"1942A")</f>
        <v>1942A</v>
      </c>
      <c r="B1409" s="4" t="str">
        <f>IFERROR(__xludf.DUMMYFUNCTION("""COMPUTED_VALUE"""),"Valla señal.Slim Gate Barrier 2 mtros Amarilla")</f>
        <v>Valla señal.Slim Gate Barrier 2 mtros Amarilla</v>
      </c>
      <c r="C1409" s="4">
        <f>IFERROR(__xludf.DUMMYFUNCTION("""COMPUTED_VALUE"""),53.0)</f>
        <v>53</v>
      </c>
      <c r="D1409" s="4"/>
      <c r="E1409" s="4" t="str">
        <f>IFERROR(__xludf.DUMMYFUNCTION("""COMPUTED_VALUE"""),"Sin precio neto")</f>
        <v>Sin precio neto</v>
      </c>
    </row>
    <row r="1410">
      <c r="A1410" s="4" t="str">
        <f>IFERROR(__xludf.DUMMYFUNCTION("""COMPUTED_VALUE"""),"1942B")</f>
        <v>1942B</v>
      </c>
      <c r="B1410" s="4" t="str">
        <f>IFERROR(__xludf.DUMMYFUNCTION("""COMPUTED_VALUE"""),"Valla señal.Slim Gate Barrier 2 mtros Blanco")</f>
        <v>Valla señal.Slim Gate Barrier 2 mtros Blanco</v>
      </c>
      <c r="C1410" s="4">
        <f>IFERROR(__xludf.DUMMYFUNCTION("""COMPUTED_VALUE"""),53.0)</f>
        <v>53</v>
      </c>
      <c r="D1410" s="4"/>
      <c r="E1410" s="4" t="str">
        <f>IFERROR(__xludf.DUMMYFUNCTION("""COMPUTED_VALUE"""),"Sin precio neto")</f>
        <v>Sin precio neto</v>
      </c>
    </row>
    <row r="1411">
      <c r="A1411" s="4" t="str">
        <f>IFERROR(__xludf.DUMMYFUNCTION("""COMPUTED_VALUE"""),"1942N")</f>
        <v>1942N</v>
      </c>
      <c r="B1411" s="4" t="str">
        <f>IFERROR(__xludf.DUMMYFUNCTION("""COMPUTED_VALUE"""),"Valla señal.Slim Gate Barrier 2 mtros Naranja")</f>
        <v>Valla señal.Slim Gate Barrier 2 mtros Naranja</v>
      </c>
      <c r="C1411" s="4">
        <f>IFERROR(__xludf.DUMMYFUNCTION("""COMPUTED_VALUE"""),53.0)</f>
        <v>53</v>
      </c>
      <c r="D1411" s="4"/>
      <c r="E1411" s="4" t="str">
        <f>IFERROR(__xludf.DUMMYFUNCTION("""COMPUTED_VALUE"""),"Sin precio neto")</f>
        <v>Sin precio neto</v>
      </c>
    </row>
    <row r="1412">
      <c r="A1412" s="4" t="str">
        <f>IFERROR(__xludf.DUMMYFUNCTION("""COMPUTED_VALUE"""),"1942Z")</f>
        <v>1942Z</v>
      </c>
      <c r="B1412" s="4" t="str">
        <f>IFERROR(__xludf.DUMMYFUNCTION("""COMPUTED_VALUE"""),"Valla señal.Slim Gate Barrier 2 mtros Azul")</f>
        <v>Valla señal.Slim Gate Barrier 2 mtros Azul</v>
      </c>
      <c r="C1412" s="4">
        <f>IFERROR(__xludf.DUMMYFUNCTION("""COMPUTED_VALUE"""),53.0)</f>
        <v>53</v>
      </c>
      <c r="D1412" s="4"/>
      <c r="E1412" s="4" t="str">
        <f>IFERROR(__xludf.DUMMYFUNCTION("""COMPUTED_VALUE"""),"Sin precio neto")</f>
        <v>Sin precio neto</v>
      </c>
    </row>
    <row r="1413">
      <c r="A1413" s="4" t="str">
        <f>IFERROR(__xludf.DUMMYFUNCTION("""COMPUTED_VALUE"""),"2025")</f>
        <v>2025</v>
      </c>
      <c r="B1413" s="4" t="str">
        <f>IFERROR(__xludf.DUMMYFUNCTION("""COMPUTED_VALUE"""),"Desinfectante fungicida-bactericida 5 litros")</f>
        <v>Desinfectante fungicida-bactericida 5 litros</v>
      </c>
      <c r="C1413" s="4">
        <f>IFERROR(__xludf.DUMMYFUNCTION("""COMPUTED_VALUE"""),19.95)</f>
        <v>19.95</v>
      </c>
      <c r="D1413" s="4"/>
      <c r="E1413" s="4" t="str">
        <f>IFERROR(__xludf.DUMMYFUNCTION("""COMPUTED_VALUE"""),"Sin precio neto")</f>
        <v>Sin precio neto</v>
      </c>
    </row>
    <row r="1414">
      <c r="A1414" s="4" t="str">
        <f>IFERROR(__xludf.DUMMYFUNCTION("""COMPUTED_VALUE"""),"2031")</f>
        <v>2031</v>
      </c>
      <c r="B1414" s="4" t="str">
        <f>IFERROR(__xludf.DUMMYFUNCTION("""COMPUTED_VALUE"""),"Tiralíneas grande Rolycord GM 100m x 1.5mm")</f>
        <v>Tiralíneas grande Rolycord GM 100m x 1.5mm</v>
      </c>
      <c r="C1414" s="4">
        <f>IFERROR(__xludf.DUMMYFUNCTION("""COMPUTED_VALUE"""),9.0)</f>
        <v>9</v>
      </c>
      <c r="D1414" s="4"/>
      <c r="E1414" s="4" t="str">
        <f>IFERROR(__xludf.DUMMYFUNCTION("""COMPUTED_VALUE"""),"Sin precio neto")</f>
        <v>Sin precio neto</v>
      </c>
    </row>
    <row r="1415">
      <c r="A1415" s="4" t="str">
        <f>IFERROR(__xludf.DUMMYFUNCTION("""COMPUTED_VALUE"""),"2032")</f>
        <v>2032</v>
      </c>
      <c r="B1415" s="4" t="str">
        <f>IFERROR(__xludf.DUMMYFUNCTION("""COMPUTED_VALUE"""),"Tiralíneas Pequeño Rolycord 60m x 2 mmº")</f>
        <v>Tiralíneas Pequeño Rolycord 60m x 2 mmº</v>
      </c>
      <c r="C1415" s="4">
        <f>IFERROR(__xludf.DUMMYFUNCTION("""COMPUTED_VALUE"""),8.0)</f>
        <v>8</v>
      </c>
      <c r="D1415" s="4"/>
      <c r="E1415" s="4" t="str">
        <f>IFERROR(__xludf.DUMMYFUNCTION("""COMPUTED_VALUE"""),"Sin precio neto")</f>
        <v>Sin precio neto</v>
      </c>
    </row>
    <row r="1416">
      <c r="A1416" s="4" t="str">
        <f>IFERROR(__xludf.DUMMYFUNCTION("""COMPUTED_VALUE"""),"2033")</f>
        <v>2033</v>
      </c>
      <c r="B1416" s="4" t="str">
        <f>IFERROR(__xludf.DUMMYFUNCTION("""COMPUTED_VALUE"""),"Lápiz bicolor Dúo Marker Rojo/azul (Display 100 uds)")</f>
        <v>Lápiz bicolor Dúo Marker Rojo/azul (Display 100 uds)</v>
      </c>
      <c r="C1416" s="4">
        <f>IFERROR(__xludf.DUMMYFUNCTION("""COMPUTED_VALUE"""),41.0)</f>
        <v>41</v>
      </c>
      <c r="D1416" s="4"/>
      <c r="E1416" s="4" t="str">
        <f>IFERROR(__xludf.DUMMYFUNCTION("""COMPUTED_VALUE"""),"Sin precio neto")</f>
        <v>Sin precio neto</v>
      </c>
    </row>
    <row r="1417">
      <c r="A1417" s="4" t="str">
        <f>IFERROR(__xludf.DUMMYFUNCTION("""COMPUTED_VALUE"""),"2034A")</f>
        <v>2034A</v>
      </c>
      <c r="B1417" s="4" t="str">
        <f>IFERROR(__xludf.DUMMYFUNCTION("""COMPUTED_VALUE"""),"Tiza hexagonal 120 x12 mm Amarillo (12 uds)")</f>
        <v>Tiza hexagonal 120 x12 mm Amarillo (12 uds)</v>
      </c>
      <c r="C1417" s="4">
        <f>IFERROR(__xludf.DUMMYFUNCTION("""COMPUTED_VALUE"""),4.95)</f>
        <v>4.95</v>
      </c>
      <c r="D1417" s="4"/>
      <c r="E1417" s="4" t="str">
        <f>IFERROR(__xludf.DUMMYFUNCTION("""COMPUTED_VALUE"""),"Sin precio neto")</f>
        <v>Sin precio neto</v>
      </c>
    </row>
    <row r="1418">
      <c r="A1418" s="4" t="str">
        <f>IFERROR(__xludf.DUMMYFUNCTION("""COMPUTED_VALUE"""),"2034B")</f>
        <v>2034B</v>
      </c>
      <c r="B1418" s="4" t="str">
        <f>IFERROR(__xludf.DUMMYFUNCTION("""COMPUTED_VALUE"""),"Tiza hexagonal 120 x12 mm blanco (12 uds)")</f>
        <v>Tiza hexagonal 120 x12 mm blanco (12 uds)</v>
      </c>
      <c r="C1418" s="4">
        <f>IFERROR(__xludf.DUMMYFUNCTION("""COMPUTED_VALUE"""),4.95)</f>
        <v>4.95</v>
      </c>
      <c r="D1418" s="4"/>
      <c r="E1418" s="4" t="str">
        <f>IFERROR(__xludf.DUMMYFUNCTION("""COMPUTED_VALUE"""),"Sin precio neto")</f>
        <v>Sin precio neto</v>
      </c>
    </row>
    <row r="1419">
      <c r="A1419" s="4" t="str">
        <f>IFERROR(__xludf.DUMMYFUNCTION("""COMPUTED_VALUE"""),"2034N")</f>
        <v>2034N</v>
      </c>
      <c r="B1419" s="4" t="str">
        <f>IFERROR(__xludf.DUMMYFUNCTION("""COMPUTED_VALUE"""),"Tiza hexagonal 120 x12 mm Negro (12 uds)")</f>
        <v>Tiza hexagonal 120 x12 mm Negro (12 uds)</v>
      </c>
      <c r="C1419" s="4">
        <f>IFERROR(__xludf.DUMMYFUNCTION("""COMPUTED_VALUE"""),4.95)</f>
        <v>4.95</v>
      </c>
      <c r="D1419" s="4"/>
      <c r="E1419" s="4" t="str">
        <f>IFERROR(__xludf.DUMMYFUNCTION("""COMPUTED_VALUE"""),"Sin precio neto")</f>
        <v>Sin precio neto</v>
      </c>
    </row>
    <row r="1420">
      <c r="A1420" s="4" t="str">
        <f>IFERROR(__xludf.DUMMYFUNCTION("""COMPUTED_VALUE"""),"2034R")</f>
        <v>2034R</v>
      </c>
      <c r="B1420" s="4" t="str">
        <f>IFERROR(__xludf.DUMMYFUNCTION("""COMPUTED_VALUE"""),"Tiza hexagonal 120 x12 mm Rojo (12 uds)")</f>
        <v>Tiza hexagonal 120 x12 mm Rojo (12 uds)</v>
      </c>
      <c r="C1420" s="4">
        <f>IFERROR(__xludf.DUMMYFUNCTION("""COMPUTED_VALUE"""),4.95)</f>
        <v>4.95</v>
      </c>
      <c r="D1420" s="4"/>
      <c r="E1420" s="4" t="str">
        <f>IFERROR(__xludf.DUMMYFUNCTION("""COMPUTED_VALUE"""),"Sin precio neto")</f>
        <v>Sin precio neto</v>
      </c>
    </row>
    <row r="1421">
      <c r="A1421" s="4" t="str">
        <f>IFERROR(__xludf.DUMMYFUNCTION("""COMPUTED_VALUE"""),"2034V")</f>
        <v>2034V</v>
      </c>
      <c r="B1421" s="4" t="str">
        <f>IFERROR(__xludf.DUMMYFUNCTION("""COMPUTED_VALUE"""),"Tiza hexagonal 120 x12 mm Verde (12 uds)")</f>
        <v>Tiza hexagonal 120 x12 mm Verde (12 uds)</v>
      </c>
      <c r="C1421" s="4">
        <f>IFERROR(__xludf.DUMMYFUNCTION("""COMPUTED_VALUE"""),4.95)</f>
        <v>4.95</v>
      </c>
      <c r="D1421" s="4"/>
      <c r="E1421" s="4" t="str">
        <f>IFERROR(__xludf.DUMMYFUNCTION("""COMPUTED_VALUE"""),"Sin precio neto")</f>
        <v>Sin precio neto</v>
      </c>
    </row>
    <row r="1422">
      <c r="A1422" s="4" t="str">
        <f>IFERROR(__xludf.DUMMYFUNCTION("""COMPUTED_VALUE"""),"2034Z")</f>
        <v>2034Z</v>
      </c>
      <c r="B1422" s="4" t="str">
        <f>IFERROR(__xludf.DUMMYFUNCTION("""COMPUTED_VALUE"""),"Tiza hexagonal 120 x12 mm Azul (12 uds)")</f>
        <v>Tiza hexagonal 120 x12 mm Azul (12 uds)</v>
      </c>
      <c r="C1422" s="4">
        <f>IFERROR(__xludf.DUMMYFUNCTION("""COMPUTED_VALUE"""),4.95)</f>
        <v>4.95</v>
      </c>
      <c r="D1422" s="4"/>
      <c r="E1422" s="4" t="str">
        <f>IFERROR(__xludf.DUMMYFUNCTION("""COMPUTED_VALUE"""),"Sin precio neto")</f>
        <v>Sin precio neto</v>
      </c>
    </row>
    <row r="1423">
      <c r="A1423" s="4" t="str">
        <f>IFERROR(__xludf.DUMMYFUNCTION("""COMPUTED_VALUE"""),"2035")</f>
        <v>2035</v>
      </c>
      <c r="B1423" s="4" t="str">
        <f>IFERROR(__xludf.DUMMYFUNCTION("""COMPUTED_VALUE"""),"Caja Lapiceros carpintero 180 (144 unid)")</f>
        <v>Caja Lapiceros carpintero 180 (144 unid)</v>
      </c>
      <c r="C1423" s="4">
        <f>IFERROR(__xludf.DUMMYFUNCTION("""COMPUTED_VALUE"""),9.2)</f>
        <v>9.2</v>
      </c>
      <c r="D1423" s="4"/>
      <c r="E1423" s="4" t="str">
        <f>IFERROR(__xludf.DUMMYFUNCTION("""COMPUTED_VALUE"""),"Sin precio neto")</f>
        <v>Sin precio neto</v>
      </c>
    </row>
    <row r="1424">
      <c r="A1424" s="4" t="str">
        <f>IFERROR(__xludf.DUMMYFUNCTION("""COMPUTED_VALUE"""),"2036")</f>
        <v>2036</v>
      </c>
      <c r="B1424" s="4" t="str">
        <f>IFERROR(__xludf.DUMMYFUNCTION("""COMPUTED_VALUE"""),"Lapiz Recargable Metalico")</f>
        <v>Lapiz Recargable Metalico</v>
      </c>
      <c r="C1424" s="4">
        <f>IFERROR(__xludf.DUMMYFUNCTION("""COMPUTED_VALUE"""),3.6)</f>
        <v>3.6</v>
      </c>
      <c r="D1424" s="4"/>
      <c r="E1424" s="4" t="str">
        <f>IFERROR(__xludf.DUMMYFUNCTION("""COMPUTED_VALUE"""),"Sin precio neto")</f>
        <v>Sin precio neto</v>
      </c>
    </row>
    <row r="1425">
      <c r="A1425" s="4" t="str">
        <f>IFERROR(__xludf.DUMMYFUNCTION("""COMPUTED_VALUE"""),"2036E")</f>
        <v>2036E</v>
      </c>
      <c r="B1425" s="4" t="str">
        <f>IFERROR(__xludf.DUMMYFUNCTION("""COMPUTED_VALUE"""),"Caja lápiz carpintero Mod. Europe (100 uds)")</f>
        <v>Caja lápiz carpintero Mod. Europe (100 uds)</v>
      </c>
      <c r="C1425" s="4">
        <f>IFERROR(__xludf.DUMMYFUNCTION("""COMPUTED_VALUE"""),49.0)</f>
        <v>49</v>
      </c>
      <c r="D1425" s="4"/>
      <c r="E1425" s="4" t="str">
        <f>IFERROR(__xludf.DUMMYFUNCTION("""COMPUTED_VALUE"""),"Sin precio neto")</f>
        <v>Sin precio neto</v>
      </c>
    </row>
    <row r="1426">
      <c r="A1426" s="4" t="str">
        <f>IFERROR(__xludf.DUMMYFUNCTION("""COMPUTED_VALUE"""),"2037")</f>
        <v>2037</v>
      </c>
      <c r="B1426" s="4" t="str">
        <f>IFERROR(__xludf.DUMMYFUNCTION("""COMPUTED_VALUE"""),"Recambio Lapiz Metalico (50 und)")</f>
        <v>Recambio Lapiz Metalico (50 und)</v>
      </c>
      <c r="C1426" s="4">
        <f>IFERROR(__xludf.DUMMYFUNCTION("""COMPUTED_VALUE"""),2.365)</f>
        <v>2.365</v>
      </c>
      <c r="D1426" s="4"/>
      <c r="E1426" s="4" t="str">
        <f>IFERROR(__xludf.DUMMYFUNCTION("""COMPUTED_VALUE"""),"Sin precio neto")</f>
        <v>Sin precio neto</v>
      </c>
    </row>
    <row r="1427">
      <c r="A1427" s="4" t="str">
        <f>IFERROR(__xludf.DUMMYFUNCTION("""COMPUTED_VALUE"""),"2038")</f>
        <v>2038</v>
      </c>
      <c r="B1427" s="4" t="str">
        <f>IFERROR(__xludf.DUMMYFUNCTION("""COMPUTED_VALUE"""),"Tirolesa")</f>
        <v>Tirolesa</v>
      </c>
      <c r="C1427" s="4">
        <f>IFERROR(__xludf.DUMMYFUNCTION("""COMPUTED_VALUE"""),13.25)</f>
        <v>13.25</v>
      </c>
      <c r="D1427" s="4"/>
      <c r="E1427" s="4" t="str">
        <f>IFERROR(__xludf.DUMMYFUNCTION("""COMPUTED_VALUE"""),"Sin precio neto")</f>
        <v>Sin precio neto</v>
      </c>
    </row>
    <row r="1428">
      <c r="A1428" s="4" t="str">
        <f>IFERROR(__xludf.DUMMYFUNCTION("""COMPUTED_VALUE"""),"2039")</f>
        <v>2039</v>
      </c>
      <c r="B1428" s="4" t="str">
        <f>IFERROR(__xludf.DUMMYFUNCTION("""COMPUTED_VALUE"""),"Octometro nueva generacion con mochila de transporte")</f>
        <v>Octometro nueva generacion con mochila de transporte</v>
      </c>
      <c r="C1428" s="4">
        <f>IFERROR(__xludf.DUMMYFUNCTION("""COMPUTED_VALUE"""),24.65)</f>
        <v>24.65</v>
      </c>
      <c r="D1428" s="4"/>
      <c r="E1428" s="4" t="str">
        <f>IFERROR(__xludf.DUMMYFUNCTION("""COMPUTED_VALUE"""),"Sin precio neto")</f>
        <v>Sin precio neto</v>
      </c>
    </row>
    <row r="1429">
      <c r="A1429" s="4" t="str">
        <f>IFERROR(__xludf.DUMMYFUNCTION("""COMPUTED_VALUE"""),"2040")</f>
        <v>2040</v>
      </c>
      <c r="B1429" s="4" t="str">
        <f>IFERROR(__xludf.DUMMYFUNCTION("""COMPUTED_VALUE"""),"Bolsa encofrador polipiel 21x21 1 bolsillo")</f>
        <v>Bolsa encofrador polipiel 21x21 1 bolsillo</v>
      </c>
      <c r="C1429" s="4">
        <f>IFERROR(__xludf.DUMMYFUNCTION("""COMPUTED_VALUE"""),6.45)</f>
        <v>6.45</v>
      </c>
      <c r="D1429" s="4"/>
      <c r="E1429" s="4" t="str">
        <f>IFERROR(__xludf.DUMMYFUNCTION("""COMPUTED_VALUE"""),"Sin precio neto")</f>
        <v>Sin precio neto</v>
      </c>
    </row>
    <row r="1430">
      <c r="A1430" s="4" t="str">
        <f>IFERROR(__xludf.DUMMYFUNCTION("""COMPUTED_VALUE"""),"2041")</f>
        <v>2041</v>
      </c>
      <c r="B1430" s="4" t="str">
        <f>IFERROR(__xludf.DUMMYFUNCTION("""COMPUTED_VALUE"""),"Display 12 tiralineas 15 m (línea eco) + 12 botes azulete 60 gr")</f>
        <v>Display 12 tiralineas 15 m (línea eco) + 12 botes azulete 60 gr</v>
      </c>
      <c r="C1430" s="4">
        <f>IFERROR(__xludf.DUMMYFUNCTION("""COMPUTED_VALUE"""),49.0)</f>
        <v>49</v>
      </c>
      <c r="D1430" s="4"/>
      <c r="E1430" s="4" t="str">
        <f>IFERROR(__xludf.DUMMYFUNCTION("""COMPUTED_VALUE"""),"Sin precio neto")</f>
        <v>Sin precio neto</v>
      </c>
    </row>
    <row r="1431">
      <c r="A1431" s="4" t="str">
        <f>IFERROR(__xludf.DUMMYFUNCTION("""COMPUTED_VALUE"""),"2042")</f>
        <v>2042</v>
      </c>
      <c r="B1431" s="4" t="str">
        <f>IFERROR(__xludf.DUMMYFUNCTION("""COMPUTED_VALUE"""),"Display 3 tiralíneas 50 m y 3 botes azulete 1 kg")</f>
        <v>Display 3 tiralíneas 50 m y 3 botes azulete 1 kg</v>
      </c>
      <c r="C1431" s="4">
        <f>IFERROR(__xludf.DUMMYFUNCTION("""COMPUTED_VALUE"""),80.0)</f>
        <v>80</v>
      </c>
      <c r="D1431" s="4"/>
      <c r="E1431" s="4" t="str">
        <f>IFERROR(__xludf.DUMMYFUNCTION("""COMPUTED_VALUE"""),"Sin precio neto")</f>
        <v>Sin precio neto</v>
      </c>
    </row>
    <row r="1432">
      <c r="A1432" s="4" t="str">
        <f>IFERROR(__xludf.DUMMYFUNCTION("""COMPUTED_VALUE"""),"2046")</f>
        <v>2046</v>
      </c>
      <c r="B1432" s="4" t="str">
        <f>IFERROR(__xludf.DUMMYFUNCTION("""COMPUTED_VALUE"""),"Tiralíneas Prático 30 mts con botella azulete")</f>
        <v>Tiralíneas Prático 30 mts con botella azulete</v>
      </c>
      <c r="C1432" s="4">
        <f>IFERROR(__xludf.DUMMYFUNCTION("""COMPUTED_VALUE"""),4.0)</f>
        <v>4</v>
      </c>
      <c r="D1432" s="4"/>
      <c r="E1432" s="4" t="str">
        <f>IFERROR(__xludf.DUMMYFUNCTION("""COMPUTED_VALUE"""),"Sin precio neto")</f>
        <v>Sin precio neto</v>
      </c>
    </row>
    <row r="1433">
      <c r="A1433" s="4" t="str">
        <f>IFERROR(__xludf.DUMMYFUNCTION("""COMPUTED_VALUE"""),"2047")</f>
        <v>2047</v>
      </c>
      <c r="B1433" s="4" t="str">
        <f>IFERROR(__xludf.DUMMYFUNCTION("""COMPUTED_VALUE"""),"Aplicador cinta balizamiento")</f>
        <v>Aplicador cinta balizamiento</v>
      </c>
      <c r="C1433" s="4">
        <f>IFERROR(__xludf.DUMMYFUNCTION("""COMPUTED_VALUE"""),3.0)</f>
        <v>3</v>
      </c>
      <c r="D1433" s="4"/>
      <c r="E1433" s="4" t="str">
        <f>IFERROR(__xludf.DUMMYFUNCTION("""COMPUTED_VALUE"""),"Sin precio neto")</f>
        <v>Sin precio neto</v>
      </c>
    </row>
    <row r="1434">
      <c r="A1434" s="4" t="str">
        <f>IFERROR(__xludf.DUMMYFUNCTION("""COMPUTED_VALUE"""),"2050")</f>
        <v>2050</v>
      </c>
      <c r="B1434" s="4" t="str">
        <f>IFERROR(__xludf.DUMMYFUNCTION("""COMPUTED_VALUE"""),"Toldo polietileno 2x3 verde 120 gr.")</f>
        <v>Toldo polietileno 2x3 verde 120 gr.</v>
      </c>
      <c r="C1434" s="4">
        <f>IFERROR(__xludf.DUMMYFUNCTION("""COMPUTED_VALUE"""),3.95)</f>
        <v>3.95</v>
      </c>
      <c r="D1434" s="4">
        <f>IFERROR(__xludf.DUMMYFUNCTION("""COMPUTED_VALUE"""),3.05)</f>
        <v>3.05</v>
      </c>
      <c r="E1434" s="4" t="str">
        <f>IFERROR(__xludf.DUMMYFUNCTION("""COMPUTED_VALUE"""),"Neto: 3,05 € (a partir de 30 uds.)")</f>
        <v>Neto: 3,05 € (a partir de 30 uds.)</v>
      </c>
    </row>
    <row r="1435">
      <c r="A1435" s="4" t="str">
        <f>IFERROR(__xludf.DUMMYFUNCTION("""COMPUTED_VALUE"""),"2051")</f>
        <v>2051</v>
      </c>
      <c r="B1435" s="4" t="str">
        <f>IFERROR(__xludf.DUMMYFUNCTION("""COMPUTED_VALUE"""),"Toldo polietileno 3x4 verde 120 gr.")</f>
        <v>Toldo polietileno 3x4 verde 120 gr.</v>
      </c>
      <c r="C1435" s="4">
        <f>IFERROR(__xludf.DUMMYFUNCTION("""COMPUTED_VALUE"""),7.75)</f>
        <v>7.75</v>
      </c>
      <c r="D1435" s="4">
        <f>IFERROR(__xludf.DUMMYFUNCTION("""COMPUTED_VALUE"""),6.2)</f>
        <v>6.2</v>
      </c>
      <c r="E1435" s="4" t="str">
        <f>IFERROR(__xludf.DUMMYFUNCTION("""COMPUTED_VALUE"""),"Neto: 6,20 € (a partir de 15 uds.)")</f>
        <v>Neto: 6,20 € (a partir de 15 uds.)</v>
      </c>
    </row>
    <row r="1436">
      <c r="A1436" s="4" t="str">
        <f>IFERROR(__xludf.DUMMYFUNCTION("""COMPUTED_VALUE"""),"2052")</f>
        <v>2052</v>
      </c>
      <c r="B1436" s="4" t="str">
        <f>IFERROR(__xludf.DUMMYFUNCTION("""COMPUTED_VALUE"""),"Toldo polietileno 4x6 verde 120 gr.")</f>
        <v>Toldo polietileno 4x6 verde 120 gr.</v>
      </c>
      <c r="C1436" s="4">
        <f>IFERROR(__xludf.DUMMYFUNCTION("""COMPUTED_VALUE"""),13.9)</f>
        <v>13.9</v>
      </c>
      <c r="D1436" s="4">
        <f>IFERROR(__xludf.DUMMYFUNCTION("""COMPUTED_VALUE"""),11.5)</f>
        <v>11.5</v>
      </c>
      <c r="E1436" s="4" t="str">
        <f>IFERROR(__xludf.DUMMYFUNCTION("""COMPUTED_VALUE"""),"Neto: 11,50 € (a partir de 8 uds.)")</f>
        <v>Neto: 11,50 € (a partir de 8 uds.)</v>
      </c>
    </row>
    <row r="1437">
      <c r="A1437" s="4" t="str">
        <f>IFERROR(__xludf.DUMMYFUNCTION("""COMPUTED_VALUE"""),"2053")</f>
        <v>2053</v>
      </c>
      <c r="B1437" s="4" t="str">
        <f>IFERROR(__xludf.DUMMYFUNCTION("""COMPUTED_VALUE"""),"Toldo polietileno 5x8 verde 120 gr.")</f>
        <v>Toldo polietileno 5x8 verde 120 gr.</v>
      </c>
      <c r="C1437" s="4">
        <f>IFERROR(__xludf.DUMMYFUNCTION("""COMPUTED_VALUE"""),24.5)</f>
        <v>24.5</v>
      </c>
      <c r="D1437" s="4">
        <f>IFERROR(__xludf.DUMMYFUNCTION("""COMPUTED_VALUE"""),17.5)</f>
        <v>17.5</v>
      </c>
      <c r="E1437" s="4" t="str">
        <f>IFERROR(__xludf.DUMMYFUNCTION("""COMPUTED_VALUE"""),"Neto: 17,50 € (a partir de 5 uds.)")</f>
        <v>Neto: 17,50 € (a partir de 5 uds.)</v>
      </c>
    </row>
    <row r="1438">
      <c r="A1438" s="4" t="str">
        <f>IFERROR(__xludf.DUMMYFUNCTION("""COMPUTED_VALUE"""),"2054")</f>
        <v>2054</v>
      </c>
      <c r="B1438" s="4" t="str">
        <f>IFERROR(__xludf.DUMMYFUNCTION("""COMPUTED_VALUE"""),"Toldo polietileno 6x10 verde 120 gr.")</f>
        <v>Toldo polietileno 6x10 verde 120 gr.</v>
      </c>
      <c r="C1438" s="4">
        <f>IFERROR(__xludf.DUMMYFUNCTION("""COMPUTED_VALUE"""),32.5)</f>
        <v>32.5</v>
      </c>
      <c r="D1438" s="4">
        <f>IFERROR(__xludf.DUMMYFUNCTION("""COMPUTED_VALUE"""),26.5)</f>
        <v>26.5</v>
      </c>
      <c r="E1438" s="4" t="str">
        <f>IFERROR(__xludf.DUMMYFUNCTION("""COMPUTED_VALUE"""),"Neto: 26,50 € (a partir de 3 uds.)")</f>
        <v>Neto: 26,50 € (a partir de 3 uds.)</v>
      </c>
    </row>
    <row r="1439">
      <c r="A1439" s="4" t="str">
        <f>IFERROR(__xludf.DUMMYFUNCTION("""COMPUTED_VALUE"""),"2058")</f>
        <v>2058</v>
      </c>
      <c r="B1439" s="4" t="str">
        <f>IFERROR(__xludf.DUMMYFUNCTION("""COMPUTED_VALUE"""),"Toldo polietileno 3x5 azul 80 gr")</f>
        <v>Toldo polietileno 3x5 azul 80 gr</v>
      </c>
      <c r="C1439" s="4">
        <f>IFERROR(__xludf.DUMMYFUNCTION("""COMPUTED_VALUE"""),6.2)</f>
        <v>6.2</v>
      </c>
      <c r="D1439" s="4">
        <f>IFERROR(__xludf.DUMMYFUNCTION("""COMPUTED_VALUE"""),5.3)</f>
        <v>5.3</v>
      </c>
      <c r="E1439" s="4" t="str">
        <f>IFERROR(__xludf.DUMMYFUNCTION("""COMPUTED_VALUE"""),"Neto: 5,30 € (a partir de 20 uds.)")</f>
        <v>Neto: 5,30 € (a partir de 20 uds.)</v>
      </c>
    </row>
    <row r="1440">
      <c r="A1440" s="4" t="str">
        <f>IFERROR(__xludf.DUMMYFUNCTION("""COMPUTED_VALUE"""),"2059")</f>
        <v>2059</v>
      </c>
      <c r="B1440" s="4" t="str">
        <f>IFERROR(__xludf.DUMMYFUNCTION("""COMPUTED_VALUE"""),"Toldo polietileno 4x5 azul 80 gr")</f>
        <v>Toldo polietileno 4x5 azul 80 gr</v>
      </c>
      <c r="C1440" s="4">
        <f>IFERROR(__xludf.DUMMYFUNCTION("""COMPUTED_VALUE"""),10.5)</f>
        <v>10.5</v>
      </c>
      <c r="D1440" s="4">
        <f>IFERROR(__xludf.DUMMYFUNCTION("""COMPUTED_VALUE"""),7.5)</f>
        <v>7.5</v>
      </c>
      <c r="E1440" s="4" t="str">
        <f>IFERROR(__xludf.DUMMYFUNCTION("""COMPUTED_VALUE"""),"Neto: 7,50 € (a partir de 10 uds.)")</f>
        <v>Neto: 7,50 € (a partir de 10 uds.)</v>
      </c>
    </row>
    <row r="1441">
      <c r="A1441" s="4" t="str">
        <f>IFERROR(__xludf.DUMMYFUNCTION("""COMPUTED_VALUE"""),"2060")</f>
        <v>2060</v>
      </c>
      <c r="B1441" s="4" t="str">
        <f>IFERROR(__xludf.DUMMYFUNCTION("""COMPUTED_VALUE"""),"Toldo polietileno 2x3 azul 80 gr.")</f>
        <v>Toldo polietileno 2x3 azul 80 gr.</v>
      </c>
      <c r="C1441" s="4">
        <f>IFERROR(__xludf.DUMMYFUNCTION("""COMPUTED_VALUE"""),2.8)</f>
        <v>2.8</v>
      </c>
      <c r="D1441" s="4">
        <f>IFERROR(__xludf.DUMMYFUNCTION("""COMPUTED_VALUE"""),2.4)</f>
        <v>2.4</v>
      </c>
      <c r="E1441" s="4" t="str">
        <f>IFERROR(__xludf.DUMMYFUNCTION("""COMPUTED_VALUE"""),"Neto: 2,40 € (a partir de 40 uds.)")</f>
        <v>Neto: 2,40 € (a partir de 40 uds.)</v>
      </c>
    </row>
    <row r="1442">
      <c r="A1442" s="4" t="str">
        <f>IFERROR(__xludf.DUMMYFUNCTION("""COMPUTED_VALUE"""),"2061")</f>
        <v>2061</v>
      </c>
      <c r="B1442" s="4" t="str">
        <f>IFERROR(__xludf.DUMMYFUNCTION("""COMPUTED_VALUE"""),"Toldo polietileno 3x4 azul 80 gr.")</f>
        <v>Toldo polietileno 3x4 azul 80 gr.</v>
      </c>
      <c r="C1442" s="4">
        <f>IFERROR(__xludf.DUMMYFUNCTION("""COMPUTED_VALUE"""),4.85)</f>
        <v>4.85</v>
      </c>
      <c r="D1442" s="4">
        <f>IFERROR(__xludf.DUMMYFUNCTION("""COMPUTED_VALUE"""),5.1)</f>
        <v>5.1</v>
      </c>
      <c r="E1442" s="4" t="str">
        <f>IFERROR(__xludf.DUMMYFUNCTION("""COMPUTED_VALUE"""),"Neto: 5,10 € (a partir de 20 uds.)")</f>
        <v>Neto: 5,10 € (a partir de 20 uds.)</v>
      </c>
    </row>
    <row r="1443">
      <c r="A1443" s="4" t="str">
        <f>IFERROR(__xludf.DUMMYFUNCTION("""COMPUTED_VALUE"""),"2062")</f>
        <v>2062</v>
      </c>
      <c r="B1443" s="4" t="str">
        <f>IFERROR(__xludf.DUMMYFUNCTION("""COMPUTED_VALUE"""),"Toldo polietileno 4x6 azul 80 gr")</f>
        <v>Toldo polietileno 4x6 azul 80 gr</v>
      </c>
      <c r="C1443" s="4">
        <f>IFERROR(__xludf.DUMMYFUNCTION("""COMPUTED_VALUE"""),11.3)</f>
        <v>11.3</v>
      </c>
      <c r="D1443" s="4">
        <f>IFERROR(__xludf.DUMMYFUNCTION("""COMPUTED_VALUE"""),8.6)</f>
        <v>8.6</v>
      </c>
      <c r="E1443" s="4" t="str">
        <f>IFERROR(__xludf.DUMMYFUNCTION("""COMPUTED_VALUE"""),"Neto: 8,60 € (a partir de 10 uds.)")</f>
        <v>Neto: 8,60 € (a partir de 10 uds.)</v>
      </c>
    </row>
    <row r="1444">
      <c r="A1444" s="4" t="str">
        <f>IFERROR(__xludf.DUMMYFUNCTION("""COMPUTED_VALUE"""),"2063")</f>
        <v>2063</v>
      </c>
      <c r="B1444" s="4" t="str">
        <f>IFERROR(__xludf.DUMMYFUNCTION("""COMPUTED_VALUE"""),"Toldo polietileno 5x8 azul 80 gr.")</f>
        <v>Toldo polietileno 5x8 azul 80 gr.</v>
      </c>
      <c r="C1444" s="4">
        <f>IFERROR(__xludf.DUMMYFUNCTION("""COMPUTED_VALUE"""),16.95)</f>
        <v>16.95</v>
      </c>
      <c r="D1444" s="4">
        <f>IFERROR(__xludf.DUMMYFUNCTION("""COMPUTED_VALUE"""),13.5)</f>
        <v>13.5</v>
      </c>
      <c r="E1444" s="4" t="str">
        <f>IFERROR(__xludf.DUMMYFUNCTION("""COMPUTED_VALUE"""),"Neto: 13,50 € (a partir de 6 uds.)")</f>
        <v>Neto: 13,50 € (a partir de 6 uds.)</v>
      </c>
    </row>
    <row r="1445">
      <c r="A1445" s="4" t="str">
        <f>IFERROR(__xludf.DUMMYFUNCTION("""COMPUTED_VALUE"""),"2064")</f>
        <v>2064</v>
      </c>
      <c r="B1445" s="4" t="str">
        <f>IFERROR(__xludf.DUMMYFUNCTION("""COMPUTED_VALUE"""),"Toldo polietileno 6x10 azul 80 gr.")</f>
        <v>Toldo polietileno 6x10 azul 80 gr.</v>
      </c>
      <c r="C1445" s="4">
        <f>IFERROR(__xludf.DUMMYFUNCTION("""COMPUTED_VALUE"""),23.5)</f>
        <v>23.5</v>
      </c>
      <c r="D1445" s="4">
        <f>IFERROR(__xludf.DUMMYFUNCTION("""COMPUTED_VALUE"""),19.5)</f>
        <v>19.5</v>
      </c>
      <c r="E1445" s="4" t="str">
        <f>IFERROR(__xludf.DUMMYFUNCTION("""COMPUTED_VALUE"""),"Neto: 19,50 € (a partir de 4 uds.)")</f>
        <v>Neto: 19,50 € (a partir de 4 uds.)</v>
      </c>
    </row>
    <row r="1446">
      <c r="A1446" s="4" t="str">
        <f>IFERROR(__xludf.DUMMYFUNCTION("""COMPUTED_VALUE"""),"2065")</f>
        <v>2065</v>
      </c>
      <c r="B1446" s="4" t="str">
        <f>IFERROR(__xludf.DUMMYFUNCTION("""COMPUTED_VALUE"""),"Toldo polietileno 8x12 azul 80 gr.")</f>
        <v>Toldo polietileno 8x12 azul 80 gr.</v>
      </c>
      <c r="C1446" s="4">
        <f>IFERROR(__xludf.DUMMYFUNCTION("""COMPUTED_VALUE"""),30.1)</f>
        <v>30.1</v>
      </c>
      <c r="D1446" s="4">
        <f>IFERROR(__xludf.DUMMYFUNCTION("""COMPUTED_VALUE"""),32.5)</f>
        <v>32.5</v>
      </c>
      <c r="E1446" s="4" t="str">
        <f>IFERROR(__xludf.DUMMYFUNCTION("""COMPUTED_VALUE"""),"Neto: 32,50 € (a partir de 2 uds.)")</f>
        <v>Neto: 32,50 € (a partir de 2 uds.)</v>
      </c>
    </row>
    <row r="1447">
      <c r="A1447" s="4" t="str">
        <f>IFERROR(__xludf.DUMMYFUNCTION("""COMPUTED_VALUE"""),"2066")</f>
        <v>2066</v>
      </c>
      <c r="B1447" s="4" t="str">
        <f>IFERROR(__xludf.DUMMYFUNCTION("""COMPUTED_VALUE"""),"Toldo polietileno 10x15 azul 80 gr.")</f>
        <v>Toldo polietileno 10x15 azul 80 gr.</v>
      </c>
      <c r="C1447" s="4">
        <f>IFERROR(__xludf.DUMMYFUNCTION("""COMPUTED_VALUE"""),42.0)</f>
        <v>42</v>
      </c>
      <c r="D1447" s="4">
        <f>IFERROR(__xludf.DUMMYFUNCTION("""COMPUTED_VALUE"""),38.5)</f>
        <v>38.5</v>
      </c>
      <c r="E1447" s="4" t="str">
        <f>IFERROR(__xludf.DUMMYFUNCTION("""COMPUTED_VALUE"""),"Neto: 38,50 € (a partir de 1 uds.)")</f>
        <v>Neto: 38,50 € (a partir de 1 uds.)</v>
      </c>
    </row>
    <row r="1448">
      <c r="A1448" s="4" t="str">
        <f>IFERROR(__xludf.DUMMYFUNCTION("""COMPUTED_VALUE"""),"2101")</f>
        <v>2101</v>
      </c>
      <c r="B1448" s="4" t="str">
        <f>IFERROR(__xludf.DUMMYFUNCTION("""COMPUTED_VALUE"""),"Baliza solar amarilla para cono")</f>
        <v>Baliza solar amarilla para cono</v>
      </c>
      <c r="C1448" s="4">
        <f>IFERROR(__xludf.DUMMYFUNCTION("""COMPUTED_VALUE"""),19.95)</f>
        <v>19.95</v>
      </c>
      <c r="D1448" s="4"/>
      <c r="E1448" s="4" t="str">
        <f>IFERROR(__xludf.DUMMYFUNCTION("""COMPUTED_VALUE"""),"Sin precio neto")</f>
        <v>Sin precio neto</v>
      </c>
    </row>
    <row r="1449">
      <c r="A1449" s="4" t="str">
        <f>IFERROR(__xludf.DUMMYFUNCTION("""COMPUTED_VALUE"""),"2102")</f>
        <v>2102</v>
      </c>
      <c r="B1449" s="4" t="str">
        <f>IFERROR(__xludf.DUMMYFUNCTION("""COMPUTED_VALUE"""),"Baliza Solar Roja para cono")</f>
        <v>Baliza Solar Roja para cono</v>
      </c>
      <c r="C1449" s="4">
        <f>IFERROR(__xludf.DUMMYFUNCTION("""COMPUTED_VALUE"""),19.95)</f>
        <v>19.95</v>
      </c>
      <c r="D1449" s="4"/>
      <c r="E1449" s="4" t="str">
        <f>IFERROR(__xludf.DUMMYFUNCTION("""COMPUTED_VALUE"""),"Sin precio neto")</f>
        <v>Sin precio neto</v>
      </c>
    </row>
    <row r="1450">
      <c r="A1450" s="4" t="str">
        <f>IFERROR(__xludf.DUMMYFUNCTION("""COMPUTED_VALUE"""),"2134")</f>
        <v>2134</v>
      </c>
      <c r="B1450" s="4" t="str">
        <f>IFERROR(__xludf.DUMMYFUNCTION("""COMPUTED_VALUE"""),"Tope parking Mod D 183 cm")</f>
        <v>Tope parking Mod D 183 cm</v>
      </c>
      <c r="C1450" s="4">
        <f>IFERROR(__xludf.DUMMYFUNCTION("""COMPUTED_VALUE"""),35.09)</f>
        <v>35.09</v>
      </c>
      <c r="D1450" s="4"/>
      <c r="E1450" s="4" t="str">
        <f>IFERROR(__xludf.DUMMYFUNCTION("""COMPUTED_VALUE"""),"Sin precio neto")</f>
        <v>Sin precio neto</v>
      </c>
    </row>
    <row r="1451">
      <c r="A1451" s="4" t="str">
        <f>IFERROR(__xludf.DUMMYFUNCTION("""COMPUTED_VALUE"""),"2151")</f>
        <v>2151</v>
      </c>
      <c r="B1451" s="4" t="str">
        <f>IFERROR(__xludf.DUMMYFUNCTION("""COMPUTED_VALUE"""),"Separador Carril 75 cm + base")</f>
        <v>Separador Carril 75 cm + base</v>
      </c>
      <c r="C1451" s="4">
        <f>IFERROR(__xludf.DUMMYFUNCTION("""COMPUTED_VALUE"""),31.0)</f>
        <v>31</v>
      </c>
      <c r="D1451" s="4"/>
      <c r="E1451" s="4" t="str">
        <f>IFERROR(__xludf.DUMMYFUNCTION("""COMPUTED_VALUE"""),"Sin precio neto")</f>
        <v>Sin precio neto</v>
      </c>
    </row>
    <row r="1452">
      <c r="A1452" s="4" t="str">
        <f>IFERROR(__xludf.DUMMYFUNCTION("""COMPUTED_VALUE"""),"2234")</f>
        <v>2234</v>
      </c>
      <c r="B1452" s="4" t="str">
        <f>IFERROR(__xludf.DUMMYFUNCTION("""COMPUTED_VALUE"""),"Botella azulete 1Kg. Extra")</f>
        <v>Botella azulete 1Kg. Extra</v>
      </c>
      <c r="C1452" s="4">
        <f>IFERROR(__xludf.DUMMYFUNCTION("""COMPUTED_VALUE"""),4.35)</f>
        <v>4.35</v>
      </c>
      <c r="D1452" s="4"/>
      <c r="E1452" s="4" t="str">
        <f>IFERROR(__xludf.DUMMYFUNCTION("""COMPUTED_VALUE"""),"Sin precio neto")</f>
        <v>Sin precio neto</v>
      </c>
    </row>
    <row r="1453">
      <c r="A1453" s="4" t="str">
        <f>IFERROR(__xludf.DUMMYFUNCTION("""COMPUTED_VALUE"""),"2235")</f>
        <v>2235</v>
      </c>
      <c r="B1453" s="4" t="str">
        <f>IFERROR(__xludf.DUMMYFUNCTION("""COMPUTED_VALUE"""),"Botella azulete 1Kg. Super Extra")</f>
        <v>Botella azulete 1Kg. Super Extra</v>
      </c>
      <c r="C1453" s="4">
        <f>IFERROR(__xludf.DUMMYFUNCTION("""COMPUTED_VALUE"""),5.7)</f>
        <v>5.7</v>
      </c>
      <c r="D1453" s="4"/>
      <c r="E1453" s="4" t="str">
        <f>IFERROR(__xludf.DUMMYFUNCTION("""COMPUTED_VALUE"""),"Sin precio neto")</f>
        <v>Sin precio neto</v>
      </c>
    </row>
    <row r="1454">
      <c r="A1454" s="4" t="str">
        <f>IFERROR(__xludf.DUMMYFUNCTION("""COMPUTED_VALUE"""),"2236")</f>
        <v>2236</v>
      </c>
      <c r="B1454" s="4" t="str">
        <f>IFERROR(__xludf.DUMMYFUNCTION("""COMPUTED_VALUE"""),"Botella 200 gr. polvo fluo verde")</f>
        <v>Botella 200 gr. polvo fluo verde</v>
      </c>
      <c r="C1454" s="4">
        <f>IFERROR(__xludf.DUMMYFUNCTION("""COMPUTED_VALUE"""),3.8)</f>
        <v>3.8</v>
      </c>
      <c r="D1454" s="4"/>
      <c r="E1454" s="4" t="str">
        <f>IFERROR(__xludf.DUMMYFUNCTION("""COMPUTED_VALUE"""),"Sin precio neto")</f>
        <v>Sin precio neto</v>
      </c>
    </row>
    <row r="1455">
      <c r="A1455" s="4" t="str">
        <f>IFERROR(__xludf.DUMMYFUNCTION("""COMPUTED_VALUE"""),"2237")</f>
        <v>2237</v>
      </c>
      <c r="B1455" s="4" t="str">
        <f>IFERROR(__xludf.DUMMYFUNCTION("""COMPUTED_VALUE"""),"Botella 200 gr. polvo fluo naranja")</f>
        <v>Botella 200 gr. polvo fluo naranja</v>
      </c>
      <c r="C1455" s="4">
        <f>IFERROR(__xludf.DUMMYFUNCTION("""COMPUTED_VALUE"""),3.8)</f>
        <v>3.8</v>
      </c>
      <c r="D1455" s="4"/>
      <c r="E1455" s="4" t="str">
        <f>IFERROR(__xludf.DUMMYFUNCTION("""COMPUTED_VALUE"""),"Sin precio neto")</f>
        <v>Sin precio neto</v>
      </c>
    </row>
    <row r="1456">
      <c r="A1456" s="4" t="str">
        <f>IFERROR(__xludf.DUMMYFUNCTION("""COMPUTED_VALUE"""),"2238")</f>
        <v>2238</v>
      </c>
      <c r="B1456" s="4" t="str">
        <f>IFERROR(__xludf.DUMMYFUNCTION("""COMPUTED_VALUE"""),"Azulete Gaviota caja 1 Kg")</f>
        <v>Azulete Gaviota caja 1 Kg</v>
      </c>
      <c r="C1456" s="4">
        <f>IFERROR(__xludf.DUMMYFUNCTION("""COMPUTED_VALUE"""),16.0)</f>
        <v>16</v>
      </c>
      <c r="D1456" s="4"/>
      <c r="E1456" s="4" t="str">
        <f>IFERROR(__xludf.DUMMYFUNCTION("""COMPUTED_VALUE"""),"Sin precio neto")</f>
        <v>Sin precio neto</v>
      </c>
    </row>
    <row r="1457">
      <c r="A1457" s="4" t="str">
        <f>IFERROR(__xludf.DUMMYFUNCTION("""COMPUTED_VALUE"""),"2240")</f>
        <v>2240</v>
      </c>
      <c r="B1457" s="4" t="str">
        <f>IFERROR(__xludf.DUMMYFUNCTION("""COMPUTED_VALUE"""),"Tiralíneas Gigante 50 Mts.")</f>
        <v>Tiralíneas Gigante 50 Mts.</v>
      </c>
      <c r="C1457" s="4">
        <f>IFERROR(__xludf.DUMMYFUNCTION("""COMPUTED_VALUE"""),33.25)</f>
        <v>33.25</v>
      </c>
      <c r="D1457" s="4"/>
      <c r="E1457" s="4" t="str">
        <f>IFERROR(__xludf.DUMMYFUNCTION("""COMPUTED_VALUE"""),"Sin precio neto")</f>
        <v>Sin precio neto</v>
      </c>
    </row>
    <row r="1458">
      <c r="A1458" s="4" t="str">
        <f>IFERROR(__xludf.DUMMYFUNCTION("""COMPUTED_VALUE"""),"2241")</f>
        <v>2241</v>
      </c>
      <c r="B1458" s="4" t="str">
        <f>IFERROR(__xludf.DUMMYFUNCTION("""COMPUTED_VALUE"""),"Tiralíneas plastico 30 mt + botella polvo 100 gr")</f>
        <v>Tiralíneas plastico 30 mt + botella polvo 100 gr</v>
      </c>
      <c r="C1458" s="4">
        <f>IFERROR(__xludf.DUMMYFUNCTION("""COMPUTED_VALUE"""),3.25)</f>
        <v>3.25</v>
      </c>
      <c r="D1458" s="4"/>
      <c r="E1458" s="4" t="str">
        <f>IFERROR(__xludf.DUMMYFUNCTION("""COMPUTED_VALUE"""),"Sin precio neto")</f>
        <v>Sin precio neto</v>
      </c>
    </row>
    <row r="1459">
      <c r="A1459" s="4" t="str">
        <f>IFERROR(__xludf.DUMMYFUNCTION("""COMPUTED_VALUE"""),"2242")</f>
        <v>2242</v>
      </c>
      <c r="B1459" s="4" t="str">
        <f>IFERROR(__xludf.DUMMYFUNCTION("""COMPUTED_VALUE"""),"Tiralíneas aluminio 30 Mts")</f>
        <v>Tiralíneas aluminio 30 Mts</v>
      </c>
      <c r="C1459" s="4">
        <f>IFERROR(__xludf.DUMMYFUNCTION("""COMPUTED_VALUE"""),3.6)</f>
        <v>3.6</v>
      </c>
      <c r="D1459" s="4"/>
      <c r="E1459" s="4" t="str">
        <f>IFERROR(__xludf.DUMMYFUNCTION("""COMPUTED_VALUE"""),"Sin precio neto")</f>
        <v>Sin precio neto</v>
      </c>
    </row>
    <row r="1460">
      <c r="A1460" s="4" t="str">
        <f>IFERROR(__xludf.DUMMYFUNCTION("""COMPUTED_VALUE"""),"2244")</f>
        <v>2244</v>
      </c>
      <c r="B1460" s="4" t="str">
        <f>IFERROR(__xludf.DUMMYFUNCTION("""COMPUTED_VALUE"""),"Expositor 12 tiralineas Normo 30 metros + 12 botes polvo 100")</f>
        <v>Expositor 12 tiralineas Normo 30 metros + 12 botes polvo 100</v>
      </c>
      <c r="C1460" s="4">
        <f>IFERROR(__xludf.DUMMYFUNCTION("""COMPUTED_VALUE"""),49.4)</f>
        <v>49.4</v>
      </c>
      <c r="D1460" s="4"/>
      <c r="E1460" s="4" t="str">
        <f>IFERROR(__xludf.DUMMYFUNCTION("""COMPUTED_VALUE"""),"Sin precio neto")</f>
        <v>Sin precio neto</v>
      </c>
    </row>
    <row r="1461">
      <c r="A1461" s="4" t="str">
        <f>IFERROR(__xludf.DUMMYFUNCTION("""COMPUTED_VALUE"""),"2245")</f>
        <v>2245</v>
      </c>
      <c r="B1461" s="4" t="str">
        <f>IFERROR(__xludf.DUMMYFUNCTION("""COMPUTED_VALUE"""),"Tiralineas Magnum 50 metros")</f>
        <v>Tiralineas Magnum 50 metros</v>
      </c>
      <c r="C1461" s="4">
        <f>IFERROR(__xludf.DUMMYFUNCTION("""COMPUTED_VALUE"""),33.6)</f>
        <v>33.6</v>
      </c>
      <c r="D1461" s="4"/>
      <c r="E1461" s="4" t="str">
        <f>IFERROR(__xludf.DUMMYFUNCTION("""COMPUTED_VALUE"""),"Sin precio neto")</f>
        <v>Sin precio neto</v>
      </c>
    </row>
    <row r="1462">
      <c r="A1462" s="4" t="str">
        <f>IFERROR(__xludf.DUMMYFUNCTION("""COMPUTED_VALUE"""),"2413")</f>
        <v>2413</v>
      </c>
      <c r="B1462" s="4" t="str">
        <f>IFERROR(__xludf.DUMMYFUNCTION("""COMPUTED_VALUE"""),"Frotas esponja naranja g. GRUESO 280x140x20 (024PA)")</f>
        <v>Frotas esponja naranja g. GRUESO 280x140x20 (024PA)</v>
      </c>
      <c r="C1462" s="4">
        <f>IFERROR(__xludf.DUMMYFUNCTION("""COMPUTED_VALUE"""),6.5)</f>
        <v>6.5</v>
      </c>
      <c r="D1462" s="4"/>
      <c r="E1462" s="4" t="str">
        <f>IFERROR(__xludf.DUMMYFUNCTION("""COMPUTED_VALUE"""),"Sin precio neto")</f>
        <v>Sin precio neto</v>
      </c>
    </row>
    <row r="1463">
      <c r="A1463" s="4" t="str">
        <f>IFERROR(__xludf.DUMMYFUNCTION("""COMPUTED_VALUE"""),"2414")</f>
        <v>2414</v>
      </c>
      <c r="B1463" s="4" t="str">
        <f>IFERROR(__xludf.DUMMYFUNCTION("""COMPUTED_VALUE"""),"Frotas esponja Azul 280x140x14 grano FINO (024PB)")</f>
        <v>Frotas esponja Azul 280x140x14 grano FINO (024PB)</v>
      </c>
      <c r="C1463" s="4">
        <f>IFERROR(__xludf.DUMMYFUNCTION("""COMPUTED_VALUE"""),5.95)</f>
        <v>5.95</v>
      </c>
      <c r="D1463" s="4"/>
      <c r="E1463" s="4" t="str">
        <f>IFERROR(__xludf.DUMMYFUNCTION("""COMPUTED_VALUE"""),"Sin precio neto")</f>
        <v>Sin precio neto</v>
      </c>
    </row>
    <row r="1464">
      <c r="A1464" s="4" t="str">
        <f>IFERROR(__xludf.DUMMYFUNCTION("""COMPUTED_VALUE"""),"2507")</f>
        <v>2507</v>
      </c>
      <c r="B1464" s="4" t="str">
        <f>IFERROR(__xludf.DUMMYFUNCTION("""COMPUTED_VALUE"""),"Hito flexible Naranja 30 cm")</f>
        <v>Hito flexible Naranja 30 cm</v>
      </c>
      <c r="C1464" s="4">
        <f>IFERROR(__xludf.DUMMYFUNCTION("""COMPUTED_VALUE"""),7.9)</f>
        <v>7.9</v>
      </c>
      <c r="D1464" s="4"/>
      <c r="E1464" s="4" t="str">
        <f>IFERROR(__xludf.DUMMYFUNCTION("""COMPUTED_VALUE"""),"Sin precio neto")</f>
        <v>Sin precio neto</v>
      </c>
    </row>
    <row r="1465">
      <c r="A1465" s="4" t="str">
        <f>IFERROR(__xludf.DUMMYFUNCTION("""COMPUTED_VALUE"""),"2518")</f>
        <v>2518</v>
      </c>
      <c r="B1465" s="4" t="str">
        <f>IFERROR(__xludf.DUMMYFUNCTION("""COMPUTED_VALUE"""),"Hito flexible Naranja 100 cm")</f>
        <v>Hito flexible Naranja 100 cm</v>
      </c>
      <c r="C1465" s="4">
        <f>IFERROR(__xludf.DUMMYFUNCTION("""COMPUTED_VALUE"""),16.0)</f>
        <v>16</v>
      </c>
      <c r="D1465" s="4"/>
      <c r="E1465" s="4" t="str">
        <f>IFERROR(__xludf.DUMMYFUNCTION("""COMPUTED_VALUE"""),"Sin precio neto")</f>
        <v>Sin precio neto</v>
      </c>
    </row>
    <row r="1466">
      <c r="A1466" s="4" t="str">
        <f>IFERROR(__xludf.DUMMYFUNCTION("""COMPUTED_VALUE"""),"2519")</f>
        <v>2519</v>
      </c>
      <c r="B1466" s="4" t="str">
        <f>IFERROR(__xludf.DUMMYFUNCTION("""COMPUTED_VALUE"""),"Frotas esponja naranja grano medio 22x14 (018A)")</f>
        <v>Frotas esponja naranja grano medio 22x14 (018A)</v>
      </c>
      <c r="C1466" s="4">
        <f>IFERROR(__xludf.DUMMYFUNCTION("""COMPUTED_VALUE"""),4.9)</f>
        <v>4.9</v>
      </c>
      <c r="D1466" s="4"/>
      <c r="E1466" s="4" t="str">
        <f>IFERROR(__xludf.DUMMYFUNCTION("""COMPUTED_VALUE"""),"Sin precio neto")</f>
        <v>Sin precio neto</v>
      </c>
    </row>
    <row r="1467">
      <c r="A1467" s="4" t="str">
        <f>IFERROR(__xludf.DUMMYFUNCTION("""COMPUTED_VALUE"""),"2520")</f>
        <v>2520</v>
      </c>
      <c r="B1467" s="4" t="str">
        <f>IFERROR(__xludf.DUMMYFUNCTION("""COMPUTED_VALUE"""),"Frotas esponja azul grano fino 22x14 (018B)")</f>
        <v>Frotas esponja azul grano fino 22x14 (018B)</v>
      </c>
      <c r="C1467" s="4">
        <f>IFERROR(__xludf.DUMMYFUNCTION("""COMPUTED_VALUE"""),4.9)</f>
        <v>4.9</v>
      </c>
      <c r="D1467" s="4"/>
      <c r="E1467" s="4" t="str">
        <f>IFERROR(__xludf.DUMMYFUNCTION("""COMPUTED_VALUE"""),"Sin precio neto")</f>
        <v>Sin precio neto</v>
      </c>
    </row>
    <row r="1468">
      <c r="A1468" s="4" t="str">
        <f>IFERROR(__xludf.DUMMYFUNCTION("""COMPUTED_VALUE"""),"2530")</f>
        <v>2530</v>
      </c>
      <c r="B1468" s="4" t="str">
        <f>IFERROR(__xludf.DUMMYFUNCTION("""COMPUTED_VALUE"""),"Juego rodilleras alicatador")</f>
        <v>Juego rodilleras alicatador</v>
      </c>
      <c r="C1468" s="4">
        <f>IFERROR(__xludf.DUMMYFUNCTION("""COMPUTED_VALUE"""),4.8)</f>
        <v>4.8</v>
      </c>
      <c r="D1468" s="4"/>
      <c r="E1468" s="4" t="str">
        <f>IFERROR(__xludf.DUMMYFUNCTION("""COMPUTED_VALUE"""),"Sin precio neto")</f>
        <v>Sin precio neto</v>
      </c>
    </row>
    <row r="1469">
      <c r="A1469" s="4" t="str">
        <f>IFERROR(__xludf.DUMMYFUNCTION("""COMPUTED_VALUE"""),"2575Z")</f>
        <v>2575Z</v>
      </c>
      <c r="B1469" s="4" t="str">
        <f>IFERROR(__xludf.DUMMYFUNCTION("""COMPUTED_VALUE"""),"Rollo cuerda azul trazadora de 100 mts")</f>
        <v>Rollo cuerda azul trazadora de 100 mts</v>
      </c>
      <c r="C1469" s="4">
        <f>IFERROR(__xludf.DUMMYFUNCTION("""COMPUTED_VALUE"""),2.62)</f>
        <v>2.62</v>
      </c>
      <c r="D1469" s="4"/>
      <c r="E1469" s="4" t="str">
        <f>IFERROR(__xludf.DUMMYFUNCTION("""COMPUTED_VALUE"""),"Sin precio neto")</f>
        <v>Sin precio neto</v>
      </c>
    </row>
    <row r="1470">
      <c r="A1470" s="4" t="str">
        <f>IFERROR(__xludf.DUMMYFUNCTION("""COMPUTED_VALUE"""),"2601")</f>
        <v>2601</v>
      </c>
      <c r="B1470" s="4" t="str">
        <f>IFERROR(__xludf.DUMMYFUNCTION("""COMPUTED_VALUE"""),"Hito Direccion Obligatoria 85 cm")</f>
        <v>Hito Direccion Obligatoria 85 cm</v>
      </c>
      <c r="C1470" s="4">
        <f>IFERROR(__xludf.DUMMYFUNCTION("""COMPUTED_VALUE"""),22.75)</f>
        <v>22.75</v>
      </c>
      <c r="D1470" s="4"/>
      <c r="E1470" s="4" t="str">
        <f>IFERROR(__xludf.DUMMYFUNCTION("""COMPUTED_VALUE"""),"Sin precio neto")</f>
        <v>Sin precio neto</v>
      </c>
    </row>
    <row r="1471">
      <c r="A1471" s="4" t="str">
        <f>IFERROR(__xludf.DUMMYFUNCTION("""COMPUTED_VALUE"""),"2601P")</f>
        <v>2601P</v>
      </c>
      <c r="B1471" s="4" t="str">
        <f>IFERROR(__xludf.DUMMYFUNCTION("""COMPUTED_VALUE"""),"Hito flexible personalizable")</f>
        <v>Hito flexible personalizable</v>
      </c>
      <c r="C1471" s="4">
        <f>IFERROR(__xludf.DUMMYFUNCTION("""COMPUTED_VALUE"""),24.25)</f>
        <v>24.25</v>
      </c>
      <c r="D1471" s="4"/>
      <c r="E1471" s="4" t="str">
        <f>IFERROR(__xludf.DUMMYFUNCTION("""COMPUTED_VALUE"""),"Sin precio neto")</f>
        <v>Sin precio neto</v>
      </c>
    </row>
    <row r="1472">
      <c r="A1472" s="4" t="str">
        <f>IFERROR(__xludf.DUMMYFUNCTION("""COMPUTED_VALUE"""),"2674")</f>
        <v>2674</v>
      </c>
      <c r="B1472" s="4" t="str">
        <f>IFERROR(__xludf.DUMMYFUNCTION("""COMPUTED_VALUE"""),"Rollo cuerda blanca trazadora de 50 mts")</f>
        <v>Rollo cuerda blanca trazadora de 50 mts</v>
      </c>
      <c r="C1472" s="4">
        <f>IFERROR(__xludf.DUMMYFUNCTION("""COMPUTED_VALUE"""),1.27)</f>
        <v>1.27</v>
      </c>
      <c r="D1472" s="4"/>
      <c r="E1472" s="4" t="str">
        <f>IFERROR(__xludf.DUMMYFUNCTION("""COMPUTED_VALUE"""),"Sin precio neto")</f>
        <v>Sin precio neto</v>
      </c>
    </row>
    <row r="1473">
      <c r="A1473" s="4" t="str">
        <f>IFERROR(__xludf.DUMMYFUNCTION("""COMPUTED_VALUE"""),"2674Z")</f>
        <v>2674Z</v>
      </c>
      <c r="B1473" s="4" t="str">
        <f>IFERROR(__xludf.DUMMYFUNCTION("""COMPUTED_VALUE"""),"Rollo cuerda azul trazadora de 50 mts")</f>
        <v>Rollo cuerda azul trazadora de 50 mts</v>
      </c>
      <c r="C1473" s="4">
        <f>IFERROR(__xludf.DUMMYFUNCTION("""COMPUTED_VALUE"""),1.27)</f>
        <v>1.27</v>
      </c>
      <c r="D1473" s="4"/>
      <c r="E1473" s="4" t="str">
        <f>IFERROR(__xludf.DUMMYFUNCTION("""COMPUTED_VALUE"""),"Sin precio neto")</f>
        <v>Sin precio neto</v>
      </c>
    </row>
    <row r="1474">
      <c r="A1474" s="4" t="str">
        <f>IFERROR(__xludf.DUMMYFUNCTION("""COMPUTED_VALUE"""),"2675")</f>
        <v>2675</v>
      </c>
      <c r="B1474" s="4" t="str">
        <f>IFERROR(__xludf.DUMMYFUNCTION("""COMPUTED_VALUE"""),"Rollo cuerda blanca trazadora de 100 mts.")</f>
        <v>Rollo cuerda blanca trazadora de 100 mts.</v>
      </c>
      <c r="C1474" s="4">
        <f>IFERROR(__xludf.DUMMYFUNCTION("""COMPUTED_VALUE"""),2.62)</f>
        <v>2.62</v>
      </c>
      <c r="D1474" s="4"/>
      <c r="E1474" s="4" t="str">
        <f>IFERROR(__xludf.DUMMYFUNCTION("""COMPUTED_VALUE"""),"Sin precio neto")</f>
        <v>Sin precio neto</v>
      </c>
    </row>
    <row r="1475">
      <c r="A1475" s="4" t="str">
        <f>IFERROR(__xludf.DUMMYFUNCTION("""COMPUTED_VALUE"""),"2675Z")</f>
        <v>2675Z</v>
      </c>
      <c r="B1475" s="4" t="str">
        <f>IFERROR(__xludf.DUMMYFUNCTION("""COMPUTED_VALUE"""),"Rollo cuerda azul trazadora de 100 mts")</f>
        <v>Rollo cuerda azul trazadora de 100 mts</v>
      </c>
      <c r="C1475" s="4">
        <f>IFERROR(__xludf.DUMMYFUNCTION("""COMPUTED_VALUE"""),2.62)</f>
        <v>2.62</v>
      </c>
      <c r="D1475" s="4"/>
      <c r="E1475" s="4" t="str">
        <f>IFERROR(__xludf.DUMMYFUNCTION("""COMPUTED_VALUE"""),"Sin precio neto")</f>
        <v>Sin precio neto</v>
      </c>
    </row>
    <row r="1476">
      <c r="A1476" s="4" t="str">
        <f>IFERROR(__xludf.DUMMYFUNCTION("""COMPUTED_VALUE"""),"2676")</f>
        <v>2676</v>
      </c>
      <c r="B1476" s="4" t="str">
        <f>IFERROR(__xludf.DUMMYFUNCTION("""COMPUTED_VALUE"""),"Rollo cuerda blanca trazadora de 200 mts.")</f>
        <v>Rollo cuerda blanca trazadora de 200 mts.</v>
      </c>
      <c r="C1476" s="4">
        <f>IFERROR(__xludf.DUMMYFUNCTION("""COMPUTED_VALUE"""),4.6)</f>
        <v>4.6</v>
      </c>
      <c r="D1476" s="4"/>
      <c r="E1476" s="4" t="str">
        <f>IFERROR(__xludf.DUMMYFUNCTION("""COMPUTED_VALUE"""),"Sin precio neto")</f>
        <v>Sin precio neto</v>
      </c>
    </row>
    <row r="1477">
      <c r="A1477" s="4" t="str">
        <f>IFERROR(__xludf.DUMMYFUNCTION("""COMPUTED_VALUE"""),"2676Z")</f>
        <v>2676Z</v>
      </c>
      <c r="B1477" s="4" t="str">
        <f>IFERROR(__xludf.DUMMYFUNCTION("""COMPUTED_VALUE"""),"Rollo cuerda azul trazadora de 200 mts.")</f>
        <v>Rollo cuerda azul trazadora de 200 mts.</v>
      </c>
      <c r="C1477" s="4">
        <f>IFERROR(__xludf.DUMMYFUNCTION("""COMPUTED_VALUE"""),4.6)</f>
        <v>4.6</v>
      </c>
      <c r="D1477" s="4"/>
      <c r="E1477" s="4" t="str">
        <f>IFERROR(__xludf.DUMMYFUNCTION("""COMPUTED_VALUE"""),"Sin precio neto")</f>
        <v>Sin precio neto</v>
      </c>
    </row>
    <row r="1478">
      <c r="A1478" s="4" t="str">
        <f>IFERROR(__xludf.DUMMYFUNCTION("""COMPUTED_VALUE"""),"2677")</f>
        <v>2677</v>
      </c>
      <c r="B1478" s="4" t="str">
        <f>IFERROR(__xludf.DUMMYFUNCTION("""COMPUTED_VALUE"""),"Rollo cuerda blanca trazadora de 500 mts.")</f>
        <v>Rollo cuerda blanca trazadora de 500 mts.</v>
      </c>
      <c r="C1478" s="4">
        <f>IFERROR(__xludf.DUMMYFUNCTION("""COMPUTED_VALUE"""),12.62)</f>
        <v>12.62</v>
      </c>
      <c r="D1478" s="4"/>
      <c r="E1478" s="4" t="str">
        <f>IFERROR(__xludf.DUMMYFUNCTION("""COMPUTED_VALUE"""),"Sin precio neto")</f>
        <v>Sin precio neto</v>
      </c>
    </row>
    <row r="1479">
      <c r="A1479" s="4" t="str">
        <f>IFERROR(__xludf.DUMMYFUNCTION("""COMPUTED_VALUE"""),"2677Z")</f>
        <v>2677Z</v>
      </c>
      <c r="B1479" s="4" t="str">
        <f>IFERROR(__xludf.DUMMYFUNCTION("""COMPUTED_VALUE"""),"Rollo cuerda azul trazadora de 500 mts.")</f>
        <v>Rollo cuerda azul trazadora de 500 mts.</v>
      </c>
      <c r="C1479" s="4">
        <f>IFERROR(__xludf.DUMMYFUNCTION("""COMPUTED_VALUE"""),12.62)</f>
        <v>12.62</v>
      </c>
      <c r="D1479" s="4"/>
      <c r="E1479" s="4" t="str">
        <f>IFERROR(__xludf.DUMMYFUNCTION("""COMPUTED_VALUE"""),"Sin precio neto")</f>
        <v>Sin precio neto</v>
      </c>
    </row>
    <row r="1480">
      <c r="A1480" s="4" t="str">
        <f>IFERROR(__xludf.DUMMYFUNCTION("""COMPUTED_VALUE"""),"2700")</f>
        <v>2700</v>
      </c>
      <c r="B1480" s="4" t="str">
        <f>IFERROR(__xludf.DUMMYFUNCTION("""COMPUTED_VALUE"""),"Caldereta obra 15 L.")</f>
        <v>Caldereta obra 15 L.</v>
      </c>
      <c r="C1480" s="4">
        <f>IFERROR(__xludf.DUMMYFUNCTION("""COMPUTED_VALUE"""),2.52)</f>
        <v>2.52</v>
      </c>
      <c r="D1480" s="4">
        <f>IFERROR(__xludf.DUMMYFUNCTION("""COMPUTED_VALUE"""),1.95)</f>
        <v>1.95</v>
      </c>
      <c r="E1480" s="4" t="str">
        <f>IFERROR(__xludf.DUMMYFUNCTION("""COMPUTED_VALUE"""),"Neto: 1,95 € (a partir de 15 uds.)")</f>
        <v>Neto: 1,95 € (a partir de 15 uds.)</v>
      </c>
    </row>
    <row r="1481">
      <c r="A1481" s="4" t="str">
        <f>IFERROR(__xludf.DUMMYFUNCTION("""COMPUTED_VALUE"""),"2701")</f>
        <v>2701</v>
      </c>
      <c r="B1481" s="4" t="str">
        <f>IFERROR(__xludf.DUMMYFUNCTION("""COMPUTED_VALUE"""),"Cubeta pintura azul 16 con rejilla")</f>
        <v>Cubeta pintura azul 16 con rejilla</v>
      </c>
      <c r="C1481" s="4">
        <f>IFERROR(__xludf.DUMMYFUNCTION("""COMPUTED_VALUE"""),3.1)</f>
        <v>3.1</v>
      </c>
      <c r="D1481" s="4"/>
      <c r="E1481" s="4" t="str">
        <f>IFERROR(__xludf.DUMMYFUNCTION("""COMPUTED_VALUE"""),"Sin precio neto")</f>
        <v>Sin precio neto</v>
      </c>
    </row>
    <row r="1482">
      <c r="A1482" s="4" t="str">
        <f>IFERROR(__xludf.DUMMYFUNCTION("""COMPUTED_VALUE"""),"2701R")</f>
        <v>2701R</v>
      </c>
      <c r="B1482" s="4" t="str">
        <f>IFERROR(__xludf.DUMMYFUNCTION("""COMPUTED_VALUE"""),"Rejilla para cubeta pintura 16")</f>
        <v>Rejilla para cubeta pintura 16</v>
      </c>
      <c r="C1482" s="4">
        <f>IFERROR(__xludf.DUMMYFUNCTION("""COMPUTED_VALUE"""),0.6)</f>
        <v>0.6</v>
      </c>
      <c r="D1482" s="4"/>
      <c r="E1482" s="4" t="str">
        <f>IFERROR(__xludf.DUMMYFUNCTION("""COMPUTED_VALUE"""),"Sin precio neto")</f>
        <v>Sin precio neto</v>
      </c>
    </row>
    <row r="1483">
      <c r="A1483" s="4" t="str">
        <f>IFERROR(__xludf.DUMMYFUNCTION("""COMPUTED_VALUE"""),"270222B")</f>
        <v>270222B</v>
      </c>
      <c r="B1483" s="4" t="str">
        <f>IFERROR(__xludf.DUMMYFUNCTION("""COMPUTED_VALUE"""),"Capazo de goma 22 l Blanco")</f>
        <v>Capazo de goma 22 l Blanco</v>
      </c>
      <c r="C1483" s="4">
        <f>IFERROR(__xludf.DUMMYFUNCTION("""COMPUTED_VALUE"""),1.95)</f>
        <v>1.95</v>
      </c>
      <c r="D1483" s="4">
        <f>IFERROR(__xludf.DUMMYFUNCTION("""COMPUTED_VALUE"""),1.95)</f>
        <v>1.95</v>
      </c>
      <c r="E1483" s="4" t="str">
        <f>IFERROR(__xludf.DUMMYFUNCTION("""COMPUTED_VALUE"""),"Neto: 1,95 € (a partir de 12 uds.)")</f>
        <v>Neto: 1,95 € (a partir de 12 uds.)</v>
      </c>
    </row>
    <row r="1484">
      <c r="A1484" s="4" t="str">
        <f>IFERROR(__xludf.DUMMYFUNCTION("""COMPUTED_VALUE"""),"270222N")</f>
        <v>270222N</v>
      </c>
      <c r="B1484" s="4" t="str">
        <f>IFERROR(__xludf.DUMMYFUNCTION("""COMPUTED_VALUE"""),"Capazo de goma 22 l Negro")</f>
        <v>Capazo de goma 22 l Negro</v>
      </c>
      <c r="C1484" s="4">
        <f>IFERROR(__xludf.DUMMYFUNCTION("""COMPUTED_VALUE"""),1.95)</f>
        <v>1.95</v>
      </c>
      <c r="D1484" s="4">
        <f>IFERROR(__xludf.DUMMYFUNCTION("""COMPUTED_VALUE"""),1.95)</f>
        <v>1.95</v>
      </c>
      <c r="E1484" s="4" t="str">
        <f>IFERROR(__xludf.DUMMYFUNCTION("""COMPUTED_VALUE"""),"Neto: 1,95 € (a partir de 12 uds.)")</f>
        <v>Neto: 1,95 € (a partir de 12 uds.)</v>
      </c>
    </row>
    <row r="1485">
      <c r="A1485" s="4" t="str">
        <f>IFERROR(__xludf.DUMMYFUNCTION("""COMPUTED_VALUE"""),"270222R")</f>
        <v>270222R</v>
      </c>
      <c r="B1485" s="4" t="str">
        <f>IFERROR(__xludf.DUMMYFUNCTION("""COMPUTED_VALUE"""),"Capazo de goma 22 l Rojo")</f>
        <v>Capazo de goma 22 l Rojo</v>
      </c>
      <c r="C1485" s="4">
        <f>IFERROR(__xludf.DUMMYFUNCTION("""COMPUTED_VALUE"""),1.95)</f>
        <v>1.95</v>
      </c>
      <c r="D1485" s="4">
        <f>IFERROR(__xludf.DUMMYFUNCTION("""COMPUTED_VALUE"""),1.95)</f>
        <v>1.95</v>
      </c>
      <c r="E1485" s="4" t="str">
        <f>IFERROR(__xludf.DUMMYFUNCTION("""COMPUTED_VALUE"""),"Neto: 1,95 € (a partir de 12 uds.)")</f>
        <v>Neto: 1,95 € (a partir de 12 uds.)</v>
      </c>
    </row>
    <row r="1486">
      <c r="A1486" s="4" t="str">
        <f>IFERROR(__xludf.DUMMYFUNCTION("""COMPUTED_VALUE"""),"270242B")</f>
        <v>270242B</v>
      </c>
      <c r="B1486" s="4" t="str">
        <f>IFERROR(__xludf.DUMMYFUNCTION("""COMPUTED_VALUE"""),"Capazo de goma 42 l Blanco")</f>
        <v>Capazo de goma 42 l Blanco</v>
      </c>
      <c r="C1486" s="4">
        <f>IFERROR(__xludf.DUMMYFUNCTION("""COMPUTED_VALUE"""),2.45)</f>
        <v>2.45</v>
      </c>
      <c r="D1486" s="4">
        <f>IFERROR(__xludf.DUMMYFUNCTION("""COMPUTED_VALUE"""),1.95)</f>
        <v>1.95</v>
      </c>
      <c r="E1486" s="4" t="str">
        <f>IFERROR(__xludf.DUMMYFUNCTION("""COMPUTED_VALUE"""),"Neto: 1,95 € (a partir de 12 uds.)")</f>
        <v>Neto: 1,95 € (a partir de 12 uds.)</v>
      </c>
    </row>
    <row r="1487">
      <c r="A1487" s="4" t="str">
        <f>IFERROR(__xludf.DUMMYFUNCTION("""COMPUTED_VALUE"""),"270242N")</f>
        <v>270242N</v>
      </c>
      <c r="B1487" s="4" t="str">
        <f>IFERROR(__xludf.DUMMYFUNCTION("""COMPUTED_VALUE"""),"Capazo de goma 42 l Negro")</f>
        <v>Capazo de goma 42 l Negro</v>
      </c>
      <c r="C1487" s="4">
        <f>IFERROR(__xludf.DUMMYFUNCTION("""COMPUTED_VALUE"""),2.45)</f>
        <v>2.45</v>
      </c>
      <c r="D1487" s="4">
        <f>IFERROR(__xludf.DUMMYFUNCTION("""COMPUTED_VALUE"""),1.95)</f>
        <v>1.95</v>
      </c>
      <c r="E1487" s="4" t="str">
        <f>IFERROR(__xludf.DUMMYFUNCTION("""COMPUTED_VALUE"""),"Neto: 1,95 € (a partir de 12 uds.)")</f>
        <v>Neto: 1,95 € (a partir de 12 uds.)</v>
      </c>
    </row>
    <row r="1488">
      <c r="A1488" s="4" t="str">
        <f>IFERROR(__xludf.DUMMYFUNCTION("""COMPUTED_VALUE"""),"270242R")</f>
        <v>270242R</v>
      </c>
      <c r="B1488" s="4" t="str">
        <f>IFERROR(__xludf.DUMMYFUNCTION("""COMPUTED_VALUE"""),"Capazo de goma 42 l Rojo")</f>
        <v>Capazo de goma 42 l Rojo</v>
      </c>
      <c r="C1488" s="4">
        <f>IFERROR(__xludf.DUMMYFUNCTION("""COMPUTED_VALUE"""),2.45)</f>
        <v>2.45</v>
      </c>
      <c r="D1488" s="4">
        <f>IFERROR(__xludf.DUMMYFUNCTION("""COMPUTED_VALUE"""),1.95)</f>
        <v>1.95</v>
      </c>
      <c r="E1488" s="4" t="str">
        <f>IFERROR(__xludf.DUMMYFUNCTION("""COMPUTED_VALUE"""),"Neto: 1,95 € (a partir de 12 uds.)")</f>
        <v>Neto: 1,95 € (a partir de 12 uds.)</v>
      </c>
    </row>
    <row r="1489">
      <c r="A1489" s="4" t="str">
        <f>IFERROR(__xludf.DUMMYFUNCTION("""COMPUTED_VALUE"""),"270255B")</f>
        <v>270255B</v>
      </c>
      <c r="B1489" s="4" t="str">
        <f>IFERROR(__xludf.DUMMYFUNCTION("""COMPUTED_VALUE"""),"Capazo de goma 55 l Blanco")</f>
        <v>Capazo de goma 55 l Blanco</v>
      </c>
      <c r="C1489" s="4">
        <f>IFERROR(__xludf.DUMMYFUNCTION("""COMPUTED_VALUE"""),4.35)</f>
        <v>4.35</v>
      </c>
      <c r="D1489" s="4">
        <f>IFERROR(__xludf.DUMMYFUNCTION("""COMPUTED_VALUE"""),1.95)</f>
        <v>1.95</v>
      </c>
      <c r="E1489" s="4" t="str">
        <f>IFERROR(__xludf.DUMMYFUNCTION("""COMPUTED_VALUE"""),"Neto: 1,95 € (a partir de 12 uds.)")</f>
        <v>Neto: 1,95 € (a partir de 12 uds.)</v>
      </c>
    </row>
    <row r="1490">
      <c r="A1490" s="4" t="str">
        <f>IFERROR(__xludf.DUMMYFUNCTION("""COMPUTED_VALUE"""),"270255N")</f>
        <v>270255N</v>
      </c>
      <c r="B1490" s="4" t="str">
        <f>IFERROR(__xludf.DUMMYFUNCTION("""COMPUTED_VALUE"""),"Capazo de goma 55 l Negro")</f>
        <v>Capazo de goma 55 l Negro</v>
      </c>
      <c r="C1490" s="4">
        <f>IFERROR(__xludf.DUMMYFUNCTION("""COMPUTED_VALUE"""),4.35)</f>
        <v>4.35</v>
      </c>
      <c r="D1490" s="4">
        <f>IFERROR(__xludf.DUMMYFUNCTION("""COMPUTED_VALUE"""),1.95)</f>
        <v>1.95</v>
      </c>
      <c r="E1490" s="4" t="str">
        <f>IFERROR(__xludf.DUMMYFUNCTION("""COMPUTED_VALUE"""),"Neto: 1,95 € (a partir de 12 uds.)")</f>
        <v>Neto: 1,95 € (a partir de 12 uds.)</v>
      </c>
    </row>
    <row r="1491">
      <c r="A1491" s="4" t="str">
        <f>IFERROR(__xludf.DUMMYFUNCTION("""COMPUTED_VALUE"""),"270255R")</f>
        <v>270255R</v>
      </c>
      <c r="B1491" s="4" t="str">
        <f>IFERROR(__xludf.DUMMYFUNCTION("""COMPUTED_VALUE"""),"Capazo de goma 55 l Rojo")</f>
        <v>Capazo de goma 55 l Rojo</v>
      </c>
      <c r="C1491" s="4">
        <f>IFERROR(__xludf.DUMMYFUNCTION("""COMPUTED_VALUE"""),4.35)</f>
        <v>4.35</v>
      </c>
      <c r="D1491" s="4">
        <f>IFERROR(__xludf.DUMMYFUNCTION("""COMPUTED_VALUE"""),1.95)</f>
        <v>1.95</v>
      </c>
      <c r="E1491" s="4" t="str">
        <f>IFERROR(__xludf.DUMMYFUNCTION("""COMPUTED_VALUE"""),"Neto: 1,95 € (a partir de 12 uds.)")</f>
        <v>Neto: 1,95 € (a partir de 12 uds.)</v>
      </c>
    </row>
    <row r="1492">
      <c r="A1492" s="4" t="str">
        <f>IFERROR(__xludf.DUMMYFUNCTION("""COMPUTED_VALUE"""),"2703")</f>
        <v>2703</v>
      </c>
      <c r="B1492" s="4" t="str">
        <f>IFERROR(__xludf.DUMMYFUNCTION("""COMPUTED_VALUE"""),"Cubre cable portatil 1 metro Mod. A")</f>
        <v>Cubre cable portatil 1 metro Mod. A</v>
      </c>
      <c r="C1492" s="4">
        <f>IFERROR(__xludf.DUMMYFUNCTION("""COMPUTED_VALUE"""),13.25)</f>
        <v>13.25</v>
      </c>
      <c r="D1492" s="4"/>
      <c r="E1492" s="4" t="str">
        <f>IFERROR(__xludf.DUMMYFUNCTION("""COMPUTED_VALUE"""),"Sin precio neto")</f>
        <v>Sin precio neto</v>
      </c>
    </row>
    <row r="1493">
      <c r="A1493" s="4" t="str">
        <f>IFERROR(__xludf.DUMMYFUNCTION("""COMPUTED_VALUE"""),"2704")</f>
        <v>2704</v>
      </c>
      <c r="B1493" s="4" t="str">
        <f>IFERROR(__xludf.DUMMYFUNCTION("""COMPUTED_VALUE"""),"Cubre cable portatil 1 metro Mod. B")</f>
        <v>Cubre cable portatil 1 metro Mod. B</v>
      </c>
      <c r="C1493" s="4">
        <f>IFERROR(__xludf.DUMMYFUNCTION("""COMPUTED_VALUE"""),24.25)</f>
        <v>24.25</v>
      </c>
      <c r="D1493" s="4"/>
      <c r="E1493" s="4" t="str">
        <f>IFERROR(__xludf.DUMMYFUNCTION("""COMPUTED_VALUE"""),"Sin precio neto")</f>
        <v>Sin precio neto</v>
      </c>
    </row>
    <row r="1494">
      <c r="A1494" s="4" t="str">
        <f>IFERROR(__xludf.DUMMYFUNCTION("""COMPUTED_VALUE"""),"2705")</f>
        <v>2705</v>
      </c>
      <c r="B1494" s="4" t="str">
        <f>IFERROR(__xludf.DUMMYFUNCTION("""COMPUTED_VALUE"""),"Cubre cable portatil 9 metros Mod. C")</f>
        <v>Cubre cable portatil 9 metros Mod. C</v>
      </c>
      <c r="C1494" s="4">
        <f>IFERROR(__xludf.DUMMYFUNCTION("""COMPUTED_VALUE"""),38.0)</f>
        <v>38</v>
      </c>
      <c r="D1494" s="4"/>
      <c r="E1494" s="4" t="str">
        <f>IFERROR(__xludf.DUMMYFUNCTION("""COMPUTED_VALUE"""),"Sin precio neto")</f>
        <v>Sin precio neto</v>
      </c>
    </row>
    <row r="1495">
      <c r="A1495" s="4" t="str">
        <f>IFERROR(__xludf.DUMMYFUNCTION("""COMPUTED_VALUE"""),"2706")</f>
        <v>2706</v>
      </c>
      <c r="B1495" s="4" t="str">
        <f>IFERROR(__xludf.DUMMYFUNCTION("""COMPUTED_VALUE"""),"Cubo 12 L Reciclado")</f>
        <v>Cubo 12 L Reciclado</v>
      </c>
      <c r="C1495" s="4">
        <f>IFERROR(__xludf.DUMMYFUNCTION("""COMPUTED_VALUE"""),1.04)</f>
        <v>1.04</v>
      </c>
      <c r="D1495" s="4"/>
      <c r="E1495" s="4" t="str">
        <f>IFERROR(__xludf.DUMMYFUNCTION("""COMPUTED_VALUE"""),"Sin precio neto")</f>
        <v>Sin precio neto</v>
      </c>
    </row>
    <row r="1496">
      <c r="A1496" s="4" t="str">
        <f>IFERROR(__xludf.DUMMYFUNCTION("""COMPUTED_VALUE"""),"2707")</f>
        <v>2707</v>
      </c>
      <c r="B1496" s="4" t="str">
        <f>IFERROR(__xludf.DUMMYFUNCTION("""COMPUTED_VALUE"""),"Cubo 6 L Reciclado")</f>
        <v>Cubo 6 L Reciclado</v>
      </c>
      <c r="C1496" s="4">
        <f>IFERROR(__xludf.DUMMYFUNCTION("""COMPUTED_VALUE"""),0.8)</f>
        <v>0.8</v>
      </c>
      <c r="D1496" s="4"/>
      <c r="E1496" s="4" t="str">
        <f>IFERROR(__xludf.DUMMYFUNCTION("""COMPUTED_VALUE"""),"Sin precio neto")</f>
        <v>Sin precio neto</v>
      </c>
    </row>
    <row r="1497">
      <c r="A1497" s="4" t="str">
        <f>IFERROR(__xludf.DUMMYFUNCTION("""COMPUTED_VALUE"""),"2708")</f>
        <v>2708</v>
      </c>
      <c r="B1497" s="4" t="str">
        <f>IFERROR(__xludf.DUMMYFUNCTION("""COMPUTED_VALUE"""),"Cubo 8 L Reciclado")</f>
        <v>Cubo 8 L Reciclado</v>
      </c>
      <c r="C1497" s="4">
        <f>IFERROR(__xludf.DUMMYFUNCTION("""COMPUTED_VALUE"""),0.85)</f>
        <v>0.85</v>
      </c>
      <c r="D1497" s="4"/>
      <c r="E1497" s="4" t="str">
        <f>IFERROR(__xludf.DUMMYFUNCTION("""COMPUTED_VALUE"""),"Sin precio neto")</f>
        <v>Sin precio neto</v>
      </c>
    </row>
    <row r="1498">
      <c r="A1498" s="4" t="str">
        <f>IFERROR(__xludf.DUMMYFUNCTION("""COMPUTED_VALUE"""),"2709")</f>
        <v>2709</v>
      </c>
      <c r="B1498" s="4" t="str">
        <f>IFERROR(__xludf.DUMMYFUNCTION("""COMPUTED_VALUE"""),"Embudo para Combustible Flexible")</f>
        <v>Embudo para Combustible Flexible</v>
      </c>
      <c r="C1498" s="4">
        <f>IFERROR(__xludf.DUMMYFUNCTION("""COMPUTED_VALUE"""),1.63)</f>
        <v>1.63</v>
      </c>
      <c r="D1498" s="4"/>
      <c r="E1498" s="4" t="str">
        <f>IFERROR(__xludf.DUMMYFUNCTION("""COMPUTED_VALUE"""),"Sin precio neto")</f>
        <v>Sin precio neto</v>
      </c>
    </row>
    <row r="1499">
      <c r="A1499" s="4" t="str">
        <f>IFERROR(__xludf.DUMMYFUNCTION("""COMPUTED_VALUE"""),"2710")</f>
        <v>2710</v>
      </c>
      <c r="B1499" s="4" t="str">
        <f>IFERROR(__xludf.DUMMYFUNCTION("""COMPUTED_VALUE"""),"Esponja abrasiva Lija Grado Alto Set 3")</f>
        <v>Esponja abrasiva Lija Grado Alto Set 3</v>
      </c>
      <c r="C1499" s="4">
        <f>IFERROR(__xludf.DUMMYFUNCTION("""COMPUTED_VALUE"""),1.75)</f>
        <v>1.75</v>
      </c>
      <c r="D1499" s="4"/>
      <c r="E1499" s="4" t="str">
        <f>IFERROR(__xludf.DUMMYFUNCTION("""COMPUTED_VALUE"""),"Sin precio neto")</f>
        <v>Sin precio neto</v>
      </c>
    </row>
    <row r="1500">
      <c r="A1500" s="4" t="str">
        <f>IFERROR(__xludf.DUMMYFUNCTION("""COMPUTED_VALUE"""),"2711")</f>
        <v>2711</v>
      </c>
      <c r="B1500" s="4" t="str">
        <f>IFERROR(__xludf.DUMMYFUNCTION("""COMPUTED_VALUE"""),"Esponja Abrasiva Lija Brado Bajo Set 3")</f>
        <v>Esponja Abrasiva Lija Brado Bajo Set 3</v>
      </c>
      <c r="C1500" s="4">
        <f>IFERROR(__xludf.DUMMYFUNCTION("""COMPUTED_VALUE"""),1.75)</f>
        <v>1.75</v>
      </c>
      <c r="D1500" s="4"/>
      <c r="E1500" s="4" t="str">
        <f>IFERROR(__xludf.DUMMYFUNCTION("""COMPUTED_VALUE"""),"Sin precio neto")</f>
        <v>Sin precio neto</v>
      </c>
    </row>
    <row r="1501">
      <c r="A1501" s="4" t="str">
        <f>IFERROR(__xludf.DUMMYFUNCTION("""COMPUTED_VALUE"""),"2712")</f>
        <v>2712</v>
      </c>
      <c r="B1501" s="4" t="str">
        <f>IFERROR(__xludf.DUMMYFUNCTION("""COMPUTED_VALUE"""),"Esponja Abrasiva Lija Grado Medio Set 3")</f>
        <v>Esponja Abrasiva Lija Grado Medio Set 3</v>
      </c>
      <c r="C1501" s="4">
        <f>IFERROR(__xludf.DUMMYFUNCTION("""COMPUTED_VALUE"""),1.75)</f>
        <v>1.75</v>
      </c>
      <c r="D1501" s="4"/>
      <c r="E1501" s="4" t="str">
        <f>IFERROR(__xludf.DUMMYFUNCTION("""COMPUTED_VALUE"""),"Sin precio neto")</f>
        <v>Sin precio neto</v>
      </c>
    </row>
    <row r="1502">
      <c r="A1502" s="4" t="str">
        <f>IFERROR(__xludf.DUMMYFUNCTION("""COMPUTED_VALUE"""),"2713")</f>
        <v>2713</v>
      </c>
      <c r="B1502" s="4" t="str">
        <f>IFERROR(__xludf.DUMMYFUNCTION("""COMPUTED_VALUE"""),"Esponja Abrasiva Lija Set 3")</f>
        <v>Esponja Abrasiva Lija Set 3</v>
      </c>
      <c r="C1502" s="4">
        <f>IFERROR(__xludf.DUMMYFUNCTION("""COMPUTED_VALUE"""),1.75)</f>
        <v>1.75</v>
      </c>
      <c r="D1502" s="4"/>
      <c r="E1502" s="4" t="str">
        <f>IFERROR(__xludf.DUMMYFUNCTION("""COMPUTED_VALUE"""),"Sin precio neto")</f>
        <v>Sin precio neto</v>
      </c>
    </row>
    <row r="1503">
      <c r="A1503" s="4" t="str">
        <f>IFERROR(__xludf.DUMMYFUNCTION("""COMPUTED_VALUE"""),"2714")</f>
        <v>2714</v>
      </c>
      <c r="B1503" s="4" t="str">
        <f>IFERROR(__xludf.DUMMYFUNCTION("""COMPUTED_VALUE"""),"Garrafa Apta contacto Alimentario 20 L")</f>
        <v>Garrafa Apta contacto Alimentario 20 L</v>
      </c>
      <c r="C1503" s="4">
        <f>IFERROR(__xludf.DUMMYFUNCTION("""COMPUTED_VALUE"""),9.25)</f>
        <v>9.25</v>
      </c>
      <c r="D1503" s="4"/>
      <c r="E1503" s="4" t="str">
        <f>IFERROR(__xludf.DUMMYFUNCTION("""COMPUTED_VALUE"""),"Sin precio neto")</f>
        <v>Sin precio neto</v>
      </c>
    </row>
    <row r="1504">
      <c r="A1504" s="4" t="str">
        <f>IFERROR(__xludf.DUMMYFUNCTION("""COMPUTED_VALUE"""),"2715")</f>
        <v>2715</v>
      </c>
      <c r="B1504" s="4" t="str">
        <f>IFERROR(__xludf.DUMMYFUNCTION("""COMPUTED_VALUE"""),"Paño microfibra profesional 35x40 cm Gris")</f>
        <v>Paño microfibra profesional 35x40 cm Gris</v>
      </c>
      <c r="C1504" s="4">
        <f>IFERROR(__xludf.DUMMYFUNCTION("""COMPUTED_VALUE"""),0.47)</f>
        <v>0.47</v>
      </c>
      <c r="D1504" s="4"/>
      <c r="E1504" s="4" t="str">
        <f>IFERROR(__xludf.DUMMYFUNCTION("""COMPUTED_VALUE"""),"Sin precio neto")</f>
        <v>Sin precio neto</v>
      </c>
    </row>
    <row r="1505">
      <c r="A1505" s="4" t="str">
        <f>IFERROR(__xludf.DUMMYFUNCTION("""COMPUTED_VALUE"""),"2716")</f>
        <v>2716</v>
      </c>
      <c r="B1505" s="4" t="str">
        <f>IFERROR(__xludf.DUMMYFUNCTION("""COMPUTED_VALUE"""),"Rollo Fibra abrasiva 15 CM X 6 M")</f>
        <v>Rollo Fibra abrasiva 15 CM X 6 M</v>
      </c>
      <c r="C1505" s="4">
        <f>IFERROR(__xludf.DUMMYFUNCTION("""COMPUTED_VALUE"""),8.75)</f>
        <v>8.75</v>
      </c>
      <c r="D1505" s="4"/>
      <c r="E1505" s="4" t="str">
        <f>IFERROR(__xludf.DUMMYFUNCTION("""COMPUTED_VALUE"""),"Sin precio neto")</f>
        <v>Sin precio neto</v>
      </c>
    </row>
    <row r="1506">
      <c r="A1506" s="4" t="str">
        <f>IFERROR(__xludf.DUMMYFUNCTION("""COMPUTED_VALUE"""),"2785")</f>
        <v>2785</v>
      </c>
      <c r="B1506" s="4" t="str">
        <f>IFERROR(__xludf.DUMMYFUNCTION("""COMPUTED_VALUE"""),"Rodillo de marcar de 180")</f>
        <v>Rodillo de marcar de 180</v>
      </c>
      <c r="C1506" s="4">
        <f>IFERROR(__xludf.DUMMYFUNCTION("""COMPUTED_VALUE"""),77.0)</f>
        <v>77</v>
      </c>
      <c r="D1506" s="4"/>
      <c r="E1506" s="4" t="str">
        <f>IFERROR(__xludf.DUMMYFUNCTION("""COMPUTED_VALUE"""),"Sin precio neto")</f>
        <v>Sin precio neto</v>
      </c>
    </row>
    <row r="1507">
      <c r="A1507" s="4" t="str">
        <f>IFERROR(__xludf.DUMMYFUNCTION("""COMPUTED_VALUE"""),"2800")</f>
        <v>2800</v>
      </c>
      <c r="B1507" s="4" t="str">
        <f>IFERROR(__xludf.DUMMYFUNCTION("""COMPUTED_VALUE"""),"Señal complementaria TPU Triangular 380 mm Reflex 1")</f>
        <v>Señal complementaria TPU Triangular 380 mm Reflex 1</v>
      </c>
      <c r="C1507" s="4">
        <f>IFERROR(__xludf.DUMMYFUNCTION("""COMPUTED_VALUE"""),9.0)</f>
        <v>9</v>
      </c>
      <c r="D1507" s="4"/>
      <c r="E1507" s="4" t="str">
        <f>IFERROR(__xludf.DUMMYFUNCTION("""COMPUTED_VALUE"""),"Sin precio neto")</f>
        <v>Sin precio neto</v>
      </c>
    </row>
    <row r="1508">
      <c r="A1508" s="4" t="str">
        <f>IFERROR(__xludf.DUMMYFUNCTION("""COMPUTED_VALUE"""),"2900")</f>
        <v>2900</v>
      </c>
      <c r="B1508" s="4" t="str">
        <f>IFERROR(__xludf.DUMMYFUNCTION("""COMPUTED_VALUE"""),"Señal complementaria TPU circular 285 mm Reflex 1")</f>
        <v>Señal complementaria TPU circular 285 mm Reflex 1</v>
      </c>
      <c r="C1508" s="4">
        <f>IFERROR(__xludf.DUMMYFUNCTION("""COMPUTED_VALUE"""),9.0)</f>
        <v>9</v>
      </c>
      <c r="D1508" s="4"/>
      <c r="E1508" s="4" t="str">
        <f>IFERROR(__xludf.DUMMYFUNCTION("""COMPUTED_VALUE"""),"Sin precio neto")</f>
        <v>Sin precio neto</v>
      </c>
    </row>
    <row r="1509">
      <c r="A1509" s="4" t="str">
        <f>IFERROR(__xludf.DUMMYFUNCTION("""COMPUTED_VALUE"""),"2901")</f>
        <v>2901</v>
      </c>
      <c r="B1509" s="4" t="str">
        <f>IFERROR(__xludf.DUMMYFUNCTION("""COMPUTED_VALUE"""),"Clavo yesero 250")</f>
        <v>Clavo yesero 250</v>
      </c>
      <c r="C1509" s="4">
        <f>IFERROR(__xludf.DUMMYFUNCTION("""COMPUTED_VALUE"""),1.45)</f>
        <v>1.45</v>
      </c>
      <c r="D1509" s="4"/>
      <c r="E1509" s="4" t="str">
        <f>IFERROR(__xludf.DUMMYFUNCTION("""COMPUTED_VALUE"""),"Sin precio neto")</f>
        <v>Sin precio neto</v>
      </c>
    </row>
    <row r="1510">
      <c r="A1510" s="4" t="str">
        <f>IFERROR(__xludf.DUMMYFUNCTION("""COMPUTED_VALUE"""),"2969")</f>
        <v>2969</v>
      </c>
      <c r="B1510" s="4" t="str">
        <f>IFERROR(__xludf.DUMMYFUNCTION("""COMPUTED_VALUE"""),"Mezclador b/viscosidad 80 m/m")</f>
        <v>Mezclador b/viscosidad 80 m/m</v>
      </c>
      <c r="C1510" s="4">
        <f>IFERROR(__xludf.DUMMYFUNCTION("""COMPUTED_VALUE"""),1.9)</f>
        <v>1.9</v>
      </c>
      <c r="D1510" s="4"/>
      <c r="E1510" s="4" t="str">
        <f>IFERROR(__xludf.DUMMYFUNCTION("""COMPUTED_VALUE"""),"Sin precio neto")</f>
        <v>Sin precio neto</v>
      </c>
    </row>
    <row r="1511">
      <c r="A1511" s="4" t="str">
        <f>IFERROR(__xludf.DUMMYFUNCTION("""COMPUTED_VALUE"""),"2971")</f>
        <v>2971</v>
      </c>
      <c r="B1511" s="4" t="str">
        <f>IFERROR(__xludf.DUMMYFUNCTION("""COMPUTED_VALUE"""),"Mezclador pintura de 100 m/m")</f>
        <v>Mezclador pintura de 100 m/m</v>
      </c>
      <c r="C1511" s="4">
        <f>IFERROR(__xludf.DUMMYFUNCTION("""COMPUTED_VALUE"""),2.2)</f>
        <v>2.2</v>
      </c>
      <c r="D1511" s="4"/>
      <c r="E1511" s="4" t="str">
        <f>IFERROR(__xludf.DUMMYFUNCTION("""COMPUTED_VALUE"""),"Sin precio neto")</f>
        <v>Sin precio neto</v>
      </c>
    </row>
    <row r="1512">
      <c r="A1512" s="4" t="str">
        <f>IFERROR(__xludf.DUMMYFUNCTION("""COMPUTED_VALUE"""),"3015")</f>
        <v>3015</v>
      </c>
      <c r="B1512" s="4" t="str">
        <f>IFERROR(__xludf.DUMMYFUNCTION("""COMPUTED_VALUE"""),"Distanciador cuña 0-7 (200 unid)")</f>
        <v>Distanciador cuña 0-7 (200 unid)</v>
      </c>
      <c r="C1512" s="4">
        <f>IFERROR(__xludf.DUMMYFUNCTION("""COMPUTED_VALUE"""),1.4)</f>
        <v>1.4</v>
      </c>
      <c r="D1512" s="4"/>
      <c r="E1512" s="4" t="str">
        <f>IFERROR(__xludf.DUMMYFUNCTION("""COMPUTED_VALUE"""),"Sin precio neto")</f>
        <v>Sin precio neto</v>
      </c>
    </row>
    <row r="1513">
      <c r="A1513" s="4" t="str">
        <f>IFERROR(__xludf.DUMMYFUNCTION("""COMPUTED_VALUE"""),"3030")</f>
        <v>3030</v>
      </c>
      <c r="B1513" s="4" t="str">
        <f>IFERROR(__xludf.DUMMYFUNCTION("""COMPUTED_VALUE"""),"Separador CONDOR 20 m/m (1000 Unid)")</f>
        <v>Separador CONDOR 20 m/m (1000 Unid)</v>
      </c>
      <c r="C1513" s="4">
        <f>IFERROR(__xludf.DUMMYFUNCTION("""COMPUTED_VALUE"""),29.35)</f>
        <v>29.35</v>
      </c>
      <c r="D1513" s="4"/>
      <c r="E1513" s="4" t="str">
        <f>IFERROR(__xludf.DUMMYFUNCTION("""COMPUTED_VALUE"""),"Sin precio neto")</f>
        <v>Sin precio neto</v>
      </c>
    </row>
    <row r="1514">
      <c r="A1514" s="4" t="str">
        <f>IFERROR(__xludf.DUMMYFUNCTION("""COMPUTED_VALUE"""),"3031")</f>
        <v>3031</v>
      </c>
      <c r="B1514" s="4" t="str">
        <f>IFERROR(__xludf.DUMMYFUNCTION("""COMPUTED_VALUE"""),"Separador CONDOR 40 m/m (500 Unid)")</f>
        <v>Separador CONDOR 40 m/m (500 Unid)</v>
      </c>
      <c r="C1514" s="4">
        <f>IFERROR(__xludf.DUMMYFUNCTION("""COMPUTED_VALUE"""),26.2)</f>
        <v>26.2</v>
      </c>
      <c r="D1514" s="4"/>
      <c r="E1514" s="4" t="str">
        <f>IFERROR(__xludf.DUMMYFUNCTION("""COMPUTED_VALUE"""),"Sin precio neto")</f>
        <v>Sin precio neto</v>
      </c>
    </row>
    <row r="1515">
      <c r="A1515" s="4" t="str">
        <f>IFERROR(__xludf.DUMMYFUNCTION("""COMPUTED_VALUE"""),"3032")</f>
        <v>3032</v>
      </c>
      <c r="B1515" s="4" t="str">
        <f>IFERROR(__xludf.DUMMYFUNCTION("""COMPUTED_VALUE"""),"Separador Universal (1000 Unid)")</f>
        <v>Separador Universal (1000 Unid)</v>
      </c>
      <c r="C1515" s="4">
        <f>IFERROR(__xludf.DUMMYFUNCTION("""COMPUTED_VALUE"""),41.8)</f>
        <v>41.8</v>
      </c>
      <c r="D1515" s="4"/>
      <c r="E1515" s="4" t="str">
        <f>IFERROR(__xludf.DUMMYFUNCTION("""COMPUTED_VALUE"""),"Sin precio neto")</f>
        <v>Sin precio neto</v>
      </c>
    </row>
    <row r="1516">
      <c r="A1516" s="4" t="str">
        <f>IFERROR(__xludf.DUMMYFUNCTION("""COMPUTED_VALUE"""),"3033")</f>
        <v>3033</v>
      </c>
      <c r="B1516" s="4" t="str">
        <f>IFERROR(__xludf.DUMMYFUNCTION("""COMPUTED_VALUE"""),"Cono c/tapa para Guardacuerpos")</f>
        <v>Cono c/tapa para Guardacuerpos</v>
      </c>
      <c r="C1516" s="4">
        <f>IFERROR(__xludf.DUMMYFUNCTION("""COMPUTED_VALUE"""),0.13)</f>
        <v>0.13</v>
      </c>
      <c r="D1516" s="4">
        <f>IFERROR(__xludf.DUMMYFUNCTION("""COMPUTED_VALUE"""),0.11)</f>
        <v>0.11</v>
      </c>
      <c r="E1516" s="4" t="str">
        <f>IFERROR(__xludf.DUMMYFUNCTION("""COMPUTED_VALUE"""),"Neto: 0,11 € (a partir de 200 uds.)")</f>
        <v>Neto: 0,11 € (a partir de 200 uds.)</v>
      </c>
    </row>
    <row r="1517">
      <c r="A1517" s="4" t="str">
        <f>IFERROR(__xludf.DUMMYFUNCTION("""COMPUTED_VALUE"""),"3034")</f>
        <v>3034</v>
      </c>
      <c r="B1517" s="4" t="str">
        <f>IFERROR(__xludf.DUMMYFUNCTION("""COMPUTED_VALUE"""),"Base guardacuerpos cuadr.35x40 (150 und)")</f>
        <v>Base guardacuerpos cuadr.35x40 (150 und)</v>
      </c>
      <c r="C1517" s="4">
        <f>IFERROR(__xludf.DUMMYFUNCTION("""COMPUTED_VALUE"""),33.35)</f>
        <v>33.35</v>
      </c>
      <c r="D1517" s="4"/>
      <c r="E1517" s="4" t="str">
        <f>IFERROR(__xludf.DUMMYFUNCTION("""COMPUTED_VALUE"""),"Sin precio neto")</f>
        <v>Sin precio neto</v>
      </c>
    </row>
    <row r="1518">
      <c r="A1518" s="4" t="str">
        <f>IFERROR(__xludf.DUMMYFUNCTION("""COMPUTED_VALUE"""),"3035")</f>
        <v>3035</v>
      </c>
      <c r="B1518" s="4" t="str">
        <f>IFERROR(__xludf.DUMMYFUNCTION("""COMPUTED_VALUE"""),"Separador CONDOR 30 m/m (1000 Unid)")</f>
        <v>Separador CONDOR 30 m/m (1000 Unid)</v>
      </c>
      <c r="C1518" s="4">
        <f>IFERROR(__xludf.DUMMYFUNCTION("""COMPUTED_VALUE"""),37.25)</f>
        <v>37.25</v>
      </c>
      <c r="D1518" s="4"/>
      <c r="E1518" s="4" t="str">
        <f>IFERROR(__xludf.DUMMYFUNCTION("""COMPUTED_VALUE"""),"Sin precio neto")</f>
        <v>Sin precio neto</v>
      </c>
    </row>
    <row r="1519">
      <c r="A1519" s="4" t="str">
        <f>IFERROR(__xludf.DUMMYFUNCTION("""COMPUTED_VALUE"""),"3036")</f>
        <v>3036</v>
      </c>
      <c r="B1519" s="4" t="str">
        <f>IFERROR(__xludf.DUMMYFUNCTION("""COMPUTED_VALUE"""),"Base horca-pescante 60x40 ( 114 unid)")</f>
        <v>Base horca-pescante 60x40 ( 114 unid)</v>
      </c>
      <c r="C1519" s="4">
        <f>IFERROR(__xludf.DUMMYFUNCTION("""COMPUTED_VALUE"""),119.85)</f>
        <v>119.85</v>
      </c>
      <c r="D1519" s="4"/>
      <c r="E1519" s="4" t="str">
        <f>IFERROR(__xludf.DUMMYFUNCTION("""COMPUTED_VALUE"""),"Sin precio neto")</f>
        <v>Sin precio neto</v>
      </c>
    </row>
    <row r="1520">
      <c r="A1520" s="4" t="str">
        <f>IFERROR(__xludf.DUMMYFUNCTION("""COMPUTED_VALUE"""),"3037")</f>
        <v>3037</v>
      </c>
      <c r="B1520" s="4" t="str">
        <f>IFERROR(__xludf.DUMMYFUNCTION("""COMPUTED_VALUE"""),"Base horca-pescante 60x60 ( 45 unid)")</f>
        <v>Base horca-pescante 60x60 ( 45 unid)</v>
      </c>
      <c r="C1520" s="4">
        <f>IFERROR(__xludf.DUMMYFUNCTION("""COMPUTED_VALUE"""),44.0)</f>
        <v>44</v>
      </c>
      <c r="D1520" s="4">
        <f>IFERROR(__xludf.DUMMYFUNCTION("""COMPUTED_VALUE"""),38.0)</f>
        <v>38</v>
      </c>
      <c r="E1520" s="4" t="str">
        <f>IFERROR(__xludf.DUMMYFUNCTION("""COMPUTED_VALUE"""),"Neto: 38,00 € (a partir de 1 uds.)")</f>
        <v>Neto: 38,00 € (a partir de 1 uds.)</v>
      </c>
    </row>
    <row r="1521">
      <c r="A1521" s="4" t="str">
        <f>IFERROR(__xludf.DUMMYFUNCTION("""COMPUTED_VALUE"""),"3038")</f>
        <v>3038</v>
      </c>
      <c r="B1521" s="4" t="str">
        <f>IFERROR(__xludf.DUMMYFUNCTION("""COMPUTED_VALUE"""),"Separador CONDOR 50 m/m (500 Unid )")</f>
        <v>Separador CONDOR 50 m/m (500 Unid )</v>
      </c>
      <c r="C1521" s="4">
        <f>IFERROR(__xludf.DUMMYFUNCTION("""COMPUTED_VALUE"""),39.375)</f>
        <v>39.375</v>
      </c>
      <c r="D1521" s="4"/>
      <c r="E1521" s="4" t="str">
        <f>IFERROR(__xludf.DUMMYFUNCTION("""COMPUTED_VALUE"""),"Sin precio neto")</f>
        <v>Sin precio neto</v>
      </c>
    </row>
    <row r="1522">
      <c r="A1522" s="4" t="str">
        <f>IFERROR(__xludf.DUMMYFUNCTION("""COMPUTED_VALUE"""),"3039")</f>
        <v>3039</v>
      </c>
      <c r="B1522" s="4" t="str">
        <f>IFERROR(__xludf.DUMMYFUNCTION("""COMPUTED_VALUE"""),"Seta protectora Varilla 12-20")</f>
        <v>Seta protectora Varilla 12-20</v>
      </c>
      <c r="C1522" s="4">
        <f>IFERROR(__xludf.DUMMYFUNCTION("""COMPUTED_VALUE"""),0.07)</f>
        <v>0.07</v>
      </c>
      <c r="D1522" s="4">
        <f>IFERROR(__xludf.DUMMYFUNCTION("""COMPUTED_VALUE"""),0.06)</f>
        <v>0.06</v>
      </c>
      <c r="E1522" s="4" t="str">
        <f>IFERROR(__xludf.DUMMYFUNCTION("""COMPUTED_VALUE"""),"Neto: 0,06 € (a partir de 100 uds.)")</f>
        <v>Neto: 0,06 € (a partir de 100 uds.)</v>
      </c>
    </row>
    <row r="1523">
      <c r="A1523" s="4" t="str">
        <f>IFERROR(__xludf.DUMMYFUNCTION("""COMPUTED_VALUE"""),"3041")</f>
        <v>3041</v>
      </c>
      <c r="B1523" s="4" t="str">
        <f>IFERROR(__xludf.DUMMYFUNCTION("""COMPUTED_VALUE"""),"Seta protect. cuadrada 35x40 ( 100 unid )")</f>
        <v>Seta protect. cuadrada 35x40 ( 100 unid )</v>
      </c>
      <c r="C1523" s="4">
        <f>IFERROR(__xludf.DUMMYFUNCTION("""COMPUTED_VALUE"""),12.8)</f>
        <v>12.8</v>
      </c>
      <c r="D1523" s="4"/>
      <c r="E1523" s="4" t="str">
        <f>IFERROR(__xludf.DUMMYFUNCTION("""COMPUTED_VALUE"""),"Sin precio neto")</f>
        <v>Sin precio neto</v>
      </c>
    </row>
    <row r="1524">
      <c r="A1524" s="4" t="str">
        <f>IFERROR(__xludf.DUMMYFUNCTION("""COMPUTED_VALUE"""),"3042")</f>
        <v>3042</v>
      </c>
      <c r="B1524" s="4" t="str">
        <f>IFERROR(__xludf.DUMMYFUNCTION("""COMPUTED_VALUE"""),"Setón protector varilla 24-40 ( 200 unid )")</f>
        <v>Setón protector varilla 24-40 ( 200 unid )</v>
      </c>
      <c r="C1524" s="4">
        <f>IFERROR(__xludf.DUMMYFUNCTION("""COMPUTED_VALUE"""),33.5)</f>
        <v>33.5</v>
      </c>
      <c r="D1524" s="4">
        <f>IFERROR(__xludf.DUMMYFUNCTION("""COMPUTED_VALUE"""),34.0)</f>
        <v>34</v>
      </c>
      <c r="E1524" s="4" t="str">
        <f>IFERROR(__xludf.DUMMYFUNCTION("""COMPUTED_VALUE"""),"Neto: 34,00 € (a partir de 1 uds.)")</f>
        <v>Neto: 34,00 € (a partir de 1 uds.)</v>
      </c>
    </row>
    <row r="1525">
      <c r="A1525" s="4" t="str">
        <f>IFERROR(__xludf.DUMMYFUNCTION("""COMPUTED_VALUE"""),"3043")</f>
        <v>3043</v>
      </c>
      <c r="B1525" s="4" t="str">
        <f>IFERROR(__xludf.DUMMYFUNCTION("""COMPUTED_VALUE"""),"Seta protectora c/ refuerzo interior (100 unid)")</f>
        <v>Seta protectora c/ refuerzo interior (100 unid)</v>
      </c>
      <c r="C1525" s="4">
        <f>IFERROR(__xludf.DUMMYFUNCTION("""COMPUTED_VALUE"""),19.95)</f>
        <v>19.95</v>
      </c>
      <c r="D1525" s="4"/>
      <c r="E1525" s="4" t="str">
        <f>IFERROR(__xludf.DUMMYFUNCTION("""COMPUTED_VALUE"""),"Sin precio neto")</f>
        <v>Sin precio neto</v>
      </c>
    </row>
    <row r="1526">
      <c r="A1526" s="4" t="str">
        <f>IFERROR(__xludf.DUMMYFUNCTION("""COMPUTED_VALUE"""),"3100")</f>
        <v>3100</v>
      </c>
      <c r="B1526" s="4" t="str">
        <f>IFERROR(__xludf.DUMMYFUNCTION("""COMPUTED_VALUE"""),"Junta de dilatación 4 cm M.Lineal")</f>
        <v>Junta de dilatación 4 cm M.Lineal</v>
      </c>
      <c r="C1526" s="4">
        <f>IFERROR(__xludf.DUMMYFUNCTION("""COMPUTED_VALUE"""),0.88)</f>
        <v>0.88</v>
      </c>
      <c r="D1526" s="4"/>
      <c r="E1526" s="4" t="str">
        <f>IFERROR(__xludf.DUMMYFUNCTION("""COMPUTED_VALUE"""),"Sin precio neto")</f>
        <v>Sin precio neto</v>
      </c>
    </row>
    <row r="1527">
      <c r="A1527" s="4" t="str">
        <f>IFERROR(__xludf.DUMMYFUNCTION("""COMPUTED_VALUE"""),"3101")</f>
        <v>3101</v>
      </c>
      <c r="B1527" s="4" t="str">
        <f>IFERROR(__xludf.DUMMYFUNCTION("""COMPUTED_VALUE"""),"Junta de dilatación 8 cm M.Lineal")</f>
        <v>Junta de dilatación 8 cm M.Lineal</v>
      </c>
      <c r="C1527" s="4">
        <f>IFERROR(__xludf.DUMMYFUNCTION("""COMPUTED_VALUE"""),1.2)</f>
        <v>1.2</v>
      </c>
      <c r="D1527" s="4"/>
      <c r="E1527" s="4" t="str">
        <f>IFERROR(__xludf.DUMMYFUNCTION("""COMPUTED_VALUE"""),"Sin precio neto")</f>
        <v>Sin precio neto</v>
      </c>
    </row>
    <row r="1528">
      <c r="A1528" s="4" t="str">
        <f>IFERROR(__xludf.DUMMYFUNCTION("""COMPUTED_VALUE"""),"3102")</f>
        <v>3102</v>
      </c>
      <c r="B1528" s="4" t="str">
        <f>IFERROR(__xludf.DUMMYFUNCTION("""COMPUTED_VALUE"""),"Conexión para cadena y cinta poste ref 1136")</f>
        <v>Conexión para cadena y cinta poste ref 1136</v>
      </c>
      <c r="C1528" s="4">
        <f>IFERROR(__xludf.DUMMYFUNCTION("""COMPUTED_VALUE"""),1.4)</f>
        <v>1.4</v>
      </c>
      <c r="D1528" s="4"/>
      <c r="E1528" s="4" t="str">
        <f>IFERROR(__xludf.DUMMYFUNCTION("""COMPUTED_VALUE"""),"Sin precio neto")</f>
        <v>Sin precio neto</v>
      </c>
    </row>
    <row r="1529">
      <c r="A1529" s="4" t="str">
        <f>IFERROR(__xludf.DUMMYFUNCTION("""COMPUTED_VALUE"""),"3103")</f>
        <v>3103</v>
      </c>
      <c r="B1529" s="4" t="str">
        <f>IFERROR(__xludf.DUMMYFUNCTION("""COMPUTED_VALUE"""),"Conexion para hito 0588 a señales TPU")</f>
        <v>Conexion para hito 0588 a señales TPU</v>
      </c>
      <c r="C1529" s="4">
        <f>IFERROR(__xludf.DUMMYFUNCTION("""COMPUTED_VALUE"""),3.0)</f>
        <v>3</v>
      </c>
      <c r="D1529" s="4"/>
      <c r="E1529" s="4" t="str">
        <f>IFERROR(__xludf.DUMMYFUNCTION("""COMPUTED_VALUE"""),"Sin precio neto")</f>
        <v>Sin precio neto</v>
      </c>
    </row>
    <row r="1530">
      <c r="A1530" s="4" t="str">
        <f>IFERROR(__xludf.DUMMYFUNCTION("""COMPUTED_VALUE"""),"3105")</f>
        <v>3105</v>
      </c>
      <c r="B1530" s="4" t="str">
        <f>IFERROR(__xludf.DUMMYFUNCTION("""COMPUTED_VALUE"""),"Tornillo y taco para reductor velocidad")</f>
        <v>Tornillo y taco para reductor velocidad</v>
      </c>
      <c r="C1530" s="4">
        <f>IFERROR(__xludf.DUMMYFUNCTION("""COMPUTED_VALUE"""),0.47)</f>
        <v>0.47</v>
      </c>
      <c r="D1530" s="4"/>
      <c r="E1530" s="4" t="str">
        <f>IFERROR(__xludf.DUMMYFUNCTION("""COMPUTED_VALUE"""),"Sin precio neto")</f>
        <v>Sin precio neto</v>
      </c>
    </row>
    <row r="1531">
      <c r="A1531" s="4" t="str">
        <f>IFERROR(__xludf.DUMMYFUNCTION("""COMPUTED_VALUE"""),"3112")</f>
        <v>3112</v>
      </c>
      <c r="B1531" s="4" t="str">
        <f>IFERROR(__xludf.DUMMYFUNCTION("""COMPUTED_VALUE"""),"Conexión para conos")</f>
        <v>Conexión para conos</v>
      </c>
      <c r="C1531" s="4">
        <f>IFERROR(__xludf.DUMMYFUNCTION("""COMPUTED_VALUE"""),6.0)</f>
        <v>6</v>
      </c>
      <c r="D1531" s="4"/>
      <c r="E1531" s="4" t="str">
        <f>IFERROR(__xludf.DUMMYFUNCTION("""COMPUTED_VALUE"""),"Sin precio neto")</f>
        <v>Sin precio neto</v>
      </c>
    </row>
    <row r="1532">
      <c r="A1532" s="4" t="str">
        <f>IFERROR(__xludf.DUMMYFUNCTION("""COMPUTED_VALUE"""),"3250")</f>
        <v>3250</v>
      </c>
      <c r="B1532" s="4" t="str">
        <f>IFERROR(__xludf.DUMMYFUNCTION("""COMPUTED_VALUE"""),"Mts. Guardavivo yeso")</f>
        <v>Mts. Guardavivo yeso</v>
      </c>
      <c r="C1532" s="4">
        <f>IFERROR(__xludf.DUMMYFUNCTION("""COMPUTED_VALUE"""),0.41)</f>
        <v>0.41</v>
      </c>
      <c r="D1532" s="4"/>
      <c r="E1532" s="4" t="str">
        <f>IFERROR(__xludf.DUMMYFUNCTION("""COMPUTED_VALUE"""),"Sin precio neto")</f>
        <v>Sin precio neto</v>
      </c>
    </row>
    <row r="1533">
      <c r="A1533" s="4" t="str">
        <f>IFERROR(__xludf.DUMMYFUNCTION("""COMPUTED_VALUE"""),"3251")</f>
        <v>3251</v>
      </c>
      <c r="B1533" s="4" t="str">
        <f>IFERROR(__xludf.DUMMYFUNCTION("""COMPUTED_VALUE"""),"Mts. Guardacantos c/blanco")</f>
        <v>Mts. Guardacantos c/blanco</v>
      </c>
      <c r="C1533" s="4">
        <f>IFERROR(__xludf.DUMMYFUNCTION("""COMPUTED_VALUE"""),0.43)</f>
        <v>0.43</v>
      </c>
      <c r="D1533" s="4"/>
      <c r="E1533" s="4" t="str">
        <f>IFERROR(__xludf.DUMMYFUNCTION("""COMPUTED_VALUE"""),"Sin precio neto")</f>
        <v>Sin precio neto</v>
      </c>
    </row>
    <row r="1534">
      <c r="A1534" s="4" t="str">
        <f>IFERROR(__xludf.DUMMYFUNCTION("""COMPUTED_VALUE"""),"3252")</f>
        <v>3252</v>
      </c>
      <c r="B1534" s="4" t="str">
        <f>IFERROR(__xludf.DUMMYFUNCTION("""COMPUTED_VALUE"""),"Mts. Guardacantos c/ marfil")</f>
        <v>Mts. Guardacantos c/ marfil</v>
      </c>
      <c r="C1534" s="4">
        <f>IFERROR(__xludf.DUMMYFUNCTION("""COMPUTED_VALUE"""),0.43)</f>
        <v>0.43</v>
      </c>
      <c r="D1534" s="4"/>
      <c r="E1534" s="4" t="str">
        <f>IFERROR(__xludf.DUMMYFUNCTION("""COMPUTED_VALUE"""),"Sin precio neto")</f>
        <v>Sin precio neto</v>
      </c>
    </row>
    <row r="1535">
      <c r="A1535" s="4" t="str">
        <f>IFERROR(__xludf.DUMMYFUNCTION("""COMPUTED_VALUE"""),"3253")</f>
        <v>3253</v>
      </c>
      <c r="B1535" s="4" t="str">
        <f>IFERROR(__xludf.DUMMYFUNCTION("""COMPUTED_VALUE"""),"Mts. Guardacantos c/gris")</f>
        <v>Mts. Guardacantos c/gris</v>
      </c>
      <c r="C1535" s="4">
        <f>IFERROR(__xludf.DUMMYFUNCTION("""COMPUTED_VALUE"""),0.43)</f>
        <v>0.43</v>
      </c>
      <c r="D1535" s="4"/>
      <c r="E1535" s="4" t="str">
        <f>IFERROR(__xludf.DUMMYFUNCTION("""COMPUTED_VALUE"""),"Sin precio neto")</f>
        <v>Sin precio neto</v>
      </c>
    </row>
    <row r="1536">
      <c r="A1536" s="4" t="str">
        <f>IFERROR(__xludf.DUMMYFUNCTION("""COMPUTED_VALUE"""),"3254")</f>
        <v>3254</v>
      </c>
      <c r="B1536" s="4" t="str">
        <f>IFERROR(__xludf.DUMMYFUNCTION("""COMPUTED_VALUE"""),"Mts. Junquillo PVC para monocapa")</f>
        <v>Mts. Junquillo PVC para monocapa</v>
      </c>
      <c r="C1536" s="4">
        <f>IFERROR(__xludf.DUMMYFUNCTION("""COMPUTED_VALUE"""),0.33)</f>
        <v>0.33</v>
      </c>
      <c r="D1536" s="4"/>
      <c r="E1536" s="4" t="str">
        <f>IFERROR(__xludf.DUMMYFUNCTION("""COMPUTED_VALUE"""),"Sin precio neto")</f>
        <v>Sin precio neto</v>
      </c>
    </row>
    <row r="1537">
      <c r="A1537" s="4" t="str">
        <f>IFERROR(__xludf.DUMMYFUNCTION("""COMPUTED_VALUE"""),"3256")</f>
        <v>3256</v>
      </c>
      <c r="B1537" s="4" t="str">
        <f>IFERROR(__xludf.DUMMYFUNCTION("""COMPUTED_VALUE"""),"Mts. Guardavivo monocapa punta fina")</f>
        <v>Mts. Guardavivo monocapa punta fina</v>
      </c>
      <c r="C1537" s="4">
        <f>IFERROR(__xludf.DUMMYFUNCTION("""COMPUTED_VALUE"""),0.38)</f>
        <v>0.38</v>
      </c>
      <c r="D1537" s="4"/>
      <c r="E1537" s="4" t="str">
        <f>IFERROR(__xludf.DUMMYFUNCTION("""COMPUTED_VALUE"""),"Sin precio neto")</f>
        <v>Sin precio neto</v>
      </c>
    </row>
    <row r="1538">
      <c r="A1538" s="4" t="str">
        <f>IFERROR(__xludf.DUMMYFUNCTION("""COMPUTED_VALUE"""),"3300")</f>
        <v>3300</v>
      </c>
      <c r="B1538" s="4" t="str">
        <f>IFERROR(__xludf.DUMMYFUNCTION("""COMPUTED_VALUE"""),"Mt.Tubo encofrado 22/26- ( En 3 mts)")</f>
        <v>Mt.Tubo encofrado 22/26- ( En 3 mts)</v>
      </c>
      <c r="C1538" s="4">
        <f>IFERROR(__xludf.DUMMYFUNCTION("""COMPUTED_VALUE"""),0.45)</f>
        <v>0.45</v>
      </c>
      <c r="D1538" s="4">
        <f>IFERROR(__xludf.DUMMYFUNCTION("""COMPUTED_VALUE"""),0.39)</f>
        <v>0.39</v>
      </c>
      <c r="E1538" s="4" t="str">
        <f>IFERROR(__xludf.DUMMYFUNCTION("""COMPUTED_VALUE"""),"Neto: 0,39 € (a partir de 75 uds.)")</f>
        <v>Neto: 0,39 € (a partir de 75 uds.)</v>
      </c>
    </row>
    <row r="1539">
      <c r="A1539" s="4" t="str">
        <f>IFERROR(__xludf.DUMMYFUNCTION("""COMPUTED_VALUE"""),"3301")</f>
        <v>3301</v>
      </c>
      <c r="B1539" s="4" t="str">
        <f>IFERROR(__xludf.DUMMYFUNCTION("""COMPUTED_VALUE"""),"Mt.Tubo encofrado 22/26 -( En 2 mts)")</f>
        <v>Mt.Tubo encofrado 22/26 -( En 2 mts)</v>
      </c>
      <c r="C1539" s="4">
        <f>IFERROR(__xludf.DUMMYFUNCTION("""COMPUTED_VALUE"""),0.45)</f>
        <v>0.45</v>
      </c>
      <c r="D1539" s="4">
        <f>IFERROR(__xludf.DUMMYFUNCTION("""COMPUTED_VALUE"""),0.39)</f>
        <v>0.39</v>
      </c>
      <c r="E1539" s="4" t="str">
        <f>IFERROR(__xludf.DUMMYFUNCTION("""COMPUTED_VALUE"""),"Neto: 0,39 € (a partir de 50 uds.)")</f>
        <v>Neto: 0,39 € (a partir de 50 uds.)</v>
      </c>
    </row>
    <row r="1540">
      <c r="A1540" s="4" t="str">
        <f>IFERROR(__xludf.DUMMYFUNCTION("""COMPUTED_VALUE"""),"3302")</f>
        <v>3302</v>
      </c>
      <c r="B1540" s="4" t="str">
        <f>IFERROR(__xludf.DUMMYFUNCTION("""COMPUTED_VALUE"""),"Mt Tubo encofrado 26/30- ( En 2 mts)")</f>
        <v>Mt Tubo encofrado 26/30- ( En 2 mts)</v>
      </c>
      <c r="C1540" s="4">
        <f>IFERROR(__xludf.DUMMYFUNCTION("""COMPUTED_VALUE"""),0.55)</f>
        <v>0.55</v>
      </c>
      <c r="D1540" s="4">
        <f>IFERROR(__xludf.DUMMYFUNCTION("""COMPUTED_VALUE"""),0.49)</f>
        <v>0.49</v>
      </c>
      <c r="E1540" s="4" t="str">
        <f>IFERROR(__xludf.DUMMYFUNCTION("""COMPUTED_VALUE"""),"Neto: 0,49 € (a partir de 40 uds.)")</f>
        <v>Neto: 0,49 € (a partir de 40 uds.)</v>
      </c>
    </row>
    <row r="1541">
      <c r="A1541" s="4" t="str">
        <f>IFERROR(__xludf.DUMMYFUNCTION("""COMPUTED_VALUE"""),"3303")</f>
        <v>3303</v>
      </c>
      <c r="B1541" s="4" t="str">
        <f>IFERROR(__xludf.DUMMYFUNCTION("""COMPUTED_VALUE"""),"Mts. Berengeno Pequeño 27,2mm Base x 20mm Alt.")</f>
        <v>Mts. Berengeno Pequeño 27,2mm Base x 20mm Alt.</v>
      </c>
      <c r="C1541" s="4">
        <f>IFERROR(__xludf.DUMMYFUNCTION("""COMPUTED_VALUE"""),0.41)</f>
        <v>0.41</v>
      </c>
      <c r="D1541" s="4">
        <f>IFERROR(__xludf.DUMMYFUNCTION("""COMPUTED_VALUE"""),0.38)</f>
        <v>0.38</v>
      </c>
      <c r="E1541" s="4" t="str">
        <f>IFERROR(__xludf.DUMMYFUNCTION("""COMPUTED_VALUE"""),"Neto: 0,38 € (a partir de 125 uds.)")</f>
        <v>Neto: 0,38 € (a partir de 125 uds.)</v>
      </c>
    </row>
    <row r="1542">
      <c r="A1542" s="4" t="str">
        <f>IFERROR(__xludf.DUMMYFUNCTION("""COMPUTED_VALUE"""),"3304")</f>
        <v>3304</v>
      </c>
      <c r="B1542" s="4" t="str">
        <f>IFERROR(__xludf.DUMMYFUNCTION("""COMPUTED_VALUE"""),"Mts. Berengeno Mediano 34mm Base x 25mm Alt.")</f>
        <v>Mts. Berengeno Mediano 34mm Base x 25mm Alt.</v>
      </c>
      <c r="C1542" s="4">
        <f>IFERROR(__xludf.DUMMYFUNCTION("""COMPUTED_VALUE"""),0.53)</f>
        <v>0.53</v>
      </c>
      <c r="D1542" s="4">
        <f>IFERROR(__xludf.DUMMYFUNCTION("""COMPUTED_VALUE"""),0.42)</f>
        <v>0.42</v>
      </c>
      <c r="E1542" s="4" t="str">
        <f>IFERROR(__xludf.DUMMYFUNCTION("""COMPUTED_VALUE"""),"Neto: 0,42 € (a partir de 125 uds.)")</f>
        <v>Neto: 0,42 € (a partir de 125 uds.)</v>
      </c>
    </row>
    <row r="1543">
      <c r="A1543" s="4" t="str">
        <f>IFERROR(__xludf.DUMMYFUNCTION("""COMPUTED_VALUE"""),"3305")</f>
        <v>3305</v>
      </c>
      <c r="B1543" s="4" t="str">
        <f>IFERROR(__xludf.DUMMYFUNCTION("""COMPUTED_VALUE"""),"Mts. Berengeno Grande 41mm Base x 30mm Alt,")</f>
        <v>Mts. Berengeno Grande 41mm Base x 30mm Alt,</v>
      </c>
      <c r="C1543" s="4">
        <f>IFERROR(__xludf.DUMMYFUNCTION("""COMPUTED_VALUE"""),0.59)</f>
        <v>0.59</v>
      </c>
      <c r="D1543" s="4">
        <f>IFERROR(__xludf.DUMMYFUNCTION("""COMPUTED_VALUE"""),0.52)</f>
        <v>0.52</v>
      </c>
      <c r="E1543" s="4" t="str">
        <f>IFERROR(__xludf.DUMMYFUNCTION("""COMPUTED_VALUE"""),"Neto: 0,52 € (a partir de 125 uds.)")</f>
        <v>Neto: 0,52 € (a partir de 125 uds.)</v>
      </c>
    </row>
    <row r="1544">
      <c r="A1544" s="4" t="str">
        <f>IFERROR(__xludf.DUMMYFUNCTION("""COMPUTED_VALUE"""),"3306")</f>
        <v>3306</v>
      </c>
      <c r="B1544" s="4" t="str">
        <f>IFERROR(__xludf.DUMMYFUNCTION("""COMPUTED_VALUE"""),"Tubo ETUBAX 20 cm")</f>
        <v>Tubo ETUBAX 20 cm</v>
      </c>
      <c r="C1544" s="4">
        <f>IFERROR(__xludf.DUMMYFUNCTION("""COMPUTED_VALUE"""),0.29)</f>
        <v>0.29</v>
      </c>
      <c r="D1544" s="4">
        <f>IFERROR(__xludf.DUMMYFUNCTION("""COMPUTED_VALUE"""),0.24)</f>
        <v>0.24</v>
      </c>
      <c r="E1544" s="4" t="str">
        <f>IFERROR(__xludf.DUMMYFUNCTION("""COMPUTED_VALUE"""),"Neto: 0,24 € (a partir de 50 uds.)")</f>
        <v>Neto: 0,24 € (a partir de 50 uds.)</v>
      </c>
    </row>
    <row r="1545">
      <c r="A1545" s="4" t="str">
        <f>IFERROR(__xludf.DUMMYFUNCTION("""COMPUTED_VALUE"""),"3307")</f>
        <v>3307</v>
      </c>
      <c r="B1545" s="4" t="str">
        <f>IFERROR(__xludf.DUMMYFUNCTION("""COMPUTED_VALUE"""),"Tubo ETUBAX 25 cm")</f>
        <v>Tubo ETUBAX 25 cm</v>
      </c>
      <c r="C1545" s="4">
        <f>IFERROR(__xludf.DUMMYFUNCTION("""COMPUTED_VALUE"""),0.31)</f>
        <v>0.31</v>
      </c>
      <c r="D1545" s="4">
        <f>IFERROR(__xludf.DUMMYFUNCTION("""COMPUTED_VALUE"""),0.26)</f>
        <v>0.26</v>
      </c>
      <c r="E1545" s="4" t="str">
        <f>IFERROR(__xludf.DUMMYFUNCTION("""COMPUTED_VALUE"""),"Neto: 0,26 € (a partir de 50 uds.)")</f>
        <v>Neto: 0,26 € (a partir de 50 uds.)</v>
      </c>
    </row>
    <row r="1546">
      <c r="A1546" s="4" t="str">
        <f>IFERROR(__xludf.DUMMYFUNCTION("""COMPUTED_VALUE"""),"3308")</f>
        <v>3308</v>
      </c>
      <c r="B1546" s="4" t="str">
        <f>IFERROR(__xludf.DUMMYFUNCTION("""COMPUTED_VALUE"""),"Tubo ETUBAX 30 cm")</f>
        <v>Tubo ETUBAX 30 cm</v>
      </c>
      <c r="C1546" s="4">
        <f>IFERROR(__xludf.DUMMYFUNCTION("""COMPUTED_VALUE"""),0.38)</f>
        <v>0.38</v>
      </c>
      <c r="D1546" s="4">
        <f>IFERROR(__xludf.DUMMYFUNCTION("""COMPUTED_VALUE"""),0.28)</f>
        <v>0.28</v>
      </c>
      <c r="E1546" s="4" t="str">
        <f>IFERROR(__xludf.DUMMYFUNCTION("""COMPUTED_VALUE"""),"Neto: 0,28 € (a partir de 50 uds.)")</f>
        <v>Neto: 0,28 € (a partir de 50 uds.)</v>
      </c>
    </row>
    <row r="1547">
      <c r="A1547" s="4" t="str">
        <f>IFERROR(__xludf.DUMMYFUNCTION("""COMPUTED_VALUE"""),"3309")</f>
        <v>3309</v>
      </c>
      <c r="B1547" s="4" t="str">
        <f>IFERROR(__xludf.DUMMYFUNCTION("""COMPUTED_VALUE"""),"Tubo ETUBAX 35 cm")</f>
        <v>Tubo ETUBAX 35 cm</v>
      </c>
      <c r="C1547" s="4">
        <f>IFERROR(__xludf.DUMMYFUNCTION("""COMPUTED_VALUE"""),0.38)</f>
        <v>0.38</v>
      </c>
      <c r="D1547" s="4">
        <f>IFERROR(__xludf.DUMMYFUNCTION("""COMPUTED_VALUE"""),0.32)</f>
        <v>0.32</v>
      </c>
      <c r="E1547" s="4" t="str">
        <f>IFERROR(__xludf.DUMMYFUNCTION("""COMPUTED_VALUE"""),"Neto: 0,32 € (a partir de 50 uds.)")</f>
        <v>Neto: 0,32 € (a partir de 50 uds.)</v>
      </c>
    </row>
    <row r="1548">
      <c r="A1548" s="4" t="str">
        <f>IFERROR(__xludf.DUMMYFUNCTION("""COMPUTED_VALUE"""),"3310")</f>
        <v>3310</v>
      </c>
      <c r="B1548" s="4" t="str">
        <f>IFERROR(__xludf.DUMMYFUNCTION("""COMPUTED_VALUE"""),"Tubo ETUBAX 40 cm")</f>
        <v>Tubo ETUBAX 40 cm</v>
      </c>
      <c r="C1548" s="4">
        <f>IFERROR(__xludf.DUMMYFUNCTION("""COMPUTED_VALUE"""),0.46)</f>
        <v>0.46</v>
      </c>
      <c r="D1548" s="4">
        <f>IFERROR(__xludf.DUMMYFUNCTION("""COMPUTED_VALUE"""),0.39)</f>
        <v>0.39</v>
      </c>
      <c r="E1548" s="4" t="str">
        <f>IFERROR(__xludf.DUMMYFUNCTION("""COMPUTED_VALUE"""),"Neto: 0,39 € (a partir de 50 uds.)")</f>
        <v>Neto: 0,39 € (a partir de 50 uds.)</v>
      </c>
    </row>
    <row r="1549">
      <c r="A1549" s="4" t="str">
        <f>IFERROR(__xludf.DUMMYFUNCTION("""COMPUTED_VALUE"""),"3315")</f>
        <v>3315</v>
      </c>
      <c r="B1549" s="4" t="str">
        <f>IFERROR(__xludf.DUMMYFUNCTION("""COMPUTED_VALUE"""),"Mts. Berengeno Mini 17,2mm Base x 12,5 mm Alt.")</f>
        <v>Mts. Berengeno Mini 17,2mm Base x 12,5 mm Alt.</v>
      </c>
      <c r="C1549" s="4">
        <f>IFERROR(__xludf.DUMMYFUNCTION("""COMPUTED_VALUE"""),0.33)</f>
        <v>0.33</v>
      </c>
      <c r="D1549" s="4"/>
      <c r="E1549" s="4" t="str">
        <f>IFERROR(__xludf.DUMMYFUNCTION("""COMPUTED_VALUE"""),"Sin precio neto")</f>
        <v>Sin precio neto</v>
      </c>
    </row>
    <row r="1550">
      <c r="A1550" s="4" t="str">
        <f>IFERROR(__xludf.DUMMYFUNCTION("""COMPUTED_VALUE"""),"3370")</f>
        <v>3370</v>
      </c>
      <c r="B1550" s="4" t="str">
        <f>IFERROR(__xludf.DUMMYFUNCTION("""COMPUTED_VALUE"""),"Separador rueda 25 m/m (1000 Unid)")</f>
        <v>Separador rueda 25 m/m (1000 Unid)</v>
      </c>
      <c r="C1550" s="4">
        <f>IFERROR(__xludf.DUMMYFUNCTION("""COMPUTED_VALUE"""),27.9)</f>
        <v>27.9</v>
      </c>
      <c r="D1550" s="4">
        <f>IFERROR(__xludf.DUMMYFUNCTION("""COMPUTED_VALUE"""),23.8)</f>
        <v>23.8</v>
      </c>
      <c r="E1550" s="4" t="str">
        <f>IFERROR(__xludf.DUMMYFUNCTION("""COMPUTED_VALUE"""),"Neto: 23,80 € (a partir de 1 uds.)")</f>
        <v>Neto: 23,80 € (a partir de 1 uds.)</v>
      </c>
    </row>
    <row r="1551">
      <c r="A1551" s="4" t="str">
        <f>IFERROR(__xludf.DUMMYFUNCTION("""COMPUTED_VALUE"""),"3371")</f>
        <v>3371</v>
      </c>
      <c r="B1551" s="4" t="str">
        <f>IFERROR(__xludf.DUMMYFUNCTION("""COMPUTED_VALUE"""),"Separador rueda 30 m/m (1000 Unid)")</f>
        <v>Separador rueda 30 m/m (1000 Unid)</v>
      </c>
      <c r="C1551" s="4">
        <f>IFERROR(__xludf.DUMMYFUNCTION("""COMPUTED_VALUE"""),29.95)</f>
        <v>29.95</v>
      </c>
      <c r="D1551" s="4">
        <f>IFERROR(__xludf.DUMMYFUNCTION("""COMPUTED_VALUE"""),25.5)</f>
        <v>25.5</v>
      </c>
      <c r="E1551" s="4" t="str">
        <f>IFERROR(__xludf.DUMMYFUNCTION("""COMPUTED_VALUE"""),"Neto: 25,50 € (a partir de 1 uds.)")</f>
        <v>Neto: 25,50 € (a partir de 1 uds.)</v>
      </c>
    </row>
    <row r="1552">
      <c r="A1552" s="4" t="str">
        <f>IFERROR(__xludf.DUMMYFUNCTION("""COMPUTED_VALUE"""),"3372")</f>
        <v>3372</v>
      </c>
      <c r="B1552" s="4" t="str">
        <f>IFERROR(__xludf.DUMMYFUNCTION("""COMPUTED_VALUE"""),"Separador rueda 35 m/m (500 Unid)")</f>
        <v>Separador rueda 35 m/m (500 Unid)</v>
      </c>
      <c r="C1552" s="4">
        <f>IFERROR(__xludf.DUMMYFUNCTION("""COMPUTED_VALUE"""),23.5)</f>
        <v>23.5</v>
      </c>
      <c r="D1552" s="4">
        <f>IFERROR(__xludf.DUMMYFUNCTION("""COMPUTED_VALUE"""),22.0)</f>
        <v>22</v>
      </c>
      <c r="E1552" s="4" t="str">
        <f>IFERROR(__xludf.DUMMYFUNCTION("""COMPUTED_VALUE"""),"Neto: 22,00 € (a partir de 1 uds.)")</f>
        <v>Neto: 22,00 € (a partir de 1 uds.)</v>
      </c>
    </row>
    <row r="1553">
      <c r="A1553" s="4" t="str">
        <f>IFERROR(__xludf.DUMMYFUNCTION("""COMPUTED_VALUE"""),"3373")</f>
        <v>3373</v>
      </c>
      <c r="B1553" s="4" t="str">
        <f>IFERROR(__xludf.DUMMYFUNCTION("""COMPUTED_VALUE"""),"Separador rueda 40 m/m (500 Unid)")</f>
        <v>Separador rueda 40 m/m (500 Unid)</v>
      </c>
      <c r="C1553" s="4">
        <f>IFERROR(__xludf.DUMMYFUNCTION("""COMPUTED_VALUE"""),29.25)</f>
        <v>29.25</v>
      </c>
      <c r="D1553" s="4">
        <f>IFERROR(__xludf.DUMMYFUNCTION("""COMPUTED_VALUE"""),24.0)</f>
        <v>24</v>
      </c>
      <c r="E1553" s="4" t="str">
        <f>IFERROR(__xludf.DUMMYFUNCTION("""COMPUTED_VALUE"""),"Neto: 24,00 € (a partir de 1 uds.)")</f>
        <v>Neto: 24,00 € (a partir de 1 uds.)</v>
      </c>
    </row>
    <row r="1554">
      <c r="A1554" s="4" t="str">
        <f>IFERROR(__xludf.DUMMYFUNCTION("""COMPUTED_VALUE"""),"3374")</f>
        <v>3374</v>
      </c>
      <c r="B1554" s="4" t="str">
        <f>IFERROR(__xludf.DUMMYFUNCTION("""COMPUTED_VALUE"""),"Separador rueda 50 m/m (250 Unid)")</f>
        <v>Separador rueda 50 m/m (250 Unid)</v>
      </c>
      <c r="C1554" s="4">
        <f>IFERROR(__xludf.DUMMYFUNCTION("""COMPUTED_VALUE"""),26.75)</f>
        <v>26.75</v>
      </c>
      <c r="D1554" s="4">
        <f>IFERROR(__xludf.DUMMYFUNCTION("""COMPUTED_VALUE"""),23.5)</f>
        <v>23.5</v>
      </c>
      <c r="E1554" s="4" t="str">
        <f>IFERROR(__xludf.DUMMYFUNCTION("""COMPUTED_VALUE"""),"Neto: 23,50 € (a partir de 1 uds.)")</f>
        <v>Neto: 23,50 € (a partir de 1 uds.)</v>
      </c>
    </row>
    <row r="1555">
      <c r="A1555" s="4" t="str">
        <f>IFERROR(__xludf.DUMMYFUNCTION("""COMPUTED_VALUE"""),"3376")</f>
        <v>3376</v>
      </c>
      <c r="B1555" s="4" t="str">
        <f>IFERROR(__xludf.DUMMYFUNCTION("""COMPUTED_VALUE"""),"Separador rueda 70 m/m ( 150 unid )")</f>
        <v>Separador rueda 70 m/m ( 150 unid )</v>
      </c>
      <c r="C1555" s="4">
        <f>IFERROR(__xludf.DUMMYFUNCTION("""COMPUTED_VALUE"""),27.75)</f>
        <v>27.75</v>
      </c>
      <c r="D1555" s="4">
        <f>IFERROR(__xludf.DUMMYFUNCTION("""COMPUTED_VALUE"""),23.0)</f>
        <v>23</v>
      </c>
      <c r="E1555" s="4" t="str">
        <f>IFERROR(__xludf.DUMMYFUNCTION("""COMPUTED_VALUE"""),"Neto: 23,00 € (a partir de 1 uds.)")</f>
        <v>Neto: 23,00 € (a partir de 1 uds.)</v>
      </c>
    </row>
    <row r="1556">
      <c r="A1556" s="4" t="str">
        <f>IFERROR(__xludf.DUMMYFUNCTION("""COMPUTED_VALUE"""),"3390")</f>
        <v>3390</v>
      </c>
      <c r="B1556" s="4" t="str">
        <f>IFERROR(__xludf.DUMMYFUNCTION("""COMPUTED_VALUE"""),"Cono standard tubo de 26 mm (1000 unid )")</f>
        <v>Cono standard tubo de 26 mm (1000 unid )</v>
      </c>
      <c r="C1556" s="4">
        <f>IFERROR(__xludf.DUMMYFUNCTION("""COMPUTED_VALUE"""),55.08)</f>
        <v>55.08</v>
      </c>
      <c r="D1556" s="4"/>
      <c r="E1556" s="4" t="str">
        <f>IFERROR(__xludf.DUMMYFUNCTION("""COMPUTED_VALUE"""),"Sin precio neto")</f>
        <v>Sin precio neto</v>
      </c>
    </row>
    <row r="1557">
      <c r="A1557" s="4" t="str">
        <f>IFERROR(__xludf.DUMMYFUNCTION("""COMPUTED_VALUE"""),"3391")</f>
        <v>3391</v>
      </c>
      <c r="B1557" s="4" t="str">
        <f>IFERROR(__xludf.DUMMYFUNCTION("""COMPUTED_VALUE"""),"Cono para tubo 22/26 bolsa 1000 uds")</f>
        <v>Cono para tubo 22/26 bolsa 1000 uds</v>
      </c>
      <c r="C1557" s="4">
        <f>IFERROR(__xludf.DUMMYFUNCTION("""COMPUTED_VALUE"""),18.0)</f>
        <v>18</v>
      </c>
      <c r="D1557" s="4">
        <f>IFERROR(__xludf.DUMMYFUNCTION("""COMPUTED_VALUE"""),15.5)</f>
        <v>15.5</v>
      </c>
      <c r="E1557" s="4" t="str">
        <f>IFERROR(__xludf.DUMMYFUNCTION("""COMPUTED_VALUE"""),"Neto: 15,50 € (a partir de 1 uds.)")</f>
        <v>Neto: 15,50 € (a partir de 1 uds.)</v>
      </c>
    </row>
    <row r="1558">
      <c r="A1558" s="4" t="str">
        <f>IFERROR(__xludf.DUMMYFUNCTION("""COMPUTED_VALUE"""),"3392")</f>
        <v>3392</v>
      </c>
      <c r="B1558" s="4" t="str">
        <f>IFERROR(__xludf.DUMMYFUNCTION("""COMPUTED_VALUE"""),"Cono liso para tubo 22 mm ( 500 unid )")</f>
        <v>Cono liso para tubo 22 mm ( 500 unid )</v>
      </c>
      <c r="C1558" s="4">
        <f>IFERROR(__xludf.DUMMYFUNCTION("""COMPUTED_VALUE"""),14.15)</f>
        <v>14.15</v>
      </c>
      <c r="D1558" s="4"/>
      <c r="E1558" s="4" t="str">
        <f>IFERROR(__xludf.DUMMYFUNCTION("""COMPUTED_VALUE"""),"Sin precio neto")</f>
        <v>Sin precio neto</v>
      </c>
    </row>
    <row r="1559">
      <c r="A1559" s="4" t="str">
        <f>IFERROR(__xludf.DUMMYFUNCTION("""COMPUTED_VALUE"""),"3393")</f>
        <v>3393</v>
      </c>
      <c r="B1559" s="4" t="str">
        <f>IFERROR(__xludf.DUMMYFUNCTION("""COMPUTED_VALUE"""),"Tapón para cono liso (500 und)")</f>
        <v>Tapón para cono liso (500 und)</v>
      </c>
      <c r="C1559" s="4">
        <f>IFERROR(__xludf.DUMMYFUNCTION("""COMPUTED_VALUE"""),10.5)</f>
        <v>10.5</v>
      </c>
      <c r="D1559" s="4"/>
      <c r="E1559" s="4" t="str">
        <f>IFERROR(__xludf.DUMMYFUNCTION("""COMPUTED_VALUE"""),"Sin precio neto")</f>
        <v>Sin precio neto</v>
      </c>
    </row>
    <row r="1560">
      <c r="A1560" s="4" t="str">
        <f>IFERROR(__xludf.DUMMYFUNCTION("""COMPUTED_VALUE"""),"3394")</f>
        <v>3394</v>
      </c>
      <c r="B1560" s="4" t="str">
        <f>IFERROR(__xludf.DUMMYFUNCTION("""COMPUTED_VALUE"""),"Tapon estanco 4 aletas tubo 22 (500 unid)")</f>
        <v>Tapon estanco 4 aletas tubo 22 (500 unid)</v>
      </c>
      <c r="C1560" s="4">
        <f>IFERROR(__xludf.DUMMYFUNCTION("""COMPUTED_VALUE"""),17.3)</f>
        <v>17.3</v>
      </c>
      <c r="D1560" s="4">
        <f>IFERROR(__xludf.DUMMYFUNCTION("""COMPUTED_VALUE"""),14.5)</f>
        <v>14.5</v>
      </c>
      <c r="E1560" s="4" t="str">
        <f>IFERROR(__xludf.DUMMYFUNCTION("""COMPUTED_VALUE"""),"Neto: 14,50 € (a partir de 1 uds.)")</f>
        <v>Neto: 14,50 € (a partir de 1 uds.)</v>
      </c>
    </row>
    <row r="1561">
      <c r="A1561" s="4" t="str">
        <f>IFERROR(__xludf.DUMMYFUNCTION("""COMPUTED_VALUE"""),"3396")</f>
        <v>3396</v>
      </c>
      <c r="B1561" s="4" t="str">
        <f>IFERROR(__xludf.DUMMYFUNCTION("""COMPUTED_VALUE"""),"Tapón standard tubo 22 m/m (1000 Uni)")</f>
        <v>Tapón standard tubo 22 m/m (1000 Uni)</v>
      </c>
      <c r="C1561" s="4">
        <f>IFERROR(__xludf.DUMMYFUNCTION("""COMPUTED_VALUE"""),14.15)</f>
        <v>14.15</v>
      </c>
      <c r="D1561" s="4">
        <f>IFERROR(__xludf.DUMMYFUNCTION("""COMPUTED_VALUE"""),12.5)</f>
        <v>12.5</v>
      </c>
      <c r="E1561" s="4" t="str">
        <f>IFERROR(__xludf.DUMMYFUNCTION("""COMPUTED_VALUE"""),"Neto: 12,50 € (a partir de 1 uds.)")</f>
        <v>Neto: 12,50 € (a partir de 1 uds.)</v>
      </c>
    </row>
    <row r="1562">
      <c r="A1562" s="4" t="str">
        <f>IFERROR(__xludf.DUMMYFUNCTION("""COMPUTED_VALUE"""),"3397")</f>
        <v>3397</v>
      </c>
      <c r="B1562" s="4" t="str">
        <f>IFERROR(__xludf.DUMMYFUNCTION("""COMPUTED_VALUE"""),"Tapón standard tubo 26 m/m 1000 unid)")</f>
        <v>Tapón standard tubo 26 m/m 1000 unid)</v>
      </c>
      <c r="C1562" s="4">
        <f>IFERROR(__xludf.DUMMYFUNCTION("""COMPUTED_VALUE"""),33.6)</f>
        <v>33.6</v>
      </c>
      <c r="D1562" s="4"/>
      <c r="E1562" s="4" t="str">
        <f>IFERROR(__xludf.DUMMYFUNCTION("""COMPUTED_VALUE"""),"Sin precio neto")</f>
        <v>Sin precio neto</v>
      </c>
    </row>
    <row r="1563">
      <c r="A1563" s="4" t="str">
        <f>IFERROR(__xludf.DUMMYFUNCTION("""COMPUTED_VALUE"""),"4004")</f>
        <v>4004</v>
      </c>
      <c r="B1563" s="4" t="str">
        <f>IFERROR(__xludf.DUMMYFUNCTION("""COMPUTED_VALUE"""),"Mts. cuerda CERVINO 4 m/m")</f>
        <v>Mts. cuerda CERVINO 4 m/m</v>
      </c>
      <c r="C1563" s="4">
        <f>IFERROR(__xludf.DUMMYFUNCTION("""COMPUTED_VALUE"""),0.14)</f>
        <v>0.14</v>
      </c>
      <c r="D1563" s="4"/>
      <c r="E1563" s="4" t="str">
        <f>IFERROR(__xludf.DUMMYFUNCTION("""COMPUTED_VALUE"""),"Sin precio neto")</f>
        <v>Sin precio neto</v>
      </c>
    </row>
    <row r="1564">
      <c r="A1564" s="4" t="str">
        <f>IFERROR(__xludf.DUMMYFUNCTION("""COMPUTED_VALUE"""),"4006")</f>
        <v>4006</v>
      </c>
      <c r="B1564" s="4" t="str">
        <f>IFERROR(__xludf.DUMMYFUNCTION("""COMPUTED_VALUE"""),"Mts. cuerda CERVINO 6 m/m")</f>
        <v>Mts. cuerda CERVINO 6 m/m</v>
      </c>
      <c r="C1564" s="4">
        <f>IFERROR(__xludf.DUMMYFUNCTION("""COMPUTED_VALUE"""),0.19)</f>
        <v>0.19</v>
      </c>
      <c r="D1564" s="4"/>
      <c r="E1564" s="4" t="str">
        <f>IFERROR(__xludf.DUMMYFUNCTION("""COMPUTED_VALUE"""),"Sin precio neto")</f>
        <v>Sin precio neto</v>
      </c>
    </row>
    <row r="1565">
      <c r="A1565" s="4" t="str">
        <f>IFERROR(__xludf.DUMMYFUNCTION("""COMPUTED_VALUE"""),"4008")</f>
        <v>4008</v>
      </c>
      <c r="B1565" s="4" t="str">
        <f>IFERROR(__xludf.DUMMYFUNCTION("""COMPUTED_VALUE"""),"Mts. cuerda CERVINO 8 m/m")</f>
        <v>Mts. cuerda CERVINO 8 m/m</v>
      </c>
      <c r="C1565" s="4">
        <f>IFERROR(__xludf.DUMMYFUNCTION("""COMPUTED_VALUE"""),0.25)</f>
        <v>0.25</v>
      </c>
      <c r="D1565" s="4"/>
      <c r="E1565" s="4" t="str">
        <f>IFERROR(__xludf.DUMMYFUNCTION("""COMPUTED_VALUE"""),"Sin precio neto")</f>
        <v>Sin precio neto</v>
      </c>
    </row>
    <row r="1566">
      <c r="A1566" s="4" t="str">
        <f>IFERROR(__xludf.DUMMYFUNCTION("""COMPUTED_VALUE"""),"4010")</f>
        <v>4010</v>
      </c>
      <c r="B1566" s="4" t="str">
        <f>IFERROR(__xludf.DUMMYFUNCTION("""COMPUTED_VALUE"""),"Mts. cuerda CERVINO 10 m/m")</f>
        <v>Mts. cuerda CERVINO 10 m/m</v>
      </c>
      <c r="C1566" s="4">
        <f>IFERROR(__xludf.DUMMYFUNCTION("""COMPUTED_VALUE"""),0.41)</f>
        <v>0.41</v>
      </c>
      <c r="D1566" s="4"/>
      <c r="E1566" s="4" t="str">
        <f>IFERROR(__xludf.DUMMYFUNCTION("""COMPUTED_VALUE"""),"Sin precio neto")</f>
        <v>Sin precio neto</v>
      </c>
    </row>
    <row r="1567">
      <c r="A1567" s="4" t="str">
        <f>IFERROR(__xludf.DUMMYFUNCTION("""COMPUTED_VALUE"""),"4012")</f>
        <v>4012</v>
      </c>
      <c r="B1567" s="4" t="str">
        <f>IFERROR(__xludf.DUMMYFUNCTION("""COMPUTED_VALUE"""),"Mts. cuerda CERVINO 12 m/m")</f>
        <v>Mts. cuerda CERVINO 12 m/m</v>
      </c>
      <c r="C1567" s="4">
        <f>IFERROR(__xludf.DUMMYFUNCTION("""COMPUTED_VALUE"""),0.66)</f>
        <v>0.66</v>
      </c>
      <c r="D1567" s="4"/>
      <c r="E1567" s="4" t="str">
        <f>IFERROR(__xludf.DUMMYFUNCTION("""COMPUTED_VALUE"""),"Sin precio neto")</f>
        <v>Sin precio neto</v>
      </c>
    </row>
    <row r="1568">
      <c r="A1568" s="4" t="str">
        <f>IFERROR(__xludf.DUMMYFUNCTION("""COMPUTED_VALUE"""),"4014")</f>
        <v>4014</v>
      </c>
      <c r="B1568" s="4" t="str">
        <f>IFERROR(__xludf.DUMMYFUNCTION("""COMPUTED_VALUE"""),"Mts. cuerda CERVINO 14 m/m")</f>
        <v>Mts. cuerda CERVINO 14 m/m</v>
      </c>
      <c r="C1568" s="4">
        <f>IFERROR(__xludf.DUMMYFUNCTION("""COMPUTED_VALUE"""),0.72)</f>
        <v>0.72</v>
      </c>
      <c r="D1568" s="4"/>
      <c r="E1568" s="4" t="str">
        <f>IFERROR(__xludf.DUMMYFUNCTION("""COMPUTED_VALUE"""),"Sin precio neto")</f>
        <v>Sin precio neto</v>
      </c>
    </row>
    <row r="1569">
      <c r="A1569" s="4" t="str">
        <f>IFERROR(__xludf.DUMMYFUNCTION("""COMPUTED_VALUE"""),"4016")</f>
        <v>4016</v>
      </c>
      <c r="B1569" s="4" t="str">
        <f>IFERROR(__xludf.DUMMYFUNCTION("""COMPUTED_VALUE"""),"Mts. cuerda CERVINO 16 m/m")</f>
        <v>Mts. cuerda CERVINO 16 m/m</v>
      </c>
      <c r="C1569" s="4">
        <f>IFERROR(__xludf.DUMMYFUNCTION("""COMPUTED_VALUE"""),0.88)</f>
        <v>0.88</v>
      </c>
      <c r="D1569" s="4"/>
      <c r="E1569" s="4" t="str">
        <f>IFERROR(__xludf.DUMMYFUNCTION("""COMPUTED_VALUE"""),"Sin precio neto")</f>
        <v>Sin precio neto</v>
      </c>
    </row>
    <row r="1570">
      <c r="A1570" s="4" t="str">
        <f>IFERROR(__xludf.DUMMYFUNCTION("""COMPUTED_VALUE"""),"4018")</f>
        <v>4018</v>
      </c>
      <c r="B1570" s="4" t="str">
        <f>IFERROR(__xludf.DUMMYFUNCTION("""COMPUTED_VALUE"""),"Mts. cuerda CERVINO 18 m/m")</f>
        <v>Mts. cuerda CERVINO 18 m/m</v>
      </c>
      <c r="C1570" s="4">
        <f>IFERROR(__xludf.DUMMYFUNCTION("""COMPUTED_VALUE"""),1.12)</f>
        <v>1.12</v>
      </c>
      <c r="D1570" s="4"/>
      <c r="E1570" s="4" t="str">
        <f>IFERROR(__xludf.DUMMYFUNCTION("""COMPUTED_VALUE"""),"Sin precio neto")</f>
        <v>Sin precio neto</v>
      </c>
    </row>
    <row r="1571">
      <c r="A1571" s="4" t="str">
        <f>IFERROR(__xludf.DUMMYFUNCTION("""COMPUTED_VALUE"""),"4020")</f>
        <v>4020</v>
      </c>
      <c r="B1571" s="4" t="str">
        <f>IFERROR(__xludf.DUMMYFUNCTION("""COMPUTED_VALUE"""),"Mts. cuerda CERVINO 20 m/m")</f>
        <v>Mts. cuerda CERVINO 20 m/m</v>
      </c>
      <c r="C1571" s="4">
        <f>IFERROR(__xludf.DUMMYFUNCTION("""COMPUTED_VALUE"""),1.45)</f>
        <v>1.45</v>
      </c>
      <c r="D1571" s="4"/>
      <c r="E1571" s="4" t="str">
        <f>IFERROR(__xludf.DUMMYFUNCTION("""COMPUTED_VALUE"""),"Sin precio neto")</f>
        <v>Sin precio neto</v>
      </c>
    </row>
    <row r="1572">
      <c r="A1572" s="4" t="str">
        <f>IFERROR(__xludf.DUMMYFUNCTION("""COMPUTED_VALUE"""),"4050")</f>
        <v>4050</v>
      </c>
      <c r="B1572" s="4" t="str">
        <f>IFERROR(__xludf.DUMMYFUNCTION("""COMPUTED_VALUE"""),"Señal complementaria TPU rectanagular 440x360 mm Reflex")</f>
        <v>Señal complementaria TPU rectanagular 440x360 mm Reflex</v>
      </c>
      <c r="C1572" s="4">
        <f>IFERROR(__xludf.DUMMYFUNCTION("""COMPUTED_VALUE"""),9.0)</f>
        <v>9</v>
      </c>
      <c r="D1572" s="4"/>
      <c r="E1572" s="4" t="str">
        <f>IFERROR(__xludf.DUMMYFUNCTION("""COMPUTED_VALUE"""),"Sin precio neto")</f>
        <v>Sin precio neto</v>
      </c>
    </row>
    <row r="1573">
      <c r="A1573" s="4" t="str">
        <f>IFERROR(__xludf.DUMMYFUNCTION("""COMPUTED_VALUE"""),"4080")</f>
        <v>4080</v>
      </c>
      <c r="B1573" s="4" t="str">
        <f>IFERROR(__xludf.DUMMYFUNCTION("""COMPUTED_VALUE"""),"Tope parking 59 L x 12 Anc. x 10 Alt. Mod. B")</f>
        <v>Tope parking 59 L x 12 Anc. x 10 Alt. Mod. B</v>
      </c>
      <c r="C1573" s="4">
        <f>IFERROR(__xludf.DUMMYFUNCTION("""COMPUTED_VALUE"""),9.75)</f>
        <v>9.75</v>
      </c>
      <c r="D1573" s="4"/>
      <c r="E1573" s="4" t="str">
        <f>IFERROR(__xludf.DUMMYFUNCTION("""COMPUTED_VALUE"""),"Sin precio neto")</f>
        <v>Sin precio neto</v>
      </c>
    </row>
    <row r="1574">
      <c r="A1574" s="4" t="str">
        <f>IFERROR(__xludf.DUMMYFUNCTION("""COMPUTED_VALUE"""),"4081")</f>
        <v>4081</v>
      </c>
      <c r="B1574" s="4" t="str">
        <f>IFERROR(__xludf.DUMMYFUNCTION("""COMPUTED_VALUE"""),"Tope parking 55 L x 14,5 Anc x 15 Alt. Mod. C")</f>
        <v>Tope parking 55 L x 14,5 Anc x 15 Alt. Mod. C</v>
      </c>
      <c r="C1574" s="4">
        <f>IFERROR(__xludf.DUMMYFUNCTION("""COMPUTED_VALUE"""),14.35)</f>
        <v>14.35</v>
      </c>
      <c r="D1574" s="4"/>
      <c r="E1574" s="4" t="str">
        <f>IFERROR(__xludf.DUMMYFUNCTION("""COMPUTED_VALUE"""),"Sin precio neto")</f>
        <v>Sin precio neto</v>
      </c>
    </row>
    <row r="1575">
      <c r="A1575" s="4" t="str">
        <f>IFERROR(__xludf.DUMMYFUNCTION("""COMPUTED_VALUE"""),"4090C")</f>
        <v>4090C</v>
      </c>
      <c r="B1575" s="4" t="str">
        <f>IFERROR(__xludf.DUMMYFUNCTION("""COMPUTED_VALUE"""),"Aparcabicis modulo central 2 bicicletas")</f>
        <v>Aparcabicis modulo central 2 bicicletas</v>
      </c>
      <c r="C1575" s="4">
        <f>IFERROR(__xludf.DUMMYFUNCTION("""COMPUTED_VALUE"""),49.875)</f>
        <v>49.875</v>
      </c>
      <c r="D1575" s="4"/>
      <c r="E1575" s="4" t="str">
        <f>IFERROR(__xludf.DUMMYFUNCTION("""COMPUTED_VALUE"""),"Sin precio neto")</f>
        <v>Sin precio neto</v>
      </c>
    </row>
    <row r="1576">
      <c r="A1576" s="4" t="str">
        <f>IFERROR(__xludf.DUMMYFUNCTION("""COMPUTED_VALUE"""),"4090E")</f>
        <v>4090E</v>
      </c>
      <c r="B1576" s="4" t="str">
        <f>IFERROR(__xludf.DUMMYFUNCTION("""COMPUTED_VALUE"""),"Aparcabicis modulo extremo 2 bicicletas")</f>
        <v>Aparcabicis modulo extremo 2 bicicletas</v>
      </c>
      <c r="C1576" s="4">
        <f>IFERROR(__xludf.DUMMYFUNCTION("""COMPUTED_VALUE"""),49.875)</f>
        <v>49.875</v>
      </c>
      <c r="D1576" s="4"/>
      <c r="E1576" s="4" t="str">
        <f>IFERROR(__xludf.DUMMYFUNCTION("""COMPUTED_VALUE"""),"Sin precio neto")</f>
        <v>Sin precio neto</v>
      </c>
    </row>
    <row r="1577">
      <c r="A1577" s="4" t="str">
        <f>IFERROR(__xludf.DUMMYFUNCTION("""COMPUTED_VALUE"""),"4090U")</f>
        <v>4090U</v>
      </c>
      <c r="B1577" s="4" t="str">
        <f>IFERROR(__xludf.DUMMYFUNCTION("""COMPUTED_VALUE"""),"Aparcabicis unión modulos")</f>
        <v>Aparcabicis unión modulos</v>
      </c>
      <c r="C1577" s="4">
        <f>IFERROR(__xludf.DUMMYFUNCTION("""COMPUTED_VALUE"""),4.75)</f>
        <v>4.75</v>
      </c>
      <c r="D1577" s="4"/>
      <c r="E1577" s="4" t="str">
        <f>IFERROR(__xludf.DUMMYFUNCTION("""COMPUTED_VALUE"""),"Sin precio neto")</f>
        <v>Sin precio neto</v>
      </c>
    </row>
    <row r="1578">
      <c r="A1578" s="4" t="str">
        <f>IFERROR(__xludf.DUMMYFUNCTION("""COMPUTED_VALUE"""),"4098")</f>
        <v>4098</v>
      </c>
      <c r="B1578" s="4" t="str">
        <f>IFERROR(__xludf.DUMMYFUNCTION("""COMPUTED_VALUE"""),"Cepo parking Mod. A 49,5 cm x 49,5 cm x 9 cm con llave")</f>
        <v>Cepo parking Mod. A 49,5 cm x 49,5 cm x 9 cm con llave</v>
      </c>
      <c r="C1578" s="4">
        <f>IFERROR(__xludf.DUMMYFUNCTION("""COMPUTED_VALUE"""),38.63)</f>
        <v>38.63</v>
      </c>
      <c r="D1578" s="4"/>
      <c r="E1578" s="4" t="str">
        <f>IFERROR(__xludf.DUMMYFUNCTION("""COMPUTED_VALUE"""),"Sin precio neto")</f>
        <v>Sin precio neto</v>
      </c>
    </row>
    <row r="1579">
      <c r="A1579" s="4" t="str">
        <f>IFERROR(__xludf.DUMMYFUNCTION("""COMPUTED_VALUE"""),"4099")</f>
        <v>4099</v>
      </c>
      <c r="B1579" s="4" t="str">
        <f>IFERROR(__xludf.DUMMYFUNCTION("""COMPUTED_VALUE"""),"Cepo parking Mod. B 76 cm x 47 cm c/candado")</f>
        <v>Cepo parking Mod. B 76 cm x 47 cm c/candado</v>
      </c>
      <c r="C1579" s="4">
        <f>IFERROR(__xludf.DUMMYFUNCTION("""COMPUTED_VALUE"""),22.0)</f>
        <v>22</v>
      </c>
      <c r="D1579" s="4">
        <f>IFERROR(__xludf.DUMMYFUNCTION("""COMPUTED_VALUE"""),18.0)</f>
        <v>18</v>
      </c>
      <c r="E1579" s="4" t="str">
        <f>IFERROR(__xludf.DUMMYFUNCTION("""COMPUTED_VALUE"""),"Neto: 18,00 € (a partir de 1 uds.)")</f>
        <v>Neto: 18,00 € (a partir de 1 uds.)</v>
      </c>
    </row>
    <row r="1580">
      <c r="A1580" s="4" t="str">
        <f>IFERROR(__xludf.DUMMYFUNCTION("""COMPUTED_VALUE"""),"4100")</f>
        <v>4100</v>
      </c>
      <c r="B1580" s="4" t="str">
        <f>IFERROR(__xludf.DUMMYFUNCTION("""COMPUTED_VALUE"""),"Espejo trafico 600 mm Mod. Basic c/ visera")</f>
        <v>Espejo trafico 600 mm Mod. Basic c/ visera</v>
      </c>
      <c r="C1580" s="4">
        <f>IFERROR(__xludf.DUMMYFUNCTION("""COMPUTED_VALUE"""),34.5)</f>
        <v>34.5</v>
      </c>
      <c r="D1580" s="4">
        <f>IFERROR(__xludf.DUMMYFUNCTION("""COMPUTED_VALUE"""),29.0)</f>
        <v>29</v>
      </c>
      <c r="E1580" s="4" t="str">
        <f>IFERROR(__xludf.DUMMYFUNCTION("""COMPUTED_VALUE"""),"Neto: 29,00 € (a partir de 5 uds.)")</f>
        <v>Neto: 29,00 € (a partir de 5 uds.)</v>
      </c>
    </row>
    <row r="1581">
      <c r="A1581" s="4" t="str">
        <f>IFERROR(__xludf.DUMMYFUNCTION("""COMPUTED_VALUE"""),"4101")</f>
        <v>4101</v>
      </c>
      <c r="B1581" s="4" t="str">
        <f>IFERROR(__xludf.DUMMYFUNCTION("""COMPUTED_VALUE"""),"Espejo Trafico 800 mm Mod. Basic c visera")</f>
        <v>Espejo Trafico 800 mm Mod. Basic c visera</v>
      </c>
      <c r="C1581" s="4">
        <f>IFERROR(__xludf.DUMMYFUNCTION("""COMPUTED_VALUE"""),63.0)</f>
        <v>63</v>
      </c>
      <c r="D1581" s="4">
        <f>IFERROR(__xludf.DUMMYFUNCTION("""COMPUTED_VALUE"""),45.0)</f>
        <v>45</v>
      </c>
      <c r="E1581" s="4" t="str">
        <f>IFERROR(__xludf.DUMMYFUNCTION("""COMPUTED_VALUE"""),"Neto: 45,00 € (a partir de 5 uds.)")</f>
        <v>Neto: 45,00 € (a partir de 5 uds.)</v>
      </c>
    </row>
    <row r="1582">
      <c r="A1582" s="4" t="str">
        <f>IFERROR(__xludf.DUMMYFUNCTION("""COMPUTED_VALUE"""),"4103")</f>
        <v>4103</v>
      </c>
      <c r="B1582" s="4" t="str">
        <f>IFERROR(__xludf.DUMMYFUNCTION("""COMPUTED_VALUE"""),"Esquinera proteccion columna 80 cm mod. B")</f>
        <v>Esquinera proteccion columna 80 cm mod. B</v>
      </c>
      <c r="C1582" s="4">
        <f>IFERROR(__xludf.DUMMYFUNCTION("""COMPUTED_VALUE"""),4.4)</f>
        <v>4.4</v>
      </c>
      <c r="D1582" s="4"/>
      <c r="E1582" s="4" t="str">
        <f>IFERROR(__xludf.DUMMYFUNCTION("""COMPUTED_VALUE"""),"Sin precio neto")</f>
        <v>Sin precio neto</v>
      </c>
    </row>
    <row r="1583">
      <c r="A1583" s="4" t="str">
        <f>IFERROR(__xludf.DUMMYFUNCTION("""COMPUTED_VALUE"""),"4104")</f>
        <v>4104</v>
      </c>
      <c r="B1583" s="4" t="str">
        <f>IFERROR(__xludf.DUMMYFUNCTION("""COMPUTED_VALUE"""),"Tope parking 55 x 15 Anc. x 10 Alt Mod. A")</f>
        <v>Tope parking 55 x 15 Anc. x 10 Alt Mod. A</v>
      </c>
      <c r="C1583" s="4">
        <f>IFERROR(__xludf.DUMMYFUNCTION("""COMPUTED_VALUE"""),9.6)</f>
        <v>9.6</v>
      </c>
      <c r="D1583" s="4"/>
      <c r="E1583" s="4" t="str">
        <f>IFERROR(__xludf.DUMMYFUNCTION("""COMPUTED_VALUE"""),"Sin precio neto")</f>
        <v>Sin precio neto</v>
      </c>
    </row>
    <row r="1584">
      <c r="A1584" s="4" t="str">
        <f>IFERROR(__xludf.DUMMYFUNCTION("""COMPUTED_VALUE"""),"4105")</f>
        <v>4105</v>
      </c>
      <c r="B1584" s="4" t="str">
        <f>IFERROR(__xludf.DUMMYFUNCTION("""COMPUTED_VALUE"""),"Esquinera proteccion columna 80 cm mod. A")</f>
        <v>Esquinera proteccion columna 80 cm mod. A</v>
      </c>
      <c r="C1584" s="4">
        <f>IFERROR(__xludf.DUMMYFUNCTION("""COMPUTED_VALUE"""),7.75)</f>
        <v>7.75</v>
      </c>
      <c r="D1584" s="4"/>
      <c r="E1584" s="4" t="str">
        <f>IFERROR(__xludf.DUMMYFUNCTION("""COMPUTED_VALUE"""),"Sin precio neto")</f>
        <v>Sin precio neto</v>
      </c>
    </row>
    <row r="1585">
      <c r="A1585" s="4" t="str">
        <f>IFERROR(__xludf.DUMMYFUNCTION("""COMPUTED_VALUE"""),"4106")</f>
        <v>4106</v>
      </c>
      <c r="B1585" s="4" t="str">
        <f>IFERROR(__xludf.DUMMYFUNCTION("""COMPUTED_VALUE"""),"Mts.cuerda certif.poliest.Alta Tenacidad 6 m/m")</f>
        <v>Mts.cuerda certif.poliest.Alta Tenacidad 6 m/m</v>
      </c>
      <c r="C1585" s="4">
        <f>IFERROR(__xludf.DUMMYFUNCTION("""COMPUTED_VALUE"""),0.24)</f>
        <v>0.24</v>
      </c>
      <c r="D1585" s="4"/>
      <c r="E1585" s="4" t="str">
        <f>IFERROR(__xludf.DUMMYFUNCTION("""COMPUTED_VALUE"""),"Sin precio neto")</f>
        <v>Sin precio neto</v>
      </c>
    </row>
    <row r="1586">
      <c r="A1586" s="4" t="str">
        <f>IFERROR(__xludf.DUMMYFUNCTION("""COMPUTED_VALUE"""),"4108")</f>
        <v>4108</v>
      </c>
      <c r="B1586" s="4" t="str">
        <f>IFERROR(__xludf.DUMMYFUNCTION("""COMPUTED_VALUE"""),"Mts.cuerda certif.poliest.Alta Tenacidad 8 m/m")</f>
        <v>Mts.cuerda certif.poliest.Alta Tenacidad 8 m/m</v>
      </c>
      <c r="C1586" s="4">
        <f>IFERROR(__xludf.DUMMYFUNCTION("""COMPUTED_VALUE"""),0.43)</f>
        <v>0.43</v>
      </c>
      <c r="D1586" s="4"/>
      <c r="E1586" s="4" t="str">
        <f>IFERROR(__xludf.DUMMYFUNCTION("""COMPUTED_VALUE"""),"Sin precio neto")</f>
        <v>Sin precio neto</v>
      </c>
    </row>
    <row r="1587">
      <c r="A1587" s="4" t="str">
        <f>IFERROR(__xludf.DUMMYFUNCTION("""COMPUTED_VALUE"""),"4110")</f>
        <v>4110</v>
      </c>
      <c r="B1587" s="4" t="str">
        <f>IFERROR(__xludf.DUMMYFUNCTION("""COMPUTED_VALUE"""),"Mts.cuerda certif.poliest.Alta Tenacidad 10 m/m")</f>
        <v>Mts.cuerda certif.poliest.Alta Tenacidad 10 m/m</v>
      </c>
      <c r="C1587" s="4">
        <f>IFERROR(__xludf.DUMMYFUNCTION("""COMPUTED_VALUE"""),0.56)</f>
        <v>0.56</v>
      </c>
      <c r="D1587" s="4"/>
      <c r="E1587" s="4" t="str">
        <f>IFERROR(__xludf.DUMMYFUNCTION("""COMPUTED_VALUE"""),"Sin precio neto")</f>
        <v>Sin precio neto</v>
      </c>
    </row>
    <row r="1588">
      <c r="A1588" s="4" t="str">
        <f>IFERROR(__xludf.DUMMYFUNCTION("""COMPUTED_VALUE"""),"4112")</f>
        <v>4112</v>
      </c>
      <c r="B1588" s="4" t="str">
        <f>IFERROR(__xludf.DUMMYFUNCTION("""COMPUTED_VALUE"""),"Mts.cuerda Certif.poliest.Alta Tenacidad 12 m/m")</f>
        <v>Mts.cuerda Certif.poliest.Alta Tenacidad 12 m/m</v>
      </c>
      <c r="C1588" s="4">
        <f>IFERROR(__xludf.DUMMYFUNCTION("""COMPUTED_VALUE"""),0.88)</f>
        <v>0.88</v>
      </c>
      <c r="D1588" s="4"/>
      <c r="E1588" s="4" t="str">
        <f>IFERROR(__xludf.DUMMYFUNCTION("""COMPUTED_VALUE"""),"Sin precio neto")</f>
        <v>Sin precio neto</v>
      </c>
    </row>
    <row r="1589">
      <c r="A1589" s="4" t="str">
        <f>IFERROR(__xludf.DUMMYFUNCTION("""COMPUTED_VALUE"""),"4114")</f>
        <v>4114</v>
      </c>
      <c r="B1589" s="4" t="str">
        <f>IFERROR(__xludf.DUMMYFUNCTION("""COMPUTED_VALUE"""),"Mts.cuerda Certif.poliest.Alta Tenacidad 14 m/m")</f>
        <v>Mts.cuerda Certif.poliest.Alta Tenacidad 14 m/m</v>
      </c>
      <c r="C1589" s="4">
        <f>IFERROR(__xludf.DUMMYFUNCTION("""COMPUTED_VALUE"""),1.16)</f>
        <v>1.16</v>
      </c>
      <c r="D1589" s="4"/>
      <c r="E1589" s="4" t="str">
        <f>IFERROR(__xludf.DUMMYFUNCTION("""COMPUTED_VALUE"""),"Sin precio neto")</f>
        <v>Sin precio neto</v>
      </c>
    </row>
    <row r="1590">
      <c r="A1590" s="4" t="str">
        <f>IFERROR(__xludf.DUMMYFUNCTION("""COMPUTED_VALUE"""),"4116")</f>
        <v>4116</v>
      </c>
      <c r="B1590" s="4" t="str">
        <f>IFERROR(__xludf.DUMMYFUNCTION("""COMPUTED_VALUE"""),"Mts.cuerda Certif.poliest.Alta Tenacidad 16 m/m")</f>
        <v>Mts.cuerda Certif.poliest.Alta Tenacidad 16 m/m</v>
      </c>
      <c r="C1590" s="4">
        <f>IFERROR(__xludf.DUMMYFUNCTION("""COMPUTED_VALUE"""),1.36)</f>
        <v>1.36</v>
      </c>
      <c r="D1590" s="4"/>
      <c r="E1590" s="4" t="str">
        <f>IFERROR(__xludf.DUMMYFUNCTION("""COMPUTED_VALUE"""),"Sin precio neto")</f>
        <v>Sin precio neto</v>
      </c>
    </row>
    <row r="1591">
      <c r="A1591" s="4" t="str">
        <f>IFERROR(__xludf.DUMMYFUNCTION("""COMPUTED_VALUE"""),"4118")</f>
        <v>4118</v>
      </c>
      <c r="B1591" s="4" t="str">
        <f>IFERROR(__xludf.DUMMYFUNCTION("""COMPUTED_VALUE"""),"Mts.cuerda Certif.poliest.Alta Tenacidad 18 m/m")</f>
        <v>Mts.cuerda Certif.poliest.Alta Tenacidad 18 m/m</v>
      </c>
      <c r="C1591" s="4">
        <f>IFERROR(__xludf.DUMMYFUNCTION("""COMPUTED_VALUE"""),1.78)</f>
        <v>1.78</v>
      </c>
      <c r="D1591" s="4"/>
      <c r="E1591" s="4" t="str">
        <f>IFERROR(__xludf.DUMMYFUNCTION("""COMPUTED_VALUE"""),"Sin precio neto")</f>
        <v>Sin precio neto</v>
      </c>
    </row>
    <row r="1592">
      <c r="A1592" s="4" t="str">
        <f>IFERROR(__xludf.DUMMYFUNCTION("""COMPUTED_VALUE"""),"4125")</f>
        <v>4125</v>
      </c>
      <c r="B1592" s="4" t="str">
        <f>IFERROR(__xludf.DUMMYFUNCTION("""COMPUTED_VALUE"""),"Bolsa tapa señales 95x110 agujereada")</f>
        <v>Bolsa tapa señales 95x110 agujereada</v>
      </c>
      <c r="C1592" s="4">
        <f>IFERROR(__xludf.DUMMYFUNCTION("""COMPUTED_VALUE"""),3.0)</f>
        <v>3</v>
      </c>
      <c r="D1592" s="4"/>
      <c r="E1592" s="4" t="str">
        <f>IFERROR(__xludf.DUMMYFUNCTION("""COMPUTED_VALUE"""),"Sin precio neto")</f>
        <v>Sin precio neto</v>
      </c>
    </row>
    <row r="1593">
      <c r="A1593" s="4" t="str">
        <f>IFERROR(__xludf.DUMMYFUNCTION("""COMPUTED_VALUE"""),"4150")</f>
        <v>4150</v>
      </c>
      <c r="B1593" s="4" t="str">
        <f>IFERROR(__xludf.DUMMYFUNCTION("""COMPUTED_VALUE"""),"Espejo 60 cm Mod. Icaro")</f>
        <v>Espejo 60 cm Mod. Icaro</v>
      </c>
      <c r="C1593" s="4">
        <f>IFERROR(__xludf.DUMMYFUNCTION("""COMPUTED_VALUE"""),54.5)</f>
        <v>54.5</v>
      </c>
      <c r="D1593" s="4"/>
      <c r="E1593" s="4" t="str">
        <f>IFERROR(__xludf.DUMMYFUNCTION("""COMPUTED_VALUE"""),"Sin precio neto")</f>
        <v>Sin precio neto</v>
      </c>
    </row>
    <row r="1594">
      <c r="A1594" s="4" t="str">
        <f>IFERROR(__xludf.DUMMYFUNCTION("""COMPUTED_VALUE"""),"4151")</f>
        <v>4151</v>
      </c>
      <c r="B1594" s="4" t="str">
        <f>IFERROR(__xludf.DUMMYFUNCTION("""COMPUTED_VALUE"""),"Espejo 80 cm Mod. Icaro")</f>
        <v>Espejo 80 cm Mod. Icaro</v>
      </c>
      <c r="C1594" s="4">
        <f>IFERROR(__xludf.DUMMYFUNCTION("""COMPUTED_VALUE"""),87.0)</f>
        <v>87</v>
      </c>
      <c r="D1594" s="4"/>
      <c r="E1594" s="4" t="str">
        <f>IFERROR(__xludf.DUMMYFUNCTION("""COMPUTED_VALUE"""),"Sin precio neto")</f>
        <v>Sin precio neto</v>
      </c>
    </row>
    <row r="1595">
      <c r="A1595" s="4" t="str">
        <f>IFERROR(__xludf.DUMMYFUNCTION("""COMPUTED_VALUE"""),"4180")</f>
        <v>4180</v>
      </c>
      <c r="B1595" s="4" t="str">
        <f>IFERROR(__xludf.DUMMYFUNCTION("""COMPUTED_VALUE"""),"Protector parking FOAM R/B columna 30x25x1,5 cm")</f>
        <v>Protector parking FOAM R/B columna 30x25x1,5 cm</v>
      </c>
      <c r="C1595" s="4">
        <f>IFERROR(__xludf.DUMMYFUNCTION("""COMPUTED_VALUE"""),3.4)</f>
        <v>3.4</v>
      </c>
      <c r="D1595" s="4"/>
      <c r="E1595" s="4" t="str">
        <f>IFERROR(__xludf.DUMMYFUNCTION("""COMPUTED_VALUE"""),"Sin precio neto")</f>
        <v>Sin precio neto</v>
      </c>
    </row>
    <row r="1596">
      <c r="A1596" s="4" t="str">
        <f>IFERROR(__xludf.DUMMYFUNCTION("""COMPUTED_VALUE"""),"4181")</f>
        <v>4181</v>
      </c>
      <c r="B1596" s="4" t="str">
        <f>IFERROR(__xludf.DUMMYFUNCTION("""COMPUTED_VALUE"""),"Protector parking FOAM N/A columna 30X25X1,5 cm")</f>
        <v>Protector parking FOAM N/A columna 30X25X1,5 cm</v>
      </c>
      <c r="C1596" s="4">
        <f>IFERROR(__xludf.DUMMYFUNCTION("""COMPUTED_VALUE"""),3.4)</f>
        <v>3.4</v>
      </c>
      <c r="D1596" s="4"/>
      <c r="E1596" s="4" t="str">
        <f>IFERROR(__xludf.DUMMYFUNCTION("""COMPUTED_VALUE"""),"Sin precio neto")</f>
        <v>Sin precio neto</v>
      </c>
    </row>
    <row r="1597">
      <c r="A1597" s="4" t="str">
        <f>IFERROR(__xludf.DUMMYFUNCTION("""COMPUTED_VALUE"""),"4182")</f>
        <v>4182</v>
      </c>
      <c r="B1597" s="4" t="str">
        <f>IFERROR(__xludf.DUMMYFUNCTION("""COMPUTED_VALUE"""),"Protector parking FOAM R/B columna 100x200x1,5 cm")</f>
        <v>Protector parking FOAM R/B columna 100x200x1,5 cm</v>
      </c>
      <c r="C1597" s="4">
        <f>IFERROR(__xludf.DUMMYFUNCTION("""COMPUTED_VALUE"""),39.0)</f>
        <v>39</v>
      </c>
      <c r="D1597" s="4"/>
      <c r="E1597" s="4" t="str">
        <f>IFERROR(__xludf.DUMMYFUNCTION("""COMPUTED_VALUE"""),"Sin precio neto")</f>
        <v>Sin precio neto</v>
      </c>
    </row>
    <row r="1598">
      <c r="A1598" s="4" t="str">
        <f>IFERROR(__xludf.DUMMYFUNCTION("""COMPUTED_VALUE"""),"4183")</f>
        <v>4183</v>
      </c>
      <c r="B1598" s="4" t="str">
        <f>IFERROR(__xludf.DUMMYFUNCTION("""COMPUTED_VALUE"""),"Protector parking FOAM N/A columna 100x200x1,5 cm")</f>
        <v>Protector parking FOAM N/A columna 100x200x1,5 cm</v>
      </c>
      <c r="C1598" s="4">
        <f>IFERROR(__xludf.DUMMYFUNCTION("""COMPUTED_VALUE"""),39.0)</f>
        <v>39</v>
      </c>
      <c r="D1598" s="4"/>
      <c r="E1598" s="4" t="str">
        <f>IFERROR(__xludf.DUMMYFUNCTION("""COMPUTED_VALUE"""),"Sin precio neto")</f>
        <v>Sin precio neto</v>
      </c>
    </row>
    <row r="1599">
      <c r="A1599" s="4" t="str">
        <f>IFERROR(__xludf.DUMMYFUNCTION("""COMPUTED_VALUE"""),"4184")</f>
        <v>4184</v>
      </c>
      <c r="B1599" s="4" t="str">
        <f>IFERROR(__xludf.DUMMYFUNCTION("""COMPUTED_VALUE"""),"Protector parking FOAM R/B plano 24x18x4cm")</f>
        <v>Protector parking FOAM R/B plano 24x18x4cm</v>
      </c>
      <c r="C1599" s="4">
        <f>IFERROR(__xludf.DUMMYFUNCTION("""COMPUTED_VALUE"""),3.45)</f>
        <v>3.45</v>
      </c>
      <c r="D1599" s="4"/>
      <c r="E1599" s="4" t="str">
        <f>IFERROR(__xludf.DUMMYFUNCTION("""COMPUTED_VALUE"""),"Sin precio neto")</f>
        <v>Sin precio neto</v>
      </c>
    </row>
    <row r="1600">
      <c r="A1600" s="4" t="str">
        <f>IFERROR(__xludf.DUMMYFUNCTION("""COMPUTED_VALUE"""),"4185")</f>
        <v>4185</v>
      </c>
      <c r="B1600" s="4" t="str">
        <f>IFERROR(__xludf.DUMMYFUNCTION("""COMPUTED_VALUE"""),"Protector parking FOAM N/A plano 24x18x4cm")</f>
        <v>Protector parking FOAM N/A plano 24x18x4cm</v>
      </c>
      <c r="C1600" s="4">
        <f>IFERROR(__xludf.DUMMYFUNCTION("""COMPUTED_VALUE"""),3.45)</f>
        <v>3.45</v>
      </c>
      <c r="D1600" s="4"/>
      <c r="E1600" s="4" t="str">
        <f>IFERROR(__xludf.DUMMYFUNCTION("""COMPUTED_VALUE"""),"Sin precio neto")</f>
        <v>Sin precio neto</v>
      </c>
    </row>
    <row r="1601">
      <c r="A1601" s="4" t="str">
        <f>IFERROR(__xludf.DUMMYFUNCTION("""COMPUTED_VALUE"""),"4186")</f>
        <v>4186</v>
      </c>
      <c r="B1601" s="4" t="str">
        <f>IFERROR(__xludf.DUMMYFUNCTION("""COMPUTED_VALUE"""),"Protector parking FOAM R/B esquina 50x(15+15)x1,5 cm")</f>
        <v>Protector parking FOAM R/B esquina 50x(15+15)x1,5 cm</v>
      </c>
      <c r="C1601" s="4">
        <f>IFERROR(__xludf.DUMMYFUNCTION("""COMPUTED_VALUE"""),5.75)</f>
        <v>5.75</v>
      </c>
      <c r="D1601" s="4"/>
      <c r="E1601" s="4" t="str">
        <f>IFERROR(__xludf.DUMMYFUNCTION("""COMPUTED_VALUE"""),"Sin precio neto")</f>
        <v>Sin precio neto</v>
      </c>
    </row>
    <row r="1602">
      <c r="A1602" s="4" t="str">
        <f>IFERROR(__xludf.DUMMYFUNCTION("""COMPUTED_VALUE"""),"4187")</f>
        <v>4187</v>
      </c>
      <c r="B1602" s="4" t="str">
        <f>IFERROR(__xludf.DUMMYFUNCTION("""COMPUTED_VALUE"""),"Protector parking FOAM N/A esquina 50x(15+15)x1,5 cm")</f>
        <v>Protector parking FOAM N/A esquina 50x(15+15)x1,5 cm</v>
      </c>
      <c r="C1602" s="4">
        <f>IFERROR(__xludf.DUMMYFUNCTION("""COMPUTED_VALUE"""),5.75)</f>
        <v>5.75</v>
      </c>
      <c r="D1602" s="4"/>
      <c r="E1602" s="4" t="str">
        <f>IFERROR(__xludf.DUMMYFUNCTION("""COMPUTED_VALUE"""),"Sin precio neto")</f>
        <v>Sin precio neto</v>
      </c>
    </row>
    <row r="1603">
      <c r="A1603" s="4" t="str">
        <f>IFERROR(__xludf.DUMMYFUNCTION("""COMPUTED_VALUE"""),"4188")</f>
        <v>4188</v>
      </c>
      <c r="B1603" s="4" t="str">
        <f>IFERROR(__xludf.DUMMYFUNCTION("""COMPUTED_VALUE"""),"Protector parking FOAM R/B plano 50X10X1,5cm")</f>
        <v>Protector parking FOAM R/B plano 50X10X1,5cm</v>
      </c>
      <c r="C1603" s="4">
        <f>IFERROR(__xludf.DUMMYFUNCTION("""COMPUTED_VALUE"""),2.2)</f>
        <v>2.2</v>
      </c>
      <c r="D1603" s="4"/>
      <c r="E1603" s="4" t="str">
        <f>IFERROR(__xludf.DUMMYFUNCTION("""COMPUTED_VALUE"""),"Sin precio neto")</f>
        <v>Sin precio neto</v>
      </c>
    </row>
    <row r="1604">
      <c r="A1604" s="4" t="str">
        <f>IFERROR(__xludf.DUMMYFUNCTION("""COMPUTED_VALUE"""),"4189")</f>
        <v>4189</v>
      </c>
      <c r="B1604" s="4" t="str">
        <f>IFERROR(__xludf.DUMMYFUNCTION("""COMPUTED_VALUE"""),"Protector parking FOAM N/A plano 50x10x1,5cm")</f>
        <v>Protector parking FOAM N/A plano 50x10x1,5cm</v>
      </c>
      <c r="C1604" s="4">
        <f>IFERROR(__xludf.DUMMYFUNCTION("""COMPUTED_VALUE"""),2.2)</f>
        <v>2.2</v>
      </c>
      <c r="D1604" s="4"/>
      <c r="E1604" s="4" t="str">
        <f>IFERROR(__xludf.DUMMYFUNCTION("""COMPUTED_VALUE"""),"Sin precio neto")</f>
        <v>Sin precio neto</v>
      </c>
    </row>
    <row r="1605">
      <c r="A1605" s="4" t="str">
        <f>IFERROR(__xludf.DUMMYFUNCTION("""COMPUTED_VALUE"""),"4190")</f>
        <v>4190</v>
      </c>
      <c r="B1605" s="4" t="str">
        <f>IFERROR(__xludf.DUMMYFUNCTION("""COMPUTED_VALUE"""),"Protector parking FOAM R/B plano 50x25x2,5cm")</f>
        <v>Protector parking FOAM R/B plano 50x25x2,5cm</v>
      </c>
      <c r="C1605" s="4">
        <f>IFERROR(__xludf.DUMMYFUNCTION("""COMPUTED_VALUE"""),4.9)</f>
        <v>4.9</v>
      </c>
      <c r="D1605" s="4"/>
      <c r="E1605" s="4" t="str">
        <f>IFERROR(__xludf.DUMMYFUNCTION("""COMPUTED_VALUE"""),"Sin precio neto")</f>
        <v>Sin precio neto</v>
      </c>
    </row>
    <row r="1606">
      <c r="A1606" s="4" t="str">
        <f>IFERROR(__xludf.DUMMYFUNCTION("""COMPUTED_VALUE"""),"4191")</f>
        <v>4191</v>
      </c>
      <c r="B1606" s="4" t="str">
        <f>IFERROR(__xludf.DUMMYFUNCTION("""COMPUTED_VALUE"""),"Protector parking FOAM N/A plano 50x25x2,5cm")</f>
        <v>Protector parking FOAM N/A plano 50x25x2,5cm</v>
      </c>
      <c r="C1606" s="4">
        <f>IFERROR(__xludf.DUMMYFUNCTION("""COMPUTED_VALUE"""),4.9)</f>
        <v>4.9</v>
      </c>
      <c r="D1606" s="4"/>
      <c r="E1606" s="4" t="str">
        <f>IFERROR(__xludf.DUMMYFUNCTION("""COMPUTED_VALUE"""),"Sin precio neto")</f>
        <v>Sin precio neto</v>
      </c>
    </row>
    <row r="1607">
      <c r="A1607" s="4" t="str">
        <f>IFERROR(__xludf.DUMMYFUNCTION("""COMPUTED_VALUE"""),"4192")</f>
        <v>4192</v>
      </c>
      <c r="B1607" s="4" t="str">
        <f>IFERROR(__xludf.DUMMYFUNCTION("""COMPUTED_VALUE"""),"Protector parking FOAM R/B plano 30x20x1,5 cm")</f>
        <v>Protector parking FOAM R/B plano 30x20x1,5 cm</v>
      </c>
      <c r="C1607" s="4">
        <f>IFERROR(__xludf.DUMMYFUNCTION("""COMPUTED_VALUE"""),3.75)</f>
        <v>3.75</v>
      </c>
      <c r="D1607" s="4"/>
      <c r="E1607" s="4" t="str">
        <f>IFERROR(__xludf.DUMMYFUNCTION("""COMPUTED_VALUE"""),"Sin precio neto")</f>
        <v>Sin precio neto</v>
      </c>
    </row>
    <row r="1608">
      <c r="A1608" s="4" t="str">
        <f>IFERROR(__xludf.DUMMYFUNCTION("""COMPUTED_VALUE"""),"4193")</f>
        <v>4193</v>
      </c>
      <c r="B1608" s="4" t="str">
        <f>IFERROR(__xludf.DUMMYFUNCTION("""COMPUTED_VALUE"""),"Protector parking FOAM N/A plano 30x20x1,5 cm")</f>
        <v>Protector parking FOAM N/A plano 30x20x1,5 cm</v>
      </c>
      <c r="C1608" s="4">
        <f>IFERROR(__xludf.DUMMYFUNCTION("""COMPUTED_VALUE"""),3.75)</f>
        <v>3.75</v>
      </c>
      <c r="D1608" s="4"/>
      <c r="E1608" s="4" t="str">
        <f>IFERROR(__xludf.DUMMYFUNCTION("""COMPUTED_VALUE"""),"Sin precio neto")</f>
        <v>Sin precio neto</v>
      </c>
    </row>
    <row r="1609">
      <c r="A1609" s="4" t="str">
        <f>IFERROR(__xludf.DUMMYFUNCTION("""COMPUTED_VALUE"""),"4194")</f>
        <v>4194</v>
      </c>
      <c r="B1609" s="4" t="str">
        <f>IFERROR(__xludf.DUMMYFUNCTION("""COMPUTED_VALUE"""),"Protector Antigolpes PVC 15x3 cm (5 metros )")</f>
        <v>Protector Antigolpes PVC 15x3 cm (5 metros )</v>
      </c>
      <c r="C1609" s="4">
        <f>IFERROR(__xludf.DUMMYFUNCTION("""COMPUTED_VALUE"""),37.0)</f>
        <v>37</v>
      </c>
      <c r="D1609" s="4"/>
      <c r="E1609" s="4" t="str">
        <f>IFERROR(__xludf.DUMMYFUNCTION("""COMPUTED_VALUE"""),"Sin precio neto")</f>
        <v>Sin precio neto</v>
      </c>
    </row>
    <row r="1610">
      <c r="A1610" s="4" t="str">
        <f>IFERROR(__xludf.DUMMYFUNCTION("""COMPUTED_VALUE"""),"4200")</f>
        <v>4200</v>
      </c>
      <c r="B1610" s="4" t="str">
        <f>IFERROR(__xludf.DUMMYFUNCTION("""COMPUTED_VALUE"""),"Esq. protec.N/A 100 cm anti-golpe Foam Mod A")</f>
        <v>Esq. protec.N/A 100 cm anti-golpe Foam Mod A</v>
      </c>
      <c r="C1610" s="4">
        <f>IFERROR(__xludf.DUMMYFUNCTION("""COMPUTED_VALUE"""),14.9)</f>
        <v>14.9</v>
      </c>
      <c r="D1610" s="4">
        <f>IFERROR(__xludf.DUMMYFUNCTION("""COMPUTED_VALUE"""),12.5)</f>
        <v>12.5</v>
      </c>
      <c r="E1610" s="4" t="str">
        <f>IFERROR(__xludf.DUMMYFUNCTION("""COMPUTED_VALUE"""),"Neto: 12,50 € (a partir de 10 uds.)")</f>
        <v>Neto: 12,50 € (a partir de 10 uds.)</v>
      </c>
    </row>
    <row r="1611">
      <c r="A1611" s="4" t="str">
        <f>IFERROR(__xludf.DUMMYFUNCTION("""COMPUTED_VALUE"""),"4200B")</f>
        <v>4200B</v>
      </c>
      <c r="B1611" s="4" t="str">
        <f>IFERROR(__xludf.DUMMYFUNCTION("""COMPUTED_VALUE"""),"Esq. protec.N/A 100 cm anti-golpe Foam Mod B")</f>
        <v>Esq. protec.N/A 100 cm anti-golpe Foam Mod B</v>
      </c>
      <c r="C1611" s="4">
        <f>IFERROR(__xludf.DUMMYFUNCTION("""COMPUTED_VALUE"""),14.9)</f>
        <v>14.9</v>
      </c>
      <c r="D1611" s="4">
        <f>IFERROR(__xludf.DUMMYFUNCTION("""COMPUTED_VALUE"""),12.5)</f>
        <v>12.5</v>
      </c>
      <c r="E1611" s="4" t="str">
        <f>IFERROR(__xludf.DUMMYFUNCTION("""COMPUTED_VALUE"""),"Neto: 12,50 € (a partir de 10 uds.)")</f>
        <v>Neto: 12,50 € (a partir de 10 uds.)</v>
      </c>
    </row>
    <row r="1612">
      <c r="A1612" s="4" t="str">
        <f>IFERROR(__xludf.DUMMYFUNCTION("""COMPUTED_VALUE"""),"4200C")</f>
        <v>4200C</v>
      </c>
      <c r="B1612" s="4" t="str">
        <f>IFERROR(__xludf.DUMMYFUNCTION("""COMPUTED_VALUE"""),"Esq. protec.N/A 100 cm anti-golpe Foam Mod C")</f>
        <v>Esq. protec.N/A 100 cm anti-golpe Foam Mod C</v>
      </c>
      <c r="C1612" s="4">
        <f>IFERROR(__xludf.DUMMYFUNCTION("""COMPUTED_VALUE"""),14.9)</f>
        <v>14.9</v>
      </c>
      <c r="D1612" s="4">
        <f>IFERROR(__xludf.DUMMYFUNCTION("""COMPUTED_VALUE"""),12.5)</f>
        <v>12.5</v>
      </c>
      <c r="E1612" s="4" t="str">
        <f>IFERROR(__xludf.DUMMYFUNCTION("""COMPUTED_VALUE"""),"Neto: 12,50 € (a partir de 10 uds.)")</f>
        <v>Neto: 12,50 € (a partir de 10 uds.)</v>
      </c>
    </row>
    <row r="1613">
      <c r="A1613" s="4" t="str">
        <f>IFERROR(__xludf.DUMMYFUNCTION("""COMPUTED_VALUE"""),"4200D")</f>
        <v>4200D</v>
      </c>
      <c r="B1613" s="4" t="str">
        <f>IFERROR(__xludf.DUMMYFUNCTION("""COMPUTED_VALUE"""),"Esq. protec.N/A 100 cm anti-golpe Foam Mod D")</f>
        <v>Esq. protec.N/A 100 cm anti-golpe Foam Mod D</v>
      </c>
      <c r="C1613" s="4">
        <f>IFERROR(__xludf.DUMMYFUNCTION("""COMPUTED_VALUE"""),14.9)</f>
        <v>14.9</v>
      </c>
      <c r="D1613" s="4">
        <f>IFERROR(__xludf.DUMMYFUNCTION("""COMPUTED_VALUE"""),12.5)</f>
        <v>12.5</v>
      </c>
      <c r="E1613" s="4" t="str">
        <f>IFERROR(__xludf.DUMMYFUNCTION("""COMPUTED_VALUE"""),"Neto: 12,50 € (a partir de 10 uds.)")</f>
        <v>Neto: 12,50 € (a partir de 10 uds.)</v>
      </c>
    </row>
    <row r="1614">
      <c r="A1614" s="4" t="str">
        <f>IFERROR(__xludf.DUMMYFUNCTION("""COMPUTED_VALUE"""),"4200E")</f>
        <v>4200E</v>
      </c>
      <c r="B1614" s="4" t="str">
        <f>IFERROR(__xludf.DUMMYFUNCTION("""COMPUTED_VALUE"""),"Esq. protec.N/A 100 cm anti-golpe Foam Mod E")</f>
        <v>Esq. protec.N/A 100 cm anti-golpe Foam Mod E</v>
      </c>
      <c r="C1614" s="4">
        <f>IFERROR(__xludf.DUMMYFUNCTION("""COMPUTED_VALUE"""),14.9)</f>
        <v>14.9</v>
      </c>
      <c r="D1614" s="4">
        <f>IFERROR(__xludf.DUMMYFUNCTION("""COMPUTED_VALUE"""),12.5)</f>
        <v>12.5</v>
      </c>
      <c r="E1614" s="4" t="str">
        <f>IFERROR(__xludf.DUMMYFUNCTION("""COMPUTED_VALUE"""),"Neto: 12,50 € (a partir de 10 uds.)")</f>
        <v>Neto: 12,50 € (a partir de 10 uds.)</v>
      </c>
    </row>
    <row r="1615">
      <c r="A1615" s="4" t="str">
        <f>IFERROR(__xludf.DUMMYFUNCTION("""COMPUTED_VALUE"""),"4200F")</f>
        <v>4200F</v>
      </c>
      <c r="B1615" s="4" t="str">
        <f>IFERROR(__xludf.DUMMYFUNCTION("""COMPUTED_VALUE"""),"Esq. protec.N/A 100 cm anti-golpe Foam Mod. F")</f>
        <v>Esq. protec.N/A 100 cm anti-golpe Foam Mod. F</v>
      </c>
      <c r="C1615" s="4">
        <f>IFERROR(__xludf.DUMMYFUNCTION("""COMPUTED_VALUE"""),14.9)</f>
        <v>14.9</v>
      </c>
      <c r="D1615" s="4">
        <f>IFERROR(__xludf.DUMMYFUNCTION("""COMPUTED_VALUE"""),12.5)</f>
        <v>12.5</v>
      </c>
      <c r="E1615" s="4" t="str">
        <f>IFERROR(__xludf.DUMMYFUNCTION("""COMPUTED_VALUE"""),"Neto: 12,50 € (a partir de 10 uds.)")</f>
        <v>Neto: 12,50 € (a partir de 10 uds.)</v>
      </c>
    </row>
    <row r="1616">
      <c r="A1616" s="4" t="str">
        <f>IFERROR(__xludf.DUMMYFUNCTION("""COMPUTED_VALUE"""),"4200G")</f>
        <v>4200G</v>
      </c>
      <c r="B1616" s="4" t="str">
        <f>IFERROR(__xludf.DUMMYFUNCTION("""COMPUTED_VALUE"""),"Esq. protec.N/A 100 cm anti-golpe Foam Mod. G")</f>
        <v>Esq. protec.N/A 100 cm anti-golpe Foam Mod. G</v>
      </c>
      <c r="C1616" s="4">
        <f>IFERROR(__xludf.DUMMYFUNCTION("""COMPUTED_VALUE"""),14.9)</f>
        <v>14.9</v>
      </c>
      <c r="D1616" s="4">
        <f>IFERROR(__xludf.DUMMYFUNCTION("""COMPUTED_VALUE"""),12.5)</f>
        <v>12.5</v>
      </c>
      <c r="E1616" s="4" t="str">
        <f>IFERROR(__xludf.DUMMYFUNCTION("""COMPUTED_VALUE"""),"Neto: 12,50 € (a partir de 10 uds.)")</f>
        <v>Neto: 12,50 € (a partir de 10 uds.)</v>
      </c>
    </row>
    <row r="1617">
      <c r="A1617" s="4" t="str">
        <f>IFERROR(__xludf.DUMMYFUNCTION("""COMPUTED_VALUE"""),"4201")</f>
        <v>4201</v>
      </c>
      <c r="B1617" s="4" t="str">
        <f>IFERROR(__xludf.DUMMYFUNCTION("""COMPUTED_VALUE"""),"Esq. protec.B/R 100 cm anti-golpe Foam Mod. A")</f>
        <v>Esq. protec.B/R 100 cm anti-golpe Foam Mod. A</v>
      </c>
      <c r="C1617" s="4">
        <f>IFERROR(__xludf.DUMMYFUNCTION("""COMPUTED_VALUE"""),14.9)</f>
        <v>14.9</v>
      </c>
      <c r="D1617" s="4">
        <f>IFERROR(__xludf.DUMMYFUNCTION("""COMPUTED_VALUE"""),12.5)</f>
        <v>12.5</v>
      </c>
      <c r="E1617" s="4" t="str">
        <f>IFERROR(__xludf.DUMMYFUNCTION("""COMPUTED_VALUE"""),"Neto: 12,50 € (a partir de 10 uds.)")</f>
        <v>Neto: 12,50 € (a partir de 10 uds.)</v>
      </c>
    </row>
    <row r="1618">
      <c r="A1618" s="4" t="str">
        <f>IFERROR(__xludf.DUMMYFUNCTION("""COMPUTED_VALUE"""),"4204")</f>
        <v>4204</v>
      </c>
      <c r="B1618" s="4" t="str">
        <f>IFERROR(__xludf.DUMMYFUNCTION("""COMPUTED_VALUE"""),"Espejo Convexo 40 cm Interior Tolomeo")</f>
        <v>Espejo Convexo 40 cm Interior Tolomeo</v>
      </c>
      <c r="C1618" s="4">
        <f>IFERROR(__xludf.DUMMYFUNCTION("""COMPUTED_VALUE"""),41.0)</f>
        <v>41</v>
      </c>
      <c r="D1618" s="4"/>
      <c r="E1618" s="4" t="str">
        <f>IFERROR(__xludf.DUMMYFUNCTION("""COMPUTED_VALUE"""),"Sin precio neto")</f>
        <v>Sin precio neto</v>
      </c>
    </row>
    <row r="1619">
      <c r="A1619" s="4" t="str">
        <f>IFERROR(__xludf.DUMMYFUNCTION("""COMPUTED_VALUE"""),"4206")</f>
        <v>4206</v>
      </c>
      <c r="B1619" s="4" t="str">
        <f>IFERROR(__xludf.DUMMYFUNCTION("""COMPUTED_VALUE"""),"Espejo Convexo 60 cm Interior Tolomeo")</f>
        <v>Espejo Convexo 60 cm Interior Tolomeo</v>
      </c>
      <c r="C1619" s="4">
        <f>IFERROR(__xludf.DUMMYFUNCTION("""COMPUTED_VALUE"""),54.0)</f>
        <v>54</v>
      </c>
      <c r="D1619" s="4"/>
      <c r="E1619" s="4" t="str">
        <f>IFERROR(__xludf.DUMMYFUNCTION("""COMPUTED_VALUE"""),"Sin precio neto")</f>
        <v>Sin precio neto</v>
      </c>
    </row>
    <row r="1620">
      <c r="A1620" s="4" t="str">
        <f>IFERROR(__xludf.DUMMYFUNCTION("""COMPUTED_VALUE"""),"4208")</f>
        <v>4208</v>
      </c>
      <c r="B1620" s="4" t="str">
        <f>IFERROR(__xludf.DUMMYFUNCTION("""COMPUTED_VALUE"""),"Espejo Convexo 80 cm Interior Tolomeo")</f>
        <v>Espejo Convexo 80 cm Interior Tolomeo</v>
      </c>
      <c r="C1620" s="4">
        <f>IFERROR(__xludf.DUMMYFUNCTION("""COMPUTED_VALUE"""),97.0)</f>
        <v>97</v>
      </c>
      <c r="D1620" s="4"/>
      <c r="E1620" s="4" t="str">
        <f>IFERROR(__xludf.DUMMYFUNCTION("""COMPUTED_VALUE"""),"Sin precio neto")</f>
        <v>Sin precio neto</v>
      </c>
    </row>
    <row r="1621">
      <c r="A1621" s="4" t="str">
        <f>IFERROR(__xludf.DUMMYFUNCTION("""COMPUTED_VALUE"""),"4209")</f>
        <v>4209</v>
      </c>
      <c r="B1621" s="4" t="str">
        <f>IFERROR(__xludf.DUMMYFUNCTION("""COMPUTED_VALUE"""),"Espejo Convexo 90 cm Interior Tolomeo")</f>
        <v>Espejo Convexo 90 cm Interior Tolomeo</v>
      </c>
      <c r="C1621" s="4">
        <f>IFERROR(__xludf.DUMMYFUNCTION("""COMPUTED_VALUE"""),102.5)</f>
        <v>102.5</v>
      </c>
      <c r="D1621" s="4"/>
      <c r="E1621" s="4" t="str">
        <f>IFERROR(__xludf.DUMMYFUNCTION("""COMPUTED_VALUE"""),"Sin precio neto")</f>
        <v>Sin precio neto</v>
      </c>
    </row>
    <row r="1622">
      <c r="A1622" s="4" t="str">
        <f>IFERROR(__xludf.DUMMYFUNCTION("""COMPUTED_VALUE"""),"4210")</f>
        <v>4210</v>
      </c>
      <c r="B1622" s="4" t="str">
        <f>IFERROR(__xludf.DUMMYFUNCTION("""COMPUTED_VALUE"""),"Espejo Convexo 40x60 Interior Leonardo")</f>
        <v>Espejo Convexo 40x60 Interior Leonardo</v>
      </c>
      <c r="C1622" s="4">
        <f>IFERROR(__xludf.DUMMYFUNCTION("""COMPUTED_VALUE"""),59.0)</f>
        <v>59</v>
      </c>
      <c r="D1622" s="4"/>
      <c r="E1622" s="4" t="str">
        <f>IFERROR(__xludf.DUMMYFUNCTION("""COMPUTED_VALUE"""),"Sin precio neto")</f>
        <v>Sin precio neto</v>
      </c>
    </row>
    <row r="1623">
      <c r="A1623" s="4" t="str">
        <f>IFERROR(__xludf.DUMMYFUNCTION("""COMPUTED_VALUE"""),"4211")</f>
        <v>4211</v>
      </c>
      <c r="B1623" s="4" t="str">
        <f>IFERROR(__xludf.DUMMYFUNCTION("""COMPUTED_VALUE"""),"Espejo convexo 60x80 Interior Leonardo")</f>
        <v>Espejo convexo 60x80 Interior Leonardo</v>
      </c>
      <c r="C1623" s="4">
        <f>IFERROR(__xludf.DUMMYFUNCTION("""COMPUTED_VALUE"""),100.5)</f>
        <v>100.5</v>
      </c>
      <c r="D1623" s="4"/>
      <c r="E1623" s="4" t="str">
        <f>IFERROR(__xludf.DUMMYFUNCTION("""COMPUTED_VALUE"""),"Sin precio neto")</f>
        <v>Sin precio neto</v>
      </c>
    </row>
    <row r="1624">
      <c r="A1624" s="4" t="str">
        <f>IFERROR(__xludf.DUMMYFUNCTION("""COMPUTED_VALUE"""),"4213")</f>
        <v>4213</v>
      </c>
      <c r="B1624" s="4" t="str">
        <f>IFERROR(__xludf.DUMMYFUNCTION("""COMPUTED_VALUE"""),"Espejo Hemisférico 360º 60 cm Michelangello")</f>
        <v>Espejo Hemisférico 360º 60 cm Michelangello</v>
      </c>
      <c r="C1624" s="4">
        <f>IFERROR(__xludf.DUMMYFUNCTION("""COMPUTED_VALUE"""),42.0)</f>
        <v>42</v>
      </c>
      <c r="D1624" s="4"/>
      <c r="E1624" s="4" t="str">
        <f>IFERROR(__xludf.DUMMYFUNCTION("""COMPUTED_VALUE"""),"Sin precio neto")</f>
        <v>Sin precio neto</v>
      </c>
    </row>
    <row r="1625">
      <c r="A1625" s="4" t="str">
        <f>IFERROR(__xludf.DUMMYFUNCTION("""COMPUTED_VALUE"""),"4215")</f>
        <v>4215</v>
      </c>
      <c r="B1625" s="4" t="str">
        <f>IFERROR(__xludf.DUMMYFUNCTION("""COMPUTED_VALUE"""),"Espejo Hemisférico 360º 90 cm Michelangello")</f>
        <v>Espejo Hemisférico 360º 90 cm Michelangello</v>
      </c>
      <c r="C1625" s="4">
        <f>IFERROR(__xludf.DUMMYFUNCTION("""COMPUTED_VALUE"""),82.0)</f>
        <v>82</v>
      </c>
      <c r="D1625" s="4"/>
      <c r="E1625" s="4" t="str">
        <f>IFERROR(__xludf.DUMMYFUNCTION("""COMPUTED_VALUE"""),"Sin precio neto")</f>
        <v>Sin precio neto</v>
      </c>
    </row>
    <row r="1626">
      <c r="A1626" s="4" t="str">
        <f>IFERROR(__xludf.DUMMYFUNCTION("""COMPUTED_VALUE"""),"4221")</f>
        <v>4221</v>
      </c>
      <c r="B1626" s="4" t="str">
        <f>IFERROR(__xludf.DUMMYFUNCTION("""COMPUTED_VALUE"""),"Espejo Convexo 60 cm Exterior Giotto")</f>
        <v>Espejo Convexo 60 cm Exterior Giotto</v>
      </c>
      <c r="C1626" s="4">
        <f>IFERROR(__xludf.DUMMYFUNCTION("""COMPUTED_VALUE"""),96.0)</f>
        <v>96</v>
      </c>
      <c r="D1626" s="4"/>
      <c r="E1626" s="4" t="str">
        <f>IFERROR(__xludf.DUMMYFUNCTION("""COMPUTED_VALUE"""),"Sin precio neto")</f>
        <v>Sin precio neto</v>
      </c>
    </row>
    <row r="1627">
      <c r="A1627" s="4" t="str">
        <f>IFERROR(__xludf.DUMMYFUNCTION("""COMPUTED_VALUE"""),"4223")</f>
        <v>4223</v>
      </c>
      <c r="B1627" s="4" t="str">
        <f>IFERROR(__xludf.DUMMYFUNCTION("""COMPUTED_VALUE"""),"Espejo Convexo 80 cm Exterior Giotto")</f>
        <v>Espejo Convexo 80 cm Exterior Giotto</v>
      </c>
      <c r="C1627" s="4">
        <f>IFERROR(__xludf.DUMMYFUNCTION("""COMPUTED_VALUE"""),152.0)</f>
        <v>152</v>
      </c>
      <c r="D1627" s="4"/>
      <c r="E1627" s="4" t="str">
        <f>IFERROR(__xludf.DUMMYFUNCTION("""COMPUTED_VALUE"""),"Sin precio neto")</f>
        <v>Sin precio neto</v>
      </c>
    </row>
    <row r="1628">
      <c r="A1628" s="4" t="str">
        <f>IFERROR(__xludf.DUMMYFUNCTION("""COMPUTED_VALUE"""),"4227")</f>
        <v>4227</v>
      </c>
      <c r="B1628" s="4" t="str">
        <f>IFERROR(__xludf.DUMMYFUNCTION("""COMPUTED_VALUE"""),"Espejo Convexo 40x60 cm Exterior Rafaello")</f>
        <v>Espejo Convexo 40x60 cm Exterior Rafaello</v>
      </c>
      <c r="C1628" s="4">
        <f>IFERROR(__xludf.DUMMYFUNCTION("""COMPUTED_VALUE"""),124.0)</f>
        <v>124</v>
      </c>
      <c r="D1628" s="4"/>
      <c r="E1628" s="4" t="str">
        <f>IFERROR(__xludf.DUMMYFUNCTION("""COMPUTED_VALUE"""),"Sin precio neto")</f>
        <v>Sin precio neto</v>
      </c>
    </row>
    <row r="1629">
      <c r="A1629" s="4" t="str">
        <f>IFERROR(__xludf.DUMMYFUNCTION("""COMPUTED_VALUE"""),"4228")</f>
        <v>4228</v>
      </c>
      <c r="B1629" s="4" t="str">
        <f>IFERROR(__xludf.DUMMYFUNCTION("""COMPUTED_VALUE"""),"Espejo Convexo 60x80 cm Exterior Rafaello")</f>
        <v>Espejo Convexo 60x80 cm Exterior Rafaello</v>
      </c>
      <c r="C1629" s="4">
        <f>IFERROR(__xludf.DUMMYFUNCTION("""COMPUTED_VALUE"""),160.0)</f>
        <v>160</v>
      </c>
      <c r="D1629" s="4"/>
      <c r="E1629" s="4" t="str">
        <f>IFERROR(__xludf.DUMMYFUNCTION("""COMPUTED_VALUE"""),"Sin precio neto")</f>
        <v>Sin precio neto</v>
      </c>
    </row>
    <row r="1630">
      <c r="A1630" s="4" t="str">
        <f>IFERROR(__xludf.DUMMYFUNCTION("""COMPUTED_VALUE"""),"4230")</f>
        <v>4230</v>
      </c>
      <c r="B1630" s="4" t="str">
        <f>IFERROR(__xludf.DUMMYFUNCTION("""COMPUTED_VALUE"""),"Espejo Convexo acero exterior 320 MM")</f>
        <v>Espejo Convexo acero exterior 320 MM</v>
      </c>
      <c r="C1630" s="4">
        <f>IFERROR(__xludf.DUMMYFUNCTION("""COMPUTED_VALUE"""),95.0)</f>
        <v>95</v>
      </c>
      <c r="D1630" s="4"/>
      <c r="E1630" s="4" t="str">
        <f>IFERROR(__xludf.DUMMYFUNCTION("""COMPUTED_VALUE"""),"Sin precio neto")</f>
        <v>Sin precio neto</v>
      </c>
    </row>
    <row r="1631">
      <c r="A1631" s="4" t="str">
        <f>IFERROR(__xludf.DUMMYFUNCTION("""COMPUTED_VALUE"""),"4231")</f>
        <v>4231</v>
      </c>
      <c r="B1631" s="4" t="str">
        <f>IFERROR(__xludf.DUMMYFUNCTION("""COMPUTED_VALUE"""),"Espejo Convexo Acero Exterior 490 mm")</f>
        <v>Espejo Convexo Acero Exterior 490 mm</v>
      </c>
      <c r="C1631" s="4">
        <f>IFERROR(__xludf.DUMMYFUNCTION("""COMPUTED_VALUE"""),125.0)</f>
        <v>125</v>
      </c>
      <c r="D1631" s="4"/>
      <c r="E1631" s="4" t="str">
        <f>IFERROR(__xludf.DUMMYFUNCTION("""COMPUTED_VALUE"""),"Sin precio neto")</f>
        <v>Sin precio neto</v>
      </c>
    </row>
    <row r="1632">
      <c r="A1632" s="4" t="str">
        <f>IFERROR(__xludf.DUMMYFUNCTION("""COMPUTED_VALUE"""),"4232")</f>
        <v>4232</v>
      </c>
      <c r="B1632" s="4" t="str">
        <f>IFERROR(__xludf.DUMMYFUNCTION("""COMPUTED_VALUE"""),"Espejo Convexo Acero Exterior 600 mm")</f>
        <v>Espejo Convexo Acero Exterior 600 mm</v>
      </c>
      <c r="C1632" s="4">
        <f>IFERROR(__xludf.DUMMYFUNCTION("""COMPUTED_VALUE"""),179.0)</f>
        <v>179</v>
      </c>
      <c r="D1632" s="4"/>
      <c r="E1632" s="4" t="str">
        <f>IFERROR(__xludf.DUMMYFUNCTION("""COMPUTED_VALUE"""),"Sin precio neto")</f>
        <v>Sin precio neto</v>
      </c>
    </row>
    <row r="1633">
      <c r="A1633" s="4" t="str">
        <f>IFERROR(__xludf.DUMMYFUNCTION("""COMPUTED_VALUE"""),"4233")</f>
        <v>4233</v>
      </c>
      <c r="B1633" s="4" t="str">
        <f>IFERROR(__xludf.DUMMYFUNCTION("""COMPUTED_VALUE"""),"Espejo Convexo Acero Exterior 800 mm")</f>
        <v>Espejo Convexo Acero Exterior 800 mm</v>
      </c>
      <c r="C1633" s="4">
        <f>IFERROR(__xludf.DUMMYFUNCTION("""COMPUTED_VALUE"""),230.0)</f>
        <v>230</v>
      </c>
      <c r="D1633" s="4"/>
      <c r="E1633" s="4" t="str">
        <f>IFERROR(__xludf.DUMMYFUNCTION("""COMPUTED_VALUE"""),"Sin precio neto")</f>
        <v>Sin precio neto</v>
      </c>
    </row>
    <row r="1634">
      <c r="A1634" s="4" t="str">
        <f>IFERROR(__xludf.DUMMYFUNCTION("""COMPUTED_VALUE"""),"4234")</f>
        <v>4234</v>
      </c>
      <c r="B1634" s="4" t="str">
        <f>IFERROR(__xludf.DUMMYFUNCTION("""COMPUTED_VALUE"""),"Espejo Convexo Acero Exterior 450x600 mm")</f>
        <v>Espejo Convexo Acero Exterior 450x600 mm</v>
      </c>
      <c r="C1634" s="4">
        <f>IFERROR(__xludf.DUMMYFUNCTION("""COMPUTED_VALUE"""),157.5)</f>
        <v>157.5</v>
      </c>
      <c r="D1634" s="4"/>
      <c r="E1634" s="4" t="str">
        <f>IFERROR(__xludf.DUMMYFUNCTION("""COMPUTED_VALUE"""),"Sin precio neto")</f>
        <v>Sin precio neto</v>
      </c>
    </row>
    <row r="1635">
      <c r="A1635" s="4" t="str">
        <f>IFERROR(__xludf.DUMMYFUNCTION("""COMPUTED_VALUE"""),"4235")</f>
        <v>4235</v>
      </c>
      <c r="B1635" s="4" t="str">
        <f>IFERROR(__xludf.DUMMYFUNCTION("""COMPUTED_VALUE"""),"Espejo Convexo Acero Interior 490 mm")</f>
        <v>Espejo Convexo Acero Interior 490 mm</v>
      </c>
      <c r="C1635" s="4">
        <f>IFERROR(__xludf.DUMMYFUNCTION("""COMPUTED_VALUE"""),120.0)</f>
        <v>120</v>
      </c>
      <c r="D1635" s="4"/>
      <c r="E1635" s="4" t="str">
        <f>IFERROR(__xludf.DUMMYFUNCTION("""COMPUTED_VALUE"""),"Sin precio neto")</f>
        <v>Sin precio neto</v>
      </c>
    </row>
    <row r="1636">
      <c r="A1636" s="4" t="str">
        <f>IFERROR(__xludf.DUMMYFUNCTION("""COMPUTED_VALUE"""),"4250")</f>
        <v>4250</v>
      </c>
      <c r="B1636" s="4" t="str">
        <f>IFERROR(__xludf.DUMMYFUNCTION("""COMPUTED_VALUE"""),"Tope muelle carga - parking 90x10x10 cm")</f>
        <v>Tope muelle carga - parking 90x10x10 cm</v>
      </c>
      <c r="C1636" s="4">
        <f>IFERROR(__xludf.DUMMYFUNCTION("""COMPUTED_VALUE"""),22.0)</f>
        <v>22</v>
      </c>
      <c r="D1636" s="4"/>
      <c r="E1636" s="4" t="str">
        <f>IFERROR(__xludf.DUMMYFUNCTION("""COMPUTED_VALUE"""),"Sin precio neto")</f>
        <v>Sin precio neto</v>
      </c>
    </row>
    <row r="1637">
      <c r="A1637" s="4" t="str">
        <f>IFERROR(__xludf.DUMMYFUNCTION("""COMPUTED_VALUE"""),"4300")</f>
        <v>4300</v>
      </c>
      <c r="B1637" s="4" t="str">
        <f>IFERROR(__xludf.DUMMYFUNCTION("""COMPUTED_VALUE"""),"Big Bag 850x850x900 1000kg. 5:1")</f>
        <v>Big Bag 850x850x900 1000kg. 5:1</v>
      </c>
      <c r="C1637" s="4">
        <f>IFERROR(__xludf.DUMMYFUNCTION("""COMPUTED_VALUE"""),3.95)</f>
        <v>3.95</v>
      </c>
      <c r="D1637" s="4"/>
      <c r="E1637" s="4" t="str">
        <f>IFERROR(__xludf.DUMMYFUNCTION("""COMPUTED_VALUE"""),"Sin precio neto")</f>
        <v>Sin precio neto</v>
      </c>
    </row>
    <row r="1638">
      <c r="A1638" s="4" t="str">
        <f>IFERROR(__xludf.DUMMYFUNCTION("""COMPUTED_VALUE"""),"4301")</f>
        <v>4301</v>
      </c>
      <c r="B1638" s="4" t="str">
        <f>IFERROR(__xludf.DUMMYFUNCTION("""COMPUTED_VALUE"""),"Big Bag 850x850x900 c/ valvula descarga")</f>
        <v>Big Bag 850x850x900 c/ valvula descarga</v>
      </c>
      <c r="C1638" s="4">
        <f>IFERROR(__xludf.DUMMYFUNCTION("""COMPUTED_VALUE"""),4.6)</f>
        <v>4.6</v>
      </c>
      <c r="D1638" s="4"/>
      <c r="E1638" s="4" t="str">
        <f>IFERROR(__xludf.DUMMYFUNCTION("""COMPUTED_VALUE"""),"Sin precio neto")</f>
        <v>Sin precio neto</v>
      </c>
    </row>
    <row r="1639">
      <c r="A1639" s="4" t="str">
        <f>IFERROR(__xludf.DUMMYFUNCTION("""COMPUTED_VALUE"""),"4302")</f>
        <v>4302</v>
      </c>
      <c r="B1639" s="4" t="str">
        <f>IFERROR(__xludf.DUMMYFUNCTION("""COMPUTED_VALUE"""),"Big Bag 900x900x1200 MM FDC/FP ADR")</f>
        <v>Big Bag 900x900x1200 MM FDC/FP ADR</v>
      </c>
      <c r="C1639" s="4">
        <f>IFERROR(__xludf.DUMMYFUNCTION("""COMPUTED_VALUE"""),11.25)</f>
        <v>11.25</v>
      </c>
      <c r="D1639" s="4"/>
      <c r="E1639" s="4" t="str">
        <f>IFERROR(__xludf.DUMMYFUNCTION("""COMPUTED_VALUE"""),"Sin precio neto")</f>
        <v>Sin precio neto</v>
      </c>
    </row>
    <row r="1640">
      <c r="A1640" s="4" t="str">
        <f>IFERROR(__xludf.DUMMYFUNCTION("""COMPUTED_VALUE"""),"4303")</f>
        <v>4303</v>
      </c>
      <c r="B1640" s="4" t="str">
        <f>IFERROR(__xludf.DUMMYFUNCTION("""COMPUTED_VALUE"""),"Big Bag 900x900x1200 c/tapa")</f>
        <v>Big Bag 900x900x1200 c/tapa</v>
      </c>
      <c r="C1640" s="4">
        <f>IFERROR(__xludf.DUMMYFUNCTION("""COMPUTED_VALUE"""),7.0)</f>
        <v>7</v>
      </c>
      <c r="D1640" s="4"/>
      <c r="E1640" s="4" t="str">
        <f>IFERROR(__xludf.DUMMYFUNCTION("""COMPUTED_VALUE"""),"Sin precio neto")</f>
        <v>Sin precio neto</v>
      </c>
    </row>
    <row r="1641">
      <c r="A1641" s="4" t="str">
        <f>IFERROR(__xludf.DUMMYFUNCTION("""COMPUTED_VALUE"""),"4304")</f>
        <v>4304</v>
      </c>
      <c r="B1641" s="4" t="str">
        <f>IFERROR(__xludf.DUMMYFUNCTION("""COMPUTED_VALUE"""),"Saco de rafia para escombros 55cmx85cm carga 25 Kg")</f>
        <v>Saco de rafia para escombros 55cmx85cm carga 25 Kg</v>
      </c>
      <c r="C1641" s="4">
        <f>IFERROR(__xludf.DUMMYFUNCTION("""COMPUTED_VALUE"""),0.26)</f>
        <v>0.26</v>
      </c>
      <c r="D1641" s="4"/>
      <c r="E1641" s="4" t="str">
        <f>IFERROR(__xludf.DUMMYFUNCTION("""COMPUTED_VALUE"""),"Sin precio neto")</f>
        <v>Sin precio neto</v>
      </c>
    </row>
    <row r="1642">
      <c r="A1642" s="4" t="str">
        <f>IFERROR(__xludf.DUMMYFUNCTION("""COMPUTED_VALUE"""),"4305")</f>
        <v>4305</v>
      </c>
      <c r="B1642" s="4" t="str">
        <f>IFERROR(__xludf.DUMMYFUNCTION("""COMPUTED_VALUE"""),"Paquete 10 unid. saco plastico escombros 55x75")</f>
        <v>Paquete 10 unid. saco plastico escombros 55x75</v>
      </c>
      <c r="C1642" s="4">
        <f>IFERROR(__xludf.DUMMYFUNCTION("""COMPUTED_VALUE"""),4.47)</f>
        <v>4.47</v>
      </c>
      <c r="D1642" s="4"/>
      <c r="E1642" s="4" t="str">
        <f>IFERROR(__xludf.DUMMYFUNCTION("""COMPUTED_VALUE"""),"Sin precio neto")</f>
        <v>Sin precio neto</v>
      </c>
    </row>
    <row r="1643">
      <c r="A1643" s="4" t="str">
        <f>IFERROR(__xludf.DUMMYFUNCTION("""COMPUTED_VALUE"""),"4690")</f>
        <v>4690</v>
      </c>
      <c r="B1643" s="4" t="str">
        <f>IFERROR(__xludf.DUMMYFUNCTION("""COMPUTED_VALUE"""),"Chaleco Reflect. amarillo")</f>
        <v>Chaleco Reflect. amarillo</v>
      </c>
      <c r="C1643" s="4">
        <f>IFERROR(__xludf.DUMMYFUNCTION("""COMPUTED_VALUE"""),1.95)</f>
        <v>1.95</v>
      </c>
      <c r="D1643" s="4"/>
      <c r="E1643" s="4" t="str">
        <f>IFERROR(__xludf.DUMMYFUNCTION("""COMPUTED_VALUE"""),"Sin precio neto")</f>
        <v>Sin precio neto</v>
      </c>
    </row>
    <row r="1644">
      <c r="A1644" s="4" t="str">
        <f>IFERROR(__xludf.DUMMYFUNCTION("""COMPUTED_VALUE"""),"4691")</f>
        <v>4691</v>
      </c>
      <c r="B1644" s="4" t="str">
        <f>IFERROR(__xludf.DUMMYFUNCTION("""COMPUTED_VALUE"""),"Chaleco Reflect. naranja")</f>
        <v>Chaleco Reflect. naranja</v>
      </c>
      <c r="C1644" s="4">
        <f>IFERROR(__xludf.DUMMYFUNCTION("""COMPUTED_VALUE"""),1.95)</f>
        <v>1.95</v>
      </c>
      <c r="D1644" s="4"/>
      <c r="E1644" s="4" t="str">
        <f>IFERROR(__xludf.DUMMYFUNCTION("""COMPUTED_VALUE"""),"Sin precio neto")</f>
        <v>Sin precio neto</v>
      </c>
    </row>
    <row r="1645">
      <c r="A1645" s="4" t="str">
        <f>IFERROR(__xludf.DUMMYFUNCTION("""COMPUTED_VALUE"""),"4692")</f>
        <v>4692</v>
      </c>
      <c r="B1645" s="4" t="str">
        <f>IFERROR(__xludf.DUMMYFUNCTION("""COMPUTED_VALUE"""),"Chaleco Reflect. rejilla verano amarillo NO HOMOLOGADOS")</f>
        <v>Chaleco Reflect. rejilla verano amarillo NO HOMOLOGADOS</v>
      </c>
      <c r="C1645" s="4">
        <f>IFERROR(__xludf.DUMMYFUNCTION("""COMPUTED_VALUE"""),2.7)</f>
        <v>2.7</v>
      </c>
      <c r="D1645" s="4"/>
      <c r="E1645" s="4" t="str">
        <f>IFERROR(__xludf.DUMMYFUNCTION("""COMPUTED_VALUE"""),"Sin precio neto")</f>
        <v>Sin precio neto</v>
      </c>
    </row>
    <row r="1646">
      <c r="A1646" s="4" t="str">
        <f>IFERROR(__xludf.DUMMYFUNCTION("""COMPUTED_VALUE"""),"4695")</f>
        <v>4695</v>
      </c>
      <c r="B1646" s="4" t="str">
        <f>IFERROR(__xludf.DUMMYFUNCTION("""COMPUTED_VALUE"""),"Tirantes reflectantes amarillos NO HOMOLOGADOS")</f>
        <v>Tirantes reflectantes amarillos NO HOMOLOGADOS</v>
      </c>
      <c r="C1646" s="4">
        <f>IFERROR(__xludf.DUMMYFUNCTION("""COMPUTED_VALUE"""),2.2)</f>
        <v>2.2</v>
      </c>
      <c r="D1646" s="4"/>
      <c r="E1646" s="4" t="str">
        <f>IFERROR(__xludf.DUMMYFUNCTION("""COMPUTED_VALUE"""),"Sin precio neto")</f>
        <v>Sin precio neto</v>
      </c>
    </row>
    <row r="1647">
      <c r="A1647" s="4" t="str">
        <f>IFERROR(__xludf.DUMMYFUNCTION("""COMPUTED_VALUE"""),"4696")</f>
        <v>4696</v>
      </c>
      <c r="B1647" s="4" t="str">
        <f>IFERROR(__xludf.DUMMYFUNCTION("""COMPUTED_VALUE"""),"Tirantes reflectantes naranja NO HOMOLOGADOS")</f>
        <v>Tirantes reflectantes naranja NO HOMOLOGADOS</v>
      </c>
      <c r="C1647" s="4">
        <f>IFERROR(__xludf.DUMMYFUNCTION("""COMPUTED_VALUE"""),2.2)</f>
        <v>2.2</v>
      </c>
      <c r="D1647" s="4"/>
      <c r="E1647" s="4" t="str">
        <f>IFERROR(__xludf.DUMMYFUNCTION("""COMPUTED_VALUE"""),"Sin precio neto")</f>
        <v>Sin precio neto</v>
      </c>
    </row>
    <row r="1648">
      <c r="A1648" s="4" t="str">
        <f>IFERROR(__xludf.DUMMYFUNCTION("""COMPUTED_VALUE"""),"4700")</f>
        <v>4700</v>
      </c>
      <c r="B1648" s="4" t="str">
        <f>IFERROR(__xludf.DUMMYFUNCTION("""COMPUTED_VALUE"""),"Rollo Malla Protec Naranja (1x50mts.) 80 gr.")</f>
        <v>Rollo Malla Protec Naranja (1x50mts.) 80 gr.</v>
      </c>
      <c r="C1648" s="4">
        <f>IFERROR(__xludf.DUMMYFUNCTION("""COMPUTED_VALUE"""),18.4)</f>
        <v>18.4</v>
      </c>
      <c r="D1648" s="4"/>
      <c r="E1648" s="4" t="str">
        <f>IFERROR(__xludf.DUMMYFUNCTION("""COMPUTED_VALUE"""),"Sin precio neto")</f>
        <v>Sin precio neto</v>
      </c>
    </row>
    <row r="1649">
      <c r="A1649" s="4" t="str">
        <f>IFERROR(__xludf.DUMMYFUNCTION("""COMPUTED_VALUE"""),"4700A")</f>
        <v>4700A</v>
      </c>
      <c r="B1649" s="4" t="str">
        <f>IFERROR(__xludf.DUMMYFUNCTION("""COMPUTED_VALUE"""),"Rollo malla Protec Amarilla (1x50 m) 80 gr")</f>
        <v>Rollo malla Protec Amarilla (1x50 m) 80 gr</v>
      </c>
      <c r="C1649" s="4">
        <f>IFERROR(__xludf.DUMMYFUNCTION("""COMPUTED_VALUE"""),17.325)</f>
        <v>17.325</v>
      </c>
      <c r="D1649" s="4"/>
      <c r="E1649" s="4" t="str">
        <f>IFERROR(__xludf.DUMMYFUNCTION("""COMPUTED_VALUE"""),"Sin precio neto")</f>
        <v>Sin precio neto</v>
      </c>
    </row>
    <row r="1650">
      <c r="A1650" s="4" t="str">
        <f>IFERROR(__xludf.DUMMYFUNCTION("""COMPUTED_VALUE"""),"4700S")</f>
        <v>4700S</v>
      </c>
      <c r="B1650" s="4" t="str">
        <f>IFERROR(__xludf.DUMMYFUNCTION("""COMPUTED_VALUE"""),"Sistema sujeción para mallas y cinta varilla")</f>
        <v>Sistema sujeción para mallas y cinta varilla</v>
      </c>
      <c r="C1650" s="4">
        <f>IFERROR(__xludf.DUMMYFUNCTION("""COMPUTED_VALUE"""),1.25)</f>
        <v>1.25</v>
      </c>
      <c r="D1650" s="4"/>
      <c r="E1650" s="4" t="str">
        <f>IFERROR(__xludf.DUMMYFUNCTION("""COMPUTED_VALUE"""),"Sin precio neto")</f>
        <v>Sin precio neto</v>
      </c>
    </row>
    <row r="1651">
      <c r="A1651" s="4" t="str">
        <f>IFERROR(__xludf.DUMMYFUNCTION("""COMPUTED_VALUE"""),"4700V")</f>
        <v>4700V</v>
      </c>
      <c r="B1651" s="4" t="str">
        <f>IFERROR(__xludf.DUMMYFUNCTION("""COMPUTED_VALUE"""),"Rollo Malla Protec verde (1x50 m) 80 gr")</f>
        <v>Rollo Malla Protec verde (1x50 m) 80 gr</v>
      </c>
      <c r="C1651" s="4">
        <f>IFERROR(__xludf.DUMMYFUNCTION("""COMPUTED_VALUE"""),17.325)</f>
        <v>17.325</v>
      </c>
      <c r="D1651" s="4"/>
      <c r="E1651" s="4" t="str">
        <f>IFERROR(__xludf.DUMMYFUNCTION("""COMPUTED_VALUE"""),"Sin precio neto")</f>
        <v>Sin precio neto</v>
      </c>
    </row>
    <row r="1652">
      <c r="A1652" s="4" t="str">
        <f>IFERROR(__xludf.DUMMYFUNCTION("""COMPUTED_VALUE"""),"4700Z")</f>
        <v>4700Z</v>
      </c>
      <c r="B1652" s="4" t="str">
        <f>IFERROR(__xludf.DUMMYFUNCTION("""COMPUTED_VALUE"""),"Rollo malla Protec Azul (1x50 m) 80 gr")</f>
        <v>Rollo malla Protec Azul (1x50 m) 80 gr</v>
      </c>
      <c r="C1652" s="4">
        <f>IFERROR(__xludf.DUMMYFUNCTION("""COMPUTED_VALUE"""),17.325)</f>
        <v>17.325</v>
      </c>
      <c r="D1652" s="4"/>
      <c r="E1652" s="4" t="str">
        <f>IFERROR(__xludf.DUMMYFUNCTION("""COMPUTED_VALUE"""),"Sin precio neto")</f>
        <v>Sin precio neto</v>
      </c>
    </row>
    <row r="1653">
      <c r="A1653" s="4" t="str">
        <f>IFERROR(__xludf.DUMMYFUNCTION("""COMPUTED_VALUE"""),"4701")</f>
        <v>4701</v>
      </c>
      <c r="B1653" s="4" t="str">
        <f>IFERROR(__xludf.DUMMYFUNCTION("""COMPUTED_VALUE"""),"Rollo Malla Protec Naranja (1X50mts.) 100 gr.")</f>
        <v>Rollo Malla Protec Naranja (1X50mts.) 100 gr.</v>
      </c>
      <c r="C1653" s="4">
        <f>IFERROR(__xludf.DUMMYFUNCTION("""COMPUTED_VALUE"""),18.9)</f>
        <v>18.9</v>
      </c>
      <c r="D1653" s="4"/>
      <c r="E1653" s="4" t="str">
        <f>IFERROR(__xludf.DUMMYFUNCTION("""COMPUTED_VALUE"""),"Sin precio neto")</f>
        <v>Sin precio neto</v>
      </c>
    </row>
    <row r="1654">
      <c r="A1654" s="4" t="str">
        <f>IFERROR(__xludf.DUMMYFUNCTION("""COMPUTED_VALUE"""),"4702")</f>
        <v>4702</v>
      </c>
      <c r="B1654" s="4" t="str">
        <f>IFERROR(__xludf.DUMMYFUNCTION("""COMPUTED_VALUE"""),"Rollo malla fibra de vidrio Mortero-Reboco azul 1x50 m")</f>
        <v>Rollo malla fibra de vidrio Mortero-Reboco azul 1x50 m</v>
      </c>
      <c r="C1654" s="4">
        <f>IFERROR(__xludf.DUMMYFUNCTION("""COMPUTED_VALUE"""),21.0)</f>
        <v>21</v>
      </c>
      <c r="D1654" s="4"/>
      <c r="E1654" s="4" t="str">
        <f>IFERROR(__xludf.DUMMYFUNCTION("""COMPUTED_VALUE"""),"Sin precio neto")</f>
        <v>Sin precio neto</v>
      </c>
    </row>
    <row r="1655">
      <c r="A1655" s="4" t="str">
        <f>IFERROR(__xludf.DUMMYFUNCTION("""COMPUTED_VALUE"""),"4703")</f>
        <v>4703</v>
      </c>
      <c r="B1655" s="4" t="str">
        <f>IFERROR(__xludf.DUMMYFUNCTION("""COMPUTED_VALUE"""),"Rollo malla fibra de vidrio Yeso Blanca 1x50 m")</f>
        <v>Rollo malla fibra de vidrio Yeso Blanca 1x50 m</v>
      </c>
      <c r="C1655" s="4">
        <f>IFERROR(__xludf.DUMMYFUNCTION("""COMPUTED_VALUE"""),21.0)</f>
        <v>21</v>
      </c>
      <c r="D1655" s="4"/>
      <c r="E1655" s="4" t="str">
        <f>IFERROR(__xludf.DUMMYFUNCTION("""COMPUTED_VALUE"""),"Sin precio neto")</f>
        <v>Sin precio neto</v>
      </c>
    </row>
    <row r="1656">
      <c r="A1656" s="4" t="str">
        <f>IFERROR(__xludf.DUMMYFUNCTION("""COMPUTED_VALUE"""),"4704")</f>
        <v>4704</v>
      </c>
      <c r="B1656" s="4" t="str">
        <f>IFERROR(__xludf.DUMMYFUNCTION("""COMPUTED_VALUE"""),"Rollo Malla fibra de vidrio Blanca pintura 1x50 m")</f>
        <v>Rollo Malla fibra de vidrio Blanca pintura 1x50 m</v>
      </c>
      <c r="C1656" s="4">
        <f>IFERROR(__xludf.DUMMYFUNCTION("""COMPUTED_VALUE"""),21.0)</f>
        <v>21</v>
      </c>
      <c r="D1656" s="4"/>
      <c r="E1656" s="4" t="str">
        <f>IFERROR(__xludf.DUMMYFUNCTION("""COMPUTED_VALUE"""),"Sin precio neto")</f>
        <v>Sin precio neto</v>
      </c>
    </row>
    <row r="1657">
      <c r="A1657" s="4" t="str">
        <f>IFERROR(__xludf.DUMMYFUNCTION("""COMPUTED_VALUE"""),"4720")</f>
        <v>4720</v>
      </c>
      <c r="B1657" s="4" t="str">
        <f>IFERROR(__xludf.DUMMYFUNCTION("""COMPUTED_VALUE"""),"Mubo PVC señal. c/reflec. 1 mt")</f>
        <v>Mubo PVC señal. c/reflec. 1 mt</v>
      </c>
      <c r="C1657" s="4">
        <f>IFERROR(__xludf.DUMMYFUNCTION("""COMPUTED_VALUE"""),0.8)</f>
        <v>0.8</v>
      </c>
      <c r="D1657" s="4">
        <f>IFERROR(__xludf.DUMMYFUNCTION("""COMPUTED_VALUE"""),0.75)</f>
        <v>0.75</v>
      </c>
      <c r="E1657" s="4" t="str">
        <f>IFERROR(__xludf.DUMMYFUNCTION("""COMPUTED_VALUE"""),"Neto: 0,75 € (a partir de 25 uds.)")</f>
        <v>Neto: 0,75 € (a partir de 25 uds.)</v>
      </c>
    </row>
    <row r="1658">
      <c r="A1658" s="4" t="str">
        <f>IFERROR(__xludf.DUMMYFUNCTION("""COMPUTED_VALUE"""),"4730")</f>
        <v>4730</v>
      </c>
      <c r="B1658" s="4" t="str">
        <f>IFERROR(__xludf.DUMMYFUNCTION("""COMPUTED_VALUE"""),"Estaca madera 30x30x30")</f>
        <v>Estaca madera 30x30x30</v>
      </c>
      <c r="C1658" s="4">
        <f>IFERROR(__xludf.DUMMYFUNCTION("""COMPUTED_VALUE"""),0.4)</f>
        <v>0.4</v>
      </c>
      <c r="D1658" s="4"/>
      <c r="E1658" s="4" t="str">
        <f>IFERROR(__xludf.DUMMYFUNCTION("""COMPUTED_VALUE"""),"Sin precio neto")</f>
        <v>Sin precio neto</v>
      </c>
    </row>
    <row r="1659">
      <c r="A1659" s="4" t="str">
        <f>IFERROR(__xludf.DUMMYFUNCTION("""COMPUTED_VALUE"""),"4735")</f>
        <v>4735</v>
      </c>
      <c r="B1659" s="4" t="str">
        <f>IFERROR(__xludf.DUMMYFUNCTION("""COMPUTED_VALUE"""),"Estaca madera 30x30x35")</f>
        <v>Estaca madera 30x30x35</v>
      </c>
      <c r="C1659" s="4">
        <f>IFERROR(__xludf.DUMMYFUNCTION("""COMPUTED_VALUE"""),0.42)</f>
        <v>0.42</v>
      </c>
      <c r="D1659" s="4"/>
      <c r="E1659" s="4" t="str">
        <f>IFERROR(__xludf.DUMMYFUNCTION("""COMPUTED_VALUE"""),"Sin precio neto")</f>
        <v>Sin precio neto</v>
      </c>
    </row>
    <row r="1660">
      <c r="A1660" s="4" t="str">
        <f>IFERROR(__xludf.DUMMYFUNCTION("""COMPUTED_VALUE"""),"4740")</f>
        <v>4740</v>
      </c>
      <c r="B1660" s="4" t="str">
        <f>IFERROR(__xludf.DUMMYFUNCTION("""COMPUTED_VALUE"""),"Estaca madera 30x30x40")</f>
        <v>Estaca madera 30x30x40</v>
      </c>
      <c r="C1660" s="4">
        <f>IFERROR(__xludf.DUMMYFUNCTION("""COMPUTED_VALUE"""),0.4)</f>
        <v>0.4</v>
      </c>
      <c r="D1660" s="4"/>
      <c r="E1660" s="4" t="str">
        <f>IFERROR(__xludf.DUMMYFUNCTION("""COMPUTED_VALUE"""),"Sin precio neto")</f>
        <v>Sin precio neto</v>
      </c>
    </row>
    <row r="1661">
      <c r="A1661" s="4" t="str">
        <f>IFERROR(__xludf.DUMMYFUNCTION("""COMPUTED_VALUE"""),"4750")</f>
        <v>4750</v>
      </c>
      <c r="B1661" s="4" t="str">
        <f>IFERROR(__xludf.DUMMYFUNCTION("""COMPUTED_VALUE"""),"Estaca madera 30x30x50")</f>
        <v>Estaca madera 30x30x50</v>
      </c>
      <c r="C1661" s="4">
        <f>IFERROR(__xludf.DUMMYFUNCTION("""COMPUTED_VALUE"""),0.47)</f>
        <v>0.47</v>
      </c>
      <c r="D1661" s="4"/>
      <c r="E1661" s="4" t="str">
        <f>IFERROR(__xludf.DUMMYFUNCTION("""COMPUTED_VALUE"""),"Sin precio neto")</f>
        <v>Sin precio neto</v>
      </c>
    </row>
    <row r="1662">
      <c r="A1662" s="4" t="str">
        <f>IFERROR(__xludf.DUMMYFUNCTION("""COMPUTED_VALUE"""),"4760")</f>
        <v>4760</v>
      </c>
      <c r="B1662" s="4" t="str">
        <f>IFERROR(__xludf.DUMMYFUNCTION("""COMPUTED_VALUE"""),"Estaca madera 30x30x60")</f>
        <v>Estaca madera 30x30x60</v>
      </c>
      <c r="C1662" s="4">
        <f>IFERROR(__xludf.DUMMYFUNCTION("""COMPUTED_VALUE"""),0.57)</f>
        <v>0.57</v>
      </c>
      <c r="D1662" s="4"/>
      <c r="E1662" s="4" t="str">
        <f>IFERROR(__xludf.DUMMYFUNCTION("""COMPUTED_VALUE"""),"Sin precio neto")</f>
        <v>Sin precio neto</v>
      </c>
    </row>
    <row r="1663">
      <c r="A1663" s="4" t="str">
        <f>IFERROR(__xludf.DUMMYFUNCTION("""COMPUTED_VALUE"""),"4770")</f>
        <v>4770</v>
      </c>
      <c r="B1663" s="4" t="str">
        <f>IFERROR(__xludf.DUMMYFUNCTION("""COMPUTED_VALUE"""),"Estaca madera 30x30x70")</f>
        <v>Estaca madera 30x30x70</v>
      </c>
      <c r="C1663" s="4">
        <f>IFERROR(__xludf.DUMMYFUNCTION("""COMPUTED_VALUE"""),0.67)</f>
        <v>0.67</v>
      </c>
      <c r="D1663" s="4"/>
      <c r="E1663" s="4" t="str">
        <f>IFERROR(__xludf.DUMMYFUNCTION("""COMPUTED_VALUE"""),"Sin precio neto")</f>
        <v>Sin precio neto</v>
      </c>
    </row>
    <row r="1664">
      <c r="A1664" s="4" t="str">
        <f>IFERROR(__xludf.DUMMYFUNCTION("""COMPUTED_VALUE"""),"4780")</f>
        <v>4780</v>
      </c>
      <c r="B1664" s="4" t="str">
        <f>IFERROR(__xludf.DUMMYFUNCTION("""COMPUTED_VALUE"""),"Ecopate 300")</f>
        <v>Ecopate 300</v>
      </c>
      <c r="C1664" s="4">
        <f>IFERROR(__xludf.DUMMYFUNCTION("""COMPUTED_VALUE"""),5.35)</f>
        <v>5.35</v>
      </c>
      <c r="D1664" s="4">
        <f>IFERROR(__xludf.DUMMYFUNCTION("""COMPUTED_VALUE"""),4.85)</f>
        <v>4.85</v>
      </c>
      <c r="E1664" s="4" t="str">
        <f>IFERROR(__xludf.DUMMYFUNCTION("""COMPUTED_VALUE"""),"Neto: 4,85 € (a partir de 40 uds.)")</f>
        <v>Neto: 4,85 € (a partir de 40 uds.)</v>
      </c>
    </row>
    <row r="1665">
      <c r="A1665" s="4" t="str">
        <f>IFERROR(__xludf.DUMMYFUNCTION("""COMPUTED_VALUE"""),"4799")</f>
        <v>4799</v>
      </c>
      <c r="B1665" s="4" t="str">
        <f>IFERROR(__xludf.DUMMYFUNCTION("""COMPUTED_VALUE"""),"Estaca madera 30x30x100")</f>
        <v>Estaca madera 30x30x100</v>
      </c>
      <c r="C1665" s="4">
        <f>IFERROR(__xludf.DUMMYFUNCTION("""COMPUTED_VALUE"""),0.94)</f>
        <v>0.94</v>
      </c>
      <c r="D1665" s="4"/>
      <c r="E1665" s="4" t="str">
        <f>IFERROR(__xludf.DUMMYFUNCTION("""COMPUTED_VALUE"""),"Sin precio neto")</f>
        <v>Sin precio neto</v>
      </c>
    </row>
    <row r="1666">
      <c r="A1666" s="4" t="str">
        <f>IFERROR(__xludf.DUMMYFUNCTION("""COMPUTED_VALUE"""),"4887")</f>
        <v>4887</v>
      </c>
      <c r="B1666" s="4" t="str">
        <f>IFERROR(__xludf.DUMMYFUNCTION("""COMPUTED_VALUE"""),"Mtro.cuadrado malla proteccion andamio Standard")</f>
        <v>Mtro.cuadrado malla proteccion andamio Standard</v>
      </c>
      <c r="C1666" s="4">
        <f>IFERROR(__xludf.DUMMYFUNCTION("""COMPUTED_VALUE"""),0.61)</f>
        <v>0.61</v>
      </c>
      <c r="D1666" s="4"/>
      <c r="E1666" s="4" t="str">
        <f>IFERROR(__xludf.DUMMYFUNCTION("""COMPUTED_VALUE"""),"Sin precio neto")</f>
        <v>Sin precio neto</v>
      </c>
    </row>
    <row r="1667">
      <c r="A1667" s="4" t="str">
        <f>IFERROR(__xludf.DUMMYFUNCTION("""COMPUTED_VALUE"""),"4888")</f>
        <v>4888</v>
      </c>
      <c r="B1667" s="4" t="str">
        <f>IFERROR(__xludf.DUMMYFUNCTION("""COMPUTED_VALUE"""),"Mtro.cuadrado malla proteccion andamio Extra")</f>
        <v>Mtro.cuadrado malla proteccion andamio Extra</v>
      </c>
      <c r="C1667" s="4">
        <f>IFERROR(__xludf.DUMMYFUNCTION("""COMPUTED_VALUE"""),0.68)</f>
        <v>0.68</v>
      </c>
      <c r="D1667" s="4"/>
      <c r="E1667" s="4" t="str">
        <f>IFERROR(__xludf.DUMMYFUNCTION("""COMPUTED_VALUE"""),"Sin precio neto")</f>
        <v>Sin precio neto</v>
      </c>
    </row>
    <row r="1668">
      <c r="A1668" s="4" t="str">
        <f>IFERROR(__xludf.DUMMYFUNCTION("""COMPUTED_VALUE"""),"4888C")</f>
        <v>4888C</v>
      </c>
      <c r="B1668" s="4" t="str">
        <f>IFERROR(__xludf.DUMMYFUNCTION("""COMPUTED_VALUE"""),"Conector grapa para malla ojales y poste cadena (50 uds)")</f>
        <v>Conector grapa para malla ojales y poste cadena (50 uds)</v>
      </c>
      <c r="C1668" s="4">
        <f>IFERROR(__xludf.DUMMYFUNCTION("""COMPUTED_VALUE"""),6.0)</f>
        <v>6</v>
      </c>
      <c r="D1668" s="4"/>
      <c r="E1668" s="4" t="str">
        <f>IFERROR(__xludf.DUMMYFUNCTION("""COMPUTED_VALUE"""),"Sin precio neto")</f>
        <v>Sin precio neto</v>
      </c>
    </row>
    <row r="1669">
      <c r="A1669" s="4" t="str">
        <f>IFERROR(__xludf.DUMMYFUNCTION("""COMPUTED_VALUE"""),"4888G")</f>
        <v>4888G</v>
      </c>
      <c r="B1669" s="4" t="str">
        <f>IFERROR(__xludf.DUMMYFUNCTION("""COMPUTED_VALUE"""),"Grapa 35x40 mm para malla (50 uds)")</f>
        <v>Grapa 35x40 mm para malla (50 uds)</v>
      </c>
      <c r="C1669" s="4">
        <f>IFERROR(__xludf.DUMMYFUNCTION("""COMPUTED_VALUE"""),4.0)</f>
        <v>4</v>
      </c>
      <c r="D1669" s="4"/>
      <c r="E1669" s="4" t="str">
        <f>IFERROR(__xludf.DUMMYFUNCTION("""COMPUTED_VALUE"""),"Sin precio neto")</f>
        <v>Sin precio neto</v>
      </c>
    </row>
    <row r="1670">
      <c r="A1670" s="4" t="str">
        <f>IFERROR(__xludf.DUMMYFUNCTION("""COMPUTED_VALUE"""),"4890")</f>
        <v>4890</v>
      </c>
      <c r="B1670" s="4" t="str">
        <f>IFERROR(__xludf.DUMMYFUNCTION("""COMPUTED_VALUE"""),"Malla sombreo/ocultacion 70% (x M2)")</f>
        <v>Malla sombreo/ocultacion 70% (x M2)</v>
      </c>
      <c r="C1670" s="4">
        <f>IFERROR(__xludf.DUMMYFUNCTION("""COMPUTED_VALUE"""),0.545)</f>
        <v>0.545</v>
      </c>
      <c r="D1670" s="4"/>
      <c r="E1670" s="4" t="str">
        <f>IFERROR(__xludf.DUMMYFUNCTION("""COMPUTED_VALUE"""),"Sin precio neto")</f>
        <v>Sin precio neto</v>
      </c>
    </row>
    <row r="1671">
      <c r="A1671" s="4" t="str">
        <f>IFERROR(__xludf.DUMMYFUNCTION("""COMPUTED_VALUE"""),"4891")</f>
        <v>4891</v>
      </c>
      <c r="B1671" s="4" t="str">
        <f>IFERROR(__xludf.DUMMYFUNCTION("""COMPUTED_VALUE"""),"Malla sombreo/ocultacion 80% (x M2)")</f>
        <v>Malla sombreo/ocultacion 80% (x M2)</v>
      </c>
      <c r="C1671" s="4">
        <f>IFERROR(__xludf.DUMMYFUNCTION("""COMPUTED_VALUE"""),0.95)</f>
        <v>0.95</v>
      </c>
      <c r="D1671" s="4"/>
      <c r="E1671" s="4" t="str">
        <f>IFERROR(__xludf.DUMMYFUNCTION("""COMPUTED_VALUE"""),"Sin precio neto")</f>
        <v>Sin precio neto</v>
      </c>
    </row>
    <row r="1672">
      <c r="A1672" s="4" t="str">
        <f>IFERROR(__xludf.DUMMYFUNCTION("""COMPUTED_VALUE"""),"4892")</f>
        <v>4892</v>
      </c>
      <c r="B1672" s="4" t="str">
        <f>IFERROR(__xludf.DUMMYFUNCTION("""COMPUTED_VALUE"""),"Malla sombreo/ocultacion 90% (x M2)")</f>
        <v>Malla sombreo/ocultacion 90% (x M2)</v>
      </c>
      <c r="C1672" s="4">
        <f>IFERROR(__xludf.DUMMYFUNCTION("""COMPUTED_VALUE"""),1.04)</f>
        <v>1.04</v>
      </c>
      <c r="D1672" s="4"/>
      <c r="E1672" s="4" t="str">
        <f>IFERROR(__xludf.DUMMYFUNCTION("""COMPUTED_VALUE"""),"Sin precio neto")</f>
        <v>Sin precio neto</v>
      </c>
    </row>
    <row r="1673">
      <c r="A1673" s="4" t="str">
        <f>IFERROR(__xludf.DUMMYFUNCTION("""COMPUTED_VALUE"""),"4893")</f>
        <v>4893</v>
      </c>
      <c r="B1673" s="4" t="str">
        <f>IFERROR(__xludf.DUMMYFUNCTION("""COMPUTED_VALUE"""),"Malla/Tejido suelo antihierba negro/verde (x M2)")</f>
        <v>Malla/Tejido suelo antihierba negro/verde (x M2)</v>
      </c>
      <c r="C1673" s="4">
        <f>IFERROR(__xludf.DUMMYFUNCTION("""COMPUTED_VALUE"""),0.76)</f>
        <v>0.76</v>
      </c>
      <c r="D1673" s="4"/>
      <c r="E1673" s="4" t="str">
        <f>IFERROR(__xludf.DUMMYFUNCTION("""COMPUTED_VALUE"""),"Sin precio neto")</f>
        <v>Sin precio neto</v>
      </c>
    </row>
    <row r="1674">
      <c r="A1674" s="4" t="str">
        <f>IFERROR(__xludf.DUMMYFUNCTION("""COMPUTED_VALUE"""),"4894")</f>
        <v>4894</v>
      </c>
      <c r="B1674" s="4" t="str">
        <f>IFERROR(__xludf.DUMMYFUNCTION("""COMPUTED_VALUE"""),"Malla ocultacion negra/franjas 75% 3,50x1,90 blister")</f>
        <v>Malla ocultacion negra/franjas 75% 3,50x1,90 blister</v>
      </c>
      <c r="C1674" s="4">
        <f>IFERROR(__xludf.DUMMYFUNCTION("""COMPUTED_VALUE"""),5.31)</f>
        <v>5.31</v>
      </c>
      <c r="D1674" s="4"/>
      <c r="E1674" s="4" t="str">
        <f>IFERROR(__xludf.DUMMYFUNCTION("""COMPUTED_VALUE"""),"Sin precio neto")</f>
        <v>Sin precio neto</v>
      </c>
    </row>
    <row r="1675">
      <c r="A1675" s="4" t="str">
        <f>IFERROR(__xludf.DUMMYFUNCTION("""COMPUTED_VALUE"""),"4895/A")</f>
        <v>4895/A</v>
      </c>
      <c r="B1675" s="4" t="str">
        <f>IFERROR(__xludf.DUMMYFUNCTION("""COMPUTED_VALUE"""),"Malla señal. monofilamento 1x100 mts Amarilla")</f>
        <v>Malla señal. monofilamento 1x100 mts Amarilla</v>
      </c>
      <c r="C1675" s="4">
        <f>IFERROR(__xludf.DUMMYFUNCTION("""COMPUTED_VALUE"""),50.4)</f>
        <v>50.4</v>
      </c>
      <c r="D1675" s="4"/>
      <c r="E1675" s="4" t="str">
        <f>IFERROR(__xludf.DUMMYFUNCTION("""COMPUTED_VALUE"""),"Sin precio neto")</f>
        <v>Sin precio neto</v>
      </c>
    </row>
    <row r="1676">
      <c r="A1676" s="4" t="str">
        <f>IFERROR(__xludf.DUMMYFUNCTION("""COMPUTED_VALUE"""),"4895/R")</f>
        <v>4895/R</v>
      </c>
      <c r="B1676" s="4" t="str">
        <f>IFERROR(__xludf.DUMMYFUNCTION("""COMPUTED_VALUE"""),"Malla señal. monofilamento 1x100 mts Rojo")</f>
        <v>Malla señal. monofilamento 1x100 mts Rojo</v>
      </c>
      <c r="C1676" s="4">
        <f>IFERROR(__xludf.DUMMYFUNCTION("""COMPUTED_VALUE"""),50.4)</f>
        <v>50.4</v>
      </c>
      <c r="D1676" s="4"/>
      <c r="E1676" s="4" t="str">
        <f>IFERROR(__xludf.DUMMYFUNCTION("""COMPUTED_VALUE"""),"Sin precio neto")</f>
        <v>Sin precio neto</v>
      </c>
    </row>
    <row r="1677">
      <c r="A1677" s="4" t="str">
        <f>IFERROR(__xludf.DUMMYFUNCTION("""COMPUTED_VALUE"""),"4897")</f>
        <v>4897</v>
      </c>
      <c r="B1677" s="4" t="str">
        <f>IFERROR(__xludf.DUMMYFUNCTION("""COMPUTED_VALUE"""),"Malla sombreo/ocultacion 70% manto a medida (x M2)")</f>
        <v>Malla sombreo/ocultacion 70% manto a medida (x M2)</v>
      </c>
      <c r="C1677" s="4">
        <f>IFERROR(__xludf.DUMMYFUNCTION("""COMPUTED_VALUE"""),0.61)</f>
        <v>0.61</v>
      </c>
      <c r="D1677" s="4"/>
      <c r="E1677" s="4" t="str">
        <f>IFERROR(__xludf.DUMMYFUNCTION("""COMPUTED_VALUE"""),"Sin precio neto")</f>
        <v>Sin precio neto</v>
      </c>
    </row>
    <row r="1678">
      <c r="A1678" s="4" t="str">
        <f>IFERROR(__xludf.DUMMYFUNCTION("""COMPUTED_VALUE"""),"4898")</f>
        <v>4898</v>
      </c>
      <c r="B1678" s="4" t="str">
        <f>IFERROR(__xludf.DUMMYFUNCTION("""COMPUTED_VALUE"""),"Malla sombreo/ocultacion 80% manto a medida (x M2)")</f>
        <v>Malla sombreo/ocultacion 80% manto a medida (x M2)</v>
      </c>
      <c r="C1678" s="4">
        <f>IFERROR(__xludf.DUMMYFUNCTION("""COMPUTED_VALUE"""),0.89)</f>
        <v>0.89</v>
      </c>
      <c r="D1678" s="4"/>
      <c r="E1678" s="4" t="str">
        <f>IFERROR(__xludf.DUMMYFUNCTION("""COMPUTED_VALUE"""),"Sin precio neto")</f>
        <v>Sin precio neto</v>
      </c>
    </row>
    <row r="1679">
      <c r="A1679" s="4" t="str">
        <f>IFERROR(__xludf.DUMMYFUNCTION("""COMPUTED_VALUE"""),"4899")</f>
        <v>4899</v>
      </c>
      <c r="B1679" s="4" t="str">
        <f>IFERROR(__xludf.DUMMYFUNCTION("""COMPUTED_VALUE"""),"Malla sombreo/ocultacion 90% manto a medida (x M2)")</f>
        <v>Malla sombreo/ocultacion 90% manto a medida (x M2)</v>
      </c>
      <c r="C1679" s="4">
        <f>IFERROR(__xludf.DUMMYFUNCTION("""COMPUTED_VALUE"""),0.945)</f>
        <v>0.945</v>
      </c>
      <c r="D1679" s="4"/>
      <c r="E1679" s="4" t="str">
        <f>IFERROR(__xludf.DUMMYFUNCTION("""COMPUTED_VALUE"""),"Sin precio neto")</f>
        <v>Sin precio neto</v>
      </c>
    </row>
    <row r="1680">
      <c r="A1680" s="4" t="str">
        <f>IFERROR(__xludf.DUMMYFUNCTION("""COMPUTED_VALUE"""),"5100")</f>
        <v>5100</v>
      </c>
      <c r="B1680" s="4" t="str">
        <f>IFERROR(__xludf.DUMMYFUNCTION("""COMPUTED_VALUE"""),"Gafas protección G-1")</f>
        <v>Gafas protección G-1</v>
      </c>
      <c r="C1680" s="4">
        <f>IFERROR(__xludf.DUMMYFUNCTION("""COMPUTED_VALUE"""),1.14)</f>
        <v>1.14</v>
      </c>
      <c r="D1680" s="4"/>
      <c r="E1680" s="4" t="str">
        <f>IFERROR(__xludf.DUMMYFUNCTION("""COMPUTED_VALUE"""),"Sin precio neto")</f>
        <v>Sin precio neto</v>
      </c>
    </row>
    <row r="1681">
      <c r="A1681" s="4" t="str">
        <f>IFERROR(__xludf.DUMMYFUNCTION("""COMPUTED_VALUE"""),"5101")</f>
        <v>5101</v>
      </c>
      <c r="B1681" s="4" t="str">
        <f>IFERROR(__xludf.DUMMYFUNCTION("""COMPUTED_VALUE"""),"Gafas protección G-2")</f>
        <v>Gafas protección G-2</v>
      </c>
      <c r="C1681" s="4">
        <f>IFERROR(__xludf.DUMMYFUNCTION("""COMPUTED_VALUE"""),0.8)</f>
        <v>0.8</v>
      </c>
      <c r="D1681" s="4"/>
      <c r="E1681" s="4" t="str">
        <f>IFERROR(__xludf.DUMMYFUNCTION("""COMPUTED_VALUE"""),"Sin precio neto")</f>
        <v>Sin precio neto</v>
      </c>
    </row>
    <row r="1682">
      <c r="A1682" s="4" t="str">
        <f>IFERROR(__xludf.DUMMYFUNCTION("""COMPUTED_VALUE"""),"5102")</f>
        <v>5102</v>
      </c>
      <c r="B1682" s="4" t="str">
        <f>IFERROR(__xludf.DUMMYFUNCTION("""COMPUTED_VALUE"""),"Gafas protección G-3")</f>
        <v>Gafas protección G-3</v>
      </c>
      <c r="C1682" s="4">
        <f>IFERROR(__xludf.DUMMYFUNCTION("""COMPUTED_VALUE"""),1.38)</f>
        <v>1.38</v>
      </c>
      <c r="D1682" s="4"/>
      <c r="E1682" s="4" t="str">
        <f>IFERROR(__xludf.DUMMYFUNCTION("""COMPUTED_VALUE"""),"Sin precio neto")</f>
        <v>Sin precio neto</v>
      </c>
    </row>
    <row r="1683">
      <c r="A1683" s="4" t="str">
        <f>IFERROR(__xludf.DUMMYFUNCTION("""COMPUTED_VALUE"""),"5105")</f>
        <v>5105</v>
      </c>
      <c r="B1683" s="4" t="str">
        <f>IFERROR(__xludf.DUMMYFUNCTION("""COMPUTED_VALUE"""),"Pantalla protectora facial fija Basic")</f>
        <v>Pantalla protectora facial fija Basic</v>
      </c>
      <c r="C1683" s="4">
        <f>IFERROR(__xludf.DUMMYFUNCTION("""COMPUTED_VALUE"""),2.1)</f>
        <v>2.1</v>
      </c>
      <c r="D1683" s="4"/>
      <c r="E1683" s="4" t="str">
        <f>IFERROR(__xludf.DUMMYFUNCTION("""COMPUTED_VALUE"""),"Sin precio neto")</f>
        <v>Sin precio neto</v>
      </c>
    </row>
    <row r="1684">
      <c r="A1684" s="4" t="str">
        <f>IFERROR(__xludf.DUMMYFUNCTION("""COMPUTED_VALUE"""),"5200")</f>
        <v>5200</v>
      </c>
      <c r="B1684" s="4" t="str">
        <f>IFERROR(__xludf.DUMMYFUNCTION("""COMPUTED_VALUE"""),"Tapones proteccion auditiva c/ cordón")</f>
        <v>Tapones proteccion auditiva c/ cordón</v>
      </c>
      <c r="C1684" s="4">
        <f>IFERROR(__xludf.DUMMYFUNCTION("""COMPUTED_VALUE"""),0.23)</f>
        <v>0.23</v>
      </c>
      <c r="D1684" s="4"/>
      <c r="E1684" s="4" t="str">
        <f>IFERROR(__xludf.DUMMYFUNCTION("""COMPUTED_VALUE"""),"Sin precio neto")</f>
        <v>Sin precio neto</v>
      </c>
    </row>
    <row r="1685">
      <c r="A1685" s="4" t="str">
        <f>IFERROR(__xludf.DUMMYFUNCTION("""COMPUTED_VALUE"""),"5201")</f>
        <v>5201</v>
      </c>
      <c r="B1685" s="4" t="str">
        <f>IFERROR(__xludf.DUMMYFUNCTION("""COMPUTED_VALUE"""),"Cascos proteccion auditiva mod. A")</f>
        <v>Cascos proteccion auditiva mod. A</v>
      </c>
      <c r="C1685" s="4">
        <f>IFERROR(__xludf.DUMMYFUNCTION("""COMPUTED_VALUE"""),2.53)</f>
        <v>2.53</v>
      </c>
      <c r="D1685" s="4"/>
      <c r="E1685" s="4" t="str">
        <f>IFERROR(__xludf.DUMMYFUNCTION("""COMPUTED_VALUE"""),"Sin precio neto")</f>
        <v>Sin precio neto</v>
      </c>
    </row>
    <row r="1686">
      <c r="A1686" s="4" t="str">
        <f>IFERROR(__xludf.DUMMYFUNCTION("""COMPUTED_VALUE"""),"5300L")</f>
        <v>5300L</v>
      </c>
      <c r="B1686" s="4" t="str">
        <f>IFERROR(__xludf.DUMMYFUNCTION("""COMPUTED_VALUE"""),"Faja elastica proteccion lumbar Talla L")</f>
        <v>Faja elastica proteccion lumbar Talla L</v>
      </c>
      <c r="C1686" s="4">
        <f>IFERROR(__xludf.DUMMYFUNCTION("""COMPUTED_VALUE"""),7.9)</f>
        <v>7.9</v>
      </c>
      <c r="D1686" s="4"/>
      <c r="E1686" s="4" t="str">
        <f>IFERROR(__xludf.DUMMYFUNCTION("""COMPUTED_VALUE"""),"Sin precio neto")</f>
        <v>Sin precio neto</v>
      </c>
    </row>
    <row r="1687">
      <c r="A1687" s="4" t="str">
        <f>IFERROR(__xludf.DUMMYFUNCTION("""COMPUTED_VALUE"""),"5300XL")</f>
        <v>5300XL</v>
      </c>
      <c r="B1687" s="4" t="str">
        <f>IFERROR(__xludf.DUMMYFUNCTION("""COMPUTED_VALUE"""),"Faja elastica proteccion lumbar Talla XL")</f>
        <v>Faja elastica proteccion lumbar Talla XL</v>
      </c>
      <c r="C1687" s="4">
        <f>IFERROR(__xludf.DUMMYFUNCTION("""COMPUTED_VALUE"""),7.9)</f>
        <v>7.9</v>
      </c>
      <c r="D1687" s="4"/>
      <c r="E1687" s="4" t="str">
        <f>IFERROR(__xludf.DUMMYFUNCTION("""COMPUTED_VALUE"""),"Sin precio neto")</f>
        <v>Sin precio neto</v>
      </c>
    </row>
    <row r="1688">
      <c r="A1688" s="4" t="str">
        <f>IFERROR(__xludf.DUMMYFUNCTION("""COMPUTED_VALUE"""),"5300XXL")</f>
        <v>5300XXL</v>
      </c>
      <c r="B1688" s="4" t="str">
        <f>IFERROR(__xludf.DUMMYFUNCTION("""COMPUTED_VALUE"""),"Faja elastica proteccion lumbar Talla XXL")</f>
        <v>Faja elastica proteccion lumbar Talla XXL</v>
      </c>
      <c r="C1688" s="4">
        <f>IFERROR(__xludf.DUMMYFUNCTION("""COMPUTED_VALUE"""),7.9)</f>
        <v>7.9</v>
      </c>
      <c r="D1688" s="4"/>
      <c r="E1688" s="4" t="str">
        <f>IFERROR(__xludf.DUMMYFUNCTION("""COMPUTED_VALUE"""),"Sin precio neto")</f>
        <v>Sin precio neto</v>
      </c>
    </row>
    <row r="1689">
      <c r="A1689" s="4" t="str">
        <f>IFERROR(__xludf.DUMMYFUNCTION("""COMPUTED_VALUE"""),"7000")</f>
        <v>7000</v>
      </c>
      <c r="B1689" s="4" t="str">
        <f>IFERROR(__xludf.DUMMYFUNCTION("""COMPUTED_VALUE"""),"Spray fluo 500 ml S MARK rojo")</f>
        <v>Spray fluo 500 ml S MARK rojo</v>
      </c>
      <c r="C1689" s="4">
        <f>IFERROR(__xludf.DUMMYFUNCTION("""COMPUTED_VALUE"""),4.7)</f>
        <v>4.7</v>
      </c>
      <c r="D1689" s="4"/>
      <c r="E1689" s="4" t="str">
        <f>IFERROR(__xludf.DUMMYFUNCTION("""COMPUTED_VALUE"""),"Sin precio neto")</f>
        <v>Sin precio neto</v>
      </c>
    </row>
    <row r="1690">
      <c r="A1690" s="4" t="str">
        <f>IFERROR(__xludf.DUMMYFUNCTION("""COMPUTED_VALUE"""),"7001")</f>
        <v>7001</v>
      </c>
      <c r="B1690" s="4" t="str">
        <f>IFERROR(__xludf.DUMMYFUNCTION("""COMPUTED_VALUE"""),"Spray fluo 500 ml S MARK azul")</f>
        <v>Spray fluo 500 ml S MARK azul</v>
      </c>
      <c r="C1690" s="4">
        <f>IFERROR(__xludf.DUMMYFUNCTION("""COMPUTED_VALUE"""),4.7)</f>
        <v>4.7</v>
      </c>
      <c r="D1690" s="4"/>
      <c r="E1690" s="4" t="str">
        <f>IFERROR(__xludf.DUMMYFUNCTION("""COMPUTED_VALUE"""),"Sin precio neto")</f>
        <v>Sin precio neto</v>
      </c>
    </row>
    <row r="1691">
      <c r="A1691" s="4" t="str">
        <f>IFERROR(__xludf.DUMMYFUNCTION("""COMPUTED_VALUE"""),"7002")</f>
        <v>7002</v>
      </c>
      <c r="B1691" s="4" t="str">
        <f>IFERROR(__xludf.DUMMYFUNCTION("""COMPUTED_VALUE"""),"Spray fluo 500 ml S MARK amarillo")</f>
        <v>Spray fluo 500 ml S MARK amarillo</v>
      </c>
      <c r="C1691" s="4">
        <f>IFERROR(__xludf.DUMMYFUNCTION("""COMPUTED_VALUE"""),4.7)</f>
        <v>4.7</v>
      </c>
      <c r="D1691" s="4"/>
      <c r="E1691" s="4" t="str">
        <f>IFERROR(__xludf.DUMMYFUNCTION("""COMPUTED_VALUE"""),"Sin precio neto")</f>
        <v>Sin precio neto</v>
      </c>
    </row>
    <row r="1692">
      <c r="A1692" s="4" t="str">
        <f>IFERROR(__xludf.DUMMYFUNCTION("""COMPUTED_VALUE"""),"7003")</f>
        <v>7003</v>
      </c>
      <c r="B1692" s="4" t="str">
        <f>IFERROR(__xludf.DUMMYFUNCTION("""COMPUTED_VALUE"""),"Spray fluo 500 ml S MARK verde")</f>
        <v>Spray fluo 500 ml S MARK verde</v>
      </c>
      <c r="C1692" s="4">
        <f>IFERROR(__xludf.DUMMYFUNCTION("""COMPUTED_VALUE"""),4.7)</f>
        <v>4.7</v>
      </c>
      <c r="D1692" s="4"/>
      <c r="E1692" s="4" t="str">
        <f>IFERROR(__xludf.DUMMYFUNCTION("""COMPUTED_VALUE"""),"Sin precio neto")</f>
        <v>Sin precio neto</v>
      </c>
    </row>
    <row r="1693">
      <c r="A1693" s="4" t="str">
        <f>IFERROR(__xludf.DUMMYFUNCTION("""COMPUTED_VALUE"""),"7003A")</f>
        <v>7003A</v>
      </c>
      <c r="B1693" s="4" t="str">
        <f>IFERROR(__xludf.DUMMYFUNCTION("""COMPUTED_VALUE"""),"Loseta/superficie para guía peatonal Mod A")</f>
        <v>Loseta/superficie para guía peatonal Mod A</v>
      </c>
      <c r="C1693" s="4">
        <f>IFERROR(__xludf.DUMMYFUNCTION("""COMPUTED_VALUE"""),9.4)</f>
        <v>9.4</v>
      </c>
      <c r="D1693" s="4"/>
      <c r="E1693" s="4" t="str">
        <f>IFERROR(__xludf.DUMMYFUNCTION("""COMPUTED_VALUE"""),"Sin precio neto")</f>
        <v>Sin precio neto</v>
      </c>
    </row>
    <row r="1694">
      <c r="A1694" s="4" t="str">
        <f>IFERROR(__xludf.DUMMYFUNCTION("""COMPUTED_VALUE"""),"7004")</f>
        <v>7004</v>
      </c>
      <c r="B1694" s="4" t="str">
        <f>IFERROR(__xludf.DUMMYFUNCTION("""COMPUTED_VALUE"""),"Spray fluo 500 ml S MARK rosa")</f>
        <v>Spray fluo 500 ml S MARK rosa</v>
      </c>
      <c r="C1694" s="4">
        <f>IFERROR(__xludf.DUMMYFUNCTION("""COMPUTED_VALUE"""),4.7)</f>
        <v>4.7</v>
      </c>
      <c r="D1694" s="4"/>
      <c r="E1694" s="4" t="str">
        <f>IFERROR(__xludf.DUMMYFUNCTION("""COMPUTED_VALUE"""),"Sin precio neto")</f>
        <v>Sin precio neto</v>
      </c>
    </row>
    <row r="1695">
      <c r="A1695" s="4" t="str">
        <f>IFERROR(__xludf.DUMMYFUNCTION("""COMPUTED_VALUE"""),"7004B")</f>
        <v>7004B</v>
      </c>
      <c r="B1695" s="4" t="str">
        <f>IFERROR(__xludf.DUMMYFUNCTION("""COMPUTED_VALUE"""),"Loseta/superficie para guía peatonal Mod B")</f>
        <v>Loseta/superficie para guía peatonal Mod B</v>
      </c>
      <c r="C1695" s="4">
        <f>IFERROR(__xludf.DUMMYFUNCTION("""COMPUTED_VALUE"""),9.4)</f>
        <v>9.4</v>
      </c>
      <c r="D1695" s="4"/>
      <c r="E1695" s="4" t="str">
        <f>IFERROR(__xludf.DUMMYFUNCTION("""COMPUTED_VALUE"""),"Sin precio neto")</f>
        <v>Sin precio neto</v>
      </c>
    </row>
    <row r="1696">
      <c r="A1696" s="4" t="str">
        <f>IFERROR(__xludf.DUMMYFUNCTION("""COMPUTED_VALUE"""),"7005")</f>
        <v>7005</v>
      </c>
      <c r="B1696" s="4" t="str">
        <f>IFERROR(__xludf.DUMMYFUNCTION("""COMPUTED_VALUE"""),"Spray fluo 500 ml S MARK naranja")</f>
        <v>Spray fluo 500 ml S MARK naranja</v>
      </c>
      <c r="C1696" s="4">
        <f>IFERROR(__xludf.DUMMYFUNCTION("""COMPUTED_VALUE"""),4.7)</f>
        <v>4.7</v>
      </c>
      <c r="D1696" s="4"/>
      <c r="E1696" s="4" t="str">
        <f>IFERROR(__xludf.DUMMYFUNCTION("""COMPUTED_VALUE"""),"Sin precio neto")</f>
        <v>Sin precio neto</v>
      </c>
    </row>
    <row r="1697">
      <c r="A1697" s="4" t="str">
        <f>IFERROR(__xludf.DUMMYFUNCTION("""COMPUTED_VALUE"""),"7010")</f>
        <v>7010</v>
      </c>
      <c r="B1697" s="4" t="str">
        <f>IFERROR(__xludf.DUMMYFUNCTION("""COMPUTED_VALUE"""),"Spray Fluo 360º 500 ml IDEAL rojo")</f>
        <v>Spray Fluo 360º 500 ml IDEAL rojo</v>
      </c>
      <c r="C1697" s="4">
        <f>IFERROR(__xludf.DUMMYFUNCTION("""COMPUTED_VALUE"""),4.97)</f>
        <v>4.97</v>
      </c>
      <c r="D1697" s="4"/>
      <c r="E1697" s="4" t="str">
        <f>IFERROR(__xludf.DUMMYFUNCTION("""COMPUTED_VALUE"""),"Sin precio neto")</f>
        <v>Sin precio neto</v>
      </c>
    </row>
    <row r="1698">
      <c r="A1698" s="4" t="str">
        <f>IFERROR(__xludf.DUMMYFUNCTION("""COMPUTED_VALUE"""),"7011")</f>
        <v>7011</v>
      </c>
      <c r="B1698" s="4" t="str">
        <f>IFERROR(__xludf.DUMMYFUNCTION("""COMPUTED_VALUE"""),"Spray Fluo 360º 500 ml IDEAL azul")</f>
        <v>Spray Fluo 360º 500 ml IDEAL azul</v>
      </c>
      <c r="C1698" s="4">
        <f>IFERROR(__xludf.DUMMYFUNCTION("""COMPUTED_VALUE"""),4.97)</f>
        <v>4.97</v>
      </c>
      <c r="D1698" s="4"/>
      <c r="E1698" s="4" t="str">
        <f>IFERROR(__xludf.DUMMYFUNCTION("""COMPUTED_VALUE"""),"Sin precio neto")</f>
        <v>Sin precio neto</v>
      </c>
    </row>
    <row r="1699">
      <c r="A1699" s="4" t="str">
        <f>IFERROR(__xludf.DUMMYFUNCTION("""COMPUTED_VALUE"""),"7012")</f>
        <v>7012</v>
      </c>
      <c r="B1699" s="4" t="str">
        <f>IFERROR(__xludf.DUMMYFUNCTION("""COMPUTED_VALUE"""),"Spray Fluo 360º 500 ml IDEAL amarillo")</f>
        <v>Spray Fluo 360º 500 ml IDEAL amarillo</v>
      </c>
      <c r="C1699" s="4">
        <f>IFERROR(__xludf.DUMMYFUNCTION("""COMPUTED_VALUE"""),4.97)</f>
        <v>4.97</v>
      </c>
      <c r="D1699" s="4"/>
      <c r="E1699" s="4" t="str">
        <f>IFERROR(__xludf.DUMMYFUNCTION("""COMPUTED_VALUE"""),"Sin precio neto")</f>
        <v>Sin precio neto</v>
      </c>
    </row>
    <row r="1700">
      <c r="A1700" s="4" t="str">
        <f>IFERROR(__xludf.DUMMYFUNCTION("""COMPUTED_VALUE"""),"7014")</f>
        <v>7014</v>
      </c>
      <c r="B1700" s="4" t="str">
        <f>IFERROR(__xludf.DUMMYFUNCTION("""COMPUTED_VALUE"""),"Spray Fluo 360º 500 ml IDEAL rosa")</f>
        <v>Spray Fluo 360º 500 ml IDEAL rosa</v>
      </c>
      <c r="C1700" s="4">
        <f>IFERROR(__xludf.DUMMYFUNCTION("""COMPUTED_VALUE"""),4.97)</f>
        <v>4.97</v>
      </c>
      <c r="D1700" s="4"/>
      <c r="E1700" s="4" t="str">
        <f>IFERROR(__xludf.DUMMYFUNCTION("""COMPUTED_VALUE"""),"Sin precio neto")</f>
        <v>Sin precio neto</v>
      </c>
    </row>
    <row r="1701">
      <c r="A1701" s="4" t="str">
        <f>IFERROR(__xludf.DUMMYFUNCTION("""COMPUTED_VALUE"""),"7020")</f>
        <v>7020</v>
      </c>
      <c r="B1701" s="4" t="str">
        <f>IFERROR(__xludf.DUMMYFUNCTION("""COMPUTED_VALUE"""),"Spray 500 ml Line Marker Blanco")</f>
        <v>Spray 500 ml Line Marker Blanco</v>
      </c>
      <c r="C1701" s="4">
        <f>IFERROR(__xludf.DUMMYFUNCTION("""COMPUTED_VALUE"""),7.615)</f>
        <v>7.615</v>
      </c>
      <c r="D1701" s="4"/>
      <c r="E1701" s="4" t="str">
        <f>IFERROR(__xludf.DUMMYFUNCTION("""COMPUTED_VALUE"""),"Sin precio neto")</f>
        <v>Sin precio neto</v>
      </c>
    </row>
    <row r="1702">
      <c r="A1702" s="4" t="str">
        <f>IFERROR(__xludf.DUMMYFUNCTION("""COMPUTED_VALUE"""),"7022")</f>
        <v>7022</v>
      </c>
      <c r="B1702" s="4" t="str">
        <f>IFERROR(__xludf.DUMMYFUNCTION("""COMPUTED_VALUE"""),"Spray 500 ml Line Marker Amarillo")</f>
        <v>Spray 500 ml Line Marker Amarillo</v>
      </c>
      <c r="C1702" s="4">
        <f>IFERROR(__xludf.DUMMYFUNCTION("""COMPUTED_VALUE"""),7.615)</f>
        <v>7.615</v>
      </c>
      <c r="D1702" s="4"/>
      <c r="E1702" s="4" t="str">
        <f>IFERROR(__xludf.DUMMYFUNCTION("""COMPUTED_VALUE"""),"Sin precio neto")</f>
        <v>Sin precio neto</v>
      </c>
    </row>
    <row r="1703">
      <c r="A1703" s="4" t="str">
        <f>IFERROR(__xludf.DUMMYFUNCTION("""COMPUTED_VALUE"""),"7025")</f>
        <v>7025</v>
      </c>
      <c r="B1703" s="4" t="str">
        <f>IFERROR(__xludf.DUMMYFUNCTION("""COMPUTED_VALUE"""),"Spray Pintura Luminiscente 400 ml")</f>
        <v>Spray Pintura Luminiscente 400 ml</v>
      </c>
      <c r="C1703" s="4">
        <f>IFERROR(__xludf.DUMMYFUNCTION("""COMPUTED_VALUE"""),18.375)</f>
        <v>18.375</v>
      </c>
      <c r="D1703" s="4"/>
      <c r="E1703" s="4" t="str">
        <f>IFERROR(__xludf.DUMMYFUNCTION("""COMPUTED_VALUE"""),"Sin precio neto")</f>
        <v>Sin precio neto</v>
      </c>
    </row>
    <row r="1704">
      <c r="A1704" s="4" t="str">
        <f>IFERROR(__xludf.DUMMYFUNCTION("""COMPUTED_VALUE"""),"80135N1")</f>
        <v>80135N1</v>
      </c>
      <c r="B1704" s="4" t="str">
        <f>IFERROR(__xludf.DUMMYFUNCTION("""COMPUTED_VALUE"""),"Triangulo MOPU TP 135 cm Reflex I")</f>
        <v>Triangulo MOPU TP 135 cm Reflex I</v>
      </c>
      <c r="C1704" s="4">
        <f>IFERROR(__xludf.DUMMYFUNCTION("""COMPUTED_VALUE"""),81.06)</f>
        <v>81.06</v>
      </c>
      <c r="D1704" s="4"/>
      <c r="E1704" s="4" t="str">
        <f>IFERROR(__xludf.DUMMYFUNCTION("""COMPUTED_VALUE"""),"Sin precio neto")</f>
        <v>Sin precio neto</v>
      </c>
    </row>
    <row r="1705">
      <c r="A1705" s="4" t="str">
        <f>IFERROR(__xludf.DUMMYFUNCTION("""COMPUTED_VALUE"""),"80135N2")</f>
        <v>80135N2</v>
      </c>
      <c r="B1705" s="4" t="str">
        <f>IFERROR(__xludf.DUMMYFUNCTION("""COMPUTED_VALUE"""),"Triangulo MOPU TD 135 cm Reflex II")</f>
        <v>Triangulo MOPU TD 135 cm Reflex II</v>
      </c>
      <c r="C1705" s="4">
        <f>IFERROR(__xludf.DUMMYFUNCTION("""COMPUTED_VALUE"""),117.39)</f>
        <v>117.39</v>
      </c>
      <c r="D1705" s="4"/>
      <c r="E1705" s="4" t="str">
        <f>IFERROR(__xludf.DUMMYFUNCTION("""COMPUTED_VALUE"""),"Sin precio neto")</f>
        <v>Sin precio neto</v>
      </c>
    </row>
    <row r="1706">
      <c r="A1706" s="4" t="str">
        <f>IFERROR(__xludf.DUMMYFUNCTION("""COMPUTED_VALUE"""),"80135N3")</f>
        <v>80135N3</v>
      </c>
      <c r="B1706" s="4" t="str">
        <f>IFERROR(__xludf.DUMMYFUNCTION("""COMPUTED_VALUE"""),"Triangulo MOPU TD 135 cm Reflex III")</f>
        <v>Triangulo MOPU TD 135 cm Reflex III</v>
      </c>
      <c r="C1706" s="4">
        <f>IFERROR(__xludf.DUMMYFUNCTION("""COMPUTED_VALUE"""),156.4)</f>
        <v>156.4</v>
      </c>
      <c r="D1706" s="4"/>
      <c r="E1706" s="4" t="str">
        <f>IFERROR(__xludf.DUMMYFUNCTION("""COMPUTED_VALUE"""),"Sin precio neto")</f>
        <v>Sin precio neto</v>
      </c>
    </row>
    <row r="1707">
      <c r="A1707" s="4" t="str">
        <f>IFERROR(__xludf.DUMMYFUNCTION("""COMPUTED_VALUE"""),"80175N1")</f>
        <v>80175N1</v>
      </c>
      <c r="B1707" s="4" t="str">
        <f>IFERROR(__xludf.DUMMYFUNCTION("""COMPUTED_VALUE"""),"Triangulo MOPU TD 175 cm Reflex I")</f>
        <v>Triangulo MOPU TD 175 cm Reflex I</v>
      </c>
      <c r="C1707" s="4">
        <f>IFERROR(__xludf.DUMMYFUNCTION("""COMPUTED_VALUE"""),178.76)</f>
        <v>178.76</v>
      </c>
      <c r="D1707" s="4"/>
      <c r="E1707" s="4" t="str">
        <f>IFERROR(__xludf.DUMMYFUNCTION("""COMPUTED_VALUE"""),"Sin precio neto")</f>
        <v>Sin precio neto</v>
      </c>
    </row>
    <row r="1708">
      <c r="A1708" s="4" t="str">
        <f>IFERROR(__xludf.DUMMYFUNCTION("""COMPUTED_VALUE"""),"80175N2")</f>
        <v>80175N2</v>
      </c>
      <c r="B1708" s="4" t="str">
        <f>IFERROR(__xludf.DUMMYFUNCTION("""COMPUTED_VALUE"""),"Triangulo MOPU TD 175 cm Reflex II")</f>
        <v>Triangulo MOPU TD 175 cm Reflex II</v>
      </c>
      <c r="C1708" s="4">
        <f>IFERROR(__xludf.DUMMYFUNCTION("""COMPUTED_VALUE"""),224.66)</f>
        <v>224.66</v>
      </c>
      <c r="D1708" s="4"/>
      <c r="E1708" s="4" t="str">
        <f>IFERROR(__xludf.DUMMYFUNCTION("""COMPUTED_VALUE"""),"Sin precio neto")</f>
        <v>Sin precio neto</v>
      </c>
    </row>
    <row r="1709">
      <c r="A1709" s="4" t="str">
        <f>IFERROR(__xludf.DUMMYFUNCTION("""COMPUTED_VALUE"""),"80175N3")</f>
        <v>80175N3</v>
      </c>
      <c r="B1709" s="4" t="str">
        <f>IFERROR(__xludf.DUMMYFUNCTION("""COMPUTED_VALUE"""),"Triangulo MOPU TD 175 cm Reflex III")</f>
        <v>Triangulo MOPU TD 175 cm Reflex III</v>
      </c>
      <c r="C1709" s="4">
        <f>IFERROR(__xludf.DUMMYFUNCTION("""COMPUTED_VALUE"""),286.88)</f>
        <v>286.88</v>
      </c>
      <c r="D1709" s="4"/>
      <c r="E1709" s="4" t="str">
        <f>IFERROR(__xludf.DUMMYFUNCTION("""COMPUTED_VALUE"""),"Sin precio neto")</f>
        <v>Sin precio neto</v>
      </c>
    </row>
    <row r="1710">
      <c r="A1710" s="4" t="str">
        <f>IFERROR(__xludf.DUMMYFUNCTION("""COMPUTED_VALUE"""),"8070N1")</f>
        <v>8070N1</v>
      </c>
      <c r="B1710" s="4" t="str">
        <f>IFERROR(__xludf.DUMMYFUNCTION("""COMPUTED_VALUE"""),"Triangulo MOPU TP 70 cm Reflex I")</f>
        <v>Triangulo MOPU TP 70 cm Reflex I</v>
      </c>
      <c r="C1710" s="4">
        <f>IFERROR(__xludf.DUMMYFUNCTION("""COMPUTED_VALUE"""),24.0)</f>
        <v>24</v>
      </c>
      <c r="D1710" s="4">
        <f>IFERROR(__xludf.DUMMYFUNCTION("""COMPUTED_VALUE"""),21.5)</f>
        <v>21.5</v>
      </c>
      <c r="E1710" s="4" t="str">
        <f>IFERROR(__xludf.DUMMYFUNCTION("""COMPUTED_VALUE"""),"Neto: 21,50 € (a partir de 1 uds.)")</f>
        <v>Neto: 21,50 € (a partir de 1 uds.)</v>
      </c>
    </row>
    <row r="1711">
      <c r="A1711" s="4" t="str">
        <f>IFERROR(__xludf.DUMMYFUNCTION("""COMPUTED_VALUE"""),"8070N2")</f>
        <v>8070N2</v>
      </c>
      <c r="B1711" s="4" t="str">
        <f>IFERROR(__xludf.DUMMYFUNCTION("""COMPUTED_VALUE"""),"Triangulo MOPU TP 70 cm Reflex II")</f>
        <v>Triangulo MOPU TP 70 cm Reflex II</v>
      </c>
      <c r="C1711" s="4">
        <f>IFERROR(__xludf.DUMMYFUNCTION("""COMPUTED_VALUE"""),31.0)</f>
        <v>31</v>
      </c>
      <c r="D1711" s="4"/>
      <c r="E1711" s="4" t="str">
        <f>IFERROR(__xludf.DUMMYFUNCTION("""COMPUTED_VALUE"""),"Sin precio neto")</f>
        <v>Sin precio neto</v>
      </c>
    </row>
    <row r="1712">
      <c r="A1712" s="4" t="str">
        <f>IFERROR(__xludf.DUMMYFUNCTION("""COMPUTED_VALUE"""),"8070N3")</f>
        <v>8070N3</v>
      </c>
      <c r="B1712" s="4" t="str">
        <f>IFERROR(__xludf.DUMMYFUNCTION("""COMPUTED_VALUE"""),"Triangulo MOPU TP 70 cm Reflex III")</f>
        <v>Triangulo MOPU TP 70 cm Reflex III</v>
      </c>
      <c r="C1712" s="4">
        <f>IFERROR(__xludf.DUMMYFUNCTION("""COMPUTED_VALUE"""),49.98)</f>
        <v>49.98</v>
      </c>
      <c r="D1712" s="4"/>
      <c r="E1712" s="4" t="str">
        <f>IFERROR(__xludf.DUMMYFUNCTION("""COMPUTED_VALUE"""),"Sin precio neto")</f>
        <v>Sin precio neto</v>
      </c>
    </row>
    <row r="1713">
      <c r="A1713" s="4" t="str">
        <f>IFERROR(__xludf.DUMMYFUNCTION("""COMPUTED_VALUE"""),"8090N1")</f>
        <v>8090N1</v>
      </c>
      <c r="B1713" s="4" t="str">
        <f>IFERROR(__xludf.DUMMYFUNCTION("""COMPUTED_VALUE"""),"Triangulo MOPU TP 90 cm Reflex I")</f>
        <v>Triangulo MOPU TP 90 cm Reflex I</v>
      </c>
      <c r="C1713" s="4">
        <f>IFERROR(__xludf.DUMMYFUNCTION("""COMPUTED_VALUE"""),44.25)</f>
        <v>44.25</v>
      </c>
      <c r="D1713" s="4">
        <f>IFERROR(__xludf.DUMMYFUNCTION("""COMPUTED_VALUE"""),31.8)</f>
        <v>31.8</v>
      </c>
      <c r="E1713" s="4" t="str">
        <f>IFERROR(__xludf.DUMMYFUNCTION("""COMPUTED_VALUE"""),"Neto: 31,80 € (a partir de 1 uds.)")</f>
        <v>Neto: 31,80 € (a partir de 1 uds.)</v>
      </c>
    </row>
    <row r="1714">
      <c r="A1714" s="4" t="str">
        <f>IFERROR(__xludf.DUMMYFUNCTION("""COMPUTED_VALUE"""),"8090N2")</f>
        <v>8090N2</v>
      </c>
      <c r="B1714" s="4" t="str">
        <f>IFERROR(__xludf.DUMMYFUNCTION("""COMPUTED_VALUE"""),"Triangulo MOPU TP 90 cm Reflex II")</f>
        <v>Triangulo MOPU TP 90 cm Reflex II</v>
      </c>
      <c r="C1714" s="4">
        <f>IFERROR(__xludf.DUMMYFUNCTION("""COMPUTED_VALUE"""),56.95)</f>
        <v>56.95</v>
      </c>
      <c r="D1714" s="4"/>
      <c r="E1714" s="4" t="str">
        <f>IFERROR(__xludf.DUMMYFUNCTION("""COMPUTED_VALUE"""),"Sin precio neto")</f>
        <v>Sin precio neto</v>
      </c>
    </row>
    <row r="1715">
      <c r="A1715" s="4" t="str">
        <f>IFERROR(__xludf.DUMMYFUNCTION("""COMPUTED_VALUE"""),"8090N3")</f>
        <v>8090N3</v>
      </c>
      <c r="B1715" s="4" t="str">
        <f>IFERROR(__xludf.DUMMYFUNCTION("""COMPUTED_VALUE"""),"Triangulo MOPU TP 90 cm Reflex III")</f>
        <v>Triangulo MOPU TP 90 cm Reflex III</v>
      </c>
      <c r="C1715" s="4">
        <f>IFERROR(__xludf.DUMMYFUNCTION("""COMPUTED_VALUE"""),79.22)</f>
        <v>79.22</v>
      </c>
      <c r="D1715" s="4"/>
      <c r="E1715" s="4" t="str">
        <f>IFERROR(__xludf.DUMMYFUNCTION("""COMPUTED_VALUE"""),"Sin precio neto")</f>
        <v>Sin precio neto</v>
      </c>
    </row>
    <row r="1716">
      <c r="A1716" s="4" t="str">
        <f>IFERROR(__xludf.DUMMYFUNCTION("""COMPUTED_VALUE"""),"81120N1")</f>
        <v>81120N1</v>
      </c>
      <c r="B1716" s="4" t="str">
        <f>IFERROR(__xludf.DUMMYFUNCTION("""COMPUTED_VALUE"""),"Disco MOPU TR 120 cm Reflex I")</f>
        <v>Disco MOPU TR 120 cm Reflex I</v>
      </c>
      <c r="C1716" s="4">
        <f>IFERROR(__xludf.DUMMYFUNCTION("""COMPUTED_VALUE"""),147.39)</f>
        <v>147.39</v>
      </c>
      <c r="D1716" s="4"/>
      <c r="E1716" s="4" t="str">
        <f>IFERROR(__xludf.DUMMYFUNCTION("""COMPUTED_VALUE"""),"Sin precio neto")</f>
        <v>Sin precio neto</v>
      </c>
    </row>
    <row r="1717">
      <c r="A1717" s="4" t="str">
        <f>IFERROR(__xludf.DUMMYFUNCTION("""COMPUTED_VALUE"""),"81120N2")</f>
        <v>81120N2</v>
      </c>
      <c r="B1717" s="4" t="str">
        <f>IFERROR(__xludf.DUMMYFUNCTION("""COMPUTED_VALUE"""),"Disco MOPU TR 120 cm Reflex II")</f>
        <v>Disco MOPU TR 120 cm Reflex II</v>
      </c>
      <c r="C1717" s="4">
        <f>IFERROR(__xludf.DUMMYFUNCTION("""COMPUTED_VALUE"""),202.56)</f>
        <v>202.56</v>
      </c>
      <c r="D1717" s="4"/>
      <c r="E1717" s="4" t="str">
        <f>IFERROR(__xludf.DUMMYFUNCTION("""COMPUTED_VALUE"""),"Sin precio neto")</f>
        <v>Sin precio neto</v>
      </c>
    </row>
    <row r="1718">
      <c r="A1718" s="4" t="str">
        <f>IFERROR(__xludf.DUMMYFUNCTION("""COMPUTED_VALUE"""),"81120N3")</f>
        <v>81120N3</v>
      </c>
      <c r="B1718" s="4" t="str">
        <f>IFERROR(__xludf.DUMMYFUNCTION("""COMPUTED_VALUE"""),"Disco MOPU TR 120 cm Reflex III")</f>
        <v>Disco MOPU TR 120 cm Reflex III</v>
      </c>
      <c r="C1718" s="4">
        <f>IFERROR(__xludf.DUMMYFUNCTION("""COMPUTED_VALUE"""),260.78)</f>
        <v>260.78</v>
      </c>
      <c r="D1718" s="4"/>
      <c r="E1718" s="4" t="str">
        <f>IFERROR(__xludf.DUMMYFUNCTION("""COMPUTED_VALUE"""),"Sin precio neto")</f>
        <v>Sin precio neto</v>
      </c>
    </row>
    <row r="1719">
      <c r="A1719" s="4" t="str">
        <f>IFERROR(__xludf.DUMMYFUNCTION("""COMPUTED_VALUE"""),"8160N1")</f>
        <v>8160N1</v>
      </c>
      <c r="B1719" s="4" t="str">
        <f>IFERROR(__xludf.DUMMYFUNCTION("""COMPUTED_VALUE"""),"Disco MOPU TR 60 cm Reflex I")</f>
        <v>Disco MOPU TR 60 cm Reflex I</v>
      </c>
      <c r="C1719" s="4">
        <f>IFERROR(__xludf.DUMMYFUNCTION("""COMPUTED_VALUE"""),24.75)</f>
        <v>24.75</v>
      </c>
      <c r="D1719" s="4">
        <f>IFERROR(__xludf.DUMMYFUNCTION("""COMPUTED_VALUE"""),23.5)</f>
        <v>23.5</v>
      </c>
      <c r="E1719" s="4" t="str">
        <f>IFERROR(__xludf.DUMMYFUNCTION("""COMPUTED_VALUE"""),"Neto: 23,50 € (a partir de 1 uds.)")</f>
        <v>Neto: 23,50 € (a partir de 1 uds.)</v>
      </c>
    </row>
    <row r="1720">
      <c r="A1720" s="4" t="str">
        <f>IFERROR(__xludf.DUMMYFUNCTION("""COMPUTED_VALUE"""),"8160N2")</f>
        <v>8160N2</v>
      </c>
      <c r="B1720" s="4" t="str">
        <f>IFERROR(__xludf.DUMMYFUNCTION("""COMPUTED_VALUE"""),"Disco MOPU TR 60 cm Reflex II")</f>
        <v>Disco MOPU TR 60 cm Reflex II</v>
      </c>
      <c r="C1720" s="4">
        <f>IFERROR(__xludf.DUMMYFUNCTION("""COMPUTED_VALUE"""),31.4)</f>
        <v>31.4</v>
      </c>
      <c r="D1720" s="4"/>
      <c r="E1720" s="4" t="str">
        <f>IFERROR(__xludf.DUMMYFUNCTION("""COMPUTED_VALUE"""),"Sin precio neto")</f>
        <v>Sin precio neto</v>
      </c>
    </row>
    <row r="1721">
      <c r="A1721" s="4" t="str">
        <f>IFERROR(__xludf.DUMMYFUNCTION("""COMPUTED_VALUE"""),"8160N3")</f>
        <v>8160N3</v>
      </c>
      <c r="B1721" s="4" t="str">
        <f>IFERROR(__xludf.DUMMYFUNCTION("""COMPUTED_VALUE"""),"Disco MOPU TR 60 cm Reflex III")</f>
        <v>Disco MOPU TR 60 cm Reflex III</v>
      </c>
      <c r="C1721" s="4">
        <f>IFERROR(__xludf.DUMMYFUNCTION("""COMPUTED_VALUE"""),67.52)</f>
        <v>67.52</v>
      </c>
      <c r="D1721" s="4"/>
      <c r="E1721" s="4" t="str">
        <f>IFERROR(__xludf.DUMMYFUNCTION("""COMPUTED_VALUE"""),"Sin precio neto")</f>
        <v>Sin precio neto</v>
      </c>
    </row>
    <row r="1722">
      <c r="A1722" s="4" t="str">
        <f>IFERROR(__xludf.DUMMYFUNCTION("""COMPUTED_VALUE"""),"8190N1")</f>
        <v>8190N1</v>
      </c>
      <c r="B1722" s="4" t="str">
        <f>IFERROR(__xludf.DUMMYFUNCTION("""COMPUTED_VALUE"""),"Disco MOPU TR 90 cm Reflex I")</f>
        <v>Disco MOPU TR 90 cm Reflex I</v>
      </c>
      <c r="C1722" s="4">
        <f>IFERROR(__xludf.DUMMYFUNCTION("""COMPUTED_VALUE"""),69.53)</f>
        <v>69.53</v>
      </c>
      <c r="D1722" s="4">
        <f>IFERROR(__xludf.DUMMYFUNCTION("""COMPUTED_VALUE"""),43.0)</f>
        <v>43</v>
      </c>
      <c r="E1722" s="4" t="str">
        <f>IFERROR(__xludf.DUMMYFUNCTION("""COMPUTED_VALUE"""),"Neto: 43,00 € (a partir de 1 uds.)")</f>
        <v>Neto: 43,00 € (a partir de 1 uds.)</v>
      </c>
    </row>
    <row r="1723">
      <c r="A1723" s="4" t="str">
        <f>IFERROR(__xludf.DUMMYFUNCTION("""COMPUTED_VALUE"""),"8190N2")</f>
        <v>8190N2</v>
      </c>
      <c r="B1723" s="4" t="str">
        <f>IFERROR(__xludf.DUMMYFUNCTION("""COMPUTED_VALUE"""),"Disco MOPU TR 90 cm Reflex II")</f>
        <v>Disco MOPU TR 90 cm Reflex II</v>
      </c>
      <c r="C1723" s="4">
        <f>IFERROR(__xludf.DUMMYFUNCTION("""COMPUTED_VALUE"""),104.0)</f>
        <v>104</v>
      </c>
      <c r="D1723" s="4"/>
      <c r="E1723" s="4" t="str">
        <f>IFERROR(__xludf.DUMMYFUNCTION("""COMPUTED_VALUE"""),"Sin precio neto")</f>
        <v>Sin precio neto</v>
      </c>
    </row>
    <row r="1724">
      <c r="A1724" s="4" t="str">
        <f>IFERROR(__xludf.DUMMYFUNCTION("""COMPUTED_VALUE"""),"8190N3")</f>
        <v>8190N3</v>
      </c>
      <c r="B1724" s="4" t="str">
        <f>IFERROR(__xludf.DUMMYFUNCTION("""COMPUTED_VALUE"""),"Disco MOPU TR 90 cm Reflex III")</f>
        <v>Disco MOPU TR 90 cm Reflex III</v>
      </c>
      <c r="C1724" s="4">
        <f>IFERROR(__xludf.DUMMYFUNCTION("""COMPUTED_VALUE"""),151.0)</f>
        <v>151</v>
      </c>
      <c r="D1724" s="4"/>
      <c r="E1724" s="4" t="str">
        <f>IFERROR(__xludf.DUMMYFUNCTION("""COMPUTED_VALUE"""),"Sin precio neto")</f>
        <v>Sin precio neto</v>
      </c>
    </row>
    <row r="1725">
      <c r="A1725" s="4" t="str">
        <f>IFERROR(__xludf.DUMMYFUNCTION("""COMPUTED_VALUE"""),"8201")</f>
        <v>8201</v>
      </c>
      <c r="B1725" s="4" t="str">
        <f>IFERROR(__xludf.DUMMYFUNCTION("""COMPUTED_VALUE"""),"Adhesivo 11x15 Extintor")</f>
        <v>Adhesivo 11x15 Extintor</v>
      </c>
      <c r="C1725" s="4">
        <f>IFERROR(__xludf.DUMMYFUNCTION("""COMPUTED_VALUE"""),0.55)</f>
        <v>0.55</v>
      </c>
      <c r="D1725" s="4">
        <f>IFERROR(__xludf.DUMMYFUNCTION("""COMPUTED_VALUE"""),0.5)</f>
        <v>0.5</v>
      </c>
      <c r="E1725" s="4" t="str">
        <f>IFERROR(__xludf.DUMMYFUNCTION("""COMPUTED_VALUE"""),"Neto: 0,50 € (a partir de 1 uds.)")</f>
        <v>Neto: 0,50 € (a partir de 1 uds.)</v>
      </c>
    </row>
    <row r="1726">
      <c r="A1726" s="4" t="str">
        <f>IFERROR(__xludf.DUMMYFUNCTION("""COMPUTED_VALUE"""),"8201/B")</f>
        <v>8201/B</v>
      </c>
      <c r="B1726" s="4" t="str">
        <f>IFERROR(__xludf.DUMMYFUNCTION("""COMPUTED_VALUE"""),"Blister 10 unid. Adhesivo 11x15 Extintor")</f>
        <v>Blister 10 unid. Adhesivo 11x15 Extintor</v>
      </c>
      <c r="C1726" s="4">
        <f>IFERROR(__xludf.DUMMYFUNCTION("""COMPUTED_VALUE"""),4.4)</f>
        <v>4.4</v>
      </c>
      <c r="D1726" s="4"/>
      <c r="E1726" s="4" t="str">
        <f>IFERROR(__xludf.DUMMYFUNCTION("""COMPUTED_VALUE"""),"Sin precio neto")</f>
        <v>Sin precio neto</v>
      </c>
    </row>
    <row r="1727">
      <c r="A1727" s="4" t="str">
        <f>IFERROR(__xludf.DUMMYFUNCTION("""COMPUTED_VALUE"""),"8210")</f>
        <v>8210</v>
      </c>
      <c r="B1727" s="4" t="str">
        <f>IFERROR(__xludf.DUMMYFUNCTION("""COMPUTED_VALUE"""),"Adhesivo 11x15 Riesgo electrico")</f>
        <v>Adhesivo 11x15 Riesgo electrico</v>
      </c>
      <c r="C1727" s="4">
        <f>IFERROR(__xludf.DUMMYFUNCTION("""COMPUTED_VALUE"""),0.55)</f>
        <v>0.55</v>
      </c>
      <c r="D1727" s="4">
        <f>IFERROR(__xludf.DUMMYFUNCTION("""COMPUTED_VALUE"""),0.5)</f>
        <v>0.5</v>
      </c>
      <c r="E1727" s="4" t="str">
        <f>IFERROR(__xludf.DUMMYFUNCTION("""COMPUTED_VALUE"""),"Neto: 0,50 € (a partir de 1 uds.)")</f>
        <v>Neto: 0,50 € (a partir de 1 uds.)</v>
      </c>
    </row>
    <row r="1728">
      <c r="A1728" s="4" t="str">
        <f>IFERROR(__xludf.DUMMYFUNCTION("""COMPUTED_VALUE"""),"8210/B")</f>
        <v>8210/B</v>
      </c>
      <c r="B1728" s="4" t="str">
        <f>IFERROR(__xludf.DUMMYFUNCTION("""COMPUTED_VALUE"""),"Blister 10 unid. Adhesivo 11x15 Riesgo electrico")</f>
        <v>Blister 10 unid. Adhesivo 11x15 Riesgo electrico</v>
      </c>
      <c r="C1728" s="4">
        <f>IFERROR(__xludf.DUMMYFUNCTION("""COMPUTED_VALUE"""),4.4)</f>
        <v>4.4</v>
      </c>
      <c r="D1728" s="4"/>
      <c r="E1728" s="4" t="str">
        <f>IFERROR(__xludf.DUMMYFUNCTION("""COMPUTED_VALUE"""),"Sin precio neto")</f>
        <v>Sin precio neto</v>
      </c>
    </row>
    <row r="1729">
      <c r="A1729" s="4" t="str">
        <f>IFERROR(__xludf.DUMMYFUNCTION("""COMPUTED_VALUE"""),"8216")</f>
        <v>8216</v>
      </c>
      <c r="B1729" s="4" t="str">
        <f>IFERROR(__xludf.DUMMYFUNCTION("""COMPUTED_VALUE"""),"Adhesivo 11x15 Materias comburentes")</f>
        <v>Adhesivo 11x15 Materias comburentes</v>
      </c>
      <c r="C1729" s="4">
        <f>IFERROR(__xludf.DUMMYFUNCTION("""COMPUTED_VALUE"""),0.55)</f>
        <v>0.55</v>
      </c>
      <c r="D1729" s="4">
        <f>IFERROR(__xludf.DUMMYFUNCTION("""COMPUTED_VALUE"""),0.5)</f>
        <v>0.5</v>
      </c>
      <c r="E1729" s="4" t="str">
        <f>IFERROR(__xludf.DUMMYFUNCTION("""COMPUTED_VALUE"""),"Neto: 0,50 € (a partir de 1 uds.)")</f>
        <v>Neto: 0,50 € (a partir de 1 uds.)</v>
      </c>
    </row>
    <row r="1730">
      <c r="A1730" s="4" t="str">
        <f>IFERROR(__xludf.DUMMYFUNCTION("""COMPUTED_VALUE"""),"8216/B")</f>
        <v>8216/B</v>
      </c>
      <c r="B1730" s="4" t="str">
        <f>IFERROR(__xludf.DUMMYFUNCTION("""COMPUTED_VALUE"""),"Blister 10 unid. Adhesivo 11x15 Materias comburentes")</f>
        <v>Blister 10 unid. Adhesivo 11x15 Materias comburentes</v>
      </c>
      <c r="C1730" s="4">
        <f>IFERROR(__xludf.DUMMYFUNCTION("""COMPUTED_VALUE"""),4.4)</f>
        <v>4.4</v>
      </c>
      <c r="D1730" s="4"/>
      <c r="E1730" s="4" t="str">
        <f>IFERROR(__xludf.DUMMYFUNCTION("""COMPUTED_VALUE"""),"Sin precio neto")</f>
        <v>Sin precio neto</v>
      </c>
    </row>
    <row r="1731">
      <c r="A1731" s="4" t="str">
        <f>IFERROR(__xludf.DUMMYFUNCTION("""COMPUTED_VALUE"""),"8218")</f>
        <v>8218</v>
      </c>
      <c r="B1731" s="4" t="str">
        <f>IFERROR(__xludf.DUMMYFUNCTION("""COMPUTED_VALUE"""),"Adhesivo 11x15 Campo Magnetico Intenso")</f>
        <v>Adhesivo 11x15 Campo Magnetico Intenso</v>
      </c>
      <c r="C1731" s="4">
        <f>IFERROR(__xludf.DUMMYFUNCTION("""COMPUTED_VALUE"""),0.55)</f>
        <v>0.55</v>
      </c>
      <c r="D1731" s="4">
        <f>IFERROR(__xludf.DUMMYFUNCTION("""COMPUTED_VALUE"""),0.5)</f>
        <v>0.5</v>
      </c>
      <c r="E1731" s="4" t="str">
        <f>IFERROR(__xludf.DUMMYFUNCTION("""COMPUTED_VALUE"""),"Neto: 0,50 € (a partir de 1 uds.)")</f>
        <v>Neto: 0,50 € (a partir de 1 uds.)</v>
      </c>
    </row>
    <row r="1732">
      <c r="A1732" s="4" t="str">
        <f>IFERROR(__xludf.DUMMYFUNCTION("""COMPUTED_VALUE"""),"8218/B")</f>
        <v>8218/B</v>
      </c>
      <c r="B1732" s="4" t="str">
        <f>IFERROR(__xludf.DUMMYFUNCTION("""COMPUTED_VALUE"""),"Blister 10 unid. Adhesivo 11x15 Campo Magnetico Intenso")</f>
        <v>Blister 10 unid. Adhesivo 11x15 Campo Magnetico Intenso</v>
      </c>
      <c r="C1732" s="4">
        <f>IFERROR(__xludf.DUMMYFUNCTION("""COMPUTED_VALUE"""),4.4)</f>
        <v>4.4</v>
      </c>
      <c r="D1732" s="4"/>
      <c r="E1732" s="4" t="str">
        <f>IFERROR(__xludf.DUMMYFUNCTION("""COMPUTED_VALUE"""),"Sin precio neto")</f>
        <v>Sin precio neto</v>
      </c>
    </row>
    <row r="1733">
      <c r="A1733" s="4" t="str">
        <f>IFERROR(__xludf.DUMMYFUNCTION("""COMPUTED_VALUE"""),"8219")</f>
        <v>8219</v>
      </c>
      <c r="B1733" s="4" t="str">
        <f>IFERROR(__xludf.DUMMYFUNCTION("""COMPUTED_VALUE"""),"Adhesivo 11x15 Materias Inflamables")</f>
        <v>Adhesivo 11x15 Materias Inflamables</v>
      </c>
      <c r="C1733" s="4">
        <f>IFERROR(__xludf.DUMMYFUNCTION("""COMPUTED_VALUE"""),0.55)</f>
        <v>0.55</v>
      </c>
      <c r="D1733" s="4">
        <f>IFERROR(__xludf.DUMMYFUNCTION("""COMPUTED_VALUE"""),0.5)</f>
        <v>0.5</v>
      </c>
      <c r="E1733" s="4" t="str">
        <f>IFERROR(__xludf.DUMMYFUNCTION("""COMPUTED_VALUE"""),"Neto: 0,50 € (a partir de 1 uds.)")</f>
        <v>Neto: 0,50 € (a partir de 1 uds.)</v>
      </c>
    </row>
    <row r="1734">
      <c r="A1734" s="4" t="str">
        <f>IFERROR(__xludf.DUMMYFUNCTION("""COMPUTED_VALUE"""),"8219/B")</f>
        <v>8219/B</v>
      </c>
      <c r="B1734" s="4" t="str">
        <f>IFERROR(__xludf.DUMMYFUNCTION("""COMPUTED_VALUE"""),"Blister 10 unid. Adhesivo 11x15 Materias inflamables")</f>
        <v>Blister 10 unid. Adhesivo 11x15 Materias inflamables</v>
      </c>
      <c r="C1734" s="4">
        <f>IFERROR(__xludf.DUMMYFUNCTION("""COMPUTED_VALUE"""),4.4)</f>
        <v>4.4</v>
      </c>
      <c r="D1734" s="4"/>
      <c r="E1734" s="4" t="str">
        <f>IFERROR(__xludf.DUMMYFUNCTION("""COMPUTED_VALUE"""),"Sin precio neto")</f>
        <v>Sin precio neto</v>
      </c>
    </row>
    <row r="1735">
      <c r="A1735" s="4" t="str">
        <f>IFERROR(__xludf.DUMMYFUNCTION("""COMPUTED_VALUE"""),"8220")</f>
        <v>8220</v>
      </c>
      <c r="B1735" s="4" t="str">
        <f>IFERROR(__xludf.DUMMYFUNCTION("""COMPUTED_VALUE"""),"Adhesivo 11x15 Uso oblig. casco")</f>
        <v>Adhesivo 11x15 Uso oblig. casco</v>
      </c>
      <c r="C1735" s="4">
        <f>IFERROR(__xludf.DUMMYFUNCTION("""COMPUTED_VALUE"""),0.55)</f>
        <v>0.55</v>
      </c>
      <c r="D1735" s="4">
        <f>IFERROR(__xludf.DUMMYFUNCTION("""COMPUTED_VALUE"""),0.5)</f>
        <v>0.5</v>
      </c>
      <c r="E1735" s="4" t="str">
        <f>IFERROR(__xludf.DUMMYFUNCTION("""COMPUTED_VALUE"""),"Neto: 0,50 € (a partir de 1 uds.)")</f>
        <v>Neto: 0,50 € (a partir de 1 uds.)</v>
      </c>
    </row>
    <row r="1736">
      <c r="A1736" s="4" t="str">
        <f>IFERROR(__xludf.DUMMYFUNCTION("""COMPUTED_VALUE"""),"8220/B")</f>
        <v>8220/B</v>
      </c>
      <c r="B1736" s="4" t="str">
        <f>IFERROR(__xludf.DUMMYFUNCTION("""COMPUTED_VALUE"""),"Blister 10 unid. Adhesivo 11x15 Uso oblig. casco")</f>
        <v>Blister 10 unid. Adhesivo 11x15 Uso oblig. casco</v>
      </c>
      <c r="C1736" s="4">
        <f>IFERROR(__xludf.DUMMYFUNCTION("""COMPUTED_VALUE"""),4.4)</f>
        <v>4.4</v>
      </c>
      <c r="D1736" s="4"/>
      <c r="E1736" s="4" t="str">
        <f>IFERROR(__xludf.DUMMYFUNCTION("""COMPUTED_VALUE"""),"Sin precio neto")</f>
        <v>Sin precio neto</v>
      </c>
    </row>
    <row r="1737">
      <c r="A1737" s="4" t="str">
        <f>IFERROR(__xludf.DUMMYFUNCTION("""COMPUTED_VALUE"""),"8221")</f>
        <v>8221</v>
      </c>
      <c r="B1737" s="4" t="str">
        <f>IFERROR(__xludf.DUMMYFUNCTION("""COMPUTED_VALUE"""),"Adhesivo 11x15 Uso Oblig. botas")</f>
        <v>Adhesivo 11x15 Uso Oblig. botas</v>
      </c>
      <c r="C1737" s="4">
        <f>IFERROR(__xludf.DUMMYFUNCTION("""COMPUTED_VALUE"""),0.55)</f>
        <v>0.55</v>
      </c>
      <c r="D1737" s="4">
        <f>IFERROR(__xludf.DUMMYFUNCTION("""COMPUTED_VALUE"""),0.5)</f>
        <v>0.5</v>
      </c>
      <c r="E1737" s="4" t="str">
        <f>IFERROR(__xludf.DUMMYFUNCTION("""COMPUTED_VALUE"""),"Neto: 0,50 € (a partir de 1 uds.)")</f>
        <v>Neto: 0,50 € (a partir de 1 uds.)</v>
      </c>
    </row>
    <row r="1738">
      <c r="A1738" s="4" t="str">
        <f>IFERROR(__xludf.DUMMYFUNCTION("""COMPUTED_VALUE"""),"8221/B")</f>
        <v>8221/B</v>
      </c>
      <c r="B1738" s="4" t="str">
        <f>IFERROR(__xludf.DUMMYFUNCTION("""COMPUTED_VALUE"""),"Blister 10 unid. Adhesivo 11x15 Uso oblig. botas")</f>
        <v>Blister 10 unid. Adhesivo 11x15 Uso oblig. botas</v>
      </c>
      <c r="C1738" s="4">
        <f>IFERROR(__xludf.DUMMYFUNCTION("""COMPUTED_VALUE"""),4.4)</f>
        <v>4.4</v>
      </c>
      <c r="D1738" s="4"/>
      <c r="E1738" s="4" t="str">
        <f>IFERROR(__xludf.DUMMYFUNCTION("""COMPUTED_VALUE"""),"Sin precio neto")</f>
        <v>Sin precio neto</v>
      </c>
    </row>
    <row r="1739">
      <c r="A1739" s="4" t="str">
        <f>IFERROR(__xludf.DUMMYFUNCTION("""COMPUTED_VALUE"""),"8222")</f>
        <v>8222</v>
      </c>
      <c r="B1739" s="4" t="str">
        <f>IFERROR(__xludf.DUMMYFUNCTION("""COMPUTED_VALUE"""),"Adhesivo 11x15 Uso oblig Guantes")</f>
        <v>Adhesivo 11x15 Uso oblig Guantes</v>
      </c>
      <c r="C1739" s="4">
        <f>IFERROR(__xludf.DUMMYFUNCTION("""COMPUTED_VALUE"""),0.55)</f>
        <v>0.55</v>
      </c>
      <c r="D1739" s="4">
        <f>IFERROR(__xludf.DUMMYFUNCTION("""COMPUTED_VALUE"""),0.5)</f>
        <v>0.5</v>
      </c>
      <c r="E1739" s="4" t="str">
        <f>IFERROR(__xludf.DUMMYFUNCTION("""COMPUTED_VALUE"""),"Neto: 0,50 € (a partir de 1 uds.)")</f>
        <v>Neto: 0,50 € (a partir de 1 uds.)</v>
      </c>
    </row>
    <row r="1740">
      <c r="A1740" s="4" t="str">
        <f>IFERROR(__xludf.DUMMYFUNCTION("""COMPUTED_VALUE"""),"8222/B")</f>
        <v>8222/B</v>
      </c>
      <c r="B1740" s="4" t="str">
        <f>IFERROR(__xludf.DUMMYFUNCTION("""COMPUTED_VALUE"""),"Blister 10 unid. Adhesivo 11x15 Uso oblig. guantes")</f>
        <v>Blister 10 unid. Adhesivo 11x15 Uso oblig. guantes</v>
      </c>
      <c r="C1740" s="4">
        <f>IFERROR(__xludf.DUMMYFUNCTION("""COMPUTED_VALUE"""),4.4)</f>
        <v>4.4</v>
      </c>
      <c r="D1740" s="4"/>
      <c r="E1740" s="4" t="str">
        <f>IFERROR(__xludf.DUMMYFUNCTION("""COMPUTED_VALUE"""),"Sin precio neto")</f>
        <v>Sin precio neto</v>
      </c>
    </row>
    <row r="1741">
      <c r="A1741" s="4" t="str">
        <f>IFERROR(__xludf.DUMMYFUNCTION("""COMPUTED_VALUE"""),"8223")</f>
        <v>8223</v>
      </c>
      <c r="B1741" s="4" t="str">
        <f>IFERROR(__xludf.DUMMYFUNCTION("""COMPUTED_VALUE"""),"Adhesivo 11x15 Uso oblig. prot. acustica")</f>
        <v>Adhesivo 11x15 Uso oblig. prot. acustica</v>
      </c>
      <c r="C1741" s="4">
        <f>IFERROR(__xludf.DUMMYFUNCTION("""COMPUTED_VALUE"""),0.55)</f>
        <v>0.55</v>
      </c>
      <c r="D1741" s="4">
        <f>IFERROR(__xludf.DUMMYFUNCTION("""COMPUTED_VALUE"""),0.5)</f>
        <v>0.5</v>
      </c>
      <c r="E1741" s="4" t="str">
        <f>IFERROR(__xludf.DUMMYFUNCTION("""COMPUTED_VALUE"""),"Neto: 0,50 € (a partir de 1 uds.)")</f>
        <v>Neto: 0,50 € (a partir de 1 uds.)</v>
      </c>
    </row>
    <row r="1742">
      <c r="A1742" s="4" t="str">
        <f>IFERROR(__xludf.DUMMYFUNCTION("""COMPUTED_VALUE"""),"8223/B")</f>
        <v>8223/B</v>
      </c>
      <c r="B1742" s="4" t="str">
        <f>IFERROR(__xludf.DUMMYFUNCTION("""COMPUTED_VALUE"""),"Blister 10 unid. Adhesivo 11x15 Uso oblig.protec.acustica")</f>
        <v>Blister 10 unid. Adhesivo 11x15 Uso oblig.protec.acustica</v>
      </c>
      <c r="C1742" s="4">
        <f>IFERROR(__xludf.DUMMYFUNCTION("""COMPUTED_VALUE"""),4.4)</f>
        <v>4.4</v>
      </c>
      <c r="D1742" s="4"/>
      <c r="E1742" s="4" t="str">
        <f>IFERROR(__xludf.DUMMYFUNCTION("""COMPUTED_VALUE"""),"Sin precio neto")</f>
        <v>Sin precio neto</v>
      </c>
    </row>
    <row r="1743">
      <c r="A1743" s="4" t="str">
        <f>IFERROR(__xludf.DUMMYFUNCTION("""COMPUTED_VALUE"""),"8226")</f>
        <v>8226</v>
      </c>
      <c r="B1743" s="4" t="str">
        <f>IFERROR(__xludf.DUMMYFUNCTION("""COMPUTED_VALUE"""),"Adhesivo 11x15 Uso oblig Gafas")</f>
        <v>Adhesivo 11x15 Uso oblig Gafas</v>
      </c>
      <c r="C1743" s="4">
        <f>IFERROR(__xludf.DUMMYFUNCTION("""COMPUTED_VALUE"""),0.55)</f>
        <v>0.55</v>
      </c>
      <c r="D1743" s="4">
        <f>IFERROR(__xludf.DUMMYFUNCTION("""COMPUTED_VALUE"""),0.5)</f>
        <v>0.5</v>
      </c>
      <c r="E1743" s="4" t="str">
        <f>IFERROR(__xludf.DUMMYFUNCTION("""COMPUTED_VALUE"""),"Neto: 0,50 € (a partir de 1 uds.)")</f>
        <v>Neto: 0,50 € (a partir de 1 uds.)</v>
      </c>
    </row>
    <row r="1744">
      <c r="A1744" s="4" t="str">
        <f>IFERROR(__xludf.DUMMYFUNCTION("""COMPUTED_VALUE"""),"8226/B")</f>
        <v>8226/B</v>
      </c>
      <c r="B1744" s="4" t="str">
        <f>IFERROR(__xludf.DUMMYFUNCTION("""COMPUTED_VALUE"""),"Blister 10 unid. Adhesivo 11x15 Uso obligatorio Gafas")</f>
        <v>Blister 10 unid. Adhesivo 11x15 Uso obligatorio Gafas</v>
      </c>
      <c r="C1744" s="4">
        <f>IFERROR(__xludf.DUMMYFUNCTION("""COMPUTED_VALUE"""),4.4)</f>
        <v>4.4</v>
      </c>
      <c r="D1744" s="4"/>
      <c r="E1744" s="4" t="str">
        <f>IFERROR(__xludf.DUMMYFUNCTION("""COMPUTED_VALUE"""),"Sin precio neto")</f>
        <v>Sin precio neto</v>
      </c>
    </row>
    <row r="1745">
      <c r="A1745" s="4" t="str">
        <f>IFERROR(__xludf.DUMMYFUNCTION("""COMPUTED_VALUE"""),"8227")</f>
        <v>8227</v>
      </c>
      <c r="B1745" s="4" t="str">
        <f>IFERROR(__xludf.DUMMYFUNCTION("""COMPUTED_VALUE"""),"Adhesivo 11x 15 Uso oblig. arnes segur.")</f>
        <v>Adhesivo 11x 15 Uso oblig. arnes segur.</v>
      </c>
      <c r="C1745" s="4">
        <f>IFERROR(__xludf.DUMMYFUNCTION("""COMPUTED_VALUE"""),0.55)</f>
        <v>0.55</v>
      </c>
      <c r="D1745" s="4">
        <f>IFERROR(__xludf.DUMMYFUNCTION("""COMPUTED_VALUE"""),0.5)</f>
        <v>0.5</v>
      </c>
      <c r="E1745" s="4" t="str">
        <f>IFERROR(__xludf.DUMMYFUNCTION("""COMPUTED_VALUE"""),"Neto: 0,50 € (a partir de 1 uds.)")</f>
        <v>Neto: 0,50 € (a partir de 1 uds.)</v>
      </c>
    </row>
    <row r="1746">
      <c r="A1746" s="4" t="str">
        <f>IFERROR(__xludf.DUMMYFUNCTION("""COMPUTED_VALUE"""),"8227/B")</f>
        <v>8227/B</v>
      </c>
      <c r="B1746" s="4" t="str">
        <f>IFERROR(__xludf.DUMMYFUNCTION("""COMPUTED_VALUE"""),"Blister 10 und. Adhesivo 11x15 Uso oblig. arnes seguridad")</f>
        <v>Blister 10 und. Adhesivo 11x15 Uso oblig. arnes seguridad</v>
      </c>
      <c r="C1746" s="4">
        <f>IFERROR(__xludf.DUMMYFUNCTION("""COMPUTED_VALUE"""),4.4)</f>
        <v>4.4</v>
      </c>
      <c r="D1746" s="4"/>
      <c r="E1746" s="4" t="str">
        <f>IFERROR(__xludf.DUMMYFUNCTION("""COMPUTED_VALUE"""),"Sin precio neto")</f>
        <v>Sin precio neto</v>
      </c>
    </row>
    <row r="1747">
      <c r="A1747" s="4" t="str">
        <f>IFERROR(__xludf.DUMMYFUNCTION("""COMPUTED_VALUE"""),"8230")</f>
        <v>8230</v>
      </c>
      <c r="B1747" s="4" t="str">
        <f>IFERROR(__xludf.DUMMYFUNCTION("""COMPUTED_VALUE"""),"Adhesivo 11x 15 Prohibido Fumar")</f>
        <v>Adhesivo 11x 15 Prohibido Fumar</v>
      </c>
      <c r="C1747" s="4">
        <f>IFERROR(__xludf.DUMMYFUNCTION("""COMPUTED_VALUE"""),0.55)</f>
        <v>0.55</v>
      </c>
      <c r="D1747" s="4">
        <f>IFERROR(__xludf.DUMMYFUNCTION("""COMPUTED_VALUE"""),0.5)</f>
        <v>0.5</v>
      </c>
      <c r="E1747" s="4" t="str">
        <f>IFERROR(__xludf.DUMMYFUNCTION("""COMPUTED_VALUE"""),"Neto: 0,50 € (a partir de 1 uds.)")</f>
        <v>Neto: 0,50 € (a partir de 1 uds.)</v>
      </c>
    </row>
    <row r="1748">
      <c r="A1748" s="4" t="str">
        <f>IFERROR(__xludf.DUMMYFUNCTION("""COMPUTED_VALUE"""),"8230/B")</f>
        <v>8230/B</v>
      </c>
      <c r="B1748" s="4" t="str">
        <f>IFERROR(__xludf.DUMMYFUNCTION("""COMPUTED_VALUE"""),"Blister 10 unid. Adhesivo 11x15 Prohibido Fumar")</f>
        <v>Blister 10 unid. Adhesivo 11x15 Prohibido Fumar</v>
      </c>
      <c r="C1748" s="4">
        <f>IFERROR(__xludf.DUMMYFUNCTION("""COMPUTED_VALUE"""),4.4)</f>
        <v>4.4</v>
      </c>
      <c r="D1748" s="4"/>
      <c r="E1748" s="4" t="str">
        <f>IFERROR(__xludf.DUMMYFUNCTION("""COMPUTED_VALUE"""),"Sin precio neto")</f>
        <v>Sin precio neto</v>
      </c>
    </row>
    <row r="1749">
      <c r="A1749" s="4" t="str">
        <f>IFERROR(__xludf.DUMMYFUNCTION("""COMPUTED_VALUE"""),"8232")</f>
        <v>8232</v>
      </c>
      <c r="B1749" s="4" t="str">
        <f>IFERROR(__xludf.DUMMYFUNCTION("""COMPUTED_VALUE"""),"Adhesivo 11x15 Prohibido pasar sin casco")</f>
        <v>Adhesivo 11x15 Prohibido pasar sin casco</v>
      </c>
      <c r="C1749" s="4">
        <f>IFERROR(__xludf.DUMMYFUNCTION("""COMPUTED_VALUE"""),0.55)</f>
        <v>0.55</v>
      </c>
      <c r="D1749" s="4">
        <f>IFERROR(__xludf.DUMMYFUNCTION("""COMPUTED_VALUE"""),0.5)</f>
        <v>0.5</v>
      </c>
      <c r="E1749" s="4" t="str">
        <f>IFERROR(__xludf.DUMMYFUNCTION("""COMPUTED_VALUE"""),"Neto: 0,50 € (a partir de 1 uds.)")</f>
        <v>Neto: 0,50 € (a partir de 1 uds.)</v>
      </c>
    </row>
    <row r="1750">
      <c r="A1750" s="4" t="str">
        <f>IFERROR(__xludf.DUMMYFUNCTION("""COMPUTED_VALUE"""),"8232/B")</f>
        <v>8232/B</v>
      </c>
      <c r="B1750" s="4" t="str">
        <f>IFERROR(__xludf.DUMMYFUNCTION("""COMPUTED_VALUE"""),"Blister 10 unid. Adhesivo 11x15 Prohibido pasar sin casco")</f>
        <v>Blister 10 unid. Adhesivo 11x15 Prohibido pasar sin casco</v>
      </c>
      <c r="C1750" s="4">
        <f>IFERROR(__xludf.DUMMYFUNCTION("""COMPUTED_VALUE"""),4.4)</f>
        <v>4.4</v>
      </c>
      <c r="D1750" s="4"/>
      <c r="E1750" s="4" t="str">
        <f>IFERROR(__xludf.DUMMYFUNCTION("""COMPUTED_VALUE"""),"Sin precio neto")</f>
        <v>Sin precio neto</v>
      </c>
    </row>
    <row r="1751">
      <c r="A1751" s="4" t="str">
        <f>IFERROR(__xludf.DUMMYFUNCTION("""COMPUTED_VALUE"""),"8238")</f>
        <v>8238</v>
      </c>
      <c r="B1751" s="4" t="str">
        <f>IFERROR(__xludf.DUMMYFUNCTION("""COMPUTED_VALUE"""),"Adhesivo 11x15 Atencion puesta a tierra")</f>
        <v>Adhesivo 11x15 Atencion puesta a tierra</v>
      </c>
      <c r="C1751" s="4">
        <f>IFERROR(__xludf.DUMMYFUNCTION("""COMPUTED_VALUE"""),0.55)</f>
        <v>0.55</v>
      </c>
      <c r="D1751" s="4">
        <f>IFERROR(__xludf.DUMMYFUNCTION("""COMPUTED_VALUE"""),0.5)</f>
        <v>0.5</v>
      </c>
      <c r="E1751" s="4" t="str">
        <f>IFERROR(__xludf.DUMMYFUNCTION("""COMPUTED_VALUE"""),"Neto: 0,50 € (a partir de 1 uds.)")</f>
        <v>Neto: 0,50 € (a partir de 1 uds.)</v>
      </c>
    </row>
    <row r="1752">
      <c r="A1752" s="4" t="str">
        <f>IFERROR(__xludf.DUMMYFUNCTION("""COMPUTED_VALUE"""),"8238/B")</f>
        <v>8238/B</v>
      </c>
      <c r="B1752" s="4" t="str">
        <f>IFERROR(__xludf.DUMMYFUNCTION("""COMPUTED_VALUE"""),"Blister 10 unid .Adhesivo 11x15 Atencion puesta a tierra")</f>
        <v>Blister 10 unid .Adhesivo 11x15 Atencion puesta a tierra</v>
      </c>
      <c r="C1752" s="4">
        <f>IFERROR(__xludf.DUMMYFUNCTION("""COMPUTED_VALUE"""),4.4)</f>
        <v>4.4</v>
      </c>
      <c r="D1752" s="4"/>
      <c r="E1752" s="4" t="str">
        <f>IFERROR(__xludf.DUMMYFUNCTION("""COMPUTED_VALUE"""),"Sin precio neto")</f>
        <v>Sin precio neto</v>
      </c>
    </row>
    <row r="1753">
      <c r="A1753" s="4" t="str">
        <f>IFERROR(__xludf.DUMMYFUNCTION("""COMPUTED_VALUE"""),"8250")</f>
        <v>8250</v>
      </c>
      <c r="B1753" s="4" t="str">
        <f>IFERROR(__xludf.DUMMYFUNCTION("""COMPUTED_VALUE"""),"Adhesivo 11x15 Peligro")</f>
        <v>Adhesivo 11x15 Peligro</v>
      </c>
      <c r="C1753" s="4">
        <f>IFERROR(__xludf.DUMMYFUNCTION("""COMPUTED_VALUE"""),0.55)</f>
        <v>0.55</v>
      </c>
      <c r="D1753" s="4">
        <f>IFERROR(__xludf.DUMMYFUNCTION("""COMPUTED_VALUE"""),0.5)</f>
        <v>0.5</v>
      </c>
      <c r="E1753" s="4" t="str">
        <f>IFERROR(__xludf.DUMMYFUNCTION("""COMPUTED_VALUE"""),"Neto: 0,50 € (a partir de 1 uds.)")</f>
        <v>Neto: 0,50 € (a partir de 1 uds.)</v>
      </c>
    </row>
    <row r="1754">
      <c r="A1754" s="4" t="str">
        <f>IFERROR(__xludf.DUMMYFUNCTION("""COMPUTED_VALUE"""),"8250/B")</f>
        <v>8250/B</v>
      </c>
      <c r="B1754" s="4" t="str">
        <f>IFERROR(__xludf.DUMMYFUNCTION("""COMPUTED_VALUE"""),"Blister 10 unid. Adhesivo 11x15 Peligro")</f>
        <v>Blister 10 unid. Adhesivo 11x15 Peligro</v>
      </c>
      <c r="C1754" s="4">
        <f>IFERROR(__xludf.DUMMYFUNCTION("""COMPUTED_VALUE"""),4.4)</f>
        <v>4.4</v>
      </c>
      <c r="D1754" s="4"/>
      <c r="E1754" s="4" t="str">
        <f>IFERROR(__xludf.DUMMYFUNCTION("""COMPUTED_VALUE"""),"Sin precio neto")</f>
        <v>Sin precio neto</v>
      </c>
    </row>
    <row r="1755">
      <c r="A1755" s="4" t="str">
        <f>IFERROR(__xludf.DUMMYFUNCTION("""COMPUTED_VALUE"""),"8252")</f>
        <v>8252</v>
      </c>
      <c r="B1755" s="4" t="str">
        <f>IFERROR(__xludf.DUMMYFUNCTION("""COMPUTED_VALUE"""),"Adhesivo 11x15 Riesgo de atrapamiento")</f>
        <v>Adhesivo 11x15 Riesgo de atrapamiento</v>
      </c>
      <c r="C1755" s="4">
        <f>IFERROR(__xludf.DUMMYFUNCTION("""COMPUTED_VALUE"""),0.55)</f>
        <v>0.55</v>
      </c>
      <c r="D1755" s="4">
        <f>IFERROR(__xludf.DUMMYFUNCTION("""COMPUTED_VALUE"""),0.5)</f>
        <v>0.5</v>
      </c>
      <c r="E1755" s="4" t="str">
        <f>IFERROR(__xludf.DUMMYFUNCTION("""COMPUTED_VALUE"""),"Neto: 0,50 € (a partir de 1 uds.)")</f>
        <v>Neto: 0,50 € (a partir de 1 uds.)</v>
      </c>
    </row>
    <row r="1756">
      <c r="A1756" s="4" t="str">
        <f>IFERROR(__xludf.DUMMYFUNCTION("""COMPUTED_VALUE"""),"8252/B")</f>
        <v>8252/B</v>
      </c>
      <c r="B1756" s="4" t="str">
        <f>IFERROR(__xludf.DUMMYFUNCTION("""COMPUTED_VALUE"""),"Blister 10 unid. Adhesivo 11x15 Riesgo de atrapamiento")</f>
        <v>Blister 10 unid. Adhesivo 11x15 Riesgo de atrapamiento</v>
      </c>
      <c r="C1756" s="4">
        <f>IFERROR(__xludf.DUMMYFUNCTION("""COMPUTED_VALUE"""),4.4)</f>
        <v>4.4</v>
      </c>
      <c r="D1756" s="4"/>
      <c r="E1756" s="4" t="str">
        <f>IFERROR(__xludf.DUMMYFUNCTION("""COMPUTED_VALUE"""),"Sin precio neto")</f>
        <v>Sin precio neto</v>
      </c>
    </row>
    <row r="1757">
      <c r="A1757" s="4" t="str">
        <f>IFERROR(__xludf.DUMMYFUNCTION("""COMPUTED_VALUE"""),"8253")</f>
        <v>8253</v>
      </c>
      <c r="B1757" s="4" t="str">
        <f>IFERROR(__xludf.DUMMYFUNCTION("""COMPUTED_VALUE"""),"Adhesivo 11x15 Proh. paso toda person ajena empresa")</f>
        <v>Adhesivo 11x15 Proh. paso toda person ajena empresa</v>
      </c>
      <c r="C1757" s="4">
        <f>IFERROR(__xludf.DUMMYFUNCTION("""COMPUTED_VALUE"""),0.55)</f>
        <v>0.55</v>
      </c>
      <c r="D1757" s="4">
        <f>IFERROR(__xludf.DUMMYFUNCTION("""COMPUTED_VALUE"""),0.5)</f>
        <v>0.5</v>
      </c>
      <c r="E1757" s="4" t="str">
        <f>IFERROR(__xludf.DUMMYFUNCTION("""COMPUTED_VALUE"""),"Neto: 0,50 € (a partir de 1 uds.)")</f>
        <v>Neto: 0,50 € (a partir de 1 uds.)</v>
      </c>
    </row>
    <row r="1758">
      <c r="A1758" s="4" t="str">
        <f>IFERROR(__xludf.DUMMYFUNCTION("""COMPUTED_VALUE"""),"8253/B")</f>
        <v>8253/B</v>
      </c>
      <c r="B1758" s="4" t="str">
        <f>IFERROR(__xludf.DUMMYFUNCTION("""COMPUTED_VALUE"""),"Blister 10 unid. Adehsivo 11x15 Proh. paso toda persona ajena")</f>
        <v>Blister 10 unid. Adehsivo 11x15 Proh. paso toda persona ajena</v>
      </c>
      <c r="C1758" s="4">
        <f>IFERROR(__xludf.DUMMYFUNCTION("""COMPUTED_VALUE"""),4.4)</f>
        <v>4.4</v>
      </c>
      <c r="D1758" s="4"/>
      <c r="E1758" s="4" t="str">
        <f>IFERROR(__xludf.DUMMYFUNCTION("""COMPUTED_VALUE"""),"Sin precio neto")</f>
        <v>Sin precio neto</v>
      </c>
    </row>
    <row r="1759">
      <c r="A1759" s="4" t="str">
        <f>IFERROR(__xludf.DUMMYFUNCTION("""COMPUTED_VALUE"""),"8256")</f>
        <v>8256</v>
      </c>
      <c r="B1759" s="4" t="str">
        <f>IFERROR(__xludf.DUMMYFUNCTION("""COMPUTED_VALUE"""),"Adhesivo 11x15 Botiquin")</f>
        <v>Adhesivo 11x15 Botiquin</v>
      </c>
      <c r="C1759" s="4">
        <f>IFERROR(__xludf.DUMMYFUNCTION("""COMPUTED_VALUE"""),0.55)</f>
        <v>0.55</v>
      </c>
      <c r="D1759" s="4">
        <f>IFERROR(__xludf.DUMMYFUNCTION("""COMPUTED_VALUE"""),0.5)</f>
        <v>0.5</v>
      </c>
      <c r="E1759" s="4" t="str">
        <f>IFERROR(__xludf.DUMMYFUNCTION("""COMPUTED_VALUE"""),"Neto: 0,50 € (a partir de 1 uds.)")</f>
        <v>Neto: 0,50 € (a partir de 1 uds.)</v>
      </c>
    </row>
    <row r="1760">
      <c r="A1760" s="4" t="str">
        <f>IFERROR(__xludf.DUMMYFUNCTION("""COMPUTED_VALUE"""),"8256/B")</f>
        <v>8256/B</v>
      </c>
      <c r="B1760" s="4" t="str">
        <f>IFERROR(__xludf.DUMMYFUNCTION("""COMPUTED_VALUE"""),"Blister 10 unid. adhesivo 11x15 Botiquin")</f>
        <v>Blister 10 unid. adhesivo 11x15 Botiquin</v>
      </c>
      <c r="C1760" s="4">
        <f>IFERROR(__xludf.DUMMYFUNCTION("""COMPUTED_VALUE"""),4.4)</f>
        <v>4.4</v>
      </c>
      <c r="D1760" s="4"/>
      <c r="E1760" s="4" t="str">
        <f>IFERROR(__xludf.DUMMYFUNCTION("""COMPUTED_VALUE"""),"Sin precio neto")</f>
        <v>Sin precio neto</v>
      </c>
    </row>
    <row r="1761">
      <c r="A1761" s="4" t="str">
        <f>IFERROR(__xludf.DUMMYFUNCTION("""COMPUTED_VALUE"""),"8275")</f>
        <v>8275</v>
      </c>
      <c r="B1761" s="4" t="str">
        <f>IFERROR(__xludf.DUMMYFUNCTION("""COMPUTED_VALUE"""),"Adhesivo 11x15 Proh. repar.personal no autorizado")</f>
        <v>Adhesivo 11x15 Proh. repar.personal no autorizado</v>
      </c>
      <c r="C1761" s="4">
        <f>IFERROR(__xludf.DUMMYFUNCTION("""COMPUTED_VALUE"""),0.55)</f>
        <v>0.55</v>
      </c>
      <c r="D1761" s="4">
        <f>IFERROR(__xludf.DUMMYFUNCTION("""COMPUTED_VALUE"""),0.5)</f>
        <v>0.5</v>
      </c>
      <c r="E1761" s="4" t="str">
        <f>IFERROR(__xludf.DUMMYFUNCTION("""COMPUTED_VALUE"""),"Neto: 0,50 € (a partir de 1 uds.)")</f>
        <v>Neto: 0,50 € (a partir de 1 uds.)</v>
      </c>
    </row>
    <row r="1762">
      <c r="A1762" s="4" t="str">
        <f>IFERROR(__xludf.DUMMYFUNCTION("""COMPUTED_VALUE"""),"8275/B")</f>
        <v>8275/B</v>
      </c>
      <c r="B1762" s="4" t="str">
        <f>IFERROR(__xludf.DUMMYFUNCTION("""COMPUTED_VALUE"""),"Blister 10 unid. Adhesivo 11x15 Proh. repar.personal no")</f>
        <v>Blister 10 unid. Adhesivo 11x15 Proh. repar.personal no</v>
      </c>
      <c r="C1762" s="4">
        <f>IFERROR(__xludf.DUMMYFUNCTION("""COMPUTED_VALUE"""),4.4)</f>
        <v>4.4</v>
      </c>
      <c r="D1762" s="4"/>
      <c r="E1762" s="4" t="str">
        <f>IFERROR(__xludf.DUMMYFUNCTION("""COMPUTED_VALUE"""),"Sin precio neto")</f>
        <v>Sin precio neto</v>
      </c>
    </row>
    <row r="1763">
      <c r="A1763" s="4" t="str">
        <f>IFERROR(__xludf.DUMMYFUNCTION("""COMPUTED_VALUE"""),"8281")</f>
        <v>8281</v>
      </c>
      <c r="B1763" s="4" t="str">
        <f>IFERROR(__xludf.DUMMYFUNCTION("""COMPUTED_VALUE"""),"Adhesivo 11x15 Agua no potable")</f>
        <v>Adhesivo 11x15 Agua no potable</v>
      </c>
      <c r="C1763" s="4">
        <f>IFERROR(__xludf.DUMMYFUNCTION("""COMPUTED_VALUE"""),0.55)</f>
        <v>0.55</v>
      </c>
      <c r="D1763" s="4">
        <f>IFERROR(__xludf.DUMMYFUNCTION("""COMPUTED_VALUE"""),0.5)</f>
        <v>0.5</v>
      </c>
      <c r="E1763" s="4" t="str">
        <f>IFERROR(__xludf.DUMMYFUNCTION("""COMPUTED_VALUE"""),"Neto: 0,50 € (a partir de 1 uds.)")</f>
        <v>Neto: 0,50 € (a partir de 1 uds.)</v>
      </c>
    </row>
    <row r="1764">
      <c r="A1764" s="4" t="str">
        <f>IFERROR(__xludf.DUMMYFUNCTION("""COMPUTED_VALUE"""),"8281/B")</f>
        <v>8281/B</v>
      </c>
      <c r="B1764" s="4" t="str">
        <f>IFERROR(__xludf.DUMMYFUNCTION("""COMPUTED_VALUE"""),"Blister 10 unid. Adhesivo 11x15 Agua no potable")</f>
        <v>Blister 10 unid. Adhesivo 11x15 Agua no potable</v>
      </c>
      <c r="C1764" s="4">
        <f>IFERROR(__xludf.DUMMYFUNCTION("""COMPUTED_VALUE"""),4.4)</f>
        <v>4.4</v>
      </c>
      <c r="D1764" s="4"/>
      <c r="E1764" s="4" t="str">
        <f>IFERROR(__xludf.DUMMYFUNCTION("""COMPUTED_VALUE"""),"Sin precio neto")</f>
        <v>Sin precio neto</v>
      </c>
    </row>
    <row r="1765">
      <c r="A1765" s="4" t="str">
        <f>IFERROR(__xludf.DUMMYFUNCTION("""COMPUTED_VALUE"""),"8283")</f>
        <v>8283</v>
      </c>
      <c r="B1765" s="4" t="str">
        <f>IFERROR(__xludf.DUMMYFUNCTION("""COMPUTED_VALUE"""),"Adhesivo 10x15 Uso obligatorio de mascara")</f>
        <v>Adhesivo 10x15 Uso obligatorio de mascara</v>
      </c>
      <c r="C1765" s="4">
        <f>IFERROR(__xludf.DUMMYFUNCTION("""COMPUTED_VALUE"""),0.55)</f>
        <v>0.55</v>
      </c>
      <c r="D1765" s="4">
        <f>IFERROR(__xludf.DUMMYFUNCTION("""COMPUTED_VALUE"""),0.5)</f>
        <v>0.5</v>
      </c>
      <c r="E1765" s="4" t="str">
        <f>IFERROR(__xludf.DUMMYFUNCTION("""COMPUTED_VALUE"""),"Neto: 0,50 € (a partir de 1 uds.)")</f>
        <v>Neto: 0,50 € (a partir de 1 uds.)</v>
      </c>
    </row>
    <row r="1766">
      <c r="A1766" s="4" t="str">
        <f>IFERROR(__xludf.DUMMYFUNCTION("""COMPUTED_VALUE"""),"8283/B")</f>
        <v>8283/B</v>
      </c>
      <c r="B1766" s="4" t="str">
        <f>IFERROR(__xludf.DUMMYFUNCTION("""COMPUTED_VALUE"""),"Blister 10 unid. Adhesivo 11x15 Uso obligatorio mascara")</f>
        <v>Blister 10 unid. Adhesivo 11x15 Uso obligatorio mascara</v>
      </c>
      <c r="C1766" s="4">
        <f>IFERROR(__xludf.DUMMYFUNCTION("""COMPUTED_VALUE"""),4.4)</f>
        <v>4.4</v>
      </c>
      <c r="D1766" s="4"/>
      <c r="E1766" s="4" t="str">
        <f>IFERROR(__xludf.DUMMYFUNCTION("""COMPUTED_VALUE"""),"Sin precio neto")</f>
        <v>Sin precio neto</v>
      </c>
    </row>
    <row r="1767">
      <c r="A1767" s="4" t="str">
        <f>IFERROR(__xludf.DUMMYFUNCTION("""COMPUTED_VALUE"""),"8290")</f>
        <v>8290</v>
      </c>
      <c r="B1767" s="4" t="str">
        <f>IFERROR(__xludf.DUMMYFUNCTION("""COMPUTED_VALUE"""),"Adhesivo 11x15 Peligro alta tension")</f>
        <v>Adhesivo 11x15 Peligro alta tension</v>
      </c>
      <c r="C1767" s="4">
        <f>IFERROR(__xludf.DUMMYFUNCTION("""COMPUTED_VALUE"""),0.55)</f>
        <v>0.55</v>
      </c>
      <c r="D1767" s="4">
        <f>IFERROR(__xludf.DUMMYFUNCTION("""COMPUTED_VALUE"""),0.5)</f>
        <v>0.5</v>
      </c>
      <c r="E1767" s="4" t="str">
        <f>IFERROR(__xludf.DUMMYFUNCTION("""COMPUTED_VALUE"""),"Neto: 0,50 € (a partir de 1 uds.)")</f>
        <v>Neto: 0,50 € (a partir de 1 uds.)</v>
      </c>
    </row>
    <row r="1768">
      <c r="A1768" s="4" t="str">
        <f>IFERROR(__xludf.DUMMYFUNCTION("""COMPUTED_VALUE"""),"8290/B")</f>
        <v>8290/B</v>
      </c>
      <c r="B1768" s="4" t="str">
        <f>IFERROR(__xludf.DUMMYFUNCTION("""COMPUTED_VALUE"""),"Blister 10 unid. Adhesivo 11x15 Peligro Alta Tension")</f>
        <v>Blister 10 unid. Adhesivo 11x15 Peligro Alta Tension</v>
      </c>
      <c r="C1768" s="4">
        <f>IFERROR(__xludf.DUMMYFUNCTION("""COMPUTED_VALUE"""),4.4)</f>
        <v>4.4</v>
      </c>
      <c r="D1768" s="4"/>
      <c r="E1768" s="4" t="str">
        <f>IFERROR(__xludf.DUMMYFUNCTION("""COMPUTED_VALUE"""),"Sin precio neto")</f>
        <v>Sin precio neto</v>
      </c>
    </row>
    <row r="1769">
      <c r="A1769" s="4" t="str">
        <f>IFERROR(__xludf.DUMMYFUNCTION("""COMPUTED_VALUE"""),"8291")</f>
        <v>8291</v>
      </c>
      <c r="B1769" s="4" t="str">
        <f>IFERROR(__xludf.DUMMYFUNCTION("""COMPUTED_VALUE"""),"Adhesivo 11x15 Peligro no maniobrar pers.no autor.")</f>
        <v>Adhesivo 11x15 Peligro no maniobrar pers.no autor.</v>
      </c>
      <c r="C1769" s="4">
        <f>IFERROR(__xludf.DUMMYFUNCTION("""COMPUTED_VALUE"""),0.55)</f>
        <v>0.55</v>
      </c>
      <c r="D1769" s="4">
        <f>IFERROR(__xludf.DUMMYFUNCTION("""COMPUTED_VALUE"""),0.5)</f>
        <v>0.5</v>
      </c>
      <c r="E1769" s="4" t="str">
        <f>IFERROR(__xludf.DUMMYFUNCTION("""COMPUTED_VALUE"""),"Neto: 0,50 € (a partir de 1 uds.)")</f>
        <v>Neto: 0,50 € (a partir de 1 uds.)</v>
      </c>
    </row>
    <row r="1770">
      <c r="A1770" s="4" t="str">
        <f>IFERROR(__xludf.DUMMYFUNCTION("""COMPUTED_VALUE"""),"8291/B")</f>
        <v>8291/B</v>
      </c>
      <c r="B1770" s="4" t="str">
        <f>IFERROR(__xludf.DUMMYFUNCTION("""COMPUTED_VALUE"""),"Blister 10 unid. Adhesivo 11x15 Peligro no maniobrar pers. no")</f>
        <v>Blister 10 unid. Adhesivo 11x15 Peligro no maniobrar pers. no</v>
      </c>
      <c r="C1770" s="4">
        <f>IFERROR(__xludf.DUMMYFUNCTION("""COMPUTED_VALUE"""),4.4)</f>
        <v>4.4</v>
      </c>
      <c r="D1770" s="4"/>
      <c r="E1770" s="4" t="str">
        <f>IFERROR(__xludf.DUMMYFUNCTION("""COMPUTED_VALUE"""),"Sin precio neto")</f>
        <v>Sin precio neto</v>
      </c>
    </row>
    <row r="1771">
      <c r="A1771" s="4" t="str">
        <f>IFERROR(__xludf.DUMMYFUNCTION("""COMPUTED_VALUE"""),"83120N1")</f>
        <v>83120N1</v>
      </c>
      <c r="B1771" s="4" t="str">
        <f>IFERROR(__xludf.DUMMYFUNCTION("""COMPUTED_VALUE"""),"Cuadrado MOPU TS 120x120 cm Reflex I")</f>
        <v>Cuadrado MOPU TS 120x120 cm Reflex I</v>
      </c>
      <c r="C1771" s="4">
        <f>IFERROR(__xludf.DUMMYFUNCTION("""COMPUTED_VALUE"""),143.14)</f>
        <v>143.14</v>
      </c>
      <c r="D1771" s="4"/>
      <c r="E1771" s="4" t="str">
        <f>IFERROR(__xludf.DUMMYFUNCTION("""COMPUTED_VALUE"""),"Sin precio neto")</f>
        <v>Sin precio neto</v>
      </c>
    </row>
    <row r="1772">
      <c r="A1772" s="4" t="str">
        <f>IFERROR(__xludf.DUMMYFUNCTION("""COMPUTED_VALUE"""),"83120N2")</f>
        <v>83120N2</v>
      </c>
      <c r="B1772" s="4" t="str">
        <f>IFERROR(__xludf.DUMMYFUNCTION("""COMPUTED_VALUE"""),"Cuadrado MOPU TS 120x120 cm Reflex II")</f>
        <v>Cuadrado MOPU TS 120x120 cm Reflex II</v>
      </c>
      <c r="C1772" s="4">
        <f>IFERROR(__xludf.DUMMYFUNCTION("""COMPUTED_VALUE"""),200.6)</f>
        <v>200.6</v>
      </c>
      <c r="D1772" s="4"/>
      <c r="E1772" s="4" t="str">
        <f>IFERROR(__xludf.DUMMYFUNCTION("""COMPUTED_VALUE"""),"Sin precio neto")</f>
        <v>Sin precio neto</v>
      </c>
    </row>
    <row r="1773">
      <c r="A1773" s="4" t="str">
        <f>IFERROR(__xludf.DUMMYFUNCTION("""COMPUTED_VALUE"""),"83120N3")</f>
        <v>83120N3</v>
      </c>
      <c r="B1773" s="4" t="str">
        <f>IFERROR(__xludf.DUMMYFUNCTION("""COMPUTED_VALUE"""),"Cuadrado MOPU TS 120x120 cm Reflex III")</f>
        <v>Cuadrado MOPU TS 120x120 cm Reflex III</v>
      </c>
      <c r="C1773" s="4">
        <f>IFERROR(__xludf.DUMMYFUNCTION("""COMPUTED_VALUE"""),305.49)</f>
        <v>305.49</v>
      </c>
      <c r="D1773" s="4"/>
      <c r="E1773" s="4" t="str">
        <f>IFERROR(__xludf.DUMMYFUNCTION("""COMPUTED_VALUE"""),"Sin precio neto")</f>
        <v>Sin precio neto</v>
      </c>
    </row>
    <row r="1774">
      <c r="A1774" s="4" t="str">
        <f>IFERROR(__xludf.DUMMYFUNCTION("""COMPUTED_VALUE"""),"8340N1")</f>
        <v>8340N1</v>
      </c>
      <c r="B1774" s="4" t="str">
        <f>IFERROR(__xludf.DUMMYFUNCTION("""COMPUTED_VALUE"""),"Cuadrado MOPU TS 40x40 cm Reflex I")</f>
        <v>Cuadrado MOPU TS 40x40 cm Reflex I</v>
      </c>
      <c r="C1774" s="4">
        <f>IFERROR(__xludf.DUMMYFUNCTION("""COMPUTED_VALUE"""),31.0)</f>
        <v>31</v>
      </c>
      <c r="D1774" s="4"/>
      <c r="E1774" s="4" t="str">
        <f>IFERROR(__xludf.DUMMYFUNCTION("""COMPUTED_VALUE"""),"Sin precio neto")</f>
        <v>Sin precio neto</v>
      </c>
    </row>
    <row r="1775">
      <c r="A1775" s="4" t="str">
        <f>IFERROR(__xludf.DUMMYFUNCTION("""COMPUTED_VALUE"""),"8340N2")</f>
        <v>8340N2</v>
      </c>
      <c r="B1775" s="4" t="str">
        <f>IFERROR(__xludf.DUMMYFUNCTION("""COMPUTED_VALUE"""),"Cuadrado MOPU TS 40x40 cm Reflex II")</f>
        <v>Cuadrado MOPU TS 40x40 cm Reflex II</v>
      </c>
      <c r="C1775" s="4">
        <f>IFERROR(__xludf.DUMMYFUNCTION("""COMPUTED_VALUE"""),36.0)</f>
        <v>36</v>
      </c>
      <c r="D1775" s="4"/>
      <c r="E1775" s="4" t="str">
        <f>IFERROR(__xludf.DUMMYFUNCTION("""COMPUTED_VALUE"""),"Sin precio neto")</f>
        <v>Sin precio neto</v>
      </c>
    </row>
    <row r="1776">
      <c r="A1776" s="4" t="str">
        <f>IFERROR(__xludf.DUMMYFUNCTION("""COMPUTED_VALUE"""),"8340N3")</f>
        <v>8340N3</v>
      </c>
      <c r="B1776" s="4" t="str">
        <f>IFERROR(__xludf.DUMMYFUNCTION("""COMPUTED_VALUE"""),"Cuadrado MOPU TS 40x40 cm Reflex III")</f>
        <v>Cuadrado MOPU TS 40x40 cm Reflex III</v>
      </c>
      <c r="C1776" s="4">
        <f>IFERROR(__xludf.DUMMYFUNCTION("""COMPUTED_VALUE"""),54.0)</f>
        <v>54</v>
      </c>
      <c r="D1776" s="4"/>
      <c r="E1776" s="4" t="str">
        <f>IFERROR(__xludf.DUMMYFUNCTION("""COMPUTED_VALUE"""),"Sin precio neto")</f>
        <v>Sin precio neto</v>
      </c>
    </row>
    <row r="1777">
      <c r="A1777" s="4" t="str">
        <f>IFERROR(__xludf.DUMMYFUNCTION("""COMPUTED_VALUE"""),"8360N1")</f>
        <v>8360N1</v>
      </c>
      <c r="B1777" s="4" t="str">
        <f>IFERROR(__xludf.DUMMYFUNCTION("""COMPUTED_VALUE"""),"Cuadrado MOPU TS 60x60 cm Reflex I")</f>
        <v>Cuadrado MOPU TS 60x60 cm Reflex I</v>
      </c>
      <c r="C1777" s="4">
        <f>IFERROR(__xludf.DUMMYFUNCTION("""COMPUTED_VALUE"""),27.0)</f>
        <v>27</v>
      </c>
      <c r="D1777" s="4"/>
      <c r="E1777" s="4" t="str">
        <f>IFERROR(__xludf.DUMMYFUNCTION("""COMPUTED_VALUE"""),"Sin precio neto")</f>
        <v>Sin precio neto</v>
      </c>
    </row>
    <row r="1778">
      <c r="A1778" s="4" t="str">
        <f>IFERROR(__xludf.DUMMYFUNCTION("""COMPUTED_VALUE"""),"8360N2")</f>
        <v>8360N2</v>
      </c>
      <c r="B1778" s="4" t="str">
        <f>IFERROR(__xludf.DUMMYFUNCTION("""COMPUTED_VALUE"""),"Cuadrado MOPU TS 60x60 cm Reflex II")</f>
        <v>Cuadrado MOPU TS 60x60 cm Reflex II</v>
      </c>
      <c r="C1778" s="4">
        <f>IFERROR(__xludf.DUMMYFUNCTION("""COMPUTED_VALUE"""),44.25)</f>
        <v>44.25</v>
      </c>
      <c r="D1778" s="4"/>
      <c r="E1778" s="4" t="str">
        <f>IFERROR(__xludf.DUMMYFUNCTION("""COMPUTED_VALUE"""),"Sin precio neto")</f>
        <v>Sin precio neto</v>
      </c>
    </row>
    <row r="1779">
      <c r="A1779" s="4" t="str">
        <f>IFERROR(__xludf.DUMMYFUNCTION("""COMPUTED_VALUE"""),"8360N3")</f>
        <v>8360N3</v>
      </c>
      <c r="B1779" s="4" t="str">
        <f>IFERROR(__xludf.DUMMYFUNCTION("""COMPUTED_VALUE"""),"Cuadrado MOPU TS 60x60 cm Reflex III")</f>
        <v>Cuadrado MOPU TS 60x60 cm Reflex III</v>
      </c>
      <c r="C1779" s="4">
        <f>IFERROR(__xludf.DUMMYFUNCTION("""COMPUTED_VALUE"""),72.75)</f>
        <v>72.75</v>
      </c>
      <c r="D1779" s="4"/>
      <c r="E1779" s="4" t="str">
        <f>IFERROR(__xludf.DUMMYFUNCTION("""COMPUTED_VALUE"""),"Sin precio neto")</f>
        <v>Sin precio neto</v>
      </c>
    </row>
    <row r="1780">
      <c r="A1780" s="4" t="str">
        <f>IFERROR(__xludf.DUMMYFUNCTION("""COMPUTED_VALUE"""),"8374")</f>
        <v>8374</v>
      </c>
      <c r="B1780" s="4" t="str">
        <f>IFERROR(__xludf.DUMMYFUNCTION("""COMPUTED_VALUE"""),"Adhesivo 11x15 Riesgo de proyeccion de particulas")</f>
        <v>Adhesivo 11x15 Riesgo de proyeccion de particulas</v>
      </c>
      <c r="C1780" s="4">
        <f>IFERROR(__xludf.DUMMYFUNCTION("""COMPUTED_VALUE"""),0.55)</f>
        <v>0.55</v>
      </c>
      <c r="D1780" s="4">
        <f>IFERROR(__xludf.DUMMYFUNCTION("""COMPUTED_VALUE"""),0.5)</f>
        <v>0.5</v>
      </c>
      <c r="E1780" s="4" t="str">
        <f>IFERROR(__xludf.DUMMYFUNCTION("""COMPUTED_VALUE"""),"Neto: 0,50 € (a partir de 1 uds.)")</f>
        <v>Neto: 0,50 € (a partir de 1 uds.)</v>
      </c>
    </row>
    <row r="1781">
      <c r="A1781" s="4" t="str">
        <f>IFERROR(__xludf.DUMMYFUNCTION("""COMPUTED_VALUE"""),"8375")</f>
        <v>8375</v>
      </c>
      <c r="B1781" s="4" t="str">
        <f>IFERROR(__xludf.DUMMYFUNCTION("""COMPUTED_VALUE"""),"Adhesivo 11x15 Peligro de incendio")</f>
        <v>Adhesivo 11x15 Peligro de incendio</v>
      </c>
      <c r="C1781" s="4">
        <f>IFERROR(__xludf.DUMMYFUNCTION("""COMPUTED_VALUE"""),0.55)</f>
        <v>0.55</v>
      </c>
      <c r="D1781" s="4">
        <f>IFERROR(__xludf.DUMMYFUNCTION("""COMPUTED_VALUE"""),0.5)</f>
        <v>0.5</v>
      </c>
      <c r="E1781" s="4" t="str">
        <f>IFERROR(__xludf.DUMMYFUNCTION("""COMPUTED_VALUE"""),"Neto: 0,50 € (a partir de 1 uds.)")</f>
        <v>Neto: 0,50 € (a partir de 1 uds.)</v>
      </c>
    </row>
    <row r="1782">
      <c r="A1782" s="4" t="str">
        <f>IFERROR(__xludf.DUMMYFUNCTION("""COMPUTED_VALUE"""),"8381")</f>
        <v>8381</v>
      </c>
      <c r="B1782" s="4" t="str">
        <f>IFERROR(__xludf.DUMMYFUNCTION("""COMPUTED_VALUE"""),"Adhesivo 11x15 Riesgo contacto térmico")</f>
        <v>Adhesivo 11x15 Riesgo contacto térmico</v>
      </c>
      <c r="C1782" s="4">
        <f>IFERROR(__xludf.DUMMYFUNCTION("""COMPUTED_VALUE"""),0.55)</f>
        <v>0.55</v>
      </c>
      <c r="D1782" s="4">
        <f>IFERROR(__xludf.DUMMYFUNCTION("""COMPUTED_VALUE"""),0.5)</f>
        <v>0.5</v>
      </c>
      <c r="E1782" s="4" t="str">
        <f>IFERROR(__xludf.DUMMYFUNCTION("""COMPUTED_VALUE"""),"Neto: 0,50 € (a partir de 1 uds.)")</f>
        <v>Neto: 0,50 € (a partir de 1 uds.)</v>
      </c>
    </row>
    <row r="1783">
      <c r="A1783" s="4" t="str">
        <f>IFERROR(__xludf.DUMMYFUNCTION("""COMPUTED_VALUE"""),"8382")</f>
        <v>8382</v>
      </c>
      <c r="B1783" s="4" t="str">
        <f>IFERROR(__xludf.DUMMYFUNCTION("""COMPUTED_VALUE"""),"Adhesivo 11x15 Riesgo de corte")</f>
        <v>Adhesivo 11x15 Riesgo de corte</v>
      </c>
      <c r="C1783" s="4">
        <f>IFERROR(__xludf.DUMMYFUNCTION("""COMPUTED_VALUE"""),0.55)</f>
        <v>0.55</v>
      </c>
      <c r="D1783" s="4">
        <f>IFERROR(__xludf.DUMMYFUNCTION("""COMPUTED_VALUE"""),0.5)</f>
        <v>0.5</v>
      </c>
      <c r="E1783" s="4" t="str">
        <f>IFERROR(__xludf.DUMMYFUNCTION("""COMPUTED_VALUE"""),"Neto: 0,50 € (a partir de 1 uds.)")</f>
        <v>Neto: 0,50 € (a partir de 1 uds.)</v>
      </c>
    </row>
    <row r="1784">
      <c r="A1784" s="4" t="str">
        <f>IFERROR(__xludf.DUMMYFUNCTION("""COMPUTED_VALUE"""),"8384")</f>
        <v>8384</v>
      </c>
      <c r="B1784" s="4" t="str">
        <f>IFERROR(__xludf.DUMMYFUNCTION("""COMPUTED_VALUE"""),"Adhesivo 10x15 Uso obligatorio equipo autonomo")</f>
        <v>Adhesivo 10x15 Uso obligatorio equipo autonomo</v>
      </c>
      <c r="C1784" s="4">
        <f>IFERROR(__xludf.DUMMYFUNCTION("""COMPUTED_VALUE"""),0.55)</f>
        <v>0.55</v>
      </c>
      <c r="D1784" s="4">
        <f>IFERROR(__xludf.DUMMYFUNCTION("""COMPUTED_VALUE"""),0.5)</f>
        <v>0.5</v>
      </c>
      <c r="E1784" s="4" t="str">
        <f>IFERROR(__xludf.DUMMYFUNCTION("""COMPUTED_VALUE"""),"Neto: 0,50 € (a partir de 1 uds.)")</f>
        <v>Neto: 0,50 € (a partir de 1 uds.)</v>
      </c>
    </row>
    <row r="1785">
      <c r="A1785" s="4" t="str">
        <f>IFERROR(__xludf.DUMMYFUNCTION("""COMPUTED_VALUE"""),"8385")</f>
        <v>8385</v>
      </c>
      <c r="B1785" s="4" t="str">
        <f>IFERROR(__xludf.DUMMYFUNCTION("""COMPUTED_VALUE"""),"Adhesivo 10x15 peligro temperatura elevada")</f>
        <v>Adhesivo 10x15 peligro temperatura elevada</v>
      </c>
      <c r="C1785" s="4">
        <f>IFERROR(__xludf.DUMMYFUNCTION("""COMPUTED_VALUE"""),0.55)</f>
        <v>0.55</v>
      </c>
      <c r="D1785" s="4">
        <f>IFERROR(__xludf.DUMMYFUNCTION("""COMPUTED_VALUE"""),0.5)</f>
        <v>0.5</v>
      </c>
      <c r="E1785" s="4" t="str">
        <f>IFERROR(__xludf.DUMMYFUNCTION("""COMPUTED_VALUE"""),"Neto: 0,50 € (a partir de 1 uds.)")</f>
        <v>Neto: 0,50 € (a partir de 1 uds.)</v>
      </c>
    </row>
    <row r="1786">
      <c r="A1786" s="4" t="str">
        <f>IFERROR(__xludf.DUMMYFUNCTION("""COMPUTED_VALUE"""),"8385/B")</f>
        <v>8385/B</v>
      </c>
      <c r="B1786" s="4" t="str">
        <f>IFERROR(__xludf.DUMMYFUNCTION("""COMPUTED_VALUE"""),"Blístes 10 unid. Ahesivo 11x15 Temperatura Elevada")</f>
        <v>Blístes 10 unid. Ahesivo 11x15 Temperatura Elevada</v>
      </c>
      <c r="C1786" s="4">
        <f>IFERROR(__xludf.DUMMYFUNCTION("""COMPUTED_VALUE"""),4.4)</f>
        <v>4.4</v>
      </c>
      <c r="D1786" s="4"/>
      <c r="E1786" s="4" t="str">
        <f>IFERROR(__xludf.DUMMYFUNCTION("""COMPUTED_VALUE"""),"Sin precio neto")</f>
        <v>Sin precio neto</v>
      </c>
    </row>
    <row r="1787">
      <c r="A1787" s="4" t="str">
        <f>IFERROR(__xludf.DUMMYFUNCTION("""COMPUTED_VALUE"""),"8390N1")</f>
        <v>8390N1</v>
      </c>
      <c r="B1787" s="4" t="str">
        <f>IFERROR(__xludf.DUMMYFUNCTION("""COMPUTED_VALUE"""),"Cuadrado MOPU TS 90x90 cm Reflex I")</f>
        <v>Cuadrado MOPU TS 90x90 cm Reflex I</v>
      </c>
      <c r="C1787" s="4">
        <f>IFERROR(__xludf.DUMMYFUNCTION("""COMPUTED_VALUE"""),95.0)</f>
        <v>95</v>
      </c>
      <c r="D1787" s="4">
        <f>IFERROR(__xludf.DUMMYFUNCTION("""COMPUTED_VALUE"""),62.0)</f>
        <v>62</v>
      </c>
      <c r="E1787" s="4" t="str">
        <f>IFERROR(__xludf.DUMMYFUNCTION("""COMPUTED_VALUE"""),"Neto: 62,00 € (a partir de 1 uds.)")</f>
        <v>Neto: 62,00 € (a partir de 1 uds.)</v>
      </c>
    </row>
    <row r="1788">
      <c r="A1788" s="4" t="str">
        <f>IFERROR(__xludf.DUMMYFUNCTION("""COMPUTED_VALUE"""),"8390N2")</f>
        <v>8390N2</v>
      </c>
      <c r="B1788" s="4" t="str">
        <f>IFERROR(__xludf.DUMMYFUNCTION("""COMPUTED_VALUE"""),"Cuadrado MOPU TS 90x90 cm Reflex II")</f>
        <v>Cuadrado MOPU TS 90x90 cm Reflex II</v>
      </c>
      <c r="C1788" s="4">
        <f>IFERROR(__xludf.DUMMYFUNCTION("""COMPUTED_VALUE"""),130.35)</f>
        <v>130.35</v>
      </c>
      <c r="D1788" s="4"/>
      <c r="E1788" s="4" t="str">
        <f>IFERROR(__xludf.DUMMYFUNCTION("""COMPUTED_VALUE"""),"Sin precio neto")</f>
        <v>Sin precio neto</v>
      </c>
    </row>
    <row r="1789">
      <c r="A1789" s="4" t="str">
        <f>IFERROR(__xludf.DUMMYFUNCTION("""COMPUTED_VALUE"""),"8390N3")</f>
        <v>8390N3</v>
      </c>
      <c r="B1789" s="4" t="str">
        <f>IFERROR(__xludf.DUMMYFUNCTION("""COMPUTED_VALUE"""),"Cuadrado MOPU TS 90x90 cm Reflex III")</f>
        <v>Cuadrado MOPU TS 90x90 cm Reflex III</v>
      </c>
      <c r="C1789" s="4">
        <f>IFERROR(__xludf.DUMMYFUNCTION("""COMPUTED_VALUE"""),157.17)</f>
        <v>157.17</v>
      </c>
      <c r="D1789" s="4"/>
      <c r="E1789" s="4" t="str">
        <f>IFERROR(__xludf.DUMMYFUNCTION("""COMPUTED_VALUE"""),"Sin precio neto")</f>
        <v>Sin precio neto</v>
      </c>
    </row>
    <row r="1790">
      <c r="A1790" s="4" t="str">
        <f>IFERROR(__xludf.DUMMYFUNCTION("""COMPUTED_VALUE"""),"8399")</f>
        <v>8399</v>
      </c>
      <c r="B1790" s="4" t="str">
        <f>IFERROR(__xludf.DUMMYFUNCTION("""COMPUTED_VALUE"""),"Adhesivo Agles Morts 17x25 cm")</f>
        <v>Adhesivo Agles Morts 17x25 cm</v>
      </c>
      <c r="C1790" s="4">
        <f>IFERROR(__xludf.DUMMYFUNCTION("""COMPUTED_VALUE"""),6.0)</f>
        <v>6</v>
      </c>
      <c r="D1790" s="4"/>
      <c r="E1790" s="4" t="str">
        <f>IFERROR(__xludf.DUMMYFUNCTION("""COMPUTED_VALUE"""),"Sin precio neto")</f>
        <v>Sin precio neto</v>
      </c>
    </row>
    <row r="1791">
      <c r="A1791" s="4" t="str">
        <f>IFERROR(__xludf.DUMMYFUNCTION("""COMPUTED_VALUE"""),"844060N1")</f>
        <v>844060N1</v>
      </c>
      <c r="B1791" s="4" t="str">
        <f>IFERROR(__xludf.DUMMYFUNCTION("""COMPUTED_VALUE"""),"Rectangulo MOPU TS 40x60 cm Reflex I")</f>
        <v>Rectangulo MOPU TS 40x60 cm Reflex I</v>
      </c>
      <c r="C1791" s="4">
        <f>IFERROR(__xludf.DUMMYFUNCTION("""COMPUTED_VALUE"""),36.5)</f>
        <v>36.5</v>
      </c>
      <c r="D1791" s="4"/>
      <c r="E1791" s="4" t="str">
        <f>IFERROR(__xludf.DUMMYFUNCTION("""COMPUTED_VALUE"""),"Sin precio neto")</f>
        <v>Sin precio neto</v>
      </c>
    </row>
    <row r="1792">
      <c r="A1792" s="4" t="str">
        <f>IFERROR(__xludf.DUMMYFUNCTION("""COMPUTED_VALUE"""),"844060N2")</f>
        <v>844060N2</v>
      </c>
      <c r="B1792" s="4" t="str">
        <f>IFERROR(__xludf.DUMMYFUNCTION("""COMPUTED_VALUE"""),"Rectangulo MOPU TS 40X60 cm Reflex II")</f>
        <v>Rectangulo MOPU TS 40X60 cm Reflex II</v>
      </c>
      <c r="C1792" s="4">
        <f>IFERROR(__xludf.DUMMYFUNCTION("""COMPUTED_VALUE"""),42.0)</f>
        <v>42</v>
      </c>
      <c r="D1792" s="4"/>
      <c r="E1792" s="4" t="str">
        <f>IFERROR(__xludf.DUMMYFUNCTION("""COMPUTED_VALUE"""),"Sin precio neto")</f>
        <v>Sin precio neto</v>
      </c>
    </row>
    <row r="1793">
      <c r="A1793" s="4" t="str">
        <f>IFERROR(__xludf.DUMMYFUNCTION("""COMPUTED_VALUE"""),"844060N3")</f>
        <v>844060N3</v>
      </c>
      <c r="B1793" s="4" t="str">
        <f>IFERROR(__xludf.DUMMYFUNCTION("""COMPUTED_VALUE"""),"Rectangulo MOPU TS 40X60 cm Reflex III")</f>
        <v>Rectangulo MOPU TS 40X60 cm Reflex III</v>
      </c>
      <c r="C1793" s="4">
        <f>IFERROR(__xludf.DUMMYFUNCTION("""COMPUTED_VALUE"""),62.5)</f>
        <v>62.5</v>
      </c>
      <c r="D1793" s="4"/>
      <c r="E1793" s="4" t="str">
        <f>IFERROR(__xludf.DUMMYFUNCTION("""COMPUTED_VALUE"""),"Sin precio neto")</f>
        <v>Sin precio neto</v>
      </c>
    </row>
    <row r="1794">
      <c r="A1794" s="4" t="str">
        <f>IFERROR(__xludf.DUMMYFUNCTION("""COMPUTED_VALUE"""),"8460120N1")</f>
        <v>8460120N1</v>
      </c>
      <c r="B1794" s="4" t="str">
        <f>IFERROR(__xludf.DUMMYFUNCTION("""COMPUTED_VALUE"""),"Rectangulo MOPU TS 60x120 cm Reflex I")</f>
        <v>Rectangulo MOPU TS 60x120 cm Reflex I</v>
      </c>
      <c r="C1794" s="4">
        <f>IFERROR(__xludf.DUMMYFUNCTION("""COMPUTED_VALUE"""),110.25)</f>
        <v>110.25</v>
      </c>
      <c r="D1794" s="4"/>
      <c r="E1794" s="4" t="str">
        <f>IFERROR(__xludf.DUMMYFUNCTION("""COMPUTED_VALUE"""),"Sin precio neto")</f>
        <v>Sin precio neto</v>
      </c>
    </row>
    <row r="1795">
      <c r="A1795" s="4" t="str">
        <f>IFERROR(__xludf.DUMMYFUNCTION("""COMPUTED_VALUE"""),"8460120N2")</f>
        <v>8460120N2</v>
      </c>
      <c r="B1795" s="4" t="str">
        <f>IFERROR(__xludf.DUMMYFUNCTION("""COMPUTED_VALUE"""),"Rectangulo MOPU TS 60x120 cm Reflex II")</f>
        <v>Rectangulo MOPU TS 60x120 cm Reflex II</v>
      </c>
      <c r="C1795" s="4">
        <f>IFERROR(__xludf.DUMMYFUNCTION("""COMPUTED_VALUE"""),112.0)</f>
        <v>112</v>
      </c>
      <c r="D1795" s="4"/>
      <c r="E1795" s="4" t="str">
        <f>IFERROR(__xludf.DUMMYFUNCTION("""COMPUTED_VALUE"""),"Sin precio neto")</f>
        <v>Sin precio neto</v>
      </c>
    </row>
    <row r="1796">
      <c r="A1796" s="4" t="str">
        <f>IFERROR(__xludf.DUMMYFUNCTION("""COMPUTED_VALUE"""),"8460120N3")</f>
        <v>8460120N3</v>
      </c>
      <c r="B1796" s="4" t="str">
        <f>IFERROR(__xludf.DUMMYFUNCTION("""COMPUTED_VALUE"""),"Rectangulo MOPU TS 60x120 cm Reflex III")</f>
        <v>Rectangulo MOPU TS 60x120 cm Reflex III</v>
      </c>
      <c r="C1796" s="4">
        <f>IFERROR(__xludf.DUMMYFUNCTION("""COMPUTED_VALUE"""),164.0)</f>
        <v>164</v>
      </c>
      <c r="D1796" s="4"/>
      <c r="E1796" s="4" t="str">
        <f>IFERROR(__xludf.DUMMYFUNCTION("""COMPUTED_VALUE"""),"Sin precio neto")</f>
        <v>Sin precio neto</v>
      </c>
    </row>
    <row r="1797">
      <c r="A1797" s="4" t="str">
        <f>IFERROR(__xludf.DUMMYFUNCTION("""COMPUTED_VALUE"""),"846090N1")</f>
        <v>846090N1</v>
      </c>
      <c r="B1797" s="4" t="str">
        <f>IFERROR(__xludf.DUMMYFUNCTION("""COMPUTED_VALUE"""),"Rectangulo MOPU TS 60x90 cm Reflex I")</f>
        <v>Rectangulo MOPU TS 60x90 cm Reflex I</v>
      </c>
      <c r="C1797" s="4">
        <f>IFERROR(__xludf.DUMMYFUNCTION("""COMPUTED_VALUE"""),44.0)</f>
        <v>44</v>
      </c>
      <c r="D1797" s="4"/>
      <c r="E1797" s="4" t="str">
        <f>IFERROR(__xludf.DUMMYFUNCTION("""COMPUTED_VALUE"""),"Sin precio neto")</f>
        <v>Sin precio neto</v>
      </c>
    </row>
    <row r="1798">
      <c r="A1798" s="4" t="str">
        <f>IFERROR(__xludf.DUMMYFUNCTION("""COMPUTED_VALUE"""),"846090N2")</f>
        <v>846090N2</v>
      </c>
      <c r="B1798" s="4" t="str">
        <f>IFERROR(__xludf.DUMMYFUNCTION("""COMPUTED_VALUE"""),"Rectangulo MOPU TS 60x90 cm Reflex II")</f>
        <v>Rectangulo MOPU TS 60x90 cm Reflex II</v>
      </c>
      <c r="C1798" s="4">
        <f>IFERROR(__xludf.DUMMYFUNCTION("""COMPUTED_VALUE"""),88.05)</f>
        <v>88.05</v>
      </c>
      <c r="D1798" s="4"/>
      <c r="E1798" s="4" t="str">
        <f>IFERROR(__xludf.DUMMYFUNCTION("""COMPUTED_VALUE"""),"Sin precio neto")</f>
        <v>Sin precio neto</v>
      </c>
    </row>
    <row r="1799">
      <c r="A1799" s="4" t="str">
        <f>IFERROR(__xludf.DUMMYFUNCTION("""COMPUTED_VALUE"""),"846090N3")</f>
        <v>846090N3</v>
      </c>
      <c r="B1799" s="4" t="str">
        <f>IFERROR(__xludf.DUMMYFUNCTION("""COMPUTED_VALUE"""),"Rectangulo MOPU TS 60x90 cm Reflex III")</f>
        <v>Rectangulo MOPU TS 60x90 cm Reflex III</v>
      </c>
      <c r="C1799" s="4">
        <f>IFERROR(__xludf.DUMMYFUNCTION("""COMPUTED_VALUE"""),115.64)</f>
        <v>115.64</v>
      </c>
      <c r="D1799" s="4"/>
      <c r="E1799" s="4" t="str">
        <f>IFERROR(__xludf.DUMMYFUNCTION("""COMPUTED_VALUE"""),"Sin precio neto")</f>
        <v>Sin precio neto</v>
      </c>
    </row>
    <row r="1800">
      <c r="A1800" s="4" t="str">
        <f>IFERROR(__xludf.DUMMYFUNCTION("""COMPUTED_VALUE"""),"8490135N1")</f>
        <v>8490135N1</v>
      </c>
      <c r="B1800" s="4" t="str">
        <f>IFERROR(__xludf.DUMMYFUNCTION("""COMPUTED_VALUE"""),"Rectangulo MOPU TS 90x135 cm Reflex I")</f>
        <v>Rectangulo MOPU TS 90x135 cm Reflex I</v>
      </c>
      <c r="C1800" s="4">
        <f>IFERROR(__xludf.DUMMYFUNCTION("""COMPUTED_VALUE"""),115.6)</f>
        <v>115.6</v>
      </c>
      <c r="D1800" s="4"/>
      <c r="E1800" s="4" t="str">
        <f>IFERROR(__xludf.DUMMYFUNCTION("""COMPUTED_VALUE"""),"Sin precio neto")</f>
        <v>Sin precio neto</v>
      </c>
    </row>
    <row r="1801">
      <c r="A1801" s="4" t="str">
        <f>IFERROR(__xludf.DUMMYFUNCTION("""COMPUTED_VALUE"""),"8490135N2")</f>
        <v>8490135N2</v>
      </c>
      <c r="B1801" s="4" t="str">
        <f>IFERROR(__xludf.DUMMYFUNCTION("""COMPUTED_VALUE"""),"Rectangulo MOPU TS 90x135 cm Reflex II")</f>
        <v>Rectangulo MOPU TS 90x135 cm Reflex II</v>
      </c>
      <c r="C1801" s="4">
        <f>IFERROR(__xludf.DUMMYFUNCTION("""COMPUTED_VALUE"""),190.78)</f>
        <v>190.78</v>
      </c>
      <c r="D1801" s="4"/>
      <c r="E1801" s="4" t="str">
        <f>IFERROR(__xludf.DUMMYFUNCTION("""COMPUTED_VALUE"""),"Sin precio neto")</f>
        <v>Sin precio neto</v>
      </c>
    </row>
    <row r="1802">
      <c r="A1802" s="4" t="str">
        <f>IFERROR(__xludf.DUMMYFUNCTION("""COMPUTED_VALUE"""),"8490135N3")</f>
        <v>8490135N3</v>
      </c>
      <c r="B1802" s="4" t="str">
        <f>IFERROR(__xludf.DUMMYFUNCTION("""COMPUTED_VALUE"""),"Rectangulo MOPU TS 90x135 cm Reflex III")</f>
        <v>Rectangulo MOPU TS 90x135 cm Reflex III</v>
      </c>
      <c r="C1802" s="4">
        <f>IFERROR(__xludf.DUMMYFUNCTION("""COMPUTED_VALUE"""),257.89)</f>
        <v>257.89</v>
      </c>
      <c r="D1802" s="4"/>
      <c r="E1802" s="4" t="str">
        <f>IFERROR(__xludf.DUMMYFUNCTION("""COMPUTED_VALUE"""),"Sin precio neto")</f>
        <v>Sin precio neto</v>
      </c>
    </row>
    <row r="1803">
      <c r="A1803" s="4" t="str">
        <f>IFERROR(__xludf.DUMMYFUNCTION("""COMPUTED_VALUE"""),"8500N")</f>
        <v>8500N</v>
      </c>
      <c r="B1803" s="4" t="str">
        <f>IFERROR(__xludf.DUMMYFUNCTION("""COMPUTED_VALUE"""),"Señal 30 cm metálica Triangular Normal")</f>
        <v>Señal 30 cm metálica Triangular Normal</v>
      </c>
      <c r="C1803" s="4">
        <f>IFERROR(__xludf.DUMMYFUNCTION("""COMPUTED_VALUE"""),8.25)</f>
        <v>8.25</v>
      </c>
      <c r="D1803" s="4"/>
      <c r="E1803" s="4" t="str">
        <f>IFERROR(__xludf.DUMMYFUNCTION("""COMPUTED_VALUE"""),"Sin precio neto")</f>
        <v>Sin precio neto</v>
      </c>
    </row>
    <row r="1804">
      <c r="A1804" s="4" t="str">
        <f>IFERROR(__xludf.DUMMYFUNCTION("""COMPUTED_VALUE"""),"8500N1")</f>
        <v>8500N1</v>
      </c>
      <c r="B1804" s="4" t="str">
        <f>IFERROR(__xludf.DUMMYFUNCTION("""COMPUTED_VALUE"""),"Señal 30 cm metálica Triangular Nivel 1")</f>
        <v>Señal 30 cm metálica Triangular Nivel 1</v>
      </c>
      <c r="C1804" s="4">
        <f>IFERROR(__xludf.DUMMYFUNCTION("""COMPUTED_VALUE"""),9.25)</f>
        <v>9.25</v>
      </c>
      <c r="D1804" s="4"/>
      <c r="E1804" s="4" t="str">
        <f>IFERROR(__xludf.DUMMYFUNCTION("""COMPUTED_VALUE"""),"Sin precio neto")</f>
        <v>Sin precio neto</v>
      </c>
    </row>
    <row r="1805">
      <c r="A1805" s="4" t="str">
        <f>IFERROR(__xludf.DUMMYFUNCTION("""COMPUTED_VALUE"""),"854020N1")</f>
        <v>854020N1</v>
      </c>
      <c r="B1805" s="4" t="str">
        <f>IFERROR(__xludf.DUMMYFUNCTION("""COMPUTED_VALUE"""),"Cajetin MOPU TS 40x20 cm Reflex I")</f>
        <v>Cajetin MOPU TS 40x20 cm Reflex I</v>
      </c>
      <c r="C1805" s="4">
        <f>IFERROR(__xludf.DUMMYFUNCTION("""COMPUTED_VALUE"""),15.84)</f>
        <v>15.84</v>
      </c>
      <c r="D1805" s="4"/>
      <c r="E1805" s="4" t="str">
        <f>IFERROR(__xludf.DUMMYFUNCTION("""COMPUTED_VALUE"""),"Sin precio neto")</f>
        <v>Sin precio neto</v>
      </c>
    </row>
    <row r="1806">
      <c r="A1806" s="4" t="str">
        <f>IFERROR(__xludf.DUMMYFUNCTION("""COMPUTED_VALUE"""),"854020N2")</f>
        <v>854020N2</v>
      </c>
      <c r="B1806" s="4" t="str">
        <f>IFERROR(__xludf.DUMMYFUNCTION("""COMPUTED_VALUE"""),"Cajetin MOPU TS 40x20 cm Reflex II")</f>
        <v>Cajetin MOPU TS 40x20 cm Reflex II</v>
      </c>
      <c r="C1806" s="4">
        <f>IFERROR(__xludf.DUMMYFUNCTION("""COMPUTED_VALUE"""),23.0)</f>
        <v>23</v>
      </c>
      <c r="D1806" s="4"/>
      <c r="E1806" s="4" t="str">
        <f>IFERROR(__xludf.DUMMYFUNCTION("""COMPUTED_VALUE"""),"Sin precio neto")</f>
        <v>Sin precio neto</v>
      </c>
    </row>
    <row r="1807">
      <c r="A1807" s="4" t="str">
        <f>IFERROR(__xludf.DUMMYFUNCTION("""COMPUTED_VALUE"""),"854020N3")</f>
        <v>854020N3</v>
      </c>
      <c r="B1807" s="4" t="str">
        <f>IFERROR(__xludf.DUMMYFUNCTION("""COMPUTED_VALUE"""),"Cajetin MOPU TS 40x20 cm Reflex III")</f>
        <v>Cajetin MOPU TS 40x20 cm Reflex III</v>
      </c>
      <c r="C1807" s="4">
        <f>IFERROR(__xludf.DUMMYFUNCTION("""COMPUTED_VALUE"""),28.32)</f>
        <v>28.32</v>
      </c>
      <c r="D1807" s="4"/>
      <c r="E1807" s="4" t="str">
        <f>IFERROR(__xludf.DUMMYFUNCTION("""COMPUTED_VALUE"""),"Sin precio neto")</f>
        <v>Sin precio neto</v>
      </c>
    </row>
    <row r="1808">
      <c r="A1808" s="4" t="str">
        <f>IFERROR(__xludf.DUMMYFUNCTION("""COMPUTED_VALUE"""),"856020N1")</f>
        <v>856020N1</v>
      </c>
      <c r="B1808" s="4" t="str">
        <f>IFERROR(__xludf.DUMMYFUNCTION("""COMPUTED_VALUE"""),"Cajetin MOPU TS 60x20 cm Reflex I")</f>
        <v>Cajetin MOPU TS 60x20 cm Reflex I</v>
      </c>
      <c r="C1808" s="4">
        <f>IFERROR(__xludf.DUMMYFUNCTION("""COMPUTED_VALUE"""),21.0)</f>
        <v>21</v>
      </c>
      <c r="D1808" s="4"/>
      <c r="E1808" s="4" t="str">
        <f>IFERROR(__xludf.DUMMYFUNCTION("""COMPUTED_VALUE"""),"Sin precio neto")</f>
        <v>Sin precio neto</v>
      </c>
    </row>
    <row r="1809">
      <c r="A1809" s="4" t="str">
        <f>IFERROR(__xludf.DUMMYFUNCTION("""COMPUTED_VALUE"""),"856030N1")</f>
        <v>856030N1</v>
      </c>
      <c r="B1809" s="4" t="str">
        <f>IFERROR(__xludf.DUMMYFUNCTION("""COMPUTED_VALUE"""),"Cajetin MOPU TS 60x30 cm Reflex I")</f>
        <v>Cajetin MOPU TS 60x30 cm Reflex I</v>
      </c>
      <c r="C1809" s="4">
        <f>IFERROR(__xludf.DUMMYFUNCTION("""COMPUTED_VALUE"""),21.25)</f>
        <v>21.25</v>
      </c>
      <c r="D1809" s="4"/>
      <c r="E1809" s="4" t="str">
        <f>IFERROR(__xludf.DUMMYFUNCTION("""COMPUTED_VALUE"""),"Sin precio neto")</f>
        <v>Sin precio neto</v>
      </c>
    </row>
    <row r="1810">
      <c r="A1810" s="4" t="str">
        <f>IFERROR(__xludf.DUMMYFUNCTION("""COMPUTED_VALUE"""),"856030N2")</f>
        <v>856030N2</v>
      </c>
      <c r="B1810" s="4" t="str">
        <f>IFERROR(__xludf.DUMMYFUNCTION("""COMPUTED_VALUE"""),"Cajetin MOPU TS 60x30 cm Reflex II")</f>
        <v>Cajetin MOPU TS 60x30 cm Reflex II</v>
      </c>
      <c r="C1810" s="4">
        <f>IFERROR(__xludf.DUMMYFUNCTION("""COMPUTED_VALUE"""),36.53)</f>
        <v>36.53</v>
      </c>
      <c r="D1810" s="4"/>
      <c r="E1810" s="4" t="str">
        <f>IFERROR(__xludf.DUMMYFUNCTION("""COMPUTED_VALUE"""),"Sin precio neto")</f>
        <v>Sin precio neto</v>
      </c>
    </row>
    <row r="1811">
      <c r="A1811" s="4" t="str">
        <f>IFERROR(__xludf.DUMMYFUNCTION("""COMPUTED_VALUE"""),"856030N3")</f>
        <v>856030N3</v>
      </c>
      <c r="B1811" s="4" t="str">
        <f>IFERROR(__xludf.DUMMYFUNCTION("""COMPUTED_VALUE"""),"Cajetin MOPU TS 60x30 cm Reflex III")</f>
        <v>Cajetin MOPU TS 60x30 cm Reflex III</v>
      </c>
      <c r="C1811" s="4">
        <f>IFERROR(__xludf.DUMMYFUNCTION("""COMPUTED_VALUE"""),46.25)</f>
        <v>46.25</v>
      </c>
      <c r="D1811" s="4"/>
      <c r="E1811" s="4" t="str">
        <f>IFERROR(__xludf.DUMMYFUNCTION("""COMPUTED_VALUE"""),"Sin precio neto")</f>
        <v>Sin precio neto</v>
      </c>
    </row>
    <row r="1812">
      <c r="A1812" s="4" t="str">
        <f>IFERROR(__xludf.DUMMYFUNCTION("""COMPUTED_VALUE"""),"8600N")</f>
        <v>8600N</v>
      </c>
      <c r="B1812" s="4" t="str">
        <f>IFERROR(__xludf.DUMMYFUNCTION("""COMPUTED_VALUE"""),"Señal 30 cm metálica Circular Normal")</f>
        <v>Señal 30 cm metálica Circular Normal</v>
      </c>
      <c r="C1812" s="4">
        <f>IFERROR(__xludf.DUMMYFUNCTION("""COMPUTED_VALUE"""),8.25)</f>
        <v>8.25</v>
      </c>
      <c r="D1812" s="4"/>
      <c r="E1812" s="4" t="str">
        <f>IFERROR(__xludf.DUMMYFUNCTION("""COMPUTED_VALUE"""),"Sin precio neto")</f>
        <v>Sin precio neto</v>
      </c>
    </row>
    <row r="1813">
      <c r="A1813" s="4" t="str">
        <f>IFERROR(__xludf.DUMMYFUNCTION("""COMPUTED_VALUE"""),"8600N1")</f>
        <v>8600N1</v>
      </c>
      <c r="B1813" s="4" t="str">
        <f>IFERROR(__xludf.DUMMYFUNCTION("""COMPUTED_VALUE"""),"Señal 30 cm metálica Circular Nivel 1")</f>
        <v>Señal 30 cm metálica Circular Nivel 1</v>
      </c>
      <c r="C1813" s="4">
        <f>IFERROR(__xludf.DUMMYFUNCTION("""COMPUTED_VALUE"""),9.25)</f>
        <v>9.25</v>
      </c>
      <c r="D1813" s="4"/>
      <c r="E1813" s="4" t="str">
        <f>IFERROR(__xludf.DUMMYFUNCTION("""COMPUTED_VALUE"""),"Sin precio neto")</f>
        <v>Sin precio neto</v>
      </c>
    </row>
    <row r="1814">
      <c r="A1814" s="4" t="str">
        <f>IFERROR(__xludf.DUMMYFUNCTION("""COMPUTED_VALUE"""),"8700N")</f>
        <v>8700N</v>
      </c>
      <c r="B1814" s="4" t="str">
        <f>IFERROR(__xludf.DUMMYFUNCTION("""COMPUTED_VALUE"""),"Señal 30 cm metálica Cuadrado Normal")</f>
        <v>Señal 30 cm metálica Cuadrado Normal</v>
      </c>
      <c r="C1814" s="4">
        <f>IFERROR(__xludf.DUMMYFUNCTION("""COMPUTED_VALUE"""),8.25)</f>
        <v>8.25</v>
      </c>
      <c r="D1814" s="4"/>
      <c r="E1814" s="4" t="str">
        <f>IFERROR(__xludf.DUMMYFUNCTION("""COMPUTED_VALUE"""),"Sin precio neto")</f>
        <v>Sin precio neto</v>
      </c>
    </row>
    <row r="1815">
      <c r="A1815" s="4" t="str">
        <f>IFERROR(__xludf.DUMMYFUNCTION("""COMPUTED_VALUE"""),"8700N1")</f>
        <v>8700N1</v>
      </c>
      <c r="B1815" s="4" t="str">
        <f>IFERROR(__xludf.DUMMYFUNCTION("""COMPUTED_VALUE"""),"Señal 30 cm metálica Rectangular Nivel 1")</f>
        <v>Señal 30 cm metálica Rectangular Nivel 1</v>
      </c>
      <c r="C1815" s="4">
        <f>IFERROR(__xludf.DUMMYFUNCTION("""COMPUTED_VALUE"""),9.25)</f>
        <v>9.25</v>
      </c>
      <c r="D1815" s="4"/>
      <c r="E1815" s="4" t="str">
        <f>IFERROR(__xludf.DUMMYFUNCTION("""COMPUTED_VALUE"""),"Sin precio neto")</f>
        <v>Sin precio neto</v>
      </c>
    </row>
    <row r="1816">
      <c r="A1816" s="4" t="str">
        <f>IFERROR(__xludf.DUMMYFUNCTION("""COMPUTED_VALUE"""),"8716545N1")</f>
        <v>8716545N1</v>
      </c>
      <c r="B1816" s="4" t="str">
        <f>IFERROR(__xludf.DUMMYFUNCTION("""COMPUTED_VALUE"""),"Panel direccional estrecho R/B TB-2 165x45 cm Reflex I")</f>
        <v>Panel direccional estrecho R/B TB-2 165x45 cm Reflex I</v>
      </c>
      <c r="C1816" s="4">
        <f>IFERROR(__xludf.DUMMYFUNCTION("""COMPUTED_VALUE"""),74.67)</f>
        <v>74.67</v>
      </c>
      <c r="D1816" s="4"/>
      <c r="E1816" s="4" t="str">
        <f>IFERROR(__xludf.DUMMYFUNCTION("""COMPUTED_VALUE"""),"Sin precio neto")</f>
        <v>Sin precio neto</v>
      </c>
    </row>
    <row r="1817">
      <c r="A1817" s="4" t="str">
        <f>IFERROR(__xludf.DUMMYFUNCTION("""COMPUTED_VALUE"""),"8716545N2")</f>
        <v>8716545N2</v>
      </c>
      <c r="B1817" s="4" t="str">
        <f>IFERROR(__xludf.DUMMYFUNCTION("""COMPUTED_VALUE"""),"Panel direccional estrecho R/B TB-2 165x45 cm Reflex II")</f>
        <v>Panel direccional estrecho R/B TB-2 165x45 cm Reflex II</v>
      </c>
      <c r="C1817" s="4">
        <f>IFERROR(__xludf.DUMMYFUNCTION("""COMPUTED_VALUE"""),89.75)</f>
        <v>89.75</v>
      </c>
      <c r="D1817" s="4"/>
      <c r="E1817" s="4" t="str">
        <f>IFERROR(__xludf.DUMMYFUNCTION("""COMPUTED_VALUE"""),"Sin precio neto")</f>
        <v>Sin precio neto</v>
      </c>
    </row>
    <row r="1818">
      <c r="A1818" s="4" t="str">
        <f>IFERROR(__xludf.DUMMYFUNCTION("""COMPUTED_VALUE"""),"8716545N3")</f>
        <v>8716545N3</v>
      </c>
      <c r="B1818" s="4" t="str">
        <f>IFERROR(__xludf.DUMMYFUNCTION("""COMPUTED_VALUE"""),"Panle direccional estrecho R/B TB-2 165x45 cm Reflex III")</f>
        <v>Panle direccional estrecho R/B TB-2 165x45 cm Reflex III</v>
      </c>
      <c r="C1818" s="4">
        <f>IFERROR(__xludf.DUMMYFUNCTION("""COMPUTED_VALUE"""),124.68)</f>
        <v>124.68</v>
      </c>
      <c r="D1818" s="4"/>
      <c r="E1818" s="4" t="str">
        <f>IFERROR(__xludf.DUMMYFUNCTION("""COMPUTED_VALUE"""),"Sin precio neto")</f>
        <v>Sin precio neto</v>
      </c>
    </row>
    <row r="1819">
      <c r="A1819" s="4" t="str">
        <f>IFERROR(__xludf.DUMMYFUNCTION("""COMPUTED_VALUE"""),"8719595N1")</f>
        <v>8719595N1</v>
      </c>
      <c r="B1819" s="4" t="str">
        <f>IFERROR(__xludf.DUMMYFUNCTION("""COMPUTED_VALUE"""),"Panel direccional alto R/B TB-1 195x95 cm Reflex I")</f>
        <v>Panel direccional alto R/B TB-1 195x95 cm Reflex I</v>
      </c>
      <c r="C1819" s="4">
        <f>IFERROR(__xludf.DUMMYFUNCTION("""COMPUTED_VALUE"""),206.85)</f>
        <v>206.85</v>
      </c>
      <c r="D1819" s="4"/>
      <c r="E1819" s="4" t="str">
        <f>IFERROR(__xludf.DUMMYFUNCTION("""COMPUTED_VALUE"""),"Sin precio neto")</f>
        <v>Sin precio neto</v>
      </c>
    </row>
    <row r="1820">
      <c r="A1820" s="4" t="str">
        <f>IFERROR(__xludf.DUMMYFUNCTION("""COMPUTED_VALUE"""),"8719595N2")</f>
        <v>8719595N2</v>
      </c>
      <c r="B1820" s="4" t="str">
        <f>IFERROR(__xludf.DUMMYFUNCTION("""COMPUTED_VALUE"""),"Panel direccional alto R/B TB-1 195x95 cm Reflex II")</f>
        <v>Panel direccional alto R/B TB-1 195x95 cm Reflex II</v>
      </c>
      <c r="C1820" s="4">
        <f>IFERROR(__xludf.DUMMYFUNCTION("""COMPUTED_VALUE"""),241.0)</f>
        <v>241</v>
      </c>
      <c r="D1820" s="4"/>
      <c r="E1820" s="4" t="str">
        <f>IFERROR(__xludf.DUMMYFUNCTION("""COMPUTED_VALUE"""),"Sin precio neto")</f>
        <v>Sin precio neto</v>
      </c>
    </row>
    <row r="1821">
      <c r="A1821" s="4" t="str">
        <f>IFERROR(__xludf.DUMMYFUNCTION("""COMPUTED_VALUE"""),"8719595N3")</f>
        <v>8719595N3</v>
      </c>
      <c r="B1821" s="4" t="str">
        <f>IFERROR(__xludf.DUMMYFUNCTION("""COMPUTED_VALUE"""),"Panel direccional alto R/B TB-1 195x95 cm Reflex III")</f>
        <v>Panel direccional alto R/B TB-1 195x95 cm Reflex III</v>
      </c>
      <c r="C1821" s="4">
        <f>IFERROR(__xludf.DUMMYFUNCTION("""COMPUTED_VALUE"""),320.45)</f>
        <v>320.45</v>
      </c>
      <c r="D1821" s="4"/>
      <c r="E1821" s="4" t="str">
        <f>IFERROR(__xludf.DUMMYFUNCTION("""COMPUTED_VALUE"""),"Sin precio neto")</f>
        <v>Sin precio neto</v>
      </c>
    </row>
    <row r="1822">
      <c r="A1822" s="4" t="str">
        <f>IFERROR(__xludf.DUMMYFUNCTION("""COMPUTED_VALUE"""),"878040N1")</f>
        <v>878040N1</v>
      </c>
      <c r="B1822" s="4" t="str">
        <f>IFERROR(__xludf.DUMMYFUNCTION("""COMPUTED_VALUE"""),"Panel direccional estrecho R/B TB-2 80x40 cm Reflex I")</f>
        <v>Panel direccional estrecho R/B TB-2 80x40 cm Reflex I</v>
      </c>
      <c r="C1822" s="4">
        <f>IFERROR(__xludf.DUMMYFUNCTION("""COMPUTED_VALUE"""),43.0)</f>
        <v>43</v>
      </c>
      <c r="D1822" s="4"/>
      <c r="E1822" s="4" t="str">
        <f>IFERROR(__xludf.DUMMYFUNCTION("""COMPUTED_VALUE"""),"Sin precio neto")</f>
        <v>Sin precio neto</v>
      </c>
    </row>
    <row r="1823">
      <c r="A1823" s="4" t="str">
        <f>IFERROR(__xludf.DUMMYFUNCTION("""COMPUTED_VALUE"""),"878040N2")</f>
        <v>878040N2</v>
      </c>
      <c r="B1823" s="4" t="str">
        <f>IFERROR(__xludf.DUMMYFUNCTION("""COMPUTED_VALUE"""),"Panel direccional estrecho R/B TB-2 80x40 cm Reflex II")</f>
        <v>Panel direccional estrecho R/B TB-2 80x40 cm Reflex II</v>
      </c>
      <c r="C1823" s="4">
        <f>IFERROR(__xludf.DUMMYFUNCTION("""COMPUTED_VALUE"""),66.2)</f>
        <v>66.2</v>
      </c>
      <c r="D1823" s="4"/>
      <c r="E1823" s="4" t="str">
        <f>IFERROR(__xludf.DUMMYFUNCTION("""COMPUTED_VALUE"""),"Sin precio neto")</f>
        <v>Sin precio neto</v>
      </c>
    </row>
    <row r="1824">
      <c r="A1824" s="4" t="str">
        <f>IFERROR(__xludf.DUMMYFUNCTION("""COMPUTED_VALUE"""),"878040N3")</f>
        <v>878040N3</v>
      </c>
      <c r="B1824" s="4" t="str">
        <f>IFERROR(__xludf.DUMMYFUNCTION("""COMPUTED_VALUE"""),"Panel direccional estrecho R/B TB-2 80x40 cm Reflex III")</f>
        <v>Panel direccional estrecho R/B TB-2 80x40 cm Reflex III</v>
      </c>
      <c r="C1824" s="4">
        <f>IFERROR(__xludf.DUMMYFUNCTION("""COMPUTED_VALUE"""),81.4)</f>
        <v>81.4</v>
      </c>
      <c r="D1824" s="4"/>
      <c r="E1824" s="4" t="str">
        <f>IFERROR(__xludf.DUMMYFUNCTION("""COMPUTED_VALUE"""),"Sin precio neto")</f>
        <v>Sin precio neto</v>
      </c>
    </row>
    <row r="1825">
      <c r="A1825" s="4" t="str">
        <f>IFERROR(__xludf.DUMMYFUNCTION("""COMPUTED_VALUE"""),"8800N")</f>
        <v>8800N</v>
      </c>
      <c r="B1825" s="4" t="str">
        <f>IFERROR(__xludf.DUMMYFUNCTION("""COMPUTED_VALUE"""),"Señal 30 cm metálica STOP Normal")</f>
        <v>Señal 30 cm metálica STOP Normal</v>
      </c>
      <c r="C1825" s="4">
        <f>IFERROR(__xludf.DUMMYFUNCTION("""COMPUTED_VALUE"""),8.25)</f>
        <v>8.25</v>
      </c>
      <c r="D1825" s="4"/>
      <c r="E1825" s="4" t="str">
        <f>IFERROR(__xludf.DUMMYFUNCTION("""COMPUTED_VALUE"""),"Sin precio neto")</f>
        <v>Sin precio neto</v>
      </c>
    </row>
    <row r="1826">
      <c r="A1826" s="4" t="str">
        <f>IFERROR(__xludf.DUMMYFUNCTION("""COMPUTED_VALUE"""),"8800N1")</f>
        <v>8800N1</v>
      </c>
      <c r="B1826" s="4" t="str">
        <f>IFERROR(__xludf.DUMMYFUNCTION("""COMPUTED_VALUE"""),"Señal 30 cm metálica STOP Nivel 1")</f>
        <v>Señal 30 cm metálica STOP Nivel 1</v>
      </c>
      <c r="C1826" s="4">
        <f>IFERROR(__xludf.DUMMYFUNCTION("""COMPUTED_VALUE"""),9.25)</f>
        <v>9.25</v>
      </c>
      <c r="D1826" s="4"/>
      <c r="E1826" s="4" t="str">
        <f>IFERROR(__xludf.DUMMYFUNCTION("""COMPUTED_VALUE"""),"Sin precio neto")</f>
        <v>Sin precio neto</v>
      </c>
    </row>
    <row r="1827">
      <c r="A1827" s="4" t="str">
        <f>IFERROR(__xludf.DUMMYFUNCTION("""COMPUTED_VALUE"""),"88140251")</f>
        <v>88140251</v>
      </c>
      <c r="B1827" s="4" t="str">
        <f>IFERROR(__xludf.DUMMYFUNCTION("""COMPUTED_VALUE"""),"Valla movil para obras TB-5")</f>
        <v>Valla movil para obras TB-5</v>
      </c>
      <c r="C1827" s="4">
        <f>IFERROR(__xludf.DUMMYFUNCTION("""COMPUTED_VALUE"""),80.95)</f>
        <v>80.95</v>
      </c>
      <c r="D1827" s="4"/>
      <c r="E1827" s="4" t="str">
        <f>IFERROR(__xludf.DUMMYFUNCTION("""COMPUTED_VALUE"""),"Sin precio neto")</f>
        <v>Sin precio neto</v>
      </c>
    </row>
    <row r="1828">
      <c r="A1828" s="4" t="str">
        <f>IFERROR(__xludf.DUMMYFUNCTION("""COMPUTED_VALUE"""),"8819560N1")</f>
        <v>8819560N1</v>
      </c>
      <c r="B1828" s="4" t="str">
        <f>IFERROR(__xludf.DUMMYFUNCTION("""COMPUTED_VALUE"""),"Panel Hastial 195x60 cm Reflex I 50%")</f>
        <v>Panel Hastial 195x60 cm Reflex I 50%</v>
      </c>
      <c r="C1828" s="4">
        <f>IFERROR(__xludf.DUMMYFUNCTION("""COMPUTED_VALUE"""),134.0)</f>
        <v>134</v>
      </c>
      <c r="D1828" s="4"/>
      <c r="E1828" s="4" t="str">
        <f>IFERROR(__xludf.DUMMYFUNCTION("""COMPUTED_VALUE"""),"Sin precio neto")</f>
        <v>Sin precio neto</v>
      </c>
    </row>
    <row r="1829">
      <c r="A1829" s="4" t="str">
        <f>IFERROR(__xludf.DUMMYFUNCTION("""COMPUTED_VALUE"""),"883010N1")</f>
        <v>883010N1</v>
      </c>
      <c r="B1829" s="4" t="str">
        <f>IFERROR(__xludf.DUMMYFUNCTION("""COMPUTED_VALUE"""),"Piqueta 30x10 cm TB-7 NI")</f>
        <v>Piqueta 30x10 cm TB-7 NI</v>
      </c>
      <c r="C1829" s="4">
        <f>IFERROR(__xludf.DUMMYFUNCTION("""COMPUTED_VALUE"""),11.75)</f>
        <v>11.75</v>
      </c>
      <c r="D1829" s="4"/>
      <c r="E1829" s="4" t="str">
        <f>IFERROR(__xludf.DUMMYFUNCTION("""COMPUTED_VALUE"""),"Sin precio neto")</f>
        <v>Sin precio neto</v>
      </c>
    </row>
    <row r="1830">
      <c r="A1830" s="4" t="str">
        <f>IFERROR(__xludf.DUMMYFUNCTION("""COMPUTED_VALUE"""),"884030N1")</f>
        <v>884030N1</v>
      </c>
      <c r="B1830" s="4" t="str">
        <f>IFERROR(__xludf.DUMMYFUNCTION("""COMPUTED_VALUE"""),"Plac 40x30 cm Escalon Lateral c/piqueta Reflex")</f>
        <v>Plac 40x30 cm Escalon Lateral c/piqueta Reflex</v>
      </c>
      <c r="C1830" s="4">
        <f>IFERROR(__xludf.DUMMYFUNCTION("""COMPUTED_VALUE"""),24.3)</f>
        <v>24.3</v>
      </c>
      <c r="D1830" s="4"/>
      <c r="E1830" s="4" t="str">
        <f>IFERROR(__xludf.DUMMYFUNCTION("""COMPUTED_VALUE"""),"Sin precio neto")</f>
        <v>Sin precio neto</v>
      </c>
    </row>
    <row r="1831">
      <c r="A1831" s="4" t="str">
        <f>IFERROR(__xludf.DUMMYFUNCTION("""COMPUTED_VALUE"""),"8840N1")</f>
        <v>8840N1</v>
      </c>
      <c r="B1831" s="4" t="str">
        <f>IFERROR(__xludf.DUMMYFUNCTION("""COMPUTED_VALUE"""),"Piqueta 40 cm de jalonamiento TB-11 Reflex")</f>
        <v>Piqueta 40 cm de jalonamiento TB-11 Reflex</v>
      </c>
      <c r="C1831" s="4">
        <f>IFERROR(__xludf.DUMMYFUNCTION("""COMPUTED_VALUE"""),8.8)</f>
        <v>8.8</v>
      </c>
      <c r="D1831" s="4"/>
      <c r="E1831" s="4" t="str">
        <f>IFERROR(__xludf.DUMMYFUNCTION("""COMPUTED_VALUE"""),"Sin precio neto")</f>
        <v>Sin precio neto</v>
      </c>
    </row>
    <row r="1832">
      <c r="A1832" s="4" t="str">
        <f>IFERROR(__xludf.DUMMYFUNCTION("""COMPUTED_VALUE"""),"887015DN1")</f>
        <v>887015DN1</v>
      </c>
      <c r="B1832" s="4" t="str">
        <f>IFERROR(__xludf.DUMMYFUNCTION("""COMPUTED_VALUE"""),"Baliza de señalizacion obra TB-8 NI Derecha")</f>
        <v>Baliza de señalizacion obra TB-8 NI Derecha</v>
      </c>
      <c r="C1832" s="4">
        <f>IFERROR(__xludf.DUMMYFUNCTION("""COMPUTED_VALUE"""),39.25)</f>
        <v>39.25</v>
      </c>
      <c r="D1832" s="4"/>
      <c r="E1832" s="4" t="str">
        <f>IFERROR(__xludf.DUMMYFUNCTION("""COMPUTED_VALUE"""),"Sin precio neto")</f>
        <v>Sin precio neto</v>
      </c>
    </row>
    <row r="1833">
      <c r="A1833" s="4" t="str">
        <f>IFERROR(__xludf.DUMMYFUNCTION("""COMPUTED_VALUE"""),"887015IN1")</f>
        <v>887015IN1</v>
      </c>
      <c r="B1833" s="4" t="str">
        <f>IFERROR(__xludf.DUMMYFUNCTION("""COMPUTED_VALUE"""),"Baliza de señalizacion obra TB-9 NI Izquierda")</f>
        <v>Baliza de señalizacion obra TB-9 NI Izquierda</v>
      </c>
      <c r="C1833" s="4">
        <f>IFERROR(__xludf.DUMMYFUNCTION("""COMPUTED_VALUE"""),39.25)</f>
        <v>39.25</v>
      </c>
      <c r="D1833" s="4"/>
      <c r="E1833" s="4" t="str">
        <f>IFERROR(__xludf.DUMMYFUNCTION("""COMPUTED_VALUE"""),"Sin precio neto")</f>
        <v>Sin precio neto</v>
      </c>
    </row>
    <row r="1834">
      <c r="A1834" s="4" t="str">
        <f>IFERROR(__xludf.DUMMYFUNCTION("""COMPUTED_VALUE"""),"889530N1")</f>
        <v>889530N1</v>
      </c>
      <c r="B1834" s="4" t="str">
        <f>IFERROR(__xludf.DUMMYFUNCTION("""COMPUTED_VALUE"""),"Panel Hastial 95x30 cm Reflex I 50%")</f>
        <v>Panel Hastial 95x30 cm Reflex I 50%</v>
      </c>
      <c r="C1834" s="4">
        <f>IFERROR(__xludf.DUMMYFUNCTION("""COMPUTED_VALUE"""),58.0)</f>
        <v>58</v>
      </c>
      <c r="D1834" s="4"/>
      <c r="E1834" s="4" t="str">
        <f>IFERROR(__xludf.DUMMYFUNCTION("""COMPUTED_VALUE"""),"Sin precio neto")</f>
        <v>Sin precio neto</v>
      </c>
    </row>
    <row r="1835">
      <c r="A1835" s="4" t="str">
        <f>IFERROR(__xludf.DUMMYFUNCTION("""COMPUTED_VALUE"""),"889530N2")</f>
        <v>889530N2</v>
      </c>
      <c r="B1835" s="4" t="str">
        <f>IFERROR(__xludf.DUMMYFUNCTION("""COMPUTED_VALUE"""),"Panel Hastial 95x30 cm Reflex II 50%")</f>
        <v>Panel Hastial 95x30 cm Reflex II 50%</v>
      </c>
      <c r="C1835" s="4">
        <f>IFERROR(__xludf.DUMMYFUNCTION("""COMPUTED_VALUE"""),69.0)</f>
        <v>69</v>
      </c>
      <c r="D1835" s="4"/>
      <c r="E1835" s="4" t="str">
        <f>IFERROR(__xludf.DUMMYFUNCTION("""COMPUTED_VALUE"""),"Sin precio neto")</f>
        <v>Sin precio neto</v>
      </c>
    </row>
    <row r="1836">
      <c r="A1836" s="4" t="str">
        <f>IFERROR(__xludf.DUMMYFUNCTION("""COMPUTED_VALUE"""),"9000")</f>
        <v>9000</v>
      </c>
      <c r="B1836" s="4" t="str">
        <f>IFERROR(__xludf.DUMMYFUNCTION("""COMPUTED_VALUE"""),"Reductor velocidad 60x50x4.5 cm Mod. G")</f>
        <v>Reductor velocidad 60x50x4.5 cm Mod. G</v>
      </c>
      <c r="C1836" s="4">
        <f>IFERROR(__xludf.DUMMYFUNCTION("""COMPUTED_VALUE"""),21.25)</f>
        <v>21.25</v>
      </c>
      <c r="D1836" s="4"/>
      <c r="E1836" s="4" t="str">
        <f>IFERROR(__xludf.DUMMYFUNCTION("""COMPUTED_VALUE"""),"Sin precio neto")</f>
        <v>Sin precio neto</v>
      </c>
    </row>
    <row r="1837">
      <c r="A1837" s="4" t="str">
        <f>IFERROR(__xludf.DUMMYFUNCTION("""COMPUTED_VALUE"""),"9001")</f>
        <v>9001</v>
      </c>
      <c r="B1837" s="4" t="str">
        <f>IFERROR(__xludf.DUMMYFUNCTION("""COMPUTED_VALUE"""),"Extremo reductor veloc. 60x25x4,5 cm Mod. G")</f>
        <v>Extremo reductor veloc. 60x25x4,5 cm Mod. G</v>
      </c>
      <c r="C1837" s="4">
        <f>IFERROR(__xludf.DUMMYFUNCTION("""COMPUTED_VALUE"""),13.75)</f>
        <v>13.75</v>
      </c>
      <c r="D1837" s="4"/>
      <c r="E1837" s="4" t="str">
        <f>IFERROR(__xludf.DUMMYFUNCTION("""COMPUTED_VALUE"""),"Sin precio neto")</f>
        <v>Sin precio neto</v>
      </c>
    </row>
    <row r="1838">
      <c r="A1838" s="4" t="str">
        <f>IFERROR(__xludf.DUMMYFUNCTION("""COMPUTED_VALUE"""),"9004")</f>
        <v>9004</v>
      </c>
      <c r="B1838" s="4" t="str">
        <f>IFERROR(__xludf.DUMMYFUNCTION("""COMPUTED_VALUE"""),"Reductor velocidad 40x50x4.5 cm Mod. F")</f>
        <v>Reductor velocidad 40x50x4.5 cm Mod. F</v>
      </c>
      <c r="C1838" s="4">
        <f>IFERROR(__xludf.DUMMYFUNCTION("""COMPUTED_VALUE"""),18.35)</f>
        <v>18.35</v>
      </c>
      <c r="D1838" s="4"/>
      <c r="E1838" s="4" t="str">
        <f>IFERROR(__xludf.DUMMYFUNCTION("""COMPUTED_VALUE"""),"Sin precio neto")</f>
        <v>Sin precio neto</v>
      </c>
    </row>
    <row r="1839">
      <c r="A1839" s="4" t="str">
        <f>IFERROR(__xludf.DUMMYFUNCTION("""COMPUTED_VALUE"""),"9005")</f>
        <v>9005</v>
      </c>
      <c r="B1839" s="4" t="str">
        <f>IFERROR(__xludf.DUMMYFUNCTION("""COMPUTED_VALUE"""),"Extremo reductor veloc. 40x25x4.5 cm Mod. F")</f>
        <v>Extremo reductor veloc. 40x25x4.5 cm Mod. F</v>
      </c>
      <c r="C1839" s="4">
        <f>IFERROR(__xludf.DUMMYFUNCTION("""COMPUTED_VALUE"""),12.75)</f>
        <v>12.75</v>
      </c>
      <c r="D1839" s="4"/>
      <c r="E1839" s="4" t="str">
        <f>IFERROR(__xludf.DUMMYFUNCTION("""COMPUTED_VALUE"""),"Sin precio neto")</f>
        <v>Sin precio neto</v>
      </c>
    </row>
    <row r="1840">
      <c r="A1840" s="4" t="str">
        <f>IFERROR(__xludf.DUMMYFUNCTION("""COMPUTED_VALUE"""),"9006")</f>
        <v>9006</v>
      </c>
      <c r="B1840" s="4" t="str">
        <f>IFERROR(__xludf.DUMMYFUNCTION("""COMPUTED_VALUE"""),"Reductor velocidad 30x33x4 cm Mod. E")</f>
        <v>Reductor velocidad 30x33x4 cm Mod. E</v>
      </c>
      <c r="C1840" s="4">
        <f>IFERROR(__xludf.DUMMYFUNCTION("""COMPUTED_VALUE"""),14.65)</f>
        <v>14.65</v>
      </c>
      <c r="D1840" s="4"/>
      <c r="E1840" s="4" t="str">
        <f>IFERROR(__xludf.DUMMYFUNCTION("""COMPUTED_VALUE"""),"Sin precio neto")</f>
        <v>Sin precio neto</v>
      </c>
    </row>
    <row r="1841">
      <c r="A1841" s="4" t="str">
        <f>IFERROR(__xludf.DUMMYFUNCTION("""COMPUTED_VALUE"""),"9007")</f>
        <v>9007</v>
      </c>
      <c r="B1841" s="4" t="str">
        <f>IFERROR(__xludf.DUMMYFUNCTION("""COMPUTED_VALUE"""),"Extremo reductor velocid. 30x15x4 cm Mod. E")</f>
        <v>Extremo reductor velocid. 30x15x4 cm Mod. E</v>
      </c>
      <c r="C1841" s="4">
        <f>IFERROR(__xludf.DUMMYFUNCTION("""COMPUTED_VALUE"""),9.4)</f>
        <v>9.4</v>
      </c>
      <c r="D1841" s="4"/>
      <c r="E1841" s="4" t="str">
        <f>IFERROR(__xludf.DUMMYFUNCTION("""COMPUTED_VALUE"""),"Sin precio neto")</f>
        <v>Sin precio neto</v>
      </c>
    </row>
    <row r="1842">
      <c r="A1842" s="4" t="str">
        <f>IFERROR(__xludf.DUMMYFUNCTION("""COMPUTED_VALUE"""),"9008")</f>
        <v>9008</v>
      </c>
      <c r="B1842" s="4" t="str">
        <f>IFERROR(__xludf.DUMMYFUNCTION("""COMPUTED_VALUE"""),"Reductor velocidad 90x50x5 cm Mod. H")</f>
        <v>Reductor velocidad 90x50x5 cm Mod. H</v>
      </c>
      <c r="C1842" s="4">
        <f>IFERROR(__xludf.DUMMYFUNCTION("""COMPUTED_VALUE"""),37.7)</f>
        <v>37.7</v>
      </c>
      <c r="D1842" s="4"/>
      <c r="E1842" s="4" t="str">
        <f>IFERROR(__xludf.DUMMYFUNCTION("""COMPUTED_VALUE"""),"Sin precio neto")</f>
        <v>Sin precio neto</v>
      </c>
    </row>
    <row r="1843">
      <c r="A1843" s="4" t="str">
        <f>IFERROR(__xludf.DUMMYFUNCTION("""COMPUTED_VALUE"""),"9009")</f>
        <v>9009</v>
      </c>
      <c r="B1843" s="4" t="str">
        <f>IFERROR(__xludf.DUMMYFUNCTION("""COMPUTED_VALUE"""),"Extremo reductor veloc. 90x25x5 cm Mod. H")</f>
        <v>Extremo reductor veloc. 90x25x5 cm Mod. H</v>
      </c>
      <c r="C1843" s="4">
        <f>IFERROR(__xludf.DUMMYFUNCTION("""COMPUTED_VALUE"""),21.25)</f>
        <v>21.25</v>
      </c>
      <c r="D1843" s="4"/>
      <c r="E1843" s="4" t="str">
        <f>IFERROR(__xludf.DUMMYFUNCTION("""COMPUTED_VALUE"""),"Sin precio neto")</f>
        <v>Sin precio neto</v>
      </c>
    </row>
    <row r="1844">
      <c r="A1844" s="4" t="str">
        <f>IFERROR(__xludf.DUMMYFUNCTION("""COMPUTED_VALUE"""),"9010")</f>
        <v>9010</v>
      </c>
      <c r="B1844" s="4" t="str">
        <f>IFERROR(__xludf.DUMMYFUNCTION("""COMPUTED_VALUE"""),"Reductor velocidad High impact Amarillo")</f>
        <v>Reductor velocidad High impact Amarillo</v>
      </c>
      <c r="C1844" s="4">
        <f>IFERROR(__xludf.DUMMYFUNCTION("""COMPUTED_VALUE"""),14.0)</f>
        <v>14</v>
      </c>
      <c r="D1844" s="4"/>
      <c r="E1844" s="4" t="str">
        <f>IFERROR(__xludf.DUMMYFUNCTION("""COMPUTED_VALUE"""),"Sin precio neto")</f>
        <v>Sin precio neto</v>
      </c>
    </row>
    <row r="1845">
      <c r="A1845" s="4" t="str">
        <f>IFERROR(__xludf.DUMMYFUNCTION("""COMPUTED_VALUE"""),"9011")</f>
        <v>9011</v>
      </c>
      <c r="B1845" s="4" t="str">
        <f>IFERROR(__xludf.DUMMYFUNCTION("""COMPUTED_VALUE"""),"Reductor velocidad High impact Negro")</f>
        <v>Reductor velocidad High impact Negro</v>
      </c>
      <c r="C1845" s="4">
        <f>IFERROR(__xludf.DUMMYFUNCTION("""COMPUTED_VALUE"""),14.0)</f>
        <v>14</v>
      </c>
      <c r="D1845" s="4"/>
      <c r="E1845" s="4" t="str">
        <f>IFERROR(__xludf.DUMMYFUNCTION("""COMPUTED_VALUE"""),"Sin precio neto")</f>
        <v>Sin precio neto</v>
      </c>
    </row>
    <row r="1846">
      <c r="A1846" s="4" t="str">
        <f>IFERROR(__xludf.DUMMYFUNCTION("""COMPUTED_VALUE"""),"9012")</f>
        <v>9012</v>
      </c>
      <c r="B1846" s="4" t="str">
        <f>IFERROR(__xludf.DUMMYFUNCTION("""COMPUTED_VALUE"""),"Extremo reductor velocidad High Impact amarillo")</f>
        <v>Extremo reductor velocidad High Impact amarillo</v>
      </c>
      <c r="C1846" s="4">
        <f>IFERROR(__xludf.DUMMYFUNCTION("""COMPUTED_VALUE"""),4.5)</f>
        <v>4.5</v>
      </c>
      <c r="D1846" s="4"/>
      <c r="E1846" s="4" t="str">
        <f>IFERROR(__xludf.DUMMYFUNCTION("""COMPUTED_VALUE"""),"Sin precio neto")</f>
        <v>Sin precio neto</v>
      </c>
    </row>
    <row r="1847">
      <c r="A1847" s="4" t="str">
        <f>IFERROR(__xludf.DUMMYFUNCTION("""COMPUTED_VALUE"""),"9013")</f>
        <v>9013</v>
      </c>
      <c r="B1847" s="4" t="str">
        <f>IFERROR(__xludf.DUMMYFUNCTION("""COMPUTED_VALUE"""),"Extremo reductor velocidad High Impact negro")</f>
        <v>Extremo reductor velocidad High Impact negro</v>
      </c>
      <c r="C1847" s="4">
        <f>IFERROR(__xludf.DUMMYFUNCTION("""COMPUTED_VALUE"""),4.5)</f>
        <v>4.5</v>
      </c>
      <c r="D1847" s="4"/>
      <c r="E1847" s="4" t="str">
        <f>IFERROR(__xludf.DUMMYFUNCTION("""COMPUTED_VALUE"""),"Sin precio neto")</f>
        <v>Sin precio neto</v>
      </c>
    </row>
    <row r="1848">
      <c r="A1848" s="4" t="str">
        <f>IFERROR(__xludf.DUMMYFUNCTION("""COMPUTED_VALUE"""),"90135N")</f>
        <v>90135N</v>
      </c>
      <c r="B1848" s="4" t="str">
        <f>IFERROR(__xludf.DUMMYFUNCTION("""COMPUTED_VALUE"""),"Señal MOPU T.D. 135 cm N")</f>
        <v>Señal MOPU T.D. 135 cm N</v>
      </c>
      <c r="C1848" s="4">
        <f>IFERROR(__xludf.DUMMYFUNCTION("""COMPUTED_VALUE"""),90.03)</f>
        <v>90.03</v>
      </c>
      <c r="D1848" s="4"/>
      <c r="E1848" s="4" t="str">
        <f>IFERROR(__xludf.DUMMYFUNCTION("""COMPUTED_VALUE"""),"Sin precio neto")</f>
        <v>Sin precio neto</v>
      </c>
    </row>
    <row r="1849">
      <c r="A1849" s="4" t="str">
        <f>IFERROR(__xludf.DUMMYFUNCTION("""COMPUTED_VALUE"""),"90135N1")</f>
        <v>90135N1</v>
      </c>
      <c r="B1849" s="4" t="str">
        <f>IFERROR(__xludf.DUMMYFUNCTION("""COMPUTED_VALUE"""),"Señal MOPU T.D. 135 cm NI")</f>
        <v>Señal MOPU T.D. 135 cm NI</v>
      </c>
      <c r="C1849" s="4">
        <f>IFERROR(__xludf.DUMMYFUNCTION("""COMPUTED_VALUE"""),99.09)</f>
        <v>99.09</v>
      </c>
      <c r="D1849" s="4"/>
      <c r="E1849" s="4" t="str">
        <f>IFERROR(__xludf.DUMMYFUNCTION("""COMPUTED_VALUE"""),"Sin precio neto")</f>
        <v>Sin precio neto</v>
      </c>
    </row>
    <row r="1850">
      <c r="A1850" s="4" t="str">
        <f>IFERROR(__xludf.DUMMYFUNCTION("""COMPUTED_VALUE"""),"90135N2")</f>
        <v>90135N2</v>
      </c>
      <c r="B1850" s="4" t="str">
        <f>IFERROR(__xludf.DUMMYFUNCTION("""COMPUTED_VALUE"""),"Señal MOPU T.D. 135 cm NII")</f>
        <v>Señal MOPU T.D. 135 cm NII</v>
      </c>
      <c r="C1850" s="4">
        <f>IFERROR(__xludf.DUMMYFUNCTION("""COMPUTED_VALUE"""),132.79)</f>
        <v>132.79</v>
      </c>
      <c r="D1850" s="4"/>
      <c r="E1850" s="4" t="str">
        <f>IFERROR(__xludf.DUMMYFUNCTION("""COMPUTED_VALUE"""),"Sin precio neto")</f>
        <v>Sin precio neto</v>
      </c>
    </row>
    <row r="1851">
      <c r="A1851" s="4" t="str">
        <f>IFERROR(__xludf.DUMMYFUNCTION("""COMPUTED_VALUE"""),"90135N3")</f>
        <v>90135N3</v>
      </c>
      <c r="B1851" s="4" t="str">
        <f>IFERROR(__xludf.DUMMYFUNCTION("""COMPUTED_VALUE"""),"Señal MOPU T.D. 135 cm NIII")</f>
        <v>Señal MOPU T.D. 135 cm NIII</v>
      </c>
      <c r="C1851" s="4">
        <f>IFERROR(__xludf.DUMMYFUNCTION("""COMPUTED_VALUE"""),175.95)</f>
        <v>175.95</v>
      </c>
      <c r="D1851" s="4"/>
      <c r="E1851" s="4" t="str">
        <f>IFERROR(__xludf.DUMMYFUNCTION("""COMPUTED_VALUE"""),"Sin precio neto")</f>
        <v>Sin precio neto</v>
      </c>
    </row>
    <row r="1852">
      <c r="A1852" s="4" t="str">
        <f>IFERROR(__xludf.DUMMYFUNCTION("""COMPUTED_VALUE"""),"9014")</f>
        <v>9014</v>
      </c>
      <c r="B1852" s="4" t="str">
        <f>IFERROR(__xludf.DUMMYFUNCTION("""COMPUTED_VALUE"""),"Reductor velocidad High impact Amarillo pasacables")</f>
        <v>Reductor velocidad High impact Amarillo pasacables</v>
      </c>
      <c r="C1852" s="4">
        <f>IFERROR(__xludf.DUMMYFUNCTION("""COMPUTED_VALUE"""),13.0)</f>
        <v>13</v>
      </c>
      <c r="D1852" s="4"/>
      <c r="E1852" s="4" t="str">
        <f>IFERROR(__xludf.DUMMYFUNCTION("""COMPUTED_VALUE"""),"Sin precio neto")</f>
        <v>Sin precio neto</v>
      </c>
    </row>
    <row r="1853">
      <c r="A1853" s="4" t="str">
        <f>IFERROR(__xludf.DUMMYFUNCTION("""COMPUTED_VALUE"""),"9015")</f>
        <v>9015</v>
      </c>
      <c r="B1853" s="4" t="str">
        <f>IFERROR(__xludf.DUMMYFUNCTION("""COMPUTED_VALUE"""),"Reductor velocidad High impact Negro pasacables")</f>
        <v>Reductor velocidad High impact Negro pasacables</v>
      </c>
      <c r="C1853" s="4">
        <f>IFERROR(__xludf.DUMMYFUNCTION("""COMPUTED_VALUE"""),13.0)</f>
        <v>13</v>
      </c>
      <c r="D1853" s="4"/>
      <c r="E1853" s="4" t="str">
        <f>IFERROR(__xludf.DUMMYFUNCTION("""COMPUTED_VALUE"""),"Sin precio neto")</f>
        <v>Sin precio neto</v>
      </c>
    </row>
    <row r="1854">
      <c r="A1854" s="4" t="str">
        <f>IFERROR(__xludf.DUMMYFUNCTION("""COMPUTED_VALUE"""),"9016")</f>
        <v>9016</v>
      </c>
      <c r="B1854" s="4" t="str">
        <f>IFERROR(__xludf.DUMMYFUNCTION("""COMPUTED_VALUE"""),"Reductor velocidad Ovaglint 200x120x28 mm")</f>
        <v>Reductor velocidad Ovaglint 200x120x28 mm</v>
      </c>
      <c r="C1854" s="4">
        <f>IFERROR(__xludf.DUMMYFUNCTION("""COMPUTED_VALUE"""),4.5)</f>
        <v>4.5</v>
      </c>
      <c r="D1854" s="4"/>
      <c r="E1854" s="4" t="str">
        <f>IFERROR(__xludf.DUMMYFUNCTION("""COMPUTED_VALUE"""),"Sin precio neto")</f>
        <v>Sin precio neto</v>
      </c>
    </row>
    <row r="1855">
      <c r="A1855" s="4" t="str">
        <f>IFERROR(__xludf.DUMMYFUNCTION("""COMPUTED_VALUE"""),"90175N1")</f>
        <v>90175N1</v>
      </c>
      <c r="B1855" s="4" t="str">
        <f>IFERROR(__xludf.DUMMYFUNCTION("""COMPUTED_VALUE"""),"Señal MOPU T.D. 175 cm NI")</f>
        <v>Señal MOPU T.D. 175 cm NI</v>
      </c>
      <c r="C1855" s="4">
        <f>IFERROR(__xludf.DUMMYFUNCTION("""COMPUTED_VALUE"""),195.16)</f>
        <v>195.16</v>
      </c>
      <c r="D1855" s="4"/>
      <c r="E1855" s="4" t="str">
        <f>IFERROR(__xludf.DUMMYFUNCTION("""COMPUTED_VALUE"""),"Sin precio neto")</f>
        <v>Sin precio neto</v>
      </c>
    </row>
    <row r="1856">
      <c r="A1856" s="4" t="str">
        <f>IFERROR(__xludf.DUMMYFUNCTION("""COMPUTED_VALUE"""),"90175N2")</f>
        <v>90175N2</v>
      </c>
      <c r="B1856" s="4" t="str">
        <f>IFERROR(__xludf.DUMMYFUNCTION("""COMPUTED_VALUE"""),"Señal MOPU T.D. 175 cm NII")</f>
        <v>Señal MOPU T.D. 175 cm NII</v>
      </c>
      <c r="C1856" s="4">
        <f>IFERROR(__xludf.DUMMYFUNCTION("""COMPUTED_VALUE"""),218.63)</f>
        <v>218.63</v>
      </c>
      <c r="D1856" s="4"/>
      <c r="E1856" s="4" t="str">
        <f>IFERROR(__xludf.DUMMYFUNCTION("""COMPUTED_VALUE"""),"Sin precio neto")</f>
        <v>Sin precio neto</v>
      </c>
    </row>
    <row r="1857">
      <c r="A1857" s="4" t="str">
        <f>IFERROR(__xludf.DUMMYFUNCTION("""COMPUTED_VALUE"""),"90175N3")</f>
        <v>90175N3</v>
      </c>
      <c r="B1857" s="4" t="str">
        <f>IFERROR(__xludf.DUMMYFUNCTION("""COMPUTED_VALUE"""),"Señal MOPU T.D. 175 cm NIII")</f>
        <v>Señal MOPU T.D. 175 cm NIII</v>
      </c>
      <c r="C1857" s="4">
        <f>IFERROR(__xludf.DUMMYFUNCTION("""COMPUTED_VALUE"""),313.99)</f>
        <v>313.99</v>
      </c>
      <c r="D1857" s="4"/>
      <c r="E1857" s="4" t="str">
        <f>IFERROR(__xludf.DUMMYFUNCTION("""COMPUTED_VALUE"""),"Sin precio neto")</f>
        <v>Sin precio neto</v>
      </c>
    </row>
    <row r="1858">
      <c r="A1858" s="4" t="str">
        <f>IFERROR(__xludf.DUMMYFUNCTION("""COMPUTED_VALUE"""),"9070N")</f>
        <v>9070N</v>
      </c>
      <c r="B1858" s="4" t="str">
        <f>IFERROR(__xludf.DUMMYFUNCTION("""COMPUTED_VALUE"""),"Señal MOPU T.D. 70 cm N")</f>
        <v>Señal MOPU T.D. 70 cm N</v>
      </c>
      <c r="C1858" s="4">
        <f>IFERROR(__xludf.DUMMYFUNCTION("""COMPUTED_VALUE"""),28.96)</f>
        <v>28.96</v>
      </c>
      <c r="D1858" s="4"/>
      <c r="E1858" s="4" t="str">
        <f>IFERROR(__xludf.DUMMYFUNCTION("""COMPUTED_VALUE"""),"Sin precio neto")</f>
        <v>Sin precio neto</v>
      </c>
    </row>
    <row r="1859">
      <c r="A1859" s="4" t="str">
        <f>IFERROR(__xludf.DUMMYFUNCTION("""COMPUTED_VALUE"""),"9070N1")</f>
        <v>9070N1</v>
      </c>
      <c r="B1859" s="4" t="str">
        <f>IFERROR(__xludf.DUMMYFUNCTION("""COMPUTED_VALUE"""),"Señal MOPU T.D. 70 cm NI")</f>
        <v>Señal MOPU T.D. 70 cm NI</v>
      </c>
      <c r="C1859" s="4">
        <f>IFERROR(__xludf.DUMMYFUNCTION("""COMPUTED_VALUE"""),36.06)</f>
        <v>36.06</v>
      </c>
      <c r="D1859" s="4"/>
      <c r="E1859" s="4" t="str">
        <f>IFERROR(__xludf.DUMMYFUNCTION("""COMPUTED_VALUE"""),"Sin precio neto")</f>
        <v>Sin precio neto</v>
      </c>
    </row>
    <row r="1860">
      <c r="A1860" s="4" t="str">
        <f>IFERROR(__xludf.DUMMYFUNCTION("""COMPUTED_VALUE"""),"9070N2")</f>
        <v>9070N2</v>
      </c>
      <c r="B1860" s="4" t="str">
        <f>IFERROR(__xludf.DUMMYFUNCTION("""COMPUTED_VALUE"""),"Señal MOPU T.D. 70 cm NII")</f>
        <v>Señal MOPU T.D. 70 cm NII</v>
      </c>
      <c r="C1860" s="4">
        <f>IFERROR(__xludf.DUMMYFUNCTION("""COMPUTED_VALUE"""),45.07)</f>
        <v>45.07</v>
      </c>
      <c r="D1860" s="4"/>
      <c r="E1860" s="4" t="str">
        <f>IFERROR(__xludf.DUMMYFUNCTION("""COMPUTED_VALUE"""),"Sin precio neto")</f>
        <v>Sin precio neto</v>
      </c>
    </row>
    <row r="1861">
      <c r="A1861" s="4" t="str">
        <f>IFERROR(__xludf.DUMMYFUNCTION("""COMPUTED_VALUE"""),"9070N3")</f>
        <v>9070N3</v>
      </c>
      <c r="B1861" s="4" t="str">
        <f>IFERROR(__xludf.DUMMYFUNCTION("""COMPUTED_VALUE"""),"Señal MOPU T.D. 70 cm NIII")</f>
        <v>Señal MOPU T.D. 70 cm NIII</v>
      </c>
      <c r="C1861" s="4">
        <f>IFERROR(__xludf.DUMMYFUNCTION("""COMPUTED_VALUE"""),59.4)</f>
        <v>59.4</v>
      </c>
      <c r="D1861" s="4"/>
      <c r="E1861" s="4" t="str">
        <f>IFERROR(__xludf.DUMMYFUNCTION("""COMPUTED_VALUE"""),"Sin precio neto")</f>
        <v>Sin precio neto</v>
      </c>
    </row>
    <row r="1862">
      <c r="A1862" s="4" t="str">
        <f>IFERROR(__xludf.DUMMYFUNCTION("""COMPUTED_VALUE"""),"9090N")</f>
        <v>9090N</v>
      </c>
      <c r="B1862" s="4" t="str">
        <f>IFERROR(__xludf.DUMMYFUNCTION("""COMPUTED_VALUE"""),"Señal MOPU T.D. 90 cm N")</f>
        <v>Señal MOPU T.D. 90 cm N</v>
      </c>
      <c r="C1862" s="4">
        <f>IFERROR(__xludf.DUMMYFUNCTION("""COMPUTED_VALUE"""),41.66)</f>
        <v>41.66</v>
      </c>
      <c r="D1862" s="4"/>
      <c r="E1862" s="4" t="str">
        <f>IFERROR(__xludf.DUMMYFUNCTION("""COMPUTED_VALUE"""),"Sin precio neto")</f>
        <v>Sin precio neto</v>
      </c>
    </row>
    <row r="1863">
      <c r="A1863" s="4" t="str">
        <f>IFERROR(__xludf.DUMMYFUNCTION("""COMPUTED_VALUE"""),"9090N1")</f>
        <v>9090N1</v>
      </c>
      <c r="B1863" s="4" t="str">
        <f>IFERROR(__xludf.DUMMYFUNCTION("""COMPUTED_VALUE"""),"Señal MOPU T.D. 90 cm NI")</f>
        <v>Señal MOPU T.D. 90 cm NI</v>
      </c>
      <c r="C1863" s="4">
        <f>IFERROR(__xludf.DUMMYFUNCTION("""COMPUTED_VALUE"""),50.9)</f>
        <v>50.9</v>
      </c>
      <c r="D1863" s="4"/>
      <c r="E1863" s="4" t="str">
        <f>IFERROR(__xludf.DUMMYFUNCTION("""COMPUTED_VALUE"""),"Sin precio neto")</f>
        <v>Sin precio neto</v>
      </c>
    </row>
    <row r="1864">
      <c r="A1864" s="4" t="str">
        <f>IFERROR(__xludf.DUMMYFUNCTION("""COMPUTED_VALUE"""),"9090N2")</f>
        <v>9090N2</v>
      </c>
      <c r="B1864" s="4" t="str">
        <f>IFERROR(__xludf.DUMMYFUNCTION("""COMPUTED_VALUE"""),"Señal MOPU T.D. 90 cm NII")</f>
        <v>Señal MOPU T.D. 90 cm NII</v>
      </c>
      <c r="C1864" s="4">
        <f>IFERROR(__xludf.DUMMYFUNCTION("""COMPUTED_VALUE"""),66.33)</f>
        <v>66.33</v>
      </c>
      <c r="D1864" s="4"/>
      <c r="E1864" s="4" t="str">
        <f>IFERROR(__xludf.DUMMYFUNCTION("""COMPUTED_VALUE"""),"Sin precio neto")</f>
        <v>Sin precio neto</v>
      </c>
    </row>
    <row r="1865">
      <c r="A1865" s="4" t="str">
        <f>IFERROR(__xludf.DUMMYFUNCTION("""COMPUTED_VALUE"""),"9090N3")</f>
        <v>9090N3</v>
      </c>
      <c r="B1865" s="4" t="str">
        <f>IFERROR(__xludf.DUMMYFUNCTION("""COMPUTED_VALUE"""),"Señal MOPU T.D. 90 cm NIII")</f>
        <v>Señal MOPU T.D. 90 cm NIII</v>
      </c>
      <c r="C1865" s="4">
        <f>IFERROR(__xludf.DUMMYFUNCTION("""COMPUTED_VALUE"""),88.14)</f>
        <v>88.14</v>
      </c>
      <c r="D1865" s="4"/>
      <c r="E1865" s="4" t="str">
        <f>IFERROR(__xludf.DUMMYFUNCTION("""COMPUTED_VALUE"""),"Sin precio neto")</f>
        <v>Sin precio neto</v>
      </c>
    </row>
    <row r="1866">
      <c r="A1866" s="4" t="str">
        <f>IFERROR(__xludf.DUMMYFUNCTION("""COMPUTED_VALUE"""),"91120N")</f>
        <v>91120N</v>
      </c>
      <c r="B1866" s="4" t="str">
        <f>IFERROR(__xludf.DUMMYFUNCTION("""COMPUTED_VALUE"""),"Señal MOPU R.D. 120cm N")</f>
        <v>Señal MOPU R.D. 120cm N</v>
      </c>
      <c r="C1866" s="4">
        <f>IFERROR(__xludf.DUMMYFUNCTION("""COMPUTED_VALUE"""),131.25)</f>
        <v>131.25</v>
      </c>
      <c r="D1866" s="4"/>
      <c r="E1866" s="4" t="str">
        <f>IFERROR(__xludf.DUMMYFUNCTION("""COMPUTED_VALUE"""),"Sin precio neto")</f>
        <v>Sin precio neto</v>
      </c>
    </row>
    <row r="1867">
      <c r="A1867" s="4" t="str">
        <f>IFERROR(__xludf.DUMMYFUNCTION("""COMPUTED_VALUE"""),"91120N1")</f>
        <v>91120N1</v>
      </c>
      <c r="B1867" s="4" t="str">
        <f>IFERROR(__xludf.DUMMYFUNCTION("""COMPUTED_VALUE"""),"Señal MOPU R.D. 120cm NI")</f>
        <v>Señal MOPU R.D. 120cm NI</v>
      </c>
      <c r="C1867" s="4">
        <f>IFERROR(__xludf.DUMMYFUNCTION("""COMPUTED_VALUE"""),164.52)</f>
        <v>164.52</v>
      </c>
      <c r="D1867" s="4"/>
      <c r="E1867" s="4" t="str">
        <f>IFERROR(__xludf.DUMMYFUNCTION("""COMPUTED_VALUE"""),"Sin precio neto")</f>
        <v>Sin precio neto</v>
      </c>
    </row>
    <row r="1868">
      <c r="A1868" s="4" t="str">
        <f>IFERROR(__xludf.DUMMYFUNCTION("""COMPUTED_VALUE"""),"91120N2")</f>
        <v>91120N2</v>
      </c>
      <c r="B1868" s="4" t="str">
        <f>IFERROR(__xludf.DUMMYFUNCTION("""COMPUTED_VALUE"""),"Señal MOPU R.D. 120 cm NII")</f>
        <v>Señal MOPU R.D. 120 cm NII</v>
      </c>
      <c r="C1868" s="4">
        <f>IFERROR(__xludf.DUMMYFUNCTION("""COMPUTED_VALUE"""),194.48)</f>
        <v>194.48</v>
      </c>
      <c r="D1868" s="4"/>
      <c r="E1868" s="4" t="str">
        <f>IFERROR(__xludf.DUMMYFUNCTION("""COMPUTED_VALUE"""),"Sin precio neto")</f>
        <v>Sin precio neto</v>
      </c>
    </row>
    <row r="1869">
      <c r="A1869" s="4" t="str">
        <f>IFERROR(__xludf.DUMMYFUNCTION("""COMPUTED_VALUE"""),"91120N3")</f>
        <v>91120N3</v>
      </c>
      <c r="B1869" s="4" t="str">
        <f>IFERROR(__xludf.DUMMYFUNCTION("""COMPUTED_VALUE"""),"Señal MOPU R.D. 120 cm NIII")</f>
        <v>Señal MOPU R.D. 120 cm NIII</v>
      </c>
      <c r="C1869" s="4">
        <f>IFERROR(__xludf.DUMMYFUNCTION("""COMPUTED_VALUE"""),289.76)</f>
        <v>289.76</v>
      </c>
      <c r="D1869" s="4"/>
      <c r="E1869" s="4" t="str">
        <f>IFERROR(__xludf.DUMMYFUNCTION("""COMPUTED_VALUE"""),"Sin precio neto")</f>
        <v>Sin precio neto</v>
      </c>
    </row>
    <row r="1870">
      <c r="A1870" s="4" t="str">
        <f>IFERROR(__xludf.DUMMYFUNCTION("""COMPUTED_VALUE"""),"9160N")</f>
        <v>9160N</v>
      </c>
      <c r="B1870" s="4" t="str">
        <f>IFERROR(__xludf.DUMMYFUNCTION("""COMPUTED_VALUE"""),"Señal MOPU R.D. 60 cm N")</f>
        <v>Señal MOPU R.D. 60 cm N</v>
      </c>
      <c r="C1870" s="4">
        <f>IFERROR(__xludf.DUMMYFUNCTION("""COMPUTED_VALUE"""),35.98)</f>
        <v>35.98</v>
      </c>
      <c r="D1870" s="4"/>
      <c r="E1870" s="4" t="str">
        <f>IFERROR(__xludf.DUMMYFUNCTION("""COMPUTED_VALUE"""),"Sin precio neto")</f>
        <v>Sin precio neto</v>
      </c>
    </row>
    <row r="1871">
      <c r="A1871" s="4" t="str">
        <f>IFERROR(__xludf.DUMMYFUNCTION("""COMPUTED_VALUE"""),"9160N1")</f>
        <v>9160N1</v>
      </c>
      <c r="B1871" s="4" t="str">
        <f>IFERROR(__xludf.DUMMYFUNCTION("""COMPUTED_VALUE"""),"Señal MOPU R.D. 60 cm NI")</f>
        <v>Señal MOPU R.D. 60 cm NI</v>
      </c>
      <c r="C1871" s="4">
        <f>IFERROR(__xludf.DUMMYFUNCTION("""COMPUTED_VALUE"""),41.48)</f>
        <v>41.48</v>
      </c>
      <c r="D1871" s="4"/>
      <c r="E1871" s="4" t="str">
        <f>IFERROR(__xludf.DUMMYFUNCTION("""COMPUTED_VALUE"""),"Sin precio neto")</f>
        <v>Sin precio neto</v>
      </c>
    </row>
    <row r="1872">
      <c r="A1872" s="4" t="str">
        <f>IFERROR(__xludf.DUMMYFUNCTION("""COMPUTED_VALUE"""),"9160N2")</f>
        <v>9160N2</v>
      </c>
      <c r="B1872" s="4" t="str">
        <f>IFERROR(__xludf.DUMMYFUNCTION("""COMPUTED_VALUE"""),"Señal MOPU R.D. 60 cm NII")</f>
        <v>Señal MOPU R.D. 60 cm NII</v>
      </c>
      <c r="C1872" s="4">
        <f>IFERROR(__xludf.DUMMYFUNCTION("""COMPUTED_VALUE"""),59.26)</f>
        <v>59.26</v>
      </c>
      <c r="D1872" s="4"/>
      <c r="E1872" s="4" t="str">
        <f>IFERROR(__xludf.DUMMYFUNCTION("""COMPUTED_VALUE"""),"Sin precio neto")</f>
        <v>Sin precio neto</v>
      </c>
    </row>
    <row r="1873">
      <c r="A1873" s="4" t="str">
        <f>IFERROR(__xludf.DUMMYFUNCTION("""COMPUTED_VALUE"""),"9160N3")</f>
        <v>9160N3</v>
      </c>
      <c r="B1873" s="4" t="str">
        <f>IFERROR(__xludf.DUMMYFUNCTION("""COMPUTED_VALUE"""),"Señal MOPU R.D, 60 cm NIII")</f>
        <v>Señal MOPU R.D, 60 cm NIII</v>
      </c>
      <c r="C1873" s="4">
        <f>IFERROR(__xludf.DUMMYFUNCTION("""COMPUTED_VALUE"""),80.94)</f>
        <v>80.94</v>
      </c>
      <c r="D1873" s="4"/>
      <c r="E1873" s="4" t="str">
        <f>IFERROR(__xludf.DUMMYFUNCTION("""COMPUTED_VALUE"""),"Sin precio neto")</f>
        <v>Sin precio neto</v>
      </c>
    </row>
    <row r="1874">
      <c r="A1874" s="4" t="str">
        <f>IFERROR(__xludf.DUMMYFUNCTION("""COMPUTED_VALUE"""),"9160NE")</f>
        <v>9160NE</v>
      </c>
      <c r="B1874" s="4" t="str">
        <f>IFERROR(__xludf.DUMMYFUNCTION("""COMPUTED_VALUE"""),"Señal cuadrada 60 cm Normal recarga eléctrica")</f>
        <v>Señal cuadrada 60 cm Normal recarga eléctrica</v>
      </c>
      <c r="C1874" s="4">
        <f>IFERROR(__xludf.DUMMYFUNCTION("""COMPUTED_VALUE"""),31.0)</f>
        <v>31</v>
      </c>
      <c r="D1874" s="4"/>
      <c r="E1874" s="4" t="str">
        <f>IFERROR(__xludf.DUMMYFUNCTION("""COMPUTED_VALUE"""),"Sin precio neto")</f>
        <v>Sin precio neto</v>
      </c>
    </row>
    <row r="1875">
      <c r="A1875" s="4" t="str">
        <f>IFERROR(__xludf.DUMMYFUNCTION("""COMPUTED_VALUE"""),"9190N")</f>
        <v>9190N</v>
      </c>
      <c r="B1875" s="4" t="str">
        <f>IFERROR(__xludf.DUMMYFUNCTION("""COMPUTED_VALUE"""),"Señal MOPU R.D. 90 cm N")</f>
        <v>Señal MOPU R.D. 90 cm N</v>
      </c>
      <c r="C1875" s="4">
        <f>IFERROR(__xludf.DUMMYFUNCTION("""COMPUTED_VALUE"""),79.11)</f>
        <v>79.11</v>
      </c>
      <c r="D1875" s="4"/>
      <c r="E1875" s="4" t="str">
        <f>IFERROR(__xludf.DUMMYFUNCTION("""COMPUTED_VALUE"""),"Sin precio neto")</f>
        <v>Sin precio neto</v>
      </c>
    </row>
    <row r="1876">
      <c r="A1876" s="4" t="str">
        <f>IFERROR(__xludf.DUMMYFUNCTION("""COMPUTED_VALUE"""),"9190N1")</f>
        <v>9190N1</v>
      </c>
      <c r="B1876" s="4" t="str">
        <f>IFERROR(__xludf.DUMMYFUNCTION("""COMPUTED_VALUE"""),"Señal MOPU R.D. 90 cm NI")</f>
        <v>Señal MOPU R.D. 90 cm NI</v>
      </c>
      <c r="C1876" s="4">
        <f>IFERROR(__xludf.DUMMYFUNCTION("""COMPUTED_VALUE"""),87.52)</f>
        <v>87.52</v>
      </c>
      <c r="D1876" s="4"/>
      <c r="E1876" s="4" t="str">
        <f>IFERROR(__xludf.DUMMYFUNCTION("""COMPUTED_VALUE"""),"Sin precio neto")</f>
        <v>Sin precio neto</v>
      </c>
    </row>
    <row r="1877">
      <c r="A1877" s="4" t="str">
        <f>IFERROR(__xludf.DUMMYFUNCTION("""COMPUTED_VALUE"""),"9190N2")</f>
        <v>9190N2</v>
      </c>
      <c r="B1877" s="4" t="str">
        <f>IFERROR(__xludf.DUMMYFUNCTION("""COMPUTED_VALUE"""),"Señal MOPU R.D. 90 cm NII")</f>
        <v>Señal MOPU R.D. 90 cm NII</v>
      </c>
      <c r="C1877" s="4">
        <f>IFERROR(__xludf.DUMMYFUNCTION("""COMPUTED_VALUE"""),114.17)</f>
        <v>114.17</v>
      </c>
      <c r="D1877" s="4"/>
      <c r="E1877" s="4" t="str">
        <f>IFERROR(__xludf.DUMMYFUNCTION("""COMPUTED_VALUE"""),"Sin precio neto")</f>
        <v>Sin precio neto</v>
      </c>
    </row>
    <row r="1878">
      <c r="A1878" s="4" t="str">
        <f>IFERROR(__xludf.DUMMYFUNCTION("""COMPUTED_VALUE"""),"9190N3")</f>
        <v>9190N3</v>
      </c>
      <c r="B1878" s="4" t="str">
        <f>IFERROR(__xludf.DUMMYFUNCTION("""COMPUTED_VALUE"""),"Señal MOPU R.D. 90 cm NIII")</f>
        <v>Señal MOPU R.D. 90 cm NIII</v>
      </c>
      <c r="C1878" s="4">
        <f>IFERROR(__xludf.DUMMYFUNCTION("""COMPUTED_VALUE"""),172.51)</f>
        <v>172.51</v>
      </c>
      <c r="D1878" s="4"/>
      <c r="E1878" s="4" t="str">
        <f>IFERROR(__xludf.DUMMYFUNCTION("""COMPUTED_VALUE"""),"Sin precio neto")</f>
        <v>Sin precio neto</v>
      </c>
    </row>
    <row r="1879">
      <c r="A1879" s="4" t="str">
        <f>IFERROR(__xludf.DUMMYFUNCTION("""COMPUTED_VALUE"""),"9210")</f>
        <v>9210</v>
      </c>
      <c r="B1879" s="4" t="str">
        <f>IFERROR(__xludf.DUMMYFUNCTION("""COMPUTED_VALUE"""),"Pack 10 uds adhesivos 10x15 riesgo electrico")</f>
        <v>Pack 10 uds adhesivos 10x15 riesgo electrico</v>
      </c>
      <c r="C1879" s="4">
        <f>IFERROR(__xludf.DUMMYFUNCTION("""COMPUTED_VALUE"""),4.2)</f>
        <v>4.2</v>
      </c>
      <c r="D1879" s="4"/>
      <c r="E1879" s="4" t="str">
        <f>IFERROR(__xludf.DUMMYFUNCTION("""COMPUTED_VALUE"""),"Sin precio neto")</f>
        <v>Sin precio neto</v>
      </c>
    </row>
    <row r="1880">
      <c r="A1880" s="4" t="str">
        <f>IFERROR(__xludf.DUMMYFUNCTION("""COMPUTED_VALUE"""),"925170N2")</f>
        <v>925170N2</v>
      </c>
      <c r="B1880" s="4" t="str">
        <f>IFERROR(__xludf.DUMMYFUNCTION("""COMPUTED_VALUE"""),"Señal MOPU informativa 25x170 cm Reflex II")</f>
        <v>Señal MOPU informativa 25x170 cm Reflex II</v>
      </c>
      <c r="C1880" s="4">
        <f>IFERROR(__xludf.DUMMYFUNCTION("""COMPUTED_VALUE"""),104.4)</f>
        <v>104.4</v>
      </c>
      <c r="D1880" s="4"/>
      <c r="E1880" s="4" t="str">
        <f>IFERROR(__xludf.DUMMYFUNCTION("""COMPUTED_VALUE"""),"Sin precio neto")</f>
        <v>Sin precio neto</v>
      </c>
    </row>
    <row r="1881">
      <c r="A1881" s="4" t="str">
        <f>IFERROR(__xludf.DUMMYFUNCTION("""COMPUTED_VALUE"""),"9260N")</f>
        <v>9260N</v>
      </c>
      <c r="B1881" s="4" t="str">
        <f>IFERROR(__xludf.DUMMYFUNCTION("""COMPUTED_VALUE"""),"Señal MOPU R2 60 cm N")</f>
        <v>Señal MOPU R2 60 cm N</v>
      </c>
      <c r="C1881" s="4">
        <f>IFERROR(__xludf.DUMMYFUNCTION("""COMPUTED_VALUE"""),31.95)</f>
        <v>31.95</v>
      </c>
      <c r="D1881" s="4"/>
      <c r="E1881" s="4" t="str">
        <f>IFERROR(__xludf.DUMMYFUNCTION("""COMPUTED_VALUE"""),"Sin precio neto")</f>
        <v>Sin precio neto</v>
      </c>
    </row>
    <row r="1882">
      <c r="A1882" s="4" t="str">
        <f>IFERROR(__xludf.DUMMYFUNCTION("""COMPUTED_VALUE"""),"9260N1")</f>
        <v>9260N1</v>
      </c>
      <c r="B1882" s="4" t="str">
        <f>IFERROR(__xludf.DUMMYFUNCTION("""COMPUTED_VALUE"""),"Señal MOPU R2 60 cm NI")</f>
        <v>Señal MOPU R2 60 cm NI</v>
      </c>
      <c r="C1882" s="4">
        <f>IFERROR(__xludf.DUMMYFUNCTION("""COMPUTED_VALUE"""),43.45)</f>
        <v>43.45</v>
      </c>
      <c r="D1882" s="4"/>
      <c r="E1882" s="4" t="str">
        <f>IFERROR(__xludf.DUMMYFUNCTION("""COMPUTED_VALUE"""),"Sin precio neto")</f>
        <v>Sin precio neto</v>
      </c>
    </row>
    <row r="1883">
      <c r="A1883" s="4" t="str">
        <f>IFERROR(__xludf.DUMMYFUNCTION("""COMPUTED_VALUE"""),"9260N2")</f>
        <v>9260N2</v>
      </c>
      <c r="B1883" s="4" t="str">
        <f>IFERROR(__xludf.DUMMYFUNCTION("""COMPUTED_VALUE"""),"Señal MOPU R2 60 cm NII")</f>
        <v>Señal MOPU R2 60 cm NII</v>
      </c>
      <c r="C1883" s="4">
        <f>IFERROR(__xludf.DUMMYFUNCTION("""COMPUTED_VALUE"""),62.2)</f>
        <v>62.2</v>
      </c>
      <c r="D1883" s="4"/>
      <c r="E1883" s="4" t="str">
        <f>IFERROR(__xludf.DUMMYFUNCTION("""COMPUTED_VALUE"""),"Sin precio neto")</f>
        <v>Sin precio neto</v>
      </c>
    </row>
    <row r="1884">
      <c r="A1884" s="4" t="str">
        <f>IFERROR(__xludf.DUMMYFUNCTION("""COMPUTED_VALUE"""),"9260N3")</f>
        <v>9260N3</v>
      </c>
      <c r="B1884" s="4" t="str">
        <f>IFERROR(__xludf.DUMMYFUNCTION("""COMPUTED_VALUE"""),"Señal MOPU R2 60 cm NIII")</f>
        <v>Señal MOPU R2 60 cm NIII</v>
      </c>
      <c r="C1884" s="4">
        <f>IFERROR(__xludf.DUMMYFUNCTION("""COMPUTED_VALUE"""),76.47)</f>
        <v>76.47</v>
      </c>
      <c r="D1884" s="4"/>
      <c r="E1884" s="4" t="str">
        <f>IFERROR(__xludf.DUMMYFUNCTION("""COMPUTED_VALUE"""),"Sin precio neto")</f>
        <v>Sin precio neto</v>
      </c>
    </row>
    <row r="1885">
      <c r="A1885" s="4" t="str">
        <f>IFERROR(__xludf.DUMMYFUNCTION("""COMPUTED_VALUE"""),"9290N")</f>
        <v>9290N</v>
      </c>
      <c r="B1885" s="4" t="str">
        <f>IFERROR(__xludf.DUMMYFUNCTION("""COMPUTED_VALUE"""),"Señal MOPU R2 90 cm N")</f>
        <v>Señal MOPU R2 90 cm N</v>
      </c>
      <c r="C1885" s="4">
        <f>IFERROR(__xludf.DUMMYFUNCTION("""COMPUTED_VALUE"""),69.22)</f>
        <v>69.22</v>
      </c>
      <c r="D1885" s="4"/>
      <c r="E1885" s="4" t="str">
        <f>IFERROR(__xludf.DUMMYFUNCTION("""COMPUTED_VALUE"""),"Sin precio neto")</f>
        <v>Sin precio neto</v>
      </c>
    </row>
    <row r="1886">
      <c r="A1886" s="4" t="str">
        <f>IFERROR(__xludf.DUMMYFUNCTION("""COMPUTED_VALUE"""),"9290N1")</f>
        <v>9290N1</v>
      </c>
      <c r="B1886" s="4" t="str">
        <f>IFERROR(__xludf.DUMMYFUNCTION("""COMPUTED_VALUE"""),"Señal MOPU R2 90 cm NI")</f>
        <v>Señal MOPU R2 90 cm NI</v>
      </c>
      <c r="C1886" s="4">
        <f>IFERROR(__xludf.DUMMYFUNCTION("""COMPUTED_VALUE"""),84.1)</f>
        <v>84.1</v>
      </c>
      <c r="D1886" s="4"/>
      <c r="E1886" s="4" t="str">
        <f>IFERROR(__xludf.DUMMYFUNCTION("""COMPUTED_VALUE"""),"Sin precio neto")</f>
        <v>Sin precio neto</v>
      </c>
    </row>
    <row r="1887">
      <c r="A1887" s="4" t="str">
        <f>IFERROR(__xludf.DUMMYFUNCTION("""COMPUTED_VALUE"""),"9290N2")</f>
        <v>9290N2</v>
      </c>
      <c r="B1887" s="4" t="str">
        <f>IFERROR(__xludf.DUMMYFUNCTION("""COMPUTED_VALUE"""),"Señal MOPU R2 90 cm NII")</f>
        <v>Señal MOPU R2 90 cm NII</v>
      </c>
      <c r="C1887" s="4">
        <f>IFERROR(__xludf.DUMMYFUNCTION("""COMPUTED_VALUE"""),122.57)</f>
        <v>122.57</v>
      </c>
      <c r="D1887" s="4"/>
      <c r="E1887" s="4" t="str">
        <f>IFERROR(__xludf.DUMMYFUNCTION("""COMPUTED_VALUE"""),"Sin precio neto")</f>
        <v>Sin precio neto</v>
      </c>
    </row>
    <row r="1888">
      <c r="A1888" s="4" t="str">
        <f>IFERROR(__xludf.DUMMYFUNCTION("""COMPUTED_VALUE"""),"9290N3")</f>
        <v>9290N3</v>
      </c>
      <c r="B1888" s="4" t="str">
        <f>IFERROR(__xludf.DUMMYFUNCTION("""COMPUTED_VALUE"""),"Señal MOPU R2 90 cm NIII")</f>
        <v>Señal MOPU R2 90 cm NIII</v>
      </c>
      <c r="C1888" s="4">
        <f>IFERROR(__xludf.DUMMYFUNCTION("""COMPUTED_VALUE"""),163.19)</f>
        <v>163.19</v>
      </c>
      <c r="D1888" s="4"/>
      <c r="E1888" s="4" t="str">
        <f>IFERROR(__xludf.DUMMYFUNCTION("""COMPUTED_VALUE"""),"Sin precio neto")</f>
        <v>Sin precio neto</v>
      </c>
    </row>
    <row r="1889">
      <c r="A1889" s="4" t="str">
        <f>IFERROR(__xludf.DUMMYFUNCTION("""COMPUTED_VALUE"""),"9340N")</f>
        <v>9340N</v>
      </c>
      <c r="B1889" s="4" t="str">
        <f>IFERROR(__xludf.DUMMYFUNCTION("""COMPUTED_VALUE"""),"Señal MOPU C.D. 40x40cm N")</f>
        <v>Señal MOPU C.D. 40x40cm N</v>
      </c>
      <c r="C1889" s="4">
        <f>IFERROR(__xludf.DUMMYFUNCTION("""COMPUTED_VALUE"""),23.52)</f>
        <v>23.52</v>
      </c>
      <c r="D1889" s="4"/>
      <c r="E1889" s="4" t="str">
        <f>IFERROR(__xludf.DUMMYFUNCTION("""COMPUTED_VALUE"""),"Sin precio neto")</f>
        <v>Sin precio neto</v>
      </c>
    </row>
    <row r="1890">
      <c r="A1890" s="4" t="str">
        <f>IFERROR(__xludf.DUMMYFUNCTION("""COMPUTED_VALUE"""),"9340N1")</f>
        <v>9340N1</v>
      </c>
      <c r="B1890" s="4" t="str">
        <f>IFERROR(__xludf.DUMMYFUNCTION("""COMPUTED_VALUE"""),"Señal MOPU C.D, 40x40cm NI")</f>
        <v>Señal MOPU C.D, 40x40cm NI</v>
      </c>
      <c r="C1890" s="4">
        <f>IFERROR(__xludf.DUMMYFUNCTION("""COMPUTED_VALUE"""),26.79)</f>
        <v>26.79</v>
      </c>
      <c r="D1890" s="4"/>
      <c r="E1890" s="4" t="str">
        <f>IFERROR(__xludf.DUMMYFUNCTION("""COMPUTED_VALUE"""),"Sin precio neto")</f>
        <v>Sin precio neto</v>
      </c>
    </row>
    <row r="1891">
      <c r="A1891" s="4" t="str">
        <f>IFERROR(__xludf.DUMMYFUNCTION("""COMPUTED_VALUE"""),"9340N2")</f>
        <v>9340N2</v>
      </c>
      <c r="B1891" s="4" t="str">
        <f>IFERROR(__xludf.DUMMYFUNCTION("""COMPUTED_VALUE"""),"Señal MOPU C.D. 40x40cm NII")</f>
        <v>Señal MOPU C.D. 40x40cm NII</v>
      </c>
      <c r="C1891" s="4">
        <f>IFERROR(__xludf.DUMMYFUNCTION("""COMPUTED_VALUE"""),37.48)</f>
        <v>37.48</v>
      </c>
      <c r="D1891" s="4"/>
      <c r="E1891" s="4" t="str">
        <f>IFERROR(__xludf.DUMMYFUNCTION("""COMPUTED_VALUE"""),"Sin precio neto")</f>
        <v>Sin precio neto</v>
      </c>
    </row>
    <row r="1892">
      <c r="A1892" s="4" t="str">
        <f>IFERROR(__xludf.DUMMYFUNCTION("""COMPUTED_VALUE"""),"9340N3")</f>
        <v>9340N3</v>
      </c>
      <c r="B1892" s="4" t="str">
        <f>IFERROR(__xludf.DUMMYFUNCTION("""COMPUTED_VALUE"""),"Señal MOPU C.D. 40x40 cm NIII")</f>
        <v>Señal MOPU C.D. 40x40 cm NIII</v>
      </c>
      <c r="C1892" s="4">
        <f>IFERROR(__xludf.DUMMYFUNCTION("""COMPUTED_VALUE"""),56.19)</f>
        <v>56.19</v>
      </c>
      <c r="D1892" s="4"/>
      <c r="E1892" s="4" t="str">
        <f>IFERROR(__xludf.DUMMYFUNCTION("""COMPUTED_VALUE"""),"Sin precio neto")</f>
        <v>Sin precio neto</v>
      </c>
    </row>
    <row r="1893">
      <c r="A1893" s="4" t="str">
        <f>IFERROR(__xludf.DUMMYFUNCTION("""COMPUTED_VALUE"""),"9360N")</f>
        <v>9360N</v>
      </c>
      <c r="B1893" s="4" t="str">
        <f>IFERROR(__xludf.DUMMYFUNCTION("""COMPUTED_VALUE"""),"Señal MOPU C.D. 60x60cm N")</f>
        <v>Señal MOPU C.D. 60x60cm N</v>
      </c>
      <c r="C1893" s="4">
        <f>IFERROR(__xludf.DUMMYFUNCTION("""COMPUTED_VALUE"""),31.25)</f>
        <v>31.25</v>
      </c>
      <c r="D1893" s="4"/>
      <c r="E1893" s="4" t="str">
        <f>IFERROR(__xludf.DUMMYFUNCTION("""COMPUTED_VALUE"""),"Sin precio neto")</f>
        <v>Sin precio neto</v>
      </c>
    </row>
    <row r="1894">
      <c r="A1894" s="4" t="str">
        <f>IFERROR(__xludf.DUMMYFUNCTION("""COMPUTED_VALUE"""),"9360N1")</f>
        <v>9360N1</v>
      </c>
      <c r="B1894" s="4" t="str">
        <f>IFERROR(__xludf.DUMMYFUNCTION("""COMPUTED_VALUE"""),"Señal MOPU C.D. 60x60cm NI")</f>
        <v>Señal MOPU C.D. 60x60cm NI</v>
      </c>
      <c r="C1894" s="4">
        <f>IFERROR(__xludf.DUMMYFUNCTION("""COMPUTED_VALUE"""),41.25)</f>
        <v>41.25</v>
      </c>
      <c r="D1894" s="4"/>
      <c r="E1894" s="4" t="str">
        <f>IFERROR(__xludf.DUMMYFUNCTION("""COMPUTED_VALUE"""),"Sin precio neto")</f>
        <v>Sin precio neto</v>
      </c>
    </row>
    <row r="1895">
      <c r="A1895" s="4" t="str">
        <f>IFERROR(__xludf.DUMMYFUNCTION("""COMPUTED_VALUE"""),"9360N2")</f>
        <v>9360N2</v>
      </c>
      <c r="B1895" s="4" t="str">
        <f>IFERROR(__xludf.DUMMYFUNCTION("""COMPUTED_VALUE"""),"Señal MOPU C.D. 60x60cm NII")</f>
        <v>Señal MOPU C.D. 60x60cm NII</v>
      </c>
      <c r="C1895" s="4">
        <f>IFERROR(__xludf.DUMMYFUNCTION("""COMPUTED_VALUE"""),49.25)</f>
        <v>49.25</v>
      </c>
      <c r="D1895" s="4"/>
      <c r="E1895" s="4" t="str">
        <f>IFERROR(__xludf.DUMMYFUNCTION("""COMPUTED_VALUE"""),"Sin precio neto")</f>
        <v>Sin precio neto</v>
      </c>
    </row>
    <row r="1896">
      <c r="A1896" s="4" t="str">
        <f>IFERROR(__xludf.DUMMYFUNCTION("""COMPUTED_VALUE"""),"9360N3")</f>
        <v>9360N3</v>
      </c>
      <c r="B1896" s="4" t="str">
        <f>IFERROR(__xludf.DUMMYFUNCTION("""COMPUTED_VALUE"""),"Señal MOPU C.D. 60x60cm NIII")</f>
        <v>Señal MOPU C.D. 60x60cm NIII</v>
      </c>
      <c r="C1896" s="4">
        <f>IFERROR(__xludf.DUMMYFUNCTION("""COMPUTED_VALUE"""),82.5)</f>
        <v>82.5</v>
      </c>
      <c r="D1896" s="4"/>
      <c r="E1896" s="4" t="str">
        <f>IFERROR(__xludf.DUMMYFUNCTION("""COMPUTED_VALUE"""),"Sin precio neto")</f>
        <v>Sin precio neto</v>
      </c>
    </row>
    <row r="1897">
      <c r="A1897" s="4" t="str">
        <f>IFERROR(__xludf.DUMMYFUNCTION("""COMPUTED_VALUE"""),"9390N")</f>
        <v>9390N</v>
      </c>
      <c r="B1897" s="4" t="str">
        <f>IFERROR(__xludf.DUMMYFUNCTION("""COMPUTED_VALUE"""),"Señal MOPU C.D. 90x90 cm N")</f>
        <v>Señal MOPU C.D. 90x90 cm N</v>
      </c>
      <c r="C1897" s="4">
        <f>IFERROR(__xludf.DUMMYFUNCTION("""COMPUTED_VALUE"""),69.25)</f>
        <v>69.25</v>
      </c>
      <c r="D1897" s="4"/>
      <c r="E1897" s="4" t="str">
        <f>IFERROR(__xludf.DUMMYFUNCTION("""COMPUTED_VALUE"""),"Sin precio neto")</f>
        <v>Sin precio neto</v>
      </c>
    </row>
    <row r="1898">
      <c r="A1898" s="4" t="str">
        <f>IFERROR(__xludf.DUMMYFUNCTION("""COMPUTED_VALUE"""),"9390N1")</f>
        <v>9390N1</v>
      </c>
      <c r="B1898" s="4" t="str">
        <f>IFERROR(__xludf.DUMMYFUNCTION("""COMPUTED_VALUE"""),"Señal MOPU C.D. 90x90 cm NI")</f>
        <v>Señal MOPU C.D. 90x90 cm NI</v>
      </c>
      <c r="C1898" s="4">
        <f>IFERROR(__xludf.DUMMYFUNCTION("""COMPUTED_VALUE"""),94.01)</f>
        <v>94.01</v>
      </c>
      <c r="D1898" s="4"/>
      <c r="E1898" s="4" t="str">
        <f>IFERROR(__xludf.DUMMYFUNCTION("""COMPUTED_VALUE"""),"Sin precio neto")</f>
        <v>Sin precio neto</v>
      </c>
    </row>
    <row r="1899">
      <c r="A1899" s="4" t="str">
        <f>IFERROR(__xludf.DUMMYFUNCTION("""COMPUTED_VALUE"""),"9390N2")</f>
        <v>9390N2</v>
      </c>
      <c r="B1899" s="4" t="str">
        <f>IFERROR(__xludf.DUMMYFUNCTION("""COMPUTED_VALUE"""),"Señal MOPU C.D. 90x90 cm NII")</f>
        <v>Señal MOPU C.D. 90x90 cm NII</v>
      </c>
      <c r="C1899" s="4">
        <f>IFERROR(__xludf.DUMMYFUNCTION("""COMPUTED_VALUE"""),136.82)</f>
        <v>136.82</v>
      </c>
      <c r="D1899" s="4"/>
      <c r="E1899" s="4" t="str">
        <f>IFERROR(__xludf.DUMMYFUNCTION("""COMPUTED_VALUE"""),"Sin precio neto")</f>
        <v>Sin precio neto</v>
      </c>
    </row>
    <row r="1900">
      <c r="A1900" s="4" t="str">
        <f>IFERROR(__xludf.DUMMYFUNCTION("""COMPUTED_VALUE"""),"9390N3")</f>
        <v>9390N3</v>
      </c>
      <c r="B1900" s="4" t="str">
        <f>IFERROR(__xludf.DUMMYFUNCTION("""COMPUTED_VALUE"""),"Señal MOPU C.D. 90x90 cm NIII")</f>
        <v>Señal MOPU C.D. 90x90 cm NIII</v>
      </c>
      <c r="C1900" s="4">
        <f>IFERROR(__xludf.DUMMYFUNCTION("""COMPUTED_VALUE"""),188.72)</f>
        <v>188.72</v>
      </c>
      <c r="D1900" s="4"/>
      <c r="E1900" s="4" t="str">
        <f>IFERROR(__xludf.DUMMYFUNCTION("""COMPUTED_VALUE"""),"Sin precio neto")</f>
        <v>Sin precio neto</v>
      </c>
    </row>
    <row r="1901">
      <c r="A1901" s="4" t="str">
        <f>IFERROR(__xludf.DUMMYFUNCTION("""COMPUTED_VALUE"""),"94120180N1")</f>
        <v>94120180N1</v>
      </c>
      <c r="B1901" s="4" t="str">
        <f>IFERROR(__xludf.DUMMYFUNCTION("""COMPUTED_VALUE"""),"Rectangulo MOPU 120x180 cm Reflex I")</f>
        <v>Rectangulo MOPU 120x180 cm Reflex I</v>
      </c>
      <c r="C1901" s="4">
        <f>IFERROR(__xludf.DUMMYFUNCTION("""COMPUTED_VALUE"""),218.25)</f>
        <v>218.25</v>
      </c>
      <c r="D1901" s="4"/>
      <c r="E1901" s="4" t="str">
        <f>IFERROR(__xludf.DUMMYFUNCTION("""COMPUTED_VALUE"""),"Sin precio neto")</f>
        <v>Sin precio neto</v>
      </c>
    </row>
    <row r="1902">
      <c r="A1902" s="4" t="str">
        <f>IFERROR(__xludf.DUMMYFUNCTION("""COMPUTED_VALUE"""),"94120180N2")</f>
        <v>94120180N2</v>
      </c>
      <c r="B1902" s="4" t="str">
        <f>IFERROR(__xludf.DUMMYFUNCTION("""COMPUTED_VALUE"""),"Rectangulo MOPU 120x180 cm Reflex II")</f>
        <v>Rectangulo MOPU 120x180 cm Reflex II</v>
      </c>
      <c r="C1902" s="4">
        <f>IFERROR(__xludf.DUMMYFUNCTION("""COMPUTED_VALUE"""),297.5)</f>
        <v>297.5</v>
      </c>
      <c r="D1902" s="4"/>
      <c r="E1902" s="4" t="str">
        <f>IFERROR(__xludf.DUMMYFUNCTION("""COMPUTED_VALUE"""),"Sin precio neto")</f>
        <v>Sin precio neto</v>
      </c>
    </row>
    <row r="1903">
      <c r="A1903" s="4" t="str">
        <f>IFERROR(__xludf.DUMMYFUNCTION("""COMPUTED_VALUE"""),"94120180N3")</f>
        <v>94120180N3</v>
      </c>
      <c r="B1903" s="4" t="str">
        <f>IFERROR(__xludf.DUMMYFUNCTION("""COMPUTED_VALUE"""),"Rectangulo MOPU 120x180 cm Reflex III")</f>
        <v>Rectangulo MOPU 120x180 cm Reflex III</v>
      </c>
      <c r="C1903" s="4">
        <f>IFERROR(__xludf.DUMMYFUNCTION("""COMPUTED_VALUE"""),427.5)</f>
        <v>427.5</v>
      </c>
      <c r="D1903" s="4"/>
      <c r="E1903" s="4" t="str">
        <f>IFERROR(__xludf.DUMMYFUNCTION("""COMPUTED_VALUE"""),"Sin precio neto")</f>
        <v>Sin precio neto</v>
      </c>
    </row>
    <row r="1904">
      <c r="A1904" s="4" t="str">
        <f>IFERROR(__xludf.DUMMYFUNCTION("""COMPUTED_VALUE"""),"94120210N1")</f>
        <v>94120210N1</v>
      </c>
      <c r="B1904" s="4" t="str">
        <f>IFERROR(__xludf.DUMMYFUNCTION("""COMPUTED_VALUE"""),"Rectangulo MOPU 120x210 cm Reflex I")</f>
        <v>Rectangulo MOPU 120x210 cm Reflex I</v>
      </c>
      <c r="C1904" s="4">
        <f>IFERROR(__xludf.DUMMYFUNCTION("""COMPUTED_VALUE"""),290.3)</f>
        <v>290.3</v>
      </c>
      <c r="D1904" s="4"/>
      <c r="E1904" s="4" t="str">
        <f>IFERROR(__xludf.DUMMYFUNCTION("""COMPUTED_VALUE"""),"Sin precio neto")</f>
        <v>Sin precio neto</v>
      </c>
    </row>
    <row r="1905">
      <c r="A1905" s="4" t="str">
        <f>IFERROR(__xludf.DUMMYFUNCTION("""COMPUTED_VALUE"""),"94120210N2")</f>
        <v>94120210N2</v>
      </c>
      <c r="B1905" s="4" t="str">
        <f>IFERROR(__xludf.DUMMYFUNCTION("""COMPUTED_VALUE"""),"Rectangulo MOPU 120x210 cm Reflex II")</f>
        <v>Rectangulo MOPU 120x210 cm Reflex II</v>
      </c>
      <c r="C1905" s="4">
        <f>IFERROR(__xludf.DUMMYFUNCTION("""COMPUTED_VALUE"""),440.0)</f>
        <v>440</v>
      </c>
      <c r="D1905" s="4"/>
      <c r="E1905" s="4" t="str">
        <f>IFERROR(__xludf.DUMMYFUNCTION("""COMPUTED_VALUE"""),"Sin precio neto")</f>
        <v>Sin precio neto</v>
      </c>
    </row>
    <row r="1906">
      <c r="A1906" s="4" t="str">
        <f>IFERROR(__xludf.DUMMYFUNCTION("""COMPUTED_VALUE"""),"94120210N3")</f>
        <v>94120210N3</v>
      </c>
      <c r="B1906" s="4" t="str">
        <f>IFERROR(__xludf.DUMMYFUNCTION("""COMPUTED_VALUE"""),"Rectangulo MOPU 120x210 cm Reflex III")</f>
        <v>Rectangulo MOPU 120x210 cm Reflex III</v>
      </c>
      <c r="C1906" s="4">
        <f>IFERROR(__xludf.DUMMYFUNCTION("""COMPUTED_VALUE"""),610.0)</f>
        <v>610</v>
      </c>
      <c r="D1906" s="4"/>
      <c r="E1906" s="4" t="str">
        <f>IFERROR(__xludf.DUMMYFUNCTION("""COMPUTED_VALUE"""),"Sin precio neto")</f>
        <v>Sin precio neto</v>
      </c>
    </row>
    <row r="1907">
      <c r="A1907" s="4" t="str">
        <f>IFERROR(__xludf.DUMMYFUNCTION("""COMPUTED_VALUE"""),"944060N")</f>
        <v>944060N</v>
      </c>
      <c r="B1907" s="4" t="str">
        <f>IFERROR(__xludf.DUMMYFUNCTION("""COMPUTED_VALUE"""),"Rectangulo MOPU 40x60 cm Normal")</f>
        <v>Rectangulo MOPU 40x60 cm Normal</v>
      </c>
      <c r="C1907" s="4">
        <f>IFERROR(__xludf.DUMMYFUNCTION("""COMPUTED_VALUE"""),33.0)</f>
        <v>33</v>
      </c>
      <c r="D1907" s="4"/>
      <c r="E1907" s="4" t="str">
        <f>IFERROR(__xludf.DUMMYFUNCTION("""COMPUTED_VALUE"""),"Sin precio neto")</f>
        <v>Sin precio neto</v>
      </c>
    </row>
    <row r="1908">
      <c r="A1908" s="4" t="str">
        <f>IFERROR(__xludf.DUMMYFUNCTION("""COMPUTED_VALUE"""),"944060N1")</f>
        <v>944060N1</v>
      </c>
      <c r="B1908" s="4" t="str">
        <f>IFERROR(__xludf.DUMMYFUNCTION("""COMPUTED_VALUE"""),"Rectangulo MOPU 40x60 cm Reflex I")</f>
        <v>Rectangulo MOPU 40x60 cm Reflex I</v>
      </c>
      <c r="C1908" s="4">
        <f>IFERROR(__xludf.DUMMYFUNCTION("""COMPUTED_VALUE"""),39.0)</f>
        <v>39</v>
      </c>
      <c r="D1908" s="4"/>
      <c r="E1908" s="4" t="str">
        <f>IFERROR(__xludf.DUMMYFUNCTION("""COMPUTED_VALUE"""),"Sin precio neto")</f>
        <v>Sin precio neto</v>
      </c>
    </row>
    <row r="1909">
      <c r="A1909" s="4" t="str">
        <f>IFERROR(__xludf.DUMMYFUNCTION("""COMPUTED_VALUE"""),"944060N2")</f>
        <v>944060N2</v>
      </c>
      <c r="B1909" s="4" t="str">
        <f>IFERROR(__xludf.DUMMYFUNCTION("""COMPUTED_VALUE"""),"Rectangulo MOPU 40x60 cm Reflex II")</f>
        <v>Rectangulo MOPU 40x60 cm Reflex II</v>
      </c>
      <c r="C1909" s="4">
        <f>IFERROR(__xludf.DUMMYFUNCTION("""COMPUTED_VALUE"""),43.0)</f>
        <v>43</v>
      </c>
      <c r="D1909" s="4"/>
      <c r="E1909" s="4" t="str">
        <f>IFERROR(__xludf.DUMMYFUNCTION("""COMPUTED_VALUE"""),"Sin precio neto")</f>
        <v>Sin precio neto</v>
      </c>
    </row>
    <row r="1910">
      <c r="A1910" s="4" t="str">
        <f>IFERROR(__xludf.DUMMYFUNCTION("""COMPUTED_VALUE"""),"944060N3")</f>
        <v>944060N3</v>
      </c>
      <c r="B1910" s="4" t="str">
        <f>IFERROR(__xludf.DUMMYFUNCTION("""COMPUTED_VALUE"""),"Rectangulo MOPU 40x60 cm Reflex III")</f>
        <v>Rectangulo MOPU 40x60 cm Reflex III</v>
      </c>
      <c r="C1910" s="4">
        <f>IFERROR(__xludf.DUMMYFUNCTION("""COMPUTED_VALUE"""),62.91)</f>
        <v>62.91</v>
      </c>
      <c r="D1910" s="4"/>
      <c r="E1910" s="4" t="str">
        <f>IFERROR(__xludf.DUMMYFUNCTION("""COMPUTED_VALUE"""),"Sin precio neto")</f>
        <v>Sin precio neto</v>
      </c>
    </row>
    <row r="1911">
      <c r="A1911" s="4" t="str">
        <f>IFERROR(__xludf.DUMMYFUNCTION("""COMPUTED_VALUE"""),"9460120N")</f>
        <v>9460120N</v>
      </c>
      <c r="B1911" s="4" t="str">
        <f>IFERROR(__xludf.DUMMYFUNCTION("""COMPUTED_VALUE"""),"Rectangulo MOPU 60x120 cm Normal")</f>
        <v>Rectangulo MOPU 60x120 cm Normal</v>
      </c>
      <c r="C1911" s="4">
        <f>IFERROR(__xludf.DUMMYFUNCTION("""COMPUTED_VALUE"""),84.0)</f>
        <v>84</v>
      </c>
      <c r="D1911" s="4"/>
      <c r="E1911" s="4" t="str">
        <f>IFERROR(__xludf.DUMMYFUNCTION("""COMPUTED_VALUE"""),"Sin precio neto")</f>
        <v>Sin precio neto</v>
      </c>
    </row>
    <row r="1912">
      <c r="A1912" s="4" t="str">
        <f>IFERROR(__xludf.DUMMYFUNCTION("""COMPUTED_VALUE"""),"9460120N1")</f>
        <v>9460120N1</v>
      </c>
      <c r="B1912" s="4" t="str">
        <f>IFERROR(__xludf.DUMMYFUNCTION("""COMPUTED_VALUE"""),"Rectangulo MOPU 60x120 cm Reflex I")</f>
        <v>Rectangulo MOPU 60x120 cm Reflex I</v>
      </c>
      <c r="C1912" s="4">
        <f>IFERROR(__xludf.DUMMYFUNCTION("""COMPUTED_VALUE"""),99.58)</f>
        <v>99.58</v>
      </c>
      <c r="D1912" s="4"/>
      <c r="E1912" s="4" t="str">
        <f>IFERROR(__xludf.DUMMYFUNCTION("""COMPUTED_VALUE"""),"Sin precio neto")</f>
        <v>Sin precio neto</v>
      </c>
    </row>
    <row r="1913">
      <c r="A1913" s="4" t="str">
        <f>IFERROR(__xludf.DUMMYFUNCTION("""COMPUTED_VALUE"""),"9460120N2")</f>
        <v>9460120N2</v>
      </c>
      <c r="B1913" s="4" t="str">
        <f>IFERROR(__xludf.DUMMYFUNCTION("""COMPUTED_VALUE"""),"Rectangulo MOPU 60x120 cm Reflex II")</f>
        <v>Rectangulo MOPU 60x120 cm Reflex II</v>
      </c>
      <c r="C1913" s="4">
        <f>IFERROR(__xludf.DUMMYFUNCTION("""COMPUTED_VALUE"""),131.04)</f>
        <v>131.04</v>
      </c>
      <c r="D1913" s="4"/>
      <c r="E1913" s="4" t="str">
        <f>IFERROR(__xludf.DUMMYFUNCTION("""COMPUTED_VALUE"""),"Sin precio neto")</f>
        <v>Sin precio neto</v>
      </c>
    </row>
    <row r="1914">
      <c r="A1914" s="4" t="str">
        <f>IFERROR(__xludf.DUMMYFUNCTION("""COMPUTED_VALUE"""),"9460120N3")</f>
        <v>9460120N3</v>
      </c>
      <c r="B1914" s="4" t="str">
        <f>IFERROR(__xludf.DUMMYFUNCTION("""COMPUTED_VALUE"""),"Rectangulo MOPU 60x120 cm Reflex III")</f>
        <v>Rectangulo MOPU 60x120 cm Reflex III</v>
      </c>
      <c r="C1914" s="4">
        <f>IFERROR(__xludf.DUMMYFUNCTION("""COMPUTED_VALUE"""),167.75)</f>
        <v>167.75</v>
      </c>
      <c r="D1914" s="4"/>
      <c r="E1914" s="4" t="str">
        <f>IFERROR(__xludf.DUMMYFUNCTION("""COMPUTED_VALUE"""),"Sin precio neto")</f>
        <v>Sin precio neto</v>
      </c>
    </row>
    <row r="1915">
      <c r="A1915" s="4" t="str">
        <f>IFERROR(__xludf.DUMMYFUNCTION("""COMPUTED_VALUE"""),"946090N")</f>
        <v>946090N</v>
      </c>
      <c r="B1915" s="4" t="str">
        <f>IFERROR(__xludf.DUMMYFUNCTION("""COMPUTED_VALUE"""),"Rectangulo MOPU 60x90 cm Normal")</f>
        <v>Rectangulo MOPU 60x90 cm Normal</v>
      </c>
      <c r="C1915" s="4">
        <f>IFERROR(__xludf.DUMMYFUNCTION("""COMPUTED_VALUE"""),65.74)</f>
        <v>65.74</v>
      </c>
      <c r="D1915" s="4"/>
      <c r="E1915" s="4" t="str">
        <f>IFERROR(__xludf.DUMMYFUNCTION("""COMPUTED_VALUE"""),"Sin precio neto")</f>
        <v>Sin precio neto</v>
      </c>
    </row>
    <row r="1916">
      <c r="A1916" s="4" t="str">
        <f>IFERROR(__xludf.DUMMYFUNCTION("""COMPUTED_VALUE"""),"946090N1")</f>
        <v>946090N1</v>
      </c>
      <c r="B1916" s="4" t="str">
        <f>IFERROR(__xludf.DUMMYFUNCTION("""COMPUTED_VALUE"""),"Rectangulo MOPU 60x90 cm Reflex I")</f>
        <v>Rectangulo MOPU 60x90 cm Reflex I</v>
      </c>
      <c r="C1916" s="4">
        <f>IFERROR(__xludf.DUMMYFUNCTION("""COMPUTED_VALUE"""),72.09)</f>
        <v>72.09</v>
      </c>
      <c r="D1916" s="4"/>
      <c r="E1916" s="4" t="str">
        <f>IFERROR(__xludf.DUMMYFUNCTION("""COMPUTED_VALUE"""),"Sin precio neto")</f>
        <v>Sin precio neto</v>
      </c>
    </row>
    <row r="1917">
      <c r="A1917" s="4" t="str">
        <f>IFERROR(__xludf.DUMMYFUNCTION("""COMPUTED_VALUE"""),"946090N2")</f>
        <v>946090N2</v>
      </c>
      <c r="B1917" s="4" t="str">
        <f>IFERROR(__xludf.DUMMYFUNCTION("""COMPUTED_VALUE"""),"Rectangulo MOPU 60x90 cm Reflex II")</f>
        <v>Rectangulo MOPU 60x90 cm Reflex II</v>
      </c>
      <c r="C1917" s="4">
        <f>IFERROR(__xludf.DUMMYFUNCTION("""COMPUTED_VALUE"""),100.91)</f>
        <v>100.91</v>
      </c>
      <c r="D1917" s="4"/>
      <c r="E1917" s="4" t="str">
        <f>IFERROR(__xludf.DUMMYFUNCTION("""COMPUTED_VALUE"""),"Sin precio neto")</f>
        <v>Sin precio neto</v>
      </c>
    </row>
    <row r="1918">
      <c r="A1918" s="4" t="str">
        <f>IFERROR(__xludf.DUMMYFUNCTION("""COMPUTED_VALUE"""),"946090N3")</f>
        <v>946090N3</v>
      </c>
      <c r="B1918" s="4" t="str">
        <f>IFERROR(__xludf.DUMMYFUNCTION("""COMPUTED_VALUE"""),"Rectangulo MOPU 60x90 cm Reflex III")</f>
        <v>Rectangulo MOPU 60x90 cm Reflex III</v>
      </c>
      <c r="C1918" s="4">
        <f>IFERROR(__xludf.DUMMYFUNCTION("""COMPUTED_VALUE"""),132.26)</f>
        <v>132.26</v>
      </c>
      <c r="D1918" s="4"/>
      <c r="E1918" s="4" t="str">
        <f>IFERROR(__xludf.DUMMYFUNCTION("""COMPUTED_VALUE"""),"Sin precio neto")</f>
        <v>Sin precio neto</v>
      </c>
    </row>
    <row r="1919">
      <c r="A1919" s="4" t="str">
        <f>IFERROR(__xludf.DUMMYFUNCTION("""COMPUTED_VALUE"""),"9490135N")</f>
        <v>9490135N</v>
      </c>
      <c r="B1919" s="4" t="str">
        <f>IFERROR(__xludf.DUMMYFUNCTION("""COMPUTED_VALUE"""),"Rectangulo MOPU 90x135 cm Normal")</f>
        <v>Rectangulo MOPU 90x135 cm Normal</v>
      </c>
      <c r="C1919" s="4">
        <f>IFERROR(__xludf.DUMMYFUNCTION("""COMPUTED_VALUE"""),115.96)</f>
        <v>115.96</v>
      </c>
      <c r="D1919" s="4"/>
      <c r="E1919" s="4" t="str">
        <f>IFERROR(__xludf.DUMMYFUNCTION("""COMPUTED_VALUE"""),"Sin precio neto")</f>
        <v>Sin precio neto</v>
      </c>
    </row>
    <row r="1920">
      <c r="A1920" s="4" t="str">
        <f>IFERROR(__xludf.DUMMYFUNCTION("""COMPUTED_VALUE"""),"9490135N1")</f>
        <v>9490135N1</v>
      </c>
      <c r="B1920" s="4" t="str">
        <f>IFERROR(__xludf.DUMMYFUNCTION("""COMPUTED_VALUE"""),"Rectangulo MOPU 90x135 cm Reflex I")</f>
        <v>Rectangulo MOPU 90x135 cm Reflex I</v>
      </c>
      <c r="C1920" s="4">
        <f>IFERROR(__xludf.DUMMYFUNCTION("""COMPUTED_VALUE"""),267.24)</f>
        <v>267.24</v>
      </c>
      <c r="D1920" s="4"/>
      <c r="E1920" s="4" t="str">
        <f>IFERROR(__xludf.DUMMYFUNCTION("""COMPUTED_VALUE"""),"Sin precio neto")</f>
        <v>Sin precio neto</v>
      </c>
    </row>
    <row r="1921">
      <c r="A1921" s="4" t="str">
        <f>IFERROR(__xludf.DUMMYFUNCTION("""COMPUTED_VALUE"""),"9490135N2")</f>
        <v>9490135N2</v>
      </c>
      <c r="B1921" s="4" t="str">
        <f>IFERROR(__xludf.DUMMYFUNCTION("""COMPUTED_VALUE"""),"Rectangulo MOPU 90x135 cm Reflex II")</f>
        <v>Rectangulo MOPU 90x135 cm Reflex II</v>
      </c>
      <c r="C1921" s="4">
        <f>IFERROR(__xludf.DUMMYFUNCTION("""COMPUTED_VALUE"""),202.5)</f>
        <v>202.5</v>
      </c>
      <c r="D1921" s="4"/>
      <c r="E1921" s="4" t="str">
        <f>IFERROR(__xludf.DUMMYFUNCTION("""COMPUTED_VALUE"""),"Sin precio neto")</f>
        <v>Sin precio neto</v>
      </c>
    </row>
    <row r="1922">
      <c r="A1922" s="4" t="str">
        <f>IFERROR(__xludf.DUMMYFUNCTION("""COMPUTED_VALUE"""),"9490135N3")</f>
        <v>9490135N3</v>
      </c>
      <c r="B1922" s="4" t="str">
        <f>IFERROR(__xludf.DUMMYFUNCTION("""COMPUTED_VALUE"""),"Rectangulo MOPU 90x135 cm Reflex III")</f>
        <v>Rectangulo MOPU 90x135 cm Reflex III</v>
      </c>
      <c r="C1922" s="4">
        <f>IFERROR(__xludf.DUMMYFUNCTION("""COMPUTED_VALUE"""),267.5)</f>
        <v>267.5</v>
      </c>
      <c r="D1922" s="4"/>
      <c r="E1922" s="4" t="str">
        <f>IFERROR(__xludf.DUMMYFUNCTION("""COMPUTED_VALUE"""),"Sin precio neto")</f>
        <v>Sin precio neto</v>
      </c>
    </row>
    <row r="1923">
      <c r="A1923" s="4" t="str">
        <f>IFERROR(__xludf.DUMMYFUNCTION("""COMPUTED_VALUE"""),"9500N")</f>
        <v>9500N</v>
      </c>
      <c r="B1923" s="4" t="str">
        <f>IFERROR(__xludf.DUMMYFUNCTION("""COMPUTED_VALUE"""),"Señal Aluminio Triangular 70 cm Normal")</f>
        <v>Señal Aluminio Triangular 70 cm Normal</v>
      </c>
      <c r="C1923" s="4">
        <f>IFERROR(__xludf.DUMMYFUNCTION("""COMPUTED_VALUE"""),27.0)</f>
        <v>27</v>
      </c>
      <c r="D1923" s="4"/>
      <c r="E1923" s="4" t="str">
        <f>IFERROR(__xludf.DUMMYFUNCTION("""COMPUTED_VALUE"""),"Sin precio neto")</f>
        <v>Sin precio neto</v>
      </c>
    </row>
    <row r="1924">
      <c r="A1924" s="4" t="str">
        <f>IFERROR(__xludf.DUMMYFUNCTION("""COMPUTED_VALUE"""),"9500N1")</f>
        <v>9500N1</v>
      </c>
      <c r="B1924" s="4" t="str">
        <f>IFERROR(__xludf.DUMMYFUNCTION("""COMPUTED_VALUE"""),"Señal Aluminio Triangular 70 cm Nivel 1")</f>
        <v>Señal Aluminio Triangular 70 cm Nivel 1</v>
      </c>
      <c r="C1924" s="4">
        <f>IFERROR(__xludf.DUMMYFUNCTION("""COMPUTED_VALUE"""),30.0)</f>
        <v>30</v>
      </c>
      <c r="D1924" s="4"/>
      <c r="E1924" s="4" t="str">
        <f>IFERROR(__xludf.DUMMYFUNCTION("""COMPUTED_VALUE"""),"Sin precio neto")</f>
        <v>Sin precio neto</v>
      </c>
    </row>
    <row r="1925">
      <c r="A1925" s="4" t="str">
        <f>IFERROR(__xludf.DUMMYFUNCTION("""COMPUTED_VALUE"""),"954020N")</f>
        <v>954020N</v>
      </c>
      <c r="B1925" s="4" t="str">
        <f>IFERROR(__xludf.DUMMYFUNCTION("""COMPUTED_VALUE"""),"Señal MOPU complementaria 40x20 cm Normal")</f>
        <v>Señal MOPU complementaria 40x20 cm Normal</v>
      </c>
      <c r="C1925" s="4">
        <f>IFERROR(__xludf.DUMMYFUNCTION("""COMPUTED_VALUE"""),19.0)</f>
        <v>19</v>
      </c>
      <c r="D1925" s="4"/>
      <c r="E1925" s="4" t="str">
        <f>IFERROR(__xludf.DUMMYFUNCTION("""COMPUTED_VALUE"""),"Sin precio neto")</f>
        <v>Sin precio neto</v>
      </c>
    </row>
    <row r="1926">
      <c r="A1926" s="4" t="str">
        <f>IFERROR(__xludf.DUMMYFUNCTION("""COMPUTED_VALUE"""),"954020N1")</f>
        <v>954020N1</v>
      </c>
      <c r="B1926" s="4" t="str">
        <f>IFERROR(__xludf.DUMMYFUNCTION("""COMPUTED_VALUE"""),"Señal MOPU complementaria 40x20 cm Reflex I")</f>
        <v>Señal MOPU complementaria 40x20 cm Reflex I</v>
      </c>
      <c r="C1926" s="4">
        <f>IFERROR(__xludf.DUMMYFUNCTION("""COMPUTED_VALUE"""),22.25)</f>
        <v>22.25</v>
      </c>
      <c r="D1926" s="4"/>
      <c r="E1926" s="4" t="str">
        <f>IFERROR(__xludf.DUMMYFUNCTION("""COMPUTED_VALUE"""),"Sin precio neto")</f>
        <v>Sin precio neto</v>
      </c>
    </row>
    <row r="1927">
      <c r="A1927" s="4" t="str">
        <f>IFERROR(__xludf.DUMMYFUNCTION("""COMPUTED_VALUE"""),"954020N2")</f>
        <v>954020N2</v>
      </c>
      <c r="B1927" s="4" t="str">
        <f>IFERROR(__xludf.DUMMYFUNCTION("""COMPUTED_VALUE"""),"Señal MOPU complementaria 40x20 cm Reflex II")</f>
        <v>Señal MOPU complementaria 40x20 cm Reflex II</v>
      </c>
      <c r="C1927" s="4">
        <f>IFERROR(__xludf.DUMMYFUNCTION("""COMPUTED_VALUE"""),27.25)</f>
        <v>27.25</v>
      </c>
      <c r="D1927" s="4"/>
      <c r="E1927" s="4" t="str">
        <f>IFERROR(__xludf.DUMMYFUNCTION("""COMPUTED_VALUE"""),"Sin precio neto")</f>
        <v>Sin precio neto</v>
      </c>
    </row>
    <row r="1928">
      <c r="A1928" s="4" t="str">
        <f>IFERROR(__xludf.DUMMYFUNCTION("""COMPUTED_VALUE"""),"954020N3")</f>
        <v>954020N3</v>
      </c>
      <c r="B1928" s="4" t="str">
        <f>IFERROR(__xludf.DUMMYFUNCTION("""COMPUTED_VALUE"""),"Señal MOPU complemenaria 40x20 cm Reflex III")</f>
        <v>Señal MOPU complemenaria 40x20 cm Reflex III</v>
      </c>
      <c r="C1928" s="4">
        <f>IFERROR(__xludf.DUMMYFUNCTION("""COMPUTED_VALUE"""),31.4)</f>
        <v>31.4</v>
      </c>
      <c r="D1928" s="4"/>
      <c r="E1928" s="4" t="str">
        <f>IFERROR(__xludf.DUMMYFUNCTION("""COMPUTED_VALUE"""),"Sin precio neto")</f>
        <v>Sin precio neto</v>
      </c>
    </row>
    <row r="1929">
      <c r="A1929" s="4" t="str">
        <f>IFERROR(__xludf.DUMMYFUNCTION("""COMPUTED_VALUE"""),"956020N")</f>
        <v>956020N</v>
      </c>
      <c r="B1929" s="4" t="str">
        <f>IFERROR(__xludf.DUMMYFUNCTION("""COMPUTED_VALUE"""),"Señal MOPU complementaria 60x20 cm Normal")</f>
        <v>Señal MOPU complementaria 60x20 cm Normal</v>
      </c>
      <c r="C1929" s="4">
        <f>IFERROR(__xludf.DUMMYFUNCTION("""COMPUTED_VALUE"""),23.4)</f>
        <v>23.4</v>
      </c>
      <c r="D1929" s="4"/>
      <c r="E1929" s="4" t="str">
        <f>IFERROR(__xludf.DUMMYFUNCTION("""COMPUTED_VALUE"""),"Sin precio neto")</f>
        <v>Sin precio neto</v>
      </c>
    </row>
    <row r="1930">
      <c r="A1930" s="4" t="str">
        <f>IFERROR(__xludf.DUMMYFUNCTION("""COMPUTED_VALUE"""),"956020N1")</f>
        <v>956020N1</v>
      </c>
      <c r="B1930" s="4" t="str">
        <f>IFERROR(__xludf.DUMMYFUNCTION("""COMPUTED_VALUE"""),"Señal MOPU complementaria 60x20 cm Reflex I")</f>
        <v>Señal MOPU complementaria 60x20 cm Reflex I</v>
      </c>
      <c r="C1930" s="4">
        <f>IFERROR(__xludf.DUMMYFUNCTION("""COMPUTED_VALUE"""),32.25)</f>
        <v>32.25</v>
      </c>
      <c r="D1930" s="4"/>
      <c r="E1930" s="4" t="str">
        <f>IFERROR(__xludf.DUMMYFUNCTION("""COMPUTED_VALUE"""),"Sin precio neto")</f>
        <v>Sin precio neto</v>
      </c>
    </row>
    <row r="1931">
      <c r="A1931" s="4" t="str">
        <f>IFERROR(__xludf.DUMMYFUNCTION("""COMPUTED_VALUE"""),"956020N2")</f>
        <v>956020N2</v>
      </c>
      <c r="B1931" s="4" t="str">
        <f>IFERROR(__xludf.DUMMYFUNCTION("""COMPUTED_VALUE"""),"Señal MOPU complementaria 60x20 cm Reflex II")</f>
        <v>Señal MOPU complementaria 60x20 cm Reflex II</v>
      </c>
      <c r="C1931" s="4">
        <f>IFERROR(__xludf.DUMMYFUNCTION("""COMPUTED_VALUE"""),35.0)</f>
        <v>35</v>
      </c>
      <c r="D1931" s="4"/>
      <c r="E1931" s="4" t="str">
        <f>IFERROR(__xludf.DUMMYFUNCTION("""COMPUTED_VALUE"""),"Sin precio neto")</f>
        <v>Sin precio neto</v>
      </c>
    </row>
    <row r="1932">
      <c r="A1932" s="4" t="str">
        <f>IFERROR(__xludf.DUMMYFUNCTION("""COMPUTED_VALUE"""),"956020N3")</f>
        <v>956020N3</v>
      </c>
      <c r="B1932" s="4" t="str">
        <f>IFERROR(__xludf.DUMMYFUNCTION("""COMPUTED_VALUE"""),"Señal MOPU complementaria 60x20 cm Reflex III")</f>
        <v>Señal MOPU complementaria 60x20 cm Reflex III</v>
      </c>
      <c r="C1932" s="4">
        <f>IFERROR(__xludf.DUMMYFUNCTION("""COMPUTED_VALUE"""),39.75)</f>
        <v>39.75</v>
      </c>
      <c r="D1932" s="4"/>
      <c r="E1932" s="4" t="str">
        <f>IFERROR(__xludf.DUMMYFUNCTION("""COMPUTED_VALUE"""),"Sin precio neto")</f>
        <v>Sin precio neto</v>
      </c>
    </row>
    <row r="1933">
      <c r="A1933" s="4" t="str">
        <f>IFERROR(__xludf.DUMMYFUNCTION("""COMPUTED_VALUE"""),"956030N")</f>
        <v>956030N</v>
      </c>
      <c r="B1933" s="4" t="str">
        <f>IFERROR(__xludf.DUMMYFUNCTION("""COMPUTED_VALUE"""),"Señal MOPU complementaria 60x30 cm Normal")</f>
        <v>Señal MOPU complementaria 60x30 cm Normal</v>
      </c>
      <c r="C1933" s="4">
        <f>IFERROR(__xludf.DUMMYFUNCTION("""COMPUTED_VALUE"""),29.25)</f>
        <v>29.25</v>
      </c>
      <c r="D1933" s="4"/>
      <c r="E1933" s="4" t="str">
        <f>IFERROR(__xludf.DUMMYFUNCTION("""COMPUTED_VALUE"""),"Sin precio neto")</f>
        <v>Sin precio neto</v>
      </c>
    </row>
    <row r="1934">
      <c r="A1934" s="4" t="str">
        <f>IFERROR(__xludf.DUMMYFUNCTION("""COMPUTED_VALUE"""),"956030N1")</f>
        <v>956030N1</v>
      </c>
      <c r="B1934" s="4" t="str">
        <f>IFERROR(__xludf.DUMMYFUNCTION("""COMPUTED_VALUE"""),"Señal MOPU complementaria 60x30 cm Reflex I")</f>
        <v>Señal MOPU complementaria 60x30 cm Reflex I</v>
      </c>
      <c r="C1934" s="4">
        <f>IFERROR(__xludf.DUMMYFUNCTION("""COMPUTED_VALUE"""),28.25)</f>
        <v>28.25</v>
      </c>
      <c r="D1934" s="4"/>
      <c r="E1934" s="4" t="str">
        <f>IFERROR(__xludf.DUMMYFUNCTION("""COMPUTED_VALUE"""),"Sin precio neto")</f>
        <v>Sin precio neto</v>
      </c>
    </row>
    <row r="1935">
      <c r="A1935" s="4" t="str">
        <f>IFERROR(__xludf.DUMMYFUNCTION("""COMPUTED_VALUE"""),"956030N2")</f>
        <v>956030N2</v>
      </c>
      <c r="B1935" s="4" t="str">
        <f>IFERROR(__xludf.DUMMYFUNCTION("""COMPUTED_VALUE"""),"Señal MOPU complementaria 60x30 cm Reflex II")</f>
        <v>Señal MOPU complementaria 60x30 cm Reflex II</v>
      </c>
      <c r="C1935" s="4">
        <f>IFERROR(__xludf.DUMMYFUNCTION("""COMPUTED_VALUE"""),39.4)</f>
        <v>39.4</v>
      </c>
      <c r="D1935" s="4"/>
      <c r="E1935" s="4" t="str">
        <f>IFERROR(__xludf.DUMMYFUNCTION("""COMPUTED_VALUE"""),"Sin precio neto")</f>
        <v>Sin precio neto</v>
      </c>
    </row>
    <row r="1936">
      <c r="A1936" s="4" t="str">
        <f>IFERROR(__xludf.DUMMYFUNCTION("""COMPUTED_VALUE"""),"956030N3")</f>
        <v>956030N3</v>
      </c>
      <c r="B1936" s="4" t="str">
        <f>IFERROR(__xludf.DUMMYFUNCTION("""COMPUTED_VALUE"""),"Señal MOPu complementaria 60x30 cm Reflex III")</f>
        <v>Señal MOPu complementaria 60x30 cm Reflex III</v>
      </c>
      <c r="C1936" s="4">
        <f>IFERROR(__xludf.DUMMYFUNCTION("""COMPUTED_VALUE"""),49.4)</f>
        <v>49.4</v>
      </c>
      <c r="D1936" s="4"/>
      <c r="E1936" s="4" t="str">
        <f>IFERROR(__xludf.DUMMYFUNCTION("""COMPUTED_VALUE"""),"Sin precio neto")</f>
        <v>Sin precio neto</v>
      </c>
    </row>
    <row r="1937">
      <c r="A1937" s="4" t="str">
        <f>IFERROR(__xludf.DUMMYFUNCTION("""COMPUTED_VALUE"""),"956040N")</f>
        <v>956040N</v>
      </c>
      <c r="B1937" s="4" t="str">
        <f>IFERROR(__xludf.DUMMYFUNCTION("""COMPUTED_VALUE"""),"Señal MOPU complementaria 60x40 cm Normal")</f>
        <v>Señal MOPU complementaria 60x40 cm Normal</v>
      </c>
      <c r="C1937" s="4">
        <f>IFERROR(__xludf.DUMMYFUNCTION("""COMPUTED_VALUE"""),39.2)</f>
        <v>39.2</v>
      </c>
      <c r="D1937" s="4"/>
      <c r="E1937" s="4" t="str">
        <f>IFERROR(__xludf.DUMMYFUNCTION("""COMPUTED_VALUE"""),"Sin precio neto")</f>
        <v>Sin precio neto</v>
      </c>
    </row>
    <row r="1938">
      <c r="A1938" s="4" t="str">
        <f>IFERROR(__xludf.DUMMYFUNCTION("""COMPUTED_VALUE"""),"956040N1")</f>
        <v>956040N1</v>
      </c>
      <c r="B1938" s="4" t="str">
        <f>IFERROR(__xludf.DUMMYFUNCTION("""COMPUTED_VALUE"""),"Señal MOPU complementaria 60x40 cm Reflex I")</f>
        <v>Señal MOPU complementaria 60x40 cm Reflex I</v>
      </c>
      <c r="C1938" s="4">
        <f>IFERROR(__xludf.DUMMYFUNCTION("""COMPUTED_VALUE"""),39.9)</f>
        <v>39.9</v>
      </c>
      <c r="D1938" s="4"/>
      <c r="E1938" s="4" t="str">
        <f>IFERROR(__xludf.DUMMYFUNCTION("""COMPUTED_VALUE"""),"Sin precio neto")</f>
        <v>Sin precio neto</v>
      </c>
    </row>
    <row r="1939">
      <c r="A1939" s="4" t="str">
        <f>IFERROR(__xludf.DUMMYFUNCTION("""COMPUTED_VALUE"""),"956040N2")</f>
        <v>956040N2</v>
      </c>
      <c r="B1939" s="4" t="str">
        <f>IFERROR(__xludf.DUMMYFUNCTION("""COMPUTED_VALUE"""),"Señal MOPU complementaria 60x40 cm Reflex II")</f>
        <v>Señal MOPU complementaria 60x40 cm Reflex II</v>
      </c>
      <c r="C1939" s="4">
        <f>IFERROR(__xludf.DUMMYFUNCTION("""COMPUTED_VALUE"""),42.25)</f>
        <v>42.25</v>
      </c>
      <c r="D1939" s="4"/>
      <c r="E1939" s="4" t="str">
        <f>IFERROR(__xludf.DUMMYFUNCTION("""COMPUTED_VALUE"""),"Sin precio neto")</f>
        <v>Sin precio neto</v>
      </c>
    </row>
    <row r="1940">
      <c r="A1940" s="4" t="str">
        <f>IFERROR(__xludf.DUMMYFUNCTION("""COMPUTED_VALUE"""),"956040N3")</f>
        <v>956040N3</v>
      </c>
      <c r="B1940" s="4" t="str">
        <f>IFERROR(__xludf.DUMMYFUNCTION("""COMPUTED_VALUE"""),"Señal MOPU complementaria 60x40 cm Reflex III")</f>
        <v>Señal MOPU complementaria 60x40 cm Reflex III</v>
      </c>
      <c r="C1940" s="4">
        <f>IFERROR(__xludf.DUMMYFUNCTION("""COMPUTED_VALUE"""),64.25)</f>
        <v>64.25</v>
      </c>
      <c r="D1940" s="4"/>
      <c r="E1940" s="4" t="str">
        <f>IFERROR(__xludf.DUMMYFUNCTION("""COMPUTED_VALUE"""),"Sin precio neto")</f>
        <v>Sin precio neto</v>
      </c>
    </row>
    <row r="1941">
      <c r="A1941" s="4" t="str">
        <f>IFERROR(__xludf.DUMMYFUNCTION("""COMPUTED_VALUE"""),"958040N")</f>
        <v>958040N</v>
      </c>
      <c r="B1941" s="4" t="str">
        <f>IFERROR(__xludf.DUMMYFUNCTION("""COMPUTED_VALUE"""),"Señal MOPU complementaria 80x40 Normal")</f>
        <v>Señal MOPU complementaria 80x40 Normal</v>
      </c>
      <c r="C1941" s="4">
        <f>IFERROR(__xludf.DUMMYFUNCTION("""COMPUTED_VALUE"""),34.75)</f>
        <v>34.75</v>
      </c>
      <c r="D1941" s="4"/>
      <c r="E1941" s="4" t="str">
        <f>IFERROR(__xludf.DUMMYFUNCTION("""COMPUTED_VALUE"""),"Sin precio neto")</f>
        <v>Sin precio neto</v>
      </c>
    </row>
    <row r="1942">
      <c r="A1942" s="4" t="str">
        <f>IFERROR(__xludf.DUMMYFUNCTION("""COMPUTED_VALUE"""),"958040N1")</f>
        <v>958040N1</v>
      </c>
      <c r="B1942" s="4" t="str">
        <f>IFERROR(__xludf.DUMMYFUNCTION("""COMPUTED_VALUE"""),"Señal MOPU complementaria 80x40 cm Reflex I")</f>
        <v>Señal MOPU complementaria 80x40 cm Reflex I</v>
      </c>
      <c r="C1942" s="4">
        <f>IFERROR(__xludf.DUMMYFUNCTION("""COMPUTED_VALUE"""),47.25)</f>
        <v>47.25</v>
      </c>
      <c r="D1942" s="4"/>
      <c r="E1942" s="4" t="str">
        <f>IFERROR(__xludf.DUMMYFUNCTION("""COMPUTED_VALUE"""),"Sin precio neto")</f>
        <v>Sin precio neto</v>
      </c>
    </row>
    <row r="1943">
      <c r="A1943" s="4" t="str">
        <f>IFERROR(__xludf.DUMMYFUNCTION("""COMPUTED_VALUE"""),"958040N2")</f>
        <v>958040N2</v>
      </c>
      <c r="B1943" s="4" t="str">
        <f>IFERROR(__xludf.DUMMYFUNCTION("""COMPUTED_VALUE"""),"Señal MOPU complementaria 80x40 cm Reflex II")</f>
        <v>Señal MOPU complementaria 80x40 cm Reflex II</v>
      </c>
      <c r="C1943" s="4">
        <f>IFERROR(__xludf.DUMMYFUNCTION("""COMPUTED_VALUE"""),59.25)</f>
        <v>59.25</v>
      </c>
      <c r="D1943" s="4"/>
      <c r="E1943" s="4" t="str">
        <f>IFERROR(__xludf.DUMMYFUNCTION("""COMPUTED_VALUE"""),"Sin precio neto")</f>
        <v>Sin precio neto</v>
      </c>
    </row>
    <row r="1944">
      <c r="A1944" s="4" t="str">
        <f>IFERROR(__xludf.DUMMYFUNCTION("""COMPUTED_VALUE"""),"958040N3")</f>
        <v>958040N3</v>
      </c>
      <c r="B1944" s="4" t="str">
        <f>IFERROR(__xludf.DUMMYFUNCTION("""COMPUTED_VALUE"""),"Señal MOPu complementaria 80x40 cm Reflex III")</f>
        <v>Señal MOPu complementaria 80x40 cm Reflex III</v>
      </c>
      <c r="C1944" s="4">
        <f>IFERROR(__xludf.DUMMYFUNCTION("""COMPUTED_VALUE"""),74.75)</f>
        <v>74.75</v>
      </c>
      <c r="D1944" s="4"/>
      <c r="E1944" s="4" t="str">
        <f>IFERROR(__xludf.DUMMYFUNCTION("""COMPUTED_VALUE"""),"Sin precio neto")</f>
        <v>Sin precio neto</v>
      </c>
    </row>
    <row r="1945">
      <c r="A1945" s="4" t="str">
        <f>IFERROR(__xludf.DUMMYFUNCTION("""COMPUTED_VALUE"""),"958520N")</f>
        <v>958520N</v>
      </c>
      <c r="B1945" s="4" t="str">
        <f>IFERROR(__xludf.DUMMYFUNCTION("""COMPUTED_VALUE"""),"Señal MOPU complementaria 85x20 Normal")</f>
        <v>Señal MOPU complementaria 85x20 Normal</v>
      </c>
      <c r="C1945" s="4">
        <f>IFERROR(__xludf.DUMMYFUNCTION("""COMPUTED_VALUE"""),34.4)</f>
        <v>34.4</v>
      </c>
      <c r="D1945" s="4"/>
      <c r="E1945" s="4" t="str">
        <f>IFERROR(__xludf.DUMMYFUNCTION("""COMPUTED_VALUE"""),"Sin precio neto")</f>
        <v>Sin precio neto</v>
      </c>
    </row>
    <row r="1946">
      <c r="A1946" s="4" t="str">
        <f>IFERROR(__xludf.DUMMYFUNCTION("""COMPUTED_VALUE"""),"958520N1")</f>
        <v>958520N1</v>
      </c>
      <c r="B1946" s="4" t="str">
        <f>IFERROR(__xludf.DUMMYFUNCTION("""COMPUTED_VALUE"""),"Señal MOPU complementaria 85x20 cm Reflex I")</f>
        <v>Señal MOPU complementaria 85x20 cm Reflex I</v>
      </c>
      <c r="C1946" s="4">
        <f>IFERROR(__xludf.DUMMYFUNCTION("""COMPUTED_VALUE"""),35.25)</f>
        <v>35.25</v>
      </c>
      <c r="D1946" s="4"/>
      <c r="E1946" s="4" t="str">
        <f>IFERROR(__xludf.DUMMYFUNCTION("""COMPUTED_VALUE"""),"Sin precio neto")</f>
        <v>Sin precio neto</v>
      </c>
    </row>
    <row r="1947">
      <c r="A1947" s="4" t="str">
        <f>IFERROR(__xludf.DUMMYFUNCTION("""COMPUTED_VALUE"""),"958520N2")</f>
        <v>958520N2</v>
      </c>
      <c r="B1947" s="4" t="str">
        <f>IFERROR(__xludf.DUMMYFUNCTION("""COMPUTED_VALUE"""),"Señal MOPU complementaria 85x20 cm Reflex II")</f>
        <v>Señal MOPU complementaria 85x20 cm Reflex II</v>
      </c>
      <c r="C1947" s="4">
        <f>IFERROR(__xludf.DUMMYFUNCTION("""COMPUTED_VALUE"""),49.9)</f>
        <v>49.9</v>
      </c>
      <c r="D1947" s="4"/>
      <c r="E1947" s="4" t="str">
        <f>IFERROR(__xludf.DUMMYFUNCTION("""COMPUTED_VALUE"""),"Sin precio neto")</f>
        <v>Sin precio neto</v>
      </c>
    </row>
    <row r="1948">
      <c r="A1948" s="4" t="str">
        <f>IFERROR(__xludf.DUMMYFUNCTION("""COMPUTED_VALUE"""),"958520N3")</f>
        <v>958520N3</v>
      </c>
      <c r="B1948" s="4" t="str">
        <f>IFERROR(__xludf.DUMMYFUNCTION("""COMPUTED_VALUE"""),"Señal MOPU complementaria 85x20 cm Reflex III")</f>
        <v>Señal MOPU complementaria 85x20 cm Reflex III</v>
      </c>
      <c r="C1948" s="4">
        <f>IFERROR(__xludf.DUMMYFUNCTION("""COMPUTED_VALUE"""),47.25)</f>
        <v>47.25</v>
      </c>
      <c r="D1948" s="4"/>
      <c r="E1948" s="4" t="str">
        <f>IFERROR(__xludf.DUMMYFUNCTION("""COMPUTED_VALUE"""),"Sin precio neto")</f>
        <v>Sin precio neto</v>
      </c>
    </row>
    <row r="1949">
      <c r="A1949" s="4" t="str">
        <f>IFERROR(__xludf.DUMMYFUNCTION("""COMPUTED_VALUE"""),"959030N")</f>
        <v>959030N</v>
      </c>
      <c r="B1949" s="4" t="str">
        <f>IFERROR(__xludf.DUMMYFUNCTION("""COMPUTED_VALUE"""),"Señal MOPU complementaria 90x30 cm Normal")</f>
        <v>Señal MOPU complementaria 90x30 cm Normal</v>
      </c>
      <c r="C1949" s="4">
        <f>IFERROR(__xludf.DUMMYFUNCTION("""COMPUTED_VALUE"""),40.75)</f>
        <v>40.75</v>
      </c>
      <c r="D1949" s="4"/>
      <c r="E1949" s="4" t="str">
        <f>IFERROR(__xludf.DUMMYFUNCTION("""COMPUTED_VALUE"""),"Sin precio neto")</f>
        <v>Sin precio neto</v>
      </c>
    </row>
    <row r="1950">
      <c r="A1950" s="4" t="str">
        <f>IFERROR(__xludf.DUMMYFUNCTION("""COMPUTED_VALUE"""),"959030N1")</f>
        <v>959030N1</v>
      </c>
      <c r="B1950" s="4" t="str">
        <f>IFERROR(__xludf.DUMMYFUNCTION("""COMPUTED_VALUE"""),"Señal MOPU complementario 90x30 cm Reflex I")</f>
        <v>Señal MOPU complementario 90x30 cm Reflex I</v>
      </c>
      <c r="C1950" s="4">
        <f>IFERROR(__xludf.DUMMYFUNCTION("""COMPUTED_VALUE"""),43.25)</f>
        <v>43.25</v>
      </c>
      <c r="D1950" s="4"/>
      <c r="E1950" s="4" t="str">
        <f>IFERROR(__xludf.DUMMYFUNCTION("""COMPUTED_VALUE"""),"Sin precio neto")</f>
        <v>Sin precio neto</v>
      </c>
    </row>
    <row r="1951">
      <c r="A1951" s="4" t="str">
        <f>IFERROR(__xludf.DUMMYFUNCTION("""COMPUTED_VALUE"""),"959030N2")</f>
        <v>959030N2</v>
      </c>
      <c r="B1951" s="4" t="str">
        <f>IFERROR(__xludf.DUMMYFUNCTION("""COMPUTED_VALUE"""),"Señal MOPU complementaria 90x30 cm Reflex II")</f>
        <v>Señal MOPU complementaria 90x30 cm Reflex II</v>
      </c>
      <c r="C1951" s="4">
        <f>IFERROR(__xludf.DUMMYFUNCTION("""COMPUTED_VALUE"""),57.3)</f>
        <v>57.3</v>
      </c>
      <c r="D1951" s="4"/>
      <c r="E1951" s="4" t="str">
        <f>IFERROR(__xludf.DUMMYFUNCTION("""COMPUTED_VALUE"""),"Sin precio neto")</f>
        <v>Sin precio neto</v>
      </c>
    </row>
    <row r="1952">
      <c r="A1952" s="4" t="str">
        <f>IFERROR(__xludf.DUMMYFUNCTION("""COMPUTED_VALUE"""),"959030N3")</f>
        <v>959030N3</v>
      </c>
      <c r="B1952" s="4" t="str">
        <f>IFERROR(__xludf.DUMMYFUNCTION("""COMPUTED_VALUE"""),"Señal MOPU complementaria 90x30 cm Reflex III")</f>
        <v>Señal MOPU complementaria 90x30 cm Reflex III</v>
      </c>
      <c r="C1952" s="4">
        <f>IFERROR(__xludf.DUMMYFUNCTION("""COMPUTED_VALUE"""),71.25)</f>
        <v>71.25</v>
      </c>
      <c r="D1952" s="4"/>
      <c r="E1952" s="4" t="str">
        <f>IFERROR(__xludf.DUMMYFUNCTION("""COMPUTED_VALUE"""),"Sin precio neto")</f>
        <v>Sin precio neto</v>
      </c>
    </row>
    <row r="1953">
      <c r="A1953" s="4" t="str">
        <f>IFERROR(__xludf.DUMMYFUNCTION("""COMPUTED_VALUE"""),"9600N")</f>
        <v>9600N</v>
      </c>
      <c r="B1953" s="4" t="str">
        <f>IFERROR(__xludf.DUMMYFUNCTION("""COMPUTED_VALUE"""),"Señal Aluminio Circular 60 cm Normal")</f>
        <v>Señal Aluminio Circular 60 cm Normal</v>
      </c>
      <c r="C1953" s="4">
        <f>IFERROR(__xludf.DUMMYFUNCTION("""COMPUTED_VALUE"""),28.0)</f>
        <v>28</v>
      </c>
      <c r="D1953" s="4"/>
      <c r="E1953" s="4" t="str">
        <f>IFERROR(__xludf.DUMMYFUNCTION("""COMPUTED_VALUE"""),"Sin precio neto")</f>
        <v>Sin precio neto</v>
      </c>
    </row>
    <row r="1954">
      <c r="A1954" s="4" t="str">
        <f>IFERROR(__xludf.DUMMYFUNCTION("""COMPUTED_VALUE"""),"9600N1")</f>
        <v>9600N1</v>
      </c>
      <c r="B1954" s="4" t="str">
        <f>IFERROR(__xludf.DUMMYFUNCTION("""COMPUTED_VALUE"""),"Señal Aluminio Circular 60 cm Nivel 1")</f>
        <v>Señal Aluminio Circular 60 cm Nivel 1</v>
      </c>
      <c r="C1954" s="4">
        <f>IFERROR(__xludf.DUMMYFUNCTION("""COMPUTED_VALUE"""),31.0)</f>
        <v>31</v>
      </c>
      <c r="D1954" s="4"/>
      <c r="E1954" s="4" t="str">
        <f>IFERROR(__xludf.DUMMYFUNCTION("""COMPUTED_VALUE"""),"Sin precio neto")</f>
        <v>Sin precio neto</v>
      </c>
    </row>
    <row r="1955">
      <c r="A1955" s="4" t="str">
        <f>IFERROR(__xludf.DUMMYFUNCTION("""COMPUTED_VALUE"""),"9625120N")</f>
        <v>9625120N</v>
      </c>
      <c r="B1955" s="4" t="str">
        <f>IFERROR(__xludf.DUMMYFUNCTION("""COMPUTED_VALUE"""),"Señal MOPU informativa 25x120 cm Normal")</f>
        <v>Señal MOPU informativa 25x120 cm Normal</v>
      </c>
      <c r="C1955" s="4">
        <f>IFERROR(__xludf.DUMMYFUNCTION("""COMPUTED_VALUE"""),65.38)</f>
        <v>65.38</v>
      </c>
      <c r="D1955" s="4"/>
      <c r="E1955" s="4" t="str">
        <f>IFERROR(__xludf.DUMMYFUNCTION("""COMPUTED_VALUE"""),"Sin precio neto")</f>
        <v>Sin precio neto</v>
      </c>
    </row>
    <row r="1956">
      <c r="A1956" s="4" t="str">
        <f>IFERROR(__xludf.DUMMYFUNCTION("""COMPUTED_VALUE"""),"9625120N1")</f>
        <v>9625120N1</v>
      </c>
      <c r="B1956" s="4" t="str">
        <f>IFERROR(__xludf.DUMMYFUNCTION("""COMPUTED_VALUE"""),"Señal MOPU informativa 25x120 cm Reflex I")</f>
        <v>Señal MOPU informativa 25x120 cm Reflex I</v>
      </c>
      <c r="C1956" s="4">
        <f>IFERROR(__xludf.DUMMYFUNCTION("""COMPUTED_VALUE"""),69.2)</f>
        <v>69.2</v>
      </c>
      <c r="D1956" s="4"/>
      <c r="E1956" s="4" t="str">
        <f>IFERROR(__xludf.DUMMYFUNCTION("""COMPUTED_VALUE"""),"Sin precio neto")</f>
        <v>Sin precio neto</v>
      </c>
    </row>
    <row r="1957">
      <c r="A1957" s="4" t="str">
        <f>IFERROR(__xludf.DUMMYFUNCTION("""COMPUTED_VALUE"""),"9625120N1F")</f>
        <v>9625120N1F</v>
      </c>
      <c r="B1957" s="4" t="str">
        <f>IFERROR(__xludf.DUMMYFUNCTION("""COMPUTED_VALUE"""),"Señal MOPU informativa 25x120 Nivel 1 Flechada")</f>
        <v>Señal MOPU informativa 25x120 Nivel 1 Flechada</v>
      </c>
      <c r="C1957" s="4">
        <f>IFERROR(__xludf.DUMMYFUNCTION("""COMPUTED_VALUE"""),68.35)</f>
        <v>68.35</v>
      </c>
      <c r="D1957" s="4"/>
      <c r="E1957" s="4" t="str">
        <f>IFERROR(__xludf.DUMMYFUNCTION("""COMPUTED_VALUE"""),"Sin precio neto")</f>
        <v>Sin precio neto</v>
      </c>
    </row>
    <row r="1958">
      <c r="A1958" s="4" t="str">
        <f>IFERROR(__xludf.DUMMYFUNCTION("""COMPUTED_VALUE"""),"9625120N2")</f>
        <v>9625120N2</v>
      </c>
      <c r="B1958" s="4" t="str">
        <f>IFERROR(__xludf.DUMMYFUNCTION("""COMPUTED_VALUE"""),"Señal MOPU informativa 25x120 cm Reflex II")</f>
        <v>Señal MOPU informativa 25x120 cm Reflex II</v>
      </c>
      <c r="C1958" s="4">
        <f>IFERROR(__xludf.DUMMYFUNCTION("""COMPUTED_VALUE"""),76.0)</f>
        <v>76</v>
      </c>
      <c r="D1958" s="4"/>
      <c r="E1958" s="4" t="str">
        <f>IFERROR(__xludf.DUMMYFUNCTION("""COMPUTED_VALUE"""),"Sin precio neto")</f>
        <v>Sin precio neto</v>
      </c>
    </row>
    <row r="1959">
      <c r="A1959" s="4" t="str">
        <f>IFERROR(__xludf.DUMMYFUNCTION("""COMPUTED_VALUE"""),"9625120N2F")</f>
        <v>9625120N2F</v>
      </c>
      <c r="B1959" s="4" t="str">
        <f>IFERROR(__xludf.DUMMYFUNCTION("""COMPUTED_VALUE"""),"Señal MOPU informativa 25x120 Nivel 2 Flechada")</f>
        <v>Señal MOPU informativa 25x120 Nivel 2 Flechada</v>
      </c>
      <c r="C1959" s="4">
        <f>IFERROR(__xludf.DUMMYFUNCTION("""COMPUTED_VALUE"""),76.2)</f>
        <v>76.2</v>
      </c>
      <c r="D1959" s="4"/>
      <c r="E1959" s="4" t="str">
        <f>IFERROR(__xludf.DUMMYFUNCTION("""COMPUTED_VALUE"""),"Sin precio neto")</f>
        <v>Sin precio neto</v>
      </c>
    </row>
    <row r="1960">
      <c r="A1960" s="4" t="str">
        <f>IFERROR(__xludf.DUMMYFUNCTION("""COMPUTED_VALUE"""),"9625120N3")</f>
        <v>9625120N3</v>
      </c>
      <c r="B1960" s="4" t="str">
        <f>IFERROR(__xludf.DUMMYFUNCTION("""COMPUTED_VALUE"""),"Señal MOPU informativa 25x120 cm Reflex III")</f>
        <v>Señal MOPU informativa 25x120 cm Reflex III</v>
      </c>
      <c r="C1960" s="4">
        <f>IFERROR(__xludf.DUMMYFUNCTION("""COMPUTED_VALUE"""),109.2)</f>
        <v>109.2</v>
      </c>
      <c r="D1960" s="4"/>
      <c r="E1960" s="4" t="str">
        <f>IFERROR(__xludf.DUMMYFUNCTION("""COMPUTED_VALUE"""),"Sin precio neto")</f>
        <v>Sin precio neto</v>
      </c>
    </row>
    <row r="1961">
      <c r="A1961" s="4" t="str">
        <f>IFERROR(__xludf.DUMMYFUNCTION("""COMPUTED_VALUE"""),"9625120N3F")</f>
        <v>9625120N3F</v>
      </c>
      <c r="B1961" s="4" t="str">
        <f>IFERROR(__xludf.DUMMYFUNCTION("""COMPUTED_VALUE"""),"Señal MOPU informativa 25x120 Nivel 3 Flechada")</f>
        <v>Señal MOPU informativa 25x120 Nivel 3 Flechada</v>
      </c>
      <c r="C1961" s="4">
        <f>IFERROR(__xludf.DUMMYFUNCTION("""COMPUTED_VALUE"""),110.2)</f>
        <v>110.2</v>
      </c>
      <c r="D1961" s="4"/>
      <c r="E1961" s="4" t="str">
        <f>IFERROR(__xludf.DUMMYFUNCTION("""COMPUTED_VALUE"""),"Sin precio neto")</f>
        <v>Sin precio neto</v>
      </c>
    </row>
    <row r="1962">
      <c r="A1962" s="4" t="str">
        <f>IFERROR(__xludf.DUMMYFUNCTION("""COMPUTED_VALUE"""),"9625120NF")</f>
        <v>9625120NF</v>
      </c>
      <c r="B1962" s="4" t="str">
        <f>IFERROR(__xludf.DUMMYFUNCTION("""COMPUTED_VALUE"""),"Señal MOPU informativa 25x120 Normal Flechada")</f>
        <v>Señal MOPU informativa 25x120 Normal Flechada</v>
      </c>
      <c r="C1962" s="4">
        <f>IFERROR(__xludf.DUMMYFUNCTION("""COMPUTED_VALUE"""),62.35)</f>
        <v>62.35</v>
      </c>
      <c r="D1962" s="4"/>
      <c r="E1962" s="4" t="str">
        <f>IFERROR(__xludf.DUMMYFUNCTION("""COMPUTED_VALUE"""),"Sin precio neto")</f>
        <v>Sin precio neto</v>
      </c>
    </row>
    <row r="1963">
      <c r="A1963" s="4" t="str">
        <f>IFERROR(__xludf.DUMMYFUNCTION("""COMPUTED_VALUE"""),"962570N")</f>
        <v>962570N</v>
      </c>
      <c r="B1963" s="4" t="str">
        <f>IFERROR(__xludf.DUMMYFUNCTION("""COMPUTED_VALUE"""),"Señal MOPU informativa 25x70 cm Normal")</f>
        <v>Señal MOPU informativa 25x70 cm Normal</v>
      </c>
      <c r="C1963" s="4">
        <f>IFERROR(__xludf.DUMMYFUNCTION("""COMPUTED_VALUE"""),37.0)</f>
        <v>37</v>
      </c>
      <c r="D1963" s="4"/>
      <c r="E1963" s="4" t="str">
        <f>IFERROR(__xludf.DUMMYFUNCTION("""COMPUTED_VALUE"""),"Sin precio neto")</f>
        <v>Sin precio neto</v>
      </c>
    </row>
    <row r="1964">
      <c r="A1964" s="4" t="str">
        <f>IFERROR(__xludf.DUMMYFUNCTION("""COMPUTED_VALUE"""),"962570N1")</f>
        <v>962570N1</v>
      </c>
      <c r="B1964" s="4" t="str">
        <f>IFERROR(__xludf.DUMMYFUNCTION("""COMPUTED_VALUE"""),"Señal MOPU informativa 25x70 cm Reflex I")</f>
        <v>Señal MOPU informativa 25x70 cm Reflex I</v>
      </c>
      <c r="C1964" s="4">
        <f>IFERROR(__xludf.DUMMYFUNCTION("""COMPUTED_VALUE"""),41.95)</f>
        <v>41.95</v>
      </c>
      <c r="D1964" s="4"/>
      <c r="E1964" s="4" t="str">
        <f>IFERROR(__xludf.DUMMYFUNCTION("""COMPUTED_VALUE"""),"Sin precio neto")</f>
        <v>Sin precio neto</v>
      </c>
    </row>
    <row r="1965">
      <c r="A1965" s="4" t="str">
        <f>IFERROR(__xludf.DUMMYFUNCTION("""COMPUTED_VALUE"""),"962570N1F")</f>
        <v>962570N1F</v>
      </c>
      <c r="B1965" s="4" t="str">
        <f>IFERROR(__xludf.DUMMYFUNCTION("""COMPUTED_VALUE"""),"Señal MOPU informativa 25x70 cm Nivel 1 Flechada")</f>
        <v>Señal MOPU informativa 25x70 cm Nivel 1 Flechada</v>
      </c>
      <c r="C1965" s="4">
        <f>IFERROR(__xludf.DUMMYFUNCTION("""COMPUTED_VALUE"""),41.95)</f>
        <v>41.95</v>
      </c>
      <c r="D1965" s="4"/>
      <c r="E1965" s="4" t="str">
        <f>IFERROR(__xludf.DUMMYFUNCTION("""COMPUTED_VALUE"""),"Sin precio neto")</f>
        <v>Sin precio neto</v>
      </c>
    </row>
    <row r="1966">
      <c r="A1966" s="4" t="str">
        <f>IFERROR(__xludf.DUMMYFUNCTION("""COMPUTED_VALUE"""),"962570N2")</f>
        <v>962570N2</v>
      </c>
      <c r="B1966" s="4" t="str">
        <f>IFERROR(__xludf.DUMMYFUNCTION("""COMPUTED_VALUE"""),"Señal MOPU informativa 25x70 cm Reflex II")</f>
        <v>Señal MOPU informativa 25x70 cm Reflex II</v>
      </c>
      <c r="C1966" s="4">
        <f>IFERROR(__xludf.DUMMYFUNCTION("""COMPUTED_VALUE"""),47.73)</f>
        <v>47.73</v>
      </c>
      <c r="D1966" s="4"/>
      <c r="E1966" s="4" t="str">
        <f>IFERROR(__xludf.DUMMYFUNCTION("""COMPUTED_VALUE"""),"Sin precio neto")</f>
        <v>Sin precio neto</v>
      </c>
    </row>
    <row r="1967">
      <c r="A1967" s="4" t="str">
        <f>IFERROR(__xludf.DUMMYFUNCTION("""COMPUTED_VALUE"""),"962570N2F")</f>
        <v>962570N2F</v>
      </c>
      <c r="B1967" s="4" t="str">
        <f>IFERROR(__xludf.DUMMYFUNCTION("""COMPUTED_VALUE"""),"Señal MOPU informativa 25x70 cm Nivel 2 Flechada")</f>
        <v>Señal MOPU informativa 25x70 cm Nivel 2 Flechada</v>
      </c>
      <c r="C1967" s="4">
        <f>IFERROR(__xludf.DUMMYFUNCTION("""COMPUTED_VALUE"""),47.73)</f>
        <v>47.73</v>
      </c>
      <c r="D1967" s="4"/>
      <c r="E1967" s="4" t="str">
        <f>IFERROR(__xludf.DUMMYFUNCTION("""COMPUTED_VALUE"""),"Sin precio neto")</f>
        <v>Sin precio neto</v>
      </c>
    </row>
    <row r="1968">
      <c r="A1968" s="4" t="str">
        <f>IFERROR(__xludf.DUMMYFUNCTION("""COMPUTED_VALUE"""),"962570N3")</f>
        <v>962570N3</v>
      </c>
      <c r="B1968" s="4" t="str">
        <f>IFERROR(__xludf.DUMMYFUNCTION("""COMPUTED_VALUE"""),"Señal MOPU informativa 25x70 cm Reflex III")</f>
        <v>Señal MOPU informativa 25x70 cm Reflex III</v>
      </c>
      <c r="C1968" s="4">
        <f>IFERROR(__xludf.DUMMYFUNCTION("""COMPUTED_VALUE"""),53.5)</f>
        <v>53.5</v>
      </c>
      <c r="D1968" s="4"/>
      <c r="E1968" s="4" t="str">
        <f>IFERROR(__xludf.DUMMYFUNCTION("""COMPUTED_VALUE"""),"Sin precio neto")</f>
        <v>Sin precio neto</v>
      </c>
    </row>
    <row r="1969">
      <c r="A1969" s="4" t="str">
        <f>IFERROR(__xludf.DUMMYFUNCTION("""COMPUTED_VALUE"""),"962570N3F")</f>
        <v>962570N3F</v>
      </c>
      <c r="B1969" s="4" t="str">
        <f>IFERROR(__xludf.DUMMYFUNCTION("""COMPUTED_VALUE"""),"Señal MOPU informativa 25x70 cm Nivel 3 Flechada")</f>
        <v>Señal MOPU informativa 25x70 cm Nivel 3 Flechada</v>
      </c>
      <c r="C1969" s="4">
        <f>IFERROR(__xludf.DUMMYFUNCTION("""COMPUTED_VALUE"""),54.0)</f>
        <v>54</v>
      </c>
      <c r="D1969" s="4"/>
      <c r="E1969" s="4" t="str">
        <f>IFERROR(__xludf.DUMMYFUNCTION("""COMPUTED_VALUE"""),"Sin precio neto")</f>
        <v>Sin precio neto</v>
      </c>
    </row>
    <row r="1970">
      <c r="A1970" s="4" t="str">
        <f>IFERROR(__xludf.DUMMYFUNCTION("""COMPUTED_VALUE"""),"962570NF")</f>
        <v>962570NF</v>
      </c>
      <c r="B1970" s="4" t="str">
        <f>IFERROR(__xludf.DUMMYFUNCTION("""COMPUTED_VALUE"""),"Señal MOPU informativa 25x70 cm Normal flechada")</f>
        <v>Señal MOPU informativa 25x70 cm Normal flechada</v>
      </c>
      <c r="C1970" s="4">
        <f>IFERROR(__xludf.DUMMYFUNCTION("""COMPUTED_VALUE"""),39.33)</f>
        <v>39.33</v>
      </c>
      <c r="D1970" s="4"/>
      <c r="E1970" s="4" t="str">
        <f>IFERROR(__xludf.DUMMYFUNCTION("""COMPUTED_VALUE"""),"Sin precio neto")</f>
        <v>Sin precio neto</v>
      </c>
    </row>
    <row r="1971">
      <c r="A1971" s="4" t="str">
        <f>IFERROR(__xludf.DUMMYFUNCTION("""COMPUTED_VALUE"""),"962595N")</f>
        <v>962595N</v>
      </c>
      <c r="B1971" s="4" t="str">
        <f>IFERROR(__xludf.DUMMYFUNCTION("""COMPUTED_VALUE"""),"Señal MOPU informativa 25x95 cm Normal")</f>
        <v>Señal MOPU informativa 25x95 cm Normal</v>
      </c>
      <c r="C1971" s="4">
        <f>IFERROR(__xludf.DUMMYFUNCTION("""COMPUTED_VALUE"""),40.38)</f>
        <v>40.38</v>
      </c>
      <c r="D1971" s="4"/>
      <c r="E1971" s="4" t="str">
        <f>IFERROR(__xludf.DUMMYFUNCTION("""COMPUTED_VALUE"""),"Sin precio neto")</f>
        <v>Sin precio neto</v>
      </c>
    </row>
    <row r="1972">
      <c r="A1972" s="4" t="str">
        <f>IFERROR(__xludf.DUMMYFUNCTION("""COMPUTED_VALUE"""),"962595N1")</f>
        <v>962595N1</v>
      </c>
      <c r="B1972" s="4" t="str">
        <f>IFERROR(__xludf.DUMMYFUNCTION("""COMPUTED_VALUE"""),"Señal MOPU informativa 25x95 cm Reflex I")</f>
        <v>Señal MOPU informativa 25x95 cm Reflex I</v>
      </c>
      <c r="C1972" s="4">
        <f>IFERROR(__xludf.DUMMYFUNCTION("""COMPUTED_VALUE"""),46.13)</f>
        <v>46.13</v>
      </c>
      <c r="D1972" s="4"/>
      <c r="E1972" s="4" t="str">
        <f>IFERROR(__xludf.DUMMYFUNCTION("""COMPUTED_VALUE"""),"Sin precio neto")</f>
        <v>Sin precio neto</v>
      </c>
    </row>
    <row r="1973">
      <c r="A1973" s="4" t="str">
        <f>IFERROR(__xludf.DUMMYFUNCTION("""COMPUTED_VALUE"""),"962595N3")</f>
        <v>962595N3</v>
      </c>
      <c r="B1973" s="4" t="str">
        <f>IFERROR(__xludf.DUMMYFUNCTION("""COMPUTED_VALUE"""),"Señal MOPU informativa 25x95 cm Reflex III")</f>
        <v>Señal MOPU informativa 25x95 cm Reflex III</v>
      </c>
      <c r="C1973" s="4">
        <f>IFERROR(__xludf.DUMMYFUNCTION("""COMPUTED_VALUE"""),62.85)</f>
        <v>62.85</v>
      </c>
      <c r="D1973" s="4"/>
      <c r="E1973" s="4" t="str">
        <f>IFERROR(__xludf.DUMMYFUNCTION("""COMPUTED_VALUE"""),"Sin precio neto")</f>
        <v>Sin precio neto</v>
      </c>
    </row>
    <row r="1974">
      <c r="A1974" s="4" t="str">
        <f>IFERROR(__xludf.DUMMYFUNCTION("""COMPUTED_VALUE"""),"9630120N")</f>
        <v>9630120N</v>
      </c>
      <c r="B1974" s="4" t="str">
        <f>IFERROR(__xludf.DUMMYFUNCTION("""COMPUTED_VALUE"""),"Señal MOPU informativa 30x120 cm Normal")</f>
        <v>Señal MOPU informativa 30x120 cm Normal</v>
      </c>
      <c r="C1974" s="4">
        <f>IFERROR(__xludf.DUMMYFUNCTION("""COMPUTED_VALUE"""),53.5)</f>
        <v>53.5</v>
      </c>
      <c r="D1974" s="4"/>
      <c r="E1974" s="4" t="str">
        <f>IFERROR(__xludf.DUMMYFUNCTION("""COMPUTED_VALUE"""),"Sin precio neto")</f>
        <v>Sin precio neto</v>
      </c>
    </row>
    <row r="1975">
      <c r="A1975" s="4" t="str">
        <f>IFERROR(__xludf.DUMMYFUNCTION("""COMPUTED_VALUE"""),"9630120N1")</f>
        <v>9630120N1</v>
      </c>
      <c r="B1975" s="4" t="str">
        <f>IFERROR(__xludf.DUMMYFUNCTION("""COMPUTED_VALUE"""),"Señal MOPU informativa 30x120 cm Reflex I")</f>
        <v>Señal MOPU informativa 30x120 cm Reflex I</v>
      </c>
      <c r="C1975" s="4">
        <f>IFERROR(__xludf.DUMMYFUNCTION("""COMPUTED_VALUE"""),67.9)</f>
        <v>67.9</v>
      </c>
      <c r="D1975" s="4"/>
      <c r="E1975" s="4" t="str">
        <f>IFERROR(__xludf.DUMMYFUNCTION("""COMPUTED_VALUE"""),"Sin precio neto")</f>
        <v>Sin precio neto</v>
      </c>
    </row>
    <row r="1976">
      <c r="A1976" s="4" t="str">
        <f>IFERROR(__xludf.DUMMYFUNCTION("""COMPUTED_VALUE"""),"9630145N")</f>
        <v>9630145N</v>
      </c>
      <c r="B1976" s="4" t="str">
        <f>IFERROR(__xludf.DUMMYFUNCTION("""COMPUTED_VALUE"""),"Señal MOPU informativa 30x145 cm Normal")</f>
        <v>Señal MOPU informativa 30x145 cm Normal</v>
      </c>
      <c r="C1976" s="4">
        <f>IFERROR(__xludf.DUMMYFUNCTION("""COMPUTED_VALUE"""),85.05)</f>
        <v>85.05</v>
      </c>
      <c r="D1976" s="4"/>
      <c r="E1976" s="4" t="str">
        <f>IFERROR(__xludf.DUMMYFUNCTION("""COMPUTED_VALUE"""),"Sin precio neto")</f>
        <v>Sin precio neto</v>
      </c>
    </row>
    <row r="1977">
      <c r="A1977" s="4" t="str">
        <f>IFERROR(__xludf.DUMMYFUNCTION("""COMPUTED_VALUE"""),"9630145N1")</f>
        <v>9630145N1</v>
      </c>
      <c r="B1977" s="4" t="str">
        <f>IFERROR(__xludf.DUMMYFUNCTION("""COMPUTED_VALUE"""),"Señal MOPU informativa 30x145 cm Reflex I")</f>
        <v>Señal MOPU informativa 30x145 cm Reflex I</v>
      </c>
      <c r="C1977" s="4">
        <f>IFERROR(__xludf.DUMMYFUNCTION("""COMPUTED_VALUE"""),80.5)</f>
        <v>80.5</v>
      </c>
      <c r="D1977" s="4"/>
      <c r="E1977" s="4" t="str">
        <f>IFERROR(__xludf.DUMMYFUNCTION("""COMPUTED_VALUE"""),"Sin precio neto")</f>
        <v>Sin precio neto</v>
      </c>
    </row>
    <row r="1978">
      <c r="A1978" s="4" t="str">
        <f>IFERROR(__xludf.DUMMYFUNCTION("""COMPUTED_VALUE"""),"9630145N1F")</f>
        <v>9630145N1F</v>
      </c>
      <c r="B1978" s="4" t="str">
        <f>IFERROR(__xludf.DUMMYFUNCTION("""COMPUTED_VALUE"""),"Señal informativa 30x145 cm Nivel 1 Flechada")</f>
        <v>Señal informativa 30x145 cm Nivel 1 Flechada</v>
      </c>
      <c r="C1978" s="4">
        <f>IFERROR(__xludf.DUMMYFUNCTION("""COMPUTED_VALUE"""),84.45)</f>
        <v>84.45</v>
      </c>
      <c r="D1978" s="4"/>
      <c r="E1978" s="4" t="str">
        <f>IFERROR(__xludf.DUMMYFUNCTION("""COMPUTED_VALUE"""),"Sin precio neto")</f>
        <v>Sin precio neto</v>
      </c>
    </row>
    <row r="1979">
      <c r="A1979" s="4" t="str">
        <f>IFERROR(__xludf.DUMMYFUNCTION("""COMPUTED_VALUE"""),"9630145N2")</f>
        <v>9630145N2</v>
      </c>
      <c r="B1979" s="4" t="str">
        <f>IFERROR(__xludf.DUMMYFUNCTION("""COMPUTED_VALUE"""),"Señal MOPU informativa 30x145 cm Reflex II")</f>
        <v>Señal MOPU informativa 30x145 cm Reflex II</v>
      </c>
      <c r="C1979" s="4">
        <f>IFERROR(__xludf.DUMMYFUNCTION("""COMPUTED_VALUE"""),102.5)</f>
        <v>102.5</v>
      </c>
      <c r="D1979" s="4"/>
      <c r="E1979" s="4" t="str">
        <f>IFERROR(__xludf.DUMMYFUNCTION("""COMPUTED_VALUE"""),"Sin precio neto")</f>
        <v>Sin precio neto</v>
      </c>
    </row>
    <row r="1980">
      <c r="A1980" s="4" t="str">
        <f>IFERROR(__xludf.DUMMYFUNCTION("""COMPUTED_VALUE"""),"9630145N2F")</f>
        <v>9630145N2F</v>
      </c>
      <c r="B1980" s="4" t="str">
        <f>IFERROR(__xludf.DUMMYFUNCTION("""COMPUTED_VALUE"""),"Señal informativa 30x145 cm Nivel 2 Flechada")</f>
        <v>Señal informativa 30x145 cm Nivel 2 Flechada</v>
      </c>
      <c r="C1980" s="4">
        <f>IFERROR(__xludf.DUMMYFUNCTION("""COMPUTED_VALUE"""),102.33)</f>
        <v>102.33</v>
      </c>
      <c r="D1980" s="4"/>
      <c r="E1980" s="4" t="str">
        <f>IFERROR(__xludf.DUMMYFUNCTION("""COMPUTED_VALUE"""),"Sin precio neto")</f>
        <v>Sin precio neto</v>
      </c>
    </row>
    <row r="1981">
      <c r="A1981" s="4" t="str">
        <f>IFERROR(__xludf.DUMMYFUNCTION("""COMPUTED_VALUE"""),"9630145N3")</f>
        <v>9630145N3</v>
      </c>
      <c r="B1981" s="4" t="str">
        <f>IFERROR(__xludf.DUMMYFUNCTION("""COMPUTED_VALUE"""),"Señal MOPu informativa 30x145 cm Reflex III")</f>
        <v>Señal MOPu informativa 30x145 cm Reflex III</v>
      </c>
      <c r="C1981" s="4">
        <f>IFERROR(__xludf.DUMMYFUNCTION("""COMPUTED_VALUE"""),106.0)</f>
        <v>106</v>
      </c>
      <c r="D1981" s="4"/>
      <c r="E1981" s="4" t="str">
        <f>IFERROR(__xludf.DUMMYFUNCTION("""COMPUTED_VALUE"""),"Sin precio neto")</f>
        <v>Sin precio neto</v>
      </c>
    </row>
    <row r="1982">
      <c r="A1982" s="4" t="str">
        <f>IFERROR(__xludf.DUMMYFUNCTION("""COMPUTED_VALUE"""),"9630145N3F")</f>
        <v>9630145N3F</v>
      </c>
      <c r="B1982" s="4" t="str">
        <f>IFERROR(__xludf.DUMMYFUNCTION("""COMPUTED_VALUE"""),"Señal informativa 30x145 cm Nivel 3 Flechada")</f>
        <v>Señal informativa 30x145 cm Nivel 3 Flechada</v>
      </c>
      <c r="C1982" s="4">
        <f>IFERROR(__xludf.DUMMYFUNCTION("""COMPUTED_VALUE"""),117.5)</f>
        <v>117.5</v>
      </c>
      <c r="D1982" s="4"/>
      <c r="E1982" s="4" t="str">
        <f>IFERROR(__xludf.DUMMYFUNCTION("""COMPUTED_VALUE"""),"Sin precio neto")</f>
        <v>Sin precio neto</v>
      </c>
    </row>
    <row r="1983">
      <c r="A1983" s="4" t="str">
        <f>IFERROR(__xludf.DUMMYFUNCTION("""COMPUTED_VALUE"""),"9630145NF")</f>
        <v>9630145NF</v>
      </c>
      <c r="B1983" s="4" t="str">
        <f>IFERROR(__xludf.DUMMYFUNCTION("""COMPUTED_VALUE"""),"Señal informativa 30x145 cm Normal Flechada")</f>
        <v>Señal informativa 30x145 cm Normal Flechada</v>
      </c>
      <c r="C1983" s="4">
        <f>IFERROR(__xludf.DUMMYFUNCTION("""COMPUTED_VALUE"""),69.15)</f>
        <v>69.15</v>
      </c>
      <c r="D1983" s="4"/>
      <c r="E1983" s="4" t="str">
        <f>IFERROR(__xludf.DUMMYFUNCTION("""COMPUTED_VALUE"""),"Sin precio neto")</f>
        <v>Sin precio neto</v>
      </c>
    </row>
    <row r="1984">
      <c r="A1984" s="4" t="str">
        <f>IFERROR(__xludf.DUMMYFUNCTION("""COMPUTED_VALUE"""),"963095N")</f>
        <v>963095N</v>
      </c>
      <c r="B1984" s="4" t="str">
        <f>IFERROR(__xludf.DUMMYFUNCTION("""COMPUTED_VALUE"""),"Señal MOPU informativa 30x95 cm Normal")</f>
        <v>Señal MOPU informativa 30x95 cm Normal</v>
      </c>
      <c r="C1984" s="4">
        <f>IFERROR(__xludf.DUMMYFUNCTION("""COMPUTED_VALUE"""),47.9)</f>
        <v>47.9</v>
      </c>
      <c r="D1984" s="4"/>
      <c r="E1984" s="4" t="str">
        <f>IFERROR(__xludf.DUMMYFUNCTION("""COMPUTED_VALUE"""),"Sin precio neto")</f>
        <v>Sin precio neto</v>
      </c>
    </row>
    <row r="1985">
      <c r="A1985" s="4" t="str">
        <f>IFERROR(__xludf.DUMMYFUNCTION("""COMPUTED_VALUE"""),"963095N1")</f>
        <v>963095N1</v>
      </c>
      <c r="B1985" s="4" t="str">
        <f>IFERROR(__xludf.DUMMYFUNCTION("""COMPUTED_VALUE"""),"Señal MOPU informativa 30x95 cm Reflex I")</f>
        <v>Señal MOPU informativa 30x95 cm Reflex I</v>
      </c>
      <c r="C1985" s="4">
        <f>IFERROR(__xludf.DUMMYFUNCTION("""COMPUTED_VALUE"""),52.9)</f>
        <v>52.9</v>
      </c>
      <c r="D1985" s="4"/>
      <c r="E1985" s="4" t="str">
        <f>IFERROR(__xludf.DUMMYFUNCTION("""COMPUTED_VALUE"""),"Sin precio neto")</f>
        <v>Sin precio neto</v>
      </c>
    </row>
    <row r="1986">
      <c r="A1986" s="4" t="str">
        <f>IFERROR(__xludf.DUMMYFUNCTION("""COMPUTED_VALUE"""),"963095N1F")</f>
        <v>963095N1F</v>
      </c>
      <c r="B1986" s="4" t="str">
        <f>IFERROR(__xludf.DUMMYFUNCTION("""COMPUTED_VALUE"""),"Señal MOPU informativa 30x95 Nivel 1 Flechada")</f>
        <v>Señal MOPU informativa 30x95 Nivel 1 Flechada</v>
      </c>
      <c r="C1986" s="4">
        <f>IFERROR(__xludf.DUMMYFUNCTION("""COMPUTED_VALUE"""),52.92)</f>
        <v>52.92</v>
      </c>
      <c r="D1986" s="4"/>
      <c r="E1986" s="4" t="str">
        <f>IFERROR(__xludf.DUMMYFUNCTION("""COMPUTED_VALUE"""),"Sin precio neto")</f>
        <v>Sin precio neto</v>
      </c>
    </row>
    <row r="1987">
      <c r="A1987" s="4" t="str">
        <f>IFERROR(__xludf.DUMMYFUNCTION("""COMPUTED_VALUE"""),"963095N2")</f>
        <v>963095N2</v>
      </c>
      <c r="B1987" s="4" t="str">
        <f>IFERROR(__xludf.DUMMYFUNCTION("""COMPUTED_VALUE"""),"Señal MOPU informativa 30x95 cm Reflex II")</f>
        <v>Señal MOPU informativa 30x95 cm Reflex II</v>
      </c>
      <c r="C1987" s="4">
        <f>IFERROR(__xludf.DUMMYFUNCTION("""COMPUTED_VALUE"""),59.325)</f>
        <v>59.325</v>
      </c>
      <c r="D1987" s="4"/>
      <c r="E1987" s="4" t="str">
        <f>IFERROR(__xludf.DUMMYFUNCTION("""COMPUTED_VALUE"""),"Sin precio neto")</f>
        <v>Sin precio neto</v>
      </c>
    </row>
    <row r="1988">
      <c r="A1988" s="4" t="str">
        <f>IFERROR(__xludf.DUMMYFUNCTION("""COMPUTED_VALUE"""),"963095N2F")</f>
        <v>963095N2F</v>
      </c>
      <c r="B1988" s="4" t="str">
        <f>IFERROR(__xludf.DUMMYFUNCTION("""COMPUTED_VALUE"""),"Señal MOPU informativa 30x95 Nivel 2 Flechada")</f>
        <v>Señal MOPU informativa 30x95 Nivel 2 Flechada</v>
      </c>
      <c r="C1988" s="4">
        <f>IFERROR(__xludf.DUMMYFUNCTION("""COMPUTED_VALUE"""),61.33)</f>
        <v>61.33</v>
      </c>
      <c r="D1988" s="4"/>
      <c r="E1988" s="4" t="str">
        <f>IFERROR(__xludf.DUMMYFUNCTION("""COMPUTED_VALUE"""),"Sin precio neto")</f>
        <v>Sin precio neto</v>
      </c>
    </row>
    <row r="1989">
      <c r="A1989" s="4" t="str">
        <f>IFERROR(__xludf.DUMMYFUNCTION("""COMPUTED_VALUE"""),"963095N3")</f>
        <v>963095N3</v>
      </c>
      <c r="B1989" s="4" t="str">
        <f>IFERROR(__xludf.DUMMYFUNCTION("""COMPUTED_VALUE"""),"Señal MOPU informativa 30x95 cm Reflex III")</f>
        <v>Señal MOPU informativa 30x95 cm Reflex III</v>
      </c>
      <c r="C1989" s="4">
        <f>IFERROR(__xludf.DUMMYFUNCTION("""COMPUTED_VALUE"""),64.0)</f>
        <v>64</v>
      </c>
      <c r="D1989" s="4"/>
      <c r="E1989" s="4" t="str">
        <f>IFERROR(__xludf.DUMMYFUNCTION("""COMPUTED_VALUE"""),"Sin precio neto")</f>
        <v>Sin precio neto</v>
      </c>
    </row>
    <row r="1990">
      <c r="A1990" s="4" t="str">
        <f>IFERROR(__xludf.DUMMYFUNCTION("""COMPUTED_VALUE"""),"963095N3F")</f>
        <v>963095N3F</v>
      </c>
      <c r="B1990" s="4" t="str">
        <f>IFERROR(__xludf.DUMMYFUNCTION("""COMPUTED_VALUE"""),"Señal MOPU informativa 30x95 Nivel 3 Flechada")</f>
        <v>Señal MOPU informativa 30x95 Nivel 3 Flechada</v>
      </c>
      <c r="C1990" s="4">
        <f>IFERROR(__xludf.DUMMYFUNCTION("""COMPUTED_VALUE"""),67.15)</f>
        <v>67.15</v>
      </c>
      <c r="D1990" s="4"/>
      <c r="E1990" s="4" t="str">
        <f>IFERROR(__xludf.DUMMYFUNCTION("""COMPUTED_VALUE"""),"Sin precio neto")</f>
        <v>Sin precio neto</v>
      </c>
    </row>
    <row r="1991">
      <c r="A1991" s="4" t="str">
        <f>IFERROR(__xludf.DUMMYFUNCTION("""COMPUTED_VALUE"""),"963095NF")</f>
        <v>963095NF</v>
      </c>
      <c r="B1991" s="4" t="str">
        <f>IFERROR(__xludf.DUMMYFUNCTION("""COMPUTED_VALUE"""),"Señal MOPU informativa 30x95 Normal Flechada")</f>
        <v>Señal MOPU informativa 30x95 Normal Flechada</v>
      </c>
      <c r="C1991" s="4">
        <f>IFERROR(__xludf.DUMMYFUNCTION("""COMPUTED_VALUE"""),47.15)</f>
        <v>47.15</v>
      </c>
      <c r="D1991" s="4"/>
      <c r="E1991" s="4" t="str">
        <f>IFERROR(__xludf.DUMMYFUNCTION("""COMPUTED_VALUE"""),"Sin precio neto")</f>
        <v>Sin precio neto</v>
      </c>
    </row>
    <row r="1992">
      <c r="A1992" s="4" t="str">
        <f>IFERROR(__xludf.DUMMYFUNCTION("""COMPUTED_VALUE"""),"9640120N")</f>
        <v>9640120N</v>
      </c>
      <c r="B1992" s="4" t="str">
        <f>IFERROR(__xludf.DUMMYFUNCTION("""COMPUTED_VALUE"""),"Señal MOPU informativa 40x120 cm Normal")</f>
        <v>Señal MOPU informativa 40x120 cm Normal</v>
      </c>
      <c r="C1992" s="4">
        <f>IFERROR(__xludf.DUMMYFUNCTION("""COMPUTED_VALUE"""),79.2)</f>
        <v>79.2</v>
      </c>
      <c r="D1992" s="4"/>
      <c r="E1992" s="4" t="str">
        <f>IFERROR(__xludf.DUMMYFUNCTION("""COMPUTED_VALUE"""),"Sin precio neto")</f>
        <v>Sin precio neto</v>
      </c>
    </row>
    <row r="1993">
      <c r="A1993" s="4" t="str">
        <f>IFERROR(__xludf.DUMMYFUNCTION("""COMPUTED_VALUE"""),"9640120N1")</f>
        <v>9640120N1</v>
      </c>
      <c r="B1993" s="4" t="str">
        <f>IFERROR(__xludf.DUMMYFUNCTION("""COMPUTED_VALUE"""),"Señal MOPU informativa 40x120 cm Reflex I")</f>
        <v>Señal MOPU informativa 40x120 cm Reflex I</v>
      </c>
      <c r="C1993" s="4">
        <f>IFERROR(__xludf.DUMMYFUNCTION("""COMPUTED_VALUE"""),73.0)</f>
        <v>73</v>
      </c>
      <c r="D1993" s="4"/>
      <c r="E1993" s="4" t="str">
        <f>IFERROR(__xludf.DUMMYFUNCTION("""COMPUTED_VALUE"""),"Sin precio neto")</f>
        <v>Sin precio neto</v>
      </c>
    </row>
    <row r="1994">
      <c r="A1994" s="4" t="str">
        <f>IFERROR(__xludf.DUMMYFUNCTION("""COMPUTED_VALUE"""),"9640120N1F")</f>
        <v>9640120N1F</v>
      </c>
      <c r="B1994" s="4" t="str">
        <f>IFERROR(__xludf.DUMMYFUNCTION("""COMPUTED_VALUE"""),"Señal MOPU informativa 40x120 cm Nivel 1 flechada")</f>
        <v>Señal MOPU informativa 40x120 cm Nivel 1 flechada</v>
      </c>
      <c r="C1994" s="4">
        <f>IFERROR(__xludf.DUMMYFUNCTION("""COMPUTED_VALUE"""),78.7)</f>
        <v>78.7</v>
      </c>
      <c r="D1994" s="4"/>
      <c r="E1994" s="4" t="str">
        <f>IFERROR(__xludf.DUMMYFUNCTION("""COMPUTED_VALUE"""),"Sin precio neto")</f>
        <v>Sin precio neto</v>
      </c>
    </row>
    <row r="1995">
      <c r="A1995" s="4" t="str">
        <f>IFERROR(__xludf.DUMMYFUNCTION("""COMPUTED_VALUE"""),"9640120N2")</f>
        <v>9640120N2</v>
      </c>
      <c r="B1995" s="4" t="str">
        <f>IFERROR(__xludf.DUMMYFUNCTION("""COMPUTED_VALUE"""),"Señal MOPU informativa 40x120 cm Reflex II")</f>
        <v>Señal MOPU informativa 40x120 cm Reflex II</v>
      </c>
      <c r="C1995" s="4">
        <f>IFERROR(__xludf.DUMMYFUNCTION("""COMPUTED_VALUE"""),87.5)</f>
        <v>87.5</v>
      </c>
      <c r="D1995" s="4"/>
      <c r="E1995" s="4" t="str">
        <f>IFERROR(__xludf.DUMMYFUNCTION("""COMPUTED_VALUE"""),"Sin precio neto")</f>
        <v>Sin precio neto</v>
      </c>
    </row>
    <row r="1996">
      <c r="A1996" s="4" t="str">
        <f>IFERROR(__xludf.DUMMYFUNCTION("""COMPUTED_VALUE"""),"9640120N2F")</f>
        <v>9640120N2F</v>
      </c>
      <c r="B1996" s="4" t="str">
        <f>IFERROR(__xludf.DUMMYFUNCTION("""COMPUTED_VALUE"""),"Señal MOPU informativa 40x120 cm Nivel 2 flechada")</f>
        <v>Señal MOPU informativa 40x120 cm Nivel 2 flechada</v>
      </c>
      <c r="C1996" s="4">
        <f>IFERROR(__xludf.DUMMYFUNCTION("""COMPUTED_VALUE"""),91.28)</f>
        <v>91.28</v>
      </c>
      <c r="D1996" s="4"/>
      <c r="E1996" s="4" t="str">
        <f>IFERROR(__xludf.DUMMYFUNCTION("""COMPUTED_VALUE"""),"Sin precio neto")</f>
        <v>Sin precio neto</v>
      </c>
    </row>
    <row r="1997">
      <c r="A1997" s="4" t="str">
        <f>IFERROR(__xludf.DUMMYFUNCTION("""COMPUTED_VALUE"""),"9640120N3")</f>
        <v>9640120N3</v>
      </c>
      <c r="B1997" s="4" t="str">
        <f>IFERROR(__xludf.DUMMYFUNCTION("""COMPUTED_VALUE"""),"Señal MOPU inforrmativa 40x120 cm Reflex III")</f>
        <v>Señal MOPU inforrmativa 40x120 cm Reflex III</v>
      </c>
      <c r="C1997" s="4">
        <f>IFERROR(__xludf.DUMMYFUNCTION("""COMPUTED_VALUE"""),121.0)</f>
        <v>121</v>
      </c>
      <c r="D1997" s="4"/>
      <c r="E1997" s="4" t="str">
        <f>IFERROR(__xludf.DUMMYFUNCTION("""COMPUTED_VALUE"""),"Sin precio neto")</f>
        <v>Sin precio neto</v>
      </c>
    </row>
    <row r="1998">
      <c r="A1998" s="4" t="str">
        <f>IFERROR(__xludf.DUMMYFUNCTION("""COMPUTED_VALUE"""),"9640120N3F")</f>
        <v>9640120N3F</v>
      </c>
      <c r="B1998" s="4" t="str">
        <f>IFERROR(__xludf.DUMMYFUNCTION("""COMPUTED_VALUE"""),"Señal MOPU informativa 40x120 cm Nivel 3 flechada")</f>
        <v>Señal MOPU informativa 40x120 cm Nivel 3 flechada</v>
      </c>
      <c r="C1998" s="4">
        <f>IFERROR(__xludf.DUMMYFUNCTION("""COMPUTED_VALUE"""),134.3)</f>
        <v>134.3</v>
      </c>
      <c r="D1998" s="4"/>
      <c r="E1998" s="4" t="str">
        <f>IFERROR(__xludf.DUMMYFUNCTION("""COMPUTED_VALUE"""),"Sin precio neto")</f>
        <v>Sin precio neto</v>
      </c>
    </row>
    <row r="1999">
      <c r="A1999" s="4" t="str">
        <f>IFERROR(__xludf.DUMMYFUNCTION("""COMPUTED_VALUE"""),"9640120NF")</f>
        <v>9640120NF</v>
      </c>
      <c r="B1999" s="4" t="str">
        <f>IFERROR(__xludf.DUMMYFUNCTION("""COMPUTED_VALUE"""),"Señal MOPU informativa 40x120 cm Normal Flechada")</f>
        <v>Señal MOPU informativa 40x120 cm Normal Flechada</v>
      </c>
      <c r="C1999" s="4">
        <f>IFERROR(__xludf.DUMMYFUNCTION("""COMPUTED_VALUE"""),69.2)</f>
        <v>69.2</v>
      </c>
      <c r="D1999" s="4"/>
      <c r="E1999" s="4" t="str">
        <f>IFERROR(__xludf.DUMMYFUNCTION("""COMPUTED_VALUE"""),"Sin precio neto")</f>
        <v>Sin precio neto</v>
      </c>
    </row>
    <row r="2000">
      <c r="A2000" s="4" t="str">
        <f>IFERROR(__xludf.DUMMYFUNCTION("""COMPUTED_VALUE"""),"9640170N1")</f>
        <v>9640170N1</v>
      </c>
      <c r="B2000" s="4" t="str">
        <f>IFERROR(__xludf.DUMMYFUNCTION("""COMPUTED_VALUE"""),"Señal MOPU complementaria 40x170 Nivel 1")</f>
        <v>Señal MOPU complementaria 40x170 Nivel 1</v>
      </c>
      <c r="C2000" s="4">
        <f>IFERROR(__xludf.DUMMYFUNCTION("""COMPUTED_VALUE"""),107.5)</f>
        <v>107.5</v>
      </c>
      <c r="D2000" s="4"/>
      <c r="E2000" s="4" t="str">
        <f>IFERROR(__xludf.DUMMYFUNCTION("""COMPUTED_VALUE"""),"Sin precio neto")</f>
        <v>Sin precio neto</v>
      </c>
    </row>
    <row r="2001">
      <c r="A2001" s="4" t="str">
        <f>IFERROR(__xludf.DUMMYFUNCTION("""COMPUTED_VALUE"""),"9640195N")</f>
        <v>9640195N</v>
      </c>
      <c r="B2001" s="4" t="str">
        <f>IFERROR(__xludf.DUMMYFUNCTION("""COMPUTED_VALUE"""),"Señal MOPU informativa 40x195 cm Normal")</f>
        <v>Señal MOPU informativa 40x195 cm Normal</v>
      </c>
      <c r="C2001" s="4">
        <f>IFERROR(__xludf.DUMMYFUNCTION("""COMPUTED_VALUE"""),114.2)</f>
        <v>114.2</v>
      </c>
      <c r="D2001" s="4"/>
      <c r="E2001" s="4" t="str">
        <f>IFERROR(__xludf.DUMMYFUNCTION("""COMPUTED_VALUE"""),"Sin precio neto")</f>
        <v>Sin precio neto</v>
      </c>
    </row>
    <row r="2002">
      <c r="A2002" s="4" t="str">
        <f>IFERROR(__xludf.DUMMYFUNCTION("""COMPUTED_VALUE"""),"9640195N1")</f>
        <v>9640195N1</v>
      </c>
      <c r="B2002" s="4" t="str">
        <f>IFERROR(__xludf.DUMMYFUNCTION("""COMPUTED_VALUE"""),"Señal MOPU informativa 40x195 cm Nivel 1")</f>
        <v>Señal MOPU informativa 40x195 cm Nivel 1</v>
      </c>
      <c r="C2002" s="4">
        <f>IFERROR(__xludf.DUMMYFUNCTION("""COMPUTED_VALUE"""),122.9)</f>
        <v>122.9</v>
      </c>
      <c r="D2002" s="4"/>
      <c r="E2002" s="4" t="str">
        <f>IFERROR(__xludf.DUMMYFUNCTION("""COMPUTED_VALUE"""),"Sin precio neto")</f>
        <v>Sin precio neto</v>
      </c>
    </row>
    <row r="2003">
      <c r="A2003" s="4" t="str">
        <f>IFERROR(__xludf.DUMMYFUNCTION("""COMPUTED_VALUE"""),"9640195N1F")</f>
        <v>9640195N1F</v>
      </c>
      <c r="B2003" s="4" t="str">
        <f>IFERROR(__xludf.DUMMYFUNCTION("""COMPUTED_VALUE"""),"Señal MOPU informativa 40x195 cm Nivel 1 Flechada")</f>
        <v>Señal MOPU informativa 40x195 cm Nivel 1 Flechada</v>
      </c>
      <c r="C2003" s="4">
        <f>IFERROR(__xludf.DUMMYFUNCTION("""COMPUTED_VALUE"""),122.9)</f>
        <v>122.9</v>
      </c>
      <c r="D2003" s="4"/>
      <c r="E2003" s="4" t="str">
        <f>IFERROR(__xludf.DUMMYFUNCTION("""COMPUTED_VALUE"""),"Sin precio neto")</f>
        <v>Sin precio neto</v>
      </c>
    </row>
    <row r="2004">
      <c r="A2004" s="4" t="str">
        <f>IFERROR(__xludf.DUMMYFUNCTION("""COMPUTED_VALUE"""),"9640195N2")</f>
        <v>9640195N2</v>
      </c>
      <c r="B2004" s="4" t="str">
        <f>IFERROR(__xludf.DUMMYFUNCTION("""COMPUTED_VALUE"""),"Señal MOPU informativa 40x195 cm Nivel 2")</f>
        <v>Señal MOPU informativa 40x195 cm Nivel 2</v>
      </c>
      <c r="C2004" s="4">
        <f>IFERROR(__xludf.DUMMYFUNCTION("""COMPUTED_VALUE"""),149.25)</f>
        <v>149.25</v>
      </c>
      <c r="D2004" s="4"/>
      <c r="E2004" s="4" t="str">
        <f>IFERROR(__xludf.DUMMYFUNCTION("""COMPUTED_VALUE"""),"Sin precio neto")</f>
        <v>Sin precio neto</v>
      </c>
    </row>
    <row r="2005">
      <c r="A2005" s="4" t="str">
        <f>IFERROR(__xludf.DUMMYFUNCTION("""COMPUTED_VALUE"""),"9640195N2F")</f>
        <v>9640195N2F</v>
      </c>
      <c r="B2005" s="4" t="str">
        <f>IFERROR(__xludf.DUMMYFUNCTION("""COMPUTED_VALUE"""),"Señal MOPU informativa 40x195 cm Nivel 2 flechada")</f>
        <v>Señal MOPU informativa 40x195 cm Nivel 2 flechada</v>
      </c>
      <c r="C2005" s="4">
        <f>IFERROR(__xludf.DUMMYFUNCTION("""COMPUTED_VALUE"""),149.25)</f>
        <v>149.25</v>
      </c>
      <c r="D2005" s="4"/>
      <c r="E2005" s="4" t="str">
        <f>IFERROR(__xludf.DUMMYFUNCTION("""COMPUTED_VALUE"""),"Sin precio neto")</f>
        <v>Sin precio neto</v>
      </c>
    </row>
    <row r="2006">
      <c r="A2006" s="4" t="str">
        <f>IFERROR(__xludf.DUMMYFUNCTION("""COMPUTED_VALUE"""),"9640195N3")</f>
        <v>9640195N3</v>
      </c>
      <c r="B2006" s="4" t="str">
        <f>IFERROR(__xludf.DUMMYFUNCTION("""COMPUTED_VALUE"""),"Señal MOPU informativa 40x195 cm Nivel 3")</f>
        <v>Señal MOPU informativa 40x195 cm Nivel 3</v>
      </c>
      <c r="C2006" s="4">
        <f>IFERROR(__xludf.DUMMYFUNCTION("""COMPUTED_VALUE"""),157.25)</f>
        <v>157.25</v>
      </c>
      <c r="D2006" s="4"/>
      <c r="E2006" s="4" t="str">
        <f>IFERROR(__xludf.DUMMYFUNCTION("""COMPUTED_VALUE"""),"Sin precio neto")</f>
        <v>Sin precio neto</v>
      </c>
    </row>
    <row r="2007">
      <c r="A2007" s="4" t="str">
        <f>IFERROR(__xludf.DUMMYFUNCTION("""COMPUTED_VALUE"""),"9640195N3F")</f>
        <v>9640195N3F</v>
      </c>
      <c r="B2007" s="4" t="str">
        <f>IFERROR(__xludf.DUMMYFUNCTION("""COMPUTED_VALUE"""),"Señal MOPU informativa 40x195 cm Nivel 3 Flechada")</f>
        <v>Señal MOPU informativa 40x195 cm Nivel 3 Flechada</v>
      </c>
      <c r="C2007" s="4">
        <f>IFERROR(__xludf.DUMMYFUNCTION("""COMPUTED_VALUE"""),157.25)</f>
        <v>157.25</v>
      </c>
      <c r="D2007" s="4"/>
      <c r="E2007" s="4" t="str">
        <f>IFERROR(__xludf.DUMMYFUNCTION("""COMPUTED_VALUE"""),"Sin precio neto")</f>
        <v>Sin precio neto</v>
      </c>
    </row>
    <row r="2008">
      <c r="A2008" s="4" t="str">
        <f>IFERROR(__xludf.DUMMYFUNCTION("""COMPUTED_VALUE"""),"9640195NF")</f>
        <v>9640195NF</v>
      </c>
      <c r="B2008" s="4" t="str">
        <f>IFERROR(__xludf.DUMMYFUNCTION("""COMPUTED_VALUE"""),"Señal MOPU informativa 40x195 cm Normal Flechada")</f>
        <v>Señal MOPU informativa 40x195 cm Normal Flechada</v>
      </c>
      <c r="C2008" s="4">
        <f>IFERROR(__xludf.DUMMYFUNCTION("""COMPUTED_VALUE"""),114.2)</f>
        <v>114.2</v>
      </c>
      <c r="D2008" s="4"/>
      <c r="E2008" s="4" t="str">
        <f>IFERROR(__xludf.DUMMYFUNCTION("""COMPUTED_VALUE"""),"Sin precio neto")</f>
        <v>Sin precio neto</v>
      </c>
    </row>
    <row r="2009">
      <c r="A2009" s="4" t="str">
        <f>IFERROR(__xludf.DUMMYFUNCTION("""COMPUTED_VALUE"""),"964595N")</f>
        <v>964595N</v>
      </c>
      <c r="B2009" s="4" t="str">
        <f>IFERROR(__xludf.DUMMYFUNCTION("""COMPUTED_VALUE"""),"Señal MOPU informativa 45x95 cm Normal")</f>
        <v>Señal MOPU informativa 45x95 cm Normal</v>
      </c>
      <c r="C2009" s="4">
        <f>IFERROR(__xludf.DUMMYFUNCTION("""COMPUTED_VALUE"""),65.225)</f>
        <v>65.225</v>
      </c>
      <c r="D2009" s="4"/>
      <c r="E2009" s="4" t="str">
        <f>IFERROR(__xludf.DUMMYFUNCTION("""COMPUTED_VALUE"""),"Sin precio neto")</f>
        <v>Sin precio neto</v>
      </c>
    </row>
    <row r="2010">
      <c r="A2010" s="4" t="str">
        <f>IFERROR(__xludf.DUMMYFUNCTION("""COMPUTED_VALUE"""),"964595N1")</f>
        <v>964595N1</v>
      </c>
      <c r="B2010" s="4" t="str">
        <f>IFERROR(__xludf.DUMMYFUNCTION("""COMPUTED_VALUE"""),"Señal MOPU informativa 45x95 cm Nivel 1")</f>
        <v>Señal MOPU informativa 45x95 cm Nivel 1</v>
      </c>
      <c r="C2010" s="4">
        <f>IFERROR(__xludf.DUMMYFUNCTION("""COMPUTED_VALUE"""),74.25)</f>
        <v>74.25</v>
      </c>
      <c r="D2010" s="4"/>
      <c r="E2010" s="4" t="str">
        <f>IFERROR(__xludf.DUMMYFUNCTION("""COMPUTED_VALUE"""),"Sin precio neto")</f>
        <v>Sin precio neto</v>
      </c>
    </row>
    <row r="2011">
      <c r="A2011" s="4" t="str">
        <f>IFERROR(__xludf.DUMMYFUNCTION("""COMPUTED_VALUE"""),"964595N1F")</f>
        <v>964595N1F</v>
      </c>
      <c r="B2011" s="4" t="str">
        <f>IFERROR(__xludf.DUMMYFUNCTION("""COMPUTED_VALUE"""),"Señal MOPU informativa 45x95 cm Nivel 1 Flechada")</f>
        <v>Señal MOPU informativa 45x95 cm Nivel 1 Flechada</v>
      </c>
      <c r="C2011" s="4">
        <f>IFERROR(__xludf.DUMMYFUNCTION("""COMPUTED_VALUE"""),74.25)</f>
        <v>74.25</v>
      </c>
      <c r="D2011" s="4"/>
      <c r="E2011" s="4" t="str">
        <f>IFERROR(__xludf.DUMMYFUNCTION("""COMPUTED_VALUE"""),"Sin precio neto")</f>
        <v>Sin precio neto</v>
      </c>
    </row>
    <row r="2012">
      <c r="A2012" s="4" t="str">
        <f>IFERROR(__xludf.DUMMYFUNCTION("""COMPUTED_VALUE"""),"964595N2")</f>
        <v>964595N2</v>
      </c>
      <c r="B2012" s="4" t="str">
        <f>IFERROR(__xludf.DUMMYFUNCTION("""COMPUTED_VALUE"""),"Señal MOPU informativa 45x95 cm Nivel 2")</f>
        <v>Señal MOPU informativa 45x95 cm Nivel 2</v>
      </c>
      <c r="C2012" s="4">
        <f>IFERROR(__xludf.DUMMYFUNCTION("""COMPUTED_VALUE"""),84.25)</f>
        <v>84.25</v>
      </c>
      <c r="D2012" s="4"/>
      <c r="E2012" s="4" t="str">
        <f>IFERROR(__xludf.DUMMYFUNCTION("""COMPUTED_VALUE"""),"Sin precio neto")</f>
        <v>Sin precio neto</v>
      </c>
    </row>
    <row r="2013">
      <c r="A2013" s="4" t="str">
        <f>IFERROR(__xludf.DUMMYFUNCTION("""COMPUTED_VALUE"""),"964595N2F")</f>
        <v>964595N2F</v>
      </c>
      <c r="B2013" s="4" t="str">
        <f>IFERROR(__xludf.DUMMYFUNCTION("""COMPUTED_VALUE"""),"Señal MOPU informativa 45x95 cm Nivel 2 Flechada")</f>
        <v>Señal MOPU informativa 45x95 cm Nivel 2 Flechada</v>
      </c>
      <c r="C2013" s="4">
        <f>IFERROR(__xludf.DUMMYFUNCTION("""COMPUTED_VALUE"""),84.25)</f>
        <v>84.25</v>
      </c>
      <c r="D2013" s="4"/>
      <c r="E2013" s="4" t="str">
        <f>IFERROR(__xludf.DUMMYFUNCTION("""COMPUTED_VALUE"""),"Sin precio neto")</f>
        <v>Sin precio neto</v>
      </c>
    </row>
    <row r="2014">
      <c r="A2014" s="4" t="str">
        <f>IFERROR(__xludf.DUMMYFUNCTION("""COMPUTED_VALUE"""),"964595N3")</f>
        <v>964595N3</v>
      </c>
      <c r="B2014" s="4" t="str">
        <f>IFERROR(__xludf.DUMMYFUNCTION("""COMPUTED_VALUE"""),"Señal MOPU informativa 45x95 cm Nivel 3")</f>
        <v>Señal MOPU informativa 45x95 cm Nivel 3</v>
      </c>
      <c r="C2014" s="4">
        <f>IFERROR(__xludf.DUMMYFUNCTION("""COMPUTED_VALUE"""),99.25)</f>
        <v>99.25</v>
      </c>
      <c r="D2014" s="4"/>
      <c r="E2014" s="4" t="str">
        <f>IFERROR(__xludf.DUMMYFUNCTION("""COMPUTED_VALUE"""),"Sin precio neto")</f>
        <v>Sin precio neto</v>
      </c>
    </row>
    <row r="2015">
      <c r="A2015" s="4" t="str">
        <f>IFERROR(__xludf.DUMMYFUNCTION("""COMPUTED_VALUE"""),"964595N3F")</f>
        <v>964595N3F</v>
      </c>
      <c r="B2015" s="4" t="str">
        <f>IFERROR(__xludf.DUMMYFUNCTION("""COMPUTED_VALUE"""),"Señal MOPU informativa 45x95 cm Nivel 2 Flechada")</f>
        <v>Señal MOPU informativa 45x95 cm Nivel 2 Flechada</v>
      </c>
      <c r="C2015" s="4">
        <f>IFERROR(__xludf.DUMMYFUNCTION("""COMPUTED_VALUE"""),99.25)</f>
        <v>99.25</v>
      </c>
      <c r="D2015" s="4"/>
      <c r="E2015" s="4" t="str">
        <f>IFERROR(__xludf.DUMMYFUNCTION("""COMPUTED_VALUE"""),"Sin precio neto")</f>
        <v>Sin precio neto</v>
      </c>
    </row>
    <row r="2016">
      <c r="A2016" s="4" t="str">
        <f>IFERROR(__xludf.DUMMYFUNCTION("""COMPUTED_VALUE"""),"964595NF")</f>
        <v>964595NF</v>
      </c>
      <c r="B2016" s="4" t="str">
        <f>IFERROR(__xludf.DUMMYFUNCTION("""COMPUTED_VALUE"""),"Señal MOPU informativa 45x95 cm Normal Flechada")</f>
        <v>Señal MOPU informativa 45x95 cm Normal Flechada</v>
      </c>
      <c r="C2016" s="4">
        <f>IFERROR(__xludf.DUMMYFUNCTION("""COMPUTED_VALUE"""),65.225)</f>
        <v>65.225</v>
      </c>
      <c r="D2016" s="4"/>
      <c r="E2016" s="4" t="str">
        <f>IFERROR(__xludf.DUMMYFUNCTION("""COMPUTED_VALUE"""),"Sin precio neto")</f>
        <v>Sin precio neto</v>
      </c>
    </row>
    <row r="2017">
      <c r="A2017" s="4" t="str">
        <f>IFERROR(__xludf.DUMMYFUNCTION("""COMPUTED_VALUE"""),"9655120N")</f>
        <v>9655120N</v>
      </c>
      <c r="B2017" s="4" t="str">
        <f>IFERROR(__xludf.DUMMYFUNCTION("""COMPUTED_VALUE"""),"Señal MOPU informativa 55x120 cm Normal")</f>
        <v>Señal MOPU informativa 55x120 cm Normal</v>
      </c>
      <c r="C2017" s="4">
        <f>IFERROR(__xludf.DUMMYFUNCTION("""COMPUTED_VALUE"""),71.0)</f>
        <v>71</v>
      </c>
      <c r="D2017" s="4"/>
      <c r="E2017" s="4" t="str">
        <f>IFERROR(__xludf.DUMMYFUNCTION("""COMPUTED_VALUE"""),"Sin precio neto")</f>
        <v>Sin precio neto</v>
      </c>
    </row>
    <row r="2018">
      <c r="A2018" s="4" t="str">
        <f>IFERROR(__xludf.DUMMYFUNCTION("""COMPUTED_VALUE"""),"9655120N1")</f>
        <v>9655120N1</v>
      </c>
      <c r="B2018" s="4" t="str">
        <f>IFERROR(__xludf.DUMMYFUNCTION("""COMPUTED_VALUE"""),"Señal MOPU informativa 55x120 cm Reflex I")</f>
        <v>Señal MOPU informativa 55x120 cm Reflex I</v>
      </c>
      <c r="C2018" s="4">
        <f>IFERROR(__xludf.DUMMYFUNCTION("""COMPUTED_VALUE"""),84.0)</f>
        <v>84</v>
      </c>
      <c r="D2018" s="4"/>
      <c r="E2018" s="4" t="str">
        <f>IFERROR(__xludf.DUMMYFUNCTION("""COMPUTED_VALUE"""),"Sin precio neto")</f>
        <v>Sin precio neto</v>
      </c>
    </row>
    <row r="2019">
      <c r="A2019" s="4" t="str">
        <f>IFERROR(__xludf.DUMMYFUNCTION("""COMPUTED_VALUE"""),"9655120N1F")</f>
        <v>9655120N1F</v>
      </c>
      <c r="B2019" s="4" t="str">
        <f>IFERROR(__xludf.DUMMYFUNCTION("""COMPUTED_VALUE"""),"Señal MOPU informativa 55x120 cm Nivel 1 Flechada")</f>
        <v>Señal MOPU informativa 55x120 cm Nivel 1 Flechada</v>
      </c>
      <c r="C2019" s="4">
        <f>IFERROR(__xludf.DUMMYFUNCTION("""COMPUTED_VALUE"""),91.875)</f>
        <v>91.875</v>
      </c>
      <c r="D2019" s="4"/>
      <c r="E2019" s="4" t="str">
        <f>IFERROR(__xludf.DUMMYFUNCTION("""COMPUTED_VALUE"""),"Sin precio neto")</f>
        <v>Sin precio neto</v>
      </c>
    </row>
    <row r="2020">
      <c r="A2020" s="4" t="str">
        <f>IFERROR(__xludf.DUMMYFUNCTION("""COMPUTED_VALUE"""),"9655120N2")</f>
        <v>9655120N2</v>
      </c>
      <c r="B2020" s="4" t="str">
        <f>IFERROR(__xludf.DUMMYFUNCTION("""COMPUTED_VALUE"""),"Señal MOPU informativa 55x120 cm Reflex II")</f>
        <v>Señal MOPU informativa 55x120 cm Reflex II</v>
      </c>
      <c r="C2020" s="4">
        <f>IFERROR(__xludf.DUMMYFUNCTION("""COMPUTED_VALUE"""),112.0)</f>
        <v>112</v>
      </c>
      <c r="D2020" s="4"/>
      <c r="E2020" s="4" t="str">
        <f>IFERROR(__xludf.DUMMYFUNCTION("""COMPUTED_VALUE"""),"Sin precio neto")</f>
        <v>Sin precio neto</v>
      </c>
    </row>
    <row r="2021">
      <c r="A2021" s="4" t="str">
        <f>IFERROR(__xludf.DUMMYFUNCTION("""COMPUTED_VALUE"""),"9655120N2F")</f>
        <v>9655120N2F</v>
      </c>
      <c r="B2021" s="4" t="str">
        <f>IFERROR(__xludf.DUMMYFUNCTION("""COMPUTED_VALUE"""),"Señal MOPU informativa 55x120 cm Nivel 2 Flechada")</f>
        <v>Señal MOPU informativa 55x120 cm Nivel 2 Flechada</v>
      </c>
      <c r="C2021" s="4">
        <f>IFERROR(__xludf.DUMMYFUNCTION("""COMPUTED_VALUE"""),122.85)</f>
        <v>122.85</v>
      </c>
      <c r="D2021" s="4"/>
      <c r="E2021" s="4" t="str">
        <f>IFERROR(__xludf.DUMMYFUNCTION("""COMPUTED_VALUE"""),"Sin precio neto")</f>
        <v>Sin precio neto</v>
      </c>
    </row>
    <row r="2022">
      <c r="A2022" s="4" t="str">
        <f>IFERROR(__xludf.DUMMYFUNCTION("""COMPUTED_VALUE"""),"9655120N3")</f>
        <v>9655120N3</v>
      </c>
      <c r="B2022" s="4" t="str">
        <f>IFERROR(__xludf.DUMMYFUNCTION("""COMPUTED_VALUE"""),"Señal MOPU informativa 55x120 cm Reflex NIII")</f>
        <v>Señal MOPU informativa 55x120 cm Reflex NIII</v>
      </c>
      <c r="C2022" s="4">
        <f>IFERROR(__xludf.DUMMYFUNCTION("""COMPUTED_VALUE"""),159.5)</f>
        <v>159.5</v>
      </c>
      <c r="D2022" s="4"/>
      <c r="E2022" s="4" t="str">
        <f>IFERROR(__xludf.DUMMYFUNCTION("""COMPUTED_VALUE"""),"Sin precio neto")</f>
        <v>Sin precio neto</v>
      </c>
    </row>
    <row r="2023">
      <c r="A2023" s="4" t="str">
        <f>IFERROR(__xludf.DUMMYFUNCTION("""COMPUTED_VALUE"""),"9655120N3F")</f>
        <v>9655120N3F</v>
      </c>
      <c r="B2023" s="4" t="str">
        <f>IFERROR(__xludf.DUMMYFUNCTION("""COMPUTED_VALUE"""),"Señal MOPU informativa 55x120 cm Nivel 3 flechada")</f>
        <v>Señal MOPU informativa 55x120 cm Nivel 3 flechada</v>
      </c>
      <c r="C2023" s="4">
        <f>IFERROR(__xludf.DUMMYFUNCTION("""COMPUTED_VALUE"""),176.4)</f>
        <v>176.4</v>
      </c>
      <c r="D2023" s="4"/>
      <c r="E2023" s="4" t="str">
        <f>IFERROR(__xludf.DUMMYFUNCTION("""COMPUTED_VALUE"""),"Sin precio neto")</f>
        <v>Sin precio neto</v>
      </c>
    </row>
    <row r="2024">
      <c r="A2024" s="4" t="str">
        <f>IFERROR(__xludf.DUMMYFUNCTION("""COMPUTED_VALUE"""),"9655120NF")</f>
        <v>9655120NF</v>
      </c>
      <c r="B2024" s="4" t="str">
        <f>IFERROR(__xludf.DUMMYFUNCTION("""COMPUTED_VALUE"""),"Señal MOPU informativa 55x120 cm Normal Flechada")</f>
        <v>Señal MOPU informativa 55x120 cm Normal Flechada</v>
      </c>
      <c r="C2024" s="4">
        <f>IFERROR(__xludf.DUMMYFUNCTION("""COMPUTED_VALUE"""),98.7)</f>
        <v>98.7</v>
      </c>
      <c r="D2024" s="4"/>
      <c r="E2024" s="4" t="str">
        <f>IFERROR(__xludf.DUMMYFUNCTION("""COMPUTED_VALUE"""),"Sin precio neto")</f>
        <v>Sin precio neto</v>
      </c>
    </row>
    <row r="2025">
      <c r="A2025" s="4" t="str">
        <f>IFERROR(__xludf.DUMMYFUNCTION("""COMPUTED_VALUE"""),"9655170N2")</f>
        <v>9655170N2</v>
      </c>
      <c r="B2025" s="4" t="str">
        <f>IFERROR(__xludf.DUMMYFUNCTION("""COMPUTED_VALUE"""),"Señal MOPU informativa 55x170 cm Reflex II")</f>
        <v>Señal MOPU informativa 55x170 cm Reflex II</v>
      </c>
      <c r="C2025" s="4">
        <f>IFERROR(__xludf.DUMMYFUNCTION("""COMPUTED_VALUE"""),307.125)</f>
        <v>307.125</v>
      </c>
      <c r="D2025" s="4"/>
      <c r="E2025" s="4" t="str">
        <f>IFERROR(__xludf.DUMMYFUNCTION("""COMPUTED_VALUE"""),"Sin precio neto")</f>
        <v>Sin precio neto</v>
      </c>
    </row>
    <row r="2026">
      <c r="A2026" s="4" t="str">
        <f>IFERROR(__xludf.DUMMYFUNCTION("""COMPUTED_VALUE"""),"965595N")</f>
        <v>965595N</v>
      </c>
      <c r="B2026" s="4" t="str">
        <f>IFERROR(__xludf.DUMMYFUNCTION("""COMPUTED_VALUE"""),"Señal MOPU informativa 55x95 cm Normal")</f>
        <v>Señal MOPU informativa 55x95 cm Normal</v>
      </c>
      <c r="C2026" s="4">
        <f>IFERROR(__xludf.DUMMYFUNCTION("""COMPUTED_VALUE"""),65.25)</f>
        <v>65.25</v>
      </c>
      <c r="D2026" s="4"/>
      <c r="E2026" s="4" t="str">
        <f>IFERROR(__xludf.DUMMYFUNCTION("""COMPUTED_VALUE"""),"Sin precio neto")</f>
        <v>Sin precio neto</v>
      </c>
    </row>
    <row r="2027">
      <c r="A2027" s="4" t="str">
        <f>IFERROR(__xludf.DUMMYFUNCTION("""COMPUTED_VALUE"""),"965595N1")</f>
        <v>965595N1</v>
      </c>
      <c r="B2027" s="4" t="str">
        <f>IFERROR(__xludf.DUMMYFUNCTION("""COMPUTED_VALUE"""),"Señal MOPU informativa 55x95 cm Reflex I")</f>
        <v>Señal MOPU informativa 55x95 cm Reflex I</v>
      </c>
      <c r="C2027" s="4">
        <f>IFERROR(__xludf.DUMMYFUNCTION("""COMPUTED_VALUE"""),60.0)</f>
        <v>60</v>
      </c>
      <c r="D2027" s="4"/>
      <c r="E2027" s="4" t="str">
        <f>IFERROR(__xludf.DUMMYFUNCTION("""COMPUTED_VALUE"""),"Sin precio neto")</f>
        <v>Sin precio neto</v>
      </c>
    </row>
    <row r="2028">
      <c r="A2028" s="4" t="str">
        <f>IFERROR(__xludf.DUMMYFUNCTION("""COMPUTED_VALUE"""),"965595N1F")</f>
        <v>965595N1F</v>
      </c>
      <c r="B2028" s="4" t="str">
        <f>IFERROR(__xludf.DUMMYFUNCTION("""COMPUTED_VALUE"""),"Señal MOPU informativa 55x95 cm Nivel 1 Flechada")</f>
        <v>Señal MOPU informativa 55x95 cm Nivel 1 Flechada</v>
      </c>
      <c r="C2028" s="4">
        <f>IFERROR(__xludf.DUMMYFUNCTION("""COMPUTED_VALUE"""),66.675)</f>
        <v>66.675</v>
      </c>
      <c r="D2028" s="4"/>
      <c r="E2028" s="4" t="str">
        <f>IFERROR(__xludf.DUMMYFUNCTION("""COMPUTED_VALUE"""),"Sin precio neto")</f>
        <v>Sin precio neto</v>
      </c>
    </row>
    <row r="2029">
      <c r="A2029" s="4" t="str">
        <f>IFERROR(__xludf.DUMMYFUNCTION("""COMPUTED_VALUE"""),"965595N2")</f>
        <v>965595N2</v>
      </c>
      <c r="B2029" s="4" t="str">
        <f>IFERROR(__xludf.DUMMYFUNCTION("""COMPUTED_VALUE"""),"Señal MOPU informativa 55X95 cm Reflex II")</f>
        <v>Señal MOPU informativa 55X95 cm Reflex II</v>
      </c>
      <c r="C2029" s="4">
        <f>IFERROR(__xludf.DUMMYFUNCTION("""COMPUTED_VALUE"""),77.0)</f>
        <v>77</v>
      </c>
      <c r="D2029" s="4"/>
      <c r="E2029" s="4" t="str">
        <f>IFERROR(__xludf.DUMMYFUNCTION("""COMPUTED_VALUE"""),"Sin precio neto")</f>
        <v>Sin precio neto</v>
      </c>
    </row>
    <row r="2030">
      <c r="A2030" s="4" t="str">
        <f>IFERROR(__xludf.DUMMYFUNCTION("""COMPUTED_VALUE"""),"965595N2F")</f>
        <v>965595N2F</v>
      </c>
      <c r="B2030" s="4" t="str">
        <f>IFERROR(__xludf.DUMMYFUNCTION("""COMPUTED_VALUE"""),"Señal MOPU informativa 55x95 cm Nivel 2 Flechada")</f>
        <v>Señal MOPU informativa 55x95 cm Nivel 2 Flechada</v>
      </c>
      <c r="C2030" s="4">
        <f>IFERROR(__xludf.DUMMYFUNCTION("""COMPUTED_VALUE"""),84.0)</f>
        <v>84</v>
      </c>
      <c r="D2030" s="4"/>
      <c r="E2030" s="4" t="str">
        <f>IFERROR(__xludf.DUMMYFUNCTION("""COMPUTED_VALUE"""),"Sin precio neto")</f>
        <v>Sin precio neto</v>
      </c>
    </row>
    <row r="2031">
      <c r="A2031" s="4" t="str">
        <f>IFERROR(__xludf.DUMMYFUNCTION("""COMPUTED_VALUE"""),"965595N3")</f>
        <v>965595N3</v>
      </c>
      <c r="B2031" s="4" t="str">
        <f>IFERROR(__xludf.DUMMYFUNCTION("""COMPUTED_VALUE"""),"Señal MOPU informativa 55x95 cm Reflex III")</f>
        <v>Señal MOPU informativa 55x95 cm Reflex III</v>
      </c>
      <c r="C2031" s="4">
        <f>IFERROR(__xludf.DUMMYFUNCTION("""COMPUTED_VALUE"""),144.5)</f>
        <v>144.5</v>
      </c>
      <c r="D2031" s="4"/>
      <c r="E2031" s="4" t="str">
        <f>IFERROR(__xludf.DUMMYFUNCTION("""COMPUTED_VALUE"""),"Sin precio neto")</f>
        <v>Sin precio neto</v>
      </c>
    </row>
    <row r="2032">
      <c r="A2032" s="4" t="str">
        <f>IFERROR(__xludf.DUMMYFUNCTION("""COMPUTED_VALUE"""),"965595N3F")</f>
        <v>965595N3F</v>
      </c>
      <c r="B2032" s="4" t="str">
        <f>IFERROR(__xludf.DUMMYFUNCTION("""COMPUTED_VALUE"""),"Señal MOPU informativa 55x95 cm Nivel 3 Flechada")</f>
        <v>Señal MOPU informativa 55x95 cm Nivel 3 Flechada</v>
      </c>
      <c r="C2032" s="4">
        <f>IFERROR(__xludf.DUMMYFUNCTION("""COMPUTED_VALUE"""),160.65)</f>
        <v>160.65</v>
      </c>
      <c r="D2032" s="4"/>
      <c r="E2032" s="4" t="str">
        <f>IFERROR(__xludf.DUMMYFUNCTION("""COMPUTED_VALUE"""),"Sin precio neto")</f>
        <v>Sin precio neto</v>
      </c>
    </row>
    <row r="2033">
      <c r="A2033" s="4" t="str">
        <f>IFERROR(__xludf.DUMMYFUNCTION("""COMPUTED_VALUE"""),"965595NF")</f>
        <v>965595NF</v>
      </c>
      <c r="B2033" s="4" t="str">
        <f>IFERROR(__xludf.DUMMYFUNCTION("""COMPUTED_VALUE"""),"Señal MOPU informativa 55x95 cm Normal Flechada")</f>
        <v>Señal MOPU informativa 55x95 cm Normal Flechada</v>
      </c>
      <c r="C2033" s="4">
        <f>IFERROR(__xludf.DUMMYFUNCTION("""COMPUTED_VALUE"""),60.375)</f>
        <v>60.375</v>
      </c>
      <c r="D2033" s="4"/>
      <c r="E2033" s="4" t="str">
        <f>IFERROR(__xludf.DUMMYFUNCTION("""COMPUTED_VALUE"""),"Sin precio neto")</f>
        <v>Sin precio neto</v>
      </c>
    </row>
    <row r="2034">
      <c r="A2034" s="4" t="str">
        <f>IFERROR(__xludf.DUMMYFUNCTION("""COMPUTED_VALUE"""),"9695145N")</f>
        <v>9695145N</v>
      </c>
      <c r="B2034" s="4" t="str">
        <f>IFERROR(__xludf.DUMMYFUNCTION("""COMPUTED_VALUE"""),"Señal MOPU informativa 95x145 cm Normal")</f>
        <v>Señal MOPU informativa 95x145 cm Normal</v>
      </c>
      <c r="C2034" s="4">
        <f>IFERROR(__xludf.DUMMYFUNCTION("""COMPUTED_VALUE"""),147.5)</f>
        <v>147.5</v>
      </c>
      <c r="D2034" s="4"/>
      <c r="E2034" s="4" t="str">
        <f>IFERROR(__xludf.DUMMYFUNCTION("""COMPUTED_VALUE"""),"Sin precio neto")</f>
        <v>Sin precio neto</v>
      </c>
    </row>
    <row r="2035">
      <c r="A2035" s="4" t="str">
        <f>IFERROR(__xludf.DUMMYFUNCTION("""COMPUTED_VALUE"""),"9700N")</f>
        <v>9700N</v>
      </c>
      <c r="B2035" s="4" t="str">
        <f>IFERROR(__xludf.DUMMYFUNCTION("""COMPUTED_VALUE"""),"Señal Aluminio Cuadrada 60 cm Normal")</f>
        <v>Señal Aluminio Cuadrada 60 cm Normal</v>
      </c>
      <c r="C2035" s="4">
        <f>IFERROR(__xludf.DUMMYFUNCTION("""COMPUTED_VALUE"""),31.0)</f>
        <v>31</v>
      </c>
      <c r="D2035" s="4"/>
      <c r="E2035" s="4" t="str">
        <f>IFERROR(__xludf.DUMMYFUNCTION("""COMPUTED_VALUE"""),"Sin precio neto")</f>
        <v>Sin precio neto</v>
      </c>
    </row>
    <row r="2036">
      <c r="A2036" s="4" t="str">
        <f>IFERROR(__xludf.DUMMYFUNCTION("""COMPUTED_VALUE"""),"9700N1")</f>
        <v>9700N1</v>
      </c>
      <c r="B2036" s="4" t="str">
        <f>IFERROR(__xludf.DUMMYFUNCTION("""COMPUTED_VALUE"""),"Señal Aluminio Cuadrada 60 cm Nivel 1")</f>
        <v>Señal Aluminio Cuadrada 60 cm Nivel 1</v>
      </c>
      <c r="C2036" s="4">
        <f>IFERROR(__xludf.DUMMYFUNCTION("""COMPUTED_VALUE"""),34.0)</f>
        <v>34</v>
      </c>
      <c r="D2036" s="4"/>
      <c r="E2036" s="4" t="str">
        <f>IFERROR(__xludf.DUMMYFUNCTION("""COMPUTED_VALUE"""),"Sin precio neto")</f>
        <v>Sin precio neto</v>
      </c>
    </row>
    <row r="2037">
      <c r="A2037" s="4" t="str">
        <f>IFERROR(__xludf.DUMMYFUNCTION("""COMPUTED_VALUE"""),"9716545N")</f>
        <v>9716545N</v>
      </c>
      <c r="B2037" s="4" t="str">
        <f>IFERROR(__xludf.DUMMYFUNCTION("""COMPUTED_VALUE"""),"Panel direccional A/B 165x45 cm Normal")</f>
        <v>Panel direccional A/B 165x45 cm Normal</v>
      </c>
      <c r="C2037" s="4">
        <f>IFERROR(__xludf.DUMMYFUNCTION("""COMPUTED_VALUE"""),74.0)</f>
        <v>74</v>
      </c>
      <c r="D2037" s="4"/>
      <c r="E2037" s="4" t="str">
        <f>IFERROR(__xludf.DUMMYFUNCTION("""COMPUTED_VALUE"""),"Sin precio neto")</f>
        <v>Sin precio neto</v>
      </c>
    </row>
    <row r="2038">
      <c r="A2038" s="4" t="str">
        <f>IFERROR(__xludf.DUMMYFUNCTION("""COMPUTED_VALUE"""),"9716545N1")</f>
        <v>9716545N1</v>
      </c>
      <c r="B2038" s="4" t="str">
        <f>IFERROR(__xludf.DUMMYFUNCTION("""COMPUTED_VALUE"""),"Panel direccional A/B 165x45 cm Reflex I")</f>
        <v>Panel direccional A/B 165x45 cm Reflex I</v>
      </c>
      <c r="C2038" s="4">
        <f>IFERROR(__xludf.DUMMYFUNCTION("""COMPUTED_VALUE"""),72.0)</f>
        <v>72</v>
      </c>
      <c r="D2038" s="4"/>
      <c r="E2038" s="4" t="str">
        <f>IFERROR(__xludf.DUMMYFUNCTION("""COMPUTED_VALUE"""),"Sin precio neto")</f>
        <v>Sin precio neto</v>
      </c>
    </row>
    <row r="2039">
      <c r="A2039" s="4" t="str">
        <f>IFERROR(__xludf.DUMMYFUNCTION("""COMPUTED_VALUE"""),"9716545N2")</f>
        <v>9716545N2</v>
      </c>
      <c r="B2039" s="4" t="str">
        <f>IFERROR(__xludf.DUMMYFUNCTION("""COMPUTED_VALUE"""),"Panel direccional A/B 165x45 cm Reflex II")</f>
        <v>Panel direccional A/B 165x45 cm Reflex II</v>
      </c>
      <c r="C2039" s="4">
        <f>IFERROR(__xludf.DUMMYFUNCTION("""COMPUTED_VALUE"""),106.0)</f>
        <v>106</v>
      </c>
      <c r="D2039" s="4"/>
      <c r="E2039" s="4" t="str">
        <f>IFERROR(__xludf.DUMMYFUNCTION("""COMPUTED_VALUE"""),"Sin precio neto")</f>
        <v>Sin precio neto</v>
      </c>
    </row>
    <row r="2040">
      <c r="A2040" s="4" t="str">
        <f>IFERROR(__xludf.DUMMYFUNCTION("""COMPUTED_VALUE"""),"9716545N3")</f>
        <v>9716545N3</v>
      </c>
      <c r="B2040" s="4" t="str">
        <f>IFERROR(__xludf.DUMMYFUNCTION("""COMPUTED_VALUE"""),"Panel direccional A/B 165x45 cm Reflex III")</f>
        <v>Panel direccional A/B 165x45 cm Reflex III</v>
      </c>
      <c r="C2040" s="4">
        <f>IFERROR(__xludf.DUMMYFUNCTION("""COMPUTED_VALUE"""),109.0)</f>
        <v>109</v>
      </c>
      <c r="D2040" s="4"/>
      <c r="E2040" s="4" t="str">
        <f>IFERROR(__xludf.DUMMYFUNCTION("""COMPUTED_VALUE"""),"Sin precio neto")</f>
        <v>Sin precio neto</v>
      </c>
    </row>
    <row r="2041">
      <c r="A2041" s="4" t="str">
        <f>IFERROR(__xludf.DUMMYFUNCTION("""COMPUTED_VALUE"""),"978040N")</f>
        <v>978040N</v>
      </c>
      <c r="B2041" s="4" t="str">
        <f>IFERROR(__xludf.DUMMYFUNCTION("""COMPUTED_VALUE"""),"Panel direccional A/B 80x40 cm Normal")</f>
        <v>Panel direccional A/B 80x40 cm Normal</v>
      </c>
      <c r="C2041" s="4">
        <f>IFERROR(__xludf.DUMMYFUNCTION("""COMPUTED_VALUE"""),31.0)</f>
        <v>31</v>
      </c>
      <c r="D2041" s="4"/>
      <c r="E2041" s="4" t="str">
        <f>IFERROR(__xludf.DUMMYFUNCTION("""COMPUTED_VALUE"""),"Sin precio neto")</f>
        <v>Sin precio neto</v>
      </c>
    </row>
    <row r="2042">
      <c r="A2042" s="4" t="str">
        <f>IFERROR(__xludf.DUMMYFUNCTION("""COMPUTED_VALUE"""),"978040N1")</f>
        <v>978040N1</v>
      </c>
      <c r="B2042" s="4" t="str">
        <f>IFERROR(__xludf.DUMMYFUNCTION("""COMPUTED_VALUE"""),"Panel direccional A/B 80x40 cm Reflex I")</f>
        <v>Panel direccional A/B 80x40 cm Reflex I</v>
      </c>
      <c r="C2042" s="4">
        <f>IFERROR(__xludf.DUMMYFUNCTION("""COMPUTED_VALUE"""),37.0)</f>
        <v>37</v>
      </c>
      <c r="D2042" s="4"/>
      <c r="E2042" s="4" t="str">
        <f>IFERROR(__xludf.DUMMYFUNCTION("""COMPUTED_VALUE"""),"Sin precio neto")</f>
        <v>Sin precio neto</v>
      </c>
    </row>
    <row r="2043">
      <c r="A2043" s="4" t="str">
        <f>IFERROR(__xludf.DUMMYFUNCTION("""COMPUTED_VALUE"""),"978040N2")</f>
        <v>978040N2</v>
      </c>
      <c r="B2043" s="4" t="str">
        <f>IFERROR(__xludf.DUMMYFUNCTION("""COMPUTED_VALUE"""),"Panel direccional A/B 80x40 cm Reflex II")</f>
        <v>Panel direccional A/B 80x40 cm Reflex II</v>
      </c>
      <c r="C2043" s="4">
        <f>IFERROR(__xludf.DUMMYFUNCTION("""COMPUTED_VALUE"""),42.0)</f>
        <v>42</v>
      </c>
      <c r="D2043" s="4"/>
      <c r="E2043" s="4" t="str">
        <f>IFERROR(__xludf.DUMMYFUNCTION("""COMPUTED_VALUE"""),"Sin precio neto")</f>
        <v>Sin precio neto</v>
      </c>
    </row>
    <row r="2044">
      <c r="A2044" s="4" t="str">
        <f>IFERROR(__xludf.DUMMYFUNCTION("""COMPUTED_VALUE"""),"978040N3")</f>
        <v>978040N3</v>
      </c>
      <c r="B2044" s="4" t="str">
        <f>IFERROR(__xludf.DUMMYFUNCTION("""COMPUTED_VALUE"""),"Panel direccional A/B 80x40 cm Reflex III")</f>
        <v>Panel direccional A/B 80x40 cm Reflex III</v>
      </c>
      <c r="C2044" s="4">
        <f>IFERROR(__xludf.DUMMYFUNCTION("""COMPUTED_VALUE"""),52.9)</f>
        <v>52.9</v>
      </c>
      <c r="D2044" s="4"/>
      <c r="E2044" s="4" t="str">
        <f>IFERROR(__xludf.DUMMYFUNCTION("""COMPUTED_VALUE"""),"Sin precio neto")</f>
        <v>Sin precio neto</v>
      </c>
    </row>
    <row r="2045">
      <c r="A2045" s="4" t="str">
        <f>IFERROR(__xludf.DUMMYFUNCTION("""COMPUTED_VALUE"""),"9800N")</f>
        <v>9800N</v>
      </c>
      <c r="B2045" s="4" t="str">
        <f>IFERROR(__xludf.DUMMYFUNCTION("""COMPUTED_VALUE"""),"Señal Aluminio Stop 60 cm Normal")</f>
        <v>Señal Aluminio Stop 60 cm Normal</v>
      </c>
      <c r="C2045" s="4">
        <f>IFERROR(__xludf.DUMMYFUNCTION("""COMPUTED_VALUE"""),31.0)</f>
        <v>31</v>
      </c>
      <c r="D2045" s="4"/>
      <c r="E2045" s="4" t="str">
        <f>IFERROR(__xludf.DUMMYFUNCTION("""COMPUTED_VALUE"""),"Sin precio neto")</f>
        <v>Sin precio neto</v>
      </c>
    </row>
    <row r="2046">
      <c r="A2046" s="4" t="str">
        <f>IFERROR(__xludf.DUMMYFUNCTION("""COMPUTED_VALUE"""),"9800N1")</f>
        <v>9800N1</v>
      </c>
      <c r="B2046" s="4" t="str">
        <f>IFERROR(__xludf.DUMMYFUNCTION("""COMPUTED_VALUE"""),"Señal Aluminio Stop 60 cm Nivel 1")</f>
        <v>Señal Aluminio Stop 60 cm Nivel 1</v>
      </c>
      <c r="C2046" s="4">
        <f>IFERROR(__xludf.DUMMYFUNCTION("""COMPUTED_VALUE"""),34.0)</f>
        <v>34</v>
      </c>
      <c r="D2046" s="4"/>
      <c r="E2046" s="4" t="str">
        <f>IFERROR(__xludf.DUMMYFUNCTION("""COMPUTED_VALUE"""),"Sin precio neto")</f>
        <v>Sin precio neto</v>
      </c>
    </row>
    <row r="2047">
      <c r="A2047" s="4" t="str">
        <f>IFERROR(__xludf.DUMMYFUNCTION("""COMPUTED_VALUE"""),"9900N")</f>
        <v>9900N</v>
      </c>
      <c r="B2047" s="4" t="str">
        <f>IFERROR(__xludf.DUMMYFUNCTION("""COMPUTED_VALUE"""),"Señal Aluminio Rectangular 60x30 cm Normal")</f>
        <v>Señal Aluminio Rectangular 60x30 cm Normal</v>
      </c>
      <c r="C2047" s="4">
        <f>IFERROR(__xludf.DUMMYFUNCTION("""COMPUTED_VALUE"""),17.0)</f>
        <v>17</v>
      </c>
      <c r="D2047" s="4"/>
      <c r="E2047" s="4" t="str">
        <f>IFERROR(__xludf.DUMMYFUNCTION("""COMPUTED_VALUE"""),"Sin precio neto")</f>
        <v>Sin precio neto</v>
      </c>
    </row>
    <row r="2048">
      <c r="A2048" s="4" t="str">
        <f>IFERROR(__xludf.DUMMYFUNCTION("""COMPUTED_VALUE"""),"9900N1")</f>
        <v>9900N1</v>
      </c>
      <c r="B2048" s="4" t="str">
        <f>IFERROR(__xludf.DUMMYFUNCTION("""COMPUTED_VALUE"""),"Señal Aluminio Rectangular 60x30 cm Nivel 1")</f>
        <v>Señal Aluminio Rectangular 60x30 cm Nivel 1</v>
      </c>
      <c r="C2048" s="4">
        <f>IFERROR(__xludf.DUMMYFUNCTION("""COMPUTED_VALUE"""),19.0)</f>
        <v>19</v>
      </c>
      <c r="D2048" s="4"/>
      <c r="E2048" s="4" t="str">
        <f>IFERROR(__xludf.DUMMYFUNCTION("""COMPUTED_VALUE"""),"Sin precio neto")</f>
        <v>Sin precio neto</v>
      </c>
    </row>
    <row r="2049">
      <c r="A2049" s="4" t="str">
        <f>IFERROR(__xludf.DUMMYFUNCTION("""COMPUTED_VALUE"""),"ABRAZADERA50-")</f>
        <v>ABRAZADERA50-</v>
      </c>
      <c r="B2049" s="4" t="str">
        <f>IFERROR(__xludf.DUMMYFUNCTION("""COMPUTED_VALUE"""),"Abrazadera completa para poste 50/60")</f>
        <v>Abrazadera completa para poste 50/60</v>
      </c>
      <c r="C2049" s="4">
        <f>IFERROR(__xludf.DUMMYFUNCTION("""COMPUTED_VALUE"""),4.75)</f>
        <v>4.75</v>
      </c>
      <c r="D2049" s="4"/>
      <c r="E2049" s="4" t="str">
        <f>IFERROR(__xludf.DUMMYFUNCTION("""COMPUTED_VALUE"""),"Sin precio neto")</f>
        <v>Sin precio neto</v>
      </c>
    </row>
    <row r="2050">
      <c r="A2050" s="4" t="str">
        <f>IFERROR(__xludf.DUMMYFUNCTION("""COMPUTED_VALUE"""),"ABRAZADERA80X")</f>
        <v>ABRAZADERA80X</v>
      </c>
      <c r="B2050" s="4" t="str">
        <f>IFERROR(__xludf.DUMMYFUNCTION("""COMPUTED_VALUE"""),"Abrazadera para poste de 80x40")</f>
        <v>Abrazadera para poste de 80x40</v>
      </c>
      <c r="C2050" s="4">
        <f>IFERROR(__xludf.DUMMYFUNCTION("""COMPUTED_VALUE"""),2.7)</f>
        <v>2.7</v>
      </c>
      <c r="D2050" s="4"/>
      <c r="E2050" s="4" t="str">
        <f>IFERROR(__xludf.DUMMYFUNCTION("""COMPUTED_VALUE"""),"Sin precio neto")</f>
        <v>Sin precio neto</v>
      </c>
    </row>
    <row r="2051">
      <c r="A2051" s="4" t="str">
        <f>IFERROR(__xludf.DUMMYFUNCTION("""COMPUTED_VALUE"""),"AL297105")</f>
        <v>AL297105</v>
      </c>
      <c r="B2051" s="4" t="str">
        <f>IFERROR(__xludf.DUMMYFUNCTION("""COMPUTED_VALUE"""),"Panel impreso aluminio 297x105 mm")</f>
        <v>Panel impreso aluminio 297x105 mm</v>
      </c>
      <c r="C2051" s="4">
        <f>IFERROR(__xludf.DUMMYFUNCTION("""COMPUTED_VALUE"""),2.15)</f>
        <v>2.15</v>
      </c>
      <c r="D2051" s="4"/>
      <c r="E2051" s="4" t="str">
        <f>IFERROR(__xludf.DUMMYFUNCTION("""COMPUTED_VALUE"""),"Sin precio neto")</f>
        <v>Sin precio neto</v>
      </c>
    </row>
    <row r="2052">
      <c r="A2052" s="4" t="str">
        <f>IFERROR(__xludf.DUMMYFUNCTION("""COMPUTED_VALUE"""),"AL320160")</f>
        <v>AL320160</v>
      </c>
      <c r="B2052" s="4" t="str">
        <f>IFERROR(__xludf.DUMMYFUNCTION("""COMPUTED_VALUE"""),"Panel impreso aluminio 320x160 mm")</f>
        <v>Panel impreso aluminio 320x160 mm</v>
      </c>
      <c r="C2052" s="4">
        <f>IFERROR(__xludf.DUMMYFUNCTION("""COMPUTED_VALUE"""),4.1)</f>
        <v>4.1</v>
      </c>
      <c r="D2052" s="4"/>
      <c r="E2052" s="4" t="str">
        <f>IFERROR(__xludf.DUMMYFUNCTION("""COMPUTED_VALUE"""),"Sin precio neto")</f>
        <v>Sin precio neto</v>
      </c>
    </row>
    <row r="2053">
      <c r="A2053" s="4" t="str">
        <f>IFERROR(__xludf.DUMMYFUNCTION("""COMPUTED_VALUE"""),"AL420320")</f>
        <v>AL420320</v>
      </c>
      <c r="B2053" s="4" t="str">
        <f>IFERROR(__xludf.DUMMYFUNCTION("""COMPUTED_VALUE"""),"Panel impreso aluminio 420x320 mm")</f>
        <v>Panel impreso aluminio 420x320 mm</v>
      </c>
      <c r="C2053" s="4">
        <f>IFERROR(__xludf.DUMMYFUNCTION("""COMPUTED_VALUE"""),10.76)</f>
        <v>10.76</v>
      </c>
      <c r="D2053" s="4"/>
      <c r="E2053" s="4" t="str">
        <f>IFERROR(__xludf.DUMMYFUNCTION("""COMPUTED_VALUE"""),"Sin precio neto")</f>
        <v>Sin precio neto</v>
      </c>
    </row>
    <row r="2054">
      <c r="A2054" s="4" t="str">
        <f>IFERROR(__xludf.DUMMYFUNCTION("""COMPUTED_VALUE"""),"AL630630")</f>
        <v>AL630630</v>
      </c>
      <c r="B2054" s="4" t="str">
        <f>IFERROR(__xludf.DUMMYFUNCTION("""COMPUTED_VALUE"""),"Panel impreso aluminio 630x630 mm")</f>
        <v>Panel impreso aluminio 630x630 mm</v>
      </c>
      <c r="C2054" s="4">
        <f>IFERROR(__xludf.DUMMYFUNCTION("""COMPUTED_VALUE"""),31.74)</f>
        <v>31.74</v>
      </c>
      <c r="D2054" s="4"/>
      <c r="E2054" s="4" t="str">
        <f>IFERROR(__xludf.DUMMYFUNCTION("""COMPUTED_VALUE"""),"Sin precio neto")</f>
        <v>Sin precio neto</v>
      </c>
    </row>
    <row r="2055">
      <c r="A2055" s="4" t="str">
        <f>IFERROR(__xludf.DUMMYFUNCTION("""COMPUTED_VALUE"""),"AL960480")</f>
        <v>AL960480</v>
      </c>
      <c r="B2055" s="4" t="str">
        <f>IFERROR(__xludf.DUMMYFUNCTION("""COMPUTED_VALUE"""),"Panel impreso aluminio 960x480")</f>
        <v>Panel impreso aluminio 960x480</v>
      </c>
      <c r="C2055" s="4">
        <f>IFERROR(__xludf.DUMMYFUNCTION("""COMPUTED_VALUE"""),37.4)</f>
        <v>37.4</v>
      </c>
      <c r="D2055" s="4"/>
      <c r="E2055" s="4" t="str">
        <f>IFERROR(__xludf.DUMMYFUNCTION("""COMPUTED_VALUE"""),"Sin precio neto")</f>
        <v>Sin precio neto</v>
      </c>
    </row>
    <row r="2056">
      <c r="A2056" s="4" t="str">
        <f>IFERROR(__xludf.DUMMYFUNCTION("""COMPUTED_VALUE"""),"ALA1")</f>
        <v>ALA1</v>
      </c>
      <c r="B2056" s="4" t="str">
        <f>IFERROR(__xludf.DUMMYFUNCTION("""COMPUTED_VALUE"""),"Panel impreso aluminio A1 (841x594 mm)")</f>
        <v>Panel impreso aluminio A1 (841x594 mm)</v>
      </c>
      <c r="C2056" s="4">
        <f>IFERROR(__xludf.DUMMYFUNCTION("""COMPUTED_VALUE"""),40.23)</f>
        <v>40.23</v>
      </c>
      <c r="D2056" s="4"/>
      <c r="E2056" s="4" t="str">
        <f>IFERROR(__xludf.DUMMYFUNCTION("""COMPUTED_VALUE"""),"Sin precio neto")</f>
        <v>Sin precio neto</v>
      </c>
    </row>
    <row r="2057">
      <c r="A2057" s="4" t="str">
        <f>IFERROR(__xludf.DUMMYFUNCTION("""COMPUTED_VALUE"""),"ALA2")</f>
        <v>ALA2</v>
      </c>
      <c r="B2057" s="4" t="str">
        <f>IFERROR(__xludf.DUMMYFUNCTION("""COMPUTED_VALUE"""),"Panel impreso aluminio A2 (594X420)")</f>
        <v>Panel impreso aluminio A2 (594X420)</v>
      </c>
      <c r="C2057" s="4">
        <f>IFERROR(__xludf.DUMMYFUNCTION("""COMPUTED_VALUE"""),2.115)</f>
        <v>2.115</v>
      </c>
      <c r="D2057" s="4"/>
      <c r="E2057" s="4" t="str">
        <f>IFERROR(__xludf.DUMMYFUNCTION("""COMPUTED_VALUE"""),"Sin precio neto")</f>
        <v>Sin precio neto</v>
      </c>
    </row>
    <row r="2058">
      <c r="A2058" s="4" t="str">
        <f>IFERROR(__xludf.DUMMYFUNCTION("""COMPUTED_VALUE"""),"ALA3")</f>
        <v>ALA3</v>
      </c>
      <c r="B2058" s="4" t="str">
        <f>IFERROR(__xludf.DUMMYFUNCTION("""COMPUTED_VALUE"""),"Panel impreso aluminio A3 (420X297 mm)")</f>
        <v>Panel impreso aluminio A3 (420X297 mm)</v>
      </c>
      <c r="C2058" s="4">
        <f>IFERROR(__xludf.DUMMYFUNCTION("""COMPUTED_VALUE"""),10.08)</f>
        <v>10.08</v>
      </c>
      <c r="D2058" s="4"/>
      <c r="E2058" s="4" t="str">
        <f>IFERROR(__xludf.DUMMYFUNCTION("""COMPUTED_VALUE"""),"Sin precio neto")</f>
        <v>Sin precio neto</v>
      </c>
    </row>
    <row r="2059">
      <c r="A2059" s="4" t="str">
        <f>IFERROR(__xludf.DUMMYFUNCTION("""COMPUTED_VALUE"""),"ALA4")</f>
        <v>ALA4</v>
      </c>
      <c r="B2059" s="4" t="str">
        <f>IFERROR(__xludf.DUMMYFUNCTION("""COMPUTED_VALUE"""),"Panel impreso aluminio A4 (297x210 mm)")</f>
        <v>Panel impreso aluminio A4 (297x210 mm)</v>
      </c>
      <c r="C2059" s="4">
        <f>IFERROR(__xludf.DUMMYFUNCTION("""COMPUTED_VALUE"""),5.04)</f>
        <v>5.04</v>
      </c>
      <c r="D2059" s="4"/>
      <c r="E2059" s="4" t="str">
        <f>IFERROR(__xludf.DUMMYFUNCTION("""COMPUTED_VALUE"""),"Sin precio neto")</f>
        <v>Sin precio neto</v>
      </c>
    </row>
    <row r="2060">
      <c r="A2060" s="4" t="str">
        <f>IFERROR(__xludf.DUMMYFUNCTION("""COMPUTED_VALUE"""),"ALA6")</f>
        <v>ALA6</v>
      </c>
      <c r="B2060" s="4" t="str">
        <f>IFERROR(__xludf.DUMMYFUNCTION("""COMPUTED_VALUE"""),"Panel impreso aluminio A6 (105x148 mm)")</f>
        <v>Panel impreso aluminio A6 (105x148 mm)</v>
      </c>
      <c r="C2060" s="4">
        <f>IFERROR(__xludf.DUMMYFUNCTION("""COMPUTED_VALUE"""),1.24)</f>
        <v>1.24</v>
      </c>
      <c r="D2060" s="4"/>
      <c r="E2060" s="4" t="str">
        <f>IFERROR(__xludf.DUMMYFUNCTION("""COMPUTED_VALUE"""),"Sin precio neto")</f>
        <v>Sin precio neto</v>
      </c>
    </row>
    <row r="2061">
      <c r="A2061" s="4" t="str">
        <f>IFERROR(__xludf.DUMMYFUNCTION("""COMPUTED_VALUE"""),"CBA3")</f>
        <v>CBA3</v>
      </c>
      <c r="B2061" s="4" t="str">
        <f>IFERROR(__xludf.DUMMYFUNCTION("""COMPUTED_VALUE"""),"Soporte cartel en banderola acero cartel 40x30 cm")</f>
        <v>Soporte cartel en banderola acero cartel 40x30 cm</v>
      </c>
      <c r="C2061" s="4">
        <f>IFERROR(__xludf.DUMMYFUNCTION("""COMPUTED_VALUE"""),3.4)</f>
        <v>3.4</v>
      </c>
      <c r="D2061" s="4"/>
      <c r="E2061" s="4" t="str">
        <f>IFERROR(__xludf.DUMMYFUNCTION("""COMPUTED_VALUE"""),"Sin precio neto")</f>
        <v>Sin precio neto</v>
      </c>
    </row>
    <row r="2062">
      <c r="A2062" s="4" t="str">
        <f>IFERROR(__xludf.DUMMYFUNCTION("""COMPUTED_VALUE"""),"CBA4")</f>
        <v>CBA4</v>
      </c>
      <c r="B2062" s="4" t="str">
        <f>IFERROR(__xludf.DUMMYFUNCTION("""COMPUTED_VALUE"""),"Soporte cartel en banderola acero cartel 21x29 cm")</f>
        <v>Soporte cartel en banderola acero cartel 21x29 cm</v>
      </c>
      <c r="C2062" s="4">
        <f>IFERROR(__xludf.DUMMYFUNCTION("""COMPUTED_VALUE"""),2.4)</f>
        <v>2.4</v>
      </c>
      <c r="D2062" s="4"/>
      <c r="E2062" s="4" t="str">
        <f>IFERROR(__xludf.DUMMYFUNCTION("""COMPUTED_VALUE"""),"Sin precio neto")</f>
        <v>Sin precio neto</v>
      </c>
    </row>
    <row r="2063">
      <c r="A2063" s="4" t="str">
        <f>IFERROR(__xludf.DUMMYFUNCTION("""COMPUTED_VALUE"""),"ESCRUADRA")</f>
        <v>ESCRUADRA</v>
      </c>
      <c r="B2063" s="4" t="str">
        <f>IFERROR(__xludf.DUMMYFUNCTION("""COMPUTED_VALUE"""),"Escuadra 9x8x1,8 cm. señal MOPU")</f>
        <v>Escuadra 9x8x1,8 cm. señal MOPU</v>
      </c>
      <c r="C2063" s="4">
        <f>IFERROR(__xludf.DUMMYFUNCTION("""COMPUTED_VALUE"""),2.25)</f>
        <v>2.25</v>
      </c>
      <c r="D2063" s="4"/>
      <c r="E2063" s="4" t="str">
        <f>IFERROR(__xludf.DUMMYFUNCTION("""COMPUTED_VALUE"""),"Sin precio neto")</f>
        <v>Sin precio neto</v>
      </c>
    </row>
    <row r="2064">
      <c r="A2064" s="4" t="str">
        <f>IFERROR(__xludf.DUMMYFUNCTION("""COMPUTED_VALUE"""),"ESCUADRA")</f>
        <v>ESCUADRA</v>
      </c>
      <c r="B2064" s="4" t="str">
        <f>IFERROR(__xludf.DUMMYFUNCTION("""COMPUTED_VALUE"""),"Escuadra 14x8x1,8 cm señal MOPU")</f>
        <v>Escuadra 14x8x1,8 cm señal MOPU</v>
      </c>
      <c r="C2064" s="4">
        <f>IFERROR(__xludf.DUMMYFUNCTION("""COMPUTED_VALUE"""),2.9)</f>
        <v>2.9</v>
      </c>
      <c r="D2064" s="4"/>
      <c r="E2064" s="4" t="str">
        <f>IFERROR(__xludf.DUMMYFUNCTION("""COMPUTED_VALUE"""),"Sin precio neto")</f>
        <v>Sin precio neto</v>
      </c>
    </row>
    <row r="2065">
      <c r="A2065" s="4" t="str">
        <f>IFERROR(__xludf.DUMMYFUNCTION("""COMPUTED_VALUE"""),"EXPOSIT SEÑAL")</f>
        <v>EXPOSIT SEÑAL</v>
      </c>
      <c r="B2065" s="4" t="str">
        <f>IFERROR(__xludf.DUMMYFUNCTION("""COMPUTED_VALUE"""),"Expositor Señalización SIN SEÑALES")</f>
        <v>Expositor Señalización SIN SEÑALES</v>
      </c>
      <c r="C2065" s="4">
        <f>IFERROR(__xludf.DUMMYFUNCTION("""COMPUTED_VALUE"""),250.0)</f>
        <v>250</v>
      </c>
      <c r="D2065" s="4">
        <f>IFERROR(__xludf.DUMMYFUNCTION("""COMPUTED_VALUE"""),150.0)</f>
        <v>150</v>
      </c>
      <c r="E2065" s="4" t="str">
        <f>IFERROR(__xludf.DUMMYFUNCTION("""COMPUTED_VALUE"""),"Neto: 150,00 € (a partir de 1 uds.)")</f>
        <v>Neto: 150,00 € (a partir de 1 uds.)</v>
      </c>
    </row>
    <row r="2066">
      <c r="A2066" s="4" t="str">
        <f>IFERROR(__xludf.DUMMYFUNCTION("""COMPUTED_VALUE"""),"EXPOSITOR")</f>
        <v>EXPOSITOR</v>
      </c>
      <c r="B2066" s="4" t="str">
        <f>IFERROR(__xludf.DUMMYFUNCTION("""COMPUTED_VALUE"""),"Expositor Señalización + Señales metálicas estándar")</f>
        <v>Expositor Señalización + Señales metálicas estándar</v>
      </c>
      <c r="C2066" s="4">
        <f>IFERROR(__xludf.DUMMYFUNCTION("""COMPUTED_VALUE"""),1200.0)</f>
        <v>1200</v>
      </c>
      <c r="D2066" s="4">
        <f>IFERROR(__xludf.DUMMYFUNCTION("""COMPUTED_VALUE"""),1000.0)</f>
        <v>1000</v>
      </c>
      <c r="E2066" s="4" t="str">
        <f>IFERROR(__xludf.DUMMYFUNCTION("""COMPUTED_VALUE"""),"Neto: 1000,00 € (a partir de 1 uds.)")</f>
        <v>Neto: 1000,00 € (a partir de 1 uds.)</v>
      </c>
    </row>
    <row r="2067">
      <c r="A2067" s="4" t="str">
        <f>IFERROR(__xludf.DUMMYFUNCTION("""COMPUTED_VALUE"""),"MCA1")</f>
        <v>MCA1</v>
      </c>
      <c r="B2067" s="4" t="str">
        <f>IFERROR(__xludf.DUMMYFUNCTION("""COMPUTED_VALUE"""),"Panel impreso Metacrilato colada 2 mm A1 (841x594 mm)")</f>
        <v>Panel impreso Metacrilato colada 2 mm A1 (841x594 mm)</v>
      </c>
      <c r="C2067" s="4">
        <f>IFERROR(__xludf.DUMMYFUNCTION("""COMPUTED_VALUE"""),32.52)</f>
        <v>32.52</v>
      </c>
      <c r="D2067" s="4"/>
      <c r="E2067" s="4" t="str">
        <f>IFERROR(__xludf.DUMMYFUNCTION("""COMPUTED_VALUE"""),"Sin precio neto")</f>
        <v>Sin precio neto</v>
      </c>
    </row>
    <row r="2068">
      <c r="A2068" s="4" t="str">
        <f>IFERROR(__xludf.DUMMYFUNCTION("""COMPUTED_VALUE"""),"MCA2")</f>
        <v>MCA2</v>
      </c>
      <c r="B2068" s="4" t="str">
        <f>IFERROR(__xludf.DUMMYFUNCTION("""COMPUTED_VALUE"""),"Panel impreso Metacrilato colada 2 mm A2 (594x420 mm)")</f>
        <v>Panel impreso Metacrilato colada 2 mm A2 (594x420 mm)</v>
      </c>
      <c r="C2068" s="4">
        <f>IFERROR(__xludf.DUMMYFUNCTION("""COMPUTED_VALUE"""),18.1)</f>
        <v>18.1</v>
      </c>
      <c r="D2068" s="4"/>
      <c r="E2068" s="4" t="str">
        <f>IFERROR(__xludf.DUMMYFUNCTION("""COMPUTED_VALUE"""),"Sin precio neto")</f>
        <v>Sin precio neto</v>
      </c>
    </row>
    <row r="2069">
      <c r="A2069" s="4" t="str">
        <f>IFERROR(__xludf.DUMMYFUNCTION("""COMPUTED_VALUE"""),"MCA3")</f>
        <v>MCA3</v>
      </c>
      <c r="B2069" s="4" t="str">
        <f>IFERROR(__xludf.DUMMYFUNCTION("""COMPUTED_VALUE"""),"Panel impreso Metacrilato colada 2 mm A3 (420x297 mm)")</f>
        <v>Panel impreso Metacrilato colada 2 mm A3 (420x297 mm)</v>
      </c>
      <c r="C2069" s="4">
        <f>IFERROR(__xludf.DUMMYFUNCTION("""COMPUTED_VALUE"""),11.88)</f>
        <v>11.88</v>
      </c>
      <c r="D2069" s="4"/>
      <c r="E2069" s="4" t="str">
        <f>IFERROR(__xludf.DUMMYFUNCTION("""COMPUTED_VALUE"""),"Sin precio neto")</f>
        <v>Sin precio neto</v>
      </c>
    </row>
    <row r="2070">
      <c r="A2070" s="4" t="str">
        <f>IFERROR(__xludf.DUMMYFUNCTION("""COMPUTED_VALUE"""),"MCA4")</f>
        <v>MCA4</v>
      </c>
      <c r="B2070" s="4" t="str">
        <f>IFERROR(__xludf.DUMMYFUNCTION("""COMPUTED_VALUE"""),"Panel impreso Metacrilato colada 2 mm A4 (210x297 mm)")</f>
        <v>Panel impreso Metacrilato colada 2 mm A4 (210x297 mm)</v>
      </c>
      <c r="C2070" s="4">
        <f>IFERROR(__xludf.DUMMYFUNCTION("""COMPUTED_VALUE"""),6.3)</f>
        <v>6.3</v>
      </c>
      <c r="D2070" s="4"/>
      <c r="E2070" s="4" t="str">
        <f>IFERROR(__xludf.DUMMYFUNCTION("""COMPUTED_VALUE"""),"Sin precio neto")</f>
        <v>Sin precio neto</v>
      </c>
    </row>
    <row r="2071">
      <c r="A2071" s="4" t="str">
        <f>IFERROR(__xludf.DUMMYFUNCTION("""COMPUTED_VALUE"""),"MCA5")</f>
        <v>MCA5</v>
      </c>
      <c r="B2071" s="4" t="str">
        <f>IFERROR(__xludf.DUMMYFUNCTION("""COMPUTED_VALUE"""),"Panel impreso Metacrilato colada 2 mm A5 (148x210 mm)")</f>
        <v>Panel impreso Metacrilato colada 2 mm A5 (148x210 mm)</v>
      </c>
      <c r="C2071" s="4">
        <f>IFERROR(__xludf.DUMMYFUNCTION("""COMPUTED_VALUE"""),3.4)</f>
        <v>3.4</v>
      </c>
      <c r="D2071" s="4"/>
      <c r="E2071" s="4" t="str">
        <f>IFERROR(__xludf.DUMMYFUNCTION("""COMPUTED_VALUE"""),"Sin precio neto")</f>
        <v>Sin precio neto</v>
      </c>
    </row>
    <row r="2072">
      <c r="A2072" s="4" t="str">
        <f>IFERROR(__xludf.DUMMYFUNCTION("""COMPUTED_VALUE"""),"MCA6")</f>
        <v>MCA6</v>
      </c>
      <c r="B2072" s="4" t="str">
        <f>IFERROR(__xludf.DUMMYFUNCTION("""COMPUTED_VALUE"""),"Panel impreso Metacrilato colada 2 mm A6 (148x105 mm)")</f>
        <v>Panel impreso Metacrilato colada 2 mm A6 (148x105 mm)</v>
      </c>
      <c r="C2072" s="4">
        <f>IFERROR(__xludf.DUMMYFUNCTION("""COMPUTED_VALUE"""),2.2)</f>
        <v>2.2</v>
      </c>
      <c r="D2072" s="4"/>
      <c r="E2072" s="4" t="str">
        <f>IFERROR(__xludf.DUMMYFUNCTION("""COMPUTED_VALUE"""),"Sin precio neto")</f>
        <v>Sin precio neto</v>
      </c>
    </row>
    <row r="2073">
      <c r="A2073" s="4" t="str">
        <f>IFERROR(__xludf.DUMMYFUNCTION("""COMPUTED_VALUE"""),"PASA1")</f>
        <v>PASA1</v>
      </c>
      <c r="B2073" s="4" t="str">
        <f>IFERROR(__xludf.DUMMYFUNCTION("""COMPUTED_VALUE"""),"Panel impreso Aluminio Sandwich 2mm/0.15 mm A1 (841x594")</f>
        <v>Panel impreso Aluminio Sandwich 2mm/0.15 mm A1 (841x594</v>
      </c>
      <c r="C2073" s="4">
        <f>IFERROR(__xludf.DUMMYFUNCTION("""COMPUTED_VALUE"""),29.55)</f>
        <v>29.55</v>
      </c>
      <c r="D2073" s="4"/>
      <c r="E2073" s="4" t="str">
        <f>IFERROR(__xludf.DUMMYFUNCTION("""COMPUTED_VALUE"""),"Sin precio neto")</f>
        <v>Sin precio neto</v>
      </c>
    </row>
    <row r="2074">
      <c r="A2074" s="4" t="str">
        <f>IFERROR(__xludf.DUMMYFUNCTION("""COMPUTED_VALUE"""),"PASA2")</f>
        <v>PASA2</v>
      </c>
      <c r="B2074" s="4" t="str">
        <f>IFERROR(__xludf.DUMMYFUNCTION("""COMPUTED_VALUE"""),"Panel impreso Aluminio Sandwich 2mm/0.15 mm A2 (594x420")</f>
        <v>Panel impreso Aluminio Sandwich 2mm/0.15 mm A2 (594x420</v>
      </c>
      <c r="C2074" s="4">
        <f>IFERROR(__xludf.DUMMYFUNCTION("""COMPUTED_VALUE"""),12.65)</f>
        <v>12.65</v>
      </c>
      <c r="D2074" s="4"/>
      <c r="E2074" s="4" t="str">
        <f>IFERROR(__xludf.DUMMYFUNCTION("""COMPUTED_VALUE"""),"Sin precio neto")</f>
        <v>Sin precio neto</v>
      </c>
    </row>
    <row r="2075">
      <c r="A2075" s="4" t="str">
        <f>IFERROR(__xludf.DUMMYFUNCTION("""COMPUTED_VALUE"""),"PASA3")</f>
        <v>PASA3</v>
      </c>
      <c r="B2075" s="4" t="str">
        <f>IFERROR(__xludf.DUMMYFUNCTION("""COMPUTED_VALUE"""),"Panel impreso Aluminio Sandwich 2mm/0.15 mm A3 (420x297")</f>
        <v>Panel impreso Aluminio Sandwich 2mm/0.15 mm A3 (420x297</v>
      </c>
      <c r="C2075" s="4">
        <f>IFERROR(__xludf.DUMMYFUNCTION("""COMPUTED_VALUE"""),5.075)</f>
        <v>5.075</v>
      </c>
      <c r="D2075" s="4"/>
      <c r="E2075" s="4" t="str">
        <f>IFERROR(__xludf.DUMMYFUNCTION("""COMPUTED_VALUE"""),"Sin precio neto")</f>
        <v>Sin precio neto</v>
      </c>
    </row>
    <row r="2076">
      <c r="A2076" s="4" t="str">
        <f>IFERROR(__xludf.DUMMYFUNCTION("""COMPUTED_VALUE"""),"PASA4")</f>
        <v>PASA4</v>
      </c>
      <c r="B2076" s="4" t="str">
        <f>IFERROR(__xludf.DUMMYFUNCTION("""COMPUTED_VALUE"""),"Panel impreso Aluminio Sandwich 2mm/0.15 mm A4 (297x210")</f>
        <v>Panel impreso Aluminio Sandwich 2mm/0.15 mm A4 (297x210</v>
      </c>
      <c r="C2076" s="4">
        <f>IFERROR(__xludf.DUMMYFUNCTION("""COMPUTED_VALUE"""),2.75)</f>
        <v>2.75</v>
      </c>
      <c r="D2076" s="4"/>
      <c r="E2076" s="4" t="str">
        <f>IFERROR(__xludf.DUMMYFUNCTION("""COMPUTED_VALUE"""),"Sin precio neto")</f>
        <v>Sin precio neto</v>
      </c>
    </row>
    <row r="2077">
      <c r="A2077" s="4" t="str">
        <f>IFERROR(__xludf.DUMMYFUNCTION("""COMPUTED_VALUE"""),"PASA5")</f>
        <v>PASA5</v>
      </c>
      <c r="B2077" s="4" t="str">
        <f>IFERROR(__xludf.DUMMYFUNCTION("""COMPUTED_VALUE"""),"Panel impreso Aluminio Sandwich 2mm/0.15 mm A5 (148x210")</f>
        <v>Panel impreso Aluminio Sandwich 2mm/0.15 mm A5 (148x210</v>
      </c>
      <c r="C2077" s="4">
        <f>IFERROR(__xludf.DUMMYFUNCTION("""COMPUTED_VALUE"""),1.4)</f>
        <v>1.4</v>
      </c>
      <c r="D2077" s="4"/>
      <c r="E2077" s="4" t="str">
        <f>IFERROR(__xludf.DUMMYFUNCTION("""COMPUTED_VALUE"""),"Sin precio neto")</f>
        <v>Sin precio neto</v>
      </c>
    </row>
    <row r="2078">
      <c r="A2078" s="4" t="str">
        <f>IFERROR(__xludf.DUMMYFUNCTION("""COMPUTED_VALUE"""),"PASA6")</f>
        <v>PASA6</v>
      </c>
      <c r="B2078" s="4" t="str">
        <f>IFERROR(__xludf.DUMMYFUNCTION("""COMPUTED_VALUE"""),"Panel impreso Aluminio Sandwich 2mm/0.15 mm A6 (105x148")</f>
        <v>Panel impreso Aluminio Sandwich 2mm/0.15 mm A6 (105x148</v>
      </c>
      <c r="C2078" s="4">
        <f>IFERROR(__xludf.DUMMYFUNCTION("""COMPUTED_VALUE"""),1.1)</f>
        <v>1.1</v>
      </c>
      <c r="D2078" s="4"/>
      <c r="E2078" s="4" t="str">
        <f>IFERROR(__xludf.DUMMYFUNCTION("""COMPUTED_VALUE"""),"Sin precio neto")</f>
        <v>Sin precio neto</v>
      </c>
    </row>
    <row r="2079">
      <c r="A2079" s="4" t="str">
        <f>IFERROR(__xludf.DUMMYFUNCTION("""COMPUTED_VALUE"""),"PCMA1")</f>
        <v>PCMA1</v>
      </c>
      <c r="B2079" s="4" t="str">
        <f>IFERROR(__xludf.DUMMYFUNCTION("""COMPUTED_VALUE"""),"Panel impreso PP Celular Microcanal 3 mm A1 (841x594 mm)")</f>
        <v>Panel impreso PP Celular Microcanal 3 mm A1 (841x594 mm)</v>
      </c>
      <c r="C2079" s="4">
        <f>IFERROR(__xludf.DUMMYFUNCTION("""COMPUTED_VALUE"""),9.38)</f>
        <v>9.38</v>
      </c>
      <c r="D2079" s="4"/>
      <c r="E2079" s="4" t="str">
        <f>IFERROR(__xludf.DUMMYFUNCTION("""COMPUTED_VALUE"""),"Sin precio neto")</f>
        <v>Sin precio neto</v>
      </c>
    </row>
    <row r="2080">
      <c r="A2080" s="4" t="str">
        <f>IFERROR(__xludf.DUMMYFUNCTION("""COMPUTED_VALUE"""),"PCMA2")</f>
        <v>PCMA2</v>
      </c>
      <c r="B2080" s="4" t="str">
        <f>IFERROR(__xludf.DUMMYFUNCTION("""COMPUTED_VALUE"""),"Panel impreso PP Celular Microcanal 3 mm A2 (594x420 mm)")</f>
        <v>Panel impreso PP Celular Microcanal 3 mm A2 (594x420 mm)</v>
      </c>
      <c r="C2080" s="4">
        <f>IFERROR(__xludf.DUMMYFUNCTION("""COMPUTED_VALUE"""),4.48)</f>
        <v>4.48</v>
      </c>
      <c r="D2080" s="4"/>
      <c r="E2080" s="4" t="str">
        <f>IFERROR(__xludf.DUMMYFUNCTION("""COMPUTED_VALUE"""),"Sin precio neto")</f>
        <v>Sin precio neto</v>
      </c>
    </row>
    <row r="2081">
      <c r="A2081" s="4" t="str">
        <f>IFERROR(__xludf.DUMMYFUNCTION("""COMPUTED_VALUE"""),"PCMA3")</f>
        <v>PCMA3</v>
      </c>
      <c r="B2081" s="4" t="str">
        <f>IFERROR(__xludf.DUMMYFUNCTION("""COMPUTED_VALUE"""),"Panel impreso PP Celular Microcanal 3 mm A3 (420x297 mm)")</f>
        <v>Panel impreso PP Celular Microcanal 3 mm A3 (420x297 mm)</v>
      </c>
      <c r="C2081" s="4">
        <f>IFERROR(__xludf.DUMMYFUNCTION("""COMPUTED_VALUE"""),2.44)</f>
        <v>2.44</v>
      </c>
      <c r="D2081" s="4"/>
      <c r="E2081" s="4" t="str">
        <f>IFERROR(__xludf.DUMMYFUNCTION("""COMPUTED_VALUE"""),"Sin precio neto")</f>
        <v>Sin precio neto</v>
      </c>
    </row>
    <row r="2082">
      <c r="A2082" s="4" t="str">
        <f>IFERROR(__xludf.DUMMYFUNCTION("""COMPUTED_VALUE"""),"PCMA4")</f>
        <v>PCMA4</v>
      </c>
      <c r="B2082" s="4" t="str">
        <f>IFERROR(__xludf.DUMMYFUNCTION("""COMPUTED_VALUE"""),"Panel impreso PP Celular Microcanal 3 mm A4 (297x210 mm)")</f>
        <v>Panel impreso PP Celular Microcanal 3 mm A4 (297x210 mm)</v>
      </c>
      <c r="C2082" s="4">
        <f>IFERROR(__xludf.DUMMYFUNCTION("""COMPUTED_VALUE"""),1.75)</f>
        <v>1.75</v>
      </c>
      <c r="D2082" s="4"/>
      <c r="E2082" s="4" t="str">
        <f>IFERROR(__xludf.DUMMYFUNCTION("""COMPUTED_VALUE"""),"Sin precio neto")</f>
        <v>Sin precio neto</v>
      </c>
    </row>
    <row r="2083">
      <c r="A2083" s="4" t="str">
        <f>IFERROR(__xludf.DUMMYFUNCTION("""COMPUTED_VALUE"""),"PCMA5")</f>
        <v>PCMA5</v>
      </c>
      <c r="B2083" s="4" t="str">
        <f>IFERROR(__xludf.DUMMYFUNCTION("""COMPUTED_VALUE"""),"Panel impreso PP Celular Microcanal 3 mm A5 (148x210 mm)")</f>
        <v>Panel impreso PP Celular Microcanal 3 mm A5 (148x210 mm)</v>
      </c>
      <c r="C2083" s="4">
        <f>IFERROR(__xludf.DUMMYFUNCTION("""COMPUTED_VALUE"""),1.25)</f>
        <v>1.25</v>
      </c>
      <c r="D2083" s="4"/>
      <c r="E2083" s="4" t="str">
        <f>IFERROR(__xludf.DUMMYFUNCTION("""COMPUTED_VALUE"""),"Sin precio neto")</f>
        <v>Sin precio neto</v>
      </c>
    </row>
    <row r="2084">
      <c r="A2084" s="4" t="str">
        <f>IFERROR(__xludf.DUMMYFUNCTION("""COMPUTED_VALUE"""),"PCMA6")</f>
        <v>PCMA6</v>
      </c>
      <c r="B2084" s="4" t="str">
        <f>IFERROR(__xludf.DUMMYFUNCTION("""COMPUTED_VALUE"""),"Panel impreso PP Celular Microcanal 3 mm A6 (105x148 mm)")</f>
        <v>Panel impreso PP Celular Microcanal 3 mm A6 (105x148 mm)</v>
      </c>
      <c r="C2084" s="4">
        <f>IFERROR(__xludf.DUMMYFUNCTION("""COMPUTED_VALUE"""),0.9)</f>
        <v>0.9</v>
      </c>
      <c r="D2084" s="4"/>
      <c r="E2084" s="4" t="str">
        <f>IFERROR(__xludf.DUMMYFUNCTION("""COMPUTED_VALUE"""),"Sin precio neto")</f>
        <v>Sin precio neto</v>
      </c>
    </row>
    <row r="2085">
      <c r="A2085" s="4" t="str">
        <f>IFERROR(__xludf.DUMMYFUNCTION("""COMPUTED_VALUE"""),"PIEVALLA")</f>
        <v>PIEVALLA</v>
      </c>
      <c r="B2085" s="4" t="str">
        <f>IFERROR(__xludf.DUMMYFUNCTION("""COMPUTED_VALUE"""),"Pie de valla Gate Barrier")</f>
        <v>Pie de valla Gate Barrier</v>
      </c>
      <c r="C2085" s="4">
        <f>IFERROR(__xludf.DUMMYFUNCTION("""COMPUTED_VALUE"""),9.75)</f>
        <v>9.75</v>
      </c>
      <c r="D2085" s="4"/>
      <c r="E2085" s="4" t="str">
        <f>IFERROR(__xludf.DUMMYFUNCTION("""COMPUTED_VALUE"""),"Sin precio neto")</f>
        <v>Sin precio neto</v>
      </c>
    </row>
    <row r="2086">
      <c r="A2086" s="4" t="str">
        <f>IFERROR(__xludf.DUMMYFUNCTION("""COMPUTED_VALUE"""),"PIEVALLAP")</f>
        <v>PIEVALLAP</v>
      </c>
      <c r="B2086" s="4" t="str">
        <f>IFERROR(__xludf.DUMMYFUNCTION("""COMPUTED_VALUE"""),"Pie Valla Gate Barrier Asimétrico")</f>
        <v>Pie Valla Gate Barrier Asimétrico</v>
      </c>
      <c r="C2086" s="4">
        <f>IFERROR(__xludf.DUMMYFUNCTION("""COMPUTED_VALUE"""),9.0)</f>
        <v>9</v>
      </c>
      <c r="D2086" s="4"/>
      <c r="E2086" s="4" t="str">
        <f>IFERROR(__xludf.DUMMYFUNCTION("""COMPUTED_VALUE"""),"Sin precio neto")</f>
        <v>Sin precio neto</v>
      </c>
    </row>
    <row r="2087">
      <c r="A2087" s="4" t="str">
        <f>IFERROR(__xludf.DUMMYFUNCTION("""COMPUTED_VALUE"""),"PVC10070FOTOL")</f>
        <v>PVC10070FOTOL</v>
      </c>
      <c r="B2087" s="4" t="str">
        <f>IFERROR(__xludf.DUMMYFUNCTION("""COMPUTED_VALUE"""),"Cartel PVC fotoluminiscente 100x70 cm")</f>
        <v>Cartel PVC fotoluminiscente 100x70 cm</v>
      </c>
      <c r="C2087" s="4">
        <f>IFERROR(__xludf.DUMMYFUNCTION("""COMPUTED_VALUE"""),24.0)</f>
        <v>24</v>
      </c>
      <c r="D2087" s="4"/>
      <c r="E2087" s="4" t="str">
        <f>IFERROR(__xludf.DUMMYFUNCTION("""COMPUTED_VALUE"""),"Sin precio neto")</f>
        <v>Sin precio neto</v>
      </c>
    </row>
    <row r="2088">
      <c r="A2088" s="4" t="str">
        <f>IFERROR(__xludf.DUMMYFUNCTION("""COMPUTED_VALUE"""),"PVCRA1")</f>
        <v>PVCRA1</v>
      </c>
      <c r="B2088" s="4" t="str">
        <f>IFERROR(__xludf.DUMMYFUNCTION("""COMPUTED_VALUE"""),"Panel impreso PVC Rígido espumado 3 mm A1 (841x594 mm)")</f>
        <v>Panel impreso PVC Rígido espumado 3 mm A1 (841x594 mm)</v>
      </c>
      <c r="C2088" s="4">
        <f>IFERROR(__xludf.DUMMYFUNCTION("""COMPUTED_VALUE"""),14.7)</f>
        <v>14.7</v>
      </c>
      <c r="D2088" s="4"/>
      <c r="E2088" s="4" t="str">
        <f>IFERROR(__xludf.DUMMYFUNCTION("""COMPUTED_VALUE"""),"Sin precio neto")</f>
        <v>Sin precio neto</v>
      </c>
    </row>
    <row r="2089">
      <c r="A2089" s="4" t="str">
        <f>IFERROR(__xludf.DUMMYFUNCTION("""COMPUTED_VALUE"""),"PVCRA2")</f>
        <v>PVCRA2</v>
      </c>
      <c r="B2089" s="4" t="str">
        <f>IFERROR(__xludf.DUMMYFUNCTION("""COMPUTED_VALUE"""),"Panel impreso PVC Rígido espumado 3 mm A2 (594X420 mm)")</f>
        <v>Panel impreso PVC Rígido espumado 3 mm A2 (594X420 mm)</v>
      </c>
      <c r="C2089" s="4">
        <f>IFERROR(__xludf.DUMMYFUNCTION("""COMPUTED_VALUE"""),8.6)</f>
        <v>8.6</v>
      </c>
      <c r="D2089" s="4"/>
      <c r="E2089" s="4" t="str">
        <f>IFERROR(__xludf.DUMMYFUNCTION("""COMPUTED_VALUE"""),"Sin precio neto")</f>
        <v>Sin precio neto</v>
      </c>
    </row>
    <row r="2090">
      <c r="A2090" s="4" t="str">
        <f>IFERROR(__xludf.DUMMYFUNCTION("""COMPUTED_VALUE"""),"PVCRA3")</f>
        <v>PVCRA3</v>
      </c>
      <c r="B2090" s="4" t="str">
        <f>IFERROR(__xludf.DUMMYFUNCTION("""COMPUTED_VALUE"""),"Panel impreso PVC Rígido espumado 3 mm A3 (420x297 mm)")</f>
        <v>Panel impreso PVC Rígido espumado 3 mm A3 (420x297 mm)</v>
      </c>
      <c r="C2090" s="4">
        <f>IFERROR(__xludf.DUMMYFUNCTION("""COMPUTED_VALUE"""),5.44)</f>
        <v>5.44</v>
      </c>
      <c r="D2090" s="4"/>
      <c r="E2090" s="4" t="str">
        <f>IFERROR(__xludf.DUMMYFUNCTION("""COMPUTED_VALUE"""),"Sin precio neto")</f>
        <v>Sin precio neto</v>
      </c>
    </row>
    <row r="2091">
      <c r="A2091" s="4" t="str">
        <f>IFERROR(__xludf.DUMMYFUNCTION("""COMPUTED_VALUE"""),"PVCRA4")</f>
        <v>PVCRA4</v>
      </c>
      <c r="B2091" s="4" t="str">
        <f>IFERROR(__xludf.DUMMYFUNCTION("""COMPUTED_VALUE"""),"Panel impreso PVC Rígido espumado 3 mm A4 (297x210 mm)")</f>
        <v>Panel impreso PVC Rígido espumado 3 mm A4 (297x210 mm)</v>
      </c>
      <c r="C2091" s="4">
        <f>IFERROR(__xludf.DUMMYFUNCTION("""COMPUTED_VALUE"""),3.75)</f>
        <v>3.75</v>
      </c>
      <c r="D2091" s="4"/>
      <c r="E2091" s="4" t="str">
        <f>IFERROR(__xludf.DUMMYFUNCTION("""COMPUTED_VALUE"""),"Sin precio neto")</f>
        <v>Sin precio neto</v>
      </c>
    </row>
    <row r="2092">
      <c r="A2092" s="4" t="str">
        <f>IFERROR(__xludf.DUMMYFUNCTION("""COMPUTED_VALUE"""),"PVCRA5")</f>
        <v>PVCRA5</v>
      </c>
      <c r="B2092" s="4" t="str">
        <f>IFERROR(__xludf.DUMMYFUNCTION("""COMPUTED_VALUE"""),"Panel impreso PVC Rígido espumado 3 mm A5 (148x210 mm)")</f>
        <v>Panel impreso PVC Rígido espumado 3 mm A5 (148x210 mm)</v>
      </c>
      <c r="C2092" s="4">
        <f>IFERROR(__xludf.DUMMYFUNCTION("""COMPUTED_VALUE"""),2.54)</f>
        <v>2.54</v>
      </c>
      <c r="D2092" s="4"/>
      <c r="E2092" s="4" t="str">
        <f>IFERROR(__xludf.DUMMYFUNCTION("""COMPUTED_VALUE"""),"Sin precio neto")</f>
        <v>Sin precio neto</v>
      </c>
    </row>
    <row r="2093">
      <c r="A2093" s="4" t="str">
        <f>IFERROR(__xludf.DUMMYFUNCTION("""COMPUTED_VALUE"""),"PVCRA6")</f>
        <v>PVCRA6</v>
      </c>
      <c r="B2093" s="4" t="str">
        <f>IFERROR(__xludf.DUMMYFUNCTION("""COMPUTED_VALUE"""),"Panel impreso PVC Rígido espumado 3 mm A6 (105x148 mm)")</f>
        <v>Panel impreso PVC Rígido espumado 3 mm A6 (105x148 mm)</v>
      </c>
      <c r="C2093" s="4">
        <f>IFERROR(__xludf.DUMMYFUNCTION("""COMPUTED_VALUE"""),1.3)</f>
        <v>1.3</v>
      </c>
      <c r="D2093" s="4"/>
      <c r="E2093" s="4" t="str">
        <f>IFERROR(__xludf.DUMMYFUNCTION("""COMPUTED_VALUE"""),"Sin precio neto")</f>
        <v>Sin precio neto</v>
      </c>
    </row>
    <row r="2094">
      <c r="A2094" s="4" t="str">
        <f>IFERROR(__xludf.DUMMYFUNCTION("""COMPUTED_VALUE"""),"S13LUM")</f>
        <v>S13LUM</v>
      </c>
      <c r="B2094" s="4" t="str">
        <f>IFERROR(__xludf.DUMMYFUNCTION("""COMPUTED_VALUE"""),"Señal aluminio Luminosa S13 60 cm")</f>
        <v>Señal aluminio Luminosa S13 60 cm</v>
      </c>
      <c r="C2094" s="4">
        <f>IFERROR(__xludf.DUMMYFUNCTION("""COMPUTED_VALUE"""),575.0)</f>
        <v>575</v>
      </c>
      <c r="D2094" s="4"/>
      <c r="E2094" s="4" t="str">
        <f>IFERROR(__xludf.DUMMYFUNCTION("""COMPUTED_VALUE"""),"Sin precio neto")</f>
        <v>Sin precio neto</v>
      </c>
    </row>
    <row r="2095">
      <c r="A2095" s="4" t="str">
        <f>IFERROR(__xludf.DUMMYFUNCTION("""COMPUTED_VALUE"""),"S13SOLAR")</f>
        <v>S13SOLAR</v>
      </c>
      <c r="B2095" s="4" t="str">
        <f>IFERROR(__xludf.DUMMYFUNCTION("""COMPUTED_VALUE"""),"Kit Solar 20 w para alimentación 5 ah/12 v")</f>
        <v>Kit Solar 20 w para alimentación 5 ah/12 v</v>
      </c>
      <c r="C2095" s="4">
        <f>IFERROR(__xludf.DUMMYFUNCTION("""COMPUTED_VALUE"""),390.0)</f>
        <v>390</v>
      </c>
      <c r="D2095" s="4"/>
      <c r="E2095" s="4" t="str">
        <f>IFERROR(__xludf.DUMMYFUNCTION("""COMPUTED_VALUE"""),"Sin precio neto")</f>
        <v>Sin precio neto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tr">
        <f>IFERROR(__xludf.DUMMYFUNCTION("QUERY('Hoja 1'!A:L, ""SELECT A, B, L, D, H WHERE A IS NOT NULL"", 1)"),"Referencia")</f>
        <v>Referencia</v>
      </c>
      <c r="B1" s="4" t="str">
        <f>IFERROR(__xludf.DUMMYFUNCTION("""COMPUTED_VALUE"""),"Descripcion")</f>
        <v>Descripcion</v>
      </c>
      <c r="C1" s="4" t="str">
        <f>IFERROR(__xludf.DUMMYFUNCTION("""COMPUTED_VALUE"""),"PRECIO_CECOFERSA")</f>
        <v>PRECIO_CECOFERSA</v>
      </c>
      <c r="D1" s="4" t="str">
        <f>IFERROR(__xludf.DUMMYFUNCTION("""COMPUTED_VALUE"""),"NETOS")</f>
        <v>NETOS</v>
      </c>
      <c r="E1" s="4" t="str">
        <f>IFERROR(__xludf.DUMMYFUNCTION("""COMPUTED_VALUE"""),"CONDICIONES_NETO")</f>
        <v>CONDICIONES_NETO</v>
      </c>
    </row>
    <row r="2">
      <c r="A2" s="4" t="str">
        <f>IFERROR(__xludf.DUMMYFUNCTION("""COMPUTED_VALUE"""),"101")</f>
        <v>101</v>
      </c>
      <c r="B2" s="4" t="str">
        <f>IFERROR(__xludf.DUMMYFUNCTION("""COMPUTED_VALUE"""),"Cartel PVC 21x29 Fotolum. SALIDA FLECHA IZQ.")</f>
        <v>Cartel PVC 21x29 Fotolum. SALIDA FLECHA IZQ.</v>
      </c>
      <c r="C2" s="4">
        <f>IFERROR(__xludf.DUMMYFUNCTION("""COMPUTED_VALUE"""),2.496)</f>
        <v>2.496</v>
      </c>
      <c r="D2" s="4">
        <f>IFERROR(__xludf.DUMMYFUNCTION("""COMPUTED_VALUE"""),2.1)</f>
        <v>2.1</v>
      </c>
      <c r="E2" s="4" t="str">
        <f>IFERROR(__xludf.DUMMYFUNCTION("""COMPUTED_VALUE"""),"Neto: 2,10 € (a partir de 1 uds.)")</f>
        <v>Neto: 2,10 € (a partir de 1 uds.)</v>
      </c>
    </row>
    <row r="3">
      <c r="A3" s="4" t="str">
        <f>IFERROR(__xludf.DUMMYFUNCTION("""COMPUTED_VALUE"""),"0101A")</f>
        <v>0101A</v>
      </c>
      <c r="B3" s="4" t="str">
        <f>IFERROR(__xludf.DUMMYFUNCTION("""COMPUTED_VALUE"""),"Cartel PVC 32x16 Fotolum Salida flecha derecha")</f>
        <v>Cartel PVC 32x16 Fotolum Salida flecha derecha</v>
      </c>
      <c r="C3" s="4">
        <f>IFERROR(__xludf.DUMMYFUNCTION("""COMPUTED_VALUE"""),2.16)</f>
        <v>2.16</v>
      </c>
      <c r="D3" s="4"/>
      <c r="E3" s="4" t="str">
        <f>IFERROR(__xludf.DUMMYFUNCTION("""COMPUTED_VALUE"""),"Sin precio neto")</f>
        <v>Sin precio neto</v>
      </c>
    </row>
    <row r="4">
      <c r="A4" s="4" t="str">
        <f>IFERROR(__xludf.DUMMYFUNCTION("""COMPUTED_VALUE"""),"0101B")</f>
        <v>0101B</v>
      </c>
      <c r="B4" s="4" t="str">
        <f>IFERROR(__xludf.DUMMYFUNCTION("""COMPUTED_VALUE"""),"Cartel PVC 64x32 Fotolum Salida flecha derecha")</f>
        <v>Cartel PVC 64x32 Fotolum Salida flecha derecha</v>
      </c>
      <c r="C4" s="4">
        <f>IFERROR(__xludf.DUMMYFUNCTION("""COMPUTED_VALUE"""),4.300800000000001)</f>
        <v>4.3008</v>
      </c>
      <c r="D4" s="4"/>
      <c r="E4" s="4" t="str">
        <f>IFERROR(__xludf.DUMMYFUNCTION("""COMPUTED_VALUE"""),"Sin precio neto")</f>
        <v>Sin precio neto</v>
      </c>
    </row>
    <row r="5">
      <c r="A5" s="4" t="str">
        <f>IFERROR(__xludf.DUMMYFUNCTION("""COMPUTED_VALUE"""),"0101C")</f>
        <v>0101C</v>
      </c>
      <c r="B5" s="4" t="str">
        <f>IFERROR(__xludf.DUMMYFUNCTION("""COMPUTED_VALUE"""),"Cartel PVC 96x48 Fotolum Salida flecha derecha")</f>
        <v>Cartel PVC 96x48 Fotolum Salida flecha derecha</v>
      </c>
      <c r="C5" s="4">
        <f>IFERROR(__xludf.DUMMYFUNCTION("""COMPUTED_VALUE"""),8.601600000000001)</f>
        <v>8.6016</v>
      </c>
      <c r="D5" s="4"/>
      <c r="E5" s="4" t="str">
        <f>IFERROR(__xludf.DUMMYFUNCTION("""COMPUTED_VALUE"""),"Sin precio neto")</f>
        <v>Sin precio neto</v>
      </c>
    </row>
    <row r="6">
      <c r="A6" s="4" t="str">
        <f>IFERROR(__xludf.DUMMYFUNCTION("""COMPUTED_VALUE"""),"102")</f>
        <v>102</v>
      </c>
      <c r="B6" s="4" t="str">
        <f>IFERROR(__xludf.DUMMYFUNCTION("""COMPUTED_VALUE"""),"Cartel PVC 21x29 Fotolum. SALIDA FLECHA IZQ.")</f>
        <v>Cartel PVC 21x29 Fotolum. SALIDA FLECHA IZQ.</v>
      </c>
      <c r="C6" s="4">
        <f>IFERROR(__xludf.DUMMYFUNCTION("""COMPUTED_VALUE"""),2.496)</f>
        <v>2.496</v>
      </c>
      <c r="D6" s="4">
        <f>IFERROR(__xludf.DUMMYFUNCTION("""COMPUTED_VALUE"""),2.1)</f>
        <v>2.1</v>
      </c>
      <c r="E6" s="4" t="str">
        <f>IFERROR(__xludf.DUMMYFUNCTION("""COMPUTED_VALUE"""),"Neto: 2,10 € (a partir de 1 uds.)")</f>
        <v>Neto: 2,10 € (a partir de 1 uds.)</v>
      </c>
    </row>
    <row r="7">
      <c r="A7" s="4" t="str">
        <f>IFERROR(__xludf.DUMMYFUNCTION("""COMPUTED_VALUE"""),"0102A")</f>
        <v>0102A</v>
      </c>
      <c r="B7" s="4" t="str">
        <f>IFERROR(__xludf.DUMMYFUNCTION("""COMPUTED_VALUE"""),"Cartel PVC 32x16 Fotolum Salida flecha izquierda")</f>
        <v>Cartel PVC 32x16 Fotolum Salida flecha izquierda</v>
      </c>
      <c r="C7" s="4">
        <f>IFERROR(__xludf.DUMMYFUNCTION("""COMPUTED_VALUE"""),2.16)</f>
        <v>2.16</v>
      </c>
      <c r="D7" s="4"/>
      <c r="E7" s="4" t="str">
        <f>IFERROR(__xludf.DUMMYFUNCTION("""COMPUTED_VALUE"""),"Sin precio neto")</f>
        <v>Sin precio neto</v>
      </c>
    </row>
    <row r="8">
      <c r="A8" s="4" t="str">
        <f>IFERROR(__xludf.DUMMYFUNCTION("""COMPUTED_VALUE"""),"0102B")</f>
        <v>0102B</v>
      </c>
      <c r="B8" s="4" t="str">
        <f>IFERROR(__xludf.DUMMYFUNCTION("""COMPUTED_VALUE"""),"Cartel PVC 64x32 Fotolum Salida flecha izquierda")</f>
        <v>Cartel PVC 64x32 Fotolum Salida flecha izquierda</v>
      </c>
      <c r="C8" s="4">
        <f>IFERROR(__xludf.DUMMYFUNCTION("""COMPUTED_VALUE"""),4.300800000000001)</f>
        <v>4.3008</v>
      </c>
      <c r="D8" s="4"/>
      <c r="E8" s="4" t="str">
        <f>IFERROR(__xludf.DUMMYFUNCTION("""COMPUTED_VALUE"""),"Sin precio neto")</f>
        <v>Sin precio neto</v>
      </c>
    </row>
    <row r="9">
      <c r="A9" s="4" t="str">
        <f>IFERROR(__xludf.DUMMYFUNCTION("""COMPUTED_VALUE"""),"0102C")</f>
        <v>0102C</v>
      </c>
      <c r="B9" s="4" t="str">
        <f>IFERROR(__xludf.DUMMYFUNCTION("""COMPUTED_VALUE"""),"Cartel PVC 96x48 Fotolum Salida flecha izquierda")</f>
        <v>Cartel PVC 96x48 Fotolum Salida flecha izquierda</v>
      </c>
      <c r="C9" s="4">
        <f>IFERROR(__xludf.DUMMYFUNCTION("""COMPUTED_VALUE"""),8.601600000000001)</f>
        <v>8.6016</v>
      </c>
      <c r="D9" s="4"/>
      <c r="E9" s="4" t="str">
        <f>IFERROR(__xludf.DUMMYFUNCTION("""COMPUTED_VALUE"""),"Sin precio neto")</f>
        <v>Sin precio neto</v>
      </c>
    </row>
    <row r="10">
      <c r="A10" s="4" t="str">
        <f>IFERROR(__xludf.DUMMYFUNCTION("""COMPUTED_VALUE"""),"103")</f>
        <v>103</v>
      </c>
      <c r="B10" s="4" t="str">
        <f>IFERROR(__xludf.DUMMYFUNCTION("""COMPUTED_VALUE"""),"Cartel PVC 21x29 Fotolum. SALIDA FLECHA FRONTAL")</f>
        <v>Cartel PVC 21x29 Fotolum. SALIDA FLECHA FRONTAL</v>
      </c>
      <c r="C10" s="4">
        <f>IFERROR(__xludf.DUMMYFUNCTION("""COMPUTED_VALUE"""),2.496)</f>
        <v>2.496</v>
      </c>
      <c r="D10" s="4">
        <f>IFERROR(__xludf.DUMMYFUNCTION("""COMPUTED_VALUE"""),2.1)</f>
        <v>2.1</v>
      </c>
      <c r="E10" s="4" t="str">
        <f>IFERROR(__xludf.DUMMYFUNCTION("""COMPUTED_VALUE"""),"Neto: 2,10 € (a partir de 1 uds.)")</f>
        <v>Neto: 2,10 € (a partir de 1 uds.)</v>
      </c>
    </row>
    <row r="11">
      <c r="A11" s="4" t="str">
        <f>IFERROR(__xludf.DUMMYFUNCTION("""COMPUTED_VALUE"""),"0103A")</f>
        <v>0103A</v>
      </c>
      <c r="B11" s="4" t="str">
        <f>IFERROR(__xludf.DUMMYFUNCTION("""COMPUTED_VALUE"""),"Cartel PVC 32x16 Fotolum Salida flecha arriba")</f>
        <v>Cartel PVC 32x16 Fotolum Salida flecha arriba</v>
      </c>
      <c r="C11" s="4">
        <f>IFERROR(__xludf.DUMMYFUNCTION("""COMPUTED_VALUE"""),2.16)</f>
        <v>2.16</v>
      </c>
      <c r="D11" s="4"/>
      <c r="E11" s="4" t="str">
        <f>IFERROR(__xludf.DUMMYFUNCTION("""COMPUTED_VALUE"""),"Sin precio neto")</f>
        <v>Sin precio neto</v>
      </c>
    </row>
    <row r="12">
      <c r="A12" s="4" t="str">
        <f>IFERROR(__xludf.DUMMYFUNCTION("""COMPUTED_VALUE"""),"0103B")</f>
        <v>0103B</v>
      </c>
      <c r="B12" s="4" t="str">
        <f>IFERROR(__xludf.DUMMYFUNCTION("""COMPUTED_VALUE"""),"Cartel PVC 64x32 Fotolum Salida flecha arriba")</f>
        <v>Cartel PVC 64x32 Fotolum Salida flecha arriba</v>
      </c>
      <c r="C12" s="4">
        <f>IFERROR(__xludf.DUMMYFUNCTION("""COMPUTED_VALUE"""),4.300800000000001)</f>
        <v>4.3008</v>
      </c>
      <c r="D12" s="4"/>
      <c r="E12" s="4" t="str">
        <f>IFERROR(__xludf.DUMMYFUNCTION("""COMPUTED_VALUE"""),"Sin precio neto")</f>
        <v>Sin precio neto</v>
      </c>
    </row>
    <row r="13">
      <c r="A13" s="4" t="str">
        <f>IFERROR(__xludf.DUMMYFUNCTION("""COMPUTED_VALUE"""),"0103C")</f>
        <v>0103C</v>
      </c>
      <c r="B13" s="4" t="str">
        <f>IFERROR(__xludf.DUMMYFUNCTION("""COMPUTED_VALUE"""),"Cartel PVC 96x48 Fotolum Salida flecha arriba")</f>
        <v>Cartel PVC 96x48 Fotolum Salida flecha arriba</v>
      </c>
      <c r="C13" s="4">
        <f>IFERROR(__xludf.DUMMYFUNCTION("""COMPUTED_VALUE"""),8.601600000000001)</f>
        <v>8.6016</v>
      </c>
      <c r="D13" s="4"/>
      <c r="E13" s="4" t="str">
        <f>IFERROR(__xludf.DUMMYFUNCTION("""COMPUTED_VALUE"""),"Sin precio neto")</f>
        <v>Sin precio neto</v>
      </c>
    </row>
    <row r="14">
      <c r="A14" s="4" t="str">
        <f>IFERROR(__xludf.DUMMYFUNCTION("""COMPUTED_VALUE"""),"104")</f>
        <v>104</v>
      </c>
      <c r="B14" s="4" t="str">
        <f>IFERROR(__xludf.DUMMYFUNCTION("""COMPUTED_VALUE"""),"Cartel PVC 21x29 Fotolum. SALIDA FLECHA ABAJO")</f>
        <v>Cartel PVC 21x29 Fotolum. SALIDA FLECHA ABAJO</v>
      </c>
      <c r="C14" s="4">
        <f>IFERROR(__xludf.DUMMYFUNCTION("""COMPUTED_VALUE"""),2.496)</f>
        <v>2.496</v>
      </c>
      <c r="D14" s="4">
        <f>IFERROR(__xludf.DUMMYFUNCTION("""COMPUTED_VALUE"""),2.1)</f>
        <v>2.1</v>
      </c>
      <c r="E14" s="4" t="str">
        <f>IFERROR(__xludf.DUMMYFUNCTION("""COMPUTED_VALUE"""),"Neto: 2,10 € (a partir de 1 uds.)")</f>
        <v>Neto: 2,10 € (a partir de 1 uds.)</v>
      </c>
    </row>
    <row r="15">
      <c r="A15" s="4" t="str">
        <f>IFERROR(__xludf.DUMMYFUNCTION("""COMPUTED_VALUE"""),"0104A")</f>
        <v>0104A</v>
      </c>
      <c r="B15" s="4" t="str">
        <f>IFERROR(__xludf.DUMMYFUNCTION("""COMPUTED_VALUE"""),"Cartel PVC 32x16 Fotolum Salida flecha abajo")</f>
        <v>Cartel PVC 32x16 Fotolum Salida flecha abajo</v>
      </c>
      <c r="C15" s="4">
        <f>IFERROR(__xludf.DUMMYFUNCTION("""COMPUTED_VALUE"""),2.16)</f>
        <v>2.16</v>
      </c>
      <c r="D15" s="4"/>
      <c r="E15" s="4" t="str">
        <f>IFERROR(__xludf.DUMMYFUNCTION("""COMPUTED_VALUE"""),"Sin precio neto")</f>
        <v>Sin precio neto</v>
      </c>
    </row>
    <row r="16">
      <c r="A16" s="4" t="str">
        <f>IFERROR(__xludf.DUMMYFUNCTION("""COMPUTED_VALUE"""),"0104B")</f>
        <v>0104B</v>
      </c>
      <c r="B16" s="4" t="str">
        <f>IFERROR(__xludf.DUMMYFUNCTION("""COMPUTED_VALUE"""),"Cartel PVC 64x32 Fotolum Salida flecha abajo")</f>
        <v>Cartel PVC 64x32 Fotolum Salida flecha abajo</v>
      </c>
      <c r="C16" s="4">
        <f>IFERROR(__xludf.DUMMYFUNCTION("""COMPUTED_VALUE"""),4.300800000000001)</f>
        <v>4.3008</v>
      </c>
      <c r="D16" s="4"/>
      <c r="E16" s="4" t="str">
        <f>IFERROR(__xludf.DUMMYFUNCTION("""COMPUTED_VALUE"""),"Sin precio neto")</f>
        <v>Sin precio neto</v>
      </c>
    </row>
    <row r="17">
      <c r="A17" s="4" t="str">
        <f>IFERROR(__xludf.DUMMYFUNCTION("""COMPUTED_VALUE"""),"0104C")</f>
        <v>0104C</v>
      </c>
      <c r="B17" s="4" t="str">
        <f>IFERROR(__xludf.DUMMYFUNCTION("""COMPUTED_VALUE"""),"Cartel PVC 96x48 Fotolum Salida flecha abajo")</f>
        <v>Cartel PVC 96x48 Fotolum Salida flecha abajo</v>
      </c>
      <c r="C17" s="4">
        <f>IFERROR(__xludf.DUMMYFUNCTION("""COMPUTED_VALUE"""),8.601600000000001)</f>
        <v>8.6016</v>
      </c>
      <c r="D17" s="4"/>
      <c r="E17" s="4" t="str">
        <f>IFERROR(__xludf.DUMMYFUNCTION("""COMPUTED_VALUE"""),"Sin precio neto")</f>
        <v>Sin precio neto</v>
      </c>
    </row>
    <row r="18">
      <c r="A18" s="4" t="str">
        <f>IFERROR(__xludf.DUMMYFUNCTION("""COMPUTED_VALUE"""),"105")</f>
        <v>105</v>
      </c>
      <c r="B18" s="4" t="str">
        <f>IFERROR(__xludf.DUMMYFUNCTION("""COMPUTED_VALUE"""),"Cartel PVC 21x29 Fotolum. SALIDA-EXIT")</f>
        <v>Cartel PVC 21x29 Fotolum. SALIDA-EXIT</v>
      </c>
      <c r="C18" s="4">
        <f>IFERROR(__xludf.DUMMYFUNCTION("""COMPUTED_VALUE"""),2.496)</f>
        <v>2.496</v>
      </c>
      <c r="D18" s="4">
        <f>IFERROR(__xludf.DUMMYFUNCTION("""COMPUTED_VALUE"""),2.1)</f>
        <v>2.1</v>
      </c>
      <c r="E18" s="4" t="str">
        <f>IFERROR(__xludf.DUMMYFUNCTION("""COMPUTED_VALUE"""),"Neto: 2,10 € (a partir de 1 uds.)")</f>
        <v>Neto: 2,10 € (a partir de 1 uds.)</v>
      </c>
    </row>
    <row r="19">
      <c r="A19" s="4" t="str">
        <f>IFERROR(__xludf.DUMMYFUNCTION("""COMPUTED_VALUE"""),"0105A")</f>
        <v>0105A</v>
      </c>
      <c r="B19" s="4" t="str">
        <f>IFERROR(__xludf.DUMMYFUNCTION("""COMPUTED_VALUE"""),"Cartel PVC 32x16 Fotolum. Salida-Exit")</f>
        <v>Cartel PVC 32x16 Fotolum. Salida-Exit</v>
      </c>
      <c r="C19" s="4">
        <f>IFERROR(__xludf.DUMMYFUNCTION("""COMPUTED_VALUE"""),2.16)</f>
        <v>2.16</v>
      </c>
      <c r="D19" s="4"/>
      <c r="E19" s="4" t="str">
        <f>IFERROR(__xludf.DUMMYFUNCTION("""COMPUTED_VALUE"""),"Sin precio neto")</f>
        <v>Sin precio neto</v>
      </c>
    </row>
    <row r="20">
      <c r="A20" s="4" t="str">
        <f>IFERROR(__xludf.DUMMYFUNCTION("""COMPUTED_VALUE"""),"0105B")</f>
        <v>0105B</v>
      </c>
      <c r="B20" s="4" t="str">
        <f>IFERROR(__xludf.DUMMYFUNCTION("""COMPUTED_VALUE"""),"Cartel PVC 64x32 Fotolum. Salida-Exit")</f>
        <v>Cartel PVC 64x32 Fotolum. Salida-Exit</v>
      </c>
      <c r="C20" s="4">
        <f>IFERROR(__xludf.DUMMYFUNCTION("""COMPUTED_VALUE"""),4.300800000000001)</f>
        <v>4.3008</v>
      </c>
      <c r="D20" s="4"/>
      <c r="E20" s="4" t="str">
        <f>IFERROR(__xludf.DUMMYFUNCTION("""COMPUTED_VALUE"""),"Sin precio neto")</f>
        <v>Sin precio neto</v>
      </c>
    </row>
    <row r="21">
      <c r="A21" s="4" t="str">
        <f>IFERROR(__xludf.DUMMYFUNCTION("""COMPUTED_VALUE"""),"0105C")</f>
        <v>0105C</v>
      </c>
      <c r="B21" s="4" t="str">
        <f>IFERROR(__xludf.DUMMYFUNCTION("""COMPUTED_VALUE"""),"Cartel PVC 96x48 Fotolum. Salida-Exit")</f>
        <v>Cartel PVC 96x48 Fotolum. Salida-Exit</v>
      </c>
      <c r="C21" s="4">
        <f>IFERROR(__xludf.DUMMYFUNCTION("""COMPUTED_VALUE"""),8.601600000000001)</f>
        <v>8.6016</v>
      </c>
      <c r="D21" s="4"/>
      <c r="E21" s="4" t="str">
        <f>IFERROR(__xludf.DUMMYFUNCTION("""COMPUTED_VALUE"""),"Sin precio neto")</f>
        <v>Sin precio neto</v>
      </c>
    </row>
    <row r="22">
      <c r="A22" s="4" t="str">
        <f>IFERROR(__xludf.DUMMYFUNCTION("""COMPUTED_VALUE"""),"106")</f>
        <v>106</v>
      </c>
      <c r="B22" s="4" t="str">
        <f>IFERROR(__xludf.DUMMYFUNCTION("""COMPUTED_VALUE"""),"Cartel PVC 21x29 Fotolum. SALIDA EMERG. FLECHA DCHA")</f>
        <v>Cartel PVC 21x29 Fotolum. SALIDA EMERG. FLECHA DCHA</v>
      </c>
      <c r="C22" s="4">
        <f>IFERROR(__xludf.DUMMYFUNCTION("""COMPUTED_VALUE"""),2.496)</f>
        <v>2.496</v>
      </c>
      <c r="D22" s="4">
        <f>IFERROR(__xludf.DUMMYFUNCTION("""COMPUTED_VALUE"""),2.1)</f>
        <v>2.1</v>
      </c>
      <c r="E22" s="4" t="str">
        <f>IFERROR(__xludf.DUMMYFUNCTION("""COMPUTED_VALUE"""),"Neto: 2,10 € (a partir de 1 uds.)")</f>
        <v>Neto: 2,10 € (a partir de 1 uds.)</v>
      </c>
    </row>
    <row r="23">
      <c r="A23" s="4" t="str">
        <f>IFERROR(__xludf.DUMMYFUNCTION("""COMPUTED_VALUE"""),"0106A")</f>
        <v>0106A</v>
      </c>
      <c r="B23" s="4" t="str">
        <f>IFERROR(__xludf.DUMMYFUNCTION("""COMPUTED_VALUE"""),"Cartel PVC 32x16 Fotolum. Salida de emergencia + flecha")</f>
        <v>Cartel PVC 32x16 Fotolum. Salida de emergencia + flecha</v>
      </c>
      <c r="C23" s="4">
        <f>IFERROR(__xludf.DUMMYFUNCTION("""COMPUTED_VALUE"""),2.16)</f>
        <v>2.16</v>
      </c>
      <c r="D23" s="4"/>
      <c r="E23" s="4" t="str">
        <f>IFERROR(__xludf.DUMMYFUNCTION("""COMPUTED_VALUE"""),"Sin precio neto")</f>
        <v>Sin precio neto</v>
      </c>
    </row>
    <row r="24">
      <c r="A24" s="4" t="str">
        <f>IFERROR(__xludf.DUMMYFUNCTION("""COMPUTED_VALUE"""),"0106B")</f>
        <v>0106B</v>
      </c>
      <c r="B24" s="4" t="str">
        <f>IFERROR(__xludf.DUMMYFUNCTION("""COMPUTED_VALUE"""),"Cartel PVC 64x32 Fotolum. Salida de emergencia + flecha")</f>
        <v>Cartel PVC 64x32 Fotolum. Salida de emergencia + flecha</v>
      </c>
      <c r="C24" s="4">
        <f>IFERROR(__xludf.DUMMYFUNCTION("""COMPUTED_VALUE"""),4.300800000000001)</f>
        <v>4.3008</v>
      </c>
      <c r="D24" s="4"/>
      <c r="E24" s="4" t="str">
        <f>IFERROR(__xludf.DUMMYFUNCTION("""COMPUTED_VALUE"""),"Sin precio neto")</f>
        <v>Sin precio neto</v>
      </c>
    </row>
    <row r="25">
      <c r="A25" s="4" t="str">
        <f>IFERROR(__xludf.DUMMYFUNCTION("""COMPUTED_VALUE"""),"0106C")</f>
        <v>0106C</v>
      </c>
      <c r="B25" s="4" t="str">
        <f>IFERROR(__xludf.DUMMYFUNCTION("""COMPUTED_VALUE"""),"Cartel PVC 96x48 Fotolum. Salida de emergencia + flecha")</f>
        <v>Cartel PVC 96x48 Fotolum. Salida de emergencia + flecha</v>
      </c>
      <c r="C25" s="4">
        <f>IFERROR(__xludf.DUMMYFUNCTION("""COMPUTED_VALUE"""),8.601600000000001)</f>
        <v>8.6016</v>
      </c>
      <c r="D25" s="4"/>
      <c r="E25" s="4" t="str">
        <f>IFERROR(__xludf.DUMMYFUNCTION("""COMPUTED_VALUE"""),"Sin precio neto")</f>
        <v>Sin precio neto</v>
      </c>
    </row>
    <row r="26">
      <c r="A26" s="4" t="str">
        <f>IFERROR(__xludf.DUMMYFUNCTION("""COMPUTED_VALUE"""),"107")</f>
        <v>107</v>
      </c>
      <c r="B26" s="4" t="str">
        <f>IFERROR(__xludf.DUMMYFUNCTION("""COMPUTED_VALUE"""),"Cartel PVC 21x29 Fotolum. SALIDA EMERG. FLECHA IZQ.")</f>
        <v>Cartel PVC 21x29 Fotolum. SALIDA EMERG. FLECHA IZQ.</v>
      </c>
      <c r="C26" s="4">
        <f>IFERROR(__xludf.DUMMYFUNCTION("""COMPUTED_VALUE"""),2.496)</f>
        <v>2.496</v>
      </c>
      <c r="D26" s="4">
        <f>IFERROR(__xludf.DUMMYFUNCTION("""COMPUTED_VALUE"""),2.1)</f>
        <v>2.1</v>
      </c>
      <c r="E26" s="4" t="str">
        <f>IFERROR(__xludf.DUMMYFUNCTION("""COMPUTED_VALUE"""),"Neto: 2,10 € (a partir de 1 uds.)")</f>
        <v>Neto: 2,10 € (a partir de 1 uds.)</v>
      </c>
    </row>
    <row r="27">
      <c r="A27" s="4" t="str">
        <f>IFERROR(__xludf.DUMMYFUNCTION("""COMPUTED_VALUE"""),"0107A")</f>
        <v>0107A</v>
      </c>
      <c r="B27" s="4" t="str">
        <f>IFERROR(__xludf.DUMMYFUNCTION("""COMPUTED_VALUE"""),"Cartel PVC 32x16 Fotolum. Salida de emergencia + flecha izq")</f>
        <v>Cartel PVC 32x16 Fotolum. Salida de emergencia + flecha izq</v>
      </c>
      <c r="C27" s="4">
        <f>IFERROR(__xludf.DUMMYFUNCTION("""COMPUTED_VALUE"""),2.16)</f>
        <v>2.16</v>
      </c>
      <c r="D27" s="4"/>
      <c r="E27" s="4" t="str">
        <f>IFERROR(__xludf.DUMMYFUNCTION("""COMPUTED_VALUE"""),"Sin precio neto")</f>
        <v>Sin precio neto</v>
      </c>
    </row>
    <row r="28">
      <c r="A28" s="4" t="str">
        <f>IFERROR(__xludf.DUMMYFUNCTION("""COMPUTED_VALUE"""),"0107B")</f>
        <v>0107B</v>
      </c>
      <c r="B28" s="4" t="str">
        <f>IFERROR(__xludf.DUMMYFUNCTION("""COMPUTED_VALUE"""),"Cartel PVC 64x32 Fotolum. Salida de emergencia + flecha izq")</f>
        <v>Cartel PVC 64x32 Fotolum. Salida de emergencia + flecha izq</v>
      </c>
      <c r="C28" s="4">
        <f>IFERROR(__xludf.DUMMYFUNCTION("""COMPUTED_VALUE"""),4.300800000000001)</f>
        <v>4.3008</v>
      </c>
      <c r="D28" s="4"/>
      <c r="E28" s="4" t="str">
        <f>IFERROR(__xludf.DUMMYFUNCTION("""COMPUTED_VALUE"""),"Sin precio neto")</f>
        <v>Sin precio neto</v>
      </c>
    </row>
    <row r="29">
      <c r="A29" s="4" t="str">
        <f>IFERROR(__xludf.DUMMYFUNCTION("""COMPUTED_VALUE"""),"0107C")</f>
        <v>0107C</v>
      </c>
      <c r="B29" s="4" t="str">
        <f>IFERROR(__xludf.DUMMYFUNCTION("""COMPUTED_VALUE"""),"Cartel PVC 96x48 Fotolum. Salida de emergencia + flecha izq")</f>
        <v>Cartel PVC 96x48 Fotolum. Salida de emergencia + flecha izq</v>
      </c>
      <c r="C29" s="4">
        <f>IFERROR(__xludf.DUMMYFUNCTION("""COMPUTED_VALUE"""),8.601600000000001)</f>
        <v>8.6016</v>
      </c>
      <c r="D29" s="4"/>
      <c r="E29" s="4" t="str">
        <f>IFERROR(__xludf.DUMMYFUNCTION("""COMPUTED_VALUE"""),"Sin precio neto")</f>
        <v>Sin precio neto</v>
      </c>
    </row>
    <row r="30">
      <c r="A30" s="4" t="str">
        <f>IFERROR(__xludf.DUMMYFUNCTION("""COMPUTED_VALUE"""),"108")</f>
        <v>108</v>
      </c>
      <c r="B30" s="4" t="str">
        <f>IFERROR(__xludf.DUMMYFUNCTION("""COMPUTED_VALUE"""),"Cartel PVC 21X29 Fotolum. ESCALERA EMERG. FLECHA")</f>
        <v>Cartel PVC 21X29 Fotolum. ESCALERA EMERG. FLECHA</v>
      </c>
      <c r="C30" s="4">
        <f>IFERROR(__xludf.DUMMYFUNCTION("""COMPUTED_VALUE"""),2.496)</f>
        <v>2.496</v>
      </c>
      <c r="D30" s="4">
        <f>IFERROR(__xludf.DUMMYFUNCTION("""COMPUTED_VALUE"""),2.1)</f>
        <v>2.1</v>
      </c>
      <c r="E30" s="4" t="str">
        <f>IFERROR(__xludf.DUMMYFUNCTION("""COMPUTED_VALUE"""),"Neto: 2,10 € (a partir de 1 uds.)")</f>
        <v>Neto: 2,10 € (a partir de 1 uds.)</v>
      </c>
    </row>
    <row r="31">
      <c r="A31" s="4" t="str">
        <f>IFERROR(__xludf.DUMMYFUNCTION("""COMPUTED_VALUE"""),"0108A")</f>
        <v>0108A</v>
      </c>
      <c r="B31" s="4" t="str">
        <f>IFERROR(__xludf.DUMMYFUNCTION("""COMPUTED_VALUE"""),"Cartel PVC 32x16 Fotolum. Escal. de emergencia + flecha")</f>
        <v>Cartel PVC 32x16 Fotolum. Escal. de emergencia + flecha</v>
      </c>
      <c r="C31" s="4">
        <f>IFERROR(__xludf.DUMMYFUNCTION("""COMPUTED_VALUE"""),2.16)</f>
        <v>2.16</v>
      </c>
      <c r="D31" s="4"/>
      <c r="E31" s="4" t="str">
        <f>IFERROR(__xludf.DUMMYFUNCTION("""COMPUTED_VALUE"""),"Sin precio neto")</f>
        <v>Sin precio neto</v>
      </c>
    </row>
    <row r="32">
      <c r="A32" s="4" t="str">
        <f>IFERROR(__xludf.DUMMYFUNCTION("""COMPUTED_VALUE"""),"0108B")</f>
        <v>0108B</v>
      </c>
      <c r="B32" s="4" t="str">
        <f>IFERROR(__xludf.DUMMYFUNCTION("""COMPUTED_VALUE"""),"Cartel PVC 64x32 Fotolum. Escal. de emergencia + flecha")</f>
        <v>Cartel PVC 64x32 Fotolum. Escal. de emergencia + flecha</v>
      </c>
      <c r="C32" s="4">
        <f>IFERROR(__xludf.DUMMYFUNCTION("""COMPUTED_VALUE"""),4.300800000000001)</f>
        <v>4.3008</v>
      </c>
      <c r="D32" s="4"/>
      <c r="E32" s="4" t="str">
        <f>IFERROR(__xludf.DUMMYFUNCTION("""COMPUTED_VALUE"""),"Sin precio neto")</f>
        <v>Sin precio neto</v>
      </c>
    </row>
    <row r="33">
      <c r="A33" s="4" t="str">
        <f>IFERROR(__xludf.DUMMYFUNCTION("""COMPUTED_VALUE"""),"0108C")</f>
        <v>0108C</v>
      </c>
      <c r="B33" s="4" t="str">
        <f>IFERROR(__xludf.DUMMYFUNCTION("""COMPUTED_VALUE"""),"Cartel PVC 96x48 Fotolum. Escal. de emergencia + flecha")</f>
        <v>Cartel PVC 96x48 Fotolum. Escal. de emergencia + flecha</v>
      </c>
      <c r="C33" s="4">
        <f>IFERROR(__xludf.DUMMYFUNCTION("""COMPUTED_VALUE"""),8.601600000000001)</f>
        <v>8.6016</v>
      </c>
      <c r="D33" s="4"/>
      <c r="E33" s="4" t="str">
        <f>IFERROR(__xludf.DUMMYFUNCTION("""COMPUTED_VALUE"""),"Sin precio neto")</f>
        <v>Sin precio neto</v>
      </c>
    </row>
    <row r="34">
      <c r="A34" s="4" t="str">
        <f>IFERROR(__xludf.DUMMYFUNCTION("""COMPUTED_VALUE"""),"109")</f>
        <v>109</v>
      </c>
      <c r="B34" s="4" t="str">
        <f>IFERROR(__xludf.DUMMYFUNCTION("""COMPUTED_VALUE"""),"Cartel PVC 21x29 Fotolum. ESCALERA EMERG. FLECHA")</f>
        <v>Cartel PVC 21x29 Fotolum. ESCALERA EMERG. FLECHA</v>
      </c>
      <c r="C34" s="4">
        <f>IFERROR(__xludf.DUMMYFUNCTION("""COMPUTED_VALUE"""),2.496)</f>
        <v>2.496</v>
      </c>
      <c r="D34" s="4">
        <f>IFERROR(__xludf.DUMMYFUNCTION("""COMPUTED_VALUE"""),2.1)</f>
        <v>2.1</v>
      </c>
      <c r="E34" s="4" t="str">
        <f>IFERROR(__xludf.DUMMYFUNCTION("""COMPUTED_VALUE"""),"Neto: 2,10 € (a partir de 1 uds.)")</f>
        <v>Neto: 2,10 € (a partir de 1 uds.)</v>
      </c>
    </row>
    <row r="35">
      <c r="A35" s="4" t="str">
        <f>IFERROR(__xludf.DUMMYFUNCTION("""COMPUTED_VALUE"""),"0109A")</f>
        <v>0109A</v>
      </c>
      <c r="B35" s="4" t="str">
        <f>IFERROR(__xludf.DUMMYFUNCTION("""COMPUTED_VALUE"""),"Cartel PVC 32x16 Fotolum. Escal. de emergencia + flecha izq.")</f>
        <v>Cartel PVC 32x16 Fotolum. Escal. de emergencia + flecha izq.</v>
      </c>
      <c r="C35" s="4">
        <f>IFERROR(__xludf.DUMMYFUNCTION("""COMPUTED_VALUE"""),2.16)</f>
        <v>2.16</v>
      </c>
      <c r="D35" s="4"/>
      <c r="E35" s="4" t="str">
        <f>IFERROR(__xludf.DUMMYFUNCTION("""COMPUTED_VALUE"""),"Sin precio neto")</f>
        <v>Sin precio neto</v>
      </c>
    </row>
    <row r="36">
      <c r="A36" s="4" t="str">
        <f>IFERROR(__xludf.DUMMYFUNCTION("""COMPUTED_VALUE"""),"0109B")</f>
        <v>0109B</v>
      </c>
      <c r="B36" s="4" t="str">
        <f>IFERROR(__xludf.DUMMYFUNCTION("""COMPUTED_VALUE"""),"Cartel PVC 64x32 Fotolum. Escal. de emergencia + flecha izq.")</f>
        <v>Cartel PVC 64x32 Fotolum. Escal. de emergencia + flecha izq.</v>
      </c>
      <c r="C36" s="4">
        <f>IFERROR(__xludf.DUMMYFUNCTION("""COMPUTED_VALUE"""),4.300800000000001)</f>
        <v>4.3008</v>
      </c>
      <c r="D36" s="4"/>
      <c r="E36" s="4" t="str">
        <f>IFERROR(__xludf.DUMMYFUNCTION("""COMPUTED_VALUE"""),"Sin precio neto")</f>
        <v>Sin precio neto</v>
      </c>
    </row>
    <row r="37">
      <c r="A37" s="4" t="str">
        <f>IFERROR(__xludf.DUMMYFUNCTION("""COMPUTED_VALUE"""),"0109C")</f>
        <v>0109C</v>
      </c>
      <c r="B37" s="4" t="str">
        <f>IFERROR(__xludf.DUMMYFUNCTION("""COMPUTED_VALUE"""),"Cartel PVC 96x48 Fotolum. Escal. de emergencia + flecha izq.")</f>
        <v>Cartel PVC 96x48 Fotolum. Escal. de emergencia + flecha izq.</v>
      </c>
      <c r="C37" s="4">
        <f>IFERROR(__xludf.DUMMYFUNCTION("""COMPUTED_VALUE"""),8.601600000000001)</f>
        <v>8.6016</v>
      </c>
      <c r="D37" s="4"/>
      <c r="E37" s="4" t="str">
        <f>IFERROR(__xludf.DUMMYFUNCTION("""COMPUTED_VALUE"""),"Sin precio neto")</f>
        <v>Sin precio neto</v>
      </c>
    </row>
    <row r="38">
      <c r="A38" s="4" t="str">
        <f>IFERROR(__xludf.DUMMYFUNCTION("""COMPUTED_VALUE"""),"110")</f>
        <v>110</v>
      </c>
      <c r="B38" s="4" t="str">
        <f>IFERROR(__xludf.DUMMYFUNCTION("""COMPUTED_VALUE"""),"Cartel PVC 21x29 Fotolum. No utilizar en caso de incendio")</f>
        <v>Cartel PVC 21x29 Fotolum. No utilizar en caso de incendio</v>
      </c>
      <c r="C38" s="4">
        <f>IFERROR(__xludf.DUMMYFUNCTION("""COMPUTED_VALUE"""),2.496)</f>
        <v>2.496</v>
      </c>
      <c r="D38" s="4">
        <f>IFERROR(__xludf.DUMMYFUNCTION("""COMPUTED_VALUE"""),2.1)</f>
        <v>2.1</v>
      </c>
      <c r="E38" s="4" t="str">
        <f>IFERROR(__xludf.DUMMYFUNCTION("""COMPUTED_VALUE"""),"Neto: 2,10 € (a partir de 1 uds.)")</f>
        <v>Neto: 2,10 € (a partir de 1 uds.)</v>
      </c>
    </row>
    <row r="39">
      <c r="A39" s="4" t="str">
        <f>IFERROR(__xludf.DUMMYFUNCTION("""COMPUTED_VALUE"""),"0116V")</f>
        <v>0116V</v>
      </c>
      <c r="B39" s="4" t="str">
        <f>IFERROR(__xludf.DUMMYFUNCTION("""COMPUTED_VALUE"""),"Vinilo Adhesivo suelo Dir. Peatonal 40 cm")</f>
        <v>Vinilo Adhesivo suelo Dir. Peatonal 40 cm</v>
      </c>
      <c r="C39" s="4">
        <f>IFERROR(__xludf.DUMMYFUNCTION("""COMPUTED_VALUE"""),5.904)</f>
        <v>5.904</v>
      </c>
      <c r="D39" s="4"/>
      <c r="E39" s="4" t="str">
        <f>IFERROR(__xludf.DUMMYFUNCTION("""COMPUTED_VALUE"""),"Sin precio neto")</f>
        <v>Sin precio neto</v>
      </c>
    </row>
    <row r="40">
      <c r="A40" s="4" t="str">
        <f>IFERROR(__xludf.DUMMYFUNCTION("""COMPUTED_VALUE"""),"0150A")</f>
        <v>0150A</v>
      </c>
      <c r="B40" s="4" t="str">
        <f>IFERROR(__xludf.DUMMYFUNCTION("""COMPUTED_VALUE"""),"Cartel PVC 21x21 Fotolum. Pulsador de alarma")</f>
        <v>Cartel PVC 21x21 Fotolum. Pulsador de alarma</v>
      </c>
      <c r="C40" s="4">
        <f>IFERROR(__xludf.DUMMYFUNCTION("""COMPUTED_VALUE"""),2.2176)</f>
        <v>2.2176</v>
      </c>
      <c r="D40" s="4"/>
      <c r="E40" s="4" t="str">
        <f>IFERROR(__xludf.DUMMYFUNCTION("""COMPUTED_VALUE"""),"Sin precio neto")</f>
        <v>Sin precio neto</v>
      </c>
    </row>
    <row r="41">
      <c r="A41" s="4" t="str">
        <f>IFERROR(__xludf.DUMMYFUNCTION("""COMPUTED_VALUE"""),"0150B")</f>
        <v>0150B</v>
      </c>
      <c r="B41" s="4" t="str">
        <f>IFERROR(__xludf.DUMMYFUNCTION("""COMPUTED_VALUE"""),"Cartel PVC 42x42 Fotolum. Pulsador de alarma")</f>
        <v>Cartel PVC 42x42 Fotolum. Pulsador de alarma</v>
      </c>
      <c r="C41" s="4">
        <f>IFERROR(__xludf.DUMMYFUNCTION("""COMPUTED_VALUE"""),3.7439999999999998)</f>
        <v>3.744</v>
      </c>
      <c r="D41" s="4"/>
      <c r="E41" s="4" t="str">
        <f>IFERROR(__xludf.DUMMYFUNCTION("""COMPUTED_VALUE"""),"Sin precio neto")</f>
        <v>Sin precio neto</v>
      </c>
    </row>
    <row r="42">
      <c r="A42" s="4" t="str">
        <f>IFERROR(__xludf.DUMMYFUNCTION("""COMPUTED_VALUE"""),"0150C")</f>
        <v>0150C</v>
      </c>
      <c r="B42" s="4" t="str">
        <f>IFERROR(__xludf.DUMMYFUNCTION("""COMPUTED_VALUE"""),"Cartel PVC 63x63 Fotolum. Pulsador de alarma")</f>
        <v>Cartel PVC 63x63 Fotolum. Pulsador de alarma</v>
      </c>
      <c r="C42" s="4">
        <f>IFERROR(__xludf.DUMMYFUNCTION("""COMPUTED_VALUE"""),6.0)</f>
        <v>6</v>
      </c>
      <c r="D42" s="4"/>
      <c r="E42" s="4" t="str">
        <f>IFERROR(__xludf.DUMMYFUNCTION("""COMPUTED_VALUE"""),"Sin precio neto")</f>
        <v>Sin precio neto</v>
      </c>
    </row>
    <row r="43">
      <c r="A43" s="4" t="str">
        <f>IFERROR(__xludf.DUMMYFUNCTION("""COMPUTED_VALUE"""),"151")</f>
        <v>151</v>
      </c>
      <c r="B43" s="4" t="str">
        <f>IFERROR(__xludf.DUMMYFUNCTION("""COMPUTED_VALUE"""),"Cartel PVC 21x21 Fotolum. EXTINTOR IZQUIERDA")</f>
        <v>Cartel PVC 21x21 Fotolum. EXTINTOR IZQUIERDA</v>
      </c>
      <c r="C43" s="4">
        <f>IFERROR(__xludf.DUMMYFUNCTION("""COMPUTED_VALUE"""),2.2176)</f>
        <v>2.2176</v>
      </c>
      <c r="D43" s="4"/>
      <c r="E43" s="4" t="str">
        <f>IFERROR(__xludf.DUMMYFUNCTION("""COMPUTED_VALUE"""),"Sin precio neto")</f>
        <v>Sin precio neto</v>
      </c>
    </row>
    <row r="44">
      <c r="A44" s="4" t="str">
        <f>IFERROR(__xludf.DUMMYFUNCTION("""COMPUTED_VALUE"""),"0151A")</f>
        <v>0151A</v>
      </c>
      <c r="B44" s="4" t="str">
        <f>IFERROR(__xludf.DUMMYFUNCTION("""COMPUTED_VALUE"""),"Cartel PVC 21x21 Fotolum. Carro extintor")</f>
        <v>Cartel PVC 21x21 Fotolum. Carro extintor</v>
      </c>
      <c r="C44" s="4">
        <f>IFERROR(__xludf.DUMMYFUNCTION("""COMPUTED_VALUE"""),2.2176)</f>
        <v>2.2176</v>
      </c>
      <c r="D44" s="4"/>
      <c r="E44" s="4" t="str">
        <f>IFERROR(__xludf.DUMMYFUNCTION("""COMPUTED_VALUE"""),"Sin precio neto")</f>
        <v>Sin precio neto</v>
      </c>
    </row>
    <row r="45">
      <c r="A45" s="4" t="str">
        <f>IFERROR(__xludf.DUMMYFUNCTION("""COMPUTED_VALUE"""),"0151B")</f>
        <v>0151B</v>
      </c>
      <c r="B45" s="4" t="str">
        <f>IFERROR(__xludf.DUMMYFUNCTION("""COMPUTED_VALUE"""),"Cartel PVC 42x42 Fotolum. Carro extintor")</f>
        <v>Cartel PVC 42x42 Fotolum. Carro extintor</v>
      </c>
      <c r="C45" s="4">
        <f>IFERROR(__xludf.DUMMYFUNCTION("""COMPUTED_VALUE"""),3.7439999999999998)</f>
        <v>3.744</v>
      </c>
      <c r="D45" s="4"/>
      <c r="E45" s="4" t="str">
        <f>IFERROR(__xludf.DUMMYFUNCTION("""COMPUTED_VALUE"""),"Sin precio neto")</f>
        <v>Sin precio neto</v>
      </c>
    </row>
    <row r="46">
      <c r="A46" s="4" t="str">
        <f>IFERROR(__xludf.DUMMYFUNCTION("""COMPUTED_VALUE"""),"0151C")</f>
        <v>0151C</v>
      </c>
      <c r="B46" s="4" t="str">
        <f>IFERROR(__xludf.DUMMYFUNCTION("""COMPUTED_VALUE"""),"Cartel PVC 63x63 Fotolum. Carro extintor")</f>
        <v>Cartel PVC 63x63 Fotolum. Carro extintor</v>
      </c>
      <c r="C46" s="4">
        <f>IFERROR(__xludf.DUMMYFUNCTION("""COMPUTED_VALUE"""),6.0)</f>
        <v>6</v>
      </c>
      <c r="D46" s="4"/>
      <c r="E46" s="4" t="str">
        <f>IFERROR(__xludf.DUMMYFUNCTION("""COMPUTED_VALUE"""),"Sin precio neto")</f>
        <v>Sin precio neto</v>
      </c>
    </row>
    <row r="47">
      <c r="A47" s="4" t="str">
        <f>IFERROR(__xludf.DUMMYFUNCTION("""COMPUTED_VALUE"""),"152")</f>
        <v>152</v>
      </c>
      <c r="B47" s="4" t="str">
        <f>IFERROR(__xludf.DUMMYFUNCTION("""COMPUTED_VALUE"""),"Cartel PVC 21x21 Fotolum. EXTINTOR ABAJO")</f>
        <v>Cartel PVC 21x21 Fotolum. EXTINTOR ABAJO</v>
      </c>
      <c r="C47" s="4">
        <f>IFERROR(__xludf.DUMMYFUNCTION("""COMPUTED_VALUE"""),2.2176)</f>
        <v>2.2176</v>
      </c>
      <c r="D47" s="4"/>
      <c r="E47" s="4" t="str">
        <f>IFERROR(__xludf.DUMMYFUNCTION("""COMPUTED_VALUE"""),"Sin precio neto")</f>
        <v>Sin precio neto</v>
      </c>
    </row>
    <row r="48">
      <c r="A48" s="4" t="str">
        <f>IFERROR(__xludf.DUMMYFUNCTION("""COMPUTED_VALUE"""),"0152A")</f>
        <v>0152A</v>
      </c>
      <c r="B48" s="4" t="str">
        <f>IFERROR(__xludf.DUMMYFUNCTION("""COMPUTED_VALUE"""),"Cartel PVC 21x21 Fotolum. Escalera")</f>
        <v>Cartel PVC 21x21 Fotolum. Escalera</v>
      </c>
      <c r="C48" s="4">
        <f>IFERROR(__xludf.DUMMYFUNCTION("""COMPUTED_VALUE"""),2.2176)</f>
        <v>2.2176</v>
      </c>
      <c r="D48" s="4"/>
      <c r="E48" s="4" t="str">
        <f>IFERROR(__xludf.DUMMYFUNCTION("""COMPUTED_VALUE"""),"Sin precio neto")</f>
        <v>Sin precio neto</v>
      </c>
    </row>
    <row r="49">
      <c r="A49" s="4" t="str">
        <f>IFERROR(__xludf.DUMMYFUNCTION("""COMPUTED_VALUE"""),"0152B")</f>
        <v>0152B</v>
      </c>
      <c r="B49" s="4" t="str">
        <f>IFERROR(__xludf.DUMMYFUNCTION("""COMPUTED_VALUE"""),"Cartel PVC 42x42 Fotolum. Escalera")</f>
        <v>Cartel PVC 42x42 Fotolum. Escalera</v>
      </c>
      <c r="C49" s="4">
        <f>IFERROR(__xludf.DUMMYFUNCTION("""COMPUTED_VALUE"""),3.7439999999999998)</f>
        <v>3.744</v>
      </c>
      <c r="D49" s="4"/>
      <c r="E49" s="4" t="str">
        <f>IFERROR(__xludf.DUMMYFUNCTION("""COMPUTED_VALUE"""),"Sin precio neto")</f>
        <v>Sin precio neto</v>
      </c>
    </row>
    <row r="50">
      <c r="A50" s="4" t="str">
        <f>IFERROR(__xludf.DUMMYFUNCTION("""COMPUTED_VALUE"""),"0152C")</f>
        <v>0152C</v>
      </c>
      <c r="B50" s="4" t="str">
        <f>IFERROR(__xludf.DUMMYFUNCTION("""COMPUTED_VALUE"""),"Cartel PVC 63x63 Fotolum. Escalera")</f>
        <v>Cartel PVC 63x63 Fotolum. Escalera</v>
      </c>
      <c r="C50" s="4">
        <f>IFERROR(__xludf.DUMMYFUNCTION("""COMPUTED_VALUE"""),6.0)</f>
        <v>6</v>
      </c>
      <c r="D50" s="4"/>
      <c r="E50" s="4" t="str">
        <f>IFERROR(__xludf.DUMMYFUNCTION("""COMPUTED_VALUE"""),"Sin precio neto")</f>
        <v>Sin precio neto</v>
      </c>
    </row>
    <row r="51">
      <c r="A51" s="4" t="str">
        <f>IFERROR(__xludf.DUMMYFUNCTION("""COMPUTED_VALUE"""),"153")</f>
        <v>153</v>
      </c>
      <c r="B51" s="4" t="str">
        <f>IFERROR(__xludf.DUMMYFUNCTION("""COMPUTED_VALUE"""),"Cartel PVC 21x21 Fotolum. PULSADOR")</f>
        <v>Cartel PVC 21x21 Fotolum. PULSADOR</v>
      </c>
      <c r="C51" s="4">
        <f>IFERROR(__xludf.DUMMYFUNCTION("""COMPUTED_VALUE"""),2.2176)</f>
        <v>2.2176</v>
      </c>
      <c r="D51" s="4"/>
      <c r="E51" s="4" t="str">
        <f>IFERROR(__xludf.DUMMYFUNCTION("""COMPUTED_VALUE"""),"Sin precio neto")</f>
        <v>Sin precio neto</v>
      </c>
    </row>
    <row r="52">
      <c r="A52" s="4" t="str">
        <f>IFERROR(__xludf.DUMMYFUNCTION("""COMPUTED_VALUE"""),"0153A")</f>
        <v>0153A</v>
      </c>
      <c r="B52" s="4" t="str">
        <f>IFERROR(__xludf.DUMMYFUNCTION("""COMPUTED_VALUE"""),"Cartel PVC 21x21 Fotolum. Flecha abajo derecha")</f>
        <v>Cartel PVC 21x21 Fotolum. Flecha abajo derecha</v>
      </c>
      <c r="C52" s="4">
        <f>IFERROR(__xludf.DUMMYFUNCTION("""COMPUTED_VALUE"""),2.2176)</f>
        <v>2.2176</v>
      </c>
      <c r="D52" s="4"/>
      <c r="E52" s="4" t="str">
        <f>IFERROR(__xludf.DUMMYFUNCTION("""COMPUTED_VALUE"""),"Sin precio neto")</f>
        <v>Sin precio neto</v>
      </c>
    </row>
    <row r="53">
      <c r="A53" s="4" t="str">
        <f>IFERROR(__xludf.DUMMYFUNCTION("""COMPUTED_VALUE"""),"0153B")</f>
        <v>0153B</v>
      </c>
      <c r="B53" s="4" t="str">
        <f>IFERROR(__xludf.DUMMYFUNCTION("""COMPUTED_VALUE"""),"Cartel PVC 42x42 Fotolum. Flecha abajo derecha")</f>
        <v>Cartel PVC 42x42 Fotolum. Flecha abajo derecha</v>
      </c>
      <c r="C53" s="4">
        <f>IFERROR(__xludf.DUMMYFUNCTION("""COMPUTED_VALUE"""),3.7439999999999998)</f>
        <v>3.744</v>
      </c>
      <c r="D53" s="4"/>
      <c r="E53" s="4" t="str">
        <f>IFERROR(__xludf.DUMMYFUNCTION("""COMPUTED_VALUE"""),"Sin precio neto")</f>
        <v>Sin precio neto</v>
      </c>
    </row>
    <row r="54">
      <c r="A54" s="4" t="str">
        <f>IFERROR(__xludf.DUMMYFUNCTION("""COMPUTED_VALUE"""),"0153C")</f>
        <v>0153C</v>
      </c>
      <c r="B54" s="4" t="str">
        <f>IFERROR(__xludf.DUMMYFUNCTION("""COMPUTED_VALUE"""),"Cartel PVC 63x63 Fotolum. Flecha abajo derecha")</f>
        <v>Cartel PVC 63x63 Fotolum. Flecha abajo derecha</v>
      </c>
      <c r="C54" s="4">
        <f>IFERROR(__xludf.DUMMYFUNCTION("""COMPUTED_VALUE"""),6.0)</f>
        <v>6</v>
      </c>
      <c r="D54" s="4"/>
      <c r="E54" s="4" t="str">
        <f>IFERROR(__xludf.DUMMYFUNCTION("""COMPUTED_VALUE"""),"Sin precio neto")</f>
        <v>Sin precio neto</v>
      </c>
    </row>
    <row r="55">
      <c r="A55" s="4" t="str">
        <f>IFERROR(__xludf.DUMMYFUNCTION("""COMPUTED_VALUE"""),"154")</f>
        <v>154</v>
      </c>
      <c r="B55" s="4" t="str">
        <f>IFERROR(__xludf.DUMMYFUNCTION("""COMPUTED_VALUE"""),"Cartel PVC 21x21 Fotolum. PULSADOR IZQUIERDA")</f>
        <v>Cartel PVC 21x21 Fotolum. PULSADOR IZQUIERDA</v>
      </c>
      <c r="C55" s="4">
        <f>IFERROR(__xludf.DUMMYFUNCTION("""COMPUTED_VALUE"""),2.2176)</f>
        <v>2.2176</v>
      </c>
      <c r="D55" s="4"/>
      <c r="E55" s="4" t="str">
        <f>IFERROR(__xludf.DUMMYFUNCTION("""COMPUTED_VALUE"""),"Sin precio neto")</f>
        <v>Sin precio neto</v>
      </c>
    </row>
    <row r="56">
      <c r="A56" s="4" t="str">
        <f>IFERROR(__xludf.DUMMYFUNCTION("""COMPUTED_VALUE"""),"0154A")</f>
        <v>0154A</v>
      </c>
      <c r="B56" s="4" t="str">
        <f>IFERROR(__xludf.DUMMYFUNCTION("""COMPUTED_VALUE"""),"Cartel PVC 21x21 Fotolum. Flecha abajo izquierda")</f>
        <v>Cartel PVC 21x21 Fotolum. Flecha abajo izquierda</v>
      </c>
      <c r="C56" s="4">
        <f>IFERROR(__xludf.DUMMYFUNCTION("""COMPUTED_VALUE"""),2.2176)</f>
        <v>2.2176</v>
      </c>
      <c r="D56" s="4"/>
      <c r="E56" s="4" t="str">
        <f>IFERROR(__xludf.DUMMYFUNCTION("""COMPUTED_VALUE"""),"Sin precio neto")</f>
        <v>Sin precio neto</v>
      </c>
    </row>
    <row r="57">
      <c r="A57" s="4" t="str">
        <f>IFERROR(__xludf.DUMMYFUNCTION("""COMPUTED_VALUE"""),"0154B")</f>
        <v>0154B</v>
      </c>
      <c r="B57" s="4" t="str">
        <f>IFERROR(__xludf.DUMMYFUNCTION("""COMPUTED_VALUE"""),"Cartel PVC 42x42 Fotolum. Flecha abajo izquierda")</f>
        <v>Cartel PVC 42x42 Fotolum. Flecha abajo izquierda</v>
      </c>
      <c r="C57" s="4">
        <f>IFERROR(__xludf.DUMMYFUNCTION("""COMPUTED_VALUE"""),3.7439999999999998)</f>
        <v>3.744</v>
      </c>
      <c r="D57" s="4"/>
      <c r="E57" s="4" t="str">
        <f>IFERROR(__xludf.DUMMYFUNCTION("""COMPUTED_VALUE"""),"Sin precio neto")</f>
        <v>Sin precio neto</v>
      </c>
    </row>
    <row r="58">
      <c r="A58" s="4" t="str">
        <f>IFERROR(__xludf.DUMMYFUNCTION("""COMPUTED_VALUE"""),"0154C")</f>
        <v>0154C</v>
      </c>
      <c r="B58" s="4" t="str">
        <f>IFERROR(__xludf.DUMMYFUNCTION("""COMPUTED_VALUE"""),"Cartel PVC 21x21 Fotolum. Flecha abajo izquierda")</f>
        <v>Cartel PVC 21x21 Fotolum. Flecha abajo izquierda</v>
      </c>
      <c r="C58" s="4">
        <f>IFERROR(__xludf.DUMMYFUNCTION("""COMPUTED_VALUE"""),6.0)</f>
        <v>6</v>
      </c>
      <c r="D58" s="4"/>
      <c r="E58" s="4" t="str">
        <f>IFERROR(__xludf.DUMMYFUNCTION("""COMPUTED_VALUE"""),"Sin precio neto")</f>
        <v>Sin precio neto</v>
      </c>
    </row>
    <row r="59">
      <c r="A59" s="4" t="str">
        <f>IFERROR(__xludf.DUMMYFUNCTION("""COMPUTED_VALUE"""),"155")</f>
        <v>155</v>
      </c>
      <c r="B59" s="4" t="str">
        <f>IFERROR(__xludf.DUMMYFUNCTION("""COMPUTED_VALUE"""),"Cartel PVC 21x21 Fotolum. PULSADOR DERECHA")</f>
        <v>Cartel PVC 21x21 Fotolum. PULSADOR DERECHA</v>
      </c>
      <c r="C59" s="4">
        <f>IFERROR(__xludf.DUMMYFUNCTION("""COMPUTED_VALUE"""),2.2176)</f>
        <v>2.2176</v>
      </c>
      <c r="D59" s="4"/>
      <c r="E59" s="4" t="str">
        <f>IFERROR(__xludf.DUMMYFUNCTION("""COMPUTED_VALUE"""),"Sin precio neto")</f>
        <v>Sin precio neto</v>
      </c>
    </row>
    <row r="60">
      <c r="A60" s="4" t="str">
        <f>IFERROR(__xludf.DUMMYFUNCTION("""COMPUTED_VALUE"""),"160")</f>
        <v>160</v>
      </c>
      <c r="B60" s="4" t="str">
        <f>IFERROR(__xludf.DUMMYFUNCTION("""COMPUTED_VALUE"""),"Cartel PVC 21x21 Fotolum. PUERTA EMERGENCIA IZQ.")</f>
        <v>Cartel PVC 21x21 Fotolum. PUERTA EMERGENCIA IZQ.</v>
      </c>
      <c r="C60" s="4">
        <f>IFERROR(__xludf.DUMMYFUNCTION("""COMPUTED_VALUE"""),2.2176)</f>
        <v>2.2176</v>
      </c>
      <c r="D60" s="4"/>
      <c r="E60" s="4" t="str">
        <f>IFERROR(__xludf.DUMMYFUNCTION("""COMPUTED_VALUE"""),"Sin precio neto")</f>
        <v>Sin precio neto</v>
      </c>
    </row>
    <row r="61">
      <c r="A61" s="4" t="str">
        <f>IFERROR(__xludf.DUMMYFUNCTION("""COMPUTED_VALUE"""),"0160A")</f>
        <v>0160A</v>
      </c>
      <c r="B61" s="4" t="str">
        <f>IFERROR(__xludf.DUMMYFUNCTION("""COMPUTED_VALUE"""),"Cartel PVC 21x21 Fotolum. Salida emergencia izquierda")</f>
        <v>Cartel PVC 21x21 Fotolum. Salida emergencia izquierda</v>
      </c>
      <c r="C61" s="4">
        <f>IFERROR(__xludf.DUMMYFUNCTION("""COMPUTED_VALUE"""),2.2176)</f>
        <v>2.2176</v>
      </c>
      <c r="D61" s="4"/>
      <c r="E61" s="4" t="str">
        <f>IFERROR(__xludf.DUMMYFUNCTION("""COMPUTED_VALUE"""),"Sin precio neto")</f>
        <v>Sin precio neto</v>
      </c>
    </row>
    <row r="62">
      <c r="A62" s="4" t="str">
        <f>IFERROR(__xludf.DUMMYFUNCTION("""COMPUTED_VALUE"""),"0160B")</f>
        <v>0160B</v>
      </c>
      <c r="B62" s="4" t="str">
        <f>IFERROR(__xludf.DUMMYFUNCTION("""COMPUTED_VALUE"""),"Cartel PVC 42x42 Fotolum. Salida emergencia izquierda")</f>
        <v>Cartel PVC 42x42 Fotolum. Salida emergencia izquierda</v>
      </c>
      <c r="C62" s="4">
        <f>IFERROR(__xludf.DUMMYFUNCTION("""COMPUTED_VALUE"""),3.7439999999999998)</f>
        <v>3.744</v>
      </c>
      <c r="D62" s="4"/>
      <c r="E62" s="4" t="str">
        <f>IFERROR(__xludf.DUMMYFUNCTION("""COMPUTED_VALUE"""),"Sin precio neto")</f>
        <v>Sin precio neto</v>
      </c>
    </row>
    <row r="63">
      <c r="A63" s="4" t="str">
        <f>IFERROR(__xludf.DUMMYFUNCTION("""COMPUTED_VALUE"""),"0160C")</f>
        <v>0160C</v>
      </c>
      <c r="B63" s="4" t="str">
        <f>IFERROR(__xludf.DUMMYFUNCTION("""COMPUTED_VALUE"""),"Cartel PVC 63x63 Fotolum. Salida emergencia izquierda")</f>
        <v>Cartel PVC 63x63 Fotolum. Salida emergencia izquierda</v>
      </c>
      <c r="C63" s="4">
        <f>IFERROR(__xludf.DUMMYFUNCTION("""COMPUTED_VALUE"""),6.0)</f>
        <v>6</v>
      </c>
      <c r="D63" s="4"/>
      <c r="E63" s="4" t="str">
        <f>IFERROR(__xludf.DUMMYFUNCTION("""COMPUTED_VALUE"""),"Sin precio neto")</f>
        <v>Sin precio neto</v>
      </c>
    </row>
    <row r="64">
      <c r="A64" s="4" t="str">
        <f>IFERROR(__xludf.DUMMYFUNCTION("""COMPUTED_VALUE"""),"161")</f>
        <v>161</v>
      </c>
      <c r="B64" s="4" t="str">
        <f>IFERROR(__xludf.DUMMYFUNCTION("""COMPUTED_VALUE"""),"Cartel PVC 21x21 Fotolum. PUERTA EMERGENCIA")</f>
        <v>Cartel PVC 21x21 Fotolum. PUERTA EMERGENCIA</v>
      </c>
      <c r="C64" s="4">
        <f>IFERROR(__xludf.DUMMYFUNCTION("""COMPUTED_VALUE"""),2.2176)</f>
        <v>2.2176</v>
      </c>
      <c r="D64" s="4"/>
      <c r="E64" s="4" t="str">
        <f>IFERROR(__xludf.DUMMYFUNCTION("""COMPUTED_VALUE"""),"Sin precio neto")</f>
        <v>Sin precio neto</v>
      </c>
    </row>
    <row r="65">
      <c r="A65" s="4" t="str">
        <f>IFERROR(__xludf.DUMMYFUNCTION("""COMPUTED_VALUE"""),"0161A")</f>
        <v>0161A</v>
      </c>
      <c r="B65" s="4" t="str">
        <f>IFERROR(__xludf.DUMMYFUNCTION("""COMPUTED_VALUE"""),"Cartel PVC 21x21 Fotolum. Salida emergencia derecha")</f>
        <v>Cartel PVC 21x21 Fotolum. Salida emergencia derecha</v>
      </c>
      <c r="C65" s="4">
        <f>IFERROR(__xludf.DUMMYFUNCTION("""COMPUTED_VALUE"""),2.2176)</f>
        <v>2.2176</v>
      </c>
      <c r="D65" s="4"/>
      <c r="E65" s="4" t="str">
        <f>IFERROR(__xludf.DUMMYFUNCTION("""COMPUTED_VALUE"""),"Sin precio neto")</f>
        <v>Sin precio neto</v>
      </c>
    </row>
    <row r="66">
      <c r="A66" s="4" t="str">
        <f>IFERROR(__xludf.DUMMYFUNCTION("""COMPUTED_VALUE"""),"0161B")</f>
        <v>0161B</v>
      </c>
      <c r="B66" s="4" t="str">
        <f>IFERROR(__xludf.DUMMYFUNCTION("""COMPUTED_VALUE"""),"Cartel PVC 42x42 Fotolum. Salida emergencia derecha")</f>
        <v>Cartel PVC 42x42 Fotolum. Salida emergencia derecha</v>
      </c>
      <c r="C66" s="4">
        <f>IFERROR(__xludf.DUMMYFUNCTION("""COMPUTED_VALUE"""),3.7439999999999998)</f>
        <v>3.744</v>
      </c>
      <c r="D66" s="4"/>
      <c r="E66" s="4" t="str">
        <f>IFERROR(__xludf.DUMMYFUNCTION("""COMPUTED_VALUE"""),"Sin precio neto")</f>
        <v>Sin precio neto</v>
      </c>
    </row>
    <row r="67">
      <c r="A67" s="4" t="str">
        <f>IFERROR(__xludf.DUMMYFUNCTION("""COMPUTED_VALUE"""),"0161C")</f>
        <v>0161C</v>
      </c>
      <c r="B67" s="4" t="str">
        <f>IFERROR(__xludf.DUMMYFUNCTION("""COMPUTED_VALUE"""),"Cartel PVC 63x63 Fotolum. Salida emergencia derecha")</f>
        <v>Cartel PVC 63x63 Fotolum. Salida emergencia derecha</v>
      </c>
      <c r="C67" s="4">
        <f>IFERROR(__xludf.DUMMYFUNCTION("""COMPUTED_VALUE"""),6.0)</f>
        <v>6</v>
      </c>
      <c r="D67" s="4"/>
      <c r="E67" s="4" t="str">
        <f>IFERROR(__xludf.DUMMYFUNCTION("""COMPUTED_VALUE"""),"Sin precio neto")</f>
        <v>Sin precio neto</v>
      </c>
    </row>
    <row r="68">
      <c r="A68" s="4" t="str">
        <f>IFERROR(__xludf.DUMMYFUNCTION("""COMPUTED_VALUE"""),"162")</f>
        <v>162</v>
      </c>
      <c r="B68" s="4" t="str">
        <f>IFERROR(__xludf.DUMMYFUNCTION("""COMPUTED_VALUE"""),"Cartel PVC 21x21 Fotolum. PUERTA-ESCALERA EMERG. IZ")</f>
        <v>Cartel PVC 21x21 Fotolum. PUERTA-ESCALERA EMERG. IZ</v>
      </c>
      <c r="C68" s="4">
        <f>IFERROR(__xludf.DUMMYFUNCTION("""COMPUTED_VALUE"""),2.2176)</f>
        <v>2.2176</v>
      </c>
      <c r="D68" s="4"/>
      <c r="E68" s="4" t="str">
        <f>IFERROR(__xludf.DUMMYFUNCTION("""COMPUTED_VALUE"""),"Sin precio neto")</f>
        <v>Sin precio neto</v>
      </c>
    </row>
    <row r="69">
      <c r="A69" s="4" t="str">
        <f>IFERROR(__xludf.DUMMYFUNCTION("""COMPUTED_VALUE"""),"0162A")</f>
        <v>0162A</v>
      </c>
      <c r="B69" s="4" t="str">
        <f>IFERROR(__xludf.DUMMYFUNCTION("""COMPUTED_VALUE"""),"Cartel PVC 21x21 Fotolum. flecha izquierda")</f>
        <v>Cartel PVC 21x21 Fotolum. flecha izquierda</v>
      </c>
      <c r="C69" s="4">
        <f>IFERROR(__xludf.DUMMYFUNCTION("""COMPUTED_VALUE"""),1.2)</f>
        <v>1.2</v>
      </c>
      <c r="D69" s="4"/>
      <c r="E69" s="4" t="str">
        <f>IFERROR(__xludf.DUMMYFUNCTION("""COMPUTED_VALUE"""),"Sin precio neto")</f>
        <v>Sin precio neto</v>
      </c>
    </row>
    <row r="70">
      <c r="A70" s="4" t="str">
        <f>IFERROR(__xludf.DUMMYFUNCTION("""COMPUTED_VALUE"""),"0162B")</f>
        <v>0162B</v>
      </c>
      <c r="B70" s="4" t="str">
        <f>IFERROR(__xludf.DUMMYFUNCTION("""COMPUTED_VALUE"""),"Cartel PVC 42x42 Fotolum. flecha izquierda")</f>
        <v>Cartel PVC 42x42 Fotolum. flecha izquierda</v>
      </c>
      <c r="C70" s="4">
        <f>IFERROR(__xludf.DUMMYFUNCTION("""COMPUTED_VALUE"""),3.7439999999999998)</f>
        <v>3.744</v>
      </c>
      <c r="D70" s="4"/>
      <c r="E70" s="4" t="str">
        <f>IFERROR(__xludf.DUMMYFUNCTION("""COMPUTED_VALUE"""),"Sin precio neto")</f>
        <v>Sin precio neto</v>
      </c>
    </row>
    <row r="71">
      <c r="A71" s="4" t="str">
        <f>IFERROR(__xludf.DUMMYFUNCTION("""COMPUTED_VALUE"""),"0162C")</f>
        <v>0162C</v>
      </c>
      <c r="B71" s="4" t="str">
        <f>IFERROR(__xludf.DUMMYFUNCTION("""COMPUTED_VALUE"""),"Cartel PVC 63x63 Fotolum. flecha izquierda")</f>
        <v>Cartel PVC 63x63 Fotolum. flecha izquierda</v>
      </c>
      <c r="C71" s="4">
        <f>IFERROR(__xludf.DUMMYFUNCTION("""COMPUTED_VALUE"""),6.0)</f>
        <v>6</v>
      </c>
      <c r="D71" s="4"/>
      <c r="E71" s="4" t="str">
        <f>IFERROR(__xludf.DUMMYFUNCTION("""COMPUTED_VALUE"""),"Sin precio neto")</f>
        <v>Sin precio neto</v>
      </c>
    </row>
    <row r="72">
      <c r="A72" s="4" t="str">
        <f>IFERROR(__xludf.DUMMYFUNCTION("""COMPUTED_VALUE"""),"163")</f>
        <v>163</v>
      </c>
      <c r="B72" s="4" t="str">
        <f>IFERROR(__xludf.DUMMYFUNCTION("""COMPUTED_VALUE"""),"Cartel PVC 21x21 Fotolum. PUERTA-ESCALERA EMERG.")</f>
        <v>Cartel PVC 21x21 Fotolum. PUERTA-ESCALERA EMERG.</v>
      </c>
      <c r="C72" s="4">
        <f>IFERROR(__xludf.DUMMYFUNCTION("""COMPUTED_VALUE"""),2.2176)</f>
        <v>2.2176</v>
      </c>
      <c r="D72" s="4"/>
      <c r="E72" s="4" t="str">
        <f>IFERROR(__xludf.DUMMYFUNCTION("""COMPUTED_VALUE"""),"Sin precio neto")</f>
        <v>Sin precio neto</v>
      </c>
    </row>
    <row r="73">
      <c r="A73" s="4" t="str">
        <f>IFERROR(__xludf.DUMMYFUNCTION("""COMPUTED_VALUE"""),"0163A")</f>
        <v>0163A</v>
      </c>
      <c r="B73" s="4" t="str">
        <f>IFERROR(__xludf.DUMMYFUNCTION("""COMPUTED_VALUE"""),"Cartel PVC 21x21 Fotolum. flecha derecha")</f>
        <v>Cartel PVC 21x21 Fotolum. flecha derecha</v>
      </c>
      <c r="C73" s="4">
        <f>IFERROR(__xludf.DUMMYFUNCTION("""COMPUTED_VALUE"""),2.2176)</f>
        <v>2.2176</v>
      </c>
      <c r="D73" s="4"/>
      <c r="E73" s="4" t="str">
        <f>IFERROR(__xludf.DUMMYFUNCTION("""COMPUTED_VALUE"""),"Sin precio neto")</f>
        <v>Sin precio neto</v>
      </c>
    </row>
    <row r="74">
      <c r="A74" s="4" t="str">
        <f>IFERROR(__xludf.DUMMYFUNCTION("""COMPUTED_VALUE"""),"0163B")</f>
        <v>0163B</v>
      </c>
      <c r="B74" s="4" t="str">
        <f>IFERROR(__xludf.DUMMYFUNCTION("""COMPUTED_VALUE"""),"Cartel PVC 42x42 Fotolum. flecha derecha")</f>
        <v>Cartel PVC 42x42 Fotolum. flecha derecha</v>
      </c>
      <c r="C74" s="4">
        <f>IFERROR(__xludf.DUMMYFUNCTION("""COMPUTED_VALUE"""),3.7439999999999998)</f>
        <v>3.744</v>
      </c>
      <c r="D74" s="4"/>
      <c r="E74" s="4" t="str">
        <f>IFERROR(__xludf.DUMMYFUNCTION("""COMPUTED_VALUE"""),"Sin precio neto")</f>
        <v>Sin precio neto</v>
      </c>
    </row>
    <row r="75">
      <c r="A75" s="4" t="str">
        <f>IFERROR(__xludf.DUMMYFUNCTION("""COMPUTED_VALUE"""),"0163C")</f>
        <v>0163C</v>
      </c>
      <c r="B75" s="4" t="str">
        <f>IFERROR(__xludf.DUMMYFUNCTION("""COMPUTED_VALUE"""),"Cartel PVC 63x63 Fotolum. flecha derecha")</f>
        <v>Cartel PVC 63x63 Fotolum. flecha derecha</v>
      </c>
      <c r="C75" s="4">
        <f>IFERROR(__xludf.DUMMYFUNCTION("""COMPUTED_VALUE"""),6.0)</f>
        <v>6</v>
      </c>
      <c r="D75" s="4"/>
      <c r="E75" s="4" t="str">
        <f>IFERROR(__xludf.DUMMYFUNCTION("""COMPUTED_VALUE"""),"Sin precio neto")</f>
        <v>Sin precio neto</v>
      </c>
    </row>
    <row r="76">
      <c r="A76" s="4" t="str">
        <f>IFERROR(__xludf.DUMMYFUNCTION("""COMPUTED_VALUE"""),"164")</f>
        <v>164</v>
      </c>
      <c r="B76" s="4" t="str">
        <f>IFERROR(__xludf.DUMMYFUNCTION("""COMPUTED_VALUE"""),"Cartel PVC 21x21 Fotolum. EMPUJAR BARRA APERTURA")</f>
        <v>Cartel PVC 21x21 Fotolum. EMPUJAR BARRA APERTURA</v>
      </c>
      <c r="C76" s="4">
        <f>IFERROR(__xludf.DUMMYFUNCTION("""COMPUTED_VALUE"""),2.2176)</f>
        <v>2.2176</v>
      </c>
      <c r="D76" s="4"/>
      <c r="E76" s="4" t="str">
        <f>IFERROR(__xludf.DUMMYFUNCTION("""COMPUTED_VALUE"""),"Sin precio neto")</f>
        <v>Sin precio neto</v>
      </c>
    </row>
    <row r="77">
      <c r="A77" s="4" t="str">
        <f>IFERROR(__xludf.DUMMYFUNCTION("""COMPUTED_VALUE"""),"165")</f>
        <v>165</v>
      </c>
      <c r="B77" s="4" t="str">
        <f>IFERROR(__xludf.DUMMYFUNCTION("""COMPUTED_VALUE"""),"Cartel PVC 21x21 Fotolum. FLECHA")</f>
        <v>Cartel PVC 21x21 Fotolum. FLECHA</v>
      </c>
      <c r="C77" s="4">
        <f>IFERROR(__xludf.DUMMYFUNCTION("""COMPUTED_VALUE"""),2.2176)</f>
        <v>2.2176</v>
      </c>
      <c r="D77" s="4"/>
      <c r="E77" s="4" t="str">
        <f>IFERROR(__xludf.DUMMYFUNCTION("""COMPUTED_VALUE"""),"Sin precio neto")</f>
        <v>Sin precio neto</v>
      </c>
    </row>
    <row r="78">
      <c r="A78" s="4" t="str">
        <f>IFERROR(__xludf.DUMMYFUNCTION("""COMPUTED_VALUE"""),"175")</f>
        <v>175</v>
      </c>
      <c r="B78" s="4" t="str">
        <f>IFERROR(__xludf.DUMMYFUNCTION("""COMPUTED_VALUE"""),"Cartel PVC 30x10 Fotolum. SALIDA")</f>
        <v>Cartel PVC 30x10 Fotolum. SALIDA</v>
      </c>
      <c r="C78" s="4">
        <f>IFERROR(__xludf.DUMMYFUNCTION("""COMPUTED_VALUE"""),1.8143999999999998)</f>
        <v>1.8144</v>
      </c>
      <c r="D78" s="4"/>
      <c r="E78" s="4" t="str">
        <f>IFERROR(__xludf.DUMMYFUNCTION("""COMPUTED_VALUE"""),"Sin precio neto")</f>
        <v>Sin precio neto</v>
      </c>
    </row>
    <row r="79">
      <c r="A79" s="4" t="str">
        <f>IFERROR(__xludf.DUMMYFUNCTION("""COMPUTED_VALUE"""),"176")</f>
        <v>176</v>
      </c>
      <c r="B79" s="4" t="str">
        <f>IFERROR(__xludf.DUMMYFUNCTION("""COMPUTED_VALUE"""),"Cartel PVC 30x10 Fotolum. SALIDA FLECHA DCHA")</f>
        <v>Cartel PVC 30x10 Fotolum. SALIDA FLECHA DCHA</v>
      </c>
      <c r="C79" s="4">
        <f>IFERROR(__xludf.DUMMYFUNCTION("""COMPUTED_VALUE"""),1.8143999999999998)</f>
        <v>1.8144</v>
      </c>
      <c r="D79" s="4"/>
      <c r="E79" s="4" t="str">
        <f>IFERROR(__xludf.DUMMYFUNCTION("""COMPUTED_VALUE"""),"Sin precio neto")</f>
        <v>Sin precio neto</v>
      </c>
    </row>
    <row r="80">
      <c r="A80" s="4" t="str">
        <f>IFERROR(__xludf.DUMMYFUNCTION("""COMPUTED_VALUE"""),"177")</f>
        <v>177</v>
      </c>
      <c r="B80" s="4" t="str">
        <f>IFERROR(__xludf.DUMMYFUNCTION("""COMPUTED_VALUE"""),"Cartel PVC 30x10 Fotolum. SALIDA FLECHA IZQ.")</f>
        <v>Cartel PVC 30x10 Fotolum. SALIDA FLECHA IZQ.</v>
      </c>
      <c r="C80" s="4">
        <f>IFERROR(__xludf.DUMMYFUNCTION("""COMPUTED_VALUE"""),1.8143999999999998)</f>
        <v>1.8144</v>
      </c>
      <c r="D80" s="4"/>
      <c r="E80" s="4" t="str">
        <f>IFERROR(__xludf.DUMMYFUNCTION("""COMPUTED_VALUE"""),"Sin precio neto")</f>
        <v>Sin precio neto</v>
      </c>
    </row>
    <row r="81">
      <c r="A81" s="4" t="str">
        <f>IFERROR(__xludf.DUMMYFUNCTION("""COMPUTED_VALUE"""),"178")</f>
        <v>178</v>
      </c>
      <c r="B81" s="4" t="str">
        <f>IFERROR(__xludf.DUMMYFUNCTION("""COMPUTED_VALUE"""),"Cartel PVC 30x10 Fotolum. SALIDA FLECHA ARRIBA")</f>
        <v>Cartel PVC 30x10 Fotolum. SALIDA FLECHA ARRIBA</v>
      </c>
      <c r="C81" s="4">
        <f>IFERROR(__xludf.DUMMYFUNCTION("""COMPUTED_VALUE"""),1.8143999999999998)</f>
        <v>1.8144</v>
      </c>
      <c r="D81" s="4"/>
      <c r="E81" s="4" t="str">
        <f>IFERROR(__xludf.DUMMYFUNCTION("""COMPUTED_VALUE"""),"Sin precio neto")</f>
        <v>Sin precio neto</v>
      </c>
    </row>
    <row r="82">
      <c r="A82" s="4" t="str">
        <f>IFERROR(__xludf.DUMMYFUNCTION("""COMPUTED_VALUE"""),"179")</f>
        <v>179</v>
      </c>
      <c r="B82" s="4" t="str">
        <f>IFERROR(__xludf.DUMMYFUNCTION("""COMPUTED_VALUE"""),"Cartel PVC 30x10 Fotolum. SALIDA FLECHA ABAJO")</f>
        <v>Cartel PVC 30x10 Fotolum. SALIDA FLECHA ABAJO</v>
      </c>
      <c r="C82" s="4">
        <f>IFERROR(__xludf.DUMMYFUNCTION("""COMPUTED_VALUE"""),1.8143999999999998)</f>
        <v>1.8144</v>
      </c>
      <c r="D82" s="4"/>
      <c r="E82" s="4" t="str">
        <f>IFERROR(__xludf.DUMMYFUNCTION("""COMPUTED_VALUE"""),"Sin precio neto")</f>
        <v>Sin precio neto</v>
      </c>
    </row>
    <row r="83">
      <c r="A83" s="4" t="str">
        <f>IFERROR(__xludf.DUMMYFUNCTION("""COMPUTED_VALUE"""),"180")</f>
        <v>180</v>
      </c>
      <c r="B83" s="4" t="str">
        <f>IFERROR(__xludf.DUMMYFUNCTION("""COMPUTED_VALUE"""),"Cartel PVC 30x10 Fotolum. SALIDA EMERGENCIA FLECHA")</f>
        <v>Cartel PVC 30x10 Fotolum. SALIDA EMERGENCIA FLECHA</v>
      </c>
      <c r="C83" s="4">
        <f>IFERROR(__xludf.DUMMYFUNCTION("""COMPUTED_VALUE"""),1.8143999999999998)</f>
        <v>1.8144</v>
      </c>
      <c r="D83" s="4"/>
      <c r="E83" s="4" t="str">
        <f>IFERROR(__xludf.DUMMYFUNCTION("""COMPUTED_VALUE"""),"Sin precio neto")</f>
        <v>Sin precio neto</v>
      </c>
    </row>
    <row r="84">
      <c r="A84" s="4" t="str">
        <f>IFERROR(__xludf.DUMMYFUNCTION("""COMPUTED_VALUE"""),"181")</f>
        <v>181</v>
      </c>
      <c r="B84" s="4" t="str">
        <f>IFERROR(__xludf.DUMMYFUNCTION("""COMPUTED_VALUE"""),"Cartel PVC 30x10 Fotolum. SALIDA EMERGENCIA FLECHA")</f>
        <v>Cartel PVC 30x10 Fotolum. SALIDA EMERGENCIA FLECHA</v>
      </c>
      <c r="C84" s="4">
        <f>IFERROR(__xludf.DUMMYFUNCTION("""COMPUTED_VALUE"""),1.8143999999999998)</f>
        <v>1.8144</v>
      </c>
      <c r="D84" s="4"/>
      <c r="E84" s="4" t="str">
        <f>IFERROR(__xludf.DUMMYFUNCTION("""COMPUTED_VALUE"""),"Sin precio neto")</f>
        <v>Sin precio neto</v>
      </c>
    </row>
    <row r="85">
      <c r="A85" s="4" t="str">
        <f>IFERROR(__xludf.DUMMYFUNCTION("""COMPUTED_VALUE"""),"182")</f>
        <v>182</v>
      </c>
      <c r="B85" s="4" t="str">
        <f>IFERROR(__xludf.DUMMYFUNCTION("""COMPUTED_VALUE"""),"Cartel PVC 30x10 Fotolum. FLECHA")</f>
        <v>Cartel PVC 30x10 Fotolum. FLECHA</v>
      </c>
      <c r="C85" s="4">
        <f>IFERROR(__xludf.DUMMYFUNCTION("""COMPUTED_VALUE"""),1.8143999999999998)</f>
        <v>1.8144</v>
      </c>
      <c r="D85" s="4"/>
      <c r="E85" s="4" t="str">
        <f>IFERROR(__xludf.DUMMYFUNCTION("""COMPUTED_VALUE"""),"Sin precio neto")</f>
        <v>Sin precio neto</v>
      </c>
    </row>
    <row r="86">
      <c r="A86" s="4" t="str">
        <f>IFERROR(__xludf.DUMMYFUNCTION("""COMPUTED_VALUE"""),"183")</f>
        <v>183</v>
      </c>
      <c r="B86" s="4" t="str">
        <f>IFERROR(__xludf.DUMMYFUNCTION("""COMPUTED_VALUE"""),"Cartel PVC 30x10 Fotolum. SALIDA DE EMERGENCIA")</f>
        <v>Cartel PVC 30x10 Fotolum. SALIDA DE EMERGENCIA</v>
      </c>
      <c r="C86" s="4">
        <f>IFERROR(__xludf.DUMMYFUNCTION("""COMPUTED_VALUE"""),1.8143999999999998)</f>
        <v>1.8144</v>
      </c>
      <c r="D86" s="4"/>
      <c r="E86" s="4" t="str">
        <f>IFERROR(__xludf.DUMMYFUNCTION("""COMPUTED_VALUE"""),"Sin precio neto")</f>
        <v>Sin precio neto</v>
      </c>
    </row>
    <row r="87">
      <c r="A87" s="4" t="str">
        <f>IFERROR(__xludf.DUMMYFUNCTION("""COMPUTED_VALUE"""),"184")</f>
        <v>184</v>
      </c>
      <c r="B87" s="4" t="str">
        <f>IFERROR(__xludf.DUMMYFUNCTION("""COMPUTED_VALUE"""),"Cartel PVC 650x105 mm SALIDA DE EMERGENCIA")</f>
        <v>Cartel PVC 650x105 mm SALIDA DE EMERGENCIA</v>
      </c>
      <c r="C87" s="4">
        <f>IFERROR(__xludf.DUMMYFUNCTION("""COMPUTED_VALUE"""),1.8143999999999998)</f>
        <v>1.8144</v>
      </c>
      <c r="D87" s="4"/>
      <c r="E87" s="4" t="str">
        <f>IFERROR(__xludf.DUMMYFUNCTION("""COMPUTED_VALUE"""),"Sin precio neto")</f>
        <v>Sin precio neto</v>
      </c>
    </row>
    <row r="88">
      <c r="A88" s="4" t="str">
        <f>IFERROR(__xludf.DUMMYFUNCTION("""COMPUTED_VALUE"""),"199")</f>
        <v>199</v>
      </c>
      <c r="B88" s="4" t="str">
        <f>IFERROR(__xludf.DUMMYFUNCTION("""COMPUTED_VALUE"""),"Cartel PVC 21x29 Fotolum. DUCHA DE EMERGENCIA")</f>
        <v>Cartel PVC 21x29 Fotolum. DUCHA DE EMERGENCIA</v>
      </c>
      <c r="C88" s="4">
        <f>IFERROR(__xludf.DUMMYFUNCTION("""COMPUTED_VALUE"""),2.496)</f>
        <v>2.496</v>
      </c>
      <c r="D88" s="4">
        <f>IFERROR(__xludf.DUMMYFUNCTION("""COMPUTED_VALUE"""),2.1)</f>
        <v>2.1</v>
      </c>
      <c r="E88" s="4" t="str">
        <f>IFERROR(__xludf.DUMMYFUNCTION("""COMPUTED_VALUE"""),"Neto: 2,10 € (a partir de 1 uds.)")</f>
        <v>Neto: 2,10 € (a partir de 1 uds.)</v>
      </c>
    </row>
    <row r="89">
      <c r="A89" s="4" t="str">
        <f>IFERROR(__xludf.DUMMYFUNCTION("""COMPUTED_VALUE"""),"0199A")</f>
        <v>0199A</v>
      </c>
      <c r="B89" s="4" t="str">
        <f>IFERROR(__xludf.DUMMYFUNCTION("""COMPUTED_VALUE"""),"Cartel PVC 21x30 Fotolum. ducha de emergencia")</f>
        <v>Cartel PVC 21x30 Fotolum. ducha de emergencia</v>
      </c>
      <c r="C89" s="4">
        <f>IFERROR(__xludf.DUMMYFUNCTION("""COMPUTED_VALUE"""),2.4192)</f>
        <v>2.4192</v>
      </c>
      <c r="D89" s="4">
        <f>IFERROR(__xludf.DUMMYFUNCTION("""COMPUTED_VALUE"""),2.1)</f>
        <v>2.1</v>
      </c>
      <c r="E89" s="4" t="str">
        <f>IFERROR(__xludf.DUMMYFUNCTION("""COMPUTED_VALUE"""),"Neto: 2,10 € (a partir de 1 uds.)")</f>
        <v>Neto: 2,10 € (a partir de 1 uds.)</v>
      </c>
    </row>
    <row r="90">
      <c r="A90" s="4" t="str">
        <f>IFERROR(__xludf.DUMMYFUNCTION("""COMPUTED_VALUE"""),"0199B")</f>
        <v>0199B</v>
      </c>
      <c r="B90" s="4" t="str">
        <f>IFERROR(__xludf.DUMMYFUNCTION("""COMPUTED_VALUE"""),"Cartel PVC 40x30 Fotolum. ducha de emergencia")</f>
        <v>Cartel PVC 40x30 Fotolum. ducha de emergencia</v>
      </c>
      <c r="C90" s="4">
        <f>IFERROR(__xludf.DUMMYFUNCTION("""COMPUTED_VALUE"""),2.976)</f>
        <v>2.976</v>
      </c>
      <c r="D90" s="4">
        <f>IFERROR(__xludf.DUMMYFUNCTION("""COMPUTED_VALUE"""),3.2)</f>
        <v>3.2</v>
      </c>
      <c r="E90" s="4" t="str">
        <f>IFERROR(__xludf.DUMMYFUNCTION("""COMPUTED_VALUE"""),"Neto: 3,20 € (a partir de 1 uds.)")</f>
        <v>Neto: 3,20 € (a partir de 1 uds.)</v>
      </c>
    </row>
    <row r="91">
      <c r="A91" s="4" t="str">
        <f>IFERROR(__xludf.DUMMYFUNCTION("""COMPUTED_VALUE"""),"0200/G")</f>
        <v>0200/G</v>
      </c>
      <c r="B91" s="4" t="str">
        <f>IFERROR(__xludf.DUMMYFUNCTION("""COMPUTED_VALUE"""),"Señal Poliprop. Amarillo 50x50 c/ollados + Pictograma")</f>
        <v>Señal Poliprop. Amarillo 50x50 c/ollados + Pictograma</v>
      </c>
      <c r="C91" s="4">
        <f>IFERROR(__xludf.DUMMYFUNCTION("""COMPUTED_VALUE"""),9.216)</f>
        <v>9.216</v>
      </c>
      <c r="D91" s="4"/>
      <c r="E91" s="4" t="str">
        <f>IFERROR(__xludf.DUMMYFUNCTION("""COMPUTED_VALUE"""),"Sin precio neto")</f>
        <v>Sin precio neto</v>
      </c>
    </row>
    <row r="92">
      <c r="A92" s="4" t="str">
        <f>IFERROR(__xludf.DUMMYFUNCTION("""COMPUTED_VALUE"""),"0200S2130")</f>
        <v>0200S2130</v>
      </c>
      <c r="B92" s="4" t="str">
        <f>IFERROR(__xludf.DUMMYFUNCTION("""COMPUTED_VALUE"""),"Soperte Acero Inox para cartel 21x29 cm")</f>
        <v>Soperte Acero Inox para cartel 21x29 cm</v>
      </c>
      <c r="C92" s="4">
        <f>IFERROR(__xludf.DUMMYFUNCTION("""COMPUTED_VALUE"""),13.92)</f>
        <v>13.92</v>
      </c>
      <c r="D92" s="4"/>
      <c r="E92" s="4" t="str">
        <f>IFERROR(__xludf.DUMMYFUNCTION("""COMPUTED_VALUE"""),"Sin precio neto")</f>
        <v>Sin precio neto</v>
      </c>
    </row>
    <row r="93">
      <c r="A93" s="4" t="str">
        <f>IFERROR(__xludf.DUMMYFUNCTION("""COMPUTED_VALUE"""),"0200S4030")</f>
        <v>0200S4030</v>
      </c>
      <c r="B93" s="4" t="str">
        <f>IFERROR(__xludf.DUMMYFUNCTION("""COMPUTED_VALUE"""),"Soporte Acero Inox para Cartel 40x30 cm")</f>
        <v>Soporte Acero Inox para Cartel 40x30 cm</v>
      </c>
      <c r="C93" s="4">
        <f>IFERROR(__xludf.DUMMYFUNCTION("""COMPUTED_VALUE"""),16.32)</f>
        <v>16.32</v>
      </c>
      <c r="D93" s="4"/>
      <c r="E93" s="4" t="str">
        <f>IFERROR(__xludf.DUMMYFUNCTION("""COMPUTED_VALUE"""),"Sin precio neto")</f>
        <v>Sin precio neto</v>
      </c>
    </row>
    <row r="94">
      <c r="A94" s="4" t="str">
        <f>IFERROR(__xludf.DUMMYFUNCTION("""COMPUTED_VALUE"""),"201")</f>
        <v>201</v>
      </c>
      <c r="B94" s="4" t="str">
        <f>IFERROR(__xludf.DUMMYFUNCTION("""COMPUTED_VALUE"""),"Cartel PVC 40x30 Fotolum. EXTINTOR")</f>
        <v>Cartel PVC 40x30 Fotolum. EXTINTOR</v>
      </c>
      <c r="C94" s="4">
        <f>IFERROR(__xludf.DUMMYFUNCTION("""COMPUTED_VALUE"""),3.2159999999999997)</f>
        <v>3.216</v>
      </c>
      <c r="D94" s="4"/>
      <c r="E94" s="4" t="str">
        <f>IFERROR(__xludf.DUMMYFUNCTION("""COMPUTED_VALUE"""),"Sin precio neto")</f>
        <v>Sin precio neto</v>
      </c>
    </row>
    <row r="95">
      <c r="A95" s="4" t="str">
        <f>IFERROR(__xludf.DUMMYFUNCTION("""COMPUTED_VALUE"""),"202")</f>
        <v>202</v>
      </c>
      <c r="B95" s="4" t="str">
        <f>IFERROR(__xludf.DUMMYFUNCTION("""COMPUTED_VALUE"""),"Cartel PVC 21x30 Fotolum. Duchas emergencia derecha")</f>
        <v>Cartel PVC 21x30 Fotolum. Duchas emergencia derecha</v>
      </c>
      <c r="C95" s="4">
        <f>IFERROR(__xludf.DUMMYFUNCTION("""COMPUTED_VALUE"""),2.496)</f>
        <v>2.496</v>
      </c>
      <c r="D95" s="4">
        <f>IFERROR(__xludf.DUMMYFUNCTION("""COMPUTED_VALUE"""),2.1)</f>
        <v>2.1</v>
      </c>
      <c r="E95" s="4" t="str">
        <f>IFERROR(__xludf.DUMMYFUNCTION("""COMPUTED_VALUE"""),"Neto: 2,10 € (a partir de 1 uds.)")</f>
        <v>Neto: 2,10 € (a partir de 1 uds.)</v>
      </c>
    </row>
    <row r="96">
      <c r="A96" s="4" t="str">
        <f>IFERROR(__xludf.DUMMYFUNCTION("""COMPUTED_VALUE"""),"203")</f>
        <v>203</v>
      </c>
      <c r="B96" s="4" t="str">
        <f>IFERROR(__xludf.DUMMYFUNCTION("""COMPUTED_VALUE"""),"Cartel PVC 21x30 Fotolum. Duchas emergencia izq.")</f>
        <v>Cartel PVC 21x30 Fotolum. Duchas emergencia izq.</v>
      </c>
      <c r="C96" s="4">
        <f>IFERROR(__xludf.DUMMYFUNCTION("""COMPUTED_VALUE"""),2.496)</f>
        <v>2.496</v>
      </c>
      <c r="D96" s="4">
        <f>IFERROR(__xludf.DUMMYFUNCTION("""COMPUTED_VALUE"""),2.1)</f>
        <v>2.1</v>
      </c>
      <c r="E96" s="4" t="str">
        <f>IFERROR(__xludf.DUMMYFUNCTION("""COMPUTED_VALUE"""),"Neto: 2,10 € (a partir de 1 uds.)")</f>
        <v>Neto: 2,10 € (a partir de 1 uds.)</v>
      </c>
    </row>
    <row r="97">
      <c r="A97" s="4" t="str">
        <f>IFERROR(__xludf.DUMMYFUNCTION("""COMPUTED_VALUE"""),"0204A")</f>
        <v>0204A</v>
      </c>
      <c r="B97" s="4" t="str">
        <f>IFERROR(__xludf.DUMMYFUNCTION("""COMPUTED_VALUE"""),"Cartel PVC 21x30 Fotolum. Oficina")</f>
        <v>Cartel PVC 21x30 Fotolum. Oficina</v>
      </c>
      <c r="C97" s="4">
        <f>IFERROR(__xludf.DUMMYFUNCTION("""COMPUTED_VALUE"""),2.4192)</f>
        <v>2.4192</v>
      </c>
      <c r="D97" s="4">
        <f>IFERROR(__xludf.DUMMYFUNCTION("""COMPUTED_VALUE"""),2.1)</f>
        <v>2.1</v>
      </c>
      <c r="E97" s="4" t="str">
        <f>IFERROR(__xludf.DUMMYFUNCTION("""COMPUTED_VALUE"""),"Neto: 2,10 € (a partir de 1 uds.)")</f>
        <v>Neto: 2,10 € (a partir de 1 uds.)</v>
      </c>
    </row>
    <row r="98">
      <c r="A98" s="4" t="str">
        <f>IFERROR(__xludf.DUMMYFUNCTION("""COMPUTED_VALUE"""),"0204B")</f>
        <v>0204B</v>
      </c>
      <c r="B98" s="4" t="str">
        <f>IFERROR(__xludf.DUMMYFUNCTION("""COMPUTED_VALUE"""),"Cartel PVC 40x30 Fotolum. Oficina")</f>
        <v>Cartel PVC 40x30 Fotolum. Oficina</v>
      </c>
      <c r="C98" s="4">
        <f>IFERROR(__xludf.DUMMYFUNCTION("""COMPUTED_VALUE"""),2.976)</f>
        <v>2.976</v>
      </c>
      <c r="D98" s="4">
        <f>IFERROR(__xludf.DUMMYFUNCTION("""COMPUTED_VALUE"""),3.2)</f>
        <v>3.2</v>
      </c>
      <c r="E98" s="4" t="str">
        <f>IFERROR(__xludf.DUMMYFUNCTION("""COMPUTED_VALUE"""),"Neto: 3,20 € (a partir de 1 uds.)")</f>
        <v>Neto: 3,20 € (a partir de 1 uds.)</v>
      </c>
    </row>
    <row r="99">
      <c r="A99" s="4" t="str">
        <f>IFERROR(__xludf.DUMMYFUNCTION("""COMPUTED_VALUE"""),"0205A")</f>
        <v>0205A</v>
      </c>
      <c r="B99" s="4" t="str">
        <f>IFERROR(__xludf.DUMMYFUNCTION("""COMPUTED_VALUE"""),"Cartel PVC 21x30 Fotolum. Ducha")</f>
        <v>Cartel PVC 21x30 Fotolum. Ducha</v>
      </c>
      <c r="C99" s="4">
        <f>IFERROR(__xludf.DUMMYFUNCTION("""COMPUTED_VALUE"""),2.4192)</f>
        <v>2.4192</v>
      </c>
      <c r="D99" s="4">
        <f>IFERROR(__xludf.DUMMYFUNCTION("""COMPUTED_VALUE"""),2.1)</f>
        <v>2.1</v>
      </c>
      <c r="E99" s="4" t="str">
        <f>IFERROR(__xludf.DUMMYFUNCTION("""COMPUTED_VALUE"""),"Neto: 2,10 € (a partir de 1 uds.)")</f>
        <v>Neto: 2,10 € (a partir de 1 uds.)</v>
      </c>
    </row>
    <row r="100">
      <c r="A100" s="4" t="str">
        <f>IFERROR(__xludf.DUMMYFUNCTION("""COMPUTED_VALUE"""),"0205B")</f>
        <v>0205B</v>
      </c>
      <c r="B100" s="4" t="str">
        <f>IFERROR(__xludf.DUMMYFUNCTION("""COMPUTED_VALUE"""),"Cartel PVC 40x30 Fotolum. Ducha")</f>
        <v>Cartel PVC 40x30 Fotolum. Ducha</v>
      </c>
      <c r="C100" s="4">
        <f>IFERROR(__xludf.DUMMYFUNCTION("""COMPUTED_VALUE"""),2.976)</f>
        <v>2.976</v>
      </c>
      <c r="D100" s="4">
        <f>IFERROR(__xludf.DUMMYFUNCTION("""COMPUTED_VALUE"""),3.2)</f>
        <v>3.2</v>
      </c>
      <c r="E100" s="4" t="str">
        <f>IFERROR(__xludf.DUMMYFUNCTION("""COMPUTED_VALUE"""),"Neto: 3,20 € (a partir de 1 uds.)")</f>
        <v>Neto: 3,20 € (a partir de 1 uds.)</v>
      </c>
    </row>
    <row r="101">
      <c r="A101" s="4" t="str">
        <f>IFERROR(__xludf.DUMMYFUNCTION("""COMPUTED_VALUE"""),"206")</f>
        <v>206</v>
      </c>
      <c r="B101" s="4" t="str">
        <f>IFERROR(__xludf.DUMMYFUNCTION("""COMPUTED_VALUE"""),"Cartel PVC 21x30 Fotolum. Lavaojos emerg. derecha")</f>
        <v>Cartel PVC 21x30 Fotolum. Lavaojos emerg. derecha</v>
      </c>
      <c r="C101" s="4">
        <f>IFERROR(__xludf.DUMMYFUNCTION("""COMPUTED_VALUE"""),2.496)</f>
        <v>2.496</v>
      </c>
      <c r="D101" s="4">
        <f>IFERROR(__xludf.DUMMYFUNCTION("""COMPUTED_VALUE"""),2.1)</f>
        <v>2.1</v>
      </c>
      <c r="E101" s="4" t="str">
        <f>IFERROR(__xludf.DUMMYFUNCTION("""COMPUTED_VALUE"""),"Neto: 2,10 € (a partir de 1 uds.)")</f>
        <v>Neto: 2,10 € (a partir de 1 uds.)</v>
      </c>
    </row>
    <row r="102">
      <c r="A102" s="4" t="str">
        <f>IFERROR(__xludf.DUMMYFUNCTION("""COMPUTED_VALUE"""),"0206A")</f>
        <v>0206A</v>
      </c>
      <c r="B102" s="4" t="str">
        <f>IFERROR(__xludf.DUMMYFUNCTION("""COMPUTED_VALUE"""),"Cartel PVC 21x30 Fotolum. Lavaojos de emergencia")</f>
        <v>Cartel PVC 21x30 Fotolum. Lavaojos de emergencia</v>
      </c>
      <c r="C102" s="4">
        <f>IFERROR(__xludf.DUMMYFUNCTION("""COMPUTED_VALUE"""),2.4192)</f>
        <v>2.4192</v>
      </c>
      <c r="D102" s="4">
        <f>IFERROR(__xludf.DUMMYFUNCTION("""COMPUTED_VALUE"""),2.1)</f>
        <v>2.1</v>
      </c>
      <c r="E102" s="4" t="str">
        <f>IFERROR(__xludf.DUMMYFUNCTION("""COMPUTED_VALUE"""),"Neto: 2,10 € (a partir de 1 uds.)")</f>
        <v>Neto: 2,10 € (a partir de 1 uds.)</v>
      </c>
    </row>
    <row r="103">
      <c r="A103" s="4" t="str">
        <f>IFERROR(__xludf.DUMMYFUNCTION("""COMPUTED_VALUE"""),"0206B")</f>
        <v>0206B</v>
      </c>
      <c r="B103" s="4" t="str">
        <f>IFERROR(__xludf.DUMMYFUNCTION("""COMPUTED_VALUE"""),"Cartel PVC 40x30 Fotolum. Lavaojos de emergencia")</f>
        <v>Cartel PVC 40x30 Fotolum. Lavaojos de emergencia</v>
      </c>
      <c r="C103" s="4">
        <f>IFERROR(__xludf.DUMMYFUNCTION("""COMPUTED_VALUE"""),2.976)</f>
        <v>2.976</v>
      </c>
      <c r="D103" s="4">
        <f>IFERROR(__xludf.DUMMYFUNCTION("""COMPUTED_VALUE"""),3.2)</f>
        <v>3.2</v>
      </c>
      <c r="E103" s="4" t="str">
        <f>IFERROR(__xludf.DUMMYFUNCTION("""COMPUTED_VALUE"""),"Neto: 3,20 € (a partir de 1 uds.)")</f>
        <v>Neto: 3,20 € (a partir de 1 uds.)</v>
      </c>
    </row>
    <row r="104">
      <c r="A104" s="4" t="str">
        <f>IFERROR(__xludf.DUMMYFUNCTION("""COMPUTED_VALUE"""),"207")</f>
        <v>207</v>
      </c>
      <c r="B104" s="4" t="str">
        <f>IFERROR(__xludf.DUMMYFUNCTION("""COMPUTED_VALUE"""),"Cartel PVC 21x30 Fotolum. Lavaojos emerg. izq.")</f>
        <v>Cartel PVC 21x30 Fotolum. Lavaojos emerg. izq.</v>
      </c>
      <c r="C104" s="4">
        <f>IFERROR(__xludf.DUMMYFUNCTION("""COMPUTED_VALUE"""),2.496)</f>
        <v>2.496</v>
      </c>
      <c r="D104" s="4">
        <f>IFERROR(__xludf.DUMMYFUNCTION("""COMPUTED_VALUE"""),2.1)</f>
        <v>2.1</v>
      </c>
      <c r="E104" s="4" t="str">
        <f>IFERROR(__xludf.DUMMYFUNCTION("""COMPUTED_VALUE"""),"Neto: 2,10 € (a partir de 1 uds.)")</f>
        <v>Neto: 2,10 € (a partir de 1 uds.)</v>
      </c>
    </row>
    <row r="105">
      <c r="A105" s="4" t="str">
        <f>IFERROR(__xludf.DUMMYFUNCTION("""COMPUTED_VALUE"""),"0208A")</f>
        <v>0208A</v>
      </c>
      <c r="B105" s="4" t="str">
        <f>IFERROR(__xludf.DUMMYFUNCTION("""COMPUTED_VALUE"""),"Cartel PVC 21x30 Fotolum. Comedor")</f>
        <v>Cartel PVC 21x30 Fotolum. Comedor</v>
      </c>
      <c r="C105" s="4">
        <f>IFERROR(__xludf.DUMMYFUNCTION("""COMPUTED_VALUE"""),2.4192)</f>
        <v>2.4192</v>
      </c>
      <c r="D105" s="4">
        <f>IFERROR(__xludf.DUMMYFUNCTION("""COMPUTED_VALUE"""),2.1)</f>
        <v>2.1</v>
      </c>
      <c r="E105" s="4" t="str">
        <f>IFERROR(__xludf.DUMMYFUNCTION("""COMPUTED_VALUE"""),"Neto: 2,10 € (a partir de 1 uds.)")</f>
        <v>Neto: 2,10 € (a partir de 1 uds.)</v>
      </c>
    </row>
    <row r="106">
      <c r="A106" s="4" t="str">
        <f>IFERROR(__xludf.DUMMYFUNCTION("""COMPUTED_VALUE"""),"0208B")</f>
        <v>0208B</v>
      </c>
      <c r="B106" s="4" t="str">
        <f>IFERROR(__xludf.DUMMYFUNCTION("""COMPUTED_VALUE"""),"Cartel PVC 40x30 Fotolum. Comedor")</f>
        <v>Cartel PVC 40x30 Fotolum. Comedor</v>
      </c>
      <c r="C106" s="4">
        <f>IFERROR(__xludf.DUMMYFUNCTION("""COMPUTED_VALUE"""),2.976)</f>
        <v>2.976</v>
      </c>
      <c r="D106" s="4">
        <f>IFERROR(__xludf.DUMMYFUNCTION("""COMPUTED_VALUE"""),3.2)</f>
        <v>3.2</v>
      </c>
      <c r="E106" s="4" t="str">
        <f>IFERROR(__xludf.DUMMYFUNCTION("""COMPUTED_VALUE"""),"Neto: 3,20 € (a partir de 1 uds.)")</f>
        <v>Neto: 3,20 € (a partir de 1 uds.)</v>
      </c>
    </row>
    <row r="107">
      <c r="A107" s="4" t="str">
        <f>IFERROR(__xludf.DUMMYFUNCTION("""COMPUTED_VALUE"""),"0209A")</f>
        <v>0209A</v>
      </c>
      <c r="B107" s="4" t="str">
        <f>IFERROR(__xludf.DUMMYFUNCTION("""COMPUTED_VALUE"""),"Cartel PVC 21x30 Fotolum. Vestuario")</f>
        <v>Cartel PVC 21x30 Fotolum. Vestuario</v>
      </c>
      <c r="C107" s="4">
        <f>IFERROR(__xludf.DUMMYFUNCTION("""COMPUTED_VALUE"""),2.4192)</f>
        <v>2.4192</v>
      </c>
      <c r="D107" s="4">
        <f>IFERROR(__xludf.DUMMYFUNCTION("""COMPUTED_VALUE"""),2.1)</f>
        <v>2.1</v>
      </c>
      <c r="E107" s="4" t="str">
        <f>IFERROR(__xludf.DUMMYFUNCTION("""COMPUTED_VALUE"""),"Neto: 2,10 € (a partir de 1 uds.)")</f>
        <v>Neto: 2,10 € (a partir de 1 uds.)</v>
      </c>
    </row>
    <row r="108">
      <c r="A108" s="4" t="str">
        <f>IFERROR(__xludf.DUMMYFUNCTION("""COMPUTED_VALUE"""),"0209B")</f>
        <v>0209B</v>
      </c>
      <c r="B108" s="4" t="str">
        <f>IFERROR(__xludf.DUMMYFUNCTION("""COMPUTED_VALUE"""),"Cartel PVC 40x30 Fotolum. Vestuario")</f>
        <v>Cartel PVC 40x30 Fotolum. Vestuario</v>
      </c>
      <c r="C108" s="4">
        <f>IFERROR(__xludf.DUMMYFUNCTION("""COMPUTED_VALUE"""),2.976)</f>
        <v>2.976</v>
      </c>
      <c r="D108" s="4">
        <f>IFERROR(__xludf.DUMMYFUNCTION("""COMPUTED_VALUE"""),3.2)</f>
        <v>3.2</v>
      </c>
      <c r="E108" s="4" t="str">
        <f>IFERROR(__xludf.DUMMYFUNCTION("""COMPUTED_VALUE"""),"Neto: 3,20 € (a partir de 1 uds.)")</f>
        <v>Neto: 3,20 € (a partir de 1 uds.)</v>
      </c>
    </row>
    <row r="109">
      <c r="A109" s="4" t="str">
        <f>IFERROR(__xludf.DUMMYFUNCTION("""COMPUTED_VALUE"""),"210")</f>
        <v>210</v>
      </c>
      <c r="B109" s="4" t="str">
        <f>IFERROR(__xludf.DUMMYFUNCTION("""COMPUTED_VALUE"""),"Cartel PVC 40x30 Riesgo electrico")</f>
        <v>Cartel PVC 40x30 Riesgo electrico</v>
      </c>
      <c r="C109" s="4">
        <f>IFERROR(__xludf.DUMMYFUNCTION("""COMPUTED_VALUE"""),2.3808)</f>
        <v>2.3808</v>
      </c>
      <c r="D109" s="4">
        <f>IFERROR(__xludf.DUMMYFUNCTION("""COMPUTED_VALUE"""),1.8)</f>
        <v>1.8</v>
      </c>
      <c r="E109" s="4" t="str">
        <f>IFERROR(__xludf.DUMMYFUNCTION("""COMPUTED_VALUE"""),"Neto: 1,80 € (a partir de 1 uds.)")</f>
        <v>Neto: 1,80 € (a partir de 1 uds.)</v>
      </c>
    </row>
    <row r="110">
      <c r="A110" s="4" t="str">
        <f>IFERROR(__xludf.DUMMYFUNCTION("""COMPUTED_VALUE"""),"0210P")</f>
        <v>0210P</v>
      </c>
      <c r="B110" s="4" t="str">
        <f>IFERROR(__xludf.DUMMYFUNCTION("""COMPUTED_VALUE"""),"Cartel PVC 21x29 RIESGO ELECTRICO")</f>
        <v>Cartel PVC 21x29 RIESGO ELECTRICO</v>
      </c>
      <c r="C110" s="4">
        <f>IFERROR(__xludf.DUMMYFUNCTION("""COMPUTED_VALUE"""),1.536)</f>
        <v>1.536</v>
      </c>
      <c r="D110" s="4">
        <f>IFERROR(__xludf.DUMMYFUNCTION("""COMPUTED_VALUE"""),1.2)</f>
        <v>1.2</v>
      </c>
      <c r="E110" s="4" t="str">
        <f>IFERROR(__xludf.DUMMYFUNCTION("""COMPUTED_VALUE"""),"Neto: 1,20 € (a partir de 1 uds.)")</f>
        <v>Neto: 1,20 € (a partir de 1 uds.)</v>
      </c>
    </row>
    <row r="111">
      <c r="A111" s="4" t="str">
        <f>IFERROR(__xludf.DUMMYFUNCTION("""COMPUTED_VALUE"""),"211")</f>
        <v>211</v>
      </c>
      <c r="B111" s="4" t="str">
        <f>IFERROR(__xludf.DUMMYFUNCTION("""COMPUTED_VALUE"""),"Cartel PVC 40x30 Carga suspendida")</f>
        <v>Cartel PVC 40x30 Carga suspendida</v>
      </c>
      <c r="C111" s="4">
        <f>IFERROR(__xludf.DUMMYFUNCTION("""COMPUTED_VALUE"""),2.3808)</f>
        <v>2.3808</v>
      </c>
      <c r="D111" s="4">
        <f>IFERROR(__xludf.DUMMYFUNCTION("""COMPUTED_VALUE"""),1.8)</f>
        <v>1.8</v>
      </c>
      <c r="E111" s="4" t="str">
        <f>IFERROR(__xludf.DUMMYFUNCTION("""COMPUTED_VALUE"""),"Neto: 1,80 € (a partir de 1 uds.)")</f>
        <v>Neto: 1,80 € (a partir de 1 uds.)</v>
      </c>
    </row>
    <row r="112">
      <c r="A112" s="4" t="str">
        <f>IFERROR(__xludf.DUMMYFUNCTION("""COMPUTED_VALUE"""),"0211P")</f>
        <v>0211P</v>
      </c>
      <c r="B112" s="4" t="str">
        <f>IFERROR(__xludf.DUMMYFUNCTION("""COMPUTED_VALUE"""),"Cartel PVC 21x29 RIESGO CARGA SUSPENDIDA")</f>
        <v>Cartel PVC 21x29 RIESGO CARGA SUSPENDIDA</v>
      </c>
      <c r="C112" s="4">
        <f>IFERROR(__xludf.DUMMYFUNCTION("""COMPUTED_VALUE"""),1.536)</f>
        <v>1.536</v>
      </c>
      <c r="D112" s="4">
        <f>IFERROR(__xludf.DUMMYFUNCTION("""COMPUTED_VALUE"""),1.2)</f>
        <v>1.2</v>
      </c>
      <c r="E112" s="4" t="str">
        <f>IFERROR(__xludf.DUMMYFUNCTION("""COMPUTED_VALUE"""),"Neto: 1,20 € (a partir de 1 uds.)")</f>
        <v>Neto: 1,20 € (a partir de 1 uds.)</v>
      </c>
    </row>
    <row r="113">
      <c r="A113" s="4" t="str">
        <f>IFERROR(__xludf.DUMMYFUNCTION("""COMPUTED_VALUE"""),"212")</f>
        <v>212</v>
      </c>
      <c r="B113" s="4" t="str">
        <f>IFERROR(__xludf.DUMMYFUNCTION("""COMPUTED_VALUE"""),"Cartel PVC 40x30 Materias corrosivas")</f>
        <v>Cartel PVC 40x30 Materias corrosivas</v>
      </c>
      <c r="C113" s="4">
        <f>IFERROR(__xludf.DUMMYFUNCTION("""COMPUTED_VALUE"""),2.3808)</f>
        <v>2.3808</v>
      </c>
      <c r="D113" s="4">
        <f>IFERROR(__xludf.DUMMYFUNCTION("""COMPUTED_VALUE"""),1.8)</f>
        <v>1.8</v>
      </c>
      <c r="E113" s="4" t="str">
        <f>IFERROR(__xludf.DUMMYFUNCTION("""COMPUTED_VALUE"""),"Neto: 1,80 € (a partir de 1 uds.)")</f>
        <v>Neto: 1,80 € (a partir de 1 uds.)</v>
      </c>
    </row>
    <row r="114">
      <c r="A114" s="4" t="str">
        <f>IFERROR(__xludf.DUMMYFUNCTION("""COMPUTED_VALUE"""),"0212P")</f>
        <v>0212P</v>
      </c>
      <c r="B114" s="4" t="str">
        <f>IFERROR(__xludf.DUMMYFUNCTION("""COMPUTED_VALUE"""),"Cartel PVC 21x29 RIESGO MATERIAS CORROSIVAS")</f>
        <v>Cartel PVC 21x29 RIESGO MATERIAS CORROSIVAS</v>
      </c>
      <c r="C114" s="4">
        <f>IFERROR(__xludf.DUMMYFUNCTION("""COMPUTED_VALUE"""),1.536)</f>
        <v>1.536</v>
      </c>
      <c r="D114" s="4">
        <f>IFERROR(__xludf.DUMMYFUNCTION("""COMPUTED_VALUE"""),1.2)</f>
        <v>1.2</v>
      </c>
      <c r="E114" s="4" t="str">
        <f>IFERROR(__xludf.DUMMYFUNCTION("""COMPUTED_VALUE"""),"Neto: 1,20 € (a partir de 1 uds.)")</f>
        <v>Neto: 1,20 € (a partir de 1 uds.)</v>
      </c>
    </row>
    <row r="115">
      <c r="A115" s="4" t="str">
        <f>IFERROR(__xludf.DUMMYFUNCTION("""COMPUTED_VALUE"""),"213")</f>
        <v>213</v>
      </c>
      <c r="B115" s="4" t="str">
        <f>IFERROR(__xludf.DUMMYFUNCTION("""COMPUTED_VALUE"""),"Cartel PVC 40x30 Vehículo Manutención")</f>
        <v>Cartel PVC 40x30 Vehículo Manutención</v>
      </c>
      <c r="C115" s="4">
        <f>IFERROR(__xludf.DUMMYFUNCTION("""COMPUTED_VALUE"""),2.3808)</f>
        <v>2.3808</v>
      </c>
      <c r="D115" s="4">
        <f>IFERROR(__xludf.DUMMYFUNCTION("""COMPUTED_VALUE"""),1.8)</f>
        <v>1.8</v>
      </c>
      <c r="E115" s="4" t="str">
        <f>IFERROR(__xludf.DUMMYFUNCTION("""COMPUTED_VALUE"""),"Neto: 1,80 € (a partir de 1 uds.)")</f>
        <v>Neto: 1,80 € (a partir de 1 uds.)</v>
      </c>
    </row>
    <row r="116">
      <c r="A116" s="4" t="str">
        <f>IFERROR(__xludf.DUMMYFUNCTION("""COMPUTED_VALUE"""),"0213P")</f>
        <v>0213P</v>
      </c>
      <c r="B116" s="4" t="str">
        <f>IFERROR(__xludf.DUMMYFUNCTION("""COMPUTED_VALUE"""),"Cartel PVC 21x29 VEHICULOS DE MANUTENCION")</f>
        <v>Cartel PVC 21x29 VEHICULOS DE MANUTENCION</v>
      </c>
      <c r="C116" s="4">
        <f>IFERROR(__xludf.DUMMYFUNCTION("""COMPUTED_VALUE"""),1.536)</f>
        <v>1.536</v>
      </c>
      <c r="D116" s="4">
        <f>IFERROR(__xludf.DUMMYFUNCTION("""COMPUTED_VALUE"""),1.2)</f>
        <v>1.2</v>
      </c>
      <c r="E116" s="4" t="str">
        <f>IFERROR(__xludf.DUMMYFUNCTION("""COMPUTED_VALUE"""),"Neto: 1,20 € (a partir de 1 uds.)")</f>
        <v>Neto: 1,20 € (a partir de 1 uds.)</v>
      </c>
    </row>
    <row r="117">
      <c r="A117" s="4" t="str">
        <f>IFERROR(__xludf.DUMMYFUNCTION("""COMPUTED_VALUE"""),"214")</f>
        <v>214</v>
      </c>
      <c r="B117" s="4" t="str">
        <f>IFERROR(__xludf.DUMMYFUNCTION("""COMPUTED_VALUE"""),"Cartel PVC 40x30 Caida distinto nivel")</f>
        <v>Cartel PVC 40x30 Caida distinto nivel</v>
      </c>
      <c r="C117" s="4">
        <f>IFERROR(__xludf.DUMMYFUNCTION("""COMPUTED_VALUE"""),2.3808)</f>
        <v>2.3808</v>
      </c>
      <c r="D117" s="4">
        <f>IFERROR(__xludf.DUMMYFUNCTION("""COMPUTED_VALUE"""),1.8)</f>
        <v>1.8</v>
      </c>
      <c r="E117" s="4" t="str">
        <f>IFERROR(__xludf.DUMMYFUNCTION("""COMPUTED_VALUE"""),"Neto: 1,80 € (a partir de 1 uds.)")</f>
        <v>Neto: 1,80 € (a partir de 1 uds.)</v>
      </c>
    </row>
    <row r="118">
      <c r="A118" s="4" t="str">
        <f>IFERROR(__xludf.DUMMYFUNCTION("""COMPUTED_VALUE"""),"0214P")</f>
        <v>0214P</v>
      </c>
      <c r="B118" s="4" t="str">
        <f>IFERROR(__xludf.DUMMYFUNCTION("""COMPUTED_VALUE"""),"Cartel PVC 21x29 CAIDA A DISTINTO NIVEL")</f>
        <v>Cartel PVC 21x29 CAIDA A DISTINTO NIVEL</v>
      </c>
      <c r="C118" s="4">
        <f>IFERROR(__xludf.DUMMYFUNCTION("""COMPUTED_VALUE"""),1.536)</f>
        <v>1.536</v>
      </c>
      <c r="D118" s="4">
        <f>IFERROR(__xludf.DUMMYFUNCTION("""COMPUTED_VALUE"""),1.2)</f>
        <v>1.2</v>
      </c>
      <c r="E118" s="4" t="str">
        <f>IFERROR(__xludf.DUMMYFUNCTION("""COMPUTED_VALUE"""),"Neto: 1,20 € (a partir de 1 uds.)")</f>
        <v>Neto: 1,20 € (a partir de 1 uds.)</v>
      </c>
    </row>
    <row r="119">
      <c r="A119" s="4" t="str">
        <f>IFERROR(__xludf.DUMMYFUNCTION("""COMPUTED_VALUE"""),"215")</f>
        <v>215</v>
      </c>
      <c r="B119" s="4" t="str">
        <f>IFERROR(__xludf.DUMMYFUNCTION("""COMPUTED_VALUE"""),"Cartel PVC 40x30 Riesgo tropezar")</f>
        <v>Cartel PVC 40x30 Riesgo tropezar</v>
      </c>
      <c r="C119" s="4">
        <f>IFERROR(__xludf.DUMMYFUNCTION("""COMPUTED_VALUE"""),2.3808)</f>
        <v>2.3808</v>
      </c>
      <c r="D119" s="4">
        <f>IFERROR(__xludf.DUMMYFUNCTION("""COMPUTED_VALUE"""),1.8)</f>
        <v>1.8</v>
      </c>
      <c r="E119" s="4" t="str">
        <f>IFERROR(__xludf.DUMMYFUNCTION("""COMPUTED_VALUE"""),"Neto: 1,80 € (a partir de 1 uds.)")</f>
        <v>Neto: 1,80 € (a partir de 1 uds.)</v>
      </c>
    </row>
    <row r="120">
      <c r="A120" s="4" t="str">
        <f>IFERROR(__xludf.DUMMYFUNCTION("""COMPUTED_VALUE"""),"0215P")</f>
        <v>0215P</v>
      </c>
      <c r="B120" s="4" t="str">
        <f>IFERROR(__xludf.DUMMYFUNCTION("""COMPUTED_VALUE"""),"Cartel PVC 21x29 RIESGO DE TROPEZAR")</f>
        <v>Cartel PVC 21x29 RIESGO DE TROPEZAR</v>
      </c>
      <c r="C120" s="4">
        <f>IFERROR(__xludf.DUMMYFUNCTION("""COMPUTED_VALUE"""),1.536)</f>
        <v>1.536</v>
      </c>
      <c r="D120" s="4">
        <f>IFERROR(__xludf.DUMMYFUNCTION("""COMPUTED_VALUE"""),1.2)</f>
        <v>1.2</v>
      </c>
      <c r="E120" s="4" t="str">
        <f>IFERROR(__xludf.DUMMYFUNCTION("""COMPUTED_VALUE"""),"Neto: 1,20 € (a partir de 1 uds.)")</f>
        <v>Neto: 1,20 € (a partir de 1 uds.)</v>
      </c>
    </row>
    <row r="121">
      <c r="A121" s="4" t="str">
        <f>IFERROR(__xludf.DUMMYFUNCTION("""COMPUTED_VALUE"""),"216")</f>
        <v>216</v>
      </c>
      <c r="B121" s="4" t="str">
        <f>IFERROR(__xludf.DUMMYFUNCTION("""COMPUTED_VALUE"""),"Cartel PVC 40x30 Materias comburentes")</f>
        <v>Cartel PVC 40x30 Materias comburentes</v>
      </c>
      <c r="C121" s="4">
        <f>IFERROR(__xludf.DUMMYFUNCTION("""COMPUTED_VALUE"""),2.3808)</f>
        <v>2.3808</v>
      </c>
      <c r="D121" s="4">
        <f>IFERROR(__xludf.DUMMYFUNCTION("""COMPUTED_VALUE"""),1.8)</f>
        <v>1.8</v>
      </c>
      <c r="E121" s="4" t="str">
        <f>IFERROR(__xludf.DUMMYFUNCTION("""COMPUTED_VALUE"""),"Neto: 1,80 € (a partir de 1 uds.)")</f>
        <v>Neto: 1,80 € (a partir de 1 uds.)</v>
      </c>
    </row>
    <row r="122">
      <c r="A122" s="4" t="str">
        <f>IFERROR(__xludf.DUMMYFUNCTION("""COMPUTED_VALUE"""),"0216P")</f>
        <v>0216P</v>
      </c>
      <c r="B122" s="4" t="str">
        <f>IFERROR(__xludf.DUMMYFUNCTION("""COMPUTED_VALUE"""),"Cartel PVC 21x29 MATERIAS COMBURENTES")</f>
        <v>Cartel PVC 21x29 MATERIAS COMBURENTES</v>
      </c>
      <c r="C122" s="4">
        <f>IFERROR(__xludf.DUMMYFUNCTION("""COMPUTED_VALUE"""),1.536)</f>
        <v>1.536</v>
      </c>
      <c r="D122" s="4">
        <f>IFERROR(__xludf.DUMMYFUNCTION("""COMPUTED_VALUE"""),1.2)</f>
        <v>1.2</v>
      </c>
      <c r="E122" s="4" t="str">
        <f>IFERROR(__xludf.DUMMYFUNCTION("""COMPUTED_VALUE"""),"Neto: 1,20 € (a partir de 1 uds.)")</f>
        <v>Neto: 1,20 € (a partir de 1 uds.)</v>
      </c>
    </row>
    <row r="123">
      <c r="A123" s="4" t="str">
        <f>IFERROR(__xludf.DUMMYFUNCTION("""COMPUTED_VALUE"""),"217")</f>
        <v>217</v>
      </c>
      <c r="B123" s="4" t="str">
        <f>IFERROR(__xludf.DUMMYFUNCTION("""COMPUTED_VALUE"""),"Cartel PVC 40x30 Materias Toxicas")</f>
        <v>Cartel PVC 40x30 Materias Toxicas</v>
      </c>
      <c r="C123" s="4">
        <f>IFERROR(__xludf.DUMMYFUNCTION("""COMPUTED_VALUE"""),2.3808)</f>
        <v>2.3808</v>
      </c>
      <c r="D123" s="4">
        <f>IFERROR(__xludf.DUMMYFUNCTION("""COMPUTED_VALUE"""),1.8)</f>
        <v>1.8</v>
      </c>
      <c r="E123" s="4" t="str">
        <f>IFERROR(__xludf.DUMMYFUNCTION("""COMPUTED_VALUE"""),"Neto: 1,80 € (a partir de 1 uds.)")</f>
        <v>Neto: 1,80 € (a partir de 1 uds.)</v>
      </c>
    </row>
    <row r="124">
      <c r="A124" s="4" t="str">
        <f>IFERROR(__xludf.DUMMYFUNCTION("""COMPUTED_VALUE"""),"0217P")</f>
        <v>0217P</v>
      </c>
      <c r="B124" s="4" t="str">
        <f>IFERROR(__xludf.DUMMYFUNCTION("""COMPUTED_VALUE"""),"Cartel PVC 21x29 MATERIAS TOXICAS")</f>
        <v>Cartel PVC 21x29 MATERIAS TOXICAS</v>
      </c>
      <c r="C124" s="4">
        <f>IFERROR(__xludf.DUMMYFUNCTION("""COMPUTED_VALUE"""),1.536)</f>
        <v>1.536</v>
      </c>
      <c r="D124" s="4">
        <f>IFERROR(__xludf.DUMMYFUNCTION("""COMPUTED_VALUE"""),1.2)</f>
        <v>1.2</v>
      </c>
      <c r="E124" s="4" t="str">
        <f>IFERROR(__xludf.DUMMYFUNCTION("""COMPUTED_VALUE"""),"Neto: 1,20 € (a partir de 1 uds.)")</f>
        <v>Neto: 1,20 € (a partir de 1 uds.)</v>
      </c>
    </row>
    <row r="125">
      <c r="A125" s="4" t="str">
        <f>IFERROR(__xludf.DUMMYFUNCTION("""COMPUTED_VALUE"""),"218")</f>
        <v>218</v>
      </c>
      <c r="B125" s="4" t="str">
        <f>IFERROR(__xludf.DUMMYFUNCTION("""COMPUTED_VALUE"""),"Cartel PVC 40x30 Campo Magnetico")</f>
        <v>Cartel PVC 40x30 Campo Magnetico</v>
      </c>
      <c r="C125" s="4">
        <f>IFERROR(__xludf.DUMMYFUNCTION("""COMPUTED_VALUE"""),2.3808)</f>
        <v>2.3808</v>
      </c>
      <c r="D125" s="4">
        <f>IFERROR(__xludf.DUMMYFUNCTION("""COMPUTED_VALUE"""),1.8)</f>
        <v>1.8</v>
      </c>
      <c r="E125" s="4" t="str">
        <f>IFERROR(__xludf.DUMMYFUNCTION("""COMPUTED_VALUE"""),"Neto: 1,80 € (a partir de 1 uds.)")</f>
        <v>Neto: 1,80 € (a partir de 1 uds.)</v>
      </c>
    </row>
    <row r="126">
      <c r="A126" s="4" t="str">
        <f>IFERROR(__xludf.DUMMYFUNCTION("""COMPUTED_VALUE"""),"0218P")</f>
        <v>0218P</v>
      </c>
      <c r="B126" s="4" t="str">
        <f>IFERROR(__xludf.DUMMYFUNCTION("""COMPUTED_VALUE"""),"Cartel PVC 21x29 CAMPO MAGNETICO INTENSO")</f>
        <v>Cartel PVC 21x29 CAMPO MAGNETICO INTENSO</v>
      </c>
      <c r="C126" s="4">
        <f>IFERROR(__xludf.DUMMYFUNCTION("""COMPUTED_VALUE"""),1.536)</f>
        <v>1.536</v>
      </c>
      <c r="D126" s="4">
        <f>IFERROR(__xludf.DUMMYFUNCTION("""COMPUTED_VALUE"""),1.2)</f>
        <v>1.2</v>
      </c>
      <c r="E126" s="4" t="str">
        <f>IFERROR(__xludf.DUMMYFUNCTION("""COMPUTED_VALUE"""),"Neto: 1,20 € (a partir de 1 uds.)")</f>
        <v>Neto: 1,20 € (a partir de 1 uds.)</v>
      </c>
    </row>
    <row r="127">
      <c r="A127" s="4" t="str">
        <f>IFERROR(__xludf.DUMMYFUNCTION("""COMPUTED_VALUE"""),"219")</f>
        <v>219</v>
      </c>
      <c r="B127" s="4" t="str">
        <f>IFERROR(__xludf.DUMMYFUNCTION("""COMPUTED_VALUE"""),"Cartel PVC 40x30 Materias Inflamables")</f>
        <v>Cartel PVC 40x30 Materias Inflamables</v>
      </c>
      <c r="C127" s="4">
        <f>IFERROR(__xludf.DUMMYFUNCTION("""COMPUTED_VALUE"""),2.3808)</f>
        <v>2.3808</v>
      </c>
      <c r="D127" s="4">
        <f>IFERROR(__xludf.DUMMYFUNCTION("""COMPUTED_VALUE"""),1.8)</f>
        <v>1.8</v>
      </c>
      <c r="E127" s="4" t="str">
        <f>IFERROR(__xludf.DUMMYFUNCTION("""COMPUTED_VALUE"""),"Neto: 1,80 € (a partir de 1 uds.)")</f>
        <v>Neto: 1,80 € (a partir de 1 uds.)</v>
      </c>
    </row>
    <row r="128">
      <c r="A128" s="4" t="str">
        <f>IFERROR(__xludf.DUMMYFUNCTION("""COMPUTED_VALUE"""),"0219P")</f>
        <v>0219P</v>
      </c>
      <c r="B128" s="4" t="str">
        <f>IFERROR(__xludf.DUMMYFUNCTION("""COMPUTED_VALUE"""),"Cartel PVC 21x29 MATERIAS INFLAMABLES")</f>
        <v>Cartel PVC 21x29 MATERIAS INFLAMABLES</v>
      </c>
      <c r="C128" s="4">
        <f>IFERROR(__xludf.DUMMYFUNCTION("""COMPUTED_VALUE"""),1.536)</f>
        <v>1.536</v>
      </c>
      <c r="D128" s="4">
        <f>IFERROR(__xludf.DUMMYFUNCTION("""COMPUTED_VALUE"""),1.2)</f>
        <v>1.2</v>
      </c>
      <c r="E128" s="4" t="str">
        <f>IFERROR(__xludf.DUMMYFUNCTION("""COMPUTED_VALUE"""),"Neto: 1,20 € (a partir de 1 uds.)")</f>
        <v>Neto: 1,20 € (a partir de 1 uds.)</v>
      </c>
    </row>
    <row r="129">
      <c r="A129" s="4" t="str">
        <f>IFERROR(__xludf.DUMMYFUNCTION("""COMPUTED_VALUE"""),"220")</f>
        <v>220</v>
      </c>
      <c r="B129" s="4" t="str">
        <f>IFERROR(__xludf.DUMMYFUNCTION("""COMPUTED_VALUE"""),"Cartel PVC 40x30 OBLIG.USO CASC+")</f>
        <v>Cartel PVC 40x30 OBLIG.USO CASC+</v>
      </c>
      <c r="C129" s="4">
        <f>IFERROR(__xludf.DUMMYFUNCTION("""COMPUTED_VALUE"""),2.3808)</f>
        <v>2.3808</v>
      </c>
      <c r="D129" s="4">
        <f>IFERROR(__xludf.DUMMYFUNCTION("""COMPUTED_VALUE"""),1.8)</f>
        <v>1.8</v>
      </c>
      <c r="E129" s="4" t="str">
        <f>IFERROR(__xludf.DUMMYFUNCTION("""COMPUTED_VALUE"""),"Neto: 1,80 € (a partir de 1 uds.)")</f>
        <v>Neto: 1,80 € (a partir de 1 uds.)</v>
      </c>
    </row>
    <row r="130">
      <c r="A130" s="4" t="str">
        <f>IFERROR(__xludf.DUMMYFUNCTION("""COMPUTED_VALUE"""),"0220P")</f>
        <v>0220P</v>
      </c>
      <c r="B130" s="4" t="str">
        <f>IFERROR(__xludf.DUMMYFUNCTION("""COMPUTED_VALUE"""),"Cartel PVC 21x29 USO OBLIGATORIO DEL CASCO")</f>
        <v>Cartel PVC 21x29 USO OBLIGATORIO DEL CASCO</v>
      </c>
      <c r="C130" s="4">
        <f>IFERROR(__xludf.DUMMYFUNCTION("""COMPUTED_VALUE"""),1.536)</f>
        <v>1.536</v>
      </c>
      <c r="D130" s="4">
        <f>IFERROR(__xludf.DUMMYFUNCTION("""COMPUTED_VALUE"""),1.2)</f>
        <v>1.2</v>
      </c>
      <c r="E130" s="4" t="str">
        <f>IFERROR(__xludf.DUMMYFUNCTION("""COMPUTED_VALUE"""),"Neto: 1,20 € (a partir de 1 uds.)")</f>
        <v>Neto: 1,20 € (a partir de 1 uds.)</v>
      </c>
    </row>
    <row r="131">
      <c r="A131" s="4" t="str">
        <f>IFERROR(__xludf.DUMMYFUNCTION("""COMPUTED_VALUE"""),"221")</f>
        <v>221</v>
      </c>
      <c r="B131" s="4" t="str">
        <f>IFERROR(__xludf.DUMMYFUNCTION("""COMPUTED_VALUE"""),"Cartel PVC 40x30 OBLIG.USO BOTA+")</f>
        <v>Cartel PVC 40x30 OBLIG.USO BOTA+</v>
      </c>
      <c r="C131" s="4">
        <f>IFERROR(__xludf.DUMMYFUNCTION("""COMPUTED_VALUE"""),2.3808)</f>
        <v>2.3808</v>
      </c>
      <c r="D131" s="4">
        <f>IFERROR(__xludf.DUMMYFUNCTION("""COMPUTED_VALUE"""),1.8)</f>
        <v>1.8</v>
      </c>
      <c r="E131" s="4" t="str">
        <f>IFERROR(__xludf.DUMMYFUNCTION("""COMPUTED_VALUE"""),"Neto: 1,80 € (a partir de 1 uds.)")</f>
        <v>Neto: 1,80 € (a partir de 1 uds.)</v>
      </c>
    </row>
    <row r="132">
      <c r="A132" s="4" t="str">
        <f>IFERROR(__xludf.DUMMYFUNCTION("""COMPUTED_VALUE"""),"0221P")</f>
        <v>0221P</v>
      </c>
      <c r="B132" s="4" t="str">
        <f>IFERROR(__xludf.DUMMYFUNCTION("""COMPUTED_VALUE"""),"Cartel PVC 21x29 USO OBLIGATORIO DE LAS BOTAS")</f>
        <v>Cartel PVC 21x29 USO OBLIGATORIO DE LAS BOTAS</v>
      </c>
      <c r="C132" s="4">
        <f>IFERROR(__xludf.DUMMYFUNCTION("""COMPUTED_VALUE"""),1.536)</f>
        <v>1.536</v>
      </c>
      <c r="D132" s="4">
        <f>IFERROR(__xludf.DUMMYFUNCTION("""COMPUTED_VALUE"""),1.2)</f>
        <v>1.2</v>
      </c>
      <c r="E132" s="4" t="str">
        <f>IFERROR(__xludf.DUMMYFUNCTION("""COMPUTED_VALUE"""),"Neto: 1,20 € (a partir de 1 uds.)")</f>
        <v>Neto: 1,20 € (a partir de 1 uds.)</v>
      </c>
    </row>
    <row r="133">
      <c r="A133" s="4" t="str">
        <f>IFERROR(__xludf.DUMMYFUNCTION("""COMPUTED_VALUE"""),"222")</f>
        <v>222</v>
      </c>
      <c r="B133" s="4" t="str">
        <f>IFERROR(__xludf.DUMMYFUNCTION("""COMPUTED_VALUE"""),"Cartel PVC 40x30 OBLIG.USO GUAN+E")</f>
        <v>Cartel PVC 40x30 OBLIG.USO GUAN+E</v>
      </c>
      <c r="C133" s="4">
        <f>IFERROR(__xludf.DUMMYFUNCTION("""COMPUTED_VALUE"""),2.3808)</f>
        <v>2.3808</v>
      </c>
      <c r="D133" s="4">
        <f>IFERROR(__xludf.DUMMYFUNCTION("""COMPUTED_VALUE"""),1.8)</f>
        <v>1.8</v>
      </c>
      <c r="E133" s="4" t="str">
        <f>IFERROR(__xludf.DUMMYFUNCTION("""COMPUTED_VALUE"""),"Neto: 1,80 € (a partir de 1 uds.)")</f>
        <v>Neto: 1,80 € (a partir de 1 uds.)</v>
      </c>
    </row>
    <row r="134">
      <c r="A134" s="4" t="str">
        <f>IFERROR(__xludf.DUMMYFUNCTION("""COMPUTED_VALUE"""),"0222P")</f>
        <v>0222P</v>
      </c>
      <c r="B134" s="4" t="str">
        <f>IFERROR(__xludf.DUMMYFUNCTION("""COMPUTED_VALUE"""),"Cartel PVC 21x29 USO OBLIGATORIO DE GUANTES")</f>
        <v>Cartel PVC 21x29 USO OBLIGATORIO DE GUANTES</v>
      </c>
      <c r="C134" s="4">
        <f>IFERROR(__xludf.DUMMYFUNCTION("""COMPUTED_VALUE"""),1.536)</f>
        <v>1.536</v>
      </c>
      <c r="D134" s="4">
        <f>IFERROR(__xludf.DUMMYFUNCTION("""COMPUTED_VALUE"""),1.2)</f>
        <v>1.2</v>
      </c>
      <c r="E134" s="4" t="str">
        <f>IFERROR(__xludf.DUMMYFUNCTION("""COMPUTED_VALUE"""),"Neto: 1,20 € (a partir de 1 uds.)")</f>
        <v>Neto: 1,20 € (a partir de 1 uds.)</v>
      </c>
    </row>
    <row r="135">
      <c r="A135" s="4" t="str">
        <f>IFERROR(__xludf.DUMMYFUNCTION("""COMPUTED_VALUE"""),"223")</f>
        <v>223</v>
      </c>
      <c r="B135" s="4" t="str">
        <f>IFERROR(__xludf.DUMMYFUNCTION("""COMPUTED_VALUE"""),"Cartel PVC 40x30 OBLIG.PROT.ACU+T")</f>
        <v>Cartel PVC 40x30 OBLIG.PROT.ACU+T</v>
      </c>
      <c r="C135" s="4">
        <f>IFERROR(__xludf.DUMMYFUNCTION("""COMPUTED_VALUE"""),2.3808)</f>
        <v>2.3808</v>
      </c>
      <c r="D135" s="4">
        <f>IFERROR(__xludf.DUMMYFUNCTION("""COMPUTED_VALUE"""),1.8)</f>
        <v>1.8</v>
      </c>
      <c r="E135" s="4" t="str">
        <f>IFERROR(__xludf.DUMMYFUNCTION("""COMPUTED_VALUE"""),"Neto: 1,80 € (a partir de 1 uds.)")</f>
        <v>Neto: 1,80 € (a partir de 1 uds.)</v>
      </c>
    </row>
    <row r="136">
      <c r="A136" s="4" t="str">
        <f>IFERROR(__xludf.DUMMYFUNCTION("""COMPUTED_VALUE"""),"0223P")</f>
        <v>0223P</v>
      </c>
      <c r="B136" s="4" t="str">
        <f>IFERROR(__xludf.DUMMYFUNCTION("""COMPUTED_VALUE"""),"Cartel PVC 21x29 USO OBLIGATORIO PROTECCION")</f>
        <v>Cartel PVC 21x29 USO OBLIGATORIO PROTECCION</v>
      </c>
      <c r="C136" s="4">
        <f>IFERROR(__xludf.DUMMYFUNCTION("""COMPUTED_VALUE"""),1.536)</f>
        <v>1.536</v>
      </c>
      <c r="D136" s="4">
        <f>IFERROR(__xludf.DUMMYFUNCTION("""COMPUTED_VALUE"""),1.2)</f>
        <v>1.2</v>
      </c>
      <c r="E136" s="4" t="str">
        <f>IFERROR(__xludf.DUMMYFUNCTION("""COMPUTED_VALUE"""),"Neto: 1,20 € (a partir de 1 uds.)")</f>
        <v>Neto: 1,20 € (a partir de 1 uds.)</v>
      </c>
    </row>
    <row r="137">
      <c r="A137" s="4" t="str">
        <f>IFERROR(__xludf.DUMMYFUNCTION("""COMPUTED_VALUE"""),"224")</f>
        <v>224</v>
      </c>
      <c r="B137" s="4" t="str">
        <f>IFERROR(__xludf.DUMMYFUNCTION("""COMPUTED_VALUE"""),"Cartel PVC 40x30 OBLIG.USO MASC +")</f>
        <v>Cartel PVC 40x30 OBLIG.USO MASC +</v>
      </c>
      <c r="C137" s="4">
        <f>IFERROR(__xludf.DUMMYFUNCTION("""COMPUTED_VALUE"""),2.3808)</f>
        <v>2.3808</v>
      </c>
      <c r="D137" s="4">
        <f>IFERROR(__xludf.DUMMYFUNCTION("""COMPUTED_VALUE"""),1.8)</f>
        <v>1.8</v>
      </c>
      <c r="E137" s="4" t="str">
        <f>IFERROR(__xludf.DUMMYFUNCTION("""COMPUTED_VALUE"""),"Neto: 1,80 € (a partir de 1 uds.)")</f>
        <v>Neto: 1,80 € (a partir de 1 uds.)</v>
      </c>
    </row>
    <row r="138">
      <c r="A138" s="4" t="str">
        <f>IFERROR(__xludf.DUMMYFUNCTION("""COMPUTED_VALUE"""),"0224P")</f>
        <v>0224P</v>
      </c>
      <c r="B138" s="4" t="str">
        <f>IFERROR(__xludf.DUMMYFUNCTION("""COMPUTED_VALUE"""),"Cartel PVC 21x29 OBLIGATORIO EL USO DE LA MASCARA")</f>
        <v>Cartel PVC 21x29 OBLIGATORIO EL USO DE LA MASCARA</v>
      </c>
      <c r="C138" s="4">
        <f>IFERROR(__xludf.DUMMYFUNCTION("""COMPUTED_VALUE"""),1.536)</f>
        <v>1.536</v>
      </c>
      <c r="D138" s="4">
        <f>IFERROR(__xludf.DUMMYFUNCTION("""COMPUTED_VALUE"""),1.2)</f>
        <v>1.2</v>
      </c>
      <c r="E138" s="4" t="str">
        <f>IFERROR(__xludf.DUMMYFUNCTION("""COMPUTED_VALUE"""),"Neto: 1,20 € (a partir de 1 uds.)")</f>
        <v>Neto: 1,20 € (a partir de 1 uds.)</v>
      </c>
    </row>
    <row r="139">
      <c r="A139" s="4" t="str">
        <f>IFERROR(__xludf.DUMMYFUNCTION("""COMPUTED_VALUE"""),"225")</f>
        <v>225</v>
      </c>
      <c r="B139" s="4" t="str">
        <f>IFERROR(__xludf.DUMMYFUNCTION("""COMPUTED_VALUE"""),"Cartel PVC 40x30 OBLIG.PANT.PRO+E")</f>
        <v>Cartel PVC 40x30 OBLIG.PANT.PRO+E</v>
      </c>
      <c r="C139" s="4">
        <f>IFERROR(__xludf.DUMMYFUNCTION("""COMPUTED_VALUE"""),2.3808)</f>
        <v>2.3808</v>
      </c>
      <c r="D139" s="4">
        <f>IFERROR(__xludf.DUMMYFUNCTION("""COMPUTED_VALUE"""),1.8)</f>
        <v>1.8</v>
      </c>
      <c r="E139" s="4" t="str">
        <f>IFERROR(__xludf.DUMMYFUNCTION("""COMPUTED_VALUE"""),"Neto: 1,80 € (a partir de 1 uds.)")</f>
        <v>Neto: 1,80 € (a partir de 1 uds.)</v>
      </c>
    </row>
    <row r="140">
      <c r="A140" s="4" t="str">
        <f>IFERROR(__xludf.DUMMYFUNCTION("""COMPUTED_VALUE"""),"0225P")</f>
        <v>0225P</v>
      </c>
      <c r="B140" s="4" t="str">
        <f>IFERROR(__xludf.DUMMYFUNCTION("""COMPUTED_VALUE"""),"Cartel PVC 21x29 OBLIGATORIO USO PANTALLA")</f>
        <v>Cartel PVC 21x29 OBLIGATORIO USO PANTALLA</v>
      </c>
      <c r="C140" s="4">
        <f>IFERROR(__xludf.DUMMYFUNCTION("""COMPUTED_VALUE"""),1.536)</f>
        <v>1.536</v>
      </c>
      <c r="D140" s="4">
        <f>IFERROR(__xludf.DUMMYFUNCTION("""COMPUTED_VALUE"""),1.2)</f>
        <v>1.2</v>
      </c>
      <c r="E140" s="4" t="str">
        <f>IFERROR(__xludf.DUMMYFUNCTION("""COMPUTED_VALUE"""),"Neto: 1,20 € (a partir de 1 uds.)")</f>
        <v>Neto: 1,20 € (a partir de 1 uds.)</v>
      </c>
    </row>
    <row r="141">
      <c r="A141" s="4" t="str">
        <f>IFERROR(__xludf.DUMMYFUNCTION("""COMPUTED_VALUE"""),"226")</f>
        <v>226</v>
      </c>
      <c r="B141" s="4" t="str">
        <f>IFERROR(__xludf.DUMMYFUNCTION("""COMPUTED_VALUE"""),"Cartel PVC 40x30 OBLIG.GAFAS PROT")</f>
        <v>Cartel PVC 40x30 OBLIG.GAFAS PROT</v>
      </c>
      <c r="C141" s="4">
        <f>IFERROR(__xludf.DUMMYFUNCTION("""COMPUTED_VALUE"""),2.3808)</f>
        <v>2.3808</v>
      </c>
      <c r="D141" s="4">
        <f>IFERROR(__xludf.DUMMYFUNCTION("""COMPUTED_VALUE"""),1.8)</f>
        <v>1.8</v>
      </c>
      <c r="E141" s="4" t="str">
        <f>IFERROR(__xludf.DUMMYFUNCTION("""COMPUTED_VALUE"""),"Neto: 1,80 € (a partir de 1 uds.)")</f>
        <v>Neto: 1,80 € (a partir de 1 uds.)</v>
      </c>
    </row>
    <row r="142">
      <c r="A142" s="4" t="str">
        <f>IFERROR(__xludf.DUMMYFUNCTION("""COMPUTED_VALUE"""),"0226P")</f>
        <v>0226P</v>
      </c>
      <c r="B142" s="4" t="str">
        <f>IFERROR(__xludf.DUMMYFUNCTION("""COMPUTED_VALUE"""),"Cartel PVC 21x29 OBLIGATORIO EL USO GAFAS")</f>
        <v>Cartel PVC 21x29 OBLIGATORIO EL USO GAFAS</v>
      </c>
      <c r="C142" s="4">
        <f>IFERROR(__xludf.DUMMYFUNCTION("""COMPUTED_VALUE"""),1.536)</f>
        <v>1.536</v>
      </c>
      <c r="D142" s="4">
        <f>IFERROR(__xludf.DUMMYFUNCTION("""COMPUTED_VALUE"""),1.2)</f>
        <v>1.2</v>
      </c>
      <c r="E142" s="4" t="str">
        <f>IFERROR(__xludf.DUMMYFUNCTION("""COMPUTED_VALUE"""),"Neto: 1,20 € (a partir de 1 uds.)")</f>
        <v>Neto: 1,20 € (a partir de 1 uds.)</v>
      </c>
    </row>
    <row r="143">
      <c r="A143" s="4" t="str">
        <f>IFERROR(__xludf.DUMMYFUNCTION("""COMPUTED_VALUE"""),"227")</f>
        <v>227</v>
      </c>
      <c r="B143" s="4" t="str">
        <f>IFERROR(__xludf.DUMMYFUNCTION("""COMPUTED_VALUE"""),"Cartel PVC 40x30 OBLIG.ARNES SEGUR.")</f>
        <v>Cartel PVC 40x30 OBLIG.ARNES SEGUR.</v>
      </c>
      <c r="C143" s="4">
        <f>IFERROR(__xludf.DUMMYFUNCTION("""COMPUTED_VALUE"""),2.3808)</f>
        <v>2.3808</v>
      </c>
      <c r="D143" s="4">
        <f>IFERROR(__xludf.DUMMYFUNCTION("""COMPUTED_VALUE"""),1.8)</f>
        <v>1.8</v>
      </c>
      <c r="E143" s="4" t="str">
        <f>IFERROR(__xludf.DUMMYFUNCTION("""COMPUTED_VALUE"""),"Neto: 1,80 € (a partir de 1 uds.)")</f>
        <v>Neto: 1,80 € (a partir de 1 uds.)</v>
      </c>
    </row>
    <row r="144">
      <c r="A144" s="4" t="str">
        <f>IFERROR(__xludf.DUMMYFUNCTION("""COMPUTED_VALUE"""),"0227P")</f>
        <v>0227P</v>
      </c>
      <c r="B144" s="4" t="str">
        <f>IFERROR(__xludf.DUMMYFUNCTION("""COMPUTED_VALUE"""),"Cartel PVC 21x29 OBLIGATORIO EL USO ARNES")</f>
        <v>Cartel PVC 21x29 OBLIGATORIO EL USO ARNES</v>
      </c>
      <c r="C144" s="4">
        <f>IFERROR(__xludf.DUMMYFUNCTION("""COMPUTED_VALUE"""),1.536)</f>
        <v>1.536</v>
      </c>
      <c r="D144" s="4">
        <f>IFERROR(__xludf.DUMMYFUNCTION("""COMPUTED_VALUE"""),1.2)</f>
        <v>1.2</v>
      </c>
      <c r="E144" s="4" t="str">
        <f>IFERROR(__xludf.DUMMYFUNCTION("""COMPUTED_VALUE"""),"Neto: 1,20 € (a partir de 1 uds.)")</f>
        <v>Neto: 1,20 € (a partir de 1 uds.)</v>
      </c>
    </row>
    <row r="145">
      <c r="A145" s="4" t="str">
        <f>IFERROR(__xludf.DUMMYFUNCTION("""COMPUTED_VALUE"""),"228")</f>
        <v>228</v>
      </c>
      <c r="B145" s="4" t="str">
        <f>IFERROR(__xludf.DUMMYFUNCTION("""COMPUTED_VALUE"""),"Cartel PVC 40x30 PROTECION OBLIGAT.CUERPO")</f>
        <v>Cartel PVC 40x30 PROTECION OBLIGAT.CUERPO</v>
      </c>
      <c r="C145" s="4">
        <f>IFERROR(__xludf.DUMMYFUNCTION("""COMPUTED_VALUE"""),2.3808)</f>
        <v>2.3808</v>
      </c>
      <c r="D145" s="4">
        <f>IFERROR(__xludf.DUMMYFUNCTION("""COMPUTED_VALUE"""),1.8)</f>
        <v>1.8</v>
      </c>
      <c r="E145" s="4" t="str">
        <f>IFERROR(__xludf.DUMMYFUNCTION("""COMPUTED_VALUE"""),"Neto: 1,80 € (a partir de 1 uds.)")</f>
        <v>Neto: 1,80 € (a partir de 1 uds.)</v>
      </c>
    </row>
    <row r="146">
      <c r="A146" s="4" t="str">
        <f>IFERROR(__xludf.DUMMYFUNCTION("""COMPUTED_VALUE"""),"0228P")</f>
        <v>0228P</v>
      </c>
      <c r="B146" s="4" t="str">
        <f>IFERROR(__xludf.DUMMYFUNCTION("""COMPUTED_VALUE"""),"Cartel PVC 21x29 USO PROTECCION OBLIGATORIA DEL")</f>
        <v>Cartel PVC 21x29 USO PROTECCION OBLIGATORIA DEL</v>
      </c>
      <c r="C146" s="4">
        <f>IFERROR(__xludf.DUMMYFUNCTION("""COMPUTED_VALUE"""),1.536)</f>
        <v>1.536</v>
      </c>
      <c r="D146" s="4">
        <f>IFERROR(__xludf.DUMMYFUNCTION("""COMPUTED_VALUE"""),1.2)</f>
        <v>1.2</v>
      </c>
      <c r="E146" s="4" t="str">
        <f>IFERROR(__xludf.DUMMYFUNCTION("""COMPUTED_VALUE"""),"Neto: 1,20 € (a partir de 1 uds.)")</f>
        <v>Neto: 1,20 € (a partir de 1 uds.)</v>
      </c>
    </row>
    <row r="147">
      <c r="A147" s="4" t="str">
        <f>IFERROR(__xludf.DUMMYFUNCTION("""COMPUTED_VALUE"""),"229")</f>
        <v>229</v>
      </c>
      <c r="B147" s="4" t="str">
        <f>IFERROR(__xludf.DUMMYFUNCTION("""COMPUTED_VALUE"""),"Cartel PVC 40x30 Eliminar puntas")</f>
        <v>Cartel PVC 40x30 Eliminar puntas</v>
      </c>
      <c r="C147" s="4">
        <f>IFERROR(__xludf.DUMMYFUNCTION("""COMPUTED_VALUE"""),2.3808)</f>
        <v>2.3808</v>
      </c>
      <c r="D147" s="4">
        <f>IFERROR(__xludf.DUMMYFUNCTION("""COMPUTED_VALUE"""),1.8)</f>
        <v>1.8</v>
      </c>
      <c r="E147" s="4" t="str">
        <f>IFERROR(__xludf.DUMMYFUNCTION("""COMPUTED_VALUE"""),"Neto: 1,80 € (a partir de 1 uds.)")</f>
        <v>Neto: 1,80 € (a partir de 1 uds.)</v>
      </c>
    </row>
    <row r="148">
      <c r="A148" s="4" t="str">
        <f>IFERROR(__xludf.DUMMYFUNCTION("""COMPUTED_VALUE"""),"0229P")</f>
        <v>0229P</v>
      </c>
      <c r="B148" s="4" t="str">
        <f>IFERROR(__xludf.DUMMYFUNCTION("""COMPUTED_VALUE"""),"Cartel PVC 21x29 OBLIGATORIO ELIMINAR LAS PUNTAS")</f>
        <v>Cartel PVC 21x29 OBLIGATORIO ELIMINAR LAS PUNTAS</v>
      </c>
      <c r="C148" s="4">
        <f>IFERROR(__xludf.DUMMYFUNCTION("""COMPUTED_VALUE"""),1.536)</f>
        <v>1.536</v>
      </c>
      <c r="D148" s="4">
        <f>IFERROR(__xludf.DUMMYFUNCTION("""COMPUTED_VALUE"""),1.2)</f>
        <v>1.2</v>
      </c>
      <c r="E148" s="4" t="str">
        <f>IFERROR(__xludf.DUMMYFUNCTION("""COMPUTED_VALUE"""),"Neto: 1,20 € (a partir de 1 uds.)")</f>
        <v>Neto: 1,20 € (a partir de 1 uds.)</v>
      </c>
    </row>
    <row r="149">
      <c r="A149" s="4" t="str">
        <f>IFERROR(__xludf.DUMMYFUNCTION("""COMPUTED_VALUE"""),"230")</f>
        <v>230</v>
      </c>
      <c r="B149" s="4" t="str">
        <f>IFERROR(__xludf.DUMMYFUNCTION("""COMPUTED_VALUE"""),"Cartel PVC 40x30 PROHIBIDO FUMA+")</f>
        <v>Cartel PVC 40x30 PROHIBIDO FUMA+</v>
      </c>
      <c r="C149" s="4">
        <f>IFERROR(__xludf.DUMMYFUNCTION("""COMPUTED_VALUE"""),2.3808)</f>
        <v>2.3808</v>
      </c>
      <c r="D149" s="4">
        <f>IFERROR(__xludf.DUMMYFUNCTION("""COMPUTED_VALUE"""),1.8)</f>
        <v>1.8</v>
      </c>
      <c r="E149" s="4" t="str">
        <f>IFERROR(__xludf.DUMMYFUNCTION("""COMPUTED_VALUE"""),"Neto: 1,80 € (a partir de 1 uds.)")</f>
        <v>Neto: 1,80 € (a partir de 1 uds.)</v>
      </c>
    </row>
    <row r="150">
      <c r="A150" s="4" t="str">
        <f>IFERROR(__xludf.DUMMYFUNCTION("""COMPUTED_VALUE"""),"0230P")</f>
        <v>0230P</v>
      </c>
      <c r="B150" s="4" t="str">
        <f>IFERROR(__xludf.DUMMYFUNCTION("""COMPUTED_VALUE"""),"Cartel 21X29 PROHIBIDO FUMAR")</f>
        <v>Cartel 21X29 PROHIBIDO FUMAR</v>
      </c>
      <c r="C150" s="4">
        <f>IFERROR(__xludf.DUMMYFUNCTION("""COMPUTED_VALUE"""),1.536)</f>
        <v>1.536</v>
      </c>
      <c r="D150" s="4">
        <f>IFERROR(__xludf.DUMMYFUNCTION("""COMPUTED_VALUE"""),1.2)</f>
        <v>1.2</v>
      </c>
      <c r="E150" s="4" t="str">
        <f>IFERROR(__xludf.DUMMYFUNCTION("""COMPUTED_VALUE"""),"Neto: 1,20 € (a partir de 1 uds.)")</f>
        <v>Neto: 1,20 € (a partir de 1 uds.)</v>
      </c>
    </row>
    <row r="151">
      <c r="A151" s="4" t="str">
        <f>IFERROR(__xludf.DUMMYFUNCTION("""COMPUTED_VALUE"""),"231")</f>
        <v>231</v>
      </c>
      <c r="B151" s="4" t="str">
        <f>IFERROR(__xludf.DUMMYFUNCTION("""COMPUTED_VALUE"""),"Cartel PVC 40x30 PROHIBIDO PASO+")</f>
        <v>Cartel PVC 40x30 PROHIBIDO PASO+</v>
      </c>
      <c r="C151" s="4">
        <f>IFERROR(__xludf.DUMMYFUNCTION("""COMPUTED_VALUE"""),2.3808)</f>
        <v>2.3808</v>
      </c>
      <c r="D151" s="4">
        <f>IFERROR(__xludf.DUMMYFUNCTION("""COMPUTED_VALUE"""),1.8)</f>
        <v>1.8</v>
      </c>
      <c r="E151" s="4" t="str">
        <f>IFERROR(__xludf.DUMMYFUNCTION("""COMPUTED_VALUE"""),"Neto: 1,80 € (a partir de 1 uds.)")</f>
        <v>Neto: 1,80 € (a partir de 1 uds.)</v>
      </c>
    </row>
    <row r="152">
      <c r="A152" s="4" t="str">
        <f>IFERROR(__xludf.DUMMYFUNCTION("""COMPUTED_VALUE"""),"0231P")</f>
        <v>0231P</v>
      </c>
      <c r="B152" s="4" t="str">
        <f>IFERROR(__xludf.DUMMYFUNCTION("""COMPUTED_VALUE"""),"Cartel PVC 21X29 PROHIBIDO PASO PERSONA AJENA")</f>
        <v>Cartel PVC 21X29 PROHIBIDO PASO PERSONA AJENA</v>
      </c>
      <c r="C152" s="4">
        <f>IFERROR(__xludf.DUMMYFUNCTION("""COMPUTED_VALUE"""),1.536)</f>
        <v>1.536</v>
      </c>
      <c r="D152" s="4">
        <f>IFERROR(__xludf.DUMMYFUNCTION("""COMPUTED_VALUE"""),1.2)</f>
        <v>1.2</v>
      </c>
      <c r="E152" s="4" t="str">
        <f>IFERROR(__xludf.DUMMYFUNCTION("""COMPUTED_VALUE"""),"Neto: 1,20 € (a partir de 1 uds.)")</f>
        <v>Neto: 1,20 € (a partir de 1 uds.)</v>
      </c>
    </row>
    <row r="153">
      <c r="A153" s="4" t="str">
        <f>IFERROR(__xludf.DUMMYFUNCTION("""COMPUTED_VALUE"""),"232")</f>
        <v>232</v>
      </c>
      <c r="B153" s="4" t="str">
        <f>IFERROR(__xludf.DUMMYFUNCTION("""COMPUTED_VALUE"""),"Cartel PVC 40x30 Proh. pasar sin casco")</f>
        <v>Cartel PVC 40x30 Proh. pasar sin casco</v>
      </c>
      <c r="C153" s="4">
        <f>IFERROR(__xludf.DUMMYFUNCTION("""COMPUTED_VALUE"""),2.3808)</f>
        <v>2.3808</v>
      </c>
      <c r="D153" s="4">
        <f>IFERROR(__xludf.DUMMYFUNCTION("""COMPUTED_VALUE"""),1.8)</f>
        <v>1.8</v>
      </c>
      <c r="E153" s="4" t="str">
        <f>IFERROR(__xludf.DUMMYFUNCTION("""COMPUTED_VALUE"""),"Neto: 1,80 € (a partir de 1 uds.)")</f>
        <v>Neto: 1,80 € (a partir de 1 uds.)</v>
      </c>
    </row>
    <row r="154">
      <c r="A154" s="4" t="str">
        <f>IFERROR(__xludf.DUMMYFUNCTION("""COMPUTED_VALUE"""),"0232P")</f>
        <v>0232P</v>
      </c>
      <c r="B154" s="4" t="str">
        <f>IFERROR(__xludf.DUMMYFUNCTION("""COMPUTED_VALUE"""),"Cartel PVC 21X29 PROHIBIDO PASAR SIN CASCO")</f>
        <v>Cartel PVC 21X29 PROHIBIDO PASAR SIN CASCO</v>
      </c>
      <c r="C154" s="4">
        <f>IFERROR(__xludf.DUMMYFUNCTION("""COMPUTED_VALUE"""),1.536)</f>
        <v>1.536</v>
      </c>
      <c r="D154" s="4">
        <f>IFERROR(__xludf.DUMMYFUNCTION("""COMPUTED_VALUE"""),1.2)</f>
        <v>1.2</v>
      </c>
      <c r="E154" s="4" t="str">
        <f>IFERROR(__xludf.DUMMYFUNCTION("""COMPUTED_VALUE"""),"Neto: 1,20 € (a partir de 1 uds.)")</f>
        <v>Neto: 1,20 € (a partir de 1 uds.)</v>
      </c>
    </row>
    <row r="155">
      <c r="A155" s="4" t="str">
        <f>IFERROR(__xludf.DUMMYFUNCTION("""COMPUTED_VALUE"""),"233")</f>
        <v>233</v>
      </c>
      <c r="B155" s="4" t="str">
        <f>IFERROR(__xludf.DUMMYFUNCTION("""COMPUTED_VALUE"""),"Cartel PVC 40x30 Proh. Fumar y encender fuego")</f>
        <v>Cartel PVC 40x30 Proh. Fumar y encender fuego</v>
      </c>
      <c r="C155" s="4">
        <f>IFERROR(__xludf.DUMMYFUNCTION("""COMPUTED_VALUE"""),2.3808)</f>
        <v>2.3808</v>
      </c>
      <c r="D155" s="4">
        <f>IFERROR(__xludf.DUMMYFUNCTION("""COMPUTED_VALUE"""),1.8)</f>
        <v>1.8</v>
      </c>
      <c r="E155" s="4" t="str">
        <f>IFERROR(__xludf.DUMMYFUNCTION("""COMPUTED_VALUE"""),"Neto: 1,80 € (a partir de 1 uds.)")</f>
        <v>Neto: 1,80 € (a partir de 1 uds.)</v>
      </c>
    </row>
    <row r="156">
      <c r="A156" s="4" t="str">
        <f>IFERROR(__xludf.DUMMYFUNCTION("""COMPUTED_VALUE"""),"0233P")</f>
        <v>0233P</v>
      </c>
      <c r="B156" s="4" t="str">
        <f>IFERROR(__xludf.DUMMYFUNCTION("""COMPUTED_VALUE"""),"Cartel PVC 21X29 PROHIBIDO FUMAR Y ENCENDER")</f>
        <v>Cartel PVC 21X29 PROHIBIDO FUMAR Y ENCENDER</v>
      </c>
      <c r="C156" s="4">
        <f>IFERROR(__xludf.DUMMYFUNCTION("""COMPUTED_VALUE"""),1.536)</f>
        <v>1.536</v>
      </c>
      <c r="D156" s="4">
        <f>IFERROR(__xludf.DUMMYFUNCTION("""COMPUTED_VALUE"""),1.2)</f>
        <v>1.2</v>
      </c>
      <c r="E156" s="4" t="str">
        <f>IFERROR(__xludf.DUMMYFUNCTION("""COMPUTED_VALUE"""),"Neto: 1,20 € (a partir de 1 uds.)")</f>
        <v>Neto: 1,20 € (a partir de 1 uds.)</v>
      </c>
    </row>
    <row r="157">
      <c r="A157" s="4" t="str">
        <f>IFERROR(__xludf.DUMMYFUNCTION("""COMPUTED_VALUE"""),"234")</f>
        <v>234</v>
      </c>
      <c r="B157" s="4" t="str">
        <f>IFERROR(__xludf.DUMMYFUNCTION("""COMPUTED_VALUE"""),"Cartel PVC 40x30 Proh. Apagar con agua")</f>
        <v>Cartel PVC 40x30 Proh. Apagar con agua</v>
      </c>
      <c r="C157" s="4">
        <f>IFERROR(__xludf.DUMMYFUNCTION("""COMPUTED_VALUE"""),2.3808)</f>
        <v>2.3808</v>
      </c>
      <c r="D157" s="4">
        <f>IFERROR(__xludf.DUMMYFUNCTION("""COMPUTED_VALUE"""),1.8)</f>
        <v>1.8</v>
      </c>
      <c r="E157" s="4" t="str">
        <f>IFERROR(__xludf.DUMMYFUNCTION("""COMPUTED_VALUE"""),"Neto: 1,80 € (a partir de 1 uds.)")</f>
        <v>Neto: 1,80 € (a partir de 1 uds.)</v>
      </c>
    </row>
    <row r="158">
      <c r="A158" s="4" t="str">
        <f>IFERROR(__xludf.DUMMYFUNCTION("""COMPUTED_VALUE"""),"0234P")</f>
        <v>0234P</v>
      </c>
      <c r="B158" s="4" t="str">
        <f>IFERROR(__xludf.DUMMYFUNCTION("""COMPUTED_VALUE"""),"Cartel PVC 21x29 PROHIBIDO APAGAR CON AGUA")</f>
        <v>Cartel PVC 21x29 PROHIBIDO APAGAR CON AGUA</v>
      </c>
      <c r="C158" s="4">
        <f>IFERROR(__xludf.DUMMYFUNCTION("""COMPUTED_VALUE"""),1.536)</f>
        <v>1.536</v>
      </c>
      <c r="D158" s="4">
        <f>IFERROR(__xludf.DUMMYFUNCTION("""COMPUTED_VALUE"""),1.2)</f>
        <v>1.2</v>
      </c>
      <c r="E158" s="4" t="str">
        <f>IFERROR(__xludf.DUMMYFUNCTION("""COMPUTED_VALUE"""),"Neto: 1,20 € (a partir de 1 uds.)")</f>
        <v>Neto: 1,20 € (a partir de 1 uds.)</v>
      </c>
    </row>
    <row r="159">
      <c r="A159" s="4" t="str">
        <f>IFERROR(__xludf.DUMMYFUNCTION("""COMPUTED_VALUE"""),"235")</f>
        <v>235</v>
      </c>
      <c r="B159" s="4" t="str">
        <f>IFERROR(__xludf.DUMMYFUNCTION("""COMPUTED_VALUE"""),"Cartel PVC 40x30 Proh.a los vehculos manutención")</f>
        <v>Cartel PVC 40x30 Proh.a los vehculos manutención</v>
      </c>
      <c r="C159" s="4">
        <f>IFERROR(__xludf.DUMMYFUNCTION("""COMPUTED_VALUE"""),2.3808)</f>
        <v>2.3808</v>
      </c>
      <c r="D159" s="4">
        <f>IFERROR(__xludf.DUMMYFUNCTION("""COMPUTED_VALUE"""),1.8)</f>
        <v>1.8</v>
      </c>
      <c r="E159" s="4" t="str">
        <f>IFERROR(__xludf.DUMMYFUNCTION("""COMPUTED_VALUE"""),"Neto: 1,80 € (a partir de 1 uds.)")</f>
        <v>Neto: 1,80 € (a partir de 1 uds.)</v>
      </c>
    </row>
    <row r="160">
      <c r="A160" s="4" t="str">
        <f>IFERROR(__xludf.DUMMYFUNCTION("""COMPUTED_VALUE"""),"0235P")</f>
        <v>0235P</v>
      </c>
      <c r="B160" s="4" t="str">
        <f>IFERROR(__xludf.DUMMYFUNCTION("""COMPUTED_VALUE"""),"Cartel PVC 21x29 PROHIBIDO A LOS VEHICULOS DE")</f>
        <v>Cartel PVC 21x29 PROHIBIDO A LOS VEHICULOS DE</v>
      </c>
      <c r="C160" s="4">
        <f>IFERROR(__xludf.DUMMYFUNCTION("""COMPUTED_VALUE"""),1.536)</f>
        <v>1.536</v>
      </c>
      <c r="D160" s="4">
        <f>IFERROR(__xludf.DUMMYFUNCTION("""COMPUTED_VALUE"""),1.2)</f>
        <v>1.2</v>
      </c>
      <c r="E160" s="4" t="str">
        <f>IFERROR(__xludf.DUMMYFUNCTION("""COMPUTED_VALUE"""),"Neto: 1,20 € (a partir de 1 uds.)")</f>
        <v>Neto: 1,20 € (a partir de 1 uds.)</v>
      </c>
    </row>
    <row r="161">
      <c r="A161" s="4" t="str">
        <f>IFERROR(__xludf.DUMMYFUNCTION("""COMPUTED_VALUE"""),"236")</f>
        <v>236</v>
      </c>
      <c r="B161" s="4" t="str">
        <f>IFERROR(__xludf.DUMMYFUNCTION("""COMPUTED_VALUE"""),"Cartel PVC 40x30 Materias Explosivas")</f>
        <v>Cartel PVC 40x30 Materias Explosivas</v>
      </c>
      <c r="C161" s="4">
        <f>IFERROR(__xludf.DUMMYFUNCTION("""COMPUTED_VALUE"""),2.3808)</f>
        <v>2.3808</v>
      </c>
      <c r="D161" s="4">
        <f>IFERROR(__xludf.DUMMYFUNCTION("""COMPUTED_VALUE"""),1.8)</f>
        <v>1.8</v>
      </c>
      <c r="E161" s="4" t="str">
        <f>IFERROR(__xludf.DUMMYFUNCTION("""COMPUTED_VALUE"""),"Neto: 1,80 € (a partir de 1 uds.)")</f>
        <v>Neto: 1,80 € (a partir de 1 uds.)</v>
      </c>
    </row>
    <row r="162">
      <c r="A162" s="4" t="str">
        <f>IFERROR(__xludf.DUMMYFUNCTION("""COMPUTED_VALUE"""),"0236P")</f>
        <v>0236P</v>
      </c>
      <c r="B162" s="4" t="str">
        <f>IFERROR(__xludf.DUMMYFUNCTION("""COMPUTED_VALUE"""),"Cartel PVC 21x29 MATERIAS EXPLOSIVAS")</f>
        <v>Cartel PVC 21x29 MATERIAS EXPLOSIVAS</v>
      </c>
      <c r="C162" s="4">
        <f>IFERROR(__xludf.DUMMYFUNCTION("""COMPUTED_VALUE"""),1.536)</f>
        <v>1.536</v>
      </c>
      <c r="D162" s="4">
        <f>IFERROR(__xludf.DUMMYFUNCTION("""COMPUTED_VALUE"""),1.2)</f>
        <v>1.2</v>
      </c>
      <c r="E162" s="4" t="str">
        <f>IFERROR(__xludf.DUMMYFUNCTION("""COMPUTED_VALUE"""),"Neto: 1,20 € (a partir de 1 uds.)")</f>
        <v>Neto: 1,20 € (a partir de 1 uds.)</v>
      </c>
    </row>
    <row r="163">
      <c r="A163" s="4" t="str">
        <f>IFERROR(__xludf.DUMMYFUNCTION("""COMPUTED_VALUE"""),"237")</f>
        <v>237</v>
      </c>
      <c r="B163" s="4" t="str">
        <f>IFERROR(__xludf.DUMMYFUNCTION("""COMPUTED_VALUE"""),"Cartel PVC 40x30 Proh. uso personas")</f>
        <v>Cartel PVC 40x30 Proh. uso personas</v>
      </c>
      <c r="C163" s="4">
        <f>IFERROR(__xludf.DUMMYFUNCTION("""COMPUTED_VALUE"""),2.3808)</f>
        <v>2.3808</v>
      </c>
      <c r="D163" s="4">
        <f>IFERROR(__xludf.DUMMYFUNCTION("""COMPUTED_VALUE"""),1.8)</f>
        <v>1.8</v>
      </c>
      <c r="E163" s="4" t="str">
        <f>IFERROR(__xludf.DUMMYFUNCTION("""COMPUTED_VALUE"""),"Neto: 1,80 € (a partir de 1 uds.)")</f>
        <v>Neto: 1,80 € (a partir de 1 uds.)</v>
      </c>
    </row>
    <row r="164">
      <c r="A164" s="4" t="str">
        <f>IFERROR(__xludf.DUMMYFUNCTION("""COMPUTED_VALUE"""),"0237P")</f>
        <v>0237P</v>
      </c>
      <c r="B164" s="4" t="str">
        <f>IFERROR(__xludf.DUMMYFUNCTION("""COMPUTED_VALUE"""),"Cartel PVC 21x29 PROHIBIDO EL USO A PERSONAS")</f>
        <v>Cartel PVC 21x29 PROHIBIDO EL USO A PERSONAS</v>
      </c>
      <c r="C164" s="4">
        <f>IFERROR(__xludf.DUMMYFUNCTION("""COMPUTED_VALUE"""),1.536)</f>
        <v>1.536</v>
      </c>
      <c r="D164" s="4">
        <f>IFERROR(__xludf.DUMMYFUNCTION("""COMPUTED_VALUE"""),1.2)</f>
        <v>1.2</v>
      </c>
      <c r="E164" s="4" t="str">
        <f>IFERROR(__xludf.DUMMYFUNCTION("""COMPUTED_VALUE"""),"Neto: 1,20 € (a partir de 1 uds.)")</f>
        <v>Neto: 1,20 € (a partir de 1 uds.)</v>
      </c>
    </row>
    <row r="165">
      <c r="A165" s="4" t="str">
        <f>IFERROR(__xludf.DUMMYFUNCTION("""COMPUTED_VALUE"""),"238")</f>
        <v>238</v>
      </c>
      <c r="B165" s="4" t="str">
        <f>IFERROR(__xludf.DUMMYFUNCTION("""COMPUTED_VALUE"""),"Cartel PVC 40x30 Atencion puesta Tierra")</f>
        <v>Cartel PVC 40x30 Atencion puesta Tierra</v>
      </c>
      <c r="C165" s="4">
        <f>IFERROR(__xludf.DUMMYFUNCTION("""COMPUTED_VALUE"""),2.3808)</f>
        <v>2.3808</v>
      </c>
      <c r="D165" s="4">
        <f>IFERROR(__xludf.DUMMYFUNCTION("""COMPUTED_VALUE"""),1.8)</f>
        <v>1.8</v>
      </c>
      <c r="E165" s="4" t="str">
        <f>IFERROR(__xludf.DUMMYFUNCTION("""COMPUTED_VALUE"""),"Neto: 1,80 € (a partir de 1 uds.)")</f>
        <v>Neto: 1,80 € (a partir de 1 uds.)</v>
      </c>
    </row>
    <row r="166">
      <c r="A166" s="4" t="str">
        <f>IFERROR(__xludf.DUMMYFUNCTION("""COMPUTED_VALUE"""),"0238P")</f>
        <v>0238P</v>
      </c>
      <c r="B166" s="4" t="str">
        <f>IFERROR(__xludf.DUMMYFUNCTION("""COMPUTED_VALUE"""),"Cartel PVC 21x29 ATENCION PUESTA A TIERRA")</f>
        <v>Cartel PVC 21x29 ATENCION PUESTA A TIERRA</v>
      </c>
      <c r="C166" s="4">
        <f>IFERROR(__xludf.DUMMYFUNCTION("""COMPUTED_VALUE"""),1.536)</f>
        <v>1.536</v>
      </c>
      <c r="D166" s="4">
        <f>IFERROR(__xludf.DUMMYFUNCTION("""COMPUTED_VALUE"""),1.2)</f>
        <v>1.2</v>
      </c>
      <c r="E166" s="4" t="str">
        <f>IFERROR(__xludf.DUMMYFUNCTION("""COMPUTED_VALUE"""),"Neto: 1,20 € (a partir de 1 uds.)")</f>
        <v>Neto: 1,20 € (a partir de 1 uds.)</v>
      </c>
    </row>
    <row r="167">
      <c r="A167" s="4" t="str">
        <f>IFERROR(__xludf.DUMMYFUNCTION("""COMPUTED_VALUE"""),"239")</f>
        <v>239</v>
      </c>
      <c r="B167" s="4" t="str">
        <f>IFERROR(__xludf.DUMMYFUNCTION("""COMPUTED_VALUE"""),"Cartel PVC Espacio confinado 40x30 cm")</f>
        <v>Cartel PVC Espacio confinado 40x30 cm</v>
      </c>
      <c r="C167" s="4">
        <f>IFERROR(__xludf.DUMMYFUNCTION("""COMPUTED_VALUE"""),2.3808)</f>
        <v>2.3808</v>
      </c>
      <c r="D167" s="4">
        <f>IFERROR(__xludf.DUMMYFUNCTION("""COMPUTED_VALUE"""),1.8)</f>
        <v>1.8</v>
      </c>
      <c r="E167" s="4" t="str">
        <f>IFERROR(__xludf.DUMMYFUNCTION("""COMPUTED_VALUE"""),"Neto: 1,80 € (a partir de 1 uds.)")</f>
        <v>Neto: 1,80 € (a partir de 1 uds.)</v>
      </c>
    </row>
    <row r="168">
      <c r="A168" s="4" t="str">
        <f>IFERROR(__xludf.DUMMYFUNCTION("""COMPUTED_VALUE"""),"0239P")</f>
        <v>0239P</v>
      </c>
      <c r="B168" s="4" t="str">
        <f>IFERROR(__xludf.DUMMYFUNCTION("""COMPUTED_VALUE"""),"Cartel PVC Espacio Confinado 21x29 cm")</f>
        <v>Cartel PVC Espacio Confinado 21x29 cm</v>
      </c>
      <c r="C168" s="4">
        <f>IFERROR(__xludf.DUMMYFUNCTION("""COMPUTED_VALUE"""),1.536)</f>
        <v>1.536</v>
      </c>
      <c r="D168" s="4">
        <f>IFERROR(__xludf.DUMMYFUNCTION("""COMPUTED_VALUE"""),1.2)</f>
        <v>1.2</v>
      </c>
      <c r="E168" s="4" t="str">
        <f>IFERROR(__xludf.DUMMYFUNCTION("""COMPUTED_VALUE"""),"Neto: 1,20 € (a partir de 1 uds.)")</f>
        <v>Neto: 1,20 € (a partir de 1 uds.)</v>
      </c>
    </row>
    <row r="169">
      <c r="A169" s="4" t="str">
        <f>IFERROR(__xludf.DUMMYFUNCTION("""COMPUTED_VALUE"""),"240")</f>
        <v>240</v>
      </c>
      <c r="B169" s="4" t="str">
        <f>IFERROR(__xludf.DUMMYFUNCTION("""COMPUTED_VALUE"""),"Cartel PVC 40x30 Maquin.pesada en movim")</f>
        <v>Cartel PVC 40x30 Maquin.pesada en movim</v>
      </c>
      <c r="C169" s="4">
        <f>IFERROR(__xludf.DUMMYFUNCTION("""COMPUTED_VALUE"""),2.3808)</f>
        <v>2.3808</v>
      </c>
      <c r="D169" s="4">
        <f>IFERROR(__xludf.DUMMYFUNCTION("""COMPUTED_VALUE"""),1.8)</f>
        <v>1.8</v>
      </c>
      <c r="E169" s="4" t="str">
        <f>IFERROR(__xludf.DUMMYFUNCTION("""COMPUTED_VALUE"""),"Neto: 1,80 € (a partir de 1 uds.)")</f>
        <v>Neto: 1,80 € (a partir de 1 uds.)</v>
      </c>
    </row>
    <row r="170">
      <c r="A170" s="4" t="str">
        <f>IFERROR(__xludf.DUMMYFUNCTION("""COMPUTED_VALUE"""),"0240P")</f>
        <v>0240P</v>
      </c>
      <c r="B170" s="4" t="str">
        <f>IFERROR(__xludf.DUMMYFUNCTION("""COMPUTED_VALUE"""),"Cartel PVC 21X29 MAQUINARIA PESADA EN MOVIMIENTO")</f>
        <v>Cartel PVC 21X29 MAQUINARIA PESADA EN MOVIMIENTO</v>
      </c>
      <c r="C170" s="4">
        <f>IFERROR(__xludf.DUMMYFUNCTION("""COMPUTED_VALUE"""),1.536)</f>
        <v>1.536</v>
      </c>
      <c r="D170" s="4">
        <f>IFERROR(__xludf.DUMMYFUNCTION("""COMPUTED_VALUE"""),1.2)</f>
        <v>1.2</v>
      </c>
      <c r="E170" s="4" t="str">
        <f>IFERROR(__xludf.DUMMYFUNCTION("""COMPUTED_VALUE"""),"Neto: 1,20 € (a partir de 1 uds.)")</f>
        <v>Neto: 1,20 € (a partir de 1 uds.)</v>
      </c>
    </row>
    <row r="171">
      <c r="A171" s="4" t="str">
        <f>IFERROR(__xludf.DUMMYFUNCTION("""COMPUTED_VALUE"""),"241")</f>
        <v>241</v>
      </c>
      <c r="B171" s="4" t="str">
        <f>IFERROR(__xludf.DUMMYFUNCTION("""COMPUTED_VALUE"""),"Cartel PVC 40x30 Fluor ( Se Alquila ) c/ojales")</f>
        <v>Cartel PVC 40x30 Fluor ( Se Alquila ) c/ojales</v>
      </c>
      <c r="C171" s="4">
        <f>IFERROR(__xludf.DUMMYFUNCTION("""COMPUTED_VALUE"""),3.552)</f>
        <v>3.552</v>
      </c>
      <c r="D171" s="4">
        <f>IFERROR(__xludf.DUMMYFUNCTION("""COMPUTED_VALUE"""),3.2)</f>
        <v>3.2</v>
      </c>
      <c r="E171" s="4" t="str">
        <f>IFERROR(__xludf.DUMMYFUNCTION("""COMPUTED_VALUE"""),"Neto: 3,20 € (a partir de 1 uds.)")</f>
        <v>Neto: 3,20 € (a partir de 1 uds.)</v>
      </c>
    </row>
    <row r="172">
      <c r="A172" s="4" t="str">
        <f>IFERROR(__xludf.DUMMYFUNCTION("""COMPUTED_VALUE"""),"242")</f>
        <v>242</v>
      </c>
      <c r="B172" s="4" t="str">
        <f>IFERROR(__xludf.DUMMYFUNCTION("""COMPUTED_VALUE"""),"Cartel PVC 40X30 Fluor ( Se Vende ) c/ojales")</f>
        <v>Cartel PVC 40X30 Fluor ( Se Vende ) c/ojales</v>
      </c>
      <c r="C172" s="4">
        <f>IFERROR(__xludf.DUMMYFUNCTION("""COMPUTED_VALUE"""),3.552)</f>
        <v>3.552</v>
      </c>
      <c r="D172" s="4">
        <f>IFERROR(__xludf.DUMMYFUNCTION("""COMPUTED_VALUE"""),3.2)</f>
        <v>3.2</v>
      </c>
      <c r="E172" s="4" t="str">
        <f>IFERROR(__xludf.DUMMYFUNCTION("""COMPUTED_VALUE"""),"Neto: 3,20 € (a partir de 1 uds.)")</f>
        <v>Neto: 3,20 € (a partir de 1 uds.)</v>
      </c>
    </row>
    <row r="173">
      <c r="A173" s="4" t="str">
        <f>IFERROR(__xludf.DUMMYFUNCTION("""COMPUTED_VALUE"""),"243")</f>
        <v>243</v>
      </c>
      <c r="B173" s="4" t="str">
        <f>IFERROR(__xludf.DUMMYFUNCTION("""COMPUTED_VALUE"""),"Cartel PVC 21x29 Fotolum. Hidrante")</f>
        <v>Cartel PVC 21x29 Fotolum. Hidrante</v>
      </c>
      <c r="C173" s="4">
        <f>IFERROR(__xludf.DUMMYFUNCTION("""COMPUTED_VALUE"""),2.496)</f>
        <v>2.496</v>
      </c>
      <c r="D173" s="4">
        <f>IFERROR(__xludf.DUMMYFUNCTION("""COMPUTED_VALUE"""),2.1)</f>
        <v>2.1</v>
      </c>
      <c r="E173" s="4" t="str">
        <f>IFERROR(__xludf.DUMMYFUNCTION("""COMPUTED_VALUE"""),"Neto: 2,10 € (a partir de 1 uds.)")</f>
        <v>Neto: 2,10 € (a partir de 1 uds.)</v>
      </c>
    </row>
    <row r="174">
      <c r="A174" s="4" t="str">
        <f>IFERROR(__xludf.DUMMYFUNCTION("""COMPUTED_VALUE"""),"0243A")</f>
        <v>0243A</v>
      </c>
      <c r="B174" s="4" t="str">
        <f>IFERROR(__xludf.DUMMYFUNCTION("""COMPUTED_VALUE"""),"Cartel PVC 21x30 Fotolum. Hidrante")</f>
        <v>Cartel PVC 21x30 Fotolum. Hidrante</v>
      </c>
      <c r="C174" s="4">
        <f>IFERROR(__xludf.DUMMYFUNCTION("""COMPUTED_VALUE"""),2.4192)</f>
        <v>2.4192</v>
      </c>
      <c r="D174" s="4">
        <f>IFERROR(__xludf.DUMMYFUNCTION("""COMPUTED_VALUE"""),2.1)</f>
        <v>2.1</v>
      </c>
      <c r="E174" s="4" t="str">
        <f>IFERROR(__xludf.DUMMYFUNCTION("""COMPUTED_VALUE"""),"Neto: 2,10 € (a partir de 1 uds.)")</f>
        <v>Neto: 2,10 € (a partir de 1 uds.)</v>
      </c>
    </row>
    <row r="175">
      <c r="A175" s="4" t="str">
        <f>IFERROR(__xludf.DUMMYFUNCTION("""COMPUTED_VALUE"""),"0243B")</f>
        <v>0243B</v>
      </c>
      <c r="B175" s="4" t="str">
        <f>IFERROR(__xludf.DUMMYFUNCTION("""COMPUTED_VALUE"""),"Cartel PVC 40x30 Fotolum. Hidrante")</f>
        <v>Cartel PVC 40x30 Fotolum. Hidrante</v>
      </c>
      <c r="C175" s="4">
        <f>IFERROR(__xludf.DUMMYFUNCTION("""COMPUTED_VALUE"""),2.976)</f>
        <v>2.976</v>
      </c>
      <c r="D175" s="4">
        <f>IFERROR(__xludf.DUMMYFUNCTION("""COMPUTED_VALUE"""),3.2)</f>
        <v>3.2</v>
      </c>
      <c r="E175" s="4" t="str">
        <f>IFERROR(__xludf.DUMMYFUNCTION("""COMPUTED_VALUE"""),"Neto: 3,20 € (a partir de 1 uds.)")</f>
        <v>Neto: 3,20 € (a partir de 1 uds.)</v>
      </c>
    </row>
    <row r="176">
      <c r="A176" s="4" t="str">
        <f>IFERROR(__xludf.DUMMYFUNCTION("""COMPUTED_VALUE"""),"244")</f>
        <v>244</v>
      </c>
      <c r="B176" s="4" t="str">
        <f>IFERROR(__xludf.DUMMYFUNCTION("""COMPUTED_VALUE"""),"Cartel PVC de 1x0.70 Combinado")</f>
        <v>Cartel PVC de 1x0.70 Combinado</v>
      </c>
      <c r="C176" s="4">
        <f>IFERROR(__xludf.DUMMYFUNCTION("""COMPUTED_VALUE"""),5.664)</f>
        <v>5.664</v>
      </c>
      <c r="D176" s="4">
        <f>IFERROR(__xludf.DUMMYFUNCTION("""COMPUTED_VALUE"""),5.5)</f>
        <v>5.5</v>
      </c>
      <c r="E176" s="4" t="str">
        <f>IFERROR(__xludf.DUMMYFUNCTION("""COMPUTED_VALUE"""),"Neto: 5,50 € (a partir de 50 uds.)")</f>
        <v>Neto: 5,50 € (a partir de 50 uds.)</v>
      </c>
    </row>
    <row r="177">
      <c r="A177" s="4" t="str">
        <f>IFERROR(__xludf.DUMMYFUNCTION("""COMPUTED_VALUE"""),"247")</f>
        <v>247</v>
      </c>
      <c r="B177" s="4" t="str">
        <f>IFERROR(__xludf.DUMMYFUNCTION("""COMPUTED_VALUE"""),"Cartel PVC 40x30 (Salida Camiones)")</f>
        <v>Cartel PVC 40x30 (Salida Camiones)</v>
      </c>
      <c r="C177" s="4">
        <f>IFERROR(__xludf.DUMMYFUNCTION("""COMPUTED_VALUE"""),2.3808)</f>
        <v>2.3808</v>
      </c>
      <c r="D177" s="4">
        <f>IFERROR(__xludf.DUMMYFUNCTION("""COMPUTED_VALUE"""),1.8)</f>
        <v>1.8</v>
      </c>
      <c r="E177" s="4" t="str">
        <f>IFERROR(__xludf.DUMMYFUNCTION("""COMPUTED_VALUE"""),"Neto: 1,80 € (a partir de 1 uds.)")</f>
        <v>Neto: 1,80 € (a partir de 1 uds.)</v>
      </c>
    </row>
    <row r="178">
      <c r="A178" s="4" t="str">
        <f>IFERROR(__xludf.DUMMYFUNCTION("""COMPUTED_VALUE"""),"0247P")</f>
        <v>0247P</v>
      </c>
      <c r="B178" s="4" t="str">
        <f>IFERROR(__xludf.DUMMYFUNCTION("""COMPUTED_VALUE"""),"Cartel PVC 21x29 SALIDA DE CAMIONES")</f>
        <v>Cartel PVC 21x29 SALIDA DE CAMIONES</v>
      </c>
      <c r="C178" s="4">
        <f>IFERROR(__xludf.DUMMYFUNCTION("""COMPUTED_VALUE"""),1.536)</f>
        <v>1.536</v>
      </c>
      <c r="D178" s="4">
        <f>IFERROR(__xludf.DUMMYFUNCTION("""COMPUTED_VALUE"""),1.2)</f>
        <v>1.2</v>
      </c>
      <c r="E178" s="4" t="str">
        <f>IFERROR(__xludf.DUMMYFUNCTION("""COMPUTED_VALUE"""),"Neto: 1,20 € (a partir de 1 uds.)")</f>
        <v>Neto: 1,20 € (a partir de 1 uds.)</v>
      </c>
    </row>
    <row r="179">
      <c r="A179" s="4" t="str">
        <f>IFERROR(__xludf.DUMMYFUNCTION("""COMPUTED_VALUE"""),"248")</f>
        <v>248</v>
      </c>
      <c r="B179" s="4" t="str">
        <f>IFERROR(__xludf.DUMMYFUNCTION("""COMPUTED_VALUE"""),"Cartel PVC 40x30 (Prohibido Aparcar)")</f>
        <v>Cartel PVC 40x30 (Prohibido Aparcar)</v>
      </c>
      <c r="C179" s="4">
        <f>IFERROR(__xludf.DUMMYFUNCTION("""COMPUTED_VALUE"""),2.3808)</f>
        <v>2.3808</v>
      </c>
      <c r="D179" s="4">
        <f>IFERROR(__xludf.DUMMYFUNCTION("""COMPUTED_VALUE"""),1.8)</f>
        <v>1.8</v>
      </c>
      <c r="E179" s="4" t="str">
        <f>IFERROR(__xludf.DUMMYFUNCTION("""COMPUTED_VALUE"""),"Neto: 1,80 € (a partir de 1 uds.)")</f>
        <v>Neto: 1,80 € (a partir de 1 uds.)</v>
      </c>
    </row>
    <row r="180">
      <c r="A180" s="4" t="str">
        <f>IFERROR(__xludf.DUMMYFUNCTION("""COMPUTED_VALUE"""),"0248P")</f>
        <v>0248P</v>
      </c>
      <c r="B180" s="4" t="str">
        <f>IFERROR(__xludf.DUMMYFUNCTION("""COMPUTED_VALUE"""),"Cartel PVC 21x29 PROHIBIDO APARCAR")</f>
        <v>Cartel PVC 21x29 PROHIBIDO APARCAR</v>
      </c>
      <c r="C180" s="4">
        <f>IFERROR(__xludf.DUMMYFUNCTION("""COMPUTED_VALUE"""),1.536)</f>
        <v>1.536</v>
      </c>
      <c r="D180" s="4">
        <f>IFERROR(__xludf.DUMMYFUNCTION("""COMPUTED_VALUE"""),1.2)</f>
        <v>1.2</v>
      </c>
      <c r="E180" s="4" t="str">
        <f>IFERROR(__xludf.DUMMYFUNCTION("""COMPUTED_VALUE"""),"Neto: 1,20 € (a partir de 1 uds.)")</f>
        <v>Neto: 1,20 € (a partir de 1 uds.)</v>
      </c>
    </row>
    <row r="181">
      <c r="A181" s="4" t="str">
        <f>IFERROR(__xludf.DUMMYFUNCTION("""COMPUTED_VALUE"""),"249")</f>
        <v>249</v>
      </c>
      <c r="B181" s="4" t="str">
        <f>IFERROR(__xludf.DUMMYFUNCTION("""COMPUTED_VALUE"""),"Cartel PVC 40x30 STOP")</f>
        <v>Cartel PVC 40x30 STOP</v>
      </c>
      <c r="C181" s="4">
        <f>IFERROR(__xludf.DUMMYFUNCTION("""COMPUTED_VALUE"""),2.3808)</f>
        <v>2.3808</v>
      </c>
      <c r="D181" s="4">
        <f>IFERROR(__xludf.DUMMYFUNCTION("""COMPUTED_VALUE"""),1.8)</f>
        <v>1.8</v>
      </c>
      <c r="E181" s="4" t="str">
        <f>IFERROR(__xludf.DUMMYFUNCTION("""COMPUTED_VALUE"""),"Neto: 1,80 € (a partir de 1 uds.)")</f>
        <v>Neto: 1,80 € (a partir de 1 uds.)</v>
      </c>
    </row>
    <row r="182">
      <c r="A182" s="4" t="str">
        <f>IFERROR(__xludf.DUMMYFUNCTION("""COMPUTED_VALUE"""),"0249P")</f>
        <v>0249P</v>
      </c>
      <c r="B182" s="4" t="str">
        <f>IFERROR(__xludf.DUMMYFUNCTION("""COMPUTED_VALUE"""),"Cartel PVC 21x29 STOP")</f>
        <v>Cartel PVC 21x29 STOP</v>
      </c>
      <c r="C182" s="4">
        <f>IFERROR(__xludf.DUMMYFUNCTION("""COMPUTED_VALUE"""),1.536)</f>
        <v>1.536</v>
      </c>
      <c r="D182" s="4">
        <f>IFERROR(__xludf.DUMMYFUNCTION("""COMPUTED_VALUE"""),1.2)</f>
        <v>1.2</v>
      </c>
      <c r="E182" s="4" t="str">
        <f>IFERROR(__xludf.DUMMYFUNCTION("""COMPUTED_VALUE"""),"Neto: 1,20 € (a partir de 1 uds.)")</f>
        <v>Neto: 1,20 € (a partir de 1 uds.)</v>
      </c>
    </row>
    <row r="183">
      <c r="A183" s="4" t="str">
        <f>IFERROR(__xludf.DUMMYFUNCTION("""COMPUTED_VALUE"""),"250")</f>
        <v>250</v>
      </c>
      <c r="B183" s="4" t="str">
        <f>IFERROR(__xludf.DUMMYFUNCTION("""COMPUTED_VALUE"""),"Cartel PVC 40x30 (Peligro Indefinido)")</f>
        <v>Cartel PVC 40x30 (Peligro Indefinido)</v>
      </c>
      <c r="C183" s="4">
        <f>IFERROR(__xludf.DUMMYFUNCTION("""COMPUTED_VALUE"""),2.3808)</f>
        <v>2.3808</v>
      </c>
      <c r="D183" s="4">
        <f>IFERROR(__xludf.DUMMYFUNCTION("""COMPUTED_VALUE"""),1.8)</f>
        <v>1.8</v>
      </c>
      <c r="E183" s="4" t="str">
        <f>IFERROR(__xludf.DUMMYFUNCTION("""COMPUTED_VALUE"""),"Neto: 1,80 € (a partir de 1 uds.)")</f>
        <v>Neto: 1,80 € (a partir de 1 uds.)</v>
      </c>
    </row>
    <row r="184">
      <c r="A184" s="4" t="str">
        <f>IFERROR(__xludf.DUMMYFUNCTION("""COMPUTED_VALUE"""),"0250P")</f>
        <v>0250P</v>
      </c>
      <c r="B184" s="4" t="str">
        <f>IFERROR(__xludf.DUMMYFUNCTION("""COMPUTED_VALUE"""),"Cartel PVC 21x29 PELIGRO")</f>
        <v>Cartel PVC 21x29 PELIGRO</v>
      </c>
      <c r="C184" s="4">
        <f>IFERROR(__xludf.DUMMYFUNCTION("""COMPUTED_VALUE"""),1.536)</f>
        <v>1.536</v>
      </c>
      <c r="D184" s="4">
        <f>IFERROR(__xludf.DUMMYFUNCTION("""COMPUTED_VALUE"""),1.2)</f>
        <v>1.2</v>
      </c>
      <c r="E184" s="4" t="str">
        <f>IFERROR(__xludf.DUMMYFUNCTION("""COMPUTED_VALUE"""),"Neto: 1,20 € (a partir de 1 uds.)")</f>
        <v>Neto: 1,20 € (a partir de 1 uds.)</v>
      </c>
    </row>
    <row r="185">
      <c r="A185" s="4" t="str">
        <f>IFERROR(__xludf.DUMMYFUNCTION("""COMPUTED_VALUE"""),"251")</f>
        <v>251</v>
      </c>
      <c r="B185" s="4" t="str">
        <f>IFERROR(__xludf.DUMMYFUNCTION("""COMPUTED_VALUE"""),"Cartel PVC 40x30 (Vado Permanente)")</f>
        <v>Cartel PVC 40x30 (Vado Permanente)</v>
      </c>
      <c r="C185" s="4">
        <f>IFERROR(__xludf.DUMMYFUNCTION("""COMPUTED_VALUE"""),2.3808)</f>
        <v>2.3808</v>
      </c>
      <c r="D185" s="4">
        <f>IFERROR(__xludf.DUMMYFUNCTION("""COMPUTED_VALUE"""),1.8)</f>
        <v>1.8</v>
      </c>
      <c r="E185" s="4" t="str">
        <f>IFERROR(__xludf.DUMMYFUNCTION("""COMPUTED_VALUE"""),"Neto: 1,80 € (a partir de 1 uds.)")</f>
        <v>Neto: 1,80 € (a partir de 1 uds.)</v>
      </c>
    </row>
    <row r="186">
      <c r="A186" s="4" t="str">
        <f>IFERROR(__xludf.DUMMYFUNCTION("""COMPUTED_VALUE"""),"0251P")</f>
        <v>0251P</v>
      </c>
      <c r="B186" s="4" t="str">
        <f>IFERROR(__xludf.DUMMYFUNCTION("""COMPUTED_VALUE"""),"Cartel PVC 21x29 VADO PERMANENTE")</f>
        <v>Cartel PVC 21x29 VADO PERMANENTE</v>
      </c>
      <c r="C186" s="4">
        <f>IFERROR(__xludf.DUMMYFUNCTION("""COMPUTED_VALUE"""),1.536)</f>
        <v>1.536</v>
      </c>
      <c r="D186" s="4">
        <f>IFERROR(__xludf.DUMMYFUNCTION("""COMPUTED_VALUE"""),1.2)</f>
        <v>1.2</v>
      </c>
      <c r="E186" s="4" t="str">
        <f>IFERROR(__xludf.DUMMYFUNCTION("""COMPUTED_VALUE"""),"Neto: 1,20 € (a partir de 1 uds.)")</f>
        <v>Neto: 1,20 € (a partir de 1 uds.)</v>
      </c>
    </row>
    <row r="187">
      <c r="A187" s="4" t="str">
        <f>IFERROR(__xludf.DUMMYFUNCTION("""COMPUTED_VALUE"""),"252")</f>
        <v>252</v>
      </c>
      <c r="B187" s="4" t="str">
        <f>IFERROR(__xludf.DUMMYFUNCTION("""COMPUTED_VALUE"""),"Cartel PVC 40x30 (Riesgo Atrapamiento)")</f>
        <v>Cartel PVC 40x30 (Riesgo Atrapamiento)</v>
      </c>
      <c r="C187" s="4">
        <f>IFERROR(__xludf.DUMMYFUNCTION("""COMPUTED_VALUE"""),2.3808)</f>
        <v>2.3808</v>
      </c>
      <c r="D187" s="4">
        <f>IFERROR(__xludf.DUMMYFUNCTION("""COMPUTED_VALUE"""),1.8)</f>
        <v>1.8</v>
      </c>
      <c r="E187" s="4" t="str">
        <f>IFERROR(__xludf.DUMMYFUNCTION("""COMPUTED_VALUE"""),"Neto: 1,80 € (a partir de 1 uds.)")</f>
        <v>Neto: 1,80 € (a partir de 1 uds.)</v>
      </c>
    </row>
    <row r="188">
      <c r="A188" s="4" t="str">
        <f>IFERROR(__xludf.DUMMYFUNCTION("""COMPUTED_VALUE"""),"0252P")</f>
        <v>0252P</v>
      </c>
      <c r="B188" s="4" t="str">
        <f>IFERROR(__xludf.DUMMYFUNCTION("""COMPUTED_VALUE"""),"Cartel PVC 21x29 ATENCION RIESGO DE ATRAPAMIENTO")</f>
        <v>Cartel PVC 21x29 ATENCION RIESGO DE ATRAPAMIENTO</v>
      </c>
      <c r="C188" s="4">
        <f>IFERROR(__xludf.DUMMYFUNCTION("""COMPUTED_VALUE"""),1.536)</f>
        <v>1.536</v>
      </c>
      <c r="D188" s="4">
        <f>IFERROR(__xludf.DUMMYFUNCTION("""COMPUTED_VALUE"""),1.2)</f>
        <v>1.2</v>
      </c>
      <c r="E188" s="4" t="str">
        <f>IFERROR(__xludf.DUMMYFUNCTION("""COMPUTED_VALUE"""),"Neto: 1,20 € (a partir de 1 uds.)")</f>
        <v>Neto: 1,20 € (a partir de 1 uds.)</v>
      </c>
    </row>
    <row r="189">
      <c r="A189" s="4" t="str">
        <f>IFERROR(__xludf.DUMMYFUNCTION("""COMPUTED_VALUE"""),"253")</f>
        <v>253</v>
      </c>
      <c r="B189" s="4" t="str">
        <f>IFERROR(__xludf.DUMMYFUNCTION("""COMPUTED_VALUE"""),"Cartel PVC 40x30 (Proh. paso empresa)")</f>
        <v>Cartel PVC 40x30 (Proh. paso empresa)</v>
      </c>
      <c r="C189" s="4">
        <f>IFERROR(__xludf.DUMMYFUNCTION("""COMPUTED_VALUE"""),2.3808)</f>
        <v>2.3808</v>
      </c>
      <c r="D189" s="4">
        <f>IFERROR(__xludf.DUMMYFUNCTION("""COMPUTED_VALUE"""),1.8)</f>
        <v>1.8</v>
      </c>
      <c r="E189" s="4" t="str">
        <f>IFERROR(__xludf.DUMMYFUNCTION("""COMPUTED_VALUE"""),"Neto: 1,80 € (a partir de 1 uds.)")</f>
        <v>Neto: 1,80 € (a partir de 1 uds.)</v>
      </c>
    </row>
    <row r="190">
      <c r="A190" s="4" t="str">
        <f>IFERROR(__xludf.DUMMYFUNCTION("""COMPUTED_VALUE"""),"0253P")</f>
        <v>0253P</v>
      </c>
      <c r="B190" s="4" t="str">
        <f>IFERROR(__xludf.DUMMYFUNCTION("""COMPUTED_VALUE"""),"Cartel PVC 21x29 PROHIBIDO PASO PERSONA AJENA")</f>
        <v>Cartel PVC 21x29 PROHIBIDO PASO PERSONA AJENA</v>
      </c>
      <c r="C190" s="4">
        <f>IFERROR(__xludf.DUMMYFUNCTION("""COMPUTED_VALUE"""),1.536)</f>
        <v>1.536</v>
      </c>
      <c r="D190" s="4">
        <f>IFERROR(__xludf.DUMMYFUNCTION("""COMPUTED_VALUE"""),1.2)</f>
        <v>1.2</v>
      </c>
      <c r="E190" s="4" t="str">
        <f>IFERROR(__xludf.DUMMYFUNCTION("""COMPUTED_VALUE"""),"Neto: 1,20 € (a partir de 1 uds.)")</f>
        <v>Neto: 1,20 € (a partir de 1 uds.)</v>
      </c>
    </row>
    <row r="191">
      <c r="A191" s="4" t="str">
        <f>IFERROR(__xludf.DUMMYFUNCTION("""COMPUTED_VALUE"""),"255")</f>
        <v>255</v>
      </c>
      <c r="B191" s="4" t="str">
        <f>IFERROR(__xludf.DUMMYFUNCTION("""COMPUTED_VALUE"""),"Cartel PVC 40x30 (Temperatura elevada)")</f>
        <v>Cartel PVC 40x30 (Temperatura elevada)</v>
      </c>
      <c r="C191" s="4">
        <f>IFERROR(__xludf.DUMMYFUNCTION("""COMPUTED_VALUE"""),2.3808)</f>
        <v>2.3808</v>
      </c>
      <c r="D191" s="4">
        <f>IFERROR(__xludf.DUMMYFUNCTION("""COMPUTED_VALUE"""),1.8)</f>
        <v>1.8</v>
      </c>
      <c r="E191" s="4" t="str">
        <f>IFERROR(__xludf.DUMMYFUNCTION("""COMPUTED_VALUE"""),"Neto: 1,80 € (a partir de 1 uds.)")</f>
        <v>Neto: 1,80 € (a partir de 1 uds.)</v>
      </c>
    </row>
    <row r="192">
      <c r="A192" s="4" t="str">
        <f>IFERROR(__xludf.DUMMYFUNCTION("""COMPUTED_VALUE"""),"0255P")</f>
        <v>0255P</v>
      </c>
      <c r="B192" s="4" t="str">
        <f>IFERROR(__xludf.DUMMYFUNCTION("""COMPUTED_VALUE"""),"Cartel PVC 21x29 TEMPERATURA ELEVADA")</f>
        <v>Cartel PVC 21x29 TEMPERATURA ELEVADA</v>
      </c>
      <c r="C192" s="4">
        <f>IFERROR(__xludf.DUMMYFUNCTION("""COMPUTED_VALUE"""),1.536)</f>
        <v>1.536</v>
      </c>
      <c r="D192" s="4">
        <f>IFERROR(__xludf.DUMMYFUNCTION("""COMPUTED_VALUE"""),1.2)</f>
        <v>1.2</v>
      </c>
      <c r="E192" s="4" t="str">
        <f>IFERROR(__xludf.DUMMYFUNCTION("""COMPUTED_VALUE"""),"Neto: 1,20 € (a partir de 1 uds.)")</f>
        <v>Neto: 1,20 € (a partir de 1 uds.)</v>
      </c>
    </row>
    <row r="193">
      <c r="A193" s="4" t="str">
        <f>IFERROR(__xludf.DUMMYFUNCTION("""COMPUTED_VALUE"""),"256")</f>
        <v>256</v>
      </c>
      <c r="B193" s="4" t="str">
        <f>IFERROR(__xludf.DUMMYFUNCTION("""COMPUTED_VALUE"""),"Cartel PVC 40x30 Fotolum. Botiquin")</f>
        <v>Cartel PVC 40x30 Fotolum. Botiquin</v>
      </c>
      <c r="C193" s="4">
        <f>IFERROR(__xludf.DUMMYFUNCTION("""COMPUTED_VALUE"""),3.2159999999999997)</f>
        <v>3.216</v>
      </c>
      <c r="D193" s="4">
        <f>IFERROR(__xludf.DUMMYFUNCTION("""COMPUTED_VALUE"""),3.2)</f>
        <v>3.2</v>
      </c>
      <c r="E193" s="4" t="str">
        <f>IFERROR(__xludf.DUMMYFUNCTION("""COMPUTED_VALUE"""),"Neto: 3,20 € (a partir de 1 uds.)")</f>
        <v>Neto: 3,20 € (a partir de 1 uds.)</v>
      </c>
    </row>
    <row r="194">
      <c r="A194" s="4" t="str">
        <f>IFERROR(__xludf.DUMMYFUNCTION("""COMPUTED_VALUE"""),"257")</f>
        <v>257</v>
      </c>
      <c r="B194" s="4" t="str">
        <f>IFERROR(__xludf.DUMMYFUNCTION("""COMPUTED_VALUE"""),"Cartel PVC 40x30 (Riesgo desprendimiento)")</f>
        <v>Cartel PVC 40x30 (Riesgo desprendimiento)</v>
      </c>
      <c r="C194" s="4">
        <f>IFERROR(__xludf.DUMMYFUNCTION("""COMPUTED_VALUE"""),2.3808)</f>
        <v>2.3808</v>
      </c>
      <c r="D194" s="4">
        <f>IFERROR(__xludf.DUMMYFUNCTION("""COMPUTED_VALUE"""),1.8)</f>
        <v>1.8</v>
      </c>
      <c r="E194" s="4" t="str">
        <f>IFERROR(__xludf.DUMMYFUNCTION("""COMPUTED_VALUE"""),"Neto: 1,80 € (a partir de 1 uds.)")</f>
        <v>Neto: 1,80 € (a partir de 1 uds.)</v>
      </c>
    </row>
    <row r="195">
      <c r="A195" s="4" t="str">
        <f>IFERROR(__xludf.DUMMYFUNCTION("""COMPUTED_VALUE"""),"0257P")</f>
        <v>0257P</v>
      </c>
      <c r="B195" s="4" t="str">
        <f>IFERROR(__xludf.DUMMYFUNCTION("""COMPUTED_VALUE"""),"Cartel PVC 21x29 RIESGO DESPRENDIMIENTOS")</f>
        <v>Cartel PVC 21x29 RIESGO DESPRENDIMIENTOS</v>
      </c>
      <c r="C195" s="4">
        <f>IFERROR(__xludf.DUMMYFUNCTION("""COMPUTED_VALUE"""),1.536)</f>
        <v>1.536</v>
      </c>
      <c r="D195" s="4">
        <f>IFERROR(__xludf.DUMMYFUNCTION("""COMPUTED_VALUE"""),1.2)</f>
        <v>1.2</v>
      </c>
      <c r="E195" s="4" t="str">
        <f>IFERROR(__xludf.DUMMYFUNCTION("""COMPUTED_VALUE"""),"Neto: 1,20 € (a partir de 1 uds.)")</f>
        <v>Neto: 1,20 € (a partir de 1 uds.)</v>
      </c>
    </row>
    <row r="196">
      <c r="A196" s="4" t="str">
        <f>IFERROR(__xludf.DUMMYFUNCTION("""COMPUTED_VALUE"""),"0258A")</f>
        <v>0258A</v>
      </c>
      <c r="B196" s="4" t="str">
        <f>IFERROR(__xludf.DUMMYFUNCTION("""COMPUTED_VALUE"""),"Cartel PVC 21x30 Fotolum. Pulsador de Alarma")</f>
        <v>Cartel PVC 21x30 Fotolum. Pulsador de Alarma</v>
      </c>
      <c r="C196" s="4">
        <f>IFERROR(__xludf.DUMMYFUNCTION("""COMPUTED_VALUE"""),2.4192)</f>
        <v>2.4192</v>
      </c>
      <c r="D196" s="4">
        <f>IFERROR(__xludf.DUMMYFUNCTION("""COMPUTED_VALUE"""),2.1)</f>
        <v>2.1</v>
      </c>
      <c r="E196" s="4" t="str">
        <f>IFERROR(__xludf.DUMMYFUNCTION("""COMPUTED_VALUE"""),"Neto: 2,10 € (a partir de 1 uds.)")</f>
        <v>Neto: 2,10 € (a partir de 1 uds.)</v>
      </c>
    </row>
    <row r="197">
      <c r="A197" s="4" t="str">
        <f>IFERROR(__xludf.DUMMYFUNCTION("""COMPUTED_VALUE"""),"0258B")</f>
        <v>0258B</v>
      </c>
      <c r="B197" s="4" t="str">
        <f>IFERROR(__xludf.DUMMYFUNCTION("""COMPUTED_VALUE"""),"Cartel PVC 40x30 Fotolum. Pulsador de Alarma")</f>
        <v>Cartel PVC 40x30 Fotolum. Pulsador de Alarma</v>
      </c>
      <c r="C197" s="4">
        <f>IFERROR(__xludf.DUMMYFUNCTION("""COMPUTED_VALUE"""),2.976)</f>
        <v>2.976</v>
      </c>
      <c r="D197" s="4">
        <f>IFERROR(__xludf.DUMMYFUNCTION("""COMPUTED_VALUE"""),3.2)</f>
        <v>3.2</v>
      </c>
      <c r="E197" s="4" t="str">
        <f>IFERROR(__xludf.DUMMYFUNCTION("""COMPUTED_VALUE"""),"Neto: 3,20 € (a partir de 1 uds.)")</f>
        <v>Neto: 3,20 € (a partir de 1 uds.)</v>
      </c>
    </row>
    <row r="198">
      <c r="A198" s="4" t="str">
        <f>IFERROR(__xludf.DUMMYFUNCTION("""COMPUTED_VALUE"""),"259")</f>
        <v>259</v>
      </c>
      <c r="B198" s="4" t="str">
        <f>IFERROR(__xludf.DUMMYFUNCTION("""COMPUTED_VALUE"""),"Cartel PVC 40x30 Prohib. depositar materiales")</f>
        <v>Cartel PVC 40x30 Prohib. depositar materiales</v>
      </c>
      <c r="C198" s="4">
        <f>IFERROR(__xludf.DUMMYFUNCTION("""COMPUTED_VALUE"""),2.3808)</f>
        <v>2.3808</v>
      </c>
      <c r="D198" s="4">
        <f>IFERROR(__xludf.DUMMYFUNCTION("""COMPUTED_VALUE"""),1.8)</f>
        <v>1.8</v>
      </c>
      <c r="E198" s="4" t="str">
        <f>IFERROR(__xludf.DUMMYFUNCTION("""COMPUTED_VALUE"""),"Neto: 1,80 € (a partir de 1 uds.)")</f>
        <v>Neto: 1,80 € (a partir de 1 uds.)</v>
      </c>
    </row>
    <row r="199">
      <c r="A199" s="4" t="str">
        <f>IFERROR(__xludf.DUMMYFUNCTION("""COMPUTED_VALUE"""),"0259P")</f>
        <v>0259P</v>
      </c>
      <c r="B199" s="4" t="str">
        <f>IFERROR(__xludf.DUMMYFUNCTION("""COMPUTED_VALUE"""),"Cartel PVC 21x29 PROHIBIDO DEPOSITAR MATERIALES")</f>
        <v>Cartel PVC 21x29 PROHIBIDO DEPOSITAR MATERIALES</v>
      </c>
      <c r="C199" s="4">
        <f>IFERROR(__xludf.DUMMYFUNCTION("""COMPUTED_VALUE"""),1.536)</f>
        <v>1.536</v>
      </c>
      <c r="D199" s="4">
        <f>IFERROR(__xludf.DUMMYFUNCTION("""COMPUTED_VALUE"""),1.2)</f>
        <v>1.2</v>
      </c>
      <c r="E199" s="4" t="str">
        <f>IFERROR(__xludf.DUMMYFUNCTION("""COMPUTED_VALUE"""),"Neto: 1,20 € (a partir de 1 uds.)")</f>
        <v>Neto: 1,20 € (a partir de 1 uds.)</v>
      </c>
    </row>
    <row r="200">
      <c r="A200" s="4" t="str">
        <f>IFERROR(__xludf.DUMMYFUNCTION("""COMPUTED_VALUE"""),"260")</f>
        <v>260</v>
      </c>
      <c r="B200" s="4" t="str">
        <f>IFERROR(__xludf.DUMMYFUNCTION("""COMPUTED_VALUE"""),"Cartel PVC 40x30 Caida de Objetos")</f>
        <v>Cartel PVC 40x30 Caida de Objetos</v>
      </c>
      <c r="C200" s="4">
        <f>IFERROR(__xludf.DUMMYFUNCTION("""COMPUTED_VALUE"""),2.3808)</f>
        <v>2.3808</v>
      </c>
      <c r="D200" s="4">
        <f>IFERROR(__xludf.DUMMYFUNCTION("""COMPUTED_VALUE"""),1.8)</f>
        <v>1.8</v>
      </c>
      <c r="E200" s="4" t="str">
        <f>IFERROR(__xludf.DUMMYFUNCTION("""COMPUTED_VALUE"""),"Neto: 1,80 € (a partir de 1 uds.)")</f>
        <v>Neto: 1,80 € (a partir de 1 uds.)</v>
      </c>
    </row>
    <row r="201">
      <c r="A201" s="4" t="str">
        <f>IFERROR(__xludf.DUMMYFUNCTION("""COMPUTED_VALUE"""),"0260P")</f>
        <v>0260P</v>
      </c>
      <c r="B201" s="4" t="str">
        <f>IFERROR(__xludf.DUMMYFUNCTION("""COMPUTED_VALUE"""),"Cartel PVC 21x29 PELIGRO CAIDA DE OBJETOS")</f>
        <v>Cartel PVC 21x29 PELIGRO CAIDA DE OBJETOS</v>
      </c>
      <c r="C201" s="4">
        <f>IFERROR(__xludf.DUMMYFUNCTION("""COMPUTED_VALUE"""),1.536)</f>
        <v>1.536</v>
      </c>
      <c r="D201" s="4">
        <f>IFERROR(__xludf.DUMMYFUNCTION("""COMPUTED_VALUE"""),1.2)</f>
        <v>1.2</v>
      </c>
      <c r="E201" s="4" t="str">
        <f>IFERROR(__xludf.DUMMYFUNCTION("""COMPUTED_VALUE"""),"Neto: 1,20 € (a partir de 1 uds.)")</f>
        <v>Neto: 1,20 € (a partir de 1 uds.)</v>
      </c>
    </row>
    <row r="202">
      <c r="A202" s="4" t="str">
        <f>IFERROR(__xludf.DUMMYFUNCTION("""COMPUTED_VALUE"""),"261")</f>
        <v>261</v>
      </c>
      <c r="B202" s="4" t="str">
        <f>IFERROR(__xludf.DUMMYFUNCTION("""COMPUTED_VALUE"""),"Cartel PVC 40x30 Fotolum. Aseos Mujeres")</f>
        <v>Cartel PVC 40x30 Fotolum. Aseos Mujeres</v>
      </c>
      <c r="C202" s="4">
        <f>IFERROR(__xludf.DUMMYFUNCTION("""COMPUTED_VALUE"""),3.2159999999999997)</f>
        <v>3.216</v>
      </c>
      <c r="D202" s="4">
        <f>IFERROR(__xludf.DUMMYFUNCTION("""COMPUTED_VALUE"""),3.2)</f>
        <v>3.2</v>
      </c>
      <c r="E202" s="4" t="str">
        <f>IFERROR(__xludf.DUMMYFUNCTION("""COMPUTED_VALUE"""),"Neto: 3,20 € (a partir de 1 uds.)")</f>
        <v>Neto: 3,20 € (a partir de 1 uds.)</v>
      </c>
    </row>
    <row r="203">
      <c r="A203" s="4" t="str">
        <f>IFERROR(__xludf.DUMMYFUNCTION("""COMPUTED_VALUE"""),"262")</f>
        <v>262</v>
      </c>
      <c r="B203" s="4" t="str">
        <f>IFERROR(__xludf.DUMMYFUNCTION("""COMPUTED_VALUE"""),"Cartel PVC 40x30 Fotolum. Aseos hombres")</f>
        <v>Cartel PVC 40x30 Fotolum. Aseos hombres</v>
      </c>
      <c r="C203" s="4">
        <f>IFERROR(__xludf.DUMMYFUNCTION("""COMPUTED_VALUE"""),3.2159999999999997)</f>
        <v>3.216</v>
      </c>
      <c r="D203" s="4">
        <f>IFERROR(__xludf.DUMMYFUNCTION("""COMPUTED_VALUE"""),3.2)</f>
        <v>3.2</v>
      </c>
      <c r="E203" s="4" t="str">
        <f>IFERROR(__xludf.DUMMYFUNCTION("""COMPUTED_VALUE"""),"Neto: 3,20 € (a partir de 1 uds.)")</f>
        <v>Neto: 3,20 € (a partir de 1 uds.)</v>
      </c>
    </row>
    <row r="204">
      <c r="A204" s="4" t="str">
        <f>IFERROR(__xludf.DUMMYFUNCTION("""COMPUTED_VALUE"""),"263")</f>
        <v>263</v>
      </c>
      <c r="B204" s="4" t="str">
        <f>IFERROR(__xludf.DUMMYFUNCTION("""COMPUTED_VALUE"""),"Cartel PVC 40x30 Fotolum.Aseos Mixtos")</f>
        <v>Cartel PVC 40x30 Fotolum.Aseos Mixtos</v>
      </c>
      <c r="C204" s="4">
        <f>IFERROR(__xludf.DUMMYFUNCTION("""COMPUTED_VALUE"""),3.2159999999999997)</f>
        <v>3.216</v>
      </c>
      <c r="D204" s="4">
        <f>IFERROR(__xludf.DUMMYFUNCTION("""COMPUTED_VALUE"""),3.2)</f>
        <v>3.2</v>
      </c>
      <c r="E204" s="4" t="str">
        <f>IFERROR(__xludf.DUMMYFUNCTION("""COMPUTED_VALUE"""),"Neto: 3,20 € (a partir de 1 uds.)")</f>
        <v>Neto: 3,20 € (a partir de 1 uds.)</v>
      </c>
    </row>
    <row r="205">
      <c r="A205" s="4" t="str">
        <f>IFERROR(__xludf.DUMMYFUNCTION("""COMPUTED_VALUE"""),"264")</f>
        <v>264</v>
      </c>
      <c r="B205" s="4" t="str">
        <f>IFERROR(__xludf.DUMMYFUNCTION("""COMPUTED_VALUE"""),"Cartel PVC 40X30 Fotolum. Salida de Emergencia")</f>
        <v>Cartel PVC 40X30 Fotolum. Salida de Emergencia</v>
      </c>
      <c r="C205" s="4">
        <f>IFERROR(__xludf.DUMMYFUNCTION("""COMPUTED_VALUE"""),3.2159999999999997)</f>
        <v>3.216</v>
      </c>
      <c r="D205" s="4">
        <f>IFERROR(__xludf.DUMMYFUNCTION("""COMPUTED_VALUE"""),3.2)</f>
        <v>3.2</v>
      </c>
      <c r="E205" s="4" t="str">
        <f>IFERROR(__xludf.DUMMYFUNCTION("""COMPUTED_VALUE"""),"Neto: 3,20 € (a partir de 1 uds.)")</f>
        <v>Neto: 3,20 € (a partir de 1 uds.)</v>
      </c>
    </row>
    <row r="206">
      <c r="A206" s="4" t="str">
        <f>IFERROR(__xludf.DUMMYFUNCTION("""COMPUTED_VALUE"""),"265")</f>
        <v>265</v>
      </c>
      <c r="B206" s="4" t="str">
        <f>IFERROR(__xludf.DUMMYFUNCTION("""COMPUTED_VALUE"""),"Cartel PVC 40x30 Perro Peligroso")</f>
        <v>Cartel PVC 40x30 Perro Peligroso</v>
      </c>
      <c r="C206" s="4">
        <f>IFERROR(__xludf.DUMMYFUNCTION("""COMPUTED_VALUE"""),2.3808)</f>
        <v>2.3808</v>
      </c>
      <c r="D206" s="4">
        <f>IFERROR(__xludf.DUMMYFUNCTION("""COMPUTED_VALUE"""),1.8)</f>
        <v>1.8</v>
      </c>
      <c r="E206" s="4" t="str">
        <f>IFERROR(__xludf.DUMMYFUNCTION("""COMPUTED_VALUE"""),"Neto: 1,80 € (a partir de 1 uds.)")</f>
        <v>Neto: 1,80 € (a partir de 1 uds.)</v>
      </c>
    </row>
    <row r="207">
      <c r="A207" s="4" t="str">
        <f>IFERROR(__xludf.DUMMYFUNCTION("""COMPUTED_VALUE"""),"0265P")</f>
        <v>0265P</v>
      </c>
      <c r="B207" s="4" t="str">
        <f>IFERROR(__xludf.DUMMYFUNCTION("""COMPUTED_VALUE"""),"Cartel PVC 21x29 PERRO PELIGROSO")</f>
        <v>Cartel PVC 21x29 PERRO PELIGROSO</v>
      </c>
      <c r="C207" s="4">
        <f>IFERROR(__xludf.DUMMYFUNCTION("""COMPUTED_VALUE"""),1.536)</f>
        <v>1.536</v>
      </c>
      <c r="D207" s="4">
        <f>IFERROR(__xludf.DUMMYFUNCTION("""COMPUTED_VALUE"""),1.2)</f>
        <v>1.2</v>
      </c>
      <c r="E207" s="4" t="str">
        <f>IFERROR(__xludf.DUMMYFUNCTION("""COMPUTED_VALUE"""),"Neto: 1,20 € (a partir de 1 uds.)")</f>
        <v>Neto: 1,20 € (a partir de 1 uds.)</v>
      </c>
    </row>
    <row r="208">
      <c r="A208" s="4" t="str">
        <f>IFERROR(__xludf.DUMMYFUNCTION("""COMPUTED_VALUE"""),"266")</f>
        <v>266</v>
      </c>
      <c r="B208" s="4" t="str">
        <f>IFERROR(__xludf.DUMMYFUNCTION("""COMPUTED_VALUE"""),"Cartel PVC 40x30 Peligro zona minera")</f>
        <v>Cartel PVC 40x30 Peligro zona minera</v>
      </c>
      <c r="C208" s="4">
        <f>IFERROR(__xludf.DUMMYFUNCTION("""COMPUTED_VALUE"""),2.3808)</f>
        <v>2.3808</v>
      </c>
      <c r="D208" s="4">
        <f>IFERROR(__xludf.DUMMYFUNCTION("""COMPUTED_VALUE"""),1.8)</f>
        <v>1.8</v>
      </c>
      <c r="E208" s="4" t="str">
        <f>IFERROR(__xludf.DUMMYFUNCTION("""COMPUTED_VALUE"""),"Neto: 1,80 € (a partir de 1 uds.)")</f>
        <v>Neto: 1,80 € (a partir de 1 uds.)</v>
      </c>
    </row>
    <row r="209">
      <c r="A209" s="4" t="str">
        <f>IFERROR(__xludf.DUMMYFUNCTION("""COMPUTED_VALUE"""),"0266P")</f>
        <v>0266P</v>
      </c>
      <c r="B209" s="4" t="str">
        <f>IFERROR(__xludf.DUMMYFUNCTION("""COMPUTED_VALUE"""),"Cartel PVC 21x29 PELIGRO ZONA MINERA")</f>
        <v>Cartel PVC 21x29 PELIGRO ZONA MINERA</v>
      </c>
      <c r="C209" s="4">
        <f>IFERROR(__xludf.DUMMYFUNCTION("""COMPUTED_VALUE"""),1.536)</f>
        <v>1.536</v>
      </c>
      <c r="D209" s="4">
        <f>IFERROR(__xludf.DUMMYFUNCTION("""COMPUTED_VALUE"""),1.2)</f>
        <v>1.2</v>
      </c>
      <c r="E209" s="4" t="str">
        <f>IFERROR(__xludf.DUMMYFUNCTION("""COMPUTED_VALUE"""),"Neto: 1,20 € (a partir de 1 uds.)")</f>
        <v>Neto: 1,20 € (a partir de 1 uds.)</v>
      </c>
    </row>
    <row r="210">
      <c r="A210" s="4" t="str">
        <f>IFERROR(__xludf.DUMMYFUNCTION("""COMPUTED_VALUE"""),"267")</f>
        <v>267</v>
      </c>
      <c r="B210" s="4" t="str">
        <f>IFERROR(__xludf.DUMMYFUNCTION("""COMPUTED_VALUE"""),"Cartel PVC 40x30 Vehiculo Pesado")</f>
        <v>Cartel PVC 40x30 Vehiculo Pesado</v>
      </c>
      <c r="C210" s="4">
        <f>IFERROR(__xludf.DUMMYFUNCTION("""COMPUTED_VALUE"""),2.3808)</f>
        <v>2.3808</v>
      </c>
      <c r="D210" s="4">
        <f>IFERROR(__xludf.DUMMYFUNCTION("""COMPUTED_VALUE"""),1.8)</f>
        <v>1.8</v>
      </c>
      <c r="E210" s="4" t="str">
        <f>IFERROR(__xludf.DUMMYFUNCTION("""COMPUTED_VALUE"""),"Neto: 1,80 € (a partir de 1 uds.)")</f>
        <v>Neto: 1,80 € (a partir de 1 uds.)</v>
      </c>
    </row>
    <row r="211">
      <c r="A211" s="4" t="str">
        <f>IFERROR(__xludf.DUMMYFUNCTION("""COMPUTED_VALUE"""),"0267P")</f>
        <v>0267P</v>
      </c>
      <c r="B211" s="4" t="str">
        <f>IFERROR(__xludf.DUMMYFUNCTION("""COMPUTED_VALUE"""),"Cartel PVC 21x29 VEHICULO PESADO")</f>
        <v>Cartel PVC 21x29 VEHICULO PESADO</v>
      </c>
      <c r="C211" s="4">
        <f>IFERROR(__xludf.DUMMYFUNCTION("""COMPUTED_VALUE"""),1.536)</f>
        <v>1.536</v>
      </c>
      <c r="D211" s="4">
        <f>IFERROR(__xludf.DUMMYFUNCTION("""COMPUTED_VALUE"""),1.2)</f>
        <v>1.2</v>
      </c>
      <c r="E211" s="4" t="str">
        <f>IFERROR(__xludf.DUMMYFUNCTION("""COMPUTED_VALUE"""),"Neto: 1,20 € (a partir de 1 uds.)")</f>
        <v>Neto: 1,20 € (a partir de 1 uds.)</v>
      </c>
    </row>
    <row r="212">
      <c r="A212" s="4" t="str">
        <f>IFERROR(__xludf.DUMMYFUNCTION("""COMPUTED_VALUE"""),"268")</f>
        <v>268</v>
      </c>
      <c r="B212" s="4" t="str">
        <f>IFERROR(__xludf.DUMMYFUNCTION("""COMPUTED_VALUE"""),"Cartel PVC 40x30 Peligro Expulsion de Material")</f>
        <v>Cartel PVC 40x30 Peligro Expulsion de Material</v>
      </c>
      <c r="C212" s="4">
        <f>IFERROR(__xludf.DUMMYFUNCTION("""COMPUTED_VALUE"""),2.3808)</f>
        <v>2.3808</v>
      </c>
      <c r="D212" s="4">
        <f>IFERROR(__xludf.DUMMYFUNCTION("""COMPUTED_VALUE"""),1.8)</f>
        <v>1.8</v>
      </c>
      <c r="E212" s="4" t="str">
        <f>IFERROR(__xludf.DUMMYFUNCTION("""COMPUTED_VALUE"""),"Neto: 1,80 € (a partir de 1 uds.)")</f>
        <v>Neto: 1,80 € (a partir de 1 uds.)</v>
      </c>
    </row>
    <row r="213">
      <c r="A213" s="4" t="str">
        <f>IFERROR(__xludf.DUMMYFUNCTION("""COMPUTED_VALUE"""),"0268P")</f>
        <v>0268P</v>
      </c>
      <c r="B213" s="4" t="str">
        <f>IFERROR(__xludf.DUMMYFUNCTION("""COMPUTED_VALUE"""),"Cartel PVC 21x29 PELIGRO EXPUL.MATERIAL")</f>
        <v>Cartel PVC 21x29 PELIGRO EXPUL.MATERIAL</v>
      </c>
      <c r="C213" s="4">
        <f>IFERROR(__xludf.DUMMYFUNCTION("""COMPUTED_VALUE"""),1.536)</f>
        <v>1.536</v>
      </c>
      <c r="D213" s="4">
        <f>IFERROR(__xludf.DUMMYFUNCTION("""COMPUTED_VALUE"""),1.2)</f>
        <v>1.2</v>
      </c>
      <c r="E213" s="4" t="str">
        <f>IFERROR(__xludf.DUMMYFUNCTION("""COMPUTED_VALUE"""),"Neto: 1,20 € (a partir de 1 uds.)")</f>
        <v>Neto: 1,20 € (a partir de 1 uds.)</v>
      </c>
    </row>
    <row r="214">
      <c r="A214" s="4" t="str">
        <f>IFERROR(__xludf.DUMMYFUNCTION("""COMPUTED_VALUE"""),"269")</f>
        <v>269</v>
      </c>
      <c r="B214" s="4" t="str">
        <f>IFERROR(__xludf.DUMMYFUNCTION("""COMPUTED_VALUE"""),"Cartel PVC 40x30 Atencion Mecanismo Accionado a distancia")</f>
        <v>Cartel PVC 40x30 Atencion Mecanismo Accionado a distancia</v>
      </c>
      <c r="C214" s="4">
        <f>IFERROR(__xludf.DUMMYFUNCTION("""COMPUTED_VALUE"""),2.3808)</f>
        <v>2.3808</v>
      </c>
      <c r="D214" s="4">
        <f>IFERROR(__xludf.DUMMYFUNCTION("""COMPUTED_VALUE"""),1.8)</f>
        <v>1.8</v>
      </c>
      <c r="E214" s="4" t="str">
        <f>IFERROR(__xludf.DUMMYFUNCTION("""COMPUTED_VALUE"""),"Neto: 1,80 € (a partir de 1 uds.)")</f>
        <v>Neto: 1,80 € (a partir de 1 uds.)</v>
      </c>
    </row>
    <row r="215">
      <c r="A215" s="4" t="str">
        <f>IFERROR(__xludf.DUMMYFUNCTION("""COMPUTED_VALUE"""),"0269P")</f>
        <v>0269P</v>
      </c>
      <c r="B215" s="4" t="str">
        <f>IFERROR(__xludf.DUMMYFUNCTION("""COMPUTED_VALUE"""),"Cartel PVC 21x29 ATENCION MECANISMO ACCION.")</f>
        <v>Cartel PVC 21x29 ATENCION MECANISMO ACCION.</v>
      </c>
      <c r="C215" s="4">
        <f>IFERROR(__xludf.DUMMYFUNCTION("""COMPUTED_VALUE"""),1.536)</f>
        <v>1.536</v>
      </c>
      <c r="D215" s="4">
        <f>IFERROR(__xludf.DUMMYFUNCTION("""COMPUTED_VALUE"""),1.2)</f>
        <v>1.2</v>
      </c>
      <c r="E215" s="4" t="str">
        <f>IFERROR(__xludf.DUMMYFUNCTION("""COMPUTED_VALUE"""),"Neto: 1,20 € (a partir de 1 uds.)")</f>
        <v>Neto: 1,20 € (a partir de 1 uds.)</v>
      </c>
    </row>
    <row r="216">
      <c r="A216" s="4" t="str">
        <f>IFERROR(__xludf.DUMMYFUNCTION("""COMPUTED_VALUE"""),"270")</f>
        <v>270</v>
      </c>
      <c r="B216" s="4" t="str">
        <f>IFERROR(__xludf.DUMMYFUNCTION("""COMPUTED_VALUE"""),"Cartel PVC 40x30 Atencion Grua Accionada a distan.")</f>
        <v>Cartel PVC 40x30 Atencion Grua Accionada a distan.</v>
      </c>
      <c r="C216" s="4">
        <f>IFERROR(__xludf.DUMMYFUNCTION("""COMPUTED_VALUE"""),2.3808)</f>
        <v>2.3808</v>
      </c>
      <c r="D216" s="4">
        <f>IFERROR(__xludf.DUMMYFUNCTION("""COMPUTED_VALUE"""),1.8)</f>
        <v>1.8</v>
      </c>
      <c r="E216" s="4" t="str">
        <f>IFERROR(__xludf.DUMMYFUNCTION("""COMPUTED_VALUE"""),"Neto: 1,80 € (a partir de 1 uds.)")</f>
        <v>Neto: 1,80 € (a partir de 1 uds.)</v>
      </c>
    </row>
    <row r="217">
      <c r="A217" s="4" t="str">
        <f>IFERROR(__xludf.DUMMYFUNCTION("""COMPUTED_VALUE"""),"0270P")</f>
        <v>0270P</v>
      </c>
      <c r="B217" s="4" t="str">
        <f>IFERROR(__xludf.DUMMYFUNCTION("""COMPUTED_VALUE"""),"Cartel PVC 21x29 ATENCION GRUA ACCIONADA A")</f>
        <v>Cartel PVC 21x29 ATENCION GRUA ACCIONADA A</v>
      </c>
      <c r="C217" s="4">
        <f>IFERROR(__xludf.DUMMYFUNCTION("""COMPUTED_VALUE"""),1.536)</f>
        <v>1.536</v>
      </c>
      <c r="D217" s="4">
        <f>IFERROR(__xludf.DUMMYFUNCTION("""COMPUTED_VALUE"""),1.2)</f>
        <v>1.2</v>
      </c>
      <c r="E217" s="4" t="str">
        <f>IFERROR(__xludf.DUMMYFUNCTION("""COMPUTED_VALUE"""),"Neto: 1,20 € (a partir de 1 uds.)")</f>
        <v>Neto: 1,20 € (a partir de 1 uds.)</v>
      </c>
    </row>
    <row r="218">
      <c r="A218" s="4" t="str">
        <f>IFERROR(__xludf.DUMMYFUNCTION("""COMPUTED_VALUE"""),"271")</f>
        <v>271</v>
      </c>
      <c r="B218" s="4" t="str">
        <f>IFERROR(__xludf.DUMMYFUNCTION("""COMPUTED_VALUE"""),"Cartel PVC 40x30 EX 40x30 cm")</f>
        <v>Cartel PVC 40x30 EX 40x30 cm</v>
      </c>
      <c r="C218" s="4">
        <f>IFERROR(__xludf.DUMMYFUNCTION("""COMPUTED_VALUE"""),2.3808)</f>
        <v>2.3808</v>
      </c>
      <c r="D218" s="4">
        <f>IFERROR(__xludf.DUMMYFUNCTION("""COMPUTED_VALUE"""),1.8)</f>
        <v>1.8</v>
      </c>
      <c r="E218" s="4" t="str">
        <f>IFERROR(__xludf.DUMMYFUNCTION("""COMPUTED_VALUE"""),"Neto: 1,80 € (a partir de 1 uds.)")</f>
        <v>Neto: 1,80 € (a partir de 1 uds.)</v>
      </c>
    </row>
    <row r="219">
      <c r="A219" s="4" t="str">
        <f>IFERROR(__xludf.DUMMYFUNCTION("""COMPUTED_VALUE"""),"0271P")</f>
        <v>0271P</v>
      </c>
      <c r="B219" s="4" t="str">
        <f>IFERROR(__xludf.DUMMYFUNCTION("""COMPUTED_VALUE"""),"Cartel PVC 21x29 EX 21x29 cm")</f>
        <v>Cartel PVC 21x29 EX 21x29 cm</v>
      </c>
      <c r="C219" s="4">
        <f>IFERROR(__xludf.DUMMYFUNCTION("""COMPUTED_VALUE"""),1.536)</f>
        <v>1.536</v>
      </c>
      <c r="D219" s="4">
        <f>IFERROR(__xludf.DUMMYFUNCTION("""COMPUTED_VALUE"""),1.2)</f>
        <v>1.2</v>
      </c>
      <c r="E219" s="4" t="str">
        <f>IFERROR(__xludf.DUMMYFUNCTION("""COMPUTED_VALUE"""),"Neto: 1,20 € (a partir de 1 uds.)")</f>
        <v>Neto: 1,20 € (a partir de 1 uds.)</v>
      </c>
    </row>
    <row r="220">
      <c r="A220" s="4" t="str">
        <f>IFERROR(__xludf.DUMMYFUNCTION("""COMPUTED_VALUE"""),"272")</f>
        <v>272</v>
      </c>
      <c r="B220" s="4" t="str">
        <f>IFERROR(__xludf.DUMMYFUNCTION("""COMPUTED_VALUE"""),"Cartel PVC 40x30 Peligro Voladuras")</f>
        <v>Cartel PVC 40x30 Peligro Voladuras</v>
      </c>
      <c r="C220" s="4">
        <f>IFERROR(__xludf.DUMMYFUNCTION("""COMPUTED_VALUE"""),2.3808)</f>
        <v>2.3808</v>
      </c>
      <c r="D220" s="4">
        <f>IFERROR(__xludf.DUMMYFUNCTION("""COMPUTED_VALUE"""),1.8)</f>
        <v>1.8</v>
      </c>
      <c r="E220" s="4" t="str">
        <f>IFERROR(__xludf.DUMMYFUNCTION("""COMPUTED_VALUE"""),"Neto: 1,80 € (a partir de 1 uds.)")</f>
        <v>Neto: 1,80 € (a partir de 1 uds.)</v>
      </c>
    </row>
    <row r="221">
      <c r="A221" s="4" t="str">
        <f>IFERROR(__xludf.DUMMYFUNCTION("""COMPUTED_VALUE"""),"0272P")</f>
        <v>0272P</v>
      </c>
      <c r="B221" s="4" t="str">
        <f>IFERROR(__xludf.DUMMYFUNCTION("""COMPUTED_VALUE"""),"Cartel PVC 21x29 PELIGRO VOLADURA")</f>
        <v>Cartel PVC 21x29 PELIGRO VOLADURA</v>
      </c>
      <c r="C221" s="4">
        <f>IFERROR(__xludf.DUMMYFUNCTION("""COMPUTED_VALUE"""),1.536)</f>
        <v>1.536</v>
      </c>
      <c r="D221" s="4">
        <f>IFERROR(__xludf.DUMMYFUNCTION("""COMPUTED_VALUE"""),1.2)</f>
        <v>1.2</v>
      </c>
      <c r="E221" s="4" t="str">
        <f>IFERROR(__xludf.DUMMYFUNCTION("""COMPUTED_VALUE"""),"Neto: 1,20 € (a partir de 1 uds.)")</f>
        <v>Neto: 1,20 € (a partir de 1 uds.)</v>
      </c>
    </row>
    <row r="222">
      <c r="A222" s="4" t="str">
        <f>IFERROR(__xludf.DUMMYFUNCTION("""COMPUTED_VALUE"""),"273")</f>
        <v>273</v>
      </c>
      <c r="B222" s="4" t="str">
        <f>IFERROR(__xludf.DUMMYFUNCTION("""COMPUTED_VALUE"""),"Cartel PVC 40x30 Prohib. Manipular valvula")</f>
        <v>Cartel PVC 40x30 Prohib. Manipular valvula</v>
      </c>
      <c r="C222" s="4">
        <f>IFERROR(__xludf.DUMMYFUNCTION("""COMPUTED_VALUE"""),2.3808)</f>
        <v>2.3808</v>
      </c>
      <c r="D222" s="4">
        <f>IFERROR(__xludf.DUMMYFUNCTION("""COMPUTED_VALUE"""),1.8)</f>
        <v>1.8</v>
      </c>
      <c r="E222" s="4" t="str">
        <f>IFERROR(__xludf.DUMMYFUNCTION("""COMPUTED_VALUE"""),"Neto: 1,80 € (a partir de 1 uds.)")</f>
        <v>Neto: 1,80 € (a partir de 1 uds.)</v>
      </c>
    </row>
    <row r="223">
      <c r="A223" s="4" t="str">
        <f>IFERROR(__xludf.DUMMYFUNCTION("""COMPUTED_VALUE"""),"0273P")</f>
        <v>0273P</v>
      </c>
      <c r="B223" s="4" t="str">
        <f>IFERROR(__xludf.DUMMYFUNCTION("""COMPUTED_VALUE"""),"Cartel PVC 21x29 PROHIBIDO MANIPULAR LA VALVULA")</f>
        <v>Cartel PVC 21x29 PROHIBIDO MANIPULAR LA VALVULA</v>
      </c>
      <c r="C223" s="4">
        <f>IFERROR(__xludf.DUMMYFUNCTION("""COMPUTED_VALUE"""),1.536)</f>
        <v>1.536</v>
      </c>
      <c r="D223" s="4">
        <f>IFERROR(__xludf.DUMMYFUNCTION("""COMPUTED_VALUE"""),1.2)</f>
        <v>1.2</v>
      </c>
      <c r="E223" s="4" t="str">
        <f>IFERROR(__xludf.DUMMYFUNCTION("""COMPUTED_VALUE"""),"Neto: 1,20 € (a partir de 1 uds.)")</f>
        <v>Neto: 1,20 € (a partir de 1 uds.)</v>
      </c>
    </row>
    <row r="224">
      <c r="A224" s="4" t="str">
        <f>IFERROR(__xludf.DUMMYFUNCTION("""COMPUTED_VALUE"""),"274")</f>
        <v>274</v>
      </c>
      <c r="B224" s="4" t="str">
        <f>IFERROR(__xludf.DUMMYFUNCTION("""COMPUTED_VALUE"""),"Cartel PVC 40x30 Prohibido Engrasar en funcionamiento")</f>
        <v>Cartel PVC 40x30 Prohibido Engrasar en funcionamiento</v>
      </c>
      <c r="C224" s="4">
        <f>IFERROR(__xludf.DUMMYFUNCTION("""COMPUTED_VALUE"""),2.3808)</f>
        <v>2.3808</v>
      </c>
      <c r="D224" s="4">
        <f>IFERROR(__xludf.DUMMYFUNCTION("""COMPUTED_VALUE"""),1.8)</f>
        <v>1.8</v>
      </c>
      <c r="E224" s="4" t="str">
        <f>IFERROR(__xludf.DUMMYFUNCTION("""COMPUTED_VALUE"""),"Neto: 1,80 € (a partir de 1 uds.)")</f>
        <v>Neto: 1,80 € (a partir de 1 uds.)</v>
      </c>
    </row>
    <row r="225">
      <c r="A225" s="4" t="str">
        <f>IFERROR(__xludf.DUMMYFUNCTION("""COMPUTED_VALUE"""),"0274P")</f>
        <v>0274P</v>
      </c>
      <c r="B225" s="4" t="str">
        <f>IFERROR(__xludf.DUMMYFUNCTION("""COMPUTED_VALUE"""),"Cartel PVC 21x29 PROHIBIDO ENGRASAR O REPARAR")</f>
        <v>Cartel PVC 21x29 PROHIBIDO ENGRASAR O REPARAR</v>
      </c>
      <c r="C225" s="4">
        <f>IFERROR(__xludf.DUMMYFUNCTION("""COMPUTED_VALUE"""),1.536)</f>
        <v>1.536</v>
      </c>
      <c r="D225" s="4">
        <f>IFERROR(__xludf.DUMMYFUNCTION("""COMPUTED_VALUE"""),1.2)</f>
        <v>1.2</v>
      </c>
      <c r="E225" s="4" t="str">
        <f>IFERROR(__xludf.DUMMYFUNCTION("""COMPUTED_VALUE"""),"Neto: 1,20 € (a partir de 1 uds.)")</f>
        <v>Neto: 1,20 € (a partir de 1 uds.)</v>
      </c>
    </row>
    <row r="226">
      <c r="A226" s="4" t="str">
        <f>IFERROR(__xludf.DUMMYFUNCTION("""COMPUTED_VALUE"""),"275")</f>
        <v>275</v>
      </c>
      <c r="B226" s="4" t="str">
        <f>IFERROR(__xludf.DUMMYFUNCTION("""COMPUTED_VALUE"""),"Cartel PVC 40x30 Prohib. efectuar reparaciones pers. no")</f>
        <v>Cartel PVC 40x30 Prohib. efectuar reparaciones pers. no</v>
      </c>
      <c r="C226" s="4">
        <f>IFERROR(__xludf.DUMMYFUNCTION("""COMPUTED_VALUE"""),2.3808)</f>
        <v>2.3808</v>
      </c>
      <c r="D226" s="4">
        <f>IFERROR(__xludf.DUMMYFUNCTION("""COMPUTED_VALUE"""),1.8)</f>
        <v>1.8</v>
      </c>
      <c r="E226" s="4" t="str">
        <f>IFERROR(__xludf.DUMMYFUNCTION("""COMPUTED_VALUE"""),"Neto: 1,80 € (a partir de 1 uds.)")</f>
        <v>Neto: 1,80 € (a partir de 1 uds.)</v>
      </c>
    </row>
    <row r="227">
      <c r="A227" s="4" t="str">
        <f>IFERROR(__xludf.DUMMYFUNCTION("""COMPUTED_VALUE"""),"0275P")</f>
        <v>0275P</v>
      </c>
      <c r="B227" s="4" t="str">
        <f>IFERROR(__xludf.DUMMYFUNCTION("""COMPUTED_VALUE"""),"Cartel PVC 21x29 PROHIBIDO REPARACIONES PERSONAL")</f>
        <v>Cartel PVC 21x29 PROHIBIDO REPARACIONES PERSONAL</v>
      </c>
      <c r="C227" s="4">
        <f>IFERROR(__xludf.DUMMYFUNCTION("""COMPUTED_VALUE"""),1.536)</f>
        <v>1.536</v>
      </c>
      <c r="D227" s="4">
        <f>IFERROR(__xludf.DUMMYFUNCTION("""COMPUTED_VALUE"""),1.2)</f>
        <v>1.2</v>
      </c>
      <c r="E227" s="4" t="str">
        <f>IFERROR(__xludf.DUMMYFUNCTION("""COMPUTED_VALUE"""),"Neto: 1,20 € (a partir de 1 uds.)")</f>
        <v>Neto: 1,20 € (a partir de 1 uds.)</v>
      </c>
    </row>
    <row r="228">
      <c r="A228" s="4" t="str">
        <f>IFERROR(__xludf.DUMMYFUNCTION("""COMPUTED_VALUE"""),"276")</f>
        <v>276</v>
      </c>
      <c r="B228" s="4" t="str">
        <f>IFERROR(__xludf.DUMMYFUNCTION("""COMPUTED_VALUE"""),"Cartel PVC 40x30 Prohib. Manipular maquina en")</f>
        <v>Cartel PVC 40x30 Prohib. Manipular maquina en</v>
      </c>
      <c r="C228" s="4">
        <f>IFERROR(__xludf.DUMMYFUNCTION("""COMPUTED_VALUE"""),2.3808)</f>
        <v>2.3808</v>
      </c>
      <c r="D228" s="4">
        <f>IFERROR(__xludf.DUMMYFUNCTION("""COMPUTED_VALUE"""),1.8)</f>
        <v>1.8</v>
      </c>
      <c r="E228" s="4" t="str">
        <f>IFERROR(__xludf.DUMMYFUNCTION("""COMPUTED_VALUE"""),"Neto: 1,80 € (a partir de 1 uds.)")</f>
        <v>Neto: 1,80 € (a partir de 1 uds.)</v>
      </c>
    </row>
    <row r="229">
      <c r="A229" s="4" t="str">
        <f>IFERROR(__xludf.DUMMYFUNCTION("""COMPUTED_VALUE"""),"0276P")</f>
        <v>0276P</v>
      </c>
      <c r="B229" s="4" t="str">
        <f>IFERROR(__xludf.DUMMYFUNCTION("""COMPUTED_VALUE"""),"Cartel PVC 21x29 PROHIBIDO MANIPULAR LA MAQUINA EN")</f>
        <v>Cartel PVC 21x29 PROHIBIDO MANIPULAR LA MAQUINA EN</v>
      </c>
      <c r="C229" s="4">
        <f>IFERROR(__xludf.DUMMYFUNCTION("""COMPUTED_VALUE"""),1.536)</f>
        <v>1.536</v>
      </c>
      <c r="D229" s="4">
        <f>IFERROR(__xludf.DUMMYFUNCTION("""COMPUTED_VALUE"""),1.2)</f>
        <v>1.2</v>
      </c>
      <c r="E229" s="4" t="str">
        <f>IFERROR(__xludf.DUMMYFUNCTION("""COMPUTED_VALUE"""),"Neto: 1,20 € (a partir de 1 uds.)")</f>
        <v>Neto: 1,20 € (a partir de 1 uds.)</v>
      </c>
    </row>
    <row r="230">
      <c r="A230" s="4" t="str">
        <f>IFERROR(__xludf.DUMMYFUNCTION("""COMPUTED_VALUE"""),"277")</f>
        <v>277</v>
      </c>
      <c r="B230" s="4" t="str">
        <f>IFERROR(__xludf.DUMMYFUNCTION("""COMPUTED_VALUE"""),"Cartel PVC 40x30 Area de Ruido Peligroso")</f>
        <v>Cartel PVC 40x30 Area de Ruido Peligroso</v>
      </c>
      <c r="C230" s="4">
        <f>IFERROR(__xludf.DUMMYFUNCTION("""COMPUTED_VALUE"""),2.3808)</f>
        <v>2.3808</v>
      </c>
      <c r="D230" s="4">
        <f>IFERROR(__xludf.DUMMYFUNCTION("""COMPUTED_VALUE"""),1.8)</f>
        <v>1.8</v>
      </c>
      <c r="E230" s="4" t="str">
        <f>IFERROR(__xludf.DUMMYFUNCTION("""COMPUTED_VALUE"""),"Neto: 1,80 € (a partir de 1 uds.)")</f>
        <v>Neto: 1,80 € (a partir de 1 uds.)</v>
      </c>
    </row>
    <row r="231">
      <c r="A231" s="4" t="str">
        <f>IFERROR(__xludf.DUMMYFUNCTION("""COMPUTED_VALUE"""),"0277P")</f>
        <v>0277P</v>
      </c>
      <c r="B231" s="4" t="str">
        <f>IFERROR(__xludf.DUMMYFUNCTION("""COMPUTED_VALUE"""),"Cartel PVC 21x29 ATENCION AREA RUIDO PELIGROSO")</f>
        <v>Cartel PVC 21x29 ATENCION AREA RUIDO PELIGROSO</v>
      </c>
      <c r="C231" s="4">
        <f>IFERROR(__xludf.DUMMYFUNCTION("""COMPUTED_VALUE"""),1.536)</f>
        <v>1.536</v>
      </c>
      <c r="D231" s="4">
        <f>IFERROR(__xludf.DUMMYFUNCTION("""COMPUTED_VALUE"""),1.2)</f>
        <v>1.2</v>
      </c>
      <c r="E231" s="4" t="str">
        <f>IFERROR(__xludf.DUMMYFUNCTION("""COMPUTED_VALUE"""),"Neto: 1,20 € (a partir de 1 uds.)")</f>
        <v>Neto: 1,20 € (a partir de 1 uds.)</v>
      </c>
    </row>
    <row r="232">
      <c r="A232" s="4" t="str">
        <f>IFERROR(__xludf.DUMMYFUNCTION("""COMPUTED_VALUE"""),"278")</f>
        <v>278</v>
      </c>
      <c r="B232" s="4" t="str">
        <f>IFERROR(__xludf.DUMMYFUNCTION("""COMPUTED_VALUE"""),"Cartel PVC 40x30 Prohib. la entrada con perros")</f>
        <v>Cartel PVC 40x30 Prohib. la entrada con perros</v>
      </c>
      <c r="C232" s="4">
        <f>IFERROR(__xludf.DUMMYFUNCTION("""COMPUTED_VALUE"""),2.3808)</f>
        <v>2.3808</v>
      </c>
      <c r="D232" s="4">
        <f>IFERROR(__xludf.DUMMYFUNCTION("""COMPUTED_VALUE"""),1.8)</f>
        <v>1.8</v>
      </c>
      <c r="E232" s="4" t="str">
        <f>IFERROR(__xludf.DUMMYFUNCTION("""COMPUTED_VALUE"""),"Neto: 1,80 € (a partir de 1 uds.)")</f>
        <v>Neto: 1,80 € (a partir de 1 uds.)</v>
      </c>
    </row>
    <row r="233">
      <c r="A233" s="4" t="str">
        <f>IFERROR(__xludf.DUMMYFUNCTION("""COMPUTED_VALUE"""),"0278P")</f>
        <v>0278P</v>
      </c>
      <c r="B233" s="4" t="str">
        <f>IFERROR(__xludf.DUMMYFUNCTION("""COMPUTED_VALUE"""),"Cartel PVC 21x29 PROHIBIDO LA ENTRADA CON PERROS")</f>
        <v>Cartel PVC 21x29 PROHIBIDO LA ENTRADA CON PERROS</v>
      </c>
      <c r="C233" s="4">
        <f>IFERROR(__xludf.DUMMYFUNCTION("""COMPUTED_VALUE"""),1.536)</f>
        <v>1.536</v>
      </c>
      <c r="D233" s="4">
        <f>IFERROR(__xludf.DUMMYFUNCTION("""COMPUTED_VALUE"""),1.2)</f>
        <v>1.2</v>
      </c>
      <c r="E233" s="4" t="str">
        <f>IFERROR(__xludf.DUMMYFUNCTION("""COMPUTED_VALUE"""),"Neto: 1,20 € (a partir de 1 uds.)")</f>
        <v>Neto: 1,20 € (a partir de 1 uds.)</v>
      </c>
    </row>
    <row r="234">
      <c r="A234" s="4" t="str">
        <f>IFERROR(__xludf.DUMMYFUNCTION("""COMPUTED_VALUE"""),"279")</f>
        <v>279</v>
      </c>
      <c r="B234" s="4" t="str">
        <f>IFERROR(__xludf.DUMMYFUNCTION("""COMPUTED_VALUE"""),"Cartel PVC 40x30 Prohibido arrojar objetos")</f>
        <v>Cartel PVC 40x30 Prohibido arrojar objetos</v>
      </c>
      <c r="C234" s="4">
        <f>IFERROR(__xludf.DUMMYFUNCTION("""COMPUTED_VALUE"""),2.3808)</f>
        <v>2.3808</v>
      </c>
      <c r="D234" s="4">
        <f>IFERROR(__xludf.DUMMYFUNCTION("""COMPUTED_VALUE"""),1.8)</f>
        <v>1.8</v>
      </c>
      <c r="E234" s="4" t="str">
        <f>IFERROR(__xludf.DUMMYFUNCTION("""COMPUTED_VALUE"""),"Neto: 1,80 € (a partir de 1 uds.)")</f>
        <v>Neto: 1,80 € (a partir de 1 uds.)</v>
      </c>
    </row>
    <row r="235">
      <c r="A235" s="4" t="str">
        <f>IFERROR(__xludf.DUMMYFUNCTION("""COMPUTED_VALUE"""),"0279P")</f>
        <v>0279P</v>
      </c>
      <c r="B235" s="4" t="str">
        <f>IFERROR(__xludf.DUMMYFUNCTION("""COMPUTED_VALUE"""),"Cartel PVC 21x29 PROHIBIDO ARROJAR OBJETOS AL")</f>
        <v>Cartel PVC 21x29 PROHIBIDO ARROJAR OBJETOS AL</v>
      </c>
      <c r="C235" s="4">
        <f>IFERROR(__xludf.DUMMYFUNCTION("""COMPUTED_VALUE"""),1.536)</f>
        <v>1.536</v>
      </c>
      <c r="D235" s="4">
        <f>IFERROR(__xludf.DUMMYFUNCTION("""COMPUTED_VALUE"""),1.2)</f>
        <v>1.2</v>
      </c>
      <c r="E235" s="4" t="str">
        <f>IFERROR(__xludf.DUMMYFUNCTION("""COMPUTED_VALUE"""),"Neto: 1,20 € (a partir de 1 uds.)")</f>
        <v>Neto: 1,20 € (a partir de 1 uds.)</v>
      </c>
    </row>
    <row r="236">
      <c r="A236" s="4" t="str">
        <f>IFERROR(__xludf.DUMMYFUNCTION("""COMPUTED_VALUE"""),"280")</f>
        <v>280</v>
      </c>
      <c r="B236" s="4" t="str">
        <f>IFERROR(__xludf.DUMMYFUNCTION("""COMPUTED_VALUE"""),"Cartel PVC 40x30 Alto No Pasar")</f>
        <v>Cartel PVC 40x30 Alto No Pasar</v>
      </c>
      <c r="C236" s="4">
        <f>IFERROR(__xludf.DUMMYFUNCTION("""COMPUTED_VALUE"""),2.3808)</f>
        <v>2.3808</v>
      </c>
      <c r="D236" s="4">
        <f>IFERROR(__xludf.DUMMYFUNCTION("""COMPUTED_VALUE"""),1.8)</f>
        <v>1.8</v>
      </c>
      <c r="E236" s="4" t="str">
        <f>IFERROR(__xludf.DUMMYFUNCTION("""COMPUTED_VALUE"""),"Neto: 1,80 € (a partir de 1 uds.)")</f>
        <v>Neto: 1,80 € (a partir de 1 uds.)</v>
      </c>
    </row>
    <row r="237">
      <c r="A237" s="4" t="str">
        <f>IFERROR(__xludf.DUMMYFUNCTION("""COMPUTED_VALUE"""),"0280P")</f>
        <v>0280P</v>
      </c>
      <c r="B237" s="4" t="str">
        <f>IFERROR(__xludf.DUMMYFUNCTION("""COMPUTED_VALUE"""),"Cartel PVC 21x29 ALTO NO PASAR")</f>
        <v>Cartel PVC 21x29 ALTO NO PASAR</v>
      </c>
      <c r="C237" s="4">
        <f>IFERROR(__xludf.DUMMYFUNCTION("""COMPUTED_VALUE"""),1.536)</f>
        <v>1.536</v>
      </c>
      <c r="D237" s="4">
        <f>IFERROR(__xludf.DUMMYFUNCTION("""COMPUTED_VALUE"""),1.2)</f>
        <v>1.2</v>
      </c>
      <c r="E237" s="4" t="str">
        <f>IFERROR(__xludf.DUMMYFUNCTION("""COMPUTED_VALUE"""),"Neto: 1,20 € (a partir de 1 uds.)")</f>
        <v>Neto: 1,20 € (a partir de 1 uds.)</v>
      </c>
    </row>
    <row r="238">
      <c r="A238" s="4" t="str">
        <f>IFERROR(__xludf.DUMMYFUNCTION("""COMPUTED_VALUE"""),"281")</f>
        <v>281</v>
      </c>
      <c r="B238" s="4" t="str">
        <f>IFERROR(__xludf.DUMMYFUNCTION("""COMPUTED_VALUE"""),"Cartel PVC 40x30 Agua no Potable")</f>
        <v>Cartel PVC 40x30 Agua no Potable</v>
      </c>
      <c r="C238" s="4">
        <f>IFERROR(__xludf.DUMMYFUNCTION("""COMPUTED_VALUE"""),2.3808)</f>
        <v>2.3808</v>
      </c>
      <c r="D238" s="4">
        <f>IFERROR(__xludf.DUMMYFUNCTION("""COMPUTED_VALUE"""),1.8)</f>
        <v>1.8</v>
      </c>
      <c r="E238" s="4" t="str">
        <f>IFERROR(__xludf.DUMMYFUNCTION("""COMPUTED_VALUE"""),"Neto: 1,80 € (a partir de 1 uds.)")</f>
        <v>Neto: 1,80 € (a partir de 1 uds.)</v>
      </c>
    </row>
    <row r="239">
      <c r="A239" s="4" t="str">
        <f>IFERROR(__xludf.DUMMYFUNCTION("""COMPUTED_VALUE"""),"0281P")</f>
        <v>0281P</v>
      </c>
      <c r="B239" s="4" t="str">
        <f>IFERROR(__xludf.DUMMYFUNCTION("""COMPUTED_VALUE"""),"Cartel PVC 21x29 AGUA NO POTABLE")</f>
        <v>Cartel PVC 21x29 AGUA NO POTABLE</v>
      </c>
      <c r="C239" s="4">
        <f>IFERROR(__xludf.DUMMYFUNCTION("""COMPUTED_VALUE"""),1.536)</f>
        <v>1.536</v>
      </c>
      <c r="D239" s="4">
        <f>IFERROR(__xludf.DUMMYFUNCTION("""COMPUTED_VALUE"""),1.2)</f>
        <v>1.2</v>
      </c>
      <c r="E239" s="4" t="str">
        <f>IFERROR(__xludf.DUMMYFUNCTION("""COMPUTED_VALUE"""),"Neto: 1,20 € (a partir de 1 uds.)")</f>
        <v>Neto: 1,20 € (a partir de 1 uds.)</v>
      </c>
    </row>
    <row r="240">
      <c r="A240" s="4" t="str">
        <f>IFERROR(__xludf.DUMMYFUNCTION("""COMPUTED_VALUE"""),"282")</f>
        <v>282</v>
      </c>
      <c r="B240" s="4" t="str">
        <f>IFERROR(__xludf.DUMMYFUNCTION("""COMPUTED_VALUE"""),"Cartel PVC 40x30 Prohibido El Paso")</f>
        <v>Cartel PVC 40x30 Prohibido El Paso</v>
      </c>
      <c r="C240" s="4">
        <f>IFERROR(__xludf.DUMMYFUNCTION("""COMPUTED_VALUE"""),2.3808)</f>
        <v>2.3808</v>
      </c>
      <c r="D240" s="4">
        <f>IFERROR(__xludf.DUMMYFUNCTION("""COMPUTED_VALUE"""),1.8)</f>
        <v>1.8</v>
      </c>
      <c r="E240" s="4" t="str">
        <f>IFERROR(__xludf.DUMMYFUNCTION("""COMPUTED_VALUE"""),"Neto: 1,80 € (a partir de 1 uds.)")</f>
        <v>Neto: 1,80 € (a partir de 1 uds.)</v>
      </c>
    </row>
    <row r="241">
      <c r="A241" s="4" t="str">
        <f>IFERROR(__xludf.DUMMYFUNCTION("""COMPUTED_VALUE"""),"0282P")</f>
        <v>0282P</v>
      </c>
      <c r="B241" s="4" t="str">
        <f>IFERROR(__xludf.DUMMYFUNCTION("""COMPUTED_VALUE"""),"Cartel PVC 21x29 PROHIBIDO EL PASO")</f>
        <v>Cartel PVC 21x29 PROHIBIDO EL PASO</v>
      </c>
      <c r="C241" s="4">
        <f>IFERROR(__xludf.DUMMYFUNCTION("""COMPUTED_VALUE"""),1.536)</f>
        <v>1.536</v>
      </c>
      <c r="D241" s="4">
        <f>IFERROR(__xludf.DUMMYFUNCTION("""COMPUTED_VALUE"""),1.2)</f>
        <v>1.2</v>
      </c>
      <c r="E241" s="4" t="str">
        <f>IFERROR(__xludf.DUMMYFUNCTION("""COMPUTED_VALUE"""),"Neto: 1,20 € (a partir de 1 uds.)")</f>
        <v>Neto: 1,20 € (a partir de 1 uds.)</v>
      </c>
    </row>
    <row r="242">
      <c r="A242" s="4" t="str">
        <f>IFERROR(__xludf.DUMMYFUNCTION("""COMPUTED_VALUE"""),"283")</f>
        <v>283</v>
      </c>
      <c r="B242" s="4" t="str">
        <f>IFERROR(__xludf.DUMMYFUNCTION("""COMPUTED_VALUE"""),"Cartel PVC 40x30 Prohib. Transportar personas")</f>
        <v>Cartel PVC 40x30 Prohib. Transportar personas</v>
      </c>
      <c r="C242" s="4">
        <f>IFERROR(__xludf.DUMMYFUNCTION("""COMPUTED_VALUE"""),2.3808)</f>
        <v>2.3808</v>
      </c>
      <c r="D242" s="4">
        <f>IFERROR(__xludf.DUMMYFUNCTION("""COMPUTED_VALUE"""),1.8)</f>
        <v>1.8</v>
      </c>
      <c r="E242" s="4" t="str">
        <f>IFERROR(__xludf.DUMMYFUNCTION("""COMPUTED_VALUE"""),"Neto: 1,80 € (a partir de 1 uds.)")</f>
        <v>Neto: 1,80 € (a partir de 1 uds.)</v>
      </c>
    </row>
    <row r="243">
      <c r="A243" s="4" t="str">
        <f>IFERROR(__xludf.DUMMYFUNCTION("""COMPUTED_VALUE"""),"0283P")</f>
        <v>0283P</v>
      </c>
      <c r="B243" s="4" t="str">
        <f>IFERROR(__xludf.DUMMYFUNCTION("""COMPUTED_VALUE"""),"Cartel PVC 21x29 PROHIBIDO TRANSPORTAR PERSONAS")</f>
        <v>Cartel PVC 21x29 PROHIBIDO TRANSPORTAR PERSONAS</v>
      </c>
      <c r="C243" s="4">
        <f>IFERROR(__xludf.DUMMYFUNCTION("""COMPUTED_VALUE"""),1.536)</f>
        <v>1.536</v>
      </c>
      <c r="D243" s="4">
        <f>IFERROR(__xludf.DUMMYFUNCTION("""COMPUTED_VALUE"""),1.2)</f>
        <v>1.2</v>
      </c>
      <c r="E243" s="4" t="str">
        <f>IFERROR(__xludf.DUMMYFUNCTION("""COMPUTED_VALUE"""),"Neto: 1,20 € (a partir de 1 uds.)")</f>
        <v>Neto: 1,20 € (a partir de 1 uds.)</v>
      </c>
    </row>
    <row r="244">
      <c r="A244" s="4" t="str">
        <f>IFERROR(__xludf.DUMMYFUNCTION("""COMPUTED_VALUE"""),"284")</f>
        <v>284</v>
      </c>
      <c r="B244" s="4" t="str">
        <f>IFERROR(__xludf.DUMMYFUNCTION("""COMPUTED_VALUE"""),"Cartel PVC 40x30 Prohib. Situarse debajo de la carga")</f>
        <v>Cartel PVC 40x30 Prohib. Situarse debajo de la carga</v>
      </c>
      <c r="C244" s="4">
        <f>IFERROR(__xludf.DUMMYFUNCTION("""COMPUTED_VALUE"""),2.3808)</f>
        <v>2.3808</v>
      </c>
      <c r="D244" s="4">
        <f>IFERROR(__xludf.DUMMYFUNCTION("""COMPUTED_VALUE"""),1.8)</f>
        <v>1.8</v>
      </c>
      <c r="E244" s="4" t="str">
        <f>IFERROR(__xludf.DUMMYFUNCTION("""COMPUTED_VALUE"""),"Neto: 1,80 € (a partir de 1 uds.)")</f>
        <v>Neto: 1,80 € (a partir de 1 uds.)</v>
      </c>
    </row>
    <row r="245">
      <c r="A245" s="4" t="str">
        <f>IFERROR(__xludf.DUMMYFUNCTION("""COMPUTED_VALUE"""),"0284P")</f>
        <v>0284P</v>
      </c>
      <c r="B245" s="4" t="str">
        <f>IFERROR(__xludf.DUMMYFUNCTION("""COMPUTED_VALUE"""),"Cartel PVC 21x29 PROHIBIDO SITUARSE DEBAJO DE LA")</f>
        <v>Cartel PVC 21x29 PROHIBIDO SITUARSE DEBAJO DE LA</v>
      </c>
      <c r="C245" s="4">
        <f>IFERROR(__xludf.DUMMYFUNCTION("""COMPUTED_VALUE"""),1.536)</f>
        <v>1.536</v>
      </c>
      <c r="D245" s="4">
        <f>IFERROR(__xludf.DUMMYFUNCTION("""COMPUTED_VALUE"""),1.2)</f>
        <v>1.2</v>
      </c>
      <c r="E245" s="4" t="str">
        <f>IFERROR(__xludf.DUMMYFUNCTION("""COMPUTED_VALUE"""),"Neto: 1,20 € (a partir de 1 uds.)")</f>
        <v>Neto: 1,20 € (a partir de 1 uds.)</v>
      </c>
    </row>
    <row r="246">
      <c r="A246" s="4" t="str">
        <f>IFERROR(__xludf.DUMMYFUNCTION("""COMPUTED_VALUE"""),"285")</f>
        <v>285</v>
      </c>
      <c r="B246" s="4" t="str">
        <f>IFERROR(__xludf.DUMMYFUNCTION("""COMPUTED_VALUE"""),"Cartel PVC 40x30 No utilizar en caso de Emergencia")</f>
        <v>Cartel PVC 40x30 No utilizar en caso de Emergencia</v>
      </c>
      <c r="C246" s="4">
        <f>IFERROR(__xludf.DUMMYFUNCTION("""COMPUTED_VALUE"""),2.3808)</f>
        <v>2.3808</v>
      </c>
      <c r="D246" s="4">
        <f>IFERROR(__xludf.DUMMYFUNCTION("""COMPUTED_VALUE"""),1.8)</f>
        <v>1.8</v>
      </c>
      <c r="E246" s="4" t="str">
        <f>IFERROR(__xludf.DUMMYFUNCTION("""COMPUTED_VALUE"""),"Neto: 1,80 € (a partir de 1 uds.)")</f>
        <v>Neto: 1,80 € (a partir de 1 uds.)</v>
      </c>
    </row>
    <row r="247">
      <c r="A247" s="4" t="str">
        <f>IFERROR(__xludf.DUMMYFUNCTION("""COMPUTED_VALUE"""),"0285P")</f>
        <v>0285P</v>
      </c>
      <c r="B247" s="4" t="str">
        <f>IFERROR(__xludf.DUMMYFUNCTION("""COMPUTED_VALUE"""),"Cartel PVC 21X29 NO UTILIZAR EN CASO DE EMERGENCIA")</f>
        <v>Cartel PVC 21X29 NO UTILIZAR EN CASO DE EMERGENCIA</v>
      </c>
      <c r="C247" s="4">
        <f>IFERROR(__xludf.DUMMYFUNCTION("""COMPUTED_VALUE"""),1.536)</f>
        <v>1.536</v>
      </c>
      <c r="D247" s="4">
        <f>IFERROR(__xludf.DUMMYFUNCTION("""COMPUTED_VALUE"""),1.2)</f>
        <v>1.2</v>
      </c>
      <c r="E247" s="4" t="str">
        <f>IFERROR(__xludf.DUMMYFUNCTION("""COMPUTED_VALUE"""),"Neto: 1,20 € (a partir de 1 uds.)")</f>
        <v>Neto: 1,20 € (a partir de 1 uds.)</v>
      </c>
    </row>
    <row r="248">
      <c r="A248" s="4" t="str">
        <f>IFERROR(__xludf.DUMMYFUNCTION("""COMPUTED_VALUE"""),"286")</f>
        <v>286</v>
      </c>
      <c r="B248" s="4" t="str">
        <f>IFERROR(__xludf.DUMMYFUNCTION("""COMPUTED_VALUE"""),"Cartel PVC 40x30 No utilizar Incendio")</f>
        <v>Cartel PVC 40x30 No utilizar Incendio</v>
      </c>
      <c r="C248" s="4">
        <f>IFERROR(__xludf.DUMMYFUNCTION("""COMPUTED_VALUE"""),2.3808)</f>
        <v>2.3808</v>
      </c>
      <c r="D248" s="4">
        <f>IFERROR(__xludf.DUMMYFUNCTION("""COMPUTED_VALUE"""),1.8)</f>
        <v>1.8</v>
      </c>
      <c r="E248" s="4" t="str">
        <f>IFERROR(__xludf.DUMMYFUNCTION("""COMPUTED_VALUE"""),"Neto: 1,80 € (a partir de 1 uds.)")</f>
        <v>Neto: 1,80 € (a partir de 1 uds.)</v>
      </c>
    </row>
    <row r="249">
      <c r="A249" s="4" t="str">
        <f>IFERROR(__xludf.DUMMYFUNCTION("""COMPUTED_VALUE"""),"0286P")</f>
        <v>0286P</v>
      </c>
      <c r="B249" s="4" t="str">
        <f>IFERROR(__xludf.DUMMYFUNCTION("""COMPUTED_VALUE"""),"Cartel PVC 21x29 NO UTILIZAR EN CASO DE INCENDIO")</f>
        <v>Cartel PVC 21x29 NO UTILIZAR EN CASO DE INCENDIO</v>
      </c>
      <c r="C249" s="4">
        <f>IFERROR(__xludf.DUMMYFUNCTION("""COMPUTED_VALUE"""),1.536)</f>
        <v>1.536</v>
      </c>
      <c r="D249" s="4">
        <f>IFERROR(__xludf.DUMMYFUNCTION("""COMPUTED_VALUE"""),1.2)</f>
        <v>1.2</v>
      </c>
      <c r="E249" s="4" t="str">
        <f>IFERROR(__xludf.DUMMYFUNCTION("""COMPUTED_VALUE"""),"Neto: 1,20 € (a partir de 1 uds.)")</f>
        <v>Neto: 1,20 € (a partir de 1 uds.)</v>
      </c>
    </row>
    <row r="250">
      <c r="A250" s="4" t="str">
        <f>IFERROR(__xludf.DUMMYFUNCTION("""COMPUTED_VALUE"""),"287")</f>
        <v>287</v>
      </c>
      <c r="B250" s="4" t="str">
        <f>IFERROR(__xludf.DUMMYFUNCTION("""COMPUTED_VALUE"""),"Cartel PVC 40x30 Atencion Altura Baja")</f>
        <v>Cartel PVC 40x30 Atencion Altura Baja</v>
      </c>
      <c r="C250" s="4">
        <f>IFERROR(__xludf.DUMMYFUNCTION("""COMPUTED_VALUE"""),2.3808)</f>
        <v>2.3808</v>
      </c>
      <c r="D250" s="4">
        <f>IFERROR(__xludf.DUMMYFUNCTION("""COMPUTED_VALUE"""),1.8)</f>
        <v>1.8</v>
      </c>
      <c r="E250" s="4" t="str">
        <f>IFERROR(__xludf.DUMMYFUNCTION("""COMPUTED_VALUE"""),"Neto: 1,80 € (a partir de 1 uds.)")</f>
        <v>Neto: 1,80 € (a partir de 1 uds.)</v>
      </c>
    </row>
    <row r="251">
      <c r="A251" s="4" t="str">
        <f>IFERROR(__xludf.DUMMYFUNCTION("""COMPUTED_VALUE"""),"0287P")</f>
        <v>0287P</v>
      </c>
      <c r="B251" s="4" t="str">
        <f>IFERROR(__xludf.DUMMYFUNCTION("""COMPUTED_VALUE"""),"Cartel PVC 21x29 ATENCION ALTURA BAJA")</f>
        <v>Cartel PVC 21x29 ATENCION ALTURA BAJA</v>
      </c>
      <c r="C251" s="4">
        <f>IFERROR(__xludf.DUMMYFUNCTION("""COMPUTED_VALUE"""),1.536)</f>
        <v>1.536</v>
      </c>
      <c r="D251" s="4">
        <f>IFERROR(__xludf.DUMMYFUNCTION("""COMPUTED_VALUE"""),1.2)</f>
        <v>1.2</v>
      </c>
      <c r="E251" s="4" t="str">
        <f>IFERROR(__xludf.DUMMYFUNCTION("""COMPUTED_VALUE"""),"Neto: 1,20 € (a partir de 1 uds.)")</f>
        <v>Neto: 1,20 € (a partir de 1 uds.)</v>
      </c>
    </row>
    <row r="252">
      <c r="A252" s="4" t="str">
        <f>IFERROR(__xludf.DUMMYFUNCTION("""COMPUTED_VALUE"""),"288")</f>
        <v>288</v>
      </c>
      <c r="B252" s="4" t="str">
        <f>IFERROR(__xludf.DUMMYFUNCTION("""COMPUTED_VALUE"""),"Cartel PVC 40x30 Prohibido Accionar o maniobrar")</f>
        <v>Cartel PVC 40x30 Prohibido Accionar o maniobrar</v>
      </c>
      <c r="C252" s="4">
        <f>IFERROR(__xludf.DUMMYFUNCTION("""COMPUTED_VALUE"""),2.3808)</f>
        <v>2.3808</v>
      </c>
      <c r="D252" s="4">
        <f>IFERROR(__xludf.DUMMYFUNCTION("""COMPUTED_VALUE"""),1.8)</f>
        <v>1.8</v>
      </c>
      <c r="E252" s="4" t="str">
        <f>IFERROR(__xludf.DUMMYFUNCTION("""COMPUTED_VALUE"""),"Neto: 1,80 € (a partir de 1 uds.)")</f>
        <v>Neto: 1,80 € (a partir de 1 uds.)</v>
      </c>
    </row>
    <row r="253">
      <c r="A253" s="4" t="str">
        <f>IFERROR(__xludf.DUMMYFUNCTION("""COMPUTED_VALUE"""),"0288P")</f>
        <v>0288P</v>
      </c>
      <c r="B253" s="4" t="str">
        <f>IFERROR(__xludf.DUMMYFUNCTION("""COMPUTED_VALUE"""),"Cartel PVC 21x29 PROHIBIDO ACCIONAR O MANIOBRAR")</f>
        <v>Cartel PVC 21x29 PROHIBIDO ACCIONAR O MANIOBRAR</v>
      </c>
      <c r="C253" s="4">
        <f>IFERROR(__xludf.DUMMYFUNCTION("""COMPUTED_VALUE"""),1.536)</f>
        <v>1.536</v>
      </c>
      <c r="D253" s="4">
        <f>IFERROR(__xludf.DUMMYFUNCTION("""COMPUTED_VALUE"""),1.2)</f>
        <v>1.2</v>
      </c>
      <c r="E253" s="4" t="str">
        <f>IFERROR(__xludf.DUMMYFUNCTION("""COMPUTED_VALUE"""),"Neto: 1,20 € (a partir de 1 uds.)")</f>
        <v>Neto: 1,20 € (a partir de 1 uds.)</v>
      </c>
    </row>
    <row r="254">
      <c r="A254" s="4" t="str">
        <f>IFERROR(__xludf.DUMMYFUNCTION("""COMPUTED_VALUE"""),"289")</f>
        <v>289</v>
      </c>
      <c r="B254" s="4" t="str">
        <f>IFERROR(__xludf.DUMMYFUNCTION("""COMPUTED_VALUE"""),"Cartel PVC 40x30 Fotolum.Hacha contra Incendio")</f>
        <v>Cartel PVC 40x30 Fotolum.Hacha contra Incendio</v>
      </c>
      <c r="C254" s="4">
        <f>IFERROR(__xludf.DUMMYFUNCTION("""COMPUTED_VALUE"""),2.3808)</f>
        <v>2.3808</v>
      </c>
      <c r="D254" s="4">
        <f>IFERROR(__xludf.DUMMYFUNCTION("""COMPUTED_VALUE"""),1.8)</f>
        <v>1.8</v>
      </c>
      <c r="E254" s="4" t="str">
        <f>IFERROR(__xludf.DUMMYFUNCTION("""COMPUTED_VALUE"""),"Neto: 1,80 € (a partir de 1 uds.)")</f>
        <v>Neto: 1,80 € (a partir de 1 uds.)</v>
      </c>
    </row>
    <row r="255">
      <c r="A255" s="4" t="str">
        <f>IFERROR(__xludf.DUMMYFUNCTION("""COMPUTED_VALUE"""),"0289A")</f>
        <v>0289A</v>
      </c>
      <c r="B255" s="4" t="str">
        <f>IFERROR(__xludf.DUMMYFUNCTION("""COMPUTED_VALUE"""),"Cartel PVC 32x16 Fotolum. No Exit")</f>
        <v>Cartel PVC 32x16 Fotolum. No Exit</v>
      </c>
      <c r="C255" s="4">
        <f>IFERROR(__xludf.DUMMYFUNCTION("""COMPUTED_VALUE"""),2.16)</f>
        <v>2.16</v>
      </c>
      <c r="D255" s="4"/>
      <c r="E255" s="4" t="str">
        <f>IFERROR(__xludf.DUMMYFUNCTION("""COMPUTED_VALUE"""),"Sin precio neto")</f>
        <v>Sin precio neto</v>
      </c>
    </row>
    <row r="256">
      <c r="A256" s="4" t="str">
        <f>IFERROR(__xludf.DUMMYFUNCTION("""COMPUTED_VALUE"""),"0289B")</f>
        <v>0289B</v>
      </c>
      <c r="B256" s="4" t="str">
        <f>IFERROR(__xludf.DUMMYFUNCTION("""COMPUTED_VALUE"""),"Cartel PVC 64x32 Fotolum. No Exit")</f>
        <v>Cartel PVC 64x32 Fotolum. No Exit</v>
      </c>
      <c r="C256" s="4">
        <f>IFERROR(__xludf.DUMMYFUNCTION("""COMPUTED_VALUE"""),4.300800000000001)</f>
        <v>4.3008</v>
      </c>
      <c r="D256" s="4"/>
      <c r="E256" s="4" t="str">
        <f>IFERROR(__xludf.DUMMYFUNCTION("""COMPUTED_VALUE"""),"Sin precio neto")</f>
        <v>Sin precio neto</v>
      </c>
    </row>
    <row r="257">
      <c r="A257" s="4" t="str">
        <f>IFERROR(__xludf.DUMMYFUNCTION("""COMPUTED_VALUE"""),"0289C")</f>
        <v>0289C</v>
      </c>
      <c r="B257" s="4" t="str">
        <f>IFERROR(__xludf.DUMMYFUNCTION("""COMPUTED_VALUE"""),"Cartel PVC 96x48 Fotolum. No Exit")</f>
        <v>Cartel PVC 96x48 Fotolum. No Exit</v>
      </c>
      <c r="C257" s="4">
        <f>IFERROR(__xludf.DUMMYFUNCTION("""COMPUTED_VALUE"""),8.601600000000001)</f>
        <v>8.6016</v>
      </c>
      <c r="D257" s="4"/>
      <c r="E257" s="4" t="str">
        <f>IFERROR(__xludf.DUMMYFUNCTION("""COMPUTED_VALUE"""),"Sin precio neto")</f>
        <v>Sin precio neto</v>
      </c>
    </row>
    <row r="258">
      <c r="A258" s="4" t="str">
        <f>IFERROR(__xludf.DUMMYFUNCTION("""COMPUTED_VALUE"""),"290")</f>
        <v>290</v>
      </c>
      <c r="B258" s="4" t="str">
        <f>IFERROR(__xludf.DUMMYFUNCTION("""COMPUTED_VALUE"""),"Cartel PVC 40x30 Peligro Alta Tension")</f>
        <v>Cartel PVC 40x30 Peligro Alta Tension</v>
      </c>
      <c r="C258" s="4">
        <f>IFERROR(__xludf.DUMMYFUNCTION("""COMPUTED_VALUE"""),2.3808)</f>
        <v>2.3808</v>
      </c>
      <c r="D258" s="4">
        <f>IFERROR(__xludf.DUMMYFUNCTION("""COMPUTED_VALUE"""),1.8)</f>
        <v>1.8</v>
      </c>
      <c r="E258" s="4" t="str">
        <f>IFERROR(__xludf.DUMMYFUNCTION("""COMPUTED_VALUE"""),"Neto: 1,80 € (a partir de 1 uds.)")</f>
        <v>Neto: 1,80 € (a partir de 1 uds.)</v>
      </c>
    </row>
    <row r="259">
      <c r="A259" s="4" t="str">
        <f>IFERROR(__xludf.DUMMYFUNCTION("""COMPUTED_VALUE"""),"0290P")</f>
        <v>0290P</v>
      </c>
      <c r="B259" s="4" t="str">
        <f>IFERROR(__xludf.DUMMYFUNCTION("""COMPUTED_VALUE"""),"Cartel PVC 21x29 PELIGRO ALTA TENSION")</f>
        <v>Cartel PVC 21x29 PELIGRO ALTA TENSION</v>
      </c>
      <c r="C259" s="4">
        <f>IFERROR(__xludf.DUMMYFUNCTION("""COMPUTED_VALUE"""),1.536)</f>
        <v>1.536</v>
      </c>
      <c r="D259" s="4">
        <f>IFERROR(__xludf.DUMMYFUNCTION("""COMPUTED_VALUE"""),1.2)</f>
        <v>1.2</v>
      </c>
      <c r="E259" s="4" t="str">
        <f>IFERROR(__xludf.DUMMYFUNCTION("""COMPUTED_VALUE"""),"Neto: 1,20 € (a partir de 1 uds.)")</f>
        <v>Neto: 1,20 € (a partir de 1 uds.)</v>
      </c>
    </row>
    <row r="260">
      <c r="A260" s="4" t="str">
        <f>IFERROR(__xludf.DUMMYFUNCTION("""COMPUTED_VALUE"""),"291")</f>
        <v>291</v>
      </c>
      <c r="B260" s="4" t="str">
        <f>IFERROR(__xludf.DUMMYFUNCTION("""COMPUTED_VALUE"""),"Cartel PVC 40x30 Peligro no maniobrar")</f>
        <v>Cartel PVC 40x30 Peligro no maniobrar</v>
      </c>
      <c r="C260" s="4">
        <f>IFERROR(__xludf.DUMMYFUNCTION("""COMPUTED_VALUE"""),2.3808)</f>
        <v>2.3808</v>
      </c>
      <c r="D260" s="4">
        <f>IFERROR(__xludf.DUMMYFUNCTION("""COMPUTED_VALUE"""),1.8)</f>
        <v>1.8</v>
      </c>
      <c r="E260" s="4" t="str">
        <f>IFERROR(__xludf.DUMMYFUNCTION("""COMPUTED_VALUE"""),"Neto: 1,80 € (a partir de 1 uds.)")</f>
        <v>Neto: 1,80 € (a partir de 1 uds.)</v>
      </c>
    </row>
    <row r="261">
      <c r="A261" s="4" t="str">
        <f>IFERROR(__xludf.DUMMYFUNCTION("""COMPUTED_VALUE"""),"0291P")</f>
        <v>0291P</v>
      </c>
      <c r="B261" s="4" t="str">
        <f>IFERROR(__xludf.DUMMYFUNCTION("""COMPUTED_VALUE"""),"Cartel PVC 21x29 PELIGRO NO MANIOBRAR. SOLO")</f>
        <v>Cartel PVC 21x29 PELIGRO NO MANIOBRAR. SOLO</v>
      </c>
      <c r="C261" s="4">
        <f>IFERROR(__xludf.DUMMYFUNCTION("""COMPUTED_VALUE"""),1.536)</f>
        <v>1.536</v>
      </c>
      <c r="D261" s="4">
        <f>IFERROR(__xludf.DUMMYFUNCTION("""COMPUTED_VALUE"""),1.2)</f>
        <v>1.2</v>
      </c>
      <c r="E261" s="4" t="str">
        <f>IFERROR(__xludf.DUMMYFUNCTION("""COMPUTED_VALUE"""),"Neto: 1,20 € (a partir de 1 uds.)")</f>
        <v>Neto: 1,20 € (a partir de 1 uds.)</v>
      </c>
    </row>
    <row r="262">
      <c r="A262" s="4" t="str">
        <f>IFERROR(__xludf.DUMMYFUNCTION("""COMPUTED_VALUE"""),"292")</f>
        <v>292</v>
      </c>
      <c r="B262" s="4" t="str">
        <f>IFERROR(__xludf.DUMMYFUNCTION("""COMPUTED_VALUE"""),"Cartel PVC 40x30 No Tocar")</f>
        <v>Cartel PVC 40x30 No Tocar</v>
      </c>
      <c r="C262" s="4">
        <f>IFERROR(__xludf.DUMMYFUNCTION("""COMPUTED_VALUE"""),2.3808)</f>
        <v>2.3808</v>
      </c>
      <c r="D262" s="4">
        <f>IFERROR(__xludf.DUMMYFUNCTION("""COMPUTED_VALUE"""),1.8)</f>
        <v>1.8</v>
      </c>
      <c r="E262" s="4" t="str">
        <f>IFERROR(__xludf.DUMMYFUNCTION("""COMPUTED_VALUE"""),"Neto: 1,80 € (a partir de 1 uds.)")</f>
        <v>Neto: 1,80 € (a partir de 1 uds.)</v>
      </c>
    </row>
    <row r="263">
      <c r="A263" s="4" t="str">
        <f>IFERROR(__xludf.DUMMYFUNCTION("""COMPUTED_VALUE"""),"0292P")</f>
        <v>0292P</v>
      </c>
      <c r="B263" s="4" t="str">
        <f>IFERROR(__xludf.DUMMYFUNCTION("""COMPUTED_VALUE"""),"Cartel PVC 21x29 NO TOCAR")</f>
        <v>Cartel PVC 21x29 NO TOCAR</v>
      </c>
      <c r="C263" s="4">
        <f>IFERROR(__xludf.DUMMYFUNCTION("""COMPUTED_VALUE"""),1.536)</f>
        <v>1.536</v>
      </c>
      <c r="D263" s="4">
        <f>IFERROR(__xludf.DUMMYFUNCTION("""COMPUTED_VALUE"""),1.2)</f>
        <v>1.2</v>
      </c>
      <c r="E263" s="4" t="str">
        <f>IFERROR(__xludf.DUMMYFUNCTION("""COMPUTED_VALUE"""),"Neto: 1,20 € (a partir de 1 uds.)")</f>
        <v>Neto: 1,20 € (a partir de 1 uds.)</v>
      </c>
    </row>
    <row r="264">
      <c r="A264" s="4" t="str">
        <f>IFERROR(__xludf.DUMMYFUNCTION("""COMPUTED_VALUE"""),"293")</f>
        <v>293</v>
      </c>
      <c r="B264" s="4" t="str">
        <f>IFERROR(__xludf.DUMMYFUNCTION("""COMPUTED_VALUE"""),"Cartel PVC 40x30 Peligro Materias Radioactivas")</f>
        <v>Cartel PVC 40x30 Peligro Materias Radioactivas</v>
      </c>
      <c r="C264" s="4">
        <f>IFERROR(__xludf.DUMMYFUNCTION("""COMPUTED_VALUE"""),2.3808)</f>
        <v>2.3808</v>
      </c>
      <c r="D264" s="4">
        <f>IFERROR(__xludf.DUMMYFUNCTION("""COMPUTED_VALUE"""),1.8)</f>
        <v>1.8</v>
      </c>
      <c r="E264" s="4" t="str">
        <f>IFERROR(__xludf.DUMMYFUNCTION("""COMPUTED_VALUE"""),"Neto: 1,80 € (a partir de 1 uds.)")</f>
        <v>Neto: 1,80 € (a partir de 1 uds.)</v>
      </c>
    </row>
    <row r="265">
      <c r="A265" s="4" t="str">
        <f>IFERROR(__xludf.DUMMYFUNCTION("""COMPUTED_VALUE"""),"0293P")</f>
        <v>0293P</v>
      </c>
      <c r="B265" s="4" t="str">
        <f>IFERROR(__xludf.DUMMYFUNCTION("""COMPUTED_VALUE"""),"Cartel PVC 21x29 PELIGRO MATERIAS RADIOACTIVAS")</f>
        <v>Cartel PVC 21x29 PELIGRO MATERIAS RADIOACTIVAS</v>
      </c>
      <c r="C265" s="4">
        <f>IFERROR(__xludf.DUMMYFUNCTION("""COMPUTED_VALUE"""),1.536)</f>
        <v>1.536</v>
      </c>
      <c r="D265" s="4">
        <f>IFERROR(__xludf.DUMMYFUNCTION("""COMPUTED_VALUE"""),1.2)</f>
        <v>1.2</v>
      </c>
      <c r="E265" s="4" t="str">
        <f>IFERROR(__xludf.DUMMYFUNCTION("""COMPUTED_VALUE"""),"Neto: 1,20 € (a partir de 1 uds.)")</f>
        <v>Neto: 1,20 € (a partir de 1 uds.)</v>
      </c>
    </row>
    <row r="266">
      <c r="A266" s="4" t="str">
        <f>IFERROR(__xludf.DUMMYFUNCTION("""COMPUTED_VALUE"""),"294")</f>
        <v>294</v>
      </c>
      <c r="B266" s="4" t="str">
        <f>IFERROR(__xludf.DUMMYFUNCTION("""COMPUTED_VALUE"""),"Cartel PVC 40x30 Peligro Radiaciones Laser")</f>
        <v>Cartel PVC 40x30 Peligro Radiaciones Laser</v>
      </c>
      <c r="C266" s="4">
        <f>IFERROR(__xludf.DUMMYFUNCTION("""COMPUTED_VALUE"""),2.3808)</f>
        <v>2.3808</v>
      </c>
      <c r="D266" s="4">
        <f>IFERROR(__xludf.DUMMYFUNCTION("""COMPUTED_VALUE"""),1.8)</f>
        <v>1.8</v>
      </c>
      <c r="E266" s="4" t="str">
        <f>IFERROR(__xludf.DUMMYFUNCTION("""COMPUTED_VALUE"""),"Neto: 1,80 € (a partir de 1 uds.)")</f>
        <v>Neto: 1,80 € (a partir de 1 uds.)</v>
      </c>
    </row>
    <row r="267">
      <c r="A267" s="4" t="str">
        <f>IFERROR(__xludf.DUMMYFUNCTION("""COMPUTED_VALUE"""),"0294P")</f>
        <v>0294P</v>
      </c>
      <c r="B267" s="4" t="str">
        <f>IFERROR(__xludf.DUMMYFUNCTION("""COMPUTED_VALUE"""),"Cartel PVC 21x29 PELIGRO RADIACIONES LASER")</f>
        <v>Cartel PVC 21x29 PELIGRO RADIACIONES LASER</v>
      </c>
      <c r="C267" s="4">
        <f>IFERROR(__xludf.DUMMYFUNCTION("""COMPUTED_VALUE"""),1.536)</f>
        <v>1.536</v>
      </c>
      <c r="D267" s="4">
        <f>IFERROR(__xludf.DUMMYFUNCTION("""COMPUTED_VALUE"""),1.2)</f>
        <v>1.2</v>
      </c>
      <c r="E267" s="4" t="str">
        <f>IFERROR(__xludf.DUMMYFUNCTION("""COMPUTED_VALUE"""),"Neto: 1,20 € (a partir de 1 uds.)")</f>
        <v>Neto: 1,20 € (a partir de 1 uds.)</v>
      </c>
    </row>
    <row r="268">
      <c r="A268" s="4" t="str">
        <f>IFERROR(__xludf.DUMMYFUNCTION("""COMPUTED_VALUE"""),"295")</f>
        <v>295</v>
      </c>
      <c r="B268" s="4" t="str">
        <f>IFERROR(__xludf.DUMMYFUNCTION("""COMPUTED_VALUE"""),"Cartel PVC 40x30 Riesgo Biologico")</f>
        <v>Cartel PVC 40x30 Riesgo Biologico</v>
      </c>
      <c r="C268" s="4">
        <f>IFERROR(__xludf.DUMMYFUNCTION("""COMPUTED_VALUE"""),2.3808)</f>
        <v>2.3808</v>
      </c>
      <c r="D268" s="4">
        <f>IFERROR(__xludf.DUMMYFUNCTION("""COMPUTED_VALUE"""),1.8)</f>
        <v>1.8</v>
      </c>
      <c r="E268" s="4" t="str">
        <f>IFERROR(__xludf.DUMMYFUNCTION("""COMPUTED_VALUE"""),"Neto: 1,80 € (a partir de 1 uds.)")</f>
        <v>Neto: 1,80 € (a partir de 1 uds.)</v>
      </c>
    </row>
    <row r="269">
      <c r="A269" s="4" t="str">
        <f>IFERROR(__xludf.DUMMYFUNCTION("""COMPUTED_VALUE"""),"0295P")</f>
        <v>0295P</v>
      </c>
      <c r="B269" s="4" t="str">
        <f>IFERROR(__xludf.DUMMYFUNCTION("""COMPUTED_VALUE"""),"Cartel PVC 21x29 PELIGRO RIESGO BIOLOGICO")</f>
        <v>Cartel PVC 21x29 PELIGRO RIESGO BIOLOGICO</v>
      </c>
      <c r="C269" s="4">
        <f>IFERROR(__xludf.DUMMYFUNCTION("""COMPUTED_VALUE"""),1.536)</f>
        <v>1.536</v>
      </c>
      <c r="D269" s="4">
        <f>IFERROR(__xludf.DUMMYFUNCTION("""COMPUTED_VALUE"""),1.2)</f>
        <v>1.2</v>
      </c>
      <c r="E269" s="4" t="str">
        <f>IFERROR(__xludf.DUMMYFUNCTION("""COMPUTED_VALUE"""),"Neto: 1,20 € (a partir de 1 uds.)")</f>
        <v>Neto: 1,20 € (a partir de 1 uds.)</v>
      </c>
    </row>
    <row r="270">
      <c r="A270" s="4" t="str">
        <f>IFERROR(__xludf.DUMMYFUNCTION("""COMPUTED_VALUE"""),"296")</f>
        <v>296</v>
      </c>
      <c r="B270" s="4" t="str">
        <f>IFERROR(__xludf.DUMMYFUNCTION("""COMPUTED_VALUE"""),"Cartel PVC 40x30 Fotolum. Cubo uso en incendio")</f>
        <v>Cartel PVC 40x30 Fotolum. Cubo uso en incendio</v>
      </c>
      <c r="C270" s="4">
        <f>IFERROR(__xludf.DUMMYFUNCTION("""COMPUTED_VALUE"""),3.2159999999999997)</f>
        <v>3.216</v>
      </c>
      <c r="D270" s="4">
        <f>IFERROR(__xludf.DUMMYFUNCTION("""COMPUTED_VALUE"""),1.8)</f>
        <v>1.8</v>
      </c>
      <c r="E270" s="4" t="str">
        <f>IFERROR(__xludf.DUMMYFUNCTION("""COMPUTED_VALUE"""),"Neto: 1,80 € (a partir de 1 uds.)")</f>
        <v>Neto: 1,80 € (a partir de 1 uds.)</v>
      </c>
    </row>
    <row r="271">
      <c r="A271" s="4" t="str">
        <f>IFERROR(__xludf.DUMMYFUNCTION("""COMPUTED_VALUE"""),"0296A")</f>
        <v>0296A</v>
      </c>
      <c r="B271" s="4" t="str">
        <f>IFERROR(__xludf.DUMMYFUNCTION("""COMPUTED_VALUE"""),"Cartel PVC 32x16 Fotolum. Sin Salida")</f>
        <v>Cartel PVC 32x16 Fotolum. Sin Salida</v>
      </c>
      <c r="C271" s="4">
        <f>IFERROR(__xludf.DUMMYFUNCTION("""COMPUTED_VALUE"""),2.16)</f>
        <v>2.16</v>
      </c>
      <c r="D271" s="4"/>
      <c r="E271" s="4" t="str">
        <f>IFERROR(__xludf.DUMMYFUNCTION("""COMPUTED_VALUE"""),"Sin precio neto")</f>
        <v>Sin precio neto</v>
      </c>
    </row>
    <row r="272">
      <c r="A272" s="4" t="str">
        <f>IFERROR(__xludf.DUMMYFUNCTION("""COMPUTED_VALUE"""),"0296B")</f>
        <v>0296B</v>
      </c>
      <c r="B272" s="4" t="str">
        <f>IFERROR(__xludf.DUMMYFUNCTION("""COMPUTED_VALUE"""),"Cartel PVC 64x32 Fotolum. Sin Salida")</f>
        <v>Cartel PVC 64x32 Fotolum. Sin Salida</v>
      </c>
      <c r="C272" s="4">
        <f>IFERROR(__xludf.DUMMYFUNCTION("""COMPUTED_VALUE"""),4.300800000000001)</f>
        <v>4.3008</v>
      </c>
      <c r="D272" s="4"/>
      <c r="E272" s="4" t="str">
        <f>IFERROR(__xludf.DUMMYFUNCTION("""COMPUTED_VALUE"""),"Sin precio neto")</f>
        <v>Sin precio neto</v>
      </c>
    </row>
    <row r="273">
      <c r="A273" s="4" t="str">
        <f>IFERROR(__xludf.DUMMYFUNCTION("""COMPUTED_VALUE"""),"0296C")</f>
        <v>0296C</v>
      </c>
      <c r="B273" s="4" t="str">
        <f>IFERROR(__xludf.DUMMYFUNCTION("""COMPUTED_VALUE"""),"Cartel PVC 96x48 Fotolum. Sin Salida")</f>
        <v>Cartel PVC 96x48 Fotolum. Sin Salida</v>
      </c>
      <c r="C273" s="4">
        <f>IFERROR(__xludf.DUMMYFUNCTION("""COMPUTED_VALUE"""),8.601600000000001)</f>
        <v>8.6016</v>
      </c>
      <c r="D273" s="4"/>
      <c r="E273" s="4" t="str">
        <f>IFERROR(__xludf.DUMMYFUNCTION("""COMPUTED_VALUE"""),"Sin precio neto")</f>
        <v>Sin precio neto</v>
      </c>
    </row>
    <row r="274">
      <c r="A274" s="4" t="str">
        <f>IFERROR(__xludf.DUMMYFUNCTION("""COMPUTED_VALUE"""),"297")</f>
        <v>297</v>
      </c>
      <c r="B274" s="4" t="str">
        <f>IFERROR(__xludf.DUMMYFUNCTION("""COMPUTED_VALUE"""),"Cartel PVC 40x30 Fotoum. Manguera contra Incendios")</f>
        <v>Cartel PVC 40x30 Fotoum. Manguera contra Incendios</v>
      </c>
      <c r="C274" s="4">
        <f>IFERROR(__xludf.DUMMYFUNCTION("""COMPUTED_VALUE"""),3.2159999999999997)</f>
        <v>3.216</v>
      </c>
      <c r="D274" s="4">
        <f>IFERROR(__xludf.DUMMYFUNCTION("""COMPUTED_VALUE"""),3.2)</f>
        <v>3.2</v>
      </c>
      <c r="E274" s="4" t="str">
        <f>IFERROR(__xludf.DUMMYFUNCTION("""COMPUTED_VALUE"""),"Neto: 3,20 € (a partir de 1 uds.)")</f>
        <v>Neto: 3,20 € (a partir de 1 uds.)</v>
      </c>
    </row>
    <row r="275">
      <c r="A275" s="4" t="str">
        <f>IFERROR(__xludf.DUMMYFUNCTION("""COMPUTED_VALUE"""),"298")</f>
        <v>298</v>
      </c>
      <c r="B275" s="4" t="str">
        <f>IFERROR(__xludf.DUMMYFUNCTION("""COMPUTED_VALUE"""),"Cartel PVC 21x29 Fotolum. Escalera incendio")</f>
        <v>Cartel PVC 21x29 Fotolum. Escalera incendio</v>
      </c>
      <c r="C275" s="4">
        <f>IFERROR(__xludf.DUMMYFUNCTION("""COMPUTED_VALUE"""),2.496)</f>
        <v>2.496</v>
      </c>
      <c r="D275" s="4">
        <f>IFERROR(__xludf.DUMMYFUNCTION("""COMPUTED_VALUE"""),2.1)</f>
        <v>2.1</v>
      </c>
      <c r="E275" s="4" t="str">
        <f>IFERROR(__xludf.DUMMYFUNCTION("""COMPUTED_VALUE"""),"Neto: 2,10 € (a partir de 1 uds.)")</f>
        <v>Neto: 2,10 € (a partir de 1 uds.)</v>
      </c>
    </row>
    <row r="276">
      <c r="A276" s="4" t="str">
        <f>IFERROR(__xludf.DUMMYFUNCTION("""COMPUTED_VALUE"""),"0298A")</f>
        <v>0298A</v>
      </c>
      <c r="B276" s="4" t="str">
        <f>IFERROR(__xludf.DUMMYFUNCTION("""COMPUTED_VALUE"""),"Cartel PVC 21x30 Fotolum. Escalera de incendios")</f>
        <v>Cartel PVC 21x30 Fotolum. Escalera de incendios</v>
      </c>
      <c r="C276" s="4">
        <f>IFERROR(__xludf.DUMMYFUNCTION("""COMPUTED_VALUE"""),2.4192)</f>
        <v>2.4192</v>
      </c>
      <c r="D276" s="4">
        <f>IFERROR(__xludf.DUMMYFUNCTION("""COMPUTED_VALUE"""),2.1)</f>
        <v>2.1</v>
      </c>
      <c r="E276" s="4" t="str">
        <f>IFERROR(__xludf.DUMMYFUNCTION("""COMPUTED_VALUE"""),"Neto: 2,10 € (a partir de 1 uds.)")</f>
        <v>Neto: 2,10 € (a partir de 1 uds.)</v>
      </c>
    </row>
    <row r="277">
      <c r="A277" s="4" t="str">
        <f>IFERROR(__xludf.DUMMYFUNCTION("""COMPUTED_VALUE"""),"0298B")</f>
        <v>0298B</v>
      </c>
      <c r="B277" s="4" t="str">
        <f>IFERROR(__xludf.DUMMYFUNCTION("""COMPUTED_VALUE"""),"Cartel PVC 40x30 Fotolum. Escalera de incendios")</f>
        <v>Cartel PVC 40x30 Fotolum. Escalera de incendios</v>
      </c>
      <c r="C277" s="4">
        <f>IFERROR(__xludf.DUMMYFUNCTION("""COMPUTED_VALUE"""),2.976)</f>
        <v>2.976</v>
      </c>
      <c r="D277" s="4">
        <f>IFERROR(__xludf.DUMMYFUNCTION("""COMPUTED_VALUE"""),3.2)</f>
        <v>3.2</v>
      </c>
      <c r="E277" s="4" t="str">
        <f>IFERROR(__xludf.DUMMYFUNCTION("""COMPUTED_VALUE"""),"Neto: 3,20 € (a partir de 1 uds.)")</f>
        <v>Neto: 3,20 € (a partir de 1 uds.)</v>
      </c>
    </row>
    <row r="278">
      <c r="A278" s="4" t="str">
        <f>IFERROR(__xludf.DUMMYFUNCTION("""COMPUTED_VALUE"""),"299")</f>
        <v>299</v>
      </c>
      <c r="B278" s="4" t="str">
        <f>IFERROR(__xludf.DUMMYFUNCTION("""COMPUTED_VALUE"""),"Cartel PVC 40x30 Uso Oblig. de Protec. Lumbar")</f>
        <v>Cartel PVC 40x30 Uso Oblig. de Protec. Lumbar</v>
      </c>
      <c r="C278" s="4">
        <f>IFERROR(__xludf.DUMMYFUNCTION("""COMPUTED_VALUE"""),2.3808)</f>
        <v>2.3808</v>
      </c>
      <c r="D278" s="4">
        <f>IFERROR(__xludf.DUMMYFUNCTION("""COMPUTED_VALUE"""),1.8)</f>
        <v>1.8</v>
      </c>
      <c r="E278" s="4" t="str">
        <f>IFERROR(__xludf.DUMMYFUNCTION("""COMPUTED_VALUE"""),"Neto: 1,80 € (a partir de 1 uds.)")</f>
        <v>Neto: 1,80 € (a partir de 1 uds.)</v>
      </c>
    </row>
    <row r="279">
      <c r="A279" s="4" t="str">
        <f>IFERROR(__xludf.DUMMYFUNCTION("""COMPUTED_VALUE"""),"0299P")</f>
        <v>0299P</v>
      </c>
      <c r="B279" s="4" t="str">
        <f>IFERROR(__xludf.DUMMYFUNCTION("""COMPUTED_VALUE"""),"Cartel PVC 21x29 OBLIGATORIO LA PROTECCION LUMBAR")</f>
        <v>Cartel PVC 21x29 OBLIGATORIO LA PROTECCION LUMBAR</v>
      </c>
      <c r="C279" s="4">
        <f>IFERROR(__xludf.DUMMYFUNCTION("""COMPUTED_VALUE"""),1.536)</f>
        <v>1.536</v>
      </c>
      <c r="D279" s="4">
        <f>IFERROR(__xludf.DUMMYFUNCTION("""COMPUTED_VALUE"""),1.2)</f>
        <v>1.2</v>
      </c>
      <c r="E279" s="4" t="str">
        <f>IFERROR(__xludf.DUMMYFUNCTION("""COMPUTED_VALUE"""),"Neto: 1,20 € (a partir de 1 uds.)")</f>
        <v>Neto: 1,20 € (a partir de 1 uds.)</v>
      </c>
    </row>
    <row r="280">
      <c r="A280" s="4" t="str">
        <f>IFERROR(__xludf.DUMMYFUNCTION("""COMPUTED_VALUE"""),"300")</f>
        <v>300</v>
      </c>
      <c r="B280" s="4" t="str">
        <f>IFERROR(__xludf.DUMMYFUNCTION("""COMPUTED_VALUE"""),"Cartel PVC 40x30 Via oblig. peatones")</f>
        <v>Cartel PVC 40x30 Via oblig. peatones</v>
      </c>
      <c r="C280" s="4">
        <f>IFERROR(__xludf.DUMMYFUNCTION("""COMPUTED_VALUE"""),2.3808)</f>
        <v>2.3808</v>
      </c>
      <c r="D280" s="4">
        <f>IFERROR(__xludf.DUMMYFUNCTION("""COMPUTED_VALUE"""),1.8)</f>
        <v>1.8</v>
      </c>
      <c r="E280" s="4" t="str">
        <f>IFERROR(__xludf.DUMMYFUNCTION("""COMPUTED_VALUE"""),"Neto: 1,80 € (a partir de 1 uds.)")</f>
        <v>Neto: 1,80 € (a partir de 1 uds.)</v>
      </c>
    </row>
    <row r="281">
      <c r="A281" s="4" t="str">
        <f>IFERROR(__xludf.DUMMYFUNCTION("""COMPUTED_VALUE"""),"0300P")</f>
        <v>0300P</v>
      </c>
      <c r="B281" s="4" t="str">
        <f>IFERROR(__xludf.DUMMYFUNCTION("""COMPUTED_VALUE"""),"Cartel PVC 21x29 VIA OBLIGATORIA PARA PEATONES")</f>
        <v>Cartel PVC 21x29 VIA OBLIGATORIA PARA PEATONES</v>
      </c>
      <c r="C281" s="4">
        <f>IFERROR(__xludf.DUMMYFUNCTION("""COMPUTED_VALUE"""),1.536)</f>
        <v>1.536</v>
      </c>
      <c r="D281" s="4">
        <f>IFERROR(__xludf.DUMMYFUNCTION("""COMPUTED_VALUE"""),1.2)</f>
        <v>1.2</v>
      </c>
      <c r="E281" s="4" t="str">
        <f>IFERROR(__xludf.DUMMYFUNCTION("""COMPUTED_VALUE"""),"Neto: 1,20 € (a partir de 1 uds.)")</f>
        <v>Neto: 1,20 € (a partir de 1 uds.)</v>
      </c>
    </row>
    <row r="282">
      <c r="A282" s="4" t="str">
        <f>IFERROR(__xludf.DUMMYFUNCTION("""COMPUTED_VALUE"""),"301")</f>
        <v>301</v>
      </c>
      <c r="B282" s="4" t="str">
        <f>IFERROR(__xludf.DUMMYFUNCTION("""COMPUTED_VALUE"""),"Cartel PVC 40x30 Oblig. Protector")</f>
        <v>Cartel PVC 40x30 Oblig. Protector</v>
      </c>
      <c r="C282" s="4">
        <f>IFERROR(__xludf.DUMMYFUNCTION("""COMPUTED_VALUE"""),2.3808)</f>
        <v>2.3808</v>
      </c>
      <c r="D282" s="4">
        <f>IFERROR(__xludf.DUMMYFUNCTION("""COMPUTED_VALUE"""),1.8)</f>
        <v>1.8</v>
      </c>
      <c r="E282" s="4" t="str">
        <f>IFERROR(__xludf.DUMMYFUNCTION("""COMPUTED_VALUE"""),"Neto: 1,80 € (a partir de 1 uds.)")</f>
        <v>Neto: 1,80 € (a partir de 1 uds.)</v>
      </c>
    </row>
    <row r="283">
      <c r="A283" s="4" t="str">
        <f>IFERROR(__xludf.DUMMYFUNCTION("""COMPUTED_VALUE"""),"0301P")</f>
        <v>0301P</v>
      </c>
      <c r="B283" s="4" t="str">
        <f>IFERROR(__xludf.DUMMYFUNCTION("""COMPUTED_VALUE"""),"Cartel PVC 21x29 USO OBLIGATORIO DE PROTECTOR")</f>
        <v>Cartel PVC 21x29 USO OBLIGATORIO DE PROTECTOR</v>
      </c>
      <c r="C283" s="4">
        <f>IFERROR(__xludf.DUMMYFUNCTION("""COMPUTED_VALUE"""),1.536)</f>
        <v>1.536</v>
      </c>
      <c r="D283" s="4">
        <f>IFERROR(__xludf.DUMMYFUNCTION("""COMPUTED_VALUE"""),1.2)</f>
        <v>1.2</v>
      </c>
      <c r="E283" s="4" t="str">
        <f>IFERROR(__xludf.DUMMYFUNCTION("""COMPUTED_VALUE"""),"Neto: 1,20 € (a partir de 1 uds.)")</f>
        <v>Neto: 1,20 € (a partir de 1 uds.)</v>
      </c>
    </row>
    <row r="284">
      <c r="A284" s="4" t="str">
        <f>IFERROR(__xludf.DUMMYFUNCTION("""COMPUTED_VALUE"""),"302")</f>
        <v>302</v>
      </c>
      <c r="B284" s="4" t="str">
        <f>IFERROR(__xludf.DUMMYFUNCTION("""COMPUTED_VALUE"""),"Cartel PVC 40x30 Proh. paso a peatones")</f>
        <v>Cartel PVC 40x30 Proh. paso a peatones</v>
      </c>
      <c r="C284" s="4">
        <f>IFERROR(__xludf.DUMMYFUNCTION("""COMPUTED_VALUE"""),2.3808)</f>
        <v>2.3808</v>
      </c>
      <c r="D284" s="4">
        <f>IFERROR(__xludf.DUMMYFUNCTION("""COMPUTED_VALUE"""),1.8)</f>
        <v>1.8</v>
      </c>
      <c r="E284" s="4" t="str">
        <f>IFERROR(__xludf.DUMMYFUNCTION("""COMPUTED_VALUE"""),"Neto: 1,80 € (a partir de 1 uds.)")</f>
        <v>Neto: 1,80 € (a partir de 1 uds.)</v>
      </c>
    </row>
    <row r="285">
      <c r="A285" s="4" t="str">
        <f>IFERROR(__xludf.DUMMYFUNCTION("""COMPUTED_VALUE"""),"0302P")</f>
        <v>0302P</v>
      </c>
      <c r="B285" s="4" t="str">
        <f>IFERROR(__xludf.DUMMYFUNCTION("""COMPUTED_VALUE"""),"Cartel PVC 21x29 PROHIBIDO PASAR A LOS PEATONES")</f>
        <v>Cartel PVC 21x29 PROHIBIDO PASAR A LOS PEATONES</v>
      </c>
      <c r="C285" s="4">
        <f>IFERROR(__xludf.DUMMYFUNCTION("""COMPUTED_VALUE"""),1.536)</f>
        <v>1.536</v>
      </c>
      <c r="D285" s="4">
        <f>IFERROR(__xludf.DUMMYFUNCTION("""COMPUTED_VALUE"""),1.2)</f>
        <v>1.2</v>
      </c>
      <c r="E285" s="4" t="str">
        <f>IFERROR(__xludf.DUMMYFUNCTION("""COMPUTED_VALUE"""),"Neto: 1,20 € (a partir de 1 uds.)")</f>
        <v>Neto: 1,20 € (a partir de 1 uds.)</v>
      </c>
    </row>
    <row r="286">
      <c r="A286" s="4" t="str">
        <f>IFERROR(__xludf.DUMMYFUNCTION("""COMPUTED_VALUE"""),"303")</f>
        <v>303</v>
      </c>
      <c r="B286" s="4" t="str">
        <f>IFERROR(__xludf.DUMMYFUNCTION("""COMPUTED_VALUE"""),"Cartel PVC 40x30 Rampa personal autor.")</f>
        <v>Cartel PVC 40x30 Rampa personal autor.</v>
      </c>
      <c r="C286" s="4">
        <f>IFERROR(__xludf.DUMMYFUNCTION("""COMPUTED_VALUE"""),2.3808)</f>
        <v>2.3808</v>
      </c>
      <c r="D286" s="4">
        <f>IFERROR(__xludf.DUMMYFUNCTION("""COMPUTED_VALUE"""),1.8)</f>
        <v>1.8</v>
      </c>
      <c r="E286" s="4" t="str">
        <f>IFERROR(__xludf.DUMMYFUNCTION("""COMPUTED_VALUE"""),"Neto: 1,80 € (a partir de 1 uds.)")</f>
        <v>Neto: 1,80 € (a partir de 1 uds.)</v>
      </c>
    </row>
    <row r="287">
      <c r="A287" s="4" t="str">
        <f>IFERROR(__xludf.DUMMYFUNCTION("""COMPUTED_VALUE"""),"0303B")</f>
        <v>0303B</v>
      </c>
      <c r="B287" s="4" t="str">
        <f>IFERROR(__xludf.DUMMYFUNCTION("""COMPUTED_VALUE"""),"Cartel PVC 21x29 USO OBLIGATORIO PROTECTOR")</f>
        <v>Cartel PVC 21x29 USO OBLIGATORIO PROTECTOR</v>
      </c>
      <c r="C287" s="4">
        <f>IFERROR(__xludf.DUMMYFUNCTION("""COMPUTED_VALUE"""),1.536)</f>
        <v>1.536</v>
      </c>
      <c r="D287" s="4">
        <f>IFERROR(__xludf.DUMMYFUNCTION("""COMPUTED_VALUE"""),1.2)</f>
        <v>1.2</v>
      </c>
      <c r="E287" s="4" t="str">
        <f>IFERROR(__xludf.DUMMYFUNCTION("""COMPUTED_VALUE"""),"Neto: 1,20 € (a partir de 1 uds.)")</f>
        <v>Neto: 1,20 € (a partir de 1 uds.)</v>
      </c>
    </row>
    <row r="288">
      <c r="A288" s="4" t="str">
        <f>IFERROR(__xludf.DUMMYFUNCTION("""COMPUTED_VALUE"""),"0303P")</f>
        <v>0303P</v>
      </c>
      <c r="B288" s="4" t="str">
        <f>IFERROR(__xludf.DUMMYFUNCTION("""COMPUTED_VALUE"""),"Cartel PVC 21x29 RAMPA USO EXCLUSIVO PERSONAL")</f>
        <v>Cartel PVC 21x29 RAMPA USO EXCLUSIVO PERSONAL</v>
      </c>
      <c r="C288" s="4">
        <f>IFERROR(__xludf.DUMMYFUNCTION("""COMPUTED_VALUE"""),1.536)</f>
        <v>1.536</v>
      </c>
      <c r="D288" s="4">
        <f>IFERROR(__xludf.DUMMYFUNCTION("""COMPUTED_VALUE"""),1.2)</f>
        <v>1.2</v>
      </c>
      <c r="E288" s="4" t="str">
        <f>IFERROR(__xludf.DUMMYFUNCTION("""COMPUTED_VALUE"""),"Neto: 1,20 € (a partir de 1 uds.)")</f>
        <v>Neto: 1,20 € (a partir de 1 uds.)</v>
      </c>
    </row>
    <row r="289">
      <c r="A289" s="4" t="str">
        <f>IFERROR(__xludf.DUMMYFUNCTION("""COMPUTED_VALUE"""),"304")</f>
        <v>304</v>
      </c>
      <c r="B289" s="4" t="str">
        <f>IFERROR(__xludf.DUMMYFUNCTION("""COMPUTED_VALUE"""),"Cartel PVC 40x30 Uso oblig. guantes electricos")</f>
        <v>Cartel PVC 40x30 Uso oblig. guantes electricos</v>
      </c>
      <c r="C289" s="4">
        <f>IFERROR(__xludf.DUMMYFUNCTION("""COMPUTED_VALUE"""),2.3808)</f>
        <v>2.3808</v>
      </c>
      <c r="D289" s="4">
        <f>IFERROR(__xludf.DUMMYFUNCTION("""COMPUTED_VALUE"""),1.8)</f>
        <v>1.8</v>
      </c>
      <c r="E289" s="4" t="str">
        <f>IFERROR(__xludf.DUMMYFUNCTION("""COMPUTED_VALUE"""),"Neto: 1,80 € (a partir de 1 uds.)")</f>
        <v>Neto: 1,80 € (a partir de 1 uds.)</v>
      </c>
    </row>
    <row r="290">
      <c r="A290" s="4" t="str">
        <f>IFERROR(__xludf.DUMMYFUNCTION("""COMPUTED_VALUE"""),"0304P")</f>
        <v>0304P</v>
      </c>
      <c r="B290" s="4" t="str">
        <f>IFERROR(__xludf.DUMMYFUNCTION("""COMPUTED_VALUE"""),"Cartel PVC 21x29 USO OBLIGATORIO DE GUANTES")</f>
        <v>Cartel PVC 21x29 USO OBLIGATORIO DE GUANTES</v>
      </c>
      <c r="C290" s="4">
        <f>IFERROR(__xludf.DUMMYFUNCTION("""COMPUTED_VALUE"""),1.536)</f>
        <v>1.536</v>
      </c>
      <c r="D290" s="4">
        <f>IFERROR(__xludf.DUMMYFUNCTION("""COMPUTED_VALUE"""),1.2)</f>
        <v>1.2</v>
      </c>
      <c r="E290" s="4" t="str">
        <f>IFERROR(__xludf.DUMMYFUNCTION("""COMPUTED_VALUE"""),"Neto: 1,20 € (a partir de 1 uds.)")</f>
        <v>Neto: 1,20 € (a partir de 1 uds.)</v>
      </c>
    </row>
    <row r="291">
      <c r="A291" s="4" t="str">
        <f>IFERROR(__xludf.DUMMYFUNCTION("""COMPUTED_VALUE"""),"305")</f>
        <v>305</v>
      </c>
      <c r="B291" s="4" t="str">
        <f>IFERROR(__xludf.DUMMYFUNCTION("""COMPUTED_VALUE"""),"Cartel PVC 40x30 Uso Oblig. calzado electrico")</f>
        <v>Cartel PVC 40x30 Uso Oblig. calzado electrico</v>
      </c>
      <c r="C291" s="4">
        <f>IFERROR(__xludf.DUMMYFUNCTION("""COMPUTED_VALUE"""),2.3808)</f>
        <v>2.3808</v>
      </c>
      <c r="D291" s="4">
        <f>IFERROR(__xludf.DUMMYFUNCTION("""COMPUTED_VALUE"""),1.8)</f>
        <v>1.8</v>
      </c>
      <c r="E291" s="4" t="str">
        <f>IFERROR(__xludf.DUMMYFUNCTION("""COMPUTED_VALUE"""),"Neto: 1,80 € (a partir de 1 uds.)")</f>
        <v>Neto: 1,80 € (a partir de 1 uds.)</v>
      </c>
    </row>
    <row r="292">
      <c r="A292" s="4" t="str">
        <f>IFERROR(__xludf.DUMMYFUNCTION("""COMPUTED_VALUE"""),"0305P")</f>
        <v>0305P</v>
      </c>
      <c r="B292" s="4" t="str">
        <f>IFERROR(__xludf.DUMMYFUNCTION("""COMPUTED_VALUE"""),"Cartel PVC 21x29 USO OBLIGATORIO CALZADO")</f>
        <v>Cartel PVC 21x29 USO OBLIGATORIO CALZADO</v>
      </c>
      <c r="C292" s="4">
        <f>IFERROR(__xludf.DUMMYFUNCTION("""COMPUTED_VALUE"""),1.536)</f>
        <v>1.536</v>
      </c>
      <c r="D292" s="4">
        <f>IFERROR(__xludf.DUMMYFUNCTION("""COMPUTED_VALUE"""),1.2)</f>
        <v>1.2</v>
      </c>
      <c r="E292" s="4" t="str">
        <f>IFERROR(__xludf.DUMMYFUNCTION("""COMPUTED_VALUE"""),"Neto: 1,20 € (a partir de 1 uds.)")</f>
        <v>Neto: 1,20 € (a partir de 1 uds.)</v>
      </c>
    </row>
    <row r="293">
      <c r="A293" s="4" t="str">
        <f>IFERROR(__xludf.DUMMYFUNCTION("""COMPUTED_VALUE"""),"306")</f>
        <v>306</v>
      </c>
      <c r="B293" s="4" t="str">
        <f>IFERROR(__xludf.DUMMYFUNCTION("""COMPUTED_VALUE"""),"Cartel PVC 40x30 Oblig. Lavarse las manos")</f>
        <v>Cartel PVC 40x30 Oblig. Lavarse las manos</v>
      </c>
      <c r="C293" s="4">
        <f>IFERROR(__xludf.DUMMYFUNCTION("""COMPUTED_VALUE"""),2.3808)</f>
        <v>2.3808</v>
      </c>
      <c r="D293" s="4">
        <f>IFERROR(__xludf.DUMMYFUNCTION("""COMPUTED_VALUE"""),1.8)</f>
        <v>1.8</v>
      </c>
      <c r="E293" s="4" t="str">
        <f>IFERROR(__xludf.DUMMYFUNCTION("""COMPUTED_VALUE"""),"Neto: 1,80 € (a partir de 1 uds.)")</f>
        <v>Neto: 1,80 € (a partir de 1 uds.)</v>
      </c>
    </row>
    <row r="294">
      <c r="A294" s="4" t="str">
        <f>IFERROR(__xludf.DUMMYFUNCTION("""COMPUTED_VALUE"""),"0306P")</f>
        <v>0306P</v>
      </c>
      <c r="B294" s="4" t="str">
        <f>IFERROR(__xludf.DUMMYFUNCTION("""COMPUTED_VALUE"""),"Cartel PVC 21x29 OBLIGATORIO LAVARSE LAS MANOS")</f>
        <v>Cartel PVC 21x29 OBLIGATORIO LAVARSE LAS MANOS</v>
      </c>
      <c r="C294" s="4">
        <f>IFERROR(__xludf.DUMMYFUNCTION("""COMPUTED_VALUE"""),1.536)</f>
        <v>1.536</v>
      </c>
      <c r="D294" s="4">
        <f>IFERROR(__xludf.DUMMYFUNCTION("""COMPUTED_VALUE"""),1.2)</f>
        <v>1.2</v>
      </c>
      <c r="E294" s="4" t="str">
        <f>IFERROR(__xludf.DUMMYFUNCTION("""COMPUTED_VALUE"""),"Neto: 1,20 € (a partir de 1 uds.)")</f>
        <v>Neto: 1,20 € (a partir de 1 uds.)</v>
      </c>
    </row>
    <row r="295">
      <c r="A295" s="4" t="str">
        <f>IFERROR(__xludf.DUMMYFUNCTION("""COMPUTED_VALUE"""),"307")</f>
        <v>307</v>
      </c>
      <c r="B295" s="4" t="str">
        <f>IFERROR(__xludf.DUMMYFUNCTION("""COMPUTED_VALUE"""),"Cartel PVC 40x30 Apilar Correctamente")</f>
        <v>Cartel PVC 40x30 Apilar Correctamente</v>
      </c>
      <c r="C295" s="4">
        <f>IFERROR(__xludf.DUMMYFUNCTION("""COMPUTED_VALUE"""),2.3808)</f>
        <v>2.3808</v>
      </c>
      <c r="D295" s="4">
        <f>IFERROR(__xludf.DUMMYFUNCTION("""COMPUTED_VALUE"""),1.8)</f>
        <v>1.8</v>
      </c>
      <c r="E295" s="4" t="str">
        <f>IFERROR(__xludf.DUMMYFUNCTION("""COMPUTED_VALUE"""),"Neto: 1,80 € (a partir de 1 uds.)")</f>
        <v>Neto: 1,80 € (a partir de 1 uds.)</v>
      </c>
    </row>
    <row r="296">
      <c r="A296" s="4" t="str">
        <f>IFERROR(__xludf.DUMMYFUNCTION("""COMPUTED_VALUE"""),"0307P")</f>
        <v>0307P</v>
      </c>
      <c r="B296" s="4" t="str">
        <f>IFERROR(__xludf.DUMMYFUNCTION("""COMPUTED_VALUE"""),"Cartel PVC 21x29 APILAR CORRECTAMENTE")</f>
        <v>Cartel PVC 21x29 APILAR CORRECTAMENTE</v>
      </c>
      <c r="C296" s="4">
        <f>IFERROR(__xludf.DUMMYFUNCTION("""COMPUTED_VALUE"""),1.536)</f>
        <v>1.536</v>
      </c>
      <c r="D296" s="4">
        <f>IFERROR(__xludf.DUMMYFUNCTION("""COMPUTED_VALUE"""),1.2)</f>
        <v>1.2</v>
      </c>
      <c r="E296" s="4" t="str">
        <f>IFERROR(__xludf.DUMMYFUNCTION("""COMPUTED_VALUE"""),"Neto: 1,20 € (a partir de 1 uds.)")</f>
        <v>Neto: 1,20 € (a partir de 1 uds.)</v>
      </c>
    </row>
    <row r="297">
      <c r="A297" s="4" t="str">
        <f>IFERROR(__xludf.DUMMYFUNCTION("""COMPUTED_VALUE"""),"308")</f>
        <v>308</v>
      </c>
      <c r="B297" s="4" t="str">
        <f>IFERROR(__xludf.DUMMYFUNCTION("""COMPUTED_VALUE"""),"Cartel PVC 40x30 Oblig. Protector Ajustable")</f>
        <v>Cartel PVC 40x30 Oblig. Protector Ajustable</v>
      </c>
      <c r="C297" s="4">
        <f>IFERROR(__xludf.DUMMYFUNCTION("""COMPUTED_VALUE"""),2.3808)</f>
        <v>2.3808</v>
      </c>
      <c r="D297" s="4">
        <f>IFERROR(__xludf.DUMMYFUNCTION("""COMPUTED_VALUE"""),1.8)</f>
        <v>1.8</v>
      </c>
      <c r="E297" s="4" t="str">
        <f>IFERROR(__xludf.DUMMYFUNCTION("""COMPUTED_VALUE"""),"Neto: 1,80 € (a partir de 1 uds.)")</f>
        <v>Neto: 1,80 € (a partir de 1 uds.)</v>
      </c>
    </row>
    <row r="298">
      <c r="A298" s="4" t="str">
        <f>IFERROR(__xludf.DUMMYFUNCTION("""COMPUTED_VALUE"""),"0308P")</f>
        <v>0308P</v>
      </c>
      <c r="B298" s="4" t="str">
        <f>IFERROR(__xludf.DUMMYFUNCTION("""COMPUTED_VALUE"""),"Cartel PVC 21x29 Oblig. Protector Ajustable")</f>
        <v>Cartel PVC 21x29 Oblig. Protector Ajustable</v>
      </c>
      <c r="C298" s="4">
        <f>IFERROR(__xludf.DUMMYFUNCTION("""COMPUTED_VALUE"""),1.536)</f>
        <v>1.536</v>
      </c>
      <c r="D298" s="4">
        <f>IFERROR(__xludf.DUMMYFUNCTION("""COMPUTED_VALUE"""),1.2)</f>
        <v>1.2</v>
      </c>
      <c r="E298" s="4" t="str">
        <f>IFERROR(__xludf.DUMMYFUNCTION("""COMPUTED_VALUE"""),"Neto: 1,20 € (a partir de 1 uds.)")</f>
        <v>Neto: 1,20 € (a partir de 1 uds.)</v>
      </c>
    </row>
    <row r="299">
      <c r="A299" s="4" t="str">
        <f>IFERROR(__xludf.DUMMYFUNCTION("""COMPUTED_VALUE"""),"309")</f>
        <v>309</v>
      </c>
      <c r="B299" s="4" t="str">
        <f>IFERROR(__xludf.DUMMYFUNCTION("""COMPUTED_VALUE"""),"Cartel PVC 40x30 Oblig. Protector Fijo")</f>
        <v>Cartel PVC 40x30 Oblig. Protector Fijo</v>
      </c>
      <c r="C299" s="4">
        <f>IFERROR(__xludf.DUMMYFUNCTION("""COMPUTED_VALUE"""),2.3808)</f>
        <v>2.3808</v>
      </c>
      <c r="D299" s="4">
        <f>IFERROR(__xludf.DUMMYFUNCTION("""COMPUTED_VALUE"""),1.8)</f>
        <v>1.8</v>
      </c>
      <c r="E299" s="4" t="str">
        <f>IFERROR(__xludf.DUMMYFUNCTION("""COMPUTED_VALUE"""),"Neto: 1,80 € (a partir de 1 uds.)")</f>
        <v>Neto: 1,80 € (a partir de 1 uds.)</v>
      </c>
    </row>
    <row r="300">
      <c r="A300" s="4" t="str">
        <f>IFERROR(__xludf.DUMMYFUNCTION("""COMPUTED_VALUE"""),"0309P")</f>
        <v>0309P</v>
      </c>
      <c r="B300" s="4" t="str">
        <f>IFERROR(__xludf.DUMMYFUNCTION("""COMPUTED_VALUE"""),"Cartel PVC 21x29 USO OBLIGATORIO PROTECTOR FIJO")</f>
        <v>Cartel PVC 21x29 USO OBLIGATORIO PROTECTOR FIJO</v>
      </c>
      <c r="C300" s="4">
        <f>IFERROR(__xludf.DUMMYFUNCTION("""COMPUTED_VALUE"""),1.536)</f>
        <v>1.536</v>
      </c>
      <c r="D300" s="4">
        <f>IFERROR(__xludf.DUMMYFUNCTION("""COMPUTED_VALUE"""),1.2)</f>
        <v>1.2</v>
      </c>
      <c r="E300" s="4" t="str">
        <f>IFERROR(__xludf.DUMMYFUNCTION("""COMPUTED_VALUE"""),"Neto: 1,20 € (a partir de 1 uds.)")</f>
        <v>Neto: 1,20 € (a partir de 1 uds.)</v>
      </c>
    </row>
    <row r="301">
      <c r="A301" s="4" t="str">
        <f>IFERROR(__xludf.DUMMYFUNCTION("""COMPUTED_VALUE"""),"310")</f>
        <v>310</v>
      </c>
      <c r="B301" s="4" t="str">
        <f>IFERROR(__xludf.DUMMYFUNCTION("""COMPUTED_VALUE"""),"Cartel PVC 40x30 Proh. la entrada con marcapasos")</f>
        <v>Cartel PVC 40x30 Proh. la entrada con marcapasos</v>
      </c>
      <c r="C301" s="4">
        <f>IFERROR(__xludf.DUMMYFUNCTION("""COMPUTED_VALUE"""),2.3808)</f>
        <v>2.3808</v>
      </c>
      <c r="D301" s="4">
        <f>IFERROR(__xludf.DUMMYFUNCTION("""COMPUTED_VALUE"""),1.8)</f>
        <v>1.8</v>
      </c>
      <c r="E301" s="4" t="str">
        <f>IFERROR(__xludf.DUMMYFUNCTION("""COMPUTED_VALUE"""),"Neto: 1,80 € (a partir de 1 uds.)")</f>
        <v>Neto: 1,80 € (a partir de 1 uds.)</v>
      </c>
    </row>
    <row r="302">
      <c r="A302" s="4" t="str">
        <f>IFERROR(__xludf.DUMMYFUNCTION("""COMPUTED_VALUE"""),"0310P")</f>
        <v>0310P</v>
      </c>
      <c r="B302" s="4" t="str">
        <f>IFERROR(__xludf.DUMMYFUNCTION("""COMPUTED_VALUE"""),"Cartel PVC 21x29 PROHIBIDA LA ENTRADA CON")</f>
        <v>Cartel PVC 21x29 PROHIBIDA LA ENTRADA CON</v>
      </c>
      <c r="C302" s="4">
        <f>IFERROR(__xludf.DUMMYFUNCTION("""COMPUTED_VALUE"""),1.536)</f>
        <v>1.536</v>
      </c>
      <c r="D302" s="4">
        <f>IFERROR(__xludf.DUMMYFUNCTION("""COMPUTED_VALUE"""),1.2)</f>
        <v>1.2</v>
      </c>
      <c r="E302" s="4" t="str">
        <f>IFERROR(__xludf.DUMMYFUNCTION("""COMPUTED_VALUE"""),"Neto: 1,20 € (a partir de 1 uds.)")</f>
        <v>Neto: 1,20 € (a partir de 1 uds.)</v>
      </c>
    </row>
    <row r="303">
      <c r="A303" s="4" t="str">
        <f>IFERROR(__xludf.DUMMYFUNCTION("""COMPUTED_VALUE"""),"311")</f>
        <v>311</v>
      </c>
      <c r="B303" s="4" t="str">
        <f>IFERROR(__xludf.DUMMYFUNCTION("""COMPUTED_VALUE"""),"Cartel PVC 40x30 Peligro zona de carga y descarga")</f>
        <v>Cartel PVC 40x30 Peligro zona de carga y descarga</v>
      </c>
      <c r="C303" s="4">
        <f>IFERROR(__xludf.DUMMYFUNCTION("""COMPUTED_VALUE"""),2.3808)</f>
        <v>2.3808</v>
      </c>
      <c r="D303" s="4">
        <f>IFERROR(__xludf.DUMMYFUNCTION("""COMPUTED_VALUE"""),1.8)</f>
        <v>1.8</v>
      </c>
      <c r="E303" s="4" t="str">
        <f>IFERROR(__xludf.DUMMYFUNCTION("""COMPUTED_VALUE"""),"Neto: 1,80 € (a partir de 1 uds.)")</f>
        <v>Neto: 1,80 € (a partir de 1 uds.)</v>
      </c>
    </row>
    <row r="304">
      <c r="A304" s="4" t="str">
        <f>IFERROR(__xludf.DUMMYFUNCTION("""COMPUTED_VALUE"""),"0311P")</f>
        <v>0311P</v>
      </c>
      <c r="B304" s="4" t="str">
        <f>IFERROR(__xludf.DUMMYFUNCTION("""COMPUTED_VALUE"""),"Cartel PVC 21x29 PELIGRO ZONA CARGA Y DESCARGA")</f>
        <v>Cartel PVC 21x29 PELIGRO ZONA CARGA Y DESCARGA</v>
      </c>
      <c r="C304" s="4">
        <f>IFERROR(__xludf.DUMMYFUNCTION("""COMPUTED_VALUE"""),1.536)</f>
        <v>1.536</v>
      </c>
      <c r="D304" s="4">
        <f>IFERROR(__xludf.DUMMYFUNCTION("""COMPUTED_VALUE"""),1.2)</f>
        <v>1.2</v>
      </c>
      <c r="E304" s="4" t="str">
        <f>IFERROR(__xludf.DUMMYFUNCTION("""COMPUTED_VALUE"""),"Neto: 1,20 € (a partir de 1 uds.)")</f>
        <v>Neto: 1,20 € (a partir de 1 uds.)</v>
      </c>
    </row>
    <row r="305">
      <c r="A305" s="4" t="str">
        <f>IFERROR(__xludf.DUMMYFUNCTION("""COMPUTED_VALUE"""),"312")</f>
        <v>312</v>
      </c>
      <c r="B305" s="4" t="str">
        <f>IFERROR(__xludf.DUMMYFUNCTION("""COMPUTED_VALUE"""),"Cartel PVC 40x30 Baja Temperatura")</f>
        <v>Cartel PVC 40x30 Baja Temperatura</v>
      </c>
      <c r="C305" s="4">
        <f>IFERROR(__xludf.DUMMYFUNCTION("""COMPUTED_VALUE"""),2.3808)</f>
        <v>2.3808</v>
      </c>
      <c r="D305" s="4">
        <f>IFERROR(__xludf.DUMMYFUNCTION("""COMPUTED_VALUE"""),1.8)</f>
        <v>1.8</v>
      </c>
      <c r="E305" s="4" t="str">
        <f>IFERROR(__xludf.DUMMYFUNCTION("""COMPUTED_VALUE"""),"Neto: 1,80 € (a partir de 1 uds.)")</f>
        <v>Neto: 1,80 € (a partir de 1 uds.)</v>
      </c>
    </row>
    <row r="306">
      <c r="A306" s="4" t="str">
        <f>IFERROR(__xludf.DUMMYFUNCTION("""COMPUTED_VALUE"""),"0312P")</f>
        <v>0312P</v>
      </c>
      <c r="B306" s="4" t="str">
        <f>IFERROR(__xludf.DUMMYFUNCTION("""COMPUTED_VALUE"""),"Cartel PVC 21x29 ATENCION BAJA TEMPERATURA")</f>
        <v>Cartel PVC 21x29 ATENCION BAJA TEMPERATURA</v>
      </c>
      <c r="C306" s="4">
        <f>IFERROR(__xludf.DUMMYFUNCTION("""COMPUTED_VALUE"""),1.536)</f>
        <v>1.536</v>
      </c>
      <c r="D306" s="4">
        <f>IFERROR(__xludf.DUMMYFUNCTION("""COMPUTED_VALUE"""),1.2)</f>
        <v>1.2</v>
      </c>
      <c r="E306" s="4" t="str">
        <f>IFERROR(__xludf.DUMMYFUNCTION("""COMPUTED_VALUE"""),"Neto: 1,20 € (a partir de 1 uds.)")</f>
        <v>Neto: 1,20 € (a partir de 1 uds.)</v>
      </c>
    </row>
    <row r="307">
      <c r="A307" s="4" t="str">
        <f>IFERROR(__xludf.DUMMYFUNCTION("""COMPUTED_VALUE"""),"313")</f>
        <v>313</v>
      </c>
      <c r="B307" s="4" t="str">
        <f>IFERROR(__xludf.DUMMYFUNCTION("""COMPUTED_VALUE"""),"Cartel PVC 40x30 Peligro Alta Presion")</f>
        <v>Cartel PVC 40x30 Peligro Alta Presion</v>
      </c>
      <c r="C307" s="4">
        <f>IFERROR(__xludf.DUMMYFUNCTION("""COMPUTED_VALUE"""),2.3808)</f>
        <v>2.3808</v>
      </c>
      <c r="D307" s="4">
        <f>IFERROR(__xludf.DUMMYFUNCTION("""COMPUTED_VALUE"""),1.8)</f>
        <v>1.8</v>
      </c>
      <c r="E307" s="4" t="str">
        <f>IFERROR(__xludf.DUMMYFUNCTION("""COMPUTED_VALUE"""),"Neto: 1,80 € (a partir de 1 uds.)")</f>
        <v>Neto: 1,80 € (a partir de 1 uds.)</v>
      </c>
    </row>
    <row r="308">
      <c r="A308" s="4" t="str">
        <f>IFERROR(__xludf.DUMMYFUNCTION("""COMPUTED_VALUE"""),"0313P")</f>
        <v>0313P</v>
      </c>
      <c r="B308" s="4" t="str">
        <f>IFERROR(__xludf.DUMMYFUNCTION("""COMPUTED_VALUE"""),"Cartel PVC 21x29 PELIGRO ALTA PRESION")</f>
        <v>Cartel PVC 21x29 PELIGRO ALTA PRESION</v>
      </c>
      <c r="C308" s="4">
        <f>IFERROR(__xludf.DUMMYFUNCTION("""COMPUTED_VALUE"""),1.536)</f>
        <v>1.536</v>
      </c>
      <c r="D308" s="4">
        <f>IFERROR(__xludf.DUMMYFUNCTION("""COMPUTED_VALUE"""),1.2)</f>
        <v>1.2</v>
      </c>
      <c r="E308" s="4" t="str">
        <f>IFERROR(__xludf.DUMMYFUNCTION("""COMPUTED_VALUE"""),"Neto: 1,20 € (a partir de 1 uds.)")</f>
        <v>Neto: 1,20 € (a partir de 1 uds.)</v>
      </c>
    </row>
    <row r="309">
      <c r="A309" s="4" t="str">
        <f>IFERROR(__xludf.DUMMYFUNCTION("""COMPUTED_VALUE"""),"314")</f>
        <v>314</v>
      </c>
      <c r="B309" s="4" t="str">
        <f>IFERROR(__xludf.DUMMYFUNCTION("""COMPUTED_VALUE"""),"Cartel PVC 40x30 Peligro Suelo fragil")</f>
        <v>Cartel PVC 40x30 Peligro Suelo fragil</v>
      </c>
      <c r="C309" s="4">
        <f>IFERROR(__xludf.DUMMYFUNCTION("""COMPUTED_VALUE"""),2.3808)</f>
        <v>2.3808</v>
      </c>
      <c r="D309" s="4">
        <f>IFERROR(__xludf.DUMMYFUNCTION("""COMPUTED_VALUE"""),1.8)</f>
        <v>1.8</v>
      </c>
      <c r="E309" s="4" t="str">
        <f>IFERROR(__xludf.DUMMYFUNCTION("""COMPUTED_VALUE"""),"Neto: 1,80 € (a partir de 1 uds.)")</f>
        <v>Neto: 1,80 € (a partir de 1 uds.)</v>
      </c>
    </row>
    <row r="310">
      <c r="A310" s="4" t="str">
        <f>IFERROR(__xludf.DUMMYFUNCTION("""COMPUTED_VALUE"""),"0314P")</f>
        <v>0314P</v>
      </c>
      <c r="B310" s="4" t="str">
        <f>IFERROR(__xludf.DUMMYFUNCTION("""COMPUTED_VALUE"""),"Cartel PVC 21x29 ATENCION SUELO FRAGIL")</f>
        <v>Cartel PVC 21x29 ATENCION SUELO FRAGIL</v>
      </c>
      <c r="C310" s="4">
        <f>IFERROR(__xludf.DUMMYFUNCTION("""COMPUTED_VALUE"""),1.536)</f>
        <v>1.536</v>
      </c>
      <c r="D310" s="4">
        <f>IFERROR(__xludf.DUMMYFUNCTION("""COMPUTED_VALUE"""),1.2)</f>
        <v>1.2</v>
      </c>
      <c r="E310" s="4" t="str">
        <f>IFERROR(__xludf.DUMMYFUNCTION("""COMPUTED_VALUE"""),"Neto: 1,20 € (a partir de 1 uds.)")</f>
        <v>Neto: 1,20 € (a partir de 1 uds.)</v>
      </c>
    </row>
    <row r="311">
      <c r="A311" s="4" t="str">
        <f>IFERROR(__xludf.DUMMYFUNCTION("""COMPUTED_VALUE"""),"315")</f>
        <v>315</v>
      </c>
      <c r="B311" s="4" t="str">
        <f>IFERROR(__xludf.DUMMYFUNCTION("""COMPUTED_VALUE"""),"Cartel PVC 40x30 Atencion Suelo Resbaladizo")</f>
        <v>Cartel PVC 40x30 Atencion Suelo Resbaladizo</v>
      </c>
      <c r="C311" s="4">
        <f>IFERROR(__xludf.DUMMYFUNCTION("""COMPUTED_VALUE"""),2.3808)</f>
        <v>2.3808</v>
      </c>
      <c r="D311" s="4">
        <f>IFERROR(__xludf.DUMMYFUNCTION("""COMPUTED_VALUE"""),1.8)</f>
        <v>1.8</v>
      </c>
      <c r="E311" s="4" t="str">
        <f>IFERROR(__xludf.DUMMYFUNCTION("""COMPUTED_VALUE"""),"Neto: 1,80 € (a partir de 1 uds.)")</f>
        <v>Neto: 1,80 € (a partir de 1 uds.)</v>
      </c>
    </row>
    <row r="312">
      <c r="A312" s="4" t="str">
        <f>IFERROR(__xludf.DUMMYFUNCTION("""COMPUTED_VALUE"""),"0315P")</f>
        <v>0315P</v>
      </c>
      <c r="B312" s="4" t="str">
        <f>IFERROR(__xludf.DUMMYFUNCTION("""COMPUTED_VALUE"""),"Cartel PVC 21x29 ATENCION SUELO RESBALADIZO")</f>
        <v>Cartel PVC 21x29 ATENCION SUELO RESBALADIZO</v>
      </c>
      <c r="C312" s="4">
        <f>IFERROR(__xludf.DUMMYFUNCTION("""COMPUTED_VALUE"""),1.536)</f>
        <v>1.536</v>
      </c>
      <c r="D312" s="4">
        <f>IFERROR(__xludf.DUMMYFUNCTION("""COMPUTED_VALUE"""),1.2)</f>
        <v>1.2</v>
      </c>
      <c r="E312" s="4" t="str">
        <f>IFERROR(__xludf.DUMMYFUNCTION("""COMPUTED_VALUE"""),"Neto: 1,20 € (a partir de 1 uds.)")</f>
        <v>Neto: 1,20 € (a partir de 1 uds.)</v>
      </c>
    </row>
    <row r="313">
      <c r="A313" s="4" t="str">
        <f>IFERROR(__xludf.DUMMYFUNCTION("""COMPUTED_VALUE"""),"316")</f>
        <v>316</v>
      </c>
      <c r="B313" s="4" t="str">
        <f>IFERROR(__xludf.DUMMYFUNCTION("""COMPUTED_VALUE"""),"Cartel PVC 40x30 Solo Personal Autorizado")</f>
        <v>Cartel PVC 40x30 Solo Personal Autorizado</v>
      </c>
      <c r="C313" s="4">
        <f>IFERROR(__xludf.DUMMYFUNCTION("""COMPUTED_VALUE"""),2.3808)</f>
        <v>2.3808</v>
      </c>
      <c r="D313" s="4">
        <f>IFERROR(__xludf.DUMMYFUNCTION("""COMPUTED_VALUE"""),1.8)</f>
        <v>1.8</v>
      </c>
      <c r="E313" s="4" t="str">
        <f>IFERROR(__xludf.DUMMYFUNCTION("""COMPUTED_VALUE"""),"Neto: 1,80 € (a partir de 1 uds.)")</f>
        <v>Neto: 1,80 € (a partir de 1 uds.)</v>
      </c>
    </row>
    <row r="314">
      <c r="A314" s="4" t="str">
        <f>IFERROR(__xludf.DUMMYFUNCTION("""COMPUTED_VALUE"""),"0316P")</f>
        <v>0316P</v>
      </c>
      <c r="B314" s="4" t="str">
        <f>IFERROR(__xludf.DUMMYFUNCTION("""COMPUTED_VALUE"""),"Cartel PVC 21x29 SOLO PERSONAL AUTORIZADO")</f>
        <v>Cartel PVC 21x29 SOLO PERSONAL AUTORIZADO</v>
      </c>
      <c r="C314" s="4">
        <f>IFERROR(__xludf.DUMMYFUNCTION("""COMPUTED_VALUE"""),1.536)</f>
        <v>1.536</v>
      </c>
      <c r="D314" s="4">
        <f>IFERROR(__xludf.DUMMYFUNCTION("""COMPUTED_VALUE"""),1.2)</f>
        <v>1.2</v>
      </c>
      <c r="E314" s="4" t="str">
        <f>IFERROR(__xludf.DUMMYFUNCTION("""COMPUTED_VALUE"""),"Neto: 1,20 € (a partir de 1 uds.)")</f>
        <v>Neto: 1,20 € (a partir de 1 uds.)</v>
      </c>
    </row>
    <row r="315">
      <c r="A315" s="4" t="str">
        <f>IFERROR(__xludf.DUMMYFUNCTION("""COMPUTED_VALUE"""),"317")</f>
        <v>317</v>
      </c>
      <c r="B315" s="4" t="str">
        <f>IFERROR(__xludf.DUMMYFUNCTION("""COMPUTED_VALUE"""),"Cartel PVC 40x30 Prohibido paso con bicicleta")</f>
        <v>Cartel PVC 40x30 Prohibido paso con bicicleta</v>
      </c>
      <c r="C315" s="4">
        <f>IFERROR(__xludf.DUMMYFUNCTION("""COMPUTED_VALUE"""),2.3808)</f>
        <v>2.3808</v>
      </c>
      <c r="D315" s="4">
        <f>IFERROR(__xludf.DUMMYFUNCTION("""COMPUTED_VALUE"""),1.8)</f>
        <v>1.8</v>
      </c>
      <c r="E315" s="4" t="str">
        <f>IFERROR(__xludf.DUMMYFUNCTION("""COMPUTED_VALUE"""),"Neto: 1,80 € (a partir de 1 uds.)")</f>
        <v>Neto: 1,80 € (a partir de 1 uds.)</v>
      </c>
    </row>
    <row r="316">
      <c r="A316" s="4" t="str">
        <f>IFERROR(__xludf.DUMMYFUNCTION("""COMPUTED_VALUE"""),"0317P")</f>
        <v>0317P</v>
      </c>
      <c r="B316" s="4" t="str">
        <f>IFERROR(__xludf.DUMMYFUNCTION("""COMPUTED_VALUE"""),"Cartel PVC 21x29 PROHIBIDO EL PASO CON BICICLETA")</f>
        <v>Cartel PVC 21x29 PROHIBIDO EL PASO CON BICICLETA</v>
      </c>
      <c r="C316" s="4">
        <f>IFERROR(__xludf.DUMMYFUNCTION("""COMPUTED_VALUE"""),1.536)</f>
        <v>1.536</v>
      </c>
      <c r="D316" s="4">
        <f>IFERROR(__xludf.DUMMYFUNCTION("""COMPUTED_VALUE"""),1.2)</f>
        <v>1.2</v>
      </c>
      <c r="E316" s="4" t="str">
        <f>IFERROR(__xludf.DUMMYFUNCTION("""COMPUTED_VALUE"""),"Neto: 1,20 € (a partir de 1 uds.)")</f>
        <v>Neto: 1,20 € (a partir de 1 uds.)</v>
      </c>
    </row>
    <row r="317">
      <c r="A317" s="4" t="str">
        <f>IFERROR(__xludf.DUMMYFUNCTION("""COMPUTED_VALUE"""),"318")</f>
        <v>318</v>
      </c>
      <c r="B317" s="4" t="str">
        <f>IFERROR(__xludf.DUMMYFUNCTION("""COMPUTED_VALUE"""),"Cartel PVC 40x30 Prohib. Uso de Moviles")</f>
        <v>Cartel PVC 40x30 Prohib. Uso de Moviles</v>
      </c>
      <c r="C317" s="4">
        <f>IFERROR(__xludf.DUMMYFUNCTION("""COMPUTED_VALUE"""),2.3808)</f>
        <v>2.3808</v>
      </c>
      <c r="D317" s="4">
        <f>IFERROR(__xludf.DUMMYFUNCTION("""COMPUTED_VALUE"""),1.8)</f>
        <v>1.8</v>
      </c>
      <c r="E317" s="4" t="str">
        <f>IFERROR(__xludf.DUMMYFUNCTION("""COMPUTED_VALUE"""),"Neto: 1,80 € (a partir de 1 uds.)")</f>
        <v>Neto: 1,80 € (a partir de 1 uds.)</v>
      </c>
    </row>
    <row r="318">
      <c r="A318" s="4" t="str">
        <f>IFERROR(__xludf.DUMMYFUNCTION("""COMPUTED_VALUE"""),"0318P")</f>
        <v>0318P</v>
      </c>
      <c r="B318" s="4" t="str">
        <f>IFERROR(__xludf.DUMMYFUNCTION("""COMPUTED_VALUE"""),"Cartel PVC 21x29 PROHIBIDO EL USO TELEFONOS")</f>
        <v>Cartel PVC 21x29 PROHIBIDO EL USO TELEFONOS</v>
      </c>
      <c r="C318" s="4">
        <f>IFERROR(__xludf.DUMMYFUNCTION("""COMPUTED_VALUE"""),1.536)</f>
        <v>1.536</v>
      </c>
      <c r="D318" s="4">
        <f>IFERROR(__xludf.DUMMYFUNCTION("""COMPUTED_VALUE"""),1.2)</f>
        <v>1.2</v>
      </c>
      <c r="E318" s="4" t="str">
        <f>IFERROR(__xludf.DUMMYFUNCTION("""COMPUTED_VALUE"""),"Neto: 1,20 € (a partir de 1 uds.)")</f>
        <v>Neto: 1,20 € (a partir de 1 uds.)</v>
      </c>
    </row>
    <row r="319">
      <c r="A319" s="4" t="str">
        <f>IFERROR(__xludf.DUMMYFUNCTION("""COMPUTED_VALUE"""),"319")</f>
        <v>319</v>
      </c>
      <c r="B319" s="4" t="str">
        <f>IFERROR(__xludf.DUMMYFUNCTION("""COMPUTED_VALUE"""),"Cartel PVC 40x30 Fotolum. Hidrante")</f>
        <v>Cartel PVC 40x30 Fotolum. Hidrante</v>
      </c>
      <c r="C319" s="4">
        <f>IFERROR(__xludf.DUMMYFUNCTION("""COMPUTED_VALUE"""),3.312)</f>
        <v>3.312</v>
      </c>
      <c r="D319" s="4">
        <f>IFERROR(__xludf.DUMMYFUNCTION("""COMPUTED_VALUE"""),3.2)</f>
        <v>3.2</v>
      </c>
      <c r="E319" s="4" t="str">
        <f>IFERROR(__xludf.DUMMYFUNCTION("""COMPUTED_VALUE"""),"Neto: 3,20 € (a partir de 1 uds.)")</f>
        <v>Neto: 3,20 € (a partir de 1 uds.)</v>
      </c>
    </row>
    <row r="320">
      <c r="A320" s="4" t="str">
        <f>IFERROR(__xludf.DUMMYFUNCTION("""COMPUTED_VALUE"""),"0319A")</f>
        <v>0319A</v>
      </c>
      <c r="B320" s="4" t="str">
        <f>IFERROR(__xludf.DUMMYFUNCTION("""COMPUTED_VALUE"""),"Cartel PVC 32x16 Fotolum. Salida emergencia dcha abajo")</f>
        <v>Cartel PVC 32x16 Fotolum. Salida emergencia dcha abajo</v>
      </c>
      <c r="C320" s="4">
        <f>IFERROR(__xludf.DUMMYFUNCTION("""COMPUTED_VALUE"""),2.16)</f>
        <v>2.16</v>
      </c>
      <c r="D320" s="4"/>
      <c r="E320" s="4" t="str">
        <f>IFERROR(__xludf.DUMMYFUNCTION("""COMPUTED_VALUE"""),"Sin precio neto")</f>
        <v>Sin precio neto</v>
      </c>
    </row>
    <row r="321">
      <c r="A321" s="4" t="str">
        <f>IFERROR(__xludf.DUMMYFUNCTION("""COMPUTED_VALUE"""),"0319AA")</f>
        <v>0319AA</v>
      </c>
      <c r="B321" s="4" t="str">
        <f>IFERROR(__xludf.DUMMYFUNCTION("""COMPUTED_VALUE"""),"Cartel PVC 32x16 Fotolum. Salida emergencia dcha abajo")</f>
        <v>Cartel PVC 32x16 Fotolum. Salida emergencia dcha abajo</v>
      </c>
      <c r="C321" s="4">
        <f>IFERROR(__xludf.DUMMYFUNCTION("""COMPUTED_VALUE"""),2.16)</f>
        <v>2.16</v>
      </c>
      <c r="D321" s="4"/>
      <c r="E321" s="4" t="str">
        <f>IFERROR(__xludf.DUMMYFUNCTION("""COMPUTED_VALUE"""),"Sin precio neto")</f>
        <v>Sin precio neto</v>
      </c>
    </row>
    <row r="322">
      <c r="A322" s="4" t="str">
        <f>IFERROR(__xludf.DUMMYFUNCTION("""COMPUTED_VALUE"""),"0319B")</f>
        <v>0319B</v>
      </c>
      <c r="B322" s="4" t="str">
        <f>IFERROR(__xludf.DUMMYFUNCTION("""COMPUTED_VALUE"""),"Cartel PVC 64x32 Fotolum. Salida emergencia dcha abajo")</f>
        <v>Cartel PVC 64x32 Fotolum. Salida emergencia dcha abajo</v>
      </c>
      <c r="C322" s="4">
        <f>IFERROR(__xludf.DUMMYFUNCTION("""COMPUTED_VALUE"""),4.300800000000001)</f>
        <v>4.3008</v>
      </c>
      <c r="D322" s="4"/>
      <c r="E322" s="4" t="str">
        <f>IFERROR(__xludf.DUMMYFUNCTION("""COMPUTED_VALUE"""),"Sin precio neto")</f>
        <v>Sin precio neto</v>
      </c>
    </row>
    <row r="323">
      <c r="A323" s="4" t="str">
        <f>IFERROR(__xludf.DUMMYFUNCTION("""COMPUTED_VALUE"""),"0319BA")</f>
        <v>0319BA</v>
      </c>
      <c r="B323" s="4" t="str">
        <f>IFERROR(__xludf.DUMMYFUNCTION("""COMPUTED_VALUE"""),"Cartel PVC 64x32 Fotolum. Salida emergencia dcha abajo")</f>
        <v>Cartel PVC 64x32 Fotolum. Salida emergencia dcha abajo</v>
      </c>
      <c r="C323" s="4">
        <f>IFERROR(__xludf.DUMMYFUNCTION("""COMPUTED_VALUE"""),4.300800000000001)</f>
        <v>4.3008</v>
      </c>
      <c r="D323" s="4"/>
      <c r="E323" s="4" t="str">
        <f>IFERROR(__xludf.DUMMYFUNCTION("""COMPUTED_VALUE"""),"Sin precio neto")</f>
        <v>Sin precio neto</v>
      </c>
    </row>
    <row r="324">
      <c r="A324" s="4" t="str">
        <f>IFERROR(__xludf.DUMMYFUNCTION("""COMPUTED_VALUE"""),"0319C")</f>
        <v>0319C</v>
      </c>
      <c r="B324" s="4" t="str">
        <f>IFERROR(__xludf.DUMMYFUNCTION("""COMPUTED_VALUE"""),"Cartel PVC 96x48 Fotolum. Salida emergencia dcha abajo")</f>
        <v>Cartel PVC 96x48 Fotolum. Salida emergencia dcha abajo</v>
      </c>
      <c r="C324" s="4">
        <f>IFERROR(__xludf.DUMMYFUNCTION("""COMPUTED_VALUE"""),8.601600000000001)</f>
        <v>8.6016</v>
      </c>
      <c r="D324" s="4"/>
      <c r="E324" s="4" t="str">
        <f>IFERROR(__xludf.DUMMYFUNCTION("""COMPUTED_VALUE"""),"Sin precio neto")</f>
        <v>Sin precio neto</v>
      </c>
    </row>
    <row r="325">
      <c r="A325" s="4" t="str">
        <f>IFERROR(__xludf.DUMMYFUNCTION("""COMPUTED_VALUE"""),"0319CA")</f>
        <v>0319CA</v>
      </c>
      <c r="B325" s="4" t="str">
        <f>IFERROR(__xludf.DUMMYFUNCTION("""COMPUTED_VALUE"""),"Cartel PVC 96x48 Fotolum. Salida emergencia dcha abajo")</f>
        <v>Cartel PVC 96x48 Fotolum. Salida emergencia dcha abajo</v>
      </c>
      <c r="C325" s="4">
        <f>IFERROR(__xludf.DUMMYFUNCTION("""COMPUTED_VALUE"""),8.601600000000001)</f>
        <v>8.6016</v>
      </c>
      <c r="D325" s="4"/>
      <c r="E325" s="4" t="str">
        <f>IFERROR(__xludf.DUMMYFUNCTION("""COMPUTED_VALUE"""),"Sin precio neto")</f>
        <v>Sin precio neto</v>
      </c>
    </row>
    <row r="326">
      <c r="A326" s="4" t="str">
        <f>IFERROR(__xludf.DUMMYFUNCTION("""COMPUTED_VALUE"""),"320")</f>
        <v>320</v>
      </c>
      <c r="B326" s="4" t="str">
        <f>IFERROR(__xludf.DUMMYFUNCTION("""COMPUTED_VALUE"""),"Cartel PVC 21x30 Fotolum. Salida escalera arriba izq.")</f>
        <v>Cartel PVC 21x30 Fotolum. Salida escalera arriba izq.</v>
      </c>
      <c r="C326" s="4">
        <f>IFERROR(__xludf.DUMMYFUNCTION("""COMPUTED_VALUE"""),2.496)</f>
        <v>2.496</v>
      </c>
      <c r="D326" s="4">
        <f>IFERROR(__xludf.DUMMYFUNCTION("""COMPUTED_VALUE"""),2.1)</f>
        <v>2.1</v>
      </c>
      <c r="E326" s="4" t="str">
        <f>IFERROR(__xludf.DUMMYFUNCTION("""COMPUTED_VALUE"""),"Neto: 2,10 € (a partir de 1 uds.)")</f>
        <v>Neto: 2,10 € (a partir de 1 uds.)</v>
      </c>
    </row>
    <row r="327">
      <c r="A327" s="4" t="str">
        <f>IFERROR(__xludf.DUMMYFUNCTION("""COMPUTED_VALUE"""),"0320A")</f>
        <v>0320A</v>
      </c>
      <c r="B327" s="4" t="str">
        <f>IFERROR(__xludf.DUMMYFUNCTION("""COMPUTED_VALUE"""),"Cartel PVC 32x16 Fotolum. Salida emergencia arriba izq")</f>
        <v>Cartel PVC 32x16 Fotolum. Salida emergencia arriba izq</v>
      </c>
      <c r="C327" s="4">
        <f>IFERROR(__xludf.DUMMYFUNCTION("""COMPUTED_VALUE"""),2.16)</f>
        <v>2.16</v>
      </c>
      <c r="D327" s="4"/>
      <c r="E327" s="4" t="str">
        <f>IFERROR(__xludf.DUMMYFUNCTION("""COMPUTED_VALUE"""),"Sin precio neto")</f>
        <v>Sin precio neto</v>
      </c>
    </row>
    <row r="328">
      <c r="A328" s="4" t="str">
        <f>IFERROR(__xludf.DUMMYFUNCTION("""COMPUTED_VALUE"""),"0320AA")</f>
        <v>0320AA</v>
      </c>
      <c r="B328" s="4" t="str">
        <f>IFERROR(__xludf.DUMMYFUNCTION("""COMPUTED_VALUE"""),"Cartel PVC 32x16 Fotolum. Salida emergencia arriba izq Minus")</f>
        <v>Cartel PVC 32x16 Fotolum. Salida emergencia arriba izq Minus</v>
      </c>
      <c r="C328" s="4">
        <f>IFERROR(__xludf.DUMMYFUNCTION("""COMPUTED_VALUE"""),2.16)</f>
        <v>2.16</v>
      </c>
      <c r="D328" s="4"/>
      <c r="E328" s="4" t="str">
        <f>IFERROR(__xludf.DUMMYFUNCTION("""COMPUTED_VALUE"""),"Sin precio neto")</f>
        <v>Sin precio neto</v>
      </c>
    </row>
    <row r="329">
      <c r="A329" s="4" t="str">
        <f>IFERROR(__xludf.DUMMYFUNCTION("""COMPUTED_VALUE"""),"0320B")</f>
        <v>0320B</v>
      </c>
      <c r="B329" s="4" t="str">
        <f>IFERROR(__xludf.DUMMYFUNCTION("""COMPUTED_VALUE"""),"Cartel PVC 64x32 Fotolum. Salida emergencia arriba izq")</f>
        <v>Cartel PVC 64x32 Fotolum. Salida emergencia arriba izq</v>
      </c>
      <c r="C329" s="4">
        <f>IFERROR(__xludf.DUMMYFUNCTION("""COMPUTED_VALUE"""),4.300800000000001)</f>
        <v>4.3008</v>
      </c>
      <c r="D329" s="4"/>
      <c r="E329" s="4" t="str">
        <f>IFERROR(__xludf.DUMMYFUNCTION("""COMPUTED_VALUE"""),"Sin precio neto")</f>
        <v>Sin precio neto</v>
      </c>
    </row>
    <row r="330">
      <c r="A330" s="4" t="str">
        <f>IFERROR(__xludf.DUMMYFUNCTION("""COMPUTED_VALUE"""),"0320BA")</f>
        <v>0320BA</v>
      </c>
      <c r="B330" s="4" t="str">
        <f>IFERROR(__xludf.DUMMYFUNCTION("""COMPUTED_VALUE"""),"Cartel PVC 64x32 Fotolum. Salida emergencia arriba izq Minus")</f>
        <v>Cartel PVC 64x32 Fotolum. Salida emergencia arriba izq Minus</v>
      </c>
      <c r="C330" s="4">
        <f>IFERROR(__xludf.DUMMYFUNCTION("""COMPUTED_VALUE"""),4.300800000000001)</f>
        <v>4.3008</v>
      </c>
      <c r="D330" s="4"/>
      <c r="E330" s="4" t="str">
        <f>IFERROR(__xludf.DUMMYFUNCTION("""COMPUTED_VALUE"""),"Sin precio neto")</f>
        <v>Sin precio neto</v>
      </c>
    </row>
    <row r="331">
      <c r="A331" s="4" t="str">
        <f>IFERROR(__xludf.DUMMYFUNCTION("""COMPUTED_VALUE"""),"0320C")</f>
        <v>0320C</v>
      </c>
      <c r="B331" s="4" t="str">
        <f>IFERROR(__xludf.DUMMYFUNCTION("""COMPUTED_VALUE"""),"Cartel PVC 96x48 Fotolum. Salida emergencia arriba izq")</f>
        <v>Cartel PVC 96x48 Fotolum. Salida emergencia arriba izq</v>
      </c>
      <c r="C331" s="4">
        <f>IFERROR(__xludf.DUMMYFUNCTION("""COMPUTED_VALUE"""),8.601600000000001)</f>
        <v>8.6016</v>
      </c>
      <c r="D331" s="4"/>
      <c r="E331" s="4" t="str">
        <f>IFERROR(__xludf.DUMMYFUNCTION("""COMPUTED_VALUE"""),"Sin precio neto")</f>
        <v>Sin precio neto</v>
      </c>
    </row>
    <row r="332">
      <c r="A332" s="4" t="str">
        <f>IFERROR(__xludf.DUMMYFUNCTION("""COMPUTED_VALUE"""),"0320CA")</f>
        <v>0320CA</v>
      </c>
      <c r="B332" s="4" t="str">
        <f>IFERROR(__xludf.DUMMYFUNCTION("""COMPUTED_VALUE"""),"Cartel PVC 96x48 Fotolum. Salida emergencia arriba izq Minus")</f>
        <v>Cartel PVC 96x48 Fotolum. Salida emergencia arriba izq Minus</v>
      </c>
      <c r="C332" s="4">
        <f>IFERROR(__xludf.DUMMYFUNCTION("""COMPUTED_VALUE"""),8.601600000000001)</f>
        <v>8.6016</v>
      </c>
      <c r="D332" s="4"/>
      <c r="E332" s="4" t="str">
        <f>IFERROR(__xludf.DUMMYFUNCTION("""COMPUTED_VALUE"""),"Sin precio neto")</f>
        <v>Sin precio neto</v>
      </c>
    </row>
    <row r="333">
      <c r="A333" s="4" t="str">
        <f>IFERROR(__xludf.DUMMYFUNCTION("""COMPUTED_VALUE"""),"321")</f>
        <v>321</v>
      </c>
      <c r="B333" s="4" t="str">
        <f>IFERROR(__xludf.DUMMYFUNCTION("""COMPUTED_VALUE"""),"Cartel PVC 21x30 Fotolum.Salida escalera abajo izq.")</f>
        <v>Cartel PVC 21x30 Fotolum.Salida escalera abajo izq.</v>
      </c>
      <c r="C333" s="4">
        <f>IFERROR(__xludf.DUMMYFUNCTION("""COMPUTED_VALUE"""),2.496)</f>
        <v>2.496</v>
      </c>
      <c r="D333" s="4">
        <f>IFERROR(__xludf.DUMMYFUNCTION("""COMPUTED_VALUE"""),2.1)</f>
        <v>2.1</v>
      </c>
      <c r="E333" s="4" t="str">
        <f>IFERROR(__xludf.DUMMYFUNCTION("""COMPUTED_VALUE"""),"Neto: 2,10 € (a partir de 1 uds.)")</f>
        <v>Neto: 2,10 € (a partir de 1 uds.)</v>
      </c>
    </row>
    <row r="334">
      <c r="A334" s="4" t="str">
        <f>IFERROR(__xludf.DUMMYFUNCTION("""COMPUTED_VALUE"""),"0321A")</f>
        <v>0321A</v>
      </c>
      <c r="B334" s="4" t="str">
        <f>IFERROR(__xludf.DUMMYFUNCTION("""COMPUTED_VALUE"""),"Cartel PVC 32x16 Fotolum. Salida emergencia abajo izq")</f>
        <v>Cartel PVC 32x16 Fotolum. Salida emergencia abajo izq</v>
      </c>
      <c r="C334" s="4">
        <f>IFERROR(__xludf.DUMMYFUNCTION("""COMPUTED_VALUE"""),2.16)</f>
        <v>2.16</v>
      </c>
      <c r="D334" s="4"/>
      <c r="E334" s="4" t="str">
        <f>IFERROR(__xludf.DUMMYFUNCTION("""COMPUTED_VALUE"""),"Sin precio neto")</f>
        <v>Sin precio neto</v>
      </c>
    </row>
    <row r="335">
      <c r="A335" s="4" t="str">
        <f>IFERROR(__xludf.DUMMYFUNCTION("""COMPUTED_VALUE"""),"0321AA")</f>
        <v>0321AA</v>
      </c>
      <c r="B335" s="4" t="str">
        <f>IFERROR(__xludf.DUMMYFUNCTION("""COMPUTED_VALUE"""),"Cartel PVC 32x16 Fotolum. Salida emergencia abajo izq Minus")</f>
        <v>Cartel PVC 32x16 Fotolum. Salida emergencia abajo izq Minus</v>
      </c>
      <c r="C335" s="4">
        <f>IFERROR(__xludf.DUMMYFUNCTION("""COMPUTED_VALUE"""),2.16)</f>
        <v>2.16</v>
      </c>
      <c r="D335" s="4"/>
      <c r="E335" s="4" t="str">
        <f>IFERROR(__xludf.DUMMYFUNCTION("""COMPUTED_VALUE"""),"Sin precio neto")</f>
        <v>Sin precio neto</v>
      </c>
    </row>
    <row r="336">
      <c r="A336" s="4" t="str">
        <f>IFERROR(__xludf.DUMMYFUNCTION("""COMPUTED_VALUE"""),"0321B")</f>
        <v>0321B</v>
      </c>
      <c r="B336" s="4" t="str">
        <f>IFERROR(__xludf.DUMMYFUNCTION("""COMPUTED_VALUE"""),"Cartel PVC 64x32 Fotolum. Salida emergencia abajo izq")</f>
        <v>Cartel PVC 64x32 Fotolum. Salida emergencia abajo izq</v>
      </c>
      <c r="C336" s="4">
        <f>IFERROR(__xludf.DUMMYFUNCTION("""COMPUTED_VALUE"""),4.300800000000001)</f>
        <v>4.3008</v>
      </c>
      <c r="D336" s="4"/>
      <c r="E336" s="4" t="str">
        <f>IFERROR(__xludf.DUMMYFUNCTION("""COMPUTED_VALUE"""),"Sin precio neto")</f>
        <v>Sin precio neto</v>
      </c>
    </row>
    <row r="337">
      <c r="A337" s="4" t="str">
        <f>IFERROR(__xludf.DUMMYFUNCTION("""COMPUTED_VALUE"""),"0321BA")</f>
        <v>0321BA</v>
      </c>
      <c r="B337" s="4" t="str">
        <f>IFERROR(__xludf.DUMMYFUNCTION("""COMPUTED_VALUE"""),"Cartel PVC 64x32 Fotolum. Salida emergencia abajo izq Minus")</f>
        <v>Cartel PVC 64x32 Fotolum. Salida emergencia abajo izq Minus</v>
      </c>
      <c r="C337" s="4">
        <f>IFERROR(__xludf.DUMMYFUNCTION("""COMPUTED_VALUE"""),4.300800000000001)</f>
        <v>4.3008</v>
      </c>
      <c r="D337" s="4"/>
      <c r="E337" s="4" t="str">
        <f>IFERROR(__xludf.DUMMYFUNCTION("""COMPUTED_VALUE"""),"Sin precio neto")</f>
        <v>Sin precio neto</v>
      </c>
    </row>
    <row r="338">
      <c r="A338" s="4" t="str">
        <f>IFERROR(__xludf.DUMMYFUNCTION("""COMPUTED_VALUE"""),"0321C")</f>
        <v>0321C</v>
      </c>
      <c r="B338" s="4" t="str">
        <f>IFERROR(__xludf.DUMMYFUNCTION("""COMPUTED_VALUE"""),"Cartel PVC 96x48 Fotolum. Salida emergencia abajo izq")</f>
        <v>Cartel PVC 96x48 Fotolum. Salida emergencia abajo izq</v>
      </c>
      <c r="C338" s="4">
        <f>IFERROR(__xludf.DUMMYFUNCTION("""COMPUTED_VALUE"""),8.601600000000001)</f>
        <v>8.6016</v>
      </c>
      <c r="D338" s="4"/>
      <c r="E338" s="4" t="str">
        <f>IFERROR(__xludf.DUMMYFUNCTION("""COMPUTED_VALUE"""),"Sin precio neto")</f>
        <v>Sin precio neto</v>
      </c>
    </row>
    <row r="339">
      <c r="A339" s="4" t="str">
        <f>IFERROR(__xludf.DUMMYFUNCTION("""COMPUTED_VALUE"""),"0321CA")</f>
        <v>0321CA</v>
      </c>
      <c r="B339" s="4" t="str">
        <f>IFERROR(__xludf.DUMMYFUNCTION("""COMPUTED_VALUE"""),"Cartel PVC 96x48 Fotolum. Salida emergencia abajo izq Minus")</f>
        <v>Cartel PVC 96x48 Fotolum. Salida emergencia abajo izq Minus</v>
      </c>
      <c r="C339" s="4">
        <f>IFERROR(__xludf.DUMMYFUNCTION("""COMPUTED_VALUE"""),8.601600000000001)</f>
        <v>8.6016</v>
      </c>
      <c r="D339" s="4"/>
      <c r="E339" s="4" t="str">
        <f>IFERROR(__xludf.DUMMYFUNCTION("""COMPUTED_VALUE"""),"Sin precio neto")</f>
        <v>Sin precio neto</v>
      </c>
    </row>
    <row r="340">
      <c r="A340" s="4" t="str">
        <f>IFERROR(__xludf.DUMMYFUNCTION("""COMPUTED_VALUE"""),"322")</f>
        <v>322</v>
      </c>
      <c r="B340" s="4" t="str">
        <f>IFERROR(__xludf.DUMMYFUNCTION("""COMPUTED_VALUE"""),"Cartel PVC 21x30 Fotolum. Salida escalera arriba dcha.")</f>
        <v>Cartel PVC 21x30 Fotolum. Salida escalera arriba dcha.</v>
      </c>
      <c r="C340" s="4">
        <f>IFERROR(__xludf.DUMMYFUNCTION("""COMPUTED_VALUE"""),2.496)</f>
        <v>2.496</v>
      </c>
      <c r="D340" s="4">
        <f>IFERROR(__xludf.DUMMYFUNCTION("""COMPUTED_VALUE"""),2.1)</f>
        <v>2.1</v>
      </c>
      <c r="E340" s="4" t="str">
        <f>IFERROR(__xludf.DUMMYFUNCTION("""COMPUTED_VALUE"""),"Neto: 2,10 € (a partir de 1 uds.)")</f>
        <v>Neto: 2,10 € (a partir de 1 uds.)</v>
      </c>
    </row>
    <row r="341">
      <c r="A341" s="4" t="str">
        <f>IFERROR(__xludf.DUMMYFUNCTION("""COMPUTED_VALUE"""),"0322A")</f>
        <v>0322A</v>
      </c>
      <c r="B341" s="4" t="str">
        <f>IFERROR(__xludf.DUMMYFUNCTION("""COMPUTED_VALUE"""),"Cartel PVC 32x16 Fotolum. Salida emergencia arriba dcha.")</f>
        <v>Cartel PVC 32x16 Fotolum. Salida emergencia arriba dcha.</v>
      </c>
      <c r="C341" s="4">
        <f>IFERROR(__xludf.DUMMYFUNCTION("""COMPUTED_VALUE"""),2.16)</f>
        <v>2.16</v>
      </c>
      <c r="D341" s="4"/>
      <c r="E341" s="4" t="str">
        <f>IFERROR(__xludf.DUMMYFUNCTION("""COMPUTED_VALUE"""),"Sin precio neto")</f>
        <v>Sin precio neto</v>
      </c>
    </row>
    <row r="342">
      <c r="A342" s="4" t="str">
        <f>IFERROR(__xludf.DUMMYFUNCTION("""COMPUTED_VALUE"""),"0322AA")</f>
        <v>0322AA</v>
      </c>
      <c r="B342" s="4" t="str">
        <f>IFERROR(__xludf.DUMMYFUNCTION("""COMPUTED_VALUE"""),"Cartel PVC 32x16 Fotolum. Salida emergencia arriba dcha.")</f>
        <v>Cartel PVC 32x16 Fotolum. Salida emergencia arriba dcha.</v>
      </c>
      <c r="C342" s="4">
        <f>IFERROR(__xludf.DUMMYFUNCTION("""COMPUTED_VALUE"""),2.16)</f>
        <v>2.16</v>
      </c>
      <c r="D342" s="4"/>
      <c r="E342" s="4" t="str">
        <f>IFERROR(__xludf.DUMMYFUNCTION("""COMPUTED_VALUE"""),"Sin precio neto")</f>
        <v>Sin precio neto</v>
      </c>
    </row>
    <row r="343">
      <c r="A343" s="4" t="str">
        <f>IFERROR(__xludf.DUMMYFUNCTION("""COMPUTED_VALUE"""),"0322B")</f>
        <v>0322B</v>
      </c>
      <c r="B343" s="4" t="str">
        <f>IFERROR(__xludf.DUMMYFUNCTION("""COMPUTED_VALUE"""),"Cartel PVC 64x32 Fotolum. Salida emergencia arriba dcha.")</f>
        <v>Cartel PVC 64x32 Fotolum. Salida emergencia arriba dcha.</v>
      </c>
      <c r="C343" s="4">
        <f>IFERROR(__xludf.DUMMYFUNCTION("""COMPUTED_VALUE"""),4.300800000000001)</f>
        <v>4.3008</v>
      </c>
      <c r="D343" s="4"/>
      <c r="E343" s="4" t="str">
        <f>IFERROR(__xludf.DUMMYFUNCTION("""COMPUTED_VALUE"""),"Sin precio neto")</f>
        <v>Sin precio neto</v>
      </c>
    </row>
    <row r="344">
      <c r="A344" s="4" t="str">
        <f>IFERROR(__xludf.DUMMYFUNCTION("""COMPUTED_VALUE"""),"0322BA")</f>
        <v>0322BA</v>
      </c>
      <c r="B344" s="4" t="str">
        <f>IFERROR(__xludf.DUMMYFUNCTION("""COMPUTED_VALUE"""),"Cartel PVC 64x32 Fotolum. Salida emergencia arriba")</f>
        <v>Cartel PVC 64x32 Fotolum. Salida emergencia arriba</v>
      </c>
      <c r="C344" s="4">
        <f>IFERROR(__xludf.DUMMYFUNCTION("""COMPUTED_VALUE"""),4.300800000000001)</f>
        <v>4.3008</v>
      </c>
      <c r="D344" s="4"/>
      <c r="E344" s="4" t="str">
        <f>IFERROR(__xludf.DUMMYFUNCTION("""COMPUTED_VALUE"""),"Sin precio neto")</f>
        <v>Sin precio neto</v>
      </c>
    </row>
    <row r="345">
      <c r="A345" s="4" t="str">
        <f>IFERROR(__xludf.DUMMYFUNCTION("""COMPUTED_VALUE"""),"0322C")</f>
        <v>0322C</v>
      </c>
      <c r="B345" s="4" t="str">
        <f>IFERROR(__xludf.DUMMYFUNCTION("""COMPUTED_VALUE"""),"Cartel PVC 96x48 Fotolum. Salida emergencia arriba dcha.")</f>
        <v>Cartel PVC 96x48 Fotolum. Salida emergencia arriba dcha.</v>
      </c>
      <c r="C345" s="4">
        <f>IFERROR(__xludf.DUMMYFUNCTION("""COMPUTED_VALUE"""),8.601600000000001)</f>
        <v>8.6016</v>
      </c>
      <c r="D345" s="4"/>
      <c r="E345" s="4" t="str">
        <f>IFERROR(__xludf.DUMMYFUNCTION("""COMPUTED_VALUE"""),"Sin precio neto")</f>
        <v>Sin precio neto</v>
      </c>
    </row>
    <row r="346">
      <c r="A346" s="4" t="str">
        <f>IFERROR(__xludf.DUMMYFUNCTION("""COMPUTED_VALUE"""),"0322CA")</f>
        <v>0322CA</v>
      </c>
      <c r="B346" s="4" t="str">
        <f>IFERROR(__xludf.DUMMYFUNCTION("""COMPUTED_VALUE"""),"Cartel PVC 96x48 Fotolum. Salida emergencia arriba dcha.")</f>
        <v>Cartel PVC 96x48 Fotolum. Salida emergencia arriba dcha.</v>
      </c>
      <c r="C346" s="4">
        <f>IFERROR(__xludf.DUMMYFUNCTION("""COMPUTED_VALUE"""),8.601600000000001)</f>
        <v>8.6016</v>
      </c>
      <c r="D346" s="4"/>
      <c r="E346" s="4" t="str">
        <f>IFERROR(__xludf.DUMMYFUNCTION("""COMPUTED_VALUE"""),"Sin precio neto")</f>
        <v>Sin precio neto</v>
      </c>
    </row>
    <row r="347">
      <c r="A347" s="4" t="str">
        <f>IFERROR(__xludf.DUMMYFUNCTION("""COMPUTED_VALUE"""),"323")</f>
        <v>323</v>
      </c>
      <c r="B347" s="4" t="str">
        <f>IFERROR(__xludf.DUMMYFUNCTION("""COMPUTED_VALUE"""),"Cartel PVC 21x30 Fotolum. Salida escalera abajo dcha")</f>
        <v>Cartel PVC 21x30 Fotolum. Salida escalera abajo dcha</v>
      </c>
      <c r="C347" s="4">
        <f>IFERROR(__xludf.DUMMYFUNCTION("""COMPUTED_VALUE"""),2.496)</f>
        <v>2.496</v>
      </c>
      <c r="D347" s="4">
        <f>IFERROR(__xludf.DUMMYFUNCTION("""COMPUTED_VALUE"""),2.1)</f>
        <v>2.1</v>
      </c>
      <c r="E347" s="4" t="str">
        <f>IFERROR(__xludf.DUMMYFUNCTION("""COMPUTED_VALUE"""),"Neto: 2,10 € (a partir de 1 uds.)")</f>
        <v>Neto: 2,10 € (a partir de 1 uds.)</v>
      </c>
    </row>
    <row r="348">
      <c r="A348" s="4" t="str">
        <f>IFERROR(__xludf.DUMMYFUNCTION("""COMPUTED_VALUE"""),"324")</f>
        <v>324</v>
      </c>
      <c r="B348" s="4" t="str">
        <f>IFERROR(__xludf.DUMMYFUNCTION("""COMPUTED_VALUE"""),"Cartel PVC 21x30 Fotolum. Salida puerta dcha")</f>
        <v>Cartel PVC 21x30 Fotolum. Salida puerta dcha</v>
      </c>
      <c r="C348" s="4">
        <f>IFERROR(__xludf.DUMMYFUNCTION("""COMPUTED_VALUE"""),2.496)</f>
        <v>2.496</v>
      </c>
      <c r="D348" s="4">
        <f>IFERROR(__xludf.DUMMYFUNCTION("""COMPUTED_VALUE"""),2.1)</f>
        <v>2.1</v>
      </c>
      <c r="E348" s="4" t="str">
        <f>IFERROR(__xludf.DUMMYFUNCTION("""COMPUTED_VALUE"""),"Neto: 2,10 € (a partir de 1 uds.)")</f>
        <v>Neto: 2,10 € (a partir de 1 uds.)</v>
      </c>
    </row>
    <row r="349">
      <c r="A349" s="4" t="str">
        <f>IFERROR(__xludf.DUMMYFUNCTION("""COMPUTED_VALUE"""),"0324A")</f>
        <v>0324A</v>
      </c>
      <c r="B349" s="4" t="str">
        <f>IFERROR(__xludf.DUMMYFUNCTION("""COMPUTED_VALUE"""),"Cartel PVC 32x16 Fotolum. Salida de emergencia Pta. Derecha")</f>
        <v>Cartel PVC 32x16 Fotolum. Salida de emergencia Pta. Derecha</v>
      </c>
      <c r="C349" s="4">
        <f>IFERROR(__xludf.DUMMYFUNCTION("""COMPUTED_VALUE"""),2.16)</f>
        <v>2.16</v>
      </c>
      <c r="D349" s="4"/>
      <c r="E349" s="4" t="str">
        <f>IFERROR(__xludf.DUMMYFUNCTION("""COMPUTED_VALUE"""),"Sin precio neto")</f>
        <v>Sin precio neto</v>
      </c>
    </row>
    <row r="350">
      <c r="A350" s="4" t="str">
        <f>IFERROR(__xludf.DUMMYFUNCTION("""COMPUTED_VALUE"""),"0324AA")</f>
        <v>0324AA</v>
      </c>
      <c r="B350" s="4" t="str">
        <f>IFERROR(__xludf.DUMMYFUNCTION("""COMPUTED_VALUE"""),"Cartel PVC 32x16 Fotolum. Salida de emergencia Pta. Derecha")</f>
        <v>Cartel PVC 32x16 Fotolum. Salida de emergencia Pta. Derecha</v>
      </c>
      <c r="C350" s="4">
        <f>IFERROR(__xludf.DUMMYFUNCTION("""COMPUTED_VALUE"""),2.16)</f>
        <v>2.16</v>
      </c>
      <c r="D350" s="4"/>
      <c r="E350" s="4" t="str">
        <f>IFERROR(__xludf.DUMMYFUNCTION("""COMPUTED_VALUE"""),"Sin precio neto")</f>
        <v>Sin precio neto</v>
      </c>
    </row>
    <row r="351">
      <c r="A351" s="4" t="str">
        <f>IFERROR(__xludf.DUMMYFUNCTION("""COMPUTED_VALUE"""),"0324B")</f>
        <v>0324B</v>
      </c>
      <c r="B351" s="4" t="str">
        <f>IFERROR(__xludf.DUMMYFUNCTION("""COMPUTED_VALUE"""),"Cartel PVC 64x32 Fotolum. Salida de emergencia Pta. Derecha")</f>
        <v>Cartel PVC 64x32 Fotolum. Salida de emergencia Pta. Derecha</v>
      </c>
      <c r="C351" s="4">
        <f>IFERROR(__xludf.DUMMYFUNCTION("""COMPUTED_VALUE"""),4.300800000000001)</f>
        <v>4.3008</v>
      </c>
      <c r="D351" s="4"/>
      <c r="E351" s="4" t="str">
        <f>IFERROR(__xludf.DUMMYFUNCTION("""COMPUTED_VALUE"""),"Sin precio neto")</f>
        <v>Sin precio neto</v>
      </c>
    </row>
    <row r="352">
      <c r="A352" s="4" t="str">
        <f>IFERROR(__xludf.DUMMYFUNCTION("""COMPUTED_VALUE"""),"0324BA")</f>
        <v>0324BA</v>
      </c>
      <c r="B352" s="4" t="str">
        <f>IFERROR(__xludf.DUMMYFUNCTION("""COMPUTED_VALUE"""),"Cartel PVC 64x32 Fotolum. Salida de emergencia Pta. Derecha")</f>
        <v>Cartel PVC 64x32 Fotolum. Salida de emergencia Pta. Derecha</v>
      </c>
      <c r="C352" s="4">
        <f>IFERROR(__xludf.DUMMYFUNCTION("""COMPUTED_VALUE"""),4.300800000000001)</f>
        <v>4.3008</v>
      </c>
      <c r="D352" s="4"/>
      <c r="E352" s="4" t="str">
        <f>IFERROR(__xludf.DUMMYFUNCTION("""COMPUTED_VALUE"""),"Sin precio neto")</f>
        <v>Sin precio neto</v>
      </c>
    </row>
    <row r="353">
      <c r="A353" s="4" t="str">
        <f>IFERROR(__xludf.DUMMYFUNCTION("""COMPUTED_VALUE"""),"0324C")</f>
        <v>0324C</v>
      </c>
      <c r="B353" s="4" t="str">
        <f>IFERROR(__xludf.DUMMYFUNCTION("""COMPUTED_VALUE"""),"Cartel PVC 96x48 Fotolum. Salida de emergencia Pta. Derecha")</f>
        <v>Cartel PVC 96x48 Fotolum. Salida de emergencia Pta. Derecha</v>
      </c>
      <c r="C353" s="4">
        <f>IFERROR(__xludf.DUMMYFUNCTION("""COMPUTED_VALUE"""),8.601600000000001)</f>
        <v>8.6016</v>
      </c>
      <c r="D353" s="4"/>
      <c r="E353" s="4" t="str">
        <f>IFERROR(__xludf.DUMMYFUNCTION("""COMPUTED_VALUE"""),"Sin precio neto")</f>
        <v>Sin precio neto</v>
      </c>
    </row>
    <row r="354">
      <c r="A354" s="4" t="str">
        <f>IFERROR(__xludf.DUMMYFUNCTION("""COMPUTED_VALUE"""),"0324CA")</f>
        <v>0324CA</v>
      </c>
      <c r="B354" s="4" t="str">
        <f>IFERROR(__xludf.DUMMYFUNCTION("""COMPUTED_VALUE"""),"Cartel PVC 96x48 Fotolum. Salida de emergencia Pta. Derecha")</f>
        <v>Cartel PVC 96x48 Fotolum. Salida de emergencia Pta. Derecha</v>
      </c>
      <c r="C354" s="4">
        <f>IFERROR(__xludf.DUMMYFUNCTION("""COMPUTED_VALUE"""),8.601600000000001)</f>
        <v>8.6016</v>
      </c>
      <c r="D354" s="4"/>
      <c r="E354" s="4" t="str">
        <f>IFERROR(__xludf.DUMMYFUNCTION("""COMPUTED_VALUE"""),"Sin precio neto")</f>
        <v>Sin precio neto</v>
      </c>
    </row>
    <row r="355">
      <c r="A355" s="4" t="str">
        <f>IFERROR(__xludf.DUMMYFUNCTION("""COMPUTED_VALUE"""),"325")</f>
        <v>325</v>
      </c>
      <c r="B355" s="4" t="str">
        <f>IFERROR(__xludf.DUMMYFUNCTION("""COMPUTED_VALUE"""),"Cartel PVC 21x30 Fotolum. Salida puerta izq.")</f>
        <v>Cartel PVC 21x30 Fotolum. Salida puerta izq.</v>
      </c>
      <c r="C355" s="4">
        <f>IFERROR(__xludf.DUMMYFUNCTION("""COMPUTED_VALUE"""),2.496)</f>
        <v>2.496</v>
      </c>
      <c r="D355" s="4">
        <f>IFERROR(__xludf.DUMMYFUNCTION("""COMPUTED_VALUE"""),2.1)</f>
        <v>2.1</v>
      </c>
      <c r="E355" s="4" t="str">
        <f>IFERROR(__xludf.DUMMYFUNCTION("""COMPUTED_VALUE"""),"Neto: 2,10 € (a partir de 1 uds.)")</f>
        <v>Neto: 2,10 € (a partir de 1 uds.)</v>
      </c>
    </row>
    <row r="356">
      <c r="A356" s="4" t="str">
        <f>IFERROR(__xludf.DUMMYFUNCTION("""COMPUTED_VALUE"""),"0325A")</f>
        <v>0325A</v>
      </c>
      <c r="B356" s="4" t="str">
        <f>IFERROR(__xludf.DUMMYFUNCTION("""COMPUTED_VALUE"""),"Cartel PVC 32x16 Fotolum. Salida de emergencia Pta.")</f>
        <v>Cartel PVC 32x16 Fotolum. Salida de emergencia Pta.</v>
      </c>
      <c r="C356" s="4">
        <f>IFERROR(__xludf.DUMMYFUNCTION("""COMPUTED_VALUE"""),2.16)</f>
        <v>2.16</v>
      </c>
      <c r="D356" s="4"/>
      <c r="E356" s="4" t="str">
        <f>IFERROR(__xludf.DUMMYFUNCTION("""COMPUTED_VALUE"""),"Sin precio neto")</f>
        <v>Sin precio neto</v>
      </c>
    </row>
    <row r="357">
      <c r="A357" s="4" t="str">
        <f>IFERROR(__xludf.DUMMYFUNCTION("""COMPUTED_VALUE"""),"0325AA")</f>
        <v>0325AA</v>
      </c>
      <c r="B357" s="4" t="str">
        <f>IFERROR(__xludf.DUMMYFUNCTION("""COMPUTED_VALUE"""),"Cartel PVC 32x16 Fotolum. Salida de emergencia puerta izq.")</f>
        <v>Cartel PVC 32x16 Fotolum. Salida de emergencia puerta izq.</v>
      </c>
      <c r="C357" s="4">
        <f>IFERROR(__xludf.DUMMYFUNCTION("""COMPUTED_VALUE"""),2.16)</f>
        <v>2.16</v>
      </c>
      <c r="D357" s="4"/>
      <c r="E357" s="4" t="str">
        <f>IFERROR(__xludf.DUMMYFUNCTION("""COMPUTED_VALUE"""),"Sin precio neto")</f>
        <v>Sin precio neto</v>
      </c>
    </row>
    <row r="358">
      <c r="A358" s="4" t="str">
        <f>IFERROR(__xludf.DUMMYFUNCTION("""COMPUTED_VALUE"""),"0325B")</f>
        <v>0325B</v>
      </c>
      <c r="B358" s="4" t="str">
        <f>IFERROR(__xludf.DUMMYFUNCTION("""COMPUTED_VALUE"""),"Cartel PVC 64x32 Fotolum. Salida de emergencia Pta.")</f>
        <v>Cartel PVC 64x32 Fotolum. Salida de emergencia Pta.</v>
      </c>
      <c r="C358" s="4">
        <f>IFERROR(__xludf.DUMMYFUNCTION("""COMPUTED_VALUE"""),4.300800000000001)</f>
        <v>4.3008</v>
      </c>
      <c r="D358" s="4"/>
      <c r="E358" s="4" t="str">
        <f>IFERROR(__xludf.DUMMYFUNCTION("""COMPUTED_VALUE"""),"Sin precio neto")</f>
        <v>Sin precio neto</v>
      </c>
    </row>
    <row r="359">
      <c r="A359" s="4" t="str">
        <f>IFERROR(__xludf.DUMMYFUNCTION("""COMPUTED_VALUE"""),"0325BA")</f>
        <v>0325BA</v>
      </c>
      <c r="B359" s="4" t="str">
        <f>IFERROR(__xludf.DUMMYFUNCTION("""COMPUTED_VALUE"""),"Cartel PVC 64x32 Fotolum. Salida de emergencia Pta. Izq.")</f>
        <v>Cartel PVC 64x32 Fotolum. Salida de emergencia Pta. Izq.</v>
      </c>
      <c r="C359" s="4">
        <f>IFERROR(__xludf.DUMMYFUNCTION("""COMPUTED_VALUE"""),4.300800000000001)</f>
        <v>4.3008</v>
      </c>
      <c r="D359" s="4"/>
      <c r="E359" s="4" t="str">
        <f>IFERROR(__xludf.DUMMYFUNCTION("""COMPUTED_VALUE"""),"Sin precio neto")</f>
        <v>Sin precio neto</v>
      </c>
    </row>
    <row r="360">
      <c r="A360" s="4" t="str">
        <f>IFERROR(__xludf.DUMMYFUNCTION("""COMPUTED_VALUE"""),"0325C")</f>
        <v>0325C</v>
      </c>
      <c r="B360" s="4" t="str">
        <f>IFERROR(__xludf.DUMMYFUNCTION("""COMPUTED_VALUE"""),"Cartel PVC 96x48 Fotolum. Salida de emergencia Pta.")</f>
        <v>Cartel PVC 96x48 Fotolum. Salida de emergencia Pta.</v>
      </c>
      <c r="C360" s="4">
        <f>IFERROR(__xludf.DUMMYFUNCTION("""COMPUTED_VALUE"""),8.601600000000001)</f>
        <v>8.6016</v>
      </c>
      <c r="D360" s="4"/>
      <c r="E360" s="4" t="str">
        <f>IFERROR(__xludf.DUMMYFUNCTION("""COMPUTED_VALUE"""),"Sin precio neto")</f>
        <v>Sin precio neto</v>
      </c>
    </row>
    <row r="361">
      <c r="A361" s="4" t="str">
        <f>IFERROR(__xludf.DUMMYFUNCTION("""COMPUTED_VALUE"""),"0325CA")</f>
        <v>0325CA</v>
      </c>
      <c r="B361" s="4" t="str">
        <f>IFERROR(__xludf.DUMMYFUNCTION("""COMPUTED_VALUE"""),"Cartel PVC 96x48 Fotolum. Salida de emergencia Pta. Izq")</f>
        <v>Cartel PVC 96x48 Fotolum. Salida de emergencia Pta. Izq</v>
      </c>
      <c r="C361" s="4">
        <f>IFERROR(__xludf.DUMMYFUNCTION("""COMPUTED_VALUE"""),8.601600000000001)</f>
        <v>8.6016</v>
      </c>
      <c r="D361" s="4"/>
      <c r="E361" s="4" t="str">
        <f>IFERROR(__xludf.DUMMYFUNCTION("""COMPUTED_VALUE"""),"Sin precio neto")</f>
        <v>Sin precio neto</v>
      </c>
    </row>
    <row r="362">
      <c r="A362" s="4" t="str">
        <f>IFERROR(__xludf.DUMMYFUNCTION("""COMPUTED_VALUE"""),"326")</f>
        <v>326</v>
      </c>
      <c r="B362" s="4" t="str">
        <f>IFERROR(__xludf.DUMMYFUNCTION("""COMPUTED_VALUE"""),"Cartel PVC 21x30 Fotolum. Salida puerta abajo izq.")</f>
        <v>Cartel PVC 21x30 Fotolum. Salida puerta abajo izq.</v>
      </c>
      <c r="C362" s="4">
        <f>IFERROR(__xludf.DUMMYFUNCTION("""COMPUTED_VALUE"""),2.496)</f>
        <v>2.496</v>
      </c>
      <c r="D362" s="4">
        <f>IFERROR(__xludf.DUMMYFUNCTION("""COMPUTED_VALUE"""),2.1)</f>
        <v>2.1</v>
      </c>
      <c r="E362" s="4" t="str">
        <f>IFERROR(__xludf.DUMMYFUNCTION("""COMPUTED_VALUE"""),"Neto: 2,10 € (a partir de 1 uds.)")</f>
        <v>Neto: 2,10 € (a partir de 1 uds.)</v>
      </c>
    </row>
    <row r="363">
      <c r="A363" s="4" t="str">
        <f>IFERROR(__xludf.DUMMYFUNCTION("""COMPUTED_VALUE"""),"0326A")</f>
        <v>0326A</v>
      </c>
      <c r="B363" s="4" t="str">
        <f>IFERROR(__xludf.DUMMYFUNCTION("""COMPUTED_VALUE"""),"Cartel PVC 32x16 Fotolum. Salida de emergencia Pta. Abajo")</f>
        <v>Cartel PVC 32x16 Fotolum. Salida de emergencia Pta. Abajo</v>
      </c>
      <c r="C363" s="4">
        <f>IFERROR(__xludf.DUMMYFUNCTION("""COMPUTED_VALUE"""),2.16)</f>
        <v>2.16</v>
      </c>
      <c r="D363" s="4"/>
      <c r="E363" s="4" t="str">
        <f>IFERROR(__xludf.DUMMYFUNCTION("""COMPUTED_VALUE"""),"Sin precio neto")</f>
        <v>Sin precio neto</v>
      </c>
    </row>
    <row r="364">
      <c r="A364" s="4" t="str">
        <f>IFERROR(__xludf.DUMMYFUNCTION("""COMPUTED_VALUE"""),"0326AA")</f>
        <v>0326AA</v>
      </c>
      <c r="B364" s="4" t="str">
        <f>IFERROR(__xludf.DUMMYFUNCTION("""COMPUTED_VALUE"""),"Cartel PVC 32x16 Fotolum. Salida de emergencia Pta. Abajo")</f>
        <v>Cartel PVC 32x16 Fotolum. Salida de emergencia Pta. Abajo</v>
      </c>
      <c r="C364" s="4">
        <f>IFERROR(__xludf.DUMMYFUNCTION("""COMPUTED_VALUE"""),2.16)</f>
        <v>2.16</v>
      </c>
      <c r="D364" s="4"/>
      <c r="E364" s="4" t="str">
        <f>IFERROR(__xludf.DUMMYFUNCTION("""COMPUTED_VALUE"""),"Sin precio neto")</f>
        <v>Sin precio neto</v>
      </c>
    </row>
    <row r="365">
      <c r="A365" s="4" t="str">
        <f>IFERROR(__xludf.DUMMYFUNCTION("""COMPUTED_VALUE"""),"0326B")</f>
        <v>0326B</v>
      </c>
      <c r="B365" s="4" t="str">
        <f>IFERROR(__xludf.DUMMYFUNCTION("""COMPUTED_VALUE"""),"Cartel PVC 64x32 Fotolum. Salida de emergencia Pta. Abajo")</f>
        <v>Cartel PVC 64x32 Fotolum. Salida de emergencia Pta. Abajo</v>
      </c>
      <c r="C365" s="4">
        <f>IFERROR(__xludf.DUMMYFUNCTION("""COMPUTED_VALUE"""),4.300800000000001)</f>
        <v>4.3008</v>
      </c>
      <c r="D365" s="4"/>
      <c r="E365" s="4" t="str">
        <f>IFERROR(__xludf.DUMMYFUNCTION("""COMPUTED_VALUE"""),"Sin precio neto")</f>
        <v>Sin precio neto</v>
      </c>
    </row>
    <row r="366">
      <c r="A366" s="4" t="str">
        <f>IFERROR(__xludf.DUMMYFUNCTION("""COMPUTED_VALUE"""),"0326BA")</f>
        <v>0326BA</v>
      </c>
      <c r="B366" s="4" t="str">
        <f>IFERROR(__xludf.DUMMYFUNCTION("""COMPUTED_VALUE"""),"Cartel PVC 64x32 Fotolum. Salida de emergencia Pta. Abajo")</f>
        <v>Cartel PVC 64x32 Fotolum. Salida de emergencia Pta. Abajo</v>
      </c>
      <c r="C366" s="4">
        <f>IFERROR(__xludf.DUMMYFUNCTION("""COMPUTED_VALUE"""),4.300800000000001)</f>
        <v>4.3008</v>
      </c>
      <c r="D366" s="4"/>
      <c r="E366" s="4" t="str">
        <f>IFERROR(__xludf.DUMMYFUNCTION("""COMPUTED_VALUE"""),"Sin precio neto")</f>
        <v>Sin precio neto</v>
      </c>
    </row>
    <row r="367">
      <c r="A367" s="4" t="str">
        <f>IFERROR(__xludf.DUMMYFUNCTION("""COMPUTED_VALUE"""),"0326C")</f>
        <v>0326C</v>
      </c>
      <c r="B367" s="4" t="str">
        <f>IFERROR(__xludf.DUMMYFUNCTION("""COMPUTED_VALUE"""),"Cartel PVC 96x48 Fotolum. Salida de emergencia Pta. Abajo")</f>
        <v>Cartel PVC 96x48 Fotolum. Salida de emergencia Pta. Abajo</v>
      </c>
      <c r="C367" s="4">
        <f>IFERROR(__xludf.DUMMYFUNCTION("""COMPUTED_VALUE"""),8.601600000000001)</f>
        <v>8.6016</v>
      </c>
      <c r="D367" s="4"/>
      <c r="E367" s="4" t="str">
        <f>IFERROR(__xludf.DUMMYFUNCTION("""COMPUTED_VALUE"""),"Sin precio neto")</f>
        <v>Sin precio neto</v>
      </c>
    </row>
    <row r="368">
      <c r="A368" s="4" t="str">
        <f>IFERROR(__xludf.DUMMYFUNCTION("""COMPUTED_VALUE"""),"0326CA")</f>
        <v>0326CA</v>
      </c>
      <c r="B368" s="4" t="str">
        <f>IFERROR(__xludf.DUMMYFUNCTION("""COMPUTED_VALUE"""),"Cartel PVC 96x48 Fotolum. Salida de emergencia Pta. Abajo")</f>
        <v>Cartel PVC 96x48 Fotolum. Salida de emergencia Pta. Abajo</v>
      </c>
      <c r="C368" s="4">
        <f>IFERROR(__xludf.DUMMYFUNCTION("""COMPUTED_VALUE"""),8.601600000000001)</f>
        <v>8.6016</v>
      </c>
      <c r="D368" s="4"/>
      <c r="E368" s="4" t="str">
        <f>IFERROR(__xludf.DUMMYFUNCTION("""COMPUTED_VALUE"""),"Sin precio neto")</f>
        <v>Sin precio neto</v>
      </c>
    </row>
    <row r="369">
      <c r="A369" s="4" t="str">
        <f>IFERROR(__xludf.DUMMYFUNCTION("""COMPUTED_VALUE"""),"327")</f>
        <v>327</v>
      </c>
      <c r="B369" s="4" t="str">
        <f>IFERROR(__xludf.DUMMYFUNCTION("""COMPUTED_VALUE"""),"Cartel PVC 21x30 Fotolum.puerta abajo dcha")</f>
        <v>Cartel PVC 21x30 Fotolum.puerta abajo dcha</v>
      </c>
      <c r="C369" s="4">
        <f>IFERROR(__xludf.DUMMYFUNCTION("""COMPUTED_VALUE"""),2.496)</f>
        <v>2.496</v>
      </c>
      <c r="D369" s="4">
        <f>IFERROR(__xludf.DUMMYFUNCTION("""COMPUTED_VALUE"""),2.1)</f>
        <v>2.1</v>
      </c>
      <c r="E369" s="4" t="str">
        <f>IFERROR(__xludf.DUMMYFUNCTION("""COMPUTED_VALUE"""),"Neto: 2,10 € (a partir de 1 uds.)")</f>
        <v>Neto: 2,10 € (a partir de 1 uds.)</v>
      </c>
    </row>
    <row r="370">
      <c r="A370" s="4" t="str">
        <f>IFERROR(__xludf.DUMMYFUNCTION("""COMPUTED_VALUE"""),"0327A")</f>
        <v>0327A</v>
      </c>
      <c r="B370" s="4" t="str">
        <f>IFERROR(__xludf.DUMMYFUNCTION("""COMPUTED_VALUE"""),"Cartel PVC 32x16 Fotolum. Salida de emergencia Pta. Abajo")</f>
        <v>Cartel PVC 32x16 Fotolum. Salida de emergencia Pta. Abajo</v>
      </c>
      <c r="C370" s="4">
        <f>IFERROR(__xludf.DUMMYFUNCTION("""COMPUTED_VALUE"""),2.16)</f>
        <v>2.16</v>
      </c>
      <c r="D370" s="4"/>
      <c r="E370" s="4" t="str">
        <f>IFERROR(__xludf.DUMMYFUNCTION("""COMPUTED_VALUE"""),"Sin precio neto")</f>
        <v>Sin precio neto</v>
      </c>
    </row>
    <row r="371">
      <c r="A371" s="4" t="str">
        <f>IFERROR(__xludf.DUMMYFUNCTION("""COMPUTED_VALUE"""),"0327AA")</f>
        <v>0327AA</v>
      </c>
      <c r="B371" s="4" t="str">
        <f>IFERROR(__xludf.DUMMYFUNCTION("""COMPUTED_VALUE"""),"Cartel PVC 32x16 Fotolum. Salida de emergencia Pta. Abajo")</f>
        <v>Cartel PVC 32x16 Fotolum. Salida de emergencia Pta. Abajo</v>
      </c>
      <c r="C371" s="4">
        <f>IFERROR(__xludf.DUMMYFUNCTION("""COMPUTED_VALUE"""),2.16)</f>
        <v>2.16</v>
      </c>
      <c r="D371" s="4"/>
      <c r="E371" s="4" t="str">
        <f>IFERROR(__xludf.DUMMYFUNCTION("""COMPUTED_VALUE"""),"Sin precio neto")</f>
        <v>Sin precio neto</v>
      </c>
    </row>
    <row r="372">
      <c r="A372" s="4" t="str">
        <f>IFERROR(__xludf.DUMMYFUNCTION("""COMPUTED_VALUE"""),"0327B")</f>
        <v>0327B</v>
      </c>
      <c r="B372" s="4" t="str">
        <f>IFERROR(__xludf.DUMMYFUNCTION("""COMPUTED_VALUE"""),"Cartel PVC 64x32 Fotolum. Salida de emergencia Pta. Abajo")</f>
        <v>Cartel PVC 64x32 Fotolum. Salida de emergencia Pta. Abajo</v>
      </c>
      <c r="C372" s="4">
        <f>IFERROR(__xludf.DUMMYFUNCTION("""COMPUTED_VALUE"""),4.300800000000001)</f>
        <v>4.3008</v>
      </c>
      <c r="D372" s="4"/>
      <c r="E372" s="4" t="str">
        <f>IFERROR(__xludf.DUMMYFUNCTION("""COMPUTED_VALUE"""),"Sin precio neto")</f>
        <v>Sin precio neto</v>
      </c>
    </row>
    <row r="373">
      <c r="A373" s="4" t="str">
        <f>IFERROR(__xludf.DUMMYFUNCTION("""COMPUTED_VALUE"""),"0327BA")</f>
        <v>0327BA</v>
      </c>
      <c r="B373" s="4" t="str">
        <f>IFERROR(__xludf.DUMMYFUNCTION("""COMPUTED_VALUE"""),"Cartel PVC 64x32 Fotolum. Salida de emergencia Pta. Abajo")</f>
        <v>Cartel PVC 64x32 Fotolum. Salida de emergencia Pta. Abajo</v>
      </c>
      <c r="C373" s="4">
        <f>IFERROR(__xludf.DUMMYFUNCTION("""COMPUTED_VALUE"""),4.300800000000001)</f>
        <v>4.3008</v>
      </c>
      <c r="D373" s="4"/>
      <c r="E373" s="4" t="str">
        <f>IFERROR(__xludf.DUMMYFUNCTION("""COMPUTED_VALUE"""),"Sin precio neto")</f>
        <v>Sin precio neto</v>
      </c>
    </row>
    <row r="374">
      <c r="A374" s="4" t="str">
        <f>IFERROR(__xludf.DUMMYFUNCTION("""COMPUTED_VALUE"""),"0327C")</f>
        <v>0327C</v>
      </c>
      <c r="B374" s="4" t="str">
        <f>IFERROR(__xludf.DUMMYFUNCTION("""COMPUTED_VALUE"""),"Cartel PVC 96x48 Fotolum. Salida de emergencia Pta. Abajo")</f>
        <v>Cartel PVC 96x48 Fotolum. Salida de emergencia Pta. Abajo</v>
      </c>
      <c r="C374" s="4">
        <f>IFERROR(__xludf.DUMMYFUNCTION("""COMPUTED_VALUE"""),8.601600000000001)</f>
        <v>8.6016</v>
      </c>
      <c r="D374" s="4"/>
      <c r="E374" s="4" t="str">
        <f>IFERROR(__xludf.DUMMYFUNCTION("""COMPUTED_VALUE"""),"Sin precio neto")</f>
        <v>Sin precio neto</v>
      </c>
    </row>
    <row r="375">
      <c r="A375" s="4" t="str">
        <f>IFERROR(__xludf.DUMMYFUNCTION("""COMPUTED_VALUE"""),"0327CA")</f>
        <v>0327CA</v>
      </c>
      <c r="B375" s="4" t="str">
        <f>IFERROR(__xludf.DUMMYFUNCTION("""COMPUTED_VALUE"""),"Cartel PVC 96x48 Fotolum. Salida de emergencia Pta. Abajo")</f>
        <v>Cartel PVC 96x48 Fotolum. Salida de emergencia Pta. Abajo</v>
      </c>
      <c r="C375" s="4">
        <f>IFERROR(__xludf.DUMMYFUNCTION("""COMPUTED_VALUE"""),8.601600000000001)</f>
        <v>8.6016</v>
      </c>
      <c r="D375" s="4"/>
      <c r="E375" s="4" t="str">
        <f>IFERROR(__xludf.DUMMYFUNCTION("""COMPUTED_VALUE"""),"Sin precio neto")</f>
        <v>Sin precio neto</v>
      </c>
    </row>
    <row r="376">
      <c r="A376" s="4" t="str">
        <f>IFERROR(__xludf.DUMMYFUNCTION("""COMPUTED_VALUE"""),"328")</f>
        <v>328</v>
      </c>
      <c r="B376" s="4" t="str">
        <f>IFERROR(__xludf.DUMMYFUNCTION("""COMPUTED_VALUE"""),"Cartel PVC 21x30 Fotolum. Aseos hombres")</f>
        <v>Cartel PVC 21x30 Fotolum. Aseos hombres</v>
      </c>
      <c r="C376" s="4">
        <f>IFERROR(__xludf.DUMMYFUNCTION("""COMPUTED_VALUE"""),2.496)</f>
        <v>2.496</v>
      </c>
      <c r="D376" s="4">
        <f>IFERROR(__xludf.DUMMYFUNCTION("""COMPUTED_VALUE"""),2.1)</f>
        <v>2.1</v>
      </c>
      <c r="E376" s="4" t="str">
        <f>IFERROR(__xludf.DUMMYFUNCTION("""COMPUTED_VALUE"""),"Neto: 2,10 € (a partir de 1 uds.)")</f>
        <v>Neto: 2,10 € (a partir de 1 uds.)</v>
      </c>
    </row>
    <row r="377">
      <c r="A377" s="4" t="str">
        <f>IFERROR(__xludf.DUMMYFUNCTION("""COMPUTED_VALUE"""),"0328A")</f>
        <v>0328A</v>
      </c>
      <c r="B377" s="4" t="str">
        <f>IFERROR(__xludf.DUMMYFUNCTION("""COMPUTED_VALUE"""),"Cartel PVC 21x30 Fotolum. Aseos masculino")</f>
        <v>Cartel PVC 21x30 Fotolum. Aseos masculino</v>
      </c>
      <c r="C377" s="4">
        <f>IFERROR(__xludf.DUMMYFUNCTION("""COMPUTED_VALUE"""),2.4192)</f>
        <v>2.4192</v>
      </c>
      <c r="D377" s="4">
        <f>IFERROR(__xludf.DUMMYFUNCTION("""COMPUTED_VALUE"""),2.1)</f>
        <v>2.1</v>
      </c>
      <c r="E377" s="4" t="str">
        <f>IFERROR(__xludf.DUMMYFUNCTION("""COMPUTED_VALUE"""),"Neto: 2,10 € (a partir de 1 uds.)")</f>
        <v>Neto: 2,10 € (a partir de 1 uds.)</v>
      </c>
    </row>
    <row r="378">
      <c r="A378" s="4" t="str">
        <f>IFERROR(__xludf.DUMMYFUNCTION("""COMPUTED_VALUE"""),"0328B")</f>
        <v>0328B</v>
      </c>
      <c r="B378" s="4" t="str">
        <f>IFERROR(__xludf.DUMMYFUNCTION("""COMPUTED_VALUE"""),"Cartel PVC 40x30 Fotolum. Aseos Masculino")</f>
        <v>Cartel PVC 40x30 Fotolum. Aseos Masculino</v>
      </c>
      <c r="C378" s="4">
        <f>IFERROR(__xludf.DUMMYFUNCTION("""COMPUTED_VALUE"""),2.976)</f>
        <v>2.976</v>
      </c>
      <c r="D378" s="4">
        <f>IFERROR(__xludf.DUMMYFUNCTION("""COMPUTED_VALUE"""),3.2)</f>
        <v>3.2</v>
      </c>
      <c r="E378" s="4" t="str">
        <f>IFERROR(__xludf.DUMMYFUNCTION("""COMPUTED_VALUE"""),"Neto: 3,20 € (a partir de 1 uds.)")</f>
        <v>Neto: 3,20 € (a partir de 1 uds.)</v>
      </c>
    </row>
    <row r="379">
      <c r="A379" s="4" t="str">
        <f>IFERROR(__xludf.DUMMYFUNCTION("""COMPUTED_VALUE"""),"329")</f>
        <v>329</v>
      </c>
      <c r="B379" s="4" t="str">
        <f>IFERROR(__xludf.DUMMYFUNCTION("""COMPUTED_VALUE"""),"Cartel PVC 21x30 Fotolum. Aseos mujeres")</f>
        <v>Cartel PVC 21x30 Fotolum. Aseos mujeres</v>
      </c>
      <c r="C379" s="4">
        <f>IFERROR(__xludf.DUMMYFUNCTION("""COMPUTED_VALUE"""),2.496)</f>
        <v>2.496</v>
      </c>
      <c r="D379" s="4">
        <f>IFERROR(__xludf.DUMMYFUNCTION("""COMPUTED_VALUE"""),2.1)</f>
        <v>2.1</v>
      </c>
      <c r="E379" s="4" t="str">
        <f>IFERROR(__xludf.DUMMYFUNCTION("""COMPUTED_VALUE"""),"Neto: 2,10 € (a partir de 1 uds.)")</f>
        <v>Neto: 2,10 € (a partir de 1 uds.)</v>
      </c>
    </row>
    <row r="380">
      <c r="A380" s="4" t="str">
        <f>IFERROR(__xludf.DUMMYFUNCTION("""COMPUTED_VALUE"""),"0329A")</f>
        <v>0329A</v>
      </c>
      <c r="B380" s="4" t="str">
        <f>IFERROR(__xludf.DUMMYFUNCTION("""COMPUTED_VALUE"""),"Cartel PVC 21x30 Fotolum. Aseos femenino")</f>
        <v>Cartel PVC 21x30 Fotolum. Aseos femenino</v>
      </c>
      <c r="C380" s="4">
        <f>IFERROR(__xludf.DUMMYFUNCTION("""COMPUTED_VALUE"""),2.4192)</f>
        <v>2.4192</v>
      </c>
      <c r="D380" s="4">
        <f>IFERROR(__xludf.DUMMYFUNCTION("""COMPUTED_VALUE"""),2.1)</f>
        <v>2.1</v>
      </c>
      <c r="E380" s="4" t="str">
        <f>IFERROR(__xludf.DUMMYFUNCTION("""COMPUTED_VALUE"""),"Neto: 2,10 € (a partir de 1 uds.)")</f>
        <v>Neto: 2,10 € (a partir de 1 uds.)</v>
      </c>
    </row>
    <row r="381">
      <c r="A381" s="4" t="str">
        <f>IFERROR(__xludf.DUMMYFUNCTION("""COMPUTED_VALUE"""),"0329B")</f>
        <v>0329B</v>
      </c>
      <c r="B381" s="4" t="str">
        <f>IFERROR(__xludf.DUMMYFUNCTION("""COMPUTED_VALUE"""),"Cartel PVC 40x30 Fotolum. Aseos femenino")</f>
        <v>Cartel PVC 40x30 Fotolum. Aseos femenino</v>
      </c>
      <c r="C381" s="4">
        <f>IFERROR(__xludf.DUMMYFUNCTION("""COMPUTED_VALUE"""),2.976)</f>
        <v>2.976</v>
      </c>
      <c r="D381" s="4">
        <f>IFERROR(__xludf.DUMMYFUNCTION("""COMPUTED_VALUE"""),3.2)</f>
        <v>3.2</v>
      </c>
      <c r="E381" s="4" t="str">
        <f>IFERROR(__xludf.DUMMYFUNCTION("""COMPUTED_VALUE"""),"Neto: 3,20 € (a partir de 1 uds.)")</f>
        <v>Neto: 3,20 € (a partir de 1 uds.)</v>
      </c>
    </row>
    <row r="382">
      <c r="A382" s="4" t="str">
        <f>IFERROR(__xludf.DUMMYFUNCTION("""COMPUTED_VALUE"""),"330")</f>
        <v>330</v>
      </c>
      <c r="B382" s="4" t="str">
        <f>IFERROR(__xludf.DUMMYFUNCTION("""COMPUTED_VALUE"""),"Cartel PVC 21x30 Fotolum. Mujeres/Hombres")</f>
        <v>Cartel PVC 21x30 Fotolum. Mujeres/Hombres</v>
      </c>
      <c r="C382" s="4">
        <f>IFERROR(__xludf.DUMMYFUNCTION("""COMPUTED_VALUE"""),2.496)</f>
        <v>2.496</v>
      </c>
      <c r="D382" s="4">
        <f>IFERROR(__xludf.DUMMYFUNCTION("""COMPUTED_VALUE"""),2.1)</f>
        <v>2.1</v>
      </c>
      <c r="E382" s="4" t="str">
        <f>IFERROR(__xludf.DUMMYFUNCTION("""COMPUTED_VALUE"""),"Neto: 2,10 € (a partir de 1 uds.)")</f>
        <v>Neto: 2,10 € (a partir de 1 uds.)</v>
      </c>
    </row>
    <row r="383">
      <c r="A383" s="4" t="str">
        <f>IFERROR(__xludf.DUMMYFUNCTION("""COMPUTED_VALUE"""),"0330A")</f>
        <v>0330A</v>
      </c>
      <c r="B383" s="4" t="str">
        <f>IFERROR(__xludf.DUMMYFUNCTION("""COMPUTED_VALUE"""),"Cartel PVC 21x30 Fotolum. Aseos mixtos")</f>
        <v>Cartel PVC 21x30 Fotolum. Aseos mixtos</v>
      </c>
      <c r="C383" s="4">
        <f>IFERROR(__xludf.DUMMYFUNCTION("""COMPUTED_VALUE"""),2.4192)</f>
        <v>2.4192</v>
      </c>
      <c r="D383" s="4">
        <f>IFERROR(__xludf.DUMMYFUNCTION("""COMPUTED_VALUE"""),2.1)</f>
        <v>2.1</v>
      </c>
      <c r="E383" s="4" t="str">
        <f>IFERROR(__xludf.DUMMYFUNCTION("""COMPUTED_VALUE"""),"Neto: 2,10 € (a partir de 1 uds.)")</f>
        <v>Neto: 2,10 € (a partir de 1 uds.)</v>
      </c>
    </row>
    <row r="384">
      <c r="A384" s="4" t="str">
        <f>IFERROR(__xludf.DUMMYFUNCTION("""COMPUTED_VALUE"""),"0330B")</f>
        <v>0330B</v>
      </c>
      <c r="B384" s="4" t="str">
        <f>IFERROR(__xludf.DUMMYFUNCTION("""COMPUTED_VALUE"""),"Cartel PVC 40x30 Fotolum. Aseos mixtos")</f>
        <v>Cartel PVC 40x30 Fotolum. Aseos mixtos</v>
      </c>
      <c r="C384" s="4">
        <f>IFERROR(__xludf.DUMMYFUNCTION("""COMPUTED_VALUE"""),2.976)</f>
        <v>2.976</v>
      </c>
      <c r="D384" s="4">
        <f>IFERROR(__xludf.DUMMYFUNCTION("""COMPUTED_VALUE"""),3.2)</f>
        <v>3.2</v>
      </c>
      <c r="E384" s="4" t="str">
        <f>IFERROR(__xludf.DUMMYFUNCTION("""COMPUTED_VALUE"""),"Neto: 3,20 € (a partir de 1 uds.)")</f>
        <v>Neto: 3,20 € (a partir de 1 uds.)</v>
      </c>
    </row>
    <row r="385">
      <c r="A385" s="4" t="str">
        <f>IFERROR(__xludf.DUMMYFUNCTION("""COMPUTED_VALUE"""),"331")</f>
        <v>331</v>
      </c>
      <c r="B385" s="4" t="str">
        <f>IFERROR(__xludf.DUMMYFUNCTION("""COMPUTED_VALUE"""),"Cartel PVC 21x29 Fotolum. HIDRANTE")</f>
        <v>Cartel PVC 21x29 Fotolum. HIDRANTE</v>
      </c>
      <c r="C385" s="4">
        <f>IFERROR(__xludf.DUMMYFUNCTION("""COMPUTED_VALUE"""),2.496)</f>
        <v>2.496</v>
      </c>
      <c r="D385" s="4">
        <f>IFERROR(__xludf.DUMMYFUNCTION("""COMPUTED_VALUE"""),2.1)</f>
        <v>2.1</v>
      </c>
      <c r="E385" s="4" t="str">
        <f>IFERROR(__xludf.DUMMYFUNCTION("""COMPUTED_VALUE"""),"Neto: 2,10 € (a partir de 1 uds.)")</f>
        <v>Neto: 2,10 € (a partir de 1 uds.)</v>
      </c>
    </row>
    <row r="386">
      <c r="A386" s="4" t="str">
        <f>IFERROR(__xludf.DUMMYFUNCTION("""COMPUTED_VALUE"""),"332")</f>
        <v>332</v>
      </c>
      <c r="B386" s="4" t="str">
        <f>IFERROR(__xludf.DUMMYFUNCTION("""COMPUTED_VALUE"""),"Cartel PVC 21x30 Fotolum. Salida Emerg. puerta dcha")</f>
        <v>Cartel PVC 21x30 Fotolum. Salida Emerg. puerta dcha</v>
      </c>
      <c r="C386" s="4">
        <f>IFERROR(__xludf.DUMMYFUNCTION("""COMPUTED_VALUE"""),2.496)</f>
        <v>2.496</v>
      </c>
      <c r="D386" s="4">
        <f>IFERROR(__xludf.DUMMYFUNCTION("""COMPUTED_VALUE"""),2.1)</f>
        <v>2.1</v>
      </c>
      <c r="E386" s="4" t="str">
        <f>IFERROR(__xludf.DUMMYFUNCTION("""COMPUTED_VALUE"""),"Neto: 2,10 € (a partir de 1 uds.)")</f>
        <v>Neto: 2,10 € (a partir de 1 uds.)</v>
      </c>
    </row>
    <row r="387">
      <c r="A387" s="4" t="str">
        <f>IFERROR(__xludf.DUMMYFUNCTION("""COMPUTED_VALUE"""),"333")</f>
        <v>333</v>
      </c>
      <c r="B387" s="4" t="str">
        <f>IFERROR(__xludf.DUMMYFUNCTION("""COMPUTED_VALUE"""),"Cartel PVC 21x30 Fotolum. Salida Emerg. puerta abajo dcha.")</f>
        <v>Cartel PVC 21x30 Fotolum. Salida Emerg. puerta abajo dcha.</v>
      </c>
      <c r="C387" s="4">
        <f>IFERROR(__xludf.DUMMYFUNCTION("""COMPUTED_VALUE"""),2.496)</f>
        <v>2.496</v>
      </c>
      <c r="D387" s="4">
        <f>IFERROR(__xludf.DUMMYFUNCTION("""COMPUTED_VALUE"""),2.1)</f>
        <v>2.1</v>
      </c>
      <c r="E387" s="4" t="str">
        <f>IFERROR(__xludf.DUMMYFUNCTION("""COMPUTED_VALUE"""),"Neto: 2,10 € (a partir de 1 uds.)")</f>
        <v>Neto: 2,10 € (a partir de 1 uds.)</v>
      </c>
    </row>
    <row r="388">
      <c r="A388" s="4" t="str">
        <f>IFERROR(__xludf.DUMMYFUNCTION("""COMPUTED_VALUE"""),"334")</f>
        <v>334</v>
      </c>
      <c r="B388" s="4" t="str">
        <f>IFERROR(__xludf.DUMMYFUNCTION("""COMPUTED_VALUE"""),"Cartel PVC 21x30 Fotolum. Salida Emerg. puerta izq.")</f>
        <v>Cartel PVC 21x30 Fotolum. Salida Emerg. puerta izq.</v>
      </c>
      <c r="C388" s="4">
        <f>IFERROR(__xludf.DUMMYFUNCTION("""COMPUTED_VALUE"""),2.496)</f>
        <v>2.496</v>
      </c>
      <c r="D388" s="4">
        <f>IFERROR(__xludf.DUMMYFUNCTION("""COMPUTED_VALUE"""),2.1)</f>
        <v>2.1</v>
      </c>
      <c r="E388" s="4" t="str">
        <f>IFERROR(__xludf.DUMMYFUNCTION("""COMPUTED_VALUE"""),"Neto: 2,10 € (a partir de 1 uds.)")</f>
        <v>Neto: 2,10 € (a partir de 1 uds.)</v>
      </c>
    </row>
    <row r="389">
      <c r="A389" s="4" t="str">
        <f>IFERROR(__xludf.DUMMYFUNCTION("""COMPUTED_VALUE"""),"335")</f>
        <v>335</v>
      </c>
      <c r="B389" s="4" t="str">
        <f>IFERROR(__xludf.DUMMYFUNCTION("""COMPUTED_VALUE"""),"Cartel PVC 21x30 Fotolum. Salida Emerg. puerta abajo izq.")</f>
        <v>Cartel PVC 21x30 Fotolum. Salida Emerg. puerta abajo izq.</v>
      </c>
      <c r="C389" s="4">
        <f>IFERROR(__xludf.DUMMYFUNCTION("""COMPUTED_VALUE"""),2.496)</f>
        <v>2.496</v>
      </c>
      <c r="D389" s="4">
        <f>IFERROR(__xludf.DUMMYFUNCTION("""COMPUTED_VALUE"""),2.1)</f>
        <v>2.1</v>
      </c>
      <c r="E389" s="4" t="str">
        <f>IFERROR(__xludf.DUMMYFUNCTION("""COMPUTED_VALUE"""),"Neto: 2,10 € (a partir de 1 uds.)")</f>
        <v>Neto: 2,10 € (a partir de 1 uds.)</v>
      </c>
    </row>
    <row r="390">
      <c r="A390" s="4" t="str">
        <f>IFERROR(__xludf.DUMMYFUNCTION("""COMPUTED_VALUE"""),"336")</f>
        <v>336</v>
      </c>
      <c r="B390" s="4" t="str">
        <f>IFERROR(__xludf.DUMMYFUNCTION("""COMPUTED_VALUE"""),"Cartel PVC 21x30 Fotolum. Salida Emerg. escalera abajo izq.")</f>
        <v>Cartel PVC 21x30 Fotolum. Salida Emerg. escalera abajo izq.</v>
      </c>
      <c r="C390" s="4">
        <f>IFERROR(__xludf.DUMMYFUNCTION("""COMPUTED_VALUE"""),2.496)</f>
        <v>2.496</v>
      </c>
      <c r="D390" s="4">
        <f>IFERROR(__xludf.DUMMYFUNCTION("""COMPUTED_VALUE"""),2.1)</f>
        <v>2.1</v>
      </c>
      <c r="E390" s="4" t="str">
        <f>IFERROR(__xludf.DUMMYFUNCTION("""COMPUTED_VALUE"""),"Neto: 2,10 € (a partir de 1 uds.)")</f>
        <v>Neto: 2,10 € (a partir de 1 uds.)</v>
      </c>
    </row>
    <row r="391">
      <c r="A391" s="4" t="str">
        <f>IFERROR(__xludf.DUMMYFUNCTION("""COMPUTED_VALUE"""),"0336A")</f>
        <v>0336A</v>
      </c>
      <c r="B391" s="4" t="str">
        <f>IFERROR(__xludf.DUMMYFUNCTION("""COMPUTED_VALUE"""),"Cartel PVC 32x16 Fotolum. Escal. de emergencia izq abajo")</f>
        <v>Cartel PVC 32x16 Fotolum. Escal. de emergencia izq abajo</v>
      </c>
      <c r="C391" s="4">
        <f>IFERROR(__xludf.DUMMYFUNCTION("""COMPUTED_VALUE"""),2.16)</f>
        <v>2.16</v>
      </c>
      <c r="D391" s="4"/>
      <c r="E391" s="4" t="str">
        <f>IFERROR(__xludf.DUMMYFUNCTION("""COMPUTED_VALUE"""),"Sin precio neto")</f>
        <v>Sin precio neto</v>
      </c>
    </row>
    <row r="392">
      <c r="A392" s="4" t="str">
        <f>IFERROR(__xludf.DUMMYFUNCTION("""COMPUTED_VALUE"""),"0336B")</f>
        <v>0336B</v>
      </c>
      <c r="B392" s="4" t="str">
        <f>IFERROR(__xludf.DUMMYFUNCTION("""COMPUTED_VALUE"""),"Cartel PVC 64x32 Fotolum. Escal. de emergencia izq abajo")</f>
        <v>Cartel PVC 64x32 Fotolum. Escal. de emergencia izq abajo</v>
      </c>
      <c r="C392" s="4">
        <f>IFERROR(__xludf.DUMMYFUNCTION("""COMPUTED_VALUE"""),4.300800000000001)</f>
        <v>4.3008</v>
      </c>
      <c r="D392" s="4"/>
      <c r="E392" s="4" t="str">
        <f>IFERROR(__xludf.DUMMYFUNCTION("""COMPUTED_VALUE"""),"Sin precio neto")</f>
        <v>Sin precio neto</v>
      </c>
    </row>
    <row r="393">
      <c r="A393" s="4" t="str">
        <f>IFERROR(__xludf.DUMMYFUNCTION("""COMPUTED_VALUE"""),"337")</f>
        <v>337</v>
      </c>
      <c r="B393" s="4" t="str">
        <f>IFERROR(__xludf.DUMMYFUNCTION("""COMPUTED_VALUE"""),"Cartel PVC 21x30 Fotolum. Salida Emerg.escalera arriba dcha.")</f>
        <v>Cartel PVC 21x30 Fotolum. Salida Emerg.escalera arriba dcha.</v>
      </c>
      <c r="C393" s="4">
        <f>IFERROR(__xludf.DUMMYFUNCTION("""COMPUTED_VALUE"""),2.496)</f>
        <v>2.496</v>
      </c>
      <c r="D393" s="4">
        <f>IFERROR(__xludf.DUMMYFUNCTION("""COMPUTED_VALUE"""),2.1)</f>
        <v>2.1</v>
      </c>
      <c r="E393" s="4" t="str">
        <f>IFERROR(__xludf.DUMMYFUNCTION("""COMPUTED_VALUE"""),"Neto: 2,10 € (a partir de 1 uds.)")</f>
        <v>Neto: 2,10 € (a partir de 1 uds.)</v>
      </c>
    </row>
    <row r="394">
      <c r="A394" s="4" t="str">
        <f>IFERROR(__xludf.DUMMYFUNCTION("""COMPUTED_VALUE"""),"0337A")</f>
        <v>0337A</v>
      </c>
      <c r="B394" s="4" t="str">
        <f>IFERROR(__xludf.DUMMYFUNCTION("""COMPUTED_VALUE"""),"Cartel PVC 32x16 Fotolum. Escal. de emergencia dcha arriba")</f>
        <v>Cartel PVC 32x16 Fotolum. Escal. de emergencia dcha arriba</v>
      </c>
      <c r="C394" s="4">
        <f>IFERROR(__xludf.DUMMYFUNCTION("""COMPUTED_VALUE"""),2.16)</f>
        <v>2.16</v>
      </c>
      <c r="D394" s="4"/>
      <c r="E394" s="4" t="str">
        <f>IFERROR(__xludf.DUMMYFUNCTION("""COMPUTED_VALUE"""),"Sin precio neto")</f>
        <v>Sin precio neto</v>
      </c>
    </row>
    <row r="395">
      <c r="A395" s="4" t="str">
        <f>IFERROR(__xludf.DUMMYFUNCTION("""COMPUTED_VALUE"""),"0337B")</f>
        <v>0337B</v>
      </c>
      <c r="B395" s="4" t="str">
        <f>IFERROR(__xludf.DUMMYFUNCTION("""COMPUTED_VALUE"""),"Cartel PVC 64x32 Fotolum. Escal. de emergencia dcha arriba")</f>
        <v>Cartel PVC 64x32 Fotolum. Escal. de emergencia dcha arriba</v>
      </c>
      <c r="C395" s="4">
        <f>IFERROR(__xludf.DUMMYFUNCTION("""COMPUTED_VALUE"""),4.300800000000001)</f>
        <v>4.3008</v>
      </c>
      <c r="D395" s="4"/>
      <c r="E395" s="4" t="str">
        <f>IFERROR(__xludf.DUMMYFUNCTION("""COMPUTED_VALUE"""),"Sin precio neto")</f>
        <v>Sin precio neto</v>
      </c>
    </row>
    <row r="396">
      <c r="A396" s="4" t="str">
        <f>IFERROR(__xludf.DUMMYFUNCTION("""COMPUTED_VALUE"""),"0337C")</f>
        <v>0337C</v>
      </c>
      <c r="B396" s="4" t="str">
        <f>IFERROR(__xludf.DUMMYFUNCTION("""COMPUTED_VALUE"""),"Cartel PVC 96x48 Fotolum. Escal. de emergencia dcha arriba")</f>
        <v>Cartel PVC 96x48 Fotolum. Escal. de emergencia dcha arriba</v>
      </c>
      <c r="C396" s="4">
        <f>IFERROR(__xludf.DUMMYFUNCTION("""COMPUTED_VALUE"""),8.601600000000001)</f>
        <v>8.6016</v>
      </c>
      <c r="D396" s="4"/>
      <c r="E396" s="4" t="str">
        <f>IFERROR(__xludf.DUMMYFUNCTION("""COMPUTED_VALUE"""),"Sin precio neto")</f>
        <v>Sin precio neto</v>
      </c>
    </row>
    <row r="397">
      <c r="A397" s="4" t="str">
        <f>IFERROR(__xludf.DUMMYFUNCTION("""COMPUTED_VALUE"""),"338")</f>
        <v>338</v>
      </c>
      <c r="B397" s="4" t="str">
        <f>IFERROR(__xludf.DUMMYFUNCTION("""COMPUTED_VALUE"""),"Cartel PVC 21x30 Fotolum. Salida Emerg. escalera abajo dcha")</f>
        <v>Cartel PVC 21x30 Fotolum. Salida Emerg. escalera abajo dcha</v>
      </c>
      <c r="C397" s="4">
        <f>IFERROR(__xludf.DUMMYFUNCTION("""COMPUTED_VALUE"""),2.496)</f>
        <v>2.496</v>
      </c>
      <c r="D397" s="4">
        <f>IFERROR(__xludf.DUMMYFUNCTION("""COMPUTED_VALUE"""),2.1)</f>
        <v>2.1</v>
      </c>
      <c r="E397" s="4" t="str">
        <f>IFERROR(__xludf.DUMMYFUNCTION("""COMPUTED_VALUE"""),"Neto: 2,10 € (a partir de 1 uds.)")</f>
        <v>Neto: 2,10 € (a partir de 1 uds.)</v>
      </c>
    </row>
    <row r="398">
      <c r="A398" s="4" t="str">
        <f>IFERROR(__xludf.DUMMYFUNCTION("""COMPUTED_VALUE"""),"0338A")</f>
        <v>0338A</v>
      </c>
      <c r="B398" s="4" t="str">
        <f>IFERROR(__xludf.DUMMYFUNCTION("""COMPUTED_VALUE"""),"Cartel PVC 32x16 Fotolum. Escal. de emergencia dcha abajo")</f>
        <v>Cartel PVC 32x16 Fotolum. Escal. de emergencia dcha abajo</v>
      </c>
      <c r="C398" s="4">
        <f>IFERROR(__xludf.DUMMYFUNCTION("""COMPUTED_VALUE"""),2.16)</f>
        <v>2.16</v>
      </c>
      <c r="D398" s="4"/>
      <c r="E398" s="4" t="str">
        <f>IFERROR(__xludf.DUMMYFUNCTION("""COMPUTED_VALUE"""),"Sin precio neto")</f>
        <v>Sin precio neto</v>
      </c>
    </row>
    <row r="399">
      <c r="A399" s="4" t="str">
        <f>IFERROR(__xludf.DUMMYFUNCTION("""COMPUTED_VALUE"""),"0338B")</f>
        <v>0338B</v>
      </c>
      <c r="B399" s="4" t="str">
        <f>IFERROR(__xludf.DUMMYFUNCTION("""COMPUTED_VALUE"""),"Cartel PVC 64x32 Fotolum. Escal. de emergencia dcha abajo")</f>
        <v>Cartel PVC 64x32 Fotolum. Escal. de emergencia dcha abajo</v>
      </c>
      <c r="C399" s="4">
        <f>IFERROR(__xludf.DUMMYFUNCTION("""COMPUTED_VALUE"""),4.300800000000001)</f>
        <v>4.3008</v>
      </c>
      <c r="D399" s="4"/>
      <c r="E399" s="4" t="str">
        <f>IFERROR(__xludf.DUMMYFUNCTION("""COMPUTED_VALUE"""),"Sin precio neto")</f>
        <v>Sin precio neto</v>
      </c>
    </row>
    <row r="400">
      <c r="A400" s="4" t="str">
        <f>IFERROR(__xludf.DUMMYFUNCTION("""COMPUTED_VALUE"""),"339")</f>
        <v>339</v>
      </c>
      <c r="B400" s="4" t="str">
        <f>IFERROR(__xludf.DUMMYFUNCTION("""COMPUTED_VALUE"""),"Cartel PVC 21x30 Fotolum. Salida Emerg. escalera arriba izq.")</f>
        <v>Cartel PVC 21x30 Fotolum. Salida Emerg. escalera arriba izq.</v>
      </c>
      <c r="C400" s="4">
        <f>IFERROR(__xludf.DUMMYFUNCTION("""COMPUTED_VALUE"""),2.496)</f>
        <v>2.496</v>
      </c>
      <c r="D400" s="4">
        <f>IFERROR(__xludf.DUMMYFUNCTION("""COMPUTED_VALUE"""),2.1)</f>
        <v>2.1</v>
      </c>
      <c r="E400" s="4" t="str">
        <f>IFERROR(__xludf.DUMMYFUNCTION("""COMPUTED_VALUE"""),"Neto: 2,10 € (a partir de 1 uds.)")</f>
        <v>Neto: 2,10 € (a partir de 1 uds.)</v>
      </c>
    </row>
    <row r="401">
      <c r="A401" s="4" t="str">
        <f>IFERROR(__xludf.DUMMYFUNCTION("""COMPUTED_VALUE"""),"0339A")</f>
        <v>0339A</v>
      </c>
      <c r="B401" s="4" t="str">
        <f>IFERROR(__xludf.DUMMYFUNCTION("""COMPUTED_VALUE"""),"Cartel PVC 32x16 Fotolum. Escal. de emergencia izq arriba")</f>
        <v>Cartel PVC 32x16 Fotolum. Escal. de emergencia izq arriba</v>
      </c>
      <c r="C401" s="4">
        <f>IFERROR(__xludf.DUMMYFUNCTION("""COMPUTED_VALUE"""),2.16)</f>
        <v>2.16</v>
      </c>
      <c r="D401" s="4"/>
      <c r="E401" s="4" t="str">
        <f>IFERROR(__xludf.DUMMYFUNCTION("""COMPUTED_VALUE"""),"Sin precio neto")</f>
        <v>Sin precio neto</v>
      </c>
    </row>
    <row r="402">
      <c r="A402" s="4" t="str">
        <f>IFERROR(__xludf.DUMMYFUNCTION("""COMPUTED_VALUE"""),"0339B")</f>
        <v>0339B</v>
      </c>
      <c r="B402" s="4" t="str">
        <f>IFERROR(__xludf.DUMMYFUNCTION("""COMPUTED_VALUE"""),"Cartel PVC 64x32 Fotolum. Escal. de emergencia izq arriba")</f>
        <v>Cartel PVC 64x32 Fotolum. Escal. de emergencia izq arriba</v>
      </c>
      <c r="C402" s="4">
        <f>IFERROR(__xludf.DUMMYFUNCTION("""COMPUTED_VALUE"""),4.300800000000001)</f>
        <v>4.3008</v>
      </c>
      <c r="D402" s="4"/>
      <c r="E402" s="4" t="str">
        <f>IFERROR(__xludf.DUMMYFUNCTION("""COMPUTED_VALUE"""),"Sin precio neto")</f>
        <v>Sin precio neto</v>
      </c>
    </row>
    <row r="403">
      <c r="A403" s="4" t="str">
        <f>IFERROR(__xludf.DUMMYFUNCTION("""COMPUTED_VALUE"""),"0339C")</f>
        <v>0339C</v>
      </c>
      <c r="B403" s="4" t="str">
        <f>IFERROR(__xludf.DUMMYFUNCTION("""COMPUTED_VALUE"""),"Cartel PVC 96x48 Fotolum. Escal. de emergencia izq arriba")</f>
        <v>Cartel PVC 96x48 Fotolum. Escal. de emergencia izq arriba</v>
      </c>
      <c r="C403" s="4">
        <f>IFERROR(__xludf.DUMMYFUNCTION("""COMPUTED_VALUE"""),8.601600000000001)</f>
        <v>8.6016</v>
      </c>
      <c r="D403" s="4"/>
      <c r="E403" s="4" t="str">
        <f>IFERROR(__xludf.DUMMYFUNCTION("""COMPUTED_VALUE"""),"Sin precio neto")</f>
        <v>Sin precio neto</v>
      </c>
    </row>
    <row r="404">
      <c r="A404" s="4" t="str">
        <f>IFERROR(__xludf.DUMMYFUNCTION("""COMPUTED_VALUE"""),"340")</f>
        <v>340</v>
      </c>
      <c r="B404" s="4" t="str">
        <f>IFERROR(__xludf.DUMMYFUNCTION("""COMPUTED_VALUE"""),"Cartel PVC 40x30 Fotolum. SALIDA")</f>
        <v>Cartel PVC 40x30 Fotolum. SALIDA</v>
      </c>
      <c r="C404" s="4">
        <f>IFERROR(__xludf.DUMMYFUNCTION("""COMPUTED_VALUE"""),3.2159999999999997)</f>
        <v>3.216</v>
      </c>
      <c r="D404" s="4">
        <f>IFERROR(__xludf.DUMMYFUNCTION("""COMPUTED_VALUE"""),3.2)</f>
        <v>3.2</v>
      </c>
      <c r="E404" s="4" t="str">
        <f>IFERROR(__xludf.DUMMYFUNCTION("""COMPUTED_VALUE"""),"Neto: 3,20 € (a partir de 1 uds.)")</f>
        <v>Neto: 3,20 € (a partir de 1 uds.)</v>
      </c>
    </row>
    <row r="405">
      <c r="A405" s="4" t="str">
        <f>IFERROR(__xludf.DUMMYFUNCTION("""COMPUTED_VALUE"""),"342")</f>
        <v>342</v>
      </c>
      <c r="B405" s="4" t="str">
        <f>IFERROR(__xludf.DUMMYFUNCTION("""COMPUTED_VALUE"""),"Cartel PVC 40x60 Riesgo de Incendio")</f>
        <v>Cartel PVC 40x60 Riesgo de Incendio</v>
      </c>
      <c r="C405" s="4">
        <f>IFERROR(__xludf.DUMMYFUNCTION("""COMPUTED_VALUE"""),4.56)</f>
        <v>4.56</v>
      </c>
      <c r="D405" s="4"/>
      <c r="E405" s="4" t="str">
        <f>IFERROR(__xludf.DUMMYFUNCTION("""COMPUTED_VALUE"""),"Sin precio neto")</f>
        <v>Sin precio neto</v>
      </c>
    </row>
    <row r="406">
      <c r="A406" s="4" t="str">
        <f>IFERROR(__xludf.DUMMYFUNCTION("""COMPUTED_VALUE"""),"343")</f>
        <v>343</v>
      </c>
      <c r="B406" s="4" t="str">
        <f>IFERROR(__xludf.DUMMYFUNCTION("""COMPUTED_VALUE"""),"Cartel PVC 21x30 Fotolum. Extintor")</f>
        <v>Cartel PVC 21x30 Fotolum. Extintor</v>
      </c>
      <c r="C406" s="4">
        <f>IFERROR(__xludf.DUMMYFUNCTION("""COMPUTED_VALUE"""),2.496)</f>
        <v>2.496</v>
      </c>
      <c r="D406" s="4">
        <f>IFERROR(__xludf.DUMMYFUNCTION("""COMPUTED_VALUE"""),2.1)</f>
        <v>2.1</v>
      </c>
      <c r="E406" s="4" t="str">
        <f>IFERROR(__xludf.DUMMYFUNCTION("""COMPUTED_VALUE"""),"Neto: 2,10 € (a partir de 1 uds.)")</f>
        <v>Neto: 2,10 € (a partir de 1 uds.)</v>
      </c>
    </row>
    <row r="407">
      <c r="A407" s="4" t="str">
        <f>IFERROR(__xludf.DUMMYFUNCTION("""COMPUTED_VALUE"""),"0343A")</f>
        <v>0343A</v>
      </c>
      <c r="B407" s="4" t="str">
        <f>IFERROR(__xludf.DUMMYFUNCTION("""COMPUTED_VALUE"""),"Cartel PVC 21x30 Fotolum. Extintor")</f>
        <v>Cartel PVC 21x30 Fotolum. Extintor</v>
      </c>
      <c r="C407" s="4">
        <f>IFERROR(__xludf.DUMMYFUNCTION("""COMPUTED_VALUE"""),2.4192)</f>
        <v>2.4192</v>
      </c>
      <c r="D407" s="4">
        <f>IFERROR(__xludf.DUMMYFUNCTION("""COMPUTED_VALUE"""),2.1)</f>
        <v>2.1</v>
      </c>
      <c r="E407" s="4" t="str">
        <f>IFERROR(__xludf.DUMMYFUNCTION("""COMPUTED_VALUE"""),"Neto: 2,10 € (a partir de 1 uds.)")</f>
        <v>Neto: 2,10 € (a partir de 1 uds.)</v>
      </c>
    </row>
    <row r="408">
      <c r="A408" s="4" t="str">
        <f>IFERROR(__xludf.DUMMYFUNCTION("""COMPUTED_VALUE"""),"0343B")</f>
        <v>0343B</v>
      </c>
      <c r="B408" s="4" t="str">
        <f>IFERROR(__xludf.DUMMYFUNCTION("""COMPUTED_VALUE"""),"Cartel PVC 40x30 Fotolum. Extintor")</f>
        <v>Cartel PVC 40x30 Fotolum. Extintor</v>
      </c>
      <c r="C408" s="4">
        <f>IFERROR(__xludf.DUMMYFUNCTION("""COMPUTED_VALUE"""),2.976)</f>
        <v>2.976</v>
      </c>
      <c r="D408" s="4">
        <f>IFERROR(__xludf.DUMMYFUNCTION("""COMPUTED_VALUE"""),3.2)</f>
        <v>3.2</v>
      </c>
      <c r="E408" s="4" t="str">
        <f>IFERROR(__xludf.DUMMYFUNCTION("""COMPUTED_VALUE"""),"Neto: 3,20 € (a partir de 1 uds.)")</f>
        <v>Neto: 3,20 € (a partir de 1 uds.)</v>
      </c>
    </row>
    <row r="409">
      <c r="A409" s="4" t="str">
        <f>IFERROR(__xludf.DUMMYFUNCTION("""COMPUTED_VALUE"""),"0343CO")</f>
        <v>0343CO</v>
      </c>
      <c r="B409" s="4" t="str">
        <f>IFERROR(__xludf.DUMMYFUNCTION("""COMPUTED_VALUE"""),"Cartel PVC 21x30 Fotolum. Extintor Co2")</f>
        <v>Cartel PVC 21x30 Fotolum. Extintor Co2</v>
      </c>
      <c r="C409" s="4">
        <f>IFERROR(__xludf.DUMMYFUNCTION("""COMPUTED_VALUE"""),2.496)</f>
        <v>2.496</v>
      </c>
      <c r="D409" s="4">
        <f>IFERROR(__xludf.DUMMYFUNCTION("""COMPUTED_VALUE"""),2.1)</f>
        <v>2.1</v>
      </c>
      <c r="E409" s="4" t="str">
        <f>IFERROR(__xludf.DUMMYFUNCTION("""COMPUTED_VALUE"""),"Neto: 2,10 € (a partir de 1 uds.)")</f>
        <v>Neto: 2,10 € (a partir de 1 uds.)</v>
      </c>
    </row>
    <row r="410">
      <c r="A410" s="4" t="str">
        <f>IFERROR(__xludf.DUMMYFUNCTION("""COMPUTED_VALUE"""),"344")</f>
        <v>344</v>
      </c>
      <c r="B410" s="4" t="str">
        <f>IFERROR(__xludf.DUMMYFUNCTION("""COMPUTED_VALUE"""),"Cartel PVC 21x30 Fotolum. Salida")</f>
        <v>Cartel PVC 21x30 Fotolum. Salida</v>
      </c>
      <c r="C410" s="4">
        <f>IFERROR(__xludf.DUMMYFUNCTION("""COMPUTED_VALUE"""),2.496)</f>
        <v>2.496</v>
      </c>
      <c r="D410" s="4">
        <f>IFERROR(__xludf.DUMMYFUNCTION("""COMPUTED_VALUE"""),2.1)</f>
        <v>2.1</v>
      </c>
      <c r="E410" s="4" t="str">
        <f>IFERROR(__xludf.DUMMYFUNCTION("""COMPUTED_VALUE"""),"Neto: 2,10 € (a partir de 1 uds.)")</f>
        <v>Neto: 2,10 € (a partir de 1 uds.)</v>
      </c>
    </row>
    <row r="411">
      <c r="A411" s="4" t="str">
        <f>IFERROR(__xludf.DUMMYFUNCTION("""COMPUTED_VALUE"""),"0344A")</f>
        <v>0344A</v>
      </c>
      <c r="B411" s="4" t="str">
        <f>IFERROR(__xludf.DUMMYFUNCTION("""COMPUTED_VALUE"""),"Cartel PVC 32x16 Fotolum. Salida")</f>
        <v>Cartel PVC 32x16 Fotolum. Salida</v>
      </c>
      <c r="C411" s="4">
        <f>IFERROR(__xludf.DUMMYFUNCTION("""COMPUTED_VALUE"""),2.16)</f>
        <v>2.16</v>
      </c>
      <c r="D411" s="4"/>
      <c r="E411" s="4" t="str">
        <f>IFERROR(__xludf.DUMMYFUNCTION("""COMPUTED_VALUE"""),"Sin precio neto")</f>
        <v>Sin precio neto</v>
      </c>
    </row>
    <row r="412">
      <c r="A412" s="4" t="str">
        <f>IFERROR(__xludf.DUMMYFUNCTION("""COMPUTED_VALUE"""),"0344B")</f>
        <v>0344B</v>
      </c>
      <c r="B412" s="4" t="str">
        <f>IFERROR(__xludf.DUMMYFUNCTION("""COMPUTED_VALUE"""),"Cartel PVC 64x32 Fotolum. Salida")</f>
        <v>Cartel PVC 64x32 Fotolum. Salida</v>
      </c>
      <c r="C412" s="4">
        <f>IFERROR(__xludf.DUMMYFUNCTION("""COMPUTED_VALUE"""),4.300800000000001)</f>
        <v>4.3008</v>
      </c>
      <c r="D412" s="4"/>
      <c r="E412" s="4" t="str">
        <f>IFERROR(__xludf.DUMMYFUNCTION("""COMPUTED_VALUE"""),"Sin precio neto")</f>
        <v>Sin precio neto</v>
      </c>
    </row>
    <row r="413">
      <c r="A413" s="4" t="str">
        <f>IFERROR(__xludf.DUMMYFUNCTION("""COMPUTED_VALUE"""),"345")</f>
        <v>345</v>
      </c>
      <c r="B413" s="4" t="str">
        <f>IFERROR(__xludf.DUMMYFUNCTION("""COMPUTED_VALUE"""),"Señal PVC 21x29 Fotolum. avisador sonoro")</f>
        <v>Señal PVC 21x29 Fotolum. avisador sonoro</v>
      </c>
      <c r="C413" s="4">
        <f>IFERROR(__xludf.DUMMYFUNCTION("""COMPUTED_VALUE"""),2.496)</f>
        <v>2.496</v>
      </c>
      <c r="D413" s="4">
        <f>IFERROR(__xludf.DUMMYFUNCTION("""COMPUTED_VALUE"""),2.1)</f>
        <v>2.1</v>
      </c>
      <c r="E413" s="4" t="str">
        <f>IFERROR(__xludf.DUMMYFUNCTION("""COMPUTED_VALUE"""),"Neto: 2,10 € (a partir de 1 uds.)")</f>
        <v>Neto: 2,10 € (a partir de 1 uds.)</v>
      </c>
    </row>
    <row r="414">
      <c r="A414" s="4" t="str">
        <f>IFERROR(__xludf.DUMMYFUNCTION("""COMPUTED_VALUE"""),"346")</f>
        <v>346</v>
      </c>
      <c r="B414" s="4" t="str">
        <f>IFERROR(__xludf.DUMMYFUNCTION("""COMPUTED_VALUE"""),"Cartel PVC 21x30 Fotolum. Extintor dcha")</f>
        <v>Cartel PVC 21x30 Fotolum. Extintor dcha</v>
      </c>
      <c r="C414" s="4">
        <f>IFERROR(__xludf.DUMMYFUNCTION("""COMPUTED_VALUE"""),2.496)</f>
        <v>2.496</v>
      </c>
      <c r="D414" s="4">
        <f>IFERROR(__xludf.DUMMYFUNCTION("""COMPUTED_VALUE"""),2.1)</f>
        <v>2.1</v>
      </c>
      <c r="E414" s="4" t="str">
        <f>IFERROR(__xludf.DUMMYFUNCTION("""COMPUTED_VALUE"""),"Neto: 2,10 € (a partir de 1 uds.)")</f>
        <v>Neto: 2,10 € (a partir de 1 uds.)</v>
      </c>
    </row>
    <row r="415">
      <c r="A415" s="4" t="str">
        <f>IFERROR(__xludf.DUMMYFUNCTION("""COMPUTED_VALUE"""),"0346A")</f>
        <v>0346A</v>
      </c>
      <c r="B415" s="4" t="str">
        <f>IFERROR(__xludf.DUMMYFUNCTION("""COMPUTED_VALUE"""),"Cartel PVC 32x16 Fotolum. Extintor derecha")</f>
        <v>Cartel PVC 32x16 Fotolum. Extintor derecha</v>
      </c>
      <c r="C415" s="4">
        <f>IFERROR(__xludf.DUMMYFUNCTION("""COMPUTED_VALUE"""),2.16)</f>
        <v>2.16</v>
      </c>
      <c r="D415" s="4"/>
      <c r="E415" s="4" t="str">
        <f>IFERROR(__xludf.DUMMYFUNCTION("""COMPUTED_VALUE"""),"Sin precio neto")</f>
        <v>Sin precio neto</v>
      </c>
    </row>
    <row r="416">
      <c r="A416" s="4" t="str">
        <f>IFERROR(__xludf.DUMMYFUNCTION("""COMPUTED_VALUE"""),"0346B")</f>
        <v>0346B</v>
      </c>
      <c r="B416" s="4" t="str">
        <f>IFERROR(__xludf.DUMMYFUNCTION("""COMPUTED_VALUE"""),"Cartel PVC 64x32 Fotolum. Extintor derecha")</f>
        <v>Cartel PVC 64x32 Fotolum. Extintor derecha</v>
      </c>
      <c r="C416" s="4">
        <f>IFERROR(__xludf.DUMMYFUNCTION("""COMPUTED_VALUE"""),4.300800000000001)</f>
        <v>4.3008</v>
      </c>
      <c r="D416" s="4"/>
      <c r="E416" s="4" t="str">
        <f>IFERROR(__xludf.DUMMYFUNCTION("""COMPUTED_VALUE"""),"Sin precio neto")</f>
        <v>Sin precio neto</v>
      </c>
    </row>
    <row r="417">
      <c r="A417" s="4" t="str">
        <f>IFERROR(__xludf.DUMMYFUNCTION("""COMPUTED_VALUE"""),"0346C")</f>
        <v>0346C</v>
      </c>
      <c r="B417" s="4" t="str">
        <f>IFERROR(__xludf.DUMMYFUNCTION("""COMPUTED_VALUE"""),"Cartel PVC 96x48 Fotolum. Extintor derecha")</f>
        <v>Cartel PVC 96x48 Fotolum. Extintor derecha</v>
      </c>
      <c r="C417" s="4">
        <f>IFERROR(__xludf.DUMMYFUNCTION("""COMPUTED_VALUE"""),8.601600000000001)</f>
        <v>8.6016</v>
      </c>
      <c r="D417" s="4"/>
      <c r="E417" s="4" t="str">
        <f>IFERROR(__xludf.DUMMYFUNCTION("""COMPUTED_VALUE"""),"Sin precio neto")</f>
        <v>Sin precio neto</v>
      </c>
    </row>
    <row r="418">
      <c r="A418" s="4" t="str">
        <f>IFERROR(__xludf.DUMMYFUNCTION("""COMPUTED_VALUE"""),"347")</f>
        <v>347</v>
      </c>
      <c r="B418" s="4" t="str">
        <f>IFERROR(__xludf.DUMMYFUNCTION("""COMPUTED_VALUE"""),"Cartel PVC 21x30 Fotolum. Extintor Izq.")</f>
        <v>Cartel PVC 21x30 Fotolum. Extintor Izq.</v>
      </c>
      <c r="C418" s="4">
        <f>IFERROR(__xludf.DUMMYFUNCTION("""COMPUTED_VALUE"""),2.496)</f>
        <v>2.496</v>
      </c>
      <c r="D418" s="4">
        <f>IFERROR(__xludf.DUMMYFUNCTION("""COMPUTED_VALUE"""),2.1)</f>
        <v>2.1</v>
      </c>
      <c r="E418" s="4" t="str">
        <f>IFERROR(__xludf.DUMMYFUNCTION("""COMPUTED_VALUE"""),"Neto: 2,10 € (a partir de 1 uds.)")</f>
        <v>Neto: 2,10 € (a partir de 1 uds.)</v>
      </c>
    </row>
    <row r="419">
      <c r="A419" s="4" t="str">
        <f>IFERROR(__xludf.DUMMYFUNCTION("""COMPUTED_VALUE"""),"0347A")</f>
        <v>0347A</v>
      </c>
      <c r="B419" s="4" t="str">
        <f>IFERROR(__xludf.DUMMYFUNCTION("""COMPUTED_VALUE"""),"Cartel PVC 32x16 Fotolum. Extintor izquierda")</f>
        <v>Cartel PVC 32x16 Fotolum. Extintor izquierda</v>
      </c>
      <c r="C419" s="4">
        <f>IFERROR(__xludf.DUMMYFUNCTION("""COMPUTED_VALUE"""),2.16)</f>
        <v>2.16</v>
      </c>
      <c r="D419" s="4"/>
      <c r="E419" s="4" t="str">
        <f>IFERROR(__xludf.DUMMYFUNCTION("""COMPUTED_VALUE"""),"Sin precio neto")</f>
        <v>Sin precio neto</v>
      </c>
    </row>
    <row r="420">
      <c r="A420" s="4" t="str">
        <f>IFERROR(__xludf.DUMMYFUNCTION("""COMPUTED_VALUE"""),"0347B")</f>
        <v>0347B</v>
      </c>
      <c r="B420" s="4" t="str">
        <f>IFERROR(__xludf.DUMMYFUNCTION("""COMPUTED_VALUE"""),"Cartel PVC 64x32 Fotolum. Extintor izquierda")</f>
        <v>Cartel PVC 64x32 Fotolum. Extintor izquierda</v>
      </c>
      <c r="C420" s="4">
        <f>IFERROR(__xludf.DUMMYFUNCTION("""COMPUTED_VALUE"""),4.300800000000001)</f>
        <v>4.3008</v>
      </c>
      <c r="D420" s="4"/>
      <c r="E420" s="4" t="str">
        <f>IFERROR(__xludf.DUMMYFUNCTION("""COMPUTED_VALUE"""),"Sin precio neto")</f>
        <v>Sin precio neto</v>
      </c>
    </row>
    <row r="421">
      <c r="A421" s="4" t="str">
        <f>IFERROR(__xludf.DUMMYFUNCTION("""COMPUTED_VALUE"""),"0347C")</f>
        <v>0347C</v>
      </c>
      <c r="B421" s="4" t="str">
        <f>IFERROR(__xludf.DUMMYFUNCTION("""COMPUTED_VALUE"""),"Cartel PVC 96x48 Fotolum. Extintor izquierda")</f>
        <v>Cartel PVC 96x48 Fotolum. Extintor izquierda</v>
      </c>
      <c r="C421" s="4">
        <f>IFERROR(__xludf.DUMMYFUNCTION("""COMPUTED_VALUE"""),8.601600000000001)</f>
        <v>8.6016</v>
      </c>
      <c r="D421" s="4"/>
      <c r="E421" s="4" t="str">
        <f>IFERROR(__xludf.DUMMYFUNCTION("""COMPUTED_VALUE"""),"Sin precio neto")</f>
        <v>Sin precio neto</v>
      </c>
    </row>
    <row r="422">
      <c r="A422" s="4" t="str">
        <f>IFERROR(__xludf.DUMMYFUNCTION("""COMPUTED_VALUE"""),"348")</f>
        <v>348</v>
      </c>
      <c r="B422" s="4" t="str">
        <f>IFERROR(__xludf.DUMMYFUNCTION("""COMPUTED_VALUE"""),"Cartel PVC 15x15 Fotolum. Pulsador de Alarma")</f>
        <v>Cartel PVC 15x15 Fotolum. Pulsador de Alarma</v>
      </c>
      <c r="C422" s="4">
        <f>IFERROR(__xludf.DUMMYFUNCTION("""COMPUTED_VALUE"""),1.6127999999999998)</f>
        <v>1.6128</v>
      </c>
      <c r="D422" s="4"/>
      <c r="E422" s="4" t="str">
        <f>IFERROR(__xludf.DUMMYFUNCTION("""COMPUTED_VALUE"""),"Sin precio neto")</f>
        <v>Sin precio neto</v>
      </c>
    </row>
    <row r="423">
      <c r="A423" s="4" t="str">
        <f>IFERROR(__xludf.DUMMYFUNCTION("""COMPUTED_VALUE"""),"349")</f>
        <v>349</v>
      </c>
      <c r="B423" s="4" t="str">
        <f>IFERROR(__xludf.DUMMYFUNCTION("""COMPUTED_VALUE"""),"Cartel PVC 21x30 Fotolum. Boca Incendios")</f>
        <v>Cartel PVC 21x30 Fotolum. Boca Incendios</v>
      </c>
      <c r="C423" s="4">
        <f>IFERROR(__xludf.DUMMYFUNCTION("""COMPUTED_VALUE"""),2.496)</f>
        <v>2.496</v>
      </c>
      <c r="D423" s="4">
        <f>IFERROR(__xludf.DUMMYFUNCTION("""COMPUTED_VALUE"""),2.1)</f>
        <v>2.1</v>
      </c>
      <c r="E423" s="4" t="str">
        <f>IFERROR(__xludf.DUMMYFUNCTION("""COMPUTED_VALUE"""),"Neto: 2,10 € (a partir de 1 uds.)")</f>
        <v>Neto: 2,10 € (a partir de 1 uds.)</v>
      </c>
    </row>
    <row r="424">
      <c r="A424" s="4" t="str">
        <f>IFERROR(__xludf.DUMMYFUNCTION("""COMPUTED_VALUE"""),"0349A")</f>
        <v>0349A</v>
      </c>
      <c r="B424" s="4" t="str">
        <f>IFERROR(__xludf.DUMMYFUNCTION("""COMPUTED_VALUE"""),"Cartel PVC 21x30 Fotolum. Boca de incendio")</f>
        <v>Cartel PVC 21x30 Fotolum. Boca de incendio</v>
      </c>
      <c r="C424" s="4">
        <f>IFERROR(__xludf.DUMMYFUNCTION("""COMPUTED_VALUE"""),2.4192)</f>
        <v>2.4192</v>
      </c>
      <c r="D424" s="4">
        <f>IFERROR(__xludf.DUMMYFUNCTION("""COMPUTED_VALUE"""),2.1)</f>
        <v>2.1</v>
      </c>
      <c r="E424" s="4" t="str">
        <f>IFERROR(__xludf.DUMMYFUNCTION("""COMPUTED_VALUE"""),"Neto: 2,10 € (a partir de 1 uds.)")</f>
        <v>Neto: 2,10 € (a partir de 1 uds.)</v>
      </c>
    </row>
    <row r="425">
      <c r="A425" s="4" t="str">
        <f>IFERROR(__xludf.DUMMYFUNCTION("""COMPUTED_VALUE"""),"0349B")</f>
        <v>0349B</v>
      </c>
      <c r="B425" s="4" t="str">
        <f>IFERROR(__xludf.DUMMYFUNCTION("""COMPUTED_VALUE"""),"Cartel PVC 40x30 Fotolum. Boca de incendio")</f>
        <v>Cartel PVC 40x30 Fotolum. Boca de incendio</v>
      </c>
      <c r="C425" s="4">
        <f>IFERROR(__xludf.DUMMYFUNCTION("""COMPUTED_VALUE"""),2.976)</f>
        <v>2.976</v>
      </c>
      <c r="D425" s="4">
        <f>IFERROR(__xludf.DUMMYFUNCTION("""COMPUTED_VALUE"""),3.2)</f>
        <v>3.2</v>
      </c>
      <c r="E425" s="4" t="str">
        <f>IFERROR(__xludf.DUMMYFUNCTION("""COMPUTED_VALUE"""),"Neto: 3,20 € (a partir de 1 uds.)")</f>
        <v>Neto: 3,20 € (a partir de 1 uds.)</v>
      </c>
    </row>
    <row r="426">
      <c r="A426" s="4" t="str">
        <f>IFERROR(__xludf.DUMMYFUNCTION("""COMPUTED_VALUE"""),"350")</f>
        <v>350</v>
      </c>
      <c r="B426" s="4" t="str">
        <f>IFERROR(__xludf.DUMMYFUNCTION("""COMPUTED_VALUE"""),"Cartel PVC 21x30 Fotolum. Boca Incendios dcha")</f>
        <v>Cartel PVC 21x30 Fotolum. Boca Incendios dcha</v>
      </c>
      <c r="C426" s="4">
        <f>IFERROR(__xludf.DUMMYFUNCTION("""COMPUTED_VALUE"""),2.496)</f>
        <v>2.496</v>
      </c>
      <c r="D426" s="4">
        <f>IFERROR(__xludf.DUMMYFUNCTION("""COMPUTED_VALUE"""),2.1)</f>
        <v>2.1</v>
      </c>
      <c r="E426" s="4" t="str">
        <f>IFERROR(__xludf.DUMMYFUNCTION("""COMPUTED_VALUE"""),"Neto: 2,10 € (a partir de 1 uds.)")</f>
        <v>Neto: 2,10 € (a partir de 1 uds.)</v>
      </c>
    </row>
    <row r="427">
      <c r="A427" s="4" t="str">
        <f>IFERROR(__xludf.DUMMYFUNCTION("""COMPUTED_VALUE"""),"0350A")</f>
        <v>0350A</v>
      </c>
      <c r="B427" s="4" t="str">
        <f>IFERROR(__xludf.DUMMYFUNCTION("""COMPUTED_VALUE"""),"Cartel PVC 32x16 Fotolum. Boca Incendios dcha")</f>
        <v>Cartel PVC 32x16 Fotolum. Boca Incendios dcha</v>
      </c>
      <c r="C427" s="4">
        <f>IFERROR(__xludf.DUMMYFUNCTION("""COMPUTED_VALUE"""),1.9103999999999999)</f>
        <v>1.9104</v>
      </c>
      <c r="D427" s="4"/>
      <c r="E427" s="4" t="str">
        <f>IFERROR(__xludf.DUMMYFUNCTION("""COMPUTED_VALUE"""),"Sin precio neto")</f>
        <v>Sin precio neto</v>
      </c>
    </row>
    <row r="428">
      <c r="A428" s="4" t="str">
        <f>IFERROR(__xludf.DUMMYFUNCTION("""COMPUTED_VALUE"""),"0350B")</f>
        <v>0350B</v>
      </c>
      <c r="B428" s="4" t="str">
        <f>IFERROR(__xludf.DUMMYFUNCTION("""COMPUTED_VALUE"""),"Cartel PVC 64x32 Fotolum. Boca Incendios dcha")</f>
        <v>Cartel PVC 64x32 Fotolum. Boca Incendios dcha</v>
      </c>
      <c r="C428" s="4">
        <f>IFERROR(__xludf.DUMMYFUNCTION("""COMPUTED_VALUE"""),4.300800000000001)</f>
        <v>4.3008</v>
      </c>
      <c r="D428" s="4"/>
      <c r="E428" s="4" t="str">
        <f>IFERROR(__xludf.DUMMYFUNCTION("""COMPUTED_VALUE"""),"Sin precio neto")</f>
        <v>Sin precio neto</v>
      </c>
    </row>
    <row r="429">
      <c r="A429" s="4" t="str">
        <f>IFERROR(__xludf.DUMMYFUNCTION("""COMPUTED_VALUE"""),"0350C")</f>
        <v>0350C</v>
      </c>
      <c r="B429" s="4" t="str">
        <f>IFERROR(__xludf.DUMMYFUNCTION("""COMPUTED_VALUE"""),"Cartel PVC 96x48 Fotolum. Boca Incendios dcha")</f>
        <v>Cartel PVC 96x48 Fotolum. Boca Incendios dcha</v>
      </c>
      <c r="C429" s="4">
        <f>IFERROR(__xludf.DUMMYFUNCTION("""COMPUTED_VALUE"""),8.601600000000001)</f>
        <v>8.6016</v>
      </c>
      <c r="D429" s="4"/>
      <c r="E429" s="4" t="str">
        <f>IFERROR(__xludf.DUMMYFUNCTION("""COMPUTED_VALUE"""),"Sin precio neto")</f>
        <v>Sin precio neto</v>
      </c>
    </row>
    <row r="430">
      <c r="A430" s="4" t="str">
        <f>IFERROR(__xludf.DUMMYFUNCTION("""COMPUTED_VALUE"""),"351")</f>
        <v>351</v>
      </c>
      <c r="B430" s="4" t="str">
        <f>IFERROR(__xludf.DUMMYFUNCTION("""COMPUTED_VALUE"""),"Cartel PVC 21x30 Fotolum. Boca Incendios Izq.")</f>
        <v>Cartel PVC 21x30 Fotolum. Boca Incendios Izq.</v>
      </c>
      <c r="C430" s="4">
        <f>IFERROR(__xludf.DUMMYFUNCTION("""COMPUTED_VALUE"""),2.496)</f>
        <v>2.496</v>
      </c>
      <c r="D430" s="4">
        <f>IFERROR(__xludf.DUMMYFUNCTION("""COMPUTED_VALUE"""),2.1)</f>
        <v>2.1</v>
      </c>
      <c r="E430" s="4" t="str">
        <f>IFERROR(__xludf.DUMMYFUNCTION("""COMPUTED_VALUE"""),"Neto: 2,10 € (a partir de 1 uds.)")</f>
        <v>Neto: 2,10 € (a partir de 1 uds.)</v>
      </c>
    </row>
    <row r="431">
      <c r="A431" s="4" t="str">
        <f>IFERROR(__xludf.DUMMYFUNCTION("""COMPUTED_VALUE"""),"0351A")</f>
        <v>0351A</v>
      </c>
      <c r="B431" s="4" t="str">
        <f>IFERROR(__xludf.DUMMYFUNCTION("""COMPUTED_VALUE"""),"Cartel PVC 32x16 Fotolum. Boca Incendios izq")</f>
        <v>Cartel PVC 32x16 Fotolum. Boca Incendios izq</v>
      </c>
      <c r="C431" s="4">
        <f>IFERROR(__xludf.DUMMYFUNCTION("""COMPUTED_VALUE"""),2.16)</f>
        <v>2.16</v>
      </c>
      <c r="D431" s="4"/>
      <c r="E431" s="4" t="str">
        <f>IFERROR(__xludf.DUMMYFUNCTION("""COMPUTED_VALUE"""),"Sin precio neto")</f>
        <v>Sin precio neto</v>
      </c>
    </row>
    <row r="432">
      <c r="A432" s="4" t="str">
        <f>IFERROR(__xludf.DUMMYFUNCTION("""COMPUTED_VALUE"""),"0351B")</f>
        <v>0351B</v>
      </c>
      <c r="B432" s="4" t="str">
        <f>IFERROR(__xludf.DUMMYFUNCTION("""COMPUTED_VALUE"""),"Cartel PVC 64x32 Fotolum. Boca Incendios izq")</f>
        <v>Cartel PVC 64x32 Fotolum. Boca Incendios izq</v>
      </c>
      <c r="C432" s="4">
        <f>IFERROR(__xludf.DUMMYFUNCTION("""COMPUTED_VALUE"""),4.300800000000001)</f>
        <v>4.3008</v>
      </c>
      <c r="D432" s="4"/>
      <c r="E432" s="4" t="str">
        <f>IFERROR(__xludf.DUMMYFUNCTION("""COMPUTED_VALUE"""),"Sin precio neto")</f>
        <v>Sin precio neto</v>
      </c>
    </row>
    <row r="433">
      <c r="A433" s="4" t="str">
        <f>IFERROR(__xludf.DUMMYFUNCTION("""COMPUTED_VALUE"""),"0351C")</f>
        <v>0351C</v>
      </c>
      <c r="B433" s="4" t="str">
        <f>IFERROR(__xludf.DUMMYFUNCTION("""COMPUTED_VALUE"""),"Cartel PVC 96x48 Fotolum. Boca Incendios izq")</f>
        <v>Cartel PVC 96x48 Fotolum. Boca Incendios izq</v>
      </c>
      <c r="C433" s="4">
        <f>IFERROR(__xludf.DUMMYFUNCTION("""COMPUTED_VALUE"""),8.601600000000001)</f>
        <v>8.6016</v>
      </c>
      <c r="D433" s="4"/>
      <c r="E433" s="4" t="str">
        <f>IFERROR(__xludf.DUMMYFUNCTION("""COMPUTED_VALUE"""),"Sin precio neto")</f>
        <v>Sin precio neto</v>
      </c>
    </row>
    <row r="434">
      <c r="A434" s="4" t="str">
        <f>IFERROR(__xludf.DUMMYFUNCTION("""COMPUTED_VALUE"""),"352")</f>
        <v>352</v>
      </c>
      <c r="B434" s="4" t="str">
        <f>IFERROR(__xludf.DUMMYFUNCTION("""COMPUTED_VALUE"""),"Cartel PVC 21x21 Fotolum. Manguera")</f>
        <v>Cartel PVC 21x21 Fotolum. Manguera</v>
      </c>
      <c r="C434" s="4">
        <f>IFERROR(__xludf.DUMMYFUNCTION("""COMPUTED_VALUE"""),2.2176)</f>
        <v>2.2176</v>
      </c>
      <c r="D434" s="4"/>
      <c r="E434" s="4" t="str">
        <f>IFERROR(__xludf.DUMMYFUNCTION("""COMPUTED_VALUE"""),"Sin precio neto")</f>
        <v>Sin precio neto</v>
      </c>
    </row>
    <row r="435">
      <c r="A435" s="4" t="str">
        <f>IFERROR(__xludf.DUMMYFUNCTION("""COMPUTED_VALUE"""),"353")</f>
        <v>353</v>
      </c>
      <c r="B435" s="4" t="str">
        <f>IFERROR(__xludf.DUMMYFUNCTION("""COMPUTED_VALUE"""),"Cartel PVC 21x21 Fotolum. Extintor")</f>
        <v>Cartel PVC 21x21 Fotolum. Extintor</v>
      </c>
      <c r="C435" s="4">
        <f>IFERROR(__xludf.DUMMYFUNCTION("""COMPUTED_VALUE"""),2.2176)</f>
        <v>2.2176</v>
      </c>
      <c r="D435" s="4"/>
      <c r="E435" s="4" t="str">
        <f>IFERROR(__xludf.DUMMYFUNCTION("""COMPUTED_VALUE"""),"Sin precio neto")</f>
        <v>Sin precio neto</v>
      </c>
    </row>
    <row r="436">
      <c r="A436" s="4" t="str">
        <f>IFERROR(__xludf.DUMMYFUNCTION("""COMPUTED_VALUE"""),"0353A")</f>
        <v>0353A</v>
      </c>
      <c r="B436" s="4" t="str">
        <f>IFERROR(__xludf.DUMMYFUNCTION("""COMPUTED_VALUE"""),"Cartel PVC 21x21 Fotolum. Extintor")</f>
        <v>Cartel PVC 21x21 Fotolum. Extintor</v>
      </c>
      <c r="C436" s="4">
        <f>IFERROR(__xludf.DUMMYFUNCTION("""COMPUTED_VALUE"""),2.2176)</f>
        <v>2.2176</v>
      </c>
      <c r="D436" s="4"/>
      <c r="E436" s="4" t="str">
        <f>IFERROR(__xludf.DUMMYFUNCTION("""COMPUTED_VALUE"""),"Sin precio neto")</f>
        <v>Sin precio neto</v>
      </c>
    </row>
    <row r="437">
      <c r="A437" s="4" t="str">
        <f>IFERROR(__xludf.DUMMYFUNCTION("""COMPUTED_VALUE"""),"0353B")</f>
        <v>0353B</v>
      </c>
      <c r="B437" s="4" t="str">
        <f>IFERROR(__xludf.DUMMYFUNCTION("""COMPUTED_VALUE"""),"Cartel PVC 42x42 Fotolum. Extintor")</f>
        <v>Cartel PVC 42x42 Fotolum. Extintor</v>
      </c>
      <c r="C437" s="4">
        <f>IFERROR(__xludf.DUMMYFUNCTION("""COMPUTED_VALUE"""),3.7439999999999998)</f>
        <v>3.744</v>
      </c>
      <c r="D437" s="4"/>
      <c r="E437" s="4" t="str">
        <f>IFERROR(__xludf.DUMMYFUNCTION("""COMPUTED_VALUE"""),"Sin precio neto")</f>
        <v>Sin precio neto</v>
      </c>
    </row>
    <row r="438">
      <c r="A438" s="4" t="str">
        <f>IFERROR(__xludf.DUMMYFUNCTION("""COMPUTED_VALUE"""),"0353C")</f>
        <v>0353C</v>
      </c>
      <c r="B438" s="4" t="str">
        <f>IFERROR(__xludf.DUMMYFUNCTION("""COMPUTED_VALUE"""),"Cartel PVC 63x63 Fotolum. Extintor")</f>
        <v>Cartel PVC 63x63 Fotolum. Extintor</v>
      </c>
      <c r="C438" s="4">
        <f>IFERROR(__xludf.DUMMYFUNCTION("""COMPUTED_VALUE"""),6.0)</f>
        <v>6</v>
      </c>
      <c r="D438" s="4"/>
      <c r="E438" s="4" t="str">
        <f>IFERROR(__xludf.DUMMYFUNCTION("""COMPUTED_VALUE"""),"Sin precio neto")</f>
        <v>Sin precio neto</v>
      </c>
    </row>
    <row r="439">
      <c r="A439" s="4" t="str">
        <f>IFERROR(__xludf.DUMMYFUNCTION("""COMPUTED_VALUE"""),"354")</f>
        <v>354</v>
      </c>
      <c r="B439" s="4" t="str">
        <f>IFERROR(__xludf.DUMMYFUNCTION("""COMPUTED_VALUE"""),"Cartel PVC 21x15 Fotolum. Flecha Salida")</f>
        <v>Cartel PVC 21x15 Fotolum. Flecha Salida</v>
      </c>
      <c r="C439" s="4">
        <f>IFERROR(__xludf.DUMMYFUNCTION("""COMPUTED_VALUE"""),1.6127999999999998)</f>
        <v>1.6128</v>
      </c>
      <c r="D439" s="4"/>
      <c r="E439" s="4" t="str">
        <f>IFERROR(__xludf.DUMMYFUNCTION("""COMPUTED_VALUE"""),"Sin precio neto")</f>
        <v>Sin precio neto</v>
      </c>
    </row>
    <row r="440">
      <c r="A440" s="4" t="str">
        <f>IFERROR(__xludf.DUMMYFUNCTION("""COMPUTED_VALUE"""),"0354A")</f>
        <v>0354A</v>
      </c>
      <c r="B440" s="4" t="str">
        <f>IFERROR(__xludf.DUMMYFUNCTION("""COMPUTED_VALUE"""),"Cartel PVC 21x21 Fotolum. Manguera contra incendios")</f>
        <v>Cartel PVC 21x21 Fotolum. Manguera contra incendios</v>
      </c>
      <c r="C440" s="4">
        <f>IFERROR(__xludf.DUMMYFUNCTION("""COMPUTED_VALUE"""),2.2176)</f>
        <v>2.2176</v>
      </c>
      <c r="D440" s="4"/>
      <c r="E440" s="4" t="str">
        <f>IFERROR(__xludf.DUMMYFUNCTION("""COMPUTED_VALUE"""),"Sin precio neto")</f>
        <v>Sin precio neto</v>
      </c>
    </row>
    <row r="441">
      <c r="A441" s="4" t="str">
        <f>IFERROR(__xludf.DUMMYFUNCTION("""COMPUTED_VALUE"""),"0354B")</f>
        <v>0354B</v>
      </c>
      <c r="B441" s="4" t="str">
        <f>IFERROR(__xludf.DUMMYFUNCTION("""COMPUTED_VALUE"""),"Cartel PVC 42x42 Fotolum. Manguera contra incendios")</f>
        <v>Cartel PVC 42x42 Fotolum. Manguera contra incendios</v>
      </c>
      <c r="C441" s="4">
        <f>IFERROR(__xludf.DUMMYFUNCTION("""COMPUTED_VALUE"""),3.7439999999999998)</f>
        <v>3.744</v>
      </c>
      <c r="D441" s="4"/>
      <c r="E441" s="4" t="str">
        <f>IFERROR(__xludf.DUMMYFUNCTION("""COMPUTED_VALUE"""),"Sin precio neto")</f>
        <v>Sin precio neto</v>
      </c>
    </row>
    <row r="442">
      <c r="A442" s="4" t="str">
        <f>IFERROR(__xludf.DUMMYFUNCTION("""COMPUTED_VALUE"""),"0354C")</f>
        <v>0354C</v>
      </c>
      <c r="B442" s="4" t="str">
        <f>IFERROR(__xludf.DUMMYFUNCTION("""COMPUTED_VALUE"""),"Cartel PVC 63x63 Fotolum. Manguera contra incendios")</f>
        <v>Cartel PVC 63x63 Fotolum. Manguera contra incendios</v>
      </c>
      <c r="C442" s="4">
        <f>IFERROR(__xludf.DUMMYFUNCTION("""COMPUTED_VALUE"""),6.0)</f>
        <v>6</v>
      </c>
      <c r="D442" s="4"/>
      <c r="E442" s="4" t="str">
        <f>IFERROR(__xludf.DUMMYFUNCTION("""COMPUTED_VALUE"""),"Sin precio neto")</f>
        <v>Sin precio neto</v>
      </c>
    </row>
    <row r="443">
      <c r="A443" s="4" t="str">
        <f>IFERROR(__xludf.DUMMYFUNCTION("""COMPUTED_VALUE"""),"355")</f>
        <v>355</v>
      </c>
      <c r="B443" s="4" t="str">
        <f>IFERROR(__xludf.DUMMYFUNCTION("""COMPUTED_VALUE"""),"Cartel PVC 21x30 Fotolum. Botiquin")</f>
        <v>Cartel PVC 21x30 Fotolum. Botiquin</v>
      </c>
      <c r="C443" s="4">
        <f>IFERROR(__xludf.DUMMYFUNCTION("""COMPUTED_VALUE"""),2.496)</f>
        <v>2.496</v>
      </c>
      <c r="D443" s="4">
        <f>IFERROR(__xludf.DUMMYFUNCTION("""COMPUTED_VALUE"""),2.1)</f>
        <v>2.1</v>
      </c>
      <c r="E443" s="4" t="str">
        <f>IFERROR(__xludf.DUMMYFUNCTION("""COMPUTED_VALUE"""),"Neto: 2,10 € (a partir de 1 uds.)")</f>
        <v>Neto: 2,10 € (a partir de 1 uds.)</v>
      </c>
    </row>
    <row r="444">
      <c r="A444" s="4" t="str">
        <f>IFERROR(__xludf.DUMMYFUNCTION("""COMPUTED_VALUE"""),"0355A")</f>
        <v>0355A</v>
      </c>
      <c r="B444" s="4" t="str">
        <f>IFERROR(__xludf.DUMMYFUNCTION("""COMPUTED_VALUE"""),"Cartel PVC 21x30 Fotolum. Botiquín")</f>
        <v>Cartel PVC 21x30 Fotolum. Botiquín</v>
      </c>
      <c r="C444" s="4">
        <f>IFERROR(__xludf.DUMMYFUNCTION("""COMPUTED_VALUE"""),2.4192)</f>
        <v>2.4192</v>
      </c>
      <c r="D444" s="4">
        <f>IFERROR(__xludf.DUMMYFUNCTION("""COMPUTED_VALUE"""),2.1)</f>
        <v>2.1</v>
      </c>
      <c r="E444" s="4" t="str">
        <f>IFERROR(__xludf.DUMMYFUNCTION("""COMPUTED_VALUE"""),"Neto: 2,10 € (a partir de 1 uds.)")</f>
        <v>Neto: 2,10 € (a partir de 1 uds.)</v>
      </c>
    </row>
    <row r="445">
      <c r="A445" s="4" t="str">
        <f>IFERROR(__xludf.DUMMYFUNCTION("""COMPUTED_VALUE"""),"0355B")</f>
        <v>0355B</v>
      </c>
      <c r="B445" s="4" t="str">
        <f>IFERROR(__xludf.DUMMYFUNCTION("""COMPUTED_VALUE"""),"Cartel PVC 40x30 Fotolum. Botiquín")</f>
        <v>Cartel PVC 40x30 Fotolum. Botiquín</v>
      </c>
      <c r="C445" s="4">
        <f>IFERROR(__xludf.DUMMYFUNCTION("""COMPUTED_VALUE"""),2.976)</f>
        <v>2.976</v>
      </c>
      <c r="D445" s="4">
        <f>IFERROR(__xludf.DUMMYFUNCTION("""COMPUTED_VALUE"""),3.2)</f>
        <v>3.2</v>
      </c>
      <c r="E445" s="4" t="str">
        <f>IFERROR(__xludf.DUMMYFUNCTION("""COMPUTED_VALUE"""),"Neto: 3,20 € (a partir de 1 uds.)")</f>
        <v>Neto: 3,20 € (a partir de 1 uds.)</v>
      </c>
    </row>
    <row r="446">
      <c r="A446" s="4" t="str">
        <f>IFERROR(__xludf.DUMMYFUNCTION("""COMPUTED_VALUE"""),"356")</f>
        <v>356</v>
      </c>
      <c r="B446" s="4" t="str">
        <f>IFERROR(__xludf.DUMMYFUNCTION("""COMPUTED_VALUE"""),"Cartel PVC 21x30 Fotolum. Agua Potable")</f>
        <v>Cartel PVC 21x30 Fotolum. Agua Potable</v>
      </c>
      <c r="C446" s="4">
        <f>IFERROR(__xludf.DUMMYFUNCTION("""COMPUTED_VALUE"""),2.496)</f>
        <v>2.496</v>
      </c>
      <c r="D446" s="4">
        <f>IFERROR(__xludf.DUMMYFUNCTION("""COMPUTED_VALUE"""),2.1)</f>
        <v>2.1</v>
      </c>
      <c r="E446" s="4" t="str">
        <f>IFERROR(__xludf.DUMMYFUNCTION("""COMPUTED_VALUE"""),"Neto: 2,10 € (a partir de 1 uds.)")</f>
        <v>Neto: 2,10 € (a partir de 1 uds.)</v>
      </c>
    </row>
    <row r="447">
      <c r="A447" s="4" t="str">
        <f>IFERROR(__xludf.DUMMYFUNCTION("""COMPUTED_VALUE"""),"0356A")</f>
        <v>0356A</v>
      </c>
      <c r="B447" s="4" t="str">
        <f>IFERROR(__xludf.DUMMYFUNCTION("""COMPUTED_VALUE"""),"Cartel PVC 21x30 Fotolum. Agua potable")</f>
        <v>Cartel PVC 21x30 Fotolum. Agua potable</v>
      </c>
      <c r="C447" s="4">
        <f>IFERROR(__xludf.DUMMYFUNCTION("""COMPUTED_VALUE"""),2.4192)</f>
        <v>2.4192</v>
      </c>
      <c r="D447" s="4">
        <f>IFERROR(__xludf.DUMMYFUNCTION("""COMPUTED_VALUE"""),2.1)</f>
        <v>2.1</v>
      </c>
      <c r="E447" s="4" t="str">
        <f>IFERROR(__xludf.DUMMYFUNCTION("""COMPUTED_VALUE"""),"Neto: 2,10 € (a partir de 1 uds.)")</f>
        <v>Neto: 2,10 € (a partir de 1 uds.)</v>
      </c>
    </row>
    <row r="448">
      <c r="A448" s="4" t="str">
        <f>IFERROR(__xludf.DUMMYFUNCTION("""COMPUTED_VALUE"""),"0356B")</f>
        <v>0356B</v>
      </c>
      <c r="B448" s="4" t="str">
        <f>IFERROR(__xludf.DUMMYFUNCTION("""COMPUTED_VALUE"""),"Cartel PVC 40x30 Fotolum. Agua potable")</f>
        <v>Cartel PVC 40x30 Fotolum. Agua potable</v>
      </c>
      <c r="C448" s="4">
        <f>IFERROR(__xludf.DUMMYFUNCTION("""COMPUTED_VALUE"""),2.976)</f>
        <v>2.976</v>
      </c>
      <c r="D448" s="4">
        <f>IFERROR(__xludf.DUMMYFUNCTION("""COMPUTED_VALUE"""),3.2)</f>
        <v>3.2</v>
      </c>
      <c r="E448" s="4" t="str">
        <f>IFERROR(__xludf.DUMMYFUNCTION("""COMPUTED_VALUE"""),"Neto: 3,20 € (a partir de 1 uds.)")</f>
        <v>Neto: 3,20 € (a partir de 1 uds.)</v>
      </c>
    </row>
    <row r="449">
      <c r="A449" s="4" t="str">
        <f>IFERROR(__xludf.DUMMYFUNCTION("""COMPUTED_VALUE"""),"357")</f>
        <v>357</v>
      </c>
      <c r="B449" s="4" t="str">
        <f>IFERROR(__xludf.DUMMYFUNCTION("""COMPUTED_VALUE"""),"Cartel PVC 21x30 Fotolum. Almacen")</f>
        <v>Cartel PVC 21x30 Fotolum. Almacen</v>
      </c>
      <c r="C449" s="4">
        <f>IFERROR(__xludf.DUMMYFUNCTION("""COMPUTED_VALUE"""),2.496)</f>
        <v>2.496</v>
      </c>
      <c r="D449" s="4">
        <f>IFERROR(__xludf.DUMMYFUNCTION("""COMPUTED_VALUE"""),2.1)</f>
        <v>2.1</v>
      </c>
      <c r="E449" s="4" t="str">
        <f>IFERROR(__xludf.DUMMYFUNCTION("""COMPUTED_VALUE"""),"Neto: 2,10 € (a partir de 1 uds.)")</f>
        <v>Neto: 2,10 € (a partir de 1 uds.)</v>
      </c>
    </row>
    <row r="450">
      <c r="A450" s="4" t="str">
        <f>IFERROR(__xludf.DUMMYFUNCTION("""COMPUTED_VALUE"""),"0357A")</f>
        <v>0357A</v>
      </c>
      <c r="B450" s="4" t="str">
        <f>IFERROR(__xludf.DUMMYFUNCTION("""COMPUTED_VALUE"""),"Cartel PVC 21x30 Fotolum. Almacén")</f>
        <v>Cartel PVC 21x30 Fotolum. Almacén</v>
      </c>
      <c r="C450" s="4">
        <f>IFERROR(__xludf.DUMMYFUNCTION("""COMPUTED_VALUE"""),2.4192)</f>
        <v>2.4192</v>
      </c>
      <c r="D450" s="4">
        <f>IFERROR(__xludf.DUMMYFUNCTION("""COMPUTED_VALUE"""),2.1)</f>
        <v>2.1</v>
      </c>
      <c r="E450" s="4" t="str">
        <f>IFERROR(__xludf.DUMMYFUNCTION("""COMPUTED_VALUE"""),"Neto: 2,10 € (a partir de 1 uds.)")</f>
        <v>Neto: 2,10 € (a partir de 1 uds.)</v>
      </c>
    </row>
    <row r="451">
      <c r="A451" s="4" t="str">
        <f>IFERROR(__xludf.DUMMYFUNCTION("""COMPUTED_VALUE"""),"0357B")</f>
        <v>0357B</v>
      </c>
      <c r="B451" s="4" t="str">
        <f>IFERROR(__xludf.DUMMYFUNCTION("""COMPUTED_VALUE"""),"Cartel PVC40x30 Fotolum. Almacén")</f>
        <v>Cartel PVC40x30 Fotolum. Almacén</v>
      </c>
      <c r="C451" s="4">
        <f>IFERROR(__xludf.DUMMYFUNCTION("""COMPUTED_VALUE"""),2.976)</f>
        <v>2.976</v>
      </c>
      <c r="D451" s="4">
        <f>IFERROR(__xludf.DUMMYFUNCTION("""COMPUTED_VALUE"""),3.2)</f>
        <v>3.2</v>
      </c>
      <c r="E451" s="4" t="str">
        <f>IFERROR(__xludf.DUMMYFUNCTION("""COMPUTED_VALUE"""),"Neto: 3,20 € (a partir de 1 uds.)")</f>
        <v>Neto: 3,20 € (a partir de 1 uds.)</v>
      </c>
    </row>
    <row r="452">
      <c r="A452" s="4" t="str">
        <f>IFERROR(__xludf.DUMMYFUNCTION("""COMPUTED_VALUE"""),"358")</f>
        <v>358</v>
      </c>
      <c r="B452" s="4" t="str">
        <f>IFERROR(__xludf.DUMMYFUNCTION("""COMPUTED_VALUE"""),"Cartel PVC 21x30 Fotolum. Telefono Emergencia")</f>
        <v>Cartel PVC 21x30 Fotolum. Telefono Emergencia</v>
      </c>
      <c r="C452" s="4">
        <f>IFERROR(__xludf.DUMMYFUNCTION("""COMPUTED_VALUE"""),2.496)</f>
        <v>2.496</v>
      </c>
      <c r="D452" s="4">
        <f>IFERROR(__xludf.DUMMYFUNCTION("""COMPUTED_VALUE"""),2.1)</f>
        <v>2.1</v>
      </c>
      <c r="E452" s="4" t="str">
        <f>IFERROR(__xludf.DUMMYFUNCTION("""COMPUTED_VALUE"""),"Neto: 2,10 € (a partir de 1 uds.)")</f>
        <v>Neto: 2,10 € (a partir de 1 uds.)</v>
      </c>
    </row>
    <row r="453">
      <c r="A453" s="4" t="str">
        <f>IFERROR(__xludf.DUMMYFUNCTION("""COMPUTED_VALUE"""),"0358A")</f>
        <v>0358A</v>
      </c>
      <c r="B453" s="4" t="str">
        <f>IFERROR(__xludf.DUMMYFUNCTION("""COMPUTED_VALUE"""),"Cartel PVC 21x30 Fotolum. Teléfono de emergencia")</f>
        <v>Cartel PVC 21x30 Fotolum. Teléfono de emergencia</v>
      </c>
      <c r="C453" s="4">
        <f>IFERROR(__xludf.DUMMYFUNCTION("""COMPUTED_VALUE"""),2.4192)</f>
        <v>2.4192</v>
      </c>
      <c r="D453" s="4">
        <f>IFERROR(__xludf.DUMMYFUNCTION("""COMPUTED_VALUE"""),2.1)</f>
        <v>2.1</v>
      </c>
      <c r="E453" s="4" t="str">
        <f>IFERROR(__xludf.DUMMYFUNCTION("""COMPUTED_VALUE"""),"Neto: 2,10 € (a partir de 1 uds.)")</f>
        <v>Neto: 2,10 € (a partir de 1 uds.)</v>
      </c>
    </row>
    <row r="454">
      <c r="A454" s="4" t="str">
        <f>IFERROR(__xludf.DUMMYFUNCTION("""COMPUTED_VALUE"""),"0358B")</f>
        <v>0358B</v>
      </c>
      <c r="B454" s="4" t="str">
        <f>IFERROR(__xludf.DUMMYFUNCTION("""COMPUTED_VALUE"""),"Cartel PVC 40x30 Fotolum. Teléfono de emergencia")</f>
        <v>Cartel PVC 40x30 Fotolum. Teléfono de emergencia</v>
      </c>
      <c r="C454" s="4">
        <f>IFERROR(__xludf.DUMMYFUNCTION("""COMPUTED_VALUE"""),2.976)</f>
        <v>2.976</v>
      </c>
      <c r="D454" s="4">
        <f>IFERROR(__xludf.DUMMYFUNCTION("""COMPUTED_VALUE"""),3.2)</f>
        <v>3.2</v>
      </c>
      <c r="E454" s="4" t="str">
        <f>IFERROR(__xludf.DUMMYFUNCTION("""COMPUTED_VALUE"""),"Neto: 3,20 € (a partir de 1 uds.)")</f>
        <v>Neto: 3,20 € (a partir de 1 uds.)</v>
      </c>
    </row>
    <row r="455">
      <c r="A455" s="4" t="str">
        <f>IFERROR(__xludf.DUMMYFUNCTION("""COMPUTED_VALUE"""),"359")</f>
        <v>359</v>
      </c>
      <c r="B455" s="4" t="str">
        <f>IFERROR(__xludf.DUMMYFUNCTION("""COMPUTED_VALUE"""),"Cartel PVC 21x30 Fotolum. Equipo Prim. Auxilios")</f>
        <v>Cartel PVC 21x30 Fotolum. Equipo Prim. Auxilios</v>
      </c>
      <c r="C455" s="4">
        <f>IFERROR(__xludf.DUMMYFUNCTION("""COMPUTED_VALUE"""),2.496)</f>
        <v>2.496</v>
      </c>
      <c r="D455" s="4">
        <f>IFERROR(__xludf.DUMMYFUNCTION("""COMPUTED_VALUE"""),2.1)</f>
        <v>2.1</v>
      </c>
      <c r="E455" s="4" t="str">
        <f>IFERROR(__xludf.DUMMYFUNCTION("""COMPUTED_VALUE"""),"Neto: 2,10 € (a partir de 1 uds.)")</f>
        <v>Neto: 2,10 € (a partir de 1 uds.)</v>
      </c>
    </row>
    <row r="456">
      <c r="A456" s="4" t="str">
        <f>IFERROR(__xludf.DUMMYFUNCTION("""COMPUTED_VALUE"""),"0359A")</f>
        <v>0359A</v>
      </c>
      <c r="B456" s="4" t="str">
        <f>IFERROR(__xludf.DUMMYFUNCTION("""COMPUTED_VALUE"""),"Cartel PVC 21x30 Fotolum. Equipo primeros auxilios")</f>
        <v>Cartel PVC 21x30 Fotolum. Equipo primeros auxilios</v>
      </c>
      <c r="C456" s="4">
        <f>IFERROR(__xludf.DUMMYFUNCTION("""COMPUTED_VALUE"""),2.4192)</f>
        <v>2.4192</v>
      </c>
      <c r="D456" s="4">
        <f>IFERROR(__xludf.DUMMYFUNCTION("""COMPUTED_VALUE"""),2.1)</f>
        <v>2.1</v>
      </c>
      <c r="E456" s="4" t="str">
        <f>IFERROR(__xludf.DUMMYFUNCTION("""COMPUTED_VALUE"""),"Neto: 2,10 € (a partir de 1 uds.)")</f>
        <v>Neto: 2,10 € (a partir de 1 uds.)</v>
      </c>
    </row>
    <row r="457">
      <c r="A457" s="4" t="str">
        <f>IFERROR(__xludf.DUMMYFUNCTION("""COMPUTED_VALUE"""),"0359B")</f>
        <v>0359B</v>
      </c>
      <c r="B457" s="4" t="str">
        <f>IFERROR(__xludf.DUMMYFUNCTION("""COMPUTED_VALUE"""),"Cartel PVC 40x30 Fotolum. Equipo primeros auxilios")</f>
        <v>Cartel PVC 40x30 Fotolum. Equipo primeros auxilios</v>
      </c>
      <c r="C457" s="4">
        <f>IFERROR(__xludf.DUMMYFUNCTION("""COMPUTED_VALUE"""),2.976)</f>
        <v>2.976</v>
      </c>
      <c r="D457" s="4">
        <f>IFERROR(__xludf.DUMMYFUNCTION("""COMPUTED_VALUE"""),3.2)</f>
        <v>3.2</v>
      </c>
      <c r="E457" s="4" t="str">
        <f>IFERROR(__xludf.DUMMYFUNCTION("""COMPUTED_VALUE"""),"Neto: 3,20 € (a partir de 1 uds.)")</f>
        <v>Neto: 3,20 € (a partir de 1 uds.)</v>
      </c>
    </row>
    <row r="458">
      <c r="A458" s="4" t="str">
        <f>IFERROR(__xludf.DUMMYFUNCTION("""COMPUTED_VALUE"""),"360")</f>
        <v>360</v>
      </c>
      <c r="B458" s="4" t="str">
        <f>IFERROR(__xludf.DUMMYFUNCTION("""COMPUTED_VALUE"""),"Cartel PVC 40x30 Peatón cruce por la otra acera")</f>
        <v>Cartel PVC 40x30 Peatón cruce por la otra acera</v>
      </c>
      <c r="C458" s="4">
        <f>IFERROR(__xludf.DUMMYFUNCTION("""COMPUTED_VALUE"""),2.3808)</f>
        <v>2.3808</v>
      </c>
      <c r="D458" s="4">
        <f>IFERROR(__xludf.DUMMYFUNCTION("""COMPUTED_VALUE"""),1.8)</f>
        <v>1.8</v>
      </c>
      <c r="E458" s="4" t="str">
        <f>IFERROR(__xludf.DUMMYFUNCTION("""COMPUTED_VALUE"""),"Neto: 1,80 € (a partir de 1 uds.)")</f>
        <v>Neto: 1,80 € (a partir de 1 uds.)</v>
      </c>
    </row>
    <row r="459">
      <c r="A459" s="4" t="str">
        <f>IFERROR(__xludf.DUMMYFUNCTION("""COMPUTED_VALUE"""),"361")</f>
        <v>361</v>
      </c>
      <c r="B459" s="4" t="str">
        <f>IFERROR(__xludf.DUMMYFUNCTION("""COMPUTED_VALUE"""),"Cartel PVC 40x30 Obras en ejecucion. Perdonen las molestias")</f>
        <v>Cartel PVC 40x30 Obras en ejecucion. Perdonen las molestias</v>
      </c>
      <c r="C459" s="4">
        <f>IFERROR(__xludf.DUMMYFUNCTION("""COMPUTED_VALUE"""),2.3808)</f>
        <v>2.3808</v>
      </c>
      <c r="D459" s="4">
        <f>IFERROR(__xludf.DUMMYFUNCTION("""COMPUTED_VALUE"""),1.8)</f>
        <v>1.8</v>
      </c>
      <c r="E459" s="4" t="str">
        <f>IFERROR(__xludf.DUMMYFUNCTION("""COMPUTED_VALUE"""),"Neto: 1,80 € (a partir de 1 uds.)")</f>
        <v>Neto: 1,80 € (a partir de 1 uds.)</v>
      </c>
    </row>
    <row r="460">
      <c r="A460" s="4" t="str">
        <f>IFERROR(__xludf.DUMMYFUNCTION("""COMPUTED_VALUE"""),"362")</f>
        <v>362</v>
      </c>
      <c r="B460" s="4" t="str">
        <f>IFERROR(__xludf.DUMMYFUNCTION("""COMPUTED_VALUE"""),"Cartel PVC 21x30 Fotolum. Punto Reunion")</f>
        <v>Cartel PVC 21x30 Fotolum. Punto Reunion</v>
      </c>
      <c r="C460" s="4">
        <f>IFERROR(__xludf.DUMMYFUNCTION("""COMPUTED_VALUE"""),2.496)</f>
        <v>2.496</v>
      </c>
      <c r="D460" s="4">
        <f>IFERROR(__xludf.DUMMYFUNCTION("""COMPUTED_VALUE"""),2.1)</f>
        <v>2.1</v>
      </c>
      <c r="E460" s="4" t="str">
        <f>IFERROR(__xludf.DUMMYFUNCTION("""COMPUTED_VALUE"""),"Neto: 2,10 € (a partir de 1 uds.)")</f>
        <v>Neto: 2,10 € (a partir de 1 uds.)</v>
      </c>
    </row>
    <row r="461">
      <c r="A461" s="4" t="str">
        <f>IFERROR(__xludf.DUMMYFUNCTION("""COMPUTED_VALUE"""),"0362A")</f>
        <v>0362A</v>
      </c>
      <c r="B461" s="4" t="str">
        <f>IFERROR(__xludf.DUMMYFUNCTION("""COMPUTED_VALUE"""),"Cartel PVC 21x30 Fotolum. Punto de Reunión")</f>
        <v>Cartel PVC 21x30 Fotolum. Punto de Reunión</v>
      </c>
      <c r="C461" s="4">
        <f>IFERROR(__xludf.DUMMYFUNCTION("""COMPUTED_VALUE"""),2.4192)</f>
        <v>2.4192</v>
      </c>
      <c r="D461" s="4">
        <f>IFERROR(__xludf.DUMMYFUNCTION("""COMPUTED_VALUE"""),2.1)</f>
        <v>2.1</v>
      </c>
      <c r="E461" s="4" t="str">
        <f>IFERROR(__xludf.DUMMYFUNCTION("""COMPUTED_VALUE"""),"Neto: 2,10 € (a partir de 1 uds.)")</f>
        <v>Neto: 2,10 € (a partir de 1 uds.)</v>
      </c>
    </row>
    <row r="462">
      <c r="A462" s="4" t="str">
        <f>IFERROR(__xludf.DUMMYFUNCTION("""COMPUTED_VALUE"""),"0362B")</f>
        <v>0362B</v>
      </c>
      <c r="B462" s="4" t="str">
        <f>IFERROR(__xludf.DUMMYFUNCTION("""COMPUTED_VALUE"""),"Cartel PVC 40x30 Fotolum. Punto de reunión")</f>
        <v>Cartel PVC 40x30 Fotolum. Punto de reunión</v>
      </c>
      <c r="C462" s="4">
        <f>IFERROR(__xludf.DUMMYFUNCTION("""COMPUTED_VALUE"""),2.976)</f>
        <v>2.976</v>
      </c>
      <c r="D462" s="4">
        <f>IFERROR(__xludf.DUMMYFUNCTION("""COMPUTED_VALUE"""),3.2)</f>
        <v>3.2</v>
      </c>
      <c r="E462" s="4" t="str">
        <f>IFERROR(__xludf.DUMMYFUNCTION("""COMPUTED_VALUE"""),"Neto: 3,20 € (a partir de 1 uds.)")</f>
        <v>Neto: 3,20 € (a partir de 1 uds.)</v>
      </c>
    </row>
    <row r="463">
      <c r="A463" s="4" t="str">
        <f>IFERROR(__xludf.DUMMYFUNCTION("""COMPUTED_VALUE"""),"363")</f>
        <v>363</v>
      </c>
      <c r="B463" s="4" t="str">
        <f>IFERROR(__xludf.DUMMYFUNCTION("""COMPUTED_VALUE"""),"Cartel PVC 40x30 Atencion salida de camiones")</f>
        <v>Cartel PVC 40x30 Atencion salida de camiones</v>
      </c>
      <c r="C463" s="4">
        <f>IFERROR(__xludf.DUMMYFUNCTION("""COMPUTED_VALUE"""),2.3808)</f>
        <v>2.3808</v>
      </c>
      <c r="D463" s="4">
        <f>IFERROR(__xludf.DUMMYFUNCTION("""COMPUTED_VALUE"""),1.8)</f>
        <v>1.8</v>
      </c>
      <c r="E463" s="4" t="str">
        <f>IFERROR(__xludf.DUMMYFUNCTION("""COMPUTED_VALUE"""),"Neto: 1,80 € (a partir de 1 uds.)")</f>
        <v>Neto: 1,80 € (a partir de 1 uds.)</v>
      </c>
    </row>
    <row r="464">
      <c r="A464" s="4" t="str">
        <f>IFERROR(__xludf.DUMMYFUNCTION("""COMPUTED_VALUE"""),"364")</f>
        <v>364</v>
      </c>
      <c r="B464" s="4" t="str">
        <f>IFERROR(__xludf.DUMMYFUNCTION("""COMPUTED_VALUE"""),"Cartel PVC 21x30 Fotolum. Camilla de Socorro")</f>
        <v>Cartel PVC 21x30 Fotolum. Camilla de Socorro</v>
      </c>
      <c r="C464" s="4">
        <f>IFERROR(__xludf.DUMMYFUNCTION("""COMPUTED_VALUE"""),2.496)</f>
        <v>2.496</v>
      </c>
      <c r="D464" s="4">
        <f>IFERROR(__xludf.DUMMYFUNCTION("""COMPUTED_VALUE"""),2.1)</f>
        <v>2.1</v>
      </c>
      <c r="E464" s="4" t="str">
        <f>IFERROR(__xludf.DUMMYFUNCTION("""COMPUTED_VALUE"""),"Neto: 2,10 € (a partir de 1 uds.)")</f>
        <v>Neto: 2,10 € (a partir de 1 uds.)</v>
      </c>
    </row>
    <row r="465">
      <c r="A465" s="4" t="str">
        <f>IFERROR(__xludf.DUMMYFUNCTION("""COMPUTED_VALUE"""),"0364A")</f>
        <v>0364A</v>
      </c>
      <c r="B465" s="4" t="str">
        <f>IFERROR(__xludf.DUMMYFUNCTION("""COMPUTED_VALUE"""),"Cartel PVC 21x30 Fotolum. Camilla de socorro")</f>
        <v>Cartel PVC 21x30 Fotolum. Camilla de socorro</v>
      </c>
      <c r="C465" s="4">
        <f>IFERROR(__xludf.DUMMYFUNCTION("""COMPUTED_VALUE"""),2.4192)</f>
        <v>2.4192</v>
      </c>
      <c r="D465" s="4">
        <f>IFERROR(__xludf.DUMMYFUNCTION("""COMPUTED_VALUE"""),2.1)</f>
        <v>2.1</v>
      </c>
      <c r="E465" s="4" t="str">
        <f>IFERROR(__xludf.DUMMYFUNCTION("""COMPUTED_VALUE"""),"Neto: 2,10 € (a partir de 1 uds.)")</f>
        <v>Neto: 2,10 € (a partir de 1 uds.)</v>
      </c>
    </row>
    <row r="466">
      <c r="A466" s="4" t="str">
        <f>IFERROR(__xludf.DUMMYFUNCTION("""COMPUTED_VALUE"""),"0364B")</f>
        <v>0364B</v>
      </c>
      <c r="B466" s="4" t="str">
        <f>IFERROR(__xludf.DUMMYFUNCTION("""COMPUTED_VALUE"""),"Cartel PVC 40x30 Fotolum. Camilla de socorro")</f>
        <v>Cartel PVC 40x30 Fotolum. Camilla de socorro</v>
      </c>
      <c r="C466" s="4">
        <f>IFERROR(__xludf.DUMMYFUNCTION("""COMPUTED_VALUE"""),2.976)</f>
        <v>2.976</v>
      </c>
      <c r="D466" s="4">
        <f>IFERROR(__xludf.DUMMYFUNCTION("""COMPUTED_VALUE"""),3.2)</f>
        <v>3.2</v>
      </c>
      <c r="E466" s="4" t="str">
        <f>IFERROR(__xludf.DUMMYFUNCTION("""COMPUTED_VALUE"""),"Neto: 3,20 € (a partir de 1 uds.)")</f>
        <v>Neto: 3,20 € (a partir de 1 uds.)</v>
      </c>
    </row>
    <row r="467">
      <c r="A467" s="4" t="str">
        <f>IFERROR(__xludf.DUMMYFUNCTION("""COMPUTED_VALUE"""),"365")</f>
        <v>365</v>
      </c>
      <c r="B467" s="4" t="str">
        <f>IFERROR(__xludf.DUMMYFUNCTION("""COMPUTED_VALUE"""),"Cartel PVC 21x30 Fotolum. Pulsar en caso de Emergencia")</f>
        <v>Cartel PVC 21x30 Fotolum. Pulsar en caso de Emergencia</v>
      </c>
      <c r="C467" s="4">
        <f>IFERROR(__xludf.DUMMYFUNCTION("""COMPUTED_VALUE"""),2.496)</f>
        <v>2.496</v>
      </c>
      <c r="D467" s="4">
        <f>IFERROR(__xludf.DUMMYFUNCTION("""COMPUTED_VALUE"""),2.1)</f>
        <v>2.1</v>
      </c>
      <c r="E467" s="4" t="str">
        <f>IFERROR(__xludf.DUMMYFUNCTION("""COMPUTED_VALUE"""),"Neto: 2,10 € (a partir de 1 uds.)")</f>
        <v>Neto: 2,10 € (a partir de 1 uds.)</v>
      </c>
    </row>
    <row r="468">
      <c r="A468" s="4" t="str">
        <f>IFERROR(__xludf.DUMMYFUNCTION("""COMPUTED_VALUE"""),"366")</f>
        <v>366</v>
      </c>
      <c r="B468" s="4" t="str">
        <f>IFERROR(__xludf.DUMMYFUNCTION("""COMPUTED_VALUE"""),"Cartel PVC 21x30 Fotolum. Empujar barra para salir")</f>
        <v>Cartel PVC 21x30 Fotolum. Empujar barra para salir</v>
      </c>
      <c r="C468" s="4">
        <f>IFERROR(__xludf.DUMMYFUNCTION("""COMPUTED_VALUE"""),2.496)</f>
        <v>2.496</v>
      </c>
      <c r="D468" s="4">
        <f>IFERROR(__xludf.DUMMYFUNCTION("""COMPUTED_VALUE"""),2.1)</f>
        <v>2.1</v>
      </c>
      <c r="E468" s="4" t="str">
        <f>IFERROR(__xludf.DUMMYFUNCTION("""COMPUTED_VALUE"""),"Neto: 2,10 € (a partir de 1 uds.)")</f>
        <v>Neto: 2,10 € (a partir de 1 uds.)</v>
      </c>
    </row>
    <row r="469">
      <c r="A469" s="4" t="str">
        <f>IFERROR(__xludf.DUMMYFUNCTION("""COMPUTED_VALUE"""),"0366A")</f>
        <v>0366A</v>
      </c>
      <c r="B469" s="4" t="str">
        <f>IFERROR(__xludf.DUMMYFUNCTION("""COMPUTED_VALUE"""),"Cartel PVC 21x30 Fotolum. Empujar barra para salir")</f>
        <v>Cartel PVC 21x30 Fotolum. Empujar barra para salir</v>
      </c>
      <c r="C469" s="4">
        <f>IFERROR(__xludf.DUMMYFUNCTION("""COMPUTED_VALUE"""),2.4192)</f>
        <v>2.4192</v>
      </c>
      <c r="D469" s="4">
        <f>IFERROR(__xludf.DUMMYFUNCTION("""COMPUTED_VALUE"""),2.1)</f>
        <v>2.1</v>
      </c>
      <c r="E469" s="4" t="str">
        <f>IFERROR(__xludf.DUMMYFUNCTION("""COMPUTED_VALUE"""),"Neto: 2,10 € (a partir de 1 uds.)")</f>
        <v>Neto: 2,10 € (a partir de 1 uds.)</v>
      </c>
    </row>
    <row r="470">
      <c r="A470" s="4" t="str">
        <f>IFERROR(__xludf.DUMMYFUNCTION("""COMPUTED_VALUE"""),"0366B")</f>
        <v>0366B</v>
      </c>
      <c r="B470" s="4" t="str">
        <f>IFERROR(__xludf.DUMMYFUNCTION("""COMPUTED_VALUE"""),"Cartel PVC 40x30 Fotolum. Empujar barra para salir")</f>
        <v>Cartel PVC 40x30 Fotolum. Empujar barra para salir</v>
      </c>
      <c r="C470" s="4">
        <f>IFERROR(__xludf.DUMMYFUNCTION("""COMPUTED_VALUE"""),2.976)</f>
        <v>2.976</v>
      </c>
      <c r="D470" s="4">
        <f>IFERROR(__xludf.DUMMYFUNCTION("""COMPUTED_VALUE"""),3.2)</f>
        <v>3.2</v>
      </c>
      <c r="E470" s="4" t="str">
        <f>IFERROR(__xludf.DUMMYFUNCTION("""COMPUTED_VALUE"""),"Neto: 3,20 € (a partir de 1 uds.)")</f>
        <v>Neto: 3,20 € (a partir de 1 uds.)</v>
      </c>
    </row>
    <row r="471">
      <c r="A471" s="4" t="str">
        <f>IFERROR(__xludf.DUMMYFUNCTION("""COMPUTED_VALUE"""),"367")</f>
        <v>367</v>
      </c>
      <c r="B471" s="4" t="str">
        <f>IFERROR(__xludf.DUMMYFUNCTION("""COMPUTED_VALUE"""),"Cartel PVC 21x30 Fotolum. Salida de Emergencia")</f>
        <v>Cartel PVC 21x30 Fotolum. Salida de Emergencia</v>
      </c>
      <c r="C471" s="4">
        <f>IFERROR(__xludf.DUMMYFUNCTION("""COMPUTED_VALUE"""),2.496)</f>
        <v>2.496</v>
      </c>
      <c r="D471" s="4">
        <f>IFERROR(__xludf.DUMMYFUNCTION("""COMPUTED_VALUE"""),2.1)</f>
        <v>2.1</v>
      </c>
      <c r="E471" s="4" t="str">
        <f>IFERROR(__xludf.DUMMYFUNCTION("""COMPUTED_VALUE"""),"Neto: 2,10 € (a partir de 1 uds.)")</f>
        <v>Neto: 2,10 € (a partir de 1 uds.)</v>
      </c>
    </row>
    <row r="472">
      <c r="A472" s="4" t="str">
        <f>IFERROR(__xludf.DUMMYFUNCTION("""COMPUTED_VALUE"""),"0367A")</f>
        <v>0367A</v>
      </c>
      <c r="B472" s="4" t="str">
        <f>IFERROR(__xludf.DUMMYFUNCTION("""COMPUTED_VALUE"""),"Cartel PVC 32x16 Fotolum. Salida de emergenca")</f>
        <v>Cartel PVC 32x16 Fotolum. Salida de emergenca</v>
      </c>
      <c r="C472" s="4">
        <f>IFERROR(__xludf.DUMMYFUNCTION("""COMPUTED_VALUE"""),2.16)</f>
        <v>2.16</v>
      </c>
      <c r="D472" s="4"/>
      <c r="E472" s="4" t="str">
        <f>IFERROR(__xludf.DUMMYFUNCTION("""COMPUTED_VALUE"""),"Sin precio neto")</f>
        <v>Sin precio neto</v>
      </c>
    </row>
    <row r="473">
      <c r="A473" s="4" t="str">
        <f>IFERROR(__xludf.DUMMYFUNCTION("""COMPUTED_VALUE"""),"0367AA")</f>
        <v>0367AA</v>
      </c>
      <c r="B473" s="4" t="str">
        <f>IFERROR(__xludf.DUMMYFUNCTION("""COMPUTED_VALUE"""),"Cartel PVC 21x21 Fotolum.Minusválidos")</f>
        <v>Cartel PVC 21x21 Fotolum.Minusválidos</v>
      </c>
      <c r="C473" s="4">
        <f>IFERROR(__xludf.DUMMYFUNCTION("""COMPUTED_VALUE"""),2.2176)</f>
        <v>2.2176</v>
      </c>
      <c r="D473" s="4"/>
      <c r="E473" s="4" t="str">
        <f>IFERROR(__xludf.DUMMYFUNCTION("""COMPUTED_VALUE"""),"Sin precio neto")</f>
        <v>Sin precio neto</v>
      </c>
    </row>
    <row r="474">
      <c r="A474" s="4" t="str">
        <f>IFERROR(__xludf.DUMMYFUNCTION("""COMPUTED_VALUE"""),"0367BA")</f>
        <v>0367BA</v>
      </c>
      <c r="B474" s="4" t="str">
        <f>IFERROR(__xludf.DUMMYFUNCTION("""COMPUTED_VALUE"""),"Cartel PVC 42x42 Fotolum.Minusválidos")</f>
        <v>Cartel PVC 42x42 Fotolum.Minusválidos</v>
      </c>
      <c r="C474" s="4">
        <f>IFERROR(__xludf.DUMMYFUNCTION("""COMPUTED_VALUE"""),3.7439999999999998)</f>
        <v>3.744</v>
      </c>
      <c r="D474" s="4"/>
      <c r="E474" s="4" t="str">
        <f>IFERROR(__xludf.DUMMYFUNCTION("""COMPUTED_VALUE"""),"Sin precio neto")</f>
        <v>Sin precio neto</v>
      </c>
    </row>
    <row r="475">
      <c r="A475" s="4" t="str">
        <f>IFERROR(__xludf.DUMMYFUNCTION("""COMPUTED_VALUE"""),"0367CA")</f>
        <v>0367CA</v>
      </c>
      <c r="B475" s="4" t="str">
        <f>IFERROR(__xludf.DUMMYFUNCTION("""COMPUTED_VALUE"""),"Cartel PVC 63x63 Fotolum.Minusválidos")</f>
        <v>Cartel PVC 63x63 Fotolum.Minusválidos</v>
      </c>
      <c r="C475" s="4">
        <f>IFERROR(__xludf.DUMMYFUNCTION("""COMPUTED_VALUE"""),6.0)</f>
        <v>6</v>
      </c>
      <c r="D475" s="4"/>
      <c r="E475" s="4" t="str">
        <f>IFERROR(__xludf.DUMMYFUNCTION("""COMPUTED_VALUE"""),"Sin precio neto")</f>
        <v>Sin precio neto</v>
      </c>
    </row>
    <row r="476">
      <c r="A476" s="4" t="str">
        <f>IFERROR(__xludf.DUMMYFUNCTION("""COMPUTED_VALUE"""),"368")</f>
        <v>368</v>
      </c>
      <c r="B476" s="4" t="str">
        <f>IFERROR(__xludf.DUMMYFUNCTION("""COMPUTED_VALUE"""),"Cartel PVC 21x29 AVISO POLICIA")</f>
        <v>Cartel PVC 21x29 AVISO POLICIA</v>
      </c>
      <c r="C476" s="4">
        <f>IFERROR(__xludf.DUMMYFUNCTION("""COMPUTED_VALUE"""),1.536)</f>
        <v>1.536</v>
      </c>
      <c r="D476" s="4">
        <f>IFERROR(__xludf.DUMMYFUNCTION("""COMPUTED_VALUE"""),1.2)</f>
        <v>1.2</v>
      </c>
      <c r="E476" s="4" t="str">
        <f>IFERROR(__xludf.DUMMYFUNCTION("""COMPUTED_VALUE"""),"Neto: 1,20 € (a partir de 1 uds.)")</f>
        <v>Neto: 1,20 € (a partir de 1 uds.)</v>
      </c>
    </row>
    <row r="477">
      <c r="A477" s="4" t="str">
        <f>IFERROR(__xludf.DUMMYFUNCTION("""COMPUTED_VALUE"""),"369")</f>
        <v>369</v>
      </c>
      <c r="B477" s="4" t="str">
        <f>IFERROR(__xludf.DUMMYFUNCTION("""COMPUTED_VALUE"""),"Cartel PVC 21x29 Zona video vigilada")</f>
        <v>Cartel PVC 21x29 Zona video vigilada</v>
      </c>
      <c r="C477" s="4">
        <f>IFERROR(__xludf.DUMMYFUNCTION("""COMPUTED_VALUE"""),1.536)</f>
        <v>1.536</v>
      </c>
      <c r="D477" s="4">
        <f>IFERROR(__xludf.DUMMYFUNCTION("""COMPUTED_VALUE"""),1.2)</f>
        <v>1.2</v>
      </c>
      <c r="E477" s="4" t="str">
        <f>IFERROR(__xludf.DUMMYFUNCTION("""COMPUTED_VALUE"""),"Neto: 1,20 € (a partir de 1 uds.)")</f>
        <v>Neto: 1,20 € (a partir de 1 uds.)</v>
      </c>
    </row>
    <row r="478">
      <c r="A478" s="4" t="str">
        <f>IFERROR(__xludf.DUMMYFUNCTION("""COMPUTED_VALUE"""),"370")</f>
        <v>370</v>
      </c>
      <c r="B478" s="4" t="str">
        <f>IFERROR(__xludf.DUMMYFUNCTION("""COMPUTED_VALUE"""),"Cartel PVC 40x30 Prohib. Beber y Comer")</f>
        <v>Cartel PVC 40x30 Prohib. Beber y Comer</v>
      </c>
      <c r="C478" s="4">
        <f>IFERROR(__xludf.DUMMYFUNCTION("""COMPUTED_VALUE"""),2.3808)</f>
        <v>2.3808</v>
      </c>
      <c r="D478" s="4">
        <f>IFERROR(__xludf.DUMMYFUNCTION("""COMPUTED_VALUE"""),1.8)</f>
        <v>1.8</v>
      </c>
      <c r="E478" s="4" t="str">
        <f>IFERROR(__xludf.DUMMYFUNCTION("""COMPUTED_VALUE"""),"Neto: 1,80 € (a partir de 1 uds.)")</f>
        <v>Neto: 1,80 € (a partir de 1 uds.)</v>
      </c>
    </row>
    <row r="479">
      <c r="A479" s="4" t="str">
        <f>IFERROR(__xludf.DUMMYFUNCTION("""COMPUTED_VALUE"""),"0370P")</f>
        <v>0370P</v>
      </c>
      <c r="B479" s="4" t="str">
        <f>IFERROR(__xludf.DUMMYFUNCTION("""COMPUTED_VALUE"""),"Cartel PVC 21x29 PROHIBIDO BEBER Y COMER")</f>
        <v>Cartel PVC 21x29 PROHIBIDO BEBER Y COMER</v>
      </c>
      <c r="C479" s="4">
        <f>IFERROR(__xludf.DUMMYFUNCTION("""COMPUTED_VALUE"""),1.536)</f>
        <v>1.536</v>
      </c>
      <c r="D479" s="4">
        <f>IFERROR(__xludf.DUMMYFUNCTION("""COMPUTED_VALUE"""),1.2)</f>
        <v>1.2</v>
      </c>
      <c r="E479" s="4" t="str">
        <f>IFERROR(__xludf.DUMMYFUNCTION("""COMPUTED_VALUE"""),"Neto: 1,20 € (a partir de 1 uds.)")</f>
        <v>Neto: 1,20 € (a partir de 1 uds.)</v>
      </c>
    </row>
    <row r="480">
      <c r="A480" s="4" t="str">
        <f>IFERROR(__xludf.DUMMYFUNCTION("""COMPUTED_VALUE"""),"371")</f>
        <v>371</v>
      </c>
      <c r="B480" s="4" t="str">
        <f>IFERROR(__xludf.DUMMYFUNCTION("""COMPUTED_VALUE"""),"Cartel PVC 40x30 Peligro Gases Compr.")</f>
        <v>Cartel PVC 40x30 Peligro Gases Compr.</v>
      </c>
      <c r="C480" s="4">
        <f>IFERROR(__xludf.DUMMYFUNCTION("""COMPUTED_VALUE"""),2.3808)</f>
        <v>2.3808</v>
      </c>
      <c r="D480" s="4">
        <f>IFERROR(__xludf.DUMMYFUNCTION("""COMPUTED_VALUE"""),1.8)</f>
        <v>1.8</v>
      </c>
      <c r="E480" s="4" t="str">
        <f>IFERROR(__xludf.DUMMYFUNCTION("""COMPUTED_VALUE"""),"Neto: 1,80 € (a partir de 1 uds.)")</f>
        <v>Neto: 1,80 € (a partir de 1 uds.)</v>
      </c>
    </row>
    <row r="481">
      <c r="A481" s="4" t="str">
        <f>IFERROR(__xludf.DUMMYFUNCTION("""COMPUTED_VALUE"""),"0371P")</f>
        <v>0371P</v>
      </c>
      <c r="B481" s="4" t="str">
        <f>IFERROR(__xludf.DUMMYFUNCTION("""COMPUTED_VALUE"""),"Cartel PVC 21x29 PELIGRO GASES COMPRIMIDOS")</f>
        <v>Cartel PVC 21x29 PELIGRO GASES COMPRIMIDOS</v>
      </c>
      <c r="C481" s="4">
        <f>IFERROR(__xludf.DUMMYFUNCTION("""COMPUTED_VALUE"""),1.536)</f>
        <v>1.536</v>
      </c>
      <c r="D481" s="4">
        <f>IFERROR(__xludf.DUMMYFUNCTION("""COMPUTED_VALUE"""),1.2)</f>
        <v>1.2</v>
      </c>
      <c r="E481" s="4" t="str">
        <f>IFERROR(__xludf.DUMMYFUNCTION("""COMPUTED_VALUE"""),"Neto: 1,20 € (a partir de 1 uds.)")</f>
        <v>Neto: 1,20 € (a partir de 1 uds.)</v>
      </c>
    </row>
    <row r="482">
      <c r="A482" s="4" t="str">
        <f>IFERROR(__xludf.DUMMYFUNCTION("""COMPUTED_VALUE"""),"372")</f>
        <v>372</v>
      </c>
      <c r="B482" s="4" t="str">
        <f>IFERROR(__xludf.DUMMYFUNCTION("""COMPUTED_VALUE"""),"Cartel PVC 40x30 Peligro Andamio Incom")</f>
        <v>Cartel PVC 40x30 Peligro Andamio Incom</v>
      </c>
      <c r="C482" s="4">
        <f>IFERROR(__xludf.DUMMYFUNCTION("""COMPUTED_VALUE"""),2.3808)</f>
        <v>2.3808</v>
      </c>
      <c r="D482" s="4">
        <f>IFERROR(__xludf.DUMMYFUNCTION("""COMPUTED_VALUE"""),1.8)</f>
        <v>1.8</v>
      </c>
      <c r="E482" s="4" t="str">
        <f>IFERROR(__xludf.DUMMYFUNCTION("""COMPUTED_VALUE"""),"Neto: 1,80 € (a partir de 1 uds.)")</f>
        <v>Neto: 1,80 € (a partir de 1 uds.)</v>
      </c>
    </row>
    <row r="483">
      <c r="A483" s="4" t="str">
        <f>IFERROR(__xludf.DUMMYFUNCTION("""COMPUTED_VALUE"""),"0372P")</f>
        <v>0372P</v>
      </c>
      <c r="B483" s="4" t="str">
        <f>IFERROR(__xludf.DUMMYFUNCTION("""COMPUTED_VALUE"""),"Cartel PVC 21x29 PELIGRO ANDAMIAJE INCOMPLETO")</f>
        <v>Cartel PVC 21x29 PELIGRO ANDAMIAJE INCOMPLETO</v>
      </c>
      <c r="C483" s="4">
        <f>IFERROR(__xludf.DUMMYFUNCTION("""COMPUTED_VALUE"""),1.536)</f>
        <v>1.536</v>
      </c>
      <c r="D483" s="4">
        <f>IFERROR(__xludf.DUMMYFUNCTION("""COMPUTED_VALUE"""),1.2)</f>
        <v>1.2</v>
      </c>
      <c r="E483" s="4" t="str">
        <f>IFERROR(__xludf.DUMMYFUNCTION("""COMPUTED_VALUE"""),"Neto: 1,20 € (a partir de 1 uds.)")</f>
        <v>Neto: 1,20 € (a partir de 1 uds.)</v>
      </c>
    </row>
    <row r="484">
      <c r="A484" s="4" t="str">
        <f>IFERROR(__xludf.DUMMYFUNCTION("""COMPUTED_VALUE"""),"373")</f>
        <v>373</v>
      </c>
      <c r="B484" s="4" t="str">
        <f>IFERROR(__xludf.DUMMYFUNCTION("""COMPUTED_VALUE"""),"Cartel PVC 40x30 Peligro Escalon")</f>
        <v>Cartel PVC 40x30 Peligro Escalon</v>
      </c>
      <c r="C484" s="4">
        <f>IFERROR(__xludf.DUMMYFUNCTION("""COMPUTED_VALUE"""),2.3808)</f>
        <v>2.3808</v>
      </c>
      <c r="D484" s="4">
        <f>IFERROR(__xludf.DUMMYFUNCTION("""COMPUTED_VALUE"""),1.8)</f>
        <v>1.8</v>
      </c>
      <c r="E484" s="4" t="str">
        <f>IFERROR(__xludf.DUMMYFUNCTION("""COMPUTED_VALUE"""),"Neto: 1,80 € (a partir de 1 uds.)")</f>
        <v>Neto: 1,80 € (a partir de 1 uds.)</v>
      </c>
    </row>
    <row r="485">
      <c r="A485" s="4" t="str">
        <f>IFERROR(__xludf.DUMMYFUNCTION("""COMPUTED_VALUE"""),"0373P")</f>
        <v>0373P</v>
      </c>
      <c r="B485" s="4" t="str">
        <f>IFERROR(__xludf.DUMMYFUNCTION("""COMPUTED_VALUE"""),"Cartel PVC 21x29 PELIGRO CUIDADO CON ESCALON")</f>
        <v>Cartel PVC 21x29 PELIGRO CUIDADO CON ESCALON</v>
      </c>
      <c r="C485" s="4">
        <f>IFERROR(__xludf.DUMMYFUNCTION("""COMPUTED_VALUE"""),1.536)</f>
        <v>1.536</v>
      </c>
      <c r="D485" s="4">
        <f>IFERROR(__xludf.DUMMYFUNCTION("""COMPUTED_VALUE"""),1.2)</f>
        <v>1.2</v>
      </c>
      <c r="E485" s="4" t="str">
        <f>IFERROR(__xludf.DUMMYFUNCTION("""COMPUTED_VALUE"""),"Neto: 1,20 € (a partir de 1 uds.)")</f>
        <v>Neto: 1,20 € (a partir de 1 uds.)</v>
      </c>
    </row>
    <row r="486">
      <c r="A486" s="4" t="str">
        <f>IFERROR(__xludf.DUMMYFUNCTION("""COMPUTED_VALUE"""),"374")</f>
        <v>374</v>
      </c>
      <c r="B486" s="4" t="str">
        <f>IFERROR(__xludf.DUMMYFUNCTION("""COMPUTED_VALUE"""),"Cartel PVC 40x30 Prohibido el Paso")</f>
        <v>Cartel PVC 40x30 Prohibido el Paso</v>
      </c>
      <c r="C486" s="4">
        <f>IFERROR(__xludf.DUMMYFUNCTION("""COMPUTED_VALUE"""),2.3808)</f>
        <v>2.3808</v>
      </c>
      <c r="D486" s="4">
        <f>IFERROR(__xludf.DUMMYFUNCTION("""COMPUTED_VALUE"""),1.8)</f>
        <v>1.8</v>
      </c>
      <c r="E486" s="4" t="str">
        <f>IFERROR(__xludf.DUMMYFUNCTION("""COMPUTED_VALUE"""),"Neto: 1,80 € (a partir de 1 uds.)")</f>
        <v>Neto: 1,80 € (a partir de 1 uds.)</v>
      </c>
    </row>
    <row r="487">
      <c r="A487" s="4" t="str">
        <f>IFERROR(__xludf.DUMMYFUNCTION("""COMPUTED_VALUE"""),"0374P")</f>
        <v>0374P</v>
      </c>
      <c r="B487" s="4" t="str">
        <f>IFERROR(__xludf.DUMMYFUNCTION("""COMPUTED_VALUE"""),"Cartel PVC 21x29 PROHIBIDO EL PASO")</f>
        <v>Cartel PVC 21x29 PROHIBIDO EL PASO</v>
      </c>
      <c r="C487" s="4">
        <f>IFERROR(__xludf.DUMMYFUNCTION("""COMPUTED_VALUE"""),1.536)</f>
        <v>1.536</v>
      </c>
      <c r="D487" s="4">
        <f>IFERROR(__xludf.DUMMYFUNCTION("""COMPUTED_VALUE"""),1.2)</f>
        <v>1.2</v>
      </c>
      <c r="E487" s="4" t="str">
        <f>IFERROR(__xludf.DUMMYFUNCTION("""COMPUTED_VALUE"""),"Neto: 1,20 € (a partir de 1 uds.)")</f>
        <v>Neto: 1,20 € (a partir de 1 uds.)</v>
      </c>
    </row>
    <row r="488">
      <c r="A488" s="4" t="str">
        <f>IFERROR(__xludf.DUMMYFUNCTION("""COMPUTED_VALUE"""),"375")</f>
        <v>375</v>
      </c>
      <c r="B488" s="4" t="str">
        <f>IFERROR(__xludf.DUMMYFUNCTION("""COMPUTED_VALUE"""),"Cartel PVC 40x30 Peligro de Incendio")</f>
        <v>Cartel PVC 40x30 Peligro de Incendio</v>
      </c>
      <c r="C488" s="4">
        <f>IFERROR(__xludf.DUMMYFUNCTION("""COMPUTED_VALUE"""),2.3808)</f>
        <v>2.3808</v>
      </c>
      <c r="D488" s="4">
        <f>IFERROR(__xludf.DUMMYFUNCTION("""COMPUTED_VALUE"""),1.8)</f>
        <v>1.8</v>
      </c>
      <c r="E488" s="4" t="str">
        <f>IFERROR(__xludf.DUMMYFUNCTION("""COMPUTED_VALUE"""),"Neto: 1,80 € (a partir de 1 uds.)")</f>
        <v>Neto: 1,80 € (a partir de 1 uds.)</v>
      </c>
    </row>
    <row r="489">
      <c r="A489" s="4" t="str">
        <f>IFERROR(__xludf.DUMMYFUNCTION("""COMPUTED_VALUE"""),"0375P")</f>
        <v>0375P</v>
      </c>
      <c r="B489" s="4" t="str">
        <f>IFERROR(__xludf.DUMMYFUNCTION("""COMPUTED_VALUE"""),"Cartel PVC 21x29 PELIGRO DE INCENDIO")</f>
        <v>Cartel PVC 21x29 PELIGRO DE INCENDIO</v>
      </c>
      <c r="C489" s="4">
        <f>IFERROR(__xludf.DUMMYFUNCTION("""COMPUTED_VALUE"""),1.536)</f>
        <v>1.536</v>
      </c>
      <c r="D489" s="4">
        <f>IFERROR(__xludf.DUMMYFUNCTION("""COMPUTED_VALUE"""),1.2)</f>
        <v>1.2</v>
      </c>
      <c r="E489" s="4" t="str">
        <f>IFERROR(__xludf.DUMMYFUNCTION("""COMPUTED_VALUE"""),"Neto: 1,20 € (a partir de 1 uds.)")</f>
        <v>Neto: 1,20 € (a partir de 1 uds.)</v>
      </c>
    </row>
    <row r="490">
      <c r="A490" s="4" t="str">
        <f>IFERROR(__xludf.DUMMYFUNCTION("""COMPUTED_VALUE"""),"376")</f>
        <v>376</v>
      </c>
      <c r="B490" s="4" t="str">
        <f>IFERROR(__xludf.DUMMYFUNCTION("""COMPUTED_VALUE"""),"Cartel PVC 40x30 Peligro Zona de Obras")</f>
        <v>Cartel PVC 40x30 Peligro Zona de Obras</v>
      </c>
      <c r="C490" s="4">
        <f>IFERROR(__xludf.DUMMYFUNCTION("""COMPUTED_VALUE"""),2.3808)</f>
        <v>2.3808</v>
      </c>
      <c r="D490" s="4">
        <f>IFERROR(__xludf.DUMMYFUNCTION("""COMPUTED_VALUE"""),1.8)</f>
        <v>1.8</v>
      </c>
      <c r="E490" s="4" t="str">
        <f>IFERROR(__xludf.DUMMYFUNCTION("""COMPUTED_VALUE"""),"Neto: 1,80 € (a partir de 1 uds.)")</f>
        <v>Neto: 1,80 € (a partir de 1 uds.)</v>
      </c>
    </row>
    <row r="491">
      <c r="A491" s="4" t="str">
        <f>IFERROR(__xludf.DUMMYFUNCTION("""COMPUTED_VALUE"""),"0376P")</f>
        <v>0376P</v>
      </c>
      <c r="B491" s="4" t="str">
        <f>IFERROR(__xludf.DUMMYFUNCTION("""COMPUTED_VALUE"""),"Cartel PVC 21x29 PELIGRO ZONA DE OBRAS")</f>
        <v>Cartel PVC 21x29 PELIGRO ZONA DE OBRAS</v>
      </c>
      <c r="C491" s="4">
        <f>IFERROR(__xludf.DUMMYFUNCTION("""COMPUTED_VALUE"""),1.536)</f>
        <v>1.536</v>
      </c>
      <c r="D491" s="4">
        <f>IFERROR(__xludf.DUMMYFUNCTION("""COMPUTED_VALUE"""),1.2)</f>
        <v>1.2</v>
      </c>
      <c r="E491" s="4" t="str">
        <f>IFERROR(__xludf.DUMMYFUNCTION("""COMPUTED_VALUE"""),"Neto: 1,20 € (a partir de 1 uds.)")</f>
        <v>Neto: 1,20 € (a partir de 1 uds.)</v>
      </c>
    </row>
    <row r="492">
      <c r="A492" s="4" t="str">
        <f>IFERROR(__xludf.DUMMYFUNCTION("""COMPUTED_VALUE"""),"377")</f>
        <v>377</v>
      </c>
      <c r="B492" s="4" t="str">
        <f>IFERROR(__xludf.DUMMYFUNCTION("""COMPUTED_VALUE"""),"Cartel PVC 40x30 Uso de minusvalidos")</f>
        <v>Cartel PVC 40x30 Uso de minusvalidos</v>
      </c>
      <c r="C492" s="4">
        <f>IFERROR(__xludf.DUMMYFUNCTION("""COMPUTED_VALUE"""),2.3808)</f>
        <v>2.3808</v>
      </c>
      <c r="D492" s="4">
        <f>IFERROR(__xludf.DUMMYFUNCTION("""COMPUTED_VALUE"""),1.8)</f>
        <v>1.8</v>
      </c>
      <c r="E492" s="4" t="str">
        <f>IFERROR(__xludf.DUMMYFUNCTION("""COMPUTED_VALUE"""),"Neto: 1,80 € (a partir de 1 uds.)")</f>
        <v>Neto: 1,80 € (a partir de 1 uds.)</v>
      </c>
    </row>
    <row r="493">
      <c r="A493" s="4" t="str">
        <f>IFERROR(__xludf.DUMMYFUNCTION("""COMPUTED_VALUE"""),"0377P")</f>
        <v>0377P</v>
      </c>
      <c r="B493" s="4" t="str">
        <f>IFERROR(__xludf.DUMMYFUNCTION("""COMPUTED_VALUE"""),"Cartel PVC 21x29 USO DE MINUSVALIDOS")</f>
        <v>Cartel PVC 21x29 USO DE MINUSVALIDOS</v>
      </c>
      <c r="C493" s="4">
        <f>IFERROR(__xludf.DUMMYFUNCTION("""COMPUTED_VALUE"""),1.536)</f>
        <v>1.536</v>
      </c>
      <c r="D493" s="4">
        <f>IFERROR(__xludf.DUMMYFUNCTION("""COMPUTED_VALUE"""),1.2)</f>
        <v>1.2</v>
      </c>
      <c r="E493" s="4" t="str">
        <f>IFERROR(__xludf.DUMMYFUNCTION("""COMPUTED_VALUE"""),"Neto: 1,20 € (a partir de 1 uds.)")</f>
        <v>Neto: 1,20 € (a partir de 1 uds.)</v>
      </c>
    </row>
    <row r="494">
      <c r="A494" s="4" t="str">
        <f>IFERROR(__xludf.DUMMYFUNCTION("""COMPUTED_VALUE"""),"378")</f>
        <v>378</v>
      </c>
      <c r="B494" s="4" t="str">
        <f>IFERROR(__xludf.DUMMYFUNCTION("""COMPUTED_VALUE"""),"Cartel PVC 40x30 Direccion obligatoria derecha")</f>
        <v>Cartel PVC 40x30 Direccion obligatoria derecha</v>
      </c>
      <c r="C494" s="4">
        <f>IFERROR(__xludf.DUMMYFUNCTION("""COMPUTED_VALUE"""),2.3808)</f>
        <v>2.3808</v>
      </c>
      <c r="D494" s="4">
        <f>IFERROR(__xludf.DUMMYFUNCTION("""COMPUTED_VALUE"""),1.8)</f>
        <v>1.8</v>
      </c>
      <c r="E494" s="4" t="str">
        <f>IFERROR(__xludf.DUMMYFUNCTION("""COMPUTED_VALUE"""),"Neto: 1,80 € (a partir de 1 uds.)")</f>
        <v>Neto: 1,80 € (a partir de 1 uds.)</v>
      </c>
    </row>
    <row r="495">
      <c r="A495" s="4" t="str">
        <f>IFERROR(__xludf.DUMMYFUNCTION("""COMPUTED_VALUE"""),"0378P")</f>
        <v>0378P</v>
      </c>
      <c r="B495" s="4" t="str">
        <f>IFERROR(__xludf.DUMMYFUNCTION("""COMPUTED_VALUE"""),"Cartel PVC 21x29 DIRECCION OBLIGATORIA DERECHA")</f>
        <v>Cartel PVC 21x29 DIRECCION OBLIGATORIA DERECHA</v>
      </c>
      <c r="C495" s="4">
        <f>IFERROR(__xludf.DUMMYFUNCTION("""COMPUTED_VALUE"""),1.536)</f>
        <v>1.536</v>
      </c>
      <c r="D495" s="4">
        <f>IFERROR(__xludf.DUMMYFUNCTION("""COMPUTED_VALUE"""),1.2)</f>
        <v>1.2</v>
      </c>
      <c r="E495" s="4" t="str">
        <f>IFERROR(__xludf.DUMMYFUNCTION("""COMPUTED_VALUE"""),"Neto: 1,20 € (a partir de 1 uds.)")</f>
        <v>Neto: 1,20 € (a partir de 1 uds.)</v>
      </c>
    </row>
    <row r="496">
      <c r="A496" s="4" t="str">
        <f>IFERROR(__xludf.DUMMYFUNCTION("""COMPUTED_VALUE"""),"379")</f>
        <v>379</v>
      </c>
      <c r="B496" s="4" t="str">
        <f>IFERROR(__xludf.DUMMYFUNCTION("""COMPUTED_VALUE"""),"Cartel PVC 40x30 Direccion obligatoria izquierda")</f>
        <v>Cartel PVC 40x30 Direccion obligatoria izquierda</v>
      </c>
      <c r="C496" s="4">
        <f>IFERROR(__xludf.DUMMYFUNCTION("""COMPUTED_VALUE"""),2.3808)</f>
        <v>2.3808</v>
      </c>
      <c r="D496" s="4">
        <f>IFERROR(__xludf.DUMMYFUNCTION("""COMPUTED_VALUE"""),1.8)</f>
        <v>1.8</v>
      </c>
      <c r="E496" s="4" t="str">
        <f>IFERROR(__xludf.DUMMYFUNCTION("""COMPUTED_VALUE"""),"Neto: 1,80 € (a partir de 1 uds.)")</f>
        <v>Neto: 1,80 € (a partir de 1 uds.)</v>
      </c>
    </row>
    <row r="497">
      <c r="A497" s="4" t="str">
        <f>IFERROR(__xludf.DUMMYFUNCTION("""COMPUTED_VALUE"""),"0379P")</f>
        <v>0379P</v>
      </c>
      <c r="B497" s="4" t="str">
        <f>IFERROR(__xludf.DUMMYFUNCTION("""COMPUTED_VALUE"""),"Cartel PVC 21x29 DIRECCION OBLIGATORIA IZQUIERDA")</f>
        <v>Cartel PVC 21x29 DIRECCION OBLIGATORIA IZQUIERDA</v>
      </c>
      <c r="C497" s="4">
        <f>IFERROR(__xludf.DUMMYFUNCTION("""COMPUTED_VALUE"""),1.536)</f>
        <v>1.536</v>
      </c>
      <c r="D497" s="4">
        <f>IFERROR(__xludf.DUMMYFUNCTION("""COMPUTED_VALUE"""),1.2)</f>
        <v>1.2</v>
      </c>
      <c r="E497" s="4" t="str">
        <f>IFERROR(__xludf.DUMMYFUNCTION("""COMPUTED_VALUE"""),"Neto: 1,20 € (a partir de 1 uds.)")</f>
        <v>Neto: 1,20 € (a partir de 1 uds.)</v>
      </c>
    </row>
    <row r="498">
      <c r="A498" s="4" t="str">
        <f>IFERROR(__xludf.DUMMYFUNCTION("""COMPUTED_VALUE"""),"380")</f>
        <v>380</v>
      </c>
      <c r="B498" s="4" t="str">
        <f>IFERROR(__xludf.DUMMYFUNCTION("""COMPUTED_VALUE"""),"Cartel PVC 40x30 Es obligatorio el uso de Mandil")</f>
        <v>Cartel PVC 40x30 Es obligatorio el uso de Mandil</v>
      </c>
      <c r="C498" s="4">
        <f>IFERROR(__xludf.DUMMYFUNCTION("""COMPUTED_VALUE"""),2.3808)</f>
        <v>2.3808</v>
      </c>
      <c r="D498" s="4">
        <f>IFERROR(__xludf.DUMMYFUNCTION("""COMPUTED_VALUE"""),1.8)</f>
        <v>1.8</v>
      </c>
      <c r="E498" s="4" t="str">
        <f>IFERROR(__xludf.DUMMYFUNCTION("""COMPUTED_VALUE"""),"Neto: 1,80 € (a partir de 1 uds.)")</f>
        <v>Neto: 1,80 € (a partir de 1 uds.)</v>
      </c>
    </row>
    <row r="499">
      <c r="A499" s="4" t="str">
        <f>IFERROR(__xludf.DUMMYFUNCTION("""COMPUTED_VALUE"""),"0380P")</f>
        <v>0380P</v>
      </c>
      <c r="B499" s="4" t="str">
        <f>IFERROR(__xludf.DUMMYFUNCTION("""COMPUTED_VALUE"""),"Cartel PVC 21x29 OBLIGATORIO EL USO DE MANDIL")</f>
        <v>Cartel PVC 21x29 OBLIGATORIO EL USO DE MANDIL</v>
      </c>
      <c r="C499" s="4">
        <f>IFERROR(__xludf.DUMMYFUNCTION("""COMPUTED_VALUE"""),1.536)</f>
        <v>1.536</v>
      </c>
      <c r="D499" s="4">
        <f>IFERROR(__xludf.DUMMYFUNCTION("""COMPUTED_VALUE"""),1.2)</f>
        <v>1.2</v>
      </c>
      <c r="E499" s="4" t="str">
        <f>IFERROR(__xludf.DUMMYFUNCTION("""COMPUTED_VALUE"""),"Neto: 1,20 € (a partir de 1 uds.)")</f>
        <v>Neto: 1,20 € (a partir de 1 uds.)</v>
      </c>
    </row>
    <row r="500">
      <c r="A500" s="4" t="str">
        <f>IFERROR(__xludf.DUMMYFUNCTION("""COMPUTED_VALUE"""),"381")</f>
        <v>381</v>
      </c>
      <c r="B500" s="4" t="str">
        <f>IFERROR(__xludf.DUMMYFUNCTION("""COMPUTED_VALUE"""),"Cartel PVC 40x30 Estrechamiento de calzada")</f>
        <v>Cartel PVC 40x30 Estrechamiento de calzada</v>
      </c>
      <c r="C500" s="4">
        <f>IFERROR(__xludf.DUMMYFUNCTION("""COMPUTED_VALUE"""),2.3808)</f>
        <v>2.3808</v>
      </c>
      <c r="D500" s="4">
        <f>IFERROR(__xludf.DUMMYFUNCTION("""COMPUTED_VALUE"""),1.8)</f>
        <v>1.8</v>
      </c>
      <c r="E500" s="4" t="str">
        <f>IFERROR(__xludf.DUMMYFUNCTION("""COMPUTED_VALUE"""),"Neto: 1,80 € (a partir de 1 uds.)")</f>
        <v>Neto: 1,80 € (a partir de 1 uds.)</v>
      </c>
    </row>
    <row r="501">
      <c r="A501" s="4" t="str">
        <f>IFERROR(__xludf.DUMMYFUNCTION("""COMPUTED_VALUE"""),"0381P")</f>
        <v>0381P</v>
      </c>
      <c r="B501" s="4" t="str">
        <f>IFERROR(__xludf.DUMMYFUNCTION("""COMPUTED_VALUE"""),"Cartel PVC 21x29 ESTRECHAMIENTO CALZADA CENTRAL")</f>
        <v>Cartel PVC 21x29 ESTRECHAMIENTO CALZADA CENTRAL</v>
      </c>
      <c r="C501" s="4">
        <f>IFERROR(__xludf.DUMMYFUNCTION("""COMPUTED_VALUE"""),1.536)</f>
        <v>1.536</v>
      </c>
      <c r="D501" s="4">
        <f>IFERROR(__xludf.DUMMYFUNCTION("""COMPUTED_VALUE"""),1.2)</f>
        <v>1.2</v>
      </c>
      <c r="E501" s="4" t="str">
        <f>IFERROR(__xludf.DUMMYFUNCTION("""COMPUTED_VALUE"""),"Neto: 1,20 € (a partir de 1 uds.)")</f>
        <v>Neto: 1,20 € (a partir de 1 uds.)</v>
      </c>
    </row>
    <row r="502">
      <c r="A502" s="4" t="str">
        <f>IFERROR(__xludf.DUMMYFUNCTION("""COMPUTED_VALUE"""),"382")</f>
        <v>382</v>
      </c>
      <c r="B502" s="4" t="str">
        <f>IFERROR(__xludf.DUMMYFUNCTION("""COMPUTED_VALUE"""),"Cartel PVC 40x30 Estrechamiento calzada por la derecha")</f>
        <v>Cartel PVC 40x30 Estrechamiento calzada por la derecha</v>
      </c>
      <c r="C502" s="4">
        <f>IFERROR(__xludf.DUMMYFUNCTION("""COMPUTED_VALUE"""),2.3808)</f>
        <v>2.3808</v>
      </c>
      <c r="D502" s="4">
        <f>IFERROR(__xludf.DUMMYFUNCTION("""COMPUTED_VALUE"""),1.8)</f>
        <v>1.8</v>
      </c>
      <c r="E502" s="4" t="str">
        <f>IFERROR(__xludf.DUMMYFUNCTION("""COMPUTED_VALUE"""),"Neto: 1,80 € (a partir de 1 uds.)")</f>
        <v>Neto: 1,80 € (a partir de 1 uds.)</v>
      </c>
    </row>
    <row r="503">
      <c r="A503" s="4" t="str">
        <f>IFERROR(__xludf.DUMMYFUNCTION("""COMPUTED_VALUE"""),"0382P")</f>
        <v>0382P</v>
      </c>
      <c r="B503" s="4" t="str">
        <f>IFERROR(__xludf.DUMMYFUNCTION("""COMPUTED_VALUE"""),"Cartel PVC 21x29 ESTRECHAMIENTO CALZADA POR DCHA")</f>
        <v>Cartel PVC 21x29 ESTRECHAMIENTO CALZADA POR DCHA</v>
      </c>
      <c r="C503" s="4">
        <f>IFERROR(__xludf.DUMMYFUNCTION("""COMPUTED_VALUE"""),1.536)</f>
        <v>1.536</v>
      </c>
      <c r="D503" s="4">
        <f>IFERROR(__xludf.DUMMYFUNCTION("""COMPUTED_VALUE"""),1.2)</f>
        <v>1.2</v>
      </c>
      <c r="E503" s="4" t="str">
        <f>IFERROR(__xludf.DUMMYFUNCTION("""COMPUTED_VALUE"""),"Neto: 1,20 € (a partir de 1 uds.)")</f>
        <v>Neto: 1,20 € (a partir de 1 uds.)</v>
      </c>
    </row>
    <row r="504">
      <c r="A504" s="4" t="str">
        <f>IFERROR(__xludf.DUMMYFUNCTION("""COMPUTED_VALUE"""),"383")</f>
        <v>383</v>
      </c>
      <c r="B504" s="4" t="str">
        <f>IFERROR(__xludf.DUMMYFUNCTION("""COMPUTED_VALUE"""),"Cartel PVC 40x30 Estrechamiento calzada por la izq.")</f>
        <v>Cartel PVC 40x30 Estrechamiento calzada por la izq.</v>
      </c>
      <c r="C504" s="4">
        <f>IFERROR(__xludf.DUMMYFUNCTION("""COMPUTED_VALUE"""),2.3808)</f>
        <v>2.3808</v>
      </c>
      <c r="D504" s="4">
        <f>IFERROR(__xludf.DUMMYFUNCTION("""COMPUTED_VALUE"""),1.8)</f>
        <v>1.8</v>
      </c>
      <c r="E504" s="4" t="str">
        <f>IFERROR(__xludf.DUMMYFUNCTION("""COMPUTED_VALUE"""),"Neto: 1,80 € (a partir de 1 uds.)")</f>
        <v>Neto: 1,80 € (a partir de 1 uds.)</v>
      </c>
    </row>
    <row r="505">
      <c r="A505" s="4" t="str">
        <f>IFERROR(__xludf.DUMMYFUNCTION("""COMPUTED_VALUE"""),"0383P")</f>
        <v>0383P</v>
      </c>
      <c r="B505" s="4" t="str">
        <f>IFERROR(__xludf.DUMMYFUNCTION("""COMPUTED_VALUE"""),"Cartel PVC 21x29 ESTRECHAMIENTO CALZADA POR IZQ.")</f>
        <v>Cartel PVC 21x29 ESTRECHAMIENTO CALZADA POR IZQ.</v>
      </c>
      <c r="C505" s="4">
        <f>IFERROR(__xludf.DUMMYFUNCTION("""COMPUTED_VALUE"""),1.536)</f>
        <v>1.536</v>
      </c>
      <c r="D505" s="4">
        <f>IFERROR(__xludf.DUMMYFUNCTION("""COMPUTED_VALUE"""),1.2)</f>
        <v>1.2</v>
      </c>
      <c r="E505" s="4" t="str">
        <f>IFERROR(__xludf.DUMMYFUNCTION("""COMPUTED_VALUE"""),"Neto: 1,20 € (a partir de 1 uds.)")</f>
        <v>Neto: 1,20 € (a partir de 1 uds.)</v>
      </c>
    </row>
    <row r="506">
      <c r="A506" s="4" t="str">
        <f>IFERROR(__xludf.DUMMYFUNCTION("""COMPUTED_VALUE"""),"384")</f>
        <v>384</v>
      </c>
      <c r="B506" s="4" t="str">
        <f>IFERROR(__xludf.DUMMYFUNCTION("""COMPUTED_VALUE"""),"Cartel PVC 40x30 Peligro cable suspendido")</f>
        <v>Cartel PVC 40x30 Peligro cable suspendido</v>
      </c>
      <c r="C506" s="4">
        <f>IFERROR(__xludf.DUMMYFUNCTION("""COMPUTED_VALUE"""),2.3808)</f>
        <v>2.3808</v>
      </c>
      <c r="D506" s="4">
        <f>IFERROR(__xludf.DUMMYFUNCTION("""COMPUTED_VALUE"""),1.8)</f>
        <v>1.8</v>
      </c>
      <c r="E506" s="4" t="str">
        <f>IFERROR(__xludf.DUMMYFUNCTION("""COMPUTED_VALUE"""),"Neto: 1,80 € (a partir de 1 uds.)")</f>
        <v>Neto: 1,80 € (a partir de 1 uds.)</v>
      </c>
    </row>
    <row r="507">
      <c r="A507" s="4" t="str">
        <f>IFERROR(__xludf.DUMMYFUNCTION("""COMPUTED_VALUE"""),"0384P")</f>
        <v>0384P</v>
      </c>
      <c r="B507" s="4" t="str">
        <f>IFERROR(__xludf.DUMMYFUNCTION("""COMPUTED_VALUE"""),"Cartel PVC 21x29 PELIGRO CABLE SUSPENDIDO")</f>
        <v>Cartel PVC 21x29 PELIGRO CABLE SUSPENDIDO</v>
      </c>
      <c r="C507" s="4">
        <f>IFERROR(__xludf.DUMMYFUNCTION("""COMPUTED_VALUE"""),1.536)</f>
        <v>1.536</v>
      </c>
      <c r="D507" s="4">
        <f>IFERROR(__xludf.DUMMYFUNCTION("""COMPUTED_VALUE"""),1.2)</f>
        <v>1.2</v>
      </c>
      <c r="E507" s="4" t="str">
        <f>IFERROR(__xludf.DUMMYFUNCTION("""COMPUTED_VALUE"""),"Neto: 1,20 € (a partir de 1 uds.)")</f>
        <v>Neto: 1,20 € (a partir de 1 uds.)</v>
      </c>
    </row>
    <row r="508">
      <c r="A508" s="4" t="str">
        <f>IFERROR(__xludf.DUMMYFUNCTION("""COMPUTED_VALUE"""),"385")</f>
        <v>385</v>
      </c>
      <c r="B508" s="4" t="str">
        <f>IFERROR(__xludf.DUMMYFUNCTION("""COMPUTED_VALUE"""),"Cartel PVC 40x30 Caida al mismo nivel")</f>
        <v>Cartel PVC 40x30 Caida al mismo nivel</v>
      </c>
      <c r="C508" s="4">
        <f>IFERROR(__xludf.DUMMYFUNCTION("""COMPUTED_VALUE"""),2.3808)</f>
        <v>2.3808</v>
      </c>
      <c r="D508" s="4">
        <f>IFERROR(__xludf.DUMMYFUNCTION("""COMPUTED_VALUE"""),1.8)</f>
        <v>1.8</v>
      </c>
      <c r="E508" s="4" t="str">
        <f>IFERROR(__xludf.DUMMYFUNCTION("""COMPUTED_VALUE"""),"Neto: 1,80 € (a partir de 1 uds.)")</f>
        <v>Neto: 1,80 € (a partir de 1 uds.)</v>
      </c>
    </row>
    <row r="509">
      <c r="A509" s="4" t="str">
        <f>IFERROR(__xludf.DUMMYFUNCTION("""COMPUTED_VALUE"""),"0385P")</f>
        <v>0385P</v>
      </c>
      <c r="B509" s="4" t="str">
        <f>IFERROR(__xludf.DUMMYFUNCTION("""COMPUTED_VALUE"""),"Cartel PVC 21x29 CAIDA AL MISMO NIVEL")</f>
        <v>Cartel PVC 21x29 CAIDA AL MISMO NIVEL</v>
      </c>
      <c r="C509" s="4">
        <f>IFERROR(__xludf.DUMMYFUNCTION("""COMPUTED_VALUE"""),1.536)</f>
        <v>1.536</v>
      </c>
      <c r="D509" s="4">
        <f>IFERROR(__xludf.DUMMYFUNCTION("""COMPUTED_VALUE"""),1.2)</f>
        <v>1.2</v>
      </c>
      <c r="E509" s="4" t="str">
        <f>IFERROR(__xludf.DUMMYFUNCTION("""COMPUTED_VALUE"""),"Neto: 1,20 € (a partir de 1 uds.)")</f>
        <v>Neto: 1,20 € (a partir de 1 uds.)</v>
      </c>
    </row>
    <row r="510">
      <c r="A510" s="4" t="str">
        <f>IFERROR(__xludf.DUMMYFUNCTION("""COMPUTED_VALUE"""),"386")</f>
        <v>386</v>
      </c>
      <c r="B510" s="4" t="str">
        <f>IFERROR(__xludf.DUMMYFUNCTION("""COMPUTED_VALUE"""),"Cartel PVC 40x30 Peligro Amianto")</f>
        <v>Cartel PVC 40x30 Peligro Amianto</v>
      </c>
      <c r="C510" s="4">
        <f>IFERROR(__xludf.DUMMYFUNCTION("""COMPUTED_VALUE"""),2.3808)</f>
        <v>2.3808</v>
      </c>
      <c r="D510" s="4">
        <f>IFERROR(__xludf.DUMMYFUNCTION("""COMPUTED_VALUE"""),1.8)</f>
        <v>1.8</v>
      </c>
      <c r="E510" s="4" t="str">
        <f>IFERROR(__xludf.DUMMYFUNCTION("""COMPUTED_VALUE"""),"Neto: 1,80 € (a partir de 1 uds.)")</f>
        <v>Neto: 1,80 € (a partir de 1 uds.)</v>
      </c>
    </row>
    <row r="511">
      <c r="A511" s="4" t="str">
        <f>IFERROR(__xludf.DUMMYFUNCTION("""COMPUTED_VALUE"""),"0386P")</f>
        <v>0386P</v>
      </c>
      <c r="B511" s="4" t="str">
        <f>IFERROR(__xludf.DUMMYFUNCTION("""COMPUTED_VALUE"""),"Cartel PVC 21x29 PELIGRO AMIANTO")</f>
        <v>Cartel PVC 21x29 PELIGRO AMIANTO</v>
      </c>
      <c r="C511" s="4">
        <f>IFERROR(__xludf.DUMMYFUNCTION("""COMPUTED_VALUE"""),1.536)</f>
        <v>1.536</v>
      </c>
      <c r="D511" s="4">
        <f>IFERROR(__xludf.DUMMYFUNCTION("""COMPUTED_VALUE"""),1.2)</f>
        <v>1.2</v>
      </c>
      <c r="E511" s="4" t="str">
        <f>IFERROR(__xludf.DUMMYFUNCTION("""COMPUTED_VALUE"""),"Neto: 1,20 € (a partir de 1 uds.)")</f>
        <v>Neto: 1,20 € (a partir de 1 uds.)</v>
      </c>
    </row>
    <row r="512">
      <c r="A512" s="4" t="str">
        <f>IFERROR(__xludf.DUMMYFUNCTION("""COMPUTED_VALUE"""),"387")</f>
        <v>387</v>
      </c>
      <c r="B512" s="4" t="str">
        <f>IFERROR(__xludf.DUMMYFUNCTION("""COMPUTED_VALUE"""),"Cartel PVC 40x30 Uso obligatorio de luces de cruce")</f>
        <v>Cartel PVC 40x30 Uso obligatorio de luces de cruce</v>
      </c>
      <c r="C512" s="4">
        <f>IFERROR(__xludf.DUMMYFUNCTION("""COMPUTED_VALUE"""),2.3808)</f>
        <v>2.3808</v>
      </c>
      <c r="D512" s="4">
        <f>IFERROR(__xludf.DUMMYFUNCTION("""COMPUTED_VALUE"""),1.8)</f>
        <v>1.8</v>
      </c>
      <c r="E512" s="4" t="str">
        <f>IFERROR(__xludf.DUMMYFUNCTION("""COMPUTED_VALUE"""),"Neto: 1,80 € (a partir de 1 uds.)")</f>
        <v>Neto: 1,80 € (a partir de 1 uds.)</v>
      </c>
    </row>
    <row r="513">
      <c r="A513" s="4" t="str">
        <f>IFERROR(__xludf.DUMMYFUNCTION("""COMPUTED_VALUE"""),"0387P")</f>
        <v>0387P</v>
      </c>
      <c r="B513" s="4" t="str">
        <f>IFERROR(__xludf.DUMMYFUNCTION("""COMPUTED_VALUE"""),"Cartel PVC 21X29 OBLIGATORIO USO DE LUCES DE")</f>
        <v>Cartel PVC 21X29 OBLIGATORIO USO DE LUCES DE</v>
      </c>
      <c r="C513" s="4">
        <f>IFERROR(__xludf.DUMMYFUNCTION("""COMPUTED_VALUE"""),1.536)</f>
        <v>1.536</v>
      </c>
      <c r="D513" s="4">
        <f>IFERROR(__xludf.DUMMYFUNCTION("""COMPUTED_VALUE"""),1.2)</f>
        <v>1.2</v>
      </c>
      <c r="E513" s="4" t="str">
        <f>IFERROR(__xludf.DUMMYFUNCTION("""COMPUTED_VALUE"""),"Neto: 1,20 € (a partir de 1 uds.)")</f>
        <v>Neto: 1,20 € (a partir de 1 uds.)</v>
      </c>
    </row>
    <row r="514">
      <c r="A514" s="4" t="str">
        <f>IFERROR(__xludf.DUMMYFUNCTION("""COMPUTED_VALUE"""),"388")</f>
        <v>388</v>
      </c>
      <c r="B514" s="4" t="str">
        <f>IFERROR(__xludf.DUMMYFUNCTION("""COMPUTED_VALUE"""),"Cartel PVC 40x30 Uso obligatorio de chaleco alta visibilidad")</f>
        <v>Cartel PVC 40x30 Uso obligatorio de chaleco alta visibilidad</v>
      </c>
      <c r="C514" s="4">
        <f>IFERROR(__xludf.DUMMYFUNCTION("""COMPUTED_VALUE"""),2.3808)</f>
        <v>2.3808</v>
      </c>
      <c r="D514" s="4">
        <f>IFERROR(__xludf.DUMMYFUNCTION("""COMPUTED_VALUE"""),1.8)</f>
        <v>1.8</v>
      </c>
      <c r="E514" s="4" t="str">
        <f>IFERROR(__xludf.DUMMYFUNCTION("""COMPUTED_VALUE"""),"Neto: 1,80 € (a partir de 1 uds.)")</f>
        <v>Neto: 1,80 € (a partir de 1 uds.)</v>
      </c>
    </row>
    <row r="515">
      <c r="A515" s="4" t="str">
        <f>IFERROR(__xludf.DUMMYFUNCTION("""COMPUTED_VALUE"""),"0388P")</f>
        <v>0388P</v>
      </c>
      <c r="B515" s="4" t="str">
        <f>IFERROR(__xludf.DUMMYFUNCTION("""COMPUTED_VALUE"""),"Cartel PVC 21x29 OBLIGATORIO EL USO CHALECO ALTA")</f>
        <v>Cartel PVC 21x29 OBLIGATORIO EL USO CHALECO ALTA</v>
      </c>
      <c r="C515" s="4">
        <f>IFERROR(__xludf.DUMMYFUNCTION("""COMPUTED_VALUE"""),1.536)</f>
        <v>1.536</v>
      </c>
      <c r="D515" s="4">
        <f>IFERROR(__xludf.DUMMYFUNCTION("""COMPUTED_VALUE"""),1.2)</f>
        <v>1.2</v>
      </c>
      <c r="E515" s="4" t="str">
        <f>IFERROR(__xludf.DUMMYFUNCTION("""COMPUTED_VALUE"""),"Neto: 1,20 € (a partir de 1 uds.)")</f>
        <v>Neto: 1,20 € (a partir de 1 uds.)</v>
      </c>
    </row>
    <row r="516">
      <c r="A516" s="4" t="str">
        <f>IFERROR(__xludf.DUMMYFUNCTION("""COMPUTED_VALUE"""),"389")</f>
        <v>389</v>
      </c>
      <c r="B516" s="4" t="str">
        <f>IFERROR(__xludf.DUMMYFUNCTION("""COMPUTED_VALUE"""),"Cartel 50x70 cm c/ojales CALLE CORTADA POR OBRAS (o")</f>
        <v>Cartel 50x70 cm c/ojales CALLE CORTADA POR OBRAS (o</v>
      </c>
      <c r="C516" s="4">
        <f>IFERROR(__xludf.DUMMYFUNCTION("""COMPUTED_VALUE"""),9.571200000000001)</f>
        <v>9.5712</v>
      </c>
      <c r="D516" s="4"/>
      <c r="E516" s="4" t="str">
        <f>IFERROR(__xludf.DUMMYFUNCTION("""COMPUTED_VALUE"""),"Sin precio neto")</f>
        <v>Sin precio neto</v>
      </c>
    </row>
    <row r="517">
      <c r="A517" s="4" t="str">
        <f>IFERROR(__xludf.DUMMYFUNCTION("""COMPUTED_VALUE"""),"390")</f>
        <v>390</v>
      </c>
      <c r="B517" s="4" t="str">
        <f>IFERROR(__xludf.DUMMYFUNCTION("""COMPUTED_VALUE"""),"Cartel PVC 50x70 Combinado")</f>
        <v>Cartel PVC 50x70 Combinado</v>
      </c>
      <c r="C517" s="4">
        <f>IFERROR(__xludf.DUMMYFUNCTION("""COMPUTED_VALUE"""),5.232)</f>
        <v>5.232</v>
      </c>
      <c r="D517" s="4">
        <f>IFERROR(__xludf.DUMMYFUNCTION("""COMPUTED_VALUE"""),5.5)</f>
        <v>5.5</v>
      </c>
      <c r="E517" s="4" t="str">
        <f>IFERROR(__xludf.DUMMYFUNCTION("""COMPUTED_VALUE"""),"Neto: 5,50 € (a partir de 50 uds.)")</f>
        <v>Neto: 5,50 € (a partir de 50 uds.)</v>
      </c>
    </row>
    <row r="518">
      <c r="A518" s="4" t="str">
        <f>IFERROR(__xludf.DUMMYFUNCTION("""COMPUTED_VALUE"""),"0390PA")</f>
        <v>0390PA</v>
      </c>
      <c r="B518" s="4" t="str">
        <f>IFERROR(__xludf.DUMMYFUNCTION("""COMPUTED_VALUE"""),"Cartel Poliet. 50x70 PROHIBIDO APARCAR CON HORARIO")</f>
        <v>Cartel Poliet. 50x70 PROHIBIDO APARCAR CON HORARIO</v>
      </c>
      <c r="C518" s="4">
        <f>IFERROR(__xludf.DUMMYFUNCTION("""COMPUTED_VALUE"""),6.72)</f>
        <v>6.72</v>
      </c>
      <c r="D518" s="4"/>
      <c r="E518" s="4" t="str">
        <f>IFERROR(__xludf.DUMMYFUNCTION("""COMPUTED_VALUE"""),"Sin precio neto")</f>
        <v>Sin precio neto</v>
      </c>
    </row>
    <row r="519">
      <c r="A519" s="4" t="str">
        <f>IFERROR(__xludf.DUMMYFUNCTION("""COMPUTED_VALUE"""),"391")</f>
        <v>391</v>
      </c>
      <c r="B519" s="4" t="str">
        <f>IFERROR(__xludf.DUMMYFUNCTION("""COMPUTED_VALUE"""),"Señal PVC suelo plegable")</f>
        <v>Señal PVC suelo plegable</v>
      </c>
      <c r="C519" s="4">
        <f>IFERROR(__xludf.DUMMYFUNCTION("""COMPUTED_VALUE"""),5.712)</f>
        <v>5.712</v>
      </c>
      <c r="D519" s="4">
        <f>IFERROR(__xludf.DUMMYFUNCTION("""COMPUTED_VALUE"""),5.5)</f>
        <v>5.5</v>
      </c>
      <c r="E519" s="4" t="str">
        <f>IFERROR(__xludf.DUMMYFUNCTION("""COMPUTED_VALUE"""),"Neto: 5,50 € (a partir de 10 uds.)")</f>
        <v>Neto: 5,50 € (a partir de 10 uds.)</v>
      </c>
    </row>
    <row r="520">
      <c r="A520" s="4" t="str">
        <f>IFERROR(__xludf.DUMMYFUNCTION("""COMPUTED_VALUE"""),"0391P")</f>
        <v>0391P</v>
      </c>
      <c r="B520" s="4" t="str">
        <f>IFERROR(__xludf.DUMMYFUNCTION("""COMPUTED_VALUE"""),"Caballete plegable amarillo señalizacion personalizado")</f>
        <v>Caballete plegable amarillo señalizacion personalizado</v>
      </c>
      <c r="C520" s="4">
        <f>IFERROR(__xludf.DUMMYFUNCTION("""COMPUTED_VALUE"""),8.64)</f>
        <v>8.64</v>
      </c>
      <c r="D520" s="4"/>
      <c r="E520" s="4" t="str">
        <f>IFERROR(__xludf.DUMMYFUNCTION("""COMPUTED_VALUE"""),"Sin precio neto")</f>
        <v>Sin precio neto</v>
      </c>
    </row>
    <row r="521">
      <c r="A521" s="4" t="str">
        <f>IFERROR(__xludf.DUMMYFUNCTION("""COMPUTED_VALUE"""),"392")</f>
        <v>392</v>
      </c>
      <c r="B521" s="4" t="str">
        <f>IFERROR(__xludf.DUMMYFUNCTION("""COMPUTED_VALUE"""),"Cartel PVC 40x30 Limite vel. 10")</f>
        <v>Cartel PVC 40x30 Limite vel. 10</v>
      </c>
      <c r="C521" s="4">
        <f>IFERROR(__xludf.DUMMYFUNCTION("""COMPUTED_VALUE"""),2.3808)</f>
        <v>2.3808</v>
      </c>
      <c r="D521" s="4">
        <f>IFERROR(__xludf.DUMMYFUNCTION("""COMPUTED_VALUE"""),1.8)</f>
        <v>1.8</v>
      </c>
      <c r="E521" s="4" t="str">
        <f>IFERROR(__xludf.DUMMYFUNCTION("""COMPUTED_VALUE"""),"Neto: 1,80 € (a partir de 1 uds.)")</f>
        <v>Neto: 1,80 € (a partir de 1 uds.)</v>
      </c>
    </row>
    <row r="522">
      <c r="A522" s="4" t="str">
        <f>IFERROR(__xludf.DUMMYFUNCTION("""COMPUTED_VALUE"""),"0392P")</f>
        <v>0392P</v>
      </c>
      <c r="B522" s="4" t="str">
        <f>IFERROR(__xludf.DUMMYFUNCTION("""COMPUTED_VALUE"""),"Cartel PVC 21x29 VELOCIDAD MAXIMA 10")</f>
        <v>Cartel PVC 21x29 VELOCIDAD MAXIMA 10</v>
      </c>
      <c r="C522" s="4">
        <f>IFERROR(__xludf.DUMMYFUNCTION("""COMPUTED_VALUE"""),1.536)</f>
        <v>1.536</v>
      </c>
      <c r="D522" s="4">
        <f>IFERROR(__xludf.DUMMYFUNCTION("""COMPUTED_VALUE"""),1.2)</f>
        <v>1.2</v>
      </c>
      <c r="E522" s="4" t="str">
        <f>IFERROR(__xludf.DUMMYFUNCTION("""COMPUTED_VALUE"""),"Neto: 1,20 € (a partir de 1 uds.)")</f>
        <v>Neto: 1,20 € (a partir de 1 uds.)</v>
      </c>
    </row>
    <row r="523">
      <c r="A523" s="4" t="str">
        <f>IFERROR(__xludf.DUMMYFUNCTION("""COMPUTED_VALUE"""),"393")</f>
        <v>393</v>
      </c>
      <c r="B523" s="4" t="str">
        <f>IFERROR(__xludf.DUMMYFUNCTION("""COMPUTED_VALUE"""),"Cartel PVC 40x30 Limite vel. 20")</f>
        <v>Cartel PVC 40x30 Limite vel. 20</v>
      </c>
      <c r="C523" s="4">
        <f>IFERROR(__xludf.DUMMYFUNCTION("""COMPUTED_VALUE"""),2.3808)</f>
        <v>2.3808</v>
      </c>
      <c r="D523" s="4">
        <f>IFERROR(__xludf.DUMMYFUNCTION("""COMPUTED_VALUE"""),1.8)</f>
        <v>1.8</v>
      </c>
      <c r="E523" s="4" t="str">
        <f>IFERROR(__xludf.DUMMYFUNCTION("""COMPUTED_VALUE"""),"Neto: 1,80 € (a partir de 1 uds.)")</f>
        <v>Neto: 1,80 € (a partir de 1 uds.)</v>
      </c>
    </row>
    <row r="524">
      <c r="A524" s="4" t="str">
        <f>IFERROR(__xludf.DUMMYFUNCTION("""COMPUTED_VALUE"""),"0393P")</f>
        <v>0393P</v>
      </c>
      <c r="B524" s="4" t="str">
        <f>IFERROR(__xludf.DUMMYFUNCTION("""COMPUTED_VALUE"""),"Cartel PVC 21x29 VELOCIDAD MAXIMA 20")</f>
        <v>Cartel PVC 21x29 VELOCIDAD MAXIMA 20</v>
      </c>
      <c r="C524" s="4">
        <f>IFERROR(__xludf.DUMMYFUNCTION("""COMPUTED_VALUE"""),1.536)</f>
        <v>1.536</v>
      </c>
      <c r="D524" s="4">
        <f>IFERROR(__xludf.DUMMYFUNCTION("""COMPUTED_VALUE"""),1.2)</f>
        <v>1.2</v>
      </c>
      <c r="E524" s="4" t="str">
        <f>IFERROR(__xludf.DUMMYFUNCTION("""COMPUTED_VALUE"""),"Neto: 1,20 € (a partir de 1 uds.)")</f>
        <v>Neto: 1,20 € (a partir de 1 uds.)</v>
      </c>
    </row>
    <row r="525">
      <c r="A525" s="4" t="str">
        <f>IFERROR(__xludf.DUMMYFUNCTION("""COMPUTED_VALUE"""),"394")</f>
        <v>394</v>
      </c>
      <c r="B525" s="4" t="str">
        <f>IFERROR(__xludf.DUMMYFUNCTION("""COMPUTED_VALUE"""),"Cartel PVC 40x30 Limite vel. 30")</f>
        <v>Cartel PVC 40x30 Limite vel. 30</v>
      </c>
      <c r="C525" s="4">
        <f>IFERROR(__xludf.DUMMYFUNCTION("""COMPUTED_VALUE"""),2.3808)</f>
        <v>2.3808</v>
      </c>
      <c r="D525" s="4">
        <f>IFERROR(__xludf.DUMMYFUNCTION("""COMPUTED_VALUE"""),1.8)</f>
        <v>1.8</v>
      </c>
      <c r="E525" s="4" t="str">
        <f>IFERROR(__xludf.DUMMYFUNCTION("""COMPUTED_VALUE"""),"Neto: 1,80 € (a partir de 1 uds.)")</f>
        <v>Neto: 1,80 € (a partir de 1 uds.)</v>
      </c>
    </row>
    <row r="526">
      <c r="A526" s="4" t="str">
        <f>IFERROR(__xludf.DUMMYFUNCTION("""COMPUTED_VALUE"""),"0394P")</f>
        <v>0394P</v>
      </c>
      <c r="B526" s="4" t="str">
        <f>IFERROR(__xludf.DUMMYFUNCTION("""COMPUTED_VALUE"""),"Cartel PVC 21x29 VELOCIDAD MAXIMA 30")</f>
        <v>Cartel PVC 21x29 VELOCIDAD MAXIMA 30</v>
      </c>
      <c r="C526" s="4">
        <f>IFERROR(__xludf.DUMMYFUNCTION("""COMPUTED_VALUE"""),1.536)</f>
        <v>1.536</v>
      </c>
      <c r="D526" s="4">
        <f>IFERROR(__xludf.DUMMYFUNCTION("""COMPUTED_VALUE"""),1.2)</f>
        <v>1.2</v>
      </c>
      <c r="E526" s="4" t="str">
        <f>IFERROR(__xludf.DUMMYFUNCTION("""COMPUTED_VALUE"""),"Neto: 1,20 € (a partir de 1 uds.)")</f>
        <v>Neto: 1,20 € (a partir de 1 uds.)</v>
      </c>
    </row>
    <row r="527">
      <c r="A527" s="4" t="str">
        <f>IFERROR(__xludf.DUMMYFUNCTION("""COMPUTED_VALUE"""),"395")</f>
        <v>395</v>
      </c>
      <c r="B527" s="4" t="str">
        <f>IFERROR(__xludf.DUMMYFUNCTION("""COMPUTED_VALUE"""),"Cartel PVC 40x30 Limite vel. 40")</f>
        <v>Cartel PVC 40x30 Limite vel. 40</v>
      </c>
      <c r="C527" s="4">
        <f>IFERROR(__xludf.DUMMYFUNCTION("""COMPUTED_VALUE"""),2.3808)</f>
        <v>2.3808</v>
      </c>
      <c r="D527" s="4">
        <f>IFERROR(__xludf.DUMMYFUNCTION("""COMPUTED_VALUE"""),1.8)</f>
        <v>1.8</v>
      </c>
      <c r="E527" s="4" t="str">
        <f>IFERROR(__xludf.DUMMYFUNCTION("""COMPUTED_VALUE"""),"Neto: 1,80 € (a partir de 1 uds.)")</f>
        <v>Neto: 1,80 € (a partir de 1 uds.)</v>
      </c>
    </row>
    <row r="528">
      <c r="A528" s="4" t="str">
        <f>IFERROR(__xludf.DUMMYFUNCTION("""COMPUTED_VALUE"""),"0395P")</f>
        <v>0395P</v>
      </c>
      <c r="B528" s="4" t="str">
        <f>IFERROR(__xludf.DUMMYFUNCTION("""COMPUTED_VALUE"""),"Cartel PVC 21x29 VELOCIDAD MAXIMA 40")</f>
        <v>Cartel PVC 21x29 VELOCIDAD MAXIMA 40</v>
      </c>
      <c r="C528" s="4">
        <f>IFERROR(__xludf.DUMMYFUNCTION("""COMPUTED_VALUE"""),1.536)</f>
        <v>1.536</v>
      </c>
      <c r="D528" s="4">
        <f>IFERROR(__xludf.DUMMYFUNCTION("""COMPUTED_VALUE"""),1.2)</f>
        <v>1.2</v>
      </c>
      <c r="E528" s="4" t="str">
        <f>IFERROR(__xludf.DUMMYFUNCTION("""COMPUTED_VALUE"""),"Neto: 1,20 € (a partir de 1 uds.)")</f>
        <v>Neto: 1,20 € (a partir de 1 uds.)</v>
      </c>
    </row>
    <row r="529">
      <c r="A529" s="4" t="str">
        <f>IFERROR(__xludf.DUMMYFUNCTION("""COMPUTED_VALUE"""),"396")</f>
        <v>396</v>
      </c>
      <c r="B529" s="4" t="str">
        <f>IFERROR(__xludf.DUMMYFUNCTION("""COMPUTED_VALUE"""),"Cartel PVC 21x29 Fotolum. Columna movil extinción")</f>
        <v>Cartel PVC 21x29 Fotolum. Columna movil extinción</v>
      </c>
      <c r="C529" s="4">
        <f>IFERROR(__xludf.DUMMYFUNCTION("""COMPUTED_VALUE"""),2.496)</f>
        <v>2.496</v>
      </c>
      <c r="D529" s="4">
        <f>IFERROR(__xludf.DUMMYFUNCTION("""COMPUTED_VALUE"""),2.1)</f>
        <v>2.1</v>
      </c>
      <c r="E529" s="4" t="str">
        <f>IFERROR(__xludf.DUMMYFUNCTION("""COMPUTED_VALUE"""),"Neto: 2,10 € (a partir de 1 uds.)")</f>
        <v>Neto: 2,10 € (a partir de 1 uds.)</v>
      </c>
    </row>
    <row r="530">
      <c r="A530" s="4" t="str">
        <f>IFERROR(__xludf.DUMMYFUNCTION("""COMPUTED_VALUE"""),"0396A")</f>
        <v>0396A</v>
      </c>
      <c r="B530" s="4" t="str">
        <f>IFERROR(__xludf.DUMMYFUNCTION("""COMPUTED_VALUE"""),"Cartel PVC 21x30 Fotolum. Carro extintor")</f>
        <v>Cartel PVC 21x30 Fotolum. Carro extintor</v>
      </c>
      <c r="C530" s="4">
        <f>IFERROR(__xludf.DUMMYFUNCTION("""COMPUTED_VALUE"""),2.4192)</f>
        <v>2.4192</v>
      </c>
      <c r="D530" s="4">
        <f>IFERROR(__xludf.DUMMYFUNCTION("""COMPUTED_VALUE"""),2.1)</f>
        <v>2.1</v>
      </c>
      <c r="E530" s="4" t="str">
        <f>IFERROR(__xludf.DUMMYFUNCTION("""COMPUTED_VALUE"""),"Neto: 2,10 € (a partir de 1 uds.)")</f>
        <v>Neto: 2,10 € (a partir de 1 uds.)</v>
      </c>
    </row>
    <row r="531">
      <c r="A531" s="4" t="str">
        <f>IFERROR(__xludf.DUMMYFUNCTION("""COMPUTED_VALUE"""),"0396B")</f>
        <v>0396B</v>
      </c>
      <c r="B531" s="4" t="str">
        <f>IFERROR(__xludf.DUMMYFUNCTION("""COMPUTED_VALUE"""),"Cartel PVC 40x30 Fotolum. Carro extintor")</f>
        <v>Cartel PVC 40x30 Fotolum. Carro extintor</v>
      </c>
      <c r="C531" s="4">
        <f>IFERROR(__xludf.DUMMYFUNCTION("""COMPUTED_VALUE"""),2.976)</f>
        <v>2.976</v>
      </c>
      <c r="D531" s="4">
        <f>IFERROR(__xludf.DUMMYFUNCTION("""COMPUTED_VALUE"""),3.2)</f>
        <v>3.2</v>
      </c>
      <c r="E531" s="4" t="str">
        <f>IFERROR(__xludf.DUMMYFUNCTION("""COMPUTED_VALUE"""),"Neto: 3,20 € (a partir de 1 uds.)")</f>
        <v>Neto: 3,20 € (a partir de 1 uds.)</v>
      </c>
    </row>
    <row r="532">
      <c r="A532" s="4" t="str">
        <f>IFERROR(__xludf.DUMMYFUNCTION("""COMPUTED_VALUE"""),"397")</f>
        <v>397</v>
      </c>
      <c r="B532" s="4" t="str">
        <f>IFERROR(__xludf.DUMMYFUNCTION("""COMPUTED_VALUE"""),"Cartel PVC 21x29 Fotolum. Sin salida")</f>
        <v>Cartel PVC 21x29 Fotolum. Sin salida</v>
      </c>
      <c r="C532" s="4">
        <f>IFERROR(__xludf.DUMMYFUNCTION("""COMPUTED_VALUE"""),2.496)</f>
        <v>2.496</v>
      </c>
      <c r="D532" s="4">
        <f>IFERROR(__xludf.DUMMYFUNCTION("""COMPUTED_VALUE"""),2.1)</f>
        <v>2.1</v>
      </c>
      <c r="E532" s="4" t="str">
        <f>IFERROR(__xludf.DUMMYFUNCTION("""COMPUTED_VALUE"""),"Neto: 2,10 € (a partir de 1 uds.)")</f>
        <v>Neto: 2,10 € (a partir de 1 uds.)</v>
      </c>
    </row>
    <row r="533">
      <c r="A533" s="4" t="str">
        <f>IFERROR(__xludf.DUMMYFUNCTION("""COMPUTED_VALUE"""),"0397A")</f>
        <v>0397A</v>
      </c>
      <c r="B533" s="4" t="str">
        <f>IFERROR(__xludf.DUMMYFUNCTION("""COMPUTED_VALUE"""),"Cartel PVC 32x16 Fotolum. Sin Salida")</f>
        <v>Cartel PVC 32x16 Fotolum. Sin Salida</v>
      </c>
      <c r="C533" s="4">
        <f>IFERROR(__xludf.DUMMYFUNCTION("""COMPUTED_VALUE"""),2.16)</f>
        <v>2.16</v>
      </c>
      <c r="D533" s="4"/>
      <c r="E533" s="4" t="str">
        <f>IFERROR(__xludf.DUMMYFUNCTION("""COMPUTED_VALUE"""),"Sin precio neto")</f>
        <v>Sin precio neto</v>
      </c>
    </row>
    <row r="534">
      <c r="A534" s="4" t="str">
        <f>IFERROR(__xludf.DUMMYFUNCTION("""COMPUTED_VALUE"""),"0397B")</f>
        <v>0397B</v>
      </c>
      <c r="B534" s="4" t="str">
        <f>IFERROR(__xludf.DUMMYFUNCTION("""COMPUTED_VALUE"""),"Cartel PVC 64x32 Fotolum. Sin Salida")</f>
        <v>Cartel PVC 64x32 Fotolum. Sin Salida</v>
      </c>
      <c r="C534" s="4">
        <f>IFERROR(__xludf.DUMMYFUNCTION("""COMPUTED_VALUE"""),4.300800000000001)</f>
        <v>4.3008</v>
      </c>
      <c r="D534" s="4"/>
      <c r="E534" s="4" t="str">
        <f>IFERROR(__xludf.DUMMYFUNCTION("""COMPUTED_VALUE"""),"Sin precio neto")</f>
        <v>Sin precio neto</v>
      </c>
    </row>
    <row r="535">
      <c r="A535" s="4" t="str">
        <f>IFERROR(__xludf.DUMMYFUNCTION("""COMPUTED_VALUE"""),"0397C")</f>
        <v>0397C</v>
      </c>
      <c r="B535" s="4" t="str">
        <f>IFERROR(__xludf.DUMMYFUNCTION("""COMPUTED_VALUE"""),"Cartel PVC 96x48 Fotolum. Sin Salida")</f>
        <v>Cartel PVC 96x48 Fotolum. Sin Salida</v>
      </c>
      <c r="C535" s="4">
        <f>IFERROR(__xludf.DUMMYFUNCTION("""COMPUTED_VALUE"""),8.6304)</f>
        <v>8.6304</v>
      </c>
      <c r="D535" s="4"/>
      <c r="E535" s="4" t="str">
        <f>IFERROR(__xludf.DUMMYFUNCTION("""COMPUTED_VALUE"""),"Sin precio neto")</f>
        <v>Sin precio neto</v>
      </c>
    </row>
    <row r="536">
      <c r="A536" s="4" t="str">
        <f>IFERROR(__xludf.DUMMYFUNCTION("""COMPUTED_VALUE"""),"398")</f>
        <v>398</v>
      </c>
      <c r="B536" s="4" t="str">
        <f>IFERROR(__xludf.DUMMYFUNCTION("""COMPUTED_VALUE"""),"Cartel PVC 21x29 Fotolum. Flecha")</f>
        <v>Cartel PVC 21x29 Fotolum. Flecha</v>
      </c>
      <c r="C536" s="4">
        <f>IFERROR(__xludf.DUMMYFUNCTION("""COMPUTED_VALUE"""),2.496)</f>
        <v>2.496</v>
      </c>
      <c r="D536" s="4">
        <f>IFERROR(__xludf.DUMMYFUNCTION("""COMPUTED_VALUE"""),2.1)</f>
        <v>2.1</v>
      </c>
      <c r="E536" s="4" t="str">
        <f>IFERROR(__xludf.DUMMYFUNCTION("""COMPUTED_VALUE"""),"Neto: 2,10 € (a partir de 1 uds.)")</f>
        <v>Neto: 2,10 € (a partir de 1 uds.)</v>
      </c>
    </row>
    <row r="537">
      <c r="A537" s="4" t="str">
        <f>IFERROR(__xludf.DUMMYFUNCTION("""COMPUTED_VALUE"""),"0398DA")</f>
        <v>0398DA</v>
      </c>
      <c r="B537" s="4" t="str">
        <f>IFERROR(__xludf.DUMMYFUNCTION("""COMPUTED_VALUE"""),"Cartel PVC 32x16 Fotolum. Flecha derecha")</f>
        <v>Cartel PVC 32x16 Fotolum. Flecha derecha</v>
      </c>
      <c r="C537" s="4">
        <f>IFERROR(__xludf.DUMMYFUNCTION("""COMPUTED_VALUE"""),2.16)</f>
        <v>2.16</v>
      </c>
      <c r="D537" s="4"/>
      <c r="E537" s="4" t="str">
        <f>IFERROR(__xludf.DUMMYFUNCTION("""COMPUTED_VALUE"""),"Sin precio neto")</f>
        <v>Sin precio neto</v>
      </c>
    </row>
    <row r="538">
      <c r="A538" s="4" t="str">
        <f>IFERROR(__xludf.DUMMYFUNCTION("""COMPUTED_VALUE"""),"0398DB")</f>
        <v>0398DB</v>
      </c>
      <c r="B538" s="4" t="str">
        <f>IFERROR(__xludf.DUMMYFUNCTION("""COMPUTED_VALUE"""),"Cartel PVC 64x32 Fotolum. Flecha derecha")</f>
        <v>Cartel PVC 64x32 Fotolum. Flecha derecha</v>
      </c>
      <c r="C538" s="4">
        <f>IFERROR(__xludf.DUMMYFUNCTION("""COMPUTED_VALUE"""),4.300800000000001)</f>
        <v>4.3008</v>
      </c>
      <c r="D538" s="4"/>
      <c r="E538" s="4" t="str">
        <f>IFERROR(__xludf.DUMMYFUNCTION("""COMPUTED_VALUE"""),"Sin precio neto")</f>
        <v>Sin precio neto</v>
      </c>
    </row>
    <row r="539">
      <c r="A539" s="4" t="str">
        <f>IFERROR(__xludf.DUMMYFUNCTION("""COMPUTED_VALUE"""),"0398DC")</f>
        <v>0398DC</v>
      </c>
      <c r="B539" s="4" t="str">
        <f>IFERROR(__xludf.DUMMYFUNCTION("""COMPUTED_VALUE"""),"Cartel PVC 96x48 Fotolum. Flecha derecha")</f>
        <v>Cartel PVC 96x48 Fotolum. Flecha derecha</v>
      </c>
      <c r="C539" s="4">
        <f>IFERROR(__xludf.DUMMYFUNCTION("""COMPUTED_VALUE"""),8.601600000000001)</f>
        <v>8.6016</v>
      </c>
      <c r="D539" s="4"/>
      <c r="E539" s="4" t="str">
        <f>IFERROR(__xludf.DUMMYFUNCTION("""COMPUTED_VALUE"""),"Sin precio neto")</f>
        <v>Sin precio neto</v>
      </c>
    </row>
    <row r="540">
      <c r="A540" s="4" t="str">
        <f>IFERROR(__xludf.DUMMYFUNCTION("""COMPUTED_VALUE"""),"0398IA")</f>
        <v>0398IA</v>
      </c>
      <c r="B540" s="4" t="str">
        <f>IFERROR(__xludf.DUMMYFUNCTION("""COMPUTED_VALUE"""),"Cartel PVC 32x16 Fotolum. Flecha izquierda")</f>
        <v>Cartel PVC 32x16 Fotolum. Flecha izquierda</v>
      </c>
      <c r="C540" s="4">
        <f>IFERROR(__xludf.DUMMYFUNCTION("""COMPUTED_VALUE"""),2.16)</f>
        <v>2.16</v>
      </c>
      <c r="D540" s="4"/>
      <c r="E540" s="4" t="str">
        <f>IFERROR(__xludf.DUMMYFUNCTION("""COMPUTED_VALUE"""),"Sin precio neto")</f>
        <v>Sin precio neto</v>
      </c>
    </row>
    <row r="541">
      <c r="A541" s="4" t="str">
        <f>IFERROR(__xludf.DUMMYFUNCTION("""COMPUTED_VALUE"""),"0398IB")</f>
        <v>0398IB</v>
      </c>
      <c r="B541" s="4" t="str">
        <f>IFERROR(__xludf.DUMMYFUNCTION("""COMPUTED_VALUE"""),"Cartel PVC 64x32 Fotolum. Flecha derecha")</f>
        <v>Cartel PVC 64x32 Fotolum. Flecha derecha</v>
      </c>
      <c r="C541" s="4">
        <f>IFERROR(__xludf.DUMMYFUNCTION("""COMPUTED_VALUE"""),4.300800000000001)</f>
        <v>4.3008</v>
      </c>
      <c r="D541" s="4"/>
      <c r="E541" s="4" t="str">
        <f>IFERROR(__xludf.DUMMYFUNCTION("""COMPUTED_VALUE"""),"Sin precio neto")</f>
        <v>Sin precio neto</v>
      </c>
    </row>
    <row r="542">
      <c r="A542" s="4" t="str">
        <f>IFERROR(__xludf.DUMMYFUNCTION("""COMPUTED_VALUE"""),"0398IC")</f>
        <v>0398IC</v>
      </c>
      <c r="B542" s="4" t="str">
        <f>IFERROR(__xludf.DUMMYFUNCTION("""COMPUTED_VALUE"""),"Cartel PVC 96x48 Fotolum. Flecha derecha")</f>
        <v>Cartel PVC 96x48 Fotolum. Flecha derecha</v>
      </c>
      <c r="C542" s="4">
        <f>IFERROR(__xludf.DUMMYFUNCTION("""COMPUTED_VALUE"""),8.601600000000001)</f>
        <v>8.6016</v>
      </c>
      <c r="D542" s="4"/>
      <c r="E542" s="4" t="str">
        <f>IFERROR(__xludf.DUMMYFUNCTION("""COMPUTED_VALUE"""),"Sin precio neto")</f>
        <v>Sin precio neto</v>
      </c>
    </row>
    <row r="543">
      <c r="A543" s="4" t="str">
        <f>IFERROR(__xludf.DUMMYFUNCTION("""COMPUTED_VALUE"""),"399")</f>
        <v>399</v>
      </c>
      <c r="B543" s="4" t="str">
        <f>IFERROR(__xludf.DUMMYFUNCTION("""COMPUTED_VALUE"""),"Cartel PVC 40x30 Calle cortada por obra")</f>
        <v>Cartel PVC 40x30 Calle cortada por obra</v>
      </c>
      <c r="C543" s="4">
        <f>IFERROR(__xludf.DUMMYFUNCTION("""COMPUTED_VALUE"""),2.3808)</f>
        <v>2.3808</v>
      </c>
      <c r="D543" s="4">
        <f>IFERROR(__xludf.DUMMYFUNCTION("""COMPUTED_VALUE"""),1.8)</f>
        <v>1.8</v>
      </c>
      <c r="E543" s="4" t="str">
        <f>IFERROR(__xludf.DUMMYFUNCTION("""COMPUTED_VALUE"""),"Neto: 1,80 € (a partir de 1 uds.)")</f>
        <v>Neto: 1,80 € (a partir de 1 uds.)</v>
      </c>
    </row>
    <row r="544">
      <c r="A544" s="4" t="str">
        <f>IFERROR(__xludf.DUMMYFUNCTION("""COMPUTED_VALUE"""),"400")</f>
        <v>400</v>
      </c>
      <c r="B544" s="4" t="str">
        <f>IFERROR(__xludf.DUMMYFUNCTION("""COMPUTED_VALUE"""),"Bolsa negra perforada cubre señales trafico")</f>
        <v>Bolsa negra perforada cubre señales trafico</v>
      </c>
      <c r="C544" s="4">
        <f>IFERROR(__xludf.DUMMYFUNCTION("""COMPUTED_VALUE"""),1.632)</f>
        <v>1.632</v>
      </c>
      <c r="D544" s="4">
        <f>IFERROR(__xludf.DUMMYFUNCTION("""COMPUTED_VALUE"""),1.0)</f>
        <v>1</v>
      </c>
      <c r="E544" s="4" t="str">
        <f>IFERROR(__xludf.DUMMYFUNCTION("""COMPUTED_VALUE"""),"Neto: 1,00 € (a partir de 25 uds.)")</f>
        <v>Neto: 1,00 € (a partir de 25 uds.)</v>
      </c>
    </row>
    <row r="545">
      <c r="A545" s="4" t="str">
        <f>IFERROR(__xludf.DUMMYFUNCTION("""COMPUTED_VALUE"""),"401")</f>
        <v>401</v>
      </c>
      <c r="B545" s="4" t="str">
        <f>IFERROR(__xludf.DUMMYFUNCTION("""COMPUTED_VALUE"""),"Se¤al Bolsa de plastico nº1 DIRECION PROHIB.")</f>
        <v>Se¤al Bolsa de plastico nº1 DIRECION PROHIB.</v>
      </c>
      <c r="C545" s="4">
        <f>IFERROR(__xludf.DUMMYFUNCTION("""COMPUTED_VALUE"""),1.632)</f>
        <v>1.632</v>
      </c>
      <c r="D545" s="4">
        <f>IFERROR(__xludf.DUMMYFUNCTION("""COMPUTED_VALUE"""),1.0)</f>
        <v>1</v>
      </c>
      <c r="E545" s="4" t="str">
        <f>IFERROR(__xludf.DUMMYFUNCTION("""COMPUTED_VALUE"""),"Neto: 1,00 € (a partir de 25 uds.)")</f>
        <v>Neto: 1,00 € (a partir de 25 uds.)</v>
      </c>
    </row>
    <row r="546">
      <c r="A546" s="4" t="str">
        <f>IFERROR(__xludf.DUMMYFUNCTION("""COMPUTED_VALUE"""),"402")</f>
        <v>402</v>
      </c>
      <c r="B546" s="4" t="str">
        <f>IFERROR(__xludf.DUMMYFUNCTION("""COMPUTED_VALUE"""),"Señal Bolsa de plastico nº 2 STOP")</f>
        <v>Señal Bolsa de plastico nº 2 STOP</v>
      </c>
      <c r="C546" s="4">
        <f>IFERROR(__xludf.DUMMYFUNCTION("""COMPUTED_VALUE"""),1.632)</f>
        <v>1.632</v>
      </c>
      <c r="D546" s="4">
        <f>IFERROR(__xludf.DUMMYFUNCTION("""COMPUTED_VALUE"""),1.0)</f>
        <v>1</v>
      </c>
      <c r="E546" s="4" t="str">
        <f>IFERROR(__xludf.DUMMYFUNCTION("""COMPUTED_VALUE"""),"Neto: 1,00 € (a partir de 25 uds.)")</f>
        <v>Neto: 1,00 € (a partir de 25 uds.)</v>
      </c>
    </row>
    <row r="547">
      <c r="A547" s="4" t="str">
        <f>IFERROR(__xludf.DUMMYFUNCTION("""COMPUTED_VALUE"""),"403")</f>
        <v>403</v>
      </c>
      <c r="B547" s="4" t="str">
        <f>IFERROR(__xludf.DUMMYFUNCTION("""COMPUTED_VALUE"""),"Señal Bolsa de plastico nº 3 DIR. OBL. DERECHA")</f>
        <v>Señal Bolsa de plastico nº 3 DIR. OBL. DERECHA</v>
      </c>
      <c r="C547" s="4">
        <f>IFERROR(__xludf.DUMMYFUNCTION("""COMPUTED_VALUE"""),1.632)</f>
        <v>1.632</v>
      </c>
      <c r="D547" s="4">
        <f>IFERROR(__xludf.DUMMYFUNCTION("""COMPUTED_VALUE"""),1.0)</f>
        <v>1</v>
      </c>
      <c r="E547" s="4" t="str">
        <f>IFERROR(__xludf.DUMMYFUNCTION("""COMPUTED_VALUE"""),"Neto: 1,00 € (a partir de 25 uds.)")</f>
        <v>Neto: 1,00 € (a partir de 25 uds.)</v>
      </c>
    </row>
    <row r="548">
      <c r="A548" s="4" t="str">
        <f>IFERROR(__xludf.DUMMYFUNCTION("""COMPUTED_VALUE"""),"404")</f>
        <v>404</v>
      </c>
      <c r="B548" s="4" t="str">
        <f>IFERROR(__xludf.DUMMYFUNCTION("""COMPUTED_VALUE"""),"Señal Bolsa de plastico nº 4 PELIGRO INDEF")</f>
        <v>Señal Bolsa de plastico nº 4 PELIGRO INDEF</v>
      </c>
      <c r="C548" s="4">
        <f>IFERROR(__xludf.DUMMYFUNCTION("""COMPUTED_VALUE"""),1.632)</f>
        <v>1.632</v>
      </c>
      <c r="D548" s="4">
        <f>IFERROR(__xludf.DUMMYFUNCTION("""COMPUTED_VALUE"""),1.0)</f>
        <v>1</v>
      </c>
      <c r="E548" s="4" t="str">
        <f>IFERROR(__xludf.DUMMYFUNCTION("""COMPUTED_VALUE"""),"Neto: 1,00 € (a partir de 25 uds.)")</f>
        <v>Neto: 1,00 € (a partir de 25 uds.)</v>
      </c>
    </row>
    <row r="549">
      <c r="A549" s="4" t="str">
        <f>IFERROR(__xludf.DUMMYFUNCTION("""COMPUTED_VALUE"""),"405")</f>
        <v>405</v>
      </c>
      <c r="B549" s="4" t="str">
        <f>IFERROR(__xludf.DUMMYFUNCTION("""COMPUTED_VALUE"""),"Señal Bolsa de plastico nº 5 OBRAS")</f>
        <v>Señal Bolsa de plastico nº 5 OBRAS</v>
      </c>
      <c r="C549" s="4">
        <f>IFERROR(__xludf.DUMMYFUNCTION("""COMPUTED_VALUE"""),1.632)</f>
        <v>1.632</v>
      </c>
      <c r="D549" s="4">
        <f>IFERROR(__xludf.DUMMYFUNCTION("""COMPUTED_VALUE"""),1.0)</f>
        <v>1</v>
      </c>
      <c r="E549" s="4" t="str">
        <f>IFERROR(__xludf.DUMMYFUNCTION("""COMPUTED_VALUE"""),"Neto: 1,00 € (a partir de 25 uds.)")</f>
        <v>Neto: 1,00 € (a partir de 25 uds.)</v>
      </c>
    </row>
    <row r="550">
      <c r="A550" s="4" t="str">
        <f>IFERROR(__xludf.DUMMYFUNCTION("""COMPUTED_VALUE"""),"406")</f>
        <v>406</v>
      </c>
      <c r="B550" s="4" t="str">
        <f>IFERROR(__xludf.DUMMYFUNCTION("""COMPUTED_VALUE"""),"Señal Bolsa de plastico nº 6 VEL. 40")</f>
        <v>Señal Bolsa de plastico nº 6 VEL. 40</v>
      </c>
      <c r="C550" s="4">
        <f>IFERROR(__xludf.DUMMYFUNCTION("""COMPUTED_VALUE"""),1.632)</f>
        <v>1.632</v>
      </c>
      <c r="D550" s="4">
        <f>IFERROR(__xludf.DUMMYFUNCTION("""COMPUTED_VALUE"""),1.0)</f>
        <v>1</v>
      </c>
      <c r="E550" s="4" t="str">
        <f>IFERROR(__xludf.DUMMYFUNCTION("""COMPUTED_VALUE"""),"Neto: 1,00 € (a partir de 25 uds.)")</f>
        <v>Neto: 1,00 € (a partir de 25 uds.)</v>
      </c>
    </row>
    <row r="551">
      <c r="A551" s="4" t="str">
        <f>IFERROR(__xludf.DUMMYFUNCTION("""COMPUTED_VALUE"""),"407")</f>
        <v>407</v>
      </c>
      <c r="B551" s="4" t="str">
        <f>IFERROR(__xludf.DUMMYFUNCTION("""COMPUTED_VALUE"""),"Señal Bolsa de plastico nº 7 VEL. 60")</f>
        <v>Señal Bolsa de plastico nº 7 VEL. 60</v>
      </c>
      <c r="C551" s="4">
        <f>IFERROR(__xludf.DUMMYFUNCTION("""COMPUTED_VALUE"""),1.632)</f>
        <v>1.632</v>
      </c>
      <c r="D551" s="4">
        <f>IFERROR(__xludf.DUMMYFUNCTION("""COMPUTED_VALUE"""),1.0)</f>
        <v>1</v>
      </c>
      <c r="E551" s="4" t="str">
        <f>IFERROR(__xludf.DUMMYFUNCTION("""COMPUTED_VALUE"""),"Neto: 1,00 € (a partir de 25 uds.)")</f>
        <v>Neto: 1,00 € (a partir de 25 uds.)</v>
      </c>
    </row>
    <row r="552">
      <c r="A552" s="4" t="str">
        <f>IFERROR(__xludf.DUMMYFUNCTION("""COMPUTED_VALUE"""),"408")</f>
        <v>408</v>
      </c>
      <c r="B552" s="4" t="str">
        <f>IFERROR(__xludf.DUMMYFUNCTION("""COMPUTED_VALUE"""),"Señal Bolsa de plastico nº 8 ESTRECH")</f>
        <v>Señal Bolsa de plastico nº 8 ESTRECH</v>
      </c>
      <c r="C552" s="4">
        <f>IFERROR(__xludf.DUMMYFUNCTION("""COMPUTED_VALUE"""),1.632)</f>
        <v>1.632</v>
      </c>
      <c r="D552" s="4">
        <f>IFERROR(__xludf.DUMMYFUNCTION("""COMPUTED_VALUE"""),1.0)</f>
        <v>1</v>
      </c>
      <c r="E552" s="4" t="str">
        <f>IFERROR(__xludf.DUMMYFUNCTION("""COMPUTED_VALUE"""),"Neto: 1,00 € (a partir de 25 uds.)")</f>
        <v>Neto: 1,00 € (a partir de 25 uds.)</v>
      </c>
    </row>
    <row r="553">
      <c r="A553" s="4" t="str">
        <f>IFERROR(__xludf.DUMMYFUNCTION("""COMPUTED_VALUE"""),"409")</f>
        <v>409</v>
      </c>
      <c r="B553" s="4" t="str">
        <f>IFERROR(__xludf.DUMMYFUNCTION("""COMPUTED_VALUE"""),"Señal Bolsa de plastico nº 9 PROHIB ADELANT")</f>
        <v>Señal Bolsa de plastico nº 9 PROHIB ADELANT</v>
      </c>
      <c r="C553" s="4">
        <f>IFERROR(__xludf.DUMMYFUNCTION("""COMPUTED_VALUE"""),1.632)</f>
        <v>1.632</v>
      </c>
      <c r="D553" s="4">
        <f>IFERROR(__xludf.DUMMYFUNCTION("""COMPUTED_VALUE"""),1.0)</f>
        <v>1</v>
      </c>
      <c r="E553" s="4" t="str">
        <f>IFERROR(__xludf.DUMMYFUNCTION("""COMPUTED_VALUE"""),"Neto: 1,00 € (a partir de 25 uds.)")</f>
        <v>Neto: 1,00 € (a partir de 25 uds.)</v>
      </c>
    </row>
    <row r="554">
      <c r="A554" s="4" t="str">
        <f>IFERROR(__xludf.DUMMYFUNCTION("""COMPUTED_VALUE"""),"410")</f>
        <v>410</v>
      </c>
      <c r="B554" s="4" t="str">
        <f>IFERROR(__xludf.DUMMYFUNCTION("""COMPUTED_VALUE"""),"Señal Bolsa de plastico nº 10 PRIORIDAD")</f>
        <v>Señal Bolsa de plastico nº 10 PRIORIDAD</v>
      </c>
      <c r="C554" s="4">
        <f>IFERROR(__xludf.DUMMYFUNCTION("""COMPUTED_VALUE"""),1.632)</f>
        <v>1.632</v>
      </c>
      <c r="D554" s="4">
        <f>IFERROR(__xludf.DUMMYFUNCTION("""COMPUTED_VALUE"""),1.0)</f>
        <v>1</v>
      </c>
      <c r="E554" s="4" t="str">
        <f>IFERROR(__xludf.DUMMYFUNCTION("""COMPUTED_VALUE"""),"Neto: 1,00 € (a partir de 25 uds.)")</f>
        <v>Neto: 1,00 € (a partir de 25 uds.)</v>
      </c>
    </row>
    <row r="555">
      <c r="A555" s="4" t="str">
        <f>IFERROR(__xludf.DUMMYFUNCTION("""COMPUTED_VALUE"""),"411")</f>
        <v>411</v>
      </c>
      <c r="B555" s="4" t="str">
        <f>IFERROR(__xludf.DUMMYFUNCTION("""COMPUTED_VALUE"""),"Señal Bolsa de plastico nº 11 PROHIB. APARCAR")</f>
        <v>Señal Bolsa de plastico nº 11 PROHIB. APARCAR</v>
      </c>
      <c r="C555" s="4">
        <f>IFERROR(__xludf.DUMMYFUNCTION("""COMPUTED_VALUE"""),1.632)</f>
        <v>1.632</v>
      </c>
      <c r="D555" s="4">
        <f>IFERROR(__xludf.DUMMYFUNCTION("""COMPUTED_VALUE"""),1.0)</f>
        <v>1</v>
      </c>
      <c r="E555" s="4" t="str">
        <f>IFERROR(__xludf.DUMMYFUNCTION("""COMPUTED_VALUE"""),"Neto: 1,00 € (a partir de 25 uds.)")</f>
        <v>Neto: 1,00 € (a partir de 25 uds.)</v>
      </c>
    </row>
    <row r="556">
      <c r="A556" s="4" t="str">
        <f>IFERROR(__xludf.DUMMYFUNCTION("""COMPUTED_VALUE"""),"412")</f>
        <v>412</v>
      </c>
      <c r="B556" s="4" t="str">
        <f>IFERROR(__xludf.DUMMYFUNCTION("""COMPUTED_VALUE"""),"Señal Bolsa de plastico nº 12 ESCALON LATERAL")</f>
        <v>Señal Bolsa de plastico nº 12 ESCALON LATERAL</v>
      </c>
      <c r="C556" s="4">
        <f>IFERROR(__xludf.DUMMYFUNCTION("""COMPUTED_VALUE"""),1.632)</f>
        <v>1.632</v>
      </c>
      <c r="D556" s="4">
        <f>IFERROR(__xludf.DUMMYFUNCTION("""COMPUTED_VALUE"""),1.0)</f>
        <v>1</v>
      </c>
      <c r="E556" s="4" t="str">
        <f>IFERROR(__xludf.DUMMYFUNCTION("""COMPUTED_VALUE"""),"Neto: 1,00 € (a partir de 25 uds.)")</f>
        <v>Neto: 1,00 € (a partir de 25 uds.)</v>
      </c>
    </row>
    <row r="557">
      <c r="A557" s="4" t="str">
        <f>IFERROR(__xludf.DUMMYFUNCTION("""COMPUTED_VALUE"""),"413")</f>
        <v>413</v>
      </c>
      <c r="B557" s="4" t="str">
        <f>IFERROR(__xludf.DUMMYFUNCTION("""COMPUTED_VALUE"""),"Señal Bolsa de plastico nº 13 SUELO RESVALADIZO")</f>
        <v>Señal Bolsa de plastico nº 13 SUELO RESVALADIZO</v>
      </c>
      <c r="C557" s="4">
        <f>IFERROR(__xludf.DUMMYFUNCTION("""COMPUTED_VALUE"""),1.632)</f>
        <v>1.632</v>
      </c>
      <c r="D557" s="4">
        <f>IFERROR(__xludf.DUMMYFUNCTION("""COMPUTED_VALUE"""),1.0)</f>
        <v>1</v>
      </c>
      <c r="E557" s="4" t="str">
        <f>IFERROR(__xludf.DUMMYFUNCTION("""COMPUTED_VALUE"""),"Neto: 1,00 € (a partir de 25 uds.)")</f>
        <v>Neto: 1,00 € (a partir de 25 uds.)</v>
      </c>
    </row>
    <row r="558">
      <c r="A558" s="4" t="str">
        <f>IFERROR(__xludf.DUMMYFUNCTION("""COMPUTED_VALUE"""),"414")</f>
        <v>414</v>
      </c>
      <c r="B558" s="4" t="str">
        <f>IFERROR(__xludf.DUMMYFUNCTION("""COMPUTED_VALUE"""),"Señal Bolsa de plastico nº 14 VEL 20")</f>
        <v>Señal Bolsa de plastico nº 14 VEL 20</v>
      </c>
      <c r="C558" s="4">
        <f>IFERROR(__xludf.DUMMYFUNCTION("""COMPUTED_VALUE"""),1.632)</f>
        <v>1.632</v>
      </c>
      <c r="D558" s="4">
        <f>IFERROR(__xludf.DUMMYFUNCTION("""COMPUTED_VALUE"""),1.0)</f>
        <v>1</v>
      </c>
      <c r="E558" s="4" t="str">
        <f>IFERROR(__xludf.DUMMYFUNCTION("""COMPUTED_VALUE"""),"Neto: 1,00 € (a partir de 25 uds.)")</f>
        <v>Neto: 1,00 € (a partir de 25 uds.)</v>
      </c>
    </row>
    <row r="559">
      <c r="A559" s="4" t="str">
        <f>IFERROR(__xludf.DUMMYFUNCTION("""COMPUTED_VALUE"""),"415")</f>
        <v>415</v>
      </c>
      <c r="B559" s="4" t="str">
        <f>IFERROR(__xludf.DUMMYFUNCTION("""COMPUTED_VALUE"""),"Señal Bolsa de plastico nº 15 PELIGRO CAMIONES")</f>
        <v>Señal Bolsa de plastico nº 15 PELIGRO CAMIONES</v>
      </c>
      <c r="C559" s="4">
        <f>IFERROR(__xludf.DUMMYFUNCTION("""COMPUTED_VALUE"""),1.632)</f>
        <v>1.632</v>
      </c>
      <c r="D559" s="4">
        <f>IFERROR(__xludf.DUMMYFUNCTION("""COMPUTED_VALUE"""),1.0)</f>
        <v>1</v>
      </c>
      <c r="E559" s="4" t="str">
        <f>IFERROR(__xludf.DUMMYFUNCTION("""COMPUTED_VALUE"""),"Neto: 1,00 € (a partir de 25 uds.)")</f>
        <v>Neto: 1,00 € (a partir de 25 uds.)</v>
      </c>
    </row>
    <row r="560">
      <c r="A560" s="4" t="str">
        <f>IFERROR(__xludf.DUMMYFUNCTION("""COMPUTED_VALUE"""),"416")</f>
        <v>416</v>
      </c>
      <c r="B560" s="4" t="str">
        <f>IFERROR(__xludf.DUMMYFUNCTION("""COMPUTED_VALUE"""),"Señal Bolsa de plastico nº 16 SALIDA CAMIONES")</f>
        <v>Señal Bolsa de plastico nº 16 SALIDA CAMIONES</v>
      </c>
      <c r="C560" s="4">
        <f>IFERROR(__xludf.DUMMYFUNCTION("""COMPUTED_VALUE"""),1.632)</f>
        <v>1.632</v>
      </c>
      <c r="D560" s="4">
        <f>IFERROR(__xludf.DUMMYFUNCTION("""COMPUTED_VALUE"""),1.0)</f>
        <v>1</v>
      </c>
      <c r="E560" s="4" t="str">
        <f>IFERROR(__xludf.DUMMYFUNCTION("""COMPUTED_VALUE"""),"Neto: 1,00 € (a partir de 25 uds.)")</f>
        <v>Neto: 1,00 € (a partir de 25 uds.)</v>
      </c>
    </row>
    <row r="561">
      <c r="A561" s="4" t="str">
        <f>IFERROR(__xludf.DUMMYFUNCTION("""COMPUTED_VALUE"""),"417")</f>
        <v>417</v>
      </c>
      <c r="B561" s="4" t="str">
        <f>IFERROR(__xludf.DUMMYFUNCTION("""COMPUTED_VALUE"""),"Señal Bolsa de plastico nº 17 CALLE CORTADA")</f>
        <v>Señal Bolsa de plastico nº 17 CALLE CORTADA</v>
      </c>
      <c r="C561" s="4">
        <f>IFERROR(__xludf.DUMMYFUNCTION("""COMPUTED_VALUE"""),1.632)</f>
        <v>1.632</v>
      </c>
      <c r="D561" s="4">
        <f>IFERROR(__xludf.DUMMYFUNCTION("""COMPUTED_VALUE"""),1.0)</f>
        <v>1</v>
      </c>
      <c r="E561" s="4" t="str">
        <f>IFERROR(__xludf.DUMMYFUNCTION("""COMPUTED_VALUE"""),"Neto: 1,00 € (a partir de 25 uds.)")</f>
        <v>Neto: 1,00 € (a partir de 25 uds.)</v>
      </c>
    </row>
    <row r="562">
      <c r="A562" s="4" t="str">
        <f>IFERROR(__xludf.DUMMYFUNCTION("""COMPUTED_VALUE"""),"418")</f>
        <v>418</v>
      </c>
      <c r="B562" s="4" t="str">
        <f>IFERROR(__xludf.DUMMYFUNCTION("""COMPUTED_VALUE"""),"Señal Bolsa de plastico nº 18 VEL 30")</f>
        <v>Señal Bolsa de plastico nº 18 VEL 30</v>
      </c>
      <c r="C562" s="4">
        <f>IFERROR(__xludf.DUMMYFUNCTION("""COMPUTED_VALUE"""),1.632)</f>
        <v>1.632</v>
      </c>
      <c r="D562" s="4">
        <f>IFERROR(__xludf.DUMMYFUNCTION("""COMPUTED_VALUE"""),1.0)</f>
        <v>1</v>
      </c>
      <c r="E562" s="4" t="str">
        <f>IFERROR(__xludf.DUMMYFUNCTION("""COMPUTED_VALUE"""),"Neto: 1,00 € (a partir de 25 uds.)")</f>
        <v>Neto: 1,00 € (a partir de 25 uds.)</v>
      </c>
    </row>
    <row r="563">
      <c r="A563" s="4" t="str">
        <f>IFERROR(__xludf.DUMMYFUNCTION("""COMPUTED_VALUE"""),"419")</f>
        <v>419</v>
      </c>
      <c r="B563" s="4" t="str">
        <f>IFERROR(__xludf.DUMMYFUNCTION("""COMPUTED_VALUE"""),"Señal Bolsa de plastico nº 19 DESPRENDIMIENTO")</f>
        <v>Señal Bolsa de plastico nº 19 DESPRENDIMIENTO</v>
      </c>
      <c r="C563" s="4">
        <f>IFERROR(__xludf.DUMMYFUNCTION("""COMPUTED_VALUE"""),1.632)</f>
        <v>1.632</v>
      </c>
      <c r="D563" s="4">
        <f>IFERROR(__xludf.DUMMYFUNCTION("""COMPUTED_VALUE"""),1.0)</f>
        <v>1</v>
      </c>
      <c r="E563" s="4" t="str">
        <f>IFERROR(__xludf.DUMMYFUNCTION("""COMPUTED_VALUE"""),"Neto: 1,00 € (a partir de 25 uds.)")</f>
        <v>Neto: 1,00 € (a partir de 25 uds.)</v>
      </c>
    </row>
    <row r="564">
      <c r="A564" s="4" t="str">
        <f>IFERROR(__xludf.DUMMYFUNCTION("""COMPUTED_VALUE"""),"420")</f>
        <v>420</v>
      </c>
      <c r="B564" s="4" t="str">
        <f>IFERROR(__xludf.DUMMYFUNCTION("""COMPUTED_VALUE"""),"Señal Bolsa de plastico nº 20 ACERA EN OBRAS")</f>
        <v>Señal Bolsa de plastico nº 20 ACERA EN OBRAS</v>
      </c>
      <c r="C564" s="4">
        <f>IFERROR(__xludf.DUMMYFUNCTION("""COMPUTED_VALUE"""),1.632)</f>
        <v>1.632</v>
      </c>
      <c r="D564" s="4">
        <f>IFERROR(__xludf.DUMMYFUNCTION("""COMPUTED_VALUE"""),1.0)</f>
        <v>1</v>
      </c>
      <c r="E564" s="4" t="str">
        <f>IFERROR(__xludf.DUMMYFUNCTION("""COMPUTED_VALUE"""),"Neto: 1,00 € (a partir de 25 uds.)")</f>
        <v>Neto: 1,00 € (a partir de 25 uds.)</v>
      </c>
    </row>
    <row r="565">
      <c r="A565" s="4" t="str">
        <f>IFERROR(__xludf.DUMMYFUNCTION("""COMPUTED_VALUE"""),"421")</f>
        <v>421</v>
      </c>
      <c r="B565" s="4" t="str">
        <f>IFERROR(__xludf.DUMMYFUNCTION("""COMPUTED_VALUE"""),"Señal Bolsa de plastico nº 21 ESTRECH. IZQ.")</f>
        <v>Señal Bolsa de plastico nº 21 ESTRECH. IZQ.</v>
      </c>
      <c r="C565" s="4">
        <f>IFERROR(__xludf.DUMMYFUNCTION("""COMPUTED_VALUE"""),1.632)</f>
        <v>1.632</v>
      </c>
      <c r="D565" s="4">
        <f>IFERROR(__xludf.DUMMYFUNCTION("""COMPUTED_VALUE"""),1.0)</f>
        <v>1</v>
      </c>
      <c r="E565" s="4" t="str">
        <f>IFERROR(__xludf.DUMMYFUNCTION("""COMPUTED_VALUE"""),"Neto: 1,00 € (a partir de 25 uds.)")</f>
        <v>Neto: 1,00 € (a partir de 25 uds.)</v>
      </c>
    </row>
    <row r="566">
      <c r="A566" s="4" t="str">
        <f>IFERROR(__xludf.DUMMYFUNCTION("""COMPUTED_VALUE"""),"422")</f>
        <v>422</v>
      </c>
      <c r="B566" s="4" t="str">
        <f>IFERROR(__xludf.DUMMYFUNCTION("""COMPUTED_VALUE"""),"Señal Bolsa de plastico nº 22 ESTRECH. DERECHA")</f>
        <v>Señal Bolsa de plastico nº 22 ESTRECH. DERECHA</v>
      </c>
      <c r="C566" s="4">
        <f>IFERROR(__xludf.DUMMYFUNCTION("""COMPUTED_VALUE"""),1.632)</f>
        <v>1.632</v>
      </c>
      <c r="D566" s="4">
        <f>IFERROR(__xludf.DUMMYFUNCTION("""COMPUTED_VALUE"""),1.0)</f>
        <v>1</v>
      </c>
      <c r="E566" s="4" t="str">
        <f>IFERROR(__xludf.DUMMYFUNCTION("""COMPUTED_VALUE"""),"Neto: 1,00 € (a partir de 25 uds.)")</f>
        <v>Neto: 1,00 € (a partir de 25 uds.)</v>
      </c>
    </row>
    <row r="567">
      <c r="A567" s="4" t="str">
        <f>IFERROR(__xludf.DUMMYFUNCTION("""COMPUTED_VALUE"""),"423")</f>
        <v>423</v>
      </c>
      <c r="B567" s="4" t="str">
        <f>IFERROR(__xludf.DUMMYFUNCTION("""COMPUTED_VALUE"""),"Señal Bolsa de plastico nº 23 VEL 10")</f>
        <v>Señal Bolsa de plastico nº 23 VEL 10</v>
      </c>
      <c r="C567" s="4">
        <f>IFERROR(__xludf.DUMMYFUNCTION("""COMPUTED_VALUE"""),1.632)</f>
        <v>1.632</v>
      </c>
      <c r="D567" s="4">
        <f>IFERROR(__xludf.DUMMYFUNCTION("""COMPUTED_VALUE"""),1.0)</f>
        <v>1</v>
      </c>
      <c r="E567" s="4" t="str">
        <f>IFERROR(__xludf.DUMMYFUNCTION("""COMPUTED_VALUE"""),"Neto: 1,00 € (a partir de 25 uds.)")</f>
        <v>Neto: 1,00 € (a partir de 25 uds.)</v>
      </c>
    </row>
    <row r="568">
      <c r="A568" s="4" t="str">
        <f>IFERROR(__xludf.DUMMYFUNCTION("""COMPUTED_VALUE"""),"424")</f>
        <v>424</v>
      </c>
      <c r="B568" s="4" t="str">
        <f>IFERROR(__xludf.DUMMYFUNCTION("""COMPUTED_VALUE"""),"Señal Bolsa de plastico nº 24 VEL. 50")</f>
        <v>Señal Bolsa de plastico nº 24 VEL. 50</v>
      </c>
      <c r="C568" s="4">
        <f>IFERROR(__xludf.DUMMYFUNCTION("""COMPUTED_VALUE"""),1.632)</f>
        <v>1.632</v>
      </c>
      <c r="D568" s="4">
        <f>IFERROR(__xludf.DUMMYFUNCTION("""COMPUTED_VALUE"""),1.0)</f>
        <v>1</v>
      </c>
      <c r="E568" s="4" t="str">
        <f>IFERROR(__xludf.DUMMYFUNCTION("""COMPUTED_VALUE"""),"Neto: 1,00 € (a partir de 25 uds.)")</f>
        <v>Neto: 1,00 € (a partir de 25 uds.)</v>
      </c>
    </row>
    <row r="569">
      <c r="A569" s="4" t="str">
        <f>IFERROR(__xludf.DUMMYFUNCTION("""COMPUTED_VALUE"""),"425")</f>
        <v>425</v>
      </c>
      <c r="B569" s="4" t="str">
        <f>IFERROR(__xludf.DUMMYFUNCTION("""COMPUTED_VALUE"""),"Señal Bolsa de plastico nº 25 RESALTO")</f>
        <v>Señal Bolsa de plastico nº 25 RESALTO</v>
      </c>
      <c r="C569" s="4">
        <f>IFERROR(__xludf.DUMMYFUNCTION("""COMPUTED_VALUE"""),1.632)</f>
        <v>1.632</v>
      </c>
      <c r="D569" s="4">
        <f>IFERROR(__xludf.DUMMYFUNCTION("""COMPUTED_VALUE"""),1.0)</f>
        <v>1</v>
      </c>
      <c r="E569" s="4" t="str">
        <f>IFERROR(__xludf.DUMMYFUNCTION("""COMPUTED_VALUE"""),"Neto: 1,00 € (a partir de 25 uds.)")</f>
        <v>Neto: 1,00 € (a partir de 25 uds.)</v>
      </c>
    </row>
    <row r="570">
      <c r="A570" s="4" t="str">
        <f>IFERROR(__xludf.DUMMYFUNCTION("""COMPUTED_VALUE"""),"426")</f>
        <v>426</v>
      </c>
      <c r="B570" s="4" t="str">
        <f>IFERROR(__xludf.DUMMYFUNCTION("""COMPUTED_VALUE"""),"Señal Bolsa de plastico nº 26 CAMINO CORTADO")</f>
        <v>Señal Bolsa de plastico nº 26 CAMINO CORTADO</v>
      </c>
      <c r="C570" s="4">
        <f>IFERROR(__xludf.DUMMYFUNCTION("""COMPUTED_VALUE"""),1.632)</f>
        <v>1.632</v>
      </c>
      <c r="D570" s="4">
        <f>IFERROR(__xludf.DUMMYFUNCTION("""COMPUTED_VALUE"""),1.0)</f>
        <v>1</v>
      </c>
      <c r="E570" s="4" t="str">
        <f>IFERROR(__xludf.DUMMYFUNCTION("""COMPUTED_VALUE"""),"Neto: 1,00 € (a partir de 25 uds.)")</f>
        <v>Neto: 1,00 € (a partir de 25 uds.)</v>
      </c>
    </row>
    <row r="571">
      <c r="A571" s="4" t="str">
        <f>IFERROR(__xludf.DUMMYFUNCTION("""COMPUTED_VALUE"""),"427")</f>
        <v>427</v>
      </c>
      <c r="B571" s="4" t="str">
        <f>IFERROR(__xludf.DUMMYFUNCTION("""COMPUTED_VALUE"""),"Señal Bolsa de plastico nº 27 DIR. OBLI. IZQ.")</f>
        <v>Señal Bolsa de plastico nº 27 DIR. OBLI. IZQ.</v>
      </c>
      <c r="C571" s="4">
        <f>IFERROR(__xludf.DUMMYFUNCTION("""COMPUTED_VALUE"""),1.632)</f>
        <v>1.632</v>
      </c>
      <c r="D571" s="4">
        <f>IFERROR(__xludf.DUMMYFUNCTION("""COMPUTED_VALUE"""),1.0)</f>
        <v>1</v>
      </c>
      <c r="E571" s="4" t="str">
        <f>IFERROR(__xludf.DUMMYFUNCTION("""COMPUTED_VALUE"""),"Neto: 1,00 € (a partir de 25 uds.)")</f>
        <v>Neto: 1,00 € (a partir de 25 uds.)</v>
      </c>
    </row>
    <row r="572">
      <c r="A572" s="4" t="str">
        <f>IFERROR(__xludf.DUMMYFUNCTION("""COMPUTED_VALUE"""),"428")</f>
        <v>428</v>
      </c>
      <c r="B572" s="4" t="str">
        <f>IFERROR(__xludf.DUMMYFUNCTION("""COMPUTED_VALUE"""),"Señal Bolsa de plastico nº 28 CEDA EL PASO")</f>
        <v>Señal Bolsa de plastico nº 28 CEDA EL PASO</v>
      </c>
      <c r="C572" s="4">
        <f>IFERROR(__xludf.DUMMYFUNCTION("""COMPUTED_VALUE"""),1.632)</f>
        <v>1.632</v>
      </c>
      <c r="D572" s="4">
        <f>IFERROR(__xludf.DUMMYFUNCTION("""COMPUTED_VALUE"""),1.0)</f>
        <v>1</v>
      </c>
      <c r="E572" s="4" t="str">
        <f>IFERROR(__xludf.DUMMYFUNCTION("""COMPUTED_VALUE"""),"Neto: 1,00 € (a partir de 25 uds.)")</f>
        <v>Neto: 1,00 € (a partir de 25 uds.)</v>
      </c>
    </row>
    <row r="573">
      <c r="A573" s="4" t="str">
        <f>IFERROR(__xludf.DUMMYFUNCTION("""COMPUTED_VALUE"""),"429")</f>
        <v>429</v>
      </c>
      <c r="B573" s="4" t="str">
        <f>IFERROR(__xludf.DUMMYFUNCTION("""COMPUTED_VALUE"""),"Señal Bolsa de plastico nº 29 CEDA EL PASO C / TEXTO")</f>
        <v>Señal Bolsa de plastico nº 29 CEDA EL PASO C / TEXTO</v>
      </c>
      <c r="C573" s="4">
        <f>IFERROR(__xludf.DUMMYFUNCTION("""COMPUTED_VALUE"""),1.632)</f>
        <v>1.632</v>
      </c>
      <c r="D573" s="4">
        <f>IFERROR(__xludf.DUMMYFUNCTION("""COMPUTED_VALUE"""),1.0)</f>
        <v>1</v>
      </c>
      <c r="E573" s="4" t="str">
        <f>IFERROR(__xludf.DUMMYFUNCTION("""COMPUTED_VALUE"""),"Neto: 1,00 € (a partir de 25 uds.)")</f>
        <v>Neto: 1,00 € (a partir de 25 uds.)</v>
      </c>
    </row>
    <row r="574">
      <c r="A574" s="4" t="str">
        <f>IFERROR(__xludf.DUMMYFUNCTION("""COMPUTED_VALUE"""),"430")</f>
        <v>430</v>
      </c>
      <c r="B574" s="4" t="str">
        <f>IFERROR(__xludf.DUMMYFUNCTION("""COMPUTED_VALUE"""),"Señal Bolsa de plastico nº 30 CONTROL POLICIAL")</f>
        <v>Señal Bolsa de plastico nº 30 CONTROL POLICIAL</v>
      </c>
      <c r="C574" s="4">
        <f>IFERROR(__xludf.DUMMYFUNCTION("""COMPUTED_VALUE"""),1.632)</f>
        <v>1.632</v>
      </c>
      <c r="D574" s="4">
        <f>IFERROR(__xludf.DUMMYFUNCTION("""COMPUTED_VALUE"""),1.0)</f>
        <v>1</v>
      </c>
      <c r="E574" s="4" t="str">
        <f>IFERROR(__xludf.DUMMYFUNCTION("""COMPUTED_VALUE"""),"Neto: 1,00 € (a partir de 25 uds.)")</f>
        <v>Neto: 1,00 € (a partir de 25 uds.)</v>
      </c>
    </row>
    <row r="575">
      <c r="A575" s="4" t="str">
        <f>IFERROR(__xludf.DUMMYFUNCTION("""COMPUTED_VALUE"""),"431")</f>
        <v>431</v>
      </c>
      <c r="B575" s="4" t="str">
        <f>IFERROR(__xludf.DUMMYFUNCTION("""COMPUTED_VALUE"""),"Señal Bolsa de plastico nº 31 TRABAJOS FORESTALES")</f>
        <v>Señal Bolsa de plastico nº 31 TRABAJOS FORESTALES</v>
      </c>
      <c r="C575" s="4">
        <f>IFERROR(__xludf.DUMMYFUNCTION("""COMPUTED_VALUE"""),1.632)</f>
        <v>1.632</v>
      </c>
      <c r="D575" s="4">
        <f>IFERROR(__xludf.DUMMYFUNCTION("""COMPUTED_VALUE"""),1.0)</f>
        <v>1</v>
      </c>
      <c r="E575" s="4" t="str">
        <f>IFERROR(__xludf.DUMMYFUNCTION("""COMPUTED_VALUE"""),"Neto: 1,00 € (a partir de 25 uds.)")</f>
        <v>Neto: 1,00 € (a partir de 25 uds.)</v>
      </c>
    </row>
    <row r="576">
      <c r="A576" s="4" t="str">
        <f>IFERROR(__xludf.DUMMYFUNCTION("""COMPUTED_VALUE"""),"432")</f>
        <v>432</v>
      </c>
      <c r="B576" s="4" t="str">
        <f>IFERROR(__xludf.DUMMYFUNCTION("""COMPUTED_VALUE"""),"Señal Bolsa de plastico nº 32 LUZ OBLIGATORIA")</f>
        <v>Señal Bolsa de plastico nº 32 LUZ OBLIGATORIA</v>
      </c>
      <c r="C576" s="4">
        <f>IFERROR(__xludf.DUMMYFUNCTION("""COMPUTED_VALUE"""),1.632)</f>
        <v>1.632</v>
      </c>
      <c r="D576" s="4">
        <f>IFERROR(__xludf.DUMMYFUNCTION("""COMPUTED_VALUE"""),1.0)</f>
        <v>1</v>
      </c>
      <c r="E576" s="4" t="str">
        <f>IFERROR(__xludf.DUMMYFUNCTION("""COMPUTED_VALUE"""),"Neto: 1,00 € (a partir de 25 uds.)")</f>
        <v>Neto: 1,00 € (a partir de 25 uds.)</v>
      </c>
    </row>
    <row r="577">
      <c r="A577" s="4" t="str">
        <f>IFERROR(__xludf.DUMMYFUNCTION("""COMPUTED_VALUE"""),"0450A")</f>
        <v>0450A</v>
      </c>
      <c r="B577" s="4" t="str">
        <f>IFERROR(__xludf.DUMMYFUNCTION("""COMPUTED_VALUE"""),"Plantilla señalizacion para suelo 50x50 cm")</f>
        <v>Plantilla señalizacion para suelo 50x50 cm</v>
      </c>
      <c r="C577" s="4">
        <f>IFERROR(__xludf.DUMMYFUNCTION("""COMPUTED_VALUE"""),31.439999999999998)</f>
        <v>31.44</v>
      </c>
      <c r="D577" s="4"/>
      <c r="E577" s="4" t="str">
        <f>IFERROR(__xludf.DUMMYFUNCTION("""COMPUTED_VALUE"""),"Sin precio neto")</f>
        <v>Sin precio neto</v>
      </c>
    </row>
    <row r="578">
      <c r="A578" s="4" t="str">
        <f>IFERROR(__xludf.DUMMYFUNCTION("""COMPUTED_VALUE"""),"0450B")</f>
        <v>0450B</v>
      </c>
      <c r="B578" s="4" t="str">
        <f>IFERROR(__xludf.DUMMYFUNCTION("""COMPUTED_VALUE"""),"Plantilla señalizacion para suelo 100 x 70 cm")</f>
        <v>Plantilla señalizacion para suelo 100 x 70 cm</v>
      </c>
      <c r="C578" s="4">
        <f>IFERROR(__xludf.DUMMYFUNCTION("""COMPUTED_VALUE"""),45.6192)</f>
        <v>45.6192</v>
      </c>
      <c r="D578" s="4"/>
      <c r="E578" s="4" t="str">
        <f>IFERROR(__xludf.DUMMYFUNCTION("""COMPUTED_VALUE"""),"Sin precio neto")</f>
        <v>Sin precio neto</v>
      </c>
    </row>
    <row r="579">
      <c r="A579" s="4" t="str">
        <f>IFERROR(__xludf.DUMMYFUNCTION("""COMPUTED_VALUE"""),"0450E")</f>
        <v>0450E</v>
      </c>
      <c r="B579" s="4" t="str">
        <f>IFERROR(__xludf.DUMMYFUNCTION("""COMPUTED_VALUE"""),"Plantilla 60x60 cm carga coche eléctrico")</f>
        <v>Plantilla 60x60 cm carga coche eléctrico</v>
      </c>
      <c r="C579" s="4">
        <f>IFERROR(__xludf.DUMMYFUNCTION("""COMPUTED_VALUE"""),33.744)</f>
        <v>33.744</v>
      </c>
      <c r="D579" s="4"/>
      <c r="E579" s="4" t="str">
        <f>IFERROR(__xludf.DUMMYFUNCTION("""COMPUTED_VALUE"""),"Sin precio neto")</f>
        <v>Sin precio neto</v>
      </c>
    </row>
    <row r="580">
      <c r="A580" s="4" t="str">
        <f>IFERROR(__xludf.DUMMYFUNCTION("""COMPUTED_VALUE"""),"561")</f>
        <v>561</v>
      </c>
      <c r="B580" s="4" t="str">
        <f>IFERROR(__xludf.DUMMYFUNCTION("""COMPUTED_VALUE"""),"Bolardo composite cuadrado Abatible 70 cm c/llave")</f>
        <v>Bolardo composite cuadrado Abatible 70 cm c/llave</v>
      </c>
      <c r="C580" s="4">
        <f>IFERROR(__xludf.DUMMYFUNCTION("""COMPUTED_VALUE"""),31.439999999999998)</f>
        <v>31.44</v>
      </c>
      <c r="D580" s="4"/>
      <c r="E580" s="4" t="str">
        <f>IFERROR(__xludf.DUMMYFUNCTION("""COMPUTED_VALUE"""),"Sin precio neto")</f>
        <v>Sin precio neto</v>
      </c>
    </row>
    <row r="581">
      <c r="A581" s="4" t="str">
        <f>IFERROR(__xludf.DUMMYFUNCTION("""COMPUTED_VALUE"""),"562")</f>
        <v>562</v>
      </c>
      <c r="B581" s="4" t="str">
        <f>IFERROR(__xludf.DUMMYFUNCTION("""COMPUTED_VALUE"""),"Bolardo Composite Redondo Abatible 70 cm c/ llave")</f>
        <v>Bolardo Composite Redondo Abatible 70 cm c/ llave</v>
      </c>
      <c r="C581" s="4">
        <f>IFERROR(__xludf.DUMMYFUNCTION("""COMPUTED_VALUE"""),35.76)</f>
        <v>35.76</v>
      </c>
      <c r="D581" s="4"/>
      <c r="E581" s="4" t="str">
        <f>IFERROR(__xludf.DUMMYFUNCTION("""COMPUTED_VALUE"""),"Sin precio neto")</f>
        <v>Sin precio neto</v>
      </c>
    </row>
    <row r="582">
      <c r="A582" s="4" t="str">
        <f>IFERROR(__xludf.DUMMYFUNCTION("""COMPUTED_VALUE"""),"563")</f>
        <v>563</v>
      </c>
      <c r="B582" s="4" t="str">
        <f>IFERROR(__xludf.DUMMYFUNCTION("""COMPUTED_VALUE"""),"Tensa Cono 9 Mts A/N")</f>
        <v>Tensa Cono 9 Mts A/N</v>
      </c>
      <c r="C582" s="4">
        <f>IFERROR(__xludf.DUMMYFUNCTION("""COMPUTED_VALUE"""),33.12)</f>
        <v>33.12</v>
      </c>
      <c r="D582" s="4">
        <f>IFERROR(__xludf.DUMMYFUNCTION("""COMPUTED_VALUE"""),26.0)</f>
        <v>26</v>
      </c>
      <c r="E582" s="4" t="str">
        <f>IFERROR(__xludf.DUMMYFUNCTION("""COMPUTED_VALUE"""),"Neto: 26,00 € (a partir de 10 uds.)")</f>
        <v>Neto: 26,00 € (a partir de 10 uds.)</v>
      </c>
    </row>
    <row r="583">
      <c r="A583" s="4" t="str">
        <f>IFERROR(__xludf.DUMMYFUNCTION("""COMPUTED_VALUE"""),"564")</f>
        <v>564</v>
      </c>
      <c r="B583" s="4" t="str">
        <f>IFERROR(__xludf.DUMMYFUNCTION("""COMPUTED_VALUE"""),"Tensa Cono 9 Mts R/B")</f>
        <v>Tensa Cono 9 Mts R/B</v>
      </c>
      <c r="C583" s="4">
        <f>IFERROR(__xludf.DUMMYFUNCTION("""COMPUTED_VALUE"""),33.12)</f>
        <v>33.12</v>
      </c>
      <c r="D583" s="4">
        <f>IFERROR(__xludf.DUMMYFUNCTION("""COMPUTED_VALUE"""),26.0)</f>
        <v>26</v>
      </c>
      <c r="E583" s="4" t="str">
        <f>IFERROR(__xludf.DUMMYFUNCTION("""COMPUTED_VALUE"""),"Neto: 26,00 € (a partir de 10 uds.)")</f>
        <v>Neto: 26,00 € (a partir de 10 uds.)</v>
      </c>
    </row>
    <row r="584">
      <c r="A584" s="4" t="str">
        <f>IFERROR(__xludf.DUMMYFUNCTION("""COMPUTED_VALUE"""),"565")</f>
        <v>565</v>
      </c>
      <c r="B584" s="4" t="str">
        <f>IFERROR(__xludf.DUMMYFUNCTION("""COMPUTED_VALUE"""),"Tensa Cono 3 Mts R/B")</f>
        <v>Tensa Cono 3 Mts R/B</v>
      </c>
      <c r="C584" s="4">
        <f>IFERROR(__xludf.DUMMYFUNCTION("""COMPUTED_VALUE"""),15.36)</f>
        <v>15.36</v>
      </c>
      <c r="D584" s="4">
        <f>IFERROR(__xludf.DUMMYFUNCTION("""COMPUTED_VALUE"""),16.0)</f>
        <v>16</v>
      </c>
      <c r="E584" s="4" t="str">
        <f>IFERROR(__xludf.DUMMYFUNCTION("""COMPUTED_VALUE"""),"Neto: 16,00 € (a partir de 10 uds.)")</f>
        <v>Neto: 16,00 € (a partir de 10 uds.)</v>
      </c>
    </row>
    <row r="585">
      <c r="A585" s="4" t="str">
        <f>IFERROR(__xludf.DUMMYFUNCTION("""COMPUTED_VALUE"""),"566")</f>
        <v>566</v>
      </c>
      <c r="B585" s="4" t="str">
        <f>IFERROR(__xludf.DUMMYFUNCTION("""COMPUTED_VALUE"""),"Tensa Cono 3 Mts A/N")</f>
        <v>Tensa Cono 3 Mts A/N</v>
      </c>
      <c r="C585" s="4">
        <f>IFERROR(__xludf.DUMMYFUNCTION("""COMPUTED_VALUE"""),15.36)</f>
        <v>15.36</v>
      </c>
      <c r="D585" s="4">
        <f>IFERROR(__xludf.DUMMYFUNCTION("""COMPUTED_VALUE"""),16.0)</f>
        <v>16</v>
      </c>
      <c r="E585" s="4" t="str">
        <f>IFERROR(__xludf.DUMMYFUNCTION("""COMPUTED_VALUE"""),"Neto: 16,00 € (a partir de 10 uds.)")</f>
        <v>Neto: 16,00 € (a partir de 10 uds.)</v>
      </c>
    </row>
    <row r="586">
      <c r="A586" s="4" t="str">
        <f>IFERROR(__xludf.DUMMYFUNCTION("""COMPUTED_VALUE"""),"568")</f>
        <v>568</v>
      </c>
      <c r="B586" s="4" t="str">
        <f>IFERROR(__xludf.DUMMYFUNCTION("""COMPUTED_VALUE"""),"Hito vertice divergente 1200x1300")</f>
        <v>Hito vertice divergente 1200x1300</v>
      </c>
      <c r="C586" s="4">
        <f>IFERROR(__xludf.DUMMYFUNCTION("""COMPUTED_VALUE"""),378.0)</f>
        <v>378</v>
      </c>
      <c r="D586" s="4"/>
      <c r="E586" s="4" t="str">
        <f>IFERROR(__xludf.DUMMYFUNCTION("""COMPUTED_VALUE"""),"Sin precio neto")</f>
        <v>Sin precio neto</v>
      </c>
    </row>
    <row r="587">
      <c r="A587" s="4" t="str">
        <f>IFERROR(__xludf.DUMMYFUNCTION("""COMPUTED_VALUE"""),"569")</f>
        <v>569</v>
      </c>
      <c r="B587" s="4" t="str">
        <f>IFERROR(__xludf.DUMMYFUNCTION("""COMPUTED_VALUE"""),"Bolardo Acero 100 cm x 8 cm diámetro fijo")</f>
        <v>Bolardo Acero 100 cm x 8 cm diámetro fijo</v>
      </c>
      <c r="C587" s="4">
        <f>IFERROR(__xludf.DUMMYFUNCTION("""COMPUTED_VALUE"""),32.256)</f>
        <v>32.256</v>
      </c>
      <c r="D587" s="4"/>
      <c r="E587" s="4" t="str">
        <f>IFERROR(__xludf.DUMMYFUNCTION("""COMPUTED_VALUE"""),"Sin precio neto")</f>
        <v>Sin precio neto</v>
      </c>
    </row>
    <row r="588">
      <c r="A588" s="4" t="str">
        <f>IFERROR(__xludf.DUMMYFUNCTION("""COMPUTED_VALUE"""),"0569/PLATO")</f>
        <v>0569/PLATO</v>
      </c>
      <c r="B588" s="4" t="str">
        <f>IFERROR(__xludf.DUMMYFUNCTION("""COMPUTED_VALUE"""),"Bolardo Acero 100 cm x 8 cm diam. c/plato")</f>
        <v>Bolardo Acero 100 cm x 8 cm diam. c/plato</v>
      </c>
      <c r="C588" s="4">
        <f>IFERROR(__xludf.DUMMYFUNCTION("""COMPUTED_VALUE"""),54.432)</f>
        <v>54.432</v>
      </c>
      <c r="D588" s="4"/>
      <c r="E588" s="4" t="str">
        <f>IFERROR(__xludf.DUMMYFUNCTION("""COMPUTED_VALUE"""),"Sin precio neto")</f>
        <v>Sin precio neto</v>
      </c>
    </row>
    <row r="589">
      <c r="A589" s="4" t="str">
        <f>IFERROR(__xludf.DUMMYFUNCTION("""COMPUTED_VALUE"""),"0569A")</f>
        <v>0569A</v>
      </c>
      <c r="B589" s="4" t="str">
        <f>IFERROR(__xludf.DUMMYFUNCTION("""COMPUTED_VALUE"""),"Bolardo Acero 100 cm x 8 cm diámetro extraíble")</f>
        <v>Bolardo Acero 100 cm x 8 cm diámetro extraíble</v>
      </c>
      <c r="C589" s="4">
        <f>IFERROR(__xludf.DUMMYFUNCTION("""COMPUTED_VALUE"""),38.303999999999995)</f>
        <v>38.304</v>
      </c>
      <c r="D589" s="4"/>
      <c r="E589" s="4" t="str">
        <f>IFERROR(__xludf.DUMMYFUNCTION("""COMPUTED_VALUE"""),"Sin precio neto")</f>
        <v>Sin precio neto</v>
      </c>
    </row>
    <row r="590">
      <c r="A590" s="4" t="str">
        <f>IFERROR(__xludf.DUMMYFUNCTION("""COMPUTED_VALUE"""),"0569E")</f>
        <v>0569E</v>
      </c>
      <c r="B590" s="4" t="str">
        <f>IFERROR(__xludf.DUMMYFUNCTION("""COMPUTED_VALUE"""),"Base-enganche bolardo Acero")</f>
        <v>Base-enganche bolardo Acero</v>
      </c>
      <c r="C590" s="4">
        <f>IFERROR(__xludf.DUMMYFUNCTION("""COMPUTED_VALUE"""),56.64)</f>
        <v>56.64</v>
      </c>
      <c r="D590" s="4"/>
      <c r="E590" s="4" t="str">
        <f>IFERROR(__xludf.DUMMYFUNCTION("""COMPUTED_VALUE"""),"Sin precio neto")</f>
        <v>Sin precio neto</v>
      </c>
    </row>
    <row r="591">
      <c r="A591" s="4" t="str">
        <f>IFERROR(__xludf.DUMMYFUNCTION("""COMPUTED_VALUE"""),"0569LL")</f>
        <v>0569LL</v>
      </c>
      <c r="B591" s="4" t="str">
        <f>IFERROR(__xludf.DUMMYFUNCTION("""COMPUTED_VALUE"""),"Llave para enganche bolardo Acero")</f>
        <v>Llave para enganche bolardo Acero</v>
      </c>
      <c r="C591" s="4">
        <f>IFERROR(__xludf.DUMMYFUNCTION("""COMPUTED_VALUE"""),6.048)</f>
        <v>6.048</v>
      </c>
      <c r="D591" s="4"/>
      <c r="E591" s="4" t="str">
        <f>IFERROR(__xludf.DUMMYFUNCTION("""COMPUTED_VALUE"""),"Sin precio neto")</f>
        <v>Sin precio neto</v>
      </c>
    </row>
    <row r="592">
      <c r="A592" s="4" t="str">
        <f>IFERROR(__xludf.DUMMYFUNCTION("""COMPUTED_VALUE"""),"570")</f>
        <v>570</v>
      </c>
      <c r="B592" s="4" t="str">
        <f>IFERROR(__xludf.DUMMYFUNCTION("""COMPUTED_VALUE"""),"LLave para colocacion HIto H75")</f>
        <v>LLave para colocacion HIto H75</v>
      </c>
      <c r="C592" s="4">
        <f>IFERROR(__xludf.DUMMYFUNCTION("""COMPUTED_VALUE"""),16.272)</f>
        <v>16.272</v>
      </c>
      <c r="D592" s="4"/>
      <c r="E592" s="4" t="str">
        <f>IFERROR(__xludf.DUMMYFUNCTION("""COMPUTED_VALUE"""),"Sin precio neto")</f>
        <v>Sin precio neto</v>
      </c>
    </row>
    <row r="593">
      <c r="A593" s="4" t="str">
        <f>IFERROR(__xludf.DUMMYFUNCTION("""COMPUTED_VALUE"""),"571")</f>
        <v>571</v>
      </c>
      <c r="B593" s="4" t="str">
        <f>IFERROR(__xludf.DUMMYFUNCTION("""COMPUTED_VALUE"""),"Hito 75 cm c/base basculante Mod. B Verde")</f>
        <v>Hito 75 cm c/base basculante Mod. B Verde</v>
      </c>
      <c r="C593" s="4">
        <f>IFERROR(__xludf.DUMMYFUNCTION("""COMPUTED_VALUE"""),24.96)</f>
        <v>24.96</v>
      </c>
      <c r="D593" s="4"/>
      <c r="E593" s="4" t="str">
        <f>IFERROR(__xludf.DUMMYFUNCTION("""COMPUTED_VALUE"""),"Sin precio neto")</f>
        <v>Sin precio neto</v>
      </c>
    </row>
    <row r="594">
      <c r="A594" s="4" t="str">
        <f>IFERROR(__xludf.DUMMYFUNCTION("""COMPUTED_VALUE"""),"0571A")</f>
        <v>0571A</v>
      </c>
      <c r="B594" s="4" t="str">
        <f>IFERROR(__xludf.DUMMYFUNCTION("""COMPUTED_VALUE"""),"Hito 75 cm c/base basculante Mod. B Azul")</f>
        <v>Hito 75 cm c/base basculante Mod. B Azul</v>
      </c>
      <c r="C594" s="4">
        <f>IFERROR(__xludf.DUMMYFUNCTION("""COMPUTED_VALUE"""),24.96)</f>
        <v>24.96</v>
      </c>
      <c r="D594" s="4"/>
      <c r="E594" s="4" t="str">
        <f>IFERROR(__xludf.DUMMYFUNCTION("""COMPUTED_VALUE"""),"Sin precio neto")</f>
        <v>Sin precio neto</v>
      </c>
    </row>
    <row r="595">
      <c r="A595" s="4" t="str">
        <f>IFERROR(__xludf.DUMMYFUNCTION("""COMPUTED_VALUE"""),"574")</f>
        <v>574</v>
      </c>
      <c r="B595" s="4" t="str">
        <f>IFERROR(__xludf.DUMMYFUNCTION("""COMPUTED_VALUE"""),"Hito H-75 Polietileno azul Mod. A")</f>
        <v>Hito H-75 Polietileno azul Mod. A</v>
      </c>
      <c r="C595" s="4">
        <f>IFERROR(__xludf.DUMMYFUNCTION("""COMPUTED_VALUE"""),16.272)</f>
        <v>16.272</v>
      </c>
      <c r="D595" s="4">
        <f>IFERROR(__xludf.DUMMYFUNCTION("""COMPUTED_VALUE"""),15.5)</f>
        <v>15.5</v>
      </c>
      <c r="E595" s="4" t="str">
        <f>IFERROR(__xludf.DUMMYFUNCTION("""COMPUTED_VALUE"""),"Neto: 15,50 € (a partir de 12 uds.)")</f>
        <v>Neto: 15,50 € (a partir de 12 uds.)</v>
      </c>
    </row>
    <row r="596">
      <c r="A596" s="4" t="str">
        <f>IFERROR(__xludf.DUMMYFUNCTION("""COMPUTED_VALUE"""),"0574P")</f>
        <v>0574P</v>
      </c>
      <c r="B596" s="4" t="str">
        <f>IFERROR(__xludf.DUMMYFUNCTION("""COMPUTED_VALUE"""),"Hito H-50 Polietileno azul Mod. A")</f>
        <v>Hito H-50 Polietileno azul Mod. A</v>
      </c>
      <c r="C596" s="4">
        <f>IFERROR(__xludf.DUMMYFUNCTION("""COMPUTED_VALUE"""),13.2)</f>
        <v>13.2</v>
      </c>
      <c r="D596" s="4"/>
      <c r="E596" s="4" t="str">
        <f>IFERROR(__xludf.DUMMYFUNCTION("""COMPUTED_VALUE"""),"Sin precio neto")</f>
        <v>Sin precio neto</v>
      </c>
    </row>
    <row r="597">
      <c r="A597" s="4" t="str">
        <f>IFERROR(__xludf.DUMMYFUNCTION("""COMPUTED_VALUE"""),"0575A")</f>
        <v>0575A</v>
      </c>
      <c r="B597" s="4" t="str">
        <f>IFERROR(__xludf.DUMMYFUNCTION("""COMPUTED_VALUE"""),"Bandera señalizacion Mod. Basic Amarillo")</f>
        <v>Bandera señalizacion Mod. Basic Amarillo</v>
      </c>
      <c r="C597" s="4">
        <f>IFERROR(__xludf.DUMMYFUNCTION("""COMPUTED_VALUE"""),4.704)</f>
        <v>4.704</v>
      </c>
      <c r="D597" s="4"/>
      <c r="E597" s="4" t="str">
        <f>IFERROR(__xludf.DUMMYFUNCTION("""COMPUTED_VALUE"""),"Sin precio neto")</f>
        <v>Sin precio neto</v>
      </c>
    </row>
    <row r="598">
      <c r="A598" s="4" t="str">
        <f>IFERROR(__xludf.DUMMYFUNCTION("""COMPUTED_VALUE"""),"0575R")</f>
        <v>0575R</v>
      </c>
      <c r="B598" s="4" t="str">
        <f>IFERROR(__xludf.DUMMYFUNCTION("""COMPUTED_VALUE"""),"Bandera señalizacion Mod. Basic Rojo")</f>
        <v>Bandera señalizacion Mod. Basic Rojo</v>
      </c>
      <c r="C598" s="4">
        <f>IFERROR(__xludf.DUMMYFUNCTION("""COMPUTED_VALUE"""),4.704)</f>
        <v>4.704</v>
      </c>
      <c r="D598" s="4"/>
      <c r="E598" s="4" t="str">
        <f>IFERROR(__xludf.DUMMYFUNCTION("""COMPUTED_VALUE"""),"Sin precio neto")</f>
        <v>Sin precio neto</v>
      </c>
    </row>
    <row r="599">
      <c r="A599" s="4" t="str">
        <f>IFERROR(__xludf.DUMMYFUNCTION("""COMPUTED_VALUE"""),"0575V")</f>
        <v>0575V</v>
      </c>
      <c r="B599" s="4" t="str">
        <f>IFERROR(__xludf.DUMMYFUNCTION("""COMPUTED_VALUE"""),"Bandera señalizacion Mod. Basic Verde")</f>
        <v>Bandera señalizacion Mod. Basic Verde</v>
      </c>
      <c r="C599" s="4">
        <f>IFERROR(__xludf.DUMMYFUNCTION("""COMPUTED_VALUE"""),4.704)</f>
        <v>4.704</v>
      </c>
      <c r="D599" s="4"/>
      <c r="E599" s="4" t="str">
        <f>IFERROR(__xludf.DUMMYFUNCTION("""COMPUTED_VALUE"""),"Sin precio neto")</f>
        <v>Sin precio neto</v>
      </c>
    </row>
    <row r="600">
      <c r="A600" s="4" t="str">
        <f>IFERROR(__xludf.DUMMYFUNCTION("""COMPUTED_VALUE"""),"0575Z")</f>
        <v>0575Z</v>
      </c>
      <c r="B600" s="4" t="str">
        <f>IFERROR(__xludf.DUMMYFUNCTION("""COMPUTED_VALUE"""),"Bandera señalizacion Mod. Basic Azul")</f>
        <v>Bandera señalizacion Mod. Basic Azul</v>
      </c>
      <c r="C600" s="4">
        <f>IFERROR(__xludf.DUMMYFUNCTION("""COMPUTED_VALUE"""),4.704)</f>
        <v>4.704</v>
      </c>
      <c r="D600" s="4"/>
      <c r="E600" s="4" t="str">
        <f>IFERROR(__xludf.DUMMYFUNCTION("""COMPUTED_VALUE"""),"Sin precio neto")</f>
        <v>Sin precio neto</v>
      </c>
    </row>
    <row r="601">
      <c r="A601" s="4" t="str">
        <f>IFERROR(__xludf.DUMMYFUNCTION("""COMPUTED_VALUE"""),"576")</f>
        <v>576</v>
      </c>
      <c r="B601" s="4" t="str">
        <f>IFERROR(__xludf.DUMMYFUNCTION("""COMPUTED_VALUE"""),"Hito H-75 fijo Polietileno verde Mod. A")</f>
        <v>Hito H-75 fijo Polietileno verde Mod. A</v>
      </c>
      <c r="C601" s="4">
        <f>IFERROR(__xludf.DUMMYFUNCTION("""COMPUTED_VALUE"""),16.272)</f>
        <v>16.272</v>
      </c>
      <c r="D601" s="4">
        <f>IFERROR(__xludf.DUMMYFUNCTION("""COMPUTED_VALUE"""),15.5)</f>
        <v>15.5</v>
      </c>
      <c r="E601" s="4" t="str">
        <f>IFERROR(__xludf.DUMMYFUNCTION("""COMPUTED_VALUE"""),"Neto: 15,50 € (a partir de 12 uds.)")</f>
        <v>Neto: 15,50 € (a partir de 12 uds.)</v>
      </c>
    </row>
    <row r="602">
      <c r="A602" s="4" t="str">
        <f>IFERROR(__xludf.DUMMYFUNCTION("""COMPUTED_VALUE"""),"0576P")</f>
        <v>0576P</v>
      </c>
      <c r="B602" s="4" t="str">
        <f>IFERROR(__xludf.DUMMYFUNCTION("""COMPUTED_VALUE"""),"Hito H-50 fijo Polietileno verde Mod. A")</f>
        <v>Hito H-50 fijo Polietileno verde Mod. A</v>
      </c>
      <c r="C602" s="4">
        <f>IFERROR(__xludf.DUMMYFUNCTION("""COMPUTED_VALUE"""),13.2)</f>
        <v>13.2</v>
      </c>
      <c r="D602" s="4"/>
      <c r="E602" s="4" t="str">
        <f>IFERROR(__xludf.DUMMYFUNCTION("""COMPUTED_VALUE"""),"Sin precio neto")</f>
        <v>Sin precio neto</v>
      </c>
    </row>
    <row r="603">
      <c r="A603" s="4" t="str">
        <f>IFERROR(__xludf.DUMMYFUNCTION("""COMPUTED_VALUE"""),"0576T")</f>
        <v>0576T</v>
      </c>
      <c r="B603" s="4" t="str">
        <f>IFERROR(__xludf.DUMMYFUNCTION("""COMPUTED_VALUE"""),"Tornillo con casquillo para H-75")</f>
        <v>Tornillo con casquillo para H-75</v>
      </c>
      <c r="C603" s="4">
        <f>IFERROR(__xludf.DUMMYFUNCTION("""COMPUTED_VALUE"""),2.064)</f>
        <v>2.064</v>
      </c>
      <c r="D603" s="4"/>
      <c r="E603" s="4" t="str">
        <f>IFERROR(__xludf.DUMMYFUNCTION("""COMPUTED_VALUE"""),"Sin precio neto")</f>
        <v>Sin precio neto</v>
      </c>
    </row>
    <row r="604">
      <c r="A604" s="4" t="str">
        <f>IFERROR(__xludf.DUMMYFUNCTION("""COMPUTED_VALUE"""),"577")</f>
        <v>577</v>
      </c>
      <c r="B604" s="4" t="str">
        <f>IFERROR(__xludf.DUMMYFUNCTION("""COMPUTED_VALUE"""),"Señal Obra con mango STOP-PASO")</f>
        <v>Señal Obra con mango STOP-PASO</v>
      </c>
      <c r="C604" s="4">
        <f>IFERROR(__xludf.DUMMYFUNCTION("""COMPUTED_VALUE"""),4.704)</f>
        <v>4.704</v>
      </c>
      <c r="D604" s="4">
        <f>IFERROR(__xludf.DUMMYFUNCTION("""COMPUTED_VALUE"""),4.5)</f>
        <v>4.5</v>
      </c>
      <c r="E604" s="4" t="str">
        <f>IFERROR(__xludf.DUMMYFUNCTION("""COMPUTED_VALUE"""),"Neto: 4,50 € (a partir de 50 uds.)")</f>
        <v>Neto: 4,50 € (a partir de 50 uds.)</v>
      </c>
    </row>
    <row r="605">
      <c r="A605" s="4" t="str">
        <f>IFERROR(__xludf.DUMMYFUNCTION("""COMPUTED_VALUE"""),"0577A")</f>
        <v>0577A</v>
      </c>
      <c r="B605" s="4" t="str">
        <f>IFERROR(__xludf.DUMMYFUNCTION("""COMPUTED_VALUE"""),"Señal Stop/Paso con Mango Reforzada aluminio")</f>
        <v>Señal Stop/Paso con Mango Reforzada aluminio</v>
      </c>
      <c r="C605" s="4">
        <f>IFERROR(__xludf.DUMMYFUNCTION("""COMPUTED_VALUE"""),8.64)</f>
        <v>8.64</v>
      </c>
      <c r="D605" s="4"/>
      <c r="E605" s="4" t="str">
        <f>IFERROR(__xludf.DUMMYFUNCTION("""COMPUTED_VALUE"""),"Sin precio neto")</f>
        <v>Sin precio neto</v>
      </c>
    </row>
    <row r="606">
      <c r="A606" s="4" t="str">
        <f>IFERROR(__xludf.DUMMYFUNCTION("""COMPUTED_VALUE"""),"0577B")</f>
        <v>0577B</v>
      </c>
      <c r="B606" s="4" t="str">
        <f>IFERROR(__xludf.DUMMYFUNCTION("""COMPUTED_VALUE"""),"Señal Obra con mango STOP-PASO 1.5 m")</f>
        <v>Señal Obra con mango STOP-PASO 1.5 m</v>
      </c>
      <c r="C606" s="4">
        <f>IFERROR(__xludf.DUMMYFUNCTION("""COMPUTED_VALUE"""),7.4399999999999995)</f>
        <v>7.44</v>
      </c>
      <c r="D606" s="4"/>
      <c r="E606" s="4" t="str">
        <f>IFERROR(__xludf.DUMMYFUNCTION("""COMPUTED_VALUE"""),"Sin precio neto")</f>
        <v>Sin precio neto</v>
      </c>
    </row>
    <row r="607">
      <c r="A607" s="4" t="str">
        <f>IFERROR(__xludf.DUMMYFUNCTION("""COMPUTED_VALUE"""),"578")</f>
        <v>578</v>
      </c>
      <c r="B607" s="4" t="str">
        <f>IFERROR(__xludf.DUMMYFUNCTION("""COMPUTED_VALUE"""),"Soporte metálica para señal bolsa")</f>
        <v>Soporte metálica para señal bolsa</v>
      </c>
      <c r="C607" s="4">
        <f>IFERROR(__xludf.DUMMYFUNCTION("""COMPUTED_VALUE"""),15.12)</f>
        <v>15.12</v>
      </c>
      <c r="D607" s="4">
        <f>IFERROR(__xludf.DUMMYFUNCTION("""COMPUTED_VALUE"""),15.5)</f>
        <v>15.5</v>
      </c>
      <c r="E607" s="4" t="str">
        <f>IFERROR(__xludf.DUMMYFUNCTION("""COMPUTED_VALUE"""),"Neto: 15,50 € (a partir de 2 uds.)")</f>
        <v>Neto: 15,50 € (a partir de 2 uds.)</v>
      </c>
    </row>
    <row r="608">
      <c r="A608" s="4" t="str">
        <f>IFERROR(__xludf.DUMMYFUNCTION("""COMPUTED_VALUE"""),"0579A")</f>
        <v>0579A</v>
      </c>
      <c r="B608" s="4" t="str">
        <f>IFERROR(__xludf.DUMMYFUNCTION("""COMPUTED_VALUE"""),"Pilona extraible PVC-EVA 810 mm Amarilla")</f>
        <v>Pilona extraible PVC-EVA 810 mm Amarilla</v>
      </c>
      <c r="C608" s="4">
        <f>IFERROR(__xludf.DUMMYFUNCTION("""COMPUTED_VALUE"""),44.16)</f>
        <v>44.16</v>
      </c>
      <c r="D608" s="4"/>
      <c r="E608" s="4" t="str">
        <f>IFERROR(__xludf.DUMMYFUNCTION("""COMPUTED_VALUE"""),"Sin precio neto")</f>
        <v>Sin precio neto</v>
      </c>
    </row>
    <row r="609">
      <c r="A609" s="4" t="str">
        <f>IFERROR(__xludf.DUMMYFUNCTION("""COMPUTED_VALUE"""),"0579B")</f>
        <v>0579B</v>
      </c>
      <c r="B609" s="4" t="str">
        <f>IFERROR(__xludf.DUMMYFUNCTION("""COMPUTED_VALUE"""),"Sistema extraible para pilona 0579")</f>
        <v>Sistema extraible para pilona 0579</v>
      </c>
      <c r="C609" s="4">
        <f>IFERROR(__xludf.DUMMYFUNCTION("""COMPUTED_VALUE"""),34.2048)</f>
        <v>34.2048</v>
      </c>
      <c r="D609" s="4"/>
      <c r="E609" s="4" t="str">
        <f>IFERROR(__xludf.DUMMYFUNCTION("""COMPUTED_VALUE"""),"Sin precio neto")</f>
        <v>Sin precio neto</v>
      </c>
    </row>
    <row r="610">
      <c r="A610" s="4" t="str">
        <f>IFERROR(__xludf.DUMMYFUNCTION("""COMPUTED_VALUE"""),"0579LL")</f>
        <v>0579LL</v>
      </c>
      <c r="B610" s="4" t="str">
        <f>IFERROR(__xludf.DUMMYFUNCTION("""COMPUTED_VALUE"""),"Llave para pilona extraible 0579")</f>
        <v>Llave para pilona extraible 0579</v>
      </c>
      <c r="C610" s="4">
        <f>IFERROR(__xludf.DUMMYFUNCTION("""COMPUTED_VALUE"""),7.68)</f>
        <v>7.68</v>
      </c>
      <c r="D610" s="4"/>
      <c r="E610" s="4" t="str">
        <f>IFERROR(__xludf.DUMMYFUNCTION("""COMPUTED_VALUE"""),"Sin precio neto")</f>
        <v>Sin precio neto</v>
      </c>
    </row>
    <row r="611">
      <c r="A611" s="4" t="str">
        <f>IFERROR(__xludf.DUMMYFUNCTION("""COMPUTED_VALUE"""),"0579N")</f>
        <v>0579N</v>
      </c>
      <c r="B611" s="4" t="str">
        <f>IFERROR(__xludf.DUMMYFUNCTION("""COMPUTED_VALUE"""),"Pilona Extraíble PVC-EVA 810 mm Negro")</f>
        <v>Pilona Extraíble PVC-EVA 810 mm Negro</v>
      </c>
      <c r="C611" s="4">
        <f>IFERROR(__xludf.DUMMYFUNCTION("""COMPUTED_VALUE"""),44.16)</f>
        <v>44.16</v>
      </c>
      <c r="D611" s="4"/>
      <c r="E611" s="4" t="str">
        <f>IFERROR(__xludf.DUMMYFUNCTION("""COMPUTED_VALUE"""),"Sin precio neto")</f>
        <v>Sin precio neto</v>
      </c>
    </row>
    <row r="612">
      <c r="A612" s="4" t="str">
        <f>IFERROR(__xludf.DUMMYFUNCTION("""COMPUTED_VALUE"""),"0579R")</f>
        <v>0579R</v>
      </c>
      <c r="B612" s="4" t="str">
        <f>IFERROR(__xludf.DUMMYFUNCTION("""COMPUTED_VALUE"""),"Pilona extraible PVC-EVA 810 mm Rojo")</f>
        <v>Pilona extraible PVC-EVA 810 mm Rojo</v>
      </c>
      <c r="C612" s="4">
        <f>IFERROR(__xludf.DUMMYFUNCTION("""COMPUTED_VALUE"""),44.16)</f>
        <v>44.16</v>
      </c>
      <c r="D612" s="4"/>
      <c r="E612" s="4" t="str">
        <f>IFERROR(__xludf.DUMMYFUNCTION("""COMPUTED_VALUE"""),"Sin precio neto")</f>
        <v>Sin precio neto</v>
      </c>
    </row>
    <row r="613">
      <c r="A613" s="4" t="str">
        <f>IFERROR(__xludf.DUMMYFUNCTION("""COMPUTED_VALUE"""),"0579V")</f>
        <v>0579V</v>
      </c>
      <c r="B613" s="4" t="str">
        <f>IFERROR(__xludf.DUMMYFUNCTION("""COMPUTED_VALUE"""),"Pilona extraible PVC-EVA 810 mm Verde")</f>
        <v>Pilona extraible PVC-EVA 810 mm Verde</v>
      </c>
      <c r="C613" s="4">
        <f>IFERROR(__xludf.DUMMYFUNCTION("""COMPUTED_VALUE"""),44.16)</f>
        <v>44.16</v>
      </c>
      <c r="D613" s="4"/>
      <c r="E613" s="4" t="str">
        <f>IFERROR(__xludf.DUMMYFUNCTION("""COMPUTED_VALUE"""),"Sin precio neto")</f>
        <v>Sin precio neto</v>
      </c>
    </row>
    <row r="614">
      <c r="A614" s="4" t="str">
        <f>IFERROR(__xludf.DUMMYFUNCTION("""COMPUTED_VALUE"""),"0579Z")</f>
        <v>0579Z</v>
      </c>
      <c r="B614" s="4" t="str">
        <f>IFERROR(__xludf.DUMMYFUNCTION("""COMPUTED_VALUE"""),"Pilona extraible PVC-EVA 810 mm Azul")</f>
        <v>Pilona extraible PVC-EVA 810 mm Azul</v>
      </c>
      <c r="C614" s="4">
        <f>IFERROR(__xludf.DUMMYFUNCTION("""COMPUTED_VALUE"""),44.16)</f>
        <v>44.16</v>
      </c>
      <c r="D614" s="4"/>
      <c r="E614" s="4" t="str">
        <f>IFERROR(__xludf.DUMMYFUNCTION("""COMPUTED_VALUE"""),"Sin precio neto")</f>
        <v>Sin precio neto</v>
      </c>
    </row>
    <row r="615">
      <c r="A615" s="4" t="str">
        <f>IFERROR(__xludf.DUMMYFUNCTION("""COMPUTED_VALUE"""),"0580A")</f>
        <v>0580A</v>
      </c>
      <c r="B615" s="4" t="str">
        <f>IFERROR(__xludf.DUMMYFUNCTION("""COMPUTED_VALUE"""),"Pilona fija PVC-EVA 810 mm Amarillo con peana")</f>
        <v>Pilona fija PVC-EVA 810 mm Amarillo con peana</v>
      </c>
      <c r="C615" s="4">
        <f>IFERROR(__xludf.DUMMYFUNCTION("""COMPUTED_VALUE"""),45.12)</f>
        <v>45.12</v>
      </c>
      <c r="D615" s="4"/>
      <c r="E615" s="4" t="str">
        <f>IFERROR(__xludf.DUMMYFUNCTION("""COMPUTED_VALUE"""),"Sin precio neto")</f>
        <v>Sin precio neto</v>
      </c>
    </row>
    <row r="616">
      <c r="A616" s="4" t="str">
        <f>IFERROR(__xludf.DUMMYFUNCTION("""COMPUTED_VALUE"""),"0580N")</f>
        <v>0580N</v>
      </c>
      <c r="B616" s="4" t="str">
        <f>IFERROR(__xludf.DUMMYFUNCTION("""COMPUTED_VALUE"""),"Pilona fija PVC-EVA 810 mm Negro con peana")</f>
        <v>Pilona fija PVC-EVA 810 mm Negro con peana</v>
      </c>
      <c r="C616" s="4">
        <f>IFERROR(__xludf.DUMMYFUNCTION("""COMPUTED_VALUE"""),45.12)</f>
        <v>45.12</v>
      </c>
      <c r="D616" s="4"/>
      <c r="E616" s="4" t="str">
        <f>IFERROR(__xludf.DUMMYFUNCTION("""COMPUTED_VALUE"""),"Sin precio neto")</f>
        <v>Sin precio neto</v>
      </c>
    </row>
    <row r="617">
      <c r="A617" s="4" t="str">
        <f>IFERROR(__xludf.DUMMYFUNCTION("""COMPUTED_VALUE"""),"0580R")</f>
        <v>0580R</v>
      </c>
      <c r="B617" s="4" t="str">
        <f>IFERROR(__xludf.DUMMYFUNCTION("""COMPUTED_VALUE"""),"Pilona fija PVC-EVA 810 mm Rojo con peana")</f>
        <v>Pilona fija PVC-EVA 810 mm Rojo con peana</v>
      </c>
      <c r="C617" s="4">
        <f>IFERROR(__xludf.DUMMYFUNCTION("""COMPUTED_VALUE"""),45.12)</f>
        <v>45.12</v>
      </c>
      <c r="D617" s="4"/>
      <c r="E617" s="4" t="str">
        <f>IFERROR(__xludf.DUMMYFUNCTION("""COMPUTED_VALUE"""),"Sin precio neto")</f>
        <v>Sin precio neto</v>
      </c>
    </row>
    <row r="618">
      <c r="A618" s="4" t="str">
        <f>IFERROR(__xludf.DUMMYFUNCTION("""COMPUTED_VALUE"""),"0580V")</f>
        <v>0580V</v>
      </c>
      <c r="B618" s="4" t="str">
        <f>IFERROR(__xludf.DUMMYFUNCTION("""COMPUTED_VALUE"""),"Pilona fija PVC-EVA 810 mm Verde con peana")</f>
        <v>Pilona fija PVC-EVA 810 mm Verde con peana</v>
      </c>
      <c r="C618" s="4">
        <f>IFERROR(__xludf.DUMMYFUNCTION("""COMPUTED_VALUE"""),45.12)</f>
        <v>45.12</v>
      </c>
      <c r="D618" s="4"/>
      <c r="E618" s="4" t="str">
        <f>IFERROR(__xludf.DUMMYFUNCTION("""COMPUTED_VALUE"""),"Sin precio neto")</f>
        <v>Sin precio neto</v>
      </c>
    </row>
    <row r="619">
      <c r="A619" s="4" t="str">
        <f>IFERROR(__xludf.DUMMYFUNCTION("""COMPUTED_VALUE"""),"0580Z")</f>
        <v>0580Z</v>
      </c>
      <c r="B619" s="4" t="str">
        <f>IFERROR(__xludf.DUMMYFUNCTION("""COMPUTED_VALUE"""),"Pilona fija PVC-EVA 810 mm Azul con peana")</f>
        <v>Pilona fija PVC-EVA 810 mm Azul con peana</v>
      </c>
      <c r="C619" s="4">
        <f>IFERROR(__xludf.DUMMYFUNCTION("""COMPUTED_VALUE"""),45.12)</f>
        <v>45.12</v>
      </c>
      <c r="D619" s="4"/>
      <c r="E619" s="4" t="str">
        <f>IFERROR(__xludf.DUMMYFUNCTION("""COMPUTED_VALUE"""),"Sin precio neto")</f>
        <v>Sin precio neto</v>
      </c>
    </row>
    <row r="620">
      <c r="A620" s="4" t="str">
        <f>IFERROR(__xludf.DUMMYFUNCTION("""COMPUTED_VALUE"""),"581")</f>
        <v>581</v>
      </c>
      <c r="B620" s="4" t="str">
        <f>IFERROR(__xludf.DUMMYFUNCTION("""COMPUTED_VALUE"""),"Hito 100 cm PVC blando Naranja Mod.J")</f>
        <v>Hito 100 cm PVC blando Naranja Mod.J</v>
      </c>
      <c r="C620" s="4">
        <f>IFERROR(__xludf.DUMMYFUNCTION("""COMPUTED_VALUE"""),21.216)</f>
        <v>21.216</v>
      </c>
      <c r="D620" s="4"/>
      <c r="E620" s="4" t="str">
        <f>IFERROR(__xludf.DUMMYFUNCTION("""COMPUTED_VALUE"""),"Sin precio neto")</f>
        <v>Sin precio neto</v>
      </c>
    </row>
    <row r="621">
      <c r="A621" s="4" t="str">
        <f>IFERROR(__xludf.DUMMYFUNCTION("""COMPUTED_VALUE"""),"0581A")</f>
        <v>0581A</v>
      </c>
      <c r="B621" s="4" t="str">
        <f>IFERROR(__xludf.DUMMYFUNCTION("""COMPUTED_VALUE"""),"Hito 100 cm PVC blando Azul Mod.J")</f>
        <v>Hito 100 cm PVC blando Azul Mod.J</v>
      </c>
      <c r="C621" s="4">
        <f>IFERROR(__xludf.DUMMYFUNCTION("""COMPUTED_VALUE"""),21.216)</f>
        <v>21.216</v>
      </c>
      <c r="D621" s="4"/>
      <c r="E621" s="4" t="str">
        <f>IFERROR(__xludf.DUMMYFUNCTION("""COMPUTED_VALUE"""),"Sin precio neto")</f>
        <v>Sin precio neto</v>
      </c>
    </row>
    <row r="622">
      <c r="A622" s="4" t="str">
        <f>IFERROR(__xludf.DUMMYFUNCTION("""COMPUTED_VALUE"""),"0581AM")</f>
        <v>0581AM</v>
      </c>
      <c r="B622" s="4" t="str">
        <f>IFERROR(__xludf.DUMMYFUNCTION("""COMPUTED_VALUE"""),"Hito 100 cm PVC blando Amarillo Mod.J")</f>
        <v>Hito 100 cm PVC blando Amarillo Mod.J</v>
      </c>
      <c r="C622" s="4">
        <f>IFERROR(__xludf.DUMMYFUNCTION("""COMPUTED_VALUE"""),21.216)</f>
        <v>21.216</v>
      </c>
      <c r="D622" s="4"/>
      <c r="E622" s="4" t="str">
        <f>IFERROR(__xludf.DUMMYFUNCTION("""COMPUTED_VALUE"""),"Sin precio neto")</f>
        <v>Sin precio neto</v>
      </c>
    </row>
    <row r="623">
      <c r="A623" s="4" t="str">
        <f>IFERROR(__xludf.DUMMYFUNCTION("""COMPUTED_VALUE"""),"0581B")</f>
        <v>0581B</v>
      </c>
      <c r="B623" s="4" t="str">
        <f>IFERROR(__xludf.DUMMYFUNCTION("""COMPUTED_VALUE"""),"Hito 100 cm PVC blando Blanco Mod.J")</f>
        <v>Hito 100 cm PVC blando Blanco Mod.J</v>
      </c>
      <c r="C623" s="4">
        <f>IFERROR(__xludf.DUMMYFUNCTION("""COMPUTED_VALUE"""),21.216)</f>
        <v>21.216</v>
      </c>
      <c r="D623" s="4"/>
      <c r="E623" s="4" t="str">
        <f>IFERROR(__xludf.DUMMYFUNCTION("""COMPUTED_VALUE"""),"Sin precio neto")</f>
        <v>Sin precio neto</v>
      </c>
    </row>
    <row r="624">
      <c r="A624" s="4" t="str">
        <f>IFERROR(__xludf.DUMMYFUNCTION("""COMPUTED_VALUE"""),"0581NE")</f>
        <v>0581NE</v>
      </c>
      <c r="B624" s="4" t="str">
        <f>IFERROR(__xludf.DUMMYFUNCTION("""COMPUTED_VALUE"""),"Hito 100 cm PVC blando Negro Mod.J")</f>
        <v>Hito 100 cm PVC blando Negro Mod.J</v>
      </c>
      <c r="C624" s="4">
        <f>IFERROR(__xludf.DUMMYFUNCTION("""COMPUTED_VALUE"""),21.216)</f>
        <v>21.216</v>
      </c>
      <c r="D624" s="4"/>
      <c r="E624" s="4" t="str">
        <f>IFERROR(__xludf.DUMMYFUNCTION("""COMPUTED_VALUE"""),"Sin precio neto")</f>
        <v>Sin precio neto</v>
      </c>
    </row>
    <row r="625">
      <c r="A625" s="4" t="str">
        <f>IFERROR(__xludf.DUMMYFUNCTION("""COMPUTED_VALUE"""),"0581R")</f>
        <v>0581R</v>
      </c>
      <c r="B625" s="4" t="str">
        <f>IFERROR(__xludf.DUMMYFUNCTION("""COMPUTED_VALUE"""),"Hito 100 cm PVC blando Rojo Mod.J")</f>
        <v>Hito 100 cm PVC blando Rojo Mod.J</v>
      </c>
      <c r="C625" s="4">
        <f>IFERROR(__xludf.DUMMYFUNCTION("""COMPUTED_VALUE"""),21.216)</f>
        <v>21.216</v>
      </c>
      <c r="D625" s="4"/>
      <c r="E625" s="4" t="str">
        <f>IFERROR(__xludf.DUMMYFUNCTION("""COMPUTED_VALUE"""),"Sin precio neto")</f>
        <v>Sin precio neto</v>
      </c>
    </row>
    <row r="626">
      <c r="A626" s="4" t="str">
        <f>IFERROR(__xludf.DUMMYFUNCTION("""COMPUTED_VALUE"""),"0581V")</f>
        <v>0581V</v>
      </c>
      <c r="B626" s="4" t="str">
        <f>IFERROR(__xludf.DUMMYFUNCTION("""COMPUTED_VALUE"""),"Hito 100 cm PVC blando Verde Mod.J")</f>
        <v>Hito 100 cm PVC blando Verde Mod.J</v>
      </c>
      <c r="C626" s="4">
        <f>IFERROR(__xludf.DUMMYFUNCTION("""COMPUTED_VALUE"""),21.216)</f>
        <v>21.216</v>
      </c>
      <c r="D626" s="4"/>
      <c r="E626" s="4" t="str">
        <f>IFERROR(__xludf.DUMMYFUNCTION("""COMPUTED_VALUE"""),"Sin precio neto")</f>
        <v>Sin precio neto</v>
      </c>
    </row>
    <row r="627">
      <c r="A627" s="4" t="str">
        <f>IFERROR(__xludf.DUMMYFUNCTION("""COMPUTED_VALUE"""),"582")</f>
        <v>582</v>
      </c>
      <c r="B627" s="4" t="str">
        <f>IFERROR(__xludf.DUMMYFUNCTION("""COMPUTED_VALUE"""),"Hito H-75 flexible E.V.A. verde Mod. C Plus")</f>
        <v>Hito H-75 flexible E.V.A. verde Mod. C Plus</v>
      </c>
      <c r="C627" s="4">
        <f>IFERROR(__xludf.DUMMYFUNCTION("""COMPUTED_VALUE"""),21.36)</f>
        <v>21.36</v>
      </c>
      <c r="D627" s="4">
        <f>IFERROR(__xludf.DUMMYFUNCTION("""COMPUTED_VALUE"""),17.5)</f>
        <v>17.5</v>
      </c>
      <c r="E627" s="4" t="str">
        <f>IFERROR(__xludf.DUMMYFUNCTION("""COMPUTED_VALUE"""),"Neto: 17,50 € (a partir de 12 uds.)")</f>
        <v>Neto: 17,50 € (a partir de 12 uds.)</v>
      </c>
    </row>
    <row r="628">
      <c r="A628" s="4" t="str">
        <f>IFERROR(__xludf.DUMMYFUNCTION("""COMPUTED_VALUE"""),"0582P")</f>
        <v>0582P</v>
      </c>
      <c r="B628" s="4" t="str">
        <f>IFERROR(__xludf.DUMMYFUNCTION("""COMPUTED_VALUE"""),"Hito H-50 flexible E.V.A. verde Mod. C Plus")</f>
        <v>Hito H-50 flexible E.V.A. verde Mod. C Plus</v>
      </c>
      <c r="C628" s="4">
        <f>IFERROR(__xludf.DUMMYFUNCTION("""COMPUTED_VALUE"""),15.6)</f>
        <v>15.6</v>
      </c>
      <c r="D628" s="4"/>
      <c r="E628" s="4" t="str">
        <f>IFERROR(__xludf.DUMMYFUNCTION("""COMPUTED_VALUE"""),"Sin precio neto")</f>
        <v>Sin precio neto</v>
      </c>
    </row>
    <row r="629">
      <c r="A629" s="4" t="str">
        <f>IFERROR(__xludf.DUMMYFUNCTION("""COMPUTED_VALUE"""),"583")</f>
        <v>583</v>
      </c>
      <c r="B629" s="4" t="str">
        <f>IFERROR(__xludf.DUMMYFUNCTION("""COMPUTED_VALUE"""),"Hito H-75 flexible E.V.A. azul Mod. C Plus")</f>
        <v>Hito H-75 flexible E.V.A. azul Mod. C Plus</v>
      </c>
      <c r="C629" s="4">
        <f>IFERROR(__xludf.DUMMYFUNCTION("""COMPUTED_VALUE"""),21.36)</f>
        <v>21.36</v>
      </c>
      <c r="D629" s="4">
        <f>IFERROR(__xludf.DUMMYFUNCTION("""COMPUTED_VALUE"""),17.5)</f>
        <v>17.5</v>
      </c>
      <c r="E629" s="4" t="str">
        <f>IFERROR(__xludf.DUMMYFUNCTION("""COMPUTED_VALUE"""),"Neto: 17,50 € (a partir de 12 uds.)")</f>
        <v>Neto: 17,50 € (a partir de 12 uds.)</v>
      </c>
    </row>
    <row r="630">
      <c r="A630" s="4" t="str">
        <f>IFERROR(__xludf.DUMMYFUNCTION("""COMPUTED_VALUE"""),"0583P")</f>
        <v>0583P</v>
      </c>
      <c r="B630" s="4" t="str">
        <f>IFERROR(__xludf.DUMMYFUNCTION("""COMPUTED_VALUE"""),"Hito H-50 flexible E.V.A. azul Mod. C Plus")</f>
        <v>Hito H-50 flexible E.V.A. azul Mod. C Plus</v>
      </c>
      <c r="C630" s="4">
        <f>IFERROR(__xludf.DUMMYFUNCTION("""COMPUTED_VALUE"""),15.6)</f>
        <v>15.6</v>
      </c>
      <c r="D630" s="4"/>
      <c r="E630" s="4" t="str">
        <f>IFERROR(__xludf.DUMMYFUNCTION("""COMPUTED_VALUE"""),"Sin precio neto")</f>
        <v>Sin precio neto</v>
      </c>
    </row>
    <row r="631">
      <c r="A631" s="4" t="str">
        <f>IFERROR(__xludf.DUMMYFUNCTION("""COMPUTED_VALUE"""),"584")</f>
        <v>584</v>
      </c>
      <c r="B631" s="4" t="str">
        <f>IFERROR(__xludf.DUMMYFUNCTION("""COMPUTED_VALUE"""),"Hito H-75 flexible E.V.A. rojo Mod. C Plus")</f>
        <v>Hito H-75 flexible E.V.A. rojo Mod. C Plus</v>
      </c>
      <c r="C631" s="4">
        <f>IFERROR(__xludf.DUMMYFUNCTION("""COMPUTED_VALUE"""),21.36)</f>
        <v>21.36</v>
      </c>
      <c r="D631" s="4">
        <f>IFERROR(__xludf.DUMMYFUNCTION("""COMPUTED_VALUE"""),17.5)</f>
        <v>17.5</v>
      </c>
      <c r="E631" s="4" t="str">
        <f>IFERROR(__xludf.DUMMYFUNCTION("""COMPUTED_VALUE"""),"Neto: 17,50 € (a partir de 12 uds.)")</f>
        <v>Neto: 17,50 € (a partir de 12 uds.)</v>
      </c>
    </row>
    <row r="632">
      <c r="A632" s="4" t="str">
        <f>IFERROR(__xludf.DUMMYFUNCTION("""COMPUTED_VALUE"""),"0584P")</f>
        <v>0584P</v>
      </c>
      <c r="B632" s="4" t="str">
        <f>IFERROR(__xludf.DUMMYFUNCTION("""COMPUTED_VALUE"""),"Hito H-50 flexible E.V.A. rojo Mod. C Plus")</f>
        <v>Hito H-50 flexible E.V.A. rojo Mod. C Plus</v>
      </c>
      <c r="C632" s="4">
        <f>IFERROR(__xludf.DUMMYFUNCTION("""COMPUTED_VALUE"""),15.6)</f>
        <v>15.6</v>
      </c>
      <c r="D632" s="4"/>
      <c r="E632" s="4" t="str">
        <f>IFERROR(__xludf.DUMMYFUNCTION("""COMPUTED_VALUE"""),"Sin precio neto")</f>
        <v>Sin precio neto</v>
      </c>
    </row>
    <row r="633">
      <c r="A633" s="4" t="str">
        <f>IFERROR(__xludf.DUMMYFUNCTION("""COMPUTED_VALUE"""),"585")</f>
        <v>585</v>
      </c>
      <c r="B633" s="4" t="str">
        <f>IFERROR(__xludf.DUMMYFUNCTION("""COMPUTED_VALUE"""),"Hito H-75 flexible E.V.A. amarillo Mod. C plus")</f>
        <v>Hito H-75 flexible E.V.A. amarillo Mod. C plus</v>
      </c>
      <c r="C633" s="4">
        <f>IFERROR(__xludf.DUMMYFUNCTION("""COMPUTED_VALUE"""),21.168)</f>
        <v>21.168</v>
      </c>
      <c r="D633" s="4">
        <f>IFERROR(__xludf.DUMMYFUNCTION("""COMPUTED_VALUE"""),17.5)</f>
        <v>17.5</v>
      </c>
      <c r="E633" s="4" t="str">
        <f>IFERROR(__xludf.DUMMYFUNCTION("""COMPUTED_VALUE"""),"Neto: 17,50 € (a partir de 12 uds.)")</f>
        <v>Neto: 17,50 € (a partir de 12 uds.)</v>
      </c>
    </row>
    <row r="634">
      <c r="A634" s="4" t="str">
        <f>IFERROR(__xludf.DUMMYFUNCTION("""COMPUTED_VALUE"""),"0585P")</f>
        <v>0585P</v>
      </c>
      <c r="B634" s="4" t="str">
        <f>IFERROR(__xludf.DUMMYFUNCTION("""COMPUTED_VALUE"""),"Hito H-50 flexible E.V.A. amarillo Mod. C Plus")</f>
        <v>Hito H-50 flexible E.V.A. amarillo Mod. C Plus</v>
      </c>
      <c r="C634" s="4">
        <f>IFERROR(__xludf.DUMMYFUNCTION("""COMPUTED_VALUE"""),15.6)</f>
        <v>15.6</v>
      </c>
      <c r="D634" s="4"/>
      <c r="E634" s="4" t="str">
        <f>IFERROR(__xludf.DUMMYFUNCTION("""COMPUTED_VALUE"""),"Sin precio neto")</f>
        <v>Sin precio neto</v>
      </c>
    </row>
    <row r="635">
      <c r="A635" s="4" t="str">
        <f>IFERROR(__xludf.DUMMYFUNCTION("""COMPUTED_VALUE"""),"586")</f>
        <v>586</v>
      </c>
      <c r="B635" s="4" t="str">
        <f>IFERROR(__xludf.DUMMYFUNCTION("""COMPUTED_VALUE"""),"Hito H-75 fijo Polietileno rojo Mod. A")</f>
        <v>Hito H-75 fijo Polietileno rojo Mod. A</v>
      </c>
      <c r="C635" s="4">
        <f>IFERROR(__xludf.DUMMYFUNCTION("""COMPUTED_VALUE"""),16.272)</f>
        <v>16.272</v>
      </c>
      <c r="D635" s="4">
        <f>IFERROR(__xludf.DUMMYFUNCTION("""COMPUTED_VALUE"""),15.5)</f>
        <v>15.5</v>
      </c>
      <c r="E635" s="4" t="str">
        <f>IFERROR(__xludf.DUMMYFUNCTION("""COMPUTED_VALUE"""),"Neto: 15,50 € (a partir de 12 uds.)")</f>
        <v>Neto: 15,50 € (a partir de 12 uds.)</v>
      </c>
    </row>
    <row r="636">
      <c r="A636" s="4" t="str">
        <f>IFERROR(__xludf.DUMMYFUNCTION("""COMPUTED_VALUE"""),"0586P")</f>
        <v>0586P</v>
      </c>
      <c r="B636" s="4" t="str">
        <f>IFERROR(__xludf.DUMMYFUNCTION("""COMPUTED_VALUE"""),"Hito H-50 fijo Polietilieno rojo Mod. A")</f>
        <v>Hito H-50 fijo Polietilieno rojo Mod. A</v>
      </c>
      <c r="C636" s="4">
        <f>IFERROR(__xludf.DUMMYFUNCTION("""COMPUTED_VALUE"""),13.2)</f>
        <v>13.2</v>
      </c>
      <c r="D636" s="4"/>
      <c r="E636" s="4" t="str">
        <f>IFERROR(__xludf.DUMMYFUNCTION("""COMPUTED_VALUE"""),"Sin precio neto")</f>
        <v>Sin precio neto</v>
      </c>
    </row>
    <row r="637">
      <c r="A637" s="4" t="str">
        <f>IFERROR(__xludf.DUMMYFUNCTION("""COMPUTED_VALUE"""),"587")</f>
        <v>587</v>
      </c>
      <c r="B637" s="4" t="str">
        <f>IFERROR(__xludf.DUMMYFUNCTION("""COMPUTED_VALUE"""),"Hito H-75 fijo Polietileno amarillo Mod. A")</f>
        <v>Hito H-75 fijo Polietileno amarillo Mod. A</v>
      </c>
      <c r="C637" s="4">
        <f>IFERROR(__xludf.DUMMYFUNCTION("""COMPUTED_VALUE"""),16.272)</f>
        <v>16.272</v>
      </c>
      <c r="D637" s="4">
        <f>IFERROR(__xludf.DUMMYFUNCTION("""COMPUTED_VALUE"""),15.5)</f>
        <v>15.5</v>
      </c>
      <c r="E637" s="4" t="str">
        <f>IFERROR(__xludf.DUMMYFUNCTION("""COMPUTED_VALUE"""),"Neto: 15,50 € (a partir de 12 uds.)")</f>
        <v>Neto: 15,50 € (a partir de 12 uds.)</v>
      </c>
    </row>
    <row r="638">
      <c r="A638" s="4" t="str">
        <f>IFERROR(__xludf.DUMMYFUNCTION("""COMPUTED_VALUE"""),"0587P")</f>
        <v>0587P</v>
      </c>
      <c r="B638" s="4" t="str">
        <f>IFERROR(__xludf.DUMMYFUNCTION("""COMPUTED_VALUE"""),"Hito H-50 Polietileno amarillo Mod. A")</f>
        <v>Hito H-50 Polietileno amarillo Mod. A</v>
      </c>
      <c r="C638" s="4">
        <f>IFERROR(__xludf.DUMMYFUNCTION("""COMPUTED_VALUE"""),13.2)</f>
        <v>13.2</v>
      </c>
      <c r="D638" s="4"/>
      <c r="E638" s="4" t="str">
        <f>IFERROR(__xludf.DUMMYFUNCTION("""COMPUTED_VALUE"""),"Sin precio neto")</f>
        <v>Sin precio neto</v>
      </c>
    </row>
    <row r="639">
      <c r="A639" s="4" t="str">
        <f>IFERROR(__xludf.DUMMYFUNCTION("""COMPUTED_VALUE"""),"588")</f>
        <v>588</v>
      </c>
      <c r="B639" s="4" t="str">
        <f>IFERROR(__xludf.DUMMYFUNCTION("""COMPUTED_VALUE"""),"Hito 75 cm PVC blando Naranja Mod. E")</f>
        <v>Hito 75 cm PVC blando Naranja Mod. E</v>
      </c>
      <c r="C639" s="4">
        <f>IFERROR(__xludf.DUMMYFUNCTION("""COMPUTED_VALUE"""),13.2)</f>
        <v>13.2</v>
      </c>
      <c r="D639" s="4">
        <f>IFERROR(__xludf.DUMMYFUNCTION("""COMPUTED_VALUE"""),12.5)</f>
        <v>12.5</v>
      </c>
      <c r="E639" s="4" t="str">
        <f>IFERROR(__xludf.DUMMYFUNCTION("""COMPUTED_VALUE"""),"Neto: 12,50 € (a partir de 8 uds.)")</f>
        <v>Neto: 12,50 € (a partir de 8 uds.)</v>
      </c>
    </row>
    <row r="640">
      <c r="A640" s="4" t="str">
        <f>IFERROR(__xludf.DUMMYFUNCTION("""COMPUTED_VALUE"""),"0588A")</f>
        <v>0588A</v>
      </c>
      <c r="B640" s="4" t="str">
        <f>IFERROR(__xludf.DUMMYFUNCTION("""COMPUTED_VALUE"""),"Hito 75 cm PVC blando Azul Mod. E")</f>
        <v>Hito 75 cm PVC blando Azul Mod. E</v>
      </c>
      <c r="C640" s="4">
        <f>IFERROR(__xludf.DUMMYFUNCTION("""COMPUTED_VALUE"""),13.2)</f>
        <v>13.2</v>
      </c>
      <c r="D640" s="4">
        <f>IFERROR(__xludf.DUMMYFUNCTION("""COMPUTED_VALUE"""),12.5)</f>
        <v>12.5</v>
      </c>
      <c r="E640" s="4" t="str">
        <f>IFERROR(__xludf.DUMMYFUNCTION("""COMPUTED_VALUE"""),"Neto: 12,50 € (a partir de 8 uds.)")</f>
        <v>Neto: 12,50 € (a partir de 8 uds.)</v>
      </c>
    </row>
    <row r="641">
      <c r="A641" s="4" t="str">
        <f>IFERROR(__xludf.DUMMYFUNCTION("""COMPUTED_VALUE"""),"0588AM")</f>
        <v>0588AM</v>
      </c>
      <c r="B641" s="4" t="str">
        <f>IFERROR(__xludf.DUMMYFUNCTION("""COMPUTED_VALUE"""),"Hito 75 cm PVC blando Amarillo Mod. E")</f>
        <v>Hito 75 cm PVC blando Amarillo Mod. E</v>
      </c>
      <c r="C641" s="4">
        <f>IFERROR(__xludf.DUMMYFUNCTION("""COMPUTED_VALUE"""),13.2)</f>
        <v>13.2</v>
      </c>
      <c r="D641" s="4">
        <f>IFERROR(__xludf.DUMMYFUNCTION("""COMPUTED_VALUE"""),12.5)</f>
        <v>12.5</v>
      </c>
      <c r="E641" s="4" t="str">
        <f>IFERROR(__xludf.DUMMYFUNCTION("""COMPUTED_VALUE"""),"Neto: 12,50 € (a partir de 8 uds.)")</f>
        <v>Neto: 12,50 € (a partir de 8 uds.)</v>
      </c>
    </row>
    <row r="642">
      <c r="A642" s="4" t="str">
        <f>IFERROR(__xludf.DUMMYFUNCTION("""COMPUTED_VALUE"""),"0588B")</f>
        <v>0588B</v>
      </c>
      <c r="B642" s="4" t="str">
        <f>IFERROR(__xludf.DUMMYFUNCTION("""COMPUTED_VALUE"""),"HIto 75 cm PVC blando Blanco Mod. E")</f>
        <v>HIto 75 cm PVC blando Blanco Mod. E</v>
      </c>
      <c r="C642" s="4">
        <f>IFERROR(__xludf.DUMMYFUNCTION("""COMPUTED_VALUE"""),13.2)</f>
        <v>13.2</v>
      </c>
      <c r="D642" s="4">
        <f>IFERROR(__xludf.DUMMYFUNCTION("""COMPUTED_VALUE"""),12.5)</f>
        <v>12.5</v>
      </c>
      <c r="E642" s="4" t="str">
        <f>IFERROR(__xludf.DUMMYFUNCTION("""COMPUTED_VALUE"""),"Neto: 12,50 € (a partir de 8 uds.)")</f>
        <v>Neto: 12,50 € (a partir de 8 uds.)</v>
      </c>
    </row>
    <row r="643">
      <c r="A643" s="4" t="str">
        <f>IFERROR(__xludf.DUMMYFUNCTION("""COMPUTED_VALUE"""),"0588NE")</f>
        <v>0588NE</v>
      </c>
      <c r="B643" s="4" t="str">
        <f>IFERROR(__xludf.DUMMYFUNCTION("""COMPUTED_VALUE"""),"Hito 75 cm PVC blando Negro Mod. E")</f>
        <v>Hito 75 cm PVC blando Negro Mod. E</v>
      </c>
      <c r="C643" s="4">
        <f>IFERROR(__xludf.DUMMYFUNCTION("""COMPUTED_VALUE"""),13.2)</f>
        <v>13.2</v>
      </c>
      <c r="D643" s="4">
        <f>IFERROR(__xludf.DUMMYFUNCTION("""COMPUTED_VALUE"""),12.5)</f>
        <v>12.5</v>
      </c>
      <c r="E643" s="4" t="str">
        <f>IFERROR(__xludf.DUMMYFUNCTION("""COMPUTED_VALUE"""),"Neto: 12,50 € (a partir de 8 uds.)")</f>
        <v>Neto: 12,50 € (a partir de 8 uds.)</v>
      </c>
    </row>
    <row r="644">
      <c r="A644" s="4" t="str">
        <f>IFERROR(__xludf.DUMMYFUNCTION("""COMPUTED_VALUE"""),"0588R")</f>
        <v>0588R</v>
      </c>
      <c r="B644" s="4" t="str">
        <f>IFERROR(__xludf.DUMMYFUNCTION("""COMPUTED_VALUE"""),"Hito 75 cm PVC blando Rojo Mod. E")</f>
        <v>Hito 75 cm PVC blando Rojo Mod. E</v>
      </c>
      <c r="C644" s="4">
        <f>IFERROR(__xludf.DUMMYFUNCTION("""COMPUTED_VALUE"""),13.2)</f>
        <v>13.2</v>
      </c>
      <c r="D644" s="4">
        <f>IFERROR(__xludf.DUMMYFUNCTION("""COMPUTED_VALUE"""),12.5)</f>
        <v>12.5</v>
      </c>
      <c r="E644" s="4" t="str">
        <f>IFERROR(__xludf.DUMMYFUNCTION("""COMPUTED_VALUE"""),"Neto: 12,50 € (a partir de 8 uds.)")</f>
        <v>Neto: 12,50 € (a partir de 8 uds.)</v>
      </c>
    </row>
    <row r="645">
      <c r="A645" s="4" t="str">
        <f>IFERROR(__xludf.DUMMYFUNCTION("""COMPUTED_VALUE"""),"0588V")</f>
        <v>0588V</v>
      </c>
      <c r="B645" s="4" t="str">
        <f>IFERROR(__xludf.DUMMYFUNCTION("""COMPUTED_VALUE"""),"Hito 75 cm PVC blando Verde Mod. E")</f>
        <v>Hito 75 cm PVC blando Verde Mod. E</v>
      </c>
      <c r="C645" s="4">
        <f>IFERROR(__xludf.DUMMYFUNCTION("""COMPUTED_VALUE"""),13.2)</f>
        <v>13.2</v>
      </c>
      <c r="D645" s="4">
        <f>IFERROR(__xludf.DUMMYFUNCTION("""COMPUTED_VALUE"""),12.0)</f>
        <v>12</v>
      </c>
      <c r="E645" s="4" t="str">
        <f>IFERROR(__xludf.DUMMYFUNCTION("""COMPUTED_VALUE"""),"Neto: 12,00 € (a partir de 8 uds.)")</f>
        <v>Neto: 12,00 € (a partir de 8 uds.)</v>
      </c>
    </row>
    <row r="646">
      <c r="A646" s="4" t="str">
        <f>IFERROR(__xludf.DUMMYFUNCTION("""COMPUTED_VALUE"""),"589")</f>
        <v>589</v>
      </c>
      <c r="B646" s="4" t="str">
        <f>IFERROR(__xludf.DUMMYFUNCTION("""COMPUTED_VALUE"""),"Hito 45 cm PVC blando Naranja Mod. F")</f>
        <v>Hito 45 cm PVC blando Naranja Mod. F</v>
      </c>
      <c r="C646" s="4">
        <f>IFERROR(__xludf.DUMMYFUNCTION("""COMPUTED_VALUE"""),7.92)</f>
        <v>7.92</v>
      </c>
      <c r="D646" s="4"/>
      <c r="E646" s="4" t="str">
        <f>IFERROR(__xludf.DUMMYFUNCTION("""COMPUTED_VALUE"""),"Sin precio neto")</f>
        <v>Sin precio neto</v>
      </c>
    </row>
    <row r="647">
      <c r="A647" s="4" t="str">
        <f>IFERROR(__xludf.DUMMYFUNCTION("""COMPUTED_VALUE"""),"590")</f>
        <v>590</v>
      </c>
      <c r="B647" s="4" t="str">
        <f>IFERROR(__xludf.DUMMYFUNCTION("""COMPUTED_VALUE"""),"Captafaros flexible p/muro doble lente blanco/amarillo")</f>
        <v>Captafaros flexible p/muro doble lente blanco/amarillo</v>
      </c>
      <c r="C647" s="4">
        <f>IFERROR(__xludf.DUMMYFUNCTION("""COMPUTED_VALUE"""),4.512)</f>
        <v>4.512</v>
      </c>
      <c r="D647" s="4"/>
      <c r="E647" s="4" t="str">
        <f>IFERROR(__xludf.DUMMYFUNCTION("""COMPUTED_VALUE"""),"Sin precio neto")</f>
        <v>Sin precio neto</v>
      </c>
    </row>
    <row r="648">
      <c r="A648" s="4" t="str">
        <f>IFERROR(__xludf.DUMMYFUNCTION("""COMPUTED_VALUE"""),"591")</f>
        <v>591</v>
      </c>
      <c r="B648" s="4" t="str">
        <f>IFERROR(__xludf.DUMMYFUNCTION("""COMPUTED_VALUE"""),"Captafaros doble lente blanco/amarillo 3M")</f>
        <v>Captafaros doble lente blanco/amarillo 3M</v>
      </c>
      <c r="C648" s="4">
        <f>IFERROR(__xludf.DUMMYFUNCTION("""COMPUTED_VALUE"""),2.976)</f>
        <v>2.976</v>
      </c>
      <c r="D648" s="4"/>
      <c r="E648" s="4" t="str">
        <f>IFERROR(__xludf.DUMMYFUNCTION("""COMPUTED_VALUE"""),"Sin precio neto")</f>
        <v>Sin precio neto</v>
      </c>
    </row>
    <row r="649">
      <c r="A649" s="4" t="str">
        <f>IFERROR(__xludf.DUMMYFUNCTION("""COMPUTED_VALUE"""),"0591A")</f>
        <v>0591A</v>
      </c>
      <c r="B649" s="4" t="str">
        <f>IFERROR(__xludf.DUMMYFUNCTION("""COMPUTED_VALUE"""),"Captafaros doble lente Blanco/Amarillo Autoadhesivo 3M")</f>
        <v>Captafaros doble lente Blanco/Amarillo Autoadhesivo 3M</v>
      </c>
      <c r="C649" s="4">
        <f>IFERROR(__xludf.DUMMYFUNCTION("""COMPUTED_VALUE"""),4.224)</f>
        <v>4.224</v>
      </c>
      <c r="D649" s="4"/>
      <c r="E649" s="4" t="str">
        <f>IFERROR(__xludf.DUMMYFUNCTION("""COMPUTED_VALUE"""),"Sin precio neto")</f>
        <v>Sin precio neto</v>
      </c>
    </row>
    <row r="650">
      <c r="A650" s="4" t="str">
        <f>IFERROR(__xludf.DUMMYFUNCTION("""COMPUTED_VALUE"""),"0591B")</f>
        <v>0591B</v>
      </c>
      <c r="B650" s="4" t="str">
        <f>IFERROR(__xludf.DUMMYFUNCTION("""COMPUTED_VALUE"""),"Captafaros doble lente Blanco/blanco 3M")</f>
        <v>Captafaros doble lente Blanco/blanco 3M</v>
      </c>
      <c r="C650" s="4">
        <f>IFERROR(__xludf.DUMMYFUNCTION("""COMPUTED_VALUE"""),2.976)</f>
        <v>2.976</v>
      </c>
      <c r="D650" s="4"/>
      <c r="E650" s="4" t="str">
        <f>IFERROR(__xludf.DUMMYFUNCTION("""COMPUTED_VALUE"""),"Sin precio neto")</f>
        <v>Sin precio neto</v>
      </c>
    </row>
    <row r="651">
      <c r="A651" s="4" t="str">
        <f>IFERROR(__xludf.DUMMYFUNCTION("""COMPUTED_VALUE"""),"0591BA")</f>
        <v>0591BA</v>
      </c>
      <c r="B651" s="4" t="str">
        <f>IFERROR(__xludf.DUMMYFUNCTION("""COMPUTED_VALUE"""),"Captafaros doble lente Blanco/Blanco Autoadhesivo 3M")</f>
        <v>Captafaros doble lente Blanco/Blanco Autoadhesivo 3M</v>
      </c>
      <c r="C651" s="4">
        <f>IFERROR(__xludf.DUMMYFUNCTION("""COMPUTED_VALUE"""),4.224)</f>
        <v>4.224</v>
      </c>
      <c r="D651" s="4"/>
      <c r="E651" s="4" t="str">
        <f>IFERROR(__xludf.DUMMYFUNCTION("""COMPUTED_VALUE"""),"Sin precio neto")</f>
        <v>Sin precio neto</v>
      </c>
    </row>
    <row r="652">
      <c r="A652" s="4" t="str">
        <f>IFERROR(__xludf.DUMMYFUNCTION("""COMPUTED_VALUE"""),"0592/A")</f>
        <v>0592/A</v>
      </c>
      <c r="B652" s="4" t="str">
        <f>IFERROR(__xludf.DUMMYFUNCTION("""COMPUTED_VALUE"""),"Delineador de Barrera LDS Amarillo 86x15,3 cm")</f>
        <v>Delineador de Barrera LDS Amarillo 86x15,3 cm</v>
      </c>
      <c r="C652" s="4">
        <f>IFERROR(__xludf.DUMMYFUNCTION("""COMPUTED_VALUE"""),19.151999999999997)</f>
        <v>19.152</v>
      </c>
      <c r="D652" s="4"/>
      <c r="E652" s="4" t="str">
        <f>IFERROR(__xludf.DUMMYFUNCTION("""COMPUTED_VALUE"""),"Sin precio neto")</f>
        <v>Sin precio neto</v>
      </c>
    </row>
    <row r="653">
      <c r="A653" s="4" t="str">
        <f>IFERROR(__xludf.DUMMYFUNCTION("""COMPUTED_VALUE"""),"0592/B")</f>
        <v>0592/B</v>
      </c>
      <c r="B653" s="4" t="str">
        <f>IFERROR(__xludf.DUMMYFUNCTION("""COMPUTED_VALUE"""),"Delineador de Barrera LDS Blanco 86x15,3 cm")</f>
        <v>Delineador de Barrera LDS Blanco 86x15,3 cm</v>
      </c>
      <c r="C653" s="4">
        <f>IFERROR(__xludf.DUMMYFUNCTION("""COMPUTED_VALUE"""),19.151999999999997)</f>
        <v>19.152</v>
      </c>
      <c r="D653" s="4"/>
      <c r="E653" s="4" t="str">
        <f>IFERROR(__xludf.DUMMYFUNCTION("""COMPUTED_VALUE"""),"Sin precio neto")</f>
        <v>Sin precio neto</v>
      </c>
    </row>
    <row r="654">
      <c r="A654" s="4" t="str">
        <f>IFERROR(__xludf.DUMMYFUNCTION("""COMPUTED_VALUE"""),"0592/R")</f>
        <v>0592/R</v>
      </c>
      <c r="B654" s="4" t="str">
        <f>IFERROR(__xludf.DUMMYFUNCTION("""COMPUTED_VALUE"""),"Delineador de Barrera LDS Rojo 86x15,3 cm")</f>
        <v>Delineador de Barrera LDS Rojo 86x15,3 cm</v>
      </c>
      <c r="C654" s="4">
        <f>IFERROR(__xludf.DUMMYFUNCTION("""COMPUTED_VALUE"""),19.151999999999997)</f>
        <v>19.152</v>
      </c>
      <c r="D654" s="4"/>
      <c r="E654" s="4" t="str">
        <f>IFERROR(__xludf.DUMMYFUNCTION("""COMPUTED_VALUE"""),"Sin precio neto")</f>
        <v>Sin precio neto</v>
      </c>
    </row>
    <row r="655">
      <c r="A655" s="4" t="str">
        <f>IFERROR(__xludf.DUMMYFUNCTION("""COMPUTED_VALUE"""),"593")</f>
        <v>593</v>
      </c>
      <c r="B655" s="4" t="str">
        <f>IFERROR(__xludf.DUMMYFUNCTION("""COMPUTED_VALUE"""),"Hito Basculante Flexible 75 cm Mod. G + base")</f>
        <v>Hito Basculante Flexible 75 cm Mod. G + base</v>
      </c>
      <c r="C655" s="4">
        <f>IFERROR(__xludf.DUMMYFUNCTION("""COMPUTED_VALUE"""),23.856)</f>
        <v>23.856</v>
      </c>
      <c r="D655" s="4"/>
      <c r="E655" s="4" t="str">
        <f>IFERROR(__xludf.DUMMYFUNCTION("""COMPUTED_VALUE"""),"Sin precio neto")</f>
        <v>Sin precio neto</v>
      </c>
    </row>
    <row r="656">
      <c r="A656" s="4" t="str">
        <f>IFERROR(__xludf.DUMMYFUNCTION("""COMPUTED_VALUE"""),"594")</f>
        <v>594</v>
      </c>
      <c r="B656" s="4" t="str">
        <f>IFERROR(__xludf.DUMMYFUNCTION("""COMPUTED_VALUE"""),"Panel señal. vertical R/B reflectante 2 caras")</f>
        <v>Panel señal. vertical R/B reflectante 2 caras</v>
      </c>
      <c r="C656" s="4">
        <f>IFERROR(__xludf.DUMMYFUNCTION("""COMPUTED_VALUE"""),17.52)</f>
        <v>17.52</v>
      </c>
      <c r="D656" s="4"/>
      <c r="E656" s="4" t="str">
        <f>IFERROR(__xludf.DUMMYFUNCTION("""COMPUTED_VALUE"""),"Sin precio neto")</f>
        <v>Sin precio neto</v>
      </c>
    </row>
    <row r="657">
      <c r="A657" s="4" t="str">
        <f>IFERROR(__xludf.DUMMYFUNCTION("""COMPUTED_VALUE"""),"595")</f>
        <v>595</v>
      </c>
      <c r="B657" s="4" t="str">
        <f>IFERROR(__xludf.DUMMYFUNCTION("""COMPUTED_VALUE"""),"Conjunto manga viento + poste y rótula")</f>
        <v>Conjunto manga viento + poste y rótula</v>
      </c>
      <c r="C657" s="4">
        <f>IFERROR(__xludf.DUMMYFUNCTION("""COMPUTED_VALUE"""),897.12)</f>
        <v>897.12</v>
      </c>
      <c r="D657" s="4"/>
      <c r="E657" s="4" t="str">
        <f>IFERROR(__xludf.DUMMYFUNCTION("""COMPUTED_VALUE"""),"Sin precio neto")</f>
        <v>Sin precio neto</v>
      </c>
    </row>
    <row r="658">
      <c r="A658" s="4" t="str">
        <f>IFERROR(__xludf.DUMMYFUNCTION("""COMPUTED_VALUE"""),"596")</f>
        <v>596</v>
      </c>
      <c r="B658" s="4" t="str">
        <f>IFERROR(__xludf.DUMMYFUNCTION("""COMPUTED_VALUE"""),"Mástil Manga viento c/ rótula 400cm x 8cm diam x 2mm")</f>
        <v>Mástil Manga viento c/ rótula 400cm x 8cm diam x 2mm</v>
      </c>
      <c r="C658" s="4">
        <f>IFERROR(__xludf.DUMMYFUNCTION("""COMPUTED_VALUE"""),453.59999999999997)</f>
        <v>453.6</v>
      </c>
      <c r="D658" s="4"/>
      <c r="E658" s="4" t="str">
        <f>IFERROR(__xludf.DUMMYFUNCTION("""COMPUTED_VALUE"""),"Sin precio neto")</f>
        <v>Sin precio neto</v>
      </c>
    </row>
    <row r="659">
      <c r="A659" s="4" t="str">
        <f>IFERROR(__xludf.DUMMYFUNCTION("""COMPUTED_VALUE"""),"597")</f>
        <v>597</v>
      </c>
      <c r="B659" s="4" t="str">
        <f>IFERROR(__xludf.DUMMYFUNCTION("""COMPUTED_VALUE"""),"Manga de viento c/aro 400x150mm L.1600mm")</f>
        <v>Manga de viento c/aro 400x150mm L.1600mm</v>
      </c>
      <c r="C659" s="4">
        <f>IFERROR(__xludf.DUMMYFUNCTION("""COMPUTED_VALUE"""),282.24)</f>
        <v>282.24</v>
      </c>
      <c r="D659" s="4"/>
      <c r="E659" s="4" t="str">
        <f>IFERROR(__xludf.DUMMYFUNCTION("""COMPUTED_VALUE"""),"Sin precio neto")</f>
        <v>Sin precio neto</v>
      </c>
    </row>
    <row r="660">
      <c r="A660" s="4" t="str">
        <f>IFERROR(__xludf.DUMMYFUNCTION("""COMPUTED_VALUE"""),"598")</f>
        <v>598</v>
      </c>
      <c r="B660" s="4" t="str">
        <f>IFERROR(__xludf.DUMMYFUNCTION("""COMPUTED_VALUE"""),"Rótula para manga viento")</f>
        <v>Rótula para manga viento</v>
      </c>
      <c r="C660" s="4">
        <f>IFERROR(__xludf.DUMMYFUNCTION("""COMPUTED_VALUE"""),95.75999999999999)</f>
        <v>95.76</v>
      </c>
      <c r="D660" s="4"/>
      <c r="E660" s="4" t="str">
        <f>IFERROR(__xludf.DUMMYFUNCTION("""COMPUTED_VALUE"""),"Sin precio neto")</f>
        <v>Sin precio neto</v>
      </c>
    </row>
    <row r="661">
      <c r="A661" s="4" t="str">
        <f>IFERROR(__xludf.DUMMYFUNCTION("""COMPUTED_VALUE"""),"600")</f>
        <v>600</v>
      </c>
      <c r="B661" s="4" t="str">
        <f>IFERROR(__xludf.DUMMYFUNCTION("""COMPUTED_VALUE"""),"Señal metalica TP-3")</f>
        <v>Señal metalica TP-3</v>
      </c>
      <c r="C661" s="4">
        <f>IFERROR(__xludf.DUMMYFUNCTION("""COMPUTED_VALUE"""),10.799999999999999)</f>
        <v>10.8</v>
      </c>
      <c r="D661" s="4">
        <f>IFERROR(__xludf.DUMMYFUNCTION("""COMPUTED_VALUE"""),8.5)</f>
        <v>8.5</v>
      </c>
      <c r="E661" s="4" t="str">
        <f>IFERROR(__xludf.DUMMYFUNCTION("""COMPUTED_VALUE"""),"Neto: 8,50 € (a partir de 1 uds.)")</f>
        <v>Neto: 8,50 € (a partir de 1 uds.)</v>
      </c>
    </row>
    <row r="662">
      <c r="A662" s="4" t="str">
        <f>IFERROR(__xludf.DUMMYFUNCTION("""COMPUTED_VALUE"""),"0600D")</f>
        <v>0600D</v>
      </c>
      <c r="B662" s="4" t="str">
        <f>IFERROR(__xludf.DUMMYFUNCTION("""COMPUTED_VALUE"""),"Señal metalica P-3")</f>
        <v>Señal metalica P-3</v>
      </c>
      <c r="C662" s="4">
        <f>IFERROR(__xludf.DUMMYFUNCTION("""COMPUTED_VALUE"""),10.799999999999999)</f>
        <v>10.8</v>
      </c>
      <c r="D662" s="4">
        <f>IFERROR(__xludf.DUMMYFUNCTION("""COMPUTED_VALUE"""),8.5)</f>
        <v>8.5</v>
      </c>
      <c r="E662" s="4" t="str">
        <f>IFERROR(__xludf.DUMMYFUNCTION("""COMPUTED_VALUE"""),"Neto: 8,50 € (a partir de 1 uds.)")</f>
        <v>Neto: 8,50 € (a partir de 1 uds.)</v>
      </c>
    </row>
    <row r="663">
      <c r="A663" s="4" t="str">
        <f>IFERROR(__xludf.DUMMYFUNCTION("""COMPUTED_VALUE"""),"601")</f>
        <v>601</v>
      </c>
      <c r="B663" s="4" t="str">
        <f>IFERROR(__xludf.DUMMYFUNCTION("""COMPUTED_VALUE"""),"Señal metalica TP-13a")</f>
        <v>Señal metalica TP-13a</v>
      </c>
      <c r="C663" s="4">
        <f>IFERROR(__xludf.DUMMYFUNCTION("""COMPUTED_VALUE"""),10.799999999999999)</f>
        <v>10.8</v>
      </c>
      <c r="D663" s="4">
        <f>IFERROR(__xludf.DUMMYFUNCTION("""COMPUTED_VALUE"""),8.5)</f>
        <v>8.5</v>
      </c>
      <c r="E663" s="4" t="str">
        <f>IFERROR(__xludf.DUMMYFUNCTION("""COMPUTED_VALUE"""),"Neto: 8,50 € (a partir de 1 uds.)")</f>
        <v>Neto: 8,50 € (a partir de 1 uds.)</v>
      </c>
    </row>
    <row r="664">
      <c r="A664" s="4" t="str">
        <f>IFERROR(__xludf.DUMMYFUNCTION("""COMPUTED_VALUE"""),"0601D")</f>
        <v>0601D</v>
      </c>
      <c r="B664" s="4" t="str">
        <f>IFERROR(__xludf.DUMMYFUNCTION("""COMPUTED_VALUE"""),"Señal metalica P-13a")</f>
        <v>Señal metalica P-13a</v>
      </c>
      <c r="C664" s="4">
        <f>IFERROR(__xludf.DUMMYFUNCTION("""COMPUTED_VALUE"""),10.799999999999999)</f>
        <v>10.8</v>
      </c>
      <c r="D664" s="4">
        <f>IFERROR(__xludf.DUMMYFUNCTION("""COMPUTED_VALUE"""),8.5)</f>
        <v>8.5</v>
      </c>
      <c r="E664" s="4" t="str">
        <f>IFERROR(__xludf.DUMMYFUNCTION("""COMPUTED_VALUE"""),"Neto: 8,50 € (a partir de 1 uds.)")</f>
        <v>Neto: 8,50 € (a partir de 1 uds.)</v>
      </c>
    </row>
    <row r="665">
      <c r="A665" s="4" t="str">
        <f>IFERROR(__xludf.DUMMYFUNCTION("""COMPUTED_VALUE"""),"602")</f>
        <v>602</v>
      </c>
      <c r="B665" s="4" t="str">
        <f>IFERROR(__xludf.DUMMYFUNCTION("""COMPUTED_VALUE"""),"Señal metalica TP-13b")</f>
        <v>Señal metalica TP-13b</v>
      </c>
      <c r="C665" s="4">
        <f>IFERROR(__xludf.DUMMYFUNCTION("""COMPUTED_VALUE"""),10.799999999999999)</f>
        <v>10.8</v>
      </c>
      <c r="D665" s="4">
        <f>IFERROR(__xludf.DUMMYFUNCTION("""COMPUTED_VALUE"""),8.5)</f>
        <v>8.5</v>
      </c>
      <c r="E665" s="4" t="str">
        <f>IFERROR(__xludf.DUMMYFUNCTION("""COMPUTED_VALUE"""),"Neto: 8,50 € (a partir de 1 uds.)")</f>
        <v>Neto: 8,50 € (a partir de 1 uds.)</v>
      </c>
    </row>
    <row r="666">
      <c r="A666" s="4" t="str">
        <f>IFERROR(__xludf.DUMMYFUNCTION("""COMPUTED_VALUE"""),"0602D")</f>
        <v>0602D</v>
      </c>
      <c r="B666" s="4" t="str">
        <f>IFERROR(__xludf.DUMMYFUNCTION("""COMPUTED_VALUE"""),"Señal metalica P-13b")</f>
        <v>Señal metalica P-13b</v>
      </c>
      <c r="C666" s="4">
        <f>IFERROR(__xludf.DUMMYFUNCTION("""COMPUTED_VALUE"""),10.799999999999999)</f>
        <v>10.8</v>
      </c>
      <c r="D666" s="4">
        <f>IFERROR(__xludf.DUMMYFUNCTION("""COMPUTED_VALUE"""),8.5)</f>
        <v>8.5</v>
      </c>
      <c r="E666" s="4" t="str">
        <f>IFERROR(__xludf.DUMMYFUNCTION("""COMPUTED_VALUE"""),"Neto: 8,50 € (a partir de 1 uds.)")</f>
        <v>Neto: 8,50 € (a partir de 1 uds.)</v>
      </c>
    </row>
    <row r="667">
      <c r="A667" s="4" t="str">
        <f>IFERROR(__xludf.DUMMYFUNCTION("""COMPUTED_VALUE"""),"603")</f>
        <v>603</v>
      </c>
      <c r="B667" s="4" t="str">
        <f>IFERROR(__xludf.DUMMYFUNCTION("""COMPUTED_VALUE"""),"Señal metalica TP-14a")</f>
        <v>Señal metalica TP-14a</v>
      </c>
      <c r="C667" s="4">
        <f>IFERROR(__xludf.DUMMYFUNCTION("""COMPUTED_VALUE"""),10.799999999999999)</f>
        <v>10.8</v>
      </c>
      <c r="D667" s="4">
        <f>IFERROR(__xludf.DUMMYFUNCTION("""COMPUTED_VALUE"""),8.5)</f>
        <v>8.5</v>
      </c>
      <c r="E667" s="4" t="str">
        <f>IFERROR(__xludf.DUMMYFUNCTION("""COMPUTED_VALUE"""),"Neto: 8,50 € (a partir de 1 uds.)")</f>
        <v>Neto: 8,50 € (a partir de 1 uds.)</v>
      </c>
    </row>
    <row r="668">
      <c r="A668" s="4" t="str">
        <f>IFERROR(__xludf.DUMMYFUNCTION("""COMPUTED_VALUE"""),"0603D")</f>
        <v>0603D</v>
      </c>
      <c r="B668" s="4" t="str">
        <f>IFERROR(__xludf.DUMMYFUNCTION("""COMPUTED_VALUE"""),"Señal metalica P-14a")</f>
        <v>Señal metalica P-14a</v>
      </c>
      <c r="C668" s="4">
        <f>IFERROR(__xludf.DUMMYFUNCTION("""COMPUTED_VALUE"""),10.799999999999999)</f>
        <v>10.8</v>
      </c>
      <c r="D668" s="4">
        <f>IFERROR(__xludf.DUMMYFUNCTION("""COMPUTED_VALUE"""),8.5)</f>
        <v>8.5</v>
      </c>
      <c r="E668" s="4" t="str">
        <f>IFERROR(__xludf.DUMMYFUNCTION("""COMPUTED_VALUE"""),"Neto: 8,50 € (a partir de 1 uds.)")</f>
        <v>Neto: 8,50 € (a partir de 1 uds.)</v>
      </c>
    </row>
    <row r="669">
      <c r="A669" s="4" t="str">
        <f>IFERROR(__xludf.DUMMYFUNCTION("""COMPUTED_VALUE"""),"604")</f>
        <v>604</v>
      </c>
      <c r="B669" s="4" t="str">
        <f>IFERROR(__xludf.DUMMYFUNCTION("""COMPUTED_VALUE"""),"Señal metalica TP-14b")</f>
        <v>Señal metalica TP-14b</v>
      </c>
      <c r="C669" s="4">
        <f>IFERROR(__xludf.DUMMYFUNCTION("""COMPUTED_VALUE"""),10.799999999999999)</f>
        <v>10.8</v>
      </c>
      <c r="D669" s="4">
        <f>IFERROR(__xludf.DUMMYFUNCTION("""COMPUTED_VALUE"""),8.5)</f>
        <v>8.5</v>
      </c>
      <c r="E669" s="4" t="str">
        <f>IFERROR(__xludf.DUMMYFUNCTION("""COMPUTED_VALUE"""),"Neto: 8,50 € (a partir de 1 uds.)")</f>
        <v>Neto: 8,50 € (a partir de 1 uds.)</v>
      </c>
    </row>
    <row r="670">
      <c r="A670" s="4" t="str">
        <f>IFERROR(__xludf.DUMMYFUNCTION("""COMPUTED_VALUE"""),"0604D")</f>
        <v>0604D</v>
      </c>
      <c r="B670" s="4" t="str">
        <f>IFERROR(__xludf.DUMMYFUNCTION("""COMPUTED_VALUE"""),"Señal metalica P-14b")</f>
        <v>Señal metalica P-14b</v>
      </c>
      <c r="C670" s="4">
        <f>IFERROR(__xludf.DUMMYFUNCTION("""COMPUTED_VALUE"""),10.799999999999999)</f>
        <v>10.8</v>
      </c>
      <c r="D670" s="4">
        <f>IFERROR(__xludf.DUMMYFUNCTION("""COMPUTED_VALUE"""),8.5)</f>
        <v>8.5</v>
      </c>
      <c r="E670" s="4" t="str">
        <f>IFERROR(__xludf.DUMMYFUNCTION("""COMPUTED_VALUE"""),"Neto: 8,50 € (a partir de 1 uds.)")</f>
        <v>Neto: 8,50 € (a partir de 1 uds.)</v>
      </c>
    </row>
    <row r="671">
      <c r="A671" s="4" t="str">
        <f>IFERROR(__xludf.DUMMYFUNCTION("""COMPUTED_VALUE"""),"605")</f>
        <v>605</v>
      </c>
      <c r="B671" s="4" t="str">
        <f>IFERROR(__xludf.DUMMYFUNCTION("""COMPUTED_VALUE"""),"Señal metalica TP-15")</f>
        <v>Señal metalica TP-15</v>
      </c>
      <c r="C671" s="4">
        <f>IFERROR(__xludf.DUMMYFUNCTION("""COMPUTED_VALUE"""),10.799999999999999)</f>
        <v>10.8</v>
      </c>
      <c r="D671" s="4">
        <f>IFERROR(__xludf.DUMMYFUNCTION("""COMPUTED_VALUE"""),8.5)</f>
        <v>8.5</v>
      </c>
      <c r="E671" s="4" t="str">
        <f>IFERROR(__xludf.DUMMYFUNCTION("""COMPUTED_VALUE"""),"Neto: 8,50 € (a partir de 1 uds.)")</f>
        <v>Neto: 8,50 € (a partir de 1 uds.)</v>
      </c>
    </row>
    <row r="672">
      <c r="A672" s="4" t="str">
        <f>IFERROR(__xludf.DUMMYFUNCTION("""COMPUTED_VALUE"""),"0605D")</f>
        <v>0605D</v>
      </c>
      <c r="B672" s="4" t="str">
        <f>IFERROR(__xludf.DUMMYFUNCTION("""COMPUTED_VALUE"""),"Señal metalica P-15")</f>
        <v>Señal metalica P-15</v>
      </c>
      <c r="C672" s="4">
        <f>IFERROR(__xludf.DUMMYFUNCTION("""COMPUTED_VALUE"""),10.799999999999999)</f>
        <v>10.8</v>
      </c>
      <c r="D672" s="4">
        <f>IFERROR(__xludf.DUMMYFUNCTION("""COMPUTED_VALUE"""),8.5)</f>
        <v>8.5</v>
      </c>
      <c r="E672" s="4" t="str">
        <f>IFERROR(__xludf.DUMMYFUNCTION("""COMPUTED_VALUE"""),"Neto: 8,50 € (a partir de 1 uds.)")</f>
        <v>Neto: 8,50 € (a partir de 1 uds.)</v>
      </c>
    </row>
    <row r="673">
      <c r="A673" s="4" t="str">
        <f>IFERROR(__xludf.DUMMYFUNCTION("""COMPUTED_VALUE"""),"606")</f>
        <v>606</v>
      </c>
      <c r="B673" s="4" t="str">
        <f>IFERROR(__xludf.DUMMYFUNCTION("""COMPUTED_VALUE"""),"Señal metalica TP-15a")</f>
        <v>Señal metalica TP-15a</v>
      </c>
      <c r="C673" s="4">
        <f>IFERROR(__xludf.DUMMYFUNCTION("""COMPUTED_VALUE"""),10.799999999999999)</f>
        <v>10.8</v>
      </c>
      <c r="D673" s="4">
        <f>IFERROR(__xludf.DUMMYFUNCTION("""COMPUTED_VALUE"""),8.5)</f>
        <v>8.5</v>
      </c>
      <c r="E673" s="4" t="str">
        <f>IFERROR(__xludf.DUMMYFUNCTION("""COMPUTED_VALUE"""),"Neto: 8,50 € (a partir de 1 uds.)")</f>
        <v>Neto: 8,50 € (a partir de 1 uds.)</v>
      </c>
    </row>
    <row r="674">
      <c r="A674" s="4" t="str">
        <f>IFERROR(__xludf.DUMMYFUNCTION("""COMPUTED_VALUE"""),"0606D")</f>
        <v>0606D</v>
      </c>
      <c r="B674" s="4" t="str">
        <f>IFERROR(__xludf.DUMMYFUNCTION("""COMPUTED_VALUE"""),"Señal metalica P-15a")</f>
        <v>Señal metalica P-15a</v>
      </c>
      <c r="C674" s="4">
        <f>IFERROR(__xludf.DUMMYFUNCTION("""COMPUTED_VALUE"""),10.799999999999999)</f>
        <v>10.8</v>
      </c>
      <c r="D674" s="4">
        <f>IFERROR(__xludf.DUMMYFUNCTION("""COMPUTED_VALUE"""),8.5)</f>
        <v>8.5</v>
      </c>
      <c r="E674" s="4" t="str">
        <f>IFERROR(__xludf.DUMMYFUNCTION("""COMPUTED_VALUE"""),"Neto: 8,50 € (a partir de 1 uds.)")</f>
        <v>Neto: 8,50 € (a partir de 1 uds.)</v>
      </c>
    </row>
    <row r="675">
      <c r="A675" s="4" t="str">
        <f>IFERROR(__xludf.DUMMYFUNCTION("""COMPUTED_VALUE"""),"607")</f>
        <v>607</v>
      </c>
      <c r="B675" s="4" t="str">
        <f>IFERROR(__xludf.DUMMYFUNCTION("""COMPUTED_VALUE"""),"Señal metalica TP-15b")</f>
        <v>Señal metalica TP-15b</v>
      </c>
      <c r="C675" s="4">
        <f>IFERROR(__xludf.DUMMYFUNCTION("""COMPUTED_VALUE"""),10.799999999999999)</f>
        <v>10.8</v>
      </c>
      <c r="D675" s="4">
        <f>IFERROR(__xludf.DUMMYFUNCTION("""COMPUTED_VALUE"""),8.5)</f>
        <v>8.5</v>
      </c>
      <c r="E675" s="4" t="str">
        <f>IFERROR(__xludf.DUMMYFUNCTION("""COMPUTED_VALUE"""),"Neto: 8,50 € (a partir de 1 uds.)")</f>
        <v>Neto: 8,50 € (a partir de 1 uds.)</v>
      </c>
    </row>
    <row r="676">
      <c r="A676" s="4" t="str">
        <f>IFERROR(__xludf.DUMMYFUNCTION("""COMPUTED_VALUE"""),"0607D")</f>
        <v>0607D</v>
      </c>
      <c r="B676" s="4" t="str">
        <f>IFERROR(__xludf.DUMMYFUNCTION("""COMPUTED_VALUE"""),"Señal metalica P-15b")</f>
        <v>Señal metalica P-15b</v>
      </c>
      <c r="C676" s="4">
        <f>IFERROR(__xludf.DUMMYFUNCTION("""COMPUTED_VALUE"""),10.799999999999999)</f>
        <v>10.8</v>
      </c>
      <c r="D676" s="4">
        <f>IFERROR(__xludf.DUMMYFUNCTION("""COMPUTED_VALUE"""),8.5)</f>
        <v>8.5</v>
      </c>
      <c r="E676" s="4" t="str">
        <f>IFERROR(__xludf.DUMMYFUNCTION("""COMPUTED_VALUE"""),"Neto: 8,50 € (a partir de 1 uds.)")</f>
        <v>Neto: 8,50 € (a partir de 1 uds.)</v>
      </c>
    </row>
    <row r="677">
      <c r="A677" s="4" t="str">
        <f>IFERROR(__xludf.DUMMYFUNCTION("""COMPUTED_VALUE"""),"608")</f>
        <v>608</v>
      </c>
      <c r="B677" s="4" t="str">
        <f>IFERROR(__xludf.DUMMYFUNCTION("""COMPUTED_VALUE"""),"Señal metalica TP-17")</f>
        <v>Señal metalica TP-17</v>
      </c>
      <c r="C677" s="4">
        <f>IFERROR(__xludf.DUMMYFUNCTION("""COMPUTED_VALUE"""),10.799999999999999)</f>
        <v>10.8</v>
      </c>
      <c r="D677" s="4">
        <f>IFERROR(__xludf.DUMMYFUNCTION("""COMPUTED_VALUE"""),8.5)</f>
        <v>8.5</v>
      </c>
      <c r="E677" s="4" t="str">
        <f>IFERROR(__xludf.DUMMYFUNCTION("""COMPUTED_VALUE"""),"Neto: 8,50 € (a partir de 1 uds.)")</f>
        <v>Neto: 8,50 € (a partir de 1 uds.)</v>
      </c>
    </row>
    <row r="678">
      <c r="A678" s="4" t="str">
        <f>IFERROR(__xludf.DUMMYFUNCTION("""COMPUTED_VALUE"""),"0608D")</f>
        <v>0608D</v>
      </c>
      <c r="B678" s="4" t="str">
        <f>IFERROR(__xludf.DUMMYFUNCTION("""COMPUTED_VALUE"""),"Señal metalica P-17")</f>
        <v>Señal metalica P-17</v>
      </c>
      <c r="C678" s="4">
        <f>IFERROR(__xludf.DUMMYFUNCTION("""COMPUTED_VALUE"""),10.799999999999999)</f>
        <v>10.8</v>
      </c>
      <c r="D678" s="4">
        <f>IFERROR(__xludf.DUMMYFUNCTION("""COMPUTED_VALUE"""),8.5)</f>
        <v>8.5</v>
      </c>
      <c r="E678" s="4" t="str">
        <f>IFERROR(__xludf.DUMMYFUNCTION("""COMPUTED_VALUE"""),"Neto: 8,50 € (a partir de 1 uds.)")</f>
        <v>Neto: 8,50 € (a partir de 1 uds.)</v>
      </c>
    </row>
    <row r="679">
      <c r="A679" s="4" t="str">
        <f>IFERROR(__xludf.DUMMYFUNCTION("""COMPUTED_VALUE"""),"609")</f>
        <v>609</v>
      </c>
      <c r="B679" s="4" t="str">
        <f>IFERROR(__xludf.DUMMYFUNCTION("""COMPUTED_VALUE"""),"Señal metalica TP-17b")</f>
        <v>Señal metalica TP-17b</v>
      </c>
      <c r="C679" s="4">
        <f>IFERROR(__xludf.DUMMYFUNCTION("""COMPUTED_VALUE"""),10.799999999999999)</f>
        <v>10.8</v>
      </c>
      <c r="D679" s="4">
        <f>IFERROR(__xludf.DUMMYFUNCTION("""COMPUTED_VALUE"""),8.5)</f>
        <v>8.5</v>
      </c>
      <c r="E679" s="4" t="str">
        <f>IFERROR(__xludf.DUMMYFUNCTION("""COMPUTED_VALUE"""),"Neto: 8,50 € (a partir de 1 uds.)")</f>
        <v>Neto: 8,50 € (a partir de 1 uds.)</v>
      </c>
    </row>
    <row r="680">
      <c r="A680" s="4" t="str">
        <f>IFERROR(__xludf.DUMMYFUNCTION("""COMPUTED_VALUE"""),"0609D")</f>
        <v>0609D</v>
      </c>
      <c r="B680" s="4" t="str">
        <f>IFERROR(__xludf.DUMMYFUNCTION("""COMPUTED_VALUE"""),"Señal metalica P-17b")</f>
        <v>Señal metalica P-17b</v>
      </c>
      <c r="C680" s="4">
        <f>IFERROR(__xludf.DUMMYFUNCTION("""COMPUTED_VALUE"""),10.799999999999999)</f>
        <v>10.8</v>
      </c>
      <c r="D680" s="4">
        <f>IFERROR(__xludf.DUMMYFUNCTION("""COMPUTED_VALUE"""),8.5)</f>
        <v>8.5</v>
      </c>
      <c r="E680" s="4" t="str">
        <f>IFERROR(__xludf.DUMMYFUNCTION("""COMPUTED_VALUE"""),"Neto: 8,50 € (a partir de 1 uds.)")</f>
        <v>Neto: 8,50 € (a partir de 1 uds.)</v>
      </c>
    </row>
    <row r="681">
      <c r="A681" s="4" t="str">
        <f>IFERROR(__xludf.DUMMYFUNCTION("""COMPUTED_VALUE"""),"610")</f>
        <v>610</v>
      </c>
      <c r="B681" s="4" t="str">
        <f>IFERROR(__xludf.DUMMYFUNCTION("""COMPUTED_VALUE"""),"Señal metalica TP-17a")</f>
        <v>Señal metalica TP-17a</v>
      </c>
      <c r="C681" s="4">
        <f>IFERROR(__xludf.DUMMYFUNCTION("""COMPUTED_VALUE"""),10.799999999999999)</f>
        <v>10.8</v>
      </c>
      <c r="D681" s="4">
        <f>IFERROR(__xludf.DUMMYFUNCTION("""COMPUTED_VALUE"""),8.5)</f>
        <v>8.5</v>
      </c>
      <c r="E681" s="4" t="str">
        <f>IFERROR(__xludf.DUMMYFUNCTION("""COMPUTED_VALUE"""),"Neto: 8,50 € (a partir de 1 uds.)")</f>
        <v>Neto: 8,50 € (a partir de 1 uds.)</v>
      </c>
    </row>
    <row r="682">
      <c r="A682" s="4" t="str">
        <f>IFERROR(__xludf.DUMMYFUNCTION("""COMPUTED_VALUE"""),"0610D")</f>
        <v>0610D</v>
      </c>
      <c r="B682" s="4" t="str">
        <f>IFERROR(__xludf.DUMMYFUNCTION("""COMPUTED_VALUE"""),"Señal metalica P-17a")</f>
        <v>Señal metalica P-17a</v>
      </c>
      <c r="C682" s="4">
        <f>IFERROR(__xludf.DUMMYFUNCTION("""COMPUTED_VALUE"""),10.799999999999999)</f>
        <v>10.8</v>
      </c>
      <c r="D682" s="4">
        <f>IFERROR(__xludf.DUMMYFUNCTION("""COMPUTED_VALUE"""),8.5)</f>
        <v>8.5</v>
      </c>
      <c r="E682" s="4" t="str">
        <f>IFERROR(__xludf.DUMMYFUNCTION("""COMPUTED_VALUE"""),"Neto: 8,50 € (a partir de 1 uds.)")</f>
        <v>Neto: 8,50 € (a partir de 1 uds.)</v>
      </c>
    </row>
    <row r="683">
      <c r="A683" s="4" t="str">
        <f>IFERROR(__xludf.DUMMYFUNCTION("""COMPUTED_VALUE"""),"611")</f>
        <v>611</v>
      </c>
      <c r="B683" s="4" t="str">
        <f>IFERROR(__xludf.DUMMYFUNCTION("""COMPUTED_VALUE"""),"Señal metalica TP-18")</f>
        <v>Señal metalica TP-18</v>
      </c>
      <c r="C683" s="4">
        <f>IFERROR(__xludf.DUMMYFUNCTION("""COMPUTED_VALUE"""),10.799999999999999)</f>
        <v>10.8</v>
      </c>
      <c r="D683" s="4">
        <f>IFERROR(__xludf.DUMMYFUNCTION("""COMPUTED_VALUE"""),8.5)</f>
        <v>8.5</v>
      </c>
      <c r="E683" s="4" t="str">
        <f>IFERROR(__xludf.DUMMYFUNCTION("""COMPUTED_VALUE"""),"Neto: 8,50 € (a partir de 1 uds.)")</f>
        <v>Neto: 8,50 € (a partir de 1 uds.)</v>
      </c>
    </row>
    <row r="684">
      <c r="A684" s="4" t="str">
        <f>IFERROR(__xludf.DUMMYFUNCTION("""COMPUTED_VALUE"""),"0611D")</f>
        <v>0611D</v>
      </c>
      <c r="B684" s="4" t="str">
        <f>IFERROR(__xludf.DUMMYFUNCTION("""COMPUTED_VALUE"""),"Señal metalica P-18")</f>
        <v>Señal metalica P-18</v>
      </c>
      <c r="C684" s="4">
        <f>IFERROR(__xludf.DUMMYFUNCTION("""COMPUTED_VALUE"""),10.799999999999999)</f>
        <v>10.8</v>
      </c>
      <c r="D684" s="4">
        <f>IFERROR(__xludf.DUMMYFUNCTION("""COMPUTED_VALUE"""),8.5)</f>
        <v>8.5</v>
      </c>
      <c r="E684" s="4" t="str">
        <f>IFERROR(__xludf.DUMMYFUNCTION("""COMPUTED_VALUE"""),"Neto: 8,50 € (a partir de 1 uds.)")</f>
        <v>Neto: 8,50 € (a partir de 1 uds.)</v>
      </c>
    </row>
    <row r="685">
      <c r="A685" s="4" t="str">
        <f>IFERROR(__xludf.DUMMYFUNCTION("""COMPUTED_VALUE"""),"612")</f>
        <v>612</v>
      </c>
      <c r="B685" s="4" t="str">
        <f>IFERROR(__xludf.DUMMYFUNCTION("""COMPUTED_VALUE"""),"Señal metalica TP-19")</f>
        <v>Señal metalica TP-19</v>
      </c>
      <c r="C685" s="4">
        <f>IFERROR(__xludf.DUMMYFUNCTION("""COMPUTED_VALUE"""),10.799999999999999)</f>
        <v>10.8</v>
      </c>
      <c r="D685" s="4">
        <f>IFERROR(__xludf.DUMMYFUNCTION("""COMPUTED_VALUE"""),8.5)</f>
        <v>8.5</v>
      </c>
      <c r="E685" s="4" t="str">
        <f>IFERROR(__xludf.DUMMYFUNCTION("""COMPUTED_VALUE"""),"Neto: 8,50 € (a partir de 1 uds.)")</f>
        <v>Neto: 8,50 € (a partir de 1 uds.)</v>
      </c>
    </row>
    <row r="686">
      <c r="A686" s="4" t="str">
        <f>IFERROR(__xludf.DUMMYFUNCTION("""COMPUTED_VALUE"""),"0612D")</f>
        <v>0612D</v>
      </c>
      <c r="B686" s="4" t="str">
        <f>IFERROR(__xludf.DUMMYFUNCTION("""COMPUTED_VALUE"""),"Señal metalica P-19")</f>
        <v>Señal metalica P-19</v>
      </c>
      <c r="C686" s="4">
        <f>IFERROR(__xludf.DUMMYFUNCTION("""COMPUTED_VALUE"""),10.799999999999999)</f>
        <v>10.8</v>
      </c>
      <c r="D686" s="4">
        <f>IFERROR(__xludf.DUMMYFUNCTION("""COMPUTED_VALUE"""),8.5)</f>
        <v>8.5</v>
      </c>
      <c r="E686" s="4" t="str">
        <f>IFERROR(__xludf.DUMMYFUNCTION("""COMPUTED_VALUE"""),"Neto: 8,50 € (a partir de 1 uds.)")</f>
        <v>Neto: 8,50 € (a partir de 1 uds.)</v>
      </c>
    </row>
    <row r="687">
      <c r="A687" s="4" t="str">
        <f>IFERROR(__xludf.DUMMYFUNCTION("""COMPUTED_VALUE"""),"613")</f>
        <v>613</v>
      </c>
      <c r="B687" s="4" t="str">
        <f>IFERROR(__xludf.DUMMYFUNCTION("""COMPUTED_VALUE"""),"Señal metalica TP-25")</f>
        <v>Señal metalica TP-25</v>
      </c>
      <c r="C687" s="4">
        <f>IFERROR(__xludf.DUMMYFUNCTION("""COMPUTED_VALUE"""),10.799999999999999)</f>
        <v>10.8</v>
      </c>
      <c r="D687" s="4">
        <f>IFERROR(__xludf.DUMMYFUNCTION("""COMPUTED_VALUE"""),8.5)</f>
        <v>8.5</v>
      </c>
      <c r="E687" s="4" t="str">
        <f>IFERROR(__xludf.DUMMYFUNCTION("""COMPUTED_VALUE"""),"Neto: 8,50 € (a partir de 1 uds.)")</f>
        <v>Neto: 8,50 € (a partir de 1 uds.)</v>
      </c>
    </row>
    <row r="688">
      <c r="A688" s="4" t="str">
        <f>IFERROR(__xludf.DUMMYFUNCTION("""COMPUTED_VALUE"""),"0613D")</f>
        <v>0613D</v>
      </c>
      <c r="B688" s="4" t="str">
        <f>IFERROR(__xludf.DUMMYFUNCTION("""COMPUTED_VALUE"""),"Señal metalica P-25")</f>
        <v>Señal metalica P-25</v>
      </c>
      <c r="C688" s="4">
        <f>IFERROR(__xludf.DUMMYFUNCTION("""COMPUTED_VALUE"""),10.799999999999999)</f>
        <v>10.8</v>
      </c>
      <c r="D688" s="4">
        <f>IFERROR(__xludf.DUMMYFUNCTION("""COMPUTED_VALUE"""),8.5)</f>
        <v>8.5</v>
      </c>
      <c r="E688" s="4" t="str">
        <f>IFERROR(__xludf.DUMMYFUNCTION("""COMPUTED_VALUE"""),"Neto: 8,50 € (a partir de 1 uds.)")</f>
        <v>Neto: 8,50 € (a partir de 1 uds.)</v>
      </c>
    </row>
    <row r="689">
      <c r="A689" s="4" t="str">
        <f>IFERROR(__xludf.DUMMYFUNCTION("""COMPUTED_VALUE"""),"614")</f>
        <v>614</v>
      </c>
      <c r="B689" s="4" t="str">
        <f>IFERROR(__xludf.DUMMYFUNCTION("""COMPUTED_VALUE"""),"Señal metalica TP-26")</f>
        <v>Señal metalica TP-26</v>
      </c>
      <c r="C689" s="4">
        <f>IFERROR(__xludf.DUMMYFUNCTION("""COMPUTED_VALUE"""),10.799999999999999)</f>
        <v>10.8</v>
      </c>
      <c r="D689" s="4">
        <f>IFERROR(__xludf.DUMMYFUNCTION("""COMPUTED_VALUE"""),8.5)</f>
        <v>8.5</v>
      </c>
      <c r="E689" s="4" t="str">
        <f>IFERROR(__xludf.DUMMYFUNCTION("""COMPUTED_VALUE"""),"Neto: 8,50 € (a partir de 1 uds.)")</f>
        <v>Neto: 8,50 € (a partir de 1 uds.)</v>
      </c>
    </row>
    <row r="690">
      <c r="A690" s="4" t="str">
        <f>IFERROR(__xludf.DUMMYFUNCTION("""COMPUTED_VALUE"""),"0614D")</f>
        <v>0614D</v>
      </c>
      <c r="B690" s="4" t="str">
        <f>IFERROR(__xludf.DUMMYFUNCTION("""COMPUTED_VALUE"""),"Señal metalica P-26")</f>
        <v>Señal metalica P-26</v>
      </c>
      <c r="C690" s="4">
        <f>IFERROR(__xludf.DUMMYFUNCTION("""COMPUTED_VALUE"""),10.799999999999999)</f>
        <v>10.8</v>
      </c>
      <c r="D690" s="4">
        <f>IFERROR(__xludf.DUMMYFUNCTION("""COMPUTED_VALUE"""),8.5)</f>
        <v>8.5</v>
      </c>
      <c r="E690" s="4" t="str">
        <f>IFERROR(__xludf.DUMMYFUNCTION("""COMPUTED_VALUE"""),"Neto: 8,50 € (a partir de 1 uds.)")</f>
        <v>Neto: 8,50 € (a partir de 1 uds.)</v>
      </c>
    </row>
    <row r="691">
      <c r="A691" s="4" t="str">
        <f>IFERROR(__xludf.DUMMYFUNCTION("""COMPUTED_VALUE"""),"615")</f>
        <v>615</v>
      </c>
      <c r="B691" s="4" t="str">
        <f>IFERROR(__xludf.DUMMYFUNCTION("""COMPUTED_VALUE"""),"Señal metalica TP-28")</f>
        <v>Señal metalica TP-28</v>
      </c>
      <c r="C691" s="4">
        <f>IFERROR(__xludf.DUMMYFUNCTION("""COMPUTED_VALUE"""),10.799999999999999)</f>
        <v>10.8</v>
      </c>
      <c r="D691" s="4">
        <f>IFERROR(__xludf.DUMMYFUNCTION("""COMPUTED_VALUE"""),8.5)</f>
        <v>8.5</v>
      </c>
      <c r="E691" s="4" t="str">
        <f>IFERROR(__xludf.DUMMYFUNCTION("""COMPUTED_VALUE"""),"Neto: 8,50 € (a partir de 1 uds.)")</f>
        <v>Neto: 8,50 € (a partir de 1 uds.)</v>
      </c>
    </row>
    <row r="692">
      <c r="A692" s="4" t="str">
        <f>IFERROR(__xludf.DUMMYFUNCTION("""COMPUTED_VALUE"""),"0615D")</f>
        <v>0615D</v>
      </c>
      <c r="B692" s="4" t="str">
        <f>IFERROR(__xludf.DUMMYFUNCTION("""COMPUTED_VALUE"""),"Señal metalica P-28")</f>
        <v>Señal metalica P-28</v>
      </c>
      <c r="C692" s="4">
        <f>IFERROR(__xludf.DUMMYFUNCTION("""COMPUTED_VALUE"""),10.799999999999999)</f>
        <v>10.8</v>
      </c>
      <c r="D692" s="4">
        <f>IFERROR(__xludf.DUMMYFUNCTION("""COMPUTED_VALUE"""),8.5)</f>
        <v>8.5</v>
      </c>
      <c r="E692" s="4" t="str">
        <f>IFERROR(__xludf.DUMMYFUNCTION("""COMPUTED_VALUE"""),"Neto: 8,50 € (a partir de 1 uds.)")</f>
        <v>Neto: 8,50 € (a partir de 1 uds.)</v>
      </c>
    </row>
    <row r="693">
      <c r="A693" s="4" t="str">
        <f>IFERROR(__xludf.DUMMYFUNCTION("""COMPUTED_VALUE"""),"616")</f>
        <v>616</v>
      </c>
      <c r="B693" s="4" t="str">
        <f>IFERROR(__xludf.DUMMYFUNCTION("""COMPUTED_VALUE"""),"Señal metalica TP-30")</f>
        <v>Señal metalica TP-30</v>
      </c>
      <c r="C693" s="4">
        <f>IFERROR(__xludf.DUMMYFUNCTION("""COMPUTED_VALUE"""),10.799999999999999)</f>
        <v>10.8</v>
      </c>
      <c r="D693" s="4">
        <f>IFERROR(__xludf.DUMMYFUNCTION("""COMPUTED_VALUE"""),8.5)</f>
        <v>8.5</v>
      </c>
      <c r="E693" s="4" t="str">
        <f>IFERROR(__xludf.DUMMYFUNCTION("""COMPUTED_VALUE"""),"Neto: 8,50 € (a partir de 1 uds.)")</f>
        <v>Neto: 8,50 € (a partir de 1 uds.)</v>
      </c>
    </row>
    <row r="694">
      <c r="A694" s="4" t="str">
        <f>IFERROR(__xludf.DUMMYFUNCTION("""COMPUTED_VALUE"""),"0616B")</f>
        <v>0616B</v>
      </c>
      <c r="B694" s="4" t="str">
        <f>IFERROR(__xludf.DUMMYFUNCTION("""COMPUTED_VALUE"""),"Cartel PVC 42x42 Fotolum. Salida emergencia derecha")</f>
        <v>Cartel PVC 42x42 Fotolum. Salida emergencia derecha</v>
      </c>
      <c r="C694" s="4">
        <f>IFERROR(__xludf.DUMMYFUNCTION("""COMPUTED_VALUE"""),3.7439999999999998)</f>
        <v>3.744</v>
      </c>
      <c r="D694" s="4"/>
      <c r="E694" s="4" t="str">
        <f>IFERROR(__xludf.DUMMYFUNCTION("""COMPUTED_VALUE"""),"Sin precio neto")</f>
        <v>Sin precio neto</v>
      </c>
    </row>
    <row r="695">
      <c r="A695" s="4" t="str">
        <f>IFERROR(__xludf.DUMMYFUNCTION("""COMPUTED_VALUE"""),"0616C")</f>
        <v>0616C</v>
      </c>
      <c r="B695" s="4" t="str">
        <f>IFERROR(__xludf.DUMMYFUNCTION("""COMPUTED_VALUE"""),"Cartel PVC 63x63 Fotolum. Salida emergencia derecha")</f>
        <v>Cartel PVC 63x63 Fotolum. Salida emergencia derecha</v>
      </c>
      <c r="C695" s="4">
        <f>IFERROR(__xludf.DUMMYFUNCTION("""COMPUTED_VALUE"""),6.0)</f>
        <v>6</v>
      </c>
      <c r="D695" s="4"/>
      <c r="E695" s="4" t="str">
        <f>IFERROR(__xludf.DUMMYFUNCTION("""COMPUTED_VALUE"""),"Sin precio neto")</f>
        <v>Sin precio neto</v>
      </c>
    </row>
    <row r="696">
      <c r="A696" s="4" t="str">
        <f>IFERROR(__xludf.DUMMYFUNCTION("""COMPUTED_VALUE"""),"0616D")</f>
        <v>0616D</v>
      </c>
      <c r="B696" s="4" t="str">
        <f>IFERROR(__xludf.DUMMYFUNCTION("""COMPUTED_VALUE"""),"Señal metalica P-30")</f>
        <v>Señal metalica P-30</v>
      </c>
      <c r="C696" s="4">
        <f>IFERROR(__xludf.DUMMYFUNCTION("""COMPUTED_VALUE"""),10.799999999999999)</f>
        <v>10.8</v>
      </c>
      <c r="D696" s="4">
        <f>IFERROR(__xludf.DUMMYFUNCTION("""COMPUTED_VALUE"""),8.5)</f>
        <v>8.5</v>
      </c>
      <c r="E696" s="4" t="str">
        <f>IFERROR(__xludf.DUMMYFUNCTION("""COMPUTED_VALUE"""),"Neto: 8,50 € (a partir de 1 uds.)")</f>
        <v>Neto: 8,50 € (a partir de 1 uds.)</v>
      </c>
    </row>
    <row r="697">
      <c r="A697" s="4" t="str">
        <f>IFERROR(__xludf.DUMMYFUNCTION("""COMPUTED_VALUE"""),"617")</f>
        <v>617</v>
      </c>
      <c r="B697" s="4" t="str">
        <f>IFERROR(__xludf.DUMMYFUNCTION("""COMPUTED_VALUE"""),"Señal metalica TP-50")</f>
        <v>Señal metalica TP-50</v>
      </c>
      <c r="C697" s="4">
        <f>IFERROR(__xludf.DUMMYFUNCTION("""COMPUTED_VALUE"""),10.799999999999999)</f>
        <v>10.8</v>
      </c>
      <c r="D697" s="4">
        <f>IFERROR(__xludf.DUMMYFUNCTION("""COMPUTED_VALUE"""),8.5)</f>
        <v>8.5</v>
      </c>
      <c r="E697" s="4" t="str">
        <f>IFERROR(__xludf.DUMMYFUNCTION("""COMPUTED_VALUE"""),"Neto: 8,50 € (a partir de 1 uds.)")</f>
        <v>Neto: 8,50 € (a partir de 1 uds.)</v>
      </c>
    </row>
    <row r="698">
      <c r="A698" s="4" t="str">
        <f>IFERROR(__xludf.DUMMYFUNCTION("""COMPUTED_VALUE"""),"0617D")</f>
        <v>0617D</v>
      </c>
      <c r="B698" s="4" t="str">
        <f>IFERROR(__xludf.DUMMYFUNCTION("""COMPUTED_VALUE"""),"Señal metalica P-50")</f>
        <v>Señal metalica P-50</v>
      </c>
      <c r="C698" s="4">
        <f>IFERROR(__xludf.DUMMYFUNCTION("""COMPUTED_VALUE"""),10.799999999999999)</f>
        <v>10.8</v>
      </c>
      <c r="D698" s="4">
        <f>IFERROR(__xludf.DUMMYFUNCTION("""COMPUTED_VALUE"""),8.5)</f>
        <v>8.5</v>
      </c>
      <c r="E698" s="4" t="str">
        <f>IFERROR(__xludf.DUMMYFUNCTION("""COMPUTED_VALUE"""),"Neto: 8,50 € (a partir de 1 uds.)")</f>
        <v>Neto: 8,50 € (a partir de 1 uds.)</v>
      </c>
    </row>
    <row r="699">
      <c r="A699" s="4" t="str">
        <f>IFERROR(__xludf.DUMMYFUNCTION("""COMPUTED_VALUE"""),"619")</f>
        <v>619</v>
      </c>
      <c r="B699" s="4" t="str">
        <f>IFERROR(__xludf.DUMMYFUNCTION("""COMPUTED_VALUE"""),"Señal metalica TP-4")</f>
        <v>Señal metalica TP-4</v>
      </c>
      <c r="C699" s="4">
        <f>IFERROR(__xludf.DUMMYFUNCTION("""COMPUTED_VALUE"""),10.799999999999999)</f>
        <v>10.8</v>
      </c>
      <c r="D699" s="4">
        <f>IFERROR(__xludf.DUMMYFUNCTION("""COMPUTED_VALUE"""),8.5)</f>
        <v>8.5</v>
      </c>
      <c r="E699" s="4" t="str">
        <f>IFERROR(__xludf.DUMMYFUNCTION("""COMPUTED_VALUE"""),"Neto: 8,50 € (a partir de 1 uds.)")</f>
        <v>Neto: 8,50 € (a partir de 1 uds.)</v>
      </c>
    </row>
    <row r="700">
      <c r="A700" s="4" t="str">
        <f>IFERROR(__xludf.DUMMYFUNCTION("""COMPUTED_VALUE"""),"0619D")</f>
        <v>0619D</v>
      </c>
      <c r="B700" s="4" t="str">
        <f>IFERROR(__xludf.DUMMYFUNCTION("""COMPUTED_VALUE"""),"Señal metalica P-4")</f>
        <v>Señal metalica P-4</v>
      </c>
      <c r="C700" s="4">
        <f>IFERROR(__xludf.DUMMYFUNCTION("""COMPUTED_VALUE"""),10.799999999999999)</f>
        <v>10.8</v>
      </c>
      <c r="D700" s="4">
        <f>IFERROR(__xludf.DUMMYFUNCTION("""COMPUTED_VALUE"""),8.5)</f>
        <v>8.5</v>
      </c>
      <c r="E700" s="4" t="str">
        <f>IFERROR(__xludf.DUMMYFUNCTION("""COMPUTED_VALUE"""),"Neto: 8,50 € (a partir de 1 uds.)")</f>
        <v>Neto: 8,50 € (a partir de 1 uds.)</v>
      </c>
    </row>
    <row r="701">
      <c r="A701" s="4" t="str">
        <f>IFERROR(__xludf.DUMMYFUNCTION("""COMPUTED_VALUE"""),"620")</f>
        <v>620</v>
      </c>
      <c r="B701" s="4" t="str">
        <f>IFERROR(__xludf.DUMMYFUNCTION("""COMPUTED_VALUE"""),"Señal metalica TR-1")</f>
        <v>Señal metalica TR-1</v>
      </c>
      <c r="C701" s="4">
        <f>IFERROR(__xludf.DUMMYFUNCTION("""COMPUTED_VALUE"""),10.799999999999999)</f>
        <v>10.8</v>
      </c>
      <c r="D701" s="4">
        <f>IFERROR(__xludf.DUMMYFUNCTION("""COMPUTED_VALUE"""),8.5)</f>
        <v>8.5</v>
      </c>
      <c r="E701" s="4" t="str">
        <f>IFERROR(__xludf.DUMMYFUNCTION("""COMPUTED_VALUE"""),"Neto: 8,50 € (a partir de 1 uds.)")</f>
        <v>Neto: 8,50 € (a partir de 1 uds.)</v>
      </c>
    </row>
    <row r="702">
      <c r="A702" s="4" t="str">
        <f>IFERROR(__xludf.DUMMYFUNCTION("""COMPUTED_VALUE"""),"0620D")</f>
        <v>0620D</v>
      </c>
      <c r="B702" s="4" t="str">
        <f>IFERROR(__xludf.DUMMYFUNCTION("""COMPUTED_VALUE"""),"Señal metalica R-1")</f>
        <v>Señal metalica R-1</v>
      </c>
      <c r="C702" s="4">
        <f>IFERROR(__xludf.DUMMYFUNCTION("""COMPUTED_VALUE"""),10.799999999999999)</f>
        <v>10.8</v>
      </c>
      <c r="D702" s="4">
        <f>IFERROR(__xludf.DUMMYFUNCTION("""COMPUTED_VALUE"""),8.5)</f>
        <v>8.5</v>
      </c>
      <c r="E702" s="4" t="str">
        <f>IFERROR(__xludf.DUMMYFUNCTION("""COMPUTED_VALUE"""),"Neto: 8,50 € (a partir de 1 uds.)")</f>
        <v>Neto: 8,50 € (a partir de 1 uds.)</v>
      </c>
    </row>
    <row r="703">
      <c r="A703" s="4" t="str">
        <f>IFERROR(__xludf.DUMMYFUNCTION("""COMPUTED_VALUE"""),"624")</f>
        <v>624</v>
      </c>
      <c r="B703" s="4" t="str">
        <f>IFERROR(__xludf.DUMMYFUNCTION("""COMPUTED_VALUE"""),"Señal metalica Minusvalidos M-1")</f>
        <v>Señal metalica Minusvalidos M-1</v>
      </c>
      <c r="C703" s="4">
        <f>IFERROR(__xludf.DUMMYFUNCTION("""COMPUTED_VALUE"""),10.799999999999999)</f>
        <v>10.8</v>
      </c>
      <c r="D703" s="4">
        <f>IFERROR(__xludf.DUMMYFUNCTION("""COMPUTED_VALUE"""),8.5)</f>
        <v>8.5</v>
      </c>
      <c r="E703" s="4" t="str">
        <f>IFERROR(__xludf.DUMMYFUNCTION("""COMPUTED_VALUE"""),"Neto: 8,50 € (a partir de 1 uds.)")</f>
        <v>Neto: 8,50 € (a partir de 1 uds.)</v>
      </c>
    </row>
    <row r="704">
      <c r="A704" s="4" t="str">
        <f>IFERROR(__xludf.DUMMYFUNCTION("""COMPUTED_VALUE"""),"625")</f>
        <v>625</v>
      </c>
      <c r="B704" s="4" t="str">
        <f>IFERROR(__xludf.DUMMYFUNCTION("""COMPUTED_VALUE"""),"Señal metalica S-13")</f>
        <v>Señal metalica S-13</v>
      </c>
      <c r="C704" s="4">
        <f>IFERROR(__xludf.DUMMYFUNCTION("""COMPUTED_VALUE"""),10.799999999999999)</f>
        <v>10.8</v>
      </c>
      <c r="D704" s="4">
        <f>IFERROR(__xludf.DUMMYFUNCTION("""COMPUTED_VALUE"""),8.5)</f>
        <v>8.5</v>
      </c>
      <c r="E704" s="4" t="str">
        <f>IFERROR(__xludf.DUMMYFUNCTION("""COMPUTED_VALUE"""),"Neto: 8,50 € (a partir de 1 uds.)")</f>
        <v>Neto: 8,50 € (a partir de 1 uds.)</v>
      </c>
    </row>
    <row r="705">
      <c r="A705" s="4" t="str">
        <f>IFERROR(__xludf.DUMMYFUNCTION("""COMPUTED_VALUE"""),"628")</f>
        <v>628</v>
      </c>
      <c r="B705" s="4" t="str">
        <f>IFERROR(__xludf.DUMMYFUNCTION("""COMPUTED_VALUE"""),"Señal metalica R-402")</f>
        <v>Señal metalica R-402</v>
      </c>
      <c r="C705" s="4">
        <f>IFERROR(__xludf.DUMMYFUNCTION("""COMPUTED_VALUE"""),10.799999999999999)</f>
        <v>10.8</v>
      </c>
      <c r="D705" s="4">
        <f>IFERROR(__xludf.DUMMYFUNCTION("""COMPUTED_VALUE"""),8.5)</f>
        <v>8.5</v>
      </c>
      <c r="E705" s="4" t="str">
        <f>IFERROR(__xludf.DUMMYFUNCTION("""COMPUTED_VALUE"""),"Neto: 8,50 € (a partir de 1 uds.)")</f>
        <v>Neto: 8,50 € (a partir de 1 uds.)</v>
      </c>
    </row>
    <row r="706">
      <c r="A706" s="4" t="str">
        <f>IFERROR(__xludf.DUMMYFUNCTION("""COMPUTED_VALUE"""),"629")</f>
        <v>629</v>
      </c>
      <c r="B706" s="4" t="str">
        <f>IFERROR(__xludf.DUMMYFUNCTION("""COMPUTED_VALUE"""),"Señal metalica TR-100")</f>
        <v>Señal metalica TR-100</v>
      </c>
      <c r="C706" s="4">
        <f>IFERROR(__xludf.DUMMYFUNCTION("""COMPUTED_VALUE"""),10.799999999999999)</f>
        <v>10.8</v>
      </c>
      <c r="D706" s="4">
        <f>IFERROR(__xludf.DUMMYFUNCTION("""COMPUTED_VALUE"""),8.5)</f>
        <v>8.5</v>
      </c>
      <c r="E706" s="4" t="str">
        <f>IFERROR(__xludf.DUMMYFUNCTION("""COMPUTED_VALUE"""),"Neto: 8,50 € (a partir de 1 uds.)")</f>
        <v>Neto: 8,50 € (a partir de 1 uds.)</v>
      </c>
    </row>
    <row r="707">
      <c r="A707" s="4" t="str">
        <f>IFERROR(__xludf.DUMMYFUNCTION("""COMPUTED_VALUE"""),"0629D")</f>
        <v>0629D</v>
      </c>
      <c r="B707" s="4" t="str">
        <f>IFERROR(__xludf.DUMMYFUNCTION("""COMPUTED_VALUE"""),"Señal metalica R-100")</f>
        <v>Señal metalica R-100</v>
      </c>
      <c r="C707" s="4">
        <f>IFERROR(__xludf.DUMMYFUNCTION("""COMPUTED_VALUE"""),10.799999999999999)</f>
        <v>10.8</v>
      </c>
      <c r="D707" s="4">
        <f>IFERROR(__xludf.DUMMYFUNCTION("""COMPUTED_VALUE"""),8.5)</f>
        <v>8.5</v>
      </c>
      <c r="E707" s="4" t="str">
        <f>IFERROR(__xludf.DUMMYFUNCTION("""COMPUTED_VALUE"""),"Neto: 8,50 € (a partir de 1 uds.)")</f>
        <v>Neto: 8,50 € (a partir de 1 uds.)</v>
      </c>
    </row>
    <row r="708">
      <c r="A708" s="4" t="str">
        <f>IFERROR(__xludf.DUMMYFUNCTION("""COMPUTED_VALUE"""),"630")</f>
        <v>630</v>
      </c>
      <c r="B708" s="4" t="str">
        <f>IFERROR(__xludf.DUMMYFUNCTION("""COMPUTED_VALUE"""),"Señal metalica TR-305")</f>
        <v>Señal metalica TR-305</v>
      </c>
      <c r="C708" s="4">
        <f>IFERROR(__xludf.DUMMYFUNCTION("""COMPUTED_VALUE"""),10.799999999999999)</f>
        <v>10.8</v>
      </c>
      <c r="D708" s="4">
        <f>IFERROR(__xludf.DUMMYFUNCTION("""COMPUTED_VALUE"""),8.5)</f>
        <v>8.5</v>
      </c>
      <c r="E708" s="4" t="str">
        <f>IFERROR(__xludf.DUMMYFUNCTION("""COMPUTED_VALUE"""),"Neto: 8,50 € (a partir de 1 uds.)")</f>
        <v>Neto: 8,50 € (a partir de 1 uds.)</v>
      </c>
    </row>
    <row r="709">
      <c r="A709" s="4" t="str">
        <f>IFERROR(__xludf.DUMMYFUNCTION("""COMPUTED_VALUE"""),"0630D")</f>
        <v>0630D</v>
      </c>
      <c r="B709" s="4" t="str">
        <f>IFERROR(__xludf.DUMMYFUNCTION("""COMPUTED_VALUE"""),"Señal metalica R-305")</f>
        <v>Señal metalica R-305</v>
      </c>
      <c r="C709" s="4">
        <f>IFERROR(__xludf.DUMMYFUNCTION("""COMPUTED_VALUE"""),10.799999999999999)</f>
        <v>10.8</v>
      </c>
      <c r="D709" s="4">
        <f>IFERROR(__xludf.DUMMYFUNCTION("""COMPUTED_VALUE"""),8.5)</f>
        <v>8.5</v>
      </c>
      <c r="E709" s="4" t="str">
        <f>IFERROR(__xludf.DUMMYFUNCTION("""COMPUTED_VALUE"""),"Neto: 8,50 € (a partir de 1 uds.)")</f>
        <v>Neto: 8,50 € (a partir de 1 uds.)</v>
      </c>
    </row>
    <row r="710">
      <c r="A710" s="4" t="str">
        <f>IFERROR(__xludf.DUMMYFUNCTION("""COMPUTED_VALUE"""),"641")</f>
        <v>641</v>
      </c>
      <c r="B710" s="4" t="str">
        <f>IFERROR(__xludf.DUMMYFUNCTION("""COMPUTED_VALUE"""),"Señal metalica TR-101")</f>
        <v>Señal metalica TR-101</v>
      </c>
      <c r="C710" s="4">
        <f>IFERROR(__xludf.DUMMYFUNCTION("""COMPUTED_VALUE"""),10.799999999999999)</f>
        <v>10.8</v>
      </c>
      <c r="D710" s="4">
        <f>IFERROR(__xludf.DUMMYFUNCTION("""COMPUTED_VALUE"""),8.5)</f>
        <v>8.5</v>
      </c>
      <c r="E710" s="4" t="str">
        <f>IFERROR(__xludf.DUMMYFUNCTION("""COMPUTED_VALUE"""),"Neto: 8,50 € (a partir de 1 uds.)")</f>
        <v>Neto: 8,50 € (a partir de 1 uds.)</v>
      </c>
    </row>
    <row r="711">
      <c r="A711" s="4" t="str">
        <f>IFERROR(__xludf.DUMMYFUNCTION("""COMPUTED_VALUE"""),"642")</f>
        <v>642</v>
      </c>
      <c r="B711" s="4" t="str">
        <f>IFERROR(__xludf.DUMMYFUNCTION("""COMPUTED_VALUE"""),"Señal metalica TR-106")</f>
        <v>Señal metalica TR-106</v>
      </c>
      <c r="C711" s="4">
        <f>IFERROR(__xludf.DUMMYFUNCTION("""COMPUTED_VALUE"""),10.799999999999999)</f>
        <v>10.8</v>
      </c>
      <c r="D711" s="4">
        <f>IFERROR(__xludf.DUMMYFUNCTION("""COMPUTED_VALUE"""),8.5)</f>
        <v>8.5</v>
      </c>
      <c r="E711" s="4" t="str">
        <f>IFERROR(__xludf.DUMMYFUNCTION("""COMPUTED_VALUE"""),"Neto: 8,50 € (a partir de 1 uds.)")</f>
        <v>Neto: 8,50 € (a partir de 1 uds.)</v>
      </c>
    </row>
    <row r="712">
      <c r="A712" s="4" t="str">
        <f>IFERROR(__xludf.DUMMYFUNCTION("""COMPUTED_VALUE"""),"0642D")</f>
        <v>0642D</v>
      </c>
      <c r="B712" s="4" t="str">
        <f>IFERROR(__xludf.DUMMYFUNCTION("""COMPUTED_VALUE"""),"Señal metalica R-106")</f>
        <v>Señal metalica R-106</v>
      </c>
      <c r="C712" s="4">
        <f>IFERROR(__xludf.DUMMYFUNCTION("""COMPUTED_VALUE"""),10.799999999999999)</f>
        <v>10.8</v>
      </c>
      <c r="D712" s="4">
        <f>IFERROR(__xludf.DUMMYFUNCTION("""COMPUTED_VALUE"""),8.5)</f>
        <v>8.5</v>
      </c>
      <c r="E712" s="4" t="str">
        <f>IFERROR(__xludf.DUMMYFUNCTION("""COMPUTED_VALUE"""),"Neto: 8,50 € (a partir de 1 uds.)")</f>
        <v>Neto: 8,50 € (a partir de 1 uds.)</v>
      </c>
    </row>
    <row r="713">
      <c r="A713" s="4" t="str">
        <f>IFERROR(__xludf.DUMMYFUNCTION("""COMPUTED_VALUE"""),"643")</f>
        <v>643</v>
      </c>
      <c r="B713" s="4" t="str">
        <f>IFERROR(__xludf.DUMMYFUNCTION("""COMPUTED_VALUE"""),"Señal metalica TR-201")</f>
        <v>Señal metalica TR-201</v>
      </c>
      <c r="C713" s="4">
        <f>IFERROR(__xludf.DUMMYFUNCTION("""COMPUTED_VALUE"""),10.799999999999999)</f>
        <v>10.8</v>
      </c>
      <c r="D713" s="4">
        <f>IFERROR(__xludf.DUMMYFUNCTION("""COMPUTED_VALUE"""),8.5)</f>
        <v>8.5</v>
      </c>
      <c r="E713" s="4" t="str">
        <f>IFERROR(__xludf.DUMMYFUNCTION("""COMPUTED_VALUE"""),"Neto: 8,50 € (a partir de 1 uds.)")</f>
        <v>Neto: 8,50 € (a partir de 1 uds.)</v>
      </c>
    </row>
    <row r="714">
      <c r="A714" s="4" t="str">
        <f>IFERROR(__xludf.DUMMYFUNCTION("""COMPUTED_VALUE"""),"0643D")</f>
        <v>0643D</v>
      </c>
      <c r="B714" s="4" t="str">
        <f>IFERROR(__xludf.DUMMYFUNCTION("""COMPUTED_VALUE"""),"Señal metalica R-201")</f>
        <v>Señal metalica R-201</v>
      </c>
      <c r="C714" s="4">
        <f>IFERROR(__xludf.DUMMYFUNCTION("""COMPUTED_VALUE"""),10.799999999999999)</f>
        <v>10.8</v>
      </c>
      <c r="D714" s="4">
        <f>IFERROR(__xludf.DUMMYFUNCTION("""COMPUTED_VALUE"""),8.5)</f>
        <v>8.5</v>
      </c>
      <c r="E714" s="4" t="str">
        <f>IFERROR(__xludf.DUMMYFUNCTION("""COMPUTED_VALUE"""),"Neto: 8,50 € (a partir de 1 uds.)")</f>
        <v>Neto: 8,50 € (a partir de 1 uds.)</v>
      </c>
    </row>
    <row r="715">
      <c r="A715" s="4" t="str">
        <f>IFERROR(__xludf.DUMMYFUNCTION("""COMPUTED_VALUE"""),"644")</f>
        <v>644</v>
      </c>
      <c r="B715" s="4" t="str">
        <f>IFERROR(__xludf.DUMMYFUNCTION("""COMPUTED_VALUE"""),"Señal metalica TR-204")</f>
        <v>Señal metalica TR-204</v>
      </c>
      <c r="C715" s="4">
        <f>IFERROR(__xludf.DUMMYFUNCTION("""COMPUTED_VALUE"""),10.799999999999999)</f>
        <v>10.8</v>
      </c>
      <c r="D715" s="4">
        <f>IFERROR(__xludf.DUMMYFUNCTION("""COMPUTED_VALUE"""),8.5)</f>
        <v>8.5</v>
      </c>
      <c r="E715" s="4" t="str">
        <f>IFERROR(__xludf.DUMMYFUNCTION("""COMPUTED_VALUE"""),"Neto: 8,50 € (a partir de 1 uds.)")</f>
        <v>Neto: 8,50 € (a partir de 1 uds.)</v>
      </c>
    </row>
    <row r="716">
      <c r="A716" s="4" t="str">
        <f>IFERROR(__xludf.DUMMYFUNCTION("""COMPUTED_VALUE"""),"0644D")</f>
        <v>0644D</v>
      </c>
      <c r="B716" s="4" t="str">
        <f>IFERROR(__xludf.DUMMYFUNCTION("""COMPUTED_VALUE"""),"Señal metalica R-204")</f>
        <v>Señal metalica R-204</v>
      </c>
      <c r="C716" s="4">
        <f>IFERROR(__xludf.DUMMYFUNCTION("""COMPUTED_VALUE"""),10.799999999999999)</f>
        <v>10.8</v>
      </c>
      <c r="D716" s="4">
        <f>IFERROR(__xludf.DUMMYFUNCTION("""COMPUTED_VALUE"""),8.5)</f>
        <v>8.5</v>
      </c>
      <c r="E716" s="4" t="str">
        <f>IFERROR(__xludf.DUMMYFUNCTION("""COMPUTED_VALUE"""),"Neto: 8,50 € (a partir de 1 uds.)")</f>
        <v>Neto: 8,50 € (a partir de 1 uds.)</v>
      </c>
    </row>
    <row r="717">
      <c r="A717" s="4" t="str">
        <f>IFERROR(__xludf.DUMMYFUNCTION("""COMPUTED_VALUE"""),"645")</f>
        <v>645</v>
      </c>
      <c r="B717" s="4" t="str">
        <f>IFERROR(__xludf.DUMMYFUNCTION("""COMPUTED_VALUE"""),"Señal metalica TR-205")</f>
        <v>Señal metalica TR-205</v>
      </c>
      <c r="C717" s="4">
        <f>IFERROR(__xludf.DUMMYFUNCTION("""COMPUTED_VALUE"""),10.799999999999999)</f>
        <v>10.8</v>
      </c>
      <c r="D717" s="4">
        <f>IFERROR(__xludf.DUMMYFUNCTION("""COMPUTED_VALUE"""),8.5)</f>
        <v>8.5</v>
      </c>
      <c r="E717" s="4" t="str">
        <f>IFERROR(__xludf.DUMMYFUNCTION("""COMPUTED_VALUE"""),"Neto: 8,50 € (a partir de 1 uds.)")</f>
        <v>Neto: 8,50 € (a partir de 1 uds.)</v>
      </c>
    </row>
    <row r="718">
      <c r="A718" s="4" t="str">
        <f>IFERROR(__xludf.DUMMYFUNCTION("""COMPUTED_VALUE"""),"0645D")</f>
        <v>0645D</v>
      </c>
      <c r="B718" s="4" t="str">
        <f>IFERROR(__xludf.DUMMYFUNCTION("""COMPUTED_VALUE"""),"Señal metalica R-205")</f>
        <v>Señal metalica R-205</v>
      </c>
      <c r="C718" s="4">
        <f>IFERROR(__xludf.DUMMYFUNCTION("""COMPUTED_VALUE"""),10.799999999999999)</f>
        <v>10.8</v>
      </c>
      <c r="D718" s="4">
        <f>IFERROR(__xludf.DUMMYFUNCTION("""COMPUTED_VALUE"""),8.5)</f>
        <v>8.5</v>
      </c>
      <c r="E718" s="4" t="str">
        <f>IFERROR(__xludf.DUMMYFUNCTION("""COMPUTED_VALUE"""),"Neto: 8,50 € (a partir de 1 uds.)")</f>
        <v>Neto: 8,50 € (a partir de 1 uds.)</v>
      </c>
    </row>
    <row r="719">
      <c r="A719" s="4" t="str">
        <f>IFERROR(__xludf.DUMMYFUNCTION("""COMPUTED_VALUE"""),"647")</f>
        <v>647</v>
      </c>
      <c r="B719" s="4" t="str">
        <f>IFERROR(__xludf.DUMMYFUNCTION("""COMPUTED_VALUE"""),"Señal metalica TR-303")</f>
        <v>Señal metalica TR-303</v>
      </c>
      <c r="C719" s="4">
        <f>IFERROR(__xludf.DUMMYFUNCTION("""COMPUTED_VALUE"""),10.799999999999999)</f>
        <v>10.8</v>
      </c>
      <c r="D719" s="4">
        <f>IFERROR(__xludf.DUMMYFUNCTION("""COMPUTED_VALUE"""),8.5)</f>
        <v>8.5</v>
      </c>
      <c r="E719" s="4" t="str">
        <f>IFERROR(__xludf.DUMMYFUNCTION("""COMPUTED_VALUE"""),"Neto: 8,50 € (a partir de 1 uds.)")</f>
        <v>Neto: 8,50 € (a partir de 1 uds.)</v>
      </c>
    </row>
    <row r="720">
      <c r="A720" s="4" t="str">
        <f>IFERROR(__xludf.DUMMYFUNCTION("""COMPUTED_VALUE"""),"0647D")</f>
        <v>0647D</v>
      </c>
      <c r="B720" s="4" t="str">
        <f>IFERROR(__xludf.DUMMYFUNCTION("""COMPUTED_VALUE"""),"Señal metalica R-303")</f>
        <v>Señal metalica R-303</v>
      </c>
      <c r="C720" s="4">
        <f>IFERROR(__xludf.DUMMYFUNCTION("""COMPUTED_VALUE"""),10.799999999999999)</f>
        <v>10.8</v>
      </c>
      <c r="D720" s="4">
        <f>IFERROR(__xludf.DUMMYFUNCTION("""COMPUTED_VALUE"""),8.5)</f>
        <v>8.5</v>
      </c>
      <c r="E720" s="4" t="str">
        <f>IFERROR(__xludf.DUMMYFUNCTION("""COMPUTED_VALUE"""),"Neto: 8,50 € (a partir de 1 uds.)")</f>
        <v>Neto: 8,50 € (a partir de 1 uds.)</v>
      </c>
    </row>
    <row r="721">
      <c r="A721" s="4" t="str">
        <f>IFERROR(__xludf.DUMMYFUNCTION("""COMPUTED_VALUE"""),"648")</f>
        <v>648</v>
      </c>
      <c r="B721" s="4" t="str">
        <f>IFERROR(__xludf.DUMMYFUNCTION("""COMPUTED_VALUE"""),"Señal metalica TR-301/20")</f>
        <v>Señal metalica TR-301/20</v>
      </c>
      <c r="C721" s="4">
        <f>IFERROR(__xludf.DUMMYFUNCTION("""COMPUTED_VALUE"""),10.799999999999999)</f>
        <v>10.8</v>
      </c>
      <c r="D721" s="4">
        <f>IFERROR(__xludf.DUMMYFUNCTION("""COMPUTED_VALUE"""),8.5)</f>
        <v>8.5</v>
      </c>
      <c r="E721" s="4" t="str">
        <f>IFERROR(__xludf.DUMMYFUNCTION("""COMPUTED_VALUE"""),"Neto: 8,50 € (a partir de 1 uds.)")</f>
        <v>Neto: 8,50 € (a partir de 1 uds.)</v>
      </c>
    </row>
    <row r="722">
      <c r="A722" s="4" t="str">
        <f>IFERROR(__xludf.DUMMYFUNCTION("""COMPUTED_VALUE"""),"0648D")</f>
        <v>0648D</v>
      </c>
      <c r="B722" s="4" t="str">
        <f>IFERROR(__xludf.DUMMYFUNCTION("""COMPUTED_VALUE"""),"Señal metalica R-301/20")</f>
        <v>Señal metalica R-301/20</v>
      </c>
      <c r="C722" s="4">
        <f>IFERROR(__xludf.DUMMYFUNCTION("""COMPUTED_VALUE"""),10.799999999999999)</f>
        <v>10.8</v>
      </c>
      <c r="D722" s="4">
        <f>IFERROR(__xludf.DUMMYFUNCTION("""COMPUTED_VALUE"""),8.5)</f>
        <v>8.5</v>
      </c>
      <c r="E722" s="4" t="str">
        <f>IFERROR(__xludf.DUMMYFUNCTION("""COMPUTED_VALUE"""),"Neto: 8,50 € (a partir de 1 uds.)")</f>
        <v>Neto: 8,50 € (a partir de 1 uds.)</v>
      </c>
    </row>
    <row r="723">
      <c r="A723" s="4" t="str">
        <f>IFERROR(__xludf.DUMMYFUNCTION("""COMPUTED_VALUE"""),"649")</f>
        <v>649</v>
      </c>
      <c r="B723" s="4" t="str">
        <f>IFERROR(__xludf.DUMMYFUNCTION("""COMPUTED_VALUE"""),"Señal metalica TR-301/30")</f>
        <v>Señal metalica TR-301/30</v>
      </c>
      <c r="C723" s="4">
        <f>IFERROR(__xludf.DUMMYFUNCTION("""COMPUTED_VALUE"""),10.799999999999999)</f>
        <v>10.8</v>
      </c>
      <c r="D723" s="4">
        <f>IFERROR(__xludf.DUMMYFUNCTION("""COMPUTED_VALUE"""),8.5)</f>
        <v>8.5</v>
      </c>
      <c r="E723" s="4" t="str">
        <f>IFERROR(__xludf.DUMMYFUNCTION("""COMPUTED_VALUE"""),"Neto: 8,50 € (a partir de 1 uds.)")</f>
        <v>Neto: 8,50 € (a partir de 1 uds.)</v>
      </c>
    </row>
    <row r="724">
      <c r="A724" s="4" t="str">
        <f>IFERROR(__xludf.DUMMYFUNCTION("""COMPUTED_VALUE"""),"0649D")</f>
        <v>0649D</v>
      </c>
      <c r="B724" s="4" t="str">
        <f>IFERROR(__xludf.DUMMYFUNCTION("""COMPUTED_VALUE"""),"Señal metalica R-301/30")</f>
        <v>Señal metalica R-301/30</v>
      </c>
      <c r="C724" s="4">
        <f>IFERROR(__xludf.DUMMYFUNCTION("""COMPUTED_VALUE"""),10.799999999999999)</f>
        <v>10.8</v>
      </c>
      <c r="D724" s="4">
        <f>IFERROR(__xludf.DUMMYFUNCTION("""COMPUTED_VALUE"""),8.5)</f>
        <v>8.5</v>
      </c>
      <c r="E724" s="4" t="str">
        <f>IFERROR(__xludf.DUMMYFUNCTION("""COMPUTED_VALUE"""),"Neto: 8,50 € (a partir de 1 uds.)")</f>
        <v>Neto: 8,50 € (a partir de 1 uds.)</v>
      </c>
    </row>
    <row r="725">
      <c r="A725" s="4" t="str">
        <f>IFERROR(__xludf.DUMMYFUNCTION("""COMPUTED_VALUE"""),"650")</f>
        <v>650</v>
      </c>
      <c r="B725" s="4" t="str">
        <f>IFERROR(__xludf.DUMMYFUNCTION("""COMPUTED_VALUE"""),"Señal metalica TR-301/40")</f>
        <v>Señal metalica TR-301/40</v>
      </c>
      <c r="C725" s="4">
        <f>IFERROR(__xludf.DUMMYFUNCTION("""COMPUTED_VALUE"""),10.799999999999999)</f>
        <v>10.8</v>
      </c>
      <c r="D725" s="4">
        <f>IFERROR(__xludf.DUMMYFUNCTION("""COMPUTED_VALUE"""),8.5)</f>
        <v>8.5</v>
      </c>
      <c r="E725" s="4" t="str">
        <f>IFERROR(__xludf.DUMMYFUNCTION("""COMPUTED_VALUE"""),"Neto: 8,50 € (a partir de 1 uds.)")</f>
        <v>Neto: 8,50 € (a partir de 1 uds.)</v>
      </c>
    </row>
    <row r="726">
      <c r="A726" s="4" t="str">
        <f>IFERROR(__xludf.DUMMYFUNCTION("""COMPUTED_VALUE"""),"0650D")</f>
        <v>0650D</v>
      </c>
      <c r="B726" s="4" t="str">
        <f>IFERROR(__xludf.DUMMYFUNCTION("""COMPUTED_VALUE"""),"Señal metalica R301/40")</f>
        <v>Señal metalica R301/40</v>
      </c>
      <c r="C726" s="4">
        <f>IFERROR(__xludf.DUMMYFUNCTION("""COMPUTED_VALUE"""),10.799999999999999)</f>
        <v>10.8</v>
      </c>
      <c r="D726" s="4">
        <f>IFERROR(__xludf.DUMMYFUNCTION("""COMPUTED_VALUE"""),8.5)</f>
        <v>8.5</v>
      </c>
      <c r="E726" s="4" t="str">
        <f>IFERROR(__xludf.DUMMYFUNCTION("""COMPUTED_VALUE"""),"Neto: 8,50 € (a partir de 1 uds.)")</f>
        <v>Neto: 8,50 € (a partir de 1 uds.)</v>
      </c>
    </row>
    <row r="727">
      <c r="A727" s="4" t="str">
        <f>IFERROR(__xludf.DUMMYFUNCTION("""COMPUTED_VALUE"""),"651")</f>
        <v>651</v>
      </c>
      <c r="B727" s="4" t="str">
        <f>IFERROR(__xludf.DUMMYFUNCTION("""COMPUTED_VALUE"""),"Señal metalica TR-301/50")</f>
        <v>Señal metalica TR-301/50</v>
      </c>
      <c r="C727" s="4">
        <f>IFERROR(__xludf.DUMMYFUNCTION("""COMPUTED_VALUE"""),10.799999999999999)</f>
        <v>10.8</v>
      </c>
      <c r="D727" s="4">
        <f>IFERROR(__xludf.DUMMYFUNCTION("""COMPUTED_VALUE"""),8.5)</f>
        <v>8.5</v>
      </c>
      <c r="E727" s="4" t="str">
        <f>IFERROR(__xludf.DUMMYFUNCTION("""COMPUTED_VALUE"""),"Neto: 8,50 € (a partir de 1 uds.)")</f>
        <v>Neto: 8,50 € (a partir de 1 uds.)</v>
      </c>
    </row>
    <row r="728">
      <c r="A728" s="4" t="str">
        <f>IFERROR(__xludf.DUMMYFUNCTION("""COMPUTED_VALUE"""),"0651D")</f>
        <v>0651D</v>
      </c>
      <c r="B728" s="4" t="str">
        <f>IFERROR(__xludf.DUMMYFUNCTION("""COMPUTED_VALUE"""),"Señal metalica R-301/50")</f>
        <v>Señal metalica R-301/50</v>
      </c>
      <c r="C728" s="4">
        <f>IFERROR(__xludf.DUMMYFUNCTION("""COMPUTED_VALUE"""),10.799999999999999)</f>
        <v>10.8</v>
      </c>
      <c r="D728" s="4">
        <f>IFERROR(__xludf.DUMMYFUNCTION("""COMPUTED_VALUE"""),8.5)</f>
        <v>8.5</v>
      </c>
      <c r="E728" s="4" t="str">
        <f>IFERROR(__xludf.DUMMYFUNCTION("""COMPUTED_VALUE"""),"Neto: 8,50 € (a partir de 1 uds.)")</f>
        <v>Neto: 8,50 € (a partir de 1 uds.)</v>
      </c>
    </row>
    <row r="729">
      <c r="A729" s="4" t="str">
        <f>IFERROR(__xludf.DUMMYFUNCTION("""COMPUTED_VALUE"""),"652")</f>
        <v>652</v>
      </c>
      <c r="B729" s="4" t="str">
        <f>IFERROR(__xludf.DUMMYFUNCTION("""COMPUTED_VALUE"""),"Señal metalica TR-301/60")</f>
        <v>Señal metalica TR-301/60</v>
      </c>
      <c r="C729" s="4">
        <f>IFERROR(__xludf.DUMMYFUNCTION("""COMPUTED_VALUE"""),10.799999999999999)</f>
        <v>10.8</v>
      </c>
      <c r="D729" s="4">
        <f>IFERROR(__xludf.DUMMYFUNCTION("""COMPUTED_VALUE"""),8.5)</f>
        <v>8.5</v>
      </c>
      <c r="E729" s="4" t="str">
        <f>IFERROR(__xludf.DUMMYFUNCTION("""COMPUTED_VALUE"""),"Neto: 8,50 € (a partir de 1 uds.)")</f>
        <v>Neto: 8,50 € (a partir de 1 uds.)</v>
      </c>
    </row>
    <row r="730">
      <c r="A730" s="4" t="str">
        <f>IFERROR(__xludf.DUMMYFUNCTION("""COMPUTED_VALUE"""),"0652D")</f>
        <v>0652D</v>
      </c>
      <c r="B730" s="4" t="str">
        <f>IFERROR(__xludf.DUMMYFUNCTION("""COMPUTED_VALUE"""),"Señal metalica R-301/60")</f>
        <v>Señal metalica R-301/60</v>
      </c>
      <c r="C730" s="4">
        <f>IFERROR(__xludf.DUMMYFUNCTION("""COMPUTED_VALUE"""),10.799999999999999)</f>
        <v>10.8</v>
      </c>
      <c r="D730" s="4">
        <f>IFERROR(__xludf.DUMMYFUNCTION("""COMPUTED_VALUE"""),8.5)</f>
        <v>8.5</v>
      </c>
      <c r="E730" s="4" t="str">
        <f>IFERROR(__xludf.DUMMYFUNCTION("""COMPUTED_VALUE"""),"Neto: 8,50 € (a partir de 1 uds.)")</f>
        <v>Neto: 8,50 € (a partir de 1 uds.)</v>
      </c>
    </row>
    <row r="731">
      <c r="A731" s="4" t="str">
        <f>IFERROR(__xludf.DUMMYFUNCTION("""COMPUTED_VALUE"""),"653")</f>
        <v>653</v>
      </c>
      <c r="B731" s="4" t="str">
        <f>IFERROR(__xludf.DUMMYFUNCTION("""COMPUTED_VALUE"""),"Señal metalica R-307")</f>
        <v>Señal metalica R-307</v>
      </c>
      <c r="C731" s="4">
        <f>IFERROR(__xludf.DUMMYFUNCTION("""COMPUTED_VALUE"""),10.799999999999999)</f>
        <v>10.8</v>
      </c>
      <c r="D731" s="4">
        <f>IFERROR(__xludf.DUMMYFUNCTION("""COMPUTED_VALUE"""),8.5)</f>
        <v>8.5</v>
      </c>
      <c r="E731" s="4" t="str">
        <f>IFERROR(__xludf.DUMMYFUNCTION("""COMPUTED_VALUE"""),"Neto: 8,50 € (a partir de 1 uds.)")</f>
        <v>Neto: 8,50 € (a partir de 1 uds.)</v>
      </c>
    </row>
    <row r="732">
      <c r="A732" s="4" t="str">
        <f>IFERROR(__xludf.DUMMYFUNCTION("""COMPUTED_VALUE"""),"654")</f>
        <v>654</v>
      </c>
      <c r="B732" s="4" t="str">
        <f>IFERROR(__xludf.DUMMYFUNCTION("""COMPUTED_VALUE"""),"Señal metalica TR-301/10")</f>
        <v>Señal metalica TR-301/10</v>
      </c>
      <c r="C732" s="4">
        <f>IFERROR(__xludf.DUMMYFUNCTION("""COMPUTED_VALUE"""),10.799999999999999)</f>
        <v>10.8</v>
      </c>
      <c r="D732" s="4">
        <f>IFERROR(__xludf.DUMMYFUNCTION("""COMPUTED_VALUE"""),8.5)</f>
        <v>8.5</v>
      </c>
      <c r="E732" s="4" t="str">
        <f>IFERROR(__xludf.DUMMYFUNCTION("""COMPUTED_VALUE"""),"Neto: 8,50 € (a partir de 1 uds.)")</f>
        <v>Neto: 8,50 € (a partir de 1 uds.)</v>
      </c>
    </row>
    <row r="733">
      <c r="A733" s="4" t="str">
        <f>IFERROR(__xludf.DUMMYFUNCTION("""COMPUTED_VALUE"""),"655")</f>
        <v>655</v>
      </c>
      <c r="B733" s="4" t="str">
        <f>IFERROR(__xludf.DUMMYFUNCTION("""COMPUTED_VALUE"""),"Señal metalica Minusvalidos M-2")</f>
        <v>Señal metalica Minusvalidos M-2</v>
      </c>
      <c r="C733" s="4">
        <f>IFERROR(__xludf.DUMMYFUNCTION("""COMPUTED_VALUE"""),10.799999999999999)</f>
        <v>10.8</v>
      </c>
      <c r="D733" s="4">
        <f>IFERROR(__xludf.DUMMYFUNCTION("""COMPUTED_VALUE"""),8.5)</f>
        <v>8.5</v>
      </c>
      <c r="E733" s="4" t="str">
        <f>IFERROR(__xludf.DUMMYFUNCTION("""COMPUTED_VALUE"""),"Neto: 8,50 € (a partir de 1 uds.)")</f>
        <v>Neto: 8,50 € (a partir de 1 uds.)</v>
      </c>
    </row>
    <row r="734">
      <c r="A734" s="4" t="str">
        <f>IFERROR(__xludf.DUMMYFUNCTION("""COMPUTED_VALUE"""),"656")</f>
        <v>656</v>
      </c>
      <c r="B734" s="4" t="str">
        <f>IFERROR(__xludf.DUMMYFUNCTION("""COMPUTED_VALUE"""),"Señal metalica TR-302")</f>
        <v>Señal metalica TR-302</v>
      </c>
      <c r="C734" s="4">
        <f>IFERROR(__xludf.DUMMYFUNCTION("""COMPUTED_VALUE"""),10.799999999999999)</f>
        <v>10.8</v>
      </c>
      <c r="D734" s="4">
        <f>IFERROR(__xludf.DUMMYFUNCTION("""COMPUTED_VALUE"""),8.5)</f>
        <v>8.5</v>
      </c>
      <c r="E734" s="4" t="str">
        <f>IFERROR(__xludf.DUMMYFUNCTION("""COMPUTED_VALUE"""),"Neto: 8,50 € (a partir de 1 uds.)")</f>
        <v>Neto: 8,50 € (a partir de 1 uds.)</v>
      </c>
    </row>
    <row r="735">
      <c r="A735" s="4" t="str">
        <f>IFERROR(__xludf.DUMMYFUNCTION("""COMPUTED_VALUE"""),"0656D")</f>
        <v>0656D</v>
      </c>
      <c r="B735" s="4" t="str">
        <f>IFERROR(__xludf.DUMMYFUNCTION("""COMPUTED_VALUE"""),"Señal metalica R-302")</f>
        <v>Señal metalica R-302</v>
      </c>
      <c r="C735" s="4">
        <f>IFERROR(__xludf.DUMMYFUNCTION("""COMPUTED_VALUE"""),10.799999999999999)</f>
        <v>10.8</v>
      </c>
      <c r="D735" s="4">
        <f>IFERROR(__xludf.DUMMYFUNCTION("""COMPUTED_VALUE"""),8.5)</f>
        <v>8.5</v>
      </c>
      <c r="E735" s="4" t="str">
        <f>IFERROR(__xludf.DUMMYFUNCTION("""COMPUTED_VALUE"""),"Neto: 8,50 € (a partir de 1 uds.)")</f>
        <v>Neto: 8,50 € (a partir de 1 uds.)</v>
      </c>
    </row>
    <row r="736">
      <c r="A736" s="4" t="str">
        <f>IFERROR(__xludf.DUMMYFUNCTION("""COMPUTED_VALUE"""),"657")</f>
        <v>657</v>
      </c>
      <c r="B736" s="4" t="str">
        <f>IFERROR(__xludf.DUMMYFUNCTION("""COMPUTED_VALUE"""),"Señal metalica TR-306")</f>
        <v>Señal metalica TR-306</v>
      </c>
      <c r="C736" s="4">
        <f>IFERROR(__xludf.DUMMYFUNCTION("""COMPUTED_VALUE"""),10.799999999999999)</f>
        <v>10.8</v>
      </c>
      <c r="D736" s="4">
        <f>IFERROR(__xludf.DUMMYFUNCTION("""COMPUTED_VALUE"""),8.5)</f>
        <v>8.5</v>
      </c>
      <c r="E736" s="4" t="str">
        <f>IFERROR(__xludf.DUMMYFUNCTION("""COMPUTED_VALUE"""),"Neto: 8,50 € (a partir de 1 uds.)")</f>
        <v>Neto: 8,50 € (a partir de 1 uds.)</v>
      </c>
    </row>
    <row r="737">
      <c r="A737" s="4" t="str">
        <f>IFERROR(__xludf.DUMMYFUNCTION("""COMPUTED_VALUE"""),"0657D")</f>
        <v>0657D</v>
      </c>
      <c r="B737" s="4" t="str">
        <f>IFERROR(__xludf.DUMMYFUNCTION("""COMPUTED_VALUE"""),"Señal metalica R-306")</f>
        <v>Señal metalica R-306</v>
      </c>
      <c r="C737" s="4">
        <f>IFERROR(__xludf.DUMMYFUNCTION("""COMPUTED_VALUE"""),10.799999999999999)</f>
        <v>10.8</v>
      </c>
      <c r="D737" s="4">
        <f>IFERROR(__xludf.DUMMYFUNCTION("""COMPUTED_VALUE"""),8.5)</f>
        <v>8.5</v>
      </c>
      <c r="E737" s="4" t="str">
        <f>IFERROR(__xludf.DUMMYFUNCTION("""COMPUTED_VALUE"""),"Neto: 8,50 € (a partir de 1 uds.)")</f>
        <v>Neto: 8,50 € (a partir de 1 uds.)</v>
      </c>
    </row>
    <row r="738">
      <c r="A738" s="4" t="str">
        <f>IFERROR(__xludf.DUMMYFUNCTION("""COMPUTED_VALUE"""),"658")</f>
        <v>658</v>
      </c>
      <c r="B738" s="4" t="str">
        <f>IFERROR(__xludf.DUMMYFUNCTION("""COMPUTED_VALUE"""),"Soporte pared 60 mm para señal MOPU")</f>
        <v>Soporte pared 60 mm para señal MOPU</v>
      </c>
      <c r="C738" s="4">
        <f>IFERROR(__xludf.DUMMYFUNCTION("""COMPUTED_VALUE"""),16.32)</f>
        <v>16.32</v>
      </c>
      <c r="D738" s="4"/>
      <c r="E738" s="4" t="str">
        <f>IFERROR(__xludf.DUMMYFUNCTION("""COMPUTED_VALUE"""),"Sin precio neto")</f>
        <v>Sin precio neto</v>
      </c>
    </row>
    <row r="739">
      <c r="A739" s="4" t="str">
        <f>IFERROR(__xludf.DUMMYFUNCTION("""COMPUTED_VALUE"""),"661")</f>
        <v>661</v>
      </c>
      <c r="B739" s="4" t="str">
        <f>IFERROR(__xludf.DUMMYFUNCTION("""COMPUTED_VALUE"""),"Señal metalica R2 Stop")</f>
        <v>Señal metalica R2 Stop</v>
      </c>
      <c r="C739" s="4">
        <f>IFERROR(__xludf.DUMMYFUNCTION("""COMPUTED_VALUE"""),10.799999999999999)</f>
        <v>10.8</v>
      </c>
      <c r="D739" s="4">
        <f>IFERROR(__xludf.DUMMYFUNCTION("""COMPUTED_VALUE"""),8.5)</f>
        <v>8.5</v>
      </c>
      <c r="E739" s="4" t="str">
        <f>IFERROR(__xludf.DUMMYFUNCTION("""COMPUTED_VALUE"""),"Neto: 8,50 € (a partir de 1 uds.)")</f>
        <v>Neto: 8,50 € (a partir de 1 uds.)</v>
      </c>
    </row>
    <row r="740">
      <c r="A740" s="4" t="str">
        <f>IFERROR(__xludf.DUMMYFUNCTION("""COMPUTED_VALUE"""),"0661V")</f>
        <v>0661V</v>
      </c>
      <c r="B740" s="4" t="str">
        <f>IFERROR(__xludf.DUMMYFUNCTION("""COMPUTED_VALUE"""),"Vinilo adhesivo suelo STOP 40 cm")</f>
        <v>Vinilo adhesivo suelo STOP 40 cm</v>
      </c>
      <c r="C740" s="4">
        <f>IFERROR(__xludf.DUMMYFUNCTION("""COMPUTED_VALUE"""),5.904)</f>
        <v>5.904</v>
      </c>
      <c r="D740" s="4"/>
      <c r="E740" s="4" t="str">
        <f>IFERROR(__xludf.DUMMYFUNCTION("""COMPUTED_VALUE"""),"Sin precio neto")</f>
        <v>Sin precio neto</v>
      </c>
    </row>
    <row r="741">
      <c r="A741" s="4" t="str">
        <f>IFERROR(__xludf.DUMMYFUNCTION("""COMPUTED_VALUE"""),"662")</f>
        <v>662</v>
      </c>
      <c r="B741" s="4" t="str">
        <f>IFERROR(__xludf.DUMMYFUNCTION("""COMPUTED_VALUE"""),"Señal metalica R-308")</f>
        <v>Señal metalica R-308</v>
      </c>
      <c r="C741" s="4">
        <f>IFERROR(__xludf.DUMMYFUNCTION("""COMPUTED_VALUE"""),10.799999999999999)</f>
        <v>10.8</v>
      </c>
      <c r="D741" s="4">
        <f>IFERROR(__xludf.DUMMYFUNCTION("""COMPUTED_VALUE"""),8.5)</f>
        <v>8.5</v>
      </c>
      <c r="E741" s="4" t="str">
        <f>IFERROR(__xludf.DUMMYFUNCTION("""COMPUTED_VALUE"""),"Neto: 8,50 € (a partir de 1 uds.)")</f>
        <v>Neto: 8,50 € (a partir de 1 uds.)</v>
      </c>
    </row>
    <row r="742">
      <c r="A742" s="4" t="str">
        <f>IFERROR(__xludf.DUMMYFUNCTION("""COMPUTED_VALUE"""),"663")</f>
        <v>663</v>
      </c>
      <c r="B742" s="4" t="str">
        <f>IFERROR(__xludf.DUMMYFUNCTION("""COMPUTED_VALUE"""),"Señal metalica TR-400a")</f>
        <v>Señal metalica TR-400a</v>
      </c>
      <c r="C742" s="4">
        <f>IFERROR(__xludf.DUMMYFUNCTION("""COMPUTED_VALUE"""),10.799999999999999)</f>
        <v>10.8</v>
      </c>
      <c r="D742" s="4">
        <f>IFERROR(__xludf.DUMMYFUNCTION("""COMPUTED_VALUE"""),8.5)</f>
        <v>8.5</v>
      </c>
      <c r="E742" s="4" t="str">
        <f>IFERROR(__xludf.DUMMYFUNCTION("""COMPUTED_VALUE"""),"Neto: 8,50 € (a partir de 1 uds.)")</f>
        <v>Neto: 8,50 € (a partir de 1 uds.)</v>
      </c>
    </row>
    <row r="743">
      <c r="A743" s="4" t="str">
        <f>IFERROR(__xludf.DUMMYFUNCTION("""COMPUTED_VALUE"""),"664")</f>
        <v>664</v>
      </c>
      <c r="B743" s="4" t="str">
        <f>IFERROR(__xludf.DUMMYFUNCTION("""COMPUTED_VALUE"""),"Señal metalica R-400a")</f>
        <v>Señal metalica R-400a</v>
      </c>
      <c r="C743" s="4">
        <f>IFERROR(__xludf.DUMMYFUNCTION("""COMPUTED_VALUE"""),10.799999999999999)</f>
        <v>10.8</v>
      </c>
      <c r="D743" s="4">
        <f>IFERROR(__xludf.DUMMYFUNCTION("""COMPUTED_VALUE"""),8.5)</f>
        <v>8.5</v>
      </c>
      <c r="E743" s="4" t="str">
        <f>IFERROR(__xludf.DUMMYFUNCTION("""COMPUTED_VALUE"""),"Neto: 8,50 € (a partir de 1 uds.)")</f>
        <v>Neto: 8,50 € (a partir de 1 uds.)</v>
      </c>
    </row>
    <row r="744">
      <c r="A744" s="4" t="str">
        <f>IFERROR(__xludf.DUMMYFUNCTION("""COMPUTED_VALUE"""),"0664V")</f>
        <v>0664V</v>
      </c>
      <c r="B744" s="4" t="str">
        <f>IFERROR(__xludf.DUMMYFUNCTION("""COMPUTED_VALUE"""),"Vinilo adhesivo suelo Dirección oblig. 40cm")</f>
        <v>Vinilo adhesivo suelo Dirección oblig. 40cm</v>
      </c>
      <c r="C744" s="4">
        <f>IFERROR(__xludf.DUMMYFUNCTION("""COMPUTED_VALUE"""),5.904)</f>
        <v>5.904</v>
      </c>
      <c r="D744" s="4"/>
      <c r="E744" s="4" t="str">
        <f>IFERROR(__xludf.DUMMYFUNCTION("""COMPUTED_VALUE"""),"Sin precio neto")</f>
        <v>Sin precio neto</v>
      </c>
    </row>
    <row r="745">
      <c r="A745" s="4" t="str">
        <f>IFERROR(__xludf.DUMMYFUNCTION("""COMPUTED_VALUE"""),"665")</f>
        <v>665</v>
      </c>
      <c r="B745" s="4" t="str">
        <f>IFERROR(__xludf.DUMMYFUNCTION("""COMPUTED_VALUE"""),"Señal metalica S-17 Parking")</f>
        <v>Señal metalica S-17 Parking</v>
      </c>
      <c r="C745" s="4">
        <f>IFERROR(__xludf.DUMMYFUNCTION("""COMPUTED_VALUE"""),10.799999999999999)</f>
        <v>10.8</v>
      </c>
      <c r="D745" s="4">
        <f>IFERROR(__xludf.DUMMYFUNCTION("""COMPUTED_VALUE"""),8.5)</f>
        <v>8.5</v>
      </c>
      <c r="E745" s="4" t="str">
        <f>IFERROR(__xludf.DUMMYFUNCTION("""COMPUTED_VALUE"""),"Neto: 8,50 € (a partir de 1 uds.)")</f>
        <v>Neto: 8,50 € (a partir de 1 uds.)</v>
      </c>
    </row>
    <row r="746">
      <c r="A746" s="4" t="str">
        <f>IFERROR(__xludf.DUMMYFUNCTION("""COMPUTED_VALUE"""),"666")</f>
        <v>666</v>
      </c>
      <c r="B746" s="4" t="str">
        <f>IFERROR(__xludf.DUMMYFUNCTION("""COMPUTED_VALUE"""),"Señal metalica S-15a Calle Cortada")</f>
        <v>Señal metalica S-15a Calle Cortada</v>
      </c>
      <c r="C746" s="4">
        <f>IFERROR(__xludf.DUMMYFUNCTION("""COMPUTED_VALUE"""),10.799999999999999)</f>
        <v>10.8</v>
      </c>
      <c r="D746" s="4">
        <f>IFERROR(__xludf.DUMMYFUNCTION("""COMPUTED_VALUE"""),8.5)</f>
        <v>8.5</v>
      </c>
      <c r="E746" s="4" t="str">
        <f>IFERROR(__xludf.DUMMYFUNCTION("""COMPUTED_VALUE"""),"Neto: 8,50 € (a partir de 1 uds.)")</f>
        <v>Neto: 8,50 € (a partir de 1 uds.)</v>
      </c>
    </row>
    <row r="747">
      <c r="A747" s="4" t="str">
        <f>IFERROR(__xludf.DUMMYFUNCTION("""COMPUTED_VALUE"""),"667")</f>
        <v>667</v>
      </c>
      <c r="B747" s="4" t="str">
        <f>IFERROR(__xludf.DUMMYFUNCTION("""COMPUTED_VALUE"""),"Placa carga Sobresaliente V20 50x50")</f>
        <v>Placa carga Sobresaliente V20 50x50</v>
      </c>
      <c r="C747" s="4">
        <f>IFERROR(__xludf.DUMMYFUNCTION("""COMPUTED_VALUE"""),18.72)</f>
        <v>18.72</v>
      </c>
      <c r="D747" s="4">
        <f>IFERROR(__xludf.DUMMYFUNCTION("""COMPUTED_VALUE"""),17.8)</f>
        <v>17.8</v>
      </c>
      <c r="E747" s="4" t="str">
        <f>IFERROR(__xludf.DUMMYFUNCTION("""COMPUTED_VALUE"""),"Neto: 17,80 € (a partir de 10 uds.)")</f>
        <v>Neto: 17,80 € (a partir de 10 uds.)</v>
      </c>
    </row>
    <row r="748">
      <c r="A748" s="4" t="str">
        <f>IFERROR(__xludf.DUMMYFUNCTION("""COMPUTED_VALUE"""),"668")</f>
        <v>668</v>
      </c>
      <c r="B748" s="4" t="str">
        <f>IFERROR(__xludf.DUMMYFUNCTION("""COMPUTED_VALUE"""),"Señal metalica R-101")</f>
        <v>Señal metalica R-101</v>
      </c>
      <c r="C748" s="4">
        <f>IFERROR(__xludf.DUMMYFUNCTION("""COMPUTED_VALUE"""),10.799999999999999)</f>
        <v>10.8</v>
      </c>
      <c r="D748" s="4">
        <f>IFERROR(__xludf.DUMMYFUNCTION("""COMPUTED_VALUE"""),8.5)</f>
        <v>8.5</v>
      </c>
      <c r="E748" s="4" t="str">
        <f>IFERROR(__xludf.DUMMYFUNCTION("""COMPUTED_VALUE"""),"Neto: 8,50 € (a partir de 1 uds.)")</f>
        <v>Neto: 8,50 € (a partir de 1 uds.)</v>
      </c>
    </row>
    <row r="749">
      <c r="A749" s="4" t="str">
        <f>IFERROR(__xludf.DUMMYFUNCTION("""COMPUTED_VALUE"""),"670")</f>
        <v>670</v>
      </c>
      <c r="B749" s="4" t="str">
        <f>IFERROR(__xludf.DUMMYFUNCTION("""COMPUTED_VALUE"""),"Señal metalica TR-5")</f>
        <v>Señal metalica TR-5</v>
      </c>
      <c r="C749" s="4">
        <f>IFERROR(__xludf.DUMMYFUNCTION("""COMPUTED_VALUE"""),10.799999999999999)</f>
        <v>10.8</v>
      </c>
      <c r="D749" s="4">
        <f>IFERROR(__xludf.DUMMYFUNCTION("""COMPUTED_VALUE"""),8.5)</f>
        <v>8.5</v>
      </c>
      <c r="E749" s="4" t="str">
        <f>IFERROR(__xludf.DUMMYFUNCTION("""COMPUTED_VALUE"""),"Neto: 8,50 € (a partir de 1 uds.)")</f>
        <v>Neto: 8,50 € (a partir de 1 uds.)</v>
      </c>
    </row>
    <row r="750">
      <c r="A750" s="4" t="str">
        <f>IFERROR(__xludf.DUMMYFUNCTION("""COMPUTED_VALUE"""),"0670D")</f>
        <v>0670D</v>
      </c>
      <c r="B750" s="4" t="str">
        <f>IFERROR(__xludf.DUMMYFUNCTION("""COMPUTED_VALUE"""),"Señal metalica R-5")</f>
        <v>Señal metalica R-5</v>
      </c>
      <c r="C750" s="4">
        <f>IFERROR(__xludf.DUMMYFUNCTION("""COMPUTED_VALUE"""),10.799999999999999)</f>
        <v>10.8</v>
      </c>
      <c r="D750" s="4">
        <f>IFERROR(__xludf.DUMMYFUNCTION("""COMPUTED_VALUE"""),8.5)</f>
        <v>8.5</v>
      </c>
      <c r="E750" s="4" t="str">
        <f>IFERROR(__xludf.DUMMYFUNCTION("""COMPUTED_VALUE"""),"Neto: 8,50 € (a partir de 1 uds.)")</f>
        <v>Neto: 8,50 € (a partir de 1 uds.)</v>
      </c>
    </row>
    <row r="751">
      <c r="A751" s="4" t="str">
        <f>IFERROR(__xludf.DUMMYFUNCTION("""COMPUTED_VALUE"""),"671")</f>
        <v>671</v>
      </c>
      <c r="B751" s="4" t="str">
        <f>IFERROR(__xludf.DUMMYFUNCTION("""COMPUTED_VALUE"""),"Señal metalica TR-500")</f>
        <v>Señal metalica TR-500</v>
      </c>
      <c r="C751" s="4">
        <f>IFERROR(__xludf.DUMMYFUNCTION("""COMPUTED_VALUE"""),10.799999999999999)</f>
        <v>10.8</v>
      </c>
      <c r="D751" s="4">
        <f>IFERROR(__xludf.DUMMYFUNCTION("""COMPUTED_VALUE"""),8.5)</f>
        <v>8.5</v>
      </c>
      <c r="E751" s="4" t="str">
        <f>IFERROR(__xludf.DUMMYFUNCTION("""COMPUTED_VALUE"""),"Neto: 8,50 € (a partir de 1 uds.)")</f>
        <v>Neto: 8,50 € (a partir de 1 uds.)</v>
      </c>
    </row>
    <row r="752">
      <c r="A752" s="4" t="str">
        <f>IFERROR(__xludf.DUMMYFUNCTION("""COMPUTED_VALUE"""),"0671D")</f>
        <v>0671D</v>
      </c>
      <c r="B752" s="4" t="str">
        <f>IFERROR(__xludf.DUMMYFUNCTION("""COMPUTED_VALUE"""),"Señal metalica R-500")</f>
        <v>Señal metalica R-500</v>
      </c>
      <c r="C752" s="4">
        <f>IFERROR(__xludf.DUMMYFUNCTION("""COMPUTED_VALUE"""),10.799999999999999)</f>
        <v>10.8</v>
      </c>
      <c r="D752" s="4">
        <f>IFERROR(__xludf.DUMMYFUNCTION("""COMPUTED_VALUE"""),8.5)</f>
        <v>8.5</v>
      </c>
      <c r="E752" s="4" t="str">
        <f>IFERROR(__xludf.DUMMYFUNCTION("""COMPUTED_VALUE"""),"Neto: 8,50 € (a partir de 1 uds.)")</f>
        <v>Neto: 8,50 € (a partir de 1 uds.)</v>
      </c>
    </row>
    <row r="753">
      <c r="A753" s="4" t="str">
        <f>IFERROR(__xludf.DUMMYFUNCTION("""COMPUTED_VALUE"""),"672")</f>
        <v>672</v>
      </c>
      <c r="B753" s="4" t="str">
        <f>IFERROR(__xludf.DUMMYFUNCTION("""COMPUTED_VALUE"""),"Señal metalica TR-502")</f>
        <v>Señal metalica TR-502</v>
      </c>
      <c r="C753" s="4">
        <f>IFERROR(__xludf.DUMMYFUNCTION("""COMPUTED_VALUE"""),10.799999999999999)</f>
        <v>10.8</v>
      </c>
      <c r="D753" s="4">
        <f>IFERROR(__xludf.DUMMYFUNCTION("""COMPUTED_VALUE"""),8.5)</f>
        <v>8.5</v>
      </c>
      <c r="E753" s="4" t="str">
        <f>IFERROR(__xludf.DUMMYFUNCTION("""COMPUTED_VALUE"""),"Neto: 8,50 € (a partir de 1 uds.)")</f>
        <v>Neto: 8,50 € (a partir de 1 uds.)</v>
      </c>
    </row>
    <row r="754">
      <c r="A754" s="4" t="str">
        <f>IFERROR(__xludf.DUMMYFUNCTION("""COMPUTED_VALUE"""),"0672D")</f>
        <v>0672D</v>
      </c>
      <c r="B754" s="4" t="str">
        <f>IFERROR(__xludf.DUMMYFUNCTION("""COMPUTED_VALUE"""),"Señal metalica R-502")</f>
        <v>Señal metalica R-502</v>
      </c>
      <c r="C754" s="4">
        <f>IFERROR(__xludf.DUMMYFUNCTION("""COMPUTED_VALUE"""),10.799999999999999)</f>
        <v>10.8</v>
      </c>
      <c r="D754" s="4">
        <f>IFERROR(__xludf.DUMMYFUNCTION("""COMPUTED_VALUE"""),8.5)</f>
        <v>8.5</v>
      </c>
      <c r="E754" s="4" t="str">
        <f>IFERROR(__xludf.DUMMYFUNCTION("""COMPUTED_VALUE"""),"Neto: 8,50 € (a partir de 1 uds.)")</f>
        <v>Neto: 8,50 € (a partir de 1 uds.)</v>
      </c>
    </row>
    <row r="755">
      <c r="A755" s="4" t="str">
        <f>IFERROR(__xludf.DUMMYFUNCTION("""COMPUTED_VALUE"""),"673")</f>
        <v>673</v>
      </c>
      <c r="B755" s="4" t="str">
        <f>IFERROR(__xludf.DUMMYFUNCTION("""COMPUTED_VALUE"""),"Señal metalica P-20")</f>
        <v>Señal metalica P-20</v>
      </c>
      <c r="C755" s="4">
        <f>IFERROR(__xludf.DUMMYFUNCTION("""COMPUTED_VALUE"""),10.799999999999999)</f>
        <v>10.8</v>
      </c>
      <c r="D755" s="4">
        <f>IFERROR(__xludf.DUMMYFUNCTION("""COMPUTED_VALUE"""),8.5)</f>
        <v>8.5</v>
      </c>
      <c r="E755" s="4" t="str">
        <f>IFERROR(__xludf.DUMMYFUNCTION("""COMPUTED_VALUE"""),"Neto: 8,50 € (a partir de 1 uds.)")</f>
        <v>Neto: 8,50 € (a partir de 1 uds.)</v>
      </c>
    </row>
    <row r="756">
      <c r="A756" s="4" t="str">
        <f>IFERROR(__xludf.DUMMYFUNCTION("""COMPUTED_VALUE"""),"0673D")</f>
        <v>0673D</v>
      </c>
      <c r="B756" s="4" t="str">
        <f>IFERROR(__xludf.DUMMYFUNCTION("""COMPUTED_VALUE"""),"Señal metalica P-20")</f>
        <v>Señal metalica P-20</v>
      </c>
      <c r="C756" s="4">
        <f>IFERROR(__xludf.DUMMYFUNCTION("""COMPUTED_VALUE"""),10.799999999999999)</f>
        <v>10.8</v>
      </c>
      <c r="D756" s="4">
        <f>IFERROR(__xludf.DUMMYFUNCTION("""COMPUTED_VALUE"""),8.5)</f>
        <v>8.5</v>
      </c>
      <c r="E756" s="4" t="str">
        <f>IFERROR(__xludf.DUMMYFUNCTION("""COMPUTED_VALUE"""),"Neto: 8,50 € (a partir de 1 uds.)")</f>
        <v>Neto: 8,50 € (a partir de 1 uds.)</v>
      </c>
    </row>
    <row r="757">
      <c r="A757" s="4" t="str">
        <f>IFERROR(__xludf.DUMMYFUNCTION("""COMPUTED_VALUE"""),"674")</f>
        <v>674</v>
      </c>
      <c r="B757" s="4" t="str">
        <f>IFERROR(__xludf.DUMMYFUNCTION("""COMPUTED_VALUE"""),"Señal metalica TR-503")</f>
        <v>Señal metalica TR-503</v>
      </c>
      <c r="C757" s="4">
        <f>IFERROR(__xludf.DUMMYFUNCTION("""COMPUTED_VALUE"""),10.799999999999999)</f>
        <v>10.8</v>
      </c>
      <c r="D757" s="4">
        <f>IFERROR(__xludf.DUMMYFUNCTION("""COMPUTED_VALUE"""),8.5)</f>
        <v>8.5</v>
      </c>
      <c r="E757" s="4" t="str">
        <f>IFERROR(__xludf.DUMMYFUNCTION("""COMPUTED_VALUE"""),"Neto: 8,50 € (a partir de 1 uds.)")</f>
        <v>Neto: 8,50 € (a partir de 1 uds.)</v>
      </c>
    </row>
    <row r="758">
      <c r="A758" s="4" t="str">
        <f>IFERROR(__xludf.DUMMYFUNCTION("""COMPUTED_VALUE"""),"0674D")</f>
        <v>0674D</v>
      </c>
      <c r="B758" s="4" t="str">
        <f>IFERROR(__xludf.DUMMYFUNCTION("""COMPUTED_VALUE"""),"Señal metalica R-503")</f>
        <v>Señal metalica R-503</v>
      </c>
      <c r="C758" s="4">
        <f>IFERROR(__xludf.DUMMYFUNCTION("""COMPUTED_VALUE"""),10.799999999999999)</f>
        <v>10.8</v>
      </c>
      <c r="D758" s="4">
        <f>IFERROR(__xludf.DUMMYFUNCTION("""COMPUTED_VALUE"""),8.5)</f>
        <v>8.5</v>
      </c>
      <c r="E758" s="4" t="str">
        <f>IFERROR(__xludf.DUMMYFUNCTION("""COMPUTED_VALUE"""),"Neto: 8,50 € (a partir de 1 uds.)")</f>
        <v>Neto: 8,50 € (a partir de 1 uds.)</v>
      </c>
    </row>
    <row r="759">
      <c r="A759" s="4" t="str">
        <f>IFERROR(__xludf.DUMMYFUNCTION("""COMPUTED_VALUE"""),"0674E")</f>
        <v>0674E</v>
      </c>
      <c r="B759" s="4" t="str">
        <f>IFERROR(__xludf.DUMMYFUNCTION("""COMPUTED_VALUE"""),"Señal 50 cm económica recarga eléctrica")</f>
        <v>Señal 50 cm económica recarga eléctrica</v>
      </c>
      <c r="C759" s="4">
        <f>IFERROR(__xludf.DUMMYFUNCTION("""COMPUTED_VALUE"""),10.799999999999999)</f>
        <v>10.8</v>
      </c>
      <c r="D759" s="4">
        <f>IFERROR(__xludf.DUMMYFUNCTION("""COMPUTED_VALUE"""),8.5)</f>
        <v>8.5</v>
      </c>
      <c r="E759" s="4" t="str">
        <f>IFERROR(__xludf.DUMMYFUNCTION("""COMPUTED_VALUE"""),"Neto: 8,50 € (a partir de 1 uds.)")</f>
        <v>Neto: 8,50 € (a partir de 1 uds.)</v>
      </c>
    </row>
    <row r="760">
      <c r="A760" s="4" t="str">
        <f>IFERROR(__xludf.DUMMYFUNCTION("""COMPUTED_VALUE"""),"0674P")</f>
        <v>0674P</v>
      </c>
      <c r="B760" s="4" t="str">
        <f>IFERROR(__xludf.DUMMYFUNCTION("""COMPUTED_VALUE"""),"Señal metálica económica ALTO POLICIA")</f>
        <v>Señal metálica económica ALTO POLICIA</v>
      </c>
      <c r="C760" s="4">
        <f>IFERROR(__xludf.DUMMYFUNCTION("""COMPUTED_VALUE"""),10.799999999999999)</f>
        <v>10.8</v>
      </c>
      <c r="D760" s="4">
        <f>IFERROR(__xludf.DUMMYFUNCTION("""COMPUTED_VALUE"""),8.5)</f>
        <v>8.5</v>
      </c>
      <c r="E760" s="4" t="str">
        <f>IFERROR(__xludf.DUMMYFUNCTION("""COMPUTED_VALUE"""),"Neto: 8,50 € (a partir de 1 uds.)")</f>
        <v>Neto: 8,50 € (a partir de 1 uds.)</v>
      </c>
    </row>
    <row r="761">
      <c r="A761" s="4" t="str">
        <f>IFERROR(__xludf.DUMMYFUNCTION("""COMPUTED_VALUE"""),"675")</f>
        <v>675</v>
      </c>
      <c r="B761" s="4" t="str">
        <f>IFERROR(__xludf.DUMMYFUNCTION("""COMPUTED_VALUE"""),"Tripode tubular naranja señal metalica mod. A")</f>
        <v>Tripode tubular naranja señal metalica mod. A</v>
      </c>
      <c r="C761" s="4">
        <f>IFERROR(__xludf.DUMMYFUNCTION("""COMPUTED_VALUE"""),11.28)</f>
        <v>11.28</v>
      </c>
      <c r="D761" s="4">
        <f>IFERROR(__xludf.DUMMYFUNCTION("""COMPUTED_VALUE"""),9.5)</f>
        <v>9.5</v>
      </c>
      <c r="E761" s="4" t="str">
        <f>IFERROR(__xludf.DUMMYFUNCTION("""COMPUTED_VALUE"""),"Neto: 9,50 € (a partir de 10 uds.)")</f>
        <v>Neto: 9,50 € (a partir de 10 uds.)</v>
      </c>
    </row>
    <row r="762">
      <c r="A762" s="4" t="str">
        <f>IFERROR(__xludf.DUMMYFUNCTION("""COMPUTED_VALUE"""),"0676/10")</f>
        <v>0676/10</v>
      </c>
      <c r="B762" s="4" t="str">
        <f>IFERROR(__xludf.DUMMYFUNCTION("""COMPUTED_VALUE"""),"Tubo 80x40 para señal metalica 1 metro")</f>
        <v>Tubo 80x40 para señal metalica 1 metro</v>
      </c>
      <c r="C762" s="4">
        <f>IFERROR(__xludf.DUMMYFUNCTION("""COMPUTED_VALUE"""),11.04)</f>
        <v>11.04</v>
      </c>
      <c r="D762" s="4"/>
      <c r="E762" s="4" t="str">
        <f>IFERROR(__xludf.DUMMYFUNCTION("""COMPUTED_VALUE"""),"Sin precio neto")</f>
        <v>Sin precio neto</v>
      </c>
    </row>
    <row r="763">
      <c r="A763" s="4" t="str">
        <f>IFERROR(__xludf.DUMMYFUNCTION("""COMPUTED_VALUE"""),"0676/15")</f>
        <v>0676/15</v>
      </c>
      <c r="B763" s="4" t="str">
        <f>IFERROR(__xludf.DUMMYFUNCTION("""COMPUTED_VALUE"""),"bo 80x40 para señal metalica 1,5 metros")</f>
        <v>bo 80x40 para señal metalica 1,5 metros</v>
      </c>
      <c r="C763" s="4">
        <f>IFERROR(__xludf.DUMMYFUNCTION("""COMPUTED_VALUE"""),15.84)</f>
        <v>15.84</v>
      </c>
      <c r="D763" s="4"/>
      <c r="E763" s="4" t="str">
        <f>IFERROR(__xludf.DUMMYFUNCTION("""COMPUTED_VALUE"""),"Sin precio neto")</f>
        <v>Sin precio neto</v>
      </c>
    </row>
    <row r="764">
      <c r="A764" s="4" t="str">
        <f>IFERROR(__xludf.DUMMYFUNCTION("""COMPUTED_VALUE"""),"0676/20")</f>
        <v>0676/20</v>
      </c>
      <c r="B764" s="4" t="str">
        <f>IFERROR(__xludf.DUMMYFUNCTION("""COMPUTED_VALUE"""),"Tubo 80x40 para señal metalica 2 metros")</f>
        <v>Tubo 80x40 para señal metalica 2 metros</v>
      </c>
      <c r="C764" s="4">
        <f>IFERROR(__xludf.DUMMYFUNCTION("""COMPUTED_VALUE"""),21.119999999999997)</f>
        <v>21.12</v>
      </c>
      <c r="D764" s="4"/>
      <c r="E764" s="4" t="str">
        <f>IFERROR(__xludf.DUMMYFUNCTION("""COMPUTED_VALUE"""),"Sin precio neto")</f>
        <v>Sin precio neto</v>
      </c>
    </row>
    <row r="765">
      <c r="A765" s="4" t="str">
        <f>IFERROR(__xludf.DUMMYFUNCTION("""COMPUTED_VALUE"""),"0676/25")</f>
        <v>0676/25</v>
      </c>
      <c r="B765" s="4" t="str">
        <f>IFERROR(__xludf.DUMMYFUNCTION("""COMPUTED_VALUE"""),"Tubo 80x40 para señal metalica 2,5 metros")</f>
        <v>Tubo 80x40 para señal metalica 2,5 metros</v>
      </c>
      <c r="C765" s="4">
        <f>IFERROR(__xludf.DUMMYFUNCTION("""COMPUTED_VALUE"""),26.88)</f>
        <v>26.88</v>
      </c>
      <c r="D765" s="4"/>
      <c r="E765" s="4" t="str">
        <f>IFERROR(__xludf.DUMMYFUNCTION("""COMPUTED_VALUE"""),"Sin precio neto")</f>
        <v>Sin precio neto</v>
      </c>
    </row>
    <row r="766">
      <c r="A766" s="4" t="str">
        <f>IFERROR(__xludf.DUMMYFUNCTION("""COMPUTED_VALUE"""),"0676/30")</f>
        <v>0676/30</v>
      </c>
      <c r="B766" s="4" t="str">
        <f>IFERROR(__xludf.DUMMYFUNCTION("""COMPUTED_VALUE"""),"Tubo 80x40 para señal metalica 3 metros")</f>
        <v>Tubo 80x40 para señal metalica 3 metros</v>
      </c>
      <c r="C766" s="4">
        <f>IFERROR(__xludf.DUMMYFUNCTION("""COMPUTED_VALUE"""),34.56)</f>
        <v>34.56</v>
      </c>
      <c r="D766" s="4"/>
      <c r="E766" s="4" t="str">
        <f>IFERROR(__xludf.DUMMYFUNCTION("""COMPUTED_VALUE"""),"Sin precio neto")</f>
        <v>Sin precio neto</v>
      </c>
    </row>
    <row r="767">
      <c r="A767" s="4" t="str">
        <f>IFERROR(__xludf.DUMMYFUNCTION("""COMPUTED_VALUE"""),"0676/35")</f>
        <v>0676/35</v>
      </c>
      <c r="B767" s="4" t="str">
        <f>IFERROR(__xludf.DUMMYFUNCTION("""COMPUTED_VALUE"""),"Tubo 80x40 para señal metalica 3,5 metros")</f>
        <v>Tubo 80x40 para señal metalica 3,5 metros</v>
      </c>
      <c r="C767" s="4">
        <f>IFERROR(__xludf.DUMMYFUNCTION("""COMPUTED_VALUE"""),37.44)</f>
        <v>37.44</v>
      </c>
      <c r="D767" s="4"/>
      <c r="E767" s="4" t="str">
        <f>IFERROR(__xludf.DUMMYFUNCTION("""COMPUTED_VALUE"""),"Sin precio neto")</f>
        <v>Sin precio neto</v>
      </c>
    </row>
    <row r="768">
      <c r="A768" s="4" t="str">
        <f>IFERROR(__xludf.DUMMYFUNCTION("""COMPUTED_VALUE"""),"0676/40")</f>
        <v>0676/40</v>
      </c>
      <c r="B768" s="4" t="str">
        <f>IFERROR(__xludf.DUMMYFUNCTION("""COMPUTED_VALUE"""),"Tubo 80x40 para señal metalica 4 metros")</f>
        <v>Tubo 80x40 para señal metalica 4 metros</v>
      </c>
      <c r="C768" s="4">
        <f>IFERROR(__xludf.DUMMYFUNCTION("""COMPUTED_VALUE"""),39.839999999999996)</f>
        <v>39.84</v>
      </c>
      <c r="D768" s="4"/>
      <c r="E768" s="4" t="str">
        <f>IFERROR(__xludf.DUMMYFUNCTION("""COMPUTED_VALUE"""),"Sin precio neto")</f>
        <v>Sin precio neto</v>
      </c>
    </row>
    <row r="769">
      <c r="A769" s="4" t="str">
        <f>IFERROR(__xludf.DUMMYFUNCTION("""COMPUTED_VALUE"""),"0676/AL")</f>
        <v>0676/AL</v>
      </c>
      <c r="B769" s="4" t="str">
        <f>IFERROR(__xludf.DUMMYFUNCTION("""COMPUTED_VALUE"""),"Poste aluminio 3.5 m 76 mm pintado")</f>
        <v>Poste aluminio 3.5 m 76 mm pintado</v>
      </c>
      <c r="C769" s="4">
        <f>IFERROR(__xludf.DUMMYFUNCTION("""COMPUTED_VALUE"""),100.8)</f>
        <v>100.8</v>
      </c>
      <c r="D769" s="4"/>
      <c r="E769" s="4" t="str">
        <f>IFERROR(__xludf.DUMMYFUNCTION("""COMPUTED_VALUE"""),"Sin precio neto")</f>
        <v>Sin precio neto</v>
      </c>
    </row>
    <row r="770">
      <c r="A770" s="4" t="str">
        <f>IFERROR(__xludf.DUMMYFUNCTION("""COMPUTED_VALUE"""),"0676F")</f>
        <v>0676F</v>
      </c>
      <c r="B770" s="4" t="str">
        <f>IFERROR(__xludf.DUMMYFUNCTION("""COMPUTED_VALUE"""),"Poste 80x40 mm 3 m en forma de F")</f>
        <v>Poste 80x40 mm 3 m en forma de F</v>
      </c>
      <c r="C770" s="4">
        <f>IFERROR(__xludf.DUMMYFUNCTION("""COMPUTED_VALUE"""),47.04)</f>
        <v>47.04</v>
      </c>
      <c r="D770" s="4"/>
      <c r="E770" s="4" t="str">
        <f>IFERROR(__xludf.DUMMYFUNCTION("""COMPUTED_VALUE"""),"Sin precio neto")</f>
        <v>Sin precio neto</v>
      </c>
    </row>
    <row r="771">
      <c r="A771" s="4" t="str">
        <f>IFERROR(__xludf.DUMMYFUNCTION("""COMPUTED_VALUE"""),"677")</f>
        <v>677</v>
      </c>
      <c r="B771" s="4" t="str">
        <f>IFERROR(__xludf.DUMMYFUNCTION("""COMPUTED_VALUE"""),"Cruceta tubo para señales metalicas")</f>
        <v>Cruceta tubo para señales metalicas</v>
      </c>
      <c r="C771" s="4">
        <f>IFERROR(__xludf.DUMMYFUNCTION("""COMPUTED_VALUE"""),16.608)</f>
        <v>16.608</v>
      </c>
      <c r="D771" s="4"/>
      <c r="E771" s="4" t="str">
        <f>IFERROR(__xludf.DUMMYFUNCTION("""COMPUTED_VALUE"""),"Sin precio neto")</f>
        <v>Sin precio neto</v>
      </c>
    </row>
    <row r="772">
      <c r="A772" s="4" t="str">
        <f>IFERROR(__xludf.DUMMYFUNCTION("""COMPUTED_VALUE"""),"678")</f>
        <v>678</v>
      </c>
      <c r="B772" s="4" t="str">
        <f>IFERROR(__xludf.DUMMYFUNCTION("""COMPUTED_VALUE"""),"Señal metalica R- 6 Prioridad")</f>
        <v>Señal metalica R- 6 Prioridad</v>
      </c>
      <c r="C772" s="4">
        <f>IFERROR(__xludf.DUMMYFUNCTION("""COMPUTED_VALUE"""),10.799999999999999)</f>
        <v>10.8</v>
      </c>
      <c r="D772" s="4">
        <f>IFERROR(__xludf.DUMMYFUNCTION("""COMPUTED_VALUE"""),8.5)</f>
        <v>8.5</v>
      </c>
      <c r="E772" s="4" t="str">
        <f>IFERROR(__xludf.DUMMYFUNCTION("""COMPUTED_VALUE"""),"Neto: 8,50 € (a partir de 1 uds.)")</f>
        <v>Neto: 8,50 € (a partir de 1 uds.)</v>
      </c>
    </row>
    <row r="773">
      <c r="A773" s="4" t="str">
        <f>IFERROR(__xludf.DUMMYFUNCTION("""COMPUTED_VALUE"""),"679")</f>
        <v>679</v>
      </c>
      <c r="B773" s="4" t="str">
        <f>IFERROR(__xludf.DUMMYFUNCTION("""COMPUTED_VALUE"""),"Placa econ. informat. 20x40 cm f.amarillo")</f>
        <v>Placa econ. informat. 20x40 cm f.amarillo</v>
      </c>
      <c r="C773" s="4">
        <f>IFERROR(__xludf.DUMMYFUNCTION("""COMPUTED_VALUE"""),10.799999999999999)</f>
        <v>10.8</v>
      </c>
      <c r="D773" s="4">
        <f>IFERROR(__xludf.DUMMYFUNCTION("""COMPUTED_VALUE"""),8.5)</f>
        <v>8.5</v>
      </c>
      <c r="E773" s="4" t="str">
        <f>IFERROR(__xludf.DUMMYFUNCTION("""COMPUTED_VALUE"""),"Neto: 8,50 € (a partir de 1 uds.)")</f>
        <v>Neto: 8,50 € (a partir de 1 uds.)</v>
      </c>
    </row>
    <row r="774">
      <c r="A774" s="4" t="str">
        <f>IFERROR(__xludf.DUMMYFUNCTION("""COMPUTED_VALUE"""),"680")</f>
        <v>680</v>
      </c>
      <c r="B774" s="4" t="str">
        <f>IFERROR(__xludf.DUMMYFUNCTION("""COMPUTED_VALUE"""),"Placa informativa 40x20 blanca")</f>
        <v>Placa informativa 40x20 blanca</v>
      </c>
      <c r="C774" s="4">
        <f>IFERROR(__xludf.DUMMYFUNCTION("""COMPUTED_VALUE"""),10.799999999999999)</f>
        <v>10.8</v>
      </c>
      <c r="D774" s="4">
        <f>IFERROR(__xludf.DUMMYFUNCTION("""COMPUTED_VALUE"""),8.5)</f>
        <v>8.5</v>
      </c>
      <c r="E774" s="4" t="str">
        <f>IFERROR(__xludf.DUMMYFUNCTION("""COMPUTED_VALUE"""),"Neto: 8,50 € (a partir de 1 uds.)")</f>
        <v>Neto: 8,50 € (a partir de 1 uds.)</v>
      </c>
    </row>
    <row r="775">
      <c r="A775" s="4" t="str">
        <f>IFERROR(__xludf.DUMMYFUNCTION("""COMPUTED_VALUE"""),"0681/A")</f>
        <v>0681/A</v>
      </c>
      <c r="B775" s="4" t="str">
        <f>IFERROR(__xludf.DUMMYFUNCTION("""COMPUTED_VALUE"""),"Horquilla protector peatones 120x40 cm Galva")</f>
        <v>Horquilla protector peatones 120x40 cm Galva</v>
      </c>
      <c r="C775" s="4">
        <f>IFERROR(__xludf.DUMMYFUNCTION("""COMPUTED_VALUE"""),40.704)</f>
        <v>40.704</v>
      </c>
      <c r="D775" s="4"/>
      <c r="E775" s="4" t="str">
        <f>IFERROR(__xludf.DUMMYFUNCTION("""COMPUTED_VALUE"""),"Sin precio neto")</f>
        <v>Sin precio neto</v>
      </c>
    </row>
    <row r="776">
      <c r="A776" s="4" t="str">
        <f>IFERROR(__xludf.DUMMYFUNCTION("""COMPUTED_VALUE"""),"0681/A/PLATO")</f>
        <v>0681/A/PLATO</v>
      </c>
      <c r="B776" s="4" t="str">
        <f>IFERROR(__xludf.DUMMYFUNCTION("""COMPUTED_VALUE"""),"Horquilla protector peatones 120x40 cm Galva. c/plato")</f>
        <v>Horquilla protector peatones 120x40 cm Galva. c/plato</v>
      </c>
      <c r="C776" s="4">
        <f>IFERROR(__xludf.DUMMYFUNCTION("""COMPUTED_VALUE"""),50.687999999999995)</f>
        <v>50.688</v>
      </c>
      <c r="D776" s="4"/>
      <c r="E776" s="4" t="str">
        <f>IFERROR(__xludf.DUMMYFUNCTION("""COMPUTED_VALUE"""),"Sin precio neto")</f>
        <v>Sin precio neto</v>
      </c>
    </row>
    <row r="777">
      <c r="A777" s="4" t="str">
        <f>IFERROR(__xludf.DUMMYFUNCTION("""COMPUTED_VALUE"""),"0681/B")</f>
        <v>0681/B</v>
      </c>
      <c r="B777" s="4" t="str">
        <f>IFERROR(__xludf.DUMMYFUNCTION("""COMPUTED_VALUE"""),"Horquilla protector peatones 90x40 cm Galva")</f>
        <v>Horquilla protector peatones 90x40 cm Galva</v>
      </c>
      <c r="C777" s="4">
        <f>IFERROR(__xludf.DUMMYFUNCTION("""COMPUTED_VALUE"""),37.296)</f>
        <v>37.296</v>
      </c>
      <c r="D777" s="4"/>
      <c r="E777" s="4" t="str">
        <f>IFERROR(__xludf.DUMMYFUNCTION("""COMPUTED_VALUE"""),"Sin precio neto")</f>
        <v>Sin precio neto</v>
      </c>
    </row>
    <row r="778">
      <c r="A778" s="4" t="str">
        <f>IFERROR(__xludf.DUMMYFUNCTION("""COMPUTED_VALUE"""),"0681/B/PLATO")</f>
        <v>0681/B/PLATO</v>
      </c>
      <c r="B778" s="4" t="str">
        <f>IFERROR(__xludf.DUMMYFUNCTION("""COMPUTED_VALUE"""),"Horquilla protector peatones 90x40 cm Galva c/plato")</f>
        <v>Horquilla protector peatones 90x40 cm Galva c/plato</v>
      </c>
      <c r="C778" s="4">
        <f>IFERROR(__xludf.DUMMYFUNCTION("""COMPUTED_VALUE"""),59.472)</f>
        <v>59.472</v>
      </c>
      <c r="D778" s="4"/>
      <c r="E778" s="4" t="str">
        <f>IFERROR(__xludf.DUMMYFUNCTION("""COMPUTED_VALUE"""),"Sin precio neto")</f>
        <v>Sin precio neto</v>
      </c>
    </row>
    <row r="779">
      <c r="A779" s="4" t="str">
        <f>IFERROR(__xludf.DUMMYFUNCTION("""COMPUTED_VALUE"""),"0681/LA")</f>
        <v>0681/LA</v>
      </c>
      <c r="B779" s="4" t="str">
        <f>IFERROR(__xludf.DUMMYFUNCTION("""COMPUTED_VALUE"""),"Horquilla protector peatones 120x40 cm Amarilla")</f>
        <v>Horquilla protector peatones 120x40 cm Amarilla</v>
      </c>
      <c r="C779" s="4">
        <f>IFERROR(__xludf.DUMMYFUNCTION("""COMPUTED_VALUE"""),46.512)</f>
        <v>46.512</v>
      </c>
      <c r="D779" s="4"/>
      <c r="E779" s="4" t="str">
        <f>IFERROR(__xludf.DUMMYFUNCTION("""COMPUTED_VALUE"""),"Sin precio neto")</f>
        <v>Sin precio neto</v>
      </c>
    </row>
    <row r="780">
      <c r="A780" s="4" t="str">
        <f>IFERROR(__xludf.DUMMYFUNCTION("""COMPUTED_VALUE"""),"0681/LA/PLATO")</f>
        <v>0681/LA/PLATO</v>
      </c>
      <c r="B780" s="4" t="str">
        <f>IFERROR(__xludf.DUMMYFUNCTION("""COMPUTED_VALUE"""),"Horquilla protector peatones 120x40 cm Amar. c/plato")</f>
        <v>Horquilla protector peatones 120x40 cm Amar. c/plato</v>
      </c>
      <c r="C780" s="4">
        <f>IFERROR(__xludf.DUMMYFUNCTION("""COMPUTED_VALUE"""),49.392)</f>
        <v>49.392</v>
      </c>
      <c r="D780" s="4"/>
      <c r="E780" s="4" t="str">
        <f>IFERROR(__xludf.DUMMYFUNCTION("""COMPUTED_VALUE"""),"Sin precio neto")</f>
        <v>Sin precio neto</v>
      </c>
    </row>
    <row r="781">
      <c r="A781" s="4" t="str">
        <f>IFERROR(__xludf.DUMMYFUNCTION("""COMPUTED_VALUE"""),"0681/LB")</f>
        <v>0681/LB</v>
      </c>
      <c r="B781" s="4" t="str">
        <f>IFERROR(__xludf.DUMMYFUNCTION("""COMPUTED_VALUE"""),"Horquilla protector peqtones 90x40 cm Amarilla")</f>
        <v>Horquilla protector peqtones 90x40 cm Amarilla</v>
      </c>
      <c r="C781" s="4">
        <f>IFERROR(__xludf.DUMMYFUNCTION("""COMPUTED_VALUE"""),43.5456)</f>
        <v>43.5456</v>
      </c>
      <c r="D781" s="4"/>
      <c r="E781" s="4" t="str">
        <f>IFERROR(__xludf.DUMMYFUNCTION("""COMPUTED_VALUE"""),"Sin precio neto")</f>
        <v>Sin precio neto</v>
      </c>
    </row>
    <row r="782">
      <c r="A782" s="4" t="str">
        <f>IFERROR(__xludf.DUMMYFUNCTION("""COMPUTED_VALUE"""),"0681/LB/PLATO")</f>
        <v>0681/LB/PLATO</v>
      </c>
      <c r="B782" s="4" t="str">
        <f>IFERROR(__xludf.DUMMYFUNCTION("""COMPUTED_VALUE"""),"Horquilla protector peatones 90x40 cm Amar.c/plato")</f>
        <v>Horquilla protector peatones 90x40 cm Amar.c/plato</v>
      </c>
      <c r="C782" s="4">
        <f>IFERROR(__xludf.DUMMYFUNCTION("""COMPUTED_VALUE"""),50.620799999999996)</f>
        <v>50.6208</v>
      </c>
      <c r="D782" s="4"/>
      <c r="E782" s="4" t="str">
        <f>IFERROR(__xludf.DUMMYFUNCTION("""COMPUTED_VALUE"""),"Sin precio neto")</f>
        <v>Sin precio neto</v>
      </c>
    </row>
    <row r="783">
      <c r="A783" s="4" t="str">
        <f>IFERROR(__xludf.DUMMYFUNCTION("""COMPUTED_VALUE"""),"682")</f>
        <v>682</v>
      </c>
      <c r="B783" s="4" t="str">
        <f>IFERROR(__xludf.DUMMYFUNCTION("""COMPUTED_VALUE"""),"Vado Permanente Aluminio 40x30")</f>
        <v>Vado Permanente Aluminio 40x30</v>
      </c>
      <c r="C783" s="4">
        <f>IFERROR(__xludf.DUMMYFUNCTION("""COMPUTED_VALUE"""),8.064)</f>
        <v>8.064</v>
      </c>
      <c r="D783" s="4"/>
      <c r="E783" s="4" t="str">
        <f>IFERROR(__xludf.DUMMYFUNCTION("""COMPUTED_VALUE"""),"Sin precio neto")</f>
        <v>Sin precio neto</v>
      </c>
    </row>
    <row r="784">
      <c r="A784" s="4" t="str">
        <f>IFERROR(__xludf.DUMMYFUNCTION("""COMPUTED_VALUE"""),"0682P")</f>
        <v>0682P</v>
      </c>
      <c r="B784" s="4" t="str">
        <f>IFERROR(__xludf.DUMMYFUNCTION("""COMPUTED_VALUE"""),"Vado permanente 40x30 aluminio personalizado")</f>
        <v>Vado permanente 40x30 aluminio personalizado</v>
      </c>
      <c r="C784" s="4">
        <f>IFERROR(__xludf.DUMMYFUNCTION("""COMPUTED_VALUE"""),11.52)</f>
        <v>11.52</v>
      </c>
      <c r="D784" s="4"/>
      <c r="E784" s="4" t="str">
        <f>IFERROR(__xludf.DUMMYFUNCTION("""COMPUTED_VALUE"""),"Sin precio neto")</f>
        <v>Sin precio neto</v>
      </c>
    </row>
    <row r="785">
      <c r="A785" s="4" t="str">
        <f>IFERROR(__xludf.DUMMYFUNCTION("""COMPUTED_VALUE"""),"683")</f>
        <v>683</v>
      </c>
      <c r="B785" s="4" t="str">
        <f>IFERROR(__xludf.DUMMYFUNCTION("""COMPUTED_VALUE"""),"Horquilla protector contenedor basura Galva")</f>
        <v>Horquilla protector contenedor basura Galva</v>
      </c>
      <c r="C785" s="4">
        <f>IFERROR(__xludf.DUMMYFUNCTION("""COMPUTED_VALUE"""),128.928)</f>
        <v>128.928</v>
      </c>
      <c r="D785" s="4"/>
      <c r="E785" s="4" t="str">
        <f>IFERROR(__xludf.DUMMYFUNCTION("""COMPUTED_VALUE"""),"Sin precio neto")</f>
        <v>Sin precio neto</v>
      </c>
    </row>
    <row r="786">
      <c r="A786" s="4" t="str">
        <f>IFERROR(__xludf.DUMMYFUNCTION("""COMPUTED_VALUE"""),"0683/B")</f>
        <v>0683/B</v>
      </c>
      <c r="B786" s="4" t="str">
        <f>IFERROR(__xludf.DUMMYFUNCTION("""COMPUTED_VALUE"""),"Isleta hormigon con protector direccional Vados")</f>
        <v>Isleta hormigon con protector direccional Vados</v>
      </c>
      <c r="C786" s="4">
        <f>IFERROR(__xludf.DUMMYFUNCTION("""COMPUTED_VALUE"""),441.59999999999997)</f>
        <v>441.6</v>
      </c>
      <c r="D786" s="4"/>
      <c r="E786" s="4" t="str">
        <f>IFERROR(__xludf.DUMMYFUNCTION("""COMPUTED_VALUE"""),"Sin precio neto")</f>
        <v>Sin precio neto</v>
      </c>
    </row>
    <row r="787">
      <c r="A787" s="4" t="str">
        <f>IFERROR(__xludf.DUMMYFUNCTION("""COMPUTED_VALUE"""),"0683/BS")</f>
        <v>0683/BS</v>
      </c>
      <c r="B787" s="4" t="str">
        <f>IFERROR(__xludf.DUMMYFUNCTION("""COMPUTED_VALUE"""),"Juego 2 angulos sujecion suelo Isleta Vados")</f>
        <v>Juego 2 angulos sujecion suelo Isleta Vados</v>
      </c>
      <c r="C787" s="4">
        <f>IFERROR(__xludf.DUMMYFUNCTION("""COMPUTED_VALUE"""),31.967999999999996)</f>
        <v>31.968</v>
      </c>
      <c r="D787" s="4"/>
      <c r="E787" s="4" t="str">
        <f>IFERROR(__xludf.DUMMYFUNCTION("""COMPUTED_VALUE"""),"Sin precio neto")</f>
        <v>Sin precio neto</v>
      </c>
    </row>
    <row r="788">
      <c r="A788" s="4" t="str">
        <f>IFERROR(__xludf.DUMMYFUNCTION("""COMPUTED_VALUE"""),"0683D")</f>
        <v>0683D</v>
      </c>
      <c r="B788" s="4" t="str">
        <f>IFERROR(__xludf.DUMMYFUNCTION("""COMPUTED_VALUE"""),"Protector contenedor basura flecha dcha Galv.")</f>
        <v>Protector contenedor basura flecha dcha Galv.</v>
      </c>
      <c r="C788" s="4">
        <f>IFERROR(__xludf.DUMMYFUNCTION("""COMPUTED_VALUE"""),75.09599999999999)</f>
        <v>75.096</v>
      </c>
      <c r="D788" s="4"/>
      <c r="E788" s="4" t="str">
        <f>IFERROR(__xludf.DUMMYFUNCTION("""COMPUTED_VALUE"""),"Sin precio neto")</f>
        <v>Sin precio neto</v>
      </c>
    </row>
    <row r="789">
      <c r="A789" s="4" t="str">
        <f>IFERROR(__xludf.DUMMYFUNCTION("""COMPUTED_VALUE"""),"0683D/PLATO")</f>
        <v>0683D/PLATO</v>
      </c>
      <c r="B789" s="4" t="str">
        <f>IFERROR(__xludf.DUMMYFUNCTION("""COMPUTED_VALUE"""),"Protector contenedor basura flecha Dcha. Galva. c/plato")</f>
        <v>Protector contenedor basura flecha Dcha. Galva. c/plato</v>
      </c>
      <c r="C789" s="4">
        <f>IFERROR(__xludf.DUMMYFUNCTION("""COMPUTED_VALUE"""),86.184)</f>
        <v>86.184</v>
      </c>
      <c r="D789" s="4"/>
      <c r="E789" s="4" t="str">
        <f>IFERROR(__xludf.DUMMYFUNCTION("""COMPUTED_VALUE"""),"Sin precio neto")</f>
        <v>Sin precio neto</v>
      </c>
    </row>
    <row r="790">
      <c r="A790" s="4" t="str">
        <f>IFERROR(__xludf.DUMMYFUNCTION("""COMPUTED_VALUE"""),"0683I")</f>
        <v>0683I</v>
      </c>
      <c r="B790" s="4" t="str">
        <f>IFERROR(__xludf.DUMMYFUNCTION("""COMPUTED_VALUE"""),"Protector contenedor basura flecha izq. Galva.")</f>
        <v>Protector contenedor basura flecha izq. Galva.</v>
      </c>
      <c r="C790" s="4">
        <f>IFERROR(__xludf.DUMMYFUNCTION("""COMPUTED_VALUE"""),75.09599999999999)</f>
        <v>75.096</v>
      </c>
      <c r="D790" s="4"/>
      <c r="E790" s="4" t="str">
        <f>IFERROR(__xludf.DUMMYFUNCTION("""COMPUTED_VALUE"""),"Sin precio neto")</f>
        <v>Sin precio neto</v>
      </c>
    </row>
    <row r="791">
      <c r="A791" s="4" t="str">
        <f>IFERROR(__xludf.DUMMYFUNCTION("""COMPUTED_VALUE"""),"0683I/PLATO")</f>
        <v>0683I/PLATO</v>
      </c>
      <c r="B791" s="4" t="str">
        <f>IFERROR(__xludf.DUMMYFUNCTION("""COMPUTED_VALUE"""),"Protector contendor basura flecha Izq.Galva. c/ plato")</f>
        <v>Protector contendor basura flecha Izq.Galva. c/ plato</v>
      </c>
      <c r="C791" s="4">
        <f>IFERROR(__xludf.DUMMYFUNCTION("""COMPUTED_VALUE"""),72.0)</f>
        <v>72</v>
      </c>
      <c r="D791" s="4"/>
      <c r="E791" s="4" t="str">
        <f>IFERROR(__xludf.DUMMYFUNCTION("""COMPUTED_VALUE"""),"Sin precio neto")</f>
        <v>Sin precio neto</v>
      </c>
    </row>
    <row r="792">
      <c r="A792" s="4" t="str">
        <f>IFERROR(__xludf.DUMMYFUNCTION("""COMPUTED_VALUE"""),"687")</f>
        <v>687</v>
      </c>
      <c r="B792" s="4" t="str">
        <f>IFERROR(__xludf.DUMMYFUNCTION("""COMPUTED_VALUE"""),"Placa econ. informat. 55x35 cm f.amarillo")</f>
        <v>Placa econ. informat. 55x35 cm f.amarillo</v>
      </c>
      <c r="C792" s="4">
        <f>IFERROR(__xludf.DUMMYFUNCTION("""COMPUTED_VALUE"""),16.128)</f>
        <v>16.128</v>
      </c>
      <c r="D792" s="4"/>
      <c r="E792" s="4" t="str">
        <f>IFERROR(__xludf.DUMMYFUNCTION("""COMPUTED_VALUE"""),"Sin precio neto")</f>
        <v>Sin precio neto</v>
      </c>
    </row>
    <row r="793">
      <c r="A793" s="4" t="str">
        <f>IFERROR(__xludf.DUMMYFUNCTION("""COMPUTED_VALUE"""),"688")</f>
        <v>688</v>
      </c>
      <c r="B793" s="4" t="str">
        <f>IFERROR(__xludf.DUMMYFUNCTION("""COMPUTED_VALUE"""),"Placa econ. informat. 55x35 cm f.blanco")</f>
        <v>Placa econ. informat. 55x35 cm f.blanco</v>
      </c>
      <c r="C793" s="4">
        <f>IFERROR(__xludf.DUMMYFUNCTION("""COMPUTED_VALUE"""),16.128)</f>
        <v>16.128</v>
      </c>
      <c r="D793" s="4"/>
      <c r="E793" s="4" t="str">
        <f>IFERROR(__xludf.DUMMYFUNCTION("""COMPUTED_VALUE"""),"Sin precio neto")</f>
        <v>Sin precio neto</v>
      </c>
    </row>
    <row r="794">
      <c r="A794" s="4" t="str">
        <f>IFERROR(__xludf.DUMMYFUNCTION("""COMPUTED_VALUE"""),"690")</f>
        <v>690</v>
      </c>
      <c r="B794" s="4" t="str">
        <f>IFERROR(__xludf.DUMMYFUNCTION("""COMPUTED_VALUE"""),"Base caucho multiperfil")</f>
        <v>Base caucho multiperfil</v>
      </c>
      <c r="C794" s="4">
        <f>IFERROR(__xludf.DUMMYFUNCTION("""COMPUTED_VALUE"""),16.32)</f>
        <v>16.32</v>
      </c>
      <c r="D794" s="4"/>
      <c r="E794" s="4" t="str">
        <f>IFERROR(__xludf.DUMMYFUNCTION("""COMPUTED_VALUE"""),"Sin precio neto")</f>
        <v>Sin precio neto</v>
      </c>
    </row>
    <row r="795">
      <c r="A795" s="4" t="str">
        <f>IFERROR(__xludf.DUMMYFUNCTION("""COMPUTED_VALUE"""),"0690B")</f>
        <v>0690B</v>
      </c>
      <c r="B795" s="4" t="str">
        <f>IFERROR(__xludf.DUMMYFUNCTION("""COMPUTED_VALUE"""),"Base multiperfil para valla y señales 18 kg")</f>
        <v>Base multiperfil para valla y señales 18 kg</v>
      </c>
      <c r="C795" s="4">
        <f>IFERROR(__xludf.DUMMYFUNCTION("""COMPUTED_VALUE"""),13.92)</f>
        <v>13.92</v>
      </c>
      <c r="D795" s="4">
        <f>IFERROR(__xludf.DUMMYFUNCTION("""COMPUTED_VALUE"""),11.5)</f>
        <v>11.5</v>
      </c>
      <c r="E795" s="4" t="str">
        <f>IFERROR(__xludf.DUMMYFUNCTION("""COMPUTED_VALUE"""),"Neto: 11,50 € (a partir de 40 uds.)")</f>
        <v>Neto: 11,50 € (a partir de 40 uds.)</v>
      </c>
    </row>
    <row r="796">
      <c r="A796" s="4" t="str">
        <f>IFERROR(__xludf.DUMMYFUNCTION("""COMPUTED_VALUE"""),"0690D")</f>
        <v>0690D</v>
      </c>
      <c r="B796" s="4" t="str">
        <f>IFERROR(__xludf.DUMMYFUNCTION("""COMPUTED_VALUE"""),"Base de caucho multiperfil mod D")</f>
        <v>Base de caucho multiperfil mod D</v>
      </c>
      <c r="C796" s="4">
        <f>IFERROR(__xludf.DUMMYFUNCTION("""COMPUTED_VALUE"""),12.48)</f>
        <v>12.48</v>
      </c>
      <c r="D796" s="4">
        <f>IFERROR(__xludf.DUMMYFUNCTION("""COMPUTED_VALUE"""),11.5)</f>
        <v>11.5</v>
      </c>
      <c r="E796" s="4" t="str">
        <f>IFERROR(__xludf.DUMMYFUNCTION("""COMPUTED_VALUE"""),"Neto: 11,50 € (a partir de 40 uds.)")</f>
        <v>Neto: 11,50 € (a partir de 40 uds.)</v>
      </c>
    </row>
    <row r="797">
      <c r="A797" s="4" t="str">
        <f>IFERROR(__xludf.DUMMYFUNCTION("""COMPUTED_VALUE"""),"0690S")</f>
        <v>0690S</v>
      </c>
      <c r="B797" s="4" t="str">
        <f>IFERROR(__xludf.DUMMYFUNCTION("""COMPUTED_VALUE"""),"Base caucho para panel secuencial")</f>
        <v>Base caucho para panel secuencial</v>
      </c>
      <c r="C797" s="4">
        <f>IFERROR(__xludf.DUMMYFUNCTION("""COMPUTED_VALUE"""),18.48)</f>
        <v>18.48</v>
      </c>
      <c r="D797" s="4"/>
      <c r="E797" s="4" t="str">
        <f>IFERROR(__xludf.DUMMYFUNCTION("""COMPUTED_VALUE"""),"Sin precio neto")</f>
        <v>Sin precio neto</v>
      </c>
    </row>
    <row r="798">
      <c r="A798" s="4" t="str">
        <f>IFERROR(__xludf.DUMMYFUNCTION("""COMPUTED_VALUE"""),"692")</f>
        <v>692</v>
      </c>
      <c r="B798" s="4" t="str">
        <f>IFERROR(__xludf.DUMMYFUNCTION("""COMPUTED_VALUE"""),"Poste aluminio 3 mtros señ. urbana Diam 60")</f>
        <v>Poste aluminio 3 mtros señ. urbana Diam 60</v>
      </c>
      <c r="C798" s="4">
        <f>IFERROR(__xludf.DUMMYFUNCTION("""COMPUTED_VALUE"""),52.8)</f>
        <v>52.8</v>
      </c>
      <c r="D798" s="4"/>
      <c r="E798" s="4" t="str">
        <f>IFERROR(__xludf.DUMMYFUNCTION("""COMPUTED_VALUE"""),"Sin precio neto")</f>
        <v>Sin precio neto</v>
      </c>
    </row>
    <row r="799">
      <c r="A799" s="4" t="str">
        <f>IFERROR(__xludf.DUMMYFUNCTION("""COMPUTED_VALUE"""),"0692E")</f>
        <v>0692E</v>
      </c>
      <c r="B799" s="4" t="str">
        <f>IFERROR(__xludf.DUMMYFUNCTION("""COMPUTED_VALUE"""),"Abrazadera poste aluminio 60 mm estriado")</f>
        <v>Abrazadera poste aluminio 60 mm estriado</v>
      </c>
      <c r="C799" s="4">
        <f>IFERROR(__xludf.DUMMYFUNCTION("""COMPUTED_VALUE"""),1.44)</f>
        <v>1.44</v>
      </c>
      <c r="D799" s="4"/>
      <c r="E799" s="4" t="str">
        <f>IFERROR(__xludf.DUMMYFUNCTION("""COMPUTED_VALUE"""),"Sin precio neto")</f>
        <v>Sin precio neto</v>
      </c>
    </row>
    <row r="800">
      <c r="A800" s="4" t="str">
        <f>IFERROR(__xludf.DUMMYFUNCTION("""COMPUTED_VALUE"""),"693")</f>
        <v>693</v>
      </c>
      <c r="B800" s="4" t="str">
        <f>IFERROR(__xludf.DUMMYFUNCTION("""COMPUTED_VALUE"""),"Tripode Tubular señal metalica mod. C")</f>
        <v>Tripode Tubular señal metalica mod. C</v>
      </c>
      <c r="C800" s="4">
        <f>IFERROR(__xludf.DUMMYFUNCTION("""COMPUTED_VALUE"""),20.16)</f>
        <v>20.16</v>
      </c>
      <c r="D800" s="4"/>
      <c r="E800" s="4" t="str">
        <f>IFERROR(__xludf.DUMMYFUNCTION("""COMPUTED_VALUE"""),"Sin precio neto")</f>
        <v>Sin precio neto</v>
      </c>
    </row>
    <row r="801">
      <c r="A801" s="4" t="str">
        <f>IFERROR(__xludf.DUMMYFUNCTION("""COMPUTED_VALUE"""),"694")</f>
        <v>694</v>
      </c>
      <c r="B801" s="4" t="str">
        <f>IFERROR(__xludf.DUMMYFUNCTION("""COMPUTED_VALUE"""),"Poste redondo diam. 50 galvan. 3 mt para espejo 4100")</f>
        <v>Poste redondo diam. 50 galvan. 3 mt para espejo 4100</v>
      </c>
      <c r="C801" s="4">
        <f>IFERROR(__xludf.DUMMYFUNCTION("""COMPUTED_VALUE"""),27.168)</f>
        <v>27.168</v>
      </c>
      <c r="D801" s="4"/>
      <c r="E801" s="4" t="str">
        <f>IFERROR(__xludf.DUMMYFUNCTION("""COMPUTED_VALUE"""),"Sin precio neto")</f>
        <v>Sin precio neto</v>
      </c>
    </row>
    <row r="802">
      <c r="A802" s="4" t="str">
        <f>IFERROR(__xludf.DUMMYFUNCTION("""COMPUTED_VALUE"""),"0694/G")</f>
        <v>0694/G</v>
      </c>
      <c r="B802" s="4" t="str">
        <f>IFERROR(__xludf.DUMMYFUNCTION("""COMPUTED_VALUE"""),"Poste redondo diam. 80 galvan. 3 mt para espejo 4101")</f>
        <v>Poste redondo diam. 80 galvan. 3 mt para espejo 4101</v>
      </c>
      <c r="C802" s="4">
        <f>IFERROR(__xludf.DUMMYFUNCTION("""COMPUTED_VALUE"""),39.312000000000005)</f>
        <v>39.312</v>
      </c>
      <c r="D802" s="4"/>
      <c r="E802" s="4" t="str">
        <f>IFERROR(__xludf.DUMMYFUNCTION("""COMPUTED_VALUE"""),"Sin precio neto")</f>
        <v>Sin precio neto</v>
      </c>
    </row>
    <row r="803">
      <c r="A803" s="4" t="str">
        <f>IFERROR(__xludf.DUMMYFUNCTION("""COMPUTED_VALUE"""),"0694/M")</f>
        <v>0694/M</v>
      </c>
      <c r="B803" s="4" t="str">
        <f>IFERROR(__xludf.DUMMYFUNCTION("""COMPUTED_VALUE"""),"Poste redondo diam. 60 galva. 3 mt. p/espejos")</f>
        <v>Poste redondo diam. 60 galva. 3 mt. p/espejos</v>
      </c>
      <c r="C803" s="4">
        <f>IFERROR(__xludf.DUMMYFUNCTION("""COMPUTED_VALUE"""),31.68)</f>
        <v>31.68</v>
      </c>
      <c r="D803" s="4"/>
      <c r="E803" s="4" t="str">
        <f>IFERROR(__xludf.DUMMYFUNCTION("""COMPUTED_VALUE"""),"Sin precio neto")</f>
        <v>Sin precio neto</v>
      </c>
    </row>
    <row r="804">
      <c r="A804" s="4" t="str">
        <f>IFERROR(__xludf.DUMMYFUNCTION("""COMPUTED_VALUE"""),"0694D")</f>
        <v>0694D</v>
      </c>
      <c r="B804" s="4" t="str">
        <f>IFERROR(__xludf.DUMMYFUNCTION("""COMPUTED_VALUE"""),"Poste galva doblado 3 m circular 60 mm")</f>
        <v>Poste galva doblado 3 m circular 60 mm</v>
      </c>
      <c r="C804" s="4">
        <f>IFERROR(__xludf.DUMMYFUNCTION("""COMPUTED_VALUE"""),32.64)</f>
        <v>32.64</v>
      </c>
      <c r="D804" s="4"/>
      <c r="E804" s="4" t="str">
        <f>IFERROR(__xludf.DUMMYFUNCTION("""COMPUTED_VALUE"""),"Sin precio neto")</f>
        <v>Sin precio neto</v>
      </c>
    </row>
    <row r="805">
      <c r="A805" s="4" t="str">
        <f>IFERROR(__xludf.DUMMYFUNCTION("""COMPUTED_VALUE"""),"0694E")</f>
        <v>0694E</v>
      </c>
      <c r="B805" s="4" t="str">
        <f>IFERROR(__xludf.DUMMYFUNCTION("""COMPUTED_VALUE"""),"Poste tubular 60 mm para cartelería vinilada")</f>
        <v>Poste tubular 60 mm para cartelería vinilada</v>
      </c>
      <c r="C805" s="4">
        <f>IFERROR(__xludf.DUMMYFUNCTION("""COMPUTED_VALUE"""),71.03999999999999)</f>
        <v>71.04</v>
      </c>
      <c r="D805" s="4"/>
      <c r="E805" s="4" t="str">
        <f>IFERROR(__xludf.DUMMYFUNCTION("""COMPUTED_VALUE"""),"Sin precio neto")</f>
        <v>Sin precio neto</v>
      </c>
    </row>
    <row r="806">
      <c r="A806" s="4" t="str">
        <f>IFERROR(__xludf.DUMMYFUNCTION("""COMPUTED_VALUE"""),"695")</f>
        <v>695</v>
      </c>
      <c r="B806" s="4" t="str">
        <f>IFERROR(__xludf.DUMMYFUNCTION("""COMPUTED_VALUE"""),"Tripode angular señal metalica mod. B")</f>
        <v>Tripode angular señal metalica mod. B</v>
      </c>
      <c r="C806" s="4">
        <f>IFERROR(__xludf.DUMMYFUNCTION("""COMPUTED_VALUE"""),11.76)</f>
        <v>11.76</v>
      </c>
      <c r="D806" s="4">
        <f>IFERROR(__xludf.DUMMYFUNCTION("""COMPUTED_VALUE"""),9.5)</f>
        <v>9.5</v>
      </c>
      <c r="E806" s="4" t="str">
        <f>IFERROR(__xludf.DUMMYFUNCTION("""COMPUTED_VALUE"""),"Neto: 9,50 € (a partir de 10 uds.)")</f>
        <v>Neto: 9,50 € (a partir de 10 uds.)</v>
      </c>
    </row>
    <row r="807">
      <c r="A807" s="4" t="str">
        <f>IFERROR(__xludf.DUMMYFUNCTION("""COMPUTED_VALUE"""),"696")</f>
        <v>696</v>
      </c>
      <c r="B807" s="4" t="str">
        <f>IFERROR(__xludf.DUMMYFUNCTION("""COMPUTED_VALUE"""),"Tripode gigante señal metálica")</f>
        <v>Tripode gigante señal metálica</v>
      </c>
      <c r="C807" s="4">
        <f>IFERROR(__xludf.DUMMYFUNCTION("""COMPUTED_VALUE"""),39.407999999999994)</f>
        <v>39.408</v>
      </c>
      <c r="D807" s="4"/>
      <c r="E807" s="4" t="str">
        <f>IFERROR(__xludf.DUMMYFUNCTION("""COMPUTED_VALUE"""),"Sin precio neto")</f>
        <v>Sin precio neto</v>
      </c>
    </row>
    <row r="808">
      <c r="A808" s="4" t="str">
        <f>IFERROR(__xludf.DUMMYFUNCTION("""COMPUTED_VALUE"""),"697")</f>
        <v>697</v>
      </c>
      <c r="B808" s="4" t="str">
        <f>IFERROR(__xludf.DUMMYFUNCTION("""COMPUTED_VALUE"""),"Soporte pared p/ espejo 60 cm Mod. Basic")</f>
        <v>Soporte pared p/ espejo 60 cm Mod. Basic</v>
      </c>
      <c r="C808" s="4">
        <f>IFERROR(__xludf.DUMMYFUNCTION("""COMPUTED_VALUE"""),12.863999999999999)</f>
        <v>12.864</v>
      </c>
      <c r="D808" s="4"/>
      <c r="E808" s="4" t="str">
        <f>IFERROR(__xludf.DUMMYFUNCTION("""COMPUTED_VALUE"""),"Sin precio neto")</f>
        <v>Sin precio neto</v>
      </c>
    </row>
    <row r="809">
      <c r="A809" s="4" t="str">
        <f>IFERROR(__xludf.DUMMYFUNCTION("""COMPUTED_VALUE"""),"0697/M")</f>
        <v>0697/M</v>
      </c>
      <c r="B809" s="4" t="str">
        <f>IFERROR(__xludf.DUMMYFUNCTION("""COMPUTED_VALUE"""),"Soporte pared para espejo Giotto-Rafaello-Icaro")</f>
        <v>Soporte pared para espejo Giotto-Rafaello-Icaro</v>
      </c>
      <c r="C809" s="4">
        <f>IFERROR(__xludf.DUMMYFUNCTION("""COMPUTED_VALUE"""),13.344)</f>
        <v>13.344</v>
      </c>
      <c r="D809" s="4"/>
      <c r="E809" s="4" t="str">
        <f>IFERROR(__xludf.DUMMYFUNCTION("""COMPUTED_VALUE"""),"Sin precio neto")</f>
        <v>Sin precio neto</v>
      </c>
    </row>
    <row r="810">
      <c r="A810" s="4" t="str">
        <f>IFERROR(__xludf.DUMMYFUNCTION("""COMPUTED_VALUE"""),"0697G")</f>
        <v>0697G</v>
      </c>
      <c r="B810" s="4" t="str">
        <f>IFERROR(__xludf.DUMMYFUNCTION("""COMPUTED_VALUE"""),"Soporte pared p/ espejo 80 cm Mod. Basic")</f>
        <v>Soporte pared p/ espejo 80 cm Mod. Basic</v>
      </c>
      <c r="C810" s="4">
        <f>IFERROR(__xludf.DUMMYFUNCTION("""COMPUTED_VALUE"""),15.6)</f>
        <v>15.6</v>
      </c>
      <c r="D810" s="4"/>
      <c r="E810" s="4" t="str">
        <f>IFERROR(__xludf.DUMMYFUNCTION("""COMPUTED_VALUE"""),"Sin precio neto")</f>
        <v>Sin precio neto</v>
      </c>
    </row>
    <row r="811">
      <c r="A811" s="4" t="str">
        <f>IFERROR(__xludf.DUMMYFUNCTION("""COMPUTED_VALUE"""),"698")</f>
        <v>698</v>
      </c>
      <c r="B811" s="4" t="str">
        <f>IFERROR(__xludf.DUMMYFUNCTION("""COMPUTED_VALUE"""),"Soporte pared señal metalica")</f>
        <v>Soporte pared señal metalica</v>
      </c>
      <c r="C811" s="4">
        <f>IFERROR(__xludf.DUMMYFUNCTION("""COMPUTED_VALUE"""),16.703999999999997)</f>
        <v>16.704</v>
      </c>
      <c r="D811" s="4"/>
      <c r="E811" s="4" t="str">
        <f>IFERROR(__xludf.DUMMYFUNCTION("""COMPUTED_VALUE"""),"Sin precio neto")</f>
        <v>Sin precio neto</v>
      </c>
    </row>
    <row r="812">
      <c r="A812" s="4" t="str">
        <f>IFERROR(__xludf.DUMMYFUNCTION("""COMPUTED_VALUE"""),"699")</f>
        <v>699</v>
      </c>
      <c r="B812" s="4" t="str">
        <f>IFERROR(__xludf.DUMMYFUNCTION("""COMPUTED_VALUE"""),"Señal economica reflex")</f>
        <v>Señal economica reflex</v>
      </c>
      <c r="C812" s="4">
        <f>IFERROR(__xludf.DUMMYFUNCTION("""COMPUTED_VALUE"""),13.92)</f>
        <v>13.92</v>
      </c>
      <c r="D812" s="4"/>
      <c r="E812" s="4" t="str">
        <f>IFERROR(__xludf.DUMMYFUNCTION("""COMPUTED_VALUE"""),"Sin precio neto")</f>
        <v>Sin precio neto</v>
      </c>
    </row>
    <row r="813">
      <c r="A813" s="4" t="str">
        <f>IFERROR(__xludf.DUMMYFUNCTION("""COMPUTED_VALUE"""),"701")</f>
        <v>701</v>
      </c>
      <c r="B813" s="4" t="str">
        <f>IFERROR(__xludf.DUMMYFUNCTION("""COMPUTED_VALUE"""),"Conjunto señalización tubular aparcar con soporte y plesilla")</f>
        <v>Conjunto señalización tubular aparcar con soporte y plesilla</v>
      </c>
      <c r="C813" s="4">
        <f>IFERROR(__xludf.DUMMYFUNCTION("""COMPUTED_VALUE"""),75.84)</f>
        <v>75.84</v>
      </c>
      <c r="D813" s="4"/>
      <c r="E813" s="4" t="str">
        <f>IFERROR(__xludf.DUMMYFUNCTION("""COMPUTED_VALUE"""),"Sin precio neto")</f>
        <v>Sin precio neto</v>
      </c>
    </row>
    <row r="814">
      <c r="A814" s="4" t="str">
        <f>IFERROR(__xludf.DUMMYFUNCTION("""COMPUTED_VALUE"""),"0701/01")</f>
        <v>0701/01</v>
      </c>
      <c r="B814" s="4" t="str">
        <f>IFERROR(__xludf.DUMMYFUNCTION("""COMPUTED_VALUE"""),"Protector esquina acero 45cm lado x 100 cm altura tubo de")</f>
        <v>Protector esquina acero 45cm lado x 100 cm altura tubo de</v>
      </c>
      <c r="C814" s="4">
        <f>IFERROR(__xludf.DUMMYFUNCTION("""COMPUTED_VALUE"""),143.61599999999999)</f>
        <v>143.616</v>
      </c>
      <c r="D814" s="4"/>
      <c r="E814" s="4" t="str">
        <f>IFERROR(__xludf.DUMMYFUNCTION("""COMPUTED_VALUE"""),"Sin precio neto")</f>
        <v>Sin precio neto</v>
      </c>
    </row>
    <row r="815">
      <c r="A815" s="4" t="str">
        <f>IFERROR(__xludf.DUMMYFUNCTION("""COMPUTED_VALUE"""),"0701/03")</f>
        <v>0701/03</v>
      </c>
      <c r="B815" s="4" t="str">
        <f>IFERROR(__xludf.DUMMYFUNCTION("""COMPUTED_VALUE"""),"Protector esquina acero 100 cm lado x 100 cm altura tubo de")</f>
        <v>Protector esquina acero 100 cm lado x 100 cm altura tubo de</v>
      </c>
      <c r="C815" s="4">
        <f>IFERROR(__xludf.DUMMYFUNCTION("""COMPUTED_VALUE"""),211.67999999999998)</f>
        <v>211.68</v>
      </c>
      <c r="D815" s="4"/>
      <c r="E815" s="4" t="str">
        <f>IFERROR(__xludf.DUMMYFUNCTION("""COMPUTED_VALUE"""),"Sin precio neto")</f>
        <v>Sin precio neto</v>
      </c>
    </row>
    <row r="816">
      <c r="A816" s="4" t="str">
        <f>IFERROR(__xludf.DUMMYFUNCTION("""COMPUTED_VALUE"""),"0702/01")</f>
        <v>0702/01</v>
      </c>
      <c r="B816" s="4" t="str">
        <f>IFERROR(__xludf.DUMMYFUNCTION("""COMPUTED_VALUE"""),"Barrera protectora 100 cm largo x 100 cm altura tubo de 50x2")</f>
        <v>Barrera protectora 100 cm largo x 100 cm altura tubo de 50x2</v>
      </c>
      <c r="C816" s="4">
        <f>IFERROR(__xludf.DUMMYFUNCTION("""COMPUTED_VALUE"""),120.96)</f>
        <v>120.96</v>
      </c>
      <c r="D816" s="4"/>
      <c r="E816" s="4" t="str">
        <f>IFERROR(__xludf.DUMMYFUNCTION("""COMPUTED_VALUE"""),"Sin precio neto")</f>
        <v>Sin precio neto</v>
      </c>
    </row>
    <row r="817">
      <c r="A817" s="4" t="str">
        <f>IFERROR(__xludf.DUMMYFUNCTION("""COMPUTED_VALUE"""),"0702/02")</f>
        <v>0702/02</v>
      </c>
      <c r="B817" s="4" t="str">
        <f>IFERROR(__xludf.DUMMYFUNCTION("""COMPUTED_VALUE"""),"Barrera protectora 100 cm largo x 100 cm altura tubo de 50x3")</f>
        <v>Barrera protectora 100 cm largo x 100 cm altura tubo de 50x3</v>
      </c>
      <c r="C817" s="4">
        <f>IFERROR(__xludf.DUMMYFUNCTION("""COMPUTED_VALUE"""),132.048)</f>
        <v>132.048</v>
      </c>
      <c r="D817" s="4"/>
      <c r="E817" s="4" t="str">
        <f>IFERROR(__xludf.DUMMYFUNCTION("""COMPUTED_VALUE"""),"Sin precio neto")</f>
        <v>Sin precio neto</v>
      </c>
    </row>
    <row r="818">
      <c r="A818" s="4" t="str">
        <f>IFERROR(__xludf.DUMMYFUNCTION("""COMPUTED_VALUE"""),"0702/03")</f>
        <v>0702/03</v>
      </c>
      <c r="B818" s="4" t="str">
        <f>IFERROR(__xludf.DUMMYFUNCTION("""COMPUTED_VALUE"""),"Barrera protectora 100 cm largo x 100 cm altura tubo de")</f>
        <v>Barrera protectora 100 cm largo x 100 cm altura tubo de</v>
      </c>
      <c r="C818" s="4">
        <f>IFERROR(__xludf.DUMMYFUNCTION("""COMPUTED_VALUE"""),136.07999999999998)</f>
        <v>136.08</v>
      </c>
      <c r="D818" s="4"/>
      <c r="E818" s="4" t="str">
        <f>IFERROR(__xludf.DUMMYFUNCTION("""COMPUTED_VALUE"""),"Sin precio neto")</f>
        <v>Sin precio neto</v>
      </c>
    </row>
    <row r="819">
      <c r="A819" s="4" t="str">
        <f>IFERROR(__xludf.DUMMYFUNCTION("""COMPUTED_VALUE"""),"0702/04")</f>
        <v>0702/04</v>
      </c>
      <c r="B819" s="4" t="str">
        <f>IFERROR(__xludf.DUMMYFUNCTION("""COMPUTED_VALUE"""),"Barrera protectora 100 cm largo x 100 cm altura tubo de")</f>
        <v>Barrera protectora 100 cm largo x 100 cm altura tubo de</v>
      </c>
      <c r="C819" s="4">
        <f>IFERROR(__xludf.DUMMYFUNCTION("""COMPUTED_VALUE"""),163.79999999999998)</f>
        <v>163.8</v>
      </c>
      <c r="D819" s="4"/>
      <c r="E819" s="4" t="str">
        <f>IFERROR(__xludf.DUMMYFUNCTION("""COMPUTED_VALUE"""),"Sin precio neto")</f>
        <v>Sin precio neto</v>
      </c>
    </row>
    <row r="820">
      <c r="A820" s="4" t="str">
        <f>IFERROR(__xludf.DUMMYFUNCTION("""COMPUTED_VALUE"""),"0702/05")</f>
        <v>0702/05</v>
      </c>
      <c r="B820" s="4" t="str">
        <f>IFERROR(__xludf.DUMMYFUNCTION("""COMPUTED_VALUE"""),"Barrera protectora 200 cm largo x 100 cm altura tubo de")</f>
        <v>Barrera protectora 200 cm largo x 100 cm altura tubo de</v>
      </c>
      <c r="C820" s="4">
        <f>IFERROR(__xludf.DUMMYFUNCTION("""COMPUTED_VALUE"""),166.32)</f>
        <v>166.32</v>
      </c>
      <c r="D820" s="4"/>
      <c r="E820" s="4" t="str">
        <f>IFERROR(__xludf.DUMMYFUNCTION("""COMPUTED_VALUE"""),"Sin precio neto")</f>
        <v>Sin precio neto</v>
      </c>
    </row>
    <row r="821">
      <c r="A821" s="4" t="str">
        <f>IFERROR(__xludf.DUMMYFUNCTION("""COMPUTED_VALUE"""),"0702/06")</f>
        <v>0702/06</v>
      </c>
      <c r="B821" s="4" t="str">
        <f>IFERROR(__xludf.DUMMYFUNCTION("""COMPUTED_VALUE"""),"Barrera protectora 200 cm largo x 100 cm altura tubo 50x3mm")</f>
        <v>Barrera protectora 200 cm largo x 100 cm altura tubo 50x3mm</v>
      </c>
      <c r="C821" s="4">
        <f>IFERROR(__xludf.DUMMYFUNCTION("""COMPUTED_VALUE"""),214.2)</f>
        <v>214.2</v>
      </c>
      <c r="D821" s="4"/>
      <c r="E821" s="4" t="str">
        <f>IFERROR(__xludf.DUMMYFUNCTION("""COMPUTED_VALUE"""),"Sin precio neto")</f>
        <v>Sin precio neto</v>
      </c>
    </row>
    <row r="822">
      <c r="A822" s="4" t="str">
        <f>IFERROR(__xludf.DUMMYFUNCTION("""COMPUTED_VALUE"""),"0702/07")</f>
        <v>0702/07</v>
      </c>
      <c r="B822" s="4" t="str">
        <f>IFERROR(__xludf.DUMMYFUNCTION("""COMPUTED_VALUE"""),"Barrera protectora 200 cm largo x 100 cm altura tubo de")</f>
        <v>Barrera protectora 200 cm largo x 100 cm altura tubo de</v>
      </c>
      <c r="C822" s="4">
        <f>IFERROR(__xludf.DUMMYFUNCTION("""COMPUTED_VALUE"""),168.84)</f>
        <v>168.84</v>
      </c>
      <c r="D822" s="4"/>
      <c r="E822" s="4" t="str">
        <f>IFERROR(__xludf.DUMMYFUNCTION("""COMPUTED_VALUE"""),"Sin precio neto")</f>
        <v>Sin precio neto</v>
      </c>
    </row>
    <row r="823">
      <c r="A823" s="4" t="str">
        <f>IFERROR(__xludf.DUMMYFUNCTION("""COMPUTED_VALUE"""),"0702/08")</f>
        <v>0702/08</v>
      </c>
      <c r="B823" s="4" t="str">
        <f>IFERROR(__xludf.DUMMYFUNCTION("""COMPUTED_VALUE"""),"Barrera protectora 200 cm largo x 100 cm altura tubo de")</f>
        <v>Barrera protectora 200 cm largo x 100 cm altura tubo de</v>
      </c>
      <c r="C823" s="4">
        <f>IFERROR(__xludf.DUMMYFUNCTION("""COMPUTED_VALUE"""),226.79999999999998)</f>
        <v>226.8</v>
      </c>
      <c r="D823" s="4"/>
      <c r="E823" s="4" t="str">
        <f>IFERROR(__xludf.DUMMYFUNCTION("""COMPUTED_VALUE"""),"Sin precio neto")</f>
        <v>Sin precio neto</v>
      </c>
    </row>
    <row r="824">
      <c r="A824" s="4" t="str">
        <f>IFERROR(__xludf.DUMMYFUNCTION("""COMPUTED_VALUE"""),"0703/01")</f>
        <v>0703/01</v>
      </c>
      <c r="B824" s="4" t="str">
        <f>IFERROR(__xludf.DUMMYFUNCTION("""COMPUTED_VALUE"""),"Barrera protectora reforzada 100 cm largo x 100 cm altura tubo")</f>
        <v>Barrera protectora reforzada 100 cm largo x 100 cm altura tubo</v>
      </c>
      <c r="C824" s="4">
        <f>IFERROR(__xludf.DUMMYFUNCTION("""COMPUTED_VALUE"""),176.4)</f>
        <v>176.4</v>
      </c>
      <c r="D824" s="4"/>
      <c r="E824" s="4" t="str">
        <f>IFERROR(__xludf.DUMMYFUNCTION("""COMPUTED_VALUE"""),"Sin precio neto")</f>
        <v>Sin precio neto</v>
      </c>
    </row>
    <row r="825">
      <c r="A825" s="4" t="str">
        <f>IFERROR(__xludf.DUMMYFUNCTION("""COMPUTED_VALUE"""),"0703/02")</f>
        <v>0703/02</v>
      </c>
      <c r="B825" s="4" t="str">
        <f>IFERROR(__xludf.DUMMYFUNCTION("""COMPUTED_VALUE"""),"Barrera protectora reforzada 100 cm largo x 100 cm altura tubo")</f>
        <v>Barrera protectora reforzada 100 cm largo x 100 cm altura tubo</v>
      </c>
      <c r="C825" s="4">
        <f>IFERROR(__xludf.DUMMYFUNCTION("""COMPUTED_VALUE"""),141.12)</f>
        <v>141.12</v>
      </c>
      <c r="D825" s="4"/>
      <c r="E825" s="4" t="str">
        <f>IFERROR(__xludf.DUMMYFUNCTION("""COMPUTED_VALUE"""),"Sin precio neto")</f>
        <v>Sin precio neto</v>
      </c>
    </row>
    <row r="826">
      <c r="A826" s="4" t="str">
        <f>IFERROR(__xludf.DUMMYFUNCTION("""COMPUTED_VALUE"""),"0703/03")</f>
        <v>0703/03</v>
      </c>
      <c r="B826" s="4" t="str">
        <f>IFERROR(__xludf.DUMMYFUNCTION("""COMPUTED_VALUE"""),"Barrera protectora reforzada 100 cm largo x 100 cm altura tubo")</f>
        <v>Barrera protectora reforzada 100 cm largo x 100 cm altura tubo</v>
      </c>
      <c r="C826" s="4">
        <f>IFERROR(__xludf.DUMMYFUNCTION("""COMPUTED_VALUE"""),131.04)</f>
        <v>131.04</v>
      </c>
      <c r="D826" s="4"/>
      <c r="E826" s="4" t="str">
        <f>IFERROR(__xludf.DUMMYFUNCTION("""COMPUTED_VALUE"""),"Sin precio neto")</f>
        <v>Sin precio neto</v>
      </c>
    </row>
    <row r="827">
      <c r="A827" s="4" t="str">
        <f>IFERROR(__xludf.DUMMYFUNCTION("""COMPUTED_VALUE"""),"0703/04")</f>
        <v>0703/04</v>
      </c>
      <c r="B827" s="4" t="str">
        <f>IFERROR(__xludf.DUMMYFUNCTION("""COMPUTED_VALUE"""),"Barrera protectora reforzada 100 cm largo x 100 cm altura tubo")</f>
        <v>Barrera protectora reforzada 100 cm largo x 100 cm altura tubo</v>
      </c>
      <c r="C827" s="4">
        <f>IFERROR(__xludf.DUMMYFUNCTION("""COMPUTED_VALUE"""),176.4)</f>
        <v>176.4</v>
      </c>
      <c r="D827" s="4"/>
      <c r="E827" s="4" t="str">
        <f>IFERROR(__xludf.DUMMYFUNCTION("""COMPUTED_VALUE"""),"Sin precio neto")</f>
        <v>Sin precio neto</v>
      </c>
    </row>
    <row r="828">
      <c r="A828" s="4" t="str">
        <f>IFERROR(__xludf.DUMMYFUNCTION("""COMPUTED_VALUE"""),"0703/05")</f>
        <v>0703/05</v>
      </c>
      <c r="B828" s="4" t="str">
        <f>IFERROR(__xludf.DUMMYFUNCTION("""COMPUTED_VALUE"""),"Barrera protectora reforzada 200 cm largo x 100 cm altura tubo")</f>
        <v>Barrera protectora reforzada 200 cm largo x 100 cm altura tubo</v>
      </c>
      <c r="C828" s="4">
        <f>IFERROR(__xludf.DUMMYFUNCTION("""COMPUTED_VALUE"""),189.0)</f>
        <v>189</v>
      </c>
      <c r="D828" s="4"/>
      <c r="E828" s="4" t="str">
        <f>IFERROR(__xludf.DUMMYFUNCTION("""COMPUTED_VALUE"""),"Sin precio neto")</f>
        <v>Sin precio neto</v>
      </c>
    </row>
    <row r="829">
      <c r="A829" s="4" t="str">
        <f>IFERROR(__xludf.DUMMYFUNCTION("""COMPUTED_VALUE"""),"0703/06")</f>
        <v>0703/06</v>
      </c>
      <c r="B829" s="4" t="str">
        <f>IFERROR(__xludf.DUMMYFUNCTION("""COMPUTED_VALUE"""),"Barrera protectora reforzada 200 cm largo x 100 cm altura tubo")</f>
        <v>Barrera protectora reforzada 200 cm largo x 100 cm altura tubo</v>
      </c>
      <c r="C829" s="4">
        <f>IFERROR(__xludf.DUMMYFUNCTION("""COMPUTED_VALUE"""),214.2)</f>
        <v>214.2</v>
      </c>
      <c r="D829" s="4"/>
      <c r="E829" s="4" t="str">
        <f>IFERROR(__xludf.DUMMYFUNCTION("""COMPUTED_VALUE"""),"Sin precio neto")</f>
        <v>Sin precio neto</v>
      </c>
    </row>
    <row r="830">
      <c r="A830" s="4" t="str">
        <f>IFERROR(__xludf.DUMMYFUNCTION("""COMPUTED_VALUE"""),"0703/07")</f>
        <v>0703/07</v>
      </c>
      <c r="B830" s="4" t="str">
        <f>IFERROR(__xludf.DUMMYFUNCTION("""COMPUTED_VALUE"""),"Barrera protectora reforzada 200 cm largo x 100 cm altura tubo")</f>
        <v>Barrera protectora reforzada 200 cm largo x 100 cm altura tubo</v>
      </c>
      <c r="C830" s="4">
        <f>IFERROR(__xludf.DUMMYFUNCTION("""COMPUTED_VALUE"""),189.0)</f>
        <v>189</v>
      </c>
      <c r="D830" s="4"/>
      <c r="E830" s="4" t="str">
        <f>IFERROR(__xludf.DUMMYFUNCTION("""COMPUTED_VALUE"""),"Sin precio neto")</f>
        <v>Sin precio neto</v>
      </c>
    </row>
    <row r="831">
      <c r="A831" s="4" t="str">
        <f>IFERROR(__xludf.DUMMYFUNCTION("""COMPUTED_VALUE"""),"0703/08")</f>
        <v>0703/08</v>
      </c>
      <c r="B831" s="4" t="str">
        <f>IFERROR(__xludf.DUMMYFUNCTION("""COMPUTED_VALUE"""),"Barrera protectora reforzada 200 cm largo x 100 cm altiura tubo")</f>
        <v>Barrera protectora reforzada 200 cm largo x 100 cm altiura tubo</v>
      </c>
      <c r="C831" s="4">
        <f>IFERROR(__xludf.DUMMYFUNCTION("""COMPUTED_VALUE"""),236.88)</f>
        <v>236.88</v>
      </c>
      <c r="D831" s="4"/>
      <c r="E831" s="4" t="str">
        <f>IFERROR(__xludf.DUMMYFUNCTION("""COMPUTED_VALUE"""),"Sin precio neto")</f>
        <v>Sin precio neto</v>
      </c>
    </row>
    <row r="832">
      <c r="A832" s="4" t="str">
        <f>IFERROR(__xludf.DUMMYFUNCTION("""COMPUTED_VALUE"""),"0704/01")</f>
        <v>0704/01</v>
      </c>
      <c r="B832" s="4" t="str">
        <f>IFERROR(__xludf.DUMMYFUNCTION("""COMPUTED_VALUE"""),"Bolardo acero N/A 100 cm altura tubo 60x2mm")</f>
        <v>Bolardo acero N/A 100 cm altura tubo 60x2mm</v>
      </c>
      <c r="C832" s="4">
        <f>IFERROR(__xludf.DUMMYFUNCTION("""COMPUTED_VALUE"""),60.48)</f>
        <v>60.48</v>
      </c>
      <c r="D832" s="4"/>
      <c r="E832" s="4" t="str">
        <f>IFERROR(__xludf.DUMMYFUNCTION("""COMPUTED_VALUE"""),"Sin precio neto")</f>
        <v>Sin precio neto</v>
      </c>
    </row>
    <row r="833">
      <c r="A833" s="4" t="str">
        <f>IFERROR(__xludf.DUMMYFUNCTION("""COMPUTED_VALUE"""),"0704/02")</f>
        <v>0704/02</v>
      </c>
      <c r="B833" s="4" t="str">
        <f>IFERROR(__xludf.DUMMYFUNCTION("""COMPUTED_VALUE"""),"Bolardo acero N/A 100 cm altura tubo de 80x2mm")</f>
        <v>Bolardo acero N/A 100 cm altura tubo de 80x2mm</v>
      </c>
      <c r="C833" s="4">
        <f>IFERROR(__xludf.DUMMYFUNCTION("""COMPUTED_VALUE"""),75.6)</f>
        <v>75.6</v>
      </c>
      <c r="D833" s="4"/>
      <c r="E833" s="4" t="str">
        <f>IFERROR(__xludf.DUMMYFUNCTION("""COMPUTED_VALUE"""),"Sin precio neto")</f>
        <v>Sin precio neto</v>
      </c>
    </row>
    <row r="834">
      <c r="A834" s="4" t="str">
        <f>IFERROR(__xludf.DUMMYFUNCTION("""COMPUTED_VALUE"""),"0705/01")</f>
        <v>0705/01</v>
      </c>
      <c r="B834" s="4" t="str">
        <f>IFERROR(__xludf.DUMMYFUNCTION("""COMPUTED_VALUE"""),"Zocalo proteccion 200 cm largo x 6,6 cm altura tubo de")</f>
        <v>Zocalo proteccion 200 cm largo x 6,6 cm altura tubo de</v>
      </c>
      <c r="C834" s="4">
        <f>IFERROR(__xludf.DUMMYFUNCTION("""COMPUTED_VALUE"""),95.75999999999999)</f>
        <v>95.76</v>
      </c>
      <c r="D834" s="4"/>
      <c r="E834" s="4" t="str">
        <f>IFERROR(__xludf.DUMMYFUNCTION("""COMPUTED_VALUE"""),"Sin precio neto")</f>
        <v>Sin precio neto</v>
      </c>
    </row>
    <row r="835">
      <c r="A835" s="4" t="str">
        <f>IFERROR(__xludf.DUMMYFUNCTION("""COMPUTED_VALUE"""),"0705/02")</f>
        <v>0705/02</v>
      </c>
      <c r="B835" s="4" t="str">
        <f>IFERROR(__xludf.DUMMYFUNCTION("""COMPUTED_VALUE"""),"Zocalo proteccion 200 cm largo x 8,6 cm altura tubo de")</f>
        <v>Zocalo proteccion 200 cm largo x 8,6 cm altura tubo de</v>
      </c>
      <c r="C835" s="4">
        <f>IFERROR(__xludf.DUMMYFUNCTION("""COMPUTED_VALUE"""),113.39999999999999)</f>
        <v>113.4</v>
      </c>
      <c r="D835" s="4"/>
      <c r="E835" s="4" t="str">
        <f>IFERROR(__xludf.DUMMYFUNCTION("""COMPUTED_VALUE"""),"Sin precio neto")</f>
        <v>Sin precio neto</v>
      </c>
    </row>
    <row r="836">
      <c r="A836" s="4" t="str">
        <f>IFERROR(__xludf.DUMMYFUNCTION("""COMPUTED_VALUE"""),"706")</f>
        <v>706</v>
      </c>
      <c r="B836" s="4" t="str">
        <f>IFERROR(__xludf.DUMMYFUNCTION("""COMPUTED_VALUE"""),"Placa Taller 50x50 cm personalizable")</f>
        <v>Placa Taller 50x50 cm personalizable</v>
      </c>
      <c r="C836" s="4">
        <f>IFERROR(__xludf.DUMMYFUNCTION("""COMPUTED_VALUE"""),10.799999999999999)</f>
        <v>10.8</v>
      </c>
      <c r="D836" s="4"/>
      <c r="E836" s="4" t="str">
        <f>IFERROR(__xludf.DUMMYFUNCTION("""COMPUTED_VALUE"""),"Sin precio neto")</f>
        <v>Sin precio neto</v>
      </c>
    </row>
    <row r="837">
      <c r="A837" s="4" t="str">
        <f>IFERROR(__xludf.DUMMYFUNCTION("""COMPUTED_VALUE"""),"708")</f>
        <v>708</v>
      </c>
      <c r="B837" s="4" t="str">
        <f>IFERROR(__xludf.DUMMYFUNCTION("""COMPUTED_VALUE"""),"Conjunto prohibido aparcar + trípode con plesilla")</f>
        <v>Conjunto prohibido aparcar + trípode con plesilla</v>
      </c>
      <c r="C837" s="4">
        <f>IFERROR(__xludf.DUMMYFUNCTION("""COMPUTED_VALUE"""),29.759999999999998)</f>
        <v>29.76</v>
      </c>
      <c r="D837" s="4"/>
      <c r="E837" s="4" t="str">
        <f>IFERROR(__xludf.DUMMYFUNCTION("""COMPUTED_VALUE"""),"Sin precio neto")</f>
        <v>Sin precio neto</v>
      </c>
    </row>
    <row r="838">
      <c r="A838" s="4" t="str">
        <f>IFERROR(__xludf.DUMMYFUNCTION("""COMPUTED_VALUE"""),"710")</f>
        <v>710</v>
      </c>
      <c r="B838" s="4" t="str">
        <f>IFERROR(__xludf.DUMMYFUNCTION("""COMPUTED_VALUE"""),"Placa mercancias peligrosas fija 40x30 troquelada")</f>
        <v>Placa mercancias peligrosas fija 40x30 troquelada</v>
      </c>
      <c r="C838" s="4">
        <f>IFERROR(__xludf.DUMMYFUNCTION("""COMPUTED_VALUE"""),31.583999999999996)</f>
        <v>31.584</v>
      </c>
      <c r="D838" s="4"/>
      <c r="E838" s="4" t="str">
        <f>IFERROR(__xludf.DUMMYFUNCTION("""COMPUTED_VALUE"""),"Sin precio neto")</f>
        <v>Sin precio neto</v>
      </c>
    </row>
    <row r="839">
      <c r="A839" s="4" t="str">
        <f>IFERROR(__xludf.DUMMYFUNCTION("""COMPUTED_VALUE"""),"0710T")</f>
        <v>0710T</v>
      </c>
      <c r="B839" s="4" t="str">
        <f>IFERROR(__xludf.DUMMYFUNCTION("""COMPUTED_VALUE"""),"Placa mercancia peligrosa plegable sin troquelar 40x30")</f>
        <v>Placa mercancia peligrosa plegable sin troquelar 40x30</v>
      </c>
      <c r="C839" s="4">
        <f>IFERROR(__xludf.DUMMYFUNCTION("""COMPUTED_VALUE"""),21.216)</f>
        <v>21.216</v>
      </c>
      <c r="D839" s="4"/>
      <c r="E839" s="4" t="str">
        <f>IFERROR(__xludf.DUMMYFUNCTION("""COMPUTED_VALUE"""),"Sin precio neto")</f>
        <v>Sin precio neto</v>
      </c>
    </row>
    <row r="840">
      <c r="A840" s="4" t="str">
        <f>IFERROR(__xludf.DUMMYFUNCTION("""COMPUTED_VALUE"""),"711")</f>
        <v>711</v>
      </c>
      <c r="B840" s="4" t="str">
        <f>IFERROR(__xludf.DUMMYFUNCTION("""COMPUTED_VALUE"""),"Disco nacional 20 cm diám Limitacion Velocidad alumin, Reflex")</f>
        <v>Disco nacional 20 cm diám Limitacion Velocidad alumin, Reflex</v>
      </c>
      <c r="C840" s="4">
        <f>IFERROR(__xludf.DUMMYFUNCTION("""COMPUTED_VALUE"""),7.68)</f>
        <v>7.68</v>
      </c>
      <c r="D840" s="4"/>
      <c r="E840" s="4" t="str">
        <f>IFERROR(__xludf.DUMMYFUNCTION("""COMPUTED_VALUE"""),"Sin precio neto")</f>
        <v>Sin precio neto</v>
      </c>
    </row>
    <row r="841">
      <c r="A841" s="4" t="str">
        <f>IFERROR(__xludf.DUMMYFUNCTION("""COMPUTED_VALUE"""),"0711/20")</f>
        <v>0711/20</v>
      </c>
      <c r="B841" s="4" t="str">
        <f>IFERROR(__xludf.DUMMYFUNCTION("""COMPUTED_VALUE"""),"Disco alum. diam.20cm Lim Velocidad 20 Reflex 2")</f>
        <v>Disco alum. diam.20cm Lim Velocidad 20 Reflex 2</v>
      </c>
      <c r="C841" s="4">
        <f>IFERROR(__xludf.DUMMYFUNCTION("""COMPUTED_VALUE"""),7.56)</f>
        <v>7.56</v>
      </c>
      <c r="D841" s="4"/>
      <c r="E841" s="4" t="str">
        <f>IFERROR(__xludf.DUMMYFUNCTION("""COMPUTED_VALUE"""),"Sin precio neto")</f>
        <v>Sin precio neto</v>
      </c>
    </row>
    <row r="842">
      <c r="A842" s="4" t="str">
        <f>IFERROR(__xludf.DUMMYFUNCTION("""COMPUTED_VALUE"""),"0711/25")</f>
        <v>0711/25</v>
      </c>
      <c r="B842" s="4" t="str">
        <f>IFERROR(__xludf.DUMMYFUNCTION("""COMPUTED_VALUE"""),"Disco alum. diam.20cm Lim Velocidad 25 Reflex 2")</f>
        <v>Disco alum. diam.20cm Lim Velocidad 25 Reflex 2</v>
      </c>
      <c r="C842" s="4">
        <f>IFERROR(__xludf.DUMMYFUNCTION("""COMPUTED_VALUE"""),7.56)</f>
        <v>7.56</v>
      </c>
      <c r="D842" s="4"/>
      <c r="E842" s="4" t="str">
        <f>IFERROR(__xludf.DUMMYFUNCTION("""COMPUTED_VALUE"""),"Sin precio neto")</f>
        <v>Sin precio neto</v>
      </c>
    </row>
    <row r="843">
      <c r="A843" s="4" t="str">
        <f>IFERROR(__xludf.DUMMYFUNCTION("""COMPUTED_VALUE"""),"0711/30")</f>
        <v>0711/30</v>
      </c>
      <c r="B843" s="4" t="str">
        <f>IFERROR(__xludf.DUMMYFUNCTION("""COMPUTED_VALUE"""),"Disco alum. diam.20cm Lim Velocidad 30 Reflex 2")</f>
        <v>Disco alum. diam.20cm Lim Velocidad 30 Reflex 2</v>
      </c>
      <c r="C843" s="4">
        <f>IFERROR(__xludf.DUMMYFUNCTION("""COMPUTED_VALUE"""),7.56)</f>
        <v>7.56</v>
      </c>
      <c r="D843" s="4"/>
      <c r="E843" s="4" t="str">
        <f>IFERROR(__xludf.DUMMYFUNCTION("""COMPUTED_VALUE"""),"Sin precio neto")</f>
        <v>Sin precio neto</v>
      </c>
    </row>
    <row r="844">
      <c r="A844" s="4" t="str">
        <f>IFERROR(__xludf.DUMMYFUNCTION("""COMPUTED_VALUE"""),"0711/35")</f>
        <v>0711/35</v>
      </c>
      <c r="B844" s="4" t="str">
        <f>IFERROR(__xludf.DUMMYFUNCTION("""COMPUTED_VALUE"""),"Disco alum. diam.20cm Lim Velocidad 35 Reflex 2")</f>
        <v>Disco alum. diam.20cm Lim Velocidad 35 Reflex 2</v>
      </c>
      <c r="C844" s="4">
        <f>IFERROR(__xludf.DUMMYFUNCTION("""COMPUTED_VALUE"""),7.56)</f>
        <v>7.56</v>
      </c>
      <c r="D844" s="4"/>
      <c r="E844" s="4" t="str">
        <f>IFERROR(__xludf.DUMMYFUNCTION("""COMPUTED_VALUE"""),"Sin precio neto")</f>
        <v>Sin precio neto</v>
      </c>
    </row>
    <row r="845">
      <c r="A845" s="4" t="str">
        <f>IFERROR(__xludf.DUMMYFUNCTION("""COMPUTED_VALUE"""),"0711/40")</f>
        <v>0711/40</v>
      </c>
      <c r="B845" s="4" t="str">
        <f>IFERROR(__xludf.DUMMYFUNCTION("""COMPUTED_VALUE"""),"Disco alum. diam.20cm Lim Velocidad 40 Reflex 2")</f>
        <v>Disco alum. diam.20cm Lim Velocidad 40 Reflex 2</v>
      </c>
      <c r="C845" s="4">
        <f>IFERROR(__xludf.DUMMYFUNCTION("""COMPUTED_VALUE"""),7.56)</f>
        <v>7.56</v>
      </c>
      <c r="D845" s="4"/>
      <c r="E845" s="4" t="str">
        <f>IFERROR(__xludf.DUMMYFUNCTION("""COMPUTED_VALUE"""),"Sin precio neto")</f>
        <v>Sin precio neto</v>
      </c>
    </row>
    <row r="846">
      <c r="A846" s="4" t="str">
        <f>IFERROR(__xludf.DUMMYFUNCTION("""COMPUTED_VALUE"""),"0711/45")</f>
        <v>0711/45</v>
      </c>
      <c r="B846" s="4" t="str">
        <f>IFERROR(__xludf.DUMMYFUNCTION("""COMPUTED_VALUE"""),"Disco alum. diam.20cm Lim Velocidad 45 Reflex 2")</f>
        <v>Disco alum. diam.20cm Lim Velocidad 45 Reflex 2</v>
      </c>
      <c r="C846" s="4">
        <f>IFERROR(__xludf.DUMMYFUNCTION("""COMPUTED_VALUE"""),7.56)</f>
        <v>7.56</v>
      </c>
      <c r="D846" s="4"/>
      <c r="E846" s="4" t="str">
        <f>IFERROR(__xludf.DUMMYFUNCTION("""COMPUTED_VALUE"""),"Sin precio neto")</f>
        <v>Sin precio neto</v>
      </c>
    </row>
    <row r="847">
      <c r="A847" s="4" t="str">
        <f>IFERROR(__xludf.DUMMYFUNCTION("""COMPUTED_VALUE"""),"712")</f>
        <v>712</v>
      </c>
      <c r="B847" s="4" t="str">
        <f>IFERROR(__xludf.DUMMYFUNCTION("""COMPUTED_VALUE"""),"Placa Servicio Público 75x150 mm aluminiro Reflex 2")</f>
        <v>Placa Servicio Público 75x150 mm aluminiro Reflex 2</v>
      </c>
      <c r="C847" s="4">
        <f>IFERROR(__xludf.DUMMYFUNCTION("""COMPUTED_VALUE"""),4.08)</f>
        <v>4.08</v>
      </c>
      <c r="D847" s="4"/>
      <c r="E847" s="4" t="str">
        <f>IFERROR(__xludf.DUMMYFUNCTION("""COMPUTED_VALUE"""),"Sin precio neto")</f>
        <v>Sin precio neto</v>
      </c>
    </row>
    <row r="848">
      <c r="A848" s="4" t="str">
        <f>IFERROR(__xludf.DUMMYFUNCTION("""COMPUTED_VALUE"""),"713")</f>
        <v>713</v>
      </c>
      <c r="B848" s="4" t="str">
        <f>IFERROR(__xludf.DUMMYFUNCTION("""COMPUTED_VALUE"""),"Placa Servicio Público 120x225 mm aluminio Reflex N2")</f>
        <v>Placa Servicio Público 120x225 mm aluminio Reflex N2</v>
      </c>
      <c r="C848" s="4">
        <f>IFERROR(__xludf.DUMMYFUNCTION("""COMPUTED_VALUE"""),6.4799999999999995)</f>
        <v>6.48</v>
      </c>
      <c r="D848" s="4"/>
      <c r="E848" s="4" t="str">
        <f>IFERROR(__xludf.DUMMYFUNCTION("""COMPUTED_VALUE"""),"Sin precio neto")</f>
        <v>Sin precio neto</v>
      </c>
    </row>
    <row r="849">
      <c r="A849" s="4" t="str">
        <f>IFERROR(__xludf.DUMMYFUNCTION("""COMPUTED_VALUE"""),"714")</f>
        <v>714</v>
      </c>
      <c r="B849" s="4" t="str">
        <f>IFERROR(__xludf.DUMMYFUNCTION("""COMPUTED_VALUE"""),"Señal Transporte Animales Vivos aluminio 30x22 cm")</f>
        <v>Señal Transporte Animales Vivos aluminio 30x22 cm</v>
      </c>
      <c r="C849" s="4">
        <f>IFERROR(__xludf.DUMMYFUNCTION("""COMPUTED_VALUE"""),7.4399999999999995)</f>
        <v>7.44</v>
      </c>
      <c r="D849" s="4"/>
      <c r="E849" s="4" t="str">
        <f>IFERROR(__xludf.DUMMYFUNCTION("""COMPUTED_VALUE"""),"Sin precio neto")</f>
        <v>Sin precio neto</v>
      </c>
    </row>
    <row r="850">
      <c r="A850" s="4" t="str">
        <f>IFERROR(__xludf.DUMMYFUNCTION("""COMPUTED_VALUE"""),"715")</f>
        <v>715</v>
      </c>
      <c r="B850" s="4" t="str">
        <f>IFERROR(__xludf.DUMMYFUNCTION("""COMPUTED_VALUE"""),"Señal adhesiva de TARA P.M.A. 130x330 mm")</f>
        <v>Señal adhesiva de TARA P.M.A. 130x330 mm</v>
      </c>
      <c r="C850" s="4">
        <f>IFERROR(__xludf.DUMMYFUNCTION("""COMPUTED_VALUE"""),1.92)</f>
        <v>1.92</v>
      </c>
      <c r="D850" s="4"/>
      <c r="E850" s="4" t="str">
        <f>IFERROR(__xludf.DUMMYFUNCTION("""COMPUTED_VALUE"""),"Sin precio neto")</f>
        <v>Sin precio neto</v>
      </c>
    </row>
    <row r="851">
      <c r="A851" s="4" t="str">
        <f>IFERROR(__xludf.DUMMYFUNCTION("""COMPUTED_VALUE"""),"716")</f>
        <v>716</v>
      </c>
      <c r="B851" s="4" t="str">
        <f>IFERROR(__xludf.DUMMYFUNCTION("""COMPUTED_VALUE"""),"Placa Vehículo Lento 365 mm de lado aluminio Reflex N2")</f>
        <v>Placa Vehículo Lento 365 mm de lado aluminio Reflex N2</v>
      </c>
      <c r="C851" s="4">
        <f>IFERROR(__xludf.DUMMYFUNCTION("""COMPUTED_VALUE"""),20.16)</f>
        <v>20.16</v>
      </c>
      <c r="D851" s="4"/>
      <c r="E851" s="4" t="str">
        <f>IFERROR(__xludf.DUMMYFUNCTION("""COMPUTED_VALUE"""),"Sin precio neto")</f>
        <v>Sin precio neto</v>
      </c>
    </row>
    <row r="852">
      <c r="A852" s="4" t="str">
        <f>IFERROR(__xludf.DUMMYFUNCTION("""COMPUTED_VALUE"""),"717")</f>
        <v>717</v>
      </c>
      <c r="B852" s="4" t="str">
        <f>IFERROR(__xludf.DUMMYFUNCTION("""COMPUTED_VALUE"""),"Placa R-70 corta 565x200mm vehic. largo (juego2 pzas)")</f>
        <v>Placa R-70 corta 565x200mm vehic. largo (juego2 pzas)</v>
      </c>
      <c r="C852" s="4">
        <f>IFERROR(__xludf.DUMMYFUNCTION("""COMPUTED_VALUE"""),32.64)</f>
        <v>32.64</v>
      </c>
      <c r="D852" s="4"/>
      <c r="E852" s="4" t="str">
        <f>IFERROR(__xludf.DUMMYFUNCTION("""COMPUTED_VALUE"""),"Sin precio neto")</f>
        <v>Sin precio neto</v>
      </c>
    </row>
    <row r="853">
      <c r="A853" s="4" t="str">
        <f>IFERROR(__xludf.DUMMYFUNCTION("""COMPUTED_VALUE"""),"0717/L")</f>
        <v>0717/L</v>
      </c>
      <c r="B853" s="4" t="str">
        <f>IFERROR(__xludf.DUMMYFUNCTION("""COMPUTED_VALUE"""),"Placa 1130x200mm vehículo Largo Reflex N2 Homol. Europea")</f>
        <v>Placa 1130x200mm vehículo Largo Reflex N2 Homol. Europea</v>
      </c>
      <c r="C853" s="4">
        <f>IFERROR(__xludf.DUMMYFUNCTION("""COMPUTED_VALUE"""),26.88)</f>
        <v>26.88</v>
      </c>
      <c r="D853" s="4"/>
      <c r="E853" s="4" t="str">
        <f>IFERROR(__xludf.DUMMYFUNCTION("""COMPUTED_VALUE"""),"Sin precio neto")</f>
        <v>Sin precio neto</v>
      </c>
    </row>
    <row r="854">
      <c r="A854" s="4" t="str">
        <f>IFERROR(__xludf.DUMMYFUNCTION("""COMPUTED_VALUE"""),"719")</f>
        <v>719</v>
      </c>
      <c r="B854" s="4" t="str">
        <f>IFERROR(__xludf.DUMMYFUNCTION("""COMPUTED_VALUE"""),"Placa 1ª categ COTO PRIVADO DE CAZA + matric. Troquel.")</f>
        <v>Placa 1ª categ COTO PRIVADO DE CAZA + matric. Troquel.</v>
      </c>
      <c r="C854" s="4">
        <f>IFERROR(__xludf.DUMMYFUNCTION("""COMPUTED_VALUE"""),10.559999999999999)</f>
        <v>10.56</v>
      </c>
      <c r="D854" s="4"/>
      <c r="E854" s="4" t="str">
        <f>IFERROR(__xludf.DUMMYFUNCTION("""COMPUTED_VALUE"""),"Sin precio neto")</f>
        <v>Sin precio neto</v>
      </c>
    </row>
    <row r="855">
      <c r="A855" s="4" t="str">
        <f>IFERROR(__xludf.DUMMYFUNCTION("""COMPUTED_VALUE"""),"720")</f>
        <v>720</v>
      </c>
      <c r="B855" s="4" t="str">
        <f>IFERROR(__xludf.DUMMYFUNCTION("""COMPUTED_VALUE"""),"Placa 2ª categ. COTO DE CAZA 30X20 cm")</f>
        <v>Placa 2ª categ. COTO DE CAZA 30X20 cm</v>
      </c>
      <c r="C855" s="4">
        <f>IFERROR(__xludf.DUMMYFUNCTION("""COMPUTED_VALUE"""),5.76)</f>
        <v>5.76</v>
      </c>
      <c r="D855" s="4"/>
      <c r="E855" s="4" t="str">
        <f>IFERROR(__xludf.DUMMYFUNCTION("""COMPUTED_VALUE"""),"Sin precio neto")</f>
        <v>Sin precio neto</v>
      </c>
    </row>
    <row r="856">
      <c r="A856" s="4" t="str">
        <f>IFERROR(__xludf.DUMMYFUNCTION("""COMPUTED_VALUE"""),"721")</f>
        <v>721</v>
      </c>
      <c r="B856" s="4" t="str">
        <f>IFERROR(__xludf.DUMMYFUNCTION("""COMPUTED_VALUE"""),"Placa Nº puerta aluminio 19x14cm azul")</f>
        <v>Placa Nº puerta aluminio 19x14cm azul</v>
      </c>
      <c r="C856" s="4">
        <f>IFERROR(__xludf.DUMMYFUNCTION("""COMPUTED_VALUE"""),3.84)</f>
        <v>3.84</v>
      </c>
      <c r="D856" s="4"/>
      <c r="E856" s="4" t="str">
        <f>IFERROR(__xludf.DUMMYFUNCTION("""COMPUTED_VALUE"""),"Sin precio neto")</f>
        <v>Sin precio neto</v>
      </c>
    </row>
    <row r="857">
      <c r="A857" s="4" t="str">
        <f>IFERROR(__xludf.DUMMYFUNCTION("""COMPUTED_VALUE"""),"722")</f>
        <v>722</v>
      </c>
      <c r="B857" s="4" t="str">
        <f>IFERROR(__xludf.DUMMYFUNCTION("""COMPUTED_VALUE"""),"Placa V-10 transporte escolar 20x20 Reflex 2 Homologada")</f>
        <v>Placa V-10 transporte escolar 20x20 Reflex 2 Homologada</v>
      </c>
      <c r="C857" s="4">
        <f>IFERROR(__xludf.DUMMYFUNCTION("""COMPUTED_VALUE"""),10.176)</f>
        <v>10.176</v>
      </c>
      <c r="D857" s="4"/>
      <c r="E857" s="4" t="str">
        <f>IFERROR(__xludf.DUMMYFUNCTION("""COMPUTED_VALUE"""),"Sin precio neto")</f>
        <v>Sin precio neto</v>
      </c>
    </row>
    <row r="858">
      <c r="A858" s="4" t="str">
        <f>IFERROR(__xludf.DUMMYFUNCTION("""COMPUTED_VALUE"""),"726")</f>
        <v>726</v>
      </c>
      <c r="B858" s="4" t="str">
        <f>IFERROR(__xludf.DUMMYFUNCTION("""COMPUTED_VALUE"""),"Bocina neumática a mano")</f>
        <v>Bocina neumática a mano</v>
      </c>
      <c r="C858" s="4">
        <f>IFERROR(__xludf.DUMMYFUNCTION("""COMPUTED_VALUE"""),20.16)</f>
        <v>20.16</v>
      </c>
      <c r="D858" s="4"/>
      <c r="E858" s="4" t="str">
        <f>IFERROR(__xludf.DUMMYFUNCTION("""COMPUTED_VALUE"""),"Sin precio neto")</f>
        <v>Sin precio neto</v>
      </c>
    </row>
    <row r="859">
      <c r="A859" s="4" t="str">
        <f>IFERROR(__xludf.DUMMYFUNCTION("""COMPUTED_VALUE"""),"727")</f>
        <v>727</v>
      </c>
      <c r="B859" s="4" t="str">
        <f>IFERROR(__xludf.DUMMYFUNCTION("""COMPUTED_VALUE"""),"Pinzas más cable para batería 400 Ah")</f>
        <v>Pinzas más cable para batería 400 Ah</v>
      </c>
      <c r="C859" s="4">
        <f>IFERROR(__xludf.DUMMYFUNCTION("""COMPUTED_VALUE"""),16.32)</f>
        <v>16.32</v>
      </c>
      <c r="D859" s="4"/>
      <c r="E859" s="4" t="str">
        <f>IFERROR(__xludf.DUMMYFUNCTION("""COMPUTED_VALUE"""),"Sin precio neto")</f>
        <v>Sin precio neto</v>
      </c>
    </row>
    <row r="860">
      <c r="A860" s="4" t="str">
        <f>IFERROR(__xludf.DUMMYFUNCTION("""COMPUTED_VALUE"""),"728")</f>
        <v>728</v>
      </c>
      <c r="B860" s="4" t="str">
        <f>IFERROR(__xludf.DUMMYFUNCTION("""COMPUTED_VALUE"""),"Reductor tensión 24 a 12 v")</f>
        <v>Reductor tensión 24 a 12 v</v>
      </c>
      <c r="C860" s="4">
        <f>IFERROR(__xludf.DUMMYFUNCTION("""COMPUTED_VALUE"""),135.6)</f>
        <v>135.6</v>
      </c>
      <c r="D860" s="4"/>
      <c r="E860" s="4" t="str">
        <f>IFERROR(__xludf.DUMMYFUNCTION("""COMPUTED_VALUE"""),"Sin precio neto")</f>
        <v>Sin precio neto</v>
      </c>
    </row>
    <row r="861">
      <c r="A861" s="4" t="str">
        <f>IFERROR(__xludf.DUMMYFUNCTION("""COMPUTED_VALUE"""),"730")</f>
        <v>730</v>
      </c>
      <c r="B861" s="4" t="str">
        <f>IFERROR(__xludf.DUMMYFUNCTION("""COMPUTED_VALUE"""),"Pinza negra - 80 Ah")</f>
        <v>Pinza negra - 80 Ah</v>
      </c>
      <c r="C861" s="4">
        <f>IFERROR(__xludf.DUMMYFUNCTION("""COMPUTED_VALUE"""),1.8239999999999998)</f>
        <v>1.824</v>
      </c>
      <c r="D861" s="4"/>
      <c r="E861" s="4" t="str">
        <f>IFERROR(__xludf.DUMMYFUNCTION("""COMPUTED_VALUE"""),"Sin precio neto")</f>
        <v>Sin precio neto</v>
      </c>
    </row>
    <row r="862">
      <c r="A862" s="4" t="str">
        <f>IFERROR(__xludf.DUMMYFUNCTION("""COMPUTED_VALUE"""),"731")</f>
        <v>731</v>
      </c>
      <c r="B862" s="4" t="str">
        <f>IFERROR(__xludf.DUMMYFUNCTION("""COMPUTED_VALUE"""),"Pinza Roja + 80 Ah")</f>
        <v>Pinza Roja + 80 Ah</v>
      </c>
      <c r="C862" s="4">
        <f>IFERROR(__xludf.DUMMYFUNCTION("""COMPUTED_VALUE"""),1.8239999999999998)</f>
        <v>1.824</v>
      </c>
      <c r="D862" s="4"/>
      <c r="E862" s="4" t="str">
        <f>IFERROR(__xludf.DUMMYFUNCTION("""COMPUTED_VALUE"""),"Sin precio neto")</f>
        <v>Sin precio neto</v>
      </c>
    </row>
    <row r="863">
      <c r="A863" s="4" t="str">
        <f>IFERROR(__xludf.DUMMYFUNCTION("""COMPUTED_VALUE"""),"732")</f>
        <v>732</v>
      </c>
      <c r="B863" s="4" t="str">
        <f>IFERROR(__xludf.DUMMYFUNCTION("""COMPUTED_VALUE"""),"Pinza Negra - 500 Ah")</f>
        <v>Pinza Negra - 500 Ah</v>
      </c>
      <c r="C863" s="4">
        <f>IFERROR(__xludf.DUMMYFUNCTION("""COMPUTED_VALUE"""),13.92)</f>
        <v>13.92</v>
      </c>
      <c r="D863" s="4"/>
      <c r="E863" s="4" t="str">
        <f>IFERROR(__xludf.DUMMYFUNCTION("""COMPUTED_VALUE"""),"Sin precio neto")</f>
        <v>Sin precio neto</v>
      </c>
    </row>
    <row r="864">
      <c r="A864" s="4" t="str">
        <f>IFERROR(__xludf.DUMMYFUNCTION("""COMPUTED_VALUE"""),"733")</f>
        <v>733</v>
      </c>
      <c r="B864" s="4" t="str">
        <f>IFERROR(__xludf.DUMMYFUNCTION("""COMPUTED_VALUE"""),"Pinza Roja + 500 Ah")</f>
        <v>Pinza Roja + 500 Ah</v>
      </c>
      <c r="C864" s="4">
        <f>IFERROR(__xludf.DUMMYFUNCTION("""COMPUTED_VALUE"""),13.92)</f>
        <v>13.92</v>
      </c>
      <c r="D864" s="4"/>
      <c r="E864" s="4" t="str">
        <f>IFERROR(__xludf.DUMMYFUNCTION("""COMPUTED_VALUE"""),"Sin precio neto")</f>
        <v>Sin precio neto</v>
      </c>
    </row>
    <row r="865">
      <c r="A865" s="4" t="str">
        <f>IFERROR(__xludf.DUMMYFUNCTION("""COMPUTED_VALUE"""),"750")</f>
        <v>750</v>
      </c>
      <c r="B865" s="4" t="str">
        <f>IFERROR(__xludf.DUMMYFUNCTION("""COMPUTED_VALUE"""),"Señal plástica 60 cm reflectante triangular para conos")</f>
        <v>Señal plástica 60 cm reflectante triangular para conos</v>
      </c>
      <c r="C865" s="4">
        <f>IFERROR(__xludf.DUMMYFUNCTION("""COMPUTED_VALUE"""),14.351999999999999)</f>
        <v>14.352</v>
      </c>
      <c r="D865" s="4"/>
      <c r="E865" s="4" t="str">
        <f>IFERROR(__xludf.DUMMYFUNCTION("""COMPUTED_VALUE"""),"Sin precio neto")</f>
        <v>Sin precio neto</v>
      </c>
    </row>
    <row r="866">
      <c r="A866" s="4" t="str">
        <f>IFERROR(__xludf.DUMMYFUNCTION("""COMPUTED_VALUE"""),"751")</f>
        <v>751</v>
      </c>
      <c r="B866" s="4" t="str">
        <f>IFERROR(__xludf.DUMMYFUNCTION("""COMPUTED_VALUE"""),"Señal plástica 60x30 cm reflectante rectangular para conos")</f>
        <v>Señal plástica 60x30 cm reflectante rectangular para conos</v>
      </c>
      <c r="C866" s="4">
        <f>IFERROR(__xludf.DUMMYFUNCTION("""COMPUTED_VALUE"""),14.351999999999999)</f>
        <v>14.352</v>
      </c>
      <c r="D866" s="4"/>
      <c r="E866" s="4" t="str">
        <f>IFERROR(__xludf.DUMMYFUNCTION("""COMPUTED_VALUE"""),"Sin precio neto")</f>
        <v>Sin precio neto</v>
      </c>
    </row>
    <row r="867">
      <c r="A867" s="4" t="str">
        <f>IFERROR(__xludf.DUMMYFUNCTION("""COMPUTED_VALUE"""),"752")</f>
        <v>752</v>
      </c>
      <c r="B867" s="4" t="str">
        <f>IFERROR(__xludf.DUMMYFUNCTION("""COMPUTED_VALUE"""),"Señal plástica 60 cm reflectante circular para conos")</f>
        <v>Señal plástica 60 cm reflectante circular para conos</v>
      </c>
      <c r="C867" s="4">
        <f>IFERROR(__xludf.DUMMYFUNCTION("""COMPUTED_VALUE"""),14.351999999999999)</f>
        <v>14.352</v>
      </c>
      <c r="D867" s="4"/>
      <c r="E867" s="4" t="str">
        <f>IFERROR(__xludf.DUMMYFUNCTION("""COMPUTED_VALUE"""),"Sin precio neto")</f>
        <v>Sin precio neto</v>
      </c>
    </row>
    <row r="868">
      <c r="A868" s="4" t="str">
        <f>IFERROR(__xludf.DUMMYFUNCTION("""COMPUTED_VALUE"""),"753")</f>
        <v>753</v>
      </c>
      <c r="B868" s="4" t="str">
        <f>IFERROR(__xludf.DUMMYFUNCTION("""COMPUTED_VALUE"""),"Señal personalizada con soporte pared 40x30 cm")</f>
        <v>Señal personalizada con soporte pared 40x30 cm</v>
      </c>
      <c r="C868" s="4">
        <f>IFERROR(__xludf.DUMMYFUNCTION("""COMPUTED_VALUE"""),18.24)</f>
        <v>18.24</v>
      </c>
      <c r="D868" s="4"/>
      <c r="E868" s="4" t="str">
        <f>IFERROR(__xludf.DUMMYFUNCTION("""COMPUTED_VALUE"""),"Sin precio neto")</f>
        <v>Sin precio neto</v>
      </c>
    </row>
    <row r="869">
      <c r="A869" s="4" t="str">
        <f>IFERROR(__xludf.DUMMYFUNCTION("""COMPUTED_VALUE"""),"754")</f>
        <v>754</v>
      </c>
      <c r="B869" s="4" t="str">
        <f>IFERROR(__xludf.DUMMYFUNCTION("""COMPUTED_VALUE"""),"Señal personalizada c/soporte suelo 40x60 cm 3 caras")</f>
        <v>Señal personalizada c/soporte suelo 40x60 cm 3 caras</v>
      </c>
      <c r="C869" s="4">
        <f>IFERROR(__xludf.DUMMYFUNCTION("""COMPUTED_VALUE"""),92.16)</f>
        <v>92.16</v>
      </c>
      <c r="D869" s="4"/>
      <c r="E869" s="4" t="str">
        <f>IFERROR(__xludf.DUMMYFUNCTION("""COMPUTED_VALUE"""),"Sin precio neto")</f>
        <v>Sin precio neto</v>
      </c>
    </row>
    <row r="870">
      <c r="A870" s="4" t="str">
        <f>IFERROR(__xludf.DUMMYFUNCTION("""COMPUTED_VALUE"""),"765")</f>
        <v>765</v>
      </c>
      <c r="B870" s="4" t="str">
        <f>IFERROR(__xludf.DUMMYFUNCTION("""COMPUTED_VALUE"""),"Aparca Patinetes galvanizado 10p 1 cara")</f>
        <v>Aparca Patinetes galvanizado 10p 1 cara</v>
      </c>
      <c r="C870" s="4">
        <f>IFERROR(__xludf.DUMMYFUNCTION("""COMPUTED_VALUE"""),132.096)</f>
        <v>132.096</v>
      </c>
      <c r="D870" s="4"/>
      <c r="E870" s="4" t="str">
        <f>IFERROR(__xludf.DUMMYFUNCTION("""COMPUTED_VALUE"""),"Sin precio neto")</f>
        <v>Sin precio neto</v>
      </c>
    </row>
    <row r="871">
      <c r="A871" s="4" t="str">
        <f>IFERROR(__xludf.DUMMYFUNCTION("""COMPUTED_VALUE"""),"766")</f>
        <v>766</v>
      </c>
      <c r="B871" s="4" t="str">
        <f>IFERROR(__xludf.DUMMYFUNCTION("""COMPUTED_VALUE"""),"Aparca Patinetes galvanizado 20p 2 caras")</f>
        <v>Aparca Patinetes galvanizado 20p 2 caras</v>
      </c>
      <c r="C871" s="4">
        <f>IFERROR(__xludf.DUMMYFUNCTION("""COMPUTED_VALUE"""),201.84)</f>
        <v>201.84</v>
      </c>
      <c r="D871" s="4"/>
      <c r="E871" s="4" t="str">
        <f>IFERROR(__xludf.DUMMYFUNCTION("""COMPUTED_VALUE"""),"Sin precio neto")</f>
        <v>Sin precio neto</v>
      </c>
    </row>
    <row r="872">
      <c r="A872" s="4" t="str">
        <f>IFERROR(__xludf.DUMMYFUNCTION("""COMPUTED_VALUE"""),"768")</f>
        <v>768</v>
      </c>
      <c r="B872" s="4" t="str">
        <f>IFERROR(__xludf.DUMMYFUNCTION("""COMPUTED_VALUE"""),"Aparca Bicis atornillable pared 1p")</f>
        <v>Aparca Bicis atornillable pared 1p</v>
      </c>
      <c r="C872" s="4">
        <f>IFERROR(__xludf.DUMMYFUNCTION("""COMPUTED_VALUE"""),24.96)</f>
        <v>24.96</v>
      </c>
      <c r="D872" s="4"/>
      <c r="E872" s="4" t="str">
        <f>IFERROR(__xludf.DUMMYFUNCTION("""COMPUTED_VALUE"""),"Sin precio neto")</f>
        <v>Sin precio neto</v>
      </c>
    </row>
    <row r="873">
      <c r="A873" s="4" t="str">
        <f>IFERROR(__xludf.DUMMYFUNCTION("""COMPUTED_VALUE"""),"769")</f>
        <v>769</v>
      </c>
      <c r="B873" s="4" t="str">
        <f>IFERROR(__xludf.DUMMYFUNCTION("""COMPUTED_VALUE"""),"Aparca Bicis atornillable pared 2p")</f>
        <v>Aparca Bicis atornillable pared 2p</v>
      </c>
      <c r="C873" s="4">
        <f>IFERROR(__xludf.DUMMYFUNCTION("""COMPUTED_VALUE"""),42.239999999999995)</f>
        <v>42.24</v>
      </c>
      <c r="D873" s="4"/>
      <c r="E873" s="4" t="str">
        <f>IFERROR(__xludf.DUMMYFUNCTION("""COMPUTED_VALUE"""),"Sin precio neto")</f>
        <v>Sin precio neto</v>
      </c>
    </row>
    <row r="874">
      <c r="A874" s="4" t="str">
        <f>IFERROR(__xludf.DUMMYFUNCTION("""COMPUTED_VALUE"""),"770")</f>
        <v>770</v>
      </c>
      <c r="B874" s="4" t="str">
        <f>IFERROR(__xludf.DUMMYFUNCTION("""COMPUTED_VALUE"""),"Aparca Bicis atornillable pared 5p")</f>
        <v>Aparca Bicis atornillable pared 5p</v>
      </c>
      <c r="C874" s="4">
        <f>IFERROR(__xludf.DUMMYFUNCTION("""COMPUTED_VALUE"""),88.32)</f>
        <v>88.32</v>
      </c>
      <c r="D874" s="4"/>
      <c r="E874" s="4" t="str">
        <f>IFERROR(__xludf.DUMMYFUNCTION("""COMPUTED_VALUE"""),"Sin precio neto")</f>
        <v>Sin precio neto</v>
      </c>
    </row>
    <row r="875">
      <c r="A875" s="4" t="str">
        <f>IFERROR(__xludf.DUMMYFUNCTION("""COMPUTED_VALUE"""),"771")</f>
        <v>771</v>
      </c>
      <c r="B875" s="4" t="str">
        <f>IFERROR(__xludf.DUMMYFUNCTION("""COMPUTED_VALUE"""),"Pie soporte atornillable 80x40 mm")</f>
        <v>Pie soporte atornillable 80x40 mm</v>
      </c>
      <c r="C875" s="4">
        <f>IFERROR(__xludf.DUMMYFUNCTION("""COMPUTED_VALUE"""),27.84)</f>
        <v>27.84</v>
      </c>
      <c r="D875" s="4"/>
      <c r="E875" s="4" t="str">
        <f>IFERROR(__xludf.DUMMYFUNCTION("""COMPUTED_VALUE"""),"Sin precio neto")</f>
        <v>Sin precio neto</v>
      </c>
    </row>
    <row r="876">
      <c r="A876" s="4" t="str">
        <f>IFERROR(__xludf.DUMMYFUNCTION("""COMPUTED_VALUE"""),"772")</f>
        <v>772</v>
      </c>
      <c r="B876" s="4" t="str">
        <f>IFERROR(__xludf.DUMMYFUNCTION("""COMPUTED_VALUE"""),"Pie soporte atornillable cuadrado 40 mm")</f>
        <v>Pie soporte atornillable cuadrado 40 mm</v>
      </c>
      <c r="C876" s="4">
        <f>IFERROR(__xludf.DUMMYFUNCTION("""COMPUTED_VALUE"""),27.84)</f>
        <v>27.84</v>
      </c>
      <c r="D876" s="4"/>
      <c r="E876" s="4" t="str">
        <f>IFERROR(__xludf.DUMMYFUNCTION("""COMPUTED_VALUE"""),"Sin precio neto")</f>
        <v>Sin precio neto</v>
      </c>
    </row>
    <row r="877">
      <c r="A877" s="4" t="str">
        <f>IFERROR(__xludf.DUMMYFUNCTION("""COMPUTED_VALUE"""),"773")</f>
        <v>773</v>
      </c>
      <c r="B877" s="4" t="str">
        <f>IFERROR(__xludf.DUMMYFUNCTION("""COMPUTED_VALUE"""),"Pie soporte atornillable 50 mm circular")</f>
        <v>Pie soporte atornillable 50 mm circular</v>
      </c>
      <c r="C877" s="4">
        <f>IFERROR(__xludf.DUMMYFUNCTION("""COMPUTED_VALUE"""),27.84)</f>
        <v>27.84</v>
      </c>
      <c r="D877" s="4"/>
      <c r="E877" s="4" t="str">
        <f>IFERROR(__xludf.DUMMYFUNCTION("""COMPUTED_VALUE"""),"Sin precio neto")</f>
        <v>Sin precio neto</v>
      </c>
    </row>
    <row r="878">
      <c r="A878" s="4" t="str">
        <f>IFERROR(__xludf.DUMMYFUNCTION("""COMPUTED_VALUE"""),"774")</f>
        <v>774</v>
      </c>
      <c r="B878" s="4" t="str">
        <f>IFERROR(__xludf.DUMMYFUNCTION("""COMPUTED_VALUE"""),"Pie soporte atornillable 60 mm circular")</f>
        <v>Pie soporte atornillable 60 mm circular</v>
      </c>
      <c r="C878" s="4">
        <f>IFERROR(__xludf.DUMMYFUNCTION("""COMPUTED_VALUE"""),28.799999999999997)</f>
        <v>28.8</v>
      </c>
      <c r="D878" s="4"/>
      <c r="E878" s="4" t="str">
        <f>IFERROR(__xludf.DUMMYFUNCTION("""COMPUTED_VALUE"""),"Sin precio neto")</f>
        <v>Sin precio neto</v>
      </c>
    </row>
    <row r="879">
      <c r="A879" s="4" t="str">
        <f>IFERROR(__xludf.DUMMYFUNCTION("""COMPUTED_VALUE"""),"775")</f>
        <v>775</v>
      </c>
      <c r="B879" s="4" t="str">
        <f>IFERROR(__xludf.DUMMYFUNCTION("""COMPUTED_VALUE"""),"Pie soporte atornillable 70 mm circular")</f>
        <v>Pie soporte atornillable 70 mm circular</v>
      </c>
      <c r="C879" s="4">
        <f>IFERROR(__xludf.DUMMYFUNCTION("""COMPUTED_VALUE"""),29.759999999999998)</f>
        <v>29.76</v>
      </c>
      <c r="D879" s="4"/>
      <c r="E879" s="4" t="str">
        <f>IFERROR(__xludf.DUMMYFUNCTION("""COMPUTED_VALUE"""),"Sin precio neto")</f>
        <v>Sin precio neto</v>
      </c>
    </row>
    <row r="880">
      <c r="A880" s="4" t="str">
        <f>IFERROR(__xludf.DUMMYFUNCTION("""COMPUTED_VALUE"""),"776")</f>
        <v>776</v>
      </c>
      <c r="B880" s="4" t="str">
        <f>IFERROR(__xludf.DUMMYFUNCTION("""COMPUTED_VALUE"""),"Poste 40x40x1.5 mm galva 1.5 m")</f>
        <v>Poste 40x40x1.5 mm galva 1.5 m</v>
      </c>
      <c r="C880" s="4">
        <f>IFERROR(__xludf.DUMMYFUNCTION("""COMPUTED_VALUE"""),10.559999999999999)</f>
        <v>10.56</v>
      </c>
      <c r="D880" s="4"/>
      <c r="E880" s="4" t="str">
        <f>IFERROR(__xludf.DUMMYFUNCTION("""COMPUTED_VALUE"""),"Sin precio neto")</f>
        <v>Sin precio neto</v>
      </c>
    </row>
    <row r="881">
      <c r="A881" s="4" t="str">
        <f>IFERROR(__xludf.DUMMYFUNCTION("""COMPUTED_VALUE"""),"777")</f>
        <v>777</v>
      </c>
      <c r="B881" s="4" t="str">
        <f>IFERROR(__xludf.DUMMYFUNCTION("""COMPUTED_VALUE"""),"Cruceta para poste 40x40 mm")</f>
        <v>Cruceta para poste 40x40 mm</v>
      </c>
      <c r="C881" s="4">
        <f>IFERROR(__xludf.DUMMYFUNCTION("""COMPUTED_VALUE"""),10.368)</f>
        <v>10.368</v>
      </c>
      <c r="D881" s="4"/>
      <c r="E881" s="4" t="str">
        <f>IFERROR(__xludf.DUMMYFUNCTION("""COMPUTED_VALUE"""),"Sin precio neto")</f>
        <v>Sin precio neto</v>
      </c>
    </row>
    <row r="882">
      <c r="A882" s="4" t="str">
        <f>IFERROR(__xludf.DUMMYFUNCTION("""COMPUTED_VALUE"""),"778")</f>
        <v>778</v>
      </c>
      <c r="B882" s="4" t="str">
        <f>IFERROR(__xludf.DUMMYFUNCTION("""COMPUTED_VALUE"""),"Aparca Patinetes gavanizado 10p 2 caras")</f>
        <v>Aparca Patinetes gavanizado 10p 2 caras</v>
      </c>
      <c r="C882" s="4">
        <f>IFERROR(__xludf.DUMMYFUNCTION("""COMPUTED_VALUE"""),184.79999999999998)</f>
        <v>184.8</v>
      </c>
      <c r="D882" s="4"/>
      <c r="E882" s="4" t="str">
        <f>IFERROR(__xludf.DUMMYFUNCTION("""COMPUTED_VALUE"""),"Sin precio neto")</f>
        <v>Sin precio neto</v>
      </c>
    </row>
    <row r="883">
      <c r="A883" s="4" t="str">
        <f>IFERROR(__xludf.DUMMYFUNCTION("""COMPUTED_VALUE"""),"779")</f>
        <v>779</v>
      </c>
      <c r="B883" s="4" t="str">
        <f>IFERROR(__xludf.DUMMYFUNCTION("""COMPUTED_VALUE"""),"Aparca Patinetes galvanizado 5p 1 cara")</f>
        <v>Aparca Patinetes galvanizado 5p 1 cara</v>
      </c>
      <c r="C883" s="4">
        <f>IFERROR(__xludf.DUMMYFUNCTION("""COMPUTED_VALUE"""),121.344)</f>
        <v>121.344</v>
      </c>
      <c r="D883" s="4"/>
      <c r="E883" s="4" t="str">
        <f>IFERROR(__xludf.DUMMYFUNCTION("""COMPUTED_VALUE"""),"Sin precio neto")</f>
        <v>Sin precio neto</v>
      </c>
    </row>
    <row r="884">
      <c r="A884" s="4" t="str">
        <f>IFERROR(__xludf.DUMMYFUNCTION("""COMPUTED_VALUE"""),"780")</f>
        <v>780</v>
      </c>
      <c r="B884" s="4" t="str">
        <f>IFERROR(__xludf.DUMMYFUNCTION("""COMPUTED_VALUE"""),"Tope estantería metálica mod. A")</f>
        <v>Tope estantería metálica mod. A</v>
      </c>
      <c r="C884" s="4">
        <f>IFERROR(__xludf.DUMMYFUNCTION("""COMPUTED_VALUE"""),17.28)</f>
        <v>17.28</v>
      </c>
      <c r="D884" s="4"/>
      <c r="E884" s="4" t="str">
        <f>IFERROR(__xludf.DUMMYFUNCTION("""COMPUTED_VALUE"""),"Sin precio neto")</f>
        <v>Sin precio neto</v>
      </c>
    </row>
    <row r="885">
      <c r="A885" s="4" t="str">
        <f>IFERROR(__xludf.DUMMYFUNCTION("""COMPUTED_VALUE"""),"781")</f>
        <v>781</v>
      </c>
      <c r="B885" s="4" t="str">
        <f>IFERROR(__xludf.DUMMYFUNCTION("""COMPUTED_VALUE"""),"Tope estantería metálica mod. B")</f>
        <v>Tope estantería metálica mod. B</v>
      </c>
      <c r="C885" s="4">
        <f>IFERROR(__xludf.DUMMYFUNCTION("""COMPUTED_VALUE"""),21.599999999999998)</f>
        <v>21.6</v>
      </c>
      <c r="D885" s="4"/>
      <c r="E885" s="4" t="str">
        <f>IFERROR(__xludf.DUMMYFUNCTION("""COMPUTED_VALUE"""),"Sin precio neto")</f>
        <v>Sin precio neto</v>
      </c>
    </row>
    <row r="886">
      <c r="A886" s="4" t="str">
        <f>IFERROR(__xludf.DUMMYFUNCTION("""COMPUTED_VALUE"""),"782")</f>
        <v>782</v>
      </c>
      <c r="B886" s="4" t="str">
        <f>IFERROR(__xludf.DUMMYFUNCTION("""COMPUTED_VALUE"""),"Film manual transparente Rec. Eco 500/1,35/23MY (600-150)")</f>
        <v>Film manual transparente Rec. Eco 500/1,35/23MY (600-150)</v>
      </c>
      <c r="C886" s="4">
        <f>IFERROR(__xludf.DUMMYFUNCTION("""COMPUTED_VALUE"""),3.264)</f>
        <v>3.264</v>
      </c>
      <c r="D886" s="4"/>
      <c r="E886" s="4" t="str">
        <f>IFERROR(__xludf.DUMMYFUNCTION("""COMPUTED_VALUE"""),"Sin precio neto")</f>
        <v>Sin precio neto</v>
      </c>
    </row>
    <row r="887">
      <c r="A887" s="4" t="str">
        <f>IFERROR(__xludf.DUMMYFUNCTION("""COMPUTED_VALUE"""),"783")</f>
        <v>783</v>
      </c>
      <c r="B887" s="4" t="str">
        <f>IFERROR(__xludf.DUMMYFUNCTION("""COMPUTED_VALUE"""),"Film manual negro Opaco Rec. Eco 500/1,35/23MY (600-150)")</f>
        <v>Film manual negro Opaco Rec. Eco 500/1,35/23MY (600-150)</v>
      </c>
      <c r="C887" s="4">
        <f>IFERROR(__xludf.DUMMYFUNCTION("""COMPUTED_VALUE"""),3.7439999999999998)</f>
        <v>3.744</v>
      </c>
      <c r="D887" s="4"/>
      <c r="E887" s="4" t="str">
        <f>IFERROR(__xludf.DUMMYFUNCTION("""COMPUTED_VALUE"""),"Sin precio neto")</f>
        <v>Sin precio neto</v>
      </c>
    </row>
    <row r="888">
      <c r="A888" s="4" t="str">
        <f>IFERROR(__xludf.DUMMYFUNCTION("""COMPUTED_VALUE"""),"784")</f>
        <v>784</v>
      </c>
      <c r="B888" s="4" t="str">
        <f>IFERROR(__xludf.DUMMYFUNCTION("""COMPUTED_VALUE"""),"Cinta adhesiva 125m PPAC Transp 48 mm")</f>
        <v>Cinta adhesiva 125m PPAC Transp 48 mm</v>
      </c>
      <c r="C888" s="4">
        <f>IFERROR(__xludf.DUMMYFUNCTION("""COMPUTED_VALUE"""),1.152)</f>
        <v>1.152</v>
      </c>
      <c r="D888" s="4"/>
      <c r="E888" s="4" t="str">
        <f>IFERROR(__xludf.DUMMYFUNCTION("""COMPUTED_VALUE"""),"Sin precio neto")</f>
        <v>Sin precio neto</v>
      </c>
    </row>
    <row r="889">
      <c r="A889" s="4" t="str">
        <f>IFERROR(__xludf.DUMMYFUNCTION("""COMPUTED_VALUE"""),"800")</f>
        <v>800</v>
      </c>
      <c r="B889" s="4" t="str">
        <f>IFERROR(__xludf.DUMMYFUNCTION("""COMPUTED_VALUE"""),"Adhesivo 100 mm Materias y objetos explosivos A")</f>
        <v>Adhesivo 100 mm Materias y objetos explosivos A</v>
      </c>
      <c r="C889" s="4">
        <f>IFERROR(__xludf.DUMMYFUNCTION("""COMPUTED_VALUE"""),0.576)</f>
        <v>0.576</v>
      </c>
      <c r="D889" s="4"/>
      <c r="E889" s="4" t="str">
        <f>IFERROR(__xludf.DUMMYFUNCTION("""COMPUTED_VALUE"""),"Sin precio neto")</f>
        <v>Sin precio neto</v>
      </c>
    </row>
    <row r="890">
      <c r="A890" s="4" t="str">
        <f>IFERROR(__xludf.DUMMYFUNCTION("""COMPUTED_VALUE"""),"0800A")</f>
        <v>0800A</v>
      </c>
      <c r="B890" s="4" t="str">
        <f>IFERROR(__xludf.DUMMYFUNCTION("""COMPUTED_VALUE"""),"Adhesivo 300 mm Materias y objetos explosivos A")</f>
        <v>Adhesivo 300 mm Materias y objetos explosivos A</v>
      </c>
      <c r="C890" s="4">
        <f>IFERROR(__xludf.DUMMYFUNCTION("""COMPUTED_VALUE"""),1.536)</f>
        <v>1.536</v>
      </c>
      <c r="D890" s="4"/>
      <c r="E890" s="4" t="str">
        <f>IFERROR(__xludf.DUMMYFUNCTION("""COMPUTED_VALUE"""),"Sin precio neto")</f>
        <v>Sin precio neto</v>
      </c>
    </row>
    <row r="891">
      <c r="A891" s="4" t="str">
        <f>IFERROR(__xludf.DUMMYFUNCTION("""COMPUTED_VALUE"""),"801")</f>
        <v>801</v>
      </c>
      <c r="B891" s="4" t="str">
        <f>IFERROR(__xludf.DUMMYFUNCTION("""COMPUTED_VALUE"""),"Adhesivo 100 mm Materias y objetos explosivos 1.4")</f>
        <v>Adhesivo 100 mm Materias y objetos explosivos 1.4</v>
      </c>
      <c r="C891" s="4">
        <f>IFERROR(__xludf.DUMMYFUNCTION("""COMPUTED_VALUE"""),0.576)</f>
        <v>0.576</v>
      </c>
      <c r="D891" s="4"/>
      <c r="E891" s="4" t="str">
        <f>IFERROR(__xludf.DUMMYFUNCTION("""COMPUTED_VALUE"""),"Sin precio neto")</f>
        <v>Sin precio neto</v>
      </c>
    </row>
    <row r="892">
      <c r="A892" s="4" t="str">
        <f>IFERROR(__xludf.DUMMYFUNCTION("""COMPUTED_VALUE"""),"0801A")</f>
        <v>0801A</v>
      </c>
      <c r="B892" s="4" t="str">
        <f>IFERROR(__xludf.DUMMYFUNCTION("""COMPUTED_VALUE"""),"Adhesivo 300 mm Materias y objetos explosivos 1.4")</f>
        <v>Adhesivo 300 mm Materias y objetos explosivos 1.4</v>
      </c>
      <c r="C892" s="4">
        <f>IFERROR(__xludf.DUMMYFUNCTION("""COMPUTED_VALUE"""),1.536)</f>
        <v>1.536</v>
      </c>
      <c r="D892" s="4"/>
      <c r="E892" s="4" t="str">
        <f>IFERROR(__xludf.DUMMYFUNCTION("""COMPUTED_VALUE"""),"Sin precio neto")</f>
        <v>Sin precio neto</v>
      </c>
    </row>
    <row r="893">
      <c r="A893" s="4" t="str">
        <f>IFERROR(__xludf.DUMMYFUNCTION("""COMPUTED_VALUE"""),"802")</f>
        <v>802</v>
      </c>
      <c r="B893" s="4" t="str">
        <f>IFERROR(__xludf.DUMMYFUNCTION("""COMPUTED_VALUE"""),"Adhesivo 100 mm Materias y objetos explosivos 1.5")</f>
        <v>Adhesivo 100 mm Materias y objetos explosivos 1.5</v>
      </c>
      <c r="C893" s="4">
        <f>IFERROR(__xludf.DUMMYFUNCTION("""COMPUTED_VALUE"""),0.576)</f>
        <v>0.576</v>
      </c>
      <c r="D893" s="4"/>
      <c r="E893" s="4" t="str">
        <f>IFERROR(__xludf.DUMMYFUNCTION("""COMPUTED_VALUE"""),"Sin precio neto")</f>
        <v>Sin precio neto</v>
      </c>
    </row>
    <row r="894">
      <c r="A894" s="4" t="str">
        <f>IFERROR(__xludf.DUMMYFUNCTION("""COMPUTED_VALUE"""),"0802A")</f>
        <v>0802A</v>
      </c>
      <c r="B894" s="4" t="str">
        <f>IFERROR(__xludf.DUMMYFUNCTION("""COMPUTED_VALUE"""),"Adhesivo 300 mm Materias y objetos explosivos 1.5")</f>
        <v>Adhesivo 300 mm Materias y objetos explosivos 1.5</v>
      </c>
      <c r="C894" s="4">
        <f>IFERROR(__xludf.DUMMYFUNCTION("""COMPUTED_VALUE"""),1.536)</f>
        <v>1.536</v>
      </c>
      <c r="D894" s="4"/>
      <c r="E894" s="4" t="str">
        <f>IFERROR(__xludf.DUMMYFUNCTION("""COMPUTED_VALUE"""),"Sin precio neto")</f>
        <v>Sin precio neto</v>
      </c>
    </row>
    <row r="895">
      <c r="A895" s="4" t="str">
        <f>IFERROR(__xludf.DUMMYFUNCTION("""COMPUTED_VALUE"""),"803")</f>
        <v>803</v>
      </c>
      <c r="B895" s="4" t="str">
        <f>IFERROR(__xludf.DUMMYFUNCTION("""COMPUTED_VALUE"""),"Adhesivo 100 mm Materias y objetos explosivos 1.6")</f>
        <v>Adhesivo 100 mm Materias y objetos explosivos 1.6</v>
      </c>
      <c r="C895" s="4">
        <f>IFERROR(__xludf.DUMMYFUNCTION("""COMPUTED_VALUE"""),0.576)</f>
        <v>0.576</v>
      </c>
      <c r="D895" s="4"/>
      <c r="E895" s="4" t="str">
        <f>IFERROR(__xludf.DUMMYFUNCTION("""COMPUTED_VALUE"""),"Sin precio neto")</f>
        <v>Sin precio neto</v>
      </c>
    </row>
    <row r="896">
      <c r="A896" s="4" t="str">
        <f>IFERROR(__xludf.DUMMYFUNCTION("""COMPUTED_VALUE"""),"0803A")</f>
        <v>0803A</v>
      </c>
      <c r="B896" s="4" t="str">
        <f>IFERROR(__xludf.DUMMYFUNCTION("""COMPUTED_VALUE"""),"Adhesivo 300 mm Materias y objetos explosivos 1.6")</f>
        <v>Adhesivo 300 mm Materias y objetos explosivos 1.6</v>
      </c>
      <c r="C896" s="4">
        <f>IFERROR(__xludf.DUMMYFUNCTION("""COMPUTED_VALUE"""),1.536)</f>
        <v>1.536</v>
      </c>
      <c r="D896" s="4"/>
      <c r="E896" s="4" t="str">
        <f>IFERROR(__xludf.DUMMYFUNCTION("""COMPUTED_VALUE"""),"Sin precio neto")</f>
        <v>Sin precio neto</v>
      </c>
    </row>
    <row r="897">
      <c r="A897" s="4" t="str">
        <f>IFERROR(__xludf.DUMMYFUNCTION("""COMPUTED_VALUE"""),"805")</f>
        <v>805</v>
      </c>
      <c r="B897" s="4" t="str">
        <f>IFERROR(__xludf.DUMMYFUNCTION("""COMPUTED_VALUE"""),"Adhesivo 100 mm Gases Tóxicos")</f>
        <v>Adhesivo 100 mm Gases Tóxicos</v>
      </c>
      <c r="C897" s="4">
        <f>IFERROR(__xludf.DUMMYFUNCTION("""COMPUTED_VALUE"""),0.576)</f>
        <v>0.576</v>
      </c>
      <c r="D897" s="4"/>
      <c r="E897" s="4" t="str">
        <f>IFERROR(__xludf.DUMMYFUNCTION("""COMPUTED_VALUE"""),"Sin precio neto")</f>
        <v>Sin precio neto</v>
      </c>
    </row>
    <row r="898">
      <c r="A898" s="4" t="str">
        <f>IFERROR(__xludf.DUMMYFUNCTION("""COMPUTED_VALUE"""),"0805A")</f>
        <v>0805A</v>
      </c>
      <c r="B898" s="4" t="str">
        <f>IFERROR(__xludf.DUMMYFUNCTION("""COMPUTED_VALUE"""),"Adhesivo 300 mm Gases Tóxicos")</f>
        <v>Adhesivo 300 mm Gases Tóxicos</v>
      </c>
      <c r="C898" s="4">
        <f>IFERROR(__xludf.DUMMYFUNCTION("""COMPUTED_VALUE"""),1.536)</f>
        <v>1.536</v>
      </c>
      <c r="D898" s="4"/>
      <c r="E898" s="4" t="str">
        <f>IFERROR(__xludf.DUMMYFUNCTION("""COMPUTED_VALUE"""),"Sin precio neto")</f>
        <v>Sin precio neto</v>
      </c>
    </row>
    <row r="899">
      <c r="A899" s="4" t="str">
        <f>IFERROR(__xludf.DUMMYFUNCTION("""COMPUTED_VALUE"""),"806")</f>
        <v>806</v>
      </c>
      <c r="B899" s="4" t="str">
        <f>IFERROR(__xludf.DUMMYFUNCTION("""COMPUTED_VALUE"""),"Adhesivo 100 mm gases inflamables A")</f>
        <v>Adhesivo 100 mm gases inflamables A</v>
      </c>
      <c r="C899" s="4">
        <f>IFERROR(__xludf.DUMMYFUNCTION("""COMPUTED_VALUE"""),0.576)</f>
        <v>0.576</v>
      </c>
      <c r="D899" s="4"/>
      <c r="E899" s="4" t="str">
        <f>IFERROR(__xludf.DUMMYFUNCTION("""COMPUTED_VALUE"""),"Sin precio neto")</f>
        <v>Sin precio neto</v>
      </c>
    </row>
    <row r="900">
      <c r="A900" s="4" t="str">
        <f>IFERROR(__xludf.DUMMYFUNCTION("""COMPUTED_VALUE"""),"0806A")</f>
        <v>0806A</v>
      </c>
      <c r="B900" s="4" t="str">
        <f>IFERROR(__xludf.DUMMYFUNCTION("""COMPUTED_VALUE"""),"Adhesivo 300 mm gases inflamables A")</f>
        <v>Adhesivo 300 mm gases inflamables A</v>
      </c>
      <c r="C900" s="4">
        <f>IFERROR(__xludf.DUMMYFUNCTION("""COMPUTED_VALUE"""),1.536)</f>
        <v>1.536</v>
      </c>
      <c r="D900" s="4"/>
      <c r="E900" s="4" t="str">
        <f>IFERROR(__xludf.DUMMYFUNCTION("""COMPUTED_VALUE"""),"Sin precio neto")</f>
        <v>Sin precio neto</v>
      </c>
    </row>
    <row r="901">
      <c r="A901" s="4" t="str">
        <f>IFERROR(__xludf.DUMMYFUNCTION("""COMPUTED_VALUE"""),"807")</f>
        <v>807</v>
      </c>
      <c r="B901" s="4" t="str">
        <f>IFERROR(__xludf.DUMMYFUNCTION("""COMPUTED_VALUE"""),"Adhesivo 100 mm gases inflamables B")</f>
        <v>Adhesivo 100 mm gases inflamables B</v>
      </c>
      <c r="C901" s="4">
        <f>IFERROR(__xludf.DUMMYFUNCTION("""COMPUTED_VALUE"""),0.576)</f>
        <v>0.576</v>
      </c>
      <c r="D901" s="4"/>
      <c r="E901" s="4" t="str">
        <f>IFERROR(__xludf.DUMMYFUNCTION("""COMPUTED_VALUE"""),"Sin precio neto")</f>
        <v>Sin precio neto</v>
      </c>
    </row>
    <row r="902">
      <c r="A902" s="4" t="str">
        <f>IFERROR(__xludf.DUMMYFUNCTION("""COMPUTED_VALUE"""),"0807A")</f>
        <v>0807A</v>
      </c>
      <c r="B902" s="4" t="str">
        <f>IFERROR(__xludf.DUMMYFUNCTION("""COMPUTED_VALUE"""),"Adhesivo 300 mm gases inflamables B")</f>
        <v>Adhesivo 300 mm gases inflamables B</v>
      </c>
      <c r="C902" s="4">
        <f>IFERROR(__xludf.DUMMYFUNCTION("""COMPUTED_VALUE"""),1.536)</f>
        <v>1.536</v>
      </c>
      <c r="D902" s="4"/>
      <c r="E902" s="4" t="str">
        <f>IFERROR(__xludf.DUMMYFUNCTION("""COMPUTED_VALUE"""),"Sin precio neto")</f>
        <v>Sin precio neto</v>
      </c>
    </row>
    <row r="903">
      <c r="A903" s="4" t="str">
        <f>IFERROR(__xludf.DUMMYFUNCTION("""COMPUTED_VALUE"""),"808")</f>
        <v>808</v>
      </c>
      <c r="B903" s="4" t="str">
        <f>IFERROR(__xludf.DUMMYFUNCTION("""COMPUTED_VALUE"""),"Adhesivo 100 mm gases no inflamables A")</f>
        <v>Adhesivo 100 mm gases no inflamables A</v>
      </c>
      <c r="C903" s="4">
        <f>IFERROR(__xludf.DUMMYFUNCTION("""COMPUTED_VALUE"""),0.576)</f>
        <v>0.576</v>
      </c>
      <c r="D903" s="4"/>
      <c r="E903" s="4" t="str">
        <f>IFERROR(__xludf.DUMMYFUNCTION("""COMPUTED_VALUE"""),"Sin precio neto")</f>
        <v>Sin precio neto</v>
      </c>
    </row>
    <row r="904">
      <c r="A904" s="4" t="str">
        <f>IFERROR(__xludf.DUMMYFUNCTION("""COMPUTED_VALUE"""),"0808A")</f>
        <v>0808A</v>
      </c>
      <c r="B904" s="4" t="str">
        <f>IFERROR(__xludf.DUMMYFUNCTION("""COMPUTED_VALUE"""),"Adhesivo 300 mm gases no inflamables A")</f>
        <v>Adhesivo 300 mm gases no inflamables A</v>
      </c>
      <c r="C904" s="4">
        <f>IFERROR(__xludf.DUMMYFUNCTION("""COMPUTED_VALUE"""),1.536)</f>
        <v>1.536</v>
      </c>
      <c r="D904" s="4"/>
      <c r="E904" s="4" t="str">
        <f>IFERROR(__xludf.DUMMYFUNCTION("""COMPUTED_VALUE"""),"Sin precio neto")</f>
        <v>Sin precio neto</v>
      </c>
    </row>
    <row r="905">
      <c r="A905" s="4" t="str">
        <f>IFERROR(__xludf.DUMMYFUNCTION("""COMPUTED_VALUE"""),"809")</f>
        <v>809</v>
      </c>
      <c r="B905" s="4" t="str">
        <f>IFERROR(__xludf.DUMMYFUNCTION("""COMPUTED_VALUE"""),"Adhesivo 100 mm gases no inflamables B")</f>
        <v>Adhesivo 100 mm gases no inflamables B</v>
      </c>
      <c r="C905" s="4">
        <f>IFERROR(__xludf.DUMMYFUNCTION("""COMPUTED_VALUE"""),0.576)</f>
        <v>0.576</v>
      </c>
      <c r="D905" s="4"/>
      <c r="E905" s="4" t="str">
        <f>IFERROR(__xludf.DUMMYFUNCTION("""COMPUTED_VALUE"""),"Sin precio neto")</f>
        <v>Sin precio neto</v>
      </c>
    </row>
    <row r="906">
      <c r="A906" s="4" t="str">
        <f>IFERROR(__xludf.DUMMYFUNCTION("""COMPUTED_VALUE"""),"0809A")</f>
        <v>0809A</v>
      </c>
      <c r="B906" s="4" t="str">
        <f>IFERROR(__xludf.DUMMYFUNCTION("""COMPUTED_VALUE"""),"Adhesivo 300 mm gases no inflamables B")</f>
        <v>Adhesivo 300 mm gases no inflamables B</v>
      </c>
      <c r="C906" s="4">
        <f>IFERROR(__xludf.DUMMYFUNCTION("""COMPUTED_VALUE"""),1.536)</f>
        <v>1.536</v>
      </c>
      <c r="D906" s="4"/>
      <c r="E906" s="4" t="str">
        <f>IFERROR(__xludf.DUMMYFUNCTION("""COMPUTED_VALUE"""),"Sin precio neto")</f>
        <v>Sin precio neto</v>
      </c>
    </row>
    <row r="907">
      <c r="A907" s="4" t="str">
        <f>IFERROR(__xludf.DUMMYFUNCTION("""COMPUTED_VALUE"""),"810")</f>
        <v>810</v>
      </c>
      <c r="B907" s="4" t="str">
        <f>IFERROR(__xludf.DUMMYFUNCTION("""COMPUTED_VALUE"""),"Lona 100x70 cm multicartel c/ ojales")</f>
        <v>Lona 100x70 cm multicartel c/ ojales</v>
      </c>
      <c r="C907" s="4">
        <f>IFERROR(__xludf.DUMMYFUNCTION("""COMPUTED_VALUE"""),14.111999999999998)</f>
        <v>14.112</v>
      </c>
      <c r="D907" s="4"/>
      <c r="E907" s="4" t="str">
        <f>IFERROR(__xludf.DUMMYFUNCTION("""COMPUTED_VALUE"""),"Sin precio neto")</f>
        <v>Sin precio neto</v>
      </c>
    </row>
    <row r="908">
      <c r="A908" s="4" t="str">
        <f>IFERROR(__xludf.DUMMYFUNCTION("""COMPUTED_VALUE"""),"811")</f>
        <v>811</v>
      </c>
      <c r="B908" s="4" t="str">
        <f>IFERROR(__xludf.DUMMYFUNCTION("""COMPUTED_VALUE"""),"Lona 50x70 cm multicartel c/ ojales")</f>
        <v>Lona 50x70 cm multicartel c/ ojales</v>
      </c>
      <c r="C908" s="4">
        <f>IFERROR(__xludf.DUMMYFUNCTION("""COMPUTED_VALUE"""),8.064)</f>
        <v>8.064</v>
      </c>
      <c r="D908" s="4"/>
      <c r="E908" s="4" t="str">
        <f>IFERROR(__xludf.DUMMYFUNCTION("""COMPUTED_VALUE"""),"Sin precio neto")</f>
        <v>Sin precio neto</v>
      </c>
    </row>
    <row r="909">
      <c r="A909" s="4" t="str">
        <f>IFERROR(__xludf.DUMMYFUNCTION("""COMPUTED_VALUE"""),"812")</f>
        <v>812</v>
      </c>
      <c r="B909" s="4" t="str">
        <f>IFERROR(__xludf.DUMMYFUNCTION("""COMPUTED_VALUE"""),"Adhesivo 100 mm líquidos inflamables A")</f>
        <v>Adhesivo 100 mm líquidos inflamables A</v>
      </c>
      <c r="C909" s="4">
        <f>IFERROR(__xludf.DUMMYFUNCTION("""COMPUTED_VALUE"""),0.576)</f>
        <v>0.576</v>
      </c>
      <c r="D909" s="4"/>
      <c r="E909" s="4" t="str">
        <f>IFERROR(__xludf.DUMMYFUNCTION("""COMPUTED_VALUE"""),"Sin precio neto")</f>
        <v>Sin precio neto</v>
      </c>
    </row>
    <row r="910">
      <c r="A910" s="4" t="str">
        <f>IFERROR(__xludf.DUMMYFUNCTION("""COMPUTED_VALUE"""),"0812A")</f>
        <v>0812A</v>
      </c>
      <c r="B910" s="4" t="str">
        <f>IFERROR(__xludf.DUMMYFUNCTION("""COMPUTED_VALUE"""),"Adhesivo 300 mm líquidos inflamables A")</f>
        <v>Adhesivo 300 mm líquidos inflamables A</v>
      </c>
      <c r="C910" s="4">
        <f>IFERROR(__xludf.DUMMYFUNCTION("""COMPUTED_VALUE"""),1.536)</f>
        <v>1.536</v>
      </c>
      <c r="D910" s="4"/>
      <c r="E910" s="4" t="str">
        <f>IFERROR(__xludf.DUMMYFUNCTION("""COMPUTED_VALUE"""),"Sin precio neto")</f>
        <v>Sin precio neto</v>
      </c>
    </row>
    <row r="911">
      <c r="A911" s="4" t="str">
        <f>IFERROR(__xludf.DUMMYFUNCTION("""COMPUTED_VALUE"""),"813")</f>
        <v>813</v>
      </c>
      <c r="B911" s="4" t="str">
        <f>IFERROR(__xludf.DUMMYFUNCTION("""COMPUTED_VALUE"""),"Adhesivo 100 mm líquidos inflamables B")</f>
        <v>Adhesivo 100 mm líquidos inflamables B</v>
      </c>
      <c r="C911" s="4">
        <f>IFERROR(__xludf.DUMMYFUNCTION("""COMPUTED_VALUE"""),0.576)</f>
        <v>0.576</v>
      </c>
      <c r="D911" s="4"/>
      <c r="E911" s="4" t="str">
        <f>IFERROR(__xludf.DUMMYFUNCTION("""COMPUTED_VALUE"""),"Sin precio neto")</f>
        <v>Sin precio neto</v>
      </c>
    </row>
    <row r="912">
      <c r="A912" s="4" t="str">
        <f>IFERROR(__xludf.DUMMYFUNCTION("""COMPUTED_VALUE"""),"0813A")</f>
        <v>0813A</v>
      </c>
      <c r="B912" s="4" t="str">
        <f>IFERROR(__xludf.DUMMYFUNCTION("""COMPUTED_VALUE"""),"Adhesivo 300 mm líquidos inflamables B")</f>
        <v>Adhesivo 300 mm líquidos inflamables B</v>
      </c>
      <c r="C912" s="4">
        <f>IFERROR(__xludf.DUMMYFUNCTION("""COMPUTED_VALUE"""),1.536)</f>
        <v>1.536</v>
      </c>
      <c r="D912" s="4"/>
      <c r="E912" s="4" t="str">
        <f>IFERROR(__xludf.DUMMYFUNCTION("""COMPUTED_VALUE"""),"Sin precio neto")</f>
        <v>Sin precio neto</v>
      </c>
    </row>
    <row r="913">
      <c r="A913" s="4" t="str">
        <f>IFERROR(__xludf.DUMMYFUNCTION("""COMPUTED_VALUE"""),"814")</f>
        <v>814</v>
      </c>
      <c r="B913" s="4" t="str">
        <f>IFERROR(__xludf.DUMMYFUNCTION("""COMPUTED_VALUE"""),"Adhesivo 100 mm mat. sólidas inflamables")</f>
        <v>Adhesivo 100 mm mat. sólidas inflamables</v>
      </c>
      <c r="C913" s="4">
        <f>IFERROR(__xludf.DUMMYFUNCTION("""COMPUTED_VALUE"""),0.576)</f>
        <v>0.576</v>
      </c>
      <c r="D913" s="4"/>
      <c r="E913" s="4" t="str">
        <f>IFERROR(__xludf.DUMMYFUNCTION("""COMPUTED_VALUE"""),"Sin precio neto")</f>
        <v>Sin precio neto</v>
      </c>
    </row>
    <row r="914">
      <c r="A914" s="4" t="str">
        <f>IFERROR(__xludf.DUMMYFUNCTION("""COMPUTED_VALUE"""),"0814A")</f>
        <v>0814A</v>
      </c>
      <c r="B914" s="4" t="str">
        <f>IFERROR(__xludf.DUMMYFUNCTION("""COMPUTED_VALUE"""),"Adhesivo 300 mm mat. sólidas inflamables")</f>
        <v>Adhesivo 300 mm mat. sólidas inflamables</v>
      </c>
      <c r="C914" s="4">
        <f>IFERROR(__xludf.DUMMYFUNCTION("""COMPUTED_VALUE"""),1.536)</f>
        <v>1.536</v>
      </c>
      <c r="D914" s="4"/>
      <c r="E914" s="4" t="str">
        <f>IFERROR(__xludf.DUMMYFUNCTION("""COMPUTED_VALUE"""),"Sin precio neto")</f>
        <v>Sin precio neto</v>
      </c>
    </row>
    <row r="915">
      <c r="A915" s="4" t="str">
        <f>IFERROR(__xludf.DUMMYFUNCTION("""COMPUTED_VALUE"""),"815")</f>
        <v>815</v>
      </c>
      <c r="B915" s="4" t="str">
        <f>IFERROR(__xludf.DUMMYFUNCTION("""COMPUTED_VALUE"""),"Adhesivo 100 mm materias expontáneamente inflamables")</f>
        <v>Adhesivo 100 mm materias expontáneamente inflamables</v>
      </c>
      <c r="C915" s="4">
        <f>IFERROR(__xludf.DUMMYFUNCTION("""COMPUTED_VALUE"""),0.576)</f>
        <v>0.576</v>
      </c>
      <c r="D915" s="4"/>
      <c r="E915" s="4" t="str">
        <f>IFERROR(__xludf.DUMMYFUNCTION("""COMPUTED_VALUE"""),"Sin precio neto")</f>
        <v>Sin precio neto</v>
      </c>
    </row>
    <row r="916">
      <c r="A916" s="4" t="str">
        <f>IFERROR(__xludf.DUMMYFUNCTION("""COMPUTED_VALUE"""),"0815A")</f>
        <v>0815A</v>
      </c>
      <c r="B916" s="4" t="str">
        <f>IFERROR(__xludf.DUMMYFUNCTION("""COMPUTED_VALUE"""),"Adhesivo 300 mm materias expontáneamente inflamables")</f>
        <v>Adhesivo 300 mm materias expontáneamente inflamables</v>
      </c>
      <c r="C916" s="4">
        <f>IFERROR(__xludf.DUMMYFUNCTION("""COMPUTED_VALUE"""),1.536)</f>
        <v>1.536</v>
      </c>
      <c r="D916" s="4"/>
      <c r="E916" s="4" t="str">
        <f>IFERROR(__xludf.DUMMYFUNCTION("""COMPUTED_VALUE"""),"Sin precio neto")</f>
        <v>Sin precio neto</v>
      </c>
    </row>
    <row r="917">
      <c r="A917" s="4" t="str">
        <f>IFERROR(__xludf.DUMMYFUNCTION("""COMPUTED_VALUE"""),"816")</f>
        <v>816</v>
      </c>
      <c r="B917" s="4" t="str">
        <f>IFERROR(__xludf.DUMMYFUNCTION("""COMPUTED_VALUE"""),"Adhesivo 100 mm materias contacto agua gases inflamables A")</f>
        <v>Adhesivo 100 mm materias contacto agua gases inflamables A</v>
      </c>
      <c r="C917" s="4">
        <f>IFERROR(__xludf.DUMMYFUNCTION("""COMPUTED_VALUE"""),0.576)</f>
        <v>0.576</v>
      </c>
      <c r="D917" s="4"/>
      <c r="E917" s="4" t="str">
        <f>IFERROR(__xludf.DUMMYFUNCTION("""COMPUTED_VALUE"""),"Sin precio neto")</f>
        <v>Sin precio neto</v>
      </c>
    </row>
    <row r="918">
      <c r="A918" s="4" t="str">
        <f>IFERROR(__xludf.DUMMYFUNCTION("""COMPUTED_VALUE"""),"0816A")</f>
        <v>0816A</v>
      </c>
      <c r="B918" s="4" t="str">
        <f>IFERROR(__xludf.DUMMYFUNCTION("""COMPUTED_VALUE"""),"Adhesivo 300 mm materias contacto agua gases inflamables A")</f>
        <v>Adhesivo 300 mm materias contacto agua gases inflamables A</v>
      </c>
      <c r="C918" s="4">
        <f>IFERROR(__xludf.DUMMYFUNCTION("""COMPUTED_VALUE"""),1.536)</f>
        <v>1.536</v>
      </c>
      <c r="D918" s="4"/>
      <c r="E918" s="4" t="str">
        <f>IFERROR(__xludf.DUMMYFUNCTION("""COMPUTED_VALUE"""),"Sin precio neto")</f>
        <v>Sin precio neto</v>
      </c>
    </row>
    <row r="919">
      <c r="A919" s="4" t="str">
        <f>IFERROR(__xludf.DUMMYFUNCTION("""COMPUTED_VALUE"""),"817")</f>
        <v>817</v>
      </c>
      <c r="B919" s="4" t="str">
        <f>IFERROR(__xludf.DUMMYFUNCTION("""COMPUTED_VALUE"""),"Adhesivo 100 mm materias contacto agua gases inflamables B")</f>
        <v>Adhesivo 100 mm materias contacto agua gases inflamables B</v>
      </c>
      <c r="C919" s="4">
        <f>IFERROR(__xludf.DUMMYFUNCTION("""COMPUTED_VALUE"""),0.576)</f>
        <v>0.576</v>
      </c>
      <c r="D919" s="4"/>
      <c r="E919" s="4" t="str">
        <f>IFERROR(__xludf.DUMMYFUNCTION("""COMPUTED_VALUE"""),"Sin precio neto")</f>
        <v>Sin precio neto</v>
      </c>
    </row>
    <row r="920">
      <c r="A920" s="4" t="str">
        <f>IFERROR(__xludf.DUMMYFUNCTION("""COMPUTED_VALUE"""),"0817A")</f>
        <v>0817A</v>
      </c>
      <c r="B920" s="4" t="str">
        <f>IFERROR(__xludf.DUMMYFUNCTION("""COMPUTED_VALUE"""),"Adhesivo 300 mm materias contacto agua gases inflamables B")</f>
        <v>Adhesivo 300 mm materias contacto agua gases inflamables B</v>
      </c>
      <c r="C920" s="4">
        <f>IFERROR(__xludf.DUMMYFUNCTION("""COMPUTED_VALUE"""),1.536)</f>
        <v>1.536</v>
      </c>
      <c r="D920" s="4"/>
      <c r="E920" s="4" t="str">
        <f>IFERROR(__xludf.DUMMYFUNCTION("""COMPUTED_VALUE"""),"Sin precio neto")</f>
        <v>Sin precio neto</v>
      </c>
    </row>
    <row r="921">
      <c r="A921" s="4" t="str">
        <f>IFERROR(__xludf.DUMMYFUNCTION("""COMPUTED_VALUE"""),"818")</f>
        <v>818</v>
      </c>
      <c r="B921" s="4" t="str">
        <f>IFERROR(__xludf.DUMMYFUNCTION("""COMPUTED_VALUE"""),"Adhesivo 100 mm materias comburentes")</f>
        <v>Adhesivo 100 mm materias comburentes</v>
      </c>
      <c r="C921" s="4">
        <f>IFERROR(__xludf.DUMMYFUNCTION("""COMPUTED_VALUE"""),0.576)</f>
        <v>0.576</v>
      </c>
      <c r="D921" s="4"/>
      <c r="E921" s="4" t="str">
        <f>IFERROR(__xludf.DUMMYFUNCTION("""COMPUTED_VALUE"""),"Sin precio neto")</f>
        <v>Sin precio neto</v>
      </c>
    </row>
    <row r="922">
      <c r="A922" s="4" t="str">
        <f>IFERROR(__xludf.DUMMYFUNCTION("""COMPUTED_VALUE"""),"0818A")</f>
        <v>0818A</v>
      </c>
      <c r="B922" s="4" t="str">
        <f>IFERROR(__xludf.DUMMYFUNCTION("""COMPUTED_VALUE"""),"Adhesivo 300 mm materias comburentes")</f>
        <v>Adhesivo 300 mm materias comburentes</v>
      </c>
      <c r="C922" s="4">
        <f>IFERROR(__xludf.DUMMYFUNCTION("""COMPUTED_VALUE"""),1.536)</f>
        <v>1.536</v>
      </c>
      <c r="D922" s="4"/>
      <c r="E922" s="4" t="str">
        <f>IFERROR(__xludf.DUMMYFUNCTION("""COMPUTED_VALUE"""),"Sin precio neto")</f>
        <v>Sin precio neto</v>
      </c>
    </row>
    <row r="923">
      <c r="A923" s="4" t="str">
        <f>IFERROR(__xludf.DUMMYFUNCTION("""COMPUTED_VALUE"""),"819")</f>
        <v>819</v>
      </c>
      <c r="B923" s="4" t="str">
        <f>IFERROR(__xludf.DUMMYFUNCTION("""COMPUTED_VALUE"""),"Adhesivo 100 mm peróxidos orgánicos")</f>
        <v>Adhesivo 100 mm peróxidos orgánicos</v>
      </c>
      <c r="C923" s="4">
        <f>IFERROR(__xludf.DUMMYFUNCTION("""COMPUTED_VALUE"""),0.576)</f>
        <v>0.576</v>
      </c>
      <c r="D923" s="4"/>
      <c r="E923" s="4" t="str">
        <f>IFERROR(__xludf.DUMMYFUNCTION("""COMPUTED_VALUE"""),"Sin precio neto")</f>
        <v>Sin precio neto</v>
      </c>
    </row>
    <row r="924">
      <c r="A924" s="4" t="str">
        <f>IFERROR(__xludf.DUMMYFUNCTION("""COMPUTED_VALUE"""),"0819A")</f>
        <v>0819A</v>
      </c>
      <c r="B924" s="4" t="str">
        <f>IFERROR(__xludf.DUMMYFUNCTION("""COMPUTED_VALUE"""),"Adhesivo 300 mm peróxidos orgánicos")</f>
        <v>Adhesivo 300 mm peróxidos orgánicos</v>
      </c>
      <c r="C924" s="4">
        <f>IFERROR(__xludf.DUMMYFUNCTION("""COMPUTED_VALUE"""),1.536)</f>
        <v>1.536</v>
      </c>
      <c r="D924" s="4"/>
      <c r="E924" s="4" t="str">
        <f>IFERROR(__xludf.DUMMYFUNCTION("""COMPUTED_VALUE"""),"Sin precio neto")</f>
        <v>Sin precio neto</v>
      </c>
    </row>
    <row r="925">
      <c r="A925" s="4" t="str">
        <f>IFERROR(__xludf.DUMMYFUNCTION("""COMPUTED_VALUE"""),"822")</f>
        <v>822</v>
      </c>
      <c r="B925" s="4" t="str">
        <f>IFERROR(__xludf.DUMMYFUNCTION("""COMPUTED_VALUE"""),"Adhesivo 100 mm Materias Tóxicas")</f>
        <v>Adhesivo 100 mm Materias Tóxicas</v>
      </c>
      <c r="C925" s="4">
        <f>IFERROR(__xludf.DUMMYFUNCTION("""COMPUTED_VALUE"""),0.576)</f>
        <v>0.576</v>
      </c>
      <c r="D925" s="4"/>
      <c r="E925" s="4" t="str">
        <f>IFERROR(__xludf.DUMMYFUNCTION("""COMPUTED_VALUE"""),"Sin precio neto")</f>
        <v>Sin precio neto</v>
      </c>
    </row>
    <row r="926">
      <c r="A926" s="4" t="str">
        <f>IFERROR(__xludf.DUMMYFUNCTION("""COMPUTED_VALUE"""),"0822A")</f>
        <v>0822A</v>
      </c>
      <c r="B926" s="4" t="str">
        <f>IFERROR(__xludf.DUMMYFUNCTION("""COMPUTED_VALUE"""),"Adhesivo 100 mm Materias Tóxicas")</f>
        <v>Adhesivo 100 mm Materias Tóxicas</v>
      </c>
      <c r="C926" s="4">
        <f>IFERROR(__xludf.DUMMYFUNCTION("""COMPUTED_VALUE"""),1.536)</f>
        <v>1.536</v>
      </c>
      <c r="D926" s="4"/>
      <c r="E926" s="4" t="str">
        <f>IFERROR(__xludf.DUMMYFUNCTION("""COMPUTED_VALUE"""),"Sin precio neto")</f>
        <v>Sin precio neto</v>
      </c>
    </row>
    <row r="927">
      <c r="A927" s="4" t="str">
        <f>IFERROR(__xludf.DUMMYFUNCTION("""COMPUTED_VALUE"""),"823")</f>
        <v>823</v>
      </c>
      <c r="B927" s="4" t="str">
        <f>IFERROR(__xludf.DUMMYFUNCTION("""COMPUTED_VALUE"""),"Adhesivo 100 mm Materias infecciosas")</f>
        <v>Adhesivo 100 mm Materias infecciosas</v>
      </c>
      <c r="C927" s="4">
        <f>IFERROR(__xludf.DUMMYFUNCTION("""COMPUTED_VALUE"""),0.576)</f>
        <v>0.576</v>
      </c>
      <c r="D927" s="4"/>
      <c r="E927" s="4" t="str">
        <f>IFERROR(__xludf.DUMMYFUNCTION("""COMPUTED_VALUE"""),"Sin precio neto")</f>
        <v>Sin precio neto</v>
      </c>
    </row>
    <row r="928">
      <c r="A928" s="4" t="str">
        <f>IFERROR(__xludf.DUMMYFUNCTION("""COMPUTED_VALUE"""),"0823A")</f>
        <v>0823A</v>
      </c>
      <c r="B928" s="4" t="str">
        <f>IFERROR(__xludf.DUMMYFUNCTION("""COMPUTED_VALUE"""),"Adhesivo 300 mm Materias infecciosas")</f>
        <v>Adhesivo 300 mm Materias infecciosas</v>
      </c>
      <c r="C928" s="4">
        <f>IFERROR(__xludf.DUMMYFUNCTION("""COMPUTED_VALUE"""),1.536)</f>
        <v>1.536</v>
      </c>
      <c r="D928" s="4"/>
      <c r="E928" s="4" t="str">
        <f>IFERROR(__xludf.DUMMYFUNCTION("""COMPUTED_VALUE"""),"Sin precio neto")</f>
        <v>Sin precio neto</v>
      </c>
    </row>
    <row r="929">
      <c r="A929" s="4" t="str">
        <f>IFERROR(__xludf.DUMMYFUNCTION("""COMPUTED_VALUE"""),"824")</f>
        <v>824</v>
      </c>
      <c r="B929" s="4" t="str">
        <f>IFERROR(__xludf.DUMMYFUNCTION("""COMPUTED_VALUE"""),"Adhesivo 100 mm Materias radiactivas I")</f>
        <v>Adhesivo 100 mm Materias radiactivas I</v>
      </c>
      <c r="C929" s="4">
        <f>IFERROR(__xludf.DUMMYFUNCTION("""COMPUTED_VALUE"""),0.576)</f>
        <v>0.576</v>
      </c>
      <c r="D929" s="4"/>
      <c r="E929" s="4" t="str">
        <f>IFERROR(__xludf.DUMMYFUNCTION("""COMPUTED_VALUE"""),"Sin precio neto")</f>
        <v>Sin precio neto</v>
      </c>
    </row>
    <row r="930">
      <c r="A930" s="4" t="str">
        <f>IFERROR(__xludf.DUMMYFUNCTION("""COMPUTED_VALUE"""),"0824A")</f>
        <v>0824A</v>
      </c>
      <c r="B930" s="4" t="str">
        <f>IFERROR(__xludf.DUMMYFUNCTION("""COMPUTED_VALUE"""),"Adhesivo 300 mm Materias radiactivas I")</f>
        <v>Adhesivo 300 mm Materias radiactivas I</v>
      </c>
      <c r="C930" s="4">
        <f>IFERROR(__xludf.DUMMYFUNCTION("""COMPUTED_VALUE"""),1.536)</f>
        <v>1.536</v>
      </c>
      <c r="D930" s="4"/>
      <c r="E930" s="4" t="str">
        <f>IFERROR(__xludf.DUMMYFUNCTION("""COMPUTED_VALUE"""),"Sin precio neto")</f>
        <v>Sin precio neto</v>
      </c>
    </row>
    <row r="931">
      <c r="A931" s="4" t="str">
        <f>IFERROR(__xludf.DUMMYFUNCTION("""COMPUTED_VALUE"""),"825")</f>
        <v>825</v>
      </c>
      <c r="B931" s="4" t="str">
        <f>IFERROR(__xludf.DUMMYFUNCTION("""COMPUTED_VALUE"""),"Adhesivo 100 mm Materias radiactivas II")</f>
        <v>Adhesivo 100 mm Materias radiactivas II</v>
      </c>
      <c r="C931" s="4">
        <f>IFERROR(__xludf.DUMMYFUNCTION("""COMPUTED_VALUE"""),0.576)</f>
        <v>0.576</v>
      </c>
      <c r="D931" s="4"/>
      <c r="E931" s="4" t="str">
        <f>IFERROR(__xludf.DUMMYFUNCTION("""COMPUTED_VALUE"""),"Sin precio neto")</f>
        <v>Sin precio neto</v>
      </c>
    </row>
    <row r="932">
      <c r="A932" s="4" t="str">
        <f>IFERROR(__xludf.DUMMYFUNCTION("""COMPUTED_VALUE"""),"0825A")</f>
        <v>0825A</v>
      </c>
      <c r="B932" s="4" t="str">
        <f>IFERROR(__xludf.DUMMYFUNCTION("""COMPUTED_VALUE"""),"Adhesivo 300 mm Materias radiactivas II")</f>
        <v>Adhesivo 300 mm Materias radiactivas II</v>
      </c>
      <c r="C932" s="4">
        <f>IFERROR(__xludf.DUMMYFUNCTION("""COMPUTED_VALUE"""),1.536)</f>
        <v>1.536</v>
      </c>
      <c r="D932" s="4"/>
      <c r="E932" s="4" t="str">
        <f>IFERROR(__xludf.DUMMYFUNCTION("""COMPUTED_VALUE"""),"Sin precio neto")</f>
        <v>Sin precio neto</v>
      </c>
    </row>
    <row r="933">
      <c r="A933" s="4" t="str">
        <f>IFERROR(__xludf.DUMMYFUNCTION("""COMPUTED_VALUE"""),"826")</f>
        <v>826</v>
      </c>
      <c r="B933" s="4" t="str">
        <f>IFERROR(__xludf.DUMMYFUNCTION("""COMPUTED_VALUE"""),"Adhesivo 100 mm Materias radiactivas III")</f>
        <v>Adhesivo 100 mm Materias radiactivas III</v>
      </c>
      <c r="C933" s="4">
        <f>IFERROR(__xludf.DUMMYFUNCTION("""COMPUTED_VALUE"""),0.576)</f>
        <v>0.576</v>
      </c>
      <c r="D933" s="4"/>
      <c r="E933" s="4" t="str">
        <f>IFERROR(__xludf.DUMMYFUNCTION("""COMPUTED_VALUE"""),"Sin precio neto")</f>
        <v>Sin precio neto</v>
      </c>
    </row>
    <row r="934">
      <c r="A934" s="4" t="str">
        <f>IFERROR(__xludf.DUMMYFUNCTION("""COMPUTED_VALUE"""),"0826A")</f>
        <v>0826A</v>
      </c>
      <c r="B934" s="4" t="str">
        <f>IFERROR(__xludf.DUMMYFUNCTION("""COMPUTED_VALUE"""),"Adhesivo 300 mm Materias radiactivas III")</f>
        <v>Adhesivo 300 mm Materias radiactivas III</v>
      </c>
      <c r="C934" s="4">
        <f>IFERROR(__xludf.DUMMYFUNCTION("""COMPUTED_VALUE"""),1.536)</f>
        <v>1.536</v>
      </c>
      <c r="D934" s="4"/>
      <c r="E934" s="4" t="str">
        <f>IFERROR(__xludf.DUMMYFUNCTION("""COMPUTED_VALUE"""),"Sin precio neto")</f>
        <v>Sin precio neto</v>
      </c>
    </row>
    <row r="935">
      <c r="A935" s="4" t="str">
        <f>IFERROR(__xludf.DUMMYFUNCTION("""COMPUTED_VALUE"""),"827")</f>
        <v>827</v>
      </c>
      <c r="B935" s="4" t="str">
        <f>IFERROR(__xludf.DUMMYFUNCTION("""COMPUTED_VALUE"""),"Adhesivo 100 mm Materias fisionables")</f>
        <v>Adhesivo 100 mm Materias fisionables</v>
      </c>
      <c r="C935" s="4">
        <f>IFERROR(__xludf.DUMMYFUNCTION("""COMPUTED_VALUE"""),0.576)</f>
        <v>0.576</v>
      </c>
      <c r="D935" s="4"/>
      <c r="E935" s="4" t="str">
        <f>IFERROR(__xludf.DUMMYFUNCTION("""COMPUTED_VALUE"""),"Sin precio neto")</f>
        <v>Sin precio neto</v>
      </c>
    </row>
    <row r="936">
      <c r="A936" s="4" t="str">
        <f>IFERROR(__xludf.DUMMYFUNCTION("""COMPUTED_VALUE"""),"0827A")</f>
        <v>0827A</v>
      </c>
      <c r="B936" s="4" t="str">
        <f>IFERROR(__xludf.DUMMYFUNCTION("""COMPUTED_VALUE"""),"Adhesivo 300 mm Materias fisionables")</f>
        <v>Adhesivo 300 mm Materias fisionables</v>
      </c>
      <c r="C936" s="4">
        <f>IFERROR(__xludf.DUMMYFUNCTION("""COMPUTED_VALUE"""),1.536)</f>
        <v>1.536</v>
      </c>
      <c r="D936" s="4"/>
      <c r="E936" s="4" t="str">
        <f>IFERROR(__xludf.DUMMYFUNCTION("""COMPUTED_VALUE"""),"Sin precio neto")</f>
        <v>Sin precio neto</v>
      </c>
    </row>
    <row r="937">
      <c r="A937" s="4" t="str">
        <f>IFERROR(__xludf.DUMMYFUNCTION("""COMPUTED_VALUE"""),"828")</f>
        <v>828</v>
      </c>
      <c r="B937" s="4" t="str">
        <f>IFERROR(__xludf.DUMMYFUNCTION("""COMPUTED_VALUE"""),"Adhesivo 100 mm Materias corrosivas")</f>
        <v>Adhesivo 100 mm Materias corrosivas</v>
      </c>
      <c r="C937" s="4">
        <f>IFERROR(__xludf.DUMMYFUNCTION("""COMPUTED_VALUE"""),0.576)</f>
        <v>0.576</v>
      </c>
      <c r="D937" s="4"/>
      <c r="E937" s="4" t="str">
        <f>IFERROR(__xludf.DUMMYFUNCTION("""COMPUTED_VALUE"""),"Sin precio neto")</f>
        <v>Sin precio neto</v>
      </c>
    </row>
    <row r="938">
      <c r="A938" s="4" t="str">
        <f>IFERROR(__xludf.DUMMYFUNCTION("""COMPUTED_VALUE"""),"0828A")</f>
        <v>0828A</v>
      </c>
      <c r="B938" s="4" t="str">
        <f>IFERROR(__xludf.DUMMYFUNCTION("""COMPUTED_VALUE"""),"Adhesivo 300 mm Materias corrosivas")</f>
        <v>Adhesivo 300 mm Materias corrosivas</v>
      </c>
      <c r="C938" s="4">
        <f>IFERROR(__xludf.DUMMYFUNCTION("""COMPUTED_VALUE"""),1.536)</f>
        <v>1.536</v>
      </c>
      <c r="D938" s="4"/>
      <c r="E938" s="4" t="str">
        <f>IFERROR(__xludf.DUMMYFUNCTION("""COMPUTED_VALUE"""),"Sin precio neto")</f>
        <v>Sin precio neto</v>
      </c>
    </row>
    <row r="939">
      <c r="A939" s="4" t="str">
        <f>IFERROR(__xludf.DUMMYFUNCTION("""COMPUTED_VALUE"""),"829")</f>
        <v>829</v>
      </c>
      <c r="B939" s="4" t="str">
        <f>IFERROR(__xludf.DUMMYFUNCTION("""COMPUTED_VALUE"""),"Adhesivo 100 mm Materias y objetos peligrosos diversos")</f>
        <v>Adhesivo 100 mm Materias y objetos peligrosos diversos</v>
      </c>
      <c r="C939" s="4">
        <f>IFERROR(__xludf.DUMMYFUNCTION("""COMPUTED_VALUE"""),0.576)</f>
        <v>0.576</v>
      </c>
      <c r="D939" s="4"/>
      <c r="E939" s="4" t="str">
        <f>IFERROR(__xludf.DUMMYFUNCTION("""COMPUTED_VALUE"""),"Sin precio neto")</f>
        <v>Sin precio neto</v>
      </c>
    </row>
    <row r="940">
      <c r="A940" s="4" t="str">
        <f>IFERROR(__xludf.DUMMYFUNCTION("""COMPUTED_VALUE"""),"0829A")</f>
        <v>0829A</v>
      </c>
      <c r="B940" s="4" t="str">
        <f>IFERROR(__xludf.DUMMYFUNCTION("""COMPUTED_VALUE"""),"Adhesivo 300 mm Materias y objetos peligrosos divesas")</f>
        <v>Adhesivo 300 mm Materias y objetos peligrosos divesas</v>
      </c>
      <c r="C940" s="4">
        <f>IFERROR(__xludf.DUMMYFUNCTION("""COMPUTED_VALUE"""),1.536)</f>
        <v>1.536</v>
      </c>
      <c r="D940" s="4"/>
      <c r="E940" s="4" t="str">
        <f>IFERROR(__xludf.DUMMYFUNCTION("""COMPUTED_VALUE"""),"Sin precio neto")</f>
        <v>Sin precio neto</v>
      </c>
    </row>
    <row r="941">
      <c r="A941" s="4" t="str">
        <f>IFERROR(__xludf.DUMMYFUNCTION("""COMPUTED_VALUE"""),"830")</f>
        <v>830</v>
      </c>
      <c r="B941" s="4" t="str">
        <f>IFERROR(__xludf.DUMMYFUNCTION("""COMPUTED_VALUE"""),"Adhesivo 100 mm Materias peligrosas para el medio ambiente")</f>
        <v>Adhesivo 100 mm Materias peligrosas para el medio ambiente</v>
      </c>
      <c r="C941" s="4">
        <f>IFERROR(__xludf.DUMMYFUNCTION("""COMPUTED_VALUE"""),0.576)</f>
        <v>0.576</v>
      </c>
      <c r="D941" s="4"/>
      <c r="E941" s="4" t="str">
        <f>IFERROR(__xludf.DUMMYFUNCTION("""COMPUTED_VALUE"""),"Sin precio neto")</f>
        <v>Sin precio neto</v>
      </c>
    </row>
    <row r="942">
      <c r="A942" s="4" t="str">
        <f>IFERROR(__xludf.DUMMYFUNCTION("""COMPUTED_VALUE"""),"0830A")</f>
        <v>0830A</v>
      </c>
      <c r="B942" s="4" t="str">
        <f>IFERROR(__xludf.DUMMYFUNCTION("""COMPUTED_VALUE"""),"Adhesivo 300 mm Materias peligrosas para el medio ambiente")</f>
        <v>Adhesivo 300 mm Materias peligrosas para el medio ambiente</v>
      </c>
      <c r="C942" s="4">
        <f>IFERROR(__xludf.DUMMYFUNCTION("""COMPUTED_VALUE"""),1.536)</f>
        <v>1.536</v>
      </c>
      <c r="D942" s="4"/>
      <c r="E942" s="4" t="str">
        <f>IFERROR(__xludf.DUMMYFUNCTION("""COMPUTED_VALUE"""),"Sin precio neto")</f>
        <v>Sin precio neto</v>
      </c>
    </row>
    <row r="943">
      <c r="A943" s="4" t="str">
        <f>IFERROR(__xludf.DUMMYFUNCTION("""COMPUTED_VALUE"""),"831")</f>
        <v>831</v>
      </c>
      <c r="B943" s="4" t="str">
        <f>IFERROR(__xludf.DUMMYFUNCTION("""COMPUTED_VALUE"""),"Adhesivo 100 mm Orientación del bulto")</f>
        <v>Adhesivo 100 mm Orientación del bulto</v>
      </c>
      <c r="C943" s="4">
        <f>IFERROR(__xludf.DUMMYFUNCTION("""COMPUTED_VALUE"""),0.576)</f>
        <v>0.576</v>
      </c>
      <c r="D943" s="4"/>
      <c r="E943" s="4" t="str">
        <f>IFERROR(__xludf.DUMMYFUNCTION("""COMPUTED_VALUE"""),"Sin precio neto")</f>
        <v>Sin precio neto</v>
      </c>
    </row>
    <row r="944">
      <c r="A944" s="4" t="str">
        <f>IFERROR(__xludf.DUMMYFUNCTION("""COMPUTED_VALUE"""),"0831A")</f>
        <v>0831A</v>
      </c>
      <c r="B944" s="4" t="str">
        <f>IFERROR(__xludf.DUMMYFUNCTION("""COMPUTED_VALUE"""),"Adhesivo 300 mm Orientación del bulto")</f>
        <v>Adhesivo 300 mm Orientación del bulto</v>
      </c>
      <c r="C944" s="4">
        <f>IFERROR(__xludf.DUMMYFUNCTION("""COMPUTED_VALUE"""),1.536)</f>
        <v>1.536</v>
      </c>
      <c r="D944" s="4"/>
      <c r="E944" s="4" t="str">
        <f>IFERROR(__xludf.DUMMYFUNCTION("""COMPUTED_VALUE"""),"Sin precio neto")</f>
        <v>Sin precio neto</v>
      </c>
    </row>
    <row r="945">
      <c r="A945" s="4" t="str">
        <f>IFERROR(__xludf.DUMMYFUNCTION("""COMPUTED_VALUE"""),"832")</f>
        <v>832</v>
      </c>
      <c r="B945" s="4" t="str">
        <f>IFERROR(__xludf.DUMMYFUNCTION("""COMPUTED_VALUE"""),"Adhesivo 100 mm productos químicos explosivos")</f>
        <v>Adhesivo 100 mm productos químicos explosivos</v>
      </c>
      <c r="C945" s="4">
        <f>IFERROR(__xludf.DUMMYFUNCTION("""COMPUTED_VALUE"""),0.576)</f>
        <v>0.576</v>
      </c>
      <c r="D945" s="4"/>
      <c r="E945" s="4" t="str">
        <f>IFERROR(__xludf.DUMMYFUNCTION("""COMPUTED_VALUE"""),"Sin precio neto")</f>
        <v>Sin precio neto</v>
      </c>
    </row>
    <row r="946">
      <c r="A946" s="4" t="str">
        <f>IFERROR(__xludf.DUMMYFUNCTION("""COMPUTED_VALUE"""),"0832A")</f>
        <v>0832A</v>
      </c>
      <c r="B946" s="4" t="str">
        <f>IFERROR(__xludf.DUMMYFUNCTION("""COMPUTED_VALUE"""),"Adhesivo 300 mm productos químicos explosivos")</f>
        <v>Adhesivo 300 mm productos químicos explosivos</v>
      </c>
      <c r="C946" s="4">
        <f>IFERROR(__xludf.DUMMYFUNCTION("""COMPUTED_VALUE"""),1.536)</f>
        <v>1.536</v>
      </c>
      <c r="D946" s="4"/>
      <c r="E946" s="4" t="str">
        <f>IFERROR(__xludf.DUMMYFUNCTION("""COMPUTED_VALUE"""),"Sin precio neto")</f>
        <v>Sin precio neto</v>
      </c>
    </row>
    <row r="947">
      <c r="A947" s="4" t="str">
        <f>IFERROR(__xludf.DUMMYFUNCTION("""COMPUTED_VALUE"""),"833")</f>
        <v>833</v>
      </c>
      <c r="B947" s="4" t="str">
        <f>IFERROR(__xludf.DUMMYFUNCTION("""COMPUTED_VALUE"""),"Adhesivo 100 mm productos químicos inflamables")</f>
        <v>Adhesivo 100 mm productos químicos inflamables</v>
      </c>
      <c r="C947" s="4">
        <f>IFERROR(__xludf.DUMMYFUNCTION("""COMPUTED_VALUE"""),0.576)</f>
        <v>0.576</v>
      </c>
      <c r="D947" s="4"/>
      <c r="E947" s="4" t="str">
        <f>IFERROR(__xludf.DUMMYFUNCTION("""COMPUTED_VALUE"""),"Sin precio neto")</f>
        <v>Sin precio neto</v>
      </c>
    </row>
    <row r="948">
      <c r="A948" s="4" t="str">
        <f>IFERROR(__xludf.DUMMYFUNCTION("""COMPUTED_VALUE"""),"0833A")</f>
        <v>0833A</v>
      </c>
      <c r="B948" s="4" t="str">
        <f>IFERROR(__xludf.DUMMYFUNCTION("""COMPUTED_VALUE"""),"Adhesivo 300 mm productos químicos inflamables")</f>
        <v>Adhesivo 300 mm productos químicos inflamables</v>
      </c>
      <c r="C948" s="4">
        <f>IFERROR(__xludf.DUMMYFUNCTION("""COMPUTED_VALUE"""),1.536)</f>
        <v>1.536</v>
      </c>
      <c r="D948" s="4"/>
      <c r="E948" s="4" t="str">
        <f>IFERROR(__xludf.DUMMYFUNCTION("""COMPUTED_VALUE"""),"Sin precio neto")</f>
        <v>Sin precio neto</v>
      </c>
    </row>
    <row r="949">
      <c r="A949" s="4" t="str">
        <f>IFERROR(__xludf.DUMMYFUNCTION("""COMPUTED_VALUE"""),"834")</f>
        <v>834</v>
      </c>
      <c r="B949" s="4" t="str">
        <f>IFERROR(__xludf.DUMMYFUNCTION("""COMPUTED_VALUE"""),"Adhesivo 100 mm productos químicos comburentes")</f>
        <v>Adhesivo 100 mm productos químicos comburentes</v>
      </c>
      <c r="C949" s="4">
        <f>IFERROR(__xludf.DUMMYFUNCTION("""COMPUTED_VALUE"""),0.576)</f>
        <v>0.576</v>
      </c>
      <c r="D949" s="4"/>
      <c r="E949" s="4" t="str">
        <f>IFERROR(__xludf.DUMMYFUNCTION("""COMPUTED_VALUE"""),"Sin precio neto")</f>
        <v>Sin precio neto</v>
      </c>
    </row>
    <row r="950">
      <c r="A950" s="4" t="str">
        <f>IFERROR(__xludf.DUMMYFUNCTION("""COMPUTED_VALUE"""),"0834A")</f>
        <v>0834A</v>
      </c>
      <c r="B950" s="4" t="str">
        <f>IFERROR(__xludf.DUMMYFUNCTION("""COMPUTED_VALUE"""),"Adhesivo 300 mm productos químicos comburentes")</f>
        <v>Adhesivo 300 mm productos químicos comburentes</v>
      </c>
      <c r="C950" s="4">
        <f>IFERROR(__xludf.DUMMYFUNCTION("""COMPUTED_VALUE"""),1.536)</f>
        <v>1.536</v>
      </c>
      <c r="D950" s="4"/>
      <c r="E950" s="4" t="str">
        <f>IFERROR(__xludf.DUMMYFUNCTION("""COMPUTED_VALUE"""),"Sin precio neto")</f>
        <v>Sin precio neto</v>
      </c>
    </row>
    <row r="951">
      <c r="A951" s="4" t="str">
        <f>IFERROR(__xludf.DUMMYFUNCTION("""COMPUTED_VALUE"""),"835")</f>
        <v>835</v>
      </c>
      <c r="B951" s="4" t="str">
        <f>IFERROR(__xludf.DUMMYFUNCTION("""COMPUTED_VALUE"""),"Adhesivo 100 mm productos químicos gas a presión")</f>
        <v>Adhesivo 100 mm productos químicos gas a presión</v>
      </c>
      <c r="C951" s="4">
        <f>IFERROR(__xludf.DUMMYFUNCTION("""COMPUTED_VALUE"""),0.576)</f>
        <v>0.576</v>
      </c>
      <c r="D951" s="4"/>
      <c r="E951" s="4" t="str">
        <f>IFERROR(__xludf.DUMMYFUNCTION("""COMPUTED_VALUE"""),"Sin precio neto")</f>
        <v>Sin precio neto</v>
      </c>
    </row>
    <row r="952">
      <c r="A952" s="4" t="str">
        <f>IFERROR(__xludf.DUMMYFUNCTION("""COMPUTED_VALUE"""),"0835A")</f>
        <v>0835A</v>
      </c>
      <c r="B952" s="4" t="str">
        <f>IFERROR(__xludf.DUMMYFUNCTION("""COMPUTED_VALUE"""),"Adhesivo 300 mm productos químicos gas a presión")</f>
        <v>Adhesivo 300 mm productos químicos gas a presión</v>
      </c>
      <c r="C952" s="4">
        <f>IFERROR(__xludf.DUMMYFUNCTION("""COMPUTED_VALUE"""),1.536)</f>
        <v>1.536</v>
      </c>
      <c r="D952" s="4"/>
      <c r="E952" s="4" t="str">
        <f>IFERROR(__xludf.DUMMYFUNCTION("""COMPUTED_VALUE"""),"Sin precio neto")</f>
        <v>Sin precio neto</v>
      </c>
    </row>
    <row r="953">
      <c r="A953" s="4" t="str">
        <f>IFERROR(__xludf.DUMMYFUNCTION("""COMPUTED_VALUE"""),"836")</f>
        <v>836</v>
      </c>
      <c r="B953" s="4" t="str">
        <f>IFERROR(__xludf.DUMMYFUNCTION("""COMPUTED_VALUE"""),"Adhesivo 100 mm productos químicos toxicidad aguda")</f>
        <v>Adhesivo 100 mm productos químicos toxicidad aguda</v>
      </c>
      <c r="C953" s="4">
        <f>IFERROR(__xludf.DUMMYFUNCTION("""COMPUTED_VALUE"""),0.576)</f>
        <v>0.576</v>
      </c>
      <c r="D953" s="4"/>
      <c r="E953" s="4" t="str">
        <f>IFERROR(__xludf.DUMMYFUNCTION("""COMPUTED_VALUE"""),"Sin precio neto")</f>
        <v>Sin precio neto</v>
      </c>
    </row>
    <row r="954">
      <c r="A954" s="4" t="str">
        <f>IFERROR(__xludf.DUMMYFUNCTION("""COMPUTED_VALUE"""),"0836A")</f>
        <v>0836A</v>
      </c>
      <c r="B954" s="4" t="str">
        <f>IFERROR(__xludf.DUMMYFUNCTION("""COMPUTED_VALUE"""),"Adhesivo 300 mm productos químicos Toxicidad aguda")</f>
        <v>Adhesivo 300 mm productos químicos Toxicidad aguda</v>
      </c>
      <c r="C954" s="4">
        <f>IFERROR(__xludf.DUMMYFUNCTION("""COMPUTED_VALUE"""),1.536)</f>
        <v>1.536</v>
      </c>
      <c r="D954" s="4"/>
      <c r="E954" s="4" t="str">
        <f>IFERROR(__xludf.DUMMYFUNCTION("""COMPUTED_VALUE"""),"Sin precio neto")</f>
        <v>Sin precio neto</v>
      </c>
    </row>
    <row r="955">
      <c r="A955" s="4" t="str">
        <f>IFERROR(__xludf.DUMMYFUNCTION("""COMPUTED_VALUE"""),"837")</f>
        <v>837</v>
      </c>
      <c r="B955" s="4" t="str">
        <f>IFERROR(__xludf.DUMMYFUNCTION("""COMPUTED_VALUE"""),"Adhesivo 100 mm productos químicos corrosivos")</f>
        <v>Adhesivo 100 mm productos químicos corrosivos</v>
      </c>
      <c r="C955" s="4">
        <f>IFERROR(__xludf.DUMMYFUNCTION("""COMPUTED_VALUE"""),0.576)</f>
        <v>0.576</v>
      </c>
      <c r="D955" s="4"/>
      <c r="E955" s="4" t="str">
        <f>IFERROR(__xludf.DUMMYFUNCTION("""COMPUTED_VALUE"""),"Sin precio neto")</f>
        <v>Sin precio neto</v>
      </c>
    </row>
    <row r="956">
      <c r="A956" s="4" t="str">
        <f>IFERROR(__xludf.DUMMYFUNCTION("""COMPUTED_VALUE"""),"0837A")</f>
        <v>0837A</v>
      </c>
      <c r="B956" s="4" t="str">
        <f>IFERROR(__xludf.DUMMYFUNCTION("""COMPUTED_VALUE"""),"Adhesivo 300 mm productos químicos corrosivos")</f>
        <v>Adhesivo 300 mm productos químicos corrosivos</v>
      </c>
      <c r="C956" s="4">
        <f>IFERROR(__xludf.DUMMYFUNCTION("""COMPUTED_VALUE"""),1.536)</f>
        <v>1.536</v>
      </c>
      <c r="D956" s="4"/>
      <c r="E956" s="4" t="str">
        <f>IFERROR(__xludf.DUMMYFUNCTION("""COMPUTED_VALUE"""),"Sin precio neto")</f>
        <v>Sin precio neto</v>
      </c>
    </row>
    <row r="957">
      <c r="A957" s="4" t="str">
        <f>IFERROR(__xludf.DUMMYFUNCTION("""COMPUTED_VALUE"""),"838")</f>
        <v>838</v>
      </c>
      <c r="B957" s="4" t="str">
        <f>IFERROR(__xludf.DUMMYFUNCTION("""COMPUTED_VALUE"""),"Adhesivo 100 mm productos químicos peligro grave para la")</f>
        <v>Adhesivo 100 mm productos químicos peligro grave para la</v>
      </c>
      <c r="C957" s="4">
        <f>IFERROR(__xludf.DUMMYFUNCTION("""COMPUTED_VALUE"""),0.576)</f>
        <v>0.576</v>
      </c>
      <c r="D957" s="4"/>
      <c r="E957" s="4" t="str">
        <f>IFERROR(__xludf.DUMMYFUNCTION("""COMPUTED_VALUE"""),"Sin precio neto")</f>
        <v>Sin precio neto</v>
      </c>
    </row>
    <row r="958">
      <c r="A958" s="4" t="str">
        <f>IFERROR(__xludf.DUMMYFUNCTION("""COMPUTED_VALUE"""),"0838A")</f>
        <v>0838A</v>
      </c>
      <c r="B958" s="4" t="str">
        <f>IFERROR(__xludf.DUMMYFUNCTION("""COMPUTED_VALUE"""),"Adhesivo 300 mm productos químicos peligro grave para la")</f>
        <v>Adhesivo 300 mm productos químicos peligro grave para la</v>
      </c>
      <c r="C958" s="4">
        <f>IFERROR(__xludf.DUMMYFUNCTION("""COMPUTED_VALUE"""),1.536)</f>
        <v>1.536</v>
      </c>
      <c r="D958" s="4"/>
      <c r="E958" s="4" t="str">
        <f>IFERROR(__xludf.DUMMYFUNCTION("""COMPUTED_VALUE"""),"Sin precio neto")</f>
        <v>Sin precio neto</v>
      </c>
    </row>
    <row r="959">
      <c r="A959" s="4" t="str">
        <f>IFERROR(__xludf.DUMMYFUNCTION("""COMPUTED_VALUE"""),"839")</f>
        <v>839</v>
      </c>
      <c r="B959" s="4" t="str">
        <f>IFERROR(__xludf.DUMMYFUNCTION("""COMPUTED_VALUE"""),"Adhesivo 100 mm productos químicos peligro para la salud")</f>
        <v>Adhesivo 100 mm productos químicos peligro para la salud</v>
      </c>
      <c r="C959" s="4">
        <f>IFERROR(__xludf.DUMMYFUNCTION("""COMPUTED_VALUE"""),0.576)</f>
        <v>0.576</v>
      </c>
      <c r="D959" s="4"/>
      <c r="E959" s="4" t="str">
        <f>IFERROR(__xludf.DUMMYFUNCTION("""COMPUTED_VALUE"""),"Sin precio neto")</f>
        <v>Sin precio neto</v>
      </c>
    </row>
    <row r="960">
      <c r="A960" s="4" t="str">
        <f>IFERROR(__xludf.DUMMYFUNCTION("""COMPUTED_VALUE"""),"0839A")</f>
        <v>0839A</v>
      </c>
      <c r="B960" s="4" t="str">
        <f>IFERROR(__xludf.DUMMYFUNCTION("""COMPUTED_VALUE"""),"Adhesivo 300 mm productos químicos peligro para la salud")</f>
        <v>Adhesivo 300 mm productos químicos peligro para la salud</v>
      </c>
      <c r="C960" s="4">
        <f>IFERROR(__xludf.DUMMYFUNCTION("""COMPUTED_VALUE"""),1.536)</f>
        <v>1.536</v>
      </c>
      <c r="D960" s="4"/>
      <c r="E960" s="4" t="str">
        <f>IFERROR(__xludf.DUMMYFUNCTION("""COMPUTED_VALUE"""),"Sin precio neto")</f>
        <v>Sin precio neto</v>
      </c>
    </row>
    <row r="961">
      <c r="A961" s="4" t="str">
        <f>IFERROR(__xludf.DUMMYFUNCTION("""COMPUTED_VALUE"""),"840")</f>
        <v>840</v>
      </c>
      <c r="B961" s="4" t="str">
        <f>IFERROR(__xludf.DUMMYFUNCTION("""COMPUTED_VALUE"""),"Adhesivo 100 mm productos químicos peligro para el medio")</f>
        <v>Adhesivo 100 mm productos químicos peligro para el medio</v>
      </c>
      <c r="C961" s="4">
        <f>IFERROR(__xludf.DUMMYFUNCTION("""COMPUTED_VALUE"""),0.576)</f>
        <v>0.576</v>
      </c>
      <c r="D961" s="4"/>
      <c r="E961" s="4" t="str">
        <f>IFERROR(__xludf.DUMMYFUNCTION("""COMPUTED_VALUE"""),"Sin precio neto")</f>
        <v>Sin precio neto</v>
      </c>
    </row>
    <row r="962">
      <c r="A962" s="4" t="str">
        <f>IFERROR(__xludf.DUMMYFUNCTION("""COMPUTED_VALUE"""),"0840A")</f>
        <v>0840A</v>
      </c>
      <c r="B962" s="4" t="str">
        <f>IFERROR(__xludf.DUMMYFUNCTION("""COMPUTED_VALUE"""),"Adhesivo 300 mm productos químicos peligro para el medio")</f>
        <v>Adhesivo 300 mm productos químicos peligro para el medio</v>
      </c>
      <c r="C962" s="4">
        <f>IFERROR(__xludf.DUMMYFUNCTION("""COMPUTED_VALUE"""),1.536)</f>
        <v>1.536</v>
      </c>
      <c r="D962" s="4"/>
      <c r="E962" s="4" t="str">
        <f>IFERROR(__xludf.DUMMYFUNCTION("""COMPUTED_VALUE"""),"Sin precio neto")</f>
        <v>Sin precio neto</v>
      </c>
    </row>
    <row r="963">
      <c r="A963" s="4" t="str">
        <f>IFERROR(__xludf.DUMMYFUNCTION("""COMPUTED_VALUE"""),"841")</f>
        <v>841</v>
      </c>
      <c r="B963" s="4" t="str">
        <f>IFERROR(__xludf.DUMMYFUNCTION("""COMPUTED_VALUE"""),"Adhesivo información general aparcamiento 200x60 mm")</f>
        <v>Adhesivo información general aparcamiento 200x60 mm</v>
      </c>
      <c r="C963" s="4">
        <f>IFERROR(__xludf.DUMMYFUNCTION("""COMPUTED_VALUE"""),1.056)</f>
        <v>1.056</v>
      </c>
      <c r="D963" s="4"/>
      <c r="E963" s="4" t="str">
        <f>IFERROR(__xludf.DUMMYFUNCTION("""COMPUTED_VALUE"""),"Sin precio neto")</f>
        <v>Sin precio neto</v>
      </c>
    </row>
    <row r="964">
      <c r="A964" s="4" t="str">
        <f>IFERROR(__xludf.DUMMYFUNCTION("""COMPUTED_VALUE"""),"0841A")</f>
        <v>0841A</v>
      </c>
      <c r="B964" s="4" t="str">
        <f>IFERROR(__xludf.DUMMYFUNCTION("""COMPUTED_VALUE"""),"Adhesivo información general aparcamiento 300x100 mm")</f>
        <v>Adhesivo información general aparcamiento 300x100 mm</v>
      </c>
      <c r="C964" s="4">
        <f>IFERROR(__xludf.DUMMYFUNCTION("""COMPUTED_VALUE"""),1.536)</f>
        <v>1.536</v>
      </c>
      <c r="D964" s="4"/>
      <c r="E964" s="4" t="str">
        <f>IFERROR(__xludf.DUMMYFUNCTION("""COMPUTED_VALUE"""),"Sin precio neto")</f>
        <v>Sin precio neto</v>
      </c>
    </row>
    <row r="965">
      <c r="A965" s="4" t="str">
        <f>IFERROR(__xludf.DUMMYFUNCTION("""COMPUTED_VALUE"""),"0841C")</f>
        <v>0841C</v>
      </c>
      <c r="B965" s="4" t="str">
        <f>IFERROR(__xludf.DUMMYFUNCTION("""COMPUTED_VALUE"""),"Cartel PVC información general aparcamiento 300x100 mm")</f>
        <v>Cartel PVC información general aparcamiento 300x100 mm</v>
      </c>
      <c r="C965" s="4">
        <f>IFERROR(__xludf.DUMMYFUNCTION("""COMPUTED_VALUE"""),1.776)</f>
        <v>1.776</v>
      </c>
      <c r="D965" s="4"/>
      <c r="E965" s="4" t="str">
        <f>IFERROR(__xludf.DUMMYFUNCTION("""COMPUTED_VALUE"""),"Sin precio neto")</f>
        <v>Sin precio neto</v>
      </c>
    </row>
    <row r="966">
      <c r="A966" s="4" t="str">
        <f>IFERROR(__xludf.DUMMYFUNCTION("""COMPUTED_VALUE"""),"842")</f>
        <v>842</v>
      </c>
      <c r="B966" s="4" t="str">
        <f>IFERROR(__xludf.DUMMYFUNCTION("""COMPUTED_VALUE"""),"Adhesivo información general aseos minusváldos 200x60 mm")</f>
        <v>Adhesivo información general aseos minusváldos 200x60 mm</v>
      </c>
      <c r="C966" s="4">
        <f>IFERROR(__xludf.DUMMYFUNCTION("""COMPUTED_VALUE"""),1.056)</f>
        <v>1.056</v>
      </c>
      <c r="D966" s="4"/>
      <c r="E966" s="4" t="str">
        <f>IFERROR(__xludf.DUMMYFUNCTION("""COMPUTED_VALUE"""),"Sin precio neto")</f>
        <v>Sin precio neto</v>
      </c>
    </row>
    <row r="967">
      <c r="A967" s="4" t="str">
        <f>IFERROR(__xludf.DUMMYFUNCTION("""COMPUTED_VALUE"""),"0842A")</f>
        <v>0842A</v>
      </c>
      <c r="B967" s="4" t="str">
        <f>IFERROR(__xludf.DUMMYFUNCTION("""COMPUTED_VALUE"""),"Adhesivo información general aseos minusválidos 300x100")</f>
        <v>Adhesivo información general aseos minusválidos 300x100</v>
      </c>
      <c r="C967" s="4">
        <f>IFERROR(__xludf.DUMMYFUNCTION("""COMPUTED_VALUE"""),1.536)</f>
        <v>1.536</v>
      </c>
      <c r="D967" s="4"/>
      <c r="E967" s="4" t="str">
        <f>IFERROR(__xludf.DUMMYFUNCTION("""COMPUTED_VALUE"""),"Sin precio neto")</f>
        <v>Sin precio neto</v>
      </c>
    </row>
    <row r="968">
      <c r="A968" s="4" t="str">
        <f>IFERROR(__xludf.DUMMYFUNCTION("""COMPUTED_VALUE"""),"0842C")</f>
        <v>0842C</v>
      </c>
      <c r="B968" s="4" t="str">
        <f>IFERROR(__xludf.DUMMYFUNCTION("""COMPUTED_VALUE"""),"Cartel PVC información general aseos minusválidos 300x100")</f>
        <v>Cartel PVC información general aseos minusválidos 300x100</v>
      </c>
      <c r="C968" s="4">
        <f>IFERROR(__xludf.DUMMYFUNCTION("""COMPUTED_VALUE"""),1.776)</f>
        <v>1.776</v>
      </c>
      <c r="D968" s="4"/>
      <c r="E968" s="4" t="str">
        <f>IFERROR(__xludf.DUMMYFUNCTION("""COMPUTED_VALUE"""),"Sin precio neto")</f>
        <v>Sin precio neto</v>
      </c>
    </row>
    <row r="969">
      <c r="A969" s="4" t="str">
        <f>IFERROR(__xludf.DUMMYFUNCTION("""COMPUTED_VALUE"""),"843")</f>
        <v>843</v>
      </c>
      <c r="B969" s="4" t="str">
        <f>IFERROR(__xludf.DUMMYFUNCTION("""COMPUTED_VALUE"""),"Adhesivo información general aseos masculino 200x60 mm")</f>
        <v>Adhesivo información general aseos masculino 200x60 mm</v>
      </c>
      <c r="C969" s="4">
        <f>IFERROR(__xludf.DUMMYFUNCTION("""COMPUTED_VALUE"""),1.056)</f>
        <v>1.056</v>
      </c>
      <c r="D969" s="4"/>
      <c r="E969" s="4" t="str">
        <f>IFERROR(__xludf.DUMMYFUNCTION("""COMPUTED_VALUE"""),"Sin precio neto")</f>
        <v>Sin precio neto</v>
      </c>
    </row>
    <row r="970">
      <c r="A970" s="4" t="str">
        <f>IFERROR(__xludf.DUMMYFUNCTION("""COMPUTED_VALUE"""),"0843A")</f>
        <v>0843A</v>
      </c>
      <c r="B970" s="4" t="str">
        <f>IFERROR(__xludf.DUMMYFUNCTION("""COMPUTED_VALUE"""),"Adhesivo información general aseos masculino 300x100 mm")</f>
        <v>Adhesivo información general aseos masculino 300x100 mm</v>
      </c>
      <c r="C970" s="4">
        <f>IFERROR(__xludf.DUMMYFUNCTION("""COMPUTED_VALUE"""),1.536)</f>
        <v>1.536</v>
      </c>
      <c r="D970" s="4"/>
      <c r="E970" s="4" t="str">
        <f>IFERROR(__xludf.DUMMYFUNCTION("""COMPUTED_VALUE"""),"Sin precio neto")</f>
        <v>Sin precio neto</v>
      </c>
    </row>
    <row r="971">
      <c r="A971" s="4" t="str">
        <f>IFERROR(__xludf.DUMMYFUNCTION("""COMPUTED_VALUE"""),"0843C")</f>
        <v>0843C</v>
      </c>
      <c r="B971" s="4" t="str">
        <f>IFERROR(__xludf.DUMMYFUNCTION("""COMPUTED_VALUE"""),"Cartel PVC información general aseos masculino 300x100 mm")</f>
        <v>Cartel PVC información general aseos masculino 300x100 mm</v>
      </c>
      <c r="C971" s="4">
        <f>IFERROR(__xludf.DUMMYFUNCTION("""COMPUTED_VALUE"""),1.776)</f>
        <v>1.776</v>
      </c>
      <c r="D971" s="4"/>
      <c r="E971" s="4" t="str">
        <f>IFERROR(__xludf.DUMMYFUNCTION("""COMPUTED_VALUE"""),"Sin precio neto")</f>
        <v>Sin precio neto</v>
      </c>
    </row>
    <row r="972">
      <c r="A972" s="4" t="str">
        <f>IFERROR(__xludf.DUMMYFUNCTION("""COMPUTED_VALUE"""),"845")</f>
        <v>845</v>
      </c>
      <c r="B972" s="4" t="str">
        <f>IFERROR(__xludf.DUMMYFUNCTION("""COMPUTED_VALUE"""),"Adhesivo información general aseos mixtos 200x60 mm")</f>
        <v>Adhesivo información general aseos mixtos 200x60 mm</v>
      </c>
      <c r="C972" s="4">
        <f>IFERROR(__xludf.DUMMYFUNCTION("""COMPUTED_VALUE"""),1.056)</f>
        <v>1.056</v>
      </c>
      <c r="D972" s="4"/>
      <c r="E972" s="4" t="str">
        <f>IFERROR(__xludf.DUMMYFUNCTION("""COMPUTED_VALUE"""),"Sin precio neto")</f>
        <v>Sin precio neto</v>
      </c>
    </row>
    <row r="973">
      <c r="A973" s="4" t="str">
        <f>IFERROR(__xludf.DUMMYFUNCTION("""COMPUTED_VALUE"""),"0845A")</f>
        <v>0845A</v>
      </c>
      <c r="B973" s="4" t="str">
        <f>IFERROR(__xludf.DUMMYFUNCTION("""COMPUTED_VALUE"""),"Adhesivo información general aseos mixtos 300x100 mm")</f>
        <v>Adhesivo información general aseos mixtos 300x100 mm</v>
      </c>
      <c r="C973" s="4">
        <f>IFERROR(__xludf.DUMMYFUNCTION("""COMPUTED_VALUE"""),1.536)</f>
        <v>1.536</v>
      </c>
      <c r="D973" s="4"/>
      <c r="E973" s="4" t="str">
        <f>IFERROR(__xludf.DUMMYFUNCTION("""COMPUTED_VALUE"""),"Sin precio neto")</f>
        <v>Sin precio neto</v>
      </c>
    </row>
    <row r="974">
      <c r="A974" s="4" t="str">
        <f>IFERROR(__xludf.DUMMYFUNCTION("""COMPUTED_VALUE"""),"0845C")</f>
        <v>0845C</v>
      </c>
      <c r="B974" s="4" t="str">
        <f>IFERROR(__xludf.DUMMYFUNCTION("""COMPUTED_VALUE"""),"Cartel PVC información general asos mixtos 300x100 mm")</f>
        <v>Cartel PVC información general asos mixtos 300x100 mm</v>
      </c>
      <c r="C974" s="4">
        <f>IFERROR(__xludf.DUMMYFUNCTION("""COMPUTED_VALUE"""),1.776)</f>
        <v>1.776</v>
      </c>
      <c r="D974" s="4"/>
      <c r="E974" s="4" t="str">
        <f>IFERROR(__xludf.DUMMYFUNCTION("""COMPUTED_VALUE"""),"Sin precio neto")</f>
        <v>Sin precio neto</v>
      </c>
    </row>
    <row r="975">
      <c r="A975" s="4" t="str">
        <f>IFERROR(__xludf.DUMMYFUNCTION("""COMPUTED_VALUE"""),"846")</f>
        <v>846</v>
      </c>
      <c r="B975" s="4" t="str">
        <f>IFERROR(__xludf.DUMMYFUNCTION("""COMPUTED_VALUE"""),"Adhesivo información general aseos femenino 200x60 mm")</f>
        <v>Adhesivo información general aseos femenino 200x60 mm</v>
      </c>
      <c r="C975" s="4">
        <f>IFERROR(__xludf.DUMMYFUNCTION("""COMPUTED_VALUE"""),1.056)</f>
        <v>1.056</v>
      </c>
      <c r="D975" s="4"/>
      <c r="E975" s="4" t="str">
        <f>IFERROR(__xludf.DUMMYFUNCTION("""COMPUTED_VALUE"""),"Sin precio neto")</f>
        <v>Sin precio neto</v>
      </c>
    </row>
    <row r="976">
      <c r="A976" s="4" t="str">
        <f>IFERROR(__xludf.DUMMYFUNCTION("""COMPUTED_VALUE"""),"0846A")</f>
        <v>0846A</v>
      </c>
      <c r="B976" s="4" t="str">
        <f>IFERROR(__xludf.DUMMYFUNCTION("""COMPUTED_VALUE"""),"Adhesivo información general aseos femeninio 300x100 mm")</f>
        <v>Adhesivo información general aseos femeninio 300x100 mm</v>
      </c>
      <c r="C976" s="4">
        <f>IFERROR(__xludf.DUMMYFUNCTION("""COMPUTED_VALUE"""),1.536)</f>
        <v>1.536</v>
      </c>
      <c r="D976" s="4"/>
      <c r="E976" s="4" t="str">
        <f>IFERROR(__xludf.DUMMYFUNCTION("""COMPUTED_VALUE"""),"Sin precio neto")</f>
        <v>Sin precio neto</v>
      </c>
    </row>
    <row r="977">
      <c r="A977" s="4" t="str">
        <f>IFERROR(__xludf.DUMMYFUNCTION("""COMPUTED_VALUE"""),"0846C")</f>
        <v>0846C</v>
      </c>
      <c r="B977" s="4" t="str">
        <f>IFERROR(__xludf.DUMMYFUNCTION("""COMPUTED_VALUE"""),"Cartel PVC informacion general Aseos femenino 300x100 mm")</f>
        <v>Cartel PVC informacion general Aseos femenino 300x100 mm</v>
      </c>
      <c r="C977" s="4">
        <f>IFERROR(__xludf.DUMMYFUNCTION("""COMPUTED_VALUE"""),1.776)</f>
        <v>1.776</v>
      </c>
      <c r="D977" s="4"/>
      <c r="E977" s="4" t="str">
        <f>IFERROR(__xludf.DUMMYFUNCTION("""COMPUTED_VALUE"""),"Sin precio neto")</f>
        <v>Sin precio neto</v>
      </c>
    </row>
    <row r="978">
      <c r="A978" s="4" t="str">
        <f>IFERROR(__xludf.DUMMYFUNCTION("""COMPUTED_VALUE"""),"847")</f>
        <v>847</v>
      </c>
      <c r="B978" s="4" t="str">
        <f>IFERROR(__xludf.DUMMYFUNCTION("""COMPUTED_VALUE"""),"Adhesivo información general vestuario mixto 200x60 mm")</f>
        <v>Adhesivo información general vestuario mixto 200x60 mm</v>
      </c>
      <c r="C978" s="4">
        <f>IFERROR(__xludf.DUMMYFUNCTION("""COMPUTED_VALUE"""),1.056)</f>
        <v>1.056</v>
      </c>
      <c r="D978" s="4"/>
      <c r="E978" s="4" t="str">
        <f>IFERROR(__xludf.DUMMYFUNCTION("""COMPUTED_VALUE"""),"Sin precio neto")</f>
        <v>Sin precio neto</v>
      </c>
    </row>
    <row r="979">
      <c r="A979" s="4" t="str">
        <f>IFERROR(__xludf.DUMMYFUNCTION("""COMPUTED_VALUE"""),"0847A")</f>
        <v>0847A</v>
      </c>
      <c r="B979" s="4" t="str">
        <f>IFERROR(__xludf.DUMMYFUNCTION("""COMPUTED_VALUE"""),"Adhesivo información general vestuario mixto 300x100 mm")</f>
        <v>Adhesivo información general vestuario mixto 300x100 mm</v>
      </c>
      <c r="C979" s="4">
        <f>IFERROR(__xludf.DUMMYFUNCTION("""COMPUTED_VALUE"""),1.536)</f>
        <v>1.536</v>
      </c>
      <c r="D979" s="4"/>
      <c r="E979" s="4" t="str">
        <f>IFERROR(__xludf.DUMMYFUNCTION("""COMPUTED_VALUE"""),"Sin precio neto")</f>
        <v>Sin precio neto</v>
      </c>
    </row>
    <row r="980">
      <c r="A980" s="4" t="str">
        <f>IFERROR(__xludf.DUMMYFUNCTION("""COMPUTED_VALUE"""),"0847C")</f>
        <v>0847C</v>
      </c>
      <c r="B980" s="4" t="str">
        <f>IFERROR(__xludf.DUMMYFUNCTION("""COMPUTED_VALUE"""),"Cartel PVC información general vestuarios mixtos 300x100 mm")</f>
        <v>Cartel PVC información general vestuarios mixtos 300x100 mm</v>
      </c>
      <c r="C980" s="4">
        <f>IFERROR(__xludf.DUMMYFUNCTION("""COMPUTED_VALUE"""),1.776)</f>
        <v>1.776</v>
      </c>
      <c r="D980" s="4"/>
      <c r="E980" s="4" t="str">
        <f>IFERROR(__xludf.DUMMYFUNCTION("""COMPUTED_VALUE"""),"Sin precio neto")</f>
        <v>Sin precio neto</v>
      </c>
    </row>
    <row r="981">
      <c r="A981" s="4" t="str">
        <f>IFERROR(__xludf.DUMMYFUNCTION("""COMPUTED_VALUE"""),"848")</f>
        <v>848</v>
      </c>
      <c r="B981" s="4" t="str">
        <f>IFERROR(__xludf.DUMMYFUNCTION("""COMPUTED_VALUE"""),"Adhesivo información general vestuario femenino 200x60 mm")</f>
        <v>Adhesivo información general vestuario femenino 200x60 mm</v>
      </c>
      <c r="C981" s="4">
        <f>IFERROR(__xludf.DUMMYFUNCTION("""COMPUTED_VALUE"""),1.056)</f>
        <v>1.056</v>
      </c>
      <c r="D981" s="4"/>
      <c r="E981" s="4" t="str">
        <f>IFERROR(__xludf.DUMMYFUNCTION("""COMPUTED_VALUE"""),"Sin precio neto")</f>
        <v>Sin precio neto</v>
      </c>
    </row>
    <row r="982">
      <c r="A982" s="4" t="str">
        <f>IFERROR(__xludf.DUMMYFUNCTION("""COMPUTED_VALUE"""),"0848A")</f>
        <v>0848A</v>
      </c>
      <c r="B982" s="4" t="str">
        <f>IFERROR(__xludf.DUMMYFUNCTION("""COMPUTED_VALUE"""),"Adhesivo información general vestuario femenino 300x100 mm")</f>
        <v>Adhesivo información general vestuario femenino 300x100 mm</v>
      </c>
      <c r="C982" s="4">
        <f>IFERROR(__xludf.DUMMYFUNCTION("""COMPUTED_VALUE"""),1.536)</f>
        <v>1.536</v>
      </c>
      <c r="D982" s="4"/>
      <c r="E982" s="4" t="str">
        <f>IFERROR(__xludf.DUMMYFUNCTION("""COMPUTED_VALUE"""),"Sin precio neto")</f>
        <v>Sin precio neto</v>
      </c>
    </row>
    <row r="983">
      <c r="A983" s="4" t="str">
        <f>IFERROR(__xludf.DUMMYFUNCTION("""COMPUTED_VALUE"""),"0848C")</f>
        <v>0848C</v>
      </c>
      <c r="B983" s="4" t="str">
        <f>IFERROR(__xludf.DUMMYFUNCTION("""COMPUTED_VALUE"""),"Cartel PVC información general vestuario femenino 300x100")</f>
        <v>Cartel PVC información general vestuario femenino 300x100</v>
      </c>
      <c r="C983" s="4">
        <f>IFERROR(__xludf.DUMMYFUNCTION("""COMPUTED_VALUE"""),1.776)</f>
        <v>1.776</v>
      </c>
      <c r="D983" s="4"/>
      <c r="E983" s="4" t="str">
        <f>IFERROR(__xludf.DUMMYFUNCTION("""COMPUTED_VALUE"""),"Sin precio neto")</f>
        <v>Sin precio neto</v>
      </c>
    </row>
    <row r="984">
      <c r="A984" s="4" t="str">
        <f>IFERROR(__xludf.DUMMYFUNCTION("""COMPUTED_VALUE"""),"849")</f>
        <v>849</v>
      </c>
      <c r="B984" s="4" t="str">
        <f>IFERROR(__xludf.DUMMYFUNCTION("""COMPUTED_VALUE"""),"Adhesivo información general vestuario masculino 200x60 mm")</f>
        <v>Adhesivo información general vestuario masculino 200x60 mm</v>
      </c>
      <c r="C984" s="4">
        <f>IFERROR(__xludf.DUMMYFUNCTION("""COMPUTED_VALUE"""),1.056)</f>
        <v>1.056</v>
      </c>
      <c r="D984" s="4"/>
      <c r="E984" s="4" t="str">
        <f>IFERROR(__xludf.DUMMYFUNCTION("""COMPUTED_VALUE"""),"Sin precio neto")</f>
        <v>Sin precio neto</v>
      </c>
    </row>
    <row r="985">
      <c r="A985" s="4" t="str">
        <f>IFERROR(__xludf.DUMMYFUNCTION("""COMPUTED_VALUE"""),"0849A")</f>
        <v>0849A</v>
      </c>
      <c r="B985" s="4" t="str">
        <f>IFERROR(__xludf.DUMMYFUNCTION("""COMPUTED_VALUE"""),"Adhesivo información general vestuario masculino 300x100")</f>
        <v>Adhesivo información general vestuario masculino 300x100</v>
      </c>
      <c r="C985" s="4">
        <f>IFERROR(__xludf.DUMMYFUNCTION("""COMPUTED_VALUE"""),1.536)</f>
        <v>1.536</v>
      </c>
      <c r="D985" s="4"/>
      <c r="E985" s="4" t="str">
        <f>IFERROR(__xludf.DUMMYFUNCTION("""COMPUTED_VALUE"""),"Sin precio neto")</f>
        <v>Sin precio neto</v>
      </c>
    </row>
    <row r="986">
      <c r="A986" s="4" t="str">
        <f>IFERROR(__xludf.DUMMYFUNCTION("""COMPUTED_VALUE"""),"0849C")</f>
        <v>0849C</v>
      </c>
      <c r="B986" s="4" t="str">
        <f>IFERROR(__xludf.DUMMYFUNCTION("""COMPUTED_VALUE"""),"Cartel PVC información general vestuario masculino 300x100")</f>
        <v>Cartel PVC información general vestuario masculino 300x100</v>
      </c>
      <c r="C986" s="4">
        <f>IFERROR(__xludf.DUMMYFUNCTION("""COMPUTED_VALUE"""),1.776)</f>
        <v>1.776</v>
      </c>
      <c r="D986" s="4"/>
      <c r="E986" s="4" t="str">
        <f>IFERROR(__xludf.DUMMYFUNCTION("""COMPUTED_VALUE"""),"Sin precio neto")</f>
        <v>Sin precio neto</v>
      </c>
    </row>
    <row r="987">
      <c r="A987" s="4" t="str">
        <f>IFERROR(__xludf.DUMMYFUNCTION("""COMPUTED_VALUE"""),"850")</f>
        <v>850</v>
      </c>
      <c r="B987" s="4" t="str">
        <f>IFERROR(__xludf.DUMMYFUNCTION("""COMPUTED_VALUE"""),"Adhesivo información general información 200x60 mm")</f>
        <v>Adhesivo información general información 200x60 mm</v>
      </c>
      <c r="C987" s="4">
        <f>IFERROR(__xludf.DUMMYFUNCTION("""COMPUTED_VALUE"""),1.056)</f>
        <v>1.056</v>
      </c>
      <c r="D987" s="4"/>
      <c r="E987" s="4" t="str">
        <f>IFERROR(__xludf.DUMMYFUNCTION("""COMPUTED_VALUE"""),"Sin precio neto")</f>
        <v>Sin precio neto</v>
      </c>
    </row>
    <row r="988">
      <c r="A988" s="4" t="str">
        <f>IFERROR(__xludf.DUMMYFUNCTION("""COMPUTED_VALUE"""),"0850A")</f>
        <v>0850A</v>
      </c>
      <c r="B988" s="4" t="str">
        <f>IFERROR(__xludf.DUMMYFUNCTION("""COMPUTED_VALUE"""),"Adhesivo información general información 300x100 mm")</f>
        <v>Adhesivo información general información 300x100 mm</v>
      </c>
      <c r="C988" s="4">
        <f>IFERROR(__xludf.DUMMYFUNCTION("""COMPUTED_VALUE"""),1.536)</f>
        <v>1.536</v>
      </c>
      <c r="D988" s="4"/>
      <c r="E988" s="4" t="str">
        <f>IFERROR(__xludf.DUMMYFUNCTION("""COMPUTED_VALUE"""),"Sin precio neto")</f>
        <v>Sin precio neto</v>
      </c>
    </row>
    <row r="989">
      <c r="A989" s="4" t="str">
        <f>IFERROR(__xludf.DUMMYFUNCTION("""COMPUTED_VALUE"""),"0850C")</f>
        <v>0850C</v>
      </c>
      <c r="B989" s="4" t="str">
        <f>IFERROR(__xludf.DUMMYFUNCTION("""COMPUTED_VALUE"""),"Cartel PVC información general información 300x100 mm")</f>
        <v>Cartel PVC información general información 300x100 mm</v>
      </c>
      <c r="C989" s="4">
        <f>IFERROR(__xludf.DUMMYFUNCTION("""COMPUTED_VALUE"""),1.776)</f>
        <v>1.776</v>
      </c>
      <c r="D989" s="4"/>
      <c r="E989" s="4" t="str">
        <f>IFERROR(__xludf.DUMMYFUNCTION("""COMPUTED_VALUE"""),"Sin precio neto")</f>
        <v>Sin precio neto</v>
      </c>
    </row>
    <row r="990">
      <c r="A990" s="4" t="str">
        <f>IFERROR(__xludf.DUMMYFUNCTION("""COMPUTED_VALUE"""),"851")</f>
        <v>851</v>
      </c>
      <c r="B990" s="4" t="str">
        <f>IFERROR(__xludf.DUMMYFUNCTION("""COMPUTED_VALUE"""),"Adhesivo información general teléfono 200x60 mm")</f>
        <v>Adhesivo información general teléfono 200x60 mm</v>
      </c>
      <c r="C990" s="4">
        <f>IFERROR(__xludf.DUMMYFUNCTION("""COMPUTED_VALUE"""),1.056)</f>
        <v>1.056</v>
      </c>
      <c r="D990" s="4"/>
      <c r="E990" s="4" t="str">
        <f>IFERROR(__xludf.DUMMYFUNCTION("""COMPUTED_VALUE"""),"Sin precio neto")</f>
        <v>Sin precio neto</v>
      </c>
    </row>
    <row r="991">
      <c r="A991" s="4" t="str">
        <f>IFERROR(__xludf.DUMMYFUNCTION("""COMPUTED_VALUE"""),"0851A")</f>
        <v>0851A</v>
      </c>
      <c r="B991" s="4" t="str">
        <f>IFERROR(__xludf.DUMMYFUNCTION("""COMPUTED_VALUE"""),"Adhesivo información general teléfono 300x100 mm")</f>
        <v>Adhesivo información general teléfono 300x100 mm</v>
      </c>
      <c r="C991" s="4">
        <f>IFERROR(__xludf.DUMMYFUNCTION("""COMPUTED_VALUE"""),1.536)</f>
        <v>1.536</v>
      </c>
      <c r="D991" s="4"/>
      <c r="E991" s="4" t="str">
        <f>IFERROR(__xludf.DUMMYFUNCTION("""COMPUTED_VALUE"""),"Sin precio neto")</f>
        <v>Sin precio neto</v>
      </c>
    </row>
    <row r="992">
      <c r="A992" s="4" t="str">
        <f>IFERROR(__xludf.DUMMYFUNCTION("""COMPUTED_VALUE"""),"0851C")</f>
        <v>0851C</v>
      </c>
      <c r="B992" s="4" t="str">
        <f>IFERROR(__xludf.DUMMYFUNCTION("""COMPUTED_VALUE"""),"Cartel PVC información general teléfono 300x100 mm")</f>
        <v>Cartel PVC información general teléfono 300x100 mm</v>
      </c>
      <c r="C992" s="4">
        <f>IFERROR(__xludf.DUMMYFUNCTION("""COMPUTED_VALUE"""),1.776)</f>
        <v>1.776</v>
      </c>
      <c r="D992" s="4"/>
      <c r="E992" s="4" t="str">
        <f>IFERROR(__xludf.DUMMYFUNCTION("""COMPUTED_VALUE"""),"Sin precio neto")</f>
        <v>Sin precio neto</v>
      </c>
    </row>
    <row r="993">
      <c r="A993" s="4" t="str">
        <f>IFERROR(__xludf.DUMMYFUNCTION("""COMPUTED_VALUE"""),"852")</f>
        <v>852</v>
      </c>
      <c r="B993" s="4" t="str">
        <f>IFERROR(__xludf.DUMMYFUNCTION("""COMPUTED_VALUE"""),"Adhesivo información general guardarropa 200x60 mm")</f>
        <v>Adhesivo información general guardarropa 200x60 mm</v>
      </c>
      <c r="C993" s="4">
        <f>IFERROR(__xludf.DUMMYFUNCTION("""COMPUTED_VALUE"""),1.056)</f>
        <v>1.056</v>
      </c>
      <c r="D993" s="4"/>
      <c r="E993" s="4" t="str">
        <f>IFERROR(__xludf.DUMMYFUNCTION("""COMPUTED_VALUE"""),"Sin precio neto")</f>
        <v>Sin precio neto</v>
      </c>
    </row>
    <row r="994">
      <c r="A994" s="4" t="str">
        <f>IFERROR(__xludf.DUMMYFUNCTION("""COMPUTED_VALUE"""),"0852A")</f>
        <v>0852A</v>
      </c>
      <c r="B994" s="4" t="str">
        <f>IFERROR(__xludf.DUMMYFUNCTION("""COMPUTED_VALUE"""),"Adhesivo información general guardarropa 300x100 mm")</f>
        <v>Adhesivo información general guardarropa 300x100 mm</v>
      </c>
      <c r="C994" s="4">
        <f>IFERROR(__xludf.DUMMYFUNCTION("""COMPUTED_VALUE"""),1.536)</f>
        <v>1.536</v>
      </c>
      <c r="D994" s="4"/>
      <c r="E994" s="4" t="str">
        <f>IFERROR(__xludf.DUMMYFUNCTION("""COMPUTED_VALUE"""),"Sin precio neto")</f>
        <v>Sin precio neto</v>
      </c>
    </row>
    <row r="995">
      <c r="A995" s="4" t="str">
        <f>IFERROR(__xludf.DUMMYFUNCTION("""COMPUTED_VALUE"""),"0852C")</f>
        <v>0852C</v>
      </c>
      <c r="B995" s="4" t="str">
        <f>IFERROR(__xludf.DUMMYFUNCTION("""COMPUTED_VALUE"""),"Cartel PVC información general Guardarropa 300x100 mm")</f>
        <v>Cartel PVC información general Guardarropa 300x100 mm</v>
      </c>
      <c r="C995" s="4">
        <f>IFERROR(__xludf.DUMMYFUNCTION("""COMPUTED_VALUE"""),1.776)</f>
        <v>1.776</v>
      </c>
      <c r="D995" s="4"/>
      <c r="E995" s="4" t="str">
        <f>IFERROR(__xludf.DUMMYFUNCTION("""COMPUTED_VALUE"""),"Sin precio neto")</f>
        <v>Sin precio neto</v>
      </c>
    </row>
    <row r="996">
      <c r="A996" s="4" t="str">
        <f>IFERROR(__xludf.DUMMYFUNCTION("""COMPUTED_VALUE"""),"853")</f>
        <v>853</v>
      </c>
      <c r="B996" s="4" t="str">
        <f>IFERROR(__xludf.DUMMYFUNCTION("""COMPUTED_VALUE"""),"Adhesivo información general restaurante 200x60 mm")</f>
        <v>Adhesivo información general restaurante 200x60 mm</v>
      </c>
      <c r="C996" s="4">
        <f>IFERROR(__xludf.DUMMYFUNCTION("""COMPUTED_VALUE"""),1.056)</f>
        <v>1.056</v>
      </c>
      <c r="D996" s="4"/>
      <c r="E996" s="4" t="str">
        <f>IFERROR(__xludf.DUMMYFUNCTION("""COMPUTED_VALUE"""),"Sin precio neto")</f>
        <v>Sin precio neto</v>
      </c>
    </row>
    <row r="997">
      <c r="A997" s="4" t="str">
        <f>IFERROR(__xludf.DUMMYFUNCTION("""COMPUTED_VALUE"""),"0853A")</f>
        <v>0853A</v>
      </c>
      <c r="B997" s="4" t="str">
        <f>IFERROR(__xludf.DUMMYFUNCTION("""COMPUTED_VALUE"""),"Adhesivo información general restaurante 300x100 mm")</f>
        <v>Adhesivo información general restaurante 300x100 mm</v>
      </c>
      <c r="C997" s="4">
        <f>IFERROR(__xludf.DUMMYFUNCTION("""COMPUTED_VALUE"""),1.536)</f>
        <v>1.536</v>
      </c>
      <c r="D997" s="4"/>
      <c r="E997" s="4" t="str">
        <f>IFERROR(__xludf.DUMMYFUNCTION("""COMPUTED_VALUE"""),"Sin precio neto")</f>
        <v>Sin precio neto</v>
      </c>
    </row>
    <row r="998">
      <c r="A998" s="4" t="str">
        <f>IFERROR(__xludf.DUMMYFUNCTION("""COMPUTED_VALUE"""),"0853C")</f>
        <v>0853C</v>
      </c>
      <c r="B998" s="4" t="str">
        <f>IFERROR(__xludf.DUMMYFUNCTION("""COMPUTED_VALUE"""),"Cartel PVC información general restaurantes 300x100 mm")</f>
        <v>Cartel PVC información general restaurantes 300x100 mm</v>
      </c>
      <c r="C998" s="4">
        <f>IFERROR(__xludf.DUMMYFUNCTION("""COMPUTED_VALUE"""),1.776)</f>
        <v>1.776</v>
      </c>
      <c r="D998" s="4"/>
      <c r="E998" s="4" t="str">
        <f>IFERROR(__xludf.DUMMYFUNCTION("""COMPUTED_VALUE"""),"Sin precio neto")</f>
        <v>Sin precio neto</v>
      </c>
    </row>
    <row r="999">
      <c r="A999" s="4" t="str">
        <f>IFERROR(__xludf.DUMMYFUNCTION("""COMPUTED_VALUE"""),"854")</f>
        <v>854</v>
      </c>
      <c r="B999" s="4" t="str">
        <f>IFERROR(__xludf.DUMMYFUNCTION("""COMPUTED_VALUE"""),"Adhesivo información general cuarto limpieza 200x60 mm")</f>
        <v>Adhesivo información general cuarto limpieza 200x60 mm</v>
      </c>
      <c r="C999" s="4">
        <f>IFERROR(__xludf.DUMMYFUNCTION("""COMPUTED_VALUE"""),1.056)</f>
        <v>1.056</v>
      </c>
      <c r="D999" s="4"/>
      <c r="E999" s="4" t="str">
        <f>IFERROR(__xludf.DUMMYFUNCTION("""COMPUTED_VALUE"""),"Sin precio neto")</f>
        <v>Sin precio neto</v>
      </c>
    </row>
    <row r="1000">
      <c r="A1000" s="4" t="str">
        <f>IFERROR(__xludf.DUMMYFUNCTION("""COMPUTED_VALUE"""),"0854A")</f>
        <v>0854A</v>
      </c>
      <c r="B1000" s="4" t="str">
        <f>IFERROR(__xludf.DUMMYFUNCTION("""COMPUTED_VALUE"""),"Adhesivo información general cuarto limpieza 300x100 mm")</f>
        <v>Adhesivo información general cuarto limpieza 300x100 mm</v>
      </c>
      <c r="C1000" s="4">
        <f>IFERROR(__xludf.DUMMYFUNCTION("""COMPUTED_VALUE"""),1.536)</f>
        <v>1.536</v>
      </c>
      <c r="D1000" s="4"/>
      <c r="E1000" s="4" t="str">
        <f>IFERROR(__xludf.DUMMYFUNCTION("""COMPUTED_VALUE"""),"Sin precio neto")</f>
        <v>Sin precio neto</v>
      </c>
    </row>
    <row r="1001">
      <c r="A1001" s="4" t="str">
        <f>IFERROR(__xludf.DUMMYFUNCTION("""COMPUTED_VALUE"""),"0854C")</f>
        <v>0854C</v>
      </c>
      <c r="B1001" s="4" t="str">
        <f>IFERROR(__xludf.DUMMYFUNCTION("""COMPUTED_VALUE"""),"Cartel PVC información general cuarto limpieza 300x100 mm")</f>
        <v>Cartel PVC información general cuarto limpieza 300x100 mm</v>
      </c>
      <c r="C1001" s="4">
        <f>IFERROR(__xludf.DUMMYFUNCTION("""COMPUTED_VALUE"""),1.776)</f>
        <v>1.776</v>
      </c>
      <c r="D1001" s="4"/>
      <c r="E1001" s="4" t="str">
        <f>IFERROR(__xludf.DUMMYFUNCTION("""COMPUTED_VALUE"""),"Sin precio neto")</f>
        <v>Sin precio neto</v>
      </c>
    </row>
    <row r="1002">
      <c r="A1002" s="4" t="str">
        <f>IFERROR(__xludf.DUMMYFUNCTION("""COMPUTED_VALUE"""),"855")</f>
        <v>855</v>
      </c>
      <c r="B1002" s="4" t="str">
        <f>IFERROR(__xludf.DUMMYFUNCTION("""COMPUTED_VALUE"""),"Adhesivo información general almacen 200x60 mm")</f>
        <v>Adhesivo información general almacen 200x60 mm</v>
      </c>
      <c r="C1002" s="4">
        <f>IFERROR(__xludf.DUMMYFUNCTION("""COMPUTED_VALUE"""),1.056)</f>
        <v>1.056</v>
      </c>
      <c r="D1002" s="4"/>
      <c r="E1002" s="4" t="str">
        <f>IFERROR(__xludf.DUMMYFUNCTION("""COMPUTED_VALUE"""),"Sin precio neto")</f>
        <v>Sin precio neto</v>
      </c>
    </row>
    <row r="1003">
      <c r="A1003" s="4" t="str">
        <f>IFERROR(__xludf.DUMMYFUNCTION("""COMPUTED_VALUE"""),"0855A")</f>
        <v>0855A</v>
      </c>
      <c r="B1003" s="4" t="str">
        <f>IFERROR(__xludf.DUMMYFUNCTION("""COMPUTED_VALUE"""),"Adhesivo información general almacen 300x100 mm")</f>
        <v>Adhesivo información general almacen 300x100 mm</v>
      </c>
      <c r="C1003" s="4">
        <f>IFERROR(__xludf.DUMMYFUNCTION("""COMPUTED_VALUE"""),1.536)</f>
        <v>1.536</v>
      </c>
      <c r="D1003" s="4"/>
      <c r="E1003" s="4" t="str">
        <f>IFERROR(__xludf.DUMMYFUNCTION("""COMPUTED_VALUE"""),"Sin precio neto")</f>
        <v>Sin precio neto</v>
      </c>
    </row>
    <row r="1004">
      <c r="A1004" s="4" t="str">
        <f>IFERROR(__xludf.DUMMYFUNCTION("""COMPUTED_VALUE"""),"0855C")</f>
        <v>0855C</v>
      </c>
      <c r="B1004" s="4" t="str">
        <f>IFERROR(__xludf.DUMMYFUNCTION("""COMPUTED_VALUE"""),"Cartel PVC información general almacén 300x100 mm")</f>
        <v>Cartel PVC información general almacén 300x100 mm</v>
      </c>
      <c r="C1004" s="4">
        <f>IFERROR(__xludf.DUMMYFUNCTION("""COMPUTED_VALUE"""),1.776)</f>
        <v>1.776</v>
      </c>
      <c r="D1004" s="4"/>
      <c r="E1004" s="4" t="str">
        <f>IFERROR(__xludf.DUMMYFUNCTION("""COMPUTED_VALUE"""),"Sin precio neto")</f>
        <v>Sin precio neto</v>
      </c>
    </row>
    <row r="1005">
      <c r="A1005" s="4" t="str">
        <f>IFERROR(__xludf.DUMMYFUNCTION("""COMPUTED_VALUE"""),"856")</f>
        <v>856</v>
      </c>
      <c r="B1005" s="4" t="str">
        <f>IFERROR(__xludf.DUMMYFUNCTION("""COMPUTED_VALUE"""),"Adhesivo información general oficina 200x60 mm")</f>
        <v>Adhesivo información general oficina 200x60 mm</v>
      </c>
      <c r="C1005" s="4">
        <f>IFERROR(__xludf.DUMMYFUNCTION("""COMPUTED_VALUE"""),1.056)</f>
        <v>1.056</v>
      </c>
      <c r="D1005" s="4"/>
      <c r="E1005" s="4" t="str">
        <f>IFERROR(__xludf.DUMMYFUNCTION("""COMPUTED_VALUE"""),"Sin precio neto")</f>
        <v>Sin precio neto</v>
      </c>
    </row>
    <row r="1006">
      <c r="A1006" s="4" t="str">
        <f>IFERROR(__xludf.DUMMYFUNCTION("""COMPUTED_VALUE"""),"0856A")</f>
        <v>0856A</v>
      </c>
      <c r="B1006" s="4" t="str">
        <f>IFERROR(__xludf.DUMMYFUNCTION("""COMPUTED_VALUE"""),"Adhesivo información general oficina 300x100 mm")</f>
        <v>Adhesivo información general oficina 300x100 mm</v>
      </c>
      <c r="C1006" s="4">
        <f>IFERROR(__xludf.DUMMYFUNCTION("""COMPUTED_VALUE"""),1.536)</f>
        <v>1.536</v>
      </c>
      <c r="D1006" s="4"/>
      <c r="E1006" s="4" t="str">
        <f>IFERROR(__xludf.DUMMYFUNCTION("""COMPUTED_VALUE"""),"Sin precio neto")</f>
        <v>Sin precio neto</v>
      </c>
    </row>
    <row r="1007">
      <c r="A1007" s="4" t="str">
        <f>IFERROR(__xludf.DUMMYFUNCTION("""COMPUTED_VALUE"""),"0856C")</f>
        <v>0856C</v>
      </c>
      <c r="B1007" s="4" t="str">
        <f>IFERROR(__xludf.DUMMYFUNCTION("""COMPUTED_VALUE"""),"Cartel PVC información general oficina 300x100 mm")</f>
        <v>Cartel PVC información general oficina 300x100 mm</v>
      </c>
      <c r="C1007" s="4">
        <f>IFERROR(__xludf.DUMMYFUNCTION("""COMPUTED_VALUE"""),1.776)</f>
        <v>1.776</v>
      </c>
      <c r="D1007" s="4"/>
      <c r="E1007" s="4" t="str">
        <f>IFERROR(__xludf.DUMMYFUNCTION("""COMPUTED_VALUE"""),"Sin precio neto")</f>
        <v>Sin precio neto</v>
      </c>
    </row>
    <row r="1008">
      <c r="A1008" s="4" t="str">
        <f>IFERROR(__xludf.DUMMYFUNCTION("""COMPUTED_VALUE"""),"857")</f>
        <v>857</v>
      </c>
      <c r="B1008" s="4" t="str">
        <f>IFERROR(__xludf.DUMMYFUNCTION("""COMPUTED_VALUE"""),"Adhesivo información general entrada 200x60mm")</f>
        <v>Adhesivo información general entrada 200x60mm</v>
      </c>
      <c r="C1008" s="4">
        <f>IFERROR(__xludf.DUMMYFUNCTION("""COMPUTED_VALUE"""),1.056)</f>
        <v>1.056</v>
      </c>
      <c r="D1008" s="4"/>
      <c r="E1008" s="4" t="str">
        <f>IFERROR(__xludf.DUMMYFUNCTION("""COMPUTED_VALUE"""),"Sin precio neto")</f>
        <v>Sin precio neto</v>
      </c>
    </row>
    <row r="1009">
      <c r="A1009" s="4" t="str">
        <f>IFERROR(__xludf.DUMMYFUNCTION("""COMPUTED_VALUE"""),"0857A")</f>
        <v>0857A</v>
      </c>
      <c r="B1009" s="4" t="str">
        <f>IFERROR(__xludf.DUMMYFUNCTION("""COMPUTED_VALUE"""),"Adhesivo información general entrada 300x100mm")</f>
        <v>Adhesivo información general entrada 300x100mm</v>
      </c>
      <c r="C1009" s="4">
        <f>IFERROR(__xludf.DUMMYFUNCTION("""COMPUTED_VALUE"""),1.536)</f>
        <v>1.536</v>
      </c>
      <c r="D1009" s="4"/>
      <c r="E1009" s="4" t="str">
        <f>IFERROR(__xludf.DUMMYFUNCTION("""COMPUTED_VALUE"""),"Sin precio neto")</f>
        <v>Sin precio neto</v>
      </c>
    </row>
    <row r="1010">
      <c r="A1010" s="4" t="str">
        <f>IFERROR(__xludf.DUMMYFUNCTION("""COMPUTED_VALUE"""),"0857C")</f>
        <v>0857C</v>
      </c>
      <c r="B1010" s="4" t="str">
        <f>IFERROR(__xludf.DUMMYFUNCTION("""COMPUTED_VALUE"""),"Cartel PVC información general entrada 300x100 mm")</f>
        <v>Cartel PVC información general entrada 300x100 mm</v>
      </c>
      <c r="C1010" s="4">
        <f>IFERROR(__xludf.DUMMYFUNCTION("""COMPUTED_VALUE"""),1.776)</f>
        <v>1.776</v>
      </c>
      <c r="D1010" s="4"/>
      <c r="E1010" s="4" t="str">
        <f>IFERROR(__xludf.DUMMYFUNCTION("""COMPUTED_VALUE"""),"Sin precio neto")</f>
        <v>Sin precio neto</v>
      </c>
    </row>
    <row r="1011">
      <c r="A1011" s="4" t="str">
        <f>IFERROR(__xludf.DUMMYFUNCTION("""COMPUTED_VALUE"""),"858")</f>
        <v>858</v>
      </c>
      <c r="B1011" s="4" t="str">
        <f>IFERROR(__xludf.DUMMYFUNCTION("""COMPUTED_VALUE"""),"Adhesivo información general cierre la puerta 200x60 mm")</f>
        <v>Adhesivo información general cierre la puerta 200x60 mm</v>
      </c>
      <c r="C1011" s="4">
        <f>IFERROR(__xludf.DUMMYFUNCTION("""COMPUTED_VALUE"""),1.056)</f>
        <v>1.056</v>
      </c>
      <c r="D1011" s="4"/>
      <c r="E1011" s="4" t="str">
        <f>IFERROR(__xludf.DUMMYFUNCTION("""COMPUTED_VALUE"""),"Sin precio neto")</f>
        <v>Sin precio neto</v>
      </c>
    </row>
    <row r="1012">
      <c r="A1012" s="4" t="str">
        <f>IFERROR(__xludf.DUMMYFUNCTION("""COMPUTED_VALUE"""),"0858A")</f>
        <v>0858A</v>
      </c>
      <c r="B1012" s="4" t="str">
        <f>IFERROR(__xludf.DUMMYFUNCTION("""COMPUTED_VALUE"""),"Adhesivo información general cierre la puerta 300x100 mm")</f>
        <v>Adhesivo información general cierre la puerta 300x100 mm</v>
      </c>
      <c r="C1012" s="4">
        <f>IFERROR(__xludf.DUMMYFUNCTION("""COMPUTED_VALUE"""),1.536)</f>
        <v>1.536</v>
      </c>
      <c r="D1012" s="4"/>
      <c r="E1012" s="4" t="str">
        <f>IFERROR(__xludf.DUMMYFUNCTION("""COMPUTED_VALUE"""),"Sin precio neto")</f>
        <v>Sin precio neto</v>
      </c>
    </row>
    <row r="1013">
      <c r="A1013" s="4" t="str">
        <f>IFERROR(__xludf.DUMMYFUNCTION("""COMPUTED_VALUE"""),"0858C")</f>
        <v>0858C</v>
      </c>
      <c r="B1013" s="4" t="str">
        <f>IFERROR(__xludf.DUMMYFUNCTION("""COMPUTED_VALUE"""),"Cartel PVC información general cierre la puerta 300x100 mm")</f>
        <v>Cartel PVC información general cierre la puerta 300x100 mm</v>
      </c>
      <c r="C1013" s="4">
        <f>IFERROR(__xludf.DUMMYFUNCTION("""COMPUTED_VALUE"""),1.776)</f>
        <v>1.776</v>
      </c>
      <c r="D1013" s="4"/>
      <c r="E1013" s="4" t="str">
        <f>IFERROR(__xludf.DUMMYFUNCTION("""COMPUTED_VALUE"""),"Sin precio neto")</f>
        <v>Sin precio neto</v>
      </c>
    </row>
    <row r="1014">
      <c r="A1014" s="4" t="str">
        <f>IFERROR(__xludf.DUMMYFUNCTION("""COMPUTED_VALUE"""),"859")</f>
        <v>859</v>
      </c>
      <c r="B1014" s="4" t="str">
        <f>IFERROR(__xludf.DUMMYFUNCTION("""COMPUTED_VALUE"""),"Adhesivo información general empujar 200x60 mm")</f>
        <v>Adhesivo información general empujar 200x60 mm</v>
      </c>
      <c r="C1014" s="4">
        <f>IFERROR(__xludf.DUMMYFUNCTION("""COMPUTED_VALUE"""),1.056)</f>
        <v>1.056</v>
      </c>
      <c r="D1014" s="4"/>
      <c r="E1014" s="4" t="str">
        <f>IFERROR(__xludf.DUMMYFUNCTION("""COMPUTED_VALUE"""),"Sin precio neto")</f>
        <v>Sin precio neto</v>
      </c>
    </row>
    <row r="1015">
      <c r="A1015" s="4" t="str">
        <f>IFERROR(__xludf.DUMMYFUNCTION("""COMPUTED_VALUE"""),"0859A")</f>
        <v>0859A</v>
      </c>
      <c r="B1015" s="4" t="str">
        <f>IFERROR(__xludf.DUMMYFUNCTION("""COMPUTED_VALUE"""),"Adhesivo información general empujar 300x100 mm")</f>
        <v>Adhesivo información general empujar 300x100 mm</v>
      </c>
      <c r="C1015" s="4">
        <f>IFERROR(__xludf.DUMMYFUNCTION("""COMPUTED_VALUE"""),1.536)</f>
        <v>1.536</v>
      </c>
      <c r="D1015" s="4"/>
      <c r="E1015" s="4" t="str">
        <f>IFERROR(__xludf.DUMMYFUNCTION("""COMPUTED_VALUE"""),"Sin precio neto")</f>
        <v>Sin precio neto</v>
      </c>
    </row>
    <row r="1016">
      <c r="A1016" s="4" t="str">
        <f>IFERROR(__xludf.DUMMYFUNCTION("""COMPUTED_VALUE"""),"0859C")</f>
        <v>0859C</v>
      </c>
      <c r="B1016" s="4" t="str">
        <f>IFERROR(__xludf.DUMMYFUNCTION("""COMPUTED_VALUE"""),"Cartel PVC información general empujar 300x100 mm")</f>
        <v>Cartel PVC información general empujar 300x100 mm</v>
      </c>
      <c r="C1016" s="4">
        <f>IFERROR(__xludf.DUMMYFUNCTION("""COMPUTED_VALUE"""),1.776)</f>
        <v>1.776</v>
      </c>
      <c r="D1016" s="4"/>
      <c r="E1016" s="4" t="str">
        <f>IFERROR(__xludf.DUMMYFUNCTION("""COMPUTED_VALUE"""),"Sin precio neto")</f>
        <v>Sin precio neto</v>
      </c>
    </row>
    <row r="1017">
      <c r="A1017" s="4" t="str">
        <f>IFERROR(__xludf.DUMMYFUNCTION("""COMPUTED_VALUE"""),"860")</f>
        <v>860</v>
      </c>
      <c r="B1017" s="4" t="str">
        <f>IFERROR(__xludf.DUMMYFUNCTION("""COMPUTED_VALUE"""),"Adhesivo información general tirar 200x60 mm")</f>
        <v>Adhesivo información general tirar 200x60 mm</v>
      </c>
      <c r="C1017" s="4">
        <f>IFERROR(__xludf.DUMMYFUNCTION("""COMPUTED_VALUE"""),1.056)</f>
        <v>1.056</v>
      </c>
      <c r="D1017" s="4"/>
      <c r="E1017" s="4" t="str">
        <f>IFERROR(__xludf.DUMMYFUNCTION("""COMPUTED_VALUE"""),"Sin precio neto")</f>
        <v>Sin precio neto</v>
      </c>
    </row>
    <row r="1018">
      <c r="A1018" s="4" t="str">
        <f>IFERROR(__xludf.DUMMYFUNCTION("""COMPUTED_VALUE"""),"0860A")</f>
        <v>0860A</v>
      </c>
      <c r="B1018" s="4" t="str">
        <f>IFERROR(__xludf.DUMMYFUNCTION("""COMPUTED_VALUE"""),"Adhesivo información general tirar 300x100 mm")</f>
        <v>Adhesivo información general tirar 300x100 mm</v>
      </c>
      <c r="C1018" s="4">
        <f>IFERROR(__xludf.DUMMYFUNCTION("""COMPUTED_VALUE"""),1.536)</f>
        <v>1.536</v>
      </c>
      <c r="D1018" s="4"/>
      <c r="E1018" s="4" t="str">
        <f>IFERROR(__xludf.DUMMYFUNCTION("""COMPUTED_VALUE"""),"Sin precio neto")</f>
        <v>Sin precio neto</v>
      </c>
    </row>
    <row r="1019">
      <c r="A1019" s="4" t="str">
        <f>IFERROR(__xludf.DUMMYFUNCTION("""COMPUTED_VALUE"""),"0860C")</f>
        <v>0860C</v>
      </c>
      <c r="B1019" s="4" t="str">
        <f>IFERROR(__xludf.DUMMYFUNCTION("""COMPUTED_VALUE"""),"Cartel PVC información general tirar 300x100 mm")</f>
        <v>Cartel PVC información general tirar 300x100 mm</v>
      </c>
      <c r="C1019" s="4">
        <f>IFERROR(__xludf.DUMMYFUNCTION("""COMPUTED_VALUE"""),1.776)</f>
        <v>1.776</v>
      </c>
      <c r="D1019" s="4"/>
      <c r="E1019" s="4" t="str">
        <f>IFERROR(__xludf.DUMMYFUNCTION("""COMPUTED_VALUE"""),"Sin precio neto")</f>
        <v>Sin precio neto</v>
      </c>
    </row>
    <row r="1020">
      <c r="A1020" s="4" t="str">
        <f>IFERROR(__xludf.DUMMYFUNCTION("""COMPUTED_VALUE"""),"861")</f>
        <v>861</v>
      </c>
      <c r="B1020" s="4" t="str">
        <f>IFERROR(__xludf.DUMMYFUNCTION("""COMPUTED_VALUE"""),"Cartel PVC 40x30 reciclado vidrio")</f>
        <v>Cartel PVC 40x30 reciclado vidrio</v>
      </c>
      <c r="C1020" s="4">
        <f>IFERROR(__xludf.DUMMYFUNCTION("""COMPUTED_VALUE"""),2.3808)</f>
        <v>2.3808</v>
      </c>
      <c r="D1020" s="4">
        <f>IFERROR(__xludf.DUMMYFUNCTION("""COMPUTED_VALUE"""),1.8)</f>
        <v>1.8</v>
      </c>
      <c r="E1020" s="4" t="str">
        <f>IFERROR(__xludf.DUMMYFUNCTION("""COMPUTED_VALUE"""),"Neto: 1,80 € (a partir de 1 uds.)")</f>
        <v>Neto: 1,80 € (a partir de 1 uds.)</v>
      </c>
    </row>
    <row r="1021">
      <c r="A1021" s="4" t="str">
        <f>IFERROR(__xludf.DUMMYFUNCTION("""COMPUTED_VALUE"""),"0861A")</f>
        <v>0861A</v>
      </c>
      <c r="B1021" s="4" t="str">
        <f>IFERROR(__xludf.DUMMYFUNCTION("""COMPUTED_VALUE"""),"Adhesivo PVC 21x29 reciclado vidrio")</f>
        <v>Adhesivo PVC 21x29 reciclado vidrio</v>
      </c>
      <c r="C1021" s="4">
        <f>IFERROR(__xludf.DUMMYFUNCTION("""COMPUTED_VALUE"""),1.2)</f>
        <v>1.2</v>
      </c>
      <c r="D1021" s="4"/>
      <c r="E1021" s="4" t="str">
        <f>IFERROR(__xludf.DUMMYFUNCTION("""COMPUTED_VALUE"""),"Sin precio neto")</f>
        <v>Sin precio neto</v>
      </c>
    </row>
    <row r="1022">
      <c r="A1022" s="4" t="str">
        <f>IFERROR(__xludf.DUMMYFUNCTION("""COMPUTED_VALUE"""),"0861P")</f>
        <v>0861P</v>
      </c>
      <c r="B1022" s="4" t="str">
        <f>IFERROR(__xludf.DUMMYFUNCTION("""COMPUTED_VALUE"""),"Cartel PVC 21x29 reciclado vidrio")</f>
        <v>Cartel PVC 21x29 reciclado vidrio</v>
      </c>
      <c r="C1022" s="4">
        <f>IFERROR(__xludf.DUMMYFUNCTION("""COMPUTED_VALUE"""),1.536)</f>
        <v>1.536</v>
      </c>
      <c r="D1022" s="4">
        <f>IFERROR(__xludf.DUMMYFUNCTION("""COMPUTED_VALUE"""),1.2)</f>
        <v>1.2</v>
      </c>
      <c r="E1022" s="4" t="str">
        <f>IFERROR(__xludf.DUMMYFUNCTION("""COMPUTED_VALUE"""),"Neto: 1,20 € (a partir de 1 uds.)")</f>
        <v>Neto: 1,20 € (a partir de 1 uds.)</v>
      </c>
    </row>
    <row r="1023">
      <c r="A1023" s="4" t="str">
        <f>IFERROR(__xludf.DUMMYFUNCTION("""COMPUTED_VALUE"""),"862")</f>
        <v>862</v>
      </c>
      <c r="B1023" s="4" t="str">
        <f>IFERROR(__xludf.DUMMYFUNCTION("""COMPUTED_VALUE"""),"Cartel PVC 40x30 reciclado plástico")</f>
        <v>Cartel PVC 40x30 reciclado plástico</v>
      </c>
      <c r="C1023" s="4">
        <f>IFERROR(__xludf.DUMMYFUNCTION("""COMPUTED_VALUE"""),2.3808)</f>
        <v>2.3808</v>
      </c>
      <c r="D1023" s="4">
        <f>IFERROR(__xludf.DUMMYFUNCTION("""COMPUTED_VALUE"""),1.8)</f>
        <v>1.8</v>
      </c>
      <c r="E1023" s="4" t="str">
        <f>IFERROR(__xludf.DUMMYFUNCTION("""COMPUTED_VALUE"""),"Neto: 1,80 € (a partir de 1 uds.)")</f>
        <v>Neto: 1,80 € (a partir de 1 uds.)</v>
      </c>
    </row>
    <row r="1024">
      <c r="A1024" s="4" t="str">
        <f>IFERROR(__xludf.DUMMYFUNCTION("""COMPUTED_VALUE"""),"0862A")</f>
        <v>0862A</v>
      </c>
      <c r="B1024" s="4" t="str">
        <f>IFERROR(__xludf.DUMMYFUNCTION("""COMPUTED_VALUE"""),"Adhesivo PVC 21x29 reciclado plástico")</f>
        <v>Adhesivo PVC 21x29 reciclado plástico</v>
      </c>
      <c r="C1024" s="4">
        <f>IFERROR(__xludf.DUMMYFUNCTION("""COMPUTED_VALUE"""),1.2)</f>
        <v>1.2</v>
      </c>
      <c r="D1024" s="4"/>
      <c r="E1024" s="4" t="str">
        <f>IFERROR(__xludf.DUMMYFUNCTION("""COMPUTED_VALUE"""),"Sin precio neto")</f>
        <v>Sin precio neto</v>
      </c>
    </row>
    <row r="1025">
      <c r="A1025" s="4" t="str">
        <f>IFERROR(__xludf.DUMMYFUNCTION("""COMPUTED_VALUE"""),"0862P")</f>
        <v>0862P</v>
      </c>
      <c r="B1025" s="4" t="str">
        <f>IFERROR(__xludf.DUMMYFUNCTION("""COMPUTED_VALUE"""),"Cartel PVC 21x29 reciclado plástico")</f>
        <v>Cartel PVC 21x29 reciclado plástico</v>
      </c>
      <c r="C1025" s="4">
        <f>IFERROR(__xludf.DUMMYFUNCTION("""COMPUTED_VALUE"""),1.536)</f>
        <v>1.536</v>
      </c>
      <c r="D1025" s="4">
        <f>IFERROR(__xludf.DUMMYFUNCTION("""COMPUTED_VALUE"""),1.2)</f>
        <v>1.2</v>
      </c>
      <c r="E1025" s="4" t="str">
        <f>IFERROR(__xludf.DUMMYFUNCTION("""COMPUTED_VALUE"""),"Neto: 1,20 € (a partir de 1 uds.)")</f>
        <v>Neto: 1,20 € (a partir de 1 uds.)</v>
      </c>
    </row>
    <row r="1026">
      <c r="A1026" s="4" t="str">
        <f>IFERROR(__xludf.DUMMYFUNCTION("""COMPUTED_VALUE"""),"863")</f>
        <v>863</v>
      </c>
      <c r="B1026" s="4" t="str">
        <f>IFERROR(__xludf.DUMMYFUNCTION("""COMPUTED_VALUE"""),"Cartel PVC 40x30 reciclado metal")</f>
        <v>Cartel PVC 40x30 reciclado metal</v>
      </c>
      <c r="C1026" s="4">
        <f>IFERROR(__xludf.DUMMYFUNCTION("""COMPUTED_VALUE"""),2.3808)</f>
        <v>2.3808</v>
      </c>
      <c r="D1026" s="4">
        <f>IFERROR(__xludf.DUMMYFUNCTION("""COMPUTED_VALUE"""),1.8)</f>
        <v>1.8</v>
      </c>
      <c r="E1026" s="4" t="str">
        <f>IFERROR(__xludf.DUMMYFUNCTION("""COMPUTED_VALUE"""),"Neto: 1,80 € (a partir de 1 uds.)")</f>
        <v>Neto: 1,80 € (a partir de 1 uds.)</v>
      </c>
    </row>
    <row r="1027">
      <c r="A1027" s="4" t="str">
        <f>IFERROR(__xludf.DUMMYFUNCTION("""COMPUTED_VALUE"""),"0863A")</f>
        <v>0863A</v>
      </c>
      <c r="B1027" s="4" t="str">
        <f>IFERROR(__xludf.DUMMYFUNCTION("""COMPUTED_VALUE"""),"Adhesivo PVC 21x29 reciclado metal")</f>
        <v>Adhesivo PVC 21x29 reciclado metal</v>
      </c>
      <c r="C1027" s="4">
        <f>IFERROR(__xludf.DUMMYFUNCTION("""COMPUTED_VALUE"""),1.2)</f>
        <v>1.2</v>
      </c>
      <c r="D1027" s="4"/>
      <c r="E1027" s="4" t="str">
        <f>IFERROR(__xludf.DUMMYFUNCTION("""COMPUTED_VALUE"""),"Sin precio neto")</f>
        <v>Sin precio neto</v>
      </c>
    </row>
    <row r="1028">
      <c r="A1028" s="4" t="str">
        <f>IFERROR(__xludf.DUMMYFUNCTION("""COMPUTED_VALUE"""),"0863P")</f>
        <v>0863P</v>
      </c>
      <c r="B1028" s="4" t="str">
        <f>IFERROR(__xludf.DUMMYFUNCTION("""COMPUTED_VALUE"""),"Cartel PVC 21x29 reciclado metal")</f>
        <v>Cartel PVC 21x29 reciclado metal</v>
      </c>
      <c r="C1028" s="4">
        <f>IFERROR(__xludf.DUMMYFUNCTION("""COMPUTED_VALUE"""),1.536)</f>
        <v>1.536</v>
      </c>
      <c r="D1028" s="4">
        <f>IFERROR(__xludf.DUMMYFUNCTION("""COMPUTED_VALUE"""),1.2)</f>
        <v>1.2</v>
      </c>
      <c r="E1028" s="4" t="str">
        <f>IFERROR(__xludf.DUMMYFUNCTION("""COMPUTED_VALUE"""),"Neto: 1,20 € (a partir de 1 uds.)")</f>
        <v>Neto: 1,20 € (a partir de 1 uds.)</v>
      </c>
    </row>
    <row r="1029">
      <c r="A1029" s="4" t="str">
        <f>IFERROR(__xludf.DUMMYFUNCTION("""COMPUTED_VALUE"""),"864")</f>
        <v>864</v>
      </c>
      <c r="B1029" s="4" t="str">
        <f>IFERROR(__xludf.DUMMYFUNCTION("""COMPUTED_VALUE"""),"Cartel PVC 40x30 reciclado madera")</f>
        <v>Cartel PVC 40x30 reciclado madera</v>
      </c>
      <c r="C1029" s="4">
        <f>IFERROR(__xludf.DUMMYFUNCTION("""COMPUTED_VALUE"""),2.3808)</f>
        <v>2.3808</v>
      </c>
      <c r="D1029" s="4">
        <f>IFERROR(__xludf.DUMMYFUNCTION("""COMPUTED_VALUE"""),1.8)</f>
        <v>1.8</v>
      </c>
      <c r="E1029" s="4" t="str">
        <f>IFERROR(__xludf.DUMMYFUNCTION("""COMPUTED_VALUE"""),"Neto: 1,80 € (a partir de 1 uds.)")</f>
        <v>Neto: 1,80 € (a partir de 1 uds.)</v>
      </c>
    </row>
    <row r="1030">
      <c r="A1030" s="4" t="str">
        <f>IFERROR(__xludf.DUMMYFUNCTION("""COMPUTED_VALUE"""),"0864A")</f>
        <v>0864A</v>
      </c>
      <c r="B1030" s="4" t="str">
        <f>IFERROR(__xludf.DUMMYFUNCTION("""COMPUTED_VALUE"""),"Adhesivo PVC 21x29 reciclado madera")</f>
        <v>Adhesivo PVC 21x29 reciclado madera</v>
      </c>
      <c r="C1030" s="4">
        <f>IFERROR(__xludf.DUMMYFUNCTION("""COMPUTED_VALUE"""),1.2)</f>
        <v>1.2</v>
      </c>
      <c r="D1030" s="4"/>
      <c r="E1030" s="4" t="str">
        <f>IFERROR(__xludf.DUMMYFUNCTION("""COMPUTED_VALUE"""),"Sin precio neto")</f>
        <v>Sin precio neto</v>
      </c>
    </row>
    <row r="1031">
      <c r="A1031" s="4" t="str">
        <f>IFERROR(__xludf.DUMMYFUNCTION("""COMPUTED_VALUE"""),"0864P")</f>
        <v>0864P</v>
      </c>
      <c r="B1031" s="4" t="str">
        <f>IFERROR(__xludf.DUMMYFUNCTION("""COMPUTED_VALUE"""),"Cartel PVC 21x29 reciclado madera")</f>
        <v>Cartel PVC 21x29 reciclado madera</v>
      </c>
      <c r="C1031" s="4">
        <f>IFERROR(__xludf.DUMMYFUNCTION("""COMPUTED_VALUE"""),1.536)</f>
        <v>1.536</v>
      </c>
      <c r="D1031" s="4">
        <f>IFERROR(__xludf.DUMMYFUNCTION("""COMPUTED_VALUE"""),1.2)</f>
        <v>1.2</v>
      </c>
      <c r="E1031" s="4" t="str">
        <f>IFERROR(__xludf.DUMMYFUNCTION("""COMPUTED_VALUE"""),"Neto: 1,20 € (a partir de 1 uds.)")</f>
        <v>Neto: 1,20 € (a partir de 1 uds.)</v>
      </c>
    </row>
    <row r="1032">
      <c r="A1032" s="4" t="str">
        <f>IFERROR(__xludf.DUMMYFUNCTION("""COMPUTED_VALUE"""),"865")</f>
        <v>865</v>
      </c>
      <c r="B1032" s="4" t="str">
        <f>IFERROR(__xludf.DUMMYFUNCTION("""COMPUTED_VALUE"""),"Cartel PVC 40x30 reciclado aluminio")</f>
        <v>Cartel PVC 40x30 reciclado aluminio</v>
      </c>
      <c r="C1032" s="4">
        <f>IFERROR(__xludf.DUMMYFUNCTION("""COMPUTED_VALUE"""),2.3808)</f>
        <v>2.3808</v>
      </c>
      <c r="D1032" s="4">
        <f>IFERROR(__xludf.DUMMYFUNCTION("""COMPUTED_VALUE"""),1.8)</f>
        <v>1.8</v>
      </c>
      <c r="E1032" s="4" t="str">
        <f>IFERROR(__xludf.DUMMYFUNCTION("""COMPUTED_VALUE"""),"Neto: 1,80 € (a partir de 1 uds.)")</f>
        <v>Neto: 1,80 € (a partir de 1 uds.)</v>
      </c>
    </row>
    <row r="1033">
      <c r="A1033" s="4" t="str">
        <f>IFERROR(__xludf.DUMMYFUNCTION("""COMPUTED_VALUE"""),"0865A")</f>
        <v>0865A</v>
      </c>
      <c r="B1033" s="4" t="str">
        <f>IFERROR(__xludf.DUMMYFUNCTION("""COMPUTED_VALUE"""),"Adhesivo PVC 21x29 reciclado aluminio")</f>
        <v>Adhesivo PVC 21x29 reciclado aluminio</v>
      </c>
      <c r="C1033" s="4">
        <f>IFERROR(__xludf.DUMMYFUNCTION("""COMPUTED_VALUE"""),1.2)</f>
        <v>1.2</v>
      </c>
      <c r="D1033" s="4"/>
      <c r="E1033" s="4" t="str">
        <f>IFERROR(__xludf.DUMMYFUNCTION("""COMPUTED_VALUE"""),"Sin precio neto")</f>
        <v>Sin precio neto</v>
      </c>
    </row>
    <row r="1034">
      <c r="A1034" s="4" t="str">
        <f>IFERROR(__xludf.DUMMYFUNCTION("""COMPUTED_VALUE"""),"0865P")</f>
        <v>0865P</v>
      </c>
      <c r="B1034" s="4" t="str">
        <f>IFERROR(__xludf.DUMMYFUNCTION("""COMPUTED_VALUE"""),"Cartel PVC 21x29 reciclado aluminio")</f>
        <v>Cartel PVC 21x29 reciclado aluminio</v>
      </c>
      <c r="C1034" s="4">
        <f>IFERROR(__xludf.DUMMYFUNCTION("""COMPUTED_VALUE"""),1.536)</f>
        <v>1.536</v>
      </c>
      <c r="D1034" s="4">
        <f>IFERROR(__xludf.DUMMYFUNCTION("""COMPUTED_VALUE"""),1.2)</f>
        <v>1.2</v>
      </c>
      <c r="E1034" s="4" t="str">
        <f>IFERROR(__xludf.DUMMYFUNCTION("""COMPUTED_VALUE"""),"Neto: 1,20 € (a partir de 1 uds.)")</f>
        <v>Neto: 1,20 € (a partir de 1 uds.)</v>
      </c>
    </row>
    <row r="1035">
      <c r="A1035" s="4" t="str">
        <f>IFERROR(__xludf.DUMMYFUNCTION("""COMPUTED_VALUE"""),"866")</f>
        <v>866</v>
      </c>
      <c r="B1035" s="4" t="str">
        <f>IFERROR(__xludf.DUMMYFUNCTION("""COMPUTED_VALUE"""),"Cartel PVC 40x30 reciclado papel")</f>
        <v>Cartel PVC 40x30 reciclado papel</v>
      </c>
      <c r="C1035" s="4">
        <f>IFERROR(__xludf.DUMMYFUNCTION("""COMPUTED_VALUE"""),2.3808)</f>
        <v>2.3808</v>
      </c>
      <c r="D1035" s="4">
        <f>IFERROR(__xludf.DUMMYFUNCTION("""COMPUTED_VALUE"""),1.8)</f>
        <v>1.8</v>
      </c>
      <c r="E1035" s="4" t="str">
        <f>IFERROR(__xludf.DUMMYFUNCTION("""COMPUTED_VALUE"""),"Neto: 1,80 € (a partir de 1 uds.)")</f>
        <v>Neto: 1,80 € (a partir de 1 uds.)</v>
      </c>
    </row>
    <row r="1036">
      <c r="A1036" s="4" t="str">
        <f>IFERROR(__xludf.DUMMYFUNCTION("""COMPUTED_VALUE"""),"0866A")</f>
        <v>0866A</v>
      </c>
      <c r="B1036" s="4" t="str">
        <f>IFERROR(__xludf.DUMMYFUNCTION("""COMPUTED_VALUE"""),"Adhesivo PVC 21x29 reciclado papel")</f>
        <v>Adhesivo PVC 21x29 reciclado papel</v>
      </c>
      <c r="C1036" s="4">
        <f>IFERROR(__xludf.DUMMYFUNCTION("""COMPUTED_VALUE"""),1.2)</f>
        <v>1.2</v>
      </c>
      <c r="D1036" s="4"/>
      <c r="E1036" s="4" t="str">
        <f>IFERROR(__xludf.DUMMYFUNCTION("""COMPUTED_VALUE"""),"Sin precio neto")</f>
        <v>Sin precio neto</v>
      </c>
    </row>
    <row r="1037">
      <c r="A1037" s="4" t="str">
        <f>IFERROR(__xludf.DUMMYFUNCTION("""COMPUTED_VALUE"""),"0866P")</f>
        <v>0866P</v>
      </c>
      <c r="B1037" s="4" t="str">
        <f>IFERROR(__xludf.DUMMYFUNCTION("""COMPUTED_VALUE"""),"Cartel PVC 21x29 reciclado papel")</f>
        <v>Cartel PVC 21x29 reciclado papel</v>
      </c>
      <c r="C1037" s="4">
        <f>IFERROR(__xludf.DUMMYFUNCTION("""COMPUTED_VALUE"""),1.536)</f>
        <v>1.536</v>
      </c>
      <c r="D1037" s="4">
        <f>IFERROR(__xludf.DUMMYFUNCTION("""COMPUTED_VALUE"""),1.2)</f>
        <v>1.2</v>
      </c>
      <c r="E1037" s="4" t="str">
        <f>IFERROR(__xludf.DUMMYFUNCTION("""COMPUTED_VALUE"""),"Neto: 1,20 € (a partir de 1 uds.)")</f>
        <v>Neto: 1,20 € (a partir de 1 uds.)</v>
      </c>
    </row>
    <row r="1038">
      <c r="A1038" s="4" t="str">
        <f>IFERROR(__xludf.DUMMYFUNCTION("""COMPUTED_VALUE"""),"867")</f>
        <v>867</v>
      </c>
      <c r="B1038" s="4" t="str">
        <f>IFERROR(__xludf.DUMMYFUNCTION("""COMPUTED_VALUE"""),"Cartel PVC 40x30 reciclado envases")</f>
        <v>Cartel PVC 40x30 reciclado envases</v>
      </c>
      <c r="C1038" s="4">
        <f>IFERROR(__xludf.DUMMYFUNCTION("""COMPUTED_VALUE"""),2.3808)</f>
        <v>2.3808</v>
      </c>
      <c r="D1038" s="4">
        <f>IFERROR(__xludf.DUMMYFUNCTION("""COMPUTED_VALUE"""),1.8)</f>
        <v>1.8</v>
      </c>
      <c r="E1038" s="4" t="str">
        <f>IFERROR(__xludf.DUMMYFUNCTION("""COMPUTED_VALUE"""),"Neto: 1,80 € (a partir de 1 uds.)")</f>
        <v>Neto: 1,80 € (a partir de 1 uds.)</v>
      </c>
    </row>
    <row r="1039">
      <c r="A1039" s="4" t="str">
        <f>IFERROR(__xludf.DUMMYFUNCTION("""COMPUTED_VALUE"""),"0867A")</f>
        <v>0867A</v>
      </c>
      <c r="B1039" s="4" t="str">
        <f>IFERROR(__xludf.DUMMYFUNCTION("""COMPUTED_VALUE"""),"Adhesivo PVC 21x29 reciclado envases")</f>
        <v>Adhesivo PVC 21x29 reciclado envases</v>
      </c>
      <c r="C1039" s="4">
        <f>IFERROR(__xludf.DUMMYFUNCTION("""COMPUTED_VALUE"""),1.2)</f>
        <v>1.2</v>
      </c>
      <c r="D1039" s="4"/>
      <c r="E1039" s="4" t="str">
        <f>IFERROR(__xludf.DUMMYFUNCTION("""COMPUTED_VALUE"""),"Sin precio neto")</f>
        <v>Sin precio neto</v>
      </c>
    </row>
    <row r="1040">
      <c r="A1040" s="4" t="str">
        <f>IFERROR(__xludf.DUMMYFUNCTION("""COMPUTED_VALUE"""),"0867P")</f>
        <v>0867P</v>
      </c>
      <c r="B1040" s="4" t="str">
        <f>IFERROR(__xludf.DUMMYFUNCTION("""COMPUTED_VALUE"""),"Cartel PVC 21x29 reciclado envases")</f>
        <v>Cartel PVC 21x29 reciclado envases</v>
      </c>
      <c r="C1040" s="4">
        <f>IFERROR(__xludf.DUMMYFUNCTION("""COMPUTED_VALUE"""),1.536)</f>
        <v>1.536</v>
      </c>
      <c r="D1040" s="4">
        <f>IFERROR(__xludf.DUMMYFUNCTION("""COMPUTED_VALUE"""),1.2)</f>
        <v>1.2</v>
      </c>
      <c r="E1040" s="4" t="str">
        <f>IFERROR(__xludf.DUMMYFUNCTION("""COMPUTED_VALUE"""),"Neto: 1,20 € (a partir de 1 uds.)")</f>
        <v>Neto: 1,20 € (a partir de 1 uds.)</v>
      </c>
    </row>
    <row r="1041">
      <c r="A1041" s="4" t="str">
        <f>IFERROR(__xludf.DUMMYFUNCTION("""COMPUTED_VALUE"""),"868")</f>
        <v>868</v>
      </c>
      <c r="B1041" s="4" t="str">
        <f>IFERROR(__xludf.DUMMYFUNCTION("""COMPUTED_VALUE"""),"Cartel PVC 40x30 reciclado latas")</f>
        <v>Cartel PVC 40x30 reciclado latas</v>
      </c>
      <c r="C1041" s="4">
        <f>IFERROR(__xludf.DUMMYFUNCTION("""COMPUTED_VALUE"""),2.3808)</f>
        <v>2.3808</v>
      </c>
      <c r="D1041" s="4">
        <f>IFERROR(__xludf.DUMMYFUNCTION("""COMPUTED_VALUE"""),1.8)</f>
        <v>1.8</v>
      </c>
      <c r="E1041" s="4" t="str">
        <f>IFERROR(__xludf.DUMMYFUNCTION("""COMPUTED_VALUE"""),"Neto: 1,80 € (a partir de 1 uds.)")</f>
        <v>Neto: 1,80 € (a partir de 1 uds.)</v>
      </c>
    </row>
    <row r="1042">
      <c r="A1042" s="4" t="str">
        <f>IFERROR(__xludf.DUMMYFUNCTION("""COMPUTED_VALUE"""),"0868A")</f>
        <v>0868A</v>
      </c>
      <c r="B1042" s="4" t="str">
        <f>IFERROR(__xludf.DUMMYFUNCTION("""COMPUTED_VALUE"""),"Adhesivo PVC 21x29 reciclado latas")</f>
        <v>Adhesivo PVC 21x29 reciclado latas</v>
      </c>
      <c r="C1042" s="4">
        <f>IFERROR(__xludf.DUMMYFUNCTION("""COMPUTED_VALUE"""),1.2)</f>
        <v>1.2</v>
      </c>
      <c r="D1042" s="4"/>
      <c r="E1042" s="4" t="str">
        <f>IFERROR(__xludf.DUMMYFUNCTION("""COMPUTED_VALUE"""),"Sin precio neto")</f>
        <v>Sin precio neto</v>
      </c>
    </row>
    <row r="1043">
      <c r="A1043" s="4" t="str">
        <f>IFERROR(__xludf.DUMMYFUNCTION("""COMPUTED_VALUE"""),"0868P")</f>
        <v>0868P</v>
      </c>
      <c r="B1043" s="4" t="str">
        <f>IFERROR(__xludf.DUMMYFUNCTION("""COMPUTED_VALUE"""),"Cartel PVC 21x29 reciclado latas")</f>
        <v>Cartel PVC 21x29 reciclado latas</v>
      </c>
      <c r="C1043" s="4">
        <f>IFERROR(__xludf.DUMMYFUNCTION("""COMPUTED_VALUE"""),1.536)</f>
        <v>1.536</v>
      </c>
      <c r="D1043" s="4">
        <f>IFERROR(__xludf.DUMMYFUNCTION("""COMPUTED_VALUE"""),1.2)</f>
        <v>1.2</v>
      </c>
      <c r="E1043" s="4" t="str">
        <f>IFERROR(__xludf.DUMMYFUNCTION("""COMPUTED_VALUE"""),"Neto: 1,20 € (a partir de 1 uds.)")</f>
        <v>Neto: 1,20 € (a partir de 1 uds.)</v>
      </c>
    </row>
    <row r="1044">
      <c r="A1044" s="4" t="str">
        <f>IFERROR(__xludf.DUMMYFUNCTION("""COMPUTED_VALUE"""),"869")</f>
        <v>869</v>
      </c>
      <c r="B1044" s="4" t="str">
        <f>IFERROR(__xludf.DUMMYFUNCTION("""COMPUTED_VALUE"""),"Cartel PVC 40x30 reciclado chatarra")</f>
        <v>Cartel PVC 40x30 reciclado chatarra</v>
      </c>
      <c r="C1044" s="4">
        <f>IFERROR(__xludf.DUMMYFUNCTION("""COMPUTED_VALUE"""),2.3808)</f>
        <v>2.3808</v>
      </c>
      <c r="D1044" s="4">
        <f>IFERROR(__xludf.DUMMYFUNCTION("""COMPUTED_VALUE"""),1.8)</f>
        <v>1.8</v>
      </c>
      <c r="E1044" s="4" t="str">
        <f>IFERROR(__xludf.DUMMYFUNCTION("""COMPUTED_VALUE"""),"Neto: 1,80 € (a partir de 1 uds.)")</f>
        <v>Neto: 1,80 € (a partir de 1 uds.)</v>
      </c>
    </row>
    <row r="1045">
      <c r="A1045" s="4" t="str">
        <f>IFERROR(__xludf.DUMMYFUNCTION("""COMPUTED_VALUE"""),"0869A")</f>
        <v>0869A</v>
      </c>
      <c r="B1045" s="4" t="str">
        <f>IFERROR(__xludf.DUMMYFUNCTION("""COMPUTED_VALUE"""),"Adhesivo PVC 21x29 reciclado chatarra")</f>
        <v>Adhesivo PVC 21x29 reciclado chatarra</v>
      </c>
      <c r="C1045" s="4">
        <f>IFERROR(__xludf.DUMMYFUNCTION("""COMPUTED_VALUE"""),1.2)</f>
        <v>1.2</v>
      </c>
      <c r="D1045" s="4"/>
      <c r="E1045" s="4" t="str">
        <f>IFERROR(__xludf.DUMMYFUNCTION("""COMPUTED_VALUE"""),"Sin precio neto")</f>
        <v>Sin precio neto</v>
      </c>
    </row>
    <row r="1046">
      <c r="A1046" s="4" t="str">
        <f>IFERROR(__xludf.DUMMYFUNCTION("""COMPUTED_VALUE"""),"0869P")</f>
        <v>0869P</v>
      </c>
      <c r="B1046" s="4" t="str">
        <f>IFERROR(__xludf.DUMMYFUNCTION("""COMPUTED_VALUE"""),"Cartel PVC 21x29 reciclado chatarra")</f>
        <v>Cartel PVC 21x29 reciclado chatarra</v>
      </c>
      <c r="C1046" s="4">
        <f>IFERROR(__xludf.DUMMYFUNCTION("""COMPUTED_VALUE"""),1.536)</f>
        <v>1.536</v>
      </c>
      <c r="D1046" s="4">
        <f>IFERROR(__xludf.DUMMYFUNCTION("""COMPUTED_VALUE"""),1.2)</f>
        <v>1.2</v>
      </c>
      <c r="E1046" s="4" t="str">
        <f>IFERROR(__xludf.DUMMYFUNCTION("""COMPUTED_VALUE"""),"Neto: 1,20 € (a partir de 1 uds.)")</f>
        <v>Neto: 1,20 € (a partir de 1 uds.)</v>
      </c>
    </row>
    <row r="1047">
      <c r="A1047" s="4" t="str">
        <f>IFERROR(__xludf.DUMMYFUNCTION("""COMPUTED_VALUE"""),"870")</f>
        <v>870</v>
      </c>
      <c r="B1047" s="4" t="str">
        <f>IFERROR(__xludf.DUMMYFUNCTION("""COMPUTED_VALUE"""),"Cartel PVC 40x30 reciclado basura")</f>
        <v>Cartel PVC 40x30 reciclado basura</v>
      </c>
      <c r="C1047" s="4">
        <f>IFERROR(__xludf.DUMMYFUNCTION("""COMPUTED_VALUE"""),2.3808)</f>
        <v>2.3808</v>
      </c>
      <c r="D1047" s="4">
        <f>IFERROR(__xludf.DUMMYFUNCTION("""COMPUTED_VALUE"""),1.8)</f>
        <v>1.8</v>
      </c>
      <c r="E1047" s="4" t="str">
        <f>IFERROR(__xludf.DUMMYFUNCTION("""COMPUTED_VALUE"""),"Neto: 1,80 € (a partir de 1 uds.)")</f>
        <v>Neto: 1,80 € (a partir de 1 uds.)</v>
      </c>
    </row>
    <row r="1048">
      <c r="A1048" s="4" t="str">
        <f>IFERROR(__xludf.DUMMYFUNCTION("""COMPUTED_VALUE"""),"0870A")</f>
        <v>0870A</v>
      </c>
      <c r="B1048" s="4" t="str">
        <f>IFERROR(__xludf.DUMMYFUNCTION("""COMPUTED_VALUE"""),"Adhesivo PVC 21x29 reciclado basura")</f>
        <v>Adhesivo PVC 21x29 reciclado basura</v>
      </c>
      <c r="C1048" s="4">
        <f>IFERROR(__xludf.DUMMYFUNCTION("""COMPUTED_VALUE"""),1.2)</f>
        <v>1.2</v>
      </c>
      <c r="D1048" s="4"/>
      <c r="E1048" s="4" t="str">
        <f>IFERROR(__xludf.DUMMYFUNCTION("""COMPUTED_VALUE"""),"Sin precio neto")</f>
        <v>Sin precio neto</v>
      </c>
    </row>
    <row r="1049">
      <c r="A1049" s="4" t="str">
        <f>IFERROR(__xludf.DUMMYFUNCTION("""COMPUTED_VALUE"""),"0870P")</f>
        <v>0870P</v>
      </c>
      <c r="B1049" s="4" t="str">
        <f>IFERROR(__xludf.DUMMYFUNCTION("""COMPUTED_VALUE"""),"Cartel PVC 21x29 reciclado basura")</f>
        <v>Cartel PVC 21x29 reciclado basura</v>
      </c>
      <c r="C1049" s="4">
        <f>IFERROR(__xludf.DUMMYFUNCTION("""COMPUTED_VALUE"""),1.536)</f>
        <v>1.536</v>
      </c>
      <c r="D1049" s="4">
        <f>IFERROR(__xludf.DUMMYFUNCTION("""COMPUTED_VALUE"""),1.2)</f>
        <v>1.2</v>
      </c>
      <c r="E1049" s="4" t="str">
        <f>IFERROR(__xludf.DUMMYFUNCTION("""COMPUTED_VALUE"""),"Neto: 1,20 € (a partir de 1 uds.)")</f>
        <v>Neto: 1,20 € (a partir de 1 uds.)</v>
      </c>
    </row>
    <row r="1050">
      <c r="A1050" s="4" t="str">
        <f>IFERROR(__xludf.DUMMYFUNCTION("""COMPUTED_VALUE"""),"871")</f>
        <v>871</v>
      </c>
      <c r="B1050" s="4" t="str">
        <f>IFERROR(__xludf.DUMMYFUNCTION("""COMPUTED_VALUE"""),"Cartel PVC 40x30 cm zona controlada, riesgo de irradiación")</f>
        <v>Cartel PVC 40x30 cm zona controlada, riesgo de irradiación</v>
      </c>
      <c r="C1050" s="4">
        <f>IFERROR(__xludf.DUMMYFUNCTION("""COMPUTED_VALUE"""),2.3808)</f>
        <v>2.3808</v>
      </c>
      <c r="D1050" s="4">
        <f>IFERROR(__xludf.DUMMYFUNCTION("""COMPUTED_VALUE"""),0.18)</f>
        <v>0.18</v>
      </c>
      <c r="E1050" s="4" t="str">
        <f>IFERROR(__xludf.DUMMYFUNCTION("""COMPUTED_VALUE"""),"Neto: 0,18 € (a partir de 1 uds.)")</f>
        <v>Neto: 0,18 € (a partir de 1 uds.)</v>
      </c>
    </row>
    <row r="1051">
      <c r="A1051" s="4" t="str">
        <f>IFERROR(__xludf.DUMMYFUNCTION("""COMPUTED_VALUE"""),"0871A")</f>
        <v>0871A</v>
      </c>
      <c r="B1051" s="4" t="str">
        <f>IFERROR(__xludf.DUMMYFUNCTION("""COMPUTED_VALUE"""),"Adhesivo PVC 21x29 cm zona controlada, riesgo de irradiación")</f>
        <v>Adhesivo PVC 21x29 cm zona controlada, riesgo de irradiación</v>
      </c>
      <c r="C1051" s="4">
        <f>IFERROR(__xludf.DUMMYFUNCTION("""COMPUTED_VALUE"""),1.2)</f>
        <v>1.2</v>
      </c>
      <c r="D1051" s="4"/>
      <c r="E1051" s="4" t="str">
        <f>IFERROR(__xludf.DUMMYFUNCTION("""COMPUTED_VALUE"""),"Sin precio neto")</f>
        <v>Sin precio neto</v>
      </c>
    </row>
    <row r="1052">
      <c r="A1052" s="4" t="str">
        <f>IFERROR(__xludf.DUMMYFUNCTION("""COMPUTED_VALUE"""),"0871P")</f>
        <v>0871P</v>
      </c>
      <c r="B1052" s="4" t="str">
        <f>IFERROR(__xludf.DUMMYFUNCTION("""COMPUTED_VALUE"""),"Cartel PVC 21x29 cm zona controlada, riesgo de irradiación")</f>
        <v>Cartel PVC 21x29 cm zona controlada, riesgo de irradiación</v>
      </c>
      <c r="C1052" s="4">
        <f>IFERROR(__xludf.DUMMYFUNCTION("""COMPUTED_VALUE"""),1.536)</f>
        <v>1.536</v>
      </c>
      <c r="D1052" s="4">
        <f>IFERROR(__xludf.DUMMYFUNCTION("""COMPUTED_VALUE"""),1.2)</f>
        <v>1.2</v>
      </c>
      <c r="E1052" s="4" t="str">
        <f>IFERROR(__xludf.DUMMYFUNCTION("""COMPUTED_VALUE"""),"Neto: 1,20 € (a partir de 1 uds.)")</f>
        <v>Neto: 1,20 € (a partir de 1 uds.)</v>
      </c>
    </row>
    <row r="1053">
      <c r="A1053" s="4" t="str">
        <f>IFERROR(__xludf.DUMMYFUNCTION("""COMPUTED_VALUE"""),"872")</f>
        <v>872</v>
      </c>
      <c r="B1053" s="4" t="str">
        <f>IFERROR(__xludf.DUMMYFUNCTION("""COMPUTED_VALUE"""),"Cartel PVC 40x30 cm zona controlada, riesgo de")</f>
        <v>Cartel PVC 40x30 cm zona controlada, riesgo de</v>
      </c>
      <c r="C1053" s="4">
        <f>IFERROR(__xludf.DUMMYFUNCTION("""COMPUTED_VALUE"""),2.3808)</f>
        <v>2.3808</v>
      </c>
      <c r="D1053" s="4">
        <f>IFERROR(__xludf.DUMMYFUNCTION("""COMPUTED_VALUE"""),1.8)</f>
        <v>1.8</v>
      </c>
      <c r="E1053" s="4" t="str">
        <f>IFERROR(__xludf.DUMMYFUNCTION("""COMPUTED_VALUE"""),"Neto: 1,80 € (a partir de 1 uds.)")</f>
        <v>Neto: 1,80 € (a partir de 1 uds.)</v>
      </c>
    </row>
    <row r="1054">
      <c r="A1054" s="4" t="str">
        <f>IFERROR(__xludf.DUMMYFUNCTION("""COMPUTED_VALUE"""),"0872A")</f>
        <v>0872A</v>
      </c>
      <c r="B1054" s="4" t="str">
        <f>IFERROR(__xludf.DUMMYFUNCTION("""COMPUTED_VALUE"""),"Adhesivo PVC 21x29 cm zona controlada, riesgo de")</f>
        <v>Adhesivo PVC 21x29 cm zona controlada, riesgo de</v>
      </c>
      <c r="C1054" s="4">
        <f>IFERROR(__xludf.DUMMYFUNCTION("""COMPUTED_VALUE"""),1.2)</f>
        <v>1.2</v>
      </c>
      <c r="D1054" s="4"/>
      <c r="E1054" s="4" t="str">
        <f>IFERROR(__xludf.DUMMYFUNCTION("""COMPUTED_VALUE"""),"Sin precio neto")</f>
        <v>Sin precio neto</v>
      </c>
    </row>
    <row r="1055">
      <c r="A1055" s="4" t="str">
        <f>IFERROR(__xludf.DUMMYFUNCTION("""COMPUTED_VALUE"""),"0872P")</f>
        <v>0872P</v>
      </c>
      <c r="B1055" s="4" t="str">
        <f>IFERROR(__xludf.DUMMYFUNCTION("""COMPUTED_VALUE"""),"Cartel PVC 21x29 cm zona controlada, riesgo de")</f>
        <v>Cartel PVC 21x29 cm zona controlada, riesgo de</v>
      </c>
      <c r="C1055" s="4">
        <f>IFERROR(__xludf.DUMMYFUNCTION("""COMPUTED_VALUE"""),1.536)</f>
        <v>1.536</v>
      </c>
      <c r="D1055" s="4">
        <f>IFERROR(__xludf.DUMMYFUNCTION("""COMPUTED_VALUE"""),1.2)</f>
        <v>1.2</v>
      </c>
      <c r="E1055" s="4" t="str">
        <f>IFERROR(__xludf.DUMMYFUNCTION("""COMPUTED_VALUE"""),"Neto: 1,20 € (a partir de 1 uds.)")</f>
        <v>Neto: 1,20 € (a partir de 1 uds.)</v>
      </c>
    </row>
    <row r="1056">
      <c r="A1056" s="4" t="str">
        <f>IFERROR(__xludf.DUMMYFUNCTION("""COMPUTED_VALUE"""),"873")</f>
        <v>873</v>
      </c>
      <c r="B1056" s="4" t="str">
        <f>IFERROR(__xludf.DUMMYFUNCTION("""COMPUTED_VALUE"""),"Cartel PVC 40x30 cm zona controlada, riesgo de cont. e irrad.")</f>
        <v>Cartel PVC 40x30 cm zona controlada, riesgo de cont. e irrad.</v>
      </c>
      <c r="C1056" s="4">
        <f>IFERROR(__xludf.DUMMYFUNCTION("""COMPUTED_VALUE"""),2.3808)</f>
        <v>2.3808</v>
      </c>
      <c r="D1056" s="4">
        <f>IFERROR(__xludf.DUMMYFUNCTION("""COMPUTED_VALUE"""),1.8)</f>
        <v>1.8</v>
      </c>
      <c r="E1056" s="4" t="str">
        <f>IFERROR(__xludf.DUMMYFUNCTION("""COMPUTED_VALUE"""),"Neto: 1,80 € (a partir de 1 uds.)")</f>
        <v>Neto: 1,80 € (a partir de 1 uds.)</v>
      </c>
    </row>
    <row r="1057">
      <c r="A1057" s="4" t="str">
        <f>IFERROR(__xludf.DUMMYFUNCTION("""COMPUTED_VALUE"""),"0873A")</f>
        <v>0873A</v>
      </c>
      <c r="B1057" s="4" t="str">
        <f>IFERROR(__xludf.DUMMYFUNCTION("""COMPUTED_VALUE"""),"Adhesivo PVC 21x29 cm zona controlada, riesgo de cont. e")</f>
        <v>Adhesivo PVC 21x29 cm zona controlada, riesgo de cont. e</v>
      </c>
      <c r="C1057" s="4">
        <f>IFERROR(__xludf.DUMMYFUNCTION("""COMPUTED_VALUE"""),1.2)</f>
        <v>1.2</v>
      </c>
      <c r="D1057" s="4"/>
      <c r="E1057" s="4" t="str">
        <f>IFERROR(__xludf.DUMMYFUNCTION("""COMPUTED_VALUE"""),"Sin precio neto")</f>
        <v>Sin precio neto</v>
      </c>
    </row>
    <row r="1058">
      <c r="A1058" s="4" t="str">
        <f>IFERROR(__xludf.DUMMYFUNCTION("""COMPUTED_VALUE"""),"0873P")</f>
        <v>0873P</v>
      </c>
      <c r="B1058" s="4" t="str">
        <f>IFERROR(__xludf.DUMMYFUNCTION("""COMPUTED_VALUE"""),"zona controlada, riesgo de cont. e irrad.")</f>
        <v>zona controlada, riesgo de cont. e irrad.</v>
      </c>
      <c r="C1058" s="4">
        <f>IFERROR(__xludf.DUMMYFUNCTION("""COMPUTED_VALUE"""),1.2)</f>
        <v>1.2</v>
      </c>
      <c r="D1058" s="4"/>
      <c r="E1058" s="4" t="str">
        <f>IFERROR(__xludf.DUMMYFUNCTION("""COMPUTED_VALUE"""),"Sin precio neto")</f>
        <v>Sin precio neto</v>
      </c>
    </row>
    <row r="1059">
      <c r="A1059" s="4" t="str">
        <f>IFERROR(__xludf.DUMMYFUNCTION("""COMPUTED_VALUE"""),"874")</f>
        <v>874</v>
      </c>
      <c r="B1059" s="4" t="str">
        <f>IFERROR(__xludf.DUMMYFUNCTION("""COMPUTED_VALUE"""),"Cartel PVC 40x30 cm zona perm. limitada, riesgo de")</f>
        <v>Cartel PVC 40x30 cm zona perm. limitada, riesgo de</v>
      </c>
      <c r="C1059" s="4">
        <f>IFERROR(__xludf.DUMMYFUNCTION("""COMPUTED_VALUE"""),2.3808)</f>
        <v>2.3808</v>
      </c>
      <c r="D1059" s="4">
        <f>IFERROR(__xludf.DUMMYFUNCTION("""COMPUTED_VALUE"""),1.8)</f>
        <v>1.8</v>
      </c>
      <c r="E1059" s="4" t="str">
        <f>IFERROR(__xludf.DUMMYFUNCTION("""COMPUTED_VALUE"""),"Neto: 1,80 € (a partir de 1 uds.)")</f>
        <v>Neto: 1,80 € (a partir de 1 uds.)</v>
      </c>
    </row>
    <row r="1060">
      <c r="A1060" s="4" t="str">
        <f>IFERROR(__xludf.DUMMYFUNCTION("""COMPUTED_VALUE"""),"0874A")</f>
        <v>0874A</v>
      </c>
      <c r="B1060" s="4" t="str">
        <f>IFERROR(__xludf.DUMMYFUNCTION("""COMPUTED_VALUE"""),"Adhesivo PVC 21x29 cm zona zona perm. limitada, riesgo de")</f>
        <v>Adhesivo PVC 21x29 cm zona zona perm. limitada, riesgo de</v>
      </c>
      <c r="C1060" s="4">
        <f>IFERROR(__xludf.DUMMYFUNCTION("""COMPUTED_VALUE"""),1.2)</f>
        <v>1.2</v>
      </c>
      <c r="D1060" s="4"/>
      <c r="E1060" s="4" t="str">
        <f>IFERROR(__xludf.DUMMYFUNCTION("""COMPUTED_VALUE"""),"Sin precio neto")</f>
        <v>Sin precio neto</v>
      </c>
    </row>
    <row r="1061">
      <c r="A1061" s="4" t="str">
        <f>IFERROR(__xludf.DUMMYFUNCTION("""COMPUTED_VALUE"""),"0874P")</f>
        <v>0874P</v>
      </c>
      <c r="B1061" s="4" t="str">
        <f>IFERROR(__xludf.DUMMYFUNCTION("""COMPUTED_VALUE"""),"Cartel PVC 21x29 cm zona perm. limitada, riesgo de")</f>
        <v>Cartel PVC 21x29 cm zona perm. limitada, riesgo de</v>
      </c>
      <c r="C1061" s="4">
        <f>IFERROR(__xludf.DUMMYFUNCTION("""COMPUTED_VALUE"""),1.536)</f>
        <v>1.536</v>
      </c>
      <c r="D1061" s="4">
        <f>IFERROR(__xludf.DUMMYFUNCTION("""COMPUTED_VALUE"""),1.2)</f>
        <v>1.2</v>
      </c>
      <c r="E1061" s="4" t="str">
        <f>IFERROR(__xludf.DUMMYFUNCTION("""COMPUTED_VALUE"""),"Neto: 1,20 € (a partir de 1 uds.)")</f>
        <v>Neto: 1,20 € (a partir de 1 uds.)</v>
      </c>
    </row>
    <row r="1062">
      <c r="A1062" s="4" t="str">
        <f>IFERROR(__xludf.DUMMYFUNCTION("""COMPUTED_VALUE"""),"875")</f>
        <v>875</v>
      </c>
      <c r="B1062" s="4" t="str">
        <f>IFERROR(__xludf.DUMMYFUNCTION("""COMPUTED_VALUE"""),"Cartel PVC 40x30 cm zona perm. limitada, riesgo de")</f>
        <v>Cartel PVC 40x30 cm zona perm. limitada, riesgo de</v>
      </c>
      <c r="C1062" s="4">
        <f>IFERROR(__xludf.DUMMYFUNCTION("""COMPUTED_VALUE"""),2.3808)</f>
        <v>2.3808</v>
      </c>
      <c r="D1062" s="4">
        <f>IFERROR(__xludf.DUMMYFUNCTION("""COMPUTED_VALUE"""),1.8)</f>
        <v>1.8</v>
      </c>
      <c r="E1062" s="4" t="str">
        <f>IFERROR(__xludf.DUMMYFUNCTION("""COMPUTED_VALUE"""),"Neto: 1,80 € (a partir de 1 uds.)")</f>
        <v>Neto: 1,80 € (a partir de 1 uds.)</v>
      </c>
    </row>
    <row r="1063">
      <c r="A1063" s="4" t="str">
        <f>IFERROR(__xludf.DUMMYFUNCTION("""COMPUTED_VALUE"""),"0875A")</f>
        <v>0875A</v>
      </c>
      <c r="B1063" s="4" t="str">
        <f>IFERROR(__xludf.DUMMYFUNCTION("""COMPUTED_VALUE"""),"Adhesivo PVC 21x29 cm zona zona perm. limitada, riesgo de")</f>
        <v>Adhesivo PVC 21x29 cm zona zona perm. limitada, riesgo de</v>
      </c>
      <c r="C1063" s="4">
        <f>IFERROR(__xludf.DUMMYFUNCTION("""COMPUTED_VALUE"""),1.2)</f>
        <v>1.2</v>
      </c>
      <c r="D1063" s="4"/>
      <c r="E1063" s="4" t="str">
        <f>IFERROR(__xludf.DUMMYFUNCTION("""COMPUTED_VALUE"""),"Sin precio neto")</f>
        <v>Sin precio neto</v>
      </c>
    </row>
    <row r="1064">
      <c r="A1064" s="4" t="str">
        <f>IFERROR(__xludf.DUMMYFUNCTION("""COMPUTED_VALUE"""),"0875P")</f>
        <v>0875P</v>
      </c>
      <c r="B1064" s="4" t="str">
        <f>IFERROR(__xludf.DUMMYFUNCTION("""COMPUTED_VALUE"""),"Cartel PVC 21x29 cm zona perm. limitada, riesgo de")</f>
        <v>Cartel PVC 21x29 cm zona perm. limitada, riesgo de</v>
      </c>
      <c r="C1064" s="4">
        <f>IFERROR(__xludf.DUMMYFUNCTION("""COMPUTED_VALUE"""),1.536)</f>
        <v>1.536</v>
      </c>
      <c r="D1064" s="4">
        <f>IFERROR(__xludf.DUMMYFUNCTION("""COMPUTED_VALUE"""),1.2)</f>
        <v>1.2</v>
      </c>
      <c r="E1064" s="4" t="str">
        <f>IFERROR(__xludf.DUMMYFUNCTION("""COMPUTED_VALUE"""),"Neto: 1,20 € (a partir de 1 uds.)")</f>
        <v>Neto: 1,20 € (a partir de 1 uds.)</v>
      </c>
    </row>
    <row r="1065">
      <c r="A1065" s="4" t="str">
        <f>IFERROR(__xludf.DUMMYFUNCTION("""COMPUTED_VALUE"""),"876")</f>
        <v>876</v>
      </c>
      <c r="B1065" s="4" t="str">
        <f>IFERROR(__xludf.DUMMYFUNCTION("""COMPUTED_VALUE"""),"Cartel PVC 40x30 cm zona perm. limitada, riesgo de cont. e")</f>
        <v>Cartel PVC 40x30 cm zona perm. limitada, riesgo de cont. e</v>
      </c>
      <c r="C1065" s="4">
        <f>IFERROR(__xludf.DUMMYFUNCTION("""COMPUTED_VALUE"""),2.3808)</f>
        <v>2.3808</v>
      </c>
      <c r="D1065" s="4">
        <f>IFERROR(__xludf.DUMMYFUNCTION("""COMPUTED_VALUE"""),1.8)</f>
        <v>1.8</v>
      </c>
      <c r="E1065" s="4" t="str">
        <f>IFERROR(__xludf.DUMMYFUNCTION("""COMPUTED_VALUE"""),"Neto: 1,80 € (a partir de 1 uds.)")</f>
        <v>Neto: 1,80 € (a partir de 1 uds.)</v>
      </c>
    </row>
    <row r="1066">
      <c r="A1066" s="4" t="str">
        <f>IFERROR(__xludf.DUMMYFUNCTION("""COMPUTED_VALUE"""),"0876A")</f>
        <v>0876A</v>
      </c>
      <c r="B1066" s="4" t="str">
        <f>IFERROR(__xludf.DUMMYFUNCTION("""COMPUTED_VALUE"""),"Adhesivo PVC 21x29 cm zona zona perm. limitada, riesgo cont.")</f>
        <v>Adhesivo PVC 21x29 cm zona zona perm. limitada, riesgo cont.</v>
      </c>
      <c r="C1066" s="4">
        <f>IFERROR(__xludf.DUMMYFUNCTION("""COMPUTED_VALUE"""),1.2)</f>
        <v>1.2</v>
      </c>
      <c r="D1066" s="4"/>
      <c r="E1066" s="4" t="str">
        <f>IFERROR(__xludf.DUMMYFUNCTION("""COMPUTED_VALUE"""),"Sin precio neto")</f>
        <v>Sin precio neto</v>
      </c>
    </row>
    <row r="1067">
      <c r="A1067" s="4" t="str">
        <f>IFERROR(__xludf.DUMMYFUNCTION("""COMPUTED_VALUE"""),"0876P")</f>
        <v>0876P</v>
      </c>
      <c r="B1067" s="4" t="str">
        <f>IFERROR(__xludf.DUMMYFUNCTION("""COMPUTED_VALUE"""),"Cartel PVC 21x29 cm zona perm. limitada, riesgo de cont. e")</f>
        <v>Cartel PVC 21x29 cm zona perm. limitada, riesgo de cont. e</v>
      </c>
      <c r="C1067" s="4">
        <f>IFERROR(__xludf.DUMMYFUNCTION("""COMPUTED_VALUE"""),1.536)</f>
        <v>1.536</v>
      </c>
      <c r="D1067" s="4">
        <f>IFERROR(__xludf.DUMMYFUNCTION("""COMPUTED_VALUE"""),1.2)</f>
        <v>1.2</v>
      </c>
      <c r="E1067" s="4" t="str">
        <f>IFERROR(__xludf.DUMMYFUNCTION("""COMPUTED_VALUE"""),"Neto: 1,20 € (a partir de 1 uds.)")</f>
        <v>Neto: 1,20 € (a partir de 1 uds.)</v>
      </c>
    </row>
    <row r="1068">
      <c r="A1068" s="4" t="str">
        <f>IFERROR(__xludf.DUMMYFUNCTION("""COMPUTED_VALUE"""),"877")</f>
        <v>877</v>
      </c>
      <c r="B1068" s="4" t="str">
        <f>IFERROR(__xludf.DUMMYFUNCTION("""COMPUTED_VALUE"""),"Cartel PVC 40x30 cm zona acceso prohibido, riesgo de")</f>
        <v>Cartel PVC 40x30 cm zona acceso prohibido, riesgo de</v>
      </c>
      <c r="C1068" s="4">
        <f>IFERROR(__xludf.DUMMYFUNCTION("""COMPUTED_VALUE"""),2.3808)</f>
        <v>2.3808</v>
      </c>
      <c r="D1068" s="4">
        <f>IFERROR(__xludf.DUMMYFUNCTION("""COMPUTED_VALUE"""),1.8)</f>
        <v>1.8</v>
      </c>
      <c r="E1068" s="4" t="str">
        <f>IFERROR(__xludf.DUMMYFUNCTION("""COMPUTED_VALUE"""),"Neto: 1,80 € (a partir de 1 uds.)")</f>
        <v>Neto: 1,80 € (a partir de 1 uds.)</v>
      </c>
    </row>
    <row r="1069">
      <c r="A1069" s="4" t="str">
        <f>IFERROR(__xludf.DUMMYFUNCTION("""COMPUTED_VALUE"""),"0877A")</f>
        <v>0877A</v>
      </c>
      <c r="B1069" s="4" t="str">
        <f>IFERROR(__xludf.DUMMYFUNCTION("""COMPUTED_VALUE"""),"Adhesivo PVC 21x29 cm zona acceso prohibido, riesgo de")</f>
        <v>Adhesivo PVC 21x29 cm zona acceso prohibido, riesgo de</v>
      </c>
      <c r="C1069" s="4">
        <f>IFERROR(__xludf.DUMMYFUNCTION("""COMPUTED_VALUE"""),1.2)</f>
        <v>1.2</v>
      </c>
      <c r="D1069" s="4"/>
      <c r="E1069" s="4" t="str">
        <f>IFERROR(__xludf.DUMMYFUNCTION("""COMPUTED_VALUE"""),"Sin precio neto")</f>
        <v>Sin precio neto</v>
      </c>
    </row>
    <row r="1070">
      <c r="A1070" s="4" t="str">
        <f>IFERROR(__xludf.DUMMYFUNCTION("""COMPUTED_VALUE"""),"0877P")</f>
        <v>0877P</v>
      </c>
      <c r="B1070" s="4" t="str">
        <f>IFERROR(__xludf.DUMMYFUNCTION("""COMPUTED_VALUE"""),"Cartel PVC 21x29 cm zona acceso prohibido, riesgo de")</f>
        <v>Cartel PVC 21x29 cm zona acceso prohibido, riesgo de</v>
      </c>
      <c r="C1070" s="4">
        <f>IFERROR(__xludf.DUMMYFUNCTION("""COMPUTED_VALUE"""),1.536)</f>
        <v>1.536</v>
      </c>
      <c r="D1070" s="4">
        <f>IFERROR(__xludf.DUMMYFUNCTION("""COMPUTED_VALUE"""),1.2)</f>
        <v>1.2</v>
      </c>
      <c r="E1070" s="4" t="str">
        <f>IFERROR(__xludf.DUMMYFUNCTION("""COMPUTED_VALUE"""),"Neto: 1,20 € (a partir de 1 uds.)")</f>
        <v>Neto: 1,20 € (a partir de 1 uds.)</v>
      </c>
    </row>
    <row r="1071">
      <c r="A1071" s="4" t="str">
        <f>IFERROR(__xludf.DUMMYFUNCTION("""COMPUTED_VALUE"""),"878")</f>
        <v>878</v>
      </c>
      <c r="B1071" s="4" t="str">
        <f>IFERROR(__xludf.DUMMYFUNCTION("""COMPUTED_VALUE"""),"Cartel PVC 40x30 cm zona acceso prohibido, riesgo de")</f>
        <v>Cartel PVC 40x30 cm zona acceso prohibido, riesgo de</v>
      </c>
      <c r="C1071" s="4">
        <f>IFERROR(__xludf.DUMMYFUNCTION("""COMPUTED_VALUE"""),2.3808)</f>
        <v>2.3808</v>
      </c>
      <c r="D1071" s="4">
        <f>IFERROR(__xludf.DUMMYFUNCTION("""COMPUTED_VALUE"""),1.8)</f>
        <v>1.8</v>
      </c>
      <c r="E1071" s="4" t="str">
        <f>IFERROR(__xludf.DUMMYFUNCTION("""COMPUTED_VALUE"""),"Neto: 1,80 € (a partir de 1 uds.)")</f>
        <v>Neto: 1,80 € (a partir de 1 uds.)</v>
      </c>
    </row>
    <row r="1072">
      <c r="A1072" s="4" t="str">
        <f>IFERROR(__xludf.DUMMYFUNCTION("""COMPUTED_VALUE"""),"0878A")</f>
        <v>0878A</v>
      </c>
      <c r="B1072" s="4" t="str">
        <f>IFERROR(__xludf.DUMMYFUNCTION("""COMPUTED_VALUE"""),"Adhesivo PVC 21x29 cm zona acceso prohibido, riesgo de")</f>
        <v>Adhesivo PVC 21x29 cm zona acceso prohibido, riesgo de</v>
      </c>
      <c r="C1072" s="4">
        <f>IFERROR(__xludf.DUMMYFUNCTION("""COMPUTED_VALUE"""),1.2)</f>
        <v>1.2</v>
      </c>
      <c r="D1072" s="4"/>
      <c r="E1072" s="4" t="str">
        <f>IFERROR(__xludf.DUMMYFUNCTION("""COMPUTED_VALUE"""),"Sin precio neto")</f>
        <v>Sin precio neto</v>
      </c>
    </row>
    <row r="1073">
      <c r="A1073" s="4" t="str">
        <f>IFERROR(__xludf.DUMMYFUNCTION("""COMPUTED_VALUE"""),"0878P")</f>
        <v>0878P</v>
      </c>
      <c r="B1073" s="4" t="str">
        <f>IFERROR(__xludf.DUMMYFUNCTION("""COMPUTED_VALUE"""),"Cartel PVC 21x29 cm zona acceso prohibido, riesgo de")</f>
        <v>Cartel PVC 21x29 cm zona acceso prohibido, riesgo de</v>
      </c>
      <c r="C1073" s="4">
        <f>IFERROR(__xludf.DUMMYFUNCTION("""COMPUTED_VALUE"""),1.536)</f>
        <v>1.536</v>
      </c>
      <c r="D1073" s="4">
        <f>IFERROR(__xludf.DUMMYFUNCTION("""COMPUTED_VALUE"""),1.2)</f>
        <v>1.2</v>
      </c>
      <c r="E1073" s="4" t="str">
        <f>IFERROR(__xludf.DUMMYFUNCTION("""COMPUTED_VALUE"""),"Neto: 1,20 € (a partir de 1 uds.)")</f>
        <v>Neto: 1,20 € (a partir de 1 uds.)</v>
      </c>
    </row>
    <row r="1074">
      <c r="A1074" s="4" t="str">
        <f>IFERROR(__xludf.DUMMYFUNCTION("""COMPUTED_VALUE"""),"879")</f>
        <v>879</v>
      </c>
      <c r="B1074" s="4" t="str">
        <f>IFERROR(__xludf.DUMMYFUNCTION("""COMPUTED_VALUE"""),"Cartel PVC 40x30 cm zona acceso prohibido, riesgo de cont. e")</f>
        <v>Cartel PVC 40x30 cm zona acceso prohibido, riesgo de cont. e</v>
      </c>
      <c r="C1074" s="4">
        <f>IFERROR(__xludf.DUMMYFUNCTION("""COMPUTED_VALUE"""),2.3808)</f>
        <v>2.3808</v>
      </c>
      <c r="D1074" s="4">
        <f>IFERROR(__xludf.DUMMYFUNCTION("""COMPUTED_VALUE"""),1.8)</f>
        <v>1.8</v>
      </c>
      <c r="E1074" s="4" t="str">
        <f>IFERROR(__xludf.DUMMYFUNCTION("""COMPUTED_VALUE"""),"Neto: 1,80 € (a partir de 1 uds.)")</f>
        <v>Neto: 1,80 € (a partir de 1 uds.)</v>
      </c>
    </row>
    <row r="1075">
      <c r="A1075" s="4" t="str">
        <f>IFERROR(__xludf.DUMMYFUNCTION("""COMPUTED_VALUE"""),"0879A")</f>
        <v>0879A</v>
      </c>
      <c r="B1075" s="4" t="str">
        <f>IFERROR(__xludf.DUMMYFUNCTION("""COMPUTED_VALUE"""),"Adhesivo PVC 21x29 cm zona acceso prohibido, riesgo de")</f>
        <v>Adhesivo PVC 21x29 cm zona acceso prohibido, riesgo de</v>
      </c>
      <c r="C1075" s="4">
        <f>IFERROR(__xludf.DUMMYFUNCTION("""COMPUTED_VALUE"""),1.2)</f>
        <v>1.2</v>
      </c>
      <c r="D1075" s="4"/>
      <c r="E1075" s="4" t="str">
        <f>IFERROR(__xludf.DUMMYFUNCTION("""COMPUTED_VALUE"""),"Sin precio neto")</f>
        <v>Sin precio neto</v>
      </c>
    </row>
    <row r="1076">
      <c r="A1076" s="4" t="str">
        <f>IFERROR(__xludf.DUMMYFUNCTION("""COMPUTED_VALUE"""),"0879P")</f>
        <v>0879P</v>
      </c>
      <c r="B1076" s="4" t="str">
        <f>IFERROR(__xludf.DUMMYFUNCTION("""COMPUTED_VALUE"""),"Cartel PVC 21x29 cm zona acceso prohibido, riesgo de cont. e")</f>
        <v>Cartel PVC 21x29 cm zona acceso prohibido, riesgo de cont. e</v>
      </c>
      <c r="C1076" s="4">
        <f>IFERROR(__xludf.DUMMYFUNCTION("""COMPUTED_VALUE"""),1.536)</f>
        <v>1.536</v>
      </c>
      <c r="D1076" s="4">
        <f>IFERROR(__xludf.DUMMYFUNCTION("""COMPUTED_VALUE"""),1.2)</f>
        <v>1.2</v>
      </c>
      <c r="E1076" s="4" t="str">
        <f>IFERROR(__xludf.DUMMYFUNCTION("""COMPUTED_VALUE"""),"Neto: 1,20 € (a partir de 1 uds.)")</f>
        <v>Neto: 1,20 € (a partir de 1 uds.)</v>
      </c>
    </row>
    <row r="1077">
      <c r="A1077" s="4" t="str">
        <f>IFERROR(__xludf.DUMMYFUNCTION("""COMPUTED_VALUE"""),"880")</f>
        <v>880</v>
      </c>
      <c r="B1077" s="4" t="str">
        <f>IFERROR(__xludf.DUMMYFUNCTION("""COMPUTED_VALUE"""),"Cartel PVC 40x30 cm zona vigilada, riesgo de irradiación")</f>
        <v>Cartel PVC 40x30 cm zona vigilada, riesgo de irradiación</v>
      </c>
      <c r="C1077" s="4">
        <f>IFERROR(__xludf.DUMMYFUNCTION("""COMPUTED_VALUE"""),2.3808)</f>
        <v>2.3808</v>
      </c>
      <c r="D1077" s="4">
        <f>IFERROR(__xludf.DUMMYFUNCTION("""COMPUTED_VALUE"""),1.8)</f>
        <v>1.8</v>
      </c>
      <c r="E1077" s="4" t="str">
        <f>IFERROR(__xludf.DUMMYFUNCTION("""COMPUTED_VALUE"""),"Neto: 1,80 € (a partir de 1 uds.)")</f>
        <v>Neto: 1,80 € (a partir de 1 uds.)</v>
      </c>
    </row>
    <row r="1078">
      <c r="A1078" s="4" t="str">
        <f>IFERROR(__xludf.DUMMYFUNCTION("""COMPUTED_VALUE"""),"0880A")</f>
        <v>0880A</v>
      </c>
      <c r="B1078" s="4" t="str">
        <f>IFERROR(__xludf.DUMMYFUNCTION("""COMPUTED_VALUE"""),"Adhesivo PVC 21x29 cm zona vigilada, riesgo de irradiación")</f>
        <v>Adhesivo PVC 21x29 cm zona vigilada, riesgo de irradiación</v>
      </c>
      <c r="C1078" s="4">
        <f>IFERROR(__xludf.DUMMYFUNCTION("""COMPUTED_VALUE"""),1.2)</f>
        <v>1.2</v>
      </c>
      <c r="D1078" s="4"/>
      <c r="E1078" s="4" t="str">
        <f>IFERROR(__xludf.DUMMYFUNCTION("""COMPUTED_VALUE"""),"Sin precio neto")</f>
        <v>Sin precio neto</v>
      </c>
    </row>
    <row r="1079">
      <c r="A1079" s="4" t="str">
        <f>IFERROR(__xludf.DUMMYFUNCTION("""COMPUTED_VALUE"""),"0880P")</f>
        <v>0880P</v>
      </c>
      <c r="B1079" s="4" t="str">
        <f>IFERROR(__xludf.DUMMYFUNCTION("""COMPUTED_VALUE"""),"Cartel PVC 21x29 cm zona vigilada, riesgo de irradiación")</f>
        <v>Cartel PVC 21x29 cm zona vigilada, riesgo de irradiación</v>
      </c>
      <c r="C1079" s="4">
        <f>IFERROR(__xludf.DUMMYFUNCTION("""COMPUTED_VALUE"""),1.536)</f>
        <v>1.536</v>
      </c>
      <c r="D1079" s="4">
        <f>IFERROR(__xludf.DUMMYFUNCTION("""COMPUTED_VALUE"""),1.2)</f>
        <v>1.2</v>
      </c>
      <c r="E1079" s="4" t="str">
        <f>IFERROR(__xludf.DUMMYFUNCTION("""COMPUTED_VALUE"""),"Neto: 1,20 € (a partir de 1 uds.)")</f>
        <v>Neto: 1,20 € (a partir de 1 uds.)</v>
      </c>
    </row>
    <row r="1080">
      <c r="A1080" s="4" t="str">
        <f>IFERROR(__xludf.DUMMYFUNCTION("""COMPUTED_VALUE"""),"881")</f>
        <v>881</v>
      </c>
      <c r="B1080" s="4" t="str">
        <f>IFERROR(__xludf.DUMMYFUNCTION("""COMPUTED_VALUE"""),"Cartel PVC 40x30 cm zona vigilada, riesgo de contaminación")</f>
        <v>Cartel PVC 40x30 cm zona vigilada, riesgo de contaminación</v>
      </c>
      <c r="C1080" s="4">
        <f>IFERROR(__xludf.DUMMYFUNCTION("""COMPUTED_VALUE"""),2.3808)</f>
        <v>2.3808</v>
      </c>
      <c r="D1080" s="4">
        <f>IFERROR(__xludf.DUMMYFUNCTION("""COMPUTED_VALUE"""),1.8)</f>
        <v>1.8</v>
      </c>
      <c r="E1080" s="4" t="str">
        <f>IFERROR(__xludf.DUMMYFUNCTION("""COMPUTED_VALUE"""),"Neto: 1,80 € (a partir de 1 uds.)")</f>
        <v>Neto: 1,80 € (a partir de 1 uds.)</v>
      </c>
    </row>
    <row r="1081">
      <c r="A1081" s="4" t="str">
        <f>IFERROR(__xludf.DUMMYFUNCTION("""COMPUTED_VALUE"""),"0881A")</f>
        <v>0881A</v>
      </c>
      <c r="B1081" s="4" t="str">
        <f>IFERROR(__xludf.DUMMYFUNCTION("""COMPUTED_VALUE"""),"Adhesivo PVC 21x29 cm zona vigilada, riesgo de")</f>
        <v>Adhesivo PVC 21x29 cm zona vigilada, riesgo de</v>
      </c>
      <c r="C1081" s="4">
        <f>IFERROR(__xludf.DUMMYFUNCTION("""COMPUTED_VALUE"""),1.2)</f>
        <v>1.2</v>
      </c>
      <c r="D1081" s="4"/>
      <c r="E1081" s="4" t="str">
        <f>IFERROR(__xludf.DUMMYFUNCTION("""COMPUTED_VALUE"""),"Sin precio neto")</f>
        <v>Sin precio neto</v>
      </c>
    </row>
    <row r="1082">
      <c r="A1082" s="4" t="str">
        <f>IFERROR(__xludf.DUMMYFUNCTION("""COMPUTED_VALUE"""),"0881P")</f>
        <v>0881P</v>
      </c>
      <c r="B1082" s="4" t="str">
        <f>IFERROR(__xludf.DUMMYFUNCTION("""COMPUTED_VALUE"""),"Cartel PVC 21x29 cm zona vigilada, riesgo de contaminación")</f>
        <v>Cartel PVC 21x29 cm zona vigilada, riesgo de contaminación</v>
      </c>
      <c r="C1082" s="4">
        <f>IFERROR(__xludf.DUMMYFUNCTION("""COMPUTED_VALUE"""),1.4112)</f>
        <v>1.4112</v>
      </c>
      <c r="D1082" s="4">
        <f>IFERROR(__xludf.DUMMYFUNCTION("""COMPUTED_VALUE"""),1.2)</f>
        <v>1.2</v>
      </c>
      <c r="E1082" s="4" t="str">
        <f>IFERROR(__xludf.DUMMYFUNCTION("""COMPUTED_VALUE"""),"Neto: 1,20 € (a partir de 1 uds.)")</f>
        <v>Neto: 1,20 € (a partir de 1 uds.)</v>
      </c>
    </row>
    <row r="1083">
      <c r="A1083" s="4" t="str">
        <f>IFERROR(__xludf.DUMMYFUNCTION("""COMPUTED_VALUE"""),"882")</f>
        <v>882</v>
      </c>
      <c r="B1083" s="4" t="str">
        <f>IFERROR(__xludf.DUMMYFUNCTION("""COMPUTED_VALUE"""),"Cartel PVC 40x30 cm zona vigilada, riesgo de cont. e irrad.")</f>
        <v>Cartel PVC 40x30 cm zona vigilada, riesgo de cont. e irrad.</v>
      </c>
      <c r="C1083" s="4">
        <f>IFERROR(__xludf.DUMMYFUNCTION("""COMPUTED_VALUE"""),2.3808)</f>
        <v>2.3808</v>
      </c>
      <c r="D1083" s="4">
        <f>IFERROR(__xludf.DUMMYFUNCTION("""COMPUTED_VALUE"""),1.8)</f>
        <v>1.8</v>
      </c>
      <c r="E1083" s="4" t="str">
        <f>IFERROR(__xludf.DUMMYFUNCTION("""COMPUTED_VALUE"""),"Neto: 1,80 € (a partir de 1 uds.)")</f>
        <v>Neto: 1,80 € (a partir de 1 uds.)</v>
      </c>
    </row>
    <row r="1084">
      <c r="A1084" s="4" t="str">
        <f>IFERROR(__xludf.DUMMYFUNCTION("""COMPUTED_VALUE"""),"0882A")</f>
        <v>0882A</v>
      </c>
      <c r="B1084" s="4" t="str">
        <f>IFERROR(__xludf.DUMMYFUNCTION("""COMPUTED_VALUE"""),"Adhesivo PVC 21x29 cm zona vigilada, riesgo de cont. e irrad.")</f>
        <v>Adhesivo PVC 21x29 cm zona vigilada, riesgo de cont. e irrad.</v>
      </c>
      <c r="C1084" s="4">
        <f>IFERROR(__xludf.DUMMYFUNCTION("""COMPUTED_VALUE"""),1.2)</f>
        <v>1.2</v>
      </c>
      <c r="D1084" s="4"/>
      <c r="E1084" s="4" t="str">
        <f>IFERROR(__xludf.DUMMYFUNCTION("""COMPUTED_VALUE"""),"Sin precio neto")</f>
        <v>Sin precio neto</v>
      </c>
    </row>
    <row r="1085">
      <c r="A1085" s="4" t="str">
        <f>IFERROR(__xludf.DUMMYFUNCTION("""COMPUTED_VALUE"""),"0882P")</f>
        <v>0882P</v>
      </c>
      <c r="B1085" s="4" t="str">
        <f>IFERROR(__xludf.DUMMYFUNCTION("""COMPUTED_VALUE"""),"Cartel PVC 21x29 cm zona vigilada, riesgo de cont. e irrad.")</f>
        <v>Cartel PVC 21x29 cm zona vigilada, riesgo de cont. e irrad.</v>
      </c>
      <c r="C1085" s="4">
        <f>IFERROR(__xludf.DUMMYFUNCTION("""COMPUTED_VALUE"""),1.536)</f>
        <v>1.536</v>
      </c>
      <c r="D1085" s="4">
        <f>IFERROR(__xludf.DUMMYFUNCTION("""COMPUTED_VALUE"""),1.2)</f>
        <v>1.2</v>
      </c>
      <c r="E1085" s="4" t="str">
        <f>IFERROR(__xludf.DUMMYFUNCTION("""COMPUTED_VALUE"""),"Neto: 1,20 € (a partir de 1 uds.)")</f>
        <v>Neto: 1,20 € (a partir de 1 uds.)</v>
      </c>
    </row>
    <row r="1086">
      <c r="A1086" s="4" t="str">
        <f>IFERROR(__xludf.DUMMYFUNCTION("""COMPUTED_VALUE"""),"883")</f>
        <v>883</v>
      </c>
      <c r="B1086" s="4" t="str">
        <f>IFERROR(__xludf.DUMMYFUNCTION("""COMPUTED_VALUE"""),"Adhesivo PVC Grupo 0 Oxígeno 100x25 mm")</f>
        <v>Adhesivo PVC Grupo 0 Oxígeno 100x25 mm</v>
      </c>
      <c r="C1086" s="4">
        <f>IFERROR(__xludf.DUMMYFUNCTION("""COMPUTED_VALUE"""),0.96)</f>
        <v>0.96</v>
      </c>
      <c r="D1086" s="4"/>
      <c r="E1086" s="4" t="str">
        <f>IFERROR(__xludf.DUMMYFUNCTION("""COMPUTED_VALUE"""),"Sin precio neto")</f>
        <v>Sin precio neto</v>
      </c>
    </row>
    <row r="1087">
      <c r="A1087" s="4" t="str">
        <f>IFERROR(__xludf.DUMMYFUNCTION("""COMPUTED_VALUE"""),"0883A")</f>
        <v>0883A</v>
      </c>
      <c r="B1087" s="4" t="str">
        <f>IFERROR(__xludf.DUMMYFUNCTION("""COMPUTED_VALUE"""),"Adhesivo PVC Grupo 0 Oxígeno 200x50 mm")</f>
        <v>Adhesivo PVC Grupo 0 Oxígeno 200x50 mm</v>
      </c>
      <c r="C1087" s="4">
        <f>IFERROR(__xludf.DUMMYFUNCTION("""COMPUTED_VALUE"""),1.44)</f>
        <v>1.44</v>
      </c>
      <c r="D1087" s="4"/>
      <c r="E1087" s="4" t="str">
        <f>IFERROR(__xludf.DUMMYFUNCTION("""COMPUTED_VALUE"""),"Sin precio neto")</f>
        <v>Sin precio neto</v>
      </c>
    </row>
    <row r="1088">
      <c r="A1088" s="4" t="str">
        <f>IFERROR(__xludf.DUMMYFUNCTION("""COMPUTED_VALUE"""),"0883B")</f>
        <v>0883B</v>
      </c>
      <c r="B1088" s="4" t="str">
        <f>IFERROR(__xludf.DUMMYFUNCTION("""COMPUTED_VALUE"""),"Adhesivo PVC Grupo 0 Oxígeno 400x100 mm")</f>
        <v>Adhesivo PVC Grupo 0 Oxígeno 400x100 mm</v>
      </c>
      <c r="C1088" s="4">
        <f>IFERROR(__xludf.DUMMYFUNCTION("""COMPUTED_VALUE"""),1.92)</f>
        <v>1.92</v>
      </c>
      <c r="D1088" s="4"/>
      <c r="E1088" s="4" t="str">
        <f>IFERROR(__xludf.DUMMYFUNCTION("""COMPUTED_VALUE"""),"Sin precio neto")</f>
        <v>Sin precio neto</v>
      </c>
    </row>
    <row r="1089">
      <c r="A1089" s="4" t="str">
        <f>IFERROR(__xludf.DUMMYFUNCTION("""COMPUTED_VALUE"""),"884")</f>
        <v>884</v>
      </c>
      <c r="B1089" s="4" t="str">
        <f>IFERROR(__xludf.DUMMYFUNCTION("""COMPUTED_VALUE"""),"Adhesivo PVC Grupo 1 Agua 100x25 mm (todas las variantes)")</f>
        <v>Adhesivo PVC Grupo 1 Agua 100x25 mm (todas las variantes)</v>
      </c>
      <c r="C1089" s="4">
        <f>IFERROR(__xludf.DUMMYFUNCTION("""COMPUTED_VALUE"""),0.96)</f>
        <v>0.96</v>
      </c>
      <c r="D1089" s="4"/>
      <c r="E1089" s="4" t="str">
        <f>IFERROR(__xludf.DUMMYFUNCTION("""COMPUTED_VALUE"""),"Sin precio neto")</f>
        <v>Sin precio neto</v>
      </c>
    </row>
    <row r="1090">
      <c r="A1090" s="4" t="str">
        <f>IFERROR(__xludf.DUMMYFUNCTION("""COMPUTED_VALUE"""),"0884A")</f>
        <v>0884A</v>
      </c>
      <c r="B1090" s="4" t="str">
        <f>IFERROR(__xludf.DUMMYFUNCTION("""COMPUTED_VALUE"""),"Adhesivo PVC Grupo 1 Agua 200x50 mm (todas las variantes)")</f>
        <v>Adhesivo PVC Grupo 1 Agua 200x50 mm (todas las variantes)</v>
      </c>
      <c r="C1090" s="4">
        <f>IFERROR(__xludf.DUMMYFUNCTION("""COMPUTED_VALUE"""),1.44)</f>
        <v>1.44</v>
      </c>
      <c r="D1090" s="4"/>
      <c r="E1090" s="4" t="str">
        <f>IFERROR(__xludf.DUMMYFUNCTION("""COMPUTED_VALUE"""),"Sin precio neto")</f>
        <v>Sin precio neto</v>
      </c>
    </row>
    <row r="1091">
      <c r="A1091" s="4" t="str">
        <f>IFERROR(__xludf.DUMMYFUNCTION("""COMPUTED_VALUE"""),"0884B")</f>
        <v>0884B</v>
      </c>
      <c r="B1091" s="4" t="str">
        <f>IFERROR(__xludf.DUMMYFUNCTION("""COMPUTED_VALUE"""),"Adhesivo PVC Grupo 1 Agua 400x100 mm (todas las")</f>
        <v>Adhesivo PVC Grupo 1 Agua 400x100 mm (todas las</v>
      </c>
      <c r="C1091" s="4">
        <f>IFERROR(__xludf.DUMMYFUNCTION("""COMPUTED_VALUE"""),1.92)</f>
        <v>1.92</v>
      </c>
      <c r="D1091" s="4"/>
      <c r="E1091" s="4" t="str">
        <f>IFERROR(__xludf.DUMMYFUNCTION("""COMPUTED_VALUE"""),"Sin precio neto")</f>
        <v>Sin precio neto</v>
      </c>
    </row>
    <row r="1092">
      <c r="A1092" s="4" t="str">
        <f>IFERROR(__xludf.DUMMYFUNCTION("""COMPUTED_VALUE"""),"885")</f>
        <v>885</v>
      </c>
      <c r="B1092" s="4" t="str">
        <f>IFERROR(__xludf.DUMMYFUNCTION("""COMPUTED_VALUE"""),"Adhesivo PVC Grupo 2 Vapor de agua 100x25 mm (todas las")</f>
        <v>Adhesivo PVC Grupo 2 Vapor de agua 100x25 mm (todas las</v>
      </c>
      <c r="C1092" s="4">
        <f>IFERROR(__xludf.DUMMYFUNCTION("""COMPUTED_VALUE"""),0.96)</f>
        <v>0.96</v>
      </c>
      <c r="D1092" s="4"/>
      <c r="E1092" s="4" t="str">
        <f>IFERROR(__xludf.DUMMYFUNCTION("""COMPUTED_VALUE"""),"Sin precio neto")</f>
        <v>Sin precio neto</v>
      </c>
    </row>
    <row r="1093">
      <c r="A1093" s="4" t="str">
        <f>IFERROR(__xludf.DUMMYFUNCTION("""COMPUTED_VALUE"""),"0885A")</f>
        <v>0885A</v>
      </c>
      <c r="B1093" s="4" t="str">
        <f>IFERROR(__xludf.DUMMYFUNCTION("""COMPUTED_VALUE"""),"Adhesivo PVC Grupo 2 Vapor de agua 200x50 mm (todas las")</f>
        <v>Adhesivo PVC Grupo 2 Vapor de agua 200x50 mm (todas las</v>
      </c>
      <c r="C1093" s="4">
        <f>IFERROR(__xludf.DUMMYFUNCTION("""COMPUTED_VALUE"""),1.44)</f>
        <v>1.44</v>
      </c>
      <c r="D1093" s="4"/>
      <c r="E1093" s="4" t="str">
        <f>IFERROR(__xludf.DUMMYFUNCTION("""COMPUTED_VALUE"""),"Sin precio neto")</f>
        <v>Sin precio neto</v>
      </c>
    </row>
    <row r="1094">
      <c r="A1094" s="4" t="str">
        <f>IFERROR(__xludf.DUMMYFUNCTION("""COMPUTED_VALUE"""),"0885B")</f>
        <v>0885B</v>
      </c>
      <c r="B1094" s="4" t="str">
        <f>IFERROR(__xludf.DUMMYFUNCTION("""COMPUTED_VALUE"""),"Adhesivo PVC Grupo 2 Vapor de agua 400x100 mm (todas las")</f>
        <v>Adhesivo PVC Grupo 2 Vapor de agua 400x100 mm (todas las</v>
      </c>
      <c r="C1094" s="4">
        <f>IFERROR(__xludf.DUMMYFUNCTION("""COMPUTED_VALUE"""),1.92)</f>
        <v>1.92</v>
      </c>
      <c r="D1094" s="4"/>
      <c r="E1094" s="4" t="str">
        <f>IFERROR(__xludf.DUMMYFUNCTION("""COMPUTED_VALUE"""),"Sin precio neto")</f>
        <v>Sin precio neto</v>
      </c>
    </row>
    <row r="1095">
      <c r="A1095" s="4" t="str">
        <f>IFERROR(__xludf.DUMMYFUNCTION("""COMPUTED_VALUE"""),"886")</f>
        <v>886</v>
      </c>
      <c r="B1095" s="4" t="str">
        <f>IFERROR(__xludf.DUMMYFUNCTION("""COMPUTED_VALUE"""),"Adhesivo PVC Grupo 3 Aire 100x25 mm (todas las variantes)")</f>
        <v>Adhesivo PVC Grupo 3 Aire 100x25 mm (todas las variantes)</v>
      </c>
      <c r="C1095" s="4">
        <f>IFERROR(__xludf.DUMMYFUNCTION("""COMPUTED_VALUE"""),0.96)</f>
        <v>0.96</v>
      </c>
      <c r="D1095" s="4"/>
      <c r="E1095" s="4" t="str">
        <f>IFERROR(__xludf.DUMMYFUNCTION("""COMPUTED_VALUE"""),"Sin precio neto")</f>
        <v>Sin precio neto</v>
      </c>
    </row>
    <row r="1096">
      <c r="A1096" s="4" t="str">
        <f>IFERROR(__xludf.DUMMYFUNCTION("""COMPUTED_VALUE"""),"0886A")</f>
        <v>0886A</v>
      </c>
      <c r="B1096" s="4" t="str">
        <f>IFERROR(__xludf.DUMMYFUNCTION("""COMPUTED_VALUE"""),"Adhesivo PVC Grupo 3 Aire 200x50 mm (todas las variantes)")</f>
        <v>Adhesivo PVC Grupo 3 Aire 200x50 mm (todas las variantes)</v>
      </c>
      <c r="C1096" s="4">
        <f>IFERROR(__xludf.DUMMYFUNCTION("""COMPUTED_VALUE"""),1.92)</f>
        <v>1.92</v>
      </c>
      <c r="D1096" s="4"/>
      <c r="E1096" s="4" t="str">
        <f>IFERROR(__xludf.DUMMYFUNCTION("""COMPUTED_VALUE"""),"Sin precio neto")</f>
        <v>Sin precio neto</v>
      </c>
    </row>
    <row r="1097">
      <c r="A1097" s="4" t="str">
        <f>IFERROR(__xludf.DUMMYFUNCTION("""COMPUTED_VALUE"""),"0886B")</f>
        <v>0886B</v>
      </c>
      <c r="B1097" s="4" t="str">
        <f>IFERROR(__xludf.DUMMYFUNCTION("""COMPUTED_VALUE"""),"Adhesivo PVC Grupo 3 Aire 400x100 mm (todas las variantes)")</f>
        <v>Adhesivo PVC Grupo 3 Aire 400x100 mm (todas las variantes)</v>
      </c>
      <c r="C1097" s="4">
        <f>IFERROR(__xludf.DUMMYFUNCTION("""COMPUTED_VALUE"""),1.44)</f>
        <v>1.44</v>
      </c>
      <c r="D1097" s="4"/>
      <c r="E1097" s="4" t="str">
        <f>IFERROR(__xludf.DUMMYFUNCTION("""COMPUTED_VALUE"""),"Sin precio neto")</f>
        <v>Sin precio neto</v>
      </c>
    </row>
    <row r="1098">
      <c r="A1098" s="4" t="str">
        <f>IFERROR(__xludf.DUMMYFUNCTION("""COMPUTED_VALUE"""),"887")</f>
        <v>887</v>
      </c>
      <c r="B1098" s="4" t="str">
        <f>IFERROR(__xludf.DUMMYFUNCTION("""COMPUTED_VALUE"""),"Adhesivo PVC Grupo 4 Gases combustibles 100x25 mm (todas")</f>
        <v>Adhesivo PVC Grupo 4 Gases combustibles 100x25 mm (todas</v>
      </c>
      <c r="C1098" s="4">
        <f>IFERROR(__xludf.DUMMYFUNCTION("""COMPUTED_VALUE"""),0.96)</f>
        <v>0.96</v>
      </c>
      <c r="D1098" s="4"/>
      <c r="E1098" s="4" t="str">
        <f>IFERROR(__xludf.DUMMYFUNCTION("""COMPUTED_VALUE"""),"Sin precio neto")</f>
        <v>Sin precio neto</v>
      </c>
    </row>
    <row r="1099">
      <c r="A1099" s="4" t="str">
        <f>IFERROR(__xludf.DUMMYFUNCTION("""COMPUTED_VALUE"""),"0887A")</f>
        <v>0887A</v>
      </c>
      <c r="B1099" s="4" t="str">
        <f>IFERROR(__xludf.DUMMYFUNCTION("""COMPUTED_VALUE"""),"Adhesivo PVC Grupo 4 Gases combustibles 200x50 mm (todas")</f>
        <v>Adhesivo PVC Grupo 4 Gases combustibles 200x50 mm (todas</v>
      </c>
      <c r="C1099" s="4">
        <f>IFERROR(__xludf.DUMMYFUNCTION("""COMPUTED_VALUE"""),1.44)</f>
        <v>1.44</v>
      </c>
      <c r="D1099" s="4"/>
      <c r="E1099" s="4" t="str">
        <f>IFERROR(__xludf.DUMMYFUNCTION("""COMPUTED_VALUE"""),"Sin precio neto")</f>
        <v>Sin precio neto</v>
      </c>
    </row>
    <row r="1100">
      <c r="A1100" s="4" t="str">
        <f>IFERROR(__xludf.DUMMYFUNCTION("""COMPUTED_VALUE"""),"0887B")</f>
        <v>0887B</v>
      </c>
      <c r="B1100" s="4" t="str">
        <f>IFERROR(__xludf.DUMMYFUNCTION("""COMPUTED_VALUE"""),"Adhesivo PVC Grupo 4 Gases combustibles 400x100 mm")</f>
        <v>Adhesivo PVC Grupo 4 Gases combustibles 400x100 mm</v>
      </c>
      <c r="C1100" s="4">
        <f>IFERROR(__xludf.DUMMYFUNCTION("""COMPUTED_VALUE"""),1.92)</f>
        <v>1.92</v>
      </c>
      <c r="D1100" s="4"/>
      <c r="E1100" s="4" t="str">
        <f>IFERROR(__xludf.DUMMYFUNCTION("""COMPUTED_VALUE"""),"Sin precio neto")</f>
        <v>Sin precio neto</v>
      </c>
    </row>
    <row r="1101">
      <c r="A1101" s="4" t="str">
        <f>IFERROR(__xludf.DUMMYFUNCTION("""COMPUTED_VALUE"""),"888")</f>
        <v>888</v>
      </c>
      <c r="B1101" s="4" t="str">
        <f>IFERROR(__xludf.DUMMYFUNCTION("""COMPUTED_VALUE"""),"Adhesivo PVC Grupo 4 Gases combustibles 100x25 mm B")</f>
        <v>Adhesivo PVC Grupo 4 Gases combustibles 100x25 mm B</v>
      </c>
      <c r="C1101" s="4">
        <f>IFERROR(__xludf.DUMMYFUNCTION("""COMPUTED_VALUE"""),0.96)</f>
        <v>0.96</v>
      </c>
      <c r="D1101" s="4"/>
      <c r="E1101" s="4" t="str">
        <f>IFERROR(__xludf.DUMMYFUNCTION("""COMPUTED_VALUE"""),"Sin precio neto")</f>
        <v>Sin precio neto</v>
      </c>
    </row>
    <row r="1102">
      <c r="A1102" s="4" t="str">
        <f>IFERROR(__xludf.DUMMYFUNCTION("""COMPUTED_VALUE"""),"0888A")</f>
        <v>0888A</v>
      </c>
      <c r="B1102" s="4" t="str">
        <f>IFERROR(__xludf.DUMMYFUNCTION("""COMPUTED_VALUE"""),"Adhesivo PVC Grupo 4 Gases combustibles 200x50 mm")</f>
        <v>Adhesivo PVC Grupo 4 Gases combustibles 200x50 mm</v>
      </c>
      <c r="C1102" s="4">
        <f>IFERROR(__xludf.DUMMYFUNCTION("""COMPUTED_VALUE"""),1.44)</f>
        <v>1.44</v>
      </c>
      <c r="D1102" s="4"/>
      <c r="E1102" s="4" t="str">
        <f>IFERROR(__xludf.DUMMYFUNCTION("""COMPUTED_VALUE"""),"Sin precio neto")</f>
        <v>Sin precio neto</v>
      </c>
    </row>
    <row r="1103">
      <c r="A1103" s="4" t="str">
        <f>IFERROR(__xludf.DUMMYFUNCTION("""COMPUTED_VALUE"""),"0888B")</f>
        <v>0888B</v>
      </c>
      <c r="B1103" s="4" t="str">
        <f>IFERROR(__xludf.DUMMYFUNCTION("""COMPUTED_VALUE"""),"Adhesivo PVC Grupo 4 Gases combustibles 400x100 mm")</f>
        <v>Adhesivo PVC Grupo 4 Gases combustibles 400x100 mm</v>
      </c>
      <c r="C1103" s="4">
        <f>IFERROR(__xludf.DUMMYFUNCTION("""COMPUTED_VALUE"""),1.92)</f>
        <v>1.92</v>
      </c>
      <c r="D1103" s="4"/>
      <c r="E1103" s="4" t="str">
        <f>IFERROR(__xludf.DUMMYFUNCTION("""COMPUTED_VALUE"""),"Sin precio neto")</f>
        <v>Sin precio neto</v>
      </c>
    </row>
    <row r="1104">
      <c r="A1104" s="4" t="str">
        <f>IFERROR(__xludf.DUMMYFUNCTION("""COMPUTED_VALUE"""),"889")</f>
        <v>889</v>
      </c>
      <c r="B1104" s="4" t="str">
        <f>IFERROR(__xludf.DUMMYFUNCTION("""COMPUTED_VALUE"""),"Adhesivo PVC Grupo 5 Gases no combustibles 100x25 mm")</f>
        <v>Adhesivo PVC Grupo 5 Gases no combustibles 100x25 mm</v>
      </c>
      <c r="C1104" s="4">
        <f>IFERROR(__xludf.DUMMYFUNCTION("""COMPUTED_VALUE"""),0.96)</f>
        <v>0.96</v>
      </c>
      <c r="D1104" s="4"/>
      <c r="E1104" s="4" t="str">
        <f>IFERROR(__xludf.DUMMYFUNCTION("""COMPUTED_VALUE"""),"Sin precio neto")</f>
        <v>Sin precio neto</v>
      </c>
    </row>
    <row r="1105">
      <c r="A1105" s="4" t="str">
        <f>IFERROR(__xludf.DUMMYFUNCTION("""COMPUTED_VALUE"""),"0889A")</f>
        <v>0889A</v>
      </c>
      <c r="B1105" s="4" t="str">
        <f>IFERROR(__xludf.DUMMYFUNCTION("""COMPUTED_VALUE"""),"Adhesivo PVC Grupo 5 Gases no combustibles 200x50 mm")</f>
        <v>Adhesivo PVC Grupo 5 Gases no combustibles 200x50 mm</v>
      </c>
      <c r="C1105" s="4">
        <f>IFERROR(__xludf.DUMMYFUNCTION("""COMPUTED_VALUE"""),1.44)</f>
        <v>1.44</v>
      </c>
      <c r="D1105" s="4"/>
      <c r="E1105" s="4" t="str">
        <f>IFERROR(__xludf.DUMMYFUNCTION("""COMPUTED_VALUE"""),"Sin precio neto")</f>
        <v>Sin precio neto</v>
      </c>
    </row>
    <row r="1106">
      <c r="A1106" s="4" t="str">
        <f>IFERROR(__xludf.DUMMYFUNCTION("""COMPUTED_VALUE"""),"0889B")</f>
        <v>0889B</v>
      </c>
      <c r="B1106" s="4" t="str">
        <f>IFERROR(__xludf.DUMMYFUNCTION("""COMPUTED_VALUE"""),"Adhesivo PVC Grupo 5 Gases no combustibles 400x100 mm")</f>
        <v>Adhesivo PVC Grupo 5 Gases no combustibles 400x100 mm</v>
      </c>
      <c r="C1106" s="4">
        <f>IFERROR(__xludf.DUMMYFUNCTION("""COMPUTED_VALUE"""),1.92)</f>
        <v>1.92</v>
      </c>
      <c r="D1106" s="4"/>
      <c r="E1106" s="4" t="str">
        <f>IFERROR(__xludf.DUMMYFUNCTION("""COMPUTED_VALUE"""),"Sin precio neto")</f>
        <v>Sin precio neto</v>
      </c>
    </row>
    <row r="1107">
      <c r="A1107" s="4" t="str">
        <f>IFERROR(__xludf.DUMMYFUNCTION("""COMPUTED_VALUE"""),"890")</f>
        <v>890</v>
      </c>
      <c r="B1107" s="4" t="str">
        <f>IFERROR(__xludf.DUMMYFUNCTION("""COMPUTED_VALUE"""),"Adhesivo PVC Grupo 5 Gases no combustibles 100x25 mm")</f>
        <v>Adhesivo PVC Grupo 5 Gases no combustibles 100x25 mm</v>
      </c>
      <c r="C1107" s="4">
        <f>IFERROR(__xludf.DUMMYFUNCTION("""COMPUTED_VALUE"""),0.96)</f>
        <v>0.96</v>
      </c>
      <c r="D1107" s="4"/>
      <c r="E1107" s="4" t="str">
        <f>IFERROR(__xludf.DUMMYFUNCTION("""COMPUTED_VALUE"""),"Sin precio neto")</f>
        <v>Sin precio neto</v>
      </c>
    </row>
    <row r="1108">
      <c r="A1108" s="4" t="str">
        <f>IFERROR(__xludf.DUMMYFUNCTION("""COMPUTED_VALUE"""),"0890A")</f>
        <v>0890A</v>
      </c>
      <c r="B1108" s="4" t="str">
        <f>IFERROR(__xludf.DUMMYFUNCTION("""COMPUTED_VALUE"""),"Adhesivo PVC Grupo 5 Gases no combustibles 200x50 mm")</f>
        <v>Adhesivo PVC Grupo 5 Gases no combustibles 200x50 mm</v>
      </c>
      <c r="C1108" s="4">
        <f>IFERROR(__xludf.DUMMYFUNCTION("""COMPUTED_VALUE"""),1.44)</f>
        <v>1.44</v>
      </c>
      <c r="D1108" s="4"/>
      <c r="E1108" s="4" t="str">
        <f>IFERROR(__xludf.DUMMYFUNCTION("""COMPUTED_VALUE"""),"Sin precio neto")</f>
        <v>Sin precio neto</v>
      </c>
    </row>
    <row r="1109">
      <c r="A1109" s="4" t="str">
        <f>IFERROR(__xludf.DUMMYFUNCTION("""COMPUTED_VALUE"""),"0890B")</f>
        <v>0890B</v>
      </c>
      <c r="B1109" s="4" t="str">
        <f>IFERROR(__xludf.DUMMYFUNCTION("""COMPUTED_VALUE"""),"Adhesivo PVC Grupo 5 Gases no combustibles 400x100 mm")</f>
        <v>Adhesivo PVC Grupo 5 Gases no combustibles 400x100 mm</v>
      </c>
      <c r="C1109" s="4">
        <f>IFERROR(__xludf.DUMMYFUNCTION("""COMPUTED_VALUE"""),1.92)</f>
        <v>1.92</v>
      </c>
      <c r="D1109" s="4"/>
      <c r="E1109" s="4" t="str">
        <f>IFERROR(__xludf.DUMMYFUNCTION("""COMPUTED_VALUE"""),"Sin precio neto")</f>
        <v>Sin precio neto</v>
      </c>
    </row>
    <row r="1110">
      <c r="A1110" s="4" t="str">
        <f>IFERROR(__xludf.DUMMYFUNCTION("""COMPUTED_VALUE"""),"891")</f>
        <v>891</v>
      </c>
      <c r="B1110" s="4" t="str">
        <f>IFERROR(__xludf.DUMMYFUNCTION("""COMPUTED_VALUE"""),"Adhesivo PVC Grupo 6 Ácidos 100x25 mm (todas las")</f>
        <v>Adhesivo PVC Grupo 6 Ácidos 100x25 mm (todas las</v>
      </c>
      <c r="C1110" s="4">
        <f>IFERROR(__xludf.DUMMYFUNCTION("""COMPUTED_VALUE"""),0.96)</f>
        <v>0.96</v>
      </c>
      <c r="D1110" s="4"/>
      <c r="E1110" s="4" t="str">
        <f>IFERROR(__xludf.DUMMYFUNCTION("""COMPUTED_VALUE"""),"Sin precio neto")</f>
        <v>Sin precio neto</v>
      </c>
    </row>
    <row r="1111">
      <c r="A1111" s="4" t="str">
        <f>IFERROR(__xludf.DUMMYFUNCTION("""COMPUTED_VALUE"""),"0891A")</f>
        <v>0891A</v>
      </c>
      <c r="B1111" s="4" t="str">
        <f>IFERROR(__xludf.DUMMYFUNCTION("""COMPUTED_VALUE"""),"Adhesivo PVC Grupo 6 Ácidos 200x50 mm (todas las")</f>
        <v>Adhesivo PVC Grupo 6 Ácidos 200x50 mm (todas las</v>
      </c>
      <c r="C1111" s="4">
        <f>IFERROR(__xludf.DUMMYFUNCTION("""COMPUTED_VALUE"""),1.44)</f>
        <v>1.44</v>
      </c>
      <c r="D1111" s="4"/>
      <c r="E1111" s="4" t="str">
        <f>IFERROR(__xludf.DUMMYFUNCTION("""COMPUTED_VALUE"""),"Sin precio neto")</f>
        <v>Sin precio neto</v>
      </c>
    </row>
    <row r="1112">
      <c r="A1112" s="4" t="str">
        <f>IFERROR(__xludf.DUMMYFUNCTION("""COMPUTED_VALUE"""),"0891B")</f>
        <v>0891B</v>
      </c>
      <c r="B1112" s="4" t="str">
        <f>IFERROR(__xludf.DUMMYFUNCTION("""COMPUTED_VALUE"""),"Adhesivo PVC Grupo 6 Ácidos 400x100 mm (todas las")</f>
        <v>Adhesivo PVC Grupo 6 Ácidos 400x100 mm (todas las</v>
      </c>
      <c r="C1112" s="4">
        <f>IFERROR(__xludf.DUMMYFUNCTION("""COMPUTED_VALUE"""),1.92)</f>
        <v>1.92</v>
      </c>
      <c r="D1112" s="4"/>
      <c r="E1112" s="4" t="str">
        <f>IFERROR(__xludf.DUMMYFUNCTION("""COMPUTED_VALUE"""),"Sin precio neto")</f>
        <v>Sin precio neto</v>
      </c>
    </row>
    <row r="1113">
      <c r="A1113" s="4" t="str">
        <f>IFERROR(__xludf.DUMMYFUNCTION("""COMPUTED_VALUE"""),"892")</f>
        <v>892</v>
      </c>
      <c r="B1113" s="4" t="str">
        <f>IFERROR(__xludf.DUMMYFUNCTION("""COMPUTED_VALUE"""),"Adhesivo PVC Grupo 7 Lejías 100x25 mm (todas las variantes)")</f>
        <v>Adhesivo PVC Grupo 7 Lejías 100x25 mm (todas las variantes)</v>
      </c>
      <c r="C1113" s="4">
        <f>IFERROR(__xludf.DUMMYFUNCTION("""COMPUTED_VALUE"""),0.96)</f>
        <v>0.96</v>
      </c>
      <c r="D1113" s="4"/>
      <c r="E1113" s="4" t="str">
        <f>IFERROR(__xludf.DUMMYFUNCTION("""COMPUTED_VALUE"""),"Sin precio neto")</f>
        <v>Sin precio neto</v>
      </c>
    </row>
    <row r="1114">
      <c r="A1114" s="4" t="str">
        <f>IFERROR(__xludf.DUMMYFUNCTION("""COMPUTED_VALUE"""),"0892A")</f>
        <v>0892A</v>
      </c>
      <c r="B1114" s="4" t="str">
        <f>IFERROR(__xludf.DUMMYFUNCTION("""COMPUTED_VALUE"""),"Adhesivo PVC Grupo 7 Lejías 200x50 mm (todas las")</f>
        <v>Adhesivo PVC Grupo 7 Lejías 200x50 mm (todas las</v>
      </c>
      <c r="C1114" s="4">
        <f>IFERROR(__xludf.DUMMYFUNCTION("""COMPUTED_VALUE"""),1.44)</f>
        <v>1.44</v>
      </c>
      <c r="D1114" s="4"/>
      <c r="E1114" s="4" t="str">
        <f>IFERROR(__xludf.DUMMYFUNCTION("""COMPUTED_VALUE"""),"Sin precio neto")</f>
        <v>Sin precio neto</v>
      </c>
    </row>
    <row r="1115">
      <c r="A1115" s="4" t="str">
        <f>IFERROR(__xludf.DUMMYFUNCTION("""COMPUTED_VALUE"""),"0892B")</f>
        <v>0892B</v>
      </c>
      <c r="B1115" s="4" t="str">
        <f>IFERROR(__xludf.DUMMYFUNCTION("""COMPUTED_VALUE"""),"Adhesivo PVC Grupo 7 Lejías 400x100 mm (todas las")</f>
        <v>Adhesivo PVC Grupo 7 Lejías 400x100 mm (todas las</v>
      </c>
      <c r="C1115" s="4">
        <f>IFERROR(__xludf.DUMMYFUNCTION("""COMPUTED_VALUE"""),1.92)</f>
        <v>1.92</v>
      </c>
      <c r="D1115" s="4"/>
      <c r="E1115" s="4" t="str">
        <f>IFERROR(__xludf.DUMMYFUNCTION("""COMPUTED_VALUE"""),"Sin precio neto")</f>
        <v>Sin precio neto</v>
      </c>
    </row>
    <row r="1116">
      <c r="A1116" s="4" t="str">
        <f>IFERROR(__xludf.DUMMYFUNCTION("""COMPUTED_VALUE"""),"893")</f>
        <v>893</v>
      </c>
      <c r="B1116" s="4" t="str">
        <f>IFERROR(__xludf.DUMMYFUNCTION("""COMPUTED_VALUE"""),"Adhesivo PVC Grupo 8 Líquidos combustibles 100x25 mm")</f>
        <v>Adhesivo PVC Grupo 8 Líquidos combustibles 100x25 mm</v>
      </c>
      <c r="C1116" s="4">
        <f>IFERROR(__xludf.DUMMYFUNCTION("""COMPUTED_VALUE"""),0.96)</f>
        <v>0.96</v>
      </c>
      <c r="D1116" s="4"/>
      <c r="E1116" s="4" t="str">
        <f>IFERROR(__xludf.DUMMYFUNCTION("""COMPUTED_VALUE"""),"Sin precio neto")</f>
        <v>Sin precio neto</v>
      </c>
    </row>
    <row r="1117">
      <c r="A1117" s="4" t="str">
        <f>IFERROR(__xludf.DUMMYFUNCTION("""COMPUTED_VALUE"""),"0893A")</f>
        <v>0893A</v>
      </c>
      <c r="B1117" s="4" t="str">
        <f>IFERROR(__xludf.DUMMYFUNCTION("""COMPUTED_VALUE"""),"Adhesivo PVC Grupo 8 Líquidos combustibles 200x50 mm")</f>
        <v>Adhesivo PVC Grupo 8 Líquidos combustibles 200x50 mm</v>
      </c>
      <c r="C1117" s="4">
        <f>IFERROR(__xludf.DUMMYFUNCTION("""COMPUTED_VALUE"""),1.44)</f>
        <v>1.44</v>
      </c>
      <c r="D1117" s="4"/>
      <c r="E1117" s="4" t="str">
        <f>IFERROR(__xludf.DUMMYFUNCTION("""COMPUTED_VALUE"""),"Sin precio neto")</f>
        <v>Sin precio neto</v>
      </c>
    </row>
    <row r="1118">
      <c r="A1118" s="4" t="str">
        <f>IFERROR(__xludf.DUMMYFUNCTION("""COMPUTED_VALUE"""),"0893B")</f>
        <v>0893B</v>
      </c>
      <c r="B1118" s="4" t="str">
        <f>IFERROR(__xludf.DUMMYFUNCTION("""COMPUTED_VALUE"""),"Adhesivo PVC Grupo 8 Líquidos combustibles 400x100 mm")</f>
        <v>Adhesivo PVC Grupo 8 Líquidos combustibles 400x100 mm</v>
      </c>
      <c r="C1118" s="4">
        <f>IFERROR(__xludf.DUMMYFUNCTION("""COMPUTED_VALUE"""),1.92)</f>
        <v>1.92</v>
      </c>
      <c r="D1118" s="4"/>
      <c r="E1118" s="4" t="str">
        <f>IFERROR(__xludf.DUMMYFUNCTION("""COMPUTED_VALUE"""),"Sin precio neto")</f>
        <v>Sin precio neto</v>
      </c>
    </row>
    <row r="1119">
      <c r="A1119" s="4" t="str">
        <f>IFERROR(__xludf.DUMMYFUNCTION("""COMPUTED_VALUE"""),"894")</f>
        <v>894</v>
      </c>
      <c r="B1119" s="4" t="str">
        <f>IFERROR(__xludf.DUMMYFUNCTION("""COMPUTED_VALUE"""),"Adhesivo PVC Grupo 8 Líquidos combustibles 100x25 mm B")</f>
        <v>Adhesivo PVC Grupo 8 Líquidos combustibles 100x25 mm B</v>
      </c>
      <c r="C1119" s="4">
        <f>IFERROR(__xludf.DUMMYFUNCTION("""COMPUTED_VALUE"""),0.96)</f>
        <v>0.96</v>
      </c>
      <c r="D1119" s="4"/>
      <c r="E1119" s="4" t="str">
        <f>IFERROR(__xludf.DUMMYFUNCTION("""COMPUTED_VALUE"""),"Sin precio neto")</f>
        <v>Sin precio neto</v>
      </c>
    </row>
    <row r="1120">
      <c r="A1120" s="4" t="str">
        <f>IFERROR(__xludf.DUMMYFUNCTION("""COMPUTED_VALUE"""),"0894A")</f>
        <v>0894A</v>
      </c>
      <c r="B1120" s="4" t="str">
        <f>IFERROR(__xludf.DUMMYFUNCTION("""COMPUTED_VALUE"""),"Adhesivo PVC Grupo 8 Líquidos combustibles 200x50 mm B")</f>
        <v>Adhesivo PVC Grupo 8 Líquidos combustibles 200x50 mm B</v>
      </c>
      <c r="C1120" s="4">
        <f>IFERROR(__xludf.DUMMYFUNCTION("""COMPUTED_VALUE"""),1.44)</f>
        <v>1.44</v>
      </c>
      <c r="D1120" s="4"/>
      <c r="E1120" s="4" t="str">
        <f>IFERROR(__xludf.DUMMYFUNCTION("""COMPUTED_VALUE"""),"Sin precio neto")</f>
        <v>Sin precio neto</v>
      </c>
    </row>
    <row r="1121">
      <c r="A1121" s="4" t="str">
        <f>IFERROR(__xludf.DUMMYFUNCTION("""COMPUTED_VALUE"""),"0894B")</f>
        <v>0894B</v>
      </c>
      <c r="B1121" s="4" t="str">
        <f>IFERROR(__xludf.DUMMYFUNCTION("""COMPUTED_VALUE"""),"Adhesivo PVC Grupo 8 Líquidos combustibles 400x100 mm")</f>
        <v>Adhesivo PVC Grupo 8 Líquidos combustibles 400x100 mm</v>
      </c>
      <c r="C1121" s="4">
        <f>IFERROR(__xludf.DUMMYFUNCTION("""COMPUTED_VALUE"""),1.92)</f>
        <v>1.92</v>
      </c>
      <c r="D1121" s="4"/>
      <c r="E1121" s="4" t="str">
        <f>IFERROR(__xludf.DUMMYFUNCTION("""COMPUTED_VALUE"""),"Sin precio neto")</f>
        <v>Sin precio neto</v>
      </c>
    </row>
    <row r="1122">
      <c r="A1122" s="4" t="str">
        <f>IFERROR(__xludf.DUMMYFUNCTION("""COMPUTED_VALUE"""),"895")</f>
        <v>895</v>
      </c>
      <c r="B1122" s="4" t="str">
        <f>IFERROR(__xludf.DUMMYFUNCTION("""COMPUTED_VALUE"""),"Adhesivo PVC Grupo 9 Líquidos no combustibles 100x25 mm")</f>
        <v>Adhesivo PVC Grupo 9 Líquidos no combustibles 100x25 mm</v>
      </c>
      <c r="C1122" s="4">
        <f>IFERROR(__xludf.DUMMYFUNCTION("""COMPUTED_VALUE"""),0.96)</f>
        <v>0.96</v>
      </c>
      <c r="D1122" s="4"/>
      <c r="E1122" s="4" t="str">
        <f>IFERROR(__xludf.DUMMYFUNCTION("""COMPUTED_VALUE"""),"Sin precio neto")</f>
        <v>Sin precio neto</v>
      </c>
    </row>
    <row r="1123">
      <c r="A1123" s="4" t="str">
        <f>IFERROR(__xludf.DUMMYFUNCTION("""COMPUTED_VALUE"""),"0895A")</f>
        <v>0895A</v>
      </c>
      <c r="B1123" s="4" t="str">
        <f>IFERROR(__xludf.DUMMYFUNCTION("""COMPUTED_VALUE"""),"Adhesivo PVC Grupo 9 Líquidos no combustibles 200x50 mm")</f>
        <v>Adhesivo PVC Grupo 9 Líquidos no combustibles 200x50 mm</v>
      </c>
      <c r="C1123" s="4">
        <f>IFERROR(__xludf.DUMMYFUNCTION("""COMPUTED_VALUE"""),1.44)</f>
        <v>1.44</v>
      </c>
      <c r="D1123" s="4"/>
      <c r="E1123" s="4" t="str">
        <f>IFERROR(__xludf.DUMMYFUNCTION("""COMPUTED_VALUE"""),"Sin precio neto")</f>
        <v>Sin precio neto</v>
      </c>
    </row>
    <row r="1124">
      <c r="A1124" s="4" t="str">
        <f>IFERROR(__xludf.DUMMYFUNCTION("""COMPUTED_VALUE"""),"0895B")</f>
        <v>0895B</v>
      </c>
      <c r="B1124" s="4" t="str">
        <f>IFERROR(__xludf.DUMMYFUNCTION("""COMPUTED_VALUE"""),"Adhesivo PVC Grupo 9 Líquidos no combustibles 400x100 mm")</f>
        <v>Adhesivo PVC Grupo 9 Líquidos no combustibles 400x100 mm</v>
      </c>
      <c r="C1124" s="4">
        <f>IFERROR(__xludf.DUMMYFUNCTION("""COMPUTED_VALUE"""),1.92)</f>
        <v>1.92</v>
      </c>
      <c r="D1124" s="4"/>
      <c r="E1124" s="4" t="str">
        <f>IFERROR(__xludf.DUMMYFUNCTION("""COMPUTED_VALUE"""),"Sin precio neto")</f>
        <v>Sin precio neto</v>
      </c>
    </row>
    <row r="1125">
      <c r="A1125" s="4" t="str">
        <f>IFERROR(__xludf.DUMMYFUNCTION("""COMPUTED_VALUE"""),"896")</f>
        <v>896</v>
      </c>
      <c r="B1125" s="4" t="str">
        <f>IFERROR(__xludf.DUMMYFUNCTION("""COMPUTED_VALUE"""),"Adhesivo PVC Grupo 9 Líquidos no combustibles 100x25 mm")</f>
        <v>Adhesivo PVC Grupo 9 Líquidos no combustibles 100x25 mm</v>
      </c>
      <c r="C1125" s="4">
        <f>IFERROR(__xludf.DUMMYFUNCTION("""COMPUTED_VALUE"""),0.96)</f>
        <v>0.96</v>
      </c>
      <c r="D1125" s="4"/>
      <c r="E1125" s="4" t="str">
        <f>IFERROR(__xludf.DUMMYFUNCTION("""COMPUTED_VALUE"""),"Sin precio neto")</f>
        <v>Sin precio neto</v>
      </c>
    </row>
    <row r="1126">
      <c r="A1126" s="4" t="str">
        <f>IFERROR(__xludf.DUMMYFUNCTION("""COMPUTED_VALUE"""),"0896A")</f>
        <v>0896A</v>
      </c>
      <c r="B1126" s="4" t="str">
        <f>IFERROR(__xludf.DUMMYFUNCTION("""COMPUTED_VALUE"""),"Adhesivo PVC Grupo 9 Líquidos no combustibles 200x50 mm")</f>
        <v>Adhesivo PVC Grupo 9 Líquidos no combustibles 200x50 mm</v>
      </c>
      <c r="C1126" s="4">
        <f>IFERROR(__xludf.DUMMYFUNCTION("""COMPUTED_VALUE"""),1.92)</f>
        <v>1.92</v>
      </c>
      <c r="D1126" s="4"/>
      <c r="E1126" s="4" t="str">
        <f>IFERROR(__xludf.DUMMYFUNCTION("""COMPUTED_VALUE"""),"Sin precio neto")</f>
        <v>Sin precio neto</v>
      </c>
    </row>
    <row r="1127">
      <c r="A1127" s="4" t="str">
        <f>IFERROR(__xludf.DUMMYFUNCTION("""COMPUTED_VALUE"""),"0896B")</f>
        <v>0896B</v>
      </c>
      <c r="B1127" s="4" t="str">
        <f>IFERROR(__xludf.DUMMYFUNCTION("""COMPUTED_VALUE"""),"Adhesivo PVC Grupo 9 Líquidos no combustibles 400x100 mm")</f>
        <v>Adhesivo PVC Grupo 9 Líquidos no combustibles 400x100 mm</v>
      </c>
      <c r="C1127" s="4">
        <f>IFERROR(__xludf.DUMMYFUNCTION("""COMPUTED_VALUE"""),1.92)</f>
        <v>1.92</v>
      </c>
      <c r="D1127" s="4"/>
      <c r="E1127" s="4" t="str">
        <f>IFERROR(__xludf.DUMMYFUNCTION("""COMPUTED_VALUE"""),"Sin precio neto")</f>
        <v>Sin precio neto</v>
      </c>
    </row>
    <row r="1128">
      <c r="A1128" s="4" t="str">
        <f>IFERROR(__xludf.DUMMYFUNCTION("""COMPUTED_VALUE"""),"1028/A/BAT")</f>
        <v>1028/A/BAT</v>
      </c>
      <c r="B1128" s="4" t="str">
        <f>IFERROR(__xludf.DUMMYFUNCTION("""COMPUTED_VALUE"""),"Baliza Powerflare azul c/cargador a 220v y 12 v")</f>
        <v>Baliza Powerflare azul c/cargador a 220v y 12 v</v>
      </c>
      <c r="C1128" s="4">
        <f>IFERROR(__xludf.DUMMYFUNCTION("""COMPUTED_VALUE"""),15.12)</f>
        <v>15.12</v>
      </c>
      <c r="D1128" s="4"/>
      <c r="E1128" s="4" t="str">
        <f>IFERROR(__xludf.DUMMYFUNCTION("""COMPUTED_VALUE"""),"Sin precio neto")</f>
        <v>Sin precio neto</v>
      </c>
    </row>
    <row r="1129">
      <c r="A1129" s="4" t="str">
        <f>IFERROR(__xludf.DUMMYFUNCTION("""COMPUTED_VALUE"""),"1028/AZUL")</f>
        <v>1028/AZUL</v>
      </c>
      <c r="B1129" s="4" t="str">
        <f>IFERROR(__xludf.DUMMYFUNCTION("""COMPUTED_VALUE"""),"Baliza powerflare azul ( repuesto )")</f>
        <v>Baliza powerflare azul ( repuesto )</v>
      </c>
      <c r="C1129" s="4">
        <f>IFERROR(__xludf.DUMMYFUNCTION("""COMPUTED_VALUE"""),9.072)</f>
        <v>9.072</v>
      </c>
      <c r="D1129" s="4"/>
      <c r="E1129" s="4" t="str">
        <f>IFERROR(__xludf.DUMMYFUNCTION("""COMPUTED_VALUE"""),"Sin precio neto")</f>
        <v>Sin precio neto</v>
      </c>
    </row>
    <row r="1130">
      <c r="A1130" s="4" t="str">
        <f>IFERROR(__xludf.DUMMYFUNCTION("""COMPUTED_VALUE"""),"1028/N/BAT")</f>
        <v>1028/N/BAT</v>
      </c>
      <c r="B1130" s="4" t="str">
        <f>IFERROR(__xludf.DUMMYFUNCTION("""COMPUTED_VALUE"""),"Baliza Powerflare naranja c/cargador a 220v y 12 v")</f>
        <v>Baliza Powerflare naranja c/cargador a 220v y 12 v</v>
      </c>
      <c r="C1130" s="4">
        <f>IFERROR(__xludf.DUMMYFUNCTION("""COMPUTED_VALUE"""),15.12)</f>
        <v>15.12</v>
      </c>
      <c r="D1130" s="4"/>
      <c r="E1130" s="4" t="str">
        <f>IFERROR(__xludf.DUMMYFUNCTION("""COMPUTED_VALUE"""),"Sin precio neto")</f>
        <v>Sin precio neto</v>
      </c>
    </row>
    <row r="1131">
      <c r="A1131" s="4" t="str">
        <f>IFERROR(__xludf.DUMMYFUNCTION("""COMPUTED_VALUE"""),"1028/NARANJA")</f>
        <v>1028/NARANJA</v>
      </c>
      <c r="B1131" s="4" t="str">
        <f>IFERROR(__xludf.DUMMYFUNCTION("""COMPUTED_VALUE"""),"Baliza powerflare naranja ( repuesto )")</f>
        <v>Baliza powerflare naranja ( repuesto )</v>
      </c>
      <c r="C1131" s="4">
        <f>IFERROR(__xludf.DUMMYFUNCTION("""COMPUTED_VALUE"""),9.072)</f>
        <v>9.072</v>
      </c>
      <c r="D1131" s="4"/>
      <c r="E1131" s="4" t="str">
        <f>IFERROR(__xludf.DUMMYFUNCTION("""COMPUTED_VALUE"""),"Sin precio neto")</f>
        <v>Sin precio neto</v>
      </c>
    </row>
    <row r="1132">
      <c r="A1132" s="4" t="str">
        <f>IFERROR(__xludf.DUMMYFUNCTION("""COMPUTED_VALUE"""),"1029")</f>
        <v>1029</v>
      </c>
      <c r="B1132" s="4" t="str">
        <f>IFERROR(__xludf.DUMMYFUNCTION("""COMPUTED_VALUE"""),"Maletín 6 uds baliza NARANJA led powerflare con cargador")</f>
        <v>Maletín 6 uds baliza NARANJA led powerflare con cargador</v>
      </c>
      <c r="C1132" s="4">
        <f>IFERROR(__xludf.DUMMYFUNCTION("""COMPUTED_VALUE"""),95.52)</f>
        <v>95.52</v>
      </c>
      <c r="D1132" s="4"/>
      <c r="E1132" s="4" t="str">
        <f>IFERROR(__xludf.DUMMYFUNCTION("""COMPUTED_VALUE"""),"Sin precio neto")</f>
        <v>Sin precio neto</v>
      </c>
    </row>
    <row r="1133">
      <c r="A1133" s="4" t="str">
        <f>IFERROR(__xludf.DUMMYFUNCTION("""COMPUTED_VALUE"""),"1029A")</f>
        <v>1029A</v>
      </c>
      <c r="B1133" s="4" t="str">
        <f>IFERROR(__xludf.DUMMYFUNCTION("""COMPUTED_VALUE"""),"Maletín 6 uds baliza AMARILLO led powerflare con cargador")</f>
        <v>Maletín 6 uds baliza AMARILLO led powerflare con cargador</v>
      </c>
      <c r="C1133" s="4">
        <f>IFERROR(__xludf.DUMMYFUNCTION("""COMPUTED_VALUE"""),95.52)</f>
        <v>95.52</v>
      </c>
      <c r="D1133" s="4"/>
      <c r="E1133" s="4" t="str">
        <f>IFERROR(__xludf.DUMMYFUNCTION("""COMPUTED_VALUE"""),"Sin precio neto")</f>
        <v>Sin precio neto</v>
      </c>
    </row>
    <row r="1134">
      <c r="A1134" s="4" t="str">
        <f>IFERROR(__xludf.DUMMYFUNCTION("""COMPUTED_VALUE"""),"1029Z")</f>
        <v>1029Z</v>
      </c>
      <c r="B1134" s="4" t="str">
        <f>IFERROR(__xludf.DUMMYFUNCTION("""COMPUTED_VALUE"""),"Maletín 6 uds baliza AZUL led powerflare con cargador")</f>
        <v>Maletín 6 uds baliza AZUL led powerflare con cargador</v>
      </c>
      <c r="C1134" s="4">
        <f>IFERROR(__xludf.DUMMYFUNCTION("""COMPUTED_VALUE"""),95.52)</f>
        <v>95.52</v>
      </c>
      <c r="D1134" s="4"/>
      <c r="E1134" s="4" t="str">
        <f>IFERROR(__xludf.DUMMYFUNCTION("""COMPUTED_VALUE"""),"Sin precio neto")</f>
        <v>Sin precio neto</v>
      </c>
    </row>
    <row r="1135">
      <c r="A1135" s="4" t="str">
        <f>IFERROR(__xludf.DUMMYFUNCTION("""COMPUTED_VALUE"""),"1030")</f>
        <v>1030</v>
      </c>
      <c r="B1135" s="4" t="str">
        <f>IFERROR(__xludf.DUMMYFUNCTION("""COMPUTED_VALUE"""),"Baliza LED azul intermitente")</f>
        <v>Baliza LED azul intermitente</v>
      </c>
      <c r="C1135" s="4">
        <f>IFERROR(__xludf.DUMMYFUNCTION("""COMPUTED_VALUE"""),6.144)</f>
        <v>6.144</v>
      </c>
      <c r="D1135" s="4"/>
      <c r="E1135" s="4" t="str">
        <f>IFERROR(__xludf.DUMMYFUNCTION("""COMPUTED_VALUE"""),"Sin precio neto")</f>
        <v>Sin precio neto</v>
      </c>
    </row>
    <row r="1136">
      <c r="A1136" s="4" t="str">
        <f>IFERROR(__xludf.DUMMYFUNCTION("""COMPUTED_VALUE"""),"1032")</f>
        <v>1032</v>
      </c>
      <c r="B1136" s="4" t="str">
        <f>IFERROR(__xludf.DUMMYFUNCTION("""COMPUTED_VALUE"""),"Baliza Señalizacion intermitente para 1 bateria")</f>
        <v>Baliza Señalizacion intermitente para 1 bateria</v>
      </c>
      <c r="C1136" s="4">
        <f>IFERROR(__xludf.DUMMYFUNCTION("""COMPUTED_VALUE"""),4.848)</f>
        <v>4.848</v>
      </c>
      <c r="D1136" s="4"/>
      <c r="E1136" s="4" t="str">
        <f>IFERROR(__xludf.DUMMYFUNCTION("""COMPUTED_VALUE"""),"Sin precio neto")</f>
        <v>Sin precio neto</v>
      </c>
    </row>
    <row r="1137">
      <c r="A1137" s="4" t="str">
        <f>IFERROR(__xludf.DUMMYFUNCTION("""COMPUTED_VALUE"""),"1033")</f>
        <v>1033</v>
      </c>
      <c r="B1137" s="4" t="str">
        <f>IFERROR(__xludf.DUMMYFUNCTION("""COMPUTED_VALUE"""),"Baliza Señalización Plus intermitente 2 baterías")</f>
        <v>Baliza Señalización Plus intermitente 2 baterías</v>
      </c>
      <c r="C1137" s="4">
        <f>IFERROR(__xludf.DUMMYFUNCTION("""COMPUTED_VALUE"""),6.691199999999999)</f>
        <v>6.6912</v>
      </c>
      <c r="D1137" s="4">
        <f>IFERROR(__xludf.DUMMYFUNCTION("""COMPUTED_VALUE"""),5.55)</f>
        <v>5.55</v>
      </c>
      <c r="E1137" s="4" t="str">
        <f>IFERROR(__xludf.DUMMYFUNCTION("""COMPUTED_VALUE"""),"Neto: 5,55 € (a partir de 12 uds.)")</f>
        <v>Neto: 5,55 € (a partir de 12 uds.)</v>
      </c>
    </row>
    <row r="1138">
      <c r="A1138" s="4" t="str">
        <f>IFERROR(__xludf.DUMMYFUNCTION("""COMPUTED_VALUE"""),"1033/B")</f>
        <v>1033/B</v>
      </c>
      <c r="B1138" s="4" t="str">
        <f>IFERROR(__xludf.DUMMYFUNCTION("""COMPUTED_VALUE"""),"Baliza Señalizacion Basic intermitente 2 baterias")</f>
        <v>Baliza Señalizacion Basic intermitente 2 baterias</v>
      </c>
      <c r="C1138" s="4">
        <f>IFERROR(__xludf.DUMMYFUNCTION("""COMPUTED_VALUE"""),5.664)</f>
        <v>5.664</v>
      </c>
      <c r="D1138" s="4">
        <f>IFERROR(__xludf.DUMMYFUNCTION("""COMPUTED_VALUE"""),4.8)</f>
        <v>4.8</v>
      </c>
      <c r="E1138" s="4" t="str">
        <f>IFERROR(__xludf.DUMMYFUNCTION("""COMPUTED_VALUE"""),"Neto: 4,80 € (a partir de 12 uds.)")</f>
        <v>Neto: 4,80 € (a partir de 12 uds.)</v>
      </c>
    </row>
    <row r="1139">
      <c r="A1139" s="4" t="str">
        <f>IFERROR(__xludf.DUMMYFUNCTION("""COMPUTED_VALUE"""),"1033E")</f>
        <v>1033E</v>
      </c>
      <c r="B1139" s="4" t="str">
        <f>IFERROR(__xludf.DUMMYFUNCTION("""COMPUTED_VALUE"""),"Baliza intermitente Euroflash naranja")</f>
        <v>Baliza intermitente Euroflash naranja</v>
      </c>
      <c r="C1139" s="4">
        <f>IFERROR(__xludf.DUMMYFUNCTION("""COMPUTED_VALUE"""),6.96)</f>
        <v>6.96</v>
      </c>
      <c r="D1139" s="4"/>
      <c r="E1139" s="4" t="str">
        <f>IFERROR(__xludf.DUMMYFUNCTION("""COMPUTED_VALUE"""),"Sin precio neto")</f>
        <v>Sin precio neto</v>
      </c>
    </row>
    <row r="1140">
      <c r="A1140" s="4" t="str">
        <f>IFERROR(__xludf.DUMMYFUNCTION("""COMPUTED_VALUE"""),"1033V")</f>
        <v>1033V</v>
      </c>
      <c r="B1140" s="4" t="str">
        <f>IFERROR(__xludf.DUMMYFUNCTION("""COMPUTED_VALUE"""),"Baliza Señalización Plus intermitente 2 baterías VERDE")</f>
        <v>Baliza Señalización Plus intermitente 2 baterías VERDE</v>
      </c>
      <c r="C1140" s="4">
        <f>IFERROR(__xludf.DUMMYFUNCTION("""COMPUTED_VALUE"""),6.672)</f>
        <v>6.672</v>
      </c>
      <c r="D1140" s="4"/>
      <c r="E1140" s="4" t="str">
        <f>IFERROR(__xludf.DUMMYFUNCTION("""COMPUTED_VALUE"""),"Sin precio neto")</f>
        <v>Sin precio neto</v>
      </c>
    </row>
    <row r="1141">
      <c r="A1141" s="4" t="str">
        <f>IFERROR(__xludf.DUMMYFUNCTION("""COMPUTED_VALUE"""),"1034")</f>
        <v>1034</v>
      </c>
      <c r="B1141" s="4" t="str">
        <f>IFERROR(__xludf.DUMMYFUNCTION("""COMPUTED_VALUE"""),"Bateria baliza 6V 4R25 7 Ah. Alta Capacidad")</f>
        <v>Bateria baliza 6V 4R25 7 Ah. Alta Capacidad</v>
      </c>
      <c r="C1141" s="4">
        <f>IFERROR(__xludf.DUMMYFUNCTION("""COMPUTED_VALUE"""),1.8143999999999998)</f>
        <v>1.8144</v>
      </c>
      <c r="D1141" s="4">
        <f>IFERROR(__xludf.DUMMYFUNCTION("""COMPUTED_VALUE"""),1.5)</f>
        <v>1.5</v>
      </c>
      <c r="E1141" s="4" t="str">
        <f>IFERROR(__xludf.DUMMYFUNCTION("""COMPUTED_VALUE"""),"Neto: 1,50 € (a partir de 24 uds.)")</f>
        <v>Neto: 1,50 € (a partir de 24 uds.)</v>
      </c>
    </row>
    <row r="1142">
      <c r="A1142" s="4" t="str">
        <f>IFERROR(__xludf.DUMMYFUNCTION("""COMPUTED_VALUE"""),"1034G")</f>
        <v>1034G</v>
      </c>
      <c r="B1142" s="4" t="str">
        <f>IFERROR(__xludf.DUMMYFUNCTION("""COMPUTED_VALUE"""),"Bateria baliza 6v 25 Ah")</f>
        <v>Bateria baliza 6v 25 Ah</v>
      </c>
      <c r="C1142" s="4">
        <f>IFERROR(__xludf.DUMMYFUNCTION("""COMPUTED_VALUE"""),10.08)</f>
        <v>10.08</v>
      </c>
      <c r="D1142" s="4"/>
      <c r="E1142" s="4" t="str">
        <f>IFERROR(__xludf.DUMMYFUNCTION("""COMPUTED_VALUE"""),"Sin precio neto")</f>
        <v>Sin precio neto</v>
      </c>
    </row>
    <row r="1143">
      <c r="A1143" s="4" t="str">
        <f>IFERROR(__xludf.DUMMYFUNCTION("""COMPUTED_VALUE"""),"1035")</f>
        <v>1035</v>
      </c>
      <c r="B1143" s="4" t="str">
        <f>IFERROR(__xludf.DUMMYFUNCTION("""COMPUTED_VALUE"""),"Baliza Señalizacion flash-Led doble cara")</f>
        <v>Baliza Señalizacion flash-Led doble cara</v>
      </c>
      <c r="C1143" s="4">
        <f>IFERROR(__xludf.DUMMYFUNCTION("""COMPUTED_VALUE"""),21.36)</f>
        <v>21.36</v>
      </c>
      <c r="D1143" s="4"/>
      <c r="E1143" s="4" t="str">
        <f>IFERROR(__xludf.DUMMYFUNCTION("""COMPUTED_VALUE"""),"Sin precio neto")</f>
        <v>Sin precio neto</v>
      </c>
    </row>
    <row r="1144">
      <c r="A1144" s="4" t="str">
        <f>IFERROR(__xludf.DUMMYFUNCTION("""COMPUTED_VALUE"""),"1036")</f>
        <v>1036</v>
      </c>
      <c r="B1144" s="4" t="str">
        <f>IFERROR(__xludf.DUMMYFUNCTION("""COMPUTED_VALUE"""),"Baliza Señalización luz roja VEGA")</f>
        <v>Baliza Señalización luz roja VEGA</v>
      </c>
      <c r="C1144" s="4">
        <f>IFERROR(__xludf.DUMMYFUNCTION("""COMPUTED_VALUE"""),7.68)</f>
        <v>7.68</v>
      </c>
      <c r="D1144" s="4"/>
      <c r="E1144" s="4" t="str">
        <f>IFERROR(__xludf.DUMMYFUNCTION("""COMPUTED_VALUE"""),"Sin precio neto")</f>
        <v>Sin precio neto</v>
      </c>
    </row>
    <row r="1145">
      <c r="A1145" s="4" t="str">
        <f>IFERROR(__xludf.DUMMYFUNCTION("""COMPUTED_VALUE"""),"1037")</f>
        <v>1037</v>
      </c>
      <c r="B1145" s="4" t="str">
        <f>IFERROR(__xludf.DUMMYFUNCTION("""COMPUTED_VALUE"""),"Baliza Señalizacion solar")</f>
        <v>Baliza Señalizacion solar</v>
      </c>
      <c r="C1145" s="4">
        <f>IFERROR(__xludf.DUMMYFUNCTION("""COMPUTED_VALUE"""),14.304)</f>
        <v>14.304</v>
      </c>
      <c r="D1145" s="4"/>
      <c r="E1145" s="4" t="str">
        <f>IFERROR(__xludf.DUMMYFUNCTION("""COMPUTED_VALUE"""),"Sin precio neto")</f>
        <v>Sin precio neto</v>
      </c>
    </row>
    <row r="1146">
      <c r="A1146" s="4" t="str">
        <f>IFERROR(__xludf.DUMMYFUNCTION("""COMPUTED_VALUE"""),"1122B")</f>
        <v>1122B</v>
      </c>
      <c r="B1146" s="4" t="str">
        <f>IFERROR(__xludf.DUMMYFUNCTION("""COMPUTED_VALUE"""),"Barrera mediana HOG600 Blanca 560x1130x400 mm")</f>
        <v>Barrera mediana HOG600 Blanca 560x1130x400 mm</v>
      </c>
      <c r="C1146" s="4">
        <f>IFERROR(__xludf.DUMMYFUNCTION("""COMPUTED_VALUE"""),44.16)</f>
        <v>44.16</v>
      </c>
      <c r="D1146" s="4"/>
      <c r="E1146" s="4" t="str">
        <f>IFERROR(__xludf.DUMMYFUNCTION("""COMPUTED_VALUE"""),"Sin precio neto")</f>
        <v>Sin precio neto</v>
      </c>
    </row>
    <row r="1147">
      <c r="A1147" s="4" t="str">
        <f>IFERROR(__xludf.DUMMYFUNCTION("""COMPUTED_VALUE"""),"1122R")</f>
        <v>1122R</v>
      </c>
      <c r="B1147" s="4" t="str">
        <f>IFERROR(__xludf.DUMMYFUNCTION("""COMPUTED_VALUE"""),"Barrera mediana HOG600 Roja 560x1130x400 mm")</f>
        <v>Barrera mediana HOG600 Roja 560x1130x400 mm</v>
      </c>
      <c r="C1147" s="4">
        <f>IFERROR(__xludf.DUMMYFUNCTION("""COMPUTED_VALUE"""),44.16)</f>
        <v>44.16</v>
      </c>
      <c r="D1147" s="4"/>
      <c r="E1147" s="4" t="str">
        <f>IFERROR(__xludf.DUMMYFUNCTION("""COMPUTED_VALUE"""),"Sin precio neto")</f>
        <v>Sin precio neto</v>
      </c>
    </row>
    <row r="1148">
      <c r="A1148" s="4" t="str">
        <f>IFERROR(__xludf.DUMMYFUNCTION("""COMPUTED_VALUE"""),"1123")</f>
        <v>1123</v>
      </c>
      <c r="B1148" s="4" t="str">
        <f>IFERROR(__xludf.DUMMYFUNCTION("""COMPUTED_VALUE"""),"Mts. Cadena plástico 10 m/m R/B")</f>
        <v>Mts. Cadena plástico 10 m/m R/B</v>
      </c>
      <c r="C1148" s="4">
        <f>IFERROR(__xludf.DUMMYFUNCTION("""COMPUTED_VALUE"""),1.008)</f>
        <v>1.008</v>
      </c>
      <c r="D1148" s="4"/>
      <c r="E1148" s="4" t="str">
        <f>IFERROR(__xludf.DUMMYFUNCTION("""COMPUTED_VALUE"""),"Sin precio neto")</f>
        <v>Sin precio neto</v>
      </c>
    </row>
    <row r="1149">
      <c r="A1149" s="4" t="str">
        <f>IFERROR(__xludf.DUMMYFUNCTION("""COMPUTED_VALUE"""),"1124")</f>
        <v>1124</v>
      </c>
      <c r="B1149" s="4" t="str">
        <f>IFERROR(__xludf.DUMMYFUNCTION("""COMPUTED_VALUE"""),"Mts. Cadena plástico 10 m/m N/A")</f>
        <v>Mts. Cadena plástico 10 m/m N/A</v>
      </c>
      <c r="C1149" s="4">
        <f>IFERROR(__xludf.DUMMYFUNCTION("""COMPUTED_VALUE"""),1.008)</f>
        <v>1.008</v>
      </c>
      <c r="D1149" s="4"/>
      <c r="E1149" s="4" t="str">
        <f>IFERROR(__xludf.DUMMYFUNCTION("""COMPUTED_VALUE"""),"Sin precio neto")</f>
        <v>Sin precio neto</v>
      </c>
    </row>
    <row r="1150">
      <c r="A1150" s="4" t="str">
        <f>IFERROR(__xludf.DUMMYFUNCTION("""COMPUTED_VALUE"""),"1125")</f>
        <v>1125</v>
      </c>
      <c r="B1150" s="4" t="str">
        <f>IFERROR(__xludf.DUMMYFUNCTION("""COMPUTED_VALUE"""),"Poste señaliz. 1 m Rojo/Blanco p/cadena plastica")</f>
        <v>Poste señaliz. 1 m Rojo/Blanco p/cadena plastica</v>
      </c>
      <c r="C1150" s="4">
        <f>IFERROR(__xludf.DUMMYFUNCTION("""COMPUTED_VALUE"""),6.192)</f>
        <v>6.192</v>
      </c>
      <c r="D1150" s="4">
        <f>IFERROR(__xludf.DUMMYFUNCTION("""COMPUTED_VALUE"""),5.5)</f>
        <v>5.5</v>
      </c>
      <c r="E1150" s="4" t="str">
        <f>IFERROR(__xludf.DUMMYFUNCTION("""COMPUTED_VALUE"""),"Neto: 5,50 € (a partir de 10 uds.)")</f>
        <v>Neto: 5,50 € (a partir de 10 uds.)</v>
      </c>
    </row>
    <row r="1151">
      <c r="A1151" s="4" t="str">
        <f>IFERROR(__xludf.DUMMYFUNCTION("""COMPUTED_VALUE"""),"1125AN")</f>
        <v>1125AN</v>
      </c>
      <c r="B1151" s="4" t="str">
        <f>IFERROR(__xludf.DUMMYFUNCTION("""COMPUTED_VALUE"""),"Poste señaliz. 1 m Amarillo/negro p/cadena plastica")</f>
        <v>Poste señaliz. 1 m Amarillo/negro p/cadena plastica</v>
      </c>
      <c r="C1151" s="4">
        <f>IFERROR(__xludf.DUMMYFUNCTION("""COMPUTED_VALUE"""),6.192)</f>
        <v>6.192</v>
      </c>
      <c r="D1151" s="4">
        <f>IFERROR(__xludf.DUMMYFUNCTION("""COMPUTED_VALUE"""),5.5)</f>
        <v>5.5</v>
      </c>
      <c r="E1151" s="4" t="str">
        <f>IFERROR(__xludf.DUMMYFUNCTION("""COMPUTED_VALUE"""),"Neto: 5,50 € (a partir de 10 uds.)")</f>
        <v>Neto: 5,50 € (a partir de 10 uds.)</v>
      </c>
    </row>
    <row r="1152">
      <c r="A1152" s="4" t="str">
        <f>IFERROR(__xludf.DUMMYFUNCTION("""COMPUTED_VALUE"""),"1125BZ")</f>
        <v>1125BZ</v>
      </c>
      <c r="B1152" s="4" t="str">
        <f>IFERROR(__xludf.DUMMYFUNCTION("""COMPUTED_VALUE"""),"Poste señaliz. 1 m Azul/Blanco p/cadena plastica")</f>
        <v>Poste señaliz. 1 m Azul/Blanco p/cadena plastica</v>
      </c>
      <c r="C1152" s="4">
        <f>IFERROR(__xludf.DUMMYFUNCTION("""COMPUTED_VALUE"""),6.192)</f>
        <v>6.192</v>
      </c>
      <c r="D1152" s="4">
        <f>IFERROR(__xludf.DUMMYFUNCTION("""COMPUTED_VALUE"""),5.5)</f>
        <v>5.5</v>
      </c>
      <c r="E1152" s="4" t="str">
        <f>IFERROR(__xludf.DUMMYFUNCTION("""COMPUTED_VALUE"""),"Neto: 5,50 € (a partir de 10 uds.)")</f>
        <v>Neto: 5,50 € (a partir de 10 uds.)</v>
      </c>
    </row>
    <row r="1153">
      <c r="A1153" s="4" t="str">
        <f>IFERROR(__xludf.DUMMYFUNCTION("""COMPUTED_VALUE"""),"1125VB")</f>
        <v>1125VB</v>
      </c>
      <c r="B1153" s="4" t="str">
        <f>IFERROR(__xludf.DUMMYFUNCTION("""COMPUTED_VALUE"""),"Poste señaliz. 1 m Verde/Blanco p/cadena plastica")</f>
        <v>Poste señaliz. 1 m Verde/Blanco p/cadena plastica</v>
      </c>
      <c r="C1153" s="4">
        <f>IFERROR(__xludf.DUMMYFUNCTION("""COMPUTED_VALUE"""),6.192)</f>
        <v>6.192</v>
      </c>
      <c r="D1153" s="4">
        <f>IFERROR(__xludf.DUMMYFUNCTION("""COMPUTED_VALUE"""),5.5)</f>
        <v>5.5</v>
      </c>
      <c r="E1153" s="4" t="str">
        <f>IFERROR(__xludf.DUMMYFUNCTION("""COMPUTED_VALUE"""),"Neto: 5,50 € (a partir de 10 uds.)")</f>
        <v>Neto: 5,50 € (a partir de 10 uds.)</v>
      </c>
    </row>
    <row r="1154">
      <c r="A1154" s="4" t="str">
        <f>IFERROR(__xludf.DUMMYFUNCTION("""COMPUTED_VALUE"""),"1126")</f>
        <v>1126</v>
      </c>
      <c r="B1154" s="4" t="str">
        <f>IFERROR(__xludf.DUMMYFUNCTION("""COMPUTED_VALUE"""),"Mts. Cadena Plástico 5.5 m/m R/B")</f>
        <v>Mts. Cadena Plástico 5.5 m/m R/B</v>
      </c>
      <c r="C1154" s="4">
        <f>IFERROR(__xludf.DUMMYFUNCTION("""COMPUTED_VALUE"""),0.624)</f>
        <v>0.624</v>
      </c>
      <c r="D1154" s="4">
        <f>IFERROR(__xludf.DUMMYFUNCTION("""COMPUTED_VALUE"""),0.6)</f>
        <v>0.6</v>
      </c>
      <c r="E1154" s="4" t="str">
        <f>IFERROR(__xludf.DUMMYFUNCTION("""COMPUTED_VALUE"""),"Neto: 0,60 € (a partir de 200 uds.)")</f>
        <v>Neto: 0,60 € (a partir de 200 uds.)</v>
      </c>
    </row>
    <row r="1155">
      <c r="A1155" s="4" t="str">
        <f>IFERROR(__xludf.DUMMYFUNCTION("""COMPUTED_VALUE"""),"1126B")</f>
        <v>1126B</v>
      </c>
      <c r="B1155" s="4" t="str">
        <f>IFERROR(__xludf.DUMMYFUNCTION("""COMPUTED_VALUE"""),"Mts. cadena Plástico 5.5 mm Blanca")</f>
        <v>Mts. cadena Plástico 5.5 mm Blanca</v>
      </c>
      <c r="C1155" s="4">
        <f>IFERROR(__xludf.DUMMYFUNCTION("""COMPUTED_VALUE"""),0.624)</f>
        <v>0.624</v>
      </c>
      <c r="D1155" s="4">
        <f>IFERROR(__xludf.DUMMYFUNCTION("""COMPUTED_VALUE"""),0.6)</f>
        <v>0.6</v>
      </c>
      <c r="E1155" s="4" t="str">
        <f>IFERROR(__xludf.DUMMYFUNCTION("""COMPUTED_VALUE"""),"Neto: 0,60 € (a partir de 200 uds.)")</f>
        <v>Neto: 0,60 € (a partir de 200 uds.)</v>
      </c>
    </row>
    <row r="1156">
      <c r="A1156" s="4" t="str">
        <f>IFERROR(__xludf.DUMMYFUNCTION("""COMPUTED_VALUE"""),"1126BZ")</f>
        <v>1126BZ</v>
      </c>
      <c r="B1156" s="4" t="str">
        <f>IFERROR(__xludf.DUMMYFUNCTION("""COMPUTED_VALUE"""),"Mts. Cadena Plástico 5.5 m/m B/Z")</f>
        <v>Mts. Cadena Plástico 5.5 m/m B/Z</v>
      </c>
      <c r="C1156" s="4">
        <f>IFERROR(__xludf.DUMMYFUNCTION("""COMPUTED_VALUE"""),0.624)</f>
        <v>0.624</v>
      </c>
      <c r="D1156" s="4">
        <f>IFERROR(__xludf.DUMMYFUNCTION("""COMPUTED_VALUE"""),0.6)</f>
        <v>0.6</v>
      </c>
      <c r="E1156" s="4" t="str">
        <f>IFERROR(__xludf.DUMMYFUNCTION("""COMPUTED_VALUE"""),"Neto: 0,60 € (a partir de 200 uds.)")</f>
        <v>Neto: 0,60 € (a partir de 200 uds.)</v>
      </c>
    </row>
    <row r="1157">
      <c r="A1157" s="4" t="str">
        <f>IFERROR(__xludf.DUMMYFUNCTION("""COMPUTED_VALUE"""),"1126M3")</f>
        <v>1126M3</v>
      </c>
      <c r="B1157" s="4" t="str">
        <f>IFERROR(__xludf.DUMMYFUNCTION("""COMPUTED_VALUE"""),"Rollo 165 m cadena metálica señalización cincada 3 mm")</f>
        <v>Rollo 165 m cadena metálica señalización cincada 3 mm</v>
      </c>
      <c r="C1157" s="4">
        <f>IFERROR(__xludf.DUMMYFUNCTION("""COMPUTED_VALUE"""),113.39999999999999)</f>
        <v>113.4</v>
      </c>
      <c r="D1157" s="4"/>
      <c r="E1157" s="4" t="str">
        <f>IFERROR(__xludf.DUMMYFUNCTION("""COMPUTED_VALUE"""),"Sin precio neto")</f>
        <v>Sin precio neto</v>
      </c>
    </row>
    <row r="1158">
      <c r="A1158" s="4" t="str">
        <f>IFERROR(__xludf.DUMMYFUNCTION("""COMPUTED_VALUE"""),"1126M6")</f>
        <v>1126M6</v>
      </c>
      <c r="B1158" s="4" t="str">
        <f>IFERROR(__xludf.DUMMYFUNCTION("""COMPUTED_VALUE"""),"Rollo 38 m cadena metálica señalización cincada 6 mm")</f>
        <v>Rollo 38 m cadena metálica señalización cincada 6 mm</v>
      </c>
      <c r="C1158" s="4">
        <f>IFERROR(__xludf.DUMMYFUNCTION("""COMPUTED_VALUE"""),95.03999999999999)</f>
        <v>95.04</v>
      </c>
      <c r="D1158" s="4"/>
      <c r="E1158" s="4" t="str">
        <f>IFERROR(__xludf.DUMMYFUNCTION("""COMPUTED_VALUE"""),"Sin precio neto")</f>
        <v>Sin precio neto</v>
      </c>
    </row>
    <row r="1159">
      <c r="A1159" s="4" t="str">
        <f>IFERROR(__xludf.DUMMYFUNCTION("""COMPUTED_VALUE"""),"1126M8")</f>
        <v>1126M8</v>
      </c>
      <c r="B1159" s="4" t="str">
        <f>IFERROR(__xludf.DUMMYFUNCTION("""COMPUTED_VALUE"""),"Rollo 21 m cadena metálica señalización cincada 8 mm")</f>
        <v>Rollo 21 m cadena metálica señalización cincada 8 mm</v>
      </c>
      <c r="C1159" s="4">
        <f>IFERROR(__xludf.DUMMYFUNCTION("""COMPUTED_VALUE"""),88.8)</f>
        <v>88.8</v>
      </c>
      <c r="D1159" s="4"/>
      <c r="E1159" s="4" t="str">
        <f>IFERROR(__xludf.DUMMYFUNCTION("""COMPUTED_VALUE"""),"Sin precio neto")</f>
        <v>Sin precio neto</v>
      </c>
    </row>
    <row r="1160">
      <c r="A1160" s="4" t="str">
        <f>IFERROR(__xludf.DUMMYFUNCTION("""COMPUTED_VALUE"""),"1126MNA")</f>
        <v>1126MNA</v>
      </c>
      <c r="B1160" s="4" t="str">
        <f>IFERROR(__xludf.DUMMYFUNCTION("""COMPUTED_VALUE"""),"Rollo 25 m cadena metálica Señalización pintada")</f>
        <v>Rollo 25 m cadena metálica Señalización pintada</v>
      </c>
      <c r="C1160" s="4">
        <f>IFERROR(__xludf.DUMMYFUNCTION("""COMPUTED_VALUE"""),86.39999999999999)</f>
        <v>86.4</v>
      </c>
      <c r="D1160" s="4"/>
      <c r="E1160" s="4" t="str">
        <f>IFERROR(__xludf.DUMMYFUNCTION("""COMPUTED_VALUE"""),"Sin precio neto")</f>
        <v>Sin precio neto</v>
      </c>
    </row>
    <row r="1161">
      <c r="A1161" s="4" t="str">
        <f>IFERROR(__xludf.DUMMYFUNCTION("""COMPUTED_VALUE"""),"1126MRB")</f>
        <v>1126MRB</v>
      </c>
      <c r="B1161" s="4" t="str">
        <f>IFERROR(__xludf.DUMMYFUNCTION("""COMPUTED_VALUE"""),"Rollo 25 m cadena metálica Señalización pintada")</f>
        <v>Rollo 25 m cadena metálica Señalización pintada</v>
      </c>
      <c r="C1161" s="4">
        <f>IFERROR(__xludf.DUMMYFUNCTION("""COMPUTED_VALUE"""),86.39999999999999)</f>
        <v>86.4</v>
      </c>
      <c r="D1161" s="4"/>
      <c r="E1161" s="4" t="str">
        <f>IFERROR(__xludf.DUMMYFUNCTION("""COMPUTED_VALUE"""),"Sin precio neto")</f>
        <v>Sin precio neto</v>
      </c>
    </row>
    <row r="1162">
      <c r="A1162" s="4" t="str">
        <f>IFERROR(__xludf.DUMMYFUNCTION("""COMPUTED_VALUE"""),"1126V")</f>
        <v>1126V</v>
      </c>
      <c r="B1162" s="4" t="str">
        <f>IFERROR(__xludf.DUMMYFUNCTION("""COMPUTED_VALUE"""),"Mts. Cadena Plástico 5.5 mm Verde")</f>
        <v>Mts. Cadena Plástico 5.5 mm Verde</v>
      </c>
      <c r="C1162" s="4">
        <f>IFERROR(__xludf.DUMMYFUNCTION("""COMPUTED_VALUE"""),0.624)</f>
        <v>0.624</v>
      </c>
      <c r="D1162" s="4">
        <f>IFERROR(__xludf.DUMMYFUNCTION("""COMPUTED_VALUE"""),0.6)</f>
        <v>0.6</v>
      </c>
      <c r="E1162" s="4" t="str">
        <f>IFERROR(__xludf.DUMMYFUNCTION("""COMPUTED_VALUE"""),"Neto: 0,60 € (a partir de 200 uds.)")</f>
        <v>Neto: 0,60 € (a partir de 200 uds.)</v>
      </c>
    </row>
    <row r="1163">
      <c r="A1163" s="4" t="str">
        <f>IFERROR(__xludf.DUMMYFUNCTION("""COMPUTED_VALUE"""),"1126VB")</f>
        <v>1126VB</v>
      </c>
      <c r="B1163" s="4" t="str">
        <f>IFERROR(__xludf.DUMMYFUNCTION("""COMPUTED_VALUE"""),"Mts. Cadena Plástico 5.5 mm V/B")</f>
        <v>Mts. Cadena Plástico 5.5 mm V/B</v>
      </c>
      <c r="C1163" s="4">
        <f>IFERROR(__xludf.DUMMYFUNCTION("""COMPUTED_VALUE"""),0.624)</f>
        <v>0.624</v>
      </c>
      <c r="D1163" s="4">
        <f>IFERROR(__xludf.DUMMYFUNCTION("""COMPUTED_VALUE"""),0.6)</f>
        <v>0.6</v>
      </c>
      <c r="E1163" s="4" t="str">
        <f>IFERROR(__xludf.DUMMYFUNCTION("""COMPUTED_VALUE"""),"Neto: 0,60 € (a partir de 200 uds.)")</f>
        <v>Neto: 0,60 € (a partir de 200 uds.)</v>
      </c>
    </row>
    <row r="1164">
      <c r="A1164" s="4" t="str">
        <f>IFERROR(__xludf.DUMMYFUNCTION("""COMPUTED_VALUE"""),"1127")</f>
        <v>1127</v>
      </c>
      <c r="B1164" s="4" t="str">
        <f>IFERROR(__xludf.DUMMYFUNCTION("""COMPUTED_VALUE"""),"Mts. Cadena plastico 7.5 mm R/B")</f>
        <v>Mts. Cadena plastico 7.5 mm R/B</v>
      </c>
      <c r="C1164" s="4">
        <f>IFERROR(__xludf.DUMMYFUNCTION("""COMPUTED_VALUE"""),0.7488)</f>
        <v>0.7488</v>
      </c>
      <c r="D1164" s="4">
        <f>IFERROR(__xludf.DUMMYFUNCTION("""COMPUTED_VALUE"""),0.7)</f>
        <v>0.7</v>
      </c>
      <c r="E1164" s="4" t="str">
        <f>IFERROR(__xludf.DUMMYFUNCTION("""COMPUTED_VALUE"""),"Neto: 0,70 € (a partir de 100 uds.)")</f>
        <v>Neto: 0,70 € (a partir de 100 uds.)</v>
      </c>
    </row>
    <row r="1165">
      <c r="A1165" s="4" t="str">
        <f>IFERROR(__xludf.DUMMYFUNCTION("""COMPUTED_VALUE"""),"1127B")</f>
        <v>1127B</v>
      </c>
      <c r="B1165" s="4" t="str">
        <f>IFERROR(__xludf.DUMMYFUNCTION("""COMPUTED_VALUE"""),"Mts. cadena Plástico 7.5 mm Blanca")</f>
        <v>Mts. cadena Plástico 7.5 mm Blanca</v>
      </c>
      <c r="C1165" s="4">
        <f>IFERROR(__xludf.DUMMYFUNCTION("""COMPUTED_VALUE"""),0.7488)</f>
        <v>0.7488</v>
      </c>
      <c r="D1165" s="4">
        <f>IFERROR(__xludf.DUMMYFUNCTION("""COMPUTED_VALUE"""),0.7)</f>
        <v>0.7</v>
      </c>
      <c r="E1165" s="4" t="str">
        <f>IFERROR(__xludf.DUMMYFUNCTION("""COMPUTED_VALUE"""),"Neto: 0,70 € (a partir de 100 uds.)")</f>
        <v>Neto: 0,70 € (a partir de 100 uds.)</v>
      </c>
    </row>
    <row r="1166">
      <c r="A1166" s="4" t="str">
        <f>IFERROR(__xludf.DUMMYFUNCTION("""COMPUTED_VALUE"""),"1127BZ")</f>
        <v>1127BZ</v>
      </c>
      <c r="B1166" s="4" t="str">
        <f>IFERROR(__xludf.DUMMYFUNCTION("""COMPUTED_VALUE"""),"Mts. Cadena Plástico 7.5 mm B/Z")</f>
        <v>Mts. Cadena Plástico 7.5 mm B/Z</v>
      </c>
      <c r="C1166" s="4">
        <f>IFERROR(__xludf.DUMMYFUNCTION("""COMPUTED_VALUE"""),0.7488)</f>
        <v>0.7488</v>
      </c>
      <c r="D1166" s="4">
        <f>IFERROR(__xludf.DUMMYFUNCTION("""COMPUTED_VALUE"""),0.7)</f>
        <v>0.7</v>
      </c>
      <c r="E1166" s="4" t="str">
        <f>IFERROR(__xludf.DUMMYFUNCTION("""COMPUTED_VALUE"""),"Neto: 0,70 € (a partir de 100 uds.)")</f>
        <v>Neto: 0,70 € (a partir de 100 uds.)</v>
      </c>
    </row>
    <row r="1167">
      <c r="A1167" s="4" t="str">
        <f>IFERROR(__xludf.DUMMYFUNCTION("""COMPUTED_VALUE"""),"1127V")</f>
        <v>1127V</v>
      </c>
      <c r="B1167" s="4" t="str">
        <f>IFERROR(__xludf.DUMMYFUNCTION("""COMPUTED_VALUE"""),"Mts. cadena Plástico 7.5 mm Verde")</f>
        <v>Mts. cadena Plástico 7.5 mm Verde</v>
      </c>
      <c r="C1167" s="4">
        <f>IFERROR(__xludf.DUMMYFUNCTION("""COMPUTED_VALUE"""),0.7488)</f>
        <v>0.7488</v>
      </c>
      <c r="D1167" s="4">
        <f>IFERROR(__xludf.DUMMYFUNCTION("""COMPUTED_VALUE"""),0.7)</f>
        <v>0.7</v>
      </c>
      <c r="E1167" s="4" t="str">
        <f>IFERROR(__xludf.DUMMYFUNCTION("""COMPUTED_VALUE"""),"Neto: 0,70 € (a partir de 100 uds.)")</f>
        <v>Neto: 0,70 € (a partir de 100 uds.)</v>
      </c>
    </row>
    <row r="1168">
      <c r="A1168" s="4" t="str">
        <f>IFERROR(__xludf.DUMMYFUNCTION("""COMPUTED_VALUE"""),"1127VB")</f>
        <v>1127VB</v>
      </c>
      <c r="B1168" s="4" t="str">
        <f>IFERROR(__xludf.DUMMYFUNCTION("""COMPUTED_VALUE"""),"Mts. Cadena Plástico 7.5 mm V/B")</f>
        <v>Mts. Cadena Plástico 7.5 mm V/B</v>
      </c>
      <c r="C1168" s="4">
        <f>IFERROR(__xludf.DUMMYFUNCTION("""COMPUTED_VALUE"""),0.7488)</f>
        <v>0.7488</v>
      </c>
      <c r="D1168" s="4">
        <f>IFERROR(__xludf.DUMMYFUNCTION("""COMPUTED_VALUE"""),0.7)</f>
        <v>0.7</v>
      </c>
      <c r="E1168" s="4" t="str">
        <f>IFERROR(__xludf.DUMMYFUNCTION("""COMPUTED_VALUE"""),"Neto: 0,70 € (a partir de 100 uds.)")</f>
        <v>Neto: 0,70 € (a partir de 100 uds.)</v>
      </c>
    </row>
    <row r="1169">
      <c r="A1169" s="4" t="str">
        <f>IFERROR(__xludf.DUMMYFUNCTION("""COMPUTED_VALUE"""),"1128")</f>
        <v>1128</v>
      </c>
      <c r="B1169" s="4" t="str">
        <f>IFERROR(__xludf.DUMMYFUNCTION("""COMPUTED_VALUE"""),"Mts. Cadena plastico 5.5mm N/A")</f>
        <v>Mts. Cadena plastico 5.5mm N/A</v>
      </c>
      <c r="C1169" s="4">
        <f>IFERROR(__xludf.DUMMYFUNCTION("""COMPUTED_VALUE"""),0.624)</f>
        <v>0.624</v>
      </c>
      <c r="D1169" s="4">
        <f>IFERROR(__xludf.DUMMYFUNCTION("""COMPUTED_VALUE"""),0.6)</f>
        <v>0.6</v>
      </c>
      <c r="E1169" s="4" t="str">
        <f>IFERROR(__xludf.DUMMYFUNCTION("""COMPUTED_VALUE"""),"Neto: 0,60 € (a partir de 200 uds.)")</f>
        <v>Neto: 0,60 € (a partir de 200 uds.)</v>
      </c>
    </row>
    <row r="1170">
      <c r="A1170" s="4" t="str">
        <f>IFERROR(__xludf.DUMMYFUNCTION("""COMPUTED_VALUE"""),"1129")</f>
        <v>1129</v>
      </c>
      <c r="B1170" s="4" t="str">
        <f>IFERROR(__xludf.DUMMYFUNCTION("""COMPUTED_VALUE"""),"Mts. Cadena plastico 7.5 mm N/A")</f>
        <v>Mts. Cadena plastico 7.5 mm N/A</v>
      </c>
      <c r="C1170" s="4">
        <f>IFERROR(__xludf.DUMMYFUNCTION("""COMPUTED_VALUE"""),0.7488)</f>
        <v>0.7488</v>
      </c>
      <c r="D1170" s="4">
        <f>IFERROR(__xludf.DUMMYFUNCTION("""COMPUTED_VALUE"""),0.7)</f>
        <v>0.7</v>
      </c>
      <c r="E1170" s="4" t="str">
        <f>IFERROR(__xludf.DUMMYFUNCTION("""COMPUTED_VALUE"""),"Neto: 0,70 € (a partir de 100 uds.)")</f>
        <v>Neto: 0,70 € (a partir de 100 uds.)</v>
      </c>
    </row>
    <row r="1171">
      <c r="A1171" s="4" t="str">
        <f>IFERROR(__xludf.DUMMYFUNCTION("""COMPUTED_VALUE"""),"1132")</f>
        <v>1132</v>
      </c>
      <c r="B1171" s="4" t="str">
        <f>IFERROR(__xludf.DUMMYFUNCTION("""COMPUTED_VALUE"""),"Poste plata con cinturón retráctil rojo 2 m")</f>
        <v>Poste plata con cinturón retráctil rojo 2 m</v>
      </c>
      <c r="C1171" s="4">
        <f>IFERROR(__xludf.DUMMYFUNCTION("""COMPUTED_VALUE"""),23.04)</f>
        <v>23.04</v>
      </c>
      <c r="D1171" s="4"/>
      <c r="E1171" s="4" t="str">
        <f>IFERROR(__xludf.DUMMYFUNCTION("""COMPUTED_VALUE"""),"Sin precio neto")</f>
        <v>Sin precio neto</v>
      </c>
    </row>
    <row r="1172">
      <c r="A1172" s="4" t="str">
        <f>IFERROR(__xludf.DUMMYFUNCTION("""COMPUTED_VALUE"""),"11325M")</f>
        <v>11325M</v>
      </c>
      <c r="B1172" s="4" t="str">
        <f>IFERROR(__xludf.DUMMYFUNCTION("""COMPUTED_VALUE"""),"Poste plata con cinturón retráctil rojo 5 m")</f>
        <v>Poste plata con cinturón retráctil rojo 5 m</v>
      </c>
      <c r="C1172" s="4">
        <f>IFERROR(__xludf.DUMMYFUNCTION("""COMPUTED_VALUE"""),29.759999999999998)</f>
        <v>29.76</v>
      </c>
      <c r="D1172" s="4"/>
      <c r="E1172" s="4" t="str">
        <f>IFERROR(__xludf.DUMMYFUNCTION("""COMPUTED_VALUE"""),"Sin precio neto")</f>
        <v>Sin precio neto</v>
      </c>
    </row>
    <row r="1173">
      <c r="A1173" s="4" t="str">
        <f>IFERROR(__xludf.DUMMYFUNCTION("""COMPUTED_VALUE"""),"1132A")</f>
        <v>1132A</v>
      </c>
      <c r="B1173" s="4" t="str">
        <f>IFERROR(__xludf.DUMMYFUNCTION("""COMPUTED_VALUE"""),"Poste plata con cinturón retráctil azul 2 m")</f>
        <v>Poste plata con cinturón retráctil azul 2 m</v>
      </c>
      <c r="C1173" s="4">
        <f>IFERROR(__xludf.DUMMYFUNCTION("""COMPUTED_VALUE"""),23.04)</f>
        <v>23.04</v>
      </c>
      <c r="D1173" s="4"/>
      <c r="E1173" s="4" t="str">
        <f>IFERROR(__xludf.DUMMYFUNCTION("""COMPUTED_VALUE"""),"Sin precio neto")</f>
        <v>Sin precio neto</v>
      </c>
    </row>
    <row r="1174">
      <c r="A1174" s="4" t="str">
        <f>IFERROR(__xludf.DUMMYFUNCTION("""COMPUTED_VALUE"""),"1132A5M")</f>
        <v>1132A5M</v>
      </c>
      <c r="B1174" s="4" t="str">
        <f>IFERROR(__xludf.DUMMYFUNCTION("""COMPUTED_VALUE"""),"Poste plata con cinturón retráctil azul 5 m")</f>
        <v>Poste plata con cinturón retráctil azul 5 m</v>
      </c>
      <c r="C1174" s="4">
        <f>IFERROR(__xludf.DUMMYFUNCTION("""COMPUTED_VALUE"""),29.759999999999998)</f>
        <v>29.76</v>
      </c>
      <c r="D1174" s="4"/>
      <c r="E1174" s="4" t="str">
        <f>IFERROR(__xludf.DUMMYFUNCTION("""COMPUTED_VALUE"""),"Sin precio neto")</f>
        <v>Sin precio neto</v>
      </c>
    </row>
    <row r="1175">
      <c r="A1175" s="4" t="str">
        <f>IFERROR(__xludf.DUMMYFUNCTION("""COMPUTED_VALUE"""),"1132N")</f>
        <v>1132N</v>
      </c>
      <c r="B1175" s="4" t="str">
        <f>IFERROR(__xludf.DUMMYFUNCTION("""COMPUTED_VALUE"""),"Poste plata con cinturón retráctil negro 2 m")</f>
        <v>Poste plata con cinturón retráctil negro 2 m</v>
      </c>
      <c r="C1175" s="4">
        <f>IFERROR(__xludf.DUMMYFUNCTION("""COMPUTED_VALUE"""),23.04)</f>
        <v>23.04</v>
      </c>
      <c r="D1175" s="4"/>
      <c r="E1175" s="4" t="str">
        <f>IFERROR(__xludf.DUMMYFUNCTION("""COMPUTED_VALUE"""),"Sin precio neto")</f>
        <v>Sin precio neto</v>
      </c>
    </row>
    <row r="1176">
      <c r="A1176" s="4" t="str">
        <f>IFERROR(__xludf.DUMMYFUNCTION("""COMPUTED_VALUE"""),"1132N5M")</f>
        <v>1132N5M</v>
      </c>
      <c r="B1176" s="4" t="str">
        <f>IFERROR(__xludf.DUMMYFUNCTION("""COMPUTED_VALUE"""),"Poste plata con cinturón retráctil negro 5 m")</f>
        <v>Poste plata con cinturón retráctil negro 5 m</v>
      </c>
      <c r="C1176" s="4">
        <f>IFERROR(__xludf.DUMMYFUNCTION("""COMPUTED_VALUE"""),29.759999999999998)</f>
        <v>29.76</v>
      </c>
      <c r="D1176" s="4"/>
      <c r="E1176" s="4" t="str">
        <f>IFERROR(__xludf.DUMMYFUNCTION("""COMPUTED_VALUE"""),"Sin precio neto")</f>
        <v>Sin precio neto</v>
      </c>
    </row>
    <row r="1177">
      <c r="A1177" s="4" t="str">
        <f>IFERROR(__xludf.DUMMYFUNCTION("""COMPUTED_VALUE"""),"1133")</f>
        <v>1133</v>
      </c>
      <c r="B1177" s="4" t="str">
        <f>IFERROR(__xludf.DUMMYFUNCTION("""COMPUTED_VALUE"""),"Cinturón Retráctil Pared rojo 2 m")</f>
        <v>Cinturón Retráctil Pared rojo 2 m</v>
      </c>
      <c r="C1177" s="4">
        <f>IFERROR(__xludf.DUMMYFUNCTION("""COMPUTED_VALUE"""),16.272)</f>
        <v>16.272</v>
      </c>
      <c r="D1177" s="4"/>
      <c r="E1177" s="4" t="str">
        <f>IFERROR(__xludf.DUMMYFUNCTION("""COMPUTED_VALUE"""),"Sin precio neto")</f>
        <v>Sin precio neto</v>
      </c>
    </row>
    <row r="1178">
      <c r="A1178" s="4" t="str">
        <f>IFERROR(__xludf.DUMMYFUNCTION("""COMPUTED_VALUE"""),"11335M")</f>
        <v>11335M</v>
      </c>
      <c r="B1178" s="4" t="str">
        <f>IFERROR(__xludf.DUMMYFUNCTION("""COMPUTED_VALUE"""),"Cinturón Retráctil Pared rojo 5 m")</f>
        <v>Cinturón Retráctil Pared rojo 5 m</v>
      </c>
      <c r="C1178" s="4">
        <f>IFERROR(__xludf.DUMMYFUNCTION("""COMPUTED_VALUE"""),27.84)</f>
        <v>27.84</v>
      </c>
      <c r="D1178" s="4"/>
      <c r="E1178" s="4" t="str">
        <f>IFERROR(__xludf.DUMMYFUNCTION("""COMPUTED_VALUE"""),"Sin precio neto")</f>
        <v>Sin precio neto</v>
      </c>
    </row>
    <row r="1179">
      <c r="A1179" s="4" t="str">
        <f>IFERROR(__xludf.DUMMYFUNCTION("""COMPUTED_VALUE"""),"1133A")</f>
        <v>1133A</v>
      </c>
      <c r="B1179" s="4" t="str">
        <f>IFERROR(__xludf.DUMMYFUNCTION("""COMPUTED_VALUE"""),"Enganche pared para cinturón retráctil")</f>
        <v>Enganche pared para cinturón retráctil</v>
      </c>
      <c r="C1179" s="4">
        <f>IFERROR(__xludf.DUMMYFUNCTION("""COMPUTED_VALUE"""),1.44)</f>
        <v>1.44</v>
      </c>
      <c r="D1179" s="4"/>
      <c r="E1179" s="4" t="str">
        <f>IFERROR(__xludf.DUMMYFUNCTION("""COMPUTED_VALUE"""),"Sin precio neto")</f>
        <v>Sin precio neto</v>
      </c>
    </row>
    <row r="1180">
      <c r="A1180" s="4" t="str">
        <f>IFERROR(__xludf.DUMMYFUNCTION("""COMPUTED_VALUE"""),"1133A5M")</f>
        <v>1133A5M</v>
      </c>
      <c r="B1180" s="4" t="str">
        <f>IFERROR(__xludf.DUMMYFUNCTION("""COMPUTED_VALUE"""),"Cinturón Retráctil Pared azul 5 m")</f>
        <v>Cinturón Retráctil Pared azul 5 m</v>
      </c>
      <c r="C1180" s="4">
        <f>IFERROR(__xludf.DUMMYFUNCTION("""COMPUTED_VALUE"""),27.84)</f>
        <v>27.84</v>
      </c>
      <c r="D1180" s="4"/>
      <c r="E1180" s="4" t="str">
        <f>IFERROR(__xludf.DUMMYFUNCTION("""COMPUTED_VALUE"""),"Sin precio neto")</f>
        <v>Sin precio neto</v>
      </c>
    </row>
    <row r="1181">
      <c r="A1181" s="4" t="str">
        <f>IFERROR(__xludf.DUMMYFUNCTION("""COMPUTED_VALUE"""),"1133N")</f>
        <v>1133N</v>
      </c>
      <c r="B1181" s="4" t="str">
        <f>IFERROR(__xludf.DUMMYFUNCTION("""COMPUTED_VALUE"""),"Cinturón Retráctil Pared negro 2m")</f>
        <v>Cinturón Retráctil Pared negro 2m</v>
      </c>
      <c r="C1181" s="4">
        <f>IFERROR(__xludf.DUMMYFUNCTION("""COMPUTED_VALUE"""),16.272)</f>
        <v>16.272</v>
      </c>
      <c r="D1181" s="4"/>
      <c r="E1181" s="4" t="str">
        <f>IFERROR(__xludf.DUMMYFUNCTION("""COMPUTED_VALUE"""),"Sin precio neto")</f>
        <v>Sin precio neto</v>
      </c>
    </row>
    <row r="1182">
      <c r="A1182" s="4" t="str">
        <f>IFERROR(__xludf.DUMMYFUNCTION("""COMPUTED_VALUE"""),"1133N5M")</f>
        <v>1133N5M</v>
      </c>
      <c r="B1182" s="4" t="str">
        <f>IFERROR(__xludf.DUMMYFUNCTION("""COMPUTED_VALUE"""),"Cinturón Retráctil Pared negro 5 m")</f>
        <v>Cinturón Retráctil Pared negro 5 m</v>
      </c>
      <c r="C1182" s="4">
        <f>IFERROR(__xludf.DUMMYFUNCTION("""COMPUTED_VALUE"""),27.84)</f>
        <v>27.84</v>
      </c>
      <c r="D1182" s="4"/>
      <c r="E1182" s="4" t="str">
        <f>IFERROR(__xludf.DUMMYFUNCTION("""COMPUTED_VALUE"""),"Sin precio neto")</f>
        <v>Sin precio neto</v>
      </c>
    </row>
    <row r="1183">
      <c r="A1183" s="4" t="str">
        <f>IFERROR(__xludf.DUMMYFUNCTION("""COMPUTED_VALUE"""),"1134")</f>
        <v>1134</v>
      </c>
      <c r="B1183" s="4" t="str">
        <f>IFERROR(__xludf.DUMMYFUNCTION("""COMPUTED_VALUE"""),"Poste Negro con cinturón retráctil rojo 2 m")</f>
        <v>Poste Negro con cinturón retráctil rojo 2 m</v>
      </c>
      <c r="C1183" s="4">
        <f>IFERROR(__xludf.DUMMYFUNCTION("""COMPUTED_VALUE"""),23.52)</f>
        <v>23.52</v>
      </c>
      <c r="D1183" s="4"/>
      <c r="E1183" s="4" t="str">
        <f>IFERROR(__xludf.DUMMYFUNCTION("""COMPUTED_VALUE"""),"Sin precio neto")</f>
        <v>Sin precio neto</v>
      </c>
    </row>
    <row r="1184">
      <c r="A1184" s="4" t="str">
        <f>IFERROR(__xludf.DUMMYFUNCTION("""COMPUTED_VALUE"""),"1134A")</f>
        <v>1134A</v>
      </c>
      <c r="B1184" s="4" t="str">
        <f>IFERROR(__xludf.DUMMYFUNCTION("""COMPUTED_VALUE"""),"Poste Negro con cinturón retráctil azul 2 m")</f>
        <v>Poste Negro con cinturón retráctil azul 2 m</v>
      </c>
      <c r="C1184" s="4">
        <f>IFERROR(__xludf.DUMMYFUNCTION("""COMPUTED_VALUE"""),23.04)</f>
        <v>23.04</v>
      </c>
      <c r="D1184" s="4"/>
      <c r="E1184" s="4" t="str">
        <f>IFERROR(__xludf.DUMMYFUNCTION("""COMPUTED_VALUE"""),"Sin precio neto")</f>
        <v>Sin precio neto</v>
      </c>
    </row>
    <row r="1185">
      <c r="A1185" s="4" t="str">
        <f>IFERROR(__xludf.DUMMYFUNCTION("""COMPUTED_VALUE"""),"1134N")</f>
        <v>1134N</v>
      </c>
      <c r="B1185" s="4" t="str">
        <f>IFERROR(__xludf.DUMMYFUNCTION("""COMPUTED_VALUE"""),"Poste negro con cinturón retráctil negro 2 m")</f>
        <v>Poste negro con cinturón retráctil negro 2 m</v>
      </c>
      <c r="C1185" s="4">
        <f>IFERROR(__xludf.DUMMYFUNCTION("""COMPUTED_VALUE"""),23.04)</f>
        <v>23.04</v>
      </c>
      <c r="D1185" s="4"/>
      <c r="E1185" s="4" t="str">
        <f>IFERROR(__xludf.DUMMYFUNCTION("""COMPUTED_VALUE"""),"Sin precio neto")</f>
        <v>Sin precio neto</v>
      </c>
    </row>
    <row r="1186">
      <c r="A1186" s="4" t="str">
        <f>IFERROR(__xludf.DUMMYFUNCTION("""COMPUTED_VALUE"""),"1134NA")</f>
        <v>1134NA</v>
      </c>
      <c r="B1186" s="4" t="str">
        <f>IFERROR(__xludf.DUMMYFUNCTION("""COMPUTED_VALUE"""),"Poste negro con cinturón retráctil negro/amarillo 5 m")</f>
        <v>Poste negro con cinturón retráctil negro/amarillo 5 m</v>
      </c>
      <c r="C1186" s="4">
        <f>IFERROR(__xludf.DUMMYFUNCTION("""COMPUTED_VALUE"""),23.04)</f>
        <v>23.04</v>
      </c>
      <c r="D1186" s="4"/>
      <c r="E1186" s="4" t="str">
        <f>IFERROR(__xludf.DUMMYFUNCTION("""COMPUTED_VALUE"""),"Sin precio neto")</f>
        <v>Sin precio neto</v>
      </c>
    </row>
    <row r="1187">
      <c r="A1187" s="4" t="str">
        <f>IFERROR(__xludf.DUMMYFUNCTION("""COMPUTED_VALUE"""),"1134RB")</f>
        <v>1134RB</v>
      </c>
      <c r="B1187" s="4" t="str">
        <f>IFERROR(__xludf.DUMMYFUNCTION("""COMPUTED_VALUE"""),"Poste negro con cinturón retráctil rojo/blanco 5 m")</f>
        <v>Poste negro con cinturón retráctil rojo/blanco 5 m</v>
      </c>
      <c r="C1187" s="4">
        <f>IFERROR(__xludf.DUMMYFUNCTION("""COMPUTED_VALUE"""),23.04)</f>
        <v>23.04</v>
      </c>
      <c r="D1187" s="4"/>
      <c r="E1187" s="4" t="str">
        <f>IFERROR(__xludf.DUMMYFUNCTION("""COMPUTED_VALUE"""),"Sin precio neto")</f>
        <v>Sin precio neto</v>
      </c>
    </row>
    <row r="1188">
      <c r="A1188" s="4" t="str">
        <f>IFERROR(__xludf.DUMMYFUNCTION("""COMPUTED_VALUE"""),"1135")</f>
        <v>1135</v>
      </c>
      <c r="B1188" s="4" t="str">
        <f>IFERROR(__xludf.DUMMYFUNCTION("""COMPUTED_VALUE"""),"Cinturón retractil pared azul 2 m")</f>
        <v>Cinturón retractil pared azul 2 m</v>
      </c>
      <c r="C1188" s="4">
        <f>IFERROR(__xludf.DUMMYFUNCTION("""COMPUTED_VALUE"""),16.272)</f>
        <v>16.272</v>
      </c>
      <c r="D1188" s="4"/>
      <c r="E1188" s="4" t="str">
        <f>IFERROR(__xludf.DUMMYFUNCTION("""COMPUTED_VALUE"""),"Sin precio neto")</f>
        <v>Sin precio neto</v>
      </c>
    </row>
    <row r="1189">
      <c r="A1189" s="4" t="str">
        <f>IFERROR(__xludf.DUMMYFUNCTION("""COMPUTED_VALUE"""),"1136")</f>
        <v>1136</v>
      </c>
      <c r="B1189" s="4" t="str">
        <f>IFERROR(__xludf.DUMMYFUNCTION("""COMPUTED_VALUE"""),"Poste R/B para cadena con base hexagonal pesada")</f>
        <v>Poste R/B para cadena con base hexagonal pesada</v>
      </c>
      <c r="C1189" s="4">
        <f>IFERROR(__xludf.DUMMYFUNCTION("""COMPUTED_VALUE"""),9.072)</f>
        <v>9.072</v>
      </c>
      <c r="D1189" s="4"/>
      <c r="E1189" s="4" t="str">
        <f>IFERROR(__xludf.DUMMYFUNCTION("""COMPUTED_VALUE"""),"Sin precio neto")</f>
        <v>Sin precio neto</v>
      </c>
    </row>
    <row r="1190">
      <c r="A1190" s="4" t="str">
        <f>IFERROR(__xludf.DUMMYFUNCTION("""COMPUTED_VALUE"""),"1138")</f>
        <v>1138</v>
      </c>
      <c r="B1190" s="4" t="str">
        <f>IFERROR(__xludf.DUMMYFUNCTION("""COMPUTED_VALUE"""),"Poste señaliz. R/B p/cadena plastica base caucho 3 kg")</f>
        <v>Poste señaliz. R/B p/cadena plastica base caucho 3 kg</v>
      </c>
      <c r="C1190" s="4">
        <f>IFERROR(__xludf.DUMMYFUNCTION("""COMPUTED_VALUE"""),7.4399999999999995)</f>
        <v>7.44</v>
      </c>
      <c r="D1190" s="4"/>
      <c r="E1190" s="4" t="str">
        <f>IFERROR(__xludf.DUMMYFUNCTION("""COMPUTED_VALUE"""),"Sin precio neto")</f>
        <v>Sin precio neto</v>
      </c>
    </row>
    <row r="1191">
      <c r="A1191" s="4" t="str">
        <f>IFERROR(__xludf.DUMMYFUNCTION("""COMPUTED_VALUE"""),"1139")</f>
        <v>1139</v>
      </c>
      <c r="B1191" s="4" t="str">
        <f>IFERROR(__xludf.DUMMYFUNCTION("""COMPUTED_VALUE"""),"Poste señaliz. N/A p/cadena plastica base caucho 3 kg")</f>
        <v>Poste señaliz. N/A p/cadena plastica base caucho 3 kg</v>
      </c>
      <c r="C1191" s="4">
        <f>IFERROR(__xludf.DUMMYFUNCTION("""COMPUTED_VALUE"""),7.4399999999999995)</f>
        <v>7.44</v>
      </c>
      <c r="D1191" s="4"/>
      <c r="E1191" s="4" t="str">
        <f>IFERROR(__xludf.DUMMYFUNCTION("""COMPUTED_VALUE"""),"Sin precio neto")</f>
        <v>Sin precio neto</v>
      </c>
    </row>
    <row r="1192">
      <c r="A1192" s="4" t="str">
        <f>IFERROR(__xludf.DUMMYFUNCTION("""COMPUTED_VALUE"""),"1520")</f>
        <v>1520</v>
      </c>
      <c r="B1192" s="4" t="str">
        <f>IFERROR(__xludf.DUMMYFUNCTION("""COMPUTED_VALUE"""),"Cinta Creppe 48 mm x 45 m")</f>
        <v>Cinta Creppe 48 mm x 45 m</v>
      </c>
      <c r="C1192" s="4">
        <f>IFERROR(__xludf.DUMMYFUNCTION("""COMPUTED_VALUE"""),1.392)</f>
        <v>1.392</v>
      </c>
      <c r="D1192" s="4"/>
      <c r="E1192" s="4" t="str">
        <f>IFERROR(__xludf.DUMMYFUNCTION("""COMPUTED_VALUE"""),"Sin precio neto")</f>
        <v>Sin precio neto</v>
      </c>
    </row>
    <row r="1193">
      <c r="A1193" s="4" t="str">
        <f>IFERROR(__xludf.DUMMYFUNCTION("""COMPUTED_VALUE"""),"1522")</f>
        <v>1522</v>
      </c>
      <c r="B1193" s="4" t="str">
        <f>IFERROR(__xludf.DUMMYFUNCTION("""COMPUTED_VALUE"""),"Cinta Creppe Azul 48 mm x 45 m")</f>
        <v>Cinta Creppe Azul 48 mm x 45 m</v>
      </c>
      <c r="C1193" s="4">
        <f>IFERROR(__xludf.DUMMYFUNCTION("""COMPUTED_VALUE"""),1.68)</f>
        <v>1.68</v>
      </c>
      <c r="D1193" s="4"/>
      <c r="E1193" s="4" t="str">
        <f>IFERROR(__xludf.DUMMYFUNCTION("""COMPUTED_VALUE"""),"Sin precio neto")</f>
        <v>Sin precio neto</v>
      </c>
    </row>
    <row r="1194">
      <c r="A1194" s="4" t="str">
        <f>IFERROR(__xludf.DUMMYFUNCTION("""COMPUTED_VALUE"""),"1523")</f>
        <v>1523</v>
      </c>
      <c r="B1194" s="4" t="str">
        <f>IFERROR(__xludf.DUMMYFUNCTION("""COMPUTED_VALUE"""),"Cinta Creppe Exteriores Azul 48 mm x 45 m")</f>
        <v>Cinta Creppe Exteriores Azul 48 mm x 45 m</v>
      </c>
      <c r="C1194" s="4">
        <f>IFERROR(__xludf.DUMMYFUNCTION("""COMPUTED_VALUE"""),4.992)</f>
        <v>4.992</v>
      </c>
      <c r="D1194" s="4"/>
      <c r="E1194" s="4" t="str">
        <f>IFERROR(__xludf.DUMMYFUNCTION("""COMPUTED_VALUE"""),"Sin precio neto")</f>
        <v>Sin precio neto</v>
      </c>
    </row>
    <row r="1195">
      <c r="A1195" s="4" t="str">
        <f>IFERROR(__xludf.DUMMYFUNCTION("""COMPUTED_VALUE"""),"1524")</f>
        <v>1524</v>
      </c>
      <c r="B1195" s="4" t="str">
        <f>IFERROR(__xludf.DUMMYFUNCTION("""COMPUTED_VALUE"""),"Cinta Aluminio 30 my 50 mm x 10 m")</f>
        <v>Cinta Aluminio 30 my 50 mm x 10 m</v>
      </c>
      <c r="C1195" s="4">
        <f>IFERROR(__xludf.DUMMYFUNCTION("""COMPUTED_VALUE"""),0.9119999999999999)</f>
        <v>0.912</v>
      </c>
      <c r="D1195" s="4"/>
      <c r="E1195" s="4" t="str">
        <f>IFERROR(__xludf.DUMMYFUNCTION("""COMPUTED_VALUE"""),"Sin precio neto")</f>
        <v>Sin precio neto</v>
      </c>
    </row>
    <row r="1196">
      <c r="A1196" s="4" t="str">
        <f>IFERROR(__xludf.DUMMYFUNCTION("""COMPUTED_VALUE"""),"1525")</f>
        <v>1525</v>
      </c>
      <c r="B1196" s="4" t="str">
        <f>IFERROR(__xludf.DUMMYFUNCTION("""COMPUTED_VALUE"""),"Cinta Aluminio 30 my 50 mm x 45 m")</f>
        <v>Cinta Aluminio 30 my 50 mm x 45 m</v>
      </c>
      <c r="C1196" s="4">
        <f>IFERROR(__xludf.DUMMYFUNCTION("""COMPUTED_VALUE"""),4.08)</f>
        <v>4.08</v>
      </c>
      <c r="D1196" s="4"/>
      <c r="E1196" s="4" t="str">
        <f>IFERROR(__xludf.DUMMYFUNCTION("""COMPUTED_VALUE"""),"Sin precio neto")</f>
        <v>Sin precio neto</v>
      </c>
    </row>
    <row r="1197">
      <c r="A1197" s="4" t="str">
        <f>IFERROR(__xludf.DUMMYFUNCTION("""COMPUTED_VALUE"""),"1536")</f>
        <v>1536</v>
      </c>
      <c r="B1197" s="4" t="str">
        <f>IFERROR(__xludf.DUMMYFUNCTION("""COMPUTED_VALUE"""),"Rollo cinta marcaje temporal Amarilla 3M 75 m x 12 cm")</f>
        <v>Rollo cinta marcaje temporal Amarilla 3M 75 m x 12 cm</v>
      </c>
      <c r="C1197" s="4">
        <f>IFERROR(__xludf.DUMMYFUNCTION("""COMPUTED_VALUE"""),438.47999999999996)</f>
        <v>438.48</v>
      </c>
      <c r="D1197" s="4"/>
      <c r="E1197" s="4" t="str">
        <f>IFERROR(__xludf.DUMMYFUNCTION("""COMPUTED_VALUE"""),"Sin precio neto")</f>
        <v>Sin precio neto</v>
      </c>
    </row>
    <row r="1198">
      <c r="A1198" s="4" t="str">
        <f>IFERROR(__xludf.DUMMYFUNCTION("""COMPUTED_VALUE"""),"1537")</f>
        <v>1537</v>
      </c>
      <c r="B1198" s="4" t="str">
        <f>IFERROR(__xludf.DUMMYFUNCTION("""COMPUTED_VALUE"""),"Rollo cinta enmascarar Negra 3M 109 m x 15 cm")</f>
        <v>Rollo cinta enmascarar Negra 3M 109 m x 15 cm</v>
      </c>
      <c r="C1198" s="4">
        <f>IFERROR(__xludf.DUMMYFUNCTION("""COMPUTED_VALUE"""),400.68)</f>
        <v>400.68</v>
      </c>
      <c r="D1198" s="4"/>
      <c r="E1198" s="4" t="str">
        <f>IFERROR(__xludf.DUMMYFUNCTION("""COMPUTED_VALUE"""),"Sin precio neto")</f>
        <v>Sin precio neto</v>
      </c>
    </row>
    <row r="1199">
      <c r="A1199" s="4" t="str">
        <f>IFERROR(__xludf.DUMMYFUNCTION("""COMPUTED_VALUE"""),"1538")</f>
        <v>1538</v>
      </c>
      <c r="B1199" s="4" t="str">
        <f>IFERROR(__xludf.DUMMYFUNCTION("""COMPUTED_VALUE"""),"Rollo cinta antidelizante luminiscente 2,5 cm x 18,30 mt")</f>
        <v>Rollo cinta antidelizante luminiscente 2,5 cm x 18,30 mt</v>
      </c>
      <c r="C1199" s="4">
        <f>IFERROR(__xludf.DUMMYFUNCTION("""COMPUTED_VALUE"""),45.12)</f>
        <v>45.12</v>
      </c>
      <c r="D1199" s="4"/>
      <c r="E1199" s="4" t="str">
        <f>IFERROR(__xludf.DUMMYFUNCTION("""COMPUTED_VALUE"""),"Sin precio neto")</f>
        <v>Sin precio neto</v>
      </c>
    </row>
    <row r="1200">
      <c r="A1200" s="4" t="str">
        <f>IFERROR(__xludf.DUMMYFUNCTION("""COMPUTED_VALUE"""),"1539")</f>
        <v>1539</v>
      </c>
      <c r="B1200" s="4" t="str">
        <f>IFERROR(__xludf.DUMMYFUNCTION("""COMPUTED_VALUE"""),"Rollo Cinta 10cm x 200 m bomberos Roja/blanca")</f>
        <v>Rollo Cinta 10cm x 200 m bomberos Roja/blanca</v>
      </c>
      <c r="C1200" s="4">
        <f>IFERROR(__xludf.DUMMYFUNCTION("""COMPUTED_VALUE"""),7.92)</f>
        <v>7.92</v>
      </c>
      <c r="D1200" s="4"/>
      <c r="E1200" s="4" t="str">
        <f>IFERROR(__xludf.DUMMYFUNCTION("""COMPUTED_VALUE"""),"Sin precio neto")</f>
        <v>Sin precio neto</v>
      </c>
    </row>
    <row r="1201">
      <c r="A1201" s="4" t="str">
        <f>IFERROR(__xludf.DUMMYFUNCTION("""COMPUTED_VALUE"""),"1540")</f>
        <v>1540</v>
      </c>
      <c r="B1201" s="4" t="str">
        <f>IFERROR(__xludf.DUMMYFUNCTION("""COMPUTED_VALUE"""),"Rollo cinta antideslizante negra 5cm x 18 mt")</f>
        <v>Rollo cinta antideslizante negra 5cm x 18 mt</v>
      </c>
      <c r="C1201" s="4">
        <f>IFERROR(__xludf.DUMMYFUNCTION("""COMPUTED_VALUE"""),13.68)</f>
        <v>13.68</v>
      </c>
      <c r="D1201" s="4">
        <f>IFERROR(__xludf.DUMMYFUNCTION("""COMPUTED_VALUE"""),13.5)</f>
        <v>13.5</v>
      </c>
      <c r="E1201" s="4" t="str">
        <f>IFERROR(__xludf.DUMMYFUNCTION("""COMPUTED_VALUE"""),"Neto: 13,50 € (a partir de 24 uds.)")</f>
        <v>Neto: 13,50 € (a partir de 24 uds.)</v>
      </c>
    </row>
    <row r="1202">
      <c r="A1202" s="4" t="str">
        <f>IFERROR(__xludf.DUMMYFUNCTION("""COMPUTED_VALUE"""),"1541")</f>
        <v>1541</v>
      </c>
      <c r="B1202" s="4" t="str">
        <f>IFERROR(__xludf.DUMMYFUNCTION("""COMPUTED_VALUE"""),"Rollo cinta antideslizante N/A 5 cm x 18 mt")</f>
        <v>Rollo cinta antideslizante N/A 5 cm x 18 mt</v>
      </c>
      <c r="C1202" s="4">
        <f>IFERROR(__xludf.DUMMYFUNCTION("""COMPUTED_VALUE"""),13.68)</f>
        <v>13.68</v>
      </c>
      <c r="D1202" s="4">
        <f>IFERROR(__xludf.DUMMYFUNCTION("""COMPUTED_VALUE"""),13.5)</f>
        <v>13.5</v>
      </c>
      <c r="E1202" s="4" t="str">
        <f>IFERROR(__xludf.DUMMYFUNCTION("""COMPUTED_VALUE"""),"Neto: 13,50 € (a partir de 24 uds.)")</f>
        <v>Neto: 13,50 € (a partir de 24 uds.)</v>
      </c>
    </row>
    <row r="1203">
      <c r="A1203" s="4" t="str">
        <f>IFERROR(__xludf.DUMMYFUNCTION("""COMPUTED_VALUE"""),"1542")</f>
        <v>1542</v>
      </c>
      <c r="B1203" s="4" t="str">
        <f>IFERROR(__xludf.DUMMYFUNCTION("""COMPUTED_VALUE"""),"Rollo cinta antideslizante R/B 5 cm x 18 mt")</f>
        <v>Rollo cinta antideslizante R/B 5 cm x 18 mt</v>
      </c>
      <c r="C1203" s="4">
        <f>IFERROR(__xludf.DUMMYFUNCTION("""COMPUTED_VALUE"""),13.68)</f>
        <v>13.68</v>
      </c>
      <c r="D1203" s="4">
        <f>IFERROR(__xludf.DUMMYFUNCTION("""COMPUTED_VALUE"""),13.5)</f>
        <v>13.5</v>
      </c>
      <c r="E1203" s="4" t="str">
        <f>IFERROR(__xludf.DUMMYFUNCTION("""COMPUTED_VALUE"""),"Neto: 13,50 € (a partir de 24 uds.)")</f>
        <v>Neto: 13,50 € (a partir de 24 uds.)</v>
      </c>
    </row>
    <row r="1204">
      <c r="A1204" s="4" t="str">
        <f>IFERROR(__xludf.DUMMYFUNCTION("""COMPUTED_VALUE"""),"1547")</f>
        <v>1547</v>
      </c>
      <c r="B1204" s="4" t="str">
        <f>IFERROR(__xludf.DUMMYFUNCTION("""COMPUTED_VALUE"""),"Rollo cinta Blanca 55mm x50 metros DG983-10 ECE 104")</f>
        <v>Rollo cinta Blanca 55mm x50 metros DG983-10 ECE 104</v>
      </c>
      <c r="C1204" s="4">
        <f>IFERROR(__xludf.DUMMYFUNCTION("""COMPUTED_VALUE"""),121.96799999999999)</f>
        <v>121.968</v>
      </c>
      <c r="D1204" s="4"/>
      <c r="E1204" s="4" t="str">
        <f>IFERROR(__xludf.DUMMYFUNCTION("""COMPUTED_VALUE"""),"Sin precio neto")</f>
        <v>Sin precio neto</v>
      </c>
    </row>
    <row r="1205">
      <c r="A1205" s="4" t="str">
        <f>IFERROR(__xludf.DUMMYFUNCTION("""COMPUTED_VALUE"""),"1547F")</f>
        <v>1547F</v>
      </c>
      <c r="B1205" s="4" t="str">
        <f>IFERROR(__xludf.DUMMYFUNCTION("""COMPUTED_VALUE"""),"Rollo cinta Blanca 51mm x50 metros DG997-10S")</f>
        <v>Rollo cinta Blanca 51mm x50 metros DG997-10S</v>
      </c>
      <c r="C1205" s="4">
        <f>IFERROR(__xludf.DUMMYFUNCTION("""COMPUTED_VALUE"""),121.96799999999999)</f>
        <v>121.968</v>
      </c>
      <c r="D1205" s="4"/>
      <c r="E1205" s="4" t="str">
        <f>IFERROR(__xludf.DUMMYFUNCTION("""COMPUTED_VALUE"""),"Sin precio neto")</f>
        <v>Sin precio neto</v>
      </c>
    </row>
    <row r="1206">
      <c r="A1206" s="4" t="str">
        <f>IFERROR(__xludf.DUMMYFUNCTION("""COMPUTED_VALUE"""),"1548")</f>
        <v>1548</v>
      </c>
      <c r="B1206" s="4" t="str">
        <f>IFERROR(__xludf.DUMMYFUNCTION("""COMPUTED_VALUE"""),"Rollo cinta Rojo 55mm x50metros DG983-72 ECE 1R/CTN")</f>
        <v>Rollo cinta Rojo 55mm x50metros DG983-72 ECE 1R/CTN</v>
      </c>
      <c r="C1206" s="4">
        <f>IFERROR(__xludf.DUMMYFUNCTION("""COMPUTED_VALUE"""),121.96799999999999)</f>
        <v>121.968</v>
      </c>
      <c r="D1206" s="4"/>
      <c r="E1206" s="4" t="str">
        <f>IFERROR(__xludf.DUMMYFUNCTION("""COMPUTED_VALUE"""),"Sin precio neto")</f>
        <v>Sin precio neto</v>
      </c>
    </row>
    <row r="1207">
      <c r="A1207" s="4" t="str">
        <f>IFERROR(__xludf.DUMMYFUNCTION("""COMPUTED_VALUE"""),"1548F")</f>
        <v>1548F</v>
      </c>
      <c r="B1207" s="4" t="str">
        <f>IFERROR(__xludf.DUMMYFUNCTION("""COMPUTED_VALUE"""),"Rollo cinta Rojo 51mmx 50 metros DG997-72S")</f>
        <v>Rollo cinta Rojo 51mmx 50 metros DG997-72S</v>
      </c>
      <c r="C1207" s="4">
        <f>IFERROR(__xludf.DUMMYFUNCTION("""COMPUTED_VALUE"""),121.96799999999999)</f>
        <v>121.968</v>
      </c>
      <c r="D1207" s="4"/>
      <c r="E1207" s="4" t="str">
        <f>IFERROR(__xludf.DUMMYFUNCTION("""COMPUTED_VALUE"""),"Sin precio neto")</f>
        <v>Sin precio neto</v>
      </c>
    </row>
    <row r="1208">
      <c r="A1208" s="4" t="str">
        <f>IFERROR(__xludf.DUMMYFUNCTION("""COMPUTED_VALUE"""),"1549")</f>
        <v>1549</v>
      </c>
      <c r="B1208" s="4" t="str">
        <f>IFERROR(__xludf.DUMMYFUNCTION("""COMPUTED_VALUE"""),"Rollo cinta amarilla 55MM x50metros DG983-71 ECE 104")</f>
        <v>Rollo cinta amarilla 55MM x50metros DG983-71 ECE 104</v>
      </c>
      <c r="C1208" s="4">
        <f>IFERROR(__xludf.DUMMYFUNCTION("""COMPUTED_VALUE"""),121.96799999999999)</f>
        <v>121.968</v>
      </c>
      <c r="D1208" s="4"/>
      <c r="E1208" s="4" t="str">
        <f>IFERROR(__xludf.DUMMYFUNCTION("""COMPUTED_VALUE"""),"Sin precio neto")</f>
        <v>Sin precio neto</v>
      </c>
    </row>
    <row r="1209">
      <c r="A1209" s="4" t="str">
        <f>IFERROR(__xludf.DUMMYFUNCTION("""COMPUTED_VALUE"""),"1549F")</f>
        <v>1549F</v>
      </c>
      <c r="B1209" s="4" t="str">
        <f>IFERROR(__xludf.DUMMYFUNCTION("""COMPUTED_VALUE"""),"Rollo cinta Amarilla 51mm x50 metros DG997-71S")</f>
        <v>Rollo cinta Amarilla 51mm x50 metros DG997-71S</v>
      </c>
      <c r="C1209" s="4">
        <f>IFERROR(__xludf.DUMMYFUNCTION("""COMPUTED_VALUE"""),121.96799999999999)</f>
        <v>121.968</v>
      </c>
      <c r="D1209" s="4"/>
      <c r="E1209" s="4" t="str">
        <f>IFERROR(__xludf.DUMMYFUNCTION("""COMPUTED_VALUE"""),"Sin precio neto")</f>
        <v>Sin precio neto</v>
      </c>
    </row>
    <row r="1210">
      <c r="A1210" s="4" t="str">
        <f>IFERROR(__xludf.DUMMYFUNCTION("""COMPUTED_VALUE"""),"1550")</f>
        <v>1550</v>
      </c>
      <c r="B1210" s="4" t="str">
        <f>IFERROR(__xludf.DUMMYFUNCTION("""COMPUTED_VALUE"""),"Rollo cinta reflectante adhesiva blanca 5 cm x 46 metros")</f>
        <v>Rollo cinta reflectante adhesiva blanca 5 cm x 46 metros</v>
      </c>
      <c r="C1210" s="4">
        <f>IFERROR(__xludf.DUMMYFUNCTION("""COMPUTED_VALUE"""),14.304)</f>
        <v>14.304</v>
      </c>
      <c r="D1210" s="4">
        <f>IFERROR(__xludf.DUMMYFUNCTION("""COMPUTED_VALUE"""),12.5)</f>
        <v>12.5</v>
      </c>
      <c r="E1210" s="4" t="str">
        <f>IFERROR(__xludf.DUMMYFUNCTION("""COMPUTED_VALUE"""),"Neto: 12,50 € (a partir de 12 uds.)")</f>
        <v>Neto: 12,50 € (a partir de 12 uds.)</v>
      </c>
    </row>
    <row r="1211">
      <c r="A1211" s="4" t="str">
        <f>IFERROR(__xludf.DUMMYFUNCTION("""COMPUTED_VALUE"""),"1551")</f>
        <v>1551</v>
      </c>
      <c r="B1211" s="4" t="str">
        <f>IFERROR(__xludf.DUMMYFUNCTION("""COMPUTED_VALUE"""),"Rollo (2 unid izq-dcha)señal. vehiculos V-2 9 mtros x 14,1 cm")</f>
        <v>Rollo (2 unid izq-dcha)señal. vehiculos V-2 9 mtros x 14,1 cm</v>
      </c>
      <c r="C1211" s="4">
        <f>IFERROR(__xludf.DUMMYFUNCTION("""COMPUTED_VALUE"""),163.79999999999998)</f>
        <v>163.8</v>
      </c>
      <c r="D1211" s="4"/>
      <c r="E1211" s="4" t="str">
        <f>IFERROR(__xludf.DUMMYFUNCTION("""COMPUTED_VALUE"""),"Sin precio neto")</f>
        <v>Sin precio neto</v>
      </c>
    </row>
    <row r="1212">
      <c r="A1212" s="4" t="str">
        <f>IFERROR(__xludf.DUMMYFUNCTION("""COMPUTED_VALUE"""),"1554")</f>
        <v>1554</v>
      </c>
      <c r="B1212" s="4" t="str">
        <f>IFERROR(__xludf.DUMMYFUNCTION("""COMPUTED_VALUE"""),"Rollo cinta luminiscente adhesiva 5 cm x 25 metros")</f>
        <v>Rollo cinta luminiscente adhesiva 5 cm x 25 metros</v>
      </c>
      <c r="C1212" s="4">
        <f>IFERROR(__xludf.DUMMYFUNCTION("""COMPUTED_VALUE"""),87.36)</f>
        <v>87.36</v>
      </c>
      <c r="D1212" s="4"/>
      <c r="E1212" s="4" t="str">
        <f>IFERROR(__xludf.DUMMYFUNCTION("""COMPUTED_VALUE"""),"Sin precio neto")</f>
        <v>Sin precio neto</v>
      </c>
    </row>
    <row r="1213">
      <c r="A1213" s="4" t="str">
        <f>IFERROR(__xludf.DUMMYFUNCTION("""COMPUTED_VALUE"""),"1555")</f>
        <v>1555</v>
      </c>
      <c r="B1213" s="4" t="str">
        <f>IFERROR(__xludf.DUMMYFUNCTION("""COMPUTED_VALUE"""),"Rollo cinta reflectante adhesiva R/B 5 cm x 45 metros")</f>
        <v>Rollo cinta reflectante adhesiva R/B 5 cm x 45 metros</v>
      </c>
      <c r="C1213" s="4">
        <f>IFERROR(__xludf.DUMMYFUNCTION("""COMPUTED_VALUE"""),14.304)</f>
        <v>14.304</v>
      </c>
      <c r="D1213" s="4">
        <f>IFERROR(__xludf.DUMMYFUNCTION("""COMPUTED_VALUE"""),12.5)</f>
        <v>12.5</v>
      </c>
      <c r="E1213" s="4" t="str">
        <f>IFERROR(__xludf.DUMMYFUNCTION("""COMPUTED_VALUE"""),"Neto: 12,50 € (a partir de 12 uds.)")</f>
        <v>Neto: 12,50 € (a partir de 12 uds.)</v>
      </c>
    </row>
    <row r="1214">
      <c r="A1214" s="4" t="str">
        <f>IFERROR(__xludf.DUMMYFUNCTION("""COMPUTED_VALUE"""),"1556")</f>
        <v>1556</v>
      </c>
      <c r="B1214" s="4" t="str">
        <f>IFERROR(__xludf.DUMMYFUNCTION("""COMPUTED_VALUE"""),"Rollo cinta reflectante adhesiva N/A 5 cm x 45 metros")</f>
        <v>Rollo cinta reflectante adhesiva N/A 5 cm x 45 metros</v>
      </c>
      <c r="C1214" s="4">
        <f>IFERROR(__xludf.DUMMYFUNCTION("""COMPUTED_VALUE"""),14.304)</f>
        <v>14.304</v>
      </c>
      <c r="D1214" s="4">
        <f>IFERROR(__xludf.DUMMYFUNCTION("""COMPUTED_VALUE"""),12.5)</f>
        <v>12.5</v>
      </c>
      <c r="E1214" s="4" t="str">
        <f>IFERROR(__xludf.DUMMYFUNCTION("""COMPUTED_VALUE"""),"Neto: 12,50 € (a partir de 12 uds.)")</f>
        <v>Neto: 12,50 € (a partir de 12 uds.)</v>
      </c>
    </row>
    <row r="1215">
      <c r="A1215" s="4" t="str">
        <f>IFERROR(__xludf.DUMMYFUNCTION("""COMPUTED_VALUE"""),"1557")</f>
        <v>1557</v>
      </c>
      <c r="B1215" s="4" t="str">
        <f>IFERROR(__xludf.DUMMYFUNCTION("""COMPUTED_VALUE"""),"Rollo Cinta 10 cm reflectante adhesiva R/B 45 metros")</f>
        <v>Rollo Cinta 10 cm reflectante adhesiva R/B 45 metros</v>
      </c>
      <c r="C1215" s="4">
        <f>IFERROR(__xludf.DUMMYFUNCTION("""COMPUTED_VALUE"""),26.208)</f>
        <v>26.208</v>
      </c>
      <c r="D1215" s="4">
        <f>IFERROR(__xludf.DUMMYFUNCTION("""COMPUTED_VALUE"""),22.0)</f>
        <v>22</v>
      </c>
      <c r="E1215" s="4" t="str">
        <f>IFERROR(__xludf.DUMMYFUNCTION("""COMPUTED_VALUE"""),"Neto: 22,00 € (a partir de 12 uds.)")</f>
        <v>Neto: 22,00 € (a partir de 12 uds.)</v>
      </c>
    </row>
    <row r="1216">
      <c r="A1216" s="4" t="str">
        <f>IFERROR(__xludf.DUMMYFUNCTION("""COMPUTED_VALUE"""),"1558")</f>
        <v>1558</v>
      </c>
      <c r="B1216" s="4" t="str">
        <f>IFERROR(__xludf.DUMMYFUNCTION("""COMPUTED_VALUE"""),"Rollo cinta 10 cm reflectante adhesiva N/A 45 metros")</f>
        <v>Rollo cinta 10 cm reflectante adhesiva N/A 45 metros</v>
      </c>
      <c r="C1216" s="4">
        <f>IFERROR(__xludf.DUMMYFUNCTION("""COMPUTED_VALUE"""),26.208)</f>
        <v>26.208</v>
      </c>
      <c r="D1216" s="4">
        <f>IFERROR(__xludf.DUMMYFUNCTION("""COMPUTED_VALUE"""),22.0)</f>
        <v>22</v>
      </c>
      <c r="E1216" s="4" t="str">
        <f>IFERROR(__xludf.DUMMYFUNCTION("""COMPUTED_VALUE"""),"Neto: 22,00 € (a partir de 12 uds.)")</f>
        <v>Neto: 22,00 € (a partir de 12 uds.)</v>
      </c>
    </row>
    <row r="1217">
      <c r="A1217" s="4" t="str">
        <f>IFERROR(__xludf.DUMMYFUNCTION("""COMPUTED_VALUE"""),"1559A")</f>
        <v>1559A</v>
      </c>
      <c r="B1217" s="4" t="str">
        <f>IFERROR(__xludf.DUMMYFUNCTION("""COMPUTED_VALUE"""),"Rollo Cinta Adhesiva personalizada 1 color 5cm x132 mts")</f>
        <v>Rollo Cinta Adhesiva personalizada 1 color 5cm x132 mts</v>
      </c>
      <c r="C1217" s="4">
        <f>IFERROR(__xludf.DUMMYFUNCTION("""COMPUTED_VALUE"""),2.832)</f>
        <v>2.832</v>
      </c>
      <c r="D1217" s="4"/>
      <c r="E1217" s="4" t="str">
        <f>IFERROR(__xludf.DUMMYFUNCTION("""COMPUTED_VALUE"""),"Sin precio neto")</f>
        <v>Sin precio neto</v>
      </c>
    </row>
    <row r="1218">
      <c r="A1218" s="4" t="str">
        <f>IFERROR(__xludf.DUMMYFUNCTION("""COMPUTED_VALUE"""),"1559B")</f>
        <v>1559B</v>
      </c>
      <c r="B1218" s="4" t="str">
        <f>IFERROR(__xludf.DUMMYFUNCTION("""COMPUTED_VALUE"""),"Rollo Cinta Adhesiva personalizada 2 colores 5cm x132 mts")</f>
        <v>Rollo Cinta Adhesiva personalizada 2 colores 5cm x132 mts</v>
      </c>
      <c r="C1218" s="4">
        <f>IFERROR(__xludf.DUMMYFUNCTION("""COMPUTED_VALUE"""),3.072)</f>
        <v>3.072</v>
      </c>
      <c r="D1218" s="4"/>
      <c r="E1218" s="4" t="str">
        <f>IFERROR(__xludf.DUMMYFUNCTION("""COMPUTED_VALUE"""),"Sin precio neto")</f>
        <v>Sin precio neto</v>
      </c>
    </row>
    <row r="1219">
      <c r="A1219" s="4" t="str">
        <f>IFERROR(__xludf.DUMMYFUNCTION("""COMPUTED_VALUE"""),"1559C")</f>
        <v>1559C</v>
      </c>
      <c r="B1219" s="4" t="str">
        <f>IFERROR(__xludf.DUMMYFUNCTION("""COMPUTED_VALUE"""),"Rollo Cinta Adhesiva personalizada 3 colores 5cm x132 mts")</f>
        <v>Rollo Cinta Adhesiva personalizada 3 colores 5cm x132 mts</v>
      </c>
      <c r="C1219" s="4">
        <f>IFERROR(__xludf.DUMMYFUNCTION("""COMPUTED_VALUE"""),3.552)</f>
        <v>3.552</v>
      </c>
      <c r="D1219" s="4"/>
      <c r="E1219" s="4" t="str">
        <f>IFERROR(__xludf.DUMMYFUNCTION("""COMPUTED_VALUE"""),"Sin precio neto")</f>
        <v>Sin precio neto</v>
      </c>
    </row>
    <row r="1220">
      <c r="A1220" s="4" t="str">
        <f>IFERROR(__xludf.DUMMYFUNCTION("""COMPUTED_VALUE"""),"1561A")</f>
        <v>1561A</v>
      </c>
      <c r="B1220" s="4" t="str">
        <f>IFERROR(__xludf.DUMMYFUNCTION("""COMPUTED_VALUE"""),"Cinta adhesiva 50 mm x 132 m Amarillo")</f>
        <v>Cinta adhesiva 50 mm x 132 m Amarillo</v>
      </c>
      <c r="C1220" s="4">
        <f>IFERROR(__xludf.DUMMYFUNCTION("""COMPUTED_VALUE"""),3.264)</f>
        <v>3.264</v>
      </c>
      <c r="D1220" s="4"/>
      <c r="E1220" s="4" t="str">
        <f>IFERROR(__xludf.DUMMYFUNCTION("""COMPUTED_VALUE"""),"Sin precio neto")</f>
        <v>Sin precio neto</v>
      </c>
    </row>
    <row r="1221">
      <c r="A1221" s="4" t="str">
        <f>IFERROR(__xludf.DUMMYFUNCTION("""COMPUTED_VALUE"""),"1561B")</f>
        <v>1561B</v>
      </c>
      <c r="B1221" s="4" t="str">
        <f>IFERROR(__xludf.DUMMYFUNCTION("""COMPUTED_VALUE"""),"Cinta adhesiva 50 mm x 132 m Blanco")</f>
        <v>Cinta adhesiva 50 mm x 132 m Blanco</v>
      </c>
      <c r="C1221" s="4">
        <f>IFERROR(__xludf.DUMMYFUNCTION("""COMPUTED_VALUE"""),3.264)</f>
        <v>3.264</v>
      </c>
      <c r="D1221" s="4"/>
      <c r="E1221" s="4" t="str">
        <f>IFERROR(__xludf.DUMMYFUNCTION("""COMPUTED_VALUE"""),"Sin precio neto")</f>
        <v>Sin precio neto</v>
      </c>
    </row>
    <row r="1222">
      <c r="A1222" s="4" t="str">
        <f>IFERROR(__xludf.DUMMYFUNCTION("""COMPUTED_VALUE"""),"1561N")</f>
        <v>1561N</v>
      </c>
      <c r="B1222" s="4" t="str">
        <f>IFERROR(__xludf.DUMMYFUNCTION("""COMPUTED_VALUE"""),"Cinta adhesiva 50 mm x 132 m Negro")</f>
        <v>Cinta adhesiva 50 mm x 132 m Negro</v>
      </c>
      <c r="C1222" s="4">
        <f>IFERROR(__xludf.DUMMYFUNCTION("""COMPUTED_VALUE"""),3.264)</f>
        <v>3.264</v>
      </c>
      <c r="D1222" s="4"/>
      <c r="E1222" s="4" t="str">
        <f>IFERROR(__xludf.DUMMYFUNCTION("""COMPUTED_VALUE"""),"Sin precio neto")</f>
        <v>Sin precio neto</v>
      </c>
    </row>
    <row r="1223">
      <c r="A1223" s="4" t="str">
        <f>IFERROR(__xludf.DUMMYFUNCTION("""COMPUTED_VALUE"""),"1561R")</f>
        <v>1561R</v>
      </c>
      <c r="B1223" s="4" t="str">
        <f>IFERROR(__xludf.DUMMYFUNCTION("""COMPUTED_VALUE"""),"Cinta adhesiva 50 mm x 132 m Rojo")</f>
        <v>Cinta adhesiva 50 mm x 132 m Rojo</v>
      </c>
      <c r="C1223" s="4">
        <f>IFERROR(__xludf.DUMMYFUNCTION("""COMPUTED_VALUE"""),3.264)</f>
        <v>3.264</v>
      </c>
      <c r="D1223" s="4"/>
      <c r="E1223" s="4" t="str">
        <f>IFERROR(__xludf.DUMMYFUNCTION("""COMPUTED_VALUE"""),"Sin precio neto")</f>
        <v>Sin precio neto</v>
      </c>
    </row>
    <row r="1224">
      <c r="A1224" s="4" t="str">
        <f>IFERROR(__xludf.DUMMYFUNCTION("""COMPUTED_VALUE"""),"1561V")</f>
        <v>1561V</v>
      </c>
      <c r="B1224" s="4" t="str">
        <f>IFERROR(__xludf.DUMMYFUNCTION("""COMPUTED_VALUE"""),"Cinta adhesiva 50 mm x 132 m Verde")</f>
        <v>Cinta adhesiva 50 mm x 132 m Verde</v>
      </c>
      <c r="C1224" s="4">
        <f>IFERROR(__xludf.DUMMYFUNCTION("""COMPUTED_VALUE"""),3.264)</f>
        <v>3.264</v>
      </c>
      <c r="D1224" s="4"/>
      <c r="E1224" s="4" t="str">
        <f>IFERROR(__xludf.DUMMYFUNCTION("""COMPUTED_VALUE"""),"Sin precio neto")</f>
        <v>Sin precio neto</v>
      </c>
    </row>
    <row r="1225">
      <c r="A1225" s="4" t="str">
        <f>IFERROR(__xludf.DUMMYFUNCTION("""COMPUTED_VALUE"""),"1561Z")</f>
        <v>1561Z</v>
      </c>
      <c r="B1225" s="4" t="str">
        <f>IFERROR(__xludf.DUMMYFUNCTION("""COMPUTED_VALUE"""),"Cinta adhesiva 50 mm x 132 m Azul")</f>
        <v>Cinta adhesiva 50 mm x 132 m Azul</v>
      </c>
      <c r="C1225" s="4">
        <f>IFERROR(__xludf.DUMMYFUNCTION("""COMPUTED_VALUE"""),3.264)</f>
        <v>3.264</v>
      </c>
      <c r="D1225" s="4"/>
      <c r="E1225" s="4" t="str">
        <f>IFERROR(__xludf.DUMMYFUNCTION("""COMPUTED_VALUE"""),"Sin precio neto")</f>
        <v>Sin precio neto</v>
      </c>
    </row>
    <row r="1226">
      <c r="A1226" s="4" t="str">
        <f>IFERROR(__xludf.DUMMYFUNCTION("""COMPUTED_VALUE"""),"1562")</f>
        <v>1562</v>
      </c>
      <c r="B1226" s="4" t="str">
        <f>IFERROR(__xludf.DUMMYFUNCTION("""COMPUTED_VALUE"""),"Rollo Cinta Señal. N/A 10cm x 200m. G300 2 caras")</f>
        <v>Rollo Cinta Señal. N/A 10cm x 200m. G300 2 caras</v>
      </c>
      <c r="C1226" s="4">
        <f>IFERROR(__xludf.DUMMYFUNCTION("""COMPUTED_VALUE"""),6.96)</f>
        <v>6.96</v>
      </c>
      <c r="D1226" s="4">
        <f>IFERROR(__xludf.DUMMYFUNCTION("""COMPUTED_VALUE"""),5.5)</f>
        <v>5.5</v>
      </c>
      <c r="E1226" s="4" t="str">
        <f>IFERROR(__xludf.DUMMYFUNCTION("""COMPUTED_VALUE"""),"Neto: 5,50 € (a partir de 20 uds.)")</f>
        <v>Neto: 5,50 € (a partir de 20 uds.)</v>
      </c>
    </row>
    <row r="1227">
      <c r="A1227" s="4" t="str">
        <f>IFERROR(__xludf.DUMMYFUNCTION("""COMPUTED_VALUE"""),"1563")</f>
        <v>1563</v>
      </c>
      <c r="B1227" s="4" t="str">
        <f>IFERROR(__xludf.DUMMYFUNCTION("""COMPUTED_VALUE"""),"Rollo Cinta Adhesiva N/A 5cm x132 mts")</f>
        <v>Rollo Cinta Adhesiva N/A 5cm x132 mts</v>
      </c>
      <c r="C1227" s="4">
        <f>IFERROR(__xludf.DUMMYFUNCTION("""COMPUTED_VALUE"""),3.7439999999999998)</f>
        <v>3.744</v>
      </c>
      <c r="D1227" s="4"/>
      <c r="E1227" s="4" t="str">
        <f>IFERROR(__xludf.DUMMYFUNCTION("""COMPUTED_VALUE"""),"Sin precio neto")</f>
        <v>Sin precio neto</v>
      </c>
    </row>
    <row r="1228">
      <c r="A1228" s="4" t="str">
        <f>IFERROR(__xludf.DUMMYFUNCTION("""COMPUTED_VALUE"""),"1564")</f>
        <v>1564</v>
      </c>
      <c r="B1228" s="4" t="str">
        <f>IFERROR(__xludf.DUMMYFUNCTION("""COMPUTED_VALUE"""),"Rollo Cinta Adhesiva B/R 5cm x132 mts")</f>
        <v>Rollo Cinta Adhesiva B/R 5cm x132 mts</v>
      </c>
      <c r="C1228" s="4">
        <f>IFERROR(__xludf.DUMMYFUNCTION("""COMPUTED_VALUE"""),3.7439999999999998)</f>
        <v>3.744</v>
      </c>
      <c r="D1228" s="4"/>
      <c r="E1228" s="4" t="str">
        <f>IFERROR(__xludf.DUMMYFUNCTION("""COMPUTED_VALUE"""),"Sin precio neto")</f>
        <v>Sin precio neto</v>
      </c>
    </row>
    <row r="1229">
      <c r="A1229" s="4" t="str">
        <f>IFERROR(__xludf.DUMMYFUNCTION("""COMPUTED_VALUE"""),"1565")</f>
        <v>1565</v>
      </c>
      <c r="B1229" s="4" t="str">
        <f>IFERROR(__xludf.DUMMYFUNCTION("""COMPUTED_VALUE"""),"Rollo cinta Señal. R/B 10cm X 200m. plata")</f>
        <v>Rollo cinta Señal. R/B 10cm X 200m. plata</v>
      </c>
      <c r="C1229" s="4">
        <f>IFERROR(__xludf.DUMMYFUNCTION("""COMPUTED_VALUE"""),8.831999999999999)</f>
        <v>8.832</v>
      </c>
      <c r="D1229" s="4"/>
      <c r="E1229" s="4" t="str">
        <f>IFERROR(__xludf.DUMMYFUNCTION("""COMPUTED_VALUE"""),"Sin precio neto")</f>
        <v>Sin precio neto</v>
      </c>
    </row>
    <row r="1230">
      <c r="A1230" s="4" t="str">
        <f>IFERROR(__xludf.DUMMYFUNCTION("""COMPUTED_VALUE"""),"1566")</f>
        <v>1566</v>
      </c>
      <c r="B1230" s="4" t="str">
        <f>IFERROR(__xludf.DUMMYFUNCTION("""COMPUTED_VALUE"""),"Rollo cinta Señal. R/B10cmx200m. c/caja G400")</f>
        <v>Rollo cinta Señal. R/B10cmx200m. c/caja G400</v>
      </c>
      <c r="C1230" s="4">
        <f>IFERROR(__xludf.DUMMYFUNCTION("""COMPUTED_VALUE"""),7.5648)</f>
        <v>7.5648</v>
      </c>
      <c r="D1230" s="4"/>
      <c r="E1230" s="4" t="str">
        <f>IFERROR(__xludf.DUMMYFUNCTION("""COMPUTED_VALUE"""),"Sin precio neto")</f>
        <v>Sin precio neto</v>
      </c>
    </row>
    <row r="1231">
      <c r="A1231" s="4" t="str">
        <f>IFERROR(__xludf.DUMMYFUNCTION("""COMPUTED_VALUE"""),"1567")</f>
        <v>1567</v>
      </c>
      <c r="B1231" s="4" t="str">
        <f>IFERROR(__xludf.DUMMYFUNCTION("""COMPUTED_VALUE"""),"Rollo cinta R/B 10cm x 200m. G400")</f>
        <v>Rollo cinta R/B 10cm x 200m. G400</v>
      </c>
      <c r="C1231" s="4">
        <f>IFERROR(__xludf.DUMMYFUNCTION("""COMPUTED_VALUE"""),7.92)</f>
        <v>7.92</v>
      </c>
      <c r="D1231" s="4"/>
      <c r="E1231" s="4" t="str">
        <f>IFERROR(__xludf.DUMMYFUNCTION("""COMPUTED_VALUE"""),"Sin precio neto")</f>
        <v>Sin precio neto</v>
      </c>
    </row>
    <row r="1232">
      <c r="A1232" s="4" t="str">
        <f>IFERROR(__xludf.DUMMYFUNCTION("""COMPUTED_VALUE"""),"1568")</f>
        <v>1568</v>
      </c>
      <c r="B1232" s="4" t="str">
        <f>IFERROR(__xludf.DUMMYFUNCTION("""COMPUTED_VALUE"""),"Rollo cinta Señal. R/B 7cm x 200m. c/caja")</f>
        <v>Rollo cinta Señal. R/B 7cm x 200m. c/caja</v>
      </c>
      <c r="C1232" s="4">
        <f>IFERROR(__xludf.DUMMYFUNCTION("""COMPUTED_VALUE"""),2.16)</f>
        <v>2.16</v>
      </c>
      <c r="D1232" s="4"/>
      <c r="E1232" s="4" t="str">
        <f>IFERROR(__xludf.DUMMYFUNCTION("""COMPUTED_VALUE"""),"Sin precio neto")</f>
        <v>Sin precio neto</v>
      </c>
    </row>
    <row r="1233">
      <c r="A1233" s="4" t="str">
        <f>IFERROR(__xludf.DUMMYFUNCTION("""COMPUTED_VALUE"""),"1569")</f>
        <v>1569</v>
      </c>
      <c r="B1233" s="4" t="str">
        <f>IFERROR(__xludf.DUMMYFUNCTION("""COMPUTED_VALUE"""),"Rollo cinta R/B 10cm x 200m. c/caja G300")</f>
        <v>Rollo cinta R/B 10cm x 200m. c/caja G300</v>
      </c>
      <c r="C1233" s="4">
        <f>IFERROR(__xludf.DUMMYFUNCTION("""COMPUTED_VALUE"""),7.776)</f>
        <v>7.776</v>
      </c>
      <c r="D1233" s="4"/>
      <c r="E1233" s="4" t="str">
        <f>IFERROR(__xludf.DUMMYFUNCTION("""COMPUTED_VALUE"""),"Sin precio neto")</f>
        <v>Sin precio neto</v>
      </c>
    </row>
    <row r="1234">
      <c r="A1234" s="4" t="str">
        <f>IFERROR(__xludf.DUMMYFUNCTION("""COMPUTED_VALUE"""),"1570")</f>
        <v>1570</v>
      </c>
      <c r="B1234" s="4" t="str">
        <f>IFERROR(__xludf.DUMMYFUNCTION("""COMPUTED_VALUE"""),"Rollo cinta Señal.R-B 10cm x 200m. G300 2 caras")</f>
        <v>Rollo cinta Señal.R-B 10cm x 200m. G300 2 caras</v>
      </c>
      <c r="C1234" s="4">
        <f>IFERROR(__xludf.DUMMYFUNCTION("""COMPUTED_VALUE"""),6.96)</f>
        <v>6.96</v>
      </c>
      <c r="D1234" s="4">
        <f>IFERROR(__xludf.DUMMYFUNCTION("""COMPUTED_VALUE"""),5.5)</f>
        <v>5.5</v>
      </c>
      <c r="E1234" s="4" t="str">
        <f>IFERROR(__xludf.DUMMYFUNCTION("""COMPUTED_VALUE"""),"Neto: 5,50 € (a partir de 20 uds.)")</f>
        <v>Neto: 5,50 € (a partir de 20 uds.)</v>
      </c>
    </row>
    <row r="1235">
      <c r="A1235" s="4" t="str">
        <f>IFERROR(__xludf.DUMMYFUNCTION("""COMPUTED_VALUE"""),"1570V")</f>
        <v>1570V</v>
      </c>
      <c r="B1235" s="4" t="str">
        <f>IFERROR(__xludf.DUMMYFUNCTION("""COMPUTED_VALUE"""),"Rollo cinta Señal.V/B 10cm x 200 m G300 2 caras")</f>
        <v>Rollo cinta Señal.V/B 10cm x 200 m G300 2 caras</v>
      </c>
      <c r="C1235" s="4">
        <f>IFERROR(__xludf.DUMMYFUNCTION("""COMPUTED_VALUE"""),6.96)</f>
        <v>6.96</v>
      </c>
      <c r="D1235" s="4">
        <f>IFERROR(__xludf.DUMMYFUNCTION("""COMPUTED_VALUE"""),5.5)</f>
        <v>5.5</v>
      </c>
      <c r="E1235" s="4" t="str">
        <f>IFERROR(__xludf.DUMMYFUNCTION("""COMPUTED_VALUE"""),"Neto: 5,50 € (a partir de 20 uds.)")</f>
        <v>Neto: 5,50 € (a partir de 20 uds.)</v>
      </c>
    </row>
    <row r="1236">
      <c r="A1236" s="4" t="str">
        <f>IFERROR(__xludf.DUMMYFUNCTION("""COMPUTED_VALUE"""),"1570Z")</f>
        <v>1570Z</v>
      </c>
      <c r="B1236" s="4" t="str">
        <f>IFERROR(__xludf.DUMMYFUNCTION("""COMPUTED_VALUE"""),"Rollo cinta Señal. B/A 10 cm x 200m. G300 2 caras")</f>
        <v>Rollo cinta Señal. B/A 10 cm x 200m. G300 2 caras</v>
      </c>
      <c r="C1236" s="4">
        <f>IFERROR(__xludf.DUMMYFUNCTION("""COMPUTED_VALUE"""),6.96)</f>
        <v>6.96</v>
      </c>
      <c r="D1236" s="4">
        <f>IFERROR(__xludf.DUMMYFUNCTION("""COMPUTED_VALUE"""),5.5)</f>
        <v>5.5</v>
      </c>
      <c r="E1236" s="4" t="str">
        <f>IFERROR(__xludf.DUMMYFUNCTION("""COMPUTED_VALUE"""),"Neto: 5,50 € (a partir de 20 uds.)")</f>
        <v>Neto: 5,50 € (a partir de 20 uds.)</v>
      </c>
    </row>
    <row r="1237">
      <c r="A1237" s="4" t="str">
        <f>IFERROR(__xludf.DUMMYFUNCTION("""COMPUTED_VALUE"""),"1571")</f>
        <v>1571</v>
      </c>
      <c r="B1237" s="4" t="str">
        <f>IFERROR(__xludf.DUMMYFUNCTION("""COMPUTED_VALUE"""),"Rollo cinta Señal. 7cm x 200m. s/caja")</f>
        <v>Rollo cinta Señal. 7cm x 200m. s/caja</v>
      </c>
      <c r="C1237" s="4">
        <f>IFERROR(__xludf.DUMMYFUNCTION("""COMPUTED_VALUE"""),1.9103999999999999)</f>
        <v>1.9104</v>
      </c>
      <c r="D1237" s="4">
        <f>IFERROR(__xludf.DUMMYFUNCTION("""COMPUTED_VALUE"""),1.8)</f>
        <v>1.8</v>
      </c>
      <c r="E1237" s="4" t="str">
        <f>IFERROR(__xludf.DUMMYFUNCTION("""COMPUTED_VALUE"""),"Neto: 1,80 € (a partir de 24 uds.)")</f>
        <v>Neto: 1,80 € (a partir de 24 uds.)</v>
      </c>
    </row>
    <row r="1238">
      <c r="A1238" s="4" t="str">
        <f>IFERROR(__xludf.DUMMYFUNCTION("""COMPUTED_VALUE"""),"1572")</f>
        <v>1572</v>
      </c>
      <c r="B1238" s="4" t="str">
        <f>IFERROR(__xludf.DUMMYFUNCTION("""COMPUTED_VALUE"""),"Rollo cinta Señal. 15cm x 200m. TELECOMUNICACIONES")</f>
        <v>Rollo cinta Señal. 15cm x 200m. TELECOMUNICACIONES</v>
      </c>
      <c r="C1238" s="4">
        <f>IFERROR(__xludf.DUMMYFUNCTION("""COMPUTED_VALUE"""),11.472)</f>
        <v>11.472</v>
      </c>
      <c r="D1238" s="4">
        <f>IFERROR(__xludf.DUMMYFUNCTION("""COMPUTED_VALUE"""),9.8)</f>
        <v>9.8</v>
      </c>
      <c r="E1238" s="4" t="str">
        <f>IFERROR(__xludf.DUMMYFUNCTION("""COMPUTED_VALUE"""),"Neto: 9,80 € (a partir de 12 uds.)")</f>
        <v>Neto: 9,80 € (a partir de 12 uds.)</v>
      </c>
    </row>
    <row r="1239">
      <c r="A1239" s="4" t="str">
        <f>IFERROR(__xludf.DUMMYFUNCTION("""COMPUTED_VALUE"""),"1572M")</f>
        <v>1572M</v>
      </c>
      <c r="B1239" s="4" t="str">
        <f>IFERROR(__xludf.DUMMYFUNCTION("""COMPUTED_VALUE"""),"Malla verde señalización telecomunicaciones 33 cm x 200 m")</f>
        <v>Malla verde señalización telecomunicaciones 33 cm x 200 m</v>
      </c>
      <c r="C1239" s="4">
        <f>IFERROR(__xludf.DUMMYFUNCTION("""COMPUTED_VALUE"""),31.68)</f>
        <v>31.68</v>
      </c>
      <c r="D1239" s="4"/>
      <c r="E1239" s="4" t="str">
        <f>IFERROR(__xludf.DUMMYFUNCTION("""COMPUTED_VALUE"""),"Sin precio neto")</f>
        <v>Sin precio neto</v>
      </c>
    </row>
    <row r="1240">
      <c r="A1240" s="4" t="str">
        <f>IFERROR(__xludf.DUMMYFUNCTION("""COMPUTED_VALUE"""),"1573")</f>
        <v>1573</v>
      </c>
      <c r="B1240" s="4" t="str">
        <f>IFERROR(__xludf.DUMMYFUNCTION("""COMPUTED_VALUE"""),"Rollo cinta Señal. 15cm x 200m. AGUA")</f>
        <v>Rollo cinta Señal. 15cm x 200m. AGUA</v>
      </c>
      <c r="C1240" s="4">
        <f>IFERROR(__xludf.DUMMYFUNCTION("""COMPUTED_VALUE"""),11.472)</f>
        <v>11.472</v>
      </c>
      <c r="D1240" s="4">
        <f>IFERROR(__xludf.DUMMYFUNCTION("""COMPUTED_VALUE"""),9.8)</f>
        <v>9.8</v>
      </c>
      <c r="E1240" s="4" t="str">
        <f>IFERROR(__xludf.DUMMYFUNCTION("""COMPUTED_VALUE"""),"Neto: 9,80 € (a partir de 12 uds.)")</f>
        <v>Neto: 9,80 € (a partir de 12 uds.)</v>
      </c>
    </row>
    <row r="1241">
      <c r="A1241" s="4" t="str">
        <f>IFERROR(__xludf.DUMMYFUNCTION("""COMPUTED_VALUE"""),"1573M")</f>
        <v>1573M</v>
      </c>
      <c r="B1241" s="4" t="str">
        <f>IFERROR(__xludf.DUMMYFUNCTION("""COMPUTED_VALUE"""),"Malla azul señalización agua 33 cm x 200 m")</f>
        <v>Malla azul señalización agua 33 cm x 200 m</v>
      </c>
      <c r="C1241" s="4">
        <f>IFERROR(__xludf.DUMMYFUNCTION("""COMPUTED_VALUE"""),31.68)</f>
        <v>31.68</v>
      </c>
      <c r="D1241" s="4"/>
      <c r="E1241" s="4" t="str">
        <f>IFERROR(__xludf.DUMMYFUNCTION("""COMPUTED_VALUE"""),"Sin precio neto")</f>
        <v>Sin precio neto</v>
      </c>
    </row>
    <row r="1242">
      <c r="A1242" s="4" t="str">
        <f>IFERROR(__xludf.DUMMYFUNCTION("""COMPUTED_VALUE"""),"1574")</f>
        <v>1574</v>
      </c>
      <c r="B1242" s="4" t="str">
        <f>IFERROR(__xludf.DUMMYFUNCTION("""COMPUTED_VALUE"""),"Rollo cinta Señal. 15cm x 200m. GAS")</f>
        <v>Rollo cinta Señal. 15cm x 200m. GAS</v>
      </c>
      <c r="C1242" s="4">
        <f>IFERROR(__xludf.DUMMYFUNCTION("""COMPUTED_VALUE"""),11.472)</f>
        <v>11.472</v>
      </c>
      <c r="D1242" s="4">
        <f>IFERROR(__xludf.DUMMYFUNCTION("""COMPUTED_VALUE"""),9.8)</f>
        <v>9.8</v>
      </c>
      <c r="E1242" s="4" t="str">
        <f>IFERROR(__xludf.DUMMYFUNCTION("""COMPUTED_VALUE"""),"Neto: 9,80 € (a partir de 12 uds.)")</f>
        <v>Neto: 9,80 € (a partir de 12 uds.)</v>
      </c>
    </row>
    <row r="1243">
      <c r="A1243" s="4" t="str">
        <f>IFERROR(__xludf.DUMMYFUNCTION("""COMPUTED_VALUE"""),"1574M")</f>
        <v>1574M</v>
      </c>
      <c r="B1243" s="4" t="str">
        <f>IFERROR(__xludf.DUMMYFUNCTION("""COMPUTED_VALUE"""),"Malla amarilla señalización gas 33 cm x 200 m")</f>
        <v>Malla amarilla señalización gas 33 cm x 200 m</v>
      </c>
      <c r="C1243" s="4">
        <f>IFERROR(__xludf.DUMMYFUNCTION("""COMPUTED_VALUE"""),31.68)</f>
        <v>31.68</v>
      </c>
      <c r="D1243" s="4"/>
      <c r="E1243" s="4" t="str">
        <f>IFERROR(__xludf.DUMMYFUNCTION("""COMPUTED_VALUE"""),"Sin precio neto")</f>
        <v>Sin precio neto</v>
      </c>
    </row>
    <row r="1244">
      <c r="A1244" s="4" t="str">
        <f>IFERROR(__xludf.DUMMYFUNCTION("""COMPUTED_VALUE"""),"1575")</f>
        <v>1575</v>
      </c>
      <c r="B1244" s="4" t="str">
        <f>IFERROR(__xludf.DUMMYFUNCTION("""COMPUTED_VALUE"""),"Rollo cinta Señal. 15cm x 200m. ELECTRI")</f>
        <v>Rollo cinta Señal. 15cm x 200m. ELECTRI</v>
      </c>
      <c r="C1244" s="4">
        <f>IFERROR(__xludf.DUMMYFUNCTION("""COMPUTED_VALUE"""),11.472)</f>
        <v>11.472</v>
      </c>
      <c r="D1244" s="4">
        <f>IFERROR(__xludf.DUMMYFUNCTION("""COMPUTED_VALUE"""),9.8)</f>
        <v>9.8</v>
      </c>
      <c r="E1244" s="4" t="str">
        <f>IFERROR(__xludf.DUMMYFUNCTION("""COMPUTED_VALUE"""),"Neto: 9,80 € (a partir de 12 uds.)")</f>
        <v>Neto: 9,80 € (a partir de 12 uds.)</v>
      </c>
    </row>
    <row r="1245">
      <c r="A1245" s="4" t="str">
        <f>IFERROR(__xludf.DUMMYFUNCTION("""COMPUTED_VALUE"""),"1575M")</f>
        <v>1575M</v>
      </c>
      <c r="B1245" s="4" t="str">
        <f>IFERROR(__xludf.DUMMYFUNCTION("""COMPUTED_VALUE"""),"Malla roja señalización electricidad 33 cm x 200 m")</f>
        <v>Malla roja señalización electricidad 33 cm x 200 m</v>
      </c>
      <c r="C1245" s="4">
        <f>IFERROR(__xludf.DUMMYFUNCTION("""COMPUTED_VALUE"""),31.68)</f>
        <v>31.68</v>
      </c>
      <c r="D1245" s="4"/>
      <c r="E1245" s="4" t="str">
        <f>IFERROR(__xludf.DUMMYFUNCTION("""COMPUTED_VALUE"""),"Sin precio neto")</f>
        <v>Sin precio neto</v>
      </c>
    </row>
    <row r="1246">
      <c r="A1246" s="4" t="str">
        <f>IFERROR(__xludf.DUMMYFUNCTION("""COMPUTED_VALUE"""),"1575P")</f>
        <v>1575P</v>
      </c>
      <c r="B1246" s="4" t="str">
        <f>IFERROR(__xludf.DUMMYFUNCTION("""COMPUTED_VALUE"""),"Placa señalización eléctrica 1000x250x2.5")</f>
        <v>Placa señalización eléctrica 1000x250x2.5</v>
      </c>
      <c r="C1246" s="4">
        <f>IFERROR(__xludf.DUMMYFUNCTION("""COMPUTED_VALUE"""),1.44)</f>
        <v>1.44</v>
      </c>
      <c r="D1246" s="4"/>
      <c r="E1246" s="4" t="str">
        <f>IFERROR(__xludf.DUMMYFUNCTION("""COMPUTED_VALUE"""),"Sin precio neto")</f>
        <v>Sin precio neto</v>
      </c>
    </row>
    <row r="1247">
      <c r="A1247" s="4" t="str">
        <f>IFERROR(__xludf.DUMMYFUNCTION("""COMPUTED_VALUE"""),"1576")</f>
        <v>1576</v>
      </c>
      <c r="B1247" s="4" t="str">
        <f>IFERROR(__xludf.DUMMYFUNCTION("""COMPUTED_VALUE"""),"Rollo cinta Señal. 10cm x 200m. POLICIA")</f>
        <v>Rollo cinta Señal. 10cm x 200m. POLICIA</v>
      </c>
      <c r="C1247" s="4">
        <f>IFERROR(__xludf.DUMMYFUNCTION("""COMPUTED_VALUE"""),8.448)</f>
        <v>8.448</v>
      </c>
      <c r="D1247" s="4"/>
      <c r="E1247" s="4" t="str">
        <f>IFERROR(__xludf.DUMMYFUNCTION("""COMPUTED_VALUE"""),"Sin precio neto")</f>
        <v>Sin precio neto</v>
      </c>
    </row>
    <row r="1248">
      <c r="A1248" s="4" t="str">
        <f>IFERROR(__xludf.DUMMYFUNCTION("""COMPUTED_VALUE"""),"1577")</f>
        <v>1577</v>
      </c>
      <c r="B1248" s="4" t="str">
        <f>IFERROR(__xludf.DUMMYFUNCTION("""COMPUTED_VALUE"""),"Rollo cinta adhesiva amarilla suelo marcacion temporal")</f>
        <v>Rollo cinta adhesiva amarilla suelo marcacion temporal</v>
      </c>
      <c r="C1248" s="4">
        <f>IFERROR(__xludf.DUMMYFUNCTION("""COMPUTED_VALUE"""),108.0)</f>
        <v>108</v>
      </c>
      <c r="D1248" s="4"/>
      <c r="E1248" s="4" t="str">
        <f>IFERROR(__xludf.DUMMYFUNCTION("""COMPUTED_VALUE"""),"Sin precio neto")</f>
        <v>Sin precio neto</v>
      </c>
    </row>
    <row r="1249">
      <c r="A1249" s="4" t="str">
        <f>IFERROR(__xludf.DUMMYFUNCTION("""COMPUTED_VALUE"""),"1577K")</f>
        <v>1577K</v>
      </c>
      <c r="B1249" s="4" t="str">
        <f>IFERROR(__xludf.DUMMYFUNCTION("""COMPUTED_VALUE"""),"Rollo cinta adhesiva negra suelo marcacion temporal")</f>
        <v>Rollo cinta adhesiva negra suelo marcacion temporal</v>
      </c>
      <c r="C1249" s="4">
        <f>IFERROR(__xludf.DUMMYFUNCTION("""COMPUTED_VALUE"""),108.0)</f>
        <v>108</v>
      </c>
      <c r="D1249" s="4"/>
      <c r="E1249" s="4" t="str">
        <f>IFERROR(__xludf.DUMMYFUNCTION("""COMPUTED_VALUE"""),"Sin precio neto")</f>
        <v>Sin precio neto</v>
      </c>
    </row>
    <row r="1250">
      <c r="A1250" s="4" t="str">
        <f>IFERROR(__xludf.DUMMYFUNCTION("""COMPUTED_VALUE"""),"1577W")</f>
        <v>1577W</v>
      </c>
      <c r="B1250" s="4" t="str">
        <f>IFERROR(__xludf.DUMMYFUNCTION("""COMPUTED_VALUE"""),"Rollo cinta adhesiva blanca suelo marcacion temporal")</f>
        <v>Rollo cinta adhesiva blanca suelo marcacion temporal</v>
      </c>
      <c r="C1250" s="4">
        <f>IFERROR(__xludf.DUMMYFUNCTION("""COMPUTED_VALUE"""),108.0)</f>
        <v>108</v>
      </c>
      <c r="D1250" s="4"/>
      <c r="E1250" s="4" t="str">
        <f>IFERROR(__xludf.DUMMYFUNCTION("""COMPUTED_VALUE"""),"Sin precio neto")</f>
        <v>Sin precio neto</v>
      </c>
    </row>
    <row r="1251">
      <c r="A1251" s="4" t="str">
        <f>IFERROR(__xludf.DUMMYFUNCTION("""COMPUTED_VALUE"""),"1578")</f>
        <v>1578</v>
      </c>
      <c r="B1251" s="4" t="str">
        <f>IFERROR(__xludf.DUMMYFUNCTION("""COMPUTED_VALUE"""),"Rollo cinta Señal.N/A 10cm x200m c/caja G400")</f>
        <v>Rollo cinta Señal.N/A 10cm x200m c/caja G400</v>
      </c>
      <c r="C1251" s="4">
        <f>IFERROR(__xludf.DUMMYFUNCTION("""COMPUTED_VALUE"""),8.4672)</f>
        <v>8.4672</v>
      </c>
      <c r="D1251" s="4"/>
      <c r="E1251" s="4" t="str">
        <f>IFERROR(__xludf.DUMMYFUNCTION("""COMPUTED_VALUE"""),"Sin precio neto")</f>
        <v>Sin precio neto</v>
      </c>
    </row>
    <row r="1252">
      <c r="A1252" s="4" t="str">
        <f>IFERROR(__xludf.DUMMYFUNCTION("""COMPUTED_VALUE"""),"1579")</f>
        <v>1579</v>
      </c>
      <c r="B1252" s="4" t="str">
        <f>IFERROR(__xludf.DUMMYFUNCTION("""COMPUTED_VALUE"""),"Rollo cinta Señal. N/A 10cm. x 200m. G400")</f>
        <v>Rollo cinta Señal. N/A 10cm. x 200m. G400</v>
      </c>
      <c r="C1252" s="4">
        <f>IFERROR(__xludf.DUMMYFUNCTION("""COMPUTED_VALUE"""),7.92)</f>
        <v>7.92</v>
      </c>
      <c r="D1252" s="4"/>
      <c r="E1252" s="4" t="str">
        <f>IFERROR(__xludf.DUMMYFUNCTION("""COMPUTED_VALUE"""),"Sin precio neto")</f>
        <v>Sin precio neto</v>
      </c>
    </row>
    <row r="1253">
      <c r="A1253" s="4" t="str">
        <f>IFERROR(__xludf.DUMMYFUNCTION("""COMPUTED_VALUE"""),"1580")</f>
        <v>1580</v>
      </c>
      <c r="B1253" s="4" t="str">
        <f>IFERROR(__xludf.DUMMYFUNCTION("""COMPUTED_VALUE"""),"Mts. Banderola Quitamiedos c/reflec")</f>
        <v>Mts. Banderola Quitamiedos c/reflec</v>
      </c>
      <c r="C1253" s="4">
        <f>IFERROR(__xludf.DUMMYFUNCTION("""COMPUTED_VALUE"""),0.6528)</f>
        <v>0.6528</v>
      </c>
      <c r="D1253" s="4"/>
      <c r="E1253" s="4" t="str">
        <f>IFERROR(__xludf.DUMMYFUNCTION("""COMPUTED_VALUE"""),"Sin precio neto")</f>
        <v>Sin precio neto</v>
      </c>
    </row>
    <row r="1254">
      <c r="A1254" s="4" t="str">
        <f>IFERROR(__xludf.DUMMYFUNCTION("""COMPUTED_VALUE"""),"1581")</f>
        <v>1581</v>
      </c>
      <c r="B1254" s="4" t="str">
        <f>IFERROR(__xludf.DUMMYFUNCTION("""COMPUTED_VALUE"""),"Mts. Banderola Quitamiedos s/reflectante")</f>
        <v>Mts. Banderola Quitamiedos s/reflectante</v>
      </c>
      <c r="C1254" s="4">
        <f>IFERROR(__xludf.DUMMYFUNCTION("""COMPUTED_VALUE"""),0.3264)</f>
        <v>0.3264</v>
      </c>
      <c r="D1254" s="4"/>
      <c r="E1254" s="4" t="str">
        <f>IFERROR(__xludf.DUMMYFUNCTION("""COMPUTED_VALUE"""),"Sin precio neto")</f>
        <v>Sin precio neto</v>
      </c>
    </row>
    <row r="1255">
      <c r="A1255" s="4" t="str">
        <f>IFERROR(__xludf.DUMMYFUNCTION("""COMPUTED_VALUE"""),"1582")</f>
        <v>1582</v>
      </c>
      <c r="B1255" s="4" t="str">
        <f>IFERROR(__xludf.DUMMYFUNCTION("""COMPUTED_VALUE"""),"Rollos cinta Señal. 10cm x 200m. PROTECCION CIVIL")</f>
        <v>Rollos cinta Señal. 10cm x 200m. PROTECCION CIVIL</v>
      </c>
      <c r="C1255" s="4">
        <f>IFERROR(__xludf.DUMMYFUNCTION("""COMPUTED_VALUE"""),7.92)</f>
        <v>7.92</v>
      </c>
      <c r="D1255" s="4"/>
      <c r="E1255" s="4" t="str">
        <f>IFERROR(__xludf.DUMMYFUNCTION("""COMPUTED_VALUE"""),"Sin precio neto")</f>
        <v>Sin precio neto</v>
      </c>
    </row>
    <row r="1256">
      <c r="A1256" s="4" t="str">
        <f>IFERROR(__xludf.DUMMYFUNCTION("""COMPUTED_VALUE"""),"1583")</f>
        <v>1583</v>
      </c>
      <c r="B1256" s="4" t="str">
        <f>IFERROR(__xludf.DUMMYFUNCTION("""COMPUTED_VALUE"""),"Rollo cinta Señal.N/A 10cm x 200m. G300 AMIANTO")</f>
        <v>Rollo cinta Señal.N/A 10cm x 200m. G300 AMIANTO</v>
      </c>
      <c r="C1256" s="4">
        <f>IFERROR(__xludf.DUMMYFUNCTION("""COMPUTED_VALUE"""),6.672)</f>
        <v>6.672</v>
      </c>
      <c r="D1256" s="4"/>
      <c r="E1256" s="4" t="str">
        <f>IFERROR(__xludf.DUMMYFUNCTION("""COMPUTED_VALUE"""),"Sin precio neto")</f>
        <v>Sin precio neto</v>
      </c>
    </row>
    <row r="1257">
      <c r="A1257" s="4" t="str">
        <f>IFERROR(__xludf.DUMMYFUNCTION("""COMPUTED_VALUE"""),"1585")</f>
        <v>1585</v>
      </c>
      <c r="B1257" s="4" t="str">
        <f>IFERROR(__xludf.DUMMYFUNCTION("""COMPUTED_VALUE"""),"Rollo cinta Señal. 10cm x 200m. NARANJA")</f>
        <v>Rollo cinta Señal. 10cm x 200m. NARANJA</v>
      </c>
      <c r="C1257" s="4">
        <f>IFERROR(__xludf.DUMMYFUNCTION("""COMPUTED_VALUE"""),6.96)</f>
        <v>6.96</v>
      </c>
      <c r="D1257" s="4"/>
      <c r="E1257" s="4" t="str">
        <f>IFERROR(__xludf.DUMMYFUNCTION("""COMPUTED_VALUE"""),"Sin precio neto")</f>
        <v>Sin precio neto</v>
      </c>
    </row>
    <row r="1258">
      <c r="A1258" s="4" t="str">
        <f>IFERROR(__xludf.DUMMYFUNCTION("""COMPUTED_VALUE"""),"1586")</f>
        <v>1586</v>
      </c>
      <c r="B1258" s="4" t="str">
        <f>IFERROR(__xludf.DUMMYFUNCTION("""COMPUTED_VALUE"""),"Rollo cinta Señal. 10cm x 200m. VERDE")</f>
        <v>Rollo cinta Señal. 10cm x 200m. VERDE</v>
      </c>
      <c r="C1258" s="4">
        <f>IFERROR(__xludf.DUMMYFUNCTION("""COMPUTED_VALUE"""),6.96)</f>
        <v>6.96</v>
      </c>
      <c r="D1258" s="4"/>
      <c r="E1258" s="4" t="str">
        <f>IFERROR(__xludf.DUMMYFUNCTION("""COMPUTED_VALUE"""),"Sin precio neto")</f>
        <v>Sin precio neto</v>
      </c>
    </row>
    <row r="1259">
      <c r="A1259" s="4" t="str">
        <f>IFERROR(__xludf.DUMMYFUNCTION("""COMPUTED_VALUE"""),"1587")</f>
        <v>1587</v>
      </c>
      <c r="B1259" s="4" t="str">
        <f>IFERROR(__xludf.DUMMYFUNCTION("""COMPUTED_VALUE"""),"Rollo cinta Señal. 10cm x 200m. AZUL")</f>
        <v>Rollo cinta Señal. 10cm x 200m. AZUL</v>
      </c>
      <c r="C1259" s="4">
        <f>IFERROR(__xludf.DUMMYFUNCTION("""COMPUTED_VALUE"""),6.96)</f>
        <v>6.96</v>
      </c>
      <c r="D1259" s="4"/>
      <c r="E1259" s="4" t="str">
        <f>IFERROR(__xludf.DUMMYFUNCTION("""COMPUTED_VALUE"""),"Sin precio neto")</f>
        <v>Sin precio neto</v>
      </c>
    </row>
    <row r="1260">
      <c r="A1260" s="4" t="str">
        <f>IFERROR(__xludf.DUMMYFUNCTION("""COMPUTED_VALUE"""),"1588")</f>
        <v>1588</v>
      </c>
      <c r="B1260" s="4" t="str">
        <f>IFERROR(__xludf.DUMMYFUNCTION("""COMPUTED_VALUE"""),"Rollo cinta Señal. 10cm x 200m. AMARILLO")</f>
        <v>Rollo cinta Señal. 10cm x 200m. AMARILLO</v>
      </c>
      <c r="C1260" s="4">
        <f>IFERROR(__xludf.DUMMYFUNCTION("""COMPUTED_VALUE"""),6.96)</f>
        <v>6.96</v>
      </c>
      <c r="D1260" s="4"/>
      <c r="E1260" s="4" t="str">
        <f>IFERROR(__xludf.DUMMYFUNCTION("""COMPUTED_VALUE"""),"Sin precio neto")</f>
        <v>Sin precio neto</v>
      </c>
    </row>
    <row r="1261">
      <c r="A1261" s="4" t="str">
        <f>IFERROR(__xludf.DUMMYFUNCTION("""COMPUTED_VALUE"""),"1590")</f>
        <v>1590</v>
      </c>
      <c r="B1261" s="4" t="str">
        <f>IFERROR(__xludf.DUMMYFUNCTION("""COMPUTED_VALUE"""),"Vinilo adhesivo suelo ESPERE SU TURNO 40 cm")</f>
        <v>Vinilo adhesivo suelo ESPERE SU TURNO 40 cm</v>
      </c>
      <c r="C1261" s="4">
        <f>IFERROR(__xludf.DUMMYFUNCTION("""COMPUTED_VALUE"""),5.904)</f>
        <v>5.904</v>
      </c>
      <c r="D1261" s="4"/>
      <c r="E1261" s="4" t="str">
        <f>IFERROR(__xludf.DUMMYFUNCTION("""COMPUTED_VALUE"""),"Sin precio neto")</f>
        <v>Sin precio neto</v>
      </c>
    </row>
    <row r="1262">
      <c r="A1262" s="4" t="str">
        <f>IFERROR(__xludf.DUMMYFUNCTION("""COMPUTED_VALUE"""),"1591")</f>
        <v>1591</v>
      </c>
      <c r="B1262" s="4" t="str">
        <f>IFERROR(__xludf.DUMMYFUNCTION("""COMPUTED_VALUE"""),"Vinilo adhesivo suelo Paso oblig. carretillas 40 cm")</f>
        <v>Vinilo adhesivo suelo Paso oblig. carretillas 40 cm</v>
      </c>
      <c r="C1262" s="4">
        <f>IFERROR(__xludf.DUMMYFUNCTION("""COMPUTED_VALUE"""),5.904)</f>
        <v>5.904</v>
      </c>
      <c r="D1262" s="4"/>
      <c r="E1262" s="4" t="str">
        <f>IFERROR(__xludf.DUMMYFUNCTION("""COMPUTED_VALUE"""),"Sin precio neto")</f>
        <v>Sin precio neto</v>
      </c>
    </row>
    <row r="1263">
      <c r="A1263" s="4" t="str">
        <f>IFERROR(__xludf.DUMMYFUNCTION("""COMPUTED_VALUE"""),"1592")</f>
        <v>1592</v>
      </c>
      <c r="B1263" s="4" t="str">
        <f>IFERROR(__xludf.DUMMYFUNCTION("""COMPUTED_VALUE"""),"Vinilo adhesivo suelo Peligro Paso de carretilla 40 cm")</f>
        <v>Vinilo adhesivo suelo Peligro Paso de carretilla 40 cm</v>
      </c>
      <c r="C1263" s="4">
        <f>IFERROR(__xludf.DUMMYFUNCTION("""COMPUTED_VALUE"""),5.904)</f>
        <v>5.904</v>
      </c>
      <c r="D1263" s="4"/>
      <c r="E1263" s="4" t="str">
        <f>IFERROR(__xludf.DUMMYFUNCTION("""COMPUTED_VALUE"""),"Sin precio neto")</f>
        <v>Sin precio neto</v>
      </c>
    </row>
    <row r="1264">
      <c r="A1264" s="4" t="str">
        <f>IFERROR(__xludf.DUMMYFUNCTION("""COMPUTED_VALUE"""),"1593")</f>
        <v>1593</v>
      </c>
      <c r="B1264" s="4" t="str">
        <f>IFERROR(__xludf.DUMMYFUNCTION("""COMPUTED_VALUE"""),"Vinilo adhesivo suelo Peligro suelo Resbaladizo 40 cm")</f>
        <v>Vinilo adhesivo suelo Peligro suelo Resbaladizo 40 cm</v>
      </c>
      <c r="C1264" s="4">
        <f>IFERROR(__xludf.DUMMYFUNCTION("""COMPUTED_VALUE"""),5.904)</f>
        <v>5.904</v>
      </c>
      <c r="D1264" s="4"/>
      <c r="E1264" s="4" t="str">
        <f>IFERROR(__xludf.DUMMYFUNCTION("""COMPUTED_VALUE"""),"Sin precio neto")</f>
        <v>Sin precio neto</v>
      </c>
    </row>
    <row r="1265">
      <c r="A1265" s="4" t="str">
        <f>IFERROR(__xludf.DUMMYFUNCTION("""COMPUTED_VALUE"""),"1594")</f>
        <v>1594</v>
      </c>
      <c r="B1265" s="4" t="str">
        <f>IFERROR(__xludf.DUMMYFUNCTION("""COMPUTED_VALUE"""),"Rollo Cinta 15 cm x 200 m Aguas residuales")</f>
        <v>Rollo Cinta 15 cm x 200 m Aguas residuales</v>
      </c>
      <c r="C1265" s="4">
        <f>IFERROR(__xludf.DUMMYFUNCTION("""COMPUTED_VALUE"""),11.472)</f>
        <v>11.472</v>
      </c>
      <c r="D1265" s="4"/>
      <c r="E1265" s="4" t="str">
        <f>IFERROR(__xludf.DUMMYFUNCTION("""COMPUTED_VALUE"""),"Sin precio neto")</f>
        <v>Sin precio neto</v>
      </c>
    </row>
    <row r="1266">
      <c r="A1266" s="4" t="str">
        <f>IFERROR(__xludf.DUMMYFUNCTION("""COMPUTED_VALUE"""),"1600")</f>
        <v>1600</v>
      </c>
      <c r="B1266" s="4" t="str">
        <f>IFERROR(__xludf.DUMMYFUNCTION("""COMPUTED_VALUE"""),"Camisa reflec. N.2 cono 50 cm OXFORD")</f>
        <v>Camisa reflec. N.2 cono 50 cm OXFORD</v>
      </c>
      <c r="C1266" s="4">
        <f>IFERROR(__xludf.DUMMYFUNCTION("""COMPUTED_VALUE"""),3.2832)</f>
        <v>3.2832</v>
      </c>
      <c r="D1266" s="4"/>
      <c r="E1266" s="4" t="str">
        <f>IFERROR(__xludf.DUMMYFUNCTION("""COMPUTED_VALUE"""),"Sin precio neto")</f>
        <v>Sin precio neto</v>
      </c>
    </row>
    <row r="1267">
      <c r="A1267" s="4" t="str">
        <f>IFERROR(__xludf.DUMMYFUNCTION("""COMPUTED_VALUE"""),"1601")</f>
        <v>1601</v>
      </c>
      <c r="B1267" s="4" t="str">
        <f>IFERROR(__xludf.DUMMYFUNCTION("""COMPUTED_VALUE"""),"Camisa reflec. N.2 cono 75 cm OXFORD")</f>
        <v>Camisa reflec. N.2 cono 75 cm OXFORD</v>
      </c>
      <c r="C1267" s="4">
        <f>IFERROR(__xludf.DUMMYFUNCTION("""COMPUTED_VALUE"""),3.6479999999999997)</f>
        <v>3.648</v>
      </c>
      <c r="D1267" s="4"/>
      <c r="E1267" s="4" t="str">
        <f>IFERROR(__xludf.DUMMYFUNCTION("""COMPUTED_VALUE"""),"Sin precio neto")</f>
        <v>Sin precio neto</v>
      </c>
    </row>
    <row r="1268">
      <c r="A1268" s="4" t="str">
        <f>IFERROR(__xludf.DUMMYFUNCTION("""COMPUTED_VALUE"""),"1604AN")</f>
        <v>1604AN</v>
      </c>
      <c r="B1268" s="4" t="str">
        <f>IFERROR(__xludf.DUMMYFUNCTION("""COMPUTED_VALUE"""),"Barra señaliz. Negra/Amarilla extensible para cono")</f>
        <v>Barra señaliz. Negra/Amarilla extensible para cono</v>
      </c>
      <c r="C1268" s="4">
        <f>IFERROR(__xludf.DUMMYFUNCTION("""COMPUTED_VALUE"""),8.064)</f>
        <v>8.064</v>
      </c>
      <c r="D1268" s="4"/>
      <c r="E1268" s="4" t="str">
        <f>IFERROR(__xludf.DUMMYFUNCTION("""COMPUTED_VALUE"""),"Sin precio neto")</f>
        <v>Sin precio neto</v>
      </c>
    </row>
    <row r="1269">
      <c r="A1269" s="4" t="str">
        <f>IFERROR(__xludf.DUMMYFUNCTION("""COMPUTED_VALUE"""),"1604RB")</f>
        <v>1604RB</v>
      </c>
      <c r="B1269" s="4" t="str">
        <f>IFERROR(__xludf.DUMMYFUNCTION("""COMPUTED_VALUE"""),"Barra señaliz. Roja/Blanca extensible para cono")</f>
        <v>Barra señaliz. Roja/Blanca extensible para cono</v>
      </c>
      <c r="C1269" s="4">
        <f>IFERROR(__xludf.DUMMYFUNCTION("""COMPUTED_VALUE"""),8.064)</f>
        <v>8.064</v>
      </c>
      <c r="D1269" s="4"/>
      <c r="E1269" s="4" t="str">
        <f>IFERROR(__xludf.DUMMYFUNCTION("""COMPUTED_VALUE"""),"Sin precio neto")</f>
        <v>Sin precio neto</v>
      </c>
    </row>
    <row r="1270">
      <c r="A1270" s="4" t="str">
        <f>IFERROR(__xludf.DUMMYFUNCTION("""COMPUTED_VALUE"""),"1617")</f>
        <v>1617</v>
      </c>
      <c r="B1270" s="4" t="str">
        <f>IFERROR(__xludf.DUMMYFUNCTION("""COMPUTED_VALUE"""),"Juego huellas adhesivas 27x10 cm pisable verde")</f>
        <v>Juego huellas adhesivas 27x10 cm pisable verde</v>
      </c>
      <c r="C1270" s="4">
        <f>IFERROR(__xludf.DUMMYFUNCTION("""COMPUTED_VALUE"""),3.024)</f>
        <v>3.024</v>
      </c>
      <c r="D1270" s="4"/>
      <c r="E1270" s="4" t="str">
        <f>IFERROR(__xludf.DUMMYFUNCTION("""COMPUTED_VALUE"""),"Sin precio neto")</f>
        <v>Sin precio neto</v>
      </c>
    </row>
    <row r="1271">
      <c r="A1271" s="4" t="str">
        <f>IFERROR(__xludf.DUMMYFUNCTION("""COMPUTED_VALUE"""),"1618")</f>
        <v>1618</v>
      </c>
      <c r="B1271" s="4" t="str">
        <f>IFERROR(__xludf.DUMMYFUNCTION("""COMPUTED_VALUE"""),"Juego huellas adhesivas 27x10 cm pisable rojo")</f>
        <v>Juego huellas adhesivas 27x10 cm pisable rojo</v>
      </c>
      <c r="C1271" s="4">
        <f>IFERROR(__xludf.DUMMYFUNCTION("""COMPUTED_VALUE"""),3.024)</f>
        <v>3.024</v>
      </c>
      <c r="D1271" s="4"/>
      <c r="E1271" s="4" t="str">
        <f>IFERROR(__xludf.DUMMYFUNCTION("""COMPUTED_VALUE"""),"Sin precio neto")</f>
        <v>Sin precio neto</v>
      </c>
    </row>
    <row r="1272">
      <c r="A1272" s="4" t="str">
        <f>IFERROR(__xludf.DUMMYFUNCTION("""COMPUTED_VALUE"""),"1619")</f>
        <v>1619</v>
      </c>
      <c r="B1272" s="4" t="str">
        <f>IFERROR(__xludf.DUMMYFUNCTION("""COMPUTED_VALUE"""),"Juego huellas adhesivas 27z10 cm pisable negro")</f>
        <v>Juego huellas adhesivas 27z10 cm pisable negro</v>
      </c>
      <c r="C1272" s="4">
        <f>IFERROR(__xludf.DUMMYFUNCTION("""COMPUTED_VALUE"""),3.024)</f>
        <v>3.024</v>
      </c>
      <c r="D1272" s="4"/>
      <c r="E1272" s="4" t="str">
        <f>IFERROR(__xludf.DUMMYFUNCTION("""COMPUTED_VALUE"""),"Sin precio neto")</f>
        <v>Sin precio neto</v>
      </c>
    </row>
    <row r="1273">
      <c r="A1273" s="4" t="str">
        <f>IFERROR(__xludf.DUMMYFUNCTION("""COMPUTED_VALUE"""),"1620")</f>
        <v>1620</v>
      </c>
      <c r="B1273" s="4" t="str">
        <f>IFERROR(__xludf.DUMMYFUNCTION("""COMPUTED_VALUE"""),"Juego 2 Flechas adhesivas 29x8 pisable Verde")</f>
        <v>Juego 2 Flechas adhesivas 29x8 pisable Verde</v>
      </c>
      <c r="C1273" s="4">
        <f>IFERROR(__xludf.DUMMYFUNCTION("""COMPUTED_VALUE"""),3.024)</f>
        <v>3.024</v>
      </c>
      <c r="D1273" s="4"/>
      <c r="E1273" s="4" t="str">
        <f>IFERROR(__xludf.DUMMYFUNCTION("""COMPUTED_VALUE"""),"Sin precio neto")</f>
        <v>Sin precio neto</v>
      </c>
    </row>
    <row r="1274">
      <c r="A1274" s="4" t="str">
        <f>IFERROR(__xludf.DUMMYFUNCTION("""COMPUTED_VALUE"""),"1621")</f>
        <v>1621</v>
      </c>
      <c r="B1274" s="4" t="str">
        <f>IFERROR(__xludf.DUMMYFUNCTION("""COMPUTED_VALUE"""),"Juego2 Flechas adhesivas 29x8 pisable Rojo")</f>
        <v>Juego2 Flechas adhesivas 29x8 pisable Rojo</v>
      </c>
      <c r="C1274" s="4">
        <f>IFERROR(__xludf.DUMMYFUNCTION("""COMPUTED_VALUE"""),3.024)</f>
        <v>3.024</v>
      </c>
      <c r="D1274" s="4"/>
      <c r="E1274" s="4" t="str">
        <f>IFERROR(__xludf.DUMMYFUNCTION("""COMPUTED_VALUE"""),"Sin precio neto")</f>
        <v>Sin precio neto</v>
      </c>
    </row>
    <row r="1275">
      <c r="A1275" s="4" t="str">
        <f>IFERROR(__xludf.DUMMYFUNCTION("""COMPUTED_VALUE"""),"1622")</f>
        <v>1622</v>
      </c>
      <c r="B1275" s="4" t="str">
        <f>IFERROR(__xludf.DUMMYFUNCTION("""COMPUTED_VALUE"""),"Adhesivo 21x29 Uso desinfectante")</f>
        <v>Adhesivo 21x29 Uso desinfectante</v>
      </c>
      <c r="C1275" s="4">
        <f>IFERROR(__xludf.DUMMYFUNCTION("""COMPUTED_VALUE"""),1.3104)</f>
        <v>1.3104</v>
      </c>
      <c r="D1275" s="4"/>
      <c r="E1275" s="4" t="str">
        <f>IFERROR(__xludf.DUMMYFUNCTION("""COMPUTED_VALUE"""),"Sin precio neto")</f>
        <v>Sin precio neto</v>
      </c>
    </row>
    <row r="1276">
      <c r="A1276" s="4" t="str">
        <f>IFERROR(__xludf.DUMMYFUNCTION("""COMPUTED_VALUE"""),"1623")</f>
        <v>1623</v>
      </c>
      <c r="B1276" s="4" t="str">
        <f>IFERROR(__xludf.DUMMYFUNCTION("""COMPUTED_VALUE"""),"Cartel PVC 21x29 cm USO DESINFECTANTE")</f>
        <v>Cartel PVC 21x29 cm USO DESINFECTANTE</v>
      </c>
      <c r="C1276" s="4">
        <f>IFERROR(__xludf.DUMMYFUNCTION("""COMPUTED_VALUE"""),1.536)</f>
        <v>1.536</v>
      </c>
      <c r="D1276" s="4">
        <f>IFERROR(__xludf.DUMMYFUNCTION("""COMPUTED_VALUE"""),1.2)</f>
        <v>1.2</v>
      </c>
      <c r="E1276" s="4" t="str">
        <f>IFERROR(__xludf.DUMMYFUNCTION("""COMPUTED_VALUE"""),"Neto: 1,20 € (a partir de 1 uds.)")</f>
        <v>Neto: 1,20 € (a partir de 1 uds.)</v>
      </c>
    </row>
    <row r="1277">
      <c r="A1277" s="4" t="str">
        <f>IFERROR(__xludf.DUMMYFUNCTION("""COMPUTED_VALUE"""),"1625")</f>
        <v>1625</v>
      </c>
      <c r="B1277" s="4" t="str">
        <f>IFERROR(__xludf.DUMMYFUNCTION("""COMPUTED_VALUE"""),"Juego huellas adhesivas suelo 27x10 cm Amarillo")</f>
        <v>Juego huellas adhesivas suelo 27x10 cm Amarillo</v>
      </c>
      <c r="C1277" s="4">
        <f>IFERROR(__xludf.DUMMYFUNCTION("""COMPUTED_VALUE"""),4.032)</f>
        <v>4.032</v>
      </c>
      <c r="D1277" s="4"/>
      <c r="E1277" s="4" t="str">
        <f>IFERROR(__xludf.DUMMYFUNCTION("""COMPUTED_VALUE"""),"Sin precio neto")</f>
        <v>Sin precio neto</v>
      </c>
    </row>
    <row r="1278">
      <c r="A1278" s="4" t="str">
        <f>IFERROR(__xludf.DUMMYFUNCTION("""COMPUTED_VALUE"""),"1626")</f>
        <v>1626</v>
      </c>
      <c r="B1278" s="4" t="str">
        <f>IFERROR(__xludf.DUMMYFUNCTION("""COMPUTED_VALUE"""),"Juego huellas adhesivas suelo 27x10 cm Basic")</f>
        <v>Juego huellas adhesivas suelo 27x10 cm Basic</v>
      </c>
      <c r="C1278" s="4">
        <f>IFERROR(__xludf.DUMMYFUNCTION("""COMPUTED_VALUE"""),4.032)</f>
        <v>4.032</v>
      </c>
      <c r="D1278" s="4"/>
      <c r="E1278" s="4" t="str">
        <f>IFERROR(__xludf.DUMMYFUNCTION("""COMPUTED_VALUE"""),"Sin precio neto")</f>
        <v>Sin precio neto</v>
      </c>
    </row>
    <row r="1279">
      <c r="A1279" s="4" t="str">
        <f>IFERROR(__xludf.DUMMYFUNCTION("""COMPUTED_VALUE"""),"1627")</f>
        <v>1627</v>
      </c>
      <c r="B1279" s="4" t="str">
        <f>IFERROR(__xludf.DUMMYFUNCTION("""COMPUTED_VALUE"""),"Kit Adhesivos flechas y tiras suelo")</f>
        <v>Kit Adhesivos flechas y tiras suelo</v>
      </c>
      <c r="C1279" s="4">
        <f>IFERROR(__xludf.DUMMYFUNCTION("""COMPUTED_VALUE"""),19.872)</f>
        <v>19.872</v>
      </c>
      <c r="D1279" s="4"/>
      <c r="E1279" s="4" t="str">
        <f>IFERROR(__xludf.DUMMYFUNCTION("""COMPUTED_VALUE"""),"Sin precio neto")</f>
        <v>Sin precio neto</v>
      </c>
    </row>
    <row r="1280">
      <c r="A1280" s="4" t="str">
        <f>IFERROR(__xludf.DUMMYFUNCTION("""COMPUTED_VALUE"""),"1629")</f>
        <v>1629</v>
      </c>
      <c r="B1280" s="4" t="str">
        <f>IFERROR(__xludf.DUMMYFUNCTION("""COMPUTED_VALUE"""),"Cinta antideslizante N/A DISTANCIA SEGURIDAD 10x100 cm")</f>
        <v>Cinta antideslizante N/A DISTANCIA SEGURIDAD 10x100 cm</v>
      </c>
      <c r="C1280" s="4">
        <f>IFERROR(__xludf.DUMMYFUNCTION("""COMPUTED_VALUE"""),4.7904)</f>
        <v>4.7904</v>
      </c>
      <c r="D1280" s="4"/>
      <c r="E1280" s="4" t="str">
        <f>IFERROR(__xludf.DUMMYFUNCTION("""COMPUTED_VALUE"""),"Sin precio neto")</f>
        <v>Sin precio neto</v>
      </c>
    </row>
    <row r="1281">
      <c r="A1281" s="4" t="str">
        <f>IFERROR(__xludf.DUMMYFUNCTION("""COMPUTED_VALUE"""),"1630")</f>
        <v>1630</v>
      </c>
      <c r="B1281" s="4" t="str">
        <f>IFERROR(__xludf.DUMMYFUNCTION("""COMPUTED_VALUE"""),"Cinta antideslizante Blanca ESPERE SU TURNO 10x100 cm")</f>
        <v>Cinta antideslizante Blanca ESPERE SU TURNO 10x100 cm</v>
      </c>
      <c r="C1281" s="4">
        <f>IFERROR(__xludf.DUMMYFUNCTION("""COMPUTED_VALUE"""),4.7904)</f>
        <v>4.7904</v>
      </c>
      <c r="D1281" s="4"/>
      <c r="E1281" s="4" t="str">
        <f>IFERROR(__xludf.DUMMYFUNCTION("""COMPUTED_VALUE"""),"Sin precio neto")</f>
        <v>Sin precio neto</v>
      </c>
    </row>
    <row r="1282">
      <c r="A1282" s="4" t="str">
        <f>IFERROR(__xludf.DUMMYFUNCTION("""COMPUTED_VALUE"""),"1631")</f>
        <v>1631</v>
      </c>
      <c r="B1282" s="4" t="str">
        <f>IFERROR(__xludf.DUMMYFUNCTION("""COMPUTED_VALUE"""),"Cono plegable Reflect 55cm")</f>
        <v>Cono plegable Reflect 55cm</v>
      </c>
      <c r="C1282" s="4">
        <f>IFERROR(__xludf.DUMMYFUNCTION("""COMPUTED_VALUE"""),11.76)</f>
        <v>11.76</v>
      </c>
      <c r="D1282" s="4"/>
      <c r="E1282" s="4" t="str">
        <f>IFERROR(__xludf.DUMMYFUNCTION("""COMPUTED_VALUE"""),"Sin precio neto")</f>
        <v>Sin precio neto</v>
      </c>
    </row>
    <row r="1283">
      <c r="A1283" s="4" t="str">
        <f>IFERROR(__xludf.DUMMYFUNCTION("""COMPUTED_VALUE"""),"1632")</f>
        <v>1632</v>
      </c>
      <c r="B1283" s="4" t="str">
        <f>IFERROR(__xludf.DUMMYFUNCTION("""COMPUTED_VALUE"""),"Cone extender")</f>
        <v>Cone extender</v>
      </c>
      <c r="C1283" s="4">
        <f>IFERROR(__xludf.DUMMYFUNCTION("""COMPUTED_VALUE"""),4.56)</f>
        <v>4.56</v>
      </c>
      <c r="D1283" s="4"/>
      <c r="E1283" s="4" t="str">
        <f>IFERROR(__xludf.DUMMYFUNCTION("""COMPUTED_VALUE"""),"Sin precio neto")</f>
        <v>Sin precio neto</v>
      </c>
    </row>
    <row r="1284">
      <c r="A1284" s="4" t="str">
        <f>IFERROR(__xludf.DUMMYFUNCTION("""COMPUTED_VALUE"""),"1633")</f>
        <v>1633</v>
      </c>
      <c r="B1284" s="4" t="str">
        <f>IFERROR(__xludf.DUMMYFUNCTION("""COMPUTED_VALUE"""),"Cono Señal. 50 cm Amarillo No Aparcar")</f>
        <v>Cono Señal. 50 cm Amarillo No Aparcar</v>
      </c>
      <c r="C1284" s="4">
        <f>IFERROR(__xludf.DUMMYFUNCTION("""COMPUTED_VALUE"""),8.064)</f>
        <v>8.064</v>
      </c>
      <c r="D1284" s="4"/>
      <c r="E1284" s="4" t="str">
        <f>IFERROR(__xludf.DUMMYFUNCTION("""COMPUTED_VALUE"""),"Sin precio neto")</f>
        <v>Sin precio neto</v>
      </c>
    </row>
    <row r="1285">
      <c r="A1285" s="4" t="str">
        <f>IFERROR(__xludf.DUMMYFUNCTION("""COMPUTED_VALUE"""),"1634")</f>
        <v>1634</v>
      </c>
      <c r="B1285" s="4" t="str">
        <f>IFERROR(__xludf.DUMMYFUNCTION("""COMPUTED_VALUE"""),"Tetrapodo 50 cm de señalizacion")</f>
        <v>Tetrapodo 50 cm de señalizacion</v>
      </c>
      <c r="C1285" s="4">
        <f>IFERROR(__xludf.DUMMYFUNCTION("""COMPUTED_VALUE"""),18.48)</f>
        <v>18.48</v>
      </c>
      <c r="D1285" s="4"/>
      <c r="E1285" s="4" t="str">
        <f>IFERROR(__xludf.DUMMYFUNCTION("""COMPUTED_VALUE"""),"Sin precio neto")</f>
        <v>Sin precio neto</v>
      </c>
    </row>
    <row r="1286">
      <c r="A1286" s="4" t="str">
        <f>IFERROR(__xludf.DUMMYFUNCTION("""COMPUTED_VALUE"""),"1635")</f>
        <v>1635</v>
      </c>
      <c r="B1286" s="4" t="str">
        <f>IFERROR(__xludf.DUMMYFUNCTION("""COMPUTED_VALUE"""),"Cono Señalizacion 32 cm. Flurescent")</f>
        <v>Cono Señalizacion 32 cm. Flurescent</v>
      </c>
      <c r="C1286" s="4">
        <f>IFERROR(__xludf.DUMMYFUNCTION("""COMPUTED_VALUE"""),4.032)</f>
        <v>4.032</v>
      </c>
      <c r="D1286" s="4">
        <f>IFERROR(__xludf.DUMMYFUNCTION("""COMPUTED_VALUE"""),3.6)</f>
        <v>3.6</v>
      </c>
      <c r="E1286" s="4" t="str">
        <f>IFERROR(__xludf.DUMMYFUNCTION("""COMPUTED_VALUE"""),"Neto: 3,60 € (a partir de 20 uds.)")</f>
        <v>Neto: 3,60 € (a partir de 20 uds.)</v>
      </c>
    </row>
    <row r="1287">
      <c r="A1287" s="4" t="str">
        <f>IFERROR(__xludf.DUMMYFUNCTION("""COMPUTED_VALUE"""),"1636")</f>
        <v>1636</v>
      </c>
      <c r="B1287" s="4" t="str">
        <f>IFERROR(__xludf.DUMMYFUNCTION("""COMPUTED_VALUE"""),"Cono Señaliz. 50 cm fluor.bandas reflectantes")</f>
        <v>Cono Señaliz. 50 cm fluor.bandas reflectantes</v>
      </c>
      <c r="C1287" s="4">
        <f>IFERROR(__xludf.DUMMYFUNCTION("""COMPUTED_VALUE"""),4.723199999999999)</f>
        <v>4.7232</v>
      </c>
      <c r="D1287" s="4">
        <f>IFERROR(__xludf.DUMMYFUNCTION("""COMPUTED_VALUE"""),4.75)</f>
        <v>4.75</v>
      </c>
      <c r="E1287" s="4" t="str">
        <f>IFERROR(__xludf.DUMMYFUNCTION("""COMPUTED_VALUE"""),"Neto: 4,75 € (a partir de 20 uds.)")</f>
        <v>Neto: 4,75 € (a partir de 20 uds.)</v>
      </c>
    </row>
    <row r="1288">
      <c r="A1288" s="4" t="str">
        <f>IFERROR(__xludf.DUMMYFUNCTION("""COMPUTED_VALUE"""),"1636AZUL")</f>
        <v>1636AZUL</v>
      </c>
      <c r="B1288" s="4" t="str">
        <f>IFERROR(__xludf.DUMMYFUNCTION("""COMPUTED_VALUE"""),"Cono Señaliz. 50 cm Azul bandas reflectantes")</f>
        <v>Cono Señaliz. 50 cm Azul bandas reflectantes</v>
      </c>
      <c r="C1288" s="4">
        <f>IFERROR(__xludf.DUMMYFUNCTION("""COMPUTED_VALUE"""),4.704)</f>
        <v>4.704</v>
      </c>
      <c r="D1288" s="4">
        <f>IFERROR(__xludf.DUMMYFUNCTION("""COMPUTED_VALUE"""),4.75)</f>
        <v>4.75</v>
      </c>
      <c r="E1288" s="4" t="str">
        <f>IFERROR(__xludf.DUMMYFUNCTION("""COMPUTED_VALUE"""),"Neto: 4,75 € (a partir de 20 uds.)")</f>
        <v>Neto: 4,75 € (a partir de 20 uds.)</v>
      </c>
    </row>
    <row r="1289">
      <c r="A1289" s="4" t="str">
        <f>IFERROR(__xludf.DUMMYFUNCTION("""COMPUTED_VALUE"""),"1637")</f>
        <v>1637</v>
      </c>
      <c r="B1289" s="4" t="str">
        <f>IFERROR(__xludf.DUMMYFUNCTION("""COMPUTED_VALUE"""),"Cono señaliz. 50 cm camisas réflex pvc Blando Bicolor")</f>
        <v>Cono señaliz. 50 cm camisas réflex pvc Blando Bicolor</v>
      </c>
      <c r="C1289" s="4">
        <f>IFERROR(__xludf.DUMMYFUNCTION("""COMPUTED_VALUE"""),5.04)</f>
        <v>5.04</v>
      </c>
      <c r="D1289" s="4">
        <f>IFERROR(__xludf.DUMMYFUNCTION("""COMPUTED_VALUE"""),4.75)</f>
        <v>4.75</v>
      </c>
      <c r="E1289" s="4" t="str">
        <f>IFERROR(__xludf.DUMMYFUNCTION("""COMPUTED_VALUE"""),"Neto: 4,75 € (a partir de 20 uds.)")</f>
        <v>Neto: 4,75 € (a partir de 20 uds.)</v>
      </c>
    </row>
    <row r="1290">
      <c r="A1290" s="4" t="str">
        <f>IFERROR(__xludf.DUMMYFUNCTION("""COMPUTED_VALUE"""),"1638")</f>
        <v>1638</v>
      </c>
      <c r="B1290" s="4" t="str">
        <f>IFERROR(__xludf.DUMMYFUNCTION("""COMPUTED_VALUE"""),"Cono Señaliz. 50 cm. camisa reflec.2 P. CVT")</f>
        <v>Cono Señaliz. 50 cm. camisa reflec.2 P. CVT</v>
      </c>
      <c r="C1290" s="4">
        <f>IFERROR(__xludf.DUMMYFUNCTION("""COMPUTED_VALUE"""),4.704)</f>
        <v>4.704</v>
      </c>
      <c r="D1290" s="4">
        <f>IFERROR(__xludf.DUMMYFUNCTION("""COMPUTED_VALUE"""),3.5)</f>
        <v>3.5</v>
      </c>
      <c r="E1290" s="4" t="str">
        <f>IFERROR(__xludf.DUMMYFUNCTION("""COMPUTED_VALUE"""),"Neto: 3,50 € (a partir de 10 uds.)")</f>
        <v>Neto: 3,50 € (a partir de 10 uds.)</v>
      </c>
    </row>
    <row r="1291">
      <c r="A1291" s="4" t="str">
        <f>IFERROR(__xludf.DUMMYFUNCTION("""COMPUTED_VALUE"""),"1640")</f>
        <v>1640</v>
      </c>
      <c r="B1291" s="4" t="str">
        <f>IFERROR(__xludf.DUMMYFUNCTION("""COMPUTED_VALUE"""),"Cono Señaliz.75 cm. camisa reflec.2p. CVT Plus")</f>
        <v>Cono Señaliz.75 cm. camisa reflec.2p. CVT Plus</v>
      </c>
      <c r="C1291" s="4">
        <f>IFERROR(__xludf.DUMMYFUNCTION("""COMPUTED_VALUE"""),6.912)</f>
        <v>6.912</v>
      </c>
      <c r="D1291" s="4"/>
      <c r="E1291" s="4" t="str">
        <f>IFERROR(__xludf.DUMMYFUNCTION("""COMPUTED_VALUE"""),"Sin precio neto")</f>
        <v>Sin precio neto</v>
      </c>
    </row>
    <row r="1292">
      <c r="A1292" s="4" t="str">
        <f>IFERROR(__xludf.DUMMYFUNCTION("""COMPUTED_VALUE"""),"1640B")</f>
        <v>1640B</v>
      </c>
      <c r="B1292" s="4" t="str">
        <f>IFERROR(__xludf.DUMMYFUNCTION("""COMPUTED_VALUE"""),"Cono Señaizl. 75 cm.camisa reflect.2p. CVT Basic")</f>
        <v>Cono Señaizl. 75 cm.camisa reflect.2p. CVT Basic</v>
      </c>
      <c r="C1292" s="4">
        <f>IFERROR(__xludf.DUMMYFUNCTION("""COMPUTED_VALUE"""),6.144)</f>
        <v>6.144</v>
      </c>
      <c r="D1292" s="4">
        <f>IFERROR(__xludf.DUMMYFUNCTION("""COMPUTED_VALUE"""),5.5)</f>
        <v>5.5</v>
      </c>
      <c r="E1292" s="4" t="str">
        <f>IFERROR(__xludf.DUMMYFUNCTION("""COMPUTED_VALUE"""),"Neto: 5,50 € (a partir de 10 uds.)")</f>
        <v>Neto: 5,50 € (a partir de 10 uds.)</v>
      </c>
    </row>
    <row r="1293">
      <c r="A1293" s="4" t="str">
        <f>IFERROR(__xludf.DUMMYFUNCTION("""COMPUTED_VALUE"""),"1645")</f>
        <v>1645</v>
      </c>
      <c r="B1293" s="4" t="str">
        <f>IFERROR(__xludf.DUMMYFUNCTION("""COMPUTED_VALUE"""),"Cono Señaliz. 100 cm camisa reflec.2 P.MELBA")</f>
        <v>Cono Señaliz. 100 cm camisa reflec.2 P.MELBA</v>
      </c>
      <c r="C1293" s="4">
        <f>IFERROR(__xludf.DUMMYFUNCTION("""COMPUTED_VALUE"""),17.183999999999997)</f>
        <v>17.184</v>
      </c>
      <c r="D1293" s="4"/>
      <c r="E1293" s="4" t="str">
        <f>IFERROR(__xludf.DUMMYFUNCTION("""COMPUTED_VALUE"""),"Sin precio neto")</f>
        <v>Sin precio neto</v>
      </c>
    </row>
    <row r="1294">
      <c r="A1294" s="4" t="str">
        <f>IFERROR(__xludf.DUMMYFUNCTION("""COMPUTED_VALUE"""),"1646")</f>
        <v>1646</v>
      </c>
      <c r="B1294" s="4" t="str">
        <f>IFERROR(__xludf.DUMMYFUNCTION("""COMPUTED_VALUE"""),"Cono 80cm PVC blando Reflect. MOD B")</f>
        <v>Cono 80cm PVC blando Reflect. MOD B</v>
      </c>
      <c r="C1294" s="4">
        <f>IFERROR(__xludf.DUMMYFUNCTION("""COMPUTED_VALUE"""),9.571200000000001)</f>
        <v>9.5712</v>
      </c>
      <c r="D1294" s="4"/>
      <c r="E1294" s="4" t="str">
        <f>IFERROR(__xludf.DUMMYFUNCTION("""COMPUTED_VALUE"""),"Sin precio neto")</f>
        <v>Sin precio neto</v>
      </c>
    </row>
    <row r="1295">
      <c r="A1295" s="4" t="str">
        <f>IFERROR(__xludf.DUMMYFUNCTION("""COMPUTED_VALUE"""),"1646A")</f>
        <v>1646A</v>
      </c>
      <c r="B1295" s="4" t="str">
        <f>IFERROR(__xludf.DUMMYFUNCTION("""COMPUTED_VALUE"""),"Cono 80 cm PVC blando Reflect. Mod B AMARILLO")</f>
        <v>Cono 80 cm PVC blando Reflect. Mod B AMARILLO</v>
      </c>
      <c r="C1295" s="4">
        <f>IFERROR(__xludf.DUMMYFUNCTION("""COMPUTED_VALUE"""),9.571200000000001)</f>
        <v>9.5712</v>
      </c>
      <c r="D1295" s="4"/>
      <c r="E1295" s="4" t="str">
        <f>IFERROR(__xludf.DUMMYFUNCTION("""COMPUTED_VALUE"""),"Sin precio neto")</f>
        <v>Sin precio neto</v>
      </c>
    </row>
    <row r="1296">
      <c r="A1296" s="4" t="str">
        <f>IFERROR(__xludf.DUMMYFUNCTION("""COMPUTED_VALUE"""),"1646V")</f>
        <v>1646V</v>
      </c>
      <c r="B1296" s="4" t="str">
        <f>IFERROR(__xludf.DUMMYFUNCTION("""COMPUTED_VALUE"""),"Cono 80 cm PVC blando Reflect. Mod B VERDE")</f>
        <v>Cono 80 cm PVC blando Reflect. Mod B VERDE</v>
      </c>
      <c r="C1296" s="4">
        <f>IFERROR(__xludf.DUMMYFUNCTION("""COMPUTED_VALUE"""),9.575999999999999)</f>
        <v>9.576</v>
      </c>
      <c r="D1296" s="4"/>
      <c r="E1296" s="4" t="str">
        <f>IFERROR(__xludf.DUMMYFUNCTION("""COMPUTED_VALUE"""),"Sin precio neto")</f>
        <v>Sin precio neto</v>
      </c>
    </row>
    <row r="1297">
      <c r="A1297" s="4" t="str">
        <f>IFERROR(__xludf.DUMMYFUNCTION("""COMPUTED_VALUE"""),"1646Z")</f>
        <v>1646Z</v>
      </c>
      <c r="B1297" s="4" t="str">
        <f>IFERROR(__xludf.DUMMYFUNCTION("""COMPUTED_VALUE"""),"Cono 80 cm PVC blando Reflect. Mod B AZUL")</f>
        <v>Cono 80 cm PVC blando Reflect. Mod B AZUL</v>
      </c>
      <c r="C1297" s="4">
        <f>IFERROR(__xludf.DUMMYFUNCTION("""COMPUTED_VALUE"""),9.575999999999999)</f>
        <v>9.576</v>
      </c>
      <c r="D1297" s="4"/>
      <c r="E1297" s="4" t="str">
        <f>IFERROR(__xludf.DUMMYFUNCTION("""COMPUTED_VALUE"""),"Sin precio neto")</f>
        <v>Sin precio neto</v>
      </c>
    </row>
    <row r="1298">
      <c r="A1298" s="4" t="str">
        <f>IFERROR(__xludf.DUMMYFUNCTION("""COMPUTED_VALUE"""),"1647")</f>
        <v>1647</v>
      </c>
      <c r="B1298" s="4" t="str">
        <f>IFERROR(__xludf.DUMMYFUNCTION("""COMPUTED_VALUE"""),"Cono 54cm PVC blando Reflect. MOD B")</f>
        <v>Cono 54cm PVC blando Reflect. MOD B</v>
      </c>
      <c r="C1298" s="4">
        <f>IFERROR(__xludf.DUMMYFUNCTION("""COMPUTED_VALUE"""),7.776)</f>
        <v>7.776</v>
      </c>
      <c r="D1298" s="4"/>
      <c r="E1298" s="4" t="str">
        <f>IFERROR(__xludf.DUMMYFUNCTION("""COMPUTED_VALUE"""),"Sin precio neto")</f>
        <v>Sin precio neto</v>
      </c>
    </row>
    <row r="1299">
      <c r="A1299" s="4" t="str">
        <f>IFERROR(__xludf.DUMMYFUNCTION("""COMPUTED_VALUE"""),"1647A")</f>
        <v>1647A</v>
      </c>
      <c r="B1299" s="4" t="str">
        <f>IFERROR(__xludf.DUMMYFUNCTION("""COMPUTED_VALUE"""),"Cono 54 cm PVC blando Reflect. Mod B AMARILLO")</f>
        <v>Cono 54 cm PVC blando Reflect. Mod B AMARILLO</v>
      </c>
      <c r="C1299" s="4">
        <f>IFERROR(__xludf.DUMMYFUNCTION("""COMPUTED_VALUE"""),7.776)</f>
        <v>7.776</v>
      </c>
      <c r="D1299" s="4"/>
      <c r="E1299" s="4" t="str">
        <f>IFERROR(__xludf.DUMMYFUNCTION("""COMPUTED_VALUE"""),"Sin precio neto")</f>
        <v>Sin precio neto</v>
      </c>
    </row>
    <row r="1300">
      <c r="A1300" s="4" t="str">
        <f>IFERROR(__xludf.DUMMYFUNCTION("""COMPUTED_VALUE"""),"1647RO")</f>
        <v>1647RO</v>
      </c>
      <c r="B1300" s="4" t="str">
        <f>IFERROR(__xludf.DUMMYFUNCTION("""COMPUTED_VALUE"""),"Cono 54 cm PVC blando Reflect. Mod B ROSA")</f>
        <v>Cono 54 cm PVC blando Reflect. Mod B ROSA</v>
      </c>
      <c r="C1300" s="4">
        <f>IFERROR(__xludf.DUMMYFUNCTION("""COMPUTED_VALUE"""),7.776)</f>
        <v>7.776</v>
      </c>
      <c r="D1300" s="4"/>
      <c r="E1300" s="4" t="str">
        <f>IFERROR(__xludf.DUMMYFUNCTION("""COMPUTED_VALUE"""),"Sin precio neto")</f>
        <v>Sin precio neto</v>
      </c>
    </row>
    <row r="1301">
      <c r="A1301" s="4" t="str">
        <f>IFERROR(__xludf.DUMMYFUNCTION("""COMPUTED_VALUE"""),"1647V")</f>
        <v>1647V</v>
      </c>
      <c r="B1301" s="4" t="str">
        <f>IFERROR(__xludf.DUMMYFUNCTION("""COMPUTED_VALUE"""),"Cono 54 cm PVC blando Reflect. Mod B VERDE")</f>
        <v>Cono 54 cm PVC blando Reflect. Mod B VERDE</v>
      </c>
      <c r="C1301" s="4">
        <f>IFERROR(__xludf.DUMMYFUNCTION("""COMPUTED_VALUE"""),7.776)</f>
        <v>7.776</v>
      </c>
      <c r="D1301" s="4"/>
      <c r="E1301" s="4" t="str">
        <f>IFERROR(__xludf.DUMMYFUNCTION("""COMPUTED_VALUE"""),"Sin precio neto")</f>
        <v>Sin precio neto</v>
      </c>
    </row>
    <row r="1302">
      <c r="A1302" s="4" t="str">
        <f>IFERROR(__xludf.DUMMYFUNCTION("""COMPUTED_VALUE"""),"1647Z")</f>
        <v>1647Z</v>
      </c>
      <c r="B1302" s="4" t="str">
        <f>IFERROR(__xludf.DUMMYFUNCTION("""COMPUTED_VALUE"""),"Cono 54 cm PVC blando Reflect. Mod B AZUL")</f>
        <v>Cono 54 cm PVC blando Reflect. Mod B AZUL</v>
      </c>
      <c r="C1302" s="4">
        <f>IFERROR(__xludf.DUMMYFUNCTION("""COMPUTED_VALUE"""),7.776)</f>
        <v>7.776</v>
      </c>
      <c r="D1302" s="4"/>
      <c r="E1302" s="4" t="str">
        <f>IFERROR(__xludf.DUMMYFUNCTION("""COMPUTED_VALUE"""),"Sin precio neto")</f>
        <v>Sin precio neto</v>
      </c>
    </row>
    <row r="1303">
      <c r="A1303" s="4" t="str">
        <f>IFERROR(__xludf.DUMMYFUNCTION("""COMPUTED_VALUE"""),"1648")</f>
        <v>1648</v>
      </c>
      <c r="B1303" s="4" t="str">
        <f>IFERROR(__xludf.DUMMYFUNCTION("""COMPUTED_VALUE"""),"Cono 80cm PVC blando Reflect. MOD B Naranja Plus")</f>
        <v>Cono 80cm PVC blando Reflect. MOD B Naranja Plus</v>
      </c>
      <c r="C1303" s="4">
        <f>IFERROR(__xludf.DUMMYFUNCTION("""COMPUTED_VALUE"""),23.279999999999998)</f>
        <v>23.28</v>
      </c>
      <c r="D1303" s="4"/>
      <c r="E1303" s="4" t="str">
        <f>IFERROR(__xludf.DUMMYFUNCTION("""COMPUTED_VALUE"""),"Sin precio neto")</f>
        <v>Sin precio neto</v>
      </c>
    </row>
    <row r="1304">
      <c r="A1304" s="4" t="str">
        <f>IFERROR(__xludf.DUMMYFUNCTION("""COMPUTED_VALUE"""),"1650")</f>
        <v>1650</v>
      </c>
      <c r="B1304" s="4" t="str">
        <f>IFERROR(__xludf.DUMMYFUNCTION("""COMPUTED_VALUE"""),"Cono 1 pza 50 cm 2 bandas Reflect. Melba")</f>
        <v>Cono 1 pza 50 cm 2 bandas Reflect. Melba</v>
      </c>
      <c r="C1304" s="4">
        <f>IFERROR(__xludf.DUMMYFUNCTION("""COMPUTED_VALUE"""),5.9712)</f>
        <v>5.9712</v>
      </c>
      <c r="D1304" s="4">
        <f>IFERROR(__xludf.DUMMYFUNCTION("""COMPUTED_VALUE"""),5.5)</f>
        <v>5.5</v>
      </c>
      <c r="E1304" s="4" t="str">
        <f>IFERROR(__xludf.DUMMYFUNCTION("""COMPUTED_VALUE"""),"Neto: 5,50 € (a partir de 400 uds.)")</f>
        <v>Neto: 5,50 € (a partir de 400 uds.)</v>
      </c>
    </row>
    <row r="1305">
      <c r="A1305" s="4" t="str">
        <f>IFERROR(__xludf.DUMMYFUNCTION("""COMPUTED_VALUE"""),"1651")</f>
        <v>1651</v>
      </c>
      <c r="B1305" s="4" t="str">
        <f>IFERROR(__xludf.DUMMYFUNCTION("""COMPUTED_VALUE"""),"Cono 1 pza 75 cm 2 bandas Reflect. Melba")</f>
        <v>Cono 1 pza 75 cm 2 bandas Reflect. Melba</v>
      </c>
      <c r="C1305" s="4">
        <f>IFERROR(__xludf.DUMMYFUNCTION("""COMPUTED_VALUE"""),7.852799999999999)</f>
        <v>7.8528</v>
      </c>
      <c r="D1305" s="4">
        <f>IFERROR(__xludf.DUMMYFUNCTION("""COMPUTED_VALUE"""),7.25)</f>
        <v>7.25</v>
      </c>
      <c r="E1305" s="4" t="str">
        <f>IFERROR(__xludf.DUMMYFUNCTION("""COMPUTED_VALUE"""),"Neto: 7,25 € (a partir de 200 uds.)")</f>
        <v>Neto: 7,25 € (a partir de 200 uds.)</v>
      </c>
    </row>
    <row r="1306">
      <c r="A1306" s="4" t="str">
        <f>IFERROR(__xludf.DUMMYFUNCTION("""COMPUTED_VALUE"""),"1652")</f>
        <v>1652</v>
      </c>
      <c r="B1306" s="4" t="str">
        <f>IFERROR(__xludf.DUMMYFUNCTION("""COMPUTED_VALUE"""),"Cono 2 pza 75 cm 2 bandas Reflect. Melba STARLITE")</f>
        <v>Cono 2 pza 75 cm 2 bandas Reflect. Melba STARLITE</v>
      </c>
      <c r="C1306" s="4">
        <f>IFERROR(__xludf.DUMMYFUNCTION("""COMPUTED_VALUE"""),9.575999999999999)</f>
        <v>9.576</v>
      </c>
      <c r="D1306" s="4"/>
      <c r="E1306" s="4" t="str">
        <f>IFERROR(__xludf.DUMMYFUNCTION("""COMPUTED_VALUE"""),"Sin precio neto")</f>
        <v>Sin precio neto</v>
      </c>
    </row>
    <row r="1307">
      <c r="A1307" s="4" t="str">
        <f>IFERROR(__xludf.DUMMYFUNCTION("""COMPUTED_VALUE"""),"1653")</f>
        <v>1653</v>
      </c>
      <c r="B1307" s="4" t="str">
        <f>IFERROR(__xludf.DUMMYFUNCTION("""COMPUTED_VALUE"""),"Cono 2 pza 50 cm 1 banda Reflect. Melba BIG FOOT")</f>
        <v>Cono 2 pza 50 cm 1 banda Reflect. Melba BIG FOOT</v>
      </c>
      <c r="C1307" s="4">
        <f>IFERROR(__xludf.DUMMYFUNCTION("""COMPUTED_VALUE"""),7.92)</f>
        <v>7.92</v>
      </c>
      <c r="D1307" s="4"/>
      <c r="E1307" s="4" t="str">
        <f>IFERROR(__xludf.DUMMYFUNCTION("""COMPUTED_VALUE"""),"Sin precio neto")</f>
        <v>Sin precio neto</v>
      </c>
    </row>
    <row r="1308">
      <c r="A1308" s="4" t="str">
        <f>IFERROR(__xludf.DUMMYFUNCTION("""COMPUTED_VALUE"""),"1654")</f>
        <v>1654</v>
      </c>
      <c r="B1308" s="4" t="str">
        <f>IFERROR(__xludf.DUMMYFUNCTION("""COMPUTED_VALUE"""),"Cono 2 pza 75 cm 1 banda Reflect. Melba BIG FOOT")</f>
        <v>Cono 2 pza 75 cm 1 banda Reflect. Melba BIG FOOT</v>
      </c>
      <c r="C1308" s="4">
        <f>IFERROR(__xludf.DUMMYFUNCTION("""COMPUTED_VALUE"""),10.799999999999999)</f>
        <v>10.8</v>
      </c>
      <c r="D1308" s="4"/>
      <c r="E1308" s="4" t="str">
        <f>IFERROR(__xludf.DUMMYFUNCTION("""COMPUTED_VALUE"""),"Sin precio neto")</f>
        <v>Sin precio neto</v>
      </c>
    </row>
    <row r="1309">
      <c r="A1309" s="4" t="str">
        <f>IFERROR(__xludf.DUMMYFUNCTION("""COMPUTED_VALUE"""),"1655")</f>
        <v>1655</v>
      </c>
      <c r="B1309" s="4" t="str">
        <f>IFERROR(__xludf.DUMMYFUNCTION("""COMPUTED_VALUE"""),"Cono 2 pza 100 cm 1 banda Reflect. Melba BIG FOOT")</f>
        <v>Cono 2 pza 100 cm 1 banda Reflect. Melba BIG FOOT</v>
      </c>
      <c r="C1309" s="4">
        <f>IFERROR(__xludf.DUMMYFUNCTION("""COMPUTED_VALUE"""),16.56)</f>
        <v>16.56</v>
      </c>
      <c r="D1309" s="4"/>
      <c r="E1309" s="4" t="str">
        <f>IFERROR(__xludf.DUMMYFUNCTION("""COMPUTED_VALUE"""),"Sin precio neto")</f>
        <v>Sin precio neto</v>
      </c>
    </row>
    <row r="1310">
      <c r="A1310" s="4" t="str">
        <f>IFERROR(__xludf.DUMMYFUNCTION("""COMPUTED_VALUE"""),"1672")</f>
        <v>1672</v>
      </c>
      <c r="B1310" s="4" t="str">
        <f>IFERROR(__xludf.DUMMYFUNCTION("""COMPUTED_VALUE"""),"Pareja semaforos portatiles desmontables Leds mod. B")</f>
        <v>Pareja semaforos portatiles desmontables Leds mod. B</v>
      </c>
      <c r="C1310" s="4">
        <f>IFERROR(__xludf.DUMMYFUNCTION("""COMPUTED_VALUE"""),1536.0)</f>
        <v>1536</v>
      </c>
      <c r="D1310" s="4">
        <f>IFERROR(__xludf.DUMMYFUNCTION("""COMPUTED_VALUE"""),1400.0)</f>
        <v>1400</v>
      </c>
      <c r="E1310" s="4" t="str">
        <f>IFERROR(__xludf.DUMMYFUNCTION("""COMPUTED_VALUE"""),"Neto: 1400,00 € (a partir de 1 uds.)")</f>
        <v>Neto: 1400,00 € (a partir de 1 uds.)</v>
      </c>
    </row>
    <row r="1311">
      <c r="A1311" s="4" t="str">
        <f>IFERROR(__xludf.DUMMYFUNCTION("""COMPUTED_VALUE"""),"1673")</f>
        <v>1673</v>
      </c>
      <c r="B1311" s="4" t="str">
        <f>IFERROR(__xludf.DUMMYFUNCTION("""COMPUTED_VALUE"""),"Pareja semaforos portatiles desmont. Led c/ contador de")</f>
        <v>Pareja semaforos portatiles desmont. Led c/ contador de</v>
      </c>
      <c r="C1311" s="4">
        <f>IFERROR(__xludf.DUMMYFUNCTION("""COMPUTED_VALUE"""),1632.0)</f>
        <v>1632</v>
      </c>
      <c r="D1311" s="4"/>
      <c r="E1311" s="4" t="str">
        <f>IFERROR(__xludf.DUMMYFUNCTION("""COMPUTED_VALUE"""),"Sin precio neto")</f>
        <v>Sin precio neto</v>
      </c>
    </row>
    <row r="1312">
      <c r="A1312" s="4" t="str">
        <f>IFERROR(__xludf.DUMMYFUNCTION("""COMPUTED_VALUE"""),"1673C")</f>
        <v>1673C</v>
      </c>
      <c r="B1312" s="4" t="str">
        <f>IFERROR(__xludf.DUMMYFUNCTION("""COMPUTED_VALUE"""),"Juego de centralitas semaforos Mod.D")</f>
        <v>Juego de centralitas semaforos Mod.D</v>
      </c>
      <c r="C1312" s="4">
        <f>IFERROR(__xludf.DUMMYFUNCTION("""COMPUTED_VALUE"""),326.4)</f>
        <v>326.4</v>
      </c>
      <c r="D1312" s="4"/>
      <c r="E1312" s="4" t="str">
        <f>IFERROR(__xludf.DUMMYFUNCTION("""COMPUTED_VALUE"""),"Sin precio neto")</f>
        <v>Sin precio neto</v>
      </c>
    </row>
    <row r="1313">
      <c r="A1313" s="4" t="str">
        <f>IFERROR(__xludf.DUMMYFUNCTION("""COMPUTED_VALUE"""),"1674")</f>
        <v>1674</v>
      </c>
      <c r="B1313" s="4" t="str">
        <f>IFERROR(__xludf.DUMMYFUNCTION("""COMPUTED_VALUE"""),"Pareja semaforos portatiles plegables Led mod. C")</f>
        <v>Pareja semaforos portatiles plegables Led mod. C</v>
      </c>
      <c r="C1313" s="4">
        <f>IFERROR(__xludf.DUMMYFUNCTION("""COMPUTED_VALUE"""),1680.0)</f>
        <v>1680</v>
      </c>
      <c r="D1313" s="4">
        <f>IFERROR(__xludf.DUMMYFUNCTION("""COMPUTED_VALUE"""),1450.0)</f>
        <v>1450</v>
      </c>
      <c r="E1313" s="4" t="str">
        <f>IFERROR(__xludf.DUMMYFUNCTION("""COMPUTED_VALUE"""),"Neto: 1450,00 € (a partir de 1 uds.)")</f>
        <v>Neto: 1450,00 € (a partir de 1 uds.)</v>
      </c>
    </row>
    <row r="1314">
      <c r="A1314" s="4" t="str">
        <f>IFERROR(__xludf.DUMMYFUNCTION("""COMPUTED_VALUE"""),"1674/LP")</f>
        <v>1674/LP</v>
      </c>
      <c r="B1314" s="4" t="str">
        <f>IFERROR(__xludf.DUMMYFUNCTION("""COMPUTED_VALUE"""),"Lente plastico semaforo B - C 430126008")</f>
        <v>Lente plastico semaforo B - C 430126008</v>
      </c>
      <c r="C1314" s="4">
        <f>IFERROR(__xludf.DUMMYFUNCTION("""COMPUTED_VALUE"""),33.024)</f>
        <v>33.024</v>
      </c>
      <c r="D1314" s="4"/>
      <c r="E1314" s="4" t="str">
        <f>IFERROR(__xludf.DUMMYFUNCTION("""COMPUTED_VALUE"""),"Sin precio neto")</f>
        <v>Sin precio neto</v>
      </c>
    </row>
    <row r="1315">
      <c r="A1315" s="4" t="str">
        <f>IFERROR(__xludf.DUMMYFUNCTION("""COMPUTED_VALUE"""),"1674/PA")</f>
        <v>1674/PA</v>
      </c>
      <c r="B1315" s="4" t="str">
        <f>IFERROR(__xludf.DUMMYFUNCTION("""COMPUTED_VALUE"""),"Panel Led amarillo semaforo B - C 430208019")</f>
        <v>Panel Led amarillo semaforo B - C 430208019</v>
      </c>
      <c r="C1315" s="4">
        <f>IFERROR(__xludf.DUMMYFUNCTION("""COMPUTED_VALUE"""),106.992)</f>
        <v>106.992</v>
      </c>
      <c r="D1315" s="4"/>
      <c r="E1315" s="4" t="str">
        <f>IFERROR(__xludf.DUMMYFUNCTION("""COMPUTED_VALUE"""),"Sin precio neto")</f>
        <v>Sin precio neto</v>
      </c>
    </row>
    <row r="1316">
      <c r="A1316" s="4" t="str">
        <f>IFERROR(__xludf.DUMMYFUNCTION("""COMPUTED_VALUE"""),"1674/PR")</f>
        <v>1674/PR</v>
      </c>
      <c r="B1316" s="4" t="str">
        <f>IFERROR(__xludf.DUMMYFUNCTION("""COMPUTED_VALUE"""),"Panel Led rojo semaforos B - C 430208020")</f>
        <v>Panel Led rojo semaforos B - C 430208020</v>
      </c>
      <c r="C1316" s="4">
        <f>IFERROR(__xludf.DUMMYFUNCTION("""COMPUTED_VALUE"""),106.992)</f>
        <v>106.992</v>
      </c>
      <c r="D1316" s="4"/>
      <c r="E1316" s="4" t="str">
        <f>IFERROR(__xludf.DUMMYFUNCTION("""COMPUTED_VALUE"""),"Sin precio neto")</f>
        <v>Sin precio neto</v>
      </c>
    </row>
    <row r="1317">
      <c r="A1317" s="4" t="str">
        <f>IFERROR(__xludf.DUMMYFUNCTION("""COMPUTED_VALUE"""),"1674/PV")</f>
        <v>1674/PV</v>
      </c>
      <c r="B1317" s="4" t="str">
        <f>IFERROR(__xludf.DUMMYFUNCTION("""COMPUTED_VALUE"""),"Panel Led verde semaforos B - C 430208018")</f>
        <v>Panel Led verde semaforos B - C 430208018</v>
      </c>
      <c r="C1317" s="4">
        <f>IFERROR(__xludf.DUMMYFUNCTION("""COMPUTED_VALUE"""),106.992)</f>
        <v>106.992</v>
      </c>
      <c r="D1317" s="4"/>
      <c r="E1317" s="4" t="str">
        <f>IFERROR(__xludf.DUMMYFUNCTION("""COMPUTED_VALUE"""),"Sin precio neto")</f>
        <v>Sin precio neto</v>
      </c>
    </row>
    <row r="1318">
      <c r="A1318" s="4" t="str">
        <f>IFERROR(__xludf.DUMMYFUNCTION("""COMPUTED_VALUE"""),"1674/V")</f>
        <v>1674/V</v>
      </c>
      <c r="B1318" s="4" t="str">
        <f>IFERROR(__xludf.DUMMYFUNCTION("""COMPUTED_VALUE"""),"Visera amarilla semaforo B - C 430126009")</f>
        <v>Visera amarilla semaforo B - C 430126009</v>
      </c>
      <c r="C1318" s="4">
        <f>IFERROR(__xludf.DUMMYFUNCTION("""COMPUTED_VALUE"""),26.016000000000002)</f>
        <v>26.016</v>
      </c>
      <c r="D1318" s="4"/>
      <c r="E1318" s="4" t="str">
        <f>IFERROR(__xludf.DUMMYFUNCTION("""COMPUTED_VALUE"""),"Sin precio neto")</f>
        <v>Sin precio neto</v>
      </c>
    </row>
    <row r="1319">
      <c r="A1319" s="4" t="str">
        <f>IFERROR(__xludf.DUMMYFUNCTION("""COMPUTED_VALUE"""),"1674C")</f>
        <v>1674C</v>
      </c>
      <c r="B1319" s="4" t="str">
        <f>IFERROR(__xludf.DUMMYFUNCTION("""COMPUTED_VALUE"""),"Cabeza semáforo3 luces 431231016")</f>
        <v>Cabeza semáforo3 luces 431231016</v>
      </c>
      <c r="C1319" s="4">
        <f>IFERROR(__xludf.DUMMYFUNCTION("""COMPUTED_VALUE"""),374.4)</f>
        <v>374.4</v>
      </c>
      <c r="D1319" s="4"/>
      <c r="E1319" s="4" t="str">
        <f>IFERROR(__xludf.DUMMYFUNCTION("""COMPUTED_VALUE"""),"Sin precio neto")</f>
        <v>Sin precio neto</v>
      </c>
    </row>
    <row r="1320">
      <c r="A1320" s="4" t="str">
        <f>IFERROR(__xludf.DUMMYFUNCTION("""COMPUTED_VALUE"""),"1674D")</f>
        <v>1674D</v>
      </c>
      <c r="B1320" s="4" t="str">
        <f>IFERROR(__xludf.DUMMYFUNCTION("""COMPUTED_VALUE"""),"Recambio pie semáforo 400900000")</f>
        <v>Recambio pie semáforo 400900000</v>
      </c>
      <c r="C1320" s="4">
        <f>IFERROR(__xludf.DUMMYFUNCTION("""COMPUTED_VALUE"""),33.6)</f>
        <v>33.6</v>
      </c>
      <c r="D1320" s="4"/>
      <c r="E1320" s="4" t="str">
        <f>IFERROR(__xludf.DUMMYFUNCTION("""COMPUTED_VALUE"""),"Sin precio neto")</f>
        <v>Sin precio neto</v>
      </c>
    </row>
    <row r="1321">
      <c r="A1321" s="4" t="str">
        <f>IFERROR(__xludf.DUMMYFUNCTION("""COMPUTED_VALUE"""),"1674E")</f>
        <v>1674E</v>
      </c>
      <c r="B1321" s="4" t="str">
        <f>IFERROR(__xludf.DUMMYFUNCTION("""COMPUTED_VALUE"""),"Recambio poste enganche base semáforo 250303006")</f>
        <v>Recambio poste enganche base semáforo 250303006</v>
      </c>
      <c r="C1321" s="4">
        <f>IFERROR(__xludf.DUMMYFUNCTION("""COMPUTED_VALUE"""),67.2)</f>
        <v>67.2</v>
      </c>
      <c r="D1321" s="4"/>
      <c r="E1321" s="4" t="str">
        <f>IFERROR(__xludf.DUMMYFUNCTION("""COMPUTED_VALUE"""),"Sin precio neto")</f>
        <v>Sin precio neto</v>
      </c>
    </row>
    <row r="1322">
      <c r="A1322" s="4" t="str">
        <f>IFERROR(__xludf.DUMMYFUNCTION("""COMPUTED_VALUE"""),"1674F")</f>
        <v>1674F</v>
      </c>
      <c r="B1322" s="4" t="str">
        <f>IFERROR(__xludf.DUMMYFUNCTION("""COMPUTED_VALUE"""),"Recambio rueda semáforo 409000006")</f>
        <v>Recambio rueda semáforo 409000006</v>
      </c>
      <c r="C1322" s="4">
        <f>IFERROR(__xludf.DUMMYFUNCTION("""COMPUTED_VALUE"""),25.919999999999998)</f>
        <v>25.92</v>
      </c>
      <c r="D1322" s="4"/>
      <c r="E1322" s="4" t="str">
        <f>IFERROR(__xludf.DUMMYFUNCTION("""COMPUTED_VALUE"""),"Sin precio neto")</f>
        <v>Sin precio neto</v>
      </c>
    </row>
    <row r="1323">
      <c r="A1323" s="4" t="str">
        <f>IFERROR(__xludf.DUMMYFUNCTION("""COMPUTED_VALUE"""),"1674G")</f>
        <v>1674G</v>
      </c>
      <c r="B1323" s="4" t="str">
        <f>IFERROR(__xludf.DUMMYFUNCTION("""COMPUTED_VALUE"""),"Pasador de seguridad semáforo 251636400")</f>
        <v>Pasador de seguridad semáforo 251636400</v>
      </c>
      <c r="C1323" s="4">
        <f>IFERROR(__xludf.DUMMYFUNCTION("""COMPUTED_VALUE"""),6.144)</f>
        <v>6.144</v>
      </c>
      <c r="D1323" s="4"/>
      <c r="E1323" s="4" t="str">
        <f>IFERROR(__xludf.DUMMYFUNCTION("""COMPUTED_VALUE"""),"Sin precio neto")</f>
        <v>Sin precio neto</v>
      </c>
    </row>
    <row r="1324">
      <c r="A1324" s="4" t="str">
        <f>IFERROR(__xludf.DUMMYFUNCTION("""COMPUTED_VALUE"""),"1674H")</f>
        <v>1674H</v>
      </c>
      <c r="B1324" s="4" t="str">
        <f>IFERROR(__xludf.DUMMYFUNCTION("""COMPUTED_VALUE"""),"Recambio cierre semáforo 1674")</f>
        <v>Recambio cierre semáforo 1674</v>
      </c>
      <c r="C1324" s="4">
        <f>IFERROR(__xludf.DUMMYFUNCTION("""COMPUTED_VALUE"""),23.04)</f>
        <v>23.04</v>
      </c>
      <c r="D1324" s="4"/>
      <c r="E1324" s="4" t="str">
        <f>IFERROR(__xludf.DUMMYFUNCTION("""COMPUTED_VALUE"""),"Sin precio neto")</f>
        <v>Sin precio neto</v>
      </c>
    </row>
    <row r="1325">
      <c r="A1325" s="4" t="str">
        <f>IFERROR(__xludf.DUMMYFUNCTION("""COMPUTED_VALUE"""),"1674K")</f>
        <v>1674K</v>
      </c>
      <c r="B1325" s="4" t="str">
        <f>IFERROR(__xludf.DUMMYFUNCTION("""COMPUTED_VALUE"""),"Kit solar 50w alimentación semáforos")</f>
        <v>Kit solar 50w alimentación semáforos</v>
      </c>
      <c r="C1325" s="4">
        <f>IFERROR(__xludf.DUMMYFUNCTION("""COMPUTED_VALUE"""),1008.0)</f>
        <v>1008</v>
      </c>
      <c r="D1325" s="4"/>
      <c r="E1325" s="4" t="str">
        <f>IFERROR(__xludf.DUMMYFUNCTION("""COMPUTED_VALUE"""),"Sin precio neto")</f>
        <v>Sin precio neto</v>
      </c>
    </row>
    <row r="1326">
      <c r="A1326" s="4" t="str">
        <f>IFERROR(__xludf.DUMMYFUNCTION("""COMPUTED_VALUE"""),"1674Z")</f>
        <v>1674Z</v>
      </c>
      <c r="B1326" s="4" t="str">
        <f>IFERROR(__xludf.DUMMYFUNCTION("""COMPUTED_VALUE"""),"Conexión semáforos batería")</f>
        <v>Conexión semáforos batería</v>
      </c>
      <c r="C1326" s="4">
        <f>IFERROR(__xludf.DUMMYFUNCTION("""COMPUTED_VALUE"""),17.28)</f>
        <v>17.28</v>
      </c>
      <c r="D1326" s="4"/>
      <c r="E1326" s="4" t="str">
        <f>IFERROR(__xludf.DUMMYFUNCTION("""COMPUTED_VALUE"""),"Sin precio neto")</f>
        <v>Sin precio neto</v>
      </c>
    </row>
    <row r="1327">
      <c r="A1327" s="4" t="str">
        <f>IFERROR(__xludf.DUMMYFUNCTION("""COMPUTED_VALUE"""),"1676")</f>
        <v>1676</v>
      </c>
      <c r="B1327" s="4" t="str">
        <f>IFERROR(__xludf.DUMMYFUNCTION("""COMPUTED_VALUE"""),"Secuencial 5 luces Inalambricas rafiofrecuencia")</f>
        <v>Secuencial 5 luces Inalambricas rafiofrecuencia</v>
      </c>
      <c r="C1327" s="4">
        <f>IFERROR(__xludf.DUMMYFUNCTION("""COMPUTED_VALUE"""),705.096)</f>
        <v>705.096</v>
      </c>
      <c r="D1327" s="4"/>
      <c r="E1327" s="4" t="str">
        <f>IFERROR(__xludf.DUMMYFUNCTION("""COMPUTED_VALUE"""),"Sin precio neto")</f>
        <v>Sin precio neto</v>
      </c>
    </row>
    <row r="1328">
      <c r="A1328" s="4" t="str">
        <f>IFERROR(__xludf.DUMMYFUNCTION("""COMPUTED_VALUE"""),"1676/BAL")</f>
        <v>1676/BAL</v>
      </c>
      <c r="B1328" s="4" t="str">
        <f>IFERROR(__xludf.DUMMYFUNCTION("""COMPUTED_VALUE"""),"Baliza secuencia radiofrecuencia")</f>
        <v>Baliza secuencia radiofrecuencia</v>
      </c>
      <c r="C1328" s="4">
        <f>IFERROR(__xludf.DUMMYFUNCTION("""COMPUTED_VALUE"""),136.07999999999998)</f>
        <v>136.08</v>
      </c>
      <c r="D1328" s="4"/>
      <c r="E1328" s="4" t="str">
        <f>IFERROR(__xludf.DUMMYFUNCTION("""COMPUTED_VALUE"""),"Sin precio neto")</f>
        <v>Sin precio neto</v>
      </c>
    </row>
    <row r="1329">
      <c r="A1329" s="4" t="str">
        <f>IFERROR(__xludf.DUMMYFUNCTION("""COMPUTED_VALUE"""),"1676/LEN")</f>
        <v>1676/LEN</v>
      </c>
      <c r="B1329" s="4" t="str">
        <f>IFERROR(__xludf.DUMMYFUNCTION("""COMPUTED_VALUE"""),"Lente delantera baliza radiofrecuencia")</f>
        <v>Lente delantera baliza radiofrecuencia</v>
      </c>
      <c r="C1329" s="4">
        <f>IFERROR(__xludf.DUMMYFUNCTION("""COMPUTED_VALUE"""),7.56)</f>
        <v>7.56</v>
      </c>
      <c r="D1329" s="4"/>
      <c r="E1329" s="4" t="str">
        <f>IFERROR(__xludf.DUMMYFUNCTION("""COMPUTED_VALUE"""),"Sin precio neto")</f>
        <v>Sin precio neto</v>
      </c>
    </row>
    <row r="1330">
      <c r="A1330" s="4" t="str">
        <f>IFERROR(__xludf.DUMMYFUNCTION("""COMPUTED_VALUE"""),"1677")</f>
        <v>1677</v>
      </c>
      <c r="B1330" s="4" t="str">
        <f>IFERROR(__xludf.DUMMYFUNCTION("""COMPUTED_VALUE"""),"Secuencial completo 5 elementos inalambricos por")</f>
        <v>Secuencial completo 5 elementos inalambricos por</v>
      </c>
      <c r="C1330" s="4">
        <f>IFERROR(__xludf.DUMMYFUNCTION("""COMPUTED_VALUE"""),1032.0)</f>
        <v>1032</v>
      </c>
      <c r="D1330" s="4"/>
      <c r="E1330" s="4" t="str">
        <f>IFERROR(__xludf.DUMMYFUNCTION("""COMPUTED_VALUE"""),"Sin precio neto")</f>
        <v>Sin precio neto</v>
      </c>
    </row>
    <row r="1331">
      <c r="A1331" s="4" t="str">
        <f>IFERROR(__xludf.DUMMYFUNCTION("""COMPUTED_VALUE"""),"1678")</f>
        <v>1678</v>
      </c>
      <c r="B1331" s="4" t="str">
        <f>IFERROR(__xludf.DUMMYFUNCTION("""COMPUTED_VALUE"""),"Abanderado electromecanico")</f>
        <v>Abanderado electromecanico</v>
      </c>
      <c r="C1331" s="4">
        <f>IFERROR(__xludf.DUMMYFUNCTION("""COMPUTED_VALUE"""),816.0)</f>
        <v>816</v>
      </c>
      <c r="D1331" s="4"/>
      <c r="E1331" s="4" t="str">
        <f>IFERROR(__xludf.DUMMYFUNCTION("""COMPUTED_VALUE"""),"Sin precio neto")</f>
        <v>Sin precio neto</v>
      </c>
    </row>
    <row r="1332">
      <c r="A1332" s="4" t="str">
        <f>IFERROR(__xludf.DUMMYFUNCTION("""COMPUTED_VALUE"""),"1679")</f>
        <v>1679</v>
      </c>
      <c r="B1332" s="4" t="str">
        <f>IFERROR(__xludf.DUMMYFUNCTION("""COMPUTED_VALUE"""),"Juego centralitas electronicas semaforo mod. B y C")</f>
        <v>Juego centralitas electronicas semaforo mod. B y C</v>
      </c>
      <c r="C1332" s="4">
        <f>IFERROR(__xludf.DUMMYFUNCTION("""COMPUTED_VALUE"""),326.4)</f>
        <v>326.4</v>
      </c>
      <c r="D1332" s="4"/>
      <c r="E1332" s="4" t="str">
        <f>IFERROR(__xludf.DUMMYFUNCTION("""COMPUTED_VALUE"""),"Sin precio neto")</f>
        <v>Sin precio neto</v>
      </c>
    </row>
    <row r="1333">
      <c r="A1333" s="4" t="str">
        <f>IFERROR(__xludf.DUMMYFUNCTION("""COMPUTED_VALUE"""),"1682")</f>
        <v>1682</v>
      </c>
      <c r="B1333" s="4" t="str">
        <f>IFERROR(__xludf.DUMMYFUNCTION("""COMPUTED_VALUE"""),"Rotativo Halog.55 W 12V Mod. Plus (iman+ ventosa)")</f>
        <v>Rotativo Halog.55 W 12V Mod. Plus (iman+ ventosa)</v>
      </c>
      <c r="C1333" s="4">
        <f>IFERROR(__xludf.DUMMYFUNCTION("""COMPUTED_VALUE"""),35.3568)</f>
        <v>35.3568</v>
      </c>
      <c r="D1333" s="4"/>
      <c r="E1333" s="4" t="str">
        <f>IFERROR(__xludf.DUMMYFUNCTION("""COMPUTED_VALUE"""),"Sin precio neto")</f>
        <v>Sin precio neto</v>
      </c>
    </row>
    <row r="1334">
      <c r="A1334" s="4" t="str">
        <f>IFERROR(__xludf.DUMMYFUNCTION("""COMPUTED_VALUE"""),"1682/ALARG")</f>
        <v>1682/ALARG</v>
      </c>
      <c r="B1334" s="4" t="str">
        <f>IFERROR(__xludf.DUMMYFUNCTION("""COMPUTED_VALUE"""),"Cable rizado alargadera para Rotativo Mod. Plus")</f>
        <v>Cable rizado alargadera para Rotativo Mod. Plus</v>
      </c>
      <c r="C1334" s="4">
        <f>IFERROR(__xludf.DUMMYFUNCTION("""COMPUTED_VALUE"""),8.64)</f>
        <v>8.64</v>
      </c>
      <c r="D1334" s="4"/>
      <c r="E1334" s="4" t="str">
        <f>IFERROR(__xludf.DUMMYFUNCTION("""COMPUTED_VALUE"""),"Sin precio neto")</f>
        <v>Sin precio neto</v>
      </c>
    </row>
    <row r="1335">
      <c r="A1335" s="4" t="str">
        <f>IFERROR(__xludf.DUMMYFUNCTION("""COMPUTED_VALUE"""),"1683")</f>
        <v>1683</v>
      </c>
      <c r="B1335" s="4" t="str">
        <f>IFERROR(__xludf.DUMMYFUNCTION("""COMPUTED_VALUE"""),"Juego 3 focos Leds 10 cm para señal metalica")</f>
        <v>Juego 3 focos Leds 10 cm para señal metalica</v>
      </c>
      <c r="C1335" s="4">
        <f>IFERROR(__xludf.DUMMYFUNCTION("""COMPUTED_VALUE"""),283.3632)</f>
        <v>283.3632</v>
      </c>
      <c r="D1335" s="4"/>
      <c r="E1335" s="4" t="str">
        <f>IFERROR(__xludf.DUMMYFUNCTION("""COMPUTED_VALUE"""),"Sin precio neto")</f>
        <v>Sin precio neto</v>
      </c>
    </row>
    <row r="1336">
      <c r="A1336" s="4" t="str">
        <f>IFERROR(__xludf.DUMMYFUNCTION("""COMPUTED_VALUE"""),"1684")</f>
        <v>1684</v>
      </c>
      <c r="B1336" s="4" t="str">
        <f>IFERROR(__xludf.DUMMYFUNCTION("""COMPUTED_VALUE"""),"Rotativo Halogeno magnet. Mod. BASIC")</f>
        <v>Rotativo Halogeno magnet. Mod. BASIC</v>
      </c>
      <c r="C1336" s="4">
        <f>IFERROR(__xludf.DUMMYFUNCTION("""COMPUTED_VALUE"""),13.44)</f>
        <v>13.44</v>
      </c>
      <c r="D1336" s="4"/>
      <c r="E1336" s="4" t="str">
        <f>IFERROR(__xludf.DUMMYFUNCTION("""COMPUTED_VALUE"""),"Sin precio neto")</f>
        <v>Sin precio neto</v>
      </c>
    </row>
    <row r="1337">
      <c r="A1337" s="4" t="str">
        <f>IFERROR(__xludf.DUMMYFUNCTION("""COMPUTED_VALUE"""),"1686")</f>
        <v>1686</v>
      </c>
      <c r="B1337" s="4" t="str">
        <f>IFERROR(__xludf.DUMMYFUNCTION("""COMPUTED_VALUE"""),"Conjunto Panel R/B + base caucho")</f>
        <v>Conjunto Panel R/B + base caucho</v>
      </c>
      <c r="C1337" s="4">
        <f>IFERROR(__xludf.DUMMYFUNCTION("""COMPUTED_VALUE"""),39.36)</f>
        <v>39.36</v>
      </c>
      <c r="D1337" s="4"/>
      <c r="E1337" s="4" t="str">
        <f>IFERROR(__xludf.DUMMYFUNCTION("""COMPUTED_VALUE"""),"Sin precio neto")</f>
        <v>Sin precio neto</v>
      </c>
    </row>
    <row r="1338">
      <c r="A1338" s="4" t="str">
        <f>IFERROR(__xludf.DUMMYFUNCTION("""COMPUTED_VALUE"""),"1687")</f>
        <v>1687</v>
      </c>
      <c r="B1338" s="4" t="str">
        <f>IFERROR(__xludf.DUMMYFUNCTION("""COMPUTED_VALUE"""),"Rotativo fijo carretilla elevadora 21W 12V A/214")</f>
        <v>Rotativo fijo carretilla elevadora 21W 12V A/214</v>
      </c>
      <c r="C1338" s="4">
        <f>IFERROR(__xludf.DUMMYFUNCTION("""COMPUTED_VALUE"""),25.2)</f>
        <v>25.2</v>
      </c>
      <c r="D1338" s="4"/>
      <c r="E1338" s="4" t="str">
        <f>IFERROR(__xludf.DUMMYFUNCTION("""COMPUTED_VALUE"""),"Sin precio neto")</f>
        <v>Sin precio neto</v>
      </c>
    </row>
    <row r="1339">
      <c r="A1339" s="4" t="str">
        <f>IFERROR(__xludf.DUMMYFUNCTION("""COMPUTED_VALUE"""),"1688")</f>
        <v>1688</v>
      </c>
      <c r="B1339" s="4" t="str">
        <f>IFERROR(__xludf.DUMMYFUNCTION("""COMPUTED_VALUE"""),"Panel conjunto 5 Leds para vehículos")</f>
        <v>Panel conjunto 5 Leds para vehículos</v>
      </c>
      <c r="C1339" s="4">
        <f>IFERROR(__xludf.DUMMYFUNCTION("""COMPUTED_VALUE"""),870.912)</f>
        <v>870.912</v>
      </c>
      <c r="D1339" s="4"/>
      <c r="E1339" s="4" t="str">
        <f>IFERROR(__xludf.DUMMYFUNCTION("""COMPUTED_VALUE"""),"Sin precio neto")</f>
        <v>Sin precio neto</v>
      </c>
    </row>
    <row r="1340">
      <c r="A1340" s="4" t="str">
        <f>IFERROR(__xludf.DUMMYFUNCTION("""COMPUTED_VALUE"""),"1689")</f>
        <v>1689</v>
      </c>
      <c r="B1340" s="4" t="str">
        <f>IFERROR(__xludf.DUMMYFUNCTION("""COMPUTED_VALUE"""),"Linterna Super-led Basic 12/220v 3 W+ cono amarillo")</f>
        <v>Linterna Super-led Basic 12/220v 3 W+ cono amarillo</v>
      </c>
      <c r="C1340" s="4">
        <f>IFERROR(__xludf.DUMMYFUNCTION("""COMPUTED_VALUE"""),24.96)</f>
        <v>24.96</v>
      </c>
      <c r="D1340" s="4"/>
      <c r="E1340" s="4" t="str">
        <f>IFERROR(__xludf.DUMMYFUNCTION("""COMPUTED_VALUE"""),"Sin precio neto")</f>
        <v>Sin precio neto</v>
      </c>
    </row>
    <row r="1341">
      <c r="A1341" s="4" t="str">
        <f>IFERROR(__xludf.DUMMYFUNCTION("""COMPUTED_VALUE"""),"1689B")</f>
        <v>1689B</v>
      </c>
      <c r="B1341" s="4" t="str">
        <f>IFERROR(__xludf.DUMMYFUNCTION("""COMPUTED_VALUE"""),"Batería para Linterna recargable Superled Basic")</f>
        <v>Batería para Linterna recargable Superled Basic</v>
      </c>
      <c r="C1341" s="4">
        <f>IFERROR(__xludf.DUMMYFUNCTION("""COMPUTED_VALUE"""),6.72)</f>
        <v>6.72</v>
      </c>
      <c r="D1341" s="4"/>
      <c r="E1341" s="4" t="str">
        <f>IFERROR(__xludf.DUMMYFUNCTION("""COMPUTED_VALUE"""),"Sin precio neto")</f>
        <v>Sin precio neto</v>
      </c>
    </row>
    <row r="1342">
      <c r="A1342" s="4" t="str">
        <f>IFERROR(__xludf.DUMMYFUNCTION("""COMPUTED_VALUE"""),"1689C")</f>
        <v>1689C</v>
      </c>
      <c r="B1342" s="4" t="str">
        <f>IFERROR(__xludf.DUMMYFUNCTION("""COMPUTED_VALUE"""),"Cono para linterna recargable Superled Basic")</f>
        <v>Cono para linterna recargable Superled Basic</v>
      </c>
      <c r="C1342" s="4">
        <f>IFERROR(__xludf.DUMMYFUNCTION("""COMPUTED_VALUE"""),5.76)</f>
        <v>5.76</v>
      </c>
      <c r="D1342" s="4"/>
      <c r="E1342" s="4" t="str">
        <f>IFERROR(__xludf.DUMMYFUNCTION("""COMPUTED_VALUE"""),"Sin precio neto")</f>
        <v>Sin precio neto</v>
      </c>
    </row>
    <row r="1343">
      <c r="A1343" s="4" t="str">
        <f>IFERROR(__xludf.DUMMYFUNCTION("""COMPUTED_VALUE"""),"1690")</f>
        <v>1690</v>
      </c>
      <c r="B1343" s="4" t="str">
        <f>IFERROR(__xludf.DUMMYFUNCTION("""COMPUTED_VALUE"""),"Linterna Super-led Polilux 12-220v 3W")</f>
        <v>Linterna Super-led Polilux 12-220v 3W</v>
      </c>
      <c r="C1343" s="4">
        <f>IFERROR(__xludf.DUMMYFUNCTION("""COMPUTED_VALUE"""),239.904)</f>
        <v>239.904</v>
      </c>
      <c r="D1343" s="4"/>
      <c r="E1343" s="4" t="str">
        <f>IFERROR(__xludf.DUMMYFUNCTION("""COMPUTED_VALUE"""),"Sin precio neto")</f>
        <v>Sin precio neto</v>
      </c>
    </row>
    <row r="1344">
      <c r="A1344" s="4" t="str">
        <f>IFERROR(__xludf.DUMMYFUNCTION("""COMPUTED_VALUE"""),"1691")</f>
        <v>1691</v>
      </c>
      <c r="B1344" s="4" t="str">
        <f>IFERROR(__xludf.DUMMYFUNCTION("""COMPUTED_VALUE"""),"Paleta difusora Stop-Paso p/linterna profesional")</f>
        <v>Paleta difusora Stop-Paso p/linterna profesional</v>
      </c>
      <c r="C1344" s="4">
        <f>IFERROR(__xludf.DUMMYFUNCTION("""COMPUTED_VALUE"""),33.263999999999996)</f>
        <v>33.264</v>
      </c>
      <c r="D1344" s="4"/>
      <c r="E1344" s="4" t="str">
        <f>IFERROR(__xludf.DUMMYFUNCTION("""COMPUTED_VALUE"""),"Sin precio neto")</f>
        <v>Sin precio neto</v>
      </c>
    </row>
    <row r="1345">
      <c r="A1345" s="4" t="str">
        <f>IFERROR(__xludf.DUMMYFUNCTION("""COMPUTED_VALUE"""),"1692")</f>
        <v>1692</v>
      </c>
      <c r="B1345" s="4" t="str">
        <f>IFERROR(__xludf.DUMMYFUNCTION("""COMPUTED_VALUE"""),"Cono amarillo señalizacion p/linterna profesional")</f>
        <v>Cono amarillo señalizacion p/linterna profesional</v>
      </c>
      <c r="C1345" s="4">
        <f>IFERROR(__xludf.DUMMYFUNCTION("""COMPUTED_VALUE"""),6.552)</f>
        <v>6.552</v>
      </c>
      <c r="D1345" s="4"/>
      <c r="E1345" s="4" t="str">
        <f>IFERROR(__xludf.DUMMYFUNCTION("""COMPUTED_VALUE"""),"Sin precio neto")</f>
        <v>Sin precio neto</v>
      </c>
    </row>
    <row r="1346">
      <c r="A1346" s="4" t="str">
        <f>IFERROR(__xludf.DUMMYFUNCTION("""COMPUTED_VALUE"""),"1693")</f>
        <v>1693</v>
      </c>
      <c r="B1346" s="4" t="str">
        <f>IFERROR(__xludf.DUMMYFUNCTION("""COMPUTED_VALUE"""),"Avisador acústico para carretilla 97 db")</f>
        <v>Avisador acústico para carretilla 97 db</v>
      </c>
      <c r="C1346" s="4">
        <f>IFERROR(__xludf.DUMMYFUNCTION("""COMPUTED_VALUE"""),25.2)</f>
        <v>25.2</v>
      </c>
      <c r="D1346" s="4"/>
      <c r="E1346" s="4" t="str">
        <f>IFERROR(__xludf.DUMMYFUNCTION("""COMPUTED_VALUE"""),"Sin precio neto")</f>
        <v>Sin precio neto</v>
      </c>
    </row>
    <row r="1347">
      <c r="A1347" s="4" t="str">
        <f>IFERROR(__xludf.DUMMYFUNCTION("""COMPUTED_VALUE"""),"1694")</f>
        <v>1694</v>
      </c>
      <c r="B1347" s="4" t="str">
        <f>IFERROR(__xludf.DUMMYFUNCTION("""COMPUTED_VALUE"""),"Rotativo Led 12V base magnetica + ventosa")</f>
        <v>Rotativo Led 12V base magnetica + ventosa</v>
      </c>
      <c r="C1347" s="4">
        <f>IFERROR(__xludf.DUMMYFUNCTION("""COMPUTED_VALUE"""),48.384)</f>
        <v>48.384</v>
      </c>
      <c r="D1347" s="4"/>
      <c r="E1347" s="4" t="str">
        <f>IFERROR(__xludf.DUMMYFUNCTION("""COMPUTED_VALUE"""),"Sin precio neto")</f>
        <v>Sin precio neto</v>
      </c>
    </row>
    <row r="1348">
      <c r="A1348" s="4" t="str">
        <f>IFERROR(__xludf.DUMMYFUNCTION("""COMPUTED_VALUE"""),"1697")</f>
        <v>1697</v>
      </c>
      <c r="B1348" s="4" t="str">
        <f>IFERROR(__xludf.DUMMYFUNCTION("""COMPUTED_VALUE"""),"Baston luminoso LED ambar")</f>
        <v>Baston luminoso LED ambar</v>
      </c>
      <c r="C1348" s="4">
        <f>IFERROR(__xludf.DUMMYFUNCTION("""COMPUTED_VALUE"""),7.4399999999999995)</f>
        <v>7.44</v>
      </c>
      <c r="D1348" s="4">
        <f>IFERROR(__xludf.DUMMYFUNCTION("""COMPUTED_VALUE"""),4.5)</f>
        <v>4.5</v>
      </c>
      <c r="E1348" s="4" t="str">
        <f>IFERROR(__xludf.DUMMYFUNCTION("""COMPUTED_VALUE"""),"Neto: 4,50 € (a partir de 50 uds.)")</f>
        <v>Neto: 4,50 € (a partir de 50 uds.)</v>
      </c>
    </row>
    <row r="1349">
      <c r="A1349" s="4" t="str">
        <f>IFERROR(__xludf.DUMMYFUNCTION("""COMPUTED_VALUE"""),"1700")</f>
        <v>1700</v>
      </c>
      <c r="B1349" s="4" t="str">
        <f>IFERROR(__xludf.DUMMYFUNCTION("""COMPUTED_VALUE"""),"Panel direccional 60x60 8 focos Led 100 mm")</f>
        <v>Panel direccional 60x60 8 focos Led 100 mm</v>
      </c>
      <c r="C1349" s="4">
        <f>IFERROR(__xludf.DUMMYFUNCTION("""COMPUTED_VALUE"""),496.94399999999996)</f>
        <v>496.944</v>
      </c>
      <c r="D1349" s="4"/>
      <c r="E1349" s="4" t="str">
        <f>IFERROR(__xludf.DUMMYFUNCTION("""COMPUTED_VALUE"""),"Sin precio neto")</f>
        <v>Sin precio neto</v>
      </c>
    </row>
    <row r="1350">
      <c r="A1350" s="4" t="str">
        <f>IFERROR(__xludf.DUMMYFUNCTION("""COMPUTED_VALUE"""),"1701")</f>
        <v>1701</v>
      </c>
      <c r="B1350" s="4" t="str">
        <f>IFERROR(__xludf.DUMMYFUNCTION("""COMPUTED_VALUE"""),"Panel direccional 90x90 8 Focos Led 200 mm")</f>
        <v>Panel direccional 90x90 8 Focos Led 200 mm</v>
      </c>
      <c r="C1350" s="4">
        <f>IFERROR(__xludf.DUMMYFUNCTION("""COMPUTED_VALUE"""),756.0)</f>
        <v>756</v>
      </c>
      <c r="D1350" s="4"/>
      <c r="E1350" s="4" t="str">
        <f>IFERROR(__xludf.DUMMYFUNCTION("""COMPUTED_VALUE"""),"Sin precio neto")</f>
        <v>Sin precio neto</v>
      </c>
    </row>
    <row r="1351">
      <c r="A1351" s="4" t="str">
        <f>IFERROR(__xludf.DUMMYFUNCTION("""COMPUTED_VALUE"""),"1900")</f>
        <v>1900</v>
      </c>
      <c r="B1351" s="4" t="str">
        <f>IFERROR(__xludf.DUMMYFUNCTION("""COMPUTED_VALUE"""),"Reductor veloc. proteccion cables 90x50x5cm")</f>
        <v>Reductor veloc. proteccion cables 90x50x5cm</v>
      </c>
      <c r="C1351" s="4">
        <f>IFERROR(__xludf.DUMMYFUNCTION("""COMPUTED_VALUE"""),43.199999999999996)</f>
        <v>43.2</v>
      </c>
      <c r="D1351" s="4"/>
      <c r="E1351" s="4" t="str">
        <f>IFERROR(__xludf.DUMMYFUNCTION("""COMPUTED_VALUE"""),"Sin precio neto")</f>
        <v>Sin precio neto</v>
      </c>
    </row>
    <row r="1352">
      <c r="A1352" s="4" t="str">
        <f>IFERROR(__xludf.DUMMYFUNCTION("""COMPUTED_VALUE"""),"1900B")</f>
        <v>1900B</v>
      </c>
      <c r="B1352" s="4" t="str">
        <f>IFERROR(__xludf.DUMMYFUNCTION("""COMPUTED_VALUE"""),"Reductor veloc. proteccion cables 90x25x4,5 cm")</f>
        <v>Reductor veloc. proteccion cables 90x25x4,5 cm</v>
      </c>
      <c r="C1352" s="4">
        <f>IFERROR(__xludf.DUMMYFUNCTION("""COMPUTED_VALUE"""),38.879999999999995)</f>
        <v>38.88</v>
      </c>
      <c r="D1352" s="4"/>
      <c r="E1352" s="4" t="str">
        <f>IFERROR(__xludf.DUMMYFUNCTION("""COMPUTED_VALUE"""),"Sin precio neto")</f>
        <v>Sin precio neto</v>
      </c>
    </row>
    <row r="1353">
      <c r="A1353" s="4" t="str">
        <f>IFERROR(__xludf.DUMMYFUNCTION("""COMPUTED_VALUE"""),"1900C")</f>
        <v>1900C</v>
      </c>
      <c r="B1353" s="4" t="str">
        <f>IFERROR(__xludf.DUMMYFUNCTION("""COMPUTED_VALUE"""),"Rampa proteccion cables 30x82x8,5 cm")</f>
        <v>Rampa proteccion cables 30x82x8,5 cm</v>
      </c>
      <c r="C1353" s="4">
        <f>IFERROR(__xludf.DUMMYFUNCTION("""COMPUTED_VALUE"""),40.08)</f>
        <v>40.08</v>
      </c>
      <c r="D1353" s="4"/>
      <c r="E1353" s="4" t="str">
        <f>IFERROR(__xludf.DUMMYFUNCTION("""COMPUTED_VALUE"""),"Sin precio neto")</f>
        <v>Sin precio neto</v>
      </c>
    </row>
    <row r="1354">
      <c r="A1354" s="4" t="str">
        <f>IFERROR(__xludf.DUMMYFUNCTION("""COMPUTED_VALUE"""),"1900D")</f>
        <v>1900D</v>
      </c>
      <c r="B1354" s="4" t="str">
        <f>IFERROR(__xludf.DUMMYFUNCTION("""COMPUTED_VALUE"""),"Reductor Pasacables MOD D")</f>
        <v>Reductor Pasacables MOD D</v>
      </c>
      <c r="C1354" s="4">
        <f>IFERROR(__xludf.DUMMYFUNCTION("""COMPUTED_VALUE"""),37.92)</f>
        <v>37.92</v>
      </c>
      <c r="D1354" s="4"/>
      <c r="E1354" s="4" t="str">
        <f>IFERROR(__xludf.DUMMYFUNCTION("""COMPUTED_VALUE"""),"Sin precio neto")</f>
        <v>Sin precio neto</v>
      </c>
    </row>
    <row r="1355">
      <c r="A1355" s="4" t="str">
        <f>IFERROR(__xludf.DUMMYFUNCTION("""COMPUTED_VALUE"""),"1901H")</f>
        <v>1901H</v>
      </c>
      <c r="B1355" s="4" t="str">
        <f>IFERROR(__xludf.DUMMYFUNCTION("""COMPUTED_VALUE"""),"Extremo reductor velocidad 25x50x3 cm Mod B H")</f>
        <v>Extremo reductor velocidad 25x50x3 cm Mod B H</v>
      </c>
      <c r="C1355" s="4">
        <f>IFERROR(__xludf.DUMMYFUNCTION("""COMPUTED_VALUE"""),14.399999999999999)</f>
        <v>14.4</v>
      </c>
      <c r="D1355" s="4"/>
      <c r="E1355" s="4" t="str">
        <f>IFERROR(__xludf.DUMMYFUNCTION("""COMPUTED_VALUE"""),"Sin precio neto")</f>
        <v>Sin precio neto</v>
      </c>
    </row>
    <row r="1356">
      <c r="A1356" s="4" t="str">
        <f>IFERROR(__xludf.DUMMYFUNCTION("""COMPUTED_VALUE"""),"1901M")</f>
        <v>1901M</v>
      </c>
      <c r="B1356" s="4" t="str">
        <f>IFERROR(__xludf.DUMMYFUNCTION("""COMPUTED_VALUE"""),"Extremo reductor velocidad 25x50x3 cm Mod B M")</f>
        <v>Extremo reductor velocidad 25x50x3 cm Mod B M</v>
      </c>
      <c r="C1356" s="4">
        <f>IFERROR(__xludf.DUMMYFUNCTION("""COMPUTED_VALUE"""),14.399999999999999)</f>
        <v>14.4</v>
      </c>
      <c r="D1356" s="4"/>
      <c r="E1356" s="4" t="str">
        <f>IFERROR(__xludf.DUMMYFUNCTION("""COMPUTED_VALUE"""),"Sin precio neto")</f>
        <v>Sin precio neto</v>
      </c>
    </row>
    <row r="1357">
      <c r="A1357" s="4" t="str">
        <f>IFERROR(__xludf.DUMMYFUNCTION("""COMPUTED_VALUE"""),"1902")</f>
        <v>1902</v>
      </c>
      <c r="B1357" s="4" t="str">
        <f>IFERROR(__xludf.DUMMYFUNCTION("""COMPUTED_VALUE"""),"Reductor Velocidad 50x50x3 cm. Mod. B")</f>
        <v>Reductor Velocidad 50x50x3 cm. Mod. B</v>
      </c>
      <c r="C1357" s="4">
        <f>IFERROR(__xludf.DUMMYFUNCTION("""COMPUTED_VALUE"""),24.1728)</f>
        <v>24.1728</v>
      </c>
      <c r="D1357" s="4"/>
      <c r="E1357" s="4" t="str">
        <f>IFERROR(__xludf.DUMMYFUNCTION("""COMPUTED_VALUE"""),"Sin precio neto")</f>
        <v>Sin precio neto</v>
      </c>
    </row>
    <row r="1358">
      <c r="A1358" s="4" t="str">
        <f>IFERROR(__xludf.DUMMYFUNCTION("""COMPUTED_VALUE"""),"1903")</f>
        <v>1903</v>
      </c>
      <c r="B1358" s="4" t="str">
        <f>IFERROR(__xludf.DUMMYFUNCTION("""COMPUTED_VALUE"""),"Reductor Velocidad 50x60x5 cm. Mod. A")</f>
        <v>Reductor Velocidad 50x60x5 cm. Mod. A</v>
      </c>
      <c r="C1358" s="4">
        <f>IFERROR(__xludf.DUMMYFUNCTION("""COMPUTED_VALUE"""),24.863999999999997)</f>
        <v>24.864</v>
      </c>
      <c r="D1358" s="4"/>
      <c r="E1358" s="4" t="str">
        <f>IFERROR(__xludf.DUMMYFUNCTION("""COMPUTED_VALUE"""),"Sin precio neto")</f>
        <v>Sin precio neto</v>
      </c>
    </row>
    <row r="1359">
      <c r="A1359" s="4" t="str">
        <f>IFERROR(__xludf.DUMMYFUNCTION("""COMPUTED_VALUE"""),"1903B")</f>
        <v>1903B</v>
      </c>
      <c r="B1359" s="4" t="str">
        <f>IFERROR(__xludf.DUMMYFUNCTION("""COMPUTED_VALUE"""),"Reductor Velocidad 50x60x3 cm. Mod. A")</f>
        <v>Reductor Velocidad 50x60x3 cm. Mod. A</v>
      </c>
      <c r="C1359" s="4">
        <f>IFERROR(__xludf.DUMMYFUNCTION("""COMPUTED_VALUE"""),15.36)</f>
        <v>15.36</v>
      </c>
      <c r="D1359" s="4"/>
      <c r="E1359" s="4" t="str">
        <f>IFERROR(__xludf.DUMMYFUNCTION("""COMPUTED_VALUE"""),"Sin precio neto")</f>
        <v>Sin precio neto</v>
      </c>
    </row>
    <row r="1360">
      <c r="A1360" s="4" t="str">
        <f>IFERROR(__xludf.DUMMYFUNCTION("""COMPUTED_VALUE"""),"1904")</f>
        <v>1904</v>
      </c>
      <c r="B1360" s="4" t="str">
        <f>IFERROR(__xludf.DUMMYFUNCTION("""COMPUTED_VALUE"""),"Extremo Reductor velocidad 25x60x5 cm Mod. A")</f>
        <v>Extremo Reductor velocidad 25x60x5 cm Mod. A</v>
      </c>
      <c r="C1360" s="4">
        <f>IFERROR(__xludf.DUMMYFUNCTION("""COMPUTED_VALUE"""),16.272)</f>
        <v>16.272</v>
      </c>
      <c r="D1360" s="4"/>
      <c r="E1360" s="4" t="str">
        <f>IFERROR(__xludf.DUMMYFUNCTION("""COMPUTED_VALUE"""),"Sin precio neto")</f>
        <v>Sin precio neto</v>
      </c>
    </row>
    <row r="1361">
      <c r="A1361" s="4" t="str">
        <f>IFERROR(__xludf.DUMMYFUNCTION("""COMPUTED_VALUE"""),"1904B")</f>
        <v>1904B</v>
      </c>
      <c r="B1361" s="4" t="str">
        <f>IFERROR(__xludf.DUMMYFUNCTION("""COMPUTED_VALUE"""),"Extremo reductor Velocidad 50x60x3 cm. Mod. A")</f>
        <v>Extremo reductor Velocidad 50x60x3 cm. Mod. A</v>
      </c>
      <c r="C1361" s="4">
        <f>IFERROR(__xludf.DUMMYFUNCTION("""COMPUTED_VALUE"""),10.799999999999999)</f>
        <v>10.8</v>
      </c>
      <c r="D1361" s="4"/>
      <c r="E1361" s="4" t="str">
        <f>IFERROR(__xludf.DUMMYFUNCTION("""COMPUTED_VALUE"""),"Sin precio neto")</f>
        <v>Sin precio neto</v>
      </c>
    </row>
    <row r="1362">
      <c r="A1362" s="4" t="str">
        <f>IFERROR(__xludf.DUMMYFUNCTION("""COMPUTED_VALUE"""),"1908")</f>
        <v>1908</v>
      </c>
      <c r="B1362" s="4" t="str">
        <f>IFERROR(__xludf.DUMMYFUNCTION("""COMPUTED_VALUE"""),"Reductor Velocidad 50x50x5 cm Mod. B")</f>
        <v>Reductor Velocidad 50x50x5 cm Mod. B</v>
      </c>
      <c r="C1362" s="4">
        <f>IFERROR(__xludf.DUMMYFUNCTION("""COMPUTED_VALUE"""),33.36)</f>
        <v>33.36</v>
      </c>
      <c r="D1362" s="4"/>
      <c r="E1362" s="4" t="str">
        <f>IFERROR(__xludf.DUMMYFUNCTION("""COMPUTED_VALUE"""),"Sin precio neto")</f>
        <v>Sin precio neto</v>
      </c>
    </row>
    <row r="1363">
      <c r="A1363" s="4" t="str">
        <f>IFERROR(__xludf.DUMMYFUNCTION("""COMPUTED_VALUE"""),"1909H")</f>
        <v>1909H</v>
      </c>
      <c r="B1363" s="4" t="str">
        <f>IFERROR(__xludf.DUMMYFUNCTION("""COMPUTED_VALUE"""),"Extremo reductor velocidad 25x50x5 cm Mod. B H")</f>
        <v>Extremo reductor velocidad 25x50x5 cm Mod. B H</v>
      </c>
      <c r="C1363" s="4">
        <f>IFERROR(__xludf.DUMMYFUNCTION("""COMPUTED_VALUE"""),19.151999999999997)</f>
        <v>19.152</v>
      </c>
      <c r="D1363" s="4"/>
      <c r="E1363" s="4" t="str">
        <f>IFERROR(__xludf.DUMMYFUNCTION("""COMPUTED_VALUE"""),"Sin precio neto")</f>
        <v>Sin precio neto</v>
      </c>
    </row>
    <row r="1364">
      <c r="A1364" s="4" t="str">
        <f>IFERROR(__xludf.DUMMYFUNCTION("""COMPUTED_VALUE"""),"1909M")</f>
        <v>1909M</v>
      </c>
      <c r="B1364" s="4" t="str">
        <f>IFERROR(__xludf.DUMMYFUNCTION("""COMPUTED_VALUE"""),"Extremo reductor velocidad 25x50x5 cm Mod. B M")</f>
        <v>Extremo reductor velocidad 25x50x5 cm Mod. B M</v>
      </c>
      <c r="C1364" s="4">
        <f>IFERROR(__xludf.DUMMYFUNCTION("""COMPUTED_VALUE"""),19.151999999999997)</f>
        <v>19.152</v>
      </c>
      <c r="D1364" s="4"/>
      <c r="E1364" s="4" t="str">
        <f>IFERROR(__xludf.DUMMYFUNCTION("""COMPUTED_VALUE"""),"Sin precio neto")</f>
        <v>Sin precio neto</v>
      </c>
    </row>
    <row r="1365">
      <c r="A1365" s="4" t="str">
        <f>IFERROR(__xludf.DUMMYFUNCTION("""COMPUTED_VALUE"""),"1910")</f>
        <v>1910</v>
      </c>
      <c r="B1365" s="4" t="str">
        <f>IFERROR(__xludf.DUMMYFUNCTION("""COMPUTED_VALUE"""),"Reductor velocidad - salva cables 50x60x5")</f>
        <v>Reductor velocidad - salva cables 50x60x5</v>
      </c>
      <c r="C1365" s="4">
        <f>IFERROR(__xludf.DUMMYFUNCTION("""COMPUTED_VALUE"""),42.0)</f>
        <v>42</v>
      </c>
      <c r="D1365" s="4"/>
      <c r="E1365" s="4" t="str">
        <f>IFERROR(__xludf.DUMMYFUNCTION("""COMPUTED_VALUE"""),"Sin precio neto")</f>
        <v>Sin precio neto</v>
      </c>
    </row>
    <row r="1366">
      <c r="A1366" s="4" t="str">
        <f>IFERROR(__xludf.DUMMYFUNCTION("""COMPUTED_VALUE"""),"1912")</f>
        <v>1912</v>
      </c>
      <c r="B1366" s="4" t="str">
        <f>IFERROR(__xludf.DUMMYFUNCTION("""COMPUTED_VALUE"""),"Reductor Lenticular 22x4")</f>
        <v>Reductor Lenticular 22x4</v>
      </c>
      <c r="C1366" s="4">
        <f>IFERROR(__xludf.DUMMYFUNCTION("""COMPUTED_VALUE"""),7.295999999999999)</f>
        <v>7.296</v>
      </c>
      <c r="D1366" s="4"/>
      <c r="E1366" s="4" t="str">
        <f>IFERROR(__xludf.DUMMYFUNCTION("""COMPUTED_VALUE"""),"Sin precio neto")</f>
        <v>Sin precio neto</v>
      </c>
    </row>
    <row r="1367">
      <c r="A1367" s="4" t="str">
        <f>IFERROR(__xludf.DUMMYFUNCTION("""COMPUTED_VALUE"""),"1913/A")</f>
        <v>1913/A</v>
      </c>
      <c r="B1367" s="4" t="str">
        <f>IFERROR(__xludf.DUMMYFUNCTION("""COMPUTED_VALUE"""),"Separador Amarillo carril- bici 1 mt x 15 cm ancho x 5 cm alto")</f>
        <v>Separador Amarillo carril- bici 1 mt x 15 cm ancho x 5 cm alto</v>
      </c>
      <c r="C1367" s="4">
        <f>IFERROR(__xludf.DUMMYFUNCTION("""COMPUTED_VALUE"""),17.28)</f>
        <v>17.28</v>
      </c>
      <c r="D1367" s="4"/>
      <c r="E1367" s="4" t="str">
        <f>IFERROR(__xludf.DUMMYFUNCTION("""COMPUTED_VALUE"""),"Sin precio neto")</f>
        <v>Sin precio neto</v>
      </c>
    </row>
    <row r="1368">
      <c r="A1368" s="4" t="str">
        <f>IFERROR(__xludf.DUMMYFUNCTION("""COMPUTED_VALUE"""),"1913/N")</f>
        <v>1913/N</v>
      </c>
      <c r="B1368" s="4" t="str">
        <f>IFERROR(__xludf.DUMMYFUNCTION("""COMPUTED_VALUE"""),"Separador Negro carril-bici 1 mt x 15 cm ancho x 5 cm alto")</f>
        <v>Separador Negro carril-bici 1 mt x 15 cm ancho x 5 cm alto</v>
      </c>
      <c r="C1368" s="4">
        <f>IFERROR(__xludf.DUMMYFUNCTION("""COMPUTED_VALUE"""),17.28)</f>
        <v>17.28</v>
      </c>
      <c r="D1368" s="4"/>
      <c r="E1368" s="4" t="str">
        <f>IFERROR(__xludf.DUMMYFUNCTION("""COMPUTED_VALUE"""),"Sin precio neto")</f>
        <v>Sin precio neto</v>
      </c>
    </row>
    <row r="1369">
      <c r="A1369" s="4" t="str">
        <f>IFERROR(__xludf.DUMMYFUNCTION("""COMPUTED_VALUE"""),"1913/R")</f>
        <v>1913/R</v>
      </c>
      <c r="B1369" s="4" t="str">
        <f>IFERROR(__xludf.DUMMYFUNCTION("""COMPUTED_VALUE"""),"Separador Rojo carril-bici 1 mt x 15 cm ancho x 5 cm alto")</f>
        <v>Separador Rojo carril-bici 1 mt x 15 cm ancho x 5 cm alto</v>
      </c>
      <c r="C1369" s="4">
        <f>IFERROR(__xludf.DUMMYFUNCTION("""COMPUTED_VALUE"""),17.28)</f>
        <v>17.28</v>
      </c>
      <c r="D1369" s="4"/>
      <c r="E1369" s="4" t="str">
        <f>IFERROR(__xludf.DUMMYFUNCTION("""COMPUTED_VALUE"""),"Sin precio neto")</f>
        <v>Sin precio neto</v>
      </c>
    </row>
    <row r="1370">
      <c r="A1370" s="4" t="str">
        <f>IFERROR(__xludf.DUMMYFUNCTION("""COMPUTED_VALUE"""),"1914")</f>
        <v>1914</v>
      </c>
      <c r="B1370" s="4" t="str">
        <f>IFERROR(__xludf.DUMMYFUNCTION("""COMPUTED_VALUE"""),"Separador carril-bici 77,5 x 16,6 x 9 cm CVT")</f>
        <v>Separador carril-bici 77,5 x 16,6 x 9 cm CVT</v>
      </c>
      <c r="C1370" s="4">
        <f>IFERROR(__xludf.DUMMYFUNCTION("""COMPUTED_VALUE"""),14.016)</f>
        <v>14.016</v>
      </c>
      <c r="D1370" s="4"/>
      <c r="E1370" s="4" t="str">
        <f>IFERROR(__xludf.DUMMYFUNCTION("""COMPUTED_VALUE"""),"Sin precio neto")</f>
        <v>Sin precio neto</v>
      </c>
    </row>
    <row r="1371">
      <c r="A1371" s="4" t="str">
        <f>IFERROR(__xludf.DUMMYFUNCTION("""COMPUTED_VALUE"""),"1915")</f>
        <v>1915</v>
      </c>
      <c r="B1371" s="4" t="str">
        <f>IFERROR(__xludf.DUMMYFUNCTION("""COMPUTED_VALUE"""),"Valla extensible PVC 2,50 metros N/A")</f>
        <v>Valla extensible PVC 2,50 metros N/A</v>
      </c>
      <c r="C1371" s="4">
        <f>IFERROR(__xludf.DUMMYFUNCTION("""COMPUTED_VALUE"""),63.36)</f>
        <v>63.36</v>
      </c>
      <c r="D1371" s="4"/>
      <c r="E1371" s="4" t="str">
        <f>IFERROR(__xludf.DUMMYFUNCTION("""COMPUTED_VALUE"""),"Sin precio neto")</f>
        <v>Sin precio neto</v>
      </c>
    </row>
    <row r="1372">
      <c r="A1372" s="4" t="str">
        <f>IFERROR(__xludf.DUMMYFUNCTION("""COMPUTED_VALUE"""),"1915/R")</f>
        <v>1915/R</v>
      </c>
      <c r="B1372" s="4" t="str">
        <f>IFERROR(__xludf.DUMMYFUNCTION("""COMPUTED_VALUE"""),"Valla extensible PVC R/B")</f>
        <v>Valla extensible PVC R/B</v>
      </c>
      <c r="C1372" s="4">
        <f>IFERROR(__xludf.DUMMYFUNCTION("""COMPUTED_VALUE"""),75.93599999999999)</f>
        <v>75.936</v>
      </c>
      <c r="D1372" s="4"/>
      <c r="E1372" s="4" t="str">
        <f>IFERROR(__xludf.DUMMYFUNCTION("""COMPUTED_VALUE"""),"Sin precio neto")</f>
        <v>Sin precio neto</v>
      </c>
    </row>
    <row r="1373">
      <c r="A1373" s="4" t="str">
        <f>IFERROR(__xludf.DUMMYFUNCTION("""COMPUTED_VALUE"""),"1915M")</f>
        <v>1915M</v>
      </c>
      <c r="B1373" s="4" t="str">
        <f>IFERROR(__xludf.DUMMYFUNCTION("""COMPUTED_VALUE"""),"Utility Barrier 4 pts. 750 mm")</f>
        <v>Utility Barrier 4 pts. 750 mm</v>
      </c>
      <c r="C1373" s="4">
        <f>IFERROR(__xludf.DUMMYFUNCTION("""COMPUTED_VALUE"""),105.6)</f>
        <v>105.6</v>
      </c>
      <c r="D1373" s="4"/>
      <c r="E1373" s="4" t="str">
        <f>IFERROR(__xludf.DUMMYFUNCTION("""COMPUTED_VALUE"""),"Sin precio neto")</f>
        <v>Sin precio neto</v>
      </c>
    </row>
    <row r="1374">
      <c r="A1374" s="4" t="str">
        <f>IFERROR(__xludf.DUMMYFUNCTION("""COMPUTED_VALUE"""),"1916")</f>
        <v>1916</v>
      </c>
      <c r="B1374" s="4" t="str">
        <f>IFERROR(__xludf.DUMMYFUNCTION("""COMPUTED_VALUE"""),"Reductor velocidad 50x50x4,5 MOD C")</f>
        <v>Reductor velocidad 50x50x4,5 MOD C</v>
      </c>
      <c r="C1374" s="4">
        <f>IFERROR(__xludf.DUMMYFUNCTION("""COMPUTED_VALUE"""),18.671999999999997)</f>
        <v>18.672</v>
      </c>
      <c r="D1374" s="4">
        <f>IFERROR(__xludf.DUMMYFUNCTION("""COMPUTED_VALUE"""),18.0)</f>
        <v>18</v>
      </c>
      <c r="E1374" s="4" t="str">
        <f>IFERROR(__xludf.DUMMYFUNCTION("""COMPUTED_VALUE"""),"Neto: 18,00 € (a partir de 1 uds.)")</f>
        <v>Neto: 18,00 € (a partir de 1 uds.)</v>
      </c>
    </row>
    <row r="1375">
      <c r="A1375" s="4" t="str">
        <f>IFERROR(__xludf.DUMMYFUNCTION("""COMPUTED_VALUE"""),"1917")</f>
        <v>1917</v>
      </c>
      <c r="B1375" s="4" t="str">
        <f>IFERROR(__xludf.DUMMYFUNCTION("""COMPUTED_VALUE"""),"Extremo reductor velocidad 50x25x4,5 MOD C")</f>
        <v>Extremo reductor velocidad 50x25x4,5 MOD C</v>
      </c>
      <c r="C1375" s="4">
        <f>IFERROR(__xludf.DUMMYFUNCTION("""COMPUTED_VALUE"""),11.76)</f>
        <v>11.76</v>
      </c>
      <c r="D1375" s="4">
        <f>IFERROR(__xludf.DUMMYFUNCTION("""COMPUTED_VALUE"""),11.0)</f>
        <v>11</v>
      </c>
      <c r="E1375" s="4" t="str">
        <f>IFERROR(__xludf.DUMMYFUNCTION("""COMPUTED_VALUE"""),"Neto: 11,00 € (a partir de 1 uds.)")</f>
        <v>Neto: 11,00 € (a partir de 1 uds.)</v>
      </c>
    </row>
    <row r="1376">
      <c r="A1376" s="4" t="str">
        <f>IFERROR(__xludf.DUMMYFUNCTION("""COMPUTED_VALUE"""),"1919")</f>
        <v>1919</v>
      </c>
      <c r="B1376" s="4" t="str">
        <f>IFERROR(__xludf.DUMMYFUNCTION("""COMPUTED_VALUE"""),"Valla alcantarillado 4 ptas Plastico Naranja")</f>
        <v>Valla alcantarillado 4 ptas Plastico Naranja</v>
      </c>
      <c r="C1376" s="4">
        <f>IFERROR(__xludf.DUMMYFUNCTION("""COMPUTED_VALUE"""),95.52)</f>
        <v>95.52</v>
      </c>
      <c r="D1376" s="4"/>
      <c r="E1376" s="4" t="str">
        <f>IFERROR(__xludf.DUMMYFUNCTION("""COMPUTED_VALUE"""),"Sin precio neto")</f>
        <v>Sin precio neto</v>
      </c>
    </row>
    <row r="1377">
      <c r="A1377" s="4" t="str">
        <f>IFERROR(__xludf.DUMMYFUNCTION("""COMPUTED_VALUE"""),"1924A")</f>
        <v>1924A</v>
      </c>
      <c r="B1377" s="4" t="str">
        <f>IFERROR(__xludf.DUMMYFUNCTION("""COMPUTED_VALUE"""),"Valla señal. Gate Barrier 2 mtros Amarilla")</f>
        <v>Valla señal. Gate Barrier 2 mtros Amarilla</v>
      </c>
      <c r="C1377" s="4">
        <f>IFERROR(__xludf.DUMMYFUNCTION("""COMPUTED_VALUE"""),53.76)</f>
        <v>53.76</v>
      </c>
      <c r="D1377" s="4">
        <f>IFERROR(__xludf.DUMMYFUNCTION("""COMPUTED_VALUE"""),49.5)</f>
        <v>49.5</v>
      </c>
      <c r="E1377" s="4" t="str">
        <f>IFERROR(__xludf.DUMMYFUNCTION("""COMPUTED_VALUE"""),"Neto: 49,50 € (a partir de 40 uds.)")</f>
        <v>Neto: 49,50 € (a partir de 40 uds.)</v>
      </c>
    </row>
    <row r="1378">
      <c r="A1378" s="4" t="str">
        <f>IFERROR(__xludf.DUMMYFUNCTION("""COMPUTED_VALUE"""),"1924B")</f>
        <v>1924B</v>
      </c>
      <c r="B1378" s="4" t="str">
        <f>IFERROR(__xludf.DUMMYFUNCTION("""COMPUTED_VALUE"""),"Valla señal. Gate Barrier 2 mtros Blanco")</f>
        <v>Valla señal. Gate Barrier 2 mtros Blanco</v>
      </c>
      <c r="C1378" s="4">
        <f>IFERROR(__xludf.DUMMYFUNCTION("""COMPUTED_VALUE"""),53.76)</f>
        <v>53.76</v>
      </c>
      <c r="D1378" s="4">
        <f>IFERROR(__xludf.DUMMYFUNCTION("""COMPUTED_VALUE"""),49.5)</f>
        <v>49.5</v>
      </c>
      <c r="E1378" s="4" t="str">
        <f>IFERROR(__xludf.DUMMYFUNCTION("""COMPUTED_VALUE"""),"Neto: 49,50 € (a partir de 40 uds.)")</f>
        <v>Neto: 49,50 € (a partir de 40 uds.)</v>
      </c>
    </row>
    <row r="1379">
      <c r="A1379" s="4" t="str">
        <f>IFERROR(__xludf.DUMMYFUNCTION("""COMPUTED_VALUE"""),"1924N")</f>
        <v>1924N</v>
      </c>
      <c r="B1379" s="4" t="str">
        <f>IFERROR(__xludf.DUMMYFUNCTION("""COMPUTED_VALUE"""),"Valla señal. Gate Barrier 2 mtros Naranja")</f>
        <v>Valla señal. Gate Barrier 2 mtros Naranja</v>
      </c>
      <c r="C1379" s="4">
        <f>IFERROR(__xludf.DUMMYFUNCTION("""COMPUTED_VALUE"""),53.76)</f>
        <v>53.76</v>
      </c>
      <c r="D1379" s="4">
        <f>IFERROR(__xludf.DUMMYFUNCTION("""COMPUTED_VALUE"""),49.5)</f>
        <v>49.5</v>
      </c>
      <c r="E1379" s="4" t="str">
        <f>IFERROR(__xludf.DUMMYFUNCTION("""COMPUTED_VALUE"""),"Neto: 49,50 € (a partir de 40 uds.)")</f>
        <v>Neto: 49,50 € (a partir de 40 uds.)</v>
      </c>
    </row>
    <row r="1380">
      <c r="A1380" s="4" t="str">
        <f>IFERROR(__xludf.DUMMYFUNCTION("""COMPUTED_VALUE"""),"1924R")</f>
        <v>1924R</v>
      </c>
      <c r="B1380" s="4" t="str">
        <f>IFERROR(__xludf.DUMMYFUNCTION("""COMPUTED_VALUE"""),"Valla Señal. Gate Barrier 2 mtros. Roja")</f>
        <v>Valla Señal. Gate Barrier 2 mtros. Roja</v>
      </c>
      <c r="C1380" s="4">
        <f>IFERROR(__xludf.DUMMYFUNCTION("""COMPUTED_VALUE"""),53.76)</f>
        <v>53.76</v>
      </c>
      <c r="D1380" s="4">
        <f>IFERROR(__xludf.DUMMYFUNCTION("""COMPUTED_VALUE"""),49.5)</f>
        <v>49.5</v>
      </c>
      <c r="E1380" s="4" t="str">
        <f>IFERROR(__xludf.DUMMYFUNCTION("""COMPUTED_VALUE"""),"Neto: 49,50 € (a partir de 40 uds.)")</f>
        <v>Neto: 49,50 € (a partir de 40 uds.)</v>
      </c>
    </row>
    <row r="1381">
      <c r="A1381" s="4" t="str">
        <f>IFERROR(__xludf.DUMMYFUNCTION("""COMPUTED_VALUE"""),"1924V")</f>
        <v>1924V</v>
      </c>
      <c r="B1381" s="4" t="str">
        <f>IFERROR(__xludf.DUMMYFUNCTION("""COMPUTED_VALUE"""),"Valla señal. Gate Barrier 2 mtros Verde")</f>
        <v>Valla señal. Gate Barrier 2 mtros Verde</v>
      </c>
      <c r="C1381" s="4">
        <f>IFERROR(__xludf.DUMMYFUNCTION("""COMPUTED_VALUE"""),53.76)</f>
        <v>53.76</v>
      </c>
      <c r="D1381" s="4">
        <f>IFERROR(__xludf.DUMMYFUNCTION("""COMPUTED_VALUE"""),49.5)</f>
        <v>49.5</v>
      </c>
      <c r="E1381" s="4" t="str">
        <f>IFERROR(__xludf.DUMMYFUNCTION("""COMPUTED_VALUE"""),"Neto: 49,50 € (a partir de 40 uds.)")</f>
        <v>Neto: 49,50 € (a partir de 40 uds.)</v>
      </c>
    </row>
    <row r="1382">
      <c r="A1382" s="4" t="str">
        <f>IFERROR(__xludf.DUMMYFUNCTION("""COMPUTED_VALUE"""),"1924Z")</f>
        <v>1924Z</v>
      </c>
      <c r="B1382" s="4" t="str">
        <f>IFERROR(__xludf.DUMMYFUNCTION("""COMPUTED_VALUE"""),"Valla señal. Gate Barrier 2 mtros Azul")</f>
        <v>Valla señal. Gate Barrier 2 mtros Azul</v>
      </c>
      <c r="C1382" s="4">
        <f>IFERROR(__xludf.DUMMYFUNCTION("""COMPUTED_VALUE"""),53.76)</f>
        <v>53.76</v>
      </c>
      <c r="D1382" s="4">
        <f>IFERROR(__xludf.DUMMYFUNCTION("""COMPUTED_VALUE"""),49.5)</f>
        <v>49.5</v>
      </c>
      <c r="E1382" s="4" t="str">
        <f>IFERROR(__xludf.DUMMYFUNCTION("""COMPUTED_VALUE"""),"Neto: 49,50 € (a partir de 40 uds.)")</f>
        <v>Neto: 49,50 € (a partir de 40 uds.)</v>
      </c>
    </row>
    <row r="1383">
      <c r="A1383" s="4" t="str">
        <f>IFERROR(__xludf.DUMMYFUNCTION("""COMPUTED_VALUE"""),"1925")</f>
        <v>1925</v>
      </c>
      <c r="B1383" s="4" t="str">
        <f>IFERROR(__xludf.DUMMYFUNCTION("""COMPUTED_VALUE"""),"Placa salva-zanjas 120x80 Mod. Basic")</f>
        <v>Placa salva-zanjas 120x80 Mod. Basic</v>
      </c>
      <c r="C1383" s="4">
        <f>IFERROR(__xludf.DUMMYFUNCTION("""COMPUTED_VALUE"""),75.84)</f>
        <v>75.84</v>
      </c>
      <c r="D1383" s="4"/>
      <c r="E1383" s="4" t="str">
        <f>IFERROR(__xludf.DUMMYFUNCTION("""COMPUTED_VALUE"""),"Sin precio neto")</f>
        <v>Sin precio neto</v>
      </c>
    </row>
    <row r="1384">
      <c r="A1384" s="4" t="str">
        <f>IFERROR(__xludf.DUMMYFUNCTION("""COMPUTED_VALUE"""),"1925B")</f>
        <v>1925B</v>
      </c>
      <c r="B1384" s="4" t="str">
        <f>IFERROR(__xludf.DUMMYFUNCTION("""COMPUTED_VALUE"""),"Placa salva-zanjas 120 x 80 antideslizante")</f>
        <v>Placa salva-zanjas 120 x 80 antideslizante</v>
      </c>
      <c r="C1384" s="4">
        <f>IFERROR(__xludf.DUMMYFUNCTION("""COMPUTED_VALUE"""),80.64)</f>
        <v>80.64</v>
      </c>
      <c r="D1384" s="4"/>
      <c r="E1384" s="4" t="str">
        <f>IFERROR(__xludf.DUMMYFUNCTION("""COMPUTED_VALUE"""),"Sin precio neto")</f>
        <v>Sin precio neto</v>
      </c>
    </row>
    <row r="1385">
      <c r="A1385" s="4" t="str">
        <f>IFERROR(__xludf.DUMMYFUNCTION("""COMPUTED_VALUE"""),"1925C")</f>
        <v>1925C</v>
      </c>
      <c r="B1385" s="4" t="str">
        <f>IFERROR(__xludf.DUMMYFUNCTION("""COMPUTED_VALUE"""),"Placa salva-zanjas 120x160 antideslizante")</f>
        <v>Placa salva-zanjas 120x160 antideslizante</v>
      </c>
      <c r="C1385" s="4">
        <f>IFERROR(__xludf.DUMMYFUNCTION("""COMPUTED_VALUE"""),191.04)</f>
        <v>191.04</v>
      </c>
      <c r="D1385" s="4"/>
      <c r="E1385" s="4" t="str">
        <f>IFERROR(__xludf.DUMMYFUNCTION("""COMPUTED_VALUE"""),"Sin precio neto")</f>
        <v>Sin precio neto</v>
      </c>
    </row>
    <row r="1386">
      <c r="A1386" s="4" t="str">
        <f>IFERROR(__xludf.DUMMYFUNCTION("""COMPUTED_VALUE"""),"1927A")</f>
        <v>1927A</v>
      </c>
      <c r="B1386" s="4" t="str">
        <f>IFERROR(__xludf.DUMMYFUNCTION("""COMPUTED_VALUE"""),"Valla señal. Gate Barrier 1 mt. Amarilla publicitaria")</f>
        <v>Valla señal. Gate Barrier 1 mt. Amarilla publicitaria</v>
      </c>
      <c r="C1386" s="4">
        <f>IFERROR(__xludf.DUMMYFUNCTION("""COMPUTED_VALUE"""),36.0)</f>
        <v>36</v>
      </c>
      <c r="D1386" s="4"/>
      <c r="E1386" s="4" t="str">
        <f>IFERROR(__xludf.DUMMYFUNCTION("""COMPUTED_VALUE"""),"Sin precio neto")</f>
        <v>Sin precio neto</v>
      </c>
    </row>
    <row r="1387">
      <c r="A1387" s="4" t="str">
        <f>IFERROR(__xludf.DUMMYFUNCTION("""COMPUTED_VALUE"""),"1927B")</f>
        <v>1927B</v>
      </c>
      <c r="B1387" s="4" t="str">
        <f>IFERROR(__xludf.DUMMYFUNCTION("""COMPUTED_VALUE"""),"Valla señal. Gate Barrier 1 mt. Blanca publicitaria")</f>
        <v>Valla señal. Gate Barrier 1 mt. Blanca publicitaria</v>
      </c>
      <c r="C1387" s="4">
        <f>IFERROR(__xludf.DUMMYFUNCTION("""COMPUTED_VALUE"""),36.0)</f>
        <v>36</v>
      </c>
      <c r="D1387" s="4"/>
      <c r="E1387" s="4" t="str">
        <f>IFERROR(__xludf.DUMMYFUNCTION("""COMPUTED_VALUE"""),"Sin precio neto")</f>
        <v>Sin precio neto</v>
      </c>
    </row>
    <row r="1388">
      <c r="A1388" s="4" t="str">
        <f>IFERROR(__xludf.DUMMYFUNCTION("""COMPUTED_VALUE"""),"1927N")</f>
        <v>1927N</v>
      </c>
      <c r="B1388" s="4" t="str">
        <f>IFERROR(__xludf.DUMMYFUNCTION("""COMPUTED_VALUE"""),"Valla señal. Gate Barrier 1 mt. Naranja publicitaria")</f>
        <v>Valla señal. Gate Barrier 1 mt. Naranja publicitaria</v>
      </c>
      <c r="C1388" s="4">
        <f>IFERROR(__xludf.DUMMYFUNCTION("""COMPUTED_VALUE"""),36.0)</f>
        <v>36</v>
      </c>
      <c r="D1388" s="4"/>
      <c r="E1388" s="4" t="str">
        <f>IFERROR(__xludf.DUMMYFUNCTION("""COMPUTED_VALUE"""),"Sin precio neto")</f>
        <v>Sin precio neto</v>
      </c>
    </row>
    <row r="1389">
      <c r="A1389" s="4" t="str">
        <f>IFERROR(__xludf.DUMMYFUNCTION("""COMPUTED_VALUE"""),"1927Z")</f>
        <v>1927Z</v>
      </c>
      <c r="B1389" s="4" t="str">
        <f>IFERROR(__xludf.DUMMYFUNCTION("""COMPUTED_VALUE"""),"Valla señal. Gate Barrier 1 mt. Azul publicitaria")</f>
        <v>Valla señal. Gate Barrier 1 mt. Azul publicitaria</v>
      </c>
      <c r="C1389" s="4">
        <f>IFERROR(__xludf.DUMMYFUNCTION("""COMPUTED_VALUE"""),36.0)</f>
        <v>36</v>
      </c>
      <c r="D1389" s="4"/>
      <c r="E1389" s="4" t="str">
        <f>IFERROR(__xludf.DUMMYFUNCTION("""COMPUTED_VALUE"""),"Sin precio neto")</f>
        <v>Sin precio neto</v>
      </c>
    </row>
    <row r="1390">
      <c r="A1390" s="4" t="str">
        <f>IFERROR(__xludf.DUMMYFUNCTION("""COMPUTED_VALUE"""),"1928A")</f>
        <v>1928A</v>
      </c>
      <c r="B1390" s="4" t="str">
        <f>IFERROR(__xludf.DUMMYFUNCTION("""COMPUTED_VALUE"""),"Valla GateBarrier Slim 2x1 Amarilla")</f>
        <v>Valla GateBarrier Slim 2x1 Amarilla</v>
      </c>
      <c r="C1390" s="4">
        <f>IFERROR(__xludf.DUMMYFUNCTION("""COMPUTED_VALUE"""),51.839999999999996)</f>
        <v>51.84</v>
      </c>
      <c r="D1390" s="4"/>
      <c r="E1390" s="4" t="str">
        <f>IFERROR(__xludf.DUMMYFUNCTION("""COMPUTED_VALUE"""),"Sin precio neto")</f>
        <v>Sin precio neto</v>
      </c>
    </row>
    <row r="1391">
      <c r="A1391" s="4" t="str">
        <f>IFERROR(__xludf.DUMMYFUNCTION("""COMPUTED_VALUE"""),"1929A")</f>
        <v>1929A</v>
      </c>
      <c r="B1391" s="4" t="str">
        <f>IFERROR(__xludf.DUMMYFUNCTION("""COMPUTED_VALUE"""),"Valla 1 mt Gate barrier amarilla")</f>
        <v>Valla 1 mt Gate barrier amarilla</v>
      </c>
      <c r="C1391" s="4">
        <f>IFERROR(__xludf.DUMMYFUNCTION("""COMPUTED_VALUE"""),39.36)</f>
        <v>39.36</v>
      </c>
      <c r="D1391" s="4">
        <f>IFERROR(__xludf.DUMMYFUNCTION("""COMPUTED_VALUE"""),38.0)</f>
        <v>38</v>
      </c>
      <c r="E1391" s="4" t="str">
        <f>IFERROR(__xludf.DUMMYFUNCTION("""COMPUTED_VALUE"""),"Neto: 38,00 € (a partir de 40 uds.)")</f>
        <v>Neto: 38,00 € (a partir de 40 uds.)</v>
      </c>
    </row>
    <row r="1392">
      <c r="A1392" s="4" t="str">
        <f>IFERROR(__xludf.DUMMYFUNCTION("""COMPUTED_VALUE"""),"1929B")</f>
        <v>1929B</v>
      </c>
      <c r="B1392" s="4" t="str">
        <f>IFERROR(__xludf.DUMMYFUNCTION("""COMPUTED_VALUE"""),"Valla 1 mt Gate Barrier Blanca")</f>
        <v>Valla 1 mt Gate Barrier Blanca</v>
      </c>
      <c r="C1392" s="4">
        <f>IFERROR(__xludf.DUMMYFUNCTION("""COMPUTED_VALUE"""),39.36)</f>
        <v>39.36</v>
      </c>
      <c r="D1392" s="4">
        <f>IFERROR(__xludf.DUMMYFUNCTION("""COMPUTED_VALUE"""),38.0)</f>
        <v>38</v>
      </c>
      <c r="E1392" s="4" t="str">
        <f>IFERROR(__xludf.DUMMYFUNCTION("""COMPUTED_VALUE"""),"Neto: 38,00 € (a partir de 40 uds.)")</f>
        <v>Neto: 38,00 € (a partir de 40 uds.)</v>
      </c>
    </row>
    <row r="1393">
      <c r="A1393" s="4" t="str">
        <f>IFERROR(__xludf.DUMMYFUNCTION("""COMPUTED_VALUE"""),"1929N")</f>
        <v>1929N</v>
      </c>
      <c r="B1393" s="4" t="str">
        <f>IFERROR(__xludf.DUMMYFUNCTION("""COMPUTED_VALUE"""),"Valla 1 mt Gate barrier Naranja")</f>
        <v>Valla 1 mt Gate barrier Naranja</v>
      </c>
      <c r="C1393" s="4">
        <f>IFERROR(__xludf.DUMMYFUNCTION("""COMPUTED_VALUE"""),39.36)</f>
        <v>39.36</v>
      </c>
      <c r="D1393" s="4">
        <f>IFERROR(__xludf.DUMMYFUNCTION("""COMPUTED_VALUE"""),38.0)</f>
        <v>38</v>
      </c>
      <c r="E1393" s="4" t="str">
        <f>IFERROR(__xludf.DUMMYFUNCTION("""COMPUTED_VALUE"""),"Neto: 38,00 € (a partir de 40 uds.)")</f>
        <v>Neto: 38,00 € (a partir de 40 uds.)</v>
      </c>
    </row>
    <row r="1394">
      <c r="A1394" s="4" t="str">
        <f>IFERROR(__xludf.DUMMYFUNCTION("""COMPUTED_VALUE"""),"1929Z")</f>
        <v>1929Z</v>
      </c>
      <c r="B1394" s="4" t="str">
        <f>IFERROR(__xludf.DUMMYFUNCTION("""COMPUTED_VALUE"""),"Valla 1 mt Gate barrier azul")</f>
        <v>Valla 1 mt Gate barrier azul</v>
      </c>
      <c r="C1394" s="4">
        <f>IFERROR(__xludf.DUMMYFUNCTION("""COMPUTED_VALUE"""),39.36)</f>
        <v>39.36</v>
      </c>
      <c r="D1394" s="4">
        <f>IFERROR(__xludf.DUMMYFUNCTION("""COMPUTED_VALUE"""),38.0)</f>
        <v>38</v>
      </c>
      <c r="E1394" s="4" t="str">
        <f>IFERROR(__xludf.DUMMYFUNCTION("""COMPUTED_VALUE"""),"Neto: 38,00 € (a partir de 40 uds.)")</f>
        <v>Neto: 38,00 € (a partir de 40 uds.)</v>
      </c>
    </row>
    <row r="1395">
      <c r="A1395" s="4" t="str">
        <f>IFERROR(__xludf.DUMMYFUNCTION("""COMPUTED_VALUE"""),"1931")</f>
        <v>1931</v>
      </c>
      <c r="B1395" s="4" t="str">
        <f>IFERROR(__xludf.DUMMYFUNCTION("""COMPUTED_VALUE"""),"Reductor Velocidad 50x44x5 cm Mod. D negro")</f>
        <v>Reductor Velocidad 50x44x5 cm Mod. D negro</v>
      </c>
      <c r="C1395" s="4">
        <f>IFERROR(__xludf.DUMMYFUNCTION("""COMPUTED_VALUE"""),23.279999999999998)</f>
        <v>23.28</v>
      </c>
      <c r="D1395" s="4"/>
      <c r="E1395" s="4" t="str">
        <f>IFERROR(__xludf.DUMMYFUNCTION("""COMPUTED_VALUE"""),"Sin precio neto")</f>
        <v>Sin precio neto</v>
      </c>
    </row>
    <row r="1396">
      <c r="A1396" s="4" t="str">
        <f>IFERROR(__xludf.DUMMYFUNCTION("""COMPUTED_VALUE"""),"1932")</f>
        <v>1932</v>
      </c>
      <c r="B1396" s="4" t="str">
        <f>IFERROR(__xludf.DUMMYFUNCTION("""COMPUTED_VALUE"""),"Reductor Velocidad 50x44X5cm Mod. D Amarillo")</f>
        <v>Reductor Velocidad 50x44X5cm Mod. D Amarillo</v>
      </c>
      <c r="C1396" s="4">
        <f>IFERROR(__xludf.DUMMYFUNCTION("""COMPUTED_VALUE"""),23.279999999999998)</f>
        <v>23.28</v>
      </c>
      <c r="D1396" s="4"/>
      <c r="E1396" s="4" t="str">
        <f>IFERROR(__xludf.DUMMYFUNCTION("""COMPUTED_VALUE"""),"Sin precio neto")</f>
        <v>Sin precio neto</v>
      </c>
    </row>
    <row r="1397">
      <c r="A1397" s="4" t="str">
        <f>IFERROR(__xludf.DUMMYFUNCTION("""COMPUTED_VALUE"""),"1933")</f>
        <v>1933</v>
      </c>
      <c r="B1397" s="4" t="str">
        <f>IFERROR(__xludf.DUMMYFUNCTION("""COMPUTED_VALUE"""),"Extremo reductor velocidad 21x42.5x5 cm Mod. D Negro")</f>
        <v>Extremo reductor velocidad 21x42.5x5 cm Mod. D Negro</v>
      </c>
      <c r="C1397" s="4">
        <f>IFERROR(__xludf.DUMMYFUNCTION("""COMPUTED_VALUE"""),15.6)</f>
        <v>15.6</v>
      </c>
      <c r="D1397" s="4"/>
      <c r="E1397" s="4" t="str">
        <f>IFERROR(__xludf.DUMMYFUNCTION("""COMPUTED_VALUE"""),"Sin precio neto")</f>
        <v>Sin precio neto</v>
      </c>
    </row>
    <row r="1398">
      <c r="A1398" s="4" t="str">
        <f>IFERROR(__xludf.DUMMYFUNCTION("""COMPUTED_VALUE"""),"1934")</f>
        <v>1934</v>
      </c>
      <c r="B1398" s="4" t="str">
        <f>IFERROR(__xludf.DUMMYFUNCTION("""COMPUTED_VALUE"""),"Extremo reductor velocidad 21x42.5x5 cm Mod. D Amarillo")</f>
        <v>Extremo reductor velocidad 21x42.5x5 cm Mod. D Amarillo</v>
      </c>
      <c r="C1398" s="4">
        <f>IFERROR(__xludf.DUMMYFUNCTION("""COMPUTED_VALUE"""),15.6)</f>
        <v>15.6</v>
      </c>
      <c r="D1398" s="4"/>
      <c r="E1398" s="4" t="str">
        <f>IFERROR(__xludf.DUMMYFUNCTION("""COMPUTED_VALUE"""),"Sin precio neto")</f>
        <v>Sin precio neto</v>
      </c>
    </row>
    <row r="1399">
      <c r="A1399" s="4" t="str">
        <f>IFERROR(__xludf.DUMMYFUNCTION("""COMPUTED_VALUE"""),"1937")</f>
        <v>1937</v>
      </c>
      <c r="B1399" s="4" t="str">
        <f>IFERROR(__xludf.DUMMYFUNCTION("""COMPUTED_VALUE"""),"Valla Señal. Olimpic Barrier 2 m Naranja")</f>
        <v>Valla Señal. Olimpic Barrier 2 m Naranja</v>
      </c>
      <c r="C1399" s="4">
        <f>IFERROR(__xludf.DUMMYFUNCTION("""COMPUTED_VALUE"""),69.6)</f>
        <v>69.6</v>
      </c>
      <c r="D1399" s="4"/>
      <c r="E1399" s="4" t="str">
        <f>IFERROR(__xludf.DUMMYFUNCTION("""COMPUTED_VALUE"""),"Sin precio neto")</f>
        <v>Sin precio neto</v>
      </c>
    </row>
    <row r="1400">
      <c r="A1400" s="4" t="str">
        <f>IFERROR(__xludf.DUMMYFUNCTION("""COMPUTED_VALUE"""),"1938")</f>
        <v>1938</v>
      </c>
      <c r="B1400" s="4" t="str">
        <f>IFERROR(__xludf.DUMMYFUNCTION("""COMPUTED_VALUE"""),"Valla Señal. Wonderwall Naranja COMPLETO 1000x1140x500")</f>
        <v>Valla Señal. Wonderwall Naranja COMPLETO 1000x1140x500</v>
      </c>
      <c r="C1400" s="4">
        <f>IFERROR(__xludf.DUMMYFUNCTION("""COMPUTED_VALUE"""),71.03999999999999)</f>
        <v>71.04</v>
      </c>
      <c r="D1400" s="4"/>
      <c r="E1400" s="4" t="str">
        <f>IFERROR(__xludf.DUMMYFUNCTION("""COMPUTED_VALUE"""),"Sin precio neto")</f>
        <v>Sin precio neto</v>
      </c>
    </row>
    <row r="1401">
      <c r="A1401" s="4" t="str">
        <f>IFERROR(__xludf.DUMMYFUNCTION("""COMPUTED_VALUE"""),"1938B")</f>
        <v>1938B</v>
      </c>
      <c r="B1401" s="4" t="str">
        <f>IFERROR(__xludf.DUMMYFUNCTION("""COMPUTED_VALUE"""),"Valla Señal. Wonderwall Naranja BASE")</f>
        <v>Valla Señal. Wonderwall Naranja BASE</v>
      </c>
      <c r="C1401" s="4">
        <f>IFERROR(__xludf.DUMMYFUNCTION("""COMPUTED_VALUE"""),21.599999999999998)</f>
        <v>21.6</v>
      </c>
      <c r="D1401" s="4"/>
      <c r="E1401" s="4" t="str">
        <f>IFERROR(__xludf.DUMMYFUNCTION("""COMPUTED_VALUE"""),"Sin precio neto")</f>
        <v>Sin precio neto</v>
      </c>
    </row>
    <row r="1402">
      <c r="A1402" s="4" t="str">
        <f>IFERROR(__xludf.DUMMYFUNCTION("""COMPUTED_VALUE"""),"1938T")</f>
        <v>1938T</v>
      </c>
      <c r="B1402" s="4" t="str">
        <f>IFERROR(__xludf.DUMMYFUNCTION("""COMPUTED_VALUE"""),"Valla Señal. Wonderwall Naranja TOP")</f>
        <v>Valla Señal. Wonderwall Naranja TOP</v>
      </c>
      <c r="C1402" s="4">
        <f>IFERROR(__xludf.DUMMYFUNCTION("""COMPUTED_VALUE"""),47.04)</f>
        <v>47.04</v>
      </c>
      <c r="D1402" s="4"/>
      <c r="E1402" s="4" t="str">
        <f>IFERROR(__xludf.DUMMYFUNCTION("""COMPUTED_VALUE"""),"Sin precio neto")</f>
        <v>Sin precio neto</v>
      </c>
    </row>
    <row r="1403">
      <c r="A1403" s="4" t="str">
        <f>IFERROR(__xludf.DUMMYFUNCTION("""COMPUTED_VALUE"""),"1939B")</f>
        <v>1939B</v>
      </c>
      <c r="B1403" s="4" t="str">
        <f>IFERROR(__xludf.DUMMYFUNCTION("""COMPUTED_VALUE"""),"Barrera mediana Budda Barrier 800x1040x280 Blanca")</f>
        <v>Barrera mediana Budda Barrier 800x1040x280 Blanca</v>
      </c>
      <c r="C1403" s="4">
        <f>IFERROR(__xludf.DUMMYFUNCTION("""COMPUTED_VALUE"""),53.76)</f>
        <v>53.76</v>
      </c>
      <c r="D1403" s="4"/>
      <c r="E1403" s="4" t="str">
        <f>IFERROR(__xludf.DUMMYFUNCTION("""COMPUTED_VALUE"""),"Sin precio neto")</f>
        <v>Sin precio neto</v>
      </c>
    </row>
    <row r="1404">
      <c r="A1404" s="4" t="str">
        <f>IFERROR(__xludf.DUMMYFUNCTION("""COMPUTED_VALUE"""),"1939R")</f>
        <v>1939R</v>
      </c>
      <c r="B1404" s="4" t="str">
        <f>IFERROR(__xludf.DUMMYFUNCTION("""COMPUTED_VALUE"""),"Barrera mediana Budda Barrier 800x1040x280 Roja")</f>
        <v>Barrera mediana Budda Barrier 800x1040x280 Roja</v>
      </c>
      <c r="C1404" s="4">
        <f>IFERROR(__xludf.DUMMYFUNCTION("""COMPUTED_VALUE"""),53.76)</f>
        <v>53.76</v>
      </c>
      <c r="D1404" s="4"/>
      <c r="E1404" s="4" t="str">
        <f>IFERROR(__xludf.DUMMYFUNCTION("""COMPUTED_VALUE"""),"Sin precio neto")</f>
        <v>Sin precio neto</v>
      </c>
    </row>
    <row r="1405">
      <c r="A1405" s="4" t="str">
        <f>IFERROR(__xludf.DUMMYFUNCTION("""COMPUTED_VALUE"""),"1940B")</f>
        <v>1940B</v>
      </c>
      <c r="B1405" s="4" t="str">
        <f>IFERROR(__xludf.DUMMYFUNCTION("""COMPUTED_VALUE"""),"Mini Double top Valla 1115x535 mm blanca")</f>
        <v>Mini Double top Valla 1115x535 mm blanca</v>
      </c>
      <c r="C1405" s="4">
        <f>IFERROR(__xludf.DUMMYFUNCTION("""COMPUTED_VALUE"""),42.239999999999995)</f>
        <v>42.24</v>
      </c>
      <c r="D1405" s="4"/>
      <c r="E1405" s="4" t="str">
        <f>IFERROR(__xludf.DUMMYFUNCTION("""COMPUTED_VALUE"""),"Sin precio neto")</f>
        <v>Sin precio neto</v>
      </c>
    </row>
    <row r="1406">
      <c r="A1406" s="4" t="str">
        <f>IFERROR(__xludf.DUMMYFUNCTION("""COMPUTED_VALUE"""),"1940R")</f>
        <v>1940R</v>
      </c>
      <c r="B1406" s="4" t="str">
        <f>IFERROR(__xludf.DUMMYFUNCTION("""COMPUTED_VALUE"""),"Mini Double top Valla 1115x535 mm roja")</f>
        <v>Mini Double top Valla 1115x535 mm roja</v>
      </c>
      <c r="C1406" s="4">
        <f>IFERROR(__xludf.DUMMYFUNCTION("""COMPUTED_VALUE"""),42.239999999999995)</f>
        <v>42.24</v>
      </c>
      <c r="D1406" s="4"/>
      <c r="E1406" s="4" t="str">
        <f>IFERROR(__xludf.DUMMYFUNCTION("""COMPUTED_VALUE"""),"Sin precio neto")</f>
        <v>Sin precio neto</v>
      </c>
    </row>
    <row r="1407">
      <c r="A1407" s="4" t="str">
        <f>IFERROR(__xludf.DUMMYFUNCTION("""COMPUTED_VALUE"""),"1941B")</f>
        <v>1941B</v>
      </c>
      <c r="B1407" s="4" t="str">
        <f>IFERROR(__xludf.DUMMYFUNCTION("""COMPUTED_VALUE"""),"Double top Valla 1115x1000 mm blanca")</f>
        <v>Double top Valla 1115x1000 mm blanca</v>
      </c>
      <c r="C1407" s="4">
        <f>IFERROR(__xludf.DUMMYFUNCTION("""COMPUTED_VALUE"""),45.12)</f>
        <v>45.12</v>
      </c>
      <c r="D1407" s="4"/>
      <c r="E1407" s="4" t="str">
        <f>IFERROR(__xludf.DUMMYFUNCTION("""COMPUTED_VALUE"""),"Sin precio neto")</f>
        <v>Sin precio neto</v>
      </c>
    </row>
    <row r="1408">
      <c r="A1408" s="4" t="str">
        <f>IFERROR(__xludf.DUMMYFUNCTION("""COMPUTED_VALUE"""),"1941R")</f>
        <v>1941R</v>
      </c>
      <c r="B1408" s="4" t="str">
        <f>IFERROR(__xludf.DUMMYFUNCTION("""COMPUTED_VALUE"""),"Double top Valla 1115x1000 mm roja")</f>
        <v>Double top Valla 1115x1000 mm roja</v>
      </c>
      <c r="C1408" s="4">
        <f>IFERROR(__xludf.DUMMYFUNCTION("""COMPUTED_VALUE"""),45.12)</f>
        <v>45.12</v>
      </c>
      <c r="D1408" s="4"/>
      <c r="E1408" s="4" t="str">
        <f>IFERROR(__xludf.DUMMYFUNCTION("""COMPUTED_VALUE"""),"Sin precio neto")</f>
        <v>Sin precio neto</v>
      </c>
    </row>
    <row r="1409">
      <c r="A1409" s="4" t="str">
        <f>IFERROR(__xludf.DUMMYFUNCTION("""COMPUTED_VALUE"""),"1942A")</f>
        <v>1942A</v>
      </c>
      <c r="B1409" s="4" t="str">
        <f>IFERROR(__xludf.DUMMYFUNCTION("""COMPUTED_VALUE"""),"Valla señal.Slim Gate Barrier 2 mtros Amarilla")</f>
        <v>Valla señal.Slim Gate Barrier 2 mtros Amarilla</v>
      </c>
      <c r="C1409" s="4">
        <f>IFERROR(__xludf.DUMMYFUNCTION("""COMPUTED_VALUE"""),50.879999999999995)</f>
        <v>50.88</v>
      </c>
      <c r="D1409" s="4"/>
      <c r="E1409" s="4" t="str">
        <f>IFERROR(__xludf.DUMMYFUNCTION("""COMPUTED_VALUE"""),"Sin precio neto")</f>
        <v>Sin precio neto</v>
      </c>
    </row>
    <row r="1410">
      <c r="A1410" s="4" t="str">
        <f>IFERROR(__xludf.DUMMYFUNCTION("""COMPUTED_VALUE"""),"1942B")</f>
        <v>1942B</v>
      </c>
      <c r="B1410" s="4" t="str">
        <f>IFERROR(__xludf.DUMMYFUNCTION("""COMPUTED_VALUE"""),"Valla señal.Slim Gate Barrier 2 mtros Blanco")</f>
        <v>Valla señal.Slim Gate Barrier 2 mtros Blanco</v>
      </c>
      <c r="C1410" s="4">
        <f>IFERROR(__xludf.DUMMYFUNCTION("""COMPUTED_VALUE"""),50.879999999999995)</f>
        <v>50.88</v>
      </c>
      <c r="D1410" s="4"/>
      <c r="E1410" s="4" t="str">
        <f>IFERROR(__xludf.DUMMYFUNCTION("""COMPUTED_VALUE"""),"Sin precio neto")</f>
        <v>Sin precio neto</v>
      </c>
    </row>
    <row r="1411">
      <c r="A1411" s="4" t="str">
        <f>IFERROR(__xludf.DUMMYFUNCTION("""COMPUTED_VALUE"""),"1942N")</f>
        <v>1942N</v>
      </c>
      <c r="B1411" s="4" t="str">
        <f>IFERROR(__xludf.DUMMYFUNCTION("""COMPUTED_VALUE"""),"Valla señal.Slim Gate Barrier 2 mtros Naranja")</f>
        <v>Valla señal.Slim Gate Barrier 2 mtros Naranja</v>
      </c>
      <c r="C1411" s="4">
        <f>IFERROR(__xludf.DUMMYFUNCTION("""COMPUTED_VALUE"""),50.879999999999995)</f>
        <v>50.88</v>
      </c>
      <c r="D1411" s="4"/>
      <c r="E1411" s="4" t="str">
        <f>IFERROR(__xludf.DUMMYFUNCTION("""COMPUTED_VALUE"""),"Sin precio neto")</f>
        <v>Sin precio neto</v>
      </c>
    </row>
    <row r="1412">
      <c r="A1412" s="4" t="str">
        <f>IFERROR(__xludf.DUMMYFUNCTION("""COMPUTED_VALUE"""),"1942Z")</f>
        <v>1942Z</v>
      </c>
      <c r="B1412" s="4" t="str">
        <f>IFERROR(__xludf.DUMMYFUNCTION("""COMPUTED_VALUE"""),"Valla señal.Slim Gate Barrier 2 mtros Azul")</f>
        <v>Valla señal.Slim Gate Barrier 2 mtros Azul</v>
      </c>
      <c r="C1412" s="4">
        <f>IFERROR(__xludf.DUMMYFUNCTION("""COMPUTED_VALUE"""),50.879999999999995)</f>
        <v>50.88</v>
      </c>
      <c r="D1412" s="4"/>
      <c r="E1412" s="4" t="str">
        <f>IFERROR(__xludf.DUMMYFUNCTION("""COMPUTED_VALUE"""),"Sin precio neto")</f>
        <v>Sin precio neto</v>
      </c>
    </row>
    <row r="1413">
      <c r="A1413" s="4" t="str">
        <f>IFERROR(__xludf.DUMMYFUNCTION("""COMPUTED_VALUE"""),"2025")</f>
        <v>2025</v>
      </c>
      <c r="B1413" s="4" t="str">
        <f>IFERROR(__xludf.DUMMYFUNCTION("""COMPUTED_VALUE"""),"Desinfectante fungicida-bactericida 5 litros")</f>
        <v>Desinfectante fungicida-bactericida 5 litros</v>
      </c>
      <c r="C1413" s="4">
        <f>IFERROR(__xludf.DUMMYFUNCTION("""COMPUTED_VALUE"""),19.151999999999997)</f>
        <v>19.152</v>
      </c>
      <c r="D1413" s="4"/>
      <c r="E1413" s="4" t="str">
        <f>IFERROR(__xludf.DUMMYFUNCTION("""COMPUTED_VALUE"""),"Sin precio neto")</f>
        <v>Sin precio neto</v>
      </c>
    </row>
    <row r="1414">
      <c r="A1414" s="4" t="str">
        <f>IFERROR(__xludf.DUMMYFUNCTION("""COMPUTED_VALUE"""),"2031")</f>
        <v>2031</v>
      </c>
      <c r="B1414" s="4" t="str">
        <f>IFERROR(__xludf.DUMMYFUNCTION("""COMPUTED_VALUE"""),"Tiralíneas grande Rolycord GM 100m x 1.5mm")</f>
        <v>Tiralíneas grande Rolycord GM 100m x 1.5mm</v>
      </c>
      <c r="C1414" s="4">
        <f>IFERROR(__xludf.DUMMYFUNCTION("""COMPUTED_VALUE"""),8.64)</f>
        <v>8.64</v>
      </c>
      <c r="D1414" s="4"/>
      <c r="E1414" s="4" t="str">
        <f>IFERROR(__xludf.DUMMYFUNCTION("""COMPUTED_VALUE"""),"Sin precio neto")</f>
        <v>Sin precio neto</v>
      </c>
    </row>
    <row r="1415">
      <c r="A1415" s="4" t="str">
        <f>IFERROR(__xludf.DUMMYFUNCTION("""COMPUTED_VALUE"""),"2032")</f>
        <v>2032</v>
      </c>
      <c r="B1415" s="4" t="str">
        <f>IFERROR(__xludf.DUMMYFUNCTION("""COMPUTED_VALUE"""),"Tiralíneas Pequeño Rolycord 60m x 2 mmº")</f>
        <v>Tiralíneas Pequeño Rolycord 60m x 2 mmº</v>
      </c>
      <c r="C1415" s="4">
        <f>IFERROR(__xludf.DUMMYFUNCTION("""COMPUTED_VALUE"""),7.68)</f>
        <v>7.68</v>
      </c>
      <c r="D1415" s="4"/>
      <c r="E1415" s="4" t="str">
        <f>IFERROR(__xludf.DUMMYFUNCTION("""COMPUTED_VALUE"""),"Sin precio neto")</f>
        <v>Sin precio neto</v>
      </c>
    </row>
    <row r="1416">
      <c r="A1416" s="4" t="str">
        <f>IFERROR(__xludf.DUMMYFUNCTION("""COMPUTED_VALUE"""),"2033")</f>
        <v>2033</v>
      </c>
      <c r="B1416" s="4" t="str">
        <f>IFERROR(__xludf.DUMMYFUNCTION("""COMPUTED_VALUE"""),"Lápiz bicolor Dúo Marker Rojo/azul (Display 100 uds)")</f>
        <v>Lápiz bicolor Dúo Marker Rojo/azul (Display 100 uds)</v>
      </c>
      <c r="C1416" s="4">
        <f>IFERROR(__xludf.DUMMYFUNCTION("""COMPUTED_VALUE"""),39.36)</f>
        <v>39.36</v>
      </c>
      <c r="D1416" s="4"/>
      <c r="E1416" s="4" t="str">
        <f>IFERROR(__xludf.DUMMYFUNCTION("""COMPUTED_VALUE"""),"Sin precio neto")</f>
        <v>Sin precio neto</v>
      </c>
    </row>
    <row r="1417">
      <c r="A1417" s="4" t="str">
        <f>IFERROR(__xludf.DUMMYFUNCTION("""COMPUTED_VALUE"""),"2034A")</f>
        <v>2034A</v>
      </c>
      <c r="B1417" s="4" t="str">
        <f>IFERROR(__xludf.DUMMYFUNCTION("""COMPUTED_VALUE"""),"Tiza hexagonal 120 x12 mm Amarillo (12 uds)")</f>
        <v>Tiza hexagonal 120 x12 mm Amarillo (12 uds)</v>
      </c>
      <c r="C1417" s="4">
        <f>IFERROR(__xludf.DUMMYFUNCTION("""COMPUTED_VALUE"""),4.752)</f>
        <v>4.752</v>
      </c>
      <c r="D1417" s="4"/>
      <c r="E1417" s="4" t="str">
        <f>IFERROR(__xludf.DUMMYFUNCTION("""COMPUTED_VALUE"""),"Sin precio neto")</f>
        <v>Sin precio neto</v>
      </c>
    </row>
    <row r="1418">
      <c r="A1418" s="4" t="str">
        <f>IFERROR(__xludf.DUMMYFUNCTION("""COMPUTED_VALUE"""),"2034B")</f>
        <v>2034B</v>
      </c>
      <c r="B1418" s="4" t="str">
        <f>IFERROR(__xludf.DUMMYFUNCTION("""COMPUTED_VALUE"""),"Tiza hexagonal 120 x12 mm blanco (12 uds)")</f>
        <v>Tiza hexagonal 120 x12 mm blanco (12 uds)</v>
      </c>
      <c r="C1418" s="4">
        <f>IFERROR(__xludf.DUMMYFUNCTION("""COMPUTED_VALUE"""),4.752)</f>
        <v>4.752</v>
      </c>
      <c r="D1418" s="4"/>
      <c r="E1418" s="4" t="str">
        <f>IFERROR(__xludf.DUMMYFUNCTION("""COMPUTED_VALUE"""),"Sin precio neto")</f>
        <v>Sin precio neto</v>
      </c>
    </row>
    <row r="1419">
      <c r="A1419" s="4" t="str">
        <f>IFERROR(__xludf.DUMMYFUNCTION("""COMPUTED_VALUE"""),"2034N")</f>
        <v>2034N</v>
      </c>
      <c r="B1419" s="4" t="str">
        <f>IFERROR(__xludf.DUMMYFUNCTION("""COMPUTED_VALUE"""),"Tiza hexagonal 120 x12 mm Negro (12 uds)")</f>
        <v>Tiza hexagonal 120 x12 mm Negro (12 uds)</v>
      </c>
      <c r="C1419" s="4">
        <f>IFERROR(__xludf.DUMMYFUNCTION("""COMPUTED_VALUE"""),4.752)</f>
        <v>4.752</v>
      </c>
      <c r="D1419" s="4"/>
      <c r="E1419" s="4" t="str">
        <f>IFERROR(__xludf.DUMMYFUNCTION("""COMPUTED_VALUE"""),"Sin precio neto")</f>
        <v>Sin precio neto</v>
      </c>
    </row>
    <row r="1420">
      <c r="A1420" s="4" t="str">
        <f>IFERROR(__xludf.DUMMYFUNCTION("""COMPUTED_VALUE"""),"2034R")</f>
        <v>2034R</v>
      </c>
      <c r="B1420" s="4" t="str">
        <f>IFERROR(__xludf.DUMMYFUNCTION("""COMPUTED_VALUE"""),"Tiza hexagonal 120 x12 mm Rojo (12 uds)")</f>
        <v>Tiza hexagonal 120 x12 mm Rojo (12 uds)</v>
      </c>
      <c r="C1420" s="4">
        <f>IFERROR(__xludf.DUMMYFUNCTION("""COMPUTED_VALUE"""),4.752)</f>
        <v>4.752</v>
      </c>
      <c r="D1420" s="4"/>
      <c r="E1420" s="4" t="str">
        <f>IFERROR(__xludf.DUMMYFUNCTION("""COMPUTED_VALUE"""),"Sin precio neto")</f>
        <v>Sin precio neto</v>
      </c>
    </row>
    <row r="1421">
      <c r="A1421" s="4" t="str">
        <f>IFERROR(__xludf.DUMMYFUNCTION("""COMPUTED_VALUE"""),"2034V")</f>
        <v>2034V</v>
      </c>
      <c r="B1421" s="4" t="str">
        <f>IFERROR(__xludf.DUMMYFUNCTION("""COMPUTED_VALUE"""),"Tiza hexagonal 120 x12 mm Verde (12 uds)")</f>
        <v>Tiza hexagonal 120 x12 mm Verde (12 uds)</v>
      </c>
      <c r="C1421" s="4">
        <f>IFERROR(__xludf.DUMMYFUNCTION("""COMPUTED_VALUE"""),4.752)</f>
        <v>4.752</v>
      </c>
      <c r="D1421" s="4"/>
      <c r="E1421" s="4" t="str">
        <f>IFERROR(__xludf.DUMMYFUNCTION("""COMPUTED_VALUE"""),"Sin precio neto")</f>
        <v>Sin precio neto</v>
      </c>
    </row>
    <row r="1422">
      <c r="A1422" s="4" t="str">
        <f>IFERROR(__xludf.DUMMYFUNCTION("""COMPUTED_VALUE"""),"2034Z")</f>
        <v>2034Z</v>
      </c>
      <c r="B1422" s="4" t="str">
        <f>IFERROR(__xludf.DUMMYFUNCTION("""COMPUTED_VALUE"""),"Tiza hexagonal 120 x12 mm Azul (12 uds)")</f>
        <v>Tiza hexagonal 120 x12 mm Azul (12 uds)</v>
      </c>
      <c r="C1422" s="4">
        <f>IFERROR(__xludf.DUMMYFUNCTION("""COMPUTED_VALUE"""),4.752)</f>
        <v>4.752</v>
      </c>
      <c r="D1422" s="4"/>
      <c r="E1422" s="4" t="str">
        <f>IFERROR(__xludf.DUMMYFUNCTION("""COMPUTED_VALUE"""),"Sin precio neto")</f>
        <v>Sin precio neto</v>
      </c>
    </row>
    <row r="1423">
      <c r="A1423" s="4" t="str">
        <f>IFERROR(__xludf.DUMMYFUNCTION("""COMPUTED_VALUE"""),"2035")</f>
        <v>2035</v>
      </c>
      <c r="B1423" s="4" t="str">
        <f>IFERROR(__xludf.DUMMYFUNCTION("""COMPUTED_VALUE"""),"Caja Lapiceros carpintero 180 (144 unid)")</f>
        <v>Caja Lapiceros carpintero 180 (144 unid)</v>
      </c>
      <c r="C1423" s="4">
        <f>IFERROR(__xludf.DUMMYFUNCTION("""COMPUTED_VALUE"""),8.831999999999999)</f>
        <v>8.832</v>
      </c>
      <c r="D1423" s="4"/>
      <c r="E1423" s="4" t="str">
        <f>IFERROR(__xludf.DUMMYFUNCTION("""COMPUTED_VALUE"""),"Sin precio neto")</f>
        <v>Sin precio neto</v>
      </c>
    </row>
    <row r="1424">
      <c r="A1424" s="4" t="str">
        <f>IFERROR(__xludf.DUMMYFUNCTION("""COMPUTED_VALUE"""),"2036")</f>
        <v>2036</v>
      </c>
      <c r="B1424" s="4" t="str">
        <f>IFERROR(__xludf.DUMMYFUNCTION("""COMPUTED_VALUE"""),"Lapiz Recargable Metalico")</f>
        <v>Lapiz Recargable Metalico</v>
      </c>
      <c r="C1424" s="4">
        <f>IFERROR(__xludf.DUMMYFUNCTION("""COMPUTED_VALUE"""),3.456)</f>
        <v>3.456</v>
      </c>
      <c r="D1424" s="4"/>
      <c r="E1424" s="4" t="str">
        <f>IFERROR(__xludf.DUMMYFUNCTION("""COMPUTED_VALUE"""),"Sin precio neto")</f>
        <v>Sin precio neto</v>
      </c>
    </row>
    <row r="1425">
      <c r="A1425" s="4" t="str">
        <f>IFERROR(__xludf.DUMMYFUNCTION("""COMPUTED_VALUE"""),"2036E")</f>
        <v>2036E</v>
      </c>
      <c r="B1425" s="4" t="str">
        <f>IFERROR(__xludf.DUMMYFUNCTION("""COMPUTED_VALUE"""),"Caja lápiz carpintero Mod. Europe (100 uds)")</f>
        <v>Caja lápiz carpintero Mod. Europe (100 uds)</v>
      </c>
      <c r="C1425" s="4">
        <f>IFERROR(__xludf.DUMMYFUNCTION("""COMPUTED_VALUE"""),47.04)</f>
        <v>47.04</v>
      </c>
      <c r="D1425" s="4"/>
      <c r="E1425" s="4" t="str">
        <f>IFERROR(__xludf.DUMMYFUNCTION("""COMPUTED_VALUE"""),"Sin precio neto")</f>
        <v>Sin precio neto</v>
      </c>
    </row>
    <row r="1426">
      <c r="A1426" s="4" t="str">
        <f>IFERROR(__xludf.DUMMYFUNCTION("""COMPUTED_VALUE"""),"2037")</f>
        <v>2037</v>
      </c>
      <c r="B1426" s="4" t="str">
        <f>IFERROR(__xludf.DUMMYFUNCTION("""COMPUTED_VALUE"""),"Recambio Lapiz Metalico (50 und)")</f>
        <v>Recambio Lapiz Metalico (50 und)</v>
      </c>
      <c r="C1426" s="4">
        <f>IFERROR(__xludf.DUMMYFUNCTION("""COMPUTED_VALUE"""),2.2704)</f>
        <v>2.2704</v>
      </c>
      <c r="D1426" s="4"/>
      <c r="E1426" s="4" t="str">
        <f>IFERROR(__xludf.DUMMYFUNCTION("""COMPUTED_VALUE"""),"Sin precio neto")</f>
        <v>Sin precio neto</v>
      </c>
    </row>
    <row r="1427">
      <c r="A1427" s="4" t="str">
        <f>IFERROR(__xludf.DUMMYFUNCTION("""COMPUTED_VALUE"""),"2038")</f>
        <v>2038</v>
      </c>
      <c r="B1427" s="4" t="str">
        <f>IFERROR(__xludf.DUMMYFUNCTION("""COMPUTED_VALUE"""),"Tirolesa")</f>
        <v>Tirolesa</v>
      </c>
      <c r="C1427" s="4">
        <f>IFERROR(__xludf.DUMMYFUNCTION("""COMPUTED_VALUE"""),12.719999999999999)</f>
        <v>12.72</v>
      </c>
      <c r="D1427" s="4"/>
      <c r="E1427" s="4" t="str">
        <f>IFERROR(__xludf.DUMMYFUNCTION("""COMPUTED_VALUE"""),"Sin precio neto")</f>
        <v>Sin precio neto</v>
      </c>
    </row>
    <row r="1428">
      <c r="A1428" s="4" t="str">
        <f>IFERROR(__xludf.DUMMYFUNCTION("""COMPUTED_VALUE"""),"2039")</f>
        <v>2039</v>
      </c>
      <c r="B1428" s="4" t="str">
        <f>IFERROR(__xludf.DUMMYFUNCTION("""COMPUTED_VALUE"""),"Octometro nueva generacion con mochila de transporte")</f>
        <v>Octometro nueva generacion con mochila de transporte</v>
      </c>
      <c r="C1428" s="4">
        <f>IFERROR(__xludf.DUMMYFUNCTION("""COMPUTED_VALUE"""),23.663999999999998)</f>
        <v>23.664</v>
      </c>
      <c r="D1428" s="4"/>
      <c r="E1428" s="4" t="str">
        <f>IFERROR(__xludf.DUMMYFUNCTION("""COMPUTED_VALUE"""),"Sin precio neto")</f>
        <v>Sin precio neto</v>
      </c>
    </row>
    <row r="1429">
      <c r="A1429" s="4" t="str">
        <f>IFERROR(__xludf.DUMMYFUNCTION("""COMPUTED_VALUE"""),"2040")</f>
        <v>2040</v>
      </c>
      <c r="B1429" s="4" t="str">
        <f>IFERROR(__xludf.DUMMYFUNCTION("""COMPUTED_VALUE"""),"Bolsa encofrador polipiel 21x21 1 bolsillo")</f>
        <v>Bolsa encofrador polipiel 21x21 1 bolsillo</v>
      </c>
      <c r="C1429" s="4">
        <f>IFERROR(__xludf.DUMMYFUNCTION("""COMPUTED_VALUE"""),6.192)</f>
        <v>6.192</v>
      </c>
      <c r="D1429" s="4"/>
      <c r="E1429" s="4" t="str">
        <f>IFERROR(__xludf.DUMMYFUNCTION("""COMPUTED_VALUE"""),"Sin precio neto")</f>
        <v>Sin precio neto</v>
      </c>
    </row>
    <row r="1430">
      <c r="A1430" s="4" t="str">
        <f>IFERROR(__xludf.DUMMYFUNCTION("""COMPUTED_VALUE"""),"2041")</f>
        <v>2041</v>
      </c>
      <c r="B1430" s="4" t="str">
        <f>IFERROR(__xludf.DUMMYFUNCTION("""COMPUTED_VALUE"""),"Display 12 tiralineas 15 m (línea eco) + 12 botes azulete 60 gr")</f>
        <v>Display 12 tiralineas 15 m (línea eco) + 12 botes azulete 60 gr</v>
      </c>
      <c r="C1430" s="4">
        <f>IFERROR(__xludf.DUMMYFUNCTION("""COMPUTED_VALUE"""),47.04)</f>
        <v>47.04</v>
      </c>
      <c r="D1430" s="4"/>
      <c r="E1430" s="4" t="str">
        <f>IFERROR(__xludf.DUMMYFUNCTION("""COMPUTED_VALUE"""),"Sin precio neto")</f>
        <v>Sin precio neto</v>
      </c>
    </row>
    <row r="1431">
      <c r="A1431" s="4" t="str">
        <f>IFERROR(__xludf.DUMMYFUNCTION("""COMPUTED_VALUE"""),"2042")</f>
        <v>2042</v>
      </c>
      <c r="B1431" s="4" t="str">
        <f>IFERROR(__xludf.DUMMYFUNCTION("""COMPUTED_VALUE"""),"Display 3 tiralíneas 50 m y 3 botes azulete 1 kg")</f>
        <v>Display 3 tiralíneas 50 m y 3 botes azulete 1 kg</v>
      </c>
      <c r="C1431" s="4">
        <f>IFERROR(__xludf.DUMMYFUNCTION("""COMPUTED_VALUE"""),76.8)</f>
        <v>76.8</v>
      </c>
      <c r="D1431" s="4"/>
      <c r="E1431" s="4" t="str">
        <f>IFERROR(__xludf.DUMMYFUNCTION("""COMPUTED_VALUE"""),"Sin precio neto")</f>
        <v>Sin precio neto</v>
      </c>
    </row>
    <row r="1432">
      <c r="A1432" s="4" t="str">
        <f>IFERROR(__xludf.DUMMYFUNCTION("""COMPUTED_VALUE"""),"2046")</f>
        <v>2046</v>
      </c>
      <c r="B1432" s="4" t="str">
        <f>IFERROR(__xludf.DUMMYFUNCTION("""COMPUTED_VALUE"""),"Tiralíneas Prático 30 mts con botella azulete")</f>
        <v>Tiralíneas Prático 30 mts con botella azulete</v>
      </c>
      <c r="C1432" s="4">
        <f>IFERROR(__xludf.DUMMYFUNCTION("""COMPUTED_VALUE"""),3.84)</f>
        <v>3.84</v>
      </c>
      <c r="D1432" s="4"/>
      <c r="E1432" s="4" t="str">
        <f>IFERROR(__xludf.DUMMYFUNCTION("""COMPUTED_VALUE"""),"Sin precio neto")</f>
        <v>Sin precio neto</v>
      </c>
    </row>
    <row r="1433">
      <c r="A1433" s="4" t="str">
        <f>IFERROR(__xludf.DUMMYFUNCTION("""COMPUTED_VALUE"""),"2047")</f>
        <v>2047</v>
      </c>
      <c r="B1433" s="4" t="str">
        <f>IFERROR(__xludf.DUMMYFUNCTION("""COMPUTED_VALUE"""),"Aplicador cinta balizamiento")</f>
        <v>Aplicador cinta balizamiento</v>
      </c>
      <c r="C1433" s="4">
        <f>IFERROR(__xludf.DUMMYFUNCTION("""COMPUTED_VALUE"""),2.88)</f>
        <v>2.88</v>
      </c>
      <c r="D1433" s="4"/>
      <c r="E1433" s="4" t="str">
        <f>IFERROR(__xludf.DUMMYFUNCTION("""COMPUTED_VALUE"""),"Sin precio neto")</f>
        <v>Sin precio neto</v>
      </c>
    </row>
    <row r="1434">
      <c r="A1434" s="4" t="str">
        <f>IFERROR(__xludf.DUMMYFUNCTION("""COMPUTED_VALUE"""),"2050")</f>
        <v>2050</v>
      </c>
      <c r="B1434" s="4" t="str">
        <f>IFERROR(__xludf.DUMMYFUNCTION("""COMPUTED_VALUE"""),"Toldo polietileno 2x3 verde 120 gr.")</f>
        <v>Toldo polietileno 2x3 verde 120 gr.</v>
      </c>
      <c r="C1434" s="4">
        <f>IFERROR(__xludf.DUMMYFUNCTION("""COMPUTED_VALUE"""),3.792)</f>
        <v>3.792</v>
      </c>
      <c r="D1434" s="4">
        <f>IFERROR(__xludf.DUMMYFUNCTION("""COMPUTED_VALUE"""),3.05)</f>
        <v>3.05</v>
      </c>
      <c r="E1434" s="4" t="str">
        <f>IFERROR(__xludf.DUMMYFUNCTION("""COMPUTED_VALUE"""),"Neto: 3,05 € (a partir de 30 uds.)")</f>
        <v>Neto: 3,05 € (a partir de 30 uds.)</v>
      </c>
    </row>
    <row r="1435">
      <c r="A1435" s="4" t="str">
        <f>IFERROR(__xludf.DUMMYFUNCTION("""COMPUTED_VALUE"""),"2051")</f>
        <v>2051</v>
      </c>
      <c r="B1435" s="4" t="str">
        <f>IFERROR(__xludf.DUMMYFUNCTION("""COMPUTED_VALUE"""),"Toldo polietileno 3x4 verde 120 gr.")</f>
        <v>Toldo polietileno 3x4 verde 120 gr.</v>
      </c>
      <c r="C1435" s="4">
        <f>IFERROR(__xludf.DUMMYFUNCTION("""COMPUTED_VALUE"""),7.4399999999999995)</f>
        <v>7.44</v>
      </c>
      <c r="D1435" s="4">
        <f>IFERROR(__xludf.DUMMYFUNCTION("""COMPUTED_VALUE"""),6.2)</f>
        <v>6.2</v>
      </c>
      <c r="E1435" s="4" t="str">
        <f>IFERROR(__xludf.DUMMYFUNCTION("""COMPUTED_VALUE"""),"Neto: 6,20 € (a partir de 15 uds.)")</f>
        <v>Neto: 6,20 € (a partir de 15 uds.)</v>
      </c>
    </row>
    <row r="1436">
      <c r="A1436" s="4" t="str">
        <f>IFERROR(__xludf.DUMMYFUNCTION("""COMPUTED_VALUE"""),"2052")</f>
        <v>2052</v>
      </c>
      <c r="B1436" s="4" t="str">
        <f>IFERROR(__xludf.DUMMYFUNCTION("""COMPUTED_VALUE"""),"Toldo polietileno 4x6 verde 120 gr.")</f>
        <v>Toldo polietileno 4x6 verde 120 gr.</v>
      </c>
      <c r="C1436" s="4">
        <f>IFERROR(__xludf.DUMMYFUNCTION("""COMPUTED_VALUE"""),13.344)</f>
        <v>13.344</v>
      </c>
      <c r="D1436" s="4">
        <f>IFERROR(__xludf.DUMMYFUNCTION("""COMPUTED_VALUE"""),11.5)</f>
        <v>11.5</v>
      </c>
      <c r="E1436" s="4" t="str">
        <f>IFERROR(__xludf.DUMMYFUNCTION("""COMPUTED_VALUE"""),"Neto: 11,50 € (a partir de 8 uds.)")</f>
        <v>Neto: 11,50 € (a partir de 8 uds.)</v>
      </c>
    </row>
    <row r="1437">
      <c r="A1437" s="4" t="str">
        <f>IFERROR(__xludf.DUMMYFUNCTION("""COMPUTED_VALUE"""),"2053")</f>
        <v>2053</v>
      </c>
      <c r="B1437" s="4" t="str">
        <f>IFERROR(__xludf.DUMMYFUNCTION("""COMPUTED_VALUE"""),"Toldo polietileno 5x8 verde 120 gr.")</f>
        <v>Toldo polietileno 5x8 verde 120 gr.</v>
      </c>
      <c r="C1437" s="4">
        <f>IFERROR(__xludf.DUMMYFUNCTION("""COMPUTED_VALUE"""),23.52)</f>
        <v>23.52</v>
      </c>
      <c r="D1437" s="4">
        <f>IFERROR(__xludf.DUMMYFUNCTION("""COMPUTED_VALUE"""),17.5)</f>
        <v>17.5</v>
      </c>
      <c r="E1437" s="4" t="str">
        <f>IFERROR(__xludf.DUMMYFUNCTION("""COMPUTED_VALUE"""),"Neto: 17,50 € (a partir de 5 uds.)")</f>
        <v>Neto: 17,50 € (a partir de 5 uds.)</v>
      </c>
    </row>
    <row r="1438">
      <c r="A1438" s="4" t="str">
        <f>IFERROR(__xludf.DUMMYFUNCTION("""COMPUTED_VALUE"""),"2054")</f>
        <v>2054</v>
      </c>
      <c r="B1438" s="4" t="str">
        <f>IFERROR(__xludf.DUMMYFUNCTION("""COMPUTED_VALUE"""),"Toldo polietileno 6x10 verde 120 gr.")</f>
        <v>Toldo polietileno 6x10 verde 120 gr.</v>
      </c>
      <c r="C1438" s="4">
        <f>IFERROR(__xludf.DUMMYFUNCTION("""COMPUTED_VALUE"""),31.2)</f>
        <v>31.2</v>
      </c>
      <c r="D1438" s="4">
        <f>IFERROR(__xludf.DUMMYFUNCTION("""COMPUTED_VALUE"""),26.5)</f>
        <v>26.5</v>
      </c>
      <c r="E1438" s="4" t="str">
        <f>IFERROR(__xludf.DUMMYFUNCTION("""COMPUTED_VALUE"""),"Neto: 26,50 € (a partir de 3 uds.)")</f>
        <v>Neto: 26,50 € (a partir de 3 uds.)</v>
      </c>
    </row>
    <row r="1439">
      <c r="A1439" s="4" t="str">
        <f>IFERROR(__xludf.DUMMYFUNCTION("""COMPUTED_VALUE"""),"2058")</f>
        <v>2058</v>
      </c>
      <c r="B1439" s="4" t="str">
        <f>IFERROR(__xludf.DUMMYFUNCTION("""COMPUTED_VALUE"""),"Toldo polietileno 3x5 azul 80 gr")</f>
        <v>Toldo polietileno 3x5 azul 80 gr</v>
      </c>
      <c r="C1439" s="4">
        <f>IFERROR(__xludf.DUMMYFUNCTION("""COMPUTED_VALUE"""),5.952)</f>
        <v>5.952</v>
      </c>
      <c r="D1439" s="4">
        <f>IFERROR(__xludf.DUMMYFUNCTION("""COMPUTED_VALUE"""),5.3)</f>
        <v>5.3</v>
      </c>
      <c r="E1439" s="4" t="str">
        <f>IFERROR(__xludf.DUMMYFUNCTION("""COMPUTED_VALUE"""),"Neto: 5,30 € (a partir de 20 uds.)")</f>
        <v>Neto: 5,30 € (a partir de 20 uds.)</v>
      </c>
    </row>
    <row r="1440">
      <c r="A1440" s="4" t="str">
        <f>IFERROR(__xludf.DUMMYFUNCTION("""COMPUTED_VALUE"""),"2059")</f>
        <v>2059</v>
      </c>
      <c r="B1440" s="4" t="str">
        <f>IFERROR(__xludf.DUMMYFUNCTION("""COMPUTED_VALUE"""),"Toldo polietileno 4x5 azul 80 gr")</f>
        <v>Toldo polietileno 4x5 azul 80 gr</v>
      </c>
      <c r="C1440" s="4">
        <f>IFERROR(__xludf.DUMMYFUNCTION("""COMPUTED_VALUE"""),10.08)</f>
        <v>10.08</v>
      </c>
      <c r="D1440" s="4">
        <f>IFERROR(__xludf.DUMMYFUNCTION("""COMPUTED_VALUE"""),7.5)</f>
        <v>7.5</v>
      </c>
      <c r="E1440" s="4" t="str">
        <f>IFERROR(__xludf.DUMMYFUNCTION("""COMPUTED_VALUE"""),"Neto: 7,50 € (a partir de 10 uds.)")</f>
        <v>Neto: 7,50 € (a partir de 10 uds.)</v>
      </c>
    </row>
    <row r="1441">
      <c r="A1441" s="4" t="str">
        <f>IFERROR(__xludf.DUMMYFUNCTION("""COMPUTED_VALUE"""),"2060")</f>
        <v>2060</v>
      </c>
      <c r="B1441" s="4" t="str">
        <f>IFERROR(__xludf.DUMMYFUNCTION("""COMPUTED_VALUE"""),"Toldo polietileno 2x3 azul 80 gr.")</f>
        <v>Toldo polietileno 2x3 azul 80 gr.</v>
      </c>
      <c r="C1441" s="4">
        <f>IFERROR(__xludf.DUMMYFUNCTION("""COMPUTED_VALUE"""),2.6879999999999997)</f>
        <v>2.688</v>
      </c>
      <c r="D1441" s="4">
        <f>IFERROR(__xludf.DUMMYFUNCTION("""COMPUTED_VALUE"""),2.4)</f>
        <v>2.4</v>
      </c>
      <c r="E1441" s="4" t="str">
        <f>IFERROR(__xludf.DUMMYFUNCTION("""COMPUTED_VALUE"""),"Neto: 2,40 € (a partir de 40 uds.)")</f>
        <v>Neto: 2,40 € (a partir de 40 uds.)</v>
      </c>
    </row>
    <row r="1442">
      <c r="A1442" s="4" t="str">
        <f>IFERROR(__xludf.DUMMYFUNCTION("""COMPUTED_VALUE"""),"2061")</f>
        <v>2061</v>
      </c>
      <c r="B1442" s="4" t="str">
        <f>IFERROR(__xludf.DUMMYFUNCTION("""COMPUTED_VALUE"""),"Toldo polietileno 3x4 azul 80 gr.")</f>
        <v>Toldo polietileno 3x4 azul 80 gr.</v>
      </c>
      <c r="C1442" s="4">
        <f>IFERROR(__xludf.DUMMYFUNCTION("""COMPUTED_VALUE"""),4.656)</f>
        <v>4.656</v>
      </c>
      <c r="D1442" s="4">
        <f>IFERROR(__xludf.DUMMYFUNCTION("""COMPUTED_VALUE"""),5.1)</f>
        <v>5.1</v>
      </c>
      <c r="E1442" s="4" t="str">
        <f>IFERROR(__xludf.DUMMYFUNCTION("""COMPUTED_VALUE"""),"Neto: 5,10 € (a partir de 20 uds.)")</f>
        <v>Neto: 5,10 € (a partir de 20 uds.)</v>
      </c>
    </row>
    <row r="1443">
      <c r="A1443" s="4" t="str">
        <f>IFERROR(__xludf.DUMMYFUNCTION("""COMPUTED_VALUE"""),"2062")</f>
        <v>2062</v>
      </c>
      <c r="B1443" s="4" t="str">
        <f>IFERROR(__xludf.DUMMYFUNCTION("""COMPUTED_VALUE"""),"Toldo polietileno 4x6 azul 80 gr")</f>
        <v>Toldo polietileno 4x6 azul 80 gr</v>
      </c>
      <c r="C1443" s="4">
        <f>IFERROR(__xludf.DUMMYFUNCTION("""COMPUTED_VALUE"""),10.848)</f>
        <v>10.848</v>
      </c>
      <c r="D1443" s="4">
        <f>IFERROR(__xludf.DUMMYFUNCTION("""COMPUTED_VALUE"""),8.6)</f>
        <v>8.6</v>
      </c>
      <c r="E1443" s="4" t="str">
        <f>IFERROR(__xludf.DUMMYFUNCTION("""COMPUTED_VALUE"""),"Neto: 8,60 € (a partir de 10 uds.)")</f>
        <v>Neto: 8,60 € (a partir de 10 uds.)</v>
      </c>
    </row>
    <row r="1444">
      <c r="A1444" s="4" t="str">
        <f>IFERROR(__xludf.DUMMYFUNCTION("""COMPUTED_VALUE"""),"2063")</f>
        <v>2063</v>
      </c>
      <c r="B1444" s="4" t="str">
        <f>IFERROR(__xludf.DUMMYFUNCTION("""COMPUTED_VALUE"""),"Toldo polietileno 5x8 azul 80 gr.")</f>
        <v>Toldo polietileno 5x8 azul 80 gr.</v>
      </c>
      <c r="C1444" s="4">
        <f>IFERROR(__xludf.DUMMYFUNCTION("""COMPUTED_VALUE"""),16.272)</f>
        <v>16.272</v>
      </c>
      <c r="D1444" s="4">
        <f>IFERROR(__xludf.DUMMYFUNCTION("""COMPUTED_VALUE"""),13.5)</f>
        <v>13.5</v>
      </c>
      <c r="E1444" s="4" t="str">
        <f>IFERROR(__xludf.DUMMYFUNCTION("""COMPUTED_VALUE"""),"Neto: 13,50 € (a partir de 6 uds.)")</f>
        <v>Neto: 13,50 € (a partir de 6 uds.)</v>
      </c>
    </row>
    <row r="1445">
      <c r="A1445" s="4" t="str">
        <f>IFERROR(__xludf.DUMMYFUNCTION("""COMPUTED_VALUE"""),"2064")</f>
        <v>2064</v>
      </c>
      <c r="B1445" s="4" t="str">
        <f>IFERROR(__xludf.DUMMYFUNCTION("""COMPUTED_VALUE"""),"Toldo polietileno 6x10 azul 80 gr.")</f>
        <v>Toldo polietileno 6x10 azul 80 gr.</v>
      </c>
      <c r="C1445" s="4">
        <f>IFERROR(__xludf.DUMMYFUNCTION("""COMPUTED_VALUE"""),22.56)</f>
        <v>22.56</v>
      </c>
      <c r="D1445" s="4">
        <f>IFERROR(__xludf.DUMMYFUNCTION("""COMPUTED_VALUE"""),19.5)</f>
        <v>19.5</v>
      </c>
      <c r="E1445" s="4" t="str">
        <f>IFERROR(__xludf.DUMMYFUNCTION("""COMPUTED_VALUE"""),"Neto: 19,50 € (a partir de 4 uds.)")</f>
        <v>Neto: 19,50 € (a partir de 4 uds.)</v>
      </c>
    </row>
    <row r="1446">
      <c r="A1446" s="4" t="str">
        <f>IFERROR(__xludf.DUMMYFUNCTION("""COMPUTED_VALUE"""),"2065")</f>
        <v>2065</v>
      </c>
      <c r="B1446" s="4" t="str">
        <f>IFERROR(__xludf.DUMMYFUNCTION("""COMPUTED_VALUE"""),"Toldo polietileno 8x12 azul 80 gr.")</f>
        <v>Toldo polietileno 8x12 azul 80 gr.</v>
      </c>
      <c r="C1446" s="4">
        <f>IFERROR(__xludf.DUMMYFUNCTION("""COMPUTED_VALUE"""),28.896)</f>
        <v>28.896</v>
      </c>
      <c r="D1446" s="4">
        <f>IFERROR(__xludf.DUMMYFUNCTION("""COMPUTED_VALUE"""),32.5)</f>
        <v>32.5</v>
      </c>
      <c r="E1446" s="4" t="str">
        <f>IFERROR(__xludf.DUMMYFUNCTION("""COMPUTED_VALUE"""),"Neto: 32,50 € (a partir de 2 uds.)")</f>
        <v>Neto: 32,50 € (a partir de 2 uds.)</v>
      </c>
    </row>
    <row r="1447">
      <c r="A1447" s="4" t="str">
        <f>IFERROR(__xludf.DUMMYFUNCTION("""COMPUTED_VALUE"""),"2066")</f>
        <v>2066</v>
      </c>
      <c r="B1447" s="4" t="str">
        <f>IFERROR(__xludf.DUMMYFUNCTION("""COMPUTED_VALUE"""),"Toldo polietileno 10x15 azul 80 gr.")</f>
        <v>Toldo polietileno 10x15 azul 80 gr.</v>
      </c>
      <c r="C1447" s="4">
        <f>IFERROR(__xludf.DUMMYFUNCTION("""COMPUTED_VALUE"""),40.32)</f>
        <v>40.32</v>
      </c>
      <c r="D1447" s="4">
        <f>IFERROR(__xludf.DUMMYFUNCTION("""COMPUTED_VALUE"""),38.5)</f>
        <v>38.5</v>
      </c>
      <c r="E1447" s="4" t="str">
        <f>IFERROR(__xludf.DUMMYFUNCTION("""COMPUTED_VALUE"""),"Neto: 38,50 € (a partir de 1 uds.)")</f>
        <v>Neto: 38,50 € (a partir de 1 uds.)</v>
      </c>
    </row>
    <row r="1448">
      <c r="A1448" s="4" t="str">
        <f>IFERROR(__xludf.DUMMYFUNCTION("""COMPUTED_VALUE"""),"2101")</f>
        <v>2101</v>
      </c>
      <c r="B1448" s="4" t="str">
        <f>IFERROR(__xludf.DUMMYFUNCTION("""COMPUTED_VALUE"""),"Baliza solar amarilla para cono")</f>
        <v>Baliza solar amarilla para cono</v>
      </c>
      <c r="C1448" s="4">
        <f>IFERROR(__xludf.DUMMYFUNCTION("""COMPUTED_VALUE"""),19.151999999999997)</f>
        <v>19.152</v>
      </c>
      <c r="D1448" s="4"/>
      <c r="E1448" s="4" t="str">
        <f>IFERROR(__xludf.DUMMYFUNCTION("""COMPUTED_VALUE"""),"Sin precio neto")</f>
        <v>Sin precio neto</v>
      </c>
    </row>
    <row r="1449">
      <c r="A1449" s="4" t="str">
        <f>IFERROR(__xludf.DUMMYFUNCTION("""COMPUTED_VALUE"""),"2102")</f>
        <v>2102</v>
      </c>
      <c r="B1449" s="4" t="str">
        <f>IFERROR(__xludf.DUMMYFUNCTION("""COMPUTED_VALUE"""),"Baliza Solar Roja para cono")</f>
        <v>Baliza Solar Roja para cono</v>
      </c>
      <c r="C1449" s="4">
        <f>IFERROR(__xludf.DUMMYFUNCTION("""COMPUTED_VALUE"""),19.151999999999997)</f>
        <v>19.152</v>
      </c>
      <c r="D1449" s="4"/>
      <c r="E1449" s="4" t="str">
        <f>IFERROR(__xludf.DUMMYFUNCTION("""COMPUTED_VALUE"""),"Sin precio neto")</f>
        <v>Sin precio neto</v>
      </c>
    </row>
    <row r="1450">
      <c r="A1450" s="4" t="str">
        <f>IFERROR(__xludf.DUMMYFUNCTION("""COMPUTED_VALUE"""),"2134")</f>
        <v>2134</v>
      </c>
      <c r="B1450" s="4" t="str">
        <f>IFERROR(__xludf.DUMMYFUNCTION("""COMPUTED_VALUE"""),"Tope parking Mod D 183 cm")</f>
        <v>Tope parking Mod D 183 cm</v>
      </c>
      <c r="C1450" s="4">
        <f>IFERROR(__xludf.DUMMYFUNCTION("""COMPUTED_VALUE"""),33.6864)</f>
        <v>33.6864</v>
      </c>
      <c r="D1450" s="4"/>
      <c r="E1450" s="4" t="str">
        <f>IFERROR(__xludf.DUMMYFUNCTION("""COMPUTED_VALUE"""),"Sin precio neto")</f>
        <v>Sin precio neto</v>
      </c>
    </row>
    <row r="1451">
      <c r="A1451" s="4" t="str">
        <f>IFERROR(__xludf.DUMMYFUNCTION("""COMPUTED_VALUE"""),"2151")</f>
        <v>2151</v>
      </c>
      <c r="B1451" s="4" t="str">
        <f>IFERROR(__xludf.DUMMYFUNCTION("""COMPUTED_VALUE"""),"Separador Carril 75 cm + base")</f>
        <v>Separador Carril 75 cm + base</v>
      </c>
      <c r="C1451" s="4">
        <f>IFERROR(__xludf.DUMMYFUNCTION("""COMPUTED_VALUE"""),29.759999999999998)</f>
        <v>29.76</v>
      </c>
      <c r="D1451" s="4"/>
      <c r="E1451" s="4" t="str">
        <f>IFERROR(__xludf.DUMMYFUNCTION("""COMPUTED_VALUE"""),"Sin precio neto")</f>
        <v>Sin precio neto</v>
      </c>
    </row>
    <row r="1452">
      <c r="A1452" s="4" t="str">
        <f>IFERROR(__xludf.DUMMYFUNCTION("""COMPUTED_VALUE"""),"2234")</f>
        <v>2234</v>
      </c>
      <c r="B1452" s="4" t="str">
        <f>IFERROR(__xludf.DUMMYFUNCTION("""COMPUTED_VALUE"""),"Botella azulete 1Kg. Extra")</f>
        <v>Botella azulete 1Kg. Extra</v>
      </c>
      <c r="C1452" s="4">
        <f>IFERROR(__xludf.DUMMYFUNCTION("""COMPUTED_VALUE"""),4.175999999999999)</f>
        <v>4.176</v>
      </c>
      <c r="D1452" s="4"/>
      <c r="E1452" s="4" t="str">
        <f>IFERROR(__xludf.DUMMYFUNCTION("""COMPUTED_VALUE"""),"Sin precio neto")</f>
        <v>Sin precio neto</v>
      </c>
    </row>
    <row r="1453">
      <c r="A1453" s="4" t="str">
        <f>IFERROR(__xludf.DUMMYFUNCTION("""COMPUTED_VALUE"""),"2235")</f>
        <v>2235</v>
      </c>
      <c r="B1453" s="4" t="str">
        <f>IFERROR(__xludf.DUMMYFUNCTION("""COMPUTED_VALUE"""),"Botella azulete 1Kg. Super Extra")</f>
        <v>Botella azulete 1Kg. Super Extra</v>
      </c>
      <c r="C1453" s="4">
        <f>IFERROR(__xludf.DUMMYFUNCTION("""COMPUTED_VALUE"""),5.4719999999999995)</f>
        <v>5.472</v>
      </c>
      <c r="D1453" s="4"/>
      <c r="E1453" s="4" t="str">
        <f>IFERROR(__xludf.DUMMYFUNCTION("""COMPUTED_VALUE"""),"Sin precio neto")</f>
        <v>Sin precio neto</v>
      </c>
    </row>
    <row r="1454">
      <c r="A1454" s="4" t="str">
        <f>IFERROR(__xludf.DUMMYFUNCTION("""COMPUTED_VALUE"""),"2236")</f>
        <v>2236</v>
      </c>
      <c r="B1454" s="4" t="str">
        <f>IFERROR(__xludf.DUMMYFUNCTION("""COMPUTED_VALUE"""),"Botella 200 gr. polvo fluo verde")</f>
        <v>Botella 200 gr. polvo fluo verde</v>
      </c>
      <c r="C1454" s="4">
        <f>IFERROR(__xludf.DUMMYFUNCTION("""COMPUTED_VALUE"""),3.6479999999999997)</f>
        <v>3.648</v>
      </c>
      <c r="D1454" s="4"/>
      <c r="E1454" s="4" t="str">
        <f>IFERROR(__xludf.DUMMYFUNCTION("""COMPUTED_VALUE"""),"Sin precio neto")</f>
        <v>Sin precio neto</v>
      </c>
    </row>
    <row r="1455">
      <c r="A1455" s="4" t="str">
        <f>IFERROR(__xludf.DUMMYFUNCTION("""COMPUTED_VALUE"""),"2237")</f>
        <v>2237</v>
      </c>
      <c r="B1455" s="4" t="str">
        <f>IFERROR(__xludf.DUMMYFUNCTION("""COMPUTED_VALUE"""),"Botella 200 gr. polvo fluo naranja")</f>
        <v>Botella 200 gr. polvo fluo naranja</v>
      </c>
      <c r="C1455" s="4">
        <f>IFERROR(__xludf.DUMMYFUNCTION("""COMPUTED_VALUE"""),3.6479999999999997)</f>
        <v>3.648</v>
      </c>
      <c r="D1455" s="4"/>
      <c r="E1455" s="4" t="str">
        <f>IFERROR(__xludf.DUMMYFUNCTION("""COMPUTED_VALUE"""),"Sin precio neto")</f>
        <v>Sin precio neto</v>
      </c>
    </row>
    <row r="1456">
      <c r="A1456" s="4" t="str">
        <f>IFERROR(__xludf.DUMMYFUNCTION("""COMPUTED_VALUE"""),"2238")</f>
        <v>2238</v>
      </c>
      <c r="B1456" s="4" t="str">
        <f>IFERROR(__xludf.DUMMYFUNCTION("""COMPUTED_VALUE"""),"Azulete Gaviota caja 1 Kg")</f>
        <v>Azulete Gaviota caja 1 Kg</v>
      </c>
      <c r="C1456" s="4">
        <f>IFERROR(__xludf.DUMMYFUNCTION("""COMPUTED_VALUE"""),15.36)</f>
        <v>15.36</v>
      </c>
      <c r="D1456" s="4"/>
      <c r="E1456" s="4" t="str">
        <f>IFERROR(__xludf.DUMMYFUNCTION("""COMPUTED_VALUE"""),"Sin precio neto")</f>
        <v>Sin precio neto</v>
      </c>
    </row>
    <row r="1457">
      <c r="A1457" s="4" t="str">
        <f>IFERROR(__xludf.DUMMYFUNCTION("""COMPUTED_VALUE"""),"2240")</f>
        <v>2240</v>
      </c>
      <c r="B1457" s="4" t="str">
        <f>IFERROR(__xludf.DUMMYFUNCTION("""COMPUTED_VALUE"""),"Tiralíneas Gigante 50 Mts.")</f>
        <v>Tiralíneas Gigante 50 Mts.</v>
      </c>
      <c r="C1457" s="4">
        <f>IFERROR(__xludf.DUMMYFUNCTION("""COMPUTED_VALUE"""),31.919999999999998)</f>
        <v>31.92</v>
      </c>
      <c r="D1457" s="4"/>
      <c r="E1457" s="4" t="str">
        <f>IFERROR(__xludf.DUMMYFUNCTION("""COMPUTED_VALUE"""),"Sin precio neto")</f>
        <v>Sin precio neto</v>
      </c>
    </row>
    <row r="1458">
      <c r="A1458" s="4" t="str">
        <f>IFERROR(__xludf.DUMMYFUNCTION("""COMPUTED_VALUE"""),"2241")</f>
        <v>2241</v>
      </c>
      <c r="B1458" s="4" t="str">
        <f>IFERROR(__xludf.DUMMYFUNCTION("""COMPUTED_VALUE"""),"Tiralíneas plastico 30 mt + botella polvo 100 gr")</f>
        <v>Tiralíneas plastico 30 mt + botella polvo 100 gr</v>
      </c>
      <c r="C1458" s="4">
        <f>IFERROR(__xludf.DUMMYFUNCTION("""COMPUTED_VALUE"""),3.12)</f>
        <v>3.12</v>
      </c>
      <c r="D1458" s="4"/>
      <c r="E1458" s="4" t="str">
        <f>IFERROR(__xludf.DUMMYFUNCTION("""COMPUTED_VALUE"""),"Sin precio neto")</f>
        <v>Sin precio neto</v>
      </c>
    </row>
    <row r="1459">
      <c r="A1459" s="4" t="str">
        <f>IFERROR(__xludf.DUMMYFUNCTION("""COMPUTED_VALUE"""),"2242")</f>
        <v>2242</v>
      </c>
      <c r="B1459" s="4" t="str">
        <f>IFERROR(__xludf.DUMMYFUNCTION("""COMPUTED_VALUE"""),"Tiralíneas aluminio 30 Mts")</f>
        <v>Tiralíneas aluminio 30 Mts</v>
      </c>
      <c r="C1459" s="4">
        <f>IFERROR(__xludf.DUMMYFUNCTION("""COMPUTED_VALUE"""),3.456)</f>
        <v>3.456</v>
      </c>
      <c r="D1459" s="4"/>
      <c r="E1459" s="4" t="str">
        <f>IFERROR(__xludf.DUMMYFUNCTION("""COMPUTED_VALUE"""),"Sin precio neto")</f>
        <v>Sin precio neto</v>
      </c>
    </row>
    <row r="1460">
      <c r="A1460" s="4" t="str">
        <f>IFERROR(__xludf.DUMMYFUNCTION("""COMPUTED_VALUE"""),"2244")</f>
        <v>2244</v>
      </c>
      <c r="B1460" s="4" t="str">
        <f>IFERROR(__xludf.DUMMYFUNCTION("""COMPUTED_VALUE"""),"Expositor 12 tiralineas Normo 30 metros + 12 botes polvo 100")</f>
        <v>Expositor 12 tiralineas Normo 30 metros + 12 botes polvo 100</v>
      </c>
      <c r="C1460" s="4">
        <f>IFERROR(__xludf.DUMMYFUNCTION("""COMPUTED_VALUE"""),47.424)</f>
        <v>47.424</v>
      </c>
      <c r="D1460" s="4"/>
      <c r="E1460" s="4" t="str">
        <f>IFERROR(__xludf.DUMMYFUNCTION("""COMPUTED_VALUE"""),"Sin precio neto")</f>
        <v>Sin precio neto</v>
      </c>
    </row>
    <row r="1461">
      <c r="A1461" s="4" t="str">
        <f>IFERROR(__xludf.DUMMYFUNCTION("""COMPUTED_VALUE"""),"2245")</f>
        <v>2245</v>
      </c>
      <c r="B1461" s="4" t="str">
        <f>IFERROR(__xludf.DUMMYFUNCTION("""COMPUTED_VALUE"""),"Tiralineas Magnum 50 metros")</f>
        <v>Tiralineas Magnum 50 metros</v>
      </c>
      <c r="C1461" s="4">
        <f>IFERROR(__xludf.DUMMYFUNCTION("""COMPUTED_VALUE"""),32.256)</f>
        <v>32.256</v>
      </c>
      <c r="D1461" s="4"/>
      <c r="E1461" s="4" t="str">
        <f>IFERROR(__xludf.DUMMYFUNCTION("""COMPUTED_VALUE"""),"Sin precio neto")</f>
        <v>Sin precio neto</v>
      </c>
    </row>
    <row r="1462">
      <c r="A1462" s="4" t="str">
        <f>IFERROR(__xludf.DUMMYFUNCTION("""COMPUTED_VALUE"""),"2413")</f>
        <v>2413</v>
      </c>
      <c r="B1462" s="4" t="str">
        <f>IFERROR(__xludf.DUMMYFUNCTION("""COMPUTED_VALUE"""),"Frotas esponja naranja g. GRUESO 280x140x20 (024PA)")</f>
        <v>Frotas esponja naranja g. GRUESO 280x140x20 (024PA)</v>
      </c>
      <c r="C1462" s="4">
        <f>IFERROR(__xludf.DUMMYFUNCTION("""COMPUTED_VALUE"""),6.24)</f>
        <v>6.24</v>
      </c>
      <c r="D1462" s="4"/>
      <c r="E1462" s="4" t="str">
        <f>IFERROR(__xludf.DUMMYFUNCTION("""COMPUTED_VALUE"""),"Sin precio neto")</f>
        <v>Sin precio neto</v>
      </c>
    </row>
    <row r="1463">
      <c r="A1463" s="4" t="str">
        <f>IFERROR(__xludf.DUMMYFUNCTION("""COMPUTED_VALUE"""),"2414")</f>
        <v>2414</v>
      </c>
      <c r="B1463" s="4" t="str">
        <f>IFERROR(__xludf.DUMMYFUNCTION("""COMPUTED_VALUE"""),"Frotas esponja Azul 280x140x14 grano FINO (024PB)")</f>
        <v>Frotas esponja Azul 280x140x14 grano FINO (024PB)</v>
      </c>
      <c r="C1463" s="4">
        <f>IFERROR(__xludf.DUMMYFUNCTION("""COMPUTED_VALUE"""),5.712)</f>
        <v>5.712</v>
      </c>
      <c r="D1463" s="4"/>
      <c r="E1463" s="4" t="str">
        <f>IFERROR(__xludf.DUMMYFUNCTION("""COMPUTED_VALUE"""),"Sin precio neto")</f>
        <v>Sin precio neto</v>
      </c>
    </row>
    <row r="1464">
      <c r="A1464" s="4" t="str">
        <f>IFERROR(__xludf.DUMMYFUNCTION("""COMPUTED_VALUE"""),"2507")</f>
        <v>2507</v>
      </c>
      <c r="B1464" s="4" t="str">
        <f>IFERROR(__xludf.DUMMYFUNCTION("""COMPUTED_VALUE"""),"Hito flexible Naranja 30 cm")</f>
        <v>Hito flexible Naranja 30 cm</v>
      </c>
      <c r="C1464" s="4">
        <f>IFERROR(__xludf.DUMMYFUNCTION("""COMPUTED_VALUE"""),7.584)</f>
        <v>7.584</v>
      </c>
      <c r="D1464" s="4"/>
      <c r="E1464" s="4" t="str">
        <f>IFERROR(__xludf.DUMMYFUNCTION("""COMPUTED_VALUE"""),"Sin precio neto")</f>
        <v>Sin precio neto</v>
      </c>
    </row>
    <row r="1465">
      <c r="A1465" s="4" t="str">
        <f>IFERROR(__xludf.DUMMYFUNCTION("""COMPUTED_VALUE"""),"2518")</f>
        <v>2518</v>
      </c>
      <c r="B1465" s="4" t="str">
        <f>IFERROR(__xludf.DUMMYFUNCTION("""COMPUTED_VALUE"""),"Hito flexible Naranja 100 cm")</f>
        <v>Hito flexible Naranja 100 cm</v>
      </c>
      <c r="C1465" s="4">
        <f>IFERROR(__xludf.DUMMYFUNCTION("""COMPUTED_VALUE"""),15.36)</f>
        <v>15.36</v>
      </c>
      <c r="D1465" s="4"/>
      <c r="E1465" s="4" t="str">
        <f>IFERROR(__xludf.DUMMYFUNCTION("""COMPUTED_VALUE"""),"Sin precio neto")</f>
        <v>Sin precio neto</v>
      </c>
    </row>
    <row r="1466">
      <c r="A1466" s="4" t="str">
        <f>IFERROR(__xludf.DUMMYFUNCTION("""COMPUTED_VALUE"""),"2519")</f>
        <v>2519</v>
      </c>
      <c r="B1466" s="4" t="str">
        <f>IFERROR(__xludf.DUMMYFUNCTION("""COMPUTED_VALUE"""),"Frotas esponja naranja grano medio 22x14 (018A)")</f>
        <v>Frotas esponja naranja grano medio 22x14 (018A)</v>
      </c>
      <c r="C1466" s="4">
        <f>IFERROR(__xludf.DUMMYFUNCTION("""COMPUTED_VALUE"""),4.704)</f>
        <v>4.704</v>
      </c>
      <c r="D1466" s="4"/>
      <c r="E1466" s="4" t="str">
        <f>IFERROR(__xludf.DUMMYFUNCTION("""COMPUTED_VALUE"""),"Sin precio neto")</f>
        <v>Sin precio neto</v>
      </c>
    </row>
    <row r="1467">
      <c r="A1467" s="4" t="str">
        <f>IFERROR(__xludf.DUMMYFUNCTION("""COMPUTED_VALUE"""),"2520")</f>
        <v>2520</v>
      </c>
      <c r="B1467" s="4" t="str">
        <f>IFERROR(__xludf.DUMMYFUNCTION("""COMPUTED_VALUE"""),"Frotas esponja azul grano fino 22x14 (018B)")</f>
        <v>Frotas esponja azul grano fino 22x14 (018B)</v>
      </c>
      <c r="C1467" s="4">
        <f>IFERROR(__xludf.DUMMYFUNCTION("""COMPUTED_VALUE"""),4.704)</f>
        <v>4.704</v>
      </c>
      <c r="D1467" s="4"/>
      <c r="E1467" s="4" t="str">
        <f>IFERROR(__xludf.DUMMYFUNCTION("""COMPUTED_VALUE"""),"Sin precio neto")</f>
        <v>Sin precio neto</v>
      </c>
    </row>
    <row r="1468">
      <c r="A1468" s="4" t="str">
        <f>IFERROR(__xludf.DUMMYFUNCTION("""COMPUTED_VALUE"""),"2530")</f>
        <v>2530</v>
      </c>
      <c r="B1468" s="4" t="str">
        <f>IFERROR(__xludf.DUMMYFUNCTION("""COMPUTED_VALUE"""),"Juego rodilleras alicatador")</f>
        <v>Juego rodilleras alicatador</v>
      </c>
      <c r="C1468" s="4">
        <f>IFERROR(__xludf.DUMMYFUNCTION("""COMPUTED_VALUE"""),4.608)</f>
        <v>4.608</v>
      </c>
      <c r="D1468" s="4"/>
      <c r="E1468" s="4" t="str">
        <f>IFERROR(__xludf.DUMMYFUNCTION("""COMPUTED_VALUE"""),"Sin precio neto")</f>
        <v>Sin precio neto</v>
      </c>
    </row>
    <row r="1469">
      <c r="A1469" s="4" t="str">
        <f>IFERROR(__xludf.DUMMYFUNCTION("""COMPUTED_VALUE"""),"2575Z")</f>
        <v>2575Z</v>
      </c>
      <c r="B1469" s="4" t="str">
        <f>IFERROR(__xludf.DUMMYFUNCTION("""COMPUTED_VALUE"""),"Rollo cuerda azul trazadora de 100 mts")</f>
        <v>Rollo cuerda azul trazadora de 100 mts</v>
      </c>
      <c r="C1469" s="4">
        <f>IFERROR(__xludf.DUMMYFUNCTION("""COMPUTED_VALUE"""),2.5152)</f>
        <v>2.5152</v>
      </c>
      <c r="D1469" s="4"/>
      <c r="E1469" s="4" t="str">
        <f>IFERROR(__xludf.DUMMYFUNCTION("""COMPUTED_VALUE"""),"Sin precio neto")</f>
        <v>Sin precio neto</v>
      </c>
    </row>
    <row r="1470">
      <c r="A1470" s="4" t="str">
        <f>IFERROR(__xludf.DUMMYFUNCTION("""COMPUTED_VALUE"""),"2601")</f>
        <v>2601</v>
      </c>
      <c r="B1470" s="4" t="str">
        <f>IFERROR(__xludf.DUMMYFUNCTION("""COMPUTED_VALUE"""),"Hito Direccion Obligatoria 85 cm")</f>
        <v>Hito Direccion Obligatoria 85 cm</v>
      </c>
      <c r="C1470" s="4">
        <f>IFERROR(__xludf.DUMMYFUNCTION("""COMPUTED_VALUE"""),21.84)</f>
        <v>21.84</v>
      </c>
      <c r="D1470" s="4"/>
      <c r="E1470" s="4" t="str">
        <f>IFERROR(__xludf.DUMMYFUNCTION("""COMPUTED_VALUE"""),"Sin precio neto")</f>
        <v>Sin precio neto</v>
      </c>
    </row>
    <row r="1471">
      <c r="A1471" s="4" t="str">
        <f>IFERROR(__xludf.DUMMYFUNCTION("""COMPUTED_VALUE"""),"2601P")</f>
        <v>2601P</v>
      </c>
      <c r="B1471" s="4" t="str">
        <f>IFERROR(__xludf.DUMMYFUNCTION("""COMPUTED_VALUE"""),"Hito flexible personalizable")</f>
        <v>Hito flexible personalizable</v>
      </c>
      <c r="C1471" s="4">
        <f>IFERROR(__xludf.DUMMYFUNCTION("""COMPUTED_VALUE"""),23.279999999999998)</f>
        <v>23.28</v>
      </c>
      <c r="D1471" s="4"/>
      <c r="E1471" s="4" t="str">
        <f>IFERROR(__xludf.DUMMYFUNCTION("""COMPUTED_VALUE"""),"Sin precio neto")</f>
        <v>Sin precio neto</v>
      </c>
    </row>
    <row r="1472">
      <c r="A1472" s="4" t="str">
        <f>IFERROR(__xludf.DUMMYFUNCTION("""COMPUTED_VALUE"""),"2674")</f>
        <v>2674</v>
      </c>
      <c r="B1472" s="4" t="str">
        <f>IFERROR(__xludf.DUMMYFUNCTION("""COMPUTED_VALUE"""),"Rollo cuerda blanca trazadora de 50 mts")</f>
        <v>Rollo cuerda blanca trazadora de 50 mts</v>
      </c>
      <c r="C1472" s="4">
        <f>IFERROR(__xludf.DUMMYFUNCTION("""COMPUTED_VALUE"""),1.2192)</f>
        <v>1.2192</v>
      </c>
      <c r="D1472" s="4"/>
      <c r="E1472" s="4" t="str">
        <f>IFERROR(__xludf.DUMMYFUNCTION("""COMPUTED_VALUE"""),"Sin precio neto")</f>
        <v>Sin precio neto</v>
      </c>
    </row>
    <row r="1473">
      <c r="A1473" s="4" t="str">
        <f>IFERROR(__xludf.DUMMYFUNCTION("""COMPUTED_VALUE"""),"2674Z")</f>
        <v>2674Z</v>
      </c>
      <c r="B1473" s="4" t="str">
        <f>IFERROR(__xludf.DUMMYFUNCTION("""COMPUTED_VALUE"""),"Rollo cuerda azul trazadora de 50 mts")</f>
        <v>Rollo cuerda azul trazadora de 50 mts</v>
      </c>
      <c r="C1473" s="4">
        <f>IFERROR(__xludf.DUMMYFUNCTION("""COMPUTED_VALUE"""),1.2192)</f>
        <v>1.2192</v>
      </c>
      <c r="D1473" s="4"/>
      <c r="E1473" s="4" t="str">
        <f>IFERROR(__xludf.DUMMYFUNCTION("""COMPUTED_VALUE"""),"Sin precio neto")</f>
        <v>Sin precio neto</v>
      </c>
    </row>
    <row r="1474">
      <c r="A1474" s="4" t="str">
        <f>IFERROR(__xludf.DUMMYFUNCTION("""COMPUTED_VALUE"""),"2675")</f>
        <v>2675</v>
      </c>
      <c r="B1474" s="4" t="str">
        <f>IFERROR(__xludf.DUMMYFUNCTION("""COMPUTED_VALUE"""),"Rollo cuerda blanca trazadora de 100 mts.")</f>
        <v>Rollo cuerda blanca trazadora de 100 mts.</v>
      </c>
      <c r="C1474" s="4">
        <f>IFERROR(__xludf.DUMMYFUNCTION("""COMPUTED_VALUE"""),2.5152)</f>
        <v>2.5152</v>
      </c>
      <c r="D1474" s="4"/>
      <c r="E1474" s="4" t="str">
        <f>IFERROR(__xludf.DUMMYFUNCTION("""COMPUTED_VALUE"""),"Sin precio neto")</f>
        <v>Sin precio neto</v>
      </c>
    </row>
    <row r="1475">
      <c r="A1475" s="4" t="str">
        <f>IFERROR(__xludf.DUMMYFUNCTION("""COMPUTED_VALUE"""),"2675Z")</f>
        <v>2675Z</v>
      </c>
      <c r="B1475" s="4" t="str">
        <f>IFERROR(__xludf.DUMMYFUNCTION("""COMPUTED_VALUE"""),"Rollo cuerda azul trazadora de 100 mts")</f>
        <v>Rollo cuerda azul trazadora de 100 mts</v>
      </c>
      <c r="C1475" s="4">
        <f>IFERROR(__xludf.DUMMYFUNCTION("""COMPUTED_VALUE"""),2.5152)</f>
        <v>2.5152</v>
      </c>
      <c r="D1475" s="4"/>
      <c r="E1475" s="4" t="str">
        <f>IFERROR(__xludf.DUMMYFUNCTION("""COMPUTED_VALUE"""),"Sin precio neto")</f>
        <v>Sin precio neto</v>
      </c>
    </row>
    <row r="1476">
      <c r="A1476" s="4" t="str">
        <f>IFERROR(__xludf.DUMMYFUNCTION("""COMPUTED_VALUE"""),"2676")</f>
        <v>2676</v>
      </c>
      <c r="B1476" s="4" t="str">
        <f>IFERROR(__xludf.DUMMYFUNCTION("""COMPUTED_VALUE"""),"Rollo cuerda blanca trazadora de 200 mts.")</f>
        <v>Rollo cuerda blanca trazadora de 200 mts.</v>
      </c>
      <c r="C1476" s="4">
        <f>IFERROR(__xludf.DUMMYFUNCTION("""COMPUTED_VALUE"""),4.4159999999999995)</f>
        <v>4.416</v>
      </c>
      <c r="D1476" s="4"/>
      <c r="E1476" s="4" t="str">
        <f>IFERROR(__xludf.DUMMYFUNCTION("""COMPUTED_VALUE"""),"Sin precio neto")</f>
        <v>Sin precio neto</v>
      </c>
    </row>
    <row r="1477">
      <c r="A1477" s="4" t="str">
        <f>IFERROR(__xludf.DUMMYFUNCTION("""COMPUTED_VALUE"""),"2676Z")</f>
        <v>2676Z</v>
      </c>
      <c r="B1477" s="4" t="str">
        <f>IFERROR(__xludf.DUMMYFUNCTION("""COMPUTED_VALUE"""),"Rollo cuerda azul trazadora de 200 mts.")</f>
        <v>Rollo cuerda azul trazadora de 200 mts.</v>
      </c>
      <c r="C1477" s="4">
        <f>IFERROR(__xludf.DUMMYFUNCTION("""COMPUTED_VALUE"""),4.4159999999999995)</f>
        <v>4.416</v>
      </c>
      <c r="D1477" s="4"/>
      <c r="E1477" s="4" t="str">
        <f>IFERROR(__xludf.DUMMYFUNCTION("""COMPUTED_VALUE"""),"Sin precio neto")</f>
        <v>Sin precio neto</v>
      </c>
    </row>
    <row r="1478">
      <c r="A1478" s="4" t="str">
        <f>IFERROR(__xludf.DUMMYFUNCTION("""COMPUTED_VALUE"""),"2677")</f>
        <v>2677</v>
      </c>
      <c r="B1478" s="4" t="str">
        <f>IFERROR(__xludf.DUMMYFUNCTION("""COMPUTED_VALUE"""),"Rollo cuerda blanca trazadora de 500 mts.")</f>
        <v>Rollo cuerda blanca trazadora de 500 mts.</v>
      </c>
      <c r="C1478" s="4">
        <f>IFERROR(__xludf.DUMMYFUNCTION("""COMPUTED_VALUE"""),12.115199999999998)</f>
        <v>12.1152</v>
      </c>
      <c r="D1478" s="4"/>
      <c r="E1478" s="4" t="str">
        <f>IFERROR(__xludf.DUMMYFUNCTION("""COMPUTED_VALUE"""),"Sin precio neto")</f>
        <v>Sin precio neto</v>
      </c>
    </row>
    <row r="1479">
      <c r="A1479" s="4" t="str">
        <f>IFERROR(__xludf.DUMMYFUNCTION("""COMPUTED_VALUE"""),"2677Z")</f>
        <v>2677Z</v>
      </c>
      <c r="B1479" s="4" t="str">
        <f>IFERROR(__xludf.DUMMYFUNCTION("""COMPUTED_VALUE"""),"Rollo cuerda azul trazadora de 500 mts.")</f>
        <v>Rollo cuerda azul trazadora de 500 mts.</v>
      </c>
      <c r="C1479" s="4">
        <f>IFERROR(__xludf.DUMMYFUNCTION("""COMPUTED_VALUE"""),12.115199999999998)</f>
        <v>12.1152</v>
      </c>
      <c r="D1479" s="4"/>
      <c r="E1479" s="4" t="str">
        <f>IFERROR(__xludf.DUMMYFUNCTION("""COMPUTED_VALUE"""),"Sin precio neto")</f>
        <v>Sin precio neto</v>
      </c>
    </row>
    <row r="1480">
      <c r="A1480" s="4" t="str">
        <f>IFERROR(__xludf.DUMMYFUNCTION("""COMPUTED_VALUE"""),"2700")</f>
        <v>2700</v>
      </c>
      <c r="B1480" s="4" t="str">
        <f>IFERROR(__xludf.DUMMYFUNCTION("""COMPUTED_VALUE"""),"Caldereta obra 15 L.")</f>
        <v>Caldereta obra 15 L.</v>
      </c>
      <c r="C1480" s="4">
        <f>IFERROR(__xludf.DUMMYFUNCTION("""COMPUTED_VALUE"""),2.4192)</f>
        <v>2.4192</v>
      </c>
      <c r="D1480" s="4">
        <f>IFERROR(__xludf.DUMMYFUNCTION("""COMPUTED_VALUE"""),1.95)</f>
        <v>1.95</v>
      </c>
      <c r="E1480" s="4" t="str">
        <f>IFERROR(__xludf.DUMMYFUNCTION("""COMPUTED_VALUE"""),"Neto: 1,95 € (a partir de 15 uds.)")</f>
        <v>Neto: 1,95 € (a partir de 15 uds.)</v>
      </c>
    </row>
    <row r="1481">
      <c r="A1481" s="4" t="str">
        <f>IFERROR(__xludf.DUMMYFUNCTION("""COMPUTED_VALUE"""),"2701")</f>
        <v>2701</v>
      </c>
      <c r="B1481" s="4" t="str">
        <f>IFERROR(__xludf.DUMMYFUNCTION("""COMPUTED_VALUE"""),"Cubeta pintura azul 16 con rejilla")</f>
        <v>Cubeta pintura azul 16 con rejilla</v>
      </c>
      <c r="C1481" s="4">
        <f>IFERROR(__xludf.DUMMYFUNCTION("""COMPUTED_VALUE"""),2.976)</f>
        <v>2.976</v>
      </c>
      <c r="D1481" s="4"/>
      <c r="E1481" s="4" t="str">
        <f>IFERROR(__xludf.DUMMYFUNCTION("""COMPUTED_VALUE"""),"Sin precio neto")</f>
        <v>Sin precio neto</v>
      </c>
    </row>
    <row r="1482">
      <c r="A1482" s="4" t="str">
        <f>IFERROR(__xludf.DUMMYFUNCTION("""COMPUTED_VALUE"""),"2701R")</f>
        <v>2701R</v>
      </c>
      <c r="B1482" s="4" t="str">
        <f>IFERROR(__xludf.DUMMYFUNCTION("""COMPUTED_VALUE"""),"Rejilla para cubeta pintura 16")</f>
        <v>Rejilla para cubeta pintura 16</v>
      </c>
      <c r="C1482" s="4">
        <f>IFERROR(__xludf.DUMMYFUNCTION("""COMPUTED_VALUE"""),0.576)</f>
        <v>0.576</v>
      </c>
      <c r="D1482" s="4"/>
      <c r="E1482" s="4" t="str">
        <f>IFERROR(__xludf.DUMMYFUNCTION("""COMPUTED_VALUE"""),"Sin precio neto")</f>
        <v>Sin precio neto</v>
      </c>
    </row>
    <row r="1483">
      <c r="A1483" s="4" t="str">
        <f>IFERROR(__xludf.DUMMYFUNCTION("""COMPUTED_VALUE"""),"270222B")</f>
        <v>270222B</v>
      </c>
      <c r="B1483" s="4" t="str">
        <f>IFERROR(__xludf.DUMMYFUNCTION("""COMPUTED_VALUE"""),"Capazo de goma 22 l Blanco")</f>
        <v>Capazo de goma 22 l Blanco</v>
      </c>
      <c r="C1483" s="4">
        <f>IFERROR(__xludf.DUMMYFUNCTION("""COMPUTED_VALUE"""),1.8719999999999999)</f>
        <v>1.872</v>
      </c>
      <c r="D1483" s="4">
        <f>IFERROR(__xludf.DUMMYFUNCTION("""COMPUTED_VALUE"""),1.95)</f>
        <v>1.95</v>
      </c>
      <c r="E1483" s="4" t="str">
        <f>IFERROR(__xludf.DUMMYFUNCTION("""COMPUTED_VALUE"""),"Neto: 1,95 € (a partir de 12 uds.)")</f>
        <v>Neto: 1,95 € (a partir de 12 uds.)</v>
      </c>
    </row>
    <row r="1484">
      <c r="A1484" s="4" t="str">
        <f>IFERROR(__xludf.DUMMYFUNCTION("""COMPUTED_VALUE"""),"270222N")</f>
        <v>270222N</v>
      </c>
      <c r="B1484" s="4" t="str">
        <f>IFERROR(__xludf.DUMMYFUNCTION("""COMPUTED_VALUE"""),"Capazo de goma 22 l Negro")</f>
        <v>Capazo de goma 22 l Negro</v>
      </c>
      <c r="C1484" s="4">
        <f>IFERROR(__xludf.DUMMYFUNCTION("""COMPUTED_VALUE"""),1.8719999999999999)</f>
        <v>1.872</v>
      </c>
      <c r="D1484" s="4">
        <f>IFERROR(__xludf.DUMMYFUNCTION("""COMPUTED_VALUE"""),1.95)</f>
        <v>1.95</v>
      </c>
      <c r="E1484" s="4" t="str">
        <f>IFERROR(__xludf.DUMMYFUNCTION("""COMPUTED_VALUE"""),"Neto: 1,95 € (a partir de 12 uds.)")</f>
        <v>Neto: 1,95 € (a partir de 12 uds.)</v>
      </c>
    </row>
    <row r="1485">
      <c r="A1485" s="4" t="str">
        <f>IFERROR(__xludf.DUMMYFUNCTION("""COMPUTED_VALUE"""),"270222R")</f>
        <v>270222R</v>
      </c>
      <c r="B1485" s="4" t="str">
        <f>IFERROR(__xludf.DUMMYFUNCTION("""COMPUTED_VALUE"""),"Capazo de goma 22 l Rojo")</f>
        <v>Capazo de goma 22 l Rojo</v>
      </c>
      <c r="C1485" s="4">
        <f>IFERROR(__xludf.DUMMYFUNCTION("""COMPUTED_VALUE"""),1.8719999999999999)</f>
        <v>1.872</v>
      </c>
      <c r="D1485" s="4">
        <f>IFERROR(__xludf.DUMMYFUNCTION("""COMPUTED_VALUE"""),1.95)</f>
        <v>1.95</v>
      </c>
      <c r="E1485" s="4" t="str">
        <f>IFERROR(__xludf.DUMMYFUNCTION("""COMPUTED_VALUE"""),"Neto: 1,95 € (a partir de 12 uds.)")</f>
        <v>Neto: 1,95 € (a partir de 12 uds.)</v>
      </c>
    </row>
    <row r="1486">
      <c r="A1486" s="4" t="str">
        <f>IFERROR(__xludf.DUMMYFUNCTION("""COMPUTED_VALUE"""),"270242B")</f>
        <v>270242B</v>
      </c>
      <c r="B1486" s="4" t="str">
        <f>IFERROR(__xludf.DUMMYFUNCTION("""COMPUTED_VALUE"""),"Capazo de goma 42 l Blanco")</f>
        <v>Capazo de goma 42 l Blanco</v>
      </c>
      <c r="C1486" s="4">
        <f>IFERROR(__xludf.DUMMYFUNCTION("""COMPUTED_VALUE"""),2.352)</f>
        <v>2.352</v>
      </c>
      <c r="D1486" s="4">
        <f>IFERROR(__xludf.DUMMYFUNCTION("""COMPUTED_VALUE"""),1.95)</f>
        <v>1.95</v>
      </c>
      <c r="E1486" s="4" t="str">
        <f>IFERROR(__xludf.DUMMYFUNCTION("""COMPUTED_VALUE"""),"Neto: 1,95 € (a partir de 12 uds.)")</f>
        <v>Neto: 1,95 € (a partir de 12 uds.)</v>
      </c>
    </row>
    <row r="1487">
      <c r="A1487" s="4" t="str">
        <f>IFERROR(__xludf.DUMMYFUNCTION("""COMPUTED_VALUE"""),"270242N")</f>
        <v>270242N</v>
      </c>
      <c r="B1487" s="4" t="str">
        <f>IFERROR(__xludf.DUMMYFUNCTION("""COMPUTED_VALUE"""),"Capazo de goma 42 l Negro")</f>
        <v>Capazo de goma 42 l Negro</v>
      </c>
      <c r="C1487" s="4">
        <f>IFERROR(__xludf.DUMMYFUNCTION("""COMPUTED_VALUE"""),2.352)</f>
        <v>2.352</v>
      </c>
      <c r="D1487" s="4">
        <f>IFERROR(__xludf.DUMMYFUNCTION("""COMPUTED_VALUE"""),1.95)</f>
        <v>1.95</v>
      </c>
      <c r="E1487" s="4" t="str">
        <f>IFERROR(__xludf.DUMMYFUNCTION("""COMPUTED_VALUE"""),"Neto: 1,95 € (a partir de 12 uds.)")</f>
        <v>Neto: 1,95 € (a partir de 12 uds.)</v>
      </c>
    </row>
    <row r="1488">
      <c r="A1488" s="4" t="str">
        <f>IFERROR(__xludf.DUMMYFUNCTION("""COMPUTED_VALUE"""),"270242R")</f>
        <v>270242R</v>
      </c>
      <c r="B1488" s="4" t="str">
        <f>IFERROR(__xludf.DUMMYFUNCTION("""COMPUTED_VALUE"""),"Capazo de goma 42 l Rojo")</f>
        <v>Capazo de goma 42 l Rojo</v>
      </c>
      <c r="C1488" s="4">
        <f>IFERROR(__xludf.DUMMYFUNCTION("""COMPUTED_VALUE"""),2.352)</f>
        <v>2.352</v>
      </c>
      <c r="D1488" s="4">
        <f>IFERROR(__xludf.DUMMYFUNCTION("""COMPUTED_VALUE"""),1.95)</f>
        <v>1.95</v>
      </c>
      <c r="E1488" s="4" t="str">
        <f>IFERROR(__xludf.DUMMYFUNCTION("""COMPUTED_VALUE"""),"Neto: 1,95 € (a partir de 12 uds.)")</f>
        <v>Neto: 1,95 € (a partir de 12 uds.)</v>
      </c>
    </row>
    <row r="1489">
      <c r="A1489" s="4" t="str">
        <f>IFERROR(__xludf.DUMMYFUNCTION("""COMPUTED_VALUE"""),"270255B")</f>
        <v>270255B</v>
      </c>
      <c r="B1489" s="4" t="str">
        <f>IFERROR(__xludf.DUMMYFUNCTION("""COMPUTED_VALUE"""),"Capazo de goma 55 l Blanco")</f>
        <v>Capazo de goma 55 l Blanco</v>
      </c>
      <c r="C1489" s="4">
        <f>IFERROR(__xludf.DUMMYFUNCTION("""COMPUTED_VALUE"""),4.175999999999999)</f>
        <v>4.176</v>
      </c>
      <c r="D1489" s="4">
        <f>IFERROR(__xludf.DUMMYFUNCTION("""COMPUTED_VALUE"""),1.95)</f>
        <v>1.95</v>
      </c>
      <c r="E1489" s="4" t="str">
        <f>IFERROR(__xludf.DUMMYFUNCTION("""COMPUTED_VALUE"""),"Neto: 1,95 € (a partir de 12 uds.)")</f>
        <v>Neto: 1,95 € (a partir de 12 uds.)</v>
      </c>
    </row>
    <row r="1490">
      <c r="A1490" s="4" t="str">
        <f>IFERROR(__xludf.DUMMYFUNCTION("""COMPUTED_VALUE"""),"270255N")</f>
        <v>270255N</v>
      </c>
      <c r="B1490" s="4" t="str">
        <f>IFERROR(__xludf.DUMMYFUNCTION("""COMPUTED_VALUE"""),"Capazo de goma 55 l Negro")</f>
        <v>Capazo de goma 55 l Negro</v>
      </c>
      <c r="C1490" s="4">
        <f>IFERROR(__xludf.DUMMYFUNCTION("""COMPUTED_VALUE"""),4.175999999999999)</f>
        <v>4.176</v>
      </c>
      <c r="D1490" s="4">
        <f>IFERROR(__xludf.DUMMYFUNCTION("""COMPUTED_VALUE"""),1.95)</f>
        <v>1.95</v>
      </c>
      <c r="E1490" s="4" t="str">
        <f>IFERROR(__xludf.DUMMYFUNCTION("""COMPUTED_VALUE"""),"Neto: 1,95 € (a partir de 12 uds.)")</f>
        <v>Neto: 1,95 € (a partir de 12 uds.)</v>
      </c>
    </row>
    <row r="1491">
      <c r="A1491" s="4" t="str">
        <f>IFERROR(__xludf.DUMMYFUNCTION("""COMPUTED_VALUE"""),"270255R")</f>
        <v>270255R</v>
      </c>
      <c r="B1491" s="4" t="str">
        <f>IFERROR(__xludf.DUMMYFUNCTION("""COMPUTED_VALUE"""),"Capazo de goma 55 l Rojo")</f>
        <v>Capazo de goma 55 l Rojo</v>
      </c>
      <c r="C1491" s="4">
        <f>IFERROR(__xludf.DUMMYFUNCTION("""COMPUTED_VALUE"""),4.175999999999999)</f>
        <v>4.176</v>
      </c>
      <c r="D1491" s="4">
        <f>IFERROR(__xludf.DUMMYFUNCTION("""COMPUTED_VALUE"""),1.95)</f>
        <v>1.95</v>
      </c>
      <c r="E1491" s="4" t="str">
        <f>IFERROR(__xludf.DUMMYFUNCTION("""COMPUTED_VALUE"""),"Neto: 1,95 € (a partir de 12 uds.)")</f>
        <v>Neto: 1,95 € (a partir de 12 uds.)</v>
      </c>
    </row>
    <row r="1492">
      <c r="A1492" s="4" t="str">
        <f>IFERROR(__xludf.DUMMYFUNCTION("""COMPUTED_VALUE"""),"2703")</f>
        <v>2703</v>
      </c>
      <c r="B1492" s="4" t="str">
        <f>IFERROR(__xludf.DUMMYFUNCTION("""COMPUTED_VALUE"""),"Cubre cable portatil 1 metro Mod. A")</f>
        <v>Cubre cable portatil 1 metro Mod. A</v>
      </c>
      <c r="C1492" s="4">
        <f>IFERROR(__xludf.DUMMYFUNCTION("""COMPUTED_VALUE"""),12.719999999999999)</f>
        <v>12.72</v>
      </c>
      <c r="D1492" s="4"/>
      <c r="E1492" s="4" t="str">
        <f>IFERROR(__xludf.DUMMYFUNCTION("""COMPUTED_VALUE"""),"Sin precio neto")</f>
        <v>Sin precio neto</v>
      </c>
    </row>
    <row r="1493">
      <c r="A1493" s="4" t="str">
        <f>IFERROR(__xludf.DUMMYFUNCTION("""COMPUTED_VALUE"""),"2704")</f>
        <v>2704</v>
      </c>
      <c r="B1493" s="4" t="str">
        <f>IFERROR(__xludf.DUMMYFUNCTION("""COMPUTED_VALUE"""),"Cubre cable portatil 1 metro Mod. B")</f>
        <v>Cubre cable portatil 1 metro Mod. B</v>
      </c>
      <c r="C1493" s="4">
        <f>IFERROR(__xludf.DUMMYFUNCTION("""COMPUTED_VALUE"""),23.279999999999998)</f>
        <v>23.28</v>
      </c>
      <c r="D1493" s="4"/>
      <c r="E1493" s="4" t="str">
        <f>IFERROR(__xludf.DUMMYFUNCTION("""COMPUTED_VALUE"""),"Sin precio neto")</f>
        <v>Sin precio neto</v>
      </c>
    </row>
    <row r="1494">
      <c r="A1494" s="4" t="str">
        <f>IFERROR(__xludf.DUMMYFUNCTION("""COMPUTED_VALUE"""),"2705")</f>
        <v>2705</v>
      </c>
      <c r="B1494" s="4" t="str">
        <f>IFERROR(__xludf.DUMMYFUNCTION("""COMPUTED_VALUE"""),"Cubre cable portatil 9 metros Mod. C")</f>
        <v>Cubre cable portatil 9 metros Mod. C</v>
      </c>
      <c r="C1494" s="4">
        <f>IFERROR(__xludf.DUMMYFUNCTION("""COMPUTED_VALUE"""),36.48)</f>
        <v>36.48</v>
      </c>
      <c r="D1494" s="4"/>
      <c r="E1494" s="4" t="str">
        <f>IFERROR(__xludf.DUMMYFUNCTION("""COMPUTED_VALUE"""),"Sin precio neto")</f>
        <v>Sin precio neto</v>
      </c>
    </row>
    <row r="1495">
      <c r="A1495" s="4" t="str">
        <f>IFERROR(__xludf.DUMMYFUNCTION("""COMPUTED_VALUE"""),"2706")</f>
        <v>2706</v>
      </c>
      <c r="B1495" s="4" t="str">
        <f>IFERROR(__xludf.DUMMYFUNCTION("""COMPUTED_VALUE"""),"Cubo 12 L Reciclado")</f>
        <v>Cubo 12 L Reciclado</v>
      </c>
      <c r="C1495" s="4">
        <f>IFERROR(__xludf.DUMMYFUNCTION("""COMPUTED_VALUE"""),0.9984)</f>
        <v>0.9984</v>
      </c>
      <c r="D1495" s="4"/>
      <c r="E1495" s="4" t="str">
        <f>IFERROR(__xludf.DUMMYFUNCTION("""COMPUTED_VALUE"""),"Sin precio neto")</f>
        <v>Sin precio neto</v>
      </c>
    </row>
    <row r="1496">
      <c r="A1496" s="4" t="str">
        <f>IFERROR(__xludf.DUMMYFUNCTION("""COMPUTED_VALUE"""),"2707")</f>
        <v>2707</v>
      </c>
      <c r="B1496" s="4" t="str">
        <f>IFERROR(__xludf.DUMMYFUNCTION("""COMPUTED_VALUE"""),"Cubo 6 L Reciclado")</f>
        <v>Cubo 6 L Reciclado</v>
      </c>
      <c r="C1496" s="4">
        <f>IFERROR(__xludf.DUMMYFUNCTION("""COMPUTED_VALUE"""),0.768)</f>
        <v>0.768</v>
      </c>
      <c r="D1496" s="4"/>
      <c r="E1496" s="4" t="str">
        <f>IFERROR(__xludf.DUMMYFUNCTION("""COMPUTED_VALUE"""),"Sin precio neto")</f>
        <v>Sin precio neto</v>
      </c>
    </row>
    <row r="1497">
      <c r="A1497" s="4" t="str">
        <f>IFERROR(__xludf.DUMMYFUNCTION("""COMPUTED_VALUE"""),"2708")</f>
        <v>2708</v>
      </c>
      <c r="B1497" s="4" t="str">
        <f>IFERROR(__xludf.DUMMYFUNCTION("""COMPUTED_VALUE"""),"Cubo 8 L Reciclado")</f>
        <v>Cubo 8 L Reciclado</v>
      </c>
      <c r="C1497" s="4">
        <f>IFERROR(__xludf.DUMMYFUNCTION("""COMPUTED_VALUE"""),0.816)</f>
        <v>0.816</v>
      </c>
      <c r="D1497" s="4"/>
      <c r="E1497" s="4" t="str">
        <f>IFERROR(__xludf.DUMMYFUNCTION("""COMPUTED_VALUE"""),"Sin precio neto")</f>
        <v>Sin precio neto</v>
      </c>
    </row>
    <row r="1498">
      <c r="A1498" s="4" t="str">
        <f>IFERROR(__xludf.DUMMYFUNCTION("""COMPUTED_VALUE"""),"2709")</f>
        <v>2709</v>
      </c>
      <c r="B1498" s="4" t="str">
        <f>IFERROR(__xludf.DUMMYFUNCTION("""COMPUTED_VALUE"""),"Embudo para Combustible Flexible")</f>
        <v>Embudo para Combustible Flexible</v>
      </c>
      <c r="C1498" s="4">
        <f>IFERROR(__xludf.DUMMYFUNCTION("""COMPUTED_VALUE"""),1.5647999999999997)</f>
        <v>1.5648</v>
      </c>
      <c r="D1498" s="4"/>
      <c r="E1498" s="4" t="str">
        <f>IFERROR(__xludf.DUMMYFUNCTION("""COMPUTED_VALUE"""),"Sin precio neto")</f>
        <v>Sin precio neto</v>
      </c>
    </row>
    <row r="1499">
      <c r="A1499" s="4" t="str">
        <f>IFERROR(__xludf.DUMMYFUNCTION("""COMPUTED_VALUE"""),"2710")</f>
        <v>2710</v>
      </c>
      <c r="B1499" s="4" t="str">
        <f>IFERROR(__xludf.DUMMYFUNCTION("""COMPUTED_VALUE"""),"Esponja abrasiva Lija Grado Alto Set 3")</f>
        <v>Esponja abrasiva Lija Grado Alto Set 3</v>
      </c>
      <c r="C1499" s="4">
        <f>IFERROR(__xludf.DUMMYFUNCTION("""COMPUTED_VALUE"""),1.68)</f>
        <v>1.68</v>
      </c>
      <c r="D1499" s="4"/>
      <c r="E1499" s="4" t="str">
        <f>IFERROR(__xludf.DUMMYFUNCTION("""COMPUTED_VALUE"""),"Sin precio neto")</f>
        <v>Sin precio neto</v>
      </c>
    </row>
    <row r="1500">
      <c r="A1500" s="4" t="str">
        <f>IFERROR(__xludf.DUMMYFUNCTION("""COMPUTED_VALUE"""),"2711")</f>
        <v>2711</v>
      </c>
      <c r="B1500" s="4" t="str">
        <f>IFERROR(__xludf.DUMMYFUNCTION("""COMPUTED_VALUE"""),"Esponja Abrasiva Lija Brado Bajo Set 3")</f>
        <v>Esponja Abrasiva Lija Brado Bajo Set 3</v>
      </c>
      <c r="C1500" s="4">
        <f>IFERROR(__xludf.DUMMYFUNCTION("""COMPUTED_VALUE"""),1.68)</f>
        <v>1.68</v>
      </c>
      <c r="D1500" s="4"/>
      <c r="E1500" s="4" t="str">
        <f>IFERROR(__xludf.DUMMYFUNCTION("""COMPUTED_VALUE"""),"Sin precio neto")</f>
        <v>Sin precio neto</v>
      </c>
    </row>
    <row r="1501">
      <c r="A1501" s="4" t="str">
        <f>IFERROR(__xludf.DUMMYFUNCTION("""COMPUTED_VALUE"""),"2712")</f>
        <v>2712</v>
      </c>
      <c r="B1501" s="4" t="str">
        <f>IFERROR(__xludf.DUMMYFUNCTION("""COMPUTED_VALUE"""),"Esponja Abrasiva Lija Grado Medio Set 3")</f>
        <v>Esponja Abrasiva Lija Grado Medio Set 3</v>
      </c>
      <c r="C1501" s="4">
        <f>IFERROR(__xludf.DUMMYFUNCTION("""COMPUTED_VALUE"""),1.68)</f>
        <v>1.68</v>
      </c>
      <c r="D1501" s="4"/>
      <c r="E1501" s="4" t="str">
        <f>IFERROR(__xludf.DUMMYFUNCTION("""COMPUTED_VALUE"""),"Sin precio neto")</f>
        <v>Sin precio neto</v>
      </c>
    </row>
    <row r="1502">
      <c r="A1502" s="4" t="str">
        <f>IFERROR(__xludf.DUMMYFUNCTION("""COMPUTED_VALUE"""),"2713")</f>
        <v>2713</v>
      </c>
      <c r="B1502" s="4" t="str">
        <f>IFERROR(__xludf.DUMMYFUNCTION("""COMPUTED_VALUE"""),"Esponja Abrasiva Lija Set 3")</f>
        <v>Esponja Abrasiva Lija Set 3</v>
      </c>
      <c r="C1502" s="4">
        <f>IFERROR(__xludf.DUMMYFUNCTION("""COMPUTED_VALUE"""),1.68)</f>
        <v>1.68</v>
      </c>
      <c r="D1502" s="4"/>
      <c r="E1502" s="4" t="str">
        <f>IFERROR(__xludf.DUMMYFUNCTION("""COMPUTED_VALUE"""),"Sin precio neto")</f>
        <v>Sin precio neto</v>
      </c>
    </row>
    <row r="1503">
      <c r="A1503" s="4" t="str">
        <f>IFERROR(__xludf.DUMMYFUNCTION("""COMPUTED_VALUE"""),"2714")</f>
        <v>2714</v>
      </c>
      <c r="B1503" s="4" t="str">
        <f>IFERROR(__xludf.DUMMYFUNCTION("""COMPUTED_VALUE"""),"Garrafa Apta contacto Alimentario 20 L")</f>
        <v>Garrafa Apta contacto Alimentario 20 L</v>
      </c>
      <c r="C1503" s="4">
        <f>IFERROR(__xludf.DUMMYFUNCTION("""COMPUTED_VALUE"""),8.879999999999999)</f>
        <v>8.88</v>
      </c>
      <c r="D1503" s="4"/>
      <c r="E1503" s="4" t="str">
        <f>IFERROR(__xludf.DUMMYFUNCTION("""COMPUTED_VALUE"""),"Sin precio neto")</f>
        <v>Sin precio neto</v>
      </c>
    </row>
    <row r="1504">
      <c r="A1504" s="4" t="str">
        <f>IFERROR(__xludf.DUMMYFUNCTION("""COMPUTED_VALUE"""),"2715")</f>
        <v>2715</v>
      </c>
      <c r="B1504" s="4" t="str">
        <f>IFERROR(__xludf.DUMMYFUNCTION("""COMPUTED_VALUE"""),"Paño microfibra profesional 35x40 cm Gris")</f>
        <v>Paño microfibra profesional 35x40 cm Gris</v>
      </c>
      <c r="C1504" s="4">
        <f>IFERROR(__xludf.DUMMYFUNCTION("""COMPUTED_VALUE"""),0.45119999999999993)</f>
        <v>0.4512</v>
      </c>
      <c r="D1504" s="4"/>
      <c r="E1504" s="4" t="str">
        <f>IFERROR(__xludf.DUMMYFUNCTION("""COMPUTED_VALUE"""),"Sin precio neto")</f>
        <v>Sin precio neto</v>
      </c>
    </row>
    <row r="1505">
      <c r="A1505" s="4" t="str">
        <f>IFERROR(__xludf.DUMMYFUNCTION("""COMPUTED_VALUE"""),"2716")</f>
        <v>2716</v>
      </c>
      <c r="B1505" s="4" t="str">
        <f>IFERROR(__xludf.DUMMYFUNCTION("""COMPUTED_VALUE"""),"Rollo Fibra abrasiva 15 CM X 6 M")</f>
        <v>Rollo Fibra abrasiva 15 CM X 6 M</v>
      </c>
      <c r="C1505" s="4">
        <f>IFERROR(__xludf.DUMMYFUNCTION("""COMPUTED_VALUE"""),8.4)</f>
        <v>8.4</v>
      </c>
      <c r="D1505" s="4"/>
      <c r="E1505" s="4" t="str">
        <f>IFERROR(__xludf.DUMMYFUNCTION("""COMPUTED_VALUE"""),"Sin precio neto")</f>
        <v>Sin precio neto</v>
      </c>
    </row>
    <row r="1506">
      <c r="A1506" s="4" t="str">
        <f>IFERROR(__xludf.DUMMYFUNCTION("""COMPUTED_VALUE"""),"2785")</f>
        <v>2785</v>
      </c>
      <c r="B1506" s="4" t="str">
        <f>IFERROR(__xludf.DUMMYFUNCTION("""COMPUTED_VALUE"""),"Rodillo de marcar de 180")</f>
        <v>Rodillo de marcar de 180</v>
      </c>
      <c r="C1506" s="4">
        <f>IFERROR(__xludf.DUMMYFUNCTION("""COMPUTED_VALUE"""),73.92)</f>
        <v>73.92</v>
      </c>
      <c r="D1506" s="4"/>
      <c r="E1506" s="4" t="str">
        <f>IFERROR(__xludf.DUMMYFUNCTION("""COMPUTED_VALUE"""),"Sin precio neto")</f>
        <v>Sin precio neto</v>
      </c>
    </row>
    <row r="1507">
      <c r="A1507" s="4" t="str">
        <f>IFERROR(__xludf.DUMMYFUNCTION("""COMPUTED_VALUE"""),"2800")</f>
        <v>2800</v>
      </c>
      <c r="B1507" s="4" t="str">
        <f>IFERROR(__xludf.DUMMYFUNCTION("""COMPUTED_VALUE"""),"Señal complementaria TPU Triangular 380 mm Reflex 1")</f>
        <v>Señal complementaria TPU Triangular 380 mm Reflex 1</v>
      </c>
      <c r="C1507" s="4">
        <f>IFERROR(__xludf.DUMMYFUNCTION("""COMPUTED_VALUE"""),8.64)</f>
        <v>8.64</v>
      </c>
      <c r="D1507" s="4"/>
      <c r="E1507" s="4" t="str">
        <f>IFERROR(__xludf.DUMMYFUNCTION("""COMPUTED_VALUE"""),"Sin precio neto")</f>
        <v>Sin precio neto</v>
      </c>
    </row>
    <row r="1508">
      <c r="A1508" s="4" t="str">
        <f>IFERROR(__xludf.DUMMYFUNCTION("""COMPUTED_VALUE"""),"2900")</f>
        <v>2900</v>
      </c>
      <c r="B1508" s="4" t="str">
        <f>IFERROR(__xludf.DUMMYFUNCTION("""COMPUTED_VALUE"""),"Señal complementaria TPU circular 285 mm Reflex 1")</f>
        <v>Señal complementaria TPU circular 285 mm Reflex 1</v>
      </c>
      <c r="C1508" s="4">
        <f>IFERROR(__xludf.DUMMYFUNCTION("""COMPUTED_VALUE"""),8.64)</f>
        <v>8.64</v>
      </c>
      <c r="D1508" s="4"/>
      <c r="E1508" s="4" t="str">
        <f>IFERROR(__xludf.DUMMYFUNCTION("""COMPUTED_VALUE"""),"Sin precio neto")</f>
        <v>Sin precio neto</v>
      </c>
    </row>
    <row r="1509">
      <c r="A1509" s="4" t="str">
        <f>IFERROR(__xludf.DUMMYFUNCTION("""COMPUTED_VALUE"""),"2901")</f>
        <v>2901</v>
      </c>
      <c r="B1509" s="4" t="str">
        <f>IFERROR(__xludf.DUMMYFUNCTION("""COMPUTED_VALUE"""),"Clavo yesero 250")</f>
        <v>Clavo yesero 250</v>
      </c>
      <c r="C1509" s="4">
        <f>IFERROR(__xludf.DUMMYFUNCTION("""COMPUTED_VALUE"""),1.392)</f>
        <v>1.392</v>
      </c>
      <c r="D1509" s="4"/>
      <c r="E1509" s="4" t="str">
        <f>IFERROR(__xludf.DUMMYFUNCTION("""COMPUTED_VALUE"""),"Sin precio neto")</f>
        <v>Sin precio neto</v>
      </c>
    </row>
    <row r="1510">
      <c r="A1510" s="4" t="str">
        <f>IFERROR(__xludf.DUMMYFUNCTION("""COMPUTED_VALUE"""),"2969")</f>
        <v>2969</v>
      </c>
      <c r="B1510" s="4" t="str">
        <f>IFERROR(__xludf.DUMMYFUNCTION("""COMPUTED_VALUE"""),"Mezclador b/viscosidad 80 m/m")</f>
        <v>Mezclador b/viscosidad 80 m/m</v>
      </c>
      <c r="C1510" s="4">
        <f>IFERROR(__xludf.DUMMYFUNCTION("""COMPUTED_VALUE"""),1.8239999999999998)</f>
        <v>1.824</v>
      </c>
      <c r="D1510" s="4"/>
      <c r="E1510" s="4" t="str">
        <f>IFERROR(__xludf.DUMMYFUNCTION("""COMPUTED_VALUE"""),"Sin precio neto")</f>
        <v>Sin precio neto</v>
      </c>
    </row>
    <row r="1511">
      <c r="A1511" s="4" t="str">
        <f>IFERROR(__xludf.DUMMYFUNCTION("""COMPUTED_VALUE"""),"2971")</f>
        <v>2971</v>
      </c>
      <c r="B1511" s="4" t="str">
        <f>IFERROR(__xludf.DUMMYFUNCTION("""COMPUTED_VALUE"""),"Mezclador pintura de 100 m/m")</f>
        <v>Mezclador pintura de 100 m/m</v>
      </c>
      <c r="C1511" s="4">
        <f>IFERROR(__xludf.DUMMYFUNCTION("""COMPUTED_VALUE"""),2.112)</f>
        <v>2.112</v>
      </c>
      <c r="D1511" s="4"/>
      <c r="E1511" s="4" t="str">
        <f>IFERROR(__xludf.DUMMYFUNCTION("""COMPUTED_VALUE"""),"Sin precio neto")</f>
        <v>Sin precio neto</v>
      </c>
    </row>
    <row r="1512">
      <c r="A1512" s="4" t="str">
        <f>IFERROR(__xludf.DUMMYFUNCTION("""COMPUTED_VALUE"""),"3015")</f>
        <v>3015</v>
      </c>
      <c r="B1512" s="4" t="str">
        <f>IFERROR(__xludf.DUMMYFUNCTION("""COMPUTED_VALUE"""),"Distanciador cuña 0-7 (200 unid)")</f>
        <v>Distanciador cuña 0-7 (200 unid)</v>
      </c>
      <c r="C1512" s="4">
        <f>IFERROR(__xludf.DUMMYFUNCTION("""COMPUTED_VALUE"""),1.3439999999999999)</f>
        <v>1.344</v>
      </c>
      <c r="D1512" s="4"/>
      <c r="E1512" s="4" t="str">
        <f>IFERROR(__xludf.DUMMYFUNCTION("""COMPUTED_VALUE"""),"Sin precio neto")</f>
        <v>Sin precio neto</v>
      </c>
    </row>
    <row r="1513">
      <c r="A1513" s="4" t="str">
        <f>IFERROR(__xludf.DUMMYFUNCTION("""COMPUTED_VALUE"""),"3030")</f>
        <v>3030</v>
      </c>
      <c r="B1513" s="4" t="str">
        <f>IFERROR(__xludf.DUMMYFUNCTION("""COMPUTED_VALUE"""),"Separador CONDOR 20 m/m (1000 Unid)")</f>
        <v>Separador CONDOR 20 m/m (1000 Unid)</v>
      </c>
      <c r="C1513" s="4">
        <f>IFERROR(__xludf.DUMMYFUNCTION("""COMPUTED_VALUE"""),28.176000000000002)</f>
        <v>28.176</v>
      </c>
      <c r="D1513" s="4"/>
      <c r="E1513" s="4" t="str">
        <f>IFERROR(__xludf.DUMMYFUNCTION("""COMPUTED_VALUE"""),"Sin precio neto")</f>
        <v>Sin precio neto</v>
      </c>
    </row>
    <row r="1514">
      <c r="A1514" s="4" t="str">
        <f>IFERROR(__xludf.DUMMYFUNCTION("""COMPUTED_VALUE"""),"3031")</f>
        <v>3031</v>
      </c>
      <c r="B1514" s="4" t="str">
        <f>IFERROR(__xludf.DUMMYFUNCTION("""COMPUTED_VALUE"""),"Separador CONDOR 40 m/m (500 Unid)")</f>
        <v>Separador CONDOR 40 m/m (500 Unid)</v>
      </c>
      <c r="C1514" s="4">
        <f>IFERROR(__xludf.DUMMYFUNCTION("""COMPUTED_VALUE"""),25.151999999999997)</f>
        <v>25.152</v>
      </c>
      <c r="D1514" s="4"/>
      <c r="E1514" s="4" t="str">
        <f>IFERROR(__xludf.DUMMYFUNCTION("""COMPUTED_VALUE"""),"Sin precio neto")</f>
        <v>Sin precio neto</v>
      </c>
    </row>
    <row r="1515">
      <c r="A1515" s="4" t="str">
        <f>IFERROR(__xludf.DUMMYFUNCTION("""COMPUTED_VALUE"""),"3032")</f>
        <v>3032</v>
      </c>
      <c r="B1515" s="4" t="str">
        <f>IFERROR(__xludf.DUMMYFUNCTION("""COMPUTED_VALUE"""),"Separador Universal (1000 Unid)")</f>
        <v>Separador Universal (1000 Unid)</v>
      </c>
      <c r="C1515" s="4">
        <f>IFERROR(__xludf.DUMMYFUNCTION("""COMPUTED_VALUE"""),40.12799999999999)</f>
        <v>40.128</v>
      </c>
      <c r="D1515" s="4"/>
      <c r="E1515" s="4" t="str">
        <f>IFERROR(__xludf.DUMMYFUNCTION("""COMPUTED_VALUE"""),"Sin precio neto")</f>
        <v>Sin precio neto</v>
      </c>
    </row>
    <row r="1516">
      <c r="A1516" s="4" t="str">
        <f>IFERROR(__xludf.DUMMYFUNCTION("""COMPUTED_VALUE"""),"3033")</f>
        <v>3033</v>
      </c>
      <c r="B1516" s="4" t="str">
        <f>IFERROR(__xludf.DUMMYFUNCTION("""COMPUTED_VALUE"""),"Cono c/tapa para Guardacuerpos")</f>
        <v>Cono c/tapa para Guardacuerpos</v>
      </c>
      <c r="C1516" s="4">
        <f>IFERROR(__xludf.DUMMYFUNCTION("""COMPUTED_VALUE"""),0.1248)</f>
        <v>0.1248</v>
      </c>
      <c r="D1516" s="4">
        <f>IFERROR(__xludf.DUMMYFUNCTION("""COMPUTED_VALUE"""),0.11)</f>
        <v>0.11</v>
      </c>
      <c r="E1516" s="4" t="str">
        <f>IFERROR(__xludf.DUMMYFUNCTION("""COMPUTED_VALUE"""),"Neto: 0,11 € (a partir de 200 uds.)")</f>
        <v>Neto: 0,11 € (a partir de 200 uds.)</v>
      </c>
    </row>
    <row r="1517">
      <c r="A1517" s="4" t="str">
        <f>IFERROR(__xludf.DUMMYFUNCTION("""COMPUTED_VALUE"""),"3034")</f>
        <v>3034</v>
      </c>
      <c r="B1517" s="4" t="str">
        <f>IFERROR(__xludf.DUMMYFUNCTION("""COMPUTED_VALUE"""),"Base guardacuerpos cuadr.35x40 (150 und)")</f>
        <v>Base guardacuerpos cuadr.35x40 (150 und)</v>
      </c>
      <c r="C1517" s="4">
        <f>IFERROR(__xludf.DUMMYFUNCTION("""COMPUTED_VALUE"""),32.016)</f>
        <v>32.016</v>
      </c>
      <c r="D1517" s="4"/>
      <c r="E1517" s="4" t="str">
        <f>IFERROR(__xludf.DUMMYFUNCTION("""COMPUTED_VALUE"""),"Sin precio neto")</f>
        <v>Sin precio neto</v>
      </c>
    </row>
    <row r="1518">
      <c r="A1518" s="4" t="str">
        <f>IFERROR(__xludf.DUMMYFUNCTION("""COMPUTED_VALUE"""),"3035")</f>
        <v>3035</v>
      </c>
      <c r="B1518" s="4" t="str">
        <f>IFERROR(__xludf.DUMMYFUNCTION("""COMPUTED_VALUE"""),"Separador CONDOR 30 m/m (1000 Unid)")</f>
        <v>Separador CONDOR 30 m/m (1000 Unid)</v>
      </c>
      <c r="C1518" s="4">
        <f>IFERROR(__xludf.DUMMYFUNCTION("""COMPUTED_VALUE"""),35.76)</f>
        <v>35.76</v>
      </c>
      <c r="D1518" s="4"/>
      <c r="E1518" s="4" t="str">
        <f>IFERROR(__xludf.DUMMYFUNCTION("""COMPUTED_VALUE"""),"Sin precio neto")</f>
        <v>Sin precio neto</v>
      </c>
    </row>
    <row r="1519">
      <c r="A1519" s="4" t="str">
        <f>IFERROR(__xludf.DUMMYFUNCTION("""COMPUTED_VALUE"""),"3036")</f>
        <v>3036</v>
      </c>
      <c r="B1519" s="4" t="str">
        <f>IFERROR(__xludf.DUMMYFUNCTION("""COMPUTED_VALUE"""),"Base horca-pescante 60x40 ( 114 unid)")</f>
        <v>Base horca-pescante 60x40 ( 114 unid)</v>
      </c>
      <c r="C1519" s="4">
        <f>IFERROR(__xludf.DUMMYFUNCTION("""COMPUTED_VALUE"""),115.056)</f>
        <v>115.056</v>
      </c>
      <c r="D1519" s="4"/>
      <c r="E1519" s="4" t="str">
        <f>IFERROR(__xludf.DUMMYFUNCTION("""COMPUTED_VALUE"""),"Sin precio neto")</f>
        <v>Sin precio neto</v>
      </c>
    </row>
    <row r="1520">
      <c r="A1520" s="4" t="str">
        <f>IFERROR(__xludf.DUMMYFUNCTION("""COMPUTED_VALUE"""),"3037")</f>
        <v>3037</v>
      </c>
      <c r="B1520" s="4" t="str">
        <f>IFERROR(__xludf.DUMMYFUNCTION("""COMPUTED_VALUE"""),"Base horca-pescante 60x60 ( 45 unid)")</f>
        <v>Base horca-pescante 60x60 ( 45 unid)</v>
      </c>
      <c r="C1520" s="4">
        <f>IFERROR(__xludf.DUMMYFUNCTION("""COMPUTED_VALUE"""),42.239999999999995)</f>
        <v>42.24</v>
      </c>
      <c r="D1520" s="4">
        <f>IFERROR(__xludf.DUMMYFUNCTION("""COMPUTED_VALUE"""),38.0)</f>
        <v>38</v>
      </c>
      <c r="E1520" s="4" t="str">
        <f>IFERROR(__xludf.DUMMYFUNCTION("""COMPUTED_VALUE"""),"Neto: 38,00 € (a partir de 1 uds.)")</f>
        <v>Neto: 38,00 € (a partir de 1 uds.)</v>
      </c>
    </row>
    <row r="1521">
      <c r="A1521" s="4" t="str">
        <f>IFERROR(__xludf.DUMMYFUNCTION("""COMPUTED_VALUE"""),"3038")</f>
        <v>3038</v>
      </c>
      <c r="B1521" s="4" t="str">
        <f>IFERROR(__xludf.DUMMYFUNCTION("""COMPUTED_VALUE"""),"Separador CONDOR 50 m/m (500 Unid )")</f>
        <v>Separador CONDOR 50 m/m (500 Unid )</v>
      </c>
      <c r="C1521" s="4">
        <f>IFERROR(__xludf.DUMMYFUNCTION("""COMPUTED_VALUE"""),37.8)</f>
        <v>37.8</v>
      </c>
      <c r="D1521" s="4"/>
      <c r="E1521" s="4" t="str">
        <f>IFERROR(__xludf.DUMMYFUNCTION("""COMPUTED_VALUE"""),"Sin precio neto")</f>
        <v>Sin precio neto</v>
      </c>
    </row>
    <row r="1522">
      <c r="A1522" s="4" t="str">
        <f>IFERROR(__xludf.DUMMYFUNCTION("""COMPUTED_VALUE"""),"3039")</f>
        <v>3039</v>
      </c>
      <c r="B1522" s="4" t="str">
        <f>IFERROR(__xludf.DUMMYFUNCTION("""COMPUTED_VALUE"""),"Seta protectora Varilla 12-20")</f>
        <v>Seta protectora Varilla 12-20</v>
      </c>
      <c r="C1522" s="4">
        <f>IFERROR(__xludf.DUMMYFUNCTION("""COMPUTED_VALUE"""),0.06720000000000001)</f>
        <v>0.0672</v>
      </c>
      <c r="D1522" s="4">
        <f>IFERROR(__xludf.DUMMYFUNCTION("""COMPUTED_VALUE"""),0.06)</f>
        <v>0.06</v>
      </c>
      <c r="E1522" s="4" t="str">
        <f>IFERROR(__xludf.DUMMYFUNCTION("""COMPUTED_VALUE"""),"Neto: 0,06 € (a partir de 100 uds.)")</f>
        <v>Neto: 0,06 € (a partir de 100 uds.)</v>
      </c>
    </row>
    <row r="1523">
      <c r="A1523" s="4" t="str">
        <f>IFERROR(__xludf.DUMMYFUNCTION("""COMPUTED_VALUE"""),"3041")</f>
        <v>3041</v>
      </c>
      <c r="B1523" s="4" t="str">
        <f>IFERROR(__xludf.DUMMYFUNCTION("""COMPUTED_VALUE"""),"Seta protect. cuadrada 35x40 ( 100 unid )")</f>
        <v>Seta protect. cuadrada 35x40 ( 100 unid )</v>
      </c>
      <c r="C1523" s="4">
        <f>IFERROR(__xludf.DUMMYFUNCTION("""COMPUTED_VALUE"""),12.288)</f>
        <v>12.288</v>
      </c>
      <c r="D1523" s="4"/>
      <c r="E1523" s="4" t="str">
        <f>IFERROR(__xludf.DUMMYFUNCTION("""COMPUTED_VALUE"""),"Sin precio neto")</f>
        <v>Sin precio neto</v>
      </c>
    </row>
    <row r="1524">
      <c r="A1524" s="4" t="str">
        <f>IFERROR(__xludf.DUMMYFUNCTION("""COMPUTED_VALUE"""),"3042")</f>
        <v>3042</v>
      </c>
      <c r="B1524" s="4" t="str">
        <f>IFERROR(__xludf.DUMMYFUNCTION("""COMPUTED_VALUE"""),"Setón protector varilla 24-40 ( 200 unid )")</f>
        <v>Setón protector varilla 24-40 ( 200 unid )</v>
      </c>
      <c r="C1524" s="4">
        <f>IFERROR(__xludf.DUMMYFUNCTION("""COMPUTED_VALUE"""),32.16)</f>
        <v>32.16</v>
      </c>
      <c r="D1524" s="4">
        <f>IFERROR(__xludf.DUMMYFUNCTION("""COMPUTED_VALUE"""),34.0)</f>
        <v>34</v>
      </c>
      <c r="E1524" s="4" t="str">
        <f>IFERROR(__xludf.DUMMYFUNCTION("""COMPUTED_VALUE"""),"Neto: 34,00 € (a partir de 1 uds.)")</f>
        <v>Neto: 34,00 € (a partir de 1 uds.)</v>
      </c>
    </row>
    <row r="1525">
      <c r="A1525" s="4" t="str">
        <f>IFERROR(__xludf.DUMMYFUNCTION("""COMPUTED_VALUE"""),"3043")</f>
        <v>3043</v>
      </c>
      <c r="B1525" s="4" t="str">
        <f>IFERROR(__xludf.DUMMYFUNCTION("""COMPUTED_VALUE"""),"Seta protectora c/ refuerzo interior (100 unid)")</f>
        <v>Seta protectora c/ refuerzo interior (100 unid)</v>
      </c>
      <c r="C1525" s="4">
        <f>IFERROR(__xludf.DUMMYFUNCTION("""COMPUTED_VALUE"""),19.151999999999997)</f>
        <v>19.152</v>
      </c>
      <c r="D1525" s="4"/>
      <c r="E1525" s="4" t="str">
        <f>IFERROR(__xludf.DUMMYFUNCTION("""COMPUTED_VALUE"""),"Sin precio neto")</f>
        <v>Sin precio neto</v>
      </c>
    </row>
    <row r="1526">
      <c r="A1526" s="4" t="str">
        <f>IFERROR(__xludf.DUMMYFUNCTION("""COMPUTED_VALUE"""),"3100")</f>
        <v>3100</v>
      </c>
      <c r="B1526" s="4" t="str">
        <f>IFERROR(__xludf.DUMMYFUNCTION("""COMPUTED_VALUE"""),"Junta de dilatación 4 cm M.Lineal")</f>
        <v>Junta de dilatación 4 cm M.Lineal</v>
      </c>
      <c r="C1526" s="4">
        <f>IFERROR(__xludf.DUMMYFUNCTION("""COMPUTED_VALUE"""),0.8448)</f>
        <v>0.8448</v>
      </c>
      <c r="D1526" s="4"/>
      <c r="E1526" s="4" t="str">
        <f>IFERROR(__xludf.DUMMYFUNCTION("""COMPUTED_VALUE"""),"Sin precio neto")</f>
        <v>Sin precio neto</v>
      </c>
    </row>
    <row r="1527">
      <c r="A1527" s="4" t="str">
        <f>IFERROR(__xludf.DUMMYFUNCTION("""COMPUTED_VALUE"""),"3101")</f>
        <v>3101</v>
      </c>
      <c r="B1527" s="4" t="str">
        <f>IFERROR(__xludf.DUMMYFUNCTION("""COMPUTED_VALUE"""),"Junta de dilatación 8 cm M.Lineal")</f>
        <v>Junta de dilatación 8 cm M.Lineal</v>
      </c>
      <c r="C1527" s="4">
        <f>IFERROR(__xludf.DUMMYFUNCTION("""COMPUTED_VALUE"""),1.152)</f>
        <v>1.152</v>
      </c>
      <c r="D1527" s="4"/>
      <c r="E1527" s="4" t="str">
        <f>IFERROR(__xludf.DUMMYFUNCTION("""COMPUTED_VALUE"""),"Sin precio neto")</f>
        <v>Sin precio neto</v>
      </c>
    </row>
    <row r="1528">
      <c r="A1528" s="4" t="str">
        <f>IFERROR(__xludf.DUMMYFUNCTION("""COMPUTED_VALUE"""),"3102")</f>
        <v>3102</v>
      </c>
      <c r="B1528" s="4" t="str">
        <f>IFERROR(__xludf.DUMMYFUNCTION("""COMPUTED_VALUE"""),"Conexión para cadena y cinta poste ref 1136")</f>
        <v>Conexión para cadena y cinta poste ref 1136</v>
      </c>
      <c r="C1528" s="4">
        <f>IFERROR(__xludf.DUMMYFUNCTION("""COMPUTED_VALUE"""),1.3439999999999999)</f>
        <v>1.344</v>
      </c>
      <c r="D1528" s="4"/>
      <c r="E1528" s="4" t="str">
        <f>IFERROR(__xludf.DUMMYFUNCTION("""COMPUTED_VALUE"""),"Sin precio neto")</f>
        <v>Sin precio neto</v>
      </c>
    </row>
    <row r="1529">
      <c r="A1529" s="4" t="str">
        <f>IFERROR(__xludf.DUMMYFUNCTION("""COMPUTED_VALUE"""),"3103")</f>
        <v>3103</v>
      </c>
      <c r="B1529" s="4" t="str">
        <f>IFERROR(__xludf.DUMMYFUNCTION("""COMPUTED_VALUE"""),"Conexion para hito 0588 a señales TPU")</f>
        <v>Conexion para hito 0588 a señales TPU</v>
      </c>
      <c r="C1529" s="4">
        <f>IFERROR(__xludf.DUMMYFUNCTION("""COMPUTED_VALUE"""),2.88)</f>
        <v>2.88</v>
      </c>
      <c r="D1529" s="4"/>
      <c r="E1529" s="4" t="str">
        <f>IFERROR(__xludf.DUMMYFUNCTION("""COMPUTED_VALUE"""),"Sin precio neto")</f>
        <v>Sin precio neto</v>
      </c>
    </row>
    <row r="1530">
      <c r="A1530" s="4" t="str">
        <f>IFERROR(__xludf.DUMMYFUNCTION("""COMPUTED_VALUE"""),"3105")</f>
        <v>3105</v>
      </c>
      <c r="B1530" s="4" t="str">
        <f>IFERROR(__xludf.DUMMYFUNCTION("""COMPUTED_VALUE"""),"Tornillo y taco para reductor velocidad")</f>
        <v>Tornillo y taco para reductor velocidad</v>
      </c>
      <c r="C1530" s="4">
        <f>IFERROR(__xludf.DUMMYFUNCTION("""COMPUTED_VALUE"""),0.45119999999999993)</f>
        <v>0.4512</v>
      </c>
      <c r="D1530" s="4"/>
      <c r="E1530" s="4" t="str">
        <f>IFERROR(__xludf.DUMMYFUNCTION("""COMPUTED_VALUE"""),"Sin precio neto")</f>
        <v>Sin precio neto</v>
      </c>
    </row>
    <row r="1531">
      <c r="A1531" s="4" t="str">
        <f>IFERROR(__xludf.DUMMYFUNCTION("""COMPUTED_VALUE"""),"3112")</f>
        <v>3112</v>
      </c>
      <c r="B1531" s="4" t="str">
        <f>IFERROR(__xludf.DUMMYFUNCTION("""COMPUTED_VALUE"""),"Conexión para conos")</f>
        <v>Conexión para conos</v>
      </c>
      <c r="C1531" s="4">
        <f>IFERROR(__xludf.DUMMYFUNCTION("""COMPUTED_VALUE"""),5.76)</f>
        <v>5.76</v>
      </c>
      <c r="D1531" s="4"/>
      <c r="E1531" s="4" t="str">
        <f>IFERROR(__xludf.DUMMYFUNCTION("""COMPUTED_VALUE"""),"Sin precio neto")</f>
        <v>Sin precio neto</v>
      </c>
    </row>
    <row r="1532">
      <c r="A1532" s="4" t="str">
        <f>IFERROR(__xludf.DUMMYFUNCTION("""COMPUTED_VALUE"""),"3250")</f>
        <v>3250</v>
      </c>
      <c r="B1532" s="4" t="str">
        <f>IFERROR(__xludf.DUMMYFUNCTION("""COMPUTED_VALUE"""),"Mts. Guardavivo yeso")</f>
        <v>Mts. Guardavivo yeso</v>
      </c>
      <c r="C1532" s="4">
        <f>IFERROR(__xludf.DUMMYFUNCTION("""COMPUTED_VALUE"""),0.39359999999999995)</f>
        <v>0.3936</v>
      </c>
      <c r="D1532" s="4"/>
      <c r="E1532" s="4" t="str">
        <f>IFERROR(__xludf.DUMMYFUNCTION("""COMPUTED_VALUE"""),"Sin precio neto")</f>
        <v>Sin precio neto</v>
      </c>
    </row>
    <row r="1533">
      <c r="A1533" s="4" t="str">
        <f>IFERROR(__xludf.DUMMYFUNCTION("""COMPUTED_VALUE"""),"3251")</f>
        <v>3251</v>
      </c>
      <c r="B1533" s="4" t="str">
        <f>IFERROR(__xludf.DUMMYFUNCTION("""COMPUTED_VALUE"""),"Mts. Guardacantos c/blanco")</f>
        <v>Mts. Guardacantos c/blanco</v>
      </c>
      <c r="C1533" s="4">
        <f>IFERROR(__xludf.DUMMYFUNCTION("""COMPUTED_VALUE"""),0.4128)</f>
        <v>0.4128</v>
      </c>
      <c r="D1533" s="4"/>
      <c r="E1533" s="4" t="str">
        <f>IFERROR(__xludf.DUMMYFUNCTION("""COMPUTED_VALUE"""),"Sin precio neto")</f>
        <v>Sin precio neto</v>
      </c>
    </row>
    <row r="1534">
      <c r="A1534" s="4" t="str">
        <f>IFERROR(__xludf.DUMMYFUNCTION("""COMPUTED_VALUE"""),"3252")</f>
        <v>3252</v>
      </c>
      <c r="B1534" s="4" t="str">
        <f>IFERROR(__xludf.DUMMYFUNCTION("""COMPUTED_VALUE"""),"Mts. Guardacantos c/ marfil")</f>
        <v>Mts. Guardacantos c/ marfil</v>
      </c>
      <c r="C1534" s="4">
        <f>IFERROR(__xludf.DUMMYFUNCTION("""COMPUTED_VALUE"""),0.4128)</f>
        <v>0.4128</v>
      </c>
      <c r="D1534" s="4"/>
      <c r="E1534" s="4" t="str">
        <f>IFERROR(__xludf.DUMMYFUNCTION("""COMPUTED_VALUE"""),"Sin precio neto")</f>
        <v>Sin precio neto</v>
      </c>
    </row>
    <row r="1535">
      <c r="A1535" s="4" t="str">
        <f>IFERROR(__xludf.DUMMYFUNCTION("""COMPUTED_VALUE"""),"3253")</f>
        <v>3253</v>
      </c>
      <c r="B1535" s="4" t="str">
        <f>IFERROR(__xludf.DUMMYFUNCTION("""COMPUTED_VALUE"""),"Mts. Guardacantos c/gris")</f>
        <v>Mts. Guardacantos c/gris</v>
      </c>
      <c r="C1535" s="4">
        <f>IFERROR(__xludf.DUMMYFUNCTION("""COMPUTED_VALUE"""),0.4128)</f>
        <v>0.4128</v>
      </c>
      <c r="D1535" s="4"/>
      <c r="E1535" s="4" t="str">
        <f>IFERROR(__xludf.DUMMYFUNCTION("""COMPUTED_VALUE"""),"Sin precio neto")</f>
        <v>Sin precio neto</v>
      </c>
    </row>
    <row r="1536">
      <c r="A1536" s="4" t="str">
        <f>IFERROR(__xludf.DUMMYFUNCTION("""COMPUTED_VALUE"""),"3254")</f>
        <v>3254</v>
      </c>
      <c r="B1536" s="4" t="str">
        <f>IFERROR(__xludf.DUMMYFUNCTION("""COMPUTED_VALUE"""),"Mts. Junquillo PVC para monocapa")</f>
        <v>Mts. Junquillo PVC para monocapa</v>
      </c>
      <c r="C1536" s="4">
        <f>IFERROR(__xludf.DUMMYFUNCTION("""COMPUTED_VALUE"""),0.3168)</f>
        <v>0.3168</v>
      </c>
      <c r="D1536" s="4"/>
      <c r="E1536" s="4" t="str">
        <f>IFERROR(__xludf.DUMMYFUNCTION("""COMPUTED_VALUE"""),"Sin precio neto")</f>
        <v>Sin precio neto</v>
      </c>
    </row>
    <row r="1537">
      <c r="A1537" s="4" t="str">
        <f>IFERROR(__xludf.DUMMYFUNCTION("""COMPUTED_VALUE"""),"3256")</f>
        <v>3256</v>
      </c>
      <c r="B1537" s="4" t="str">
        <f>IFERROR(__xludf.DUMMYFUNCTION("""COMPUTED_VALUE"""),"Mts. Guardavivo monocapa punta fina")</f>
        <v>Mts. Guardavivo monocapa punta fina</v>
      </c>
      <c r="C1537" s="4">
        <f>IFERROR(__xludf.DUMMYFUNCTION("""COMPUTED_VALUE"""),0.3648)</f>
        <v>0.3648</v>
      </c>
      <c r="D1537" s="4"/>
      <c r="E1537" s="4" t="str">
        <f>IFERROR(__xludf.DUMMYFUNCTION("""COMPUTED_VALUE"""),"Sin precio neto")</f>
        <v>Sin precio neto</v>
      </c>
    </row>
    <row r="1538">
      <c r="A1538" s="4" t="str">
        <f>IFERROR(__xludf.DUMMYFUNCTION("""COMPUTED_VALUE"""),"3300")</f>
        <v>3300</v>
      </c>
      <c r="B1538" s="4" t="str">
        <f>IFERROR(__xludf.DUMMYFUNCTION("""COMPUTED_VALUE"""),"Mt.Tubo encofrado 22/26- ( En 3 mts)")</f>
        <v>Mt.Tubo encofrado 22/26- ( En 3 mts)</v>
      </c>
      <c r="C1538" s="4">
        <f>IFERROR(__xludf.DUMMYFUNCTION("""COMPUTED_VALUE"""),0.432)</f>
        <v>0.432</v>
      </c>
      <c r="D1538" s="4">
        <f>IFERROR(__xludf.DUMMYFUNCTION("""COMPUTED_VALUE"""),0.39)</f>
        <v>0.39</v>
      </c>
      <c r="E1538" s="4" t="str">
        <f>IFERROR(__xludf.DUMMYFUNCTION("""COMPUTED_VALUE"""),"Neto: 0,39 € (a partir de 75 uds.)")</f>
        <v>Neto: 0,39 € (a partir de 75 uds.)</v>
      </c>
    </row>
    <row r="1539">
      <c r="A1539" s="4" t="str">
        <f>IFERROR(__xludf.DUMMYFUNCTION("""COMPUTED_VALUE"""),"3301")</f>
        <v>3301</v>
      </c>
      <c r="B1539" s="4" t="str">
        <f>IFERROR(__xludf.DUMMYFUNCTION("""COMPUTED_VALUE"""),"Mt.Tubo encofrado 22/26 -( En 2 mts)")</f>
        <v>Mt.Tubo encofrado 22/26 -( En 2 mts)</v>
      </c>
      <c r="C1539" s="4">
        <f>IFERROR(__xludf.DUMMYFUNCTION("""COMPUTED_VALUE"""),0.432)</f>
        <v>0.432</v>
      </c>
      <c r="D1539" s="4">
        <f>IFERROR(__xludf.DUMMYFUNCTION("""COMPUTED_VALUE"""),0.39)</f>
        <v>0.39</v>
      </c>
      <c r="E1539" s="4" t="str">
        <f>IFERROR(__xludf.DUMMYFUNCTION("""COMPUTED_VALUE"""),"Neto: 0,39 € (a partir de 50 uds.)")</f>
        <v>Neto: 0,39 € (a partir de 50 uds.)</v>
      </c>
    </row>
    <row r="1540">
      <c r="A1540" s="4" t="str">
        <f>IFERROR(__xludf.DUMMYFUNCTION("""COMPUTED_VALUE"""),"3302")</f>
        <v>3302</v>
      </c>
      <c r="B1540" s="4" t="str">
        <f>IFERROR(__xludf.DUMMYFUNCTION("""COMPUTED_VALUE"""),"Mt Tubo encofrado 26/30- ( En 2 mts)")</f>
        <v>Mt Tubo encofrado 26/30- ( En 2 mts)</v>
      </c>
      <c r="C1540" s="4">
        <f>IFERROR(__xludf.DUMMYFUNCTION("""COMPUTED_VALUE"""),0.528)</f>
        <v>0.528</v>
      </c>
      <c r="D1540" s="4">
        <f>IFERROR(__xludf.DUMMYFUNCTION("""COMPUTED_VALUE"""),0.49)</f>
        <v>0.49</v>
      </c>
      <c r="E1540" s="4" t="str">
        <f>IFERROR(__xludf.DUMMYFUNCTION("""COMPUTED_VALUE"""),"Neto: 0,49 € (a partir de 40 uds.)")</f>
        <v>Neto: 0,49 € (a partir de 40 uds.)</v>
      </c>
    </row>
    <row r="1541">
      <c r="A1541" s="4" t="str">
        <f>IFERROR(__xludf.DUMMYFUNCTION("""COMPUTED_VALUE"""),"3303")</f>
        <v>3303</v>
      </c>
      <c r="B1541" s="4" t="str">
        <f>IFERROR(__xludf.DUMMYFUNCTION("""COMPUTED_VALUE"""),"Mts. Berengeno Pequeño 27,2mm Base x 20mm Alt.")</f>
        <v>Mts. Berengeno Pequeño 27,2mm Base x 20mm Alt.</v>
      </c>
      <c r="C1541" s="4">
        <f>IFERROR(__xludf.DUMMYFUNCTION("""COMPUTED_VALUE"""),0.39359999999999995)</f>
        <v>0.3936</v>
      </c>
      <c r="D1541" s="4">
        <f>IFERROR(__xludf.DUMMYFUNCTION("""COMPUTED_VALUE"""),0.38)</f>
        <v>0.38</v>
      </c>
      <c r="E1541" s="4" t="str">
        <f>IFERROR(__xludf.DUMMYFUNCTION("""COMPUTED_VALUE"""),"Neto: 0,38 € (a partir de 125 uds.)")</f>
        <v>Neto: 0,38 € (a partir de 125 uds.)</v>
      </c>
    </row>
    <row r="1542">
      <c r="A1542" s="4" t="str">
        <f>IFERROR(__xludf.DUMMYFUNCTION("""COMPUTED_VALUE"""),"3304")</f>
        <v>3304</v>
      </c>
      <c r="B1542" s="4" t="str">
        <f>IFERROR(__xludf.DUMMYFUNCTION("""COMPUTED_VALUE"""),"Mts. Berengeno Mediano 34mm Base x 25mm Alt.")</f>
        <v>Mts. Berengeno Mediano 34mm Base x 25mm Alt.</v>
      </c>
      <c r="C1542" s="4">
        <f>IFERROR(__xludf.DUMMYFUNCTION("""COMPUTED_VALUE"""),0.5088)</f>
        <v>0.5088</v>
      </c>
      <c r="D1542" s="4">
        <f>IFERROR(__xludf.DUMMYFUNCTION("""COMPUTED_VALUE"""),0.42)</f>
        <v>0.42</v>
      </c>
      <c r="E1542" s="4" t="str">
        <f>IFERROR(__xludf.DUMMYFUNCTION("""COMPUTED_VALUE"""),"Neto: 0,42 € (a partir de 125 uds.)")</f>
        <v>Neto: 0,42 € (a partir de 125 uds.)</v>
      </c>
    </row>
    <row r="1543">
      <c r="A1543" s="4" t="str">
        <f>IFERROR(__xludf.DUMMYFUNCTION("""COMPUTED_VALUE"""),"3305")</f>
        <v>3305</v>
      </c>
      <c r="B1543" s="4" t="str">
        <f>IFERROR(__xludf.DUMMYFUNCTION("""COMPUTED_VALUE"""),"Mts. Berengeno Grande 41mm Base x 30mm Alt,")</f>
        <v>Mts. Berengeno Grande 41mm Base x 30mm Alt,</v>
      </c>
      <c r="C1543" s="4">
        <f>IFERROR(__xludf.DUMMYFUNCTION("""COMPUTED_VALUE"""),0.5663999999999999)</f>
        <v>0.5664</v>
      </c>
      <c r="D1543" s="4">
        <f>IFERROR(__xludf.DUMMYFUNCTION("""COMPUTED_VALUE"""),0.52)</f>
        <v>0.52</v>
      </c>
      <c r="E1543" s="4" t="str">
        <f>IFERROR(__xludf.DUMMYFUNCTION("""COMPUTED_VALUE"""),"Neto: 0,52 € (a partir de 125 uds.)")</f>
        <v>Neto: 0,52 € (a partir de 125 uds.)</v>
      </c>
    </row>
    <row r="1544">
      <c r="A1544" s="4" t="str">
        <f>IFERROR(__xludf.DUMMYFUNCTION("""COMPUTED_VALUE"""),"3306")</f>
        <v>3306</v>
      </c>
      <c r="B1544" s="4" t="str">
        <f>IFERROR(__xludf.DUMMYFUNCTION("""COMPUTED_VALUE"""),"Tubo ETUBAX 20 cm")</f>
        <v>Tubo ETUBAX 20 cm</v>
      </c>
      <c r="C1544" s="4">
        <f>IFERROR(__xludf.DUMMYFUNCTION("""COMPUTED_VALUE"""),0.2784)</f>
        <v>0.2784</v>
      </c>
      <c r="D1544" s="4">
        <f>IFERROR(__xludf.DUMMYFUNCTION("""COMPUTED_VALUE"""),0.24)</f>
        <v>0.24</v>
      </c>
      <c r="E1544" s="4" t="str">
        <f>IFERROR(__xludf.DUMMYFUNCTION("""COMPUTED_VALUE"""),"Neto: 0,24 € (a partir de 50 uds.)")</f>
        <v>Neto: 0,24 € (a partir de 50 uds.)</v>
      </c>
    </row>
    <row r="1545">
      <c r="A1545" s="4" t="str">
        <f>IFERROR(__xludf.DUMMYFUNCTION("""COMPUTED_VALUE"""),"3307")</f>
        <v>3307</v>
      </c>
      <c r="B1545" s="4" t="str">
        <f>IFERROR(__xludf.DUMMYFUNCTION("""COMPUTED_VALUE"""),"Tubo ETUBAX 25 cm")</f>
        <v>Tubo ETUBAX 25 cm</v>
      </c>
      <c r="C1545" s="4">
        <f>IFERROR(__xludf.DUMMYFUNCTION("""COMPUTED_VALUE"""),0.2976)</f>
        <v>0.2976</v>
      </c>
      <c r="D1545" s="4">
        <f>IFERROR(__xludf.DUMMYFUNCTION("""COMPUTED_VALUE"""),0.26)</f>
        <v>0.26</v>
      </c>
      <c r="E1545" s="4" t="str">
        <f>IFERROR(__xludf.DUMMYFUNCTION("""COMPUTED_VALUE"""),"Neto: 0,26 € (a partir de 50 uds.)")</f>
        <v>Neto: 0,26 € (a partir de 50 uds.)</v>
      </c>
    </row>
    <row r="1546">
      <c r="A1546" s="4" t="str">
        <f>IFERROR(__xludf.DUMMYFUNCTION("""COMPUTED_VALUE"""),"3308")</f>
        <v>3308</v>
      </c>
      <c r="B1546" s="4" t="str">
        <f>IFERROR(__xludf.DUMMYFUNCTION("""COMPUTED_VALUE"""),"Tubo ETUBAX 30 cm")</f>
        <v>Tubo ETUBAX 30 cm</v>
      </c>
      <c r="C1546" s="4">
        <f>IFERROR(__xludf.DUMMYFUNCTION("""COMPUTED_VALUE"""),0.3648)</f>
        <v>0.3648</v>
      </c>
      <c r="D1546" s="4">
        <f>IFERROR(__xludf.DUMMYFUNCTION("""COMPUTED_VALUE"""),0.28)</f>
        <v>0.28</v>
      </c>
      <c r="E1546" s="4" t="str">
        <f>IFERROR(__xludf.DUMMYFUNCTION("""COMPUTED_VALUE"""),"Neto: 0,28 € (a partir de 50 uds.)")</f>
        <v>Neto: 0,28 € (a partir de 50 uds.)</v>
      </c>
    </row>
    <row r="1547">
      <c r="A1547" s="4" t="str">
        <f>IFERROR(__xludf.DUMMYFUNCTION("""COMPUTED_VALUE"""),"3309")</f>
        <v>3309</v>
      </c>
      <c r="B1547" s="4" t="str">
        <f>IFERROR(__xludf.DUMMYFUNCTION("""COMPUTED_VALUE"""),"Tubo ETUBAX 35 cm")</f>
        <v>Tubo ETUBAX 35 cm</v>
      </c>
      <c r="C1547" s="4">
        <f>IFERROR(__xludf.DUMMYFUNCTION("""COMPUTED_VALUE"""),0.3648)</f>
        <v>0.3648</v>
      </c>
      <c r="D1547" s="4">
        <f>IFERROR(__xludf.DUMMYFUNCTION("""COMPUTED_VALUE"""),0.32)</f>
        <v>0.32</v>
      </c>
      <c r="E1547" s="4" t="str">
        <f>IFERROR(__xludf.DUMMYFUNCTION("""COMPUTED_VALUE"""),"Neto: 0,32 € (a partir de 50 uds.)")</f>
        <v>Neto: 0,32 € (a partir de 50 uds.)</v>
      </c>
    </row>
    <row r="1548">
      <c r="A1548" s="4" t="str">
        <f>IFERROR(__xludf.DUMMYFUNCTION("""COMPUTED_VALUE"""),"3310")</f>
        <v>3310</v>
      </c>
      <c r="B1548" s="4" t="str">
        <f>IFERROR(__xludf.DUMMYFUNCTION("""COMPUTED_VALUE"""),"Tubo ETUBAX 40 cm")</f>
        <v>Tubo ETUBAX 40 cm</v>
      </c>
      <c r="C1548" s="4">
        <f>IFERROR(__xludf.DUMMYFUNCTION("""COMPUTED_VALUE"""),0.4416)</f>
        <v>0.4416</v>
      </c>
      <c r="D1548" s="4">
        <f>IFERROR(__xludf.DUMMYFUNCTION("""COMPUTED_VALUE"""),0.39)</f>
        <v>0.39</v>
      </c>
      <c r="E1548" s="4" t="str">
        <f>IFERROR(__xludf.DUMMYFUNCTION("""COMPUTED_VALUE"""),"Neto: 0,39 € (a partir de 50 uds.)")</f>
        <v>Neto: 0,39 € (a partir de 50 uds.)</v>
      </c>
    </row>
    <row r="1549">
      <c r="A1549" s="4" t="str">
        <f>IFERROR(__xludf.DUMMYFUNCTION("""COMPUTED_VALUE"""),"3315")</f>
        <v>3315</v>
      </c>
      <c r="B1549" s="4" t="str">
        <f>IFERROR(__xludf.DUMMYFUNCTION("""COMPUTED_VALUE"""),"Mts. Berengeno Mini 17,2mm Base x 12,5 mm Alt.")</f>
        <v>Mts. Berengeno Mini 17,2mm Base x 12,5 mm Alt.</v>
      </c>
      <c r="C1549" s="4">
        <f>IFERROR(__xludf.DUMMYFUNCTION("""COMPUTED_VALUE"""),0.3168)</f>
        <v>0.3168</v>
      </c>
      <c r="D1549" s="4"/>
      <c r="E1549" s="4" t="str">
        <f>IFERROR(__xludf.DUMMYFUNCTION("""COMPUTED_VALUE"""),"Sin precio neto")</f>
        <v>Sin precio neto</v>
      </c>
    </row>
    <row r="1550">
      <c r="A1550" s="4" t="str">
        <f>IFERROR(__xludf.DUMMYFUNCTION("""COMPUTED_VALUE"""),"3370")</f>
        <v>3370</v>
      </c>
      <c r="B1550" s="4" t="str">
        <f>IFERROR(__xludf.DUMMYFUNCTION("""COMPUTED_VALUE"""),"Separador rueda 25 m/m (1000 Unid)")</f>
        <v>Separador rueda 25 m/m (1000 Unid)</v>
      </c>
      <c r="C1550" s="4">
        <f>IFERROR(__xludf.DUMMYFUNCTION("""COMPUTED_VALUE"""),26.784)</f>
        <v>26.784</v>
      </c>
      <c r="D1550" s="4">
        <f>IFERROR(__xludf.DUMMYFUNCTION("""COMPUTED_VALUE"""),23.8)</f>
        <v>23.8</v>
      </c>
      <c r="E1550" s="4" t="str">
        <f>IFERROR(__xludf.DUMMYFUNCTION("""COMPUTED_VALUE"""),"Neto: 23,80 € (a partir de 1 uds.)")</f>
        <v>Neto: 23,80 € (a partir de 1 uds.)</v>
      </c>
    </row>
    <row r="1551">
      <c r="A1551" s="4" t="str">
        <f>IFERROR(__xludf.DUMMYFUNCTION("""COMPUTED_VALUE"""),"3371")</f>
        <v>3371</v>
      </c>
      <c r="B1551" s="4" t="str">
        <f>IFERROR(__xludf.DUMMYFUNCTION("""COMPUTED_VALUE"""),"Separador rueda 30 m/m (1000 Unid)")</f>
        <v>Separador rueda 30 m/m (1000 Unid)</v>
      </c>
      <c r="C1551" s="4">
        <f>IFERROR(__xludf.DUMMYFUNCTION("""COMPUTED_VALUE"""),28.752)</f>
        <v>28.752</v>
      </c>
      <c r="D1551" s="4">
        <f>IFERROR(__xludf.DUMMYFUNCTION("""COMPUTED_VALUE"""),25.5)</f>
        <v>25.5</v>
      </c>
      <c r="E1551" s="4" t="str">
        <f>IFERROR(__xludf.DUMMYFUNCTION("""COMPUTED_VALUE"""),"Neto: 25,50 € (a partir de 1 uds.)")</f>
        <v>Neto: 25,50 € (a partir de 1 uds.)</v>
      </c>
    </row>
    <row r="1552">
      <c r="A1552" s="4" t="str">
        <f>IFERROR(__xludf.DUMMYFUNCTION("""COMPUTED_VALUE"""),"3372")</f>
        <v>3372</v>
      </c>
      <c r="B1552" s="4" t="str">
        <f>IFERROR(__xludf.DUMMYFUNCTION("""COMPUTED_VALUE"""),"Separador rueda 35 m/m (500 Unid)")</f>
        <v>Separador rueda 35 m/m (500 Unid)</v>
      </c>
      <c r="C1552" s="4">
        <f>IFERROR(__xludf.DUMMYFUNCTION("""COMPUTED_VALUE"""),22.56)</f>
        <v>22.56</v>
      </c>
      <c r="D1552" s="4">
        <f>IFERROR(__xludf.DUMMYFUNCTION("""COMPUTED_VALUE"""),22.0)</f>
        <v>22</v>
      </c>
      <c r="E1552" s="4" t="str">
        <f>IFERROR(__xludf.DUMMYFUNCTION("""COMPUTED_VALUE"""),"Neto: 22,00 € (a partir de 1 uds.)")</f>
        <v>Neto: 22,00 € (a partir de 1 uds.)</v>
      </c>
    </row>
    <row r="1553">
      <c r="A1553" s="4" t="str">
        <f>IFERROR(__xludf.DUMMYFUNCTION("""COMPUTED_VALUE"""),"3373")</f>
        <v>3373</v>
      </c>
      <c r="B1553" s="4" t="str">
        <f>IFERROR(__xludf.DUMMYFUNCTION("""COMPUTED_VALUE"""),"Separador rueda 40 m/m (500 Unid)")</f>
        <v>Separador rueda 40 m/m (500 Unid)</v>
      </c>
      <c r="C1553" s="4">
        <f>IFERROR(__xludf.DUMMYFUNCTION("""COMPUTED_VALUE"""),28.08)</f>
        <v>28.08</v>
      </c>
      <c r="D1553" s="4">
        <f>IFERROR(__xludf.DUMMYFUNCTION("""COMPUTED_VALUE"""),24.0)</f>
        <v>24</v>
      </c>
      <c r="E1553" s="4" t="str">
        <f>IFERROR(__xludf.DUMMYFUNCTION("""COMPUTED_VALUE"""),"Neto: 24,00 € (a partir de 1 uds.)")</f>
        <v>Neto: 24,00 € (a partir de 1 uds.)</v>
      </c>
    </row>
    <row r="1554">
      <c r="A1554" s="4" t="str">
        <f>IFERROR(__xludf.DUMMYFUNCTION("""COMPUTED_VALUE"""),"3374")</f>
        <v>3374</v>
      </c>
      <c r="B1554" s="4" t="str">
        <f>IFERROR(__xludf.DUMMYFUNCTION("""COMPUTED_VALUE"""),"Separador rueda 50 m/m (250 Unid)")</f>
        <v>Separador rueda 50 m/m (250 Unid)</v>
      </c>
      <c r="C1554" s="4">
        <f>IFERROR(__xludf.DUMMYFUNCTION("""COMPUTED_VALUE"""),25.68)</f>
        <v>25.68</v>
      </c>
      <c r="D1554" s="4">
        <f>IFERROR(__xludf.DUMMYFUNCTION("""COMPUTED_VALUE"""),23.5)</f>
        <v>23.5</v>
      </c>
      <c r="E1554" s="4" t="str">
        <f>IFERROR(__xludf.DUMMYFUNCTION("""COMPUTED_VALUE"""),"Neto: 23,50 € (a partir de 1 uds.)")</f>
        <v>Neto: 23,50 € (a partir de 1 uds.)</v>
      </c>
    </row>
    <row r="1555">
      <c r="A1555" s="4" t="str">
        <f>IFERROR(__xludf.DUMMYFUNCTION("""COMPUTED_VALUE"""),"3376")</f>
        <v>3376</v>
      </c>
      <c r="B1555" s="4" t="str">
        <f>IFERROR(__xludf.DUMMYFUNCTION("""COMPUTED_VALUE"""),"Separador rueda 70 m/m ( 150 unid )")</f>
        <v>Separador rueda 70 m/m ( 150 unid )</v>
      </c>
      <c r="C1555" s="4">
        <f>IFERROR(__xludf.DUMMYFUNCTION("""COMPUTED_VALUE"""),26.64)</f>
        <v>26.64</v>
      </c>
      <c r="D1555" s="4">
        <f>IFERROR(__xludf.DUMMYFUNCTION("""COMPUTED_VALUE"""),23.0)</f>
        <v>23</v>
      </c>
      <c r="E1555" s="4" t="str">
        <f>IFERROR(__xludf.DUMMYFUNCTION("""COMPUTED_VALUE"""),"Neto: 23,00 € (a partir de 1 uds.)")</f>
        <v>Neto: 23,00 € (a partir de 1 uds.)</v>
      </c>
    </row>
    <row r="1556">
      <c r="A1556" s="4" t="str">
        <f>IFERROR(__xludf.DUMMYFUNCTION("""COMPUTED_VALUE"""),"3390")</f>
        <v>3390</v>
      </c>
      <c r="B1556" s="4" t="str">
        <f>IFERROR(__xludf.DUMMYFUNCTION("""COMPUTED_VALUE"""),"Cono standard tubo de 26 mm (1000 unid )")</f>
        <v>Cono standard tubo de 26 mm (1000 unid )</v>
      </c>
      <c r="C1556" s="4">
        <f>IFERROR(__xludf.DUMMYFUNCTION("""COMPUTED_VALUE"""),52.876799999999996)</f>
        <v>52.8768</v>
      </c>
      <c r="D1556" s="4"/>
      <c r="E1556" s="4" t="str">
        <f>IFERROR(__xludf.DUMMYFUNCTION("""COMPUTED_VALUE"""),"Sin precio neto")</f>
        <v>Sin precio neto</v>
      </c>
    </row>
    <row r="1557">
      <c r="A1557" s="4" t="str">
        <f>IFERROR(__xludf.DUMMYFUNCTION("""COMPUTED_VALUE"""),"3391")</f>
        <v>3391</v>
      </c>
      <c r="B1557" s="4" t="str">
        <f>IFERROR(__xludf.DUMMYFUNCTION("""COMPUTED_VALUE"""),"Cono para tubo 22/26 bolsa 1000 uds")</f>
        <v>Cono para tubo 22/26 bolsa 1000 uds</v>
      </c>
      <c r="C1557" s="4">
        <f>IFERROR(__xludf.DUMMYFUNCTION("""COMPUTED_VALUE"""),17.28)</f>
        <v>17.28</v>
      </c>
      <c r="D1557" s="4">
        <f>IFERROR(__xludf.DUMMYFUNCTION("""COMPUTED_VALUE"""),15.5)</f>
        <v>15.5</v>
      </c>
      <c r="E1557" s="4" t="str">
        <f>IFERROR(__xludf.DUMMYFUNCTION("""COMPUTED_VALUE"""),"Neto: 15,50 € (a partir de 1 uds.)")</f>
        <v>Neto: 15,50 € (a partir de 1 uds.)</v>
      </c>
    </row>
    <row r="1558">
      <c r="A1558" s="4" t="str">
        <f>IFERROR(__xludf.DUMMYFUNCTION("""COMPUTED_VALUE"""),"3392")</f>
        <v>3392</v>
      </c>
      <c r="B1558" s="4" t="str">
        <f>IFERROR(__xludf.DUMMYFUNCTION("""COMPUTED_VALUE"""),"Cono liso para tubo 22 mm ( 500 unid )")</f>
        <v>Cono liso para tubo 22 mm ( 500 unid )</v>
      </c>
      <c r="C1558" s="4">
        <f>IFERROR(__xludf.DUMMYFUNCTION("""COMPUTED_VALUE"""),13.584)</f>
        <v>13.584</v>
      </c>
      <c r="D1558" s="4"/>
      <c r="E1558" s="4" t="str">
        <f>IFERROR(__xludf.DUMMYFUNCTION("""COMPUTED_VALUE"""),"Sin precio neto")</f>
        <v>Sin precio neto</v>
      </c>
    </row>
    <row r="1559">
      <c r="A1559" s="4" t="str">
        <f>IFERROR(__xludf.DUMMYFUNCTION("""COMPUTED_VALUE"""),"3393")</f>
        <v>3393</v>
      </c>
      <c r="B1559" s="4" t="str">
        <f>IFERROR(__xludf.DUMMYFUNCTION("""COMPUTED_VALUE"""),"Tapón para cono liso (500 und)")</f>
        <v>Tapón para cono liso (500 und)</v>
      </c>
      <c r="C1559" s="4">
        <f>IFERROR(__xludf.DUMMYFUNCTION("""COMPUTED_VALUE"""),10.08)</f>
        <v>10.08</v>
      </c>
      <c r="D1559" s="4"/>
      <c r="E1559" s="4" t="str">
        <f>IFERROR(__xludf.DUMMYFUNCTION("""COMPUTED_VALUE"""),"Sin precio neto")</f>
        <v>Sin precio neto</v>
      </c>
    </row>
    <row r="1560">
      <c r="A1560" s="4" t="str">
        <f>IFERROR(__xludf.DUMMYFUNCTION("""COMPUTED_VALUE"""),"3394")</f>
        <v>3394</v>
      </c>
      <c r="B1560" s="4" t="str">
        <f>IFERROR(__xludf.DUMMYFUNCTION("""COMPUTED_VALUE"""),"Tapon estanco 4 aletas tubo 22 (500 unid)")</f>
        <v>Tapon estanco 4 aletas tubo 22 (500 unid)</v>
      </c>
      <c r="C1560" s="4">
        <f>IFERROR(__xludf.DUMMYFUNCTION("""COMPUTED_VALUE"""),16.608)</f>
        <v>16.608</v>
      </c>
      <c r="D1560" s="4">
        <f>IFERROR(__xludf.DUMMYFUNCTION("""COMPUTED_VALUE"""),14.5)</f>
        <v>14.5</v>
      </c>
      <c r="E1560" s="4" t="str">
        <f>IFERROR(__xludf.DUMMYFUNCTION("""COMPUTED_VALUE"""),"Neto: 14,50 € (a partir de 1 uds.)")</f>
        <v>Neto: 14,50 € (a partir de 1 uds.)</v>
      </c>
    </row>
    <row r="1561">
      <c r="A1561" s="4" t="str">
        <f>IFERROR(__xludf.DUMMYFUNCTION("""COMPUTED_VALUE"""),"3396")</f>
        <v>3396</v>
      </c>
      <c r="B1561" s="4" t="str">
        <f>IFERROR(__xludf.DUMMYFUNCTION("""COMPUTED_VALUE"""),"Tapón standard tubo 22 m/m (1000 Uni)")</f>
        <v>Tapón standard tubo 22 m/m (1000 Uni)</v>
      </c>
      <c r="C1561" s="4">
        <f>IFERROR(__xludf.DUMMYFUNCTION("""COMPUTED_VALUE"""),13.584)</f>
        <v>13.584</v>
      </c>
      <c r="D1561" s="4">
        <f>IFERROR(__xludf.DUMMYFUNCTION("""COMPUTED_VALUE"""),12.5)</f>
        <v>12.5</v>
      </c>
      <c r="E1561" s="4" t="str">
        <f>IFERROR(__xludf.DUMMYFUNCTION("""COMPUTED_VALUE"""),"Neto: 12,50 € (a partir de 1 uds.)")</f>
        <v>Neto: 12,50 € (a partir de 1 uds.)</v>
      </c>
    </row>
    <row r="1562">
      <c r="A1562" s="4" t="str">
        <f>IFERROR(__xludf.DUMMYFUNCTION("""COMPUTED_VALUE"""),"3397")</f>
        <v>3397</v>
      </c>
      <c r="B1562" s="4" t="str">
        <f>IFERROR(__xludf.DUMMYFUNCTION("""COMPUTED_VALUE"""),"Tapón standard tubo 26 m/m 1000 unid)")</f>
        <v>Tapón standard tubo 26 m/m 1000 unid)</v>
      </c>
      <c r="C1562" s="4">
        <f>IFERROR(__xludf.DUMMYFUNCTION("""COMPUTED_VALUE"""),32.256)</f>
        <v>32.256</v>
      </c>
      <c r="D1562" s="4"/>
      <c r="E1562" s="4" t="str">
        <f>IFERROR(__xludf.DUMMYFUNCTION("""COMPUTED_VALUE"""),"Sin precio neto")</f>
        <v>Sin precio neto</v>
      </c>
    </row>
    <row r="1563">
      <c r="A1563" s="4" t="str">
        <f>IFERROR(__xludf.DUMMYFUNCTION("""COMPUTED_VALUE"""),"4004")</f>
        <v>4004</v>
      </c>
      <c r="B1563" s="4" t="str">
        <f>IFERROR(__xludf.DUMMYFUNCTION("""COMPUTED_VALUE"""),"Mts. cuerda CERVINO 4 m/m")</f>
        <v>Mts. cuerda CERVINO 4 m/m</v>
      </c>
      <c r="C1563" s="4">
        <f>IFERROR(__xludf.DUMMYFUNCTION("""COMPUTED_VALUE"""),0.13440000000000002)</f>
        <v>0.1344</v>
      </c>
      <c r="D1563" s="4"/>
      <c r="E1563" s="4" t="str">
        <f>IFERROR(__xludf.DUMMYFUNCTION("""COMPUTED_VALUE"""),"Sin precio neto")</f>
        <v>Sin precio neto</v>
      </c>
    </row>
    <row r="1564">
      <c r="A1564" s="4" t="str">
        <f>IFERROR(__xludf.DUMMYFUNCTION("""COMPUTED_VALUE"""),"4006")</f>
        <v>4006</v>
      </c>
      <c r="B1564" s="4" t="str">
        <f>IFERROR(__xludf.DUMMYFUNCTION("""COMPUTED_VALUE"""),"Mts. cuerda CERVINO 6 m/m")</f>
        <v>Mts. cuerda CERVINO 6 m/m</v>
      </c>
      <c r="C1564" s="4">
        <f>IFERROR(__xludf.DUMMYFUNCTION("""COMPUTED_VALUE"""),0.1824)</f>
        <v>0.1824</v>
      </c>
      <c r="D1564" s="4"/>
      <c r="E1564" s="4" t="str">
        <f>IFERROR(__xludf.DUMMYFUNCTION("""COMPUTED_VALUE"""),"Sin precio neto")</f>
        <v>Sin precio neto</v>
      </c>
    </row>
    <row r="1565">
      <c r="A1565" s="4" t="str">
        <f>IFERROR(__xludf.DUMMYFUNCTION("""COMPUTED_VALUE"""),"4008")</f>
        <v>4008</v>
      </c>
      <c r="B1565" s="4" t="str">
        <f>IFERROR(__xludf.DUMMYFUNCTION("""COMPUTED_VALUE"""),"Mts. cuerda CERVINO 8 m/m")</f>
        <v>Mts. cuerda CERVINO 8 m/m</v>
      </c>
      <c r="C1565" s="4">
        <f>IFERROR(__xludf.DUMMYFUNCTION("""COMPUTED_VALUE"""),0.24)</f>
        <v>0.24</v>
      </c>
      <c r="D1565" s="4"/>
      <c r="E1565" s="4" t="str">
        <f>IFERROR(__xludf.DUMMYFUNCTION("""COMPUTED_VALUE"""),"Sin precio neto")</f>
        <v>Sin precio neto</v>
      </c>
    </row>
    <row r="1566">
      <c r="A1566" s="4" t="str">
        <f>IFERROR(__xludf.DUMMYFUNCTION("""COMPUTED_VALUE"""),"4010")</f>
        <v>4010</v>
      </c>
      <c r="B1566" s="4" t="str">
        <f>IFERROR(__xludf.DUMMYFUNCTION("""COMPUTED_VALUE"""),"Mts. cuerda CERVINO 10 m/m")</f>
        <v>Mts. cuerda CERVINO 10 m/m</v>
      </c>
      <c r="C1566" s="4">
        <f>IFERROR(__xludf.DUMMYFUNCTION("""COMPUTED_VALUE"""),0.39359999999999995)</f>
        <v>0.3936</v>
      </c>
      <c r="D1566" s="4"/>
      <c r="E1566" s="4" t="str">
        <f>IFERROR(__xludf.DUMMYFUNCTION("""COMPUTED_VALUE"""),"Sin precio neto")</f>
        <v>Sin precio neto</v>
      </c>
    </row>
    <row r="1567">
      <c r="A1567" s="4" t="str">
        <f>IFERROR(__xludf.DUMMYFUNCTION("""COMPUTED_VALUE"""),"4012")</f>
        <v>4012</v>
      </c>
      <c r="B1567" s="4" t="str">
        <f>IFERROR(__xludf.DUMMYFUNCTION("""COMPUTED_VALUE"""),"Mts. cuerda CERVINO 12 m/m")</f>
        <v>Mts. cuerda CERVINO 12 m/m</v>
      </c>
      <c r="C1567" s="4">
        <f>IFERROR(__xludf.DUMMYFUNCTION("""COMPUTED_VALUE"""),0.6336)</f>
        <v>0.6336</v>
      </c>
      <c r="D1567" s="4"/>
      <c r="E1567" s="4" t="str">
        <f>IFERROR(__xludf.DUMMYFUNCTION("""COMPUTED_VALUE"""),"Sin precio neto")</f>
        <v>Sin precio neto</v>
      </c>
    </row>
    <row r="1568">
      <c r="A1568" s="4" t="str">
        <f>IFERROR(__xludf.DUMMYFUNCTION("""COMPUTED_VALUE"""),"4014")</f>
        <v>4014</v>
      </c>
      <c r="B1568" s="4" t="str">
        <f>IFERROR(__xludf.DUMMYFUNCTION("""COMPUTED_VALUE"""),"Mts. cuerda CERVINO 14 m/m")</f>
        <v>Mts. cuerda CERVINO 14 m/m</v>
      </c>
      <c r="C1568" s="4">
        <f>IFERROR(__xludf.DUMMYFUNCTION("""COMPUTED_VALUE"""),0.6911999999999999)</f>
        <v>0.6912</v>
      </c>
      <c r="D1568" s="4"/>
      <c r="E1568" s="4" t="str">
        <f>IFERROR(__xludf.DUMMYFUNCTION("""COMPUTED_VALUE"""),"Sin precio neto")</f>
        <v>Sin precio neto</v>
      </c>
    </row>
    <row r="1569">
      <c r="A1569" s="4" t="str">
        <f>IFERROR(__xludf.DUMMYFUNCTION("""COMPUTED_VALUE"""),"4016")</f>
        <v>4016</v>
      </c>
      <c r="B1569" s="4" t="str">
        <f>IFERROR(__xludf.DUMMYFUNCTION("""COMPUTED_VALUE"""),"Mts. cuerda CERVINO 16 m/m")</f>
        <v>Mts. cuerda CERVINO 16 m/m</v>
      </c>
      <c r="C1569" s="4">
        <f>IFERROR(__xludf.DUMMYFUNCTION("""COMPUTED_VALUE"""),0.8448)</f>
        <v>0.8448</v>
      </c>
      <c r="D1569" s="4"/>
      <c r="E1569" s="4" t="str">
        <f>IFERROR(__xludf.DUMMYFUNCTION("""COMPUTED_VALUE"""),"Sin precio neto")</f>
        <v>Sin precio neto</v>
      </c>
    </row>
    <row r="1570">
      <c r="A1570" s="4" t="str">
        <f>IFERROR(__xludf.DUMMYFUNCTION("""COMPUTED_VALUE"""),"4018")</f>
        <v>4018</v>
      </c>
      <c r="B1570" s="4" t="str">
        <f>IFERROR(__xludf.DUMMYFUNCTION("""COMPUTED_VALUE"""),"Mts. cuerda CERVINO 18 m/m")</f>
        <v>Mts. cuerda CERVINO 18 m/m</v>
      </c>
      <c r="C1570" s="4">
        <f>IFERROR(__xludf.DUMMYFUNCTION("""COMPUTED_VALUE"""),1.0752000000000002)</f>
        <v>1.0752</v>
      </c>
      <c r="D1570" s="4"/>
      <c r="E1570" s="4" t="str">
        <f>IFERROR(__xludf.DUMMYFUNCTION("""COMPUTED_VALUE"""),"Sin precio neto")</f>
        <v>Sin precio neto</v>
      </c>
    </row>
    <row r="1571">
      <c r="A1571" s="4" t="str">
        <f>IFERROR(__xludf.DUMMYFUNCTION("""COMPUTED_VALUE"""),"4020")</f>
        <v>4020</v>
      </c>
      <c r="B1571" s="4" t="str">
        <f>IFERROR(__xludf.DUMMYFUNCTION("""COMPUTED_VALUE"""),"Mts. cuerda CERVINO 20 m/m")</f>
        <v>Mts. cuerda CERVINO 20 m/m</v>
      </c>
      <c r="C1571" s="4">
        <f>IFERROR(__xludf.DUMMYFUNCTION("""COMPUTED_VALUE"""),1.392)</f>
        <v>1.392</v>
      </c>
      <c r="D1571" s="4"/>
      <c r="E1571" s="4" t="str">
        <f>IFERROR(__xludf.DUMMYFUNCTION("""COMPUTED_VALUE"""),"Sin precio neto")</f>
        <v>Sin precio neto</v>
      </c>
    </row>
    <row r="1572">
      <c r="A1572" s="4" t="str">
        <f>IFERROR(__xludf.DUMMYFUNCTION("""COMPUTED_VALUE"""),"4050")</f>
        <v>4050</v>
      </c>
      <c r="B1572" s="4" t="str">
        <f>IFERROR(__xludf.DUMMYFUNCTION("""COMPUTED_VALUE"""),"Señal complementaria TPU rectanagular 440x360 mm Reflex")</f>
        <v>Señal complementaria TPU rectanagular 440x360 mm Reflex</v>
      </c>
      <c r="C1572" s="4">
        <f>IFERROR(__xludf.DUMMYFUNCTION("""COMPUTED_VALUE"""),8.64)</f>
        <v>8.64</v>
      </c>
      <c r="D1572" s="4"/>
      <c r="E1572" s="4" t="str">
        <f>IFERROR(__xludf.DUMMYFUNCTION("""COMPUTED_VALUE"""),"Sin precio neto")</f>
        <v>Sin precio neto</v>
      </c>
    </row>
    <row r="1573">
      <c r="A1573" s="4" t="str">
        <f>IFERROR(__xludf.DUMMYFUNCTION("""COMPUTED_VALUE"""),"4080")</f>
        <v>4080</v>
      </c>
      <c r="B1573" s="4" t="str">
        <f>IFERROR(__xludf.DUMMYFUNCTION("""COMPUTED_VALUE"""),"Tope parking 59 L x 12 Anc. x 10 Alt. Mod. B")</f>
        <v>Tope parking 59 L x 12 Anc. x 10 Alt. Mod. B</v>
      </c>
      <c r="C1573" s="4">
        <f>IFERROR(__xludf.DUMMYFUNCTION("""COMPUTED_VALUE"""),9.36)</f>
        <v>9.36</v>
      </c>
      <c r="D1573" s="4"/>
      <c r="E1573" s="4" t="str">
        <f>IFERROR(__xludf.DUMMYFUNCTION("""COMPUTED_VALUE"""),"Sin precio neto")</f>
        <v>Sin precio neto</v>
      </c>
    </row>
    <row r="1574">
      <c r="A1574" s="4" t="str">
        <f>IFERROR(__xludf.DUMMYFUNCTION("""COMPUTED_VALUE"""),"4081")</f>
        <v>4081</v>
      </c>
      <c r="B1574" s="4" t="str">
        <f>IFERROR(__xludf.DUMMYFUNCTION("""COMPUTED_VALUE"""),"Tope parking 55 L x 14,5 Anc x 15 Alt. Mod. C")</f>
        <v>Tope parking 55 L x 14,5 Anc x 15 Alt. Mod. C</v>
      </c>
      <c r="C1574" s="4">
        <f>IFERROR(__xludf.DUMMYFUNCTION("""COMPUTED_VALUE"""),13.776)</f>
        <v>13.776</v>
      </c>
      <c r="D1574" s="4"/>
      <c r="E1574" s="4" t="str">
        <f>IFERROR(__xludf.DUMMYFUNCTION("""COMPUTED_VALUE"""),"Sin precio neto")</f>
        <v>Sin precio neto</v>
      </c>
    </row>
    <row r="1575">
      <c r="A1575" s="4" t="str">
        <f>IFERROR(__xludf.DUMMYFUNCTION("""COMPUTED_VALUE"""),"4090C")</f>
        <v>4090C</v>
      </c>
      <c r="B1575" s="4" t="str">
        <f>IFERROR(__xludf.DUMMYFUNCTION("""COMPUTED_VALUE"""),"Aparcabicis modulo central 2 bicicletas")</f>
        <v>Aparcabicis modulo central 2 bicicletas</v>
      </c>
      <c r="C1575" s="4">
        <f>IFERROR(__xludf.DUMMYFUNCTION("""COMPUTED_VALUE"""),47.879999999999995)</f>
        <v>47.88</v>
      </c>
      <c r="D1575" s="4"/>
      <c r="E1575" s="4" t="str">
        <f>IFERROR(__xludf.DUMMYFUNCTION("""COMPUTED_VALUE"""),"Sin precio neto")</f>
        <v>Sin precio neto</v>
      </c>
    </row>
    <row r="1576">
      <c r="A1576" s="4" t="str">
        <f>IFERROR(__xludf.DUMMYFUNCTION("""COMPUTED_VALUE"""),"4090E")</f>
        <v>4090E</v>
      </c>
      <c r="B1576" s="4" t="str">
        <f>IFERROR(__xludf.DUMMYFUNCTION("""COMPUTED_VALUE"""),"Aparcabicis modulo extremo 2 bicicletas")</f>
        <v>Aparcabicis modulo extremo 2 bicicletas</v>
      </c>
      <c r="C1576" s="4">
        <f>IFERROR(__xludf.DUMMYFUNCTION("""COMPUTED_VALUE"""),47.879999999999995)</f>
        <v>47.88</v>
      </c>
      <c r="D1576" s="4"/>
      <c r="E1576" s="4" t="str">
        <f>IFERROR(__xludf.DUMMYFUNCTION("""COMPUTED_VALUE"""),"Sin precio neto")</f>
        <v>Sin precio neto</v>
      </c>
    </row>
    <row r="1577">
      <c r="A1577" s="4" t="str">
        <f>IFERROR(__xludf.DUMMYFUNCTION("""COMPUTED_VALUE"""),"4090U")</f>
        <v>4090U</v>
      </c>
      <c r="B1577" s="4" t="str">
        <f>IFERROR(__xludf.DUMMYFUNCTION("""COMPUTED_VALUE"""),"Aparcabicis unión modulos")</f>
        <v>Aparcabicis unión modulos</v>
      </c>
      <c r="C1577" s="4">
        <f>IFERROR(__xludf.DUMMYFUNCTION("""COMPUTED_VALUE"""),4.56)</f>
        <v>4.56</v>
      </c>
      <c r="D1577" s="4"/>
      <c r="E1577" s="4" t="str">
        <f>IFERROR(__xludf.DUMMYFUNCTION("""COMPUTED_VALUE"""),"Sin precio neto")</f>
        <v>Sin precio neto</v>
      </c>
    </row>
    <row r="1578">
      <c r="A1578" s="4" t="str">
        <f>IFERROR(__xludf.DUMMYFUNCTION("""COMPUTED_VALUE"""),"4098")</f>
        <v>4098</v>
      </c>
      <c r="B1578" s="4" t="str">
        <f>IFERROR(__xludf.DUMMYFUNCTION("""COMPUTED_VALUE"""),"Cepo parking Mod. A 49,5 cm x 49,5 cm x 9 cm con llave")</f>
        <v>Cepo parking Mod. A 49,5 cm x 49,5 cm x 9 cm con llave</v>
      </c>
      <c r="C1578" s="4">
        <f>IFERROR(__xludf.DUMMYFUNCTION("""COMPUTED_VALUE"""),37.0848)</f>
        <v>37.0848</v>
      </c>
      <c r="D1578" s="4"/>
      <c r="E1578" s="4" t="str">
        <f>IFERROR(__xludf.DUMMYFUNCTION("""COMPUTED_VALUE"""),"Sin precio neto")</f>
        <v>Sin precio neto</v>
      </c>
    </row>
    <row r="1579">
      <c r="A1579" s="4" t="str">
        <f>IFERROR(__xludf.DUMMYFUNCTION("""COMPUTED_VALUE"""),"4099")</f>
        <v>4099</v>
      </c>
      <c r="B1579" s="4" t="str">
        <f>IFERROR(__xludf.DUMMYFUNCTION("""COMPUTED_VALUE"""),"Cepo parking Mod. B 76 cm x 47 cm c/candado")</f>
        <v>Cepo parking Mod. B 76 cm x 47 cm c/candado</v>
      </c>
      <c r="C1579" s="4">
        <f>IFERROR(__xludf.DUMMYFUNCTION("""COMPUTED_VALUE"""),21.119999999999997)</f>
        <v>21.12</v>
      </c>
      <c r="D1579" s="4">
        <f>IFERROR(__xludf.DUMMYFUNCTION("""COMPUTED_VALUE"""),18.0)</f>
        <v>18</v>
      </c>
      <c r="E1579" s="4" t="str">
        <f>IFERROR(__xludf.DUMMYFUNCTION("""COMPUTED_VALUE"""),"Neto: 18,00 € (a partir de 1 uds.)")</f>
        <v>Neto: 18,00 € (a partir de 1 uds.)</v>
      </c>
    </row>
    <row r="1580">
      <c r="A1580" s="4" t="str">
        <f>IFERROR(__xludf.DUMMYFUNCTION("""COMPUTED_VALUE"""),"4100")</f>
        <v>4100</v>
      </c>
      <c r="B1580" s="4" t="str">
        <f>IFERROR(__xludf.DUMMYFUNCTION("""COMPUTED_VALUE"""),"Espejo trafico 600 mm Mod. Basic c/ visera")</f>
        <v>Espejo trafico 600 mm Mod. Basic c/ visera</v>
      </c>
      <c r="C1580" s="4">
        <f>IFERROR(__xludf.DUMMYFUNCTION("""COMPUTED_VALUE"""),33.12)</f>
        <v>33.12</v>
      </c>
      <c r="D1580" s="4">
        <f>IFERROR(__xludf.DUMMYFUNCTION("""COMPUTED_VALUE"""),29.0)</f>
        <v>29</v>
      </c>
      <c r="E1580" s="4" t="str">
        <f>IFERROR(__xludf.DUMMYFUNCTION("""COMPUTED_VALUE"""),"Neto: 29,00 € (a partir de 5 uds.)")</f>
        <v>Neto: 29,00 € (a partir de 5 uds.)</v>
      </c>
    </row>
    <row r="1581">
      <c r="A1581" s="4" t="str">
        <f>IFERROR(__xludf.DUMMYFUNCTION("""COMPUTED_VALUE"""),"4101")</f>
        <v>4101</v>
      </c>
      <c r="B1581" s="4" t="str">
        <f>IFERROR(__xludf.DUMMYFUNCTION("""COMPUTED_VALUE"""),"Espejo Trafico 800 mm Mod. Basic c visera")</f>
        <v>Espejo Trafico 800 mm Mod. Basic c visera</v>
      </c>
      <c r="C1581" s="4">
        <f>IFERROR(__xludf.DUMMYFUNCTION("""COMPUTED_VALUE"""),60.48)</f>
        <v>60.48</v>
      </c>
      <c r="D1581" s="4">
        <f>IFERROR(__xludf.DUMMYFUNCTION("""COMPUTED_VALUE"""),45.0)</f>
        <v>45</v>
      </c>
      <c r="E1581" s="4" t="str">
        <f>IFERROR(__xludf.DUMMYFUNCTION("""COMPUTED_VALUE"""),"Neto: 45,00 € (a partir de 5 uds.)")</f>
        <v>Neto: 45,00 € (a partir de 5 uds.)</v>
      </c>
    </row>
    <row r="1582">
      <c r="A1582" s="4" t="str">
        <f>IFERROR(__xludf.DUMMYFUNCTION("""COMPUTED_VALUE"""),"4103")</f>
        <v>4103</v>
      </c>
      <c r="B1582" s="4" t="str">
        <f>IFERROR(__xludf.DUMMYFUNCTION("""COMPUTED_VALUE"""),"Esquinera proteccion columna 80 cm mod. B")</f>
        <v>Esquinera proteccion columna 80 cm mod. B</v>
      </c>
      <c r="C1582" s="4">
        <f>IFERROR(__xludf.DUMMYFUNCTION("""COMPUTED_VALUE"""),4.224)</f>
        <v>4.224</v>
      </c>
      <c r="D1582" s="4"/>
      <c r="E1582" s="4" t="str">
        <f>IFERROR(__xludf.DUMMYFUNCTION("""COMPUTED_VALUE"""),"Sin precio neto")</f>
        <v>Sin precio neto</v>
      </c>
    </row>
    <row r="1583">
      <c r="A1583" s="4" t="str">
        <f>IFERROR(__xludf.DUMMYFUNCTION("""COMPUTED_VALUE"""),"4104")</f>
        <v>4104</v>
      </c>
      <c r="B1583" s="4" t="str">
        <f>IFERROR(__xludf.DUMMYFUNCTION("""COMPUTED_VALUE"""),"Tope parking 55 x 15 Anc. x 10 Alt Mod. A")</f>
        <v>Tope parking 55 x 15 Anc. x 10 Alt Mod. A</v>
      </c>
      <c r="C1583" s="4">
        <f>IFERROR(__xludf.DUMMYFUNCTION("""COMPUTED_VALUE"""),9.216)</f>
        <v>9.216</v>
      </c>
      <c r="D1583" s="4"/>
      <c r="E1583" s="4" t="str">
        <f>IFERROR(__xludf.DUMMYFUNCTION("""COMPUTED_VALUE"""),"Sin precio neto")</f>
        <v>Sin precio neto</v>
      </c>
    </row>
    <row r="1584">
      <c r="A1584" s="4" t="str">
        <f>IFERROR(__xludf.DUMMYFUNCTION("""COMPUTED_VALUE"""),"4105")</f>
        <v>4105</v>
      </c>
      <c r="B1584" s="4" t="str">
        <f>IFERROR(__xludf.DUMMYFUNCTION("""COMPUTED_VALUE"""),"Esquinera proteccion columna 80 cm mod. A")</f>
        <v>Esquinera proteccion columna 80 cm mod. A</v>
      </c>
      <c r="C1584" s="4">
        <f>IFERROR(__xludf.DUMMYFUNCTION("""COMPUTED_VALUE"""),7.4399999999999995)</f>
        <v>7.44</v>
      </c>
      <c r="D1584" s="4"/>
      <c r="E1584" s="4" t="str">
        <f>IFERROR(__xludf.DUMMYFUNCTION("""COMPUTED_VALUE"""),"Sin precio neto")</f>
        <v>Sin precio neto</v>
      </c>
    </row>
    <row r="1585">
      <c r="A1585" s="4" t="str">
        <f>IFERROR(__xludf.DUMMYFUNCTION("""COMPUTED_VALUE"""),"4106")</f>
        <v>4106</v>
      </c>
      <c r="B1585" s="4" t="str">
        <f>IFERROR(__xludf.DUMMYFUNCTION("""COMPUTED_VALUE"""),"Mts.cuerda certif.poliest.Alta Tenacidad 6 m/m")</f>
        <v>Mts.cuerda certif.poliest.Alta Tenacidad 6 m/m</v>
      </c>
      <c r="C1585" s="4">
        <f>IFERROR(__xludf.DUMMYFUNCTION("""COMPUTED_VALUE"""),0.2304)</f>
        <v>0.2304</v>
      </c>
      <c r="D1585" s="4"/>
      <c r="E1585" s="4" t="str">
        <f>IFERROR(__xludf.DUMMYFUNCTION("""COMPUTED_VALUE"""),"Sin precio neto")</f>
        <v>Sin precio neto</v>
      </c>
    </row>
    <row r="1586">
      <c r="A1586" s="4" t="str">
        <f>IFERROR(__xludf.DUMMYFUNCTION("""COMPUTED_VALUE"""),"4108")</f>
        <v>4108</v>
      </c>
      <c r="B1586" s="4" t="str">
        <f>IFERROR(__xludf.DUMMYFUNCTION("""COMPUTED_VALUE"""),"Mts.cuerda certif.poliest.Alta Tenacidad 8 m/m")</f>
        <v>Mts.cuerda certif.poliest.Alta Tenacidad 8 m/m</v>
      </c>
      <c r="C1586" s="4">
        <f>IFERROR(__xludf.DUMMYFUNCTION("""COMPUTED_VALUE"""),0.4128)</f>
        <v>0.4128</v>
      </c>
      <c r="D1586" s="4"/>
      <c r="E1586" s="4" t="str">
        <f>IFERROR(__xludf.DUMMYFUNCTION("""COMPUTED_VALUE"""),"Sin precio neto")</f>
        <v>Sin precio neto</v>
      </c>
    </row>
    <row r="1587">
      <c r="A1587" s="4" t="str">
        <f>IFERROR(__xludf.DUMMYFUNCTION("""COMPUTED_VALUE"""),"4110")</f>
        <v>4110</v>
      </c>
      <c r="B1587" s="4" t="str">
        <f>IFERROR(__xludf.DUMMYFUNCTION("""COMPUTED_VALUE"""),"Mts.cuerda certif.poliest.Alta Tenacidad 10 m/m")</f>
        <v>Mts.cuerda certif.poliest.Alta Tenacidad 10 m/m</v>
      </c>
      <c r="C1587" s="4">
        <f>IFERROR(__xludf.DUMMYFUNCTION("""COMPUTED_VALUE"""),0.5376000000000001)</f>
        <v>0.5376</v>
      </c>
      <c r="D1587" s="4"/>
      <c r="E1587" s="4" t="str">
        <f>IFERROR(__xludf.DUMMYFUNCTION("""COMPUTED_VALUE"""),"Sin precio neto")</f>
        <v>Sin precio neto</v>
      </c>
    </row>
    <row r="1588">
      <c r="A1588" s="4" t="str">
        <f>IFERROR(__xludf.DUMMYFUNCTION("""COMPUTED_VALUE"""),"4112")</f>
        <v>4112</v>
      </c>
      <c r="B1588" s="4" t="str">
        <f>IFERROR(__xludf.DUMMYFUNCTION("""COMPUTED_VALUE"""),"Mts.cuerda Certif.poliest.Alta Tenacidad 12 m/m")</f>
        <v>Mts.cuerda Certif.poliest.Alta Tenacidad 12 m/m</v>
      </c>
      <c r="C1588" s="4">
        <f>IFERROR(__xludf.DUMMYFUNCTION("""COMPUTED_VALUE"""),0.8448)</f>
        <v>0.8448</v>
      </c>
      <c r="D1588" s="4"/>
      <c r="E1588" s="4" t="str">
        <f>IFERROR(__xludf.DUMMYFUNCTION("""COMPUTED_VALUE"""),"Sin precio neto")</f>
        <v>Sin precio neto</v>
      </c>
    </row>
    <row r="1589">
      <c r="A1589" s="4" t="str">
        <f>IFERROR(__xludf.DUMMYFUNCTION("""COMPUTED_VALUE"""),"4114")</f>
        <v>4114</v>
      </c>
      <c r="B1589" s="4" t="str">
        <f>IFERROR(__xludf.DUMMYFUNCTION("""COMPUTED_VALUE"""),"Mts.cuerda Certif.poliest.Alta Tenacidad 14 m/m")</f>
        <v>Mts.cuerda Certif.poliest.Alta Tenacidad 14 m/m</v>
      </c>
      <c r="C1589" s="4">
        <f>IFERROR(__xludf.DUMMYFUNCTION("""COMPUTED_VALUE"""),1.1136)</f>
        <v>1.1136</v>
      </c>
      <c r="D1589" s="4"/>
      <c r="E1589" s="4" t="str">
        <f>IFERROR(__xludf.DUMMYFUNCTION("""COMPUTED_VALUE"""),"Sin precio neto")</f>
        <v>Sin precio neto</v>
      </c>
    </row>
    <row r="1590">
      <c r="A1590" s="4" t="str">
        <f>IFERROR(__xludf.DUMMYFUNCTION("""COMPUTED_VALUE"""),"4116")</f>
        <v>4116</v>
      </c>
      <c r="B1590" s="4" t="str">
        <f>IFERROR(__xludf.DUMMYFUNCTION("""COMPUTED_VALUE"""),"Mts.cuerda Certif.poliest.Alta Tenacidad 16 m/m")</f>
        <v>Mts.cuerda Certif.poliest.Alta Tenacidad 16 m/m</v>
      </c>
      <c r="C1590" s="4">
        <f>IFERROR(__xludf.DUMMYFUNCTION("""COMPUTED_VALUE"""),1.3056)</f>
        <v>1.3056</v>
      </c>
      <c r="D1590" s="4"/>
      <c r="E1590" s="4" t="str">
        <f>IFERROR(__xludf.DUMMYFUNCTION("""COMPUTED_VALUE"""),"Sin precio neto")</f>
        <v>Sin precio neto</v>
      </c>
    </row>
    <row r="1591">
      <c r="A1591" s="4" t="str">
        <f>IFERROR(__xludf.DUMMYFUNCTION("""COMPUTED_VALUE"""),"4118")</f>
        <v>4118</v>
      </c>
      <c r="B1591" s="4" t="str">
        <f>IFERROR(__xludf.DUMMYFUNCTION("""COMPUTED_VALUE"""),"Mts.cuerda Certif.poliest.Alta Tenacidad 18 m/m")</f>
        <v>Mts.cuerda Certif.poliest.Alta Tenacidad 18 m/m</v>
      </c>
      <c r="C1591" s="4">
        <f>IFERROR(__xludf.DUMMYFUNCTION("""COMPUTED_VALUE"""),1.7087999999999999)</f>
        <v>1.7088</v>
      </c>
      <c r="D1591" s="4"/>
      <c r="E1591" s="4" t="str">
        <f>IFERROR(__xludf.DUMMYFUNCTION("""COMPUTED_VALUE"""),"Sin precio neto")</f>
        <v>Sin precio neto</v>
      </c>
    </row>
    <row r="1592">
      <c r="A1592" s="4" t="str">
        <f>IFERROR(__xludf.DUMMYFUNCTION("""COMPUTED_VALUE"""),"4125")</f>
        <v>4125</v>
      </c>
      <c r="B1592" s="4" t="str">
        <f>IFERROR(__xludf.DUMMYFUNCTION("""COMPUTED_VALUE"""),"Bolsa tapa señales 95x110 agujereada")</f>
        <v>Bolsa tapa señales 95x110 agujereada</v>
      </c>
      <c r="C1592" s="4">
        <f>IFERROR(__xludf.DUMMYFUNCTION("""COMPUTED_VALUE"""),2.88)</f>
        <v>2.88</v>
      </c>
      <c r="D1592" s="4"/>
      <c r="E1592" s="4" t="str">
        <f>IFERROR(__xludf.DUMMYFUNCTION("""COMPUTED_VALUE"""),"Sin precio neto")</f>
        <v>Sin precio neto</v>
      </c>
    </row>
    <row r="1593">
      <c r="A1593" s="4" t="str">
        <f>IFERROR(__xludf.DUMMYFUNCTION("""COMPUTED_VALUE"""),"4150")</f>
        <v>4150</v>
      </c>
      <c r="B1593" s="4" t="str">
        <f>IFERROR(__xludf.DUMMYFUNCTION("""COMPUTED_VALUE"""),"Espejo 60 cm Mod. Icaro")</f>
        <v>Espejo 60 cm Mod. Icaro</v>
      </c>
      <c r="C1593" s="4">
        <f>IFERROR(__xludf.DUMMYFUNCTION("""COMPUTED_VALUE"""),52.32)</f>
        <v>52.32</v>
      </c>
      <c r="D1593" s="4"/>
      <c r="E1593" s="4" t="str">
        <f>IFERROR(__xludf.DUMMYFUNCTION("""COMPUTED_VALUE"""),"Sin precio neto")</f>
        <v>Sin precio neto</v>
      </c>
    </row>
    <row r="1594">
      <c r="A1594" s="4" t="str">
        <f>IFERROR(__xludf.DUMMYFUNCTION("""COMPUTED_VALUE"""),"4151")</f>
        <v>4151</v>
      </c>
      <c r="B1594" s="4" t="str">
        <f>IFERROR(__xludf.DUMMYFUNCTION("""COMPUTED_VALUE"""),"Espejo 80 cm Mod. Icaro")</f>
        <v>Espejo 80 cm Mod. Icaro</v>
      </c>
      <c r="C1594" s="4">
        <f>IFERROR(__xludf.DUMMYFUNCTION("""COMPUTED_VALUE"""),83.52)</f>
        <v>83.52</v>
      </c>
      <c r="D1594" s="4"/>
      <c r="E1594" s="4" t="str">
        <f>IFERROR(__xludf.DUMMYFUNCTION("""COMPUTED_VALUE"""),"Sin precio neto")</f>
        <v>Sin precio neto</v>
      </c>
    </row>
    <row r="1595">
      <c r="A1595" s="4" t="str">
        <f>IFERROR(__xludf.DUMMYFUNCTION("""COMPUTED_VALUE"""),"4180")</f>
        <v>4180</v>
      </c>
      <c r="B1595" s="4" t="str">
        <f>IFERROR(__xludf.DUMMYFUNCTION("""COMPUTED_VALUE"""),"Protector parking FOAM R/B columna 30x25x1,5 cm")</f>
        <v>Protector parking FOAM R/B columna 30x25x1,5 cm</v>
      </c>
      <c r="C1595" s="4">
        <f>IFERROR(__xludf.DUMMYFUNCTION("""COMPUTED_VALUE"""),3.264)</f>
        <v>3.264</v>
      </c>
      <c r="D1595" s="4"/>
      <c r="E1595" s="4" t="str">
        <f>IFERROR(__xludf.DUMMYFUNCTION("""COMPUTED_VALUE"""),"Sin precio neto")</f>
        <v>Sin precio neto</v>
      </c>
    </row>
    <row r="1596">
      <c r="A1596" s="4" t="str">
        <f>IFERROR(__xludf.DUMMYFUNCTION("""COMPUTED_VALUE"""),"4181")</f>
        <v>4181</v>
      </c>
      <c r="B1596" s="4" t="str">
        <f>IFERROR(__xludf.DUMMYFUNCTION("""COMPUTED_VALUE"""),"Protector parking FOAM N/A columna 30X25X1,5 cm")</f>
        <v>Protector parking FOAM N/A columna 30X25X1,5 cm</v>
      </c>
      <c r="C1596" s="4">
        <f>IFERROR(__xludf.DUMMYFUNCTION("""COMPUTED_VALUE"""),3.264)</f>
        <v>3.264</v>
      </c>
      <c r="D1596" s="4"/>
      <c r="E1596" s="4" t="str">
        <f>IFERROR(__xludf.DUMMYFUNCTION("""COMPUTED_VALUE"""),"Sin precio neto")</f>
        <v>Sin precio neto</v>
      </c>
    </row>
    <row r="1597">
      <c r="A1597" s="4" t="str">
        <f>IFERROR(__xludf.DUMMYFUNCTION("""COMPUTED_VALUE"""),"4182")</f>
        <v>4182</v>
      </c>
      <c r="B1597" s="4" t="str">
        <f>IFERROR(__xludf.DUMMYFUNCTION("""COMPUTED_VALUE"""),"Protector parking FOAM R/B columna 100x200x1,5 cm")</f>
        <v>Protector parking FOAM R/B columna 100x200x1,5 cm</v>
      </c>
      <c r="C1597" s="4">
        <f>IFERROR(__xludf.DUMMYFUNCTION("""COMPUTED_VALUE"""),37.44)</f>
        <v>37.44</v>
      </c>
      <c r="D1597" s="4"/>
      <c r="E1597" s="4" t="str">
        <f>IFERROR(__xludf.DUMMYFUNCTION("""COMPUTED_VALUE"""),"Sin precio neto")</f>
        <v>Sin precio neto</v>
      </c>
    </row>
    <row r="1598">
      <c r="A1598" s="4" t="str">
        <f>IFERROR(__xludf.DUMMYFUNCTION("""COMPUTED_VALUE"""),"4183")</f>
        <v>4183</v>
      </c>
      <c r="B1598" s="4" t="str">
        <f>IFERROR(__xludf.DUMMYFUNCTION("""COMPUTED_VALUE"""),"Protector parking FOAM N/A columna 100x200x1,5 cm")</f>
        <v>Protector parking FOAM N/A columna 100x200x1,5 cm</v>
      </c>
      <c r="C1598" s="4">
        <f>IFERROR(__xludf.DUMMYFUNCTION("""COMPUTED_VALUE"""),37.44)</f>
        <v>37.44</v>
      </c>
      <c r="D1598" s="4"/>
      <c r="E1598" s="4" t="str">
        <f>IFERROR(__xludf.DUMMYFUNCTION("""COMPUTED_VALUE"""),"Sin precio neto")</f>
        <v>Sin precio neto</v>
      </c>
    </row>
    <row r="1599">
      <c r="A1599" s="4" t="str">
        <f>IFERROR(__xludf.DUMMYFUNCTION("""COMPUTED_VALUE"""),"4184")</f>
        <v>4184</v>
      </c>
      <c r="B1599" s="4" t="str">
        <f>IFERROR(__xludf.DUMMYFUNCTION("""COMPUTED_VALUE"""),"Protector parking FOAM R/B plano 24x18x4cm")</f>
        <v>Protector parking FOAM R/B plano 24x18x4cm</v>
      </c>
      <c r="C1599" s="4">
        <f>IFERROR(__xludf.DUMMYFUNCTION("""COMPUTED_VALUE"""),3.312)</f>
        <v>3.312</v>
      </c>
      <c r="D1599" s="4"/>
      <c r="E1599" s="4" t="str">
        <f>IFERROR(__xludf.DUMMYFUNCTION("""COMPUTED_VALUE"""),"Sin precio neto")</f>
        <v>Sin precio neto</v>
      </c>
    </row>
    <row r="1600">
      <c r="A1600" s="4" t="str">
        <f>IFERROR(__xludf.DUMMYFUNCTION("""COMPUTED_VALUE"""),"4185")</f>
        <v>4185</v>
      </c>
      <c r="B1600" s="4" t="str">
        <f>IFERROR(__xludf.DUMMYFUNCTION("""COMPUTED_VALUE"""),"Protector parking FOAM N/A plano 24x18x4cm")</f>
        <v>Protector parking FOAM N/A plano 24x18x4cm</v>
      </c>
      <c r="C1600" s="4">
        <f>IFERROR(__xludf.DUMMYFUNCTION("""COMPUTED_VALUE"""),3.312)</f>
        <v>3.312</v>
      </c>
      <c r="D1600" s="4"/>
      <c r="E1600" s="4" t="str">
        <f>IFERROR(__xludf.DUMMYFUNCTION("""COMPUTED_VALUE"""),"Sin precio neto")</f>
        <v>Sin precio neto</v>
      </c>
    </row>
    <row r="1601">
      <c r="A1601" s="4" t="str">
        <f>IFERROR(__xludf.DUMMYFUNCTION("""COMPUTED_VALUE"""),"4186")</f>
        <v>4186</v>
      </c>
      <c r="B1601" s="4" t="str">
        <f>IFERROR(__xludf.DUMMYFUNCTION("""COMPUTED_VALUE"""),"Protector parking FOAM R/B esquina 50x(15+15)x1,5 cm")</f>
        <v>Protector parking FOAM R/B esquina 50x(15+15)x1,5 cm</v>
      </c>
      <c r="C1601" s="4">
        <f>IFERROR(__xludf.DUMMYFUNCTION("""COMPUTED_VALUE"""),5.52)</f>
        <v>5.52</v>
      </c>
      <c r="D1601" s="4"/>
      <c r="E1601" s="4" t="str">
        <f>IFERROR(__xludf.DUMMYFUNCTION("""COMPUTED_VALUE"""),"Sin precio neto")</f>
        <v>Sin precio neto</v>
      </c>
    </row>
    <row r="1602">
      <c r="A1602" s="4" t="str">
        <f>IFERROR(__xludf.DUMMYFUNCTION("""COMPUTED_VALUE"""),"4187")</f>
        <v>4187</v>
      </c>
      <c r="B1602" s="4" t="str">
        <f>IFERROR(__xludf.DUMMYFUNCTION("""COMPUTED_VALUE"""),"Protector parking FOAM N/A esquina 50x(15+15)x1,5 cm")</f>
        <v>Protector parking FOAM N/A esquina 50x(15+15)x1,5 cm</v>
      </c>
      <c r="C1602" s="4">
        <f>IFERROR(__xludf.DUMMYFUNCTION("""COMPUTED_VALUE"""),5.52)</f>
        <v>5.52</v>
      </c>
      <c r="D1602" s="4"/>
      <c r="E1602" s="4" t="str">
        <f>IFERROR(__xludf.DUMMYFUNCTION("""COMPUTED_VALUE"""),"Sin precio neto")</f>
        <v>Sin precio neto</v>
      </c>
    </row>
    <row r="1603">
      <c r="A1603" s="4" t="str">
        <f>IFERROR(__xludf.DUMMYFUNCTION("""COMPUTED_VALUE"""),"4188")</f>
        <v>4188</v>
      </c>
      <c r="B1603" s="4" t="str">
        <f>IFERROR(__xludf.DUMMYFUNCTION("""COMPUTED_VALUE"""),"Protector parking FOAM R/B plano 50X10X1,5cm")</f>
        <v>Protector parking FOAM R/B plano 50X10X1,5cm</v>
      </c>
      <c r="C1603" s="4">
        <f>IFERROR(__xludf.DUMMYFUNCTION("""COMPUTED_VALUE"""),2.112)</f>
        <v>2.112</v>
      </c>
      <c r="D1603" s="4"/>
      <c r="E1603" s="4" t="str">
        <f>IFERROR(__xludf.DUMMYFUNCTION("""COMPUTED_VALUE"""),"Sin precio neto")</f>
        <v>Sin precio neto</v>
      </c>
    </row>
    <row r="1604">
      <c r="A1604" s="4" t="str">
        <f>IFERROR(__xludf.DUMMYFUNCTION("""COMPUTED_VALUE"""),"4189")</f>
        <v>4189</v>
      </c>
      <c r="B1604" s="4" t="str">
        <f>IFERROR(__xludf.DUMMYFUNCTION("""COMPUTED_VALUE"""),"Protector parking FOAM N/A plano 50x10x1,5cm")</f>
        <v>Protector parking FOAM N/A plano 50x10x1,5cm</v>
      </c>
      <c r="C1604" s="4">
        <f>IFERROR(__xludf.DUMMYFUNCTION("""COMPUTED_VALUE"""),2.112)</f>
        <v>2.112</v>
      </c>
      <c r="D1604" s="4"/>
      <c r="E1604" s="4" t="str">
        <f>IFERROR(__xludf.DUMMYFUNCTION("""COMPUTED_VALUE"""),"Sin precio neto")</f>
        <v>Sin precio neto</v>
      </c>
    </row>
    <row r="1605">
      <c r="A1605" s="4" t="str">
        <f>IFERROR(__xludf.DUMMYFUNCTION("""COMPUTED_VALUE"""),"4190")</f>
        <v>4190</v>
      </c>
      <c r="B1605" s="4" t="str">
        <f>IFERROR(__xludf.DUMMYFUNCTION("""COMPUTED_VALUE"""),"Protector parking FOAM R/B plano 50x25x2,5cm")</f>
        <v>Protector parking FOAM R/B plano 50x25x2,5cm</v>
      </c>
      <c r="C1605" s="4">
        <f>IFERROR(__xludf.DUMMYFUNCTION("""COMPUTED_VALUE"""),4.704)</f>
        <v>4.704</v>
      </c>
      <c r="D1605" s="4"/>
      <c r="E1605" s="4" t="str">
        <f>IFERROR(__xludf.DUMMYFUNCTION("""COMPUTED_VALUE"""),"Sin precio neto")</f>
        <v>Sin precio neto</v>
      </c>
    </row>
    <row r="1606">
      <c r="A1606" s="4" t="str">
        <f>IFERROR(__xludf.DUMMYFUNCTION("""COMPUTED_VALUE"""),"4191")</f>
        <v>4191</v>
      </c>
      <c r="B1606" s="4" t="str">
        <f>IFERROR(__xludf.DUMMYFUNCTION("""COMPUTED_VALUE"""),"Protector parking FOAM N/A plano 50x25x2,5cm")</f>
        <v>Protector parking FOAM N/A plano 50x25x2,5cm</v>
      </c>
      <c r="C1606" s="4">
        <f>IFERROR(__xludf.DUMMYFUNCTION("""COMPUTED_VALUE"""),4.704)</f>
        <v>4.704</v>
      </c>
      <c r="D1606" s="4"/>
      <c r="E1606" s="4" t="str">
        <f>IFERROR(__xludf.DUMMYFUNCTION("""COMPUTED_VALUE"""),"Sin precio neto")</f>
        <v>Sin precio neto</v>
      </c>
    </row>
    <row r="1607">
      <c r="A1607" s="4" t="str">
        <f>IFERROR(__xludf.DUMMYFUNCTION("""COMPUTED_VALUE"""),"4192")</f>
        <v>4192</v>
      </c>
      <c r="B1607" s="4" t="str">
        <f>IFERROR(__xludf.DUMMYFUNCTION("""COMPUTED_VALUE"""),"Protector parking FOAM R/B plano 30x20x1,5 cm")</f>
        <v>Protector parking FOAM R/B plano 30x20x1,5 cm</v>
      </c>
      <c r="C1607" s="4">
        <f>IFERROR(__xludf.DUMMYFUNCTION("""COMPUTED_VALUE"""),3.5999999999999996)</f>
        <v>3.6</v>
      </c>
      <c r="D1607" s="4"/>
      <c r="E1607" s="4" t="str">
        <f>IFERROR(__xludf.DUMMYFUNCTION("""COMPUTED_VALUE"""),"Sin precio neto")</f>
        <v>Sin precio neto</v>
      </c>
    </row>
    <row r="1608">
      <c r="A1608" s="4" t="str">
        <f>IFERROR(__xludf.DUMMYFUNCTION("""COMPUTED_VALUE"""),"4193")</f>
        <v>4193</v>
      </c>
      <c r="B1608" s="4" t="str">
        <f>IFERROR(__xludf.DUMMYFUNCTION("""COMPUTED_VALUE"""),"Protector parking FOAM N/A plano 30x20x1,5 cm")</f>
        <v>Protector parking FOAM N/A plano 30x20x1,5 cm</v>
      </c>
      <c r="C1608" s="4">
        <f>IFERROR(__xludf.DUMMYFUNCTION("""COMPUTED_VALUE"""),3.5999999999999996)</f>
        <v>3.6</v>
      </c>
      <c r="D1608" s="4"/>
      <c r="E1608" s="4" t="str">
        <f>IFERROR(__xludf.DUMMYFUNCTION("""COMPUTED_VALUE"""),"Sin precio neto")</f>
        <v>Sin precio neto</v>
      </c>
    </row>
    <row r="1609">
      <c r="A1609" s="4" t="str">
        <f>IFERROR(__xludf.DUMMYFUNCTION("""COMPUTED_VALUE"""),"4194")</f>
        <v>4194</v>
      </c>
      <c r="B1609" s="4" t="str">
        <f>IFERROR(__xludf.DUMMYFUNCTION("""COMPUTED_VALUE"""),"Protector Antigolpes PVC 15x3 cm (5 metros )")</f>
        <v>Protector Antigolpes PVC 15x3 cm (5 metros )</v>
      </c>
      <c r="C1609" s="4">
        <f>IFERROR(__xludf.DUMMYFUNCTION("""COMPUTED_VALUE"""),35.519999999999996)</f>
        <v>35.52</v>
      </c>
      <c r="D1609" s="4"/>
      <c r="E1609" s="4" t="str">
        <f>IFERROR(__xludf.DUMMYFUNCTION("""COMPUTED_VALUE"""),"Sin precio neto")</f>
        <v>Sin precio neto</v>
      </c>
    </row>
    <row r="1610">
      <c r="A1610" s="4" t="str">
        <f>IFERROR(__xludf.DUMMYFUNCTION("""COMPUTED_VALUE"""),"4200")</f>
        <v>4200</v>
      </c>
      <c r="B1610" s="4" t="str">
        <f>IFERROR(__xludf.DUMMYFUNCTION("""COMPUTED_VALUE"""),"Esq. protec.N/A 100 cm anti-golpe Foam Mod A")</f>
        <v>Esq. protec.N/A 100 cm anti-golpe Foam Mod A</v>
      </c>
      <c r="C1610" s="4">
        <f>IFERROR(__xludf.DUMMYFUNCTION("""COMPUTED_VALUE"""),14.304)</f>
        <v>14.304</v>
      </c>
      <c r="D1610" s="4">
        <f>IFERROR(__xludf.DUMMYFUNCTION("""COMPUTED_VALUE"""),12.5)</f>
        <v>12.5</v>
      </c>
      <c r="E1610" s="4" t="str">
        <f>IFERROR(__xludf.DUMMYFUNCTION("""COMPUTED_VALUE"""),"Neto: 12,50 € (a partir de 10 uds.)")</f>
        <v>Neto: 12,50 € (a partir de 10 uds.)</v>
      </c>
    </row>
    <row r="1611">
      <c r="A1611" s="4" t="str">
        <f>IFERROR(__xludf.DUMMYFUNCTION("""COMPUTED_VALUE"""),"4200B")</f>
        <v>4200B</v>
      </c>
      <c r="B1611" s="4" t="str">
        <f>IFERROR(__xludf.DUMMYFUNCTION("""COMPUTED_VALUE"""),"Esq. protec.N/A 100 cm anti-golpe Foam Mod B")</f>
        <v>Esq. protec.N/A 100 cm anti-golpe Foam Mod B</v>
      </c>
      <c r="C1611" s="4">
        <f>IFERROR(__xludf.DUMMYFUNCTION("""COMPUTED_VALUE"""),14.304)</f>
        <v>14.304</v>
      </c>
      <c r="D1611" s="4">
        <f>IFERROR(__xludf.DUMMYFUNCTION("""COMPUTED_VALUE"""),12.5)</f>
        <v>12.5</v>
      </c>
      <c r="E1611" s="4" t="str">
        <f>IFERROR(__xludf.DUMMYFUNCTION("""COMPUTED_VALUE"""),"Neto: 12,50 € (a partir de 10 uds.)")</f>
        <v>Neto: 12,50 € (a partir de 10 uds.)</v>
      </c>
    </row>
    <row r="1612">
      <c r="A1612" s="4" t="str">
        <f>IFERROR(__xludf.DUMMYFUNCTION("""COMPUTED_VALUE"""),"4200C")</f>
        <v>4200C</v>
      </c>
      <c r="B1612" s="4" t="str">
        <f>IFERROR(__xludf.DUMMYFUNCTION("""COMPUTED_VALUE"""),"Esq. protec.N/A 100 cm anti-golpe Foam Mod C")</f>
        <v>Esq. protec.N/A 100 cm anti-golpe Foam Mod C</v>
      </c>
      <c r="C1612" s="4">
        <f>IFERROR(__xludf.DUMMYFUNCTION("""COMPUTED_VALUE"""),14.304)</f>
        <v>14.304</v>
      </c>
      <c r="D1612" s="4">
        <f>IFERROR(__xludf.DUMMYFUNCTION("""COMPUTED_VALUE"""),12.5)</f>
        <v>12.5</v>
      </c>
      <c r="E1612" s="4" t="str">
        <f>IFERROR(__xludf.DUMMYFUNCTION("""COMPUTED_VALUE"""),"Neto: 12,50 € (a partir de 10 uds.)")</f>
        <v>Neto: 12,50 € (a partir de 10 uds.)</v>
      </c>
    </row>
    <row r="1613">
      <c r="A1613" s="4" t="str">
        <f>IFERROR(__xludf.DUMMYFUNCTION("""COMPUTED_VALUE"""),"4200D")</f>
        <v>4200D</v>
      </c>
      <c r="B1613" s="4" t="str">
        <f>IFERROR(__xludf.DUMMYFUNCTION("""COMPUTED_VALUE"""),"Esq. protec.N/A 100 cm anti-golpe Foam Mod D")</f>
        <v>Esq. protec.N/A 100 cm anti-golpe Foam Mod D</v>
      </c>
      <c r="C1613" s="4">
        <f>IFERROR(__xludf.DUMMYFUNCTION("""COMPUTED_VALUE"""),14.304)</f>
        <v>14.304</v>
      </c>
      <c r="D1613" s="4">
        <f>IFERROR(__xludf.DUMMYFUNCTION("""COMPUTED_VALUE"""),12.5)</f>
        <v>12.5</v>
      </c>
      <c r="E1613" s="4" t="str">
        <f>IFERROR(__xludf.DUMMYFUNCTION("""COMPUTED_VALUE"""),"Neto: 12,50 € (a partir de 10 uds.)")</f>
        <v>Neto: 12,50 € (a partir de 10 uds.)</v>
      </c>
    </row>
    <row r="1614">
      <c r="A1614" s="4" t="str">
        <f>IFERROR(__xludf.DUMMYFUNCTION("""COMPUTED_VALUE"""),"4200E")</f>
        <v>4200E</v>
      </c>
      <c r="B1614" s="4" t="str">
        <f>IFERROR(__xludf.DUMMYFUNCTION("""COMPUTED_VALUE"""),"Esq. protec.N/A 100 cm anti-golpe Foam Mod E")</f>
        <v>Esq. protec.N/A 100 cm anti-golpe Foam Mod E</v>
      </c>
      <c r="C1614" s="4">
        <f>IFERROR(__xludf.DUMMYFUNCTION("""COMPUTED_VALUE"""),14.304)</f>
        <v>14.304</v>
      </c>
      <c r="D1614" s="4">
        <f>IFERROR(__xludf.DUMMYFUNCTION("""COMPUTED_VALUE"""),12.5)</f>
        <v>12.5</v>
      </c>
      <c r="E1614" s="4" t="str">
        <f>IFERROR(__xludf.DUMMYFUNCTION("""COMPUTED_VALUE"""),"Neto: 12,50 € (a partir de 10 uds.)")</f>
        <v>Neto: 12,50 € (a partir de 10 uds.)</v>
      </c>
    </row>
    <row r="1615">
      <c r="A1615" s="4" t="str">
        <f>IFERROR(__xludf.DUMMYFUNCTION("""COMPUTED_VALUE"""),"4200F")</f>
        <v>4200F</v>
      </c>
      <c r="B1615" s="4" t="str">
        <f>IFERROR(__xludf.DUMMYFUNCTION("""COMPUTED_VALUE"""),"Esq. protec.N/A 100 cm anti-golpe Foam Mod. F")</f>
        <v>Esq. protec.N/A 100 cm anti-golpe Foam Mod. F</v>
      </c>
      <c r="C1615" s="4">
        <f>IFERROR(__xludf.DUMMYFUNCTION("""COMPUTED_VALUE"""),14.304)</f>
        <v>14.304</v>
      </c>
      <c r="D1615" s="4">
        <f>IFERROR(__xludf.DUMMYFUNCTION("""COMPUTED_VALUE"""),12.5)</f>
        <v>12.5</v>
      </c>
      <c r="E1615" s="4" t="str">
        <f>IFERROR(__xludf.DUMMYFUNCTION("""COMPUTED_VALUE"""),"Neto: 12,50 € (a partir de 10 uds.)")</f>
        <v>Neto: 12,50 € (a partir de 10 uds.)</v>
      </c>
    </row>
    <row r="1616">
      <c r="A1616" s="4" t="str">
        <f>IFERROR(__xludf.DUMMYFUNCTION("""COMPUTED_VALUE"""),"4200G")</f>
        <v>4200G</v>
      </c>
      <c r="B1616" s="4" t="str">
        <f>IFERROR(__xludf.DUMMYFUNCTION("""COMPUTED_VALUE"""),"Esq. protec.N/A 100 cm anti-golpe Foam Mod. G")</f>
        <v>Esq. protec.N/A 100 cm anti-golpe Foam Mod. G</v>
      </c>
      <c r="C1616" s="4">
        <f>IFERROR(__xludf.DUMMYFUNCTION("""COMPUTED_VALUE"""),14.304)</f>
        <v>14.304</v>
      </c>
      <c r="D1616" s="4">
        <f>IFERROR(__xludf.DUMMYFUNCTION("""COMPUTED_VALUE"""),12.5)</f>
        <v>12.5</v>
      </c>
      <c r="E1616" s="4" t="str">
        <f>IFERROR(__xludf.DUMMYFUNCTION("""COMPUTED_VALUE"""),"Neto: 12,50 € (a partir de 10 uds.)")</f>
        <v>Neto: 12,50 € (a partir de 10 uds.)</v>
      </c>
    </row>
    <row r="1617">
      <c r="A1617" s="4" t="str">
        <f>IFERROR(__xludf.DUMMYFUNCTION("""COMPUTED_VALUE"""),"4201")</f>
        <v>4201</v>
      </c>
      <c r="B1617" s="4" t="str">
        <f>IFERROR(__xludf.DUMMYFUNCTION("""COMPUTED_VALUE"""),"Esq. protec.B/R 100 cm anti-golpe Foam Mod. A")</f>
        <v>Esq. protec.B/R 100 cm anti-golpe Foam Mod. A</v>
      </c>
      <c r="C1617" s="4">
        <f>IFERROR(__xludf.DUMMYFUNCTION("""COMPUTED_VALUE"""),14.304)</f>
        <v>14.304</v>
      </c>
      <c r="D1617" s="4">
        <f>IFERROR(__xludf.DUMMYFUNCTION("""COMPUTED_VALUE"""),12.5)</f>
        <v>12.5</v>
      </c>
      <c r="E1617" s="4" t="str">
        <f>IFERROR(__xludf.DUMMYFUNCTION("""COMPUTED_VALUE"""),"Neto: 12,50 € (a partir de 10 uds.)")</f>
        <v>Neto: 12,50 € (a partir de 10 uds.)</v>
      </c>
    </row>
    <row r="1618">
      <c r="A1618" s="4" t="str">
        <f>IFERROR(__xludf.DUMMYFUNCTION("""COMPUTED_VALUE"""),"4204")</f>
        <v>4204</v>
      </c>
      <c r="B1618" s="4" t="str">
        <f>IFERROR(__xludf.DUMMYFUNCTION("""COMPUTED_VALUE"""),"Espejo Convexo 40 cm Interior Tolomeo")</f>
        <v>Espejo Convexo 40 cm Interior Tolomeo</v>
      </c>
      <c r="C1618" s="4">
        <f>IFERROR(__xludf.DUMMYFUNCTION("""COMPUTED_VALUE"""),39.36)</f>
        <v>39.36</v>
      </c>
      <c r="D1618" s="4"/>
      <c r="E1618" s="4" t="str">
        <f>IFERROR(__xludf.DUMMYFUNCTION("""COMPUTED_VALUE"""),"Sin precio neto")</f>
        <v>Sin precio neto</v>
      </c>
    </row>
    <row r="1619">
      <c r="A1619" s="4" t="str">
        <f>IFERROR(__xludf.DUMMYFUNCTION("""COMPUTED_VALUE"""),"4206")</f>
        <v>4206</v>
      </c>
      <c r="B1619" s="4" t="str">
        <f>IFERROR(__xludf.DUMMYFUNCTION("""COMPUTED_VALUE"""),"Espejo Convexo 60 cm Interior Tolomeo")</f>
        <v>Espejo Convexo 60 cm Interior Tolomeo</v>
      </c>
      <c r="C1619" s="4">
        <f>IFERROR(__xludf.DUMMYFUNCTION("""COMPUTED_VALUE"""),51.839999999999996)</f>
        <v>51.84</v>
      </c>
      <c r="D1619" s="4"/>
      <c r="E1619" s="4" t="str">
        <f>IFERROR(__xludf.DUMMYFUNCTION("""COMPUTED_VALUE"""),"Sin precio neto")</f>
        <v>Sin precio neto</v>
      </c>
    </row>
    <row r="1620">
      <c r="A1620" s="4" t="str">
        <f>IFERROR(__xludf.DUMMYFUNCTION("""COMPUTED_VALUE"""),"4208")</f>
        <v>4208</v>
      </c>
      <c r="B1620" s="4" t="str">
        <f>IFERROR(__xludf.DUMMYFUNCTION("""COMPUTED_VALUE"""),"Espejo Convexo 80 cm Interior Tolomeo")</f>
        <v>Espejo Convexo 80 cm Interior Tolomeo</v>
      </c>
      <c r="C1620" s="4">
        <f>IFERROR(__xludf.DUMMYFUNCTION("""COMPUTED_VALUE"""),93.11999999999999)</f>
        <v>93.12</v>
      </c>
      <c r="D1620" s="4"/>
      <c r="E1620" s="4" t="str">
        <f>IFERROR(__xludf.DUMMYFUNCTION("""COMPUTED_VALUE"""),"Sin precio neto")</f>
        <v>Sin precio neto</v>
      </c>
    </row>
    <row r="1621">
      <c r="A1621" s="4" t="str">
        <f>IFERROR(__xludf.DUMMYFUNCTION("""COMPUTED_VALUE"""),"4209")</f>
        <v>4209</v>
      </c>
      <c r="B1621" s="4" t="str">
        <f>IFERROR(__xludf.DUMMYFUNCTION("""COMPUTED_VALUE"""),"Espejo Convexo 90 cm Interior Tolomeo")</f>
        <v>Espejo Convexo 90 cm Interior Tolomeo</v>
      </c>
      <c r="C1621" s="4">
        <f>IFERROR(__xludf.DUMMYFUNCTION("""COMPUTED_VALUE"""),98.39999999999999)</f>
        <v>98.4</v>
      </c>
      <c r="D1621" s="4"/>
      <c r="E1621" s="4" t="str">
        <f>IFERROR(__xludf.DUMMYFUNCTION("""COMPUTED_VALUE"""),"Sin precio neto")</f>
        <v>Sin precio neto</v>
      </c>
    </row>
    <row r="1622">
      <c r="A1622" s="4" t="str">
        <f>IFERROR(__xludf.DUMMYFUNCTION("""COMPUTED_VALUE"""),"4210")</f>
        <v>4210</v>
      </c>
      <c r="B1622" s="4" t="str">
        <f>IFERROR(__xludf.DUMMYFUNCTION("""COMPUTED_VALUE"""),"Espejo Convexo 40x60 Interior Leonardo")</f>
        <v>Espejo Convexo 40x60 Interior Leonardo</v>
      </c>
      <c r="C1622" s="4">
        <f>IFERROR(__xludf.DUMMYFUNCTION("""COMPUTED_VALUE"""),56.64)</f>
        <v>56.64</v>
      </c>
      <c r="D1622" s="4"/>
      <c r="E1622" s="4" t="str">
        <f>IFERROR(__xludf.DUMMYFUNCTION("""COMPUTED_VALUE"""),"Sin precio neto")</f>
        <v>Sin precio neto</v>
      </c>
    </row>
    <row r="1623">
      <c r="A1623" s="4" t="str">
        <f>IFERROR(__xludf.DUMMYFUNCTION("""COMPUTED_VALUE"""),"4211")</f>
        <v>4211</v>
      </c>
      <c r="B1623" s="4" t="str">
        <f>IFERROR(__xludf.DUMMYFUNCTION("""COMPUTED_VALUE"""),"Espejo convexo 60x80 Interior Leonardo")</f>
        <v>Espejo convexo 60x80 Interior Leonardo</v>
      </c>
      <c r="C1623" s="4">
        <f>IFERROR(__xludf.DUMMYFUNCTION("""COMPUTED_VALUE"""),96.47999999999999)</f>
        <v>96.48</v>
      </c>
      <c r="D1623" s="4"/>
      <c r="E1623" s="4" t="str">
        <f>IFERROR(__xludf.DUMMYFUNCTION("""COMPUTED_VALUE"""),"Sin precio neto")</f>
        <v>Sin precio neto</v>
      </c>
    </row>
    <row r="1624">
      <c r="A1624" s="4" t="str">
        <f>IFERROR(__xludf.DUMMYFUNCTION("""COMPUTED_VALUE"""),"4213")</f>
        <v>4213</v>
      </c>
      <c r="B1624" s="4" t="str">
        <f>IFERROR(__xludf.DUMMYFUNCTION("""COMPUTED_VALUE"""),"Espejo Hemisférico 360º 60 cm Michelangello")</f>
        <v>Espejo Hemisférico 360º 60 cm Michelangello</v>
      </c>
      <c r="C1624" s="4">
        <f>IFERROR(__xludf.DUMMYFUNCTION("""COMPUTED_VALUE"""),40.32)</f>
        <v>40.32</v>
      </c>
      <c r="D1624" s="4"/>
      <c r="E1624" s="4" t="str">
        <f>IFERROR(__xludf.DUMMYFUNCTION("""COMPUTED_VALUE"""),"Sin precio neto")</f>
        <v>Sin precio neto</v>
      </c>
    </row>
    <row r="1625">
      <c r="A1625" s="4" t="str">
        <f>IFERROR(__xludf.DUMMYFUNCTION("""COMPUTED_VALUE"""),"4215")</f>
        <v>4215</v>
      </c>
      <c r="B1625" s="4" t="str">
        <f>IFERROR(__xludf.DUMMYFUNCTION("""COMPUTED_VALUE"""),"Espejo Hemisférico 360º 90 cm Michelangello")</f>
        <v>Espejo Hemisférico 360º 90 cm Michelangello</v>
      </c>
      <c r="C1625" s="4">
        <f>IFERROR(__xludf.DUMMYFUNCTION("""COMPUTED_VALUE"""),78.72)</f>
        <v>78.72</v>
      </c>
      <c r="D1625" s="4"/>
      <c r="E1625" s="4" t="str">
        <f>IFERROR(__xludf.DUMMYFUNCTION("""COMPUTED_VALUE"""),"Sin precio neto")</f>
        <v>Sin precio neto</v>
      </c>
    </row>
    <row r="1626">
      <c r="A1626" s="4" t="str">
        <f>IFERROR(__xludf.DUMMYFUNCTION("""COMPUTED_VALUE"""),"4221")</f>
        <v>4221</v>
      </c>
      <c r="B1626" s="4" t="str">
        <f>IFERROR(__xludf.DUMMYFUNCTION("""COMPUTED_VALUE"""),"Espejo Convexo 60 cm Exterior Giotto")</f>
        <v>Espejo Convexo 60 cm Exterior Giotto</v>
      </c>
      <c r="C1626" s="4">
        <f>IFERROR(__xludf.DUMMYFUNCTION("""COMPUTED_VALUE"""),92.16)</f>
        <v>92.16</v>
      </c>
      <c r="D1626" s="4"/>
      <c r="E1626" s="4" t="str">
        <f>IFERROR(__xludf.DUMMYFUNCTION("""COMPUTED_VALUE"""),"Sin precio neto")</f>
        <v>Sin precio neto</v>
      </c>
    </row>
    <row r="1627">
      <c r="A1627" s="4" t="str">
        <f>IFERROR(__xludf.DUMMYFUNCTION("""COMPUTED_VALUE"""),"4223")</f>
        <v>4223</v>
      </c>
      <c r="B1627" s="4" t="str">
        <f>IFERROR(__xludf.DUMMYFUNCTION("""COMPUTED_VALUE"""),"Espejo Convexo 80 cm Exterior Giotto")</f>
        <v>Espejo Convexo 80 cm Exterior Giotto</v>
      </c>
      <c r="C1627" s="4">
        <f>IFERROR(__xludf.DUMMYFUNCTION("""COMPUTED_VALUE"""),145.92)</f>
        <v>145.92</v>
      </c>
      <c r="D1627" s="4"/>
      <c r="E1627" s="4" t="str">
        <f>IFERROR(__xludf.DUMMYFUNCTION("""COMPUTED_VALUE"""),"Sin precio neto")</f>
        <v>Sin precio neto</v>
      </c>
    </row>
    <row r="1628">
      <c r="A1628" s="4" t="str">
        <f>IFERROR(__xludf.DUMMYFUNCTION("""COMPUTED_VALUE"""),"4227")</f>
        <v>4227</v>
      </c>
      <c r="B1628" s="4" t="str">
        <f>IFERROR(__xludf.DUMMYFUNCTION("""COMPUTED_VALUE"""),"Espejo Convexo 40x60 cm Exterior Rafaello")</f>
        <v>Espejo Convexo 40x60 cm Exterior Rafaello</v>
      </c>
      <c r="C1628" s="4">
        <f>IFERROR(__xludf.DUMMYFUNCTION("""COMPUTED_VALUE"""),119.03999999999999)</f>
        <v>119.04</v>
      </c>
      <c r="D1628" s="4"/>
      <c r="E1628" s="4" t="str">
        <f>IFERROR(__xludf.DUMMYFUNCTION("""COMPUTED_VALUE"""),"Sin precio neto")</f>
        <v>Sin precio neto</v>
      </c>
    </row>
    <row r="1629">
      <c r="A1629" s="4" t="str">
        <f>IFERROR(__xludf.DUMMYFUNCTION("""COMPUTED_VALUE"""),"4228")</f>
        <v>4228</v>
      </c>
      <c r="B1629" s="4" t="str">
        <f>IFERROR(__xludf.DUMMYFUNCTION("""COMPUTED_VALUE"""),"Espejo Convexo 60x80 cm Exterior Rafaello")</f>
        <v>Espejo Convexo 60x80 cm Exterior Rafaello</v>
      </c>
      <c r="C1629" s="4">
        <f>IFERROR(__xludf.DUMMYFUNCTION("""COMPUTED_VALUE"""),153.6)</f>
        <v>153.6</v>
      </c>
      <c r="D1629" s="4"/>
      <c r="E1629" s="4" t="str">
        <f>IFERROR(__xludf.DUMMYFUNCTION("""COMPUTED_VALUE"""),"Sin precio neto")</f>
        <v>Sin precio neto</v>
      </c>
    </row>
    <row r="1630">
      <c r="A1630" s="4" t="str">
        <f>IFERROR(__xludf.DUMMYFUNCTION("""COMPUTED_VALUE"""),"4230")</f>
        <v>4230</v>
      </c>
      <c r="B1630" s="4" t="str">
        <f>IFERROR(__xludf.DUMMYFUNCTION("""COMPUTED_VALUE"""),"Espejo Convexo acero exterior 320 MM")</f>
        <v>Espejo Convexo acero exterior 320 MM</v>
      </c>
      <c r="C1630" s="4">
        <f>IFERROR(__xludf.DUMMYFUNCTION("""COMPUTED_VALUE"""),91.2)</f>
        <v>91.2</v>
      </c>
      <c r="D1630" s="4"/>
      <c r="E1630" s="4" t="str">
        <f>IFERROR(__xludf.DUMMYFUNCTION("""COMPUTED_VALUE"""),"Sin precio neto")</f>
        <v>Sin precio neto</v>
      </c>
    </row>
    <row r="1631">
      <c r="A1631" s="4" t="str">
        <f>IFERROR(__xludf.DUMMYFUNCTION("""COMPUTED_VALUE"""),"4231")</f>
        <v>4231</v>
      </c>
      <c r="B1631" s="4" t="str">
        <f>IFERROR(__xludf.DUMMYFUNCTION("""COMPUTED_VALUE"""),"Espejo Convexo Acero Exterior 490 mm")</f>
        <v>Espejo Convexo Acero Exterior 490 mm</v>
      </c>
      <c r="C1631" s="4">
        <f>IFERROR(__xludf.DUMMYFUNCTION("""COMPUTED_VALUE"""),120.0)</f>
        <v>120</v>
      </c>
      <c r="D1631" s="4"/>
      <c r="E1631" s="4" t="str">
        <f>IFERROR(__xludf.DUMMYFUNCTION("""COMPUTED_VALUE"""),"Sin precio neto")</f>
        <v>Sin precio neto</v>
      </c>
    </row>
    <row r="1632">
      <c r="A1632" s="4" t="str">
        <f>IFERROR(__xludf.DUMMYFUNCTION("""COMPUTED_VALUE"""),"4232")</f>
        <v>4232</v>
      </c>
      <c r="B1632" s="4" t="str">
        <f>IFERROR(__xludf.DUMMYFUNCTION("""COMPUTED_VALUE"""),"Espejo Convexo Acero Exterior 600 mm")</f>
        <v>Espejo Convexo Acero Exterior 600 mm</v>
      </c>
      <c r="C1632" s="4">
        <f>IFERROR(__xludf.DUMMYFUNCTION("""COMPUTED_VALUE"""),171.84)</f>
        <v>171.84</v>
      </c>
      <c r="D1632" s="4"/>
      <c r="E1632" s="4" t="str">
        <f>IFERROR(__xludf.DUMMYFUNCTION("""COMPUTED_VALUE"""),"Sin precio neto")</f>
        <v>Sin precio neto</v>
      </c>
    </row>
    <row r="1633">
      <c r="A1633" s="4" t="str">
        <f>IFERROR(__xludf.DUMMYFUNCTION("""COMPUTED_VALUE"""),"4233")</f>
        <v>4233</v>
      </c>
      <c r="B1633" s="4" t="str">
        <f>IFERROR(__xludf.DUMMYFUNCTION("""COMPUTED_VALUE"""),"Espejo Convexo Acero Exterior 800 mm")</f>
        <v>Espejo Convexo Acero Exterior 800 mm</v>
      </c>
      <c r="C1633" s="4">
        <f>IFERROR(__xludf.DUMMYFUNCTION("""COMPUTED_VALUE"""),220.79999999999998)</f>
        <v>220.8</v>
      </c>
      <c r="D1633" s="4"/>
      <c r="E1633" s="4" t="str">
        <f>IFERROR(__xludf.DUMMYFUNCTION("""COMPUTED_VALUE"""),"Sin precio neto")</f>
        <v>Sin precio neto</v>
      </c>
    </row>
    <row r="1634">
      <c r="A1634" s="4" t="str">
        <f>IFERROR(__xludf.DUMMYFUNCTION("""COMPUTED_VALUE"""),"4234")</f>
        <v>4234</v>
      </c>
      <c r="B1634" s="4" t="str">
        <f>IFERROR(__xludf.DUMMYFUNCTION("""COMPUTED_VALUE"""),"Espejo Convexo Acero Exterior 450x600 mm")</f>
        <v>Espejo Convexo Acero Exterior 450x600 mm</v>
      </c>
      <c r="C1634" s="4">
        <f>IFERROR(__xludf.DUMMYFUNCTION("""COMPUTED_VALUE"""),151.2)</f>
        <v>151.2</v>
      </c>
      <c r="D1634" s="4"/>
      <c r="E1634" s="4" t="str">
        <f>IFERROR(__xludf.DUMMYFUNCTION("""COMPUTED_VALUE"""),"Sin precio neto")</f>
        <v>Sin precio neto</v>
      </c>
    </row>
    <row r="1635">
      <c r="A1635" s="4" t="str">
        <f>IFERROR(__xludf.DUMMYFUNCTION("""COMPUTED_VALUE"""),"4235")</f>
        <v>4235</v>
      </c>
      <c r="B1635" s="4" t="str">
        <f>IFERROR(__xludf.DUMMYFUNCTION("""COMPUTED_VALUE"""),"Espejo Convexo Acero Interior 490 mm")</f>
        <v>Espejo Convexo Acero Interior 490 mm</v>
      </c>
      <c r="C1635" s="4">
        <f>IFERROR(__xludf.DUMMYFUNCTION("""COMPUTED_VALUE"""),115.19999999999999)</f>
        <v>115.2</v>
      </c>
      <c r="D1635" s="4"/>
      <c r="E1635" s="4" t="str">
        <f>IFERROR(__xludf.DUMMYFUNCTION("""COMPUTED_VALUE"""),"Sin precio neto")</f>
        <v>Sin precio neto</v>
      </c>
    </row>
    <row r="1636">
      <c r="A1636" s="4" t="str">
        <f>IFERROR(__xludf.DUMMYFUNCTION("""COMPUTED_VALUE"""),"4250")</f>
        <v>4250</v>
      </c>
      <c r="B1636" s="4" t="str">
        <f>IFERROR(__xludf.DUMMYFUNCTION("""COMPUTED_VALUE"""),"Tope muelle carga - parking 90x10x10 cm")</f>
        <v>Tope muelle carga - parking 90x10x10 cm</v>
      </c>
      <c r="C1636" s="4">
        <f>IFERROR(__xludf.DUMMYFUNCTION("""COMPUTED_VALUE"""),21.119999999999997)</f>
        <v>21.12</v>
      </c>
      <c r="D1636" s="4"/>
      <c r="E1636" s="4" t="str">
        <f>IFERROR(__xludf.DUMMYFUNCTION("""COMPUTED_VALUE"""),"Sin precio neto")</f>
        <v>Sin precio neto</v>
      </c>
    </row>
    <row r="1637">
      <c r="A1637" s="4" t="str">
        <f>IFERROR(__xludf.DUMMYFUNCTION("""COMPUTED_VALUE"""),"4300")</f>
        <v>4300</v>
      </c>
      <c r="B1637" s="4" t="str">
        <f>IFERROR(__xludf.DUMMYFUNCTION("""COMPUTED_VALUE"""),"Big Bag 850x850x900 1000kg. 5:1")</f>
        <v>Big Bag 850x850x900 1000kg. 5:1</v>
      </c>
      <c r="C1637" s="4">
        <f>IFERROR(__xludf.DUMMYFUNCTION("""COMPUTED_VALUE"""),3.792)</f>
        <v>3.792</v>
      </c>
      <c r="D1637" s="4"/>
      <c r="E1637" s="4" t="str">
        <f>IFERROR(__xludf.DUMMYFUNCTION("""COMPUTED_VALUE"""),"Sin precio neto")</f>
        <v>Sin precio neto</v>
      </c>
    </row>
    <row r="1638">
      <c r="A1638" s="4" t="str">
        <f>IFERROR(__xludf.DUMMYFUNCTION("""COMPUTED_VALUE"""),"4301")</f>
        <v>4301</v>
      </c>
      <c r="B1638" s="4" t="str">
        <f>IFERROR(__xludf.DUMMYFUNCTION("""COMPUTED_VALUE"""),"Big Bag 850x850x900 c/ valvula descarga")</f>
        <v>Big Bag 850x850x900 c/ valvula descarga</v>
      </c>
      <c r="C1638" s="4">
        <f>IFERROR(__xludf.DUMMYFUNCTION("""COMPUTED_VALUE"""),4.4159999999999995)</f>
        <v>4.416</v>
      </c>
      <c r="D1638" s="4"/>
      <c r="E1638" s="4" t="str">
        <f>IFERROR(__xludf.DUMMYFUNCTION("""COMPUTED_VALUE"""),"Sin precio neto")</f>
        <v>Sin precio neto</v>
      </c>
    </row>
    <row r="1639">
      <c r="A1639" s="4" t="str">
        <f>IFERROR(__xludf.DUMMYFUNCTION("""COMPUTED_VALUE"""),"4302")</f>
        <v>4302</v>
      </c>
      <c r="B1639" s="4" t="str">
        <f>IFERROR(__xludf.DUMMYFUNCTION("""COMPUTED_VALUE"""),"Big Bag 900x900x1200 MM FDC/FP ADR")</f>
        <v>Big Bag 900x900x1200 MM FDC/FP ADR</v>
      </c>
      <c r="C1639" s="4">
        <f>IFERROR(__xludf.DUMMYFUNCTION("""COMPUTED_VALUE"""),10.799999999999999)</f>
        <v>10.8</v>
      </c>
      <c r="D1639" s="4"/>
      <c r="E1639" s="4" t="str">
        <f>IFERROR(__xludf.DUMMYFUNCTION("""COMPUTED_VALUE"""),"Sin precio neto")</f>
        <v>Sin precio neto</v>
      </c>
    </row>
    <row r="1640">
      <c r="A1640" s="4" t="str">
        <f>IFERROR(__xludf.DUMMYFUNCTION("""COMPUTED_VALUE"""),"4303")</f>
        <v>4303</v>
      </c>
      <c r="B1640" s="4" t="str">
        <f>IFERROR(__xludf.DUMMYFUNCTION("""COMPUTED_VALUE"""),"Big Bag 900x900x1200 c/tapa")</f>
        <v>Big Bag 900x900x1200 c/tapa</v>
      </c>
      <c r="C1640" s="4">
        <f>IFERROR(__xludf.DUMMYFUNCTION("""COMPUTED_VALUE"""),6.72)</f>
        <v>6.72</v>
      </c>
      <c r="D1640" s="4"/>
      <c r="E1640" s="4" t="str">
        <f>IFERROR(__xludf.DUMMYFUNCTION("""COMPUTED_VALUE"""),"Sin precio neto")</f>
        <v>Sin precio neto</v>
      </c>
    </row>
    <row r="1641">
      <c r="A1641" s="4" t="str">
        <f>IFERROR(__xludf.DUMMYFUNCTION("""COMPUTED_VALUE"""),"4304")</f>
        <v>4304</v>
      </c>
      <c r="B1641" s="4" t="str">
        <f>IFERROR(__xludf.DUMMYFUNCTION("""COMPUTED_VALUE"""),"Saco de rafia para escombros 55cmx85cm carga 25 Kg")</f>
        <v>Saco de rafia para escombros 55cmx85cm carga 25 Kg</v>
      </c>
      <c r="C1641" s="4">
        <f>IFERROR(__xludf.DUMMYFUNCTION("""COMPUTED_VALUE"""),0.2496)</f>
        <v>0.2496</v>
      </c>
      <c r="D1641" s="4"/>
      <c r="E1641" s="4" t="str">
        <f>IFERROR(__xludf.DUMMYFUNCTION("""COMPUTED_VALUE"""),"Sin precio neto")</f>
        <v>Sin precio neto</v>
      </c>
    </row>
    <row r="1642">
      <c r="A1642" s="4" t="str">
        <f>IFERROR(__xludf.DUMMYFUNCTION("""COMPUTED_VALUE"""),"4305")</f>
        <v>4305</v>
      </c>
      <c r="B1642" s="4" t="str">
        <f>IFERROR(__xludf.DUMMYFUNCTION("""COMPUTED_VALUE"""),"Paquete 10 unid. saco plastico escombros 55x75")</f>
        <v>Paquete 10 unid. saco plastico escombros 55x75</v>
      </c>
      <c r="C1642" s="4">
        <f>IFERROR(__xludf.DUMMYFUNCTION("""COMPUTED_VALUE"""),4.2912)</f>
        <v>4.2912</v>
      </c>
      <c r="D1642" s="4"/>
      <c r="E1642" s="4" t="str">
        <f>IFERROR(__xludf.DUMMYFUNCTION("""COMPUTED_VALUE"""),"Sin precio neto")</f>
        <v>Sin precio neto</v>
      </c>
    </row>
    <row r="1643">
      <c r="A1643" s="4" t="str">
        <f>IFERROR(__xludf.DUMMYFUNCTION("""COMPUTED_VALUE"""),"4690")</f>
        <v>4690</v>
      </c>
      <c r="B1643" s="4" t="str">
        <f>IFERROR(__xludf.DUMMYFUNCTION("""COMPUTED_VALUE"""),"Chaleco Reflect. amarillo")</f>
        <v>Chaleco Reflect. amarillo</v>
      </c>
      <c r="C1643" s="4">
        <f>IFERROR(__xludf.DUMMYFUNCTION("""COMPUTED_VALUE"""),1.8719999999999999)</f>
        <v>1.872</v>
      </c>
      <c r="D1643" s="4"/>
      <c r="E1643" s="4" t="str">
        <f>IFERROR(__xludf.DUMMYFUNCTION("""COMPUTED_VALUE"""),"Sin precio neto")</f>
        <v>Sin precio neto</v>
      </c>
    </row>
    <row r="1644">
      <c r="A1644" s="4" t="str">
        <f>IFERROR(__xludf.DUMMYFUNCTION("""COMPUTED_VALUE"""),"4691")</f>
        <v>4691</v>
      </c>
      <c r="B1644" s="4" t="str">
        <f>IFERROR(__xludf.DUMMYFUNCTION("""COMPUTED_VALUE"""),"Chaleco Reflect. naranja")</f>
        <v>Chaleco Reflect. naranja</v>
      </c>
      <c r="C1644" s="4">
        <f>IFERROR(__xludf.DUMMYFUNCTION("""COMPUTED_VALUE"""),1.8719999999999999)</f>
        <v>1.872</v>
      </c>
      <c r="D1644" s="4"/>
      <c r="E1644" s="4" t="str">
        <f>IFERROR(__xludf.DUMMYFUNCTION("""COMPUTED_VALUE"""),"Sin precio neto")</f>
        <v>Sin precio neto</v>
      </c>
    </row>
    <row r="1645">
      <c r="A1645" s="4" t="str">
        <f>IFERROR(__xludf.DUMMYFUNCTION("""COMPUTED_VALUE"""),"4692")</f>
        <v>4692</v>
      </c>
      <c r="B1645" s="4" t="str">
        <f>IFERROR(__xludf.DUMMYFUNCTION("""COMPUTED_VALUE"""),"Chaleco Reflect. rejilla verano amarillo NO HOMOLOGADOS")</f>
        <v>Chaleco Reflect. rejilla verano amarillo NO HOMOLOGADOS</v>
      </c>
      <c r="C1645" s="4">
        <f>IFERROR(__xludf.DUMMYFUNCTION("""COMPUTED_VALUE"""),2.592)</f>
        <v>2.592</v>
      </c>
      <c r="D1645" s="4"/>
      <c r="E1645" s="4" t="str">
        <f>IFERROR(__xludf.DUMMYFUNCTION("""COMPUTED_VALUE"""),"Sin precio neto")</f>
        <v>Sin precio neto</v>
      </c>
    </row>
    <row r="1646">
      <c r="A1646" s="4" t="str">
        <f>IFERROR(__xludf.DUMMYFUNCTION("""COMPUTED_VALUE"""),"4695")</f>
        <v>4695</v>
      </c>
      <c r="B1646" s="4" t="str">
        <f>IFERROR(__xludf.DUMMYFUNCTION("""COMPUTED_VALUE"""),"Tirantes reflectantes amarillos NO HOMOLOGADOS")</f>
        <v>Tirantes reflectantes amarillos NO HOMOLOGADOS</v>
      </c>
      <c r="C1646" s="4">
        <f>IFERROR(__xludf.DUMMYFUNCTION("""COMPUTED_VALUE"""),2.112)</f>
        <v>2.112</v>
      </c>
      <c r="D1646" s="4"/>
      <c r="E1646" s="4" t="str">
        <f>IFERROR(__xludf.DUMMYFUNCTION("""COMPUTED_VALUE"""),"Sin precio neto")</f>
        <v>Sin precio neto</v>
      </c>
    </row>
    <row r="1647">
      <c r="A1647" s="4" t="str">
        <f>IFERROR(__xludf.DUMMYFUNCTION("""COMPUTED_VALUE"""),"4696")</f>
        <v>4696</v>
      </c>
      <c r="B1647" s="4" t="str">
        <f>IFERROR(__xludf.DUMMYFUNCTION("""COMPUTED_VALUE"""),"Tirantes reflectantes naranja NO HOMOLOGADOS")</f>
        <v>Tirantes reflectantes naranja NO HOMOLOGADOS</v>
      </c>
      <c r="C1647" s="4">
        <f>IFERROR(__xludf.DUMMYFUNCTION("""COMPUTED_VALUE"""),2.112)</f>
        <v>2.112</v>
      </c>
      <c r="D1647" s="4"/>
      <c r="E1647" s="4" t="str">
        <f>IFERROR(__xludf.DUMMYFUNCTION("""COMPUTED_VALUE"""),"Sin precio neto")</f>
        <v>Sin precio neto</v>
      </c>
    </row>
    <row r="1648">
      <c r="A1648" s="4" t="str">
        <f>IFERROR(__xludf.DUMMYFUNCTION("""COMPUTED_VALUE"""),"4700")</f>
        <v>4700</v>
      </c>
      <c r="B1648" s="4" t="str">
        <f>IFERROR(__xludf.DUMMYFUNCTION("""COMPUTED_VALUE"""),"Rollo Malla Protec Naranja (1x50mts.) 80 gr.")</f>
        <v>Rollo Malla Protec Naranja (1x50mts.) 80 gr.</v>
      </c>
      <c r="C1648" s="4">
        <f>IFERROR(__xludf.DUMMYFUNCTION("""COMPUTED_VALUE"""),17.663999999999998)</f>
        <v>17.664</v>
      </c>
      <c r="D1648" s="4"/>
      <c r="E1648" s="4" t="str">
        <f>IFERROR(__xludf.DUMMYFUNCTION("""COMPUTED_VALUE"""),"Sin precio neto")</f>
        <v>Sin precio neto</v>
      </c>
    </row>
    <row r="1649">
      <c r="A1649" s="4" t="str">
        <f>IFERROR(__xludf.DUMMYFUNCTION("""COMPUTED_VALUE"""),"4700A")</f>
        <v>4700A</v>
      </c>
      <c r="B1649" s="4" t="str">
        <f>IFERROR(__xludf.DUMMYFUNCTION("""COMPUTED_VALUE"""),"Rollo malla Protec Amarilla (1x50 m) 80 gr")</f>
        <v>Rollo malla Protec Amarilla (1x50 m) 80 gr</v>
      </c>
      <c r="C1649" s="4">
        <f>IFERROR(__xludf.DUMMYFUNCTION("""COMPUTED_VALUE"""),16.631999999999998)</f>
        <v>16.632</v>
      </c>
      <c r="D1649" s="4"/>
      <c r="E1649" s="4" t="str">
        <f>IFERROR(__xludf.DUMMYFUNCTION("""COMPUTED_VALUE"""),"Sin precio neto")</f>
        <v>Sin precio neto</v>
      </c>
    </row>
    <row r="1650">
      <c r="A1650" s="4" t="str">
        <f>IFERROR(__xludf.DUMMYFUNCTION("""COMPUTED_VALUE"""),"4700S")</f>
        <v>4700S</v>
      </c>
      <c r="B1650" s="4" t="str">
        <f>IFERROR(__xludf.DUMMYFUNCTION("""COMPUTED_VALUE"""),"Sistema sujeción para mallas y cinta varilla")</f>
        <v>Sistema sujeción para mallas y cinta varilla</v>
      </c>
      <c r="C1650" s="4">
        <f>IFERROR(__xludf.DUMMYFUNCTION("""COMPUTED_VALUE"""),1.2)</f>
        <v>1.2</v>
      </c>
      <c r="D1650" s="4"/>
      <c r="E1650" s="4" t="str">
        <f>IFERROR(__xludf.DUMMYFUNCTION("""COMPUTED_VALUE"""),"Sin precio neto")</f>
        <v>Sin precio neto</v>
      </c>
    </row>
    <row r="1651">
      <c r="A1651" s="4" t="str">
        <f>IFERROR(__xludf.DUMMYFUNCTION("""COMPUTED_VALUE"""),"4700V")</f>
        <v>4700V</v>
      </c>
      <c r="B1651" s="4" t="str">
        <f>IFERROR(__xludf.DUMMYFUNCTION("""COMPUTED_VALUE"""),"Rollo Malla Protec verde (1x50 m) 80 gr")</f>
        <v>Rollo Malla Protec verde (1x50 m) 80 gr</v>
      </c>
      <c r="C1651" s="4">
        <f>IFERROR(__xludf.DUMMYFUNCTION("""COMPUTED_VALUE"""),16.631999999999998)</f>
        <v>16.632</v>
      </c>
      <c r="D1651" s="4"/>
      <c r="E1651" s="4" t="str">
        <f>IFERROR(__xludf.DUMMYFUNCTION("""COMPUTED_VALUE"""),"Sin precio neto")</f>
        <v>Sin precio neto</v>
      </c>
    </row>
    <row r="1652">
      <c r="A1652" s="4" t="str">
        <f>IFERROR(__xludf.DUMMYFUNCTION("""COMPUTED_VALUE"""),"4700Z")</f>
        <v>4700Z</v>
      </c>
      <c r="B1652" s="4" t="str">
        <f>IFERROR(__xludf.DUMMYFUNCTION("""COMPUTED_VALUE"""),"Rollo malla Protec Azul (1x50 m) 80 gr")</f>
        <v>Rollo malla Protec Azul (1x50 m) 80 gr</v>
      </c>
      <c r="C1652" s="4">
        <f>IFERROR(__xludf.DUMMYFUNCTION("""COMPUTED_VALUE"""),16.631999999999998)</f>
        <v>16.632</v>
      </c>
      <c r="D1652" s="4"/>
      <c r="E1652" s="4" t="str">
        <f>IFERROR(__xludf.DUMMYFUNCTION("""COMPUTED_VALUE"""),"Sin precio neto")</f>
        <v>Sin precio neto</v>
      </c>
    </row>
    <row r="1653">
      <c r="A1653" s="4" t="str">
        <f>IFERROR(__xludf.DUMMYFUNCTION("""COMPUTED_VALUE"""),"4701")</f>
        <v>4701</v>
      </c>
      <c r="B1653" s="4" t="str">
        <f>IFERROR(__xludf.DUMMYFUNCTION("""COMPUTED_VALUE"""),"Rollo Malla Protec Naranja (1X50mts.) 100 gr.")</f>
        <v>Rollo Malla Protec Naranja (1X50mts.) 100 gr.</v>
      </c>
      <c r="C1653" s="4">
        <f>IFERROR(__xludf.DUMMYFUNCTION("""COMPUTED_VALUE"""),18.144)</f>
        <v>18.144</v>
      </c>
      <c r="D1653" s="4"/>
      <c r="E1653" s="4" t="str">
        <f>IFERROR(__xludf.DUMMYFUNCTION("""COMPUTED_VALUE"""),"Sin precio neto")</f>
        <v>Sin precio neto</v>
      </c>
    </row>
    <row r="1654">
      <c r="A1654" s="4" t="str">
        <f>IFERROR(__xludf.DUMMYFUNCTION("""COMPUTED_VALUE"""),"4702")</f>
        <v>4702</v>
      </c>
      <c r="B1654" s="4" t="str">
        <f>IFERROR(__xludf.DUMMYFUNCTION("""COMPUTED_VALUE"""),"Rollo malla fibra de vidrio Mortero-Reboco azul 1x50 m")</f>
        <v>Rollo malla fibra de vidrio Mortero-Reboco azul 1x50 m</v>
      </c>
      <c r="C1654" s="4">
        <f>IFERROR(__xludf.DUMMYFUNCTION("""COMPUTED_VALUE"""),20.16)</f>
        <v>20.16</v>
      </c>
      <c r="D1654" s="4"/>
      <c r="E1654" s="4" t="str">
        <f>IFERROR(__xludf.DUMMYFUNCTION("""COMPUTED_VALUE"""),"Sin precio neto")</f>
        <v>Sin precio neto</v>
      </c>
    </row>
    <row r="1655">
      <c r="A1655" s="4" t="str">
        <f>IFERROR(__xludf.DUMMYFUNCTION("""COMPUTED_VALUE"""),"4703")</f>
        <v>4703</v>
      </c>
      <c r="B1655" s="4" t="str">
        <f>IFERROR(__xludf.DUMMYFUNCTION("""COMPUTED_VALUE"""),"Rollo malla fibra de vidrio Yeso Blanca 1x50 m")</f>
        <v>Rollo malla fibra de vidrio Yeso Blanca 1x50 m</v>
      </c>
      <c r="C1655" s="4">
        <f>IFERROR(__xludf.DUMMYFUNCTION("""COMPUTED_VALUE"""),20.16)</f>
        <v>20.16</v>
      </c>
      <c r="D1655" s="4"/>
      <c r="E1655" s="4" t="str">
        <f>IFERROR(__xludf.DUMMYFUNCTION("""COMPUTED_VALUE"""),"Sin precio neto")</f>
        <v>Sin precio neto</v>
      </c>
    </row>
    <row r="1656">
      <c r="A1656" s="4" t="str">
        <f>IFERROR(__xludf.DUMMYFUNCTION("""COMPUTED_VALUE"""),"4704")</f>
        <v>4704</v>
      </c>
      <c r="B1656" s="4" t="str">
        <f>IFERROR(__xludf.DUMMYFUNCTION("""COMPUTED_VALUE"""),"Rollo Malla fibra de vidrio Blanca pintura 1x50 m")</f>
        <v>Rollo Malla fibra de vidrio Blanca pintura 1x50 m</v>
      </c>
      <c r="C1656" s="4">
        <f>IFERROR(__xludf.DUMMYFUNCTION("""COMPUTED_VALUE"""),20.16)</f>
        <v>20.16</v>
      </c>
      <c r="D1656" s="4"/>
      <c r="E1656" s="4" t="str">
        <f>IFERROR(__xludf.DUMMYFUNCTION("""COMPUTED_VALUE"""),"Sin precio neto")</f>
        <v>Sin precio neto</v>
      </c>
    </row>
    <row r="1657">
      <c r="A1657" s="4" t="str">
        <f>IFERROR(__xludf.DUMMYFUNCTION("""COMPUTED_VALUE"""),"4720")</f>
        <v>4720</v>
      </c>
      <c r="B1657" s="4" t="str">
        <f>IFERROR(__xludf.DUMMYFUNCTION("""COMPUTED_VALUE"""),"Mubo PVC señal. c/reflec. 1 mt")</f>
        <v>Mubo PVC señal. c/reflec. 1 mt</v>
      </c>
      <c r="C1657" s="4">
        <f>IFERROR(__xludf.DUMMYFUNCTION("""COMPUTED_VALUE"""),0.768)</f>
        <v>0.768</v>
      </c>
      <c r="D1657" s="4">
        <f>IFERROR(__xludf.DUMMYFUNCTION("""COMPUTED_VALUE"""),0.75)</f>
        <v>0.75</v>
      </c>
      <c r="E1657" s="4" t="str">
        <f>IFERROR(__xludf.DUMMYFUNCTION("""COMPUTED_VALUE"""),"Neto: 0,75 € (a partir de 25 uds.)")</f>
        <v>Neto: 0,75 € (a partir de 25 uds.)</v>
      </c>
    </row>
    <row r="1658">
      <c r="A1658" s="4" t="str">
        <f>IFERROR(__xludf.DUMMYFUNCTION("""COMPUTED_VALUE"""),"4730")</f>
        <v>4730</v>
      </c>
      <c r="B1658" s="4" t="str">
        <f>IFERROR(__xludf.DUMMYFUNCTION("""COMPUTED_VALUE"""),"Estaca madera 30x30x30")</f>
        <v>Estaca madera 30x30x30</v>
      </c>
      <c r="C1658" s="4">
        <f>IFERROR(__xludf.DUMMYFUNCTION("""COMPUTED_VALUE"""),0.384)</f>
        <v>0.384</v>
      </c>
      <c r="D1658" s="4"/>
      <c r="E1658" s="4" t="str">
        <f>IFERROR(__xludf.DUMMYFUNCTION("""COMPUTED_VALUE"""),"Sin precio neto")</f>
        <v>Sin precio neto</v>
      </c>
    </row>
    <row r="1659">
      <c r="A1659" s="4" t="str">
        <f>IFERROR(__xludf.DUMMYFUNCTION("""COMPUTED_VALUE"""),"4735")</f>
        <v>4735</v>
      </c>
      <c r="B1659" s="4" t="str">
        <f>IFERROR(__xludf.DUMMYFUNCTION("""COMPUTED_VALUE"""),"Estaca madera 30x30x35")</f>
        <v>Estaca madera 30x30x35</v>
      </c>
      <c r="C1659" s="4">
        <f>IFERROR(__xludf.DUMMYFUNCTION("""COMPUTED_VALUE"""),0.40319999999999995)</f>
        <v>0.4032</v>
      </c>
      <c r="D1659" s="4"/>
      <c r="E1659" s="4" t="str">
        <f>IFERROR(__xludf.DUMMYFUNCTION("""COMPUTED_VALUE"""),"Sin precio neto")</f>
        <v>Sin precio neto</v>
      </c>
    </row>
    <row r="1660">
      <c r="A1660" s="4" t="str">
        <f>IFERROR(__xludf.DUMMYFUNCTION("""COMPUTED_VALUE"""),"4740")</f>
        <v>4740</v>
      </c>
      <c r="B1660" s="4" t="str">
        <f>IFERROR(__xludf.DUMMYFUNCTION("""COMPUTED_VALUE"""),"Estaca madera 30x30x40")</f>
        <v>Estaca madera 30x30x40</v>
      </c>
      <c r="C1660" s="4">
        <f>IFERROR(__xludf.DUMMYFUNCTION("""COMPUTED_VALUE"""),0.384)</f>
        <v>0.384</v>
      </c>
      <c r="D1660" s="4"/>
      <c r="E1660" s="4" t="str">
        <f>IFERROR(__xludf.DUMMYFUNCTION("""COMPUTED_VALUE"""),"Sin precio neto")</f>
        <v>Sin precio neto</v>
      </c>
    </row>
    <row r="1661">
      <c r="A1661" s="4" t="str">
        <f>IFERROR(__xludf.DUMMYFUNCTION("""COMPUTED_VALUE"""),"4750")</f>
        <v>4750</v>
      </c>
      <c r="B1661" s="4" t="str">
        <f>IFERROR(__xludf.DUMMYFUNCTION("""COMPUTED_VALUE"""),"Estaca madera 30x30x50")</f>
        <v>Estaca madera 30x30x50</v>
      </c>
      <c r="C1661" s="4">
        <f>IFERROR(__xludf.DUMMYFUNCTION("""COMPUTED_VALUE"""),0.45119999999999993)</f>
        <v>0.4512</v>
      </c>
      <c r="D1661" s="4"/>
      <c r="E1661" s="4" t="str">
        <f>IFERROR(__xludf.DUMMYFUNCTION("""COMPUTED_VALUE"""),"Sin precio neto")</f>
        <v>Sin precio neto</v>
      </c>
    </row>
    <row r="1662">
      <c r="A1662" s="4" t="str">
        <f>IFERROR(__xludf.DUMMYFUNCTION("""COMPUTED_VALUE"""),"4760")</f>
        <v>4760</v>
      </c>
      <c r="B1662" s="4" t="str">
        <f>IFERROR(__xludf.DUMMYFUNCTION("""COMPUTED_VALUE"""),"Estaca madera 30x30x60")</f>
        <v>Estaca madera 30x30x60</v>
      </c>
      <c r="C1662" s="4">
        <f>IFERROR(__xludf.DUMMYFUNCTION("""COMPUTED_VALUE"""),0.5471999999999999)</f>
        <v>0.5472</v>
      </c>
      <c r="D1662" s="4"/>
      <c r="E1662" s="4" t="str">
        <f>IFERROR(__xludf.DUMMYFUNCTION("""COMPUTED_VALUE"""),"Sin precio neto")</f>
        <v>Sin precio neto</v>
      </c>
    </row>
    <row r="1663">
      <c r="A1663" s="4" t="str">
        <f>IFERROR(__xludf.DUMMYFUNCTION("""COMPUTED_VALUE"""),"4770")</f>
        <v>4770</v>
      </c>
      <c r="B1663" s="4" t="str">
        <f>IFERROR(__xludf.DUMMYFUNCTION("""COMPUTED_VALUE"""),"Estaca madera 30x30x70")</f>
        <v>Estaca madera 30x30x70</v>
      </c>
      <c r="C1663" s="4">
        <f>IFERROR(__xludf.DUMMYFUNCTION("""COMPUTED_VALUE"""),0.6432)</f>
        <v>0.6432</v>
      </c>
      <c r="D1663" s="4"/>
      <c r="E1663" s="4" t="str">
        <f>IFERROR(__xludf.DUMMYFUNCTION("""COMPUTED_VALUE"""),"Sin precio neto")</f>
        <v>Sin precio neto</v>
      </c>
    </row>
    <row r="1664">
      <c r="A1664" s="4" t="str">
        <f>IFERROR(__xludf.DUMMYFUNCTION("""COMPUTED_VALUE"""),"4780")</f>
        <v>4780</v>
      </c>
      <c r="B1664" s="4" t="str">
        <f>IFERROR(__xludf.DUMMYFUNCTION("""COMPUTED_VALUE"""),"Ecopate 300")</f>
        <v>Ecopate 300</v>
      </c>
      <c r="C1664" s="4">
        <f>IFERROR(__xludf.DUMMYFUNCTION("""COMPUTED_VALUE"""),5.135999999999999)</f>
        <v>5.136</v>
      </c>
      <c r="D1664" s="4">
        <f>IFERROR(__xludf.DUMMYFUNCTION("""COMPUTED_VALUE"""),4.85)</f>
        <v>4.85</v>
      </c>
      <c r="E1664" s="4" t="str">
        <f>IFERROR(__xludf.DUMMYFUNCTION("""COMPUTED_VALUE"""),"Neto: 4,85 € (a partir de 40 uds.)")</f>
        <v>Neto: 4,85 € (a partir de 40 uds.)</v>
      </c>
    </row>
    <row r="1665">
      <c r="A1665" s="4" t="str">
        <f>IFERROR(__xludf.DUMMYFUNCTION("""COMPUTED_VALUE"""),"4799")</f>
        <v>4799</v>
      </c>
      <c r="B1665" s="4" t="str">
        <f>IFERROR(__xludf.DUMMYFUNCTION("""COMPUTED_VALUE"""),"Estaca madera 30x30x100")</f>
        <v>Estaca madera 30x30x100</v>
      </c>
      <c r="C1665" s="4">
        <f>IFERROR(__xludf.DUMMYFUNCTION("""COMPUTED_VALUE"""),0.9023999999999999)</f>
        <v>0.9024</v>
      </c>
      <c r="D1665" s="4"/>
      <c r="E1665" s="4" t="str">
        <f>IFERROR(__xludf.DUMMYFUNCTION("""COMPUTED_VALUE"""),"Sin precio neto")</f>
        <v>Sin precio neto</v>
      </c>
    </row>
    <row r="1666">
      <c r="A1666" s="4" t="str">
        <f>IFERROR(__xludf.DUMMYFUNCTION("""COMPUTED_VALUE"""),"4887")</f>
        <v>4887</v>
      </c>
      <c r="B1666" s="4" t="str">
        <f>IFERROR(__xludf.DUMMYFUNCTION("""COMPUTED_VALUE"""),"Mtro.cuadrado malla proteccion andamio Standard")</f>
        <v>Mtro.cuadrado malla proteccion andamio Standard</v>
      </c>
      <c r="C1666" s="4">
        <f>IFERROR(__xludf.DUMMYFUNCTION("""COMPUTED_VALUE"""),0.5856)</f>
        <v>0.5856</v>
      </c>
      <c r="D1666" s="4"/>
      <c r="E1666" s="4" t="str">
        <f>IFERROR(__xludf.DUMMYFUNCTION("""COMPUTED_VALUE"""),"Sin precio neto")</f>
        <v>Sin precio neto</v>
      </c>
    </row>
    <row r="1667">
      <c r="A1667" s="4" t="str">
        <f>IFERROR(__xludf.DUMMYFUNCTION("""COMPUTED_VALUE"""),"4888")</f>
        <v>4888</v>
      </c>
      <c r="B1667" s="4" t="str">
        <f>IFERROR(__xludf.DUMMYFUNCTION("""COMPUTED_VALUE"""),"Mtro.cuadrado malla proteccion andamio Extra")</f>
        <v>Mtro.cuadrado malla proteccion andamio Extra</v>
      </c>
      <c r="C1667" s="4">
        <f>IFERROR(__xludf.DUMMYFUNCTION("""COMPUTED_VALUE"""),0.6528)</f>
        <v>0.6528</v>
      </c>
      <c r="D1667" s="4"/>
      <c r="E1667" s="4" t="str">
        <f>IFERROR(__xludf.DUMMYFUNCTION("""COMPUTED_VALUE"""),"Sin precio neto")</f>
        <v>Sin precio neto</v>
      </c>
    </row>
    <row r="1668">
      <c r="A1668" s="4" t="str">
        <f>IFERROR(__xludf.DUMMYFUNCTION("""COMPUTED_VALUE"""),"4888C")</f>
        <v>4888C</v>
      </c>
      <c r="B1668" s="4" t="str">
        <f>IFERROR(__xludf.DUMMYFUNCTION("""COMPUTED_VALUE"""),"Conector grapa para malla ojales y poste cadena (50 uds)")</f>
        <v>Conector grapa para malla ojales y poste cadena (50 uds)</v>
      </c>
      <c r="C1668" s="4">
        <f>IFERROR(__xludf.DUMMYFUNCTION("""COMPUTED_VALUE"""),5.76)</f>
        <v>5.76</v>
      </c>
      <c r="D1668" s="4"/>
      <c r="E1668" s="4" t="str">
        <f>IFERROR(__xludf.DUMMYFUNCTION("""COMPUTED_VALUE"""),"Sin precio neto")</f>
        <v>Sin precio neto</v>
      </c>
    </row>
    <row r="1669">
      <c r="A1669" s="4" t="str">
        <f>IFERROR(__xludf.DUMMYFUNCTION("""COMPUTED_VALUE"""),"4888G")</f>
        <v>4888G</v>
      </c>
      <c r="B1669" s="4" t="str">
        <f>IFERROR(__xludf.DUMMYFUNCTION("""COMPUTED_VALUE"""),"Grapa 35x40 mm para malla (50 uds)")</f>
        <v>Grapa 35x40 mm para malla (50 uds)</v>
      </c>
      <c r="C1669" s="4">
        <f>IFERROR(__xludf.DUMMYFUNCTION("""COMPUTED_VALUE"""),3.84)</f>
        <v>3.84</v>
      </c>
      <c r="D1669" s="4"/>
      <c r="E1669" s="4" t="str">
        <f>IFERROR(__xludf.DUMMYFUNCTION("""COMPUTED_VALUE"""),"Sin precio neto")</f>
        <v>Sin precio neto</v>
      </c>
    </row>
    <row r="1670">
      <c r="A1670" s="4" t="str">
        <f>IFERROR(__xludf.DUMMYFUNCTION("""COMPUTED_VALUE"""),"4890")</f>
        <v>4890</v>
      </c>
      <c r="B1670" s="4" t="str">
        <f>IFERROR(__xludf.DUMMYFUNCTION("""COMPUTED_VALUE"""),"Malla sombreo/ocultacion 70% (x M2)")</f>
        <v>Malla sombreo/ocultacion 70% (x M2)</v>
      </c>
      <c r="C1670" s="4">
        <f>IFERROR(__xludf.DUMMYFUNCTION("""COMPUTED_VALUE"""),0.5232)</f>
        <v>0.5232</v>
      </c>
      <c r="D1670" s="4"/>
      <c r="E1670" s="4" t="str">
        <f>IFERROR(__xludf.DUMMYFUNCTION("""COMPUTED_VALUE"""),"Sin precio neto")</f>
        <v>Sin precio neto</v>
      </c>
    </row>
    <row r="1671">
      <c r="A1671" s="4" t="str">
        <f>IFERROR(__xludf.DUMMYFUNCTION("""COMPUTED_VALUE"""),"4891")</f>
        <v>4891</v>
      </c>
      <c r="B1671" s="4" t="str">
        <f>IFERROR(__xludf.DUMMYFUNCTION("""COMPUTED_VALUE"""),"Malla sombreo/ocultacion 80% (x M2)")</f>
        <v>Malla sombreo/ocultacion 80% (x M2)</v>
      </c>
      <c r="C1671" s="4">
        <f>IFERROR(__xludf.DUMMYFUNCTION("""COMPUTED_VALUE"""),0.9119999999999999)</f>
        <v>0.912</v>
      </c>
      <c r="D1671" s="4"/>
      <c r="E1671" s="4" t="str">
        <f>IFERROR(__xludf.DUMMYFUNCTION("""COMPUTED_VALUE"""),"Sin precio neto")</f>
        <v>Sin precio neto</v>
      </c>
    </row>
    <row r="1672">
      <c r="A1672" s="4" t="str">
        <f>IFERROR(__xludf.DUMMYFUNCTION("""COMPUTED_VALUE"""),"4892")</f>
        <v>4892</v>
      </c>
      <c r="B1672" s="4" t="str">
        <f>IFERROR(__xludf.DUMMYFUNCTION("""COMPUTED_VALUE"""),"Malla sombreo/ocultacion 90% (x M2)")</f>
        <v>Malla sombreo/ocultacion 90% (x M2)</v>
      </c>
      <c r="C1672" s="4">
        <f>IFERROR(__xludf.DUMMYFUNCTION("""COMPUTED_VALUE"""),0.9984)</f>
        <v>0.9984</v>
      </c>
      <c r="D1672" s="4"/>
      <c r="E1672" s="4" t="str">
        <f>IFERROR(__xludf.DUMMYFUNCTION("""COMPUTED_VALUE"""),"Sin precio neto")</f>
        <v>Sin precio neto</v>
      </c>
    </row>
    <row r="1673">
      <c r="A1673" s="4" t="str">
        <f>IFERROR(__xludf.DUMMYFUNCTION("""COMPUTED_VALUE"""),"4893")</f>
        <v>4893</v>
      </c>
      <c r="B1673" s="4" t="str">
        <f>IFERROR(__xludf.DUMMYFUNCTION("""COMPUTED_VALUE"""),"Malla/Tejido suelo antihierba negro/verde (x M2)")</f>
        <v>Malla/Tejido suelo antihierba negro/verde (x M2)</v>
      </c>
      <c r="C1673" s="4">
        <f>IFERROR(__xludf.DUMMYFUNCTION("""COMPUTED_VALUE"""),0.7296)</f>
        <v>0.7296</v>
      </c>
      <c r="D1673" s="4"/>
      <c r="E1673" s="4" t="str">
        <f>IFERROR(__xludf.DUMMYFUNCTION("""COMPUTED_VALUE"""),"Sin precio neto")</f>
        <v>Sin precio neto</v>
      </c>
    </row>
    <row r="1674">
      <c r="A1674" s="4" t="str">
        <f>IFERROR(__xludf.DUMMYFUNCTION("""COMPUTED_VALUE"""),"4894")</f>
        <v>4894</v>
      </c>
      <c r="B1674" s="4" t="str">
        <f>IFERROR(__xludf.DUMMYFUNCTION("""COMPUTED_VALUE"""),"Malla ocultacion negra/franjas 75% 3,50x1,90 blister")</f>
        <v>Malla ocultacion negra/franjas 75% 3,50x1,90 blister</v>
      </c>
      <c r="C1674" s="4">
        <f>IFERROR(__xludf.DUMMYFUNCTION("""COMPUTED_VALUE"""),5.097599999999999)</f>
        <v>5.0976</v>
      </c>
      <c r="D1674" s="4"/>
      <c r="E1674" s="4" t="str">
        <f>IFERROR(__xludf.DUMMYFUNCTION("""COMPUTED_VALUE"""),"Sin precio neto")</f>
        <v>Sin precio neto</v>
      </c>
    </row>
    <row r="1675">
      <c r="A1675" s="4" t="str">
        <f>IFERROR(__xludf.DUMMYFUNCTION("""COMPUTED_VALUE"""),"4895/A")</f>
        <v>4895/A</v>
      </c>
      <c r="B1675" s="4" t="str">
        <f>IFERROR(__xludf.DUMMYFUNCTION("""COMPUTED_VALUE"""),"Malla señal. monofilamento 1x100 mts Amarilla")</f>
        <v>Malla señal. monofilamento 1x100 mts Amarilla</v>
      </c>
      <c r="C1675" s="4">
        <f>IFERROR(__xludf.DUMMYFUNCTION("""COMPUTED_VALUE"""),48.384)</f>
        <v>48.384</v>
      </c>
      <c r="D1675" s="4"/>
      <c r="E1675" s="4" t="str">
        <f>IFERROR(__xludf.DUMMYFUNCTION("""COMPUTED_VALUE"""),"Sin precio neto")</f>
        <v>Sin precio neto</v>
      </c>
    </row>
    <row r="1676">
      <c r="A1676" s="4" t="str">
        <f>IFERROR(__xludf.DUMMYFUNCTION("""COMPUTED_VALUE"""),"4895/R")</f>
        <v>4895/R</v>
      </c>
      <c r="B1676" s="4" t="str">
        <f>IFERROR(__xludf.DUMMYFUNCTION("""COMPUTED_VALUE"""),"Malla señal. monofilamento 1x100 mts Rojo")</f>
        <v>Malla señal. monofilamento 1x100 mts Rojo</v>
      </c>
      <c r="C1676" s="4">
        <f>IFERROR(__xludf.DUMMYFUNCTION("""COMPUTED_VALUE"""),48.384)</f>
        <v>48.384</v>
      </c>
      <c r="D1676" s="4"/>
      <c r="E1676" s="4" t="str">
        <f>IFERROR(__xludf.DUMMYFUNCTION("""COMPUTED_VALUE"""),"Sin precio neto")</f>
        <v>Sin precio neto</v>
      </c>
    </row>
    <row r="1677">
      <c r="A1677" s="4" t="str">
        <f>IFERROR(__xludf.DUMMYFUNCTION("""COMPUTED_VALUE"""),"4897")</f>
        <v>4897</v>
      </c>
      <c r="B1677" s="4" t="str">
        <f>IFERROR(__xludf.DUMMYFUNCTION("""COMPUTED_VALUE"""),"Malla sombreo/ocultacion 70% manto a medida (x M2)")</f>
        <v>Malla sombreo/ocultacion 70% manto a medida (x M2)</v>
      </c>
      <c r="C1677" s="4">
        <f>IFERROR(__xludf.DUMMYFUNCTION("""COMPUTED_VALUE"""),0.5856)</f>
        <v>0.5856</v>
      </c>
      <c r="D1677" s="4"/>
      <c r="E1677" s="4" t="str">
        <f>IFERROR(__xludf.DUMMYFUNCTION("""COMPUTED_VALUE"""),"Sin precio neto")</f>
        <v>Sin precio neto</v>
      </c>
    </row>
    <row r="1678">
      <c r="A1678" s="4" t="str">
        <f>IFERROR(__xludf.DUMMYFUNCTION("""COMPUTED_VALUE"""),"4898")</f>
        <v>4898</v>
      </c>
      <c r="B1678" s="4" t="str">
        <f>IFERROR(__xludf.DUMMYFUNCTION("""COMPUTED_VALUE"""),"Malla sombreo/ocultacion 80% manto a medida (x M2)")</f>
        <v>Malla sombreo/ocultacion 80% manto a medida (x M2)</v>
      </c>
      <c r="C1678" s="4">
        <f>IFERROR(__xludf.DUMMYFUNCTION("""COMPUTED_VALUE"""),0.8543999999999999)</f>
        <v>0.8544</v>
      </c>
      <c r="D1678" s="4"/>
      <c r="E1678" s="4" t="str">
        <f>IFERROR(__xludf.DUMMYFUNCTION("""COMPUTED_VALUE"""),"Sin precio neto")</f>
        <v>Sin precio neto</v>
      </c>
    </row>
    <row r="1679">
      <c r="A1679" s="4" t="str">
        <f>IFERROR(__xludf.DUMMYFUNCTION("""COMPUTED_VALUE"""),"4899")</f>
        <v>4899</v>
      </c>
      <c r="B1679" s="4" t="str">
        <f>IFERROR(__xludf.DUMMYFUNCTION("""COMPUTED_VALUE"""),"Malla sombreo/ocultacion 90% manto a medida (x M2)")</f>
        <v>Malla sombreo/ocultacion 90% manto a medida (x M2)</v>
      </c>
      <c r="C1679" s="4">
        <f>IFERROR(__xludf.DUMMYFUNCTION("""COMPUTED_VALUE"""),0.9071999999999999)</f>
        <v>0.9072</v>
      </c>
      <c r="D1679" s="4"/>
      <c r="E1679" s="4" t="str">
        <f>IFERROR(__xludf.DUMMYFUNCTION("""COMPUTED_VALUE"""),"Sin precio neto")</f>
        <v>Sin precio neto</v>
      </c>
    </row>
    <row r="1680">
      <c r="A1680" s="4" t="str">
        <f>IFERROR(__xludf.DUMMYFUNCTION("""COMPUTED_VALUE"""),"5100")</f>
        <v>5100</v>
      </c>
      <c r="B1680" s="4" t="str">
        <f>IFERROR(__xludf.DUMMYFUNCTION("""COMPUTED_VALUE"""),"Gafas protección G-1")</f>
        <v>Gafas protección G-1</v>
      </c>
      <c r="C1680" s="4">
        <f>IFERROR(__xludf.DUMMYFUNCTION("""COMPUTED_VALUE"""),1.0943999999999998)</f>
        <v>1.0944</v>
      </c>
      <c r="D1680" s="4"/>
      <c r="E1680" s="4" t="str">
        <f>IFERROR(__xludf.DUMMYFUNCTION("""COMPUTED_VALUE"""),"Sin precio neto")</f>
        <v>Sin precio neto</v>
      </c>
    </row>
    <row r="1681">
      <c r="A1681" s="4" t="str">
        <f>IFERROR(__xludf.DUMMYFUNCTION("""COMPUTED_VALUE"""),"5101")</f>
        <v>5101</v>
      </c>
      <c r="B1681" s="4" t="str">
        <f>IFERROR(__xludf.DUMMYFUNCTION("""COMPUTED_VALUE"""),"Gafas protección G-2")</f>
        <v>Gafas protección G-2</v>
      </c>
      <c r="C1681" s="4">
        <f>IFERROR(__xludf.DUMMYFUNCTION("""COMPUTED_VALUE"""),0.768)</f>
        <v>0.768</v>
      </c>
      <c r="D1681" s="4"/>
      <c r="E1681" s="4" t="str">
        <f>IFERROR(__xludf.DUMMYFUNCTION("""COMPUTED_VALUE"""),"Sin precio neto")</f>
        <v>Sin precio neto</v>
      </c>
    </row>
    <row r="1682">
      <c r="A1682" s="4" t="str">
        <f>IFERROR(__xludf.DUMMYFUNCTION("""COMPUTED_VALUE"""),"5102")</f>
        <v>5102</v>
      </c>
      <c r="B1682" s="4" t="str">
        <f>IFERROR(__xludf.DUMMYFUNCTION("""COMPUTED_VALUE"""),"Gafas protección G-3")</f>
        <v>Gafas protección G-3</v>
      </c>
      <c r="C1682" s="4">
        <f>IFERROR(__xludf.DUMMYFUNCTION("""COMPUTED_VALUE"""),1.3247999999999998)</f>
        <v>1.3248</v>
      </c>
      <c r="D1682" s="4"/>
      <c r="E1682" s="4" t="str">
        <f>IFERROR(__xludf.DUMMYFUNCTION("""COMPUTED_VALUE"""),"Sin precio neto")</f>
        <v>Sin precio neto</v>
      </c>
    </row>
    <row r="1683">
      <c r="A1683" s="4" t="str">
        <f>IFERROR(__xludf.DUMMYFUNCTION("""COMPUTED_VALUE"""),"5105")</f>
        <v>5105</v>
      </c>
      <c r="B1683" s="4" t="str">
        <f>IFERROR(__xludf.DUMMYFUNCTION("""COMPUTED_VALUE"""),"Pantalla protectora facial fija Basic")</f>
        <v>Pantalla protectora facial fija Basic</v>
      </c>
      <c r="C1683" s="4">
        <f>IFERROR(__xludf.DUMMYFUNCTION("""COMPUTED_VALUE"""),2.016)</f>
        <v>2.016</v>
      </c>
      <c r="D1683" s="4"/>
      <c r="E1683" s="4" t="str">
        <f>IFERROR(__xludf.DUMMYFUNCTION("""COMPUTED_VALUE"""),"Sin precio neto")</f>
        <v>Sin precio neto</v>
      </c>
    </row>
    <row r="1684">
      <c r="A1684" s="4" t="str">
        <f>IFERROR(__xludf.DUMMYFUNCTION("""COMPUTED_VALUE"""),"5200")</f>
        <v>5200</v>
      </c>
      <c r="B1684" s="4" t="str">
        <f>IFERROR(__xludf.DUMMYFUNCTION("""COMPUTED_VALUE"""),"Tapones proteccion auditiva c/ cordón")</f>
        <v>Tapones proteccion auditiva c/ cordón</v>
      </c>
      <c r="C1684" s="4">
        <f>IFERROR(__xludf.DUMMYFUNCTION("""COMPUTED_VALUE"""),0.2208)</f>
        <v>0.2208</v>
      </c>
      <c r="D1684" s="4"/>
      <c r="E1684" s="4" t="str">
        <f>IFERROR(__xludf.DUMMYFUNCTION("""COMPUTED_VALUE"""),"Sin precio neto")</f>
        <v>Sin precio neto</v>
      </c>
    </row>
    <row r="1685">
      <c r="A1685" s="4" t="str">
        <f>IFERROR(__xludf.DUMMYFUNCTION("""COMPUTED_VALUE"""),"5201")</f>
        <v>5201</v>
      </c>
      <c r="B1685" s="4" t="str">
        <f>IFERROR(__xludf.DUMMYFUNCTION("""COMPUTED_VALUE"""),"Cascos proteccion auditiva mod. A")</f>
        <v>Cascos proteccion auditiva mod. A</v>
      </c>
      <c r="C1685" s="4">
        <f>IFERROR(__xludf.DUMMYFUNCTION("""COMPUTED_VALUE"""),2.4288)</f>
        <v>2.4288</v>
      </c>
      <c r="D1685" s="4"/>
      <c r="E1685" s="4" t="str">
        <f>IFERROR(__xludf.DUMMYFUNCTION("""COMPUTED_VALUE"""),"Sin precio neto")</f>
        <v>Sin precio neto</v>
      </c>
    </row>
    <row r="1686">
      <c r="A1686" s="4" t="str">
        <f>IFERROR(__xludf.DUMMYFUNCTION("""COMPUTED_VALUE"""),"5300L")</f>
        <v>5300L</v>
      </c>
      <c r="B1686" s="4" t="str">
        <f>IFERROR(__xludf.DUMMYFUNCTION("""COMPUTED_VALUE"""),"Faja elastica proteccion lumbar Talla L")</f>
        <v>Faja elastica proteccion lumbar Talla L</v>
      </c>
      <c r="C1686" s="4">
        <f>IFERROR(__xludf.DUMMYFUNCTION("""COMPUTED_VALUE"""),7.584)</f>
        <v>7.584</v>
      </c>
      <c r="D1686" s="4"/>
      <c r="E1686" s="4" t="str">
        <f>IFERROR(__xludf.DUMMYFUNCTION("""COMPUTED_VALUE"""),"Sin precio neto")</f>
        <v>Sin precio neto</v>
      </c>
    </row>
    <row r="1687">
      <c r="A1687" s="4" t="str">
        <f>IFERROR(__xludf.DUMMYFUNCTION("""COMPUTED_VALUE"""),"5300XL")</f>
        <v>5300XL</v>
      </c>
      <c r="B1687" s="4" t="str">
        <f>IFERROR(__xludf.DUMMYFUNCTION("""COMPUTED_VALUE"""),"Faja elastica proteccion lumbar Talla XL")</f>
        <v>Faja elastica proteccion lumbar Talla XL</v>
      </c>
      <c r="C1687" s="4">
        <f>IFERROR(__xludf.DUMMYFUNCTION("""COMPUTED_VALUE"""),7.584)</f>
        <v>7.584</v>
      </c>
      <c r="D1687" s="4"/>
      <c r="E1687" s="4" t="str">
        <f>IFERROR(__xludf.DUMMYFUNCTION("""COMPUTED_VALUE"""),"Sin precio neto")</f>
        <v>Sin precio neto</v>
      </c>
    </row>
    <row r="1688">
      <c r="A1688" s="4" t="str">
        <f>IFERROR(__xludf.DUMMYFUNCTION("""COMPUTED_VALUE"""),"5300XXL")</f>
        <v>5300XXL</v>
      </c>
      <c r="B1688" s="4" t="str">
        <f>IFERROR(__xludf.DUMMYFUNCTION("""COMPUTED_VALUE"""),"Faja elastica proteccion lumbar Talla XXL")</f>
        <v>Faja elastica proteccion lumbar Talla XXL</v>
      </c>
      <c r="C1688" s="4">
        <f>IFERROR(__xludf.DUMMYFUNCTION("""COMPUTED_VALUE"""),7.584)</f>
        <v>7.584</v>
      </c>
      <c r="D1688" s="4"/>
      <c r="E1688" s="4" t="str">
        <f>IFERROR(__xludf.DUMMYFUNCTION("""COMPUTED_VALUE"""),"Sin precio neto")</f>
        <v>Sin precio neto</v>
      </c>
    </row>
    <row r="1689">
      <c r="A1689" s="4" t="str">
        <f>IFERROR(__xludf.DUMMYFUNCTION("""COMPUTED_VALUE"""),"7000")</f>
        <v>7000</v>
      </c>
      <c r="B1689" s="4" t="str">
        <f>IFERROR(__xludf.DUMMYFUNCTION("""COMPUTED_VALUE"""),"Spray fluo 500 ml S MARK rojo")</f>
        <v>Spray fluo 500 ml S MARK rojo</v>
      </c>
      <c r="C1689" s="4">
        <f>IFERROR(__xludf.DUMMYFUNCTION("""COMPUTED_VALUE"""),4.512)</f>
        <v>4.512</v>
      </c>
      <c r="D1689" s="4"/>
      <c r="E1689" s="4" t="str">
        <f>IFERROR(__xludf.DUMMYFUNCTION("""COMPUTED_VALUE"""),"Sin precio neto")</f>
        <v>Sin precio neto</v>
      </c>
    </row>
    <row r="1690">
      <c r="A1690" s="4" t="str">
        <f>IFERROR(__xludf.DUMMYFUNCTION("""COMPUTED_VALUE"""),"7001")</f>
        <v>7001</v>
      </c>
      <c r="B1690" s="4" t="str">
        <f>IFERROR(__xludf.DUMMYFUNCTION("""COMPUTED_VALUE"""),"Spray fluo 500 ml S MARK azul")</f>
        <v>Spray fluo 500 ml S MARK azul</v>
      </c>
      <c r="C1690" s="4">
        <f>IFERROR(__xludf.DUMMYFUNCTION("""COMPUTED_VALUE"""),4.512)</f>
        <v>4.512</v>
      </c>
      <c r="D1690" s="4"/>
      <c r="E1690" s="4" t="str">
        <f>IFERROR(__xludf.DUMMYFUNCTION("""COMPUTED_VALUE"""),"Sin precio neto")</f>
        <v>Sin precio neto</v>
      </c>
    </row>
    <row r="1691">
      <c r="A1691" s="4" t="str">
        <f>IFERROR(__xludf.DUMMYFUNCTION("""COMPUTED_VALUE"""),"7002")</f>
        <v>7002</v>
      </c>
      <c r="B1691" s="4" t="str">
        <f>IFERROR(__xludf.DUMMYFUNCTION("""COMPUTED_VALUE"""),"Spray fluo 500 ml S MARK amarillo")</f>
        <v>Spray fluo 500 ml S MARK amarillo</v>
      </c>
      <c r="C1691" s="4">
        <f>IFERROR(__xludf.DUMMYFUNCTION("""COMPUTED_VALUE"""),4.512)</f>
        <v>4.512</v>
      </c>
      <c r="D1691" s="4"/>
      <c r="E1691" s="4" t="str">
        <f>IFERROR(__xludf.DUMMYFUNCTION("""COMPUTED_VALUE"""),"Sin precio neto")</f>
        <v>Sin precio neto</v>
      </c>
    </row>
    <row r="1692">
      <c r="A1692" s="4" t="str">
        <f>IFERROR(__xludf.DUMMYFUNCTION("""COMPUTED_VALUE"""),"7003")</f>
        <v>7003</v>
      </c>
      <c r="B1692" s="4" t="str">
        <f>IFERROR(__xludf.DUMMYFUNCTION("""COMPUTED_VALUE"""),"Spray fluo 500 ml S MARK verde")</f>
        <v>Spray fluo 500 ml S MARK verde</v>
      </c>
      <c r="C1692" s="4">
        <f>IFERROR(__xludf.DUMMYFUNCTION("""COMPUTED_VALUE"""),4.512)</f>
        <v>4.512</v>
      </c>
      <c r="D1692" s="4"/>
      <c r="E1692" s="4" t="str">
        <f>IFERROR(__xludf.DUMMYFUNCTION("""COMPUTED_VALUE"""),"Sin precio neto")</f>
        <v>Sin precio neto</v>
      </c>
    </row>
    <row r="1693">
      <c r="A1693" s="4" t="str">
        <f>IFERROR(__xludf.DUMMYFUNCTION("""COMPUTED_VALUE"""),"7003A")</f>
        <v>7003A</v>
      </c>
      <c r="B1693" s="4" t="str">
        <f>IFERROR(__xludf.DUMMYFUNCTION("""COMPUTED_VALUE"""),"Loseta/superficie para guía peatonal Mod A")</f>
        <v>Loseta/superficie para guía peatonal Mod A</v>
      </c>
      <c r="C1693" s="4">
        <f>IFERROR(__xludf.DUMMYFUNCTION("""COMPUTED_VALUE"""),9.024)</f>
        <v>9.024</v>
      </c>
      <c r="D1693" s="4"/>
      <c r="E1693" s="4" t="str">
        <f>IFERROR(__xludf.DUMMYFUNCTION("""COMPUTED_VALUE"""),"Sin precio neto")</f>
        <v>Sin precio neto</v>
      </c>
    </row>
    <row r="1694">
      <c r="A1694" s="4" t="str">
        <f>IFERROR(__xludf.DUMMYFUNCTION("""COMPUTED_VALUE"""),"7004")</f>
        <v>7004</v>
      </c>
      <c r="B1694" s="4" t="str">
        <f>IFERROR(__xludf.DUMMYFUNCTION("""COMPUTED_VALUE"""),"Spray fluo 500 ml S MARK rosa")</f>
        <v>Spray fluo 500 ml S MARK rosa</v>
      </c>
      <c r="C1694" s="4">
        <f>IFERROR(__xludf.DUMMYFUNCTION("""COMPUTED_VALUE"""),4.512)</f>
        <v>4.512</v>
      </c>
      <c r="D1694" s="4"/>
      <c r="E1694" s="4" t="str">
        <f>IFERROR(__xludf.DUMMYFUNCTION("""COMPUTED_VALUE"""),"Sin precio neto")</f>
        <v>Sin precio neto</v>
      </c>
    </row>
    <row r="1695">
      <c r="A1695" s="4" t="str">
        <f>IFERROR(__xludf.DUMMYFUNCTION("""COMPUTED_VALUE"""),"7004B")</f>
        <v>7004B</v>
      </c>
      <c r="B1695" s="4" t="str">
        <f>IFERROR(__xludf.DUMMYFUNCTION("""COMPUTED_VALUE"""),"Loseta/superficie para guía peatonal Mod B")</f>
        <v>Loseta/superficie para guía peatonal Mod B</v>
      </c>
      <c r="C1695" s="4">
        <f>IFERROR(__xludf.DUMMYFUNCTION("""COMPUTED_VALUE"""),9.024)</f>
        <v>9.024</v>
      </c>
      <c r="D1695" s="4"/>
      <c r="E1695" s="4" t="str">
        <f>IFERROR(__xludf.DUMMYFUNCTION("""COMPUTED_VALUE"""),"Sin precio neto")</f>
        <v>Sin precio neto</v>
      </c>
    </row>
    <row r="1696">
      <c r="A1696" s="4" t="str">
        <f>IFERROR(__xludf.DUMMYFUNCTION("""COMPUTED_VALUE"""),"7005")</f>
        <v>7005</v>
      </c>
      <c r="B1696" s="4" t="str">
        <f>IFERROR(__xludf.DUMMYFUNCTION("""COMPUTED_VALUE"""),"Spray fluo 500 ml S MARK naranja")</f>
        <v>Spray fluo 500 ml S MARK naranja</v>
      </c>
      <c r="C1696" s="4">
        <f>IFERROR(__xludf.DUMMYFUNCTION("""COMPUTED_VALUE"""),4.512)</f>
        <v>4.512</v>
      </c>
      <c r="D1696" s="4"/>
      <c r="E1696" s="4" t="str">
        <f>IFERROR(__xludf.DUMMYFUNCTION("""COMPUTED_VALUE"""),"Sin precio neto")</f>
        <v>Sin precio neto</v>
      </c>
    </row>
    <row r="1697">
      <c r="A1697" s="4" t="str">
        <f>IFERROR(__xludf.DUMMYFUNCTION("""COMPUTED_VALUE"""),"7010")</f>
        <v>7010</v>
      </c>
      <c r="B1697" s="4" t="str">
        <f>IFERROR(__xludf.DUMMYFUNCTION("""COMPUTED_VALUE"""),"Spray Fluo 360º 500 ml IDEAL rojo")</f>
        <v>Spray Fluo 360º 500 ml IDEAL rojo</v>
      </c>
      <c r="C1697" s="4">
        <f>IFERROR(__xludf.DUMMYFUNCTION("""COMPUTED_VALUE"""),4.771199999999999)</f>
        <v>4.7712</v>
      </c>
      <c r="D1697" s="4"/>
      <c r="E1697" s="4" t="str">
        <f>IFERROR(__xludf.DUMMYFUNCTION("""COMPUTED_VALUE"""),"Sin precio neto")</f>
        <v>Sin precio neto</v>
      </c>
    </row>
    <row r="1698">
      <c r="A1698" s="4" t="str">
        <f>IFERROR(__xludf.DUMMYFUNCTION("""COMPUTED_VALUE"""),"7011")</f>
        <v>7011</v>
      </c>
      <c r="B1698" s="4" t="str">
        <f>IFERROR(__xludf.DUMMYFUNCTION("""COMPUTED_VALUE"""),"Spray Fluo 360º 500 ml IDEAL azul")</f>
        <v>Spray Fluo 360º 500 ml IDEAL azul</v>
      </c>
      <c r="C1698" s="4">
        <f>IFERROR(__xludf.DUMMYFUNCTION("""COMPUTED_VALUE"""),4.771199999999999)</f>
        <v>4.7712</v>
      </c>
      <c r="D1698" s="4"/>
      <c r="E1698" s="4" t="str">
        <f>IFERROR(__xludf.DUMMYFUNCTION("""COMPUTED_VALUE"""),"Sin precio neto")</f>
        <v>Sin precio neto</v>
      </c>
    </row>
    <row r="1699">
      <c r="A1699" s="4" t="str">
        <f>IFERROR(__xludf.DUMMYFUNCTION("""COMPUTED_VALUE"""),"7012")</f>
        <v>7012</v>
      </c>
      <c r="B1699" s="4" t="str">
        <f>IFERROR(__xludf.DUMMYFUNCTION("""COMPUTED_VALUE"""),"Spray Fluo 360º 500 ml IDEAL amarillo")</f>
        <v>Spray Fluo 360º 500 ml IDEAL amarillo</v>
      </c>
      <c r="C1699" s="4">
        <f>IFERROR(__xludf.DUMMYFUNCTION("""COMPUTED_VALUE"""),4.771199999999999)</f>
        <v>4.7712</v>
      </c>
      <c r="D1699" s="4"/>
      <c r="E1699" s="4" t="str">
        <f>IFERROR(__xludf.DUMMYFUNCTION("""COMPUTED_VALUE"""),"Sin precio neto")</f>
        <v>Sin precio neto</v>
      </c>
    </row>
    <row r="1700">
      <c r="A1700" s="4" t="str">
        <f>IFERROR(__xludf.DUMMYFUNCTION("""COMPUTED_VALUE"""),"7014")</f>
        <v>7014</v>
      </c>
      <c r="B1700" s="4" t="str">
        <f>IFERROR(__xludf.DUMMYFUNCTION("""COMPUTED_VALUE"""),"Spray Fluo 360º 500 ml IDEAL rosa")</f>
        <v>Spray Fluo 360º 500 ml IDEAL rosa</v>
      </c>
      <c r="C1700" s="4">
        <f>IFERROR(__xludf.DUMMYFUNCTION("""COMPUTED_VALUE"""),4.771199999999999)</f>
        <v>4.7712</v>
      </c>
      <c r="D1700" s="4"/>
      <c r="E1700" s="4" t="str">
        <f>IFERROR(__xludf.DUMMYFUNCTION("""COMPUTED_VALUE"""),"Sin precio neto")</f>
        <v>Sin precio neto</v>
      </c>
    </row>
    <row r="1701">
      <c r="A1701" s="4" t="str">
        <f>IFERROR(__xludf.DUMMYFUNCTION("""COMPUTED_VALUE"""),"7020")</f>
        <v>7020</v>
      </c>
      <c r="B1701" s="4" t="str">
        <f>IFERROR(__xludf.DUMMYFUNCTION("""COMPUTED_VALUE"""),"Spray 500 ml Line Marker Blanco")</f>
        <v>Spray 500 ml Line Marker Blanco</v>
      </c>
      <c r="C1701" s="4">
        <f>IFERROR(__xludf.DUMMYFUNCTION("""COMPUTED_VALUE"""),7.3104)</f>
        <v>7.3104</v>
      </c>
      <c r="D1701" s="4"/>
      <c r="E1701" s="4" t="str">
        <f>IFERROR(__xludf.DUMMYFUNCTION("""COMPUTED_VALUE"""),"Sin precio neto")</f>
        <v>Sin precio neto</v>
      </c>
    </row>
    <row r="1702">
      <c r="A1702" s="4" t="str">
        <f>IFERROR(__xludf.DUMMYFUNCTION("""COMPUTED_VALUE"""),"7022")</f>
        <v>7022</v>
      </c>
      <c r="B1702" s="4" t="str">
        <f>IFERROR(__xludf.DUMMYFUNCTION("""COMPUTED_VALUE"""),"Spray 500 ml Line Marker Amarillo")</f>
        <v>Spray 500 ml Line Marker Amarillo</v>
      </c>
      <c r="C1702" s="4">
        <f>IFERROR(__xludf.DUMMYFUNCTION("""COMPUTED_VALUE"""),7.3104)</f>
        <v>7.3104</v>
      </c>
      <c r="D1702" s="4"/>
      <c r="E1702" s="4" t="str">
        <f>IFERROR(__xludf.DUMMYFUNCTION("""COMPUTED_VALUE"""),"Sin precio neto")</f>
        <v>Sin precio neto</v>
      </c>
    </row>
    <row r="1703">
      <c r="A1703" s="4" t="str">
        <f>IFERROR(__xludf.DUMMYFUNCTION("""COMPUTED_VALUE"""),"7025")</f>
        <v>7025</v>
      </c>
      <c r="B1703" s="4" t="str">
        <f>IFERROR(__xludf.DUMMYFUNCTION("""COMPUTED_VALUE"""),"Spray Pintura Luminiscente 400 ml")</f>
        <v>Spray Pintura Luminiscente 400 ml</v>
      </c>
      <c r="C1703" s="4">
        <f>IFERROR(__xludf.DUMMYFUNCTION("""COMPUTED_VALUE"""),17.64)</f>
        <v>17.64</v>
      </c>
      <c r="D1703" s="4"/>
      <c r="E1703" s="4" t="str">
        <f>IFERROR(__xludf.DUMMYFUNCTION("""COMPUTED_VALUE"""),"Sin precio neto")</f>
        <v>Sin precio neto</v>
      </c>
    </row>
    <row r="1704">
      <c r="A1704" s="4" t="str">
        <f>IFERROR(__xludf.DUMMYFUNCTION("""COMPUTED_VALUE"""),"80135N1")</f>
        <v>80135N1</v>
      </c>
      <c r="B1704" s="4" t="str">
        <f>IFERROR(__xludf.DUMMYFUNCTION("""COMPUTED_VALUE"""),"Triangulo MOPU TP 135 cm Reflex I")</f>
        <v>Triangulo MOPU TP 135 cm Reflex I</v>
      </c>
      <c r="C1704" s="4">
        <f>IFERROR(__xludf.DUMMYFUNCTION("""COMPUTED_VALUE"""),77.8176)</f>
        <v>77.8176</v>
      </c>
      <c r="D1704" s="4"/>
      <c r="E1704" s="4" t="str">
        <f>IFERROR(__xludf.DUMMYFUNCTION("""COMPUTED_VALUE"""),"Sin precio neto")</f>
        <v>Sin precio neto</v>
      </c>
    </row>
    <row r="1705">
      <c r="A1705" s="4" t="str">
        <f>IFERROR(__xludf.DUMMYFUNCTION("""COMPUTED_VALUE"""),"80135N2")</f>
        <v>80135N2</v>
      </c>
      <c r="B1705" s="4" t="str">
        <f>IFERROR(__xludf.DUMMYFUNCTION("""COMPUTED_VALUE"""),"Triangulo MOPU TD 135 cm Reflex II")</f>
        <v>Triangulo MOPU TD 135 cm Reflex II</v>
      </c>
      <c r="C1705" s="4">
        <f>IFERROR(__xludf.DUMMYFUNCTION("""COMPUTED_VALUE"""),112.6944)</f>
        <v>112.6944</v>
      </c>
      <c r="D1705" s="4"/>
      <c r="E1705" s="4" t="str">
        <f>IFERROR(__xludf.DUMMYFUNCTION("""COMPUTED_VALUE"""),"Sin precio neto")</f>
        <v>Sin precio neto</v>
      </c>
    </row>
    <row r="1706">
      <c r="A1706" s="4" t="str">
        <f>IFERROR(__xludf.DUMMYFUNCTION("""COMPUTED_VALUE"""),"80135N3")</f>
        <v>80135N3</v>
      </c>
      <c r="B1706" s="4" t="str">
        <f>IFERROR(__xludf.DUMMYFUNCTION("""COMPUTED_VALUE"""),"Triangulo MOPU TD 135 cm Reflex III")</f>
        <v>Triangulo MOPU TD 135 cm Reflex III</v>
      </c>
      <c r="C1706" s="4">
        <f>IFERROR(__xludf.DUMMYFUNCTION("""COMPUTED_VALUE"""),150.144)</f>
        <v>150.144</v>
      </c>
      <c r="D1706" s="4"/>
      <c r="E1706" s="4" t="str">
        <f>IFERROR(__xludf.DUMMYFUNCTION("""COMPUTED_VALUE"""),"Sin precio neto")</f>
        <v>Sin precio neto</v>
      </c>
    </row>
    <row r="1707">
      <c r="A1707" s="4" t="str">
        <f>IFERROR(__xludf.DUMMYFUNCTION("""COMPUTED_VALUE"""),"80175N1")</f>
        <v>80175N1</v>
      </c>
      <c r="B1707" s="4" t="str">
        <f>IFERROR(__xludf.DUMMYFUNCTION("""COMPUTED_VALUE"""),"Triangulo MOPU TD 175 cm Reflex I")</f>
        <v>Triangulo MOPU TD 175 cm Reflex I</v>
      </c>
      <c r="C1707" s="4">
        <f>IFERROR(__xludf.DUMMYFUNCTION("""COMPUTED_VALUE"""),171.60959999999997)</f>
        <v>171.6096</v>
      </c>
      <c r="D1707" s="4"/>
      <c r="E1707" s="4" t="str">
        <f>IFERROR(__xludf.DUMMYFUNCTION("""COMPUTED_VALUE"""),"Sin precio neto")</f>
        <v>Sin precio neto</v>
      </c>
    </row>
    <row r="1708">
      <c r="A1708" s="4" t="str">
        <f>IFERROR(__xludf.DUMMYFUNCTION("""COMPUTED_VALUE"""),"80175N2")</f>
        <v>80175N2</v>
      </c>
      <c r="B1708" s="4" t="str">
        <f>IFERROR(__xludf.DUMMYFUNCTION("""COMPUTED_VALUE"""),"Triangulo MOPU TD 175 cm Reflex II")</f>
        <v>Triangulo MOPU TD 175 cm Reflex II</v>
      </c>
      <c r="C1708" s="4">
        <f>IFERROR(__xludf.DUMMYFUNCTION("""COMPUTED_VALUE"""),215.6736)</f>
        <v>215.6736</v>
      </c>
      <c r="D1708" s="4"/>
      <c r="E1708" s="4" t="str">
        <f>IFERROR(__xludf.DUMMYFUNCTION("""COMPUTED_VALUE"""),"Sin precio neto")</f>
        <v>Sin precio neto</v>
      </c>
    </row>
    <row r="1709">
      <c r="A1709" s="4" t="str">
        <f>IFERROR(__xludf.DUMMYFUNCTION("""COMPUTED_VALUE"""),"80175N3")</f>
        <v>80175N3</v>
      </c>
      <c r="B1709" s="4" t="str">
        <f>IFERROR(__xludf.DUMMYFUNCTION("""COMPUTED_VALUE"""),"Triangulo MOPU TD 175 cm Reflex III")</f>
        <v>Triangulo MOPU TD 175 cm Reflex III</v>
      </c>
      <c r="C1709" s="4">
        <f>IFERROR(__xludf.DUMMYFUNCTION("""COMPUTED_VALUE"""),275.40479999999997)</f>
        <v>275.4048</v>
      </c>
      <c r="D1709" s="4"/>
      <c r="E1709" s="4" t="str">
        <f>IFERROR(__xludf.DUMMYFUNCTION("""COMPUTED_VALUE"""),"Sin precio neto")</f>
        <v>Sin precio neto</v>
      </c>
    </row>
    <row r="1710">
      <c r="A1710" s="4" t="str">
        <f>IFERROR(__xludf.DUMMYFUNCTION("""COMPUTED_VALUE"""),"8070N1")</f>
        <v>8070N1</v>
      </c>
      <c r="B1710" s="4" t="str">
        <f>IFERROR(__xludf.DUMMYFUNCTION("""COMPUTED_VALUE"""),"Triangulo MOPU TP 70 cm Reflex I")</f>
        <v>Triangulo MOPU TP 70 cm Reflex I</v>
      </c>
      <c r="C1710" s="4">
        <f>IFERROR(__xludf.DUMMYFUNCTION("""COMPUTED_VALUE"""),23.04)</f>
        <v>23.04</v>
      </c>
      <c r="D1710" s="4">
        <f>IFERROR(__xludf.DUMMYFUNCTION("""COMPUTED_VALUE"""),21.5)</f>
        <v>21.5</v>
      </c>
      <c r="E1710" s="4" t="str">
        <f>IFERROR(__xludf.DUMMYFUNCTION("""COMPUTED_VALUE"""),"Neto: 21,50 € (a partir de 1 uds.)")</f>
        <v>Neto: 21,50 € (a partir de 1 uds.)</v>
      </c>
    </row>
    <row r="1711">
      <c r="A1711" s="4" t="str">
        <f>IFERROR(__xludf.DUMMYFUNCTION("""COMPUTED_VALUE"""),"8070N2")</f>
        <v>8070N2</v>
      </c>
      <c r="B1711" s="4" t="str">
        <f>IFERROR(__xludf.DUMMYFUNCTION("""COMPUTED_VALUE"""),"Triangulo MOPU TP 70 cm Reflex II")</f>
        <v>Triangulo MOPU TP 70 cm Reflex II</v>
      </c>
      <c r="C1711" s="4">
        <f>IFERROR(__xludf.DUMMYFUNCTION("""COMPUTED_VALUE"""),29.759999999999998)</f>
        <v>29.76</v>
      </c>
      <c r="D1711" s="4"/>
      <c r="E1711" s="4" t="str">
        <f>IFERROR(__xludf.DUMMYFUNCTION("""COMPUTED_VALUE"""),"Sin precio neto")</f>
        <v>Sin precio neto</v>
      </c>
    </row>
    <row r="1712">
      <c r="A1712" s="4" t="str">
        <f>IFERROR(__xludf.DUMMYFUNCTION("""COMPUTED_VALUE"""),"8070N3")</f>
        <v>8070N3</v>
      </c>
      <c r="B1712" s="4" t="str">
        <f>IFERROR(__xludf.DUMMYFUNCTION("""COMPUTED_VALUE"""),"Triangulo MOPU TP 70 cm Reflex III")</f>
        <v>Triangulo MOPU TP 70 cm Reflex III</v>
      </c>
      <c r="C1712" s="4">
        <f>IFERROR(__xludf.DUMMYFUNCTION("""COMPUTED_VALUE"""),47.980799999999995)</f>
        <v>47.9808</v>
      </c>
      <c r="D1712" s="4"/>
      <c r="E1712" s="4" t="str">
        <f>IFERROR(__xludf.DUMMYFUNCTION("""COMPUTED_VALUE"""),"Sin precio neto")</f>
        <v>Sin precio neto</v>
      </c>
    </row>
    <row r="1713">
      <c r="A1713" s="4" t="str">
        <f>IFERROR(__xludf.DUMMYFUNCTION("""COMPUTED_VALUE"""),"8090N1")</f>
        <v>8090N1</v>
      </c>
      <c r="B1713" s="4" t="str">
        <f>IFERROR(__xludf.DUMMYFUNCTION("""COMPUTED_VALUE"""),"Triangulo MOPU TP 90 cm Reflex I")</f>
        <v>Triangulo MOPU TP 90 cm Reflex I</v>
      </c>
      <c r="C1713" s="4">
        <f>IFERROR(__xludf.DUMMYFUNCTION("""COMPUTED_VALUE"""),42.48)</f>
        <v>42.48</v>
      </c>
      <c r="D1713" s="4">
        <f>IFERROR(__xludf.DUMMYFUNCTION("""COMPUTED_VALUE"""),31.8)</f>
        <v>31.8</v>
      </c>
      <c r="E1713" s="4" t="str">
        <f>IFERROR(__xludf.DUMMYFUNCTION("""COMPUTED_VALUE"""),"Neto: 31,80 € (a partir de 1 uds.)")</f>
        <v>Neto: 31,80 € (a partir de 1 uds.)</v>
      </c>
    </row>
    <row r="1714">
      <c r="A1714" s="4" t="str">
        <f>IFERROR(__xludf.DUMMYFUNCTION("""COMPUTED_VALUE"""),"8090N2")</f>
        <v>8090N2</v>
      </c>
      <c r="B1714" s="4" t="str">
        <f>IFERROR(__xludf.DUMMYFUNCTION("""COMPUTED_VALUE"""),"Triangulo MOPU TP 90 cm Reflex II")</f>
        <v>Triangulo MOPU TP 90 cm Reflex II</v>
      </c>
      <c r="C1714" s="4">
        <f>IFERROR(__xludf.DUMMYFUNCTION("""COMPUTED_VALUE"""),54.672000000000004)</f>
        <v>54.672</v>
      </c>
      <c r="D1714" s="4"/>
      <c r="E1714" s="4" t="str">
        <f>IFERROR(__xludf.DUMMYFUNCTION("""COMPUTED_VALUE"""),"Sin precio neto")</f>
        <v>Sin precio neto</v>
      </c>
    </row>
    <row r="1715">
      <c r="A1715" s="4" t="str">
        <f>IFERROR(__xludf.DUMMYFUNCTION("""COMPUTED_VALUE"""),"8090N3")</f>
        <v>8090N3</v>
      </c>
      <c r="B1715" s="4" t="str">
        <f>IFERROR(__xludf.DUMMYFUNCTION("""COMPUTED_VALUE"""),"Triangulo MOPU TP 90 cm Reflex III")</f>
        <v>Triangulo MOPU TP 90 cm Reflex III</v>
      </c>
      <c r="C1715" s="4">
        <f>IFERROR(__xludf.DUMMYFUNCTION("""COMPUTED_VALUE"""),76.0512)</f>
        <v>76.0512</v>
      </c>
      <c r="D1715" s="4"/>
      <c r="E1715" s="4" t="str">
        <f>IFERROR(__xludf.DUMMYFUNCTION("""COMPUTED_VALUE"""),"Sin precio neto")</f>
        <v>Sin precio neto</v>
      </c>
    </row>
    <row r="1716">
      <c r="A1716" s="4" t="str">
        <f>IFERROR(__xludf.DUMMYFUNCTION("""COMPUTED_VALUE"""),"81120N1")</f>
        <v>81120N1</v>
      </c>
      <c r="B1716" s="4" t="str">
        <f>IFERROR(__xludf.DUMMYFUNCTION("""COMPUTED_VALUE"""),"Disco MOPU TR 120 cm Reflex I")</f>
        <v>Disco MOPU TR 120 cm Reflex I</v>
      </c>
      <c r="C1716" s="4">
        <f>IFERROR(__xludf.DUMMYFUNCTION("""COMPUTED_VALUE"""),141.49439999999998)</f>
        <v>141.4944</v>
      </c>
      <c r="D1716" s="4"/>
      <c r="E1716" s="4" t="str">
        <f>IFERROR(__xludf.DUMMYFUNCTION("""COMPUTED_VALUE"""),"Sin precio neto")</f>
        <v>Sin precio neto</v>
      </c>
    </row>
    <row r="1717">
      <c r="A1717" s="4" t="str">
        <f>IFERROR(__xludf.DUMMYFUNCTION("""COMPUTED_VALUE"""),"81120N2")</f>
        <v>81120N2</v>
      </c>
      <c r="B1717" s="4" t="str">
        <f>IFERROR(__xludf.DUMMYFUNCTION("""COMPUTED_VALUE"""),"Disco MOPU TR 120 cm Reflex II")</f>
        <v>Disco MOPU TR 120 cm Reflex II</v>
      </c>
      <c r="C1717" s="4">
        <f>IFERROR(__xludf.DUMMYFUNCTION("""COMPUTED_VALUE"""),194.45759999999999)</f>
        <v>194.4576</v>
      </c>
      <c r="D1717" s="4"/>
      <c r="E1717" s="4" t="str">
        <f>IFERROR(__xludf.DUMMYFUNCTION("""COMPUTED_VALUE"""),"Sin precio neto")</f>
        <v>Sin precio neto</v>
      </c>
    </row>
    <row r="1718">
      <c r="A1718" s="4" t="str">
        <f>IFERROR(__xludf.DUMMYFUNCTION("""COMPUTED_VALUE"""),"81120N3")</f>
        <v>81120N3</v>
      </c>
      <c r="B1718" s="4" t="str">
        <f>IFERROR(__xludf.DUMMYFUNCTION("""COMPUTED_VALUE"""),"Disco MOPU TR 120 cm Reflex III")</f>
        <v>Disco MOPU TR 120 cm Reflex III</v>
      </c>
      <c r="C1718" s="4">
        <f>IFERROR(__xludf.DUMMYFUNCTION("""COMPUTED_VALUE"""),250.34879999999995)</f>
        <v>250.3488</v>
      </c>
      <c r="D1718" s="4"/>
      <c r="E1718" s="4" t="str">
        <f>IFERROR(__xludf.DUMMYFUNCTION("""COMPUTED_VALUE"""),"Sin precio neto")</f>
        <v>Sin precio neto</v>
      </c>
    </row>
    <row r="1719">
      <c r="A1719" s="4" t="str">
        <f>IFERROR(__xludf.DUMMYFUNCTION("""COMPUTED_VALUE"""),"8160N1")</f>
        <v>8160N1</v>
      </c>
      <c r="B1719" s="4" t="str">
        <f>IFERROR(__xludf.DUMMYFUNCTION("""COMPUTED_VALUE"""),"Disco MOPU TR 60 cm Reflex I")</f>
        <v>Disco MOPU TR 60 cm Reflex I</v>
      </c>
      <c r="C1719" s="4">
        <f>IFERROR(__xludf.DUMMYFUNCTION("""COMPUTED_VALUE"""),23.759999999999998)</f>
        <v>23.76</v>
      </c>
      <c r="D1719" s="4">
        <f>IFERROR(__xludf.DUMMYFUNCTION("""COMPUTED_VALUE"""),23.5)</f>
        <v>23.5</v>
      </c>
      <c r="E1719" s="4" t="str">
        <f>IFERROR(__xludf.DUMMYFUNCTION("""COMPUTED_VALUE"""),"Neto: 23,50 € (a partir de 1 uds.)")</f>
        <v>Neto: 23,50 € (a partir de 1 uds.)</v>
      </c>
    </row>
    <row r="1720">
      <c r="A1720" s="4" t="str">
        <f>IFERROR(__xludf.DUMMYFUNCTION("""COMPUTED_VALUE"""),"8160N2")</f>
        <v>8160N2</v>
      </c>
      <c r="B1720" s="4" t="str">
        <f>IFERROR(__xludf.DUMMYFUNCTION("""COMPUTED_VALUE"""),"Disco MOPU TR 60 cm Reflex II")</f>
        <v>Disco MOPU TR 60 cm Reflex II</v>
      </c>
      <c r="C1720" s="4">
        <f>IFERROR(__xludf.DUMMYFUNCTION("""COMPUTED_VALUE"""),30.144)</f>
        <v>30.144</v>
      </c>
      <c r="D1720" s="4"/>
      <c r="E1720" s="4" t="str">
        <f>IFERROR(__xludf.DUMMYFUNCTION("""COMPUTED_VALUE"""),"Sin precio neto")</f>
        <v>Sin precio neto</v>
      </c>
    </row>
    <row r="1721">
      <c r="A1721" s="4" t="str">
        <f>IFERROR(__xludf.DUMMYFUNCTION("""COMPUTED_VALUE"""),"8160N3")</f>
        <v>8160N3</v>
      </c>
      <c r="B1721" s="4" t="str">
        <f>IFERROR(__xludf.DUMMYFUNCTION("""COMPUTED_VALUE"""),"Disco MOPU TR 60 cm Reflex III")</f>
        <v>Disco MOPU TR 60 cm Reflex III</v>
      </c>
      <c r="C1721" s="4">
        <f>IFERROR(__xludf.DUMMYFUNCTION("""COMPUTED_VALUE"""),64.8192)</f>
        <v>64.8192</v>
      </c>
      <c r="D1721" s="4"/>
      <c r="E1721" s="4" t="str">
        <f>IFERROR(__xludf.DUMMYFUNCTION("""COMPUTED_VALUE"""),"Sin precio neto")</f>
        <v>Sin precio neto</v>
      </c>
    </row>
    <row r="1722">
      <c r="A1722" s="4" t="str">
        <f>IFERROR(__xludf.DUMMYFUNCTION("""COMPUTED_VALUE"""),"8190N1")</f>
        <v>8190N1</v>
      </c>
      <c r="B1722" s="4" t="str">
        <f>IFERROR(__xludf.DUMMYFUNCTION("""COMPUTED_VALUE"""),"Disco MOPU TR 90 cm Reflex I")</f>
        <v>Disco MOPU TR 90 cm Reflex I</v>
      </c>
      <c r="C1722" s="4">
        <f>IFERROR(__xludf.DUMMYFUNCTION("""COMPUTED_VALUE"""),66.7488)</f>
        <v>66.7488</v>
      </c>
      <c r="D1722" s="4">
        <f>IFERROR(__xludf.DUMMYFUNCTION("""COMPUTED_VALUE"""),43.0)</f>
        <v>43</v>
      </c>
      <c r="E1722" s="4" t="str">
        <f>IFERROR(__xludf.DUMMYFUNCTION("""COMPUTED_VALUE"""),"Neto: 43,00 € (a partir de 1 uds.)")</f>
        <v>Neto: 43,00 € (a partir de 1 uds.)</v>
      </c>
    </row>
    <row r="1723">
      <c r="A1723" s="4" t="str">
        <f>IFERROR(__xludf.DUMMYFUNCTION("""COMPUTED_VALUE"""),"8190N2")</f>
        <v>8190N2</v>
      </c>
      <c r="B1723" s="4" t="str">
        <f>IFERROR(__xludf.DUMMYFUNCTION("""COMPUTED_VALUE"""),"Disco MOPU TR 90 cm Reflex II")</f>
        <v>Disco MOPU TR 90 cm Reflex II</v>
      </c>
      <c r="C1723" s="4">
        <f>IFERROR(__xludf.DUMMYFUNCTION("""COMPUTED_VALUE"""),99.84)</f>
        <v>99.84</v>
      </c>
      <c r="D1723" s="4"/>
      <c r="E1723" s="4" t="str">
        <f>IFERROR(__xludf.DUMMYFUNCTION("""COMPUTED_VALUE"""),"Sin precio neto")</f>
        <v>Sin precio neto</v>
      </c>
    </row>
    <row r="1724">
      <c r="A1724" s="4" t="str">
        <f>IFERROR(__xludf.DUMMYFUNCTION("""COMPUTED_VALUE"""),"8190N3")</f>
        <v>8190N3</v>
      </c>
      <c r="B1724" s="4" t="str">
        <f>IFERROR(__xludf.DUMMYFUNCTION("""COMPUTED_VALUE"""),"Disco MOPU TR 90 cm Reflex III")</f>
        <v>Disco MOPU TR 90 cm Reflex III</v>
      </c>
      <c r="C1724" s="4">
        <f>IFERROR(__xludf.DUMMYFUNCTION("""COMPUTED_VALUE"""),144.96)</f>
        <v>144.96</v>
      </c>
      <c r="D1724" s="4"/>
      <c r="E1724" s="4" t="str">
        <f>IFERROR(__xludf.DUMMYFUNCTION("""COMPUTED_VALUE"""),"Sin precio neto")</f>
        <v>Sin precio neto</v>
      </c>
    </row>
    <row r="1725">
      <c r="A1725" s="4" t="str">
        <f>IFERROR(__xludf.DUMMYFUNCTION("""COMPUTED_VALUE"""),"8201")</f>
        <v>8201</v>
      </c>
      <c r="B1725" s="4" t="str">
        <f>IFERROR(__xludf.DUMMYFUNCTION("""COMPUTED_VALUE"""),"Adhesivo 11x15 Extintor")</f>
        <v>Adhesivo 11x15 Extintor</v>
      </c>
      <c r="C1725" s="4">
        <f>IFERROR(__xludf.DUMMYFUNCTION("""COMPUTED_VALUE"""),0.528)</f>
        <v>0.528</v>
      </c>
      <c r="D1725" s="4">
        <f>IFERROR(__xludf.DUMMYFUNCTION("""COMPUTED_VALUE"""),0.5)</f>
        <v>0.5</v>
      </c>
      <c r="E1725" s="4" t="str">
        <f>IFERROR(__xludf.DUMMYFUNCTION("""COMPUTED_VALUE"""),"Neto: 0,50 € (a partir de 1 uds.)")</f>
        <v>Neto: 0,50 € (a partir de 1 uds.)</v>
      </c>
    </row>
    <row r="1726">
      <c r="A1726" s="4" t="str">
        <f>IFERROR(__xludf.DUMMYFUNCTION("""COMPUTED_VALUE"""),"8201/B")</f>
        <v>8201/B</v>
      </c>
      <c r="B1726" s="4" t="str">
        <f>IFERROR(__xludf.DUMMYFUNCTION("""COMPUTED_VALUE"""),"Blister 10 unid. Adhesivo 11x15 Extintor")</f>
        <v>Blister 10 unid. Adhesivo 11x15 Extintor</v>
      </c>
      <c r="C1726" s="4">
        <f>IFERROR(__xludf.DUMMYFUNCTION("""COMPUTED_VALUE"""),4.224)</f>
        <v>4.224</v>
      </c>
      <c r="D1726" s="4"/>
      <c r="E1726" s="4" t="str">
        <f>IFERROR(__xludf.DUMMYFUNCTION("""COMPUTED_VALUE"""),"Sin precio neto")</f>
        <v>Sin precio neto</v>
      </c>
    </row>
    <row r="1727">
      <c r="A1727" s="4" t="str">
        <f>IFERROR(__xludf.DUMMYFUNCTION("""COMPUTED_VALUE"""),"8210")</f>
        <v>8210</v>
      </c>
      <c r="B1727" s="4" t="str">
        <f>IFERROR(__xludf.DUMMYFUNCTION("""COMPUTED_VALUE"""),"Adhesivo 11x15 Riesgo electrico")</f>
        <v>Adhesivo 11x15 Riesgo electrico</v>
      </c>
      <c r="C1727" s="4">
        <f>IFERROR(__xludf.DUMMYFUNCTION("""COMPUTED_VALUE"""),0.528)</f>
        <v>0.528</v>
      </c>
      <c r="D1727" s="4">
        <f>IFERROR(__xludf.DUMMYFUNCTION("""COMPUTED_VALUE"""),0.5)</f>
        <v>0.5</v>
      </c>
      <c r="E1727" s="4" t="str">
        <f>IFERROR(__xludf.DUMMYFUNCTION("""COMPUTED_VALUE"""),"Neto: 0,50 € (a partir de 1 uds.)")</f>
        <v>Neto: 0,50 € (a partir de 1 uds.)</v>
      </c>
    </row>
    <row r="1728">
      <c r="A1728" s="4" t="str">
        <f>IFERROR(__xludf.DUMMYFUNCTION("""COMPUTED_VALUE"""),"8210/B")</f>
        <v>8210/B</v>
      </c>
      <c r="B1728" s="4" t="str">
        <f>IFERROR(__xludf.DUMMYFUNCTION("""COMPUTED_VALUE"""),"Blister 10 unid. Adhesivo 11x15 Riesgo electrico")</f>
        <v>Blister 10 unid. Adhesivo 11x15 Riesgo electrico</v>
      </c>
      <c r="C1728" s="4">
        <f>IFERROR(__xludf.DUMMYFUNCTION("""COMPUTED_VALUE"""),4.224)</f>
        <v>4.224</v>
      </c>
      <c r="D1728" s="4"/>
      <c r="E1728" s="4" t="str">
        <f>IFERROR(__xludf.DUMMYFUNCTION("""COMPUTED_VALUE"""),"Sin precio neto")</f>
        <v>Sin precio neto</v>
      </c>
    </row>
    <row r="1729">
      <c r="A1729" s="4" t="str">
        <f>IFERROR(__xludf.DUMMYFUNCTION("""COMPUTED_VALUE"""),"8216")</f>
        <v>8216</v>
      </c>
      <c r="B1729" s="4" t="str">
        <f>IFERROR(__xludf.DUMMYFUNCTION("""COMPUTED_VALUE"""),"Adhesivo 11x15 Materias comburentes")</f>
        <v>Adhesivo 11x15 Materias comburentes</v>
      </c>
      <c r="C1729" s="4">
        <f>IFERROR(__xludf.DUMMYFUNCTION("""COMPUTED_VALUE"""),0.528)</f>
        <v>0.528</v>
      </c>
      <c r="D1729" s="4">
        <f>IFERROR(__xludf.DUMMYFUNCTION("""COMPUTED_VALUE"""),0.5)</f>
        <v>0.5</v>
      </c>
      <c r="E1729" s="4" t="str">
        <f>IFERROR(__xludf.DUMMYFUNCTION("""COMPUTED_VALUE"""),"Neto: 0,50 € (a partir de 1 uds.)")</f>
        <v>Neto: 0,50 € (a partir de 1 uds.)</v>
      </c>
    </row>
    <row r="1730">
      <c r="A1730" s="4" t="str">
        <f>IFERROR(__xludf.DUMMYFUNCTION("""COMPUTED_VALUE"""),"8216/B")</f>
        <v>8216/B</v>
      </c>
      <c r="B1730" s="4" t="str">
        <f>IFERROR(__xludf.DUMMYFUNCTION("""COMPUTED_VALUE"""),"Blister 10 unid. Adhesivo 11x15 Materias comburentes")</f>
        <v>Blister 10 unid. Adhesivo 11x15 Materias comburentes</v>
      </c>
      <c r="C1730" s="4">
        <f>IFERROR(__xludf.DUMMYFUNCTION("""COMPUTED_VALUE"""),4.224)</f>
        <v>4.224</v>
      </c>
      <c r="D1730" s="4"/>
      <c r="E1730" s="4" t="str">
        <f>IFERROR(__xludf.DUMMYFUNCTION("""COMPUTED_VALUE"""),"Sin precio neto")</f>
        <v>Sin precio neto</v>
      </c>
    </row>
    <row r="1731">
      <c r="A1731" s="4" t="str">
        <f>IFERROR(__xludf.DUMMYFUNCTION("""COMPUTED_VALUE"""),"8218")</f>
        <v>8218</v>
      </c>
      <c r="B1731" s="4" t="str">
        <f>IFERROR(__xludf.DUMMYFUNCTION("""COMPUTED_VALUE"""),"Adhesivo 11x15 Campo Magnetico Intenso")</f>
        <v>Adhesivo 11x15 Campo Magnetico Intenso</v>
      </c>
      <c r="C1731" s="4">
        <f>IFERROR(__xludf.DUMMYFUNCTION("""COMPUTED_VALUE"""),0.528)</f>
        <v>0.528</v>
      </c>
      <c r="D1731" s="4">
        <f>IFERROR(__xludf.DUMMYFUNCTION("""COMPUTED_VALUE"""),0.5)</f>
        <v>0.5</v>
      </c>
      <c r="E1731" s="4" t="str">
        <f>IFERROR(__xludf.DUMMYFUNCTION("""COMPUTED_VALUE"""),"Neto: 0,50 € (a partir de 1 uds.)")</f>
        <v>Neto: 0,50 € (a partir de 1 uds.)</v>
      </c>
    </row>
    <row r="1732">
      <c r="A1732" s="4" t="str">
        <f>IFERROR(__xludf.DUMMYFUNCTION("""COMPUTED_VALUE"""),"8218/B")</f>
        <v>8218/B</v>
      </c>
      <c r="B1732" s="4" t="str">
        <f>IFERROR(__xludf.DUMMYFUNCTION("""COMPUTED_VALUE"""),"Blister 10 unid. Adhesivo 11x15 Campo Magnetico Intenso")</f>
        <v>Blister 10 unid. Adhesivo 11x15 Campo Magnetico Intenso</v>
      </c>
      <c r="C1732" s="4">
        <f>IFERROR(__xludf.DUMMYFUNCTION("""COMPUTED_VALUE"""),4.224)</f>
        <v>4.224</v>
      </c>
      <c r="D1732" s="4"/>
      <c r="E1732" s="4" t="str">
        <f>IFERROR(__xludf.DUMMYFUNCTION("""COMPUTED_VALUE"""),"Sin precio neto")</f>
        <v>Sin precio neto</v>
      </c>
    </row>
    <row r="1733">
      <c r="A1733" s="4" t="str">
        <f>IFERROR(__xludf.DUMMYFUNCTION("""COMPUTED_VALUE"""),"8219")</f>
        <v>8219</v>
      </c>
      <c r="B1733" s="4" t="str">
        <f>IFERROR(__xludf.DUMMYFUNCTION("""COMPUTED_VALUE"""),"Adhesivo 11x15 Materias Inflamables")</f>
        <v>Adhesivo 11x15 Materias Inflamables</v>
      </c>
      <c r="C1733" s="4">
        <f>IFERROR(__xludf.DUMMYFUNCTION("""COMPUTED_VALUE"""),0.528)</f>
        <v>0.528</v>
      </c>
      <c r="D1733" s="4">
        <f>IFERROR(__xludf.DUMMYFUNCTION("""COMPUTED_VALUE"""),0.5)</f>
        <v>0.5</v>
      </c>
      <c r="E1733" s="4" t="str">
        <f>IFERROR(__xludf.DUMMYFUNCTION("""COMPUTED_VALUE"""),"Neto: 0,50 € (a partir de 1 uds.)")</f>
        <v>Neto: 0,50 € (a partir de 1 uds.)</v>
      </c>
    </row>
    <row r="1734">
      <c r="A1734" s="4" t="str">
        <f>IFERROR(__xludf.DUMMYFUNCTION("""COMPUTED_VALUE"""),"8219/B")</f>
        <v>8219/B</v>
      </c>
      <c r="B1734" s="4" t="str">
        <f>IFERROR(__xludf.DUMMYFUNCTION("""COMPUTED_VALUE"""),"Blister 10 unid. Adhesivo 11x15 Materias inflamables")</f>
        <v>Blister 10 unid. Adhesivo 11x15 Materias inflamables</v>
      </c>
      <c r="C1734" s="4">
        <f>IFERROR(__xludf.DUMMYFUNCTION("""COMPUTED_VALUE"""),4.224)</f>
        <v>4.224</v>
      </c>
      <c r="D1734" s="4"/>
      <c r="E1734" s="4" t="str">
        <f>IFERROR(__xludf.DUMMYFUNCTION("""COMPUTED_VALUE"""),"Sin precio neto")</f>
        <v>Sin precio neto</v>
      </c>
    </row>
    <row r="1735">
      <c r="A1735" s="4" t="str">
        <f>IFERROR(__xludf.DUMMYFUNCTION("""COMPUTED_VALUE"""),"8220")</f>
        <v>8220</v>
      </c>
      <c r="B1735" s="4" t="str">
        <f>IFERROR(__xludf.DUMMYFUNCTION("""COMPUTED_VALUE"""),"Adhesivo 11x15 Uso oblig. casco")</f>
        <v>Adhesivo 11x15 Uso oblig. casco</v>
      </c>
      <c r="C1735" s="4">
        <f>IFERROR(__xludf.DUMMYFUNCTION("""COMPUTED_VALUE"""),0.528)</f>
        <v>0.528</v>
      </c>
      <c r="D1735" s="4">
        <f>IFERROR(__xludf.DUMMYFUNCTION("""COMPUTED_VALUE"""),0.5)</f>
        <v>0.5</v>
      </c>
      <c r="E1735" s="4" t="str">
        <f>IFERROR(__xludf.DUMMYFUNCTION("""COMPUTED_VALUE"""),"Neto: 0,50 € (a partir de 1 uds.)")</f>
        <v>Neto: 0,50 € (a partir de 1 uds.)</v>
      </c>
    </row>
    <row r="1736">
      <c r="A1736" s="4" t="str">
        <f>IFERROR(__xludf.DUMMYFUNCTION("""COMPUTED_VALUE"""),"8220/B")</f>
        <v>8220/B</v>
      </c>
      <c r="B1736" s="4" t="str">
        <f>IFERROR(__xludf.DUMMYFUNCTION("""COMPUTED_VALUE"""),"Blister 10 unid. Adhesivo 11x15 Uso oblig. casco")</f>
        <v>Blister 10 unid. Adhesivo 11x15 Uso oblig. casco</v>
      </c>
      <c r="C1736" s="4">
        <f>IFERROR(__xludf.DUMMYFUNCTION("""COMPUTED_VALUE"""),4.224)</f>
        <v>4.224</v>
      </c>
      <c r="D1736" s="4"/>
      <c r="E1736" s="4" t="str">
        <f>IFERROR(__xludf.DUMMYFUNCTION("""COMPUTED_VALUE"""),"Sin precio neto")</f>
        <v>Sin precio neto</v>
      </c>
    </row>
    <row r="1737">
      <c r="A1737" s="4" t="str">
        <f>IFERROR(__xludf.DUMMYFUNCTION("""COMPUTED_VALUE"""),"8221")</f>
        <v>8221</v>
      </c>
      <c r="B1737" s="4" t="str">
        <f>IFERROR(__xludf.DUMMYFUNCTION("""COMPUTED_VALUE"""),"Adhesivo 11x15 Uso Oblig. botas")</f>
        <v>Adhesivo 11x15 Uso Oblig. botas</v>
      </c>
      <c r="C1737" s="4">
        <f>IFERROR(__xludf.DUMMYFUNCTION("""COMPUTED_VALUE"""),0.528)</f>
        <v>0.528</v>
      </c>
      <c r="D1737" s="4">
        <f>IFERROR(__xludf.DUMMYFUNCTION("""COMPUTED_VALUE"""),0.5)</f>
        <v>0.5</v>
      </c>
      <c r="E1737" s="4" t="str">
        <f>IFERROR(__xludf.DUMMYFUNCTION("""COMPUTED_VALUE"""),"Neto: 0,50 € (a partir de 1 uds.)")</f>
        <v>Neto: 0,50 € (a partir de 1 uds.)</v>
      </c>
    </row>
    <row r="1738">
      <c r="A1738" s="4" t="str">
        <f>IFERROR(__xludf.DUMMYFUNCTION("""COMPUTED_VALUE"""),"8221/B")</f>
        <v>8221/B</v>
      </c>
      <c r="B1738" s="4" t="str">
        <f>IFERROR(__xludf.DUMMYFUNCTION("""COMPUTED_VALUE"""),"Blister 10 unid. Adhesivo 11x15 Uso oblig. botas")</f>
        <v>Blister 10 unid. Adhesivo 11x15 Uso oblig. botas</v>
      </c>
      <c r="C1738" s="4">
        <f>IFERROR(__xludf.DUMMYFUNCTION("""COMPUTED_VALUE"""),4.224)</f>
        <v>4.224</v>
      </c>
      <c r="D1738" s="4"/>
      <c r="E1738" s="4" t="str">
        <f>IFERROR(__xludf.DUMMYFUNCTION("""COMPUTED_VALUE"""),"Sin precio neto")</f>
        <v>Sin precio neto</v>
      </c>
    </row>
    <row r="1739">
      <c r="A1739" s="4" t="str">
        <f>IFERROR(__xludf.DUMMYFUNCTION("""COMPUTED_VALUE"""),"8222")</f>
        <v>8222</v>
      </c>
      <c r="B1739" s="4" t="str">
        <f>IFERROR(__xludf.DUMMYFUNCTION("""COMPUTED_VALUE"""),"Adhesivo 11x15 Uso oblig Guantes")</f>
        <v>Adhesivo 11x15 Uso oblig Guantes</v>
      </c>
      <c r="C1739" s="4">
        <f>IFERROR(__xludf.DUMMYFUNCTION("""COMPUTED_VALUE"""),0.528)</f>
        <v>0.528</v>
      </c>
      <c r="D1739" s="4">
        <f>IFERROR(__xludf.DUMMYFUNCTION("""COMPUTED_VALUE"""),0.5)</f>
        <v>0.5</v>
      </c>
      <c r="E1739" s="4" t="str">
        <f>IFERROR(__xludf.DUMMYFUNCTION("""COMPUTED_VALUE"""),"Neto: 0,50 € (a partir de 1 uds.)")</f>
        <v>Neto: 0,50 € (a partir de 1 uds.)</v>
      </c>
    </row>
    <row r="1740">
      <c r="A1740" s="4" t="str">
        <f>IFERROR(__xludf.DUMMYFUNCTION("""COMPUTED_VALUE"""),"8222/B")</f>
        <v>8222/B</v>
      </c>
      <c r="B1740" s="4" t="str">
        <f>IFERROR(__xludf.DUMMYFUNCTION("""COMPUTED_VALUE"""),"Blister 10 unid. Adhesivo 11x15 Uso oblig. guantes")</f>
        <v>Blister 10 unid. Adhesivo 11x15 Uso oblig. guantes</v>
      </c>
      <c r="C1740" s="4">
        <f>IFERROR(__xludf.DUMMYFUNCTION("""COMPUTED_VALUE"""),4.224)</f>
        <v>4.224</v>
      </c>
      <c r="D1740" s="4"/>
      <c r="E1740" s="4" t="str">
        <f>IFERROR(__xludf.DUMMYFUNCTION("""COMPUTED_VALUE"""),"Sin precio neto")</f>
        <v>Sin precio neto</v>
      </c>
    </row>
    <row r="1741">
      <c r="A1741" s="4" t="str">
        <f>IFERROR(__xludf.DUMMYFUNCTION("""COMPUTED_VALUE"""),"8223")</f>
        <v>8223</v>
      </c>
      <c r="B1741" s="4" t="str">
        <f>IFERROR(__xludf.DUMMYFUNCTION("""COMPUTED_VALUE"""),"Adhesivo 11x15 Uso oblig. prot. acustica")</f>
        <v>Adhesivo 11x15 Uso oblig. prot. acustica</v>
      </c>
      <c r="C1741" s="4">
        <f>IFERROR(__xludf.DUMMYFUNCTION("""COMPUTED_VALUE"""),0.528)</f>
        <v>0.528</v>
      </c>
      <c r="D1741" s="4">
        <f>IFERROR(__xludf.DUMMYFUNCTION("""COMPUTED_VALUE"""),0.5)</f>
        <v>0.5</v>
      </c>
      <c r="E1741" s="4" t="str">
        <f>IFERROR(__xludf.DUMMYFUNCTION("""COMPUTED_VALUE"""),"Neto: 0,50 € (a partir de 1 uds.)")</f>
        <v>Neto: 0,50 € (a partir de 1 uds.)</v>
      </c>
    </row>
    <row r="1742">
      <c r="A1742" s="4" t="str">
        <f>IFERROR(__xludf.DUMMYFUNCTION("""COMPUTED_VALUE"""),"8223/B")</f>
        <v>8223/B</v>
      </c>
      <c r="B1742" s="4" t="str">
        <f>IFERROR(__xludf.DUMMYFUNCTION("""COMPUTED_VALUE"""),"Blister 10 unid. Adhesivo 11x15 Uso oblig.protec.acustica")</f>
        <v>Blister 10 unid. Adhesivo 11x15 Uso oblig.protec.acustica</v>
      </c>
      <c r="C1742" s="4">
        <f>IFERROR(__xludf.DUMMYFUNCTION("""COMPUTED_VALUE"""),4.224)</f>
        <v>4.224</v>
      </c>
      <c r="D1742" s="4"/>
      <c r="E1742" s="4" t="str">
        <f>IFERROR(__xludf.DUMMYFUNCTION("""COMPUTED_VALUE"""),"Sin precio neto")</f>
        <v>Sin precio neto</v>
      </c>
    </row>
    <row r="1743">
      <c r="A1743" s="4" t="str">
        <f>IFERROR(__xludf.DUMMYFUNCTION("""COMPUTED_VALUE"""),"8226")</f>
        <v>8226</v>
      </c>
      <c r="B1743" s="4" t="str">
        <f>IFERROR(__xludf.DUMMYFUNCTION("""COMPUTED_VALUE"""),"Adhesivo 11x15 Uso oblig Gafas")</f>
        <v>Adhesivo 11x15 Uso oblig Gafas</v>
      </c>
      <c r="C1743" s="4">
        <f>IFERROR(__xludf.DUMMYFUNCTION("""COMPUTED_VALUE"""),0.528)</f>
        <v>0.528</v>
      </c>
      <c r="D1743" s="4">
        <f>IFERROR(__xludf.DUMMYFUNCTION("""COMPUTED_VALUE"""),0.5)</f>
        <v>0.5</v>
      </c>
      <c r="E1743" s="4" t="str">
        <f>IFERROR(__xludf.DUMMYFUNCTION("""COMPUTED_VALUE"""),"Neto: 0,50 € (a partir de 1 uds.)")</f>
        <v>Neto: 0,50 € (a partir de 1 uds.)</v>
      </c>
    </row>
    <row r="1744">
      <c r="A1744" s="4" t="str">
        <f>IFERROR(__xludf.DUMMYFUNCTION("""COMPUTED_VALUE"""),"8226/B")</f>
        <v>8226/B</v>
      </c>
      <c r="B1744" s="4" t="str">
        <f>IFERROR(__xludf.DUMMYFUNCTION("""COMPUTED_VALUE"""),"Blister 10 unid. Adhesivo 11x15 Uso obligatorio Gafas")</f>
        <v>Blister 10 unid. Adhesivo 11x15 Uso obligatorio Gafas</v>
      </c>
      <c r="C1744" s="4">
        <f>IFERROR(__xludf.DUMMYFUNCTION("""COMPUTED_VALUE"""),4.224)</f>
        <v>4.224</v>
      </c>
      <c r="D1744" s="4"/>
      <c r="E1744" s="4" t="str">
        <f>IFERROR(__xludf.DUMMYFUNCTION("""COMPUTED_VALUE"""),"Sin precio neto")</f>
        <v>Sin precio neto</v>
      </c>
    </row>
    <row r="1745">
      <c r="A1745" s="4" t="str">
        <f>IFERROR(__xludf.DUMMYFUNCTION("""COMPUTED_VALUE"""),"8227")</f>
        <v>8227</v>
      </c>
      <c r="B1745" s="4" t="str">
        <f>IFERROR(__xludf.DUMMYFUNCTION("""COMPUTED_VALUE"""),"Adhesivo 11x 15 Uso oblig. arnes segur.")</f>
        <v>Adhesivo 11x 15 Uso oblig. arnes segur.</v>
      </c>
      <c r="C1745" s="4">
        <f>IFERROR(__xludf.DUMMYFUNCTION("""COMPUTED_VALUE"""),0.528)</f>
        <v>0.528</v>
      </c>
      <c r="D1745" s="4">
        <f>IFERROR(__xludf.DUMMYFUNCTION("""COMPUTED_VALUE"""),0.5)</f>
        <v>0.5</v>
      </c>
      <c r="E1745" s="4" t="str">
        <f>IFERROR(__xludf.DUMMYFUNCTION("""COMPUTED_VALUE"""),"Neto: 0,50 € (a partir de 1 uds.)")</f>
        <v>Neto: 0,50 € (a partir de 1 uds.)</v>
      </c>
    </row>
    <row r="1746">
      <c r="A1746" s="4" t="str">
        <f>IFERROR(__xludf.DUMMYFUNCTION("""COMPUTED_VALUE"""),"8227/B")</f>
        <v>8227/B</v>
      </c>
      <c r="B1746" s="4" t="str">
        <f>IFERROR(__xludf.DUMMYFUNCTION("""COMPUTED_VALUE"""),"Blister 10 und. Adhesivo 11x15 Uso oblig. arnes seguridad")</f>
        <v>Blister 10 und. Adhesivo 11x15 Uso oblig. arnes seguridad</v>
      </c>
      <c r="C1746" s="4">
        <f>IFERROR(__xludf.DUMMYFUNCTION("""COMPUTED_VALUE"""),4.224)</f>
        <v>4.224</v>
      </c>
      <c r="D1746" s="4"/>
      <c r="E1746" s="4" t="str">
        <f>IFERROR(__xludf.DUMMYFUNCTION("""COMPUTED_VALUE"""),"Sin precio neto")</f>
        <v>Sin precio neto</v>
      </c>
    </row>
    <row r="1747">
      <c r="A1747" s="4" t="str">
        <f>IFERROR(__xludf.DUMMYFUNCTION("""COMPUTED_VALUE"""),"8230")</f>
        <v>8230</v>
      </c>
      <c r="B1747" s="4" t="str">
        <f>IFERROR(__xludf.DUMMYFUNCTION("""COMPUTED_VALUE"""),"Adhesivo 11x 15 Prohibido Fumar")</f>
        <v>Adhesivo 11x 15 Prohibido Fumar</v>
      </c>
      <c r="C1747" s="4">
        <f>IFERROR(__xludf.DUMMYFUNCTION("""COMPUTED_VALUE"""),0.528)</f>
        <v>0.528</v>
      </c>
      <c r="D1747" s="4">
        <f>IFERROR(__xludf.DUMMYFUNCTION("""COMPUTED_VALUE"""),0.5)</f>
        <v>0.5</v>
      </c>
      <c r="E1747" s="4" t="str">
        <f>IFERROR(__xludf.DUMMYFUNCTION("""COMPUTED_VALUE"""),"Neto: 0,50 € (a partir de 1 uds.)")</f>
        <v>Neto: 0,50 € (a partir de 1 uds.)</v>
      </c>
    </row>
    <row r="1748">
      <c r="A1748" s="4" t="str">
        <f>IFERROR(__xludf.DUMMYFUNCTION("""COMPUTED_VALUE"""),"8230/B")</f>
        <v>8230/B</v>
      </c>
      <c r="B1748" s="4" t="str">
        <f>IFERROR(__xludf.DUMMYFUNCTION("""COMPUTED_VALUE"""),"Blister 10 unid. Adhesivo 11x15 Prohibido Fumar")</f>
        <v>Blister 10 unid. Adhesivo 11x15 Prohibido Fumar</v>
      </c>
      <c r="C1748" s="4">
        <f>IFERROR(__xludf.DUMMYFUNCTION("""COMPUTED_VALUE"""),4.224)</f>
        <v>4.224</v>
      </c>
      <c r="D1748" s="4"/>
      <c r="E1748" s="4" t="str">
        <f>IFERROR(__xludf.DUMMYFUNCTION("""COMPUTED_VALUE"""),"Sin precio neto")</f>
        <v>Sin precio neto</v>
      </c>
    </row>
    <row r="1749">
      <c r="A1749" s="4" t="str">
        <f>IFERROR(__xludf.DUMMYFUNCTION("""COMPUTED_VALUE"""),"8232")</f>
        <v>8232</v>
      </c>
      <c r="B1749" s="4" t="str">
        <f>IFERROR(__xludf.DUMMYFUNCTION("""COMPUTED_VALUE"""),"Adhesivo 11x15 Prohibido pasar sin casco")</f>
        <v>Adhesivo 11x15 Prohibido pasar sin casco</v>
      </c>
      <c r="C1749" s="4">
        <f>IFERROR(__xludf.DUMMYFUNCTION("""COMPUTED_VALUE"""),0.528)</f>
        <v>0.528</v>
      </c>
      <c r="D1749" s="4">
        <f>IFERROR(__xludf.DUMMYFUNCTION("""COMPUTED_VALUE"""),0.5)</f>
        <v>0.5</v>
      </c>
      <c r="E1749" s="4" t="str">
        <f>IFERROR(__xludf.DUMMYFUNCTION("""COMPUTED_VALUE"""),"Neto: 0,50 € (a partir de 1 uds.)")</f>
        <v>Neto: 0,50 € (a partir de 1 uds.)</v>
      </c>
    </row>
    <row r="1750">
      <c r="A1750" s="4" t="str">
        <f>IFERROR(__xludf.DUMMYFUNCTION("""COMPUTED_VALUE"""),"8232/B")</f>
        <v>8232/B</v>
      </c>
      <c r="B1750" s="4" t="str">
        <f>IFERROR(__xludf.DUMMYFUNCTION("""COMPUTED_VALUE"""),"Blister 10 unid. Adhesivo 11x15 Prohibido pasar sin casco")</f>
        <v>Blister 10 unid. Adhesivo 11x15 Prohibido pasar sin casco</v>
      </c>
      <c r="C1750" s="4">
        <f>IFERROR(__xludf.DUMMYFUNCTION("""COMPUTED_VALUE"""),4.224)</f>
        <v>4.224</v>
      </c>
      <c r="D1750" s="4"/>
      <c r="E1750" s="4" t="str">
        <f>IFERROR(__xludf.DUMMYFUNCTION("""COMPUTED_VALUE"""),"Sin precio neto")</f>
        <v>Sin precio neto</v>
      </c>
    </row>
    <row r="1751">
      <c r="A1751" s="4" t="str">
        <f>IFERROR(__xludf.DUMMYFUNCTION("""COMPUTED_VALUE"""),"8238")</f>
        <v>8238</v>
      </c>
      <c r="B1751" s="4" t="str">
        <f>IFERROR(__xludf.DUMMYFUNCTION("""COMPUTED_VALUE"""),"Adhesivo 11x15 Atencion puesta a tierra")</f>
        <v>Adhesivo 11x15 Atencion puesta a tierra</v>
      </c>
      <c r="C1751" s="4">
        <f>IFERROR(__xludf.DUMMYFUNCTION("""COMPUTED_VALUE"""),0.528)</f>
        <v>0.528</v>
      </c>
      <c r="D1751" s="4">
        <f>IFERROR(__xludf.DUMMYFUNCTION("""COMPUTED_VALUE"""),0.5)</f>
        <v>0.5</v>
      </c>
      <c r="E1751" s="4" t="str">
        <f>IFERROR(__xludf.DUMMYFUNCTION("""COMPUTED_VALUE"""),"Neto: 0,50 € (a partir de 1 uds.)")</f>
        <v>Neto: 0,50 € (a partir de 1 uds.)</v>
      </c>
    </row>
    <row r="1752">
      <c r="A1752" s="4" t="str">
        <f>IFERROR(__xludf.DUMMYFUNCTION("""COMPUTED_VALUE"""),"8238/B")</f>
        <v>8238/B</v>
      </c>
      <c r="B1752" s="4" t="str">
        <f>IFERROR(__xludf.DUMMYFUNCTION("""COMPUTED_VALUE"""),"Blister 10 unid .Adhesivo 11x15 Atencion puesta a tierra")</f>
        <v>Blister 10 unid .Adhesivo 11x15 Atencion puesta a tierra</v>
      </c>
      <c r="C1752" s="4">
        <f>IFERROR(__xludf.DUMMYFUNCTION("""COMPUTED_VALUE"""),4.224)</f>
        <v>4.224</v>
      </c>
      <c r="D1752" s="4"/>
      <c r="E1752" s="4" t="str">
        <f>IFERROR(__xludf.DUMMYFUNCTION("""COMPUTED_VALUE"""),"Sin precio neto")</f>
        <v>Sin precio neto</v>
      </c>
    </row>
    <row r="1753">
      <c r="A1753" s="4" t="str">
        <f>IFERROR(__xludf.DUMMYFUNCTION("""COMPUTED_VALUE"""),"8250")</f>
        <v>8250</v>
      </c>
      <c r="B1753" s="4" t="str">
        <f>IFERROR(__xludf.DUMMYFUNCTION("""COMPUTED_VALUE"""),"Adhesivo 11x15 Peligro")</f>
        <v>Adhesivo 11x15 Peligro</v>
      </c>
      <c r="C1753" s="4">
        <f>IFERROR(__xludf.DUMMYFUNCTION("""COMPUTED_VALUE"""),0.528)</f>
        <v>0.528</v>
      </c>
      <c r="D1753" s="4">
        <f>IFERROR(__xludf.DUMMYFUNCTION("""COMPUTED_VALUE"""),0.5)</f>
        <v>0.5</v>
      </c>
      <c r="E1753" s="4" t="str">
        <f>IFERROR(__xludf.DUMMYFUNCTION("""COMPUTED_VALUE"""),"Neto: 0,50 € (a partir de 1 uds.)")</f>
        <v>Neto: 0,50 € (a partir de 1 uds.)</v>
      </c>
    </row>
    <row r="1754">
      <c r="A1754" s="4" t="str">
        <f>IFERROR(__xludf.DUMMYFUNCTION("""COMPUTED_VALUE"""),"8250/B")</f>
        <v>8250/B</v>
      </c>
      <c r="B1754" s="4" t="str">
        <f>IFERROR(__xludf.DUMMYFUNCTION("""COMPUTED_VALUE"""),"Blister 10 unid. Adhesivo 11x15 Peligro")</f>
        <v>Blister 10 unid. Adhesivo 11x15 Peligro</v>
      </c>
      <c r="C1754" s="4">
        <f>IFERROR(__xludf.DUMMYFUNCTION("""COMPUTED_VALUE"""),4.224)</f>
        <v>4.224</v>
      </c>
      <c r="D1754" s="4"/>
      <c r="E1754" s="4" t="str">
        <f>IFERROR(__xludf.DUMMYFUNCTION("""COMPUTED_VALUE"""),"Sin precio neto")</f>
        <v>Sin precio neto</v>
      </c>
    </row>
    <row r="1755">
      <c r="A1755" s="4" t="str">
        <f>IFERROR(__xludf.DUMMYFUNCTION("""COMPUTED_VALUE"""),"8252")</f>
        <v>8252</v>
      </c>
      <c r="B1755" s="4" t="str">
        <f>IFERROR(__xludf.DUMMYFUNCTION("""COMPUTED_VALUE"""),"Adhesivo 11x15 Riesgo de atrapamiento")</f>
        <v>Adhesivo 11x15 Riesgo de atrapamiento</v>
      </c>
      <c r="C1755" s="4">
        <f>IFERROR(__xludf.DUMMYFUNCTION("""COMPUTED_VALUE"""),0.528)</f>
        <v>0.528</v>
      </c>
      <c r="D1755" s="4">
        <f>IFERROR(__xludf.DUMMYFUNCTION("""COMPUTED_VALUE"""),0.5)</f>
        <v>0.5</v>
      </c>
      <c r="E1755" s="4" t="str">
        <f>IFERROR(__xludf.DUMMYFUNCTION("""COMPUTED_VALUE"""),"Neto: 0,50 € (a partir de 1 uds.)")</f>
        <v>Neto: 0,50 € (a partir de 1 uds.)</v>
      </c>
    </row>
    <row r="1756">
      <c r="A1756" s="4" t="str">
        <f>IFERROR(__xludf.DUMMYFUNCTION("""COMPUTED_VALUE"""),"8252/B")</f>
        <v>8252/B</v>
      </c>
      <c r="B1756" s="4" t="str">
        <f>IFERROR(__xludf.DUMMYFUNCTION("""COMPUTED_VALUE"""),"Blister 10 unid. Adhesivo 11x15 Riesgo de atrapamiento")</f>
        <v>Blister 10 unid. Adhesivo 11x15 Riesgo de atrapamiento</v>
      </c>
      <c r="C1756" s="4">
        <f>IFERROR(__xludf.DUMMYFUNCTION("""COMPUTED_VALUE"""),4.224)</f>
        <v>4.224</v>
      </c>
      <c r="D1756" s="4"/>
      <c r="E1756" s="4" t="str">
        <f>IFERROR(__xludf.DUMMYFUNCTION("""COMPUTED_VALUE"""),"Sin precio neto")</f>
        <v>Sin precio neto</v>
      </c>
    </row>
    <row r="1757">
      <c r="A1757" s="4" t="str">
        <f>IFERROR(__xludf.DUMMYFUNCTION("""COMPUTED_VALUE"""),"8253")</f>
        <v>8253</v>
      </c>
      <c r="B1757" s="4" t="str">
        <f>IFERROR(__xludf.DUMMYFUNCTION("""COMPUTED_VALUE"""),"Adhesivo 11x15 Proh. paso toda person ajena empresa")</f>
        <v>Adhesivo 11x15 Proh. paso toda person ajena empresa</v>
      </c>
      <c r="C1757" s="4">
        <f>IFERROR(__xludf.DUMMYFUNCTION("""COMPUTED_VALUE"""),0.528)</f>
        <v>0.528</v>
      </c>
      <c r="D1757" s="4">
        <f>IFERROR(__xludf.DUMMYFUNCTION("""COMPUTED_VALUE"""),0.5)</f>
        <v>0.5</v>
      </c>
      <c r="E1757" s="4" t="str">
        <f>IFERROR(__xludf.DUMMYFUNCTION("""COMPUTED_VALUE"""),"Neto: 0,50 € (a partir de 1 uds.)")</f>
        <v>Neto: 0,50 € (a partir de 1 uds.)</v>
      </c>
    </row>
    <row r="1758">
      <c r="A1758" s="4" t="str">
        <f>IFERROR(__xludf.DUMMYFUNCTION("""COMPUTED_VALUE"""),"8253/B")</f>
        <v>8253/B</v>
      </c>
      <c r="B1758" s="4" t="str">
        <f>IFERROR(__xludf.DUMMYFUNCTION("""COMPUTED_VALUE"""),"Blister 10 unid. Adehsivo 11x15 Proh. paso toda persona ajena")</f>
        <v>Blister 10 unid. Adehsivo 11x15 Proh. paso toda persona ajena</v>
      </c>
      <c r="C1758" s="4">
        <f>IFERROR(__xludf.DUMMYFUNCTION("""COMPUTED_VALUE"""),4.224)</f>
        <v>4.224</v>
      </c>
      <c r="D1758" s="4"/>
      <c r="E1758" s="4" t="str">
        <f>IFERROR(__xludf.DUMMYFUNCTION("""COMPUTED_VALUE"""),"Sin precio neto")</f>
        <v>Sin precio neto</v>
      </c>
    </row>
    <row r="1759">
      <c r="A1759" s="4" t="str">
        <f>IFERROR(__xludf.DUMMYFUNCTION("""COMPUTED_VALUE"""),"8256")</f>
        <v>8256</v>
      </c>
      <c r="B1759" s="4" t="str">
        <f>IFERROR(__xludf.DUMMYFUNCTION("""COMPUTED_VALUE"""),"Adhesivo 11x15 Botiquin")</f>
        <v>Adhesivo 11x15 Botiquin</v>
      </c>
      <c r="C1759" s="4">
        <f>IFERROR(__xludf.DUMMYFUNCTION("""COMPUTED_VALUE"""),0.528)</f>
        <v>0.528</v>
      </c>
      <c r="D1759" s="4">
        <f>IFERROR(__xludf.DUMMYFUNCTION("""COMPUTED_VALUE"""),0.5)</f>
        <v>0.5</v>
      </c>
      <c r="E1759" s="4" t="str">
        <f>IFERROR(__xludf.DUMMYFUNCTION("""COMPUTED_VALUE"""),"Neto: 0,50 € (a partir de 1 uds.)")</f>
        <v>Neto: 0,50 € (a partir de 1 uds.)</v>
      </c>
    </row>
    <row r="1760">
      <c r="A1760" s="4" t="str">
        <f>IFERROR(__xludf.DUMMYFUNCTION("""COMPUTED_VALUE"""),"8256/B")</f>
        <v>8256/B</v>
      </c>
      <c r="B1760" s="4" t="str">
        <f>IFERROR(__xludf.DUMMYFUNCTION("""COMPUTED_VALUE"""),"Blister 10 unid. adhesivo 11x15 Botiquin")</f>
        <v>Blister 10 unid. adhesivo 11x15 Botiquin</v>
      </c>
      <c r="C1760" s="4">
        <f>IFERROR(__xludf.DUMMYFUNCTION("""COMPUTED_VALUE"""),4.224)</f>
        <v>4.224</v>
      </c>
      <c r="D1760" s="4"/>
      <c r="E1760" s="4" t="str">
        <f>IFERROR(__xludf.DUMMYFUNCTION("""COMPUTED_VALUE"""),"Sin precio neto")</f>
        <v>Sin precio neto</v>
      </c>
    </row>
    <row r="1761">
      <c r="A1761" s="4" t="str">
        <f>IFERROR(__xludf.DUMMYFUNCTION("""COMPUTED_VALUE"""),"8275")</f>
        <v>8275</v>
      </c>
      <c r="B1761" s="4" t="str">
        <f>IFERROR(__xludf.DUMMYFUNCTION("""COMPUTED_VALUE"""),"Adhesivo 11x15 Proh. repar.personal no autorizado")</f>
        <v>Adhesivo 11x15 Proh. repar.personal no autorizado</v>
      </c>
      <c r="C1761" s="4">
        <f>IFERROR(__xludf.DUMMYFUNCTION("""COMPUTED_VALUE"""),0.528)</f>
        <v>0.528</v>
      </c>
      <c r="D1761" s="4">
        <f>IFERROR(__xludf.DUMMYFUNCTION("""COMPUTED_VALUE"""),0.5)</f>
        <v>0.5</v>
      </c>
      <c r="E1761" s="4" t="str">
        <f>IFERROR(__xludf.DUMMYFUNCTION("""COMPUTED_VALUE"""),"Neto: 0,50 € (a partir de 1 uds.)")</f>
        <v>Neto: 0,50 € (a partir de 1 uds.)</v>
      </c>
    </row>
    <row r="1762">
      <c r="A1762" s="4" t="str">
        <f>IFERROR(__xludf.DUMMYFUNCTION("""COMPUTED_VALUE"""),"8275/B")</f>
        <v>8275/B</v>
      </c>
      <c r="B1762" s="4" t="str">
        <f>IFERROR(__xludf.DUMMYFUNCTION("""COMPUTED_VALUE"""),"Blister 10 unid. Adhesivo 11x15 Proh. repar.personal no")</f>
        <v>Blister 10 unid. Adhesivo 11x15 Proh. repar.personal no</v>
      </c>
      <c r="C1762" s="4">
        <f>IFERROR(__xludf.DUMMYFUNCTION("""COMPUTED_VALUE"""),4.224)</f>
        <v>4.224</v>
      </c>
      <c r="D1762" s="4"/>
      <c r="E1762" s="4" t="str">
        <f>IFERROR(__xludf.DUMMYFUNCTION("""COMPUTED_VALUE"""),"Sin precio neto")</f>
        <v>Sin precio neto</v>
      </c>
    </row>
    <row r="1763">
      <c r="A1763" s="4" t="str">
        <f>IFERROR(__xludf.DUMMYFUNCTION("""COMPUTED_VALUE"""),"8281")</f>
        <v>8281</v>
      </c>
      <c r="B1763" s="4" t="str">
        <f>IFERROR(__xludf.DUMMYFUNCTION("""COMPUTED_VALUE"""),"Adhesivo 11x15 Agua no potable")</f>
        <v>Adhesivo 11x15 Agua no potable</v>
      </c>
      <c r="C1763" s="4">
        <f>IFERROR(__xludf.DUMMYFUNCTION("""COMPUTED_VALUE"""),0.528)</f>
        <v>0.528</v>
      </c>
      <c r="D1763" s="4">
        <f>IFERROR(__xludf.DUMMYFUNCTION("""COMPUTED_VALUE"""),0.5)</f>
        <v>0.5</v>
      </c>
      <c r="E1763" s="4" t="str">
        <f>IFERROR(__xludf.DUMMYFUNCTION("""COMPUTED_VALUE"""),"Neto: 0,50 € (a partir de 1 uds.)")</f>
        <v>Neto: 0,50 € (a partir de 1 uds.)</v>
      </c>
    </row>
    <row r="1764">
      <c r="A1764" s="4" t="str">
        <f>IFERROR(__xludf.DUMMYFUNCTION("""COMPUTED_VALUE"""),"8281/B")</f>
        <v>8281/B</v>
      </c>
      <c r="B1764" s="4" t="str">
        <f>IFERROR(__xludf.DUMMYFUNCTION("""COMPUTED_VALUE"""),"Blister 10 unid. Adhesivo 11x15 Agua no potable")</f>
        <v>Blister 10 unid. Adhesivo 11x15 Agua no potable</v>
      </c>
      <c r="C1764" s="4">
        <f>IFERROR(__xludf.DUMMYFUNCTION("""COMPUTED_VALUE"""),4.224)</f>
        <v>4.224</v>
      </c>
      <c r="D1764" s="4"/>
      <c r="E1764" s="4" t="str">
        <f>IFERROR(__xludf.DUMMYFUNCTION("""COMPUTED_VALUE"""),"Sin precio neto")</f>
        <v>Sin precio neto</v>
      </c>
    </row>
    <row r="1765">
      <c r="A1765" s="4" t="str">
        <f>IFERROR(__xludf.DUMMYFUNCTION("""COMPUTED_VALUE"""),"8283")</f>
        <v>8283</v>
      </c>
      <c r="B1765" s="4" t="str">
        <f>IFERROR(__xludf.DUMMYFUNCTION("""COMPUTED_VALUE"""),"Adhesivo 10x15 Uso obligatorio de mascara")</f>
        <v>Adhesivo 10x15 Uso obligatorio de mascara</v>
      </c>
      <c r="C1765" s="4">
        <f>IFERROR(__xludf.DUMMYFUNCTION("""COMPUTED_VALUE"""),0.528)</f>
        <v>0.528</v>
      </c>
      <c r="D1765" s="4">
        <f>IFERROR(__xludf.DUMMYFUNCTION("""COMPUTED_VALUE"""),0.5)</f>
        <v>0.5</v>
      </c>
      <c r="E1765" s="4" t="str">
        <f>IFERROR(__xludf.DUMMYFUNCTION("""COMPUTED_VALUE"""),"Neto: 0,50 € (a partir de 1 uds.)")</f>
        <v>Neto: 0,50 € (a partir de 1 uds.)</v>
      </c>
    </row>
    <row r="1766">
      <c r="A1766" s="4" t="str">
        <f>IFERROR(__xludf.DUMMYFUNCTION("""COMPUTED_VALUE"""),"8283/B")</f>
        <v>8283/B</v>
      </c>
      <c r="B1766" s="4" t="str">
        <f>IFERROR(__xludf.DUMMYFUNCTION("""COMPUTED_VALUE"""),"Blister 10 unid. Adhesivo 11x15 Uso obligatorio mascara")</f>
        <v>Blister 10 unid. Adhesivo 11x15 Uso obligatorio mascara</v>
      </c>
      <c r="C1766" s="4">
        <f>IFERROR(__xludf.DUMMYFUNCTION("""COMPUTED_VALUE"""),4.224)</f>
        <v>4.224</v>
      </c>
      <c r="D1766" s="4"/>
      <c r="E1766" s="4" t="str">
        <f>IFERROR(__xludf.DUMMYFUNCTION("""COMPUTED_VALUE"""),"Sin precio neto")</f>
        <v>Sin precio neto</v>
      </c>
    </row>
    <row r="1767">
      <c r="A1767" s="4" t="str">
        <f>IFERROR(__xludf.DUMMYFUNCTION("""COMPUTED_VALUE"""),"8290")</f>
        <v>8290</v>
      </c>
      <c r="B1767" s="4" t="str">
        <f>IFERROR(__xludf.DUMMYFUNCTION("""COMPUTED_VALUE"""),"Adhesivo 11x15 Peligro alta tension")</f>
        <v>Adhesivo 11x15 Peligro alta tension</v>
      </c>
      <c r="C1767" s="4">
        <f>IFERROR(__xludf.DUMMYFUNCTION("""COMPUTED_VALUE"""),0.528)</f>
        <v>0.528</v>
      </c>
      <c r="D1767" s="4">
        <f>IFERROR(__xludf.DUMMYFUNCTION("""COMPUTED_VALUE"""),0.5)</f>
        <v>0.5</v>
      </c>
      <c r="E1767" s="4" t="str">
        <f>IFERROR(__xludf.DUMMYFUNCTION("""COMPUTED_VALUE"""),"Neto: 0,50 € (a partir de 1 uds.)")</f>
        <v>Neto: 0,50 € (a partir de 1 uds.)</v>
      </c>
    </row>
    <row r="1768">
      <c r="A1768" s="4" t="str">
        <f>IFERROR(__xludf.DUMMYFUNCTION("""COMPUTED_VALUE"""),"8290/B")</f>
        <v>8290/B</v>
      </c>
      <c r="B1768" s="4" t="str">
        <f>IFERROR(__xludf.DUMMYFUNCTION("""COMPUTED_VALUE"""),"Blister 10 unid. Adhesivo 11x15 Peligro Alta Tension")</f>
        <v>Blister 10 unid. Adhesivo 11x15 Peligro Alta Tension</v>
      </c>
      <c r="C1768" s="4">
        <f>IFERROR(__xludf.DUMMYFUNCTION("""COMPUTED_VALUE"""),4.224)</f>
        <v>4.224</v>
      </c>
      <c r="D1768" s="4"/>
      <c r="E1768" s="4" t="str">
        <f>IFERROR(__xludf.DUMMYFUNCTION("""COMPUTED_VALUE"""),"Sin precio neto")</f>
        <v>Sin precio neto</v>
      </c>
    </row>
    <row r="1769">
      <c r="A1769" s="4" t="str">
        <f>IFERROR(__xludf.DUMMYFUNCTION("""COMPUTED_VALUE"""),"8291")</f>
        <v>8291</v>
      </c>
      <c r="B1769" s="4" t="str">
        <f>IFERROR(__xludf.DUMMYFUNCTION("""COMPUTED_VALUE"""),"Adhesivo 11x15 Peligro no maniobrar pers.no autor.")</f>
        <v>Adhesivo 11x15 Peligro no maniobrar pers.no autor.</v>
      </c>
      <c r="C1769" s="4">
        <f>IFERROR(__xludf.DUMMYFUNCTION("""COMPUTED_VALUE"""),0.528)</f>
        <v>0.528</v>
      </c>
      <c r="D1769" s="4">
        <f>IFERROR(__xludf.DUMMYFUNCTION("""COMPUTED_VALUE"""),0.5)</f>
        <v>0.5</v>
      </c>
      <c r="E1769" s="4" t="str">
        <f>IFERROR(__xludf.DUMMYFUNCTION("""COMPUTED_VALUE"""),"Neto: 0,50 € (a partir de 1 uds.)")</f>
        <v>Neto: 0,50 € (a partir de 1 uds.)</v>
      </c>
    </row>
    <row r="1770">
      <c r="A1770" s="4" t="str">
        <f>IFERROR(__xludf.DUMMYFUNCTION("""COMPUTED_VALUE"""),"8291/B")</f>
        <v>8291/B</v>
      </c>
      <c r="B1770" s="4" t="str">
        <f>IFERROR(__xludf.DUMMYFUNCTION("""COMPUTED_VALUE"""),"Blister 10 unid. Adhesivo 11x15 Peligro no maniobrar pers. no")</f>
        <v>Blister 10 unid. Adhesivo 11x15 Peligro no maniobrar pers. no</v>
      </c>
      <c r="C1770" s="4">
        <f>IFERROR(__xludf.DUMMYFUNCTION("""COMPUTED_VALUE"""),4.224)</f>
        <v>4.224</v>
      </c>
      <c r="D1770" s="4"/>
      <c r="E1770" s="4" t="str">
        <f>IFERROR(__xludf.DUMMYFUNCTION("""COMPUTED_VALUE"""),"Sin precio neto")</f>
        <v>Sin precio neto</v>
      </c>
    </row>
    <row r="1771">
      <c r="A1771" s="4" t="str">
        <f>IFERROR(__xludf.DUMMYFUNCTION("""COMPUTED_VALUE"""),"83120N1")</f>
        <v>83120N1</v>
      </c>
      <c r="B1771" s="4" t="str">
        <f>IFERROR(__xludf.DUMMYFUNCTION("""COMPUTED_VALUE"""),"Cuadrado MOPU TS 120x120 cm Reflex I")</f>
        <v>Cuadrado MOPU TS 120x120 cm Reflex I</v>
      </c>
      <c r="C1771" s="4">
        <f>IFERROR(__xludf.DUMMYFUNCTION("""COMPUTED_VALUE"""),137.41439999999997)</f>
        <v>137.4144</v>
      </c>
      <c r="D1771" s="4"/>
      <c r="E1771" s="4" t="str">
        <f>IFERROR(__xludf.DUMMYFUNCTION("""COMPUTED_VALUE"""),"Sin precio neto")</f>
        <v>Sin precio neto</v>
      </c>
    </row>
    <row r="1772">
      <c r="A1772" s="4" t="str">
        <f>IFERROR(__xludf.DUMMYFUNCTION("""COMPUTED_VALUE"""),"83120N2")</f>
        <v>83120N2</v>
      </c>
      <c r="B1772" s="4" t="str">
        <f>IFERROR(__xludf.DUMMYFUNCTION("""COMPUTED_VALUE"""),"Cuadrado MOPU TS 120x120 cm Reflex II")</f>
        <v>Cuadrado MOPU TS 120x120 cm Reflex II</v>
      </c>
      <c r="C1772" s="4">
        <f>IFERROR(__xludf.DUMMYFUNCTION("""COMPUTED_VALUE"""),192.576)</f>
        <v>192.576</v>
      </c>
      <c r="D1772" s="4"/>
      <c r="E1772" s="4" t="str">
        <f>IFERROR(__xludf.DUMMYFUNCTION("""COMPUTED_VALUE"""),"Sin precio neto")</f>
        <v>Sin precio neto</v>
      </c>
    </row>
    <row r="1773">
      <c r="A1773" s="4" t="str">
        <f>IFERROR(__xludf.DUMMYFUNCTION("""COMPUTED_VALUE"""),"83120N3")</f>
        <v>83120N3</v>
      </c>
      <c r="B1773" s="4" t="str">
        <f>IFERROR(__xludf.DUMMYFUNCTION("""COMPUTED_VALUE"""),"Cuadrado MOPU TS 120x120 cm Reflex III")</f>
        <v>Cuadrado MOPU TS 120x120 cm Reflex III</v>
      </c>
      <c r="C1773" s="4">
        <f>IFERROR(__xludf.DUMMYFUNCTION("""COMPUTED_VALUE"""),293.2704)</f>
        <v>293.2704</v>
      </c>
      <c r="D1773" s="4"/>
      <c r="E1773" s="4" t="str">
        <f>IFERROR(__xludf.DUMMYFUNCTION("""COMPUTED_VALUE"""),"Sin precio neto")</f>
        <v>Sin precio neto</v>
      </c>
    </row>
    <row r="1774">
      <c r="A1774" s="4" t="str">
        <f>IFERROR(__xludf.DUMMYFUNCTION("""COMPUTED_VALUE"""),"8340N1")</f>
        <v>8340N1</v>
      </c>
      <c r="B1774" s="4" t="str">
        <f>IFERROR(__xludf.DUMMYFUNCTION("""COMPUTED_VALUE"""),"Cuadrado MOPU TS 40x40 cm Reflex I")</f>
        <v>Cuadrado MOPU TS 40x40 cm Reflex I</v>
      </c>
      <c r="C1774" s="4">
        <f>IFERROR(__xludf.DUMMYFUNCTION("""COMPUTED_VALUE"""),29.759999999999998)</f>
        <v>29.76</v>
      </c>
      <c r="D1774" s="4"/>
      <c r="E1774" s="4" t="str">
        <f>IFERROR(__xludf.DUMMYFUNCTION("""COMPUTED_VALUE"""),"Sin precio neto")</f>
        <v>Sin precio neto</v>
      </c>
    </row>
    <row r="1775">
      <c r="A1775" s="4" t="str">
        <f>IFERROR(__xludf.DUMMYFUNCTION("""COMPUTED_VALUE"""),"8340N2")</f>
        <v>8340N2</v>
      </c>
      <c r="B1775" s="4" t="str">
        <f>IFERROR(__xludf.DUMMYFUNCTION("""COMPUTED_VALUE"""),"Cuadrado MOPU TS 40x40 cm Reflex II")</f>
        <v>Cuadrado MOPU TS 40x40 cm Reflex II</v>
      </c>
      <c r="C1775" s="4">
        <f>IFERROR(__xludf.DUMMYFUNCTION("""COMPUTED_VALUE"""),34.56)</f>
        <v>34.56</v>
      </c>
      <c r="D1775" s="4"/>
      <c r="E1775" s="4" t="str">
        <f>IFERROR(__xludf.DUMMYFUNCTION("""COMPUTED_VALUE"""),"Sin precio neto")</f>
        <v>Sin precio neto</v>
      </c>
    </row>
    <row r="1776">
      <c r="A1776" s="4" t="str">
        <f>IFERROR(__xludf.DUMMYFUNCTION("""COMPUTED_VALUE"""),"8340N3")</f>
        <v>8340N3</v>
      </c>
      <c r="B1776" s="4" t="str">
        <f>IFERROR(__xludf.DUMMYFUNCTION("""COMPUTED_VALUE"""),"Cuadrado MOPU TS 40x40 cm Reflex III")</f>
        <v>Cuadrado MOPU TS 40x40 cm Reflex III</v>
      </c>
      <c r="C1776" s="4">
        <f>IFERROR(__xludf.DUMMYFUNCTION("""COMPUTED_VALUE"""),51.839999999999996)</f>
        <v>51.84</v>
      </c>
      <c r="D1776" s="4"/>
      <c r="E1776" s="4" t="str">
        <f>IFERROR(__xludf.DUMMYFUNCTION("""COMPUTED_VALUE"""),"Sin precio neto")</f>
        <v>Sin precio neto</v>
      </c>
    </row>
    <row r="1777">
      <c r="A1777" s="4" t="str">
        <f>IFERROR(__xludf.DUMMYFUNCTION("""COMPUTED_VALUE"""),"8360N1")</f>
        <v>8360N1</v>
      </c>
      <c r="B1777" s="4" t="str">
        <f>IFERROR(__xludf.DUMMYFUNCTION("""COMPUTED_VALUE"""),"Cuadrado MOPU TS 60x60 cm Reflex I")</f>
        <v>Cuadrado MOPU TS 60x60 cm Reflex I</v>
      </c>
      <c r="C1777" s="4">
        <f>IFERROR(__xludf.DUMMYFUNCTION("""COMPUTED_VALUE"""),25.919999999999998)</f>
        <v>25.92</v>
      </c>
      <c r="D1777" s="4"/>
      <c r="E1777" s="4" t="str">
        <f>IFERROR(__xludf.DUMMYFUNCTION("""COMPUTED_VALUE"""),"Sin precio neto")</f>
        <v>Sin precio neto</v>
      </c>
    </row>
    <row r="1778">
      <c r="A1778" s="4" t="str">
        <f>IFERROR(__xludf.DUMMYFUNCTION("""COMPUTED_VALUE"""),"8360N2")</f>
        <v>8360N2</v>
      </c>
      <c r="B1778" s="4" t="str">
        <f>IFERROR(__xludf.DUMMYFUNCTION("""COMPUTED_VALUE"""),"Cuadrado MOPU TS 60x60 cm Reflex II")</f>
        <v>Cuadrado MOPU TS 60x60 cm Reflex II</v>
      </c>
      <c r="C1778" s="4">
        <f>IFERROR(__xludf.DUMMYFUNCTION("""COMPUTED_VALUE"""),42.48)</f>
        <v>42.48</v>
      </c>
      <c r="D1778" s="4"/>
      <c r="E1778" s="4" t="str">
        <f>IFERROR(__xludf.DUMMYFUNCTION("""COMPUTED_VALUE"""),"Sin precio neto")</f>
        <v>Sin precio neto</v>
      </c>
    </row>
    <row r="1779">
      <c r="A1779" s="4" t="str">
        <f>IFERROR(__xludf.DUMMYFUNCTION("""COMPUTED_VALUE"""),"8360N3")</f>
        <v>8360N3</v>
      </c>
      <c r="B1779" s="4" t="str">
        <f>IFERROR(__xludf.DUMMYFUNCTION("""COMPUTED_VALUE"""),"Cuadrado MOPU TS 60x60 cm Reflex III")</f>
        <v>Cuadrado MOPU TS 60x60 cm Reflex III</v>
      </c>
      <c r="C1779" s="4">
        <f>IFERROR(__xludf.DUMMYFUNCTION("""COMPUTED_VALUE"""),69.84)</f>
        <v>69.84</v>
      </c>
      <c r="D1779" s="4"/>
      <c r="E1779" s="4" t="str">
        <f>IFERROR(__xludf.DUMMYFUNCTION("""COMPUTED_VALUE"""),"Sin precio neto")</f>
        <v>Sin precio neto</v>
      </c>
    </row>
    <row r="1780">
      <c r="A1780" s="4" t="str">
        <f>IFERROR(__xludf.DUMMYFUNCTION("""COMPUTED_VALUE"""),"8374")</f>
        <v>8374</v>
      </c>
      <c r="B1780" s="4" t="str">
        <f>IFERROR(__xludf.DUMMYFUNCTION("""COMPUTED_VALUE"""),"Adhesivo 11x15 Riesgo de proyeccion de particulas")</f>
        <v>Adhesivo 11x15 Riesgo de proyeccion de particulas</v>
      </c>
      <c r="C1780" s="4">
        <f>IFERROR(__xludf.DUMMYFUNCTION("""COMPUTED_VALUE"""),0.528)</f>
        <v>0.528</v>
      </c>
      <c r="D1780" s="4">
        <f>IFERROR(__xludf.DUMMYFUNCTION("""COMPUTED_VALUE"""),0.5)</f>
        <v>0.5</v>
      </c>
      <c r="E1780" s="4" t="str">
        <f>IFERROR(__xludf.DUMMYFUNCTION("""COMPUTED_VALUE"""),"Neto: 0,50 € (a partir de 1 uds.)")</f>
        <v>Neto: 0,50 € (a partir de 1 uds.)</v>
      </c>
    </row>
    <row r="1781">
      <c r="A1781" s="4" t="str">
        <f>IFERROR(__xludf.DUMMYFUNCTION("""COMPUTED_VALUE"""),"8375")</f>
        <v>8375</v>
      </c>
      <c r="B1781" s="4" t="str">
        <f>IFERROR(__xludf.DUMMYFUNCTION("""COMPUTED_VALUE"""),"Adhesivo 11x15 Peligro de incendio")</f>
        <v>Adhesivo 11x15 Peligro de incendio</v>
      </c>
      <c r="C1781" s="4">
        <f>IFERROR(__xludf.DUMMYFUNCTION("""COMPUTED_VALUE"""),0.528)</f>
        <v>0.528</v>
      </c>
      <c r="D1781" s="4">
        <f>IFERROR(__xludf.DUMMYFUNCTION("""COMPUTED_VALUE"""),0.5)</f>
        <v>0.5</v>
      </c>
      <c r="E1781" s="4" t="str">
        <f>IFERROR(__xludf.DUMMYFUNCTION("""COMPUTED_VALUE"""),"Neto: 0,50 € (a partir de 1 uds.)")</f>
        <v>Neto: 0,50 € (a partir de 1 uds.)</v>
      </c>
    </row>
    <row r="1782">
      <c r="A1782" s="4" t="str">
        <f>IFERROR(__xludf.DUMMYFUNCTION("""COMPUTED_VALUE"""),"8381")</f>
        <v>8381</v>
      </c>
      <c r="B1782" s="4" t="str">
        <f>IFERROR(__xludf.DUMMYFUNCTION("""COMPUTED_VALUE"""),"Adhesivo 11x15 Riesgo contacto térmico")</f>
        <v>Adhesivo 11x15 Riesgo contacto térmico</v>
      </c>
      <c r="C1782" s="4">
        <f>IFERROR(__xludf.DUMMYFUNCTION("""COMPUTED_VALUE"""),0.528)</f>
        <v>0.528</v>
      </c>
      <c r="D1782" s="4">
        <f>IFERROR(__xludf.DUMMYFUNCTION("""COMPUTED_VALUE"""),0.5)</f>
        <v>0.5</v>
      </c>
      <c r="E1782" s="4" t="str">
        <f>IFERROR(__xludf.DUMMYFUNCTION("""COMPUTED_VALUE"""),"Neto: 0,50 € (a partir de 1 uds.)")</f>
        <v>Neto: 0,50 € (a partir de 1 uds.)</v>
      </c>
    </row>
    <row r="1783">
      <c r="A1783" s="4" t="str">
        <f>IFERROR(__xludf.DUMMYFUNCTION("""COMPUTED_VALUE"""),"8382")</f>
        <v>8382</v>
      </c>
      <c r="B1783" s="4" t="str">
        <f>IFERROR(__xludf.DUMMYFUNCTION("""COMPUTED_VALUE"""),"Adhesivo 11x15 Riesgo de corte")</f>
        <v>Adhesivo 11x15 Riesgo de corte</v>
      </c>
      <c r="C1783" s="4">
        <f>IFERROR(__xludf.DUMMYFUNCTION("""COMPUTED_VALUE"""),0.528)</f>
        <v>0.528</v>
      </c>
      <c r="D1783" s="4">
        <f>IFERROR(__xludf.DUMMYFUNCTION("""COMPUTED_VALUE"""),0.5)</f>
        <v>0.5</v>
      </c>
      <c r="E1783" s="4" t="str">
        <f>IFERROR(__xludf.DUMMYFUNCTION("""COMPUTED_VALUE"""),"Neto: 0,50 € (a partir de 1 uds.)")</f>
        <v>Neto: 0,50 € (a partir de 1 uds.)</v>
      </c>
    </row>
    <row r="1784">
      <c r="A1784" s="4" t="str">
        <f>IFERROR(__xludf.DUMMYFUNCTION("""COMPUTED_VALUE"""),"8384")</f>
        <v>8384</v>
      </c>
      <c r="B1784" s="4" t="str">
        <f>IFERROR(__xludf.DUMMYFUNCTION("""COMPUTED_VALUE"""),"Adhesivo 10x15 Uso obligatorio equipo autonomo")</f>
        <v>Adhesivo 10x15 Uso obligatorio equipo autonomo</v>
      </c>
      <c r="C1784" s="4">
        <f>IFERROR(__xludf.DUMMYFUNCTION("""COMPUTED_VALUE"""),0.528)</f>
        <v>0.528</v>
      </c>
      <c r="D1784" s="4">
        <f>IFERROR(__xludf.DUMMYFUNCTION("""COMPUTED_VALUE"""),0.5)</f>
        <v>0.5</v>
      </c>
      <c r="E1784" s="4" t="str">
        <f>IFERROR(__xludf.DUMMYFUNCTION("""COMPUTED_VALUE"""),"Neto: 0,50 € (a partir de 1 uds.)")</f>
        <v>Neto: 0,50 € (a partir de 1 uds.)</v>
      </c>
    </row>
    <row r="1785">
      <c r="A1785" s="4" t="str">
        <f>IFERROR(__xludf.DUMMYFUNCTION("""COMPUTED_VALUE"""),"8385")</f>
        <v>8385</v>
      </c>
      <c r="B1785" s="4" t="str">
        <f>IFERROR(__xludf.DUMMYFUNCTION("""COMPUTED_VALUE"""),"Adhesivo 10x15 peligro temperatura elevada")</f>
        <v>Adhesivo 10x15 peligro temperatura elevada</v>
      </c>
      <c r="C1785" s="4">
        <f>IFERROR(__xludf.DUMMYFUNCTION("""COMPUTED_VALUE"""),0.528)</f>
        <v>0.528</v>
      </c>
      <c r="D1785" s="4">
        <f>IFERROR(__xludf.DUMMYFUNCTION("""COMPUTED_VALUE"""),0.5)</f>
        <v>0.5</v>
      </c>
      <c r="E1785" s="4" t="str">
        <f>IFERROR(__xludf.DUMMYFUNCTION("""COMPUTED_VALUE"""),"Neto: 0,50 € (a partir de 1 uds.)")</f>
        <v>Neto: 0,50 € (a partir de 1 uds.)</v>
      </c>
    </row>
    <row r="1786">
      <c r="A1786" s="4" t="str">
        <f>IFERROR(__xludf.DUMMYFUNCTION("""COMPUTED_VALUE"""),"8385/B")</f>
        <v>8385/B</v>
      </c>
      <c r="B1786" s="4" t="str">
        <f>IFERROR(__xludf.DUMMYFUNCTION("""COMPUTED_VALUE"""),"Blístes 10 unid. Ahesivo 11x15 Temperatura Elevada")</f>
        <v>Blístes 10 unid. Ahesivo 11x15 Temperatura Elevada</v>
      </c>
      <c r="C1786" s="4">
        <f>IFERROR(__xludf.DUMMYFUNCTION("""COMPUTED_VALUE"""),4.224)</f>
        <v>4.224</v>
      </c>
      <c r="D1786" s="4"/>
      <c r="E1786" s="4" t="str">
        <f>IFERROR(__xludf.DUMMYFUNCTION("""COMPUTED_VALUE"""),"Sin precio neto")</f>
        <v>Sin precio neto</v>
      </c>
    </row>
    <row r="1787">
      <c r="A1787" s="4" t="str">
        <f>IFERROR(__xludf.DUMMYFUNCTION("""COMPUTED_VALUE"""),"8390N1")</f>
        <v>8390N1</v>
      </c>
      <c r="B1787" s="4" t="str">
        <f>IFERROR(__xludf.DUMMYFUNCTION("""COMPUTED_VALUE"""),"Cuadrado MOPU TS 90x90 cm Reflex I")</f>
        <v>Cuadrado MOPU TS 90x90 cm Reflex I</v>
      </c>
      <c r="C1787" s="4">
        <f>IFERROR(__xludf.DUMMYFUNCTION("""COMPUTED_VALUE"""),91.2)</f>
        <v>91.2</v>
      </c>
      <c r="D1787" s="4">
        <f>IFERROR(__xludf.DUMMYFUNCTION("""COMPUTED_VALUE"""),62.0)</f>
        <v>62</v>
      </c>
      <c r="E1787" s="4" t="str">
        <f>IFERROR(__xludf.DUMMYFUNCTION("""COMPUTED_VALUE"""),"Neto: 62,00 € (a partir de 1 uds.)")</f>
        <v>Neto: 62,00 € (a partir de 1 uds.)</v>
      </c>
    </row>
    <row r="1788">
      <c r="A1788" s="4" t="str">
        <f>IFERROR(__xludf.DUMMYFUNCTION("""COMPUTED_VALUE"""),"8390N2")</f>
        <v>8390N2</v>
      </c>
      <c r="B1788" s="4" t="str">
        <f>IFERROR(__xludf.DUMMYFUNCTION("""COMPUTED_VALUE"""),"Cuadrado MOPU TS 90x90 cm Reflex II")</f>
        <v>Cuadrado MOPU TS 90x90 cm Reflex II</v>
      </c>
      <c r="C1788" s="4">
        <f>IFERROR(__xludf.DUMMYFUNCTION("""COMPUTED_VALUE"""),125.136)</f>
        <v>125.136</v>
      </c>
      <c r="D1788" s="4"/>
      <c r="E1788" s="4" t="str">
        <f>IFERROR(__xludf.DUMMYFUNCTION("""COMPUTED_VALUE"""),"Sin precio neto")</f>
        <v>Sin precio neto</v>
      </c>
    </row>
    <row r="1789">
      <c r="A1789" s="4" t="str">
        <f>IFERROR(__xludf.DUMMYFUNCTION("""COMPUTED_VALUE"""),"8390N3")</f>
        <v>8390N3</v>
      </c>
      <c r="B1789" s="4" t="str">
        <f>IFERROR(__xludf.DUMMYFUNCTION("""COMPUTED_VALUE"""),"Cuadrado MOPU TS 90x90 cm Reflex III")</f>
        <v>Cuadrado MOPU TS 90x90 cm Reflex III</v>
      </c>
      <c r="C1789" s="4">
        <f>IFERROR(__xludf.DUMMYFUNCTION("""COMPUTED_VALUE"""),150.8832)</f>
        <v>150.8832</v>
      </c>
      <c r="D1789" s="4"/>
      <c r="E1789" s="4" t="str">
        <f>IFERROR(__xludf.DUMMYFUNCTION("""COMPUTED_VALUE"""),"Sin precio neto")</f>
        <v>Sin precio neto</v>
      </c>
    </row>
    <row r="1790">
      <c r="A1790" s="4" t="str">
        <f>IFERROR(__xludf.DUMMYFUNCTION("""COMPUTED_VALUE"""),"8399")</f>
        <v>8399</v>
      </c>
      <c r="B1790" s="4" t="str">
        <f>IFERROR(__xludf.DUMMYFUNCTION("""COMPUTED_VALUE"""),"Adhesivo Agles Morts 17x25 cm")</f>
        <v>Adhesivo Agles Morts 17x25 cm</v>
      </c>
      <c r="C1790" s="4">
        <f>IFERROR(__xludf.DUMMYFUNCTION("""COMPUTED_VALUE"""),5.76)</f>
        <v>5.76</v>
      </c>
      <c r="D1790" s="4"/>
      <c r="E1790" s="4" t="str">
        <f>IFERROR(__xludf.DUMMYFUNCTION("""COMPUTED_VALUE"""),"Sin precio neto")</f>
        <v>Sin precio neto</v>
      </c>
    </row>
    <row r="1791">
      <c r="A1791" s="4" t="str">
        <f>IFERROR(__xludf.DUMMYFUNCTION("""COMPUTED_VALUE"""),"844060N1")</f>
        <v>844060N1</v>
      </c>
      <c r="B1791" s="4" t="str">
        <f>IFERROR(__xludf.DUMMYFUNCTION("""COMPUTED_VALUE"""),"Rectangulo MOPU TS 40x60 cm Reflex I")</f>
        <v>Rectangulo MOPU TS 40x60 cm Reflex I</v>
      </c>
      <c r="C1791" s="4">
        <f>IFERROR(__xludf.DUMMYFUNCTION("""COMPUTED_VALUE"""),35.04)</f>
        <v>35.04</v>
      </c>
      <c r="D1791" s="4"/>
      <c r="E1791" s="4" t="str">
        <f>IFERROR(__xludf.DUMMYFUNCTION("""COMPUTED_VALUE"""),"Sin precio neto")</f>
        <v>Sin precio neto</v>
      </c>
    </row>
    <row r="1792">
      <c r="A1792" s="4" t="str">
        <f>IFERROR(__xludf.DUMMYFUNCTION("""COMPUTED_VALUE"""),"844060N2")</f>
        <v>844060N2</v>
      </c>
      <c r="B1792" s="4" t="str">
        <f>IFERROR(__xludf.DUMMYFUNCTION("""COMPUTED_VALUE"""),"Rectangulo MOPU TS 40X60 cm Reflex II")</f>
        <v>Rectangulo MOPU TS 40X60 cm Reflex II</v>
      </c>
      <c r="C1792" s="4">
        <f>IFERROR(__xludf.DUMMYFUNCTION("""COMPUTED_VALUE"""),40.32)</f>
        <v>40.32</v>
      </c>
      <c r="D1792" s="4"/>
      <c r="E1792" s="4" t="str">
        <f>IFERROR(__xludf.DUMMYFUNCTION("""COMPUTED_VALUE"""),"Sin precio neto")</f>
        <v>Sin precio neto</v>
      </c>
    </row>
    <row r="1793">
      <c r="A1793" s="4" t="str">
        <f>IFERROR(__xludf.DUMMYFUNCTION("""COMPUTED_VALUE"""),"844060N3")</f>
        <v>844060N3</v>
      </c>
      <c r="B1793" s="4" t="str">
        <f>IFERROR(__xludf.DUMMYFUNCTION("""COMPUTED_VALUE"""),"Rectangulo MOPU TS 40X60 cm Reflex III")</f>
        <v>Rectangulo MOPU TS 40X60 cm Reflex III</v>
      </c>
      <c r="C1793" s="4">
        <f>IFERROR(__xludf.DUMMYFUNCTION("""COMPUTED_VALUE"""),60.0)</f>
        <v>60</v>
      </c>
      <c r="D1793" s="4"/>
      <c r="E1793" s="4" t="str">
        <f>IFERROR(__xludf.DUMMYFUNCTION("""COMPUTED_VALUE"""),"Sin precio neto")</f>
        <v>Sin precio neto</v>
      </c>
    </row>
    <row r="1794">
      <c r="A1794" s="4" t="str">
        <f>IFERROR(__xludf.DUMMYFUNCTION("""COMPUTED_VALUE"""),"8460120N1")</f>
        <v>8460120N1</v>
      </c>
      <c r="B1794" s="4" t="str">
        <f>IFERROR(__xludf.DUMMYFUNCTION("""COMPUTED_VALUE"""),"Rectangulo MOPU TS 60x120 cm Reflex I")</f>
        <v>Rectangulo MOPU TS 60x120 cm Reflex I</v>
      </c>
      <c r="C1794" s="4">
        <f>IFERROR(__xludf.DUMMYFUNCTION("""COMPUTED_VALUE"""),105.83999999999999)</f>
        <v>105.84</v>
      </c>
      <c r="D1794" s="4"/>
      <c r="E1794" s="4" t="str">
        <f>IFERROR(__xludf.DUMMYFUNCTION("""COMPUTED_VALUE"""),"Sin precio neto")</f>
        <v>Sin precio neto</v>
      </c>
    </row>
    <row r="1795">
      <c r="A1795" s="4" t="str">
        <f>IFERROR(__xludf.DUMMYFUNCTION("""COMPUTED_VALUE"""),"8460120N2")</f>
        <v>8460120N2</v>
      </c>
      <c r="B1795" s="4" t="str">
        <f>IFERROR(__xludf.DUMMYFUNCTION("""COMPUTED_VALUE"""),"Rectangulo MOPU TS 60x120 cm Reflex II")</f>
        <v>Rectangulo MOPU TS 60x120 cm Reflex II</v>
      </c>
      <c r="C1795" s="4">
        <f>IFERROR(__xludf.DUMMYFUNCTION("""COMPUTED_VALUE"""),107.52)</f>
        <v>107.52</v>
      </c>
      <c r="D1795" s="4"/>
      <c r="E1795" s="4" t="str">
        <f>IFERROR(__xludf.DUMMYFUNCTION("""COMPUTED_VALUE"""),"Sin precio neto")</f>
        <v>Sin precio neto</v>
      </c>
    </row>
    <row r="1796">
      <c r="A1796" s="4" t="str">
        <f>IFERROR(__xludf.DUMMYFUNCTION("""COMPUTED_VALUE"""),"8460120N3")</f>
        <v>8460120N3</v>
      </c>
      <c r="B1796" s="4" t="str">
        <f>IFERROR(__xludf.DUMMYFUNCTION("""COMPUTED_VALUE"""),"Rectangulo MOPU TS 60x120 cm Reflex III")</f>
        <v>Rectangulo MOPU TS 60x120 cm Reflex III</v>
      </c>
      <c r="C1796" s="4">
        <f>IFERROR(__xludf.DUMMYFUNCTION("""COMPUTED_VALUE"""),157.44)</f>
        <v>157.44</v>
      </c>
      <c r="D1796" s="4"/>
      <c r="E1796" s="4" t="str">
        <f>IFERROR(__xludf.DUMMYFUNCTION("""COMPUTED_VALUE"""),"Sin precio neto")</f>
        <v>Sin precio neto</v>
      </c>
    </row>
    <row r="1797">
      <c r="A1797" s="4" t="str">
        <f>IFERROR(__xludf.DUMMYFUNCTION("""COMPUTED_VALUE"""),"846090N1")</f>
        <v>846090N1</v>
      </c>
      <c r="B1797" s="4" t="str">
        <f>IFERROR(__xludf.DUMMYFUNCTION("""COMPUTED_VALUE"""),"Rectangulo MOPU TS 60x90 cm Reflex I")</f>
        <v>Rectangulo MOPU TS 60x90 cm Reflex I</v>
      </c>
      <c r="C1797" s="4">
        <f>IFERROR(__xludf.DUMMYFUNCTION("""COMPUTED_VALUE"""),42.239999999999995)</f>
        <v>42.24</v>
      </c>
      <c r="D1797" s="4"/>
      <c r="E1797" s="4" t="str">
        <f>IFERROR(__xludf.DUMMYFUNCTION("""COMPUTED_VALUE"""),"Sin precio neto")</f>
        <v>Sin precio neto</v>
      </c>
    </row>
    <row r="1798">
      <c r="A1798" s="4" t="str">
        <f>IFERROR(__xludf.DUMMYFUNCTION("""COMPUTED_VALUE"""),"846090N2")</f>
        <v>846090N2</v>
      </c>
      <c r="B1798" s="4" t="str">
        <f>IFERROR(__xludf.DUMMYFUNCTION("""COMPUTED_VALUE"""),"Rectangulo MOPU TS 60x90 cm Reflex II")</f>
        <v>Rectangulo MOPU TS 60x90 cm Reflex II</v>
      </c>
      <c r="C1798" s="4">
        <f>IFERROR(__xludf.DUMMYFUNCTION("""COMPUTED_VALUE"""),84.52799999999999)</f>
        <v>84.528</v>
      </c>
      <c r="D1798" s="4"/>
      <c r="E1798" s="4" t="str">
        <f>IFERROR(__xludf.DUMMYFUNCTION("""COMPUTED_VALUE"""),"Sin precio neto")</f>
        <v>Sin precio neto</v>
      </c>
    </row>
    <row r="1799">
      <c r="A1799" s="4" t="str">
        <f>IFERROR(__xludf.DUMMYFUNCTION("""COMPUTED_VALUE"""),"846090N3")</f>
        <v>846090N3</v>
      </c>
      <c r="B1799" s="4" t="str">
        <f>IFERROR(__xludf.DUMMYFUNCTION("""COMPUTED_VALUE"""),"Rectangulo MOPU TS 60x90 cm Reflex III")</f>
        <v>Rectangulo MOPU TS 60x90 cm Reflex III</v>
      </c>
      <c r="C1799" s="4">
        <f>IFERROR(__xludf.DUMMYFUNCTION("""COMPUTED_VALUE"""),111.0144)</f>
        <v>111.0144</v>
      </c>
      <c r="D1799" s="4"/>
      <c r="E1799" s="4" t="str">
        <f>IFERROR(__xludf.DUMMYFUNCTION("""COMPUTED_VALUE"""),"Sin precio neto")</f>
        <v>Sin precio neto</v>
      </c>
    </row>
    <row r="1800">
      <c r="A1800" s="4" t="str">
        <f>IFERROR(__xludf.DUMMYFUNCTION("""COMPUTED_VALUE"""),"8490135N1")</f>
        <v>8490135N1</v>
      </c>
      <c r="B1800" s="4" t="str">
        <f>IFERROR(__xludf.DUMMYFUNCTION("""COMPUTED_VALUE"""),"Rectangulo MOPU TS 90x135 cm Reflex I")</f>
        <v>Rectangulo MOPU TS 90x135 cm Reflex I</v>
      </c>
      <c r="C1800" s="4">
        <f>IFERROR(__xludf.DUMMYFUNCTION("""COMPUTED_VALUE"""),110.97599999999998)</f>
        <v>110.976</v>
      </c>
      <c r="D1800" s="4"/>
      <c r="E1800" s="4" t="str">
        <f>IFERROR(__xludf.DUMMYFUNCTION("""COMPUTED_VALUE"""),"Sin precio neto")</f>
        <v>Sin precio neto</v>
      </c>
    </row>
    <row r="1801">
      <c r="A1801" s="4" t="str">
        <f>IFERROR(__xludf.DUMMYFUNCTION("""COMPUTED_VALUE"""),"8490135N2")</f>
        <v>8490135N2</v>
      </c>
      <c r="B1801" s="4" t="str">
        <f>IFERROR(__xludf.DUMMYFUNCTION("""COMPUTED_VALUE"""),"Rectangulo MOPU TS 90x135 cm Reflex II")</f>
        <v>Rectangulo MOPU TS 90x135 cm Reflex II</v>
      </c>
      <c r="C1801" s="4">
        <f>IFERROR(__xludf.DUMMYFUNCTION("""COMPUTED_VALUE"""),183.1488)</f>
        <v>183.1488</v>
      </c>
      <c r="D1801" s="4"/>
      <c r="E1801" s="4" t="str">
        <f>IFERROR(__xludf.DUMMYFUNCTION("""COMPUTED_VALUE"""),"Sin precio neto")</f>
        <v>Sin precio neto</v>
      </c>
    </row>
    <row r="1802">
      <c r="A1802" s="4" t="str">
        <f>IFERROR(__xludf.DUMMYFUNCTION("""COMPUTED_VALUE"""),"8490135N3")</f>
        <v>8490135N3</v>
      </c>
      <c r="B1802" s="4" t="str">
        <f>IFERROR(__xludf.DUMMYFUNCTION("""COMPUTED_VALUE"""),"Rectangulo MOPU TS 90x135 cm Reflex III")</f>
        <v>Rectangulo MOPU TS 90x135 cm Reflex III</v>
      </c>
      <c r="C1802" s="4">
        <f>IFERROR(__xludf.DUMMYFUNCTION("""COMPUTED_VALUE"""),247.57439999999997)</f>
        <v>247.5744</v>
      </c>
      <c r="D1802" s="4"/>
      <c r="E1802" s="4" t="str">
        <f>IFERROR(__xludf.DUMMYFUNCTION("""COMPUTED_VALUE"""),"Sin precio neto")</f>
        <v>Sin precio neto</v>
      </c>
    </row>
    <row r="1803">
      <c r="A1803" s="4" t="str">
        <f>IFERROR(__xludf.DUMMYFUNCTION("""COMPUTED_VALUE"""),"8500N")</f>
        <v>8500N</v>
      </c>
      <c r="B1803" s="4" t="str">
        <f>IFERROR(__xludf.DUMMYFUNCTION("""COMPUTED_VALUE"""),"Señal 30 cm metálica Triangular Normal")</f>
        <v>Señal 30 cm metálica Triangular Normal</v>
      </c>
      <c r="C1803" s="4">
        <f>IFERROR(__xludf.DUMMYFUNCTION("""COMPUTED_VALUE"""),7.92)</f>
        <v>7.92</v>
      </c>
      <c r="D1803" s="4"/>
      <c r="E1803" s="4" t="str">
        <f>IFERROR(__xludf.DUMMYFUNCTION("""COMPUTED_VALUE"""),"Sin precio neto")</f>
        <v>Sin precio neto</v>
      </c>
    </row>
    <row r="1804">
      <c r="A1804" s="4" t="str">
        <f>IFERROR(__xludf.DUMMYFUNCTION("""COMPUTED_VALUE"""),"8500N1")</f>
        <v>8500N1</v>
      </c>
      <c r="B1804" s="4" t="str">
        <f>IFERROR(__xludf.DUMMYFUNCTION("""COMPUTED_VALUE"""),"Señal 30 cm metálica Triangular Nivel 1")</f>
        <v>Señal 30 cm metálica Triangular Nivel 1</v>
      </c>
      <c r="C1804" s="4">
        <f>IFERROR(__xludf.DUMMYFUNCTION("""COMPUTED_VALUE"""),8.879999999999999)</f>
        <v>8.88</v>
      </c>
      <c r="D1804" s="4"/>
      <c r="E1804" s="4" t="str">
        <f>IFERROR(__xludf.DUMMYFUNCTION("""COMPUTED_VALUE"""),"Sin precio neto")</f>
        <v>Sin precio neto</v>
      </c>
    </row>
    <row r="1805">
      <c r="A1805" s="4" t="str">
        <f>IFERROR(__xludf.DUMMYFUNCTION("""COMPUTED_VALUE"""),"854020N1")</f>
        <v>854020N1</v>
      </c>
      <c r="B1805" s="4" t="str">
        <f>IFERROR(__xludf.DUMMYFUNCTION("""COMPUTED_VALUE"""),"Cajetin MOPU TS 40x20 cm Reflex I")</f>
        <v>Cajetin MOPU TS 40x20 cm Reflex I</v>
      </c>
      <c r="C1805" s="4">
        <f>IFERROR(__xludf.DUMMYFUNCTION("""COMPUTED_VALUE"""),15.206399999999999)</f>
        <v>15.2064</v>
      </c>
      <c r="D1805" s="4"/>
      <c r="E1805" s="4" t="str">
        <f>IFERROR(__xludf.DUMMYFUNCTION("""COMPUTED_VALUE"""),"Sin precio neto")</f>
        <v>Sin precio neto</v>
      </c>
    </row>
    <row r="1806">
      <c r="A1806" s="4" t="str">
        <f>IFERROR(__xludf.DUMMYFUNCTION("""COMPUTED_VALUE"""),"854020N2")</f>
        <v>854020N2</v>
      </c>
      <c r="B1806" s="4" t="str">
        <f>IFERROR(__xludf.DUMMYFUNCTION("""COMPUTED_VALUE"""),"Cajetin MOPU TS 40x20 cm Reflex II")</f>
        <v>Cajetin MOPU TS 40x20 cm Reflex II</v>
      </c>
      <c r="C1806" s="4">
        <f>IFERROR(__xludf.DUMMYFUNCTION("""COMPUTED_VALUE"""),22.08)</f>
        <v>22.08</v>
      </c>
      <c r="D1806" s="4"/>
      <c r="E1806" s="4" t="str">
        <f>IFERROR(__xludf.DUMMYFUNCTION("""COMPUTED_VALUE"""),"Sin precio neto")</f>
        <v>Sin precio neto</v>
      </c>
    </row>
    <row r="1807">
      <c r="A1807" s="4" t="str">
        <f>IFERROR(__xludf.DUMMYFUNCTION("""COMPUTED_VALUE"""),"854020N3")</f>
        <v>854020N3</v>
      </c>
      <c r="B1807" s="4" t="str">
        <f>IFERROR(__xludf.DUMMYFUNCTION("""COMPUTED_VALUE"""),"Cajetin MOPU TS 40x20 cm Reflex III")</f>
        <v>Cajetin MOPU TS 40x20 cm Reflex III</v>
      </c>
      <c r="C1807" s="4">
        <f>IFERROR(__xludf.DUMMYFUNCTION("""COMPUTED_VALUE"""),27.1872)</f>
        <v>27.1872</v>
      </c>
      <c r="D1807" s="4"/>
      <c r="E1807" s="4" t="str">
        <f>IFERROR(__xludf.DUMMYFUNCTION("""COMPUTED_VALUE"""),"Sin precio neto")</f>
        <v>Sin precio neto</v>
      </c>
    </row>
    <row r="1808">
      <c r="A1808" s="4" t="str">
        <f>IFERROR(__xludf.DUMMYFUNCTION("""COMPUTED_VALUE"""),"856020N1")</f>
        <v>856020N1</v>
      </c>
      <c r="B1808" s="4" t="str">
        <f>IFERROR(__xludf.DUMMYFUNCTION("""COMPUTED_VALUE"""),"Cajetin MOPU TS 60x20 cm Reflex I")</f>
        <v>Cajetin MOPU TS 60x20 cm Reflex I</v>
      </c>
      <c r="C1808" s="4">
        <f>IFERROR(__xludf.DUMMYFUNCTION("""COMPUTED_VALUE"""),20.16)</f>
        <v>20.16</v>
      </c>
      <c r="D1808" s="4"/>
      <c r="E1808" s="4" t="str">
        <f>IFERROR(__xludf.DUMMYFUNCTION("""COMPUTED_VALUE"""),"Sin precio neto")</f>
        <v>Sin precio neto</v>
      </c>
    </row>
    <row r="1809">
      <c r="A1809" s="4" t="str">
        <f>IFERROR(__xludf.DUMMYFUNCTION("""COMPUTED_VALUE"""),"856030N1")</f>
        <v>856030N1</v>
      </c>
      <c r="B1809" s="4" t="str">
        <f>IFERROR(__xludf.DUMMYFUNCTION("""COMPUTED_VALUE"""),"Cajetin MOPU TS 60x30 cm Reflex I")</f>
        <v>Cajetin MOPU TS 60x30 cm Reflex I</v>
      </c>
      <c r="C1809" s="4">
        <f>IFERROR(__xludf.DUMMYFUNCTION("""COMPUTED_VALUE"""),20.4)</f>
        <v>20.4</v>
      </c>
      <c r="D1809" s="4"/>
      <c r="E1809" s="4" t="str">
        <f>IFERROR(__xludf.DUMMYFUNCTION("""COMPUTED_VALUE"""),"Sin precio neto")</f>
        <v>Sin precio neto</v>
      </c>
    </row>
    <row r="1810">
      <c r="A1810" s="4" t="str">
        <f>IFERROR(__xludf.DUMMYFUNCTION("""COMPUTED_VALUE"""),"856030N2")</f>
        <v>856030N2</v>
      </c>
      <c r="B1810" s="4" t="str">
        <f>IFERROR(__xludf.DUMMYFUNCTION("""COMPUTED_VALUE"""),"Cajetin MOPU TS 60x30 cm Reflex II")</f>
        <v>Cajetin MOPU TS 60x30 cm Reflex II</v>
      </c>
      <c r="C1810" s="4">
        <f>IFERROR(__xludf.DUMMYFUNCTION("""COMPUTED_VALUE"""),35.0688)</f>
        <v>35.0688</v>
      </c>
      <c r="D1810" s="4"/>
      <c r="E1810" s="4" t="str">
        <f>IFERROR(__xludf.DUMMYFUNCTION("""COMPUTED_VALUE"""),"Sin precio neto")</f>
        <v>Sin precio neto</v>
      </c>
    </row>
    <row r="1811">
      <c r="A1811" s="4" t="str">
        <f>IFERROR(__xludf.DUMMYFUNCTION("""COMPUTED_VALUE"""),"856030N3")</f>
        <v>856030N3</v>
      </c>
      <c r="B1811" s="4" t="str">
        <f>IFERROR(__xludf.DUMMYFUNCTION("""COMPUTED_VALUE"""),"Cajetin MOPU TS 60x30 cm Reflex III")</f>
        <v>Cajetin MOPU TS 60x30 cm Reflex III</v>
      </c>
      <c r="C1811" s="4">
        <f>IFERROR(__xludf.DUMMYFUNCTION("""COMPUTED_VALUE"""),44.4)</f>
        <v>44.4</v>
      </c>
      <c r="D1811" s="4"/>
      <c r="E1811" s="4" t="str">
        <f>IFERROR(__xludf.DUMMYFUNCTION("""COMPUTED_VALUE"""),"Sin precio neto")</f>
        <v>Sin precio neto</v>
      </c>
    </row>
    <row r="1812">
      <c r="A1812" s="4" t="str">
        <f>IFERROR(__xludf.DUMMYFUNCTION("""COMPUTED_VALUE"""),"8600N")</f>
        <v>8600N</v>
      </c>
      <c r="B1812" s="4" t="str">
        <f>IFERROR(__xludf.DUMMYFUNCTION("""COMPUTED_VALUE"""),"Señal 30 cm metálica Circular Normal")</f>
        <v>Señal 30 cm metálica Circular Normal</v>
      </c>
      <c r="C1812" s="4">
        <f>IFERROR(__xludf.DUMMYFUNCTION("""COMPUTED_VALUE"""),7.92)</f>
        <v>7.92</v>
      </c>
      <c r="D1812" s="4"/>
      <c r="E1812" s="4" t="str">
        <f>IFERROR(__xludf.DUMMYFUNCTION("""COMPUTED_VALUE"""),"Sin precio neto")</f>
        <v>Sin precio neto</v>
      </c>
    </row>
    <row r="1813">
      <c r="A1813" s="4" t="str">
        <f>IFERROR(__xludf.DUMMYFUNCTION("""COMPUTED_VALUE"""),"8600N1")</f>
        <v>8600N1</v>
      </c>
      <c r="B1813" s="4" t="str">
        <f>IFERROR(__xludf.DUMMYFUNCTION("""COMPUTED_VALUE"""),"Señal 30 cm metálica Circular Nivel 1")</f>
        <v>Señal 30 cm metálica Circular Nivel 1</v>
      </c>
      <c r="C1813" s="4">
        <f>IFERROR(__xludf.DUMMYFUNCTION("""COMPUTED_VALUE"""),8.879999999999999)</f>
        <v>8.88</v>
      </c>
      <c r="D1813" s="4"/>
      <c r="E1813" s="4" t="str">
        <f>IFERROR(__xludf.DUMMYFUNCTION("""COMPUTED_VALUE"""),"Sin precio neto")</f>
        <v>Sin precio neto</v>
      </c>
    </row>
    <row r="1814">
      <c r="A1814" s="4" t="str">
        <f>IFERROR(__xludf.DUMMYFUNCTION("""COMPUTED_VALUE"""),"8700N")</f>
        <v>8700N</v>
      </c>
      <c r="B1814" s="4" t="str">
        <f>IFERROR(__xludf.DUMMYFUNCTION("""COMPUTED_VALUE"""),"Señal 30 cm metálica Cuadrado Normal")</f>
        <v>Señal 30 cm metálica Cuadrado Normal</v>
      </c>
      <c r="C1814" s="4">
        <f>IFERROR(__xludf.DUMMYFUNCTION("""COMPUTED_VALUE"""),7.92)</f>
        <v>7.92</v>
      </c>
      <c r="D1814" s="4"/>
      <c r="E1814" s="4" t="str">
        <f>IFERROR(__xludf.DUMMYFUNCTION("""COMPUTED_VALUE"""),"Sin precio neto")</f>
        <v>Sin precio neto</v>
      </c>
    </row>
    <row r="1815">
      <c r="A1815" s="4" t="str">
        <f>IFERROR(__xludf.DUMMYFUNCTION("""COMPUTED_VALUE"""),"8700N1")</f>
        <v>8700N1</v>
      </c>
      <c r="B1815" s="4" t="str">
        <f>IFERROR(__xludf.DUMMYFUNCTION("""COMPUTED_VALUE"""),"Señal 30 cm metálica Rectangular Nivel 1")</f>
        <v>Señal 30 cm metálica Rectangular Nivel 1</v>
      </c>
      <c r="C1815" s="4">
        <f>IFERROR(__xludf.DUMMYFUNCTION("""COMPUTED_VALUE"""),8.879999999999999)</f>
        <v>8.88</v>
      </c>
      <c r="D1815" s="4"/>
      <c r="E1815" s="4" t="str">
        <f>IFERROR(__xludf.DUMMYFUNCTION("""COMPUTED_VALUE"""),"Sin precio neto")</f>
        <v>Sin precio neto</v>
      </c>
    </row>
    <row r="1816">
      <c r="A1816" s="4" t="str">
        <f>IFERROR(__xludf.DUMMYFUNCTION("""COMPUTED_VALUE"""),"8716545N1")</f>
        <v>8716545N1</v>
      </c>
      <c r="B1816" s="4" t="str">
        <f>IFERROR(__xludf.DUMMYFUNCTION("""COMPUTED_VALUE"""),"Panel direccional estrecho R/B TB-2 165x45 cm Reflex I")</f>
        <v>Panel direccional estrecho R/B TB-2 165x45 cm Reflex I</v>
      </c>
      <c r="C1816" s="4">
        <f>IFERROR(__xludf.DUMMYFUNCTION("""COMPUTED_VALUE"""),71.6832)</f>
        <v>71.6832</v>
      </c>
      <c r="D1816" s="4"/>
      <c r="E1816" s="4" t="str">
        <f>IFERROR(__xludf.DUMMYFUNCTION("""COMPUTED_VALUE"""),"Sin precio neto")</f>
        <v>Sin precio neto</v>
      </c>
    </row>
    <row r="1817">
      <c r="A1817" s="4" t="str">
        <f>IFERROR(__xludf.DUMMYFUNCTION("""COMPUTED_VALUE"""),"8716545N2")</f>
        <v>8716545N2</v>
      </c>
      <c r="B1817" s="4" t="str">
        <f>IFERROR(__xludf.DUMMYFUNCTION("""COMPUTED_VALUE"""),"Panel direccional estrecho R/B TB-2 165x45 cm Reflex II")</f>
        <v>Panel direccional estrecho R/B TB-2 165x45 cm Reflex II</v>
      </c>
      <c r="C1817" s="4">
        <f>IFERROR(__xludf.DUMMYFUNCTION("""COMPUTED_VALUE"""),86.16)</f>
        <v>86.16</v>
      </c>
      <c r="D1817" s="4"/>
      <c r="E1817" s="4" t="str">
        <f>IFERROR(__xludf.DUMMYFUNCTION("""COMPUTED_VALUE"""),"Sin precio neto")</f>
        <v>Sin precio neto</v>
      </c>
    </row>
    <row r="1818">
      <c r="A1818" s="4" t="str">
        <f>IFERROR(__xludf.DUMMYFUNCTION("""COMPUTED_VALUE"""),"8716545N3")</f>
        <v>8716545N3</v>
      </c>
      <c r="B1818" s="4" t="str">
        <f>IFERROR(__xludf.DUMMYFUNCTION("""COMPUTED_VALUE"""),"Panle direccional estrecho R/B TB-2 165x45 cm Reflex III")</f>
        <v>Panle direccional estrecho R/B TB-2 165x45 cm Reflex III</v>
      </c>
      <c r="C1818" s="4">
        <f>IFERROR(__xludf.DUMMYFUNCTION("""COMPUTED_VALUE"""),119.6928)</f>
        <v>119.6928</v>
      </c>
      <c r="D1818" s="4"/>
      <c r="E1818" s="4" t="str">
        <f>IFERROR(__xludf.DUMMYFUNCTION("""COMPUTED_VALUE"""),"Sin precio neto")</f>
        <v>Sin precio neto</v>
      </c>
    </row>
    <row r="1819">
      <c r="A1819" s="4" t="str">
        <f>IFERROR(__xludf.DUMMYFUNCTION("""COMPUTED_VALUE"""),"8719595N1")</f>
        <v>8719595N1</v>
      </c>
      <c r="B1819" s="4" t="str">
        <f>IFERROR(__xludf.DUMMYFUNCTION("""COMPUTED_VALUE"""),"Panel direccional alto R/B TB-1 195x95 cm Reflex I")</f>
        <v>Panel direccional alto R/B TB-1 195x95 cm Reflex I</v>
      </c>
      <c r="C1819" s="4">
        <f>IFERROR(__xludf.DUMMYFUNCTION("""COMPUTED_VALUE"""),198.576)</f>
        <v>198.576</v>
      </c>
      <c r="D1819" s="4"/>
      <c r="E1819" s="4" t="str">
        <f>IFERROR(__xludf.DUMMYFUNCTION("""COMPUTED_VALUE"""),"Sin precio neto")</f>
        <v>Sin precio neto</v>
      </c>
    </row>
    <row r="1820">
      <c r="A1820" s="4" t="str">
        <f>IFERROR(__xludf.DUMMYFUNCTION("""COMPUTED_VALUE"""),"8719595N2")</f>
        <v>8719595N2</v>
      </c>
      <c r="B1820" s="4" t="str">
        <f>IFERROR(__xludf.DUMMYFUNCTION("""COMPUTED_VALUE"""),"Panel direccional alto R/B TB-1 195x95 cm Reflex II")</f>
        <v>Panel direccional alto R/B TB-1 195x95 cm Reflex II</v>
      </c>
      <c r="C1820" s="4">
        <f>IFERROR(__xludf.DUMMYFUNCTION("""COMPUTED_VALUE"""),231.35999999999999)</f>
        <v>231.36</v>
      </c>
      <c r="D1820" s="4"/>
      <c r="E1820" s="4" t="str">
        <f>IFERROR(__xludf.DUMMYFUNCTION("""COMPUTED_VALUE"""),"Sin precio neto")</f>
        <v>Sin precio neto</v>
      </c>
    </row>
    <row r="1821">
      <c r="A1821" s="4" t="str">
        <f>IFERROR(__xludf.DUMMYFUNCTION("""COMPUTED_VALUE"""),"8719595N3")</f>
        <v>8719595N3</v>
      </c>
      <c r="B1821" s="4" t="str">
        <f>IFERROR(__xludf.DUMMYFUNCTION("""COMPUTED_VALUE"""),"Panel direccional alto R/B TB-1 195x95 cm Reflex III")</f>
        <v>Panel direccional alto R/B TB-1 195x95 cm Reflex III</v>
      </c>
      <c r="C1821" s="4">
        <f>IFERROR(__xludf.DUMMYFUNCTION("""COMPUTED_VALUE"""),307.632)</f>
        <v>307.632</v>
      </c>
      <c r="D1821" s="4"/>
      <c r="E1821" s="4" t="str">
        <f>IFERROR(__xludf.DUMMYFUNCTION("""COMPUTED_VALUE"""),"Sin precio neto")</f>
        <v>Sin precio neto</v>
      </c>
    </row>
    <row r="1822">
      <c r="A1822" s="4" t="str">
        <f>IFERROR(__xludf.DUMMYFUNCTION("""COMPUTED_VALUE"""),"878040N1")</f>
        <v>878040N1</v>
      </c>
      <c r="B1822" s="4" t="str">
        <f>IFERROR(__xludf.DUMMYFUNCTION("""COMPUTED_VALUE"""),"Panel direccional estrecho R/B TB-2 80x40 cm Reflex I")</f>
        <v>Panel direccional estrecho R/B TB-2 80x40 cm Reflex I</v>
      </c>
      <c r="C1822" s="4">
        <f>IFERROR(__xludf.DUMMYFUNCTION("""COMPUTED_VALUE"""),41.28)</f>
        <v>41.28</v>
      </c>
      <c r="D1822" s="4"/>
      <c r="E1822" s="4" t="str">
        <f>IFERROR(__xludf.DUMMYFUNCTION("""COMPUTED_VALUE"""),"Sin precio neto")</f>
        <v>Sin precio neto</v>
      </c>
    </row>
    <row r="1823">
      <c r="A1823" s="4" t="str">
        <f>IFERROR(__xludf.DUMMYFUNCTION("""COMPUTED_VALUE"""),"878040N2")</f>
        <v>878040N2</v>
      </c>
      <c r="B1823" s="4" t="str">
        <f>IFERROR(__xludf.DUMMYFUNCTION("""COMPUTED_VALUE"""),"Panel direccional estrecho R/B TB-2 80x40 cm Reflex II")</f>
        <v>Panel direccional estrecho R/B TB-2 80x40 cm Reflex II</v>
      </c>
      <c r="C1823" s="4">
        <f>IFERROR(__xludf.DUMMYFUNCTION("""COMPUTED_VALUE"""),63.552)</f>
        <v>63.552</v>
      </c>
      <c r="D1823" s="4"/>
      <c r="E1823" s="4" t="str">
        <f>IFERROR(__xludf.DUMMYFUNCTION("""COMPUTED_VALUE"""),"Sin precio neto")</f>
        <v>Sin precio neto</v>
      </c>
    </row>
    <row r="1824">
      <c r="A1824" s="4" t="str">
        <f>IFERROR(__xludf.DUMMYFUNCTION("""COMPUTED_VALUE"""),"878040N3")</f>
        <v>878040N3</v>
      </c>
      <c r="B1824" s="4" t="str">
        <f>IFERROR(__xludf.DUMMYFUNCTION("""COMPUTED_VALUE"""),"Panel direccional estrecho R/B TB-2 80x40 cm Reflex III")</f>
        <v>Panel direccional estrecho R/B TB-2 80x40 cm Reflex III</v>
      </c>
      <c r="C1824" s="4">
        <f>IFERROR(__xludf.DUMMYFUNCTION("""COMPUTED_VALUE"""),78.144)</f>
        <v>78.144</v>
      </c>
      <c r="D1824" s="4"/>
      <c r="E1824" s="4" t="str">
        <f>IFERROR(__xludf.DUMMYFUNCTION("""COMPUTED_VALUE"""),"Sin precio neto")</f>
        <v>Sin precio neto</v>
      </c>
    </row>
    <row r="1825">
      <c r="A1825" s="4" t="str">
        <f>IFERROR(__xludf.DUMMYFUNCTION("""COMPUTED_VALUE"""),"8800N")</f>
        <v>8800N</v>
      </c>
      <c r="B1825" s="4" t="str">
        <f>IFERROR(__xludf.DUMMYFUNCTION("""COMPUTED_VALUE"""),"Señal 30 cm metálica STOP Normal")</f>
        <v>Señal 30 cm metálica STOP Normal</v>
      </c>
      <c r="C1825" s="4">
        <f>IFERROR(__xludf.DUMMYFUNCTION("""COMPUTED_VALUE"""),7.92)</f>
        <v>7.92</v>
      </c>
      <c r="D1825" s="4"/>
      <c r="E1825" s="4" t="str">
        <f>IFERROR(__xludf.DUMMYFUNCTION("""COMPUTED_VALUE"""),"Sin precio neto")</f>
        <v>Sin precio neto</v>
      </c>
    </row>
    <row r="1826">
      <c r="A1826" s="4" t="str">
        <f>IFERROR(__xludf.DUMMYFUNCTION("""COMPUTED_VALUE"""),"8800N1")</f>
        <v>8800N1</v>
      </c>
      <c r="B1826" s="4" t="str">
        <f>IFERROR(__xludf.DUMMYFUNCTION("""COMPUTED_VALUE"""),"Señal 30 cm metálica STOP Nivel 1")</f>
        <v>Señal 30 cm metálica STOP Nivel 1</v>
      </c>
      <c r="C1826" s="4">
        <f>IFERROR(__xludf.DUMMYFUNCTION("""COMPUTED_VALUE"""),8.879999999999999)</f>
        <v>8.88</v>
      </c>
      <c r="D1826" s="4"/>
      <c r="E1826" s="4" t="str">
        <f>IFERROR(__xludf.DUMMYFUNCTION("""COMPUTED_VALUE"""),"Sin precio neto")</f>
        <v>Sin precio neto</v>
      </c>
    </row>
    <row r="1827">
      <c r="A1827" s="4" t="str">
        <f>IFERROR(__xludf.DUMMYFUNCTION("""COMPUTED_VALUE"""),"88140251")</f>
        <v>88140251</v>
      </c>
      <c r="B1827" s="4" t="str">
        <f>IFERROR(__xludf.DUMMYFUNCTION("""COMPUTED_VALUE"""),"Valla movil para obras TB-5")</f>
        <v>Valla movil para obras TB-5</v>
      </c>
      <c r="C1827" s="4">
        <f>IFERROR(__xludf.DUMMYFUNCTION("""COMPUTED_VALUE"""),77.712)</f>
        <v>77.712</v>
      </c>
      <c r="D1827" s="4"/>
      <c r="E1827" s="4" t="str">
        <f>IFERROR(__xludf.DUMMYFUNCTION("""COMPUTED_VALUE"""),"Sin precio neto")</f>
        <v>Sin precio neto</v>
      </c>
    </row>
    <row r="1828">
      <c r="A1828" s="4" t="str">
        <f>IFERROR(__xludf.DUMMYFUNCTION("""COMPUTED_VALUE"""),"8819560N1")</f>
        <v>8819560N1</v>
      </c>
      <c r="B1828" s="4" t="str">
        <f>IFERROR(__xludf.DUMMYFUNCTION("""COMPUTED_VALUE"""),"Panel Hastial 195x60 cm Reflex I 50%")</f>
        <v>Panel Hastial 195x60 cm Reflex I 50%</v>
      </c>
      <c r="C1828" s="4">
        <f>IFERROR(__xludf.DUMMYFUNCTION("""COMPUTED_VALUE"""),128.64)</f>
        <v>128.64</v>
      </c>
      <c r="D1828" s="4"/>
      <c r="E1828" s="4" t="str">
        <f>IFERROR(__xludf.DUMMYFUNCTION("""COMPUTED_VALUE"""),"Sin precio neto")</f>
        <v>Sin precio neto</v>
      </c>
    </row>
    <row r="1829">
      <c r="A1829" s="4" t="str">
        <f>IFERROR(__xludf.DUMMYFUNCTION("""COMPUTED_VALUE"""),"883010N1")</f>
        <v>883010N1</v>
      </c>
      <c r="B1829" s="4" t="str">
        <f>IFERROR(__xludf.DUMMYFUNCTION("""COMPUTED_VALUE"""),"Piqueta 30x10 cm TB-7 NI")</f>
        <v>Piqueta 30x10 cm TB-7 NI</v>
      </c>
      <c r="C1829" s="4">
        <f>IFERROR(__xludf.DUMMYFUNCTION("""COMPUTED_VALUE"""),11.28)</f>
        <v>11.28</v>
      </c>
      <c r="D1829" s="4"/>
      <c r="E1829" s="4" t="str">
        <f>IFERROR(__xludf.DUMMYFUNCTION("""COMPUTED_VALUE"""),"Sin precio neto")</f>
        <v>Sin precio neto</v>
      </c>
    </row>
    <row r="1830">
      <c r="A1830" s="4" t="str">
        <f>IFERROR(__xludf.DUMMYFUNCTION("""COMPUTED_VALUE"""),"884030N1")</f>
        <v>884030N1</v>
      </c>
      <c r="B1830" s="4" t="str">
        <f>IFERROR(__xludf.DUMMYFUNCTION("""COMPUTED_VALUE"""),"Plac 40x30 cm Escalon Lateral c/piqueta Reflex")</f>
        <v>Plac 40x30 cm Escalon Lateral c/piqueta Reflex</v>
      </c>
      <c r="C1830" s="4">
        <f>IFERROR(__xludf.DUMMYFUNCTION("""COMPUTED_VALUE"""),23.328)</f>
        <v>23.328</v>
      </c>
      <c r="D1830" s="4"/>
      <c r="E1830" s="4" t="str">
        <f>IFERROR(__xludf.DUMMYFUNCTION("""COMPUTED_VALUE"""),"Sin precio neto")</f>
        <v>Sin precio neto</v>
      </c>
    </row>
    <row r="1831">
      <c r="A1831" s="4" t="str">
        <f>IFERROR(__xludf.DUMMYFUNCTION("""COMPUTED_VALUE"""),"8840N1")</f>
        <v>8840N1</v>
      </c>
      <c r="B1831" s="4" t="str">
        <f>IFERROR(__xludf.DUMMYFUNCTION("""COMPUTED_VALUE"""),"Piqueta 40 cm de jalonamiento TB-11 Reflex")</f>
        <v>Piqueta 40 cm de jalonamiento TB-11 Reflex</v>
      </c>
      <c r="C1831" s="4">
        <f>IFERROR(__xludf.DUMMYFUNCTION("""COMPUTED_VALUE"""),8.448)</f>
        <v>8.448</v>
      </c>
      <c r="D1831" s="4"/>
      <c r="E1831" s="4" t="str">
        <f>IFERROR(__xludf.DUMMYFUNCTION("""COMPUTED_VALUE"""),"Sin precio neto")</f>
        <v>Sin precio neto</v>
      </c>
    </row>
    <row r="1832">
      <c r="A1832" s="4" t="str">
        <f>IFERROR(__xludf.DUMMYFUNCTION("""COMPUTED_VALUE"""),"887015DN1")</f>
        <v>887015DN1</v>
      </c>
      <c r="B1832" s="4" t="str">
        <f>IFERROR(__xludf.DUMMYFUNCTION("""COMPUTED_VALUE"""),"Baliza de señalizacion obra TB-8 NI Derecha")</f>
        <v>Baliza de señalizacion obra TB-8 NI Derecha</v>
      </c>
      <c r="C1832" s="4">
        <f>IFERROR(__xludf.DUMMYFUNCTION("""COMPUTED_VALUE"""),37.68)</f>
        <v>37.68</v>
      </c>
      <c r="D1832" s="4"/>
      <c r="E1832" s="4" t="str">
        <f>IFERROR(__xludf.DUMMYFUNCTION("""COMPUTED_VALUE"""),"Sin precio neto")</f>
        <v>Sin precio neto</v>
      </c>
    </row>
    <row r="1833">
      <c r="A1833" s="4" t="str">
        <f>IFERROR(__xludf.DUMMYFUNCTION("""COMPUTED_VALUE"""),"887015IN1")</f>
        <v>887015IN1</v>
      </c>
      <c r="B1833" s="4" t="str">
        <f>IFERROR(__xludf.DUMMYFUNCTION("""COMPUTED_VALUE"""),"Baliza de señalizacion obra TB-9 NI Izquierda")</f>
        <v>Baliza de señalizacion obra TB-9 NI Izquierda</v>
      </c>
      <c r="C1833" s="4">
        <f>IFERROR(__xludf.DUMMYFUNCTION("""COMPUTED_VALUE"""),37.68)</f>
        <v>37.68</v>
      </c>
      <c r="D1833" s="4"/>
      <c r="E1833" s="4" t="str">
        <f>IFERROR(__xludf.DUMMYFUNCTION("""COMPUTED_VALUE"""),"Sin precio neto")</f>
        <v>Sin precio neto</v>
      </c>
    </row>
    <row r="1834">
      <c r="A1834" s="4" t="str">
        <f>IFERROR(__xludf.DUMMYFUNCTION("""COMPUTED_VALUE"""),"889530N1")</f>
        <v>889530N1</v>
      </c>
      <c r="B1834" s="4" t="str">
        <f>IFERROR(__xludf.DUMMYFUNCTION("""COMPUTED_VALUE"""),"Panel Hastial 95x30 cm Reflex I 50%")</f>
        <v>Panel Hastial 95x30 cm Reflex I 50%</v>
      </c>
      <c r="C1834" s="4">
        <f>IFERROR(__xludf.DUMMYFUNCTION("""COMPUTED_VALUE"""),55.68)</f>
        <v>55.68</v>
      </c>
      <c r="D1834" s="4"/>
      <c r="E1834" s="4" t="str">
        <f>IFERROR(__xludf.DUMMYFUNCTION("""COMPUTED_VALUE"""),"Sin precio neto")</f>
        <v>Sin precio neto</v>
      </c>
    </row>
    <row r="1835">
      <c r="A1835" s="4" t="str">
        <f>IFERROR(__xludf.DUMMYFUNCTION("""COMPUTED_VALUE"""),"889530N2")</f>
        <v>889530N2</v>
      </c>
      <c r="B1835" s="4" t="str">
        <f>IFERROR(__xludf.DUMMYFUNCTION("""COMPUTED_VALUE"""),"Panel Hastial 95x30 cm Reflex II 50%")</f>
        <v>Panel Hastial 95x30 cm Reflex II 50%</v>
      </c>
      <c r="C1835" s="4">
        <f>IFERROR(__xludf.DUMMYFUNCTION("""COMPUTED_VALUE"""),66.24)</f>
        <v>66.24</v>
      </c>
      <c r="D1835" s="4"/>
      <c r="E1835" s="4" t="str">
        <f>IFERROR(__xludf.DUMMYFUNCTION("""COMPUTED_VALUE"""),"Sin precio neto")</f>
        <v>Sin precio neto</v>
      </c>
    </row>
    <row r="1836">
      <c r="A1836" s="4" t="str">
        <f>IFERROR(__xludf.DUMMYFUNCTION("""COMPUTED_VALUE"""),"9000")</f>
        <v>9000</v>
      </c>
      <c r="B1836" s="4" t="str">
        <f>IFERROR(__xludf.DUMMYFUNCTION("""COMPUTED_VALUE"""),"Reductor velocidad 60x50x4.5 cm Mod. G")</f>
        <v>Reductor velocidad 60x50x4.5 cm Mod. G</v>
      </c>
      <c r="C1836" s="4">
        <f>IFERROR(__xludf.DUMMYFUNCTION("""COMPUTED_VALUE"""),20.4)</f>
        <v>20.4</v>
      </c>
      <c r="D1836" s="4"/>
      <c r="E1836" s="4" t="str">
        <f>IFERROR(__xludf.DUMMYFUNCTION("""COMPUTED_VALUE"""),"Sin precio neto")</f>
        <v>Sin precio neto</v>
      </c>
    </row>
    <row r="1837">
      <c r="A1837" s="4" t="str">
        <f>IFERROR(__xludf.DUMMYFUNCTION("""COMPUTED_VALUE"""),"9001")</f>
        <v>9001</v>
      </c>
      <c r="B1837" s="4" t="str">
        <f>IFERROR(__xludf.DUMMYFUNCTION("""COMPUTED_VALUE"""),"Extremo reductor veloc. 60x25x4,5 cm Mod. G")</f>
        <v>Extremo reductor veloc. 60x25x4,5 cm Mod. G</v>
      </c>
      <c r="C1837" s="4">
        <f>IFERROR(__xludf.DUMMYFUNCTION("""COMPUTED_VALUE"""),13.2)</f>
        <v>13.2</v>
      </c>
      <c r="D1837" s="4"/>
      <c r="E1837" s="4" t="str">
        <f>IFERROR(__xludf.DUMMYFUNCTION("""COMPUTED_VALUE"""),"Sin precio neto")</f>
        <v>Sin precio neto</v>
      </c>
    </row>
    <row r="1838">
      <c r="A1838" s="4" t="str">
        <f>IFERROR(__xludf.DUMMYFUNCTION("""COMPUTED_VALUE"""),"9004")</f>
        <v>9004</v>
      </c>
      <c r="B1838" s="4" t="str">
        <f>IFERROR(__xludf.DUMMYFUNCTION("""COMPUTED_VALUE"""),"Reductor velocidad 40x50x4.5 cm Mod. F")</f>
        <v>Reductor velocidad 40x50x4.5 cm Mod. F</v>
      </c>
      <c r="C1838" s="4">
        <f>IFERROR(__xludf.DUMMYFUNCTION("""COMPUTED_VALUE"""),17.616)</f>
        <v>17.616</v>
      </c>
      <c r="D1838" s="4"/>
      <c r="E1838" s="4" t="str">
        <f>IFERROR(__xludf.DUMMYFUNCTION("""COMPUTED_VALUE"""),"Sin precio neto")</f>
        <v>Sin precio neto</v>
      </c>
    </row>
    <row r="1839">
      <c r="A1839" s="4" t="str">
        <f>IFERROR(__xludf.DUMMYFUNCTION("""COMPUTED_VALUE"""),"9005")</f>
        <v>9005</v>
      </c>
      <c r="B1839" s="4" t="str">
        <f>IFERROR(__xludf.DUMMYFUNCTION("""COMPUTED_VALUE"""),"Extremo reductor veloc. 40x25x4.5 cm Mod. F")</f>
        <v>Extremo reductor veloc. 40x25x4.5 cm Mod. F</v>
      </c>
      <c r="C1839" s="4">
        <f>IFERROR(__xludf.DUMMYFUNCTION("""COMPUTED_VALUE"""),12.24)</f>
        <v>12.24</v>
      </c>
      <c r="D1839" s="4"/>
      <c r="E1839" s="4" t="str">
        <f>IFERROR(__xludf.DUMMYFUNCTION("""COMPUTED_VALUE"""),"Sin precio neto")</f>
        <v>Sin precio neto</v>
      </c>
    </row>
    <row r="1840">
      <c r="A1840" s="4" t="str">
        <f>IFERROR(__xludf.DUMMYFUNCTION("""COMPUTED_VALUE"""),"9006")</f>
        <v>9006</v>
      </c>
      <c r="B1840" s="4" t="str">
        <f>IFERROR(__xludf.DUMMYFUNCTION("""COMPUTED_VALUE"""),"Reductor velocidad 30x33x4 cm Mod. E")</f>
        <v>Reductor velocidad 30x33x4 cm Mod. E</v>
      </c>
      <c r="C1840" s="4">
        <f>IFERROR(__xludf.DUMMYFUNCTION("""COMPUTED_VALUE"""),14.064)</f>
        <v>14.064</v>
      </c>
      <c r="D1840" s="4"/>
      <c r="E1840" s="4" t="str">
        <f>IFERROR(__xludf.DUMMYFUNCTION("""COMPUTED_VALUE"""),"Sin precio neto")</f>
        <v>Sin precio neto</v>
      </c>
    </row>
    <row r="1841">
      <c r="A1841" s="4" t="str">
        <f>IFERROR(__xludf.DUMMYFUNCTION("""COMPUTED_VALUE"""),"9007")</f>
        <v>9007</v>
      </c>
      <c r="B1841" s="4" t="str">
        <f>IFERROR(__xludf.DUMMYFUNCTION("""COMPUTED_VALUE"""),"Extremo reductor velocid. 30x15x4 cm Mod. E")</f>
        <v>Extremo reductor velocid. 30x15x4 cm Mod. E</v>
      </c>
      <c r="C1841" s="4">
        <f>IFERROR(__xludf.DUMMYFUNCTION("""COMPUTED_VALUE"""),9.024)</f>
        <v>9.024</v>
      </c>
      <c r="D1841" s="4"/>
      <c r="E1841" s="4" t="str">
        <f>IFERROR(__xludf.DUMMYFUNCTION("""COMPUTED_VALUE"""),"Sin precio neto")</f>
        <v>Sin precio neto</v>
      </c>
    </row>
    <row r="1842">
      <c r="A1842" s="4" t="str">
        <f>IFERROR(__xludf.DUMMYFUNCTION("""COMPUTED_VALUE"""),"9008")</f>
        <v>9008</v>
      </c>
      <c r="B1842" s="4" t="str">
        <f>IFERROR(__xludf.DUMMYFUNCTION("""COMPUTED_VALUE"""),"Reductor velocidad 90x50x5 cm Mod. H")</f>
        <v>Reductor velocidad 90x50x5 cm Mod. H</v>
      </c>
      <c r="C1842" s="4">
        <f>IFERROR(__xludf.DUMMYFUNCTION("""COMPUTED_VALUE"""),36.192)</f>
        <v>36.192</v>
      </c>
      <c r="D1842" s="4"/>
      <c r="E1842" s="4" t="str">
        <f>IFERROR(__xludf.DUMMYFUNCTION("""COMPUTED_VALUE"""),"Sin precio neto")</f>
        <v>Sin precio neto</v>
      </c>
    </row>
    <row r="1843">
      <c r="A1843" s="4" t="str">
        <f>IFERROR(__xludf.DUMMYFUNCTION("""COMPUTED_VALUE"""),"9009")</f>
        <v>9009</v>
      </c>
      <c r="B1843" s="4" t="str">
        <f>IFERROR(__xludf.DUMMYFUNCTION("""COMPUTED_VALUE"""),"Extremo reductor veloc. 90x25x5 cm Mod. H")</f>
        <v>Extremo reductor veloc. 90x25x5 cm Mod. H</v>
      </c>
      <c r="C1843" s="4">
        <f>IFERROR(__xludf.DUMMYFUNCTION("""COMPUTED_VALUE"""),20.4)</f>
        <v>20.4</v>
      </c>
      <c r="D1843" s="4"/>
      <c r="E1843" s="4" t="str">
        <f>IFERROR(__xludf.DUMMYFUNCTION("""COMPUTED_VALUE"""),"Sin precio neto")</f>
        <v>Sin precio neto</v>
      </c>
    </row>
    <row r="1844">
      <c r="A1844" s="4" t="str">
        <f>IFERROR(__xludf.DUMMYFUNCTION("""COMPUTED_VALUE"""),"9010")</f>
        <v>9010</v>
      </c>
      <c r="B1844" s="4" t="str">
        <f>IFERROR(__xludf.DUMMYFUNCTION("""COMPUTED_VALUE"""),"Reductor velocidad High impact Amarillo")</f>
        <v>Reductor velocidad High impact Amarillo</v>
      </c>
      <c r="C1844" s="4">
        <f>IFERROR(__xludf.DUMMYFUNCTION("""COMPUTED_VALUE"""),13.44)</f>
        <v>13.44</v>
      </c>
      <c r="D1844" s="4"/>
      <c r="E1844" s="4" t="str">
        <f>IFERROR(__xludf.DUMMYFUNCTION("""COMPUTED_VALUE"""),"Sin precio neto")</f>
        <v>Sin precio neto</v>
      </c>
    </row>
    <row r="1845">
      <c r="A1845" s="4" t="str">
        <f>IFERROR(__xludf.DUMMYFUNCTION("""COMPUTED_VALUE"""),"9011")</f>
        <v>9011</v>
      </c>
      <c r="B1845" s="4" t="str">
        <f>IFERROR(__xludf.DUMMYFUNCTION("""COMPUTED_VALUE"""),"Reductor velocidad High impact Negro")</f>
        <v>Reductor velocidad High impact Negro</v>
      </c>
      <c r="C1845" s="4">
        <f>IFERROR(__xludf.DUMMYFUNCTION("""COMPUTED_VALUE"""),13.44)</f>
        <v>13.44</v>
      </c>
      <c r="D1845" s="4"/>
      <c r="E1845" s="4" t="str">
        <f>IFERROR(__xludf.DUMMYFUNCTION("""COMPUTED_VALUE"""),"Sin precio neto")</f>
        <v>Sin precio neto</v>
      </c>
    </row>
    <row r="1846">
      <c r="A1846" s="4" t="str">
        <f>IFERROR(__xludf.DUMMYFUNCTION("""COMPUTED_VALUE"""),"9012")</f>
        <v>9012</v>
      </c>
      <c r="B1846" s="4" t="str">
        <f>IFERROR(__xludf.DUMMYFUNCTION("""COMPUTED_VALUE"""),"Extremo reductor velocidad High Impact amarillo")</f>
        <v>Extremo reductor velocidad High Impact amarillo</v>
      </c>
      <c r="C1846" s="4">
        <f>IFERROR(__xludf.DUMMYFUNCTION("""COMPUTED_VALUE"""),4.32)</f>
        <v>4.32</v>
      </c>
      <c r="D1846" s="4"/>
      <c r="E1846" s="4" t="str">
        <f>IFERROR(__xludf.DUMMYFUNCTION("""COMPUTED_VALUE"""),"Sin precio neto")</f>
        <v>Sin precio neto</v>
      </c>
    </row>
    <row r="1847">
      <c r="A1847" s="4" t="str">
        <f>IFERROR(__xludf.DUMMYFUNCTION("""COMPUTED_VALUE"""),"9013")</f>
        <v>9013</v>
      </c>
      <c r="B1847" s="4" t="str">
        <f>IFERROR(__xludf.DUMMYFUNCTION("""COMPUTED_VALUE"""),"Extremo reductor velocidad High Impact negro")</f>
        <v>Extremo reductor velocidad High Impact negro</v>
      </c>
      <c r="C1847" s="4">
        <f>IFERROR(__xludf.DUMMYFUNCTION("""COMPUTED_VALUE"""),4.32)</f>
        <v>4.32</v>
      </c>
      <c r="D1847" s="4"/>
      <c r="E1847" s="4" t="str">
        <f>IFERROR(__xludf.DUMMYFUNCTION("""COMPUTED_VALUE"""),"Sin precio neto")</f>
        <v>Sin precio neto</v>
      </c>
    </row>
    <row r="1848">
      <c r="A1848" s="4" t="str">
        <f>IFERROR(__xludf.DUMMYFUNCTION("""COMPUTED_VALUE"""),"90135N")</f>
        <v>90135N</v>
      </c>
      <c r="B1848" s="4" t="str">
        <f>IFERROR(__xludf.DUMMYFUNCTION("""COMPUTED_VALUE"""),"Señal MOPU T.D. 135 cm N")</f>
        <v>Señal MOPU T.D. 135 cm N</v>
      </c>
      <c r="C1848" s="4">
        <f>IFERROR(__xludf.DUMMYFUNCTION("""COMPUTED_VALUE"""),86.4288)</f>
        <v>86.4288</v>
      </c>
      <c r="D1848" s="4"/>
      <c r="E1848" s="4" t="str">
        <f>IFERROR(__xludf.DUMMYFUNCTION("""COMPUTED_VALUE"""),"Sin precio neto")</f>
        <v>Sin precio neto</v>
      </c>
    </row>
    <row r="1849">
      <c r="A1849" s="4" t="str">
        <f>IFERROR(__xludf.DUMMYFUNCTION("""COMPUTED_VALUE"""),"90135N1")</f>
        <v>90135N1</v>
      </c>
      <c r="B1849" s="4" t="str">
        <f>IFERROR(__xludf.DUMMYFUNCTION("""COMPUTED_VALUE"""),"Señal MOPU T.D. 135 cm NI")</f>
        <v>Señal MOPU T.D. 135 cm NI</v>
      </c>
      <c r="C1849" s="4">
        <f>IFERROR(__xludf.DUMMYFUNCTION("""COMPUTED_VALUE"""),95.1264)</f>
        <v>95.1264</v>
      </c>
      <c r="D1849" s="4"/>
      <c r="E1849" s="4" t="str">
        <f>IFERROR(__xludf.DUMMYFUNCTION("""COMPUTED_VALUE"""),"Sin precio neto")</f>
        <v>Sin precio neto</v>
      </c>
    </row>
    <row r="1850">
      <c r="A1850" s="4" t="str">
        <f>IFERROR(__xludf.DUMMYFUNCTION("""COMPUTED_VALUE"""),"90135N2")</f>
        <v>90135N2</v>
      </c>
      <c r="B1850" s="4" t="str">
        <f>IFERROR(__xludf.DUMMYFUNCTION("""COMPUTED_VALUE"""),"Señal MOPU T.D. 135 cm NII")</f>
        <v>Señal MOPU T.D. 135 cm NII</v>
      </c>
      <c r="C1850" s="4">
        <f>IFERROR(__xludf.DUMMYFUNCTION("""COMPUTED_VALUE"""),127.4784)</f>
        <v>127.4784</v>
      </c>
      <c r="D1850" s="4"/>
      <c r="E1850" s="4" t="str">
        <f>IFERROR(__xludf.DUMMYFUNCTION("""COMPUTED_VALUE"""),"Sin precio neto")</f>
        <v>Sin precio neto</v>
      </c>
    </row>
    <row r="1851">
      <c r="A1851" s="4" t="str">
        <f>IFERROR(__xludf.DUMMYFUNCTION("""COMPUTED_VALUE"""),"90135N3")</f>
        <v>90135N3</v>
      </c>
      <c r="B1851" s="4" t="str">
        <f>IFERROR(__xludf.DUMMYFUNCTION("""COMPUTED_VALUE"""),"Señal MOPU T.D. 135 cm NIII")</f>
        <v>Señal MOPU T.D. 135 cm NIII</v>
      </c>
      <c r="C1851" s="4">
        <f>IFERROR(__xludf.DUMMYFUNCTION("""COMPUTED_VALUE"""),168.91199999999998)</f>
        <v>168.912</v>
      </c>
      <c r="D1851" s="4"/>
      <c r="E1851" s="4" t="str">
        <f>IFERROR(__xludf.DUMMYFUNCTION("""COMPUTED_VALUE"""),"Sin precio neto")</f>
        <v>Sin precio neto</v>
      </c>
    </row>
    <row r="1852">
      <c r="A1852" s="4" t="str">
        <f>IFERROR(__xludf.DUMMYFUNCTION("""COMPUTED_VALUE"""),"9014")</f>
        <v>9014</v>
      </c>
      <c r="B1852" s="4" t="str">
        <f>IFERROR(__xludf.DUMMYFUNCTION("""COMPUTED_VALUE"""),"Reductor velocidad High impact Amarillo pasacables")</f>
        <v>Reductor velocidad High impact Amarillo pasacables</v>
      </c>
      <c r="C1852" s="4">
        <f>IFERROR(__xludf.DUMMYFUNCTION("""COMPUTED_VALUE"""),12.48)</f>
        <v>12.48</v>
      </c>
      <c r="D1852" s="4"/>
      <c r="E1852" s="4" t="str">
        <f>IFERROR(__xludf.DUMMYFUNCTION("""COMPUTED_VALUE"""),"Sin precio neto")</f>
        <v>Sin precio neto</v>
      </c>
    </row>
    <row r="1853">
      <c r="A1853" s="4" t="str">
        <f>IFERROR(__xludf.DUMMYFUNCTION("""COMPUTED_VALUE"""),"9015")</f>
        <v>9015</v>
      </c>
      <c r="B1853" s="4" t="str">
        <f>IFERROR(__xludf.DUMMYFUNCTION("""COMPUTED_VALUE"""),"Reductor velocidad High impact Negro pasacables")</f>
        <v>Reductor velocidad High impact Negro pasacables</v>
      </c>
      <c r="C1853" s="4">
        <f>IFERROR(__xludf.DUMMYFUNCTION("""COMPUTED_VALUE"""),12.48)</f>
        <v>12.48</v>
      </c>
      <c r="D1853" s="4"/>
      <c r="E1853" s="4" t="str">
        <f>IFERROR(__xludf.DUMMYFUNCTION("""COMPUTED_VALUE"""),"Sin precio neto")</f>
        <v>Sin precio neto</v>
      </c>
    </row>
    <row r="1854">
      <c r="A1854" s="4" t="str">
        <f>IFERROR(__xludf.DUMMYFUNCTION("""COMPUTED_VALUE"""),"9016")</f>
        <v>9016</v>
      </c>
      <c r="B1854" s="4" t="str">
        <f>IFERROR(__xludf.DUMMYFUNCTION("""COMPUTED_VALUE"""),"Reductor velocidad Ovaglint 200x120x28 mm")</f>
        <v>Reductor velocidad Ovaglint 200x120x28 mm</v>
      </c>
      <c r="C1854" s="4">
        <f>IFERROR(__xludf.DUMMYFUNCTION("""COMPUTED_VALUE"""),4.32)</f>
        <v>4.32</v>
      </c>
      <c r="D1854" s="4"/>
      <c r="E1854" s="4" t="str">
        <f>IFERROR(__xludf.DUMMYFUNCTION("""COMPUTED_VALUE"""),"Sin precio neto")</f>
        <v>Sin precio neto</v>
      </c>
    </row>
    <row r="1855">
      <c r="A1855" s="4" t="str">
        <f>IFERROR(__xludf.DUMMYFUNCTION("""COMPUTED_VALUE"""),"90175N1")</f>
        <v>90175N1</v>
      </c>
      <c r="B1855" s="4" t="str">
        <f>IFERROR(__xludf.DUMMYFUNCTION("""COMPUTED_VALUE"""),"Señal MOPU T.D. 175 cm NI")</f>
        <v>Señal MOPU T.D. 175 cm NI</v>
      </c>
      <c r="C1855" s="4">
        <f>IFERROR(__xludf.DUMMYFUNCTION("""COMPUTED_VALUE"""),187.3536)</f>
        <v>187.3536</v>
      </c>
      <c r="D1855" s="4"/>
      <c r="E1855" s="4" t="str">
        <f>IFERROR(__xludf.DUMMYFUNCTION("""COMPUTED_VALUE"""),"Sin precio neto")</f>
        <v>Sin precio neto</v>
      </c>
    </row>
    <row r="1856">
      <c r="A1856" s="4" t="str">
        <f>IFERROR(__xludf.DUMMYFUNCTION("""COMPUTED_VALUE"""),"90175N2")</f>
        <v>90175N2</v>
      </c>
      <c r="B1856" s="4" t="str">
        <f>IFERROR(__xludf.DUMMYFUNCTION("""COMPUTED_VALUE"""),"Señal MOPU T.D. 175 cm NII")</f>
        <v>Señal MOPU T.D. 175 cm NII</v>
      </c>
      <c r="C1856" s="4">
        <f>IFERROR(__xludf.DUMMYFUNCTION("""COMPUTED_VALUE"""),209.88479999999998)</f>
        <v>209.8848</v>
      </c>
      <c r="D1856" s="4"/>
      <c r="E1856" s="4" t="str">
        <f>IFERROR(__xludf.DUMMYFUNCTION("""COMPUTED_VALUE"""),"Sin precio neto")</f>
        <v>Sin precio neto</v>
      </c>
    </row>
    <row r="1857">
      <c r="A1857" s="4" t="str">
        <f>IFERROR(__xludf.DUMMYFUNCTION("""COMPUTED_VALUE"""),"90175N3")</f>
        <v>90175N3</v>
      </c>
      <c r="B1857" s="4" t="str">
        <f>IFERROR(__xludf.DUMMYFUNCTION("""COMPUTED_VALUE"""),"Señal MOPU T.D. 175 cm NIII")</f>
        <v>Señal MOPU T.D. 175 cm NIII</v>
      </c>
      <c r="C1857" s="4">
        <f>IFERROR(__xludf.DUMMYFUNCTION("""COMPUTED_VALUE"""),301.4304)</f>
        <v>301.4304</v>
      </c>
      <c r="D1857" s="4"/>
      <c r="E1857" s="4" t="str">
        <f>IFERROR(__xludf.DUMMYFUNCTION("""COMPUTED_VALUE"""),"Sin precio neto")</f>
        <v>Sin precio neto</v>
      </c>
    </row>
    <row r="1858">
      <c r="A1858" s="4" t="str">
        <f>IFERROR(__xludf.DUMMYFUNCTION("""COMPUTED_VALUE"""),"9070N")</f>
        <v>9070N</v>
      </c>
      <c r="B1858" s="4" t="str">
        <f>IFERROR(__xludf.DUMMYFUNCTION("""COMPUTED_VALUE"""),"Señal MOPU T.D. 70 cm N")</f>
        <v>Señal MOPU T.D. 70 cm N</v>
      </c>
      <c r="C1858" s="4">
        <f>IFERROR(__xludf.DUMMYFUNCTION("""COMPUTED_VALUE"""),27.8016)</f>
        <v>27.8016</v>
      </c>
      <c r="D1858" s="4"/>
      <c r="E1858" s="4" t="str">
        <f>IFERROR(__xludf.DUMMYFUNCTION("""COMPUTED_VALUE"""),"Sin precio neto")</f>
        <v>Sin precio neto</v>
      </c>
    </row>
    <row r="1859">
      <c r="A1859" s="4" t="str">
        <f>IFERROR(__xludf.DUMMYFUNCTION("""COMPUTED_VALUE"""),"9070N1")</f>
        <v>9070N1</v>
      </c>
      <c r="B1859" s="4" t="str">
        <f>IFERROR(__xludf.DUMMYFUNCTION("""COMPUTED_VALUE"""),"Señal MOPU T.D. 70 cm NI")</f>
        <v>Señal MOPU T.D. 70 cm NI</v>
      </c>
      <c r="C1859" s="4">
        <f>IFERROR(__xludf.DUMMYFUNCTION("""COMPUTED_VALUE"""),34.6176)</f>
        <v>34.6176</v>
      </c>
      <c r="D1859" s="4"/>
      <c r="E1859" s="4" t="str">
        <f>IFERROR(__xludf.DUMMYFUNCTION("""COMPUTED_VALUE"""),"Sin precio neto")</f>
        <v>Sin precio neto</v>
      </c>
    </row>
    <row r="1860">
      <c r="A1860" s="4" t="str">
        <f>IFERROR(__xludf.DUMMYFUNCTION("""COMPUTED_VALUE"""),"9070N2")</f>
        <v>9070N2</v>
      </c>
      <c r="B1860" s="4" t="str">
        <f>IFERROR(__xludf.DUMMYFUNCTION("""COMPUTED_VALUE"""),"Señal MOPU T.D. 70 cm NII")</f>
        <v>Señal MOPU T.D. 70 cm NII</v>
      </c>
      <c r="C1860" s="4">
        <f>IFERROR(__xludf.DUMMYFUNCTION("""COMPUTED_VALUE"""),43.267199999999995)</f>
        <v>43.2672</v>
      </c>
      <c r="D1860" s="4"/>
      <c r="E1860" s="4" t="str">
        <f>IFERROR(__xludf.DUMMYFUNCTION("""COMPUTED_VALUE"""),"Sin precio neto")</f>
        <v>Sin precio neto</v>
      </c>
    </row>
    <row r="1861">
      <c r="A1861" s="4" t="str">
        <f>IFERROR(__xludf.DUMMYFUNCTION("""COMPUTED_VALUE"""),"9070N3")</f>
        <v>9070N3</v>
      </c>
      <c r="B1861" s="4" t="str">
        <f>IFERROR(__xludf.DUMMYFUNCTION("""COMPUTED_VALUE"""),"Señal MOPU T.D. 70 cm NIII")</f>
        <v>Señal MOPU T.D. 70 cm NIII</v>
      </c>
      <c r="C1861" s="4">
        <f>IFERROR(__xludf.DUMMYFUNCTION("""COMPUTED_VALUE"""),57.023999999999994)</f>
        <v>57.024</v>
      </c>
      <c r="D1861" s="4"/>
      <c r="E1861" s="4" t="str">
        <f>IFERROR(__xludf.DUMMYFUNCTION("""COMPUTED_VALUE"""),"Sin precio neto")</f>
        <v>Sin precio neto</v>
      </c>
    </row>
    <row r="1862">
      <c r="A1862" s="4" t="str">
        <f>IFERROR(__xludf.DUMMYFUNCTION("""COMPUTED_VALUE"""),"9090N")</f>
        <v>9090N</v>
      </c>
      <c r="B1862" s="4" t="str">
        <f>IFERROR(__xludf.DUMMYFUNCTION("""COMPUTED_VALUE"""),"Señal MOPU T.D. 90 cm N")</f>
        <v>Señal MOPU T.D. 90 cm N</v>
      </c>
      <c r="C1862" s="4">
        <f>IFERROR(__xludf.DUMMYFUNCTION("""COMPUTED_VALUE"""),39.993599999999994)</f>
        <v>39.9936</v>
      </c>
      <c r="D1862" s="4"/>
      <c r="E1862" s="4" t="str">
        <f>IFERROR(__xludf.DUMMYFUNCTION("""COMPUTED_VALUE"""),"Sin precio neto")</f>
        <v>Sin precio neto</v>
      </c>
    </row>
    <row r="1863">
      <c r="A1863" s="4" t="str">
        <f>IFERROR(__xludf.DUMMYFUNCTION("""COMPUTED_VALUE"""),"9090N1")</f>
        <v>9090N1</v>
      </c>
      <c r="B1863" s="4" t="str">
        <f>IFERROR(__xludf.DUMMYFUNCTION("""COMPUTED_VALUE"""),"Señal MOPU T.D. 90 cm NI")</f>
        <v>Señal MOPU T.D. 90 cm NI</v>
      </c>
      <c r="C1863" s="4">
        <f>IFERROR(__xludf.DUMMYFUNCTION("""COMPUTED_VALUE"""),48.864)</f>
        <v>48.864</v>
      </c>
      <c r="D1863" s="4"/>
      <c r="E1863" s="4" t="str">
        <f>IFERROR(__xludf.DUMMYFUNCTION("""COMPUTED_VALUE"""),"Sin precio neto")</f>
        <v>Sin precio neto</v>
      </c>
    </row>
    <row r="1864">
      <c r="A1864" s="4" t="str">
        <f>IFERROR(__xludf.DUMMYFUNCTION("""COMPUTED_VALUE"""),"9090N2")</f>
        <v>9090N2</v>
      </c>
      <c r="B1864" s="4" t="str">
        <f>IFERROR(__xludf.DUMMYFUNCTION("""COMPUTED_VALUE"""),"Señal MOPU T.D. 90 cm NII")</f>
        <v>Señal MOPU T.D. 90 cm NII</v>
      </c>
      <c r="C1864" s="4">
        <f>IFERROR(__xludf.DUMMYFUNCTION("""COMPUTED_VALUE"""),63.67679999999999)</f>
        <v>63.6768</v>
      </c>
      <c r="D1864" s="4"/>
      <c r="E1864" s="4" t="str">
        <f>IFERROR(__xludf.DUMMYFUNCTION("""COMPUTED_VALUE"""),"Sin precio neto")</f>
        <v>Sin precio neto</v>
      </c>
    </row>
    <row r="1865">
      <c r="A1865" s="4" t="str">
        <f>IFERROR(__xludf.DUMMYFUNCTION("""COMPUTED_VALUE"""),"9090N3")</f>
        <v>9090N3</v>
      </c>
      <c r="B1865" s="4" t="str">
        <f>IFERROR(__xludf.DUMMYFUNCTION("""COMPUTED_VALUE"""),"Señal MOPU T.D. 90 cm NIII")</f>
        <v>Señal MOPU T.D. 90 cm NIII</v>
      </c>
      <c r="C1865" s="4">
        <f>IFERROR(__xludf.DUMMYFUNCTION("""COMPUTED_VALUE"""),84.6144)</f>
        <v>84.6144</v>
      </c>
      <c r="D1865" s="4"/>
      <c r="E1865" s="4" t="str">
        <f>IFERROR(__xludf.DUMMYFUNCTION("""COMPUTED_VALUE"""),"Sin precio neto")</f>
        <v>Sin precio neto</v>
      </c>
    </row>
    <row r="1866">
      <c r="A1866" s="4" t="str">
        <f>IFERROR(__xludf.DUMMYFUNCTION("""COMPUTED_VALUE"""),"91120N")</f>
        <v>91120N</v>
      </c>
      <c r="B1866" s="4" t="str">
        <f>IFERROR(__xludf.DUMMYFUNCTION("""COMPUTED_VALUE"""),"Señal MOPU R.D. 120cm N")</f>
        <v>Señal MOPU R.D. 120cm N</v>
      </c>
      <c r="C1866" s="4">
        <f>IFERROR(__xludf.DUMMYFUNCTION("""COMPUTED_VALUE"""),126.0)</f>
        <v>126</v>
      </c>
      <c r="D1866" s="4"/>
      <c r="E1866" s="4" t="str">
        <f>IFERROR(__xludf.DUMMYFUNCTION("""COMPUTED_VALUE"""),"Sin precio neto")</f>
        <v>Sin precio neto</v>
      </c>
    </row>
    <row r="1867">
      <c r="A1867" s="4" t="str">
        <f>IFERROR(__xludf.DUMMYFUNCTION("""COMPUTED_VALUE"""),"91120N1")</f>
        <v>91120N1</v>
      </c>
      <c r="B1867" s="4" t="str">
        <f>IFERROR(__xludf.DUMMYFUNCTION("""COMPUTED_VALUE"""),"Señal MOPU R.D. 120cm NI")</f>
        <v>Señal MOPU R.D. 120cm NI</v>
      </c>
      <c r="C1867" s="4">
        <f>IFERROR(__xludf.DUMMYFUNCTION("""COMPUTED_VALUE"""),157.9392)</f>
        <v>157.9392</v>
      </c>
      <c r="D1867" s="4"/>
      <c r="E1867" s="4" t="str">
        <f>IFERROR(__xludf.DUMMYFUNCTION("""COMPUTED_VALUE"""),"Sin precio neto")</f>
        <v>Sin precio neto</v>
      </c>
    </row>
    <row r="1868">
      <c r="A1868" s="4" t="str">
        <f>IFERROR(__xludf.DUMMYFUNCTION("""COMPUTED_VALUE"""),"91120N2")</f>
        <v>91120N2</v>
      </c>
      <c r="B1868" s="4" t="str">
        <f>IFERROR(__xludf.DUMMYFUNCTION("""COMPUTED_VALUE"""),"Señal MOPU R.D. 120 cm NII")</f>
        <v>Señal MOPU R.D. 120 cm NII</v>
      </c>
      <c r="C1868" s="4">
        <f>IFERROR(__xludf.DUMMYFUNCTION("""COMPUTED_VALUE"""),186.7008)</f>
        <v>186.7008</v>
      </c>
      <c r="D1868" s="4"/>
      <c r="E1868" s="4" t="str">
        <f>IFERROR(__xludf.DUMMYFUNCTION("""COMPUTED_VALUE"""),"Sin precio neto")</f>
        <v>Sin precio neto</v>
      </c>
    </row>
    <row r="1869">
      <c r="A1869" s="4" t="str">
        <f>IFERROR(__xludf.DUMMYFUNCTION("""COMPUTED_VALUE"""),"91120N3")</f>
        <v>91120N3</v>
      </c>
      <c r="B1869" s="4" t="str">
        <f>IFERROR(__xludf.DUMMYFUNCTION("""COMPUTED_VALUE"""),"Señal MOPU R.D. 120 cm NIII")</f>
        <v>Señal MOPU R.D. 120 cm NIII</v>
      </c>
      <c r="C1869" s="4">
        <f>IFERROR(__xludf.DUMMYFUNCTION("""COMPUTED_VALUE"""),278.1696)</f>
        <v>278.1696</v>
      </c>
      <c r="D1869" s="4"/>
      <c r="E1869" s="4" t="str">
        <f>IFERROR(__xludf.DUMMYFUNCTION("""COMPUTED_VALUE"""),"Sin precio neto")</f>
        <v>Sin precio neto</v>
      </c>
    </row>
    <row r="1870">
      <c r="A1870" s="4" t="str">
        <f>IFERROR(__xludf.DUMMYFUNCTION("""COMPUTED_VALUE"""),"9160N")</f>
        <v>9160N</v>
      </c>
      <c r="B1870" s="4" t="str">
        <f>IFERROR(__xludf.DUMMYFUNCTION("""COMPUTED_VALUE"""),"Señal MOPU R.D. 60 cm N")</f>
        <v>Señal MOPU R.D. 60 cm N</v>
      </c>
      <c r="C1870" s="4">
        <f>IFERROR(__xludf.DUMMYFUNCTION("""COMPUTED_VALUE"""),34.5408)</f>
        <v>34.5408</v>
      </c>
      <c r="D1870" s="4"/>
      <c r="E1870" s="4" t="str">
        <f>IFERROR(__xludf.DUMMYFUNCTION("""COMPUTED_VALUE"""),"Sin precio neto")</f>
        <v>Sin precio neto</v>
      </c>
    </row>
    <row r="1871">
      <c r="A1871" s="4" t="str">
        <f>IFERROR(__xludf.DUMMYFUNCTION("""COMPUTED_VALUE"""),"9160N1")</f>
        <v>9160N1</v>
      </c>
      <c r="B1871" s="4" t="str">
        <f>IFERROR(__xludf.DUMMYFUNCTION("""COMPUTED_VALUE"""),"Señal MOPU R.D. 60 cm NI")</f>
        <v>Señal MOPU R.D. 60 cm NI</v>
      </c>
      <c r="C1871" s="4">
        <f>IFERROR(__xludf.DUMMYFUNCTION("""COMPUTED_VALUE"""),39.8208)</f>
        <v>39.8208</v>
      </c>
      <c r="D1871" s="4"/>
      <c r="E1871" s="4" t="str">
        <f>IFERROR(__xludf.DUMMYFUNCTION("""COMPUTED_VALUE"""),"Sin precio neto")</f>
        <v>Sin precio neto</v>
      </c>
    </row>
    <row r="1872">
      <c r="A1872" s="4" t="str">
        <f>IFERROR(__xludf.DUMMYFUNCTION("""COMPUTED_VALUE"""),"9160N2")</f>
        <v>9160N2</v>
      </c>
      <c r="B1872" s="4" t="str">
        <f>IFERROR(__xludf.DUMMYFUNCTION("""COMPUTED_VALUE"""),"Señal MOPU R.D. 60 cm NII")</f>
        <v>Señal MOPU R.D. 60 cm NII</v>
      </c>
      <c r="C1872" s="4">
        <f>IFERROR(__xludf.DUMMYFUNCTION("""COMPUTED_VALUE"""),56.889599999999994)</f>
        <v>56.8896</v>
      </c>
      <c r="D1872" s="4"/>
      <c r="E1872" s="4" t="str">
        <f>IFERROR(__xludf.DUMMYFUNCTION("""COMPUTED_VALUE"""),"Sin precio neto")</f>
        <v>Sin precio neto</v>
      </c>
    </row>
    <row r="1873">
      <c r="A1873" s="4" t="str">
        <f>IFERROR(__xludf.DUMMYFUNCTION("""COMPUTED_VALUE"""),"9160N3")</f>
        <v>9160N3</v>
      </c>
      <c r="B1873" s="4" t="str">
        <f>IFERROR(__xludf.DUMMYFUNCTION("""COMPUTED_VALUE"""),"Señal MOPU R.D, 60 cm NIII")</f>
        <v>Señal MOPU R.D, 60 cm NIII</v>
      </c>
      <c r="C1873" s="4">
        <f>IFERROR(__xludf.DUMMYFUNCTION("""COMPUTED_VALUE"""),77.7024)</f>
        <v>77.7024</v>
      </c>
      <c r="D1873" s="4"/>
      <c r="E1873" s="4" t="str">
        <f>IFERROR(__xludf.DUMMYFUNCTION("""COMPUTED_VALUE"""),"Sin precio neto")</f>
        <v>Sin precio neto</v>
      </c>
    </row>
    <row r="1874">
      <c r="A1874" s="4" t="str">
        <f>IFERROR(__xludf.DUMMYFUNCTION("""COMPUTED_VALUE"""),"9160NE")</f>
        <v>9160NE</v>
      </c>
      <c r="B1874" s="4" t="str">
        <f>IFERROR(__xludf.DUMMYFUNCTION("""COMPUTED_VALUE"""),"Señal cuadrada 60 cm Normal recarga eléctrica")</f>
        <v>Señal cuadrada 60 cm Normal recarga eléctrica</v>
      </c>
      <c r="C1874" s="4">
        <f>IFERROR(__xludf.DUMMYFUNCTION("""COMPUTED_VALUE"""),29.759999999999998)</f>
        <v>29.76</v>
      </c>
      <c r="D1874" s="4"/>
      <c r="E1874" s="4" t="str">
        <f>IFERROR(__xludf.DUMMYFUNCTION("""COMPUTED_VALUE"""),"Sin precio neto")</f>
        <v>Sin precio neto</v>
      </c>
    </row>
    <row r="1875">
      <c r="A1875" s="4" t="str">
        <f>IFERROR(__xludf.DUMMYFUNCTION("""COMPUTED_VALUE"""),"9190N")</f>
        <v>9190N</v>
      </c>
      <c r="B1875" s="4" t="str">
        <f>IFERROR(__xludf.DUMMYFUNCTION("""COMPUTED_VALUE"""),"Señal MOPU R.D. 90 cm N")</f>
        <v>Señal MOPU R.D. 90 cm N</v>
      </c>
      <c r="C1875" s="4">
        <f>IFERROR(__xludf.DUMMYFUNCTION("""COMPUTED_VALUE"""),75.9456)</f>
        <v>75.9456</v>
      </c>
      <c r="D1875" s="4"/>
      <c r="E1875" s="4" t="str">
        <f>IFERROR(__xludf.DUMMYFUNCTION("""COMPUTED_VALUE"""),"Sin precio neto")</f>
        <v>Sin precio neto</v>
      </c>
    </row>
    <row r="1876">
      <c r="A1876" s="4" t="str">
        <f>IFERROR(__xludf.DUMMYFUNCTION("""COMPUTED_VALUE"""),"9190N1")</f>
        <v>9190N1</v>
      </c>
      <c r="B1876" s="4" t="str">
        <f>IFERROR(__xludf.DUMMYFUNCTION("""COMPUTED_VALUE"""),"Señal MOPU R.D. 90 cm NI")</f>
        <v>Señal MOPU R.D. 90 cm NI</v>
      </c>
      <c r="C1876" s="4">
        <f>IFERROR(__xludf.DUMMYFUNCTION("""COMPUTED_VALUE"""),84.0192)</f>
        <v>84.0192</v>
      </c>
      <c r="D1876" s="4"/>
      <c r="E1876" s="4" t="str">
        <f>IFERROR(__xludf.DUMMYFUNCTION("""COMPUTED_VALUE"""),"Sin precio neto")</f>
        <v>Sin precio neto</v>
      </c>
    </row>
    <row r="1877">
      <c r="A1877" s="4" t="str">
        <f>IFERROR(__xludf.DUMMYFUNCTION("""COMPUTED_VALUE"""),"9190N2")</f>
        <v>9190N2</v>
      </c>
      <c r="B1877" s="4" t="str">
        <f>IFERROR(__xludf.DUMMYFUNCTION("""COMPUTED_VALUE"""),"Señal MOPU R.D. 90 cm NII")</f>
        <v>Señal MOPU R.D. 90 cm NII</v>
      </c>
      <c r="C1877" s="4">
        <f>IFERROR(__xludf.DUMMYFUNCTION("""COMPUTED_VALUE"""),109.6032)</f>
        <v>109.6032</v>
      </c>
      <c r="D1877" s="4"/>
      <c r="E1877" s="4" t="str">
        <f>IFERROR(__xludf.DUMMYFUNCTION("""COMPUTED_VALUE"""),"Sin precio neto")</f>
        <v>Sin precio neto</v>
      </c>
    </row>
    <row r="1878">
      <c r="A1878" s="4" t="str">
        <f>IFERROR(__xludf.DUMMYFUNCTION("""COMPUTED_VALUE"""),"9190N3")</f>
        <v>9190N3</v>
      </c>
      <c r="B1878" s="4" t="str">
        <f>IFERROR(__xludf.DUMMYFUNCTION("""COMPUTED_VALUE"""),"Señal MOPU R.D. 90 cm NIII")</f>
        <v>Señal MOPU R.D. 90 cm NIII</v>
      </c>
      <c r="C1878" s="4">
        <f>IFERROR(__xludf.DUMMYFUNCTION("""COMPUTED_VALUE"""),165.60959999999997)</f>
        <v>165.6096</v>
      </c>
      <c r="D1878" s="4"/>
      <c r="E1878" s="4" t="str">
        <f>IFERROR(__xludf.DUMMYFUNCTION("""COMPUTED_VALUE"""),"Sin precio neto")</f>
        <v>Sin precio neto</v>
      </c>
    </row>
    <row r="1879">
      <c r="A1879" s="4" t="str">
        <f>IFERROR(__xludf.DUMMYFUNCTION("""COMPUTED_VALUE"""),"9210")</f>
        <v>9210</v>
      </c>
      <c r="B1879" s="4" t="str">
        <f>IFERROR(__xludf.DUMMYFUNCTION("""COMPUTED_VALUE"""),"Pack 10 uds adhesivos 10x15 riesgo electrico")</f>
        <v>Pack 10 uds adhesivos 10x15 riesgo electrico</v>
      </c>
      <c r="C1879" s="4">
        <f>IFERROR(__xludf.DUMMYFUNCTION("""COMPUTED_VALUE"""),4.032)</f>
        <v>4.032</v>
      </c>
      <c r="D1879" s="4"/>
      <c r="E1879" s="4" t="str">
        <f>IFERROR(__xludf.DUMMYFUNCTION("""COMPUTED_VALUE"""),"Sin precio neto")</f>
        <v>Sin precio neto</v>
      </c>
    </row>
    <row r="1880">
      <c r="A1880" s="4" t="str">
        <f>IFERROR(__xludf.DUMMYFUNCTION("""COMPUTED_VALUE"""),"925170N2")</f>
        <v>925170N2</v>
      </c>
      <c r="B1880" s="4" t="str">
        <f>IFERROR(__xludf.DUMMYFUNCTION("""COMPUTED_VALUE"""),"Señal MOPU informativa 25x170 cm Reflex II")</f>
        <v>Señal MOPU informativa 25x170 cm Reflex II</v>
      </c>
      <c r="C1880" s="4">
        <f>IFERROR(__xludf.DUMMYFUNCTION("""COMPUTED_VALUE"""),100.224)</f>
        <v>100.224</v>
      </c>
      <c r="D1880" s="4"/>
      <c r="E1880" s="4" t="str">
        <f>IFERROR(__xludf.DUMMYFUNCTION("""COMPUTED_VALUE"""),"Sin precio neto")</f>
        <v>Sin precio neto</v>
      </c>
    </row>
    <row r="1881">
      <c r="A1881" s="4" t="str">
        <f>IFERROR(__xludf.DUMMYFUNCTION("""COMPUTED_VALUE"""),"9260N")</f>
        <v>9260N</v>
      </c>
      <c r="B1881" s="4" t="str">
        <f>IFERROR(__xludf.DUMMYFUNCTION("""COMPUTED_VALUE"""),"Señal MOPU R2 60 cm N")</f>
        <v>Señal MOPU R2 60 cm N</v>
      </c>
      <c r="C1881" s="4">
        <f>IFERROR(__xludf.DUMMYFUNCTION("""COMPUTED_VALUE"""),30.671999999999997)</f>
        <v>30.672</v>
      </c>
      <c r="D1881" s="4"/>
      <c r="E1881" s="4" t="str">
        <f>IFERROR(__xludf.DUMMYFUNCTION("""COMPUTED_VALUE"""),"Sin precio neto")</f>
        <v>Sin precio neto</v>
      </c>
    </row>
    <row r="1882">
      <c r="A1882" s="4" t="str">
        <f>IFERROR(__xludf.DUMMYFUNCTION("""COMPUTED_VALUE"""),"9260N1")</f>
        <v>9260N1</v>
      </c>
      <c r="B1882" s="4" t="str">
        <f>IFERROR(__xludf.DUMMYFUNCTION("""COMPUTED_VALUE"""),"Señal MOPU R2 60 cm NI")</f>
        <v>Señal MOPU R2 60 cm NI</v>
      </c>
      <c r="C1882" s="4">
        <f>IFERROR(__xludf.DUMMYFUNCTION("""COMPUTED_VALUE"""),41.712)</f>
        <v>41.712</v>
      </c>
      <c r="D1882" s="4"/>
      <c r="E1882" s="4" t="str">
        <f>IFERROR(__xludf.DUMMYFUNCTION("""COMPUTED_VALUE"""),"Sin precio neto")</f>
        <v>Sin precio neto</v>
      </c>
    </row>
    <row r="1883">
      <c r="A1883" s="4" t="str">
        <f>IFERROR(__xludf.DUMMYFUNCTION("""COMPUTED_VALUE"""),"9260N2")</f>
        <v>9260N2</v>
      </c>
      <c r="B1883" s="4" t="str">
        <f>IFERROR(__xludf.DUMMYFUNCTION("""COMPUTED_VALUE"""),"Señal MOPU R2 60 cm NII")</f>
        <v>Señal MOPU R2 60 cm NII</v>
      </c>
      <c r="C1883" s="4">
        <f>IFERROR(__xludf.DUMMYFUNCTION("""COMPUTED_VALUE"""),59.712)</f>
        <v>59.712</v>
      </c>
      <c r="D1883" s="4"/>
      <c r="E1883" s="4" t="str">
        <f>IFERROR(__xludf.DUMMYFUNCTION("""COMPUTED_VALUE"""),"Sin precio neto")</f>
        <v>Sin precio neto</v>
      </c>
    </row>
    <row r="1884">
      <c r="A1884" s="4" t="str">
        <f>IFERROR(__xludf.DUMMYFUNCTION("""COMPUTED_VALUE"""),"9260N3")</f>
        <v>9260N3</v>
      </c>
      <c r="B1884" s="4" t="str">
        <f>IFERROR(__xludf.DUMMYFUNCTION("""COMPUTED_VALUE"""),"Señal MOPU R2 60 cm NIII")</f>
        <v>Señal MOPU R2 60 cm NIII</v>
      </c>
      <c r="C1884" s="4">
        <f>IFERROR(__xludf.DUMMYFUNCTION("""COMPUTED_VALUE"""),73.4112)</f>
        <v>73.4112</v>
      </c>
      <c r="D1884" s="4"/>
      <c r="E1884" s="4" t="str">
        <f>IFERROR(__xludf.DUMMYFUNCTION("""COMPUTED_VALUE"""),"Sin precio neto")</f>
        <v>Sin precio neto</v>
      </c>
    </row>
    <row r="1885">
      <c r="A1885" s="4" t="str">
        <f>IFERROR(__xludf.DUMMYFUNCTION("""COMPUTED_VALUE"""),"9290N")</f>
        <v>9290N</v>
      </c>
      <c r="B1885" s="4" t="str">
        <f>IFERROR(__xludf.DUMMYFUNCTION("""COMPUTED_VALUE"""),"Señal MOPU R2 90 cm N")</f>
        <v>Señal MOPU R2 90 cm N</v>
      </c>
      <c r="C1885" s="4">
        <f>IFERROR(__xludf.DUMMYFUNCTION("""COMPUTED_VALUE"""),66.4512)</f>
        <v>66.4512</v>
      </c>
      <c r="D1885" s="4"/>
      <c r="E1885" s="4" t="str">
        <f>IFERROR(__xludf.DUMMYFUNCTION("""COMPUTED_VALUE"""),"Sin precio neto")</f>
        <v>Sin precio neto</v>
      </c>
    </row>
    <row r="1886">
      <c r="A1886" s="4" t="str">
        <f>IFERROR(__xludf.DUMMYFUNCTION("""COMPUTED_VALUE"""),"9290N1")</f>
        <v>9290N1</v>
      </c>
      <c r="B1886" s="4" t="str">
        <f>IFERROR(__xludf.DUMMYFUNCTION("""COMPUTED_VALUE"""),"Señal MOPU R2 90 cm NI")</f>
        <v>Señal MOPU R2 90 cm NI</v>
      </c>
      <c r="C1886" s="4">
        <f>IFERROR(__xludf.DUMMYFUNCTION("""COMPUTED_VALUE"""),80.73599999999999)</f>
        <v>80.736</v>
      </c>
      <c r="D1886" s="4"/>
      <c r="E1886" s="4" t="str">
        <f>IFERROR(__xludf.DUMMYFUNCTION("""COMPUTED_VALUE"""),"Sin precio neto")</f>
        <v>Sin precio neto</v>
      </c>
    </row>
    <row r="1887">
      <c r="A1887" s="4" t="str">
        <f>IFERROR(__xludf.DUMMYFUNCTION("""COMPUTED_VALUE"""),"9290N2")</f>
        <v>9290N2</v>
      </c>
      <c r="B1887" s="4" t="str">
        <f>IFERROR(__xludf.DUMMYFUNCTION("""COMPUTED_VALUE"""),"Señal MOPU R2 90 cm NII")</f>
        <v>Señal MOPU R2 90 cm NII</v>
      </c>
      <c r="C1887" s="4">
        <f>IFERROR(__xludf.DUMMYFUNCTION("""COMPUTED_VALUE"""),117.6672)</f>
        <v>117.6672</v>
      </c>
      <c r="D1887" s="4"/>
      <c r="E1887" s="4" t="str">
        <f>IFERROR(__xludf.DUMMYFUNCTION("""COMPUTED_VALUE"""),"Sin precio neto")</f>
        <v>Sin precio neto</v>
      </c>
    </row>
    <row r="1888">
      <c r="A1888" s="4" t="str">
        <f>IFERROR(__xludf.DUMMYFUNCTION("""COMPUTED_VALUE"""),"9290N3")</f>
        <v>9290N3</v>
      </c>
      <c r="B1888" s="4" t="str">
        <f>IFERROR(__xludf.DUMMYFUNCTION("""COMPUTED_VALUE"""),"Señal MOPU R2 90 cm NIII")</f>
        <v>Señal MOPU R2 90 cm NIII</v>
      </c>
      <c r="C1888" s="4">
        <f>IFERROR(__xludf.DUMMYFUNCTION("""COMPUTED_VALUE"""),156.6624)</f>
        <v>156.6624</v>
      </c>
      <c r="D1888" s="4"/>
      <c r="E1888" s="4" t="str">
        <f>IFERROR(__xludf.DUMMYFUNCTION("""COMPUTED_VALUE"""),"Sin precio neto")</f>
        <v>Sin precio neto</v>
      </c>
    </row>
    <row r="1889">
      <c r="A1889" s="4" t="str">
        <f>IFERROR(__xludf.DUMMYFUNCTION("""COMPUTED_VALUE"""),"9340N")</f>
        <v>9340N</v>
      </c>
      <c r="B1889" s="4" t="str">
        <f>IFERROR(__xludf.DUMMYFUNCTION("""COMPUTED_VALUE"""),"Señal MOPU C.D. 40x40cm N")</f>
        <v>Señal MOPU C.D. 40x40cm N</v>
      </c>
      <c r="C1889" s="4">
        <f>IFERROR(__xludf.DUMMYFUNCTION("""COMPUTED_VALUE"""),22.5792)</f>
        <v>22.5792</v>
      </c>
      <c r="D1889" s="4"/>
      <c r="E1889" s="4" t="str">
        <f>IFERROR(__xludf.DUMMYFUNCTION("""COMPUTED_VALUE"""),"Sin precio neto")</f>
        <v>Sin precio neto</v>
      </c>
    </row>
    <row r="1890">
      <c r="A1890" s="4" t="str">
        <f>IFERROR(__xludf.DUMMYFUNCTION("""COMPUTED_VALUE"""),"9340N1")</f>
        <v>9340N1</v>
      </c>
      <c r="B1890" s="4" t="str">
        <f>IFERROR(__xludf.DUMMYFUNCTION("""COMPUTED_VALUE"""),"Señal MOPU C.D, 40x40cm NI")</f>
        <v>Señal MOPU C.D, 40x40cm NI</v>
      </c>
      <c r="C1890" s="4">
        <f>IFERROR(__xludf.DUMMYFUNCTION("""COMPUTED_VALUE"""),25.7184)</f>
        <v>25.7184</v>
      </c>
      <c r="D1890" s="4"/>
      <c r="E1890" s="4" t="str">
        <f>IFERROR(__xludf.DUMMYFUNCTION("""COMPUTED_VALUE"""),"Sin precio neto")</f>
        <v>Sin precio neto</v>
      </c>
    </row>
    <row r="1891">
      <c r="A1891" s="4" t="str">
        <f>IFERROR(__xludf.DUMMYFUNCTION("""COMPUTED_VALUE"""),"9340N2")</f>
        <v>9340N2</v>
      </c>
      <c r="B1891" s="4" t="str">
        <f>IFERROR(__xludf.DUMMYFUNCTION("""COMPUTED_VALUE"""),"Señal MOPU C.D. 40x40cm NII")</f>
        <v>Señal MOPU C.D. 40x40cm NII</v>
      </c>
      <c r="C1891" s="4">
        <f>IFERROR(__xludf.DUMMYFUNCTION("""COMPUTED_VALUE"""),35.980799999999995)</f>
        <v>35.9808</v>
      </c>
      <c r="D1891" s="4"/>
      <c r="E1891" s="4" t="str">
        <f>IFERROR(__xludf.DUMMYFUNCTION("""COMPUTED_VALUE"""),"Sin precio neto")</f>
        <v>Sin precio neto</v>
      </c>
    </row>
    <row r="1892">
      <c r="A1892" s="4" t="str">
        <f>IFERROR(__xludf.DUMMYFUNCTION("""COMPUTED_VALUE"""),"9340N3")</f>
        <v>9340N3</v>
      </c>
      <c r="B1892" s="4" t="str">
        <f>IFERROR(__xludf.DUMMYFUNCTION("""COMPUTED_VALUE"""),"Señal MOPU C.D. 40x40 cm NIII")</f>
        <v>Señal MOPU C.D. 40x40 cm NIII</v>
      </c>
      <c r="C1892" s="4">
        <f>IFERROR(__xludf.DUMMYFUNCTION("""COMPUTED_VALUE"""),53.9424)</f>
        <v>53.9424</v>
      </c>
      <c r="D1892" s="4"/>
      <c r="E1892" s="4" t="str">
        <f>IFERROR(__xludf.DUMMYFUNCTION("""COMPUTED_VALUE"""),"Sin precio neto")</f>
        <v>Sin precio neto</v>
      </c>
    </row>
    <row r="1893">
      <c r="A1893" s="4" t="str">
        <f>IFERROR(__xludf.DUMMYFUNCTION("""COMPUTED_VALUE"""),"9360N")</f>
        <v>9360N</v>
      </c>
      <c r="B1893" s="4" t="str">
        <f>IFERROR(__xludf.DUMMYFUNCTION("""COMPUTED_VALUE"""),"Señal MOPU C.D. 60x60cm N")</f>
        <v>Señal MOPU C.D. 60x60cm N</v>
      </c>
      <c r="C1893" s="4">
        <f>IFERROR(__xludf.DUMMYFUNCTION("""COMPUTED_VALUE"""),30.0)</f>
        <v>30</v>
      </c>
      <c r="D1893" s="4"/>
      <c r="E1893" s="4" t="str">
        <f>IFERROR(__xludf.DUMMYFUNCTION("""COMPUTED_VALUE"""),"Sin precio neto")</f>
        <v>Sin precio neto</v>
      </c>
    </row>
    <row r="1894">
      <c r="A1894" s="4" t="str">
        <f>IFERROR(__xludf.DUMMYFUNCTION("""COMPUTED_VALUE"""),"9360N1")</f>
        <v>9360N1</v>
      </c>
      <c r="B1894" s="4" t="str">
        <f>IFERROR(__xludf.DUMMYFUNCTION("""COMPUTED_VALUE"""),"Señal MOPU C.D. 60x60cm NI")</f>
        <v>Señal MOPU C.D. 60x60cm NI</v>
      </c>
      <c r="C1894" s="4">
        <f>IFERROR(__xludf.DUMMYFUNCTION("""COMPUTED_VALUE"""),39.6)</f>
        <v>39.6</v>
      </c>
      <c r="D1894" s="4"/>
      <c r="E1894" s="4" t="str">
        <f>IFERROR(__xludf.DUMMYFUNCTION("""COMPUTED_VALUE"""),"Sin precio neto")</f>
        <v>Sin precio neto</v>
      </c>
    </row>
    <row r="1895">
      <c r="A1895" s="4" t="str">
        <f>IFERROR(__xludf.DUMMYFUNCTION("""COMPUTED_VALUE"""),"9360N2")</f>
        <v>9360N2</v>
      </c>
      <c r="B1895" s="4" t="str">
        <f>IFERROR(__xludf.DUMMYFUNCTION("""COMPUTED_VALUE"""),"Señal MOPU C.D. 60x60cm NII")</f>
        <v>Señal MOPU C.D. 60x60cm NII</v>
      </c>
      <c r="C1895" s="4">
        <f>IFERROR(__xludf.DUMMYFUNCTION("""COMPUTED_VALUE"""),47.28)</f>
        <v>47.28</v>
      </c>
      <c r="D1895" s="4"/>
      <c r="E1895" s="4" t="str">
        <f>IFERROR(__xludf.DUMMYFUNCTION("""COMPUTED_VALUE"""),"Sin precio neto")</f>
        <v>Sin precio neto</v>
      </c>
    </row>
    <row r="1896">
      <c r="A1896" s="4" t="str">
        <f>IFERROR(__xludf.DUMMYFUNCTION("""COMPUTED_VALUE"""),"9360N3")</f>
        <v>9360N3</v>
      </c>
      <c r="B1896" s="4" t="str">
        <f>IFERROR(__xludf.DUMMYFUNCTION("""COMPUTED_VALUE"""),"Señal MOPU C.D. 60x60cm NIII")</f>
        <v>Señal MOPU C.D. 60x60cm NIII</v>
      </c>
      <c r="C1896" s="4">
        <f>IFERROR(__xludf.DUMMYFUNCTION("""COMPUTED_VALUE"""),79.2)</f>
        <v>79.2</v>
      </c>
      <c r="D1896" s="4"/>
      <c r="E1896" s="4" t="str">
        <f>IFERROR(__xludf.DUMMYFUNCTION("""COMPUTED_VALUE"""),"Sin precio neto")</f>
        <v>Sin precio neto</v>
      </c>
    </row>
    <row r="1897">
      <c r="A1897" s="4" t="str">
        <f>IFERROR(__xludf.DUMMYFUNCTION("""COMPUTED_VALUE"""),"9390N")</f>
        <v>9390N</v>
      </c>
      <c r="B1897" s="4" t="str">
        <f>IFERROR(__xludf.DUMMYFUNCTION("""COMPUTED_VALUE"""),"Señal MOPU C.D. 90x90 cm N")</f>
        <v>Señal MOPU C.D. 90x90 cm N</v>
      </c>
      <c r="C1897" s="4">
        <f>IFERROR(__xludf.DUMMYFUNCTION("""COMPUTED_VALUE"""),66.48)</f>
        <v>66.48</v>
      </c>
      <c r="D1897" s="4"/>
      <c r="E1897" s="4" t="str">
        <f>IFERROR(__xludf.DUMMYFUNCTION("""COMPUTED_VALUE"""),"Sin precio neto")</f>
        <v>Sin precio neto</v>
      </c>
    </row>
    <row r="1898">
      <c r="A1898" s="4" t="str">
        <f>IFERROR(__xludf.DUMMYFUNCTION("""COMPUTED_VALUE"""),"9390N1")</f>
        <v>9390N1</v>
      </c>
      <c r="B1898" s="4" t="str">
        <f>IFERROR(__xludf.DUMMYFUNCTION("""COMPUTED_VALUE"""),"Señal MOPU C.D. 90x90 cm NI")</f>
        <v>Señal MOPU C.D. 90x90 cm NI</v>
      </c>
      <c r="C1898" s="4">
        <f>IFERROR(__xludf.DUMMYFUNCTION("""COMPUTED_VALUE"""),90.2496)</f>
        <v>90.2496</v>
      </c>
      <c r="D1898" s="4"/>
      <c r="E1898" s="4" t="str">
        <f>IFERROR(__xludf.DUMMYFUNCTION("""COMPUTED_VALUE"""),"Sin precio neto")</f>
        <v>Sin precio neto</v>
      </c>
    </row>
    <row r="1899">
      <c r="A1899" s="4" t="str">
        <f>IFERROR(__xludf.DUMMYFUNCTION("""COMPUTED_VALUE"""),"9390N2")</f>
        <v>9390N2</v>
      </c>
      <c r="B1899" s="4" t="str">
        <f>IFERROR(__xludf.DUMMYFUNCTION("""COMPUTED_VALUE"""),"Señal MOPU C.D. 90x90 cm NII")</f>
        <v>Señal MOPU C.D. 90x90 cm NII</v>
      </c>
      <c r="C1899" s="4">
        <f>IFERROR(__xludf.DUMMYFUNCTION("""COMPUTED_VALUE"""),131.3472)</f>
        <v>131.3472</v>
      </c>
      <c r="D1899" s="4"/>
      <c r="E1899" s="4" t="str">
        <f>IFERROR(__xludf.DUMMYFUNCTION("""COMPUTED_VALUE"""),"Sin precio neto")</f>
        <v>Sin precio neto</v>
      </c>
    </row>
    <row r="1900">
      <c r="A1900" s="4" t="str">
        <f>IFERROR(__xludf.DUMMYFUNCTION("""COMPUTED_VALUE"""),"9390N3")</f>
        <v>9390N3</v>
      </c>
      <c r="B1900" s="4" t="str">
        <f>IFERROR(__xludf.DUMMYFUNCTION("""COMPUTED_VALUE"""),"Señal MOPU C.D. 90x90 cm NIII")</f>
        <v>Señal MOPU C.D. 90x90 cm NIII</v>
      </c>
      <c r="C1900" s="4">
        <f>IFERROR(__xludf.DUMMYFUNCTION("""COMPUTED_VALUE"""),181.1712)</f>
        <v>181.1712</v>
      </c>
      <c r="D1900" s="4"/>
      <c r="E1900" s="4" t="str">
        <f>IFERROR(__xludf.DUMMYFUNCTION("""COMPUTED_VALUE"""),"Sin precio neto")</f>
        <v>Sin precio neto</v>
      </c>
    </row>
    <row r="1901">
      <c r="A1901" s="4" t="str">
        <f>IFERROR(__xludf.DUMMYFUNCTION("""COMPUTED_VALUE"""),"94120180N1")</f>
        <v>94120180N1</v>
      </c>
      <c r="B1901" s="4" t="str">
        <f>IFERROR(__xludf.DUMMYFUNCTION("""COMPUTED_VALUE"""),"Rectangulo MOPU 120x180 cm Reflex I")</f>
        <v>Rectangulo MOPU 120x180 cm Reflex I</v>
      </c>
      <c r="C1901" s="4">
        <f>IFERROR(__xludf.DUMMYFUNCTION("""COMPUTED_VALUE"""),209.51999999999998)</f>
        <v>209.52</v>
      </c>
      <c r="D1901" s="4"/>
      <c r="E1901" s="4" t="str">
        <f>IFERROR(__xludf.DUMMYFUNCTION("""COMPUTED_VALUE"""),"Sin precio neto")</f>
        <v>Sin precio neto</v>
      </c>
    </row>
    <row r="1902">
      <c r="A1902" s="4" t="str">
        <f>IFERROR(__xludf.DUMMYFUNCTION("""COMPUTED_VALUE"""),"94120180N2")</f>
        <v>94120180N2</v>
      </c>
      <c r="B1902" s="4" t="str">
        <f>IFERROR(__xludf.DUMMYFUNCTION("""COMPUTED_VALUE"""),"Rectangulo MOPU 120x180 cm Reflex II")</f>
        <v>Rectangulo MOPU 120x180 cm Reflex II</v>
      </c>
      <c r="C1902" s="4">
        <f>IFERROR(__xludf.DUMMYFUNCTION("""COMPUTED_VALUE"""),285.59999999999997)</f>
        <v>285.6</v>
      </c>
      <c r="D1902" s="4"/>
      <c r="E1902" s="4" t="str">
        <f>IFERROR(__xludf.DUMMYFUNCTION("""COMPUTED_VALUE"""),"Sin precio neto")</f>
        <v>Sin precio neto</v>
      </c>
    </row>
    <row r="1903">
      <c r="A1903" s="4" t="str">
        <f>IFERROR(__xludf.DUMMYFUNCTION("""COMPUTED_VALUE"""),"94120180N3")</f>
        <v>94120180N3</v>
      </c>
      <c r="B1903" s="4" t="str">
        <f>IFERROR(__xludf.DUMMYFUNCTION("""COMPUTED_VALUE"""),"Rectangulo MOPU 120x180 cm Reflex III")</f>
        <v>Rectangulo MOPU 120x180 cm Reflex III</v>
      </c>
      <c r="C1903" s="4">
        <f>IFERROR(__xludf.DUMMYFUNCTION("""COMPUTED_VALUE"""),410.4)</f>
        <v>410.4</v>
      </c>
      <c r="D1903" s="4"/>
      <c r="E1903" s="4" t="str">
        <f>IFERROR(__xludf.DUMMYFUNCTION("""COMPUTED_VALUE"""),"Sin precio neto")</f>
        <v>Sin precio neto</v>
      </c>
    </row>
    <row r="1904">
      <c r="A1904" s="4" t="str">
        <f>IFERROR(__xludf.DUMMYFUNCTION("""COMPUTED_VALUE"""),"94120210N1")</f>
        <v>94120210N1</v>
      </c>
      <c r="B1904" s="4" t="str">
        <f>IFERROR(__xludf.DUMMYFUNCTION("""COMPUTED_VALUE"""),"Rectangulo MOPU 120x210 cm Reflex I")</f>
        <v>Rectangulo MOPU 120x210 cm Reflex I</v>
      </c>
      <c r="C1904" s="4">
        <f>IFERROR(__xludf.DUMMYFUNCTION("""COMPUTED_VALUE"""),278.688)</f>
        <v>278.688</v>
      </c>
      <c r="D1904" s="4"/>
      <c r="E1904" s="4" t="str">
        <f>IFERROR(__xludf.DUMMYFUNCTION("""COMPUTED_VALUE"""),"Sin precio neto")</f>
        <v>Sin precio neto</v>
      </c>
    </row>
    <row r="1905">
      <c r="A1905" s="4" t="str">
        <f>IFERROR(__xludf.DUMMYFUNCTION("""COMPUTED_VALUE"""),"94120210N2")</f>
        <v>94120210N2</v>
      </c>
      <c r="B1905" s="4" t="str">
        <f>IFERROR(__xludf.DUMMYFUNCTION("""COMPUTED_VALUE"""),"Rectangulo MOPU 120x210 cm Reflex II")</f>
        <v>Rectangulo MOPU 120x210 cm Reflex II</v>
      </c>
      <c r="C1905" s="4">
        <f>IFERROR(__xludf.DUMMYFUNCTION("""COMPUTED_VALUE"""),422.4)</f>
        <v>422.4</v>
      </c>
      <c r="D1905" s="4"/>
      <c r="E1905" s="4" t="str">
        <f>IFERROR(__xludf.DUMMYFUNCTION("""COMPUTED_VALUE"""),"Sin precio neto")</f>
        <v>Sin precio neto</v>
      </c>
    </row>
    <row r="1906">
      <c r="A1906" s="4" t="str">
        <f>IFERROR(__xludf.DUMMYFUNCTION("""COMPUTED_VALUE"""),"94120210N3")</f>
        <v>94120210N3</v>
      </c>
      <c r="B1906" s="4" t="str">
        <f>IFERROR(__xludf.DUMMYFUNCTION("""COMPUTED_VALUE"""),"Rectangulo MOPU 120x210 cm Reflex III")</f>
        <v>Rectangulo MOPU 120x210 cm Reflex III</v>
      </c>
      <c r="C1906" s="4">
        <f>IFERROR(__xludf.DUMMYFUNCTION("""COMPUTED_VALUE"""),585.6)</f>
        <v>585.6</v>
      </c>
      <c r="D1906" s="4"/>
      <c r="E1906" s="4" t="str">
        <f>IFERROR(__xludf.DUMMYFUNCTION("""COMPUTED_VALUE"""),"Sin precio neto")</f>
        <v>Sin precio neto</v>
      </c>
    </row>
    <row r="1907">
      <c r="A1907" s="4" t="str">
        <f>IFERROR(__xludf.DUMMYFUNCTION("""COMPUTED_VALUE"""),"944060N")</f>
        <v>944060N</v>
      </c>
      <c r="B1907" s="4" t="str">
        <f>IFERROR(__xludf.DUMMYFUNCTION("""COMPUTED_VALUE"""),"Rectangulo MOPU 40x60 cm Normal")</f>
        <v>Rectangulo MOPU 40x60 cm Normal</v>
      </c>
      <c r="C1907" s="4">
        <f>IFERROR(__xludf.DUMMYFUNCTION("""COMPUTED_VALUE"""),31.68)</f>
        <v>31.68</v>
      </c>
      <c r="D1907" s="4"/>
      <c r="E1907" s="4" t="str">
        <f>IFERROR(__xludf.DUMMYFUNCTION("""COMPUTED_VALUE"""),"Sin precio neto")</f>
        <v>Sin precio neto</v>
      </c>
    </row>
    <row r="1908">
      <c r="A1908" s="4" t="str">
        <f>IFERROR(__xludf.DUMMYFUNCTION("""COMPUTED_VALUE"""),"944060N1")</f>
        <v>944060N1</v>
      </c>
      <c r="B1908" s="4" t="str">
        <f>IFERROR(__xludf.DUMMYFUNCTION("""COMPUTED_VALUE"""),"Rectangulo MOPU 40x60 cm Reflex I")</f>
        <v>Rectangulo MOPU 40x60 cm Reflex I</v>
      </c>
      <c r="C1908" s="4">
        <f>IFERROR(__xludf.DUMMYFUNCTION("""COMPUTED_VALUE"""),37.44)</f>
        <v>37.44</v>
      </c>
      <c r="D1908" s="4"/>
      <c r="E1908" s="4" t="str">
        <f>IFERROR(__xludf.DUMMYFUNCTION("""COMPUTED_VALUE"""),"Sin precio neto")</f>
        <v>Sin precio neto</v>
      </c>
    </row>
    <row r="1909">
      <c r="A1909" s="4" t="str">
        <f>IFERROR(__xludf.DUMMYFUNCTION("""COMPUTED_VALUE"""),"944060N2")</f>
        <v>944060N2</v>
      </c>
      <c r="B1909" s="4" t="str">
        <f>IFERROR(__xludf.DUMMYFUNCTION("""COMPUTED_VALUE"""),"Rectangulo MOPU 40x60 cm Reflex II")</f>
        <v>Rectangulo MOPU 40x60 cm Reflex II</v>
      </c>
      <c r="C1909" s="4">
        <f>IFERROR(__xludf.DUMMYFUNCTION("""COMPUTED_VALUE"""),41.28)</f>
        <v>41.28</v>
      </c>
      <c r="D1909" s="4"/>
      <c r="E1909" s="4" t="str">
        <f>IFERROR(__xludf.DUMMYFUNCTION("""COMPUTED_VALUE"""),"Sin precio neto")</f>
        <v>Sin precio neto</v>
      </c>
    </row>
    <row r="1910">
      <c r="A1910" s="4" t="str">
        <f>IFERROR(__xludf.DUMMYFUNCTION("""COMPUTED_VALUE"""),"944060N3")</f>
        <v>944060N3</v>
      </c>
      <c r="B1910" s="4" t="str">
        <f>IFERROR(__xludf.DUMMYFUNCTION("""COMPUTED_VALUE"""),"Rectangulo MOPU 40x60 cm Reflex III")</f>
        <v>Rectangulo MOPU 40x60 cm Reflex III</v>
      </c>
      <c r="C1910" s="4">
        <f>IFERROR(__xludf.DUMMYFUNCTION("""COMPUTED_VALUE"""),60.39359999999999)</f>
        <v>60.3936</v>
      </c>
      <c r="D1910" s="4"/>
      <c r="E1910" s="4" t="str">
        <f>IFERROR(__xludf.DUMMYFUNCTION("""COMPUTED_VALUE"""),"Sin precio neto")</f>
        <v>Sin precio neto</v>
      </c>
    </row>
    <row r="1911">
      <c r="A1911" s="4" t="str">
        <f>IFERROR(__xludf.DUMMYFUNCTION("""COMPUTED_VALUE"""),"9460120N")</f>
        <v>9460120N</v>
      </c>
      <c r="B1911" s="4" t="str">
        <f>IFERROR(__xludf.DUMMYFUNCTION("""COMPUTED_VALUE"""),"Rectangulo MOPU 60x120 cm Normal")</f>
        <v>Rectangulo MOPU 60x120 cm Normal</v>
      </c>
      <c r="C1911" s="4">
        <f>IFERROR(__xludf.DUMMYFUNCTION("""COMPUTED_VALUE"""),80.64)</f>
        <v>80.64</v>
      </c>
      <c r="D1911" s="4"/>
      <c r="E1911" s="4" t="str">
        <f>IFERROR(__xludf.DUMMYFUNCTION("""COMPUTED_VALUE"""),"Sin precio neto")</f>
        <v>Sin precio neto</v>
      </c>
    </row>
    <row r="1912">
      <c r="A1912" s="4" t="str">
        <f>IFERROR(__xludf.DUMMYFUNCTION("""COMPUTED_VALUE"""),"9460120N1")</f>
        <v>9460120N1</v>
      </c>
      <c r="B1912" s="4" t="str">
        <f>IFERROR(__xludf.DUMMYFUNCTION("""COMPUTED_VALUE"""),"Rectangulo MOPU 60x120 cm Reflex I")</f>
        <v>Rectangulo MOPU 60x120 cm Reflex I</v>
      </c>
      <c r="C1912" s="4">
        <f>IFERROR(__xludf.DUMMYFUNCTION("""COMPUTED_VALUE"""),95.5968)</f>
        <v>95.5968</v>
      </c>
      <c r="D1912" s="4"/>
      <c r="E1912" s="4" t="str">
        <f>IFERROR(__xludf.DUMMYFUNCTION("""COMPUTED_VALUE"""),"Sin precio neto")</f>
        <v>Sin precio neto</v>
      </c>
    </row>
    <row r="1913">
      <c r="A1913" s="4" t="str">
        <f>IFERROR(__xludf.DUMMYFUNCTION("""COMPUTED_VALUE"""),"9460120N2")</f>
        <v>9460120N2</v>
      </c>
      <c r="B1913" s="4" t="str">
        <f>IFERROR(__xludf.DUMMYFUNCTION("""COMPUTED_VALUE"""),"Rectangulo MOPU 60x120 cm Reflex II")</f>
        <v>Rectangulo MOPU 60x120 cm Reflex II</v>
      </c>
      <c r="C1913" s="4">
        <f>IFERROR(__xludf.DUMMYFUNCTION("""COMPUTED_VALUE"""),125.79839999999999)</f>
        <v>125.7984</v>
      </c>
      <c r="D1913" s="4"/>
      <c r="E1913" s="4" t="str">
        <f>IFERROR(__xludf.DUMMYFUNCTION("""COMPUTED_VALUE"""),"Sin precio neto")</f>
        <v>Sin precio neto</v>
      </c>
    </row>
    <row r="1914">
      <c r="A1914" s="4" t="str">
        <f>IFERROR(__xludf.DUMMYFUNCTION("""COMPUTED_VALUE"""),"9460120N3")</f>
        <v>9460120N3</v>
      </c>
      <c r="B1914" s="4" t="str">
        <f>IFERROR(__xludf.DUMMYFUNCTION("""COMPUTED_VALUE"""),"Rectangulo MOPU 60x120 cm Reflex III")</f>
        <v>Rectangulo MOPU 60x120 cm Reflex III</v>
      </c>
      <c r="C1914" s="4">
        <f>IFERROR(__xludf.DUMMYFUNCTION("""COMPUTED_VALUE"""),161.04)</f>
        <v>161.04</v>
      </c>
      <c r="D1914" s="4"/>
      <c r="E1914" s="4" t="str">
        <f>IFERROR(__xludf.DUMMYFUNCTION("""COMPUTED_VALUE"""),"Sin precio neto")</f>
        <v>Sin precio neto</v>
      </c>
    </row>
    <row r="1915">
      <c r="A1915" s="4" t="str">
        <f>IFERROR(__xludf.DUMMYFUNCTION("""COMPUTED_VALUE"""),"946090N")</f>
        <v>946090N</v>
      </c>
      <c r="B1915" s="4" t="str">
        <f>IFERROR(__xludf.DUMMYFUNCTION("""COMPUTED_VALUE"""),"Rectangulo MOPU 60x90 cm Normal")</f>
        <v>Rectangulo MOPU 60x90 cm Normal</v>
      </c>
      <c r="C1915" s="4">
        <f>IFERROR(__xludf.DUMMYFUNCTION("""COMPUTED_VALUE"""),63.11039999999999)</f>
        <v>63.1104</v>
      </c>
      <c r="D1915" s="4"/>
      <c r="E1915" s="4" t="str">
        <f>IFERROR(__xludf.DUMMYFUNCTION("""COMPUTED_VALUE"""),"Sin precio neto")</f>
        <v>Sin precio neto</v>
      </c>
    </row>
    <row r="1916">
      <c r="A1916" s="4" t="str">
        <f>IFERROR(__xludf.DUMMYFUNCTION("""COMPUTED_VALUE"""),"946090N1")</f>
        <v>946090N1</v>
      </c>
      <c r="B1916" s="4" t="str">
        <f>IFERROR(__xludf.DUMMYFUNCTION("""COMPUTED_VALUE"""),"Rectangulo MOPU 60x90 cm Reflex I")</f>
        <v>Rectangulo MOPU 60x90 cm Reflex I</v>
      </c>
      <c r="C1916" s="4">
        <f>IFERROR(__xludf.DUMMYFUNCTION("""COMPUTED_VALUE"""),69.2064)</f>
        <v>69.2064</v>
      </c>
      <c r="D1916" s="4"/>
      <c r="E1916" s="4" t="str">
        <f>IFERROR(__xludf.DUMMYFUNCTION("""COMPUTED_VALUE"""),"Sin precio neto")</f>
        <v>Sin precio neto</v>
      </c>
    </row>
    <row r="1917">
      <c r="A1917" s="4" t="str">
        <f>IFERROR(__xludf.DUMMYFUNCTION("""COMPUTED_VALUE"""),"946090N2")</f>
        <v>946090N2</v>
      </c>
      <c r="B1917" s="4" t="str">
        <f>IFERROR(__xludf.DUMMYFUNCTION("""COMPUTED_VALUE"""),"Rectangulo MOPU 60x90 cm Reflex II")</f>
        <v>Rectangulo MOPU 60x90 cm Reflex II</v>
      </c>
      <c r="C1917" s="4">
        <f>IFERROR(__xludf.DUMMYFUNCTION("""COMPUTED_VALUE"""),96.8736)</f>
        <v>96.8736</v>
      </c>
      <c r="D1917" s="4"/>
      <c r="E1917" s="4" t="str">
        <f>IFERROR(__xludf.DUMMYFUNCTION("""COMPUTED_VALUE"""),"Sin precio neto")</f>
        <v>Sin precio neto</v>
      </c>
    </row>
    <row r="1918">
      <c r="A1918" s="4" t="str">
        <f>IFERROR(__xludf.DUMMYFUNCTION("""COMPUTED_VALUE"""),"946090N3")</f>
        <v>946090N3</v>
      </c>
      <c r="B1918" s="4" t="str">
        <f>IFERROR(__xludf.DUMMYFUNCTION("""COMPUTED_VALUE"""),"Rectangulo MOPU 60x90 cm Reflex III")</f>
        <v>Rectangulo MOPU 60x90 cm Reflex III</v>
      </c>
      <c r="C1918" s="4">
        <f>IFERROR(__xludf.DUMMYFUNCTION("""COMPUTED_VALUE"""),126.96959999999999)</f>
        <v>126.9696</v>
      </c>
      <c r="D1918" s="4"/>
      <c r="E1918" s="4" t="str">
        <f>IFERROR(__xludf.DUMMYFUNCTION("""COMPUTED_VALUE"""),"Sin precio neto")</f>
        <v>Sin precio neto</v>
      </c>
    </row>
    <row r="1919">
      <c r="A1919" s="4" t="str">
        <f>IFERROR(__xludf.DUMMYFUNCTION("""COMPUTED_VALUE"""),"9490135N")</f>
        <v>9490135N</v>
      </c>
      <c r="B1919" s="4" t="str">
        <f>IFERROR(__xludf.DUMMYFUNCTION("""COMPUTED_VALUE"""),"Rectangulo MOPU 90x135 cm Normal")</f>
        <v>Rectangulo MOPU 90x135 cm Normal</v>
      </c>
      <c r="C1919" s="4">
        <f>IFERROR(__xludf.DUMMYFUNCTION("""COMPUTED_VALUE"""),111.32159999999999)</f>
        <v>111.3216</v>
      </c>
      <c r="D1919" s="4"/>
      <c r="E1919" s="4" t="str">
        <f>IFERROR(__xludf.DUMMYFUNCTION("""COMPUTED_VALUE"""),"Sin precio neto")</f>
        <v>Sin precio neto</v>
      </c>
    </row>
    <row r="1920">
      <c r="A1920" s="4" t="str">
        <f>IFERROR(__xludf.DUMMYFUNCTION("""COMPUTED_VALUE"""),"9490135N1")</f>
        <v>9490135N1</v>
      </c>
      <c r="B1920" s="4" t="str">
        <f>IFERROR(__xludf.DUMMYFUNCTION("""COMPUTED_VALUE"""),"Rectangulo MOPU 90x135 cm Reflex I")</f>
        <v>Rectangulo MOPU 90x135 cm Reflex I</v>
      </c>
      <c r="C1920" s="4">
        <f>IFERROR(__xludf.DUMMYFUNCTION("""COMPUTED_VALUE"""),256.5504)</f>
        <v>256.5504</v>
      </c>
      <c r="D1920" s="4"/>
      <c r="E1920" s="4" t="str">
        <f>IFERROR(__xludf.DUMMYFUNCTION("""COMPUTED_VALUE"""),"Sin precio neto")</f>
        <v>Sin precio neto</v>
      </c>
    </row>
    <row r="1921">
      <c r="A1921" s="4" t="str">
        <f>IFERROR(__xludf.DUMMYFUNCTION("""COMPUTED_VALUE"""),"9490135N2")</f>
        <v>9490135N2</v>
      </c>
      <c r="B1921" s="4" t="str">
        <f>IFERROR(__xludf.DUMMYFUNCTION("""COMPUTED_VALUE"""),"Rectangulo MOPU 90x135 cm Reflex II")</f>
        <v>Rectangulo MOPU 90x135 cm Reflex II</v>
      </c>
      <c r="C1921" s="4">
        <f>IFERROR(__xludf.DUMMYFUNCTION("""COMPUTED_VALUE"""),194.4)</f>
        <v>194.4</v>
      </c>
      <c r="D1921" s="4"/>
      <c r="E1921" s="4" t="str">
        <f>IFERROR(__xludf.DUMMYFUNCTION("""COMPUTED_VALUE"""),"Sin precio neto")</f>
        <v>Sin precio neto</v>
      </c>
    </row>
    <row r="1922">
      <c r="A1922" s="4" t="str">
        <f>IFERROR(__xludf.DUMMYFUNCTION("""COMPUTED_VALUE"""),"9490135N3")</f>
        <v>9490135N3</v>
      </c>
      <c r="B1922" s="4" t="str">
        <f>IFERROR(__xludf.DUMMYFUNCTION("""COMPUTED_VALUE"""),"Rectangulo MOPU 90x135 cm Reflex III")</f>
        <v>Rectangulo MOPU 90x135 cm Reflex III</v>
      </c>
      <c r="C1922" s="4">
        <f>IFERROR(__xludf.DUMMYFUNCTION("""COMPUTED_VALUE"""),256.8)</f>
        <v>256.8</v>
      </c>
      <c r="D1922" s="4"/>
      <c r="E1922" s="4" t="str">
        <f>IFERROR(__xludf.DUMMYFUNCTION("""COMPUTED_VALUE"""),"Sin precio neto")</f>
        <v>Sin precio neto</v>
      </c>
    </row>
    <row r="1923">
      <c r="A1923" s="4" t="str">
        <f>IFERROR(__xludf.DUMMYFUNCTION("""COMPUTED_VALUE"""),"9500N")</f>
        <v>9500N</v>
      </c>
      <c r="B1923" s="4" t="str">
        <f>IFERROR(__xludf.DUMMYFUNCTION("""COMPUTED_VALUE"""),"Señal Aluminio Triangular 70 cm Normal")</f>
        <v>Señal Aluminio Triangular 70 cm Normal</v>
      </c>
      <c r="C1923" s="4">
        <f>IFERROR(__xludf.DUMMYFUNCTION("""COMPUTED_VALUE"""),25.919999999999998)</f>
        <v>25.92</v>
      </c>
      <c r="D1923" s="4"/>
      <c r="E1923" s="4" t="str">
        <f>IFERROR(__xludf.DUMMYFUNCTION("""COMPUTED_VALUE"""),"Sin precio neto")</f>
        <v>Sin precio neto</v>
      </c>
    </row>
    <row r="1924">
      <c r="A1924" s="4" t="str">
        <f>IFERROR(__xludf.DUMMYFUNCTION("""COMPUTED_VALUE"""),"9500N1")</f>
        <v>9500N1</v>
      </c>
      <c r="B1924" s="4" t="str">
        <f>IFERROR(__xludf.DUMMYFUNCTION("""COMPUTED_VALUE"""),"Señal Aluminio Triangular 70 cm Nivel 1")</f>
        <v>Señal Aluminio Triangular 70 cm Nivel 1</v>
      </c>
      <c r="C1924" s="4">
        <f>IFERROR(__xludf.DUMMYFUNCTION("""COMPUTED_VALUE"""),28.799999999999997)</f>
        <v>28.8</v>
      </c>
      <c r="D1924" s="4"/>
      <c r="E1924" s="4" t="str">
        <f>IFERROR(__xludf.DUMMYFUNCTION("""COMPUTED_VALUE"""),"Sin precio neto")</f>
        <v>Sin precio neto</v>
      </c>
    </row>
    <row r="1925">
      <c r="A1925" s="4" t="str">
        <f>IFERROR(__xludf.DUMMYFUNCTION("""COMPUTED_VALUE"""),"954020N")</f>
        <v>954020N</v>
      </c>
      <c r="B1925" s="4" t="str">
        <f>IFERROR(__xludf.DUMMYFUNCTION("""COMPUTED_VALUE"""),"Señal MOPU complementaria 40x20 cm Normal")</f>
        <v>Señal MOPU complementaria 40x20 cm Normal</v>
      </c>
      <c r="C1925" s="4">
        <f>IFERROR(__xludf.DUMMYFUNCTION("""COMPUTED_VALUE"""),18.24)</f>
        <v>18.24</v>
      </c>
      <c r="D1925" s="4"/>
      <c r="E1925" s="4" t="str">
        <f>IFERROR(__xludf.DUMMYFUNCTION("""COMPUTED_VALUE"""),"Sin precio neto")</f>
        <v>Sin precio neto</v>
      </c>
    </row>
    <row r="1926">
      <c r="A1926" s="4" t="str">
        <f>IFERROR(__xludf.DUMMYFUNCTION("""COMPUTED_VALUE"""),"954020N1")</f>
        <v>954020N1</v>
      </c>
      <c r="B1926" s="4" t="str">
        <f>IFERROR(__xludf.DUMMYFUNCTION("""COMPUTED_VALUE"""),"Señal MOPU complementaria 40x20 cm Reflex I")</f>
        <v>Señal MOPU complementaria 40x20 cm Reflex I</v>
      </c>
      <c r="C1926" s="4">
        <f>IFERROR(__xludf.DUMMYFUNCTION("""COMPUTED_VALUE"""),21.36)</f>
        <v>21.36</v>
      </c>
      <c r="D1926" s="4"/>
      <c r="E1926" s="4" t="str">
        <f>IFERROR(__xludf.DUMMYFUNCTION("""COMPUTED_VALUE"""),"Sin precio neto")</f>
        <v>Sin precio neto</v>
      </c>
    </row>
    <row r="1927">
      <c r="A1927" s="4" t="str">
        <f>IFERROR(__xludf.DUMMYFUNCTION("""COMPUTED_VALUE"""),"954020N2")</f>
        <v>954020N2</v>
      </c>
      <c r="B1927" s="4" t="str">
        <f>IFERROR(__xludf.DUMMYFUNCTION("""COMPUTED_VALUE"""),"Señal MOPU complementaria 40x20 cm Reflex II")</f>
        <v>Señal MOPU complementaria 40x20 cm Reflex II</v>
      </c>
      <c r="C1927" s="4">
        <f>IFERROR(__xludf.DUMMYFUNCTION("""COMPUTED_VALUE"""),26.16)</f>
        <v>26.16</v>
      </c>
      <c r="D1927" s="4"/>
      <c r="E1927" s="4" t="str">
        <f>IFERROR(__xludf.DUMMYFUNCTION("""COMPUTED_VALUE"""),"Sin precio neto")</f>
        <v>Sin precio neto</v>
      </c>
    </row>
    <row r="1928">
      <c r="A1928" s="4" t="str">
        <f>IFERROR(__xludf.DUMMYFUNCTION("""COMPUTED_VALUE"""),"954020N3")</f>
        <v>954020N3</v>
      </c>
      <c r="B1928" s="4" t="str">
        <f>IFERROR(__xludf.DUMMYFUNCTION("""COMPUTED_VALUE"""),"Señal MOPU complemenaria 40x20 cm Reflex III")</f>
        <v>Señal MOPU complemenaria 40x20 cm Reflex III</v>
      </c>
      <c r="C1928" s="4">
        <f>IFERROR(__xludf.DUMMYFUNCTION("""COMPUTED_VALUE"""),30.144)</f>
        <v>30.144</v>
      </c>
      <c r="D1928" s="4"/>
      <c r="E1928" s="4" t="str">
        <f>IFERROR(__xludf.DUMMYFUNCTION("""COMPUTED_VALUE"""),"Sin precio neto")</f>
        <v>Sin precio neto</v>
      </c>
    </row>
    <row r="1929">
      <c r="A1929" s="4" t="str">
        <f>IFERROR(__xludf.DUMMYFUNCTION("""COMPUTED_VALUE"""),"956020N")</f>
        <v>956020N</v>
      </c>
      <c r="B1929" s="4" t="str">
        <f>IFERROR(__xludf.DUMMYFUNCTION("""COMPUTED_VALUE"""),"Señal MOPU complementaria 60x20 cm Normal")</f>
        <v>Señal MOPU complementaria 60x20 cm Normal</v>
      </c>
      <c r="C1929" s="4">
        <f>IFERROR(__xludf.DUMMYFUNCTION("""COMPUTED_VALUE"""),22.464)</f>
        <v>22.464</v>
      </c>
      <c r="D1929" s="4"/>
      <c r="E1929" s="4" t="str">
        <f>IFERROR(__xludf.DUMMYFUNCTION("""COMPUTED_VALUE"""),"Sin precio neto")</f>
        <v>Sin precio neto</v>
      </c>
    </row>
    <row r="1930">
      <c r="A1930" s="4" t="str">
        <f>IFERROR(__xludf.DUMMYFUNCTION("""COMPUTED_VALUE"""),"956020N1")</f>
        <v>956020N1</v>
      </c>
      <c r="B1930" s="4" t="str">
        <f>IFERROR(__xludf.DUMMYFUNCTION("""COMPUTED_VALUE"""),"Señal MOPU complementaria 60x20 cm Reflex I")</f>
        <v>Señal MOPU complementaria 60x20 cm Reflex I</v>
      </c>
      <c r="C1930" s="4">
        <f>IFERROR(__xludf.DUMMYFUNCTION("""COMPUTED_VALUE"""),30.959999999999997)</f>
        <v>30.96</v>
      </c>
      <c r="D1930" s="4"/>
      <c r="E1930" s="4" t="str">
        <f>IFERROR(__xludf.DUMMYFUNCTION("""COMPUTED_VALUE"""),"Sin precio neto")</f>
        <v>Sin precio neto</v>
      </c>
    </row>
    <row r="1931">
      <c r="A1931" s="4" t="str">
        <f>IFERROR(__xludf.DUMMYFUNCTION("""COMPUTED_VALUE"""),"956020N2")</f>
        <v>956020N2</v>
      </c>
      <c r="B1931" s="4" t="str">
        <f>IFERROR(__xludf.DUMMYFUNCTION("""COMPUTED_VALUE"""),"Señal MOPU complementaria 60x20 cm Reflex II")</f>
        <v>Señal MOPU complementaria 60x20 cm Reflex II</v>
      </c>
      <c r="C1931" s="4">
        <f>IFERROR(__xludf.DUMMYFUNCTION("""COMPUTED_VALUE"""),33.6)</f>
        <v>33.6</v>
      </c>
      <c r="D1931" s="4"/>
      <c r="E1931" s="4" t="str">
        <f>IFERROR(__xludf.DUMMYFUNCTION("""COMPUTED_VALUE"""),"Sin precio neto")</f>
        <v>Sin precio neto</v>
      </c>
    </row>
    <row r="1932">
      <c r="A1932" s="4" t="str">
        <f>IFERROR(__xludf.DUMMYFUNCTION("""COMPUTED_VALUE"""),"956020N3")</f>
        <v>956020N3</v>
      </c>
      <c r="B1932" s="4" t="str">
        <f>IFERROR(__xludf.DUMMYFUNCTION("""COMPUTED_VALUE"""),"Señal MOPU complementaria 60x20 cm Reflex III")</f>
        <v>Señal MOPU complementaria 60x20 cm Reflex III</v>
      </c>
      <c r="C1932" s="4">
        <f>IFERROR(__xludf.DUMMYFUNCTION("""COMPUTED_VALUE"""),38.16)</f>
        <v>38.16</v>
      </c>
      <c r="D1932" s="4"/>
      <c r="E1932" s="4" t="str">
        <f>IFERROR(__xludf.DUMMYFUNCTION("""COMPUTED_VALUE"""),"Sin precio neto")</f>
        <v>Sin precio neto</v>
      </c>
    </row>
    <row r="1933">
      <c r="A1933" s="4" t="str">
        <f>IFERROR(__xludf.DUMMYFUNCTION("""COMPUTED_VALUE"""),"956030N")</f>
        <v>956030N</v>
      </c>
      <c r="B1933" s="4" t="str">
        <f>IFERROR(__xludf.DUMMYFUNCTION("""COMPUTED_VALUE"""),"Señal MOPU complementaria 60x30 cm Normal")</f>
        <v>Señal MOPU complementaria 60x30 cm Normal</v>
      </c>
      <c r="C1933" s="4">
        <f>IFERROR(__xludf.DUMMYFUNCTION("""COMPUTED_VALUE"""),28.08)</f>
        <v>28.08</v>
      </c>
      <c r="D1933" s="4"/>
      <c r="E1933" s="4" t="str">
        <f>IFERROR(__xludf.DUMMYFUNCTION("""COMPUTED_VALUE"""),"Sin precio neto")</f>
        <v>Sin precio neto</v>
      </c>
    </row>
    <row r="1934">
      <c r="A1934" s="4" t="str">
        <f>IFERROR(__xludf.DUMMYFUNCTION("""COMPUTED_VALUE"""),"956030N1")</f>
        <v>956030N1</v>
      </c>
      <c r="B1934" s="4" t="str">
        <f>IFERROR(__xludf.DUMMYFUNCTION("""COMPUTED_VALUE"""),"Señal MOPU complementaria 60x30 cm Reflex I")</f>
        <v>Señal MOPU complementaria 60x30 cm Reflex I</v>
      </c>
      <c r="C1934" s="4">
        <f>IFERROR(__xludf.DUMMYFUNCTION("""COMPUTED_VALUE"""),27.119999999999997)</f>
        <v>27.12</v>
      </c>
      <c r="D1934" s="4"/>
      <c r="E1934" s="4" t="str">
        <f>IFERROR(__xludf.DUMMYFUNCTION("""COMPUTED_VALUE"""),"Sin precio neto")</f>
        <v>Sin precio neto</v>
      </c>
    </row>
    <row r="1935">
      <c r="A1935" s="4" t="str">
        <f>IFERROR(__xludf.DUMMYFUNCTION("""COMPUTED_VALUE"""),"956030N2")</f>
        <v>956030N2</v>
      </c>
      <c r="B1935" s="4" t="str">
        <f>IFERROR(__xludf.DUMMYFUNCTION("""COMPUTED_VALUE"""),"Señal MOPU complementaria 60x30 cm Reflex II")</f>
        <v>Señal MOPU complementaria 60x30 cm Reflex II</v>
      </c>
      <c r="C1935" s="4">
        <f>IFERROR(__xludf.DUMMYFUNCTION("""COMPUTED_VALUE"""),37.824)</f>
        <v>37.824</v>
      </c>
      <c r="D1935" s="4"/>
      <c r="E1935" s="4" t="str">
        <f>IFERROR(__xludf.DUMMYFUNCTION("""COMPUTED_VALUE"""),"Sin precio neto")</f>
        <v>Sin precio neto</v>
      </c>
    </row>
    <row r="1936">
      <c r="A1936" s="4" t="str">
        <f>IFERROR(__xludf.DUMMYFUNCTION("""COMPUTED_VALUE"""),"956030N3")</f>
        <v>956030N3</v>
      </c>
      <c r="B1936" s="4" t="str">
        <f>IFERROR(__xludf.DUMMYFUNCTION("""COMPUTED_VALUE"""),"Señal MOPu complementaria 60x30 cm Reflex III")</f>
        <v>Señal MOPu complementaria 60x30 cm Reflex III</v>
      </c>
      <c r="C1936" s="4">
        <f>IFERROR(__xludf.DUMMYFUNCTION("""COMPUTED_VALUE"""),47.424)</f>
        <v>47.424</v>
      </c>
      <c r="D1936" s="4"/>
      <c r="E1936" s="4" t="str">
        <f>IFERROR(__xludf.DUMMYFUNCTION("""COMPUTED_VALUE"""),"Sin precio neto")</f>
        <v>Sin precio neto</v>
      </c>
    </row>
    <row r="1937">
      <c r="A1937" s="4" t="str">
        <f>IFERROR(__xludf.DUMMYFUNCTION("""COMPUTED_VALUE"""),"956040N")</f>
        <v>956040N</v>
      </c>
      <c r="B1937" s="4" t="str">
        <f>IFERROR(__xludf.DUMMYFUNCTION("""COMPUTED_VALUE"""),"Señal MOPU complementaria 60x40 cm Normal")</f>
        <v>Señal MOPU complementaria 60x40 cm Normal</v>
      </c>
      <c r="C1937" s="4">
        <f>IFERROR(__xludf.DUMMYFUNCTION("""COMPUTED_VALUE"""),37.632)</f>
        <v>37.632</v>
      </c>
      <c r="D1937" s="4"/>
      <c r="E1937" s="4" t="str">
        <f>IFERROR(__xludf.DUMMYFUNCTION("""COMPUTED_VALUE"""),"Sin precio neto")</f>
        <v>Sin precio neto</v>
      </c>
    </row>
    <row r="1938">
      <c r="A1938" s="4" t="str">
        <f>IFERROR(__xludf.DUMMYFUNCTION("""COMPUTED_VALUE"""),"956040N1")</f>
        <v>956040N1</v>
      </c>
      <c r="B1938" s="4" t="str">
        <f>IFERROR(__xludf.DUMMYFUNCTION("""COMPUTED_VALUE"""),"Señal MOPU complementaria 60x40 cm Reflex I")</f>
        <v>Señal MOPU complementaria 60x40 cm Reflex I</v>
      </c>
      <c r="C1938" s="4">
        <f>IFERROR(__xludf.DUMMYFUNCTION("""COMPUTED_VALUE"""),38.303999999999995)</f>
        <v>38.304</v>
      </c>
      <c r="D1938" s="4"/>
      <c r="E1938" s="4" t="str">
        <f>IFERROR(__xludf.DUMMYFUNCTION("""COMPUTED_VALUE"""),"Sin precio neto")</f>
        <v>Sin precio neto</v>
      </c>
    </row>
    <row r="1939">
      <c r="A1939" s="4" t="str">
        <f>IFERROR(__xludf.DUMMYFUNCTION("""COMPUTED_VALUE"""),"956040N2")</f>
        <v>956040N2</v>
      </c>
      <c r="B1939" s="4" t="str">
        <f>IFERROR(__xludf.DUMMYFUNCTION("""COMPUTED_VALUE"""),"Señal MOPU complementaria 60x40 cm Reflex II")</f>
        <v>Señal MOPU complementaria 60x40 cm Reflex II</v>
      </c>
      <c r="C1939" s="4">
        <f>IFERROR(__xludf.DUMMYFUNCTION("""COMPUTED_VALUE"""),40.559999999999995)</f>
        <v>40.56</v>
      </c>
      <c r="D1939" s="4"/>
      <c r="E1939" s="4" t="str">
        <f>IFERROR(__xludf.DUMMYFUNCTION("""COMPUTED_VALUE"""),"Sin precio neto")</f>
        <v>Sin precio neto</v>
      </c>
    </row>
    <row r="1940">
      <c r="A1940" s="4" t="str">
        <f>IFERROR(__xludf.DUMMYFUNCTION("""COMPUTED_VALUE"""),"956040N3")</f>
        <v>956040N3</v>
      </c>
      <c r="B1940" s="4" t="str">
        <f>IFERROR(__xludf.DUMMYFUNCTION("""COMPUTED_VALUE"""),"Señal MOPU complementaria 60x40 cm Reflex III")</f>
        <v>Señal MOPU complementaria 60x40 cm Reflex III</v>
      </c>
      <c r="C1940" s="4">
        <f>IFERROR(__xludf.DUMMYFUNCTION("""COMPUTED_VALUE"""),61.68)</f>
        <v>61.68</v>
      </c>
      <c r="D1940" s="4"/>
      <c r="E1940" s="4" t="str">
        <f>IFERROR(__xludf.DUMMYFUNCTION("""COMPUTED_VALUE"""),"Sin precio neto")</f>
        <v>Sin precio neto</v>
      </c>
    </row>
    <row r="1941">
      <c r="A1941" s="4" t="str">
        <f>IFERROR(__xludf.DUMMYFUNCTION("""COMPUTED_VALUE"""),"958040N")</f>
        <v>958040N</v>
      </c>
      <c r="B1941" s="4" t="str">
        <f>IFERROR(__xludf.DUMMYFUNCTION("""COMPUTED_VALUE"""),"Señal MOPU complementaria 80x40 Normal")</f>
        <v>Señal MOPU complementaria 80x40 Normal</v>
      </c>
      <c r="C1941" s="4">
        <f>IFERROR(__xludf.DUMMYFUNCTION("""COMPUTED_VALUE"""),33.36)</f>
        <v>33.36</v>
      </c>
      <c r="D1941" s="4"/>
      <c r="E1941" s="4" t="str">
        <f>IFERROR(__xludf.DUMMYFUNCTION("""COMPUTED_VALUE"""),"Sin precio neto")</f>
        <v>Sin precio neto</v>
      </c>
    </row>
    <row r="1942">
      <c r="A1942" s="4" t="str">
        <f>IFERROR(__xludf.DUMMYFUNCTION("""COMPUTED_VALUE"""),"958040N1")</f>
        <v>958040N1</v>
      </c>
      <c r="B1942" s="4" t="str">
        <f>IFERROR(__xludf.DUMMYFUNCTION("""COMPUTED_VALUE"""),"Señal MOPU complementaria 80x40 cm Reflex I")</f>
        <v>Señal MOPU complementaria 80x40 cm Reflex I</v>
      </c>
      <c r="C1942" s="4">
        <f>IFERROR(__xludf.DUMMYFUNCTION("""COMPUTED_VALUE"""),45.36)</f>
        <v>45.36</v>
      </c>
      <c r="D1942" s="4"/>
      <c r="E1942" s="4" t="str">
        <f>IFERROR(__xludf.DUMMYFUNCTION("""COMPUTED_VALUE"""),"Sin precio neto")</f>
        <v>Sin precio neto</v>
      </c>
    </row>
    <row r="1943">
      <c r="A1943" s="4" t="str">
        <f>IFERROR(__xludf.DUMMYFUNCTION("""COMPUTED_VALUE"""),"958040N2")</f>
        <v>958040N2</v>
      </c>
      <c r="B1943" s="4" t="str">
        <f>IFERROR(__xludf.DUMMYFUNCTION("""COMPUTED_VALUE"""),"Señal MOPU complementaria 80x40 cm Reflex II")</f>
        <v>Señal MOPU complementaria 80x40 cm Reflex II</v>
      </c>
      <c r="C1943" s="4">
        <f>IFERROR(__xludf.DUMMYFUNCTION("""COMPUTED_VALUE"""),56.879999999999995)</f>
        <v>56.88</v>
      </c>
      <c r="D1943" s="4"/>
      <c r="E1943" s="4" t="str">
        <f>IFERROR(__xludf.DUMMYFUNCTION("""COMPUTED_VALUE"""),"Sin precio neto")</f>
        <v>Sin precio neto</v>
      </c>
    </row>
    <row r="1944">
      <c r="A1944" s="4" t="str">
        <f>IFERROR(__xludf.DUMMYFUNCTION("""COMPUTED_VALUE"""),"958040N3")</f>
        <v>958040N3</v>
      </c>
      <c r="B1944" s="4" t="str">
        <f>IFERROR(__xludf.DUMMYFUNCTION("""COMPUTED_VALUE"""),"Señal MOPu complementaria 80x40 cm Reflex III")</f>
        <v>Señal MOPu complementaria 80x40 cm Reflex III</v>
      </c>
      <c r="C1944" s="4">
        <f>IFERROR(__xludf.DUMMYFUNCTION("""COMPUTED_VALUE"""),71.75999999999999)</f>
        <v>71.76</v>
      </c>
      <c r="D1944" s="4"/>
      <c r="E1944" s="4" t="str">
        <f>IFERROR(__xludf.DUMMYFUNCTION("""COMPUTED_VALUE"""),"Sin precio neto")</f>
        <v>Sin precio neto</v>
      </c>
    </row>
    <row r="1945">
      <c r="A1945" s="4" t="str">
        <f>IFERROR(__xludf.DUMMYFUNCTION("""COMPUTED_VALUE"""),"958520N")</f>
        <v>958520N</v>
      </c>
      <c r="B1945" s="4" t="str">
        <f>IFERROR(__xludf.DUMMYFUNCTION("""COMPUTED_VALUE"""),"Señal MOPU complementaria 85x20 Normal")</f>
        <v>Señal MOPU complementaria 85x20 Normal</v>
      </c>
      <c r="C1945" s="4">
        <f>IFERROR(__xludf.DUMMYFUNCTION("""COMPUTED_VALUE"""),33.024)</f>
        <v>33.024</v>
      </c>
      <c r="D1945" s="4"/>
      <c r="E1945" s="4" t="str">
        <f>IFERROR(__xludf.DUMMYFUNCTION("""COMPUTED_VALUE"""),"Sin precio neto")</f>
        <v>Sin precio neto</v>
      </c>
    </row>
    <row r="1946">
      <c r="A1946" s="4" t="str">
        <f>IFERROR(__xludf.DUMMYFUNCTION("""COMPUTED_VALUE"""),"958520N1")</f>
        <v>958520N1</v>
      </c>
      <c r="B1946" s="4" t="str">
        <f>IFERROR(__xludf.DUMMYFUNCTION("""COMPUTED_VALUE"""),"Señal MOPU complementaria 85x20 cm Reflex I")</f>
        <v>Señal MOPU complementaria 85x20 cm Reflex I</v>
      </c>
      <c r="C1946" s="4">
        <f>IFERROR(__xludf.DUMMYFUNCTION("""COMPUTED_VALUE"""),33.839999999999996)</f>
        <v>33.84</v>
      </c>
      <c r="D1946" s="4"/>
      <c r="E1946" s="4" t="str">
        <f>IFERROR(__xludf.DUMMYFUNCTION("""COMPUTED_VALUE"""),"Sin precio neto")</f>
        <v>Sin precio neto</v>
      </c>
    </row>
    <row r="1947">
      <c r="A1947" s="4" t="str">
        <f>IFERROR(__xludf.DUMMYFUNCTION("""COMPUTED_VALUE"""),"958520N2")</f>
        <v>958520N2</v>
      </c>
      <c r="B1947" s="4" t="str">
        <f>IFERROR(__xludf.DUMMYFUNCTION("""COMPUTED_VALUE"""),"Señal MOPU complementaria 85x20 cm Reflex II")</f>
        <v>Señal MOPU complementaria 85x20 cm Reflex II</v>
      </c>
      <c r="C1947" s="4">
        <f>IFERROR(__xludf.DUMMYFUNCTION("""COMPUTED_VALUE"""),47.903999999999996)</f>
        <v>47.904</v>
      </c>
      <c r="D1947" s="4"/>
      <c r="E1947" s="4" t="str">
        <f>IFERROR(__xludf.DUMMYFUNCTION("""COMPUTED_VALUE"""),"Sin precio neto")</f>
        <v>Sin precio neto</v>
      </c>
    </row>
    <row r="1948">
      <c r="A1948" s="4" t="str">
        <f>IFERROR(__xludf.DUMMYFUNCTION("""COMPUTED_VALUE"""),"958520N3")</f>
        <v>958520N3</v>
      </c>
      <c r="B1948" s="4" t="str">
        <f>IFERROR(__xludf.DUMMYFUNCTION("""COMPUTED_VALUE"""),"Señal MOPU complementaria 85x20 cm Reflex III")</f>
        <v>Señal MOPU complementaria 85x20 cm Reflex III</v>
      </c>
      <c r="C1948" s="4">
        <f>IFERROR(__xludf.DUMMYFUNCTION("""COMPUTED_VALUE"""),45.36)</f>
        <v>45.36</v>
      </c>
      <c r="D1948" s="4"/>
      <c r="E1948" s="4" t="str">
        <f>IFERROR(__xludf.DUMMYFUNCTION("""COMPUTED_VALUE"""),"Sin precio neto")</f>
        <v>Sin precio neto</v>
      </c>
    </row>
    <row r="1949">
      <c r="A1949" s="4" t="str">
        <f>IFERROR(__xludf.DUMMYFUNCTION("""COMPUTED_VALUE"""),"959030N")</f>
        <v>959030N</v>
      </c>
      <c r="B1949" s="4" t="str">
        <f>IFERROR(__xludf.DUMMYFUNCTION("""COMPUTED_VALUE"""),"Señal MOPU complementaria 90x30 cm Normal")</f>
        <v>Señal MOPU complementaria 90x30 cm Normal</v>
      </c>
      <c r="C1949" s="4">
        <f>IFERROR(__xludf.DUMMYFUNCTION("""COMPUTED_VALUE"""),39.12)</f>
        <v>39.12</v>
      </c>
      <c r="D1949" s="4"/>
      <c r="E1949" s="4" t="str">
        <f>IFERROR(__xludf.DUMMYFUNCTION("""COMPUTED_VALUE"""),"Sin precio neto")</f>
        <v>Sin precio neto</v>
      </c>
    </row>
    <row r="1950">
      <c r="A1950" s="4" t="str">
        <f>IFERROR(__xludf.DUMMYFUNCTION("""COMPUTED_VALUE"""),"959030N1")</f>
        <v>959030N1</v>
      </c>
      <c r="B1950" s="4" t="str">
        <f>IFERROR(__xludf.DUMMYFUNCTION("""COMPUTED_VALUE"""),"Señal MOPU complementario 90x30 cm Reflex I")</f>
        <v>Señal MOPU complementario 90x30 cm Reflex I</v>
      </c>
      <c r="C1950" s="4">
        <f>IFERROR(__xludf.DUMMYFUNCTION("""COMPUTED_VALUE"""),41.519999999999996)</f>
        <v>41.52</v>
      </c>
      <c r="D1950" s="4"/>
      <c r="E1950" s="4" t="str">
        <f>IFERROR(__xludf.DUMMYFUNCTION("""COMPUTED_VALUE"""),"Sin precio neto")</f>
        <v>Sin precio neto</v>
      </c>
    </row>
    <row r="1951">
      <c r="A1951" s="4" t="str">
        <f>IFERROR(__xludf.DUMMYFUNCTION("""COMPUTED_VALUE"""),"959030N2")</f>
        <v>959030N2</v>
      </c>
      <c r="B1951" s="4" t="str">
        <f>IFERROR(__xludf.DUMMYFUNCTION("""COMPUTED_VALUE"""),"Señal MOPU complementaria 90x30 cm Reflex II")</f>
        <v>Señal MOPU complementaria 90x30 cm Reflex II</v>
      </c>
      <c r="C1951" s="4">
        <f>IFERROR(__xludf.DUMMYFUNCTION("""COMPUTED_VALUE"""),55.007999999999996)</f>
        <v>55.008</v>
      </c>
      <c r="D1951" s="4"/>
      <c r="E1951" s="4" t="str">
        <f>IFERROR(__xludf.DUMMYFUNCTION("""COMPUTED_VALUE"""),"Sin precio neto")</f>
        <v>Sin precio neto</v>
      </c>
    </row>
    <row r="1952">
      <c r="A1952" s="4" t="str">
        <f>IFERROR(__xludf.DUMMYFUNCTION("""COMPUTED_VALUE"""),"959030N3")</f>
        <v>959030N3</v>
      </c>
      <c r="B1952" s="4" t="str">
        <f>IFERROR(__xludf.DUMMYFUNCTION("""COMPUTED_VALUE"""),"Señal MOPU complementaria 90x30 cm Reflex III")</f>
        <v>Señal MOPU complementaria 90x30 cm Reflex III</v>
      </c>
      <c r="C1952" s="4">
        <f>IFERROR(__xludf.DUMMYFUNCTION("""COMPUTED_VALUE"""),68.39999999999999)</f>
        <v>68.4</v>
      </c>
      <c r="D1952" s="4"/>
      <c r="E1952" s="4" t="str">
        <f>IFERROR(__xludf.DUMMYFUNCTION("""COMPUTED_VALUE"""),"Sin precio neto")</f>
        <v>Sin precio neto</v>
      </c>
    </row>
    <row r="1953">
      <c r="A1953" s="4" t="str">
        <f>IFERROR(__xludf.DUMMYFUNCTION("""COMPUTED_VALUE"""),"9600N")</f>
        <v>9600N</v>
      </c>
      <c r="B1953" s="4" t="str">
        <f>IFERROR(__xludf.DUMMYFUNCTION("""COMPUTED_VALUE"""),"Señal Aluminio Circular 60 cm Normal")</f>
        <v>Señal Aluminio Circular 60 cm Normal</v>
      </c>
      <c r="C1953" s="4">
        <f>IFERROR(__xludf.DUMMYFUNCTION("""COMPUTED_VALUE"""),26.88)</f>
        <v>26.88</v>
      </c>
      <c r="D1953" s="4"/>
      <c r="E1953" s="4" t="str">
        <f>IFERROR(__xludf.DUMMYFUNCTION("""COMPUTED_VALUE"""),"Sin precio neto")</f>
        <v>Sin precio neto</v>
      </c>
    </row>
    <row r="1954">
      <c r="A1954" s="4" t="str">
        <f>IFERROR(__xludf.DUMMYFUNCTION("""COMPUTED_VALUE"""),"9600N1")</f>
        <v>9600N1</v>
      </c>
      <c r="B1954" s="4" t="str">
        <f>IFERROR(__xludf.DUMMYFUNCTION("""COMPUTED_VALUE"""),"Señal Aluminio Circular 60 cm Nivel 1")</f>
        <v>Señal Aluminio Circular 60 cm Nivel 1</v>
      </c>
      <c r="C1954" s="4">
        <f>IFERROR(__xludf.DUMMYFUNCTION("""COMPUTED_VALUE"""),29.759999999999998)</f>
        <v>29.76</v>
      </c>
      <c r="D1954" s="4"/>
      <c r="E1954" s="4" t="str">
        <f>IFERROR(__xludf.DUMMYFUNCTION("""COMPUTED_VALUE"""),"Sin precio neto")</f>
        <v>Sin precio neto</v>
      </c>
    </row>
    <row r="1955">
      <c r="A1955" s="4" t="str">
        <f>IFERROR(__xludf.DUMMYFUNCTION("""COMPUTED_VALUE"""),"9625120N")</f>
        <v>9625120N</v>
      </c>
      <c r="B1955" s="4" t="str">
        <f>IFERROR(__xludf.DUMMYFUNCTION("""COMPUTED_VALUE"""),"Señal MOPU informativa 25x120 cm Normal")</f>
        <v>Señal MOPU informativa 25x120 cm Normal</v>
      </c>
      <c r="C1955" s="4">
        <f>IFERROR(__xludf.DUMMYFUNCTION("""COMPUTED_VALUE"""),62.764799999999994)</f>
        <v>62.7648</v>
      </c>
      <c r="D1955" s="4"/>
      <c r="E1955" s="4" t="str">
        <f>IFERROR(__xludf.DUMMYFUNCTION("""COMPUTED_VALUE"""),"Sin precio neto")</f>
        <v>Sin precio neto</v>
      </c>
    </row>
    <row r="1956">
      <c r="A1956" s="4" t="str">
        <f>IFERROR(__xludf.DUMMYFUNCTION("""COMPUTED_VALUE"""),"9625120N1")</f>
        <v>9625120N1</v>
      </c>
      <c r="B1956" s="4" t="str">
        <f>IFERROR(__xludf.DUMMYFUNCTION("""COMPUTED_VALUE"""),"Señal MOPU informativa 25x120 cm Reflex I")</f>
        <v>Señal MOPU informativa 25x120 cm Reflex I</v>
      </c>
      <c r="C1956" s="4">
        <f>IFERROR(__xludf.DUMMYFUNCTION("""COMPUTED_VALUE"""),66.432)</f>
        <v>66.432</v>
      </c>
      <c r="D1956" s="4"/>
      <c r="E1956" s="4" t="str">
        <f>IFERROR(__xludf.DUMMYFUNCTION("""COMPUTED_VALUE"""),"Sin precio neto")</f>
        <v>Sin precio neto</v>
      </c>
    </row>
    <row r="1957">
      <c r="A1957" s="4" t="str">
        <f>IFERROR(__xludf.DUMMYFUNCTION("""COMPUTED_VALUE"""),"9625120N1F")</f>
        <v>9625120N1F</v>
      </c>
      <c r="B1957" s="4" t="str">
        <f>IFERROR(__xludf.DUMMYFUNCTION("""COMPUTED_VALUE"""),"Señal MOPU informativa 25x120 Nivel 1 Flechada")</f>
        <v>Señal MOPU informativa 25x120 Nivel 1 Flechada</v>
      </c>
      <c r="C1957" s="4">
        <f>IFERROR(__xludf.DUMMYFUNCTION("""COMPUTED_VALUE"""),65.61599999999999)</f>
        <v>65.616</v>
      </c>
      <c r="D1957" s="4"/>
      <c r="E1957" s="4" t="str">
        <f>IFERROR(__xludf.DUMMYFUNCTION("""COMPUTED_VALUE"""),"Sin precio neto")</f>
        <v>Sin precio neto</v>
      </c>
    </row>
    <row r="1958">
      <c r="A1958" s="4" t="str">
        <f>IFERROR(__xludf.DUMMYFUNCTION("""COMPUTED_VALUE"""),"9625120N2")</f>
        <v>9625120N2</v>
      </c>
      <c r="B1958" s="4" t="str">
        <f>IFERROR(__xludf.DUMMYFUNCTION("""COMPUTED_VALUE"""),"Señal MOPU informativa 25x120 cm Reflex II")</f>
        <v>Señal MOPU informativa 25x120 cm Reflex II</v>
      </c>
      <c r="C1958" s="4">
        <f>IFERROR(__xludf.DUMMYFUNCTION("""COMPUTED_VALUE"""),72.96)</f>
        <v>72.96</v>
      </c>
      <c r="D1958" s="4"/>
      <c r="E1958" s="4" t="str">
        <f>IFERROR(__xludf.DUMMYFUNCTION("""COMPUTED_VALUE"""),"Sin precio neto")</f>
        <v>Sin precio neto</v>
      </c>
    </row>
    <row r="1959">
      <c r="A1959" s="4" t="str">
        <f>IFERROR(__xludf.DUMMYFUNCTION("""COMPUTED_VALUE"""),"9625120N2F")</f>
        <v>9625120N2F</v>
      </c>
      <c r="B1959" s="4" t="str">
        <f>IFERROR(__xludf.DUMMYFUNCTION("""COMPUTED_VALUE"""),"Señal MOPU informativa 25x120 Nivel 2 Flechada")</f>
        <v>Señal MOPU informativa 25x120 Nivel 2 Flechada</v>
      </c>
      <c r="C1959" s="4">
        <f>IFERROR(__xludf.DUMMYFUNCTION("""COMPUTED_VALUE"""),73.152)</f>
        <v>73.152</v>
      </c>
      <c r="D1959" s="4"/>
      <c r="E1959" s="4" t="str">
        <f>IFERROR(__xludf.DUMMYFUNCTION("""COMPUTED_VALUE"""),"Sin precio neto")</f>
        <v>Sin precio neto</v>
      </c>
    </row>
    <row r="1960">
      <c r="A1960" s="4" t="str">
        <f>IFERROR(__xludf.DUMMYFUNCTION("""COMPUTED_VALUE"""),"9625120N3")</f>
        <v>9625120N3</v>
      </c>
      <c r="B1960" s="4" t="str">
        <f>IFERROR(__xludf.DUMMYFUNCTION("""COMPUTED_VALUE"""),"Señal MOPU informativa 25x120 cm Reflex III")</f>
        <v>Señal MOPU informativa 25x120 cm Reflex III</v>
      </c>
      <c r="C1960" s="4">
        <f>IFERROR(__xludf.DUMMYFUNCTION("""COMPUTED_VALUE"""),104.832)</f>
        <v>104.832</v>
      </c>
      <c r="D1960" s="4"/>
      <c r="E1960" s="4" t="str">
        <f>IFERROR(__xludf.DUMMYFUNCTION("""COMPUTED_VALUE"""),"Sin precio neto")</f>
        <v>Sin precio neto</v>
      </c>
    </row>
    <row r="1961">
      <c r="A1961" s="4" t="str">
        <f>IFERROR(__xludf.DUMMYFUNCTION("""COMPUTED_VALUE"""),"9625120N3F")</f>
        <v>9625120N3F</v>
      </c>
      <c r="B1961" s="4" t="str">
        <f>IFERROR(__xludf.DUMMYFUNCTION("""COMPUTED_VALUE"""),"Señal MOPU informativa 25x120 Nivel 3 Flechada")</f>
        <v>Señal MOPU informativa 25x120 Nivel 3 Flechada</v>
      </c>
      <c r="C1961" s="4">
        <f>IFERROR(__xludf.DUMMYFUNCTION("""COMPUTED_VALUE"""),105.792)</f>
        <v>105.792</v>
      </c>
      <c r="D1961" s="4"/>
      <c r="E1961" s="4" t="str">
        <f>IFERROR(__xludf.DUMMYFUNCTION("""COMPUTED_VALUE"""),"Sin precio neto")</f>
        <v>Sin precio neto</v>
      </c>
    </row>
    <row r="1962">
      <c r="A1962" s="4" t="str">
        <f>IFERROR(__xludf.DUMMYFUNCTION("""COMPUTED_VALUE"""),"9625120NF")</f>
        <v>9625120NF</v>
      </c>
      <c r="B1962" s="4" t="str">
        <f>IFERROR(__xludf.DUMMYFUNCTION("""COMPUTED_VALUE"""),"Señal MOPU informativa 25x120 Normal Flechada")</f>
        <v>Señal MOPU informativa 25x120 Normal Flechada</v>
      </c>
      <c r="C1962" s="4">
        <f>IFERROR(__xludf.DUMMYFUNCTION("""COMPUTED_VALUE"""),59.856)</f>
        <v>59.856</v>
      </c>
      <c r="D1962" s="4"/>
      <c r="E1962" s="4" t="str">
        <f>IFERROR(__xludf.DUMMYFUNCTION("""COMPUTED_VALUE"""),"Sin precio neto")</f>
        <v>Sin precio neto</v>
      </c>
    </row>
    <row r="1963">
      <c r="A1963" s="4" t="str">
        <f>IFERROR(__xludf.DUMMYFUNCTION("""COMPUTED_VALUE"""),"962570N")</f>
        <v>962570N</v>
      </c>
      <c r="B1963" s="4" t="str">
        <f>IFERROR(__xludf.DUMMYFUNCTION("""COMPUTED_VALUE"""),"Señal MOPU informativa 25x70 cm Normal")</f>
        <v>Señal MOPU informativa 25x70 cm Normal</v>
      </c>
      <c r="C1963" s="4">
        <f>IFERROR(__xludf.DUMMYFUNCTION("""COMPUTED_VALUE"""),35.519999999999996)</f>
        <v>35.52</v>
      </c>
      <c r="D1963" s="4"/>
      <c r="E1963" s="4" t="str">
        <f>IFERROR(__xludf.DUMMYFUNCTION("""COMPUTED_VALUE"""),"Sin precio neto")</f>
        <v>Sin precio neto</v>
      </c>
    </row>
    <row r="1964">
      <c r="A1964" s="4" t="str">
        <f>IFERROR(__xludf.DUMMYFUNCTION("""COMPUTED_VALUE"""),"962570N1")</f>
        <v>962570N1</v>
      </c>
      <c r="B1964" s="4" t="str">
        <f>IFERROR(__xludf.DUMMYFUNCTION("""COMPUTED_VALUE"""),"Señal MOPU informativa 25x70 cm Reflex I")</f>
        <v>Señal MOPU informativa 25x70 cm Reflex I</v>
      </c>
      <c r="C1964" s="4">
        <f>IFERROR(__xludf.DUMMYFUNCTION("""COMPUTED_VALUE"""),40.272)</f>
        <v>40.272</v>
      </c>
      <c r="D1964" s="4"/>
      <c r="E1964" s="4" t="str">
        <f>IFERROR(__xludf.DUMMYFUNCTION("""COMPUTED_VALUE"""),"Sin precio neto")</f>
        <v>Sin precio neto</v>
      </c>
    </row>
    <row r="1965">
      <c r="A1965" s="4" t="str">
        <f>IFERROR(__xludf.DUMMYFUNCTION("""COMPUTED_VALUE"""),"962570N1F")</f>
        <v>962570N1F</v>
      </c>
      <c r="B1965" s="4" t="str">
        <f>IFERROR(__xludf.DUMMYFUNCTION("""COMPUTED_VALUE"""),"Señal MOPU informativa 25x70 cm Nivel 1 Flechada")</f>
        <v>Señal MOPU informativa 25x70 cm Nivel 1 Flechada</v>
      </c>
      <c r="C1965" s="4">
        <f>IFERROR(__xludf.DUMMYFUNCTION("""COMPUTED_VALUE"""),40.272)</f>
        <v>40.272</v>
      </c>
      <c r="D1965" s="4"/>
      <c r="E1965" s="4" t="str">
        <f>IFERROR(__xludf.DUMMYFUNCTION("""COMPUTED_VALUE"""),"Sin precio neto")</f>
        <v>Sin precio neto</v>
      </c>
    </row>
    <row r="1966">
      <c r="A1966" s="4" t="str">
        <f>IFERROR(__xludf.DUMMYFUNCTION("""COMPUTED_VALUE"""),"962570N2")</f>
        <v>962570N2</v>
      </c>
      <c r="B1966" s="4" t="str">
        <f>IFERROR(__xludf.DUMMYFUNCTION("""COMPUTED_VALUE"""),"Señal MOPU informativa 25x70 cm Reflex II")</f>
        <v>Señal MOPU informativa 25x70 cm Reflex II</v>
      </c>
      <c r="C1966" s="4">
        <f>IFERROR(__xludf.DUMMYFUNCTION("""COMPUTED_VALUE"""),45.8208)</f>
        <v>45.8208</v>
      </c>
      <c r="D1966" s="4"/>
      <c r="E1966" s="4" t="str">
        <f>IFERROR(__xludf.DUMMYFUNCTION("""COMPUTED_VALUE"""),"Sin precio neto")</f>
        <v>Sin precio neto</v>
      </c>
    </row>
    <row r="1967">
      <c r="A1967" s="4" t="str">
        <f>IFERROR(__xludf.DUMMYFUNCTION("""COMPUTED_VALUE"""),"962570N2F")</f>
        <v>962570N2F</v>
      </c>
      <c r="B1967" s="4" t="str">
        <f>IFERROR(__xludf.DUMMYFUNCTION("""COMPUTED_VALUE"""),"Señal MOPU informativa 25x70 cm Nivel 2 Flechada")</f>
        <v>Señal MOPU informativa 25x70 cm Nivel 2 Flechada</v>
      </c>
      <c r="C1967" s="4">
        <f>IFERROR(__xludf.DUMMYFUNCTION("""COMPUTED_VALUE"""),45.8208)</f>
        <v>45.8208</v>
      </c>
      <c r="D1967" s="4"/>
      <c r="E1967" s="4" t="str">
        <f>IFERROR(__xludf.DUMMYFUNCTION("""COMPUTED_VALUE"""),"Sin precio neto")</f>
        <v>Sin precio neto</v>
      </c>
    </row>
    <row r="1968">
      <c r="A1968" s="4" t="str">
        <f>IFERROR(__xludf.DUMMYFUNCTION("""COMPUTED_VALUE"""),"962570N3")</f>
        <v>962570N3</v>
      </c>
      <c r="B1968" s="4" t="str">
        <f>IFERROR(__xludf.DUMMYFUNCTION("""COMPUTED_VALUE"""),"Señal MOPU informativa 25x70 cm Reflex III")</f>
        <v>Señal MOPU informativa 25x70 cm Reflex III</v>
      </c>
      <c r="C1968" s="4">
        <f>IFERROR(__xludf.DUMMYFUNCTION("""COMPUTED_VALUE"""),51.36)</f>
        <v>51.36</v>
      </c>
      <c r="D1968" s="4"/>
      <c r="E1968" s="4" t="str">
        <f>IFERROR(__xludf.DUMMYFUNCTION("""COMPUTED_VALUE"""),"Sin precio neto")</f>
        <v>Sin precio neto</v>
      </c>
    </row>
    <row r="1969">
      <c r="A1969" s="4" t="str">
        <f>IFERROR(__xludf.DUMMYFUNCTION("""COMPUTED_VALUE"""),"962570N3F")</f>
        <v>962570N3F</v>
      </c>
      <c r="B1969" s="4" t="str">
        <f>IFERROR(__xludf.DUMMYFUNCTION("""COMPUTED_VALUE"""),"Señal MOPU informativa 25x70 cm Nivel 3 Flechada")</f>
        <v>Señal MOPU informativa 25x70 cm Nivel 3 Flechada</v>
      </c>
      <c r="C1969" s="4">
        <f>IFERROR(__xludf.DUMMYFUNCTION("""COMPUTED_VALUE"""),51.839999999999996)</f>
        <v>51.84</v>
      </c>
      <c r="D1969" s="4"/>
      <c r="E1969" s="4" t="str">
        <f>IFERROR(__xludf.DUMMYFUNCTION("""COMPUTED_VALUE"""),"Sin precio neto")</f>
        <v>Sin precio neto</v>
      </c>
    </row>
    <row r="1970">
      <c r="A1970" s="4" t="str">
        <f>IFERROR(__xludf.DUMMYFUNCTION("""COMPUTED_VALUE"""),"962570NF")</f>
        <v>962570NF</v>
      </c>
      <c r="B1970" s="4" t="str">
        <f>IFERROR(__xludf.DUMMYFUNCTION("""COMPUTED_VALUE"""),"Señal MOPU informativa 25x70 cm Normal flechada")</f>
        <v>Señal MOPU informativa 25x70 cm Normal flechada</v>
      </c>
      <c r="C1970" s="4">
        <f>IFERROR(__xludf.DUMMYFUNCTION("""COMPUTED_VALUE"""),37.7568)</f>
        <v>37.7568</v>
      </c>
      <c r="D1970" s="4"/>
      <c r="E1970" s="4" t="str">
        <f>IFERROR(__xludf.DUMMYFUNCTION("""COMPUTED_VALUE"""),"Sin precio neto")</f>
        <v>Sin precio neto</v>
      </c>
    </row>
    <row r="1971">
      <c r="A1971" s="4" t="str">
        <f>IFERROR(__xludf.DUMMYFUNCTION("""COMPUTED_VALUE"""),"962595N")</f>
        <v>962595N</v>
      </c>
      <c r="B1971" s="4" t="str">
        <f>IFERROR(__xludf.DUMMYFUNCTION("""COMPUTED_VALUE"""),"Señal MOPU informativa 25x95 cm Normal")</f>
        <v>Señal MOPU informativa 25x95 cm Normal</v>
      </c>
      <c r="C1971" s="4">
        <f>IFERROR(__xludf.DUMMYFUNCTION("""COMPUTED_VALUE"""),38.7648)</f>
        <v>38.7648</v>
      </c>
      <c r="D1971" s="4"/>
      <c r="E1971" s="4" t="str">
        <f>IFERROR(__xludf.DUMMYFUNCTION("""COMPUTED_VALUE"""),"Sin precio neto")</f>
        <v>Sin precio neto</v>
      </c>
    </row>
    <row r="1972">
      <c r="A1972" s="4" t="str">
        <f>IFERROR(__xludf.DUMMYFUNCTION("""COMPUTED_VALUE"""),"962595N1")</f>
        <v>962595N1</v>
      </c>
      <c r="B1972" s="4" t="str">
        <f>IFERROR(__xludf.DUMMYFUNCTION("""COMPUTED_VALUE"""),"Señal MOPU informativa 25x95 cm Reflex I")</f>
        <v>Señal MOPU informativa 25x95 cm Reflex I</v>
      </c>
      <c r="C1972" s="4">
        <f>IFERROR(__xludf.DUMMYFUNCTION("""COMPUTED_VALUE"""),44.284800000000004)</f>
        <v>44.2848</v>
      </c>
      <c r="D1972" s="4"/>
      <c r="E1972" s="4" t="str">
        <f>IFERROR(__xludf.DUMMYFUNCTION("""COMPUTED_VALUE"""),"Sin precio neto")</f>
        <v>Sin precio neto</v>
      </c>
    </row>
    <row r="1973">
      <c r="A1973" s="4" t="str">
        <f>IFERROR(__xludf.DUMMYFUNCTION("""COMPUTED_VALUE"""),"962595N3")</f>
        <v>962595N3</v>
      </c>
      <c r="B1973" s="4" t="str">
        <f>IFERROR(__xludf.DUMMYFUNCTION("""COMPUTED_VALUE"""),"Señal MOPU informativa 25x95 cm Reflex III")</f>
        <v>Señal MOPU informativa 25x95 cm Reflex III</v>
      </c>
      <c r="C1973" s="4">
        <f>IFERROR(__xludf.DUMMYFUNCTION("""COMPUTED_VALUE"""),60.336)</f>
        <v>60.336</v>
      </c>
      <c r="D1973" s="4"/>
      <c r="E1973" s="4" t="str">
        <f>IFERROR(__xludf.DUMMYFUNCTION("""COMPUTED_VALUE"""),"Sin precio neto")</f>
        <v>Sin precio neto</v>
      </c>
    </row>
    <row r="1974">
      <c r="A1974" s="4" t="str">
        <f>IFERROR(__xludf.DUMMYFUNCTION("""COMPUTED_VALUE"""),"9630120N")</f>
        <v>9630120N</v>
      </c>
      <c r="B1974" s="4" t="str">
        <f>IFERROR(__xludf.DUMMYFUNCTION("""COMPUTED_VALUE"""),"Señal MOPU informativa 30x120 cm Normal")</f>
        <v>Señal MOPU informativa 30x120 cm Normal</v>
      </c>
      <c r="C1974" s="4">
        <f>IFERROR(__xludf.DUMMYFUNCTION("""COMPUTED_VALUE"""),51.36)</f>
        <v>51.36</v>
      </c>
      <c r="D1974" s="4"/>
      <c r="E1974" s="4" t="str">
        <f>IFERROR(__xludf.DUMMYFUNCTION("""COMPUTED_VALUE"""),"Sin precio neto")</f>
        <v>Sin precio neto</v>
      </c>
    </row>
    <row r="1975">
      <c r="A1975" s="4" t="str">
        <f>IFERROR(__xludf.DUMMYFUNCTION("""COMPUTED_VALUE"""),"9630120N1")</f>
        <v>9630120N1</v>
      </c>
      <c r="B1975" s="4" t="str">
        <f>IFERROR(__xludf.DUMMYFUNCTION("""COMPUTED_VALUE"""),"Señal MOPU informativa 30x120 cm Reflex I")</f>
        <v>Señal MOPU informativa 30x120 cm Reflex I</v>
      </c>
      <c r="C1975" s="4">
        <f>IFERROR(__xludf.DUMMYFUNCTION("""COMPUTED_VALUE"""),65.184)</f>
        <v>65.184</v>
      </c>
      <c r="D1975" s="4"/>
      <c r="E1975" s="4" t="str">
        <f>IFERROR(__xludf.DUMMYFUNCTION("""COMPUTED_VALUE"""),"Sin precio neto")</f>
        <v>Sin precio neto</v>
      </c>
    </row>
    <row r="1976">
      <c r="A1976" s="4" t="str">
        <f>IFERROR(__xludf.DUMMYFUNCTION("""COMPUTED_VALUE"""),"9630145N")</f>
        <v>9630145N</v>
      </c>
      <c r="B1976" s="4" t="str">
        <f>IFERROR(__xludf.DUMMYFUNCTION("""COMPUTED_VALUE"""),"Señal MOPU informativa 30x145 cm Normal")</f>
        <v>Señal MOPU informativa 30x145 cm Normal</v>
      </c>
      <c r="C1976" s="4">
        <f>IFERROR(__xludf.DUMMYFUNCTION("""COMPUTED_VALUE"""),81.648)</f>
        <v>81.648</v>
      </c>
      <c r="D1976" s="4"/>
      <c r="E1976" s="4" t="str">
        <f>IFERROR(__xludf.DUMMYFUNCTION("""COMPUTED_VALUE"""),"Sin precio neto")</f>
        <v>Sin precio neto</v>
      </c>
    </row>
    <row r="1977">
      <c r="A1977" s="4" t="str">
        <f>IFERROR(__xludf.DUMMYFUNCTION("""COMPUTED_VALUE"""),"9630145N1")</f>
        <v>9630145N1</v>
      </c>
      <c r="B1977" s="4" t="str">
        <f>IFERROR(__xludf.DUMMYFUNCTION("""COMPUTED_VALUE"""),"Señal MOPU informativa 30x145 cm Reflex I")</f>
        <v>Señal MOPU informativa 30x145 cm Reflex I</v>
      </c>
      <c r="C1977" s="4">
        <f>IFERROR(__xludf.DUMMYFUNCTION("""COMPUTED_VALUE"""),77.28)</f>
        <v>77.28</v>
      </c>
      <c r="D1977" s="4"/>
      <c r="E1977" s="4" t="str">
        <f>IFERROR(__xludf.DUMMYFUNCTION("""COMPUTED_VALUE"""),"Sin precio neto")</f>
        <v>Sin precio neto</v>
      </c>
    </row>
    <row r="1978">
      <c r="A1978" s="4" t="str">
        <f>IFERROR(__xludf.DUMMYFUNCTION("""COMPUTED_VALUE"""),"9630145N1F")</f>
        <v>9630145N1F</v>
      </c>
      <c r="B1978" s="4" t="str">
        <f>IFERROR(__xludf.DUMMYFUNCTION("""COMPUTED_VALUE"""),"Señal informativa 30x145 cm Nivel 1 Flechada")</f>
        <v>Señal informativa 30x145 cm Nivel 1 Flechada</v>
      </c>
      <c r="C1978" s="4">
        <f>IFERROR(__xludf.DUMMYFUNCTION("""COMPUTED_VALUE"""),81.072)</f>
        <v>81.072</v>
      </c>
      <c r="D1978" s="4"/>
      <c r="E1978" s="4" t="str">
        <f>IFERROR(__xludf.DUMMYFUNCTION("""COMPUTED_VALUE"""),"Sin precio neto")</f>
        <v>Sin precio neto</v>
      </c>
    </row>
    <row r="1979">
      <c r="A1979" s="4" t="str">
        <f>IFERROR(__xludf.DUMMYFUNCTION("""COMPUTED_VALUE"""),"9630145N2")</f>
        <v>9630145N2</v>
      </c>
      <c r="B1979" s="4" t="str">
        <f>IFERROR(__xludf.DUMMYFUNCTION("""COMPUTED_VALUE"""),"Señal MOPU informativa 30x145 cm Reflex II")</f>
        <v>Señal MOPU informativa 30x145 cm Reflex II</v>
      </c>
      <c r="C1979" s="4">
        <f>IFERROR(__xludf.DUMMYFUNCTION("""COMPUTED_VALUE"""),98.39999999999999)</f>
        <v>98.4</v>
      </c>
      <c r="D1979" s="4"/>
      <c r="E1979" s="4" t="str">
        <f>IFERROR(__xludf.DUMMYFUNCTION("""COMPUTED_VALUE"""),"Sin precio neto")</f>
        <v>Sin precio neto</v>
      </c>
    </row>
    <row r="1980">
      <c r="A1980" s="4" t="str">
        <f>IFERROR(__xludf.DUMMYFUNCTION("""COMPUTED_VALUE"""),"9630145N2F")</f>
        <v>9630145N2F</v>
      </c>
      <c r="B1980" s="4" t="str">
        <f>IFERROR(__xludf.DUMMYFUNCTION("""COMPUTED_VALUE"""),"Señal informativa 30x145 cm Nivel 2 Flechada")</f>
        <v>Señal informativa 30x145 cm Nivel 2 Flechada</v>
      </c>
      <c r="C1980" s="4">
        <f>IFERROR(__xludf.DUMMYFUNCTION("""COMPUTED_VALUE"""),98.23679999999999)</f>
        <v>98.2368</v>
      </c>
      <c r="D1980" s="4"/>
      <c r="E1980" s="4" t="str">
        <f>IFERROR(__xludf.DUMMYFUNCTION("""COMPUTED_VALUE"""),"Sin precio neto")</f>
        <v>Sin precio neto</v>
      </c>
    </row>
    <row r="1981">
      <c r="A1981" s="4" t="str">
        <f>IFERROR(__xludf.DUMMYFUNCTION("""COMPUTED_VALUE"""),"9630145N3")</f>
        <v>9630145N3</v>
      </c>
      <c r="B1981" s="4" t="str">
        <f>IFERROR(__xludf.DUMMYFUNCTION("""COMPUTED_VALUE"""),"Señal MOPu informativa 30x145 cm Reflex III")</f>
        <v>Señal MOPu informativa 30x145 cm Reflex III</v>
      </c>
      <c r="C1981" s="4">
        <f>IFERROR(__xludf.DUMMYFUNCTION("""COMPUTED_VALUE"""),101.75999999999999)</f>
        <v>101.76</v>
      </c>
      <c r="D1981" s="4"/>
      <c r="E1981" s="4" t="str">
        <f>IFERROR(__xludf.DUMMYFUNCTION("""COMPUTED_VALUE"""),"Sin precio neto")</f>
        <v>Sin precio neto</v>
      </c>
    </row>
    <row r="1982">
      <c r="A1982" s="4" t="str">
        <f>IFERROR(__xludf.DUMMYFUNCTION("""COMPUTED_VALUE"""),"9630145N3F")</f>
        <v>9630145N3F</v>
      </c>
      <c r="B1982" s="4" t="str">
        <f>IFERROR(__xludf.DUMMYFUNCTION("""COMPUTED_VALUE"""),"Señal informativa 30x145 cm Nivel 3 Flechada")</f>
        <v>Señal informativa 30x145 cm Nivel 3 Flechada</v>
      </c>
      <c r="C1982" s="4">
        <f>IFERROR(__xludf.DUMMYFUNCTION("""COMPUTED_VALUE"""),112.8)</f>
        <v>112.8</v>
      </c>
      <c r="D1982" s="4"/>
      <c r="E1982" s="4" t="str">
        <f>IFERROR(__xludf.DUMMYFUNCTION("""COMPUTED_VALUE"""),"Sin precio neto")</f>
        <v>Sin precio neto</v>
      </c>
    </row>
    <row r="1983">
      <c r="A1983" s="4" t="str">
        <f>IFERROR(__xludf.DUMMYFUNCTION("""COMPUTED_VALUE"""),"9630145NF")</f>
        <v>9630145NF</v>
      </c>
      <c r="B1983" s="4" t="str">
        <f>IFERROR(__xludf.DUMMYFUNCTION("""COMPUTED_VALUE"""),"Señal informativa 30x145 cm Normal Flechada")</f>
        <v>Señal informativa 30x145 cm Normal Flechada</v>
      </c>
      <c r="C1983" s="4">
        <f>IFERROR(__xludf.DUMMYFUNCTION("""COMPUTED_VALUE"""),66.384)</f>
        <v>66.384</v>
      </c>
      <c r="D1983" s="4"/>
      <c r="E1983" s="4" t="str">
        <f>IFERROR(__xludf.DUMMYFUNCTION("""COMPUTED_VALUE"""),"Sin precio neto")</f>
        <v>Sin precio neto</v>
      </c>
    </row>
    <row r="1984">
      <c r="A1984" s="4" t="str">
        <f>IFERROR(__xludf.DUMMYFUNCTION("""COMPUTED_VALUE"""),"963095N")</f>
        <v>963095N</v>
      </c>
      <c r="B1984" s="4" t="str">
        <f>IFERROR(__xludf.DUMMYFUNCTION("""COMPUTED_VALUE"""),"Señal MOPU informativa 30x95 cm Normal")</f>
        <v>Señal MOPU informativa 30x95 cm Normal</v>
      </c>
      <c r="C1984" s="4">
        <f>IFERROR(__xludf.DUMMYFUNCTION("""COMPUTED_VALUE"""),45.983999999999995)</f>
        <v>45.984</v>
      </c>
      <c r="D1984" s="4"/>
      <c r="E1984" s="4" t="str">
        <f>IFERROR(__xludf.DUMMYFUNCTION("""COMPUTED_VALUE"""),"Sin precio neto")</f>
        <v>Sin precio neto</v>
      </c>
    </row>
    <row r="1985">
      <c r="A1985" s="4" t="str">
        <f>IFERROR(__xludf.DUMMYFUNCTION("""COMPUTED_VALUE"""),"963095N1")</f>
        <v>963095N1</v>
      </c>
      <c r="B1985" s="4" t="str">
        <f>IFERROR(__xludf.DUMMYFUNCTION("""COMPUTED_VALUE"""),"Señal MOPU informativa 30x95 cm Reflex I")</f>
        <v>Señal MOPU informativa 30x95 cm Reflex I</v>
      </c>
      <c r="C1985" s="4">
        <f>IFERROR(__xludf.DUMMYFUNCTION("""COMPUTED_VALUE"""),50.784)</f>
        <v>50.784</v>
      </c>
      <c r="D1985" s="4"/>
      <c r="E1985" s="4" t="str">
        <f>IFERROR(__xludf.DUMMYFUNCTION("""COMPUTED_VALUE"""),"Sin precio neto")</f>
        <v>Sin precio neto</v>
      </c>
    </row>
    <row r="1986">
      <c r="A1986" s="4" t="str">
        <f>IFERROR(__xludf.DUMMYFUNCTION("""COMPUTED_VALUE"""),"963095N1F")</f>
        <v>963095N1F</v>
      </c>
      <c r="B1986" s="4" t="str">
        <f>IFERROR(__xludf.DUMMYFUNCTION("""COMPUTED_VALUE"""),"Señal MOPU informativa 30x95 Nivel 1 Flechada")</f>
        <v>Señal MOPU informativa 30x95 Nivel 1 Flechada</v>
      </c>
      <c r="C1986" s="4">
        <f>IFERROR(__xludf.DUMMYFUNCTION("""COMPUTED_VALUE"""),50.8032)</f>
        <v>50.8032</v>
      </c>
      <c r="D1986" s="4"/>
      <c r="E1986" s="4" t="str">
        <f>IFERROR(__xludf.DUMMYFUNCTION("""COMPUTED_VALUE"""),"Sin precio neto")</f>
        <v>Sin precio neto</v>
      </c>
    </row>
    <row r="1987">
      <c r="A1987" s="4" t="str">
        <f>IFERROR(__xludf.DUMMYFUNCTION("""COMPUTED_VALUE"""),"963095N2")</f>
        <v>963095N2</v>
      </c>
      <c r="B1987" s="4" t="str">
        <f>IFERROR(__xludf.DUMMYFUNCTION("""COMPUTED_VALUE"""),"Señal MOPU informativa 30x95 cm Reflex II")</f>
        <v>Señal MOPU informativa 30x95 cm Reflex II</v>
      </c>
      <c r="C1987" s="4">
        <f>IFERROR(__xludf.DUMMYFUNCTION("""COMPUTED_VALUE"""),56.952)</f>
        <v>56.952</v>
      </c>
      <c r="D1987" s="4"/>
      <c r="E1987" s="4" t="str">
        <f>IFERROR(__xludf.DUMMYFUNCTION("""COMPUTED_VALUE"""),"Sin precio neto")</f>
        <v>Sin precio neto</v>
      </c>
    </row>
    <row r="1988">
      <c r="A1988" s="4" t="str">
        <f>IFERROR(__xludf.DUMMYFUNCTION("""COMPUTED_VALUE"""),"963095N2F")</f>
        <v>963095N2F</v>
      </c>
      <c r="B1988" s="4" t="str">
        <f>IFERROR(__xludf.DUMMYFUNCTION("""COMPUTED_VALUE"""),"Señal MOPU informativa 30x95 Nivel 2 Flechada")</f>
        <v>Señal MOPU informativa 30x95 Nivel 2 Flechada</v>
      </c>
      <c r="C1988" s="4">
        <f>IFERROR(__xludf.DUMMYFUNCTION("""COMPUTED_VALUE"""),58.876799999999996)</f>
        <v>58.8768</v>
      </c>
      <c r="D1988" s="4"/>
      <c r="E1988" s="4" t="str">
        <f>IFERROR(__xludf.DUMMYFUNCTION("""COMPUTED_VALUE"""),"Sin precio neto")</f>
        <v>Sin precio neto</v>
      </c>
    </row>
    <row r="1989">
      <c r="A1989" s="4" t="str">
        <f>IFERROR(__xludf.DUMMYFUNCTION("""COMPUTED_VALUE"""),"963095N3")</f>
        <v>963095N3</v>
      </c>
      <c r="B1989" s="4" t="str">
        <f>IFERROR(__xludf.DUMMYFUNCTION("""COMPUTED_VALUE"""),"Señal MOPU informativa 30x95 cm Reflex III")</f>
        <v>Señal MOPU informativa 30x95 cm Reflex III</v>
      </c>
      <c r="C1989" s="4">
        <f>IFERROR(__xludf.DUMMYFUNCTION("""COMPUTED_VALUE"""),61.44)</f>
        <v>61.44</v>
      </c>
      <c r="D1989" s="4"/>
      <c r="E1989" s="4" t="str">
        <f>IFERROR(__xludf.DUMMYFUNCTION("""COMPUTED_VALUE"""),"Sin precio neto")</f>
        <v>Sin precio neto</v>
      </c>
    </row>
    <row r="1990">
      <c r="A1990" s="4" t="str">
        <f>IFERROR(__xludf.DUMMYFUNCTION("""COMPUTED_VALUE"""),"963095N3F")</f>
        <v>963095N3F</v>
      </c>
      <c r="B1990" s="4" t="str">
        <f>IFERROR(__xludf.DUMMYFUNCTION("""COMPUTED_VALUE"""),"Señal MOPU informativa 30x95 Nivel 3 Flechada")</f>
        <v>Señal MOPU informativa 30x95 Nivel 3 Flechada</v>
      </c>
      <c r="C1990" s="4">
        <f>IFERROR(__xludf.DUMMYFUNCTION("""COMPUTED_VALUE"""),64.464)</f>
        <v>64.464</v>
      </c>
      <c r="D1990" s="4"/>
      <c r="E1990" s="4" t="str">
        <f>IFERROR(__xludf.DUMMYFUNCTION("""COMPUTED_VALUE"""),"Sin precio neto")</f>
        <v>Sin precio neto</v>
      </c>
    </row>
    <row r="1991">
      <c r="A1991" s="4" t="str">
        <f>IFERROR(__xludf.DUMMYFUNCTION("""COMPUTED_VALUE"""),"963095NF")</f>
        <v>963095NF</v>
      </c>
      <c r="B1991" s="4" t="str">
        <f>IFERROR(__xludf.DUMMYFUNCTION("""COMPUTED_VALUE"""),"Señal MOPU informativa 30x95 Normal Flechada")</f>
        <v>Señal MOPU informativa 30x95 Normal Flechada</v>
      </c>
      <c r="C1991" s="4">
        <f>IFERROR(__xludf.DUMMYFUNCTION("""COMPUTED_VALUE"""),45.263999999999996)</f>
        <v>45.264</v>
      </c>
      <c r="D1991" s="4"/>
      <c r="E1991" s="4" t="str">
        <f>IFERROR(__xludf.DUMMYFUNCTION("""COMPUTED_VALUE"""),"Sin precio neto")</f>
        <v>Sin precio neto</v>
      </c>
    </row>
    <row r="1992">
      <c r="A1992" s="4" t="str">
        <f>IFERROR(__xludf.DUMMYFUNCTION("""COMPUTED_VALUE"""),"9640120N")</f>
        <v>9640120N</v>
      </c>
      <c r="B1992" s="4" t="str">
        <f>IFERROR(__xludf.DUMMYFUNCTION("""COMPUTED_VALUE"""),"Señal MOPU informativa 40x120 cm Normal")</f>
        <v>Señal MOPU informativa 40x120 cm Normal</v>
      </c>
      <c r="C1992" s="4">
        <f>IFERROR(__xludf.DUMMYFUNCTION("""COMPUTED_VALUE"""),76.032)</f>
        <v>76.032</v>
      </c>
      <c r="D1992" s="4"/>
      <c r="E1992" s="4" t="str">
        <f>IFERROR(__xludf.DUMMYFUNCTION("""COMPUTED_VALUE"""),"Sin precio neto")</f>
        <v>Sin precio neto</v>
      </c>
    </row>
    <row r="1993">
      <c r="A1993" s="4" t="str">
        <f>IFERROR(__xludf.DUMMYFUNCTION("""COMPUTED_VALUE"""),"9640120N1")</f>
        <v>9640120N1</v>
      </c>
      <c r="B1993" s="4" t="str">
        <f>IFERROR(__xludf.DUMMYFUNCTION("""COMPUTED_VALUE"""),"Señal MOPU informativa 40x120 cm Reflex I")</f>
        <v>Señal MOPU informativa 40x120 cm Reflex I</v>
      </c>
      <c r="C1993" s="4">
        <f>IFERROR(__xludf.DUMMYFUNCTION("""COMPUTED_VALUE"""),70.08)</f>
        <v>70.08</v>
      </c>
      <c r="D1993" s="4"/>
      <c r="E1993" s="4" t="str">
        <f>IFERROR(__xludf.DUMMYFUNCTION("""COMPUTED_VALUE"""),"Sin precio neto")</f>
        <v>Sin precio neto</v>
      </c>
    </row>
    <row r="1994">
      <c r="A1994" s="4" t="str">
        <f>IFERROR(__xludf.DUMMYFUNCTION("""COMPUTED_VALUE"""),"9640120N1F")</f>
        <v>9640120N1F</v>
      </c>
      <c r="B1994" s="4" t="str">
        <f>IFERROR(__xludf.DUMMYFUNCTION("""COMPUTED_VALUE"""),"Señal MOPU informativa 40x120 cm Nivel 1 flechada")</f>
        <v>Señal MOPU informativa 40x120 cm Nivel 1 flechada</v>
      </c>
      <c r="C1994" s="4">
        <f>IFERROR(__xludf.DUMMYFUNCTION("""COMPUTED_VALUE"""),75.552)</f>
        <v>75.552</v>
      </c>
      <c r="D1994" s="4"/>
      <c r="E1994" s="4" t="str">
        <f>IFERROR(__xludf.DUMMYFUNCTION("""COMPUTED_VALUE"""),"Sin precio neto")</f>
        <v>Sin precio neto</v>
      </c>
    </row>
    <row r="1995">
      <c r="A1995" s="4" t="str">
        <f>IFERROR(__xludf.DUMMYFUNCTION("""COMPUTED_VALUE"""),"9640120N2")</f>
        <v>9640120N2</v>
      </c>
      <c r="B1995" s="4" t="str">
        <f>IFERROR(__xludf.DUMMYFUNCTION("""COMPUTED_VALUE"""),"Señal MOPU informativa 40x120 cm Reflex II")</f>
        <v>Señal MOPU informativa 40x120 cm Reflex II</v>
      </c>
      <c r="C1995" s="4">
        <f>IFERROR(__xludf.DUMMYFUNCTION("""COMPUTED_VALUE"""),84.0)</f>
        <v>84</v>
      </c>
      <c r="D1995" s="4"/>
      <c r="E1995" s="4" t="str">
        <f>IFERROR(__xludf.DUMMYFUNCTION("""COMPUTED_VALUE"""),"Sin precio neto")</f>
        <v>Sin precio neto</v>
      </c>
    </row>
    <row r="1996">
      <c r="A1996" s="4" t="str">
        <f>IFERROR(__xludf.DUMMYFUNCTION("""COMPUTED_VALUE"""),"9640120N2F")</f>
        <v>9640120N2F</v>
      </c>
      <c r="B1996" s="4" t="str">
        <f>IFERROR(__xludf.DUMMYFUNCTION("""COMPUTED_VALUE"""),"Señal MOPU informativa 40x120 cm Nivel 2 flechada")</f>
        <v>Señal MOPU informativa 40x120 cm Nivel 2 flechada</v>
      </c>
      <c r="C1996" s="4">
        <f>IFERROR(__xludf.DUMMYFUNCTION("""COMPUTED_VALUE"""),87.6288)</f>
        <v>87.6288</v>
      </c>
      <c r="D1996" s="4"/>
      <c r="E1996" s="4" t="str">
        <f>IFERROR(__xludf.DUMMYFUNCTION("""COMPUTED_VALUE"""),"Sin precio neto")</f>
        <v>Sin precio neto</v>
      </c>
    </row>
    <row r="1997">
      <c r="A1997" s="4" t="str">
        <f>IFERROR(__xludf.DUMMYFUNCTION("""COMPUTED_VALUE"""),"9640120N3")</f>
        <v>9640120N3</v>
      </c>
      <c r="B1997" s="4" t="str">
        <f>IFERROR(__xludf.DUMMYFUNCTION("""COMPUTED_VALUE"""),"Señal MOPU inforrmativa 40x120 cm Reflex III")</f>
        <v>Señal MOPU inforrmativa 40x120 cm Reflex III</v>
      </c>
      <c r="C1997" s="4">
        <f>IFERROR(__xludf.DUMMYFUNCTION("""COMPUTED_VALUE"""),116.16)</f>
        <v>116.16</v>
      </c>
      <c r="D1997" s="4"/>
      <c r="E1997" s="4" t="str">
        <f>IFERROR(__xludf.DUMMYFUNCTION("""COMPUTED_VALUE"""),"Sin precio neto")</f>
        <v>Sin precio neto</v>
      </c>
    </row>
    <row r="1998">
      <c r="A1998" s="4" t="str">
        <f>IFERROR(__xludf.DUMMYFUNCTION("""COMPUTED_VALUE"""),"9640120N3F")</f>
        <v>9640120N3F</v>
      </c>
      <c r="B1998" s="4" t="str">
        <f>IFERROR(__xludf.DUMMYFUNCTION("""COMPUTED_VALUE"""),"Señal MOPU informativa 40x120 cm Nivel 3 flechada")</f>
        <v>Señal MOPU informativa 40x120 cm Nivel 3 flechada</v>
      </c>
      <c r="C1998" s="4">
        <f>IFERROR(__xludf.DUMMYFUNCTION("""COMPUTED_VALUE"""),128.928)</f>
        <v>128.928</v>
      </c>
      <c r="D1998" s="4"/>
      <c r="E1998" s="4" t="str">
        <f>IFERROR(__xludf.DUMMYFUNCTION("""COMPUTED_VALUE"""),"Sin precio neto")</f>
        <v>Sin precio neto</v>
      </c>
    </row>
    <row r="1999">
      <c r="A1999" s="4" t="str">
        <f>IFERROR(__xludf.DUMMYFUNCTION("""COMPUTED_VALUE"""),"9640120NF")</f>
        <v>9640120NF</v>
      </c>
      <c r="B1999" s="4" t="str">
        <f>IFERROR(__xludf.DUMMYFUNCTION("""COMPUTED_VALUE"""),"Señal MOPU informativa 40x120 cm Normal Flechada")</f>
        <v>Señal MOPU informativa 40x120 cm Normal Flechada</v>
      </c>
      <c r="C1999" s="4">
        <f>IFERROR(__xludf.DUMMYFUNCTION("""COMPUTED_VALUE"""),66.432)</f>
        <v>66.432</v>
      </c>
      <c r="D1999" s="4"/>
      <c r="E1999" s="4" t="str">
        <f>IFERROR(__xludf.DUMMYFUNCTION("""COMPUTED_VALUE"""),"Sin precio neto")</f>
        <v>Sin precio neto</v>
      </c>
    </row>
    <row r="2000">
      <c r="A2000" s="4" t="str">
        <f>IFERROR(__xludf.DUMMYFUNCTION("""COMPUTED_VALUE"""),"9640170N1")</f>
        <v>9640170N1</v>
      </c>
      <c r="B2000" s="4" t="str">
        <f>IFERROR(__xludf.DUMMYFUNCTION("""COMPUTED_VALUE"""),"Señal MOPU complementaria 40x170 Nivel 1")</f>
        <v>Señal MOPU complementaria 40x170 Nivel 1</v>
      </c>
      <c r="C2000" s="4">
        <f>IFERROR(__xludf.DUMMYFUNCTION("""COMPUTED_VALUE"""),103.2)</f>
        <v>103.2</v>
      </c>
      <c r="D2000" s="4"/>
      <c r="E2000" s="4" t="str">
        <f>IFERROR(__xludf.DUMMYFUNCTION("""COMPUTED_VALUE"""),"Sin precio neto")</f>
        <v>Sin precio neto</v>
      </c>
    </row>
    <row r="2001">
      <c r="A2001" s="4" t="str">
        <f>IFERROR(__xludf.DUMMYFUNCTION("""COMPUTED_VALUE"""),"9640195N")</f>
        <v>9640195N</v>
      </c>
      <c r="B2001" s="4" t="str">
        <f>IFERROR(__xludf.DUMMYFUNCTION("""COMPUTED_VALUE"""),"Señal MOPU informativa 40x195 cm Normal")</f>
        <v>Señal MOPU informativa 40x195 cm Normal</v>
      </c>
      <c r="C2001" s="4">
        <f>IFERROR(__xludf.DUMMYFUNCTION("""COMPUTED_VALUE"""),109.632)</f>
        <v>109.632</v>
      </c>
      <c r="D2001" s="4"/>
      <c r="E2001" s="4" t="str">
        <f>IFERROR(__xludf.DUMMYFUNCTION("""COMPUTED_VALUE"""),"Sin precio neto")</f>
        <v>Sin precio neto</v>
      </c>
    </row>
    <row r="2002">
      <c r="A2002" s="4" t="str">
        <f>IFERROR(__xludf.DUMMYFUNCTION("""COMPUTED_VALUE"""),"9640195N1")</f>
        <v>9640195N1</v>
      </c>
      <c r="B2002" s="4" t="str">
        <f>IFERROR(__xludf.DUMMYFUNCTION("""COMPUTED_VALUE"""),"Señal MOPU informativa 40x195 cm Nivel 1")</f>
        <v>Señal MOPU informativa 40x195 cm Nivel 1</v>
      </c>
      <c r="C2002" s="4">
        <f>IFERROR(__xludf.DUMMYFUNCTION("""COMPUTED_VALUE"""),117.984)</f>
        <v>117.984</v>
      </c>
      <c r="D2002" s="4"/>
      <c r="E2002" s="4" t="str">
        <f>IFERROR(__xludf.DUMMYFUNCTION("""COMPUTED_VALUE"""),"Sin precio neto")</f>
        <v>Sin precio neto</v>
      </c>
    </row>
    <row r="2003">
      <c r="A2003" s="4" t="str">
        <f>IFERROR(__xludf.DUMMYFUNCTION("""COMPUTED_VALUE"""),"9640195N1F")</f>
        <v>9640195N1F</v>
      </c>
      <c r="B2003" s="4" t="str">
        <f>IFERROR(__xludf.DUMMYFUNCTION("""COMPUTED_VALUE"""),"Señal MOPU informativa 40x195 cm Nivel 1 Flechada")</f>
        <v>Señal MOPU informativa 40x195 cm Nivel 1 Flechada</v>
      </c>
      <c r="C2003" s="4">
        <f>IFERROR(__xludf.DUMMYFUNCTION("""COMPUTED_VALUE"""),117.984)</f>
        <v>117.984</v>
      </c>
      <c r="D2003" s="4"/>
      <c r="E2003" s="4" t="str">
        <f>IFERROR(__xludf.DUMMYFUNCTION("""COMPUTED_VALUE"""),"Sin precio neto")</f>
        <v>Sin precio neto</v>
      </c>
    </row>
    <row r="2004">
      <c r="A2004" s="4" t="str">
        <f>IFERROR(__xludf.DUMMYFUNCTION("""COMPUTED_VALUE"""),"9640195N2")</f>
        <v>9640195N2</v>
      </c>
      <c r="B2004" s="4" t="str">
        <f>IFERROR(__xludf.DUMMYFUNCTION("""COMPUTED_VALUE"""),"Señal MOPU informativa 40x195 cm Nivel 2")</f>
        <v>Señal MOPU informativa 40x195 cm Nivel 2</v>
      </c>
      <c r="C2004" s="4">
        <f>IFERROR(__xludf.DUMMYFUNCTION("""COMPUTED_VALUE"""),143.28)</f>
        <v>143.28</v>
      </c>
      <c r="D2004" s="4"/>
      <c r="E2004" s="4" t="str">
        <f>IFERROR(__xludf.DUMMYFUNCTION("""COMPUTED_VALUE"""),"Sin precio neto")</f>
        <v>Sin precio neto</v>
      </c>
    </row>
    <row r="2005">
      <c r="A2005" s="4" t="str">
        <f>IFERROR(__xludf.DUMMYFUNCTION("""COMPUTED_VALUE"""),"9640195N2F")</f>
        <v>9640195N2F</v>
      </c>
      <c r="B2005" s="4" t="str">
        <f>IFERROR(__xludf.DUMMYFUNCTION("""COMPUTED_VALUE"""),"Señal MOPU informativa 40x195 cm Nivel 2 flechada")</f>
        <v>Señal MOPU informativa 40x195 cm Nivel 2 flechada</v>
      </c>
      <c r="C2005" s="4">
        <f>IFERROR(__xludf.DUMMYFUNCTION("""COMPUTED_VALUE"""),143.28)</f>
        <v>143.28</v>
      </c>
      <c r="D2005" s="4"/>
      <c r="E2005" s="4" t="str">
        <f>IFERROR(__xludf.DUMMYFUNCTION("""COMPUTED_VALUE"""),"Sin precio neto")</f>
        <v>Sin precio neto</v>
      </c>
    </row>
    <row r="2006">
      <c r="A2006" s="4" t="str">
        <f>IFERROR(__xludf.DUMMYFUNCTION("""COMPUTED_VALUE"""),"9640195N3")</f>
        <v>9640195N3</v>
      </c>
      <c r="B2006" s="4" t="str">
        <f>IFERROR(__xludf.DUMMYFUNCTION("""COMPUTED_VALUE"""),"Señal MOPU informativa 40x195 cm Nivel 3")</f>
        <v>Señal MOPU informativa 40x195 cm Nivel 3</v>
      </c>
      <c r="C2006" s="4">
        <f>IFERROR(__xludf.DUMMYFUNCTION("""COMPUTED_VALUE"""),150.96)</f>
        <v>150.96</v>
      </c>
      <c r="D2006" s="4"/>
      <c r="E2006" s="4" t="str">
        <f>IFERROR(__xludf.DUMMYFUNCTION("""COMPUTED_VALUE"""),"Sin precio neto")</f>
        <v>Sin precio neto</v>
      </c>
    </row>
    <row r="2007">
      <c r="A2007" s="4" t="str">
        <f>IFERROR(__xludf.DUMMYFUNCTION("""COMPUTED_VALUE"""),"9640195N3F")</f>
        <v>9640195N3F</v>
      </c>
      <c r="B2007" s="4" t="str">
        <f>IFERROR(__xludf.DUMMYFUNCTION("""COMPUTED_VALUE"""),"Señal MOPU informativa 40x195 cm Nivel 3 Flechada")</f>
        <v>Señal MOPU informativa 40x195 cm Nivel 3 Flechada</v>
      </c>
      <c r="C2007" s="4">
        <f>IFERROR(__xludf.DUMMYFUNCTION("""COMPUTED_VALUE"""),150.96)</f>
        <v>150.96</v>
      </c>
      <c r="D2007" s="4"/>
      <c r="E2007" s="4" t="str">
        <f>IFERROR(__xludf.DUMMYFUNCTION("""COMPUTED_VALUE"""),"Sin precio neto")</f>
        <v>Sin precio neto</v>
      </c>
    </row>
    <row r="2008">
      <c r="A2008" s="4" t="str">
        <f>IFERROR(__xludf.DUMMYFUNCTION("""COMPUTED_VALUE"""),"9640195NF")</f>
        <v>9640195NF</v>
      </c>
      <c r="B2008" s="4" t="str">
        <f>IFERROR(__xludf.DUMMYFUNCTION("""COMPUTED_VALUE"""),"Señal MOPU informativa 40x195 cm Normal Flechada")</f>
        <v>Señal MOPU informativa 40x195 cm Normal Flechada</v>
      </c>
      <c r="C2008" s="4">
        <f>IFERROR(__xludf.DUMMYFUNCTION("""COMPUTED_VALUE"""),109.632)</f>
        <v>109.632</v>
      </c>
      <c r="D2008" s="4"/>
      <c r="E2008" s="4" t="str">
        <f>IFERROR(__xludf.DUMMYFUNCTION("""COMPUTED_VALUE"""),"Sin precio neto")</f>
        <v>Sin precio neto</v>
      </c>
    </row>
    <row r="2009">
      <c r="A2009" s="4" t="str">
        <f>IFERROR(__xludf.DUMMYFUNCTION("""COMPUTED_VALUE"""),"964595N")</f>
        <v>964595N</v>
      </c>
      <c r="B2009" s="4" t="str">
        <f>IFERROR(__xludf.DUMMYFUNCTION("""COMPUTED_VALUE"""),"Señal MOPU informativa 45x95 cm Normal")</f>
        <v>Señal MOPU informativa 45x95 cm Normal</v>
      </c>
      <c r="C2009" s="4">
        <f>IFERROR(__xludf.DUMMYFUNCTION("""COMPUTED_VALUE"""),62.61599999999999)</f>
        <v>62.616</v>
      </c>
      <c r="D2009" s="4"/>
      <c r="E2009" s="4" t="str">
        <f>IFERROR(__xludf.DUMMYFUNCTION("""COMPUTED_VALUE"""),"Sin precio neto")</f>
        <v>Sin precio neto</v>
      </c>
    </row>
    <row r="2010">
      <c r="A2010" s="4" t="str">
        <f>IFERROR(__xludf.DUMMYFUNCTION("""COMPUTED_VALUE"""),"964595N1")</f>
        <v>964595N1</v>
      </c>
      <c r="B2010" s="4" t="str">
        <f>IFERROR(__xludf.DUMMYFUNCTION("""COMPUTED_VALUE"""),"Señal MOPU informativa 45x95 cm Nivel 1")</f>
        <v>Señal MOPU informativa 45x95 cm Nivel 1</v>
      </c>
      <c r="C2010" s="4">
        <f>IFERROR(__xludf.DUMMYFUNCTION("""COMPUTED_VALUE"""),71.28)</f>
        <v>71.28</v>
      </c>
      <c r="D2010" s="4"/>
      <c r="E2010" s="4" t="str">
        <f>IFERROR(__xludf.DUMMYFUNCTION("""COMPUTED_VALUE"""),"Sin precio neto")</f>
        <v>Sin precio neto</v>
      </c>
    </row>
    <row r="2011">
      <c r="A2011" s="4" t="str">
        <f>IFERROR(__xludf.DUMMYFUNCTION("""COMPUTED_VALUE"""),"964595N1F")</f>
        <v>964595N1F</v>
      </c>
      <c r="B2011" s="4" t="str">
        <f>IFERROR(__xludf.DUMMYFUNCTION("""COMPUTED_VALUE"""),"Señal MOPU informativa 45x95 cm Nivel 1 Flechada")</f>
        <v>Señal MOPU informativa 45x95 cm Nivel 1 Flechada</v>
      </c>
      <c r="C2011" s="4">
        <f>IFERROR(__xludf.DUMMYFUNCTION("""COMPUTED_VALUE"""),71.28)</f>
        <v>71.28</v>
      </c>
      <c r="D2011" s="4"/>
      <c r="E2011" s="4" t="str">
        <f>IFERROR(__xludf.DUMMYFUNCTION("""COMPUTED_VALUE"""),"Sin precio neto")</f>
        <v>Sin precio neto</v>
      </c>
    </row>
    <row r="2012">
      <c r="A2012" s="4" t="str">
        <f>IFERROR(__xludf.DUMMYFUNCTION("""COMPUTED_VALUE"""),"964595N2")</f>
        <v>964595N2</v>
      </c>
      <c r="B2012" s="4" t="str">
        <f>IFERROR(__xludf.DUMMYFUNCTION("""COMPUTED_VALUE"""),"Señal MOPU informativa 45x95 cm Nivel 2")</f>
        <v>Señal MOPU informativa 45x95 cm Nivel 2</v>
      </c>
      <c r="C2012" s="4">
        <f>IFERROR(__xludf.DUMMYFUNCTION("""COMPUTED_VALUE"""),80.88)</f>
        <v>80.88</v>
      </c>
      <c r="D2012" s="4"/>
      <c r="E2012" s="4" t="str">
        <f>IFERROR(__xludf.DUMMYFUNCTION("""COMPUTED_VALUE"""),"Sin precio neto")</f>
        <v>Sin precio neto</v>
      </c>
    </row>
    <row r="2013">
      <c r="A2013" s="4" t="str">
        <f>IFERROR(__xludf.DUMMYFUNCTION("""COMPUTED_VALUE"""),"964595N2F")</f>
        <v>964595N2F</v>
      </c>
      <c r="B2013" s="4" t="str">
        <f>IFERROR(__xludf.DUMMYFUNCTION("""COMPUTED_VALUE"""),"Señal MOPU informativa 45x95 cm Nivel 2 Flechada")</f>
        <v>Señal MOPU informativa 45x95 cm Nivel 2 Flechada</v>
      </c>
      <c r="C2013" s="4">
        <f>IFERROR(__xludf.DUMMYFUNCTION("""COMPUTED_VALUE"""),80.88)</f>
        <v>80.88</v>
      </c>
      <c r="D2013" s="4"/>
      <c r="E2013" s="4" t="str">
        <f>IFERROR(__xludf.DUMMYFUNCTION("""COMPUTED_VALUE"""),"Sin precio neto")</f>
        <v>Sin precio neto</v>
      </c>
    </row>
    <row r="2014">
      <c r="A2014" s="4" t="str">
        <f>IFERROR(__xludf.DUMMYFUNCTION("""COMPUTED_VALUE"""),"964595N3")</f>
        <v>964595N3</v>
      </c>
      <c r="B2014" s="4" t="str">
        <f>IFERROR(__xludf.DUMMYFUNCTION("""COMPUTED_VALUE"""),"Señal MOPU informativa 45x95 cm Nivel 3")</f>
        <v>Señal MOPU informativa 45x95 cm Nivel 3</v>
      </c>
      <c r="C2014" s="4">
        <f>IFERROR(__xludf.DUMMYFUNCTION("""COMPUTED_VALUE"""),95.28)</f>
        <v>95.28</v>
      </c>
      <c r="D2014" s="4"/>
      <c r="E2014" s="4" t="str">
        <f>IFERROR(__xludf.DUMMYFUNCTION("""COMPUTED_VALUE"""),"Sin precio neto")</f>
        <v>Sin precio neto</v>
      </c>
    </row>
    <row r="2015">
      <c r="A2015" s="4" t="str">
        <f>IFERROR(__xludf.DUMMYFUNCTION("""COMPUTED_VALUE"""),"964595N3F")</f>
        <v>964595N3F</v>
      </c>
      <c r="B2015" s="4" t="str">
        <f>IFERROR(__xludf.DUMMYFUNCTION("""COMPUTED_VALUE"""),"Señal MOPU informativa 45x95 cm Nivel 2 Flechada")</f>
        <v>Señal MOPU informativa 45x95 cm Nivel 2 Flechada</v>
      </c>
      <c r="C2015" s="4">
        <f>IFERROR(__xludf.DUMMYFUNCTION("""COMPUTED_VALUE"""),95.28)</f>
        <v>95.28</v>
      </c>
      <c r="D2015" s="4"/>
      <c r="E2015" s="4" t="str">
        <f>IFERROR(__xludf.DUMMYFUNCTION("""COMPUTED_VALUE"""),"Sin precio neto")</f>
        <v>Sin precio neto</v>
      </c>
    </row>
    <row r="2016">
      <c r="A2016" s="4" t="str">
        <f>IFERROR(__xludf.DUMMYFUNCTION("""COMPUTED_VALUE"""),"964595NF")</f>
        <v>964595NF</v>
      </c>
      <c r="B2016" s="4" t="str">
        <f>IFERROR(__xludf.DUMMYFUNCTION("""COMPUTED_VALUE"""),"Señal MOPU informativa 45x95 cm Normal Flechada")</f>
        <v>Señal MOPU informativa 45x95 cm Normal Flechada</v>
      </c>
      <c r="C2016" s="4">
        <f>IFERROR(__xludf.DUMMYFUNCTION("""COMPUTED_VALUE"""),62.61599999999999)</f>
        <v>62.616</v>
      </c>
      <c r="D2016" s="4"/>
      <c r="E2016" s="4" t="str">
        <f>IFERROR(__xludf.DUMMYFUNCTION("""COMPUTED_VALUE"""),"Sin precio neto")</f>
        <v>Sin precio neto</v>
      </c>
    </row>
    <row r="2017">
      <c r="A2017" s="4" t="str">
        <f>IFERROR(__xludf.DUMMYFUNCTION("""COMPUTED_VALUE"""),"9655120N")</f>
        <v>9655120N</v>
      </c>
      <c r="B2017" s="4" t="str">
        <f>IFERROR(__xludf.DUMMYFUNCTION("""COMPUTED_VALUE"""),"Señal MOPU informativa 55x120 cm Normal")</f>
        <v>Señal MOPU informativa 55x120 cm Normal</v>
      </c>
      <c r="C2017" s="4">
        <f>IFERROR(__xludf.DUMMYFUNCTION("""COMPUTED_VALUE"""),68.16)</f>
        <v>68.16</v>
      </c>
      <c r="D2017" s="4"/>
      <c r="E2017" s="4" t="str">
        <f>IFERROR(__xludf.DUMMYFUNCTION("""COMPUTED_VALUE"""),"Sin precio neto")</f>
        <v>Sin precio neto</v>
      </c>
    </row>
    <row r="2018">
      <c r="A2018" s="4" t="str">
        <f>IFERROR(__xludf.DUMMYFUNCTION("""COMPUTED_VALUE"""),"9655120N1")</f>
        <v>9655120N1</v>
      </c>
      <c r="B2018" s="4" t="str">
        <f>IFERROR(__xludf.DUMMYFUNCTION("""COMPUTED_VALUE"""),"Señal MOPU informativa 55x120 cm Reflex I")</f>
        <v>Señal MOPU informativa 55x120 cm Reflex I</v>
      </c>
      <c r="C2018" s="4">
        <f>IFERROR(__xludf.DUMMYFUNCTION("""COMPUTED_VALUE"""),80.64)</f>
        <v>80.64</v>
      </c>
      <c r="D2018" s="4"/>
      <c r="E2018" s="4" t="str">
        <f>IFERROR(__xludf.DUMMYFUNCTION("""COMPUTED_VALUE"""),"Sin precio neto")</f>
        <v>Sin precio neto</v>
      </c>
    </row>
    <row r="2019">
      <c r="A2019" s="4" t="str">
        <f>IFERROR(__xludf.DUMMYFUNCTION("""COMPUTED_VALUE"""),"9655120N1F")</f>
        <v>9655120N1F</v>
      </c>
      <c r="B2019" s="4" t="str">
        <f>IFERROR(__xludf.DUMMYFUNCTION("""COMPUTED_VALUE"""),"Señal MOPU informativa 55x120 cm Nivel 1 Flechada")</f>
        <v>Señal MOPU informativa 55x120 cm Nivel 1 Flechada</v>
      </c>
      <c r="C2019" s="4">
        <f>IFERROR(__xludf.DUMMYFUNCTION("""COMPUTED_VALUE"""),88.2)</f>
        <v>88.2</v>
      </c>
      <c r="D2019" s="4"/>
      <c r="E2019" s="4" t="str">
        <f>IFERROR(__xludf.DUMMYFUNCTION("""COMPUTED_VALUE"""),"Sin precio neto")</f>
        <v>Sin precio neto</v>
      </c>
    </row>
    <row r="2020">
      <c r="A2020" s="4" t="str">
        <f>IFERROR(__xludf.DUMMYFUNCTION("""COMPUTED_VALUE"""),"9655120N2")</f>
        <v>9655120N2</v>
      </c>
      <c r="B2020" s="4" t="str">
        <f>IFERROR(__xludf.DUMMYFUNCTION("""COMPUTED_VALUE"""),"Señal MOPU informativa 55x120 cm Reflex II")</f>
        <v>Señal MOPU informativa 55x120 cm Reflex II</v>
      </c>
      <c r="C2020" s="4">
        <f>IFERROR(__xludf.DUMMYFUNCTION("""COMPUTED_VALUE"""),107.52)</f>
        <v>107.52</v>
      </c>
      <c r="D2020" s="4"/>
      <c r="E2020" s="4" t="str">
        <f>IFERROR(__xludf.DUMMYFUNCTION("""COMPUTED_VALUE"""),"Sin precio neto")</f>
        <v>Sin precio neto</v>
      </c>
    </row>
    <row r="2021">
      <c r="A2021" s="4" t="str">
        <f>IFERROR(__xludf.DUMMYFUNCTION("""COMPUTED_VALUE"""),"9655120N2F")</f>
        <v>9655120N2F</v>
      </c>
      <c r="B2021" s="4" t="str">
        <f>IFERROR(__xludf.DUMMYFUNCTION("""COMPUTED_VALUE"""),"Señal MOPU informativa 55x120 cm Nivel 2 Flechada")</f>
        <v>Señal MOPU informativa 55x120 cm Nivel 2 Flechada</v>
      </c>
      <c r="C2021" s="4">
        <f>IFERROR(__xludf.DUMMYFUNCTION("""COMPUTED_VALUE"""),117.93599999999999)</f>
        <v>117.936</v>
      </c>
      <c r="D2021" s="4"/>
      <c r="E2021" s="4" t="str">
        <f>IFERROR(__xludf.DUMMYFUNCTION("""COMPUTED_VALUE"""),"Sin precio neto")</f>
        <v>Sin precio neto</v>
      </c>
    </row>
    <row r="2022">
      <c r="A2022" s="4" t="str">
        <f>IFERROR(__xludf.DUMMYFUNCTION("""COMPUTED_VALUE"""),"9655120N3")</f>
        <v>9655120N3</v>
      </c>
      <c r="B2022" s="4" t="str">
        <f>IFERROR(__xludf.DUMMYFUNCTION("""COMPUTED_VALUE"""),"Señal MOPU informativa 55x120 cm Reflex NIII")</f>
        <v>Señal MOPU informativa 55x120 cm Reflex NIII</v>
      </c>
      <c r="C2022" s="4">
        <f>IFERROR(__xludf.DUMMYFUNCTION("""COMPUTED_VALUE"""),153.12)</f>
        <v>153.12</v>
      </c>
      <c r="D2022" s="4"/>
      <c r="E2022" s="4" t="str">
        <f>IFERROR(__xludf.DUMMYFUNCTION("""COMPUTED_VALUE"""),"Sin precio neto")</f>
        <v>Sin precio neto</v>
      </c>
    </row>
    <row r="2023">
      <c r="A2023" s="4" t="str">
        <f>IFERROR(__xludf.DUMMYFUNCTION("""COMPUTED_VALUE"""),"9655120N3F")</f>
        <v>9655120N3F</v>
      </c>
      <c r="B2023" s="4" t="str">
        <f>IFERROR(__xludf.DUMMYFUNCTION("""COMPUTED_VALUE"""),"Señal MOPU informativa 55x120 cm Nivel 3 flechada")</f>
        <v>Señal MOPU informativa 55x120 cm Nivel 3 flechada</v>
      </c>
      <c r="C2023" s="4">
        <f>IFERROR(__xludf.DUMMYFUNCTION("""COMPUTED_VALUE"""),169.344)</f>
        <v>169.344</v>
      </c>
      <c r="D2023" s="4"/>
      <c r="E2023" s="4" t="str">
        <f>IFERROR(__xludf.DUMMYFUNCTION("""COMPUTED_VALUE"""),"Sin precio neto")</f>
        <v>Sin precio neto</v>
      </c>
    </row>
    <row r="2024">
      <c r="A2024" s="4" t="str">
        <f>IFERROR(__xludf.DUMMYFUNCTION("""COMPUTED_VALUE"""),"9655120NF")</f>
        <v>9655120NF</v>
      </c>
      <c r="B2024" s="4" t="str">
        <f>IFERROR(__xludf.DUMMYFUNCTION("""COMPUTED_VALUE"""),"Señal MOPU informativa 55x120 cm Normal Flechada")</f>
        <v>Señal MOPU informativa 55x120 cm Normal Flechada</v>
      </c>
      <c r="C2024" s="4">
        <f>IFERROR(__xludf.DUMMYFUNCTION("""COMPUTED_VALUE"""),94.752)</f>
        <v>94.752</v>
      </c>
      <c r="D2024" s="4"/>
      <c r="E2024" s="4" t="str">
        <f>IFERROR(__xludf.DUMMYFUNCTION("""COMPUTED_VALUE"""),"Sin precio neto")</f>
        <v>Sin precio neto</v>
      </c>
    </row>
    <row r="2025">
      <c r="A2025" s="4" t="str">
        <f>IFERROR(__xludf.DUMMYFUNCTION("""COMPUTED_VALUE"""),"9655170N2")</f>
        <v>9655170N2</v>
      </c>
      <c r="B2025" s="4" t="str">
        <f>IFERROR(__xludf.DUMMYFUNCTION("""COMPUTED_VALUE"""),"Señal MOPU informativa 55x170 cm Reflex II")</f>
        <v>Señal MOPU informativa 55x170 cm Reflex II</v>
      </c>
      <c r="C2025" s="4">
        <f>IFERROR(__xludf.DUMMYFUNCTION("""COMPUTED_VALUE"""),294.84)</f>
        <v>294.84</v>
      </c>
      <c r="D2025" s="4"/>
      <c r="E2025" s="4" t="str">
        <f>IFERROR(__xludf.DUMMYFUNCTION("""COMPUTED_VALUE"""),"Sin precio neto")</f>
        <v>Sin precio neto</v>
      </c>
    </row>
    <row r="2026">
      <c r="A2026" s="4" t="str">
        <f>IFERROR(__xludf.DUMMYFUNCTION("""COMPUTED_VALUE"""),"965595N")</f>
        <v>965595N</v>
      </c>
      <c r="B2026" s="4" t="str">
        <f>IFERROR(__xludf.DUMMYFUNCTION("""COMPUTED_VALUE"""),"Señal MOPU informativa 55x95 cm Normal")</f>
        <v>Señal MOPU informativa 55x95 cm Normal</v>
      </c>
      <c r="C2026" s="4">
        <f>IFERROR(__xludf.DUMMYFUNCTION("""COMPUTED_VALUE"""),62.64)</f>
        <v>62.64</v>
      </c>
      <c r="D2026" s="4"/>
      <c r="E2026" s="4" t="str">
        <f>IFERROR(__xludf.DUMMYFUNCTION("""COMPUTED_VALUE"""),"Sin precio neto")</f>
        <v>Sin precio neto</v>
      </c>
    </row>
    <row r="2027">
      <c r="A2027" s="4" t="str">
        <f>IFERROR(__xludf.DUMMYFUNCTION("""COMPUTED_VALUE"""),"965595N1")</f>
        <v>965595N1</v>
      </c>
      <c r="B2027" s="4" t="str">
        <f>IFERROR(__xludf.DUMMYFUNCTION("""COMPUTED_VALUE"""),"Señal MOPU informativa 55x95 cm Reflex I")</f>
        <v>Señal MOPU informativa 55x95 cm Reflex I</v>
      </c>
      <c r="C2027" s="4">
        <f>IFERROR(__xludf.DUMMYFUNCTION("""COMPUTED_VALUE"""),57.599999999999994)</f>
        <v>57.6</v>
      </c>
      <c r="D2027" s="4"/>
      <c r="E2027" s="4" t="str">
        <f>IFERROR(__xludf.DUMMYFUNCTION("""COMPUTED_VALUE"""),"Sin precio neto")</f>
        <v>Sin precio neto</v>
      </c>
    </row>
    <row r="2028">
      <c r="A2028" s="4" t="str">
        <f>IFERROR(__xludf.DUMMYFUNCTION("""COMPUTED_VALUE"""),"965595N1F")</f>
        <v>965595N1F</v>
      </c>
      <c r="B2028" s="4" t="str">
        <f>IFERROR(__xludf.DUMMYFUNCTION("""COMPUTED_VALUE"""),"Señal MOPU informativa 55x95 cm Nivel 1 Flechada")</f>
        <v>Señal MOPU informativa 55x95 cm Nivel 1 Flechada</v>
      </c>
      <c r="C2028" s="4">
        <f>IFERROR(__xludf.DUMMYFUNCTION("""COMPUTED_VALUE"""),64.008)</f>
        <v>64.008</v>
      </c>
      <c r="D2028" s="4"/>
      <c r="E2028" s="4" t="str">
        <f>IFERROR(__xludf.DUMMYFUNCTION("""COMPUTED_VALUE"""),"Sin precio neto")</f>
        <v>Sin precio neto</v>
      </c>
    </row>
    <row r="2029">
      <c r="A2029" s="4" t="str">
        <f>IFERROR(__xludf.DUMMYFUNCTION("""COMPUTED_VALUE"""),"965595N2")</f>
        <v>965595N2</v>
      </c>
      <c r="B2029" s="4" t="str">
        <f>IFERROR(__xludf.DUMMYFUNCTION("""COMPUTED_VALUE"""),"Señal MOPU informativa 55X95 cm Reflex II")</f>
        <v>Señal MOPU informativa 55X95 cm Reflex II</v>
      </c>
      <c r="C2029" s="4">
        <f>IFERROR(__xludf.DUMMYFUNCTION("""COMPUTED_VALUE"""),73.92)</f>
        <v>73.92</v>
      </c>
      <c r="D2029" s="4"/>
      <c r="E2029" s="4" t="str">
        <f>IFERROR(__xludf.DUMMYFUNCTION("""COMPUTED_VALUE"""),"Sin precio neto")</f>
        <v>Sin precio neto</v>
      </c>
    </row>
    <row r="2030">
      <c r="A2030" s="4" t="str">
        <f>IFERROR(__xludf.DUMMYFUNCTION("""COMPUTED_VALUE"""),"965595N2F")</f>
        <v>965595N2F</v>
      </c>
      <c r="B2030" s="4" t="str">
        <f>IFERROR(__xludf.DUMMYFUNCTION("""COMPUTED_VALUE"""),"Señal MOPU informativa 55x95 cm Nivel 2 Flechada")</f>
        <v>Señal MOPU informativa 55x95 cm Nivel 2 Flechada</v>
      </c>
      <c r="C2030" s="4">
        <f>IFERROR(__xludf.DUMMYFUNCTION("""COMPUTED_VALUE"""),80.64)</f>
        <v>80.64</v>
      </c>
      <c r="D2030" s="4"/>
      <c r="E2030" s="4" t="str">
        <f>IFERROR(__xludf.DUMMYFUNCTION("""COMPUTED_VALUE"""),"Sin precio neto")</f>
        <v>Sin precio neto</v>
      </c>
    </row>
    <row r="2031">
      <c r="A2031" s="4" t="str">
        <f>IFERROR(__xludf.DUMMYFUNCTION("""COMPUTED_VALUE"""),"965595N3")</f>
        <v>965595N3</v>
      </c>
      <c r="B2031" s="4" t="str">
        <f>IFERROR(__xludf.DUMMYFUNCTION("""COMPUTED_VALUE"""),"Señal MOPU informativa 55x95 cm Reflex III")</f>
        <v>Señal MOPU informativa 55x95 cm Reflex III</v>
      </c>
      <c r="C2031" s="4">
        <f>IFERROR(__xludf.DUMMYFUNCTION("""COMPUTED_VALUE"""),138.72)</f>
        <v>138.72</v>
      </c>
      <c r="D2031" s="4"/>
      <c r="E2031" s="4" t="str">
        <f>IFERROR(__xludf.DUMMYFUNCTION("""COMPUTED_VALUE"""),"Sin precio neto")</f>
        <v>Sin precio neto</v>
      </c>
    </row>
    <row r="2032">
      <c r="A2032" s="4" t="str">
        <f>IFERROR(__xludf.DUMMYFUNCTION("""COMPUTED_VALUE"""),"965595N3F")</f>
        <v>965595N3F</v>
      </c>
      <c r="B2032" s="4" t="str">
        <f>IFERROR(__xludf.DUMMYFUNCTION("""COMPUTED_VALUE"""),"Señal MOPU informativa 55x95 cm Nivel 3 Flechada")</f>
        <v>Señal MOPU informativa 55x95 cm Nivel 3 Flechada</v>
      </c>
      <c r="C2032" s="4">
        <f>IFERROR(__xludf.DUMMYFUNCTION("""COMPUTED_VALUE"""),154.224)</f>
        <v>154.224</v>
      </c>
      <c r="D2032" s="4"/>
      <c r="E2032" s="4" t="str">
        <f>IFERROR(__xludf.DUMMYFUNCTION("""COMPUTED_VALUE"""),"Sin precio neto")</f>
        <v>Sin precio neto</v>
      </c>
    </row>
    <row r="2033">
      <c r="A2033" s="4" t="str">
        <f>IFERROR(__xludf.DUMMYFUNCTION("""COMPUTED_VALUE"""),"965595NF")</f>
        <v>965595NF</v>
      </c>
      <c r="B2033" s="4" t="str">
        <f>IFERROR(__xludf.DUMMYFUNCTION("""COMPUTED_VALUE"""),"Señal MOPU informativa 55x95 cm Normal Flechada")</f>
        <v>Señal MOPU informativa 55x95 cm Normal Flechada</v>
      </c>
      <c r="C2033" s="4">
        <f>IFERROR(__xludf.DUMMYFUNCTION("""COMPUTED_VALUE"""),57.96)</f>
        <v>57.96</v>
      </c>
      <c r="D2033" s="4"/>
      <c r="E2033" s="4" t="str">
        <f>IFERROR(__xludf.DUMMYFUNCTION("""COMPUTED_VALUE"""),"Sin precio neto")</f>
        <v>Sin precio neto</v>
      </c>
    </row>
    <row r="2034">
      <c r="A2034" s="4" t="str">
        <f>IFERROR(__xludf.DUMMYFUNCTION("""COMPUTED_VALUE"""),"9695145N")</f>
        <v>9695145N</v>
      </c>
      <c r="B2034" s="4" t="str">
        <f>IFERROR(__xludf.DUMMYFUNCTION("""COMPUTED_VALUE"""),"Señal MOPU informativa 95x145 cm Normal")</f>
        <v>Señal MOPU informativa 95x145 cm Normal</v>
      </c>
      <c r="C2034" s="4">
        <f>IFERROR(__xludf.DUMMYFUNCTION("""COMPUTED_VALUE"""),141.6)</f>
        <v>141.6</v>
      </c>
      <c r="D2034" s="4"/>
      <c r="E2034" s="4" t="str">
        <f>IFERROR(__xludf.DUMMYFUNCTION("""COMPUTED_VALUE"""),"Sin precio neto")</f>
        <v>Sin precio neto</v>
      </c>
    </row>
    <row r="2035">
      <c r="A2035" s="4" t="str">
        <f>IFERROR(__xludf.DUMMYFUNCTION("""COMPUTED_VALUE"""),"9700N")</f>
        <v>9700N</v>
      </c>
      <c r="B2035" s="4" t="str">
        <f>IFERROR(__xludf.DUMMYFUNCTION("""COMPUTED_VALUE"""),"Señal Aluminio Cuadrada 60 cm Normal")</f>
        <v>Señal Aluminio Cuadrada 60 cm Normal</v>
      </c>
      <c r="C2035" s="4">
        <f>IFERROR(__xludf.DUMMYFUNCTION("""COMPUTED_VALUE"""),29.759999999999998)</f>
        <v>29.76</v>
      </c>
      <c r="D2035" s="4"/>
      <c r="E2035" s="4" t="str">
        <f>IFERROR(__xludf.DUMMYFUNCTION("""COMPUTED_VALUE"""),"Sin precio neto")</f>
        <v>Sin precio neto</v>
      </c>
    </row>
    <row r="2036">
      <c r="A2036" s="4" t="str">
        <f>IFERROR(__xludf.DUMMYFUNCTION("""COMPUTED_VALUE"""),"9700N1")</f>
        <v>9700N1</v>
      </c>
      <c r="B2036" s="4" t="str">
        <f>IFERROR(__xludf.DUMMYFUNCTION("""COMPUTED_VALUE"""),"Señal Aluminio Cuadrada 60 cm Nivel 1")</f>
        <v>Señal Aluminio Cuadrada 60 cm Nivel 1</v>
      </c>
      <c r="C2036" s="4">
        <f>IFERROR(__xludf.DUMMYFUNCTION("""COMPUTED_VALUE"""),32.64)</f>
        <v>32.64</v>
      </c>
      <c r="D2036" s="4"/>
      <c r="E2036" s="4" t="str">
        <f>IFERROR(__xludf.DUMMYFUNCTION("""COMPUTED_VALUE"""),"Sin precio neto")</f>
        <v>Sin precio neto</v>
      </c>
    </row>
    <row r="2037">
      <c r="A2037" s="4" t="str">
        <f>IFERROR(__xludf.DUMMYFUNCTION("""COMPUTED_VALUE"""),"9716545N")</f>
        <v>9716545N</v>
      </c>
      <c r="B2037" s="4" t="str">
        <f>IFERROR(__xludf.DUMMYFUNCTION("""COMPUTED_VALUE"""),"Panel direccional A/B 165x45 cm Normal")</f>
        <v>Panel direccional A/B 165x45 cm Normal</v>
      </c>
      <c r="C2037" s="4">
        <f>IFERROR(__xludf.DUMMYFUNCTION("""COMPUTED_VALUE"""),71.03999999999999)</f>
        <v>71.04</v>
      </c>
      <c r="D2037" s="4"/>
      <c r="E2037" s="4" t="str">
        <f>IFERROR(__xludf.DUMMYFUNCTION("""COMPUTED_VALUE"""),"Sin precio neto")</f>
        <v>Sin precio neto</v>
      </c>
    </row>
    <row r="2038">
      <c r="A2038" s="4" t="str">
        <f>IFERROR(__xludf.DUMMYFUNCTION("""COMPUTED_VALUE"""),"9716545N1")</f>
        <v>9716545N1</v>
      </c>
      <c r="B2038" s="4" t="str">
        <f>IFERROR(__xludf.DUMMYFUNCTION("""COMPUTED_VALUE"""),"Panel direccional A/B 165x45 cm Reflex I")</f>
        <v>Panel direccional A/B 165x45 cm Reflex I</v>
      </c>
      <c r="C2038" s="4">
        <f>IFERROR(__xludf.DUMMYFUNCTION("""COMPUTED_VALUE"""),69.12)</f>
        <v>69.12</v>
      </c>
      <c r="D2038" s="4"/>
      <c r="E2038" s="4" t="str">
        <f>IFERROR(__xludf.DUMMYFUNCTION("""COMPUTED_VALUE"""),"Sin precio neto")</f>
        <v>Sin precio neto</v>
      </c>
    </row>
    <row r="2039">
      <c r="A2039" s="4" t="str">
        <f>IFERROR(__xludf.DUMMYFUNCTION("""COMPUTED_VALUE"""),"9716545N2")</f>
        <v>9716545N2</v>
      </c>
      <c r="B2039" s="4" t="str">
        <f>IFERROR(__xludf.DUMMYFUNCTION("""COMPUTED_VALUE"""),"Panel direccional A/B 165x45 cm Reflex II")</f>
        <v>Panel direccional A/B 165x45 cm Reflex II</v>
      </c>
      <c r="C2039" s="4">
        <f>IFERROR(__xludf.DUMMYFUNCTION("""COMPUTED_VALUE"""),101.75999999999999)</f>
        <v>101.76</v>
      </c>
      <c r="D2039" s="4"/>
      <c r="E2039" s="4" t="str">
        <f>IFERROR(__xludf.DUMMYFUNCTION("""COMPUTED_VALUE"""),"Sin precio neto")</f>
        <v>Sin precio neto</v>
      </c>
    </row>
    <row r="2040">
      <c r="A2040" s="4" t="str">
        <f>IFERROR(__xludf.DUMMYFUNCTION("""COMPUTED_VALUE"""),"9716545N3")</f>
        <v>9716545N3</v>
      </c>
      <c r="B2040" s="4" t="str">
        <f>IFERROR(__xludf.DUMMYFUNCTION("""COMPUTED_VALUE"""),"Panel direccional A/B 165x45 cm Reflex III")</f>
        <v>Panel direccional A/B 165x45 cm Reflex III</v>
      </c>
      <c r="C2040" s="4">
        <f>IFERROR(__xludf.DUMMYFUNCTION("""COMPUTED_VALUE"""),104.64)</f>
        <v>104.64</v>
      </c>
      <c r="D2040" s="4"/>
      <c r="E2040" s="4" t="str">
        <f>IFERROR(__xludf.DUMMYFUNCTION("""COMPUTED_VALUE"""),"Sin precio neto")</f>
        <v>Sin precio neto</v>
      </c>
    </row>
    <row r="2041">
      <c r="A2041" s="4" t="str">
        <f>IFERROR(__xludf.DUMMYFUNCTION("""COMPUTED_VALUE"""),"978040N")</f>
        <v>978040N</v>
      </c>
      <c r="B2041" s="4" t="str">
        <f>IFERROR(__xludf.DUMMYFUNCTION("""COMPUTED_VALUE"""),"Panel direccional A/B 80x40 cm Normal")</f>
        <v>Panel direccional A/B 80x40 cm Normal</v>
      </c>
      <c r="C2041" s="4">
        <f>IFERROR(__xludf.DUMMYFUNCTION("""COMPUTED_VALUE"""),29.759999999999998)</f>
        <v>29.76</v>
      </c>
      <c r="D2041" s="4"/>
      <c r="E2041" s="4" t="str">
        <f>IFERROR(__xludf.DUMMYFUNCTION("""COMPUTED_VALUE"""),"Sin precio neto")</f>
        <v>Sin precio neto</v>
      </c>
    </row>
    <row r="2042">
      <c r="A2042" s="4" t="str">
        <f>IFERROR(__xludf.DUMMYFUNCTION("""COMPUTED_VALUE"""),"978040N1")</f>
        <v>978040N1</v>
      </c>
      <c r="B2042" s="4" t="str">
        <f>IFERROR(__xludf.DUMMYFUNCTION("""COMPUTED_VALUE"""),"Panel direccional A/B 80x40 cm Reflex I")</f>
        <v>Panel direccional A/B 80x40 cm Reflex I</v>
      </c>
      <c r="C2042" s="4">
        <f>IFERROR(__xludf.DUMMYFUNCTION("""COMPUTED_VALUE"""),35.519999999999996)</f>
        <v>35.52</v>
      </c>
      <c r="D2042" s="4"/>
      <c r="E2042" s="4" t="str">
        <f>IFERROR(__xludf.DUMMYFUNCTION("""COMPUTED_VALUE"""),"Sin precio neto")</f>
        <v>Sin precio neto</v>
      </c>
    </row>
    <row r="2043">
      <c r="A2043" s="4" t="str">
        <f>IFERROR(__xludf.DUMMYFUNCTION("""COMPUTED_VALUE"""),"978040N2")</f>
        <v>978040N2</v>
      </c>
      <c r="B2043" s="4" t="str">
        <f>IFERROR(__xludf.DUMMYFUNCTION("""COMPUTED_VALUE"""),"Panel direccional A/B 80x40 cm Reflex II")</f>
        <v>Panel direccional A/B 80x40 cm Reflex II</v>
      </c>
      <c r="C2043" s="4">
        <f>IFERROR(__xludf.DUMMYFUNCTION("""COMPUTED_VALUE"""),40.32)</f>
        <v>40.32</v>
      </c>
      <c r="D2043" s="4"/>
      <c r="E2043" s="4" t="str">
        <f>IFERROR(__xludf.DUMMYFUNCTION("""COMPUTED_VALUE"""),"Sin precio neto")</f>
        <v>Sin precio neto</v>
      </c>
    </row>
    <row r="2044">
      <c r="A2044" s="4" t="str">
        <f>IFERROR(__xludf.DUMMYFUNCTION("""COMPUTED_VALUE"""),"978040N3")</f>
        <v>978040N3</v>
      </c>
      <c r="B2044" s="4" t="str">
        <f>IFERROR(__xludf.DUMMYFUNCTION("""COMPUTED_VALUE"""),"Panel direccional A/B 80x40 cm Reflex III")</f>
        <v>Panel direccional A/B 80x40 cm Reflex III</v>
      </c>
      <c r="C2044" s="4">
        <f>IFERROR(__xludf.DUMMYFUNCTION("""COMPUTED_VALUE"""),50.784)</f>
        <v>50.784</v>
      </c>
      <c r="D2044" s="4"/>
      <c r="E2044" s="4" t="str">
        <f>IFERROR(__xludf.DUMMYFUNCTION("""COMPUTED_VALUE"""),"Sin precio neto")</f>
        <v>Sin precio neto</v>
      </c>
    </row>
    <row r="2045">
      <c r="A2045" s="4" t="str">
        <f>IFERROR(__xludf.DUMMYFUNCTION("""COMPUTED_VALUE"""),"9800N")</f>
        <v>9800N</v>
      </c>
      <c r="B2045" s="4" t="str">
        <f>IFERROR(__xludf.DUMMYFUNCTION("""COMPUTED_VALUE"""),"Señal Aluminio Stop 60 cm Normal")</f>
        <v>Señal Aluminio Stop 60 cm Normal</v>
      </c>
      <c r="C2045" s="4">
        <f>IFERROR(__xludf.DUMMYFUNCTION("""COMPUTED_VALUE"""),29.759999999999998)</f>
        <v>29.76</v>
      </c>
      <c r="D2045" s="4"/>
      <c r="E2045" s="4" t="str">
        <f>IFERROR(__xludf.DUMMYFUNCTION("""COMPUTED_VALUE"""),"Sin precio neto")</f>
        <v>Sin precio neto</v>
      </c>
    </row>
    <row r="2046">
      <c r="A2046" s="4" t="str">
        <f>IFERROR(__xludf.DUMMYFUNCTION("""COMPUTED_VALUE"""),"9800N1")</f>
        <v>9800N1</v>
      </c>
      <c r="B2046" s="4" t="str">
        <f>IFERROR(__xludf.DUMMYFUNCTION("""COMPUTED_VALUE"""),"Señal Aluminio Stop 60 cm Nivel 1")</f>
        <v>Señal Aluminio Stop 60 cm Nivel 1</v>
      </c>
      <c r="C2046" s="4">
        <f>IFERROR(__xludf.DUMMYFUNCTION("""COMPUTED_VALUE"""),32.64)</f>
        <v>32.64</v>
      </c>
      <c r="D2046" s="4"/>
      <c r="E2046" s="4" t="str">
        <f>IFERROR(__xludf.DUMMYFUNCTION("""COMPUTED_VALUE"""),"Sin precio neto")</f>
        <v>Sin precio neto</v>
      </c>
    </row>
    <row r="2047">
      <c r="A2047" s="4" t="str">
        <f>IFERROR(__xludf.DUMMYFUNCTION("""COMPUTED_VALUE"""),"9900N")</f>
        <v>9900N</v>
      </c>
      <c r="B2047" s="4" t="str">
        <f>IFERROR(__xludf.DUMMYFUNCTION("""COMPUTED_VALUE"""),"Señal Aluminio Rectangular 60x30 cm Normal")</f>
        <v>Señal Aluminio Rectangular 60x30 cm Normal</v>
      </c>
      <c r="C2047" s="4">
        <f>IFERROR(__xludf.DUMMYFUNCTION("""COMPUTED_VALUE"""),16.32)</f>
        <v>16.32</v>
      </c>
      <c r="D2047" s="4"/>
      <c r="E2047" s="4" t="str">
        <f>IFERROR(__xludf.DUMMYFUNCTION("""COMPUTED_VALUE"""),"Sin precio neto")</f>
        <v>Sin precio neto</v>
      </c>
    </row>
    <row r="2048">
      <c r="A2048" s="4" t="str">
        <f>IFERROR(__xludf.DUMMYFUNCTION("""COMPUTED_VALUE"""),"9900N1")</f>
        <v>9900N1</v>
      </c>
      <c r="B2048" s="4" t="str">
        <f>IFERROR(__xludf.DUMMYFUNCTION("""COMPUTED_VALUE"""),"Señal Aluminio Rectangular 60x30 cm Nivel 1")</f>
        <v>Señal Aluminio Rectangular 60x30 cm Nivel 1</v>
      </c>
      <c r="C2048" s="4">
        <f>IFERROR(__xludf.DUMMYFUNCTION("""COMPUTED_VALUE"""),18.24)</f>
        <v>18.24</v>
      </c>
      <c r="D2048" s="4"/>
      <c r="E2048" s="4" t="str">
        <f>IFERROR(__xludf.DUMMYFUNCTION("""COMPUTED_VALUE"""),"Sin precio neto")</f>
        <v>Sin precio neto</v>
      </c>
    </row>
    <row r="2049">
      <c r="A2049" s="4" t="str">
        <f>IFERROR(__xludf.DUMMYFUNCTION("""COMPUTED_VALUE"""),"ABRAZADERA50-")</f>
        <v>ABRAZADERA50-</v>
      </c>
      <c r="B2049" s="4" t="str">
        <f>IFERROR(__xludf.DUMMYFUNCTION("""COMPUTED_VALUE"""),"Abrazadera completa para poste 50/60")</f>
        <v>Abrazadera completa para poste 50/60</v>
      </c>
      <c r="C2049" s="4">
        <f>IFERROR(__xludf.DUMMYFUNCTION("""COMPUTED_VALUE"""),4.56)</f>
        <v>4.56</v>
      </c>
      <c r="D2049" s="4"/>
      <c r="E2049" s="4" t="str">
        <f>IFERROR(__xludf.DUMMYFUNCTION("""COMPUTED_VALUE"""),"Sin precio neto")</f>
        <v>Sin precio neto</v>
      </c>
    </row>
    <row r="2050">
      <c r="A2050" s="4" t="str">
        <f>IFERROR(__xludf.DUMMYFUNCTION("""COMPUTED_VALUE"""),"ABRAZADERA80X")</f>
        <v>ABRAZADERA80X</v>
      </c>
      <c r="B2050" s="4" t="str">
        <f>IFERROR(__xludf.DUMMYFUNCTION("""COMPUTED_VALUE"""),"Abrazadera para poste de 80x40")</f>
        <v>Abrazadera para poste de 80x40</v>
      </c>
      <c r="C2050" s="4">
        <f>IFERROR(__xludf.DUMMYFUNCTION("""COMPUTED_VALUE"""),2.592)</f>
        <v>2.592</v>
      </c>
      <c r="D2050" s="4"/>
      <c r="E2050" s="4" t="str">
        <f>IFERROR(__xludf.DUMMYFUNCTION("""COMPUTED_VALUE"""),"Sin precio neto")</f>
        <v>Sin precio neto</v>
      </c>
    </row>
    <row r="2051">
      <c r="A2051" s="4" t="str">
        <f>IFERROR(__xludf.DUMMYFUNCTION("""COMPUTED_VALUE"""),"AL297105")</f>
        <v>AL297105</v>
      </c>
      <c r="B2051" s="4" t="str">
        <f>IFERROR(__xludf.DUMMYFUNCTION("""COMPUTED_VALUE"""),"Panel impreso aluminio 297x105 mm")</f>
        <v>Panel impreso aluminio 297x105 mm</v>
      </c>
      <c r="C2051" s="4">
        <f>IFERROR(__xludf.DUMMYFUNCTION("""COMPUTED_VALUE"""),2.064)</f>
        <v>2.064</v>
      </c>
      <c r="D2051" s="4"/>
      <c r="E2051" s="4" t="str">
        <f>IFERROR(__xludf.DUMMYFUNCTION("""COMPUTED_VALUE"""),"Sin precio neto")</f>
        <v>Sin precio neto</v>
      </c>
    </row>
    <row r="2052">
      <c r="A2052" s="4" t="str">
        <f>IFERROR(__xludf.DUMMYFUNCTION("""COMPUTED_VALUE"""),"AL320160")</f>
        <v>AL320160</v>
      </c>
      <c r="B2052" s="4" t="str">
        <f>IFERROR(__xludf.DUMMYFUNCTION("""COMPUTED_VALUE"""),"Panel impreso aluminio 320x160 mm")</f>
        <v>Panel impreso aluminio 320x160 mm</v>
      </c>
      <c r="C2052" s="4">
        <f>IFERROR(__xludf.DUMMYFUNCTION("""COMPUTED_VALUE"""),3.9359999999999995)</f>
        <v>3.936</v>
      </c>
      <c r="D2052" s="4"/>
      <c r="E2052" s="4" t="str">
        <f>IFERROR(__xludf.DUMMYFUNCTION("""COMPUTED_VALUE"""),"Sin precio neto")</f>
        <v>Sin precio neto</v>
      </c>
    </row>
    <row r="2053">
      <c r="A2053" s="4" t="str">
        <f>IFERROR(__xludf.DUMMYFUNCTION("""COMPUTED_VALUE"""),"AL420320")</f>
        <v>AL420320</v>
      </c>
      <c r="B2053" s="4" t="str">
        <f>IFERROR(__xludf.DUMMYFUNCTION("""COMPUTED_VALUE"""),"Panel impreso aluminio 420x320 mm")</f>
        <v>Panel impreso aluminio 420x320 mm</v>
      </c>
      <c r="C2053" s="4">
        <f>IFERROR(__xludf.DUMMYFUNCTION("""COMPUTED_VALUE"""),10.3296)</f>
        <v>10.3296</v>
      </c>
      <c r="D2053" s="4"/>
      <c r="E2053" s="4" t="str">
        <f>IFERROR(__xludf.DUMMYFUNCTION("""COMPUTED_VALUE"""),"Sin precio neto")</f>
        <v>Sin precio neto</v>
      </c>
    </row>
    <row r="2054">
      <c r="A2054" s="4" t="str">
        <f>IFERROR(__xludf.DUMMYFUNCTION("""COMPUTED_VALUE"""),"AL630630")</f>
        <v>AL630630</v>
      </c>
      <c r="B2054" s="4" t="str">
        <f>IFERROR(__xludf.DUMMYFUNCTION("""COMPUTED_VALUE"""),"Panel impreso aluminio 630x630 mm")</f>
        <v>Panel impreso aluminio 630x630 mm</v>
      </c>
      <c r="C2054" s="4">
        <f>IFERROR(__xludf.DUMMYFUNCTION("""COMPUTED_VALUE"""),30.470399999999998)</f>
        <v>30.4704</v>
      </c>
      <c r="D2054" s="4"/>
      <c r="E2054" s="4" t="str">
        <f>IFERROR(__xludf.DUMMYFUNCTION("""COMPUTED_VALUE"""),"Sin precio neto")</f>
        <v>Sin precio neto</v>
      </c>
    </row>
    <row r="2055">
      <c r="A2055" s="4" t="str">
        <f>IFERROR(__xludf.DUMMYFUNCTION("""COMPUTED_VALUE"""),"AL960480")</f>
        <v>AL960480</v>
      </c>
      <c r="B2055" s="4" t="str">
        <f>IFERROR(__xludf.DUMMYFUNCTION("""COMPUTED_VALUE"""),"Panel impreso aluminio 960x480")</f>
        <v>Panel impreso aluminio 960x480</v>
      </c>
      <c r="C2055" s="4">
        <f>IFERROR(__xludf.DUMMYFUNCTION("""COMPUTED_VALUE"""),35.903999999999996)</f>
        <v>35.904</v>
      </c>
      <c r="D2055" s="4"/>
      <c r="E2055" s="4" t="str">
        <f>IFERROR(__xludf.DUMMYFUNCTION("""COMPUTED_VALUE"""),"Sin precio neto")</f>
        <v>Sin precio neto</v>
      </c>
    </row>
    <row r="2056">
      <c r="A2056" s="4" t="str">
        <f>IFERROR(__xludf.DUMMYFUNCTION("""COMPUTED_VALUE"""),"ALA1")</f>
        <v>ALA1</v>
      </c>
      <c r="B2056" s="4" t="str">
        <f>IFERROR(__xludf.DUMMYFUNCTION("""COMPUTED_VALUE"""),"Panel impreso aluminio A1 (841x594 mm)")</f>
        <v>Panel impreso aluminio A1 (841x594 mm)</v>
      </c>
      <c r="C2056" s="4">
        <f>IFERROR(__xludf.DUMMYFUNCTION("""COMPUTED_VALUE"""),38.620799999999996)</f>
        <v>38.6208</v>
      </c>
      <c r="D2056" s="4"/>
      <c r="E2056" s="4" t="str">
        <f>IFERROR(__xludf.DUMMYFUNCTION("""COMPUTED_VALUE"""),"Sin precio neto")</f>
        <v>Sin precio neto</v>
      </c>
    </row>
    <row r="2057">
      <c r="A2057" s="4" t="str">
        <f>IFERROR(__xludf.DUMMYFUNCTION("""COMPUTED_VALUE"""),"ALA2")</f>
        <v>ALA2</v>
      </c>
      <c r="B2057" s="4" t="str">
        <f>IFERROR(__xludf.DUMMYFUNCTION("""COMPUTED_VALUE"""),"Panel impreso aluminio A2 (594X420)")</f>
        <v>Panel impreso aluminio A2 (594X420)</v>
      </c>
      <c r="C2057" s="4">
        <f>IFERROR(__xludf.DUMMYFUNCTION("""COMPUTED_VALUE"""),2.0304)</f>
        <v>2.0304</v>
      </c>
      <c r="D2057" s="4"/>
      <c r="E2057" s="4" t="str">
        <f>IFERROR(__xludf.DUMMYFUNCTION("""COMPUTED_VALUE"""),"Sin precio neto")</f>
        <v>Sin precio neto</v>
      </c>
    </row>
    <row r="2058">
      <c r="A2058" s="4" t="str">
        <f>IFERROR(__xludf.DUMMYFUNCTION("""COMPUTED_VALUE"""),"ALA3")</f>
        <v>ALA3</v>
      </c>
      <c r="B2058" s="4" t="str">
        <f>IFERROR(__xludf.DUMMYFUNCTION("""COMPUTED_VALUE"""),"Panel impreso aluminio A3 (420X297 mm)")</f>
        <v>Panel impreso aluminio A3 (420X297 mm)</v>
      </c>
      <c r="C2058" s="4">
        <f>IFERROR(__xludf.DUMMYFUNCTION("""COMPUTED_VALUE"""),9.6768)</f>
        <v>9.6768</v>
      </c>
      <c r="D2058" s="4"/>
      <c r="E2058" s="4" t="str">
        <f>IFERROR(__xludf.DUMMYFUNCTION("""COMPUTED_VALUE"""),"Sin precio neto")</f>
        <v>Sin precio neto</v>
      </c>
    </row>
    <row r="2059">
      <c r="A2059" s="4" t="str">
        <f>IFERROR(__xludf.DUMMYFUNCTION("""COMPUTED_VALUE"""),"ALA4")</f>
        <v>ALA4</v>
      </c>
      <c r="B2059" s="4" t="str">
        <f>IFERROR(__xludf.DUMMYFUNCTION("""COMPUTED_VALUE"""),"Panel impreso aluminio A4 (297x210 mm)")</f>
        <v>Panel impreso aluminio A4 (297x210 mm)</v>
      </c>
      <c r="C2059" s="4">
        <f>IFERROR(__xludf.DUMMYFUNCTION("""COMPUTED_VALUE"""),4.8384)</f>
        <v>4.8384</v>
      </c>
      <c r="D2059" s="4"/>
      <c r="E2059" s="4" t="str">
        <f>IFERROR(__xludf.DUMMYFUNCTION("""COMPUTED_VALUE"""),"Sin precio neto")</f>
        <v>Sin precio neto</v>
      </c>
    </row>
    <row r="2060">
      <c r="A2060" s="4" t="str">
        <f>IFERROR(__xludf.DUMMYFUNCTION("""COMPUTED_VALUE"""),"ALA6")</f>
        <v>ALA6</v>
      </c>
      <c r="B2060" s="4" t="str">
        <f>IFERROR(__xludf.DUMMYFUNCTION("""COMPUTED_VALUE"""),"Panel impreso aluminio A6 (105x148 mm)")</f>
        <v>Panel impreso aluminio A6 (105x148 mm)</v>
      </c>
      <c r="C2060" s="4">
        <f>IFERROR(__xludf.DUMMYFUNCTION("""COMPUTED_VALUE"""),1.1904)</f>
        <v>1.1904</v>
      </c>
      <c r="D2060" s="4"/>
      <c r="E2060" s="4" t="str">
        <f>IFERROR(__xludf.DUMMYFUNCTION("""COMPUTED_VALUE"""),"Sin precio neto")</f>
        <v>Sin precio neto</v>
      </c>
    </row>
    <row r="2061">
      <c r="A2061" s="4" t="str">
        <f>IFERROR(__xludf.DUMMYFUNCTION("""COMPUTED_VALUE"""),"CBA3")</f>
        <v>CBA3</v>
      </c>
      <c r="B2061" s="4" t="str">
        <f>IFERROR(__xludf.DUMMYFUNCTION("""COMPUTED_VALUE"""),"Soporte cartel en banderola acero cartel 40x30 cm")</f>
        <v>Soporte cartel en banderola acero cartel 40x30 cm</v>
      </c>
      <c r="C2061" s="4">
        <f>IFERROR(__xludf.DUMMYFUNCTION("""COMPUTED_VALUE"""),3.264)</f>
        <v>3.264</v>
      </c>
      <c r="D2061" s="4"/>
      <c r="E2061" s="4" t="str">
        <f>IFERROR(__xludf.DUMMYFUNCTION("""COMPUTED_VALUE"""),"Sin precio neto")</f>
        <v>Sin precio neto</v>
      </c>
    </row>
    <row r="2062">
      <c r="A2062" s="4" t="str">
        <f>IFERROR(__xludf.DUMMYFUNCTION("""COMPUTED_VALUE"""),"CBA4")</f>
        <v>CBA4</v>
      </c>
      <c r="B2062" s="4" t="str">
        <f>IFERROR(__xludf.DUMMYFUNCTION("""COMPUTED_VALUE"""),"Soporte cartel en banderola acero cartel 21x29 cm")</f>
        <v>Soporte cartel en banderola acero cartel 21x29 cm</v>
      </c>
      <c r="C2062" s="4">
        <f>IFERROR(__xludf.DUMMYFUNCTION("""COMPUTED_VALUE"""),2.304)</f>
        <v>2.304</v>
      </c>
      <c r="D2062" s="4"/>
      <c r="E2062" s="4" t="str">
        <f>IFERROR(__xludf.DUMMYFUNCTION("""COMPUTED_VALUE"""),"Sin precio neto")</f>
        <v>Sin precio neto</v>
      </c>
    </row>
    <row r="2063">
      <c r="A2063" s="4" t="str">
        <f>IFERROR(__xludf.DUMMYFUNCTION("""COMPUTED_VALUE"""),"ESCRUADRA")</f>
        <v>ESCRUADRA</v>
      </c>
      <c r="B2063" s="4" t="str">
        <f>IFERROR(__xludf.DUMMYFUNCTION("""COMPUTED_VALUE"""),"Escuadra 9x8x1,8 cm. señal MOPU")</f>
        <v>Escuadra 9x8x1,8 cm. señal MOPU</v>
      </c>
      <c r="C2063" s="4">
        <f>IFERROR(__xludf.DUMMYFUNCTION("""COMPUTED_VALUE"""),2.16)</f>
        <v>2.16</v>
      </c>
      <c r="D2063" s="4"/>
      <c r="E2063" s="4" t="str">
        <f>IFERROR(__xludf.DUMMYFUNCTION("""COMPUTED_VALUE"""),"Sin precio neto")</f>
        <v>Sin precio neto</v>
      </c>
    </row>
    <row r="2064">
      <c r="A2064" s="4" t="str">
        <f>IFERROR(__xludf.DUMMYFUNCTION("""COMPUTED_VALUE"""),"ESCUADRA")</f>
        <v>ESCUADRA</v>
      </c>
      <c r="B2064" s="4" t="str">
        <f>IFERROR(__xludf.DUMMYFUNCTION("""COMPUTED_VALUE"""),"Escuadra 14x8x1,8 cm señal MOPU")</f>
        <v>Escuadra 14x8x1,8 cm señal MOPU</v>
      </c>
      <c r="C2064" s="4">
        <f>IFERROR(__xludf.DUMMYFUNCTION("""COMPUTED_VALUE"""),2.784)</f>
        <v>2.784</v>
      </c>
      <c r="D2064" s="4"/>
      <c r="E2064" s="4" t="str">
        <f>IFERROR(__xludf.DUMMYFUNCTION("""COMPUTED_VALUE"""),"Sin precio neto")</f>
        <v>Sin precio neto</v>
      </c>
    </row>
    <row r="2065">
      <c r="A2065" s="4" t="str">
        <f>IFERROR(__xludf.DUMMYFUNCTION("""COMPUTED_VALUE"""),"EXPOSIT SEÑAL")</f>
        <v>EXPOSIT SEÑAL</v>
      </c>
      <c r="B2065" s="4" t="str">
        <f>IFERROR(__xludf.DUMMYFUNCTION("""COMPUTED_VALUE"""),"Expositor Señalización SIN SEÑALES")</f>
        <v>Expositor Señalización SIN SEÑALES</v>
      </c>
      <c r="C2065" s="4">
        <f>IFERROR(__xludf.DUMMYFUNCTION("""COMPUTED_VALUE"""),240.0)</f>
        <v>240</v>
      </c>
      <c r="D2065" s="4">
        <f>IFERROR(__xludf.DUMMYFUNCTION("""COMPUTED_VALUE"""),150.0)</f>
        <v>150</v>
      </c>
      <c r="E2065" s="4" t="str">
        <f>IFERROR(__xludf.DUMMYFUNCTION("""COMPUTED_VALUE"""),"Neto: 150,00 € (a partir de 1 uds.)")</f>
        <v>Neto: 150,00 € (a partir de 1 uds.)</v>
      </c>
    </row>
    <row r="2066">
      <c r="A2066" s="4" t="str">
        <f>IFERROR(__xludf.DUMMYFUNCTION("""COMPUTED_VALUE"""),"EXPOSITOR")</f>
        <v>EXPOSITOR</v>
      </c>
      <c r="B2066" s="4" t="str">
        <f>IFERROR(__xludf.DUMMYFUNCTION("""COMPUTED_VALUE"""),"Expositor Señalización + Señales metálicas estándar")</f>
        <v>Expositor Señalización + Señales metálicas estándar</v>
      </c>
      <c r="C2066" s="4">
        <f>IFERROR(__xludf.DUMMYFUNCTION("""COMPUTED_VALUE"""),1152.0)</f>
        <v>1152</v>
      </c>
      <c r="D2066" s="4">
        <f>IFERROR(__xludf.DUMMYFUNCTION("""COMPUTED_VALUE"""),1000.0)</f>
        <v>1000</v>
      </c>
      <c r="E2066" s="4" t="str">
        <f>IFERROR(__xludf.DUMMYFUNCTION("""COMPUTED_VALUE"""),"Neto: 1000,00 € (a partir de 1 uds.)")</f>
        <v>Neto: 1000,00 € (a partir de 1 uds.)</v>
      </c>
    </row>
    <row r="2067">
      <c r="A2067" s="4" t="str">
        <f>IFERROR(__xludf.DUMMYFUNCTION("""COMPUTED_VALUE"""),"MCA1")</f>
        <v>MCA1</v>
      </c>
      <c r="B2067" s="4" t="str">
        <f>IFERROR(__xludf.DUMMYFUNCTION("""COMPUTED_VALUE"""),"Panel impreso Metacrilato colada 2 mm A1 (841x594 mm)")</f>
        <v>Panel impreso Metacrilato colada 2 mm A1 (841x594 mm)</v>
      </c>
      <c r="C2067" s="4">
        <f>IFERROR(__xludf.DUMMYFUNCTION("""COMPUTED_VALUE"""),31.2192)</f>
        <v>31.2192</v>
      </c>
      <c r="D2067" s="4"/>
      <c r="E2067" s="4" t="str">
        <f>IFERROR(__xludf.DUMMYFUNCTION("""COMPUTED_VALUE"""),"Sin precio neto")</f>
        <v>Sin precio neto</v>
      </c>
    </row>
    <row r="2068">
      <c r="A2068" s="4" t="str">
        <f>IFERROR(__xludf.DUMMYFUNCTION("""COMPUTED_VALUE"""),"MCA2")</f>
        <v>MCA2</v>
      </c>
      <c r="B2068" s="4" t="str">
        <f>IFERROR(__xludf.DUMMYFUNCTION("""COMPUTED_VALUE"""),"Panel impreso Metacrilato colada 2 mm A2 (594x420 mm)")</f>
        <v>Panel impreso Metacrilato colada 2 mm A2 (594x420 mm)</v>
      </c>
      <c r="C2068" s="4">
        <f>IFERROR(__xludf.DUMMYFUNCTION("""COMPUTED_VALUE"""),17.376)</f>
        <v>17.376</v>
      </c>
      <c r="D2068" s="4"/>
      <c r="E2068" s="4" t="str">
        <f>IFERROR(__xludf.DUMMYFUNCTION("""COMPUTED_VALUE"""),"Sin precio neto")</f>
        <v>Sin precio neto</v>
      </c>
    </row>
    <row r="2069">
      <c r="A2069" s="4" t="str">
        <f>IFERROR(__xludf.DUMMYFUNCTION("""COMPUTED_VALUE"""),"MCA3")</f>
        <v>MCA3</v>
      </c>
      <c r="B2069" s="4" t="str">
        <f>IFERROR(__xludf.DUMMYFUNCTION("""COMPUTED_VALUE"""),"Panel impreso Metacrilato colada 2 mm A3 (420x297 mm)")</f>
        <v>Panel impreso Metacrilato colada 2 mm A3 (420x297 mm)</v>
      </c>
      <c r="C2069" s="4">
        <f>IFERROR(__xludf.DUMMYFUNCTION("""COMPUTED_VALUE"""),11.4048)</f>
        <v>11.4048</v>
      </c>
      <c r="D2069" s="4"/>
      <c r="E2069" s="4" t="str">
        <f>IFERROR(__xludf.DUMMYFUNCTION("""COMPUTED_VALUE"""),"Sin precio neto")</f>
        <v>Sin precio neto</v>
      </c>
    </row>
    <row r="2070">
      <c r="A2070" s="4" t="str">
        <f>IFERROR(__xludf.DUMMYFUNCTION("""COMPUTED_VALUE"""),"MCA4")</f>
        <v>MCA4</v>
      </c>
      <c r="B2070" s="4" t="str">
        <f>IFERROR(__xludf.DUMMYFUNCTION("""COMPUTED_VALUE"""),"Panel impreso Metacrilato colada 2 mm A4 (210x297 mm)")</f>
        <v>Panel impreso Metacrilato colada 2 mm A4 (210x297 mm)</v>
      </c>
      <c r="C2070" s="4">
        <f>IFERROR(__xludf.DUMMYFUNCTION("""COMPUTED_VALUE"""),6.048)</f>
        <v>6.048</v>
      </c>
      <c r="D2070" s="4"/>
      <c r="E2070" s="4" t="str">
        <f>IFERROR(__xludf.DUMMYFUNCTION("""COMPUTED_VALUE"""),"Sin precio neto")</f>
        <v>Sin precio neto</v>
      </c>
    </row>
    <row r="2071">
      <c r="A2071" s="4" t="str">
        <f>IFERROR(__xludf.DUMMYFUNCTION("""COMPUTED_VALUE"""),"MCA5")</f>
        <v>MCA5</v>
      </c>
      <c r="B2071" s="4" t="str">
        <f>IFERROR(__xludf.DUMMYFUNCTION("""COMPUTED_VALUE"""),"Panel impreso Metacrilato colada 2 mm A5 (148x210 mm)")</f>
        <v>Panel impreso Metacrilato colada 2 mm A5 (148x210 mm)</v>
      </c>
      <c r="C2071" s="4">
        <f>IFERROR(__xludf.DUMMYFUNCTION("""COMPUTED_VALUE"""),3.264)</f>
        <v>3.264</v>
      </c>
      <c r="D2071" s="4"/>
      <c r="E2071" s="4" t="str">
        <f>IFERROR(__xludf.DUMMYFUNCTION("""COMPUTED_VALUE"""),"Sin precio neto")</f>
        <v>Sin precio neto</v>
      </c>
    </row>
    <row r="2072">
      <c r="A2072" s="4" t="str">
        <f>IFERROR(__xludf.DUMMYFUNCTION("""COMPUTED_VALUE"""),"MCA6")</f>
        <v>MCA6</v>
      </c>
      <c r="B2072" s="4" t="str">
        <f>IFERROR(__xludf.DUMMYFUNCTION("""COMPUTED_VALUE"""),"Panel impreso Metacrilato colada 2 mm A6 (148x105 mm)")</f>
        <v>Panel impreso Metacrilato colada 2 mm A6 (148x105 mm)</v>
      </c>
      <c r="C2072" s="4">
        <f>IFERROR(__xludf.DUMMYFUNCTION("""COMPUTED_VALUE"""),2.112)</f>
        <v>2.112</v>
      </c>
      <c r="D2072" s="4"/>
      <c r="E2072" s="4" t="str">
        <f>IFERROR(__xludf.DUMMYFUNCTION("""COMPUTED_VALUE"""),"Sin precio neto")</f>
        <v>Sin precio neto</v>
      </c>
    </row>
    <row r="2073">
      <c r="A2073" s="4" t="str">
        <f>IFERROR(__xludf.DUMMYFUNCTION("""COMPUTED_VALUE"""),"PASA1")</f>
        <v>PASA1</v>
      </c>
      <c r="B2073" s="4" t="str">
        <f>IFERROR(__xludf.DUMMYFUNCTION("""COMPUTED_VALUE"""),"Panel impreso Aluminio Sandwich 2mm/0.15 mm A1 (841x594")</f>
        <v>Panel impreso Aluminio Sandwich 2mm/0.15 mm A1 (841x594</v>
      </c>
      <c r="C2073" s="4">
        <f>IFERROR(__xludf.DUMMYFUNCTION("""COMPUTED_VALUE"""),28.368)</f>
        <v>28.368</v>
      </c>
      <c r="D2073" s="4"/>
      <c r="E2073" s="4" t="str">
        <f>IFERROR(__xludf.DUMMYFUNCTION("""COMPUTED_VALUE"""),"Sin precio neto")</f>
        <v>Sin precio neto</v>
      </c>
    </row>
    <row r="2074">
      <c r="A2074" s="4" t="str">
        <f>IFERROR(__xludf.DUMMYFUNCTION("""COMPUTED_VALUE"""),"PASA2")</f>
        <v>PASA2</v>
      </c>
      <c r="B2074" s="4" t="str">
        <f>IFERROR(__xludf.DUMMYFUNCTION("""COMPUTED_VALUE"""),"Panel impreso Aluminio Sandwich 2mm/0.15 mm A2 (594x420")</f>
        <v>Panel impreso Aluminio Sandwich 2mm/0.15 mm A2 (594x420</v>
      </c>
      <c r="C2074" s="4">
        <f>IFERROR(__xludf.DUMMYFUNCTION("""COMPUTED_VALUE"""),12.144)</f>
        <v>12.144</v>
      </c>
      <c r="D2074" s="4"/>
      <c r="E2074" s="4" t="str">
        <f>IFERROR(__xludf.DUMMYFUNCTION("""COMPUTED_VALUE"""),"Sin precio neto")</f>
        <v>Sin precio neto</v>
      </c>
    </row>
    <row r="2075">
      <c r="A2075" s="4" t="str">
        <f>IFERROR(__xludf.DUMMYFUNCTION("""COMPUTED_VALUE"""),"PASA3")</f>
        <v>PASA3</v>
      </c>
      <c r="B2075" s="4" t="str">
        <f>IFERROR(__xludf.DUMMYFUNCTION("""COMPUTED_VALUE"""),"Panel impreso Aluminio Sandwich 2mm/0.15 mm A3 (420x297")</f>
        <v>Panel impreso Aluminio Sandwich 2mm/0.15 mm A3 (420x297</v>
      </c>
      <c r="C2075" s="4">
        <f>IFERROR(__xludf.DUMMYFUNCTION("""COMPUTED_VALUE"""),4.872)</f>
        <v>4.872</v>
      </c>
      <c r="D2075" s="4"/>
      <c r="E2075" s="4" t="str">
        <f>IFERROR(__xludf.DUMMYFUNCTION("""COMPUTED_VALUE"""),"Sin precio neto")</f>
        <v>Sin precio neto</v>
      </c>
    </row>
    <row r="2076">
      <c r="A2076" s="4" t="str">
        <f>IFERROR(__xludf.DUMMYFUNCTION("""COMPUTED_VALUE"""),"PASA4")</f>
        <v>PASA4</v>
      </c>
      <c r="B2076" s="4" t="str">
        <f>IFERROR(__xludf.DUMMYFUNCTION("""COMPUTED_VALUE"""),"Panel impreso Aluminio Sandwich 2mm/0.15 mm A4 (297x210")</f>
        <v>Panel impreso Aluminio Sandwich 2mm/0.15 mm A4 (297x210</v>
      </c>
      <c r="C2076" s="4">
        <f>IFERROR(__xludf.DUMMYFUNCTION("""COMPUTED_VALUE"""),2.6399999999999997)</f>
        <v>2.64</v>
      </c>
      <c r="D2076" s="4"/>
      <c r="E2076" s="4" t="str">
        <f>IFERROR(__xludf.DUMMYFUNCTION("""COMPUTED_VALUE"""),"Sin precio neto")</f>
        <v>Sin precio neto</v>
      </c>
    </row>
    <row r="2077">
      <c r="A2077" s="4" t="str">
        <f>IFERROR(__xludf.DUMMYFUNCTION("""COMPUTED_VALUE"""),"PASA5")</f>
        <v>PASA5</v>
      </c>
      <c r="B2077" s="4" t="str">
        <f>IFERROR(__xludf.DUMMYFUNCTION("""COMPUTED_VALUE"""),"Panel impreso Aluminio Sandwich 2mm/0.15 mm A5 (148x210")</f>
        <v>Panel impreso Aluminio Sandwich 2mm/0.15 mm A5 (148x210</v>
      </c>
      <c r="C2077" s="4">
        <f>IFERROR(__xludf.DUMMYFUNCTION("""COMPUTED_VALUE"""),1.3439999999999999)</f>
        <v>1.344</v>
      </c>
      <c r="D2077" s="4"/>
      <c r="E2077" s="4" t="str">
        <f>IFERROR(__xludf.DUMMYFUNCTION("""COMPUTED_VALUE"""),"Sin precio neto")</f>
        <v>Sin precio neto</v>
      </c>
    </row>
    <row r="2078">
      <c r="A2078" s="4" t="str">
        <f>IFERROR(__xludf.DUMMYFUNCTION("""COMPUTED_VALUE"""),"PASA6")</f>
        <v>PASA6</v>
      </c>
      <c r="B2078" s="4" t="str">
        <f>IFERROR(__xludf.DUMMYFUNCTION("""COMPUTED_VALUE"""),"Panel impreso Aluminio Sandwich 2mm/0.15 mm A6 (105x148")</f>
        <v>Panel impreso Aluminio Sandwich 2mm/0.15 mm A6 (105x148</v>
      </c>
      <c r="C2078" s="4">
        <f>IFERROR(__xludf.DUMMYFUNCTION("""COMPUTED_VALUE"""),1.056)</f>
        <v>1.056</v>
      </c>
      <c r="D2078" s="4"/>
      <c r="E2078" s="4" t="str">
        <f>IFERROR(__xludf.DUMMYFUNCTION("""COMPUTED_VALUE"""),"Sin precio neto")</f>
        <v>Sin precio neto</v>
      </c>
    </row>
    <row r="2079">
      <c r="A2079" s="4" t="str">
        <f>IFERROR(__xludf.DUMMYFUNCTION("""COMPUTED_VALUE"""),"PCMA1")</f>
        <v>PCMA1</v>
      </c>
      <c r="B2079" s="4" t="str">
        <f>IFERROR(__xludf.DUMMYFUNCTION("""COMPUTED_VALUE"""),"Panel impreso PP Celular Microcanal 3 mm A1 (841x594 mm)")</f>
        <v>Panel impreso PP Celular Microcanal 3 mm A1 (841x594 mm)</v>
      </c>
      <c r="C2079" s="4">
        <f>IFERROR(__xludf.DUMMYFUNCTION("""COMPUTED_VALUE"""),9.004800000000001)</f>
        <v>9.0048</v>
      </c>
      <c r="D2079" s="4"/>
      <c r="E2079" s="4" t="str">
        <f>IFERROR(__xludf.DUMMYFUNCTION("""COMPUTED_VALUE"""),"Sin precio neto")</f>
        <v>Sin precio neto</v>
      </c>
    </row>
    <row r="2080">
      <c r="A2080" s="4" t="str">
        <f>IFERROR(__xludf.DUMMYFUNCTION("""COMPUTED_VALUE"""),"PCMA2")</f>
        <v>PCMA2</v>
      </c>
      <c r="B2080" s="4" t="str">
        <f>IFERROR(__xludf.DUMMYFUNCTION("""COMPUTED_VALUE"""),"Panel impreso PP Celular Microcanal 3 mm A2 (594x420 mm)")</f>
        <v>Panel impreso PP Celular Microcanal 3 mm A2 (594x420 mm)</v>
      </c>
      <c r="C2080" s="4">
        <f>IFERROR(__xludf.DUMMYFUNCTION("""COMPUTED_VALUE"""),4.300800000000001)</f>
        <v>4.3008</v>
      </c>
      <c r="D2080" s="4"/>
      <c r="E2080" s="4" t="str">
        <f>IFERROR(__xludf.DUMMYFUNCTION("""COMPUTED_VALUE"""),"Sin precio neto")</f>
        <v>Sin precio neto</v>
      </c>
    </row>
    <row r="2081">
      <c r="A2081" s="4" t="str">
        <f>IFERROR(__xludf.DUMMYFUNCTION("""COMPUTED_VALUE"""),"PCMA3")</f>
        <v>PCMA3</v>
      </c>
      <c r="B2081" s="4" t="str">
        <f>IFERROR(__xludf.DUMMYFUNCTION("""COMPUTED_VALUE"""),"Panel impreso PP Celular Microcanal 3 mm A3 (420x297 mm)")</f>
        <v>Panel impreso PP Celular Microcanal 3 mm A3 (420x297 mm)</v>
      </c>
      <c r="C2081" s="4">
        <f>IFERROR(__xludf.DUMMYFUNCTION("""COMPUTED_VALUE"""),2.3424)</f>
        <v>2.3424</v>
      </c>
      <c r="D2081" s="4"/>
      <c r="E2081" s="4" t="str">
        <f>IFERROR(__xludf.DUMMYFUNCTION("""COMPUTED_VALUE"""),"Sin precio neto")</f>
        <v>Sin precio neto</v>
      </c>
    </row>
    <row r="2082">
      <c r="A2082" s="4" t="str">
        <f>IFERROR(__xludf.DUMMYFUNCTION("""COMPUTED_VALUE"""),"PCMA4")</f>
        <v>PCMA4</v>
      </c>
      <c r="B2082" s="4" t="str">
        <f>IFERROR(__xludf.DUMMYFUNCTION("""COMPUTED_VALUE"""),"Panel impreso PP Celular Microcanal 3 mm A4 (297x210 mm)")</f>
        <v>Panel impreso PP Celular Microcanal 3 mm A4 (297x210 mm)</v>
      </c>
      <c r="C2082" s="4">
        <f>IFERROR(__xludf.DUMMYFUNCTION("""COMPUTED_VALUE"""),1.68)</f>
        <v>1.68</v>
      </c>
      <c r="D2082" s="4"/>
      <c r="E2082" s="4" t="str">
        <f>IFERROR(__xludf.DUMMYFUNCTION("""COMPUTED_VALUE"""),"Sin precio neto")</f>
        <v>Sin precio neto</v>
      </c>
    </row>
    <row r="2083">
      <c r="A2083" s="4" t="str">
        <f>IFERROR(__xludf.DUMMYFUNCTION("""COMPUTED_VALUE"""),"PCMA5")</f>
        <v>PCMA5</v>
      </c>
      <c r="B2083" s="4" t="str">
        <f>IFERROR(__xludf.DUMMYFUNCTION("""COMPUTED_VALUE"""),"Panel impreso PP Celular Microcanal 3 mm A5 (148x210 mm)")</f>
        <v>Panel impreso PP Celular Microcanal 3 mm A5 (148x210 mm)</v>
      </c>
      <c r="C2083" s="4">
        <f>IFERROR(__xludf.DUMMYFUNCTION("""COMPUTED_VALUE"""),1.2)</f>
        <v>1.2</v>
      </c>
      <c r="D2083" s="4"/>
      <c r="E2083" s="4" t="str">
        <f>IFERROR(__xludf.DUMMYFUNCTION("""COMPUTED_VALUE"""),"Sin precio neto")</f>
        <v>Sin precio neto</v>
      </c>
    </row>
    <row r="2084">
      <c r="A2084" s="4" t="str">
        <f>IFERROR(__xludf.DUMMYFUNCTION("""COMPUTED_VALUE"""),"PCMA6")</f>
        <v>PCMA6</v>
      </c>
      <c r="B2084" s="4" t="str">
        <f>IFERROR(__xludf.DUMMYFUNCTION("""COMPUTED_VALUE"""),"Panel impreso PP Celular Microcanal 3 mm A6 (105x148 mm)")</f>
        <v>Panel impreso PP Celular Microcanal 3 mm A6 (105x148 mm)</v>
      </c>
      <c r="C2084" s="4">
        <f>IFERROR(__xludf.DUMMYFUNCTION("""COMPUTED_VALUE"""),0.864)</f>
        <v>0.864</v>
      </c>
      <c r="D2084" s="4"/>
      <c r="E2084" s="4" t="str">
        <f>IFERROR(__xludf.DUMMYFUNCTION("""COMPUTED_VALUE"""),"Sin precio neto")</f>
        <v>Sin precio neto</v>
      </c>
    </row>
    <row r="2085">
      <c r="A2085" s="4" t="str">
        <f>IFERROR(__xludf.DUMMYFUNCTION("""COMPUTED_VALUE"""),"PIEVALLA")</f>
        <v>PIEVALLA</v>
      </c>
      <c r="B2085" s="4" t="str">
        <f>IFERROR(__xludf.DUMMYFUNCTION("""COMPUTED_VALUE"""),"Pie de valla Gate Barrier")</f>
        <v>Pie de valla Gate Barrier</v>
      </c>
      <c r="C2085" s="4">
        <f>IFERROR(__xludf.DUMMYFUNCTION("""COMPUTED_VALUE"""),9.36)</f>
        <v>9.36</v>
      </c>
      <c r="D2085" s="4"/>
      <c r="E2085" s="4" t="str">
        <f>IFERROR(__xludf.DUMMYFUNCTION("""COMPUTED_VALUE"""),"Sin precio neto")</f>
        <v>Sin precio neto</v>
      </c>
    </row>
    <row r="2086">
      <c r="A2086" s="4" t="str">
        <f>IFERROR(__xludf.DUMMYFUNCTION("""COMPUTED_VALUE"""),"PIEVALLAP")</f>
        <v>PIEVALLAP</v>
      </c>
      <c r="B2086" s="4" t="str">
        <f>IFERROR(__xludf.DUMMYFUNCTION("""COMPUTED_VALUE"""),"Pie Valla Gate Barrier Asimétrico")</f>
        <v>Pie Valla Gate Barrier Asimétrico</v>
      </c>
      <c r="C2086" s="4">
        <f>IFERROR(__xludf.DUMMYFUNCTION("""COMPUTED_VALUE"""),8.64)</f>
        <v>8.64</v>
      </c>
      <c r="D2086" s="4"/>
      <c r="E2086" s="4" t="str">
        <f>IFERROR(__xludf.DUMMYFUNCTION("""COMPUTED_VALUE"""),"Sin precio neto")</f>
        <v>Sin precio neto</v>
      </c>
    </row>
    <row r="2087">
      <c r="A2087" s="4" t="str">
        <f>IFERROR(__xludf.DUMMYFUNCTION("""COMPUTED_VALUE"""),"PVC10070FOTOL")</f>
        <v>PVC10070FOTOL</v>
      </c>
      <c r="B2087" s="4" t="str">
        <f>IFERROR(__xludf.DUMMYFUNCTION("""COMPUTED_VALUE"""),"Cartel PVC fotoluminiscente 100x70 cm")</f>
        <v>Cartel PVC fotoluminiscente 100x70 cm</v>
      </c>
      <c r="C2087" s="4">
        <f>IFERROR(__xludf.DUMMYFUNCTION("""COMPUTED_VALUE"""),23.04)</f>
        <v>23.04</v>
      </c>
      <c r="D2087" s="4"/>
      <c r="E2087" s="4" t="str">
        <f>IFERROR(__xludf.DUMMYFUNCTION("""COMPUTED_VALUE"""),"Sin precio neto")</f>
        <v>Sin precio neto</v>
      </c>
    </row>
    <row r="2088">
      <c r="A2088" s="4" t="str">
        <f>IFERROR(__xludf.DUMMYFUNCTION("""COMPUTED_VALUE"""),"PVCRA1")</f>
        <v>PVCRA1</v>
      </c>
      <c r="B2088" s="4" t="str">
        <f>IFERROR(__xludf.DUMMYFUNCTION("""COMPUTED_VALUE"""),"Panel impreso PVC Rígido espumado 3 mm A1 (841x594 mm)")</f>
        <v>Panel impreso PVC Rígido espumado 3 mm A1 (841x594 mm)</v>
      </c>
      <c r="C2088" s="4">
        <f>IFERROR(__xludf.DUMMYFUNCTION("""COMPUTED_VALUE"""),14.111999999999998)</f>
        <v>14.112</v>
      </c>
      <c r="D2088" s="4"/>
      <c r="E2088" s="4" t="str">
        <f>IFERROR(__xludf.DUMMYFUNCTION("""COMPUTED_VALUE"""),"Sin precio neto")</f>
        <v>Sin precio neto</v>
      </c>
    </row>
    <row r="2089">
      <c r="A2089" s="4" t="str">
        <f>IFERROR(__xludf.DUMMYFUNCTION("""COMPUTED_VALUE"""),"PVCRA2")</f>
        <v>PVCRA2</v>
      </c>
      <c r="B2089" s="4" t="str">
        <f>IFERROR(__xludf.DUMMYFUNCTION("""COMPUTED_VALUE"""),"Panel impreso PVC Rígido espumado 3 mm A2 (594X420 mm)")</f>
        <v>Panel impreso PVC Rígido espumado 3 mm A2 (594X420 mm)</v>
      </c>
      <c r="C2089" s="4">
        <f>IFERROR(__xludf.DUMMYFUNCTION("""COMPUTED_VALUE"""),8.256)</f>
        <v>8.256</v>
      </c>
      <c r="D2089" s="4"/>
      <c r="E2089" s="4" t="str">
        <f>IFERROR(__xludf.DUMMYFUNCTION("""COMPUTED_VALUE"""),"Sin precio neto")</f>
        <v>Sin precio neto</v>
      </c>
    </row>
    <row r="2090">
      <c r="A2090" s="4" t="str">
        <f>IFERROR(__xludf.DUMMYFUNCTION("""COMPUTED_VALUE"""),"PVCRA3")</f>
        <v>PVCRA3</v>
      </c>
      <c r="B2090" s="4" t="str">
        <f>IFERROR(__xludf.DUMMYFUNCTION("""COMPUTED_VALUE"""),"Panel impreso PVC Rígido espumado 3 mm A3 (420x297 mm)")</f>
        <v>Panel impreso PVC Rígido espumado 3 mm A3 (420x297 mm)</v>
      </c>
      <c r="C2090" s="4">
        <f>IFERROR(__xludf.DUMMYFUNCTION("""COMPUTED_VALUE"""),5.2224)</f>
        <v>5.2224</v>
      </c>
      <c r="D2090" s="4"/>
      <c r="E2090" s="4" t="str">
        <f>IFERROR(__xludf.DUMMYFUNCTION("""COMPUTED_VALUE"""),"Sin precio neto")</f>
        <v>Sin precio neto</v>
      </c>
    </row>
    <row r="2091">
      <c r="A2091" s="4" t="str">
        <f>IFERROR(__xludf.DUMMYFUNCTION("""COMPUTED_VALUE"""),"PVCRA4")</f>
        <v>PVCRA4</v>
      </c>
      <c r="B2091" s="4" t="str">
        <f>IFERROR(__xludf.DUMMYFUNCTION("""COMPUTED_VALUE"""),"Panel impreso PVC Rígido espumado 3 mm A4 (297x210 mm)")</f>
        <v>Panel impreso PVC Rígido espumado 3 mm A4 (297x210 mm)</v>
      </c>
      <c r="C2091" s="4">
        <f>IFERROR(__xludf.DUMMYFUNCTION("""COMPUTED_VALUE"""),3.5999999999999996)</f>
        <v>3.6</v>
      </c>
      <c r="D2091" s="4"/>
      <c r="E2091" s="4" t="str">
        <f>IFERROR(__xludf.DUMMYFUNCTION("""COMPUTED_VALUE"""),"Sin precio neto")</f>
        <v>Sin precio neto</v>
      </c>
    </row>
    <row r="2092">
      <c r="A2092" s="4" t="str">
        <f>IFERROR(__xludf.DUMMYFUNCTION("""COMPUTED_VALUE"""),"PVCRA5")</f>
        <v>PVCRA5</v>
      </c>
      <c r="B2092" s="4" t="str">
        <f>IFERROR(__xludf.DUMMYFUNCTION("""COMPUTED_VALUE"""),"Panel impreso PVC Rígido espumado 3 mm A5 (148x210 mm)")</f>
        <v>Panel impreso PVC Rígido espumado 3 mm A5 (148x210 mm)</v>
      </c>
      <c r="C2092" s="4">
        <f>IFERROR(__xludf.DUMMYFUNCTION("""COMPUTED_VALUE"""),2.4384)</f>
        <v>2.4384</v>
      </c>
      <c r="D2092" s="4"/>
      <c r="E2092" s="4" t="str">
        <f>IFERROR(__xludf.DUMMYFUNCTION("""COMPUTED_VALUE"""),"Sin precio neto")</f>
        <v>Sin precio neto</v>
      </c>
    </row>
    <row r="2093">
      <c r="A2093" s="4" t="str">
        <f>IFERROR(__xludf.DUMMYFUNCTION("""COMPUTED_VALUE"""),"PVCRA6")</f>
        <v>PVCRA6</v>
      </c>
      <c r="B2093" s="4" t="str">
        <f>IFERROR(__xludf.DUMMYFUNCTION("""COMPUTED_VALUE"""),"Panel impreso PVC Rígido espumado 3 mm A6 (105x148 mm)")</f>
        <v>Panel impreso PVC Rígido espumado 3 mm A6 (105x148 mm)</v>
      </c>
      <c r="C2093" s="4">
        <f>IFERROR(__xludf.DUMMYFUNCTION("""COMPUTED_VALUE"""),1.248)</f>
        <v>1.248</v>
      </c>
      <c r="D2093" s="4"/>
      <c r="E2093" s="4" t="str">
        <f>IFERROR(__xludf.DUMMYFUNCTION("""COMPUTED_VALUE"""),"Sin precio neto")</f>
        <v>Sin precio neto</v>
      </c>
    </row>
    <row r="2094">
      <c r="A2094" s="4" t="str">
        <f>IFERROR(__xludf.DUMMYFUNCTION("""COMPUTED_VALUE"""),"S13LUM")</f>
        <v>S13LUM</v>
      </c>
      <c r="B2094" s="4" t="str">
        <f>IFERROR(__xludf.DUMMYFUNCTION("""COMPUTED_VALUE"""),"Señal aluminio Luminosa S13 60 cm")</f>
        <v>Señal aluminio Luminosa S13 60 cm</v>
      </c>
      <c r="C2094" s="4">
        <f>IFERROR(__xludf.DUMMYFUNCTION("""COMPUTED_VALUE"""),552.0)</f>
        <v>552</v>
      </c>
      <c r="D2094" s="4"/>
      <c r="E2094" s="4" t="str">
        <f>IFERROR(__xludf.DUMMYFUNCTION("""COMPUTED_VALUE"""),"Sin precio neto")</f>
        <v>Sin precio neto</v>
      </c>
    </row>
    <row r="2095">
      <c r="A2095" s="4" t="str">
        <f>IFERROR(__xludf.DUMMYFUNCTION("""COMPUTED_VALUE"""),"S13SOLAR")</f>
        <v>S13SOLAR</v>
      </c>
      <c r="B2095" s="4" t="str">
        <f>IFERROR(__xludf.DUMMYFUNCTION("""COMPUTED_VALUE"""),"Kit Solar 20 w para alimentación 5 ah/12 v")</f>
        <v>Kit Solar 20 w para alimentación 5 ah/12 v</v>
      </c>
      <c r="C2095" s="4">
        <f>IFERROR(__xludf.DUMMYFUNCTION("""COMPUTED_VALUE"""),374.4)</f>
        <v>374.4</v>
      </c>
      <c r="D2095" s="4"/>
      <c r="E2095" s="4" t="str">
        <f>IFERROR(__xludf.DUMMYFUNCTION("""COMPUTED_VALUE"""),"Sin precio neto")</f>
        <v>Sin precio neto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tr">
        <f>IFERROR(__xludf.DUMMYFUNCTION("QUERY('Hoja 1'!A:L, ""SELECT A, B, J WHERE A IS NOT NULL"", 1)"),"Referencia")</f>
        <v>Referencia</v>
      </c>
      <c r="B1" s="4" t="str">
        <f>IFERROR(__xludf.DUMMYFUNCTION("""COMPUTED_VALUE"""),"Descripcion")</f>
        <v>Descripcion</v>
      </c>
      <c r="C1" s="4" t="str">
        <f>IFERROR(__xludf.DUMMYFUNCTION("""COMPUTED_VALUE"""),"PRECIO_GRUPO1")</f>
        <v>PRECIO_GRUPO1</v>
      </c>
    </row>
    <row r="2">
      <c r="A2" s="4" t="str">
        <f>IFERROR(__xludf.DUMMYFUNCTION("""COMPUTED_VALUE"""),"101")</f>
        <v>101</v>
      </c>
      <c r="B2" s="4" t="str">
        <f>IFERROR(__xludf.DUMMYFUNCTION("""COMPUTED_VALUE"""),"Cartel PVC 21x29 Fotolum. SALIDA FLECHA IZQ.")</f>
        <v>Cartel PVC 21x29 Fotolum. SALIDA FLECHA IZQ.</v>
      </c>
      <c r="C2" s="4">
        <f>IFERROR(__xludf.DUMMYFUNCTION("""COMPUTED_VALUE"""),2.496)</f>
        <v>2.496</v>
      </c>
    </row>
    <row r="3">
      <c r="A3" s="4" t="str">
        <f>IFERROR(__xludf.DUMMYFUNCTION("""COMPUTED_VALUE"""),"0101A")</f>
        <v>0101A</v>
      </c>
      <c r="B3" s="4" t="str">
        <f>IFERROR(__xludf.DUMMYFUNCTION("""COMPUTED_VALUE"""),"Cartel PVC 32x16 Fotolum Salida flecha derecha")</f>
        <v>Cartel PVC 32x16 Fotolum Salida flecha derecha</v>
      </c>
      <c r="C3" s="4">
        <f>IFERROR(__xludf.DUMMYFUNCTION("""COMPUTED_VALUE"""),2.16)</f>
        <v>2.16</v>
      </c>
    </row>
    <row r="4">
      <c r="A4" s="4" t="str">
        <f>IFERROR(__xludf.DUMMYFUNCTION("""COMPUTED_VALUE"""),"0101B")</f>
        <v>0101B</v>
      </c>
      <c r="B4" s="4" t="str">
        <f>IFERROR(__xludf.DUMMYFUNCTION("""COMPUTED_VALUE"""),"Cartel PVC 64x32 Fotolum Salida flecha derecha")</f>
        <v>Cartel PVC 64x32 Fotolum Salida flecha derecha</v>
      </c>
      <c r="C4" s="4">
        <f>IFERROR(__xludf.DUMMYFUNCTION("""COMPUTED_VALUE"""),4.300800000000001)</f>
        <v>4.3008</v>
      </c>
    </row>
    <row r="5">
      <c r="A5" s="4" t="str">
        <f>IFERROR(__xludf.DUMMYFUNCTION("""COMPUTED_VALUE"""),"0101C")</f>
        <v>0101C</v>
      </c>
      <c r="B5" s="4" t="str">
        <f>IFERROR(__xludf.DUMMYFUNCTION("""COMPUTED_VALUE"""),"Cartel PVC 96x48 Fotolum Salida flecha derecha")</f>
        <v>Cartel PVC 96x48 Fotolum Salida flecha derecha</v>
      </c>
      <c r="C5" s="4">
        <f>IFERROR(__xludf.DUMMYFUNCTION("""COMPUTED_VALUE"""),8.601600000000001)</f>
        <v>8.6016</v>
      </c>
    </row>
    <row r="6">
      <c r="A6" s="4" t="str">
        <f>IFERROR(__xludf.DUMMYFUNCTION("""COMPUTED_VALUE"""),"102")</f>
        <v>102</v>
      </c>
      <c r="B6" s="4" t="str">
        <f>IFERROR(__xludf.DUMMYFUNCTION("""COMPUTED_VALUE"""),"Cartel PVC 21x29 Fotolum. SALIDA FLECHA IZQ.")</f>
        <v>Cartel PVC 21x29 Fotolum. SALIDA FLECHA IZQ.</v>
      </c>
      <c r="C6" s="4">
        <f>IFERROR(__xludf.DUMMYFUNCTION("""COMPUTED_VALUE"""),2.496)</f>
        <v>2.496</v>
      </c>
    </row>
    <row r="7">
      <c r="A7" s="4" t="str">
        <f>IFERROR(__xludf.DUMMYFUNCTION("""COMPUTED_VALUE"""),"0102A")</f>
        <v>0102A</v>
      </c>
      <c r="B7" s="4" t="str">
        <f>IFERROR(__xludf.DUMMYFUNCTION("""COMPUTED_VALUE"""),"Cartel PVC 32x16 Fotolum Salida flecha izquierda")</f>
        <v>Cartel PVC 32x16 Fotolum Salida flecha izquierda</v>
      </c>
      <c r="C7" s="4">
        <f>IFERROR(__xludf.DUMMYFUNCTION("""COMPUTED_VALUE"""),2.16)</f>
        <v>2.16</v>
      </c>
    </row>
    <row r="8">
      <c r="A8" s="4" t="str">
        <f>IFERROR(__xludf.DUMMYFUNCTION("""COMPUTED_VALUE"""),"0102B")</f>
        <v>0102B</v>
      </c>
      <c r="B8" s="4" t="str">
        <f>IFERROR(__xludf.DUMMYFUNCTION("""COMPUTED_VALUE"""),"Cartel PVC 64x32 Fotolum Salida flecha izquierda")</f>
        <v>Cartel PVC 64x32 Fotolum Salida flecha izquierda</v>
      </c>
      <c r="C8" s="4">
        <f>IFERROR(__xludf.DUMMYFUNCTION("""COMPUTED_VALUE"""),4.300800000000001)</f>
        <v>4.3008</v>
      </c>
    </row>
    <row r="9">
      <c r="A9" s="4" t="str">
        <f>IFERROR(__xludf.DUMMYFUNCTION("""COMPUTED_VALUE"""),"0102C")</f>
        <v>0102C</v>
      </c>
      <c r="B9" s="4" t="str">
        <f>IFERROR(__xludf.DUMMYFUNCTION("""COMPUTED_VALUE"""),"Cartel PVC 96x48 Fotolum Salida flecha izquierda")</f>
        <v>Cartel PVC 96x48 Fotolum Salida flecha izquierda</v>
      </c>
      <c r="C9" s="4">
        <f>IFERROR(__xludf.DUMMYFUNCTION("""COMPUTED_VALUE"""),8.601600000000001)</f>
        <v>8.6016</v>
      </c>
    </row>
    <row r="10">
      <c r="A10" s="4" t="str">
        <f>IFERROR(__xludf.DUMMYFUNCTION("""COMPUTED_VALUE"""),"103")</f>
        <v>103</v>
      </c>
      <c r="B10" s="4" t="str">
        <f>IFERROR(__xludf.DUMMYFUNCTION("""COMPUTED_VALUE"""),"Cartel PVC 21x29 Fotolum. SALIDA FLECHA FRONTAL")</f>
        <v>Cartel PVC 21x29 Fotolum. SALIDA FLECHA FRONTAL</v>
      </c>
      <c r="C10" s="4">
        <f>IFERROR(__xludf.DUMMYFUNCTION("""COMPUTED_VALUE"""),2.496)</f>
        <v>2.496</v>
      </c>
    </row>
    <row r="11">
      <c r="A11" s="4" t="str">
        <f>IFERROR(__xludf.DUMMYFUNCTION("""COMPUTED_VALUE"""),"0103A")</f>
        <v>0103A</v>
      </c>
      <c r="B11" s="4" t="str">
        <f>IFERROR(__xludf.DUMMYFUNCTION("""COMPUTED_VALUE"""),"Cartel PVC 32x16 Fotolum Salida flecha arriba")</f>
        <v>Cartel PVC 32x16 Fotolum Salida flecha arriba</v>
      </c>
      <c r="C11" s="4">
        <f>IFERROR(__xludf.DUMMYFUNCTION("""COMPUTED_VALUE"""),2.16)</f>
        <v>2.16</v>
      </c>
    </row>
    <row r="12">
      <c r="A12" s="4" t="str">
        <f>IFERROR(__xludf.DUMMYFUNCTION("""COMPUTED_VALUE"""),"0103B")</f>
        <v>0103B</v>
      </c>
      <c r="B12" s="4" t="str">
        <f>IFERROR(__xludf.DUMMYFUNCTION("""COMPUTED_VALUE"""),"Cartel PVC 64x32 Fotolum Salida flecha arriba")</f>
        <v>Cartel PVC 64x32 Fotolum Salida flecha arriba</v>
      </c>
      <c r="C12" s="4">
        <f>IFERROR(__xludf.DUMMYFUNCTION("""COMPUTED_VALUE"""),4.300800000000001)</f>
        <v>4.3008</v>
      </c>
    </row>
    <row r="13">
      <c r="A13" s="4" t="str">
        <f>IFERROR(__xludf.DUMMYFUNCTION("""COMPUTED_VALUE"""),"0103C")</f>
        <v>0103C</v>
      </c>
      <c r="B13" s="4" t="str">
        <f>IFERROR(__xludf.DUMMYFUNCTION("""COMPUTED_VALUE"""),"Cartel PVC 96x48 Fotolum Salida flecha arriba")</f>
        <v>Cartel PVC 96x48 Fotolum Salida flecha arriba</v>
      </c>
      <c r="C13" s="4">
        <f>IFERROR(__xludf.DUMMYFUNCTION("""COMPUTED_VALUE"""),8.601600000000001)</f>
        <v>8.6016</v>
      </c>
    </row>
    <row r="14">
      <c r="A14" s="4" t="str">
        <f>IFERROR(__xludf.DUMMYFUNCTION("""COMPUTED_VALUE"""),"104")</f>
        <v>104</v>
      </c>
      <c r="B14" s="4" t="str">
        <f>IFERROR(__xludf.DUMMYFUNCTION("""COMPUTED_VALUE"""),"Cartel PVC 21x29 Fotolum. SALIDA FLECHA ABAJO")</f>
        <v>Cartel PVC 21x29 Fotolum. SALIDA FLECHA ABAJO</v>
      </c>
      <c r="C14" s="4">
        <f>IFERROR(__xludf.DUMMYFUNCTION("""COMPUTED_VALUE"""),2.496)</f>
        <v>2.496</v>
      </c>
    </row>
    <row r="15">
      <c r="A15" s="4" t="str">
        <f>IFERROR(__xludf.DUMMYFUNCTION("""COMPUTED_VALUE"""),"0104A")</f>
        <v>0104A</v>
      </c>
      <c r="B15" s="4" t="str">
        <f>IFERROR(__xludf.DUMMYFUNCTION("""COMPUTED_VALUE"""),"Cartel PVC 32x16 Fotolum Salida flecha abajo")</f>
        <v>Cartel PVC 32x16 Fotolum Salida flecha abajo</v>
      </c>
      <c r="C15" s="4">
        <f>IFERROR(__xludf.DUMMYFUNCTION("""COMPUTED_VALUE"""),2.16)</f>
        <v>2.16</v>
      </c>
    </row>
    <row r="16">
      <c r="A16" s="4" t="str">
        <f>IFERROR(__xludf.DUMMYFUNCTION("""COMPUTED_VALUE"""),"0104B")</f>
        <v>0104B</v>
      </c>
      <c r="B16" s="4" t="str">
        <f>IFERROR(__xludf.DUMMYFUNCTION("""COMPUTED_VALUE"""),"Cartel PVC 64x32 Fotolum Salida flecha abajo")</f>
        <v>Cartel PVC 64x32 Fotolum Salida flecha abajo</v>
      </c>
      <c r="C16" s="4">
        <f>IFERROR(__xludf.DUMMYFUNCTION("""COMPUTED_VALUE"""),4.300800000000001)</f>
        <v>4.3008</v>
      </c>
    </row>
    <row r="17">
      <c r="A17" s="4" t="str">
        <f>IFERROR(__xludf.DUMMYFUNCTION("""COMPUTED_VALUE"""),"0104C")</f>
        <v>0104C</v>
      </c>
      <c r="B17" s="4" t="str">
        <f>IFERROR(__xludf.DUMMYFUNCTION("""COMPUTED_VALUE"""),"Cartel PVC 96x48 Fotolum Salida flecha abajo")</f>
        <v>Cartel PVC 96x48 Fotolum Salida flecha abajo</v>
      </c>
      <c r="C17" s="4">
        <f>IFERROR(__xludf.DUMMYFUNCTION("""COMPUTED_VALUE"""),8.601600000000001)</f>
        <v>8.6016</v>
      </c>
    </row>
    <row r="18">
      <c r="A18" s="4" t="str">
        <f>IFERROR(__xludf.DUMMYFUNCTION("""COMPUTED_VALUE"""),"105")</f>
        <v>105</v>
      </c>
      <c r="B18" s="4" t="str">
        <f>IFERROR(__xludf.DUMMYFUNCTION("""COMPUTED_VALUE"""),"Cartel PVC 21x29 Fotolum. SALIDA-EXIT")</f>
        <v>Cartel PVC 21x29 Fotolum. SALIDA-EXIT</v>
      </c>
      <c r="C18" s="4">
        <f>IFERROR(__xludf.DUMMYFUNCTION("""COMPUTED_VALUE"""),2.496)</f>
        <v>2.496</v>
      </c>
    </row>
    <row r="19">
      <c r="A19" s="4" t="str">
        <f>IFERROR(__xludf.DUMMYFUNCTION("""COMPUTED_VALUE"""),"0105A")</f>
        <v>0105A</v>
      </c>
      <c r="B19" s="4" t="str">
        <f>IFERROR(__xludf.DUMMYFUNCTION("""COMPUTED_VALUE"""),"Cartel PVC 32x16 Fotolum. Salida-Exit")</f>
        <v>Cartel PVC 32x16 Fotolum. Salida-Exit</v>
      </c>
      <c r="C19" s="4">
        <f>IFERROR(__xludf.DUMMYFUNCTION("""COMPUTED_VALUE"""),2.16)</f>
        <v>2.16</v>
      </c>
    </row>
    <row r="20">
      <c r="A20" s="4" t="str">
        <f>IFERROR(__xludf.DUMMYFUNCTION("""COMPUTED_VALUE"""),"0105B")</f>
        <v>0105B</v>
      </c>
      <c r="B20" s="4" t="str">
        <f>IFERROR(__xludf.DUMMYFUNCTION("""COMPUTED_VALUE"""),"Cartel PVC 64x32 Fotolum. Salida-Exit")</f>
        <v>Cartel PVC 64x32 Fotolum. Salida-Exit</v>
      </c>
      <c r="C20" s="4">
        <f>IFERROR(__xludf.DUMMYFUNCTION("""COMPUTED_VALUE"""),4.300800000000001)</f>
        <v>4.3008</v>
      </c>
    </row>
    <row r="21">
      <c r="A21" s="4" t="str">
        <f>IFERROR(__xludf.DUMMYFUNCTION("""COMPUTED_VALUE"""),"0105C")</f>
        <v>0105C</v>
      </c>
      <c r="B21" s="4" t="str">
        <f>IFERROR(__xludf.DUMMYFUNCTION("""COMPUTED_VALUE"""),"Cartel PVC 96x48 Fotolum. Salida-Exit")</f>
        <v>Cartel PVC 96x48 Fotolum. Salida-Exit</v>
      </c>
      <c r="C21" s="4">
        <f>IFERROR(__xludf.DUMMYFUNCTION("""COMPUTED_VALUE"""),8.601600000000001)</f>
        <v>8.6016</v>
      </c>
    </row>
    <row r="22">
      <c r="A22" s="4" t="str">
        <f>IFERROR(__xludf.DUMMYFUNCTION("""COMPUTED_VALUE"""),"106")</f>
        <v>106</v>
      </c>
      <c r="B22" s="4" t="str">
        <f>IFERROR(__xludf.DUMMYFUNCTION("""COMPUTED_VALUE"""),"Cartel PVC 21x29 Fotolum. SALIDA EMERG. FLECHA DCHA")</f>
        <v>Cartel PVC 21x29 Fotolum. SALIDA EMERG. FLECHA DCHA</v>
      </c>
      <c r="C22" s="4">
        <f>IFERROR(__xludf.DUMMYFUNCTION("""COMPUTED_VALUE"""),2.496)</f>
        <v>2.496</v>
      </c>
    </row>
    <row r="23">
      <c r="A23" s="4" t="str">
        <f>IFERROR(__xludf.DUMMYFUNCTION("""COMPUTED_VALUE"""),"0106A")</f>
        <v>0106A</v>
      </c>
      <c r="B23" s="4" t="str">
        <f>IFERROR(__xludf.DUMMYFUNCTION("""COMPUTED_VALUE"""),"Cartel PVC 32x16 Fotolum. Salida de emergencia + flecha")</f>
        <v>Cartel PVC 32x16 Fotolum. Salida de emergencia + flecha</v>
      </c>
      <c r="C23" s="4">
        <f>IFERROR(__xludf.DUMMYFUNCTION("""COMPUTED_VALUE"""),2.16)</f>
        <v>2.16</v>
      </c>
    </row>
    <row r="24">
      <c r="A24" s="4" t="str">
        <f>IFERROR(__xludf.DUMMYFUNCTION("""COMPUTED_VALUE"""),"0106B")</f>
        <v>0106B</v>
      </c>
      <c r="B24" s="4" t="str">
        <f>IFERROR(__xludf.DUMMYFUNCTION("""COMPUTED_VALUE"""),"Cartel PVC 64x32 Fotolum. Salida de emergencia + flecha")</f>
        <v>Cartel PVC 64x32 Fotolum. Salida de emergencia + flecha</v>
      </c>
      <c r="C24" s="4">
        <f>IFERROR(__xludf.DUMMYFUNCTION("""COMPUTED_VALUE"""),4.300800000000001)</f>
        <v>4.3008</v>
      </c>
    </row>
    <row r="25">
      <c r="A25" s="4" t="str">
        <f>IFERROR(__xludf.DUMMYFUNCTION("""COMPUTED_VALUE"""),"0106C")</f>
        <v>0106C</v>
      </c>
      <c r="B25" s="4" t="str">
        <f>IFERROR(__xludf.DUMMYFUNCTION("""COMPUTED_VALUE"""),"Cartel PVC 96x48 Fotolum. Salida de emergencia + flecha")</f>
        <v>Cartel PVC 96x48 Fotolum. Salida de emergencia + flecha</v>
      </c>
      <c r="C25" s="4">
        <f>IFERROR(__xludf.DUMMYFUNCTION("""COMPUTED_VALUE"""),8.601600000000001)</f>
        <v>8.6016</v>
      </c>
    </row>
    <row r="26">
      <c r="A26" s="4" t="str">
        <f>IFERROR(__xludf.DUMMYFUNCTION("""COMPUTED_VALUE"""),"107")</f>
        <v>107</v>
      </c>
      <c r="B26" s="4" t="str">
        <f>IFERROR(__xludf.DUMMYFUNCTION("""COMPUTED_VALUE"""),"Cartel PVC 21x29 Fotolum. SALIDA EMERG. FLECHA IZQ.")</f>
        <v>Cartel PVC 21x29 Fotolum. SALIDA EMERG. FLECHA IZQ.</v>
      </c>
      <c r="C26" s="4">
        <f>IFERROR(__xludf.DUMMYFUNCTION("""COMPUTED_VALUE"""),2.496)</f>
        <v>2.496</v>
      </c>
    </row>
    <row r="27">
      <c r="A27" s="4" t="str">
        <f>IFERROR(__xludf.DUMMYFUNCTION("""COMPUTED_VALUE"""),"0107A")</f>
        <v>0107A</v>
      </c>
      <c r="B27" s="4" t="str">
        <f>IFERROR(__xludf.DUMMYFUNCTION("""COMPUTED_VALUE"""),"Cartel PVC 32x16 Fotolum. Salida de emergencia + flecha izq")</f>
        <v>Cartel PVC 32x16 Fotolum. Salida de emergencia + flecha izq</v>
      </c>
      <c r="C27" s="4">
        <f>IFERROR(__xludf.DUMMYFUNCTION("""COMPUTED_VALUE"""),2.16)</f>
        <v>2.16</v>
      </c>
    </row>
    <row r="28">
      <c r="A28" s="4" t="str">
        <f>IFERROR(__xludf.DUMMYFUNCTION("""COMPUTED_VALUE"""),"0107B")</f>
        <v>0107B</v>
      </c>
      <c r="B28" s="4" t="str">
        <f>IFERROR(__xludf.DUMMYFUNCTION("""COMPUTED_VALUE"""),"Cartel PVC 64x32 Fotolum. Salida de emergencia + flecha izq")</f>
        <v>Cartel PVC 64x32 Fotolum. Salida de emergencia + flecha izq</v>
      </c>
      <c r="C28" s="4">
        <f>IFERROR(__xludf.DUMMYFUNCTION("""COMPUTED_VALUE"""),4.300800000000001)</f>
        <v>4.3008</v>
      </c>
    </row>
    <row r="29">
      <c r="A29" s="4" t="str">
        <f>IFERROR(__xludf.DUMMYFUNCTION("""COMPUTED_VALUE"""),"0107C")</f>
        <v>0107C</v>
      </c>
      <c r="B29" s="4" t="str">
        <f>IFERROR(__xludf.DUMMYFUNCTION("""COMPUTED_VALUE"""),"Cartel PVC 96x48 Fotolum. Salida de emergencia + flecha izq")</f>
        <v>Cartel PVC 96x48 Fotolum. Salida de emergencia + flecha izq</v>
      </c>
      <c r="C29" s="4">
        <f>IFERROR(__xludf.DUMMYFUNCTION("""COMPUTED_VALUE"""),8.601600000000001)</f>
        <v>8.6016</v>
      </c>
    </row>
    <row r="30">
      <c r="A30" s="4" t="str">
        <f>IFERROR(__xludf.DUMMYFUNCTION("""COMPUTED_VALUE"""),"108")</f>
        <v>108</v>
      </c>
      <c r="B30" s="4" t="str">
        <f>IFERROR(__xludf.DUMMYFUNCTION("""COMPUTED_VALUE"""),"Cartel PVC 21X29 Fotolum. ESCALERA EMERG. FLECHA")</f>
        <v>Cartel PVC 21X29 Fotolum. ESCALERA EMERG. FLECHA</v>
      </c>
      <c r="C30" s="4">
        <f>IFERROR(__xludf.DUMMYFUNCTION("""COMPUTED_VALUE"""),2.496)</f>
        <v>2.496</v>
      </c>
    </row>
    <row r="31">
      <c r="A31" s="4" t="str">
        <f>IFERROR(__xludf.DUMMYFUNCTION("""COMPUTED_VALUE"""),"0108A")</f>
        <v>0108A</v>
      </c>
      <c r="B31" s="4" t="str">
        <f>IFERROR(__xludf.DUMMYFUNCTION("""COMPUTED_VALUE"""),"Cartel PVC 32x16 Fotolum. Escal. de emergencia + flecha")</f>
        <v>Cartel PVC 32x16 Fotolum. Escal. de emergencia + flecha</v>
      </c>
      <c r="C31" s="4">
        <f>IFERROR(__xludf.DUMMYFUNCTION("""COMPUTED_VALUE"""),2.16)</f>
        <v>2.16</v>
      </c>
    </row>
    <row r="32">
      <c r="A32" s="4" t="str">
        <f>IFERROR(__xludf.DUMMYFUNCTION("""COMPUTED_VALUE"""),"0108B")</f>
        <v>0108B</v>
      </c>
      <c r="B32" s="4" t="str">
        <f>IFERROR(__xludf.DUMMYFUNCTION("""COMPUTED_VALUE"""),"Cartel PVC 64x32 Fotolum. Escal. de emergencia + flecha")</f>
        <v>Cartel PVC 64x32 Fotolum. Escal. de emergencia + flecha</v>
      </c>
      <c r="C32" s="4">
        <f>IFERROR(__xludf.DUMMYFUNCTION("""COMPUTED_VALUE"""),4.300800000000001)</f>
        <v>4.3008</v>
      </c>
    </row>
    <row r="33">
      <c r="A33" s="4" t="str">
        <f>IFERROR(__xludf.DUMMYFUNCTION("""COMPUTED_VALUE"""),"0108C")</f>
        <v>0108C</v>
      </c>
      <c r="B33" s="4" t="str">
        <f>IFERROR(__xludf.DUMMYFUNCTION("""COMPUTED_VALUE"""),"Cartel PVC 96x48 Fotolum. Escal. de emergencia + flecha")</f>
        <v>Cartel PVC 96x48 Fotolum. Escal. de emergencia + flecha</v>
      </c>
      <c r="C33" s="4">
        <f>IFERROR(__xludf.DUMMYFUNCTION("""COMPUTED_VALUE"""),8.601600000000001)</f>
        <v>8.6016</v>
      </c>
    </row>
    <row r="34">
      <c r="A34" s="4" t="str">
        <f>IFERROR(__xludf.DUMMYFUNCTION("""COMPUTED_VALUE"""),"109")</f>
        <v>109</v>
      </c>
      <c r="B34" s="4" t="str">
        <f>IFERROR(__xludf.DUMMYFUNCTION("""COMPUTED_VALUE"""),"Cartel PVC 21x29 Fotolum. ESCALERA EMERG. FLECHA")</f>
        <v>Cartel PVC 21x29 Fotolum. ESCALERA EMERG. FLECHA</v>
      </c>
      <c r="C34" s="4">
        <f>IFERROR(__xludf.DUMMYFUNCTION("""COMPUTED_VALUE"""),2.496)</f>
        <v>2.496</v>
      </c>
    </row>
    <row r="35">
      <c r="A35" s="4" t="str">
        <f>IFERROR(__xludf.DUMMYFUNCTION("""COMPUTED_VALUE"""),"0109A")</f>
        <v>0109A</v>
      </c>
      <c r="B35" s="4" t="str">
        <f>IFERROR(__xludf.DUMMYFUNCTION("""COMPUTED_VALUE"""),"Cartel PVC 32x16 Fotolum. Escal. de emergencia + flecha izq.")</f>
        <v>Cartel PVC 32x16 Fotolum. Escal. de emergencia + flecha izq.</v>
      </c>
      <c r="C35" s="4">
        <f>IFERROR(__xludf.DUMMYFUNCTION("""COMPUTED_VALUE"""),2.16)</f>
        <v>2.16</v>
      </c>
    </row>
    <row r="36">
      <c r="A36" s="4" t="str">
        <f>IFERROR(__xludf.DUMMYFUNCTION("""COMPUTED_VALUE"""),"0109B")</f>
        <v>0109B</v>
      </c>
      <c r="B36" s="4" t="str">
        <f>IFERROR(__xludf.DUMMYFUNCTION("""COMPUTED_VALUE"""),"Cartel PVC 64x32 Fotolum. Escal. de emergencia + flecha izq.")</f>
        <v>Cartel PVC 64x32 Fotolum. Escal. de emergencia + flecha izq.</v>
      </c>
      <c r="C36" s="4">
        <f>IFERROR(__xludf.DUMMYFUNCTION("""COMPUTED_VALUE"""),4.300800000000001)</f>
        <v>4.3008</v>
      </c>
    </row>
    <row r="37">
      <c r="A37" s="4" t="str">
        <f>IFERROR(__xludf.DUMMYFUNCTION("""COMPUTED_VALUE"""),"0109C")</f>
        <v>0109C</v>
      </c>
      <c r="B37" s="4" t="str">
        <f>IFERROR(__xludf.DUMMYFUNCTION("""COMPUTED_VALUE"""),"Cartel PVC 96x48 Fotolum. Escal. de emergencia + flecha izq.")</f>
        <v>Cartel PVC 96x48 Fotolum. Escal. de emergencia + flecha izq.</v>
      </c>
      <c r="C37" s="4">
        <f>IFERROR(__xludf.DUMMYFUNCTION("""COMPUTED_VALUE"""),8.601600000000001)</f>
        <v>8.6016</v>
      </c>
    </row>
    <row r="38">
      <c r="A38" s="4" t="str">
        <f>IFERROR(__xludf.DUMMYFUNCTION("""COMPUTED_VALUE"""),"110")</f>
        <v>110</v>
      </c>
      <c r="B38" s="4" t="str">
        <f>IFERROR(__xludf.DUMMYFUNCTION("""COMPUTED_VALUE"""),"Cartel PVC 21x29 Fotolum. No utilizar en caso de incendio")</f>
        <v>Cartel PVC 21x29 Fotolum. No utilizar en caso de incendio</v>
      </c>
      <c r="C38" s="4">
        <f>IFERROR(__xludf.DUMMYFUNCTION("""COMPUTED_VALUE"""),2.496)</f>
        <v>2.496</v>
      </c>
    </row>
    <row r="39">
      <c r="A39" s="4" t="str">
        <f>IFERROR(__xludf.DUMMYFUNCTION("""COMPUTED_VALUE"""),"0116V")</f>
        <v>0116V</v>
      </c>
      <c r="B39" s="4" t="str">
        <f>IFERROR(__xludf.DUMMYFUNCTION("""COMPUTED_VALUE"""),"Vinilo Adhesivo suelo Dir. Peatonal 40 cm")</f>
        <v>Vinilo Adhesivo suelo Dir. Peatonal 40 cm</v>
      </c>
      <c r="C39" s="4">
        <f>IFERROR(__xludf.DUMMYFUNCTION("""COMPUTED_VALUE"""),5.904)</f>
        <v>5.904</v>
      </c>
    </row>
    <row r="40">
      <c r="A40" s="4" t="str">
        <f>IFERROR(__xludf.DUMMYFUNCTION("""COMPUTED_VALUE"""),"0150A")</f>
        <v>0150A</v>
      </c>
      <c r="B40" s="4" t="str">
        <f>IFERROR(__xludf.DUMMYFUNCTION("""COMPUTED_VALUE"""),"Cartel PVC 21x21 Fotolum. Pulsador de alarma")</f>
        <v>Cartel PVC 21x21 Fotolum. Pulsador de alarma</v>
      </c>
      <c r="C40" s="4">
        <f>IFERROR(__xludf.DUMMYFUNCTION("""COMPUTED_VALUE"""),2.2176)</f>
        <v>2.2176</v>
      </c>
    </row>
    <row r="41">
      <c r="A41" s="4" t="str">
        <f>IFERROR(__xludf.DUMMYFUNCTION("""COMPUTED_VALUE"""),"0150B")</f>
        <v>0150B</v>
      </c>
      <c r="B41" s="4" t="str">
        <f>IFERROR(__xludf.DUMMYFUNCTION("""COMPUTED_VALUE"""),"Cartel PVC 42x42 Fotolum. Pulsador de alarma")</f>
        <v>Cartel PVC 42x42 Fotolum. Pulsador de alarma</v>
      </c>
      <c r="C41" s="4">
        <f>IFERROR(__xludf.DUMMYFUNCTION("""COMPUTED_VALUE"""),3.7439999999999998)</f>
        <v>3.744</v>
      </c>
    </row>
    <row r="42">
      <c r="A42" s="4" t="str">
        <f>IFERROR(__xludf.DUMMYFUNCTION("""COMPUTED_VALUE"""),"0150C")</f>
        <v>0150C</v>
      </c>
      <c r="B42" s="4" t="str">
        <f>IFERROR(__xludf.DUMMYFUNCTION("""COMPUTED_VALUE"""),"Cartel PVC 63x63 Fotolum. Pulsador de alarma")</f>
        <v>Cartel PVC 63x63 Fotolum. Pulsador de alarma</v>
      </c>
      <c r="C42" s="4">
        <f>IFERROR(__xludf.DUMMYFUNCTION("""COMPUTED_VALUE"""),6.0)</f>
        <v>6</v>
      </c>
    </row>
    <row r="43">
      <c r="A43" s="4" t="str">
        <f>IFERROR(__xludf.DUMMYFUNCTION("""COMPUTED_VALUE"""),"151")</f>
        <v>151</v>
      </c>
      <c r="B43" s="4" t="str">
        <f>IFERROR(__xludf.DUMMYFUNCTION("""COMPUTED_VALUE"""),"Cartel PVC 21x21 Fotolum. EXTINTOR IZQUIERDA")</f>
        <v>Cartel PVC 21x21 Fotolum. EXTINTOR IZQUIERDA</v>
      </c>
      <c r="C43" s="4">
        <f>IFERROR(__xludf.DUMMYFUNCTION("""COMPUTED_VALUE"""),2.2176)</f>
        <v>2.2176</v>
      </c>
    </row>
    <row r="44">
      <c r="A44" s="4" t="str">
        <f>IFERROR(__xludf.DUMMYFUNCTION("""COMPUTED_VALUE"""),"0151A")</f>
        <v>0151A</v>
      </c>
      <c r="B44" s="4" t="str">
        <f>IFERROR(__xludf.DUMMYFUNCTION("""COMPUTED_VALUE"""),"Cartel PVC 21x21 Fotolum. Carro extintor")</f>
        <v>Cartel PVC 21x21 Fotolum. Carro extintor</v>
      </c>
      <c r="C44" s="4">
        <f>IFERROR(__xludf.DUMMYFUNCTION("""COMPUTED_VALUE"""),2.2176)</f>
        <v>2.2176</v>
      </c>
    </row>
    <row r="45">
      <c r="A45" s="4" t="str">
        <f>IFERROR(__xludf.DUMMYFUNCTION("""COMPUTED_VALUE"""),"0151B")</f>
        <v>0151B</v>
      </c>
      <c r="B45" s="4" t="str">
        <f>IFERROR(__xludf.DUMMYFUNCTION("""COMPUTED_VALUE"""),"Cartel PVC 42x42 Fotolum. Carro extintor")</f>
        <v>Cartel PVC 42x42 Fotolum. Carro extintor</v>
      </c>
      <c r="C45" s="4">
        <f>IFERROR(__xludf.DUMMYFUNCTION("""COMPUTED_VALUE"""),3.7439999999999998)</f>
        <v>3.744</v>
      </c>
    </row>
    <row r="46">
      <c r="A46" s="4" t="str">
        <f>IFERROR(__xludf.DUMMYFUNCTION("""COMPUTED_VALUE"""),"0151C")</f>
        <v>0151C</v>
      </c>
      <c r="B46" s="4" t="str">
        <f>IFERROR(__xludf.DUMMYFUNCTION("""COMPUTED_VALUE"""),"Cartel PVC 63x63 Fotolum. Carro extintor")</f>
        <v>Cartel PVC 63x63 Fotolum. Carro extintor</v>
      </c>
      <c r="C46" s="4">
        <f>IFERROR(__xludf.DUMMYFUNCTION("""COMPUTED_VALUE"""),6.0)</f>
        <v>6</v>
      </c>
    </row>
    <row r="47">
      <c r="A47" s="4" t="str">
        <f>IFERROR(__xludf.DUMMYFUNCTION("""COMPUTED_VALUE"""),"152")</f>
        <v>152</v>
      </c>
      <c r="B47" s="4" t="str">
        <f>IFERROR(__xludf.DUMMYFUNCTION("""COMPUTED_VALUE"""),"Cartel PVC 21x21 Fotolum. EXTINTOR ABAJO")</f>
        <v>Cartel PVC 21x21 Fotolum. EXTINTOR ABAJO</v>
      </c>
      <c r="C47" s="4">
        <f>IFERROR(__xludf.DUMMYFUNCTION("""COMPUTED_VALUE"""),2.2176)</f>
        <v>2.2176</v>
      </c>
    </row>
    <row r="48">
      <c r="A48" s="4" t="str">
        <f>IFERROR(__xludf.DUMMYFUNCTION("""COMPUTED_VALUE"""),"0152A")</f>
        <v>0152A</v>
      </c>
      <c r="B48" s="4" t="str">
        <f>IFERROR(__xludf.DUMMYFUNCTION("""COMPUTED_VALUE"""),"Cartel PVC 21x21 Fotolum. Escalera")</f>
        <v>Cartel PVC 21x21 Fotolum. Escalera</v>
      </c>
      <c r="C48" s="4">
        <f>IFERROR(__xludf.DUMMYFUNCTION("""COMPUTED_VALUE"""),2.2176)</f>
        <v>2.2176</v>
      </c>
    </row>
    <row r="49">
      <c r="A49" s="4" t="str">
        <f>IFERROR(__xludf.DUMMYFUNCTION("""COMPUTED_VALUE"""),"0152B")</f>
        <v>0152B</v>
      </c>
      <c r="B49" s="4" t="str">
        <f>IFERROR(__xludf.DUMMYFUNCTION("""COMPUTED_VALUE"""),"Cartel PVC 42x42 Fotolum. Escalera")</f>
        <v>Cartel PVC 42x42 Fotolum. Escalera</v>
      </c>
      <c r="C49" s="4">
        <f>IFERROR(__xludf.DUMMYFUNCTION("""COMPUTED_VALUE"""),3.7439999999999998)</f>
        <v>3.744</v>
      </c>
    </row>
    <row r="50">
      <c r="A50" s="4" t="str">
        <f>IFERROR(__xludf.DUMMYFUNCTION("""COMPUTED_VALUE"""),"0152C")</f>
        <v>0152C</v>
      </c>
      <c r="B50" s="4" t="str">
        <f>IFERROR(__xludf.DUMMYFUNCTION("""COMPUTED_VALUE"""),"Cartel PVC 63x63 Fotolum. Escalera")</f>
        <v>Cartel PVC 63x63 Fotolum. Escalera</v>
      </c>
      <c r="C50" s="4">
        <f>IFERROR(__xludf.DUMMYFUNCTION("""COMPUTED_VALUE"""),6.0)</f>
        <v>6</v>
      </c>
    </row>
    <row r="51">
      <c r="A51" s="4" t="str">
        <f>IFERROR(__xludf.DUMMYFUNCTION("""COMPUTED_VALUE"""),"153")</f>
        <v>153</v>
      </c>
      <c r="B51" s="4" t="str">
        <f>IFERROR(__xludf.DUMMYFUNCTION("""COMPUTED_VALUE"""),"Cartel PVC 21x21 Fotolum. PULSADOR")</f>
        <v>Cartel PVC 21x21 Fotolum. PULSADOR</v>
      </c>
      <c r="C51" s="4">
        <f>IFERROR(__xludf.DUMMYFUNCTION("""COMPUTED_VALUE"""),2.2176)</f>
        <v>2.2176</v>
      </c>
    </row>
    <row r="52">
      <c r="A52" s="4" t="str">
        <f>IFERROR(__xludf.DUMMYFUNCTION("""COMPUTED_VALUE"""),"0153A")</f>
        <v>0153A</v>
      </c>
      <c r="B52" s="4" t="str">
        <f>IFERROR(__xludf.DUMMYFUNCTION("""COMPUTED_VALUE"""),"Cartel PVC 21x21 Fotolum. Flecha abajo derecha")</f>
        <v>Cartel PVC 21x21 Fotolum. Flecha abajo derecha</v>
      </c>
      <c r="C52" s="4">
        <f>IFERROR(__xludf.DUMMYFUNCTION("""COMPUTED_VALUE"""),2.2176)</f>
        <v>2.2176</v>
      </c>
    </row>
    <row r="53">
      <c r="A53" s="4" t="str">
        <f>IFERROR(__xludf.DUMMYFUNCTION("""COMPUTED_VALUE"""),"0153B")</f>
        <v>0153B</v>
      </c>
      <c r="B53" s="4" t="str">
        <f>IFERROR(__xludf.DUMMYFUNCTION("""COMPUTED_VALUE"""),"Cartel PVC 42x42 Fotolum. Flecha abajo derecha")</f>
        <v>Cartel PVC 42x42 Fotolum. Flecha abajo derecha</v>
      </c>
      <c r="C53" s="4">
        <f>IFERROR(__xludf.DUMMYFUNCTION("""COMPUTED_VALUE"""),3.7439999999999998)</f>
        <v>3.744</v>
      </c>
    </row>
    <row r="54">
      <c r="A54" s="4" t="str">
        <f>IFERROR(__xludf.DUMMYFUNCTION("""COMPUTED_VALUE"""),"0153C")</f>
        <v>0153C</v>
      </c>
      <c r="B54" s="4" t="str">
        <f>IFERROR(__xludf.DUMMYFUNCTION("""COMPUTED_VALUE"""),"Cartel PVC 63x63 Fotolum. Flecha abajo derecha")</f>
        <v>Cartel PVC 63x63 Fotolum. Flecha abajo derecha</v>
      </c>
      <c r="C54" s="4">
        <f>IFERROR(__xludf.DUMMYFUNCTION("""COMPUTED_VALUE"""),6.0)</f>
        <v>6</v>
      </c>
    </row>
    <row r="55">
      <c r="A55" s="4" t="str">
        <f>IFERROR(__xludf.DUMMYFUNCTION("""COMPUTED_VALUE"""),"154")</f>
        <v>154</v>
      </c>
      <c r="B55" s="4" t="str">
        <f>IFERROR(__xludf.DUMMYFUNCTION("""COMPUTED_VALUE"""),"Cartel PVC 21x21 Fotolum. PULSADOR IZQUIERDA")</f>
        <v>Cartel PVC 21x21 Fotolum. PULSADOR IZQUIERDA</v>
      </c>
      <c r="C55" s="4">
        <f>IFERROR(__xludf.DUMMYFUNCTION("""COMPUTED_VALUE"""),2.2176)</f>
        <v>2.2176</v>
      </c>
    </row>
    <row r="56">
      <c r="A56" s="4" t="str">
        <f>IFERROR(__xludf.DUMMYFUNCTION("""COMPUTED_VALUE"""),"0154A")</f>
        <v>0154A</v>
      </c>
      <c r="B56" s="4" t="str">
        <f>IFERROR(__xludf.DUMMYFUNCTION("""COMPUTED_VALUE"""),"Cartel PVC 21x21 Fotolum. Flecha abajo izquierda")</f>
        <v>Cartel PVC 21x21 Fotolum. Flecha abajo izquierda</v>
      </c>
      <c r="C56" s="4">
        <f>IFERROR(__xludf.DUMMYFUNCTION("""COMPUTED_VALUE"""),2.2176)</f>
        <v>2.2176</v>
      </c>
    </row>
    <row r="57">
      <c r="A57" s="4" t="str">
        <f>IFERROR(__xludf.DUMMYFUNCTION("""COMPUTED_VALUE"""),"0154B")</f>
        <v>0154B</v>
      </c>
      <c r="B57" s="4" t="str">
        <f>IFERROR(__xludf.DUMMYFUNCTION("""COMPUTED_VALUE"""),"Cartel PVC 42x42 Fotolum. Flecha abajo izquierda")</f>
        <v>Cartel PVC 42x42 Fotolum. Flecha abajo izquierda</v>
      </c>
      <c r="C57" s="4">
        <f>IFERROR(__xludf.DUMMYFUNCTION("""COMPUTED_VALUE"""),3.7439999999999998)</f>
        <v>3.744</v>
      </c>
    </row>
    <row r="58">
      <c r="A58" s="4" t="str">
        <f>IFERROR(__xludf.DUMMYFUNCTION("""COMPUTED_VALUE"""),"0154C")</f>
        <v>0154C</v>
      </c>
      <c r="B58" s="4" t="str">
        <f>IFERROR(__xludf.DUMMYFUNCTION("""COMPUTED_VALUE"""),"Cartel PVC 21x21 Fotolum. Flecha abajo izquierda")</f>
        <v>Cartel PVC 21x21 Fotolum. Flecha abajo izquierda</v>
      </c>
      <c r="C58" s="4">
        <f>IFERROR(__xludf.DUMMYFUNCTION("""COMPUTED_VALUE"""),6.0)</f>
        <v>6</v>
      </c>
    </row>
    <row r="59">
      <c r="A59" s="4" t="str">
        <f>IFERROR(__xludf.DUMMYFUNCTION("""COMPUTED_VALUE"""),"155")</f>
        <v>155</v>
      </c>
      <c r="B59" s="4" t="str">
        <f>IFERROR(__xludf.DUMMYFUNCTION("""COMPUTED_VALUE"""),"Cartel PVC 21x21 Fotolum. PULSADOR DERECHA")</f>
        <v>Cartel PVC 21x21 Fotolum. PULSADOR DERECHA</v>
      </c>
      <c r="C59" s="4">
        <f>IFERROR(__xludf.DUMMYFUNCTION("""COMPUTED_VALUE"""),2.2176)</f>
        <v>2.2176</v>
      </c>
    </row>
    <row r="60">
      <c r="A60" s="4" t="str">
        <f>IFERROR(__xludf.DUMMYFUNCTION("""COMPUTED_VALUE"""),"160")</f>
        <v>160</v>
      </c>
      <c r="B60" s="4" t="str">
        <f>IFERROR(__xludf.DUMMYFUNCTION("""COMPUTED_VALUE"""),"Cartel PVC 21x21 Fotolum. PUERTA EMERGENCIA IZQ.")</f>
        <v>Cartel PVC 21x21 Fotolum. PUERTA EMERGENCIA IZQ.</v>
      </c>
      <c r="C60" s="4">
        <f>IFERROR(__xludf.DUMMYFUNCTION("""COMPUTED_VALUE"""),2.2176)</f>
        <v>2.2176</v>
      </c>
    </row>
    <row r="61">
      <c r="A61" s="4" t="str">
        <f>IFERROR(__xludf.DUMMYFUNCTION("""COMPUTED_VALUE"""),"0160A")</f>
        <v>0160A</v>
      </c>
      <c r="B61" s="4" t="str">
        <f>IFERROR(__xludf.DUMMYFUNCTION("""COMPUTED_VALUE"""),"Cartel PVC 21x21 Fotolum. Salida emergencia izquierda")</f>
        <v>Cartel PVC 21x21 Fotolum. Salida emergencia izquierda</v>
      </c>
      <c r="C61" s="4">
        <f>IFERROR(__xludf.DUMMYFUNCTION("""COMPUTED_VALUE"""),2.2176)</f>
        <v>2.2176</v>
      </c>
    </row>
    <row r="62">
      <c r="A62" s="4" t="str">
        <f>IFERROR(__xludf.DUMMYFUNCTION("""COMPUTED_VALUE"""),"0160B")</f>
        <v>0160B</v>
      </c>
      <c r="B62" s="4" t="str">
        <f>IFERROR(__xludf.DUMMYFUNCTION("""COMPUTED_VALUE"""),"Cartel PVC 42x42 Fotolum. Salida emergencia izquierda")</f>
        <v>Cartel PVC 42x42 Fotolum. Salida emergencia izquierda</v>
      </c>
      <c r="C62" s="4">
        <f>IFERROR(__xludf.DUMMYFUNCTION("""COMPUTED_VALUE"""),3.7439999999999998)</f>
        <v>3.744</v>
      </c>
    </row>
    <row r="63">
      <c r="A63" s="4" t="str">
        <f>IFERROR(__xludf.DUMMYFUNCTION("""COMPUTED_VALUE"""),"0160C")</f>
        <v>0160C</v>
      </c>
      <c r="B63" s="4" t="str">
        <f>IFERROR(__xludf.DUMMYFUNCTION("""COMPUTED_VALUE"""),"Cartel PVC 63x63 Fotolum. Salida emergencia izquierda")</f>
        <v>Cartel PVC 63x63 Fotolum. Salida emergencia izquierda</v>
      </c>
      <c r="C63" s="4">
        <f>IFERROR(__xludf.DUMMYFUNCTION("""COMPUTED_VALUE"""),6.0)</f>
        <v>6</v>
      </c>
    </row>
    <row r="64">
      <c r="A64" s="4" t="str">
        <f>IFERROR(__xludf.DUMMYFUNCTION("""COMPUTED_VALUE"""),"161")</f>
        <v>161</v>
      </c>
      <c r="B64" s="4" t="str">
        <f>IFERROR(__xludf.DUMMYFUNCTION("""COMPUTED_VALUE"""),"Cartel PVC 21x21 Fotolum. PUERTA EMERGENCIA")</f>
        <v>Cartel PVC 21x21 Fotolum. PUERTA EMERGENCIA</v>
      </c>
      <c r="C64" s="4">
        <f>IFERROR(__xludf.DUMMYFUNCTION("""COMPUTED_VALUE"""),2.2176)</f>
        <v>2.2176</v>
      </c>
    </row>
    <row r="65">
      <c r="A65" s="4" t="str">
        <f>IFERROR(__xludf.DUMMYFUNCTION("""COMPUTED_VALUE"""),"0161A")</f>
        <v>0161A</v>
      </c>
      <c r="B65" s="4" t="str">
        <f>IFERROR(__xludf.DUMMYFUNCTION("""COMPUTED_VALUE"""),"Cartel PVC 21x21 Fotolum. Salida emergencia derecha")</f>
        <v>Cartel PVC 21x21 Fotolum. Salida emergencia derecha</v>
      </c>
      <c r="C65" s="4">
        <f>IFERROR(__xludf.DUMMYFUNCTION("""COMPUTED_VALUE"""),2.2176)</f>
        <v>2.2176</v>
      </c>
    </row>
    <row r="66">
      <c r="A66" s="4" t="str">
        <f>IFERROR(__xludf.DUMMYFUNCTION("""COMPUTED_VALUE"""),"0161B")</f>
        <v>0161B</v>
      </c>
      <c r="B66" s="4" t="str">
        <f>IFERROR(__xludf.DUMMYFUNCTION("""COMPUTED_VALUE"""),"Cartel PVC 42x42 Fotolum. Salida emergencia derecha")</f>
        <v>Cartel PVC 42x42 Fotolum. Salida emergencia derecha</v>
      </c>
      <c r="C66" s="4">
        <f>IFERROR(__xludf.DUMMYFUNCTION("""COMPUTED_VALUE"""),3.7439999999999998)</f>
        <v>3.744</v>
      </c>
    </row>
    <row r="67">
      <c r="A67" s="4" t="str">
        <f>IFERROR(__xludf.DUMMYFUNCTION("""COMPUTED_VALUE"""),"0161C")</f>
        <v>0161C</v>
      </c>
      <c r="B67" s="4" t="str">
        <f>IFERROR(__xludf.DUMMYFUNCTION("""COMPUTED_VALUE"""),"Cartel PVC 63x63 Fotolum. Salida emergencia derecha")</f>
        <v>Cartel PVC 63x63 Fotolum. Salida emergencia derecha</v>
      </c>
      <c r="C67" s="4">
        <f>IFERROR(__xludf.DUMMYFUNCTION("""COMPUTED_VALUE"""),6.0)</f>
        <v>6</v>
      </c>
    </row>
    <row r="68">
      <c r="A68" s="4" t="str">
        <f>IFERROR(__xludf.DUMMYFUNCTION("""COMPUTED_VALUE"""),"162")</f>
        <v>162</v>
      </c>
      <c r="B68" s="4" t="str">
        <f>IFERROR(__xludf.DUMMYFUNCTION("""COMPUTED_VALUE"""),"Cartel PVC 21x21 Fotolum. PUERTA-ESCALERA EMERG. IZ")</f>
        <v>Cartel PVC 21x21 Fotolum. PUERTA-ESCALERA EMERG. IZ</v>
      </c>
      <c r="C68" s="4">
        <f>IFERROR(__xludf.DUMMYFUNCTION("""COMPUTED_VALUE"""),2.2176)</f>
        <v>2.2176</v>
      </c>
    </row>
    <row r="69">
      <c r="A69" s="4" t="str">
        <f>IFERROR(__xludf.DUMMYFUNCTION("""COMPUTED_VALUE"""),"0162A")</f>
        <v>0162A</v>
      </c>
      <c r="B69" s="4" t="str">
        <f>IFERROR(__xludf.DUMMYFUNCTION("""COMPUTED_VALUE"""),"Cartel PVC 21x21 Fotolum. flecha izquierda")</f>
        <v>Cartel PVC 21x21 Fotolum. flecha izquierda</v>
      </c>
      <c r="C69" s="4">
        <f>IFERROR(__xludf.DUMMYFUNCTION("""COMPUTED_VALUE"""),1.2)</f>
        <v>1.2</v>
      </c>
    </row>
    <row r="70">
      <c r="A70" s="4" t="str">
        <f>IFERROR(__xludf.DUMMYFUNCTION("""COMPUTED_VALUE"""),"0162B")</f>
        <v>0162B</v>
      </c>
      <c r="B70" s="4" t="str">
        <f>IFERROR(__xludf.DUMMYFUNCTION("""COMPUTED_VALUE"""),"Cartel PVC 42x42 Fotolum. flecha izquierda")</f>
        <v>Cartel PVC 42x42 Fotolum. flecha izquierda</v>
      </c>
      <c r="C70" s="4">
        <f>IFERROR(__xludf.DUMMYFUNCTION("""COMPUTED_VALUE"""),3.7439999999999998)</f>
        <v>3.744</v>
      </c>
    </row>
    <row r="71">
      <c r="A71" s="4" t="str">
        <f>IFERROR(__xludf.DUMMYFUNCTION("""COMPUTED_VALUE"""),"0162C")</f>
        <v>0162C</v>
      </c>
      <c r="B71" s="4" t="str">
        <f>IFERROR(__xludf.DUMMYFUNCTION("""COMPUTED_VALUE"""),"Cartel PVC 63x63 Fotolum. flecha izquierda")</f>
        <v>Cartel PVC 63x63 Fotolum. flecha izquierda</v>
      </c>
      <c r="C71" s="4">
        <f>IFERROR(__xludf.DUMMYFUNCTION("""COMPUTED_VALUE"""),6.0)</f>
        <v>6</v>
      </c>
    </row>
    <row r="72">
      <c r="A72" s="4" t="str">
        <f>IFERROR(__xludf.DUMMYFUNCTION("""COMPUTED_VALUE"""),"163")</f>
        <v>163</v>
      </c>
      <c r="B72" s="4" t="str">
        <f>IFERROR(__xludf.DUMMYFUNCTION("""COMPUTED_VALUE"""),"Cartel PVC 21x21 Fotolum. PUERTA-ESCALERA EMERG.")</f>
        <v>Cartel PVC 21x21 Fotolum. PUERTA-ESCALERA EMERG.</v>
      </c>
      <c r="C72" s="4">
        <f>IFERROR(__xludf.DUMMYFUNCTION("""COMPUTED_VALUE"""),2.2176)</f>
        <v>2.2176</v>
      </c>
    </row>
    <row r="73">
      <c r="A73" s="4" t="str">
        <f>IFERROR(__xludf.DUMMYFUNCTION("""COMPUTED_VALUE"""),"0163A")</f>
        <v>0163A</v>
      </c>
      <c r="B73" s="4" t="str">
        <f>IFERROR(__xludf.DUMMYFUNCTION("""COMPUTED_VALUE"""),"Cartel PVC 21x21 Fotolum. flecha derecha")</f>
        <v>Cartel PVC 21x21 Fotolum. flecha derecha</v>
      </c>
      <c r="C73" s="4">
        <f>IFERROR(__xludf.DUMMYFUNCTION("""COMPUTED_VALUE"""),2.2176)</f>
        <v>2.2176</v>
      </c>
    </row>
    <row r="74">
      <c r="A74" s="4" t="str">
        <f>IFERROR(__xludf.DUMMYFUNCTION("""COMPUTED_VALUE"""),"0163B")</f>
        <v>0163B</v>
      </c>
      <c r="B74" s="4" t="str">
        <f>IFERROR(__xludf.DUMMYFUNCTION("""COMPUTED_VALUE"""),"Cartel PVC 42x42 Fotolum. flecha derecha")</f>
        <v>Cartel PVC 42x42 Fotolum. flecha derecha</v>
      </c>
      <c r="C74" s="4">
        <f>IFERROR(__xludf.DUMMYFUNCTION("""COMPUTED_VALUE"""),3.7439999999999998)</f>
        <v>3.744</v>
      </c>
    </row>
    <row r="75">
      <c r="A75" s="4" t="str">
        <f>IFERROR(__xludf.DUMMYFUNCTION("""COMPUTED_VALUE"""),"0163C")</f>
        <v>0163C</v>
      </c>
      <c r="B75" s="4" t="str">
        <f>IFERROR(__xludf.DUMMYFUNCTION("""COMPUTED_VALUE"""),"Cartel PVC 63x63 Fotolum. flecha derecha")</f>
        <v>Cartel PVC 63x63 Fotolum. flecha derecha</v>
      </c>
      <c r="C75" s="4">
        <f>IFERROR(__xludf.DUMMYFUNCTION("""COMPUTED_VALUE"""),6.0)</f>
        <v>6</v>
      </c>
    </row>
    <row r="76">
      <c r="A76" s="4" t="str">
        <f>IFERROR(__xludf.DUMMYFUNCTION("""COMPUTED_VALUE"""),"164")</f>
        <v>164</v>
      </c>
      <c r="B76" s="4" t="str">
        <f>IFERROR(__xludf.DUMMYFUNCTION("""COMPUTED_VALUE"""),"Cartel PVC 21x21 Fotolum. EMPUJAR BARRA APERTURA")</f>
        <v>Cartel PVC 21x21 Fotolum. EMPUJAR BARRA APERTURA</v>
      </c>
      <c r="C76" s="4">
        <f>IFERROR(__xludf.DUMMYFUNCTION("""COMPUTED_VALUE"""),2.2176)</f>
        <v>2.2176</v>
      </c>
    </row>
    <row r="77">
      <c r="A77" s="4" t="str">
        <f>IFERROR(__xludf.DUMMYFUNCTION("""COMPUTED_VALUE"""),"165")</f>
        <v>165</v>
      </c>
      <c r="B77" s="4" t="str">
        <f>IFERROR(__xludf.DUMMYFUNCTION("""COMPUTED_VALUE"""),"Cartel PVC 21x21 Fotolum. FLECHA")</f>
        <v>Cartel PVC 21x21 Fotolum. FLECHA</v>
      </c>
      <c r="C77" s="4">
        <f>IFERROR(__xludf.DUMMYFUNCTION("""COMPUTED_VALUE"""),2.2176)</f>
        <v>2.2176</v>
      </c>
    </row>
    <row r="78">
      <c r="A78" s="4" t="str">
        <f>IFERROR(__xludf.DUMMYFUNCTION("""COMPUTED_VALUE"""),"175")</f>
        <v>175</v>
      </c>
      <c r="B78" s="4" t="str">
        <f>IFERROR(__xludf.DUMMYFUNCTION("""COMPUTED_VALUE"""),"Cartel PVC 30x10 Fotolum. SALIDA")</f>
        <v>Cartel PVC 30x10 Fotolum. SALIDA</v>
      </c>
      <c r="C78" s="4">
        <f>IFERROR(__xludf.DUMMYFUNCTION("""COMPUTED_VALUE"""),1.8143999999999998)</f>
        <v>1.8144</v>
      </c>
    </row>
    <row r="79">
      <c r="A79" s="4" t="str">
        <f>IFERROR(__xludf.DUMMYFUNCTION("""COMPUTED_VALUE"""),"176")</f>
        <v>176</v>
      </c>
      <c r="B79" s="4" t="str">
        <f>IFERROR(__xludf.DUMMYFUNCTION("""COMPUTED_VALUE"""),"Cartel PVC 30x10 Fotolum. SALIDA FLECHA DCHA")</f>
        <v>Cartel PVC 30x10 Fotolum. SALIDA FLECHA DCHA</v>
      </c>
      <c r="C79" s="4">
        <f>IFERROR(__xludf.DUMMYFUNCTION("""COMPUTED_VALUE"""),1.8143999999999998)</f>
        <v>1.8144</v>
      </c>
    </row>
    <row r="80">
      <c r="A80" s="4" t="str">
        <f>IFERROR(__xludf.DUMMYFUNCTION("""COMPUTED_VALUE"""),"177")</f>
        <v>177</v>
      </c>
      <c r="B80" s="4" t="str">
        <f>IFERROR(__xludf.DUMMYFUNCTION("""COMPUTED_VALUE"""),"Cartel PVC 30x10 Fotolum. SALIDA FLECHA IZQ.")</f>
        <v>Cartel PVC 30x10 Fotolum. SALIDA FLECHA IZQ.</v>
      </c>
      <c r="C80" s="4">
        <f>IFERROR(__xludf.DUMMYFUNCTION("""COMPUTED_VALUE"""),1.8143999999999998)</f>
        <v>1.8144</v>
      </c>
    </row>
    <row r="81">
      <c r="A81" s="4" t="str">
        <f>IFERROR(__xludf.DUMMYFUNCTION("""COMPUTED_VALUE"""),"178")</f>
        <v>178</v>
      </c>
      <c r="B81" s="4" t="str">
        <f>IFERROR(__xludf.DUMMYFUNCTION("""COMPUTED_VALUE"""),"Cartel PVC 30x10 Fotolum. SALIDA FLECHA ARRIBA")</f>
        <v>Cartel PVC 30x10 Fotolum. SALIDA FLECHA ARRIBA</v>
      </c>
      <c r="C81" s="4">
        <f>IFERROR(__xludf.DUMMYFUNCTION("""COMPUTED_VALUE"""),1.8143999999999998)</f>
        <v>1.8144</v>
      </c>
    </row>
    <row r="82">
      <c r="A82" s="4" t="str">
        <f>IFERROR(__xludf.DUMMYFUNCTION("""COMPUTED_VALUE"""),"179")</f>
        <v>179</v>
      </c>
      <c r="B82" s="4" t="str">
        <f>IFERROR(__xludf.DUMMYFUNCTION("""COMPUTED_VALUE"""),"Cartel PVC 30x10 Fotolum. SALIDA FLECHA ABAJO")</f>
        <v>Cartel PVC 30x10 Fotolum. SALIDA FLECHA ABAJO</v>
      </c>
      <c r="C82" s="4">
        <f>IFERROR(__xludf.DUMMYFUNCTION("""COMPUTED_VALUE"""),1.8143999999999998)</f>
        <v>1.8144</v>
      </c>
    </row>
    <row r="83">
      <c r="A83" s="4" t="str">
        <f>IFERROR(__xludf.DUMMYFUNCTION("""COMPUTED_VALUE"""),"180")</f>
        <v>180</v>
      </c>
      <c r="B83" s="4" t="str">
        <f>IFERROR(__xludf.DUMMYFUNCTION("""COMPUTED_VALUE"""),"Cartel PVC 30x10 Fotolum. SALIDA EMERGENCIA FLECHA")</f>
        <v>Cartel PVC 30x10 Fotolum. SALIDA EMERGENCIA FLECHA</v>
      </c>
      <c r="C83" s="4">
        <f>IFERROR(__xludf.DUMMYFUNCTION("""COMPUTED_VALUE"""),1.8143999999999998)</f>
        <v>1.8144</v>
      </c>
    </row>
    <row r="84">
      <c r="A84" s="4" t="str">
        <f>IFERROR(__xludf.DUMMYFUNCTION("""COMPUTED_VALUE"""),"181")</f>
        <v>181</v>
      </c>
      <c r="B84" s="4" t="str">
        <f>IFERROR(__xludf.DUMMYFUNCTION("""COMPUTED_VALUE"""),"Cartel PVC 30x10 Fotolum. SALIDA EMERGENCIA FLECHA")</f>
        <v>Cartel PVC 30x10 Fotolum. SALIDA EMERGENCIA FLECHA</v>
      </c>
      <c r="C84" s="4">
        <f>IFERROR(__xludf.DUMMYFUNCTION("""COMPUTED_VALUE"""),1.8143999999999998)</f>
        <v>1.8144</v>
      </c>
    </row>
    <row r="85">
      <c r="A85" s="4" t="str">
        <f>IFERROR(__xludf.DUMMYFUNCTION("""COMPUTED_VALUE"""),"182")</f>
        <v>182</v>
      </c>
      <c r="B85" s="4" t="str">
        <f>IFERROR(__xludf.DUMMYFUNCTION("""COMPUTED_VALUE"""),"Cartel PVC 30x10 Fotolum. FLECHA")</f>
        <v>Cartel PVC 30x10 Fotolum. FLECHA</v>
      </c>
      <c r="C85" s="4">
        <f>IFERROR(__xludf.DUMMYFUNCTION("""COMPUTED_VALUE"""),1.8143999999999998)</f>
        <v>1.8144</v>
      </c>
    </row>
    <row r="86">
      <c r="A86" s="4" t="str">
        <f>IFERROR(__xludf.DUMMYFUNCTION("""COMPUTED_VALUE"""),"183")</f>
        <v>183</v>
      </c>
      <c r="B86" s="4" t="str">
        <f>IFERROR(__xludf.DUMMYFUNCTION("""COMPUTED_VALUE"""),"Cartel PVC 30x10 Fotolum. SALIDA DE EMERGENCIA")</f>
        <v>Cartel PVC 30x10 Fotolum. SALIDA DE EMERGENCIA</v>
      </c>
      <c r="C86" s="4">
        <f>IFERROR(__xludf.DUMMYFUNCTION("""COMPUTED_VALUE"""),1.8143999999999998)</f>
        <v>1.8144</v>
      </c>
    </row>
    <row r="87">
      <c r="A87" s="4" t="str">
        <f>IFERROR(__xludf.DUMMYFUNCTION("""COMPUTED_VALUE"""),"184")</f>
        <v>184</v>
      </c>
      <c r="B87" s="4" t="str">
        <f>IFERROR(__xludf.DUMMYFUNCTION("""COMPUTED_VALUE"""),"Cartel PVC 650x105 mm SALIDA DE EMERGENCIA")</f>
        <v>Cartel PVC 650x105 mm SALIDA DE EMERGENCIA</v>
      </c>
      <c r="C87" s="4">
        <f>IFERROR(__xludf.DUMMYFUNCTION("""COMPUTED_VALUE"""),1.8143999999999998)</f>
        <v>1.8144</v>
      </c>
    </row>
    <row r="88">
      <c r="A88" s="4" t="str">
        <f>IFERROR(__xludf.DUMMYFUNCTION("""COMPUTED_VALUE"""),"199")</f>
        <v>199</v>
      </c>
      <c r="B88" s="4" t="str">
        <f>IFERROR(__xludf.DUMMYFUNCTION("""COMPUTED_VALUE"""),"Cartel PVC 21x29 Fotolum. DUCHA DE EMERGENCIA")</f>
        <v>Cartel PVC 21x29 Fotolum. DUCHA DE EMERGENCIA</v>
      </c>
      <c r="C88" s="4">
        <f>IFERROR(__xludf.DUMMYFUNCTION("""COMPUTED_VALUE"""),2.496)</f>
        <v>2.496</v>
      </c>
    </row>
    <row r="89">
      <c r="A89" s="4" t="str">
        <f>IFERROR(__xludf.DUMMYFUNCTION("""COMPUTED_VALUE"""),"0199A")</f>
        <v>0199A</v>
      </c>
      <c r="B89" s="4" t="str">
        <f>IFERROR(__xludf.DUMMYFUNCTION("""COMPUTED_VALUE"""),"Cartel PVC 21x30 Fotolum. ducha de emergencia")</f>
        <v>Cartel PVC 21x30 Fotolum. ducha de emergencia</v>
      </c>
      <c r="C89" s="4">
        <f>IFERROR(__xludf.DUMMYFUNCTION("""COMPUTED_VALUE"""),2.4192)</f>
        <v>2.4192</v>
      </c>
    </row>
    <row r="90">
      <c r="A90" s="4" t="str">
        <f>IFERROR(__xludf.DUMMYFUNCTION("""COMPUTED_VALUE"""),"0199B")</f>
        <v>0199B</v>
      </c>
      <c r="B90" s="4" t="str">
        <f>IFERROR(__xludf.DUMMYFUNCTION("""COMPUTED_VALUE"""),"Cartel PVC 40x30 Fotolum. ducha de emergencia")</f>
        <v>Cartel PVC 40x30 Fotolum. ducha de emergencia</v>
      </c>
      <c r="C90" s="4">
        <f>IFERROR(__xludf.DUMMYFUNCTION("""COMPUTED_VALUE"""),2.976)</f>
        <v>2.976</v>
      </c>
    </row>
    <row r="91">
      <c r="A91" s="4" t="str">
        <f>IFERROR(__xludf.DUMMYFUNCTION("""COMPUTED_VALUE"""),"0200/G")</f>
        <v>0200/G</v>
      </c>
      <c r="B91" s="4" t="str">
        <f>IFERROR(__xludf.DUMMYFUNCTION("""COMPUTED_VALUE"""),"Señal Poliprop. Amarillo 50x50 c/ollados + Pictograma")</f>
        <v>Señal Poliprop. Amarillo 50x50 c/ollados + Pictograma</v>
      </c>
      <c r="C91" s="4">
        <f>IFERROR(__xludf.DUMMYFUNCTION("""COMPUTED_VALUE"""),9.216)</f>
        <v>9.216</v>
      </c>
    </row>
    <row r="92">
      <c r="A92" s="4" t="str">
        <f>IFERROR(__xludf.DUMMYFUNCTION("""COMPUTED_VALUE"""),"0200S2130")</f>
        <v>0200S2130</v>
      </c>
      <c r="B92" s="4" t="str">
        <f>IFERROR(__xludf.DUMMYFUNCTION("""COMPUTED_VALUE"""),"Soperte Acero Inox para cartel 21x29 cm")</f>
        <v>Soperte Acero Inox para cartel 21x29 cm</v>
      </c>
      <c r="C92" s="4">
        <f>IFERROR(__xludf.DUMMYFUNCTION("""COMPUTED_VALUE"""),13.92)</f>
        <v>13.92</v>
      </c>
    </row>
    <row r="93">
      <c r="A93" s="4" t="str">
        <f>IFERROR(__xludf.DUMMYFUNCTION("""COMPUTED_VALUE"""),"0200S4030")</f>
        <v>0200S4030</v>
      </c>
      <c r="B93" s="4" t="str">
        <f>IFERROR(__xludf.DUMMYFUNCTION("""COMPUTED_VALUE"""),"Soporte Acero Inox para Cartel 40x30 cm")</f>
        <v>Soporte Acero Inox para Cartel 40x30 cm</v>
      </c>
      <c r="C93" s="4">
        <f>IFERROR(__xludf.DUMMYFUNCTION("""COMPUTED_VALUE"""),16.32)</f>
        <v>16.32</v>
      </c>
    </row>
    <row r="94">
      <c r="A94" s="4" t="str">
        <f>IFERROR(__xludf.DUMMYFUNCTION("""COMPUTED_VALUE"""),"201")</f>
        <v>201</v>
      </c>
      <c r="B94" s="4" t="str">
        <f>IFERROR(__xludf.DUMMYFUNCTION("""COMPUTED_VALUE"""),"Cartel PVC 40x30 Fotolum. EXTINTOR")</f>
        <v>Cartel PVC 40x30 Fotolum. EXTINTOR</v>
      </c>
      <c r="C94" s="4">
        <f>IFERROR(__xludf.DUMMYFUNCTION("""COMPUTED_VALUE"""),3.2159999999999997)</f>
        <v>3.216</v>
      </c>
    </row>
    <row r="95">
      <c r="A95" s="4" t="str">
        <f>IFERROR(__xludf.DUMMYFUNCTION("""COMPUTED_VALUE"""),"202")</f>
        <v>202</v>
      </c>
      <c r="B95" s="4" t="str">
        <f>IFERROR(__xludf.DUMMYFUNCTION("""COMPUTED_VALUE"""),"Cartel PVC 21x30 Fotolum. Duchas emergencia derecha")</f>
        <v>Cartel PVC 21x30 Fotolum. Duchas emergencia derecha</v>
      </c>
      <c r="C95" s="4">
        <f>IFERROR(__xludf.DUMMYFUNCTION("""COMPUTED_VALUE"""),2.496)</f>
        <v>2.496</v>
      </c>
    </row>
    <row r="96">
      <c r="A96" s="4" t="str">
        <f>IFERROR(__xludf.DUMMYFUNCTION("""COMPUTED_VALUE"""),"203")</f>
        <v>203</v>
      </c>
      <c r="B96" s="4" t="str">
        <f>IFERROR(__xludf.DUMMYFUNCTION("""COMPUTED_VALUE"""),"Cartel PVC 21x30 Fotolum. Duchas emergencia izq.")</f>
        <v>Cartel PVC 21x30 Fotolum. Duchas emergencia izq.</v>
      </c>
      <c r="C96" s="4">
        <f>IFERROR(__xludf.DUMMYFUNCTION("""COMPUTED_VALUE"""),2.496)</f>
        <v>2.496</v>
      </c>
    </row>
    <row r="97">
      <c r="A97" s="4" t="str">
        <f>IFERROR(__xludf.DUMMYFUNCTION("""COMPUTED_VALUE"""),"0204A")</f>
        <v>0204A</v>
      </c>
      <c r="B97" s="4" t="str">
        <f>IFERROR(__xludf.DUMMYFUNCTION("""COMPUTED_VALUE"""),"Cartel PVC 21x30 Fotolum. Oficina")</f>
        <v>Cartel PVC 21x30 Fotolum. Oficina</v>
      </c>
      <c r="C97" s="4">
        <f>IFERROR(__xludf.DUMMYFUNCTION("""COMPUTED_VALUE"""),2.4192)</f>
        <v>2.4192</v>
      </c>
    </row>
    <row r="98">
      <c r="A98" s="4" t="str">
        <f>IFERROR(__xludf.DUMMYFUNCTION("""COMPUTED_VALUE"""),"0204B")</f>
        <v>0204B</v>
      </c>
      <c r="B98" s="4" t="str">
        <f>IFERROR(__xludf.DUMMYFUNCTION("""COMPUTED_VALUE"""),"Cartel PVC 40x30 Fotolum. Oficina")</f>
        <v>Cartel PVC 40x30 Fotolum. Oficina</v>
      </c>
      <c r="C98" s="4">
        <f>IFERROR(__xludf.DUMMYFUNCTION("""COMPUTED_VALUE"""),2.976)</f>
        <v>2.976</v>
      </c>
    </row>
    <row r="99">
      <c r="A99" s="4" t="str">
        <f>IFERROR(__xludf.DUMMYFUNCTION("""COMPUTED_VALUE"""),"0205A")</f>
        <v>0205A</v>
      </c>
      <c r="B99" s="4" t="str">
        <f>IFERROR(__xludf.DUMMYFUNCTION("""COMPUTED_VALUE"""),"Cartel PVC 21x30 Fotolum. Ducha")</f>
        <v>Cartel PVC 21x30 Fotolum. Ducha</v>
      </c>
      <c r="C99" s="4">
        <f>IFERROR(__xludf.DUMMYFUNCTION("""COMPUTED_VALUE"""),2.4192)</f>
        <v>2.4192</v>
      </c>
    </row>
    <row r="100">
      <c r="A100" s="4" t="str">
        <f>IFERROR(__xludf.DUMMYFUNCTION("""COMPUTED_VALUE"""),"0205B")</f>
        <v>0205B</v>
      </c>
      <c r="B100" s="4" t="str">
        <f>IFERROR(__xludf.DUMMYFUNCTION("""COMPUTED_VALUE"""),"Cartel PVC 40x30 Fotolum. Ducha")</f>
        <v>Cartel PVC 40x30 Fotolum. Ducha</v>
      </c>
      <c r="C100" s="4">
        <f>IFERROR(__xludf.DUMMYFUNCTION("""COMPUTED_VALUE"""),2.976)</f>
        <v>2.976</v>
      </c>
    </row>
    <row r="101">
      <c r="A101" s="4" t="str">
        <f>IFERROR(__xludf.DUMMYFUNCTION("""COMPUTED_VALUE"""),"206")</f>
        <v>206</v>
      </c>
      <c r="B101" s="4" t="str">
        <f>IFERROR(__xludf.DUMMYFUNCTION("""COMPUTED_VALUE"""),"Cartel PVC 21x30 Fotolum. Lavaojos emerg. derecha")</f>
        <v>Cartel PVC 21x30 Fotolum. Lavaojos emerg. derecha</v>
      </c>
      <c r="C101" s="4">
        <f>IFERROR(__xludf.DUMMYFUNCTION("""COMPUTED_VALUE"""),2.496)</f>
        <v>2.496</v>
      </c>
    </row>
    <row r="102">
      <c r="A102" s="4" t="str">
        <f>IFERROR(__xludf.DUMMYFUNCTION("""COMPUTED_VALUE"""),"0206A")</f>
        <v>0206A</v>
      </c>
      <c r="B102" s="4" t="str">
        <f>IFERROR(__xludf.DUMMYFUNCTION("""COMPUTED_VALUE"""),"Cartel PVC 21x30 Fotolum. Lavaojos de emergencia")</f>
        <v>Cartel PVC 21x30 Fotolum. Lavaojos de emergencia</v>
      </c>
      <c r="C102" s="4">
        <f>IFERROR(__xludf.DUMMYFUNCTION("""COMPUTED_VALUE"""),2.4192)</f>
        <v>2.4192</v>
      </c>
    </row>
    <row r="103">
      <c r="A103" s="4" t="str">
        <f>IFERROR(__xludf.DUMMYFUNCTION("""COMPUTED_VALUE"""),"0206B")</f>
        <v>0206B</v>
      </c>
      <c r="B103" s="4" t="str">
        <f>IFERROR(__xludf.DUMMYFUNCTION("""COMPUTED_VALUE"""),"Cartel PVC 40x30 Fotolum. Lavaojos de emergencia")</f>
        <v>Cartel PVC 40x30 Fotolum. Lavaojos de emergencia</v>
      </c>
      <c r="C103" s="4">
        <f>IFERROR(__xludf.DUMMYFUNCTION("""COMPUTED_VALUE"""),2.976)</f>
        <v>2.976</v>
      </c>
    </row>
    <row r="104">
      <c r="A104" s="4" t="str">
        <f>IFERROR(__xludf.DUMMYFUNCTION("""COMPUTED_VALUE"""),"207")</f>
        <v>207</v>
      </c>
      <c r="B104" s="4" t="str">
        <f>IFERROR(__xludf.DUMMYFUNCTION("""COMPUTED_VALUE"""),"Cartel PVC 21x30 Fotolum. Lavaojos emerg. izq.")</f>
        <v>Cartel PVC 21x30 Fotolum. Lavaojos emerg. izq.</v>
      </c>
      <c r="C104" s="4">
        <f>IFERROR(__xludf.DUMMYFUNCTION("""COMPUTED_VALUE"""),2.496)</f>
        <v>2.496</v>
      </c>
    </row>
    <row r="105">
      <c r="A105" s="4" t="str">
        <f>IFERROR(__xludf.DUMMYFUNCTION("""COMPUTED_VALUE"""),"0208A")</f>
        <v>0208A</v>
      </c>
      <c r="B105" s="4" t="str">
        <f>IFERROR(__xludf.DUMMYFUNCTION("""COMPUTED_VALUE"""),"Cartel PVC 21x30 Fotolum. Comedor")</f>
        <v>Cartel PVC 21x30 Fotolum. Comedor</v>
      </c>
      <c r="C105" s="4">
        <f>IFERROR(__xludf.DUMMYFUNCTION("""COMPUTED_VALUE"""),2.4192)</f>
        <v>2.4192</v>
      </c>
    </row>
    <row r="106">
      <c r="A106" s="4" t="str">
        <f>IFERROR(__xludf.DUMMYFUNCTION("""COMPUTED_VALUE"""),"0208B")</f>
        <v>0208B</v>
      </c>
      <c r="B106" s="4" t="str">
        <f>IFERROR(__xludf.DUMMYFUNCTION("""COMPUTED_VALUE"""),"Cartel PVC 40x30 Fotolum. Comedor")</f>
        <v>Cartel PVC 40x30 Fotolum. Comedor</v>
      </c>
      <c r="C106" s="4">
        <f>IFERROR(__xludf.DUMMYFUNCTION("""COMPUTED_VALUE"""),2.976)</f>
        <v>2.976</v>
      </c>
    </row>
    <row r="107">
      <c r="A107" s="4" t="str">
        <f>IFERROR(__xludf.DUMMYFUNCTION("""COMPUTED_VALUE"""),"0209A")</f>
        <v>0209A</v>
      </c>
      <c r="B107" s="4" t="str">
        <f>IFERROR(__xludf.DUMMYFUNCTION("""COMPUTED_VALUE"""),"Cartel PVC 21x30 Fotolum. Vestuario")</f>
        <v>Cartel PVC 21x30 Fotolum. Vestuario</v>
      </c>
      <c r="C107" s="4">
        <f>IFERROR(__xludf.DUMMYFUNCTION("""COMPUTED_VALUE"""),2.4192)</f>
        <v>2.4192</v>
      </c>
    </row>
    <row r="108">
      <c r="A108" s="4" t="str">
        <f>IFERROR(__xludf.DUMMYFUNCTION("""COMPUTED_VALUE"""),"0209B")</f>
        <v>0209B</v>
      </c>
      <c r="B108" s="4" t="str">
        <f>IFERROR(__xludf.DUMMYFUNCTION("""COMPUTED_VALUE"""),"Cartel PVC 40x30 Fotolum. Vestuario")</f>
        <v>Cartel PVC 40x30 Fotolum. Vestuario</v>
      </c>
      <c r="C108" s="4">
        <f>IFERROR(__xludf.DUMMYFUNCTION("""COMPUTED_VALUE"""),2.976)</f>
        <v>2.976</v>
      </c>
    </row>
    <row r="109">
      <c r="A109" s="4" t="str">
        <f>IFERROR(__xludf.DUMMYFUNCTION("""COMPUTED_VALUE"""),"210")</f>
        <v>210</v>
      </c>
      <c r="B109" s="4" t="str">
        <f>IFERROR(__xludf.DUMMYFUNCTION("""COMPUTED_VALUE"""),"Cartel PVC 40x30 Riesgo electrico")</f>
        <v>Cartel PVC 40x30 Riesgo electrico</v>
      </c>
      <c r="C109" s="4">
        <f>IFERROR(__xludf.DUMMYFUNCTION("""COMPUTED_VALUE"""),2.3808)</f>
        <v>2.3808</v>
      </c>
    </row>
    <row r="110">
      <c r="A110" s="4" t="str">
        <f>IFERROR(__xludf.DUMMYFUNCTION("""COMPUTED_VALUE"""),"0210P")</f>
        <v>0210P</v>
      </c>
      <c r="B110" s="4" t="str">
        <f>IFERROR(__xludf.DUMMYFUNCTION("""COMPUTED_VALUE"""),"Cartel PVC 21x29 RIESGO ELECTRICO")</f>
        <v>Cartel PVC 21x29 RIESGO ELECTRICO</v>
      </c>
      <c r="C110" s="4">
        <f>IFERROR(__xludf.DUMMYFUNCTION("""COMPUTED_VALUE"""),1.536)</f>
        <v>1.536</v>
      </c>
    </row>
    <row r="111">
      <c r="A111" s="4" t="str">
        <f>IFERROR(__xludf.DUMMYFUNCTION("""COMPUTED_VALUE"""),"211")</f>
        <v>211</v>
      </c>
      <c r="B111" s="4" t="str">
        <f>IFERROR(__xludf.DUMMYFUNCTION("""COMPUTED_VALUE"""),"Cartel PVC 40x30 Carga suspendida")</f>
        <v>Cartel PVC 40x30 Carga suspendida</v>
      </c>
      <c r="C111" s="4">
        <f>IFERROR(__xludf.DUMMYFUNCTION("""COMPUTED_VALUE"""),2.3808)</f>
        <v>2.3808</v>
      </c>
    </row>
    <row r="112">
      <c r="A112" s="4" t="str">
        <f>IFERROR(__xludf.DUMMYFUNCTION("""COMPUTED_VALUE"""),"0211P")</f>
        <v>0211P</v>
      </c>
      <c r="B112" s="4" t="str">
        <f>IFERROR(__xludf.DUMMYFUNCTION("""COMPUTED_VALUE"""),"Cartel PVC 21x29 RIESGO CARGA SUSPENDIDA")</f>
        <v>Cartel PVC 21x29 RIESGO CARGA SUSPENDIDA</v>
      </c>
      <c r="C112" s="4">
        <f>IFERROR(__xludf.DUMMYFUNCTION("""COMPUTED_VALUE"""),1.536)</f>
        <v>1.536</v>
      </c>
    </row>
    <row r="113">
      <c r="A113" s="4" t="str">
        <f>IFERROR(__xludf.DUMMYFUNCTION("""COMPUTED_VALUE"""),"212")</f>
        <v>212</v>
      </c>
      <c r="B113" s="4" t="str">
        <f>IFERROR(__xludf.DUMMYFUNCTION("""COMPUTED_VALUE"""),"Cartel PVC 40x30 Materias corrosivas")</f>
        <v>Cartel PVC 40x30 Materias corrosivas</v>
      </c>
      <c r="C113" s="4">
        <f>IFERROR(__xludf.DUMMYFUNCTION("""COMPUTED_VALUE"""),2.3808)</f>
        <v>2.3808</v>
      </c>
    </row>
    <row r="114">
      <c r="A114" s="4" t="str">
        <f>IFERROR(__xludf.DUMMYFUNCTION("""COMPUTED_VALUE"""),"0212P")</f>
        <v>0212P</v>
      </c>
      <c r="B114" s="4" t="str">
        <f>IFERROR(__xludf.DUMMYFUNCTION("""COMPUTED_VALUE"""),"Cartel PVC 21x29 RIESGO MATERIAS CORROSIVAS")</f>
        <v>Cartel PVC 21x29 RIESGO MATERIAS CORROSIVAS</v>
      </c>
      <c r="C114" s="4">
        <f>IFERROR(__xludf.DUMMYFUNCTION("""COMPUTED_VALUE"""),1.536)</f>
        <v>1.536</v>
      </c>
    </row>
    <row r="115">
      <c r="A115" s="4" t="str">
        <f>IFERROR(__xludf.DUMMYFUNCTION("""COMPUTED_VALUE"""),"213")</f>
        <v>213</v>
      </c>
      <c r="B115" s="4" t="str">
        <f>IFERROR(__xludf.DUMMYFUNCTION("""COMPUTED_VALUE"""),"Cartel PVC 40x30 Vehículo Manutención")</f>
        <v>Cartel PVC 40x30 Vehículo Manutención</v>
      </c>
      <c r="C115" s="4">
        <f>IFERROR(__xludf.DUMMYFUNCTION("""COMPUTED_VALUE"""),2.3808)</f>
        <v>2.3808</v>
      </c>
    </row>
    <row r="116">
      <c r="A116" s="4" t="str">
        <f>IFERROR(__xludf.DUMMYFUNCTION("""COMPUTED_VALUE"""),"0213P")</f>
        <v>0213P</v>
      </c>
      <c r="B116" s="4" t="str">
        <f>IFERROR(__xludf.DUMMYFUNCTION("""COMPUTED_VALUE"""),"Cartel PVC 21x29 VEHICULOS DE MANUTENCION")</f>
        <v>Cartel PVC 21x29 VEHICULOS DE MANUTENCION</v>
      </c>
      <c r="C116" s="4">
        <f>IFERROR(__xludf.DUMMYFUNCTION("""COMPUTED_VALUE"""),1.536)</f>
        <v>1.536</v>
      </c>
    </row>
    <row r="117">
      <c r="A117" s="4" t="str">
        <f>IFERROR(__xludf.DUMMYFUNCTION("""COMPUTED_VALUE"""),"214")</f>
        <v>214</v>
      </c>
      <c r="B117" s="4" t="str">
        <f>IFERROR(__xludf.DUMMYFUNCTION("""COMPUTED_VALUE"""),"Cartel PVC 40x30 Caida distinto nivel")</f>
        <v>Cartel PVC 40x30 Caida distinto nivel</v>
      </c>
      <c r="C117" s="4">
        <f>IFERROR(__xludf.DUMMYFUNCTION("""COMPUTED_VALUE"""),2.3808)</f>
        <v>2.3808</v>
      </c>
    </row>
    <row r="118">
      <c r="A118" s="4" t="str">
        <f>IFERROR(__xludf.DUMMYFUNCTION("""COMPUTED_VALUE"""),"0214P")</f>
        <v>0214P</v>
      </c>
      <c r="B118" s="4" t="str">
        <f>IFERROR(__xludf.DUMMYFUNCTION("""COMPUTED_VALUE"""),"Cartel PVC 21x29 CAIDA A DISTINTO NIVEL")</f>
        <v>Cartel PVC 21x29 CAIDA A DISTINTO NIVEL</v>
      </c>
      <c r="C118" s="4">
        <f>IFERROR(__xludf.DUMMYFUNCTION("""COMPUTED_VALUE"""),1.536)</f>
        <v>1.536</v>
      </c>
    </row>
    <row r="119">
      <c r="A119" s="4" t="str">
        <f>IFERROR(__xludf.DUMMYFUNCTION("""COMPUTED_VALUE"""),"215")</f>
        <v>215</v>
      </c>
      <c r="B119" s="4" t="str">
        <f>IFERROR(__xludf.DUMMYFUNCTION("""COMPUTED_VALUE"""),"Cartel PVC 40x30 Riesgo tropezar")</f>
        <v>Cartel PVC 40x30 Riesgo tropezar</v>
      </c>
      <c r="C119" s="4">
        <f>IFERROR(__xludf.DUMMYFUNCTION("""COMPUTED_VALUE"""),2.3808)</f>
        <v>2.3808</v>
      </c>
    </row>
    <row r="120">
      <c r="A120" s="4" t="str">
        <f>IFERROR(__xludf.DUMMYFUNCTION("""COMPUTED_VALUE"""),"0215P")</f>
        <v>0215P</v>
      </c>
      <c r="B120" s="4" t="str">
        <f>IFERROR(__xludf.DUMMYFUNCTION("""COMPUTED_VALUE"""),"Cartel PVC 21x29 RIESGO DE TROPEZAR")</f>
        <v>Cartel PVC 21x29 RIESGO DE TROPEZAR</v>
      </c>
      <c r="C120" s="4">
        <f>IFERROR(__xludf.DUMMYFUNCTION("""COMPUTED_VALUE"""),1.536)</f>
        <v>1.536</v>
      </c>
    </row>
    <row r="121">
      <c r="A121" s="4" t="str">
        <f>IFERROR(__xludf.DUMMYFUNCTION("""COMPUTED_VALUE"""),"216")</f>
        <v>216</v>
      </c>
      <c r="B121" s="4" t="str">
        <f>IFERROR(__xludf.DUMMYFUNCTION("""COMPUTED_VALUE"""),"Cartel PVC 40x30 Materias comburentes")</f>
        <v>Cartel PVC 40x30 Materias comburentes</v>
      </c>
      <c r="C121" s="4">
        <f>IFERROR(__xludf.DUMMYFUNCTION("""COMPUTED_VALUE"""),2.3808)</f>
        <v>2.3808</v>
      </c>
    </row>
    <row r="122">
      <c r="A122" s="4" t="str">
        <f>IFERROR(__xludf.DUMMYFUNCTION("""COMPUTED_VALUE"""),"0216P")</f>
        <v>0216P</v>
      </c>
      <c r="B122" s="4" t="str">
        <f>IFERROR(__xludf.DUMMYFUNCTION("""COMPUTED_VALUE"""),"Cartel PVC 21x29 MATERIAS COMBURENTES")</f>
        <v>Cartel PVC 21x29 MATERIAS COMBURENTES</v>
      </c>
      <c r="C122" s="4">
        <f>IFERROR(__xludf.DUMMYFUNCTION("""COMPUTED_VALUE"""),1.536)</f>
        <v>1.536</v>
      </c>
    </row>
    <row r="123">
      <c r="A123" s="4" t="str">
        <f>IFERROR(__xludf.DUMMYFUNCTION("""COMPUTED_VALUE"""),"217")</f>
        <v>217</v>
      </c>
      <c r="B123" s="4" t="str">
        <f>IFERROR(__xludf.DUMMYFUNCTION("""COMPUTED_VALUE"""),"Cartel PVC 40x30 Materias Toxicas")</f>
        <v>Cartel PVC 40x30 Materias Toxicas</v>
      </c>
      <c r="C123" s="4">
        <f>IFERROR(__xludf.DUMMYFUNCTION("""COMPUTED_VALUE"""),2.3808)</f>
        <v>2.3808</v>
      </c>
    </row>
    <row r="124">
      <c r="A124" s="4" t="str">
        <f>IFERROR(__xludf.DUMMYFUNCTION("""COMPUTED_VALUE"""),"0217P")</f>
        <v>0217P</v>
      </c>
      <c r="B124" s="4" t="str">
        <f>IFERROR(__xludf.DUMMYFUNCTION("""COMPUTED_VALUE"""),"Cartel PVC 21x29 MATERIAS TOXICAS")</f>
        <v>Cartel PVC 21x29 MATERIAS TOXICAS</v>
      </c>
      <c r="C124" s="4">
        <f>IFERROR(__xludf.DUMMYFUNCTION("""COMPUTED_VALUE"""),1.536)</f>
        <v>1.536</v>
      </c>
    </row>
    <row r="125">
      <c r="A125" s="4" t="str">
        <f>IFERROR(__xludf.DUMMYFUNCTION("""COMPUTED_VALUE"""),"218")</f>
        <v>218</v>
      </c>
      <c r="B125" s="4" t="str">
        <f>IFERROR(__xludf.DUMMYFUNCTION("""COMPUTED_VALUE"""),"Cartel PVC 40x30 Campo Magnetico")</f>
        <v>Cartel PVC 40x30 Campo Magnetico</v>
      </c>
      <c r="C125" s="4">
        <f>IFERROR(__xludf.DUMMYFUNCTION("""COMPUTED_VALUE"""),2.3808)</f>
        <v>2.3808</v>
      </c>
    </row>
    <row r="126">
      <c r="A126" s="4" t="str">
        <f>IFERROR(__xludf.DUMMYFUNCTION("""COMPUTED_VALUE"""),"0218P")</f>
        <v>0218P</v>
      </c>
      <c r="B126" s="4" t="str">
        <f>IFERROR(__xludf.DUMMYFUNCTION("""COMPUTED_VALUE"""),"Cartel PVC 21x29 CAMPO MAGNETICO INTENSO")</f>
        <v>Cartel PVC 21x29 CAMPO MAGNETICO INTENSO</v>
      </c>
      <c r="C126" s="4">
        <f>IFERROR(__xludf.DUMMYFUNCTION("""COMPUTED_VALUE"""),1.536)</f>
        <v>1.536</v>
      </c>
    </row>
    <row r="127">
      <c r="A127" s="4" t="str">
        <f>IFERROR(__xludf.DUMMYFUNCTION("""COMPUTED_VALUE"""),"219")</f>
        <v>219</v>
      </c>
      <c r="B127" s="4" t="str">
        <f>IFERROR(__xludf.DUMMYFUNCTION("""COMPUTED_VALUE"""),"Cartel PVC 40x30 Materias Inflamables")</f>
        <v>Cartel PVC 40x30 Materias Inflamables</v>
      </c>
      <c r="C127" s="4">
        <f>IFERROR(__xludf.DUMMYFUNCTION("""COMPUTED_VALUE"""),2.3808)</f>
        <v>2.3808</v>
      </c>
    </row>
    <row r="128">
      <c r="A128" s="4" t="str">
        <f>IFERROR(__xludf.DUMMYFUNCTION("""COMPUTED_VALUE"""),"0219P")</f>
        <v>0219P</v>
      </c>
      <c r="B128" s="4" t="str">
        <f>IFERROR(__xludf.DUMMYFUNCTION("""COMPUTED_VALUE"""),"Cartel PVC 21x29 MATERIAS INFLAMABLES")</f>
        <v>Cartel PVC 21x29 MATERIAS INFLAMABLES</v>
      </c>
      <c r="C128" s="4">
        <f>IFERROR(__xludf.DUMMYFUNCTION("""COMPUTED_VALUE"""),1.536)</f>
        <v>1.536</v>
      </c>
    </row>
    <row r="129">
      <c r="A129" s="4" t="str">
        <f>IFERROR(__xludf.DUMMYFUNCTION("""COMPUTED_VALUE"""),"220")</f>
        <v>220</v>
      </c>
      <c r="B129" s="4" t="str">
        <f>IFERROR(__xludf.DUMMYFUNCTION("""COMPUTED_VALUE"""),"Cartel PVC 40x30 OBLIG.USO CASC+")</f>
        <v>Cartel PVC 40x30 OBLIG.USO CASC+</v>
      </c>
      <c r="C129" s="4">
        <f>IFERROR(__xludf.DUMMYFUNCTION("""COMPUTED_VALUE"""),2.3808)</f>
        <v>2.3808</v>
      </c>
    </row>
    <row r="130">
      <c r="A130" s="4" t="str">
        <f>IFERROR(__xludf.DUMMYFUNCTION("""COMPUTED_VALUE"""),"0220P")</f>
        <v>0220P</v>
      </c>
      <c r="B130" s="4" t="str">
        <f>IFERROR(__xludf.DUMMYFUNCTION("""COMPUTED_VALUE"""),"Cartel PVC 21x29 USO OBLIGATORIO DEL CASCO")</f>
        <v>Cartel PVC 21x29 USO OBLIGATORIO DEL CASCO</v>
      </c>
      <c r="C130" s="4">
        <f>IFERROR(__xludf.DUMMYFUNCTION("""COMPUTED_VALUE"""),1.536)</f>
        <v>1.536</v>
      </c>
    </row>
    <row r="131">
      <c r="A131" s="4" t="str">
        <f>IFERROR(__xludf.DUMMYFUNCTION("""COMPUTED_VALUE"""),"221")</f>
        <v>221</v>
      </c>
      <c r="B131" s="4" t="str">
        <f>IFERROR(__xludf.DUMMYFUNCTION("""COMPUTED_VALUE"""),"Cartel PVC 40x30 OBLIG.USO BOTA+")</f>
        <v>Cartel PVC 40x30 OBLIG.USO BOTA+</v>
      </c>
      <c r="C131" s="4">
        <f>IFERROR(__xludf.DUMMYFUNCTION("""COMPUTED_VALUE"""),2.3808)</f>
        <v>2.3808</v>
      </c>
    </row>
    <row r="132">
      <c r="A132" s="4" t="str">
        <f>IFERROR(__xludf.DUMMYFUNCTION("""COMPUTED_VALUE"""),"0221P")</f>
        <v>0221P</v>
      </c>
      <c r="B132" s="4" t="str">
        <f>IFERROR(__xludf.DUMMYFUNCTION("""COMPUTED_VALUE"""),"Cartel PVC 21x29 USO OBLIGATORIO DE LAS BOTAS")</f>
        <v>Cartel PVC 21x29 USO OBLIGATORIO DE LAS BOTAS</v>
      </c>
      <c r="C132" s="4">
        <f>IFERROR(__xludf.DUMMYFUNCTION("""COMPUTED_VALUE"""),1.536)</f>
        <v>1.536</v>
      </c>
    </row>
    <row r="133">
      <c r="A133" s="4" t="str">
        <f>IFERROR(__xludf.DUMMYFUNCTION("""COMPUTED_VALUE"""),"222")</f>
        <v>222</v>
      </c>
      <c r="B133" s="4" t="str">
        <f>IFERROR(__xludf.DUMMYFUNCTION("""COMPUTED_VALUE"""),"Cartel PVC 40x30 OBLIG.USO GUAN+E")</f>
        <v>Cartel PVC 40x30 OBLIG.USO GUAN+E</v>
      </c>
      <c r="C133" s="4">
        <f>IFERROR(__xludf.DUMMYFUNCTION("""COMPUTED_VALUE"""),2.3808)</f>
        <v>2.3808</v>
      </c>
    </row>
    <row r="134">
      <c r="A134" s="4" t="str">
        <f>IFERROR(__xludf.DUMMYFUNCTION("""COMPUTED_VALUE"""),"0222P")</f>
        <v>0222P</v>
      </c>
      <c r="B134" s="4" t="str">
        <f>IFERROR(__xludf.DUMMYFUNCTION("""COMPUTED_VALUE"""),"Cartel PVC 21x29 USO OBLIGATORIO DE GUANTES")</f>
        <v>Cartel PVC 21x29 USO OBLIGATORIO DE GUANTES</v>
      </c>
      <c r="C134" s="4">
        <f>IFERROR(__xludf.DUMMYFUNCTION("""COMPUTED_VALUE"""),1.536)</f>
        <v>1.536</v>
      </c>
    </row>
    <row r="135">
      <c r="A135" s="4" t="str">
        <f>IFERROR(__xludf.DUMMYFUNCTION("""COMPUTED_VALUE"""),"223")</f>
        <v>223</v>
      </c>
      <c r="B135" s="4" t="str">
        <f>IFERROR(__xludf.DUMMYFUNCTION("""COMPUTED_VALUE"""),"Cartel PVC 40x30 OBLIG.PROT.ACU+T")</f>
        <v>Cartel PVC 40x30 OBLIG.PROT.ACU+T</v>
      </c>
      <c r="C135" s="4">
        <f>IFERROR(__xludf.DUMMYFUNCTION("""COMPUTED_VALUE"""),2.3808)</f>
        <v>2.3808</v>
      </c>
    </row>
    <row r="136">
      <c r="A136" s="4" t="str">
        <f>IFERROR(__xludf.DUMMYFUNCTION("""COMPUTED_VALUE"""),"0223P")</f>
        <v>0223P</v>
      </c>
      <c r="B136" s="4" t="str">
        <f>IFERROR(__xludf.DUMMYFUNCTION("""COMPUTED_VALUE"""),"Cartel PVC 21x29 USO OBLIGATORIO PROTECCION")</f>
        <v>Cartel PVC 21x29 USO OBLIGATORIO PROTECCION</v>
      </c>
      <c r="C136" s="4">
        <f>IFERROR(__xludf.DUMMYFUNCTION("""COMPUTED_VALUE"""),1.536)</f>
        <v>1.536</v>
      </c>
    </row>
    <row r="137">
      <c r="A137" s="4" t="str">
        <f>IFERROR(__xludf.DUMMYFUNCTION("""COMPUTED_VALUE"""),"224")</f>
        <v>224</v>
      </c>
      <c r="B137" s="4" t="str">
        <f>IFERROR(__xludf.DUMMYFUNCTION("""COMPUTED_VALUE"""),"Cartel PVC 40x30 OBLIG.USO MASC +")</f>
        <v>Cartel PVC 40x30 OBLIG.USO MASC +</v>
      </c>
      <c r="C137" s="4">
        <f>IFERROR(__xludf.DUMMYFUNCTION("""COMPUTED_VALUE"""),2.3808)</f>
        <v>2.3808</v>
      </c>
    </row>
    <row r="138">
      <c r="A138" s="4" t="str">
        <f>IFERROR(__xludf.DUMMYFUNCTION("""COMPUTED_VALUE"""),"0224P")</f>
        <v>0224P</v>
      </c>
      <c r="B138" s="4" t="str">
        <f>IFERROR(__xludf.DUMMYFUNCTION("""COMPUTED_VALUE"""),"Cartel PVC 21x29 OBLIGATORIO EL USO DE LA MASCARA")</f>
        <v>Cartel PVC 21x29 OBLIGATORIO EL USO DE LA MASCARA</v>
      </c>
      <c r="C138" s="4">
        <f>IFERROR(__xludf.DUMMYFUNCTION("""COMPUTED_VALUE"""),1.536)</f>
        <v>1.536</v>
      </c>
    </row>
    <row r="139">
      <c r="A139" s="4" t="str">
        <f>IFERROR(__xludf.DUMMYFUNCTION("""COMPUTED_VALUE"""),"225")</f>
        <v>225</v>
      </c>
      <c r="B139" s="4" t="str">
        <f>IFERROR(__xludf.DUMMYFUNCTION("""COMPUTED_VALUE"""),"Cartel PVC 40x30 OBLIG.PANT.PRO+E")</f>
        <v>Cartel PVC 40x30 OBLIG.PANT.PRO+E</v>
      </c>
      <c r="C139" s="4">
        <f>IFERROR(__xludf.DUMMYFUNCTION("""COMPUTED_VALUE"""),2.3808)</f>
        <v>2.3808</v>
      </c>
    </row>
    <row r="140">
      <c r="A140" s="4" t="str">
        <f>IFERROR(__xludf.DUMMYFUNCTION("""COMPUTED_VALUE"""),"0225P")</f>
        <v>0225P</v>
      </c>
      <c r="B140" s="4" t="str">
        <f>IFERROR(__xludf.DUMMYFUNCTION("""COMPUTED_VALUE"""),"Cartel PVC 21x29 OBLIGATORIO USO PANTALLA")</f>
        <v>Cartel PVC 21x29 OBLIGATORIO USO PANTALLA</v>
      </c>
      <c r="C140" s="4">
        <f>IFERROR(__xludf.DUMMYFUNCTION("""COMPUTED_VALUE"""),1.536)</f>
        <v>1.536</v>
      </c>
    </row>
    <row r="141">
      <c r="A141" s="4" t="str">
        <f>IFERROR(__xludf.DUMMYFUNCTION("""COMPUTED_VALUE"""),"226")</f>
        <v>226</v>
      </c>
      <c r="B141" s="4" t="str">
        <f>IFERROR(__xludf.DUMMYFUNCTION("""COMPUTED_VALUE"""),"Cartel PVC 40x30 OBLIG.GAFAS PROT")</f>
        <v>Cartel PVC 40x30 OBLIG.GAFAS PROT</v>
      </c>
      <c r="C141" s="4">
        <f>IFERROR(__xludf.DUMMYFUNCTION("""COMPUTED_VALUE"""),2.3808)</f>
        <v>2.3808</v>
      </c>
    </row>
    <row r="142">
      <c r="A142" s="4" t="str">
        <f>IFERROR(__xludf.DUMMYFUNCTION("""COMPUTED_VALUE"""),"0226P")</f>
        <v>0226P</v>
      </c>
      <c r="B142" s="4" t="str">
        <f>IFERROR(__xludf.DUMMYFUNCTION("""COMPUTED_VALUE"""),"Cartel PVC 21x29 OBLIGATORIO EL USO GAFAS")</f>
        <v>Cartel PVC 21x29 OBLIGATORIO EL USO GAFAS</v>
      </c>
      <c r="C142" s="4">
        <f>IFERROR(__xludf.DUMMYFUNCTION("""COMPUTED_VALUE"""),1.536)</f>
        <v>1.536</v>
      </c>
    </row>
    <row r="143">
      <c r="A143" s="4" t="str">
        <f>IFERROR(__xludf.DUMMYFUNCTION("""COMPUTED_VALUE"""),"227")</f>
        <v>227</v>
      </c>
      <c r="B143" s="4" t="str">
        <f>IFERROR(__xludf.DUMMYFUNCTION("""COMPUTED_VALUE"""),"Cartel PVC 40x30 OBLIG.ARNES SEGUR.")</f>
        <v>Cartel PVC 40x30 OBLIG.ARNES SEGUR.</v>
      </c>
      <c r="C143" s="4">
        <f>IFERROR(__xludf.DUMMYFUNCTION("""COMPUTED_VALUE"""),2.3808)</f>
        <v>2.3808</v>
      </c>
    </row>
    <row r="144">
      <c r="A144" s="4" t="str">
        <f>IFERROR(__xludf.DUMMYFUNCTION("""COMPUTED_VALUE"""),"0227P")</f>
        <v>0227P</v>
      </c>
      <c r="B144" s="4" t="str">
        <f>IFERROR(__xludf.DUMMYFUNCTION("""COMPUTED_VALUE"""),"Cartel PVC 21x29 OBLIGATORIO EL USO ARNES")</f>
        <v>Cartel PVC 21x29 OBLIGATORIO EL USO ARNES</v>
      </c>
      <c r="C144" s="4">
        <f>IFERROR(__xludf.DUMMYFUNCTION("""COMPUTED_VALUE"""),1.536)</f>
        <v>1.536</v>
      </c>
    </row>
    <row r="145">
      <c r="A145" s="4" t="str">
        <f>IFERROR(__xludf.DUMMYFUNCTION("""COMPUTED_VALUE"""),"228")</f>
        <v>228</v>
      </c>
      <c r="B145" s="4" t="str">
        <f>IFERROR(__xludf.DUMMYFUNCTION("""COMPUTED_VALUE"""),"Cartel PVC 40x30 PROTECION OBLIGAT.CUERPO")</f>
        <v>Cartel PVC 40x30 PROTECION OBLIGAT.CUERPO</v>
      </c>
      <c r="C145" s="4">
        <f>IFERROR(__xludf.DUMMYFUNCTION("""COMPUTED_VALUE"""),2.3808)</f>
        <v>2.3808</v>
      </c>
    </row>
    <row r="146">
      <c r="A146" s="4" t="str">
        <f>IFERROR(__xludf.DUMMYFUNCTION("""COMPUTED_VALUE"""),"0228P")</f>
        <v>0228P</v>
      </c>
      <c r="B146" s="4" t="str">
        <f>IFERROR(__xludf.DUMMYFUNCTION("""COMPUTED_VALUE"""),"Cartel PVC 21x29 USO PROTECCION OBLIGATORIA DEL")</f>
        <v>Cartel PVC 21x29 USO PROTECCION OBLIGATORIA DEL</v>
      </c>
      <c r="C146" s="4">
        <f>IFERROR(__xludf.DUMMYFUNCTION("""COMPUTED_VALUE"""),1.536)</f>
        <v>1.536</v>
      </c>
    </row>
    <row r="147">
      <c r="A147" s="4" t="str">
        <f>IFERROR(__xludf.DUMMYFUNCTION("""COMPUTED_VALUE"""),"229")</f>
        <v>229</v>
      </c>
      <c r="B147" s="4" t="str">
        <f>IFERROR(__xludf.DUMMYFUNCTION("""COMPUTED_VALUE"""),"Cartel PVC 40x30 Eliminar puntas")</f>
        <v>Cartel PVC 40x30 Eliminar puntas</v>
      </c>
      <c r="C147" s="4">
        <f>IFERROR(__xludf.DUMMYFUNCTION("""COMPUTED_VALUE"""),2.3808)</f>
        <v>2.3808</v>
      </c>
    </row>
    <row r="148">
      <c r="A148" s="4" t="str">
        <f>IFERROR(__xludf.DUMMYFUNCTION("""COMPUTED_VALUE"""),"0229P")</f>
        <v>0229P</v>
      </c>
      <c r="B148" s="4" t="str">
        <f>IFERROR(__xludf.DUMMYFUNCTION("""COMPUTED_VALUE"""),"Cartel PVC 21x29 OBLIGATORIO ELIMINAR LAS PUNTAS")</f>
        <v>Cartel PVC 21x29 OBLIGATORIO ELIMINAR LAS PUNTAS</v>
      </c>
      <c r="C148" s="4">
        <f>IFERROR(__xludf.DUMMYFUNCTION("""COMPUTED_VALUE"""),1.536)</f>
        <v>1.536</v>
      </c>
    </row>
    <row r="149">
      <c r="A149" s="4" t="str">
        <f>IFERROR(__xludf.DUMMYFUNCTION("""COMPUTED_VALUE"""),"230")</f>
        <v>230</v>
      </c>
      <c r="B149" s="4" t="str">
        <f>IFERROR(__xludf.DUMMYFUNCTION("""COMPUTED_VALUE"""),"Cartel PVC 40x30 PROHIBIDO FUMA+")</f>
        <v>Cartel PVC 40x30 PROHIBIDO FUMA+</v>
      </c>
      <c r="C149" s="4">
        <f>IFERROR(__xludf.DUMMYFUNCTION("""COMPUTED_VALUE"""),2.3808)</f>
        <v>2.3808</v>
      </c>
    </row>
    <row r="150">
      <c r="A150" s="4" t="str">
        <f>IFERROR(__xludf.DUMMYFUNCTION("""COMPUTED_VALUE"""),"0230P")</f>
        <v>0230P</v>
      </c>
      <c r="B150" s="4" t="str">
        <f>IFERROR(__xludf.DUMMYFUNCTION("""COMPUTED_VALUE"""),"Cartel 21X29 PROHIBIDO FUMAR")</f>
        <v>Cartel 21X29 PROHIBIDO FUMAR</v>
      </c>
      <c r="C150" s="4">
        <f>IFERROR(__xludf.DUMMYFUNCTION("""COMPUTED_VALUE"""),1.536)</f>
        <v>1.536</v>
      </c>
    </row>
    <row r="151">
      <c r="A151" s="4" t="str">
        <f>IFERROR(__xludf.DUMMYFUNCTION("""COMPUTED_VALUE"""),"231")</f>
        <v>231</v>
      </c>
      <c r="B151" s="4" t="str">
        <f>IFERROR(__xludf.DUMMYFUNCTION("""COMPUTED_VALUE"""),"Cartel PVC 40x30 PROHIBIDO PASO+")</f>
        <v>Cartel PVC 40x30 PROHIBIDO PASO+</v>
      </c>
      <c r="C151" s="4">
        <f>IFERROR(__xludf.DUMMYFUNCTION("""COMPUTED_VALUE"""),2.3808)</f>
        <v>2.3808</v>
      </c>
    </row>
    <row r="152">
      <c r="A152" s="4" t="str">
        <f>IFERROR(__xludf.DUMMYFUNCTION("""COMPUTED_VALUE"""),"0231P")</f>
        <v>0231P</v>
      </c>
      <c r="B152" s="4" t="str">
        <f>IFERROR(__xludf.DUMMYFUNCTION("""COMPUTED_VALUE"""),"Cartel PVC 21X29 PROHIBIDO PASO PERSONA AJENA")</f>
        <v>Cartel PVC 21X29 PROHIBIDO PASO PERSONA AJENA</v>
      </c>
      <c r="C152" s="4">
        <f>IFERROR(__xludf.DUMMYFUNCTION("""COMPUTED_VALUE"""),1.536)</f>
        <v>1.536</v>
      </c>
    </row>
    <row r="153">
      <c r="A153" s="4" t="str">
        <f>IFERROR(__xludf.DUMMYFUNCTION("""COMPUTED_VALUE"""),"232")</f>
        <v>232</v>
      </c>
      <c r="B153" s="4" t="str">
        <f>IFERROR(__xludf.DUMMYFUNCTION("""COMPUTED_VALUE"""),"Cartel PVC 40x30 Proh. pasar sin casco")</f>
        <v>Cartel PVC 40x30 Proh. pasar sin casco</v>
      </c>
      <c r="C153" s="4">
        <f>IFERROR(__xludf.DUMMYFUNCTION("""COMPUTED_VALUE"""),2.3808)</f>
        <v>2.3808</v>
      </c>
    </row>
    <row r="154">
      <c r="A154" s="4" t="str">
        <f>IFERROR(__xludf.DUMMYFUNCTION("""COMPUTED_VALUE"""),"0232P")</f>
        <v>0232P</v>
      </c>
      <c r="B154" s="4" t="str">
        <f>IFERROR(__xludf.DUMMYFUNCTION("""COMPUTED_VALUE"""),"Cartel PVC 21X29 PROHIBIDO PASAR SIN CASCO")</f>
        <v>Cartel PVC 21X29 PROHIBIDO PASAR SIN CASCO</v>
      </c>
      <c r="C154" s="4">
        <f>IFERROR(__xludf.DUMMYFUNCTION("""COMPUTED_VALUE"""),1.536)</f>
        <v>1.536</v>
      </c>
    </row>
    <row r="155">
      <c r="A155" s="4" t="str">
        <f>IFERROR(__xludf.DUMMYFUNCTION("""COMPUTED_VALUE"""),"233")</f>
        <v>233</v>
      </c>
      <c r="B155" s="4" t="str">
        <f>IFERROR(__xludf.DUMMYFUNCTION("""COMPUTED_VALUE"""),"Cartel PVC 40x30 Proh. Fumar y encender fuego")</f>
        <v>Cartel PVC 40x30 Proh. Fumar y encender fuego</v>
      </c>
      <c r="C155" s="4">
        <f>IFERROR(__xludf.DUMMYFUNCTION("""COMPUTED_VALUE"""),2.3808)</f>
        <v>2.3808</v>
      </c>
    </row>
    <row r="156">
      <c r="A156" s="4" t="str">
        <f>IFERROR(__xludf.DUMMYFUNCTION("""COMPUTED_VALUE"""),"0233P")</f>
        <v>0233P</v>
      </c>
      <c r="B156" s="4" t="str">
        <f>IFERROR(__xludf.DUMMYFUNCTION("""COMPUTED_VALUE"""),"Cartel PVC 21X29 PROHIBIDO FUMAR Y ENCENDER")</f>
        <v>Cartel PVC 21X29 PROHIBIDO FUMAR Y ENCENDER</v>
      </c>
      <c r="C156" s="4">
        <f>IFERROR(__xludf.DUMMYFUNCTION("""COMPUTED_VALUE"""),1.536)</f>
        <v>1.536</v>
      </c>
    </row>
    <row r="157">
      <c r="A157" s="4" t="str">
        <f>IFERROR(__xludf.DUMMYFUNCTION("""COMPUTED_VALUE"""),"234")</f>
        <v>234</v>
      </c>
      <c r="B157" s="4" t="str">
        <f>IFERROR(__xludf.DUMMYFUNCTION("""COMPUTED_VALUE"""),"Cartel PVC 40x30 Proh. Apagar con agua")</f>
        <v>Cartel PVC 40x30 Proh. Apagar con agua</v>
      </c>
      <c r="C157" s="4">
        <f>IFERROR(__xludf.DUMMYFUNCTION("""COMPUTED_VALUE"""),2.3808)</f>
        <v>2.3808</v>
      </c>
    </row>
    <row r="158">
      <c r="A158" s="4" t="str">
        <f>IFERROR(__xludf.DUMMYFUNCTION("""COMPUTED_VALUE"""),"0234P")</f>
        <v>0234P</v>
      </c>
      <c r="B158" s="4" t="str">
        <f>IFERROR(__xludf.DUMMYFUNCTION("""COMPUTED_VALUE"""),"Cartel PVC 21x29 PROHIBIDO APAGAR CON AGUA")</f>
        <v>Cartel PVC 21x29 PROHIBIDO APAGAR CON AGUA</v>
      </c>
      <c r="C158" s="4">
        <f>IFERROR(__xludf.DUMMYFUNCTION("""COMPUTED_VALUE"""),1.536)</f>
        <v>1.536</v>
      </c>
    </row>
    <row r="159">
      <c r="A159" s="4" t="str">
        <f>IFERROR(__xludf.DUMMYFUNCTION("""COMPUTED_VALUE"""),"235")</f>
        <v>235</v>
      </c>
      <c r="B159" s="4" t="str">
        <f>IFERROR(__xludf.DUMMYFUNCTION("""COMPUTED_VALUE"""),"Cartel PVC 40x30 Proh.a los vehculos manutención")</f>
        <v>Cartel PVC 40x30 Proh.a los vehculos manutención</v>
      </c>
      <c r="C159" s="4">
        <f>IFERROR(__xludf.DUMMYFUNCTION("""COMPUTED_VALUE"""),2.3808)</f>
        <v>2.3808</v>
      </c>
    </row>
    <row r="160">
      <c r="A160" s="4" t="str">
        <f>IFERROR(__xludf.DUMMYFUNCTION("""COMPUTED_VALUE"""),"0235P")</f>
        <v>0235P</v>
      </c>
      <c r="B160" s="4" t="str">
        <f>IFERROR(__xludf.DUMMYFUNCTION("""COMPUTED_VALUE"""),"Cartel PVC 21x29 PROHIBIDO A LOS VEHICULOS DE")</f>
        <v>Cartel PVC 21x29 PROHIBIDO A LOS VEHICULOS DE</v>
      </c>
      <c r="C160" s="4">
        <f>IFERROR(__xludf.DUMMYFUNCTION("""COMPUTED_VALUE"""),1.536)</f>
        <v>1.536</v>
      </c>
    </row>
    <row r="161">
      <c r="A161" s="4" t="str">
        <f>IFERROR(__xludf.DUMMYFUNCTION("""COMPUTED_VALUE"""),"236")</f>
        <v>236</v>
      </c>
      <c r="B161" s="4" t="str">
        <f>IFERROR(__xludf.DUMMYFUNCTION("""COMPUTED_VALUE"""),"Cartel PVC 40x30 Materias Explosivas")</f>
        <v>Cartel PVC 40x30 Materias Explosivas</v>
      </c>
      <c r="C161" s="4">
        <f>IFERROR(__xludf.DUMMYFUNCTION("""COMPUTED_VALUE"""),2.3808)</f>
        <v>2.3808</v>
      </c>
    </row>
    <row r="162">
      <c r="A162" s="4" t="str">
        <f>IFERROR(__xludf.DUMMYFUNCTION("""COMPUTED_VALUE"""),"0236P")</f>
        <v>0236P</v>
      </c>
      <c r="B162" s="4" t="str">
        <f>IFERROR(__xludf.DUMMYFUNCTION("""COMPUTED_VALUE"""),"Cartel PVC 21x29 MATERIAS EXPLOSIVAS")</f>
        <v>Cartel PVC 21x29 MATERIAS EXPLOSIVAS</v>
      </c>
      <c r="C162" s="4">
        <f>IFERROR(__xludf.DUMMYFUNCTION("""COMPUTED_VALUE"""),1.536)</f>
        <v>1.536</v>
      </c>
    </row>
    <row r="163">
      <c r="A163" s="4" t="str">
        <f>IFERROR(__xludf.DUMMYFUNCTION("""COMPUTED_VALUE"""),"237")</f>
        <v>237</v>
      </c>
      <c r="B163" s="4" t="str">
        <f>IFERROR(__xludf.DUMMYFUNCTION("""COMPUTED_VALUE"""),"Cartel PVC 40x30 Proh. uso personas")</f>
        <v>Cartel PVC 40x30 Proh. uso personas</v>
      </c>
      <c r="C163" s="4">
        <f>IFERROR(__xludf.DUMMYFUNCTION("""COMPUTED_VALUE"""),2.3808)</f>
        <v>2.3808</v>
      </c>
    </row>
    <row r="164">
      <c r="A164" s="4" t="str">
        <f>IFERROR(__xludf.DUMMYFUNCTION("""COMPUTED_VALUE"""),"0237P")</f>
        <v>0237P</v>
      </c>
      <c r="B164" s="4" t="str">
        <f>IFERROR(__xludf.DUMMYFUNCTION("""COMPUTED_VALUE"""),"Cartel PVC 21x29 PROHIBIDO EL USO A PERSONAS")</f>
        <v>Cartel PVC 21x29 PROHIBIDO EL USO A PERSONAS</v>
      </c>
      <c r="C164" s="4">
        <f>IFERROR(__xludf.DUMMYFUNCTION("""COMPUTED_VALUE"""),1.536)</f>
        <v>1.536</v>
      </c>
    </row>
    <row r="165">
      <c r="A165" s="4" t="str">
        <f>IFERROR(__xludf.DUMMYFUNCTION("""COMPUTED_VALUE"""),"238")</f>
        <v>238</v>
      </c>
      <c r="B165" s="4" t="str">
        <f>IFERROR(__xludf.DUMMYFUNCTION("""COMPUTED_VALUE"""),"Cartel PVC 40x30 Atencion puesta Tierra")</f>
        <v>Cartel PVC 40x30 Atencion puesta Tierra</v>
      </c>
      <c r="C165" s="4">
        <f>IFERROR(__xludf.DUMMYFUNCTION("""COMPUTED_VALUE"""),2.3808)</f>
        <v>2.3808</v>
      </c>
    </row>
    <row r="166">
      <c r="A166" s="4" t="str">
        <f>IFERROR(__xludf.DUMMYFUNCTION("""COMPUTED_VALUE"""),"0238P")</f>
        <v>0238P</v>
      </c>
      <c r="B166" s="4" t="str">
        <f>IFERROR(__xludf.DUMMYFUNCTION("""COMPUTED_VALUE"""),"Cartel PVC 21x29 ATENCION PUESTA A TIERRA")</f>
        <v>Cartel PVC 21x29 ATENCION PUESTA A TIERRA</v>
      </c>
      <c r="C166" s="4">
        <f>IFERROR(__xludf.DUMMYFUNCTION("""COMPUTED_VALUE"""),1.536)</f>
        <v>1.536</v>
      </c>
    </row>
    <row r="167">
      <c r="A167" s="4" t="str">
        <f>IFERROR(__xludf.DUMMYFUNCTION("""COMPUTED_VALUE"""),"239")</f>
        <v>239</v>
      </c>
      <c r="B167" s="4" t="str">
        <f>IFERROR(__xludf.DUMMYFUNCTION("""COMPUTED_VALUE"""),"Cartel PVC Espacio confinado 40x30 cm")</f>
        <v>Cartel PVC Espacio confinado 40x30 cm</v>
      </c>
      <c r="C167" s="4">
        <f>IFERROR(__xludf.DUMMYFUNCTION("""COMPUTED_VALUE"""),2.3808)</f>
        <v>2.3808</v>
      </c>
    </row>
    <row r="168">
      <c r="A168" s="4" t="str">
        <f>IFERROR(__xludf.DUMMYFUNCTION("""COMPUTED_VALUE"""),"0239P")</f>
        <v>0239P</v>
      </c>
      <c r="B168" s="4" t="str">
        <f>IFERROR(__xludf.DUMMYFUNCTION("""COMPUTED_VALUE"""),"Cartel PVC Espacio Confinado 21x29 cm")</f>
        <v>Cartel PVC Espacio Confinado 21x29 cm</v>
      </c>
      <c r="C168" s="4">
        <f>IFERROR(__xludf.DUMMYFUNCTION("""COMPUTED_VALUE"""),1.536)</f>
        <v>1.536</v>
      </c>
    </row>
    <row r="169">
      <c r="A169" s="4" t="str">
        <f>IFERROR(__xludf.DUMMYFUNCTION("""COMPUTED_VALUE"""),"240")</f>
        <v>240</v>
      </c>
      <c r="B169" s="4" t="str">
        <f>IFERROR(__xludf.DUMMYFUNCTION("""COMPUTED_VALUE"""),"Cartel PVC 40x30 Maquin.pesada en movim")</f>
        <v>Cartel PVC 40x30 Maquin.pesada en movim</v>
      </c>
      <c r="C169" s="4">
        <f>IFERROR(__xludf.DUMMYFUNCTION("""COMPUTED_VALUE"""),2.3808)</f>
        <v>2.3808</v>
      </c>
    </row>
    <row r="170">
      <c r="A170" s="4" t="str">
        <f>IFERROR(__xludf.DUMMYFUNCTION("""COMPUTED_VALUE"""),"0240P")</f>
        <v>0240P</v>
      </c>
      <c r="B170" s="4" t="str">
        <f>IFERROR(__xludf.DUMMYFUNCTION("""COMPUTED_VALUE"""),"Cartel PVC 21X29 MAQUINARIA PESADA EN MOVIMIENTO")</f>
        <v>Cartel PVC 21X29 MAQUINARIA PESADA EN MOVIMIENTO</v>
      </c>
      <c r="C170" s="4">
        <f>IFERROR(__xludf.DUMMYFUNCTION("""COMPUTED_VALUE"""),1.536)</f>
        <v>1.536</v>
      </c>
    </row>
    <row r="171">
      <c r="A171" s="4" t="str">
        <f>IFERROR(__xludf.DUMMYFUNCTION("""COMPUTED_VALUE"""),"241")</f>
        <v>241</v>
      </c>
      <c r="B171" s="4" t="str">
        <f>IFERROR(__xludf.DUMMYFUNCTION("""COMPUTED_VALUE"""),"Cartel PVC 40x30 Fluor ( Se Alquila ) c/ojales")</f>
        <v>Cartel PVC 40x30 Fluor ( Se Alquila ) c/ojales</v>
      </c>
      <c r="C171" s="4">
        <f>IFERROR(__xludf.DUMMYFUNCTION("""COMPUTED_VALUE"""),3.552)</f>
        <v>3.552</v>
      </c>
    </row>
    <row r="172">
      <c r="A172" s="4" t="str">
        <f>IFERROR(__xludf.DUMMYFUNCTION("""COMPUTED_VALUE"""),"242")</f>
        <v>242</v>
      </c>
      <c r="B172" s="4" t="str">
        <f>IFERROR(__xludf.DUMMYFUNCTION("""COMPUTED_VALUE"""),"Cartel PVC 40X30 Fluor ( Se Vende ) c/ojales")</f>
        <v>Cartel PVC 40X30 Fluor ( Se Vende ) c/ojales</v>
      </c>
      <c r="C172" s="4">
        <f>IFERROR(__xludf.DUMMYFUNCTION("""COMPUTED_VALUE"""),3.552)</f>
        <v>3.552</v>
      </c>
    </row>
    <row r="173">
      <c r="A173" s="4" t="str">
        <f>IFERROR(__xludf.DUMMYFUNCTION("""COMPUTED_VALUE"""),"243")</f>
        <v>243</v>
      </c>
      <c r="B173" s="4" t="str">
        <f>IFERROR(__xludf.DUMMYFUNCTION("""COMPUTED_VALUE"""),"Cartel PVC 21x29 Fotolum. Hidrante")</f>
        <v>Cartel PVC 21x29 Fotolum. Hidrante</v>
      </c>
      <c r="C173" s="4">
        <f>IFERROR(__xludf.DUMMYFUNCTION("""COMPUTED_VALUE"""),2.496)</f>
        <v>2.496</v>
      </c>
    </row>
    <row r="174">
      <c r="A174" s="4" t="str">
        <f>IFERROR(__xludf.DUMMYFUNCTION("""COMPUTED_VALUE"""),"0243A")</f>
        <v>0243A</v>
      </c>
      <c r="B174" s="4" t="str">
        <f>IFERROR(__xludf.DUMMYFUNCTION("""COMPUTED_VALUE"""),"Cartel PVC 21x30 Fotolum. Hidrante")</f>
        <v>Cartel PVC 21x30 Fotolum. Hidrante</v>
      </c>
      <c r="C174" s="4">
        <f>IFERROR(__xludf.DUMMYFUNCTION("""COMPUTED_VALUE"""),2.4192)</f>
        <v>2.4192</v>
      </c>
    </row>
    <row r="175">
      <c r="A175" s="4" t="str">
        <f>IFERROR(__xludf.DUMMYFUNCTION("""COMPUTED_VALUE"""),"0243B")</f>
        <v>0243B</v>
      </c>
      <c r="B175" s="4" t="str">
        <f>IFERROR(__xludf.DUMMYFUNCTION("""COMPUTED_VALUE"""),"Cartel PVC 40x30 Fotolum. Hidrante")</f>
        <v>Cartel PVC 40x30 Fotolum. Hidrante</v>
      </c>
      <c r="C175" s="4">
        <f>IFERROR(__xludf.DUMMYFUNCTION("""COMPUTED_VALUE"""),2.976)</f>
        <v>2.976</v>
      </c>
    </row>
    <row r="176">
      <c r="A176" s="4" t="str">
        <f>IFERROR(__xludf.DUMMYFUNCTION("""COMPUTED_VALUE"""),"244")</f>
        <v>244</v>
      </c>
      <c r="B176" s="4" t="str">
        <f>IFERROR(__xludf.DUMMYFUNCTION("""COMPUTED_VALUE"""),"Cartel PVC de 1x0.70 Combinado")</f>
        <v>Cartel PVC de 1x0.70 Combinado</v>
      </c>
      <c r="C176" s="4">
        <f>IFERROR(__xludf.DUMMYFUNCTION("""COMPUTED_VALUE"""),5.664)</f>
        <v>5.664</v>
      </c>
    </row>
    <row r="177">
      <c r="A177" s="4" t="str">
        <f>IFERROR(__xludf.DUMMYFUNCTION("""COMPUTED_VALUE"""),"247")</f>
        <v>247</v>
      </c>
      <c r="B177" s="4" t="str">
        <f>IFERROR(__xludf.DUMMYFUNCTION("""COMPUTED_VALUE"""),"Cartel PVC 40x30 (Salida Camiones)")</f>
        <v>Cartel PVC 40x30 (Salida Camiones)</v>
      </c>
      <c r="C177" s="4">
        <f>IFERROR(__xludf.DUMMYFUNCTION("""COMPUTED_VALUE"""),2.3808)</f>
        <v>2.3808</v>
      </c>
    </row>
    <row r="178">
      <c r="A178" s="4" t="str">
        <f>IFERROR(__xludf.DUMMYFUNCTION("""COMPUTED_VALUE"""),"0247P")</f>
        <v>0247P</v>
      </c>
      <c r="B178" s="4" t="str">
        <f>IFERROR(__xludf.DUMMYFUNCTION("""COMPUTED_VALUE"""),"Cartel PVC 21x29 SALIDA DE CAMIONES")</f>
        <v>Cartel PVC 21x29 SALIDA DE CAMIONES</v>
      </c>
      <c r="C178" s="4">
        <f>IFERROR(__xludf.DUMMYFUNCTION("""COMPUTED_VALUE"""),1.536)</f>
        <v>1.536</v>
      </c>
    </row>
    <row r="179">
      <c r="A179" s="4" t="str">
        <f>IFERROR(__xludf.DUMMYFUNCTION("""COMPUTED_VALUE"""),"248")</f>
        <v>248</v>
      </c>
      <c r="B179" s="4" t="str">
        <f>IFERROR(__xludf.DUMMYFUNCTION("""COMPUTED_VALUE"""),"Cartel PVC 40x30 (Prohibido Aparcar)")</f>
        <v>Cartel PVC 40x30 (Prohibido Aparcar)</v>
      </c>
      <c r="C179" s="4">
        <f>IFERROR(__xludf.DUMMYFUNCTION("""COMPUTED_VALUE"""),2.3808)</f>
        <v>2.3808</v>
      </c>
    </row>
    <row r="180">
      <c r="A180" s="4" t="str">
        <f>IFERROR(__xludf.DUMMYFUNCTION("""COMPUTED_VALUE"""),"0248P")</f>
        <v>0248P</v>
      </c>
      <c r="B180" s="4" t="str">
        <f>IFERROR(__xludf.DUMMYFUNCTION("""COMPUTED_VALUE"""),"Cartel PVC 21x29 PROHIBIDO APARCAR")</f>
        <v>Cartel PVC 21x29 PROHIBIDO APARCAR</v>
      </c>
      <c r="C180" s="4">
        <f>IFERROR(__xludf.DUMMYFUNCTION("""COMPUTED_VALUE"""),1.536)</f>
        <v>1.536</v>
      </c>
    </row>
    <row r="181">
      <c r="A181" s="4" t="str">
        <f>IFERROR(__xludf.DUMMYFUNCTION("""COMPUTED_VALUE"""),"249")</f>
        <v>249</v>
      </c>
      <c r="B181" s="4" t="str">
        <f>IFERROR(__xludf.DUMMYFUNCTION("""COMPUTED_VALUE"""),"Cartel PVC 40x30 STOP")</f>
        <v>Cartel PVC 40x30 STOP</v>
      </c>
      <c r="C181" s="4">
        <f>IFERROR(__xludf.DUMMYFUNCTION("""COMPUTED_VALUE"""),2.3808)</f>
        <v>2.3808</v>
      </c>
    </row>
    <row r="182">
      <c r="A182" s="4" t="str">
        <f>IFERROR(__xludf.DUMMYFUNCTION("""COMPUTED_VALUE"""),"0249P")</f>
        <v>0249P</v>
      </c>
      <c r="B182" s="4" t="str">
        <f>IFERROR(__xludf.DUMMYFUNCTION("""COMPUTED_VALUE"""),"Cartel PVC 21x29 STOP")</f>
        <v>Cartel PVC 21x29 STOP</v>
      </c>
      <c r="C182" s="4">
        <f>IFERROR(__xludf.DUMMYFUNCTION("""COMPUTED_VALUE"""),1.536)</f>
        <v>1.536</v>
      </c>
    </row>
    <row r="183">
      <c r="A183" s="4" t="str">
        <f>IFERROR(__xludf.DUMMYFUNCTION("""COMPUTED_VALUE"""),"250")</f>
        <v>250</v>
      </c>
      <c r="B183" s="4" t="str">
        <f>IFERROR(__xludf.DUMMYFUNCTION("""COMPUTED_VALUE"""),"Cartel PVC 40x30 (Peligro Indefinido)")</f>
        <v>Cartel PVC 40x30 (Peligro Indefinido)</v>
      </c>
      <c r="C183" s="4">
        <f>IFERROR(__xludf.DUMMYFUNCTION("""COMPUTED_VALUE"""),2.3808)</f>
        <v>2.3808</v>
      </c>
    </row>
    <row r="184">
      <c r="A184" s="4" t="str">
        <f>IFERROR(__xludf.DUMMYFUNCTION("""COMPUTED_VALUE"""),"0250P")</f>
        <v>0250P</v>
      </c>
      <c r="B184" s="4" t="str">
        <f>IFERROR(__xludf.DUMMYFUNCTION("""COMPUTED_VALUE"""),"Cartel PVC 21x29 PELIGRO")</f>
        <v>Cartel PVC 21x29 PELIGRO</v>
      </c>
      <c r="C184" s="4">
        <f>IFERROR(__xludf.DUMMYFUNCTION("""COMPUTED_VALUE"""),1.536)</f>
        <v>1.536</v>
      </c>
    </row>
    <row r="185">
      <c r="A185" s="4" t="str">
        <f>IFERROR(__xludf.DUMMYFUNCTION("""COMPUTED_VALUE"""),"251")</f>
        <v>251</v>
      </c>
      <c r="B185" s="4" t="str">
        <f>IFERROR(__xludf.DUMMYFUNCTION("""COMPUTED_VALUE"""),"Cartel PVC 40x30 (Vado Permanente)")</f>
        <v>Cartel PVC 40x30 (Vado Permanente)</v>
      </c>
      <c r="C185" s="4">
        <f>IFERROR(__xludf.DUMMYFUNCTION("""COMPUTED_VALUE"""),2.3808)</f>
        <v>2.3808</v>
      </c>
    </row>
    <row r="186">
      <c r="A186" s="4" t="str">
        <f>IFERROR(__xludf.DUMMYFUNCTION("""COMPUTED_VALUE"""),"0251P")</f>
        <v>0251P</v>
      </c>
      <c r="B186" s="4" t="str">
        <f>IFERROR(__xludf.DUMMYFUNCTION("""COMPUTED_VALUE"""),"Cartel PVC 21x29 VADO PERMANENTE")</f>
        <v>Cartel PVC 21x29 VADO PERMANENTE</v>
      </c>
      <c r="C186" s="4">
        <f>IFERROR(__xludf.DUMMYFUNCTION("""COMPUTED_VALUE"""),1.536)</f>
        <v>1.536</v>
      </c>
    </row>
    <row r="187">
      <c r="A187" s="4" t="str">
        <f>IFERROR(__xludf.DUMMYFUNCTION("""COMPUTED_VALUE"""),"252")</f>
        <v>252</v>
      </c>
      <c r="B187" s="4" t="str">
        <f>IFERROR(__xludf.DUMMYFUNCTION("""COMPUTED_VALUE"""),"Cartel PVC 40x30 (Riesgo Atrapamiento)")</f>
        <v>Cartel PVC 40x30 (Riesgo Atrapamiento)</v>
      </c>
      <c r="C187" s="4">
        <f>IFERROR(__xludf.DUMMYFUNCTION("""COMPUTED_VALUE"""),2.3808)</f>
        <v>2.3808</v>
      </c>
    </row>
    <row r="188">
      <c r="A188" s="4" t="str">
        <f>IFERROR(__xludf.DUMMYFUNCTION("""COMPUTED_VALUE"""),"0252P")</f>
        <v>0252P</v>
      </c>
      <c r="B188" s="4" t="str">
        <f>IFERROR(__xludf.DUMMYFUNCTION("""COMPUTED_VALUE"""),"Cartel PVC 21x29 ATENCION RIESGO DE ATRAPAMIENTO")</f>
        <v>Cartel PVC 21x29 ATENCION RIESGO DE ATRAPAMIENTO</v>
      </c>
      <c r="C188" s="4">
        <f>IFERROR(__xludf.DUMMYFUNCTION("""COMPUTED_VALUE"""),1.536)</f>
        <v>1.536</v>
      </c>
    </row>
    <row r="189">
      <c r="A189" s="4" t="str">
        <f>IFERROR(__xludf.DUMMYFUNCTION("""COMPUTED_VALUE"""),"253")</f>
        <v>253</v>
      </c>
      <c r="B189" s="4" t="str">
        <f>IFERROR(__xludf.DUMMYFUNCTION("""COMPUTED_VALUE"""),"Cartel PVC 40x30 (Proh. paso empresa)")</f>
        <v>Cartel PVC 40x30 (Proh. paso empresa)</v>
      </c>
      <c r="C189" s="4">
        <f>IFERROR(__xludf.DUMMYFUNCTION("""COMPUTED_VALUE"""),2.3808)</f>
        <v>2.3808</v>
      </c>
    </row>
    <row r="190">
      <c r="A190" s="4" t="str">
        <f>IFERROR(__xludf.DUMMYFUNCTION("""COMPUTED_VALUE"""),"0253P")</f>
        <v>0253P</v>
      </c>
      <c r="B190" s="4" t="str">
        <f>IFERROR(__xludf.DUMMYFUNCTION("""COMPUTED_VALUE"""),"Cartel PVC 21x29 PROHIBIDO PASO PERSONA AJENA")</f>
        <v>Cartel PVC 21x29 PROHIBIDO PASO PERSONA AJENA</v>
      </c>
      <c r="C190" s="4">
        <f>IFERROR(__xludf.DUMMYFUNCTION("""COMPUTED_VALUE"""),1.536)</f>
        <v>1.536</v>
      </c>
    </row>
    <row r="191">
      <c r="A191" s="4" t="str">
        <f>IFERROR(__xludf.DUMMYFUNCTION("""COMPUTED_VALUE"""),"255")</f>
        <v>255</v>
      </c>
      <c r="B191" s="4" t="str">
        <f>IFERROR(__xludf.DUMMYFUNCTION("""COMPUTED_VALUE"""),"Cartel PVC 40x30 (Temperatura elevada)")</f>
        <v>Cartel PVC 40x30 (Temperatura elevada)</v>
      </c>
      <c r="C191" s="4">
        <f>IFERROR(__xludf.DUMMYFUNCTION("""COMPUTED_VALUE"""),2.3808)</f>
        <v>2.3808</v>
      </c>
    </row>
    <row r="192">
      <c r="A192" s="4" t="str">
        <f>IFERROR(__xludf.DUMMYFUNCTION("""COMPUTED_VALUE"""),"0255P")</f>
        <v>0255P</v>
      </c>
      <c r="B192" s="4" t="str">
        <f>IFERROR(__xludf.DUMMYFUNCTION("""COMPUTED_VALUE"""),"Cartel PVC 21x29 TEMPERATURA ELEVADA")</f>
        <v>Cartel PVC 21x29 TEMPERATURA ELEVADA</v>
      </c>
      <c r="C192" s="4">
        <f>IFERROR(__xludf.DUMMYFUNCTION("""COMPUTED_VALUE"""),1.536)</f>
        <v>1.536</v>
      </c>
    </row>
    <row r="193">
      <c r="A193" s="4" t="str">
        <f>IFERROR(__xludf.DUMMYFUNCTION("""COMPUTED_VALUE"""),"256")</f>
        <v>256</v>
      </c>
      <c r="B193" s="4" t="str">
        <f>IFERROR(__xludf.DUMMYFUNCTION("""COMPUTED_VALUE"""),"Cartel PVC 40x30 Fotolum. Botiquin")</f>
        <v>Cartel PVC 40x30 Fotolum. Botiquin</v>
      </c>
      <c r="C193" s="4">
        <f>IFERROR(__xludf.DUMMYFUNCTION("""COMPUTED_VALUE"""),3.2159999999999997)</f>
        <v>3.216</v>
      </c>
    </row>
    <row r="194">
      <c r="A194" s="4" t="str">
        <f>IFERROR(__xludf.DUMMYFUNCTION("""COMPUTED_VALUE"""),"257")</f>
        <v>257</v>
      </c>
      <c r="B194" s="4" t="str">
        <f>IFERROR(__xludf.DUMMYFUNCTION("""COMPUTED_VALUE"""),"Cartel PVC 40x30 (Riesgo desprendimiento)")</f>
        <v>Cartel PVC 40x30 (Riesgo desprendimiento)</v>
      </c>
      <c r="C194" s="4">
        <f>IFERROR(__xludf.DUMMYFUNCTION("""COMPUTED_VALUE"""),2.3808)</f>
        <v>2.3808</v>
      </c>
    </row>
    <row r="195">
      <c r="A195" s="4" t="str">
        <f>IFERROR(__xludf.DUMMYFUNCTION("""COMPUTED_VALUE"""),"0257P")</f>
        <v>0257P</v>
      </c>
      <c r="B195" s="4" t="str">
        <f>IFERROR(__xludf.DUMMYFUNCTION("""COMPUTED_VALUE"""),"Cartel PVC 21x29 RIESGO DESPRENDIMIENTOS")</f>
        <v>Cartel PVC 21x29 RIESGO DESPRENDIMIENTOS</v>
      </c>
      <c r="C195" s="4">
        <f>IFERROR(__xludf.DUMMYFUNCTION("""COMPUTED_VALUE"""),1.536)</f>
        <v>1.536</v>
      </c>
    </row>
    <row r="196">
      <c r="A196" s="4" t="str">
        <f>IFERROR(__xludf.DUMMYFUNCTION("""COMPUTED_VALUE"""),"0258A")</f>
        <v>0258A</v>
      </c>
      <c r="B196" s="4" t="str">
        <f>IFERROR(__xludf.DUMMYFUNCTION("""COMPUTED_VALUE"""),"Cartel PVC 21x30 Fotolum. Pulsador de Alarma")</f>
        <v>Cartel PVC 21x30 Fotolum. Pulsador de Alarma</v>
      </c>
      <c r="C196" s="4">
        <f>IFERROR(__xludf.DUMMYFUNCTION("""COMPUTED_VALUE"""),2.4192)</f>
        <v>2.4192</v>
      </c>
    </row>
    <row r="197">
      <c r="A197" s="4" t="str">
        <f>IFERROR(__xludf.DUMMYFUNCTION("""COMPUTED_VALUE"""),"0258B")</f>
        <v>0258B</v>
      </c>
      <c r="B197" s="4" t="str">
        <f>IFERROR(__xludf.DUMMYFUNCTION("""COMPUTED_VALUE"""),"Cartel PVC 40x30 Fotolum. Pulsador de Alarma")</f>
        <v>Cartel PVC 40x30 Fotolum. Pulsador de Alarma</v>
      </c>
      <c r="C197" s="4">
        <f>IFERROR(__xludf.DUMMYFUNCTION("""COMPUTED_VALUE"""),2.976)</f>
        <v>2.976</v>
      </c>
    </row>
    <row r="198">
      <c r="A198" s="4" t="str">
        <f>IFERROR(__xludf.DUMMYFUNCTION("""COMPUTED_VALUE"""),"259")</f>
        <v>259</v>
      </c>
      <c r="B198" s="4" t="str">
        <f>IFERROR(__xludf.DUMMYFUNCTION("""COMPUTED_VALUE"""),"Cartel PVC 40x30 Prohib. depositar materiales")</f>
        <v>Cartel PVC 40x30 Prohib. depositar materiales</v>
      </c>
      <c r="C198" s="4">
        <f>IFERROR(__xludf.DUMMYFUNCTION("""COMPUTED_VALUE"""),2.3808)</f>
        <v>2.3808</v>
      </c>
    </row>
    <row r="199">
      <c r="A199" s="4" t="str">
        <f>IFERROR(__xludf.DUMMYFUNCTION("""COMPUTED_VALUE"""),"0259P")</f>
        <v>0259P</v>
      </c>
      <c r="B199" s="4" t="str">
        <f>IFERROR(__xludf.DUMMYFUNCTION("""COMPUTED_VALUE"""),"Cartel PVC 21x29 PROHIBIDO DEPOSITAR MATERIALES")</f>
        <v>Cartel PVC 21x29 PROHIBIDO DEPOSITAR MATERIALES</v>
      </c>
      <c r="C199" s="4">
        <f>IFERROR(__xludf.DUMMYFUNCTION("""COMPUTED_VALUE"""),1.536)</f>
        <v>1.536</v>
      </c>
    </row>
    <row r="200">
      <c r="A200" s="4" t="str">
        <f>IFERROR(__xludf.DUMMYFUNCTION("""COMPUTED_VALUE"""),"260")</f>
        <v>260</v>
      </c>
      <c r="B200" s="4" t="str">
        <f>IFERROR(__xludf.DUMMYFUNCTION("""COMPUTED_VALUE"""),"Cartel PVC 40x30 Caida de Objetos")</f>
        <v>Cartel PVC 40x30 Caida de Objetos</v>
      </c>
      <c r="C200" s="4">
        <f>IFERROR(__xludf.DUMMYFUNCTION("""COMPUTED_VALUE"""),2.3808)</f>
        <v>2.3808</v>
      </c>
    </row>
    <row r="201">
      <c r="A201" s="4" t="str">
        <f>IFERROR(__xludf.DUMMYFUNCTION("""COMPUTED_VALUE"""),"0260P")</f>
        <v>0260P</v>
      </c>
      <c r="B201" s="4" t="str">
        <f>IFERROR(__xludf.DUMMYFUNCTION("""COMPUTED_VALUE"""),"Cartel PVC 21x29 PELIGRO CAIDA DE OBJETOS")</f>
        <v>Cartel PVC 21x29 PELIGRO CAIDA DE OBJETOS</v>
      </c>
      <c r="C201" s="4">
        <f>IFERROR(__xludf.DUMMYFUNCTION("""COMPUTED_VALUE"""),1.536)</f>
        <v>1.536</v>
      </c>
    </row>
    <row r="202">
      <c r="A202" s="4" t="str">
        <f>IFERROR(__xludf.DUMMYFUNCTION("""COMPUTED_VALUE"""),"261")</f>
        <v>261</v>
      </c>
      <c r="B202" s="4" t="str">
        <f>IFERROR(__xludf.DUMMYFUNCTION("""COMPUTED_VALUE"""),"Cartel PVC 40x30 Fotolum. Aseos Mujeres")</f>
        <v>Cartel PVC 40x30 Fotolum. Aseos Mujeres</v>
      </c>
      <c r="C202" s="4">
        <f>IFERROR(__xludf.DUMMYFUNCTION("""COMPUTED_VALUE"""),3.2159999999999997)</f>
        <v>3.216</v>
      </c>
    </row>
    <row r="203">
      <c r="A203" s="4" t="str">
        <f>IFERROR(__xludf.DUMMYFUNCTION("""COMPUTED_VALUE"""),"262")</f>
        <v>262</v>
      </c>
      <c r="B203" s="4" t="str">
        <f>IFERROR(__xludf.DUMMYFUNCTION("""COMPUTED_VALUE"""),"Cartel PVC 40x30 Fotolum. Aseos hombres")</f>
        <v>Cartel PVC 40x30 Fotolum. Aseos hombres</v>
      </c>
      <c r="C203" s="4">
        <f>IFERROR(__xludf.DUMMYFUNCTION("""COMPUTED_VALUE"""),3.2159999999999997)</f>
        <v>3.216</v>
      </c>
    </row>
    <row r="204">
      <c r="A204" s="4" t="str">
        <f>IFERROR(__xludf.DUMMYFUNCTION("""COMPUTED_VALUE"""),"263")</f>
        <v>263</v>
      </c>
      <c r="B204" s="4" t="str">
        <f>IFERROR(__xludf.DUMMYFUNCTION("""COMPUTED_VALUE"""),"Cartel PVC 40x30 Fotolum.Aseos Mixtos")</f>
        <v>Cartel PVC 40x30 Fotolum.Aseos Mixtos</v>
      </c>
      <c r="C204" s="4">
        <f>IFERROR(__xludf.DUMMYFUNCTION("""COMPUTED_VALUE"""),3.2159999999999997)</f>
        <v>3.216</v>
      </c>
    </row>
    <row r="205">
      <c r="A205" s="4" t="str">
        <f>IFERROR(__xludf.DUMMYFUNCTION("""COMPUTED_VALUE"""),"264")</f>
        <v>264</v>
      </c>
      <c r="B205" s="4" t="str">
        <f>IFERROR(__xludf.DUMMYFUNCTION("""COMPUTED_VALUE"""),"Cartel PVC 40X30 Fotolum. Salida de Emergencia")</f>
        <v>Cartel PVC 40X30 Fotolum. Salida de Emergencia</v>
      </c>
      <c r="C205" s="4">
        <f>IFERROR(__xludf.DUMMYFUNCTION("""COMPUTED_VALUE"""),3.2159999999999997)</f>
        <v>3.216</v>
      </c>
    </row>
    <row r="206">
      <c r="A206" s="4" t="str">
        <f>IFERROR(__xludf.DUMMYFUNCTION("""COMPUTED_VALUE"""),"265")</f>
        <v>265</v>
      </c>
      <c r="B206" s="4" t="str">
        <f>IFERROR(__xludf.DUMMYFUNCTION("""COMPUTED_VALUE"""),"Cartel PVC 40x30 Perro Peligroso")</f>
        <v>Cartel PVC 40x30 Perro Peligroso</v>
      </c>
      <c r="C206" s="4">
        <f>IFERROR(__xludf.DUMMYFUNCTION("""COMPUTED_VALUE"""),2.3808)</f>
        <v>2.3808</v>
      </c>
    </row>
    <row r="207">
      <c r="A207" s="4" t="str">
        <f>IFERROR(__xludf.DUMMYFUNCTION("""COMPUTED_VALUE"""),"0265P")</f>
        <v>0265P</v>
      </c>
      <c r="B207" s="4" t="str">
        <f>IFERROR(__xludf.DUMMYFUNCTION("""COMPUTED_VALUE"""),"Cartel PVC 21x29 PERRO PELIGROSO")</f>
        <v>Cartel PVC 21x29 PERRO PELIGROSO</v>
      </c>
      <c r="C207" s="4">
        <f>IFERROR(__xludf.DUMMYFUNCTION("""COMPUTED_VALUE"""),1.536)</f>
        <v>1.536</v>
      </c>
    </row>
    <row r="208">
      <c r="A208" s="4" t="str">
        <f>IFERROR(__xludf.DUMMYFUNCTION("""COMPUTED_VALUE"""),"266")</f>
        <v>266</v>
      </c>
      <c r="B208" s="4" t="str">
        <f>IFERROR(__xludf.DUMMYFUNCTION("""COMPUTED_VALUE"""),"Cartel PVC 40x30 Peligro zona minera")</f>
        <v>Cartel PVC 40x30 Peligro zona minera</v>
      </c>
      <c r="C208" s="4">
        <f>IFERROR(__xludf.DUMMYFUNCTION("""COMPUTED_VALUE"""),2.3808)</f>
        <v>2.3808</v>
      </c>
    </row>
    <row r="209">
      <c r="A209" s="4" t="str">
        <f>IFERROR(__xludf.DUMMYFUNCTION("""COMPUTED_VALUE"""),"0266P")</f>
        <v>0266P</v>
      </c>
      <c r="B209" s="4" t="str">
        <f>IFERROR(__xludf.DUMMYFUNCTION("""COMPUTED_VALUE"""),"Cartel PVC 21x29 PELIGRO ZONA MINERA")</f>
        <v>Cartel PVC 21x29 PELIGRO ZONA MINERA</v>
      </c>
      <c r="C209" s="4">
        <f>IFERROR(__xludf.DUMMYFUNCTION("""COMPUTED_VALUE"""),1.536)</f>
        <v>1.536</v>
      </c>
    </row>
    <row r="210">
      <c r="A210" s="4" t="str">
        <f>IFERROR(__xludf.DUMMYFUNCTION("""COMPUTED_VALUE"""),"267")</f>
        <v>267</v>
      </c>
      <c r="B210" s="4" t="str">
        <f>IFERROR(__xludf.DUMMYFUNCTION("""COMPUTED_VALUE"""),"Cartel PVC 40x30 Vehiculo Pesado")</f>
        <v>Cartel PVC 40x30 Vehiculo Pesado</v>
      </c>
      <c r="C210" s="4">
        <f>IFERROR(__xludf.DUMMYFUNCTION("""COMPUTED_VALUE"""),2.3808)</f>
        <v>2.3808</v>
      </c>
    </row>
    <row r="211">
      <c r="A211" s="4" t="str">
        <f>IFERROR(__xludf.DUMMYFUNCTION("""COMPUTED_VALUE"""),"0267P")</f>
        <v>0267P</v>
      </c>
      <c r="B211" s="4" t="str">
        <f>IFERROR(__xludf.DUMMYFUNCTION("""COMPUTED_VALUE"""),"Cartel PVC 21x29 VEHICULO PESADO")</f>
        <v>Cartel PVC 21x29 VEHICULO PESADO</v>
      </c>
      <c r="C211" s="4">
        <f>IFERROR(__xludf.DUMMYFUNCTION("""COMPUTED_VALUE"""),1.536)</f>
        <v>1.536</v>
      </c>
    </row>
    <row r="212">
      <c r="A212" s="4" t="str">
        <f>IFERROR(__xludf.DUMMYFUNCTION("""COMPUTED_VALUE"""),"268")</f>
        <v>268</v>
      </c>
      <c r="B212" s="4" t="str">
        <f>IFERROR(__xludf.DUMMYFUNCTION("""COMPUTED_VALUE"""),"Cartel PVC 40x30 Peligro Expulsion de Material")</f>
        <v>Cartel PVC 40x30 Peligro Expulsion de Material</v>
      </c>
      <c r="C212" s="4">
        <f>IFERROR(__xludf.DUMMYFUNCTION("""COMPUTED_VALUE"""),2.3808)</f>
        <v>2.3808</v>
      </c>
    </row>
    <row r="213">
      <c r="A213" s="4" t="str">
        <f>IFERROR(__xludf.DUMMYFUNCTION("""COMPUTED_VALUE"""),"0268P")</f>
        <v>0268P</v>
      </c>
      <c r="B213" s="4" t="str">
        <f>IFERROR(__xludf.DUMMYFUNCTION("""COMPUTED_VALUE"""),"Cartel PVC 21x29 PELIGRO EXPUL.MATERIAL")</f>
        <v>Cartel PVC 21x29 PELIGRO EXPUL.MATERIAL</v>
      </c>
      <c r="C213" s="4">
        <f>IFERROR(__xludf.DUMMYFUNCTION("""COMPUTED_VALUE"""),1.536)</f>
        <v>1.536</v>
      </c>
    </row>
    <row r="214">
      <c r="A214" s="4" t="str">
        <f>IFERROR(__xludf.DUMMYFUNCTION("""COMPUTED_VALUE"""),"269")</f>
        <v>269</v>
      </c>
      <c r="B214" s="4" t="str">
        <f>IFERROR(__xludf.DUMMYFUNCTION("""COMPUTED_VALUE"""),"Cartel PVC 40x30 Atencion Mecanismo Accionado a distancia")</f>
        <v>Cartel PVC 40x30 Atencion Mecanismo Accionado a distancia</v>
      </c>
      <c r="C214" s="4">
        <f>IFERROR(__xludf.DUMMYFUNCTION("""COMPUTED_VALUE"""),2.3808)</f>
        <v>2.3808</v>
      </c>
    </row>
    <row r="215">
      <c r="A215" s="4" t="str">
        <f>IFERROR(__xludf.DUMMYFUNCTION("""COMPUTED_VALUE"""),"0269P")</f>
        <v>0269P</v>
      </c>
      <c r="B215" s="4" t="str">
        <f>IFERROR(__xludf.DUMMYFUNCTION("""COMPUTED_VALUE"""),"Cartel PVC 21x29 ATENCION MECANISMO ACCION.")</f>
        <v>Cartel PVC 21x29 ATENCION MECANISMO ACCION.</v>
      </c>
      <c r="C215" s="4">
        <f>IFERROR(__xludf.DUMMYFUNCTION("""COMPUTED_VALUE"""),1.536)</f>
        <v>1.536</v>
      </c>
    </row>
    <row r="216">
      <c r="A216" s="4" t="str">
        <f>IFERROR(__xludf.DUMMYFUNCTION("""COMPUTED_VALUE"""),"270")</f>
        <v>270</v>
      </c>
      <c r="B216" s="4" t="str">
        <f>IFERROR(__xludf.DUMMYFUNCTION("""COMPUTED_VALUE"""),"Cartel PVC 40x30 Atencion Grua Accionada a distan.")</f>
        <v>Cartel PVC 40x30 Atencion Grua Accionada a distan.</v>
      </c>
      <c r="C216" s="4">
        <f>IFERROR(__xludf.DUMMYFUNCTION("""COMPUTED_VALUE"""),2.3808)</f>
        <v>2.3808</v>
      </c>
    </row>
    <row r="217">
      <c r="A217" s="4" t="str">
        <f>IFERROR(__xludf.DUMMYFUNCTION("""COMPUTED_VALUE"""),"0270P")</f>
        <v>0270P</v>
      </c>
      <c r="B217" s="4" t="str">
        <f>IFERROR(__xludf.DUMMYFUNCTION("""COMPUTED_VALUE"""),"Cartel PVC 21x29 ATENCION GRUA ACCIONADA A")</f>
        <v>Cartel PVC 21x29 ATENCION GRUA ACCIONADA A</v>
      </c>
      <c r="C217" s="4">
        <f>IFERROR(__xludf.DUMMYFUNCTION("""COMPUTED_VALUE"""),1.536)</f>
        <v>1.536</v>
      </c>
    </row>
    <row r="218">
      <c r="A218" s="4" t="str">
        <f>IFERROR(__xludf.DUMMYFUNCTION("""COMPUTED_VALUE"""),"271")</f>
        <v>271</v>
      </c>
      <c r="B218" s="4" t="str">
        <f>IFERROR(__xludf.DUMMYFUNCTION("""COMPUTED_VALUE"""),"Cartel PVC 40x30 EX 40x30 cm")</f>
        <v>Cartel PVC 40x30 EX 40x30 cm</v>
      </c>
      <c r="C218" s="4">
        <f>IFERROR(__xludf.DUMMYFUNCTION("""COMPUTED_VALUE"""),2.3808)</f>
        <v>2.3808</v>
      </c>
    </row>
    <row r="219">
      <c r="A219" s="4" t="str">
        <f>IFERROR(__xludf.DUMMYFUNCTION("""COMPUTED_VALUE"""),"0271P")</f>
        <v>0271P</v>
      </c>
      <c r="B219" s="4" t="str">
        <f>IFERROR(__xludf.DUMMYFUNCTION("""COMPUTED_VALUE"""),"Cartel PVC 21x29 EX 21x29 cm")</f>
        <v>Cartel PVC 21x29 EX 21x29 cm</v>
      </c>
      <c r="C219" s="4">
        <f>IFERROR(__xludf.DUMMYFUNCTION("""COMPUTED_VALUE"""),1.536)</f>
        <v>1.536</v>
      </c>
    </row>
    <row r="220">
      <c r="A220" s="4" t="str">
        <f>IFERROR(__xludf.DUMMYFUNCTION("""COMPUTED_VALUE"""),"272")</f>
        <v>272</v>
      </c>
      <c r="B220" s="4" t="str">
        <f>IFERROR(__xludf.DUMMYFUNCTION("""COMPUTED_VALUE"""),"Cartel PVC 40x30 Peligro Voladuras")</f>
        <v>Cartel PVC 40x30 Peligro Voladuras</v>
      </c>
      <c r="C220" s="4">
        <f>IFERROR(__xludf.DUMMYFUNCTION("""COMPUTED_VALUE"""),2.3808)</f>
        <v>2.3808</v>
      </c>
    </row>
    <row r="221">
      <c r="A221" s="4" t="str">
        <f>IFERROR(__xludf.DUMMYFUNCTION("""COMPUTED_VALUE"""),"0272P")</f>
        <v>0272P</v>
      </c>
      <c r="B221" s="4" t="str">
        <f>IFERROR(__xludf.DUMMYFUNCTION("""COMPUTED_VALUE"""),"Cartel PVC 21x29 PELIGRO VOLADURA")</f>
        <v>Cartel PVC 21x29 PELIGRO VOLADURA</v>
      </c>
      <c r="C221" s="4">
        <f>IFERROR(__xludf.DUMMYFUNCTION("""COMPUTED_VALUE"""),1.536)</f>
        <v>1.536</v>
      </c>
    </row>
    <row r="222">
      <c r="A222" s="4" t="str">
        <f>IFERROR(__xludf.DUMMYFUNCTION("""COMPUTED_VALUE"""),"273")</f>
        <v>273</v>
      </c>
      <c r="B222" s="4" t="str">
        <f>IFERROR(__xludf.DUMMYFUNCTION("""COMPUTED_VALUE"""),"Cartel PVC 40x30 Prohib. Manipular valvula")</f>
        <v>Cartel PVC 40x30 Prohib. Manipular valvula</v>
      </c>
      <c r="C222" s="4">
        <f>IFERROR(__xludf.DUMMYFUNCTION("""COMPUTED_VALUE"""),2.3808)</f>
        <v>2.3808</v>
      </c>
    </row>
    <row r="223">
      <c r="A223" s="4" t="str">
        <f>IFERROR(__xludf.DUMMYFUNCTION("""COMPUTED_VALUE"""),"0273P")</f>
        <v>0273P</v>
      </c>
      <c r="B223" s="4" t="str">
        <f>IFERROR(__xludf.DUMMYFUNCTION("""COMPUTED_VALUE"""),"Cartel PVC 21x29 PROHIBIDO MANIPULAR LA VALVULA")</f>
        <v>Cartel PVC 21x29 PROHIBIDO MANIPULAR LA VALVULA</v>
      </c>
      <c r="C223" s="4">
        <f>IFERROR(__xludf.DUMMYFUNCTION("""COMPUTED_VALUE"""),1.536)</f>
        <v>1.536</v>
      </c>
    </row>
    <row r="224">
      <c r="A224" s="4" t="str">
        <f>IFERROR(__xludf.DUMMYFUNCTION("""COMPUTED_VALUE"""),"274")</f>
        <v>274</v>
      </c>
      <c r="B224" s="4" t="str">
        <f>IFERROR(__xludf.DUMMYFUNCTION("""COMPUTED_VALUE"""),"Cartel PVC 40x30 Prohibido Engrasar en funcionamiento")</f>
        <v>Cartel PVC 40x30 Prohibido Engrasar en funcionamiento</v>
      </c>
      <c r="C224" s="4">
        <f>IFERROR(__xludf.DUMMYFUNCTION("""COMPUTED_VALUE"""),2.3808)</f>
        <v>2.3808</v>
      </c>
    </row>
    <row r="225">
      <c r="A225" s="4" t="str">
        <f>IFERROR(__xludf.DUMMYFUNCTION("""COMPUTED_VALUE"""),"0274P")</f>
        <v>0274P</v>
      </c>
      <c r="B225" s="4" t="str">
        <f>IFERROR(__xludf.DUMMYFUNCTION("""COMPUTED_VALUE"""),"Cartel PVC 21x29 PROHIBIDO ENGRASAR O REPARAR")</f>
        <v>Cartel PVC 21x29 PROHIBIDO ENGRASAR O REPARAR</v>
      </c>
      <c r="C225" s="4">
        <f>IFERROR(__xludf.DUMMYFUNCTION("""COMPUTED_VALUE"""),1.536)</f>
        <v>1.536</v>
      </c>
    </row>
    <row r="226">
      <c r="A226" s="4" t="str">
        <f>IFERROR(__xludf.DUMMYFUNCTION("""COMPUTED_VALUE"""),"275")</f>
        <v>275</v>
      </c>
      <c r="B226" s="4" t="str">
        <f>IFERROR(__xludf.DUMMYFUNCTION("""COMPUTED_VALUE"""),"Cartel PVC 40x30 Prohib. efectuar reparaciones pers. no")</f>
        <v>Cartel PVC 40x30 Prohib. efectuar reparaciones pers. no</v>
      </c>
      <c r="C226" s="4">
        <f>IFERROR(__xludf.DUMMYFUNCTION("""COMPUTED_VALUE"""),2.3808)</f>
        <v>2.3808</v>
      </c>
    </row>
    <row r="227">
      <c r="A227" s="4" t="str">
        <f>IFERROR(__xludf.DUMMYFUNCTION("""COMPUTED_VALUE"""),"0275P")</f>
        <v>0275P</v>
      </c>
      <c r="B227" s="4" t="str">
        <f>IFERROR(__xludf.DUMMYFUNCTION("""COMPUTED_VALUE"""),"Cartel PVC 21x29 PROHIBIDO REPARACIONES PERSONAL")</f>
        <v>Cartel PVC 21x29 PROHIBIDO REPARACIONES PERSONAL</v>
      </c>
      <c r="C227" s="4">
        <f>IFERROR(__xludf.DUMMYFUNCTION("""COMPUTED_VALUE"""),1.536)</f>
        <v>1.536</v>
      </c>
    </row>
    <row r="228">
      <c r="A228" s="4" t="str">
        <f>IFERROR(__xludf.DUMMYFUNCTION("""COMPUTED_VALUE"""),"276")</f>
        <v>276</v>
      </c>
      <c r="B228" s="4" t="str">
        <f>IFERROR(__xludf.DUMMYFUNCTION("""COMPUTED_VALUE"""),"Cartel PVC 40x30 Prohib. Manipular maquina en")</f>
        <v>Cartel PVC 40x30 Prohib. Manipular maquina en</v>
      </c>
      <c r="C228" s="4">
        <f>IFERROR(__xludf.DUMMYFUNCTION("""COMPUTED_VALUE"""),2.3808)</f>
        <v>2.3808</v>
      </c>
    </row>
    <row r="229">
      <c r="A229" s="4" t="str">
        <f>IFERROR(__xludf.DUMMYFUNCTION("""COMPUTED_VALUE"""),"0276P")</f>
        <v>0276P</v>
      </c>
      <c r="B229" s="4" t="str">
        <f>IFERROR(__xludf.DUMMYFUNCTION("""COMPUTED_VALUE"""),"Cartel PVC 21x29 PROHIBIDO MANIPULAR LA MAQUINA EN")</f>
        <v>Cartel PVC 21x29 PROHIBIDO MANIPULAR LA MAQUINA EN</v>
      </c>
      <c r="C229" s="4">
        <f>IFERROR(__xludf.DUMMYFUNCTION("""COMPUTED_VALUE"""),1.536)</f>
        <v>1.536</v>
      </c>
    </row>
    <row r="230">
      <c r="A230" s="4" t="str">
        <f>IFERROR(__xludf.DUMMYFUNCTION("""COMPUTED_VALUE"""),"277")</f>
        <v>277</v>
      </c>
      <c r="B230" s="4" t="str">
        <f>IFERROR(__xludf.DUMMYFUNCTION("""COMPUTED_VALUE"""),"Cartel PVC 40x30 Area de Ruido Peligroso")</f>
        <v>Cartel PVC 40x30 Area de Ruido Peligroso</v>
      </c>
      <c r="C230" s="4">
        <f>IFERROR(__xludf.DUMMYFUNCTION("""COMPUTED_VALUE"""),2.3808)</f>
        <v>2.3808</v>
      </c>
    </row>
    <row r="231">
      <c r="A231" s="4" t="str">
        <f>IFERROR(__xludf.DUMMYFUNCTION("""COMPUTED_VALUE"""),"0277P")</f>
        <v>0277P</v>
      </c>
      <c r="B231" s="4" t="str">
        <f>IFERROR(__xludf.DUMMYFUNCTION("""COMPUTED_VALUE"""),"Cartel PVC 21x29 ATENCION AREA RUIDO PELIGROSO")</f>
        <v>Cartel PVC 21x29 ATENCION AREA RUIDO PELIGROSO</v>
      </c>
      <c r="C231" s="4">
        <f>IFERROR(__xludf.DUMMYFUNCTION("""COMPUTED_VALUE"""),1.536)</f>
        <v>1.536</v>
      </c>
    </row>
    <row r="232">
      <c r="A232" s="4" t="str">
        <f>IFERROR(__xludf.DUMMYFUNCTION("""COMPUTED_VALUE"""),"278")</f>
        <v>278</v>
      </c>
      <c r="B232" s="4" t="str">
        <f>IFERROR(__xludf.DUMMYFUNCTION("""COMPUTED_VALUE"""),"Cartel PVC 40x30 Prohib. la entrada con perros")</f>
        <v>Cartel PVC 40x30 Prohib. la entrada con perros</v>
      </c>
      <c r="C232" s="4">
        <f>IFERROR(__xludf.DUMMYFUNCTION("""COMPUTED_VALUE"""),2.3808)</f>
        <v>2.3808</v>
      </c>
    </row>
    <row r="233">
      <c r="A233" s="4" t="str">
        <f>IFERROR(__xludf.DUMMYFUNCTION("""COMPUTED_VALUE"""),"0278P")</f>
        <v>0278P</v>
      </c>
      <c r="B233" s="4" t="str">
        <f>IFERROR(__xludf.DUMMYFUNCTION("""COMPUTED_VALUE"""),"Cartel PVC 21x29 PROHIBIDO LA ENTRADA CON PERROS")</f>
        <v>Cartel PVC 21x29 PROHIBIDO LA ENTRADA CON PERROS</v>
      </c>
      <c r="C233" s="4">
        <f>IFERROR(__xludf.DUMMYFUNCTION("""COMPUTED_VALUE"""),1.536)</f>
        <v>1.536</v>
      </c>
    </row>
    <row r="234">
      <c r="A234" s="4" t="str">
        <f>IFERROR(__xludf.DUMMYFUNCTION("""COMPUTED_VALUE"""),"279")</f>
        <v>279</v>
      </c>
      <c r="B234" s="4" t="str">
        <f>IFERROR(__xludf.DUMMYFUNCTION("""COMPUTED_VALUE"""),"Cartel PVC 40x30 Prohibido arrojar objetos")</f>
        <v>Cartel PVC 40x30 Prohibido arrojar objetos</v>
      </c>
      <c r="C234" s="4">
        <f>IFERROR(__xludf.DUMMYFUNCTION("""COMPUTED_VALUE"""),2.3808)</f>
        <v>2.3808</v>
      </c>
    </row>
    <row r="235">
      <c r="A235" s="4" t="str">
        <f>IFERROR(__xludf.DUMMYFUNCTION("""COMPUTED_VALUE"""),"0279P")</f>
        <v>0279P</v>
      </c>
      <c r="B235" s="4" t="str">
        <f>IFERROR(__xludf.DUMMYFUNCTION("""COMPUTED_VALUE"""),"Cartel PVC 21x29 PROHIBIDO ARROJAR OBJETOS AL")</f>
        <v>Cartel PVC 21x29 PROHIBIDO ARROJAR OBJETOS AL</v>
      </c>
      <c r="C235" s="4">
        <f>IFERROR(__xludf.DUMMYFUNCTION("""COMPUTED_VALUE"""),1.536)</f>
        <v>1.536</v>
      </c>
    </row>
    <row r="236">
      <c r="A236" s="4" t="str">
        <f>IFERROR(__xludf.DUMMYFUNCTION("""COMPUTED_VALUE"""),"280")</f>
        <v>280</v>
      </c>
      <c r="B236" s="4" t="str">
        <f>IFERROR(__xludf.DUMMYFUNCTION("""COMPUTED_VALUE"""),"Cartel PVC 40x30 Alto No Pasar")</f>
        <v>Cartel PVC 40x30 Alto No Pasar</v>
      </c>
      <c r="C236" s="4">
        <f>IFERROR(__xludf.DUMMYFUNCTION("""COMPUTED_VALUE"""),2.3808)</f>
        <v>2.3808</v>
      </c>
    </row>
    <row r="237">
      <c r="A237" s="4" t="str">
        <f>IFERROR(__xludf.DUMMYFUNCTION("""COMPUTED_VALUE"""),"0280P")</f>
        <v>0280P</v>
      </c>
      <c r="B237" s="4" t="str">
        <f>IFERROR(__xludf.DUMMYFUNCTION("""COMPUTED_VALUE"""),"Cartel PVC 21x29 ALTO NO PASAR")</f>
        <v>Cartel PVC 21x29 ALTO NO PASAR</v>
      </c>
      <c r="C237" s="4">
        <f>IFERROR(__xludf.DUMMYFUNCTION("""COMPUTED_VALUE"""),1.536)</f>
        <v>1.536</v>
      </c>
    </row>
    <row r="238">
      <c r="A238" s="4" t="str">
        <f>IFERROR(__xludf.DUMMYFUNCTION("""COMPUTED_VALUE"""),"281")</f>
        <v>281</v>
      </c>
      <c r="B238" s="4" t="str">
        <f>IFERROR(__xludf.DUMMYFUNCTION("""COMPUTED_VALUE"""),"Cartel PVC 40x30 Agua no Potable")</f>
        <v>Cartel PVC 40x30 Agua no Potable</v>
      </c>
      <c r="C238" s="4">
        <f>IFERROR(__xludf.DUMMYFUNCTION("""COMPUTED_VALUE"""),2.3808)</f>
        <v>2.3808</v>
      </c>
    </row>
    <row r="239">
      <c r="A239" s="4" t="str">
        <f>IFERROR(__xludf.DUMMYFUNCTION("""COMPUTED_VALUE"""),"0281P")</f>
        <v>0281P</v>
      </c>
      <c r="B239" s="4" t="str">
        <f>IFERROR(__xludf.DUMMYFUNCTION("""COMPUTED_VALUE"""),"Cartel PVC 21x29 AGUA NO POTABLE")</f>
        <v>Cartel PVC 21x29 AGUA NO POTABLE</v>
      </c>
      <c r="C239" s="4">
        <f>IFERROR(__xludf.DUMMYFUNCTION("""COMPUTED_VALUE"""),1.536)</f>
        <v>1.536</v>
      </c>
    </row>
    <row r="240">
      <c r="A240" s="4" t="str">
        <f>IFERROR(__xludf.DUMMYFUNCTION("""COMPUTED_VALUE"""),"282")</f>
        <v>282</v>
      </c>
      <c r="B240" s="4" t="str">
        <f>IFERROR(__xludf.DUMMYFUNCTION("""COMPUTED_VALUE"""),"Cartel PVC 40x30 Prohibido El Paso")</f>
        <v>Cartel PVC 40x30 Prohibido El Paso</v>
      </c>
      <c r="C240" s="4">
        <f>IFERROR(__xludf.DUMMYFUNCTION("""COMPUTED_VALUE"""),2.3808)</f>
        <v>2.3808</v>
      </c>
    </row>
    <row r="241">
      <c r="A241" s="4" t="str">
        <f>IFERROR(__xludf.DUMMYFUNCTION("""COMPUTED_VALUE"""),"0282P")</f>
        <v>0282P</v>
      </c>
      <c r="B241" s="4" t="str">
        <f>IFERROR(__xludf.DUMMYFUNCTION("""COMPUTED_VALUE"""),"Cartel PVC 21x29 PROHIBIDO EL PASO")</f>
        <v>Cartel PVC 21x29 PROHIBIDO EL PASO</v>
      </c>
      <c r="C241" s="4">
        <f>IFERROR(__xludf.DUMMYFUNCTION("""COMPUTED_VALUE"""),1.536)</f>
        <v>1.536</v>
      </c>
    </row>
    <row r="242">
      <c r="A242" s="4" t="str">
        <f>IFERROR(__xludf.DUMMYFUNCTION("""COMPUTED_VALUE"""),"283")</f>
        <v>283</v>
      </c>
      <c r="B242" s="4" t="str">
        <f>IFERROR(__xludf.DUMMYFUNCTION("""COMPUTED_VALUE"""),"Cartel PVC 40x30 Prohib. Transportar personas")</f>
        <v>Cartel PVC 40x30 Prohib. Transportar personas</v>
      </c>
      <c r="C242" s="4">
        <f>IFERROR(__xludf.DUMMYFUNCTION("""COMPUTED_VALUE"""),2.3808)</f>
        <v>2.3808</v>
      </c>
    </row>
    <row r="243">
      <c r="A243" s="4" t="str">
        <f>IFERROR(__xludf.DUMMYFUNCTION("""COMPUTED_VALUE"""),"0283P")</f>
        <v>0283P</v>
      </c>
      <c r="B243" s="4" t="str">
        <f>IFERROR(__xludf.DUMMYFUNCTION("""COMPUTED_VALUE"""),"Cartel PVC 21x29 PROHIBIDO TRANSPORTAR PERSONAS")</f>
        <v>Cartel PVC 21x29 PROHIBIDO TRANSPORTAR PERSONAS</v>
      </c>
      <c r="C243" s="4">
        <f>IFERROR(__xludf.DUMMYFUNCTION("""COMPUTED_VALUE"""),1.536)</f>
        <v>1.536</v>
      </c>
    </row>
    <row r="244">
      <c r="A244" s="4" t="str">
        <f>IFERROR(__xludf.DUMMYFUNCTION("""COMPUTED_VALUE"""),"284")</f>
        <v>284</v>
      </c>
      <c r="B244" s="4" t="str">
        <f>IFERROR(__xludf.DUMMYFUNCTION("""COMPUTED_VALUE"""),"Cartel PVC 40x30 Prohib. Situarse debajo de la carga")</f>
        <v>Cartel PVC 40x30 Prohib. Situarse debajo de la carga</v>
      </c>
      <c r="C244" s="4">
        <f>IFERROR(__xludf.DUMMYFUNCTION("""COMPUTED_VALUE"""),2.3808)</f>
        <v>2.3808</v>
      </c>
    </row>
    <row r="245">
      <c r="A245" s="4" t="str">
        <f>IFERROR(__xludf.DUMMYFUNCTION("""COMPUTED_VALUE"""),"0284P")</f>
        <v>0284P</v>
      </c>
      <c r="B245" s="4" t="str">
        <f>IFERROR(__xludf.DUMMYFUNCTION("""COMPUTED_VALUE"""),"Cartel PVC 21x29 PROHIBIDO SITUARSE DEBAJO DE LA")</f>
        <v>Cartel PVC 21x29 PROHIBIDO SITUARSE DEBAJO DE LA</v>
      </c>
      <c r="C245" s="4">
        <f>IFERROR(__xludf.DUMMYFUNCTION("""COMPUTED_VALUE"""),1.536)</f>
        <v>1.536</v>
      </c>
    </row>
    <row r="246">
      <c r="A246" s="4" t="str">
        <f>IFERROR(__xludf.DUMMYFUNCTION("""COMPUTED_VALUE"""),"285")</f>
        <v>285</v>
      </c>
      <c r="B246" s="4" t="str">
        <f>IFERROR(__xludf.DUMMYFUNCTION("""COMPUTED_VALUE"""),"Cartel PVC 40x30 No utilizar en caso de Emergencia")</f>
        <v>Cartel PVC 40x30 No utilizar en caso de Emergencia</v>
      </c>
      <c r="C246" s="4">
        <f>IFERROR(__xludf.DUMMYFUNCTION("""COMPUTED_VALUE"""),2.3808)</f>
        <v>2.3808</v>
      </c>
    </row>
    <row r="247">
      <c r="A247" s="4" t="str">
        <f>IFERROR(__xludf.DUMMYFUNCTION("""COMPUTED_VALUE"""),"0285P")</f>
        <v>0285P</v>
      </c>
      <c r="B247" s="4" t="str">
        <f>IFERROR(__xludf.DUMMYFUNCTION("""COMPUTED_VALUE"""),"Cartel PVC 21X29 NO UTILIZAR EN CASO DE EMERGENCIA")</f>
        <v>Cartel PVC 21X29 NO UTILIZAR EN CASO DE EMERGENCIA</v>
      </c>
      <c r="C247" s="4">
        <f>IFERROR(__xludf.DUMMYFUNCTION("""COMPUTED_VALUE"""),1.536)</f>
        <v>1.536</v>
      </c>
    </row>
    <row r="248">
      <c r="A248" s="4" t="str">
        <f>IFERROR(__xludf.DUMMYFUNCTION("""COMPUTED_VALUE"""),"286")</f>
        <v>286</v>
      </c>
      <c r="B248" s="4" t="str">
        <f>IFERROR(__xludf.DUMMYFUNCTION("""COMPUTED_VALUE"""),"Cartel PVC 40x30 No utilizar Incendio")</f>
        <v>Cartel PVC 40x30 No utilizar Incendio</v>
      </c>
      <c r="C248" s="4">
        <f>IFERROR(__xludf.DUMMYFUNCTION("""COMPUTED_VALUE"""),2.3808)</f>
        <v>2.3808</v>
      </c>
    </row>
    <row r="249">
      <c r="A249" s="4" t="str">
        <f>IFERROR(__xludf.DUMMYFUNCTION("""COMPUTED_VALUE"""),"0286P")</f>
        <v>0286P</v>
      </c>
      <c r="B249" s="4" t="str">
        <f>IFERROR(__xludf.DUMMYFUNCTION("""COMPUTED_VALUE"""),"Cartel PVC 21x29 NO UTILIZAR EN CASO DE INCENDIO")</f>
        <v>Cartel PVC 21x29 NO UTILIZAR EN CASO DE INCENDIO</v>
      </c>
      <c r="C249" s="4">
        <f>IFERROR(__xludf.DUMMYFUNCTION("""COMPUTED_VALUE"""),1.536)</f>
        <v>1.536</v>
      </c>
    </row>
    <row r="250">
      <c r="A250" s="4" t="str">
        <f>IFERROR(__xludf.DUMMYFUNCTION("""COMPUTED_VALUE"""),"287")</f>
        <v>287</v>
      </c>
      <c r="B250" s="4" t="str">
        <f>IFERROR(__xludf.DUMMYFUNCTION("""COMPUTED_VALUE"""),"Cartel PVC 40x30 Atencion Altura Baja")</f>
        <v>Cartel PVC 40x30 Atencion Altura Baja</v>
      </c>
      <c r="C250" s="4">
        <f>IFERROR(__xludf.DUMMYFUNCTION("""COMPUTED_VALUE"""),2.3808)</f>
        <v>2.3808</v>
      </c>
    </row>
    <row r="251">
      <c r="A251" s="4" t="str">
        <f>IFERROR(__xludf.DUMMYFUNCTION("""COMPUTED_VALUE"""),"0287P")</f>
        <v>0287P</v>
      </c>
      <c r="B251" s="4" t="str">
        <f>IFERROR(__xludf.DUMMYFUNCTION("""COMPUTED_VALUE"""),"Cartel PVC 21x29 ATENCION ALTURA BAJA")</f>
        <v>Cartel PVC 21x29 ATENCION ALTURA BAJA</v>
      </c>
      <c r="C251" s="4">
        <f>IFERROR(__xludf.DUMMYFUNCTION("""COMPUTED_VALUE"""),1.536)</f>
        <v>1.536</v>
      </c>
    </row>
    <row r="252">
      <c r="A252" s="4" t="str">
        <f>IFERROR(__xludf.DUMMYFUNCTION("""COMPUTED_VALUE"""),"288")</f>
        <v>288</v>
      </c>
      <c r="B252" s="4" t="str">
        <f>IFERROR(__xludf.DUMMYFUNCTION("""COMPUTED_VALUE"""),"Cartel PVC 40x30 Prohibido Accionar o maniobrar")</f>
        <v>Cartel PVC 40x30 Prohibido Accionar o maniobrar</v>
      </c>
      <c r="C252" s="4">
        <f>IFERROR(__xludf.DUMMYFUNCTION("""COMPUTED_VALUE"""),2.3808)</f>
        <v>2.3808</v>
      </c>
    </row>
    <row r="253">
      <c r="A253" s="4" t="str">
        <f>IFERROR(__xludf.DUMMYFUNCTION("""COMPUTED_VALUE"""),"0288P")</f>
        <v>0288P</v>
      </c>
      <c r="B253" s="4" t="str">
        <f>IFERROR(__xludf.DUMMYFUNCTION("""COMPUTED_VALUE"""),"Cartel PVC 21x29 PROHIBIDO ACCIONAR O MANIOBRAR")</f>
        <v>Cartel PVC 21x29 PROHIBIDO ACCIONAR O MANIOBRAR</v>
      </c>
      <c r="C253" s="4">
        <f>IFERROR(__xludf.DUMMYFUNCTION("""COMPUTED_VALUE"""),1.536)</f>
        <v>1.536</v>
      </c>
    </row>
    <row r="254">
      <c r="A254" s="4" t="str">
        <f>IFERROR(__xludf.DUMMYFUNCTION("""COMPUTED_VALUE"""),"289")</f>
        <v>289</v>
      </c>
      <c r="B254" s="4" t="str">
        <f>IFERROR(__xludf.DUMMYFUNCTION("""COMPUTED_VALUE"""),"Cartel PVC 40x30 Fotolum.Hacha contra Incendio")</f>
        <v>Cartel PVC 40x30 Fotolum.Hacha contra Incendio</v>
      </c>
      <c r="C254" s="4">
        <f>IFERROR(__xludf.DUMMYFUNCTION("""COMPUTED_VALUE"""),2.3808)</f>
        <v>2.3808</v>
      </c>
    </row>
    <row r="255">
      <c r="A255" s="4" t="str">
        <f>IFERROR(__xludf.DUMMYFUNCTION("""COMPUTED_VALUE"""),"0289A")</f>
        <v>0289A</v>
      </c>
      <c r="B255" s="4" t="str">
        <f>IFERROR(__xludf.DUMMYFUNCTION("""COMPUTED_VALUE"""),"Cartel PVC 32x16 Fotolum. No Exit")</f>
        <v>Cartel PVC 32x16 Fotolum. No Exit</v>
      </c>
      <c r="C255" s="4">
        <f>IFERROR(__xludf.DUMMYFUNCTION("""COMPUTED_VALUE"""),2.16)</f>
        <v>2.16</v>
      </c>
    </row>
    <row r="256">
      <c r="A256" s="4" t="str">
        <f>IFERROR(__xludf.DUMMYFUNCTION("""COMPUTED_VALUE"""),"0289B")</f>
        <v>0289B</v>
      </c>
      <c r="B256" s="4" t="str">
        <f>IFERROR(__xludf.DUMMYFUNCTION("""COMPUTED_VALUE"""),"Cartel PVC 64x32 Fotolum. No Exit")</f>
        <v>Cartel PVC 64x32 Fotolum. No Exit</v>
      </c>
      <c r="C256" s="4">
        <f>IFERROR(__xludf.DUMMYFUNCTION("""COMPUTED_VALUE"""),4.300800000000001)</f>
        <v>4.3008</v>
      </c>
    </row>
    <row r="257">
      <c r="A257" s="4" t="str">
        <f>IFERROR(__xludf.DUMMYFUNCTION("""COMPUTED_VALUE"""),"0289C")</f>
        <v>0289C</v>
      </c>
      <c r="B257" s="4" t="str">
        <f>IFERROR(__xludf.DUMMYFUNCTION("""COMPUTED_VALUE"""),"Cartel PVC 96x48 Fotolum. No Exit")</f>
        <v>Cartel PVC 96x48 Fotolum. No Exit</v>
      </c>
      <c r="C257" s="4">
        <f>IFERROR(__xludf.DUMMYFUNCTION("""COMPUTED_VALUE"""),8.601600000000001)</f>
        <v>8.6016</v>
      </c>
    </row>
    <row r="258">
      <c r="A258" s="4" t="str">
        <f>IFERROR(__xludf.DUMMYFUNCTION("""COMPUTED_VALUE"""),"290")</f>
        <v>290</v>
      </c>
      <c r="B258" s="4" t="str">
        <f>IFERROR(__xludf.DUMMYFUNCTION("""COMPUTED_VALUE"""),"Cartel PVC 40x30 Peligro Alta Tension")</f>
        <v>Cartel PVC 40x30 Peligro Alta Tension</v>
      </c>
      <c r="C258" s="4">
        <f>IFERROR(__xludf.DUMMYFUNCTION("""COMPUTED_VALUE"""),2.3808)</f>
        <v>2.3808</v>
      </c>
    </row>
    <row r="259">
      <c r="A259" s="4" t="str">
        <f>IFERROR(__xludf.DUMMYFUNCTION("""COMPUTED_VALUE"""),"0290P")</f>
        <v>0290P</v>
      </c>
      <c r="B259" s="4" t="str">
        <f>IFERROR(__xludf.DUMMYFUNCTION("""COMPUTED_VALUE"""),"Cartel PVC 21x29 PELIGRO ALTA TENSION")</f>
        <v>Cartel PVC 21x29 PELIGRO ALTA TENSION</v>
      </c>
      <c r="C259" s="4">
        <f>IFERROR(__xludf.DUMMYFUNCTION("""COMPUTED_VALUE"""),1.536)</f>
        <v>1.536</v>
      </c>
    </row>
    <row r="260">
      <c r="A260" s="4" t="str">
        <f>IFERROR(__xludf.DUMMYFUNCTION("""COMPUTED_VALUE"""),"291")</f>
        <v>291</v>
      </c>
      <c r="B260" s="4" t="str">
        <f>IFERROR(__xludf.DUMMYFUNCTION("""COMPUTED_VALUE"""),"Cartel PVC 40x30 Peligro no maniobrar")</f>
        <v>Cartel PVC 40x30 Peligro no maniobrar</v>
      </c>
      <c r="C260" s="4">
        <f>IFERROR(__xludf.DUMMYFUNCTION("""COMPUTED_VALUE"""),2.3808)</f>
        <v>2.3808</v>
      </c>
    </row>
    <row r="261">
      <c r="A261" s="4" t="str">
        <f>IFERROR(__xludf.DUMMYFUNCTION("""COMPUTED_VALUE"""),"0291P")</f>
        <v>0291P</v>
      </c>
      <c r="B261" s="4" t="str">
        <f>IFERROR(__xludf.DUMMYFUNCTION("""COMPUTED_VALUE"""),"Cartel PVC 21x29 PELIGRO NO MANIOBRAR. SOLO")</f>
        <v>Cartel PVC 21x29 PELIGRO NO MANIOBRAR. SOLO</v>
      </c>
      <c r="C261" s="4">
        <f>IFERROR(__xludf.DUMMYFUNCTION("""COMPUTED_VALUE"""),1.536)</f>
        <v>1.536</v>
      </c>
    </row>
    <row r="262">
      <c r="A262" s="4" t="str">
        <f>IFERROR(__xludf.DUMMYFUNCTION("""COMPUTED_VALUE"""),"292")</f>
        <v>292</v>
      </c>
      <c r="B262" s="4" t="str">
        <f>IFERROR(__xludf.DUMMYFUNCTION("""COMPUTED_VALUE"""),"Cartel PVC 40x30 No Tocar")</f>
        <v>Cartel PVC 40x30 No Tocar</v>
      </c>
      <c r="C262" s="4">
        <f>IFERROR(__xludf.DUMMYFUNCTION("""COMPUTED_VALUE"""),2.3808)</f>
        <v>2.3808</v>
      </c>
    </row>
    <row r="263">
      <c r="A263" s="4" t="str">
        <f>IFERROR(__xludf.DUMMYFUNCTION("""COMPUTED_VALUE"""),"0292P")</f>
        <v>0292P</v>
      </c>
      <c r="B263" s="4" t="str">
        <f>IFERROR(__xludf.DUMMYFUNCTION("""COMPUTED_VALUE"""),"Cartel PVC 21x29 NO TOCAR")</f>
        <v>Cartel PVC 21x29 NO TOCAR</v>
      </c>
      <c r="C263" s="4">
        <f>IFERROR(__xludf.DUMMYFUNCTION("""COMPUTED_VALUE"""),1.536)</f>
        <v>1.536</v>
      </c>
    </row>
    <row r="264">
      <c r="A264" s="4" t="str">
        <f>IFERROR(__xludf.DUMMYFUNCTION("""COMPUTED_VALUE"""),"293")</f>
        <v>293</v>
      </c>
      <c r="B264" s="4" t="str">
        <f>IFERROR(__xludf.DUMMYFUNCTION("""COMPUTED_VALUE"""),"Cartel PVC 40x30 Peligro Materias Radioactivas")</f>
        <v>Cartel PVC 40x30 Peligro Materias Radioactivas</v>
      </c>
      <c r="C264" s="4">
        <f>IFERROR(__xludf.DUMMYFUNCTION("""COMPUTED_VALUE"""),2.3808)</f>
        <v>2.3808</v>
      </c>
    </row>
    <row r="265">
      <c r="A265" s="4" t="str">
        <f>IFERROR(__xludf.DUMMYFUNCTION("""COMPUTED_VALUE"""),"0293P")</f>
        <v>0293P</v>
      </c>
      <c r="B265" s="4" t="str">
        <f>IFERROR(__xludf.DUMMYFUNCTION("""COMPUTED_VALUE"""),"Cartel PVC 21x29 PELIGRO MATERIAS RADIOACTIVAS")</f>
        <v>Cartel PVC 21x29 PELIGRO MATERIAS RADIOACTIVAS</v>
      </c>
      <c r="C265" s="4">
        <f>IFERROR(__xludf.DUMMYFUNCTION("""COMPUTED_VALUE"""),1.536)</f>
        <v>1.536</v>
      </c>
    </row>
    <row r="266">
      <c r="A266" s="4" t="str">
        <f>IFERROR(__xludf.DUMMYFUNCTION("""COMPUTED_VALUE"""),"294")</f>
        <v>294</v>
      </c>
      <c r="B266" s="4" t="str">
        <f>IFERROR(__xludf.DUMMYFUNCTION("""COMPUTED_VALUE"""),"Cartel PVC 40x30 Peligro Radiaciones Laser")</f>
        <v>Cartel PVC 40x30 Peligro Radiaciones Laser</v>
      </c>
      <c r="C266" s="4">
        <f>IFERROR(__xludf.DUMMYFUNCTION("""COMPUTED_VALUE"""),2.3808)</f>
        <v>2.3808</v>
      </c>
    </row>
    <row r="267">
      <c r="A267" s="4" t="str">
        <f>IFERROR(__xludf.DUMMYFUNCTION("""COMPUTED_VALUE"""),"0294P")</f>
        <v>0294P</v>
      </c>
      <c r="B267" s="4" t="str">
        <f>IFERROR(__xludf.DUMMYFUNCTION("""COMPUTED_VALUE"""),"Cartel PVC 21x29 PELIGRO RADIACIONES LASER")</f>
        <v>Cartel PVC 21x29 PELIGRO RADIACIONES LASER</v>
      </c>
      <c r="C267" s="4">
        <f>IFERROR(__xludf.DUMMYFUNCTION("""COMPUTED_VALUE"""),1.536)</f>
        <v>1.536</v>
      </c>
    </row>
    <row r="268">
      <c r="A268" s="4" t="str">
        <f>IFERROR(__xludf.DUMMYFUNCTION("""COMPUTED_VALUE"""),"295")</f>
        <v>295</v>
      </c>
      <c r="B268" s="4" t="str">
        <f>IFERROR(__xludf.DUMMYFUNCTION("""COMPUTED_VALUE"""),"Cartel PVC 40x30 Riesgo Biologico")</f>
        <v>Cartel PVC 40x30 Riesgo Biologico</v>
      </c>
      <c r="C268" s="4">
        <f>IFERROR(__xludf.DUMMYFUNCTION("""COMPUTED_VALUE"""),2.3808)</f>
        <v>2.3808</v>
      </c>
    </row>
    <row r="269">
      <c r="A269" s="4" t="str">
        <f>IFERROR(__xludf.DUMMYFUNCTION("""COMPUTED_VALUE"""),"0295P")</f>
        <v>0295P</v>
      </c>
      <c r="B269" s="4" t="str">
        <f>IFERROR(__xludf.DUMMYFUNCTION("""COMPUTED_VALUE"""),"Cartel PVC 21x29 PELIGRO RIESGO BIOLOGICO")</f>
        <v>Cartel PVC 21x29 PELIGRO RIESGO BIOLOGICO</v>
      </c>
      <c r="C269" s="4">
        <f>IFERROR(__xludf.DUMMYFUNCTION("""COMPUTED_VALUE"""),1.536)</f>
        <v>1.536</v>
      </c>
    </row>
    <row r="270">
      <c r="A270" s="4" t="str">
        <f>IFERROR(__xludf.DUMMYFUNCTION("""COMPUTED_VALUE"""),"296")</f>
        <v>296</v>
      </c>
      <c r="B270" s="4" t="str">
        <f>IFERROR(__xludf.DUMMYFUNCTION("""COMPUTED_VALUE"""),"Cartel PVC 40x30 Fotolum. Cubo uso en incendio")</f>
        <v>Cartel PVC 40x30 Fotolum. Cubo uso en incendio</v>
      </c>
      <c r="C270" s="4">
        <f>IFERROR(__xludf.DUMMYFUNCTION("""COMPUTED_VALUE"""),3.2159999999999997)</f>
        <v>3.216</v>
      </c>
    </row>
    <row r="271">
      <c r="A271" s="4" t="str">
        <f>IFERROR(__xludf.DUMMYFUNCTION("""COMPUTED_VALUE"""),"0296A")</f>
        <v>0296A</v>
      </c>
      <c r="B271" s="4" t="str">
        <f>IFERROR(__xludf.DUMMYFUNCTION("""COMPUTED_VALUE"""),"Cartel PVC 32x16 Fotolum. Sin Salida")</f>
        <v>Cartel PVC 32x16 Fotolum. Sin Salida</v>
      </c>
      <c r="C271" s="4">
        <f>IFERROR(__xludf.DUMMYFUNCTION("""COMPUTED_VALUE"""),2.16)</f>
        <v>2.16</v>
      </c>
    </row>
    <row r="272">
      <c r="A272" s="4" t="str">
        <f>IFERROR(__xludf.DUMMYFUNCTION("""COMPUTED_VALUE"""),"0296B")</f>
        <v>0296B</v>
      </c>
      <c r="B272" s="4" t="str">
        <f>IFERROR(__xludf.DUMMYFUNCTION("""COMPUTED_VALUE"""),"Cartel PVC 64x32 Fotolum. Sin Salida")</f>
        <v>Cartel PVC 64x32 Fotolum. Sin Salida</v>
      </c>
      <c r="C272" s="4">
        <f>IFERROR(__xludf.DUMMYFUNCTION("""COMPUTED_VALUE"""),4.300800000000001)</f>
        <v>4.3008</v>
      </c>
    </row>
    <row r="273">
      <c r="A273" s="4" t="str">
        <f>IFERROR(__xludf.DUMMYFUNCTION("""COMPUTED_VALUE"""),"0296C")</f>
        <v>0296C</v>
      </c>
      <c r="B273" s="4" t="str">
        <f>IFERROR(__xludf.DUMMYFUNCTION("""COMPUTED_VALUE"""),"Cartel PVC 96x48 Fotolum. Sin Salida")</f>
        <v>Cartel PVC 96x48 Fotolum. Sin Salida</v>
      </c>
      <c r="C273" s="4">
        <f>IFERROR(__xludf.DUMMYFUNCTION("""COMPUTED_VALUE"""),8.601600000000001)</f>
        <v>8.6016</v>
      </c>
    </row>
    <row r="274">
      <c r="A274" s="4" t="str">
        <f>IFERROR(__xludf.DUMMYFUNCTION("""COMPUTED_VALUE"""),"297")</f>
        <v>297</v>
      </c>
      <c r="B274" s="4" t="str">
        <f>IFERROR(__xludf.DUMMYFUNCTION("""COMPUTED_VALUE"""),"Cartel PVC 40x30 Fotoum. Manguera contra Incendios")</f>
        <v>Cartel PVC 40x30 Fotoum. Manguera contra Incendios</v>
      </c>
      <c r="C274" s="4">
        <f>IFERROR(__xludf.DUMMYFUNCTION("""COMPUTED_VALUE"""),3.2159999999999997)</f>
        <v>3.216</v>
      </c>
    </row>
    <row r="275">
      <c r="A275" s="4" t="str">
        <f>IFERROR(__xludf.DUMMYFUNCTION("""COMPUTED_VALUE"""),"298")</f>
        <v>298</v>
      </c>
      <c r="B275" s="4" t="str">
        <f>IFERROR(__xludf.DUMMYFUNCTION("""COMPUTED_VALUE"""),"Cartel PVC 21x29 Fotolum. Escalera incendio")</f>
        <v>Cartel PVC 21x29 Fotolum. Escalera incendio</v>
      </c>
      <c r="C275" s="4">
        <f>IFERROR(__xludf.DUMMYFUNCTION("""COMPUTED_VALUE"""),2.496)</f>
        <v>2.496</v>
      </c>
    </row>
    <row r="276">
      <c r="A276" s="4" t="str">
        <f>IFERROR(__xludf.DUMMYFUNCTION("""COMPUTED_VALUE"""),"0298A")</f>
        <v>0298A</v>
      </c>
      <c r="B276" s="4" t="str">
        <f>IFERROR(__xludf.DUMMYFUNCTION("""COMPUTED_VALUE"""),"Cartel PVC 21x30 Fotolum. Escalera de incendios")</f>
        <v>Cartel PVC 21x30 Fotolum. Escalera de incendios</v>
      </c>
      <c r="C276" s="4">
        <f>IFERROR(__xludf.DUMMYFUNCTION("""COMPUTED_VALUE"""),2.4192)</f>
        <v>2.4192</v>
      </c>
    </row>
    <row r="277">
      <c r="A277" s="4" t="str">
        <f>IFERROR(__xludf.DUMMYFUNCTION("""COMPUTED_VALUE"""),"0298B")</f>
        <v>0298B</v>
      </c>
      <c r="B277" s="4" t="str">
        <f>IFERROR(__xludf.DUMMYFUNCTION("""COMPUTED_VALUE"""),"Cartel PVC 40x30 Fotolum. Escalera de incendios")</f>
        <v>Cartel PVC 40x30 Fotolum. Escalera de incendios</v>
      </c>
      <c r="C277" s="4">
        <f>IFERROR(__xludf.DUMMYFUNCTION("""COMPUTED_VALUE"""),2.976)</f>
        <v>2.976</v>
      </c>
    </row>
    <row r="278">
      <c r="A278" s="4" t="str">
        <f>IFERROR(__xludf.DUMMYFUNCTION("""COMPUTED_VALUE"""),"299")</f>
        <v>299</v>
      </c>
      <c r="B278" s="4" t="str">
        <f>IFERROR(__xludf.DUMMYFUNCTION("""COMPUTED_VALUE"""),"Cartel PVC 40x30 Uso Oblig. de Protec. Lumbar")</f>
        <v>Cartel PVC 40x30 Uso Oblig. de Protec. Lumbar</v>
      </c>
      <c r="C278" s="4">
        <f>IFERROR(__xludf.DUMMYFUNCTION("""COMPUTED_VALUE"""),2.3808)</f>
        <v>2.3808</v>
      </c>
    </row>
    <row r="279">
      <c r="A279" s="4" t="str">
        <f>IFERROR(__xludf.DUMMYFUNCTION("""COMPUTED_VALUE"""),"0299P")</f>
        <v>0299P</v>
      </c>
      <c r="B279" s="4" t="str">
        <f>IFERROR(__xludf.DUMMYFUNCTION("""COMPUTED_VALUE"""),"Cartel PVC 21x29 OBLIGATORIO LA PROTECCION LUMBAR")</f>
        <v>Cartel PVC 21x29 OBLIGATORIO LA PROTECCION LUMBAR</v>
      </c>
      <c r="C279" s="4">
        <f>IFERROR(__xludf.DUMMYFUNCTION("""COMPUTED_VALUE"""),1.536)</f>
        <v>1.536</v>
      </c>
    </row>
    <row r="280">
      <c r="A280" s="4" t="str">
        <f>IFERROR(__xludf.DUMMYFUNCTION("""COMPUTED_VALUE"""),"300")</f>
        <v>300</v>
      </c>
      <c r="B280" s="4" t="str">
        <f>IFERROR(__xludf.DUMMYFUNCTION("""COMPUTED_VALUE"""),"Cartel PVC 40x30 Via oblig. peatones")</f>
        <v>Cartel PVC 40x30 Via oblig. peatones</v>
      </c>
      <c r="C280" s="4">
        <f>IFERROR(__xludf.DUMMYFUNCTION("""COMPUTED_VALUE"""),2.3808)</f>
        <v>2.3808</v>
      </c>
    </row>
    <row r="281">
      <c r="A281" s="4" t="str">
        <f>IFERROR(__xludf.DUMMYFUNCTION("""COMPUTED_VALUE"""),"0300P")</f>
        <v>0300P</v>
      </c>
      <c r="B281" s="4" t="str">
        <f>IFERROR(__xludf.DUMMYFUNCTION("""COMPUTED_VALUE"""),"Cartel PVC 21x29 VIA OBLIGATORIA PARA PEATONES")</f>
        <v>Cartel PVC 21x29 VIA OBLIGATORIA PARA PEATONES</v>
      </c>
      <c r="C281" s="4">
        <f>IFERROR(__xludf.DUMMYFUNCTION("""COMPUTED_VALUE"""),1.536)</f>
        <v>1.536</v>
      </c>
    </row>
    <row r="282">
      <c r="A282" s="4" t="str">
        <f>IFERROR(__xludf.DUMMYFUNCTION("""COMPUTED_VALUE"""),"301")</f>
        <v>301</v>
      </c>
      <c r="B282" s="4" t="str">
        <f>IFERROR(__xludf.DUMMYFUNCTION("""COMPUTED_VALUE"""),"Cartel PVC 40x30 Oblig. Protector")</f>
        <v>Cartel PVC 40x30 Oblig. Protector</v>
      </c>
      <c r="C282" s="4">
        <f>IFERROR(__xludf.DUMMYFUNCTION("""COMPUTED_VALUE"""),2.3808)</f>
        <v>2.3808</v>
      </c>
    </row>
    <row r="283">
      <c r="A283" s="4" t="str">
        <f>IFERROR(__xludf.DUMMYFUNCTION("""COMPUTED_VALUE"""),"0301P")</f>
        <v>0301P</v>
      </c>
      <c r="B283" s="4" t="str">
        <f>IFERROR(__xludf.DUMMYFUNCTION("""COMPUTED_VALUE"""),"Cartel PVC 21x29 USO OBLIGATORIO DE PROTECTOR")</f>
        <v>Cartel PVC 21x29 USO OBLIGATORIO DE PROTECTOR</v>
      </c>
      <c r="C283" s="4">
        <f>IFERROR(__xludf.DUMMYFUNCTION("""COMPUTED_VALUE"""),1.536)</f>
        <v>1.536</v>
      </c>
    </row>
    <row r="284">
      <c r="A284" s="4" t="str">
        <f>IFERROR(__xludf.DUMMYFUNCTION("""COMPUTED_VALUE"""),"302")</f>
        <v>302</v>
      </c>
      <c r="B284" s="4" t="str">
        <f>IFERROR(__xludf.DUMMYFUNCTION("""COMPUTED_VALUE"""),"Cartel PVC 40x30 Proh. paso a peatones")</f>
        <v>Cartel PVC 40x30 Proh. paso a peatones</v>
      </c>
      <c r="C284" s="4">
        <f>IFERROR(__xludf.DUMMYFUNCTION("""COMPUTED_VALUE"""),2.3808)</f>
        <v>2.3808</v>
      </c>
    </row>
    <row r="285">
      <c r="A285" s="4" t="str">
        <f>IFERROR(__xludf.DUMMYFUNCTION("""COMPUTED_VALUE"""),"0302P")</f>
        <v>0302P</v>
      </c>
      <c r="B285" s="4" t="str">
        <f>IFERROR(__xludf.DUMMYFUNCTION("""COMPUTED_VALUE"""),"Cartel PVC 21x29 PROHIBIDO PASAR A LOS PEATONES")</f>
        <v>Cartel PVC 21x29 PROHIBIDO PASAR A LOS PEATONES</v>
      </c>
      <c r="C285" s="4">
        <f>IFERROR(__xludf.DUMMYFUNCTION("""COMPUTED_VALUE"""),1.536)</f>
        <v>1.536</v>
      </c>
    </row>
    <row r="286">
      <c r="A286" s="4" t="str">
        <f>IFERROR(__xludf.DUMMYFUNCTION("""COMPUTED_VALUE"""),"303")</f>
        <v>303</v>
      </c>
      <c r="B286" s="4" t="str">
        <f>IFERROR(__xludf.DUMMYFUNCTION("""COMPUTED_VALUE"""),"Cartel PVC 40x30 Rampa personal autor.")</f>
        <v>Cartel PVC 40x30 Rampa personal autor.</v>
      </c>
      <c r="C286" s="4">
        <f>IFERROR(__xludf.DUMMYFUNCTION("""COMPUTED_VALUE"""),2.3808)</f>
        <v>2.3808</v>
      </c>
    </row>
    <row r="287">
      <c r="A287" s="4" t="str">
        <f>IFERROR(__xludf.DUMMYFUNCTION("""COMPUTED_VALUE"""),"0303B")</f>
        <v>0303B</v>
      </c>
      <c r="B287" s="4" t="str">
        <f>IFERROR(__xludf.DUMMYFUNCTION("""COMPUTED_VALUE"""),"Cartel PVC 21x29 USO OBLIGATORIO PROTECTOR")</f>
        <v>Cartel PVC 21x29 USO OBLIGATORIO PROTECTOR</v>
      </c>
      <c r="C287" s="4">
        <f>IFERROR(__xludf.DUMMYFUNCTION("""COMPUTED_VALUE"""),1.536)</f>
        <v>1.536</v>
      </c>
    </row>
    <row r="288">
      <c r="A288" s="4" t="str">
        <f>IFERROR(__xludf.DUMMYFUNCTION("""COMPUTED_VALUE"""),"0303P")</f>
        <v>0303P</v>
      </c>
      <c r="B288" s="4" t="str">
        <f>IFERROR(__xludf.DUMMYFUNCTION("""COMPUTED_VALUE"""),"Cartel PVC 21x29 RAMPA USO EXCLUSIVO PERSONAL")</f>
        <v>Cartel PVC 21x29 RAMPA USO EXCLUSIVO PERSONAL</v>
      </c>
      <c r="C288" s="4">
        <f>IFERROR(__xludf.DUMMYFUNCTION("""COMPUTED_VALUE"""),1.536)</f>
        <v>1.536</v>
      </c>
    </row>
    <row r="289">
      <c r="A289" s="4" t="str">
        <f>IFERROR(__xludf.DUMMYFUNCTION("""COMPUTED_VALUE"""),"304")</f>
        <v>304</v>
      </c>
      <c r="B289" s="4" t="str">
        <f>IFERROR(__xludf.DUMMYFUNCTION("""COMPUTED_VALUE"""),"Cartel PVC 40x30 Uso oblig. guantes electricos")</f>
        <v>Cartel PVC 40x30 Uso oblig. guantes electricos</v>
      </c>
      <c r="C289" s="4">
        <f>IFERROR(__xludf.DUMMYFUNCTION("""COMPUTED_VALUE"""),2.3808)</f>
        <v>2.3808</v>
      </c>
    </row>
    <row r="290">
      <c r="A290" s="4" t="str">
        <f>IFERROR(__xludf.DUMMYFUNCTION("""COMPUTED_VALUE"""),"0304P")</f>
        <v>0304P</v>
      </c>
      <c r="B290" s="4" t="str">
        <f>IFERROR(__xludf.DUMMYFUNCTION("""COMPUTED_VALUE"""),"Cartel PVC 21x29 USO OBLIGATORIO DE GUANTES")</f>
        <v>Cartel PVC 21x29 USO OBLIGATORIO DE GUANTES</v>
      </c>
      <c r="C290" s="4">
        <f>IFERROR(__xludf.DUMMYFUNCTION("""COMPUTED_VALUE"""),1.536)</f>
        <v>1.536</v>
      </c>
    </row>
    <row r="291">
      <c r="A291" s="4" t="str">
        <f>IFERROR(__xludf.DUMMYFUNCTION("""COMPUTED_VALUE"""),"305")</f>
        <v>305</v>
      </c>
      <c r="B291" s="4" t="str">
        <f>IFERROR(__xludf.DUMMYFUNCTION("""COMPUTED_VALUE"""),"Cartel PVC 40x30 Uso Oblig. calzado electrico")</f>
        <v>Cartel PVC 40x30 Uso Oblig. calzado electrico</v>
      </c>
      <c r="C291" s="4">
        <f>IFERROR(__xludf.DUMMYFUNCTION("""COMPUTED_VALUE"""),2.3808)</f>
        <v>2.3808</v>
      </c>
    </row>
    <row r="292">
      <c r="A292" s="4" t="str">
        <f>IFERROR(__xludf.DUMMYFUNCTION("""COMPUTED_VALUE"""),"0305P")</f>
        <v>0305P</v>
      </c>
      <c r="B292" s="4" t="str">
        <f>IFERROR(__xludf.DUMMYFUNCTION("""COMPUTED_VALUE"""),"Cartel PVC 21x29 USO OBLIGATORIO CALZADO")</f>
        <v>Cartel PVC 21x29 USO OBLIGATORIO CALZADO</v>
      </c>
      <c r="C292" s="4">
        <f>IFERROR(__xludf.DUMMYFUNCTION("""COMPUTED_VALUE"""),1.536)</f>
        <v>1.536</v>
      </c>
    </row>
    <row r="293">
      <c r="A293" s="4" t="str">
        <f>IFERROR(__xludf.DUMMYFUNCTION("""COMPUTED_VALUE"""),"306")</f>
        <v>306</v>
      </c>
      <c r="B293" s="4" t="str">
        <f>IFERROR(__xludf.DUMMYFUNCTION("""COMPUTED_VALUE"""),"Cartel PVC 40x30 Oblig. Lavarse las manos")</f>
        <v>Cartel PVC 40x30 Oblig. Lavarse las manos</v>
      </c>
      <c r="C293" s="4">
        <f>IFERROR(__xludf.DUMMYFUNCTION("""COMPUTED_VALUE"""),2.3808)</f>
        <v>2.3808</v>
      </c>
    </row>
    <row r="294">
      <c r="A294" s="4" t="str">
        <f>IFERROR(__xludf.DUMMYFUNCTION("""COMPUTED_VALUE"""),"0306P")</f>
        <v>0306P</v>
      </c>
      <c r="B294" s="4" t="str">
        <f>IFERROR(__xludf.DUMMYFUNCTION("""COMPUTED_VALUE"""),"Cartel PVC 21x29 OBLIGATORIO LAVARSE LAS MANOS")</f>
        <v>Cartel PVC 21x29 OBLIGATORIO LAVARSE LAS MANOS</v>
      </c>
      <c r="C294" s="4">
        <f>IFERROR(__xludf.DUMMYFUNCTION("""COMPUTED_VALUE"""),1.536)</f>
        <v>1.536</v>
      </c>
    </row>
    <row r="295">
      <c r="A295" s="4" t="str">
        <f>IFERROR(__xludf.DUMMYFUNCTION("""COMPUTED_VALUE"""),"307")</f>
        <v>307</v>
      </c>
      <c r="B295" s="4" t="str">
        <f>IFERROR(__xludf.DUMMYFUNCTION("""COMPUTED_VALUE"""),"Cartel PVC 40x30 Apilar Correctamente")</f>
        <v>Cartel PVC 40x30 Apilar Correctamente</v>
      </c>
      <c r="C295" s="4">
        <f>IFERROR(__xludf.DUMMYFUNCTION("""COMPUTED_VALUE"""),2.3808)</f>
        <v>2.3808</v>
      </c>
    </row>
    <row r="296">
      <c r="A296" s="4" t="str">
        <f>IFERROR(__xludf.DUMMYFUNCTION("""COMPUTED_VALUE"""),"0307P")</f>
        <v>0307P</v>
      </c>
      <c r="B296" s="4" t="str">
        <f>IFERROR(__xludf.DUMMYFUNCTION("""COMPUTED_VALUE"""),"Cartel PVC 21x29 APILAR CORRECTAMENTE")</f>
        <v>Cartel PVC 21x29 APILAR CORRECTAMENTE</v>
      </c>
      <c r="C296" s="4">
        <f>IFERROR(__xludf.DUMMYFUNCTION("""COMPUTED_VALUE"""),1.536)</f>
        <v>1.536</v>
      </c>
    </row>
    <row r="297">
      <c r="A297" s="4" t="str">
        <f>IFERROR(__xludf.DUMMYFUNCTION("""COMPUTED_VALUE"""),"308")</f>
        <v>308</v>
      </c>
      <c r="B297" s="4" t="str">
        <f>IFERROR(__xludf.DUMMYFUNCTION("""COMPUTED_VALUE"""),"Cartel PVC 40x30 Oblig. Protector Ajustable")</f>
        <v>Cartel PVC 40x30 Oblig. Protector Ajustable</v>
      </c>
      <c r="C297" s="4">
        <f>IFERROR(__xludf.DUMMYFUNCTION("""COMPUTED_VALUE"""),2.3808)</f>
        <v>2.3808</v>
      </c>
    </row>
    <row r="298">
      <c r="A298" s="4" t="str">
        <f>IFERROR(__xludf.DUMMYFUNCTION("""COMPUTED_VALUE"""),"0308P")</f>
        <v>0308P</v>
      </c>
      <c r="B298" s="4" t="str">
        <f>IFERROR(__xludf.DUMMYFUNCTION("""COMPUTED_VALUE"""),"Cartel PVC 21x29 Oblig. Protector Ajustable")</f>
        <v>Cartel PVC 21x29 Oblig. Protector Ajustable</v>
      </c>
      <c r="C298" s="4">
        <f>IFERROR(__xludf.DUMMYFUNCTION("""COMPUTED_VALUE"""),1.536)</f>
        <v>1.536</v>
      </c>
    </row>
    <row r="299">
      <c r="A299" s="4" t="str">
        <f>IFERROR(__xludf.DUMMYFUNCTION("""COMPUTED_VALUE"""),"309")</f>
        <v>309</v>
      </c>
      <c r="B299" s="4" t="str">
        <f>IFERROR(__xludf.DUMMYFUNCTION("""COMPUTED_VALUE"""),"Cartel PVC 40x30 Oblig. Protector Fijo")</f>
        <v>Cartel PVC 40x30 Oblig. Protector Fijo</v>
      </c>
      <c r="C299" s="4">
        <f>IFERROR(__xludf.DUMMYFUNCTION("""COMPUTED_VALUE"""),2.3808)</f>
        <v>2.3808</v>
      </c>
    </row>
    <row r="300">
      <c r="A300" s="4" t="str">
        <f>IFERROR(__xludf.DUMMYFUNCTION("""COMPUTED_VALUE"""),"0309P")</f>
        <v>0309P</v>
      </c>
      <c r="B300" s="4" t="str">
        <f>IFERROR(__xludf.DUMMYFUNCTION("""COMPUTED_VALUE"""),"Cartel PVC 21x29 USO OBLIGATORIO PROTECTOR FIJO")</f>
        <v>Cartel PVC 21x29 USO OBLIGATORIO PROTECTOR FIJO</v>
      </c>
      <c r="C300" s="4">
        <f>IFERROR(__xludf.DUMMYFUNCTION("""COMPUTED_VALUE"""),1.536)</f>
        <v>1.536</v>
      </c>
    </row>
    <row r="301">
      <c r="A301" s="4" t="str">
        <f>IFERROR(__xludf.DUMMYFUNCTION("""COMPUTED_VALUE"""),"310")</f>
        <v>310</v>
      </c>
      <c r="B301" s="4" t="str">
        <f>IFERROR(__xludf.DUMMYFUNCTION("""COMPUTED_VALUE"""),"Cartel PVC 40x30 Proh. la entrada con marcapasos")</f>
        <v>Cartel PVC 40x30 Proh. la entrada con marcapasos</v>
      </c>
      <c r="C301" s="4">
        <f>IFERROR(__xludf.DUMMYFUNCTION("""COMPUTED_VALUE"""),2.3808)</f>
        <v>2.3808</v>
      </c>
    </row>
    <row r="302">
      <c r="A302" s="4" t="str">
        <f>IFERROR(__xludf.DUMMYFUNCTION("""COMPUTED_VALUE"""),"0310P")</f>
        <v>0310P</v>
      </c>
      <c r="B302" s="4" t="str">
        <f>IFERROR(__xludf.DUMMYFUNCTION("""COMPUTED_VALUE"""),"Cartel PVC 21x29 PROHIBIDA LA ENTRADA CON")</f>
        <v>Cartel PVC 21x29 PROHIBIDA LA ENTRADA CON</v>
      </c>
      <c r="C302" s="4">
        <f>IFERROR(__xludf.DUMMYFUNCTION("""COMPUTED_VALUE"""),1.536)</f>
        <v>1.536</v>
      </c>
    </row>
    <row r="303">
      <c r="A303" s="4" t="str">
        <f>IFERROR(__xludf.DUMMYFUNCTION("""COMPUTED_VALUE"""),"311")</f>
        <v>311</v>
      </c>
      <c r="B303" s="4" t="str">
        <f>IFERROR(__xludf.DUMMYFUNCTION("""COMPUTED_VALUE"""),"Cartel PVC 40x30 Peligro zona de carga y descarga")</f>
        <v>Cartel PVC 40x30 Peligro zona de carga y descarga</v>
      </c>
      <c r="C303" s="4">
        <f>IFERROR(__xludf.DUMMYFUNCTION("""COMPUTED_VALUE"""),2.3808)</f>
        <v>2.3808</v>
      </c>
    </row>
    <row r="304">
      <c r="A304" s="4" t="str">
        <f>IFERROR(__xludf.DUMMYFUNCTION("""COMPUTED_VALUE"""),"0311P")</f>
        <v>0311P</v>
      </c>
      <c r="B304" s="4" t="str">
        <f>IFERROR(__xludf.DUMMYFUNCTION("""COMPUTED_VALUE"""),"Cartel PVC 21x29 PELIGRO ZONA CARGA Y DESCARGA")</f>
        <v>Cartel PVC 21x29 PELIGRO ZONA CARGA Y DESCARGA</v>
      </c>
      <c r="C304" s="4">
        <f>IFERROR(__xludf.DUMMYFUNCTION("""COMPUTED_VALUE"""),1.536)</f>
        <v>1.536</v>
      </c>
    </row>
    <row r="305">
      <c r="A305" s="4" t="str">
        <f>IFERROR(__xludf.DUMMYFUNCTION("""COMPUTED_VALUE"""),"312")</f>
        <v>312</v>
      </c>
      <c r="B305" s="4" t="str">
        <f>IFERROR(__xludf.DUMMYFUNCTION("""COMPUTED_VALUE"""),"Cartel PVC 40x30 Baja Temperatura")</f>
        <v>Cartel PVC 40x30 Baja Temperatura</v>
      </c>
      <c r="C305" s="4">
        <f>IFERROR(__xludf.DUMMYFUNCTION("""COMPUTED_VALUE"""),2.3808)</f>
        <v>2.3808</v>
      </c>
    </row>
    <row r="306">
      <c r="A306" s="4" t="str">
        <f>IFERROR(__xludf.DUMMYFUNCTION("""COMPUTED_VALUE"""),"0312P")</f>
        <v>0312P</v>
      </c>
      <c r="B306" s="4" t="str">
        <f>IFERROR(__xludf.DUMMYFUNCTION("""COMPUTED_VALUE"""),"Cartel PVC 21x29 ATENCION BAJA TEMPERATURA")</f>
        <v>Cartel PVC 21x29 ATENCION BAJA TEMPERATURA</v>
      </c>
      <c r="C306" s="4">
        <f>IFERROR(__xludf.DUMMYFUNCTION("""COMPUTED_VALUE"""),1.536)</f>
        <v>1.536</v>
      </c>
    </row>
    <row r="307">
      <c r="A307" s="4" t="str">
        <f>IFERROR(__xludf.DUMMYFUNCTION("""COMPUTED_VALUE"""),"313")</f>
        <v>313</v>
      </c>
      <c r="B307" s="4" t="str">
        <f>IFERROR(__xludf.DUMMYFUNCTION("""COMPUTED_VALUE"""),"Cartel PVC 40x30 Peligro Alta Presion")</f>
        <v>Cartel PVC 40x30 Peligro Alta Presion</v>
      </c>
      <c r="C307" s="4">
        <f>IFERROR(__xludf.DUMMYFUNCTION("""COMPUTED_VALUE"""),2.3808)</f>
        <v>2.3808</v>
      </c>
    </row>
    <row r="308">
      <c r="A308" s="4" t="str">
        <f>IFERROR(__xludf.DUMMYFUNCTION("""COMPUTED_VALUE"""),"0313P")</f>
        <v>0313P</v>
      </c>
      <c r="B308" s="4" t="str">
        <f>IFERROR(__xludf.DUMMYFUNCTION("""COMPUTED_VALUE"""),"Cartel PVC 21x29 PELIGRO ALTA PRESION")</f>
        <v>Cartel PVC 21x29 PELIGRO ALTA PRESION</v>
      </c>
      <c r="C308" s="4">
        <f>IFERROR(__xludf.DUMMYFUNCTION("""COMPUTED_VALUE"""),1.536)</f>
        <v>1.536</v>
      </c>
    </row>
    <row r="309">
      <c r="A309" s="4" t="str">
        <f>IFERROR(__xludf.DUMMYFUNCTION("""COMPUTED_VALUE"""),"314")</f>
        <v>314</v>
      </c>
      <c r="B309" s="4" t="str">
        <f>IFERROR(__xludf.DUMMYFUNCTION("""COMPUTED_VALUE"""),"Cartel PVC 40x30 Peligro Suelo fragil")</f>
        <v>Cartel PVC 40x30 Peligro Suelo fragil</v>
      </c>
      <c r="C309" s="4">
        <f>IFERROR(__xludf.DUMMYFUNCTION("""COMPUTED_VALUE"""),2.3808)</f>
        <v>2.3808</v>
      </c>
    </row>
    <row r="310">
      <c r="A310" s="4" t="str">
        <f>IFERROR(__xludf.DUMMYFUNCTION("""COMPUTED_VALUE"""),"0314P")</f>
        <v>0314P</v>
      </c>
      <c r="B310" s="4" t="str">
        <f>IFERROR(__xludf.DUMMYFUNCTION("""COMPUTED_VALUE"""),"Cartel PVC 21x29 ATENCION SUELO FRAGIL")</f>
        <v>Cartel PVC 21x29 ATENCION SUELO FRAGIL</v>
      </c>
      <c r="C310" s="4">
        <f>IFERROR(__xludf.DUMMYFUNCTION("""COMPUTED_VALUE"""),1.536)</f>
        <v>1.536</v>
      </c>
    </row>
    <row r="311">
      <c r="A311" s="4" t="str">
        <f>IFERROR(__xludf.DUMMYFUNCTION("""COMPUTED_VALUE"""),"315")</f>
        <v>315</v>
      </c>
      <c r="B311" s="4" t="str">
        <f>IFERROR(__xludf.DUMMYFUNCTION("""COMPUTED_VALUE"""),"Cartel PVC 40x30 Atencion Suelo Resbaladizo")</f>
        <v>Cartel PVC 40x30 Atencion Suelo Resbaladizo</v>
      </c>
      <c r="C311" s="4">
        <f>IFERROR(__xludf.DUMMYFUNCTION("""COMPUTED_VALUE"""),2.3808)</f>
        <v>2.3808</v>
      </c>
    </row>
    <row r="312">
      <c r="A312" s="4" t="str">
        <f>IFERROR(__xludf.DUMMYFUNCTION("""COMPUTED_VALUE"""),"0315P")</f>
        <v>0315P</v>
      </c>
      <c r="B312" s="4" t="str">
        <f>IFERROR(__xludf.DUMMYFUNCTION("""COMPUTED_VALUE"""),"Cartel PVC 21x29 ATENCION SUELO RESBALADIZO")</f>
        <v>Cartel PVC 21x29 ATENCION SUELO RESBALADIZO</v>
      </c>
      <c r="C312" s="4">
        <f>IFERROR(__xludf.DUMMYFUNCTION("""COMPUTED_VALUE"""),1.536)</f>
        <v>1.536</v>
      </c>
    </row>
    <row r="313">
      <c r="A313" s="4" t="str">
        <f>IFERROR(__xludf.DUMMYFUNCTION("""COMPUTED_VALUE"""),"316")</f>
        <v>316</v>
      </c>
      <c r="B313" s="4" t="str">
        <f>IFERROR(__xludf.DUMMYFUNCTION("""COMPUTED_VALUE"""),"Cartel PVC 40x30 Solo Personal Autorizado")</f>
        <v>Cartel PVC 40x30 Solo Personal Autorizado</v>
      </c>
      <c r="C313" s="4">
        <f>IFERROR(__xludf.DUMMYFUNCTION("""COMPUTED_VALUE"""),2.3808)</f>
        <v>2.3808</v>
      </c>
    </row>
    <row r="314">
      <c r="A314" s="4" t="str">
        <f>IFERROR(__xludf.DUMMYFUNCTION("""COMPUTED_VALUE"""),"0316P")</f>
        <v>0316P</v>
      </c>
      <c r="B314" s="4" t="str">
        <f>IFERROR(__xludf.DUMMYFUNCTION("""COMPUTED_VALUE"""),"Cartel PVC 21x29 SOLO PERSONAL AUTORIZADO")</f>
        <v>Cartel PVC 21x29 SOLO PERSONAL AUTORIZADO</v>
      </c>
      <c r="C314" s="4">
        <f>IFERROR(__xludf.DUMMYFUNCTION("""COMPUTED_VALUE"""),1.536)</f>
        <v>1.536</v>
      </c>
    </row>
    <row r="315">
      <c r="A315" s="4" t="str">
        <f>IFERROR(__xludf.DUMMYFUNCTION("""COMPUTED_VALUE"""),"317")</f>
        <v>317</v>
      </c>
      <c r="B315" s="4" t="str">
        <f>IFERROR(__xludf.DUMMYFUNCTION("""COMPUTED_VALUE"""),"Cartel PVC 40x30 Prohibido paso con bicicleta")</f>
        <v>Cartel PVC 40x30 Prohibido paso con bicicleta</v>
      </c>
      <c r="C315" s="4">
        <f>IFERROR(__xludf.DUMMYFUNCTION("""COMPUTED_VALUE"""),2.3808)</f>
        <v>2.3808</v>
      </c>
    </row>
    <row r="316">
      <c r="A316" s="4" t="str">
        <f>IFERROR(__xludf.DUMMYFUNCTION("""COMPUTED_VALUE"""),"0317P")</f>
        <v>0317P</v>
      </c>
      <c r="B316" s="4" t="str">
        <f>IFERROR(__xludf.DUMMYFUNCTION("""COMPUTED_VALUE"""),"Cartel PVC 21x29 PROHIBIDO EL PASO CON BICICLETA")</f>
        <v>Cartel PVC 21x29 PROHIBIDO EL PASO CON BICICLETA</v>
      </c>
      <c r="C316" s="4">
        <f>IFERROR(__xludf.DUMMYFUNCTION("""COMPUTED_VALUE"""),1.536)</f>
        <v>1.536</v>
      </c>
    </row>
    <row r="317">
      <c r="A317" s="4" t="str">
        <f>IFERROR(__xludf.DUMMYFUNCTION("""COMPUTED_VALUE"""),"318")</f>
        <v>318</v>
      </c>
      <c r="B317" s="4" t="str">
        <f>IFERROR(__xludf.DUMMYFUNCTION("""COMPUTED_VALUE"""),"Cartel PVC 40x30 Prohib. Uso de Moviles")</f>
        <v>Cartel PVC 40x30 Prohib. Uso de Moviles</v>
      </c>
      <c r="C317" s="4">
        <f>IFERROR(__xludf.DUMMYFUNCTION("""COMPUTED_VALUE"""),2.3808)</f>
        <v>2.3808</v>
      </c>
    </row>
    <row r="318">
      <c r="A318" s="4" t="str">
        <f>IFERROR(__xludf.DUMMYFUNCTION("""COMPUTED_VALUE"""),"0318P")</f>
        <v>0318P</v>
      </c>
      <c r="B318" s="4" t="str">
        <f>IFERROR(__xludf.DUMMYFUNCTION("""COMPUTED_VALUE"""),"Cartel PVC 21x29 PROHIBIDO EL USO TELEFONOS")</f>
        <v>Cartel PVC 21x29 PROHIBIDO EL USO TELEFONOS</v>
      </c>
      <c r="C318" s="4">
        <f>IFERROR(__xludf.DUMMYFUNCTION("""COMPUTED_VALUE"""),1.536)</f>
        <v>1.536</v>
      </c>
    </row>
    <row r="319">
      <c r="A319" s="4" t="str">
        <f>IFERROR(__xludf.DUMMYFUNCTION("""COMPUTED_VALUE"""),"319")</f>
        <v>319</v>
      </c>
      <c r="B319" s="4" t="str">
        <f>IFERROR(__xludf.DUMMYFUNCTION("""COMPUTED_VALUE"""),"Cartel PVC 40x30 Fotolum. Hidrante")</f>
        <v>Cartel PVC 40x30 Fotolum. Hidrante</v>
      </c>
      <c r="C319" s="4">
        <f>IFERROR(__xludf.DUMMYFUNCTION("""COMPUTED_VALUE"""),3.312)</f>
        <v>3.312</v>
      </c>
    </row>
    <row r="320">
      <c r="A320" s="4" t="str">
        <f>IFERROR(__xludf.DUMMYFUNCTION("""COMPUTED_VALUE"""),"0319A")</f>
        <v>0319A</v>
      </c>
      <c r="B320" s="4" t="str">
        <f>IFERROR(__xludf.DUMMYFUNCTION("""COMPUTED_VALUE"""),"Cartel PVC 32x16 Fotolum. Salida emergencia dcha abajo")</f>
        <v>Cartel PVC 32x16 Fotolum. Salida emergencia dcha abajo</v>
      </c>
      <c r="C320" s="4">
        <f>IFERROR(__xludf.DUMMYFUNCTION("""COMPUTED_VALUE"""),2.16)</f>
        <v>2.16</v>
      </c>
    </row>
    <row r="321">
      <c r="A321" s="4" t="str">
        <f>IFERROR(__xludf.DUMMYFUNCTION("""COMPUTED_VALUE"""),"0319AA")</f>
        <v>0319AA</v>
      </c>
      <c r="B321" s="4" t="str">
        <f>IFERROR(__xludf.DUMMYFUNCTION("""COMPUTED_VALUE"""),"Cartel PVC 32x16 Fotolum. Salida emergencia dcha abajo")</f>
        <v>Cartel PVC 32x16 Fotolum. Salida emergencia dcha abajo</v>
      </c>
      <c r="C321" s="4">
        <f>IFERROR(__xludf.DUMMYFUNCTION("""COMPUTED_VALUE"""),2.16)</f>
        <v>2.16</v>
      </c>
    </row>
    <row r="322">
      <c r="A322" s="4" t="str">
        <f>IFERROR(__xludf.DUMMYFUNCTION("""COMPUTED_VALUE"""),"0319B")</f>
        <v>0319B</v>
      </c>
      <c r="B322" s="4" t="str">
        <f>IFERROR(__xludf.DUMMYFUNCTION("""COMPUTED_VALUE"""),"Cartel PVC 64x32 Fotolum. Salida emergencia dcha abajo")</f>
        <v>Cartel PVC 64x32 Fotolum. Salida emergencia dcha abajo</v>
      </c>
      <c r="C322" s="4">
        <f>IFERROR(__xludf.DUMMYFUNCTION("""COMPUTED_VALUE"""),4.300800000000001)</f>
        <v>4.3008</v>
      </c>
    </row>
    <row r="323">
      <c r="A323" s="4" t="str">
        <f>IFERROR(__xludf.DUMMYFUNCTION("""COMPUTED_VALUE"""),"0319BA")</f>
        <v>0319BA</v>
      </c>
      <c r="B323" s="4" t="str">
        <f>IFERROR(__xludf.DUMMYFUNCTION("""COMPUTED_VALUE"""),"Cartel PVC 64x32 Fotolum. Salida emergencia dcha abajo")</f>
        <v>Cartel PVC 64x32 Fotolum. Salida emergencia dcha abajo</v>
      </c>
      <c r="C323" s="4">
        <f>IFERROR(__xludf.DUMMYFUNCTION("""COMPUTED_VALUE"""),4.300800000000001)</f>
        <v>4.3008</v>
      </c>
    </row>
    <row r="324">
      <c r="A324" s="4" t="str">
        <f>IFERROR(__xludf.DUMMYFUNCTION("""COMPUTED_VALUE"""),"0319C")</f>
        <v>0319C</v>
      </c>
      <c r="B324" s="4" t="str">
        <f>IFERROR(__xludf.DUMMYFUNCTION("""COMPUTED_VALUE"""),"Cartel PVC 96x48 Fotolum. Salida emergencia dcha abajo")</f>
        <v>Cartel PVC 96x48 Fotolum. Salida emergencia dcha abajo</v>
      </c>
      <c r="C324" s="4">
        <f>IFERROR(__xludf.DUMMYFUNCTION("""COMPUTED_VALUE"""),8.601600000000001)</f>
        <v>8.6016</v>
      </c>
    </row>
    <row r="325">
      <c r="A325" s="4" t="str">
        <f>IFERROR(__xludf.DUMMYFUNCTION("""COMPUTED_VALUE"""),"0319CA")</f>
        <v>0319CA</v>
      </c>
      <c r="B325" s="4" t="str">
        <f>IFERROR(__xludf.DUMMYFUNCTION("""COMPUTED_VALUE"""),"Cartel PVC 96x48 Fotolum. Salida emergencia dcha abajo")</f>
        <v>Cartel PVC 96x48 Fotolum. Salida emergencia dcha abajo</v>
      </c>
      <c r="C325" s="4">
        <f>IFERROR(__xludf.DUMMYFUNCTION("""COMPUTED_VALUE"""),8.601600000000001)</f>
        <v>8.6016</v>
      </c>
    </row>
    <row r="326">
      <c r="A326" s="4" t="str">
        <f>IFERROR(__xludf.DUMMYFUNCTION("""COMPUTED_VALUE"""),"320")</f>
        <v>320</v>
      </c>
      <c r="B326" s="4" t="str">
        <f>IFERROR(__xludf.DUMMYFUNCTION("""COMPUTED_VALUE"""),"Cartel PVC 21x30 Fotolum. Salida escalera arriba izq.")</f>
        <v>Cartel PVC 21x30 Fotolum. Salida escalera arriba izq.</v>
      </c>
      <c r="C326" s="4">
        <f>IFERROR(__xludf.DUMMYFUNCTION("""COMPUTED_VALUE"""),2.496)</f>
        <v>2.496</v>
      </c>
    </row>
    <row r="327">
      <c r="A327" s="4" t="str">
        <f>IFERROR(__xludf.DUMMYFUNCTION("""COMPUTED_VALUE"""),"0320A")</f>
        <v>0320A</v>
      </c>
      <c r="B327" s="4" t="str">
        <f>IFERROR(__xludf.DUMMYFUNCTION("""COMPUTED_VALUE"""),"Cartel PVC 32x16 Fotolum. Salida emergencia arriba izq")</f>
        <v>Cartel PVC 32x16 Fotolum. Salida emergencia arriba izq</v>
      </c>
      <c r="C327" s="4">
        <f>IFERROR(__xludf.DUMMYFUNCTION("""COMPUTED_VALUE"""),2.16)</f>
        <v>2.16</v>
      </c>
    </row>
    <row r="328">
      <c r="A328" s="4" t="str">
        <f>IFERROR(__xludf.DUMMYFUNCTION("""COMPUTED_VALUE"""),"0320AA")</f>
        <v>0320AA</v>
      </c>
      <c r="B328" s="4" t="str">
        <f>IFERROR(__xludf.DUMMYFUNCTION("""COMPUTED_VALUE"""),"Cartel PVC 32x16 Fotolum. Salida emergencia arriba izq Minus")</f>
        <v>Cartel PVC 32x16 Fotolum. Salida emergencia arriba izq Minus</v>
      </c>
      <c r="C328" s="4">
        <f>IFERROR(__xludf.DUMMYFUNCTION("""COMPUTED_VALUE"""),2.16)</f>
        <v>2.16</v>
      </c>
    </row>
    <row r="329">
      <c r="A329" s="4" t="str">
        <f>IFERROR(__xludf.DUMMYFUNCTION("""COMPUTED_VALUE"""),"0320B")</f>
        <v>0320B</v>
      </c>
      <c r="B329" s="4" t="str">
        <f>IFERROR(__xludf.DUMMYFUNCTION("""COMPUTED_VALUE"""),"Cartel PVC 64x32 Fotolum. Salida emergencia arriba izq")</f>
        <v>Cartel PVC 64x32 Fotolum. Salida emergencia arriba izq</v>
      </c>
      <c r="C329" s="4">
        <f>IFERROR(__xludf.DUMMYFUNCTION("""COMPUTED_VALUE"""),4.300800000000001)</f>
        <v>4.3008</v>
      </c>
    </row>
    <row r="330">
      <c r="A330" s="4" t="str">
        <f>IFERROR(__xludf.DUMMYFUNCTION("""COMPUTED_VALUE"""),"0320BA")</f>
        <v>0320BA</v>
      </c>
      <c r="B330" s="4" t="str">
        <f>IFERROR(__xludf.DUMMYFUNCTION("""COMPUTED_VALUE"""),"Cartel PVC 64x32 Fotolum. Salida emergencia arriba izq Minus")</f>
        <v>Cartel PVC 64x32 Fotolum. Salida emergencia arriba izq Minus</v>
      </c>
      <c r="C330" s="4">
        <f>IFERROR(__xludf.DUMMYFUNCTION("""COMPUTED_VALUE"""),4.300800000000001)</f>
        <v>4.3008</v>
      </c>
    </row>
    <row r="331">
      <c r="A331" s="4" t="str">
        <f>IFERROR(__xludf.DUMMYFUNCTION("""COMPUTED_VALUE"""),"0320C")</f>
        <v>0320C</v>
      </c>
      <c r="B331" s="4" t="str">
        <f>IFERROR(__xludf.DUMMYFUNCTION("""COMPUTED_VALUE"""),"Cartel PVC 96x48 Fotolum. Salida emergencia arriba izq")</f>
        <v>Cartel PVC 96x48 Fotolum. Salida emergencia arriba izq</v>
      </c>
      <c r="C331" s="4">
        <f>IFERROR(__xludf.DUMMYFUNCTION("""COMPUTED_VALUE"""),8.601600000000001)</f>
        <v>8.6016</v>
      </c>
    </row>
    <row r="332">
      <c r="A332" s="4" t="str">
        <f>IFERROR(__xludf.DUMMYFUNCTION("""COMPUTED_VALUE"""),"0320CA")</f>
        <v>0320CA</v>
      </c>
      <c r="B332" s="4" t="str">
        <f>IFERROR(__xludf.DUMMYFUNCTION("""COMPUTED_VALUE"""),"Cartel PVC 96x48 Fotolum. Salida emergencia arriba izq Minus")</f>
        <v>Cartel PVC 96x48 Fotolum. Salida emergencia arriba izq Minus</v>
      </c>
      <c r="C332" s="4">
        <f>IFERROR(__xludf.DUMMYFUNCTION("""COMPUTED_VALUE"""),8.601600000000001)</f>
        <v>8.6016</v>
      </c>
    </row>
    <row r="333">
      <c r="A333" s="4" t="str">
        <f>IFERROR(__xludf.DUMMYFUNCTION("""COMPUTED_VALUE"""),"321")</f>
        <v>321</v>
      </c>
      <c r="B333" s="4" t="str">
        <f>IFERROR(__xludf.DUMMYFUNCTION("""COMPUTED_VALUE"""),"Cartel PVC 21x30 Fotolum.Salida escalera abajo izq.")</f>
        <v>Cartel PVC 21x30 Fotolum.Salida escalera abajo izq.</v>
      </c>
      <c r="C333" s="4">
        <f>IFERROR(__xludf.DUMMYFUNCTION("""COMPUTED_VALUE"""),2.496)</f>
        <v>2.496</v>
      </c>
    </row>
    <row r="334">
      <c r="A334" s="4" t="str">
        <f>IFERROR(__xludf.DUMMYFUNCTION("""COMPUTED_VALUE"""),"0321A")</f>
        <v>0321A</v>
      </c>
      <c r="B334" s="4" t="str">
        <f>IFERROR(__xludf.DUMMYFUNCTION("""COMPUTED_VALUE"""),"Cartel PVC 32x16 Fotolum. Salida emergencia abajo izq")</f>
        <v>Cartel PVC 32x16 Fotolum. Salida emergencia abajo izq</v>
      </c>
      <c r="C334" s="4">
        <f>IFERROR(__xludf.DUMMYFUNCTION("""COMPUTED_VALUE"""),2.16)</f>
        <v>2.16</v>
      </c>
    </row>
    <row r="335">
      <c r="A335" s="4" t="str">
        <f>IFERROR(__xludf.DUMMYFUNCTION("""COMPUTED_VALUE"""),"0321AA")</f>
        <v>0321AA</v>
      </c>
      <c r="B335" s="4" t="str">
        <f>IFERROR(__xludf.DUMMYFUNCTION("""COMPUTED_VALUE"""),"Cartel PVC 32x16 Fotolum. Salida emergencia abajo izq Minus")</f>
        <v>Cartel PVC 32x16 Fotolum. Salida emergencia abajo izq Minus</v>
      </c>
      <c r="C335" s="4">
        <f>IFERROR(__xludf.DUMMYFUNCTION("""COMPUTED_VALUE"""),2.16)</f>
        <v>2.16</v>
      </c>
    </row>
    <row r="336">
      <c r="A336" s="4" t="str">
        <f>IFERROR(__xludf.DUMMYFUNCTION("""COMPUTED_VALUE"""),"0321B")</f>
        <v>0321B</v>
      </c>
      <c r="B336" s="4" t="str">
        <f>IFERROR(__xludf.DUMMYFUNCTION("""COMPUTED_VALUE"""),"Cartel PVC 64x32 Fotolum. Salida emergencia abajo izq")</f>
        <v>Cartel PVC 64x32 Fotolum. Salida emergencia abajo izq</v>
      </c>
      <c r="C336" s="4">
        <f>IFERROR(__xludf.DUMMYFUNCTION("""COMPUTED_VALUE"""),4.300800000000001)</f>
        <v>4.3008</v>
      </c>
    </row>
    <row r="337">
      <c r="A337" s="4" t="str">
        <f>IFERROR(__xludf.DUMMYFUNCTION("""COMPUTED_VALUE"""),"0321BA")</f>
        <v>0321BA</v>
      </c>
      <c r="B337" s="4" t="str">
        <f>IFERROR(__xludf.DUMMYFUNCTION("""COMPUTED_VALUE"""),"Cartel PVC 64x32 Fotolum. Salida emergencia abajo izq Minus")</f>
        <v>Cartel PVC 64x32 Fotolum. Salida emergencia abajo izq Minus</v>
      </c>
      <c r="C337" s="4">
        <f>IFERROR(__xludf.DUMMYFUNCTION("""COMPUTED_VALUE"""),4.300800000000001)</f>
        <v>4.3008</v>
      </c>
    </row>
    <row r="338">
      <c r="A338" s="4" t="str">
        <f>IFERROR(__xludf.DUMMYFUNCTION("""COMPUTED_VALUE"""),"0321C")</f>
        <v>0321C</v>
      </c>
      <c r="B338" s="4" t="str">
        <f>IFERROR(__xludf.DUMMYFUNCTION("""COMPUTED_VALUE"""),"Cartel PVC 96x48 Fotolum. Salida emergencia abajo izq")</f>
        <v>Cartel PVC 96x48 Fotolum. Salida emergencia abajo izq</v>
      </c>
      <c r="C338" s="4">
        <f>IFERROR(__xludf.DUMMYFUNCTION("""COMPUTED_VALUE"""),8.601600000000001)</f>
        <v>8.6016</v>
      </c>
    </row>
    <row r="339">
      <c r="A339" s="4" t="str">
        <f>IFERROR(__xludf.DUMMYFUNCTION("""COMPUTED_VALUE"""),"0321CA")</f>
        <v>0321CA</v>
      </c>
      <c r="B339" s="4" t="str">
        <f>IFERROR(__xludf.DUMMYFUNCTION("""COMPUTED_VALUE"""),"Cartel PVC 96x48 Fotolum. Salida emergencia abajo izq Minus")</f>
        <v>Cartel PVC 96x48 Fotolum. Salida emergencia abajo izq Minus</v>
      </c>
      <c r="C339" s="4">
        <f>IFERROR(__xludf.DUMMYFUNCTION("""COMPUTED_VALUE"""),8.601600000000001)</f>
        <v>8.6016</v>
      </c>
    </row>
    <row r="340">
      <c r="A340" s="4" t="str">
        <f>IFERROR(__xludf.DUMMYFUNCTION("""COMPUTED_VALUE"""),"322")</f>
        <v>322</v>
      </c>
      <c r="B340" s="4" t="str">
        <f>IFERROR(__xludf.DUMMYFUNCTION("""COMPUTED_VALUE"""),"Cartel PVC 21x30 Fotolum. Salida escalera arriba dcha.")</f>
        <v>Cartel PVC 21x30 Fotolum. Salida escalera arriba dcha.</v>
      </c>
      <c r="C340" s="4">
        <f>IFERROR(__xludf.DUMMYFUNCTION("""COMPUTED_VALUE"""),2.496)</f>
        <v>2.496</v>
      </c>
    </row>
    <row r="341">
      <c r="A341" s="4" t="str">
        <f>IFERROR(__xludf.DUMMYFUNCTION("""COMPUTED_VALUE"""),"0322A")</f>
        <v>0322A</v>
      </c>
      <c r="B341" s="4" t="str">
        <f>IFERROR(__xludf.DUMMYFUNCTION("""COMPUTED_VALUE"""),"Cartel PVC 32x16 Fotolum. Salida emergencia arriba dcha.")</f>
        <v>Cartel PVC 32x16 Fotolum. Salida emergencia arriba dcha.</v>
      </c>
      <c r="C341" s="4">
        <f>IFERROR(__xludf.DUMMYFUNCTION("""COMPUTED_VALUE"""),2.16)</f>
        <v>2.16</v>
      </c>
    </row>
    <row r="342">
      <c r="A342" s="4" t="str">
        <f>IFERROR(__xludf.DUMMYFUNCTION("""COMPUTED_VALUE"""),"0322AA")</f>
        <v>0322AA</v>
      </c>
      <c r="B342" s="4" t="str">
        <f>IFERROR(__xludf.DUMMYFUNCTION("""COMPUTED_VALUE"""),"Cartel PVC 32x16 Fotolum. Salida emergencia arriba dcha.")</f>
        <v>Cartel PVC 32x16 Fotolum. Salida emergencia arriba dcha.</v>
      </c>
      <c r="C342" s="4">
        <f>IFERROR(__xludf.DUMMYFUNCTION("""COMPUTED_VALUE"""),2.16)</f>
        <v>2.16</v>
      </c>
    </row>
    <row r="343">
      <c r="A343" s="4" t="str">
        <f>IFERROR(__xludf.DUMMYFUNCTION("""COMPUTED_VALUE"""),"0322B")</f>
        <v>0322B</v>
      </c>
      <c r="B343" s="4" t="str">
        <f>IFERROR(__xludf.DUMMYFUNCTION("""COMPUTED_VALUE"""),"Cartel PVC 64x32 Fotolum. Salida emergencia arriba dcha.")</f>
        <v>Cartel PVC 64x32 Fotolum. Salida emergencia arriba dcha.</v>
      </c>
      <c r="C343" s="4">
        <f>IFERROR(__xludf.DUMMYFUNCTION("""COMPUTED_VALUE"""),4.300800000000001)</f>
        <v>4.3008</v>
      </c>
    </row>
    <row r="344">
      <c r="A344" s="4" t="str">
        <f>IFERROR(__xludf.DUMMYFUNCTION("""COMPUTED_VALUE"""),"0322BA")</f>
        <v>0322BA</v>
      </c>
      <c r="B344" s="4" t="str">
        <f>IFERROR(__xludf.DUMMYFUNCTION("""COMPUTED_VALUE"""),"Cartel PVC 64x32 Fotolum. Salida emergencia arriba")</f>
        <v>Cartel PVC 64x32 Fotolum. Salida emergencia arriba</v>
      </c>
      <c r="C344" s="4">
        <f>IFERROR(__xludf.DUMMYFUNCTION("""COMPUTED_VALUE"""),4.300800000000001)</f>
        <v>4.3008</v>
      </c>
    </row>
    <row r="345">
      <c r="A345" s="4" t="str">
        <f>IFERROR(__xludf.DUMMYFUNCTION("""COMPUTED_VALUE"""),"0322C")</f>
        <v>0322C</v>
      </c>
      <c r="B345" s="4" t="str">
        <f>IFERROR(__xludf.DUMMYFUNCTION("""COMPUTED_VALUE"""),"Cartel PVC 96x48 Fotolum. Salida emergencia arriba dcha.")</f>
        <v>Cartel PVC 96x48 Fotolum. Salida emergencia arriba dcha.</v>
      </c>
      <c r="C345" s="4">
        <f>IFERROR(__xludf.DUMMYFUNCTION("""COMPUTED_VALUE"""),8.601600000000001)</f>
        <v>8.6016</v>
      </c>
    </row>
    <row r="346">
      <c r="A346" s="4" t="str">
        <f>IFERROR(__xludf.DUMMYFUNCTION("""COMPUTED_VALUE"""),"0322CA")</f>
        <v>0322CA</v>
      </c>
      <c r="B346" s="4" t="str">
        <f>IFERROR(__xludf.DUMMYFUNCTION("""COMPUTED_VALUE"""),"Cartel PVC 96x48 Fotolum. Salida emergencia arriba dcha.")</f>
        <v>Cartel PVC 96x48 Fotolum. Salida emergencia arriba dcha.</v>
      </c>
      <c r="C346" s="4">
        <f>IFERROR(__xludf.DUMMYFUNCTION("""COMPUTED_VALUE"""),8.601600000000001)</f>
        <v>8.6016</v>
      </c>
    </row>
    <row r="347">
      <c r="A347" s="4" t="str">
        <f>IFERROR(__xludf.DUMMYFUNCTION("""COMPUTED_VALUE"""),"323")</f>
        <v>323</v>
      </c>
      <c r="B347" s="4" t="str">
        <f>IFERROR(__xludf.DUMMYFUNCTION("""COMPUTED_VALUE"""),"Cartel PVC 21x30 Fotolum. Salida escalera abajo dcha")</f>
        <v>Cartel PVC 21x30 Fotolum. Salida escalera abajo dcha</v>
      </c>
      <c r="C347" s="4">
        <f>IFERROR(__xludf.DUMMYFUNCTION("""COMPUTED_VALUE"""),2.496)</f>
        <v>2.496</v>
      </c>
    </row>
    <row r="348">
      <c r="A348" s="4" t="str">
        <f>IFERROR(__xludf.DUMMYFUNCTION("""COMPUTED_VALUE"""),"324")</f>
        <v>324</v>
      </c>
      <c r="B348" s="4" t="str">
        <f>IFERROR(__xludf.DUMMYFUNCTION("""COMPUTED_VALUE"""),"Cartel PVC 21x30 Fotolum. Salida puerta dcha")</f>
        <v>Cartel PVC 21x30 Fotolum. Salida puerta dcha</v>
      </c>
      <c r="C348" s="4">
        <f>IFERROR(__xludf.DUMMYFUNCTION("""COMPUTED_VALUE"""),2.496)</f>
        <v>2.496</v>
      </c>
    </row>
    <row r="349">
      <c r="A349" s="4" t="str">
        <f>IFERROR(__xludf.DUMMYFUNCTION("""COMPUTED_VALUE"""),"0324A")</f>
        <v>0324A</v>
      </c>
      <c r="B349" s="4" t="str">
        <f>IFERROR(__xludf.DUMMYFUNCTION("""COMPUTED_VALUE"""),"Cartel PVC 32x16 Fotolum. Salida de emergencia Pta. Derecha")</f>
        <v>Cartel PVC 32x16 Fotolum. Salida de emergencia Pta. Derecha</v>
      </c>
      <c r="C349" s="4">
        <f>IFERROR(__xludf.DUMMYFUNCTION("""COMPUTED_VALUE"""),2.16)</f>
        <v>2.16</v>
      </c>
    </row>
    <row r="350">
      <c r="A350" s="4" t="str">
        <f>IFERROR(__xludf.DUMMYFUNCTION("""COMPUTED_VALUE"""),"0324AA")</f>
        <v>0324AA</v>
      </c>
      <c r="B350" s="4" t="str">
        <f>IFERROR(__xludf.DUMMYFUNCTION("""COMPUTED_VALUE"""),"Cartel PVC 32x16 Fotolum. Salida de emergencia Pta. Derecha")</f>
        <v>Cartel PVC 32x16 Fotolum. Salida de emergencia Pta. Derecha</v>
      </c>
      <c r="C350" s="4">
        <f>IFERROR(__xludf.DUMMYFUNCTION("""COMPUTED_VALUE"""),2.16)</f>
        <v>2.16</v>
      </c>
    </row>
    <row r="351">
      <c r="A351" s="4" t="str">
        <f>IFERROR(__xludf.DUMMYFUNCTION("""COMPUTED_VALUE"""),"0324B")</f>
        <v>0324B</v>
      </c>
      <c r="B351" s="4" t="str">
        <f>IFERROR(__xludf.DUMMYFUNCTION("""COMPUTED_VALUE"""),"Cartel PVC 64x32 Fotolum. Salida de emergencia Pta. Derecha")</f>
        <v>Cartel PVC 64x32 Fotolum. Salida de emergencia Pta. Derecha</v>
      </c>
      <c r="C351" s="4">
        <f>IFERROR(__xludf.DUMMYFUNCTION("""COMPUTED_VALUE"""),4.300800000000001)</f>
        <v>4.3008</v>
      </c>
    </row>
    <row r="352">
      <c r="A352" s="4" t="str">
        <f>IFERROR(__xludf.DUMMYFUNCTION("""COMPUTED_VALUE"""),"0324BA")</f>
        <v>0324BA</v>
      </c>
      <c r="B352" s="4" t="str">
        <f>IFERROR(__xludf.DUMMYFUNCTION("""COMPUTED_VALUE"""),"Cartel PVC 64x32 Fotolum. Salida de emergencia Pta. Derecha")</f>
        <v>Cartel PVC 64x32 Fotolum. Salida de emergencia Pta. Derecha</v>
      </c>
      <c r="C352" s="4">
        <f>IFERROR(__xludf.DUMMYFUNCTION("""COMPUTED_VALUE"""),4.300800000000001)</f>
        <v>4.3008</v>
      </c>
    </row>
    <row r="353">
      <c r="A353" s="4" t="str">
        <f>IFERROR(__xludf.DUMMYFUNCTION("""COMPUTED_VALUE"""),"0324C")</f>
        <v>0324C</v>
      </c>
      <c r="B353" s="4" t="str">
        <f>IFERROR(__xludf.DUMMYFUNCTION("""COMPUTED_VALUE"""),"Cartel PVC 96x48 Fotolum. Salida de emergencia Pta. Derecha")</f>
        <v>Cartel PVC 96x48 Fotolum. Salida de emergencia Pta. Derecha</v>
      </c>
      <c r="C353" s="4">
        <f>IFERROR(__xludf.DUMMYFUNCTION("""COMPUTED_VALUE"""),8.601600000000001)</f>
        <v>8.6016</v>
      </c>
    </row>
    <row r="354">
      <c r="A354" s="4" t="str">
        <f>IFERROR(__xludf.DUMMYFUNCTION("""COMPUTED_VALUE"""),"0324CA")</f>
        <v>0324CA</v>
      </c>
      <c r="B354" s="4" t="str">
        <f>IFERROR(__xludf.DUMMYFUNCTION("""COMPUTED_VALUE"""),"Cartel PVC 96x48 Fotolum. Salida de emergencia Pta. Derecha")</f>
        <v>Cartel PVC 96x48 Fotolum. Salida de emergencia Pta. Derecha</v>
      </c>
      <c r="C354" s="4">
        <f>IFERROR(__xludf.DUMMYFUNCTION("""COMPUTED_VALUE"""),8.601600000000001)</f>
        <v>8.6016</v>
      </c>
    </row>
    <row r="355">
      <c r="A355" s="4" t="str">
        <f>IFERROR(__xludf.DUMMYFUNCTION("""COMPUTED_VALUE"""),"325")</f>
        <v>325</v>
      </c>
      <c r="B355" s="4" t="str">
        <f>IFERROR(__xludf.DUMMYFUNCTION("""COMPUTED_VALUE"""),"Cartel PVC 21x30 Fotolum. Salida puerta izq.")</f>
        <v>Cartel PVC 21x30 Fotolum. Salida puerta izq.</v>
      </c>
      <c r="C355" s="4">
        <f>IFERROR(__xludf.DUMMYFUNCTION("""COMPUTED_VALUE"""),2.496)</f>
        <v>2.496</v>
      </c>
    </row>
    <row r="356">
      <c r="A356" s="4" t="str">
        <f>IFERROR(__xludf.DUMMYFUNCTION("""COMPUTED_VALUE"""),"0325A")</f>
        <v>0325A</v>
      </c>
      <c r="B356" s="4" t="str">
        <f>IFERROR(__xludf.DUMMYFUNCTION("""COMPUTED_VALUE"""),"Cartel PVC 32x16 Fotolum. Salida de emergencia Pta.")</f>
        <v>Cartel PVC 32x16 Fotolum. Salida de emergencia Pta.</v>
      </c>
      <c r="C356" s="4">
        <f>IFERROR(__xludf.DUMMYFUNCTION("""COMPUTED_VALUE"""),2.16)</f>
        <v>2.16</v>
      </c>
    </row>
    <row r="357">
      <c r="A357" s="4" t="str">
        <f>IFERROR(__xludf.DUMMYFUNCTION("""COMPUTED_VALUE"""),"0325AA")</f>
        <v>0325AA</v>
      </c>
      <c r="B357" s="4" t="str">
        <f>IFERROR(__xludf.DUMMYFUNCTION("""COMPUTED_VALUE"""),"Cartel PVC 32x16 Fotolum. Salida de emergencia puerta izq.")</f>
        <v>Cartel PVC 32x16 Fotolum. Salida de emergencia puerta izq.</v>
      </c>
      <c r="C357" s="4">
        <f>IFERROR(__xludf.DUMMYFUNCTION("""COMPUTED_VALUE"""),2.16)</f>
        <v>2.16</v>
      </c>
    </row>
    <row r="358">
      <c r="A358" s="4" t="str">
        <f>IFERROR(__xludf.DUMMYFUNCTION("""COMPUTED_VALUE"""),"0325B")</f>
        <v>0325B</v>
      </c>
      <c r="B358" s="4" t="str">
        <f>IFERROR(__xludf.DUMMYFUNCTION("""COMPUTED_VALUE"""),"Cartel PVC 64x32 Fotolum. Salida de emergencia Pta.")</f>
        <v>Cartel PVC 64x32 Fotolum. Salida de emergencia Pta.</v>
      </c>
      <c r="C358" s="4">
        <f>IFERROR(__xludf.DUMMYFUNCTION("""COMPUTED_VALUE"""),4.300800000000001)</f>
        <v>4.3008</v>
      </c>
    </row>
    <row r="359">
      <c r="A359" s="4" t="str">
        <f>IFERROR(__xludf.DUMMYFUNCTION("""COMPUTED_VALUE"""),"0325BA")</f>
        <v>0325BA</v>
      </c>
      <c r="B359" s="4" t="str">
        <f>IFERROR(__xludf.DUMMYFUNCTION("""COMPUTED_VALUE"""),"Cartel PVC 64x32 Fotolum. Salida de emergencia Pta. Izq.")</f>
        <v>Cartel PVC 64x32 Fotolum. Salida de emergencia Pta. Izq.</v>
      </c>
      <c r="C359" s="4">
        <f>IFERROR(__xludf.DUMMYFUNCTION("""COMPUTED_VALUE"""),4.300800000000001)</f>
        <v>4.3008</v>
      </c>
    </row>
    <row r="360">
      <c r="A360" s="4" t="str">
        <f>IFERROR(__xludf.DUMMYFUNCTION("""COMPUTED_VALUE"""),"0325C")</f>
        <v>0325C</v>
      </c>
      <c r="B360" s="4" t="str">
        <f>IFERROR(__xludf.DUMMYFUNCTION("""COMPUTED_VALUE"""),"Cartel PVC 96x48 Fotolum. Salida de emergencia Pta.")</f>
        <v>Cartel PVC 96x48 Fotolum. Salida de emergencia Pta.</v>
      </c>
      <c r="C360" s="4">
        <f>IFERROR(__xludf.DUMMYFUNCTION("""COMPUTED_VALUE"""),8.601600000000001)</f>
        <v>8.6016</v>
      </c>
    </row>
    <row r="361">
      <c r="A361" s="4" t="str">
        <f>IFERROR(__xludf.DUMMYFUNCTION("""COMPUTED_VALUE"""),"0325CA")</f>
        <v>0325CA</v>
      </c>
      <c r="B361" s="4" t="str">
        <f>IFERROR(__xludf.DUMMYFUNCTION("""COMPUTED_VALUE"""),"Cartel PVC 96x48 Fotolum. Salida de emergencia Pta. Izq")</f>
        <v>Cartel PVC 96x48 Fotolum. Salida de emergencia Pta. Izq</v>
      </c>
      <c r="C361" s="4">
        <f>IFERROR(__xludf.DUMMYFUNCTION("""COMPUTED_VALUE"""),8.601600000000001)</f>
        <v>8.6016</v>
      </c>
    </row>
    <row r="362">
      <c r="A362" s="4" t="str">
        <f>IFERROR(__xludf.DUMMYFUNCTION("""COMPUTED_VALUE"""),"326")</f>
        <v>326</v>
      </c>
      <c r="B362" s="4" t="str">
        <f>IFERROR(__xludf.DUMMYFUNCTION("""COMPUTED_VALUE"""),"Cartel PVC 21x30 Fotolum. Salida puerta abajo izq.")</f>
        <v>Cartel PVC 21x30 Fotolum. Salida puerta abajo izq.</v>
      </c>
      <c r="C362" s="4">
        <f>IFERROR(__xludf.DUMMYFUNCTION("""COMPUTED_VALUE"""),2.496)</f>
        <v>2.496</v>
      </c>
    </row>
    <row r="363">
      <c r="A363" s="4" t="str">
        <f>IFERROR(__xludf.DUMMYFUNCTION("""COMPUTED_VALUE"""),"0326A")</f>
        <v>0326A</v>
      </c>
      <c r="B363" s="4" t="str">
        <f>IFERROR(__xludf.DUMMYFUNCTION("""COMPUTED_VALUE"""),"Cartel PVC 32x16 Fotolum. Salida de emergencia Pta. Abajo")</f>
        <v>Cartel PVC 32x16 Fotolum. Salida de emergencia Pta. Abajo</v>
      </c>
      <c r="C363" s="4">
        <f>IFERROR(__xludf.DUMMYFUNCTION("""COMPUTED_VALUE"""),2.16)</f>
        <v>2.16</v>
      </c>
    </row>
    <row r="364">
      <c r="A364" s="4" t="str">
        <f>IFERROR(__xludf.DUMMYFUNCTION("""COMPUTED_VALUE"""),"0326AA")</f>
        <v>0326AA</v>
      </c>
      <c r="B364" s="4" t="str">
        <f>IFERROR(__xludf.DUMMYFUNCTION("""COMPUTED_VALUE"""),"Cartel PVC 32x16 Fotolum. Salida de emergencia Pta. Abajo")</f>
        <v>Cartel PVC 32x16 Fotolum. Salida de emergencia Pta. Abajo</v>
      </c>
      <c r="C364" s="4">
        <f>IFERROR(__xludf.DUMMYFUNCTION("""COMPUTED_VALUE"""),2.16)</f>
        <v>2.16</v>
      </c>
    </row>
    <row r="365">
      <c r="A365" s="4" t="str">
        <f>IFERROR(__xludf.DUMMYFUNCTION("""COMPUTED_VALUE"""),"0326B")</f>
        <v>0326B</v>
      </c>
      <c r="B365" s="4" t="str">
        <f>IFERROR(__xludf.DUMMYFUNCTION("""COMPUTED_VALUE"""),"Cartel PVC 64x32 Fotolum. Salida de emergencia Pta. Abajo")</f>
        <v>Cartel PVC 64x32 Fotolum. Salida de emergencia Pta. Abajo</v>
      </c>
      <c r="C365" s="4">
        <f>IFERROR(__xludf.DUMMYFUNCTION("""COMPUTED_VALUE"""),4.300800000000001)</f>
        <v>4.3008</v>
      </c>
    </row>
    <row r="366">
      <c r="A366" s="4" t="str">
        <f>IFERROR(__xludf.DUMMYFUNCTION("""COMPUTED_VALUE"""),"0326BA")</f>
        <v>0326BA</v>
      </c>
      <c r="B366" s="4" t="str">
        <f>IFERROR(__xludf.DUMMYFUNCTION("""COMPUTED_VALUE"""),"Cartel PVC 64x32 Fotolum. Salida de emergencia Pta. Abajo")</f>
        <v>Cartel PVC 64x32 Fotolum. Salida de emergencia Pta. Abajo</v>
      </c>
      <c r="C366" s="4">
        <f>IFERROR(__xludf.DUMMYFUNCTION("""COMPUTED_VALUE"""),4.300800000000001)</f>
        <v>4.3008</v>
      </c>
    </row>
    <row r="367">
      <c r="A367" s="4" t="str">
        <f>IFERROR(__xludf.DUMMYFUNCTION("""COMPUTED_VALUE"""),"0326C")</f>
        <v>0326C</v>
      </c>
      <c r="B367" s="4" t="str">
        <f>IFERROR(__xludf.DUMMYFUNCTION("""COMPUTED_VALUE"""),"Cartel PVC 96x48 Fotolum. Salida de emergencia Pta. Abajo")</f>
        <v>Cartel PVC 96x48 Fotolum. Salida de emergencia Pta. Abajo</v>
      </c>
      <c r="C367" s="4">
        <f>IFERROR(__xludf.DUMMYFUNCTION("""COMPUTED_VALUE"""),8.601600000000001)</f>
        <v>8.6016</v>
      </c>
    </row>
    <row r="368">
      <c r="A368" s="4" t="str">
        <f>IFERROR(__xludf.DUMMYFUNCTION("""COMPUTED_VALUE"""),"0326CA")</f>
        <v>0326CA</v>
      </c>
      <c r="B368" s="4" t="str">
        <f>IFERROR(__xludf.DUMMYFUNCTION("""COMPUTED_VALUE"""),"Cartel PVC 96x48 Fotolum. Salida de emergencia Pta. Abajo")</f>
        <v>Cartel PVC 96x48 Fotolum. Salida de emergencia Pta. Abajo</v>
      </c>
      <c r="C368" s="4">
        <f>IFERROR(__xludf.DUMMYFUNCTION("""COMPUTED_VALUE"""),8.601600000000001)</f>
        <v>8.6016</v>
      </c>
    </row>
    <row r="369">
      <c r="A369" s="4" t="str">
        <f>IFERROR(__xludf.DUMMYFUNCTION("""COMPUTED_VALUE"""),"327")</f>
        <v>327</v>
      </c>
      <c r="B369" s="4" t="str">
        <f>IFERROR(__xludf.DUMMYFUNCTION("""COMPUTED_VALUE"""),"Cartel PVC 21x30 Fotolum.puerta abajo dcha")</f>
        <v>Cartel PVC 21x30 Fotolum.puerta abajo dcha</v>
      </c>
      <c r="C369" s="4">
        <f>IFERROR(__xludf.DUMMYFUNCTION("""COMPUTED_VALUE"""),2.496)</f>
        <v>2.496</v>
      </c>
    </row>
    <row r="370">
      <c r="A370" s="4" t="str">
        <f>IFERROR(__xludf.DUMMYFUNCTION("""COMPUTED_VALUE"""),"0327A")</f>
        <v>0327A</v>
      </c>
      <c r="B370" s="4" t="str">
        <f>IFERROR(__xludf.DUMMYFUNCTION("""COMPUTED_VALUE"""),"Cartel PVC 32x16 Fotolum. Salida de emergencia Pta. Abajo")</f>
        <v>Cartel PVC 32x16 Fotolum. Salida de emergencia Pta. Abajo</v>
      </c>
      <c r="C370" s="4">
        <f>IFERROR(__xludf.DUMMYFUNCTION("""COMPUTED_VALUE"""),2.16)</f>
        <v>2.16</v>
      </c>
    </row>
    <row r="371">
      <c r="A371" s="4" t="str">
        <f>IFERROR(__xludf.DUMMYFUNCTION("""COMPUTED_VALUE"""),"0327AA")</f>
        <v>0327AA</v>
      </c>
      <c r="B371" s="4" t="str">
        <f>IFERROR(__xludf.DUMMYFUNCTION("""COMPUTED_VALUE"""),"Cartel PVC 32x16 Fotolum. Salida de emergencia Pta. Abajo")</f>
        <v>Cartel PVC 32x16 Fotolum. Salida de emergencia Pta. Abajo</v>
      </c>
      <c r="C371" s="4">
        <f>IFERROR(__xludf.DUMMYFUNCTION("""COMPUTED_VALUE"""),2.16)</f>
        <v>2.16</v>
      </c>
    </row>
    <row r="372">
      <c r="A372" s="4" t="str">
        <f>IFERROR(__xludf.DUMMYFUNCTION("""COMPUTED_VALUE"""),"0327B")</f>
        <v>0327B</v>
      </c>
      <c r="B372" s="4" t="str">
        <f>IFERROR(__xludf.DUMMYFUNCTION("""COMPUTED_VALUE"""),"Cartel PVC 64x32 Fotolum. Salida de emergencia Pta. Abajo")</f>
        <v>Cartel PVC 64x32 Fotolum. Salida de emergencia Pta. Abajo</v>
      </c>
      <c r="C372" s="4">
        <f>IFERROR(__xludf.DUMMYFUNCTION("""COMPUTED_VALUE"""),4.300800000000001)</f>
        <v>4.3008</v>
      </c>
    </row>
    <row r="373">
      <c r="A373" s="4" t="str">
        <f>IFERROR(__xludf.DUMMYFUNCTION("""COMPUTED_VALUE"""),"0327BA")</f>
        <v>0327BA</v>
      </c>
      <c r="B373" s="4" t="str">
        <f>IFERROR(__xludf.DUMMYFUNCTION("""COMPUTED_VALUE"""),"Cartel PVC 64x32 Fotolum. Salida de emergencia Pta. Abajo")</f>
        <v>Cartel PVC 64x32 Fotolum. Salida de emergencia Pta. Abajo</v>
      </c>
      <c r="C373" s="4">
        <f>IFERROR(__xludf.DUMMYFUNCTION("""COMPUTED_VALUE"""),4.300800000000001)</f>
        <v>4.3008</v>
      </c>
    </row>
    <row r="374">
      <c r="A374" s="4" t="str">
        <f>IFERROR(__xludf.DUMMYFUNCTION("""COMPUTED_VALUE"""),"0327C")</f>
        <v>0327C</v>
      </c>
      <c r="B374" s="4" t="str">
        <f>IFERROR(__xludf.DUMMYFUNCTION("""COMPUTED_VALUE"""),"Cartel PVC 96x48 Fotolum. Salida de emergencia Pta. Abajo")</f>
        <v>Cartel PVC 96x48 Fotolum. Salida de emergencia Pta. Abajo</v>
      </c>
      <c r="C374" s="4">
        <f>IFERROR(__xludf.DUMMYFUNCTION("""COMPUTED_VALUE"""),8.601600000000001)</f>
        <v>8.6016</v>
      </c>
    </row>
    <row r="375">
      <c r="A375" s="4" t="str">
        <f>IFERROR(__xludf.DUMMYFUNCTION("""COMPUTED_VALUE"""),"0327CA")</f>
        <v>0327CA</v>
      </c>
      <c r="B375" s="4" t="str">
        <f>IFERROR(__xludf.DUMMYFUNCTION("""COMPUTED_VALUE"""),"Cartel PVC 96x48 Fotolum. Salida de emergencia Pta. Abajo")</f>
        <v>Cartel PVC 96x48 Fotolum. Salida de emergencia Pta. Abajo</v>
      </c>
      <c r="C375" s="4">
        <f>IFERROR(__xludf.DUMMYFUNCTION("""COMPUTED_VALUE"""),8.601600000000001)</f>
        <v>8.6016</v>
      </c>
    </row>
    <row r="376">
      <c r="A376" s="4" t="str">
        <f>IFERROR(__xludf.DUMMYFUNCTION("""COMPUTED_VALUE"""),"328")</f>
        <v>328</v>
      </c>
      <c r="B376" s="4" t="str">
        <f>IFERROR(__xludf.DUMMYFUNCTION("""COMPUTED_VALUE"""),"Cartel PVC 21x30 Fotolum. Aseos hombres")</f>
        <v>Cartel PVC 21x30 Fotolum. Aseos hombres</v>
      </c>
      <c r="C376" s="4">
        <f>IFERROR(__xludf.DUMMYFUNCTION("""COMPUTED_VALUE"""),2.496)</f>
        <v>2.496</v>
      </c>
    </row>
    <row r="377">
      <c r="A377" s="4" t="str">
        <f>IFERROR(__xludf.DUMMYFUNCTION("""COMPUTED_VALUE"""),"0328A")</f>
        <v>0328A</v>
      </c>
      <c r="B377" s="4" t="str">
        <f>IFERROR(__xludf.DUMMYFUNCTION("""COMPUTED_VALUE"""),"Cartel PVC 21x30 Fotolum. Aseos masculino")</f>
        <v>Cartel PVC 21x30 Fotolum. Aseos masculino</v>
      </c>
      <c r="C377" s="4">
        <f>IFERROR(__xludf.DUMMYFUNCTION("""COMPUTED_VALUE"""),2.4192)</f>
        <v>2.4192</v>
      </c>
    </row>
    <row r="378">
      <c r="A378" s="4" t="str">
        <f>IFERROR(__xludf.DUMMYFUNCTION("""COMPUTED_VALUE"""),"0328B")</f>
        <v>0328B</v>
      </c>
      <c r="B378" s="4" t="str">
        <f>IFERROR(__xludf.DUMMYFUNCTION("""COMPUTED_VALUE"""),"Cartel PVC 40x30 Fotolum. Aseos Masculino")</f>
        <v>Cartel PVC 40x30 Fotolum. Aseos Masculino</v>
      </c>
      <c r="C378" s="4">
        <f>IFERROR(__xludf.DUMMYFUNCTION("""COMPUTED_VALUE"""),2.976)</f>
        <v>2.976</v>
      </c>
    </row>
    <row r="379">
      <c r="A379" s="4" t="str">
        <f>IFERROR(__xludf.DUMMYFUNCTION("""COMPUTED_VALUE"""),"329")</f>
        <v>329</v>
      </c>
      <c r="B379" s="4" t="str">
        <f>IFERROR(__xludf.DUMMYFUNCTION("""COMPUTED_VALUE"""),"Cartel PVC 21x30 Fotolum. Aseos mujeres")</f>
        <v>Cartel PVC 21x30 Fotolum. Aseos mujeres</v>
      </c>
      <c r="C379" s="4">
        <f>IFERROR(__xludf.DUMMYFUNCTION("""COMPUTED_VALUE"""),2.496)</f>
        <v>2.496</v>
      </c>
    </row>
    <row r="380">
      <c r="A380" s="4" t="str">
        <f>IFERROR(__xludf.DUMMYFUNCTION("""COMPUTED_VALUE"""),"0329A")</f>
        <v>0329A</v>
      </c>
      <c r="B380" s="4" t="str">
        <f>IFERROR(__xludf.DUMMYFUNCTION("""COMPUTED_VALUE"""),"Cartel PVC 21x30 Fotolum. Aseos femenino")</f>
        <v>Cartel PVC 21x30 Fotolum. Aseos femenino</v>
      </c>
      <c r="C380" s="4">
        <f>IFERROR(__xludf.DUMMYFUNCTION("""COMPUTED_VALUE"""),2.4192)</f>
        <v>2.4192</v>
      </c>
    </row>
    <row r="381">
      <c r="A381" s="4" t="str">
        <f>IFERROR(__xludf.DUMMYFUNCTION("""COMPUTED_VALUE"""),"0329B")</f>
        <v>0329B</v>
      </c>
      <c r="B381" s="4" t="str">
        <f>IFERROR(__xludf.DUMMYFUNCTION("""COMPUTED_VALUE"""),"Cartel PVC 40x30 Fotolum. Aseos femenino")</f>
        <v>Cartel PVC 40x30 Fotolum. Aseos femenino</v>
      </c>
      <c r="C381" s="4">
        <f>IFERROR(__xludf.DUMMYFUNCTION("""COMPUTED_VALUE"""),2.976)</f>
        <v>2.976</v>
      </c>
    </row>
    <row r="382">
      <c r="A382" s="4" t="str">
        <f>IFERROR(__xludf.DUMMYFUNCTION("""COMPUTED_VALUE"""),"330")</f>
        <v>330</v>
      </c>
      <c r="B382" s="4" t="str">
        <f>IFERROR(__xludf.DUMMYFUNCTION("""COMPUTED_VALUE"""),"Cartel PVC 21x30 Fotolum. Mujeres/Hombres")</f>
        <v>Cartel PVC 21x30 Fotolum. Mujeres/Hombres</v>
      </c>
      <c r="C382" s="4">
        <f>IFERROR(__xludf.DUMMYFUNCTION("""COMPUTED_VALUE"""),2.496)</f>
        <v>2.496</v>
      </c>
    </row>
    <row r="383">
      <c r="A383" s="4" t="str">
        <f>IFERROR(__xludf.DUMMYFUNCTION("""COMPUTED_VALUE"""),"0330A")</f>
        <v>0330A</v>
      </c>
      <c r="B383" s="4" t="str">
        <f>IFERROR(__xludf.DUMMYFUNCTION("""COMPUTED_VALUE"""),"Cartel PVC 21x30 Fotolum. Aseos mixtos")</f>
        <v>Cartel PVC 21x30 Fotolum. Aseos mixtos</v>
      </c>
      <c r="C383" s="4">
        <f>IFERROR(__xludf.DUMMYFUNCTION("""COMPUTED_VALUE"""),2.4192)</f>
        <v>2.4192</v>
      </c>
    </row>
    <row r="384">
      <c r="A384" s="4" t="str">
        <f>IFERROR(__xludf.DUMMYFUNCTION("""COMPUTED_VALUE"""),"0330B")</f>
        <v>0330B</v>
      </c>
      <c r="B384" s="4" t="str">
        <f>IFERROR(__xludf.DUMMYFUNCTION("""COMPUTED_VALUE"""),"Cartel PVC 40x30 Fotolum. Aseos mixtos")</f>
        <v>Cartel PVC 40x30 Fotolum. Aseos mixtos</v>
      </c>
      <c r="C384" s="4">
        <f>IFERROR(__xludf.DUMMYFUNCTION("""COMPUTED_VALUE"""),2.976)</f>
        <v>2.976</v>
      </c>
    </row>
    <row r="385">
      <c r="A385" s="4" t="str">
        <f>IFERROR(__xludf.DUMMYFUNCTION("""COMPUTED_VALUE"""),"331")</f>
        <v>331</v>
      </c>
      <c r="B385" s="4" t="str">
        <f>IFERROR(__xludf.DUMMYFUNCTION("""COMPUTED_VALUE"""),"Cartel PVC 21x29 Fotolum. HIDRANTE")</f>
        <v>Cartel PVC 21x29 Fotolum. HIDRANTE</v>
      </c>
      <c r="C385" s="4">
        <f>IFERROR(__xludf.DUMMYFUNCTION("""COMPUTED_VALUE"""),2.496)</f>
        <v>2.496</v>
      </c>
    </row>
    <row r="386">
      <c r="A386" s="4" t="str">
        <f>IFERROR(__xludf.DUMMYFUNCTION("""COMPUTED_VALUE"""),"332")</f>
        <v>332</v>
      </c>
      <c r="B386" s="4" t="str">
        <f>IFERROR(__xludf.DUMMYFUNCTION("""COMPUTED_VALUE"""),"Cartel PVC 21x30 Fotolum. Salida Emerg. puerta dcha")</f>
        <v>Cartel PVC 21x30 Fotolum. Salida Emerg. puerta dcha</v>
      </c>
      <c r="C386" s="4">
        <f>IFERROR(__xludf.DUMMYFUNCTION("""COMPUTED_VALUE"""),2.496)</f>
        <v>2.496</v>
      </c>
    </row>
    <row r="387">
      <c r="A387" s="4" t="str">
        <f>IFERROR(__xludf.DUMMYFUNCTION("""COMPUTED_VALUE"""),"333")</f>
        <v>333</v>
      </c>
      <c r="B387" s="4" t="str">
        <f>IFERROR(__xludf.DUMMYFUNCTION("""COMPUTED_VALUE"""),"Cartel PVC 21x30 Fotolum. Salida Emerg. puerta abajo dcha.")</f>
        <v>Cartel PVC 21x30 Fotolum. Salida Emerg. puerta abajo dcha.</v>
      </c>
      <c r="C387" s="4">
        <f>IFERROR(__xludf.DUMMYFUNCTION("""COMPUTED_VALUE"""),2.496)</f>
        <v>2.496</v>
      </c>
    </row>
    <row r="388">
      <c r="A388" s="4" t="str">
        <f>IFERROR(__xludf.DUMMYFUNCTION("""COMPUTED_VALUE"""),"334")</f>
        <v>334</v>
      </c>
      <c r="B388" s="4" t="str">
        <f>IFERROR(__xludf.DUMMYFUNCTION("""COMPUTED_VALUE"""),"Cartel PVC 21x30 Fotolum. Salida Emerg. puerta izq.")</f>
        <v>Cartel PVC 21x30 Fotolum. Salida Emerg. puerta izq.</v>
      </c>
      <c r="C388" s="4">
        <f>IFERROR(__xludf.DUMMYFUNCTION("""COMPUTED_VALUE"""),2.496)</f>
        <v>2.496</v>
      </c>
    </row>
    <row r="389">
      <c r="A389" s="4" t="str">
        <f>IFERROR(__xludf.DUMMYFUNCTION("""COMPUTED_VALUE"""),"335")</f>
        <v>335</v>
      </c>
      <c r="B389" s="4" t="str">
        <f>IFERROR(__xludf.DUMMYFUNCTION("""COMPUTED_VALUE"""),"Cartel PVC 21x30 Fotolum. Salida Emerg. puerta abajo izq.")</f>
        <v>Cartel PVC 21x30 Fotolum. Salida Emerg. puerta abajo izq.</v>
      </c>
      <c r="C389" s="4">
        <f>IFERROR(__xludf.DUMMYFUNCTION("""COMPUTED_VALUE"""),2.496)</f>
        <v>2.496</v>
      </c>
    </row>
    <row r="390">
      <c r="A390" s="4" t="str">
        <f>IFERROR(__xludf.DUMMYFUNCTION("""COMPUTED_VALUE"""),"336")</f>
        <v>336</v>
      </c>
      <c r="B390" s="4" t="str">
        <f>IFERROR(__xludf.DUMMYFUNCTION("""COMPUTED_VALUE"""),"Cartel PVC 21x30 Fotolum. Salida Emerg. escalera abajo izq.")</f>
        <v>Cartel PVC 21x30 Fotolum. Salida Emerg. escalera abajo izq.</v>
      </c>
      <c r="C390" s="4">
        <f>IFERROR(__xludf.DUMMYFUNCTION("""COMPUTED_VALUE"""),2.496)</f>
        <v>2.496</v>
      </c>
    </row>
    <row r="391">
      <c r="A391" s="4" t="str">
        <f>IFERROR(__xludf.DUMMYFUNCTION("""COMPUTED_VALUE"""),"0336A")</f>
        <v>0336A</v>
      </c>
      <c r="B391" s="4" t="str">
        <f>IFERROR(__xludf.DUMMYFUNCTION("""COMPUTED_VALUE"""),"Cartel PVC 32x16 Fotolum. Escal. de emergencia izq abajo")</f>
        <v>Cartel PVC 32x16 Fotolum. Escal. de emergencia izq abajo</v>
      </c>
      <c r="C391" s="4">
        <f>IFERROR(__xludf.DUMMYFUNCTION("""COMPUTED_VALUE"""),2.16)</f>
        <v>2.16</v>
      </c>
    </row>
    <row r="392">
      <c r="A392" s="4" t="str">
        <f>IFERROR(__xludf.DUMMYFUNCTION("""COMPUTED_VALUE"""),"0336B")</f>
        <v>0336B</v>
      </c>
      <c r="B392" s="4" t="str">
        <f>IFERROR(__xludf.DUMMYFUNCTION("""COMPUTED_VALUE"""),"Cartel PVC 64x32 Fotolum. Escal. de emergencia izq abajo")</f>
        <v>Cartel PVC 64x32 Fotolum. Escal. de emergencia izq abajo</v>
      </c>
      <c r="C392" s="4">
        <f>IFERROR(__xludf.DUMMYFUNCTION("""COMPUTED_VALUE"""),4.300800000000001)</f>
        <v>4.3008</v>
      </c>
    </row>
    <row r="393">
      <c r="A393" s="4" t="str">
        <f>IFERROR(__xludf.DUMMYFUNCTION("""COMPUTED_VALUE"""),"337")</f>
        <v>337</v>
      </c>
      <c r="B393" s="4" t="str">
        <f>IFERROR(__xludf.DUMMYFUNCTION("""COMPUTED_VALUE"""),"Cartel PVC 21x30 Fotolum. Salida Emerg.escalera arriba dcha.")</f>
        <v>Cartel PVC 21x30 Fotolum. Salida Emerg.escalera arriba dcha.</v>
      </c>
      <c r="C393" s="4">
        <f>IFERROR(__xludf.DUMMYFUNCTION("""COMPUTED_VALUE"""),2.496)</f>
        <v>2.496</v>
      </c>
    </row>
    <row r="394">
      <c r="A394" s="4" t="str">
        <f>IFERROR(__xludf.DUMMYFUNCTION("""COMPUTED_VALUE"""),"0337A")</f>
        <v>0337A</v>
      </c>
      <c r="B394" s="4" t="str">
        <f>IFERROR(__xludf.DUMMYFUNCTION("""COMPUTED_VALUE"""),"Cartel PVC 32x16 Fotolum. Escal. de emergencia dcha arriba")</f>
        <v>Cartel PVC 32x16 Fotolum. Escal. de emergencia dcha arriba</v>
      </c>
      <c r="C394" s="4">
        <f>IFERROR(__xludf.DUMMYFUNCTION("""COMPUTED_VALUE"""),2.16)</f>
        <v>2.16</v>
      </c>
    </row>
    <row r="395">
      <c r="A395" s="4" t="str">
        <f>IFERROR(__xludf.DUMMYFUNCTION("""COMPUTED_VALUE"""),"0337B")</f>
        <v>0337B</v>
      </c>
      <c r="B395" s="4" t="str">
        <f>IFERROR(__xludf.DUMMYFUNCTION("""COMPUTED_VALUE"""),"Cartel PVC 64x32 Fotolum. Escal. de emergencia dcha arriba")</f>
        <v>Cartel PVC 64x32 Fotolum. Escal. de emergencia dcha arriba</v>
      </c>
      <c r="C395" s="4">
        <f>IFERROR(__xludf.DUMMYFUNCTION("""COMPUTED_VALUE"""),4.300800000000001)</f>
        <v>4.3008</v>
      </c>
    </row>
    <row r="396">
      <c r="A396" s="4" t="str">
        <f>IFERROR(__xludf.DUMMYFUNCTION("""COMPUTED_VALUE"""),"0337C")</f>
        <v>0337C</v>
      </c>
      <c r="B396" s="4" t="str">
        <f>IFERROR(__xludf.DUMMYFUNCTION("""COMPUTED_VALUE"""),"Cartel PVC 96x48 Fotolum. Escal. de emergencia dcha arriba")</f>
        <v>Cartel PVC 96x48 Fotolum. Escal. de emergencia dcha arriba</v>
      </c>
      <c r="C396" s="4">
        <f>IFERROR(__xludf.DUMMYFUNCTION("""COMPUTED_VALUE"""),8.601600000000001)</f>
        <v>8.6016</v>
      </c>
    </row>
    <row r="397">
      <c r="A397" s="4" t="str">
        <f>IFERROR(__xludf.DUMMYFUNCTION("""COMPUTED_VALUE"""),"338")</f>
        <v>338</v>
      </c>
      <c r="B397" s="4" t="str">
        <f>IFERROR(__xludf.DUMMYFUNCTION("""COMPUTED_VALUE"""),"Cartel PVC 21x30 Fotolum. Salida Emerg. escalera abajo dcha")</f>
        <v>Cartel PVC 21x30 Fotolum. Salida Emerg. escalera abajo dcha</v>
      </c>
      <c r="C397" s="4">
        <f>IFERROR(__xludf.DUMMYFUNCTION("""COMPUTED_VALUE"""),2.496)</f>
        <v>2.496</v>
      </c>
    </row>
    <row r="398">
      <c r="A398" s="4" t="str">
        <f>IFERROR(__xludf.DUMMYFUNCTION("""COMPUTED_VALUE"""),"0338A")</f>
        <v>0338A</v>
      </c>
      <c r="B398" s="4" t="str">
        <f>IFERROR(__xludf.DUMMYFUNCTION("""COMPUTED_VALUE"""),"Cartel PVC 32x16 Fotolum. Escal. de emergencia dcha abajo")</f>
        <v>Cartel PVC 32x16 Fotolum. Escal. de emergencia dcha abajo</v>
      </c>
      <c r="C398" s="4">
        <f>IFERROR(__xludf.DUMMYFUNCTION("""COMPUTED_VALUE"""),2.16)</f>
        <v>2.16</v>
      </c>
    </row>
    <row r="399">
      <c r="A399" s="4" t="str">
        <f>IFERROR(__xludf.DUMMYFUNCTION("""COMPUTED_VALUE"""),"0338B")</f>
        <v>0338B</v>
      </c>
      <c r="B399" s="4" t="str">
        <f>IFERROR(__xludf.DUMMYFUNCTION("""COMPUTED_VALUE"""),"Cartel PVC 64x32 Fotolum. Escal. de emergencia dcha abajo")</f>
        <v>Cartel PVC 64x32 Fotolum. Escal. de emergencia dcha abajo</v>
      </c>
      <c r="C399" s="4">
        <f>IFERROR(__xludf.DUMMYFUNCTION("""COMPUTED_VALUE"""),4.300800000000001)</f>
        <v>4.3008</v>
      </c>
    </row>
    <row r="400">
      <c r="A400" s="4" t="str">
        <f>IFERROR(__xludf.DUMMYFUNCTION("""COMPUTED_VALUE"""),"339")</f>
        <v>339</v>
      </c>
      <c r="B400" s="4" t="str">
        <f>IFERROR(__xludf.DUMMYFUNCTION("""COMPUTED_VALUE"""),"Cartel PVC 21x30 Fotolum. Salida Emerg. escalera arriba izq.")</f>
        <v>Cartel PVC 21x30 Fotolum. Salida Emerg. escalera arriba izq.</v>
      </c>
      <c r="C400" s="4">
        <f>IFERROR(__xludf.DUMMYFUNCTION("""COMPUTED_VALUE"""),2.496)</f>
        <v>2.496</v>
      </c>
    </row>
    <row r="401">
      <c r="A401" s="4" t="str">
        <f>IFERROR(__xludf.DUMMYFUNCTION("""COMPUTED_VALUE"""),"0339A")</f>
        <v>0339A</v>
      </c>
      <c r="B401" s="4" t="str">
        <f>IFERROR(__xludf.DUMMYFUNCTION("""COMPUTED_VALUE"""),"Cartel PVC 32x16 Fotolum. Escal. de emergencia izq arriba")</f>
        <v>Cartel PVC 32x16 Fotolum. Escal. de emergencia izq arriba</v>
      </c>
      <c r="C401" s="4">
        <f>IFERROR(__xludf.DUMMYFUNCTION("""COMPUTED_VALUE"""),2.16)</f>
        <v>2.16</v>
      </c>
    </row>
    <row r="402">
      <c r="A402" s="4" t="str">
        <f>IFERROR(__xludf.DUMMYFUNCTION("""COMPUTED_VALUE"""),"0339B")</f>
        <v>0339B</v>
      </c>
      <c r="B402" s="4" t="str">
        <f>IFERROR(__xludf.DUMMYFUNCTION("""COMPUTED_VALUE"""),"Cartel PVC 64x32 Fotolum. Escal. de emergencia izq arriba")</f>
        <v>Cartel PVC 64x32 Fotolum. Escal. de emergencia izq arriba</v>
      </c>
      <c r="C402" s="4">
        <f>IFERROR(__xludf.DUMMYFUNCTION("""COMPUTED_VALUE"""),4.300800000000001)</f>
        <v>4.3008</v>
      </c>
    </row>
    <row r="403">
      <c r="A403" s="4" t="str">
        <f>IFERROR(__xludf.DUMMYFUNCTION("""COMPUTED_VALUE"""),"0339C")</f>
        <v>0339C</v>
      </c>
      <c r="B403" s="4" t="str">
        <f>IFERROR(__xludf.DUMMYFUNCTION("""COMPUTED_VALUE"""),"Cartel PVC 96x48 Fotolum. Escal. de emergencia izq arriba")</f>
        <v>Cartel PVC 96x48 Fotolum. Escal. de emergencia izq arriba</v>
      </c>
      <c r="C403" s="4">
        <f>IFERROR(__xludf.DUMMYFUNCTION("""COMPUTED_VALUE"""),8.601600000000001)</f>
        <v>8.6016</v>
      </c>
    </row>
    <row r="404">
      <c r="A404" s="4" t="str">
        <f>IFERROR(__xludf.DUMMYFUNCTION("""COMPUTED_VALUE"""),"340")</f>
        <v>340</v>
      </c>
      <c r="B404" s="4" t="str">
        <f>IFERROR(__xludf.DUMMYFUNCTION("""COMPUTED_VALUE"""),"Cartel PVC 40x30 Fotolum. SALIDA")</f>
        <v>Cartel PVC 40x30 Fotolum. SALIDA</v>
      </c>
      <c r="C404" s="4">
        <f>IFERROR(__xludf.DUMMYFUNCTION("""COMPUTED_VALUE"""),3.2159999999999997)</f>
        <v>3.216</v>
      </c>
    </row>
    <row r="405">
      <c r="A405" s="4" t="str">
        <f>IFERROR(__xludf.DUMMYFUNCTION("""COMPUTED_VALUE"""),"342")</f>
        <v>342</v>
      </c>
      <c r="B405" s="4" t="str">
        <f>IFERROR(__xludf.DUMMYFUNCTION("""COMPUTED_VALUE"""),"Cartel PVC 40x60 Riesgo de Incendio")</f>
        <v>Cartel PVC 40x60 Riesgo de Incendio</v>
      </c>
      <c r="C405" s="4">
        <f>IFERROR(__xludf.DUMMYFUNCTION("""COMPUTED_VALUE"""),4.56)</f>
        <v>4.56</v>
      </c>
    </row>
    <row r="406">
      <c r="A406" s="4" t="str">
        <f>IFERROR(__xludf.DUMMYFUNCTION("""COMPUTED_VALUE"""),"343")</f>
        <v>343</v>
      </c>
      <c r="B406" s="4" t="str">
        <f>IFERROR(__xludf.DUMMYFUNCTION("""COMPUTED_VALUE"""),"Cartel PVC 21x30 Fotolum. Extintor")</f>
        <v>Cartel PVC 21x30 Fotolum. Extintor</v>
      </c>
      <c r="C406" s="4">
        <f>IFERROR(__xludf.DUMMYFUNCTION("""COMPUTED_VALUE"""),2.496)</f>
        <v>2.496</v>
      </c>
    </row>
    <row r="407">
      <c r="A407" s="4" t="str">
        <f>IFERROR(__xludf.DUMMYFUNCTION("""COMPUTED_VALUE"""),"0343A")</f>
        <v>0343A</v>
      </c>
      <c r="B407" s="4" t="str">
        <f>IFERROR(__xludf.DUMMYFUNCTION("""COMPUTED_VALUE"""),"Cartel PVC 21x30 Fotolum. Extintor")</f>
        <v>Cartel PVC 21x30 Fotolum. Extintor</v>
      </c>
      <c r="C407" s="4">
        <f>IFERROR(__xludf.DUMMYFUNCTION("""COMPUTED_VALUE"""),2.4192)</f>
        <v>2.4192</v>
      </c>
    </row>
    <row r="408">
      <c r="A408" s="4" t="str">
        <f>IFERROR(__xludf.DUMMYFUNCTION("""COMPUTED_VALUE"""),"0343B")</f>
        <v>0343B</v>
      </c>
      <c r="B408" s="4" t="str">
        <f>IFERROR(__xludf.DUMMYFUNCTION("""COMPUTED_VALUE"""),"Cartel PVC 40x30 Fotolum. Extintor")</f>
        <v>Cartel PVC 40x30 Fotolum. Extintor</v>
      </c>
      <c r="C408" s="4">
        <f>IFERROR(__xludf.DUMMYFUNCTION("""COMPUTED_VALUE"""),2.976)</f>
        <v>2.976</v>
      </c>
    </row>
    <row r="409">
      <c r="A409" s="4" t="str">
        <f>IFERROR(__xludf.DUMMYFUNCTION("""COMPUTED_VALUE"""),"0343CO")</f>
        <v>0343CO</v>
      </c>
      <c r="B409" s="4" t="str">
        <f>IFERROR(__xludf.DUMMYFUNCTION("""COMPUTED_VALUE"""),"Cartel PVC 21x30 Fotolum. Extintor Co2")</f>
        <v>Cartel PVC 21x30 Fotolum. Extintor Co2</v>
      </c>
      <c r="C409" s="4">
        <f>IFERROR(__xludf.DUMMYFUNCTION("""COMPUTED_VALUE"""),2.496)</f>
        <v>2.496</v>
      </c>
    </row>
    <row r="410">
      <c r="A410" s="4" t="str">
        <f>IFERROR(__xludf.DUMMYFUNCTION("""COMPUTED_VALUE"""),"344")</f>
        <v>344</v>
      </c>
      <c r="B410" s="4" t="str">
        <f>IFERROR(__xludf.DUMMYFUNCTION("""COMPUTED_VALUE"""),"Cartel PVC 21x30 Fotolum. Salida")</f>
        <v>Cartel PVC 21x30 Fotolum. Salida</v>
      </c>
      <c r="C410" s="4">
        <f>IFERROR(__xludf.DUMMYFUNCTION("""COMPUTED_VALUE"""),2.496)</f>
        <v>2.496</v>
      </c>
    </row>
    <row r="411">
      <c r="A411" s="4" t="str">
        <f>IFERROR(__xludf.DUMMYFUNCTION("""COMPUTED_VALUE"""),"0344A")</f>
        <v>0344A</v>
      </c>
      <c r="B411" s="4" t="str">
        <f>IFERROR(__xludf.DUMMYFUNCTION("""COMPUTED_VALUE"""),"Cartel PVC 32x16 Fotolum. Salida")</f>
        <v>Cartel PVC 32x16 Fotolum. Salida</v>
      </c>
      <c r="C411" s="4">
        <f>IFERROR(__xludf.DUMMYFUNCTION("""COMPUTED_VALUE"""),2.16)</f>
        <v>2.16</v>
      </c>
    </row>
    <row r="412">
      <c r="A412" s="4" t="str">
        <f>IFERROR(__xludf.DUMMYFUNCTION("""COMPUTED_VALUE"""),"0344B")</f>
        <v>0344B</v>
      </c>
      <c r="B412" s="4" t="str">
        <f>IFERROR(__xludf.DUMMYFUNCTION("""COMPUTED_VALUE"""),"Cartel PVC 64x32 Fotolum. Salida")</f>
        <v>Cartel PVC 64x32 Fotolum. Salida</v>
      </c>
      <c r="C412" s="4">
        <f>IFERROR(__xludf.DUMMYFUNCTION("""COMPUTED_VALUE"""),4.300800000000001)</f>
        <v>4.3008</v>
      </c>
    </row>
    <row r="413">
      <c r="A413" s="4" t="str">
        <f>IFERROR(__xludf.DUMMYFUNCTION("""COMPUTED_VALUE"""),"345")</f>
        <v>345</v>
      </c>
      <c r="B413" s="4" t="str">
        <f>IFERROR(__xludf.DUMMYFUNCTION("""COMPUTED_VALUE"""),"Señal PVC 21x29 Fotolum. avisador sonoro")</f>
        <v>Señal PVC 21x29 Fotolum. avisador sonoro</v>
      </c>
      <c r="C413" s="4">
        <f>IFERROR(__xludf.DUMMYFUNCTION("""COMPUTED_VALUE"""),2.496)</f>
        <v>2.496</v>
      </c>
    </row>
    <row r="414">
      <c r="A414" s="4" t="str">
        <f>IFERROR(__xludf.DUMMYFUNCTION("""COMPUTED_VALUE"""),"346")</f>
        <v>346</v>
      </c>
      <c r="B414" s="4" t="str">
        <f>IFERROR(__xludf.DUMMYFUNCTION("""COMPUTED_VALUE"""),"Cartel PVC 21x30 Fotolum. Extintor dcha")</f>
        <v>Cartel PVC 21x30 Fotolum. Extintor dcha</v>
      </c>
      <c r="C414" s="4">
        <f>IFERROR(__xludf.DUMMYFUNCTION("""COMPUTED_VALUE"""),2.496)</f>
        <v>2.496</v>
      </c>
    </row>
    <row r="415">
      <c r="A415" s="4" t="str">
        <f>IFERROR(__xludf.DUMMYFUNCTION("""COMPUTED_VALUE"""),"0346A")</f>
        <v>0346A</v>
      </c>
      <c r="B415" s="4" t="str">
        <f>IFERROR(__xludf.DUMMYFUNCTION("""COMPUTED_VALUE"""),"Cartel PVC 32x16 Fotolum. Extintor derecha")</f>
        <v>Cartel PVC 32x16 Fotolum. Extintor derecha</v>
      </c>
      <c r="C415" s="4">
        <f>IFERROR(__xludf.DUMMYFUNCTION("""COMPUTED_VALUE"""),2.16)</f>
        <v>2.16</v>
      </c>
    </row>
    <row r="416">
      <c r="A416" s="4" t="str">
        <f>IFERROR(__xludf.DUMMYFUNCTION("""COMPUTED_VALUE"""),"0346B")</f>
        <v>0346B</v>
      </c>
      <c r="B416" s="4" t="str">
        <f>IFERROR(__xludf.DUMMYFUNCTION("""COMPUTED_VALUE"""),"Cartel PVC 64x32 Fotolum. Extintor derecha")</f>
        <v>Cartel PVC 64x32 Fotolum. Extintor derecha</v>
      </c>
      <c r="C416" s="4">
        <f>IFERROR(__xludf.DUMMYFUNCTION("""COMPUTED_VALUE"""),4.300800000000001)</f>
        <v>4.3008</v>
      </c>
    </row>
    <row r="417">
      <c r="A417" s="4" t="str">
        <f>IFERROR(__xludf.DUMMYFUNCTION("""COMPUTED_VALUE"""),"0346C")</f>
        <v>0346C</v>
      </c>
      <c r="B417" s="4" t="str">
        <f>IFERROR(__xludf.DUMMYFUNCTION("""COMPUTED_VALUE"""),"Cartel PVC 96x48 Fotolum. Extintor derecha")</f>
        <v>Cartel PVC 96x48 Fotolum. Extintor derecha</v>
      </c>
      <c r="C417" s="4">
        <f>IFERROR(__xludf.DUMMYFUNCTION("""COMPUTED_VALUE"""),8.601600000000001)</f>
        <v>8.6016</v>
      </c>
    </row>
    <row r="418">
      <c r="A418" s="4" t="str">
        <f>IFERROR(__xludf.DUMMYFUNCTION("""COMPUTED_VALUE"""),"347")</f>
        <v>347</v>
      </c>
      <c r="B418" s="4" t="str">
        <f>IFERROR(__xludf.DUMMYFUNCTION("""COMPUTED_VALUE"""),"Cartel PVC 21x30 Fotolum. Extintor Izq.")</f>
        <v>Cartel PVC 21x30 Fotolum. Extintor Izq.</v>
      </c>
      <c r="C418" s="4">
        <f>IFERROR(__xludf.DUMMYFUNCTION("""COMPUTED_VALUE"""),2.496)</f>
        <v>2.496</v>
      </c>
    </row>
    <row r="419">
      <c r="A419" s="4" t="str">
        <f>IFERROR(__xludf.DUMMYFUNCTION("""COMPUTED_VALUE"""),"0347A")</f>
        <v>0347A</v>
      </c>
      <c r="B419" s="4" t="str">
        <f>IFERROR(__xludf.DUMMYFUNCTION("""COMPUTED_VALUE"""),"Cartel PVC 32x16 Fotolum. Extintor izquierda")</f>
        <v>Cartel PVC 32x16 Fotolum. Extintor izquierda</v>
      </c>
      <c r="C419" s="4">
        <f>IFERROR(__xludf.DUMMYFUNCTION("""COMPUTED_VALUE"""),2.16)</f>
        <v>2.16</v>
      </c>
    </row>
    <row r="420">
      <c r="A420" s="4" t="str">
        <f>IFERROR(__xludf.DUMMYFUNCTION("""COMPUTED_VALUE"""),"0347B")</f>
        <v>0347B</v>
      </c>
      <c r="B420" s="4" t="str">
        <f>IFERROR(__xludf.DUMMYFUNCTION("""COMPUTED_VALUE"""),"Cartel PVC 64x32 Fotolum. Extintor izquierda")</f>
        <v>Cartel PVC 64x32 Fotolum. Extintor izquierda</v>
      </c>
      <c r="C420" s="4">
        <f>IFERROR(__xludf.DUMMYFUNCTION("""COMPUTED_VALUE"""),4.300800000000001)</f>
        <v>4.3008</v>
      </c>
    </row>
    <row r="421">
      <c r="A421" s="4" t="str">
        <f>IFERROR(__xludf.DUMMYFUNCTION("""COMPUTED_VALUE"""),"0347C")</f>
        <v>0347C</v>
      </c>
      <c r="B421" s="4" t="str">
        <f>IFERROR(__xludf.DUMMYFUNCTION("""COMPUTED_VALUE"""),"Cartel PVC 96x48 Fotolum. Extintor izquierda")</f>
        <v>Cartel PVC 96x48 Fotolum. Extintor izquierda</v>
      </c>
      <c r="C421" s="4">
        <f>IFERROR(__xludf.DUMMYFUNCTION("""COMPUTED_VALUE"""),8.601600000000001)</f>
        <v>8.6016</v>
      </c>
    </row>
    <row r="422">
      <c r="A422" s="4" t="str">
        <f>IFERROR(__xludf.DUMMYFUNCTION("""COMPUTED_VALUE"""),"348")</f>
        <v>348</v>
      </c>
      <c r="B422" s="4" t="str">
        <f>IFERROR(__xludf.DUMMYFUNCTION("""COMPUTED_VALUE"""),"Cartel PVC 15x15 Fotolum. Pulsador de Alarma")</f>
        <v>Cartel PVC 15x15 Fotolum. Pulsador de Alarma</v>
      </c>
      <c r="C422" s="4">
        <f>IFERROR(__xludf.DUMMYFUNCTION("""COMPUTED_VALUE"""),1.6127999999999998)</f>
        <v>1.6128</v>
      </c>
    </row>
    <row r="423">
      <c r="A423" s="4" t="str">
        <f>IFERROR(__xludf.DUMMYFUNCTION("""COMPUTED_VALUE"""),"349")</f>
        <v>349</v>
      </c>
      <c r="B423" s="4" t="str">
        <f>IFERROR(__xludf.DUMMYFUNCTION("""COMPUTED_VALUE"""),"Cartel PVC 21x30 Fotolum. Boca Incendios")</f>
        <v>Cartel PVC 21x30 Fotolum. Boca Incendios</v>
      </c>
      <c r="C423" s="4">
        <f>IFERROR(__xludf.DUMMYFUNCTION("""COMPUTED_VALUE"""),2.496)</f>
        <v>2.496</v>
      </c>
    </row>
    <row r="424">
      <c r="A424" s="4" t="str">
        <f>IFERROR(__xludf.DUMMYFUNCTION("""COMPUTED_VALUE"""),"0349A")</f>
        <v>0349A</v>
      </c>
      <c r="B424" s="4" t="str">
        <f>IFERROR(__xludf.DUMMYFUNCTION("""COMPUTED_VALUE"""),"Cartel PVC 21x30 Fotolum. Boca de incendio")</f>
        <v>Cartel PVC 21x30 Fotolum. Boca de incendio</v>
      </c>
      <c r="C424" s="4">
        <f>IFERROR(__xludf.DUMMYFUNCTION("""COMPUTED_VALUE"""),2.4192)</f>
        <v>2.4192</v>
      </c>
    </row>
    <row r="425">
      <c r="A425" s="4" t="str">
        <f>IFERROR(__xludf.DUMMYFUNCTION("""COMPUTED_VALUE"""),"0349B")</f>
        <v>0349B</v>
      </c>
      <c r="B425" s="4" t="str">
        <f>IFERROR(__xludf.DUMMYFUNCTION("""COMPUTED_VALUE"""),"Cartel PVC 40x30 Fotolum. Boca de incendio")</f>
        <v>Cartel PVC 40x30 Fotolum. Boca de incendio</v>
      </c>
      <c r="C425" s="4">
        <f>IFERROR(__xludf.DUMMYFUNCTION("""COMPUTED_VALUE"""),2.976)</f>
        <v>2.976</v>
      </c>
    </row>
    <row r="426">
      <c r="A426" s="4" t="str">
        <f>IFERROR(__xludf.DUMMYFUNCTION("""COMPUTED_VALUE"""),"350")</f>
        <v>350</v>
      </c>
      <c r="B426" s="4" t="str">
        <f>IFERROR(__xludf.DUMMYFUNCTION("""COMPUTED_VALUE"""),"Cartel PVC 21x30 Fotolum. Boca Incendios dcha")</f>
        <v>Cartel PVC 21x30 Fotolum. Boca Incendios dcha</v>
      </c>
      <c r="C426" s="4">
        <f>IFERROR(__xludf.DUMMYFUNCTION("""COMPUTED_VALUE"""),2.496)</f>
        <v>2.496</v>
      </c>
    </row>
    <row r="427">
      <c r="A427" s="4" t="str">
        <f>IFERROR(__xludf.DUMMYFUNCTION("""COMPUTED_VALUE"""),"0350A")</f>
        <v>0350A</v>
      </c>
      <c r="B427" s="4" t="str">
        <f>IFERROR(__xludf.DUMMYFUNCTION("""COMPUTED_VALUE"""),"Cartel PVC 32x16 Fotolum. Boca Incendios dcha")</f>
        <v>Cartel PVC 32x16 Fotolum. Boca Incendios dcha</v>
      </c>
      <c r="C427" s="4">
        <f>IFERROR(__xludf.DUMMYFUNCTION("""COMPUTED_VALUE"""),1.9103999999999999)</f>
        <v>1.9104</v>
      </c>
    </row>
    <row r="428">
      <c r="A428" s="4" t="str">
        <f>IFERROR(__xludf.DUMMYFUNCTION("""COMPUTED_VALUE"""),"0350B")</f>
        <v>0350B</v>
      </c>
      <c r="B428" s="4" t="str">
        <f>IFERROR(__xludf.DUMMYFUNCTION("""COMPUTED_VALUE"""),"Cartel PVC 64x32 Fotolum. Boca Incendios dcha")</f>
        <v>Cartel PVC 64x32 Fotolum. Boca Incendios dcha</v>
      </c>
      <c r="C428" s="4">
        <f>IFERROR(__xludf.DUMMYFUNCTION("""COMPUTED_VALUE"""),4.300800000000001)</f>
        <v>4.3008</v>
      </c>
    </row>
    <row r="429">
      <c r="A429" s="4" t="str">
        <f>IFERROR(__xludf.DUMMYFUNCTION("""COMPUTED_VALUE"""),"0350C")</f>
        <v>0350C</v>
      </c>
      <c r="B429" s="4" t="str">
        <f>IFERROR(__xludf.DUMMYFUNCTION("""COMPUTED_VALUE"""),"Cartel PVC 96x48 Fotolum. Boca Incendios dcha")</f>
        <v>Cartel PVC 96x48 Fotolum. Boca Incendios dcha</v>
      </c>
      <c r="C429" s="4">
        <f>IFERROR(__xludf.DUMMYFUNCTION("""COMPUTED_VALUE"""),8.601600000000001)</f>
        <v>8.6016</v>
      </c>
    </row>
    <row r="430">
      <c r="A430" s="4" t="str">
        <f>IFERROR(__xludf.DUMMYFUNCTION("""COMPUTED_VALUE"""),"351")</f>
        <v>351</v>
      </c>
      <c r="B430" s="4" t="str">
        <f>IFERROR(__xludf.DUMMYFUNCTION("""COMPUTED_VALUE"""),"Cartel PVC 21x30 Fotolum. Boca Incendios Izq.")</f>
        <v>Cartel PVC 21x30 Fotolum. Boca Incendios Izq.</v>
      </c>
      <c r="C430" s="4">
        <f>IFERROR(__xludf.DUMMYFUNCTION("""COMPUTED_VALUE"""),2.496)</f>
        <v>2.496</v>
      </c>
    </row>
    <row r="431">
      <c r="A431" s="4" t="str">
        <f>IFERROR(__xludf.DUMMYFUNCTION("""COMPUTED_VALUE"""),"0351A")</f>
        <v>0351A</v>
      </c>
      <c r="B431" s="4" t="str">
        <f>IFERROR(__xludf.DUMMYFUNCTION("""COMPUTED_VALUE"""),"Cartel PVC 32x16 Fotolum. Boca Incendios izq")</f>
        <v>Cartel PVC 32x16 Fotolum. Boca Incendios izq</v>
      </c>
      <c r="C431" s="4">
        <f>IFERROR(__xludf.DUMMYFUNCTION("""COMPUTED_VALUE"""),2.16)</f>
        <v>2.16</v>
      </c>
    </row>
    <row r="432">
      <c r="A432" s="4" t="str">
        <f>IFERROR(__xludf.DUMMYFUNCTION("""COMPUTED_VALUE"""),"0351B")</f>
        <v>0351B</v>
      </c>
      <c r="B432" s="4" t="str">
        <f>IFERROR(__xludf.DUMMYFUNCTION("""COMPUTED_VALUE"""),"Cartel PVC 64x32 Fotolum. Boca Incendios izq")</f>
        <v>Cartel PVC 64x32 Fotolum. Boca Incendios izq</v>
      </c>
      <c r="C432" s="4">
        <f>IFERROR(__xludf.DUMMYFUNCTION("""COMPUTED_VALUE"""),4.300800000000001)</f>
        <v>4.3008</v>
      </c>
    </row>
    <row r="433">
      <c r="A433" s="4" t="str">
        <f>IFERROR(__xludf.DUMMYFUNCTION("""COMPUTED_VALUE"""),"0351C")</f>
        <v>0351C</v>
      </c>
      <c r="B433" s="4" t="str">
        <f>IFERROR(__xludf.DUMMYFUNCTION("""COMPUTED_VALUE"""),"Cartel PVC 96x48 Fotolum. Boca Incendios izq")</f>
        <v>Cartel PVC 96x48 Fotolum. Boca Incendios izq</v>
      </c>
      <c r="C433" s="4">
        <f>IFERROR(__xludf.DUMMYFUNCTION("""COMPUTED_VALUE"""),8.601600000000001)</f>
        <v>8.6016</v>
      </c>
    </row>
    <row r="434">
      <c r="A434" s="4" t="str">
        <f>IFERROR(__xludf.DUMMYFUNCTION("""COMPUTED_VALUE"""),"352")</f>
        <v>352</v>
      </c>
      <c r="B434" s="4" t="str">
        <f>IFERROR(__xludf.DUMMYFUNCTION("""COMPUTED_VALUE"""),"Cartel PVC 21x21 Fotolum. Manguera")</f>
        <v>Cartel PVC 21x21 Fotolum. Manguera</v>
      </c>
      <c r="C434" s="4">
        <f>IFERROR(__xludf.DUMMYFUNCTION("""COMPUTED_VALUE"""),2.2176)</f>
        <v>2.2176</v>
      </c>
    </row>
    <row r="435">
      <c r="A435" s="4" t="str">
        <f>IFERROR(__xludf.DUMMYFUNCTION("""COMPUTED_VALUE"""),"353")</f>
        <v>353</v>
      </c>
      <c r="B435" s="4" t="str">
        <f>IFERROR(__xludf.DUMMYFUNCTION("""COMPUTED_VALUE"""),"Cartel PVC 21x21 Fotolum. Extintor")</f>
        <v>Cartel PVC 21x21 Fotolum. Extintor</v>
      </c>
      <c r="C435" s="4">
        <f>IFERROR(__xludf.DUMMYFUNCTION("""COMPUTED_VALUE"""),2.2176)</f>
        <v>2.2176</v>
      </c>
    </row>
    <row r="436">
      <c r="A436" s="4" t="str">
        <f>IFERROR(__xludf.DUMMYFUNCTION("""COMPUTED_VALUE"""),"0353A")</f>
        <v>0353A</v>
      </c>
      <c r="B436" s="4" t="str">
        <f>IFERROR(__xludf.DUMMYFUNCTION("""COMPUTED_VALUE"""),"Cartel PVC 21x21 Fotolum. Extintor")</f>
        <v>Cartel PVC 21x21 Fotolum. Extintor</v>
      </c>
      <c r="C436" s="4">
        <f>IFERROR(__xludf.DUMMYFUNCTION("""COMPUTED_VALUE"""),2.2176)</f>
        <v>2.2176</v>
      </c>
    </row>
    <row r="437">
      <c r="A437" s="4" t="str">
        <f>IFERROR(__xludf.DUMMYFUNCTION("""COMPUTED_VALUE"""),"0353B")</f>
        <v>0353B</v>
      </c>
      <c r="B437" s="4" t="str">
        <f>IFERROR(__xludf.DUMMYFUNCTION("""COMPUTED_VALUE"""),"Cartel PVC 42x42 Fotolum. Extintor")</f>
        <v>Cartel PVC 42x42 Fotolum. Extintor</v>
      </c>
      <c r="C437" s="4">
        <f>IFERROR(__xludf.DUMMYFUNCTION("""COMPUTED_VALUE"""),3.7439999999999998)</f>
        <v>3.744</v>
      </c>
    </row>
    <row r="438">
      <c r="A438" s="4" t="str">
        <f>IFERROR(__xludf.DUMMYFUNCTION("""COMPUTED_VALUE"""),"0353C")</f>
        <v>0353C</v>
      </c>
      <c r="B438" s="4" t="str">
        <f>IFERROR(__xludf.DUMMYFUNCTION("""COMPUTED_VALUE"""),"Cartel PVC 63x63 Fotolum. Extintor")</f>
        <v>Cartel PVC 63x63 Fotolum. Extintor</v>
      </c>
      <c r="C438" s="4">
        <f>IFERROR(__xludf.DUMMYFUNCTION("""COMPUTED_VALUE"""),6.0)</f>
        <v>6</v>
      </c>
    </row>
    <row r="439">
      <c r="A439" s="4" t="str">
        <f>IFERROR(__xludf.DUMMYFUNCTION("""COMPUTED_VALUE"""),"354")</f>
        <v>354</v>
      </c>
      <c r="B439" s="4" t="str">
        <f>IFERROR(__xludf.DUMMYFUNCTION("""COMPUTED_VALUE"""),"Cartel PVC 21x15 Fotolum. Flecha Salida")</f>
        <v>Cartel PVC 21x15 Fotolum. Flecha Salida</v>
      </c>
      <c r="C439" s="4">
        <f>IFERROR(__xludf.DUMMYFUNCTION("""COMPUTED_VALUE"""),1.6127999999999998)</f>
        <v>1.6128</v>
      </c>
    </row>
    <row r="440">
      <c r="A440" s="4" t="str">
        <f>IFERROR(__xludf.DUMMYFUNCTION("""COMPUTED_VALUE"""),"0354A")</f>
        <v>0354A</v>
      </c>
      <c r="B440" s="4" t="str">
        <f>IFERROR(__xludf.DUMMYFUNCTION("""COMPUTED_VALUE"""),"Cartel PVC 21x21 Fotolum. Manguera contra incendios")</f>
        <v>Cartel PVC 21x21 Fotolum. Manguera contra incendios</v>
      </c>
      <c r="C440" s="4">
        <f>IFERROR(__xludf.DUMMYFUNCTION("""COMPUTED_VALUE"""),2.2176)</f>
        <v>2.2176</v>
      </c>
    </row>
    <row r="441">
      <c r="A441" s="4" t="str">
        <f>IFERROR(__xludf.DUMMYFUNCTION("""COMPUTED_VALUE"""),"0354B")</f>
        <v>0354B</v>
      </c>
      <c r="B441" s="4" t="str">
        <f>IFERROR(__xludf.DUMMYFUNCTION("""COMPUTED_VALUE"""),"Cartel PVC 42x42 Fotolum. Manguera contra incendios")</f>
        <v>Cartel PVC 42x42 Fotolum. Manguera contra incendios</v>
      </c>
      <c r="C441" s="4">
        <f>IFERROR(__xludf.DUMMYFUNCTION("""COMPUTED_VALUE"""),3.7439999999999998)</f>
        <v>3.744</v>
      </c>
    </row>
    <row r="442">
      <c r="A442" s="4" t="str">
        <f>IFERROR(__xludf.DUMMYFUNCTION("""COMPUTED_VALUE"""),"0354C")</f>
        <v>0354C</v>
      </c>
      <c r="B442" s="4" t="str">
        <f>IFERROR(__xludf.DUMMYFUNCTION("""COMPUTED_VALUE"""),"Cartel PVC 63x63 Fotolum. Manguera contra incendios")</f>
        <v>Cartel PVC 63x63 Fotolum. Manguera contra incendios</v>
      </c>
      <c r="C442" s="4">
        <f>IFERROR(__xludf.DUMMYFUNCTION("""COMPUTED_VALUE"""),6.0)</f>
        <v>6</v>
      </c>
    </row>
    <row r="443">
      <c r="A443" s="4" t="str">
        <f>IFERROR(__xludf.DUMMYFUNCTION("""COMPUTED_VALUE"""),"355")</f>
        <v>355</v>
      </c>
      <c r="B443" s="4" t="str">
        <f>IFERROR(__xludf.DUMMYFUNCTION("""COMPUTED_VALUE"""),"Cartel PVC 21x30 Fotolum. Botiquin")</f>
        <v>Cartel PVC 21x30 Fotolum. Botiquin</v>
      </c>
      <c r="C443" s="4">
        <f>IFERROR(__xludf.DUMMYFUNCTION("""COMPUTED_VALUE"""),2.496)</f>
        <v>2.496</v>
      </c>
    </row>
    <row r="444">
      <c r="A444" s="4" t="str">
        <f>IFERROR(__xludf.DUMMYFUNCTION("""COMPUTED_VALUE"""),"0355A")</f>
        <v>0355A</v>
      </c>
      <c r="B444" s="4" t="str">
        <f>IFERROR(__xludf.DUMMYFUNCTION("""COMPUTED_VALUE"""),"Cartel PVC 21x30 Fotolum. Botiquín")</f>
        <v>Cartel PVC 21x30 Fotolum. Botiquín</v>
      </c>
      <c r="C444" s="4">
        <f>IFERROR(__xludf.DUMMYFUNCTION("""COMPUTED_VALUE"""),2.4192)</f>
        <v>2.4192</v>
      </c>
    </row>
    <row r="445">
      <c r="A445" s="4" t="str">
        <f>IFERROR(__xludf.DUMMYFUNCTION("""COMPUTED_VALUE"""),"0355B")</f>
        <v>0355B</v>
      </c>
      <c r="B445" s="4" t="str">
        <f>IFERROR(__xludf.DUMMYFUNCTION("""COMPUTED_VALUE"""),"Cartel PVC 40x30 Fotolum. Botiquín")</f>
        <v>Cartel PVC 40x30 Fotolum. Botiquín</v>
      </c>
      <c r="C445" s="4">
        <f>IFERROR(__xludf.DUMMYFUNCTION("""COMPUTED_VALUE"""),2.976)</f>
        <v>2.976</v>
      </c>
    </row>
    <row r="446">
      <c r="A446" s="4" t="str">
        <f>IFERROR(__xludf.DUMMYFUNCTION("""COMPUTED_VALUE"""),"356")</f>
        <v>356</v>
      </c>
      <c r="B446" s="4" t="str">
        <f>IFERROR(__xludf.DUMMYFUNCTION("""COMPUTED_VALUE"""),"Cartel PVC 21x30 Fotolum. Agua Potable")</f>
        <v>Cartel PVC 21x30 Fotolum. Agua Potable</v>
      </c>
      <c r="C446" s="4">
        <f>IFERROR(__xludf.DUMMYFUNCTION("""COMPUTED_VALUE"""),2.496)</f>
        <v>2.496</v>
      </c>
    </row>
    <row r="447">
      <c r="A447" s="4" t="str">
        <f>IFERROR(__xludf.DUMMYFUNCTION("""COMPUTED_VALUE"""),"0356A")</f>
        <v>0356A</v>
      </c>
      <c r="B447" s="4" t="str">
        <f>IFERROR(__xludf.DUMMYFUNCTION("""COMPUTED_VALUE"""),"Cartel PVC 21x30 Fotolum. Agua potable")</f>
        <v>Cartel PVC 21x30 Fotolum. Agua potable</v>
      </c>
      <c r="C447" s="4">
        <f>IFERROR(__xludf.DUMMYFUNCTION("""COMPUTED_VALUE"""),2.4192)</f>
        <v>2.4192</v>
      </c>
    </row>
    <row r="448">
      <c r="A448" s="4" t="str">
        <f>IFERROR(__xludf.DUMMYFUNCTION("""COMPUTED_VALUE"""),"0356B")</f>
        <v>0356B</v>
      </c>
      <c r="B448" s="4" t="str">
        <f>IFERROR(__xludf.DUMMYFUNCTION("""COMPUTED_VALUE"""),"Cartel PVC 40x30 Fotolum. Agua potable")</f>
        <v>Cartel PVC 40x30 Fotolum. Agua potable</v>
      </c>
      <c r="C448" s="4">
        <f>IFERROR(__xludf.DUMMYFUNCTION("""COMPUTED_VALUE"""),2.976)</f>
        <v>2.976</v>
      </c>
    </row>
    <row r="449">
      <c r="A449" s="4" t="str">
        <f>IFERROR(__xludf.DUMMYFUNCTION("""COMPUTED_VALUE"""),"357")</f>
        <v>357</v>
      </c>
      <c r="B449" s="4" t="str">
        <f>IFERROR(__xludf.DUMMYFUNCTION("""COMPUTED_VALUE"""),"Cartel PVC 21x30 Fotolum. Almacen")</f>
        <v>Cartel PVC 21x30 Fotolum. Almacen</v>
      </c>
      <c r="C449" s="4">
        <f>IFERROR(__xludf.DUMMYFUNCTION("""COMPUTED_VALUE"""),2.496)</f>
        <v>2.496</v>
      </c>
    </row>
    <row r="450">
      <c r="A450" s="4" t="str">
        <f>IFERROR(__xludf.DUMMYFUNCTION("""COMPUTED_VALUE"""),"0357A")</f>
        <v>0357A</v>
      </c>
      <c r="B450" s="4" t="str">
        <f>IFERROR(__xludf.DUMMYFUNCTION("""COMPUTED_VALUE"""),"Cartel PVC 21x30 Fotolum. Almacén")</f>
        <v>Cartel PVC 21x30 Fotolum. Almacén</v>
      </c>
      <c r="C450" s="4">
        <f>IFERROR(__xludf.DUMMYFUNCTION("""COMPUTED_VALUE"""),2.4192)</f>
        <v>2.4192</v>
      </c>
    </row>
    <row r="451">
      <c r="A451" s="4" t="str">
        <f>IFERROR(__xludf.DUMMYFUNCTION("""COMPUTED_VALUE"""),"0357B")</f>
        <v>0357B</v>
      </c>
      <c r="B451" s="4" t="str">
        <f>IFERROR(__xludf.DUMMYFUNCTION("""COMPUTED_VALUE"""),"Cartel PVC40x30 Fotolum. Almacén")</f>
        <v>Cartel PVC40x30 Fotolum. Almacén</v>
      </c>
      <c r="C451" s="4">
        <f>IFERROR(__xludf.DUMMYFUNCTION("""COMPUTED_VALUE"""),2.976)</f>
        <v>2.976</v>
      </c>
    </row>
    <row r="452">
      <c r="A452" s="4" t="str">
        <f>IFERROR(__xludf.DUMMYFUNCTION("""COMPUTED_VALUE"""),"358")</f>
        <v>358</v>
      </c>
      <c r="B452" s="4" t="str">
        <f>IFERROR(__xludf.DUMMYFUNCTION("""COMPUTED_VALUE"""),"Cartel PVC 21x30 Fotolum. Telefono Emergencia")</f>
        <v>Cartel PVC 21x30 Fotolum. Telefono Emergencia</v>
      </c>
      <c r="C452" s="4">
        <f>IFERROR(__xludf.DUMMYFUNCTION("""COMPUTED_VALUE"""),2.496)</f>
        <v>2.496</v>
      </c>
    </row>
    <row r="453">
      <c r="A453" s="4" t="str">
        <f>IFERROR(__xludf.DUMMYFUNCTION("""COMPUTED_VALUE"""),"0358A")</f>
        <v>0358A</v>
      </c>
      <c r="B453" s="4" t="str">
        <f>IFERROR(__xludf.DUMMYFUNCTION("""COMPUTED_VALUE"""),"Cartel PVC 21x30 Fotolum. Teléfono de emergencia")</f>
        <v>Cartel PVC 21x30 Fotolum. Teléfono de emergencia</v>
      </c>
      <c r="C453" s="4">
        <f>IFERROR(__xludf.DUMMYFUNCTION("""COMPUTED_VALUE"""),2.4192)</f>
        <v>2.4192</v>
      </c>
    </row>
    <row r="454">
      <c r="A454" s="4" t="str">
        <f>IFERROR(__xludf.DUMMYFUNCTION("""COMPUTED_VALUE"""),"0358B")</f>
        <v>0358B</v>
      </c>
      <c r="B454" s="4" t="str">
        <f>IFERROR(__xludf.DUMMYFUNCTION("""COMPUTED_VALUE"""),"Cartel PVC 40x30 Fotolum. Teléfono de emergencia")</f>
        <v>Cartel PVC 40x30 Fotolum. Teléfono de emergencia</v>
      </c>
      <c r="C454" s="4">
        <f>IFERROR(__xludf.DUMMYFUNCTION("""COMPUTED_VALUE"""),2.976)</f>
        <v>2.976</v>
      </c>
    </row>
    <row r="455">
      <c r="A455" s="4" t="str">
        <f>IFERROR(__xludf.DUMMYFUNCTION("""COMPUTED_VALUE"""),"359")</f>
        <v>359</v>
      </c>
      <c r="B455" s="4" t="str">
        <f>IFERROR(__xludf.DUMMYFUNCTION("""COMPUTED_VALUE"""),"Cartel PVC 21x30 Fotolum. Equipo Prim. Auxilios")</f>
        <v>Cartel PVC 21x30 Fotolum. Equipo Prim. Auxilios</v>
      </c>
      <c r="C455" s="4">
        <f>IFERROR(__xludf.DUMMYFUNCTION("""COMPUTED_VALUE"""),2.496)</f>
        <v>2.496</v>
      </c>
    </row>
    <row r="456">
      <c r="A456" s="4" t="str">
        <f>IFERROR(__xludf.DUMMYFUNCTION("""COMPUTED_VALUE"""),"0359A")</f>
        <v>0359A</v>
      </c>
      <c r="B456" s="4" t="str">
        <f>IFERROR(__xludf.DUMMYFUNCTION("""COMPUTED_VALUE"""),"Cartel PVC 21x30 Fotolum. Equipo primeros auxilios")</f>
        <v>Cartel PVC 21x30 Fotolum. Equipo primeros auxilios</v>
      </c>
      <c r="C456" s="4">
        <f>IFERROR(__xludf.DUMMYFUNCTION("""COMPUTED_VALUE"""),2.4192)</f>
        <v>2.4192</v>
      </c>
    </row>
    <row r="457">
      <c r="A457" s="4" t="str">
        <f>IFERROR(__xludf.DUMMYFUNCTION("""COMPUTED_VALUE"""),"0359B")</f>
        <v>0359B</v>
      </c>
      <c r="B457" s="4" t="str">
        <f>IFERROR(__xludf.DUMMYFUNCTION("""COMPUTED_VALUE"""),"Cartel PVC 40x30 Fotolum. Equipo primeros auxilios")</f>
        <v>Cartel PVC 40x30 Fotolum. Equipo primeros auxilios</v>
      </c>
      <c r="C457" s="4">
        <f>IFERROR(__xludf.DUMMYFUNCTION("""COMPUTED_VALUE"""),2.976)</f>
        <v>2.976</v>
      </c>
    </row>
    <row r="458">
      <c r="A458" s="4" t="str">
        <f>IFERROR(__xludf.DUMMYFUNCTION("""COMPUTED_VALUE"""),"360")</f>
        <v>360</v>
      </c>
      <c r="B458" s="4" t="str">
        <f>IFERROR(__xludf.DUMMYFUNCTION("""COMPUTED_VALUE"""),"Cartel PVC 40x30 Peatón cruce por la otra acera")</f>
        <v>Cartel PVC 40x30 Peatón cruce por la otra acera</v>
      </c>
      <c r="C458" s="4">
        <f>IFERROR(__xludf.DUMMYFUNCTION("""COMPUTED_VALUE"""),2.3808)</f>
        <v>2.3808</v>
      </c>
    </row>
    <row r="459">
      <c r="A459" s="4" t="str">
        <f>IFERROR(__xludf.DUMMYFUNCTION("""COMPUTED_VALUE"""),"361")</f>
        <v>361</v>
      </c>
      <c r="B459" s="4" t="str">
        <f>IFERROR(__xludf.DUMMYFUNCTION("""COMPUTED_VALUE"""),"Cartel PVC 40x30 Obras en ejecucion. Perdonen las molestias")</f>
        <v>Cartel PVC 40x30 Obras en ejecucion. Perdonen las molestias</v>
      </c>
      <c r="C459" s="4">
        <f>IFERROR(__xludf.DUMMYFUNCTION("""COMPUTED_VALUE"""),2.3808)</f>
        <v>2.3808</v>
      </c>
    </row>
    <row r="460">
      <c r="A460" s="4" t="str">
        <f>IFERROR(__xludf.DUMMYFUNCTION("""COMPUTED_VALUE"""),"362")</f>
        <v>362</v>
      </c>
      <c r="B460" s="4" t="str">
        <f>IFERROR(__xludf.DUMMYFUNCTION("""COMPUTED_VALUE"""),"Cartel PVC 21x30 Fotolum. Punto Reunion")</f>
        <v>Cartel PVC 21x30 Fotolum. Punto Reunion</v>
      </c>
      <c r="C460" s="4">
        <f>IFERROR(__xludf.DUMMYFUNCTION("""COMPUTED_VALUE"""),2.496)</f>
        <v>2.496</v>
      </c>
    </row>
    <row r="461">
      <c r="A461" s="4" t="str">
        <f>IFERROR(__xludf.DUMMYFUNCTION("""COMPUTED_VALUE"""),"0362A")</f>
        <v>0362A</v>
      </c>
      <c r="B461" s="4" t="str">
        <f>IFERROR(__xludf.DUMMYFUNCTION("""COMPUTED_VALUE"""),"Cartel PVC 21x30 Fotolum. Punto de Reunión")</f>
        <v>Cartel PVC 21x30 Fotolum. Punto de Reunión</v>
      </c>
      <c r="C461" s="4">
        <f>IFERROR(__xludf.DUMMYFUNCTION("""COMPUTED_VALUE"""),2.4192)</f>
        <v>2.4192</v>
      </c>
    </row>
    <row r="462">
      <c r="A462" s="4" t="str">
        <f>IFERROR(__xludf.DUMMYFUNCTION("""COMPUTED_VALUE"""),"0362B")</f>
        <v>0362B</v>
      </c>
      <c r="B462" s="4" t="str">
        <f>IFERROR(__xludf.DUMMYFUNCTION("""COMPUTED_VALUE"""),"Cartel PVC 40x30 Fotolum. Punto de reunión")</f>
        <v>Cartel PVC 40x30 Fotolum. Punto de reunión</v>
      </c>
      <c r="C462" s="4">
        <f>IFERROR(__xludf.DUMMYFUNCTION("""COMPUTED_VALUE"""),2.976)</f>
        <v>2.976</v>
      </c>
    </row>
    <row r="463">
      <c r="A463" s="4" t="str">
        <f>IFERROR(__xludf.DUMMYFUNCTION("""COMPUTED_VALUE"""),"363")</f>
        <v>363</v>
      </c>
      <c r="B463" s="4" t="str">
        <f>IFERROR(__xludf.DUMMYFUNCTION("""COMPUTED_VALUE"""),"Cartel PVC 40x30 Atencion salida de camiones")</f>
        <v>Cartel PVC 40x30 Atencion salida de camiones</v>
      </c>
      <c r="C463" s="4">
        <f>IFERROR(__xludf.DUMMYFUNCTION("""COMPUTED_VALUE"""),2.3808)</f>
        <v>2.3808</v>
      </c>
    </row>
    <row r="464">
      <c r="A464" s="4" t="str">
        <f>IFERROR(__xludf.DUMMYFUNCTION("""COMPUTED_VALUE"""),"364")</f>
        <v>364</v>
      </c>
      <c r="B464" s="4" t="str">
        <f>IFERROR(__xludf.DUMMYFUNCTION("""COMPUTED_VALUE"""),"Cartel PVC 21x30 Fotolum. Camilla de Socorro")</f>
        <v>Cartel PVC 21x30 Fotolum. Camilla de Socorro</v>
      </c>
      <c r="C464" s="4">
        <f>IFERROR(__xludf.DUMMYFUNCTION("""COMPUTED_VALUE"""),2.496)</f>
        <v>2.496</v>
      </c>
    </row>
    <row r="465">
      <c r="A465" s="4" t="str">
        <f>IFERROR(__xludf.DUMMYFUNCTION("""COMPUTED_VALUE"""),"0364A")</f>
        <v>0364A</v>
      </c>
      <c r="B465" s="4" t="str">
        <f>IFERROR(__xludf.DUMMYFUNCTION("""COMPUTED_VALUE"""),"Cartel PVC 21x30 Fotolum. Camilla de socorro")</f>
        <v>Cartel PVC 21x30 Fotolum. Camilla de socorro</v>
      </c>
      <c r="C465" s="4">
        <f>IFERROR(__xludf.DUMMYFUNCTION("""COMPUTED_VALUE"""),2.4192)</f>
        <v>2.4192</v>
      </c>
    </row>
    <row r="466">
      <c r="A466" s="4" t="str">
        <f>IFERROR(__xludf.DUMMYFUNCTION("""COMPUTED_VALUE"""),"0364B")</f>
        <v>0364B</v>
      </c>
      <c r="B466" s="4" t="str">
        <f>IFERROR(__xludf.DUMMYFUNCTION("""COMPUTED_VALUE"""),"Cartel PVC 40x30 Fotolum. Camilla de socorro")</f>
        <v>Cartel PVC 40x30 Fotolum. Camilla de socorro</v>
      </c>
      <c r="C466" s="4">
        <f>IFERROR(__xludf.DUMMYFUNCTION("""COMPUTED_VALUE"""),2.976)</f>
        <v>2.976</v>
      </c>
    </row>
    <row r="467">
      <c r="A467" s="4" t="str">
        <f>IFERROR(__xludf.DUMMYFUNCTION("""COMPUTED_VALUE"""),"365")</f>
        <v>365</v>
      </c>
      <c r="B467" s="4" t="str">
        <f>IFERROR(__xludf.DUMMYFUNCTION("""COMPUTED_VALUE"""),"Cartel PVC 21x30 Fotolum. Pulsar en caso de Emergencia")</f>
        <v>Cartel PVC 21x30 Fotolum. Pulsar en caso de Emergencia</v>
      </c>
      <c r="C467" s="4">
        <f>IFERROR(__xludf.DUMMYFUNCTION("""COMPUTED_VALUE"""),2.496)</f>
        <v>2.496</v>
      </c>
    </row>
    <row r="468">
      <c r="A468" s="4" t="str">
        <f>IFERROR(__xludf.DUMMYFUNCTION("""COMPUTED_VALUE"""),"366")</f>
        <v>366</v>
      </c>
      <c r="B468" s="4" t="str">
        <f>IFERROR(__xludf.DUMMYFUNCTION("""COMPUTED_VALUE"""),"Cartel PVC 21x30 Fotolum. Empujar barra para salir")</f>
        <v>Cartel PVC 21x30 Fotolum. Empujar barra para salir</v>
      </c>
      <c r="C468" s="4">
        <f>IFERROR(__xludf.DUMMYFUNCTION("""COMPUTED_VALUE"""),2.496)</f>
        <v>2.496</v>
      </c>
    </row>
    <row r="469">
      <c r="A469" s="4" t="str">
        <f>IFERROR(__xludf.DUMMYFUNCTION("""COMPUTED_VALUE"""),"0366A")</f>
        <v>0366A</v>
      </c>
      <c r="B469" s="4" t="str">
        <f>IFERROR(__xludf.DUMMYFUNCTION("""COMPUTED_VALUE"""),"Cartel PVC 21x30 Fotolum. Empujar barra para salir")</f>
        <v>Cartel PVC 21x30 Fotolum. Empujar barra para salir</v>
      </c>
      <c r="C469" s="4">
        <f>IFERROR(__xludf.DUMMYFUNCTION("""COMPUTED_VALUE"""),2.4192)</f>
        <v>2.4192</v>
      </c>
    </row>
    <row r="470">
      <c r="A470" s="4" t="str">
        <f>IFERROR(__xludf.DUMMYFUNCTION("""COMPUTED_VALUE"""),"0366B")</f>
        <v>0366B</v>
      </c>
      <c r="B470" s="4" t="str">
        <f>IFERROR(__xludf.DUMMYFUNCTION("""COMPUTED_VALUE"""),"Cartel PVC 40x30 Fotolum. Empujar barra para salir")</f>
        <v>Cartel PVC 40x30 Fotolum. Empujar barra para salir</v>
      </c>
      <c r="C470" s="4">
        <f>IFERROR(__xludf.DUMMYFUNCTION("""COMPUTED_VALUE"""),2.976)</f>
        <v>2.976</v>
      </c>
    </row>
    <row r="471">
      <c r="A471" s="4" t="str">
        <f>IFERROR(__xludf.DUMMYFUNCTION("""COMPUTED_VALUE"""),"367")</f>
        <v>367</v>
      </c>
      <c r="B471" s="4" t="str">
        <f>IFERROR(__xludf.DUMMYFUNCTION("""COMPUTED_VALUE"""),"Cartel PVC 21x30 Fotolum. Salida de Emergencia")</f>
        <v>Cartel PVC 21x30 Fotolum. Salida de Emergencia</v>
      </c>
      <c r="C471" s="4">
        <f>IFERROR(__xludf.DUMMYFUNCTION("""COMPUTED_VALUE"""),2.496)</f>
        <v>2.496</v>
      </c>
    </row>
    <row r="472">
      <c r="A472" s="4" t="str">
        <f>IFERROR(__xludf.DUMMYFUNCTION("""COMPUTED_VALUE"""),"0367A")</f>
        <v>0367A</v>
      </c>
      <c r="B472" s="4" t="str">
        <f>IFERROR(__xludf.DUMMYFUNCTION("""COMPUTED_VALUE"""),"Cartel PVC 32x16 Fotolum. Salida de emergenca")</f>
        <v>Cartel PVC 32x16 Fotolum. Salida de emergenca</v>
      </c>
      <c r="C472" s="4">
        <f>IFERROR(__xludf.DUMMYFUNCTION("""COMPUTED_VALUE"""),2.16)</f>
        <v>2.16</v>
      </c>
    </row>
    <row r="473">
      <c r="A473" s="4" t="str">
        <f>IFERROR(__xludf.DUMMYFUNCTION("""COMPUTED_VALUE"""),"0367AA")</f>
        <v>0367AA</v>
      </c>
      <c r="B473" s="4" t="str">
        <f>IFERROR(__xludf.DUMMYFUNCTION("""COMPUTED_VALUE"""),"Cartel PVC 21x21 Fotolum.Minusválidos")</f>
        <v>Cartel PVC 21x21 Fotolum.Minusválidos</v>
      </c>
      <c r="C473" s="4">
        <f>IFERROR(__xludf.DUMMYFUNCTION("""COMPUTED_VALUE"""),2.2176)</f>
        <v>2.2176</v>
      </c>
    </row>
    <row r="474">
      <c r="A474" s="4" t="str">
        <f>IFERROR(__xludf.DUMMYFUNCTION("""COMPUTED_VALUE"""),"0367BA")</f>
        <v>0367BA</v>
      </c>
      <c r="B474" s="4" t="str">
        <f>IFERROR(__xludf.DUMMYFUNCTION("""COMPUTED_VALUE"""),"Cartel PVC 42x42 Fotolum.Minusválidos")</f>
        <v>Cartel PVC 42x42 Fotolum.Minusválidos</v>
      </c>
      <c r="C474" s="4">
        <f>IFERROR(__xludf.DUMMYFUNCTION("""COMPUTED_VALUE"""),3.7439999999999998)</f>
        <v>3.744</v>
      </c>
    </row>
    <row r="475">
      <c r="A475" s="4" t="str">
        <f>IFERROR(__xludf.DUMMYFUNCTION("""COMPUTED_VALUE"""),"0367CA")</f>
        <v>0367CA</v>
      </c>
      <c r="B475" s="4" t="str">
        <f>IFERROR(__xludf.DUMMYFUNCTION("""COMPUTED_VALUE"""),"Cartel PVC 63x63 Fotolum.Minusválidos")</f>
        <v>Cartel PVC 63x63 Fotolum.Minusválidos</v>
      </c>
      <c r="C475" s="4">
        <f>IFERROR(__xludf.DUMMYFUNCTION("""COMPUTED_VALUE"""),6.0)</f>
        <v>6</v>
      </c>
    </row>
    <row r="476">
      <c r="A476" s="4" t="str">
        <f>IFERROR(__xludf.DUMMYFUNCTION("""COMPUTED_VALUE"""),"368")</f>
        <v>368</v>
      </c>
      <c r="B476" s="4" t="str">
        <f>IFERROR(__xludf.DUMMYFUNCTION("""COMPUTED_VALUE"""),"Cartel PVC 21x29 AVISO POLICIA")</f>
        <v>Cartel PVC 21x29 AVISO POLICIA</v>
      </c>
      <c r="C476" s="4">
        <f>IFERROR(__xludf.DUMMYFUNCTION("""COMPUTED_VALUE"""),1.536)</f>
        <v>1.536</v>
      </c>
    </row>
    <row r="477">
      <c r="A477" s="4" t="str">
        <f>IFERROR(__xludf.DUMMYFUNCTION("""COMPUTED_VALUE"""),"369")</f>
        <v>369</v>
      </c>
      <c r="B477" s="4" t="str">
        <f>IFERROR(__xludf.DUMMYFUNCTION("""COMPUTED_VALUE"""),"Cartel PVC 21x29 Zona video vigilada")</f>
        <v>Cartel PVC 21x29 Zona video vigilada</v>
      </c>
      <c r="C477" s="4">
        <f>IFERROR(__xludf.DUMMYFUNCTION("""COMPUTED_VALUE"""),1.536)</f>
        <v>1.536</v>
      </c>
    </row>
    <row r="478">
      <c r="A478" s="4" t="str">
        <f>IFERROR(__xludf.DUMMYFUNCTION("""COMPUTED_VALUE"""),"370")</f>
        <v>370</v>
      </c>
      <c r="B478" s="4" t="str">
        <f>IFERROR(__xludf.DUMMYFUNCTION("""COMPUTED_VALUE"""),"Cartel PVC 40x30 Prohib. Beber y Comer")</f>
        <v>Cartel PVC 40x30 Prohib. Beber y Comer</v>
      </c>
      <c r="C478" s="4">
        <f>IFERROR(__xludf.DUMMYFUNCTION("""COMPUTED_VALUE"""),2.3808)</f>
        <v>2.3808</v>
      </c>
    </row>
    <row r="479">
      <c r="A479" s="4" t="str">
        <f>IFERROR(__xludf.DUMMYFUNCTION("""COMPUTED_VALUE"""),"0370P")</f>
        <v>0370P</v>
      </c>
      <c r="B479" s="4" t="str">
        <f>IFERROR(__xludf.DUMMYFUNCTION("""COMPUTED_VALUE"""),"Cartel PVC 21x29 PROHIBIDO BEBER Y COMER")</f>
        <v>Cartel PVC 21x29 PROHIBIDO BEBER Y COMER</v>
      </c>
      <c r="C479" s="4">
        <f>IFERROR(__xludf.DUMMYFUNCTION("""COMPUTED_VALUE"""),1.536)</f>
        <v>1.536</v>
      </c>
    </row>
    <row r="480">
      <c r="A480" s="4" t="str">
        <f>IFERROR(__xludf.DUMMYFUNCTION("""COMPUTED_VALUE"""),"371")</f>
        <v>371</v>
      </c>
      <c r="B480" s="4" t="str">
        <f>IFERROR(__xludf.DUMMYFUNCTION("""COMPUTED_VALUE"""),"Cartel PVC 40x30 Peligro Gases Compr.")</f>
        <v>Cartel PVC 40x30 Peligro Gases Compr.</v>
      </c>
      <c r="C480" s="4">
        <f>IFERROR(__xludf.DUMMYFUNCTION("""COMPUTED_VALUE"""),2.3808)</f>
        <v>2.3808</v>
      </c>
    </row>
    <row r="481">
      <c r="A481" s="4" t="str">
        <f>IFERROR(__xludf.DUMMYFUNCTION("""COMPUTED_VALUE"""),"0371P")</f>
        <v>0371P</v>
      </c>
      <c r="B481" s="4" t="str">
        <f>IFERROR(__xludf.DUMMYFUNCTION("""COMPUTED_VALUE"""),"Cartel PVC 21x29 PELIGRO GASES COMPRIMIDOS")</f>
        <v>Cartel PVC 21x29 PELIGRO GASES COMPRIMIDOS</v>
      </c>
      <c r="C481" s="4">
        <f>IFERROR(__xludf.DUMMYFUNCTION("""COMPUTED_VALUE"""),1.536)</f>
        <v>1.536</v>
      </c>
    </row>
    <row r="482">
      <c r="A482" s="4" t="str">
        <f>IFERROR(__xludf.DUMMYFUNCTION("""COMPUTED_VALUE"""),"372")</f>
        <v>372</v>
      </c>
      <c r="B482" s="4" t="str">
        <f>IFERROR(__xludf.DUMMYFUNCTION("""COMPUTED_VALUE"""),"Cartel PVC 40x30 Peligro Andamio Incom")</f>
        <v>Cartel PVC 40x30 Peligro Andamio Incom</v>
      </c>
      <c r="C482" s="4">
        <f>IFERROR(__xludf.DUMMYFUNCTION("""COMPUTED_VALUE"""),2.3808)</f>
        <v>2.3808</v>
      </c>
    </row>
    <row r="483">
      <c r="A483" s="4" t="str">
        <f>IFERROR(__xludf.DUMMYFUNCTION("""COMPUTED_VALUE"""),"0372P")</f>
        <v>0372P</v>
      </c>
      <c r="B483" s="4" t="str">
        <f>IFERROR(__xludf.DUMMYFUNCTION("""COMPUTED_VALUE"""),"Cartel PVC 21x29 PELIGRO ANDAMIAJE INCOMPLETO")</f>
        <v>Cartel PVC 21x29 PELIGRO ANDAMIAJE INCOMPLETO</v>
      </c>
      <c r="C483" s="4">
        <f>IFERROR(__xludf.DUMMYFUNCTION("""COMPUTED_VALUE"""),1.536)</f>
        <v>1.536</v>
      </c>
    </row>
    <row r="484">
      <c r="A484" s="4" t="str">
        <f>IFERROR(__xludf.DUMMYFUNCTION("""COMPUTED_VALUE"""),"373")</f>
        <v>373</v>
      </c>
      <c r="B484" s="4" t="str">
        <f>IFERROR(__xludf.DUMMYFUNCTION("""COMPUTED_VALUE"""),"Cartel PVC 40x30 Peligro Escalon")</f>
        <v>Cartel PVC 40x30 Peligro Escalon</v>
      </c>
      <c r="C484" s="4">
        <f>IFERROR(__xludf.DUMMYFUNCTION("""COMPUTED_VALUE"""),2.3808)</f>
        <v>2.3808</v>
      </c>
    </row>
    <row r="485">
      <c r="A485" s="4" t="str">
        <f>IFERROR(__xludf.DUMMYFUNCTION("""COMPUTED_VALUE"""),"0373P")</f>
        <v>0373P</v>
      </c>
      <c r="B485" s="4" t="str">
        <f>IFERROR(__xludf.DUMMYFUNCTION("""COMPUTED_VALUE"""),"Cartel PVC 21x29 PELIGRO CUIDADO CON ESCALON")</f>
        <v>Cartel PVC 21x29 PELIGRO CUIDADO CON ESCALON</v>
      </c>
      <c r="C485" s="4">
        <f>IFERROR(__xludf.DUMMYFUNCTION("""COMPUTED_VALUE"""),1.536)</f>
        <v>1.536</v>
      </c>
    </row>
    <row r="486">
      <c r="A486" s="4" t="str">
        <f>IFERROR(__xludf.DUMMYFUNCTION("""COMPUTED_VALUE"""),"374")</f>
        <v>374</v>
      </c>
      <c r="B486" s="4" t="str">
        <f>IFERROR(__xludf.DUMMYFUNCTION("""COMPUTED_VALUE"""),"Cartel PVC 40x30 Prohibido el Paso")</f>
        <v>Cartel PVC 40x30 Prohibido el Paso</v>
      </c>
      <c r="C486" s="4">
        <f>IFERROR(__xludf.DUMMYFUNCTION("""COMPUTED_VALUE"""),2.3808)</f>
        <v>2.3808</v>
      </c>
    </row>
    <row r="487">
      <c r="A487" s="4" t="str">
        <f>IFERROR(__xludf.DUMMYFUNCTION("""COMPUTED_VALUE"""),"0374P")</f>
        <v>0374P</v>
      </c>
      <c r="B487" s="4" t="str">
        <f>IFERROR(__xludf.DUMMYFUNCTION("""COMPUTED_VALUE"""),"Cartel PVC 21x29 PROHIBIDO EL PASO")</f>
        <v>Cartel PVC 21x29 PROHIBIDO EL PASO</v>
      </c>
      <c r="C487" s="4">
        <f>IFERROR(__xludf.DUMMYFUNCTION("""COMPUTED_VALUE"""),1.536)</f>
        <v>1.536</v>
      </c>
    </row>
    <row r="488">
      <c r="A488" s="4" t="str">
        <f>IFERROR(__xludf.DUMMYFUNCTION("""COMPUTED_VALUE"""),"375")</f>
        <v>375</v>
      </c>
      <c r="B488" s="4" t="str">
        <f>IFERROR(__xludf.DUMMYFUNCTION("""COMPUTED_VALUE"""),"Cartel PVC 40x30 Peligro de Incendio")</f>
        <v>Cartel PVC 40x30 Peligro de Incendio</v>
      </c>
      <c r="C488" s="4">
        <f>IFERROR(__xludf.DUMMYFUNCTION("""COMPUTED_VALUE"""),2.3808)</f>
        <v>2.3808</v>
      </c>
    </row>
    <row r="489">
      <c r="A489" s="4" t="str">
        <f>IFERROR(__xludf.DUMMYFUNCTION("""COMPUTED_VALUE"""),"0375P")</f>
        <v>0375P</v>
      </c>
      <c r="B489" s="4" t="str">
        <f>IFERROR(__xludf.DUMMYFUNCTION("""COMPUTED_VALUE"""),"Cartel PVC 21x29 PELIGRO DE INCENDIO")</f>
        <v>Cartel PVC 21x29 PELIGRO DE INCENDIO</v>
      </c>
      <c r="C489" s="4">
        <f>IFERROR(__xludf.DUMMYFUNCTION("""COMPUTED_VALUE"""),1.536)</f>
        <v>1.536</v>
      </c>
    </row>
    <row r="490">
      <c r="A490" s="4" t="str">
        <f>IFERROR(__xludf.DUMMYFUNCTION("""COMPUTED_VALUE"""),"376")</f>
        <v>376</v>
      </c>
      <c r="B490" s="4" t="str">
        <f>IFERROR(__xludf.DUMMYFUNCTION("""COMPUTED_VALUE"""),"Cartel PVC 40x30 Peligro Zona de Obras")</f>
        <v>Cartel PVC 40x30 Peligro Zona de Obras</v>
      </c>
      <c r="C490" s="4">
        <f>IFERROR(__xludf.DUMMYFUNCTION("""COMPUTED_VALUE"""),2.3808)</f>
        <v>2.3808</v>
      </c>
    </row>
    <row r="491">
      <c r="A491" s="4" t="str">
        <f>IFERROR(__xludf.DUMMYFUNCTION("""COMPUTED_VALUE"""),"0376P")</f>
        <v>0376P</v>
      </c>
      <c r="B491" s="4" t="str">
        <f>IFERROR(__xludf.DUMMYFUNCTION("""COMPUTED_VALUE"""),"Cartel PVC 21x29 PELIGRO ZONA DE OBRAS")</f>
        <v>Cartel PVC 21x29 PELIGRO ZONA DE OBRAS</v>
      </c>
      <c r="C491" s="4">
        <f>IFERROR(__xludf.DUMMYFUNCTION("""COMPUTED_VALUE"""),1.536)</f>
        <v>1.536</v>
      </c>
    </row>
    <row r="492">
      <c r="A492" s="4" t="str">
        <f>IFERROR(__xludf.DUMMYFUNCTION("""COMPUTED_VALUE"""),"377")</f>
        <v>377</v>
      </c>
      <c r="B492" s="4" t="str">
        <f>IFERROR(__xludf.DUMMYFUNCTION("""COMPUTED_VALUE"""),"Cartel PVC 40x30 Uso de minusvalidos")</f>
        <v>Cartel PVC 40x30 Uso de minusvalidos</v>
      </c>
      <c r="C492" s="4">
        <f>IFERROR(__xludf.DUMMYFUNCTION("""COMPUTED_VALUE"""),2.3808)</f>
        <v>2.3808</v>
      </c>
    </row>
    <row r="493">
      <c r="A493" s="4" t="str">
        <f>IFERROR(__xludf.DUMMYFUNCTION("""COMPUTED_VALUE"""),"0377P")</f>
        <v>0377P</v>
      </c>
      <c r="B493" s="4" t="str">
        <f>IFERROR(__xludf.DUMMYFUNCTION("""COMPUTED_VALUE"""),"Cartel PVC 21x29 USO DE MINUSVALIDOS")</f>
        <v>Cartel PVC 21x29 USO DE MINUSVALIDOS</v>
      </c>
      <c r="C493" s="4">
        <f>IFERROR(__xludf.DUMMYFUNCTION("""COMPUTED_VALUE"""),1.536)</f>
        <v>1.536</v>
      </c>
    </row>
    <row r="494">
      <c r="A494" s="4" t="str">
        <f>IFERROR(__xludf.DUMMYFUNCTION("""COMPUTED_VALUE"""),"378")</f>
        <v>378</v>
      </c>
      <c r="B494" s="4" t="str">
        <f>IFERROR(__xludf.DUMMYFUNCTION("""COMPUTED_VALUE"""),"Cartel PVC 40x30 Direccion obligatoria derecha")</f>
        <v>Cartel PVC 40x30 Direccion obligatoria derecha</v>
      </c>
      <c r="C494" s="4">
        <f>IFERROR(__xludf.DUMMYFUNCTION("""COMPUTED_VALUE"""),2.3808)</f>
        <v>2.3808</v>
      </c>
    </row>
    <row r="495">
      <c r="A495" s="4" t="str">
        <f>IFERROR(__xludf.DUMMYFUNCTION("""COMPUTED_VALUE"""),"0378P")</f>
        <v>0378P</v>
      </c>
      <c r="B495" s="4" t="str">
        <f>IFERROR(__xludf.DUMMYFUNCTION("""COMPUTED_VALUE"""),"Cartel PVC 21x29 DIRECCION OBLIGATORIA DERECHA")</f>
        <v>Cartel PVC 21x29 DIRECCION OBLIGATORIA DERECHA</v>
      </c>
      <c r="C495" s="4">
        <f>IFERROR(__xludf.DUMMYFUNCTION("""COMPUTED_VALUE"""),1.536)</f>
        <v>1.536</v>
      </c>
    </row>
    <row r="496">
      <c r="A496" s="4" t="str">
        <f>IFERROR(__xludf.DUMMYFUNCTION("""COMPUTED_VALUE"""),"379")</f>
        <v>379</v>
      </c>
      <c r="B496" s="4" t="str">
        <f>IFERROR(__xludf.DUMMYFUNCTION("""COMPUTED_VALUE"""),"Cartel PVC 40x30 Direccion obligatoria izquierda")</f>
        <v>Cartel PVC 40x30 Direccion obligatoria izquierda</v>
      </c>
      <c r="C496" s="4">
        <f>IFERROR(__xludf.DUMMYFUNCTION("""COMPUTED_VALUE"""),2.3808)</f>
        <v>2.3808</v>
      </c>
    </row>
    <row r="497">
      <c r="A497" s="4" t="str">
        <f>IFERROR(__xludf.DUMMYFUNCTION("""COMPUTED_VALUE"""),"0379P")</f>
        <v>0379P</v>
      </c>
      <c r="B497" s="4" t="str">
        <f>IFERROR(__xludf.DUMMYFUNCTION("""COMPUTED_VALUE"""),"Cartel PVC 21x29 DIRECCION OBLIGATORIA IZQUIERDA")</f>
        <v>Cartel PVC 21x29 DIRECCION OBLIGATORIA IZQUIERDA</v>
      </c>
      <c r="C497" s="4">
        <f>IFERROR(__xludf.DUMMYFUNCTION("""COMPUTED_VALUE"""),1.536)</f>
        <v>1.536</v>
      </c>
    </row>
    <row r="498">
      <c r="A498" s="4" t="str">
        <f>IFERROR(__xludf.DUMMYFUNCTION("""COMPUTED_VALUE"""),"380")</f>
        <v>380</v>
      </c>
      <c r="B498" s="4" t="str">
        <f>IFERROR(__xludf.DUMMYFUNCTION("""COMPUTED_VALUE"""),"Cartel PVC 40x30 Es obligatorio el uso de Mandil")</f>
        <v>Cartel PVC 40x30 Es obligatorio el uso de Mandil</v>
      </c>
      <c r="C498" s="4">
        <f>IFERROR(__xludf.DUMMYFUNCTION("""COMPUTED_VALUE"""),2.3808)</f>
        <v>2.3808</v>
      </c>
    </row>
    <row r="499">
      <c r="A499" s="4" t="str">
        <f>IFERROR(__xludf.DUMMYFUNCTION("""COMPUTED_VALUE"""),"0380P")</f>
        <v>0380P</v>
      </c>
      <c r="B499" s="4" t="str">
        <f>IFERROR(__xludf.DUMMYFUNCTION("""COMPUTED_VALUE"""),"Cartel PVC 21x29 OBLIGATORIO EL USO DE MANDIL")</f>
        <v>Cartel PVC 21x29 OBLIGATORIO EL USO DE MANDIL</v>
      </c>
      <c r="C499" s="4">
        <f>IFERROR(__xludf.DUMMYFUNCTION("""COMPUTED_VALUE"""),1.536)</f>
        <v>1.536</v>
      </c>
    </row>
    <row r="500">
      <c r="A500" s="4" t="str">
        <f>IFERROR(__xludf.DUMMYFUNCTION("""COMPUTED_VALUE"""),"381")</f>
        <v>381</v>
      </c>
      <c r="B500" s="4" t="str">
        <f>IFERROR(__xludf.DUMMYFUNCTION("""COMPUTED_VALUE"""),"Cartel PVC 40x30 Estrechamiento de calzada")</f>
        <v>Cartel PVC 40x30 Estrechamiento de calzada</v>
      </c>
      <c r="C500" s="4">
        <f>IFERROR(__xludf.DUMMYFUNCTION("""COMPUTED_VALUE"""),2.3808)</f>
        <v>2.3808</v>
      </c>
    </row>
    <row r="501">
      <c r="A501" s="4" t="str">
        <f>IFERROR(__xludf.DUMMYFUNCTION("""COMPUTED_VALUE"""),"0381P")</f>
        <v>0381P</v>
      </c>
      <c r="B501" s="4" t="str">
        <f>IFERROR(__xludf.DUMMYFUNCTION("""COMPUTED_VALUE"""),"Cartel PVC 21x29 ESTRECHAMIENTO CALZADA CENTRAL")</f>
        <v>Cartel PVC 21x29 ESTRECHAMIENTO CALZADA CENTRAL</v>
      </c>
      <c r="C501" s="4">
        <f>IFERROR(__xludf.DUMMYFUNCTION("""COMPUTED_VALUE"""),1.536)</f>
        <v>1.536</v>
      </c>
    </row>
    <row r="502">
      <c r="A502" s="4" t="str">
        <f>IFERROR(__xludf.DUMMYFUNCTION("""COMPUTED_VALUE"""),"382")</f>
        <v>382</v>
      </c>
      <c r="B502" s="4" t="str">
        <f>IFERROR(__xludf.DUMMYFUNCTION("""COMPUTED_VALUE"""),"Cartel PVC 40x30 Estrechamiento calzada por la derecha")</f>
        <v>Cartel PVC 40x30 Estrechamiento calzada por la derecha</v>
      </c>
      <c r="C502" s="4">
        <f>IFERROR(__xludf.DUMMYFUNCTION("""COMPUTED_VALUE"""),2.3808)</f>
        <v>2.3808</v>
      </c>
    </row>
    <row r="503">
      <c r="A503" s="4" t="str">
        <f>IFERROR(__xludf.DUMMYFUNCTION("""COMPUTED_VALUE"""),"0382P")</f>
        <v>0382P</v>
      </c>
      <c r="B503" s="4" t="str">
        <f>IFERROR(__xludf.DUMMYFUNCTION("""COMPUTED_VALUE"""),"Cartel PVC 21x29 ESTRECHAMIENTO CALZADA POR DCHA")</f>
        <v>Cartel PVC 21x29 ESTRECHAMIENTO CALZADA POR DCHA</v>
      </c>
      <c r="C503" s="4">
        <f>IFERROR(__xludf.DUMMYFUNCTION("""COMPUTED_VALUE"""),1.536)</f>
        <v>1.536</v>
      </c>
    </row>
    <row r="504">
      <c r="A504" s="4" t="str">
        <f>IFERROR(__xludf.DUMMYFUNCTION("""COMPUTED_VALUE"""),"383")</f>
        <v>383</v>
      </c>
      <c r="B504" s="4" t="str">
        <f>IFERROR(__xludf.DUMMYFUNCTION("""COMPUTED_VALUE"""),"Cartel PVC 40x30 Estrechamiento calzada por la izq.")</f>
        <v>Cartel PVC 40x30 Estrechamiento calzada por la izq.</v>
      </c>
      <c r="C504" s="4">
        <f>IFERROR(__xludf.DUMMYFUNCTION("""COMPUTED_VALUE"""),2.3808)</f>
        <v>2.3808</v>
      </c>
    </row>
    <row r="505">
      <c r="A505" s="4" t="str">
        <f>IFERROR(__xludf.DUMMYFUNCTION("""COMPUTED_VALUE"""),"0383P")</f>
        <v>0383P</v>
      </c>
      <c r="B505" s="4" t="str">
        <f>IFERROR(__xludf.DUMMYFUNCTION("""COMPUTED_VALUE"""),"Cartel PVC 21x29 ESTRECHAMIENTO CALZADA POR IZQ.")</f>
        <v>Cartel PVC 21x29 ESTRECHAMIENTO CALZADA POR IZQ.</v>
      </c>
      <c r="C505" s="4">
        <f>IFERROR(__xludf.DUMMYFUNCTION("""COMPUTED_VALUE"""),1.536)</f>
        <v>1.536</v>
      </c>
    </row>
    <row r="506">
      <c r="A506" s="4" t="str">
        <f>IFERROR(__xludf.DUMMYFUNCTION("""COMPUTED_VALUE"""),"384")</f>
        <v>384</v>
      </c>
      <c r="B506" s="4" t="str">
        <f>IFERROR(__xludf.DUMMYFUNCTION("""COMPUTED_VALUE"""),"Cartel PVC 40x30 Peligro cable suspendido")</f>
        <v>Cartel PVC 40x30 Peligro cable suspendido</v>
      </c>
      <c r="C506" s="4">
        <f>IFERROR(__xludf.DUMMYFUNCTION("""COMPUTED_VALUE"""),2.3808)</f>
        <v>2.3808</v>
      </c>
    </row>
    <row r="507">
      <c r="A507" s="4" t="str">
        <f>IFERROR(__xludf.DUMMYFUNCTION("""COMPUTED_VALUE"""),"0384P")</f>
        <v>0384P</v>
      </c>
      <c r="B507" s="4" t="str">
        <f>IFERROR(__xludf.DUMMYFUNCTION("""COMPUTED_VALUE"""),"Cartel PVC 21x29 PELIGRO CABLE SUSPENDIDO")</f>
        <v>Cartel PVC 21x29 PELIGRO CABLE SUSPENDIDO</v>
      </c>
      <c r="C507" s="4">
        <f>IFERROR(__xludf.DUMMYFUNCTION("""COMPUTED_VALUE"""),1.536)</f>
        <v>1.536</v>
      </c>
    </row>
    <row r="508">
      <c r="A508" s="4" t="str">
        <f>IFERROR(__xludf.DUMMYFUNCTION("""COMPUTED_VALUE"""),"385")</f>
        <v>385</v>
      </c>
      <c r="B508" s="4" t="str">
        <f>IFERROR(__xludf.DUMMYFUNCTION("""COMPUTED_VALUE"""),"Cartel PVC 40x30 Caida al mismo nivel")</f>
        <v>Cartel PVC 40x30 Caida al mismo nivel</v>
      </c>
      <c r="C508" s="4">
        <f>IFERROR(__xludf.DUMMYFUNCTION("""COMPUTED_VALUE"""),2.3808)</f>
        <v>2.3808</v>
      </c>
    </row>
    <row r="509">
      <c r="A509" s="4" t="str">
        <f>IFERROR(__xludf.DUMMYFUNCTION("""COMPUTED_VALUE"""),"0385P")</f>
        <v>0385P</v>
      </c>
      <c r="B509" s="4" t="str">
        <f>IFERROR(__xludf.DUMMYFUNCTION("""COMPUTED_VALUE"""),"Cartel PVC 21x29 CAIDA AL MISMO NIVEL")</f>
        <v>Cartel PVC 21x29 CAIDA AL MISMO NIVEL</v>
      </c>
      <c r="C509" s="4">
        <f>IFERROR(__xludf.DUMMYFUNCTION("""COMPUTED_VALUE"""),1.536)</f>
        <v>1.536</v>
      </c>
    </row>
    <row r="510">
      <c r="A510" s="4" t="str">
        <f>IFERROR(__xludf.DUMMYFUNCTION("""COMPUTED_VALUE"""),"386")</f>
        <v>386</v>
      </c>
      <c r="B510" s="4" t="str">
        <f>IFERROR(__xludf.DUMMYFUNCTION("""COMPUTED_VALUE"""),"Cartel PVC 40x30 Peligro Amianto")</f>
        <v>Cartel PVC 40x30 Peligro Amianto</v>
      </c>
      <c r="C510" s="4">
        <f>IFERROR(__xludf.DUMMYFUNCTION("""COMPUTED_VALUE"""),2.3808)</f>
        <v>2.3808</v>
      </c>
    </row>
    <row r="511">
      <c r="A511" s="4" t="str">
        <f>IFERROR(__xludf.DUMMYFUNCTION("""COMPUTED_VALUE"""),"0386P")</f>
        <v>0386P</v>
      </c>
      <c r="B511" s="4" t="str">
        <f>IFERROR(__xludf.DUMMYFUNCTION("""COMPUTED_VALUE"""),"Cartel PVC 21x29 PELIGRO AMIANTO")</f>
        <v>Cartel PVC 21x29 PELIGRO AMIANTO</v>
      </c>
      <c r="C511" s="4">
        <f>IFERROR(__xludf.DUMMYFUNCTION("""COMPUTED_VALUE"""),1.536)</f>
        <v>1.536</v>
      </c>
    </row>
    <row r="512">
      <c r="A512" s="4" t="str">
        <f>IFERROR(__xludf.DUMMYFUNCTION("""COMPUTED_VALUE"""),"387")</f>
        <v>387</v>
      </c>
      <c r="B512" s="4" t="str">
        <f>IFERROR(__xludf.DUMMYFUNCTION("""COMPUTED_VALUE"""),"Cartel PVC 40x30 Uso obligatorio de luces de cruce")</f>
        <v>Cartel PVC 40x30 Uso obligatorio de luces de cruce</v>
      </c>
      <c r="C512" s="4">
        <f>IFERROR(__xludf.DUMMYFUNCTION("""COMPUTED_VALUE"""),2.3808)</f>
        <v>2.3808</v>
      </c>
    </row>
    <row r="513">
      <c r="A513" s="4" t="str">
        <f>IFERROR(__xludf.DUMMYFUNCTION("""COMPUTED_VALUE"""),"0387P")</f>
        <v>0387P</v>
      </c>
      <c r="B513" s="4" t="str">
        <f>IFERROR(__xludf.DUMMYFUNCTION("""COMPUTED_VALUE"""),"Cartel PVC 21X29 OBLIGATORIO USO DE LUCES DE")</f>
        <v>Cartel PVC 21X29 OBLIGATORIO USO DE LUCES DE</v>
      </c>
      <c r="C513" s="4">
        <f>IFERROR(__xludf.DUMMYFUNCTION("""COMPUTED_VALUE"""),1.536)</f>
        <v>1.536</v>
      </c>
    </row>
    <row r="514">
      <c r="A514" s="4" t="str">
        <f>IFERROR(__xludf.DUMMYFUNCTION("""COMPUTED_VALUE"""),"388")</f>
        <v>388</v>
      </c>
      <c r="B514" s="4" t="str">
        <f>IFERROR(__xludf.DUMMYFUNCTION("""COMPUTED_VALUE"""),"Cartel PVC 40x30 Uso obligatorio de chaleco alta visibilidad")</f>
        <v>Cartel PVC 40x30 Uso obligatorio de chaleco alta visibilidad</v>
      </c>
      <c r="C514" s="4">
        <f>IFERROR(__xludf.DUMMYFUNCTION("""COMPUTED_VALUE"""),2.3808)</f>
        <v>2.3808</v>
      </c>
    </row>
    <row r="515">
      <c r="A515" s="4" t="str">
        <f>IFERROR(__xludf.DUMMYFUNCTION("""COMPUTED_VALUE"""),"0388P")</f>
        <v>0388P</v>
      </c>
      <c r="B515" s="4" t="str">
        <f>IFERROR(__xludf.DUMMYFUNCTION("""COMPUTED_VALUE"""),"Cartel PVC 21x29 OBLIGATORIO EL USO CHALECO ALTA")</f>
        <v>Cartel PVC 21x29 OBLIGATORIO EL USO CHALECO ALTA</v>
      </c>
      <c r="C515" s="4">
        <f>IFERROR(__xludf.DUMMYFUNCTION("""COMPUTED_VALUE"""),1.536)</f>
        <v>1.536</v>
      </c>
    </row>
    <row r="516">
      <c r="A516" s="4" t="str">
        <f>IFERROR(__xludf.DUMMYFUNCTION("""COMPUTED_VALUE"""),"389")</f>
        <v>389</v>
      </c>
      <c r="B516" s="4" t="str">
        <f>IFERROR(__xludf.DUMMYFUNCTION("""COMPUTED_VALUE"""),"Cartel 50x70 cm c/ojales CALLE CORTADA POR OBRAS (o")</f>
        <v>Cartel 50x70 cm c/ojales CALLE CORTADA POR OBRAS (o</v>
      </c>
      <c r="C516" s="4">
        <f>IFERROR(__xludf.DUMMYFUNCTION("""COMPUTED_VALUE"""),9.571200000000001)</f>
        <v>9.5712</v>
      </c>
    </row>
    <row r="517">
      <c r="A517" s="4" t="str">
        <f>IFERROR(__xludf.DUMMYFUNCTION("""COMPUTED_VALUE"""),"390")</f>
        <v>390</v>
      </c>
      <c r="B517" s="4" t="str">
        <f>IFERROR(__xludf.DUMMYFUNCTION("""COMPUTED_VALUE"""),"Cartel PVC 50x70 Combinado")</f>
        <v>Cartel PVC 50x70 Combinado</v>
      </c>
      <c r="C517" s="4">
        <f>IFERROR(__xludf.DUMMYFUNCTION("""COMPUTED_VALUE"""),5.232)</f>
        <v>5.232</v>
      </c>
    </row>
    <row r="518">
      <c r="A518" s="4" t="str">
        <f>IFERROR(__xludf.DUMMYFUNCTION("""COMPUTED_VALUE"""),"0390PA")</f>
        <v>0390PA</v>
      </c>
      <c r="B518" s="4" t="str">
        <f>IFERROR(__xludf.DUMMYFUNCTION("""COMPUTED_VALUE"""),"Cartel Poliet. 50x70 PROHIBIDO APARCAR CON HORARIO")</f>
        <v>Cartel Poliet. 50x70 PROHIBIDO APARCAR CON HORARIO</v>
      </c>
      <c r="C518" s="4">
        <f>IFERROR(__xludf.DUMMYFUNCTION("""COMPUTED_VALUE"""),6.72)</f>
        <v>6.72</v>
      </c>
    </row>
    <row r="519">
      <c r="A519" s="4" t="str">
        <f>IFERROR(__xludf.DUMMYFUNCTION("""COMPUTED_VALUE"""),"391")</f>
        <v>391</v>
      </c>
      <c r="B519" s="4" t="str">
        <f>IFERROR(__xludf.DUMMYFUNCTION("""COMPUTED_VALUE"""),"Señal PVC suelo plegable")</f>
        <v>Señal PVC suelo plegable</v>
      </c>
      <c r="C519" s="4">
        <f>IFERROR(__xludf.DUMMYFUNCTION("""COMPUTED_VALUE"""),5.712)</f>
        <v>5.712</v>
      </c>
    </row>
    <row r="520">
      <c r="A520" s="4" t="str">
        <f>IFERROR(__xludf.DUMMYFUNCTION("""COMPUTED_VALUE"""),"0391P")</f>
        <v>0391P</v>
      </c>
      <c r="B520" s="4" t="str">
        <f>IFERROR(__xludf.DUMMYFUNCTION("""COMPUTED_VALUE"""),"Caballete plegable amarillo señalizacion personalizado")</f>
        <v>Caballete plegable amarillo señalizacion personalizado</v>
      </c>
      <c r="C520" s="4">
        <f>IFERROR(__xludf.DUMMYFUNCTION("""COMPUTED_VALUE"""),8.64)</f>
        <v>8.64</v>
      </c>
    </row>
    <row r="521">
      <c r="A521" s="4" t="str">
        <f>IFERROR(__xludf.DUMMYFUNCTION("""COMPUTED_VALUE"""),"392")</f>
        <v>392</v>
      </c>
      <c r="B521" s="4" t="str">
        <f>IFERROR(__xludf.DUMMYFUNCTION("""COMPUTED_VALUE"""),"Cartel PVC 40x30 Limite vel. 10")</f>
        <v>Cartel PVC 40x30 Limite vel. 10</v>
      </c>
      <c r="C521" s="4">
        <f>IFERROR(__xludf.DUMMYFUNCTION("""COMPUTED_VALUE"""),2.3808)</f>
        <v>2.3808</v>
      </c>
    </row>
    <row r="522">
      <c r="A522" s="4" t="str">
        <f>IFERROR(__xludf.DUMMYFUNCTION("""COMPUTED_VALUE"""),"0392P")</f>
        <v>0392P</v>
      </c>
      <c r="B522" s="4" t="str">
        <f>IFERROR(__xludf.DUMMYFUNCTION("""COMPUTED_VALUE"""),"Cartel PVC 21x29 VELOCIDAD MAXIMA 10")</f>
        <v>Cartel PVC 21x29 VELOCIDAD MAXIMA 10</v>
      </c>
      <c r="C522" s="4">
        <f>IFERROR(__xludf.DUMMYFUNCTION("""COMPUTED_VALUE"""),1.536)</f>
        <v>1.536</v>
      </c>
    </row>
    <row r="523">
      <c r="A523" s="4" t="str">
        <f>IFERROR(__xludf.DUMMYFUNCTION("""COMPUTED_VALUE"""),"393")</f>
        <v>393</v>
      </c>
      <c r="B523" s="4" t="str">
        <f>IFERROR(__xludf.DUMMYFUNCTION("""COMPUTED_VALUE"""),"Cartel PVC 40x30 Limite vel. 20")</f>
        <v>Cartel PVC 40x30 Limite vel. 20</v>
      </c>
      <c r="C523" s="4">
        <f>IFERROR(__xludf.DUMMYFUNCTION("""COMPUTED_VALUE"""),2.3808)</f>
        <v>2.3808</v>
      </c>
    </row>
    <row r="524">
      <c r="A524" s="4" t="str">
        <f>IFERROR(__xludf.DUMMYFUNCTION("""COMPUTED_VALUE"""),"0393P")</f>
        <v>0393P</v>
      </c>
      <c r="B524" s="4" t="str">
        <f>IFERROR(__xludf.DUMMYFUNCTION("""COMPUTED_VALUE"""),"Cartel PVC 21x29 VELOCIDAD MAXIMA 20")</f>
        <v>Cartel PVC 21x29 VELOCIDAD MAXIMA 20</v>
      </c>
      <c r="C524" s="4">
        <f>IFERROR(__xludf.DUMMYFUNCTION("""COMPUTED_VALUE"""),1.536)</f>
        <v>1.536</v>
      </c>
    </row>
    <row r="525">
      <c r="A525" s="4" t="str">
        <f>IFERROR(__xludf.DUMMYFUNCTION("""COMPUTED_VALUE"""),"394")</f>
        <v>394</v>
      </c>
      <c r="B525" s="4" t="str">
        <f>IFERROR(__xludf.DUMMYFUNCTION("""COMPUTED_VALUE"""),"Cartel PVC 40x30 Limite vel. 30")</f>
        <v>Cartel PVC 40x30 Limite vel. 30</v>
      </c>
      <c r="C525" s="4">
        <f>IFERROR(__xludf.DUMMYFUNCTION("""COMPUTED_VALUE"""),2.3808)</f>
        <v>2.3808</v>
      </c>
    </row>
    <row r="526">
      <c r="A526" s="4" t="str">
        <f>IFERROR(__xludf.DUMMYFUNCTION("""COMPUTED_VALUE"""),"0394P")</f>
        <v>0394P</v>
      </c>
      <c r="B526" s="4" t="str">
        <f>IFERROR(__xludf.DUMMYFUNCTION("""COMPUTED_VALUE"""),"Cartel PVC 21x29 VELOCIDAD MAXIMA 30")</f>
        <v>Cartel PVC 21x29 VELOCIDAD MAXIMA 30</v>
      </c>
      <c r="C526" s="4">
        <f>IFERROR(__xludf.DUMMYFUNCTION("""COMPUTED_VALUE"""),1.536)</f>
        <v>1.536</v>
      </c>
    </row>
    <row r="527">
      <c r="A527" s="4" t="str">
        <f>IFERROR(__xludf.DUMMYFUNCTION("""COMPUTED_VALUE"""),"395")</f>
        <v>395</v>
      </c>
      <c r="B527" s="4" t="str">
        <f>IFERROR(__xludf.DUMMYFUNCTION("""COMPUTED_VALUE"""),"Cartel PVC 40x30 Limite vel. 40")</f>
        <v>Cartel PVC 40x30 Limite vel. 40</v>
      </c>
      <c r="C527" s="4">
        <f>IFERROR(__xludf.DUMMYFUNCTION("""COMPUTED_VALUE"""),2.3808)</f>
        <v>2.3808</v>
      </c>
    </row>
    <row r="528">
      <c r="A528" s="4" t="str">
        <f>IFERROR(__xludf.DUMMYFUNCTION("""COMPUTED_VALUE"""),"0395P")</f>
        <v>0395P</v>
      </c>
      <c r="B528" s="4" t="str">
        <f>IFERROR(__xludf.DUMMYFUNCTION("""COMPUTED_VALUE"""),"Cartel PVC 21x29 VELOCIDAD MAXIMA 40")</f>
        <v>Cartel PVC 21x29 VELOCIDAD MAXIMA 40</v>
      </c>
      <c r="C528" s="4">
        <f>IFERROR(__xludf.DUMMYFUNCTION("""COMPUTED_VALUE"""),1.536)</f>
        <v>1.536</v>
      </c>
    </row>
    <row r="529">
      <c r="A529" s="4" t="str">
        <f>IFERROR(__xludf.DUMMYFUNCTION("""COMPUTED_VALUE"""),"396")</f>
        <v>396</v>
      </c>
      <c r="B529" s="4" t="str">
        <f>IFERROR(__xludf.DUMMYFUNCTION("""COMPUTED_VALUE"""),"Cartel PVC 21x29 Fotolum. Columna movil extinción")</f>
        <v>Cartel PVC 21x29 Fotolum. Columna movil extinción</v>
      </c>
      <c r="C529" s="4">
        <f>IFERROR(__xludf.DUMMYFUNCTION("""COMPUTED_VALUE"""),2.496)</f>
        <v>2.496</v>
      </c>
    </row>
    <row r="530">
      <c r="A530" s="4" t="str">
        <f>IFERROR(__xludf.DUMMYFUNCTION("""COMPUTED_VALUE"""),"0396A")</f>
        <v>0396A</v>
      </c>
      <c r="B530" s="4" t="str">
        <f>IFERROR(__xludf.DUMMYFUNCTION("""COMPUTED_VALUE"""),"Cartel PVC 21x30 Fotolum. Carro extintor")</f>
        <v>Cartel PVC 21x30 Fotolum. Carro extintor</v>
      </c>
      <c r="C530" s="4">
        <f>IFERROR(__xludf.DUMMYFUNCTION("""COMPUTED_VALUE"""),2.4192)</f>
        <v>2.4192</v>
      </c>
    </row>
    <row r="531">
      <c r="A531" s="4" t="str">
        <f>IFERROR(__xludf.DUMMYFUNCTION("""COMPUTED_VALUE"""),"0396B")</f>
        <v>0396B</v>
      </c>
      <c r="B531" s="4" t="str">
        <f>IFERROR(__xludf.DUMMYFUNCTION("""COMPUTED_VALUE"""),"Cartel PVC 40x30 Fotolum. Carro extintor")</f>
        <v>Cartel PVC 40x30 Fotolum. Carro extintor</v>
      </c>
      <c r="C531" s="4">
        <f>IFERROR(__xludf.DUMMYFUNCTION("""COMPUTED_VALUE"""),2.976)</f>
        <v>2.976</v>
      </c>
    </row>
    <row r="532">
      <c r="A532" s="4" t="str">
        <f>IFERROR(__xludf.DUMMYFUNCTION("""COMPUTED_VALUE"""),"397")</f>
        <v>397</v>
      </c>
      <c r="B532" s="4" t="str">
        <f>IFERROR(__xludf.DUMMYFUNCTION("""COMPUTED_VALUE"""),"Cartel PVC 21x29 Fotolum. Sin salida")</f>
        <v>Cartel PVC 21x29 Fotolum. Sin salida</v>
      </c>
      <c r="C532" s="4">
        <f>IFERROR(__xludf.DUMMYFUNCTION("""COMPUTED_VALUE"""),2.496)</f>
        <v>2.496</v>
      </c>
    </row>
    <row r="533">
      <c r="A533" s="4" t="str">
        <f>IFERROR(__xludf.DUMMYFUNCTION("""COMPUTED_VALUE"""),"0397A")</f>
        <v>0397A</v>
      </c>
      <c r="B533" s="4" t="str">
        <f>IFERROR(__xludf.DUMMYFUNCTION("""COMPUTED_VALUE"""),"Cartel PVC 32x16 Fotolum. Sin Salida")</f>
        <v>Cartel PVC 32x16 Fotolum. Sin Salida</v>
      </c>
      <c r="C533" s="4">
        <f>IFERROR(__xludf.DUMMYFUNCTION("""COMPUTED_VALUE"""),2.16)</f>
        <v>2.16</v>
      </c>
    </row>
    <row r="534">
      <c r="A534" s="4" t="str">
        <f>IFERROR(__xludf.DUMMYFUNCTION("""COMPUTED_VALUE"""),"0397B")</f>
        <v>0397B</v>
      </c>
      <c r="B534" s="4" t="str">
        <f>IFERROR(__xludf.DUMMYFUNCTION("""COMPUTED_VALUE"""),"Cartel PVC 64x32 Fotolum. Sin Salida")</f>
        <v>Cartel PVC 64x32 Fotolum. Sin Salida</v>
      </c>
      <c r="C534" s="4">
        <f>IFERROR(__xludf.DUMMYFUNCTION("""COMPUTED_VALUE"""),4.300800000000001)</f>
        <v>4.3008</v>
      </c>
    </row>
    <row r="535">
      <c r="A535" s="4" t="str">
        <f>IFERROR(__xludf.DUMMYFUNCTION("""COMPUTED_VALUE"""),"0397C")</f>
        <v>0397C</v>
      </c>
      <c r="B535" s="4" t="str">
        <f>IFERROR(__xludf.DUMMYFUNCTION("""COMPUTED_VALUE"""),"Cartel PVC 96x48 Fotolum. Sin Salida")</f>
        <v>Cartel PVC 96x48 Fotolum. Sin Salida</v>
      </c>
      <c r="C535" s="4">
        <f>IFERROR(__xludf.DUMMYFUNCTION("""COMPUTED_VALUE"""),8.6304)</f>
        <v>8.6304</v>
      </c>
    </row>
    <row r="536">
      <c r="A536" s="4" t="str">
        <f>IFERROR(__xludf.DUMMYFUNCTION("""COMPUTED_VALUE"""),"398")</f>
        <v>398</v>
      </c>
      <c r="B536" s="4" t="str">
        <f>IFERROR(__xludf.DUMMYFUNCTION("""COMPUTED_VALUE"""),"Cartel PVC 21x29 Fotolum. Flecha")</f>
        <v>Cartel PVC 21x29 Fotolum. Flecha</v>
      </c>
      <c r="C536" s="4">
        <f>IFERROR(__xludf.DUMMYFUNCTION("""COMPUTED_VALUE"""),2.496)</f>
        <v>2.496</v>
      </c>
    </row>
    <row r="537">
      <c r="A537" s="4" t="str">
        <f>IFERROR(__xludf.DUMMYFUNCTION("""COMPUTED_VALUE"""),"0398DA")</f>
        <v>0398DA</v>
      </c>
      <c r="B537" s="4" t="str">
        <f>IFERROR(__xludf.DUMMYFUNCTION("""COMPUTED_VALUE"""),"Cartel PVC 32x16 Fotolum. Flecha derecha")</f>
        <v>Cartel PVC 32x16 Fotolum. Flecha derecha</v>
      </c>
      <c r="C537" s="4">
        <f>IFERROR(__xludf.DUMMYFUNCTION("""COMPUTED_VALUE"""),2.16)</f>
        <v>2.16</v>
      </c>
    </row>
    <row r="538">
      <c r="A538" s="4" t="str">
        <f>IFERROR(__xludf.DUMMYFUNCTION("""COMPUTED_VALUE"""),"0398DB")</f>
        <v>0398DB</v>
      </c>
      <c r="B538" s="4" t="str">
        <f>IFERROR(__xludf.DUMMYFUNCTION("""COMPUTED_VALUE"""),"Cartel PVC 64x32 Fotolum. Flecha derecha")</f>
        <v>Cartel PVC 64x32 Fotolum. Flecha derecha</v>
      </c>
      <c r="C538" s="4">
        <f>IFERROR(__xludf.DUMMYFUNCTION("""COMPUTED_VALUE"""),4.300800000000001)</f>
        <v>4.3008</v>
      </c>
    </row>
    <row r="539">
      <c r="A539" s="4" t="str">
        <f>IFERROR(__xludf.DUMMYFUNCTION("""COMPUTED_VALUE"""),"0398DC")</f>
        <v>0398DC</v>
      </c>
      <c r="B539" s="4" t="str">
        <f>IFERROR(__xludf.DUMMYFUNCTION("""COMPUTED_VALUE"""),"Cartel PVC 96x48 Fotolum. Flecha derecha")</f>
        <v>Cartel PVC 96x48 Fotolum. Flecha derecha</v>
      </c>
      <c r="C539" s="4">
        <f>IFERROR(__xludf.DUMMYFUNCTION("""COMPUTED_VALUE"""),8.601600000000001)</f>
        <v>8.6016</v>
      </c>
    </row>
    <row r="540">
      <c r="A540" s="4" t="str">
        <f>IFERROR(__xludf.DUMMYFUNCTION("""COMPUTED_VALUE"""),"0398IA")</f>
        <v>0398IA</v>
      </c>
      <c r="B540" s="4" t="str">
        <f>IFERROR(__xludf.DUMMYFUNCTION("""COMPUTED_VALUE"""),"Cartel PVC 32x16 Fotolum. Flecha izquierda")</f>
        <v>Cartel PVC 32x16 Fotolum. Flecha izquierda</v>
      </c>
      <c r="C540" s="4">
        <f>IFERROR(__xludf.DUMMYFUNCTION("""COMPUTED_VALUE"""),2.16)</f>
        <v>2.16</v>
      </c>
    </row>
    <row r="541">
      <c r="A541" s="4" t="str">
        <f>IFERROR(__xludf.DUMMYFUNCTION("""COMPUTED_VALUE"""),"0398IB")</f>
        <v>0398IB</v>
      </c>
      <c r="B541" s="4" t="str">
        <f>IFERROR(__xludf.DUMMYFUNCTION("""COMPUTED_VALUE"""),"Cartel PVC 64x32 Fotolum. Flecha derecha")</f>
        <v>Cartel PVC 64x32 Fotolum. Flecha derecha</v>
      </c>
      <c r="C541" s="4">
        <f>IFERROR(__xludf.DUMMYFUNCTION("""COMPUTED_VALUE"""),4.300800000000001)</f>
        <v>4.3008</v>
      </c>
    </row>
    <row r="542">
      <c r="A542" s="4" t="str">
        <f>IFERROR(__xludf.DUMMYFUNCTION("""COMPUTED_VALUE"""),"0398IC")</f>
        <v>0398IC</v>
      </c>
      <c r="B542" s="4" t="str">
        <f>IFERROR(__xludf.DUMMYFUNCTION("""COMPUTED_VALUE"""),"Cartel PVC 96x48 Fotolum. Flecha derecha")</f>
        <v>Cartel PVC 96x48 Fotolum. Flecha derecha</v>
      </c>
      <c r="C542" s="4">
        <f>IFERROR(__xludf.DUMMYFUNCTION("""COMPUTED_VALUE"""),8.601600000000001)</f>
        <v>8.6016</v>
      </c>
    </row>
    <row r="543">
      <c r="A543" s="4" t="str">
        <f>IFERROR(__xludf.DUMMYFUNCTION("""COMPUTED_VALUE"""),"399")</f>
        <v>399</v>
      </c>
      <c r="B543" s="4" t="str">
        <f>IFERROR(__xludf.DUMMYFUNCTION("""COMPUTED_VALUE"""),"Cartel PVC 40x30 Calle cortada por obra")</f>
        <v>Cartel PVC 40x30 Calle cortada por obra</v>
      </c>
      <c r="C543" s="4">
        <f>IFERROR(__xludf.DUMMYFUNCTION("""COMPUTED_VALUE"""),2.3808)</f>
        <v>2.3808</v>
      </c>
    </row>
    <row r="544">
      <c r="A544" s="4" t="str">
        <f>IFERROR(__xludf.DUMMYFUNCTION("""COMPUTED_VALUE"""),"400")</f>
        <v>400</v>
      </c>
      <c r="B544" s="4" t="str">
        <f>IFERROR(__xludf.DUMMYFUNCTION("""COMPUTED_VALUE"""),"Bolsa negra perforada cubre señales trafico")</f>
        <v>Bolsa negra perforada cubre señales trafico</v>
      </c>
      <c r="C544" s="4">
        <f>IFERROR(__xludf.DUMMYFUNCTION("""COMPUTED_VALUE"""),1.632)</f>
        <v>1.632</v>
      </c>
    </row>
    <row r="545">
      <c r="A545" s="4" t="str">
        <f>IFERROR(__xludf.DUMMYFUNCTION("""COMPUTED_VALUE"""),"401")</f>
        <v>401</v>
      </c>
      <c r="B545" s="4" t="str">
        <f>IFERROR(__xludf.DUMMYFUNCTION("""COMPUTED_VALUE"""),"Se¤al Bolsa de plastico nº1 DIRECION PROHIB.")</f>
        <v>Se¤al Bolsa de plastico nº1 DIRECION PROHIB.</v>
      </c>
      <c r="C545" s="4">
        <f>IFERROR(__xludf.DUMMYFUNCTION("""COMPUTED_VALUE"""),1.632)</f>
        <v>1.632</v>
      </c>
    </row>
    <row r="546">
      <c r="A546" s="4" t="str">
        <f>IFERROR(__xludf.DUMMYFUNCTION("""COMPUTED_VALUE"""),"402")</f>
        <v>402</v>
      </c>
      <c r="B546" s="4" t="str">
        <f>IFERROR(__xludf.DUMMYFUNCTION("""COMPUTED_VALUE"""),"Señal Bolsa de plastico nº 2 STOP")</f>
        <v>Señal Bolsa de plastico nº 2 STOP</v>
      </c>
      <c r="C546" s="4">
        <f>IFERROR(__xludf.DUMMYFUNCTION("""COMPUTED_VALUE"""),1.632)</f>
        <v>1.632</v>
      </c>
    </row>
    <row r="547">
      <c r="A547" s="4" t="str">
        <f>IFERROR(__xludf.DUMMYFUNCTION("""COMPUTED_VALUE"""),"403")</f>
        <v>403</v>
      </c>
      <c r="B547" s="4" t="str">
        <f>IFERROR(__xludf.DUMMYFUNCTION("""COMPUTED_VALUE"""),"Señal Bolsa de plastico nº 3 DIR. OBL. DERECHA")</f>
        <v>Señal Bolsa de plastico nº 3 DIR. OBL. DERECHA</v>
      </c>
      <c r="C547" s="4">
        <f>IFERROR(__xludf.DUMMYFUNCTION("""COMPUTED_VALUE"""),1.632)</f>
        <v>1.632</v>
      </c>
    </row>
    <row r="548">
      <c r="A548" s="4" t="str">
        <f>IFERROR(__xludf.DUMMYFUNCTION("""COMPUTED_VALUE"""),"404")</f>
        <v>404</v>
      </c>
      <c r="B548" s="4" t="str">
        <f>IFERROR(__xludf.DUMMYFUNCTION("""COMPUTED_VALUE"""),"Señal Bolsa de plastico nº 4 PELIGRO INDEF")</f>
        <v>Señal Bolsa de plastico nº 4 PELIGRO INDEF</v>
      </c>
      <c r="C548" s="4">
        <f>IFERROR(__xludf.DUMMYFUNCTION("""COMPUTED_VALUE"""),1.632)</f>
        <v>1.632</v>
      </c>
    </row>
    <row r="549">
      <c r="A549" s="4" t="str">
        <f>IFERROR(__xludf.DUMMYFUNCTION("""COMPUTED_VALUE"""),"405")</f>
        <v>405</v>
      </c>
      <c r="B549" s="4" t="str">
        <f>IFERROR(__xludf.DUMMYFUNCTION("""COMPUTED_VALUE"""),"Señal Bolsa de plastico nº 5 OBRAS")</f>
        <v>Señal Bolsa de plastico nº 5 OBRAS</v>
      </c>
      <c r="C549" s="4">
        <f>IFERROR(__xludf.DUMMYFUNCTION("""COMPUTED_VALUE"""),1.632)</f>
        <v>1.632</v>
      </c>
    </row>
    <row r="550">
      <c r="A550" s="4" t="str">
        <f>IFERROR(__xludf.DUMMYFUNCTION("""COMPUTED_VALUE"""),"406")</f>
        <v>406</v>
      </c>
      <c r="B550" s="4" t="str">
        <f>IFERROR(__xludf.DUMMYFUNCTION("""COMPUTED_VALUE"""),"Señal Bolsa de plastico nº 6 VEL. 40")</f>
        <v>Señal Bolsa de plastico nº 6 VEL. 40</v>
      </c>
      <c r="C550" s="4">
        <f>IFERROR(__xludf.DUMMYFUNCTION("""COMPUTED_VALUE"""),1.632)</f>
        <v>1.632</v>
      </c>
    </row>
    <row r="551">
      <c r="A551" s="4" t="str">
        <f>IFERROR(__xludf.DUMMYFUNCTION("""COMPUTED_VALUE"""),"407")</f>
        <v>407</v>
      </c>
      <c r="B551" s="4" t="str">
        <f>IFERROR(__xludf.DUMMYFUNCTION("""COMPUTED_VALUE"""),"Señal Bolsa de plastico nº 7 VEL. 60")</f>
        <v>Señal Bolsa de plastico nº 7 VEL. 60</v>
      </c>
      <c r="C551" s="4">
        <f>IFERROR(__xludf.DUMMYFUNCTION("""COMPUTED_VALUE"""),1.632)</f>
        <v>1.632</v>
      </c>
    </row>
    <row r="552">
      <c r="A552" s="4" t="str">
        <f>IFERROR(__xludf.DUMMYFUNCTION("""COMPUTED_VALUE"""),"408")</f>
        <v>408</v>
      </c>
      <c r="B552" s="4" t="str">
        <f>IFERROR(__xludf.DUMMYFUNCTION("""COMPUTED_VALUE"""),"Señal Bolsa de plastico nº 8 ESTRECH")</f>
        <v>Señal Bolsa de plastico nº 8 ESTRECH</v>
      </c>
      <c r="C552" s="4">
        <f>IFERROR(__xludf.DUMMYFUNCTION("""COMPUTED_VALUE"""),1.632)</f>
        <v>1.632</v>
      </c>
    </row>
    <row r="553">
      <c r="A553" s="4" t="str">
        <f>IFERROR(__xludf.DUMMYFUNCTION("""COMPUTED_VALUE"""),"409")</f>
        <v>409</v>
      </c>
      <c r="B553" s="4" t="str">
        <f>IFERROR(__xludf.DUMMYFUNCTION("""COMPUTED_VALUE"""),"Señal Bolsa de plastico nº 9 PROHIB ADELANT")</f>
        <v>Señal Bolsa de plastico nº 9 PROHIB ADELANT</v>
      </c>
      <c r="C553" s="4">
        <f>IFERROR(__xludf.DUMMYFUNCTION("""COMPUTED_VALUE"""),1.632)</f>
        <v>1.632</v>
      </c>
    </row>
    <row r="554">
      <c r="A554" s="4" t="str">
        <f>IFERROR(__xludf.DUMMYFUNCTION("""COMPUTED_VALUE"""),"410")</f>
        <v>410</v>
      </c>
      <c r="B554" s="4" t="str">
        <f>IFERROR(__xludf.DUMMYFUNCTION("""COMPUTED_VALUE"""),"Señal Bolsa de plastico nº 10 PRIORIDAD")</f>
        <v>Señal Bolsa de plastico nº 10 PRIORIDAD</v>
      </c>
      <c r="C554" s="4">
        <f>IFERROR(__xludf.DUMMYFUNCTION("""COMPUTED_VALUE"""),1.632)</f>
        <v>1.632</v>
      </c>
    </row>
    <row r="555">
      <c r="A555" s="4" t="str">
        <f>IFERROR(__xludf.DUMMYFUNCTION("""COMPUTED_VALUE"""),"411")</f>
        <v>411</v>
      </c>
      <c r="B555" s="4" t="str">
        <f>IFERROR(__xludf.DUMMYFUNCTION("""COMPUTED_VALUE"""),"Señal Bolsa de plastico nº 11 PROHIB. APARCAR")</f>
        <v>Señal Bolsa de plastico nº 11 PROHIB. APARCAR</v>
      </c>
      <c r="C555" s="4">
        <f>IFERROR(__xludf.DUMMYFUNCTION("""COMPUTED_VALUE"""),1.632)</f>
        <v>1.632</v>
      </c>
    </row>
    <row r="556">
      <c r="A556" s="4" t="str">
        <f>IFERROR(__xludf.DUMMYFUNCTION("""COMPUTED_VALUE"""),"412")</f>
        <v>412</v>
      </c>
      <c r="B556" s="4" t="str">
        <f>IFERROR(__xludf.DUMMYFUNCTION("""COMPUTED_VALUE"""),"Señal Bolsa de plastico nº 12 ESCALON LATERAL")</f>
        <v>Señal Bolsa de plastico nº 12 ESCALON LATERAL</v>
      </c>
      <c r="C556" s="4">
        <f>IFERROR(__xludf.DUMMYFUNCTION("""COMPUTED_VALUE"""),1.632)</f>
        <v>1.632</v>
      </c>
    </row>
    <row r="557">
      <c r="A557" s="4" t="str">
        <f>IFERROR(__xludf.DUMMYFUNCTION("""COMPUTED_VALUE"""),"413")</f>
        <v>413</v>
      </c>
      <c r="B557" s="4" t="str">
        <f>IFERROR(__xludf.DUMMYFUNCTION("""COMPUTED_VALUE"""),"Señal Bolsa de plastico nº 13 SUELO RESVALADIZO")</f>
        <v>Señal Bolsa de plastico nº 13 SUELO RESVALADIZO</v>
      </c>
      <c r="C557" s="4">
        <f>IFERROR(__xludf.DUMMYFUNCTION("""COMPUTED_VALUE"""),1.632)</f>
        <v>1.632</v>
      </c>
    </row>
    <row r="558">
      <c r="A558" s="4" t="str">
        <f>IFERROR(__xludf.DUMMYFUNCTION("""COMPUTED_VALUE"""),"414")</f>
        <v>414</v>
      </c>
      <c r="B558" s="4" t="str">
        <f>IFERROR(__xludf.DUMMYFUNCTION("""COMPUTED_VALUE"""),"Señal Bolsa de plastico nº 14 VEL 20")</f>
        <v>Señal Bolsa de plastico nº 14 VEL 20</v>
      </c>
      <c r="C558" s="4">
        <f>IFERROR(__xludf.DUMMYFUNCTION("""COMPUTED_VALUE"""),1.632)</f>
        <v>1.632</v>
      </c>
    </row>
    <row r="559">
      <c r="A559" s="4" t="str">
        <f>IFERROR(__xludf.DUMMYFUNCTION("""COMPUTED_VALUE"""),"415")</f>
        <v>415</v>
      </c>
      <c r="B559" s="4" t="str">
        <f>IFERROR(__xludf.DUMMYFUNCTION("""COMPUTED_VALUE"""),"Señal Bolsa de plastico nº 15 PELIGRO CAMIONES")</f>
        <v>Señal Bolsa de plastico nº 15 PELIGRO CAMIONES</v>
      </c>
      <c r="C559" s="4">
        <f>IFERROR(__xludf.DUMMYFUNCTION("""COMPUTED_VALUE"""),1.632)</f>
        <v>1.632</v>
      </c>
    </row>
    <row r="560">
      <c r="A560" s="4" t="str">
        <f>IFERROR(__xludf.DUMMYFUNCTION("""COMPUTED_VALUE"""),"416")</f>
        <v>416</v>
      </c>
      <c r="B560" s="4" t="str">
        <f>IFERROR(__xludf.DUMMYFUNCTION("""COMPUTED_VALUE"""),"Señal Bolsa de plastico nº 16 SALIDA CAMIONES")</f>
        <v>Señal Bolsa de plastico nº 16 SALIDA CAMIONES</v>
      </c>
      <c r="C560" s="4">
        <f>IFERROR(__xludf.DUMMYFUNCTION("""COMPUTED_VALUE"""),1.632)</f>
        <v>1.632</v>
      </c>
    </row>
    <row r="561">
      <c r="A561" s="4" t="str">
        <f>IFERROR(__xludf.DUMMYFUNCTION("""COMPUTED_VALUE"""),"417")</f>
        <v>417</v>
      </c>
      <c r="B561" s="4" t="str">
        <f>IFERROR(__xludf.DUMMYFUNCTION("""COMPUTED_VALUE"""),"Señal Bolsa de plastico nº 17 CALLE CORTADA")</f>
        <v>Señal Bolsa de plastico nº 17 CALLE CORTADA</v>
      </c>
      <c r="C561" s="4">
        <f>IFERROR(__xludf.DUMMYFUNCTION("""COMPUTED_VALUE"""),1.632)</f>
        <v>1.632</v>
      </c>
    </row>
    <row r="562">
      <c r="A562" s="4" t="str">
        <f>IFERROR(__xludf.DUMMYFUNCTION("""COMPUTED_VALUE"""),"418")</f>
        <v>418</v>
      </c>
      <c r="B562" s="4" t="str">
        <f>IFERROR(__xludf.DUMMYFUNCTION("""COMPUTED_VALUE"""),"Señal Bolsa de plastico nº 18 VEL 30")</f>
        <v>Señal Bolsa de plastico nº 18 VEL 30</v>
      </c>
      <c r="C562" s="4">
        <f>IFERROR(__xludf.DUMMYFUNCTION("""COMPUTED_VALUE"""),1.632)</f>
        <v>1.632</v>
      </c>
    </row>
    <row r="563">
      <c r="A563" s="4" t="str">
        <f>IFERROR(__xludf.DUMMYFUNCTION("""COMPUTED_VALUE"""),"419")</f>
        <v>419</v>
      </c>
      <c r="B563" s="4" t="str">
        <f>IFERROR(__xludf.DUMMYFUNCTION("""COMPUTED_VALUE"""),"Señal Bolsa de plastico nº 19 DESPRENDIMIENTO")</f>
        <v>Señal Bolsa de plastico nº 19 DESPRENDIMIENTO</v>
      </c>
      <c r="C563" s="4">
        <f>IFERROR(__xludf.DUMMYFUNCTION("""COMPUTED_VALUE"""),1.632)</f>
        <v>1.632</v>
      </c>
    </row>
    <row r="564">
      <c r="A564" s="4" t="str">
        <f>IFERROR(__xludf.DUMMYFUNCTION("""COMPUTED_VALUE"""),"420")</f>
        <v>420</v>
      </c>
      <c r="B564" s="4" t="str">
        <f>IFERROR(__xludf.DUMMYFUNCTION("""COMPUTED_VALUE"""),"Señal Bolsa de plastico nº 20 ACERA EN OBRAS")</f>
        <v>Señal Bolsa de plastico nº 20 ACERA EN OBRAS</v>
      </c>
      <c r="C564" s="4">
        <f>IFERROR(__xludf.DUMMYFUNCTION("""COMPUTED_VALUE"""),1.632)</f>
        <v>1.632</v>
      </c>
    </row>
    <row r="565">
      <c r="A565" s="4" t="str">
        <f>IFERROR(__xludf.DUMMYFUNCTION("""COMPUTED_VALUE"""),"421")</f>
        <v>421</v>
      </c>
      <c r="B565" s="4" t="str">
        <f>IFERROR(__xludf.DUMMYFUNCTION("""COMPUTED_VALUE"""),"Señal Bolsa de plastico nº 21 ESTRECH. IZQ.")</f>
        <v>Señal Bolsa de plastico nº 21 ESTRECH. IZQ.</v>
      </c>
      <c r="C565" s="4">
        <f>IFERROR(__xludf.DUMMYFUNCTION("""COMPUTED_VALUE"""),1.632)</f>
        <v>1.632</v>
      </c>
    </row>
    <row r="566">
      <c r="A566" s="4" t="str">
        <f>IFERROR(__xludf.DUMMYFUNCTION("""COMPUTED_VALUE"""),"422")</f>
        <v>422</v>
      </c>
      <c r="B566" s="4" t="str">
        <f>IFERROR(__xludf.DUMMYFUNCTION("""COMPUTED_VALUE"""),"Señal Bolsa de plastico nº 22 ESTRECH. DERECHA")</f>
        <v>Señal Bolsa de plastico nº 22 ESTRECH. DERECHA</v>
      </c>
      <c r="C566" s="4">
        <f>IFERROR(__xludf.DUMMYFUNCTION("""COMPUTED_VALUE"""),1.632)</f>
        <v>1.632</v>
      </c>
    </row>
    <row r="567">
      <c r="A567" s="4" t="str">
        <f>IFERROR(__xludf.DUMMYFUNCTION("""COMPUTED_VALUE"""),"423")</f>
        <v>423</v>
      </c>
      <c r="B567" s="4" t="str">
        <f>IFERROR(__xludf.DUMMYFUNCTION("""COMPUTED_VALUE"""),"Señal Bolsa de plastico nº 23 VEL 10")</f>
        <v>Señal Bolsa de plastico nº 23 VEL 10</v>
      </c>
      <c r="C567" s="4">
        <f>IFERROR(__xludf.DUMMYFUNCTION("""COMPUTED_VALUE"""),1.632)</f>
        <v>1.632</v>
      </c>
    </row>
    <row r="568">
      <c r="A568" s="4" t="str">
        <f>IFERROR(__xludf.DUMMYFUNCTION("""COMPUTED_VALUE"""),"424")</f>
        <v>424</v>
      </c>
      <c r="B568" s="4" t="str">
        <f>IFERROR(__xludf.DUMMYFUNCTION("""COMPUTED_VALUE"""),"Señal Bolsa de plastico nº 24 VEL. 50")</f>
        <v>Señal Bolsa de plastico nº 24 VEL. 50</v>
      </c>
      <c r="C568" s="4">
        <f>IFERROR(__xludf.DUMMYFUNCTION("""COMPUTED_VALUE"""),1.632)</f>
        <v>1.632</v>
      </c>
    </row>
    <row r="569">
      <c r="A569" s="4" t="str">
        <f>IFERROR(__xludf.DUMMYFUNCTION("""COMPUTED_VALUE"""),"425")</f>
        <v>425</v>
      </c>
      <c r="B569" s="4" t="str">
        <f>IFERROR(__xludf.DUMMYFUNCTION("""COMPUTED_VALUE"""),"Señal Bolsa de plastico nº 25 RESALTO")</f>
        <v>Señal Bolsa de plastico nº 25 RESALTO</v>
      </c>
      <c r="C569" s="4">
        <f>IFERROR(__xludf.DUMMYFUNCTION("""COMPUTED_VALUE"""),1.632)</f>
        <v>1.632</v>
      </c>
    </row>
    <row r="570">
      <c r="A570" s="4" t="str">
        <f>IFERROR(__xludf.DUMMYFUNCTION("""COMPUTED_VALUE"""),"426")</f>
        <v>426</v>
      </c>
      <c r="B570" s="4" t="str">
        <f>IFERROR(__xludf.DUMMYFUNCTION("""COMPUTED_VALUE"""),"Señal Bolsa de plastico nº 26 CAMINO CORTADO")</f>
        <v>Señal Bolsa de plastico nº 26 CAMINO CORTADO</v>
      </c>
      <c r="C570" s="4">
        <f>IFERROR(__xludf.DUMMYFUNCTION("""COMPUTED_VALUE"""),1.632)</f>
        <v>1.632</v>
      </c>
    </row>
    <row r="571">
      <c r="A571" s="4" t="str">
        <f>IFERROR(__xludf.DUMMYFUNCTION("""COMPUTED_VALUE"""),"427")</f>
        <v>427</v>
      </c>
      <c r="B571" s="4" t="str">
        <f>IFERROR(__xludf.DUMMYFUNCTION("""COMPUTED_VALUE"""),"Señal Bolsa de plastico nº 27 DIR. OBLI. IZQ.")</f>
        <v>Señal Bolsa de plastico nº 27 DIR. OBLI. IZQ.</v>
      </c>
      <c r="C571" s="4">
        <f>IFERROR(__xludf.DUMMYFUNCTION("""COMPUTED_VALUE"""),1.632)</f>
        <v>1.632</v>
      </c>
    </row>
    <row r="572">
      <c r="A572" s="4" t="str">
        <f>IFERROR(__xludf.DUMMYFUNCTION("""COMPUTED_VALUE"""),"428")</f>
        <v>428</v>
      </c>
      <c r="B572" s="4" t="str">
        <f>IFERROR(__xludf.DUMMYFUNCTION("""COMPUTED_VALUE"""),"Señal Bolsa de plastico nº 28 CEDA EL PASO")</f>
        <v>Señal Bolsa de plastico nº 28 CEDA EL PASO</v>
      </c>
      <c r="C572" s="4">
        <f>IFERROR(__xludf.DUMMYFUNCTION("""COMPUTED_VALUE"""),1.632)</f>
        <v>1.632</v>
      </c>
    </row>
    <row r="573">
      <c r="A573" s="4" t="str">
        <f>IFERROR(__xludf.DUMMYFUNCTION("""COMPUTED_VALUE"""),"429")</f>
        <v>429</v>
      </c>
      <c r="B573" s="4" t="str">
        <f>IFERROR(__xludf.DUMMYFUNCTION("""COMPUTED_VALUE"""),"Señal Bolsa de plastico nº 29 CEDA EL PASO C / TEXTO")</f>
        <v>Señal Bolsa de plastico nº 29 CEDA EL PASO C / TEXTO</v>
      </c>
      <c r="C573" s="4">
        <f>IFERROR(__xludf.DUMMYFUNCTION("""COMPUTED_VALUE"""),1.632)</f>
        <v>1.632</v>
      </c>
    </row>
    <row r="574">
      <c r="A574" s="4" t="str">
        <f>IFERROR(__xludf.DUMMYFUNCTION("""COMPUTED_VALUE"""),"430")</f>
        <v>430</v>
      </c>
      <c r="B574" s="4" t="str">
        <f>IFERROR(__xludf.DUMMYFUNCTION("""COMPUTED_VALUE"""),"Señal Bolsa de plastico nº 30 CONTROL POLICIAL")</f>
        <v>Señal Bolsa de plastico nº 30 CONTROL POLICIAL</v>
      </c>
      <c r="C574" s="4">
        <f>IFERROR(__xludf.DUMMYFUNCTION("""COMPUTED_VALUE"""),1.632)</f>
        <v>1.632</v>
      </c>
    </row>
    <row r="575">
      <c r="A575" s="4" t="str">
        <f>IFERROR(__xludf.DUMMYFUNCTION("""COMPUTED_VALUE"""),"431")</f>
        <v>431</v>
      </c>
      <c r="B575" s="4" t="str">
        <f>IFERROR(__xludf.DUMMYFUNCTION("""COMPUTED_VALUE"""),"Señal Bolsa de plastico nº 31 TRABAJOS FORESTALES")</f>
        <v>Señal Bolsa de plastico nº 31 TRABAJOS FORESTALES</v>
      </c>
      <c r="C575" s="4">
        <f>IFERROR(__xludf.DUMMYFUNCTION("""COMPUTED_VALUE"""),1.632)</f>
        <v>1.632</v>
      </c>
    </row>
    <row r="576">
      <c r="A576" s="4" t="str">
        <f>IFERROR(__xludf.DUMMYFUNCTION("""COMPUTED_VALUE"""),"432")</f>
        <v>432</v>
      </c>
      <c r="B576" s="4" t="str">
        <f>IFERROR(__xludf.DUMMYFUNCTION("""COMPUTED_VALUE"""),"Señal Bolsa de plastico nº 32 LUZ OBLIGATORIA")</f>
        <v>Señal Bolsa de plastico nº 32 LUZ OBLIGATORIA</v>
      </c>
      <c r="C576" s="4">
        <f>IFERROR(__xludf.DUMMYFUNCTION("""COMPUTED_VALUE"""),1.632)</f>
        <v>1.632</v>
      </c>
    </row>
    <row r="577">
      <c r="A577" s="4" t="str">
        <f>IFERROR(__xludf.DUMMYFUNCTION("""COMPUTED_VALUE"""),"0450A")</f>
        <v>0450A</v>
      </c>
      <c r="B577" s="4" t="str">
        <f>IFERROR(__xludf.DUMMYFUNCTION("""COMPUTED_VALUE"""),"Plantilla señalizacion para suelo 50x50 cm")</f>
        <v>Plantilla señalizacion para suelo 50x50 cm</v>
      </c>
      <c r="C577" s="4">
        <f>IFERROR(__xludf.DUMMYFUNCTION("""COMPUTED_VALUE"""),31.439999999999998)</f>
        <v>31.44</v>
      </c>
    </row>
    <row r="578">
      <c r="A578" s="4" t="str">
        <f>IFERROR(__xludf.DUMMYFUNCTION("""COMPUTED_VALUE"""),"0450B")</f>
        <v>0450B</v>
      </c>
      <c r="B578" s="4" t="str">
        <f>IFERROR(__xludf.DUMMYFUNCTION("""COMPUTED_VALUE"""),"Plantilla señalizacion para suelo 100 x 70 cm")</f>
        <v>Plantilla señalizacion para suelo 100 x 70 cm</v>
      </c>
      <c r="C578" s="4">
        <f>IFERROR(__xludf.DUMMYFUNCTION("""COMPUTED_VALUE"""),45.6192)</f>
        <v>45.6192</v>
      </c>
    </row>
    <row r="579">
      <c r="A579" s="4" t="str">
        <f>IFERROR(__xludf.DUMMYFUNCTION("""COMPUTED_VALUE"""),"0450E")</f>
        <v>0450E</v>
      </c>
      <c r="B579" s="4" t="str">
        <f>IFERROR(__xludf.DUMMYFUNCTION("""COMPUTED_VALUE"""),"Plantilla 60x60 cm carga coche eléctrico")</f>
        <v>Plantilla 60x60 cm carga coche eléctrico</v>
      </c>
      <c r="C579" s="4">
        <f>IFERROR(__xludf.DUMMYFUNCTION("""COMPUTED_VALUE"""),33.744)</f>
        <v>33.744</v>
      </c>
    </row>
    <row r="580">
      <c r="A580" s="4" t="str">
        <f>IFERROR(__xludf.DUMMYFUNCTION("""COMPUTED_VALUE"""),"561")</f>
        <v>561</v>
      </c>
      <c r="B580" s="4" t="str">
        <f>IFERROR(__xludf.DUMMYFUNCTION("""COMPUTED_VALUE"""),"Bolardo composite cuadrado Abatible 70 cm c/llave")</f>
        <v>Bolardo composite cuadrado Abatible 70 cm c/llave</v>
      </c>
      <c r="C580" s="4">
        <f>IFERROR(__xludf.DUMMYFUNCTION("""COMPUTED_VALUE"""),31.439999999999998)</f>
        <v>31.44</v>
      </c>
    </row>
    <row r="581">
      <c r="A581" s="4" t="str">
        <f>IFERROR(__xludf.DUMMYFUNCTION("""COMPUTED_VALUE"""),"562")</f>
        <v>562</v>
      </c>
      <c r="B581" s="4" t="str">
        <f>IFERROR(__xludf.DUMMYFUNCTION("""COMPUTED_VALUE"""),"Bolardo Composite Redondo Abatible 70 cm c/ llave")</f>
        <v>Bolardo Composite Redondo Abatible 70 cm c/ llave</v>
      </c>
      <c r="C581" s="4">
        <f>IFERROR(__xludf.DUMMYFUNCTION("""COMPUTED_VALUE"""),35.76)</f>
        <v>35.76</v>
      </c>
    </row>
    <row r="582">
      <c r="A582" s="4" t="str">
        <f>IFERROR(__xludf.DUMMYFUNCTION("""COMPUTED_VALUE"""),"563")</f>
        <v>563</v>
      </c>
      <c r="B582" s="4" t="str">
        <f>IFERROR(__xludf.DUMMYFUNCTION("""COMPUTED_VALUE"""),"Tensa Cono 9 Mts A/N")</f>
        <v>Tensa Cono 9 Mts A/N</v>
      </c>
      <c r="C582" s="4">
        <f>IFERROR(__xludf.DUMMYFUNCTION("""COMPUTED_VALUE"""),33.12)</f>
        <v>33.12</v>
      </c>
    </row>
    <row r="583">
      <c r="A583" s="4" t="str">
        <f>IFERROR(__xludf.DUMMYFUNCTION("""COMPUTED_VALUE"""),"564")</f>
        <v>564</v>
      </c>
      <c r="B583" s="4" t="str">
        <f>IFERROR(__xludf.DUMMYFUNCTION("""COMPUTED_VALUE"""),"Tensa Cono 9 Mts R/B")</f>
        <v>Tensa Cono 9 Mts R/B</v>
      </c>
      <c r="C583" s="4">
        <f>IFERROR(__xludf.DUMMYFUNCTION("""COMPUTED_VALUE"""),33.12)</f>
        <v>33.12</v>
      </c>
    </row>
    <row r="584">
      <c r="A584" s="4" t="str">
        <f>IFERROR(__xludf.DUMMYFUNCTION("""COMPUTED_VALUE"""),"565")</f>
        <v>565</v>
      </c>
      <c r="B584" s="4" t="str">
        <f>IFERROR(__xludf.DUMMYFUNCTION("""COMPUTED_VALUE"""),"Tensa Cono 3 Mts R/B")</f>
        <v>Tensa Cono 3 Mts R/B</v>
      </c>
      <c r="C584" s="4">
        <f>IFERROR(__xludf.DUMMYFUNCTION("""COMPUTED_VALUE"""),15.36)</f>
        <v>15.36</v>
      </c>
    </row>
    <row r="585">
      <c r="A585" s="4" t="str">
        <f>IFERROR(__xludf.DUMMYFUNCTION("""COMPUTED_VALUE"""),"566")</f>
        <v>566</v>
      </c>
      <c r="B585" s="4" t="str">
        <f>IFERROR(__xludf.DUMMYFUNCTION("""COMPUTED_VALUE"""),"Tensa Cono 3 Mts A/N")</f>
        <v>Tensa Cono 3 Mts A/N</v>
      </c>
      <c r="C585" s="4">
        <f>IFERROR(__xludf.DUMMYFUNCTION("""COMPUTED_VALUE"""),15.36)</f>
        <v>15.36</v>
      </c>
    </row>
    <row r="586">
      <c r="A586" s="4" t="str">
        <f>IFERROR(__xludf.DUMMYFUNCTION("""COMPUTED_VALUE"""),"568")</f>
        <v>568</v>
      </c>
      <c r="B586" s="4" t="str">
        <f>IFERROR(__xludf.DUMMYFUNCTION("""COMPUTED_VALUE"""),"Hito vertice divergente 1200x1300")</f>
        <v>Hito vertice divergente 1200x1300</v>
      </c>
      <c r="C586" s="4">
        <f>IFERROR(__xludf.DUMMYFUNCTION("""COMPUTED_VALUE"""),378.0)</f>
        <v>378</v>
      </c>
    </row>
    <row r="587">
      <c r="A587" s="4" t="str">
        <f>IFERROR(__xludf.DUMMYFUNCTION("""COMPUTED_VALUE"""),"569")</f>
        <v>569</v>
      </c>
      <c r="B587" s="4" t="str">
        <f>IFERROR(__xludf.DUMMYFUNCTION("""COMPUTED_VALUE"""),"Bolardo Acero 100 cm x 8 cm diámetro fijo")</f>
        <v>Bolardo Acero 100 cm x 8 cm diámetro fijo</v>
      </c>
      <c r="C587" s="4">
        <f>IFERROR(__xludf.DUMMYFUNCTION("""COMPUTED_VALUE"""),32.256)</f>
        <v>32.256</v>
      </c>
    </row>
    <row r="588">
      <c r="A588" s="4" t="str">
        <f>IFERROR(__xludf.DUMMYFUNCTION("""COMPUTED_VALUE"""),"0569/PLATO")</f>
        <v>0569/PLATO</v>
      </c>
      <c r="B588" s="4" t="str">
        <f>IFERROR(__xludf.DUMMYFUNCTION("""COMPUTED_VALUE"""),"Bolardo Acero 100 cm x 8 cm diam. c/plato")</f>
        <v>Bolardo Acero 100 cm x 8 cm diam. c/plato</v>
      </c>
      <c r="C588" s="4">
        <f>IFERROR(__xludf.DUMMYFUNCTION("""COMPUTED_VALUE"""),54.432)</f>
        <v>54.432</v>
      </c>
    </row>
    <row r="589">
      <c r="A589" s="4" t="str">
        <f>IFERROR(__xludf.DUMMYFUNCTION("""COMPUTED_VALUE"""),"0569A")</f>
        <v>0569A</v>
      </c>
      <c r="B589" s="4" t="str">
        <f>IFERROR(__xludf.DUMMYFUNCTION("""COMPUTED_VALUE"""),"Bolardo Acero 100 cm x 8 cm diámetro extraíble")</f>
        <v>Bolardo Acero 100 cm x 8 cm diámetro extraíble</v>
      </c>
      <c r="C589" s="4">
        <f>IFERROR(__xludf.DUMMYFUNCTION("""COMPUTED_VALUE"""),38.303999999999995)</f>
        <v>38.304</v>
      </c>
    </row>
    <row r="590">
      <c r="A590" s="4" t="str">
        <f>IFERROR(__xludf.DUMMYFUNCTION("""COMPUTED_VALUE"""),"0569E")</f>
        <v>0569E</v>
      </c>
      <c r="B590" s="4" t="str">
        <f>IFERROR(__xludf.DUMMYFUNCTION("""COMPUTED_VALUE"""),"Base-enganche bolardo Acero")</f>
        <v>Base-enganche bolardo Acero</v>
      </c>
      <c r="C590" s="4">
        <f>IFERROR(__xludf.DUMMYFUNCTION("""COMPUTED_VALUE"""),56.64)</f>
        <v>56.64</v>
      </c>
    </row>
    <row r="591">
      <c r="A591" s="4" t="str">
        <f>IFERROR(__xludf.DUMMYFUNCTION("""COMPUTED_VALUE"""),"0569LL")</f>
        <v>0569LL</v>
      </c>
      <c r="B591" s="4" t="str">
        <f>IFERROR(__xludf.DUMMYFUNCTION("""COMPUTED_VALUE"""),"Llave para enganche bolardo Acero")</f>
        <v>Llave para enganche bolardo Acero</v>
      </c>
      <c r="C591" s="4">
        <f>IFERROR(__xludf.DUMMYFUNCTION("""COMPUTED_VALUE"""),6.048)</f>
        <v>6.048</v>
      </c>
    </row>
    <row r="592">
      <c r="A592" s="4" t="str">
        <f>IFERROR(__xludf.DUMMYFUNCTION("""COMPUTED_VALUE"""),"570")</f>
        <v>570</v>
      </c>
      <c r="B592" s="4" t="str">
        <f>IFERROR(__xludf.DUMMYFUNCTION("""COMPUTED_VALUE"""),"LLave para colocacion HIto H75")</f>
        <v>LLave para colocacion HIto H75</v>
      </c>
      <c r="C592" s="4">
        <f>IFERROR(__xludf.DUMMYFUNCTION("""COMPUTED_VALUE"""),16.272)</f>
        <v>16.272</v>
      </c>
    </row>
    <row r="593">
      <c r="A593" s="4" t="str">
        <f>IFERROR(__xludf.DUMMYFUNCTION("""COMPUTED_VALUE"""),"571")</f>
        <v>571</v>
      </c>
      <c r="B593" s="4" t="str">
        <f>IFERROR(__xludf.DUMMYFUNCTION("""COMPUTED_VALUE"""),"Hito 75 cm c/base basculante Mod. B Verde")</f>
        <v>Hito 75 cm c/base basculante Mod. B Verde</v>
      </c>
      <c r="C593" s="4">
        <f>IFERROR(__xludf.DUMMYFUNCTION("""COMPUTED_VALUE"""),24.96)</f>
        <v>24.96</v>
      </c>
    </row>
    <row r="594">
      <c r="A594" s="4" t="str">
        <f>IFERROR(__xludf.DUMMYFUNCTION("""COMPUTED_VALUE"""),"0571A")</f>
        <v>0571A</v>
      </c>
      <c r="B594" s="4" t="str">
        <f>IFERROR(__xludf.DUMMYFUNCTION("""COMPUTED_VALUE"""),"Hito 75 cm c/base basculante Mod. B Azul")</f>
        <v>Hito 75 cm c/base basculante Mod. B Azul</v>
      </c>
      <c r="C594" s="4">
        <f>IFERROR(__xludf.DUMMYFUNCTION("""COMPUTED_VALUE"""),24.96)</f>
        <v>24.96</v>
      </c>
    </row>
    <row r="595">
      <c r="A595" s="4" t="str">
        <f>IFERROR(__xludf.DUMMYFUNCTION("""COMPUTED_VALUE"""),"574")</f>
        <v>574</v>
      </c>
      <c r="B595" s="4" t="str">
        <f>IFERROR(__xludf.DUMMYFUNCTION("""COMPUTED_VALUE"""),"Hito H-75 Polietileno azul Mod. A")</f>
        <v>Hito H-75 Polietileno azul Mod. A</v>
      </c>
      <c r="C595" s="4">
        <f>IFERROR(__xludf.DUMMYFUNCTION("""COMPUTED_VALUE"""),16.272)</f>
        <v>16.272</v>
      </c>
    </row>
    <row r="596">
      <c r="A596" s="4" t="str">
        <f>IFERROR(__xludf.DUMMYFUNCTION("""COMPUTED_VALUE"""),"0574P")</f>
        <v>0574P</v>
      </c>
      <c r="B596" s="4" t="str">
        <f>IFERROR(__xludf.DUMMYFUNCTION("""COMPUTED_VALUE"""),"Hito H-50 Polietileno azul Mod. A")</f>
        <v>Hito H-50 Polietileno azul Mod. A</v>
      </c>
      <c r="C596" s="4">
        <f>IFERROR(__xludf.DUMMYFUNCTION("""COMPUTED_VALUE"""),13.2)</f>
        <v>13.2</v>
      </c>
    </row>
    <row r="597">
      <c r="A597" s="4" t="str">
        <f>IFERROR(__xludf.DUMMYFUNCTION("""COMPUTED_VALUE"""),"0575A")</f>
        <v>0575A</v>
      </c>
      <c r="B597" s="4" t="str">
        <f>IFERROR(__xludf.DUMMYFUNCTION("""COMPUTED_VALUE"""),"Bandera señalizacion Mod. Basic Amarillo")</f>
        <v>Bandera señalizacion Mod. Basic Amarillo</v>
      </c>
      <c r="C597" s="4">
        <f>IFERROR(__xludf.DUMMYFUNCTION("""COMPUTED_VALUE"""),4.704)</f>
        <v>4.704</v>
      </c>
    </row>
    <row r="598">
      <c r="A598" s="4" t="str">
        <f>IFERROR(__xludf.DUMMYFUNCTION("""COMPUTED_VALUE"""),"0575R")</f>
        <v>0575R</v>
      </c>
      <c r="B598" s="4" t="str">
        <f>IFERROR(__xludf.DUMMYFUNCTION("""COMPUTED_VALUE"""),"Bandera señalizacion Mod. Basic Rojo")</f>
        <v>Bandera señalizacion Mod. Basic Rojo</v>
      </c>
      <c r="C598" s="4">
        <f>IFERROR(__xludf.DUMMYFUNCTION("""COMPUTED_VALUE"""),4.704)</f>
        <v>4.704</v>
      </c>
    </row>
    <row r="599">
      <c r="A599" s="4" t="str">
        <f>IFERROR(__xludf.DUMMYFUNCTION("""COMPUTED_VALUE"""),"0575V")</f>
        <v>0575V</v>
      </c>
      <c r="B599" s="4" t="str">
        <f>IFERROR(__xludf.DUMMYFUNCTION("""COMPUTED_VALUE"""),"Bandera señalizacion Mod. Basic Verde")</f>
        <v>Bandera señalizacion Mod. Basic Verde</v>
      </c>
      <c r="C599" s="4">
        <f>IFERROR(__xludf.DUMMYFUNCTION("""COMPUTED_VALUE"""),4.704)</f>
        <v>4.704</v>
      </c>
    </row>
    <row r="600">
      <c r="A600" s="4" t="str">
        <f>IFERROR(__xludf.DUMMYFUNCTION("""COMPUTED_VALUE"""),"0575Z")</f>
        <v>0575Z</v>
      </c>
      <c r="B600" s="4" t="str">
        <f>IFERROR(__xludf.DUMMYFUNCTION("""COMPUTED_VALUE"""),"Bandera señalizacion Mod. Basic Azul")</f>
        <v>Bandera señalizacion Mod. Basic Azul</v>
      </c>
      <c r="C600" s="4">
        <f>IFERROR(__xludf.DUMMYFUNCTION("""COMPUTED_VALUE"""),4.704)</f>
        <v>4.704</v>
      </c>
    </row>
    <row r="601">
      <c r="A601" s="4" t="str">
        <f>IFERROR(__xludf.DUMMYFUNCTION("""COMPUTED_VALUE"""),"576")</f>
        <v>576</v>
      </c>
      <c r="B601" s="4" t="str">
        <f>IFERROR(__xludf.DUMMYFUNCTION("""COMPUTED_VALUE"""),"Hito H-75 fijo Polietileno verde Mod. A")</f>
        <v>Hito H-75 fijo Polietileno verde Mod. A</v>
      </c>
      <c r="C601" s="4">
        <f>IFERROR(__xludf.DUMMYFUNCTION("""COMPUTED_VALUE"""),16.272)</f>
        <v>16.272</v>
      </c>
    </row>
    <row r="602">
      <c r="A602" s="4" t="str">
        <f>IFERROR(__xludf.DUMMYFUNCTION("""COMPUTED_VALUE"""),"0576P")</f>
        <v>0576P</v>
      </c>
      <c r="B602" s="4" t="str">
        <f>IFERROR(__xludf.DUMMYFUNCTION("""COMPUTED_VALUE"""),"Hito H-50 fijo Polietileno verde Mod. A")</f>
        <v>Hito H-50 fijo Polietileno verde Mod. A</v>
      </c>
      <c r="C602" s="4">
        <f>IFERROR(__xludf.DUMMYFUNCTION("""COMPUTED_VALUE"""),13.2)</f>
        <v>13.2</v>
      </c>
    </row>
    <row r="603">
      <c r="A603" s="4" t="str">
        <f>IFERROR(__xludf.DUMMYFUNCTION("""COMPUTED_VALUE"""),"0576T")</f>
        <v>0576T</v>
      </c>
      <c r="B603" s="4" t="str">
        <f>IFERROR(__xludf.DUMMYFUNCTION("""COMPUTED_VALUE"""),"Tornillo con casquillo para H-75")</f>
        <v>Tornillo con casquillo para H-75</v>
      </c>
      <c r="C603" s="4">
        <f>IFERROR(__xludf.DUMMYFUNCTION("""COMPUTED_VALUE"""),2.064)</f>
        <v>2.064</v>
      </c>
    </row>
    <row r="604">
      <c r="A604" s="4" t="str">
        <f>IFERROR(__xludf.DUMMYFUNCTION("""COMPUTED_VALUE"""),"577")</f>
        <v>577</v>
      </c>
      <c r="B604" s="4" t="str">
        <f>IFERROR(__xludf.DUMMYFUNCTION("""COMPUTED_VALUE"""),"Señal Obra con mango STOP-PASO")</f>
        <v>Señal Obra con mango STOP-PASO</v>
      </c>
      <c r="C604" s="4">
        <f>IFERROR(__xludf.DUMMYFUNCTION("""COMPUTED_VALUE"""),4.704)</f>
        <v>4.704</v>
      </c>
    </row>
    <row r="605">
      <c r="A605" s="4" t="str">
        <f>IFERROR(__xludf.DUMMYFUNCTION("""COMPUTED_VALUE"""),"0577A")</f>
        <v>0577A</v>
      </c>
      <c r="B605" s="4" t="str">
        <f>IFERROR(__xludf.DUMMYFUNCTION("""COMPUTED_VALUE"""),"Señal Stop/Paso con Mango Reforzada aluminio")</f>
        <v>Señal Stop/Paso con Mango Reforzada aluminio</v>
      </c>
      <c r="C605" s="4">
        <f>IFERROR(__xludf.DUMMYFUNCTION("""COMPUTED_VALUE"""),8.64)</f>
        <v>8.64</v>
      </c>
    </row>
    <row r="606">
      <c r="A606" s="4" t="str">
        <f>IFERROR(__xludf.DUMMYFUNCTION("""COMPUTED_VALUE"""),"0577B")</f>
        <v>0577B</v>
      </c>
      <c r="B606" s="4" t="str">
        <f>IFERROR(__xludf.DUMMYFUNCTION("""COMPUTED_VALUE"""),"Señal Obra con mango STOP-PASO 1.5 m")</f>
        <v>Señal Obra con mango STOP-PASO 1.5 m</v>
      </c>
      <c r="C606" s="4">
        <f>IFERROR(__xludf.DUMMYFUNCTION("""COMPUTED_VALUE"""),7.4399999999999995)</f>
        <v>7.44</v>
      </c>
    </row>
    <row r="607">
      <c r="A607" s="4" t="str">
        <f>IFERROR(__xludf.DUMMYFUNCTION("""COMPUTED_VALUE"""),"578")</f>
        <v>578</v>
      </c>
      <c r="B607" s="4" t="str">
        <f>IFERROR(__xludf.DUMMYFUNCTION("""COMPUTED_VALUE"""),"Soporte metálica para señal bolsa")</f>
        <v>Soporte metálica para señal bolsa</v>
      </c>
      <c r="C607" s="4">
        <f>IFERROR(__xludf.DUMMYFUNCTION("""COMPUTED_VALUE"""),15.12)</f>
        <v>15.12</v>
      </c>
    </row>
    <row r="608">
      <c r="A608" s="4" t="str">
        <f>IFERROR(__xludf.DUMMYFUNCTION("""COMPUTED_VALUE"""),"0579A")</f>
        <v>0579A</v>
      </c>
      <c r="B608" s="4" t="str">
        <f>IFERROR(__xludf.DUMMYFUNCTION("""COMPUTED_VALUE"""),"Pilona extraible PVC-EVA 810 mm Amarilla")</f>
        <v>Pilona extraible PVC-EVA 810 mm Amarilla</v>
      </c>
      <c r="C608" s="4">
        <f>IFERROR(__xludf.DUMMYFUNCTION("""COMPUTED_VALUE"""),44.16)</f>
        <v>44.16</v>
      </c>
    </row>
    <row r="609">
      <c r="A609" s="4" t="str">
        <f>IFERROR(__xludf.DUMMYFUNCTION("""COMPUTED_VALUE"""),"0579B")</f>
        <v>0579B</v>
      </c>
      <c r="B609" s="4" t="str">
        <f>IFERROR(__xludf.DUMMYFUNCTION("""COMPUTED_VALUE"""),"Sistema extraible para pilona 0579")</f>
        <v>Sistema extraible para pilona 0579</v>
      </c>
      <c r="C609" s="4">
        <f>IFERROR(__xludf.DUMMYFUNCTION("""COMPUTED_VALUE"""),34.2048)</f>
        <v>34.2048</v>
      </c>
    </row>
    <row r="610">
      <c r="A610" s="4" t="str">
        <f>IFERROR(__xludf.DUMMYFUNCTION("""COMPUTED_VALUE"""),"0579LL")</f>
        <v>0579LL</v>
      </c>
      <c r="B610" s="4" t="str">
        <f>IFERROR(__xludf.DUMMYFUNCTION("""COMPUTED_VALUE"""),"Llave para pilona extraible 0579")</f>
        <v>Llave para pilona extraible 0579</v>
      </c>
      <c r="C610" s="4">
        <f>IFERROR(__xludf.DUMMYFUNCTION("""COMPUTED_VALUE"""),7.68)</f>
        <v>7.68</v>
      </c>
    </row>
    <row r="611">
      <c r="A611" s="4" t="str">
        <f>IFERROR(__xludf.DUMMYFUNCTION("""COMPUTED_VALUE"""),"0579N")</f>
        <v>0579N</v>
      </c>
      <c r="B611" s="4" t="str">
        <f>IFERROR(__xludf.DUMMYFUNCTION("""COMPUTED_VALUE"""),"Pilona Extraíble PVC-EVA 810 mm Negro")</f>
        <v>Pilona Extraíble PVC-EVA 810 mm Negro</v>
      </c>
      <c r="C611" s="4">
        <f>IFERROR(__xludf.DUMMYFUNCTION("""COMPUTED_VALUE"""),44.16)</f>
        <v>44.16</v>
      </c>
    </row>
    <row r="612">
      <c r="A612" s="4" t="str">
        <f>IFERROR(__xludf.DUMMYFUNCTION("""COMPUTED_VALUE"""),"0579R")</f>
        <v>0579R</v>
      </c>
      <c r="B612" s="4" t="str">
        <f>IFERROR(__xludf.DUMMYFUNCTION("""COMPUTED_VALUE"""),"Pilona extraible PVC-EVA 810 mm Rojo")</f>
        <v>Pilona extraible PVC-EVA 810 mm Rojo</v>
      </c>
      <c r="C612" s="4">
        <f>IFERROR(__xludf.DUMMYFUNCTION("""COMPUTED_VALUE"""),44.16)</f>
        <v>44.16</v>
      </c>
    </row>
    <row r="613">
      <c r="A613" s="4" t="str">
        <f>IFERROR(__xludf.DUMMYFUNCTION("""COMPUTED_VALUE"""),"0579V")</f>
        <v>0579V</v>
      </c>
      <c r="B613" s="4" t="str">
        <f>IFERROR(__xludf.DUMMYFUNCTION("""COMPUTED_VALUE"""),"Pilona extraible PVC-EVA 810 mm Verde")</f>
        <v>Pilona extraible PVC-EVA 810 mm Verde</v>
      </c>
      <c r="C613" s="4">
        <f>IFERROR(__xludf.DUMMYFUNCTION("""COMPUTED_VALUE"""),44.16)</f>
        <v>44.16</v>
      </c>
    </row>
    <row r="614">
      <c r="A614" s="4" t="str">
        <f>IFERROR(__xludf.DUMMYFUNCTION("""COMPUTED_VALUE"""),"0579Z")</f>
        <v>0579Z</v>
      </c>
      <c r="B614" s="4" t="str">
        <f>IFERROR(__xludf.DUMMYFUNCTION("""COMPUTED_VALUE"""),"Pilona extraible PVC-EVA 810 mm Azul")</f>
        <v>Pilona extraible PVC-EVA 810 mm Azul</v>
      </c>
      <c r="C614" s="4">
        <f>IFERROR(__xludf.DUMMYFUNCTION("""COMPUTED_VALUE"""),44.16)</f>
        <v>44.16</v>
      </c>
    </row>
    <row r="615">
      <c r="A615" s="4" t="str">
        <f>IFERROR(__xludf.DUMMYFUNCTION("""COMPUTED_VALUE"""),"0580A")</f>
        <v>0580A</v>
      </c>
      <c r="B615" s="4" t="str">
        <f>IFERROR(__xludf.DUMMYFUNCTION("""COMPUTED_VALUE"""),"Pilona fija PVC-EVA 810 mm Amarillo con peana")</f>
        <v>Pilona fija PVC-EVA 810 mm Amarillo con peana</v>
      </c>
      <c r="C615" s="4">
        <f>IFERROR(__xludf.DUMMYFUNCTION("""COMPUTED_VALUE"""),45.12)</f>
        <v>45.12</v>
      </c>
    </row>
    <row r="616">
      <c r="A616" s="4" t="str">
        <f>IFERROR(__xludf.DUMMYFUNCTION("""COMPUTED_VALUE"""),"0580N")</f>
        <v>0580N</v>
      </c>
      <c r="B616" s="4" t="str">
        <f>IFERROR(__xludf.DUMMYFUNCTION("""COMPUTED_VALUE"""),"Pilona fija PVC-EVA 810 mm Negro con peana")</f>
        <v>Pilona fija PVC-EVA 810 mm Negro con peana</v>
      </c>
      <c r="C616" s="4">
        <f>IFERROR(__xludf.DUMMYFUNCTION("""COMPUTED_VALUE"""),45.12)</f>
        <v>45.12</v>
      </c>
    </row>
    <row r="617">
      <c r="A617" s="4" t="str">
        <f>IFERROR(__xludf.DUMMYFUNCTION("""COMPUTED_VALUE"""),"0580R")</f>
        <v>0580R</v>
      </c>
      <c r="B617" s="4" t="str">
        <f>IFERROR(__xludf.DUMMYFUNCTION("""COMPUTED_VALUE"""),"Pilona fija PVC-EVA 810 mm Rojo con peana")</f>
        <v>Pilona fija PVC-EVA 810 mm Rojo con peana</v>
      </c>
      <c r="C617" s="4">
        <f>IFERROR(__xludf.DUMMYFUNCTION("""COMPUTED_VALUE"""),45.12)</f>
        <v>45.12</v>
      </c>
    </row>
    <row r="618">
      <c r="A618" s="4" t="str">
        <f>IFERROR(__xludf.DUMMYFUNCTION("""COMPUTED_VALUE"""),"0580V")</f>
        <v>0580V</v>
      </c>
      <c r="B618" s="4" t="str">
        <f>IFERROR(__xludf.DUMMYFUNCTION("""COMPUTED_VALUE"""),"Pilona fija PVC-EVA 810 mm Verde con peana")</f>
        <v>Pilona fija PVC-EVA 810 mm Verde con peana</v>
      </c>
      <c r="C618" s="4">
        <f>IFERROR(__xludf.DUMMYFUNCTION("""COMPUTED_VALUE"""),45.12)</f>
        <v>45.12</v>
      </c>
    </row>
    <row r="619">
      <c r="A619" s="4" t="str">
        <f>IFERROR(__xludf.DUMMYFUNCTION("""COMPUTED_VALUE"""),"0580Z")</f>
        <v>0580Z</v>
      </c>
      <c r="B619" s="4" t="str">
        <f>IFERROR(__xludf.DUMMYFUNCTION("""COMPUTED_VALUE"""),"Pilona fija PVC-EVA 810 mm Azul con peana")</f>
        <v>Pilona fija PVC-EVA 810 mm Azul con peana</v>
      </c>
      <c r="C619" s="4">
        <f>IFERROR(__xludf.DUMMYFUNCTION("""COMPUTED_VALUE"""),45.12)</f>
        <v>45.12</v>
      </c>
    </row>
    <row r="620">
      <c r="A620" s="4" t="str">
        <f>IFERROR(__xludf.DUMMYFUNCTION("""COMPUTED_VALUE"""),"581")</f>
        <v>581</v>
      </c>
      <c r="B620" s="4" t="str">
        <f>IFERROR(__xludf.DUMMYFUNCTION("""COMPUTED_VALUE"""),"Hito 100 cm PVC blando Naranja Mod.J")</f>
        <v>Hito 100 cm PVC blando Naranja Mod.J</v>
      </c>
      <c r="C620" s="4">
        <f>IFERROR(__xludf.DUMMYFUNCTION("""COMPUTED_VALUE"""),21.216)</f>
        <v>21.216</v>
      </c>
    </row>
    <row r="621">
      <c r="A621" s="4" t="str">
        <f>IFERROR(__xludf.DUMMYFUNCTION("""COMPUTED_VALUE"""),"0581A")</f>
        <v>0581A</v>
      </c>
      <c r="B621" s="4" t="str">
        <f>IFERROR(__xludf.DUMMYFUNCTION("""COMPUTED_VALUE"""),"Hito 100 cm PVC blando Azul Mod.J")</f>
        <v>Hito 100 cm PVC blando Azul Mod.J</v>
      </c>
      <c r="C621" s="4">
        <f>IFERROR(__xludf.DUMMYFUNCTION("""COMPUTED_VALUE"""),21.216)</f>
        <v>21.216</v>
      </c>
    </row>
    <row r="622">
      <c r="A622" s="4" t="str">
        <f>IFERROR(__xludf.DUMMYFUNCTION("""COMPUTED_VALUE"""),"0581AM")</f>
        <v>0581AM</v>
      </c>
      <c r="B622" s="4" t="str">
        <f>IFERROR(__xludf.DUMMYFUNCTION("""COMPUTED_VALUE"""),"Hito 100 cm PVC blando Amarillo Mod.J")</f>
        <v>Hito 100 cm PVC blando Amarillo Mod.J</v>
      </c>
      <c r="C622" s="4">
        <f>IFERROR(__xludf.DUMMYFUNCTION("""COMPUTED_VALUE"""),21.216)</f>
        <v>21.216</v>
      </c>
    </row>
    <row r="623">
      <c r="A623" s="4" t="str">
        <f>IFERROR(__xludf.DUMMYFUNCTION("""COMPUTED_VALUE"""),"0581B")</f>
        <v>0581B</v>
      </c>
      <c r="B623" s="4" t="str">
        <f>IFERROR(__xludf.DUMMYFUNCTION("""COMPUTED_VALUE"""),"Hito 100 cm PVC blando Blanco Mod.J")</f>
        <v>Hito 100 cm PVC blando Blanco Mod.J</v>
      </c>
      <c r="C623" s="4">
        <f>IFERROR(__xludf.DUMMYFUNCTION("""COMPUTED_VALUE"""),21.216)</f>
        <v>21.216</v>
      </c>
    </row>
    <row r="624">
      <c r="A624" s="4" t="str">
        <f>IFERROR(__xludf.DUMMYFUNCTION("""COMPUTED_VALUE"""),"0581NE")</f>
        <v>0581NE</v>
      </c>
      <c r="B624" s="4" t="str">
        <f>IFERROR(__xludf.DUMMYFUNCTION("""COMPUTED_VALUE"""),"Hito 100 cm PVC blando Negro Mod.J")</f>
        <v>Hito 100 cm PVC blando Negro Mod.J</v>
      </c>
      <c r="C624" s="4">
        <f>IFERROR(__xludf.DUMMYFUNCTION("""COMPUTED_VALUE"""),21.216)</f>
        <v>21.216</v>
      </c>
    </row>
    <row r="625">
      <c r="A625" s="4" t="str">
        <f>IFERROR(__xludf.DUMMYFUNCTION("""COMPUTED_VALUE"""),"0581R")</f>
        <v>0581R</v>
      </c>
      <c r="B625" s="4" t="str">
        <f>IFERROR(__xludf.DUMMYFUNCTION("""COMPUTED_VALUE"""),"Hito 100 cm PVC blando Rojo Mod.J")</f>
        <v>Hito 100 cm PVC blando Rojo Mod.J</v>
      </c>
      <c r="C625" s="4">
        <f>IFERROR(__xludf.DUMMYFUNCTION("""COMPUTED_VALUE"""),21.216)</f>
        <v>21.216</v>
      </c>
    </row>
    <row r="626">
      <c r="A626" s="4" t="str">
        <f>IFERROR(__xludf.DUMMYFUNCTION("""COMPUTED_VALUE"""),"0581V")</f>
        <v>0581V</v>
      </c>
      <c r="B626" s="4" t="str">
        <f>IFERROR(__xludf.DUMMYFUNCTION("""COMPUTED_VALUE"""),"Hito 100 cm PVC blando Verde Mod.J")</f>
        <v>Hito 100 cm PVC blando Verde Mod.J</v>
      </c>
      <c r="C626" s="4">
        <f>IFERROR(__xludf.DUMMYFUNCTION("""COMPUTED_VALUE"""),21.216)</f>
        <v>21.216</v>
      </c>
    </row>
    <row r="627">
      <c r="A627" s="4" t="str">
        <f>IFERROR(__xludf.DUMMYFUNCTION("""COMPUTED_VALUE"""),"582")</f>
        <v>582</v>
      </c>
      <c r="B627" s="4" t="str">
        <f>IFERROR(__xludf.DUMMYFUNCTION("""COMPUTED_VALUE"""),"Hito H-75 flexible E.V.A. verde Mod. C Plus")</f>
        <v>Hito H-75 flexible E.V.A. verde Mod. C Plus</v>
      </c>
      <c r="C627" s="4">
        <f>IFERROR(__xludf.DUMMYFUNCTION("""COMPUTED_VALUE"""),21.36)</f>
        <v>21.36</v>
      </c>
    </row>
    <row r="628">
      <c r="A628" s="4" t="str">
        <f>IFERROR(__xludf.DUMMYFUNCTION("""COMPUTED_VALUE"""),"0582P")</f>
        <v>0582P</v>
      </c>
      <c r="B628" s="4" t="str">
        <f>IFERROR(__xludf.DUMMYFUNCTION("""COMPUTED_VALUE"""),"Hito H-50 flexible E.V.A. verde Mod. C Plus")</f>
        <v>Hito H-50 flexible E.V.A. verde Mod. C Plus</v>
      </c>
      <c r="C628" s="4">
        <f>IFERROR(__xludf.DUMMYFUNCTION("""COMPUTED_VALUE"""),15.6)</f>
        <v>15.6</v>
      </c>
    </row>
    <row r="629">
      <c r="A629" s="4" t="str">
        <f>IFERROR(__xludf.DUMMYFUNCTION("""COMPUTED_VALUE"""),"583")</f>
        <v>583</v>
      </c>
      <c r="B629" s="4" t="str">
        <f>IFERROR(__xludf.DUMMYFUNCTION("""COMPUTED_VALUE"""),"Hito H-75 flexible E.V.A. azul Mod. C Plus")</f>
        <v>Hito H-75 flexible E.V.A. azul Mod. C Plus</v>
      </c>
      <c r="C629" s="4">
        <f>IFERROR(__xludf.DUMMYFUNCTION("""COMPUTED_VALUE"""),21.36)</f>
        <v>21.36</v>
      </c>
    </row>
    <row r="630">
      <c r="A630" s="4" t="str">
        <f>IFERROR(__xludf.DUMMYFUNCTION("""COMPUTED_VALUE"""),"0583P")</f>
        <v>0583P</v>
      </c>
      <c r="B630" s="4" t="str">
        <f>IFERROR(__xludf.DUMMYFUNCTION("""COMPUTED_VALUE"""),"Hito H-50 flexible E.V.A. azul Mod. C Plus")</f>
        <v>Hito H-50 flexible E.V.A. azul Mod. C Plus</v>
      </c>
      <c r="C630" s="4">
        <f>IFERROR(__xludf.DUMMYFUNCTION("""COMPUTED_VALUE"""),15.6)</f>
        <v>15.6</v>
      </c>
    </row>
    <row r="631">
      <c r="A631" s="4" t="str">
        <f>IFERROR(__xludf.DUMMYFUNCTION("""COMPUTED_VALUE"""),"584")</f>
        <v>584</v>
      </c>
      <c r="B631" s="4" t="str">
        <f>IFERROR(__xludf.DUMMYFUNCTION("""COMPUTED_VALUE"""),"Hito H-75 flexible E.V.A. rojo Mod. C Plus")</f>
        <v>Hito H-75 flexible E.V.A. rojo Mod. C Plus</v>
      </c>
      <c r="C631" s="4">
        <f>IFERROR(__xludf.DUMMYFUNCTION("""COMPUTED_VALUE"""),21.36)</f>
        <v>21.36</v>
      </c>
    </row>
    <row r="632">
      <c r="A632" s="4" t="str">
        <f>IFERROR(__xludf.DUMMYFUNCTION("""COMPUTED_VALUE"""),"0584P")</f>
        <v>0584P</v>
      </c>
      <c r="B632" s="4" t="str">
        <f>IFERROR(__xludf.DUMMYFUNCTION("""COMPUTED_VALUE"""),"Hito H-50 flexible E.V.A. rojo Mod. C Plus")</f>
        <v>Hito H-50 flexible E.V.A. rojo Mod. C Plus</v>
      </c>
      <c r="C632" s="4">
        <f>IFERROR(__xludf.DUMMYFUNCTION("""COMPUTED_VALUE"""),15.6)</f>
        <v>15.6</v>
      </c>
    </row>
    <row r="633">
      <c r="A633" s="4" t="str">
        <f>IFERROR(__xludf.DUMMYFUNCTION("""COMPUTED_VALUE"""),"585")</f>
        <v>585</v>
      </c>
      <c r="B633" s="4" t="str">
        <f>IFERROR(__xludf.DUMMYFUNCTION("""COMPUTED_VALUE"""),"Hito H-75 flexible E.V.A. amarillo Mod. C plus")</f>
        <v>Hito H-75 flexible E.V.A. amarillo Mod. C plus</v>
      </c>
      <c r="C633" s="4">
        <f>IFERROR(__xludf.DUMMYFUNCTION("""COMPUTED_VALUE"""),21.168)</f>
        <v>21.168</v>
      </c>
    </row>
    <row r="634">
      <c r="A634" s="4" t="str">
        <f>IFERROR(__xludf.DUMMYFUNCTION("""COMPUTED_VALUE"""),"0585P")</f>
        <v>0585P</v>
      </c>
      <c r="B634" s="4" t="str">
        <f>IFERROR(__xludf.DUMMYFUNCTION("""COMPUTED_VALUE"""),"Hito H-50 flexible E.V.A. amarillo Mod. C Plus")</f>
        <v>Hito H-50 flexible E.V.A. amarillo Mod. C Plus</v>
      </c>
      <c r="C634" s="4">
        <f>IFERROR(__xludf.DUMMYFUNCTION("""COMPUTED_VALUE"""),15.6)</f>
        <v>15.6</v>
      </c>
    </row>
    <row r="635">
      <c r="A635" s="4" t="str">
        <f>IFERROR(__xludf.DUMMYFUNCTION("""COMPUTED_VALUE"""),"586")</f>
        <v>586</v>
      </c>
      <c r="B635" s="4" t="str">
        <f>IFERROR(__xludf.DUMMYFUNCTION("""COMPUTED_VALUE"""),"Hito H-75 fijo Polietileno rojo Mod. A")</f>
        <v>Hito H-75 fijo Polietileno rojo Mod. A</v>
      </c>
      <c r="C635" s="4">
        <f>IFERROR(__xludf.DUMMYFUNCTION("""COMPUTED_VALUE"""),16.272)</f>
        <v>16.272</v>
      </c>
    </row>
    <row r="636">
      <c r="A636" s="4" t="str">
        <f>IFERROR(__xludf.DUMMYFUNCTION("""COMPUTED_VALUE"""),"0586P")</f>
        <v>0586P</v>
      </c>
      <c r="B636" s="4" t="str">
        <f>IFERROR(__xludf.DUMMYFUNCTION("""COMPUTED_VALUE"""),"Hito H-50 fijo Polietilieno rojo Mod. A")</f>
        <v>Hito H-50 fijo Polietilieno rojo Mod. A</v>
      </c>
      <c r="C636" s="4">
        <f>IFERROR(__xludf.DUMMYFUNCTION("""COMPUTED_VALUE"""),13.2)</f>
        <v>13.2</v>
      </c>
    </row>
    <row r="637">
      <c r="A637" s="4" t="str">
        <f>IFERROR(__xludf.DUMMYFUNCTION("""COMPUTED_VALUE"""),"587")</f>
        <v>587</v>
      </c>
      <c r="B637" s="4" t="str">
        <f>IFERROR(__xludf.DUMMYFUNCTION("""COMPUTED_VALUE"""),"Hito H-75 fijo Polietileno amarillo Mod. A")</f>
        <v>Hito H-75 fijo Polietileno amarillo Mod. A</v>
      </c>
      <c r="C637" s="4">
        <f>IFERROR(__xludf.DUMMYFUNCTION("""COMPUTED_VALUE"""),16.272)</f>
        <v>16.272</v>
      </c>
    </row>
    <row r="638">
      <c r="A638" s="4" t="str">
        <f>IFERROR(__xludf.DUMMYFUNCTION("""COMPUTED_VALUE"""),"0587P")</f>
        <v>0587P</v>
      </c>
      <c r="B638" s="4" t="str">
        <f>IFERROR(__xludf.DUMMYFUNCTION("""COMPUTED_VALUE"""),"Hito H-50 Polietileno amarillo Mod. A")</f>
        <v>Hito H-50 Polietileno amarillo Mod. A</v>
      </c>
      <c r="C638" s="4">
        <f>IFERROR(__xludf.DUMMYFUNCTION("""COMPUTED_VALUE"""),13.2)</f>
        <v>13.2</v>
      </c>
    </row>
    <row r="639">
      <c r="A639" s="4" t="str">
        <f>IFERROR(__xludf.DUMMYFUNCTION("""COMPUTED_VALUE"""),"588")</f>
        <v>588</v>
      </c>
      <c r="B639" s="4" t="str">
        <f>IFERROR(__xludf.DUMMYFUNCTION("""COMPUTED_VALUE"""),"Hito 75 cm PVC blando Naranja Mod. E")</f>
        <v>Hito 75 cm PVC blando Naranja Mod. E</v>
      </c>
      <c r="C639" s="4">
        <f>IFERROR(__xludf.DUMMYFUNCTION("""COMPUTED_VALUE"""),13.2)</f>
        <v>13.2</v>
      </c>
    </row>
    <row r="640">
      <c r="A640" s="4" t="str">
        <f>IFERROR(__xludf.DUMMYFUNCTION("""COMPUTED_VALUE"""),"0588A")</f>
        <v>0588A</v>
      </c>
      <c r="B640" s="4" t="str">
        <f>IFERROR(__xludf.DUMMYFUNCTION("""COMPUTED_VALUE"""),"Hito 75 cm PVC blando Azul Mod. E")</f>
        <v>Hito 75 cm PVC blando Azul Mod. E</v>
      </c>
      <c r="C640" s="4">
        <f>IFERROR(__xludf.DUMMYFUNCTION("""COMPUTED_VALUE"""),13.2)</f>
        <v>13.2</v>
      </c>
    </row>
    <row r="641">
      <c r="A641" s="4" t="str">
        <f>IFERROR(__xludf.DUMMYFUNCTION("""COMPUTED_VALUE"""),"0588AM")</f>
        <v>0588AM</v>
      </c>
      <c r="B641" s="4" t="str">
        <f>IFERROR(__xludf.DUMMYFUNCTION("""COMPUTED_VALUE"""),"Hito 75 cm PVC blando Amarillo Mod. E")</f>
        <v>Hito 75 cm PVC blando Amarillo Mod. E</v>
      </c>
      <c r="C641" s="4">
        <f>IFERROR(__xludf.DUMMYFUNCTION("""COMPUTED_VALUE"""),13.2)</f>
        <v>13.2</v>
      </c>
    </row>
    <row r="642">
      <c r="A642" s="4" t="str">
        <f>IFERROR(__xludf.DUMMYFUNCTION("""COMPUTED_VALUE"""),"0588B")</f>
        <v>0588B</v>
      </c>
      <c r="B642" s="4" t="str">
        <f>IFERROR(__xludf.DUMMYFUNCTION("""COMPUTED_VALUE"""),"HIto 75 cm PVC blando Blanco Mod. E")</f>
        <v>HIto 75 cm PVC blando Blanco Mod. E</v>
      </c>
      <c r="C642" s="4">
        <f>IFERROR(__xludf.DUMMYFUNCTION("""COMPUTED_VALUE"""),13.2)</f>
        <v>13.2</v>
      </c>
    </row>
    <row r="643">
      <c r="A643" s="4" t="str">
        <f>IFERROR(__xludf.DUMMYFUNCTION("""COMPUTED_VALUE"""),"0588NE")</f>
        <v>0588NE</v>
      </c>
      <c r="B643" s="4" t="str">
        <f>IFERROR(__xludf.DUMMYFUNCTION("""COMPUTED_VALUE"""),"Hito 75 cm PVC blando Negro Mod. E")</f>
        <v>Hito 75 cm PVC blando Negro Mod. E</v>
      </c>
      <c r="C643" s="4">
        <f>IFERROR(__xludf.DUMMYFUNCTION("""COMPUTED_VALUE"""),13.2)</f>
        <v>13.2</v>
      </c>
    </row>
    <row r="644">
      <c r="A644" s="4" t="str">
        <f>IFERROR(__xludf.DUMMYFUNCTION("""COMPUTED_VALUE"""),"0588R")</f>
        <v>0588R</v>
      </c>
      <c r="B644" s="4" t="str">
        <f>IFERROR(__xludf.DUMMYFUNCTION("""COMPUTED_VALUE"""),"Hito 75 cm PVC blando Rojo Mod. E")</f>
        <v>Hito 75 cm PVC blando Rojo Mod. E</v>
      </c>
      <c r="C644" s="4">
        <f>IFERROR(__xludf.DUMMYFUNCTION("""COMPUTED_VALUE"""),13.2)</f>
        <v>13.2</v>
      </c>
    </row>
    <row r="645">
      <c r="A645" s="4" t="str">
        <f>IFERROR(__xludf.DUMMYFUNCTION("""COMPUTED_VALUE"""),"0588V")</f>
        <v>0588V</v>
      </c>
      <c r="B645" s="4" t="str">
        <f>IFERROR(__xludf.DUMMYFUNCTION("""COMPUTED_VALUE"""),"Hito 75 cm PVC blando Verde Mod. E")</f>
        <v>Hito 75 cm PVC blando Verde Mod. E</v>
      </c>
      <c r="C645" s="4">
        <f>IFERROR(__xludf.DUMMYFUNCTION("""COMPUTED_VALUE"""),13.2)</f>
        <v>13.2</v>
      </c>
    </row>
    <row r="646">
      <c r="A646" s="4" t="str">
        <f>IFERROR(__xludf.DUMMYFUNCTION("""COMPUTED_VALUE"""),"589")</f>
        <v>589</v>
      </c>
      <c r="B646" s="4" t="str">
        <f>IFERROR(__xludf.DUMMYFUNCTION("""COMPUTED_VALUE"""),"Hito 45 cm PVC blando Naranja Mod. F")</f>
        <v>Hito 45 cm PVC blando Naranja Mod. F</v>
      </c>
      <c r="C646" s="4">
        <f>IFERROR(__xludf.DUMMYFUNCTION("""COMPUTED_VALUE"""),7.92)</f>
        <v>7.92</v>
      </c>
    </row>
    <row r="647">
      <c r="A647" s="4" t="str">
        <f>IFERROR(__xludf.DUMMYFUNCTION("""COMPUTED_VALUE"""),"590")</f>
        <v>590</v>
      </c>
      <c r="B647" s="4" t="str">
        <f>IFERROR(__xludf.DUMMYFUNCTION("""COMPUTED_VALUE"""),"Captafaros flexible p/muro doble lente blanco/amarillo")</f>
        <v>Captafaros flexible p/muro doble lente blanco/amarillo</v>
      </c>
      <c r="C647" s="4">
        <f>IFERROR(__xludf.DUMMYFUNCTION("""COMPUTED_VALUE"""),4.512)</f>
        <v>4.512</v>
      </c>
    </row>
    <row r="648">
      <c r="A648" s="4" t="str">
        <f>IFERROR(__xludf.DUMMYFUNCTION("""COMPUTED_VALUE"""),"591")</f>
        <v>591</v>
      </c>
      <c r="B648" s="4" t="str">
        <f>IFERROR(__xludf.DUMMYFUNCTION("""COMPUTED_VALUE"""),"Captafaros doble lente blanco/amarillo 3M")</f>
        <v>Captafaros doble lente blanco/amarillo 3M</v>
      </c>
      <c r="C648" s="4">
        <f>IFERROR(__xludf.DUMMYFUNCTION("""COMPUTED_VALUE"""),2.976)</f>
        <v>2.976</v>
      </c>
    </row>
    <row r="649">
      <c r="A649" s="4" t="str">
        <f>IFERROR(__xludf.DUMMYFUNCTION("""COMPUTED_VALUE"""),"0591A")</f>
        <v>0591A</v>
      </c>
      <c r="B649" s="4" t="str">
        <f>IFERROR(__xludf.DUMMYFUNCTION("""COMPUTED_VALUE"""),"Captafaros doble lente Blanco/Amarillo Autoadhesivo 3M")</f>
        <v>Captafaros doble lente Blanco/Amarillo Autoadhesivo 3M</v>
      </c>
      <c r="C649" s="4">
        <f>IFERROR(__xludf.DUMMYFUNCTION("""COMPUTED_VALUE"""),4.224)</f>
        <v>4.224</v>
      </c>
    </row>
    <row r="650">
      <c r="A650" s="4" t="str">
        <f>IFERROR(__xludf.DUMMYFUNCTION("""COMPUTED_VALUE"""),"0591B")</f>
        <v>0591B</v>
      </c>
      <c r="B650" s="4" t="str">
        <f>IFERROR(__xludf.DUMMYFUNCTION("""COMPUTED_VALUE"""),"Captafaros doble lente Blanco/blanco 3M")</f>
        <v>Captafaros doble lente Blanco/blanco 3M</v>
      </c>
      <c r="C650" s="4">
        <f>IFERROR(__xludf.DUMMYFUNCTION("""COMPUTED_VALUE"""),2.976)</f>
        <v>2.976</v>
      </c>
    </row>
    <row r="651">
      <c r="A651" s="4" t="str">
        <f>IFERROR(__xludf.DUMMYFUNCTION("""COMPUTED_VALUE"""),"0591BA")</f>
        <v>0591BA</v>
      </c>
      <c r="B651" s="4" t="str">
        <f>IFERROR(__xludf.DUMMYFUNCTION("""COMPUTED_VALUE"""),"Captafaros doble lente Blanco/Blanco Autoadhesivo 3M")</f>
        <v>Captafaros doble lente Blanco/Blanco Autoadhesivo 3M</v>
      </c>
      <c r="C651" s="4">
        <f>IFERROR(__xludf.DUMMYFUNCTION("""COMPUTED_VALUE"""),4.224)</f>
        <v>4.224</v>
      </c>
    </row>
    <row r="652">
      <c r="A652" s="4" t="str">
        <f>IFERROR(__xludf.DUMMYFUNCTION("""COMPUTED_VALUE"""),"0592/A")</f>
        <v>0592/A</v>
      </c>
      <c r="B652" s="4" t="str">
        <f>IFERROR(__xludf.DUMMYFUNCTION("""COMPUTED_VALUE"""),"Delineador de Barrera LDS Amarillo 86x15,3 cm")</f>
        <v>Delineador de Barrera LDS Amarillo 86x15,3 cm</v>
      </c>
      <c r="C652" s="4">
        <f>IFERROR(__xludf.DUMMYFUNCTION("""COMPUTED_VALUE"""),19.151999999999997)</f>
        <v>19.152</v>
      </c>
    </row>
    <row r="653">
      <c r="A653" s="4" t="str">
        <f>IFERROR(__xludf.DUMMYFUNCTION("""COMPUTED_VALUE"""),"0592/B")</f>
        <v>0592/B</v>
      </c>
      <c r="B653" s="4" t="str">
        <f>IFERROR(__xludf.DUMMYFUNCTION("""COMPUTED_VALUE"""),"Delineador de Barrera LDS Blanco 86x15,3 cm")</f>
        <v>Delineador de Barrera LDS Blanco 86x15,3 cm</v>
      </c>
      <c r="C653" s="4">
        <f>IFERROR(__xludf.DUMMYFUNCTION("""COMPUTED_VALUE"""),19.151999999999997)</f>
        <v>19.152</v>
      </c>
    </row>
    <row r="654">
      <c r="A654" s="4" t="str">
        <f>IFERROR(__xludf.DUMMYFUNCTION("""COMPUTED_VALUE"""),"0592/R")</f>
        <v>0592/R</v>
      </c>
      <c r="B654" s="4" t="str">
        <f>IFERROR(__xludf.DUMMYFUNCTION("""COMPUTED_VALUE"""),"Delineador de Barrera LDS Rojo 86x15,3 cm")</f>
        <v>Delineador de Barrera LDS Rojo 86x15,3 cm</v>
      </c>
      <c r="C654" s="4">
        <f>IFERROR(__xludf.DUMMYFUNCTION("""COMPUTED_VALUE"""),19.151999999999997)</f>
        <v>19.152</v>
      </c>
    </row>
    <row r="655">
      <c r="A655" s="4" t="str">
        <f>IFERROR(__xludf.DUMMYFUNCTION("""COMPUTED_VALUE"""),"593")</f>
        <v>593</v>
      </c>
      <c r="B655" s="4" t="str">
        <f>IFERROR(__xludf.DUMMYFUNCTION("""COMPUTED_VALUE"""),"Hito Basculante Flexible 75 cm Mod. G + base")</f>
        <v>Hito Basculante Flexible 75 cm Mod. G + base</v>
      </c>
      <c r="C655" s="4">
        <f>IFERROR(__xludf.DUMMYFUNCTION("""COMPUTED_VALUE"""),23.856)</f>
        <v>23.856</v>
      </c>
    </row>
    <row r="656">
      <c r="A656" s="4" t="str">
        <f>IFERROR(__xludf.DUMMYFUNCTION("""COMPUTED_VALUE"""),"594")</f>
        <v>594</v>
      </c>
      <c r="B656" s="4" t="str">
        <f>IFERROR(__xludf.DUMMYFUNCTION("""COMPUTED_VALUE"""),"Panel señal. vertical R/B reflectante 2 caras")</f>
        <v>Panel señal. vertical R/B reflectante 2 caras</v>
      </c>
      <c r="C656" s="4">
        <f>IFERROR(__xludf.DUMMYFUNCTION("""COMPUTED_VALUE"""),17.52)</f>
        <v>17.52</v>
      </c>
    </row>
    <row r="657">
      <c r="A657" s="4" t="str">
        <f>IFERROR(__xludf.DUMMYFUNCTION("""COMPUTED_VALUE"""),"595")</f>
        <v>595</v>
      </c>
      <c r="B657" s="4" t="str">
        <f>IFERROR(__xludf.DUMMYFUNCTION("""COMPUTED_VALUE"""),"Conjunto manga viento + poste y rótula")</f>
        <v>Conjunto manga viento + poste y rótula</v>
      </c>
      <c r="C657" s="4">
        <f>IFERROR(__xludf.DUMMYFUNCTION("""COMPUTED_VALUE"""),897.12)</f>
        <v>897.12</v>
      </c>
    </row>
    <row r="658">
      <c r="A658" s="4" t="str">
        <f>IFERROR(__xludf.DUMMYFUNCTION("""COMPUTED_VALUE"""),"596")</f>
        <v>596</v>
      </c>
      <c r="B658" s="4" t="str">
        <f>IFERROR(__xludf.DUMMYFUNCTION("""COMPUTED_VALUE"""),"Mástil Manga viento c/ rótula 400cm x 8cm diam x 2mm")</f>
        <v>Mástil Manga viento c/ rótula 400cm x 8cm diam x 2mm</v>
      </c>
      <c r="C658" s="4">
        <f>IFERROR(__xludf.DUMMYFUNCTION("""COMPUTED_VALUE"""),453.59999999999997)</f>
        <v>453.6</v>
      </c>
    </row>
    <row r="659">
      <c r="A659" s="4" t="str">
        <f>IFERROR(__xludf.DUMMYFUNCTION("""COMPUTED_VALUE"""),"597")</f>
        <v>597</v>
      </c>
      <c r="B659" s="4" t="str">
        <f>IFERROR(__xludf.DUMMYFUNCTION("""COMPUTED_VALUE"""),"Manga de viento c/aro 400x150mm L.1600mm")</f>
        <v>Manga de viento c/aro 400x150mm L.1600mm</v>
      </c>
      <c r="C659" s="4">
        <f>IFERROR(__xludf.DUMMYFUNCTION("""COMPUTED_VALUE"""),282.24)</f>
        <v>282.24</v>
      </c>
    </row>
    <row r="660">
      <c r="A660" s="4" t="str">
        <f>IFERROR(__xludf.DUMMYFUNCTION("""COMPUTED_VALUE"""),"598")</f>
        <v>598</v>
      </c>
      <c r="B660" s="4" t="str">
        <f>IFERROR(__xludf.DUMMYFUNCTION("""COMPUTED_VALUE"""),"Rótula para manga viento")</f>
        <v>Rótula para manga viento</v>
      </c>
      <c r="C660" s="4">
        <f>IFERROR(__xludf.DUMMYFUNCTION("""COMPUTED_VALUE"""),95.75999999999999)</f>
        <v>95.76</v>
      </c>
    </row>
    <row r="661">
      <c r="A661" s="4" t="str">
        <f>IFERROR(__xludf.DUMMYFUNCTION("""COMPUTED_VALUE"""),"600")</f>
        <v>600</v>
      </c>
      <c r="B661" s="4" t="str">
        <f>IFERROR(__xludf.DUMMYFUNCTION("""COMPUTED_VALUE"""),"Señal metalica TP-3")</f>
        <v>Señal metalica TP-3</v>
      </c>
      <c r="C661" s="4">
        <f>IFERROR(__xludf.DUMMYFUNCTION("""COMPUTED_VALUE"""),10.799999999999999)</f>
        <v>10.8</v>
      </c>
    </row>
    <row r="662">
      <c r="A662" s="4" t="str">
        <f>IFERROR(__xludf.DUMMYFUNCTION("""COMPUTED_VALUE"""),"0600D")</f>
        <v>0600D</v>
      </c>
      <c r="B662" s="4" t="str">
        <f>IFERROR(__xludf.DUMMYFUNCTION("""COMPUTED_VALUE"""),"Señal metalica P-3")</f>
        <v>Señal metalica P-3</v>
      </c>
      <c r="C662" s="4">
        <f>IFERROR(__xludf.DUMMYFUNCTION("""COMPUTED_VALUE"""),10.799999999999999)</f>
        <v>10.8</v>
      </c>
    </row>
    <row r="663">
      <c r="A663" s="4" t="str">
        <f>IFERROR(__xludf.DUMMYFUNCTION("""COMPUTED_VALUE"""),"601")</f>
        <v>601</v>
      </c>
      <c r="B663" s="4" t="str">
        <f>IFERROR(__xludf.DUMMYFUNCTION("""COMPUTED_VALUE"""),"Señal metalica TP-13a")</f>
        <v>Señal metalica TP-13a</v>
      </c>
      <c r="C663" s="4">
        <f>IFERROR(__xludf.DUMMYFUNCTION("""COMPUTED_VALUE"""),10.799999999999999)</f>
        <v>10.8</v>
      </c>
    </row>
    <row r="664">
      <c r="A664" s="4" t="str">
        <f>IFERROR(__xludf.DUMMYFUNCTION("""COMPUTED_VALUE"""),"0601D")</f>
        <v>0601D</v>
      </c>
      <c r="B664" s="4" t="str">
        <f>IFERROR(__xludf.DUMMYFUNCTION("""COMPUTED_VALUE"""),"Señal metalica P-13a")</f>
        <v>Señal metalica P-13a</v>
      </c>
      <c r="C664" s="4">
        <f>IFERROR(__xludf.DUMMYFUNCTION("""COMPUTED_VALUE"""),10.799999999999999)</f>
        <v>10.8</v>
      </c>
    </row>
    <row r="665">
      <c r="A665" s="4" t="str">
        <f>IFERROR(__xludf.DUMMYFUNCTION("""COMPUTED_VALUE"""),"602")</f>
        <v>602</v>
      </c>
      <c r="B665" s="4" t="str">
        <f>IFERROR(__xludf.DUMMYFUNCTION("""COMPUTED_VALUE"""),"Señal metalica TP-13b")</f>
        <v>Señal metalica TP-13b</v>
      </c>
      <c r="C665" s="4">
        <f>IFERROR(__xludf.DUMMYFUNCTION("""COMPUTED_VALUE"""),10.799999999999999)</f>
        <v>10.8</v>
      </c>
    </row>
    <row r="666">
      <c r="A666" s="4" t="str">
        <f>IFERROR(__xludf.DUMMYFUNCTION("""COMPUTED_VALUE"""),"0602D")</f>
        <v>0602D</v>
      </c>
      <c r="B666" s="4" t="str">
        <f>IFERROR(__xludf.DUMMYFUNCTION("""COMPUTED_VALUE"""),"Señal metalica P-13b")</f>
        <v>Señal metalica P-13b</v>
      </c>
      <c r="C666" s="4">
        <f>IFERROR(__xludf.DUMMYFUNCTION("""COMPUTED_VALUE"""),10.799999999999999)</f>
        <v>10.8</v>
      </c>
    </row>
    <row r="667">
      <c r="A667" s="4" t="str">
        <f>IFERROR(__xludf.DUMMYFUNCTION("""COMPUTED_VALUE"""),"603")</f>
        <v>603</v>
      </c>
      <c r="B667" s="4" t="str">
        <f>IFERROR(__xludf.DUMMYFUNCTION("""COMPUTED_VALUE"""),"Señal metalica TP-14a")</f>
        <v>Señal metalica TP-14a</v>
      </c>
      <c r="C667" s="4">
        <f>IFERROR(__xludf.DUMMYFUNCTION("""COMPUTED_VALUE"""),10.799999999999999)</f>
        <v>10.8</v>
      </c>
    </row>
    <row r="668">
      <c r="A668" s="4" t="str">
        <f>IFERROR(__xludf.DUMMYFUNCTION("""COMPUTED_VALUE"""),"0603D")</f>
        <v>0603D</v>
      </c>
      <c r="B668" s="4" t="str">
        <f>IFERROR(__xludf.DUMMYFUNCTION("""COMPUTED_VALUE"""),"Señal metalica P-14a")</f>
        <v>Señal metalica P-14a</v>
      </c>
      <c r="C668" s="4">
        <f>IFERROR(__xludf.DUMMYFUNCTION("""COMPUTED_VALUE"""),10.799999999999999)</f>
        <v>10.8</v>
      </c>
    </row>
    <row r="669">
      <c r="A669" s="4" t="str">
        <f>IFERROR(__xludf.DUMMYFUNCTION("""COMPUTED_VALUE"""),"604")</f>
        <v>604</v>
      </c>
      <c r="B669" s="4" t="str">
        <f>IFERROR(__xludf.DUMMYFUNCTION("""COMPUTED_VALUE"""),"Señal metalica TP-14b")</f>
        <v>Señal metalica TP-14b</v>
      </c>
      <c r="C669" s="4">
        <f>IFERROR(__xludf.DUMMYFUNCTION("""COMPUTED_VALUE"""),10.799999999999999)</f>
        <v>10.8</v>
      </c>
    </row>
    <row r="670">
      <c r="A670" s="4" t="str">
        <f>IFERROR(__xludf.DUMMYFUNCTION("""COMPUTED_VALUE"""),"0604D")</f>
        <v>0604D</v>
      </c>
      <c r="B670" s="4" t="str">
        <f>IFERROR(__xludf.DUMMYFUNCTION("""COMPUTED_VALUE"""),"Señal metalica P-14b")</f>
        <v>Señal metalica P-14b</v>
      </c>
      <c r="C670" s="4">
        <f>IFERROR(__xludf.DUMMYFUNCTION("""COMPUTED_VALUE"""),10.799999999999999)</f>
        <v>10.8</v>
      </c>
    </row>
    <row r="671">
      <c r="A671" s="4" t="str">
        <f>IFERROR(__xludf.DUMMYFUNCTION("""COMPUTED_VALUE"""),"605")</f>
        <v>605</v>
      </c>
      <c r="B671" s="4" t="str">
        <f>IFERROR(__xludf.DUMMYFUNCTION("""COMPUTED_VALUE"""),"Señal metalica TP-15")</f>
        <v>Señal metalica TP-15</v>
      </c>
      <c r="C671" s="4">
        <f>IFERROR(__xludf.DUMMYFUNCTION("""COMPUTED_VALUE"""),10.799999999999999)</f>
        <v>10.8</v>
      </c>
    </row>
    <row r="672">
      <c r="A672" s="4" t="str">
        <f>IFERROR(__xludf.DUMMYFUNCTION("""COMPUTED_VALUE"""),"0605D")</f>
        <v>0605D</v>
      </c>
      <c r="B672" s="4" t="str">
        <f>IFERROR(__xludf.DUMMYFUNCTION("""COMPUTED_VALUE"""),"Señal metalica P-15")</f>
        <v>Señal metalica P-15</v>
      </c>
      <c r="C672" s="4">
        <f>IFERROR(__xludf.DUMMYFUNCTION("""COMPUTED_VALUE"""),10.799999999999999)</f>
        <v>10.8</v>
      </c>
    </row>
    <row r="673">
      <c r="A673" s="4" t="str">
        <f>IFERROR(__xludf.DUMMYFUNCTION("""COMPUTED_VALUE"""),"606")</f>
        <v>606</v>
      </c>
      <c r="B673" s="4" t="str">
        <f>IFERROR(__xludf.DUMMYFUNCTION("""COMPUTED_VALUE"""),"Señal metalica TP-15a")</f>
        <v>Señal metalica TP-15a</v>
      </c>
      <c r="C673" s="4">
        <f>IFERROR(__xludf.DUMMYFUNCTION("""COMPUTED_VALUE"""),10.799999999999999)</f>
        <v>10.8</v>
      </c>
    </row>
    <row r="674">
      <c r="A674" s="4" t="str">
        <f>IFERROR(__xludf.DUMMYFUNCTION("""COMPUTED_VALUE"""),"0606D")</f>
        <v>0606D</v>
      </c>
      <c r="B674" s="4" t="str">
        <f>IFERROR(__xludf.DUMMYFUNCTION("""COMPUTED_VALUE"""),"Señal metalica P-15a")</f>
        <v>Señal metalica P-15a</v>
      </c>
      <c r="C674" s="4">
        <f>IFERROR(__xludf.DUMMYFUNCTION("""COMPUTED_VALUE"""),10.799999999999999)</f>
        <v>10.8</v>
      </c>
    </row>
    <row r="675">
      <c r="A675" s="4" t="str">
        <f>IFERROR(__xludf.DUMMYFUNCTION("""COMPUTED_VALUE"""),"607")</f>
        <v>607</v>
      </c>
      <c r="B675" s="4" t="str">
        <f>IFERROR(__xludf.DUMMYFUNCTION("""COMPUTED_VALUE"""),"Señal metalica TP-15b")</f>
        <v>Señal metalica TP-15b</v>
      </c>
      <c r="C675" s="4">
        <f>IFERROR(__xludf.DUMMYFUNCTION("""COMPUTED_VALUE"""),10.799999999999999)</f>
        <v>10.8</v>
      </c>
    </row>
    <row r="676">
      <c r="A676" s="4" t="str">
        <f>IFERROR(__xludf.DUMMYFUNCTION("""COMPUTED_VALUE"""),"0607D")</f>
        <v>0607D</v>
      </c>
      <c r="B676" s="4" t="str">
        <f>IFERROR(__xludf.DUMMYFUNCTION("""COMPUTED_VALUE"""),"Señal metalica P-15b")</f>
        <v>Señal metalica P-15b</v>
      </c>
      <c r="C676" s="4">
        <f>IFERROR(__xludf.DUMMYFUNCTION("""COMPUTED_VALUE"""),10.799999999999999)</f>
        <v>10.8</v>
      </c>
    </row>
    <row r="677">
      <c r="A677" s="4" t="str">
        <f>IFERROR(__xludf.DUMMYFUNCTION("""COMPUTED_VALUE"""),"608")</f>
        <v>608</v>
      </c>
      <c r="B677" s="4" t="str">
        <f>IFERROR(__xludf.DUMMYFUNCTION("""COMPUTED_VALUE"""),"Señal metalica TP-17")</f>
        <v>Señal metalica TP-17</v>
      </c>
      <c r="C677" s="4">
        <f>IFERROR(__xludf.DUMMYFUNCTION("""COMPUTED_VALUE"""),10.799999999999999)</f>
        <v>10.8</v>
      </c>
    </row>
    <row r="678">
      <c r="A678" s="4" t="str">
        <f>IFERROR(__xludf.DUMMYFUNCTION("""COMPUTED_VALUE"""),"0608D")</f>
        <v>0608D</v>
      </c>
      <c r="B678" s="4" t="str">
        <f>IFERROR(__xludf.DUMMYFUNCTION("""COMPUTED_VALUE"""),"Señal metalica P-17")</f>
        <v>Señal metalica P-17</v>
      </c>
      <c r="C678" s="4">
        <f>IFERROR(__xludf.DUMMYFUNCTION("""COMPUTED_VALUE"""),10.799999999999999)</f>
        <v>10.8</v>
      </c>
    </row>
    <row r="679">
      <c r="A679" s="4" t="str">
        <f>IFERROR(__xludf.DUMMYFUNCTION("""COMPUTED_VALUE"""),"609")</f>
        <v>609</v>
      </c>
      <c r="B679" s="4" t="str">
        <f>IFERROR(__xludf.DUMMYFUNCTION("""COMPUTED_VALUE"""),"Señal metalica TP-17b")</f>
        <v>Señal metalica TP-17b</v>
      </c>
      <c r="C679" s="4">
        <f>IFERROR(__xludf.DUMMYFUNCTION("""COMPUTED_VALUE"""),10.799999999999999)</f>
        <v>10.8</v>
      </c>
    </row>
    <row r="680">
      <c r="A680" s="4" t="str">
        <f>IFERROR(__xludf.DUMMYFUNCTION("""COMPUTED_VALUE"""),"0609D")</f>
        <v>0609D</v>
      </c>
      <c r="B680" s="4" t="str">
        <f>IFERROR(__xludf.DUMMYFUNCTION("""COMPUTED_VALUE"""),"Señal metalica P-17b")</f>
        <v>Señal metalica P-17b</v>
      </c>
      <c r="C680" s="4">
        <f>IFERROR(__xludf.DUMMYFUNCTION("""COMPUTED_VALUE"""),10.799999999999999)</f>
        <v>10.8</v>
      </c>
    </row>
    <row r="681">
      <c r="A681" s="4" t="str">
        <f>IFERROR(__xludf.DUMMYFUNCTION("""COMPUTED_VALUE"""),"610")</f>
        <v>610</v>
      </c>
      <c r="B681" s="4" t="str">
        <f>IFERROR(__xludf.DUMMYFUNCTION("""COMPUTED_VALUE"""),"Señal metalica TP-17a")</f>
        <v>Señal metalica TP-17a</v>
      </c>
      <c r="C681" s="4">
        <f>IFERROR(__xludf.DUMMYFUNCTION("""COMPUTED_VALUE"""),10.799999999999999)</f>
        <v>10.8</v>
      </c>
    </row>
    <row r="682">
      <c r="A682" s="4" t="str">
        <f>IFERROR(__xludf.DUMMYFUNCTION("""COMPUTED_VALUE"""),"0610D")</f>
        <v>0610D</v>
      </c>
      <c r="B682" s="4" t="str">
        <f>IFERROR(__xludf.DUMMYFUNCTION("""COMPUTED_VALUE"""),"Señal metalica P-17a")</f>
        <v>Señal metalica P-17a</v>
      </c>
      <c r="C682" s="4">
        <f>IFERROR(__xludf.DUMMYFUNCTION("""COMPUTED_VALUE"""),10.799999999999999)</f>
        <v>10.8</v>
      </c>
    </row>
    <row r="683">
      <c r="A683" s="4" t="str">
        <f>IFERROR(__xludf.DUMMYFUNCTION("""COMPUTED_VALUE"""),"611")</f>
        <v>611</v>
      </c>
      <c r="B683" s="4" t="str">
        <f>IFERROR(__xludf.DUMMYFUNCTION("""COMPUTED_VALUE"""),"Señal metalica TP-18")</f>
        <v>Señal metalica TP-18</v>
      </c>
      <c r="C683" s="4">
        <f>IFERROR(__xludf.DUMMYFUNCTION("""COMPUTED_VALUE"""),10.799999999999999)</f>
        <v>10.8</v>
      </c>
    </row>
    <row r="684">
      <c r="A684" s="4" t="str">
        <f>IFERROR(__xludf.DUMMYFUNCTION("""COMPUTED_VALUE"""),"0611D")</f>
        <v>0611D</v>
      </c>
      <c r="B684" s="4" t="str">
        <f>IFERROR(__xludf.DUMMYFUNCTION("""COMPUTED_VALUE"""),"Señal metalica P-18")</f>
        <v>Señal metalica P-18</v>
      </c>
      <c r="C684" s="4">
        <f>IFERROR(__xludf.DUMMYFUNCTION("""COMPUTED_VALUE"""),10.799999999999999)</f>
        <v>10.8</v>
      </c>
    </row>
    <row r="685">
      <c r="A685" s="4" t="str">
        <f>IFERROR(__xludf.DUMMYFUNCTION("""COMPUTED_VALUE"""),"612")</f>
        <v>612</v>
      </c>
      <c r="B685" s="4" t="str">
        <f>IFERROR(__xludf.DUMMYFUNCTION("""COMPUTED_VALUE"""),"Señal metalica TP-19")</f>
        <v>Señal metalica TP-19</v>
      </c>
      <c r="C685" s="4">
        <f>IFERROR(__xludf.DUMMYFUNCTION("""COMPUTED_VALUE"""),10.799999999999999)</f>
        <v>10.8</v>
      </c>
    </row>
    <row r="686">
      <c r="A686" s="4" t="str">
        <f>IFERROR(__xludf.DUMMYFUNCTION("""COMPUTED_VALUE"""),"0612D")</f>
        <v>0612D</v>
      </c>
      <c r="B686" s="4" t="str">
        <f>IFERROR(__xludf.DUMMYFUNCTION("""COMPUTED_VALUE"""),"Señal metalica P-19")</f>
        <v>Señal metalica P-19</v>
      </c>
      <c r="C686" s="4">
        <f>IFERROR(__xludf.DUMMYFUNCTION("""COMPUTED_VALUE"""),10.799999999999999)</f>
        <v>10.8</v>
      </c>
    </row>
    <row r="687">
      <c r="A687" s="4" t="str">
        <f>IFERROR(__xludf.DUMMYFUNCTION("""COMPUTED_VALUE"""),"613")</f>
        <v>613</v>
      </c>
      <c r="B687" s="4" t="str">
        <f>IFERROR(__xludf.DUMMYFUNCTION("""COMPUTED_VALUE"""),"Señal metalica TP-25")</f>
        <v>Señal metalica TP-25</v>
      </c>
      <c r="C687" s="4">
        <f>IFERROR(__xludf.DUMMYFUNCTION("""COMPUTED_VALUE"""),10.799999999999999)</f>
        <v>10.8</v>
      </c>
    </row>
    <row r="688">
      <c r="A688" s="4" t="str">
        <f>IFERROR(__xludf.DUMMYFUNCTION("""COMPUTED_VALUE"""),"0613D")</f>
        <v>0613D</v>
      </c>
      <c r="B688" s="4" t="str">
        <f>IFERROR(__xludf.DUMMYFUNCTION("""COMPUTED_VALUE"""),"Señal metalica P-25")</f>
        <v>Señal metalica P-25</v>
      </c>
      <c r="C688" s="4">
        <f>IFERROR(__xludf.DUMMYFUNCTION("""COMPUTED_VALUE"""),10.799999999999999)</f>
        <v>10.8</v>
      </c>
    </row>
    <row r="689">
      <c r="A689" s="4" t="str">
        <f>IFERROR(__xludf.DUMMYFUNCTION("""COMPUTED_VALUE"""),"614")</f>
        <v>614</v>
      </c>
      <c r="B689" s="4" t="str">
        <f>IFERROR(__xludf.DUMMYFUNCTION("""COMPUTED_VALUE"""),"Señal metalica TP-26")</f>
        <v>Señal metalica TP-26</v>
      </c>
      <c r="C689" s="4">
        <f>IFERROR(__xludf.DUMMYFUNCTION("""COMPUTED_VALUE"""),10.799999999999999)</f>
        <v>10.8</v>
      </c>
    </row>
    <row r="690">
      <c r="A690" s="4" t="str">
        <f>IFERROR(__xludf.DUMMYFUNCTION("""COMPUTED_VALUE"""),"0614D")</f>
        <v>0614D</v>
      </c>
      <c r="B690" s="4" t="str">
        <f>IFERROR(__xludf.DUMMYFUNCTION("""COMPUTED_VALUE"""),"Señal metalica P-26")</f>
        <v>Señal metalica P-26</v>
      </c>
      <c r="C690" s="4">
        <f>IFERROR(__xludf.DUMMYFUNCTION("""COMPUTED_VALUE"""),10.799999999999999)</f>
        <v>10.8</v>
      </c>
    </row>
    <row r="691">
      <c r="A691" s="4" t="str">
        <f>IFERROR(__xludf.DUMMYFUNCTION("""COMPUTED_VALUE"""),"615")</f>
        <v>615</v>
      </c>
      <c r="B691" s="4" t="str">
        <f>IFERROR(__xludf.DUMMYFUNCTION("""COMPUTED_VALUE"""),"Señal metalica TP-28")</f>
        <v>Señal metalica TP-28</v>
      </c>
      <c r="C691" s="4">
        <f>IFERROR(__xludf.DUMMYFUNCTION("""COMPUTED_VALUE"""),10.799999999999999)</f>
        <v>10.8</v>
      </c>
    </row>
    <row r="692">
      <c r="A692" s="4" t="str">
        <f>IFERROR(__xludf.DUMMYFUNCTION("""COMPUTED_VALUE"""),"0615D")</f>
        <v>0615D</v>
      </c>
      <c r="B692" s="4" t="str">
        <f>IFERROR(__xludf.DUMMYFUNCTION("""COMPUTED_VALUE"""),"Señal metalica P-28")</f>
        <v>Señal metalica P-28</v>
      </c>
      <c r="C692" s="4">
        <f>IFERROR(__xludf.DUMMYFUNCTION("""COMPUTED_VALUE"""),10.799999999999999)</f>
        <v>10.8</v>
      </c>
    </row>
    <row r="693">
      <c r="A693" s="4" t="str">
        <f>IFERROR(__xludf.DUMMYFUNCTION("""COMPUTED_VALUE"""),"616")</f>
        <v>616</v>
      </c>
      <c r="B693" s="4" t="str">
        <f>IFERROR(__xludf.DUMMYFUNCTION("""COMPUTED_VALUE"""),"Señal metalica TP-30")</f>
        <v>Señal metalica TP-30</v>
      </c>
      <c r="C693" s="4">
        <f>IFERROR(__xludf.DUMMYFUNCTION("""COMPUTED_VALUE"""),10.799999999999999)</f>
        <v>10.8</v>
      </c>
    </row>
    <row r="694">
      <c r="A694" s="4" t="str">
        <f>IFERROR(__xludf.DUMMYFUNCTION("""COMPUTED_VALUE"""),"0616B")</f>
        <v>0616B</v>
      </c>
      <c r="B694" s="4" t="str">
        <f>IFERROR(__xludf.DUMMYFUNCTION("""COMPUTED_VALUE"""),"Cartel PVC 42x42 Fotolum. Salida emergencia derecha")</f>
        <v>Cartel PVC 42x42 Fotolum. Salida emergencia derecha</v>
      </c>
      <c r="C694" s="4">
        <f>IFERROR(__xludf.DUMMYFUNCTION("""COMPUTED_VALUE"""),3.7439999999999998)</f>
        <v>3.744</v>
      </c>
    </row>
    <row r="695">
      <c r="A695" s="4" t="str">
        <f>IFERROR(__xludf.DUMMYFUNCTION("""COMPUTED_VALUE"""),"0616C")</f>
        <v>0616C</v>
      </c>
      <c r="B695" s="4" t="str">
        <f>IFERROR(__xludf.DUMMYFUNCTION("""COMPUTED_VALUE"""),"Cartel PVC 63x63 Fotolum. Salida emergencia derecha")</f>
        <v>Cartel PVC 63x63 Fotolum. Salida emergencia derecha</v>
      </c>
      <c r="C695" s="4">
        <f>IFERROR(__xludf.DUMMYFUNCTION("""COMPUTED_VALUE"""),6.0)</f>
        <v>6</v>
      </c>
    </row>
    <row r="696">
      <c r="A696" s="4" t="str">
        <f>IFERROR(__xludf.DUMMYFUNCTION("""COMPUTED_VALUE"""),"0616D")</f>
        <v>0616D</v>
      </c>
      <c r="B696" s="4" t="str">
        <f>IFERROR(__xludf.DUMMYFUNCTION("""COMPUTED_VALUE"""),"Señal metalica P-30")</f>
        <v>Señal metalica P-30</v>
      </c>
      <c r="C696" s="4">
        <f>IFERROR(__xludf.DUMMYFUNCTION("""COMPUTED_VALUE"""),10.799999999999999)</f>
        <v>10.8</v>
      </c>
    </row>
    <row r="697">
      <c r="A697" s="4" t="str">
        <f>IFERROR(__xludf.DUMMYFUNCTION("""COMPUTED_VALUE"""),"617")</f>
        <v>617</v>
      </c>
      <c r="B697" s="4" t="str">
        <f>IFERROR(__xludf.DUMMYFUNCTION("""COMPUTED_VALUE"""),"Señal metalica TP-50")</f>
        <v>Señal metalica TP-50</v>
      </c>
      <c r="C697" s="4">
        <f>IFERROR(__xludf.DUMMYFUNCTION("""COMPUTED_VALUE"""),10.799999999999999)</f>
        <v>10.8</v>
      </c>
    </row>
    <row r="698">
      <c r="A698" s="4" t="str">
        <f>IFERROR(__xludf.DUMMYFUNCTION("""COMPUTED_VALUE"""),"0617D")</f>
        <v>0617D</v>
      </c>
      <c r="B698" s="4" t="str">
        <f>IFERROR(__xludf.DUMMYFUNCTION("""COMPUTED_VALUE"""),"Señal metalica P-50")</f>
        <v>Señal metalica P-50</v>
      </c>
      <c r="C698" s="4">
        <f>IFERROR(__xludf.DUMMYFUNCTION("""COMPUTED_VALUE"""),10.799999999999999)</f>
        <v>10.8</v>
      </c>
    </row>
    <row r="699">
      <c r="A699" s="4" t="str">
        <f>IFERROR(__xludf.DUMMYFUNCTION("""COMPUTED_VALUE"""),"619")</f>
        <v>619</v>
      </c>
      <c r="B699" s="4" t="str">
        <f>IFERROR(__xludf.DUMMYFUNCTION("""COMPUTED_VALUE"""),"Señal metalica TP-4")</f>
        <v>Señal metalica TP-4</v>
      </c>
      <c r="C699" s="4">
        <f>IFERROR(__xludf.DUMMYFUNCTION("""COMPUTED_VALUE"""),10.799999999999999)</f>
        <v>10.8</v>
      </c>
    </row>
    <row r="700">
      <c r="A700" s="4" t="str">
        <f>IFERROR(__xludf.DUMMYFUNCTION("""COMPUTED_VALUE"""),"0619D")</f>
        <v>0619D</v>
      </c>
      <c r="B700" s="4" t="str">
        <f>IFERROR(__xludf.DUMMYFUNCTION("""COMPUTED_VALUE"""),"Señal metalica P-4")</f>
        <v>Señal metalica P-4</v>
      </c>
      <c r="C700" s="4">
        <f>IFERROR(__xludf.DUMMYFUNCTION("""COMPUTED_VALUE"""),10.799999999999999)</f>
        <v>10.8</v>
      </c>
    </row>
    <row r="701">
      <c r="A701" s="4" t="str">
        <f>IFERROR(__xludf.DUMMYFUNCTION("""COMPUTED_VALUE"""),"620")</f>
        <v>620</v>
      </c>
      <c r="B701" s="4" t="str">
        <f>IFERROR(__xludf.DUMMYFUNCTION("""COMPUTED_VALUE"""),"Señal metalica TR-1")</f>
        <v>Señal metalica TR-1</v>
      </c>
      <c r="C701" s="4">
        <f>IFERROR(__xludf.DUMMYFUNCTION("""COMPUTED_VALUE"""),10.799999999999999)</f>
        <v>10.8</v>
      </c>
    </row>
    <row r="702">
      <c r="A702" s="4" t="str">
        <f>IFERROR(__xludf.DUMMYFUNCTION("""COMPUTED_VALUE"""),"0620D")</f>
        <v>0620D</v>
      </c>
      <c r="B702" s="4" t="str">
        <f>IFERROR(__xludf.DUMMYFUNCTION("""COMPUTED_VALUE"""),"Señal metalica R-1")</f>
        <v>Señal metalica R-1</v>
      </c>
      <c r="C702" s="4">
        <f>IFERROR(__xludf.DUMMYFUNCTION("""COMPUTED_VALUE"""),10.799999999999999)</f>
        <v>10.8</v>
      </c>
    </row>
    <row r="703">
      <c r="A703" s="4" t="str">
        <f>IFERROR(__xludf.DUMMYFUNCTION("""COMPUTED_VALUE"""),"624")</f>
        <v>624</v>
      </c>
      <c r="B703" s="4" t="str">
        <f>IFERROR(__xludf.DUMMYFUNCTION("""COMPUTED_VALUE"""),"Señal metalica Minusvalidos M-1")</f>
        <v>Señal metalica Minusvalidos M-1</v>
      </c>
      <c r="C703" s="4">
        <f>IFERROR(__xludf.DUMMYFUNCTION("""COMPUTED_VALUE"""),10.799999999999999)</f>
        <v>10.8</v>
      </c>
    </row>
    <row r="704">
      <c r="A704" s="4" t="str">
        <f>IFERROR(__xludf.DUMMYFUNCTION("""COMPUTED_VALUE"""),"625")</f>
        <v>625</v>
      </c>
      <c r="B704" s="4" t="str">
        <f>IFERROR(__xludf.DUMMYFUNCTION("""COMPUTED_VALUE"""),"Señal metalica S-13")</f>
        <v>Señal metalica S-13</v>
      </c>
      <c r="C704" s="4">
        <f>IFERROR(__xludf.DUMMYFUNCTION("""COMPUTED_VALUE"""),10.799999999999999)</f>
        <v>10.8</v>
      </c>
    </row>
    <row r="705">
      <c r="A705" s="4" t="str">
        <f>IFERROR(__xludf.DUMMYFUNCTION("""COMPUTED_VALUE"""),"628")</f>
        <v>628</v>
      </c>
      <c r="B705" s="4" t="str">
        <f>IFERROR(__xludf.DUMMYFUNCTION("""COMPUTED_VALUE"""),"Señal metalica R-402")</f>
        <v>Señal metalica R-402</v>
      </c>
      <c r="C705" s="4">
        <f>IFERROR(__xludf.DUMMYFUNCTION("""COMPUTED_VALUE"""),10.799999999999999)</f>
        <v>10.8</v>
      </c>
    </row>
    <row r="706">
      <c r="A706" s="4" t="str">
        <f>IFERROR(__xludf.DUMMYFUNCTION("""COMPUTED_VALUE"""),"629")</f>
        <v>629</v>
      </c>
      <c r="B706" s="4" t="str">
        <f>IFERROR(__xludf.DUMMYFUNCTION("""COMPUTED_VALUE"""),"Señal metalica TR-100")</f>
        <v>Señal metalica TR-100</v>
      </c>
      <c r="C706" s="4">
        <f>IFERROR(__xludf.DUMMYFUNCTION("""COMPUTED_VALUE"""),10.799999999999999)</f>
        <v>10.8</v>
      </c>
    </row>
    <row r="707">
      <c r="A707" s="4" t="str">
        <f>IFERROR(__xludf.DUMMYFUNCTION("""COMPUTED_VALUE"""),"0629D")</f>
        <v>0629D</v>
      </c>
      <c r="B707" s="4" t="str">
        <f>IFERROR(__xludf.DUMMYFUNCTION("""COMPUTED_VALUE"""),"Señal metalica R-100")</f>
        <v>Señal metalica R-100</v>
      </c>
      <c r="C707" s="4">
        <f>IFERROR(__xludf.DUMMYFUNCTION("""COMPUTED_VALUE"""),10.799999999999999)</f>
        <v>10.8</v>
      </c>
    </row>
    <row r="708">
      <c r="A708" s="4" t="str">
        <f>IFERROR(__xludf.DUMMYFUNCTION("""COMPUTED_VALUE"""),"630")</f>
        <v>630</v>
      </c>
      <c r="B708" s="4" t="str">
        <f>IFERROR(__xludf.DUMMYFUNCTION("""COMPUTED_VALUE"""),"Señal metalica TR-305")</f>
        <v>Señal metalica TR-305</v>
      </c>
      <c r="C708" s="4">
        <f>IFERROR(__xludf.DUMMYFUNCTION("""COMPUTED_VALUE"""),10.799999999999999)</f>
        <v>10.8</v>
      </c>
    </row>
    <row r="709">
      <c r="A709" s="4" t="str">
        <f>IFERROR(__xludf.DUMMYFUNCTION("""COMPUTED_VALUE"""),"0630D")</f>
        <v>0630D</v>
      </c>
      <c r="B709" s="4" t="str">
        <f>IFERROR(__xludf.DUMMYFUNCTION("""COMPUTED_VALUE"""),"Señal metalica R-305")</f>
        <v>Señal metalica R-305</v>
      </c>
      <c r="C709" s="4">
        <f>IFERROR(__xludf.DUMMYFUNCTION("""COMPUTED_VALUE"""),10.799999999999999)</f>
        <v>10.8</v>
      </c>
    </row>
    <row r="710">
      <c r="A710" s="4" t="str">
        <f>IFERROR(__xludf.DUMMYFUNCTION("""COMPUTED_VALUE"""),"641")</f>
        <v>641</v>
      </c>
      <c r="B710" s="4" t="str">
        <f>IFERROR(__xludf.DUMMYFUNCTION("""COMPUTED_VALUE"""),"Señal metalica TR-101")</f>
        <v>Señal metalica TR-101</v>
      </c>
      <c r="C710" s="4">
        <f>IFERROR(__xludf.DUMMYFUNCTION("""COMPUTED_VALUE"""),10.799999999999999)</f>
        <v>10.8</v>
      </c>
    </row>
    <row r="711">
      <c r="A711" s="4" t="str">
        <f>IFERROR(__xludf.DUMMYFUNCTION("""COMPUTED_VALUE"""),"642")</f>
        <v>642</v>
      </c>
      <c r="B711" s="4" t="str">
        <f>IFERROR(__xludf.DUMMYFUNCTION("""COMPUTED_VALUE"""),"Señal metalica TR-106")</f>
        <v>Señal metalica TR-106</v>
      </c>
      <c r="C711" s="4">
        <f>IFERROR(__xludf.DUMMYFUNCTION("""COMPUTED_VALUE"""),10.799999999999999)</f>
        <v>10.8</v>
      </c>
    </row>
    <row r="712">
      <c r="A712" s="4" t="str">
        <f>IFERROR(__xludf.DUMMYFUNCTION("""COMPUTED_VALUE"""),"0642D")</f>
        <v>0642D</v>
      </c>
      <c r="B712" s="4" t="str">
        <f>IFERROR(__xludf.DUMMYFUNCTION("""COMPUTED_VALUE"""),"Señal metalica R-106")</f>
        <v>Señal metalica R-106</v>
      </c>
      <c r="C712" s="4">
        <f>IFERROR(__xludf.DUMMYFUNCTION("""COMPUTED_VALUE"""),10.799999999999999)</f>
        <v>10.8</v>
      </c>
    </row>
    <row r="713">
      <c r="A713" s="4" t="str">
        <f>IFERROR(__xludf.DUMMYFUNCTION("""COMPUTED_VALUE"""),"643")</f>
        <v>643</v>
      </c>
      <c r="B713" s="4" t="str">
        <f>IFERROR(__xludf.DUMMYFUNCTION("""COMPUTED_VALUE"""),"Señal metalica TR-201")</f>
        <v>Señal metalica TR-201</v>
      </c>
      <c r="C713" s="4">
        <f>IFERROR(__xludf.DUMMYFUNCTION("""COMPUTED_VALUE"""),10.799999999999999)</f>
        <v>10.8</v>
      </c>
    </row>
    <row r="714">
      <c r="A714" s="4" t="str">
        <f>IFERROR(__xludf.DUMMYFUNCTION("""COMPUTED_VALUE"""),"0643D")</f>
        <v>0643D</v>
      </c>
      <c r="B714" s="4" t="str">
        <f>IFERROR(__xludf.DUMMYFUNCTION("""COMPUTED_VALUE"""),"Señal metalica R-201")</f>
        <v>Señal metalica R-201</v>
      </c>
      <c r="C714" s="4">
        <f>IFERROR(__xludf.DUMMYFUNCTION("""COMPUTED_VALUE"""),10.799999999999999)</f>
        <v>10.8</v>
      </c>
    </row>
    <row r="715">
      <c r="A715" s="4" t="str">
        <f>IFERROR(__xludf.DUMMYFUNCTION("""COMPUTED_VALUE"""),"644")</f>
        <v>644</v>
      </c>
      <c r="B715" s="4" t="str">
        <f>IFERROR(__xludf.DUMMYFUNCTION("""COMPUTED_VALUE"""),"Señal metalica TR-204")</f>
        <v>Señal metalica TR-204</v>
      </c>
      <c r="C715" s="4">
        <f>IFERROR(__xludf.DUMMYFUNCTION("""COMPUTED_VALUE"""),10.799999999999999)</f>
        <v>10.8</v>
      </c>
    </row>
    <row r="716">
      <c r="A716" s="4" t="str">
        <f>IFERROR(__xludf.DUMMYFUNCTION("""COMPUTED_VALUE"""),"0644D")</f>
        <v>0644D</v>
      </c>
      <c r="B716" s="4" t="str">
        <f>IFERROR(__xludf.DUMMYFUNCTION("""COMPUTED_VALUE"""),"Señal metalica R-204")</f>
        <v>Señal metalica R-204</v>
      </c>
      <c r="C716" s="4">
        <f>IFERROR(__xludf.DUMMYFUNCTION("""COMPUTED_VALUE"""),10.799999999999999)</f>
        <v>10.8</v>
      </c>
    </row>
    <row r="717">
      <c r="A717" s="4" t="str">
        <f>IFERROR(__xludf.DUMMYFUNCTION("""COMPUTED_VALUE"""),"645")</f>
        <v>645</v>
      </c>
      <c r="B717" s="4" t="str">
        <f>IFERROR(__xludf.DUMMYFUNCTION("""COMPUTED_VALUE"""),"Señal metalica TR-205")</f>
        <v>Señal metalica TR-205</v>
      </c>
      <c r="C717" s="4">
        <f>IFERROR(__xludf.DUMMYFUNCTION("""COMPUTED_VALUE"""),10.799999999999999)</f>
        <v>10.8</v>
      </c>
    </row>
    <row r="718">
      <c r="A718" s="4" t="str">
        <f>IFERROR(__xludf.DUMMYFUNCTION("""COMPUTED_VALUE"""),"0645D")</f>
        <v>0645D</v>
      </c>
      <c r="B718" s="4" t="str">
        <f>IFERROR(__xludf.DUMMYFUNCTION("""COMPUTED_VALUE"""),"Señal metalica R-205")</f>
        <v>Señal metalica R-205</v>
      </c>
      <c r="C718" s="4">
        <f>IFERROR(__xludf.DUMMYFUNCTION("""COMPUTED_VALUE"""),10.799999999999999)</f>
        <v>10.8</v>
      </c>
    </row>
    <row r="719">
      <c r="A719" s="4" t="str">
        <f>IFERROR(__xludf.DUMMYFUNCTION("""COMPUTED_VALUE"""),"647")</f>
        <v>647</v>
      </c>
      <c r="B719" s="4" t="str">
        <f>IFERROR(__xludf.DUMMYFUNCTION("""COMPUTED_VALUE"""),"Señal metalica TR-303")</f>
        <v>Señal metalica TR-303</v>
      </c>
      <c r="C719" s="4">
        <f>IFERROR(__xludf.DUMMYFUNCTION("""COMPUTED_VALUE"""),10.799999999999999)</f>
        <v>10.8</v>
      </c>
    </row>
    <row r="720">
      <c r="A720" s="4" t="str">
        <f>IFERROR(__xludf.DUMMYFUNCTION("""COMPUTED_VALUE"""),"0647D")</f>
        <v>0647D</v>
      </c>
      <c r="B720" s="4" t="str">
        <f>IFERROR(__xludf.DUMMYFUNCTION("""COMPUTED_VALUE"""),"Señal metalica R-303")</f>
        <v>Señal metalica R-303</v>
      </c>
      <c r="C720" s="4">
        <f>IFERROR(__xludf.DUMMYFUNCTION("""COMPUTED_VALUE"""),10.799999999999999)</f>
        <v>10.8</v>
      </c>
    </row>
    <row r="721">
      <c r="A721" s="4" t="str">
        <f>IFERROR(__xludf.DUMMYFUNCTION("""COMPUTED_VALUE"""),"648")</f>
        <v>648</v>
      </c>
      <c r="B721" s="4" t="str">
        <f>IFERROR(__xludf.DUMMYFUNCTION("""COMPUTED_VALUE"""),"Señal metalica TR-301/20")</f>
        <v>Señal metalica TR-301/20</v>
      </c>
      <c r="C721" s="4">
        <f>IFERROR(__xludf.DUMMYFUNCTION("""COMPUTED_VALUE"""),10.799999999999999)</f>
        <v>10.8</v>
      </c>
    </row>
    <row r="722">
      <c r="A722" s="4" t="str">
        <f>IFERROR(__xludf.DUMMYFUNCTION("""COMPUTED_VALUE"""),"0648D")</f>
        <v>0648D</v>
      </c>
      <c r="B722" s="4" t="str">
        <f>IFERROR(__xludf.DUMMYFUNCTION("""COMPUTED_VALUE"""),"Señal metalica R-301/20")</f>
        <v>Señal metalica R-301/20</v>
      </c>
      <c r="C722" s="4">
        <f>IFERROR(__xludf.DUMMYFUNCTION("""COMPUTED_VALUE"""),10.799999999999999)</f>
        <v>10.8</v>
      </c>
    </row>
    <row r="723">
      <c r="A723" s="4" t="str">
        <f>IFERROR(__xludf.DUMMYFUNCTION("""COMPUTED_VALUE"""),"649")</f>
        <v>649</v>
      </c>
      <c r="B723" s="4" t="str">
        <f>IFERROR(__xludf.DUMMYFUNCTION("""COMPUTED_VALUE"""),"Señal metalica TR-301/30")</f>
        <v>Señal metalica TR-301/30</v>
      </c>
      <c r="C723" s="4">
        <f>IFERROR(__xludf.DUMMYFUNCTION("""COMPUTED_VALUE"""),10.799999999999999)</f>
        <v>10.8</v>
      </c>
    </row>
    <row r="724">
      <c r="A724" s="4" t="str">
        <f>IFERROR(__xludf.DUMMYFUNCTION("""COMPUTED_VALUE"""),"0649D")</f>
        <v>0649D</v>
      </c>
      <c r="B724" s="4" t="str">
        <f>IFERROR(__xludf.DUMMYFUNCTION("""COMPUTED_VALUE"""),"Señal metalica R-301/30")</f>
        <v>Señal metalica R-301/30</v>
      </c>
      <c r="C724" s="4">
        <f>IFERROR(__xludf.DUMMYFUNCTION("""COMPUTED_VALUE"""),10.799999999999999)</f>
        <v>10.8</v>
      </c>
    </row>
    <row r="725">
      <c r="A725" s="4" t="str">
        <f>IFERROR(__xludf.DUMMYFUNCTION("""COMPUTED_VALUE"""),"650")</f>
        <v>650</v>
      </c>
      <c r="B725" s="4" t="str">
        <f>IFERROR(__xludf.DUMMYFUNCTION("""COMPUTED_VALUE"""),"Señal metalica TR-301/40")</f>
        <v>Señal metalica TR-301/40</v>
      </c>
      <c r="C725" s="4">
        <f>IFERROR(__xludf.DUMMYFUNCTION("""COMPUTED_VALUE"""),10.799999999999999)</f>
        <v>10.8</v>
      </c>
    </row>
    <row r="726">
      <c r="A726" s="4" t="str">
        <f>IFERROR(__xludf.DUMMYFUNCTION("""COMPUTED_VALUE"""),"0650D")</f>
        <v>0650D</v>
      </c>
      <c r="B726" s="4" t="str">
        <f>IFERROR(__xludf.DUMMYFUNCTION("""COMPUTED_VALUE"""),"Señal metalica R301/40")</f>
        <v>Señal metalica R301/40</v>
      </c>
      <c r="C726" s="4">
        <f>IFERROR(__xludf.DUMMYFUNCTION("""COMPUTED_VALUE"""),10.799999999999999)</f>
        <v>10.8</v>
      </c>
    </row>
    <row r="727">
      <c r="A727" s="4" t="str">
        <f>IFERROR(__xludf.DUMMYFUNCTION("""COMPUTED_VALUE"""),"651")</f>
        <v>651</v>
      </c>
      <c r="B727" s="4" t="str">
        <f>IFERROR(__xludf.DUMMYFUNCTION("""COMPUTED_VALUE"""),"Señal metalica TR-301/50")</f>
        <v>Señal metalica TR-301/50</v>
      </c>
      <c r="C727" s="4">
        <f>IFERROR(__xludf.DUMMYFUNCTION("""COMPUTED_VALUE"""),10.799999999999999)</f>
        <v>10.8</v>
      </c>
    </row>
    <row r="728">
      <c r="A728" s="4" t="str">
        <f>IFERROR(__xludf.DUMMYFUNCTION("""COMPUTED_VALUE"""),"0651D")</f>
        <v>0651D</v>
      </c>
      <c r="B728" s="4" t="str">
        <f>IFERROR(__xludf.DUMMYFUNCTION("""COMPUTED_VALUE"""),"Señal metalica R-301/50")</f>
        <v>Señal metalica R-301/50</v>
      </c>
      <c r="C728" s="4">
        <f>IFERROR(__xludf.DUMMYFUNCTION("""COMPUTED_VALUE"""),10.799999999999999)</f>
        <v>10.8</v>
      </c>
    </row>
    <row r="729">
      <c r="A729" s="4" t="str">
        <f>IFERROR(__xludf.DUMMYFUNCTION("""COMPUTED_VALUE"""),"652")</f>
        <v>652</v>
      </c>
      <c r="B729" s="4" t="str">
        <f>IFERROR(__xludf.DUMMYFUNCTION("""COMPUTED_VALUE"""),"Señal metalica TR-301/60")</f>
        <v>Señal metalica TR-301/60</v>
      </c>
      <c r="C729" s="4">
        <f>IFERROR(__xludf.DUMMYFUNCTION("""COMPUTED_VALUE"""),10.799999999999999)</f>
        <v>10.8</v>
      </c>
    </row>
    <row r="730">
      <c r="A730" s="4" t="str">
        <f>IFERROR(__xludf.DUMMYFUNCTION("""COMPUTED_VALUE"""),"0652D")</f>
        <v>0652D</v>
      </c>
      <c r="B730" s="4" t="str">
        <f>IFERROR(__xludf.DUMMYFUNCTION("""COMPUTED_VALUE"""),"Señal metalica R-301/60")</f>
        <v>Señal metalica R-301/60</v>
      </c>
      <c r="C730" s="4">
        <f>IFERROR(__xludf.DUMMYFUNCTION("""COMPUTED_VALUE"""),10.799999999999999)</f>
        <v>10.8</v>
      </c>
    </row>
    <row r="731">
      <c r="A731" s="4" t="str">
        <f>IFERROR(__xludf.DUMMYFUNCTION("""COMPUTED_VALUE"""),"653")</f>
        <v>653</v>
      </c>
      <c r="B731" s="4" t="str">
        <f>IFERROR(__xludf.DUMMYFUNCTION("""COMPUTED_VALUE"""),"Señal metalica R-307")</f>
        <v>Señal metalica R-307</v>
      </c>
      <c r="C731" s="4">
        <f>IFERROR(__xludf.DUMMYFUNCTION("""COMPUTED_VALUE"""),10.799999999999999)</f>
        <v>10.8</v>
      </c>
    </row>
    <row r="732">
      <c r="A732" s="4" t="str">
        <f>IFERROR(__xludf.DUMMYFUNCTION("""COMPUTED_VALUE"""),"654")</f>
        <v>654</v>
      </c>
      <c r="B732" s="4" t="str">
        <f>IFERROR(__xludf.DUMMYFUNCTION("""COMPUTED_VALUE"""),"Señal metalica TR-301/10")</f>
        <v>Señal metalica TR-301/10</v>
      </c>
      <c r="C732" s="4">
        <f>IFERROR(__xludf.DUMMYFUNCTION("""COMPUTED_VALUE"""),10.799999999999999)</f>
        <v>10.8</v>
      </c>
    </row>
    <row r="733">
      <c r="A733" s="4" t="str">
        <f>IFERROR(__xludf.DUMMYFUNCTION("""COMPUTED_VALUE"""),"655")</f>
        <v>655</v>
      </c>
      <c r="B733" s="4" t="str">
        <f>IFERROR(__xludf.DUMMYFUNCTION("""COMPUTED_VALUE"""),"Señal metalica Minusvalidos M-2")</f>
        <v>Señal metalica Minusvalidos M-2</v>
      </c>
      <c r="C733" s="4">
        <f>IFERROR(__xludf.DUMMYFUNCTION("""COMPUTED_VALUE"""),10.799999999999999)</f>
        <v>10.8</v>
      </c>
    </row>
    <row r="734">
      <c r="A734" s="4" t="str">
        <f>IFERROR(__xludf.DUMMYFUNCTION("""COMPUTED_VALUE"""),"656")</f>
        <v>656</v>
      </c>
      <c r="B734" s="4" t="str">
        <f>IFERROR(__xludf.DUMMYFUNCTION("""COMPUTED_VALUE"""),"Señal metalica TR-302")</f>
        <v>Señal metalica TR-302</v>
      </c>
      <c r="C734" s="4">
        <f>IFERROR(__xludf.DUMMYFUNCTION("""COMPUTED_VALUE"""),10.799999999999999)</f>
        <v>10.8</v>
      </c>
    </row>
    <row r="735">
      <c r="A735" s="4" t="str">
        <f>IFERROR(__xludf.DUMMYFUNCTION("""COMPUTED_VALUE"""),"0656D")</f>
        <v>0656D</v>
      </c>
      <c r="B735" s="4" t="str">
        <f>IFERROR(__xludf.DUMMYFUNCTION("""COMPUTED_VALUE"""),"Señal metalica R-302")</f>
        <v>Señal metalica R-302</v>
      </c>
      <c r="C735" s="4">
        <f>IFERROR(__xludf.DUMMYFUNCTION("""COMPUTED_VALUE"""),10.799999999999999)</f>
        <v>10.8</v>
      </c>
    </row>
    <row r="736">
      <c r="A736" s="4" t="str">
        <f>IFERROR(__xludf.DUMMYFUNCTION("""COMPUTED_VALUE"""),"657")</f>
        <v>657</v>
      </c>
      <c r="B736" s="4" t="str">
        <f>IFERROR(__xludf.DUMMYFUNCTION("""COMPUTED_VALUE"""),"Señal metalica TR-306")</f>
        <v>Señal metalica TR-306</v>
      </c>
      <c r="C736" s="4">
        <f>IFERROR(__xludf.DUMMYFUNCTION("""COMPUTED_VALUE"""),10.799999999999999)</f>
        <v>10.8</v>
      </c>
    </row>
    <row r="737">
      <c r="A737" s="4" t="str">
        <f>IFERROR(__xludf.DUMMYFUNCTION("""COMPUTED_VALUE"""),"0657D")</f>
        <v>0657D</v>
      </c>
      <c r="B737" s="4" t="str">
        <f>IFERROR(__xludf.DUMMYFUNCTION("""COMPUTED_VALUE"""),"Señal metalica R-306")</f>
        <v>Señal metalica R-306</v>
      </c>
      <c r="C737" s="4">
        <f>IFERROR(__xludf.DUMMYFUNCTION("""COMPUTED_VALUE"""),10.799999999999999)</f>
        <v>10.8</v>
      </c>
    </row>
    <row r="738">
      <c r="A738" s="4" t="str">
        <f>IFERROR(__xludf.DUMMYFUNCTION("""COMPUTED_VALUE"""),"658")</f>
        <v>658</v>
      </c>
      <c r="B738" s="4" t="str">
        <f>IFERROR(__xludf.DUMMYFUNCTION("""COMPUTED_VALUE"""),"Soporte pared 60 mm para señal MOPU")</f>
        <v>Soporte pared 60 mm para señal MOPU</v>
      </c>
      <c r="C738" s="4">
        <f>IFERROR(__xludf.DUMMYFUNCTION("""COMPUTED_VALUE"""),16.32)</f>
        <v>16.32</v>
      </c>
    </row>
    <row r="739">
      <c r="A739" s="4" t="str">
        <f>IFERROR(__xludf.DUMMYFUNCTION("""COMPUTED_VALUE"""),"661")</f>
        <v>661</v>
      </c>
      <c r="B739" s="4" t="str">
        <f>IFERROR(__xludf.DUMMYFUNCTION("""COMPUTED_VALUE"""),"Señal metalica R2 Stop")</f>
        <v>Señal metalica R2 Stop</v>
      </c>
      <c r="C739" s="4">
        <f>IFERROR(__xludf.DUMMYFUNCTION("""COMPUTED_VALUE"""),10.799999999999999)</f>
        <v>10.8</v>
      </c>
    </row>
    <row r="740">
      <c r="A740" s="4" t="str">
        <f>IFERROR(__xludf.DUMMYFUNCTION("""COMPUTED_VALUE"""),"0661V")</f>
        <v>0661V</v>
      </c>
      <c r="B740" s="4" t="str">
        <f>IFERROR(__xludf.DUMMYFUNCTION("""COMPUTED_VALUE"""),"Vinilo adhesivo suelo STOP 40 cm")</f>
        <v>Vinilo adhesivo suelo STOP 40 cm</v>
      </c>
      <c r="C740" s="4">
        <f>IFERROR(__xludf.DUMMYFUNCTION("""COMPUTED_VALUE"""),5.904)</f>
        <v>5.904</v>
      </c>
    </row>
    <row r="741">
      <c r="A741" s="4" t="str">
        <f>IFERROR(__xludf.DUMMYFUNCTION("""COMPUTED_VALUE"""),"662")</f>
        <v>662</v>
      </c>
      <c r="B741" s="4" t="str">
        <f>IFERROR(__xludf.DUMMYFUNCTION("""COMPUTED_VALUE"""),"Señal metalica R-308")</f>
        <v>Señal metalica R-308</v>
      </c>
      <c r="C741" s="4">
        <f>IFERROR(__xludf.DUMMYFUNCTION("""COMPUTED_VALUE"""),10.799999999999999)</f>
        <v>10.8</v>
      </c>
    </row>
    <row r="742">
      <c r="A742" s="4" t="str">
        <f>IFERROR(__xludf.DUMMYFUNCTION("""COMPUTED_VALUE"""),"663")</f>
        <v>663</v>
      </c>
      <c r="B742" s="4" t="str">
        <f>IFERROR(__xludf.DUMMYFUNCTION("""COMPUTED_VALUE"""),"Señal metalica TR-400a")</f>
        <v>Señal metalica TR-400a</v>
      </c>
      <c r="C742" s="4">
        <f>IFERROR(__xludf.DUMMYFUNCTION("""COMPUTED_VALUE"""),10.799999999999999)</f>
        <v>10.8</v>
      </c>
    </row>
    <row r="743">
      <c r="A743" s="4" t="str">
        <f>IFERROR(__xludf.DUMMYFUNCTION("""COMPUTED_VALUE"""),"664")</f>
        <v>664</v>
      </c>
      <c r="B743" s="4" t="str">
        <f>IFERROR(__xludf.DUMMYFUNCTION("""COMPUTED_VALUE"""),"Señal metalica R-400a")</f>
        <v>Señal metalica R-400a</v>
      </c>
      <c r="C743" s="4">
        <f>IFERROR(__xludf.DUMMYFUNCTION("""COMPUTED_VALUE"""),10.799999999999999)</f>
        <v>10.8</v>
      </c>
    </row>
    <row r="744">
      <c r="A744" s="4" t="str">
        <f>IFERROR(__xludf.DUMMYFUNCTION("""COMPUTED_VALUE"""),"0664V")</f>
        <v>0664V</v>
      </c>
      <c r="B744" s="4" t="str">
        <f>IFERROR(__xludf.DUMMYFUNCTION("""COMPUTED_VALUE"""),"Vinilo adhesivo suelo Dirección oblig. 40cm")</f>
        <v>Vinilo adhesivo suelo Dirección oblig. 40cm</v>
      </c>
      <c r="C744" s="4">
        <f>IFERROR(__xludf.DUMMYFUNCTION("""COMPUTED_VALUE"""),5.904)</f>
        <v>5.904</v>
      </c>
    </row>
    <row r="745">
      <c r="A745" s="4" t="str">
        <f>IFERROR(__xludf.DUMMYFUNCTION("""COMPUTED_VALUE"""),"665")</f>
        <v>665</v>
      </c>
      <c r="B745" s="4" t="str">
        <f>IFERROR(__xludf.DUMMYFUNCTION("""COMPUTED_VALUE"""),"Señal metalica S-17 Parking")</f>
        <v>Señal metalica S-17 Parking</v>
      </c>
      <c r="C745" s="4">
        <f>IFERROR(__xludf.DUMMYFUNCTION("""COMPUTED_VALUE"""),10.799999999999999)</f>
        <v>10.8</v>
      </c>
    </row>
    <row r="746">
      <c r="A746" s="4" t="str">
        <f>IFERROR(__xludf.DUMMYFUNCTION("""COMPUTED_VALUE"""),"666")</f>
        <v>666</v>
      </c>
      <c r="B746" s="4" t="str">
        <f>IFERROR(__xludf.DUMMYFUNCTION("""COMPUTED_VALUE"""),"Señal metalica S-15a Calle Cortada")</f>
        <v>Señal metalica S-15a Calle Cortada</v>
      </c>
      <c r="C746" s="4">
        <f>IFERROR(__xludf.DUMMYFUNCTION("""COMPUTED_VALUE"""),10.799999999999999)</f>
        <v>10.8</v>
      </c>
    </row>
    <row r="747">
      <c r="A747" s="4" t="str">
        <f>IFERROR(__xludf.DUMMYFUNCTION("""COMPUTED_VALUE"""),"667")</f>
        <v>667</v>
      </c>
      <c r="B747" s="4" t="str">
        <f>IFERROR(__xludf.DUMMYFUNCTION("""COMPUTED_VALUE"""),"Placa carga Sobresaliente V20 50x50")</f>
        <v>Placa carga Sobresaliente V20 50x50</v>
      </c>
      <c r="C747" s="4">
        <f>IFERROR(__xludf.DUMMYFUNCTION("""COMPUTED_VALUE"""),18.72)</f>
        <v>18.72</v>
      </c>
    </row>
    <row r="748">
      <c r="A748" s="4" t="str">
        <f>IFERROR(__xludf.DUMMYFUNCTION("""COMPUTED_VALUE"""),"668")</f>
        <v>668</v>
      </c>
      <c r="B748" s="4" t="str">
        <f>IFERROR(__xludf.DUMMYFUNCTION("""COMPUTED_VALUE"""),"Señal metalica R-101")</f>
        <v>Señal metalica R-101</v>
      </c>
      <c r="C748" s="4">
        <f>IFERROR(__xludf.DUMMYFUNCTION("""COMPUTED_VALUE"""),10.799999999999999)</f>
        <v>10.8</v>
      </c>
    </row>
    <row r="749">
      <c r="A749" s="4" t="str">
        <f>IFERROR(__xludf.DUMMYFUNCTION("""COMPUTED_VALUE"""),"670")</f>
        <v>670</v>
      </c>
      <c r="B749" s="4" t="str">
        <f>IFERROR(__xludf.DUMMYFUNCTION("""COMPUTED_VALUE"""),"Señal metalica TR-5")</f>
        <v>Señal metalica TR-5</v>
      </c>
      <c r="C749" s="4">
        <f>IFERROR(__xludf.DUMMYFUNCTION("""COMPUTED_VALUE"""),10.799999999999999)</f>
        <v>10.8</v>
      </c>
    </row>
    <row r="750">
      <c r="A750" s="4" t="str">
        <f>IFERROR(__xludf.DUMMYFUNCTION("""COMPUTED_VALUE"""),"0670D")</f>
        <v>0670D</v>
      </c>
      <c r="B750" s="4" t="str">
        <f>IFERROR(__xludf.DUMMYFUNCTION("""COMPUTED_VALUE"""),"Señal metalica R-5")</f>
        <v>Señal metalica R-5</v>
      </c>
      <c r="C750" s="4">
        <f>IFERROR(__xludf.DUMMYFUNCTION("""COMPUTED_VALUE"""),10.799999999999999)</f>
        <v>10.8</v>
      </c>
    </row>
    <row r="751">
      <c r="A751" s="4" t="str">
        <f>IFERROR(__xludf.DUMMYFUNCTION("""COMPUTED_VALUE"""),"671")</f>
        <v>671</v>
      </c>
      <c r="B751" s="4" t="str">
        <f>IFERROR(__xludf.DUMMYFUNCTION("""COMPUTED_VALUE"""),"Señal metalica TR-500")</f>
        <v>Señal metalica TR-500</v>
      </c>
      <c r="C751" s="4">
        <f>IFERROR(__xludf.DUMMYFUNCTION("""COMPUTED_VALUE"""),10.799999999999999)</f>
        <v>10.8</v>
      </c>
    </row>
    <row r="752">
      <c r="A752" s="4" t="str">
        <f>IFERROR(__xludf.DUMMYFUNCTION("""COMPUTED_VALUE"""),"0671D")</f>
        <v>0671D</v>
      </c>
      <c r="B752" s="4" t="str">
        <f>IFERROR(__xludf.DUMMYFUNCTION("""COMPUTED_VALUE"""),"Señal metalica R-500")</f>
        <v>Señal metalica R-500</v>
      </c>
      <c r="C752" s="4">
        <f>IFERROR(__xludf.DUMMYFUNCTION("""COMPUTED_VALUE"""),10.799999999999999)</f>
        <v>10.8</v>
      </c>
    </row>
    <row r="753">
      <c r="A753" s="4" t="str">
        <f>IFERROR(__xludf.DUMMYFUNCTION("""COMPUTED_VALUE"""),"672")</f>
        <v>672</v>
      </c>
      <c r="B753" s="4" t="str">
        <f>IFERROR(__xludf.DUMMYFUNCTION("""COMPUTED_VALUE"""),"Señal metalica TR-502")</f>
        <v>Señal metalica TR-502</v>
      </c>
      <c r="C753" s="4">
        <f>IFERROR(__xludf.DUMMYFUNCTION("""COMPUTED_VALUE"""),10.799999999999999)</f>
        <v>10.8</v>
      </c>
    </row>
    <row r="754">
      <c r="A754" s="4" t="str">
        <f>IFERROR(__xludf.DUMMYFUNCTION("""COMPUTED_VALUE"""),"0672D")</f>
        <v>0672D</v>
      </c>
      <c r="B754" s="4" t="str">
        <f>IFERROR(__xludf.DUMMYFUNCTION("""COMPUTED_VALUE"""),"Señal metalica R-502")</f>
        <v>Señal metalica R-502</v>
      </c>
      <c r="C754" s="4">
        <f>IFERROR(__xludf.DUMMYFUNCTION("""COMPUTED_VALUE"""),10.799999999999999)</f>
        <v>10.8</v>
      </c>
    </row>
    <row r="755">
      <c r="A755" s="4" t="str">
        <f>IFERROR(__xludf.DUMMYFUNCTION("""COMPUTED_VALUE"""),"673")</f>
        <v>673</v>
      </c>
      <c r="B755" s="4" t="str">
        <f>IFERROR(__xludf.DUMMYFUNCTION("""COMPUTED_VALUE"""),"Señal metalica P-20")</f>
        <v>Señal metalica P-20</v>
      </c>
      <c r="C755" s="4">
        <f>IFERROR(__xludf.DUMMYFUNCTION("""COMPUTED_VALUE"""),10.799999999999999)</f>
        <v>10.8</v>
      </c>
    </row>
    <row r="756">
      <c r="A756" s="4" t="str">
        <f>IFERROR(__xludf.DUMMYFUNCTION("""COMPUTED_VALUE"""),"0673D")</f>
        <v>0673D</v>
      </c>
      <c r="B756" s="4" t="str">
        <f>IFERROR(__xludf.DUMMYFUNCTION("""COMPUTED_VALUE"""),"Señal metalica P-20")</f>
        <v>Señal metalica P-20</v>
      </c>
      <c r="C756" s="4">
        <f>IFERROR(__xludf.DUMMYFUNCTION("""COMPUTED_VALUE"""),10.799999999999999)</f>
        <v>10.8</v>
      </c>
    </row>
    <row r="757">
      <c r="A757" s="4" t="str">
        <f>IFERROR(__xludf.DUMMYFUNCTION("""COMPUTED_VALUE"""),"674")</f>
        <v>674</v>
      </c>
      <c r="B757" s="4" t="str">
        <f>IFERROR(__xludf.DUMMYFUNCTION("""COMPUTED_VALUE"""),"Señal metalica TR-503")</f>
        <v>Señal metalica TR-503</v>
      </c>
      <c r="C757" s="4">
        <f>IFERROR(__xludf.DUMMYFUNCTION("""COMPUTED_VALUE"""),10.799999999999999)</f>
        <v>10.8</v>
      </c>
    </row>
    <row r="758">
      <c r="A758" s="4" t="str">
        <f>IFERROR(__xludf.DUMMYFUNCTION("""COMPUTED_VALUE"""),"0674D")</f>
        <v>0674D</v>
      </c>
      <c r="B758" s="4" t="str">
        <f>IFERROR(__xludf.DUMMYFUNCTION("""COMPUTED_VALUE"""),"Señal metalica R-503")</f>
        <v>Señal metalica R-503</v>
      </c>
      <c r="C758" s="4">
        <f>IFERROR(__xludf.DUMMYFUNCTION("""COMPUTED_VALUE"""),10.799999999999999)</f>
        <v>10.8</v>
      </c>
    </row>
    <row r="759">
      <c r="A759" s="4" t="str">
        <f>IFERROR(__xludf.DUMMYFUNCTION("""COMPUTED_VALUE"""),"0674E")</f>
        <v>0674E</v>
      </c>
      <c r="B759" s="4" t="str">
        <f>IFERROR(__xludf.DUMMYFUNCTION("""COMPUTED_VALUE"""),"Señal 50 cm económica recarga eléctrica")</f>
        <v>Señal 50 cm económica recarga eléctrica</v>
      </c>
      <c r="C759" s="4">
        <f>IFERROR(__xludf.DUMMYFUNCTION("""COMPUTED_VALUE"""),10.799999999999999)</f>
        <v>10.8</v>
      </c>
    </row>
    <row r="760">
      <c r="A760" s="4" t="str">
        <f>IFERROR(__xludf.DUMMYFUNCTION("""COMPUTED_VALUE"""),"0674P")</f>
        <v>0674P</v>
      </c>
      <c r="B760" s="4" t="str">
        <f>IFERROR(__xludf.DUMMYFUNCTION("""COMPUTED_VALUE"""),"Señal metálica económica ALTO POLICIA")</f>
        <v>Señal metálica económica ALTO POLICIA</v>
      </c>
      <c r="C760" s="4">
        <f>IFERROR(__xludf.DUMMYFUNCTION("""COMPUTED_VALUE"""),10.799999999999999)</f>
        <v>10.8</v>
      </c>
    </row>
    <row r="761">
      <c r="A761" s="4" t="str">
        <f>IFERROR(__xludf.DUMMYFUNCTION("""COMPUTED_VALUE"""),"675")</f>
        <v>675</v>
      </c>
      <c r="B761" s="4" t="str">
        <f>IFERROR(__xludf.DUMMYFUNCTION("""COMPUTED_VALUE"""),"Tripode tubular naranja señal metalica mod. A")</f>
        <v>Tripode tubular naranja señal metalica mod. A</v>
      </c>
      <c r="C761" s="4">
        <f>IFERROR(__xludf.DUMMYFUNCTION("""COMPUTED_VALUE"""),11.28)</f>
        <v>11.28</v>
      </c>
    </row>
    <row r="762">
      <c r="A762" s="4" t="str">
        <f>IFERROR(__xludf.DUMMYFUNCTION("""COMPUTED_VALUE"""),"0676/10")</f>
        <v>0676/10</v>
      </c>
      <c r="B762" s="4" t="str">
        <f>IFERROR(__xludf.DUMMYFUNCTION("""COMPUTED_VALUE"""),"Tubo 80x40 para señal metalica 1 metro")</f>
        <v>Tubo 80x40 para señal metalica 1 metro</v>
      </c>
      <c r="C762" s="4">
        <f>IFERROR(__xludf.DUMMYFUNCTION("""COMPUTED_VALUE"""),11.04)</f>
        <v>11.04</v>
      </c>
    </row>
    <row r="763">
      <c r="A763" s="4" t="str">
        <f>IFERROR(__xludf.DUMMYFUNCTION("""COMPUTED_VALUE"""),"0676/15")</f>
        <v>0676/15</v>
      </c>
      <c r="B763" s="4" t="str">
        <f>IFERROR(__xludf.DUMMYFUNCTION("""COMPUTED_VALUE"""),"bo 80x40 para señal metalica 1,5 metros")</f>
        <v>bo 80x40 para señal metalica 1,5 metros</v>
      </c>
      <c r="C763" s="4">
        <f>IFERROR(__xludf.DUMMYFUNCTION("""COMPUTED_VALUE"""),15.84)</f>
        <v>15.84</v>
      </c>
    </row>
    <row r="764">
      <c r="A764" s="4" t="str">
        <f>IFERROR(__xludf.DUMMYFUNCTION("""COMPUTED_VALUE"""),"0676/20")</f>
        <v>0676/20</v>
      </c>
      <c r="B764" s="4" t="str">
        <f>IFERROR(__xludf.DUMMYFUNCTION("""COMPUTED_VALUE"""),"Tubo 80x40 para señal metalica 2 metros")</f>
        <v>Tubo 80x40 para señal metalica 2 metros</v>
      </c>
      <c r="C764" s="4">
        <f>IFERROR(__xludf.DUMMYFUNCTION("""COMPUTED_VALUE"""),21.119999999999997)</f>
        <v>21.12</v>
      </c>
    </row>
    <row r="765">
      <c r="A765" s="4" t="str">
        <f>IFERROR(__xludf.DUMMYFUNCTION("""COMPUTED_VALUE"""),"0676/25")</f>
        <v>0676/25</v>
      </c>
      <c r="B765" s="4" t="str">
        <f>IFERROR(__xludf.DUMMYFUNCTION("""COMPUTED_VALUE"""),"Tubo 80x40 para señal metalica 2,5 metros")</f>
        <v>Tubo 80x40 para señal metalica 2,5 metros</v>
      </c>
      <c r="C765" s="4">
        <f>IFERROR(__xludf.DUMMYFUNCTION("""COMPUTED_VALUE"""),26.88)</f>
        <v>26.88</v>
      </c>
    </row>
    <row r="766">
      <c r="A766" s="4" t="str">
        <f>IFERROR(__xludf.DUMMYFUNCTION("""COMPUTED_VALUE"""),"0676/30")</f>
        <v>0676/30</v>
      </c>
      <c r="B766" s="4" t="str">
        <f>IFERROR(__xludf.DUMMYFUNCTION("""COMPUTED_VALUE"""),"Tubo 80x40 para señal metalica 3 metros")</f>
        <v>Tubo 80x40 para señal metalica 3 metros</v>
      </c>
      <c r="C766" s="4">
        <f>IFERROR(__xludf.DUMMYFUNCTION("""COMPUTED_VALUE"""),34.56)</f>
        <v>34.56</v>
      </c>
    </row>
    <row r="767">
      <c r="A767" s="4" t="str">
        <f>IFERROR(__xludf.DUMMYFUNCTION("""COMPUTED_VALUE"""),"0676/35")</f>
        <v>0676/35</v>
      </c>
      <c r="B767" s="4" t="str">
        <f>IFERROR(__xludf.DUMMYFUNCTION("""COMPUTED_VALUE"""),"Tubo 80x40 para señal metalica 3,5 metros")</f>
        <v>Tubo 80x40 para señal metalica 3,5 metros</v>
      </c>
      <c r="C767" s="4">
        <f>IFERROR(__xludf.DUMMYFUNCTION("""COMPUTED_VALUE"""),37.44)</f>
        <v>37.44</v>
      </c>
    </row>
    <row r="768">
      <c r="A768" s="4" t="str">
        <f>IFERROR(__xludf.DUMMYFUNCTION("""COMPUTED_VALUE"""),"0676/40")</f>
        <v>0676/40</v>
      </c>
      <c r="B768" s="4" t="str">
        <f>IFERROR(__xludf.DUMMYFUNCTION("""COMPUTED_VALUE"""),"Tubo 80x40 para señal metalica 4 metros")</f>
        <v>Tubo 80x40 para señal metalica 4 metros</v>
      </c>
      <c r="C768" s="4">
        <f>IFERROR(__xludf.DUMMYFUNCTION("""COMPUTED_VALUE"""),39.839999999999996)</f>
        <v>39.84</v>
      </c>
    </row>
    <row r="769">
      <c r="A769" s="4" t="str">
        <f>IFERROR(__xludf.DUMMYFUNCTION("""COMPUTED_VALUE"""),"0676/AL")</f>
        <v>0676/AL</v>
      </c>
      <c r="B769" s="4" t="str">
        <f>IFERROR(__xludf.DUMMYFUNCTION("""COMPUTED_VALUE"""),"Poste aluminio 3.5 m 76 mm pintado")</f>
        <v>Poste aluminio 3.5 m 76 mm pintado</v>
      </c>
      <c r="C769" s="4">
        <f>IFERROR(__xludf.DUMMYFUNCTION("""COMPUTED_VALUE"""),100.8)</f>
        <v>100.8</v>
      </c>
    </row>
    <row r="770">
      <c r="A770" s="4" t="str">
        <f>IFERROR(__xludf.DUMMYFUNCTION("""COMPUTED_VALUE"""),"0676F")</f>
        <v>0676F</v>
      </c>
      <c r="B770" s="4" t="str">
        <f>IFERROR(__xludf.DUMMYFUNCTION("""COMPUTED_VALUE"""),"Poste 80x40 mm 3 m en forma de F")</f>
        <v>Poste 80x40 mm 3 m en forma de F</v>
      </c>
      <c r="C770" s="4">
        <f>IFERROR(__xludf.DUMMYFUNCTION("""COMPUTED_VALUE"""),47.04)</f>
        <v>47.04</v>
      </c>
    </row>
    <row r="771">
      <c r="A771" s="4" t="str">
        <f>IFERROR(__xludf.DUMMYFUNCTION("""COMPUTED_VALUE"""),"677")</f>
        <v>677</v>
      </c>
      <c r="B771" s="4" t="str">
        <f>IFERROR(__xludf.DUMMYFUNCTION("""COMPUTED_VALUE"""),"Cruceta tubo para señales metalicas")</f>
        <v>Cruceta tubo para señales metalicas</v>
      </c>
      <c r="C771" s="4">
        <f>IFERROR(__xludf.DUMMYFUNCTION("""COMPUTED_VALUE"""),16.608)</f>
        <v>16.608</v>
      </c>
    </row>
    <row r="772">
      <c r="A772" s="4" t="str">
        <f>IFERROR(__xludf.DUMMYFUNCTION("""COMPUTED_VALUE"""),"678")</f>
        <v>678</v>
      </c>
      <c r="B772" s="4" t="str">
        <f>IFERROR(__xludf.DUMMYFUNCTION("""COMPUTED_VALUE"""),"Señal metalica R- 6 Prioridad")</f>
        <v>Señal metalica R- 6 Prioridad</v>
      </c>
      <c r="C772" s="4">
        <f>IFERROR(__xludf.DUMMYFUNCTION("""COMPUTED_VALUE"""),10.799999999999999)</f>
        <v>10.8</v>
      </c>
    </row>
    <row r="773">
      <c r="A773" s="4" t="str">
        <f>IFERROR(__xludf.DUMMYFUNCTION("""COMPUTED_VALUE"""),"679")</f>
        <v>679</v>
      </c>
      <c r="B773" s="4" t="str">
        <f>IFERROR(__xludf.DUMMYFUNCTION("""COMPUTED_VALUE"""),"Placa econ. informat. 20x40 cm f.amarillo")</f>
        <v>Placa econ. informat. 20x40 cm f.amarillo</v>
      </c>
      <c r="C773" s="4">
        <f>IFERROR(__xludf.DUMMYFUNCTION("""COMPUTED_VALUE"""),10.799999999999999)</f>
        <v>10.8</v>
      </c>
    </row>
    <row r="774">
      <c r="A774" s="4" t="str">
        <f>IFERROR(__xludf.DUMMYFUNCTION("""COMPUTED_VALUE"""),"680")</f>
        <v>680</v>
      </c>
      <c r="B774" s="4" t="str">
        <f>IFERROR(__xludf.DUMMYFUNCTION("""COMPUTED_VALUE"""),"Placa informativa 40x20 blanca")</f>
        <v>Placa informativa 40x20 blanca</v>
      </c>
      <c r="C774" s="4">
        <f>IFERROR(__xludf.DUMMYFUNCTION("""COMPUTED_VALUE"""),10.799999999999999)</f>
        <v>10.8</v>
      </c>
    </row>
    <row r="775">
      <c r="A775" s="4" t="str">
        <f>IFERROR(__xludf.DUMMYFUNCTION("""COMPUTED_VALUE"""),"0681/A")</f>
        <v>0681/A</v>
      </c>
      <c r="B775" s="4" t="str">
        <f>IFERROR(__xludf.DUMMYFUNCTION("""COMPUTED_VALUE"""),"Horquilla protector peatones 120x40 cm Galva")</f>
        <v>Horquilla protector peatones 120x40 cm Galva</v>
      </c>
      <c r="C775" s="4">
        <f>IFERROR(__xludf.DUMMYFUNCTION("""COMPUTED_VALUE"""),40.704)</f>
        <v>40.704</v>
      </c>
    </row>
    <row r="776">
      <c r="A776" s="4" t="str">
        <f>IFERROR(__xludf.DUMMYFUNCTION("""COMPUTED_VALUE"""),"0681/A/PLATO")</f>
        <v>0681/A/PLATO</v>
      </c>
      <c r="B776" s="4" t="str">
        <f>IFERROR(__xludf.DUMMYFUNCTION("""COMPUTED_VALUE"""),"Horquilla protector peatones 120x40 cm Galva. c/plato")</f>
        <v>Horquilla protector peatones 120x40 cm Galva. c/plato</v>
      </c>
      <c r="C776" s="4">
        <f>IFERROR(__xludf.DUMMYFUNCTION("""COMPUTED_VALUE"""),50.687999999999995)</f>
        <v>50.688</v>
      </c>
    </row>
    <row r="777">
      <c r="A777" s="4" t="str">
        <f>IFERROR(__xludf.DUMMYFUNCTION("""COMPUTED_VALUE"""),"0681/B")</f>
        <v>0681/B</v>
      </c>
      <c r="B777" s="4" t="str">
        <f>IFERROR(__xludf.DUMMYFUNCTION("""COMPUTED_VALUE"""),"Horquilla protector peatones 90x40 cm Galva")</f>
        <v>Horquilla protector peatones 90x40 cm Galva</v>
      </c>
      <c r="C777" s="4">
        <f>IFERROR(__xludf.DUMMYFUNCTION("""COMPUTED_VALUE"""),37.296)</f>
        <v>37.296</v>
      </c>
    </row>
    <row r="778">
      <c r="A778" s="4" t="str">
        <f>IFERROR(__xludf.DUMMYFUNCTION("""COMPUTED_VALUE"""),"0681/B/PLATO")</f>
        <v>0681/B/PLATO</v>
      </c>
      <c r="B778" s="4" t="str">
        <f>IFERROR(__xludf.DUMMYFUNCTION("""COMPUTED_VALUE"""),"Horquilla protector peatones 90x40 cm Galva c/plato")</f>
        <v>Horquilla protector peatones 90x40 cm Galva c/plato</v>
      </c>
      <c r="C778" s="4">
        <f>IFERROR(__xludf.DUMMYFUNCTION("""COMPUTED_VALUE"""),59.472)</f>
        <v>59.472</v>
      </c>
    </row>
    <row r="779">
      <c r="A779" s="4" t="str">
        <f>IFERROR(__xludf.DUMMYFUNCTION("""COMPUTED_VALUE"""),"0681/LA")</f>
        <v>0681/LA</v>
      </c>
      <c r="B779" s="4" t="str">
        <f>IFERROR(__xludf.DUMMYFUNCTION("""COMPUTED_VALUE"""),"Horquilla protector peatones 120x40 cm Amarilla")</f>
        <v>Horquilla protector peatones 120x40 cm Amarilla</v>
      </c>
      <c r="C779" s="4">
        <f>IFERROR(__xludf.DUMMYFUNCTION("""COMPUTED_VALUE"""),46.512)</f>
        <v>46.512</v>
      </c>
    </row>
    <row r="780">
      <c r="A780" s="4" t="str">
        <f>IFERROR(__xludf.DUMMYFUNCTION("""COMPUTED_VALUE"""),"0681/LA/PLATO")</f>
        <v>0681/LA/PLATO</v>
      </c>
      <c r="B780" s="4" t="str">
        <f>IFERROR(__xludf.DUMMYFUNCTION("""COMPUTED_VALUE"""),"Horquilla protector peatones 120x40 cm Amar. c/plato")</f>
        <v>Horquilla protector peatones 120x40 cm Amar. c/plato</v>
      </c>
      <c r="C780" s="4">
        <f>IFERROR(__xludf.DUMMYFUNCTION("""COMPUTED_VALUE"""),49.392)</f>
        <v>49.392</v>
      </c>
    </row>
    <row r="781">
      <c r="A781" s="4" t="str">
        <f>IFERROR(__xludf.DUMMYFUNCTION("""COMPUTED_VALUE"""),"0681/LB")</f>
        <v>0681/LB</v>
      </c>
      <c r="B781" s="4" t="str">
        <f>IFERROR(__xludf.DUMMYFUNCTION("""COMPUTED_VALUE"""),"Horquilla protector peqtones 90x40 cm Amarilla")</f>
        <v>Horquilla protector peqtones 90x40 cm Amarilla</v>
      </c>
      <c r="C781" s="4">
        <f>IFERROR(__xludf.DUMMYFUNCTION("""COMPUTED_VALUE"""),43.5456)</f>
        <v>43.5456</v>
      </c>
    </row>
    <row r="782">
      <c r="A782" s="4" t="str">
        <f>IFERROR(__xludf.DUMMYFUNCTION("""COMPUTED_VALUE"""),"0681/LB/PLATO")</f>
        <v>0681/LB/PLATO</v>
      </c>
      <c r="B782" s="4" t="str">
        <f>IFERROR(__xludf.DUMMYFUNCTION("""COMPUTED_VALUE"""),"Horquilla protector peatones 90x40 cm Amar.c/plato")</f>
        <v>Horquilla protector peatones 90x40 cm Amar.c/plato</v>
      </c>
      <c r="C782" s="4">
        <f>IFERROR(__xludf.DUMMYFUNCTION("""COMPUTED_VALUE"""),50.620799999999996)</f>
        <v>50.6208</v>
      </c>
    </row>
    <row r="783">
      <c r="A783" s="4" t="str">
        <f>IFERROR(__xludf.DUMMYFUNCTION("""COMPUTED_VALUE"""),"682")</f>
        <v>682</v>
      </c>
      <c r="B783" s="4" t="str">
        <f>IFERROR(__xludf.DUMMYFUNCTION("""COMPUTED_VALUE"""),"Vado Permanente Aluminio 40x30")</f>
        <v>Vado Permanente Aluminio 40x30</v>
      </c>
      <c r="C783" s="4">
        <f>IFERROR(__xludf.DUMMYFUNCTION("""COMPUTED_VALUE"""),8.064)</f>
        <v>8.064</v>
      </c>
    </row>
    <row r="784">
      <c r="A784" s="4" t="str">
        <f>IFERROR(__xludf.DUMMYFUNCTION("""COMPUTED_VALUE"""),"0682P")</f>
        <v>0682P</v>
      </c>
      <c r="B784" s="4" t="str">
        <f>IFERROR(__xludf.DUMMYFUNCTION("""COMPUTED_VALUE"""),"Vado permanente 40x30 aluminio personalizado")</f>
        <v>Vado permanente 40x30 aluminio personalizado</v>
      </c>
      <c r="C784" s="4">
        <f>IFERROR(__xludf.DUMMYFUNCTION("""COMPUTED_VALUE"""),11.52)</f>
        <v>11.52</v>
      </c>
    </row>
    <row r="785">
      <c r="A785" s="4" t="str">
        <f>IFERROR(__xludf.DUMMYFUNCTION("""COMPUTED_VALUE"""),"683")</f>
        <v>683</v>
      </c>
      <c r="B785" s="4" t="str">
        <f>IFERROR(__xludf.DUMMYFUNCTION("""COMPUTED_VALUE"""),"Horquilla protector contenedor basura Galva")</f>
        <v>Horquilla protector contenedor basura Galva</v>
      </c>
      <c r="C785" s="4">
        <f>IFERROR(__xludf.DUMMYFUNCTION("""COMPUTED_VALUE"""),128.928)</f>
        <v>128.928</v>
      </c>
    </row>
    <row r="786">
      <c r="A786" s="4" t="str">
        <f>IFERROR(__xludf.DUMMYFUNCTION("""COMPUTED_VALUE"""),"0683/B")</f>
        <v>0683/B</v>
      </c>
      <c r="B786" s="4" t="str">
        <f>IFERROR(__xludf.DUMMYFUNCTION("""COMPUTED_VALUE"""),"Isleta hormigon con protector direccional Vados")</f>
        <v>Isleta hormigon con protector direccional Vados</v>
      </c>
      <c r="C786" s="4">
        <f>IFERROR(__xludf.DUMMYFUNCTION("""COMPUTED_VALUE"""),441.59999999999997)</f>
        <v>441.6</v>
      </c>
    </row>
    <row r="787">
      <c r="A787" s="4" t="str">
        <f>IFERROR(__xludf.DUMMYFUNCTION("""COMPUTED_VALUE"""),"0683/BS")</f>
        <v>0683/BS</v>
      </c>
      <c r="B787" s="4" t="str">
        <f>IFERROR(__xludf.DUMMYFUNCTION("""COMPUTED_VALUE"""),"Juego 2 angulos sujecion suelo Isleta Vados")</f>
        <v>Juego 2 angulos sujecion suelo Isleta Vados</v>
      </c>
      <c r="C787" s="4">
        <f>IFERROR(__xludf.DUMMYFUNCTION("""COMPUTED_VALUE"""),31.967999999999996)</f>
        <v>31.968</v>
      </c>
    </row>
    <row r="788">
      <c r="A788" s="4" t="str">
        <f>IFERROR(__xludf.DUMMYFUNCTION("""COMPUTED_VALUE"""),"0683D")</f>
        <v>0683D</v>
      </c>
      <c r="B788" s="4" t="str">
        <f>IFERROR(__xludf.DUMMYFUNCTION("""COMPUTED_VALUE"""),"Protector contenedor basura flecha dcha Galv.")</f>
        <v>Protector contenedor basura flecha dcha Galv.</v>
      </c>
      <c r="C788" s="4">
        <f>IFERROR(__xludf.DUMMYFUNCTION("""COMPUTED_VALUE"""),75.09599999999999)</f>
        <v>75.096</v>
      </c>
    </row>
    <row r="789">
      <c r="A789" s="4" t="str">
        <f>IFERROR(__xludf.DUMMYFUNCTION("""COMPUTED_VALUE"""),"0683D/PLATO")</f>
        <v>0683D/PLATO</v>
      </c>
      <c r="B789" s="4" t="str">
        <f>IFERROR(__xludf.DUMMYFUNCTION("""COMPUTED_VALUE"""),"Protector contenedor basura flecha Dcha. Galva. c/plato")</f>
        <v>Protector contenedor basura flecha Dcha. Galva. c/plato</v>
      </c>
      <c r="C789" s="4">
        <f>IFERROR(__xludf.DUMMYFUNCTION("""COMPUTED_VALUE"""),86.184)</f>
        <v>86.184</v>
      </c>
    </row>
    <row r="790">
      <c r="A790" s="4" t="str">
        <f>IFERROR(__xludf.DUMMYFUNCTION("""COMPUTED_VALUE"""),"0683I")</f>
        <v>0683I</v>
      </c>
      <c r="B790" s="4" t="str">
        <f>IFERROR(__xludf.DUMMYFUNCTION("""COMPUTED_VALUE"""),"Protector contenedor basura flecha izq. Galva.")</f>
        <v>Protector contenedor basura flecha izq. Galva.</v>
      </c>
      <c r="C790" s="4">
        <f>IFERROR(__xludf.DUMMYFUNCTION("""COMPUTED_VALUE"""),75.09599999999999)</f>
        <v>75.096</v>
      </c>
    </row>
    <row r="791">
      <c r="A791" s="4" t="str">
        <f>IFERROR(__xludf.DUMMYFUNCTION("""COMPUTED_VALUE"""),"0683I/PLATO")</f>
        <v>0683I/PLATO</v>
      </c>
      <c r="B791" s="4" t="str">
        <f>IFERROR(__xludf.DUMMYFUNCTION("""COMPUTED_VALUE"""),"Protector contendor basura flecha Izq.Galva. c/ plato")</f>
        <v>Protector contendor basura flecha Izq.Galva. c/ plato</v>
      </c>
      <c r="C791" s="4">
        <f>IFERROR(__xludf.DUMMYFUNCTION("""COMPUTED_VALUE"""),72.0)</f>
        <v>72</v>
      </c>
    </row>
    <row r="792">
      <c r="A792" s="4" t="str">
        <f>IFERROR(__xludf.DUMMYFUNCTION("""COMPUTED_VALUE"""),"687")</f>
        <v>687</v>
      </c>
      <c r="B792" s="4" t="str">
        <f>IFERROR(__xludf.DUMMYFUNCTION("""COMPUTED_VALUE"""),"Placa econ. informat. 55x35 cm f.amarillo")</f>
        <v>Placa econ. informat. 55x35 cm f.amarillo</v>
      </c>
      <c r="C792" s="4">
        <f>IFERROR(__xludf.DUMMYFUNCTION("""COMPUTED_VALUE"""),16.128)</f>
        <v>16.128</v>
      </c>
    </row>
    <row r="793">
      <c r="A793" s="4" t="str">
        <f>IFERROR(__xludf.DUMMYFUNCTION("""COMPUTED_VALUE"""),"688")</f>
        <v>688</v>
      </c>
      <c r="B793" s="4" t="str">
        <f>IFERROR(__xludf.DUMMYFUNCTION("""COMPUTED_VALUE"""),"Placa econ. informat. 55x35 cm f.blanco")</f>
        <v>Placa econ. informat. 55x35 cm f.blanco</v>
      </c>
      <c r="C793" s="4">
        <f>IFERROR(__xludf.DUMMYFUNCTION("""COMPUTED_VALUE"""),16.128)</f>
        <v>16.128</v>
      </c>
    </row>
    <row r="794">
      <c r="A794" s="4" t="str">
        <f>IFERROR(__xludf.DUMMYFUNCTION("""COMPUTED_VALUE"""),"690")</f>
        <v>690</v>
      </c>
      <c r="B794" s="4" t="str">
        <f>IFERROR(__xludf.DUMMYFUNCTION("""COMPUTED_VALUE"""),"Base caucho multiperfil")</f>
        <v>Base caucho multiperfil</v>
      </c>
      <c r="C794" s="4">
        <f>IFERROR(__xludf.DUMMYFUNCTION("""COMPUTED_VALUE"""),16.32)</f>
        <v>16.32</v>
      </c>
    </row>
    <row r="795">
      <c r="A795" s="4" t="str">
        <f>IFERROR(__xludf.DUMMYFUNCTION("""COMPUTED_VALUE"""),"0690B")</f>
        <v>0690B</v>
      </c>
      <c r="B795" s="4" t="str">
        <f>IFERROR(__xludf.DUMMYFUNCTION("""COMPUTED_VALUE"""),"Base multiperfil para valla y señales 18 kg")</f>
        <v>Base multiperfil para valla y señales 18 kg</v>
      </c>
      <c r="C795" s="4">
        <f>IFERROR(__xludf.DUMMYFUNCTION("""COMPUTED_VALUE"""),13.92)</f>
        <v>13.92</v>
      </c>
    </row>
    <row r="796">
      <c r="A796" s="4" t="str">
        <f>IFERROR(__xludf.DUMMYFUNCTION("""COMPUTED_VALUE"""),"0690D")</f>
        <v>0690D</v>
      </c>
      <c r="B796" s="4" t="str">
        <f>IFERROR(__xludf.DUMMYFUNCTION("""COMPUTED_VALUE"""),"Base de caucho multiperfil mod D")</f>
        <v>Base de caucho multiperfil mod D</v>
      </c>
      <c r="C796" s="4">
        <f>IFERROR(__xludf.DUMMYFUNCTION("""COMPUTED_VALUE"""),12.48)</f>
        <v>12.48</v>
      </c>
    </row>
    <row r="797">
      <c r="A797" s="4" t="str">
        <f>IFERROR(__xludf.DUMMYFUNCTION("""COMPUTED_VALUE"""),"0690S")</f>
        <v>0690S</v>
      </c>
      <c r="B797" s="4" t="str">
        <f>IFERROR(__xludf.DUMMYFUNCTION("""COMPUTED_VALUE"""),"Base caucho para panel secuencial")</f>
        <v>Base caucho para panel secuencial</v>
      </c>
      <c r="C797" s="4">
        <f>IFERROR(__xludf.DUMMYFUNCTION("""COMPUTED_VALUE"""),18.48)</f>
        <v>18.48</v>
      </c>
    </row>
    <row r="798">
      <c r="A798" s="4" t="str">
        <f>IFERROR(__xludf.DUMMYFUNCTION("""COMPUTED_VALUE"""),"692")</f>
        <v>692</v>
      </c>
      <c r="B798" s="4" t="str">
        <f>IFERROR(__xludf.DUMMYFUNCTION("""COMPUTED_VALUE"""),"Poste aluminio 3 mtros señ. urbana Diam 60")</f>
        <v>Poste aluminio 3 mtros señ. urbana Diam 60</v>
      </c>
      <c r="C798" s="4">
        <f>IFERROR(__xludf.DUMMYFUNCTION("""COMPUTED_VALUE"""),52.8)</f>
        <v>52.8</v>
      </c>
    </row>
    <row r="799">
      <c r="A799" s="4" t="str">
        <f>IFERROR(__xludf.DUMMYFUNCTION("""COMPUTED_VALUE"""),"0692E")</f>
        <v>0692E</v>
      </c>
      <c r="B799" s="4" t="str">
        <f>IFERROR(__xludf.DUMMYFUNCTION("""COMPUTED_VALUE"""),"Abrazadera poste aluminio 60 mm estriado")</f>
        <v>Abrazadera poste aluminio 60 mm estriado</v>
      </c>
      <c r="C799" s="4">
        <f>IFERROR(__xludf.DUMMYFUNCTION("""COMPUTED_VALUE"""),1.44)</f>
        <v>1.44</v>
      </c>
    </row>
    <row r="800">
      <c r="A800" s="4" t="str">
        <f>IFERROR(__xludf.DUMMYFUNCTION("""COMPUTED_VALUE"""),"693")</f>
        <v>693</v>
      </c>
      <c r="B800" s="4" t="str">
        <f>IFERROR(__xludf.DUMMYFUNCTION("""COMPUTED_VALUE"""),"Tripode Tubular señal metalica mod. C")</f>
        <v>Tripode Tubular señal metalica mod. C</v>
      </c>
      <c r="C800" s="4">
        <f>IFERROR(__xludf.DUMMYFUNCTION("""COMPUTED_VALUE"""),20.16)</f>
        <v>20.16</v>
      </c>
    </row>
    <row r="801">
      <c r="A801" s="4" t="str">
        <f>IFERROR(__xludf.DUMMYFUNCTION("""COMPUTED_VALUE"""),"694")</f>
        <v>694</v>
      </c>
      <c r="B801" s="4" t="str">
        <f>IFERROR(__xludf.DUMMYFUNCTION("""COMPUTED_VALUE"""),"Poste redondo diam. 50 galvan. 3 mt para espejo 4100")</f>
        <v>Poste redondo diam. 50 galvan. 3 mt para espejo 4100</v>
      </c>
      <c r="C801" s="4">
        <f>IFERROR(__xludf.DUMMYFUNCTION("""COMPUTED_VALUE"""),27.168)</f>
        <v>27.168</v>
      </c>
    </row>
    <row r="802">
      <c r="A802" s="4" t="str">
        <f>IFERROR(__xludf.DUMMYFUNCTION("""COMPUTED_VALUE"""),"0694/G")</f>
        <v>0694/G</v>
      </c>
      <c r="B802" s="4" t="str">
        <f>IFERROR(__xludf.DUMMYFUNCTION("""COMPUTED_VALUE"""),"Poste redondo diam. 80 galvan. 3 mt para espejo 4101")</f>
        <v>Poste redondo diam. 80 galvan. 3 mt para espejo 4101</v>
      </c>
      <c r="C802" s="4">
        <f>IFERROR(__xludf.DUMMYFUNCTION("""COMPUTED_VALUE"""),39.312000000000005)</f>
        <v>39.312</v>
      </c>
    </row>
    <row r="803">
      <c r="A803" s="4" t="str">
        <f>IFERROR(__xludf.DUMMYFUNCTION("""COMPUTED_VALUE"""),"0694/M")</f>
        <v>0694/M</v>
      </c>
      <c r="B803" s="4" t="str">
        <f>IFERROR(__xludf.DUMMYFUNCTION("""COMPUTED_VALUE"""),"Poste redondo diam. 60 galva. 3 mt. p/espejos")</f>
        <v>Poste redondo diam. 60 galva. 3 mt. p/espejos</v>
      </c>
      <c r="C803" s="4">
        <f>IFERROR(__xludf.DUMMYFUNCTION("""COMPUTED_VALUE"""),31.68)</f>
        <v>31.68</v>
      </c>
    </row>
    <row r="804">
      <c r="A804" s="4" t="str">
        <f>IFERROR(__xludf.DUMMYFUNCTION("""COMPUTED_VALUE"""),"0694D")</f>
        <v>0694D</v>
      </c>
      <c r="B804" s="4" t="str">
        <f>IFERROR(__xludf.DUMMYFUNCTION("""COMPUTED_VALUE"""),"Poste galva doblado 3 m circular 60 mm")</f>
        <v>Poste galva doblado 3 m circular 60 mm</v>
      </c>
      <c r="C804" s="4">
        <f>IFERROR(__xludf.DUMMYFUNCTION("""COMPUTED_VALUE"""),32.64)</f>
        <v>32.64</v>
      </c>
    </row>
    <row r="805">
      <c r="A805" s="4" t="str">
        <f>IFERROR(__xludf.DUMMYFUNCTION("""COMPUTED_VALUE"""),"0694E")</f>
        <v>0694E</v>
      </c>
      <c r="B805" s="4" t="str">
        <f>IFERROR(__xludf.DUMMYFUNCTION("""COMPUTED_VALUE"""),"Poste tubular 60 mm para cartelería vinilada")</f>
        <v>Poste tubular 60 mm para cartelería vinilada</v>
      </c>
      <c r="C805" s="4">
        <f>IFERROR(__xludf.DUMMYFUNCTION("""COMPUTED_VALUE"""),71.03999999999999)</f>
        <v>71.04</v>
      </c>
    </row>
    <row r="806">
      <c r="A806" s="4" t="str">
        <f>IFERROR(__xludf.DUMMYFUNCTION("""COMPUTED_VALUE"""),"695")</f>
        <v>695</v>
      </c>
      <c r="B806" s="4" t="str">
        <f>IFERROR(__xludf.DUMMYFUNCTION("""COMPUTED_VALUE"""),"Tripode angular señal metalica mod. B")</f>
        <v>Tripode angular señal metalica mod. B</v>
      </c>
      <c r="C806" s="4">
        <f>IFERROR(__xludf.DUMMYFUNCTION("""COMPUTED_VALUE"""),11.76)</f>
        <v>11.76</v>
      </c>
    </row>
    <row r="807">
      <c r="A807" s="4" t="str">
        <f>IFERROR(__xludf.DUMMYFUNCTION("""COMPUTED_VALUE"""),"696")</f>
        <v>696</v>
      </c>
      <c r="B807" s="4" t="str">
        <f>IFERROR(__xludf.DUMMYFUNCTION("""COMPUTED_VALUE"""),"Tripode gigante señal metálica")</f>
        <v>Tripode gigante señal metálica</v>
      </c>
      <c r="C807" s="4">
        <f>IFERROR(__xludf.DUMMYFUNCTION("""COMPUTED_VALUE"""),39.407999999999994)</f>
        <v>39.408</v>
      </c>
    </row>
    <row r="808">
      <c r="A808" s="4" t="str">
        <f>IFERROR(__xludf.DUMMYFUNCTION("""COMPUTED_VALUE"""),"697")</f>
        <v>697</v>
      </c>
      <c r="B808" s="4" t="str">
        <f>IFERROR(__xludf.DUMMYFUNCTION("""COMPUTED_VALUE"""),"Soporte pared p/ espejo 60 cm Mod. Basic")</f>
        <v>Soporte pared p/ espejo 60 cm Mod. Basic</v>
      </c>
      <c r="C808" s="4">
        <f>IFERROR(__xludf.DUMMYFUNCTION("""COMPUTED_VALUE"""),12.863999999999999)</f>
        <v>12.864</v>
      </c>
    </row>
    <row r="809">
      <c r="A809" s="4" t="str">
        <f>IFERROR(__xludf.DUMMYFUNCTION("""COMPUTED_VALUE"""),"0697/M")</f>
        <v>0697/M</v>
      </c>
      <c r="B809" s="4" t="str">
        <f>IFERROR(__xludf.DUMMYFUNCTION("""COMPUTED_VALUE"""),"Soporte pared para espejo Giotto-Rafaello-Icaro")</f>
        <v>Soporte pared para espejo Giotto-Rafaello-Icaro</v>
      </c>
      <c r="C809" s="4">
        <f>IFERROR(__xludf.DUMMYFUNCTION("""COMPUTED_VALUE"""),13.344)</f>
        <v>13.344</v>
      </c>
    </row>
    <row r="810">
      <c r="A810" s="4" t="str">
        <f>IFERROR(__xludf.DUMMYFUNCTION("""COMPUTED_VALUE"""),"0697G")</f>
        <v>0697G</v>
      </c>
      <c r="B810" s="4" t="str">
        <f>IFERROR(__xludf.DUMMYFUNCTION("""COMPUTED_VALUE"""),"Soporte pared p/ espejo 80 cm Mod. Basic")</f>
        <v>Soporte pared p/ espejo 80 cm Mod. Basic</v>
      </c>
      <c r="C810" s="4">
        <f>IFERROR(__xludf.DUMMYFUNCTION("""COMPUTED_VALUE"""),15.6)</f>
        <v>15.6</v>
      </c>
    </row>
    <row r="811">
      <c r="A811" s="4" t="str">
        <f>IFERROR(__xludf.DUMMYFUNCTION("""COMPUTED_VALUE"""),"698")</f>
        <v>698</v>
      </c>
      <c r="B811" s="4" t="str">
        <f>IFERROR(__xludf.DUMMYFUNCTION("""COMPUTED_VALUE"""),"Soporte pared señal metalica")</f>
        <v>Soporte pared señal metalica</v>
      </c>
      <c r="C811" s="4">
        <f>IFERROR(__xludf.DUMMYFUNCTION("""COMPUTED_VALUE"""),16.703999999999997)</f>
        <v>16.704</v>
      </c>
    </row>
    <row r="812">
      <c r="A812" s="4" t="str">
        <f>IFERROR(__xludf.DUMMYFUNCTION("""COMPUTED_VALUE"""),"699")</f>
        <v>699</v>
      </c>
      <c r="B812" s="4" t="str">
        <f>IFERROR(__xludf.DUMMYFUNCTION("""COMPUTED_VALUE"""),"Señal economica reflex")</f>
        <v>Señal economica reflex</v>
      </c>
      <c r="C812" s="4">
        <f>IFERROR(__xludf.DUMMYFUNCTION("""COMPUTED_VALUE"""),13.92)</f>
        <v>13.92</v>
      </c>
    </row>
    <row r="813">
      <c r="A813" s="4" t="str">
        <f>IFERROR(__xludf.DUMMYFUNCTION("""COMPUTED_VALUE"""),"701")</f>
        <v>701</v>
      </c>
      <c r="B813" s="4" t="str">
        <f>IFERROR(__xludf.DUMMYFUNCTION("""COMPUTED_VALUE"""),"Conjunto señalización tubular aparcar con soporte y plesilla")</f>
        <v>Conjunto señalización tubular aparcar con soporte y plesilla</v>
      </c>
      <c r="C813" s="4">
        <f>IFERROR(__xludf.DUMMYFUNCTION("""COMPUTED_VALUE"""),75.84)</f>
        <v>75.84</v>
      </c>
    </row>
    <row r="814">
      <c r="A814" s="4" t="str">
        <f>IFERROR(__xludf.DUMMYFUNCTION("""COMPUTED_VALUE"""),"0701/01")</f>
        <v>0701/01</v>
      </c>
      <c r="B814" s="4" t="str">
        <f>IFERROR(__xludf.DUMMYFUNCTION("""COMPUTED_VALUE"""),"Protector esquina acero 45cm lado x 100 cm altura tubo de")</f>
        <v>Protector esquina acero 45cm lado x 100 cm altura tubo de</v>
      </c>
      <c r="C814" s="4">
        <f>IFERROR(__xludf.DUMMYFUNCTION("""COMPUTED_VALUE"""),143.61599999999999)</f>
        <v>143.616</v>
      </c>
    </row>
    <row r="815">
      <c r="A815" s="4" t="str">
        <f>IFERROR(__xludf.DUMMYFUNCTION("""COMPUTED_VALUE"""),"0701/03")</f>
        <v>0701/03</v>
      </c>
      <c r="B815" s="4" t="str">
        <f>IFERROR(__xludf.DUMMYFUNCTION("""COMPUTED_VALUE"""),"Protector esquina acero 100 cm lado x 100 cm altura tubo de")</f>
        <v>Protector esquina acero 100 cm lado x 100 cm altura tubo de</v>
      </c>
      <c r="C815" s="4">
        <f>IFERROR(__xludf.DUMMYFUNCTION("""COMPUTED_VALUE"""),211.67999999999998)</f>
        <v>211.68</v>
      </c>
    </row>
    <row r="816">
      <c r="A816" s="4" t="str">
        <f>IFERROR(__xludf.DUMMYFUNCTION("""COMPUTED_VALUE"""),"0702/01")</f>
        <v>0702/01</v>
      </c>
      <c r="B816" s="4" t="str">
        <f>IFERROR(__xludf.DUMMYFUNCTION("""COMPUTED_VALUE"""),"Barrera protectora 100 cm largo x 100 cm altura tubo de 50x2")</f>
        <v>Barrera protectora 100 cm largo x 100 cm altura tubo de 50x2</v>
      </c>
      <c r="C816" s="4">
        <f>IFERROR(__xludf.DUMMYFUNCTION("""COMPUTED_VALUE"""),120.96)</f>
        <v>120.96</v>
      </c>
    </row>
    <row r="817">
      <c r="A817" s="4" t="str">
        <f>IFERROR(__xludf.DUMMYFUNCTION("""COMPUTED_VALUE"""),"0702/02")</f>
        <v>0702/02</v>
      </c>
      <c r="B817" s="4" t="str">
        <f>IFERROR(__xludf.DUMMYFUNCTION("""COMPUTED_VALUE"""),"Barrera protectora 100 cm largo x 100 cm altura tubo de 50x3")</f>
        <v>Barrera protectora 100 cm largo x 100 cm altura tubo de 50x3</v>
      </c>
      <c r="C817" s="4">
        <f>IFERROR(__xludf.DUMMYFUNCTION("""COMPUTED_VALUE"""),132.048)</f>
        <v>132.048</v>
      </c>
    </row>
    <row r="818">
      <c r="A818" s="4" t="str">
        <f>IFERROR(__xludf.DUMMYFUNCTION("""COMPUTED_VALUE"""),"0702/03")</f>
        <v>0702/03</v>
      </c>
      <c r="B818" s="4" t="str">
        <f>IFERROR(__xludf.DUMMYFUNCTION("""COMPUTED_VALUE"""),"Barrera protectora 100 cm largo x 100 cm altura tubo de")</f>
        <v>Barrera protectora 100 cm largo x 100 cm altura tubo de</v>
      </c>
      <c r="C818" s="4">
        <f>IFERROR(__xludf.DUMMYFUNCTION("""COMPUTED_VALUE"""),136.07999999999998)</f>
        <v>136.08</v>
      </c>
    </row>
    <row r="819">
      <c r="A819" s="4" t="str">
        <f>IFERROR(__xludf.DUMMYFUNCTION("""COMPUTED_VALUE"""),"0702/04")</f>
        <v>0702/04</v>
      </c>
      <c r="B819" s="4" t="str">
        <f>IFERROR(__xludf.DUMMYFUNCTION("""COMPUTED_VALUE"""),"Barrera protectora 100 cm largo x 100 cm altura tubo de")</f>
        <v>Barrera protectora 100 cm largo x 100 cm altura tubo de</v>
      </c>
      <c r="C819" s="4">
        <f>IFERROR(__xludf.DUMMYFUNCTION("""COMPUTED_VALUE"""),163.79999999999998)</f>
        <v>163.8</v>
      </c>
    </row>
    <row r="820">
      <c r="A820" s="4" t="str">
        <f>IFERROR(__xludf.DUMMYFUNCTION("""COMPUTED_VALUE"""),"0702/05")</f>
        <v>0702/05</v>
      </c>
      <c r="B820" s="4" t="str">
        <f>IFERROR(__xludf.DUMMYFUNCTION("""COMPUTED_VALUE"""),"Barrera protectora 200 cm largo x 100 cm altura tubo de")</f>
        <v>Barrera protectora 200 cm largo x 100 cm altura tubo de</v>
      </c>
      <c r="C820" s="4">
        <f>IFERROR(__xludf.DUMMYFUNCTION("""COMPUTED_VALUE"""),166.32)</f>
        <v>166.32</v>
      </c>
    </row>
    <row r="821">
      <c r="A821" s="4" t="str">
        <f>IFERROR(__xludf.DUMMYFUNCTION("""COMPUTED_VALUE"""),"0702/06")</f>
        <v>0702/06</v>
      </c>
      <c r="B821" s="4" t="str">
        <f>IFERROR(__xludf.DUMMYFUNCTION("""COMPUTED_VALUE"""),"Barrera protectora 200 cm largo x 100 cm altura tubo 50x3mm")</f>
        <v>Barrera protectora 200 cm largo x 100 cm altura tubo 50x3mm</v>
      </c>
      <c r="C821" s="4">
        <f>IFERROR(__xludf.DUMMYFUNCTION("""COMPUTED_VALUE"""),214.2)</f>
        <v>214.2</v>
      </c>
    </row>
    <row r="822">
      <c r="A822" s="4" t="str">
        <f>IFERROR(__xludf.DUMMYFUNCTION("""COMPUTED_VALUE"""),"0702/07")</f>
        <v>0702/07</v>
      </c>
      <c r="B822" s="4" t="str">
        <f>IFERROR(__xludf.DUMMYFUNCTION("""COMPUTED_VALUE"""),"Barrera protectora 200 cm largo x 100 cm altura tubo de")</f>
        <v>Barrera protectora 200 cm largo x 100 cm altura tubo de</v>
      </c>
      <c r="C822" s="4">
        <f>IFERROR(__xludf.DUMMYFUNCTION("""COMPUTED_VALUE"""),168.84)</f>
        <v>168.84</v>
      </c>
    </row>
    <row r="823">
      <c r="A823" s="4" t="str">
        <f>IFERROR(__xludf.DUMMYFUNCTION("""COMPUTED_VALUE"""),"0702/08")</f>
        <v>0702/08</v>
      </c>
      <c r="B823" s="4" t="str">
        <f>IFERROR(__xludf.DUMMYFUNCTION("""COMPUTED_VALUE"""),"Barrera protectora 200 cm largo x 100 cm altura tubo de")</f>
        <v>Barrera protectora 200 cm largo x 100 cm altura tubo de</v>
      </c>
      <c r="C823" s="4">
        <f>IFERROR(__xludf.DUMMYFUNCTION("""COMPUTED_VALUE"""),226.79999999999998)</f>
        <v>226.8</v>
      </c>
    </row>
    <row r="824">
      <c r="A824" s="4" t="str">
        <f>IFERROR(__xludf.DUMMYFUNCTION("""COMPUTED_VALUE"""),"0703/01")</f>
        <v>0703/01</v>
      </c>
      <c r="B824" s="4" t="str">
        <f>IFERROR(__xludf.DUMMYFUNCTION("""COMPUTED_VALUE"""),"Barrera protectora reforzada 100 cm largo x 100 cm altura tubo")</f>
        <v>Barrera protectora reforzada 100 cm largo x 100 cm altura tubo</v>
      </c>
      <c r="C824" s="4">
        <f>IFERROR(__xludf.DUMMYFUNCTION("""COMPUTED_VALUE"""),176.4)</f>
        <v>176.4</v>
      </c>
    </row>
    <row r="825">
      <c r="A825" s="4" t="str">
        <f>IFERROR(__xludf.DUMMYFUNCTION("""COMPUTED_VALUE"""),"0703/02")</f>
        <v>0703/02</v>
      </c>
      <c r="B825" s="4" t="str">
        <f>IFERROR(__xludf.DUMMYFUNCTION("""COMPUTED_VALUE"""),"Barrera protectora reforzada 100 cm largo x 100 cm altura tubo")</f>
        <v>Barrera protectora reforzada 100 cm largo x 100 cm altura tubo</v>
      </c>
      <c r="C825" s="4">
        <f>IFERROR(__xludf.DUMMYFUNCTION("""COMPUTED_VALUE"""),141.12)</f>
        <v>141.12</v>
      </c>
    </row>
    <row r="826">
      <c r="A826" s="4" t="str">
        <f>IFERROR(__xludf.DUMMYFUNCTION("""COMPUTED_VALUE"""),"0703/03")</f>
        <v>0703/03</v>
      </c>
      <c r="B826" s="4" t="str">
        <f>IFERROR(__xludf.DUMMYFUNCTION("""COMPUTED_VALUE"""),"Barrera protectora reforzada 100 cm largo x 100 cm altura tubo")</f>
        <v>Barrera protectora reforzada 100 cm largo x 100 cm altura tubo</v>
      </c>
      <c r="C826" s="4">
        <f>IFERROR(__xludf.DUMMYFUNCTION("""COMPUTED_VALUE"""),131.04)</f>
        <v>131.04</v>
      </c>
    </row>
    <row r="827">
      <c r="A827" s="4" t="str">
        <f>IFERROR(__xludf.DUMMYFUNCTION("""COMPUTED_VALUE"""),"0703/04")</f>
        <v>0703/04</v>
      </c>
      <c r="B827" s="4" t="str">
        <f>IFERROR(__xludf.DUMMYFUNCTION("""COMPUTED_VALUE"""),"Barrera protectora reforzada 100 cm largo x 100 cm altura tubo")</f>
        <v>Barrera protectora reforzada 100 cm largo x 100 cm altura tubo</v>
      </c>
      <c r="C827" s="4">
        <f>IFERROR(__xludf.DUMMYFUNCTION("""COMPUTED_VALUE"""),176.4)</f>
        <v>176.4</v>
      </c>
    </row>
    <row r="828">
      <c r="A828" s="4" t="str">
        <f>IFERROR(__xludf.DUMMYFUNCTION("""COMPUTED_VALUE"""),"0703/05")</f>
        <v>0703/05</v>
      </c>
      <c r="B828" s="4" t="str">
        <f>IFERROR(__xludf.DUMMYFUNCTION("""COMPUTED_VALUE"""),"Barrera protectora reforzada 200 cm largo x 100 cm altura tubo")</f>
        <v>Barrera protectora reforzada 200 cm largo x 100 cm altura tubo</v>
      </c>
      <c r="C828" s="4">
        <f>IFERROR(__xludf.DUMMYFUNCTION("""COMPUTED_VALUE"""),189.0)</f>
        <v>189</v>
      </c>
    </row>
    <row r="829">
      <c r="A829" s="4" t="str">
        <f>IFERROR(__xludf.DUMMYFUNCTION("""COMPUTED_VALUE"""),"0703/06")</f>
        <v>0703/06</v>
      </c>
      <c r="B829" s="4" t="str">
        <f>IFERROR(__xludf.DUMMYFUNCTION("""COMPUTED_VALUE"""),"Barrera protectora reforzada 200 cm largo x 100 cm altura tubo")</f>
        <v>Barrera protectora reforzada 200 cm largo x 100 cm altura tubo</v>
      </c>
      <c r="C829" s="4">
        <f>IFERROR(__xludf.DUMMYFUNCTION("""COMPUTED_VALUE"""),214.2)</f>
        <v>214.2</v>
      </c>
    </row>
    <row r="830">
      <c r="A830" s="4" t="str">
        <f>IFERROR(__xludf.DUMMYFUNCTION("""COMPUTED_VALUE"""),"0703/07")</f>
        <v>0703/07</v>
      </c>
      <c r="B830" s="4" t="str">
        <f>IFERROR(__xludf.DUMMYFUNCTION("""COMPUTED_VALUE"""),"Barrera protectora reforzada 200 cm largo x 100 cm altura tubo")</f>
        <v>Barrera protectora reforzada 200 cm largo x 100 cm altura tubo</v>
      </c>
      <c r="C830" s="4">
        <f>IFERROR(__xludf.DUMMYFUNCTION("""COMPUTED_VALUE"""),189.0)</f>
        <v>189</v>
      </c>
    </row>
    <row r="831">
      <c r="A831" s="4" t="str">
        <f>IFERROR(__xludf.DUMMYFUNCTION("""COMPUTED_VALUE"""),"0703/08")</f>
        <v>0703/08</v>
      </c>
      <c r="B831" s="4" t="str">
        <f>IFERROR(__xludf.DUMMYFUNCTION("""COMPUTED_VALUE"""),"Barrera protectora reforzada 200 cm largo x 100 cm altiura tubo")</f>
        <v>Barrera protectora reforzada 200 cm largo x 100 cm altiura tubo</v>
      </c>
      <c r="C831" s="4">
        <f>IFERROR(__xludf.DUMMYFUNCTION("""COMPUTED_VALUE"""),236.88)</f>
        <v>236.88</v>
      </c>
    </row>
    <row r="832">
      <c r="A832" s="4" t="str">
        <f>IFERROR(__xludf.DUMMYFUNCTION("""COMPUTED_VALUE"""),"0704/01")</f>
        <v>0704/01</v>
      </c>
      <c r="B832" s="4" t="str">
        <f>IFERROR(__xludf.DUMMYFUNCTION("""COMPUTED_VALUE"""),"Bolardo acero N/A 100 cm altura tubo 60x2mm")</f>
        <v>Bolardo acero N/A 100 cm altura tubo 60x2mm</v>
      </c>
      <c r="C832" s="4">
        <f>IFERROR(__xludf.DUMMYFUNCTION("""COMPUTED_VALUE"""),60.48)</f>
        <v>60.48</v>
      </c>
    </row>
    <row r="833">
      <c r="A833" s="4" t="str">
        <f>IFERROR(__xludf.DUMMYFUNCTION("""COMPUTED_VALUE"""),"0704/02")</f>
        <v>0704/02</v>
      </c>
      <c r="B833" s="4" t="str">
        <f>IFERROR(__xludf.DUMMYFUNCTION("""COMPUTED_VALUE"""),"Bolardo acero N/A 100 cm altura tubo de 80x2mm")</f>
        <v>Bolardo acero N/A 100 cm altura tubo de 80x2mm</v>
      </c>
      <c r="C833" s="4">
        <f>IFERROR(__xludf.DUMMYFUNCTION("""COMPUTED_VALUE"""),75.6)</f>
        <v>75.6</v>
      </c>
    </row>
    <row r="834">
      <c r="A834" s="4" t="str">
        <f>IFERROR(__xludf.DUMMYFUNCTION("""COMPUTED_VALUE"""),"0705/01")</f>
        <v>0705/01</v>
      </c>
      <c r="B834" s="4" t="str">
        <f>IFERROR(__xludf.DUMMYFUNCTION("""COMPUTED_VALUE"""),"Zocalo proteccion 200 cm largo x 6,6 cm altura tubo de")</f>
        <v>Zocalo proteccion 200 cm largo x 6,6 cm altura tubo de</v>
      </c>
      <c r="C834" s="4">
        <f>IFERROR(__xludf.DUMMYFUNCTION("""COMPUTED_VALUE"""),95.75999999999999)</f>
        <v>95.76</v>
      </c>
    </row>
    <row r="835">
      <c r="A835" s="4" t="str">
        <f>IFERROR(__xludf.DUMMYFUNCTION("""COMPUTED_VALUE"""),"0705/02")</f>
        <v>0705/02</v>
      </c>
      <c r="B835" s="4" t="str">
        <f>IFERROR(__xludf.DUMMYFUNCTION("""COMPUTED_VALUE"""),"Zocalo proteccion 200 cm largo x 8,6 cm altura tubo de")</f>
        <v>Zocalo proteccion 200 cm largo x 8,6 cm altura tubo de</v>
      </c>
      <c r="C835" s="4">
        <f>IFERROR(__xludf.DUMMYFUNCTION("""COMPUTED_VALUE"""),113.39999999999999)</f>
        <v>113.4</v>
      </c>
    </row>
    <row r="836">
      <c r="A836" s="4" t="str">
        <f>IFERROR(__xludf.DUMMYFUNCTION("""COMPUTED_VALUE"""),"706")</f>
        <v>706</v>
      </c>
      <c r="B836" s="4" t="str">
        <f>IFERROR(__xludf.DUMMYFUNCTION("""COMPUTED_VALUE"""),"Placa Taller 50x50 cm personalizable")</f>
        <v>Placa Taller 50x50 cm personalizable</v>
      </c>
      <c r="C836" s="4">
        <f>IFERROR(__xludf.DUMMYFUNCTION("""COMPUTED_VALUE"""),10.799999999999999)</f>
        <v>10.8</v>
      </c>
    </row>
    <row r="837">
      <c r="A837" s="4" t="str">
        <f>IFERROR(__xludf.DUMMYFUNCTION("""COMPUTED_VALUE"""),"708")</f>
        <v>708</v>
      </c>
      <c r="B837" s="4" t="str">
        <f>IFERROR(__xludf.DUMMYFUNCTION("""COMPUTED_VALUE"""),"Conjunto prohibido aparcar + trípode con plesilla")</f>
        <v>Conjunto prohibido aparcar + trípode con plesilla</v>
      </c>
      <c r="C837" s="4">
        <f>IFERROR(__xludf.DUMMYFUNCTION("""COMPUTED_VALUE"""),29.759999999999998)</f>
        <v>29.76</v>
      </c>
    </row>
    <row r="838">
      <c r="A838" s="4" t="str">
        <f>IFERROR(__xludf.DUMMYFUNCTION("""COMPUTED_VALUE"""),"710")</f>
        <v>710</v>
      </c>
      <c r="B838" s="4" t="str">
        <f>IFERROR(__xludf.DUMMYFUNCTION("""COMPUTED_VALUE"""),"Placa mercancias peligrosas fija 40x30 troquelada")</f>
        <v>Placa mercancias peligrosas fija 40x30 troquelada</v>
      </c>
      <c r="C838" s="4">
        <f>IFERROR(__xludf.DUMMYFUNCTION("""COMPUTED_VALUE"""),31.583999999999996)</f>
        <v>31.584</v>
      </c>
    </row>
    <row r="839">
      <c r="A839" s="4" t="str">
        <f>IFERROR(__xludf.DUMMYFUNCTION("""COMPUTED_VALUE"""),"0710T")</f>
        <v>0710T</v>
      </c>
      <c r="B839" s="4" t="str">
        <f>IFERROR(__xludf.DUMMYFUNCTION("""COMPUTED_VALUE"""),"Placa mercancia peligrosa plegable sin troquelar 40x30")</f>
        <v>Placa mercancia peligrosa plegable sin troquelar 40x30</v>
      </c>
      <c r="C839" s="4">
        <f>IFERROR(__xludf.DUMMYFUNCTION("""COMPUTED_VALUE"""),21.216)</f>
        <v>21.216</v>
      </c>
    </row>
    <row r="840">
      <c r="A840" s="4" t="str">
        <f>IFERROR(__xludf.DUMMYFUNCTION("""COMPUTED_VALUE"""),"711")</f>
        <v>711</v>
      </c>
      <c r="B840" s="4" t="str">
        <f>IFERROR(__xludf.DUMMYFUNCTION("""COMPUTED_VALUE"""),"Disco nacional 20 cm diám Limitacion Velocidad alumin, Reflex")</f>
        <v>Disco nacional 20 cm diám Limitacion Velocidad alumin, Reflex</v>
      </c>
      <c r="C840" s="4">
        <f>IFERROR(__xludf.DUMMYFUNCTION("""COMPUTED_VALUE"""),7.68)</f>
        <v>7.68</v>
      </c>
    </row>
    <row r="841">
      <c r="A841" s="4" t="str">
        <f>IFERROR(__xludf.DUMMYFUNCTION("""COMPUTED_VALUE"""),"0711/20")</f>
        <v>0711/20</v>
      </c>
      <c r="B841" s="4" t="str">
        <f>IFERROR(__xludf.DUMMYFUNCTION("""COMPUTED_VALUE"""),"Disco alum. diam.20cm Lim Velocidad 20 Reflex 2")</f>
        <v>Disco alum. diam.20cm Lim Velocidad 20 Reflex 2</v>
      </c>
      <c r="C841" s="4">
        <f>IFERROR(__xludf.DUMMYFUNCTION("""COMPUTED_VALUE"""),7.56)</f>
        <v>7.56</v>
      </c>
    </row>
    <row r="842">
      <c r="A842" s="4" t="str">
        <f>IFERROR(__xludf.DUMMYFUNCTION("""COMPUTED_VALUE"""),"0711/25")</f>
        <v>0711/25</v>
      </c>
      <c r="B842" s="4" t="str">
        <f>IFERROR(__xludf.DUMMYFUNCTION("""COMPUTED_VALUE"""),"Disco alum. diam.20cm Lim Velocidad 25 Reflex 2")</f>
        <v>Disco alum. diam.20cm Lim Velocidad 25 Reflex 2</v>
      </c>
      <c r="C842" s="4">
        <f>IFERROR(__xludf.DUMMYFUNCTION("""COMPUTED_VALUE"""),7.56)</f>
        <v>7.56</v>
      </c>
    </row>
    <row r="843">
      <c r="A843" s="4" t="str">
        <f>IFERROR(__xludf.DUMMYFUNCTION("""COMPUTED_VALUE"""),"0711/30")</f>
        <v>0711/30</v>
      </c>
      <c r="B843" s="4" t="str">
        <f>IFERROR(__xludf.DUMMYFUNCTION("""COMPUTED_VALUE"""),"Disco alum. diam.20cm Lim Velocidad 30 Reflex 2")</f>
        <v>Disco alum. diam.20cm Lim Velocidad 30 Reflex 2</v>
      </c>
      <c r="C843" s="4">
        <f>IFERROR(__xludf.DUMMYFUNCTION("""COMPUTED_VALUE"""),7.56)</f>
        <v>7.56</v>
      </c>
    </row>
    <row r="844">
      <c r="A844" s="4" t="str">
        <f>IFERROR(__xludf.DUMMYFUNCTION("""COMPUTED_VALUE"""),"0711/35")</f>
        <v>0711/35</v>
      </c>
      <c r="B844" s="4" t="str">
        <f>IFERROR(__xludf.DUMMYFUNCTION("""COMPUTED_VALUE"""),"Disco alum. diam.20cm Lim Velocidad 35 Reflex 2")</f>
        <v>Disco alum. diam.20cm Lim Velocidad 35 Reflex 2</v>
      </c>
      <c r="C844" s="4">
        <f>IFERROR(__xludf.DUMMYFUNCTION("""COMPUTED_VALUE"""),7.56)</f>
        <v>7.56</v>
      </c>
    </row>
    <row r="845">
      <c r="A845" s="4" t="str">
        <f>IFERROR(__xludf.DUMMYFUNCTION("""COMPUTED_VALUE"""),"0711/40")</f>
        <v>0711/40</v>
      </c>
      <c r="B845" s="4" t="str">
        <f>IFERROR(__xludf.DUMMYFUNCTION("""COMPUTED_VALUE"""),"Disco alum. diam.20cm Lim Velocidad 40 Reflex 2")</f>
        <v>Disco alum. diam.20cm Lim Velocidad 40 Reflex 2</v>
      </c>
      <c r="C845" s="4">
        <f>IFERROR(__xludf.DUMMYFUNCTION("""COMPUTED_VALUE"""),7.56)</f>
        <v>7.56</v>
      </c>
    </row>
    <row r="846">
      <c r="A846" s="4" t="str">
        <f>IFERROR(__xludf.DUMMYFUNCTION("""COMPUTED_VALUE"""),"0711/45")</f>
        <v>0711/45</v>
      </c>
      <c r="B846" s="4" t="str">
        <f>IFERROR(__xludf.DUMMYFUNCTION("""COMPUTED_VALUE"""),"Disco alum. diam.20cm Lim Velocidad 45 Reflex 2")</f>
        <v>Disco alum. diam.20cm Lim Velocidad 45 Reflex 2</v>
      </c>
      <c r="C846" s="4">
        <f>IFERROR(__xludf.DUMMYFUNCTION("""COMPUTED_VALUE"""),7.56)</f>
        <v>7.56</v>
      </c>
    </row>
    <row r="847">
      <c r="A847" s="4" t="str">
        <f>IFERROR(__xludf.DUMMYFUNCTION("""COMPUTED_VALUE"""),"712")</f>
        <v>712</v>
      </c>
      <c r="B847" s="4" t="str">
        <f>IFERROR(__xludf.DUMMYFUNCTION("""COMPUTED_VALUE"""),"Placa Servicio Público 75x150 mm aluminiro Reflex 2")</f>
        <v>Placa Servicio Público 75x150 mm aluminiro Reflex 2</v>
      </c>
      <c r="C847" s="4">
        <f>IFERROR(__xludf.DUMMYFUNCTION("""COMPUTED_VALUE"""),4.08)</f>
        <v>4.08</v>
      </c>
    </row>
    <row r="848">
      <c r="A848" s="4" t="str">
        <f>IFERROR(__xludf.DUMMYFUNCTION("""COMPUTED_VALUE"""),"713")</f>
        <v>713</v>
      </c>
      <c r="B848" s="4" t="str">
        <f>IFERROR(__xludf.DUMMYFUNCTION("""COMPUTED_VALUE"""),"Placa Servicio Público 120x225 mm aluminio Reflex N2")</f>
        <v>Placa Servicio Público 120x225 mm aluminio Reflex N2</v>
      </c>
      <c r="C848" s="4">
        <f>IFERROR(__xludf.DUMMYFUNCTION("""COMPUTED_VALUE"""),6.4799999999999995)</f>
        <v>6.48</v>
      </c>
    </row>
    <row r="849">
      <c r="A849" s="4" t="str">
        <f>IFERROR(__xludf.DUMMYFUNCTION("""COMPUTED_VALUE"""),"714")</f>
        <v>714</v>
      </c>
      <c r="B849" s="4" t="str">
        <f>IFERROR(__xludf.DUMMYFUNCTION("""COMPUTED_VALUE"""),"Señal Transporte Animales Vivos aluminio 30x22 cm")</f>
        <v>Señal Transporte Animales Vivos aluminio 30x22 cm</v>
      </c>
      <c r="C849" s="4">
        <f>IFERROR(__xludf.DUMMYFUNCTION("""COMPUTED_VALUE"""),7.4399999999999995)</f>
        <v>7.44</v>
      </c>
    </row>
    <row r="850">
      <c r="A850" s="4" t="str">
        <f>IFERROR(__xludf.DUMMYFUNCTION("""COMPUTED_VALUE"""),"715")</f>
        <v>715</v>
      </c>
      <c r="B850" s="4" t="str">
        <f>IFERROR(__xludf.DUMMYFUNCTION("""COMPUTED_VALUE"""),"Señal adhesiva de TARA P.M.A. 130x330 mm")</f>
        <v>Señal adhesiva de TARA P.M.A. 130x330 mm</v>
      </c>
      <c r="C850" s="4">
        <f>IFERROR(__xludf.DUMMYFUNCTION("""COMPUTED_VALUE"""),1.92)</f>
        <v>1.92</v>
      </c>
    </row>
    <row r="851">
      <c r="A851" s="4" t="str">
        <f>IFERROR(__xludf.DUMMYFUNCTION("""COMPUTED_VALUE"""),"716")</f>
        <v>716</v>
      </c>
      <c r="B851" s="4" t="str">
        <f>IFERROR(__xludf.DUMMYFUNCTION("""COMPUTED_VALUE"""),"Placa Vehículo Lento 365 mm de lado aluminio Reflex N2")</f>
        <v>Placa Vehículo Lento 365 mm de lado aluminio Reflex N2</v>
      </c>
      <c r="C851" s="4">
        <f>IFERROR(__xludf.DUMMYFUNCTION("""COMPUTED_VALUE"""),20.16)</f>
        <v>20.16</v>
      </c>
    </row>
    <row r="852">
      <c r="A852" s="4" t="str">
        <f>IFERROR(__xludf.DUMMYFUNCTION("""COMPUTED_VALUE"""),"717")</f>
        <v>717</v>
      </c>
      <c r="B852" s="4" t="str">
        <f>IFERROR(__xludf.DUMMYFUNCTION("""COMPUTED_VALUE"""),"Placa R-70 corta 565x200mm vehic. largo (juego2 pzas)")</f>
        <v>Placa R-70 corta 565x200mm vehic. largo (juego2 pzas)</v>
      </c>
      <c r="C852" s="4">
        <f>IFERROR(__xludf.DUMMYFUNCTION("""COMPUTED_VALUE"""),32.64)</f>
        <v>32.64</v>
      </c>
    </row>
    <row r="853">
      <c r="A853" s="4" t="str">
        <f>IFERROR(__xludf.DUMMYFUNCTION("""COMPUTED_VALUE"""),"0717/L")</f>
        <v>0717/L</v>
      </c>
      <c r="B853" s="4" t="str">
        <f>IFERROR(__xludf.DUMMYFUNCTION("""COMPUTED_VALUE"""),"Placa 1130x200mm vehículo Largo Reflex N2 Homol. Europea")</f>
        <v>Placa 1130x200mm vehículo Largo Reflex N2 Homol. Europea</v>
      </c>
      <c r="C853" s="4">
        <f>IFERROR(__xludf.DUMMYFUNCTION("""COMPUTED_VALUE"""),26.88)</f>
        <v>26.88</v>
      </c>
    </row>
    <row r="854">
      <c r="A854" s="4" t="str">
        <f>IFERROR(__xludf.DUMMYFUNCTION("""COMPUTED_VALUE"""),"719")</f>
        <v>719</v>
      </c>
      <c r="B854" s="4" t="str">
        <f>IFERROR(__xludf.DUMMYFUNCTION("""COMPUTED_VALUE"""),"Placa 1ª categ COTO PRIVADO DE CAZA + matric. Troquel.")</f>
        <v>Placa 1ª categ COTO PRIVADO DE CAZA + matric. Troquel.</v>
      </c>
      <c r="C854" s="4">
        <f>IFERROR(__xludf.DUMMYFUNCTION("""COMPUTED_VALUE"""),10.559999999999999)</f>
        <v>10.56</v>
      </c>
    </row>
    <row r="855">
      <c r="A855" s="4" t="str">
        <f>IFERROR(__xludf.DUMMYFUNCTION("""COMPUTED_VALUE"""),"720")</f>
        <v>720</v>
      </c>
      <c r="B855" s="4" t="str">
        <f>IFERROR(__xludf.DUMMYFUNCTION("""COMPUTED_VALUE"""),"Placa 2ª categ. COTO DE CAZA 30X20 cm")</f>
        <v>Placa 2ª categ. COTO DE CAZA 30X20 cm</v>
      </c>
      <c r="C855" s="4">
        <f>IFERROR(__xludf.DUMMYFUNCTION("""COMPUTED_VALUE"""),5.76)</f>
        <v>5.76</v>
      </c>
    </row>
    <row r="856">
      <c r="A856" s="4" t="str">
        <f>IFERROR(__xludf.DUMMYFUNCTION("""COMPUTED_VALUE"""),"721")</f>
        <v>721</v>
      </c>
      <c r="B856" s="4" t="str">
        <f>IFERROR(__xludf.DUMMYFUNCTION("""COMPUTED_VALUE"""),"Placa Nº puerta aluminio 19x14cm azul")</f>
        <v>Placa Nº puerta aluminio 19x14cm azul</v>
      </c>
      <c r="C856" s="4">
        <f>IFERROR(__xludf.DUMMYFUNCTION("""COMPUTED_VALUE"""),3.84)</f>
        <v>3.84</v>
      </c>
    </row>
    <row r="857">
      <c r="A857" s="4" t="str">
        <f>IFERROR(__xludf.DUMMYFUNCTION("""COMPUTED_VALUE"""),"722")</f>
        <v>722</v>
      </c>
      <c r="B857" s="4" t="str">
        <f>IFERROR(__xludf.DUMMYFUNCTION("""COMPUTED_VALUE"""),"Placa V-10 transporte escolar 20x20 Reflex 2 Homologada")</f>
        <v>Placa V-10 transporte escolar 20x20 Reflex 2 Homologada</v>
      </c>
      <c r="C857" s="4">
        <f>IFERROR(__xludf.DUMMYFUNCTION("""COMPUTED_VALUE"""),10.176)</f>
        <v>10.176</v>
      </c>
    </row>
    <row r="858">
      <c r="A858" s="4" t="str">
        <f>IFERROR(__xludf.DUMMYFUNCTION("""COMPUTED_VALUE"""),"726")</f>
        <v>726</v>
      </c>
      <c r="B858" s="4" t="str">
        <f>IFERROR(__xludf.DUMMYFUNCTION("""COMPUTED_VALUE"""),"Bocina neumática a mano")</f>
        <v>Bocina neumática a mano</v>
      </c>
      <c r="C858" s="4">
        <f>IFERROR(__xludf.DUMMYFUNCTION("""COMPUTED_VALUE"""),20.16)</f>
        <v>20.16</v>
      </c>
    </row>
    <row r="859">
      <c r="A859" s="4" t="str">
        <f>IFERROR(__xludf.DUMMYFUNCTION("""COMPUTED_VALUE"""),"727")</f>
        <v>727</v>
      </c>
      <c r="B859" s="4" t="str">
        <f>IFERROR(__xludf.DUMMYFUNCTION("""COMPUTED_VALUE"""),"Pinzas más cable para batería 400 Ah")</f>
        <v>Pinzas más cable para batería 400 Ah</v>
      </c>
      <c r="C859" s="4">
        <f>IFERROR(__xludf.DUMMYFUNCTION("""COMPUTED_VALUE"""),16.32)</f>
        <v>16.32</v>
      </c>
    </row>
    <row r="860">
      <c r="A860" s="4" t="str">
        <f>IFERROR(__xludf.DUMMYFUNCTION("""COMPUTED_VALUE"""),"728")</f>
        <v>728</v>
      </c>
      <c r="B860" s="4" t="str">
        <f>IFERROR(__xludf.DUMMYFUNCTION("""COMPUTED_VALUE"""),"Reductor tensión 24 a 12 v")</f>
        <v>Reductor tensión 24 a 12 v</v>
      </c>
      <c r="C860" s="4">
        <f>IFERROR(__xludf.DUMMYFUNCTION("""COMPUTED_VALUE"""),135.6)</f>
        <v>135.6</v>
      </c>
    </row>
    <row r="861">
      <c r="A861" s="4" t="str">
        <f>IFERROR(__xludf.DUMMYFUNCTION("""COMPUTED_VALUE"""),"730")</f>
        <v>730</v>
      </c>
      <c r="B861" s="4" t="str">
        <f>IFERROR(__xludf.DUMMYFUNCTION("""COMPUTED_VALUE"""),"Pinza negra - 80 Ah")</f>
        <v>Pinza negra - 80 Ah</v>
      </c>
      <c r="C861" s="4">
        <f>IFERROR(__xludf.DUMMYFUNCTION("""COMPUTED_VALUE"""),1.8239999999999998)</f>
        <v>1.824</v>
      </c>
    </row>
    <row r="862">
      <c r="A862" s="4" t="str">
        <f>IFERROR(__xludf.DUMMYFUNCTION("""COMPUTED_VALUE"""),"731")</f>
        <v>731</v>
      </c>
      <c r="B862" s="4" t="str">
        <f>IFERROR(__xludf.DUMMYFUNCTION("""COMPUTED_VALUE"""),"Pinza Roja + 80 Ah")</f>
        <v>Pinza Roja + 80 Ah</v>
      </c>
      <c r="C862" s="4">
        <f>IFERROR(__xludf.DUMMYFUNCTION("""COMPUTED_VALUE"""),1.8239999999999998)</f>
        <v>1.824</v>
      </c>
    </row>
    <row r="863">
      <c r="A863" s="4" t="str">
        <f>IFERROR(__xludf.DUMMYFUNCTION("""COMPUTED_VALUE"""),"732")</f>
        <v>732</v>
      </c>
      <c r="B863" s="4" t="str">
        <f>IFERROR(__xludf.DUMMYFUNCTION("""COMPUTED_VALUE"""),"Pinza Negra - 500 Ah")</f>
        <v>Pinza Negra - 500 Ah</v>
      </c>
      <c r="C863" s="4">
        <f>IFERROR(__xludf.DUMMYFUNCTION("""COMPUTED_VALUE"""),13.92)</f>
        <v>13.92</v>
      </c>
    </row>
    <row r="864">
      <c r="A864" s="4" t="str">
        <f>IFERROR(__xludf.DUMMYFUNCTION("""COMPUTED_VALUE"""),"733")</f>
        <v>733</v>
      </c>
      <c r="B864" s="4" t="str">
        <f>IFERROR(__xludf.DUMMYFUNCTION("""COMPUTED_VALUE"""),"Pinza Roja + 500 Ah")</f>
        <v>Pinza Roja + 500 Ah</v>
      </c>
      <c r="C864" s="4">
        <f>IFERROR(__xludf.DUMMYFUNCTION("""COMPUTED_VALUE"""),13.92)</f>
        <v>13.92</v>
      </c>
    </row>
    <row r="865">
      <c r="A865" s="4" t="str">
        <f>IFERROR(__xludf.DUMMYFUNCTION("""COMPUTED_VALUE"""),"750")</f>
        <v>750</v>
      </c>
      <c r="B865" s="4" t="str">
        <f>IFERROR(__xludf.DUMMYFUNCTION("""COMPUTED_VALUE"""),"Señal plástica 60 cm reflectante triangular para conos")</f>
        <v>Señal plástica 60 cm reflectante triangular para conos</v>
      </c>
      <c r="C865" s="4">
        <f>IFERROR(__xludf.DUMMYFUNCTION("""COMPUTED_VALUE"""),14.351999999999999)</f>
        <v>14.352</v>
      </c>
    </row>
    <row r="866">
      <c r="A866" s="4" t="str">
        <f>IFERROR(__xludf.DUMMYFUNCTION("""COMPUTED_VALUE"""),"751")</f>
        <v>751</v>
      </c>
      <c r="B866" s="4" t="str">
        <f>IFERROR(__xludf.DUMMYFUNCTION("""COMPUTED_VALUE"""),"Señal plástica 60x30 cm reflectante rectangular para conos")</f>
        <v>Señal plástica 60x30 cm reflectante rectangular para conos</v>
      </c>
      <c r="C866" s="4">
        <f>IFERROR(__xludf.DUMMYFUNCTION("""COMPUTED_VALUE"""),14.351999999999999)</f>
        <v>14.352</v>
      </c>
    </row>
    <row r="867">
      <c r="A867" s="4" t="str">
        <f>IFERROR(__xludf.DUMMYFUNCTION("""COMPUTED_VALUE"""),"752")</f>
        <v>752</v>
      </c>
      <c r="B867" s="4" t="str">
        <f>IFERROR(__xludf.DUMMYFUNCTION("""COMPUTED_VALUE"""),"Señal plástica 60 cm reflectante circular para conos")</f>
        <v>Señal plástica 60 cm reflectante circular para conos</v>
      </c>
      <c r="C867" s="4">
        <f>IFERROR(__xludf.DUMMYFUNCTION("""COMPUTED_VALUE"""),14.351999999999999)</f>
        <v>14.352</v>
      </c>
    </row>
    <row r="868">
      <c r="A868" s="4" t="str">
        <f>IFERROR(__xludf.DUMMYFUNCTION("""COMPUTED_VALUE"""),"753")</f>
        <v>753</v>
      </c>
      <c r="B868" s="4" t="str">
        <f>IFERROR(__xludf.DUMMYFUNCTION("""COMPUTED_VALUE"""),"Señal personalizada con soporte pared 40x30 cm")</f>
        <v>Señal personalizada con soporte pared 40x30 cm</v>
      </c>
      <c r="C868" s="4">
        <f>IFERROR(__xludf.DUMMYFUNCTION("""COMPUTED_VALUE"""),18.24)</f>
        <v>18.24</v>
      </c>
    </row>
    <row r="869">
      <c r="A869" s="4" t="str">
        <f>IFERROR(__xludf.DUMMYFUNCTION("""COMPUTED_VALUE"""),"754")</f>
        <v>754</v>
      </c>
      <c r="B869" s="4" t="str">
        <f>IFERROR(__xludf.DUMMYFUNCTION("""COMPUTED_VALUE"""),"Señal personalizada c/soporte suelo 40x60 cm 3 caras")</f>
        <v>Señal personalizada c/soporte suelo 40x60 cm 3 caras</v>
      </c>
      <c r="C869" s="4">
        <f>IFERROR(__xludf.DUMMYFUNCTION("""COMPUTED_VALUE"""),92.16)</f>
        <v>92.16</v>
      </c>
    </row>
    <row r="870">
      <c r="A870" s="4" t="str">
        <f>IFERROR(__xludf.DUMMYFUNCTION("""COMPUTED_VALUE"""),"765")</f>
        <v>765</v>
      </c>
      <c r="B870" s="4" t="str">
        <f>IFERROR(__xludf.DUMMYFUNCTION("""COMPUTED_VALUE"""),"Aparca Patinetes galvanizado 10p 1 cara")</f>
        <v>Aparca Patinetes galvanizado 10p 1 cara</v>
      </c>
      <c r="C870" s="4">
        <f>IFERROR(__xludf.DUMMYFUNCTION("""COMPUTED_VALUE"""),132.096)</f>
        <v>132.096</v>
      </c>
    </row>
    <row r="871">
      <c r="A871" s="4" t="str">
        <f>IFERROR(__xludf.DUMMYFUNCTION("""COMPUTED_VALUE"""),"766")</f>
        <v>766</v>
      </c>
      <c r="B871" s="4" t="str">
        <f>IFERROR(__xludf.DUMMYFUNCTION("""COMPUTED_VALUE"""),"Aparca Patinetes galvanizado 20p 2 caras")</f>
        <v>Aparca Patinetes galvanizado 20p 2 caras</v>
      </c>
      <c r="C871" s="4">
        <f>IFERROR(__xludf.DUMMYFUNCTION("""COMPUTED_VALUE"""),201.84)</f>
        <v>201.84</v>
      </c>
    </row>
    <row r="872">
      <c r="A872" s="4" t="str">
        <f>IFERROR(__xludf.DUMMYFUNCTION("""COMPUTED_VALUE"""),"768")</f>
        <v>768</v>
      </c>
      <c r="B872" s="4" t="str">
        <f>IFERROR(__xludf.DUMMYFUNCTION("""COMPUTED_VALUE"""),"Aparca Bicis atornillable pared 1p")</f>
        <v>Aparca Bicis atornillable pared 1p</v>
      </c>
      <c r="C872" s="4">
        <f>IFERROR(__xludf.DUMMYFUNCTION("""COMPUTED_VALUE"""),24.96)</f>
        <v>24.96</v>
      </c>
    </row>
    <row r="873">
      <c r="A873" s="4" t="str">
        <f>IFERROR(__xludf.DUMMYFUNCTION("""COMPUTED_VALUE"""),"769")</f>
        <v>769</v>
      </c>
      <c r="B873" s="4" t="str">
        <f>IFERROR(__xludf.DUMMYFUNCTION("""COMPUTED_VALUE"""),"Aparca Bicis atornillable pared 2p")</f>
        <v>Aparca Bicis atornillable pared 2p</v>
      </c>
      <c r="C873" s="4">
        <f>IFERROR(__xludf.DUMMYFUNCTION("""COMPUTED_VALUE"""),42.239999999999995)</f>
        <v>42.24</v>
      </c>
    </row>
    <row r="874">
      <c r="A874" s="4" t="str">
        <f>IFERROR(__xludf.DUMMYFUNCTION("""COMPUTED_VALUE"""),"770")</f>
        <v>770</v>
      </c>
      <c r="B874" s="4" t="str">
        <f>IFERROR(__xludf.DUMMYFUNCTION("""COMPUTED_VALUE"""),"Aparca Bicis atornillable pared 5p")</f>
        <v>Aparca Bicis atornillable pared 5p</v>
      </c>
      <c r="C874" s="4">
        <f>IFERROR(__xludf.DUMMYFUNCTION("""COMPUTED_VALUE"""),88.32)</f>
        <v>88.32</v>
      </c>
    </row>
    <row r="875">
      <c r="A875" s="4" t="str">
        <f>IFERROR(__xludf.DUMMYFUNCTION("""COMPUTED_VALUE"""),"771")</f>
        <v>771</v>
      </c>
      <c r="B875" s="4" t="str">
        <f>IFERROR(__xludf.DUMMYFUNCTION("""COMPUTED_VALUE"""),"Pie soporte atornillable 80x40 mm")</f>
        <v>Pie soporte atornillable 80x40 mm</v>
      </c>
      <c r="C875" s="4">
        <f>IFERROR(__xludf.DUMMYFUNCTION("""COMPUTED_VALUE"""),27.84)</f>
        <v>27.84</v>
      </c>
    </row>
    <row r="876">
      <c r="A876" s="4" t="str">
        <f>IFERROR(__xludf.DUMMYFUNCTION("""COMPUTED_VALUE"""),"772")</f>
        <v>772</v>
      </c>
      <c r="B876" s="4" t="str">
        <f>IFERROR(__xludf.DUMMYFUNCTION("""COMPUTED_VALUE"""),"Pie soporte atornillable cuadrado 40 mm")</f>
        <v>Pie soporte atornillable cuadrado 40 mm</v>
      </c>
      <c r="C876" s="4">
        <f>IFERROR(__xludf.DUMMYFUNCTION("""COMPUTED_VALUE"""),27.84)</f>
        <v>27.84</v>
      </c>
    </row>
    <row r="877">
      <c r="A877" s="4" t="str">
        <f>IFERROR(__xludf.DUMMYFUNCTION("""COMPUTED_VALUE"""),"773")</f>
        <v>773</v>
      </c>
      <c r="B877" s="4" t="str">
        <f>IFERROR(__xludf.DUMMYFUNCTION("""COMPUTED_VALUE"""),"Pie soporte atornillable 50 mm circular")</f>
        <v>Pie soporte atornillable 50 mm circular</v>
      </c>
      <c r="C877" s="4">
        <f>IFERROR(__xludf.DUMMYFUNCTION("""COMPUTED_VALUE"""),27.84)</f>
        <v>27.84</v>
      </c>
    </row>
    <row r="878">
      <c r="A878" s="4" t="str">
        <f>IFERROR(__xludf.DUMMYFUNCTION("""COMPUTED_VALUE"""),"774")</f>
        <v>774</v>
      </c>
      <c r="B878" s="4" t="str">
        <f>IFERROR(__xludf.DUMMYFUNCTION("""COMPUTED_VALUE"""),"Pie soporte atornillable 60 mm circular")</f>
        <v>Pie soporte atornillable 60 mm circular</v>
      </c>
      <c r="C878" s="4">
        <f>IFERROR(__xludf.DUMMYFUNCTION("""COMPUTED_VALUE"""),28.799999999999997)</f>
        <v>28.8</v>
      </c>
    </row>
    <row r="879">
      <c r="A879" s="4" t="str">
        <f>IFERROR(__xludf.DUMMYFUNCTION("""COMPUTED_VALUE"""),"775")</f>
        <v>775</v>
      </c>
      <c r="B879" s="4" t="str">
        <f>IFERROR(__xludf.DUMMYFUNCTION("""COMPUTED_VALUE"""),"Pie soporte atornillable 70 mm circular")</f>
        <v>Pie soporte atornillable 70 mm circular</v>
      </c>
      <c r="C879" s="4">
        <f>IFERROR(__xludf.DUMMYFUNCTION("""COMPUTED_VALUE"""),29.759999999999998)</f>
        <v>29.76</v>
      </c>
    </row>
    <row r="880">
      <c r="A880" s="4" t="str">
        <f>IFERROR(__xludf.DUMMYFUNCTION("""COMPUTED_VALUE"""),"776")</f>
        <v>776</v>
      </c>
      <c r="B880" s="4" t="str">
        <f>IFERROR(__xludf.DUMMYFUNCTION("""COMPUTED_VALUE"""),"Poste 40x40x1.5 mm galva 1.5 m")</f>
        <v>Poste 40x40x1.5 mm galva 1.5 m</v>
      </c>
      <c r="C880" s="4">
        <f>IFERROR(__xludf.DUMMYFUNCTION("""COMPUTED_VALUE"""),10.559999999999999)</f>
        <v>10.56</v>
      </c>
    </row>
    <row r="881">
      <c r="A881" s="4" t="str">
        <f>IFERROR(__xludf.DUMMYFUNCTION("""COMPUTED_VALUE"""),"777")</f>
        <v>777</v>
      </c>
      <c r="B881" s="4" t="str">
        <f>IFERROR(__xludf.DUMMYFUNCTION("""COMPUTED_VALUE"""),"Cruceta para poste 40x40 mm")</f>
        <v>Cruceta para poste 40x40 mm</v>
      </c>
      <c r="C881" s="4">
        <f>IFERROR(__xludf.DUMMYFUNCTION("""COMPUTED_VALUE"""),10.368)</f>
        <v>10.368</v>
      </c>
    </row>
    <row r="882">
      <c r="A882" s="4" t="str">
        <f>IFERROR(__xludf.DUMMYFUNCTION("""COMPUTED_VALUE"""),"778")</f>
        <v>778</v>
      </c>
      <c r="B882" s="4" t="str">
        <f>IFERROR(__xludf.DUMMYFUNCTION("""COMPUTED_VALUE"""),"Aparca Patinetes gavanizado 10p 2 caras")</f>
        <v>Aparca Patinetes gavanizado 10p 2 caras</v>
      </c>
      <c r="C882" s="4">
        <f>IFERROR(__xludf.DUMMYFUNCTION("""COMPUTED_VALUE"""),184.79999999999998)</f>
        <v>184.8</v>
      </c>
    </row>
    <row r="883">
      <c r="A883" s="4" t="str">
        <f>IFERROR(__xludf.DUMMYFUNCTION("""COMPUTED_VALUE"""),"779")</f>
        <v>779</v>
      </c>
      <c r="B883" s="4" t="str">
        <f>IFERROR(__xludf.DUMMYFUNCTION("""COMPUTED_VALUE"""),"Aparca Patinetes galvanizado 5p 1 cara")</f>
        <v>Aparca Patinetes galvanizado 5p 1 cara</v>
      </c>
      <c r="C883" s="4">
        <f>IFERROR(__xludf.DUMMYFUNCTION("""COMPUTED_VALUE"""),121.344)</f>
        <v>121.344</v>
      </c>
    </row>
    <row r="884">
      <c r="A884" s="4" t="str">
        <f>IFERROR(__xludf.DUMMYFUNCTION("""COMPUTED_VALUE"""),"780")</f>
        <v>780</v>
      </c>
      <c r="B884" s="4" t="str">
        <f>IFERROR(__xludf.DUMMYFUNCTION("""COMPUTED_VALUE"""),"Tope estantería metálica mod. A")</f>
        <v>Tope estantería metálica mod. A</v>
      </c>
      <c r="C884" s="4">
        <f>IFERROR(__xludf.DUMMYFUNCTION("""COMPUTED_VALUE"""),17.28)</f>
        <v>17.28</v>
      </c>
    </row>
    <row r="885">
      <c r="A885" s="4" t="str">
        <f>IFERROR(__xludf.DUMMYFUNCTION("""COMPUTED_VALUE"""),"781")</f>
        <v>781</v>
      </c>
      <c r="B885" s="4" t="str">
        <f>IFERROR(__xludf.DUMMYFUNCTION("""COMPUTED_VALUE"""),"Tope estantería metálica mod. B")</f>
        <v>Tope estantería metálica mod. B</v>
      </c>
      <c r="C885" s="4">
        <f>IFERROR(__xludf.DUMMYFUNCTION("""COMPUTED_VALUE"""),21.599999999999998)</f>
        <v>21.6</v>
      </c>
    </row>
    <row r="886">
      <c r="A886" s="4" t="str">
        <f>IFERROR(__xludf.DUMMYFUNCTION("""COMPUTED_VALUE"""),"782")</f>
        <v>782</v>
      </c>
      <c r="B886" s="4" t="str">
        <f>IFERROR(__xludf.DUMMYFUNCTION("""COMPUTED_VALUE"""),"Film manual transparente Rec. Eco 500/1,35/23MY (600-150)")</f>
        <v>Film manual transparente Rec. Eco 500/1,35/23MY (600-150)</v>
      </c>
      <c r="C886" s="4">
        <f>IFERROR(__xludf.DUMMYFUNCTION("""COMPUTED_VALUE"""),3.264)</f>
        <v>3.264</v>
      </c>
    </row>
    <row r="887">
      <c r="A887" s="4" t="str">
        <f>IFERROR(__xludf.DUMMYFUNCTION("""COMPUTED_VALUE"""),"783")</f>
        <v>783</v>
      </c>
      <c r="B887" s="4" t="str">
        <f>IFERROR(__xludf.DUMMYFUNCTION("""COMPUTED_VALUE"""),"Film manual negro Opaco Rec. Eco 500/1,35/23MY (600-150)")</f>
        <v>Film manual negro Opaco Rec. Eco 500/1,35/23MY (600-150)</v>
      </c>
      <c r="C887" s="4">
        <f>IFERROR(__xludf.DUMMYFUNCTION("""COMPUTED_VALUE"""),3.7439999999999998)</f>
        <v>3.744</v>
      </c>
    </row>
    <row r="888">
      <c r="A888" s="4" t="str">
        <f>IFERROR(__xludf.DUMMYFUNCTION("""COMPUTED_VALUE"""),"784")</f>
        <v>784</v>
      </c>
      <c r="B888" s="4" t="str">
        <f>IFERROR(__xludf.DUMMYFUNCTION("""COMPUTED_VALUE"""),"Cinta adhesiva 125m PPAC Transp 48 mm")</f>
        <v>Cinta adhesiva 125m PPAC Transp 48 mm</v>
      </c>
      <c r="C888" s="4">
        <f>IFERROR(__xludf.DUMMYFUNCTION("""COMPUTED_VALUE"""),1.152)</f>
        <v>1.152</v>
      </c>
    </row>
    <row r="889">
      <c r="A889" s="4" t="str">
        <f>IFERROR(__xludf.DUMMYFUNCTION("""COMPUTED_VALUE"""),"800")</f>
        <v>800</v>
      </c>
      <c r="B889" s="4" t="str">
        <f>IFERROR(__xludf.DUMMYFUNCTION("""COMPUTED_VALUE"""),"Adhesivo 100 mm Materias y objetos explosivos A")</f>
        <v>Adhesivo 100 mm Materias y objetos explosivos A</v>
      </c>
      <c r="C889" s="4">
        <f>IFERROR(__xludf.DUMMYFUNCTION("""COMPUTED_VALUE"""),0.576)</f>
        <v>0.576</v>
      </c>
    </row>
    <row r="890">
      <c r="A890" s="4" t="str">
        <f>IFERROR(__xludf.DUMMYFUNCTION("""COMPUTED_VALUE"""),"0800A")</f>
        <v>0800A</v>
      </c>
      <c r="B890" s="4" t="str">
        <f>IFERROR(__xludf.DUMMYFUNCTION("""COMPUTED_VALUE"""),"Adhesivo 300 mm Materias y objetos explosivos A")</f>
        <v>Adhesivo 300 mm Materias y objetos explosivos A</v>
      </c>
      <c r="C890" s="4">
        <f>IFERROR(__xludf.DUMMYFUNCTION("""COMPUTED_VALUE"""),1.536)</f>
        <v>1.536</v>
      </c>
    </row>
    <row r="891">
      <c r="A891" s="4" t="str">
        <f>IFERROR(__xludf.DUMMYFUNCTION("""COMPUTED_VALUE"""),"801")</f>
        <v>801</v>
      </c>
      <c r="B891" s="4" t="str">
        <f>IFERROR(__xludf.DUMMYFUNCTION("""COMPUTED_VALUE"""),"Adhesivo 100 mm Materias y objetos explosivos 1.4")</f>
        <v>Adhesivo 100 mm Materias y objetos explosivos 1.4</v>
      </c>
      <c r="C891" s="4">
        <f>IFERROR(__xludf.DUMMYFUNCTION("""COMPUTED_VALUE"""),0.576)</f>
        <v>0.576</v>
      </c>
    </row>
    <row r="892">
      <c r="A892" s="4" t="str">
        <f>IFERROR(__xludf.DUMMYFUNCTION("""COMPUTED_VALUE"""),"0801A")</f>
        <v>0801A</v>
      </c>
      <c r="B892" s="4" t="str">
        <f>IFERROR(__xludf.DUMMYFUNCTION("""COMPUTED_VALUE"""),"Adhesivo 300 mm Materias y objetos explosivos 1.4")</f>
        <v>Adhesivo 300 mm Materias y objetos explosivos 1.4</v>
      </c>
      <c r="C892" s="4">
        <f>IFERROR(__xludf.DUMMYFUNCTION("""COMPUTED_VALUE"""),1.536)</f>
        <v>1.536</v>
      </c>
    </row>
    <row r="893">
      <c r="A893" s="4" t="str">
        <f>IFERROR(__xludf.DUMMYFUNCTION("""COMPUTED_VALUE"""),"802")</f>
        <v>802</v>
      </c>
      <c r="B893" s="4" t="str">
        <f>IFERROR(__xludf.DUMMYFUNCTION("""COMPUTED_VALUE"""),"Adhesivo 100 mm Materias y objetos explosivos 1.5")</f>
        <v>Adhesivo 100 mm Materias y objetos explosivos 1.5</v>
      </c>
      <c r="C893" s="4">
        <f>IFERROR(__xludf.DUMMYFUNCTION("""COMPUTED_VALUE"""),0.576)</f>
        <v>0.576</v>
      </c>
    </row>
    <row r="894">
      <c r="A894" s="4" t="str">
        <f>IFERROR(__xludf.DUMMYFUNCTION("""COMPUTED_VALUE"""),"0802A")</f>
        <v>0802A</v>
      </c>
      <c r="B894" s="4" t="str">
        <f>IFERROR(__xludf.DUMMYFUNCTION("""COMPUTED_VALUE"""),"Adhesivo 300 mm Materias y objetos explosivos 1.5")</f>
        <v>Adhesivo 300 mm Materias y objetos explosivos 1.5</v>
      </c>
      <c r="C894" s="4">
        <f>IFERROR(__xludf.DUMMYFUNCTION("""COMPUTED_VALUE"""),1.536)</f>
        <v>1.536</v>
      </c>
    </row>
    <row r="895">
      <c r="A895" s="4" t="str">
        <f>IFERROR(__xludf.DUMMYFUNCTION("""COMPUTED_VALUE"""),"803")</f>
        <v>803</v>
      </c>
      <c r="B895" s="4" t="str">
        <f>IFERROR(__xludf.DUMMYFUNCTION("""COMPUTED_VALUE"""),"Adhesivo 100 mm Materias y objetos explosivos 1.6")</f>
        <v>Adhesivo 100 mm Materias y objetos explosivos 1.6</v>
      </c>
      <c r="C895" s="4">
        <f>IFERROR(__xludf.DUMMYFUNCTION("""COMPUTED_VALUE"""),0.576)</f>
        <v>0.576</v>
      </c>
    </row>
    <row r="896">
      <c r="A896" s="4" t="str">
        <f>IFERROR(__xludf.DUMMYFUNCTION("""COMPUTED_VALUE"""),"0803A")</f>
        <v>0803A</v>
      </c>
      <c r="B896" s="4" t="str">
        <f>IFERROR(__xludf.DUMMYFUNCTION("""COMPUTED_VALUE"""),"Adhesivo 300 mm Materias y objetos explosivos 1.6")</f>
        <v>Adhesivo 300 mm Materias y objetos explosivos 1.6</v>
      </c>
      <c r="C896" s="4">
        <f>IFERROR(__xludf.DUMMYFUNCTION("""COMPUTED_VALUE"""),1.536)</f>
        <v>1.536</v>
      </c>
    </row>
    <row r="897">
      <c r="A897" s="4" t="str">
        <f>IFERROR(__xludf.DUMMYFUNCTION("""COMPUTED_VALUE"""),"805")</f>
        <v>805</v>
      </c>
      <c r="B897" s="4" t="str">
        <f>IFERROR(__xludf.DUMMYFUNCTION("""COMPUTED_VALUE"""),"Adhesivo 100 mm Gases Tóxicos")</f>
        <v>Adhesivo 100 mm Gases Tóxicos</v>
      </c>
      <c r="C897" s="4">
        <f>IFERROR(__xludf.DUMMYFUNCTION("""COMPUTED_VALUE"""),0.576)</f>
        <v>0.576</v>
      </c>
    </row>
    <row r="898">
      <c r="A898" s="4" t="str">
        <f>IFERROR(__xludf.DUMMYFUNCTION("""COMPUTED_VALUE"""),"0805A")</f>
        <v>0805A</v>
      </c>
      <c r="B898" s="4" t="str">
        <f>IFERROR(__xludf.DUMMYFUNCTION("""COMPUTED_VALUE"""),"Adhesivo 300 mm Gases Tóxicos")</f>
        <v>Adhesivo 300 mm Gases Tóxicos</v>
      </c>
      <c r="C898" s="4">
        <f>IFERROR(__xludf.DUMMYFUNCTION("""COMPUTED_VALUE"""),1.536)</f>
        <v>1.536</v>
      </c>
    </row>
    <row r="899">
      <c r="A899" s="4" t="str">
        <f>IFERROR(__xludf.DUMMYFUNCTION("""COMPUTED_VALUE"""),"806")</f>
        <v>806</v>
      </c>
      <c r="B899" s="4" t="str">
        <f>IFERROR(__xludf.DUMMYFUNCTION("""COMPUTED_VALUE"""),"Adhesivo 100 mm gases inflamables A")</f>
        <v>Adhesivo 100 mm gases inflamables A</v>
      </c>
      <c r="C899" s="4">
        <f>IFERROR(__xludf.DUMMYFUNCTION("""COMPUTED_VALUE"""),0.576)</f>
        <v>0.576</v>
      </c>
    </row>
    <row r="900">
      <c r="A900" s="4" t="str">
        <f>IFERROR(__xludf.DUMMYFUNCTION("""COMPUTED_VALUE"""),"0806A")</f>
        <v>0806A</v>
      </c>
      <c r="B900" s="4" t="str">
        <f>IFERROR(__xludf.DUMMYFUNCTION("""COMPUTED_VALUE"""),"Adhesivo 300 mm gases inflamables A")</f>
        <v>Adhesivo 300 mm gases inflamables A</v>
      </c>
      <c r="C900" s="4">
        <f>IFERROR(__xludf.DUMMYFUNCTION("""COMPUTED_VALUE"""),1.536)</f>
        <v>1.536</v>
      </c>
    </row>
    <row r="901">
      <c r="A901" s="4" t="str">
        <f>IFERROR(__xludf.DUMMYFUNCTION("""COMPUTED_VALUE"""),"807")</f>
        <v>807</v>
      </c>
      <c r="B901" s="4" t="str">
        <f>IFERROR(__xludf.DUMMYFUNCTION("""COMPUTED_VALUE"""),"Adhesivo 100 mm gases inflamables B")</f>
        <v>Adhesivo 100 mm gases inflamables B</v>
      </c>
      <c r="C901" s="4">
        <f>IFERROR(__xludf.DUMMYFUNCTION("""COMPUTED_VALUE"""),0.576)</f>
        <v>0.576</v>
      </c>
    </row>
    <row r="902">
      <c r="A902" s="4" t="str">
        <f>IFERROR(__xludf.DUMMYFUNCTION("""COMPUTED_VALUE"""),"0807A")</f>
        <v>0807A</v>
      </c>
      <c r="B902" s="4" t="str">
        <f>IFERROR(__xludf.DUMMYFUNCTION("""COMPUTED_VALUE"""),"Adhesivo 300 mm gases inflamables B")</f>
        <v>Adhesivo 300 mm gases inflamables B</v>
      </c>
      <c r="C902" s="4">
        <f>IFERROR(__xludf.DUMMYFUNCTION("""COMPUTED_VALUE"""),1.536)</f>
        <v>1.536</v>
      </c>
    </row>
    <row r="903">
      <c r="A903" s="4" t="str">
        <f>IFERROR(__xludf.DUMMYFUNCTION("""COMPUTED_VALUE"""),"808")</f>
        <v>808</v>
      </c>
      <c r="B903" s="4" t="str">
        <f>IFERROR(__xludf.DUMMYFUNCTION("""COMPUTED_VALUE"""),"Adhesivo 100 mm gases no inflamables A")</f>
        <v>Adhesivo 100 mm gases no inflamables A</v>
      </c>
      <c r="C903" s="4">
        <f>IFERROR(__xludf.DUMMYFUNCTION("""COMPUTED_VALUE"""),0.576)</f>
        <v>0.576</v>
      </c>
    </row>
    <row r="904">
      <c r="A904" s="4" t="str">
        <f>IFERROR(__xludf.DUMMYFUNCTION("""COMPUTED_VALUE"""),"0808A")</f>
        <v>0808A</v>
      </c>
      <c r="B904" s="4" t="str">
        <f>IFERROR(__xludf.DUMMYFUNCTION("""COMPUTED_VALUE"""),"Adhesivo 300 mm gases no inflamables A")</f>
        <v>Adhesivo 300 mm gases no inflamables A</v>
      </c>
      <c r="C904" s="4">
        <f>IFERROR(__xludf.DUMMYFUNCTION("""COMPUTED_VALUE"""),1.536)</f>
        <v>1.536</v>
      </c>
    </row>
    <row r="905">
      <c r="A905" s="4" t="str">
        <f>IFERROR(__xludf.DUMMYFUNCTION("""COMPUTED_VALUE"""),"809")</f>
        <v>809</v>
      </c>
      <c r="B905" s="4" t="str">
        <f>IFERROR(__xludf.DUMMYFUNCTION("""COMPUTED_VALUE"""),"Adhesivo 100 mm gases no inflamables B")</f>
        <v>Adhesivo 100 mm gases no inflamables B</v>
      </c>
      <c r="C905" s="4">
        <f>IFERROR(__xludf.DUMMYFUNCTION("""COMPUTED_VALUE"""),0.576)</f>
        <v>0.576</v>
      </c>
    </row>
    <row r="906">
      <c r="A906" s="4" t="str">
        <f>IFERROR(__xludf.DUMMYFUNCTION("""COMPUTED_VALUE"""),"0809A")</f>
        <v>0809A</v>
      </c>
      <c r="B906" s="4" t="str">
        <f>IFERROR(__xludf.DUMMYFUNCTION("""COMPUTED_VALUE"""),"Adhesivo 300 mm gases no inflamables B")</f>
        <v>Adhesivo 300 mm gases no inflamables B</v>
      </c>
      <c r="C906" s="4">
        <f>IFERROR(__xludf.DUMMYFUNCTION("""COMPUTED_VALUE"""),1.536)</f>
        <v>1.536</v>
      </c>
    </row>
    <row r="907">
      <c r="A907" s="4" t="str">
        <f>IFERROR(__xludf.DUMMYFUNCTION("""COMPUTED_VALUE"""),"810")</f>
        <v>810</v>
      </c>
      <c r="B907" s="4" t="str">
        <f>IFERROR(__xludf.DUMMYFUNCTION("""COMPUTED_VALUE"""),"Lona 100x70 cm multicartel c/ ojales")</f>
        <v>Lona 100x70 cm multicartel c/ ojales</v>
      </c>
      <c r="C907" s="4">
        <f>IFERROR(__xludf.DUMMYFUNCTION("""COMPUTED_VALUE"""),14.111999999999998)</f>
        <v>14.112</v>
      </c>
    </row>
    <row r="908">
      <c r="A908" s="4" t="str">
        <f>IFERROR(__xludf.DUMMYFUNCTION("""COMPUTED_VALUE"""),"811")</f>
        <v>811</v>
      </c>
      <c r="B908" s="4" t="str">
        <f>IFERROR(__xludf.DUMMYFUNCTION("""COMPUTED_VALUE"""),"Lona 50x70 cm multicartel c/ ojales")</f>
        <v>Lona 50x70 cm multicartel c/ ojales</v>
      </c>
      <c r="C908" s="4">
        <f>IFERROR(__xludf.DUMMYFUNCTION("""COMPUTED_VALUE"""),8.064)</f>
        <v>8.064</v>
      </c>
    </row>
    <row r="909">
      <c r="A909" s="4" t="str">
        <f>IFERROR(__xludf.DUMMYFUNCTION("""COMPUTED_VALUE"""),"812")</f>
        <v>812</v>
      </c>
      <c r="B909" s="4" t="str">
        <f>IFERROR(__xludf.DUMMYFUNCTION("""COMPUTED_VALUE"""),"Adhesivo 100 mm líquidos inflamables A")</f>
        <v>Adhesivo 100 mm líquidos inflamables A</v>
      </c>
      <c r="C909" s="4">
        <f>IFERROR(__xludf.DUMMYFUNCTION("""COMPUTED_VALUE"""),0.576)</f>
        <v>0.576</v>
      </c>
    </row>
    <row r="910">
      <c r="A910" s="4" t="str">
        <f>IFERROR(__xludf.DUMMYFUNCTION("""COMPUTED_VALUE"""),"0812A")</f>
        <v>0812A</v>
      </c>
      <c r="B910" s="4" t="str">
        <f>IFERROR(__xludf.DUMMYFUNCTION("""COMPUTED_VALUE"""),"Adhesivo 300 mm líquidos inflamables A")</f>
        <v>Adhesivo 300 mm líquidos inflamables A</v>
      </c>
      <c r="C910" s="4">
        <f>IFERROR(__xludf.DUMMYFUNCTION("""COMPUTED_VALUE"""),1.536)</f>
        <v>1.536</v>
      </c>
    </row>
    <row r="911">
      <c r="A911" s="4" t="str">
        <f>IFERROR(__xludf.DUMMYFUNCTION("""COMPUTED_VALUE"""),"813")</f>
        <v>813</v>
      </c>
      <c r="B911" s="4" t="str">
        <f>IFERROR(__xludf.DUMMYFUNCTION("""COMPUTED_VALUE"""),"Adhesivo 100 mm líquidos inflamables B")</f>
        <v>Adhesivo 100 mm líquidos inflamables B</v>
      </c>
      <c r="C911" s="4">
        <f>IFERROR(__xludf.DUMMYFUNCTION("""COMPUTED_VALUE"""),0.576)</f>
        <v>0.576</v>
      </c>
    </row>
    <row r="912">
      <c r="A912" s="4" t="str">
        <f>IFERROR(__xludf.DUMMYFUNCTION("""COMPUTED_VALUE"""),"0813A")</f>
        <v>0813A</v>
      </c>
      <c r="B912" s="4" t="str">
        <f>IFERROR(__xludf.DUMMYFUNCTION("""COMPUTED_VALUE"""),"Adhesivo 300 mm líquidos inflamables B")</f>
        <v>Adhesivo 300 mm líquidos inflamables B</v>
      </c>
      <c r="C912" s="4">
        <f>IFERROR(__xludf.DUMMYFUNCTION("""COMPUTED_VALUE"""),1.536)</f>
        <v>1.536</v>
      </c>
    </row>
    <row r="913">
      <c r="A913" s="4" t="str">
        <f>IFERROR(__xludf.DUMMYFUNCTION("""COMPUTED_VALUE"""),"814")</f>
        <v>814</v>
      </c>
      <c r="B913" s="4" t="str">
        <f>IFERROR(__xludf.DUMMYFUNCTION("""COMPUTED_VALUE"""),"Adhesivo 100 mm mat. sólidas inflamables")</f>
        <v>Adhesivo 100 mm mat. sólidas inflamables</v>
      </c>
      <c r="C913" s="4">
        <f>IFERROR(__xludf.DUMMYFUNCTION("""COMPUTED_VALUE"""),0.576)</f>
        <v>0.576</v>
      </c>
    </row>
    <row r="914">
      <c r="A914" s="4" t="str">
        <f>IFERROR(__xludf.DUMMYFUNCTION("""COMPUTED_VALUE"""),"0814A")</f>
        <v>0814A</v>
      </c>
      <c r="B914" s="4" t="str">
        <f>IFERROR(__xludf.DUMMYFUNCTION("""COMPUTED_VALUE"""),"Adhesivo 300 mm mat. sólidas inflamables")</f>
        <v>Adhesivo 300 mm mat. sólidas inflamables</v>
      </c>
      <c r="C914" s="4">
        <f>IFERROR(__xludf.DUMMYFUNCTION("""COMPUTED_VALUE"""),1.536)</f>
        <v>1.536</v>
      </c>
    </row>
    <row r="915">
      <c r="A915" s="4" t="str">
        <f>IFERROR(__xludf.DUMMYFUNCTION("""COMPUTED_VALUE"""),"815")</f>
        <v>815</v>
      </c>
      <c r="B915" s="4" t="str">
        <f>IFERROR(__xludf.DUMMYFUNCTION("""COMPUTED_VALUE"""),"Adhesivo 100 mm materias expontáneamente inflamables")</f>
        <v>Adhesivo 100 mm materias expontáneamente inflamables</v>
      </c>
      <c r="C915" s="4">
        <f>IFERROR(__xludf.DUMMYFUNCTION("""COMPUTED_VALUE"""),0.576)</f>
        <v>0.576</v>
      </c>
    </row>
    <row r="916">
      <c r="A916" s="4" t="str">
        <f>IFERROR(__xludf.DUMMYFUNCTION("""COMPUTED_VALUE"""),"0815A")</f>
        <v>0815A</v>
      </c>
      <c r="B916" s="4" t="str">
        <f>IFERROR(__xludf.DUMMYFUNCTION("""COMPUTED_VALUE"""),"Adhesivo 300 mm materias expontáneamente inflamables")</f>
        <v>Adhesivo 300 mm materias expontáneamente inflamables</v>
      </c>
      <c r="C916" s="4">
        <f>IFERROR(__xludf.DUMMYFUNCTION("""COMPUTED_VALUE"""),1.536)</f>
        <v>1.536</v>
      </c>
    </row>
    <row r="917">
      <c r="A917" s="4" t="str">
        <f>IFERROR(__xludf.DUMMYFUNCTION("""COMPUTED_VALUE"""),"816")</f>
        <v>816</v>
      </c>
      <c r="B917" s="4" t="str">
        <f>IFERROR(__xludf.DUMMYFUNCTION("""COMPUTED_VALUE"""),"Adhesivo 100 mm materias contacto agua gases inflamables A")</f>
        <v>Adhesivo 100 mm materias contacto agua gases inflamables A</v>
      </c>
      <c r="C917" s="4">
        <f>IFERROR(__xludf.DUMMYFUNCTION("""COMPUTED_VALUE"""),0.576)</f>
        <v>0.576</v>
      </c>
    </row>
    <row r="918">
      <c r="A918" s="4" t="str">
        <f>IFERROR(__xludf.DUMMYFUNCTION("""COMPUTED_VALUE"""),"0816A")</f>
        <v>0816A</v>
      </c>
      <c r="B918" s="4" t="str">
        <f>IFERROR(__xludf.DUMMYFUNCTION("""COMPUTED_VALUE"""),"Adhesivo 300 mm materias contacto agua gases inflamables A")</f>
        <v>Adhesivo 300 mm materias contacto agua gases inflamables A</v>
      </c>
      <c r="C918" s="4">
        <f>IFERROR(__xludf.DUMMYFUNCTION("""COMPUTED_VALUE"""),1.536)</f>
        <v>1.536</v>
      </c>
    </row>
    <row r="919">
      <c r="A919" s="4" t="str">
        <f>IFERROR(__xludf.DUMMYFUNCTION("""COMPUTED_VALUE"""),"817")</f>
        <v>817</v>
      </c>
      <c r="B919" s="4" t="str">
        <f>IFERROR(__xludf.DUMMYFUNCTION("""COMPUTED_VALUE"""),"Adhesivo 100 mm materias contacto agua gases inflamables B")</f>
        <v>Adhesivo 100 mm materias contacto agua gases inflamables B</v>
      </c>
      <c r="C919" s="4">
        <f>IFERROR(__xludf.DUMMYFUNCTION("""COMPUTED_VALUE"""),0.576)</f>
        <v>0.576</v>
      </c>
    </row>
    <row r="920">
      <c r="A920" s="4" t="str">
        <f>IFERROR(__xludf.DUMMYFUNCTION("""COMPUTED_VALUE"""),"0817A")</f>
        <v>0817A</v>
      </c>
      <c r="B920" s="4" t="str">
        <f>IFERROR(__xludf.DUMMYFUNCTION("""COMPUTED_VALUE"""),"Adhesivo 300 mm materias contacto agua gases inflamables B")</f>
        <v>Adhesivo 300 mm materias contacto agua gases inflamables B</v>
      </c>
      <c r="C920" s="4">
        <f>IFERROR(__xludf.DUMMYFUNCTION("""COMPUTED_VALUE"""),1.536)</f>
        <v>1.536</v>
      </c>
    </row>
    <row r="921">
      <c r="A921" s="4" t="str">
        <f>IFERROR(__xludf.DUMMYFUNCTION("""COMPUTED_VALUE"""),"818")</f>
        <v>818</v>
      </c>
      <c r="B921" s="4" t="str">
        <f>IFERROR(__xludf.DUMMYFUNCTION("""COMPUTED_VALUE"""),"Adhesivo 100 mm materias comburentes")</f>
        <v>Adhesivo 100 mm materias comburentes</v>
      </c>
      <c r="C921" s="4">
        <f>IFERROR(__xludf.DUMMYFUNCTION("""COMPUTED_VALUE"""),0.576)</f>
        <v>0.576</v>
      </c>
    </row>
    <row r="922">
      <c r="A922" s="4" t="str">
        <f>IFERROR(__xludf.DUMMYFUNCTION("""COMPUTED_VALUE"""),"0818A")</f>
        <v>0818A</v>
      </c>
      <c r="B922" s="4" t="str">
        <f>IFERROR(__xludf.DUMMYFUNCTION("""COMPUTED_VALUE"""),"Adhesivo 300 mm materias comburentes")</f>
        <v>Adhesivo 300 mm materias comburentes</v>
      </c>
      <c r="C922" s="4">
        <f>IFERROR(__xludf.DUMMYFUNCTION("""COMPUTED_VALUE"""),1.536)</f>
        <v>1.536</v>
      </c>
    </row>
    <row r="923">
      <c r="A923" s="4" t="str">
        <f>IFERROR(__xludf.DUMMYFUNCTION("""COMPUTED_VALUE"""),"819")</f>
        <v>819</v>
      </c>
      <c r="B923" s="4" t="str">
        <f>IFERROR(__xludf.DUMMYFUNCTION("""COMPUTED_VALUE"""),"Adhesivo 100 mm peróxidos orgánicos")</f>
        <v>Adhesivo 100 mm peróxidos orgánicos</v>
      </c>
      <c r="C923" s="4">
        <f>IFERROR(__xludf.DUMMYFUNCTION("""COMPUTED_VALUE"""),0.576)</f>
        <v>0.576</v>
      </c>
    </row>
    <row r="924">
      <c r="A924" s="4" t="str">
        <f>IFERROR(__xludf.DUMMYFUNCTION("""COMPUTED_VALUE"""),"0819A")</f>
        <v>0819A</v>
      </c>
      <c r="B924" s="4" t="str">
        <f>IFERROR(__xludf.DUMMYFUNCTION("""COMPUTED_VALUE"""),"Adhesivo 300 mm peróxidos orgánicos")</f>
        <v>Adhesivo 300 mm peróxidos orgánicos</v>
      </c>
      <c r="C924" s="4">
        <f>IFERROR(__xludf.DUMMYFUNCTION("""COMPUTED_VALUE"""),1.536)</f>
        <v>1.536</v>
      </c>
    </row>
    <row r="925">
      <c r="A925" s="4" t="str">
        <f>IFERROR(__xludf.DUMMYFUNCTION("""COMPUTED_VALUE"""),"822")</f>
        <v>822</v>
      </c>
      <c r="B925" s="4" t="str">
        <f>IFERROR(__xludf.DUMMYFUNCTION("""COMPUTED_VALUE"""),"Adhesivo 100 mm Materias Tóxicas")</f>
        <v>Adhesivo 100 mm Materias Tóxicas</v>
      </c>
      <c r="C925" s="4">
        <f>IFERROR(__xludf.DUMMYFUNCTION("""COMPUTED_VALUE"""),0.576)</f>
        <v>0.576</v>
      </c>
    </row>
    <row r="926">
      <c r="A926" s="4" t="str">
        <f>IFERROR(__xludf.DUMMYFUNCTION("""COMPUTED_VALUE"""),"0822A")</f>
        <v>0822A</v>
      </c>
      <c r="B926" s="4" t="str">
        <f>IFERROR(__xludf.DUMMYFUNCTION("""COMPUTED_VALUE"""),"Adhesivo 100 mm Materias Tóxicas")</f>
        <v>Adhesivo 100 mm Materias Tóxicas</v>
      </c>
      <c r="C926" s="4">
        <f>IFERROR(__xludf.DUMMYFUNCTION("""COMPUTED_VALUE"""),1.536)</f>
        <v>1.536</v>
      </c>
    </row>
    <row r="927">
      <c r="A927" s="4" t="str">
        <f>IFERROR(__xludf.DUMMYFUNCTION("""COMPUTED_VALUE"""),"823")</f>
        <v>823</v>
      </c>
      <c r="B927" s="4" t="str">
        <f>IFERROR(__xludf.DUMMYFUNCTION("""COMPUTED_VALUE"""),"Adhesivo 100 mm Materias infecciosas")</f>
        <v>Adhesivo 100 mm Materias infecciosas</v>
      </c>
      <c r="C927" s="4">
        <f>IFERROR(__xludf.DUMMYFUNCTION("""COMPUTED_VALUE"""),0.576)</f>
        <v>0.576</v>
      </c>
    </row>
    <row r="928">
      <c r="A928" s="4" t="str">
        <f>IFERROR(__xludf.DUMMYFUNCTION("""COMPUTED_VALUE"""),"0823A")</f>
        <v>0823A</v>
      </c>
      <c r="B928" s="4" t="str">
        <f>IFERROR(__xludf.DUMMYFUNCTION("""COMPUTED_VALUE"""),"Adhesivo 300 mm Materias infecciosas")</f>
        <v>Adhesivo 300 mm Materias infecciosas</v>
      </c>
      <c r="C928" s="4">
        <f>IFERROR(__xludf.DUMMYFUNCTION("""COMPUTED_VALUE"""),1.536)</f>
        <v>1.536</v>
      </c>
    </row>
    <row r="929">
      <c r="A929" s="4" t="str">
        <f>IFERROR(__xludf.DUMMYFUNCTION("""COMPUTED_VALUE"""),"824")</f>
        <v>824</v>
      </c>
      <c r="B929" s="4" t="str">
        <f>IFERROR(__xludf.DUMMYFUNCTION("""COMPUTED_VALUE"""),"Adhesivo 100 mm Materias radiactivas I")</f>
        <v>Adhesivo 100 mm Materias radiactivas I</v>
      </c>
      <c r="C929" s="4">
        <f>IFERROR(__xludf.DUMMYFUNCTION("""COMPUTED_VALUE"""),0.576)</f>
        <v>0.576</v>
      </c>
    </row>
    <row r="930">
      <c r="A930" s="4" t="str">
        <f>IFERROR(__xludf.DUMMYFUNCTION("""COMPUTED_VALUE"""),"0824A")</f>
        <v>0824A</v>
      </c>
      <c r="B930" s="4" t="str">
        <f>IFERROR(__xludf.DUMMYFUNCTION("""COMPUTED_VALUE"""),"Adhesivo 300 mm Materias radiactivas I")</f>
        <v>Adhesivo 300 mm Materias radiactivas I</v>
      </c>
      <c r="C930" s="4">
        <f>IFERROR(__xludf.DUMMYFUNCTION("""COMPUTED_VALUE"""),1.536)</f>
        <v>1.536</v>
      </c>
    </row>
    <row r="931">
      <c r="A931" s="4" t="str">
        <f>IFERROR(__xludf.DUMMYFUNCTION("""COMPUTED_VALUE"""),"825")</f>
        <v>825</v>
      </c>
      <c r="B931" s="4" t="str">
        <f>IFERROR(__xludf.DUMMYFUNCTION("""COMPUTED_VALUE"""),"Adhesivo 100 mm Materias radiactivas II")</f>
        <v>Adhesivo 100 mm Materias radiactivas II</v>
      </c>
      <c r="C931" s="4">
        <f>IFERROR(__xludf.DUMMYFUNCTION("""COMPUTED_VALUE"""),0.576)</f>
        <v>0.576</v>
      </c>
    </row>
    <row r="932">
      <c r="A932" s="4" t="str">
        <f>IFERROR(__xludf.DUMMYFUNCTION("""COMPUTED_VALUE"""),"0825A")</f>
        <v>0825A</v>
      </c>
      <c r="B932" s="4" t="str">
        <f>IFERROR(__xludf.DUMMYFUNCTION("""COMPUTED_VALUE"""),"Adhesivo 300 mm Materias radiactivas II")</f>
        <v>Adhesivo 300 mm Materias radiactivas II</v>
      </c>
      <c r="C932" s="4">
        <f>IFERROR(__xludf.DUMMYFUNCTION("""COMPUTED_VALUE"""),1.536)</f>
        <v>1.536</v>
      </c>
    </row>
    <row r="933">
      <c r="A933" s="4" t="str">
        <f>IFERROR(__xludf.DUMMYFUNCTION("""COMPUTED_VALUE"""),"826")</f>
        <v>826</v>
      </c>
      <c r="B933" s="4" t="str">
        <f>IFERROR(__xludf.DUMMYFUNCTION("""COMPUTED_VALUE"""),"Adhesivo 100 mm Materias radiactivas III")</f>
        <v>Adhesivo 100 mm Materias radiactivas III</v>
      </c>
      <c r="C933" s="4">
        <f>IFERROR(__xludf.DUMMYFUNCTION("""COMPUTED_VALUE"""),0.576)</f>
        <v>0.576</v>
      </c>
    </row>
    <row r="934">
      <c r="A934" s="4" t="str">
        <f>IFERROR(__xludf.DUMMYFUNCTION("""COMPUTED_VALUE"""),"0826A")</f>
        <v>0826A</v>
      </c>
      <c r="B934" s="4" t="str">
        <f>IFERROR(__xludf.DUMMYFUNCTION("""COMPUTED_VALUE"""),"Adhesivo 300 mm Materias radiactivas III")</f>
        <v>Adhesivo 300 mm Materias radiactivas III</v>
      </c>
      <c r="C934" s="4">
        <f>IFERROR(__xludf.DUMMYFUNCTION("""COMPUTED_VALUE"""),1.536)</f>
        <v>1.536</v>
      </c>
    </row>
    <row r="935">
      <c r="A935" s="4" t="str">
        <f>IFERROR(__xludf.DUMMYFUNCTION("""COMPUTED_VALUE"""),"827")</f>
        <v>827</v>
      </c>
      <c r="B935" s="4" t="str">
        <f>IFERROR(__xludf.DUMMYFUNCTION("""COMPUTED_VALUE"""),"Adhesivo 100 mm Materias fisionables")</f>
        <v>Adhesivo 100 mm Materias fisionables</v>
      </c>
      <c r="C935" s="4">
        <f>IFERROR(__xludf.DUMMYFUNCTION("""COMPUTED_VALUE"""),0.576)</f>
        <v>0.576</v>
      </c>
    </row>
    <row r="936">
      <c r="A936" s="4" t="str">
        <f>IFERROR(__xludf.DUMMYFUNCTION("""COMPUTED_VALUE"""),"0827A")</f>
        <v>0827A</v>
      </c>
      <c r="B936" s="4" t="str">
        <f>IFERROR(__xludf.DUMMYFUNCTION("""COMPUTED_VALUE"""),"Adhesivo 300 mm Materias fisionables")</f>
        <v>Adhesivo 300 mm Materias fisionables</v>
      </c>
      <c r="C936" s="4">
        <f>IFERROR(__xludf.DUMMYFUNCTION("""COMPUTED_VALUE"""),1.536)</f>
        <v>1.536</v>
      </c>
    </row>
    <row r="937">
      <c r="A937" s="4" t="str">
        <f>IFERROR(__xludf.DUMMYFUNCTION("""COMPUTED_VALUE"""),"828")</f>
        <v>828</v>
      </c>
      <c r="B937" s="4" t="str">
        <f>IFERROR(__xludf.DUMMYFUNCTION("""COMPUTED_VALUE"""),"Adhesivo 100 mm Materias corrosivas")</f>
        <v>Adhesivo 100 mm Materias corrosivas</v>
      </c>
      <c r="C937" s="4">
        <f>IFERROR(__xludf.DUMMYFUNCTION("""COMPUTED_VALUE"""),0.576)</f>
        <v>0.576</v>
      </c>
    </row>
    <row r="938">
      <c r="A938" s="4" t="str">
        <f>IFERROR(__xludf.DUMMYFUNCTION("""COMPUTED_VALUE"""),"0828A")</f>
        <v>0828A</v>
      </c>
      <c r="B938" s="4" t="str">
        <f>IFERROR(__xludf.DUMMYFUNCTION("""COMPUTED_VALUE"""),"Adhesivo 300 mm Materias corrosivas")</f>
        <v>Adhesivo 300 mm Materias corrosivas</v>
      </c>
      <c r="C938" s="4">
        <f>IFERROR(__xludf.DUMMYFUNCTION("""COMPUTED_VALUE"""),1.536)</f>
        <v>1.536</v>
      </c>
    </row>
    <row r="939">
      <c r="A939" s="4" t="str">
        <f>IFERROR(__xludf.DUMMYFUNCTION("""COMPUTED_VALUE"""),"829")</f>
        <v>829</v>
      </c>
      <c r="B939" s="4" t="str">
        <f>IFERROR(__xludf.DUMMYFUNCTION("""COMPUTED_VALUE"""),"Adhesivo 100 mm Materias y objetos peligrosos diversos")</f>
        <v>Adhesivo 100 mm Materias y objetos peligrosos diversos</v>
      </c>
      <c r="C939" s="4">
        <f>IFERROR(__xludf.DUMMYFUNCTION("""COMPUTED_VALUE"""),0.576)</f>
        <v>0.576</v>
      </c>
    </row>
    <row r="940">
      <c r="A940" s="4" t="str">
        <f>IFERROR(__xludf.DUMMYFUNCTION("""COMPUTED_VALUE"""),"0829A")</f>
        <v>0829A</v>
      </c>
      <c r="B940" s="4" t="str">
        <f>IFERROR(__xludf.DUMMYFUNCTION("""COMPUTED_VALUE"""),"Adhesivo 300 mm Materias y objetos peligrosos divesas")</f>
        <v>Adhesivo 300 mm Materias y objetos peligrosos divesas</v>
      </c>
      <c r="C940" s="4">
        <f>IFERROR(__xludf.DUMMYFUNCTION("""COMPUTED_VALUE"""),1.536)</f>
        <v>1.536</v>
      </c>
    </row>
    <row r="941">
      <c r="A941" s="4" t="str">
        <f>IFERROR(__xludf.DUMMYFUNCTION("""COMPUTED_VALUE"""),"830")</f>
        <v>830</v>
      </c>
      <c r="B941" s="4" t="str">
        <f>IFERROR(__xludf.DUMMYFUNCTION("""COMPUTED_VALUE"""),"Adhesivo 100 mm Materias peligrosas para el medio ambiente")</f>
        <v>Adhesivo 100 mm Materias peligrosas para el medio ambiente</v>
      </c>
      <c r="C941" s="4">
        <f>IFERROR(__xludf.DUMMYFUNCTION("""COMPUTED_VALUE"""),0.576)</f>
        <v>0.576</v>
      </c>
    </row>
    <row r="942">
      <c r="A942" s="4" t="str">
        <f>IFERROR(__xludf.DUMMYFUNCTION("""COMPUTED_VALUE"""),"0830A")</f>
        <v>0830A</v>
      </c>
      <c r="B942" s="4" t="str">
        <f>IFERROR(__xludf.DUMMYFUNCTION("""COMPUTED_VALUE"""),"Adhesivo 300 mm Materias peligrosas para el medio ambiente")</f>
        <v>Adhesivo 300 mm Materias peligrosas para el medio ambiente</v>
      </c>
      <c r="C942" s="4">
        <f>IFERROR(__xludf.DUMMYFUNCTION("""COMPUTED_VALUE"""),1.536)</f>
        <v>1.536</v>
      </c>
    </row>
    <row r="943">
      <c r="A943" s="4" t="str">
        <f>IFERROR(__xludf.DUMMYFUNCTION("""COMPUTED_VALUE"""),"831")</f>
        <v>831</v>
      </c>
      <c r="B943" s="4" t="str">
        <f>IFERROR(__xludf.DUMMYFUNCTION("""COMPUTED_VALUE"""),"Adhesivo 100 mm Orientación del bulto")</f>
        <v>Adhesivo 100 mm Orientación del bulto</v>
      </c>
      <c r="C943" s="4">
        <f>IFERROR(__xludf.DUMMYFUNCTION("""COMPUTED_VALUE"""),0.576)</f>
        <v>0.576</v>
      </c>
    </row>
    <row r="944">
      <c r="A944" s="4" t="str">
        <f>IFERROR(__xludf.DUMMYFUNCTION("""COMPUTED_VALUE"""),"0831A")</f>
        <v>0831A</v>
      </c>
      <c r="B944" s="4" t="str">
        <f>IFERROR(__xludf.DUMMYFUNCTION("""COMPUTED_VALUE"""),"Adhesivo 300 mm Orientación del bulto")</f>
        <v>Adhesivo 300 mm Orientación del bulto</v>
      </c>
      <c r="C944" s="4">
        <f>IFERROR(__xludf.DUMMYFUNCTION("""COMPUTED_VALUE"""),1.536)</f>
        <v>1.536</v>
      </c>
    </row>
    <row r="945">
      <c r="A945" s="4" t="str">
        <f>IFERROR(__xludf.DUMMYFUNCTION("""COMPUTED_VALUE"""),"832")</f>
        <v>832</v>
      </c>
      <c r="B945" s="4" t="str">
        <f>IFERROR(__xludf.DUMMYFUNCTION("""COMPUTED_VALUE"""),"Adhesivo 100 mm productos químicos explosivos")</f>
        <v>Adhesivo 100 mm productos químicos explosivos</v>
      </c>
      <c r="C945" s="4">
        <f>IFERROR(__xludf.DUMMYFUNCTION("""COMPUTED_VALUE"""),0.576)</f>
        <v>0.576</v>
      </c>
    </row>
    <row r="946">
      <c r="A946" s="4" t="str">
        <f>IFERROR(__xludf.DUMMYFUNCTION("""COMPUTED_VALUE"""),"0832A")</f>
        <v>0832A</v>
      </c>
      <c r="B946" s="4" t="str">
        <f>IFERROR(__xludf.DUMMYFUNCTION("""COMPUTED_VALUE"""),"Adhesivo 300 mm productos químicos explosivos")</f>
        <v>Adhesivo 300 mm productos químicos explosivos</v>
      </c>
      <c r="C946" s="4">
        <f>IFERROR(__xludf.DUMMYFUNCTION("""COMPUTED_VALUE"""),1.536)</f>
        <v>1.536</v>
      </c>
    </row>
    <row r="947">
      <c r="A947" s="4" t="str">
        <f>IFERROR(__xludf.DUMMYFUNCTION("""COMPUTED_VALUE"""),"833")</f>
        <v>833</v>
      </c>
      <c r="B947" s="4" t="str">
        <f>IFERROR(__xludf.DUMMYFUNCTION("""COMPUTED_VALUE"""),"Adhesivo 100 mm productos químicos inflamables")</f>
        <v>Adhesivo 100 mm productos químicos inflamables</v>
      </c>
      <c r="C947" s="4">
        <f>IFERROR(__xludf.DUMMYFUNCTION("""COMPUTED_VALUE"""),0.576)</f>
        <v>0.576</v>
      </c>
    </row>
    <row r="948">
      <c r="A948" s="4" t="str">
        <f>IFERROR(__xludf.DUMMYFUNCTION("""COMPUTED_VALUE"""),"0833A")</f>
        <v>0833A</v>
      </c>
      <c r="B948" s="4" t="str">
        <f>IFERROR(__xludf.DUMMYFUNCTION("""COMPUTED_VALUE"""),"Adhesivo 300 mm productos químicos inflamables")</f>
        <v>Adhesivo 300 mm productos químicos inflamables</v>
      </c>
      <c r="C948" s="4">
        <f>IFERROR(__xludf.DUMMYFUNCTION("""COMPUTED_VALUE"""),1.536)</f>
        <v>1.536</v>
      </c>
    </row>
    <row r="949">
      <c r="A949" s="4" t="str">
        <f>IFERROR(__xludf.DUMMYFUNCTION("""COMPUTED_VALUE"""),"834")</f>
        <v>834</v>
      </c>
      <c r="B949" s="4" t="str">
        <f>IFERROR(__xludf.DUMMYFUNCTION("""COMPUTED_VALUE"""),"Adhesivo 100 mm productos químicos comburentes")</f>
        <v>Adhesivo 100 mm productos químicos comburentes</v>
      </c>
      <c r="C949" s="4">
        <f>IFERROR(__xludf.DUMMYFUNCTION("""COMPUTED_VALUE"""),0.576)</f>
        <v>0.576</v>
      </c>
    </row>
    <row r="950">
      <c r="A950" s="4" t="str">
        <f>IFERROR(__xludf.DUMMYFUNCTION("""COMPUTED_VALUE"""),"0834A")</f>
        <v>0834A</v>
      </c>
      <c r="B950" s="4" t="str">
        <f>IFERROR(__xludf.DUMMYFUNCTION("""COMPUTED_VALUE"""),"Adhesivo 300 mm productos químicos comburentes")</f>
        <v>Adhesivo 300 mm productos químicos comburentes</v>
      </c>
      <c r="C950" s="4">
        <f>IFERROR(__xludf.DUMMYFUNCTION("""COMPUTED_VALUE"""),1.536)</f>
        <v>1.536</v>
      </c>
    </row>
    <row r="951">
      <c r="A951" s="4" t="str">
        <f>IFERROR(__xludf.DUMMYFUNCTION("""COMPUTED_VALUE"""),"835")</f>
        <v>835</v>
      </c>
      <c r="B951" s="4" t="str">
        <f>IFERROR(__xludf.DUMMYFUNCTION("""COMPUTED_VALUE"""),"Adhesivo 100 mm productos químicos gas a presión")</f>
        <v>Adhesivo 100 mm productos químicos gas a presión</v>
      </c>
      <c r="C951" s="4">
        <f>IFERROR(__xludf.DUMMYFUNCTION("""COMPUTED_VALUE"""),0.576)</f>
        <v>0.576</v>
      </c>
    </row>
    <row r="952">
      <c r="A952" s="4" t="str">
        <f>IFERROR(__xludf.DUMMYFUNCTION("""COMPUTED_VALUE"""),"0835A")</f>
        <v>0835A</v>
      </c>
      <c r="B952" s="4" t="str">
        <f>IFERROR(__xludf.DUMMYFUNCTION("""COMPUTED_VALUE"""),"Adhesivo 300 mm productos químicos gas a presión")</f>
        <v>Adhesivo 300 mm productos químicos gas a presión</v>
      </c>
      <c r="C952" s="4">
        <f>IFERROR(__xludf.DUMMYFUNCTION("""COMPUTED_VALUE"""),1.536)</f>
        <v>1.536</v>
      </c>
    </row>
    <row r="953">
      <c r="A953" s="4" t="str">
        <f>IFERROR(__xludf.DUMMYFUNCTION("""COMPUTED_VALUE"""),"836")</f>
        <v>836</v>
      </c>
      <c r="B953" s="4" t="str">
        <f>IFERROR(__xludf.DUMMYFUNCTION("""COMPUTED_VALUE"""),"Adhesivo 100 mm productos químicos toxicidad aguda")</f>
        <v>Adhesivo 100 mm productos químicos toxicidad aguda</v>
      </c>
      <c r="C953" s="4">
        <f>IFERROR(__xludf.DUMMYFUNCTION("""COMPUTED_VALUE"""),0.576)</f>
        <v>0.576</v>
      </c>
    </row>
    <row r="954">
      <c r="A954" s="4" t="str">
        <f>IFERROR(__xludf.DUMMYFUNCTION("""COMPUTED_VALUE"""),"0836A")</f>
        <v>0836A</v>
      </c>
      <c r="B954" s="4" t="str">
        <f>IFERROR(__xludf.DUMMYFUNCTION("""COMPUTED_VALUE"""),"Adhesivo 300 mm productos químicos Toxicidad aguda")</f>
        <v>Adhesivo 300 mm productos químicos Toxicidad aguda</v>
      </c>
      <c r="C954" s="4">
        <f>IFERROR(__xludf.DUMMYFUNCTION("""COMPUTED_VALUE"""),1.536)</f>
        <v>1.536</v>
      </c>
    </row>
    <row r="955">
      <c r="A955" s="4" t="str">
        <f>IFERROR(__xludf.DUMMYFUNCTION("""COMPUTED_VALUE"""),"837")</f>
        <v>837</v>
      </c>
      <c r="B955" s="4" t="str">
        <f>IFERROR(__xludf.DUMMYFUNCTION("""COMPUTED_VALUE"""),"Adhesivo 100 mm productos químicos corrosivos")</f>
        <v>Adhesivo 100 mm productos químicos corrosivos</v>
      </c>
      <c r="C955" s="4">
        <f>IFERROR(__xludf.DUMMYFUNCTION("""COMPUTED_VALUE"""),0.576)</f>
        <v>0.576</v>
      </c>
    </row>
    <row r="956">
      <c r="A956" s="4" t="str">
        <f>IFERROR(__xludf.DUMMYFUNCTION("""COMPUTED_VALUE"""),"0837A")</f>
        <v>0837A</v>
      </c>
      <c r="B956" s="4" t="str">
        <f>IFERROR(__xludf.DUMMYFUNCTION("""COMPUTED_VALUE"""),"Adhesivo 300 mm productos químicos corrosivos")</f>
        <v>Adhesivo 300 mm productos químicos corrosivos</v>
      </c>
      <c r="C956" s="4">
        <f>IFERROR(__xludf.DUMMYFUNCTION("""COMPUTED_VALUE"""),1.536)</f>
        <v>1.536</v>
      </c>
    </row>
    <row r="957">
      <c r="A957" s="4" t="str">
        <f>IFERROR(__xludf.DUMMYFUNCTION("""COMPUTED_VALUE"""),"838")</f>
        <v>838</v>
      </c>
      <c r="B957" s="4" t="str">
        <f>IFERROR(__xludf.DUMMYFUNCTION("""COMPUTED_VALUE"""),"Adhesivo 100 mm productos químicos peligro grave para la")</f>
        <v>Adhesivo 100 mm productos químicos peligro grave para la</v>
      </c>
      <c r="C957" s="4">
        <f>IFERROR(__xludf.DUMMYFUNCTION("""COMPUTED_VALUE"""),0.576)</f>
        <v>0.576</v>
      </c>
    </row>
    <row r="958">
      <c r="A958" s="4" t="str">
        <f>IFERROR(__xludf.DUMMYFUNCTION("""COMPUTED_VALUE"""),"0838A")</f>
        <v>0838A</v>
      </c>
      <c r="B958" s="4" t="str">
        <f>IFERROR(__xludf.DUMMYFUNCTION("""COMPUTED_VALUE"""),"Adhesivo 300 mm productos químicos peligro grave para la")</f>
        <v>Adhesivo 300 mm productos químicos peligro grave para la</v>
      </c>
      <c r="C958" s="4">
        <f>IFERROR(__xludf.DUMMYFUNCTION("""COMPUTED_VALUE"""),1.536)</f>
        <v>1.536</v>
      </c>
    </row>
    <row r="959">
      <c r="A959" s="4" t="str">
        <f>IFERROR(__xludf.DUMMYFUNCTION("""COMPUTED_VALUE"""),"839")</f>
        <v>839</v>
      </c>
      <c r="B959" s="4" t="str">
        <f>IFERROR(__xludf.DUMMYFUNCTION("""COMPUTED_VALUE"""),"Adhesivo 100 mm productos químicos peligro para la salud")</f>
        <v>Adhesivo 100 mm productos químicos peligro para la salud</v>
      </c>
      <c r="C959" s="4">
        <f>IFERROR(__xludf.DUMMYFUNCTION("""COMPUTED_VALUE"""),0.576)</f>
        <v>0.576</v>
      </c>
    </row>
    <row r="960">
      <c r="A960" s="4" t="str">
        <f>IFERROR(__xludf.DUMMYFUNCTION("""COMPUTED_VALUE"""),"0839A")</f>
        <v>0839A</v>
      </c>
      <c r="B960" s="4" t="str">
        <f>IFERROR(__xludf.DUMMYFUNCTION("""COMPUTED_VALUE"""),"Adhesivo 300 mm productos químicos peligro para la salud")</f>
        <v>Adhesivo 300 mm productos químicos peligro para la salud</v>
      </c>
      <c r="C960" s="4">
        <f>IFERROR(__xludf.DUMMYFUNCTION("""COMPUTED_VALUE"""),1.536)</f>
        <v>1.536</v>
      </c>
    </row>
    <row r="961">
      <c r="A961" s="4" t="str">
        <f>IFERROR(__xludf.DUMMYFUNCTION("""COMPUTED_VALUE"""),"840")</f>
        <v>840</v>
      </c>
      <c r="B961" s="4" t="str">
        <f>IFERROR(__xludf.DUMMYFUNCTION("""COMPUTED_VALUE"""),"Adhesivo 100 mm productos químicos peligro para el medio")</f>
        <v>Adhesivo 100 mm productos químicos peligro para el medio</v>
      </c>
      <c r="C961" s="4">
        <f>IFERROR(__xludf.DUMMYFUNCTION("""COMPUTED_VALUE"""),0.576)</f>
        <v>0.576</v>
      </c>
    </row>
    <row r="962">
      <c r="A962" s="4" t="str">
        <f>IFERROR(__xludf.DUMMYFUNCTION("""COMPUTED_VALUE"""),"0840A")</f>
        <v>0840A</v>
      </c>
      <c r="B962" s="4" t="str">
        <f>IFERROR(__xludf.DUMMYFUNCTION("""COMPUTED_VALUE"""),"Adhesivo 300 mm productos químicos peligro para el medio")</f>
        <v>Adhesivo 300 mm productos químicos peligro para el medio</v>
      </c>
      <c r="C962" s="4">
        <f>IFERROR(__xludf.DUMMYFUNCTION("""COMPUTED_VALUE"""),1.536)</f>
        <v>1.536</v>
      </c>
    </row>
    <row r="963">
      <c r="A963" s="4" t="str">
        <f>IFERROR(__xludf.DUMMYFUNCTION("""COMPUTED_VALUE"""),"841")</f>
        <v>841</v>
      </c>
      <c r="B963" s="4" t="str">
        <f>IFERROR(__xludf.DUMMYFUNCTION("""COMPUTED_VALUE"""),"Adhesivo información general aparcamiento 200x60 mm")</f>
        <v>Adhesivo información general aparcamiento 200x60 mm</v>
      </c>
      <c r="C963" s="4">
        <f>IFERROR(__xludf.DUMMYFUNCTION("""COMPUTED_VALUE"""),1.056)</f>
        <v>1.056</v>
      </c>
    </row>
    <row r="964">
      <c r="A964" s="4" t="str">
        <f>IFERROR(__xludf.DUMMYFUNCTION("""COMPUTED_VALUE"""),"0841A")</f>
        <v>0841A</v>
      </c>
      <c r="B964" s="4" t="str">
        <f>IFERROR(__xludf.DUMMYFUNCTION("""COMPUTED_VALUE"""),"Adhesivo información general aparcamiento 300x100 mm")</f>
        <v>Adhesivo información general aparcamiento 300x100 mm</v>
      </c>
      <c r="C964" s="4">
        <f>IFERROR(__xludf.DUMMYFUNCTION("""COMPUTED_VALUE"""),1.536)</f>
        <v>1.536</v>
      </c>
    </row>
    <row r="965">
      <c r="A965" s="4" t="str">
        <f>IFERROR(__xludf.DUMMYFUNCTION("""COMPUTED_VALUE"""),"0841C")</f>
        <v>0841C</v>
      </c>
      <c r="B965" s="4" t="str">
        <f>IFERROR(__xludf.DUMMYFUNCTION("""COMPUTED_VALUE"""),"Cartel PVC información general aparcamiento 300x100 mm")</f>
        <v>Cartel PVC información general aparcamiento 300x100 mm</v>
      </c>
      <c r="C965" s="4">
        <f>IFERROR(__xludf.DUMMYFUNCTION("""COMPUTED_VALUE"""),1.776)</f>
        <v>1.776</v>
      </c>
    </row>
    <row r="966">
      <c r="A966" s="4" t="str">
        <f>IFERROR(__xludf.DUMMYFUNCTION("""COMPUTED_VALUE"""),"842")</f>
        <v>842</v>
      </c>
      <c r="B966" s="4" t="str">
        <f>IFERROR(__xludf.DUMMYFUNCTION("""COMPUTED_VALUE"""),"Adhesivo información general aseos minusváldos 200x60 mm")</f>
        <v>Adhesivo información general aseos minusváldos 200x60 mm</v>
      </c>
      <c r="C966" s="4">
        <f>IFERROR(__xludf.DUMMYFUNCTION("""COMPUTED_VALUE"""),1.056)</f>
        <v>1.056</v>
      </c>
    </row>
    <row r="967">
      <c r="A967" s="4" t="str">
        <f>IFERROR(__xludf.DUMMYFUNCTION("""COMPUTED_VALUE"""),"0842A")</f>
        <v>0842A</v>
      </c>
      <c r="B967" s="4" t="str">
        <f>IFERROR(__xludf.DUMMYFUNCTION("""COMPUTED_VALUE"""),"Adhesivo información general aseos minusválidos 300x100")</f>
        <v>Adhesivo información general aseos minusválidos 300x100</v>
      </c>
      <c r="C967" s="4">
        <f>IFERROR(__xludf.DUMMYFUNCTION("""COMPUTED_VALUE"""),1.536)</f>
        <v>1.536</v>
      </c>
    </row>
    <row r="968">
      <c r="A968" s="4" t="str">
        <f>IFERROR(__xludf.DUMMYFUNCTION("""COMPUTED_VALUE"""),"0842C")</f>
        <v>0842C</v>
      </c>
      <c r="B968" s="4" t="str">
        <f>IFERROR(__xludf.DUMMYFUNCTION("""COMPUTED_VALUE"""),"Cartel PVC información general aseos minusválidos 300x100")</f>
        <v>Cartel PVC información general aseos minusválidos 300x100</v>
      </c>
      <c r="C968" s="4">
        <f>IFERROR(__xludf.DUMMYFUNCTION("""COMPUTED_VALUE"""),1.776)</f>
        <v>1.776</v>
      </c>
    </row>
    <row r="969">
      <c r="A969" s="4" t="str">
        <f>IFERROR(__xludf.DUMMYFUNCTION("""COMPUTED_VALUE"""),"843")</f>
        <v>843</v>
      </c>
      <c r="B969" s="4" t="str">
        <f>IFERROR(__xludf.DUMMYFUNCTION("""COMPUTED_VALUE"""),"Adhesivo información general aseos masculino 200x60 mm")</f>
        <v>Adhesivo información general aseos masculino 200x60 mm</v>
      </c>
      <c r="C969" s="4">
        <f>IFERROR(__xludf.DUMMYFUNCTION("""COMPUTED_VALUE"""),1.056)</f>
        <v>1.056</v>
      </c>
    </row>
    <row r="970">
      <c r="A970" s="4" t="str">
        <f>IFERROR(__xludf.DUMMYFUNCTION("""COMPUTED_VALUE"""),"0843A")</f>
        <v>0843A</v>
      </c>
      <c r="B970" s="4" t="str">
        <f>IFERROR(__xludf.DUMMYFUNCTION("""COMPUTED_VALUE"""),"Adhesivo información general aseos masculino 300x100 mm")</f>
        <v>Adhesivo información general aseos masculino 300x100 mm</v>
      </c>
      <c r="C970" s="4">
        <f>IFERROR(__xludf.DUMMYFUNCTION("""COMPUTED_VALUE"""),1.536)</f>
        <v>1.536</v>
      </c>
    </row>
    <row r="971">
      <c r="A971" s="4" t="str">
        <f>IFERROR(__xludf.DUMMYFUNCTION("""COMPUTED_VALUE"""),"0843C")</f>
        <v>0843C</v>
      </c>
      <c r="B971" s="4" t="str">
        <f>IFERROR(__xludf.DUMMYFUNCTION("""COMPUTED_VALUE"""),"Cartel PVC información general aseos masculino 300x100 mm")</f>
        <v>Cartel PVC información general aseos masculino 300x100 mm</v>
      </c>
      <c r="C971" s="4">
        <f>IFERROR(__xludf.DUMMYFUNCTION("""COMPUTED_VALUE"""),1.776)</f>
        <v>1.776</v>
      </c>
    </row>
    <row r="972">
      <c r="A972" s="4" t="str">
        <f>IFERROR(__xludf.DUMMYFUNCTION("""COMPUTED_VALUE"""),"845")</f>
        <v>845</v>
      </c>
      <c r="B972" s="4" t="str">
        <f>IFERROR(__xludf.DUMMYFUNCTION("""COMPUTED_VALUE"""),"Adhesivo información general aseos mixtos 200x60 mm")</f>
        <v>Adhesivo información general aseos mixtos 200x60 mm</v>
      </c>
      <c r="C972" s="4">
        <f>IFERROR(__xludf.DUMMYFUNCTION("""COMPUTED_VALUE"""),1.056)</f>
        <v>1.056</v>
      </c>
    </row>
    <row r="973">
      <c r="A973" s="4" t="str">
        <f>IFERROR(__xludf.DUMMYFUNCTION("""COMPUTED_VALUE"""),"0845A")</f>
        <v>0845A</v>
      </c>
      <c r="B973" s="4" t="str">
        <f>IFERROR(__xludf.DUMMYFUNCTION("""COMPUTED_VALUE"""),"Adhesivo información general aseos mixtos 300x100 mm")</f>
        <v>Adhesivo información general aseos mixtos 300x100 mm</v>
      </c>
      <c r="C973" s="4">
        <f>IFERROR(__xludf.DUMMYFUNCTION("""COMPUTED_VALUE"""),1.536)</f>
        <v>1.536</v>
      </c>
    </row>
    <row r="974">
      <c r="A974" s="4" t="str">
        <f>IFERROR(__xludf.DUMMYFUNCTION("""COMPUTED_VALUE"""),"0845C")</f>
        <v>0845C</v>
      </c>
      <c r="B974" s="4" t="str">
        <f>IFERROR(__xludf.DUMMYFUNCTION("""COMPUTED_VALUE"""),"Cartel PVC información general asos mixtos 300x100 mm")</f>
        <v>Cartel PVC información general asos mixtos 300x100 mm</v>
      </c>
      <c r="C974" s="4">
        <f>IFERROR(__xludf.DUMMYFUNCTION("""COMPUTED_VALUE"""),1.776)</f>
        <v>1.776</v>
      </c>
    </row>
    <row r="975">
      <c r="A975" s="4" t="str">
        <f>IFERROR(__xludf.DUMMYFUNCTION("""COMPUTED_VALUE"""),"846")</f>
        <v>846</v>
      </c>
      <c r="B975" s="4" t="str">
        <f>IFERROR(__xludf.DUMMYFUNCTION("""COMPUTED_VALUE"""),"Adhesivo información general aseos femenino 200x60 mm")</f>
        <v>Adhesivo información general aseos femenino 200x60 mm</v>
      </c>
      <c r="C975" s="4">
        <f>IFERROR(__xludf.DUMMYFUNCTION("""COMPUTED_VALUE"""),1.056)</f>
        <v>1.056</v>
      </c>
    </row>
    <row r="976">
      <c r="A976" s="4" t="str">
        <f>IFERROR(__xludf.DUMMYFUNCTION("""COMPUTED_VALUE"""),"0846A")</f>
        <v>0846A</v>
      </c>
      <c r="B976" s="4" t="str">
        <f>IFERROR(__xludf.DUMMYFUNCTION("""COMPUTED_VALUE"""),"Adhesivo información general aseos femeninio 300x100 mm")</f>
        <v>Adhesivo información general aseos femeninio 300x100 mm</v>
      </c>
      <c r="C976" s="4">
        <f>IFERROR(__xludf.DUMMYFUNCTION("""COMPUTED_VALUE"""),1.536)</f>
        <v>1.536</v>
      </c>
    </row>
    <row r="977">
      <c r="A977" s="4" t="str">
        <f>IFERROR(__xludf.DUMMYFUNCTION("""COMPUTED_VALUE"""),"0846C")</f>
        <v>0846C</v>
      </c>
      <c r="B977" s="4" t="str">
        <f>IFERROR(__xludf.DUMMYFUNCTION("""COMPUTED_VALUE"""),"Cartel PVC informacion general Aseos femenino 300x100 mm")</f>
        <v>Cartel PVC informacion general Aseos femenino 300x100 mm</v>
      </c>
      <c r="C977" s="4">
        <f>IFERROR(__xludf.DUMMYFUNCTION("""COMPUTED_VALUE"""),1.776)</f>
        <v>1.776</v>
      </c>
    </row>
    <row r="978">
      <c r="A978" s="4" t="str">
        <f>IFERROR(__xludf.DUMMYFUNCTION("""COMPUTED_VALUE"""),"847")</f>
        <v>847</v>
      </c>
      <c r="B978" s="4" t="str">
        <f>IFERROR(__xludf.DUMMYFUNCTION("""COMPUTED_VALUE"""),"Adhesivo información general vestuario mixto 200x60 mm")</f>
        <v>Adhesivo información general vestuario mixto 200x60 mm</v>
      </c>
      <c r="C978" s="4">
        <f>IFERROR(__xludf.DUMMYFUNCTION("""COMPUTED_VALUE"""),1.056)</f>
        <v>1.056</v>
      </c>
    </row>
    <row r="979">
      <c r="A979" s="4" t="str">
        <f>IFERROR(__xludf.DUMMYFUNCTION("""COMPUTED_VALUE"""),"0847A")</f>
        <v>0847A</v>
      </c>
      <c r="B979" s="4" t="str">
        <f>IFERROR(__xludf.DUMMYFUNCTION("""COMPUTED_VALUE"""),"Adhesivo información general vestuario mixto 300x100 mm")</f>
        <v>Adhesivo información general vestuario mixto 300x100 mm</v>
      </c>
      <c r="C979" s="4">
        <f>IFERROR(__xludf.DUMMYFUNCTION("""COMPUTED_VALUE"""),1.536)</f>
        <v>1.536</v>
      </c>
    </row>
    <row r="980">
      <c r="A980" s="4" t="str">
        <f>IFERROR(__xludf.DUMMYFUNCTION("""COMPUTED_VALUE"""),"0847C")</f>
        <v>0847C</v>
      </c>
      <c r="B980" s="4" t="str">
        <f>IFERROR(__xludf.DUMMYFUNCTION("""COMPUTED_VALUE"""),"Cartel PVC información general vestuarios mixtos 300x100 mm")</f>
        <v>Cartel PVC información general vestuarios mixtos 300x100 mm</v>
      </c>
      <c r="C980" s="4">
        <f>IFERROR(__xludf.DUMMYFUNCTION("""COMPUTED_VALUE"""),1.776)</f>
        <v>1.776</v>
      </c>
    </row>
    <row r="981">
      <c r="A981" s="4" t="str">
        <f>IFERROR(__xludf.DUMMYFUNCTION("""COMPUTED_VALUE"""),"848")</f>
        <v>848</v>
      </c>
      <c r="B981" s="4" t="str">
        <f>IFERROR(__xludf.DUMMYFUNCTION("""COMPUTED_VALUE"""),"Adhesivo información general vestuario femenino 200x60 mm")</f>
        <v>Adhesivo información general vestuario femenino 200x60 mm</v>
      </c>
      <c r="C981" s="4">
        <f>IFERROR(__xludf.DUMMYFUNCTION("""COMPUTED_VALUE"""),1.056)</f>
        <v>1.056</v>
      </c>
    </row>
    <row r="982">
      <c r="A982" s="4" t="str">
        <f>IFERROR(__xludf.DUMMYFUNCTION("""COMPUTED_VALUE"""),"0848A")</f>
        <v>0848A</v>
      </c>
      <c r="B982" s="4" t="str">
        <f>IFERROR(__xludf.DUMMYFUNCTION("""COMPUTED_VALUE"""),"Adhesivo información general vestuario femenino 300x100 mm")</f>
        <v>Adhesivo información general vestuario femenino 300x100 mm</v>
      </c>
      <c r="C982" s="4">
        <f>IFERROR(__xludf.DUMMYFUNCTION("""COMPUTED_VALUE"""),1.536)</f>
        <v>1.536</v>
      </c>
    </row>
    <row r="983">
      <c r="A983" s="4" t="str">
        <f>IFERROR(__xludf.DUMMYFUNCTION("""COMPUTED_VALUE"""),"0848C")</f>
        <v>0848C</v>
      </c>
      <c r="B983" s="4" t="str">
        <f>IFERROR(__xludf.DUMMYFUNCTION("""COMPUTED_VALUE"""),"Cartel PVC información general vestuario femenino 300x100")</f>
        <v>Cartel PVC información general vestuario femenino 300x100</v>
      </c>
      <c r="C983" s="4">
        <f>IFERROR(__xludf.DUMMYFUNCTION("""COMPUTED_VALUE"""),1.776)</f>
        <v>1.776</v>
      </c>
    </row>
    <row r="984">
      <c r="A984" s="4" t="str">
        <f>IFERROR(__xludf.DUMMYFUNCTION("""COMPUTED_VALUE"""),"849")</f>
        <v>849</v>
      </c>
      <c r="B984" s="4" t="str">
        <f>IFERROR(__xludf.DUMMYFUNCTION("""COMPUTED_VALUE"""),"Adhesivo información general vestuario masculino 200x60 mm")</f>
        <v>Adhesivo información general vestuario masculino 200x60 mm</v>
      </c>
      <c r="C984" s="4">
        <f>IFERROR(__xludf.DUMMYFUNCTION("""COMPUTED_VALUE"""),1.056)</f>
        <v>1.056</v>
      </c>
    </row>
    <row r="985">
      <c r="A985" s="4" t="str">
        <f>IFERROR(__xludf.DUMMYFUNCTION("""COMPUTED_VALUE"""),"0849A")</f>
        <v>0849A</v>
      </c>
      <c r="B985" s="4" t="str">
        <f>IFERROR(__xludf.DUMMYFUNCTION("""COMPUTED_VALUE"""),"Adhesivo información general vestuario masculino 300x100")</f>
        <v>Adhesivo información general vestuario masculino 300x100</v>
      </c>
      <c r="C985" s="4">
        <f>IFERROR(__xludf.DUMMYFUNCTION("""COMPUTED_VALUE"""),1.536)</f>
        <v>1.536</v>
      </c>
    </row>
    <row r="986">
      <c r="A986" s="4" t="str">
        <f>IFERROR(__xludf.DUMMYFUNCTION("""COMPUTED_VALUE"""),"0849C")</f>
        <v>0849C</v>
      </c>
      <c r="B986" s="4" t="str">
        <f>IFERROR(__xludf.DUMMYFUNCTION("""COMPUTED_VALUE"""),"Cartel PVC información general vestuario masculino 300x100")</f>
        <v>Cartel PVC información general vestuario masculino 300x100</v>
      </c>
      <c r="C986" s="4">
        <f>IFERROR(__xludf.DUMMYFUNCTION("""COMPUTED_VALUE"""),1.776)</f>
        <v>1.776</v>
      </c>
    </row>
    <row r="987">
      <c r="A987" s="4" t="str">
        <f>IFERROR(__xludf.DUMMYFUNCTION("""COMPUTED_VALUE"""),"850")</f>
        <v>850</v>
      </c>
      <c r="B987" s="4" t="str">
        <f>IFERROR(__xludf.DUMMYFUNCTION("""COMPUTED_VALUE"""),"Adhesivo información general información 200x60 mm")</f>
        <v>Adhesivo información general información 200x60 mm</v>
      </c>
      <c r="C987" s="4">
        <f>IFERROR(__xludf.DUMMYFUNCTION("""COMPUTED_VALUE"""),1.056)</f>
        <v>1.056</v>
      </c>
    </row>
    <row r="988">
      <c r="A988" s="4" t="str">
        <f>IFERROR(__xludf.DUMMYFUNCTION("""COMPUTED_VALUE"""),"0850A")</f>
        <v>0850A</v>
      </c>
      <c r="B988" s="4" t="str">
        <f>IFERROR(__xludf.DUMMYFUNCTION("""COMPUTED_VALUE"""),"Adhesivo información general información 300x100 mm")</f>
        <v>Adhesivo información general información 300x100 mm</v>
      </c>
      <c r="C988" s="4">
        <f>IFERROR(__xludf.DUMMYFUNCTION("""COMPUTED_VALUE"""),1.536)</f>
        <v>1.536</v>
      </c>
    </row>
    <row r="989">
      <c r="A989" s="4" t="str">
        <f>IFERROR(__xludf.DUMMYFUNCTION("""COMPUTED_VALUE"""),"0850C")</f>
        <v>0850C</v>
      </c>
      <c r="B989" s="4" t="str">
        <f>IFERROR(__xludf.DUMMYFUNCTION("""COMPUTED_VALUE"""),"Cartel PVC información general información 300x100 mm")</f>
        <v>Cartel PVC información general información 300x100 mm</v>
      </c>
      <c r="C989" s="4">
        <f>IFERROR(__xludf.DUMMYFUNCTION("""COMPUTED_VALUE"""),1.776)</f>
        <v>1.776</v>
      </c>
    </row>
    <row r="990">
      <c r="A990" s="4" t="str">
        <f>IFERROR(__xludf.DUMMYFUNCTION("""COMPUTED_VALUE"""),"851")</f>
        <v>851</v>
      </c>
      <c r="B990" s="4" t="str">
        <f>IFERROR(__xludf.DUMMYFUNCTION("""COMPUTED_VALUE"""),"Adhesivo información general teléfono 200x60 mm")</f>
        <v>Adhesivo información general teléfono 200x60 mm</v>
      </c>
      <c r="C990" s="4">
        <f>IFERROR(__xludf.DUMMYFUNCTION("""COMPUTED_VALUE"""),1.056)</f>
        <v>1.056</v>
      </c>
    </row>
    <row r="991">
      <c r="A991" s="4" t="str">
        <f>IFERROR(__xludf.DUMMYFUNCTION("""COMPUTED_VALUE"""),"0851A")</f>
        <v>0851A</v>
      </c>
      <c r="B991" s="4" t="str">
        <f>IFERROR(__xludf.DUMMYFUNCTION("""COMPUTED_VALUE"""),"Adhesivo información general teléfono 300x100 mm")</f>
        <v>Adhesivo información general teléfono 300x100 mm</v>
      </c>
      <c r="C991" s="4">
        <f>IFERROR(__xludf.DUMMYFUNCTION("""COMPUTED_VALUE"""),1.536)</f>
        <v>1.536</v>
      </c>
    </row>
    <row r="992">
      <c r="A992" s="4" t="str">
        <f>IFERROR(__xludf.DUMMYFUNCTION("""COMPUTED_VALUE"""),"0851C")</f>
        <v>0851C</v>
      </c>
      <c r="B992" s="4" t="str">
        <f>IFERROR(__xludf.DUMMYFUNCTION("""COMPUTED_VALUE"""),"Cartel PVC información general teléfono 300x100 mm")</f>
        <v>Cartel PVC información general teléfono 300x100 mm</v>
      </c>
      <c r="C992" s="4">
        <f>IFERROR(__xludf.DUMMYFUNCTION("""COMPUTED_VALUE"""),1.776)</f>
        <v>1.776</v>
      </c>
    </row>
    <row r="993">
      <c r="A993" s="4" t="str">
        <f>IFERROR(__xludf.DUMMYFUNCTION("""COMPUTED_VALUE"""),"852")</f>
        <v>852</v>
      </c>
      <c r="B993" s="4" t="str">
        <f>IFERROR(__xludf.DUMMYFUNCTION("""COMPUTED_VALUE"""),"Adhesivo información general guardarropa 200x60 mm")</f>
        <v>Adhesivo información general guardarropa 200x60 mm</v>
      </c>
      <c r="C993" s="4">
        <f>IFERROR(__xludf.DUMMYFUNCTION("""COMPUTED_VALUE"""),1.056)</f>
        <v>1.056</v>
      </c>
    </row>
    <row r="994">
      <c r="A994" s="4" t="str">
        <f>IFERROR(__xludf.DUMMYFUNCTION("""COMPUTED_VALUE"""),"0852A")</f>
        <v>0852A</v>
      </c>
      <c r="B994" s="4" t="str">
        <f>IFERROR(__xludf.DUMMYFUNCTION("""COMPUTED_VALUE"""),"Adhesivo información general guardarropa 300x100 mm")</f>
        <v>Adhesivo información general guardarropa 300x100 mm</v>
      </c>
      <c r="C994" s="4">
        <f>IFERROR(__xludf.DUMMYFUNCTION("""COMPUTED_VALUE"""),1.536)</f>
        <v>1.536</v>
      </c>
    </row>
    <row r="995">
      <c r="A995" s="4" t="str">
        <f>IFERROR(__xludf.DUMMYFUNCTION("""COMPUTED_VALUE"""),"0852C")</f>
        <v>0852C</v>
      </c>
      <c r="B995" s="4" t="str">
        <f>IFERROR(__xludf.DUMMYFUNCTION("""COMPUTED_VALUE"""),"Cartel PVC información general Guardarropa 300x100 mm")</f>
        <v>Cartel PVC información general Guardarropa 300x100 mm</v>
      </c>
      <c r="C995" s="4">
        <f>IFERROR(__xludf.DUMMYFUNCTION("""COMPUTED_VALUE"""),1.776)</f>
        <v>1.776</v>
      </c>
    </row>
    <row r="996">
      <c r="A996" s="4" t="str">
        <f>IFERROR(__xludf.DUMMYFUNCTION("""COMPUTED_VALUE"""),"853")</f>
        <v>853</v>
      </c>
      <c r="B996" s="4" t="str">
        <f>IFERROR(__xludf.DUMMYFUNCTION("""COMPUTED_VALUE"""),"Adhesivo información general restaurante 200x60 mm")</f>
        <v>Adhesivo información general restaurante 200x60 mm</v>
      </c>
      <c r="C996" s="4">
        <f>IFERROR(__xludf.DUMMYFUNCTION("""COMPUTED_VALUE"""),1.056)</f>
        <v>1.056</v>
      </c>
    </row>
    <row r="997">
      <c r="A997" s="4" t="str">
        <f>IFERROR(__xludf.DUMMYFUNCTION("""COMPUTED_VALUE"""),"0853A")</f>
        <v>0853A</v>
      </c>
      <c r="B997" s="4" t="str">
        <f>IFERROR(__xludf.DUMMYFUNCTION("""COMPUTED_VALUE"""),"Adhesivo información general restaurante 300x100 mm")</f>
        <v>Adhesivo información general restaurante 300x100 mm</v>
      </c>
      <c r="C997" s="4">
        <f>IFERROR(__xludf.DUMMYFUNCTION("""COMPUTED_VALUE"""),1.536)</f>
        <v>1.536</v>
      </c>
    </row>
    <row r="998">
      <c r="A998" s="4" t="str">
        <f>IFERROR(__xludf.DUMMYFUNCTION("""COMPUTED_VALUE"""),"0853C")</f>
        <v>0853C</v>
      </c>
      <c r="B998" s="4" t="str">
        <f>IFERROR(__xludf.DUMMYFUNCTION("""COMPUTED_VALUE"""),"Cartel PVC información general restaurantes 300x100 mm")</f>
        <v>Cartel PVC información general restaurantes 300x100 mm</v>
      </c>
      <c r="C998" s="4">
        <f>IFERROR(__xludf.DUMMYFUNCTION("""COMPUTED_VALUE"""),1.776)</f>
        <v>1.776</v>
      </c>
    </row>
    <row r="999">
      <c r="A999" s="4" t="str">
        <f>IFERROR(__xludf.DUMMYFUNCTION("""COMPUTED_VALUE"""),"854")</f>
        <v>854</v>
      </c>
      <c r="B999" s="4" t="str">
        <f>IFERROR(__xludf.DUMMYFUNCTION("""COMPUTED_VALUE"""),"Adhesivo información general cuarto limpieza 200x60 mm")</f>
        <v>Adhesivo información general cuarto limpieza 200x60 mm</v>
      </c>
      <c r="C999" s="4">
        <f>IFERROR(__xludf.DUMMYFUNCTION("""COMPUTED_VALUE"""),1.056)</f>
        <v>1.056</v>
      </c>
    </row>
    <row r="1000">
      <c r="A1000" s="4" t="str">
        <f>IFERROR(__xludf.DUMMYFUNCTION("""COMPUTED_VALUE"""),"0854A")</f>
        <v>0854A</v>
      </c>
      <c r="B1000" s="4" t="str">
        <f>IFERROR(__xludf.DUMMYFUNCTION("""COMPUTED_VALUE"""),"Adhesivo información general cuarto limpieza 300x100 mm")</f>
        <v>Adhesivo información general cuarto limpieza 300x100 mm</v>
      </c>
      <c r="C1000" s="4">
        <f>IFERROR(__xludf.DUMMYFUNCTION("""COMPUTED_VALUE"""),1.536)</f>
        <v>1.536</v>
      </c>
    </row>
    <row r="1001">
      <c r="A1001" s="4" t="str">
        <f>IFERROR(__xludf.DUMMYFUNCTION("""COMPUTED_VALUE"""),"0854C")</f>
        <v>0854C</v>
      </c>
      <c r="B1001" s="4" t="str">
        <f>IFERROR(__xludf.DUMMYFUNCTION("""COMPUTED_VALUE"""),"Cartel PVC información general cuarto limpieza 300x100 mm")</f>
        <v>Cartel PVC información general cuarto limpieza 300x100 mm</v>
      </c>
      <c r="C1001" s="4">
        <f>IFERROR(__xludf.DUMMYFUNCTION("""COMPUTED_VALUE"""),1.776)</f>
        <v>1.776</v>
      </c>
    </row>
    <row r="1002">
      <c r="A1002" s="4" t="str">
        <f>IFERROR(__xludf.DUMMYFUNCTION("""COMPUTED_VALUE"""),"855")</f>
        <v>855</v>
      </c>
      <c r="B1002" s="4" t="str">
        <f>IFERROR(__xludf.DUMMYFUNCTION("""COMPUTED_VALUE"""),"Adhesivo información general almacen 200x60 mm")</f>
        <v>Adhesivo información general almacen 200x60 mm</v>
      </c>
      <c r="C1002" s="4">
        <f>IFERROR(__xludf.DUMMYFUNCTION("""COMPUTED_VALUE"""),1.056)</f>
        <v>1.056</v>
      </c>
    </row>
    <row r="1003">
      <c r="A1003" s="4" t="str">
        <f>IFERROR(__xludf.DUMMYFUNCTION("""COMPUTED_VALUE"""),"0855A")</f>
        <v>0855A</v>
      </c>
      <c r="B1003" s="4" t="str">
        <f>IFERROR(__xludf.DUMMYFUNCTION("""COMPUTED_VALUE"""),"Adhesivo información general almacen 300x100 mm")</f>
        <v>Adhesivo información general almacen 300x100 mm</v>
      </c>
      <c r="C1003" s="4">
        <f>IFERROR(__xludf.DUMMYFUNCTION("""COMPUTED_VALUE"""),1.536)</f>
        <v>1.536</v>
      </c>
    </row>
    <row r="1004">
      <c r="A1004" s="4" t="str">
        <f>IFERROR(__xludf.DUMMYFUNCTION("""COMPUTED_VALUE"""),"0855C")</f>
        <v>0855C</v>
      </c>
      <c r="B1004" s="4" t="str">
        <f>IFERROR(__xludf.DUMMYFUNCTION("""COMPUTED_VALUE"""),"Cartel PVC información general almacén 300x100 mm")</f>
        <v>Cartel PVC información general almacén 300x100 mm</v>
      </c>
      <c r="C1004" s="4">
        <f>IFERROR(__xludf.DUMMYFUNCTION("""COMPUTED_VALUE"""),1.776)</f>
        <v>1.776</v>
      </c>
    </row>
    <row r="1005">
      <c r="A1005" s="4" t="str">
        <f>IFERROR(__xludf.DUMMYFUNCTION("""COMPUTED_VALUE"""),"856")</f>
        <v>856</v>
      </c>
      <c r="B1005" s="4" t="str">
        <f>IFERROR(__xludf.DUMMYFUNCTION("""COMPUTED_VALUE"""),"Adhesivo información general oficina 200x60 mm")</f>
        <v>Adhesivo información general oficina 200x60 mm</v>
      </c>
      <c r="C1005" s="4">
        <f>IFERROR(__xludf.DUMMYFUNCTION("""COMPUTED_VALUE"""),1.056)</f>
        <v>1.056</v>
      </c>
    </row>
    <row r="1006">
      <c r="A1006" s="4" t="str">
        <f>IFERROR(__xludf.DUMMYFUNCTION("""COMPUTED_VALUE"""),"0856A")</f>
        <v>0856A</v>
      </c>
      <c r="B1006" s="4" t="str">
        <f>IFERROR(__xludf.DUMMYFUNCTION("""COMPUTED_VALUE"""),"Adhesivo información general oficina 300x100 mm")</f>
        <v>Adhesivo información general oficina 300x100 mm</v>
      </c>
      <c r="C1006" s="4">
        <f>IFERROR(__xludf.DUMMYFUNCTION("""COMPUTED_VALUE"""),1.536)</f>
        <v>1.536</v>
      </c>
    </row>
    <row r="1007">
      <c r="A1007" s="4" t="str">
        <f>IFERROR(__xludf.DUMMYFUNCTION("""COMPUTED_VALUE"""),"0856C")</f>
        <v>0856C</v>
      </c>
      <c r="B1007" s="4" t="str">
        <f>IFERROR(__xludf.DUMMYFUNCTION("""COMPUTED_VALUE"""),"Cartel PVC información general oficina 300x100 mm")</f>
        <v>Cartel PVC información general oficina 300x100 mm</v>
      </c>
      <c r="C1007" s="4">
        <f>IFERROR(__xludf.DUMMYFUNCTION("""COMPUTED_VALUE"""),1.776)</f>
        <v>1.776</v>
      </c>
    </row>
    <row r="1008">
      <c r="A1008" s="4" t="str">
        <f>IFERROR(__xludf.DUMMYFUNCTION("""COMPUTED_VALUE"""),"857")</f>
        <v>857</v>
      </c>
      <c r="B1008" s="4" t="str">
        <f>IFERROR(__xludf.DUMMYFUNCTION("""COMPUTED_VALUE"""),"Adhesivo información general entrada 200x60mm")</f>
        <v>Adhesivo información general entrada 200x60mm</v>
      </c>
      <c r="C1008" s="4">
        <f>IFERROR(__xludf.DUMMYFUNCTION("""COMPUTED_VALUE"""),1.056)</f>
        <v>1.056</v>
      </c>
    </row>
    <row r="1009">
      <c r="A1009" s="4" t="str">
        <f>IFERROR(__xludf.DUMMYFUNCTION("""COMPUTED_VALUE"""),"0857A")</f>
        <v>0857A</v>
      </c>
      <c r="B1009" s="4" t="str">
        <f>IFERROR(__xludf.DUMMYFUNCTION("""COMPUTED_VALUE"""),"Adhesivo información general entrada 300x100mm")</f>
        <v>Adhesivo información general entrada 300x100mm</v>
      </c>
      <c r="C1009" s="4">
        <f>IFERROR(__xludf.DUMMYFUNCTION("""COMPUTED_VALUE"""),1.536)</f>
        <v>1.536</v>
      </c>
    </row>
    <row r="1010">
      <c r="A1010" s="4" t="str">
        <f>IFERROR(__xludf.DUMMYFUNCTION("""COMPUTED_VALUE"""),"0857C")</f>
        <v>0857C</v>
      </c>
      <c r="B1010" s="4" t="str">
        <f>IFERROR(__xludf.DUMMYFUNCTION("""COMPUTED_VALUE"""),"Cartel PVC información general entrada 300x100 mm")</f>
        <v>Cartel PVC información general entrada 300x100 mm</v>
      </c>
      <c r="C1010" s="4">
        <f>IFERROR(__xludf.DUMMYFUNCTION("""COMPUTED_VALUE"""),1.776)</f>
        <v>1.776</v>
      </c>
    </row>
    <row r="1011">
      <c r="A1011" s="4" t="str">
        <f>IFERROR(__xludf.DUMMYFUNCTION("""COMPUTED_VALUE"""),"858")</f>
        <v>858</v>
      </c>
      <c r="B1011" s="4" t="str">
        <f>IFERROR(__xludf.DUMMYFUNCTION("""COMPUTED_VALUE"""),"Adhesivo información general cierre la puerta 200x60 mm")</f>
        <v>Adhesivo información general cierre la puerta 200x60 mm</v>
      </c>
      <c r="C1011" s="4">
        <f>IFERROR(__xludf.DUMMYFUNCTION("""COMPUTED_VALUE"""),1.056)</f>
        <v>1.056</v>
      </c>
    </row>
    <row r="1012">
      <c r="A1012" s="4" t="str">
        <f>IFERROR(__xludf.DUMMYFUNCTION("""COMPUTED_VALUE"""),"0858A")</f>
        <v>0858A</v>
      </c>
      <c r="B1012" s="4" t="str">
        <f>IFERROR(__xludf.DUMMYFUNCTION("""COMPUTED_VALUE"""),"Adhesivo información general cierre la puerta 300x100 mm")</f>
        <v>Adhesivo información general cierre la puerta 300x100 mm</v>
      </c>
      <c r="C1012" s="4">
        <f>IFERROR(__xludf.DUMMYFUNCTION("""COMPUTED_VALUE"""),1.536)</f>
        <v>1.536</v>
      </c>
    </row>
    <row r="1013">
      <c r="A1013" s="4" t="str">
        <f>IFERROR(__xludf.DUMMYFUNCTION("""COMPUTED_VALUE"""),"0858C")</f>
        <v>0858C</v>
      </c>
      <c r="B1013" s="4" t="str">
        <f>IFERROR(__xludf.DUMMYFUNCTION("""COMPUTED_VALUE"""),"Cartel PVC información general cierre la puerta 300x100 mm")</f>
        <v>Cartel PVC información general cierre la puerta 300x100 mm</v>
      </c>
      <c r="C1013" s="4">
        <f>IFERROR(__xludf.DUMMYFUNCTION("""COMPUTED_VALUE"""),1.776)</f>
        <v>1.776</v>
      </c>
    </row>
    <row r="1014">
      <c r="A1014" s="4" t="str">
        <f>IFERROR(__xludf.DUMMYFUNCTION("""COMPUTED_VALUE"""),"859")</f>
        <v>859</v>
      </c>
      <c r="B1014" s="4" t="str">
        <f>IFERROR(__xludf.DUMMYFUNCTION("""COMPUTED_VALUE"""),"Adhesivo información general empujar 200x60 mm")</f>
        <v>Adhesivo información general empujar 200x60 mm</v>
      </c>
      <c r="C1014" s="4">
        <f>IFERROR(__xludf.DUMMYFUNCTION("""COMPUTED_VALUE"""),1.056)</f>
        <v>1.056</v>
      </c>
    </row>
    <row r="1015">
      <c r="A1015" s="4" t="str">
        <f>IFERROR(__xludf.DUMMYFUNCTION("""COMPUTED_VALUE"""),"0859A")</f>
        <v>0859A</v>
      </c>
      <c r="B1015" s="4" t="str">
        <f>IFERROR(__xludf.DUMMYFUNCTION("""COMPUTED_VALUE"""),"Adhesivo información general empujar 300x100 mm")</f>
        <v>Adhesivo información general empujar 300x100 mm</v>
      </c>
      <c r="C1015" s="4">
        <f>IFERROR(__xludf.DUMMYFUNCTION("""COMPUTED_VALUE"""),1.536)</f>
        <v>1.536</v>
      </c>
    </row>
    <row r="1016">
      <c r="A1016" s="4" t="str">
        <f>IFERROR(__xludf.DUMMYFUNCTION("""COMPUTED_VALUE"""),"0859C")</f>
        <v>0859C</v>
      </c>
      <c r="B1016" s="4" t="str">
        <f>IFERROR(__xludf.DUMMYFUNCTION("""COMPUTED_VALUE"""),"Cartel PVC información general empujar 300x100 mm")</f>
        <v>Cartel PVC información general empujar 300x100 mm</v>
      </c>
      <c r="C1016" s="4">
        <f>IFERROR(__xludf.DUMMYFUNCTION("""COMPUTED_VALUE"""),1.776)</f>
        <v>1.776</v>
      </c>
    </row>
    <row r="1017">
      <c r="A1017" s="4" t="str">
        <f>IFERROR(__xludf.DUMMYFUNCTION("""COMPUTED_VALUE"""),"860")</f>
        <v>860</v>
      </c>
      <c r="B1017" s="4" t="str">
        <f>IFERROR(__xludf.DUMMYFUNCTION("""COMPUTED_VALUE"""),"Adhesivo información general tirar 200x60 mm")</f>
        <v>Adhesivo información general tirar 200x60 mm</v>
      </c>
      <c r="C1017" s="4">
        <f>IFERROR(__xludf.DUMMYFUNCTION("""COMPUTED_VALUE"""),1.056)</f>
        <v>1.056</v>
      </c>
    </row>
    <row r="1018">
      <c r="A1018" s="4" t="str">
        <f>IFERROR(__xludf.DUMMYFUNCTION("""COMPUTED_VALUE"""),"0860A")</f>
        <v>0860A</v>
      </c>
      <c r="B1018" s="4" t="str">
        <f>IFERROR(__xludf.DUMMYFUNCTION("""COMPUTED_VALUE"""),"Adhesivo información general tirar 300x100 mm")</f>
        <v>Adhesivo información general tirar 300x100 mm</v>
      </c>
      <c r="C1018" s="4">
        <f>IFERROR(__xludf.DUMMYFUNCTION("""COMPUTED_VALUE"""),1.536)</f>
        <v>1.536</v>
      </c>
    </row>
    <row r="1019">
      <c r="A1019" s="4" t="str">
        <f>IFERROR(__xludf.DUMMYFUNCTION("""COMPUTED_VALUE"""),"0860C")</f>
        <v>0860C</v>
      </c>
      <c r="B1019" s="4" t="str">
        <f>IFERROR(__xludf.DUMMYFUNCTION("""COMPUTED_VALUE"""),"Cartel PVC información general tirar 300x100 mm")</f>
        <v>Cartel PVC información general tirar 300x100 mm</v>
      </c>
      <c r="C1019" s="4">
        <f>IFERROR(__xludf.DUMMYFUNCTION("""COMPUTED_VALUE"""),1.776)</f>
        <v>1.776</v>
      </c>
    </row>
    <row r="1020">
      <c r="A1020" s="4" t="str">
        <f>IFERROR(__xludf.DUMMYFUNCTION("""COMPUTED_VALUE"""),"861")</f>
        <v>861</v>
      </c>
      <c r="B1020" s="4" t="str">
        <f>IFERROR(__xludf.DUMMYFUNCTION("""COMPUTED_VALUE"""),"Cartel PVC 40x30 reciclado vidrio")</f>
        <v>Cartel PVC 40x30 reciclado vidrio</v>
      </c>
      <c r="C1020" s="4">
        <f>IFERROR(__xludf.DUMMYFUNCTION("""COMPUTED_VALUE"""),2.3808)</f>
        <v>2.3808</v>
      </c>
    </row>
    <row r="1021">
      <c r="A1021" s="4" t="str">
        <f>IFERROR(__xludf.DUMMYFUNCTION("""COMPUTED_VALUE"""),"0861A")</f>
        <v>0861A</v>
      </c>
      <c r="B1021" s="4" t="str">
        <f>IFERROR(__xludf.DUMMYFUNCTION("""COMPUTED_VALUE"""),"Adhesivo PVC 21x29 reciclado vidrio")</f>
        <v>Adhesivo PVC 21x29 reciclado vidrio</v>
      </c>
      <c r="C1021" s="4">
        <f>IFERROR(__xludf.DUMMYFUNCTION("""COMPUTED_VALUE"""),1.2)</f>
        <v>1.2</v>
      </c>
    </row>
    <row r="1022">
      <c r="A1022" s="4" t="str">
        <f>IFERROR(__xludf.DUMMYFUNCTION("""COMPUTED_VALUE"""),"0861P")</f>
        <v>0861P</v>
      </c>
      <c r="B1022" s="4" t="str">
        <f>IFERROR(__xludf.DUMMYFUNCTION("""COMPUTED_VALUE"""),"Cartel PVC 21x29 reciclado vidrio")</f>
        <v>Cartel PVC 21x29 reciclado vidrio</v>
      </c>
      <c r="C1022" s="4">
        <f>IFERROR(__xludf.DUMMYFUNCTION("""COMPUTED_VALUE"""),1.536)</f>
        <v>1.536</v>
      </c>
    </row>
    <row r="1023">
      <c r="A1023" s="4" t="str">
        <f>IFERROR(__xludf.DUMMYFUNCTION("""COMPUTED_VALUE"""),"862")</f>
        <v>862</v>
      </c>
      <c r="B1023" s="4" t="str">
        <f>IFERROR(__xludf.DUMMYFUNCTION("""COMPUTED_VALUE"""),"Cartel PVC 40x30 reciclado plástico")</f>
        <v>Cartel PVC 40x30 reciclado plástico</v>
      </c>
      <c r="C1023" s="4">
        <f>IFERROR(__xludf.DUMMYFUNCTION("""COMPUTED_VALUE"""),2.3808)</f>
        <v>2.3808</v>
      </c>
    </row>
    <row r="1024">
      <c r="A1024" s="4" t="str">
        <f>IFERROR(__xludf.DUMMYFUNCTION("""COMPUTED_VALUE"""),"0862A")</f>
        <v>0862A</v>
      </c>
      <c r="B1024" s="4" t="str">
        <f>IFERROR(__xludf.DUMMYFUNCTION("""COMPUTED_VALUE"""),"Adhesivo PVC 21x29 reciclado plástico")</f>
        <v>Adhesivo PVC 21x29 reciclado plástico</v>
      </c>
      <c r="C1024" s="4">
        <f>IFERROR(__xludf.DUMMYFUNCTION("""COMPUTED_VALUE"""),1.2)</f>
        <v>1.2</v>
      </c>
    </row>
    <row r="1025">
      <c r="A1025" s="4" t="str">
        <f>IFERROR(__xludf.DUMMYFUNCTION("""COMPUTED_VALUE"""),"0862P")</f>
        <v>0862P</v>
      </c>
      <c r="B1025" s="4" t="str">
        <f>IFERROR(__xludf.DUMMYFUNCTION("""COMPUTED_VALUE"""),"Cartel PVC 21x29 reciclado plástico")</f>
        <v>Cartel PVC 21x29 reciclado plástico</v>
      </c>
      <c r="C1025" s="4">
        <f>IFERROR(__xludf.DUMMYFUNCTION("""COMPUTED_VALUE"""),1.536)</f>
        <v>1.536</v>
      </c>
    </row>
    <row r="1026">
      <c r="A1026" s="4" t="str">
        <f>IFERROR(__xludf.DUMMYFUNCTION("""COMPUTED_VALUE"""),"863")</f>
        <v>863</v>
      </c>
      <c r="B1026" s="4" t="str">
        <f>IFERROR(__xludf.DUMMYFUNCTION("""COMPUTED_VALUE"""),"Cartel PVC 40x30 reciclado metal")</f>
        <v>Cartel PVC 40x30 reciclado metal</v>
      </c>
      <c r="C1026" s="4">
        <f>IFERROR(__xludf.DUMMYFUNCTION("""COMPUTED_VALUE"""),2.3808)</f>
        <v>2.3808</v>
      </c>
    </row>
    <row r="1027">
      <c r="A1027" s="4" t="str">
        <f>IFERROR(__xludf.DUMMYFUNCTION("""COMPUTED_VALUE"""),"0863A")</f>
        <v>0863A</v>
      </c>
      <c r="B1027" s="4" t="str">
        <f>IFERROR(__xludf.DUMMYFUNCTION("""COMPUTED_VALUE"""),"Adhesivo PVC 21x29 reciclado metal")</f>
        <v>Adhesivo PVC 21x29 reciclado metal</v>
      </c>
      <c r="C1027" s="4">
        <f>IFERROR(__xludf.DUMMYFUNCTION("""COMPUTED_VALUE"""),1.2)</f>
        <v>1.2</v>
      </c>
    </row>
    <row r="1028">
      <c r="A1028" s="4" t="str">
        <f>IFERROR(__xludf.DUMMYFUNCTION("""COMPUTED_VALUE"""),"0863P")</f>
        <v>0863P</v>
      </c>
      <c r="B1028" s="4" t="str">
        <f>IFERROR(__xludf.DUMMYFUNCTION("""COMPUTED_VALUE"""),"Cartel PVC 21x29 reciclado metal")</f>
        <v>Cartel PVC 21x29 reciclado metal</v>
      </c>
      <c r="C1028" s="4">
        <f>IFERROR(__xludf.DUMMYFUNCTION("""COMPUTED_VALUE"""),1.536)</f>
        <v>1.536</v>
      </c>
    </row>
    <row r="1029">
      <c r="A1029" s="4" t="str">
        <f>IFERROR(__xludf.DUMMYFUNCTION("""COMPUTED_VALUE"""),"864")</f>
        <v>864</v>
      </c>
      <c r="B1029" s="4" t="str">
        <f>IFERROR(__xludf.DUMMYFUNCTION("""COMPUTED_VALUE"""),"Cartel PVC 40x30 reciclado madera")</f>
        <v>Cartel PVC 40x30 reciclado madera</v>
      </c>
      <c r="C1029" s="4">
        <f>IFERROR(__xludf.DUMMYFUNCTION("""COMPUTED_VALUE"""),2.3808)</f>
        <v>2.3808</v>
      </c>
    </row>
    <row r="1030">
      <c r="A1030" s="4" t="str">
        <f>IFERROR(__xludf.DUMMYFUNCTION("""COMPUTED_VALUE"""),"0864A")</f>
        <v>0864A</v>
      </c>
      <c r="B1030" s="4" t="str">
        <f>IFERROR(__xludf.DUMMYFUNCTION("""COMPUTED_VALUE"""),"Adhesivo PVC 21x29 reciclado madera")</f>
        <v>Adhesivo PVC 21x29 reciclado madera</v>
      </c>
      <c r="C1030" s="4">
        <f>IFERROR(__xludf.DUMMYFUNCTION("""COMPUTED_VALUE"""),1.2)</f>
        <v>1.2</v>
      </c>
    </row>
    <row r="1031">
      <c r="A1031" s="4" t="str">
        <f>IFERROR(__xludf.DUMMYFUNCTION("""COMPUTED_VALUE"""),"0864P")</f>
        <v>0864P</v>
      </c>
      <c r="B1031" s="4" t="str">
        <f>IFERROR(__xludf.DUMMYFUNCTION("""COMPUTED_VALUE"""),"Cartel PVC 21x29 reciclado madera")</f>
        <v>Cartel PVC 21x29 reciclado madera</v>
      </c>
      <c r="C1031" s="4">
        <f>IFERROR(__xludf.DUMMYFUNCTION("""COMPUTED_VALUE"""),1.536)</f>
        <v>1.536</v>
      </c>
    </row>
    <row r="1032">
      <c r="A1032" s="4" t="str">
        <f>IFERROR(__xludf.DUMMYFUNCTION("""COMPUTED_VALUE"""),"865")</f>
        <v>865</v>
      </c>
      <c r="B1032" s="4" t="str">
        <f>IFERROR(__xludf.DUMMYFUNCTION("""COMPUTED_VALUE"""),"Cartel PVC 40x30 reciclado aluminio")</f>
        <v>Cartel PVC 40x30 reciclado aluminio</v>
      </c>
      <c r="C1032" s="4">
        <f>IFERROR(__xludf.DUMMYFUNCTION("""COMPUTED_VALUE"""),2.3808)</f>
        <v>2.3808</v>
      </c>
    </row>
    <row r="1033">
      <c r="A1033" s="4" t="str">
        <f>IFERROR(__xludf.DUMMYFUNCTION("""COMPUTED_VALUE"""),"0865A")</f>
        <v>0865A</v>
      </c>
      <c r="B1033" s="4" t="str">
        <f>IFERROR(__xludf.DUMMYFUNCTION("""COMPUTED_VALUE"""),"Adhesivo PVC 21x29 reciclado aluminio")</f>
        <v>Adhesivo PVC 21x29 reciclado aluminio</v>
      </c>
      <c r="C1033" s="4">
        <f>IFERROR(__xludf.DUMMYFUNCTION("""COMPUTED_VALUE"""),1.2)</f>
        <v>1.2</v>
      </c>
    </row>
    <row r="1034">
      <c r="A1034" s="4" t="str">
        <f>IFERROR(__xludf.DUMMYFUNCTION("""COMPUTED_VALUE"""),"0865P")</f>
        <v>0865P</v>
      </c>
      <c r="B1034" s="4" t="str">
        <f>IFERROR(__xludf.DUMMYFUNCTION("""COMPUTED_VALUE"""),"Cartel PVC 21x29 reciclado aluminio")</f>
        <v>Cartel PVC 21x29 reciclado aluminio</v>
      </c>
      <c r="C1034" s="4">
        <f>IFERROR(__xludf.DUMMYFUNCTION("""COMPUTED_VALUE"""),1.536)</f>
        <v>1.536</v>
      </c>
    </row>
    <row r="1035">
      <c r="A1035" s="4" t="str">
        <f>IFERROR(__xludf.DUMMYFUNCTION("""COMPUTED_VALUE"""),"866")</f>
        <v>866</v>
      </c>
      <c r="B1035" s="4" t="str">
        <f>IFERROR(__xludf.DUMMYFUNCTION("""COMPUTED_VALUE"""),"Cartel PVC 40x30 reciclado papel")</f>
        <v>Cartel PVC 40x30 reciclado papel</v>
      </c>
      <c r="C1035" s="4">
        <f>IFERROR(__xludf.DUMMYFUNCTION("""COMPUTED_VALUE"""),2.3808)</f>
        <v>2.3808</v>
      </c>
    </row>
    <row r="1036">
      <c r="A1036" s="4" t="str">
        <f>IFERROR(__xludf.DUMMYFUNCTION("""COMPUTED_VALUE"""),"0866A")</f>
        <v>0866A</v>
      </c>
      <c r="B1036" s="4" t="str">
        <f>IFERROR(__xludf.DUMMYFUNCTION("""COMPUTED_VALUE"""),"Adhesivo PVC 21x29 reciclado papel")</f>
        <v>Adhesivo PVC 21x29 reciclado papel</v>
      </c>
      <c r="C1036" s="4">
        <f>IFERROR(__xludf.DUMMYFUNCTION("""COMPUTED_VALUE"""),1.2)</f>
        <v>1.2</v>
      </c>
    </row>
    <row r="1037">
      <c r="A1037" s="4" t="str">
        <f>IFERROR(__xludf.DUMMYFUNCTION("""COMPUTED_VALUE"""),"0866P")</f>
        <v>0866P</v>
      </c>
      <c r="B1037" s="4" t="str">
        <f>IFERROR(__xludf.DUMMYFUNCTION("""COMPUTED_VALUE"""),"Cartel PVC 21x29 reciclado papel")</f>
        <v>Cartel PVC 21x29 reciclado papel</v>
      </c>
      <c r="C1037" s="4">
        <f>IFERROR(__xludf.DUMMYFUNCTION("""COMPUTED_VALUE"""),1.536)</f>
        <v>1.536</v>
      </c>
    </row>
    <row r="1038">
      <c r="A1038" s="4" t="str">
        <f>IFERROR(__xludf.DUMMYFUNCTION("""COMPUTED_VALUE"""),"867")</f>
        <v>867</v>
      </c>
      <c r="B1038" s="4" t="str">
        <f>IFERROR(__xludf.DUMMYFUNCTION("""COMPUTED_VALUE"""),"Cartel PVC 40x30 reciclado envases")</f>
        <v>Cartel PVC 40x30 reciclado envases</v>
      </c>
      <c r="C1038" s="4">
        <f>IFERROR(__xludf.DUMMYFUNCTION("""COMPUTED_VALUE"""),2.3808)</f>
        <v>2.3808</v>
      </c>
    </row>
    <row r="1039">
      <c r="A1039" s="4" t="str">
        <f>IFERROR(__xludf.DUMMYFUNCTION("""COMPUTED_VALUE"""),"0867A")</f>
        <v>0867A</v>
      </c>
      <c r="B1039" s="4" t="str">
        <f>IFERROR(__xludf.DUMMYFUNCTION("""COMPUTED_VALUE"""),"Adhesivo PVC 21x29 reciclado envases")</f>
        <v>Adhesivo PVC 21x29 reciclado envases</v>
      </c>
      <c r="C1039" s="4">
        <f>IFERROR(__xludf.DUMMYFUNCTION("""COMPUTED_VALUE"""),1.2)</f>
        <v>1.2</v>
      </c>
    </row>
    <row r="1040">
      <c r="A1040" s="4" t="str">
        <f>IFERROR(__xludf.DUMMYFUNCTION("""COMPUTED_VALUE"""),"0867P")</f>
        <v>0867P</v>
      </c>
      <c r="B1040" s="4" t="str">
        <f>IFERROR(__xludf.DUMMYFUNCTION("""COMPUTED_VALUE"""),"Cartel PVC 21x29 reciclado envases")</f>
        <v>Cartel PVC 21x29 reciclado envases</v>
      </c>
      <c r="C1040" s="4">
        <f>IFERROR(__xludf.DUMMYFUNCTION("""COMPUTED_VALUE"""),1.536)</f>
        <v>1.536</v>
      </c>
    </row>
    <row r="1041">
      <c r="A1041" s="4" t="str">
        <f>IFERROR(__xludf.DUMMYFUNCTION("""COMPUTED_VALUE"""),"868")</f>
        <v>868</v>
      </c>
      <c r="B1041" s="4" t="str">
        <f>IFERROR(__xludf.DUMMYFUNCTION("""COMPUTED_VALUE"""),"Cartel PVC 40x30 reciclado latas")</f>
        <v>Cartel PVC 40x30 reciclado latas</v>
      </c>
      <c r="C1041" s="4">
        <f>IFERROR(__xludf.DUMMYFUNCTION("""COMPUTED_VALUE"""),2.3808)</f>
        <v>2.3808</v>
      </c>
    </row>
    <row r="1042">
      <c r="A1042" s="4" t="str">
        <f>IFERROR(__xludf.DUMMYFUNCTION("""COMPUTED_VALUE"""),"0868A")</f>
        <v>0868A</v>
      </c>
      <c r="B1042" s="4" t="str">
        <f>IFERROR(__xludf.DUMMYFUNCTION("""COMPUTED_VALUE"""),"Adhesivo PVC 21x29 reciclado latas")</f>
        <v>Adhesivo PVC 21x29 reciclado latas</v>
      </c>
      <c r="C1042" s="4">
        <f>IFERROR(__xludf.DUMMYFUNCTION("""COMPUTED_VALUE"""),1.2)</f>
        <v>1.2</v>
      </c>
    </row>
    <row r="1043">
      <c r="A1043" s="4" t="str">
        <f>IFERROR(__xludf.DUMMYFUNCTION("""COMPUTED_VALUE"""),"0868P")</f>
        <v>0868P</v>
      </c>
      <c r="B1043" s="4" t="str">
        <f>IFERROR(__xludf.DUMMYFUNCTION("""COMPUTED_VALUE"""),"Cartel PVC 21x29 reciclado latas")</f>
        <v>Cartel PVC 21x29 reciclado latas</v>
      </c>
      <c r="C1043" s="4">
        <f>IFERROR(__xludf.DUMMYFUNCTION("""COMPUTED_VALUE"""),1.536)</f>
        <v>1.536</v>
      </c>
    </row>
    <row r="1044">
      <c r="A1044" s="4" t="str">
        <f>IFERROR(__xludf.DUMMYFUNCTION("""COMPUTED_VALUE"""),"869")</f>
        <v>869</v>
      </c>
      <c r="B1044" s="4" t="str">
        <f>IFERROR(__xludf.DUMMYFUNCTION("""COMPUTED_VALUE"""),"Cartel PVC 40x30 reciclado chatarra")</f>
        <v>Cartel PVC 40x30 reciclado chatarra</v>
      </c>
      <c r="C1044" s="4">
        <f>IFERROR(__xludf.DUMMYFUNCTION("""COMPUTED_VALUE"""),2.3808)</f>
        <v>2.3808</v>
      </c>
    </row>
    <row r="1045">
      <c r="A1045" s="4" t="str">
        <f>IFERROR(__xludf.DUMMYFUNCTION("""COMPUTED_VALUE"""),"0869A")</f>
        <v>0869A</v>
      </c>
      <c r="B1045" s="4" t="str">
        <f>IFERROR(__xludf.DUMMYFUNCTION("""COMPUTED_VALUE"""),"Adhesivo PVC 21x29 reciclado chatarra")</f>
        <v>Adhesivo PVC 21x29 reciclado chatarra</v>
      </c>
      <c r="C1045" s="4">
        <f>IFERROR(__xludf.DUMMYFUNCTION("""COMPUTED_VALUE"""),1.2)</f>
        <v>1.2</v>
      </c>
    </row>
    <row r="1046">
      <c r="A1046" s="4" t="str">
        <f>IFERROR(__xludf.DUMMYFUNCTION("""COMPUTED_VALUE"""),"0869P")</f>
        <v>0869P</v>
      </c>
      <c r="B1046" s="4" t="str">
        <f>IFERROR(__xludf.DUMMYFUNCTION("""COMPUTED_VALUE"""),"Cartel PVC 21x29 reciclado chatarra")</f>
        <v>Cartel PVC 21x29 reciclado chatarra</v>
      </c>
      <c r="C1046" s="4">
        <f>IFERROR(__xludf.DUMMYFUNCTION("""COMPUTED_VALUE"""),1.536)</f>
        <v>1.536</v>
      </c>
    </row>
    <row r="1047">
      <c r="A1047" s="4" t="str">
        <f>IFERROR(__xludf.DUMMYFUNCTION("""COMPUTED_VALUE"""),"870")</f>
        <v>870</v>
      </c>
      <c r="B1047" s="4" t="str">
        <f>IFERROR(__xludf.DUMMYFUNCTION("""COMPUTED_VALUE"""),"Cartel PVC 40x30 reciclado basura")</f>
        <v>Cartel PVC 40x30 reciclado basura</v>
      </c>
      <c r="C1047" s="4">
        <f>IFERROR(__xludf.DUMMYFUNCTION("""COMPUTED_VALUE"""),2.3808)</f>
        <v>2.3808</v>
      </c>
    </row>
    <row r="1048">
      <c r="A1048" s="4" t="str">
        <f>IFERROR(__xludf.DUMMYFUNCTION("""COMPUTED_VALUE"""),"0870A")</f>
        <v>0870A</v>
      </c>
      <c r="B1048" s="4" t="str">
        <f>IFERROR(__xludf.DUMMYFUNCTION("""COMPUTED_VALUE"""),"Adhesivo PVC 21x29 reciclado basura")</f>
        <v>Adhesivo PVC 21x29 reciclado basura</v>
      </c>
      <c r="C1048" s="4">
        <f>IFERROR(__xludf.DUMMYFUNCTION("""COMPUTED_VALUE"""),1.2)</f>
        <v>1.2</v>
      </c>
    </row>
    <row r="1049">
      <c r="A1049" s="4" t="str">
        <f>IFERROR(__xludf.DUMMYFUNCTION("""COMPUTED_VALUE"""),"0870P")</f>
        <v>0870P</v>
      </c>
      <c r="B1049" s="4" t="str">
        <f>IFERROR(__xludf.DUMMYFUNCTION("""COMPUTED_VALUE"""),"Cartel PVC 21x29 reciclado basura")</f>
        <v>Cartel PVC 21x29 reciclado basura</v>
      </c>
      <c r="C1049" s="4">
        <f>IFERROR(__xludf.DUMMYFUNCTION("""COMPUTED_VALUE"""),1.536)</f>
        <v>1.536</v>
      </c>
    </row>
    <row r="1050">
      <c r="A1050" s="4" t="str">
        <f>IFERROR(__xludf.DUMMYFUNCTION("""COMPUTED_VALUE"""),"871")</f>
        <v>871</v>
      </c>
      <c r="B1050" s="4" t="str">
        <f>IFERROR(__xludf.DUMMYFUNCTION("""COMPUTED_VALUE"""),"Cartel PVC 40x30 cm zona controlada, riesgo de irradiación")</f>
        <v>Cartel PVC 40x30 cm zona controlada, riesgo de irradiación</v>
      </c>
      <c r="C1050" s="4">
        <f>IFERROR(__xludf.DUMMYFUNCTION("""COMPUTED_VALUE"""),2.3808)</f>
        <v>2.3808</v>
      </c>
    </row>
    <row r="1051">
      <c r="A1051" s="4" t="str">
        <f>IFERROR(__xludf.DUMMYFUNCTION("""COMPUTED_VALUE"""),"0871A")</f>
        <v>0871A</v>
      </c>
      <c r="B1051" s="4" t="str">
        <f>IFERROR(__xludf.DUMMYFUNCTION("""COMPUTED_VALUE"""),"Adhesivo PVC 21x29 cm zona controlada, riesgo de irradiación")</f>
        <v>Adhesivo PVC 21x29 cm zona controlada, riesgo de irradiación</v>
      </c>
      <c r="C1051" s="4">
        <f>IFERROR(__xludf.DUMMYFUNCTION("""COMPUTED_VALUE"""),1.2)</f>
        <v>1.2</v>
      </c>
    </row>
    <row r="1052">
      <c r="A1052" s="4" t="str">
        <f>IFERROR(__xludf.DUMMYFUNCTION("""COMPUTED_VALUE"""),"0871P")</f>
        <v>0871P</v>
      </c>
      <c r="B1052" s="4" t="str">
        <f>IFERROR(__xludf.DUMMYFUNCTION("""COMPUTED_VALUE"""),"Cartel PVC 21x29 cm zona controlada, riesgo de irradiación")</f>
        <v>Cartel PVC 21x29 cm zona controlada, riesgo de irradiación</v>
      </c>
      <c r="C1052" s="4">
        <f>IFERROR(__xludf.DUMMYFUNCTION("""COMPUTED_VALUE"""),1.536)</f>
        <v>1.536</v>
      </c>
    </row>
    <row r="1053">
      <c r="A1053" s="4" t="str">
        <f>IFERROR(__xludf.DUMMYFUNCTION("""COMPUTED_VALUE"""),"872")</f>
        <v>872</v>
      </c>
      <c r="B1053" s="4" t="str">
        <f>IFERROR(__xludf.DUMMYFUNCTION("""COMPUTED_VALUE"""),"Cartel PVC 40x30 cm zona controlada, riesgo de")</f>
        <v>Cartel PVC 40x30 cm zona controlada, riesgo de</v>
      </c>
      <c r="C1053" s="4">
        <f>IFERROR(__xludf.DUMMYFUNCTION("""COMPUTED_VALUE"""),2.3808)</f>
        <v>2.3808</v>
      </c>
    </row>
    <row r="1054">
      <c r="A1054" s="4" t="str">
        <f>IFERROR(__xludf.DUMMYFUNCTION("""COMPUTED_VALUE"""),"0872A")</f>
        <v>0872A</v>
      </c>
      <c r="B1054" s="4" t="str">
        <f>IFERROR(__xludf.DUMMYFUNCTION("""COMPUTED_VALUE"""),"Adhesivo PVC 21x29 cm zona controlada, riesgo de")</f>
        <v>Adhesivo PVC 21x29 cm zona controlada, riesgo de</v>
      </c>
      <c r="C1054" s="4">
        <f>IFERROR(__xludf.DUMMYFUNCTION("""COMPUTED_VALUE"""),1.2)</f>
        <v>1.2</v>
      </c>
    </row>
    <row r="1055">
      <c r="A1055" s="4" t="str">
        <f>IFERROR(__xludf.DUMMYFUNCTION("""COMPUTED_VALUE"""),"0872P")</f>
        <v>0872P</v>
      </c>
      <c r="B1055" s="4" t="str">
        <f>IFERROR(__xludf.DUMMYFUNCTION("""COMPUTED_VALUE"""),"Cartel PVC 21x29 cm zona controlada, riesgo de")</f>
        <v>Cartel PVC 21x29 cm zona controlada, riesgo de</v>
      </c>
      <c r="C1055" s="4">
        <f>IFERROR(__xludf.DUMMYFUNCTION("""COMPUTED_VALUE"""),1.536)</f>
        <v>1.536</v>
      </c>
    </row>
    <row r="1056">
      <c r="A1056" s="4" t="str">
        <f>IFERROR(__xludf.DUMMYFUNCTION("""COMPUTED_VALUE"""),"873")</f>
        <v>873</v>
      </c>
      <c r="B1056" s="4" t="str">
        <f>IFERROR(__xludf.DUMMYFUNCTION("""COMPUTED_VALUE"""),"Cartel PVC 40x30 cm zona controlada, riesgo de cont. e irrad.")</f>
        <v>Cartel PVC 40x30 cm zona controlada, riesgo de cont. e irrad.</v>
      </c>
      <c r="C1056" s="4">
        <f>IFERROR(__xludf.DUMMYFUNCTION("""COMPUTED_VALUE"""),2.3808)</f>
        <v>2.3808</v>
      </c>
    </row>
    <row r="1057">
      <c r="A1057" s="4" t="str">
        <f>IFERROR(__xludf.DUMMYFUNCTION("""COMPUTED_VALUE"""),"0873A")</f>
        <v>0873A</v>
      </c>
      <c r="B1057" s="4" t="str">
        <f>IFERROR(__xludf.DUMMYFUNCTION("""COMPUTED_VALUE"""),"Adhesivo PVC 21x29 cm zona controlada, riesgo de cont. e")</f>
        <v>Adhesivo PVC 21x29 cm zona controlada, riesgo de cont. e</v>
      </c>
      <c r="C1057" s="4">
        <f>IFERROR(__xludf.DUMMYFUNCTION("""COMPUTED_VALUE"""),1.2)</f>
        <v>1.2</v>
      </c>
    </row>
    <row r="1058">
      <c r="A1058" s="4" t="str">
        <f>IFERROR(__xludf.DUMMYFUNCTION("""COMPUTED_VALUE"""),"0873P")</f>
        <v>0873P</v>
      </c>
      <c r="B1058" s="4" t="str">
        <f>IFERROR(__xludf.DUMMYFUNCTION("""COMPUTED_VALUE"""),"zona controlada, riesgo de cont. e irrad.")</f>
        <v>zona controlada, riesgo de cont. e irrad.</v>
      </c>
      <c r="C1058" s="4">
        <f>IFERROR(__xludf.DUMMYFUNCTION("""COMPUTED_VALUE"""),1.2)</f>
        <v>1.2</v>
      </c>
    </row>
    <row r="1059">
      <c r="A1059" s="4" t="str">
        <f>IFERROR(__xludf.DUMMYFUNCTION("""COMPUTED_VALUE"""),"874")</f>
        <v>874</v>
      </c>
      <c r="B1059" s="4" t="str">
        <f>IFERROR(__xludf.DUMMYFUNCTION("""COMPUTED_VALUE"""),"Cartel PVC 40x30 cm zona perm. limitada, riesgo de")</f>
        <v>Cartel PVC 40x30 cm zona perm. limitada, riesgo de</v>
      </c>
      <c r="C1059" s="4">
        <f>IFERROR(__xludf.DUMMYFUNCTION("""COMPUTED_VALUE"""),2.3808)</f>
        <v>2.3808</v>
      </c>
    </row>
    <row r="1060">
      <c r="A1060" s="4" t="str">
        <f>IFERROR(__xludf.DUMMYFUNCTION("""COMPUTED_VALUE"""),"0874A")</f>
        <v>0874A</v>
      </c>
      <c r="B1060" s="4" t="str">
        <f>IFERROR(__xludf.DUMMYFUNCTION("""COMPUTED_VALUE"""),"Adhesivo PVC 21x29 cm zona zona perm. limitada, riesgo de")</f>
        <v>Adhesivo PVC 21x29 cm zona zona perm. limitada, riesgo de</v>
      </c>
      <c r="C1060" s="4">
        <f>IFERROR(__xludf.DUMMYFUNCTION("""COMPUTED_VALUE"""),1.2)</f>
        <v>1.2</v>
      </c>
    </row>
    <row r="1061">
      <c r="A1061" s="4" t="str">
        <f>IFERROR(__xludf.DUMMYFUNCTION("""COMPUTED_VALUE"""),"0874P")</f>
        <v>0874P</v>
      </c>
      <c r="B1061" s="4" t="str">
        <f>IFERROR(__xludf.DUMMYFUNCTION("""COMPUTED_VALUE"""),"Cartel PVC 21x29 cm zona perm. limitada, riesgo de")</f>
        <v>Cartel PVC 21x29 cm zona perm. limitada, riesgo de</v>
      </c>
      <c r="C1061" s="4">
        <f>IFERROR(__xludf.DUMMYFUNCTION("""COMPUTED_VALUE"""),1.536)</f>
        <v>1.536</v>
      </c>
    </row>
    <row r="1062">
      <c r="A1062" s="4" t="str">
        <f>IFERROR(__xludf.DUMMYFUNCTION("""COMPUTED_VALUE"""),"875")</f>
        <v>875</v>
      </c>
      <c r="B1062" s="4" t="str">
        <f>IFERROR(__xludf.DUMMYFUNCTION("""COMPUTED_VALUE"""),"Cartel PVC 40x30 cm zona perm. limitada, riesgo de")</f>
        <v>Cartel PVC 40x30 cm zona perm. limitada, riesgo de</v>
      </c>
      <c r="C1062" s="4">
        <f>IFERROR(__xludf.DUMMYFUNCTION("""COMPUTED_VALUE"""),2.3808)</f>
        <v>2.3808</v>
      </c>
    </row>
    <row r="1063">
      <c r="A1063" s="4" t="str">
        <f>IFERROR(__xludf.DUMMYFUNCTION("""COMPUTED_VALUE"""),"0875A")</f>
        <v>0875A</v>
      </c>
      <c r="B1063" s="4" t="str">
        <f>IFERROR(__xludf.DUMMYFUNCTION("""COMPUTED_VALUE"""),"Adhesivo PVC 21x29 cm zona zona perm. limitada, riesgo de")</f>
        <v>Adhesivo PVC 21x29 cm zona zona perm. limitada, riesgo de</v>
      </c>
      <c r="C1063" s="4">
        <f>IFERROR(__xludf.DUMMYFUNCTION("""COMPUTED_VALUE"""),1.2)</f>
        <v>1.2</v>
      </c>
    </row>
    <row r="1064">
      <c r="A1064" s="4" t="str">
        <f>IFERROR(__xludf.DUMMYFUNCTION("""COMPUTED_VALUE"""),"0875P")</f>
        <v>0875P</v>
      </c>
      <c r="B1064" s="4" t="str">
        <f>IFERROR(__xludf.DUMMYFUNCTION("""COMPUTED_VALUE"""),"Cartel PVC 21x29 cm zona perm. limitada, riesgo de")</f>
        <v>Cartel PVC 21x29 cm zona perm. limitada, riesgo de</v>
      </c>
      <c r="C1064" s="4">
        <f>IFERROR(__xludf.DUMMYFUNCTION("""COMPUTED_VALUE"""),1.536)</f>
        <v>1.536</v>
      </c>
    </row>
    <row r="1065">
      <c r="A1065" s="4" t="str">
        <f>IFERROR(__xludf.DUMMYFUNCTION("""COMPUTED_VALUE"""),"876")</f>
        <v>876</v>
      </c>
      <c r="B1065" s="4" t="str">
        <f>IFERROR(__xludf.DUMMYFUNCTION("""COMPUTED_VALUE"""),"Cartel PVC 40x30 cm zona perm. limitada, riesgo de cont. e")</f>
        <v>Cartel PVC 40x30 cm zona perm. limitada, riesgo de cont. e</v>
      </c>
      <c r="C1065" s="4">
        <f>IFERROR(__xludf.DUMMYFUNCTION("""COMPUTED_VALUE"""),2.3808)</f>
        <v>2.3808</v>
      </c>
    </row>
    <row r="1066">
      <c r="A1066" s="4" t="str">
        <f>IFERROR(__xludf.DUMMYFUNCTION("""COMPUTED_VALUE"""),"0876A")</f>
        <v>0876A</v>
      </c>
      <c r="B1066" s="4" t="str">
        <f>IFERROR(__xludf.DUMMYFUNCTION("""COMPUTED_VALUE"""),"Adhesivo PVC 21x29 cm zona zona perm. limitada, riesgo cont.")</f>
        <v>Adhesivo PVC 21x29 cm zona zona perm. limitada, riesgo cont.</v>
      </c>
      <c r="C1066" s="4">
        <f>IFERROR(__xludf.DUMMYFUNCTION("""COMPUTED_VALUE"""),1.2)</f>
        <v>1.2</v>
      </c>
    </row>
    <row r="1067">
      <c r="A1067" s="4" t="str">
        <f>IFERROR(__xludf.DUMMYFUNCTION("""COMPUTED_VALUE"""),"0876P")</f>
        <v>0876P</v>
      </c>
      <c r="B1067" s="4" t="str">
        <f>IFERROR(__xludf.DUMMYFUNCTION("""COMPUTED_VALUE"""),"Cartel PVC 21x29 cm zona perm. limitada, riesgo de cont. e")</f>
        <v>Cartel PVC 21x29 cm zona perm. limitada, riesgo de cont. e</v>
      </c>
      <c r="C1067" s="4">
        <f>IFERROR(__xludf.DUMMYFUNCTION("""COMPUTED_VALUE"""),1.536)</f>
        <v>1.536</v>
      </c>
    </row>
    <row r="1068">
      <c r="A1068" s="4" t="str">
        <f>IFERROR(__xludf.DUMMYFUNCTION("""COMPUTED_VALUE"""),"877")</f>
        <v>877</v>
      </c>
      <c r="B1068" s="4" t="str">
        <f>IFERROR(__xludf.DUMMYFUNCTION("""COMPUTED_VALUE"""),"Cartel PVC 40x30 cm zona acceso prohibido, riesgo de")</f>
        <v>Cartel PVC 40x30 cm zona acceso prohibido, riesgo de</v>
      </c>
      <c r="C1068" s="4">
        <f>IFERROR(__xludf.DUMMYFUNCTION("""COMPUTED_VALUE"""),2.3808)</f>
        <v>2.3808</v>
      </c>
    </row>
    <row r="1069">
      <c r="A1069" s="4" t="str">
        <f>IFERROR(__xludf.DUMMYFUNCTION("""COMPUTED_VALUE"""),"0877A")</f>
        <v>0877A</v>
      </c>
      <c r="B1069" s="4" t="str">
        <f>IFERROR(__xludf.DUMMYFUNCTION("""COMPUTED_VALUE"""),"Adhesivo PVC 21x29 cm zona acceso prohibido, riesgo de")</f>
        <v>Adhesivo PVC 21x29 cm zona acceso prohibido, riesgo de</v>
      </c>
      <c r="C1069" s="4">
        <f>IFERROR(__xludf.DUMMYFUNCTION("""COMPUTED_VALUE"""),1.2)</f>
        <v>1.2</v>
      </c>
    </row>
    <row r="1070">
      <c r="A1070" s="4" t="str">
        <f>IFERROR(__xludf.DUMMYFUNCTION("""COMPUTED_VALUE"""),"0877P")</f>
        <v>0877P</v>
      </c>
      <c r="B1070" s="4" t="str">
        <f>IFERROR(__xludf.DUMMYFUNCTION("""COMPUTED_VALUE"""),"Cartel PVC 21x29 cm zona acceso prohibido, riesgo de")</f>
        <v>Cartel PVC 21x29 cm zona acceso prohibido, riesgo de</v>
      </c>
      <c r="C1070" s="4">
        <f>IFERROR(__xludf.DUMMYFUNCTION("""COMPUTED_VALUE"""),1.536)</f>
        <v>1.536</v>
      </c>
    </row>
    <row r="1071">
      <c r="A1071" s="4" t="str">
        <f>IFERROR(__xludf.DUMMYFUNCTION("""COMPUTED_VALUE"""),"878")</f>
        <v>878</v>
      </c>
      <c r="B1071" s="4" t="str">
        <f>IFERROR(__xludf.DUMMYFUNCTION("""COMPUTED_VALUE"""),"Cartel PVC 40x30 cm zona acceso prohibido, riesgo de")</f>
        <v>Cartel PVC 40x30 cm zona acceso prohibido, riesgo de</v>
      </c>
      <c r="C1071" s="4">
        <f>IFERROR(__xludf.DUMMYFUNCTION("""COMPUTED_VALUE"""),2.3808)</f>
        <v>2.3808</v>
      </c>
    </row>
    <row r="1072">
      <c r="A1072" s="4" t="str">
        <f>IFERROR(__xludf.DUMMYFUNCTION("""COMPUTED_VALUE"""),"0878A")</f>
        <v>0878A</v>
      </c>
      <c r="B1072" s="4" t="str">
        <f>IFERROR(__xludf.DUMMYFUNCTION("""COMPUTED_VALUE"""),"Adhesivo PVC 21x29 cm zona acceso prohibido, riesgo de")</f>
        <v>Adhesivo PVC 21x29 cm zona acceso prohibido, riesgo de</v>
      </c>
      <c r="C1072" s="4">
        <f>IFERROR(__xludf.DUMMYFUNCTION("""COMPUTED_VALUE"""),1.2)</f>
        <v>1.2</v>
      </c>
    </row>
    <row r="1073">
      <c r="A1073" s="4" t="str">
        <f>IFERROR(__xludf.DUMMYFUNCTION("""COMPUTED_VALUE"""),"0878P")</f>
        <v>0878P</v>
      </c>
      <c r="B1073" s="4" t="str">
        <f>IFERROR(__xludf.DUMMYFUNCTION("""COMPUTED_VALUE"""),"Cartel PVC 21x29 cm zona acceso prohibido, riesgo de")</f>
        <v>Cartel PVC 21x29 cm zona acceso prohibido, riesgo de</v>
      </c>
      <c r="C1073" s="4">
        <f>IFERROR(__xludf.DUMMYFUNCTION("""COMPUTED_VALUE"""),1.536)</f>
        <v>1.536</v>
      </c>
    </row>
    <row r="1074">
      <c r="A1074" s="4" t="str">
        <f>IFERROR(__xludf.DUMMYFUNCTION("""COMPUTED_VALUE"""),"879")</f>
        <v>879</v>
      </c>
      <c r="B1074" s="4" t="str">
        <f>IFERROR(__xludf.DUMMYFUNCTION("""COMPUTED_VALUE"""),"Cartel PVC 40x30 cm zona acceso prohibido, riesgo de cont. e")</f>
        <v>Cartel PVC 40x30 cm zona acceso prohibido, riesgo de cont. e</v>
      </c>
      <c r="C1074" s="4">
        <f>IFERROR(__xludf.DUMMYFUNCTION("""COMPUTED_VALUE"""),2.3808)</f>
        <v>2.3808</v>
      </c>
    </row>
    <row r="1075">
      <c r="A1075" s="4" t="str">
        <f>IFERROR(__xludf.DUMMYFUNCTION("""COMPUTED_VALUE"""),"0879A")</f>
        <v>0879A</v>
      </c>
      <c r="B1075" s="4" t="str">
        <f>IFERROR(__xludf.DUMMYFUNCTION("""COMPUTED_VALUE"""),"Adhesivo PVC 21x29 cm zona acceso prohibido, riesgo de")</f>
        <v>Adhesivo PVC 21x29 cm zona acceso prohibido, riesgo de</v>
      </c>
      <c r="C1075" s="4">
        <f>IFERROR(__xludf.DUMMYFUNCTION("""COMPUTED_VALUE"""),1.2)</f>
        <v>1.2</v>
      </c>
    </row>
    <row r="1076">
      <c r="A1076" s="4" t="str">
        <f>IFERROR(__xludf.DUMMYFUNCTION("""COMPUTED_VALUE"""),"0879P")</f>
        <v>0879P</v>
      </c>
      <c r="B1076" s="4" t="str">
        <f>IFERROR(__xludf.DUMMYFUNCTION("""COMPUTED_VALUE"""),"Cartel PVC 21x29 cm zona acceso prohibido, riesgo de cont. e")</f>
        <v>Cartel PVC 21x29 cm zona acceso prohibido, riesgo de cont. e</v>
      </c>
      <c r="C1076" s="4">
        <f>IFERROR(__xludf.DUMMYFUNCTION("""COMPUTED_VALUE"""),1.536)</f>
        <v>1.536</v>
      </c>
    </row>
    <row r="1077">
      <c r="A1077" s="4" t="str">
        <f>IFERROR(__xludf.DUMMYFUNCTION("""COMPUTED_VALUE"""),"880")</f>
        <v>880</v>
      </c>
      <c r="B1077" s="4" t="str">
        <f>IFERROR(__xludf.DUMMYFUNCTION("""COMPUTED_VALUE"""),"Cartel PVC 40x30 cm zona vigilada, riesgo de irradiación")</f>
        <v>Cartel PVC 40x30 cm zona vigilada, riesgo de irradiación</v>
      </c>
      <c r="C1077" s="4">
        <f>IFERROR(__xludf.DUMMYFUNCTION("""COMPUTED_VALUE"""),2.3808)</f>
        <v>2.3808</v>
      </c>
    </row>
    <row r="1078">
      <c r="A1078" s="4" t="str">
        <f>IFERROR(__xludf.DUMMYFUNCTION("""COMPUTED_VALUE"""),"0880A")</f>
        <v>0880A</v>
      </c>
      <c r="B1078" s="4" t="str">
        <f>IFERROR(__xludf.DUMMYFUNCTION("""COMPUTED_VALUE"""),"Adhesivo PVC 21x29 cm zona vigilada, riesgo de irradiación")</f>
        <v>Adhesivo PVC 21x29 cm zona vigilada, riesgo de irradiación</v>
      </c>
      <c r="C1078" s="4">
        <f>IFERROR(__xludf.DUMMYFUNCTION("""COMPUTED_VALUE"""),1.2)</f>
        <v>1.2</v>
      </c>
    </row>
    <row r="1079">
      <c r="A1079" s="4" t="str">
        <f>IFERROR(__xludf.DUMMYFUNCTION("""COMPUTED_VALUE"""),"0880P")</f>
        <v>0880P</v>
      </c>
      <c r="B1079" s="4" t="str">
        <f>IFERROR(__xludf.DUMMYFUNCTION("""COMPUTED_VALUE"""),"Cartel PVC 21x29 cm zona vigilada, riesgo de irradiación")</f>
        <v>Cartel PVC 21x29 cm zona vigilada, riesgo de irradiación</v>
      </c>
      <c r="C1079" s="4">
        <f>IFERROR(__xludf.DUMMYFUNCTION("""COMPUTED_VALUE"""),1.536)</f>
        <v>1.536</v>
      </c>
    </row>
    <row r="1080">
      <c r="A1080" s="4" t="str">
        <f>IFERROR(__xludf.DUMMYFUNCTION("""COMPUTED_VALUE"""),"881")</f>
        <v>881</v>
      </c>
      <c r="B1080" s="4" t="str">
        <f>IFERROR(__xludf.DUMMYFUNCTION("""COMPUTED_VALUE"""),"Cartel PVC 40x30 cm zona vigilada, riesgo de contaminación")</f>
        <v>Cartel PVC 40x30 cm zona vigilada, riesgo de contaminación</v>
      </c>
      <c r="C1080" s="4">
        <f>IFERROR(__xludf.DUMMYFUNCTION("""COMPUTED_VALUE"""),2.3808)</f>
        <v>2.3808</v>
      </c>
    </row>
    <row r="1081">
      <c r="A1081" s="4" t="str">
        <f>IFERROR(__xludf.DUMMYFUNCTION("""COMPUTED_VALUE"""),"0881A")</f>
        <v>0881A</v>
      </c>
      <c r="B1081" s="4" t="str">
        <f>IFERROR(__xludf.DUMMYFUNCTION("""COMPUTED_VALUE"""),"Adhesivo PVC 21x29 cm zona vigilada, riesgo de")</f>
        <v>Adhesivo PVC 21x29 cm zona vigilada, riesgo de</v>
      </c>
      <c r="C1081" s="4">
        <f>IFERROR(__xludf.DUMMYFUNCTION("""COMPUTED_VALUE"""),1.2)</f>
        <v>1.2</v>
      </c>
    </row>
    <row r="1082">
      <c r="A1082" s="4" t="str">
        <f>IFERROR(__xludf.DUMMYFUNCTION("""COMPUTED_VALUE"""),"0881P")</f>
        <v>0881P</v>
      </c>
      <c r="B1082" s="4" t="str">
        <f>IFERROR(__xludf.DUMMYFUNCTION("""COMPUTED_VALUE"""),"Cartel PVC 21x29 cm zona vigilada, riesgo de contaminación")</f>
        <v>Cartel PVC 21x29 cm zona vigilada, riesgo de contaminación</v>
      </c>
      <c r="C1082" s="4">
        <f>IFERROR(__xludf.DUMMYFUNCTION("""COMPUTED_VALUE"""),1.4112)</f>
        <v>1.4112</v>
      </c>
    </row>
    <row r="1083">
      <c r="A1083" s="4" t="str">
        <f>IFERROR(__xludf.DUMMYFUNCTION("""COMPUTED_VALUE"""),"882")</f>
        <v>882</v>
      </c>
      <c r="B1083" s="4" t="str">
        <f>IFERROR(__xludf.DUMMYFUNCTION("""COMPUTED_VALUE"""),"Cartel PVC 40x30 cm zona vigilada, riesgo de cont. e irrad.")</f>
        <v>Cartel PVC 40x30 cm zona vigilada, riesgo de cont. e irrad.</v>
      </c>
      <c r="C1083" s="4">
        <f>IFERROR(__xludf.DUMMYFUNCTION("""COMPUTED_VALUE"""),2.3808)</f>
        <v>2.3808</v>
      </c>
    </row>
    <row r="1084">
      <c r="A1084" s="4" t="str">
        <f>IFERROR(__xludf.DUMMYFUNCTION("""COMPUTED_VALUE"""),"0882A")</f>
        <v>0882A</v>
      </c>
      <c r="B1084" s="4" t="str">
        <f>IFERROR(__xludf.DUMMYFUNCTION("""COMPUTED_VALUE"""),"Adhesivo PVC 21x29 cm zona vigilada, riesgo de cont. e irrad.")</f>
        <v>Adhesivo PVC 21x29 cm zona vigilada, riesgo de cont. e irrad.</v>
      </c>
      <c r="C1084" s="4">
        <f>IFERROR(__xludf.DUMMYFUNCTION("""COMPUTED_VALUE"""),1.2)</f>
        <v>1.2</v>
      </c>
    </row>
    <row r="1085">
      <c r="A1085" s="4" t="str">
        <f>IFERROR(__xludf.DUMMYFUNCTION("""COMPUTED_VALUE"""),"0882P")</f>
        <v>0882P</v>
      </c>
      <c r="B1085" s="4" t="str">
        <f>IFERROR(__xludf.DUMMYFUNCTION("""COMPUTED_VALUE"""),"Cartel PVC 21x29 cm zona vigilada, riesgo de cont. e irrad.")</f>
        <v>Cartel PVC 21x29 cm zona vigilada, riesgo de cont. e irrad.</v>
      </c>
      <c r="C1085" s="4">
        <f>IFERROR(__xludf.DUMMYFUNCTION("""COMPUTED_VALUE"""),1.536)</f>
        <v>1.536</v>
      </c>
    </row>
    <row r="1086">
      <c r="A1086" s="4" t="str">
        <f>IFERROR(__xludf.DUMMYFUNCTION("""COMPUTED_VALUE"""),"883")</f>
        <v>883</v>
      </c>
      <c r="B1086" s="4" t="str">
        <f>IFERROR(__xludf.DUMMYFUNCTION("""COMPUTED_VALUE"""),"Adhesivo PVC Grupo 0 Oxígeno 100x25 mm")</f>
        <v>Adhesivo PVC Grupo 0 Oxígeno 100x25 mm</v>
      </c>
      <c r="C1086" s="4">
        <f>IFERROR(__xludf.DUMMYFUNCTION("""COMPUTED_VALUE"""),0.96)</f>
        <v>0.96</v>
      </c>
    </row>
    <row r="1087">
      <c r="A1087" s="4" t="str">
        <f>IFERROR(__xludf.DUMMYFUNCTION("""COMPUTED_VALUE"""),"0883A")</f>
        <v>0883A</v>
      </c>
      <c r="B1087" s="4" t="str">
        <f>IFERROR(__xludf.DUMMYFUNCTION("""COMPUTED_VALUE"""),"Adhesivo PVC Grupo 0 Oxígeno 200x50 mm")</f>
        <v>Adhesivo PVC Grupo 0 Oxígeno 200x50 mm</v>
      </c>
      <c r="C1087" s="4">
        <f>IFERROR(__xludf.DUMMYFUNCTION("""COMPUTED_VALUE"""),1.44)</f>
        <v>1.44</v>
      </c>
    </row>
    <row r="1088">
      <c r="A1088" s="4" t="str">
        <f>IFERROR(__xludf.DUMMYFUNCTION("""COMPUTED_VALUE"""),"0883B")</f>
        <v>0883B</v>
      </c>
      <c r="B1088" s="4" t="str">
        <f>IFERROR(__xludf.DUMMYFUNCTION("""COMPUTED_VALUE"""),"Adhesivo PVC Grupo 0 Oxígeno 400x100 mm")</f>
        <v>Adhesivo PVC Grupo 0 Oxígeno 400x100 mm</v>
      </c>
      <c r="C1088" s="4">
        <f>IFERROR(__xludf.DUMMYFUNCTION("""COMPUTED_VALUE"""),1.92)</f>
        <v>1.92</v>
      </c>
    </row>
    <row r="1089">
      <c r="A1089" s="4" t="str">
        <f>IFERROR(__xludf.DUMMYFUNCTION("""COMPUTED_VALUE"""),"884")</f>
        <v>884</v>
      </c>
      <c r="B1089" s="4" t="str">
        <f>IFERROR(__xludf.DUMMYFUNCTION("""COMPUTED_VALUE"""),"Adhesivo PVC Grupo 1 Agua 100x25 mm (todas las variantes)")</f>
        <v>Adhesivo PVC Grupo 1 Agua 100x25 mm (todas las variantes)</v>
      </c>
      <c r="C1089" s="4">
        <f>IFERROR(__xludf.DUMMYFUNCTION("""COMPUTED_VALUE"""),0.96)</f>
        <v>0.96</v>
      </c>
    </row>
    <row r="1090">
      <c r="A1090" s="4" t="str">
        <f>IFERROR(__xludf.DUMMYFUNCTION("""COMPUTED_VALUE"""),"0884A")</f>
        <v>0884A</v>
      </c>
      <c r="B1090" s="4" t="str">
        <f>IFERROR(__xludf.DUMMYFUNCTION("""COMPUTED_VALUE"""),"Adhesivo PVC Grupo 1 Agua 200x50 mm (todas las variantes)")</f>
        <v>Adhesivo PVC Grupo 1 Agua 200x50 mm (todas las variantes)</v>
      </c>
      <c r="C1090" s="4">
        <f>IFERROR(__xludf.DUMMYFUNCTION("""COMPUTED_VALUE"""),1.44)</f>
        <v>1.44</v>
      </c>
    </row>
    <row r="1091">
      <c r="A1091" s="4" t="str">
        <f>IFERROR(__xludf.DUMMYFUNCTION("""COMPUTED_VALUE"""),"0884B")</f>
        <v>0884B</v>
      </c>
      <c r="B1091" s="4" t="str">
        <f>IFERROR(__xludf.DUMMYFUNCTION("""COMPUTED_VALUE"""),"Adhesivo PVC Grupo 1 Agua 400x100 mm (todas las")</f>
        <v>Adhesivo PVC Grupo 1 Agua 400x100 mm (todas las</v>
      </c>
      <c r="C1091" s="4">
        <f>IFERROR(__xludf.DUMMYFUNCTION("""COMPUTED_VALUE"""),1.92)</f>
        <v>1.92</v>
      </c>
    </row>
    <row r="1092">
      <c r="A1092" s="4" t="str">
        <f>IFERROR(__xludf.DUMMYFUNCTION("""COMPUTED_VALUE"""),"885")</f>
        <v>885</v>
      </c>
      <c r="B1092" s="4" t="str">
        <f>IFERROR(__xludf.DUMMYFUNCTION("""COMPUTED_VALUE"""),"Adhesivo PVC Grupo 2 Vapor de agua 100x25 mm (todas las")</f>
        <v>Adhesivo PVC Grupo 2 Vapor de agua 100x25 mm (todas las</v>
      </c>
      <c r="C1092" s="4">
        <f>IFERROR(__xludf.DUMMYFUNCTION("""COMPUTED_VALUE"""),0.96)</f>
        <v>0.96</v>
      </c>
    </row>
    <row r="1093">
      <c r="A1093" s="4" t="str">
        <f>IFERROR(__xludf.DUMMYFUNCTION("""COMPUTED_VALUE"""),"0885A")</f>
        <v>0885A</v>
      </c>
      <c r="B1093" s="4" t="str">
        <f>IFERROR(__xludf.DUMMYFUNCTION("""COMPUTED_VALUE"""),"Adhesivo PVC Grupo 2 Vapor de agua 200x50 mm (todas las")</f>
        <v>Adhesivo PVC Grupo 2 Vapor de agua 200x50 mm (todas las</v>
      </c>
      <c r="C1093" s="4">
        <f>IFERROR(__xludf.DUMMYFUNCTION("""COMPUTED_VALUE"""),1.44)</f>
        <v>1.44</v>
      </c>
    </row>
    <row r="1094">
      <c r="A1094" s="4" t="str">
        <f>IFERROR(__xludf.DUMMYFUNCTION("""COMPUTED_VALUE"""),"0885B")</f>
        <v>0885B</v>
      </c>
      <c r="B1094" s="4" t="str">
        <f>IFERROR(__xludf.DUMMYFUNCTION("""COMPUTED_VALUE"""),"Adhesivo PVC Grupo 2 Vapor de agua 400x100 mm (todas las")</f>
        <v>Adhesivo PVC Grupo 2 Vapor de agua 400x100 mm (todas las</v>
      </c>
      <c r="C1094" s="4">
        <f>IFERROR(__xludf.DUMMYFUNCTION("""COMPUTED_VALUE"""),1.92)</f>
        <v>1.92</v>
      </c>
    </row>
    <row r="1095">
      <c r="A1095" s="4" t="str">
        <f>IFERROR(__xludf.DUMMYFUNCTION("""COMPUTED_VALUE"""),"886")</f>
        <v>886</v>
      </c>
      <c r="B1095" s="4" t="str">
        <f>IFERROR(__xludf.DUMMYFUNCTION("""COMPUTED_VALUE"""),"Adhesivo PVC Grupo 3 Aire 100x25 mm (todas las variantes)")</f>
        <v>Adhesivo PVC Grupo 3 Aire 100x25 mm (todas las variantes)</v>
      </c>
      <c r="C1095" s="4">
        <f>IFERROR(__xludf.DUMMYFUNCTION("""COMPUTED_VALUE"""),0.96)</f>
        <v>0.96</v>
      </c>
    </row>
    <row r="1096">
      <c r="A1096" s="4" t="str">
        <f>IFERROR(__xludf.DUMMYFUNCTION("""COMPUTED_VALUE"""),"0886A")</f>
        <v>0886A</v>
      </c>
      <c r="B1096" s="4" t="str">
        <f>IFERROR(__xludf.DUMMYFUNCTION("""COMPUTED_VALUE"""),"Adhesivo PVC Grupo 3 Aire 200x50 mm (todas las variantes)")</f>
        <v>Adhesivo PVC Grupo 3 Aire 200x50 mm (todas las variantes)</v>
      </c>
      <c r="C1096" s="4">
        <f>IFERROR(__xludf.DUMMYFUNCTION("""COMPUTED_VALUE"""),1.92)</f>
        <v>1.92</v>
      </c>
    </row>
    <row r="1097">
      <c r="A1097" s="4" t="str">
        <f>IFERROR(__xludf.DUMMYFUNCTION("""COMPUTED_VALUE"""),"0886B")</f>
        <v>0886B</v>
      </c>
      <c r="B1097" s="4" t="str">
        <f>IFERROR(__xludf.DUMMYFUNCTION("""COMPUTED_VALUE"""),"Adhesivo PVC Grupo 3 Aire 400x100 mm (todas las variantes)")</f>
        <v>Adhesivo PVC Grupo 3 Aire 400x100 mm (todas las variantes)</v>
      </c>
      <c r="C1097" s="4">
        <f>IFERROR(__xludf.DUMMYFUNCTION("""COMPUTED_VALUE"""),1.44)</f>
        <v>1.44</v>
      </c>
    </row>
    <row r="1098">
      <c r="A1098" s="4" t="str">
        <f>IFERROR(__xludf.DUMMYFUNCTION("""COMPUTED_VALUE"""),"887")</f>
        <v>887</v>
      </c>
      <c r="B1098" s="4" t="str">
        <f>IFERROR(__xludf.DUMMYFUNCTION("""COMPUTED_VALUE"""),"Adhesivo PVC Grupo 4 Gases combustibles 100x25 mm (todas")</f>
        <v>Adhesivo PVC Grupo 4 Gases combustibles 100x25 mm (todas</v>
      </c>
      <c r="C1098" s="4">
        <f>IFERROR(__xludf.DUMMYFUNCTION("""COMPUTED_VALUE"""),0.96)</f>
        <v>0.96</v>
      </c>
    </row>
    <row r="1099">
      <c r="A1099" s="4" t="str">
        <f>IFERROR(__xludf.DUMMYFUNCTION("""COMPUTED_VALUE"""),"0887A")</f>
        <v>0887A</v>
      </c>
      <c r="B1099" s="4" t="str">
        <f>IFERROR(__xludf.DUMMYFUNCTION("""COMPUTED_VALUE"""),"Adhesivo PVC Grupo 4 Gases combustibles 200x50 mm (todas")</f>
        <v>Adhesivo PVC Grupo 4 Gases combustibles 200x50 mm (todas</v>
      </c>
      <c r="C1099" s="4">
        <f>IFERROR(__xludf.DUMMYFUNCTION("""COMPUTED_VALUE"""),1.44)</f>
        <v>1.44</v>
      </c>
    </row>
    <row r="1100">
      <c r="A1100" s="4" t="str">
        <f>IFERROR(__xludf.DUMMYFUNCTION("""COMPUTED_VALUE"""),"0887B")</f>
        <v>0887B</v>
      </c>
      <c r="B1100" s="4" t="str">
        <f>IFERROR(__xludf.DUMMYFUNCTION("""COMPUTED_VALUE"""),"Adhesivo PVC Grupo 4 Gases combustibles 400x100 mm")</f>
        <v>Adhesivo PVC Grupo 4 Gases combustibles 400x100 mm</v>
      </c>
      <c r="C1100" s="4">
        <f>IFERROR(__xludf.DUMMYFUNCTION("""COMPUTED_VALUE"""),1.92)</f>
        <v>1.92</v>
      </c>
    </row>
    <row r="1101">
      <c r="A1101" s="4" t="str">
        <f>IFERROR(__xludf.DUMMYFUNCTION("""COMPUTED_VALUE"""),"888")</f>
        <v>888</v>
      </c>
      <c r="B1101" s="4" t="str">
        <f>IFERROR(__xludf.DUMMYFUNCTION("""COMPUTED_VALUE"""),"Adhesivo PVC Grupo 4 Gases combustibles 100x25 mm B")</f>
        <v>Adhesivo PVC Grupo 4 Gases combustibles 100x25 mm B</v>
      </c>
      <c r="C1101" s="4">
        <f>IFERROR(__xludf.DUMMYFUNCTION("""COMPUTED_VALUE"""),0.96)</f>
        <v>0.96</v>
      </c>
    </row>
    <row r="1102">
      <c r="A1102" s="4" t="str">
        <f>IFERROR(__xludf.DUMMYFUNCTION("""COMPUTED_VALUE"""),"0888A")</f>
        <v>0888A</v>
      </c>
      <c r="B1102" s="4" t="str">
        <f>IFERROR(__xludf.DUMMYFUNCTION("""COMPUTED_VALUE"""),"Adhesivo PVC Grupo 4 Gases combustibles 200x50 mm")</f>
        <v>Adhesivo PVC Grupo 4 Gases combustibles 200x50 mm</v>
      </c>
      <c r="C1102" s="4">
        <f>IFERROR(__xludf.DUMMYFUNCTION("""COMPUTED_VALUE"""),1.44)</f>
        <v>1.44</v>
      </c>
    </row>
    <row r="1103">
      <c r="A1103" s="4" t="str">
        <f>IFERROR(__xludf.DUMMYFUNCTION("""COMPUTED_VALUE"""),"0888B")</f>
        <v>0888B</v>
      </c>
      <c r="B1103" s="4" t="str">
        <f>IFERROR(__xludf.DUMMYFUNCTION("""COMPUTED_VALUE"""),"Adhesivo PVC Grupo 4 Gases combustibles 400x100 mm")</f>
        <v>Adhesivo PVC Grupo 4 Gases combustibles 400x100 mm</v>
      </c>
      <c r="C1103" s="4">
        <f>IFERROR(__xludf.DUMMYFUNCTION("""COMPUTED_VALUE"""),1.92)</f>
        <v>1.92</v>
      </c>
    </row>
    <row r="1104">
      <c r="A1104" s="4" t="str">
        <f>IFERROR(__xludf.DUMMYFUNCTION("""COMPUTED_VALUE"""),"889")</f>
        <v>889</v>
      </c>
      <c r="B1104" s="4" t="str">
        <f>IFERROR(__xludf.DUMMYFUNCTION("""COMPUTED_VALUE"""),"Adhesivo PVC Grupo 5 Gases no combustibles 100x25 mm")</f>
        <v>Adhesivo PVC Grupo 5 Gases no combustibles 100x25 mm</v>
      </c>
      <c r="C1104" s="4">
        <f>IFERROR(__xludf.DUMMYFUNCTION("""COMPUTED_VALUE"""),0.96)</f>
        <v>0.96</v>
      </c>
    </row>
    <row r="1105">
      <c r="A1105" s="4" t="str">
        <f>IFERROR(__xludf.DUMMYFUNCTION("""COMPUTED_VALUE"""),"0889A")</f>
        <v>0889A</v>
      </c>
      <c r="B1105" s="4" t="str">
        <f>IFERROR(__xludf.DUMMYFUNCTION("""COMPUTED_VALUE"""),"Adhesivo PVC Grupo 5 Gases no combustibles 200x50 mm")</f>
        <v>Adhesivo PVC Grupo 5 Gases no combustibles 200x50 mm</v>
      </c>
      <c r="C1105" s="4">
        <f>IFERROR(__xludf.DUMMYFUNCTION("""COMPUTED_VALUE"""),1.44)</f>
        <v>1.44</v>
      </c>
    </row>
    <row r="1106">
      <c r="A1106" s="4" t="str">
        <f>IFERROR(__xludf.DUMMYFUNCTION("""COMPUTED_VALUE"""),"0889B")</f>
        <v>0889B</v>
      </c>
      <c r="B1106" s="4" t="str">
        <f>IFERROR(__xludf.DUMMYFUNCTION("""COMPUTED_VALUE"""),"Adhesivo PVC Grupo 5 Gases no combustibles 400x100 mm")</f>
        <v>Adhesivo PVC Grupo 5 Gases no combustibles 400x100 mm</v>
      </c>
      <c r="C1106" s="4">
        <f>IFERROR(__xludf.DUMMYFUNCTION("""COMPUTED_VALUE"""),1.92)</f>
        <v>1.92</v>
      </c>
    </row>
    <row r="1107">
      <c r="A1107" s="4" t="str">
        <f>IFERROR(__xludf.DUMMYFUNCTION("""COMPUTED_VALUE"""),"890")</f>
        <v>890</v>
      </c>
      <c r="B1107" s="4" t="str">
        <f>IFERROR(__xludf.DUMMYFUNCTION("""COMPUTED_VALUE"""),"Adhesivo PVC Grupo 5 Gases no combustibles 100x25 mm")</f>
        <v>Adhesivo PVC Grupo 5 Gases no combustibles 100x25 mm</v>
      </c>
      <c r="C1107" s="4">
        <f>IFERROR(__xludf.DUMMYFUNCTION("""COMPUTED_VALUE"""),0.96)</f>
        <v>0.96</v>
      </c>
    </row>
    <row r="1108">
      <c r="A1108" s="4" t="str">
        <f>IFERROR(__xludf.DUMMYFUNCTION("""COMPUTED_VALUE"""),"0890A")</f>
        <v>0890A</v>
      </c>
      <c r="B1108" s="4" t="str">
        <f>IFERROR(__xludf.DUMMYFUNCTION("""COMPUTED_VALUE"""),"Adhesivo PVC Grupo 5 Gases no combustibles 200x50 mm")</f>
        <v>Adhesivo PVC Grupo 5 Gases no combustibles 200x50 mm</v>
      </c>
      <c r="C1108" s="4">
        <f>IFERROR(__xludf.DUMMYFUNCTION("""COMPUTED_VALUE"""),1.44)</f>
        <v>1.44</v>
      </c>
    </row>
    <row r="1109">
      <c r="A1109" s="4" t="str">
        <f>IFERROR(__xludf.DUMMYFUNCTION("""COMPUTED_VALUE"""),"0890B")</f>
        <v>0890B</v>
      </c>
      <c r="B1109" s="4" t="str">
        <f>IFERROR(__xludf.DUMMYFUNCTION("""COMPUTED_VALUE"""),"Adhesivo PVC Grupo 5 Gases no combustibles 400x100 mm")</f>
        <v>Adhesivo PVC Grupo 5 Gases no combustibles 400x100 mm</v>
      </c>
      <c r="C1109" s="4">
        <f>IFERROR(__xludf.DUMMYFUNCTION("""COMPUTED_VALUE"""),1.92)</f>
        <v>1.92</v>
      </c>
    </row>
    <row r="1110">
      <c r="A1110" s="4" t="str">
        <f>IFERROR(__xludf.DUMMYFUNCTION("""COMPUTED_VALUE"""),"891")</f>
        <v>891</v>
      </c>
      <c r="B1110" s="4" t="str">
        <f>IFERROR(__xludf.DUMMYFUNCTION("""COMPUTED_VALUE"""),"Adhesivo PVC Grupo 6 Ácidos 100x25 mm (todas las")</f>
        <v>Adhesivo PVC Grupo 6 Ácidos 100x25 mm (todas las</v>
      </c>
      <c r="C1110" s="4">
        <f>IFERROR(__xludf.DUMMYFUNCTION("""COMPUTED_VALUE"""),0.96)</f>
        <v>0.96</v>
      </c>
    </row>
    <row r="1111">
      <c r="A1111" s="4" t="str">
        <f>IFERROR(__xludf.DUMMYFUNCTION("""COMPUTED_VALUE"""),"0891A")</f>
        <v>0891A</v>
      </c>
      <c r="B1111" s="4" t="str">
        <f>IFERROR(__xludf.DUMMYFUNCTION("""COMPUTED_VALUE"""),"Adhesivo PVC Grupo 6 Ácidos 200x50 mm (todas las")</f>
        <v>Adhesivo PVC Grupo 6 Ácidos 200x50 mm (todas las</v>
      </c>
      <c r="C1111" s="4">
        <f>IFERROR(__xludf.DUMMYFUNCTION("""COMPUTED_VALUE"""),1.44)</f>
        <v>1.44</v>
      </c>
    </row>
    <row r="1112">
      <c r="A1112" s="4" t="str">
        <f>IFERROR(__xludf.DUMMYFUNCTION("""COMPUTED_VALUE"""),"0891B")</f>
        <v>0891B</v>
      </c>
      <c r="B1112" s="4" t="str">
        <f>IFERROR(__xludf.DUMMYFUNCTION("""COMPUTED_VALUE"""),"Adhesivo PVC Grupo 6 Ácidos 400x100 mm (todas las")</f>
        <v>Adhesivo PVC Grupo 6 Ácidos 400x100 mm (todas las</v>
      </c>
      <c r="C1112" s="4">
        <f>IFERROR(__xludf.DUMMYFUNCTION("""COMPUTED_VALUE"""),1.92)</f>
        <v>1.92</v>
      </c>
    </row>
    <row r="1113">
      <c r="A1113" s="4" t="str">
        <f>IFERROR(__xludf.DUMMYFUNCTION("""COMPUTED_VALUE"""),"892")</f>
        <v>892</v>
      </c>
      <c r="B1113" s="4" t="str">
        <f>IFERROR(__xludf.DUMMYFUNCTION("""COMPUTED_VALUE"""),"Adhesivo PVC Grupo 7 Lejías 100x25 mm (todas las variantes)")</f>
        <v>Adhesivo PVC Grupo 7 Lejías 100x25 mm (todas las variantes)</v>
      </c>
      <c r="C1113" s="4">
        <f>IFERROR(__xludf.DUMMYFUNCTION("""COMPUTED_VALUE"""),0.96)</f>
        <v>0.96</v>
      </c>
    </row>
    <row r="1114">
      <c r="A1114" s="4" t="str">
        <f>IFERROR(__xludf.DUMMYFUNCTION("""COMPUTED_VALUE"""),"0892A")</f>
        <v>0892A</v>
      </c>
      <c r="B1114" s="4" t="str">
        <f>IFERROR(__xludf.DUMMYFUNCTION("""COMPUTED_VALUE"""),"Adhesivo PVC Grupo 7 Lejías 200x50 mm (todas las")</f>
        <v>Adhesivo PVC Grupo 7 Lejías 200x50 mm (todas las</v>
      </c>
      <c r="C1114" s="4">
        <f>IFERROR(__xludf.DUMMYFUNCTION("""COMPUTED_VALUE"""),1.44)</f>
        <v>1.44</v>
      </c>
    </row>
    <row r="1115">
      <c r="A1115" s="4" t="str">
        <f>IFERROR(__xludf.DUMMYFUNCTION("""COMPUTED_VALUE"""),"0892B")</f>
        <v>0892B</v>
      </c>
      <c r="B1115" s="4" t="str">
        <f>IFERROR(__xludf.DUMMYFUNCTION("""COMPUTED_VALUE"""),"Adhesivo PVC Grupo 7 Lejías 400x100 mm (todas las")</f>
        <v>Adhesivo PVC Grupo 7 Lejías 400x100 mm (todas las</v>
      </c>
      <c r="C1115" s="4">
        <f>IFERROR(__xludf.DUMMYFUNCTION("""COMPUTED_VALUE"""),1.92)</f>
        <v>1.92</v>
      </c>
    </row>
    <row r="1116">
      <c r="A1116" s="4" t="str">
        <f>IFERROR(__xludf.DUMMYFUNCTION("""COMPUTED_VALUE"""),"893")</f>
        <v>893</v>
      </c>
      <c r="B1116" s="4" t="str">
        <f>IFERROR(__xludf.DUMMYFUNCTION("""COMPUTED_VALUE"""),"Adhesivo PVC Grupo 8 Líquidos combustibles 100x25 mm")</f>
        <v>Adhesivo PVC Grupo 8 Líquidos combustibles 100x25 mm</v>
      </c>
      <c r="C1116" s="4">
        <f>IFERROR(__xludf.DUMMYFUNCTION("""COMPUTED_VALUE"""),0.96)</f>
        <v>0.96</v>
      </c>
    </row>
    <row r="1117">
      <c r="A1117" s="4" t="str">
        <f>IFERROR(__xludf.DUMMYFUNCTION("""COMPUTED_VALUE"""),"0893A")</f>
        <v>0893A</v>
      </c>
      <c r="B1117" s="4" t="str">
        <f>IFERROR(__xludf.DUMMYFUNCTION("""COMPUTED_VALUE"""),"Adhesivo PVC Grupo 8 Líquidos combustibles 200x50 mm")</f>
        <v>Adhesivo PVC Grupo 8 Líquidos combustibles 200x50 mm</v>
      </c>
      <c r="C1117" s="4">
        <f>IFERROR(__xludf.DUMMYFUNCTION("""COMPUTED_VALUE"""),1.44)</f>
        <v>1.44</v>
      </c>
    </row>
    <row r="1118">
      <c r="A1118" s="4" t="str">
        <f>IFERROR(__xludf.DUMMYFUNCTION("""COMPUTED_VALUE"""),"0893B")</f>
        <v>0893B</v>
      </c>
      <c r="B1118" s="4" t="str">
        <f>IFERROR(__xludf.DUMMYFUNCTION("""COMPUTED_VALUE"""),"Adhesivo PVC Grupo 8 Líquidos combustibles 400x100 mm")</f>
        <v>Adhesivo PVC Grupo 8 Líquidos combustibles 400x100 mm</v>
      </c>
      <c r="C1118" s="4">
        <f>IFERROR(__xludf.DUMMYFUNCTION("""COMPUTED_VALUE"""),1.92)</f>
        <v>1.92</v>
      </c>
    </row>
    <row r="1119">
      <c r="A1119" s="4" t="str">
        <f>IFERROR(__xludf.DUMMYFUNCTION("""COMPUTED_VALUE"""),"894")</f>
        <v>894</v>
      </c>
      <c r="B1119" s="4" t="str">
        <f>IFERROR(__xludf.DUMMYFUNCTION("""COMPUTED_VALUE"""),"Adhesivo PVC Grupo 8 Líquidos combustibles 100x25 mm B")</f>
        <v>Adhesivo PVC Grupo 8 Líquidos combustibles 100x25 mm B</v>
      </c>
      <c r="C1119" s="4">
        <f>IFERROR(__xludf.DUMMYFUNCTION("""COMPUTED_VALUE"""),0.96)</f>
        <v>0.96</v>
      </c>
    </row>
    <row r="1120">
      <c r="A1120" s="4" t="str">
        <f>IFERROR(__xludf.DUMMYFUNCTION("""COMPUTED_VALUE"""),"0894A")</f>
        <v>0894A</v>
      </c>
      <c r="B1120" s="4" t="str">
        <f>IFERROR(__xludf.DUMMYFUNCTION("""COMPUTED_VALUE"""),"Adhesivo PVC Grupo 8 Líquidos combustibles 200x50 mm B")</f>
        <v>Adhesivo PVC Grupo 8 Líquidos combustibles 200x50 mm B</v>
      </c>
      <c r="C1120" s="4">
        <f>IFERROR(__xludf.DUMMYFUNCTION("""COMPUTED_VALUE"""),1.44)</f>
        <v>1.44</v>
      </c>
    </row>
    <row r="1121">
      <c r="A1121" s="4" t="str">
        <f>IFERROR(__xludf.DUMMYFUNCTION("""COMPUTED_VALUE"""),"0894B")</f>
        <v>0894B</v>
      </c>
      <c r="B1121" s="4" t="str">
        <f>IFERROR(__xludf.DUMMYFUNCTION("""COMPUTED_VALUE"""),"Adhesivo PVC Grupo 8 Líquidos combustibles 400x100 mm")</f>
        <v>Adhesivo PVC Grupo 8 Líquidos combustibles 400x100 mm</v>
      </c>
      <c r="C1121" s="4">
        <f>IFERROR(__xludf.DUMMYFUNCTION("""COMPUTED_VALUE"""),1.92)</f>
        <v>1.92</v>
      </c>
    </row>
    <row r="1122">
      <c r="A1122" s="4" t="str">
        <f>IFERROR(__xludf.DUMMYFUNCTION("""COMPUTED_VALUE"""),"895")</f>
        <v>895</v>
      </c>
      <c r="B1122" s="4" t="str">
        <f>IFERROR(__xludf.DUMMYFUNCTION("""COMPUTED_VALUE"""),"Adhesivo PVC Grupo 9 Líquidos no combustibles 100x25 mm")</f>
        <v>Adhesivo PVC Grupo 9 Líquidos no combustibles 100x25 mm</v>
      </c>
      <c r="C1122" s="4">
        <f>IFERROR(__xludf.DUMMYFUNCTION("""COMPUTED_VALUE"""),0.96)</f>
        <v>0.96</v>
      </c>
    </row>
    <row r="1123">
      <c r="A1123" s="4" t="str">
        <f>IFERROR(__xludf.DUMMYFUNCTION("""COMPUTED_VALUE"""),"0895A")</f>
        <v>0895A</v>
      </c>
      <c r="B1123" s="4" t="str">
        <f>IFERROR(__xludf.DUMMYFUNCTION("""COMPUTED_VALUE"""),"Adhesivo PVC Grupo 9 Líquidos no combustibles 200x50 mm")</f>
        <v>Adhesivo PVC Grupo 9 Líquidos no combustibles 200x50 mm</v>
      </c>
      <c r="C1123" s="4">
        <f>IFERROR(__xludf.DUMMYFUNCTION("""COMPUTED_VALUE"""),1.44)</f>
        <v>1.44</v>
      </c>
    </row>
    <row r="1124">
      <c r="A1124" s="4" t="str">
        <f>IFERROR(__xludf.DUMMYFUNCTION("""COMPUTED_VALUE"""),"0895B")</f>
        <v>0895B</v>
      </c>
      <c r="B1124" s="4" t="str">
        <f>IFERROR(__xludf.DUMMYFUNCTION("""COMPUTED_VALUE"""),"Adhesivo PVC Grupo 9 Líquidos no combustibles 400x100 mm")</f>
        <v>Adhesivo PVC Grupo 9 Líquidos no combustibles 400x100 mm</v>
      </c>
      <c r="C1124" s="4">
        <f>IFERROR(__xludf.DUMMYFUNCTION("""COMPUTED_VALUE"""),1.92)</f>
        <v>1.92</v>
      </c>
    </row>
    <row r="1125">
      <c r="A1125" s="4" t="str">
        <f>IFERROR(__xludf.DUMMYFUNCTION("""COMPUTED_VALUE"""),"896")</f>
        <v>896</v>
      </c>
      <c r="B1125" s="4" t="str">
        <f>IFERROR(__xludf.DUMMYFUNCTION("""COMPUTED_VALUE"""),"Adhesivo PVC Grupo 9 Líquidos no combustibles 100x25 mm")</f>
        <v>Adhesivo PVC Grupo 9 Líquidos no combustibles 100x25 mm</v>
      </c>
      <c r="C1125" s="4">
        <f>IFERROR(__xludf.DUMMYFUNCTION("""COMPUTED_VALUE"""),0.96)</f>
        <v>0.96</v>
      </c>
    </row>
    <row r="1126">
      <c r="A1126" s="4" t="str">
        <f>IFERROR(__xludf.DUMMYFUNCTION("""COMPUTED_VALUE"""),"0896A")</f>
        <v>0896A</v>
      </c>
      <c r="B1126" s="4" t="str">
        <f>IFERROR(__xludf.DUMMYFUNCTION("""COMPUTED_VALUE"""),"Adhesivo PVC Grupo 9 Líquidos no combustibles 200x50 mm")</f>
        <v>Adhesivo PVC Grupo 9 Líquidos no combustibles 200x50 mm</v>
      </c>
      <c r="C1126" s="4">
        <f>IFERROR(__xludf.DUMMYFUNCTION("""COMPUTED_VALUE"""),1.92)</f>
        <v>1.92</v>
      </c>
    </row>
    <row r="1127">
      <c r="A1127" s="4" t="str">
        <f>IFERROR(__xludf.DUMMYFUNCTION("""COMPUTED_VALUE"""),"0896B")</f>
        <v>0896B</v>
      </c>
      <c r="B1127" s="4" t="str">
        <f>IFERROR(__xludf.DUMMYFUNCTION("""COMPUTED_VALUE"""),"Adhesivo PVC Grupo 9 Líquidos no combustibles 400x100 mm")</f>
        <v>Adhesivo PVC Grupo 9 Líquidos no combustibles 400x100 mm</v>
      </c>
      <c r="C1127" s="4">
        <f>IFERROR(__xludf.DUMMYFUNCTION("""COMPUTED_VALUE"""),1.92)</f>
        <v>1.92</v>
      </c>
    </row>
    <row r="1128">
      <c r="A1128" s="4" t="str">
        <f>IFERROR(__xludf.DUMMYFUNCTION("""COMPUTED_VALUE"""),"1028/A/BAT")</f>
        <v>1028/A/BAT</v>
      </c>
      <c r="B1128" s="4" t="str">
        <f>IFERROR(__xludf.DUMMYFUNCTION("""COMPUTED_VALUE"""),"Baliza Powerflare azul c/cargador a 220v y 12 v")</f>
        <v>Baliza Powerflare azul c/cargador a 220v y 12 v</v>
      </c>
      <c r="C1128" s="4">
        <f>IFERROR(__xludf.DUMMYFUNCTION("""COMPUTED_VALUE"""),15.12)</f>
        <v>15.12</v>
      </c>
    </row>
    <row r="1129">
      <c r="A1129" s="4" t="str">
        <f>IFERROR(__xludf.DUMMYFUNCTION("""COMPUTED_VALUE"""),"1028/AZUL")</f>
        <v>1028/AZUL</v>
      </c>
      <c r="B1129" s="4" t="str">
        <f>IFERROR(__xludf.DUMMYFUNCTION("""COMPUTED_VALUE"""),"Baliza powerflare azul ( repuesto )")</f>
        <v>Baliza powerflare azul ( repuesto )</v>
      </c>
      <c r="C1129" s="4">
        <f>IFERROR(__xludf.DUMMYFUNCTION("""COMPUTED_VALUE"""),9.072)</f>
        <v>9.072</v>
      </c>
    </row>
    <row r="1130">
      <c r="A1130" s="4" t="str">
        <f>IFERROR(__xludf.DUMMYFUNCTION("""COMPUTED_VALUE"""),"1028/N/BAT")</f>
        <v>1028/N/BAT</v>
      </c>
      <c r="B1130" s="4" t="str">
        <f>IFERROR(__xludf.DUMMYFUNCTION("""COMPUTED_VALUE"""),"Baliza Powerflare naranja c/cargador a 220v y 12 v")</f>
        <v>Baliza Powerflare naranja c/cargador a 220v y 12 v</v>
      </c>
      <c r="C1130" s="4">
        <f>IFERROR(__xludf.DUMMYFUNCTION("""COMPUTED_VALUE"""),15.12)</f>
        <v>15.12</v>
      </c>
    </row>
    <row r="1131">
      <c r="A1131" s="4" t="str">
        <f>IFERROR(__xludf.DUMMYFUNCTION("""COMPUTED_VALUE"""),"1028/NARANJA")</f>
        <v>1028/NARANJA</v>
      </c>
      <c r="B1131" s="4" t="str">
        <f>IFERROR(__xludf.DUMMYFUNCTION("""COMPUTED_VALUE"""),"Baliza powerflare naranja ( repuesto )")</f>
        <v>Baliza powerflare naranja ( repuesto )</v>
      </c>
      <c r="C1131" s="4">
        <f>IFERROR(__xludf.DUMMYFUNCTION("""COMPUTED_VALUE"""),9.072)</f>
        <v>9.072</v>
      </c>
    </row>
    <row r="1132">
      <c r="A1132" s="4" t="str">
        <f>IFERROR(__xludf.DUMMYFUNCTION("""COMPUTED_VALUE"""),"1029")</f>
        <v>1029</v>
      </c>
      <c r="B1132" s="4" t="str">
        <f>IFERROR(__xludf.DUMMYFUNCTION("""COMPUTED_VALUE"""),"Maletín 6 uds baliza NARANJA led powerflare con cargador")</f>
        <v>Maletín 6 uds baliza NARANJA led powerflare con cargador</v>
      </c>
      <c r="C1132" s="4">
        <f>IFERROR(__xludf.DUMMYFUNCTION("""COMPUTED_VALUE"""),95.52)</f>
        <v>95.52</v>
      </c>
    </row>
    <row r="1133">
      <c r="A1133" s="4" t="str">
        <f>IFERROR(__xludf.DUMMYFUNCTION("""COMPUTED_VALUE"""),"1029A")</f>
        <v>1029A</v>
      </c>
      <c r="B1133" s="4" t="str">
        <f>IFERROR(__xludf.DUMMYFUNCTION("""COMPUTED_VALUE"""),"Maletín 6 uds baliza AMARILLO led powerflare con cargador")</f>
        <v>Maletín 6 uds baliza AMARILLO led powerflare con cargador</v>
      </c>
      <c r="C1133" s="4">
        <f>IFERROR(__xludf.DUMMYFUNCTION("""COMPUTED_VALUE"""),95.52)</f>
        <v>95.52</v>
      </c>
    </row>
    <row r="1134">
      <c r="A1134" s="4" t="str">
        <f>IFERROR(__xludf.DUMMYFUNCTION("""COMPUTED_VALUE"""),"1029Z")</f>
        <v>1029Z</v>
      </c>
      <c r="B1134" s="4" t="str">
        <f>IFERROR(__xludf.DUMMYFUNCTION("""COMPUTED_VALUE"""),"Maletín 6 uds baliza AZUL led powerflare con cargador")</f>
        <v>Maletín 6 uds baliza AZUL led powerflare con cargador</v>
      </c>
      <c r="C1134" s="4">
        <f>IFERROR(__xludf.DUMMYFUNCTION("""COMPUTED_VALUE"""),95.52)</f>
        <v>95.52</v>
      </c>
    </row>
    <row r="1135">
      <c r="A1135" s="4" t="str">
        <f>IFERROR(__xludf.DUMMYFUNCTION("""COMPUTED_VALUE"""),"1030")</f>
        <v>1030</v>
      </c>
      <c r="B1135" s="4" t="str">
        <f>IFERROR(__xludf.DUMMYFUNCTION("""COMPUTED_VALUE"""),"Baliza LED azul intermitente")</f>
        <v>Baliza LED azul intermitente</v>
      </c>
      <c r="C1135" s="4">
        <f>IFERROR(__xludf.DUMMYFUNCTION("""COMPUTED_VALUE"""),6.144)</f>
        <v>6.144</v>
      </c>
    </row>
    <row r="1136">
      <c r="A1136" s="4" t="str">
        <f>IFERROR(__xludf.DUMMYFUNCTION("""COMPUTED_VALUE"""),"1032")</f>
        <v>1032</v>
      </c>
      <c r="B1136" s="4" t="str">
        <f>IFERROR(__xludf.DUMMYFUNCTION("""COMPUTED_VALUE"""),"Baliza Señalizacion intermitente para 1 bateria")</f>
        <v>Baliza Señalizacion intermitente para 1 bateria</v>
      </c>
      <c r="C1136" s="4">
        <f>IFERROR(__xludf.DUMMYFUNCTION("""COMPUTED_VALUE"""),4.848)</f>
        <v>4.848</v>
      </c>
    </row>
    <row r="1137">
      <c r="A1137" s="4" t="str">
        <f>IFERROR(__xludf.DUMMYFUNCTION("""COMPUTED_VALUE"""),"1033")</f>
        <v>1033</v>
      </c>
      <c r="B1137" s="4" t="str">
        <f>IFERROR(__xludf.DUMMYFUNCTION("""COMPUTED_VALUE"""),"Baliza Señalización Plus intermitente 2 baterías")</f>
        <v>Baliza Señalización Plus intermitente 2 baterías</v>
      </c>
      <c r="C1137" s="4">
        <f>IFERROR(__xludf.DUMMYFUNCTION("""COMPUTED_VALUE"""),6.691199999999999)</f>
        <v>6.6912</v>
      </c>
    </row>
    <row r="1138">
      <c r="A1138" s="4" t="str">
        <f>IFERROR(__xludf.DUMMYFUNCTION("""COMPUTED_VALUE"""),"1033/B")</f>
        <v>1033/B</v>
      </c>
      <c r="B1138" s="4" t="str">
        <f>IFERROR(__xludf.DUMMYFUNCTION("""COMPUTED_VALUE"""),"Baliza Señalizacion Basic intermitente 2 baterias")</f>
        <v>Baliza Señalizacion Basic intermitente 2 baterias</v>
      </c>
      <c r="C1138" s="4">
        <f>IFERROR(__xludf.DUMMYFUNCTION("""COMPUTED_VALUE"""),5.664)</f>
        <v>5.664</v>
      </c>
    </row>
    <row r="1139">
      <c r="A1139" s="4" t="str">
        <f>IFERROR(__xludf.DUMMYFUNCTION("""COMPUTED_VALUE"""),"1033E")</f>
        <v>1033E</v>
      </c>
      <c r="B1139" s="4" t="str">
        <f>IFERROR(__xludf.DUMMYFUNCTION("""COMPUTED_VALUE"""),"Baliza intermitente Euroflash naranja")</f>
        <v>Baliza intermitente Euroflash naranja</v>
      </c>
      <c r="C1139" s="4">
        <f>IFERROR(__xludf.DUMMYFUNCTION("""COMPUTED_VALUE"""),6.96)</f>
        <v>6.96</v>
      </c>
    </row>
    <row r="1140">
      <c r="A1140" s="4" t="str">
        <f>IFERROR(__xludf.DUMMYFUNCTION("""COMPUTED_VALUE"""),"1033V")</f>
        <v>1033V</v>
      </c>
      <c r="B1140" s="4" t="str">
        <f>IFERROR(__xludf.DUMMYFUNCTION("""COMPUTED_VALUE"""),"Baliza Señalización Plus intermitente 2 baterías VERDE")</f>
        <v>Baliza Señalización Plus intermitente 2 baterías VERDE</v>
      </c>
      <c r="C1140" s="4">
        <f>IFERROR(__xludf.DUMMYFUNCTION("""COMPUTED_VALUE"""),6.672)</f>
        <v>6.672</v>
      </c>
    </row>
    <row r="1141">
      <c r="A1141" s="4" t="str">
        <f>IFERROR(__xludf.DUMMYFUNCTION("""COMPUTED_VALUE"""),"1034")</f>
        <v>1034</v>
      </c>
      <c r="B1141" s="4" t="str">
        <f>IFERROR(__xludf.DUMMYFUNCTION("""COMPUTED_VALUE"""),"Bateria baliza 6V 4R25 7 Ah. Alta Capacidad")</f>
        <v>Bateria baliza 6V 4R25 7 Ah. Alta Capacidad</v>
      </c>
      <c r="C1141" s="4">
        <f>IFERROR(__xludf.DUMMYFUNCTION("""COMPUTED_VALUE"""),1.8143999999999998)</f>
        <v>1.8144</v>
      </c>
    </row>
    <row r="1142">
      <c r="A1142" s="4" t="str">
        <f>IFERROR(__xludf.DUMMYFUNCTION("""COMPUTED_VALUE"""),"1034G")</f>
        <v>1034G</v>
      </c>
      <c r="B1142" s="4" t="str">
        <f>IFERROR(__xludf.DUMMYFUNCTION("""COMPUTED_VALUE"""),"Bateria baliza 6v 25 Ah")</f>
        <v>Bateria baliza 6v 25 Ah</v>
      </c>
      <c r="C1142" s="4">
        <f>IFERROR(__xludf.DUMMYFUNCTION("""COMPUTED_VALUE"""),10.08)</f>
        <v>10.08</v>
      </c>
    </row>
    <row r="1143">
      <c r="A1143" s="4" t="str">
        <f>IFERROR(__xludf.DUMMYFUNCTION("""COMPUTED_VALUE"""),"1035")</f>
        <v>1035</v>
      </c>
      <c r="B1143" s="4" t="str">
        <f>IFERROR(__xludf.DUMMYFUNCTION("""COMPUTED_VALUE"""),"Baliza Señalizacion flash-Led doble cara")</f>
        <v>Baliza Señalizacion flash-Led doble cara</v>
      </c>
      <c r="C1143" s="4">
        <f>IFERROR(__xludf.DUMMYFUNCTION("""COMPUTED_VALUE"""),21.36)</f>
        <v>21.36</v>
      </c>
    </row>
    <row r="1144">
      <c r="A1144" s="4" t="str">
        <f>IFERROR(__xludf.DUMMYFUNCTION("""COMPUTED_VALUE"""),"1036")</f>
        <v>1036</v>
      </c>
      <c r="B1144" s="4" t="str">
        <f>IFERROR(__xludf.DUMMYFUNCTION("""COMPUTED_VALUE"""),"Baliza Señalización luz roja VEGA")</f>
        <v>Baliza Señalización luz roja VEGA</v>
      </c>
      <c r="C1144" s="4">
        <f>IFERROR(__xludf.DUMMYFUNCTION("""COMPUTED_VALUE"""),7.68)</f>
        <v>7.68</v>
      </c>
    </row>
    <row r="1145">
      <c r="A1145" s="4" t="str">
        <f>IFERROR(__xludf.DUMMYFUNCTION("""COMPUTED_VALUE"""),"1037")</f>
        <v>1037</v>
      </c>
      <c r="B1145" s="4" t="str">
        <f>IFERROR(__xludf.DUMMYFUNCTION("""COMPUTED_VALUE"""),"Baliza Señalizacion solar")</f>
        <v>Baliza Señalizacion solar</v>
      </c>
      <c r="C1145" s="4">
        <f>IFERROR(__xludf.DUMMYFUNCTION("""COMPUTED_VALUE"""),14.304)</f>
        <v>14.304</v>
      </c>
    </row>
    <row r="1146">
      <c r="A1146" s="4" t="str">
        <f>IFERROR(__xludf.DUMMYFUNCTION("""COMPUTED_VALUE"""),"1122B")</f>
        <v>1122B</v>
      </c>
      <c r="B1146" s="4" t="str">
        <f>IFERROR(__xludf.DUMMYFUNCTION("""COMPUTED_VALUE"""),"Barrera mediana HOG600 Blanca 560x1130x400 mm")</f>
        <v>Barrera mediana HOG600 Blanca 560x1130x400 mm</v>
      </c>
      <c r="C1146" s="4">
        <f>IFERROR(__xludf.DUMMYFUNCTION("""COMPUTED_VALUE"""),44.16)</f>
        <v>44.16</v>
      </c>
    </row>
    <row r="1147">
      <c r="A1147" s="4" t="str">
        <f>IFERROR(__xludf.DUMMYFUNCTION("""COMPUTED_VALUE"""),"1122R")</f>
        <v>1122R</v>
      </c>
      <c r="B1147" s="4" t="str">
        <f>IFERROR(__xludf.DUMMYFUNCTION("""COMPUTED_VALUE"""),"Barrera mediana HOG600 Roja 560x1130x400 mm")</f>
        <v>Barrera mediana HOG600 Roja 560x1130x400 mm</v>
      </c>
      <c r="C1147" s="4">
        <f>IFERROR(__xludf.DUMMYFUNCTION("""COMPUTED_VALUE"""),44.16)</f>
        <v>44.16</v>
      </c>
    </row>
    <row r="1148">
      <c r="A1148" s="4" t="str">
        <f>IFERROR(__xludf.DUMMYFUNCTION("""COMPUTED_VALUE"""),"1123")</f>
        <v>1123</v>
      </c>
      <c r="B1148" s="4" t="str">
        <f>IFERROR(__xludf.DUMMYFUNCTION("""COMPUTED_VALUE"""),"Mts. Cadena plástico 10 m/m R/B")</f>
        <v>Mts. Cadena plástico 10 m/m R/B</v>
      </c>
      <c r="C1148" s="4">
        <f>IFERROR(__xludf.DUMMYFUNCTION("""COMPUTED_VALUE"""),1.008)</f>
        <v>1.008</v>
      </c>
    </row>
    <row r="1149">
      <c r="A1149" s="4" t="str">
        <f>IFERROR(__xludf.DUMMYFUNCTION("""COMPUTED_VALUE"""),"1124")</f>
        <v>1124</v>
      </c>
      <c r="B1149" s="4" t="str">
        <f>IFERROR(__xludf.DUMMYFUNCTION("""COMPUTED_VALUE"""),"Mts. Cadena plástico 10 m/m N/A")</f>
        <v>Mts. Cadena plástico 10 m/m N/A</v>
      </c>
      <c r="C1149" s="4">
        <f>IFERROR(__xludf.DUMMYFUNCTION("""COMPUTED_VALUE"""),1.008)</f>
        <v>1.008</v>
      </c>
    </row>
    <row r="1150">
      <c r="A1150" s="4" t="str">
        <f>IFERROR(__xludf.DUMMYFUNCTION("""COMPUTED_VALUE"""),"1125")</f>
        <v>1125</v>
      </c>
      <c r="B1150" s="4" t="str">
        <f>IFERROR(__xludf.DUMMYFUNCTION("""COMPUTED_VALUE"""),"Poste señaliz. 1 m Rojo/Blanco p/cadena plastica")</f>
        <v>Poste señaliz. 1 m Rojo/Blanco p/cadena plastica</v>
      </c>
      <c r="C1150" s="4">
        <f>IFERROR(__xludf.DUMMYFUNCTION("""COMPUTED_VALUE"""),6.192)</f>
        <v>6.192</v>
      </c>
    </row>
    <row r="1151">
      <c r="A1151" s="4" t="str">
        <f>IFERROR(__xludf.DUMMYFUNCTION("""COMPUTED_VALUE"""),"1125AN")</f>
        <v>1125AN</v>
      </c>
      <c r="B1151" s="4" t="str">
        <f>IFERROR(__xludf.DUMMYFUNCTION("""COMPUTED_VALUE"""),"Poste señaliz. 1 m Amarillo/negro p/cadena plastica")</f>
        <v>Poste señaliz. 1 m Amarillo/negro p/cadena plastica</v>
      </c>
      <c r="C1151" s="4">
        <f>IFERROR(__xludf.DUMMYFUNCTION("""COMPUTED_VALUE"""),6.192)</f>
        <v>6.192</v>
      </c>
    </row>
    <row r="1152">
      <c r="A1152" s="4" t="str">
        <f>IFERROR(__xludf.DUMMYFUNCTION("""COMPUTED_VALUE"""),"1125BZ")</f>
        <v>1125BZ</v>
      </c>
      <c r="B1152" s="4" t="str">
        <f>IFERROR(__xludf.DUMMYFUNCTION("""COMPUTED_VALUE"""),"Poste señaliz. 1 m Azul/Blanco p/cadena plastica")</f>
        <v>Poste señaliz. 1 m Azul/Blanco p/cadena plastica</v>
      </c>
      <c r="C1152" s="4">
        <f>IFERROR(__xludf.DUMMYFUNCTION("""COMPUTED_VALUE"""),6.192)</f>
        <v>6.192</v>
      </c>
    </row>
    <row r="1153">
      <c r="A1153" s="4" t="str">
        <f>IFERROR(__xludf.DUMMYFUNCTION("""COMPUTED_VALUE"""),"1125VB")</f>
        <v>1125VB</v>
      </c>
      <c r="B1153" s="4" t="str">
        <f>IFERROR(__xludf.DUMMYFUNCTION("""COMPUTED_VALUE"""),"Poste señaliz. 1 m Verde/Blanco p/cadena plastica")</f>
        <v>Poste señaliz. 1 m Verde/Blanco p/cadena plastica</v>
      </c>
      <c r="C1153" s="4">
        <f>IFERROR(__xludf.DUMMYFUNCTION("""COMPUTED_VALUE"""),6.192)</f>
        <v>6.192</v>
      </c>
    </row>
    <row r="1154">
      <c r="A1154" s="4" t="str">
        <f>IFERROR(__xludf.DUMMYFUNCTION("""COMPUTED_VALUE"""),"1126")</f>
        <v>1126</v>
      </c>
      <c r="B1154" s="4" t="str">
        <f>IFERROR(__xludf.DUMMYFUNCTION("""COMPUTED_VALUE"""),"Mts. Cadena Plástico 5.5 m/m R/B")</f>
        <v>Mts. Cadena Plástico 5.5 m/m R/B</v>
      </c>
      <c r="C1154" s="4">
        <f>IFERROR(__xludf.DUMMYFUNCTION("""COMPUTED_VALUE"""),0.624)</f>
        <v>0.624</v>
      </c>
    </row>
    <row r="1155">
      <c r="A1155" s="4" t="str">
        <f>IFERROR(__xludf.DUMMYFUNCTION("""COMPUTED_VALUE"""),"1126B")</f>
        <v>1126B</v>
      </c>
      <c r="B1155" s="4" t="str">
        <f>IFERROR(__xludf.DUMMYFUNCTION("""COMPUTED_VALUE"""),"Mts. cadena Plástico 5.5 mm Blanca")</f>
        <v>Mts. cadena Plástico 5.5 mm Blanca</v>
      </c>
      <c r="C1155" s="4">
        <f>IFERROR(__xludf.DUMMYFUNCTION("""COMPUTED_VALUE"""),0.624)</f>
        <v>0.624</v>
      </c>
    </row>
    <row r="1156">
      <c r="A1156" s="4" t="str">
        <f>IFERROR(__xludf.DUMMYFUNCTION("""COMPUTED_VALUE"""),"1126BZ")</f>
        <v>1126BZ</v>
      </c>
      <c r="B1156" s="4" t="str">
        <f>IFERROR(__xludf.DUMMYFUNCTION("""COMPUTED_VALUE"""),"Mts. Cadena Plástico 5.5 m/m B/Z")</f>
        <v>Mts. Cadena Plástico 5.5 m/m B/Z</v>
      </c>
      <c r="C1156" s="4">
        <f>IFERROR(__xludf.DUMMYFUNCTION("""COMPUTED_VALUE"""),0.624)</f>
        <v>0.624</v>
      </c>
    </row>
    <row r="1157">
      <c r="A1157" s="4" t="str">
        <f>IFERROR(__xludf.DUMMYFUNCTION("""COMPUTED_VALUE"""),"1126M3")</f>
        <v>1126M3</v>
      </c>
      <c r="B1157" s="4" t="str">
        <f>IFERROR(__xludf.DUMMYFUNCTION("""COMPUTED_VALUE"""),"Rollo 165 m cadena metálica señalización cincada 3 mm")</f>
        <v>Rollo 165 m cadena metálica señalización cincada 3 mm</v>
      </c>
      <c r="C1157" s="4">
        <f>IFERROR(__xludf.DUMMYFUNCTION("""COMPUTED_VALUE"""),113.39999999999999)</f>
        <v>113.4</v>
      </c>
    </row>
    <row r="1158">
      <c r="A1158" s="4" t="str">
        <f>IFERROR(__xludf.DUMMYFUNCTION("""COMPUTED_VALUE"""),"1126M6")</f>
        <v>1126M6</v>
      </c>
      <c r="B1158" s="4" t="str">
        <f>IFERROR(__xludf.DUMMYFUNCTION("""COMPUTED_VALUE"""),"Rollo 38 m cadena metálica señalización cincada 6 mm")</f>
        <v>Rollo 38 m cadena metálica señalización cincada 6 mm</v>
      </c>
      <c r="C1158" s="4">
        <f>IFERROR(__xludf.DUMMYFUNCTION("""COMPUTED_VALUE"""),95.03999999999999)</f>
        <v>95.04</v>
      </c>
    </row>
    <row r="1159">
      <c r="A1159" s="4" t="str">
        <f>IFERROR(__xludf.DUMMYFUNCTION("""COMPUTED_VALUE"""),"1126M8")</f>
        <v>1126M8</v>
      </c>
      <c r="B1159" s="4" t="str">
        <f>IFERROR(__xludf.DUMMYFUNCTION("""COMPUTED_VALUE"""),"Rollo 21 m cadena metálica señalización cincada 8 mm")</f>
        <v>Rollo 21 m cadena metálica señalización cincada 8 mm</v>
      </c>
      <c r="C1159" s="4">
        <f>IFERROR(__xludf.DUMMYFUNCTION("""COMPUTED_VALUE"""),88.8)</f>
        <v>88.8</v>
      </c>
    </row>
    <row r="1160">
      <c r="A1160" s="4" t="str">
        <f>IFERROR(__xludf.DUMMYFUNCTION("""COMPUTED_VALUE"""),"1126MNA")</f>
        <v>1126MNA</v>
      </c>
      <c r="B1160" s="4" t="str">
        <f>IFERROR(__xludf.DUMMYFUNCTION("""COMPUTED_VALUE"""),"Rollo 25 m cadena metálica Señalización pintada")</f>
        <v>Rollo 25 m cadena metálica Señalización pintada</v>
      </c>
      <c r="C1160" s="4">
        <f>IFERROR(__xludf.DUMMYFUNCTION("""COMPUTED_VALUE"""),86.39999999999999)</f>
        <v>86.4</v>
      </c>
    </row>
    <row r="1161">
      <c r="A1161" s="4" t="str">
        <f>IFERROR(__xludf.DUMMYFUNCTION("""COMPUTED_VALUE"""),"1126MRB")</f>
        <v>1126MRB</v>
      </c>
      <c r="B1161" s="4" t="str">
        <f>IFERROR(__xludf.DUMMYFUNCTION("""COMPUTED_VALUE"""),"Rollo 25 m cadena metálica Señalización pintada")</f>
        <v>Rollo 25 m cadena metálica Señalización pintada</v>
      </c>
      <c r="C1161" s="4">
        <f>IFERROR(__xludf.DUMMYFUNCTION("""COMPUTED_VALUE"""),86.39999999999999)</f>
        <v>86.4</v>
      </c>
    </row>
    <row r="1162">
      <c r="A1162" s="4" t="str">
        <f>IFERROR(__xludf.DUMMYFUNCTION("""COMPUTED_VALUE"""),"1126V")</f>
        <v>1126V</v>
      </c>
      <c r="B1162" s="4" t="str">
        <f>IFERROR(__xludf.DUMMYFUNCTION("""COMPUTED_VALUE"""),"Mts. Cadena Plástico 5.5 mm Verde")</f>
        <v>Mts. Cadena Plástico 5.5 mm Verde</v>
      </c>
      <c r="C1162" s="4">
        <f>IFERROR(__xludf.DUMMYFUNCTION("""COMPUTED_VALUE"""),0.624)</f>
        <v>0.624</v>
      </c>
    </row>
    <row r="1163">
      <c r="A1163" s="4" t="str">
        <f>IFERROR(__xludf.DUMMYFUNCTION("""COMPUTED_VALUE"""),"1126VB")</f>
        <v>1126VB</v>
      </c>
      <c r="B1163" s="4" t="str">
        <f>IFERROR(__xludf.DUMMYFUNCTION("""COMPUTED_VALUE"""),"Mts. Cadena Plástico 5.5 mm V/B")</f>
        <v>Mts. Cadena Plástico 5.5 mm V/B</v>
      </c>
      <c r="C1163" s="4">
        <f>IFERROR(__xludf.DUMMYFUNCTION("""COMPUTED_VALUE"""),0.624)</f>
        <v>0.624</v>
      </c>
    </row>
    <row r="1164">
      <c r="A1164" s="4" t="str">
        <f>IFERROR(__xludf.DUMMYFUNCTION("""COMPUTED_VALUE"""),"1127")</f>
        <v>1127</v>
      </c>
      <c r="B1164" s="4" t="str">
        <f>IFERROR(__xludf.DUMMYFUNCTION("""COMPUTED_VALUE"""),"Mts. Cadena plastico 7.5 mm R/B")</f>
        <v>Mts. Cadena plastico 7.5 mm R/B</v>
      </c>
      <c r="C1164" s="4">
        <f>IFERROR(__xludf.DUMMYFUNCTION("""COMPUTED_VALUE"""),0.7488)</f>
        <v>0.7488</v>
      </c>
    </row>
    <row r="1165">
      <c r="A1165" s="4" t="str">
        <f>IFERROR(__xludf.DUMMYFUNCTION("""COMPUTED_VALUE"""),"1127B")</f>
        <v>1127B</v>
      </c>
      <c r="B1165" s="4" t="str">
        <f>IFERROR(__xludf.DUMMYFUNCTION("""COMPUTED_VALUE"""),"Mts. cadena Plástico 7.5 mm Blanca")</f>
        <v>Mts. cadena Plástico 7.5 mm Blanca</v>
      </c>
      <c r="C1165" s="4">
        <f>IFERROR(__xludf.DUMMYFUNCTION("""COMPUTED_VALUE"""),0.7488)</f>
        <v>0.7488</v>
      </c>
    </row>
    <row r="1166">
      <c r="A1166" s="4" t="str">
        <f>IFERROR(__xludf.DUMMYFUNCTION("""COMPUTED_VALUE"""),"1127BZ")</f>
        <v>1127BZ</v>
      </c>
      <c r="B1166" s="4" t="str">
        <f>IFERROR(__xludf.DUMMYFUNCTION("""COMPUTED_VALUE"""),"Mts. Cadena Plástico 7.5 mm B/Z")</f>
        <v>Mts. Cadena Plástico 7.5 mm B/Z</v>
      </c>
      <c r="C1166" s="4">
        <f>IFERROR(__xludf.DUMMYFUNCTION("""COMPUTED_VALUE"""),0.7488)</f>
        <v>0.7488</v>
      </c>
    </row>
    <row r="1167">
      <c r="A1167" s="4" t="str">
        <f>IFERROR(__xludf.DUMMYFUNCTION("""COMPUTED_VALUE"""),"1127V")</f>
        <v>1127V</v>
      </c>
      <c r="B1167" s="4" t="str">
        <f>IFERROR(__xludf.DUMMYFUNCTION("""COMPUTED_VALUE"""),"Mts. cadena Plástico 7.5 mm Verde")</f>
        <v>Mts. cadena Plástico 7.5 mm Verde</v>
      </c>
      <c r="C1167" s="4">
        <f>IFERROR(__xludf.DUMMYFUNCTION("""COMPUTED_VALUE"""),0.7488)</f>
        <v>0.7488</v>
      </c>
    </row>
    <row r="1168">
      <c r="A1168" s="4" t="str">
        <f>IFERROR(__xludf.DUMMYFUNCTION("""COMPUTED_VALUE"""),"1127VB")</f>
        <v>1127VB</v>
      </c>
      <c r="B1168" s="4" t="str">
        <f>IFERROR(__xludf.DUMMYFUNCTION("""COMPUTED_VALUE"""),"Mts. Cadena Plástico 7.5 mm V/B")</f>
        <v>Mts. Cadena Plástico 7.5 mm V/B</v>
      </c>
      <c r="C1168" s="4">
        <f>IFERROR(__xludf.DUMMYFUNCTION("""COMPUTED_VALUE"""),0.7488)</f>
        <v>0.7488</v>
      </c>
    </row>
    <row r="1169">
      <c r="A1169" s="4" t="str">
        <f>IFERROR(__xludf.DUMMYFUNCTION("""COMPUTED_VALUE"""),"1128")</f>
        <v>1128</v>
      </c>
      <c r="B1169" s="4" t="str">
        <f>IFERROR(__xludf.DUMMYFUNCTION("""COMPUTED_VALUE"""),"Mts. Cadena plastico 5.5mm N/A")</f>
        <v>Mts. Cadena plastico 5.5mm N/A</v>
      </c>
      <c r="C1169" s="4">
        <f>IFERROR(__xludf.DUMMYFUNCTION("""COMPUTED_VALUE"""),0.624)</f>
        <v>0.624</v>
      </c>
    </row>
    <row r="1170">
      <c r="A1170" s="4" t="str">
        <f>IFERROR(__xludf.DUMMYFUNCTION("""COMPUTED_VALUE"""),"1129")</f>
        <v>1129</v>
      </c>
      <c r="B1170" s="4" t="str">
        <f>IFERROR(__xludf.DUMMYFUNCTION("""COMPUTED_VALUE"""),"Mts. Cadena plastico 7.5 mm N/A")</f>
        <v>Mts. Cadena plastico 7.5 mm N/A</v>
      </c>
      <c r="C1170" s="4">
        <f>IFERROR(__xludf.DUMMYFUNCTION("""COMPUTED_VALUE"""),0.7488)</f>
        <v>0.7488</v>
      </c>
    </row>
    <row r="1171">
      <c r="A1171" s="4" t="str">
        <f>IFERROR(__xludf.DUMMYFUNCTION("""COMPUTED_VALUE"""),"1132")</f>
        <v>1132</v>
      </c>
      <c r="B1171" s="4" t="str">
        <f>IFERROR(__xludf.DUMMYFUNCTION("""COMPUTED_VALUE"""),"Poste plata con cinturón retráctil rojo 2 m")</f>
        <v>Poste plata con cinturón retráctil rojo 2 m</v>
      </c>
      <c r="C1171" s="4">
        <f>IFERROR(__xludf.DUMMYFUNCTION("""COMPUTED_VALUE"""),23.04)</f>
        <v>23.04</v>
      </c>
    </row>
    <row r="1172">
      <c r="A1172" s="4" t="str">
        <f>IFERROR(__xludf.DUMMYFUNCTION("""COMPUTED_VALUE"""),"11325M")</f>
        <v>11325M</v>
      </c>
      <c r="B1172" s="4" t="str">
        <f>IFERROR(__xludf.DUMMYFUNCTION("""COMPUTED_VALUE"""),"Poste plata con cinturón retráctil rojo 5 m")</f>
        <v>Poste plata con cinturón retráctil rojo 5 m</v>
      </c>
      <c r="C1172" s="4">
        <f>IFERROR(__xludf.DUMMYFUNCTION("""COMPUTED_VALUE"""),29.759999999999998)</f>
        <v>29.76</v>
      </c>
    </row>
    <row r="1173">
      <c r="A1173" s="4" t="str">
        <f>IFERROR(__xludf.DUMMYFUNCTION("""COMPUTED_VALUE"""),"1132A")</f>
        <v>1132A</v>
      </c>
      <c r="B1173" s="4" t="str">
        <f>IFERROR(__xludf.DUMMYFUNCTION("""COMPUTED_VALUE"""),"Poste plata con cinturón retráctil azul 2 m")</f>
        <v>Poste plata con cinturón retráctil azul 2 m</v>
      </c>
      <c r="C1173" s="4">
        <f>IFERROR(__xludf.DUMMYFUNCTION("""COMPUTED_VALUE"""),23.04)</f>
        <v>23.04</v>
      </c>
    </row>
    <row r="1174">
      <c r="A1174" s="4" t="str">
        <f>IFERROR(__xludf.DUMMYFUNCTION("""COMPUTED_VALUE"""),"1132A5M")</f>
        <v>1132A5M</v>
      </c>
      <c r="B1174" s="4" t="str">
        <f>IFERROR(__xludf.DUMMYFUNCTION("""COMPUTED_VALUE"""),"Poste plata con cinturón retráctil azul 5 m")</f>
        <v>Poste plata con cinturón retráctil azul 5 m</v>
      </c>
      <c r="C1174" s="4">
        <f>IFERROR(__xludf.DUMMYFUNCTION("""COMPUTED_VALUE"""),29.759999999999998)</f>
        <v>29.76</v>
      </c>
    </row>
    <row r="1175">
      <c r="A1175" s="4" t="str">
        <f>IFERROR(__xludf.DUMMYFUNCTION("""COMPUTED_VALUE"""),"1132N")</f>
        <v>1132N</v>
      </c>
      <c r="B1175" s="4" t="str">
        <f>IFERROR(__xludf.DUMMYFUNCTION("""COMPUTED_VALUE"""),"Poste plata con cinturón retráctil negro 2 m")</f>
        <v>Poste plata con cinturón retráctil negro 2 m</v>
      </c>
      <c r="C1175" s="4">
        <f>IFERROR(__xludf.DUMMYFUNCTION("""COMPUTED_VALUE"""),23.04)</f>
        <v>23.04</v>
      </c>
    </row>
    <row r="1176">
      <c r="A1176" s="4" t="str">
        <f>IFERROR(__xludf.DUMMYFUNCTION("""COMPUTED_VALUE"""),"1132N5M")</f>
        <v>1132N5M</v>
      </c>
      <c r="B1176" s="4" t="str">
        <f>IFERROR(__xludf.DUMMYFUNCTION("""COMPUTED_VALUE"""),"Poste plata con cinturón retráctil negro 5 m")</f>
        <v>Poste plata con cinturón retráctil negro 5 m</v>
      </c>
      <c r="C1176" s="4">
        <f>IFERROR(__xludf.DUMMYFUNCTION("""COMPUTED_VALUE"""),29.759999999999998)</f>
        <v>29.76</v>
      </c>
    </row>
    <row r="1177">
      <c r="A1177" s="4" t="str">
        <f>IFERROR(__xludf.DUMMYFUNCTION("""COMPUTED_VALUE"""),"1133")</f>
        <v>1133</v>
      </c>
      <c r="B1177" s="4" t="str">
        <f>IFERROR(__xludf.DUMMYFUNCTION("""COMPUTED_VALUE"""),"Cinturón Retráctil Pared rojo 2 m")</f>
        <v>Cinturón Retráctil Pared rojo 2 m</v>
      </c>
      <c r="C1177" s="4">
        <f>IFERROR(__xludf.DUMMYFUNCTION("""COMPUTED_VALUE"""),16.272)</f>
        <v>16.272</v>
      </c>
    </row>
    <row r="1178">
      <c r="A1178" s="4" t="str">
        <f>IFERROR(__xludf.DUMMYFUNCTION("""COMPUTED_VALUE"""),"11335M")</f>
        <v>11335M</v>
      </c>
      <c r="B1178" s="4" t="str">
        <f>IFERROR(__xludf.DUMMYFUNCTION("""COMPUTED_VALUE"""),"Cinturón Retráctil Pared rojo 5 m")</f>
        <v>Cinturón Retráctil Pared rojo 5 m</v>
      </c>
      <c r="C1178" s="4">
        <f>IFERROR(__xludf.DUMMYFUNCTION("""COMPUTED_VALUE"""),27.84)</f>
        <v>27.84</v>
      </c>
    </row>
    <row r="1179">
      <c r="A1179" s="4" t="str">
        <f>IFERROR(__xludf.DUMMYFUNCTION("""COMPUTED_VALUE"""),"1133A")</f>
        <v>1133A</v>
      </c>
      <c r="B1179" s="4" t="str">
        <f>IFERROR(__xludf.DUMMYFUNCTION("""COMPUTED_VALUE"""),"Enganche pared para cinturón retráctil")</f>
        <v>Enganche pared para cinturón retráctil</v>
      </c>
      <c r="C1179" s="4">
        <f>IFERROR(__xludf.DUMMYFUNCTION("""COMPUTED_VALUE"""),1.44)</f>
        <v>1.44</v>
      </c>
    </row>
    <row r="1180">
      <c r="A1180" s="4" t="str">
        <f>IFERROR(__xludf.DUMMYFUNCTION("""COMPUTED_VALUE"""),"1133A5M")</f>
        <v>1133A5M</v>
      </c>
      <c r="B1180" s="4" t="str">
        <f>IFERROR(__xludf.DUMMYFUNCTION("""COMPUTED_VALUE"""),"Cinturón Retráctil Pared azul 5 m")</f>
        <v>Cinturón Retráctil Pared azul 5 m</v>
      </c>
      <c r="C1180" s="4">
        <f>IFERROR(__xludf.DUMMYFUNCTION("""COMPUTED_VALUE"""),27.84)</f>
        <v>27.84</v>
      </c>
    </row>
    <row r="1181">
      <c r="A1181" s="4" t="str">
        <f>IFERROR(__xludf.DUMMYFUNCTION("""COMPUTED_VALUE"""),"1133N")</f>
        <v>1133N</v>
      </c>
      <c r="B1181" s="4" t="str">
        <f>IFERROR(__xludf.DUMMYFUNCTION("""COMPUTED_VALUE"""),"Cinturón Retráctil Pared negro 2m")</f>
        <v>Cinturón Retráctil Pared negro 2m</v>
      </c>
      <c r="C1181" s="4">
        <f>IFERROR(__xludf.DUMMYFUNCTION("""COMPUTED_VALUE"""),16.272)</f>
        <v>16.272</v>
      </c>
    </row>
    <row r="1182">
      <c r="A1182" s="4" t="str">
        <f>IFERROR(__xludf.DUMMYFUNCTION("""COMPUTED_VALUE"""),"1133N5M")</f>
        <v>1133N5M</v>
      </c>
      <c r="B1182" s="4" t="str">
        <f>IFERROR(__xludf.DUMMYFUNCTION("""COMPUTED_VALUE"""),"Cinturón Retráctil Pared negro 5 m")</f>
        <v>Cinturón Retráctil Pared negro 5 m</v>
      </c>
      <c r="C1182" s="4">
        <f>IFERROR(__xludf.DUMMYFUNCTION("""COMPUTED_VALUE"""),27.84)</f>
        <v>27.84</v>
      </c>
    </row>
    <row r="1183">
      <c r="A1183" s="4" t="str">
        <f>IFERROR(__xludf.DUMMYFUNCTION("""COMPUTED_VALUE"""),"1134")</f>
        <v>1134</v>
      </c>
      <c r="B1183" s="4" t="str">
        <f>IFERROR(__xludf.DUMMYFUNCTION("""COMPUTED_VALUE"""),"Poste Negro con cinturón retráctil rojo 2 m")</f>
        <v>Poste Negro con cinturón retráctil rojo 2 m</v>
      </c>
      <c r="C1183" s="4">
        <f>IFERROR(__xludf.DUMMYFUNCTION("""COMPUTED_VALUE"""),23.52)</f>
        <v>23.52</v>
      </c>
    </row>
    <row r="1184">
      <c r="A1184" s="4" t="str">
        <f>IFERROR(__xludf.DUMMYFUNCTION("""COMPUTED_VALUE"""),"1134A")</f>
        <v>1134A</v>
      </c>
      <c r="B1184" s="4" t="str">
        <f>IFERROR(__xludf.DUMMYFUNCTION("""COMPUTED_VALUE"""),"Poste Negro con cinturón retráctil azul 2 m")</f>
        <v>Poste Negro con cinturón retráctil azul 2 m</v>
      </c>
      <c r="C1184" s="4">
        <f>IFERROR(__xludf.DUMMYFUNCTION("""COMPUTED_VALUE"""),23.04)</f>
        <v>23.04</v>
      </c>
    </row>
    <row r="1185">
      <c r="A1185" s="4" t="str">
        <f>IFERROR(__xludf.DUMMYFUNCTION("""COMPUTED_VALUE"""),"1134N")</f>
        <v>1134N</v>
      </c>
      <c r="B1185" s="4" t="str">
        <f>IFERROR(__xludf.DUMMYFUNCTION("""COMPUTED_VALUE"""),"Poste negro con cinturón retráctil negro 2 m")</f>
        <v>Poste negro con cinturón retráctil negro 2 m</v>
      </c>
      <c r="C1185" s="4">
        <f>IFERROR(__xludf.DUMMYFUNCTION("""COMPUTED_VALUE"""),23.04)</f>
        <v>23.04</v>
      </c>
    </row>
    <row r="1186">
      <c r="A1186" s="4" t="str">
        <f>IFERROR(__xludf.DUMMYFUNCTION("""COMPUTED_VALUE"""),"1134NA")</f>
        <v>1134NA</v>
      </c>
      <c r="B1186" s="4" t="str">
        <f>IFERROR(__xludf.DUMMYFUNCTION("""COMPUTED_VALUE"""),"Poste negro con cinturón retráctil negro/amarillo 5 m")</f>
        <v>Poste negro con cinturón retráctil negro/amarillo 5 m</v>
      </c>
      <c r="C1186" s="4">
        <f>IFERROR(__xludf.DUMMYFUNCTION("""COMPUTED_VALUE"""),23.04)</f>
        <v>23.04</v>
      </c>
    </row>
    <row r="1187">
      <c r="A1187" s="4" t="str">
        <f>IFERROR(__xludf.DUMMYFUNCTION("""COMPUTED_VALUE"""),"1134RB")</f>
        <v>1134RB</v>
      </c>
      <c r="B1187" s="4" t="str">
        <f>IFERROR(__xludf.DUMMYFUNCTION("""COMPUTED_VALUE"""),"Poste negro con cinturón retráctil rojo/blanco 5 m")</f>
        <v>Poste negro con cinturón retráctil rojo/blanco 5 m</v>
      </c>
      <c r="C1187" s="4">
        <f>IFERROR(__xludf.DUMMYFUNCTION("""COMPUTED_VALUE"""),23.04)</f>
        <v>23.04</v>
      </c>
    </row>
    <row r="1188">
      <c r="A1188" s="4" t="str">
        <f>IFERROR(__xludf.DUMMYFUNCTION("""COMPUTED_VALUE"""),"1135")</f>
        <v>1135</v>
      </c>
      <c r="B1188" s="4" t="str">
        <f>IFERROR(__xludf.DUMMYFUNCTION("""COMPUTED_VALUE"""),"Cinturón retractil pared azul 2 m")</f>
        <v>Cinturón retractil pared azul 2 m</v>
      </c>
      <c r="C1188" s="4">
        <f>IFERROR(__xludf.DUMMYFUNCTION("""COMPUTED_VALUE"""),16.272)</f>
        <v>16.272</v>
      </c>
    </row>
    <row r="1189">
      <c r="A1189" s="4" t="str">
        <f>IFERROR(__xludf.DUMMYFUNCTION("""COMPUTED_VALUE"""),"1136")</f>
        <v>1136</v>
      </c>
      <c r="B1189" s="4" t="str">
        <f>IFERROR(__xludf.DUMMYFUNCTION("""COMPUTED_VALUE"""),"Poste R/B para cadena con base hexagonal pesada")</f>
        <v>Poste R/B para cadena con base hexagonal pesada</v>
      </c>
      <c r="C1189" s="4">
        <f>IFERROR(__xludf.DUMMYFUNCTION("""COMPUTED_VALUE"""),9.072)</f>
        <v>9.072</v>
      </c>
    </row>
    <row r="1190">
      <c r="A1190" s="4" t="str">
        <f>IFERROR(__xludf.DUMMYFUNCTION("""COMPUTED_VALUE"""),"1138")</f>
        <v>1138</v>
      </c>
      <c r="B1190" s="4" t="str">
        <f>IFERROR(__xludf.DUMMYFUNCTION("""COMPUTED_VALUE"""),"Poste señaliz. R/B p/cadena plastica base caucho 3 kg")</f>
        <v>Poste señaliz. R/B p/cadena plastica base caucho 3 kg</v>
      </c>
      <c r="C1190" s="4">
        <f>IFERROR(__xludf.DUMMYFUNCTION("""COMPUTED_VALUE"""),7.4399999999999995)</f>
        <v>7.44</v>
      </c>
    </row>
    <row r="1191">
      <c r="A1191" s="4" t="str">
        <f>IFERROR(__xludf.DUMMYFUNCTION("""COMPUTED_VALUE"""),"1139")</f>
        <v>1139</v>
      </c>
      <c r="B1191" s="4" t="str">
        <f>IFERROR(__xludf.DUMMYFUNCTION("""COMPUTED_VALUE"""),"Poste señaliz. N/A p/cadena plastica base caucho 3 kg")</f>
        <v>Poste señaliz. N/A p/cadena plastica base caucho 3 kg</v>
      </c>
      <c r="C1191" s="4">
        <f>IFERROR(__xludf.DUMMYFUNCTION("""COMPUTED_VALUE"""),7.4399999999999995)</f>
        <v>7.44</v>
      </c>
    </row>
    <row r="1192">
      <c r="A1192" s="4" t="str">
        <f>IFERROR(__xludf.DUMMYFUNCTION("""COMPUTED_VALUE"""),"1520")</f>
        <v>1520</v>
      </c>
      <c r="B1192" s="4" t="str">
        <f>IFERROR(__xludf.DUMMYFUNCTION("""COMPUTED_VALUE"""),"Cinta Creppe 48 mm x 45 m")</f>
        <v>Cinta Creppe 48 mm x 45 m</v>
      </c>
      <c r="C1192" s="4">
        <f>IFERROR(__xludf.DUMMYFUNCTION("""COMPUTED_VALUE"""),1.392)</f>
        <v>1.392</v>
      </c>
    </row>
    <row r="1193">
      <c r="A1193" s="4" t="str">
        <f>IFERROR(__xludf.DUMMYFUNCTION("""COMPUTED_VALUE"""),"1522")</f>
        <v>1522</v>
      </c>
      <c r="B1193" s="4" t="str">
        <f>IFERROR(__xludf.DUMMYFUNCTION("""COMPUTED_VALUE"""),"Cinta Creppe Azul 48 mm x 45 m")</f>
        <v>Cinta Creppe Azul 48 mm x 45 m</v>
      </c>
      <c r="C1193" s="4">
        <f>IFERROR(__xludf.DUMMYFUNCTION("""COMPUTED_VALUE"""),1.68)</f>
        <v>1.68</v>
      </c>
    </row>
    <row r="1194">
      <c r="A1194" s="4" t="str">
        <f>IFERROR(__xludf.DUMMYFUNCTION("""COMPUTED_VALUE"""),"1523")</f>
        <v>1523</v>
      </c>
      <c r="B1194" s="4" t="str">
        <f>IFERROR(__xludf.DUMMYFUNCTION("""COMPUTED_VALUE"""),"Cinta Creppe Exteriores Azul 48 mm x 45 m")</f>
        <v>Cinta Creppe Exteriores Azul 48 mm x 45 m</v>
      </c>
      <c r="C1194" s="4">
        <f>IFERROR(__xludf.DUMMYFUNCTION("""COMPUTED_VALUE"""),4.992)</f>
        <v>4.992</v>
      </c>
    </row>
    <row r="1195">
      <c r="A1195" s="4" t="str">
        <f>IFERROR(__xludf.DUMMYFUNCTION("""COMPUTED_VALUE"""),"1524")</f>
        <v>1524</v>
      </c>
      <c r="B1195" s="4" t="str">
        <f>IFERROR(__xludf.DUMMYFUNCTION("""COMPUTED_VALUE"""),"Cinta Aluminio 30 my 50 mm x 10 m")</f>
        <v>Cinta Aluminio 30 my 50 mm x 10 m</v>
      </c>
      <c r="C1195" s="4">
        <f>IFERROR(__xludf.DUMMYFUNCTION("""COMPUTED_VALUE"""),0.9119999999999999)</f>
        <v>0.912</v>
      </c>
    </row>
    <row r="1196">
      <c r="A1196" s="4" t="str">
        <f>IFERROR(__xludf.DUMMYFUNCTION("""COMPUTED_VALUE"""),"1525")</f>
        <v>1525</v>
      </c>
      <c r="B1196" s="4" t="str">
        <f>IFERROR(__xludf.DUMMYFUNCTION("""COMPUTED_VALUE"""),"Cinta Aluminio 30 my 50 mm x 45 m")</f>
        <v>Cinta Aluminio 30 my 50 mm x 45 m</v>
      </c>
      <c r="C1196" s="4">
        <f>IFERROR(__xludf.DUMMYFUNCTION("""COMPUTED_VALUE"""),4.08)</f>
        <v>4.08</v>
      </c>
    </row>
    <row r="1197">
      <c r="A1197" s="4" t="str">
        <f>IFERROR(__xludf.DUMMYFUNCTION("""COMPUTED_VALUE"""),"1536")</f>
        <v>1536</v>
      </c>
      <c r="B1197" s="4" t="str">
        <f>IFERROR(__xludf.DUMMYFUNCTION("""COMPUTED_VALUE"""),"Rollo cinta marcaje temporal Amarilla 3M 75 m x 12 cm")</f>
        <v>Rollo cinta marcaje temporal Amarilla 3M 75 m x 12 cm</v>
      </c>
      <c r="C1197" s="4">
        <f>IFERROR(__xludf.DUMMYFUNCTION("""COMPUTED_VALUE"""),438.47999999999996)</f>
        <v>438.48</v>
      </c>
    </row>
    <row r="1198">
      <c r="A1198" s="4" t="str">
        <f>IFERROR(__xludf.DUMMYFUNCTION("""COMPUTED_VALUE"""),"1537")</f>
        <v>1537</v>
      </c>
      <c r="B1198" s="4" t="str">
        <f>IFERROR(__xludf.DUMMYFUNCTION("""COMPUTED_VALUE"""),"Rollo cinta enmascarar Negra 3M 109 m x 15 cm")</f>
        <v>Rollo cinta enmascarar Negra 3M 109 m x 15 cm</v>
      </c>
      <c r="C1198" s="4">
        <f>IFERROR(__xludf.DUMMYFUNCTION("""COMPUTED_VALUE"""),400.68)</f>
        <v>400.68</v>
      </c>
    </row>
    <row r="1199">
      <c r="A1199" s="4" t="str">
        <f>IFERROR(__xludf.DUMMYFUNCTION("""COMPUTED_VALUE"""),"1538")</f>
        <v>1538</v>
      </c>
      <c r="B1199" s="4" t="str">
        <f>IFERROR(__xludf.DUMMYFUNCTION("""COMPUTED_VALUE"""),"Rollo cinta antidelizante luminiscente 2,5 cm x 18,30 mt")</f>
        <v>Rollo cinta antidelizante luminiscente 2,5 cm x 18,30 mt</v>
      </c>
      <c r="C1199" s="4">
        <f>IFERROR(__xludf.DUMMYFUNCTION("""COMPUTED_VALUE"""),45.12)</f>
        <v>45.12</v>
      </c>
    </row>
    <row r="1200">
      <c r="A1200" s="4" t="str">
        <f>IFERROR(__xludf.DUMMYFUNCTION("""COMPUTED_VALUE"""),"1539")</f>
        <v>1539</v>
      </c>
      <c r="B1200" s="4" t="str">
        <f>IFERROR(__xludf.DUMMYFUNCTION("""COMPUTED_VALUE"""),"Rollo Cinta 10cm x 200 m bomberos Roja/blanca")</f>
        <v>Rollo Cinta 10cm x 200 m bomberos Roja/blanca</v>
      </c>
      <c r="C1200" s="4">
        <f>IFERROR(__xludf.DUMMYFUNCTION("""COMPUTED_VALUE"""),7.92)</f>
        <v>7.92</v>
      </c>
    </row>
    <row r="1201">
      <c r="A1201" s="4" t="str">
        <f>IFERROR(__xludf.DUMMYFUNCTION("""COMPUTED_VALUE"""),"1540")</f>
        <v>1540</v>
      </c>
      <c r="B1201" s="4" t="str">
        <f>IFERROR(__xludf.DUMMYFUNCTION("""COMPUTED_VALUE"""),"Rollo cinta antideslizante negra 5cm x 18 mt")</f>
        <v>Rollo cinta antideslizante negra 5cm x 18 mt</v>
      </c>
      <c r="C1201" s="4">
        <f>IFERROR(__xludf.DUMMYFUNCTION("""COMPUTED_VALUE"""),13.68)</f>
        <v>13.68</v>
      </c>
    </row>
    <row r="1202">
      <c r="A1202" s="4" t="str">
        <f>IFERROR(__xludf.DUMMYFUNCTION("""COMPUTED_VALUE"""),"1541")</f>
        <v>1541</v>
      </c>
      <c r="B1202" s="4" t="str">
        <f>IFERROR(__xludf.DUMMYFUNCTION("""COMPUTED_VALUE"""),"Rollo cinta antideslizante N/A 5 cm x 18 mt")</f>
        <v>Rollo cinta antideslizante N/A 5 cm x 18 mt</v>
      </c>
      <c r="C1202" s="4">
        <f>IFERROR(__xludf.DUMMYFUNCTION("""COMPUTED_VALUE"""),13.68)</f>
        <v>13.68</v>
      </c>
    </row>
    <row r="1203">
      <c r="A1203" s="4" t="str">
        <f>IFERROR(__xludf.DUMMYFUNCTION("""COMPUTED_VALUE"""),"1542")</f>
        <v>1542</v>
      </c>
      <c r="B1203" s="4" t="str">
        <f>IFERROR(__xludf.DUMMYFUNCTION("""COMPUTED_VALUE"""),"Rollo cinta antideslizante R/B 5 cm x 18 mt")</f>
        <v>Rollo cinta antideslizante R/B 5 cm x 18 mt</v>
      </c>
      <c r="C1203" s="4">
        <f>IFERROR(__xludf.DUMMYFUNCTION("""COMPUTED_VALUE"""),13.68)</f>
        <v>13.68</v>
      </c>
    </row>
    <row r="1204">
      <c r="A1204" s="4" t="str">
        <f>IFERROR(__xludf.DUMMYFUNCTION("""COMPUTED_VALUE"""),"1547")</f>
        <v>1547</v>
      </c>
      <c r="B1204" s="4" t="str">
        <f>IFERROR(__xludf.DUMMYFUNCTION("""COMPUTED_VALUE"""),"Rollo cinta Blanca 55mm x50 metros DG983-10 ECE 104")</f>
        <v>Rollo cinta Blanca 55mm x50 metros DG983-10 ECE 104</v>
      </c>
      <c r="C1204" s="4">
        <f>IFERROR(__xludf.DUMMYFUNCTION("""COMPUTED_VALUE"""),121.96799999999999)</f>
        <v>121.968</v>
      </c>
    </row>
    <row r="1205">
      <c r="A1205" s="4" t="str">
        <f>IFERROR(__xludf.DUMMYFUNCTION("""COMPUTED_VALUE"""),"1547F")</f>
        <v>1547F</v>
      </c>
      <c r="B1205" s="4" t="str">
        <f>IFERROR(__xludf.DUMMYFUNCTION("""COMPUTED_VALUE"""),"Rollo cinta Blanca 51mm x50 metros DG997-10S")</f>
        <v>Rollo cinta Blanca 51mm x50 metros DG997-10S</v>
      </c>
      <c r="C1205" s="4">
        <f>IFERROR(__xludf.DUMMYFUNCTION("""COMPUTED_VALUE"""),121.96799999999999)</f>
        <v>121.968</v>
      </c>
    </row>
    <row r="1206">
      <c r="A1206" s="4" t="str">
        <f>IFERROR(__xludf.DUMMYFUNCTION("""COMPUTED_VALUE"""),"1548")</f>
        <v>1548</v>
      </c>
      <c r="B1206" s="4" t="str">
        <f>IFERROR(__xludf.DUMMYFUNCTION("""COMPUTED_VALUE"""),"Rollo cinta Rojo 55mm x50metros DG983-72 ECE 1R/CTN")</f>
        <v>Rollo cinta Rojo 55mm x50metros DG983-72 ECE 1R/CTN</v>
      </c>
      <c r="C1206" s="4">
        <f>IFERROR(__xludf.DUMMYFUNCTION("""COMPUTED_VALUE"""),121.96799999999999)</f>
        <v>121.968</v>
      </c>
    </row>
    <row r="1207">
      <c r="A1207" s="4" t="str">
        <f>IFERROR(__xludf.DUMMYFUNCTION("""COMPUTED_VALUE"""),"1548F")</f>
        <v>1548F</v>
      </c>
      <c r="B1207" s="4" t="str">
        <f>IFERROR(__xludf.DUMMYFUNCTION("""COMPUTED_VALUE"""),"Rollo cinta Rojo 51mmx 50 metros DG997-72S")</f>
        <v>Rollo cinta Rojo 51mmx 50 metros DG997-72S</v>
      </c>
      <c r="C1207" s="4">
        <f>IFERROR(__xludf.DUMMYFUNCTION("""COMPUTED_VALUE"""),121.96799999999999)</f>
        <v>121.968</v>
      </c>
    </row>
    <row r="1208">
      <c r="A1208" s="4" t="str">
        <f>IFERROR(__xludf.DUMMYFUNCTION("""COMPUTED_VALUE"""),"1549")</f>
        <v>1549</v>
      </c>
      <c r="B1208" s="4" t="str">
        <f>IFERROR(__xludf.DUMMYFUNCTION("""COMPUTED_VALUE"""),"Rollo cinta amarilla 55MM x50metros DG983-71 ECE 104")</f>
        <v>Rollo cinta amarilla 55MM x50metros DG983-71 ECE 104</v>
      </c>
      <c r="C1208" s="4">
        <f>IFERROR(__xludf.DUMMYFUNCTION("""COMPUTED_VALUE"""),121.96799999999999)</f>
        <v>121.968</v>
      </c>
    </row>
    <row r="1209">
      <c r="A1209" s="4" t="str">
        <f>IFERROR(__xludf.DUMMYFUNCTION("""COMPUTED_VALUE"""),"1549F")</f>
        <v>1549F</v>
      </c>
      <c r="B1209" s="4" t="str">
        <f>IFERROR(__xludf.DUMMYFUNCTION("""COMPUTED_VALUE"""),"Rollo cinta Amarilla 51mm x50 metros DG997-71S")</f>
        <v>Rollo cinta Amarilla 51mm x50 metros DG997-71S</v>
      </c>
      <c r="C1209" s="4">
        <f>IFERROR(__xludf.DUMMYFUNCTION("""COMPUTED_VALUE"""),121.96799999999999)</f>
        <v>121.968</v>
      </c>
    </row>
    <row r="1210">
      <c r="A1210" s="4" t="str">
        <f>IFERROR(__xludf.DUMMYFUNCTION("""COMPUTED_VALUE"""),"1550")</f>
        <v>1550</v>
      </c>
      <c r="B1210" s="4" t="str">
        <f>IFERROR(__xludf.DUMMYFUNCTION("""COMPUTED_VALUE"""),"Rollo cinta reflectante adhesiva blanca 5 cm x 46 metros")</f>
        <v>Rollo cinta reflectante adhesiva blanca 5 cm x 46 metros</v>
      </c>
      <c r="C1210" s="4">
        <f>IFERROR(__xludf.DUMMYFUNCTION("""COMPUTED_VALUE"""),14.304)</f>
        <v>14.304</v>
      </c>
    </row>
    <row r="1211">
      <c r="A1211" s="4" t="str">
        <f>IFERROR(__xludf.DUMMYFUNCTION("""COMPUTED_VALUE"""),"1551")</f>
        <v>1551</v>
      </c>
      <c r="B1211" s="4" t="str">
        <f>IFERROR(__xludf.DUMMYFUNCTION("""COMPUTED_VALUE"""),"Rollo (2 unid izq-dcha)señal. vehiculos V-2 9 mtros x 14,1 cm")</f>
        <v>Rollo (2 unid izq-dcha)señal. vehiculos V-2 9 mtros x 14,1 cm</v>
      </c>
      <c r="C1211" s="4">
        <f>IFERROR(__xludf.DUMMYFUNCTION("""COMPUTED_VALUE"""),163.79999999999998)</f>
        <v>163.8</v>
      </c>
    </row>
    <row r="1212">
      <c r="A1212" s="4" t="str">
        <f>IFERROR(__xludf.DUMMYFUNCTION("""COMPUTED_VALUE"""),"1554")</f>
        <v>1554</v>
      </c>
      <c r="B1212" s="4" t="str">
        <f>IFERROR(__xludf.DUMMYFUNCTION("""COMPUTED_VALUE"""),"Rollo cinta luminiscente adhesiva 5 cm x 25 metros")</f>
        <v>Rollo cinta luminiscente adhesiva 5 cm x 25 metros</v>
      </c>
      <c r="C1212" s="4">
        <f>IFERROR(__xludf.DUMMYFUNCTION("""COMPUTED_VALUE"""),87.36)</f>
        <v>87.36</v>
      </c>
    </row>
    <row r="1213">
      <c r="A1213" s="4" t="str">
        <f>IFERROR(__xludf.DUMMYFUNCTION("""COMPUTED_VALUE"""),"1555")</f>
        <v>1555</v>
      </c>
      <c r="B1213" s="4" t="str">
        <f>IFERROR(__xludf.DUMMYFUNCTION("""COMPUTED_VALUE"""),"Rollo cinta reflectante adhesiva R/B 5 cm x 45 metros")</f>
        <v>Rollo cinta reflectante adhesiva R/B 5 cm x 45 metros</v>
      </c>
      <c r="C1213" s="4">
        <f>IFERROR(__xludf.DUMMYFUNCTION("""COMPUTED_VALUE"""),14.304)</f>
        <v>14.304</v>
      </c>
    </row>
    <row r="1214">
      <c r="A1214" s="4" t="str">
        <f>IFERROR(__xludf.DUMMYFUNCTION("""COMPUTED_VALUE"""),"1556")</f>
        <v>1556</v>
      </c>
      <c r="B1214" s="4" t="str">
        <f>IFERROR(__xludf.DUMMYFUNCTION("""COMPUTED_VALUE"""),"Rollo cinta reflectante adhesiva N/A 5 cm x 45 metros")</f>
        <v>Rollo cinta reflectante adhesiva N/A 5 cm x 45 metros</v>
      </c>
      <c r="C1214" s="4">
        <f>IFERROR(__xludf.DUMMYFUNCTION("""COMPUTED_VALUE"""),14.304)</f>
        <v>14.304</v>
      </c>
    </row>
    <row r="1215">
      <c r="A1215" s="4" t="str">
        <f>IFERROR(__xludf.DUMMYFUNCTION("""COMPUTED_VALUE"""),"1557")</f>
        <v>1557</v>
      </c>
      <c r="B1215" s="4" t="str">
        <f>IFERROR(__xludf.DUMMYFUNCTION("""COMPUTED_VALUE"""),"Rollo Cinta 10 cm reflectante adhesiva R/B 45 metros")</f>
        <v>Rollo Cinta 10 cm reflectante adhesiva R/B 45 metros</v>
      </c>
      <c r="C1215" s="4">
        <f>IFERROR(__xludf.DUMMYFUNCTION("""COMPUTED_VALUE"""),26.208)</f>
        <v>26.208</v>
      </c>
    </row>
    <row r="1216">
      <c r="A1216" s="4" t="str">
        <f>IFERROR(__xludf.DUMMYFUNCTION("""COMPUTED_VALUE"""),"1558")</f>
        <v>1558</v>
      </c>
      <c r="B1216" s="4" t="str">
        <f>IFERROR(__xludf.DUMMYFUNCTION("""COMPUTED_VALUE"""),"Rollo cinta 10 cm reflectante adhesiva N/A 45 metros")</f>
        <v>Rollo cinta 10 cm reflectante adhesiva N/A 45 metros</v>
      </c>
      <c r="C1216" s="4">
        <f>IFERROR(__xludf.DUMMYFUNCTION("""COMPUTED_VALUE"""),26.208)</f>
        <v>26.208</v>
      </c>
    </row>
    <row r="1217">
      <c r="A1217" s="4" t="str">
        <f>IFERROR(__xludf.DUMMYFUNCTION("""COMPUTED_VALUE"""),"1559A")</f>
        <v>1559A</v>
      </c>
      <c r="B1217" s="4" t="str">
        <f>IFERROR(__xludf.DUMMYFUNCTION("""COMPUTED_VALUE"""),"Rollo Cinta Adhesiva personalizada 1 color 5cm x132 mts")</f>
        <v>Rollo Cinta Adhesiva personalizada 1 color 5cm x132 mts</v>
      </c>
      <c r="C1217" s="4">
        <f>IFERROR(__xludf.DUMMYFUNCTION("""COMPUTED_VALUE"""),2.832)</f>
        <v>2.832</v>
      </c>
    </row>
    <row r="1218">
      <c r="A1218" s="4" t="str">
        <f>IFERROR(__xludf.DUMMYFUNCTION("""COMPUTED_VALUE"""),"1559B")</f>
        <v>1559B</v>
      </c>
      <c r="B1218" s="4" t="str">
        <f>IFERROR(__xludf.DUMMYFUNCTION("""COMPUTED_VALUE"""),"Rollo Cinta Adhesiva personalizada 2 colores 5cm x132 mts")</f>
        <v>Rollo Cinta Adhesiva personalizada 2 colores 5cm x132 mts</v>
      </c>
      <c r="C1218" s="4">
        <f>IFERROR(__xludf.DUMMYFUNCTION("""COMPUTED_VALUE"""),3.072)</f>
        <v>3.072</v>
      </c>
    </row>
    <row r="1219">
      <c r="A1219" s="4" t="str">
        <f>IFERROR(__xludf.DUMMYFUNCTION("""COMPUTED_VALUE"""),"1559C")</f>
        <v>1559C</v>
      </c>
      <c r="B1219" s="4" t="str">
        <f>IFERROR(__xludf.DUMMYFUNCTION("""COMPUTED_VALUE"""),"Rollo Cinta Adhesiva personalizada 3 colores 5cm x132 mts")</f>
        <v>Rollo Cinta Adhesiva personalizada 3 colores 5cm x132 mts</v>
      </c>
      <c r="C1219" s="4">
        <f>IFERROR(__xludf.DUMMYFUNCTION("""COMPUTED_VALUE"""),3.552)</f>
        <v>3.552</v>
      </c>
    </row>
    <row r="1220">
      <c r="A1220" s="4" t="str">
        <f>IFERROR(__xludf.DUMMYFUNCTION("""COMPUTED_VALUE"""),"1561A")</f>
        <v>1561A</v>
      </c>
      <c r="B1220" s="4" t="str">
        <f>IFERROR(__xludf.DUMMYFUNCTION("""COMPUTED_VALUE"""),"Cinta adhesiva 50 mm x 132 m Amarillo")</f>
        <v>Cinta adhesiva 50 mm x 132 m Amarillo</v>
      </c>
      <c r="C1220" s="4">
        <f>IFERROR(__xludf.DUMMYFUNCTION("""COMPUTED_VALUE"""),3.264)</f>
        <v>3.264</v>
      </c>
    </row>
    <row r="1221">
      <c r="A1221" s="4" t="str">
        <f>IFERROR(__xludf.DUMMYFUNCTION("""COMPUTED_VALUE"""),"1561B")</f>
        <v>1561B</v>
      </c>
      <c r="B1221" s="4" t="str">
        <f>IFERROR(__xludf.DUMMYFUNCTION("""COMPUTED_VALUE"""),"Cinta adhesiva 50 mm x 132 m Blanco")</f>
        <v>Cinta adhesiva 50 mm x 132 m Blanco</v>
      </c>
      <c r="C1221" s="4">
        <f>IFERROR(__xludf.DUMMYFUNCTION("""COMPUTED_VALUE"""),3.264)</f>
        <v>3.264</v>
      </c>
    </row>
    <row r="1222">
      <c r="A1222" s="4" t="str">
        <f>IFERROR(__xludf.DUMMYFUNCTION("""COMPUTED_VALUE"""),"1561N")</f>
        <v>1561N</v>
      </c>
      <c r="B1222" s="4" t="str">
        <f>IFERROR(__xludf.DUMMYFUNCTION("""COMPUTED_VALUE"""),"Cinta adhesiva 50 mm x 132 m Negro")</f>
        <v>Cinta adhesiva 50 mm x 132 m Negro</v>
      </c>
      <c r="C1222" s="4">
        <f>IFERROR(__xludf.DUMMYFUNCTION("""COMPUTED_VALUE"""),3.264)</f>
        <v>3.264</v>
      </c>
    </row>
    <row r="1223">
      <c r="A1223" s="4" t="str">
        <f>IFERROR(__xludf.DUMMYFUNCTION("""COMPUTED_VALUE"""),"1561R")</f>
        <v>1561R</v>
      </c>
      <c r="B1223" s="4" t="str">
        <f>IFERROR(__xludf.DUMMYFUNCTION("""COMPUTED_VALUE"""),"Cinta adhesiva 50 mm x 132 m Rojo")</f>
        <v>Cinta adhesiva 50 mm x 132 m Rojo</v>
      </c>
      <c r="C1223" s="4">
        <f>IFERROR(__xludf.DUMMYFUNCTION("""COMPUTED_VALUE"""),3.264)</f>
        <v>3.264</v>
      </c>
    </row>
    <row r="1224">
      <c r="A1224" s="4" t="str">
        <f>IFERROR(__xludf.DUMMYFUNCTION("""COMPUTED_VALUE"""),"1561V")</f>
        <v>1561V</v>
      </c>
      <c r="B1224" s="4" t="str">
        <f>IFERROR(__xludf.DUMMYFUNCTION("""COMPUTED_VALUE"""),"Cinta adhesiva 50 mm x 132 m Verde")</f>
        <v>Cinta adhesiva 50 mm x 132 m Verde</v>
      </c>
      <c r="C1224" s="4">
        <f>IFERROR(__xludf.DUMMYFUNCTION("""COMPUTED_VALUE"""),3.264)</f>
        <v>3.264</v>
      </c>
    </row>
    <row r="1225">
      <c r="A1225" s="4" t="str">
        <f>IFERROR(__xludf.DUMMYFUNCTION("""COMPUTED_VALUE"""),"1561Z")</f>
        <v>1561Z</v>
      </c>
      <c r="B1225" s="4" t="str">
        <f>IFERROR(__xludf.DUMMYFUNCTION("""COMPUTED_VALUE"""),"Cinta adhesiva 50 mm x 132 m Azul")</f>
        <v>Cinta adhesiva 50 mm x 132 m Azul</v>
      </c>
      <c r="C1225" s="4">
        <f>IFERROR(__xludf.DUMMYFUNCTION("""COMPUTED_VALUE"""),3.264)</f>
        <v>3.264</v>
      </c>
    </row>
    <row r="1226">
      <c r="A1226" s="4" t="str">
        <f>IFERROR(__xludf.DUMMYFUNCTION("""COMPUTED_VALUE"""),"1562")</f>
        <v>1562</v>
      </c>
      <c r="B1226" s="4" t="str">
        <f>IFERROR(__xludf.DUMMYFUNCTION("""COMPUTED_VALUE"""),"Rollo Cinta Señal. N/A 10cm x 200m. G300 2 caras")</f>
        <v>Rollo Cinta Señal. N/A 10cm x 200m. G300 2 caras</v>
      </c>
      <c r="C1226" s="4">
        <f>IFERROR(__xludf.DUMMYFUNCTION("""COMPUTED_VALUE"""),6.96)</f>
        <v>6.96</v>
      </c>
    </row>
    <row r="1227">
      <c r="A1227" s="4" t="str">
        <f>IFERROR(__xludf.DUMMYFUNCTION("""COMPUTED_VALUE"""),"1563")</f>
        <v>1563</v>
      </c>
      <c r="B1227" s="4" t="str">
        <f>IFERROR(__xludf.DUMMYFUNCTION("""COMPUTED_VALUE"""),"Rollo Cinta Adhesiva N/A 5cm x132 mts")</f>
        <v>Rollo Cinta Adhesiva N/A 5cm x132 mts</v>
      </c>
      <c r="C1227" s="4">
        <f>IFERROR(__xludf.DUMMYFUNCTION("""COMPUTED_VALUE"""),3.7439999999999998)</f>
        <v>3.744</v>
      </c>
    </row>
    <row r="1228">
      <c r="A1228" s="4" t="str">
        <f>IFERROR(__xludf.DUMMYFUNCTION("""COMPUTED_VALUE"""),"1564")</f>
        <v>1564</v>
      </c>
      <c r="B1228" s="4" t="str">
        <f>IFERROR(__xludf.DUMMYFUNCTION("""COMPUTED_VALUE"""),"Rollo Cinta Adhesiva B/R 5cm x132 mts")</f>
        <v>Rollo Cinta Adhesiva B/R 5cm x132 mts</v>
      </c>
      <c r="C1228" s="4">
        <f>IFERROR(__xludf.DUMMYFUNCTION("""COMPUTED_VALUE"""),3.7439999999999998)</f>
        <v>3.744</v>
      </c>
    </row>
    <row r="1229">
      <c r="A1229" s="4" t="str">
        <f>IFERROR(__xludf.DUMMYFUNCTION("""COMPUTED_VALUE"""),"1565")</f>
        <v>1565</v>
      </c>
      <c r="B1229" s="4" t="str">
        <f>IFERROR(__xludf.DUMMYFUNCTION("""COMPUTED_VALUE"""),"Rollo cinta Señal. R/B 10cm X 200m. plata")</f>
        <v>Rollo cinta Señal. R/B 10cm X 200m. plata</v>
      </c>
      <c r="C1229" s="4">
        <f>IFERROR(__xludf.DUMMYFUNCTION("""COMPUTED_VALUE"""),8.831999999999999)</f>
        <v>8.832</v>
      </c>
    </row>
    <row r="1230">
      <c r="A1230" s="4" t="str">
        <f>IFERROR(__xludf.DUMMYFUNCTION("""COMPUTED_VALUE"""),"1566")</f>
        <v>1566</v>
      </c>
      <c r="B1230" s="4" t="str">
        <f>IFERROR(__xludf.DUMMYFUNCTION("""COMPUTED_VALUE"""),"Rollo cinta Señal. R/B10cmx200m. c/caja G400")</f>
        <v>Rollo cinta Señal. R/B10cmx200m. c/caja G400</v>
      </c>
      <c r="C1230" s="4">
        <f>IFERROR(__xludf.DUMMYFUNCTION("""COMPUTED_VALUE"""),7.5648)</f>
        <v>7.5648</v>
      </c>
    </row>
    <row r="1231">
      <c r="A1231" s="4" t="str">
        <f>IFERROR(__xludf.DUMMYFUNCTION("""COMPUTED_VALUE"""),"1567")</f>
        <v>1567</v>
      </c>
      <c r="B1231" s="4" t="str">
        <f>IFERROR(__xludf.DUMMYFUNCTION("""COMPUTED_VALUE"""),"Rollo cinta R/B 10cm x 200m. G400")</f>
        <v>Rollo cinta R/B 10cm x 200m. G400</v>
      </c>
      <c r="C1231" s="4">
        <f>IFERROR(__xludf.DUMMYFUNCTION("""COMPUTED_VALUE"""),7.92)</f>
        <v>7.92</v>
      </c>
    </row>
    <row r="1232">
      <c r="A1232" s="4" t="str">
        <f>IFERROR(__xludf.DUMMYFUNCTION("""COMPUTED_VALUE"""),"1568")</f>
        <v>1568</v>
      </c>
      <c r="B1232" s="4" t="str">
        <f>IFERROR(__xludf.DUMMYFUNCTION("""COMPUTED_VALUE"""),"Rollo cinta Señal. R/B 7cm x 200m. c/caja")</f>
        <v>Rollo cinta Señal. R/B 7cm x 200m. c/caja</v>
      </c>
      <c r="C1232" s="4">
        <f>IFERROR(__xludf.DUMMYFUNCTION("""COMPUTED_VALUE"""),2.16)</f>
        <v>2.16</v>
      </c>
    </row>
    <row r="1233">
      <c r="A1233" s="4" t="str">
        <f>IFERROR(__xludf.DUMMYFUNCTION("""COMPUTED_VALUE"""),"1569")</f>
        <v>1569</v>
      </c>
      <c r="B1233" s="4" t="str">
        <f>IFERROR(__xludf.DUMMYFUNCTION("""COMPUTED_VALUE"""),"Rollo cinta R/B 10cm x 200m. c/caja G300")</f>
        <v>Rollo cinta R/B 10cm x 200m. c/caja G300</v>
      </c>
      <c r="C1233" s="4">
        <f>IFERROR(__xludf.DUMMYFUNCTION("""COMPUTED_VALUE"""),7.776)</f>
        <v>7.776</v>
      </c>
    </row>
    <row r="1234">
      <c r="A1234" s="4" t="str">
        <f>IFERROR(__xludf.DUMMYFUNCTION("""COMPUTED_VALUE"""),"1570")</f>
        <v>1570</v>
      </c>
      <c r="B1234" s="4" t="str">
        <f>IFERROR(__xludf.DUMMYFUNCTION("""COMPUTED_VALUE"""),"Rollo cinta Señal.R-B 10cm x 200m. G300 2 caras")</f>
        <v>Rollo cinta Señal.R-B 10cm x 200m. G300 2 caras</v>
      </c>
      <c r="C1234" s="4">
        <f>IFERROR(__xludf.DUMMYFUNCTION("""COMPUTED_VALUE"""),6.96)</f>
        <v>6.96</v>
      </c>
    </row>
    <row r="1235">
      <c r="A1235" s="4" t="str">
        <f>IFERROR(__xludf.DUMMYFUNCTION("""COMPUTED_VALUE"""),"1570V")</f>
        <v>1570V</v>
      </c>
      <c r="B1235" s="4" t="str">
        <f>IFERROR(__xludf.DUMMYFUNCTION("""COMPUTED_VALUE"""),"Rollo cinta Señal.V/B 10cm x 200 m G300 2 caras")</f>
        <v>Rollo cinta Señal.V/B 10cm x 200 m G300 2 caras</v>
      </c>
      <c r="C1235" s="4">
        <f>IFERROR(__xludf.DUMMYFUNCTION("""COMPUTED_VALUE"""),6.96)</f>
        <v>6.96</v>
      </c>
    </row>
    <row r="1236">
      <c r="A1236" s="4" t="str">
        <f>IFERROR(__xludf.DUMMYFUNCTION("""COMPUTED_VALUE"""),"1570Z")</f>
        <v>1570Z</v>
      </c>
      <c r="B1236" s="4" t="str">
        <f>IFERROR(__xludf.DUMMYFUNCTION("""COMPUTED_VALUE"""),"Rollo cinta Señal. B/A 10 cm x 200m. G300 2 caras")</f>
        <v>Rollo cinta Señal. B/A 10 cm x 200m. G300 2 caras</v>
      </c>
      <c r="C1236" s="4">
        <f>IFERROR(__xludf.DUMMYFUNCTION("""COMPUTED_VALUE"""),6.96)</f>
        <v>6.96</v>
      </c>
    </row>
    <row r="1237">
      <c r="A1237" s="4" t="str">
        <f>IFERROR(__xludf.DUMMYFUNCTION("""COMPUTED_VALUE"""),"1571")</f>
        <v>1571</v>
      </c>
      <c r="B1237" s="4" t="str">
        <f>IFERROR(__xludf.DUMMYFUNCTION("""COMPUTED_VALUE"""),"Rollo cinta Señal. 7cm x 200m. s/caja")</f>
        <v>Rollo cinta Señal. 7cm x 200m. s/caja</v>
      </c>
      <c r="C1237" s="4">
        <f>IFERROR(__xludf.DUMMYFUNCTION("""COMPUTED_VALUE"""),1.9103999999999999)</f>
        <v>1.9104</v>
      </c>
    </row>
    <row r="1238">
      <c r="A1238" s="4" t="str">
        <f>IFERROR(__xludf.DUMMYFUNCTION("""COMPUTED_VALUE"""),"1572")</f>
        <v>1572</v>
      </c>
      <c r="B1238" s="4" t="str">
        <f>IFERROR(__xludf.DUMMYFUNCTION("""COMPUTED_VALUE"""),"Rollo cinta Señal. 15cm x 200m. TELECOMUNICACIONES")</f>
        <v>Rollo cinta Señal. 15cm x 200m. TELECOMUNICACIONES</v>
      </c>
      <c r="C1238" s="4">
        <f>IFERROR(__xludf.DUMMYFUNCTION("""COMPUTED_VALUE"""),11.472)</f>
        <v>11.472</v>
      </c>
    </row>
    <row r="1239">
      <c r="A1239" s="4" t="str">
        <f>IFERROR(__xludf.DUMMYFUNCTION("""COMPUTED_VALUE"""),"1572M")</f>
        <v>1572M</v>
      </c>
      <c r="B1239" s="4" t="str">
        <f>IFERROR(__xludf.DUMMYFUNCTION("""COMPUTED_VALUE"""),"Malla verde señalización telecomunicaciones 33 cm x 200 m")</f>
        <v>Malla verde señalización telecomunicaciones 33 cm x 200 m</v>
      </c>
      <c r="C1239" s="4">
        <f>IFERROR(__xludf.DUMMYFUNCTION("""COMPUTED_VALUE"""),31.68)</f>
        <v>31.68</v>
      </c>
    </row>
    <row r="1240">
      <c r="A1240" s="4" t="str">
        <f>IFERROR(__xludf.DUMMYFUNCTION("""COMPUTED_VALUE"""),"1573")</f>
        <v>1573</v>
      </c>
      <c r="B1240" s="4" t="str">
        <f>IFERROR(__xludf.DUMMYFUNCTION("""COMPUTED_VALUE"""),"Rollo cinta Señal. 15cm x 200m. AGUA")</f>
        <v>Rollo cinta Señal. 15cm x 200m. AGUA</v>
      </c>
      <c r="C1240" s="4">
        <f>IFERROR(__xludf.DUMMYFUNCTION("""COMPUTED_VALUE"""),11.472)</f>
        <v>11.472</v>
      </c>
    </row>
    <row r="1241">
      <c r="A1241" s="4" t="str">
        <f>IFERROR(__xludf.DUMMYFUNCTION("""COMPUTED_VALUE"""),"1573M")</f>
        <v>1573M</v>
      </c>
      <c r="B1241" s="4" t="str">
        <f>IFERROR(__xludf.DUMMYFUNCTION("""COMPUTED_VALUE"""),"Malla azul señalización agua 33 cm x 200 m")</f>
        <v>Malla azul señalización agua 33 cm x 200 m</v>
      </c>
      <c r="C1241" s="4">
        <f>IFERROR(__xludf.DUMMYFUNCTION("""COMPUTED_VALUE"""),31.68)</f>
        <v>31.68</v>
      </c>
    </row>
    <row r="1242">
      <c r="A1242" s="4" t="str">
        <f>IFERROR(__xludf.DUMMYFUNCTION("""COMPUTED_VALUE"""),"1574")</f>
        <v>1574</v>
      </c>
      <c r="B1242" s="4" t="str">
        <f>IFERROR(__xludf.DUMMYFUNCTION("""COMPUTED_VALUE"""),"Rollo cinta Señal. 15cm x 200m. GAS")</f>
        <v>Rollo cinta Señal. 15cm x 200m. GAS</v>
      </c>
      <c r="C1242" s="4">
        <f>IFERROR(__xludf.DUMMYFUNCTION("""COMPUTED_VALUE"""),11.472)</f>
        <v>11.472</v>
      </c>
    </row>
    <row r="1243">
      <c r="A1243" s="4" t="str">
        <f>IFERROR(__xludf.DUMMYFUNCTION("""COMPUTED_VALUE"""),"1574M")</f>
        <v>1574M</v>
      </c>
      <c r="B1243" s="4" t="str">
        <f>IFERROR(__xludf.DUMMYFUNCTION("""COMPUTED_VALUE"""),"Malla amarilla señalización gas 33 cm x 200 m")</f>
        <v>Malla amarilla señalización gas 33 cm x 200 m</v>
      </c>
      <c r="C1243" s="4">
        <f>IFERROR(__xludf.DUMMYFUNCTION("""COMPUTED_VALUE"""),31.68)</f>
        <v>31.68</v>
      </c>
    </row>
    <row r="1244">
      <c r="A1244" s="4" t="str">
        <f>IFERROR(__xludf.DUMMYFUNCTION("""COMPUTED_VALUE"""),"1575")</f>
        <v>1575</v>
      </c>
      <c r="B1244" s="4" t="str">
        <f>IFERROR(__xludf.DUMMYFUNCTION("""COMPUTED_VALUE"""),"Rollo cinta Señal. 15cm x 200m. ELECTRI")</f>
        <v>Rollo cinta Señal. 15cm x 200m. ELECTRI</v>
      </c>
      <c r="C1244" s="4">
        <f>IFERROR(__xludf.DUMMYFUNCTION("""COMPUTED_VALUE"""),11.472)</f>
        <v>11.472</v>
      </c>
    </row>
    <row r="1245">
      <c r="A1245" s="4" t="str">
        <f>IFERROR(__xludf.DUMMYFUNCTION("""COMPUTED_VALUE"""),"1575M")</f>
        <v>1575M</v>
      </c>
      <c r="B1245" s="4" t="str">
        <f>IFERROR(__xludf.DUMMYFUNCTION("""COMPUTED_VALUE"""),"Malla roja señalización electricidad 33 cm x 200 m")</f>
        <v>Malla roja señalización electricidad 33 cm x 200 m</v>
      </c>
      <c r="C1245" s="4">
        <f>IFERROR(__xludf.DUMMYFUNCTION("""COMPUTED_VALUE"""),31.68)</f>
        <v>31.68</v>
      </c>
    </row>
    <row r="1246">
      <c r="A1246" s="4" t="str">
        <f>IFERROR(__xludf.DUMMYFUNCTION("""COMPUTED_VALUE"""),"1575P")</f>
        <v>1575P</v>
      </c>
      <c r="B1246" s="4" t="str">
        <f>IFERROR(__xludf.DUMMYFUNCTION("""COMPUTED_VALUE"""),"Placa señalización eléctrica 1000x250x2.5")</f>
        <v>Placa señalización eléctrica 1000x250x2.5</v>
      </c>
      <c r="C1246" s="4">
        <f>IFERROR(__xludf.DUMMYFUNCTION("""COMPUTED_VALUE"""),1.44)</f>
        <v>1.44</v>
      </c>
    </row>
    <row r="1247">
      <c r="A1247" s="4" t="str">
        <f>IFERROR(__xludf.DUMMYFUNCTION("""COMPUTED_VALUE"""),"1576")</f>
        <v>1576</v>
      </c>
      <c r="B1247" s="4" t="str">
        <f>IFERROR(__xludf.DUMMYFUNCTION("""COMPUTED_VALUE"""),"Rollo cinta Señal. 10cm x 200m. POLICIA")</f>
        <v>Rollo cinta Señal. 10cm x 200m. POLICIA</v>
      </c>
      <c r="C1247" s="4">
        <f>IFERROR(__xludf.DUMMYFUNCTION("""COMPUTED_VALUE"""),8.448)</f>
        <v>8.448</v>
      </c>
    </row>
    <row r="1248">
      <c r="A1248" s="4" t="str">
        <f>IFERROR(__xludf.DUMMYFUNCTION("""COMPUTED_VALUE"""),"1577")</f>
        <v>1577</v>
      </c>
      <c r="B1248" s="4" t="str">
        <f>IFERROR(__xludf.DUMMYFUNCTION("""COMPUTED_VALUE"""),"Rollo cinta adhesiva amarilla suelo marcacion temporal")</f>
        <v>Rollo cinta adhesiva amarilla suelo marcacion temporal</v>
      </c>
      <c r="C1248" s="4">
        <f>IFERROR(__xludf.DUMMYFUNCTION("""COMPUTED_VALUE"""),108.0)</f>
        <v>108</v>
      </c>
    </row>
    <row r="1249">
      <c r="A1249" s="4" t="str">
        <f>IFERROR(__xludf.DUMMYFUNCTION("""COMPUTED_VALUE"""),"1577K")</f>
        <v>1577K</v>
      </c>
      <c r="B1249" s="4" t="str">
        <f>IFERROR(__xludf.DUMMYFUNCTION("""COMPUTED_VALUE"""),"Rollo cinta adhesiva negra suelo marcacion temporal")</f>
        <v>Rollo cinta adhesiva negra suelo marcacion temporal</v>
      </c>
      <c r="C1249" s="4">
        <f>IFERROR(__xludf.DUMMYFUNCTION("""COMPUTED_VALUE"""),108.0)</f>
        <v>108</v>
      </c>
    </row>
    <row r="1250">
      <c r="A1250" s="4" t="str">
        <f>IFERROR(__xludf.DUMMYFUNCTION("""COMPUTED_VALUE"""),"1577W")</f>
        <v>1577W</v>
      </c>
      <c r="B1250" s="4" t="str">
        <f>IFERROR(__xludf.DUMMYFUNCTION("""COMPUTED_VALUE"""),"Rollo cinta adhesiva blanca suelo marcacion temporal")</f>
        <v>Rollo cinta adhesiva blanca suelo marcacion temporal</v>
      </c>
      <c r="C1250" s="4">
        <f>IFERROR(__xludf.DUMMYFUNCTION("""COMPUTED_VALUE"""),108.0)</f>
        <v>108</v>
      </c>
    </row>
    <row r="1251">
      <c r="A1251" s="4" t="str">
        <f>IFERROR(__xludf.DUMMYFUNCTION("""COMPUTED_VALUE"""),"1578")</f>
        <v>1578</v>
      </c>
      <c r="B1251" s="4" t="str">
        <f>IFERROR(__xludf.DUMMYFUNCTION("""COMPUTED_VALUE"""),"Rollo cinta Señal.N/A 10cm x200m c/caja G400")</f>
        <v>Rollo cinta Señal.N/A 10cm x200m c/caja G400</v>
      </c>
      <c r="C1251" s="4">
        <f>IFERROR(__xludf.DUMMYFUNCTION("""COMPUTED_VALUE"""),8.4672)</f>
        <v>8.4672</v>
      </c>
    </row>
    <row r="1252">
      <c r="A1252" s="4" t="str">
        <f>IFERROR(__xludf.DUMMYFUNCTION("""COMPUTED_VALUE"""),"1579")</f>
        <v>1579</v>
      </c>
      <c r="B1252" s="4" t="str">
        <f>IFERROR(__xludf.DUMMYFUNCTION("""COMPUTED_VALUE"""),"Rollo cinta Señal. N/A 10cm. x 200m. G400")</f>
        <v>Rollo cinta Señal. N/A 10cm. x 200m. G400</v>
      </c>
      <c r="C1252" s="4">
        <f>IFERROR(__xludf.DUMMYFUNCTION("""COMPUTED_VALUE"""),7.92)</f>
        <v>7.92</v>
      </c>
    </row>
    <row r="1253">
      <c r="A1253" s="4" t="str">
        <f>IFERROR(__xludf.DUMMYFUNCTION("""COMPUTED_VALUE"""),"1580")</f>
        <v>1580</v>
      </c>
      <c r="B1253" s="4" t="str">
        <f>IFERROR(__xludf.DUMMYFUNCTION("""COMPUTED_VALUE"""),"Mts. Banderola Quitamiedos c/reflec")</f>
        <v>Mts. Banderola Quitamiedos c/reflec</v>
      </c>
      <c r="C1253" s="4">
        <f>IFERROR(__xludf.DUMMYFUNCTION("""COMPUTED_VALUE"""),0.6528)</f>
        <v>0.6528</v>
      </c>
    </row>
    <row r="1254">
      <c r="A1254" s="4" t="str">
        <f>IFERROR(__xludf.DUMMYFUNCTION("""COMPUTED_VALUE"""),"1581")</f>
        <v>1581</v>
      </c>
      <c r="B1254" s="4" t="str">
        <f>IFERROR(__xludf.DUMMYFUNCTION("""COMPUTED_VALUE"""),"Mts. Banderola Quitamiedos s/reflectante")</f>
        <v>Mts. Banderola Quitamiedos s/reflectante</v>
      </c>
      <c r="C1254" s="4">
        <f>IFERROR(__xludf.DUMMYFUNCTION("""COMPUTED_VALUE"""),0.3264)</f>
        <v>0.3264</v>
      </c>
    </row>
    <row r="1255">
      <c r="A1255" s="4" t="str">
        <f>IFERROR(__xludf.DUMMYFUNCTION("""COMPUTED_VALUE"""),"1582")</f>
        <v>1582</v>
      </c>
      <c r="B1255" s="4" t="str">
        <f>IFERROR(__xludf.DUMMYFUNCTION("""COMPUTED_VALUE"""),"Rollos cinta Señal. 10cm x 200m. PROTECCION CIVIL")</f>
        <v>Rollos cinta Señal. 10cm x 200m. PROTECCION CIVIL</v>
      </c>
      <c r="C1255" s="4">
        <f>IFERROR(__xludf.DUMMYFUNCTION("""COMPUTED_VALUE"""),7.92)</f>
        <v>7.92</v>
      </c>
    </row>
    <row r="1256">
      <c r="A1256" s="4" t="str">
        <f>IFERROR(__xludf.DUMMYFUNCTION("""COMPUTED_VALUE"""),"1583")</f>
        <v>1583</v>
      </c>
      <c r="B1256" s="4" t="str">
        <f>IFERROR(__xludf.DUMMYFUNCTION("""COMPUTED_VALUE"""),"Rollo cinta Señal.N/A 10cm x 200m. G300 AMIANTO")</f>
        <v>Rollo cinta Señal.N/A 10cm x 200m. G300 AMIANTO</v>
      </c>
      <c r="C1256" s="4">
        <f>IFERROR(__xludf.DUMMYFUNCTION("""COMPUTED_VALUE"""),6.672)</f>
        <v>6.672</v>
      </c>
    </row>
    <row r="1257">
      <c r="A1257" s="4" t="str">
        <f>IFERROR(__xludf.DUMMYFUNCTION("""COMPUTED_VALUE"""),"1585")</f>
        <v>1585</v>
      </c>
      <c r="B1257" s="4" t="str">
        <f>IFERROR(__xludf.DUMMYFUNCTION("""COMPUTED_VALUE"""),"Rollo cinta Señal. 10cm x 200m. NARANJA")</f>
        <v>Rollo cinta Señal. 10cm x 200m. NARANJA</v>
      </c>
      <c r="C1257" s="4">
        <f>IFERROR(__xludf.DUMMYFUNCTION("""COMPUTED_VALUE"""),6.96)</f>
        <v>6.96</v>
      </c>
    </row>
    <row r="1258">
      <c r="A1258" s="4" t="str">
        <f>IFERROR(__xludf.DUMMYFUNCTION("""COMPUTED_VALUE"""),"1586")</f>
        <v>1586</v>
      </c>
      <c r="B1258" s="4" t="str">
        <f>IFERROR(__xludf.DUMMYFUNCTION("""COMPUTED_VALUE"""),"Rollo cinta Señal. 10cm x 200m. VERDE")</f>
        <v>Rollo cinta Señal. 10cm x 200m. VERDE</v>
      </c>
      <c r="C1258" s="4">
        <f>IFERROR(__xludf.DUMMYFUNCTION("""COMPUTED_VALUE"""),6.96)</f>
        <v>6.96</v>
      </c>
    </row>
    <row r="1259">
      <c r="A1259" s="4" t="str">
        <f>IFERROR(__xludf.DUMMYFUNCTION("""COMPUTED_VALUE"""),"1587")</f>
        <v>1587</v>
      </c>
      <c r="B1259" s="4" t="str">
        <f>IFERROR(__xludf.DUMMYFUNCTION("""COMPUTED_VALUE"""),"Rollo cinta Señal. 10cm x 200m. AZUL")</f>
        <v>Rollo cinta Señal. 10cm x 200m. AZUL</v>
      </c>
      <c r="C1259" s="4">
        <f>IFERROR(__xludf.DUMMYFUNCTION("""COMPUTED_VALUE"""),6.96)</f>
        <v>6.96</v>
      </c>
    </row>
    <row r="1260">
      <c r="A1260" s="4" t="str">
        <f>IFERROR(__xludf.DUMMYFUNCTION("""COMPUTED_VALUE"""),"1588")</f>
        <v>1588</v>
      </c>
      <c r="B1260" s="4" t="str">
        <f>IFERROR(__xludf.DUMMYFUNCTION("""COMPUTED_VALUE"""),"Rollo cinta Señal. 10cm x 200m. AMARILLO")</f>
        <v>Rollo cinta Señal. 10cm x 200m. AMARILLO</v>
      </c>
      <c r="C1260" s="4">
        <f>IFERROR(__xludf.DUMMYFUNCTION("""COMPUTED_VALUE"""),6.96)</f>
        <v>6.96</v>
      </c>
    </row>
    <row r="1261">
      <c r="A1261" s="4" t="str">
        <f>IFERROR(__xludf.DUMMYFUNCTION("""COMPUTED_VALUE"""),"1590")</f>
        <v>1590</v>
      </c>
      <c r="B1261" s="4" t="str">
        <f>IFERROR(__xludf.DUMMYFUNCTION("""COMPUTED_VALUE"""),"Vinilo adhesivo suelo ESPERE SU TURNO 40 cm")</f>
        <v>Vinilo adhesivo suelo ESPERE SU TURNO 40 cm</v>
      </c>
      <c r="C1261" s="4">
        <f>IFERROR(__xludf.DUMMYFUNCTION("""COMPUTED_VALUE"""),5.904)</f>
        <v>5.904</v>
      </c>
    </row>
    <row r="1262">
      <c r="A1262" s="4" t="str">
        <f>IFERROR(__xludf.DUMMYFUNCTION("""COMPUTED_VALUE"""),"1591")</f>
        <v>1591</v>
      </c>
      <c r="B1262" s="4" t="str">
        <f>IFERROR(__xludf.DUMMYFUNCTION("""COMPUTED_VALUE"""),"Vinilo adhesivo suelo Paso oblig. carretillas 40 cm")</f>
        <v>Vinilo adhesivo suelo Paso oblig. carretillas 40 cm</v>
      </c>
      <c r="C1262" s="4">
        <f>IFERROR(__xludf.DUMMYFUNCTION("""COMPUTED_VALUE"""),5.904)</f>
        <v>5.904</v>
      </c>
    </row>
    <row r="1263">
      <c r="A1263" s="4" t="str">
        <f>IFERROR(__xludf.DUMMYFUNCTION("""COMPUTED_VALUE"""),"1592")</f>
        <v>1592</v>
      </c>
      <c r="B1263" s="4" t="str">
        <f>IFERROR(__xludf.DUMMYFUNCTION("""COMPUTED_VALUE"""),"Vinilo adhesivo suelo Peligro Paso de carretilla 40 cm")</f>
        <v>Vinilo adhesivo suelo Peligro Paso de carretilla 40 cm</v>
      </c>
      <c r="C1263" s="4">
        <f>IFERROR(__xludf.DUMMYFUNCTION("""COMPUTED_VALUE"""),5.904)</f>
        <v>5.904</v>
      </c>
    </row>
    <row r="1264">
      <c r="A1264" s="4" t="str">
        <f>IFERROR(__xludf.DUMMYFUNCTION("""COMPUTED_VALUE"""),"1593")</f>
        <v>1593</v>
      </c>
      <c r="B1264" s="4" t="str">
        <f>IFERROR(__xludf.DUMMYFUNCTION("""COMPUTED_VALUE"""),"Vinilo adhesivo suelo Peligro suelo Resbaladizo 40 cm")</f>
        <v>Vinilo adhesivo suelo Peligro suelo Resbaladizo 40 cm</v>
      </c>
      <c r="C1264" s="4">
        <f>IFERROR(__xludf.DUMMYFUNCTION("""COMPUTED_VALUE"""),5.904)</f>
        <v>5.904</v>
      </c>
    </row>
    <row r="1265">
      <c r="A1265" s="4" t="str">
        <f>IFERROR(__xludf.DUMMYFUNCTION("""COMPUTED_VALUE"""),"1594")</f>
        <v>1594</v>
      </c>
      <c r="B1265" s="4" t="str">
        <f>IFERROR(__xludf.DUMMYFUNCTION("""COMPUTED_VALUE"""),"Rollo Cinta 15 cm x 200 m Aguas residuales")</f>
        <v>Rollo Cinta 15 cm x 200 m Aguas residuales</v>
      </c>
      <c r="C1265" s="4">
        <f>IFERROR(__xludf.DUMMYFUNCTION("""COMPUTED_VALUE"""),11.472)</f>
        <v>11.472</v>
      </c>
    </row>
    <row r="1266">
      <c r="A1266" s="4" t="str">
        <f>IFERROR(__xludf.DUMMYFUNCTION("""COMPUTED_VALUE"""),"1600")</f>
        <v>1600</v>
      </c>
      <c r="B1266" s="4" t="str">
        <f>IFERROR(__xludf.DUMMYFUNCTION("""COMPUTED_VALUE"""),"Camisa reflec. N.2 cono 50 cm OXFORD")</f>
        <v>Camisa reflec. N.2 cono 50 cm OXFORD</v>
      </c>
      <c r="C1266" s="4">
        <f>IFERROR(__xludf.DUMMYFUNCTION("""COMPUTED_VALUE"""),3.2832)</f>
        <v>3.2832</v>
      </c>
    </row>
    <row r="1267">
      <c r="A1267" s="4" t="str">
        <f>IFERROR(__xludf.DUMMYFUNCTION("""COMPUTED_VALUE"""),"1601")</f>
        <v>1601</v>
      </c>
      <c r="B1267" s="4" t="str">
        <f>IFERROR(__xludf.DUMMYFUNCTION("""COMPUTED_VALUE"""),"Camisa reflec. N.2 cono 75 cm OXFORD")</f>
        <v>Camisa reflec. N.2 cono 75 cm OXFORD</v>
      </c>
      <c r="C1267" s="4">
        <f>IFERROR(__xludf.DUMMYFUNCTION("""COMPUTED_VALUE"""),3.6479999999999997)</f>
        <v>3.648</v>
      </c>
    </row>
    <row r="1268">
      <c r="A1268" s="4" t="str">
        <f>IFERROR(__xludf.DUMMYFUNCTION("""COMPUTED_VALUE"""),"1604AN")</f>
        <v>1604AN</v>
      </c>
      <c r="B1268" s="4" t="str">
        <f>IFERROR(__xludf.DUMMYFUNCTION("""COMPUTED_VALUE"""),"Barra señaliz. Negra/Amarilla extensible para cono")</f>
        <v>Barra señaliz. Negra/Amarilla extensible para cono</v>
      </c>
      <c r="C1268" s="4">
        <f>IFERROR(__xludf.DUMMYFUNCTION("""COMPUTED_VALUE"""),8.064)</f>
        <v>8.064</v>
      </c>
    </row>
    <row r="1269">
      <c r="A1269" s="4" t="str">
        <f>IFERROR(__xludf.DUMMYFUNCTION("""COMPUTED_VALUE"""),"1604RB")</f>
        <v>1604RB</v>
      </c>
      <c r="B1269" s="4" t="str">
        <f>IFERROR(__xludf.DUMMYFUNCTION("""COMPUTED_VALUE"""),"Barra señaliz. Roja/Blanca extensible para cono")</f>
        <v>Barra señaliz. Roja/Blanca extensible para cono</v>
      </c>
      <c r="C1269" s="4">
        <f>IFERROR(__xludf.DUMMYFUNCTION("""COMPUTED_VALUE"""),8.064)</f>
        <v>8.064</v>
      </c>
    </row>
    <row r="1270">
      <c r="A1270" s="4" t="str">
        <f>IFERROR(__xludf.DUMMYFUNCTION("""COMPUTED_VALUE"""),"1617")</f>
        <v>1617</v>
      </c>
      <c r="B1270" s="4" t="str">
        <f>IFERROR(__xludf.DUMMYFUNCTION("""COMPUTED_VALUE"""),"Juego huellas adhesivas 27x10 cm pisable verde")</f>
        <v>Juego huellas adhesivas 27x10 cm pisable verde</v>
      </c>
      <c r="C1270" s="4">
        <f>IFERROR(__xludf.DUMMYFUNCTION("""COMPUTED_VALUE"""),3.024)</f>
        <v>3.024</v>
      </c>
    </row>
    <row r="1271">
      <c r="A1271" s="4" t="str">
        <f>IFERROR(__xludf.DUMMYFUNCTION("""COMPUTED_VALUE"""),"1618")</f>
        <v>1618</v>
      </c>
      <c r="B1271" s="4" t="str">
        <f>IFERROR(__xludf.DUMMYFUNCTION("""COMPUTED_VALUE"""),"Juego huellas adhesivas 27x10 cm pisable rojo")</f>
        <v>Juego huellas adhesivas 27x10 cm pisable rojo</v>
      </c>
      <c r="C1271" s="4">
        <f>IFERROR(__xludf.DUMMYFUNCTION("""COMPUTED_VALUE"""),3.024)</f>
        <v>3.024</v>
      </c>
    </row>
    <row r="1272">
      <c r="A1272" s="4" t="str">
        <f>IFERROR(__xludf.DUMMYFUNCTION("""COMPUTED_VALUE"""),"1619")</f>
        <v>1619</v>
      </c>
      <c r="B1272" s="4" t="str">
        <f>IFERROR(__xludf.DUMMYFUNCTION("""COMPUTED_VALUE"""),"Juego huellas adhesivas 27z10 cm pisable negro")</f>
        <v>Juego huellas adhesivas 27z10 cm pisable negro</v>
      </c>
      <c r="C1272" s="4">
        <f>IFERROR(__xludf.DUMMYFUNCTION("""COMPUTED_VALUE"""),3.024)</f>
        <v>3.024</v>
      </c>
    </row>
    <row r="1273">
      <c r="A1273" s="4" t="str">
        <f>IFERROR(__xludf.DUMMYFUNCTION("""COMPUTED_VALUE"""),"1620")</f>
        <v>1620</v>
      </c>
      <c r="B1273" s="4" t="str">
        <f>IFERROR(__xludf.DUMMYFUNCTION("""COMPUTED_VALUE"""),"Juego 2 Flechas adhesivas 29x8 pisable Verde")</f>
        <v>Juego 2 Flechas adhesivas 29x8 pisable Verde</v>
      </c>
      <c r="C1273" s="4">
        <f>IFERROR(__xludf.DUMMYFUNCTION("""COMPUTED_VALUE"""),3.024)</f>
        <v>3.024</v>
      </c>
    </row>
    <row r="1274">
      <c r="A1274" s="4" t="str">
        <f>IFERROR(__xludf.DUMMYFUNCTION("""COMPUTED_VALUE"""),"1621")</f>
        <v>1621</v>
      </c>
      <c r="B1274" s="4" t="str">
        <f>IFERROR(__xludf.DUMMYFUNCTION("""COMPUTED_VALUE"""),"Juego2 Flechas adhesivas 29x8 pisable Rojo")</f>
        <v>Juego2 Flechas adhesivas 29x8 pisable Rojo</v>
      </c>
      <c r="C1274" s="4">
        <f>IFERROR(__xludf.DUMMYFUNCTION("""COMPUTED_VALUE"""),3.024)</f>
        <v>3.024</v>
      </c>
    </row>
    <row r="1275">
      <c r="A1275" s="4" t="str">
        <f>IFERROR(__xludf.DUMMYFUNCTION("""COMPUTED_VALUE"""),"1622")</f>
        <v>1622</v>
      </c>
      <c r="B1275" s="4" t="str">
        <f>IFERROR(__xludf.DUMMYFUNCTION("""COMPUTED_VALUE"""),"Adhesivo 21x29 Uso desinfectante")</f>
        <v>Adhesivo 21x29 Uso desinfectante</v>
      </c>
      <c r="C1275" s="4">
        <f>IFERROR(__xludf.DUMMYFUNCTION("""COMPUTED_VALUE"""),1.3104)</f>
        <v>1.3104</v>
      </c>
    </row>
    <row r="1276">
      <c r="A1276" s="4" t="str">
        <f>IFERROR(__xludf.DUMMYFUNCTION("""COMPUTED_VALUE"""),"1623")</f>
        <v>1623</v>
      </c>
      <c r="B1276" s="4" t="str">
        <f>IFERROR(__xludf.DUMMYFUNCTION("""COMPUTED_VALUE"""),"Cartel PVC 21x29 cm USO DESINFECTANTE")</f>
        <v>Cartel PVC 21x29 cm USO DESINFECTANTE</v>
      </c>
      <c r="C1276" s="4">
        <f>IFERROR(__xludf.DUMMYFUNCTION("""COMPUTED_VALUE"""),1.536)</f>
        <v>1.536</v>
      </c>
    </row>
    <row r="1277">
      <c r="A1277" s="4" t="str">
        <f>IFERROR(__xludf.DUMMYFUNCTION("""COMPUTED_VALUE"""),"1625")</f>
        <v>1625</v>
      </c>
      <c r="B1277" s="4" t="str">
        <f>IFERROR(__xludf.DUMMYFUNCTION("""COMPUTED_VALUE"""),"Juego huellas adhesivas suelo 27x10 cm Amarillo")</f>
        <v>Juego huellas adhesivas suelo 27x10 cm Amarillo</v>
      </c>
      <c r="C1277" s="4">
        <f>IFERROR(__xludf.DUMMYFUNCTION("""COMPUTED_VALUE"""),4.032)</f>
        <v>4.032</v>
      </c>
    </row>
    <row r="1278">
      <c r="A1278" s="4" t="str">
        <f>IFERROR(__xludf.DUMMYFUNCTION("""COMPUTED_VALUE"""),"1626")</f>
        <v>1626</v>
      </c>
      <c r="B1278" s="4" t="str">
        <f>IFERROR(__xludf.DUMMYFUNCTION("""COMPUTED_VALUE"""),"Juego huellas adhesivas suelo 27x10 cm Basic")</f>
        <v>Juego huellas adhesivas suelo 27x10 cm Basic</v>
      </c>
      <c r="C1278" s="4">
        <f>IFERROR(__xludf.DUMMYFUNCTION("""COMPUTED_VALUE"""),4.032)</f>
        <v>4.032</v>
      </c>
    </row>
    <row r="1279">
      <c r="A1279" s="4" t="str">
        <f>IFERROR(__xludf.DUMMYFUNCTION("""COMPUTED_VALUE"""),"1627")</f>
        <v>1627</v>
      </c>
      <c r="B1279" s="4" t="str">
        <f>IFERROR(__xludf.DUMMYFUNCTION("""COMPUTED_VALUE"""),"Kit Adhesivos flechas y tiras suelo")</f>
        <v>Kit Adhesivos flechas y tiras suelo</v>
      </c>
      <c r="C1279" s="4">
        <f>IFERROR(__xludf.DUMMYFUNCTION("""COMPUTED_VALUE"""),19.872)</f>
        <v>19.872</v>
      </c>
    </row>
    <row r="1280">
      <c r="A1280" s="4" t="str">
        <f>IFERROR(__xludf.DUMMYFUNCTION("""COMPUTED_VALUE"""),"1629")</f>
        <v>1629</v>
      </c>
      <c r="B1280" s="4" t="str">
        <f>IFERROR(__xludf.DUMMYFUNCTION("""COMPUTED_VALUE"""),"Cinta antideslizante N/A DISTANCIA SEGURIDAD 10x100 cm")</f>
        <v>Cinta antideslizante N/A DISTANCIA SEGURIDAD 10x100 cm</v>
      </c>
      <c r="C1280" s="4">
        <f>IFERROR(__xludf.DUMMYFUNCTION("""COMPUTED_VALUE"""),4.7904)</f>
        <v>4.7904</v>
      </c>
    </row>
    <row r="1281">
      <c r="A1281" s="4" t="str">
        <f>IFERROR(__xludf.DUMMYFUNCTION("""COMPUTED_VALUE"""),"1630")</f>
        <v>1630</v>
      </c>
      <c r="B1281" s="4" t="str">
        <f>IFERROR(__xludf.DUMMYFUNCTION("""COMPUTED_VALUE"""),"Cinta antideslizante Blanca ESPERE SU TURNO 10x100 cm")</f>
        <v>Cinta antideslizante Blanca ESPERE SU TURNO 10x100 cm</v>
      </c>
      <c r="C1281" s="4">
        <f>IFERROR(__xludf.DUMMYFUNCTION("""COMPUTED_VALUE"""),4.7904)</f>
        <v>4.7904</v>
      </c>
    </row>
    <row r="1282">
      <c r="A1282" s="4" t="str">
        <f>IFERROR(__xludf.DUMMYFUNCTION("""COMPUTED_VALUE"""),"1631")</f>
        <v>1631</v>
      </c>
      <c r="B1282" s="4" t="str">
        <f>IFERROR(__xludf.DUMMYFUNCTION("""COMPUTED_VALUE"""),"Cono plegable Reflect 55cm")</f>
        <v>Cono plegable Reflect 55cm</v>
      </c>
      <c r="C1282" s="4">
        <f>IFERROR(__xludf.DUMMYFUNCTION("""COMPUTED_VALUE"""),11.76)</f>
        <v>11.76</v>
      </c>
    </row>
    <row r="1283">
      <c r="A1283" s="4" t="str">
        <f>IFERROR(__xludf.DUMMYFUNCTION("""COMPUTED_VALUE"""),"1632")</f>
        <v>1632</v>
      </c>
      <c r="B1283" s="4" t="str">
        <f>IFERROR(__xludf.DUMMYFUNCTION("""COMPUTED_VALUE"""),"Cone extender")</f>
        <v>Cone extender</v>
      </c>
      <c r="C1283" s="4">
        <f>IFERROR(__xludf.DUMMYFUNCTION("""COMPUTED_VALUE"""),4.56)</f>
        <v>4.56</v>
      </c>
    </row>
    <row r="1284">
      <c r="A1284" s="4" t="str">
        <f>IFERROR(__xludf.DUMMYFUNCTION("""COMPUTED_VALUE"""),"1633")</f>
        <v>1633</v>
      </c>
      <c r="B1284" s="4" t="str">
        <f>IFERROR(__xludf.DUMMYFUNCTION("""COMPUTED_VALUE"""),"Cono Señal. 50 cm Amarillo No Aparcar")</f>
        <v>Cono Señal. 50 cm Amarillo No Aparcar</v>
      </c>
      <c r="C1284" s="4">
        <f>IFERROR(__xludf.DUMMYFUNCTION("""COMPUTED_VALUE"""),8.064)</f>
        <v>8.064</v>
      </c>
    </row>
    <row r="1285">
      <c r="A1285" s="4" t="str">
        <f>IFERROR(__xludf.DUMMYFUNCTION("""COMPUTED_VALUE"""),"1634")</f>
        <v>1634</v>
      </c>
      <c r="B1285" s="4" t="str">
        <f>IFERROR(__xludf.DUMMYFUNCTION("""COMPUTED_VALUE"""),"Tetrapodo 50 cm de señalizacion")</f>
        <v>Tetrapodo 50 cm de señalizacion</v>
      </c>
      <c r="C1285" s="4">
        <f>IFERROR(__xludf.DUMMYFUNCTION("""COMPUTED_VALUE"""),18.48)</f>
        <v>18.48</v>
      </c>
    </row>
    <row r="1286">
      <c r="A1286" s="4" t="str">
        <f>IFERROR(__xludf.DUMMYFUNCTION("""COMPUTED_VALUE"""),"1635")</f>
        <v>1635</v>
      </c>
      <c r="B1286" s="4" t="str">
        <f>IFERROR(__xludf.DUMMYFUNCTION("""COMPUTED_VALUE"""),"Cono Señalizacion 32 cm. Flurescent")</f>
        <v>Cono Señalizacion 32 cm. Flurescent</v>
      </c>
      <c r="C1286" s="4">
        <f>IFERROR(__xludf.DUMMYFUNCTION("""COMPUTED_VALUE"""),4.032)</f>
        <v>4.032</v>
      </c>
    </row>
    <row r="1287">
      <c r="A1287" s="4" t="str">
        <f>IFERROR(__xludf.DUMMYFUNCTION("""COMPUTED_VALUE"""),"1636")</f>
        <v>1636</v>
      </c>
      <c r="B1287" s="4" t="str">
        <f>IFERROR(__xludf.DUMMYFUNCTION("""COMPUTED_VALUE"""),"Cono Señaliz. 50 cm fluor.bandas reflectantes")</f>
        <v>Cono Señaliz. 50 cm fluor.bandas reflectantes</v>
      </c>
      <c r="C1287" s="4">
        <f>IFERROR(__xludf.DUMMYFUNCTION("""COMPUTED_VALUE"""),4.723199999999999)</f>
        <v>4.7232</v>
      </c>
    </row>
    <row r="1288">
      <c r="A1288" s="4" t="str">
        <f>IFERROR(__xludf.DUMMYFUNCTION("""COMPUTED_VALUE"""),"1636AZUL")</f>
        <v>1636AZUL</v>
      </c>
      <c r="B1288" s="4" t="str">
        <f>IFERROR(__xludf.DUMMYFUNCTION("""COMPUTED_VALUE"""),"Cono Señaliz. 50 cm Azul bandas reflectantes")</f>
        <v>Cono Señaliz. 50 cm Azul bandas reflectantes</v>
      </c>
      <c r="C1288" s="4">
        <f>IFERROR(__xludf.DUMMYFUNCTION("""COMPUTED_VALUE"""),4.704)</f>
        <v>4.704</v>
      </c>
    </row>
    <row r="1289">
      <c r="A1289" s="4" t="str">
        <f>IFERROR(__xludf.DUMMYFUNCTION("""COMPUTED_VALUE"""),"1637")</f>
        <v>1637</v>
      </c>
      <c r="B1289" s="4" t="str">
        <f>IFERROR(__xludf.DUMMYFUNCTION("""COMPUTED_VALUE"""),"Cono señaliz. 50 cm camisas réflex pvc Blando Bicolor")</f>
        <v>Cono señaliz. 50 cm camisas réflex pvc Blando Bicolor</v>
      </c>
      <c r="C1289" s="4">
        <f>IFERROR(__xludf.DUMMYFUNCTION("""COMPUTED_VALUE"""),5.04)</f>
        <v>5.04</v>
      </c>
    </row>
    <row r="1290">
      <c r="A1290" s="4" t="str">
        <f>IFERROR(__xludf.DUMMYFUNCTION("""COMPUTED_VALUE"""),"1638")</f>
        <v>1638</v>
      </c>
      <c r="B1290" s="4" t="str">
        <f>IFERROR(__xludf.DUMMYFUNCTION("""COMPUTED_VALUE"""),"Cono Señaliz. 50 cm. camisa reflec.2 P. CVT")</f>
        <v>Cono Señaliz. 50 cm. camisa reflec.2 P. CVT</v>
      </c>
      <c r="C1290" s="4">
        <f>IFERROR(__xludf.DUMMYFUNCTION("""COMPUTED_VALUE"""),4.704)</f>
        <v>4.704</v>
      </c>
    </row>
    <row r="1291">
      <c r="A1291" s="4" t="str">
        <f>IFERROR(__xludf.DUMMYFUNCTION("""COMPUTED_VALUE"""),"1640")</f>
        <v>1640</v>
      </c>
      <c r="B1291" s="4" t="str">
        <f>IFERROR(__xludf.DUMMYFUNCTION("""COMPUTED_VALUE"""),"Cono Señaliz.75 cm. camisa reflec.2p. CVT Plus")</f>
        <v>Cono Señaliz.75 cm. camisa reflec.2p. CVT Plus</v>
      </c>
      <c r="C1291" s="4">
        <f>IFERROR(__xludf.DUMMYFUNCTION("""COMPUTED_VALUE"""),6.912)</f>
        <v>6.912</v>
      </c>
    </row>
    <row r="1292">
      <c r="A1292" s="4" t="str">
        <f>IFERROR(__xludf.DUMMYFUNCTION("""COMPUTED_VALUE"""),"1640B")</f>
        <v>1640B</v>
      </c>
      <c r="B1292" s="4" t="str">
        <f>IFERROR(__xludf.DUMMYFUNCTION("""COMPUTED_VALUE"""),"Cono Señaizl. 75 cm.camisa reflect.2p. CVT Basic")</f>
        <v>Cono Señaizl. 75 cm.camisa reflect.2p. CVT Basic</v>
      </c>
      <c r="C1292" s="4">
        <f>IFERROR(__xludf.DUMMYFUNCTION("""COMPUTED_VALUE"""),6.144)</f>
        <v>6.144</v>
      </c>
    </row>
    <row r="1293">
      <c r="A1293" s="4" t="str">
        <f>IFERROR(__xludf.DUMMYFUNCTION("""COMPUTED_VALUE"""),"1645")</f>
        <v>1645</v>
      </c>
      <c r="B1293" s="4" t="str">
        <f>IFERROR(__xludf.DUMMYFUNCTION("""COMPUTED_VALUE"""),"Cono Señaliz. 100 cm camisa reflec.2 P.MELBA")</f>
        <v>Cono Señaliz. 100 cm camisa reflec.2 P.MELBA</v>
      </c>
      <c r="C1293" s="4">
        <f>IFERROR(__xludf.DUMMYFUNCTION("""COMPUTED_VALUE"""),17.183999999999997)</f>
        <v>17.184</v>
      </c>
    </row>
    <row r="1294">
      <c r="A1294" s="4" t="str">
        <f>IFERROR(__xludf.DUMMYFUNCTION("""COMPUTED_VALUE"""),"1646")</f>
        <v>1646</v>
      </c>
      <c r="B1294" s="4" t="str">
        <f>IFERROR(__xludf.DUMMYFUNCTION("""COMPUTED_VALUE"""),"Cono 80cm PVC blando Reflect. MOD B")</f>
        <v>Cono 80cm PVC blando Reflect. MOD B</v>
      </c>
      <c r="C1294" s="4">
        <f>IFERROR(__xludf.DUMMYFUNCTION("""COMPUTED_VALUE"""),9.571200000000001)</f>
        <v>9.5712</v>
      </c>
    </row>
    <row r="1295">
      <c r="A1295" s="4" t="str">
        <f>IFERROR(__xludf.DUMMYFUNCTION("""COMPUTED_VALUE"""),"1646A")</f>
        <v>1646A</v>
      </c>
      <c r="B1295" s="4" t="str">
        <f>IFERROR(__xludf.DUMMYFUNCTION("""COMPUTED_VALUE"""),"Cono 80 cm PVC blando Reflect. Mod B AMARILLO")</f>
        <v>Cono 80 cm PVC blando Reflect. Mod B AMARILLO</v>
      </c>
      <c r="C1295" s="4">
        <f>IFERROR(__xludf.DUMMYFUNCTION("""COMPUTED_VALUE"""),9.571200000000001)</f>
        <v>9.5712</v>
      </c>
    </row>
    <row r="1296">
      <c r="A1296" s="4" t="str">
        <f>IFERROR(__xludf.DUMMYFUNCTION("""COMPUTED_VALUE"""),"1646V")</f>
        <v>1646V</v>
      </c>
      <c r="B1296" s="4" t="str">
        <f>IFERROR(__xludf.DUMMYFUNCTION("""COMPUTED_VALUE"""),"Cono 80 cm PVC blando Reflect. Mod B VERDE")</f>
        <v>Cono 80 cm PVC blando Reflect. Mod B VERDE</v>
      </c>
      <c r="C1296" s="4">
        <f>IFERROR(__xludf.DUMMYFUNCTION("""COMPUTED_VALUE"""),9.575999999999999)</f>
        <v>9.576</v>
      </c>
    </row>
    <row r="1297">
      <c r="A1297" s="4" t="str">
        <f>IFERROR(__xludf.DUMMYFUNCTION("""COMPUTED_VALUE"""),"1646Z")</f>
        <v>1646Z</v>
      </c>
      <c r="B1297" s="4" t="str">
        <f>IFERROR(__xludf.DUMMYFUNCTION("""COMPUTED_VALUE"""),"Cono 80 cm PVC blando Reflect. Mod B AZUL")</f>
        <v>Cono 80 cm PVC blando Reflect. Mod B AZUL</v>
      </c>
      <c r="C1297" s="4">
        <f>IFERROR(__xludf.DUMMYFUNCTION("""COMPUTED_VALUE"""),9.575999999999999)</f>
        <v>9.576</v>
      </c>
    </row>
    <row r="1298">
      <c r="A1298" s="4" t="str">
        <f>IFERROR(__xludf.DUMMYFUNCTION("""COMPUTED_VALUE"""),"1647")</f>
        <v>1647</v>
      </c>
      <c r="B1298" s="4" t="str">
        <f>IFERROR(__xludf.DUMMYFUNCTION("""COMPUTED_VALUE"""),"Cono 54cm PVC blando Reflect. MOD B")</f>
        <v>Cono 54cm PVC blando Reflect. MOD B</v>
      </c>
      <c r="C1298" s="4">
        <f>IFERROR(__xludf.DUMMYFUNCTION("""COMPUTED_VALUE"""),7.776)</f>
        <v>7.776</v>
      </c>
    </row>
    <row r="1299">
      <c r="A1299" s="4" t="str">
        <f>IFERROR(__xludf.DUMMYFUNCTION("""COMPUTED_VALUE"""),"1647A")</f>
        <v>1647A</v>
      </c>
      <c r="B1299" s="4" t="str">
        <f>IFERROR(__xludf.DUMMYFUNCTION("""COMPUTED_VALUE"""),"Cono 54 cm PVC blando Reflect. Mod B AMARILLO")</f>
        <v>Cono 54 cm PVC blando Reflect. Mod B AMARILLO</v>
      </c>
      <c r="C1299" s="4">
        <f>IFERROR(__xludf.DUMMYFUNCTION("""COMPUTED_VALUE"""),7.776)</f>
        <v>7.776</v>
      </c>
    </row>
    <row r="1300">
      <c r="A1300" s="4" t="str">
        <f>IFERROR(__xludf.DUMMYFUNCTION("""COMPUTED_VALUE"""),"1647RO")</f>
        <v>1647RO</v>
      </c>
      <c r="B1300" s="4" t="str">
        <f>IFERROR(__xludf.DUMMYFUNCTION("""COMPUTED_VALUE"""),"Cono 54 cm PVC blando Reflect. Mod B ROSA")</f>
        <v>Cono 54 cm PVC blando Reflect. Mod B ROSA</v>
      </c>
      <c r="C1300" s="4">
        <f>IFERROR(__xludf.DUMMYFUNCTION("""COMPUTED_VALUE"""),7.776)</f>
        <v>7.776</v>
      </c>
    </row>
    <row r="1301">
      <c r="A1301" s="4" t="str">
        <f>IFERROR(__xludf.DUMMYFUNCTION("""COMPUTED_VALUE"""),"1647V")</f>
        <v>1647V</v>
      </c>
      <c r="B1301" s="4" t="str">
        <f>IFERROR(__xludf.DUMMYFUNCTION("""COMPUTED_VALUE"""),"Cono 54 cm PVC blando Reflect. Mod B VERDE")</f>
        <v>Cono 54 cm PVC blando Reflect. Mod B VERDE</v>
      </c>
      <c r="C1301" s="4">
        <f>IFERROR(__xludf.DUMMYFUNCTION("""COMPUTED_VALUE"""),7.776)</f>
        <v>7.776</v>
      </c>
    </row>
    <row r="1302">
      <c r="A1302" s="4" t="str">
        <f>IFERROR(__xludf.DUMMYFUNCTION("""COMPUTED_VALUE"""),"1647Z")</f>
        <v>1647Z</v>
      </c>
      <c r="B1302" s="4" t="str">
        <f>IFERROR(__xludf.DUMMYFUNCTION("""COMPUTED_VALUE"""),"Cono 54 cm PVC blando Reflect. Mod B AZUL")</f>
        <v>Cono 54 cm PVC blando Reflect. Mod B AZUL</v>
      </c>
      <c r="C1302" s="4">
        <f>IFERROR(__xludf.DUMMYFUNCTION("""COMPUTED_VALUE"""),7.776)</f>
        <v>7.776</v>
      </c>
    </row>
    <row r="1303">
      <c r="A1303" s="4" t="str">
        <f>IFERROR(__xludf.DUMMYFUNCTION("""COMPUTED_VALUE"""),"1648")</f>
        <v>1648</v>
      </c>
      <c r="B1303" s="4" t="str">
        <f>IFERROR(__xludf.DUMMYFUNCTION("""COMPUTED_VALUE"""),"Cono 80cm PVC blando Reflect. MOD B Naranja Plus")</f>
        <v>Cono 80cm PVC blando Reflect. MOD B Naranja Plus</v>
      </c>
      <c r="C1303" s="4">
        <f>IFERROR(__xludf.DUMMYFUNCTION("""COMPUTED_VALUE"""),23.279999999999998)</f>
        <v>23.28</v>
      </c>
    </row>
    <row r="1304">
      <c r="A1304" s="4" t="str">
        <f>IFERROR(__xludf.DUMMYFUNCTION("""COMPUTED_VALUE"""),"1650")</f>
        <v>1650</v>
      </c>
      <c r="B1304" s="4" t="str">
        <f>IFERROR(__xludf.DUMMYFUNCTION("""COMPUTED_VALUE"""),"Cono 1 pza 50 cm 2 bandas Reflect. Melba")</f>
        <v>Cono 1 pza 50 cm 2 bandas Reflect. Melba</v>
      </c>
      <c r="C1304" s="4">
        <f>IFERROR(__xludf.DUMMYFUNCTION("""COMPUTED_VALUE"""),5.9712)</f>
        <v>5.9712</v>
      </c>
    </row>
    <row r="1305">
      <c r="A1305" s="4" t="str">
        <f>IFERROR(__xludf.DUMMYFUNCTION("""COMPUTED_VALUE"""),"1651")</f>
        <v>1651</v>
      </c>
      <c r="B1305" s="4" t="str">
        <f>IFERROR(__xludf.DUMMYFUNCTION("""COMPUTED_VALUE"""),"Cono 1 pza 75 cm 2 bandas Reflect. Melba")</f>
        <v>Cono 1 pza 75 cm 2 bandas Reflect. Melba</v>
      </c>
      <c r="C1305" s="4">
        <f>IFERROR(__xludf.DUMMYFUNCTION("""COMPUTED_VALUE"""),7.852799999999999)</f>
        <v>7.8528</v>
      </c>
    </row>
    <row r="1306">
      <c r="A1306" s="4" t="str">
        <f>IFERROR(__xludf.DUMMYFUNCTION("""COMPUTED_VALUE"""),"1652")</f>
        <v>1652</v>
      </c>
      <c r="B1306" s="4" t="str">
        <f>IFERROR(__xludf.DUMMYFUNCTION("""COMPUTED_VALUE"""),"Cono 2 pza 75 cm 2 bandas Reflect. Melba STARLITE")</f>
        <v>Cono 2 pza 75 cm 2 bandas Reflect. Melba STARLITE</v>
      </c>
      <c r="C1306" s="4">
        <f>IFERROR(__xludf.DUMMYFUNCTION("""COMPUTED_VALUE"""),9.575999999999999)</f>
        <v>9.576</v>
      </c>
    </row>
    <row r="1307">
      <c r="A1307" s="4" t="str">
        <f>IFERROR(__xludf.DUMMYFUNCTION("""COMPUTED_VALUE"""),"1653")</f>
        <v>1653</v>
      </c>
      <c r="B1307" s="4" t="str">
        <f>IFERROR(__xludf.DUMMYFUNCTION("""COMPUTED_VALUE"""),"Cono 2 pza 50 cm 1 banda Reflect. Melba BIG FOOT")</f>
        <v>Cono 2 pza 50 cm 1 banda Reflect. Melba BIG FOOT</v>
      </c>
      <c r="C1307" s="4">
        <f>IFERROR(__xludf.DUMMYFUNCTION("""COMPUTED_VALUE"""),7.92)</f>
        <v>7.92</v>
      </c>
    </row>
    <row r="1308">
      <c r="A1308" s="4" t="str">
        <f>IFERROR(__xludf.DUMMYFUNCTION("""COMPUTED_VALUE"""),"1654")</f>
        <v>1654</v>
      </c>
      <c r="B1308" s="4" t="str">
        <f>IFERROR(__xludf.DUMMYFUNCTION("""COMPUTED_VALUE"""),"Cono 2 pza 75 cm 1 banda Reflect. Melba BIG FOOT")</f>
        <v>Cono 2 pza 75 cm 1 banda Reflect. Melba BIG FOOT</v>
      </c>
      <c r="C1308" s="4">
        <f>IFERROR(__xludf.DUMMYFUNCTION("""COMPUTED_VALUE"""),10.799999999999999)</f>
        <v>10.8</v>
      </c>
    </row>
    <row r="1309">
      <c r="A1309" s="4" t="str">
        <f>IFERROR(__xludf.DUMMYFUNCTION("""COMPUTED_VALUE"""),"1655")</f>
        <v>1655</v>
      </c>
      <c r="B1309" s="4" t="str">
        <f>IFERROR(__xludf.DUMMYFUNCTION("""COMPUTED_VALUE"""),"Cono 2 pza 100 cm 1 banda Reflect. Melba BIG FOOT")</f>
        <v>Cono 2 pza 100 cm 1 banda Reflect. Melba BIG FOOT</v>
      </c>
      <c r="C1309" s="4">
        <f>IFERROR(__xludf.DUMMYFUNCTION("""COMPUTED_VALUE"""),16.56)</f>
        <v>16.56</v>
      </c>
    </row>
    <row r="1310">
      <c r="A1310" s="4" t="str">
        <f>IFERROR(__xludf.DUMMYFUNCTION("""COMPUTED_VALUE"""),"1672")</f>
        <v>1672</v>
      </c>
      <c r="B1310" s="4" t="str">
        <f>IFERROR(__xludf.DUMMYFUNCTION("""COMPUTED_VALUE"""),"Pareja semaforos portatiles desmontables Leds mod. B")</f>
        <v>Pareja semaforos portatiles desmontables Leds mod. B</v>
      </c>
      <c r="C1310" s="4">
        <f>IFERROR(__xludf.DUMMYFUNCTION("""COMPUTED_VALUE"""),1536.0)</f>
        <v>1536</v>
      </c>
    </row>
    <row r="1311">
      <c r="A1311" s="4" t="str">
        <f>IFERROR(__xludf.DUMMYFUNCTION("""COMPUTED_VALUE"""),"1673")</f>
        <v>1673</v>
      </c>
      <c r="B1311" s="4" t="str">
        <f>IFERROR(__xludf.DUMMYFUNCTION("""COMPUTED_VALUE"""),"Pareja semaforos portatiles desmont. Led c/ contador de")</f>
        <v>Pareja semaforos portatiles desmont. Led c/ contador de</v>
      </c>
      <c r="C1311" s="4">
        <f>IFERROR(__xludf.DUMMYFUNCTION("""COMPUTED_VALUE"""),1632.0)</f>
        <v>1632</v>
      </c>
    </row>
    <row r="1312">
      <c r="A1312" s="4" t="str">
        <f>IFERROR(__xludf.DUMMYFUNCTION("""COMPUTED_VALUE"""),"1673C")</f>
        <v>1673C</v>
      </c>
      <c r="B1312" s="4" t="str">
        <f>IFERROR(__xludf.DUMMYFUNCTION("""COMPUTED_VALUE"""),"Juego de centralitas semaforos Mod.D")</f>
        <v>Juego de centralitas semaforos Mod.D</v>
      </c>
      <c r="C1312" s="4">
        <f>IFERROR(__xludf.DUMMYFUNCTION("""COMPUTED_VALUE"""),326.4)</f>
        <v>326.4</v>
      </c>
    </row>
    <row r="1313">
      <c r="A1313" s="4" t="str">
        <f>IFERROR(__xludf.DUMMYFUNCTION("""COMPUTED_VALUE"""),"1674")</f>
        <v>1674</v>
      </c>
      <c r="B1313" s="4" t="str">
        <f>IFERROR(__xludf.DUMMYFUNCTION("""COMPUTED_VALUE"""),"Pareja semaforos portatiles plegables Led mod. C")</f>
        <v>Pareja semaforos portatiles plegables Led mod. C</v>
      </c>
      <c r="C1313" s="4">
        <f>IFERROR(__xludf.DUMMYFUNCTION("""COMPUTED_VALUE"""),1680.0)</f>
        <v>1680</v>
      </c>
    </row>
    <row r="1314">
      <c r="A1314" s="4" t="str">
        <f>IFERROR(__xludf.DUMMYFUNCTION("""COMPUTED_VALUE"""),"1674/LP")</f>
        <v>1674/LP</v>
      </c>
      <c r="B1314" s="4" t="str">
        <f>IFERROR(__xludf.DUMMYFUNCTION("""COMPUTED_VALUE"""),"Lente plastico semaforo B - C 430126008")</f>
        <v>Lente plastico semaforo B - C 430126008</v>
      </c>
      <c r="C1314" s="4">
        <f>IFERROR(__xludf.DUMMYFUNCTION("""COMPUTED_VALUE"""),33.024)</f>
        <v>33.024</v>
      </c>
    </row>
    <row r="1315">
      <c r="A1315" s="4" t="str">
        <f>IFERROR(__xludf.DUMMYFUNCTION("""COMPUTED_VALUE"""),"1674/PA")</f>
        <v>1674/PA</v>
      </c>
      <c r="B1315" s="4" t="str">
        <f>IFERROR(__xludf.DUMMYFUNCTION("""COMPUTED_VALUE"""),"Panel Led amarillo semaforo B - C 430208019")</f>
        <v>Panel Led amarillo semaforo B - C 430208019</v>
      </c>
      <c r="C1315" s="4">
        <f>IFERROR(__xludf.DUMMYFUNCTION("""COMPUTED_VALUE"""),106.992)</f>
        <v>106.992</v>
      </c>
    </row>
    <row r="1316">
      <c r="A1316" s="4" t="str">
        <f>IFERROR(__xludf.DUMMYFUNCTION("""COMPUTED_VALUE"""),"1674/PR")</f>
        <v>1674/PR</v>
      </c>
      <c r="B1316" s="4" t="str">
        <f>IFERROR(__xludf.DUMMYFUNCTION("""COMPUTED_VALUE"""),"Panel Led rojo semaforos B - C 430208020")</f>
        <v>Panel Led rojo semaforos B - C 430208020</v>
      </c>
      <c r="C1316" s="4">
        <f>IFERROR(__xludf.DUMMYFUNCTION("""COMPUTED_VALUE"""),106.992)</f>
        <v>106.992</v>
      </c>
    </row>
    <row r="1317">
      <c r="A1317" s="4" t="str">
        <f>IFERROR(__xludf.DUMMYFUNCTION("""COMPUTED_VALUE"""),"1674/PV")</f>
        <v>1674/PV</v>
      </c>
      <c r="B1317" s="4" t="str">
        <f>IFERROR(__xludf.DUMMYFUNCTION("""COMPUTED_VALUE"""),"Panel Led verde semaforos B - C 430208018")</f>
        <v>Panel Led verde semaforos B - C 430208018</v>
      </c>
      <c r="C1317" s="4">
        <f>IFERROR(__xludf.DUMMYFUNCTION("""COMPUTED_VALUE"""),106.992)</f>
        <v>106.992</v>
      </c>
    </row>
    <row r="1318">
      <c r="A1318" s="4" t="str">
        <f>IFERROR(__xludf.DUMMYFUNCTION("""COMPUTED_VALUE"""),"1674/V")</f>
        <v>1674/V</v>
      </c>
      <c r="B1318" s="4" t="str">
        <f>IFERROR(__xludf.DUMMYFUNCTION("""COMPUTED_VALUE"""),"Visera amarilla semaforo B - C 430126009")</f>
        <v>Visera amarilla semaforo B - C 430126009</v>
      </c>
      <c r="C1318" s="4">
        <f>IFERROR(__xludf.DUMMYFUNCTION("""COMPUTED_VALUE"""),26.016000000000002)</f>
        <v>26.016</v>
      </c>
    </row>
    <row r="1319">
      <c r="A1319" s="4" t="str">
        <f>IFERROR(__xludf.DUMMYFUNCTION("""COMPUTED_VALUE"""),"1674C")</f>
        <v>1674C</v>
      </c>
      <c r="B1319" s="4" t="str">
        <f>IFERROR(__xludf.DUMMYFUNCTION("""COMPUTED_VALUE"""),"Cabeza semáforo3 luces 431231016")</f>
        <v>Cabeza semáforo3 luces 431231016</v>
      </c>
      <c r="C1319" s="4">
        <f>IFERROR(__xludf.DUMMYFUNCTION("""COMPUTED_VALUE"""),374.4)</f>
        <v>374.4</v>
      </c>
    </row>
    <row r="1320">
      <c r="A1320" s="4" t="str">
        <f>IFERROR(__xludf.DUMMYFUNCTION("""COMPUTED_VALUE"""),"1674D")</f>
        <v>1674D</v>
      </c>
      <c r="B1320" s="4" t="str">
        <f>IFERROR(__xludf.DUMMYFUNCTION("""COMPUTED_VALUE"""),"Recambio pie semáforo 400900000")</f>
        <v>Recambio pie semáforo 400900000</v>
      </c>
      <c r="C1320" s="4">
        <f>IFERROR(__xludf.DUMMYFUNCTION("""COMPUTED_VALUE"""),33.6)</f>
        <v>33.6</v>
      </c>
    </row>
    <row r="1321">
      <c r="A1321" s="4" t="str">
        <f>IFERROR(__xludf.DUMMYFUNCTION("""COMPUTED_VALUE"""),"1674E")</f>
        <v>1674E</v>
      </c>
      <c r="B1321" s="4" t="str">
        <f>IFERROR(__xludf.DUMMYFUNCTION("""COMPUTED_VALUE"""),"Recambio poste enganche base semáforo 250303006")</f>
        <v>Recambio poste enganche base semáforo 250303006</v>
      </c>
      <c r="C1321" s="4">
        <f>IFERROR(__xludf.DUMMYFUNCTION("""COMPUTED_VALUE"""),67.2)</f>
        <v>67.2</v>
      </c>
    </row>
    <row r="1322">
      <c r="A1322" s="4" t="str">
        <f>IFERROR(__xludf.DUMMYFUNCTION("""COMPUTED_VALUE"""),"1674F")</f>
        <v>1674F</v>
      </c>
      <c r="B1322" s="4" t="str">
        <f>IFERROR(__xludf.DUMMYFUNCTION("""COMPUTED_VALUE"""),"Recambio rueda semáforo 409000006")</f>
        <v>Recambio rueda semáforo 409000006</v>
      </c>
      <c r="C1322" s="4">
        <f>IFERROR(__xludf.DUMMYFUNCTION("""COMPUTED_VALUE"""),25.919999999999998)</f>
        <v>25.92</v>
      </c>
    </row>
    <row r="1323">
      <c r="A1323" s="4" t="str">
        <f>IFERROR(__xludf.DUMMYFUNCTION("""COMPUTED_VALUE"""),"1674G")</f>
        <v>1674G</v>
      </c>
      <c r="B1323" s="4" t="str">
        <f>IFERROR(__xludf.DUMMYFUNCTION("""COMPUTED_VALUE"""),"Pasador de seguridad semáforo 251636400")</f>
        <v>Pasador de seguridad semáforo 251636400</v>
      </c>
      <c r="C1323" s="4">
        <f>IFERROR(__xludf.DUMMYFUNCTION("""COMPUTED_VALUE"""),6.144)</f>
        <v>6.144</v>
      </c>
    </row>
    <row r="1324">
      <c r="A1324" s="4" t="str">
        <f>IFERROR(__xludf.DUMMYFUNCTION("""COMPUTED_VALUE"""),"1674H")</f>
        <v>1674H</v>
      </c>
      <c r="B1324" s="4" t="str">
        <f>IFERROR(__xludf.DUMMYFUNCTION("""COMPUTED_VALUE"""),"Recambio cierre semáforo 1674")</f>
        <v>Recambio cierre semáforo 1674</v>
      </c>
      <c r="C1324" s="4">
        <f>IFERROR(__xludf.DUMMYFUNCTION("""COMPUTED_VALUE"""),23.04)</f>
        <v>23.04</v>
      </c>
    </row>
    <row r="1325">
      <c r="A1325" s="4" t="str">
        <f>IFERROR(__xludf.DUMMYFUNCTION("""COMPUTED_VALUE"""),"1674K")</f>
        <v>1674K</v>
      </c>
      <c r="B1325" s="4" t="str">
        <f>IFERROR(__xludf.DUMMYFUNCTION("""COMPUTED_VALUE"""),"Kit solar 50w alimentación semáforos")</f>
        <v>Kit solar 50w alimentación semáforos</v>
      </c>
      <c r="C1325" s="4">
        <f>IFERROR(__xludf.DUMMYFUNCTION("""COMPUTED_VALUE"""),1008.0)</f>
        <v>1008</v>
      </c>
    </row>
    <row r="1326">
      <c r="A1326" s="4" t="str">
        <f>IFERROR(__xludf.DUMMYFUNCTION("""COMPUTED_VALUE"""),"1674Z")</f>
        <v>1674Z</v>
      </c>
      <c r="B1326" s="4" t="str">
        <f>IFERROR(__xludf.DUMMYFUNCTION("""COMPUTED_VALUE"""),"Conexión semáforos batería")</f>
        <v>Conexión semáforos batería</v>
      </c>
      <c r="C1326" s="4">
        <f>IFERROR(__xludf.DUMMYFUNCTION("""COMPUTED_VALUE"""),17.28)</f>
        <v>17.28</v>
      </c>
    </row>
    <row r="1327">
      <c r="A1327" s="4" t="str">
        <f>IFERROR(__xludf.DUMMYFUNCTION("""COMPUTED_VALUE"""),"1676")</f>
        <v>1676</v>
      </c>
      <c r="B1327" s="4" t="str">
        <f>IFERROR(__xludf.DUMMYFUNCTION("""COMPUTED_VALUE"""),"Secuencial 5 luces Inalambricas rafiofrecuencia")</f>
        <v>Secuencial 5 luces Inalambricas rafiofrecuencia</v>
      </c>
      <c r="C1327" s="4">
        <f>IFERROR(__xludf.DUMMYFUNCTION("""COMPUTED_VALUE"""),705.096)</f>
        <v>705.096</v>
      </c>
    </row>
    <row r="1328">
      <c r="A1328" s="4" t="str">
        <f>IFERROR(__xludf.DUMMYFUNCTION("""COMPUTED_VALUE"""),"1676/BAL")</f>
        <v>1676/BAL</v>
      </c>
      <c r="B1328" s="4" t="str">
        <f>IFERROR(__xludf.DUMMYFUNCTION("""COMPUTED_VALUE"""),"Baliza secuencia radiofrecuencia")</f>
        <v>Baliza secuencia radiofrecuencia</v>
      </c>
      <c r="C1328" s="4">
        <f>IFERROR(__xludf.DUMMYFUNCTION("""COMPUTED_VALUE"""),136.07999999999998)</f>
        <v>136.08</v>
      </c>
    </row>
    <row r="1329">
      <c r="A1329" s="4" t="str">
        <f>IFERROR(__xludf.DUMMYFUNCTION("""COMPUTED_VALUE"""),"1676/LEN")</f>
        <v>1676/LEN</v>
      </c>
      <c r="B1329" s="4" t="str">
        <f>IFERROR(__xludf.DUMMYFUNCTION("""COMPUTED_VALUE"""),"Lente delantera baliza radiofrecuencia")</f>
        <v>Lente delantera baliza radiofrecuencia</v>
      </c>
      <c r="C1329" s="4">
        <f>IFERROR(__xludf.DUMMYFUNCTION("""COMPUTED_VALUE"""),7.56)</f>
        <v>7.56</v>
      </c>
    </row>
    <row r="1330">
      <c r="A1330" s="4" t="str">
        <f>IFERROR(__xludf.DUMMYFUNCTION("""COMPUTED_VALUE"""),"1677")</f>
        <v>1677</v>
      </c>
      <c r="B1330" s="4" t="str">
        <f>IFERROR(__xludf.DUMMYFUNCTION("""COMPUTED_VALUE"""),"Secuencial completo 5 elementos inalambricos por")</f>
        <v>Secuencial completo 5 elementos inalambricos por</v>
      </c>
      <c r="C1330" s="4">
        <f>IFERROR(__xludf.DUMMYFUNCTION("""COMPUTED_VALUE"""),1032.0)</f>
        <v>1032</v>
      </c>
    </row>
    <row r="1331">
      <c r="A1331" s="4" t="str">
        <f>IFERROR(__xludf.DUMMYFUNCTION("""COMPUTED_VALUE"""),"1678")</f>
        <v>1678</v>
      </c>
      <c r="B1331" s="4" t="str">
        <f>IFERROR(__xludf.DUMMYFUNCTION("""COMPUTED_VALUE"""),"Abanderado electromecanico")</f>
        <v>Abanderado electromecanico</v>
      </c>
      <c r="C1331" s="4">
        <f>IFERROR(__xludf.DUMMYFUNCTION("""COMPUTED_VALUE"""),816.0)</f>
        <v>816</v>
      </c>
    </row>
    <row r="1332">
      <c r="A1332" s="4" t="str">
        <f>IFERROR(__xludf.DUMMYFUNCTION("""COMPUTED_VALUE"""),"1679")</f>
        <v>1679</v>
      </c>
      <c r="B1332" s="4" t="str">
        <f>IFERROR(__xludf.DUMMYFUNCTION("""COMPUTED_VALUE"""),"Juego centralitas electronicas semaforo mod. B y C")</f>
        <v>Juego centralitas electronicas semaforo mod. B y C</v>
      </c>
      <c r="C1332" s="4">
        <f>IFERROR(__xludf.DUMMYFUNCTION("""COMPUTED_VALUE"""),326.4)</f>
        <v>326.4</v>
      </c>
    </row>
    <row r="1333">
      <c r="A1333" s="4" t="str">
        <f>IFERROR(__xludf.DUMMYFUNCTION("""COMPUTED_VALUE"""),"1682")</f>
        <v>1682</v>
      </c>
      <c r="B1333" s="4" t="str">
        <f>IFERROR(__xludf.DUMMYFUNCTION("""COMPUTED_VALUE"""),"Rotativo Halog.55 W 12V Mod. Plus (iman+ ventosa)")</f>
        <v>Rotativo Halog.55 W 12V Mod. Plus (iman+ ventosa)</v>
      </c>
      <c r="C1333" s="4">
        <f>IFERROR(__xludf.DUMMYFUNCTION("""COMPUTED_VALUE"""),35.3568)</f>
        <v>35.3568</v>
      </c>
    </row>
    <row r="1334">
      <c r="A1334" s="4" t="str">
        <f>IFERROR(__xludf.DUMMYFUNCTION("""COMPUTED_VALUE"""),"1682/ALARG")</f>
        <v>1682/ALARG</v>
      </c>
      <c r="B1334" s="4" t="str">
        <f>IFERROR(__xludf.DUMMYFUNCTION("""COMPUTED_VALUE"""),"Cable rizado alargadera para Rotativo Mod. Plus")</f>
        <v>Cable rizado alargadera para Rotativo Mod. Plus</v>
      </c>
      <c r="C1334" s="4">
        <f>IFERROR(__xludf.DUMMYFUNCTION("""COMPUTED_VALUE"""),8.64)</f>
        <v>8.64</v>
      </c>
    </row>
    <row r="1335">
      <c r="A1335" s="4" t="str">
        <f>IFERROR(__xludf.DUMMYFUNCTION("""COMPUTED_VALUE"""),"1683")</f>
        <v>1683</v>
      </c>
      <c r="B1335" s="4" t="str">
        <f>IFERROR(__xludf.DUMMYFUNCTION("""COMPUTED_VALUE"""),"Juego 3 focos Leds 10 cm para señal metalica")</f>
        <v>Juego 3 focos Leds 10 cm para señal metalica</v>
      </c>
      <c r="C1335" s="4">
        <f>IFERROR(__xludf.DUMMYFUNCTION("""COMPUTED_VALUE"""),283.3632)</f>
        <v>283.3632</v>
      </c>
    </row>
    <row r="1336">
      <c r="A1336" s="4" t="str">
        <f>IFERROR(__xludf.DUMMYFUNCTION("""COMPUTED_VALUE"""),"1684")</f>
        <v>1684</v>
      </c>
      <c r="B1336" s="4" t="str">
        <f>IFERROR(__xludf.DUMMYFUNCTION("""COMPUTED_VALUE"""),"Rotativo Halogeno magnet. Mod. BASIC")</f>
        <v>Rotativo Halogeno magnet. Mod. BASIC</v>
      </c>
      <c r="C1336" s="4">
        <f>IFERROR(__xludf.DUMMYFUNCTION("""COMPUTED_VALUE"""),13.44)</f>
        <v>13.44</v>
      </c>
    </row>
    <row r="1337">
      <c r="A1337" s="4" t="str">
        <f>IFERROR(__xludf.DUMMYFUNCTION("""COMPUTED_VALUE"""),"1686")</f>
        <v>1686</v>
      </c>
      <c r="B1337" s="4" t="str">
        <f>IFERROR(__xludf.DUMMYFUNCTION("""COMPUTED_VALUE"""),"Conjunto Panel R/B + base caucho")</f>
        <v>Conjunto Panel R/B + base caucho</v>
      </c>
      <c r="C1337" s="4">
        <f>IFERROR(__xludf.DUMMYFUNCTION("""COMPUTED_VALUE"""),39.36)</f>
        <v>39.36</v>
      </c>
    </row>
    <row r="1338">
      <c r="A1338" s="4" t="str">
        <f>IFERROR(__xludf.DUMMYFUNCTION("""COMPUTED_VALUE"""),"1687")</f>
        <v>1687</v>
      </c>
      <c r="B1338" s="4" t="str">
        <f>IFERROR(__xludf.DUMMYFUNCTION("""COMPUTED_VALUE"""),"Rotativo fijo carretilla elevadora 21W 12V A/214")</f>
        <v>Rotativo fijo carretilla elevadora 21W 12V A/214</v>
      </c>
      <c r="C1338" s="4">
        <f>IFERROR(__xludf.DUMMYFUNCTION("""COMPUTED_VALUE"""),25.2)</f>
        <v>25.2</v>
      </c>
    </row>
    <row r="1339">
      <c r="A1339" s="4" t="str">
        <f>IFERROR(__xludf.DUMMYFUNCTION("""COMPUTED_VALUE"""),"1688")</f>
        <v>1688</v>
      </c>
      <c r="B1339" s="4" t="str">
        <f>IFERROR(__xludf.DUMMYFUNCTION("""COMPUTED_VALUE"""),"Panel conjunto 5 Leds para vehículos")</f>
        <v>Panel conjunto 5 Leds para vehículos</v>
      </c>
      <c r="C1339" s="4">
        <f>IFERROR(__xludf.DUMMYFUNCTION("""COMPUTED_VALUE"""),870.912)</f>
        <v>870.912</v>
      </c>
    </row>
    <row r="1340">
      <c r="A1340" s="4" t="str">
        <f>IFERROR(__xludf.DUMMYFUNCTION("""COMPUTED_VALUE"""),"1689")</f>
        <v>1689</v>
      </c>
      <c r="B1340" s="4" t="str">
        <f>IFERROR(__xludf.DUMMYFUNCTION("""COMPUTED_VALUE"""),"Linterna Super-led Basic 12/220v 3 W+ cono amarillo")</f>
        <v>Linterna Super-led Basic 12/220v 3 W+ cono amarillo</v>
      </c>
      <c r="C1340" s="4">
        <f>IFERROR(__xludf.DUMMYFUNCTION("""COMPUTED_VALUE"""),24.96)</f>
        <v>24.96</v>
      </c>
    </row>
    <row r="1341">
      <c r="A1341" s="4" t="str">
        <f>IFERROR(__xludf.DUMMYFUNCTION("""COMPUTED_VALUE"""),"1689B")</f>
        <v>1689B</v>
      </c>
      <c r="B1341" s="4" t="str">
        <f>IFERROR(__xludf.DUMMYFUNCTION("""COMPUTED_VALUE"""),"Batería para Linterna recargable Superled Basic")</f>
        <v>Batería para Linterna recargable Superled Basic</v>
      </c>
      <c r="C1341" s="4">
        <f>IFERROR(__xludf.DUMMYFUNCTION("""COMPUTED_VALUE"""),6.72)</f>
        <v>6.72</v>
      </c>
    </row>
    <row r="1342">
      <c r="A1342" s="4" t="str">
        <f>IFERROR(__xludf.DUMMYFUNCTION("""COMPUTED_VALUE"""),"1689C")</f>
        <v>1689C</v>
      </c>
      <c r="B1342" s="4" t="str">
        <f>IFERROR(__xludf.DUMMYFUNCTION("""COMPUTED_VALUE"""),"Cono para linterna recargable Superled Basic")</f>
        <v>Cono para linterna recargable Superled Basic</v>
      </c>
      <c r="C1342" s="4">
        <f>IFERROR(__xludf.DUMMYFUNCTION("""COMPUTED_VALUE"""),5.76)</f>
        <v>5.76</v>
      </c>
    </row>
    <row r="1343">
      <c r="A1343" s="4" t="str">
        <f>IFERROR(__xludf.DUMMYFUNCTION("""COMPUTED_VALUE"""),"1690")</f>
        <v>1690</v>
      </c>
      <c r="B1343" s="4" t="str">
        <f>IFERROR(__xludf.DUMMYFUNCTION("""COMPUTED_VALUE"""),"Linterna Super-led Polilux 12-220v 3W")</f>
        <v>Linterna Super-led Polilux 12-220v 3W</v>
      </c>
      <c r="C1343" s="4">
        <f>IFERROR(__xludf.DUMMYFUNCTION("""COMPUTED_VALUE"""),239.904)</f>
        <v>239.904</v>
      </c>
    </row>
    <row r="1344">
      <c r="A1344" s="4" t="str">
        <f>IFERROR(__xludf.DUMMYFUNCTION("""COMPUTED_VALUE"""),"1691")</f>
        <v>1691</v>
      </c>
      <c r="B1344" s="4" t="str">
        <f>IFERROR(__xludf.DUMMYFUNCTION("""COMPUTED_VALUE"""),"Paleta difusora Stop-Paso p/linterna profesional")</f>
        <v>Paleta difusora Stop-Paso p/linterna profesional</v>
      </c>
      <c r="C1344" s="4">
        <f>IFERROR(__xludf.DUMMYFUNCTION("""COMPUTED_VALUE"""),33.263999999999996)</f>
        <v>33.264</v>
      </c>
    </row>
    <row r="1345">
      <c r="A1345" s="4" t="str">
        <f>IFERROR(__xludf.DUMMYFUNCTION("""COMPUTED_VALUE"""),"1692")</f>
        <v>1692</v>
      </c>
      <c r="B1345" s="4" t="str">
        <f>IFERROR(__xludf.DUMMYFUNCTION("""COMPUTED_VALUE"""),"Cono amarillo señalizacion p/linterna profesional")</f>
        <v>Cono amarillo señalizacion p/linterna profesional</v>
      </c>
      <c r="C1345" s="4">
        <f>IFERROR(__xludf.DUMMYFUNCTION("""COMPUTED_VALUE"""),6.552)</f>
        <v>6.552</v>
      </c>
    </row>
    <row r="1346">
      <c r="A1346" s="4" t="str">
        <f>IFERROR(__xludf.DUMMYFUNCTION("""COMPUTED_VALUE"""),"1693")</f>
        <v>1693</v>
      </c>
      <c r="B1346" s="4" t="str">
        <f>IFERROR(__xludf.DUMMYFUNCTION("""COMPUTED_VALUE"""),"Avisador acústico para carretilla 97 db")</f>
        <v>Avisador acústico para carretilla 97 db</v>
      </c>
      <c r="C1346" s="4">
        <f>IFERROR(__xludf.DUMMYFUNCTION("""COMPUTED_VALUE"""),25.2)</f>
        <v>25.2</v>
      </c>
    </row>
    <row r="1347">
      <c r="A1347" s="4" t="str">
        <f>IFERROR(__xludf.DUMMYFUNCTION("""COMPUTED_VALUE"""),"1694")</f>
        <v>1694</v>
      </c>
      <c r="B1347" s="4" t="str">
        <f>IFERROR(__xludf.DUMMYFUNCTION("""COMPUTED_VALUE"""),"Rotativo Led 12V base magnetica + ventosa")</f>
        <v>Rotativo Led 12V base magnetica + ventosa</v>
      </c>
      <c r="C1347" s="4">
        <f>IFERROR(__xludf.DUMMYFUNCTION("""COMPUTED_VALUE"""),48.384)</f>
        <v>48.384</v>
      </c>
    </row>
    <row r="1348">
      <c r="A1348" s="4" t="str">
        <f>IFERROR(__xludf.DUMMYFUNCTION("""COMPUTED_VALUE"""),"1697")</f>
        <v>1697</v>
      </c>
      <c r="B1348" s="4" t="str">
        <f>IFERROR(__xludf.DUMMYFUNCTION("""COMPUTED_VALUE"""),"Baston luminoso LED ambar")</f>
        <v>Baston luminoso LED ambar</v>
      </c>
      <c r="C1348" s="4">
        <f>IFERROR(__xludf.DUMMYFUNCTION("""COMPUTED_VALUE"""),7.4399999999999995)</f>
        <v>7.44</v>
      </c>
    </row>
    <row r="1349">
      <c r="A1349" s="4" t="str">
        <f>IFERROR(__xludf.DUMMYFUNCTION("""COMPUTED_VALUE"""),"1700")</f>
        <v>1700</v>
      </c>
      <c r="B1349" s="4" t="str">
        <f>IFERROR(__xludf.DUMMYFUNCTION("""COMPUTED_VALUE"""),"Panel direccional 60x60 8 focos Led 100 mm")</f>
        <v>Panel direccional 60x60 8 focos Led 100 mm</v>
      </c>
      <c r="C1349" s="4">
        <f>IFERROR(__xludf.DUMMYFUNCTION("""COMPUTED_VALUE"""),496.94399999999996)</f>
        <v>496.944</v>
      </c>
    </row>
    <row r="1350">
      <c r="A1350" s="4" t="str">
        <f>IFERROR(__xludf.DUMMYFUNCTION("""COMPUTED_VALUE"""),"1701")</f>
        <v>1701</v>
      </c>
      <c r="B1350" s="4" t="str">
        <f>IFERROR(__xludf.DUMMYFUNCTION("""COMPUTED_VALUE"""),"Panel direccional 90x90 8 Focos Led 200 mm")</f>
        <v>Panel direccional 90x90 8 Focos Led 200 mm</v>
      </c>
      <c r="C1350" s="4">
        <f>IFERROR(__xludf.DUMMYFUNCTION("""COMPUTED_VALUE"""),756.0)</f>
        <v>756</v>
      </c>
    </row>
    <row r="1351">
      <c r="A1351" s="4" t="str">
        <f>IFERROR(__xludf.DUMMYFUNCTION("""COMPUTED_VALUE"""),"1900")</f>
        <v>1900</v>
      </c>
      <c r="B1351" s="4" t="str">
        <f>IFERROR(__xludf.DUMMYFUNCTION("""COMPUTED_VALUE"""),"Reductor veloc. proteccion cables 90x50x5cm")</f>
        <v>Reductor veloc. proteccion cables 90x50x5cm</v>
      </c>
      <c r="C1351" s="4">
        <f>IFERROR(__xludf.DUMMYFUNCTION("""COMPUTED_VALUE"""),43.199999999999996)</f>
        <v>43.2</v>
      </c>
    </row>
    <row r="1352">
      <c r="A1352" s="4" t="str">
        <f>IFERROR(__xludf.DUMMYFUNCTION("""COMPUTED_VALUE"""),"1900B")</f>
        <v>1900B</v>
      </c>
      <c r="B1352" s="4" t="str">
        <f>IFERROR(__xludf.DUMMYFUNCTION("""COMPUTED_VALUE"""),"Reductor veloc. proteccion cables 90x25x4,5 cm")</f>
        <v>Reductor veloc. proteccion cables 90x25x4,5 cm</v>
      </c>
      <c r="C1352" s="4">
        <f>IFERROR(__xludf.DUMMYFUNCTION("""COMPUTED_VALUE"""),38.879999999999995)</f>
        <v>38.88</v>
      </c>
    </row>
    <row r="1353">
      <c r="A1353" s="4" t="str">
        <f>IFERROR(__xludf.DUMMYFUNCTION("""COMPUTED_VALUE"""),"1900C")</f>
        <v>1900C</v>
      </c>
      <c r="B1353" s="4" t="str">
        <f>IFERROR(__xludf.DUMMYFUNCTION("""COMPUTED_VALUE"""),"Rampa proteccion cables 30x82x8,5 cm")</f>
        <v>Rampa proteccion cables 30x82x8,5 cm</v>
      </c>
      <c r="C1353" s="4">
        <f>IFERROR(__xludf.DUMMYFUNCTION("""COMPUTED_VALUE"""),40.08)</f>
        <v>40.08</v>
      </c>
    </row>
    <row r="1354">
      <c r="A1354" s="4" t="str">
        <f>IFERROR(__xludf.DUMMYFUNCTION("""COMPUTED_VALUE"""),"1900D")</f>
        <v>1900D</v>
      </c>
      <c r="B1354" s="4" t="str">
        <f>IFERROR(__xludf.DUMMYFUNCTION("""COMPUTED_VALUE"""),"Reductor Pasacables MOD D")</f>
        <v>Reductor Pasacables MOD D</v>
      </c>
      <c r="C1354" s="4">
        <f>IFERROR(__xludf.DUMMYFUNCTION("""COMPUTED_VALUE"""),37.92)</f>
        <v>37.92</v>
      </c>
    </row>
    <row r="1355">
      <c r="A1355" s="4" t="str">
        <f>IFERROR(__xludf.DUMMYFUNCTION("""COMPUTED_VALUE"""),"1901H")</f>
        <v>1901H</v>
      </c>
      <c r="B1355" s="4" t="str">
        <f>IFERROR(__xludf.DUMMYFUNCTION("""COMPUTED_VALUE"""),"Extremo reductor velocidad 25x50x3 cm Mod B H")</f>
        <v>Extremo reductor velocidad 25x50x3 cm Mod B H</v>
      </c>
      <c r="C1355" s="4">
        <f>IFERROR(__xludf.DUMMYFUNCTION("""COMPUTED_VALUE"""),14.399999999999999)</f>
        <v>14.4</v>
      </c>
    </row>
    <row r="1356">
      <c r="A1356" s="4" t="str">
        <f>IFERROR(__xludf.DUMMYFUNCTION("""COMPUTED_VALUE"""),"1901M")</f>
        <v>1901M</v>
      </c>
      <c r="B1356" s="4" t="str">
        <f>IFERROR(__xludf.DUMMYFUNCTION("""COMPUTED_VALUE"""),"Extremo reductor velocidad 25x50x3 cm Mod B M")</f>
        <v>Extremo reductor velocidad 25x50x3 cm Mod B M</v>
      </c>
      <c r="C1356" s="4">
        <f>IFERROR(__xludf.DUMMYFUNCTION("""COMPUTED_VALUE"""),14.399999999999999)</f>
        <v>14.4</v>
      </c>
    </row>
    <row r="1357">
      <c r="A1357" s="4" t="str">
        <f>IFERROR(__xludf.DUMMYFUNCTION("""COMPUTED_VALUE"""),"1902")</f>
        <v>1902</v>
      </c>
      <c r="B1357" s="4" t="str">
        <f>IFERROR(__xludf.DUMMYFUNCTION("""COMPUTED_VALUE"""),"Reductor Velocidad 50x50x3 cm. Mod. B")</f>
        <v>Reductor Velocidad 50x50x3 cm. Mod. B</v>
      </c>
      <c r="C1357" s="4">
        <f>IFERROR(__xludf.DUMMYFUNCTION("""COMPUTED_VALUE"""),24.1728)</f>
        <v>24.1728</v>
      </c>
    </row>
    <row r="1358">
      <c r="A1358" s="4" t="str">
        <f>IFERROR(__xludf.DUMMYFUNCTION("""COMPUTED_VALUE"""),"1903")</f>
        <v>1903</v>
      </c>
      <c r="B1358" s="4" t="str">
        <f>IFERROR(__xludf.DUMMYFUNCTION("""COMPUTED_VALUE"""),"Reductor Velocidad 50x60x5 cm. Mod. A")</f>
        <v>Reductor Velocidad 50x60x5 cm. Mod. A</v>
      </c>
      <c r="C1358" s="4">
        <f>IFERROR(__xludf.DUMMYFUNCTION("""COMPUTED_VALUE"""),24.863999999999997)</f>
        <v>24.864</v>
      </c>
    </row>
    <row r="1359">
      <c r="A1359" s="4" t="str">
        <f>IFERROR(__xludf.DUMMYFUNCTION("""COMPUTED_VALUE"""),"1903B")</f>
        <v>1903B</v>
      </c>
      <c r="B1359" s="4" t="str">
        <f>IFERROR(__xludf.DUMMYFUNCTION("""COMPUTED_VALUE"""),"Reductor Velocidad 50x60x3 cm. Mod. A")</f>
        <v>Reductor Velocidad 50x60x3 cm. Mod. A</v>
      </c>
      <c r="C1359" s="4">
        <f>IFERROR(__xludf.DUMMYFUNCTION("""COMPUTED_VALUE"""),15.36)</f>
        <v>15.36</v>
      </c>
    </row>
    <row r="1360">
      <c r="A1360" s="4" t="str">
        <f>IFERROR(__xludf.DUMMYFUNCTION("""COMPUTED_VALUE"""),"1904")</f>
        <v>1904</v>
      </c>
      <c r="B1360" s="4" t="str">
        <f>IFERROR(__xludf.DUMMYFUNCTION("""COMPUTED_VALUE"""),"Extremo Reductor velocidad 25x60x5 cm Mod. A")</f>
        <v>Extremo Reductor velocidad 25x60x5 cm Mod. A</v>
      </c>
      <c r="C1360" s="4">
        <f>IFERROR(__xludf.DUMMYFUNCTION("""COMPUTED_VALUE"""),16.272)</f>
        <v>16.272</v>
      </c>
    </row>
    <row r="1361">
      <c r="A1361" s="4" t="str">
        <f>IFERROR(__xludf.DUMMYFUNCTION("""COMPUTED_VALUE"""),"1904B")</f>
        <v>1904B</v>
      </c>
      <c r="B1361" s="4" t="str">
        <f>IFERROR(__xludf.DUMMYFUNCTION("""COMPUTED_VALUE"""),"Extremo reductor Velocidad 50x60x3 cm. Mod. A")</f>
        <v>Extremo reductor Velocidad 50x60x3 cm. Mod. A</v>
      </c>
      <c r="C1361" s="4">
        <f>IFERROR(__xludf.DUMMYFUNCTION("""COMPUTED_VALUE"""),10.799999999999999)</f>
        <v>10.8</v>
      </c>
    </row>
    <row r="1362">
      <c r="A1362" s="4" t="str">
        <f>IFERROR(__xludf.DUMMYFUNCTION("""COMPUTED_VALUE"""),"1908")</f>
        <v>1908</v>
      </c>
      <c r="B1362" s="4" t="str">
        <f>IFERROR(__xludf.DUMMYFUNCTION("""COMPUTED_VALUE"""),"Reductor Velocidad 50x50x5 cm Mod. B")</f>
        <v>Reductor Velocidad 50x50x5 cm Mod. B</v>
      </c>
      <c r="C1362" s="4">
        <f>IFERROR(__xludf.DUMMYFUNCTION("""COMPUTED_VALUE"""),33.36)</f>
        <v>33.36</v>
      </c>
    </row>
    <row r="1363">
      <c r="A1363" s="4" t="str">
        <f>IFERROR(__xludf.DUMMYFUNCTION("""COMPUTED_VALUE"""),"1909H")</f>
        <v>1909H</v>
      </c>
      <c r="B1363" s="4" t="str">
        <f>IFERROR(__xludf.DUMMYFUNCTION("""COMPUTED_VALUE"""),"Extremo reductor velocidad 25x50x5 cm Mod. B H")</f>
        <v>Extremo reductor velocidad 25x50x5 cm Mod. B H</v>
      </c>
      <c r="C1363" s="4">
        <f>IFERROR(__xludf.DUMMYFUNCTION("""COMPUTED_VALUE"""),19.151999999999997)</f>
        <v>19.152</v>
      </c>
    </row>
    <row r="1364">
      <c r="A1364" s="4" t="str">
        <f>IFERROR(__xludf.DUMMYFUNCTION("""COMPUTED_VALUE"""),"1909M")</f>
        <v>1909M</v>
      </c>
      <c r="B1364" s="4" t="str">
        <f>IFERROR(__xludf.DUMMYFUNCTION("""COMPUTED_VALUE"""),"Extremo reductor velocidad 25x50x5 cm Mod. B M")</f>
        <v>Extremo reductor velocidad 25x50x5 cm Mod. B M</v>
      </c>
      <c r="C1364" s="4">
        <f>IFERROR(__xludf.DUMMYFUNCTION("""COMPUTED_VALUE"""),19.151999999999997)</f>
        <v>19.152</v>
      </c>
    </row>
    <row r="1365">
      <c r="A1365" s="4" t="str">
        <f>IFERROR(__xludf.DUMMYFUNCTION("""COMPUTED_VALUE"""),"1910")</f>
        <v>1910</v>
      </c>
      <c r="B1365" s="4" t="str">
        <f>IFERROR(__xludf.DUMMYFUNCTION("""COMPUTED_VALUE"""),"Reductor velocidad - salva cables 50x60x5")</f>
        <v>Reductor velocidad - salva cables 50x60x5</v>
      </c>
      <c r="C1365" s="4">
        <f>IFERROR(__xludf.DUMMYFUNCTION("""COMPUTED_VALUE"""),42.0)</f>
        <v>42</v>
      </c>
    </row>
    <row r="1366">
      <c r="A1366" s="4" t="str">
        <f>IFERROR(__xludf.DUMMYFUNCTION("""COMPUTED_VALUE"""),"1912")</f>
        <v>1912</v>
      </c>
      <c r="B1366" s="4" t="str">
        <f>IFERROR(__xludf.DUMMYFUNCTION("""COMPUTED_VALUE"""),"Reductor Lenticular 22x4")</f>
        <v>Reductor Lenticular 22x4</v>
      </c>
      <c r="C1366" s="4">
        <f>IFERROR(__xludf.DUMMYFUNCTION("""COMPUTED_VALUE"""),7.295999999999999)</f>
        <v>7.296</v>
      </c>
    </row>
    <row r="1367">
      <c r="A1367" s="4" t="str">
        <f>IFERROR(__xludf.DUMMYFUNCTION("""COMPUTED_VALUE"""),"1913/A")</f>
        <v>1913/A</v>
      </c>
      <c r="B1367" s="4" t="str">
        <f>IFERROR(__xludf.DUMMYFUNCTION("""COMPUTED_VALUE"""),"Separador Amarillo carril- bici 1 mt x 15 cm ancho x 5 cm alto")</f>
        <v>Separador Amarillo carril- bici 1 mt x 15 cm ancho x 5 cm alto</v>
      </c>
      <c r="C1367" s="4">
        <f>IFERROR(__xludf.DUMMYFUNCTION("""COMPUTED_VALUE"""),17.28)</f>
        <v>17.28</v>
      </c>
    </row>
    <row r="1368">
      <c r="A1368" s="4" t="str">
        <f>IFERROR(__xludf.DUMMYFUNCTION("""COMPUTED_VALUE"""),"1913/N")</f>
        <v>1913/N</v>
      </c>
      <c r="B1368" s="4" t="str">
        <f>IFERROR(__xludf.DUMMYFUNCTION("""COMPUTED_VALUE"""),"Separador Negro carril-bici 1 mt x 15 cm ancho x 5 cm alto")</f>
        <v>Separador Negro carril-bici 1 mt x 15 cm ancho x 5 cm alto</v>
      </c>
      <c r="C1368" s="4">
        <f>IFERROR(__xludf.DUMMYFUNCTION("""COMPUTED_VALUE"""),17.28)</f>
        <v>17.28</v>
      </c>
    </row>
    <row r="1369">
      <c r="A1369" s="4" t="str">
        <f>IFERROR(__xludf.DUMMYFUNCTION("""COMPUTED_VALUE"""),"1913/R")</f>
        <v>1913/R</v>
      </c>
      <c r="B1369" s="4" t="str">
        <f>IFERROR(__xludf.DUMMYFUNCTION("""COMPUTED_VALUE"""),"Separador Rojo carril-bici 1 mt x 15 cm ancho x 5 cm alto")</f>
        <v>Separador Rojo carril-bici 1 mt x 15 cm ancho x 5 cm alto</v>
      </c>
      <c r="C1369" s="4">
        <f>IFERROR(__xludf.DUMMYFUNCTION("""COMPUTED_VALUE"""),17.28)</f>
        <v>17.28</v>
      </c>
    </row>
    <row r="1370">
      <c r="A1370" s="4" t="str">
        <f>IFERROR(__xludf.DUMMYFUNCTION("""COMPUTED_VALUE"""),"1914")</f>
        <v>1914</v>
      </c>
      <c r="B1370" s="4" t="str">
        <f>IFERROR(__xludf.DUMMYFUNCTION("""COMPUTED_VALUE"""),"Separador carril-bici 77,5 x 16,6 x 9 cm CVT")</f>
        <v>Separador carril-bici 77,5 x 16,6 x 9 cm CVT</v>
      </c>
      <c r="C1370" s="4">
        <f>IFERROR(__xludf.DUMMYFUNCTION("""COMPUTED_VALUE"""),14.016)</f>
        <v>14.016</v>
      </c>
    </row>
    <row r="1371">
      <c r="A1371" s="4" t="str">
        <f>IFERROR(__xludf.DUMMYFUNCTION("""COMPUTED_VALUE"""),"1915")</f>
        <v>1915</v>
      </c>
      <c r="B1371" s="4" t="str">
        <f>IFERROR(__xludf.DUMMYFUNCTION("""COMPUTED_VALUE"""),"Valla extensible PVC 2,50 metros N/A")</f>
        <v>Valla extensible PVC 2,50 metros N/A</v>
      </c>
      <c r="C1371" s="4">
        <f>IFERROR(__xludf.DUMMYFUNCTION("""COMPUTED_VALUE"""),63.36)</f>
        <v>63.36</v>
      </c>
    </row>
    <row r="1372">
      <c r="A1372" s="4" t="str">
        <f>IFERROR(__xludf.DUMMYFUNCTION("""COMPUTED_VALUE"""),"1915/R")</f>
        <v>1915/R</v>
      </c>
      <c r="B1372" s="4" t="str">
        <f>IFERROR(__xludf.DUMMYFUNCTION("""COMPUTED_VALUE"""),"Valla extensible PVC R/B")</f>
        <v>Valla extensible PVC R/B</v>
      </c>
      <c r="C1372" s="4">
        <f>IFERROR(__xludf.DUMMYFUNCTION("""COMPUTED_VALUE"""),75.93599999999999)</f>
        <v>75.936</v>
      </c>
    </row>
    <row r="1373">
      <c r="A1373" s="4" t="str">
        <f>IFERROR(__xludf.DUMMYFUNCTION("""COMPUTED_VALUE"""),"1915M")</f>
        <v>1915M</v>
      </c>
      <c r="B1373" s="4" t="str">
        <f>IFERROR(__xludf.DUMMYFUNCTION("""COMPUTED_VALUE"""),"Utility Barrier 4 pts. 750 mm")</f>
        <v>Utility Barrier 4 pts. 750 mm</v>
      </c>
      <c r="C1373" s="4">
        <f>IFERROR(__xludf.DUMMYFUNCTION("""COMPUTED_VALUE"""),105.6)</f>
        <v>105.6</v>
      </c>
    </row>
    <row r="1374">
      <c r="A1374" s="4" t="str">
        <f>IFERROR(__xludf.DUMMYFUNCTION("""COMPUTED_VALUE"""),"1916")</f>
        <v>1916</v>
      </c>
      <c r="B1374" s="4" t="str">
        <f>IFERROR(__xludf.DUMMYFUNCTION("""COMPUTED_VALUE"""),"Reductor velocidad 50x50x4,5 MOD C")</f>
        <v>Reductor velocidad 50x50x4,5 MOD C</v>
      </c>
      <c r="C1374" s="4">
        <f>IFERROR(__xludf.DUMMYFUNCTION("""COMPUTED_VALUE"""),18.671999999999997)</f>
        <v>18.672</v>
      </c>
    </row>
    <row r="1375">
      <c r="A1375" s="4" t="str">
        <f>IFERROR(__xludf.DUMMYFUNCTION("""COMPUTED_VALUE"""),"1917")</f>
        <v>1917</v>
      </c>
      <c r="B1375" s="4" t="str">
        <f>IFERROR(__xludf.DUMMYFUNCTION("""COMPUTED_VALUE"""),"Extremo reductor velocidad 50x25x4,5 MOD C")</f>
        <v>Extremo reductor velocidad 50x25x4,5 MOD C</v>
      </c>
      <c r="C1375" s="4">
        <f>IFERROR(__xludf.DUMMYFUNCTION("""COMPUTED_VALUE"""),11.76)</f>
        <v>11.76</v>
      </c>
    </row>
    <row r="1376">
      <c r="A1376" s="4" t="str">
        <f>IFERROR(__xludf.DUMMYFUNCTION("""COMPUTED_VALUE"""),"1919")</f>
        <v>1919</v>
      </c>
      <c r="B1376" s="4" t="str">
        <f>IFERROR(__xludf.DUMMYFUNCTION("""COMPUTED_VALUE"""),"Valla alcantarillado 4 ptas Plastico Naranja")</f>
        <v>Valla alcantarillado 4 ptas Plastico Naranja</v>
      </c>
      <c r="C1376" s="4">
        <f>IFERROR(__xludf.DUMMYFUNCTION("""COMPUTED_VALUE"""),95.52)</f>
        <v>95.52</v>
      </c>
    </row>
    <row r="1377">
      <c r="A1377" s="4" t="str">
        <f>IFERROR(__xludf.DUMMYFUNCTION("""COMPUTED_VALUE"""),"1924A")</f>
        <v>1924A</v>
      </c>
      <c r="B1377" s="4" t="str">
        <f>IFERROR(__xludf.DUMMYFUNCTION("""COMPUTED_VALUE"""),"Valla señal. Gate Barrier 2 mtros Amarilla")</f>
        <v>Valla señal. Gate Barrier 2 mtros Amarilla</v>
      </c>
      <c r="C1377" s="4">
        <f>IFERROR(__xludf.DUMMYFUNCTION("""COMPUTED_VALUE"""),53.76)</f>
        <v>53.76</v>
      </c>
    </row>
    <row r="1378">
      <c r="A1378" s="4" t="str">
        <f>IFERROR(__xludf.DUMMYFUNCTION("""COMPUTED_VALUE"""),"1924B")</f>
        <v>1924B</v>
      </c>
      <c r="B1378" s="4" t="str">
        <f>IFERROR(__xludf.DUMMYFUNCTION("""COMPUTED_VALUE"""),"Valla señal. Gate Barrier 2 mtros Blanco")</f>
        <v>Valla señal. Gate Barrier 2 mtros Blanco</v>
      </c>
      <c r="C1378" s="4">
        <f>IFERROR(__xludf.DUMMYFUNCTION("""COMPUTED_VALUE"""),53.76)</f>
        <v>53.76</v>
      </c>
    </row>
    <row r="1379">
      <c r="A1379" s="4" t="str">
        <f>IFERROR(__xludf.DUMMYFUNCTION("""COMPUTED_VALUE"""),"1924N")</f>
        <v>1924N</v>
      </c>
      <c r="B1379" s="4" t="str">
        <f>IFERROR(__xludf.DUMMYFUNCTION("""COMPUTED_VALUE"""),"Valla señal. Gate Barrier 2 mtros Naranja")</f>
        <v>Valla señal. Gate Barrier 2 mtros Naranja</v>
      </c>
      <c r="C1379" s="4">
        <f>IFERROR(__xludf.DUMMYFUNCTION("""COMPUTED_VALUE"""),53.76)</f>
        <v>53.76</v>
      </c>
    </row>
    <row r="1380">
      <c r="A1380" s="4" t="str">
        <f>IFERROR(__xludf.DUMMYFUNCTION("""COMPUTED_VALUE"""),"1924R")</f>
        <v>1924R</v>
      </c>
      <c r="B1380" s="4" t="str">
        <f>IFERROR(__xludf.DUMMYFUNCTION("""COMPUTED_VALUE"""),"Valla Señal. Gate Barrier 2 mtros. Roja")</f>
        <v>Valla Señal. Gate Barrier 2 mtros. Roja</v>
      </c>
      <c r="C1380" s="4">
        <f>IFERROR(__xludf.DUMMYFUNCTION("""COMPUTED_VALUE"""),53.76)</f>
        <v>53.76</v>
      </c>
    </row>
    <row r="1381">
      <c r="A1381" s="4" t="str">
        <f>IFERROR(__xludf.DUMMYFUNCTION("""COMPUTED_VALUE"""),"1924V")</f>
        <v>1924V</v>
      </c>
      <c r="B1381" s="4" t="str">
        <f>IFERROR(__xludf.DUMMYFUNCTION("""COMPUTED_VALUE"""),"Valla señal. Gate Barrier 2 mtros Verde")</f>
        <v>Valla señal. Gate Barrier 2 mtros Verde</v>
      </c>
      <c r="C1381" s="4">
        <f>IFERROR(__xludf.DUMMYFUNCTION("""COMPUTED_VALUE"""),53.76)</f>
        <v>53.76</v>
      </c>
    </row>
    <row r="1382">
      <c r="A1382" s="4" t="str">
        <f>IFERROR(__xludf.DUMMYFUNCTION("""COMPUTED_VALUE"""),"1924Z")</f>
        <v>1924Z</v>
      </c>
      <c r="B1382" s="4" t="str">
        <f>IFERROR(__xludf.DUMMYFUNCTION("""COMPUTED_VALUE"""),"Valla señal. Gate Barrier 2 mtros Azul")</f>
        <v>Valla señal. Gate Barrier 2 mtros Azul</v>
      </c>
      <c r="C1382" s="4">
        <f>IFERROR(__xludf.DUMMYFUNCTION("""COMPUTED_VALUE"""),53.76)</f>
        <v>53.76</v>
      </c>
    </row>
    <row r="1383">
      <c r="A1383" s="4" t="str">
        <f>IFERROR(__xludf.DUMMYFUNCTION("""COMPUTED_VALUE"""),"1925")</f>
        <v>1925</v>
      </c>
      <c r="B1383" s="4" t="str">
        <f>IFERROR(__xludf.DUMMYFUNCTION("""COMPUTED_VALUE"""),"Placa salva-zanjas 120x80 Mod. Basic")</f>
        <v>Placa salva-zanjas 120x80 Mod. Basic</v>
      </c>
      <c r="C1383" s="4">
        <f>IFERROR(__xludf.DUMMYFUNCTION("""COMPUTED_VALUE"""),75.84)</f>
        <v>75.84</v>
      </c>
    </row>
    <row r="1384">
      <c r="A1384" s="4" t="str">
        <f>IFERROR(__xludf.DUMMYFUNCTION("""COMPUTED_VALUE"""),"1925B")</f>
        <v>1925B</v>
      </c>
      <c r="B1384" s="4" t="str">
        <f>IFERROR(__xludf.DUMMYFUNCTION("""COMPUTED_VALUE"""),"Placa salva-zanjas 120 x 80 antideslizante")</f>
        <v>Placa salva-zanjas 120 x 80 antideslizante</v>
      </c>
      <c r="C1384" s="4">
        <f>IFERROR(__xludf.DUMMYFUNCTION("""COMPUTED_VALUE"""),80.64)</f>
        <v>80.64</v>
      </c>
    </row>
    <row r="1385">
      <c r="A1385" s="4" t="str">
        <f>IFERROR(__xludf.DUMMYFUNCTION("""COMPUTED_VALUE"""),"1925C")</f>
        <v>1925C</v>
      </c>
      <c r="B1385" s="4" t="str">
        <f>IFERROR(__xludf.DUMMYFUNCTION("""COMPUTED_VALUE"""),"Placa salva-zanjas 120x160 antideslizante")</f>
        <v>Placa salva-zanjas 120x160 antideslizante</v>
      </c>
      <c r="C1385" s="4">
        <f>IFERROR(__xludf.DUMMYFUNCTION("""COMPUTED_VALUE"""),191.04)</f>
        <v>191.04</v>
      </c>
    </row>
    <row r="1386">
      <c r="A1386" s="4" t="str">
        <f>IFERROR(__xludf.DUMMYFUNCTION("""COMPUTED_VALUE"""),"1927A")</f>
        <v>1927A</v>
      </c>
      <c r="B1386" s="4" t="str">
        <f>IFERROR(__xludf.DUMMYFUNCTION("""COMPUTED_VALUE"""),"Valla señal. Gate Barrier 1 mt. Amarilla publicitaria")</f>
        <v>Valla señal. Gate Barrier 1 mt. Amarilla publicitaria</v>
      </c>
      <c r="C1386" s="4">
        <f>IFERROR(__xludf.DUMMYFUNCTION("""COMPUTED_VALUE"""),36.0)</f>
        <v>36</v>
      </c>
    </row>
    <row r="1387">
      <c r="A1387" s="4" t="str">
        <f>IFERROR(__xludf.DUMMYFUNCTION("""COMPUTED_VALUE"""),"1927B")</f>
        <v>1927B</v>
      </c>
      <c r="B1387" s="4" t="str">
        <f>IFERROR(__xludf.DUMMYFUNCTION("""COMPUTED_VALUE"""),"Valla señal. Gate Barrier 1 mt. Blanca publicitaria")</f>
        <v>Valla señal. Gate Barrier 1 mt. Blanca publicitaria</v>
      </c>
      <c r="C1387" s="4">
        <f>IFERROR(__xludf.DUMMYFUNCTION("""COMPUTED_VALUE"""),36.0)</f>
        <v>36</v>
      </c>
    </row>
    <row r="1388">
      <c r="A1388" s="4" t="str">
        <f>IFERROR(__xludf.DUMMYFUNCTION("""COMPUTED_VALUE"""),"1927N")</f>
        <v>1927N</v>
      </c>
      <c r="B1388" s="4" t="str">
        <f>IFERROR(__xludf.DUMMYFUNCTION("""COMPUTED_VALUE"""),"Valla señal. Gate Barrier 1 mt. Naranja publicitaria")</f>
        <v>Valla señal. Gate Barrier 1 mt. Naranja publicitaria</v>
      </c>
      <c r="C1388" s="4">
        <f>IFERROR(__xludf.DUMMYFUNCTION("""COMPUTED_VALUE"""),36.0)</f>
        <v>36</v>
      </c>
    </row>
    <row r="1389">
      <c r="A1389" s="4" t="str">
        <f>IFERROR(__xludf.DUMMYFUNCTION("""COMPUTED_VALUE"""),"1927Z")</f>
        <v>1927Z</v>
      </c>
      <c r="B1389" s="4" t="str">
        <f>IFERROR(__xludf.DUMMYFUNCTION("""COMPUTED_VALUE"""),"Valla señal. Gate Barrier 1 mt. Azul publicitaria")</f>
        <v>Valla señal. Gate Barrier 1 mt. Azul publicitaria</v>
      </c>
      <c r="C1389" s="4">
        <f>IFERROR(__xludf.DUMMYFUNCTION("""COMPUTED_VALUE"""),36.0)</f>
        <v>36</v>
      </c>
    </row>
    <row r="1390">
      <c r="A1390" s="4" t="str">
        <f>IFERROR(__xludf.DUMMYFUNCTION("""COMPUTED_VALUE"""),"1928A")</f>
        <v>1928A</v>
      </c>
      <c r="B1390" s="4" t="str">
        <f>IFERROR(__xludf.DUMMYFUNCTION("""COMPUTED_VALUE"""),"Valla GateBarrier Slim 2x1 Amarilla")</f>
        <v>Valla GateBarrier Slim 2x1 Amarilla</v>
      </c>
      <c r="C1390" s="4">
        <f>IFERROR(__xludf.DUMMYFUNCTION("""COMPUTED_VALUE"""),51.839999999999996)</f>
        <v>51.84</v>
      </c>
    </row>
    <row r="1391">
      <c r="A1391" s="4" t="str">
        <f>IFERROR(__xludf.DUMMYFUNCTION("""COMPUTED_VALUE"""),"1929A")</f>
        <v>1929A</v>
      </c>
      <c r="B1391" s="4" t="str">
        <f>IFERROR(__xludf.DUMMYFUNCTION("""COMPUTED_VALUE"""),"Valla 1 mt Gate barrier amarilla")</f>
        <v>Valla 1 mt Gate barrier amarilla</v>
      </c>
      <c r="C1391" s="4">
        <f>IFERROR(__xludf.DUMMYFUNCTION("""COMPUTED_VALUE"""),39.36)</f>
        <v>39.36</v>
      </c>
    </row>
    <row r="1392">
      <c r="A1392" s="4" t="str">
        <f>IFERROR(__xludf.DUMMYFUNCTION("""COMPUTED_VALUE"""),"1929B")</f>
        <v>1929B</v>
      </c>
      <c r="B1392" s="4" t="str">
        <f>IFERROR(__xludf.DUMMYFUNCTION("""COMPUTED_VALUE"""),"Valla 1 mt Gate Barrier Blanca")</f>
        <v>Valla 1 mt Gate Barrier Blanca</v>
      </c>
      <c r="C1392" s="4">
        <f>IFERROR(__xludf.DUMMYFUNCTION("""COMPUTED_VALUE"""),39.36)</f>
        <v>39.36</v>
      </c>
    </row>
    <row r="1393">
      <c r="A1393" s="4" t="str">
        <f>IFERROR(__xludf.DUMMYFUNCTION("""COMPUTED_VALUE"""),"1929N")</f>
        <v>1929N</v>
      </c>
      <c r="B1393" s="4" t="str">
        <f>IFERROR(__xludf.DUMMYFUNCTION("""COMPUTED_VALUE"""),"Valla 1 mt Gate barrier Naranja")</f>
        <v>Valla 1 mt Gate barrier Naranja</v>
      </c>
      <c r="C1393" s="4">
        <f>IFERROR(__xludf.DUMMYFUNCTION("""COMPUTED_VALUE"""),39.36)</f>
        <v>39.36</v>
      </c>
    </row>
    <row r="1394">
      <c r="A1394" s="4" t="str">
        <f>IFERROR(__xludf.DUMMYFUNCTION("""COMPUTED_VALUE"""),"1929Z")</f>
        <v>1929Z</v>
      </c>
      <c r="B1394" s="4" t="str">
        <f>IFERROR(__xludf.DUMMYFUNCTION("""COMPUTED_VALUE"""),"Valla 1 mt Gate barrier azul")</f>
        <v>Valla 1 mt Gate barrier azul</v>
      </c>
      <c r="C1394" s="4">
        <f>IFERROR(__xludf.DUMMYFUNCTION("""COMPUTED_VALUE"""),39.36)</f>
        <v>39.36</v>
      </c>
    </row>
    <row r="1395">
      <c r="A1395" s="4" t="str">
        <f>IFERROR(__xludf.DUMMYFUNCTION("""COMPUTED_VALUE"""),"1931")</f>
        <v>1931</v>
      </c>
      <c r="B1395" s="4" t="str">
        <f>IFERROR(__xludf.DUMMYFUNCTION("""COMPUTED_VALUE"""),"Reductor Velocidad 50x44x5 cm Mod. D negro")</f>
        <v>Reductor Velocidad 50x44x5 cm Mod. D negro</v>
      </c>
      <c r="C1395" s="4">
        <f>IFERROR(__xludf.DUMMYFUNCTION("""COMPUTED_VALUE"""),23.279999999999998)</f>
        <v>23.28</v>
      </c>
    </row>
    <row r="1396">
      <c r="A1396" s="4" t="str">
        <f>IFERROR(__xludf.DUMMYFUNCTION("""COMPUTED_VALUE"""),"1932")</f>
        <v>1932</v>
      </c>
      <c r="B1396" s="4" t="str">
        <f>IFERROR(__xludf.DUMMYFUNCTION("""COMPUTED_VALUE"""),"Reductor Velocidad 50x44X5cm Mod. D Amarillo")</f>
        <v>Reductor Velocidad 50x44X5cm Mod. D Amarillo</v>
      </c>
      <c r="C1396" s="4">
        <f>IFERROR(__xludf.DUMMYFUNCTION("""COMPUTED_VALUE"""),23.279999999999998)</f>
        <v>23.28</v>
      </c>
    </row>
    <row r="1397">
      <c r="A1397" s="4" t="str">
        <f>IFERROR(__xludf.DUMMYFUNCTION("""COMPUTED_VALUE"""),"1933")</f>
        <v>1933</v>
      </c>
      <c r="B1397" s="4" t="str">
        <f>IFERROR(__xludf.DUMMYFUNCTION("""COMPUTED_VALUE"""),"Extremo reductor velocidad 21x42.5x5 cm Mod. D Negro")</f>
        <v>Extremo reductor velocidad 21x42.5x5 cm Mod. D Negro</v>
      </c>
      <c r="C1397" s="4">
        <f>IFERROR(__xludf.DUMMYFUNCTION("""COMPUTED_VALUE"""),15.6)</f>
        <v>15.6</v>
      </c>
    </row>
    <row r="1398">
      <c r="A1398" s="4" t="str">
        <f>IFERROR(__xludf.DUMMYFUNCTION("""COMPUTED_VALUE"""),"1934")</f>
        <v>1934</v>
      </c>
      <c r="B1398" s="4" t="str">
        <f>IFERROR(__xludf.DUMMYFUNCTION("""COMPUTED_VALUE"""),"Extremo reductor velocidad 21x42.5x5 cm Mod. D Amarillo")</f>
        <v>Extremo reductor velocidad 21x42.5x5 cm Mod. D Amarillo</v>
      </c>
      <c r="C1398" s="4">
        <f>IFERROR(__xludf.DUMMYFUNCTION("""COMPUTED_VALUE"""),15.6)</f>
        <v>15.6</v>
      </c>
    </row>
    <row r="1399">
      <c r="A1399" s="4" t="str">
        <f>IFERROR(__xludf.DUMMYFUNCTION("""COMPUTED_VALUE"""),"1937")</f>
        <v>1937</v>
      </c>
      <c r="B1399" s="4" t="str">
        <f>IFERROR(__xludf.DUMMYFUNCTION("""COMPUTED_VALUE"""),"Valla Señal. Olimpic Barrier 2 m Naranja")</f>
        <v>Valla Señal. Olimpic Barrier 2 m Naranja</v>
      </c>
      <c r="C1399" s="4">
        <f>IFERROR(__xludf.DUMMYFUNCTION("""COMPUTED_VALUE"""),69.6)</f>
        <v>69.6</v>
      </c>
    </row>
    <row r="1400">
      <c r="A1400" s="4" t="str">
        <f>IFERROR(__xludf.DUMMYFUNCTION("""COMPUTED_VALUE"""),"1938")</f>
        <v>1938</v>
      </c>
      <c r="B1400" s="4" t="str">
        <f>IFERROR(__xludf.DUMMYFUNCTION("""COMPUTED_VALUE"""),"Valla Señal. Wonderwall Naranja COMPLETO 1000x1140x500")</f>
        <v>Valla Señal. Wonderwall Naranja COMPLETO 1000x1140x500</v>
      </c>
      <c r="C1400" s="4">
        <f>IFERROR(__xludf.DUMMYFUNCTION("""COMPUTED_VALUE"""),71.03999999999999)</f>
        <v>71.04</v>
      </c>
    </row>
    <row r="1401">
      <c r="A1401" s="4" t="str">
        <f>IFERROR(__xludf.DUMMYFUNCTION("""COMPUTED_VALUE"""),"1938B")</f>
        <v>1938B</v>
      </c>
      <c r="B1401" s="4" t="str">
        <f>IFERROR(__xludf.DUMMYFUNCTION("""COMPUTED_VALUE"""),"Valla Señal. Wonderwall Naranja BASE")</f>
        <v>Valla Señal. Wonderwall Naranja BASE</v>
      </c>
      <c r="C1401" s="4">
        <f>IFERROR(__xludf.DUMMYFUNCTION("""COMPUTED_VALUE"""),21.599999999999998)</f>
        <v>21.6</v>
      </c>
    </row>
    <row r="1402">
      <c r="A1402" s="4" t="str">
        <f>IFERROR(__xludf.DUMMYFUNCTION("""COMPUTED_VALUE"""),"1938T")</f>
        <v>1938T</v>
      </c>
      <c r="B1402" s="4" t="str">
        <f>IFERROR(__xludf.DUMMYFUNCTION("""COMPUTED_VALUE"""),"Valla Señal. Wonderwall Naranja TOP")</f>
        <v>Valla Señal. Wonderwall Naranja TOP</v>
      </c>
      <c r="C1402" s="4">
        <f>IFERROR(__xludf.DUMMYFUNCTION("""COMPUTED_VALUE"""),47.04)</f>
        <v>47.04</v>
      </c>
    </row>
    <row r="1403">
      <c r="A1403" s="4" t="str">
        <f>IFERROR(__xludf.DUMMYFUNCTION("""COMPUTED_VALUE"""),"1939B")</f>
        <v>1939B</v>
      </c>
      <c r="B1403" s="4" t="str">
        <f>IFERROR(__xludf.DUMMYFUNCTION("""COMPUTED_VALUE"""),"Barrera mediana Budda Barrier 800x1040x280 Blanca")</f>
        <v>Barrera mediana Budda Barrier 800x1040x280 Blanca</v>
      </c>
      <c r="C1403" s="4">
        <f>IFERROR(__xludf.DUMMYFUNCTION("""COMPUTED_VALUE"""),53.76)</f>
        <v>53.76</v>
      </c>
    </row>
    <row r="1404">
      <c r="A1404" s="4" t="str">
        <f>IFERROR(__xludf.DUMMYFUNCTION("""COMPUTED_VALUE"""),"1939R")</f>
        <v>1939R</v>
      </c>
      <c r="B1404" s="4" t="str">
        <f>IFERROR(__xludf.DUMMYFUNCTION("""COMPUTED_VALUE"""),"Barrera mediana Budda Barrier 800x1040x280 Roja")</f>
        <v>Barrera mediana Budda Barrier 800x1040x280 Roja</v>
      </c>
      <c r="C1404" s="4">
        <f>IFERROR(__xludf.DUMMYFUNCTION("""COMPUTED_VALUE"""),53.76)</f>
        <v>53.76</v>
      </c>
    </row>
    <row r="1405">
      <c r="A1405" s="4" t="str">
        <f>IFERROR(__xludf.DUMMYFUNCTION("""COMPUTED_VALUE"""),"1940B")</f>
        <v>1940B</v>
      </c>
      <c r="B1405" s="4" t="str">
        <f>IFERROR(__xludf.DUMMYFUNCTION("""COMPUTED_VALUE"""),"Mini Double top Valla 1115x535 mm blanca")</f>
        <v>Mini Double top Valla 1115x535 mm blanca</v>
      </c>
      <c r="C1405" s="4">
        <f>IFERROR(__xludf.DUMMYFUNCTION("""COMPUTED_VALUE"""),42.239999999999995)</f>
        <v>42.24</v>
      </c>
    </row>
    <row r="1406">
      <c r="A1406" s="4" t="str">
        <f>IFERROR(__xludf.DUMMYFUNCTION("""COMPUTED_VALUE"""),"1940R")</f>
        <v>1940R</v>
      </c>
      <c r="B1406" s="4" t="str">
        <f>IFERROR(__xludf.DUMMYFUNCTION("""COMPUTED_VALUE"""),"Mini Double top Valla 1115x535 mm roja")</f>
        <v>Mini Double top Valla 1115x535 mm roja</v>
      </c>
      <c r="C1406" s="4">
        <f>IFERROR(__xludf.DUMMYFUNCTION("""COMPUTED_VALUE"""),42.239999999999995)</f>
        <v>42.24</v>
      </c>
    </row>
    <row r="1407">
      <c r="A1407" s="4" t="str">
        <f>IFERROR(__xludf.DUMMYFUNCTION("""COMPUTED_VALUE"""),"1941B")</f>
        <v>1941B</v>
      </c>
      <c r="B1407" s="4" t="str">
        <f>IFERROR(__xludf.DUMMYFUNCTION("""COMPUTED_VALUE"""),"Double top Valla 1115x1000 mm blanca")</f>
        <v>Double top Valla 1115x1000 mm blanca</v>
      </c>
      <c r="C1407" s="4">
        <f>IFERROR(__xludf.DUMMYFUNCTION("""COMPUTED_VALUE"""),45.12)</f>
        <v>45.12</v>
      </c>
    </row>
    <row r="1408">
      <c r="A1408" s="4" t="str">
        <f>IFERROR(__xludf.DUMMYFUNCTION("""COMPUTED_VALUE"""),"1941R")</f>
        <v>1941R</v>
      </c>
      <c r="B1408" s="4" t="str">
        <f>IFERROR(__xludf.DUMMYFUNCTION("""COMPUTED_VALUE"""),"Double top Valla 1115x1000 mm roja")</f>
        <v>Double top Valla 1115x1000 mm roja</v>
      </c>
      <c r="C1408" s="4">
        <f>IFERROR(__xludf.DUMMYFUNCTION("""COMPUTED_VALUE"""),45.12)</f>
        <v>45.12</v>
      </c>
    </row>
    <row r="1409">
      <c r="A1409" s="4" t="str">
        <f>IFERROR(__xludf.DUMMYFUNCTION("""COMPUTED_VALUE"""),"1942A")</f>
        <v>1942A</v>
      </c>
      <c r="B1409" s="4" t="str">
        <f>IFERROR(__xludf.DUMMYFUNCTION("""COMPUTED_VALUE"""),"Valla señal.Slim Gate Barrier 2 mtros Amarilla")</f>
        <v>Valla señal.Slim Gate Barrier 2 mtros Amarilla</v>
      </c>
      <c r="C1409" s="4">
        <f>IFERROR(__xludf.DUMMYFUNCTION("""COMPUTED_VALUE"""),50.879999999999995)</f>
        <v>50.88</v>
      </c>
    </row>
    <row r="1410">
      <c r="A1410" s="4" t="str">
        <f>IFERROR(__xludf.DUMMYFUNCTION("""COMPUTED_VALUE"""),"1942B")</f>
        <v>1942B</v>
      </c>
      <c r="B1410" s="4" t="str">
        <f>IFERROR(__xludf.DUMMYFUNCTION("""COMPUTED_VALUE"""),"Valla señal.Slim Gate Barrier 2 mtros Blanco")</f>
        <v>Valla señal.Slim Gate Barrier 2 mtros Blanco</v>
      </c>
      <c r="C1410" s="4">
        <f>IFERROR(__xludf.DUMMYFUNCTION("""COMPUTED_VALUE"""),50.879999999999995)</f>
        <v>50.88</v>
      </c>
    </row>
    <row r="1411">
      <c r="A1411" s="4" t="str">
        <f>IFERROR(__xludf.DUMMYFUNCTION("""COMPUTED_VALUE"""),"1942N")</f>
        <v>1942N</v>
      </c>
      <c r="B1411" s="4" t="str">
        <f>IFERROR(__xludf.DUMMYFUNCTION("""COMPUTED_VALUE"""),"Valla señal.Slim Gate Barrier 2 mtros Naranja")</f>
        <v>Valla señal.Slim Gate Barrier 2 mtros Naranja</v>
      </c>
      <c r="C1411" s="4">
        <f>IFERROR(__xludf.DUMMYFUNCTION("""COMPUTED_VALUE"""),50.879999999999995)</f>
        <v>50.88</v>
      </c>
    </row>
    <row r="1412">
      <c r="A1412" s="4" t="str">
        <f>IFERROR(__xludf.DUMMYFUNCTION("""COMPUTED_VALUE"""),"1942Z")</f>
        <v>1942Z</v>
      </c>
      <c r="B1412" s="4" t="str">
        <f>IFERROR(__xludf.DUMMYFUNCTION("""COMPUTED_VALUE"""),"Valla señal.Slim Gate Barrier 2 mtros Azul")</f>
        <v>Valla señal.Slim Gate Barrier 2 mtros Azul</v>
      </c>
      <c r="C1412" s="4">
        <f>IFERROR(__xludf.DUMMYFUNCTION("""COMPUTED_VALUE"""),50.879999999999995)</f>
        <v>50.88</v>
      </c>
    </row>
    <row r="1413">
      <c r="A1413" s="4" t="str">
        <f>IFERROR(__xludf.DUMMYFUNCTION("""COMPUTED_VALUE"""),"2025")</f>
        <v>2025</v>
      </c>
      <c r="B1413" s="4" t="str">
        <f>IFERROR(__xludf.DUMMYFUNCTION("""COMPUTED_VALUE"""),"Desinfectante fungicida-bactericida 5 litros")</f>
        <v>Desinfectante fungicida-bactericida 5 litros</v>
      </c>
      <c r="C1413" s="4">
        <f>IFERROR(__xludf.DUMMYFUNCTION("""COMPUTED_VALUE"""),19.151999999999997)</f>
        <v>19.152</v>
      </c>
    </row>
    <row r="1414">
      <c r="A1414" s="4" t="str">
        <f>IFERROR(__xludf.DUMMYFUNCTION("""COMPUTED_VALUE"""),"2031")</f>
        <v>2031</v>
      </c>
      <c r="B1414" s="4" t="str">
        <f>IFERROR(__xludf.DUMMYFUNCTION("""COMPUTED_VALUE"""),"Tiralíneas grande Rolycord GM 100m x 1.5mm")</f>
        <v>Tiralíneas grande Rolycord GM 100m x 1.5mm</v>
      </c>
      <c r="C1414" s="4">
        <f>IFERROR(__xludf.DUMMYFUNCTION("""COMPUTED_VALUE"""),8.64)</f>
        <v>8.64</v>
      </c>
    </row>
    <row r="1415">
      <c r="A1415" s="4" t="str">
        <f>IFERROR(__xludf.DUMMYFUNCTION("""COMPUTED_VALUE"""),"2032")</f>
        <v>2032</v>
      </c>
      <c r="B1415" s="4" t="str">
        <f>IFERROR(__xludf.DUMMYFUNCTION("""COMPUTED_VALUE"""),"Tiralíneas Pequeño Rolycord 60m x 2 mmº")</f>
        <v>Tiralíneas Pequeño Rolycord 60m x 2 mmº</v>
      </c>
      <c r="C1415" s="4">
        <f>IFERROR(__xludf.DUMMYFUNCTION("""COMPUTED_VALUE"""),7.68)</f>
        <v>7.68</v>
      </c>
    </row>
    <row r="1416">
      <c r="A1416" s="4" t="str">
        <f>IFERROR(__xludf.DUMMYFUNCTION("""COMPUTED_VALUE"""),"2033")</f>
        <v>2033</v>
      </c>
      <c r="B1416" s="4" t="str">
        <f>IFERROR(__xludf.DUMMYFUNCTION("""COMPUTED_VALUE"""),"Lápiz bicolor Dúo Marker Rojo/azul (Display 100 uds)")</f>
        <v>Lápiz bicolor Dúo Marker Rojo/azul (Display 100 uds)</v>
      </c>
      <c r="C1416" s="4">
        <f>IFERROR(__xludf.DUMMYFUNCTION("""COMPUTED_VALUE"""),39.36)</f>
        <v>39.36</v>
      </c>
    </row>
    <row r="1417">
      <c r="A1417" s="4" t="str">
        <f>IFERROR(__xludf.DUMMYFUNCTION("""COMPUTED_VALUE"""),"2034A")</f>
        <v>2034A</v>
      </c>
      <c r="B1417" s="4" t="str">
        <f>IFERROR(__xludf.DUMMYFUNCTION("""COMPUTED_VALUE"""),"Tiza hexagonal 120 x12 mm Amarillo (12 uds)")</f>
        <v>Tiza hexagonal 120 x12 mm Amarillo (12 uds)</v>
      </c>
      <c r="C1417" s="4">
        <f>IFERROR(__xludf.DUMMYFUNCTION("""COMPUTED_VALUE"""),4.752)</f>
        <v>4.752</v>
      </c>
    </row>
    <row r="1418">
      <c r="A1418" s="4" t="str">
        <f>IFERROR(__xludf.DUMMYFUNCTION("""COMPUTED_VALUE"""),"2034B")</f>
        <v>2034B</v>
      </c>
      <c r="B1418" s="4" t="str">
        <f>IFERROR(__xludf.DUMMYFUNCTION("""COMPUTED_VALUE"""),"Tiza hexagonal 120 x12 mm blanco (12 uds)")</f>
        <v>Tiza hexagonal 120 x12 mm blanco (12 uds)</v>
      </c>
      <c r="C1418" s="4">
        <f>IFERROR(__xludf.DUMMYFUNCTION("""COMPUTED_VALUE"""),4.752)</f>
        <v>4.752</v>
      </c>
    </row>
    <row r="1419">
      <c r="A1419" s="4" t="str">
        <f>IFERROR(__xludf.DUMMYFUNCTION("""COMPUTED_VALUE"""),"2034N")</f>
        <v>2034N</v>
      </c>
      <c r="B1419" s="4" t="str">
        <f>IFERROR(__xludf.DUMMYFUNCTION("""COMPUTED_VALUE"""),"Tiza hexagonal 120 x12 mm Negro (12 uds)")</f>
        <v>Tiza hexagonal 120 x12 mm Negro (12 uds)</v>
      </c>
      <c r="C1419" s="4">
        <f>IFERROR(__xludf.DUMMYFUNCTION("""COMPUTED_VALUE"""),4.752)</f>
        <v>4.752</v>
      </c>
    </row>
    <row r="1420">
      <c r="A1420" s="4" t="str">
        <f>IFERROR(__xludf.DUMMYFUNCTION("""COMPUTED_VALUE"""),"2034R")</f>
        <v>2034R</v>
      </c>
      <c r="B1420" s="4" t="str">
        <f>IFERROR(__xludf.DUMMYFUNCTION("""COMPUTED_VALUE"""),"Tiza hexagonal 120 x12 mm Rojo (12 uds)")</f>
        <v>Tiza hexagonal 120 x12 mm Rojo (12 uds)</v>
      </c>
      <c r="C1420" s="4">
        <f>IFERROR(__xludf.DUMMYFUNCTION("""COMPUTED_VALUE"""),4.752)</f>
        <v>4.752</v>
      </c>
    </row>
    <row r="1421">
      <c r="A1421" s="4" t="str">
        <f>IFERROR(__xludf.DUMMYFUNCTION("""COMPUTED_VALUE"""),"2034V")</f>
        <v>2034V</v>
      </c>
      <c r="B1421" s="4" t="str">
        <f>IFERROR(__xludf.DUMMYFUNCTION("""COMPUTED_VALUE"""),"Tiza hexagonal 120 x12 mm Verde (12 uds)")</f>
        <v>Tiza hexagonal 120 x12 mm Verde (12 uds)</v>
      </c>
      <c r="C1421" s="4">
        <f>IFERROR(__xludf.DUMMYFUNCTION("""COMPUTED_VALUE"""),4.752)</f>
        <v>4.752</v>
      </c>
    </row>
    <row r="1422">
      <c r="A1422" s="4" t="str">
        <f>IFERROR(__xludf.DUMMYFUNCTION("""COMPUTED_VALUE"""),"2034Z")</f>
        <v>2034Z</v>
      </c>
      <c r="B1422" s="4" t="str">
        <f>IFERROR(__xludf.DUMMYFUNCTION("""COMPUTED_VALUE"""),"Tiza hexagonal 120 x12 mm Azul (12 uds)")</f>
        <v>Tiza hexagonal 120 x12 mm Azul (12 uds)</v>
      </c>
      <c r="C1422" s="4">
        <f>IFERROR(__xludf.DUMMYFUNCTION("""COMPUTED_VALUE"""),4.752)</f>
        <v>4.752</v>
      </c>
    </row>
    <row r="1423">
      <c r="A1423" s="4" t="str">
        <f>IFERROR(__xludf.DUMMYFUNCTION("""COMPUTED_VALUE"""),"2035")</f>
        <v>2035</v>
      </c>
      <c r="B1423" s="4" t="str">
        <f>IFERROR(__xludf.DUMMYFUNCTION("""COMPUTED_VALUE"""),"Caja Lapiceros carpintero 180 (144 unid)")</f>
        <v>Caja Lapiceros carpintero 180 (144 unid)</v>
      </c>
      <c r="C1423" s="4">
        <f>IFERROR(__xludf.DUMMYFUNCTION("""COMPUTED_VALUE"""),8.831999999999999)</f>
        <v>8.832</v>
      </c>
    </row>
    <row r="1424">
      <c r="A1424" s="4" t="str">
        <f>IFERROR(__xludf.DUMMYFUNCTION("""COMPUTED_VALUE"""),"2036")</f>
        <v>2036</v>
      </c>
      <c r="B1424" s="4" t="str">
        <f>IFERROR(__xludf.DUMMYFUNCTION("""COMPUTED_VALUE"""),"Lapiz Recargable Metalico")</f>
        <v>Lapiz Recargable Metalico</v>
      </c>
      <c r="C1424" s="4">
        <f>IFERROR(__xludf.DUMMYFUNCTION("""COMPUTED_VALUE"""),3.456)</f>
        <v>3.456</v>
      </c>
    </row>
    <row r="1425">
      <c r="A1425" s="4" t="str">
        <f>IFERROR(__xludf.DUMMYFUNCTION("""COMPUTED_VALUE"""),"2036E")</f>
        <v>2036E</v>
      </c>
      <c r="B1425" s="4" t="str">
        <f>IFERROR(__xludf.DUMMYFUNCTION("""COMPUTED_VALUE"""),"Caja lápiz carpintero Mod. Europe (100 uds)")</f>
        <v>Caja lápiz carpintero Mod. Europe (100 uds)</v>
      </c>
      <c r="C1425" s="4">
        <f>IFERROR(__xludf.DUMMYFUNCTION("""COMPUTED_VALUE"""),47.04)</f>
        <v>47.04</v>
      </c>
    </row>
    <row r="1426">
      <c r="A1426" s="4" t="str">
        <f>IFERROR(__xludf.DUMMYFUNCTION("""COMPUTED_VALUE"""),"2037")</f>
        <v>2037</v>
      </c>
      <c r="B1426" s="4" t="str">
        <f>IFERROR(__xludf.DUMMYFUNCTION("""COMPUTED_VALUE"""),"Recambio Lapiz Metalico (50 und)")</f>
        <v>Recambio Lapiz Metalico (50 und)</v>
      </c>
      <c r="C1426" s="4">
        <f>IFERROR(__xludf.DUMMYFUNCTION("""COMPUTED_VALUE"""),2.2704)</f>
        <v>2.2704</v>
      </c>
    </row>
    <row r="1427">
      <c r="A1427" s="4" t="str">
        <f>IFERROR(__xludf.DUMMYFUNCTION("""COMPUTED_VALUE"""),"2038")</f>
        <v>2038</v>
      </c>
      <c r="B1427" s="4" t="str">
        <f>IFERROR(__xludf.DUMMYFUNCTION("""COMPUTED_VALUE"""),"Tirolesa")</f>
        <v>Tirolesa</v>
      </c>
      <c r="C1427" s="4">
        <f>IFERROR(__xludf.DUMMYFUNCTION("""COMPUTED_VALUE"""),12.719999999999999)</f>
        <v>12.72</v>
      </c>
    </row>
    <row r="1428">
      <c r="A1428" s="4" t="str">
        <f>IFERROR(__xludf.DUMMYFUNCTION("""COMPUTED_VALUE"""),"2039")</f>
        <v>2039</v>
      </c>
      <c r="B1428" s="4" t="str">
        <f>IFERROR(__xludf.DUMMYFUNCTION("""COMPUTED_VALUE"""),"Octometro nueva generacion con mochila de transporte")</f>
        <v>Octometro nueva generacion con mochila de transporte</v>
      </c>
      <c r="C1428" s="4">
        <f>IFERROR(__xludf.DUMMYFUNCTION("""COMPUTED_VALUE"""),23.663999999999998)</f>
        <v>23.664</v>
      </c>
    </row>
    <row r="1429">
      <c r="A1429" s="4" t="str">
        <f>IFERROR(__xludf.DUMMYFUNCTION("""COMPUTED_VALUE"""),"2040")</f>
        <v>2040</v>
      </c>
      <c r="B1429" s="4" t="str">
        <f>IFERROR(__xludf.DUMMYFUNCTION("""COMPUTED_VALUE"""),"Bolsa encofrador polipiel 21x21 1 bolsillo")</f>
        <v>Bolsa encofrador polipiel 21x21 1 bolsillo</v>
      </c>
      <c r="C1429" s="4">
        <f>IFERROR(__xludf.DUMMYFUNCTION("""COMPUTED_VALUE"""),6.192)</f>
        <v>6.192</v>
      </c>
    </row>
    <row r="1430">
      <c r="A1430" s="4" t="str">
        <f>IFERROR(__xludf.DUMMYFUNCTION("""COMPUTED_VALUE"""),"2041")</f>
        <v>2041</v>
      </c>
      <c r="B1430" s="4" t="str">
        <f>IFERROR(__xludf.DUMMYFUNCTION("""COMPUTED_VALUE"""),"Display 12 tiralineas 15 m (línea eco) + 12 botes azulete 60 gr")</f>
        <v>Display 12 tiralineas 15 m (línea eco) + 12 botes azulete 60 gr</v>
      </c>
      <c r="C1430" s="4">
        <f>IFERROR(__xludf.DUMMYFUNCTION("""COMPUTED_VALUE"""),47.04)</f>
        <v>47.04</v>
      </c>
    </row>
    <row r="1431">
      <c r="A1431" s="4" t="str">
        <f>IFERROR(__xludf.DUMMYFUNCTION("""COMPUTED_VALUE"""),"2042")</f>
        <v>2042</v>
      </c>
      <c r="B1431" s="4" t="str">
        <f>IFERROR(__xludf.DUMMYFUNCTION("""COMPUTED_VALUE"""),"Display 3 tiralíneas 50 m y 3 botes azulete 1 kg")</f>
        <v>Display 3 tiralíneas 50 m y 3 botes azulete 1 kg</v>
      </c>
      <c r="C1431" s="4">
        <f>IFERROR(__xludf.DUMMYFUNCTION("""COMPUTED_VALUE"""),76.8)</f>
        <v>76.8</v>
      </c>
    </row>
    <row r="1432">
      <c r="A1432" s="4" t="str">
        <f>IFERROR(__xludf.DUMMYFUNCTION("""COMPUTED_VALUE"""),"2046")</f>
        <v>2046</v>
      </c>
      <c r="B1432" s="4" t="str">
        <f>IFERROR(__xludf.DUMMYFUNCTION("""COMPUTED_VALUE"""),"Tiralíneas Prático 30 mts con botella azulete")</f>
        <v>Tiralíneas Prático 30 mts con botella azulete</v>
      </c>
      <c r="C1432" s="4">
        <f>IFERROR(__xludf.DUMMYFUNCTION("""COMPUTED_VALUE"""),3.84)</f>
        <v>3.84</v>
      </c>
    </row>
    <row r="1433">
      <c r="A1433" s="4" t="str">
        <f>IFERROR(__xludf.DUMMYFUNCTION("""COMPUTED_VALUE"""),"2047")</f>
        <v>2047</v>
      </c>
      <c r="B1433" s="4" t="str">
        <f>IFERROR(__xludf.DUMMYFUNCTION("""COMPUTED_VALUE"""),"Aplicador cinta balizamiento")</f>
        <v>Aplicador cinta balizamiento</v>
      </c>
      <c r="C1433" s="4">
        <f>IFERROR(__xludf.DUMMYFUNCTION("""COMPUTED_VALUE"""),2.88)</f>
        <v>2.88</v>
      </c>
    </row>
    <row r="1434">
      <c r="A1434" s="4" t="str">
        <f>IFERROR(__xludf.DUMMYFUNCTION("""COMPUTED_VALUE"""),"2050")</f>
        <v>2050</v>
      </c>
      <c r="B1434" s="4" t="str">
        <f>IFERROR(__xludf.DUMMYFUNCTION("""COMPUTED_VALUE"""),"Toldo polietileno 2x3 verde 120 gr.")</f>
        <v>Toldo polietileno 2x3 verde 120 gr.</v>
      </c>
      <c r="C1434" s="4">
        <f>IFERROR(__xludf.DUMMYFUNCTION("""COMPUTED_VALUE"""),3.792)</f>
        <v>3.792</v>
      </c>
    </row>
    <row r="1435">
      <c r="A1435" s="4" t="str">
        <f>IFERROR(__xludf.DUMMYFUNCTION("""COMPUTED_VALUE"""),"2051")</f>
        <v>2051</v>
      </c>
      <c r="B1435" s="4" t="str">
        <f>IFERROR(__xludf.DUMMYFUNCTION("""COMPUTED_VALUE"""),"Toldo polietileno 3x4 verde 120 gr.")</f>
        <v>Toldo polietileno 3x4 verde 120 gr.</v>
      </c>
      <c r="C1435" s="4">
        <f>IFERROR(__xludf.DUMMYFUNCTION("""COMPUTED_VALUE"""),7.4399999999999995)</f>
        <v>7.44</v>
      </c>
    </row>
    <row r="1436">
      <c r="A1436" s="4" t="str">
        <f>IFERROR(__xludf.DUMMYFUNCTION("""COMPUTED_VALUE"""),"2052")</f>
        <v>2052</v>
      </c>
      <c r="B1436" s="4" t="str">
        <f>IFERROR(__xludf.DUMMYFUNCTION("""COMPUTED_VALUE"""),"Toldo polietileno 4x6 verde 120 gr.")</f>
        <v>Toldo polietileno 4x6 verde 120 gr.</v>
      </c>
      <c r="C1436" s="4">
        <f>IFERROR(__xludf.DUMMYFUNCTION("""COMPUTED_VALUE"""),13.344)</f>
        <v>13.344</v>
      </c>
    </row>
    <row r="1437">
      <c r="A1437" s="4" t="str">
        <f>IFERROR(__xludf.DUMMYFUNCTION("""COMPUTED_VALUE"""),"2053")</f>
        <v>2053</v>
      </c>
      <c r="B1437" s="4" t="str">
        <f>IFERROR(__xludf.DUMMYFUNCTION("""COMPUTED_VALUE"""),"Toldo polietileno 5x8 verde 120 gr.")</f>
        <v>Toldo polietileno 5x8 verde 120 gr.</v>
      </c>
      <c r="C1437" s="4">
        <f>IFERROR(__xludf.DUMMYFUNCTION("""COMPUTED_VALUE"""),23.52)</f>
        <v>23.52</v>
      </c>
    </row>
    <row r="1438">
      <c r="A1438" s="4" t="str">
        <f>IFERROR(__xludf.DUMMYFUNCTION("""COMPUTED_VALUE"""),"2054")</f>
        <v>2054</v>
      </c>
      <c r="B1438" s="4" t="str">
        <f>IFERROR(__xludf.DUMMYFUNCTION("""COMPUTED_VALUE"""),"Toldo polietileno 6x10 verde 120 gr.")</f>
        <v>Toldo polietileno 6x10 verde 120 gr.</v>
      </c>
      <c r="C1438" s="4">
        <f>IFERROR(__xludf.DUMMYFUNCTION("""COMPUTED_VALUE"""),31.2)</f>
        <v>31.2</v>
      </c>
    </row>
    <row r="1439">
      <c r="A1439" s="4" t="str">
        <f>IFERROR(__xludf.DUMMYFUNCTION("""COMPUTED_VALUE"""),"2058")</f>
        <v>2058</v>
      </c>
      <c r="B1439" s="4" t="str">
        <f>IFERROR(__xludf.DUMMYFUNCTION("""COMPUTED_VALUE"""),"Toldo polietileno 3x5 azul 80 gr")</f>
        <v>Toldo polietileno 3x5 azul 80 gr</v>
      </c>
      <c r="C1439" s="4">
        <f>IFERROR(__xludf.DUMMYFUNCTION("""COMPUTED_VALUE"""),5.952)</f>
        <v>5.952</v>
      </c>
    </row>
    <row r="1440">
      <c r="A1440" s="4" t="str">
        <f>IFERROR(__xludf.DUMMYFUNCTION("""COMPUTED_VALUE"""),"2059")</f>
        <v>2059</v>
      </c>
      <c r="B1440" s="4" t="str">
        <f>IFERROR(__xludf.DUMMYFUNCTION("""COMPUTED_VALUE"""),"Toldo polietileno 4x5 azul 80 gr")</f>
        <v>Toldo polietileno 4x5 azul 80 gr</v>
      </c>
      <c r="C1440" s="4">
        <f>IFERROR(__xludf.DUMMYFUNCTION("""COMPUTED_VALUE"""),10.08)</f>
        <v>10.08</v>
      </c>
    </row>
    <row r="1441">
      <c r="A1441" s="4" t="str">
        <f>IFERROR(__xludf.DUMMYFUNCTION("""COMPUTED_VALUE"""),"2060")</f>
        <v>2060</v>
      </c>
      <c r="B1441" s="4" t="str">
        <f>IFERROR(__xludf.DUMMYFUNCTION("""COMPUTED_VALUE"""),"Toldo polietileno 2x3 azul 80 gr.")</f>
        <v>Toldo polietileno 2x3 azul 80 gr.</v>
      </c>
      <c r="C1441" s="4">
        <f>IFERROR(__xludf.DUMMYFUNCTION("""COMPUTED_VALUE"""),2.6879999999999997)</f>
        <v>2.688</v>
      </c>
    </row>
    <row r="1442">
      <c r="A1442" s="4" t="str">
        <f>IFERROR(__xludf.DUMMYFUNCTION("""COMPUTED_VALUE"""),"2061")</f>
        <v>2061</v>
      </c>
      <c r="B1442" s="4" t="str">
        <f>IFERROR(__xludf.DUMMYFUNCTION("""COMPUTED_VALUE"""),"Toldo polietileno 3x4 azul 80 gr.")</f>
        <v>Toldo polietileno 3x4 azul 80 gr.</v>
      </c>
      <c r="C1442" s="4">
        <f>IFERROR(__xludf.DUMMYFUNCTION("""COMPUTED_VALUE"""),4.656)</f>
        <v>4.656</v>
      </c>
    </row>
    <row r="1443">
      <c r="A1443" s="4" t="str">
        <f>IFERROR(__xludf.DUMMYFUNCTION("""COMPUTED_VALUE"""),"2062")</f>
        <v>2062</v>
      </c>
      <c r="B1443" s="4" t="str">
        <f>IFERROR(__xludf.DUMMYFUNCTION("""COMPUTED_VALUE"""),"Toldo polietileno 4x6 azul 80 gr")</f>
        <v>Toldo polietileno 4x6 azul 80 gr</v>
      </c>
      <c r="C1443" s="4">
        <f>IFERROR(__xludf.DUMMYFUNCTION("""COMPUTED_VALUE"""),10.848)</f>
        <v>10.848</v>
      </c>
    </row>
    <row r="1444">
      <c r="A1444" s="4" t="str">
        <f>IFERROR(__xludf.DUMMYFUNCTION("""COMPUTED_VALUE"""),"2063")</f>
        <v>2063</v>
      </c>
      <c r="B1444" s="4" t="str">
        <f>IFERROR(__xludf.DUMMYFUNCTION("""COMPUTED_VALUE"""),"Toldo polietileno 5x8 azul 80 gr.")</f>
        <v>Toldo polietileno 5x8 azul 80 gr.</v>
      </c>
      <c r="C1444" s="4">
        <f>IFERROR(__xludf.DUMMYFUNCTION("""COMPUTED_VALUE"""),16.272)</f>
        <v>16.272</v>
      </c>
    </row>
    <row r="1445">
      <c r="A1445" s="4" t="str">
        <f>IFERROR(__xludf.DUMMYFUNCTION("""COMPUTED_VALUE"""),"2064")</f>
        <v>2064</v>
      </c>
      <c r="B1445" s="4" t="str">
        <f>IFERROR(__xludf.DUMMYFUNCTION("""COMPUTED_VALUE"""),"Toldo polietileno 6x10 azul 80 gr.")</f>
        <v>Toldo polietileno 6x10 azul 80 gr.</v>
      </c>
      <c r="C1445" s="4">
        <f>IFERROR(__xludf.DUMMYFUNCTION("""COMPUTED_VALUE"""),22.56)</f>
        <v>22.56</v>
      </c>
    </row>
    <row r="1446">
      <c r="A1446" s="4" t="str">
        <f>IFERROR(__xludf.DUMMYFUNCTION("""COMPUTED_VALUE"""),"2065")</f>
        <v>2065</v>
      </c>
      <c r="B1446" s="4" t="str">
        <f>IFERROR(__xludf.DUMMYFUNCTION("""COMPUTED_VALUE"""),"Toldo polietileno 8x12 azul 80 gr.")</f>
        <v>Toldo polietileno 8x12 azul 80 gr.</v>
      </c>
      <c r="C1446" s="4">
        <f>IFERROR(__xludf.DUMMYFUNCTION("""COMPUTED_VALUE"""),28.896)</f>
        <v>28.896</v>
      </c>
    </row>
    <row r="1447">
      <c r="A1447" s="4" t="str">
        <f>IFERROR(__xludf.DUMMYFUNCTION("""COMPUTED_VALUE"""),"2066")</f>
        <v>2066</v>
      </c>
      <c r="B1447" s="4" t="str">
        <f>IFERROR(__xludf.DUMMYFUNCTION("""COMPUTED_VALUE"""),"Toldo polietileno 10x15 azul 80 gr.")</f>
        <v>Toldo polietileno 10x15 azul 80 gr.</v>
      </c>
      <c r="C1447" s="4">
        <f>IFERROR(__xludf.DUMMYFUNCTION("""COMPUTED_VALUE"""),40.32)</f>
        <v>40.32</v>
      </c>
    </row>
    <row r="1448">
      <c r="A1448" s="4" t="str">
        <f>IFERROR(__xludf.DUMMYFUNCTION("""COMPUTED_VALUE"""),"2101")</f>
        <v>2101</v>
      </c>
      <c r="B1448" s="4" t="str">
        <f>IFERROR(__xludf.DUMMYFUNCTION("""COMPUTED_VALUE"""),"Baliza solar amarilla para cono")</f>
        <v>Baliza solar amarilla para cono</v>
      </c>
      <c r="C1448" s="4">
        <f>IFERROR(__xludf.DUMMYFUNCTION("""COMPUTED_VALUE"""),19.151999999999997)</f>
        <v>19.152</v>
      </c>
    </row>
    <row r="1449">
      <c r="A1449" s="4" t="str">
        <f>IFERROR(__xludf.DUMMYFUNCTION("""COMPUTED_VALUE"""),"2102")</f>
        <v>2102</v>
      </c>
      <c r="B1449" s="4" t="str">
        <f>IFERROR(__xludf.DUMMYFUNCTION("""COMPUTED_VALUE"""),"Baliza Solar Roja para cono")</f>
        <v>Baliza Solar Roja para cono</v>
      </c>
      <c r="C1449" s="4">
        <f>IFERROR(__xludf.DUMMYFUNCTION("""COMPUTED_VALUE"""),19.151999999999997)</f>
        <v>19.152</v>
      </c>
    </row>
    <row r="1450">
      <c r="A1450" s="4" t="str">
        <f>IFERROR(__xludf.DUMMYFUNCTION("""COMPUTED_VALUE"""),"2134")</f>
        <v>2134</v>
      </c>
      <c r="B1450" s="4" t="str">
        <f>IFERROR(__xludf.DUMMYFUNCTION("""COMPUTED_VALUE"""),"Tope parking Mod D 183 cm")</f>
        <v>Tope parking Mod D 183 cm</v>
      </c>
      <c r="C1450" s="4">
        <f>IFERROR(__xludf.DUMMYFUNCTION("""COMPUTED_VALUE"""),33.6864)</f>
        <v>33.6864</v>
      </c>
    </row>
    <row r="1451">
      <c r="A1451" s="4" t="str">
        <f>IFERROR(__xludf.DUMMYFUNCTION("""COMPUTED_VALUE"""),"2151")</f>
        <v>2151</v>
      </c>
      <c r="B1451" s="4" t="str">
        <f>IFERROR(__xludf.DUMMYFUNCTION("""COMPUTED_VALUE"""),"Separador Carril 75 cm + base")</f>
        <v>Separador Carril 75 cm + base</v>
      </c>
      <c r="C1451" s="4">
        <f>IFERROR(__xludf.DUMMYFUNCTION("""COMPUTED_VALUE"""),29.759999999999998)</f>
        <v>29.76</v>
      </c>
    </row>
    <row r="1452">
      <c r="A1452" s="4" t="str">
        <f>IFERROR(__xludf.DUMMYFUNCTION("""COMPUTED_VALUE"""),"2234")</f>
        <v>2234</v>
      </c>
      <c r="B1452" s="4" t="str">
        <f>IFERROR(__xludf.DUMMYFUNCTION("""COMPUTED_VALUE"""),"Botella azulete 1Kg. Extra")</f>
        <v>Botella azulete 1Kg. Extra</v>
      </c>
      <c r="C1452" s="4">
        <f>IFERROR(__xludf.DUMMYFUNCTION("""COMPUTED_VALUE"""),4.175999999999999)</f>
        <v>4.176</v>
      </c>
    </row>
    <row r="1453">
      <c r="A1453" s="4" t="str">
        <f>IFERROR(__xludf.DUMMYFUNCTION("""COMPUTED_VALUE"""),"2235")</f>
        <v>2235</v>
      </c>
      <c r="B1453" s="4" t="str">
        <f>IFERROR(__xludf.DUMMYFUNCTION("""COMPUTED_VALUE"""),"Botella azulete 1Kg. Super Extra")</f>
        <v>Botella azulete 1Kg. Super Extra</v>
      </c>
      <c r="C1453" s="4">
        <f>IFERROR(__xludf.DUMMYFUNCTION("""COMPUTED_VALUE"""),5.4719999999999995)</f>
        <v>5.472</v>
      </c>
    </row>
    <row r="1454">
      <c r="A1454" s="4" t="str">
        <f>IFERROR(__xludf.DUMMYFUNCTION("""COMPUTED_VALUE"""),"2236")</f>
        <v>2236</v>
      </c>
      <c r="B1454" s="4" t="str">
        <f>IFERROR(__xludf.DUMMYFUNCTION("""COMPUTED_VALUE"""),"Botella 200 gr. polvo fluo verde")</f>
        <v>Botella 200 gr. polvo fluo verde</v>
      </c>
      <c r="C1454" s="4">
        <f>IFERROR(__xludf.DUMMYFUNCTION("""COMPUTED_VALUE"""),3.6479999999999997)</f>
        <v>3.648</v>
      </c>
    </row>
    <row r="1455">
      <c r="A1455" s="4" t="str">
        <f>IFERROR(__xludf.DUMMYFUNCTION("""COMPUTED_VALUE"""),"2237")</f>
        <v>2237</v>
      </c>
      <c r="B1455" s="4" t="str">
        <f>IFERROR(__xludf.DUMMYFUNCTION("""COMPUTED_VALUE"""),"Botella 200 gr. polvo fluo naranja")</f>
        <v>Botella 200 gr. polvo fluo naranja</v>
      </c>
      <c r="C1455" s="4">
        <f>IFERROR(__xludf.DUMMYFUNCTION("""COMPUTED_VALUE"""),3.6479999999999997)</f>
        <v>3.648</v>
      </c>
    </row>
    <row r="1456">
      <c r="A1456" s="4" t="str">
        <f>IFERROR(__xludf.DUMMYFUNCTION("""COMPUTED_VALUE"""),"2238")</f>
        <v>2238</v>
      </c>
      <c r="B1456" s="4" t="str">
        <f>IFERROR(__xludf.DUMMYFUNCTION("""COMPUTED_VALUE"""),"Azulete Gaviota caja 1 Kg")</f>
        <v>Azulete Gaviota caja 1 Kg</v>
      </c>
      <c r="C1456" s="4">
        <f>IFERROR(__xludf.DUMMYFUNCTION("""COMPUTED_VALUE"""),15.36)</f>
        <v>15.36</v>
      </c>
    </row>
    <row r="1457">
      <c r="A1457" s="4" t="str">
        <f>IFERROR(__xludf.DUMMYFUNCTION("""COMPUTED_VALUE"""),"2240")</f>
        <v>2240</v>
      </c>
      <c r="B1457" s="4" t="str">
        <f>IFERROR(__xludf.DUMMYFUNCTION("""COMPUTED_VALUE"""),"Tiralíneas Gigante 50 Mts.")</f>
        <v>Tiralíneas Gigante 50 Mts.</v>
      </c>
      <c r="C1457" s="4">
        <f>IFERROR(__xludf.DUMMYFUNCTION("""COMPUTED_VALUE"""),31.919999999999998)</f>
        <v>31.92</v>
      </c>
    </row>
    <row r="1458">
      <c r="A1458" s="4" t="str">
        <f>IFERROR(__xludf.DUMMYFUNCTION("""COMPUTED_VALUE"""),"2241")</f>
        <v>2241</v>
      </c>
      <c r="B1458" s="4" t="str">
        <f>IFERROR(__xludf.DUMMYFUNCTION("""COMPUTED_VALUE"""),"Tiralíneas plastico 30 mt + botella polvo 100 gr")</f>
        <v>Tiralíneas plastico 30 mt + botella polvo 100 gr</v>
      </c>
      <c r="C1458" s="4">
        <f>IFERROR(__xludf.DUMMYFUNCTION("""COMPUTED_VALUE"""),3.12)</f>
        <v>3.12</v>
      </c>
    </row>
    <row r="1459">
      <c r="A1459" s="4" t="str">
        <f>IFERROR(__xludf.DUMMYFUNCTION("""COMPUTED_VALUE"""),"2242")</f>
        <v>2242</v>
      </c>
      <c r="B1459" s="4" t="str">
        <f>IFERROR(__xludf.DUMMYFUNCTION("""COMPUTED_VALUE"""),"Tiralíneas aluminio 30 Mts")</f>
        <v>Tiralíneas aluminio 30 Mts</v>
      </c>
      <c r="C1459" s="4">
        <f>IFERROR(__xludf.DUMMYFUNCTION("""COMPUTED_VALUE"""),3.456)</f>
        <v>3.456</v>
      </c>
    </row>
    <row r="1460">
      <c r="A1460" s="4" t="str">
        <f>IFERROR(__xludf.DUMMYFUNCTION("""COMPUTED_VALUE"""),"2244")</f>
        <v>2244</v>
      </c>
      <c r="B1460" s="4" t="str">
        <f>IFERROR(__xludf.DUMMYFUNCTION("""COMPUTED_VALUE"""),"Expositor 12 tiralineas Normo 30 metros + 12 botes polvo 100")</f>
        <v>Expositor 12 tiralineas Normo 30 metros + 12 botes polvo 100</v>
      </c>
      <c r="C1460" s="4">
        <f>IFERROR(__xludf.DUMMYFUNCTION("""COMPUTED_VALUE"""),47.424)</f>
        <v>47.424</v>
      </c>
    </row>
    <row r="1461">
      <c r="A1461" s="4" t="str">
        <f>IFERROR(__xludf.DUMMYFUNCTION("""COMPUTED_VALUE"""),"2245")</f>
        <v>2245</v>
      </c>
      <c r="B1461" s="4" t="str">
        <f>IFERROR(__xludf.DUMMYFUNCTION("""COMPUTED_VALUE"""),"Tiralineas Magnum 50 metros")</f>
        <v>Tiralineas Magnum 50 metros</v>
      </c>
      <c r="C1461" s="4">
        <f>IFERROR(__xludf.DUMMYFUNCTION("""COMPUTED_VALUE"""),32.256)</f>
        <v>32.256</v>
      </c>
    </row>
    <row r="1462">
      <c r="A1462" s="4" t="str">
        <f>IFERROR(__xludf.DUMMYFUNCTION("""COMPUTED_VALUE"""),"2413")</f>
        <v>2413</v>
      </c>
      <c r="B1462" s="4" t="str">
        <f>IFERROR(__xludf.DUMMYFUNCTION("""COMPUTED_VALUE"""),"Frotas esponja naranja g. GRUESO 280x140x20 (024PA)")</f>
        <v>Frotas esponja naranja g. GRUESO 280x140x20 (024PA)</v>
      </c>
      <c r="C1462" s="4">
        <f>IFERROR(__xludf.DUMMYFUNCTION("""COMPUTED_VALUE"""),6.24)</f>
        <v>6.24</v>
      </c>
    </row>
    <row r="1463">
      <c r="A1463" s="4" t="str">
        <f>IFERROR(__xludf.DUMMYFUNCTION("""COMPUTED_VALUE"""),"2414")</f>
        <v>2414</v>
      </c>
      <c r="B1463" s="4" t="str">
        <f>IFERROR(__xludf.DUMMYFUNCTION("""COMPUTED_VALUE"""),"Frotas esponja Azul 280x140x14 grano FINO (024PB)")</f>
        <v>Frotas esponja Azul 280x140x14 grano FINO (024PB)</v>
      </c>
      <c r="C1463" s="4">
        <f>IFERROR(__xludf.DUMMYFUNCTION("""COMPUTED_VALUE"""),5.712)</f>
        <v>5.712</v>
      </c>
    </row>
    <row r="1464">
      <c r="A1464" s="4" t="str">
        <f>IFERROR(__xludf.DUMMYFUNCTION("""COMPUTED_VALUE"""),"2507")</f>
        <v>2507</v>
      </c>
      <c r="B1464" s="4" t="str">
        <f>IFERROR(__xludf.DUMMYFUNCTION("""COMPUTED_VALUE"""),"Hito flexible Naranja 30 cm")</f>
        <v>Hito flexible Naranja 30 cm</v>
      </c>
      <c r="C1464" s="4">
        <f>IFERROR(__xludf.DUMMYFUNCTION("""COMPUTED_VALUE"""),7.584)</f>
        <v>7.584</v>
      </c>
    </row>
    <row r="1465">
      <c r="A1465" s="4" t="str">
        <f>IFERROR(__xludf.DUMMYFUNCTION("""COMPUTED_VALUE"""),"2518")</f>
        <v>2518</v>
      </c>
      <c r="B1465" s="4" t="str">
        <f>IFERROR(__xludf.DUMMYFUNCTION("""COMPUTED_VALUE"""),"Hito flexible Naranja 100 cm")</f>
        <v>Hito flexible Naranja 100 cm</v>
      </c>
      <c r="C1465" s="4">
        <f>IFERROR(__xludf.DUMMYFUNCTION("""COMPUTED_VALUE"""),15.36)</f>
        <v>15.36</v>
      </c>
    </row>
    <row r="1466">
      <c r="A1466" s="4" t="str">
        <f>IFERROR(__xludf.DUMMYFUNCTION("""COMPUTED_VALUE"""),"2519")</f>
        <v>2519</v>
      </c>
      <c r="B1466" s="4" t="str">
        <f>IFERROR(__xludf.DUMMYFUNCTION("""COMPUTED_VALUE"""),"Frotas esponja naranja grano medio 22x14 (018A)")</f>
        <v>Frotas esponja naranja grano medio 22x14 (018A)</v>
      </c>
      <c r="C1466" s="4">
        <f>IFERROR(__xludf.DUMMYFUNCTION("""COMPUTED_VALUE"""),4.704)</f>
        <v>4.704</v>
      </c>
    </row>
    <row r="1467">
      <c r="A1467" s="4" t="str">
        <f>IFERROR(__xludf.DUMMYFUNCTION("""COMPUTED_VALUE"""),"2520")</f>
        <v>2520</v>
      </c>
      <c r="B1467" s="4" t="str">
        <f>IFERROR(__xludf.DUMMYFUNCTION("""COMPUTED_VALUE"""),"Frotas esponja azul grano fino 22x14 (018B)")</f>
        <v>Frotas esponja azul grano fino 22x14 (018B)</v>
      </c>
      <c r="C1467" s="4">
        <f>IFERROR(__xludf.DUMMYFUNCTION("""COMPUTED_VALUE"""),4.704)</f>
        <v>4.704</v>
      </c>
    </row>
    <row r="1468">
      <c r="A1468" s="4" t="str">
        <f>IFERROR(__xludf.DUMMYFUNCTION("""COMPUTED_VALUE"""),"2530")</f>
        <v>2530</v>
      </c>
      <c r="B1468" s="4" t="str">
        <f>IFERROR(__xludf.DUMMYFUNCTION("""COMPUTED_VALUE"""),"Juego rodilleras alicatador")</f>
        <v>Juego rodilleras alicatador</v>
      </c>
      <c r="C1468" s="4">
        <f>IFERROR(__xludf.DUMMYFUNCTION("""COMPUTED_VALUE"""),4.608)</f>
        <v>4.608</v>
      </c>
    </row>
    <row r="1469">
      <c r="A1469" s="4" t="str">
        <f>IFERROR(__xludf.DUMMYFUNCTION("""COMPUTED_VALUE"""),"2575Z")</f>
        <v>2575Z</v>
      </c>
      <c r="B1469" s="4" t="str">
        <f>IFERROR(__xludf.DUMMYFUNCTION("""COMPUTED_VALUE"""),"Rollo cuerda azul trazadora de 100 mts")</f>
        <v>Rollo cuerda azul trazadora de 100 mts</v>
      </c>
      <c r="C1469" s="4">
        <f>IFERROR(__xludf.DUMMYFUNCTION("""COMPUTED_VALUE"""),2.5152)</f>
        <v>2.5152</v>
      </c>
    </row>
    <row r="1470">
      <c r="A1470" s="4" t="str">
        <f>IFERROR(__xludf.DUMMYFUNCTION("""COMPUTED_VALUE"""),"2601")</f>
        <v>2601</v>
      </c>
      <c r="B1470" s="4" t="str">
        <f>IFERROR(__xludf.DUMMYFUNCTION("""COMPUTED_VALUE"""),"Hito Direccion Obligatoria 85 cm")</f>
        <v>Hito Direccion Obligatoria 85 cm</v>
      </c>
      <c r="C1470" s="4">
        <f>IFERROR(__xludf.DUMMYFUNCTION("""COMPUTED_VALUE"""),21.84)</f>
        <v>21.84</v>
      </c>
    </row>
    <row r="1471">
      <c r="A1471" s="4" t="str">
        <f>IFERROR(__xludf.DUMMYFUNCTION("""COMPUTED_VALUE"""),"2601P")</f>
        <v>2601P</v>
      </c>
      <c r="B1471" s="4" t="str">
        <f>IFERROR(__xludf.DUMMYFUNCTION("""COMPUTED_VALUE"""),"Hito flexible personalizable")</f>
        <v>Hito flexible personalizable</v>
      </c>
      <c r="C1471" s="4">
        <f>IFERROR(__xludf.DUMMYFUNCTION("""COMPUTED_VALUE"""),23.279999999999998)</f>
        <v>23.28</v>
      </c>
    </row>
    <row r="1472">
      <c r="A1472" s="4" t="str">
        <f>IFERROR(__xludf.DUMMYFUNCTION("""COMPUTED_VALUE"""),"2674")</f>
        <v>2674</v>
      </c>
      <c r="B1472" s="4" t="str">
        <f>IFERROR(__xludf.DUMMYFUNCTION("""COMPUTED_VALUE"""),"Rollo cuerda blanca trazadora de 50 mts")</f>
        <v>Rollo cuerda blanca trazadora de 50 mts</v>
      </c>
      <c r="C1472" s="4">
        <f>IFERROR(__xludf.DUMMYFUNCTION("""COMPUTED_VALUE"""),1.2192)</f>
        <v>1.2192</v>
      </c>
    </row>
    <row r="1473">
      <c r="A1473" s="4" t="str">
        <f>IFERROR(__xludf.DUMMYFUNCTION("""COMPUTED_VALUE"""),"2674Z")</f>
        <v>2674Z</v>
      </c>
      <c r="B1473" s="4" t="str">
        <f>IFERROR(__xludf.DUMMYFUNCTION("""COMPUTED_VALUE"""),"Rollo cuerda azul trazadora de 50 mts")</f>
        <v>Rollo cuerda azul trazadora de 50 mts</v>
      </c>
      <c r="C1473" s="4">
        <f>IFERROR(__xludf.DUMMYFUNCTION("""COMPUTED_VALUE"""),1.2192)</f>
        <v>1.2192</v>
      </c>
    </row>
    <row r="1474">
      <c r="A1474" s="4" t="str">
        <f>IFERROR(__xludf.DUMMYFUNCTION("""COMPUTED_VALUE"""),"2675")</f>
        <v>2675</v>
      </c>
      <c r="B1474" s="4" t="str">
        <f>IFERROR(__xludf.DUMMYFUNCTION("""COMPUTED_VALUE"""),"Rollo cuerda blanca trazadora de 100 mts.")</f>
        <v>Rollo cuerda blanca trazadora de 100 mts.</v>
      </c>
      <c r="C1474" s="4">
        <f>IFERROR(__xludf.DUMMYFUNCTION("""COMPUTED_VALUE"""),2.5152)</f>
        <v>2.5152</v>
      </c>
    </row>
    <row r="1475">
      <c r="A1475" s="4" t="str">
        <f>IFERROR(__xludf.DUMMYFUNCTION("""COMPUTED_VALUE"""),"2675Z")</f>
        <v>2675Z</v>
      </c>
      <c r="B1475" s="4" t="str">
        <f>IFERROR(__xludf.DUMMYFUNCTION("""COMPUTED_VALUE"""),"Rollo cuerda azul trazadora de 100 mts")</f>
        <v>Rollo cuerda azul trazadora de 100 mts</v>
      </c>
      <c r="C1475" s="4">
        <f>IFERROR(__xludf.DUMMYFUNCTION("""COMPUTED_VALUE"""),2.5152)</f>
        <v>2.5152</v>
      </c>
    </row>
    <row r="1476">
      <c r="A1476" s="4" t="str">
        <f>IFERROR(__xludf.DUMMYFUNCTION("""COMPUTED_VALUE"""),"2676")</f>
        <v>2676</v>
      </c>
      <c r="B1476" s="4" t="str">
        <f>IFERROR(__xludf.DUMMYFUNCTION("""COMPUTED_VALUE"""),"Rollo cuerda blanca trazadora de 200 mts.")</f>
        <v>Rollo cuerda blanca trazadora de 200 mts.</v>
      </c>
      <c r="C1476" s="4">
        <f>IFERROR(__xludf.DUMMYFUNCTION("""COMPUTED_VALUE"""),4.4159999999999995)</f>
        <v>4.416</v>
      </c>
    </row>
    <row r="1477">
      <c r="A1477" s="4" t="str">
        <f>IFERROR(__xludf.DUMMYFUNCTION("""COMPUTED_VALUE"""),"2676Z")</f>
        <v>2676Z</v>
      </c>
      <c r="B1477" s="4" t="str">
        <f>IFERROR(__xludf.DUMMYFUNCTION("""COMPUTED_VALUE"""),"Rollo cuerda azul trazadora de 200 mts.")</f>
        <v>Rollo cuerda azul trazadora de 200 mts.</v>
      </c>
      <c r="C1477" s="4">
        <f>IFERROR(__xludf.DUMMYFUNCTION("""COMPUTED_VALUE"""),4.4159999999999995)</f>
        <v>4.416</v>
      </c>
    </row>
    <row r="1478">
      <c r="A1478" s="4" t="str">
        <f>IFERROR(__xludf.DUMMYFUNCTION("""COMPUTED_VALUE"""),"2677")</f>
        <v>2677</v>
      </c>
      <c r="B1478" s="4" t="str">
        <f>IFERROR(__xludf.DUMMYFUNCTION("""COMPUTED_VALUE"""),"Rollo cuerda blanca trazadora de 500 mts.")</f>
        <v>Rollo cuerda blanca trazadora de 500 mts.</v>
      </c>
      <c r="C1478" s="4">
        <f>IFERROR(__xludf.DUMMYFUNCTION("""COMPUTED_VALUE"""),12.115199999999998)</f>
        <v>12.1152</v>
      </c>
    </row>
    <row r="1479">
      <c r="A1479" s="4" t="str">
        <f>IFERROR(__xludf.DUMMYFUNCTION("""COMPUTED_VALUE"""),"2677Z")</f>
        <v>2677Z</v>
      </c>
      <c r="B1479" s="4" t="str">
        <f>IFERROR(__xludf.DUMMYFUNCTION("""COMPUTED_VALUE"""),"Rollo cuerda azul trazadora de 500 mts.")</f>
        <v>Rollo cuerda azul trazadora de 500 mts.</v>
      </c>
      <c r="C1479" s="4">
        <f>IFERROR(__xludf.DUMMYFUNCTION("""COMPUTED_VALUE"""),12.115199999999998)</f>
        <v>12.1152</v>
      </c>
    </row>
    <row r="1480">
      <c r="A1480" s="4" t="str">
        <f>IFERROR(__xludf.DUMMYFUNCTION("""COMPUTED_VALUE"""),"2700")</f>
        <v>2700</v>
      </c>
      <c r="B1480" s="4" t="str">
        <f>IFERROR(__xludf.DUMMYFUNCTION("""COMPUTED_VALUE"""),"Caldereta obra 15 L.")</f>
        <v>Caldereta obra 15 L.</v>
      </c>
      <c r="C1480" s="4">
        <f>IFERROR(__xludf.DUMMYFUNCTION("""COMPUTED_VALUE"""),2.4192)</f>
        <v>2.4192</v>
      </c>
    </row>
    <row r="1481">
      <c r="A1481" s="4" t="str">
        <f>IFERROR(__xludf.DUMMYFUNCTION("""COMPUTED_VALUE"""),"2701")</f>
        <v>2701</v>
      </c>
      <c r="B1481" s="4" t="str">
        <f>IFERROR(__xludf.DUMMYFUNCTION("""COMPUTED_VALUE"""),"Cubeta pintura azul 16 con rejilla")</f>
        <v>Cubeta pintura azul 16 con rejilla</v>
      </c>
      <c r="C1481" s="4">
        <f>IFERROR(__xludf.DUMMYFUNCTION("""COMPUTED_VALUE"""),2.976)</f>
        <v>2.976</v>
      </c>
    </row>
    <row r="1482">
      <c r="A1482" s="4" t="str">
        <f>IFERROR(__xludf.DUMMYFUNCTION("""COMPUTED_VALUE"""),"2701R")</f>
        <v>2701R</v>
      </c>
      <c r="B1482" s="4" t="str">
        <f>IFERROR(__xludf.DUMMYFUNCTION("""COMPUTED_VALUE"""),"Rejilla para cubeta pintura 16")</f>
        <v>Rejilla para cubeta pintura 16</v>
      </c>
      <c r="C1482" s="4">
        <f>IFERROR(__xludf.DUMMYFUNCTION("""COMPUTED_VALUE"""),0.576)</f>
        <v>0.576</v>
      </c>
    </row>
    <row r="1483">
      <c r="A1483" s="4" t="str">
        <f>IFERROR(__xludf.DUMMYFUNCTION("""COMPUTED_VALUE"""),"270222B")</f>
        <v>270222B</v>
      </c>
      <c r="B1483" s="4" t="str">
        <f>IFERROR(__xludf.DUMMYFUNCTION("""COMPUTED_VALUE"""),"Capazo de goma 22 l Blanco")</f>
        <v>Capazo de goma 22 l Blanco</v>
      </c>
      <c r="C1483" s="4">
        <f>IFERROR(__xludf.DUMMYFUNCTION("""COMPUTED_VALUE"""),1.8719999999999999)</f>
        <v>1.872</v>
      </c>
    </row>
    <row r="1484">
      <c r="A1484" s="4" t="str">
        <f>IFERROR(__xludf.DUMMYFUNCTION("""COMPUTED_VALUE"""),"270222N")</f>
        <v>270222N</v>
      </c>
      <c r="B1484" s="4" t="str">
        <f>IFERROR(__xludf.DUMMYFUNCTION("""COMPUTED_VALUE"""),"Capazo de goma 22 l Negro")</f>
        <v>Capazo de goma 22 l Negro</v>
      </c>
      <c r="C1484" s="4">
        <f>IFERROR(__xludf.DUMMYFUNCTION("""COMPUTED_VALUE"""),1.8719999999999999)</f>
        <v>1.872</v>
      </c>
    </row>
    <row r="1485">
      <c r="A1485" s="4" t="str">
        <f>IFERROR(__xludf.DUMMYFUNCTION("""COMPUTED_VALUE"""),"270222R")</f>
        <v>270222R</v>
      </c>
      <c r="B1485" s="4" t="str">
        <f>IFERROR(__xludf.DUMMYFUNCTION("""COMPUTED_VALUE"""),"Capazo de goma 22 l Rojo")</f>
        <v>Capazo de goma 22 l Rojo</v>
      </c>
      <c r="C1485" s="4">
        <f>IFERROR(__xludf.DUMMYFUNCTION("""COMPUTED_VALUE"""),1.8719999999999999)</f>
        <v>1.872</v>
      </c>
    </row>
    <row r="1486">
      <c r="A1486" s="4" t="str">
        <f>IFERROR(__xludf.DUMMYFUNCTION("""COMPUTED_VALUE"""),"270242B")</f>
        <v>270242B</v>
      </c>
      <c r="B1486" s="4" t="str">
        <f>IFERROR(__xludf.DUMMYFUNCTION("""COMPUTED_VALUE"""),"Capazo de goma 42 l Blanco")</f>
        <v>Capazo de goma 42 l Blanco</v>
      </c>
      <c r="C1486" s="4">
        <f>IFERROR(__xludf.DUMMYFUNCTION("""COMPUTED_VALUE"""),2.352)</f>
        <v>2.352</v>
      </c>
    </row>
    <row r="1487">
      <c r="A1487" s="4" t="str">
        <f>IFERROR(__xludf.DUMMYFUNCTION("""COMPUTED_VALUE"""),"270242N")</f>
        <v>270242N</v>
      </c>
      <c r="B1487" s="4" t="str">
        <f>IFERROR(__xludf.DUMMYFUNCTION("""COMPUTED_VALUE"""),"Capazo de goma 42 l Negro")</f>
        <v>Capazo de goma 42 l Negro</v>
      </c>
      <c r="C1487" s="4">
        <f>IFERROR(__xludf.DUMMYFUNCTION("""COMPUTED_VALUE"""),2.352)</f>
        <v>2.352</v>
      </c>
    </row>
    <row r="1488">
      <c r="A1488" s="4" t="str">
        <f>IFERROR(__xludf.DUMMYFUNCTION("""COMPUTED_VALUE"""),"270242R")</f>
        <v>270242R</v>
      </c>
      <c r="B1488" s="4" t="str">
        <f>IFERROR(__xludf.DUMMYFUNCTION("""COMPUTED_VALUE"""),"Capazo de goma 42 l Rojo")</f>
        <v>Capazo de goma 42 l Rojo</v>
      </c>
      <c r="C1488" s="4">
        <f>IFERROR(__xludf.DUMMYFUNCTION("""COMPUTED_VALUE"""),2.352)</f>
        <v>2.352</v>
      </c>
    </row>
    <row r="1489">
      <c r="A1489" s="4" t="str">
        <f>IFERROR(__xludf.DUMMYFUNCTION("""COMPUTED_VALUE"""),"270255B")</f>
        <v>270255B</v>
      </c>
      <c r="B1489" s="4" t="str">
        <f>IFERROR(__xludf.DUMMYFUNCTION("""COMPUTED_VALUE"""),"Capazo de goma 55 l Blanco")</f>
        <v>Capazo de goma 55 l Blanco</v>
      </c>
      <c r="C1489" s="4">
        <f>IFERROR(__xludf.DUMMYFUNCTION("""COMPUTED_VALUE"""),4.175999999999999)</f>
        <v>4.176</v>
      </c>
    </row>
    <row r="1490">
      <c r="A1490" s="4" t="str">
        <f>IFERROR(__xludf.DUMMYFUNCTION("""COMPUTED_VALUE"""),"270255N")</f>
        <v>270255N</v>
      </c>
      <c r="B1490" s="4" t="str">
        <f>IFERROR(__xludf.DUMMYFUNCTION("""COMPUTED_VALUE"""),"Capazo de goma 55 l Negro")</f>
        <v>Capazo de goma 55 l Negro</v>
      </c>
      <c r="C1490" s="4">
        <f>IFERROR(__xludf.DUMMYFUNCTION("""COMPUTED_VALUE"""),4.175999999999999)</f>
        <v>4.176</v>
      </c>
    </row>
    <row r="1491">
      <c r="A1491" s="4" t="str">
        <f>IFERROR(__xludf.DUMMYFUNCTION("""COMPUTED_VALUE"""),"270255R")</f>
        <v>270255R</v>
      </c>
      <c r="B1491" s="4" t="str">
        <f>IFERROR(__xludf.DUMMYFUNCTION("""COMPUTED_VALUE"""),"Capazo de goma 55 l Rojo")</f>
        <v>Capazo de goma 55 l Rojo</v>
      </c>
      <c r="C1491" s="4">
        <f>IFERROR(__xludf.DUMMYFUNCTION("""COMPUTED_VALUE"""),4.175999999999999)</f>
        <v>4.176</v>
      </c>
    </row>
    <row r="1492">
      <c r="A1492" s="4" t="str">
        <f>IFERROR(__xludf.DUMMYFUNCTION("""COMPUTED_VALUE"""),"2703")</f>
        <v>2703</v>
      </c>
      <c r="B1492" s="4" t="str">
        <f>IFERROR(__xludf.DUMMYFUNCTION("""COMPUTED_VALUE"""),"Cubre cable portatil 1 metro Mod. A")</f>
        <v>Cubre cable portatil 1 metro Mod. A</v>
      </c>
      <c r="C1492" s="4">
        <f>IFERROR(__xludf.DUMMYFUNCTION("""COMPUTED_VALUE"""),12.719999999999999)</f>
        <v>12.72</v>
      </c>
    </row>
    <row r="1493">
      <c r="A1493" s="4" t="str">
        <f>IFERROR(__xludf.DUMMYFUNCTION("""COMPUTED_VALUE"""),"2704")</f>
        <v>2704</v>
      </c>
      <c r="B1493" s="4" t="str">
        <f>IFERROR(__xludf.DUMMYFUNCTION("""COMPUTED_VALUE"""),"Cubre cable portatil 1 metro Mod. B")</f>
        <v>Cubre cable portatil 1 metro Mod. B</v>
      </c>
      <c r="C1493" s="4">
        <f>IFERROR(__xludf.DUMMYFUNCTION("""COMPUTED_VALUE"""),23.279999999999998)</f>
        <v>23.28</v>
      </c>
    </row>
    <row r="1494">
      <c r="A1494" s="4" t="str">
        <f>IFERROR(__xludf.DUMMYFUNCTION("""COMPUTED_VALUE"""),"2705")</f>
        <v>2705</v>
      </c>
      <c r="B1494" s="4" t="str">
        <f>IFERROR(__xludf.DUMMYFUNCTION("""COMPUTED_VALUE"""),"Cubre cable portatil 9 metros Mod. C")</f>
        <v>Cubre cable portatil 9 metros Mod. C</v>
      </c>
      <c r="C1494" s="4">
        <f>IFERROR(__xludf.DUMMYFUNCTION("""COMPUTED_VALUE"""),36.48)</f>
        <v>36.48</v>
      </c>
    </row>
    <row r="1495">
      <c r="A1495" s="4" t="str">
        <f>IFERROR(__xludf.DUMMYFUNCTION("""COMPUTED_VALUE"""),"2706")</f>
        <v>2706</v>
      </c>
      <c r="B1495" s="4" t="str">
        <f>IFERROR(__xludf.DUMMYFUNCTION("""COMPUTED_VALUE"""),"Cubo 12 L Reciclado")</f>
        <v>Cubo 12 L Reciclado</v>
      </c>
      <c r="C1495" s="4">
        <f>IFERROR(__xludf.DUMMYFUNCTION("""COMPUTED_VALUE"""),0.9984)</f>
        <v>0.9984</v>
      </c>
    </row>
    <row r="1496">
      <c r="A1496" s="4" t="str">
        <f>IFERROR(__xludf.DUMMYFUNCTION("""COMPUTED_VALUE"""),"2707")</f>
        <v>2707</v>
      </c>
      <c r="B1496" s="4" t="str">
        <f>IFERROR(__xludf.DUMMYFUNCTION("""COMPUTED_VALUE"""),"Cubo 6 L Reciclado")</f>
        <v>Cubo 6 L Reciclado</v>
      </c>
      <c r="C1496" s="4">
        <f>IFERROR(__xludf.DUMMYFUNCTION("""COMPUTED_VALUE"""),0.768)</f>
        <v>0.768</v>
      </c>
    </row>
    <row r="1497">
      <c r="A1497" s="4" t="str">
        <f>IFERROR(__xludf.DUMMYFUNCTION("""COMPUTED_VALUE"""),"2708")</f>
        <v>2708</v>
      </c>
      <c r="B1497" s="4" t="str">
        <f>IFERROR(__xludf.DUMMYFUNCTION("""COMPUTED_VALUE"""),"Cubo 8 L Reciclado")</f>
        <v>Cubo 8 L Reciclado</v>
      </c>
      <c r="C1497" s="4">
        <f>IFERROR(__xludf.DUMMYFUNCTION("""COMPUTED_VALUE"""),0.816)</f>
        <v>0.816</v>
      </c>
    </row>
    <row r="1498">
      <c r="A1498" s="4" t="str">
        <f>IFERROR(__xludf.DUMMYFUNCTION("""COMPUTED_VALUE"""),"2709")</f>
        <v>2709</v>
      </c>
      <c r="B1498" s="4" t="str">
        <f>IFERROR(__xludf.DUMMYFUNCTION("""COMPUTED_VALUE"""),"Embudo para Combustible Flexible")</f>
        <v>Embudo para Combustible Flexible</v>
      </c>
      <c r="C1498" s="4">
        <f>IFERROR(__xludf.DUMMYFUNCTION("""COMPUTED_VALUE"""),1.5647999999999997)</f>
        <v>1.5648</v>
      </c>
    </row>
    <row r="1499">
      <c r="A1499" s="4" t="str">
        <f>IFERROR(__xludf.DUMMYFUNCTION("""COMPUTED_VALUE"""),"2710")</f>
        <v>2710</v>
      </c>
      <c r="B1499" s="4" t="str">
        <f>IFERROR(__xludf.DUMMYFUNCTION("""COMPUTED_VALUE"""),"Esponja abrasiva Lija Grado Alto Set 3")</f>
        <v>Esponja abrasiva Lija Grado Alto Set 3</v>
      </c>
      <c r="C1499" s="4">
        <f>IFERROR(__xludf.DUMMYFUNCTION("""COMPUTED_VALUE"""),1.68)</f>
        <v>1.68</v>
      </c>
    </row>
    <row r="1500">
      <c r="A1500" s="4" t="str">
        <f>IFERROR(__xludf.DUMMYFUNCTION("""COMPUTED_VALUE"""),"2711")</f>
        <v>2711</v>
      </c>
      <c r="B1500" s="4" t="str">
        <f>IFERROR(__xludf.DUMMYFUNCTION("""COMPUTED_VALUE"""),"Esponja Abrasiva Lija Brado Bajo Set 3")</f>
        <v>Esponja Abrasiva Lija Brado Bajo Set 3</v>
      </c>
      <c r="C1500" s="4">
        <f>IFERROR(__xludf.DUMMYFUNCTION("""COMPUTED_VALUE"""),1.68)</f>
        <v>1.68</v>
      </c>
    </row>
    <row r="1501">
      <c r="A1501" s="4" t="str">
        <f>IFERROR(__xludf.DUMMYFUNCTION("""COMPUTED_VALUE"""),"2712")</f>
        <v>2712</v>
      </c>
      <c r="B1501" s="4" t="str">
        <f>IFERROR(__xludf.DUMMYFUNCTION("""COMPUTED_VALUE"""),"Esponja Abrasiva Lija Grado Medio Set 3")</f>
        <v>Esponja Abrasiva Lija Grado Medio Set 3</v>
      </c>
      <c r="C1501" s="4">
        <f>IFERROR(__xludf.DUMMYFUNCTION("""COMPUTED_VALUE"""),1.68)</f>
        <v>1.68</v>
      </c>
    </row>
    <row r="1502">
      <c r="A1502" s="4" t="str">
        <f>IFERROR(__xludf.DUMMYFUNCTION("""COMPUTED_VALUE"""),"2713")</f>
        <v>2713</v>
      </c>
      <c r="B1502" s="4" t="str">
        <f>IFERROR(__xludf.DUMMYFUNCTION("""COMPUTED_VALUE"""),"Esponja Abrasiva Lija Set 3")</f>
        <v>Esponja Abrasiva Lija Set 3</v>
      </c>
      <c r="C1502" s="4">
        <f>IFERROR(__xludf.DUMMYFUNCTION("""COMPUTED_VALUE"""),1.68)</f>
        <v>1.68</v>
      </c>
    </row>
    <row r="1503">
      <c r="A1503" s="4" t="str">
        <f>IFERROR(__xludf.DUMMYFUNCTION("""COMPUTED_VALUE"""),"2714")</f>
        <v>2714</v>
      </c>
      <c r="B1503" s="4" t="str">
        <f>IFERROR(__xludf.DUMMYFUNCTION("""COMPUTED_VALUE"""),"Garrafa Apta contacto Alimentario 20 L")</f>
        <v>Garrafa Apta contacto Alimentario 20 L</v>
      </c>
      <c r="C1503" s="4">
        <f>IFERROR(__xludf.DUMMYFUNCTION("""COMPUTED_VALUE"""),8.879999999999999)</f>
        <v>8.88</v>
      </c>
    </row>
    <row r="1504">
      <c r="A1504" s="4" t="str">
        <f>IFERROR(__xludf.DUMMYFUNCTION("""COMPUTED_VALUE"""),"2715")</f>
        <v>2715</v>
      </c>
      <c r="B1504" s="4" t="str">
        <f>IFERROR(__xludf.DUMMYFUNCTION("""COMPUTED_VALUE"""),"Paño microfibra profesional 35x40 cm Gris")</f>
        <v>Paño microfibra profesional 35x40 cm Gris</v>
      </c>
      <c r="C1504" s="4">
        <f>IFERROR(__xludf.DUMMYFUNCTION("""COMPUTED_VALUE"""),0.45119999999999993)</f>
        <v>0.4512</v>
      </c>
    </row>
    <row r="1505">
      <c r="A1505" s="4" t="str">
        <f>IFERROR(__xludf.DUMMYFUNCTION("""COMPUTED_VALUE"""),"2716")</f>
        <v>2716</v>
      </c>
      <c r="B1505" s="4" t="str">
        <f>IFERROR(__xludf.DUMMYFUNCTION("""COMPUTED_VALUE"""),"Rollo Fibra abrasiva 15 CM X 6 M")</f>
        <v>Rollo Fibra abrasiva 15 CM X 6 M</v>
      </c>
      <c r="C1505" s="4">
        <f>IFERROR(__xludf.DUMMYFUNCTION("""COMPUTED_VALUE"""),8.4)</f>
        <v>8.4</v>
      </c>
    </row>
    <row r="1506">
      <c r="A1506" s="4" t="str">
        <f>IFERROR(__xludf.DUMMYFUNCTION("""COMPUTED_VALUE"""),"2785")</f>
        <v>2785</v>
      </c>
      <c r="B1506" s="4" t="str">
        <f>IFERROR(__xludf.DUMMYFUNCTION("""COMPUTED_VALUE"""),"Rodillo de marcar de 180")</f>
        <v>Rodillo de marcar de 180</v>
      </c>
      <c r="C1506" s="4">
        <f>IFERROR(__xludf.DUMMYFUNCTION("""COMPUTED_VALUE"""),73.92)</f>
        <v>73.92</v>
      </c>
    </row>
    <row r="1507">
      <c r="A1507" s="4" t="str">
        <f>IFERROR(__xludf.DUMMYFUNCTION("""COMPUTED_VALUE"""),"2800")</f>
        <v>2800</v>
      </c>
      <c r="B1507" s="4" t="str">
        <f>IFERROR(__xludf.DUMMYFUNCTION("""COMPUTED_VALUE"""),"Señal complementaria TPU Triangular 380 mm Reflex 1")</f>
        <v>Señal complementaria TPU Triangular 380 mm Reflex 1</v>
      </c>
      <c r="C1507" s="4">
        <f>IFERROR(__xludf.DUMMYFUNCTION("""COMPUTED_VALUE"""),8.64)</f>
        <v>8.64</v>
      </c>
    </row>
    <row r="1508">
      <c r="A1508" s="4" t="str">
        <f>IFERROR(__xludf.DUMMYFUNCTION("""COMPUTED_VALUE"""),"2900")</f>
        <v>2900</v>
      </c>
      <c r="B1508" s="4" t="str">
        <f>IFERROR(__xludf.DUMMYFUNCTION("""COMPUTED_VALUE"""),"Señal complementaria TPU circular 285 mm Reflex 1")</f>
        <v>Señal complementaria TPU circular 285 mm Reflex 1</v>
      </c>
      <c r="C1508" s="4">
        <f>IFERROR(__xludf.DUMMYFUNCTION("""COMPUTED_VALUE"""),8.64)</f>
        <v>8.64</v>
      </c>
    </row>
    <row r="1509">
      <c r="A1509" s="4" t="str">
        <f>IFERROR(__xludf.DUMMYFUNCTION("""COMPUTED_VALUE"""),"2901")</f>
        <v>2901</v>
      </c>
      <c r="B1509" s="4" t="str">
        <f>IFERROR(__xludf.DUMMYFUNCTION("""COMPUTED_VALUE"""),"Clavo yesero 250")</f>
        <v>Clavo yesero 250</v>
      </c>
      <c r="C1509" s="4">
        <f>IFERROR(__xludf.DUMMYFUNCTION("""COMPUTED_VALUE"""),1.392)</f>
        <v>1.392</v>
      </c>
    </row>
    <row r="1510">
      <c r="A1510" s="4" t="str">
        <f>IFERROR(__xludf.DUMMYFUNCTION("""COMPUTED_VALUE"""),"2969")</f>
        <v>2969</v>
      </c>
      <c r="B1510" s="4" t="str">
        <f>IFERROR(__xludf.DUMMYFUNCTION("""COMPUTED_VALUE"""),"Mezclador b/viscosidad 80 m/m")</f>
        <v>Mezclador b/viscosidad 80 m/m</v>
      </c>
      <c r="C1510" s="4">
        <f>IFERROR(__xludf.DUMMYFUNCTION("""COMPUTED_VALUE"""),1.8239999999999998)</f>
        <v>1.824</v>
      </c>
    </row>
    <row r="1511">
      <c r="A1511" s="4" t="str">
        <f>IFERROR(__xludf.DUMMYFUNCTION("""COMPUTED_VALUE"""),"2971")</f>
        <v>2971</v>
      </c>
      <c r="B1511" s="4" t="str">
        <f>IFERROR(__xludf.DUMMYFUNCTION("""COMPUTED_VALUE"""),"Mezclador pintura de 100 m/m")</f>
        <v>Mezclador pintura de 100 m/m</v>
      </c>
      <c r="C1511" s="4">
        <f>IFERROR(__xludf.DUMMYFUNCTION("""COMPUTED_VALUE"""),2.112)</f>
        <v>2.112</v>
      </c>
    </row>
    <row r="1512">
      <c r="A1512" s="4" t="str">
        <f>IFERROR(__xludf.DUMMYFUNCTION("""COMPUTED_VALUE"""),"3015")</f>
        <v>3015</v>
      </c>
      <c r="B1512" s="4" t="str">
        <f>IFERROR(__xludf.DUMMYFUNCTION("""COMPUTED_VALUE"""),"Distanciador cuña 0-7 (200 unid)")</f>
        <v>Distanciador cuña 0-7 (200 unid)</v>
      </c>
      <c r="C1512" s="4">
        <f>IFERROR(__xludf.DUMMYFUNCTION("""COMPUTED_VALUE"""),1.3439999999999999)</f>
        <v>1.344</v>
      </c>
    </row>
    <row r="1513">
      <c r="A1513" s="4" t="str">
        <f>IFERROR(__xludf.DUMMYFUNCTION("""COMPUTED_VALUE"""),"3030")</f>
        <v>3030</v>
      </c>
      <c r="B1513" s="4" t="str">
        <f>IFERROR(__xludf.DUMMYFUNCTION("""COMPUTED_VALUE"""),"Separador CONDOR 20 m/m (1000 Unid)")</f>
        <v>Separador CONDOR 20 m/m (1000 Unid)</v>
      </c>
      <c r="C1513" s="4">
        <f>IFERROR(__xludf.DUMMYFUNCTION("""COMPUTED_VALUE"""),28.176000000000002)</f>
        <v>28.176</v>
      </c>
    </row>
    <row r="1514">
      <c r="A1514" s="4" t="str">
        <f>IFERROR(__xludf.DUMMYFUNCTION("""COMPUTED_VALUE"""),"3031")</f>
        <v>3031</v>
      </c>
      <c r="B1514" s="4" t="str">
        <f>IFERROR(__xludf.DUMMYFUNCTION("""COMPUTED_VALUE"""),"Separador CONDOR 40 m/m (500 Unid)")</f>
        <v>Separador CONDOR 40 m/m (500 Unid)</v>
      </c>
      <c r="C1514" s="4">
        <f>IFERROR(__xludf.DUMMYFUNCTION("""COMPUTED_VALUE"""),25.151999999999997)</f>
        <v>25.152</v>
      </c>
    </row>
    <row r="1515">
      <c r="A1515" s="4" t="str">
        <f>IFERROR(__xludf.DUMMYFUNCTION("""COMPUTED_VALUE"""),"3032")</f>
        <v>3032</v>
      </c>
      <c r="B1515" s="4" t="str">
        <f>IFERROR(__xludf.DUMMYFUNCTION("""COMPUTED_VALUE"""),"Separador Universal (1000 Unid)")</f>
        <v>Separador Universal (1000 Unid)</v>
      </c>
      <c r="C1515" s="4">
        <f>IFERROR(__xludf.DUMMYFUNCTION("""COMPUTED_VALUE"""),40.12799999999999)</f>
        <v>40.128</v>
      </c>
    </row>
    <row r="1516">
      <c r="A1516" s="4" t="str">
        <f>IFERROR(__xludf.DUMMYFUNCTION("""COMPUTED_VALUE"""),"3033")</f>
        <v>3033</v>
      </c>
      <c r="B1516" s="4" t="str">
        <f>IFERROR(__xludf.DUMMYFUNCTION("""COMPUTED_VALUE"""),"Cono c/tapa para Guardacuerpos")</f>
        <v>Cono c/tapa para Guardacuerpos</v>
      </c>
      <c r="C1516" s="4">
        <f>IFERROR(__xludf.DUMMYFUNCTION("""COMPUTED_VALUE"""),0.1248)</f>
        <v>0.1248</v>
      </c>
    </row>
    <row r="1517">
      <c r="A1517" s="4" t="str">
        <f>IFERROR(__xludf.DUMMYFUNCTION("""COMPUTED_VALUE"""),"3034")</f>
        <v>3034</v>
      </c>
      <c r="B1517" s="4" t="str">
        <f>IFERROR(__xludf.DUMMYFUNCTION("""COMPUTED_VALUE"""),"Base guardacuerpos cuadr.35x40 (150 und)")</f>
        <v>Base guardacuerpos cuadr.35x40 (150 und)</v>
      </c>
      <c r="C1517" s="4">
        <f>IFERROR(__xludf.DUMMYFUNCTION("""COMPUTED_VALUE"""),32.016)</f>
        <v>32.016</v>
      </c>
    </row>
    <row r="1518">
      <c r="A1518" s="4" t="str">
        <f>IFERROR(__xludf.DUMMYFUNCTION("""COMPUTED_VALUE"""),"3035")</f>
        <v>3035</v>
      </c>
      <c r="B1518" s="4" t="str">
        <f>IFERROR(__xludf.DUMMYFUNCTION("""COMPUTED_VALUE"""),"Separador CONDOR 30 m/m (1000 Unid)")</f>
        <v>Separador CONDOR 30 m/m (1000 Unid)</v>
      </c>
      <c r="C1518" s="4">
        <f>IFERROR(__xludf.DUMMYFUNCTION("""COMPUTED_VALUE"""),35.76)</f>
        <v>35.76</v>
      </c>
    </row>
    <row r="1519">
      <c r="A1519" s="4" t="str">
        <f>IFERROR(__xludf.DUMMYFUNCTION("""COMPUTED_VALUE"""),"3036")</f>
        <v>3036</v>
      </c>
      <c r="B1519" s="4" t="str">
        <f>IFERROR(__xludf.DUMMYFUNCTION("""COMPUTED_VALUE"""),"Base horca-pescante 60x40 ( 114 unid)")</f>
        <v>Base horca-pescante 60x40 ( 114 unid)</v>
      </c>
      <c r="C1519" s="4">
        <f>IFERROR(__xludf.DUMMYFUNCTION("""COMPUTED_VALUE"""),115.056)</f>
        <v>115.056</v>
      </c>
    </row>
    <row r="1520">
      <c r="A1520" s="4" t="str">
        <f>IFERROR(__xludf.DUMMYFUNCTION("""COMPUTED_VALUE"""),"3037")</f>
        <v>3037</v>
      </c>
      <c r="B1520" s="4" t="str">
        <f>IFERROR(__xludf.DUMMYFUNCTION("""COMPUTED_VALUE"""),"Base horca-pescante 60x60 ( 45 unid)")</f>
        <v>Base horca-pescante 60x60 ( 45 unid)</v>
      </c>
      <c r="C1520" s="4">
        <f>IFERROR(__xludf.DUMMYFUNCTION("""COMPUTED_VALUE"""),42.239999999999995)</f>
        <v>42.24</v>
      </c>
    </row>
    <row r="1521">
      <c r="A1521" s="4" t="str">
        <f>IFERROR(__xludf.DUMMYFUNCTION("""COMPUTED_VALUE"""),"3038")</f>
        <v>3038</v>
      </c>
      <c r="B1521" s="4" t="str">
        <f>IFERROR(__xludf.DUMMYFUNCTION("""COMPUTED_VALUE"""),"Separador CONDOR 50 m/m (500 Unid )")</f>
        <v>Separador CONDOR 50 m/m (500 Unid )</v>
      </c>
      <c r="C1521" s="4">
        <f>IFERROR(__xludf.DUMMYFUNCTION("""COMPUTED_VALUE"""),37.8)</f>
        <v>37.8</v>
      </c>
    </row>
    <row r="1522">
      <c r="A1522" s="4" t="str">
        <f>IFERROR(__xludf.DUMMYFUNCTION("""COMPUTED_VALUE"""),"3039")</f>
        <v>3039</v>
      </c>
      <c r="B1522" s="4" t="str">
        <f>IFERROR(__xludf.DUMMYFUNCTION("""COMPUTED_VALUE"""),"Seta protectora Varilla 12-20")</f>
        <v>Seta protectora Varilla 12-20</v>
      </c>
      <c r="C1522" s="4">
        <f>IFERROR(__xludf.DUMMYFUNCTION("""COMPUTED_VALUE"""),0.06720000000000001)</f>
        <v>0.0672</v>
      </c>
    </row>
    <row r="1523">
      <c r="A1523" s="4" t="str">
        <f>IFERROR(__xludf.DUMMYFUNCTION("""COMPUTED_VALUE"""),"3041")</f>
        <v>3041</v>
      </c>
      <c r="B1523" s="4" t="str">
        <f>IFERROR(__xludf.DUMMYFUNCTION("""COMPUTED_VALUE"""),"Seta protect. cuadrada 35x40 ( 100 unid )")</f>
        <v>Seta protect. cuadrada 35x40 ( 100 unid )</v>
      </c>
      <c r="C1523" s="4">
        <f>IFERROR(__xludf.DUMMYFUNCTION("""COMPUTED_VALUE"""),12.288)</f>
        <v>12.288</v>
      </c>
    </row>
    <row r="1524">
      <c r="A1524" s="4" t="str">
        <f>IFERROR(__xludf.DUMMYFUNCTION("""COMPUTED_VALUE"""),"3042")</f>
        <v>3042</v>
      </c>
      <c r="B1524" s="4" t="str">
        <f>IFERROR(__xludf.DUMMYFUNCTION("""COMPUTED_VALUE"""),"Setón protector varilla 24-40 ( 200 unid )")</f>
        <v>Setón protector varilla 24-40 ( 200 unid )</v>
      </c>
      <c r="C1524" s="4">
        <f>IFERROR(__xludf.DUMMYFUNCTION("""COMPUTED_VALUE"""),32.16)</f>
        <v>32.16</v>
      </c>
    </row>
    <row r="1525">
      <c r="A1525" s="4" t="str">
        <f>IFERROR(__xludf.DUMMYFUNCTION("""COMPUTED_VALUE"""),"3043")</f>
        <v>3043</v>
      </c>
      <c r="B1525" s="4" t="str">
        <f>IFERROR(__xludf.DUMMYFUNCTION("""COMPUTED_VALUE"""),"Seta protectora c/ refuerzo interior (100 unid)")</f>
        <v>Seta protectora c/ refuerzo interior (100 unid)</v>
      </c>
      <c r="C1525" s="4">
        <f>IFERROR(__xludf.DUMMYFUNCTION("""COMPUTED_VALUE"""),19.151999999999997)</f>
        <v>19.152</v>
      </c>
    </row>
    <row r="1526">
      <c r="A1526" s="4" t="str">
        <f>IFERROR(__xludf.DUMMYFUNCTION("""COMPUTED_VALUE"""),"3100")</f>
        <v>3100</v>
      </c>
      <c r="B1526" s="4" t="str">
        <f>IFERROR(__xludf.DUMMYFUNCTION("""COMPUTED_VALUE"""),"Junta de dilatación 4 cm M.Lineal")</f>
        <v>Junta de dilatación 4 cm M.Lineal</v>
      </c>
      <c r="C1526" s="4">
        <f>IFERROR(__xludf.DUMMYFUNCTION("""COMPUTED_VALUE"""),0.8448)</f>
        <v>0.8448</v>
      </c>
    </row>
    <row r="1527">
      <c r="A1527" s="4" t="str">
        <f>IFERROR(__xludf.DUMMYFUNCTION("""COMPUTED_VALUE"""),"3101")</f>
        <v>3101</v>
      </c>
      <c r="B1527" s="4" t="str">
        <f>IFERROR(__xludf.DUMMYFUNCTION("""COMPUTED_VALUE"""),"Junta de dilatación 8 cm M.Lineal")</f>
        <v>Junta de dilatación 8 cm M.Lineal</v>
      </c>
      <c r="C1527" s="4">
        <f>IFERROR(__xludf.DUMMYFUNCTION("""COMPUTED_VALUE"""),1.152)</f>
        <v>1.152</v>
      </c>
    </row>
    <row r="1528">
      <c r="A1528" s="4" t="str">
        <f>IFERROR(__xludf.DUMMYFUNCTION("""COMPUTED_VALUE"""),"3102")</f>
        <v>3102</v>
      </c>
      <c r="B1528" s="4" t="str">
        <f>IFERROR(__xludf.DUMMYFUNCTION("""COMPUTED_VALUE"""),"Conexión para cadena y cinta poste ref 1136")</f>
        <v>Conexión para cadena y cinta poste ref 1136</v>
      </c>
      <c r="C1528" s="4">
        <f>IFERROR(__xludf.DUMMYFUNCTION("""COMPUTED_VALUE"""),1.3439999999999999)</f>
        <v>1.344</v>
      </c>
    </row>
    <row r="1529">
      <c r="A1529" s="4" t="str">
        <f>IFERROR(__xludf.DUMMYFUNCTION("""COMPUTED_VALUE"""),"3103")</f>
        <v>3103</v>
      </c>
      <c r="B1529" s="4" t="str">
        <f>IFERROR(__xludf.DUMMYFUNCTION("""COMPUTED_VALUE"""),"Conexion para hito 0588 a señales TPU")</f>
        <v>Conexion para hito 0588 a señales TPU</v>
      </c>
      <c r="C1529" s="4">
        <f>IFERROR(__xludf.DUMMYFUNCTION("""COMPUTED_VALUE"""),2.88)</f>
        <v>2.88</v>
      </c>
    </row>
    <row r="1530">
      <c r="A1530" s="4" t="str">
        <f>IFERROR(__xludf.DUMMYFUNCTION("""COMPUTED_VALUE"""),"3105")</f>
        <v>3105</v>
      </c>
      <c r="B1530" s="4" t="str">
        <f>IFERROR(__xludf.DUMMYFUNCTION("""COMPUTED_VALUE"""),"Tornillo y taco para reductor velocidad")</f>
        <v>Tornillo y taco para reductor velocidad</v>
      </c>
      <c r="C1530" s="4">
        <f>IFERROR(__xludf.DUMMYFUNCTION("""COMPUTED_VALUE"""),0.45119999999999993)</f>
        <v>0.4512</v>
      </c>
    </row>
    <row r="1531">
      <c r="A1531" s="4" t="str">
        <f>IFERROR(__xludf.DUMMYFUNCTION("""COMPUTED_VALUE"""),"3112")</f>
        <v>3112</v>
      </c>
      <c r="B1531" s="4" t="str">
        <f>IFERROR(__xludf.DUMMYFUNCTION("""COMPUTED_VALUE"""),"Conexión para conos")</f>
        <v>Conexión para conos</v>
      </c>
      <c r="C1531" s="4">
        <f>IFERROR(__xludf.DUMMYFUNCTION("""COMPUTED_VALUE"""),5.76)</f>
        <v>5.76</v>
      </c>
    </row>
    <row r="1532">
      <c r="A1532" s="4" t="str">
        <f>IFERROR(__xludf.DUMMYFUNCTION("""COMPUTED_VALUE"""),"3250")</f>
        <v>3250</v>
      </c>
      <c r="B1532" s="4" t="str">
        <f>IFERROR(__xludf.DUMMYFUNCTION("""COMPUTED_VALUE"""),"Mts. Guardavivo yeso")</f>
        <v>Mts. Guardavivo yeso</v>
      </c>
      <c r="C1532" s="4">
        <f>IFERROR(__xludf.DUMMYFUNCTION("""COMPUTED_VALUE"""),0.39359999999999995)</f>
        <v>0.3936</v>
      </c>
    </row>
    <row r="1533">
      <c r="A1533" s="4" t="str">
        <f>IFERROR(__xludf.DUMMYFUNCTION("""COMPUTED_VALUE"""),"3251")</f>
        <v>3251</v>
      </c>
      <c r="B1533" s="4" t="str">
        <f>IFERROR(__xludf.DUMMYFUNCTION("""COMPUTED_VALUE"""),"Mts. Guardacantos c/blanco")</f>
        <v>Mts. Guardacantos c/blanco</v>
      </c>
      <c r="C1533" s="4">
        <f>IFERROR(__xludf.DUMMYFUNCTION("""COMPUTED_VALUE"""),0.4128)</f>
        <v>0.4128</v>
      </c>
    </row>
    <row r="1534">
      <c r="A1534" s="4" t="str">
        <f>IFERROR(__xludf.DUMMYFUNCTION("""COMPUTED_VALUE"""),"3252")</f>
        <v>3252</v>
      </c>
      <c r="B1534" s="4" t="str">
        <f>IFERROR(__xludf.DUMMYFUNCTION("""COMPUTED_VALUE"""),"Mts. Guardacantos c/ marfil")</f>
        <v>Mts. Guardacantos c/ marfil</v>
      </c>
      <c r="C1534" s="4">
        <f>IFERROR(__xludf.DUMMYFUNCTION("""COMPUTED_VALUE"""),0.4128)</f>
        <v>0.4128</v>
      </c>
    </row>
    <row r="1535">
      <c r="A1535" s="4" t="str">
        <f>IFERROR(__xludf.DUMMYFUNCTION("""COMPUTED_VALUE"""),"3253")</f>
        <v>3253</v>
      </c>
      <c r="B1535" s="4" t="str">
        <f>IFERROR(__xludf.DUMMYFUNCTION("""COMPUTED_VALUE"""),"Mts. Guardacantos c/gris")</f>
        <v>Mts. Guardacantos c/gris</v>
      </c>
      <c r="C1535" s="4">
        <f>IFERROR(__xludf.DUMMYFUNCTION("""COMPUTED_VALUE"""),0.4128)</f>
        <v>0.4128</v>
      </c>
    </row>
    <row r="1536">
      <c r="A1536" s="4" t="str">
        <f>IFERROR(__xludf.DUMMYFUNCTION("""COMPUTED_VALUE"""),"3254")</f>
        <v>3254</v>
      </c>
      <c r="B1536" s="4" t="str">
        <f>IFERROR(__xludf.DUMMYFUNCTION("""COMPUTED_VALUE"""),"Mts. Junquillo PVC para monocapa")</f>
        <v>Mts. Junquillo PVC para monocapa</v>
      </c>
      <c r="C1536" s="4">
        <f>IFERROR(__xludf.DUMMYFUNCTION("""COMPUTED_VALUE"""),0.3168)</f>
        <v>0.3168</v>
      </c>
    </row>
    <row r="1537">
      <c r="A1537" s="4" t="str">
        <f>IFERROR(__xludf.DUMMYFUNCTION("""COMPUTED_VALUE"""),"3256")</f>
        <v>3256</v>
      </c>
      <c r="B1537" s="4" t="str">
        <f>IFERROR(__xludf.DUMMYFUNCTION("""COMPUTED_VALUE"""),"Mts. Guardavivo monocapa punta fina")</f>
        <v>Mts. Guardavivo monocapa punta fina</v>
      </c>
      <c r="C1537" s="4">
        <f>IFERROR(__xludf.DUMMYFUNCTION("""COMPUTED_VALUE"""),0.3648)</f>
        <v>0.3648</v>
      </c>
    </row>
    <row r="1538">
      <c r="A1538" s="4" t="str">
        <f>IFERROR(__xludf.DUMMYFUNCTION("""COMPUTED_VALUE"""),"3300")</f>
        <v>3300</v>
      </c>
      <c r="B1538" s="4" t="str">
        <f>IFERROR(__xludf.DUMMYFUNCTION("""COMPUTED_VALUE"""),"Mt.Tubo encofrado 22/26- ( En 3 mts)")</f>
        <v>Mt.Tubo encofrado 22/26- ( En 3 mts)</v>
      </c>
      <c r="C1538" s="4">
        <f>IFERROR(__xludf.DUMMYFUNCTION("""COMPUTED_VALUE"""),0.432)</f>
        <v>0.432</v>
      </c>
    </row>
    <row r="1539">
      <c r="A1539" s="4" t="str">
        <f>IFERROR(__xludf.DUMMYFUNCTION("""COMPUTED_VALUE"""),"3301")</f>
        <v>3301</v>
      </c>
      <c r="B1539" s="4" t="str">
        <f>IFERROR(__xludf.DUMMYFUNCTION("""COMPUTED_VALUE"""),"Mt.Tubo encofrado 22/26 -( En 2 mts)")</f>
        <v>Mt.Tubo encofrado 22/26 -( En 2 mts)</v>
      </c>
      <c r="C1539" s="4">
        <f>IFERROR(__xludf.DUMMYFUNCTION("""COMPUTED_VALUE"""),0.432)</f>
        <v>0.432</v>
      </c>
    </row>
    <row r="1540">
      <c r="A1540" s="4" t="str">
        <f>IFERROR(__xludf.DUMMYFUNCTION("""COMPUTED_VALUE"""),"3302")</f>
        <v>3302</v>
      </c>
      <c r="B1540" s="4" t="str">
        <f>IFERROR(__xludf.DUMMYFUNCTION("""COMPUTED_VALUE"""),"Mt Tubo encofrado 26/30- ( En 2 mts)")</f>
        <v>Mt Tubo encofrado 26/30- ( En 2 mts)</v>
      </c>
      <c r="C1540" s="4">
        <f>IFERROR(__xludf.DUMMYFUNCTION("""COMPUTED_VALUE"""),0.528)</f>
        <v>0.528</v>
      </c>
    </row>
    <row r="1541">
      <c r="A1541" s="4" t="str">
        <f>IFERROR(__xludf.DUMMYFUNCTION("""COMPUTED_VALUE"""),"3303")</f>
        <v>3303</v>
      </c>
      <c r="B1541" s="4" t="str">
        <f>IFERROR(__xludf.DUMMYFUNCTION("""COMPUTED_VALUE"""),"Mts. Berengeno Pequeño 27,2mm Base x 20mm Alt.")</f>
        <v>Mts. Berengeno Pequeño 27,2mm Base x 20mm Alt.</v>
      </c>
      <c r="C1541" s="4">
        <f>IFERROR(__xludf.DUMMYFUNCTION("""COMPUTED_VALUE"""),0.39359999999999995)</f>
        <v>0.3936</v>
      </c>
    </row>
    <row r="1542">
      <c r="A1542" s="4" t="str">
        <f>IFERROR(__xludf.DUMMYFUNCTION("""COMPUTED_VALUE"""),"3304")</f>
        <v>3304</v>
      </c>
      <c r="B1542" s="4" t="str">
        <f>IFERROR(__xludf.DUMMYFUNCTION("""COMPUTED_VALUE"""),"Mts. Berengeno Mediano 34mm Base x 25mm Alt.")</f>
        <v>Mts. Berengeno Mediano 34mm Base x 25mm Alt.</v>
      </c>
      <c r="C1542" s="4">
        <f>IFERROR(__xludf.DUMMYFUNCTION("""COMPUTED_VALUE"""),0.5088)</f>
        <v>0.5088</v>
      </c>
    </row>
    <row r="1543">
      <c r="A1543" s="4" t="str">
        <f>IFERROR(__xludf.DUMMYFUNCTION("""COMPUTED_VALUE"""),"3305")</f>
        <v>3305</v>
      </c>
      <c r="B1543" s="4" t="str">
        <f>IFERROR(__xludf.DUMMYFUNCTION("""COMPUTED_VALUE"""),"Mts. Berengeno Grande 41mm Base x 30mm Alt,")</f>
        <v>Mts. Berengeno Grande 41mm Base x 30mm Alt,</v>
      </c>
      <c r="C1543" s="4">
        <f>IFERROR(__xludf.DUMMYFUNCTION("""COMPUTED_VALUE"""),0.5663999999999999)</f>
        <v>0.5664</v>
      </c>
    </row>
    <row r="1544">
      <c r="A1544" s="4" t="str">
        <f>IFERROR(__xludf.DUMMYFUNCTION("""COMPUTED_VALUE"""),"3306")</f>
        <v>3306</v>
      </c>
      <c r="B1544" s="4" t="str">
        <f>IFERROR(__xludf.DUMMYFUNCTION("""COMPUTED_VALUE"""),"Tubo ETUBAX 20 cm")</f>
        <v>Tubo ETUBAX 20 cm</v>
      </c>
      <c r="C1544" s="4">
        <f>IFERROR(__xludf.DUMMYFUNCTION("""COMPUTED_VALUE"""),0.2784)</f>
        <v>0.2784</v>
      </c>
    </row>
    <row r="1545">
      <c r="A1545" s="4" t="str">
        <f>IFERROR(__xludf.DUMMYFUNCTION("""COMPUTED_VALUE"""),"3307")</f>
        <v>3307</v>
      </c>
      <c r="B1545" s="4" t="str">
        <f>IFERROR(__xludf.DUMMYFUNCTION("""COMPUTED_VALUE"""),"Tubo ETUBAX 25 cm")</f>
        <v>Tubo ETUBAX 25 cm</v>
      </c>
      <c r="C1545" s="4">
        <f>IFERROR(__xludf.DUMMYFUNCTION("""COMPUTED_VALUE"""),0.2976)</f>
        <v>0.2976</v>
      </c>
    </row>
    <row r="1546">
      <c r="A1546" s="4" t="str">
        <f>IFERROR(__xludf.DUMMYFUNCTION("""COMPUTED_VALUE"""),"3308")</f>
        <v>3308</v>
      </c>
      <c r="B1546" s="4" t="str">
        <f>IFERROR(__xludf.DUMMYFUNCTION("""COMPUTED_VALUE"""),"Tubo ETUBAX 30 cm")</f>
        <v>Tubo ETUBAX 30 cm</v>
      </c>
      <c r="C1546" s="4">
        <f>IFERROR(__xludf.DUMMYFUNCTION("""COMPUTED_VALUE"""),0.3648)</f>
        <v>0.3648</v>
      </c>
    </row>
    <row r="1547">
      <c r="A1547" s="4" t="str">
        <f>IFERROR(__xludf.DUMMYFUNCTION("""COMPUTED_VALUE"""),"3309")</f>
        <v>3309</v>
      </c>
      <c r="B1547" s="4" t="str">
        <f>IFERROR(__xludf.DUMMYFUNCTION("""COMPUTED_VALUE"""),"Tubo ETUBAX 35 cm")</f>
        <v>Tubo ETUBAX 35 cm</v>
      </c>
      <c r="C1547" s="4">
        <f>IFERROR(__xludf.DUMMYFUNCTION("""COMPUTED_VALUE"""),0.3648)</f>
        <v>0.3648</v>
      </c>
    </row>
    <row r="1548">
      <c r="A1548" s="4" t="str">
        <f>IFERROR(__xludf.DUMMYFUNCTION("""COMPUTED_VALUE"""),"3310")</f>
        <v>3310</v>
      </c>
      <c r="B1548" s="4" t="str">
        <f>IFERROR(__xludf.DUMMYFUNCTION("""COMPUTED_VALUE"""),"Tubo ETUBAX 40 cm")</f>
        <v>Tubo ETUBAX 40 cm</v>
      </c>
      <c r="C1548" s="4">
        <f>IFERROR(__xludf.DUMMYFUNCTION("""COMPUTED_VALUE"""),0.4416)</f>
        <v>0.4416</v>
      </c>
    </row>
    <row r="1549">
      <c r="A1549" s="4" t="str">
        <f>IFERROR(__xludf.DUMMYFUNCTION("""COMPUTED_VALUE"""),"3315")</f>
        <v>3315</v>
      </c>
      <c r="B1549" s="4" t="str">
        <f>IFERROR(__xludf.DUMMYFUNCTION("""COMPUTED_VALUE"""),"Mts. Berengeno Mini 17,2mm Base x 12,5 mm Alt.")</f>
        <v>Mts. Berengeno Mini 17,2mm Base x 12,5 mm Alt.</v>
      </c>
      <c r="C1549" s="4">
        <f>IFERROR(__xludf.DUMMYFUNCTION("""COMPUTED_VALUE"""),0.3168)</f>
        <v>0.3168</v>
      </c>
    </row>
    <row r="1550">
      <c r="A1550" s="4" t="str">
        <f>IFERROR(__xludf.DUMMYFUNCTION("""COMPUTED_VALUE"""),"3370")</f>
        <v>3370</v>
      </c>
      <c r="B1550" s="4" t="str">
        <f>IFERROR(__xludf.DUMMYFUNCTION("""COMPUTED_VALUE"""),"Separador rueda 25 m/m (1000 Unid)")</f>
        <v>Separador rueda 25 m/m (1000 Unid)</v>
      </c>
      <c r="C1550" s="4">
        <f>IFERROR(__xludf.DUMMYFUNCTION("""COMPUTED_VALUE"""),26.784)</f>
        <v>26.784</v>
      </c>
    </row>
    <row r="1551">
      <c r="A1551" s="4" t="str">
        <f>IFERROR(__xludf.DUMMYFUNCTION("""COMPUTED_VALUE"""),"3371")</f>
        <v>3371</v>
      </c>
      <c r="B1551" s="4" t="str">
        <f>IFERROR(__xludf.DUMMYFUNCTION("""COMPUTED_VALUE"""),"Separador rueda 30 m/m (1000 Unid)")</f>
        <v>Separador rueda 30 m/m (1000 Unid)</v>
      </c>
      <c r="C1551" s="4">
        <f>IFERROR(__xludf.DUMMYFUNCTION("""COMPUTED_VALUE"""),28.752)</f>
        <v>28.752</v>
      </c>
    </row>
    <row r="1552">
      <c r="A1552" s="4" t="str">
        <f>IFERROR(__xludf.DUMMYFUNCTION("""COMPUTED_VALUE"""),"3372")</f>
        <v>3372</v>
      </c>
      <c r="B1552" s="4" t="str">
        <f>IFERROR(__xludf.DUMMYFUNCTION("""COMPUTED_VALUE"""),"Separador rueda 35 m/m (500 Unid)")</f>
        <v>Separador rueda 35 m/m (500 Unid)</v>
      </c>
      <c r="C1552" s="4">
        <f>IFERROR(__xludf.DUMMYFUNCTION("""COMPUTED_VALUE"""),22.56)</f>
        <v>22.56</v>
      </c>
    </row>
    <row r="1553">
      <c r="A1553" s="4" t="str">
        <f>IFERROR(__xludf.DUMMYFUNCTION("""COMPUTED_VALUE"""),"3373")</f>
        <v>3373</v>
      </c>
      <c r="B1553" s="4" t="str">
        <f>IFERROR(__xludf.DUMMYFUNCTION("""COMPUTED_VALUE"""),"Separador rueda 40 m/m (500 Unid)")</f>
        <v>Separador rueda 40 m/m (500 Unid)</v>
      </c>
      <c r="C1553" s="4">
        <f>IFERROR(__xludf.DUMMYFUNCTION("""COMPUTED_VALUE"""),28.08)</f>
        <v>28.08</v>
      </c>
    </row>
    <row r="1554">
      <c r="A1554" s="4" t="str">
        <f>IFERROR(__xludf.DUMMYFUNCTION("""COMPUTED_VALUE"""),"3374")</f>
        <v>3374</v>
      </c>
      <c r="B1554" s="4" t="str">
        <f>IFERROR(__xludf.DUMMYFUNCTION("""COMPUTED_VALUE"""),"Separador rueda 50 m/m (250 Unid)")</f>
        <v>Separador rueda 50 m/m (250 Unid)</v>
      </c>
      <c r="C1554" s="4">
        <f>IFERROR(__xludf.DUMMYFUNCTION("""COMPUTED_VALUE"""),25.68)</f>
        <v>25.68</v>
      </c>
    </row>
    <row r="1555">
      <c r="A1555" s="4" t="str">
        <f>IFERROR(__xludf.DUMMYFUNCTION("""COMPUTED_VALUE"""),"3376")</f>
        <v>3376</v>
      </c>
      <c r="B1555" s="4" t="str">
        <f>IFERROR(__xludf.DUMMYFUNCTION("""COMPUTED_VALUE"""),"Separador rueda 70 m/m ( 150 unid )")</f>
        <v>Separador rueda 70 m/m ( 150 unid )</v>
      </c>
      <c r="C1555" s="4">
        <f>IFERROR(__xludf.DUMMYFUNCTION("""COMPUTED_VALUE"""),26.64)</f>
        <v>26.64</v>
      </c>
    </row>
    <row r="1556">
      <c r="A1556" s="4" t="str">
        <f>IFERROR(__xludf.DUMMYFUNCTION("""COMPUTED_VALUE"""),"3390")</f>
        <v>3390</v>
      </c>
      <c r="B1556" s="4" t="str">
        <f>IFERROR(__xludf.DUMMYFUNCTION("""COMPUTED_VALUE"""),"Cono standard tubo de 26 mm (1000 unid )")</f>
        <v>Cono standard tubo de 26 mm (1000 unid )</v>
      </c>
      <c r="C1556" s="4">
        <f>IFERROR(__xludf.DUMMYFUNCTION("""COMPUTED_VALUE"""),52.876799999999996)</f>
        <v>52.8768</v>
      </c>
    </row>
    <row r="1557">
      <c r="A1557" s="4" t="str">
        <f>IFERROR(__xludf.DUMMYFUNCTION("""COMPUTED_VALUE"""),"3391")</f>
        <v>3391</v>
      </c>
      <c r="B1557" s="4" t="str">
        <f>IFERROR(__xludf.DUMMYFUNCTION("""COMPUTED_VALUE"""),"Cono para tubo 22/26 bolsa 1000 uds")</f>
        <v>Cono para tubo 22/26 bolsa 1000 uds</v>
      </c>
      <c r="C1557" s="4">
        <f>IFERROR(__xludf.DUMMYFUNCTION("""COMPUTED_VALUE"""),17.28)</f>
        <v>17.28</v>
      </c>
    </row>
    <row r="1558">
      <c r="A1558" s="4" t="str">
        <f>IFERROR(__xludf.DUMMYFUNCTION("""COMPUTED_VALUE"""),"3392")</f>
        <v>3392</v>
      </c>
      <c r="B1558" s="4" t="str">
        <f>IFERROR(__xludf.DUMMYFUNCTION("""COMPUTED_VALUE"""),"Cono liso para tubo 22 mm ( 500 unid )")</f>
        <v>Cono liso para tubo 22 mm ( 500 unid )</v>
      </c>
      <c r="C1558" s="4">
        <f>IFERROR(__xludf.DUMMYFUNCTION("""COMPUTED_VALUE"""),13.584)</f>
        <v>13.584</v>
      </c>
    </row>
    <row r="1559">
      <c r="A1559" s="4" t="str">
        <f>IFERROR(__xludf.DUMMYFUNCTION("""COMPUTED_VALUE"""),"3393")</f>
        <v>3393</v>
      </c>
      <c r="B1559" s="4" t="str">
        <f>IFERROR(__xludf.DUMMYFUNCTION("""COMPUTED_VALUE"""),"Tapón para cono liso (500 und)")</f>
        <v>Tapón para cono liso (500 und)</v>
      </c>
      <c r="C1559" s="4">
        <f>IFERROR(__xludf.DUMMYFUNCTION("""COMPUTED_VALUE"""),10.08)</f>
        <v>10.08</v>
      </c>
    </row>
    <row r="1560">
      <c r="A1560" s="4" t="str">
        <f>IFERROR(__xludf.DUMMYFUNCTION("""COMPUTED_VALUE"""),"3394")</f>
        <v>3394</v>
      </c>
      <c r="B1560" s="4" t="str">
        <f>IFERROR(__xludf.DUMMYFUNCTION("""COMPUTED_VALUE"""),"Tapon estanco 4 aletas tubo 22 (500 unid)")</f>
        <v>Tapon estanco 4 aletas tubo 22 (500 unid)</v>
      </c>
      <c r="C1560" s="4">
        <f>IFERROR(__xludf.DUMMYFUNCTION("""COMPUTED_VALUE"""),16.608)</f>
        <v>16.608</v>
      </c>
    </row>
    <row r="1561">
      <c r="A1561" s="4" t="str">
        <f>IFERROR(__xludf.DUMMYFUNCTION("""COMPUTED_VALUE"""),"3396")</f>
        <v>3396</v>
      </c>
      <c r="B1561" s="4" t="str">
        <f>IFERROR(__xludf.DUMMYFUNCTION("""COMPUTED_VALUE"""),"Tapón standard tubo 22 m/m (1000 Uni)")</f>
        <v>Tapón standard tubo 22 m/m (1000 Uni)</v>
      </c>
      <c r="C1561" s="4">
        <f>IFERROR(__xludf.DUMMYFUNCTION("""COMPUTED_VALUE"""),13.584)</f>
        <v>13.584</v>
      </c>
    </row>
    <row r="1562">
      <c r="A1562" s="4" t="str">
        <f>IFERROR(__xludf.DUMMYFUNCTION("""COMPUTED_VALUE"""),"3397")</f>
        <v>3397</v>
      </c>
      <c r="B1562" s="4" t="str">
        <f>IFERROR(__xludf.DUMMYFUNCTION("""COMPUTED_VALUE"""),"Tapón standard tubo 26 m/m 1000 unid)")</f>
        <v>Tapón standard tubo 26 m/m 1000 unid)</v>
      </c>
      <c r="C1562" s="4">
        <f>IFERROR(__xludf.DUMMYFUNCTION("""COMPUTED_VALUE"""),32.256)</f>
        <v>32.256</v>
      </c>
    </row>
    <row r="1563">
      <c r="A1563" s="4" t="str">
        <f>IFERROR(__xludf.DUMMYFUNCTION("""COMPUTED_VALUE"""),"4004")</f>
        <v>4004</v>
      </c>
      <c r="B1563" s="4" t="str">
        <f>IFERROR(__xludf.DUMMYFUNCTION("""COMPUTED_VALUE"""),"Mts. cuerda CERVINO 4 m/m")</f>
        <v>Mts. cuerda CERVINO 4 m/m</v>
      </c>
      <c r="C1563" s="4">
        <f>IFERROR(__xludf.DUMMYFUNCTION("""COMPUTED_VALUE"""),0.13440000000000002)</f>
        <v>0.1344</v>
      </c>
    </row>
    <row r="1564">
      <c r="A1564" s="4" t="str">
        <f>IFERROR(__xludf.DUMMYFUNCTION("""COMPUTED_VALUE"""),"4006")</f>
        <v>4006</v>
      </c>
      <c r="B1564" s="4" t="str">
        <f>IFERROR(__xludf.DUMMYFUNCTION("""COMPUTED_VALUE"""),"Mts. cuerda CERVINO 6 m/m")</f>
        <v>Mts. cuerda CERVINO 6 m/m</v>
      </c>
      <c r="C1564" s="4">
        <f>IFERROR(__xludf.DUMMYFUNCTION("""COMPUTED_VALUE"""),0.1824)</f>
        <v>0.1824</v>
      </c>
    </row>
    <row r="1565">
      <c r="A1565" s="4" t="str">
        <f>IFERROR(__xludf.DUMMYFUNCTION("""COMPUTED_VALUE"""),"4008")</f>
        <v>4008</v>
      </c>
      <c r="B1565" s="4" t="str">
        <f>IFERROR(__xludf.DUMMYFUNCTION("""COMPUTED_VALUE"""),"Mts. cuerda CERVINO 8 m/m")</f>
        <v>Mts. cuerda CERVINO 8 m/m</v>
      </c>
      <c r="C1565" s="4">
        <f>IFERROR(__xludf.DUMMYFUNCTION("""COMPUTED_VALUE"""),0.24)</f>
        <v>0.24</v>
      </c>
    </row>
    <row r="1566">
      <c r="A1566" s="4" t="str">
        <f>IFERROR(__xludf.DUMMYFUNCTION("""COMPUTED_VALUE"""),"4010")</f>
        <v>4010</v>
      </c>
      <c r="B1566" s="4" t="str">
        <f>IFERROR(__xludf.DUMMYFUNCTION("""COMPUTED_VALUE"""),"Mts. cuerda CERVINO 10 m/m")</f>
        <v>Mts. cuerda CERVINO 10 m/m</v>
      </c>
      <c r="C1566" s="4">
        <f>IFERROR(__xludf.DUMMYFUNCTION("""COMPUTED_VALUE"""),0.39359999999999995)</f>
        <v>0.3936</v>
      </c>
    </row>
    <row r="1567">
      <c r="A1567" s="4" t="str">
        <f>IFERROR(__xludf.DUMMYFUNCTION("""COMPUTED_VALUE"""),"4012")</f>
        <v>4012</v>
      </c>
      <c r="B1567" s="4" t="str">
        <f>IFERROR(__xludf.DUMMYFUNCTION("""COMPUTED_VALUE"""),"Mts. cuerda CERVINO 12 m/m")</f>
        <v>Mts. cuerda CERVINO 12 m/m</v>
      </c>
      <c r="C1567" s="4">
        <f>IFERROR(__xludf.DUMMYFUNCTION("""COMPUTED_VALUE"""),0.6336)</f>
        <v>0.6336</v>
      </c>
    </row>
    <row r="1568">
      <c r="A1568" s="4" t="str">
        <f>IFERROR(__xludf.DUMMYFUNCTION("""COMPUTED_VALUE"""),"4014")</f>
        <v>4014</v>
      </c>
      <c r="B1568" s="4" t="str">
        <f>IFERROR(__xludf.DUMMYFUNCTION("""COMPUTED_VALUE"""),"Mts. cuerda CERVINO 14 m/m")</f>
        <v>Mts. cuerda CERVINO 14 m/m</v>
      </c>
      <c r="C1568" s="4">
        <f>IFERROR(__xludf.DUMMYFUNCTION("""COMPUTED_VALUE"""),0.6911999999999999)</f>
        <v>0.6912</v>
      </c>
    </row>
    <row r="1569">
      <c r="A1569" s="4" t="str">
        <f>IFERROR(__xludf.DUMMYFUNCTION("""COMPUTED_VALUE"""),"4016")</f>
        <v>4016</v>
      </c>
      <c r="B1569" s="4" t="str">
        <f>IFERROR(__xludf.DUMMYFUNCTION("""COMPUTED_VALUE"""),"Mts. cuerda CERVINO 16 m/m")</f>
        <v>Mts. cuerda CERVINO 16 m/m</v>
      </c>
      <c r="C1569" s="4">
        <f>IFERROR(__xludf.DUMMYFUNCTION("""COMPUTED_VALUE"""),0.8448)</f>
        <v>0.8448</v>
      </c>
    </row>
    <row r="1570">
      <c r="A1570" s="4" t="str">
        <f>IFERROR(__xludf.DUMMYFUNCTION("""COMPUTED_VALUE"""),"4018")</f>
        <v>4018</v>
      </c>
      <c r="B1570" s="4" t="str">
        <f>IFERROR(__xludf.DUMMYFUNCTION("""COMPUTED_VALUE"""),"Mts. cuerda CERVINO 18 m/m")</f>
        <v>Mts. cuerda CERVINO 18 m/m</v>
      </c>
      <c r="C1570" s="4">
        <f>IFERROR(__xludf.DUMMYFUNCTION("""COMPUTED_VALUE"""),1.0752000000000002)</f>
        <v>1.0752</v>
      </c>
    </row>
    <row r="1571">
      <c r="A1571" s="4" t="str">
        <f>IFERROR(__xludf.DUMMYFUNCTION("""COMPUTED_VALUE"""),"4020")</f>
        <v>4020</v>
      </c>
      <c r="B1571" s="4" t="str">
        <f>IFERROR(__xludf.DUMMYFUNCTION("""COMPUTED_VALUE"""),"Mts. cuerda CERVINO 20 m/m")</f>
        <v>Mts. cuerda CERVINO 20 m/m</v>
      </c>
      <c r="C1571" s="4">
        <f>IFERROR(__xludf.DUMMYFUNCTION("""COMPUTED_VALUE"""),1.392)</f>
        <v>1.392</v>
      </c>
    </row>
    <row r="1572">
      <c r="A1572" s="4" t="str">
        <f>IFERROR(__xludf.DUMMYFUNCTION("""COMPUTED_VALUE"""),"4050")</f>
        <v>4050</v>
      </c>
      <c r="B1572" s="4" t="str">
        <f>IFERROR(__xludf.DUMMYFUNCTION("""COMPUTED_VALUE"""),"Señal complementaria TPU rectanagular 440x360 mm Reflex")</f>
        <v>Señal complementaria TPU rectanagular 440x360 mm Reflex</v>
      </c>
      <c r="C1572" s="4">
        <f>IFERROR(__xludf.DUMMYFUNCTION("""COMPUTED_VALUE"""),8.64)</f>
        <v>8.64</v>
      </c>
    </row>
    <row r="1573">
      <c r="A1573" s="4" t="str">
        <f>IFERROR(__xludf.DUMMYFUNCTION("""COMPUTED_VALUE"""),"4080")</f>
        <v>4080</v>
      </c>
      <c r="B1573" s="4" t="str">
        <f>IFERROR(__xludf.DUMMYFUNCTION("""COMPUTED_VALUE"""),"Tope parking 59 L x 12 Anc. x 10 Alt. Mod. B")</f>
        <v>Tope parking 59 L x 12 Anc. x 10 Alt. Mod. B</v>
      </c>
      <c r="C1573" s="4">
        <f>IFERROR(__xludf.DUMMYFUNCTION("""COMPUTED_VALUE"""),9.36)</f>
        <v>9.36</v>
      </c>
    </row>
    <row r="1574">
      <c r="A1574" s="4" t="str">
        <f>IFERROR(__xludf.DUMMYFUNCTION("""COMPUTED_VALUE"""),"4081")</f>
        <v>4081</v>
      </c>
      <c r="B1574" s="4" t="str">
        <f>IFERROR(__xludf.DUMMYFUNCTION("""COMPUTED_VALUE"""),"Tope parking 55 L x 14,5 Anc x 15 Alt. Mod. C")</f>
        <v>Tope parking 55 L x 14,5 Anc x 15 Alt. Mod. C</v>
      </c>
      <c r="C1574" s="4">
        <f>IFERROR(__xludf.DUMMYFUNCTION("""COMPUTED_VALUE"""),13.776)</f>
        <v>13.776</v>
      </c>
    </row>
    <row r="1575">
      <c r="A1575" s="4" t="str">
        <f>IFERROR(__xludf.DUMMYFUNCTION("""COMPUTED_VALUE"""),"4090C")</f>
        <v>4090C</v>
      </c>
      <c r="B1575" s="4" t="str">
        <f>IFERROR(__xludf.DUMMYFUNCTION("""COMPUTED_VALUE"""),"Aparcabicis modulo central 2 bicicletas")</f>
        <v>Aparcabicis modulo central 2 bicicletas</v>
      </c>
      <c r="C1575" s="4">
        <f>IFERROR(__xludf.DUMMYFUNCTION("""COMPUTED_VALUE"""),47.879999999999995)</f>
        <v>47.88</v>
      </c>
    </row>
    <row r="1576">
      <c r="A1576" s="4" t="str">
        <f>IFERROR(__xludf.DUMMYFUNCTION("""COMPUTED_VALUE"""),"4090E")</f>
        <v>4090E</v>
      </c>
      <c r="B1576" s="4" t="str">
        <f>IFERROR(__xludf.DUMMYFUNCTION("""COMPUTED_VALUE"""),"Aparcabicis modulo extremo 2 bicicletas")</f>
        <v>Aparcabicis modulo extremo 2 bicicletas</v>
      </c>
      <c r="C1576" s="4">
        <f>IFERROR(__xludf.DUMMYFUNCTION("""COMPUTED_VALUE"""),47.879999999999995)</f>
        <v>47.88</v>
      </c>
    </row>
    <row r="1577">
      <c r="A1577" s="4" t="str">
        <f>IFERROR(__xludf.DUMMYFUNCTION("""COMPUTED_VALUE"""),"4090U")</f>
        <v>4090U</v>
      </c>
      <c r="B1577" s="4" t="str">
        <f>IFERROR(__xludf.DUMMYFUNCTION("""COMPUTED_VALUE"""),"Aparcabicis unión modulos")</f>
        <v>Aparcabicis unión modulos</v>
      </c>
      <c r="C1577" s="4">
        <f>IFERROR(__xludf.DUMMYFUNCTION("""COMPUTED_VALUE"""),4.56)</f>
        <v>4.56</v>
      </c>
    </row>
    <row r="1578">
      <c r="A1578" s="4" t="str">
        <f>IFERROR(__xludf.DUMMYFUNCTION("""COMPUTED_VALUE"""),"4098")</f>
        <v>4098</v>
      </c>
      <c r="B1578" s="4" t="str">
        <f>IFERROR(__xludf.DUMMYFUNCTION("""COMPUTED_VALUE"""),"Cepo parking Mod. A 49,5 cm x 49,5 cm x 9 cm con llave")</f>
        <v>Cepo parking Mod. A 49,5 cm x 49,5 cm x 9 cm con llave</v>
      </c>
      <c r="C1578" s="4">
        <f>IFERROR(__xludf.DUMMYFUNCTION("""COMPUTED_VALUE"""),37.0848)</f>
        <v>37.0848</v>
      </c>
    </row>
    <row r="1579">
      <c r="A1579" s="4" t="str">
        <f>IFERROR(__xludf.DUMMYFUNCTION("""COMPUTED_VALUE"""),"4099")</f>
        <v>4099</v>
      </c>
      <c r="B1579" s="4" t="str">
        <f>IFERROR(__xludf.DUMMYFUNCTION("""COMPUTED_VALUE"""),"Cepo parking Mod. B 76 cm x 47 cm c/candado")</f>
        <v>Cepo parking Mod. B 76 cm x 47 cm c/candado</v>
      </c>
      <c r="C1579" s="4">
        <f>IFERROR(__xludf.DUMMYFUNCTION("""COMPUTED_VALUE"""),21.119999999999997)</f>
        <v>21.12</v>
      </c>
    </row>
    <row r="1580">
      <c r="A1580" s="4" t="str">
        <f>IFERROR(__xludf.DUMMYFUNCTION("""COMPUTED_VALUE"""),"4100")</f>
        <v>4100</v>
      </c>
      <c r="B1580" s="4" t="str">
        <f>IFERROR(__xludf.DUMMYFUNCTION("""COMPUTED_VALUE"""),"Espejo trafico 600 mm Mod. Basic c/ visera")</f>
        <v>Espejo trafico 600 mm Mod. Basic c/ visera</v>
      </c>
      <c r="C1580" s="4">
        <f>IFERROR(__xludf.DUMMYFUNCTION("""COMPUTED_VALUE"""),33.12)</f>
        <v>33.12</v>
      </c>
    </row>
    <row r="1581">
      <c r="A1581" s="4" t="str">
        <f>IFERROR(__xludf.DUMMYFUNCTION("""COMPUTED_VALUE"""),"4101")</f>
        <v>4101</v>
      </c>
      <c r="B1581" s="4" t="str">
        <f>IFERROR(__xludf.DUMMYFUNCTION("""COMPUTED_VALUE"""),"Espejo Trafico 800 mm Mod. Basic c visera")</f>
        <v>Espejo Trafico 800 mm Mod. Basic c visera</v>
      </c>
      <c r="C1581" s="4">
        <f>IFERROR(__xludf.DUMMYFUNCTION("""COMPUTED_VALUE"""),60.48)</f>
        <v>60.48</v>
      </c>
    </row>
    <row r="1582">
      <c r="A1582" s="4" t="str">
        <f>IFERROR(__xludf.DUMMYFUNCTION("""COMPUTED_VALUE"""),"4103")</f>
        <v>4103</v>
      </c>
      <c r="B1582" s="4" t="str">
        <f>IFERROR(__xludf.DUMMYFUNCTION("""COMPUTED_VALUE"""),"Esquinera proteccion columna 80 cm mod. B")</f>
        <v>Esquinera proteccion columna 80 cm mod. B</v>
      </c>
      <c r="C1582" s="4">
        <f>IFERROR(__xludf.DUMMYFUNCTION("""COMPUTED_VALUE"""),4.224)</f>
        <v>4.224</v>
      </c>
    </row>
    <row r="1583">
      <c r="A1583" s="4" t="str">
        <f>IFERROR(__xludf.DUMMYFUNCTION("""COMPUTED_VALUE"""),"4104")</f>
        <v>4104</v>
      </c>
      <c r="B1583" s="4" t="str">
        <f>IFERROR(__xludf.DUMMYFUNCTION("""COMPUTED_VALUE"""),"Tope parking 55 x 15 Anc. x 10 Alt Mod. A")</f>
        <v>Tope parking 55 x 15 Anc. x 10 Alt Mod. A</v>
      </c>
      <c r="C1583" s="4">
        <f>IFERROR(__xludf.DUMMYFUNCTION("""COMPUTED_VALUE"""),9.216)</f>
        <v>9.216</v>
      </c>
    </row>
    <row r="1584">
      <c r="A1584" s="4" t="str">
        <f>IFERROR(__xludf.DUMMYFUNCTION("""COMPUTED_VALUE"""),"4105")</f>
        <v>4105</v>
      </c>
      <c r="B1584" s="4" t="str">
        <f>IFERROR(__xludf.DUMMYFUNCTION("""COMPUTED_VALUE"""),"Esquinera proteccion columna 80 cm mod. A")</f>
        <v>Esquinera proteccion columna 80 cm mod. A</v>
      </c>
      <c r="C1584" s="4">
        <f>IFERROR(__xludf.DUMMYFUNCTION("""COMPUTED_VALUE"""),7.4399999999999995)</f>
        <v>7.44</v>
      </c>
    </row>
    <row r="1585">
      <c r="A1585" s="4" t="str">
        <f>IFERROR(__xludf.DUMMYFUNCTION("""COMPUTED_VALUE"""),"4106")</f>
        <v>4106</v>
      </c>
      <c r="B1585" s="4" t="str">
        <f>IFERROR(__xludf.DUMMYFUNCTION("""COMPUTED_VALUE"""),"Mts.cuerda certif.poliest.Alta Tenacidad 6 m/m")</f>
        <v>Mts.cuerda certif.poliest.Alta Tenacidad 6 m/m</v>
      </c>
      <c r="C1585" s="4">
        <f>IFERROR(__xludf.DUMMYFUNCTION("""COMPUTED_VALUE"""),0.2304)</f>
        <v>0.2304</v>
      </c>
    </row>
    <row r="1586">
      <c r="A1586" s="4" t="str">
        <f>IFERROR(__xludf.DUMMYFUNCTION("""COMPUTED_VALUE"""),"4108")</f>
        <v>4108</v>
      </c>
      <c r="B1586" s="4" t="str">
        <f>IFERROR(__xludf.DUMMYFUNCTION("""COMPUTED_VALUE"""),"Mts.cuerda certif.poliest.Alta Tenacidad 8 m/m")</f>
        <v>Mts.cuerda certif.poliest.Alta Tenacidad 8 m/m</v>
      </c>
      <c r="C1586" s="4">
        <f>IFERROR(__xludf.DUMMYFUNCTION("""COMPUTED_VALUE"""),0.4128)</f>
        <v>0.4128</v>
      </c>
    </row>
    <row r="1587">
      <c r="A1587" s="4" t="str">
        <f>IFERROR(__xludf.DUMMYFUNCTION("""COMPUTED_VALUE"""),"4110")</f>
        <v>4110</v>
      </c>
      <c r="B1587" s="4" t="str">
        <f>IFERROR(__xludf.DUMMYFUNCTION("""COMPUTED_VALUE"""),"Mts.cuerda certif.poliest.Alta Tenacidad 10 m/m")</f>
        <v>Mts.cuerda certif.poliest.Alta Tenacidad 10 m/m</v>
      </c>
      <c r="C1587" s="4">
        <f>IFERROR(__xludf.DUMMYFUNCTION("""COMPUTED_VALUE"""),0.5376000000000001)</f>
        <v>0.5376</v>
      </c>
    </row>
    <row r="1588">
      <c r="A1588" s="4" t="str">
        <f>IFERROR(__xludf.DUMMYFUNCTION("""COMPUTED_VALUE"""),"4112")</f>
        <v>4112</v>
      </c>
      <c r="B1588" s="4" t="str">
        <f>IFERROR(__xludf.DUMMYFUNCTION("""COMPUTED_VALUE"""),"Mts.cuerda Certif.poliest.Alta Tenacidad 12 m/m")</f>
        <v>Mts.cuerda Certif.poliest.Alta Tenacidad 12 m/m</v>
      </c>
      <c r="C1588" s="4">
        <f>IFERROR(__xludf.DUMMYFUNCTION("""COMPUTED_VALUE"""),0.8448)</f>
        <v>0.8448</v>
      </c>
    </row>
    <row r="1589">
      <c r="A1589" s="4" t="str">
        <f>IFERROR(__xludf.DUMMYFUNCTION("""COMPUTED_VALUE"""),"4114")</f>
        <v>4114</v>
      </c>
      <c r="B1589" s="4" t="str">
        <f>IFERROR(__xludf.DUMMYFUNCTION("""COMPUTED_VALUE"""),"Mts.cuerda Certif.poliest.Alta Tenacidad 14 m/m")</f>
        <v>Mts.cuerda Certif.poliest.Alta Tenacidad 14 m/m</v>
      </c>
      <c r="C1589" s="4">
        <f>IFERROR(__xludf.DUMMYFUNCTION("""COMPUTED_VALUE"""),1.1136)</f>
        <v>1.1136</v>
      </c>
    </row>
    <row r="1590">
      <c r="A1590" s="4" t="str">
        <f>IFERROR(__xludf.DUMMYFUNCTION("""COMPUTED_VALUE"""),"4116")</f>
        <v>4116</v>
      </c>
      <c r="B1590" s="4" t="str">
        <f>IFERROR(__xludf.DUMMYFUNCTION("""COMPUTED_VALUE"""),"Mts.cuerda Certif.poliest.Alta Tenacidad 16 m/m")</f>
        <v>Mts.cuerda Certif.poliest.Alta Tenacidad 16 m/m</v>
      </c>
      <c r="C1590" s="4">
        <f>IFERROR(__xludf.DUMMYFUNCTION("""COMPUTED_VALUE"""),1.3056)</f>
        <v>1.3056</v>
      </c>
    </row>
    <row r="1591">
      <c r="A1591" s="4" t="str">
        <f>IFERROR(__xludf.DUMMYFUNCTION("""COMPUTED_VALUE"""),"4118")</f>
        <v>4118</v>
      </c>
      <c r="B1591" s="4" t="str">
        <f>IFERROR(__xludf.DUMMYFUNCTION("""COMPUTED_VALUE"""),"Mts.cuerda Certif.poliest.Alta Tenacidad 18 m/m")</f>
        <v>Mts.cuerda Certif.poliest.Alta Tenacidad 18 m/m</v>
      </c>
      <c r="C1591" s="4">
        <f>IFERROR(__xludf.DUMMYFUNCTION("""COMPUTED_VALUE"""),1.7087999999999999)</f>
        <v>1.7088</v>
      </c>
    </row>
    <row r="1592">
      <c r="A1592" s="4" t="str">
        <f>IFERROR(__xludf.DUMMYFUNCTION("""COMPUTED_VALUE"""),"4125")</f>
        <v>4125</v>
      </c>
      <c r="B1592" s="4" t="str">
        <f>IFERROR(__xludf.DUMMYFUNCTION("""COMPUTED_VALUE"""),"Bolsa tapa señales 95x110 agujereada")</f>
        <v>Bolsa tapa señales 95x110 agujereada</v>
      </c>
      <c r="C1592" s="4">
        <f>IFERROR(__xludf.DUMMYFUNCTION("""COMPUTED_VALUE"""),2.88)</f>
        <v>2.88</v>
      </c>
    </row>
    <row r="1593">
      <c r="A1593" s="4" t="str">
        <f>IFERROR(__xludf.DUMMYFUNCTION("""COMPUTED_VALUE"""),"4150")</f>
        <v>4150</v>
      </c>
      <c r="B1593" s="4" t="str">
        <f>IFERROR(__xludf.DUMMYFUNCTION("""COMPUTED_VALUE"""),"Espejo 60 cm Mod. Icaro")</f>
        <v>Espejo 60 cm Mod. Icaro</v>
      </c>
      <c r="C1593" s="4">
        <f>IFERROR(__xludf.DUMMYFUNCTION("""COMPUTED_VALUE"""),52.32)</f>
        <v>52.32</v>
      </c>
    </row>
    <row r="1594">
      <c r="A1594" s="4" t="str">
        <f>IFERROR(__xludf.DUMMYFUNCTION("""COMPUTED_VALUE"""),"4151")</f>
        <v>4151</v>
      </c>
      <c r="B1594" s="4" t="str">
        <f>IFERROR(__xludf.DUMMYFUNCTION("""COMPUTED_VALUE"""),"Espejo 80 cm Mod. Icaro")</f>
        <v>Espejo 80 cm Mod. Icaro</v>
      </c>
      <c r="C1594" s="4">
        <f>IFERROR(__xludf.DUMMYFUNCTION("""COMPUTED_VALUE"""),83.52)</f>
        <v>83.52</v>
      </c>
    </row>
    <row r="1595">
      <c r="A1595" s="4" t="str">
        <f>IFERROR(__xludf.DUMMYFUNCTION("""COMPUTED_VALUE"""),"4180")</f>
        <v>4180</v>
      </c>
      <c r="B1595" s="4" t="str">
        <f>IFERROR(__xludf.DUMMYFUNCTION("""COMPUTED_VALUE"""),"Protector parking FOAM R/B columna 30x25x1,5 cm")</f>
        <v>Protector parking FOAM R/B columna 30x25x1,5 cm</v>
      </c>
      <c r="C1595" s="4">
        <f>IFERROR(__xludf.DUMMYFUNCTION("""COMPUTED_VALUE"""),3.264)</f>
        <v>3.264</v>
      </c>
    </row>
    <row r="1596">
      <c r="A1596" s="4" t="str">
        <f>IFERROR(__xludf.DUMMYFUNCTION("""COMPUTED_VALUE"""),"4181")</f>
        <v>4181</v>
      </c>
      <c r="B1596" s="4" t="str">
        <f>IFERROR(__xludf.DUMMYFUNCTION("""COMPUTED_VALUE"""),"Protector parking FOAM N/A columna 30X25X1,5 cm")</f>
        <v>Protector parking FOAM N/A columna 30X25X1,5 cm</v>
      </c>
      <c r="C1596" s="4">
        <f>IFERROR(__xludf.DUMMYFUNCTION("""COMPUTED_VALUE"""),3.264)</f>
        <v>3.264</v>
      </c>
    </row>
    <row r="1597">
      <c r="A1597" s="4" t="str">
        <f>IFERROR(__xludf.DUMMYFUNCTION("""COMPUTED_VALUE"""),"4182")</f>
        <v>4182</v>
      </c>
      <c r="B1597" s="4" t="str">
        <f>IFERROR(__xludf.DUMMYFUNCTION("""COMPUTED_VALUE"""),"Protector parking FOAM R/B columna 100x200x1,5 cm")</f>
        <v>Protector parking FOAM R/B columna 100x200x1,5 cm</v>
      </c>
      <c r="C1597" s="4">
        <f>IFERROR(__xludf.DUMMYFUNCTION("""COMPUTED_VALUE"""),37.44)</f>
        <v>37.44</v>
      </c>
    </row>
    <row r="1598">
      <c r="A1598" s="4" t="str">
        <f>IFERROR(__xludf.DUMMYFUNCTION("""COMPUTED_VALUE"""),"4183")</f>
        <v>4183</v>
      </c>
      <c r="B1598" s="4" t="str">
        <f>IFERROR(__xludf.DUMMYFUNCTION("""COMPUTED_VALUE"""),"Protector parking FOAM N/A columna 100x200x1,5 cm")</f>
        <v>Protector parking FOAM N/A columna 100x200x1,5 cm</v>
      </c>
      <c r="C1598" s="4">
        <f>IFERROR(__xludf.DUMMYFUNCTION("""COMPUTED_VALUE"""),37.44)</f>
        <v>37.44</v>
      </c>
    </row>
    <row r="1599">
      <c r="A1599" s="4" t="str">
        <f>IFERROR(__xludf.DUMMYFUNCTION("""COMPUTED_VALUE"""),"4184")</f>
        <v>4184</v>
      </c>
      <c r="B1599" s="4" t="str">
        <f>IFERROR(__xludf.DUMMYFUNCTION("""COMPUTED_VALUE"""),"Protector parking FOAM R/B plano 24x18x4cm")</f>
        <v>Protector parking FOAM R/B plano 24x18x4cm</v>
      </c>
      <c r="C1599" s="4">
        <f>IFERROR(__xludf.DUMMYFUNCTION("""COMPUTED_VALUE"""),3.312)</f>
        <v>3.312</v>
      </c>
    </row>
    <row r="1600">
      <c r="A1600" s="4" t="str">
        <f>IFERROR(__xludf.DUMMYFUNCTION("""COMPUTED_VALUE"""),"4185")</f>
        <v>4185</v>
      </c>
      <c r="B1600" s="4" t="str">
        <f>IFERROR(__xludf.DUMMYFUNCTION("""COMPUTED_VALUE"""),"Protector parking FOAM N/A plano 24x18x4cm")</f>
        <v>Protector parking FOAM N/A plano 24x18x4cm</v>
      </c>
      <c r="C1600" s="4">
        <f>IFERROR(__xludf.DUMMYFUNCTION("""COMPUTED_VALUE"""),3.312)</f>
        <v>3.312</v>
      </c>
    </row>
    <row r="1601">
      <c r="A1601" s="4" t="str">
        <f>IFERROR(__xludf.DUMMYFUNCTION("""COMPUTED_VALUE"""),"4186")</f>
        <v>4186</v>
      </c>
      <c r="B1601" s="4" t="str">
        <f>IFERROR(__xludf.DUMMYFUNCTION("""COMPUTED_VALUE"""),"Protector parking FOAM R/B esquina 50x(15+15)x1,5 cm")</f>
        <v>Protector parking FOAM R/B esquina 50x(15+15)x1,5 cm</v>
      </c>
      <c r="C1601" s="4">
        <f>IFERROR(__xludf.DUMMYFUNCTION("""COMPUTED_VALUE"""),5.52)</f>
        <v>5.52</v>
      </c>
    </row>
    <row r="1602">
      <c r="A1602" s="4" t="str">
        <f>IFERROR(__xludf.DUMMYFUNCTION("""COMPUTED_VALUE"""),"4187")</f>
        <v>4187</v>
      </c>
      <c r="B1602" s="4" t="str">
        <f>IFERROR(__xludf.DUMMYFUNCTION("""COMPUTED_VALUE"""),"Protector parking FOAM N/A esquina 50x(15+15)x1,5 cm")</f>
        <v>Protector parking FOAM N/A esquina 50x(15+15)x1,5 cm</v>
      </c>
      <c r="C1602" s="4">
        <f>IFERROR(__xludf.DUMMYFUNCTION("""COMPUTED_VALUE"""),5.52)</f>
        <v>5.52</v>
      </c>
    </row>
    <row r="1603">
      <c r="A1603" s="4" t="str">
        <f>IFERROR(__xludf.DUMMYFUNCTION("""COMPUTED_VALUE"""),"4188")</f>
        <v>4188</v>
      </c>
      <c r="B1603" s="4" t="str">
        <f>IFERROR(__xludf.DUMMYFUNCTION("""COMPUTED_VALUE"""),"Protector parking FOAM R/B plano 50X10X1,5cm")</f>
        <v>Protector parking FOAM R/B plano 50X10X1,5cm</v>
      </c>
      <c r="C1603" s="4">
        <f>IFERROR(__xludf.DUMMYFUNCTION("""COMPUTED_VALUE"""),2.112)</f>
        <v>2.112</v>
      </c>
    </row>
    <row r="1604">
      <c r="A1604" s="4" t="str">
        <f>IFERROR(__xludf.DUMMYFUNCTION("""COMPUTED_VALUE"""),"4189")</f>
        <v>4189</v>
      </c>
      <c r="B1604" s="4" t="str">
        <f>IFERROR(__xludf.DUMMYFUNCTION("""COMPUTED_VALUE"""),"Protector parking FOAM N/A plano 50x10x1,5cm")</f>
        <v>Protector parking FOAM N/A plano 50x10x1,5cm</v>
      </c>
      <c r="C1604" s="4">
        <f>IFERROR(__xludf.DUMMYFUNCTION("""COMPUTED_VALUE"""),2.112)</f>
        <v>2.112</v>
      </c>
    </row>
    <row r="1605">
      <c r="A1605" s="4" t="str">
        <f>IFERROR(__xludf.DUMMYFUNCTION("""COMPUTED_VALUE"""),"4190")</f>
        <v>4190</v>
      </c>
      <c r="B1605" s="4" t="str">
        <f>IFERROR(__xludf.DUMMYFUNCTION("""COMPUTED_VALUE"""),"Protector parking FOAM R/B plano 50x25x2,5cm")</f>
        <v>Protector parking FOAM R/B plano 50x25x2,5cm</v>
      </c>
      <c r="C1605" s="4">
        <f>IFERROR(__xludf.DUMMYFUNCTION("""COMPUTED_VALUE"""),4.704)</f>
        <v>4.704</v>
      </c>
    </row>
    <row r="1606">
      <c r="A1606" s="4" t="str">
        <f>IFERROR(__xludf.DUMMYFUNCTION("""COMPUTED_VALUE"""),"4191")</f>
        <v>4191</v>
      </c>
      <c r="B1606" s="4" t="str">
        <f>IFERROR(__xludf.DUMMYFUNCTION("""COMPUTED_VALUE"""),"Protector parking FOAM N/A plano 50x25x2,5cm")</f>
        <v>Protector parking FOAM N/A plano 50x25x2,5cm</v>
      </c>
      <c r="C1606" s="4">
        <f>IFERROR(__xludf.DUMMYFUNCTION("""COMPUTED_VALUE"""),4.704)</f>
        <v>4.704</v>
      </c>
    </row>
    <row r="1607">
      <c r="A1607" s="4" t="str">
        <f>IFERROR(__xludf.DUMMYFUNCTION("""COMPUTED_VALUE"""),"4192")</f>
        <v>4192</v>
      </c>
      <c r="B1607" s="4" t="str">
        <f>IFERROR(__xludf.DUMMYFUNCTION("""COMPUTED_VALUE"""),"Protector parking FOAM R/B plano 30x20x1,5 cm")</f>
        <v>Protector parking FOAM R/B plano 30x20x1,5 cm</v>
      </c>
      <c r="C1607" s="4">
        <f>IFERROR(__xludf.DUMMYFUNCTION("""COMPUTED_VALUE"""),3.5999999999999996)</f>
        <v>3.6</v>
      </c>
    </row>
    <row r="1608">
      <c r="A1608" s="4" t="str">
        <f>IFERROR(__xludf.DUMMYFUNCTION("""COMPUTED_VALUE"""),"4193")</f>
        <v>4193</v>
      </c>
      <c r="B1608" s="4" t="str">
        <f>IFERROR(__xludf.DUMMYFUNCTION("""COMPUTED_VALUE"""),"Protector parking FOAM N/A plano 30x20x1,5 cm")</f>
        <v>Protector parking FOAM N/A plano 30x20x1,5 cm</v>
      </c>
      <c r="C1608" s="4">
        <f>IFERROR(__xludf.DUMMYFUNCTION("""COMPUTED_VALUE"""),3.5999999999999996)</f>
        <v>3.6</v>
      </c>
    </row>
    <row r="1609">
      <c r="A1609" s="4" t="str">
        <f>IFERROR(__xludf.DUMMYFUNCTION("""COMPUTED_VALUE"""),"4194")</f>
        <v>4194</v>
      </c>
      <c r="B1609" s="4" t="str">
        <f>IFERROR(__xludf.DUMMYFUNCTION("""COMPUTED_VALUE"""),"Protector Antigolpes PVC 15x3 cm (5 metros )")</f>
        <v>Protector Antigolpes PVC 15x3 cm (5 metros )</v>
      </c>
      <c r="C1609" s="4">
        <f>IFERROR(__xludf.DUMMYFUNCTION("""COMPUTED_VALUE"""),35.519999999999996)</f>
        <v>35.52</v>
      </c>
    </row>
    <row r="1610">
      <c r="A1610" s="4" t="str">
        <f>IFERROR(__xludf.DUMMYFUNCTION("""COMPUTED_VALUE"""),"4200")</f>
        <v>4200</v>
      </c>
      <c r="B1610" s="4" t="str">
        <f>IFERROR(__xludf.DUMMYFUNCTION("""COMPUTED_VALUE"""),"Esq. protec.N/A 100 cm anti-golpe Foam Mod A")</f>
        <v>Esq. protec.N/A 100 cm anti-golpe Foam Mod A</v>
      </c>
      <c r="C1610" s="4">
        <f>IFERROR(__xludf.DUMMYFUNCTION("""COMPUTED_VALUE"""),14.304)</f>
        <v>14.304</v>
      </c>
    </row>
    <row r="1611">
      <c r="A1611" s="4" t="str">
        <f>IFERROR(__xludf.DUMMYFUNCTION("""COMPUTED_VALUE"""),"4200B")</f>
        <v>4200B</v>
      </c>
      <c r="B1611" s="4" t="str">
        <f>IFERROR(__xludf.DUMMYFUNCTION("""COMPUTED_VALUE"""),"Esq. protec.N/A 100 cm anti-golpe Foam Mod B")</f>
        <v>Esq. protec.N/A 100 cm anti-golpe Foam Mod B</v>
      </c>
      <c r="C1611" s="4">
        <f>IFERROR(__xludf.DUMMYFUNCTION("""COMPUTED_VALUE"""),14.304)</f>
        <v>14.304</v>
      </c>
    </row>
    <row r="1612">
      <c r="A1612" s="4" t="str">
        <f>IFERROR(__xludf.DUMMYFUNCTION("""COMPUTED_VALUE"""),"4200C")</f>
        <v>4200C</v>
      </c>
      <c r="B1612" s="4" t="str">
        <f>IFERROR(__xludf.DUMMYFUNCTION("""COMPUTED_VALUE"""),"Esq. protec.N/A 100 cm anti-golpe Foam Mod C")</f>
        <v>Esq. protec.N/A 100 cm anti-golpe Foam Mod C</v>
      </c>
      <c r="C1612" s="4">
        <f>IFERROR(__xludf.DUMMYFUNCTION("""COMPUTED_VALUE"""),14.304)</f>
        <v>14.304</v>
      </c>
    </row>
    <row r="1613">
      <c r="A1613" s="4" t="str">
        <f>IFERROR(__xludf.DUMMYFUNCTION("""COMPUTED_VALUE"""),"4200D")</f>
        <v>4200D</v>
      </c>
      <c r="B1613" s="4" t="str">
        <f>IFERROR(__xludf.DUMMYFUNCTION("""COMPUTED_VALUE"""),"Esq. protec.N/A 100 cm anti-golpe Foam Mod D")</f>
        <v>Esq. protec.N/A 100 cm anti-golpe Foam Mod D</v>
      </c>
      <c r="C1613" s="4">
        <f>IFERROR(__xludf.DUMMYFUNCTION("""COMPUTED_VALUE"""),14.304)</f>
        <v>14.304</v>
      </c>
    </row>
    <row r="1614">
      <c r="A1614" s="4" t="str">
        <f>IFERROR(__xludf.DUMMYFUNCTION("""COMPUTED_VALUE"""),"4200E")</f>
        <v>4200E</v>
      </c>
      <c r="B1614" s="4" t="str">
        <f>IFERROR(__xludf.DUMMYFUNCTION("""COMPUTED_VALUE"""),"Esq. protec.N/A 100 cm anti-golpe Foam Mod E")</f>
        <v>Esq. protec.N/A 100 cm anti-golpe Foam Mod E</v>
      </c>
      <c r="C1614" s="4">
        <f>IFERROR(__xludf.DUMMYFUNCTION("""COMPUTED_VALUE"""),14.304)</f>
        <v>14.304</v>
      </c>
    </row>
    <row r="1615">
      <c r="A1615" s="4" t="str">
        <f>IFERROR(__xludf.DUMMYFUNCTION("""COMPUTED_VALUE"""),"4200F")</f>
        <v>4200F</v>
      </c>
      <c r="B1615" s="4" t="str">
        <f>IFERROR(__xludf.DUMMYFUNCTION("""COMPUTED_VALUE"""),"Esq. protec.N/A 100 cm anti-golpe Foam Mod. F")</f>
        <v>Esq. protec.N/A 100 cm anti-golpe Foam Mod. F</v>
      </c>
      <c r="C1615" s="4">
        <f>IFERROR(__xludf.DUMMYFUNCTION("""COMPUTED_VALUE"""),14.304)</f>
        <v>14.304</v>
      </c>
    </row>
    <row r="1616">
      <c r="A1616" s="4" t="str">
        <f>IFERROR(__xludf.DUMMYFUNCTION("""COMPUTED_VALUE"""),"4200G")</f>
        <v>4200G</v>
      </c>
      <c r="B1616" s="4" t="str">
        <f>IFERROR(__xludf.DUMMYFUNCTION("""COMPUTED_VALUE"""),"Esq. protec.N/A 100 cm anti-golpe Foam Mod. G")</f>
        <v>Esq. protec.N/A 100 cm anti-golpe Foam Mod. G</v>
      </c>
      <c r="C1616" s="4">
        <f>IFERROR(__xludf.DUMMYFUNCTION("""COMPUTED_VALUE"""),14.304)</f>
        <v>14.304</v>
      </c>
    </row>
    <row r="1617">
      <c r="A1617" s="4" t="str">
        <f>IFERROR(__xludf.DUMMYFUNCTION("""COMPUTED_VALUE"""),"4201")</f>
        <v>4201</v>
      </c>
      <c r="B1617" s="4" t="str">
        <f>IFERROR(__xludf.DUMMYFUNCTION("""COMPUTED_VALUE"""),"Esq. protec.B/R 100 cm anti-golpe Foam Mod. A")</f>
        <v>Esq. protec.B/R 100 cm anti-golpe Foam Mod. A</v>
      </c>
      <c r="C1617" s="4">
        <f>IFERROR(__xludf.DUMMYFUNCTION("""COMPUTED_VALUE"""),14.304)</f>
        <v>14.304</v>
      </c>
    </row>
    <row r="1618">
      <c r="A1618" s="4" t="str">
        <f>IFERROR(__xludf.DUMMYFUNCTION("""COMPUTED_VALUE"""),"4204")</f>
        <v>4204</v>
      </c>
      <c r="B1618" s="4" t="str">
        <f>IFERROR(__xludf.DUMMYFUNCTION("""COMPUTED_VALUE"""),"Espejo Convexo 40 cm Interior Tolomeo")</f>
        <v>Espejo Convexo 40 cm Interior Tolomeo</v>
      </c>
      <c r="C1618" s="4">
        <f>IFERROR(__xludf.DUMMYFUNCTION("""COMPUTED_VALUE"""),39.36)</f>
        <v>39.36</v>
      </c>
    </row>
    <row r="1619">
      <c r="A1619" s="4" t="str">
        <f>IFERROR(__xludf.DUMMYFUNCTION("""COMPUTED_VALUE"""),"4206")</f>
        <v>4206</v>
      </c>
      <c r="B1619" s="4" t="str">
        <f>IFERROR(__xludf.DUMMYFUNCTION("""COMPUTED_VALUE"""),"Espejo Convexo 60 cm Interior Tolomeo")</f>
        <v>Espejo Convexo 60 cm Interior Tolomeo</v>
      </c>
      <c r="C1619" s="4">
        <f>IFERROR(__xludf.DUMMYFUNCTION("""COMPUTED_VALUE"""),51.839999999999996)</f>
        <v>51.84</v>
      </c>
    </row>
    <row r="1620">
      <c r="A1620" s="4" t="str">
        <f>IFERROR(__xludf.DUMMYFUNCTION("""COMPUTED_VALUE"""),"4208")</f>
        <v>4208</v>
      </c>
      <c r="B1620" s="4" t="str">
        <f>IFERROR(__xludf.DUMMYFUNCTION("""COMPUTED_VALUE"""),"Espejo Convexo 80 cm Interior Tolomeo")</f>
        <v>Espejo Convexo 80 cm Interior Tolomeo</v>
      </c>
      <c r="C1620" s="4">
        <f>IFERROR(__xludf.DUMMYFUNCTION("""COMPUTED_VALUE"""),93.11999999999999)</f>
        <v>93.12</v>
      </c>
    </row>
    <row r="1621">
      <c r="A1621" s="4" t="str">
        <f>IFERROR(__xludf.DUMMYFUNCTION("""COMPUTED_VALUE"""),"4209")</f>
        <v>4209</v>
      </c>
      <c r="B1621" s="4" t="str">
        <f>IFERROR(__xludf.DUMMYFUNCTION("""COMPUTED_VALUE"""),"Espejo Convexo 90 cm Interior Tolomeo")</f>
        <v>Espejo Convexo 90 cm Interior Tolomeo</v>
      </c>
      <c r="C1621" s="4">
        <f>IFERROR(__xludf.DUMMYFUNCTION("""COMPUTED_VALUE"""),98.39999999999999)</f>
        <v>98.4</v>
      </c>
    </row>
    <row r="1622">
      <c r="A1622" s="4" t="str">
        <f>IFERROR(__xludf.DUMMYFUNCTION("""COMPUTED_VALUE"""),"4210")</f>
        <v>4210</v>
      </c>
      <c r="B1622" s="4" t="str">
        <f>IFERROR(__xludf.DUMMYFUNCTION("""COMPUTED_VALUE"""),"Espejo Convexo 40x60 Interior Leonardo")</f>
        <v>Espejo Convexo 40x60 Interior Leonardo</v>
      </c>
      <c r="C1622" s="4">
        <f>IFERROR(__xludf.DUMMYFUNCTION("""COMPUTED_VALUE"""),56.64)</f>
        <v>56.64</v>
      </c>
    </row>
    <row r="1623">
      <c r="A1623" s="4" t="str">
        <f>IFERROR(__xludf.DUMMYFUNCTION("""COMPUTED_VALUE"""),"4211")</f>
        <v>4211</v>
      </c>
      <c r="B1623" s="4" t="str">
        <f>IFERROR(__xludf.DUMMYFUNCTION("""COMPUTED_VALUE"""),"Espejo convexo 60x80 Interior Leonardo")</f>
        <v>Espejo convexo 60x80 Interior Leonardo</v>
      </c>
      <c r="C1623" s="4">
        <f>IFERROR(__xludf.DUMMYFUNCTION("""COMPUTED_VALUE"""),96.47999999999999)</f>
        <v>96.48</v>
      </c>
    </row>
    <row r="1624">
      <c r="A1624" s="4" t="str">
        <f>IFERROR(__xludf.DUMMYFUNCTION("""COMPUTED_VALUE"""),"4213")</f>
        <v>4213</v>
      </c>
      <c r="B1624" s="4" t="str">
        <f>IFERROR(__xludf.DUMMYFUNCTION("""COMPUTED_VALUE"""),"Espejo Hemisférico 360º 60 cm Michelangello")</f>
        <v>Espejo Hemisférico 360º 60 cm Michelangello</v>
      </c>
      <c r="C1624" s="4">
        <f>IFERROR(__xludf.DUMMYFUNCTION("""COMPUTED_VALUE"""),40.32)</f>
        <v>40.32</v>
      </c>
    </row>
    <row r="1625">
      <c r="A1625" s="4" t="str">
        <f>IFERROR(__xludf.DUMMYFUNCTION("""COMPUTED_VALUE"""),"4215")</f>
        <v>4215</v>
      </c>
      <c r="B1625" s="4" t="str">
        <f>IFERROR(__xludf.DUMMYFUNCTION("""COMPUTED_VALUE"""),"Espejo Hemisférico 360º 90 cm Michelangello")</f>
        <v>Espejo Hemisférico 360º 90 cm Michelangello</v>
      </c>
      <c r="C1625" s="4">
        <f>IFERROR(__xludf.DUMMYFUNCTION("""COMPUTED_VALUE"""),78.72)</f>
        <v>78.72</v>
      </c>
    </row>
    <row r="1626">
      <c r="A1626" s="4" t="str">
        <f>IFERROR(__xludf.DUMMYFUNCTION("""COMPUTED_VALUE"""),"4221")</f>
        <v>4221</v>
      </c>
      <c r="B1626" s="4" t="str">
        <f>IFERROR(__xludf.DUMMYFUNCTION("""COMPUTED_VALUE"""),"Espejo Convexo 60 cm Exterior Giotto")</f>
        <v>Espejo Convexo 60 cm Exterior Giotto</v>
      </c>
      <c r="C1626" s="4">
        <f>IFERROR(__xludf.DUMMYFUNCTION("""COMPUTED_VALUE"""),92.16)</f>
        <v>92.16</v>
      </c>
    </row>
    <row r="1627">
      <c r="A1627" s="4" t="str">
        <f>IFERROR(__xludf.DUMMYFUNCTION("""COMPUTED_VALUE"""),"4223")</f>
        <v>4223</v>
      </c>
      <c r="B1627" s="4" t="str">
        <f>IFERROR(__xludf.DUMMYFUNCTION("""COMPUTED_VALUE"""),"Espejo Convexo 80 cm Exterior Giotto")</f>
        <v>Espejo Convexo 80 cm Exterior Giotto</v>
      </c>
      <c r="C1627" s="4">
        <f>IFERROR(__xludf.DUMMYFUNCTION("""COMPUTED_VALUE"""),145.92)</f>
        <v>145.92</v>
      </c>
    </row>
    <row r="1628">
      <c r="A1628" s="4" t="str">
        <f>IFERROR(__xludf.DUMMYFUNCTION("""COMPUTED_VALUE"""),"4227")</f>
        <v>4227</v>
      </c>
      <c r="B1628" s="4" t="str">
        <f>IFERROR(__xludf.DUMMYFUNCTION("""COMPUTED_VALUE"""),"Espejo Convexo 40x60 cm Exterior Rafaello")</f>
        <v>Espejo Convexo 40x60 cm Exterior Rafaello</v>
      </c>
      <c r="C1628" s="4">
        <f>IFERROR(__xludf.DUMMYFUNCTION("""COMPUTED_VALUE"""),119.03999999999999)</f>
        <v>119.04</v>
      </c>
    </row>
    <row r="1629">
      <c r="A1629" s="4" t="str">
        <f>IFERROR(__xludf.DUMMYFUNCTION("""COMPUTED_VALUE"""),"4228")</f>
        <v>4228</v>
      </c>
      <c r="B1629" s="4" t="str">
        <f>IFERROR(__xludf.DUMMYFUNCTION("""COMPUTED_VALUE"""),"Espejo Convexo 60x80 cm Exterior Rafaello")</f>
        <v>Espejo Convexo 60x80 cm Exterior Rafaello</v>
      </c>
      <c r="C1629" s="4">
        <f>IFERROR(__xludf.DUMMYFUNCTION("""COMPUTED_VALUE"""),153.6)</f>
        <v>153.6</v>
      </c>
    </row>
    <row r="1630">
      <c r="A1630" s="4" t="str">
        <f>IFERROR(__xludf.DUMMYFUNCTION("""COMPUTED_VALUE"""),"4230")</f>
        <v>4230</v>
      </c>
      <c r="B1630" s="4" t="str">
        <f>IFERROR(__xludf.DUMMYFUNCTION("""COMPUTED_VALUE"""),"Espejo Convexo acero exterior 320 MM")</f>
        <v>Espejo Convexo acero exterior 320 MM</v>
      </c>
      <c r="C1630" s="4">
        <f>IFERROR(__xludf.DUMMYFUNCTION("""COMPUTED_VALUE"""),91.2)</f>
        <v>91.2</v>
      </c>
    </row>
    <row r="1631">
      <c r="A1631" s="4" t="str">
        <f>IFERROR(__xludf.DUMMYFUNCTION("""COMPUTED_VALUE"""),"4231")</f>
        <v>4231</v>
      </c>
      <c r="B1631" s="4" t="str">
        <f>IFERROR(__xludf.DUMMYFUNCTION("""COMPUTED_VALUE"""),"Espejo Convexo Acero Exterior 490 mm")</f>
        <v>Espejo Convexo Acero Exterior 490 mm</v>
      </c>
      <c r="C1631" s="4">
        <f>IFERROR(__xludf.DUMMYFUNCTION("""COMPUTED_VALUE"""),120.0)</f>
        <v>120</v>
      </c>
    </row>
    <row r="1632">
      <c r="A1632" s="4" t="str">
        <f>IFERROR(__xludf.DUMMYFUNCTION("""COMPUTED_VALUE"""),"4232")</f>
        <v>4232</v>
      </c>
      <c r="B1632" s="4" t="str">
        <f>IFERROR(__xludf.DUMMYFUNCTION("""COMPUTED_VALUE"""),"Espejo Convexo Acero Exterior 600 mm")</f>
        <v>Espejo Convexo Acero Exterior 600 mm</v>
      </c>
      <c r="C1632" s="4">
        <f>IFERROR(__xludf.DUMMYFUNCTION("""COMPUTED_VALUE"""),171.84)</f>
        <v>171.84</v>
      </c>
    </row>
    <row r="1633">
      <c r="A1633" s="4" t="str">
        <f>IFERROR(__xludf.DUMMYFUNCTION("""COMPUTED_VALUE"""),"4233")</f>
        <v>4233</v>
      </c>
      <c r="B1633" s="4" t="str">
        <f>IFERROR(__xludf.DUMMYFUNCTION("""COMPUTED_VALUE"""),"Espejo Convexo Acero Exterior 800 mm")</f>
        <v>Espejo Convexo Acero Exterior 800 mm</v>
      </c>
      <c r="C1633" s="4">
        <f>IFERROR(__xludf.DUMMYFUNCTION("""COMPUTED_VALUE"""),220.79999999999998)</f>
        <v>220.8</v>
      </c>
    </row>
    <row r="1634">
      <c r="A1634" s="4" t="str">
        <f>IFERROR(__xludf.DUMMYFUNCTION("""COMPUTED_VALUE"""),"4234")</f>
        <v>4234</v>
      </c>
      <c r="B1634" s="4" t="str">
        <f>IFERROR(__xludf.DUMMYFUNCTION("""COMPUTED_VALUE"""),"Espejo Convexo Acero Exterior 450x600 mm")</f>
        <v>Espejo Convexo Acero Exterior 450x600 mm</v>
      </c>
      <c r="C1634" s="4">
        <f>IFERROR(__xludf.DUMMYFUNCTION("""COMPUTED_VALUE"""),151.2)</f>
        <v>151.2</v>
      </c>
    </row>
    <row r="1635">
      <c r="A1635" s="4" t="str">
        <f>IFERROR(__xludf.DUMMYFUNCTION("""COMPUTED_VALUE"""),"4235")</f>
        <v>4235</v>
      </c>
      <c r="B1635" s="4" t="str">
        <f>IFERROR(__xludf.DUMMYFUNCTION("""COMPUTED_VALUE"""),"Espejo Convexo Acero Interior 490 mm")</f>
        <v>Espejo Convexo Acero Interior 490 mm</v>
      </c>
      <c r="C1635" s="4">
        <f>IFERROR(__xludf.DUMMYFUNCTION("""COMPUTED_VALUE"""),115.19999999999999)</f>
        <v>115.2</v>
      </c>
    </row>
    <row r="1636">
      <c r="A1636" s="4" t="str">
        <f>IFERROR(__xludf.DUMMYFUNCTION("""COMPUTED_VALUE"""),"4250")</f>
        <v>4250</v>
      </c>
      <c r="B1636" s="4" t="str">
        <f>IFERROR(__xludf.DUMMYFUNCTION("""COMPUTED_VALUE"""),"Tope muelle carga - parking 90x10x10 cm")</f>
        <v>Tope muelle carga - parking 90x10x10 cm</v>
      </c>
      <c r="C1636" s="4">
        <f>IFERROR(__xludf.DUMMYFUNCTION("""COMPUTED_VALUE"""),21.119999999999997)</f>
        <v>21.12</v>
      </c>
    </row>
    <row r="1637">
      <c r="A1637" s="4" t="str">
        <f>IFERROR(__xludf.DUMMYFUNCTION("""COMPUTED_VALUE"""),"4300")</f>
        <v>4300</v>
      </c>
      <c r="B1637" s="4" t="str">
        <f>IFERROR(__xludf.DUMMYFUNCTION("""COMPUTED_VALUE"""),"Big Bag 850x850x900 1000kg. 5:1")</f>
        <v>Big Bag 850x850x900 1000kg. 5:1</v>
      </c>
      <c r="C1637" s="4">
        <f>IFERROR(__xludf.DUMMYFUNCTION("""COMPUTED_VALUE"""),3.792)</f>
        <v>3.792</v>
      </c>
    </row>
    <row r="1638">
      <c r="A1638" s="4" t="str">
        <f>IFERROR(__xludf.DUMMYFUNCTION("""COMPUTED_VALUE"""),"4301")</f>
        <v>4301</v>
      </c>
      <c r="B1638" s="4" t="str">
        <f>IFERROR(__xludf.DUMMYFUNCTION("""COMPUTED_VALUE"""),"Big Bag 850x850x900 c/ valvula descarga")</f>
        <v>Big Bag 850x850x900 c/ valvula descarga</v>
      </c>
      <c r="C1638" s="4">
        <f>IFERROR(__xludf.DUMMYFUNCTION("""COMPUTED_VALUE"""),4.4159999999999995)</f>
        <v>4.416</v>
      </c>
    </row>
    <row r="1639">
      <c r="A1639" s="4" t="str">
        <f>IFERROR(__xludf.DUMMYFUNCTION("""COMPUTED_VALUE"""),"4302")</f>
        <v>4302</v>
      </c>
      <c r="B1639" s="4" t="str">
        <f>IFERROR(__xludf.DUMMYFUNCTION("""COMPUTED_VALUE"""),"Big Bag 900x900x1200 MM FDC/FP ADR")</f>
        <v>Big Bag 900x900x1200 MM FDC/FP ADR</v>
      </c>
      <c r="C1639" s="4">
        <f>IFERROR(__xludf.DUMMYFUNCTION("""COMPUTED_VALUE"""),10.799999999999999)</f>
        <v>10.8</v>
      </c>
    </row>
    <row r="1640">
      <c r="A1640" s="4" t="str">
        <f>IFERROR(__xludf.DUMMYFUNCTION("""COMPUTED_VALUE"""),"4303")</f>
        <v>4303</v>
      </c>
      <c r="B1640" s="4" t="str">
        <f>IFERROR(__xludf.DUMMYFUNCTION("""COMPUTED_VALUE"""),"Big Bag 900x900x1200 c/tapa")</f>
        <v>Big Bag 900x900x1200 c/tapa</v>
      </c>
      <c r="C1640" s="4">
        <f>IFERROR(__xludf.DUMMYFUNCTION("""COMPUTED_VALUE"""),6.72)</f>
        <v>6.72</v>
      </c>
    </row>
    <row r="1641">
      <c r="A1641" s="4" t="str">
        <f>IFERROR(__xludf.DUMMYFUNCTION("""COMPUTED_VALUE"""),"4304")</f>
        <v>4304</v>
      </c>
      <c r="B1641" s="4" t="str">
        <f>IFERROR(__xludf.DUMMYFUNCTION("""COMPUTED_VALUE"""),"Saco de rafia para escombros 55cmx85cm carga 25 Kg")</f>
        <v>Saco de rafia para escombros 55cmx85cm carga 25 Kg</v>
      </c>
      <c r="C1641" s="4">
        <f>IFERROR(__xludf.DUMMYFUNCTION("""COMPUTED_VALUE"""),0.2496)</f>
        <v>0.2496</v>
      </c>
    </row>
    <row r="1642">
      <c r="A1642" s="4" t="str">
        <f>IFERROR(__xludf.DUMMYFUNCTION("""COMPUTED_VALUE"""),"4305")</f>
        <v>4305</v>
      </c>
      <c r="B1642" s="4" t="str">
        <f>IFERROR(__xludf.DUMMYFUNCTION("""COMPUTED_VALUE"""),"Paquete 10 unid. saco plastico escombros 55x75")</f>
        <v>Paquete 10 unid. saco plastico escombros 55x75</v>
      </c>
      <c r="C1642" s="4">
        <f>IFERROR(__xludf.DUMMYFUNCTION("""COMPUTED_VALUE"""),4.2912)</f>
        <v>4.2912</v>
      </c>
    </row>
    <row r="1643">
      <c r="A1643" s="4" t="str">
        <f>IFERROR(__xludf.DUMMYFUNCTION("""COMPUTED_VALUE"""),"4690")</f>
        <v>4690</v>
      </c>
      <c r="B1643" s="4" t="str">
        <f>IFERROR(__xludf.DUMMYFUNCTION("""COMPUTED_VALUE"""),"Chaleco Reflect. amarillo")</f>
        <v>Chaleco Reflect. amarillo</v>
      </c>
      <c r="C1643" s="4">
        <f>IFERROR(__xludf.DUMMYFUNCTION("""COMPUTED_VALUE"""),1.8719999999999999)</f>
        <v>1.872</v>
      </c>
    </row>
    <row r="1644">
      <c r="A1644" s="4" t="str">
        <f>IFERROR(__xludf.DUMMYFUNCTION("""COMPUTED_VALUE"""),"4691")</f>
        <v>4691</v>
      </c>
      <c r="B1644" s="4" t="str">
        <f>IFERROR(__xludf.DUMMYFUNCTION("""COMPUTED_VALUE"""),"Chaleco Reflect. naranja")</f>
        <v>Chaleco Reflect. naranja</v>
      </c>
      <c r="C1644" s="4">
        <f>IFERROR(__xludf.DUMMYFUNCTION("""COMPUTED_VALUE"""),1.8719999999999999)</f>
        <v>1.872</v>
      </c>
    </row>
    <row r="1645">
      <c r="A1645" s="4" t="str">
        <f>IFERROR(__xludf.DUMMYFUNCTION("""COMPUTED_VALUE"""),"4692")</f>
        <v>4692</v>
      </c>
      <c r="B1645" s="4" t="str">
        <f>IFERROR(__xludf.DUMMYFUNCTION("""COMPUTED_VALUE"""),"Chaleco Reflect. rejilla verano amarillo NO HOMOLOGADOS")</f>
        <v>Chaleco Reflect. rejilla verano amarillo NO HOMOLOGADOS</v>
      </c>
      <c r="C1645" s="4">
        <f>IFERROR(__xludf.DUMMYFUNCTION("""COMPUTED_VALUE"""),2.592)</f>
        <v>2.592</v>
      </c>
    </row>
    <row r="1646">
      <c r="A1646" s="4" t="str">
        <f>IFERROR(__xludf.DUMMYFUNCTION("""COMPUTED_VALUE"""),"4695")</f>
        <v>4695</v>
      </c>
      <c r="B1646" s="4" t="str">
        <f>IFERROR(__xludf.DUMMYFUNCTION("""COMPUTED_VALUE"""),"Tirantes reflectantes amarillos NO HOMOLOGADOS")</f>
        <v>Tirantes reflectantes amarillos NO HOMOLOGADOS</v>
      </c>
      <c r="C1646" s="4">
        <f>IFERROR(__xludf.DUMMYFUNCTION("""COMPUTED_VALUE"""),2.112)</f>
        <v>2.112</v>
      </c>
    </row>
    <row r="1647">
      <c r="A1647" s="4" t="str">
        <f>IFERROR(__xludf.DUMMYFUNCTION("""COMPUTED_VALUE"""),"4696")</f>
        <v>4696</v>
      </c>
      <c r="B1647" s="4" t="str">
        <f>IFERROR(__xludf.DUMMYFUNCTION("""COMPUTED_VALUE"""),"Tirantes reflectantes naranja NO HOMOLOGADOS")</f>
        <v>Tirantes reflectantes naranja NO HOMOLOGADOS</v>
      </c>
      <c r="C1647" s="4">
        <f>IFERROR(__xludf.DUMMYFUNCTION("""COMPUTED_VALUE"""),2.112)</f>
        <v>2.112</v>
      </c>
    </row>
    <row r="1648">
      <c r="A1648" s="4" t="str">
        <f>IFERROR(__xludf.DUMMYFUNCTION("""COMPUTED_VALUE"""),"4700")</f>
        <v>4700</v>
      </c>
      <c r="B1648" s="4" t="str">
        <f>IFERROR(__xludf.DUMMYFUNCTION("""COMPUTED_VALUE"""),"Rollo Malla Protec Naranja (1x50mts.) 80 gr.")</f>
        <v>Rollo Malla Protec Naranja (1x50mts.) 80 gr.</v>
      </c>
      <c r="C1648" s="4">
        <f>IFERROR(__xludf.DUMMYFUNCTION("""COMPUTED_VALUE"""),17.663999999999998)</f>
        <v>17.664</v>
      </c>
    </row>
    <row r="1649">
      <c r="A1649" s="4" t="str">
        <f>IFERROR(__xludf.DUMMYFUNCTION("""COMPUTED_VALUE"""),"4700A")</f>
        <v>4700A</v>
      </c>
      <c r="B1649" s="4" t="str">
        <f>IFERROR(__xludf.DUMMYFUNCTION("""COMPUTED_VALUE"""),"Rollo malla Protec Amarilla (1x50 m) 80 gr")</f>
        <v>Rollo malla Protec Amarilla (1x50 m) 80 gr</v>
      </c>
      <c r="C1649" s="4">
        <f>IFERROR(__xludf.DUMMYFUNCTION("""COMPUTED_VALUE"""),16.631999999999998)</f>
        <v>16.632</v>
      </c>
    </row>
    <row r="1650">
      <c r="A1650" s="4" t="str">
        <f>IFERROR(__xludf.DUMMYFUNCTION("""COMPUTED_VALUE"""),"4700S")</f>
        <v>4700S</v>
      </c>
      <c r="B1650" s="4" t="str">
        <f>IFERROR(__xludf.DUMMYFUNCTION("""COMPUTED_VALUE"""),"Sistema sujeción para mallas y cinta varilla")</f>
        <v>Sistema sujeción para mallas y cinta varilla</v>
      </c>
      <c r="C1650" s="4">
        <f>IFERROR(__xludf.DUMMYFUNCTION("""COMPUTED_VALUE"""),1.2)</f>
        <v>1.2</v>
      </c>
    </row>
    <row r="1651">
      <c r="A1651" s="4" t="str">
        <f>IFERROR(__xludf.DUMMYFUNCTION("""COMPUTED_VALUE"""),"4700V")</f>
        <v>4700V</v>
      </c>
      <c r="B1651" s="4" t="str">
        <f>IFERROR(__xludf.DUMMYFUNCTION("""COMPUTED_VALUE"""),"Rollo Malla Protec verde (1x50 m) 80 gr")</f>
        <v>Rollo Malla Protec verde (1x50 m) 80 gr</v>
      </c>
      <c r="C1651" s="4">
        <f>IFERROR(__xludf.DUMMYFUNCTION("""COMPUTED_VALUE"""),16.631999999999998)</f>
        <v>16.632</v>
      </c>
    </row>
    <row r="1652">
      <c r="A1652" s="4" t="str">
        <f>IFERROR(__xludf.DUMMYFUNCTION("""COMPUTED_VALUE"""),"4700Z")</f>
        <v>4700Z</v>
      </c>
      <c r="B1652" s="4" t="str">
        <f>IFERROR(__xludf.DUMMYFUNCTION("""COMPUTED_VALUE"""),"Rollo malla Protec Azul (1x50 m) 80 gr")</f>
        <v>Rollo malla Protec Azul (1x50 m) 80 gr</v>
      </c>
      <c r="C1652" s="4">
        <f>IFERROR(__xludf.DUMMYFUNCTION("""COMPUTED_VALUE"""),16.631999999999998)</f>
        <v>16.632</v>
      </c>
    </row>
    <row r="1653">
      <c r="A1653" s="4" t="str">
        <f>IFERROR(__xludf.DUMMYFUNCTION("""COMPUTED_VALUE"""),"4701")</f>
        <v>4701</v>
      </c>
      <c r="B1653" s="4" t="str">
        <f>IFERROR(__xludf.DUMMYFUNCTION("""COMPUTED_VALUE"""),"Rollo Malla Protec Naranja (1X50mts.) 100 gr.")</f>
        <v>Rollo Malla Protec Naranja (1X50mts.) 100 gr.</v>
      </c>
      <c r="C1653" s="4">
        <f>IFERROR(__xludf.DUMMYFUNCTION("""COMPUTED_VALUE"""),18.144)</f>
        <v>18.144</v>
      </c>
    </row>
    <row r="1654">
      <c r="A1654" s="4" t="str">
        <f>IFERROR(__xludf.DUMMYFUNCTION("""COMPUTED_VALUE"""),"4702")</f>
        <v>4702</v>
      </c>
      <c r="B1654" s="4" t="str">
        <f>IFERROR(__xludf.DUMMYFUNCTION("""COMPUTED_VALUE"""),"Rollo malla fibra de vidrio Mortero-Reboco azul 1x50 m")</f>
        <v>Rollo malla fibra de vidrio Mortero-Reboco azul 1x50 m</v>
      </c>
      <c r="C1654" s="4">
        <f>IFERROR(__xludf.DUMMYFUNCTION("""COMPUTED_VALUE"""),20.16)</f>
        <v>20.16</v>
      </c>
    </row>
    <row r="1655">
      <c r="A1655" s="4" t="str">
        <f>IFERROR(__xludf.DUMMYFUNCTION("""COMPUTED_VALUE"""),"4703")</f>
        <v>4703</v>
      </c>
      <c r="B1655" s="4" t="str">
        <f>IFERROR(__xludf.DUMMYFUNCTION("""COMPUTED_VALUE"""),"Rollo malla fibra de vidrio Yeso Blanca 1x50 m")</f>
        <v>Rollo malla fibra de vidrio Yeso Blanca 1x50 m</v>
      </c>
      <c r="C1655" s="4">
        <f>IFERROR(__xludf.DUMMYFUNCTION("""COMPUTED_VALUE"""),20.16)</f>
        <v>20.16</v>
      </c>
    </row>
    <row r="1656">
      <c r="A1656" s="4" t="str">
        <f>IFERROR(__xludf.DUMMYFUNCTION("""COMPUTED_VALUE"""),"4704")</f>
        <v>4704</v>
      </c>
      <c r="B1656" s="4" t="str">
        <f>IFERROR(__xludf.DUMMYFUNCTION("""COMPUTED_VALUE"""),"Rollo Malla fibra de vidrio Blanca pintura 1x50 m")</f>
        <v>Rollo Malla fibra de vidrio Blanca pintura 1x50 m</v>
      </c>
      <c r="C1656" s="4">
        <f>IFERROR(__xludf.DUMMYFUNCTION("""COMPUTED_VALUE"""),20.16)</f>
        <v>20.16</v>
      </c>
    </row>
    <row r="1657">
      <c r="A1657" s="4" t="str">
        <f>IFERROR(__xludf.DUMMYFUNCTION("""COMPUTED_VALUE"""),"4720")</f>
        <v>4720</v>
      </c>
      <c r="B1657" s="4" t="str">
        <f>IFERROR(__xludf.DUMMYFUNCTION("""COMPUTED_VALUE"""),"Mubo PVC señal. c/reflec. 1 mt")</f>
        <v>Mubo PVC señal. c/reflec. 1 mt</v>
      </c>
      <c r="C1657" s="4">
        <f>IFERROR(__xludf.DUMMYFUNCTION("""COMPUTED_VALUE"""),0.768)</f>
        <v>0.768</v>
      </c>
    </row>
    <row r="1658">
      <c r="A1658" s="4" t="str">
        <f>IFERROR(__xludf.DUMMYFUNCTION("""COMPUTED_VALUE"""),"4730")</f>
        <v>4730</v>
      </c>
      <c r="B1658" s="4" t="str">
        <f>IFERROR(__xludf.DUMMYFUNCTION("""COMPUTED_VALUE"""),"Estaca madera 30x30x30")</f>
        <v>Estaca madera 30x30x30</v>
      </c>
      <c r="C1658" s="4">
        <f>IFERROR(__xludf.DUMMYFUNCTION("""COMPUTED_VALUE"""),0.384)</f>
        <v>0.384</v>
      </c>
    </row>
    <row r="1659">
      <c r="A1659" s="4" t="str">
        <f>IFERROR(__xludf.DUMMYFUNCTION("""COMPUTED_VALUE"""),"4735")</f>
        <v>4735</v>
      </c>
      <c r="B1659" s="4" t="str">
        <f>IFERROR(__xludf.DUMMYFUNCTION("""COMPUTED_VALUE"""),"Estaca madera 30x30x35")</f>
        <v>Estaca madera 30x30x35</v>
      </c>
      <c r="C1659" s="4">
        <f>IFERROR(__xludf.DUMMYFUNCTION("""COMPUTED_VALUE"""),0.40319999999999995)</f>
        <v>0.4032</v>
      </c>
    </row>
    <row r="1660">
      <c r="A1660" s="4" t="str">
        <f>IFERROR(__xludf.DUMMYFUNCTION("""COMPUTED_VALUE"""),"4740")</f>
        <v>4740</v>
      </c>
      <c r="B1660" s="4" t="str">
        <f>IFERROR(__xludf.DUMMYFUNCTION("""COMPUTED_VALUE"""),"Estaca madera 30x30x40")</f>
        <v>Estaca madera 30x30x40</v>
      </c>
      <c r="C1660" s="4">
        <f>IFERROR(__xludf.DUMMYFUNCTION("""COMPUTED_VALUE"""),0.384)</f>
        <v>0.384</v>
      </c>
    </row>
    <row r="1661">
      <c r="A1661" s="4" t="str">
        <f>IFERROR(__xludf.DUMMYFUNCTION("""COMPUTED_VALUE"""),"4750")</f>
        <v>4750</v>
      </c>
      <c r="B1661" s="4" t="str">
        <f>IFERROR(__xludf.DUMMYFUNCTION("""COMPUTED_VALUE"""),"Estaca madera 30x30x50")</f>
        <v>Estaca madera 30x30x50</v>
      </c>
      <c r="C1661" s="4">
        <f>IFERROR(__xludf.DUMMYFUNCTION("""COMPUTED_VALUE"""),0.45119999999999993)</f>
        <v>0.4512</v>
      </c>
    </row>
    <row r="1662">
      <c r="A1662" s="4" t="str">
        <f>IFERROR(__xludf.DUMMYFUNCTION("""COMPUTED_VALUE"""),"4760")</f>
        <v>4760</v>
      </c>
      <c r="B1662" s="4" t="str">
        <f>IFERROR(__xludf.DUMMYFUNCTION("""COMPUTED_VALUE"""),"Estaca madera 30x30x60")</f>
        <v>Estaca madera 30x30x60</v>
      </c>
      <c r="C1662" s="4">
        <f>IFERROR(__xludf.DUMMYFUNCTION("""COMPUTED_VALUE"""),0.5471999999999999)</f>
        <v>0.5472</v>
      </c>
    </row>
    <row r="1663">
      <c r="A1663" s="4" t="str">
        <f>IFERROR(__xludf.DUMMYFUNCTION("""COMPUTED_VALUE"""),"4770")</f>
        <v>4770</v>
      </c>
      <c r="B1663" s="4" t="str">
        <f>IFERROR(__xludf.DUMMYFUNCTION("""COMPUTED_VALUE"""),"Estaca madera 30x30x70")</f>
        <v>Estaca madera 30x30x70</v>
      </c>
      <c r="C1663" s="4">
        <f>IFERROR(__xludf.DUMMYFUNCTION("""COMPUTED_VALUE"""),0.6432)</f>
        <v>0.6432</v>
      </c>
    </row>
    <row r="1664">
      <c r="A1664" s="4" t="str">
        <f>IFERROR(__xludf.DUMMYFUNCTION("""COMPUTED_VALUE"""),"4780")</f>
        <v>4780</v>
      </c>
      <c r="B1664" s="4" t="str">
        <f>IFERROR(__xludf.DUMMYFUNCTION("""COMPUTED_VALUE"""),"Ecopate 300")</f>
        <v>Ecopate 300</v>
      </c>
      <c r="C1664" s="4">
        <f>IFERROR(__xludf.DUMMYFUNCTION("""COMPUTED_VALUE"""),5.135999999999999)</f>
        <v>5.136</v>
      </c>
    </row>
    <row r="1665">
      <c r="A1665" s="4" t="str">
        <f>IFERROR(__xludf.DUMMYFUNCTION("""COMPUTED_VALUE"""),"4799")</f>
        <v>4799</v>
      </c>
      <c r="B1665" s="4" t="str">
        <f>IFERROR(__xludf.DUMMYFUNCTION("""COMPUTED_VALUE"""),"Estaca madera 30x30x100")</f>
        <v>Estaca madera 30x30x100</v>
      </c>
      <c r="C1665" s="4">
        <f>IFERROR(__xludf.DUMMYFUNCTION("""COMPUTED_VALUE"""),0.9023999999999999)</f>
        <v>0.9024</v>
      </c>
    </row>
    <row r="1666">
      <c r="A1666" s="4" t="str">
        <f>IFERROR(__xludf.DUMMYFUNCTION("""COMPUTED_VALUE"""),"4887")</f>
        <v>4887</v>
      </c>
      <c r="B1666" s="4" t="str">
        <f>IFERROR(__xludf.DUMMYFUNCTION("""COMPUTED_VALUE"""),"Mtro.cuadrado malla proteccion andamio Standard")</f>
        <v>Mtro.cuadrado malla proteccion andamio Standard</v>
      </c>
      <c r="C1666" s="4">
        <f>IFERROR(__xludf.DUMMYFUNCTION("""COMPUTED_VALUE"""),0.5856)</f>
        <v>0.5856</v>
      </c>
    </row>
    <row r="1667">
      <c r="A1667" s="4" t="str">
        <f>IFERROR(__xludf.DUMMYFUNCTION("""COMPUTED_VALUE"""),"4888")</f>
        <v>4888</v>
      </c>
      <c r="B1667" s="4" t="str">
        <f>IFERROR(__xludf.DUMMYFUNCTION("""COMPUTED_VALUE"""),"Mtro.cuadrado malla proteccion andamio Extra")</f>
        <v>Mtro.cuadrado malla proteccion andamio Extra</v>
      </c>
      <c r="C1667" s="4">
        <f>IFERROR(__xludf.DUMMYFUNCTION("""COMPUTED_VALUE"""),0.6528)</f>
        <v>0.6528</v>
      </c>
    </row>
    <row r="1668">
      <c r="A1668" s="4" t="str">
        <f>IFERROR(__xludf.DUMMYFUNCTION("""COMPUTED_VALUE"""),"4888C")</f>
        <v>4888C</v>
      </c>
      <c r="B1668" s="4" t="str">
        <f>IFERROR(__xludf.DUMMYFUNCTION("""COMPUTED_VALUE"""),"Conector grapa para malla ojales y poste cadena (50 uds)")</f>
        <v>Conector grapa para malla ojales y poste cadena (50 uds)</v>
      </c>
      <c r="C1668" s="4">
        <f>IFERROR(__xludf.DUMMYFUNCTION("""COMPUTED_VALUE"""),5.76)</f>
        <v>5.76</v>
      </c>
    </row>
    <row r="1669">
      <c r="A1669" s="4" t="str">
        <f>IFERROR(__xludf.DUMMYFUNCTION("""COMPUTED_VALUE"""),"4888G")</f>
        <v>4888G</v>
      </c>
      <c r="B1669" s="4" t="str">
        <f>IFERROR(__xludf.DUMMYFUNCTION("""COMPUTED_VALUE"""),"Grapa 35x40 mm para malla (50 uds)")</f>
        <v>Grapa 35x40 mm para malla (50 uds)</v>
      </c>
      <c r="C1669" s="4">
        <f>IFERROR(__xludf.DUMMYFUNCTION("""COMPUTED_VALUE"""),3.84)</f>
        <v>3.84</v>
      </c>
    </row>
    <row r="1670">
      <c r="A1670" s="4" t="str">
        <f>IFERROR(__xludf.DUMMYFUNCTION("""COMPUTED_VALUE"""),"4890")</f>
        <v>4890</v>
      </c>
      <c r="B1670" s="4" t="str">
        <f>IFERROR(__xludf.DUMMYFUNCTION("""COMPUTED_VALUE"""),"Malla sombreo/ocultacion 70% (x M2)")</f>
        <v>Malla sombreo/ocultacion 70% (x M2)</v>
      </c>
      <c r="C1670" s="4">
        <f>IFERROR(__xludf.DUMMYFUNCTION("""COMPUTED_VALUE"""),0.5232)</f>
        <v>0.5232</v>
      </c>
    </row>
    <row r="1671">
      <c r="A1671" s="4" t="str">
        <f>IFERROR(__xludf.DUMMYFUNCTION("""COMPUTED_VALUE"""),"4891")</f>
        <v>4891</v>
      </c>
      <c r="B1671" s="4" t="str">
        <f>IFERROR(__xludf.DUMMYFUNCTION("""COMPUTED_VALUE"""),"Malla sombreo/ocultacion 80% (x M2)")</f>
        <v>Malla sombreo/ocultacion 80% (x M2)</v>
      </c>
      <c r="C1671" s="4">
        <f>IFERROR(__xludf.DUMMYFUNCTION("""COMPUTED_VALUE"""),0.9119999999999999)</f>
        <v>0.912</v>
      </c>
    </row>
    <row r="1672">
      <c r="A1672" s="4" t="str">
        <f>IFERROR(__xludf.DUMMYFUNCTION("""COMPUTED_VALUE"""),"4892")</f>
        <v>4892</v>
      </c>
      <c r="B1672" s="4" t="str">
        <f>IFERROR(__xludf.DUMMYFUNCTION("""COMPUTED_VALUE"""),"Malla sombreo/ocultacion 90% (x M2)")</f>
        <v>Malla sombreo/ocultacion 90% (x M2)</v>
      </c>
      <c r="C1672" s="4">
        <f>IFERROR(__xludf.DUMMYFUNCTION("""COMPUTED_VALUE"""),0.9984)</f>
        <v>0.9984</v>
      </c>
    </row>
    <row r="1673">
      <c r="A1673" s="4" t="str">
        <f>IFERROR(__xludf.DUMMYFUNCTION("""COMPUTED_VALUE"""),"4893")</f>
        <v>4893</v>
      </c>
      <c r="B1673" s="4" t="str">
        <f>IFERROR(__xludf.DUMMYFUNCTION("""COMPUTED_VALUE"""),"Malla/Tejido suelo antihierba negro/verde (x M2)")</f>
        <v>Malla/Tejido suelo antihierba negro/verde (x M2)</v>
      </c>
      <c r="C1673" s="4">
        <f>IFERROR(__xludf.DUMMYFUNCTION("""COMPUTED_VALUE"""),0.7296)</f>
        <v>0.7296</v>
      </c>
    </row>
    <row r="1674">
      <c r="A1674" s="4" t="str">
        <f>IFERROR(__xludf.DUMMYFUNCTION("""COMPUTED_VALUE"""),"4894")</f>
        <v>4894</v>
      </c>
      <c r="B1674" s="4" t="str">
        <f>IFERROR(__xludf.DUMMYFUNCTION("""COMPUTED_VALUE"""),"Malla ocultacion negra/franjas 75% 3,50x1,90 blister")</f>
        <v>Malla ocultacion negra/franjas 75% 3,50x1,90 blister</v>
      </c>
      <c r="C1674" s="4">
        <f>IFERROR(__xludf.DUMMYFUNCTION("""COMPUTED_VALUE"""),5.097599999999999)</f>
        <v>5.0976</v>
      </c>
    </row>
    <row r="1675">
      <c r="A1675" s="4" t="str">
        <f>IFERROR(__xludf.DUMMYFUNCTION("""COMPUTED_VALUE"""),"4895/A")</f>
        <v>4895/A</v>
      </c>
      <c r="B1675" s="4" t="str">
        <f>IFERROR(__xludf.DUMMYFUNCTION("""COMPUTED_VALUE"""),"Malla señal. monofilamento 1x100 mts Amarilla")</f>
        <v>Malla señal. monofilamento 1x100 mts Amarilla</v>
      </c>
      <c r="C1675" s="4">
        <f>IFERROR(__xludf.DUMMYFUNCTION("""COMPUTED_VALUE"""),48.384)</f>
        <v>48.384</v>
      </c>
    </row>
    <row r="1676">
      <c r="A1676" s="4" t="str">
        <f>IFERROR(__xludf.DUMMYFUNCTION("""COMPUTED_VALUE"""),"4895/R")</f>
        <v>4895/R</v>
      </c>
      <c r="B1676" s="4" t="str">
        <f>IFERROR(__xludf.DUMMYFUNCTION("""COMPUTED_VALUE"""),"Malla señal. monofilamento 1x100 mts Rojo")</f>
        <v>Malla señal. monofilamento 1x100 mts Rojo</v>
      </c>
      <c r="C1676" s="4">
        <f>IFERROR(__xludf.DUMMYFUNCTION("""COMPUTED_VALUE"""),48.384)</f>
        <v>48.384</v>
      </c>
    </row>
    <row r="1677">
      <c r="A1677" s="4" t="str">
        <f>IFERROR(__xludf.DUMMYFUNCTION("""COMPUTED_VALUE"""),"4897")</f>
        <v>4897</v>
      </c>
      <c r="B1677" s="4" t="str">
        <f>IFERROR(__xludf.DUMMYFUNCTION("""COMPUTED_VALUE"""),"Malla sombreo/ocultacion 70% manto a medida (x M2)")</f>
        <v>Malla sombreo/ocultacion 70% manto a medida (x M2)</v>
      </c>
      <c r="C1677" s="4">
        <f>IFERROR(__xludf.DUMMYFUNCTION("""COMPUTED_VALUE"""),0.5856)</f>
        <v>0.5856</v>
      </c>
    </row>
    <row r="1678">
      <c r="A1678" s="4" t="str">
        <f>IFERROR(__xludf.DUMMYFUNCTION("""COMPUTED_VALUE"""),"4898")</f>
        <v>4898</v>
      </c>
      <c r="B1678" s="4" t="str">
        <f>IFERROR(__xludf.DUMMYFUNCTION("""COMPUTED_VALUE"""),"Malla sombreo/ocultacion 80% manto a medida (x M2)")</f>
        <v>Malla sombreo/ocultacion 80% manto a medida (x M2)</v>
      </c>
      <c r="C1678" s="4">
        <f>IFERROR(__xludf.DUMMYFUNCTION("""COMPUTED_VALUE"""),0.8543999999999999)</f>
        <v>0.8544</v>
      </c>
    </row>
    <row r="1679">
      <c r="A1679" s="4" t="str">
        <f>IFERROR(__xludf.DUMMYFUNCTION("""COMPUTED_VALUE"""),"4899")</f>
        <v>4899</v>
      </c>
      <c r="B1679" s="4" t="str">
        <f>IFERROR(__xludf.DUMMYFUNCTION("""COMPUTED_VALUE"""),"Malla sombreo/ocultacion 90% manto a medida (x M2)")</f>
        <v>Malla sombreo/ocultacion 90% manto a medida (x M2)</v>
      </c>
      <c r="C1679" s="4">
        <f>IFERROR(__xludf.DUMMYFUNCTION("""COMPUTED_VALUE"""),0.9071999999999999)</f>
        <v>0.9072</v>
      </c>
    </row>
    <row r="1680">
      <c r="A1680" s="4" t="str">
        <f>IFERROR(__xludf.DUMMYFUNCTION("""COMPUTED_VALUE"""),"5100")</f>
        <v>5100</v>
      </c>
      <c r="B1680" s="4" t="str">
        <f>IFERROR(__xludf.DUMMYFUNCTION("""COMPUTED_VALUE"""),"Gafas protección G-1")</f>
        <v>Gafas protección G-1</v>
      </c>
      <c r="C1680" s="4">
        <f>IFERROR(__xludf.DUMMYFUNCTION("""COMPUTED_VALUE"""),1.0943999999999998)</f>
        <v>1.0944</v>
      </c>
    </row>
    <row r="1681">
      <c r="A1681" s="4" t="str">
        <f>IFERROR(__xludf.DUMMYFUNCTION("""COMPUTED_VALUE"""),"5101")</f>
        <v>5101</v>
      </c>
      <c r="B1681" s="4" t="str">
        <f>IFERROR(__xludf.DUMMYFUNCTION("""COMPUTED_VALUE"""),"Gafas protección G-2")</f>
        <v>Gafas protección G-2</v>
      </c>
      <c r="C1681" s="4">
        <f>IFERROR(__xludf.DUMMYFUNCTION("""COMPUTED_VALUE"""),0.768)</f>
        <v>0.768</v>
      </c>
    </row>
    <row r="1682">
      <c r="A1682" s="4" t="str">
        <f>IFERROR(__xludf.DUMMYFUNCTION("""COMPUTED_VALUE"""),"5102")</f>
        <v>5102</v>
      </c>
      <c r="B1682" s="4" t="str">
        <f>IFERROR(__xludf.DUMMYFUNCTION("""COMPUTED_VALUE"""),"Gafas protección G-3")</f>
        <v>Gafas protección G-3</v>
      </c>
      <c r="C1682" s="4">
        <f>IFERROR(__xludf.DUMMYFUNCTION("""COMPUTED_VALUE"""),1.3247999999999998)</f>
        <v>1.3248</v>
      </c>
    </row>
    <row r="1683">
      <c r="A1683" s="4" t="str">
        <f>IFERROR(__xludf.DUMMYFUNCTION("""COMPUTED_VALUE"""),"5105")</f>
        <v>5105</v>
      </c>
      <c r="B1683" s="4" t="str">
        <f>IFERROR(__xludf.DUMMYFUNCTION("""COMPUTED_VALUE"""),"Pantalla protectora facial fija Basic")</f>
        <v>Pantalla protectora facial fija Basic</v>
      </c>
      <c r="C1683" s="4">
        <f>IFERROR(__xludf.DUMMYFUNCTION("""COMPUTED_VALUE"""),2.016)</f>
        <v>2.016</v>
      </c>
    </row>
    <row r="1684">
      <c r="A1684" s="4" t="str">
        <f>IFERROR(__xludf.DUMMYFUNCTION("""COMPUTED_VALUE"""),"5200")</f>
        <v>5200</v>
      </c>
      <c r="B1684" s="4" t="str">
        <f>IFERROR(__xludf.DUMMYFUNCTION("""COMPUTED_VALUE"""),"Tapones proteccion auditiva c/ cordón")</f>
        <v>Tapones proteccion auditiva c/ cordón</v>
      </c>
      <c r="C1684" s="4">
        <f>IFERROR(__xludf.DUMMYFUNCTION("""COMPUTED_VALUE"""),0.2208)</f>
        <v>0.2208</v>
      </c>
    </row>
    <row r="1685">
      <c r="A1685" s="4" t="str">
        <f>IFERROR(__xludf.DUMMYFUNCTION("""COMPUTED_VALUE"""),"5201")</f>
        <v>5201</v>
      </c>
      <c r="B1685" s="4" t="str">
        <f>IFERROR(__xludf.DUMMYFUNCTION("""COMPUTED_VALUE"""),"Cascos proteccion auditiva mod. A")</f>
        <v>Cascos proteccion auditiva mod. A</v>
      </c>
      <c r="C1685" s="4">
        <f>IFERROR(__xludf.DUMMYFUNCTION("""COMPUTED_VALUE"""),2.4288)</f>
        <v>2.4288</v>
      </c>
    </row>
    <row r="1686">
      <c r="A1686" s="4" t="str">
        <f>IFERROR(__xludf.DUMMYFUNCTION("""COMPUTED_VALUE"""),"5300L")</f>
        <v>5300L</v>
      </c>
      <c r="B1686" s="4" t="str">
        <f>IFERROR(__xludf.DUMMYFUNCTION("""COMPUTED_VALUE"""),"Faja elastica proteccion lumbar Talla L")</f>
        <v>Faja elastica proteccion lumbar Talla L</v>
      </c>
      <c r="C1686" s="4">
        <f>IFERROR(__xludf.DUMMYFUNCTION("""COMPUTED_VALUE"""),7.584)</f>
        <v>7.584</v>
      </c>
    </row>
    <row r="1687">
      <c r="A1687" s="4" t="str">
        <f>IFERROR(__xludf.DUMMYFUNCTION("""COMPUTED_VALUE"""),"5300XL")</f>
        <v>5300XL</v>
      </c>
      <c r="B1687" s="4" t="str">
        <f>IFERROR(__xludf.DUMMYFUNCTION("""COMPUTED_VALUE"""),"Faja elastica proteccion lumbar Talla XL")</f>
        <v>Faja elastica proteccion lumbar Talla XL</v>
      </c>
      <c r="C1687" s="4">
        <f>IFERROR(__xludf.DUMMYFUNCTION("""COMPUTED_VALUE"""),7.584)</f>
        <v>7.584</v>
      </c>
    </row>
    <row r="1688">
      <c r="A1688" s="4" t="str">
        <f>IFERROR(__xludf.DUMMYFUNCTION("""COMPUTED_VALUE"""),"5300XXL")</f>
        <v>5300XXL</v>
      </c>
      <c r="B1688" s="4" t="str">
        <f>IFERROR(__xludf.DUMMYFUNCTION("""COMPUTED_VALUE"""),"Faja elastica proteccion lumbar Talla XXL")</f>
        <v>Faja elastica proteccion lumbar Talla XXL</v>
      </c>
      <c r="C1688" s="4">
        <f>IFERROR(__xludf.DUMMYFUNCTION("""COMPUTED_VALUE"""),7.584)</f>
        <v>7.584</v>
      </c>
    </row>
    <row r="1689">
      <c r="A1689" s="4" t="str">
        <f>IFERROR(__xludf.DUMMYFUNCTION("""COMPUTED_VALUE"""),"7000")</f>
        <v>7000</v>
      </c>
      <c r="B1689" s="4" t="str">
        <f>IFERROR(__xludf.DUMMYFUNCTION("""COMPUTED_VALUE"""),"Spray fluo 500 ml S MARK rojo")</f>
        <v>Spray fluo 500 ml S MARK rojo</v>
      </c>
      <c r="C1689" s="4">
        <f>IFERROR(__xludf.DUMMYFUNCTION("""COMPUTED_VALUE"""),4.512)</f>
        <v>4.512</v>
      </c>
    </row>
    <row r="1690">
      <c r="A1690" s="4" t="str">
        <f>IFERROR(__xludf.DUMMYFUNCTION("""COMPUTED_VALUE"""),"7001")</f>
        <v>7001</v>
      </c>
      <c r="B1690" s="4" t="str">
        <f>IFERROR(__xludf.DUMMYFUNCTION("""COMPUTED_VALUE"""),"Spray fluo 500 ml S MARK azul")</f>
        <v>Spray fluo 500 ml S MARK azul</v>
      </c>
      <c r="C1690" s="4">
        <f>IFERROR(__xludf.DUMMYFUNCTION("""COMPUTED_VALUE"""),4.512)</f>
        <v>4.512</v>
      </c>
    </row>
    <row r="1691">
      <c r="A1691" s="4" t="str">
        <f>IFERROR(__xludf.DUMMYFUNCTION("""COMPUTED_VALUE"""),"7002")</f>
        <v>7002</v>
      </c>
      <c r="B1691" s="4" t="str">
        <f>IFERROR(__xludf.DUMMYFUNCTION("""COMPUTED_VALUE"""),"Spray fluo 500 ml S MARK amarillo")</f>
        <v>Spray fluo 500 ml S MARK amarillo</v>
      </c>
      <c r="C1691" s="4">
        <f>IFERROR(__xludf.DUMMYFUNCTION("""COMPUTED_VALUE"""),4.512)</f>
        <v>4.512</v>
      </c>
    </row>
    <row r="1692">
      <c r="A1692" s="4" t="str">
        <f>IFERROR(__xludf.DUMMYFUNCTION("""COMPUTED_VALUE"""),"7003")</f>
        <v>7003</v>
      </c>
      <c r="B1692" s="4" t="str">
        <f>IFERROR(__xludf.DUMMYFUNCTION("""COMPUTED_VALUE"""),"Spray fluo 500 ml S MARK verde")</f>
        <v>Spray fluo 500 ml S MARK verde</v>
      </c>
      <c r="C1692" s="4">
        <f>IFERROR(__xludf.DUMMYFUNCTION("""COMPUTED_VALUE"""),4.512)</f>
        <v>4.512</v>
      </c>
    </row>
    <row r="1693">
      <c r="A1693" s="4" t="str">
        <f>IFERROR(__xludf.DUMMYFUNCTION("""COMPUTED_VALUE"""),"7003A")</f>
        <v>7003A</v>
      </c>
      <c r="B1693" s="4" t="str">
        <f>IFERROR(__xludf.DUMMYFUNCTION("""COMPUTED_VALUE"""),"Loseta/superficie para guía peatonal Mod A")</f>
        <v>Loseta/superficie para guía peatonal Mod A</v>
      </c>
      <c r="C1693" s="4">
        <f>IFERROR(__xludf.DUMMYFUNCTION("""COMPUTED_VALUE"""),9.024)</f>
        <v>9.024</v>
      </c>
    </row>
    <row r="1694">
      <c r="A1694" s="4" t="str">
        <f>IFERROR(__xludf.DUMMYFUNCTION("""COMPUTED_VALUE"""),"7004")</f>
        <v>7004</v>
      </c>
      <c r="B1694" s="4" t="str">
        <f>IFERROR(__xludf.DUMMYFUNCTION("""COMPUTED_VALUE"""),"Spray fluo 500 ml S MARK rosa")</f>
        <v>Spray fluo 500 ml S MARK rosa</v>
      </c>
      <c r="C1694" s="4">
        <f>IFERROR(__xludf.DUMMYFUNCTION("""COMPUTED_VALUE"""),4.512)</f>
        <v>4.512</v>
      </c>
    </row>
    <row r="1695">
      <c r="A1695" s="4" t="str">
        <f>IFERROR(__xludf.DUMMYFUNCTION("""COMPUTED_VALUE"""),"7004B")</f>
        <v>7004B</v>
      </c>
      <c r="B1695" s="4" t="str">
        <f>IFERROR(__xludf.DUMMYFUNCTION("""COMPUTED_VALUE"""),"Loseta/superficie para guía peatonal Mod B")</f>
        <v>Loseta/superficie para guía peatonal Mod B</v>
      </c>
      <c r="C1695" s="4">
        <f>IFERROR(__xludf.DUMMYFUNCTION("""COMPUTED_VALUE"""),9.024)</f>
        <v>9.024</v>
      </c>
    </row>
    <row r="1696">
      <c r="A1696" s="4" t="str">
        <f>IFERROR(__xludf.DUMMYFUNCTION("""COMPUTED_VALUE"""),"7005")</f>
        <v>7005</v>
      </c>
      <c r="B1696" s="4" t="str">
        <f>IFERROR(__xludf.DUMMYFUNCTION("""COMPUTED_VALUE"""),"Spray fluo 500 ml S MARK naranja")</f>
        <v>Spray fluo 500 ml S MARK naranja</v>
      </c>
      <c r="C1696" s="4">
        <f>IFERROR(__xludf.DUMMYFUNCTION("""COMPUTED_VALUE"""),4.512)</f>
        <v>4.512</v>
      </c>
    </row>
    <row r="1697">
      <c r="A1697" s="4" t="str">
        <f>IFERROR(__xludf.DUMMYFUNCTION("""COMPUTED_VALUE"""),"7010")</f>
        <v>7010</v>
      </c>
      <c r="B1697" s="4" t="str">
        <f>IFERROR(__xludf.DUMMYFUNCTION("""COMPUTED_VALUE"""),"Spray Fluo 360º 500 ml IDEAL rojo")</f>
        <v>Spray Fluo 360º 500 ml IDEAL rojo</v>
      </c>
      <c r="C1697" s="4">
        <f>IFERROR(__xludf.DUMMYFUNCTION("""COMPUTED_VALUE"""),4.771199999999999)</f>
        <v>4.7712</v>
      </c>
    </row>
    <row r="1698">
      <c r="A1698" s="4" t="str">
        <f>IFERROR(__xludf.DUMMYFUNCTION("""COMPUTED_VALUE"""),"7011")</f>
        <v>7011</v>
      </c>
      <c r="B1698" s="4" t="str">
        <f>IFERROR(__xludf.DUMMYFUNCTION("""COMPUTED_VALUE"""),"Spray Fluo 360º 500 ml IDEAL azul")</f>
        <v>Spray Fluo 360º 500 ml IDEAL azul</v>
      </c>
      <c r="C1698" s="4">
        <f>IFERROR(__xludf.DUMMYFUNCTION("""COMPUTED_VALUE"""),4.771199999999999)</f>
        <v>4.7712</v>
      </c>
    </row>
    <row r="1699">
      <c r="A1699" s="4" t="str">
        <f>IFERROR(__xludf.DUMMYFUNCTION("""COMPUTED_VALUE"""),"7012")</f>
        <v>7012</v>
      </c>
      <c r="B1699" s="4" t="str">
        <f>IFERROR(__xludf.DUMMYFUNCTION("""COMPUTED_VALUE"""),"Spray Fluo 360º 500 ml IDEAL amarillo")</f>
        <v>Spray Fluo 360º 500 ml IDEAL amarillo</v>
      </c>
      <c r="C1699" s="4">
        <f>IFERROR(__xludf.DUMMYFUNCTION("""COMPUTED_VALUE"""),4.771199999999999)</f>
        <v>4.7712</v>
      </c>
    </row>
    <row r="1700">
      <c r="A1700" s="4" t="str">
        <f>IFERROR(__xludf.DUMMYFUNCTION("""COMPUTED_VALUE"""),"7014")</f>
        <v>7014</v>
      </c>
      <c r="B1700" s="4" t="str">
        <f>IFERROR(__xludf.DUMMYFUNCTION("""COMPUTED_VALUE"""),"Spray Fluo 360º 500 ml IDEAL rosa")</f>
        <v>Spray Fluo 360º 500 ml IDEAL rosa</v>
      </c>
      <c r="C1700" s="4">
        <f>IFERROR(__xludf.DUMMYFUNCTION("""COMPUTED_VALUE"""),4.771199999999999)</f>
        <v>4.7712</v>
      </c>
    </row>
    <row r="1701">
      <c r="A1701" s="4" t="str">
        <f>IFERROR(__xludf.DUMMYFUNCTION("""COMPUTED_VALUE"""),"7020")</f>
        <v>7020</v>
      </c>
      <c r="B1701" s="4" t="str">
        <f>IFERROR(__xludf.DUMMYFUNCTION("""COMPUTED_VALUE"""),"Spray 500 ml Line Marker Blanco")</f>
        <v>Spray 500 ml Line Marker Blanco</v>
      </c>
      <c r="C1701" s="4">
        <f>IFERROR(__xludf.DUMMYFUNCTION("""COMPUTED_VALUE"""),7.3104)</f>
        <v>7.3104</v>
      </c>
    </row>
    <row r="1702">
      <c r="A1702" s="4" t="str">
        <f>IFERROR(__xludf.DUMMYFUNCTION("""COMPUTED_VALUE"""),"7022")</f>
        <v>7022</v>
      </c>
      <c r="B1702" s="4" t="str">
        <f>IFERROR(__xludf.DUMMYFUNCTION("""COMPUTED_VALUE"""),"Spray 500 ml Line Marker Amarillo")</f>
        <v>Spray 500 ml Line Marker Amarillo</v>
      </c>
      <c r="C1702" s="4">
        <f>IFERROR(__xludf.DUMMYFUNCTION("""COMPUTED_VALUE"""),7.3104)</f>
        <v>7.3104</v>
      </c>
    </row>
    <row r="1703">
      <c r="A1703" s="4" t="str">
        <f>IFERROR(__xludf.DUMMYFUNCTION("""COMPUTED_VALUE"""),"7025")</f>
        <v>7025</v>
      </c>
      <c r="B1703" s="4" t="str">
        <f>IFERROR(__xludf.DUMMYFUNCTION("""COMPUTED_VALUE"""),"Spray Pintura Luminiscente 400 ml")</f>
        <v>Spray Pintura Luminiscente 400 ml</v>
      </c>
      <c r="C1703" s="4">
        <f>IFERROR(__xludf.DUMMYFUNCTION("""COMPUTED_VALUE"""),17.64)</f>
        <v>17.64</v>
      </c>
    </row>
    <row r="1704">
      <c r="A1704" s="4" t="str">
        <f>IFERROR(__xludf.DUMMYFUNCTION("""COMPUTED_VALUE"""),"80135N1")</f>
        <v>80135N1</v>
      </c>
      <c r="B1704" s="4" t="str">
        <f>IFERROR(__xludf.DUMMYFUNCTION("""COMPUTED_VALUE"""),"Triangulo MOPU TP 135 cm Reflex I")</f>
        <v>Triangulo MOPU TP 135 cm Reflex I</v>
      </c>
      <c r="C1704" s="4">
        <f>IFERROR(__xludf.DUMMYFUNCTION("""COMPUTED_VALUE"""),77.8176)</f>
        <v>77.8176</v>
      </c>
    </row>
    <row r="1705">
      <c r="A1705" s="4" t="str">
        <f>IFERROR(__xludf.DUMMYFUNCTION("""COMPUTED_VALUE"""),"80135N2")</f>
        <v>80135N2</v>
      </c>
      <c r="B1705" s="4" t="str">
        <f>IFERROR(__xludf.DUMMYFUNCTION("""COMPUTED_VALUE"""),"Triangulo MOPU TD 135 cm Reflex II")</f>
        <v>Triangulo MOPU TD 135 cm Reflex II</v>
      </c>
      <c r="C1705" s="4">
        <f>IFERROR(__xludf.DUMMYFUNCTION("""COMPUTED_VALUE"""),112.6944)</f>
        <v>112.6944</v>
      </c>
    </row>
    <row r="1706">
      <c r="A1706" s="4" t="str">
        <f>IFERROR(__xludf.DUMMYFUNCTION("""COMPUTED_VALUE"""),"80135N3")</f>
        <v>80135N3</v>
      </c>
      <c r="B1706" s="4" t="str">
        <f>IFERROR(__xludf.DUMMYFUNCTION("""COMPUTED_VALUE"""),"Triangulo MOPU TD 135 cm Reflex III")</f>
        <v>Triangulo MOPU TD 135 cm Reflex III</v>
      </c>
      <c r="C1706" s="4">
        <f>IFERROR(__xludf.DUMMYFUNCTION("""COMPUTED_VALUE"""),150.144)</f>
        <v>150.144</v>
      </c>
    </row>
    <row r="1707">
      <c r="A1707" s="4" t="str">
        <f>IFERROR(__xludf.DUMMYFUNCTION("""COMPUTED_VALUE"""),"80175N1")</f>
        <v>80175N1</v>
      </c>
      <c r="B1707" s="4" t="str">
        <f>IFERROR(__xludf.DUMMYFUNCTION("""COMPUTED_VALUE"""),"Triangulo MOPU TD 175 cm Reflex I")</f>
        <v>Triangulo MOPU TD 175 cm Reflex I</v>
      </c>
      <c r="C1707" s="4">
        <f>IFERROR(__xludf.DUMMYFUNCTION("""COMPUTED_VALUE"""),171.60959999999997)</f>
        <v>171.6096</v>
      </c>
    </row>
    <row r="1708">
      <c r="A1708" s="4" t="str">
        <f>IFERROR(__xludf.DUMMYFUNCTION("""COMPUTED_VALUE"""),"80175N2")</f>
        <v>80175N2</v>
      </c>
      <c r="B1708" s="4" t="str">
        <f>IFERROR(__xludf.DUMMYFUNCTION("""COMPUTED_VALUE"""),"Triangulo MOPU TD 175 cm Reflex II")</f>
        <v>Triangulo MOPU TD 175 cm Reflex II</v>
      </c>
      <c r="C1708" s="4">
        <f>IFERROR(__xludf.DUMMYFUNCTION("""COMPUTED_VALUE"""),215.6736)</f>
        <v>215.6736</v>
      </c>
    </row>
    <row r="1709">
      <c r="A1709" s="4" t="str">
        <f>IFERROR(__xludf.DUMMYFUNCTION("""COMPUTED_VALUE"""),"80175N3")</f>
        <v>80175N3</v>
      </c>
      <c r="B1709" s="4" t="str">
        <f>IFERROR(__xludf.DUMMYFUNCTION("""COMPUTED_VALUE"""),"Triangulo MOPU TD 175 cm Reflex III")</f>
        <v>Triangulo MOPU TD 175 cm Reflex III</v>
      </c>
      <c r="C1709" s="4">
        <f>IFERROR(__xludf.DUMMYFUNCTION("""COMPUTED_VALUE"""),275.40479999999997)</f>
        <v>275.4048</v>
      </c>
    </row>
    <row r="1710">
      <c r="A1710" s="4" t="str">
        <f>IFERROR(__xludf.DUMMYFUNCTION("""COMPUTED_VALUE"""),"8070N1")</f>
        <v>8070N1</v>
      </c>
      <c r="B1710" s="4" t="str">
        <f>IFERROR(__xludf.DUMMYFUNCTION("""COMPUTED_VALUE"""),"Triangulo MOPU TP 70 cm Reflex I")</f>
        <v>Triangulo MOPU TP 70 cm Reflex I</v>
      </c>
      <c r="C1710" s="4">
        <f>IFERROR(__xludf.DUMMYFUNCTION("""COMPUTED_VALUE"""),23.04)</f>
        <v>23.04</v>
      </c>
    </row>
    <row r="1711">
      <c r="A1711" s="4" t="str">
        <f>IFERROR(__xludf.DUMMYFUNCTION("""COMPUTED_VALUE"""),"8070N2")</f>
        <v>8070N2</v>
      </c>
      <c r="B1711" s="4" t="str">
        <f>IFERROR(__xludf.DUMMYFUNCTION("""COMPUTED_VALUE"""),"Triangulo MOPU TP 70 cm Reflex II")</f>
        <v>Triangulo MOPU TP 70 cm Reflex II</v>
      </c>
      <c r="C1711" s="4">
        <f>IFERROR(__xludf.DUMMYFUNCTION("""COMPUTED_VALUE"""),29.759999999999998)</f>
        <v>29.76</v>
      </c>
    </row>
    <row r="1712">
      <c r="A1712" s="4" t="str">
        <f>IFERROR(__xludf.DUMMYFUNCTION("""COMPUTED_VALUE"""),"8070N3")</f>
        <v>8070N3</v>
      </c>
      <c r="B1712" s="4" t="str">
        <f>IFERROR(__xludf.DUMMYFUNCTION("""COMPUTED_VALUE"""),"Triangulo MOPU TP 70 cm Reflex III")</f>
        <v>Triangulo MOPU TP 70 cm Reflex III</v>
      </c>
      <c r="C1712" s="4">
        <f>IFERROR(__xludf.DUMMYFUNCTION("""COMPUTED_VALUE"""),47.980799999999995)</f>
        <v>47.9808</v>
      </c>
    </row>
    <row r="1713">
      <c r="A1713" s="4" t="str">
        <f>IFERROR(__xludf.DUMMYFUNCTION("""COMPUTED_VALUE"""),"8090N1")</f>
        <v>8090N1</v>
      </c>
      <c r="B1713" s="4" t="str">
        <f>IFERROR(__xludf.DUMMYFUNCTION("""COMPUTED_VALUE"""),"Triangulo MOPU TP 90 cm Reflex I")</f>
        <v>Triangulo MOPU TP 90 cm Reflex I</v>
      </c>
      <c r="C1713" s="4">
        <f>IFERROR(__xludf.DUMMYFUNCTION("""COMPUTED_VALUE"""),42.48)</f>
        <v>42.48</v>
      </c>
    </row>
    <row r="1714">
      <c r="A1714" s="4" t="str">
        <f>IFERROR(__xludf.DUMMYFUNCTION("""COMPUTED_VALUE"""),"8090N2")</f>
        <v>8090N2</v>
      </c>
      <c r="B1714" s="4" t="str">
        <f>IFERROR(__xludf.DUMMYFUNCTION("""COMPUTED_VALUE"""),"Triangulo MOPU TP 90 cm Reflex II")</f>
        <v>Triangulo MOPU TP 90 cm Reflex II</v>
      </c>
      <c r="C1714" s="4">
        <f>IFERROR(__xludf.DUMMYFUNCTION("""COMPUTED_VALUE"""),54.672000000000004)</f>
        <v>54.672</v>
      </c>
    </row>
    <row r="1715">
      <c r="A1715" s="4" t="str">
        <f>IFERROR(__xludf.DUMMYFUNCTION("""COMPUTED_VALUE"""),"8090N3")</f>
        <v>8090N3</v>
      </c>
      <c r="B1715" s="4" t="str">
        <f>IFERROR(__xludf.DUMMYFUNCTION("""COMPUTED_VALUE"""),"Triangulo MOPU TP 90 cm Reflex III")</f>
        <v>Triangulo MOPU TP 90 cm Reflex III</v>
      </c>
      <c r="C1715" s="4">
        <f>IFERROR(__xludf.DUMMYFUNCTION("""COMPUTED_VALUE"""),76.0512)</f>
        <v>76.0512</v>
      </c>
    </row>
    <row r="1716">
      <c r="A1716" s="4" t="str">
        <f>IFERROR(__xludf.DUMMYFUNCTION("""COMPUTED_VALUE"""),"81120N1")</f>
        <v>81120N1</v>
      </c>
      <c r="B1716" s="4" t="str">
        <f>IFERROR(__xludf.DUMMYFUNCTION("""COMPUTED_VALUE"""),"Disco MOPU TR 120 cm Reflex I")</f>
        <v>Disco MOPU TR 120 cm Reflex I</v>
      </c>
      <c r="C1716" s="4">
        <f>IFERROR(__xludf.DUMMYFUNCTION("""COMPUTED_VALUE"""),141.49439999999998)</f>
        <v>141.4944</v>
      </c>
    </row>
    <row r="1717">
      <c r="A1717" s="4" t="str">
        <f>IFERROR(__xludf.DUMMYFUNCTION("""COMPUTED_VALUE"""),"81120N2")</f>
        <v>81120N2</v>
      </c>
      <c r="B1717" s="4" t="str">
        <f>IFERROR(__xludf.DUMMYFUNCTION("""COMPUTED_VALUE"""),"Disco MOPU TR 120 cm Reflex II")</f>
        <v>Disco MOPU TR 120 cm Reflex II</v>
      </c>
      <c r="C1717" s="4">
        <f>IFERROR(__xludf.DUMMYFUNCTION("""COMPUTED_VALUE"""),194.45759999999999)</f>
        <v>194.4576</v>
      </c>
    </row>
    <row r="1718">
      <c r="A1718" s="4" t="str">
        <f>IFERROR(__xludf.DUMMYFUNCTION("""COMPUTED_VALUE"""),"81120N3")</f>
        <v>81120N3</v>
      </c>
      <c r="B1718" s="4" t="str">
        <f>IFERROR(__xludf.DUMMYFUNCTION("""COMPUTED_VALUE"""),"Disco MOPU TR 120 cm Reflex III")</f>
        <v>Disco MOPU TR 120 cm Reflex III</v>
      </c>
      <c r="C1718" s="4">
        <f>IFERROR(__xludf.DUMMYFUNCTION("""COMPUTED_VALUE"""),250.34879999999995)</f>
        <v>250.3488</v>
      </c>
    </row>
    <row r="1719">
      <c r="A1719" s="4" t="str">
        <f>IFERROR(__xludf.DUMMYFUNCTION("""COMPUTED_VALUE"""),"8160N1")</f>
        <v>8160N1</v>
      </c>
      <c r="B1719" s="4" t="str">
        <f>IFERROR(__xludf.DUMMYFUNCTION("""COMPUTED_VALUE"""),"Disco MOPU TR 60 cm Reflex I")</f>
        <v>Disco MOPU TR 60 cm Reflex I</v>
      </c>
      <c r="C1719" s="4">
        <f>IFERROR(__xludf.DUMMYFUNCTION("""COMPUTED_VALUE"""),23.759999999999998)</f>
        <v>23.76</v>
      </c>
    </row>
    <row r="1720">
      <c r="A1720" s="4" t="str">
        <f>IFERROR(__xludf.DUMMYFUNCTION("""COMPUTED_VALUE"""),"8160N2")</f>
        <v>8160N2</v>
      </c>
      <c r="B1720" s="4" t="str">
        <f>IFERROR(__xludf.DUMMYFUNCTION("""COMPUTED_VALUE"""),"Disco MOPU TR 60 cm Reflex II")</f>
        <v>Disco MOPU TR 60 cm Reflex II</v>
      </c>
      <c r="C1720" s="4">
        <f>IFERROR(__xludf.DUMMYFUNCTION("""COMPUTED_VALUE"""),30.144)</f>
        <v>30.144</v>
      </c>
    </row>
    <row r="1721">
      <c r="A1721" s="4" t="str">
        <f>IFERROR(__xludf.DUMMYFUNCTION("""COMPUTED_VALUE"""),"8160N3")</f>
        <v>8160N3</v>
      </c>
      <c r="B1721" s="4" t="str">
        <f>IFERROR(__xludf.DUMMYFUNCTION("""COMPUTED_VALUE"""),"Disco MOPU TR 60 cm Reflex III")</f>
        <v>Disco MOPU TR 60 cm Reflex III</v>
      </c>
      <c r="C1721" s="4">
        <f>IFERROR(__xludf.DUMMYFUNCTION("""COMPUTED_VALUE"""),64.8192)</f>
        <v>64.8192</v>
      </c>
    </row>
    <row r="1722">
      <c r="A1722" s="4" t="str">
        <f>IFERROR(__xludf.DUMMYFUNCTION("""COMPUTED_VALUE"""),"8190N1")</f>
        <v>8190N1</v>
      </c>
      <c r="B1722" s="4" t="str">
        <f>IFERROR(__xludf.DUMMYFUNCTION("""COMPUTED_VALUE"""),"Disco MOPU TR 90 cm Reflex I")</f>
        <v>Disco MOPU TR 90 cm Reflex I</v>
      </c>
      <c r="C1722" s="4">
        <f>IFERROR(__xludf.DUMMYFUNCTION("""COMPUTED_VALUE"""),66.7488)</f>
        <v>66.7488</v>
      </c>
    </row>
    <row r="1723">
      <c r="A1723" s="4" t="str">
        <f>IFERROR(__xludf.DUMMYFUNCTION("""COMPUTED_VALUE"""),"8190N2")</f>
        <v>8190N2</v>
      </c>
      <c r="B1723" s="4" t="str">
        <f>IFERROR(__xludf.DUMMYFUNCTION("""COMPUTED_VALUE"""),"Disco MOPU TR 90 cm Reflex II")</f>
        <v>Disco MOPU TR 90 cm Reflex II</v>
      </c>
      <c r="C1723" s="4">
        <f>IFERROR(__xludf.DUMMYFUNCTION("""COMPUTED_VALUE"""),99.84)</f>
        <v>99.84</v>
      </c>
    </row>
    <row r="1724">
      <c r="A1724" s="4" t="str">
        <f>IFERROR(__xludf.DUMMYFUNCTION("""COMPUTED_VALUE"""),"8190N3")</f>
        <v>8190N3</v>
      </c>
      <c r="B1724" s="4" t="str">
        <f>IFERROR(__xludf.DUMMYFUNCTION("""COMPUTED_VALUE"""),"Disco MOPU TR 90 cm Reflex III")</f>
        <v>Disco MOPU TR 90 cm Reflex III</v>
      </c>
      <c r="C1724" s="4">
        <f>IFERROR(__xludf.DUMMYFUNCTION("""COMPUTED_VALUE"""),144.96)</f>
        <v>144.96</v>
      </c>
    </row>
    <row r="1725">
      <c r="A1725" s="4" t="str">
        <f>IFERROR(__xludf.DUMMYFUNCTION("""COMPUTED_VALUE"""),"8201")</f>
        <v>8201</v>
      </c>
      <c r="B1725" s="4" t="str">
        <f>IFERROR(__xludf.DUMMYFUNCTION("""COMPUTED_VALUE"""),"Adhesivo 11x15 Extintor")</f>
        <v>Adhesivo 11x15 Extintor</v>
      </c>
      <c r="C1725" s="4">
        <f>IFERROR(__xludf.DUMMYFUNCTION("""COMPUTED_VALUE"""),0.528)</f>
        <v>0.528</v>
      </c>
    </row>
    <row r="1726">
      <c r="A1726" s="4" t="str">
        <f>IFERROR(__xludf.DUMMYFUNCTION("""COMPUTED_VALUE"""),"8201/B")</f>
        <v>8201/B</v>
      </c>
      <c r="B1726" s="4" t="str">
        <f>IFERROR(__xludf.DUMMYFUNCTION("""COMPUTED_VALUE"""),"Blister 10 unid. Adhesivo 11x15 Extintor")</f>
        <v>Blister 10 unid. Adhesivo 11x15 Extintor</v>
      </c>
      <c r="C1726" s="4">
        <f>IFERROR(__xludf.DUMMYFUNCTION("""COMPUTED_VALUE"""),4.224)</f>
        <v>4.224</v>
      </c>
    </row>
    <row r="1727">
      <c r="A1727" s="4" t="str">
        <f>IFERROR(__xludf.DUMMYFUNCTION("""COMPUTED_VALUE"""),"8210")</f>
        <v>8210</v>
      </c>
      <c r="B1727" s="4" t="str">
        <f>IFERROR(__xludf.DUMMYFUNCTION("""COMPUTED_VALUE"""),"Adhesivo 11x15 Riesgo electrico")</f>
        <v>Adhesivo 11x15 Riesgo electrico</v>
      </c>
      <c r="C1727" s="4">
        <f>IFERROR(__xludf.DUMMYFUNCTION("""COMPUTED_VALUE"""),0.528)</f>
        <v>0.528</v>
      </c>
    </row>
    <row r="1728">
      <c r="A1728" s="4" t="str">
        <f>IFERROR(__xludf.DUMMYFUNCTION("""COMPUTED_VALUE"""),"8210/B")</f>
        <v>8210/B</v>
      </c>
      <c r="B1728" s="4" t="str">
        <f>IFERROR(__xludf.DUMMYFUNCTION("""COMPUTED_VALUE"""),"Blister 10 unid. Adhesivo 11x15 Riesgo electrico")</f>
        <v>Blister 10 unid. Adhesivo 11x15 Riesgo electrico</v>
      </c>
      <c r="C1728" s="4">
        <f>IFERROR(__xludf.DUMMYFUNCTION("""COMPUTED_VALUE"""),4.224)</f>
        <v>4.224</v>
      </c>
    </row>
    <row r="1729">
      <c r="A1729" s="4" t="str">
        <f>IFERROR(__xludf.DUMMYFUNCTION("""COMPUTED_VALUE"""),"8216")</f>
        <v>8216</v>
      </c>
      <c r="B1729" s="4" t="str">
        <f>IFERROR(__xludf.DUMMYFUNCTION("""COMPUTED_VALUE"""),"Adhesivo 11x15 Materias comburentes")</f>
        <v>Adhesivo 11x15 Materias comburentes</v>
      </c>
      <c r="C1729" s="4">
        <f>IFERROR(__xludf.DUMMYFUNCTION("""COMPUTED_VALUE"""),0.528)</f>
        <v>0.528</v>
      </c>
    </row>
    <row r="1730">
      <c r="A1730" s="4" t="str">
        <f>IFERROR(__xludf.DUMMYFUNCTION("""COMPUTED_VALUE"""),"8216/B")</f>
        <v>8216/B</v>
      </c>
      <c r="B1730" s="4" t="str">
        <f>IFERROR(__xludf.DUMMYFUNCTION("""COMPUTED_VALUE"""),"Blister 10 unid. Adhesivo 11x15 Materias comburentes")</f>
        <v>Blister 10 unid. Adhesivo 11x15 Materias comburentes</v>
      </c>
      <c r="C1730" s="4">
        <f>IFERROR(__xludf.DUMMYFUNCTION("""COMPUTED_VALUE"""),4.224)</f>
        <v>4.224</v>
      </c>
    </row>
    <row r="1731">
      <c r="A1731" s="4" t="str">
        <f>IFERROR(__xludf.DUMMYFUNCTION("""COMPUTED_VALUE"""),"8218")</f>
        <v>8218</v>
      </c>
      <c r="B1731" s="4" t="str">
        <f>IFERROR(__xludf.DUMMYFUNCTION("""COMPUTED_VALUE"""),"Adhesivo 11x15 Campo Magnetico Intenso")</f>
        <v>Adhesivo 11x15 Campo Magnetico Intenso</v>
      </c>
      <c r="C1731" s="4">
        <f>IFERROR(__xludf.DUMMYFUNCTION("""COMPUTED_VALUE"""),0.528)</f>
        <v>0.528</v>
      </c>
    </row>
    <row r="1732">
      <c r="A1732" s="4" t="str">
        <f>IFERROR(__xludf.DUMMYFUNCTION("""COMPUTED_VALUE"""),"8218/B")</f>
        <v>8218/B</v>
      </c>
      <c r="B1732" s="4" t="str">
        <f>IFERROR(__xludf.DUMMYFUNCTION("""COMPUTED_VALUE"""),"Blister 10 unid. Adhesivo 11x15 Campo Magnetico Intenso")</f>
        <v>Blister 10 unid. Adhesivo 11x15 Campo Magnetico Intenso</v>
      </c>
      <c r="C1732" s="4">
        <f>IFERROR(__xludf.DUMMYFUNCTION("""COMPUTED_VALUE"""),4.224)</f>
        <v>4.224</v>
      </c>
    </row>
    <row r="1733">
      <c r="A1733" s="4" t="str">
        <f>IFERROR(__xludf.DUMMYFUNCTION("""COMPUTED_VALUE"""),"8219")</f>
        <v>8219</v>
      </c>
      <c r="B1733" s="4" t="str">
        <f>IFERROR(__xludf.DUMMYFUNCTION("""COMPUTED_VALUE"""),"Adhesivo 11x15 Materias Inflamables")</f>
        <v>Adhesivo 11x15 Materias Inflamables</v>
      </c>
      <c r="C1733" s="4">
        <f>IFERROR(__xludf.DUMMYFUNCTION("""COMPUTED_VALUE"""),0.528)</f>
        <v>0.528</v>
      </c>
    </row>
    <row r="1734">
      <c r="A1734" s="4" t="str">
        <f>IFERROR(__xludf.DUMMYFUNCTION("""COMPUTED_VALUE"""),"8219/B")</f>
        <v>8219/B</v>
      </c>
      <c r="B1734" s="4" t="str">
        <f>IFERROR(__xludf.DUMMYFUNCTION("""COMPUTED_VALUE"""),"Blister 10 unid. Adhesivo 11x15 Materias inflamables")</f>
        <v>Blister 10 unid. Adhesivo 11x15 Materias inflamables</v>
      </c>
      <c r="C1734" s="4">
        <f>IFERROR(__xludf.DUMMYFUNCTION("""COMPUTED_VALUE"""),4.224)</f>
        <v>4.224</v>
      </c>
    </row>
    <row r="1735">
      <c r="A1735" s="4" t="str">
        <f>IFERROR(__xludf.DUMMYFUNCTION("""COMPUTED_VALUE"""),"8220")</f>
        <v>8220</v>
      </c>
      <c r="B1735" s="4" t="str">
        <f>IFERROR(__xludf.DUMMYFUNCTION("""COMPUTED_VALUE"""),"Adhesivo 11x15 Uso oblig. casco")</f>
        <v>Adhesivo 11x15 Uso oblig. casco</v>
      </c>
      <c r="C1735" s="4">
        <f>IFERROR(__xludf.DUMMYFUNCTION("""COMPUTED_VALUE"""),0.528)</f>
        <v>0.528</v>
      </c>
    </row>
    <row r="1736">
      <c r="A1736" s="4" t="str">
        <f>IFERROR(__xludf.DUMMYFUNCTION("""COMPUTED_VALUE"""),"8220/B")</f>
        <v>8220/B</v>
      </c>
      <c r="B1736" s="4" t="str">
        <f>IFERROR(__xludf.DUMMYFUNCTION("""COMPUTED_VALUE"""),"Blister 10 unid. Adhesivo 11x15 Uso oblig. casco")</f>
        <v>Blister 10 unid. Adhesivo 11x15 Uso oblig. casco</v>
      </c>
      <c r="C1736" s="4">
        <f>IFERROR(__xludf.DUMMYFUNCTION("""COMPUTED_VALUE"""),4.224)</f>
        <v>4.224</v>
      </c>
    </row>
    <row r="1737">
      <c r="A1737" s="4" t="str">
        <f>IFERROR(__xludf.DUMMYFUNCTION("""COMPUTED_VALUE"""),"8221")</f>
        <v>8221</v>
      </c>
      <c r="B1737" s="4" t="str">
        <f>IFERROR(__xludf.DUMMYFUNCTION("""COMPUTED_VALUE"""),"Adhesivo 11x15 Uso Oblig. botas")</f>
        <v>Adhesivo 11x15 Uso Oblig. botas</v>
      </c>
      <c r="C1737" s="4">
        <f>IFERROR(__xludf.DUMMYFUNCTION("""COMPUTED_VALUE"""),0.528)</f>
        <v>0.528</v>
      </c>
    </row>
    <row r="1738">
      <c r="A1738" s="4" t="str">
        <f>IFERROR(__xludf.DUMMYFUNCTION("""COMPUTED_VALUE"""),"8221/B")</f>
        <v>8221/B</v>
      </c>
      <c r="B1738" s="4" t="str">
        <f>IFERROR(__xludf.DUMMYFUNCTION("""COMPUTED_VALUE"""),"Blister 10 unid. Adhesivo 11x15 Uso oblig. botas")</f>
        <v>Blister 10 unid. Adhesivo 11x15 Uso oblig. botas</v>
      </c>
      <c r="C1738" s="4">
        <f>IFERROR(__xludf.DUMMYFUNCTION("""COMPUTED_VALUE"""),4.224)</f>
        <v>4.224</v>
      </c>
    </row>
    <row r="1739">
      <c r="A1739" s="4" t="str">
        <f>IFERROR(__xludf.DUMMYFUNCTION("""COMPUTED_VALUE"""),"8222")</f>
        <v>8222</v>
      </c>
      <c r="B1739" s="4" t="str">
        <f>IFERROR(__xludf.DUMMYFUNCTION("""COMPUTED_VALUE"""),"Adhesivo 11x15 Uso oblig Guantes")</f>
        <v>Adhesivo 11x15 Uso oblig Guantes</v>
      </c>
      <c r="C1739" s="4">
        <f>IFERROR(__xludf.DUMMYFUNCTION("""COMPUTED_VALUE"""),0.528)</f>
        <v>0.528</v>
      </c>
    </row>
    <row r="1740">
      <c r="A1740" s="4" t="str">
        <f>IFERROR(__xludf.DUMMYFUNCTION("""COMPUTED_VALUE"""),"8222/B")</f>
        <v>8222/B</v>
      </c>
      <c r="B1740" s="4" t="str">
        <f>IFERROR(__xludf.DUMMYFUNCTION("""COMPUTED_VALUE"""),"Blister 10 unid. Adhesivo 11x15 Uso oblig. guantes")</f>
        <v>Blister 10 unid. Adhesivo 11x15 Uso oblig. guantes</v>
      </c>
      <c r="C1740" s="4">
        <f>IFERROR(__xludf.DUMMYFUNCTION("""COMPUTED_VALUE"""),4.224)</f>
        <v>4.224</v>
      </c>
    </row>
    <row r="1741">
      <c r="A1741" s="4" t="str">
        <f>IFERROR(__xludf.DUMMYFUNCTION("""COMPUTED_VALUE"""),"8223")</f>
        <v>8223</v>
      </c>
      <c r="B1741" s="4" t="str">
        <f>IFERROR(__xludf.DUMMYFUNCTION("""COMPUTED_VALUE"""),"Adhesivo 11x15 Uso oblig. prot. acustica")</f>
        <v>Adhesivo 11x15 Uso oblig. prot. acustica</v>
      </c>
      <c r="C1741" s="4">
        <f>IFERROR(__xludf.DUMMYFUNCTION("""COMPUTED_VALUE"""),0.528)</f>
        <v>0.528</v>
      </c>
    </row>
    <row r="1742">
      <c r="A1742" s="4" t="str">
        <f>IFERROR(__xludf.DUMMYFUNCTION("""COMPUTED_VALUE"""),"8223/B")</f>
        <v>8223/B</v>
      </c>
      <c r="B1742" s="4" t="str">
        <f>IFERROR(__xludf.DUMMYFUNCTION("""COMPUTED_VALUE"""),"Blister 10 unid. Adhesivo 11x15 Uso oblig.protec.acustica")</f>
        <v>Blister 10 unid. Adhesivo 11x15 Uso oblig.protec.acustica</v>
      </c>
      <c r="C1742" s="4">
        <f>IFERROR(__xludf.DUMMYFUNCTION("""COMPUTED_VALUE"""),4.224)</f>
        <v>4.224</v>
      </c>
    </row>
    <row r="1743">
      <c r="A1743" s="4" t="str">
        <f>IFERROR(__xludf.DUMMYFUNCTION("""COMPUTED_VALUE"""),"8226")</f>
        <v>8226</v>
      </c>
      <c r="B1743" s="4" t="str">
        <f>IFERROR(__xludf.DUMMYFUNCTION("""COMPUTED_VALUE"""),"Adhesivo 11x15 Uso oblig Gafas")</f>
        <v>Adhesivo 11x15 Uso oblig Gafas</v>
      </c>
      <c r="C1743" s="4">
        <f>IFERROR(__xludf.DUMMYFUNCTION("""COMPUTED_VALUE"""),0.528)</f>
        <v>0.528</v>
      </c>
    </row>
    <row r="1744">
      <c r="A1744" s="4" t="str">
        <f>IFERROR(__xludf.DUMMYFUNCTION("""COMPUTED_VALUE"""),"8226/B")</f>
        <v>8226/B</v>
      </c>
      <c r="B1744" s="4" t="str">
        <f>IFERROR(__xludf.DUMMYFUNCTION("""COMPUTED_VALUE"""),"Blister 10 unid. Adhesivo 11x15 Uso obligatorio Gafas")</f>
        <v>Blister 10 unid. Adhesivo 11x15 Uso obligatorio Gafas</v>
      </c>
      <c r="C1744" s="4">
        <f>IFERROR(__xludf.DUMMYFUNCTION("""COMPUTED_VALUE"""),4.224)</f>
        <v>4.224</v>
      </c>
    </row>
    <row r="1745">
      <c r="A1745" s="4" t="str">
        <f>IFERROR(__xludf.DUMMYFUNCTION("""COMPUTED_VALUE"""),"8227")</f>
        <v>8227</v>
      </c>
      <c r="B1745" s="4" t="str">
        <f>IFERROR(__xludf.DUMMYFUNCTION("""COMPUTED_VALUE"""),"Adhesivo 11x 15 Uso oblig. arnes segur.")</f>
        <v>Adhesivo 11x 15 Uso oblig. arnes segur.</v>
      </c>
      <c r="C1745" s="4">
        <f>IFERROR(__xludf.DUMMYFUNCTION("""COMPUTED_VALUE"""),0.528)</f>
        <v>0.528</v>
      </c>
    </row>
    <row r="1746">
      <c r="A1746" s="4" t="str">
        <f>IFERROR(__xludf.DUMMYFUNCTION("""COMPUTED_VALUE"""),"8227/B")</f>
        <v>8227/B</v>
      </c>
      <c r="B1746" s="4" t="str">
        <f>IFERROR(__xludf.DUMMYFUNCTION("""COMPUTED_VALUE"""),"Blister 10 und. Adhesivo 11x15 Uso oblig. arnes seguridad")</f>
        <v>Blister 10 und. Adhesivo 11x15 Uso oblig. arnes seguridad</v>
      </c>
      <c r="C1746" s="4">
        <f>IFERROR(__xludf.DUMMYFUNCTION("""COMPUTED_VALUE"""),4.224)</f>
        <v>4.224</v>
      </c>
    </row>
    <row r="1747">
      <c r="A1747" s="4" t="str">
        <f>IFERROR(__xludf.DUMMYFUNCTION("""COMPUTED_VALUE"""),"8230")</f>
        <v>8230</v>
      </c>
      <c r="B1747" s="4" t="str">
        <f>IFERROR(__xludf.DUMMYFUNCTION("""COMPUTED_VALUE"""),"Adhesivo 11x 15 Prohibido Fumar")</f>
        <v>Adhesivo 11x 15 Prohibido Fumar</v>
      </c>
      <c r="C1747" s="4">
        <f>IFERROR(__xludf.DUMMYFUNCTION("""COMPUTED_VALUE"""),0.528)</f>
        <v>0.528</v>
      </c>
    </row>
    <row r="1748">
      <c r="A1748" s="4" t="str">
        <f>IFERROR(__xludf.DUMMYFUNCTION("""COMPUTED_VALUE"""),"8230/B")</f>
        <v>8230/B</v>
      </c>
      <c r="B1748" s="4" t="str">
        <f>IFERROR(__xludf.DUMMYFUNCTION("""COMPUTED_VALUE"""),"Blister 10 unid. Adhesivo 11x15 Prohibido Fumar")</f>
        <v>Blister 10 unid. Adhesivo 11x15 Prohibido Fumar</v>
      </c>
      <c r="C1748" s="4">
        <f>IFERROR(__xludf.DUMMYFUNCTION("""COMPUTED_VALUE"""),4.224)</f>
        <v>4.224</v>
      </c>
    </row>
    <row r="1749">
      <c r="A1749" s="4" t="str">
        <f>IFERROR(__xludf.DUMMYFUNCTION("""COMPUTED_VALUE"""),"8232")</f>
        <v>8232</v>
      </c>
      <c r="B1749" s="4" t="str">
        <f>IFERROR(__xludf.DUMMYFUNCTION("""COMPUTED_VALUE"""),"Adhesivo 11x15 Prohibido pasar sin casco")</f>
        <v>Adhesivo 11x15 Prohibido pasar sin casco</v>
      </c>
      <c r="C1749" s="4">
        <f>IFERROR(__xludf.DUMMYFUNCTION("""COMPUTED_VALUE"""),0.528)</f>
        <v>0.528</v>
      </c>
    </row>
    <row r="1750">
      <c r="A1750" s="4" t="str">
        <f>IFERROR(__xludf.DUMMYFUNCTION("""COMPUTED_VALUE"""),"8232/B")</f>
        <v>8232/B</v>
      </c>
      <c r="B1750" s="4" t="str">
        <f>IFERROR(__xludf.DUMMYFUNCTION("""COMPUTED_VALUE"""),"Blister 10 unid. Adhesivo 11x15 Prohibido pasar sin casco")</f>
        <v>Blister 10 unid. Adhesivo 11x15 Prohibido pasar sin casco</v>
      </c>
      <c r="C1750" s="4">
        <f>IFERROR(__xludf.DUMMYFUNCTION("""COMPUTED_VALUE"""),4.224)</f>
        <v>4.224</v>
      </c>
    </row>
    <row r="1751">
      <c r="A1751" s="4" t="str">
        <f>IFERROR(__xludf.DUMMYFUNCTION("""COMPUTED_VALUE"""),"8238")</f>
        <v>8238</v>
      </c>
      <c r="B1751" s="4" t="str">
        <f>IFERROR(__xludf.DUMMYFUNCTION("""COMPUTED_VALUE"""),"Adhesivo 11x15 Atencion puesta a tierra")</f>
        <v>Adhesivo 11x15 Atencion puesta a tierra</v>
      </c>
      <c r="C1751" s="4">
        <f>IFERROR(__xludf.DUMMYFUNCTION("""COMPUTED_VALUE"""),0.528)</f>
        <v>0.528</v>
      </c>
    </row>
    <row r="1752">
      <c r="A1752" s="4" t="str">
        <f>IFERROR(__xludf.DUMMYFUNCTION("""COMPUTED_VALUE"""),"8238/B")</f>
        <v>8238/B</v>
      </c>
      <c r="B1752" s="4" t="str">
        <f>IFERROR(__xludf.DUMMYFUNCTION("""COMPUTED_VALUE"""),"Blister 10 unid .Adhesivo 11x15 Atencion puesta a tierra")</f>
        <v>Blister 10 unid .Adhesivo 11x15 Atencion puesta a tierra</v>
      </c>
      <c r="C1752" s="4">
        <f>IFERROR(__xludf.DUMMYFUNCTION("""COMPUTED_VALUE"""),4.224)</f>
        <v>4.224</v>
      </c>
    </row>
    <row r="1753">
      <c r="A1753" s="4" t="str">
        <f>IFERROR(__xludf.DUMMYFUNCTION("""COMPUTED_VALUE"""),"8250")</f>
        <v>8250</v>
      </c>
      <c r="B1753" s="4" t="str">
        <f>IFERROR(__xludf.DUMMYFUNCTION("""COMPUTED_VALUE"""),"Adhesivo 11x15 Peligro")</f>
        <v>Adhesivo 11x15 Peligro</v>
      </c>
      <c r="C1753" s="4">
        <f>IFERROR(__xludf.DUMMYFUNCTION("""COMPUTED_VALUE"""),0.528)</f>
        <v>0.528</v>
      </c>
    </row>
    <row r="1754">
      <c r="A1754" s="4" t="str">
        <f>IFERROR(__xludf.DUMMYFUNCTION("""COMPUTED_VALUE"""),"8250/B")</f>
        <v>8250/B</v>
      </c>
      <c r="B1754" s="4" t="str">
        <f>IFERROR(__xludf.DUMMYFUNCTION("""COMPUTED_VALUE"""),"Blister 10 unid. Adhesivo 11x15 Peligro")</f>
        <v>Blister 10 unid. Adhesivo 11x15 Peligro</v>
      </c>
      <c r="C1754" s="4">
        <f>IFERROR(__xludf.DUMMYFUNCTION("""COMPUTED_VALUE"""),4.224)</f>
        <v>4.224</v>
      </c>
    </row>
    <row r="1755">
      <c r="A1755" s="4" t="str">
        <f>IFERROR(__xludf.DUMMYFUNCTION("""COMPUTED_VALUE"""),"8252")</f>
        <v>8252</v>
      </c>
      <c r="B1755" s="4" t="str">
        <f>IFERROR(__xludf.DUMMYFUNCTION("""COMPUTED_VALUE"""),"Adhesivo 11x15 Riesgo de atrapamiento")</f>
        <v>Adhesivo 11x15 Riesgo de atrapamiento</v>
      </c>
      <c r="C1755" s="4">
        <f>IFERROR(__xludf.DUMMYFUNCTION("""COMPUTED_VALUE"""),0.528)</f>
        <v>0.528</v>
      </c>
    </row>
    <row r="1756">
      <c r="A1756" s="4" t="str">
        <f>IFERROR(__xludf.DUMMYFUNCTION("""COMPUTED_VALUE"""),"8252/B")</f>
        <v>8252/B</v>
      </c>
      <c r="B1756" s="4" t="str">
        <f>IFERROR(__xludf.DUMMYFUNCTION("""COMPUTED_VALUE"""),"Blister 10 unid. Adhesivo 11x15 Riesgo de atrapamiento")</f>
        <v>Blister 10 unid. Adhesivo 11x15 Riesgo de atrapamiento</v>
      </c>
      <c r="C1756" s="4">
        <f>IFERROR(__xludf.DUMMYFUNCTION("""COMPUTED_VALUE"""),4.224)</f>
        <v>4.224</v>
      </c>
    </row>
    <row r="1757">
      <c r="A1757" s="4" t="str">
        <f>IFERROR(__xludf.DUMMYFUNCTION("""COMPUTED_VALUE"""),"8253")</f>
        <v>8253</v>
      </c>
      <c r="B1757" s="4" t="str">
        <f>IFERROR(__xludf.DUMMYFUNCTION("""COMPUTED_VALUE"""),"Adhesivo 11x15 Proh. paso toda person ajena empresa")</f>
        <v>Adhesivo 11x15 Proh. paso toda person ajena empresa</v>
      </c>
      <c r="C1757" s="4">
        <f>IFERROR(__xludf.DUMMYFUNCTION("""COMPUTED_VALUE"""),0.528)</f>
        <v>0.528</v>
      </c>
    </row>
    <row r="1758">
      <c r="A1758" s="4" t="str">
        <f>IFERROR(__xludf.DUMMYFUNCTION("""COMPUTED_VALUE"""),"8253/B")</f>
        <v>8253/B</v>
      </c>
      <c r="B1758" s="4" t="str">
        <f>IFERROR(__xludf.DUMMYFUNCTION("""COMPUTED_VALUE"""),"Blister 10 unid. Adehsivo 11x15 Proh. paso toda persona ajena")</f>
        <v>Blister 10 unid. Adehsivo 11x15 Proh. paso toda persona ajena</v>
      </c>
      <c r="C1758" s="4">
        <f>IFERROR(__xludf.DUMMYFUNCTION("""COMPUTED_VALUE"""),4.224)</f>
        <v>4.224</v>
      </c>
    </row>
    <row r="1759">
      <c r="A1759" s="4" t="str">
        <f>IFERROR(__xludf.DUMMYFUNCTION("""COMPUTED_VALUE"""),"8256")</f>
        <v>8256</v>
      </c>
      <c r="B1759" s="4" t="str">
        <f>IFERROR(__xludf.DUMMYFUNCTION("""COMPUTED_VALUE"""),"Adhesivo 11x15 Botiquin")</f>
        <v>Adhesivo 11x15 Botiquin</v>
      </c>
      <c r="C1759" s="4">
        <f>IFERROR(__xludf.DUMMYFUNCTION("""COMPUTED_VALUE"""),0.528)</f>
        <v>0.528</v>
      </c>
    </row>
    <row r="1760">
      <c r="A1760" s="4" t="str">
        <f>IFERROR(__xludf.DUMMYFUNCTION("""COMPUTED_VALUE"""),"8256/B")</f>
        <v>8256/B</v>
      </c>
      <c r="B1760" s="4" t="str">
        <f>IFERROR(__xludf.DUMMYFUNCTION("""COMPUTED_VALUE"""),"Blister 10 unid. adhesivo 11x15 Botiquin")</f>
        <v>Blister 10 unid. adhesivo 11x15 Botiquin</v>
      </c>
      <c r="C1760" s="4">
        <f>IFERROR(__xludf.DUMMYFUNCTION("""COMPUTED_VALUE"""),4.224)</f>
        <v>4.224</v>
      </c>
    </row>
    <row r="1761">
      <c r="A1761" s="4" t="str">
        <f>IFERROR(__xludf.DUMMYFUNCTION("""COMPUTED_VALUE"""),"8275")</f>
        <v>8275</v>
      </c>
      <c r="B1761" s="4" t="str">
        <f>IFERROR(__xludf.DUMMYFUNCTION("""COMPUTED_VALUE"""),"Adhesivo 11x15 Proh. repar.personal no autorizado")</f>
        <v>Adhesivo 11x15 Proh. repar.personal no autorizado</v>
      </c>
      <c r="C1761" s="4">
        <f>IFERROR(__xludf.DUMMYFUNCTION("""COMPUTED_VALUE"""),0.528)</f>
        <v>0.528</v>
      </c>
    </row>
    <row r="1762">
      <c r="A1762" s="4" t="str">
        <f>IFERROR(__xludf.DUMMYFUNCTION("""COMPUTED_VALUE"""),"8275/B")</f>
        <v>8275/B</v>
      </c>
      <c r="B1762" s="4" t="str">
        <f>IFERROR(__xludf.DUMMYFUNCTION("""COMPUTED_VALUE"""),"Blister 10 unid. Adhesivo 11x15 Proh. repar.personal no")</f>
        <v>Blister 10 unid. Adhesivo 11x15 Proh. repar.personal no</v>
      </c>
      <c r="C1762" s="4">
        <f>IFERROR(__xludf.DUMMYFUNCTION("""COMPUTED_VALUE"""),4.224)</f>
        <v>4.224</v>
      </c>
    </row>
    <row r="1763">
      <c r="A1763" s="4" t="str">
        <f>IFERROR(__xludf.DUMMYFUNCTION("""COMPUTED_VALUE"""),"8281")</f>
        <v>8281</v>
      </c>
      <c r="B1763" s="4" t="str">
        <f>IFERROR(__xludf.DUMMYFUNCTION("""COMPUTED_VALUE"""),"Adhesivo 11x15 Agua no potable")</f>
        <v>Adhesivo 11x15 Agua no potable</v>
      </c>
      <c r="C1763" s="4">
        <f>IFERROR(__xludf.DUMMYFUNCTION("""COMPUTED_VALUE"""),0.528)</f>
        <v>0.528</v>
      </c>
    </row>
    <row r="1764">
      <c r="A1764" s="4" t="str">
        <f>IFERROR(__xludf.DUMMYFUNCTION("""COMPUTED_VALUE"""),"8281/B")</f>
        <v>8281/B</v>
      </c>
      <c r="B1764" s="4" t="str">
        <f>IFERROR(__xludf.DUMMYFUNCTION("""COMPUTED_VALUE"""),"Blister 10 unid. Adhesivo 11x15 Agua no potable")</f>
        <v>Blister 10 unid. Adhesivo 11x15 Agua no potable</v>
      </c>
      <c r="C1764" s="4">
        <f>IFERROR(__xludf.DUMMYFUNCTION("""COMPUTED_VALUE"""),4.224)</f>
        <v>4.224</v>
      </c>
    </row>
    <row r="1765">
      <c r="A1765" s="4" t="str">
        <f>IFERROR(__xludf.DUMMYFUNCTION("""COMPUTED_VALUE"""),"8283")</f>
        <v>8283</v>
      </c>
      <c r="B1765" s="4" t="str">
        <f>IFERROR(__xludf.DUMMYFUNCTION("""COMPUTED_VALUE"""),"Adhesivo 10x15 Uso obligatorio de mascara")</f>
        <v>Adhesivo 10x15 Uso obligatorio de mascara</v>
      </c>
      <c r="C1765" s="4">
        <f>IFERROR(__xludf.DUMMYFUNCTION("""COMPUTED_VALUE"""),0.528)</f>
        <v>0.528</v>
      </c>
    </row>
    <row r="1766">
      <c r="A1766" s="4" t="str">
        <f>IFERROR(__xludf.DUMMYFUNCTION("""COMPUTED_VALUE"""),"8283/B")</f>
        <v>8283/B</v>
      </c>
      <c r="B1766" s="4" t="str">
        <f>IFERROR(__xludf.DUMMYFUNCTION("""COMPUTED_VALUE"""),"Blister 10 unid. Adhesivo 11x15 Uso obligatorio mascara")</f>
        <v>Blister 10 unid. Adhesivo 11x15 Uso obligatorio mascara</v>
      </c>
      <c r="C1766" s="4">
        <f>IFERROR(__xludf.DUMMYFUNCTION("""COMPUTED_VALUE"""),4.224)</f>
        <v>4.224</v>
      </c>
    </row>
    <row r="1767">
      <c r="A1767" s="4" t="str">
        <f>IFERROR(__xludf.DUMMYFUNCTION("""COMPUTED_VALUE"""),"8290")</f>
        <v>8290</v>
      </c>
      <c r="B1767" s="4" t="str">
        <f>IFERROR(__xludf.DUMMYFUNCTION("""COMPUTED_VALUE"""),"Adhesivo 11x15 Peligro alta tension")</f>
        <v>Adhesivo 11x15 Peligro alta tension</v>
      </c>
      <c r="C1767" s="4">
        <f>IFERROR(__xludf.DUMMYFUNCTION("""COMPUTED_VALUE"""),0.528)</f>
        <v>0.528</v>
      </c>
    </row>
    <row r="1768">
      <c r="A1768" s="4" t="str">
        <f>IFERROR(__xludf.DUMMYFUNCTION("""COMPUTED_VALUE"""),"8290/B")</f>
        <v>8290/B</v>
      </c>
      <c r="B1768" s="4" t="str">
        <f>IFERROR(__xludf.DUMMYFUNCTION("""COMPUTED_VALUE"""),"Blister 10 unid. Adhesivo 11x15 Peligro Alta Tension")</f>
        <v>Blister 10 unid. Adhesivo 11x15 Peligro Alta Tension</v>
      </c>
      <c r="C1768" s="4">
        <f>IFERROR(__xludf.DUMMYFUNCTION("""COMPUTED_VALUE"""),4.224)</f>
        <v>4.224</v>
      </c>
    </row>
    <row r="1769">
      <c r="A1769" s="4" t="str">
        <f>IFERROR(__xludf.DUMMYFUNCTION("""COMPUTED_VALUE"""),"8291")</f>
        <v>8291</v>
      </c>
      <c r="B1769" s="4" t="str">
        <f>IFERROR(__xludf.DUMMYFUNCTION("""COMPUTED_VALUE"""),"Adhesivo 11x15 Peligro no maniobrar pers.no autor.")</f>
        <v>Adhesivo 11x15 Peligro no maniobrar pers.no autor.</v>
      </c>
      <c r="C1769" s="4">
        <f>IFERROR(__xludf.DUMMYFUNCTION("""COMPUTED_VALUE"""),0.528)</f>
        <v>0.528</v>
      </c>
    </row>
    <row r="1770">
      <c r="A1770" s="4" t="str">
        <f>IFERROR(__xludf.DUMMYFUNCTION("""COMPUTED_VALUE"""),"8291/B")</f>
        <v>8291/B</v>
      </c>
      <c r="B1770" s="4" t="str">
        <f>IFERROR(__xludf.DUMMYFUNCTION("""COMPUTED_VALUE"""),"Blister 10 unid. Adhesivo 11x15 Peligro no maniobrar pers. no")</f>
        <v>Blister 10 unid. Adhesivo 11x15 Peligro no maniobrar pers. no</v>
      </c>
      <c r="C1770" s="4">
        <f>IFERROR(__xludf.DUMMYFUNCTION("""COMPUTED_VALUE"""),4.224)</f>
        <v>4.224</v>
      </c>
    </row>
    <row r="1771">
      <c r="A1771" s="4" t="str">
        <f>IFERROR(__xludf.DUMMYFUNCTION("""COMPUTED_VALUE"""),"83120N1")</f>
        <v>83120N1</v>
      </c>
      <c r="B1771" s="4" t="str">
        <f>IFERROR(__xludf.DUMMYFUNCTION("""COMPUTED_VALUE"""),"Cuadrado MOPU TS 120x120 cm Reflex I")</f>
        <v>Cuadrado MOPU TS 120x120 cm Reflex I</v>
      </c>
      <c r="C1771" s="4">
        <f>IFERROR(__xludf.DUMMYFUNCTION("""COMPUTED_VALUE"""),137.41439999999997)</f>
        <v>137.4144</v>
      </c>
    </row>
    <row r="1772">
      <c r="A1772" s="4" t="str">
        <f>IFERROR(__xludf.DUMMYFUNCTION("""COMPUTED_VALUE"""),"83120N2")</f>
        <v>83120N2</v>
      </c>
      <c r="B1772" s="4" t="str">
        <f>IFERROR(__xludf.DUMMYFUNCTION("""COMPUTED_VALUE"""),"Cuadrado MOPU TS 120x120 cm Reflex II")</f>
        <v>Cuadrado MOPU TS 120x120 cm Reflex II</v>
      </c>
      <c r="C1772" s="4">
        <f>IFERROR(__xludf.DUMMYFUNCTION("""COMPUTED_VALUE"""),192.576)</f>
        <v>192.576</v>
      </c>
    </row>
    <row r="1773">
      <c r="A1773" s="4" t="str">
        <f>IFERROR(__xludf.DUMMYFUNCTION("""COMPUTED_VALUE"""),"83120N3")</f>
        <v>83120N3</v>
      </c>
      <c r="B1773" s="4" t="str">
        <f>IFERROR(__xludf.DUMMYFUNCTION("""COMPUTED_VALUE"""),"Cuadrado MOPU TS 120x120 cm Reflex III")</f>
        <v>Cuadrado MOPU TS 120x120 cm Reflex III</v>
      </c>
      <c r="C1773" s="4">
        <f>IFERROR(__xludf.DUMMYFUNCTION("""COMPUTED_VALUE"""),293.2704)</f>
        <v>293.2704</v>
      </c>
    </row>
    <row r="1774">
      <c r="A1774" s="4" t="str">
        <f>IFERROR(__xludf.DUMMYFUNCTION("""COMPUTED_VALUE"""),"8340N1")</f>
        <v>8340N1</v>
      </c>
      <c r="B1774" s="4" t="str">
        <f>IFERROR(__xludf.DUMMYFUNCTION("""COMPUTED_VALUE"""),"Cuadrado MOPU TS 40x40 cm Reflex I")</f>
        <v>Cuadrado MOPU TS 40x40 cm Reflex I</v>
      </c>
      <c r="C1774" s="4">
        <f>IFERROR(__xludf.DUMMYFUNCTION("""COMPUTED_VALUE"""),29.759999999999998)</f>
        <v>29.76</v>
      </c>
    </row>
    <row r="1775">
      <c r="A1775" s="4" t="str">
        <f>IFERROR(__xludf.DUMMYFUNCTION("""COMPUTED_VALUE"""),"8340N2")</f>
        <v>8340N2</v>
      </c>
      <c r="B1775" s="4" t="str">
        <f>IFERROR(__xludf.DUMMYFUNCTION("""COMPUTED_VALUE"""),"Cuadrado MOPU TS 40x40 cm Reflex II")</f>
        <v>Cuadrado MOPU TS 40x40 cm Reflex II</v>
      </c>
      <c r="C1775" s="4">
        <f>IFERROR(__xludf.DUMMYFUNCTION("""COMPUTED_VALUE"""),34.56)</f>
        <v>34.56</v>
      </c>
    </row>
    <row r="1776">
      <c r="A1776" s="4" t="str">
        <f>IFERROR(__xludf.DUMMYFUNCTION("""COMPUTED_VALUE"""),"8340N3")</f>
        <v>8340N3</v>
      </c>
      <c r="B1776" s="4" t="str">
        <f>IFERROR(__xludf.DUMMYFUNCTION("""COMPUTED_VALUE"""),"Cuadrado MOPU TS 40x40 cm Reflex III")</f>
        <v>Cuadrado MOPU TS 40x40 cm Reflex III</v>
      </c>
      <c r="C1776" s="4">
        <f>IFERROR(__xludf.DUMMYFUNCTION("""COMPUTED_VALUE"""),51.839999999999996)</f>
        <v>51.84</v>
      </c>
    </row>
    <row r="1777">
      <c r="A1777" s="4" t="str">
        <f>IFERROR(__xludf.DUMMYFUNCTION("""COMPUTED_VALUE"""),"8360N1")</f>
        <v>8360N1</v>
      </c>
      <c r="B1777" s="4" t="str">
        <f>IFERROR(__xludf.DUMMYFUNCTION("""COMPUTED_VALUE"""),"Cuadrado MOPU TS 60x60 cm Reflex I")</f>
        <v>Cuadrado MOPU TS 60x60 cm Reflex I</v>
      </c>
      <c r="C1777" s="4">
        <f>IFERROR(__xludf.DUMMYFUNCTION("""COMPUTED_VALUE"""),25.919999999999998)</f>
        <v>25.92</v>
      </c>
    </row>
    <row r="1778">
      <c r="A1778" s="4" t="str">
        <f>IFERROR(__xludf.DUMMYFUNCTION("""COMPUTED_VALUE"""),"8360N2")</f>
        <v>8360N2</v>
      </c>
      <c r="B1778" s="4" t="str">
        <f>IFERROR(__xludf.DUMMYFUNCTION("""COMPUTED_VALUE"""),"Cuadrado MOPU TS 60x60 cm Reflex II")</f>
        <v>Cuadrado MOPU TS 60x60 cm Reflex II</v>
      </c>
      <c r="C1778" s="4">
        <f>IFERROR(__xludf.DUMMYFUNCTION("""COMPUTED_VALUE"""),42.48)</f>
        <v>42.48</v>
      </c>
    </row>
    <row r="1779">
      <c r="A1779" s="4" t="str">
        <f>IFERROR(__xludf.DUMMYFUNCTION("""COMPUTED_VALUE"""),"8360N3")</f>
        <v>8360N3</v>
      </c>
      <c r="B1779" s="4" t="str">
        <f>IFERROR(__xludf.DUMMYFUNCTION("""COMPUTED_VALUE"""),"Cuadrado MOPU TS 60x60 cm Reflex III")</f>
        <v>Cuadrado MOPU TS 60x60 cm Reflex III</v>
      </c>
      <c r="C1779" s="4">
        <f>IFERROR(__xludf.DUMMYFUNCTION("""COMPUTED_VALUE"""),69.84)</f>
        <v>69.84</v>
      </c>
    </row>
    <row r="1780">
      <c r="A1780" s="4" t="str">
        <f>IFERROR(__xludf.DUMMYFUNCTION("""COMPUTED_VALUE"""),"8374")</f>
        <v>8374</v>
      </c>
      <c r="B1780" s="4" t="str">
        <f>IFERROR(__xludf.DUMMYFUNCTION("""COMPUTED_VALUE"""),"Adhesivo 11x15 Riesgo de proyeccion de particulas")</f>
        <v>Adhesivo 11x15 Riesgo de proyeccion de particulas</v>
      </c>
      <c r="C1780" s="4">
        <f>IFERROR(__xludf.DUMMYFUNCTION("""COMPUTED_VALUE"""),0.528)</f>
        <v>0.528</v>
      </c>
    </row>
    <row r="1781">
      <c r="A1781" s="4" t="str">
        <f>IFERROR(__xludf.DUMMYFUNCTION("""COMPUTED_VALUE"""),"8375")</f>
        <v>8375</v>
      </c>
      <c r="B1781" s="4" t="str">
        <f>IFERROR(__xludf.DUMMYFUNCTION("""COMPUTED_VALUE"""),"Adhesivo 11x15 Peligro de incendio")</f>
        <v>Adhesivo 11x15 Peligro de incendio</v>
      </c>
      <c r="C1781" s="4">
        <f>IFERROR(__xludf.DUMMYFUNCTION("""COMPUTED_VALUE"""),0.528)</f>
        <v>0.528</v>
      </c>
    </row>
    <row r="1782">
      <c r="A1782" s="4" t="str">
        <f>IFERROR(__xludf.DUMMYFUNCTION("""COMPUTED_VALUE"""),"8381")</f>
        <v>8381</v>
      </c>
      <c r="B1782" s="4" t="str">
        <f>IFERROR(__xludf.DUMMYFUNCTION("""COMPUTED_VALUE"""),"Adhesivo 11x15 Riesgo contacto térmico")</f>
        <v>Adhesivo 11x15 Riesgo contacto térmico</v>
      </c>
      <c r="C1782" s="4">
        <f>IFERROR(__xludf.DUMMYFUNCTION("""COMPUTED_VALUE"""),0.528)</f>
        <v>0.528</v>
      </c>
    </row>
    <row r="1783">
      <c r="A1783" s="4" t="str">
        <f>IFERROR(__xludf.DUMMYFUNCTION("""COMPUTED_VALUE"""),"8382")</f>
        <v>8382</v>
      </c>
      <c r="B1783" s="4" t="str">
        <f>IFERROR(__xludf.DUMMYFUNCTION("""COMPUTED_VALUE"""),"Adhesivo 11x15 Riesgo de corte")</f>
        <v>Adhesivo 11x15 Riesgo de corte</v>
      </c>
      <c r="C1783" s="4">
        <f>IFERROR(__xludf.DUMMYFUNCTION("""COMPUTED_VALUE"""),0.528)</f>
        <v>0.528</v>
      </c>
    </row>
    <row r="1784">
      <c r="A1784" s="4" t="str">
        <f>IFERROR(__xludf.DUMMYFUNCTION("""COMPUTED_VALUE"""),"8384")</f>
        <v>8384</v>
      </c>
      <c r="B1784" s="4" t="str">
        <f>IFERROR(__xludf.DUMMYFUNCTION("""COMPUTED_VALUE"""),"Adhesivo 10x15 Uso obligatorio equipo autonomo")</f>
        <v>Adhesivo 10x15 Uso obligatorio equipo autonomo</v>
      </c>
      <c r="C1784" s="4">
        <f>IFERROR(__xludf.DUMMYFUNCTION("""COMPUTED_VALUE"""),0.528)</f>
        <v>0.528</v>
      </c>
    </row>
    <row r="1785">
      <c r="A1785" s="4" t="str">
        <f>IFERROR(__xludf.DUMMYFUNCTION("""COMPUTED_VALUE"""),"8385")</f>
        <v>8385</v>
      </c>
      <c r="B1785" s="4" t="str">
        <f>IFERROR(__xludf.DUMMYFUNCTION("""COMPUTED_VALUE"""),"Adhesivo 10x15 peligro temperatura elevada")</f>
        <v>Adhesivo 10x15 peligro temperatura elevada</v>
      </c>
      <c r="C1785" s="4">
        <f>IFERROR(__xludf.DUMMYFUNCTION("""COMPUTED_VALUE"""),0.528)</f>
        <v>0.528</v>
      </c>
    </row>
    <row r="1786">
      <c r="A1786" s="4" t="str">
        <f>IFERROR(__xludf.DUMMYFUNCTION("""COMPUTED_VALUE"""),"8385/B")</f>
        <v>8385/B</v>
      </c>
      <c r="B1786" s="4" t="str">
        <f>IFERROR(__xludf.DUMMYFUNCTION("""COMPUTED_VALUE"""),"Blístes 10 unid. Ahesivo 11x15 Temperatura Elevada")</f>
        <v>Blístes 10 unid. Ahesivo 11x15 Temperatura Elevada</v>
      </c>
      <c r="C1786" s="4">
        <f>IFERROR(__xludf.DUMMYFUNCTION("""COMPUTED_VALUE"""),4.224)</f>
        <v>4.224</v>
      </c>
    </row>
    <row r="1787">
      <c r="A1787" s="4" t="str">
        <f>IFERROR(__xludf.DUMMYFUNCTION("""COMPUTED_VALUE"""),"8390N1")</f>
        <v>8390N1</v>
      </c>
      <c r="B1787" s="4" t="str">
        <f>IFERROR(__xludf.DUMMYFUNCTION("""COMPUTED_VALUE"""),"Cuadrado MOPU TS 90x90 cm Reflex I")</f>
        <v>Cuadrado MOPU TS 90x90 cm Reflex I</v>
      </c>
      <c r="C1787" s="4">
        <f>IFERROR(__xludf.DUMMYFUNCTION("""COMPUTED_VALUE"""),91.2)</f>
        <v>91.2</v>
      </c>
    </row>
    <row r="1788">
      <c r="A1788" s="4" t="str">
        <f>IFERROR(__xludf.DUMMYFUNCTION("""COMPUTED_VALUE"""),"8390N2")</f>
        <v>8390N2</v>
      </c>
      <c r="B1788" s="4" t="str">
        <f>IFERROR(__xludf.DUMMYFUNCTION("""COMPUTED_VALUE"""),"Cuadrado MOPU TS 90x90 cm Reflex II")</f>
        <v>Cuadrado MOPU TS 90x90 cm Reflex II</v>
      </c>
      <c r="C1788" s="4">
        <f>IFERROR(__xludf.DUMMYFUNCTION("""COMPUTED_VALUE"""),125.136)</f>
        <v>125.136</v>
      </c>
    </row>
    <row r="1789">
      <c r="A1789" s="4" t="str">
        <f>IFERROR(__xludf.DUMMYFUNCTION("""COMPUTED_VALUE"""),"8390N3")</f>
        <v>8390N3</v>
      </c>
      <c r="B1789" s="4" t="str">
        <f>IFERROR(__xludf.DUMMYFUNCTION("""COMPUTED_VALUE"""),"Cuadrado MOPU TS 90x90 cm Reflex III")</f>
        <v>Cuadrado MOPU TS 90x90 cm Reflex III</v>
      </c>
      <c r="C1789" s="4">
        <f>IFERROR(__xludf.DUMMYFUNCTION("""COMPUTED_VALUE"""),150.8832)</f>
        <v>150.8832</v>
      </c>
    </row>
    <row r="1790">
      <c r="A1790" s="4" t="str">
        <f>IFERROR(__xludf.DUMMYFUNCTION("""COMPUTED_VALUE"""),"8399")</f>
        <v>8399</v>
      </c>
      <c r="B1790" s="4" t="str">
        <f>IFERROR(__xludf.DUMMYFUNCTION("""COMPUTED_VALUE"""),"Adhesivo Agles Morts 17x25 cm")</f>
        <v>Adhesivo Agles Morts 17x25 cm</v>
      </c>
      <c r="C1790" s="4">
        <f>IFERROR(__xludf.DUMMYFUNCTION("""COMPUTED_VALUE"""),5.76)</f>
        <v>5.76</v>
      </c>
    </row>
    <row r="1791">
      <c r="A1791" s="4" t="str">
        <f>IFERROR(__xludf.DUMMYFUNCTION("""COMPUTED_VALUE"""),"844060N1")</f>
        <v>844060N1</v>
      </c>
      <c r="B1791" s="4" t="str">
        <f>IFERROR(__xludf.DUMMYFUNCTION("""COMPUTED_VALUE"""),"Rectangulo MOPU TS 40x60 cm Reflex I")</f>
        <v>Rectangulo MOPU TS 40x60 cm Reflex I</v>
      </c>
      <c r="C1791" s="4">
        <f>IFERROR(__xludf.DUMMYFUNCTION("""COMPUTED_VALUE"""),35.04)</f>
        <v>35.04</v>
      </c>
    </row>
    <row r="1792">
      <c r="A1792" s="4" t="str">
        <f>IFERROR(__xludf.DUMMYFUNCTION("""COMPUTED_VALUE"""),"844060N2")</f>
        <v>844060N2</v>
      </c>
      <c r="B1792" s="4" t="str">
        <f>IFERROR(__xludf.DUMMYFUNCTION("""COMPUTED_VALUE"""),"Rectangulo MOPU TS 40X60 cm Reflex II")</f>
        <v>Rectangulo MOPU TS 40X60 cm Reflex II</v>
      </c>
      <c r="C1792" s="4">
        <f>IFERROR(__xludf.DUMMYFUNCTION("""COMPUTED_VALUE"""),40.32)</f>
        <v>40.32</v>
      </c>
    </row>
    <row r="1793">
      <c r="A1793" s="4" t="str">
        <f>IFERROR(__xludf.DUMMYFUNCTION("""COMPUTED_VALUE"""),"844060N3")</f>
        <v>844060N3</v>
      </c>
      <c r="B1793" s="4" t="str">
        <f>IFERROR(__xludf.DUMMYFUNCTION("""COMPUTED_VALUE"""),"Rectangulo MOPU TS 40X60 cm Reflex III")</f>
        <v>Rectangulo MOPU TS 40X60 cm Reflex III</v>
      </c>
      <c r="C1793" s="4">
        <f>IFERROR(__xludf.DUMMYFUNCTION("""COMPUTED_VALUE"""),60.0)</f>
        <v>60</v>
      </c>
    </row>
    <row r="1794">
      <c r="A1794" s="4" t="str">
        <f>IFERROR(__xludf.DUMMYFUNCTION("""COMPUTED_VALUE"""),"8460120N1")</f>
        <v>8460120N1</v>
      </c>
      <c r="B1794" s="4" t="str">
        <f>IFERROR(__xludf.DUMMYFUNCTION("""COMPUTED_VALUE"""),"Rectangulo MOPU TS 60x120 cm Reflex I")</f>
        <v>Rectangulo MOPU TS 60x120 cm Reflex I</v>
      </c>
      <c r="C1794" s="4">
        <f>IFERROR(__xludf.DUMMYFUNCTION("""COMPUTED_VALUE"""),105.83999999999999)</f>
        <v>105.84</v>
      </c>
    </row>
    <row r="1795">
      <c r="A1795" s="4" t="str">
        <f>IFERROR(__xludf.DUMMYFUNCTION("""COMPUTED_VALUE"""),"8460120N2")</f>
        <v>8460120N2</v>
      </c>
      <c r="B1795" s="4" t="str">
        <f>IFERROR(__xludf.DUMMYFUNCTION("""COMPUTED_VALUE"""),"Rectangulo MOPU TS 60x120 cm Reflex II")</f>
        <v>Rectangulo MOPU TS 60x120 cm Reflex II</v>
      </c>
      <c r="C1795" s="4">
        <f>IFERROR(__xludf.DUMMYFUNCTION("""COMPUTED_VALUE"""),107.52)</f>
        <v>107.52</v>
      </c>
    </row>
    <row r="1796">
      <c r="A1796" s="4" t="str">
        <f>IFERROR(__xludf.DUMMYFUNCTION("""COMPUTED_VALUE"""),"8460120N3")</f>
        <v>8460120N3</v>
      </c>
      <c r="B1796" s="4" t="str">
        <f>IFERROR(__xludf.DUMMYFUNCTION("""COMPUTED_VALUE"""),"Rectangulo MOPU TS 60x120 cm Reflex III")</f>
        <v>Rectangulo MOPU TS 60x120 cm Reflex III</v>
      </c>
      <c r="C1796" s="4">
        <f>IFERROR(__xludf.DUMMYFUNCTION("""COMPUTED_VALUE"""),157.44)</f>
        <v>157.44</v>
      </c>
    </row>
    <row r="1797">
      <c r="A1797" s="4" t="str">
        <f>IFERROR(__xludf.DUMMYFUNCTION("""COMPUTED_VALUE"""),"846090N1")</f>
        <v>846090N1</v>
      </c>
      <c r="B1797" s="4" t="str">
        <f>IFERROR(__xludf.DUMMYFUNCTION("""COMPUTED_VALUE"""),"Rectangulo MOPU TS 60x90 cm Reflex I")</f>
        <v>Rectangulo MOPU TS 60x90 cm Reflex I</v>
      </c>
      <c r="C1797" s="4">
        <f>IFERROR(__xludf.DUMMYFUNCTION("""COMPUTED_VALUE"""),42.239999999999995)</f>
        <v>42.24</v>
      </c>
    </row>
    <row r="1798">
      <c r="A1798" s="4" t="str">
        <f>IFERROR(__xludf.DUMMYFUNCTION("""COMPUTED_VALUE"""),"846090N2")</f>
        <v>846090N2</v>
      </c>
      <c r="B1798" s="4" t="str">
        <f>IFERROR(__xludf.DUMMYFUNCTION("""COMPUTED_VALUE"""),"Rectangulo MOPU TS 60x90 cm Reflex II")</f>
        <v>Rectangulo MOPU TS 60x90 cm Reflex II</v>
      </c>
      <c r="C1798" s="4">
        <f>IFERROR(__xludf.DUMMYFUNCTION("""COMPUTED_VALUE"""),84.52799999999999)</f>
        <v>84.528</v>
      </c>
    </row>
    <row r="1799">
      <c r="A1799" s="4" t="str">
        <f>IFERROR(__xludf.DUMMYFUNCTION("""COMPUTED_VALUE"""),"846090N3")</f>
        <v>846090N3</v>
      </c>
      <c r="B1799" s="4" t="str">
        <f>IFERROR(__xludf.DUMMYFUNCTION("""COMPUTED_VALUE"""),"Rectangulo MOPU TS 60x90 cm Reflex III")</f>
        <v>Rectangulo MOPU TS 60x90 cm Reflex III</v>
      </c>
      <c r="C1799" s="4">
        <f>IFERROR(__xludf.DUMMYFUNCTION("""COMPUTED_VALUE"""),111.0144)</f>
        <v>111.0144</v>
      </c>
    </row>
    <row r="1800">
      <c r="A1800" s="4" t="str">
        <f>IFERROR(__xludf.DUMMYFUNCTION("""COMPUTED_VALUE"""),"8490135N1")</f>
        <v>8490135N1</v>
      </c>
      <c r="B1800" s="4" t="str">
        <f>IFERROR(__xludf.DUMMYFUNCTION("""COMPUTED_VALUE"""),"Rectangulo MOPU TS 90x135 cm Reflex I")</f>
        <v>Rectangulo MOPU TS 90x135 cm Reflex I</v>
      </c>
      <c r="C1800" s="4">
        <f>IFERROR(__xludf.DUMMYFUNCTION("""COMPUTED_VALUE"""),110.97599999999998)</f>
        <v>110.976</v>
      </c>
    </row>
    <row r="1801">
      <c r="A1801" s="4" t="str">
        <f>IFERROR(__xludf.DUMMYFUNCTION("""COMPUTED_VALUE"""),"8490135N2")</f>
        <v>8490135N2</v>
      </c>
      <c r="B1801" s="4" t="str">
        <f>IFERROR(__xludf.DUMMYFUNCTION("""COMPUTED_VALUE"""),"Rectangulo MOPU TS 90x135 cm Reflex II")</f>
        <v>Rectangulo MOPU TS 90x135 cm Reflex II</v>
      </c>
      <c r="C1801" s="4">
        <f>IFERROR(__xludf.DUMMYFUNCTION("""COMPUTED_VALUE"""),183.1488)</f>
        <v>183.1488</v>
      </c>
    </row>
    <row r="1802">
      <c r="A1802" s="4" t="str">
        <f>IFERROR(__xludf.DUMMYFUNCTION("""COMPUTED_VALUE"""),"8490135N3")</f>
        <v>8490135N3</v>
      </c>
      <c r="B1802" s="4" t="str">
        <f>IFERROR(__xludf.DUMMYFUNCTION("""COMPUTED_VALUE"""),"Rectangulo MOPU TS 90x135 cm Reflex III")</f>
        <v>Rectangulo MOPU TS 90x135 cm Reflex III</v>
      </c>
      <c r="C1802" s="4">
        <f>IFERROR(__xludf.DUMMYFUNCTION("""COMPUTED_VALUE"""),247.57439999999997)</f>
        <v>247.5744</v>
      </c>
    </row>
    <row r="1803">
      <c r="A1803" s="4" t="str">
        <f>IFERROR(__xludf.DUMMYFUNCTION("""COMPUTED_VALUE"""),"8500N")</f>
        <v>8500N</v>
      </c>
      <c r="B1803" s="4" t="str">
        <f>IFERROR(__xludf.DUMMYFUNCTION("""COMPUTED_VALUE"""),"Señal 30 cm metálica Triangular Normal")</f>
        <v>Señal 30 cm metálica Triangular Normal</v>
      </c>
      <c r="C1803" s="4">
        <f>IFERROR(__xludf.DUMMYFUNCTION("""COMPUTED_VALUE"""),7.92)</f>
        <v>7.92</v>
      </c>
    </row>
    <row r="1804">
      <c r="A1804" s="4" t="str">
        <f>IFERROR(__xludf.DUMMYFUNCTION("""COMPUTED_VALUE"""),"8500N1")</f>
        <v>8500N1</v>
      </c>
      <c r="B1804" s="4" t="str">
        <f>IFERROR(__xludf.DUMMYFUNCTION("""COMPUTED_VALUE"""),"Señal 30 cm metálica Triangular Nivel 1")</f>
        <v>Señal 30 cm metálica Triangular Nivel 1</v>
      </c>
      <c r="C1804" s="4">
        <f>IFERROR(__xludf.DUMMYFUNCTION("""COMPUTED_VALUE"""),8.879999999999999)</f>
        <v>8.88</v>
      </c>
    </row>
    <row r="1805">
      <c r="A1805" s="4" t="str">
        <f>IFERROR(__xludf.DUMMYFUNCTION("""COMPUTED_VALUE"""),"854020N1")</f>
        <v>854020N1</v>
      </c>
      <c r="B1805" s="4" t="str">
        <f>IFERROR(__xludf.DUMMYFUNCTION("""COMPUTED_VALUE"""),"Cajetin MOPU TS 40x20 cm Reflex I")</f>
        <v>Cajetin MOPU TS 40x20 cm Reflex I</v>
      </c>
      <c r="C1805" s="4">
        <f>IFERROR(__xludf.DUMMYFUNCTION("""COMPUTED_VALUE"""),15.206399999999999)</f>
        <v>15.2064</v>
      </c>
    </row>
    <row r="1806">
      <c r="A1806" s="4" t="str">
        <f>IFERROR(__xludf.DUMMYFUNCTION("""COMPUTED_VALUE"""),"854020N2")</f>
        <v>854020N2</v>
      </c>
      <c r="B1806" s="4" t="str">
        <f>IFERROR(__xludf.DUMMYFUNCTION("""COMPUTED_VALUE"""),"Cajetin MOPU TS 40x20 cm Reflex II")</f>
        <v>Cajetin MOPU TS 40x20 cm Reflex II</v>
      </c>
      <c r="C1806" s="4">
        <f>IFERROR(__xludf.DUMMYFUNCTION("""COMPUTED_VALUE"""),22.08)</f>
        <v>22.08</v>
      </c>
    </row>
    <row r="1807">
      <c r="A1807" s="4" t="str">
        <f>IFERROR(__xludf.DUMMYFUNCTION("""COMPUTED_VALUE"""),"854020N3")</f>
        <v>854020N3</v>
      </c>
      <c r="B1807" s="4" t="str">
        <f>IFERROR(__xludf.DUMMYFUNCTION("""COMPUTED_VALUE"""),"Cajetin MOPU TS 40x20 cm Reflex III")</f>
        <v>Cajetin MOPU TS 40x20 cm Reflex III</v>
      </c>
      <c r="C1807" s="4">
        <f>IFERROR(__xludf.DUMMYFUNCTION("""COMPUTED_VALUE"""),27.1872)</f>
        <v>27.1872</v>
      </c>
    </row>
    <row r="1808">
      <c r="A1808" s="4" t="str">
        <f>IFERROR(__xludf.DUMMYFUNCTION("""COMPUTED_VALUE"""),"856020N1")</f>
        <v>856020N1</v>
      </c>
      <c r="B1808" s="4" t="str">
        <f>IFERROR(__xludf.DUMMYFUNCTION("""COMPUTED_VALUE"""),"Cajetin MOPU TS 60x20 cm Reflex I")</f>
        <v>Cajetin MOPU TS 60x20 cm Reflex I</v>
      </c>
      <c r="C1808" s="4">
        <f>IFERROR(__xludf.DUMMYFUNCTION("""COMPUTED_VALUE"""),20.16)</f>
        <v>20.16</v>
      </c>
    </row>
    <row r="1809">
      <c r="A1809" s="4" t="str">
        <f>IFERROR(__xludf.DUMMYFUNCTION("""COMPUTED_VALUE"""),"856030N1")</f>
        <v>856030N1</v>
      </c>
      <c r="B1809" s="4" t="str">
        <f>IFERROR(__xludf.DUMMYFUNCTION("""COMPUTED_VALUE"""),"Cajetin MOPU TS 60x30 cm Reflex I")</f>
        <v>Cajetin MOPU TS 60x30 cm Reflex I</v>
      </c>
      <c r="C1809" s="4">
        <f>IFERROR(__xludf.DUMMYFUNCTION("""COMPUTED_VALUE"""),20.4)</f>
        <v>20.4</v>
      </c>
    </row>
    <row r="1810">
      <c r="A1810" s="4" t="str">
        <f>IFERROR(__xludf.DUMMYFUNCTION("""COMPUTED_VALUE"""),"856030N2")</f>
        <v>856030N2</v>
      </c>
      <c r="B1810" s="4" t="str">
        <f>IFERROR(__xludf.DUMMYFUNCTION("""COMPUTED_VALUE"""),"Cajetin MOPU TS 60x30 cm Reflex II")</f>
        <v>Cajetin MOPU TS 60x30 cm Reflex II</v>
      </c>
      <c r="C1810" s="4">
        <f>IFERROR(__xludf.DUMMYFUNCTION("""COMPUTED_VALUE"""),35.0688)</f>
        <v>35.0688</v>
      </c>
    </row>
    <row r="1811">
      <c r="A1811" s="4" t="str">
        <f>IFERROR(__xludf.DUMMYFUNCTION("""COMPUTED_VALUE"""),"856030N3")</f>
        <v>856030N3</v>
      </c>
      <c r="B1811" s="4" t="str">
        <f>IFERROR(__xludf.DUMMYFUNCTION("""COMPUTED_VALUE"""),"Cajetin MOPU TS 60x30 cm Reflex III")</f>
        <v>Cajetin MOPU TS 60x30 cm Reflex III</v>
      </c>
      <c r="C1811" s="4">
        <f>IFERROR(__xludf.DUMMYFUNCTION("""COMPUTED_VALUE"""),44.4)</f>
        <v>44.4</v>
      </c>
    </row>
    <row r="1812">
      <c r="A1812" s="4" t="str">
        <f>IFERROR(__xludf.DUMMYFUNCTION("""COMPUTED_VALUE"""),"8600N")</f>
        <v>8600N</v>
      </c>
      <c r="B1812" s="4" t="str">
        <f>IFERROR(__xludf.DUMMYFUNCTION("""COMPUTED_VALUE"""),"Señal 30 cm metálica Circular Normal")</f>
        <v>Señal 30 cm metálica Circular Normal</v>
      </c>
      <c r="C1812" s="4">
        <f>IFERROR(__xludf.DUMMYFUNCTION("""COMPUTED_VALUE"""),7.92)</f>
        <v>7.92</v>
      </c>
    </row>
    <row r="1813">
      <c r="A1813" s="4" t="str">
        <f>IFERROR(__xludf.DUMMYFUNCTION("""COMPUTED_VALUE"""),"8600N1")</f>
        <v>8600N1</v>
      </c>
      <c r="B1813" s="4" t="str">
        <f>IFERROR(__xludf.DUMMYFUNCTION("""COMPUTED_VALUE"""),"Señal 30 cm metálica Circular Nivel 1")</f>
        <v>Señal 30 cm metálica Circular Nivel 1</v>
      </c>
      <c r="C1813" s="4">
        <f>IFERROR(__xludf.DUMMYFUNCTION("""COMPUTED_VALUE"""),8.879999999999999)</f>
        <v>8.88</v>
      </c>
    </row>
    <row r="1814">
      <c r="A1814" s="4" t="str">
        <f>IFERROR(__xludf.DUMMYFUNCTION("""COMPUTED_VALUE"""),"8700N")</f>
        <v>8700N</v>
      </c>
      <c r="B1814" s="4" t="str">
        <f>IFERROR(__xludf.DUMMYFUNCTION("""COMPUTED_VALUE"""),"Señal 30 cm metálica Cuadrado Normal")</f>
        <v>Señal 30 cm metálica Cuadrado Normal</v>
      </c>
      <c r="C1814" s="4">
        <f>IFERROR(__xludf.DUMMYFUNCTION("""COMPUTED_VALUE"""),7.92)</f>
        <v>7.92</v>
      </c>
    </row>
    <row r="1815">
      <c r="A1815" s="4" t="str">
        <f>IFERROR(__xludf.DUMMYFUNCTION("""COMPUTED_VALUE"""),"8700N1")</f>
        <v>8700N1</v>
      </c>
      <c r="B1815" s="4" t="str">
        <f>IFERROR(__xludf.DUMMYFUNCTION("""COMPUTED_VALUE"""),"Señal 30 cm metálica Rectangular Nivel 1")</f>
        <v>Señal 30 cm metálica Rectangular Nivel 1</v>
      </c>
      <c r="C1815" s="4">
        <f>IFERROR(__xludf.DUMMYFUNCTION("""COMPUTED_VALUE"""),8.879999999999999)</f>
        <v>8.88</v>
      </c>
    </row>
    <row r="1816">
      <c r="A1816" s="4" t="str">
        <f>IFERROR(__xludf.DUMMYFUNCTION("""COMPUTED_VALUE"""),"8716545N1")</f>
        <v>8716545N1</v>
      </c>
      <c r="B1816" s="4" t="str">
        <f>IFERROR(__xludf.DUMMYFUNCTION("""COMPUTED_VALUE"""),"Panel direccional estrecho R/B TB-2 165x45 cm Reflex I")</f>
        <v>Panel direccional estrecho R/B TB-2 165x45 cm Reflex I</v>
      </c>
      <c r="C1816" s="4">
        <f>IFERROR(__xludf.DUMMYFUNCTION("""COMPUTED_VALUE"""),71.6832)</f>
        <v>71.6832</v>
      </c>
    </row>
    <row r="1817">
      <c r="A1817" s="4" t="str">
        <f>IFERROR(__xludf.DUMMYFUNCTION("""COMPUTED_VALUE"""),"8716545N2")</f>
        <v>8716545N2</v>
      </c>
      <c r="B1817" s="4" t="str">
        <f>IFERROR(__xludf.DUMMYFUNCTION("""COMPUTED_VALUE"""),"Panel direccional estrecho R/B TB-2 165x45 cm Reflex II")</f>
        <v>Panel direccional estrecho R/B TB-2 165x45 cm Reflex II</v>
      </c>
      <c r="C1817" s="4">
        <f>IFERROR(__xludf.DUMMYFUNCTION("""COMPUTED_VALUE"""),86.16)</f>
        <v>86.16</v>
      </c>
    </row>
    <row r="1818">
      <c r="A1818" s="4" t="str">
        <f>IFERROR(__xludf.DUMMYFUNCTION("""COMPUTED_VALUE"""),"8716545N3")</f>
        <v>8716545N3</v>
      </c>
      <c r="B1818" s="4" t="str">
        <f>IFERROR(__xludf.DUMMYFUNCTION("""COMPUTED_VALUE"""),"Panle direccional estrecho R/B TB-2 165x45 cm Reflex III")</f>
        <v>Panle direccional estrecho R/B TB-2 165x45 cm Reflex III</v>
      </c>
      <c r="C1818" s="4">
        <f>IFERROR(__xludf.DUMMYFUNCTION("""COMPUTED_VALUE"""),119.6928)</f>
        <v>119.6928</v>
      </c>
    </row>
    <row r="1819">
      <c r="A1819" s="4" t="str">
        <f>IFERROR(__xludf.DUMMYFUNCTION("""COMPUTED_VALUE"""),"8719595N1")</f>
        <v>8719595N1</v>
      </c>
      <c r="B1819" s="4" t="str">
        <f>IFERROR(__xludf.DUMMYFUNCTION("""COMPUTED_VALUE"""),"Panel direccional alto R/B TB-1 195x95 cm Reflex I")</f>
        <v>Panel direccional alto R/B TB-1 195x95 cm Reflex I</v>
      </c>
      <c r="C1819" s="4">
        <f>IFERROR(__xludf.DUMMYFUNCTION("""COMPUTED_VALUE"""),198.576)</f>
        <v>198.576</v>
      </c>
    </row>
    <row r="1820">
      <c r="A1820" s="4" t="str">
        <f>IFERROR(__xludf.DUMMYFUNCTION("""COMPUTED_VALUE"""),"8719595N2")</f>
        <v>8719595N2</v>
      </c>
      <c r="B1820" s="4" t="str">
        <f>IFERROR(__xludf.DUMMYFUNCTION("""COMPUTED_VALUE"""),"Panel direccional alto R/B TB-1 195x95 cm Reflex II")</f>
        <v>Panel direccional alto R/B TB-1 195x95 cm Reflex II</v>
      </c>
      <c r="C1820" s="4">
        <f>IFERROR(__xludf.DUMMYFUNCTION("""COMPUTED_VALUE"""),231.35999999999999)</f>
        <v>231.36</v>
      </c>
    </row>
    <row r="1821">
      <c r="A1821" s="4" t="str">
        <f>IFERROR(__xludf.DUMMYFUNCTION("""COMPUTED_VALUE"""),"8719595N3")</f>
        <v>8719595N3</v>
      </c>
      <c r="B1821" s="4" t="str">
        <f>IFERROR(__xludf.DUMMYFUNCTION("""COMPUTED_VALUE"""),"Panel direccional alto R/B TB-1 195x95 cm Reflex III")</f>
        <v>Panel direccional alto R/B TB-1 195x95 cm Reflex III</v>
      </c>
      <c r="C1821" s="4">
        <f>IFERROR(__xludf.DUMMYFUNCTION("""COMPUTED_VALUE"""),307.632)</f>
        <v>307.632</v>
      </c>
    </row>
    <row r="1822">
      <c r="A1822" s="4" t="str">
        <f>IFERROR(__xludf.DUMMYFUNCTION("""COMPUTED_VALUE"""),"878040N1")</f>
        <v>878040N1</v>
      </c>
      <c r="B1822" s="4" t="str">
        <f>IFERROR(__xludf.DUMMYFUNCTION("""COMPUTED_VALUE"""),"Panel direccional estrecho R/B TB-2 80x40 cm Reflex I")</f>
        <v>Panel direccional estrecho R/B TB-2 80x40 cm Reflex I</v>
      </c>
      <c r="C1822" s="4">
        <f>IFERROR(__xludf.DUMMYFUNCTION("""COMPUTED_VALUE"""),41.28)</f>
        <v>41.28</v>
      </c>
    </row>
    <row r="1823">
      <c r="A1823" s="4" t="str">
        <f>IFERROR(__xludf.DUMMYFUNCTION("""COMPUTED_VALUE"""),"878040N2")</f>
        <v>878040N2</v>
      </c>
      <c r="B1823" s="4" t="str">
        <f>IFERROR(__xludf.DUMMYFUNCTION("""COMPUTED_VALUE"""),"Panel direccional estrecho R/B TB-2 80x40 cm Reflex II")</f>
        <v>Panel direccional estrecho R/B TB-2 80x40 cm Reflex II</v>
      </c>
      <c r="C1823" s="4">
        <f>IFERROR(__xludf.DUMMYFUNCTION("""COMPUTED_VALUE"""),63.552)</f>
        <v>63.552</v>
      </c>
    </row>
    <row r="1824">
      <c r="A1824" s="4" t="str">
        <f>IFERROR(__xludf.DUMMYFUNCTION("""COMPUTED_VALUE"""),"878040N3")</f>
        <v>878040N3</v>
      </c>
      <c r="B1824" s="4" t="str">
        <f>IFERROR(__xludf.DUMMYFUNCTION("""COMPUTED_VALUE"""),"Panel direccional estrecho R/B TB-2 80x40 cm Reflex III")</f>
        <v>Panel direccional estrecho R/B TB-2 80x40 cm Reflex III</v>
      </c>
      <c r="C1824" s="4">
        <f>IFERROR(__xludf.DUMMYFUNCTION("""COMPUTED_VALUE"""),78.144)</f>
        <v>78.144</v>
      </c>
    </row>
    <row r="1825">
      <c r="A1825" s="4" t="str">
        <f>IFERROR(__xludf.DUMMYFUNCTION("""COMPUTED_VALUE"""),"8800N")</f>
        <v>8800N</v>
      </c>
      <c r="B1825" s="4" t="str">
        <f>IFERROR(__xludf.DUMMYFUNCTION("""COMPUTED_VALUE"""),"Señal 30 cm metálica STOP Normal")</f>
        <v>Señal 30 cm metálica STOP Normal</v>
      </c>
      <c r="C1825" s="4">
        <f>IFERROR(__xludf.DUMMYFUNCTION("""COMPUTED_VALUE"""),7.92)</f>
        <v>7.92</v>
      </c>
    </row>
    <row r="1826">
      <c r="A1826" s="4" t="str">
        <f>IFERROR(__xludf.DUMMYFUNCTION("""COMPUTED_VALUE"""),"8800N1")</f>
        <v>8800N1</v>
      </c>
      <c r="B1826" s="4" t="str">
        <f>IFERROR(__xludf.DUMMYFUNCTION("""COMPUTED_VALUE"""),"Señal 30 cm metálica STOP Nivel 1")</f>
        <v>Señal 30 cm metálica STOP Nivel 1</v>
      </c>
      <c r="C1826" s="4">
        <f>IFERROR(__xludf.DUMMYFUNCTION("""COMPUTED_VALUE"""),8.879999999999999)</f>
        <v>8.88</v>
      </c>
    </row>
    <row r="1827">
      <c r="A1827" s="4" t="str">
        <f>IFERROR(__xludf.DUMMYFUNCTION("""COMPUTED_VALUE"""),"88140251")</f>
        <v>88140251</v>
      </c>
      <c r="B1827" s="4" t="str">
        <f>IFERROR(__xludf.DUMMYFUNCTION("""COMPUTED_VALUE"""),"Valla movil para obras TB-5")</f>
        <v>Valla movil para obras TB-5</v>
      </c>
      <c r="C1827" s="4">
        <f>IFERROR(__xludf.DUMMYFUNCTION("""COMPUTED_VALUE"""),77.712)</f>
        <v>77.712</v>
      </c>
    </row>
    <row r="1828">
      <c r="A1828" s="4" t="str">
        <f>IFERROR(__xludf.DUMMYFUNCTION("""COMPUTED_VALUE"""),"8819560N1")</f>
        <v>8819560N1</v>
      </c>
      <c r="B1828" s="4" t="str">
        <f>IFERROR(__xludf.DUMMYFUNCTION("""COMPUTED_VALUE"""),"Panel Hastial 195x60 cm Reflex I 50%")</f>
        <v>Panel Hastial 195x60 cm Reflex I 50%</v>
      </c>
      <c r="C1828" s="4">
        <f>IFERROR(__xludf.DUMMYFUNCTION("""COMPUTED_VALUE"""),128.64)</f>
        <v>128.64</v>
      </c>
    </row>
    <row r="1829">
      <c r="A1829" s="4" t="str">
        <f>IFERROR(__xludf.DUMMYFUNCTION("""COMPUTED_VALUE"""),"883010N1")</f>
        <v>883010N1</v>
      </c>
      <c r="B1829" s="4" t="str">
        <f>IFERROR(__xludf.DUMMYFUNCTION("""COMPUTED_VALUE"""),"Piqueta 30x10 cm TB-7 NI")</f>
        <v>Piqueta 30x10 cm TB-7 NI</v>
      </c>
      <c r="C1829" s="4">
        <f>IFERROR(__xludf.DUMMYFUNCTION("""COMPUTED_VALUE"""),11.28)</f>
        <v>11.28</v>
      </c>
    </row>
    <row r="1830">
      <c r="A1830" s="4" t="str">
        <f>IFERROR(__xludf.DUMMYFUNCTION("""COMPUTED_VALUE"""),"884030N1")</f>
        <v>884030N1</v>
      </c>
      <c r="B1830" s="4" t="str">
        <f>IFERROR(__xludf.DUMMYFUNCTION("""COMPUTED_VALUE"""),"Plac 40x30 cm Escalon Lateral c/piqueta Reflex")</f>
        <v>Plac 40x30 cm Escalon Lateral c/piqueta Reflex</v>
      </c>
      <c r="C1830" s="4">
        <f>IFERROR(__xludf.DUMMYFUNCTION("""COMPUTED_VALUE"""),23.328)</f>
        <v>23.328</v>
      </c>
    </row>
    <row r="1831">
      <c r="A1831" s="4" t="str">
        <f>IFERROR(__xludf.DUMMYFUNCTION("""COMPUTED_VALUE"""),"8840N1")</f>
        <v>8840N1</v>
      </c>
      <c r="B1831" s="4" t="str">
        <f>IFERROR(__xludf.DUMMYFUNCTION("""COMPUTED_VALUE"""),"Piqueta 40 cm de jalonamiento TB-11 Reflex")</f>
        <v>Piqueta 40 cm de jalonamiento TB-11 Reflex</v>
      </c>
      <c r="C1831" s="4">
        <f>IFERROR(__xludf.DUMMYFUNCTION("""COMPUTED_VALUE"""),8.448)</f>
        <v>8.448</v>
      </c>
    </row>
    <row r="1832">
      <c r="A1832" s="4" t="str">
        <f>IFERROR(__xludf.DUMMYFUNCTION("""COMPUTED_VALUE"""),"887015DN1")</f>
        <v>887015DN1</v>
      </c>
      <c r="B1832" s="4" t="str">
        <f>IFERROR(__xludf.DUMMYFUNCTION("""COMPUTED_VALUE"""),"Baliza de señalizacion obra TB-8 NI Derecha")</f>
        <v>Baliza de señalizacion obra TB-8 NI Derecha</v>
      </c>
      <c r="C1832" s="4">
        <f>IFERROR(__xludf.DUMMYFUNCTION("""COMPUTED_VALUE"""),37.68)</f>
        <v>37.68</v>
      </c>
    </row>
    <row r="1833">
      <c r="A1833" s="4" t="str">
        <f>IFERROR(__xludf.DUMMYFUNCTION("""COMPUTED_VALUE"""),"887015IN1")</f>
        <v>887015IN1</v>
      </c>
      <c r="B1833" s="4" t="str">
        <f>IFERROR(__xludf.DUMMYFUNCTION("""COMPUTED_VALUE"""),"Baliza de señalizacion obra TB-9 NI Izquierda")</f>
        <v>Baliza de señalizacion obra TB-9 NI Izquierda</v>
      </c>
      <c r="C1833" s="4">
        <f>IFERROR(__xludf.DUMMYFUNCTION("""COMPUTED_VALUE"""),37.68)</f>
        <v>37.68</v>
      </c>
    </row>
    <row r="1834">
      <c r="A1834" s="4" t="str">
        <f>IFERROR(__xludf.DUMMYFUNCTION("""COMPUTED_VALUE"""),"889530N1")</f>
        <v>889530N1</v>
      </c>
      <c r="B1834" s="4" t="str">
        <f>IFERROR(__xludf.DUMMYFUNCTION("""COMPUTED_VALUE"""),"Panel Hastial 95x30 cm Reflex I 50%")</f>
        <v>Panel Hastial 95x30 cm Reflex I 50%</v>
      </c>
      <c r="C1834" s="4">
        <f>IFERROR(__xludf.DUMMYFUNCTION("""COMPUTED_VALUE"""),55.68)</f>
        <v>55.68</v>
      </c>
    </row>
    <row r="1835">
      <c r="A1835" s="4" t="str">
        <f>IFERROR(__xludf.DUMMYFUNCTION("""COMPUTED_VALUE"""),"889530N2")</f>
        <v>889530N2</v>
      </c>
      <c r="B1835" s="4" t="str">
        <f>IFERROR(__xludf.DUMMYFUNCTION("""COMPUTED_VALUE"""),"Panel Hastial 95x30 cm Reflex II 50%")</f>
        <v>Panel Hastial 95x30 cm Reflex II 50%</v>
      </c>
      <c r="C1835" s="4">
        <f>IFERROR(__xludf.DUMMYFUNCTION("""COMPUTED_VALUE"""),66.24)</f>
        <v>66.24</v>
      </c>
    </row>
    <row r="1836">
      <c r="A1836" s="4" t="str">
        <f>IFERROR(__xludf.DUMMYFUNCTION("""COMPUTED_VALUE"""),"9000")</f>
        <v>9000</v>
      </c>
      <c r="B1836" s="4" t="str">
        <f>IFERROR(__xludf.DUMMYFUNCTION("""COMPUTED_VALUE"""),"Reductor velocidad 60x50x4.5 cm Mod. G")</f>
        <v>Reductor velocidad 60x50x4.5 cm Mod. G</v>
      </c>
      <c r="C1836" s="4">
        <f>IFERROR(__xludf.DUMMYFUNCTION("""COMPUTED_VALUE"""),20.4)</f>
        <v>20.4</v>
      </c>
    </row>
    <row r="1837">
      <c r="A1837" s="4" t="str">
        <f>IFERROR(__xludf.DUMMYFUNCTION("""COMPUTED_VALUE"""),"9001")</f>
        <v>9001</v>
      </c>
      <c r="B1837" s="4" t="str">
        <f>IFERROR(__xludf.DUMMYFUNCTION("""COMPUTED_VALUE"""),"Extremo reductor veloc. 60x25x4,5 cm Mod. G")</f>
        <v>Extremo reductor veloc. 60x25x4,5 cm Mod. G</v>
      </c>
      <c r="C1837" s="4">
        <f>IFERROR(__xludf.DUMMYFUNCTION("""COMPUTED_VALUE"""),13.2)</f>
        <v>13.2</v>
      </c>
    </row>
    <row r="1838">
      <c r="A1838" s="4" t="str">
        <f>IFERROR(__xludf.DUMMYFUNCTION("""COMPUTED_VALUE"""),"9004")</f>
        <v>9004</v>
      </c>
      <c r="B1838" s="4" t="str">
        <f>IFERROR(__xludf.DUMMYFUNCTION("""COMPUTED_VALUE"""),"Reductor velocidad 40x50x4.5 cm Mod. F")</f>
        <v>Reductor velocidad 40x50x4.5 cm Mod. F</v>
      </c>
      <c r="C1838" s="4">
        <f>IFERROR(__xludf.DUMMYFUNCTION("""COMPUTED_VALUE"""),17.616)</f>
        <v>17.616</v>
      </c>
    </row>
    <row r="1839">
      <c r="A1839" s="4" t="str">
        <f>IFERROR(__xludf.DUMMYFUNCTION("""COMPUTED_VALUE"""),"9005")</f>
        <v>9005</v>
      </c>
      <c r="B1839" s="4" t="str">
        <f>IFERROR(__xludf.DUMMYFUNCTION("""COMPUTED_VALUE"""),"Extremo reductor veloc. 40x25x4.5 cm Mod. F")</f>
        <v>Extremo reductor veloc. 40x25x4.5 cm Mod. F</v>
      </c>
      <c r="C1839" s="4">
        <f>IFERROR(__xludf.DUMMYFUNCTION("""COMPUTED_VALUE"""),12.24)</f>
        <v>12.24</v>
      </c>
    </row>
    <row r="1840">
      <c r="A1840" s="4" t="str">
        <f>IFERROR(__xludf.DUMMYFUNCTION("""COMPUTED_VALUE"""),"9006")</f>
        <v>9006</v>
      </c>
      <c r="B1840" s="4" t="str">
        <f>IFERROR(__xludf.DUMMYFUNCTION("""COMPUTED_VALUE"""),"Reductor velocidad 30x33x4 cm Mod. E")</f>
        <v>Reductor velocidad 30x33x4 cm Mod. E</v>
      </c>
      <c r="C1840" s="4">
        <f>IFERROR(__xludf.DUMMYFUNCTION("""COMPUTED_VALUE"""),14.064)</f>
        <v>14.064</v>
      </c>
    </row>
    <row r="1841">
      <c r="A1841" s="4" t="str">
        <f>IFERROR(__xludf.DUMMYFUNCTION("""COMPUTED_VALUE"""),"9007")</f>
        <v>9007</v>
      </c>
      <c r="B1841" s="4" t="str">
        <f>IFERROR(__xludf.DUMMYFUNCTION("""COMPUTED_VALUE"""),"Extremo reductor velocid. 30x15x4 cm Mod. E")</f>
        <v>Extremo reductor velocid. 30x15x4 cm Mod. E</v>
      </c>
      <c r="C1841" s="4">
        <f>IFERROR(__xludf.DUMMYFUNCTION("""COMPUTED_VALUE"""),9.024)</f>
        <v>9.024</v>
      </c>
    </row>
    <row r="1842">
      <c r="A1842" s="4" t="str">
        <f>IFERROR(__xludf.DUMMYFUNCTION("""COMPUTED_VALUE"""),"9008")</f>
        <v>9008</v>
      </c>
      <c r="B1842" s="4" t="str">
        <f>IFERROR(__xludf.DUMMYFUNCTION("""COMPUTED_VALUE"""),"Reductor velocidad 90x50x5 cm Mod. H")</f>
        <v>Reductor velocidad 90x50x5 cm Mod. H</v>
      </c>
      <c r="C1842" s="4">
        <f>IFERROR(__xludf.DUMMYFUNCTION("""COMPUTED_VALUE"""),36.192)</f>
        <v>36.192</v>
      </c>
    </row>
    <row r="1843">
      <c r="A1843" s="4" t="str">
        <f>IFERROR(__xludf.DUMMYFUNCTION("""COMPUTED_VALUE"""),"9009")</f>
        <v>9009</v>
      </c>
      <c r="B1843" s="4" t="str">
        <f>IFERROR(__xludf.DUMMYFUNCTION("""COMPUTED_VALUE"""),"Extremo reductor veloc. 90x25x5 cm Mod. H")</f>
        <v>Extremo reductor veloc. 90x25x5 cm Mod. H</v>
      </c>
      <c r="C1843" s="4">
        <f>IFERROR(__xludf.DUMMYFUNCTION("""COMPUTED_VALUE"""),20.4)</f>
        <v>20.4</v>
      </c>
    </row>
    <row r="1844">
      <c r="A1844" s="4" t="str">
        <f>IFERROR(__xludf.DUMMYFUNCTION("""COMPUTED_VALUE"""),"9010")</f>
        <v>9010</v>
      </c>
      <c r="B1844" s="4" t="str">
        <f>IFERROR(__xludf.DUMMYFUNCTION("""COMPUTED_VALUE"""),"Reductor velocidad High impact Amarillo")</f>
        <v>Reductor velocidad High impact Amarillo</v>
      </c>
      <c r="C1844" s="4">
        <f>IFERROR(__xludf.DUMMYFUNCTION("""COMPUTED_VALUE"""),13.44)</f>
        <v>13.44</v>
      </c>
    </row>
    <row r="1845">
      <c r="A1845" s="4" t="str">
        <f>IFERROR(__xludf.DUMMYFUNCTION("""COMPUTED_VALUE"""),"9011")</f>
        <v>9011</v>
      </c>
      <c r="B1845" s="4" t="str">
        <f>IFERROR(__xludf.DUMMYFUNCTION("""COMPUTED_VALUE"""),"Reductor velocidad High impact Negro")</f>
        <v>Reductor velocidad High impact Negro</v>
      </c>
      <c r="C1845" s="4">
        <f>IFERROR(__xludf.DUMMYFUNCTION("""COMPUTED_VALUE"""),13.44)</f>
        <v>13.44</v>
      </c>
    </row>
    <row r="1846">
      <c r="A1846" s="4" t="str">
        <f>IFERROR(__xludf.DUMMYFUNCTION("""COMPUTED_VALUE"""),"9012")</f>
        <v>9012</v>
      </c>
      <c r="B1846" s="4" t="str">
        <f>IFERROR(__xludf.DUMMYFUNCTION("""COMPUTED_VALUE"""),"Extremo reductor velocidad High Impact amarillo")</f>
        <v>Extremo reductor velocidad High Impact amarillo</v>
      </c>
      <c r="C1846" s="4">
        <f>IFERROR(__xludf.DUMMYFUNCTION("""COMPUTED_VALUE"""),4.32)</f>
        <v>4.32</v>
      </c>
    </row>
    <row r="1847">
      <c r="A1847" s="4" t="str">
        <f>IFERROR(__xludf.DUMMYFUNCTION("""COMPUTED_VALUE"""),"9013")</f>
        <v>9013</v>
      </c>
      <c r="B1847" s="4" t="str">
        <f>IFERROR(__xludf.DUMMYFUNCTION("""COMPUTED_VALUE"""),"Extremo reductor velocidad High Impact negro")</f>
        <v>Extremo reductor velocidad High Impact negro</v>
      </c>
      <c r="C1847" s="4">
        <f>IFERROR(__xludf.DUMMYFUNCTION("""COMPUTED_VALUE"""),4.32)</f>
        <v>4.32</v>
      </c>
    </row>
    <row r="1848">
      <c r="A1848" s="4" t="str">
        <f>IFERROR(__xludf.DUMMYFUNCTION("""COMPUTED_VALUE"""),"90135N")</f>
        <v>90135N</v>
      </c>
      <c r="B1848" s="4" t="str">
        <f>IFERROR(__xludf.DUMMYFUNCTION("""COMPUTED_VALUE"""),"Señal MOPU T.D. 135 cm N")</f>
        <v>Señal MOPU T.D. 135 cm N</v>
      </c>
      <c r="C1848" s="4">
        <f>IFERROR(__xludf.DUMMYFUNCTION("""COMPUTED_VALUE"""),86.4288)</f>
        <v>86.4288</v>
      </c>
    </row>
    <row r="1849">
      <c r="A1849" s="4" t="str">
        <f>IFERROR(__xludf.DUMMYFUNCTION("""COMPUTED_VALUE"""),"90135N1")</f>
        <v>90135N1</v>
      </c>
      <c r="B1849" s="4" t="str">
        <f>IFERROR(__xludf.DUMMYFUNCTION("""COMPUTED_VALUE"""),"Señal MOPU T.D. 135 cm NI")</f>
        <v>Señal MOPU T.D. 135 cm NI</v>
      </c>
      <c r="C1849" s="4">
        <f>IFERROR(__xludf.DUMMYFUNCTION("""COMPUTED_VALUE"""),95.1264)</f>
        <v>95.1264</v>
      </c>
    </row>
    <row r="1850">
      <c r="A1850" s="4" t="str">
        <f>IFERROR(__xludf.DUMMYFUNCTION("""COMPUTED_VALUE"""),"90135N2")</f>
        <v>90135N2</v>
      </c>
      <c r="B1850" s="4" t="str">
        <f>IFERROR(__xludf.DUMMYFUNCTION("""COMPUTED_VALUE"""),"Señal MOPU T.D. 135 cm NII")</f>
        <v>Señal MOPU T.D. 135 cm NII</v>
      </c>
      <c r="C1850" s="4">
        <f>IFERROR(__xludf.DUMMYFUNCTION("""COMPUTED_VALUE"""),127.4784)</f>
        <v>127.4784</v>
      </c>
    </row>
    <row r="1851">
      <c r="A1851" s="4" t="str">
        <f>IFERROR(__xludf.DUMMYFUNCTION("""COMPUTED_VALUE"""),"90135N3")</f>
        <v>90135N3</v>
      </c>
      <c r="B1851" s="4" t="str">
        <f>IFERROR(__xludf.DUMMYFUNCTION("""COMPUTED_VALUE"""),"Señal MOPU T.D. 135 cm NIII")</f>
        <v>Señal MOPU T.D. 135 cm NIII</v>
      </c>
      <c r="C1851" s="4">
        <f>IFERROR(__xludf.DUMMYFUNCTION("""COMPUTED_VALUE"""),168.91199999999998)</f>
        <v>168.912</v>
      </c>
    </row>
    <row r="1852">
      <c r="A1852" s="4" t="str">
        <f>IFERROR(__xludf.DUMMYFUNCTION("""COMPUTED_VALUE"""),"9014")</f>
        <v>9014</v>
      </c>
      <c r="B1852" s="4" t="str">
        <f>IFERROR(__xludf.DUMMYFUNCTION("""COMPUTED_VALUE"""),"Reductor velocidad High impact Amarillo pasacables")</f>
        <v>Reductor velocidad High impact Amarillo pasacables</v>
      </c>
      <c r="C1852" s="4">
        <f>IFERROR(__xludf.DUMMYFUNCTION("""COMPUTED_VALUE"""),12.48)</f>
        <v>12.48</v>
      </c>
    </row>
    <row r="1853">
      <c r="A1853" s="4" t="str">
        <f>IFERROR(__xludf.DUMMYFUNCTION("""COMPUTED_VALUE"""),"9015")</f>
        <v>9015</v>
      </c>
      <c r="B1853" s="4" t="str">
        <f>IFERROR(__xludf.DUMMYFUNCTION("""COMPUTED_VALUE"""),"Reductor velocidad High impact Negro pasacables")</f>
        <v>Reductor velocidad High impact Negro pasacables</v>
      </c>
      <c r="C1853" s="4">
        <f>IFERROR(__xludf.DUMMYFUNCTION("""COMPUTED_VALUE"""),12.48)</f>
        <v>12.48</v>
      </c>
    </row>
    <row r="1854">
      <c r="A1854" s="4" t="str">
        <f>IFERROR(__xludf.DUMMYFUNCTION("""COMPUTED_VALUE"""),"9016")</f>
        <v>9016</v>
      </c>
      <c r="B1854" s="4" t="str">
        <f>IFERROR(__xludf.DUMMYFUNCTION("""COMPUTED_VALUE"""),"Reductor velocidad Ovaglint 200x120x28 mm")</f>
        <v>Reductor velocidad Ovaglint 200x120x28 mm</v>
      </c>
      <c r="C1854" s="4">
        <f>IFERROR(__xludf.DUMMYFUNCTION("""COMPUTED_VALUE"""),4.32)</f>
        <v>4.32</v>
      </c>
    </row>
    <row r="1855">
      <c r="A1855" s="4" t="str">
        <f>IFERROR(__xludf.DUMMYFUNCTION("""COMPUTED_VALUE"""),"90175N1")</f>
        <v>90175N1</v>
      </c>
      <c r="B1855" s="4" t="str">
        <f>IFERROR(__xludf.DUMMYFUNCTION("""COMPUTED_VALUE"""),"Señal MOPU T.D. 175 cm NI")</f>
        <v>Señal MOPU T.D. 175 cm NI</v>
      </c>
      <c r="C1855" s="4">
        <f>IFERROR(__xludf.DUMMYFUNCTION("""COMPUTED_VALUE"""),187.3536)</f>
        <v>187.3536</v>
      </c>
    </row>
    <row r="1856">
      <c r="A1856" s="4" t="str">
        <f>IFERROR(__xludf.DUMMYFUNCTION("""COMPUTED_VALUE"""),"90175N2")</f>
        <v>90175N2</v>
      </c>
      <c r="B1856" s="4" t="str">
        <f>IFERROR(__xludf.DUMMYFUNCTION("""COMPUTED_VALUE"""),"Señal MOPU T.D. 175 cm NII")</f>
        <v>Señal MOPU T.D. 175 cm NII</v>
      </c>
      <c r="C1856" s="4">
        <f>IFERROR(__xludf.DUMMYFUNCTION("""COMPUTED_VALUE"""),209.88479999999998)</f>
        <v>209.8848</v>
      </c>
    </row>
    <row r="1857">
      <c r="A1857" s="4" t="str">
        <f>IFERROR(__xludf.DUMMYFUNCTION("""COMPUTED_VALUE"""),"90175N3")</f>
        <v>90175N3</v>
      </c>
      <c r="B1857" s="4" t="str">
        <f>IFERROR(__xludf.DUMMYFUNCTION("""COMPUTED_VALUE"""),"Señal MOPU T.D. 175 cm NIII")</f>
        <v>Señal MOPU T.D. 175 cm NIII</v>
      </c>
      <c r="C1857" s="4">
        <f>IFERROR(__xludf.DUMMYFUNCTION("""COMPUTED_VALUE"""),301.4304)</f>
        <v>301.4304</v>
      </c>
    </row>
    <row r="1858">
      <c r="A1858" s="4" t="str">
        <f>IFERROR(__xludf.DUMMYFUNCTION("""COMPUTED_VALUE"""),"9070N")</f>
        <v>9070N</v>
      </c>
      <c r="B1858" s="4" t="str">
        <f>IFERROR(__xludf.DUMMYFUNCTION("""COMPUTED_VALUE"""),"Señal MOPU T.D. 70 cm N")</f>
        <v>Señal MOPU T.D. 70 cm N</v>
      </c>
      <c r="C1858" s="4">
        <f>IFERROR(__xludf.DUMMYFUNCTION("""COMPUTED_VALUE"""),27.8016)</f>
        <v>27.8016</v>
      </c>
    </row>
    <row r="1859">
      <c r="A1859" s="4" t="str">
        <f>IFERROR(__xludf.DUMMYFUNCTION("""COMPUTED_VALUE"""),"9070N1")</f>
        <v>9070N1</v>
      </c>
      <c r="B1859" s="4" t="str">
        <f>IFERROR(__xludf.DUMMYFUNCTION("""COMPUTED_VALUE"""),"Señal MOPU T.D. 70 cm NI")</f>
        <v>Señal MOPU T.D. 70 cm NI</v>
      </c>
      <c r="C1859" s="4">
        <f>IFERROR(__xludf.DUMMYFUNCTION("""COMPUTED_VALUE"""),34.6176)</f>
        <v>34.6176</v>
      </c>
    </row>
    <row r="1860">
      <c r="A1860" s="4" t="str">
        <f>IFERROR(__xludf.DUMMYFUNCTION("""COMPUTED_VALUE"""),"9070N2")</f>
        <v>9070N2</v>
      </c>
      <c r="B1860" s="4" t="str">
        <f>IFERROR(__xludf.DUMMYFUNCTION("""COMPUTED_VALUE"""),"Señal MOPU T.D. 70 cm NII")</f>
        <v>Señal MOPU T.D. 70 cm NII</v>
      </c>
      <c r="C1860" s="4">
        <f>IFERROR(__xludf.DUMMYFUNCTION("""COMPUTED_VALUE"""),43.267199999999995)</f>
        <v>43.2672</v>
      </c>
    </row>
    <row r="1861">
      <c r="A1861" s="4" t="str">
        <f>IFERROR(__xludf.DUMMYFUNCTION("""COMPUTED_VALUE"""),"9070N3")</f>
        <v>9070N3</v>
      </c>
      <c r="B1861" s="4" t="str">
        <f>IFERROR(__xludf.DUMMYFUNCTION("""COMPUTED_VALUE"""),"Señal MOPU T.D. 70 cm NIII")</f>
        <v>Señal MOPU T.D. 70 cm NIII</v>
      </c>
      <c r="C1861" s="4">
        <f>IFERROR(__xludf.DUMMYFUNCTION("""COMPUTED_VALUE"""),57.023999999999994)</f>
        <v>57.024</v>
      </c>
    </row>
    <row r="1862">
      <c r="A1862" s="4" t="str">
        <f>IFERROR(__xludf.DUMMYFUNCTION("""COMPUTED_VALUE"""),"9090N")</f>
        <v>9090N</v>
      </c>
      <c r="B1862" s="4" t="str">
        <f>IFERROR(__xludf.DUMMYFUNCTION("""COMPUTED_VALUE"""),"Señal MOPU T.D. 90 cm N")</f>
        <v>Señal MOPU T.D. 90 cm N</v>
      </c>
      <c r="C1862" s="4">
        <f>IFERROR(__xludf.DUMMYFUNCTION("""COMPUTED_VALUE"""),39.993599999999994)</f>
        <v>39.9936</v>
      </c>
    </row>
    <row r="1863">
      <c r="A1863" s="4" t="str">
        <f>IFERROR(__xludf.DUMMYFUNCTION("""COMPUTED_VALUE"""),"9090N1")</f>
        <v>9090N1</v>
      </c>
      <c r="B1863" s="4" t="str">
        <f>IFERROR(__xludf.DUMMYFUNCTION("""COMPUTED_VALUE"""),"Señal MOPU T.D. 90 cm NI")</f>
        <v>Señal MOPU T.D. 90 cm NI</v>
      </c>
      <c r="C1863" s="4">
        <f>IFERROR(__xludf.DUMMYFUNCTION("""COMPUTED_VALUE"""),48.864)</f>
        <v>48.864</v>
      </c>
    </row>
    <row r="1864">
      <c r="A1864" s="4" t="str">
        <f>IFERROR(__xludf.DUMMYFUNCTION("""COMPUTED_VALUE"""),"9090N2")</f>
        <v>9090N2</v>
      </c>
      <c r="B1864" s="4" t="str">
        <f>IFERROR(__xludf.DUMMYFUNCTION("""COMPUTED_VALUE"""),"Señal MOPU T.D. 90 cm NII")</f>
        <v>Señal MOPU T.D. 90 cm NII</v>
      </c>
      <c r="C1864" s="4">
        <f>IFERROR(__xludf.DUMMYFUNCTION("""COMPUTED_VALUE"""),63.67679999999999)</f>
        <v>63.6768</v>
      </c>
    </row>
    <row r="1865">
      <c r="A1865" s="4" t="str">
        <f>IFERROR(__xludf.DUMMYFUNCTION("""COMPUTED_VALUE"""),"9090N3")</f>
        <v>9090N3</v>
      </c>
      <c r="B1865" s="4" t="str">
        <f>IFERROR(__xludf.DUMMYFUNCTION("""COMPUTED_VALUE"""),"Señal MOPU T.D. 90 cm NIII")</f>
        <v>Señal MOPU T.D. 90 cm NIII</v>
      </c>
      <c r="C1865" s="4">
        <f>IFERROR(__xludf.DUMMYFUNCTION("""COMPUTED_VALUE"""),84.6144)</f>
        <v>84.6144</v>
      </c>
    </row>
    <row r="1866">
      <c r="A1866" s="4" t="str">
        <f>IFERROR(__xludf.DUMMYFUNCTION("""COMPUTED_VALUE"""),"91120N")</f>
        <v>91120N</v>
      </c>
      <c r="B1866" s="4" t="str">
        <f>IFERROR(__xludf.DUMMYFUNCTION("""COMPUTED_VALUE"""),"Señal MOPU R.D. 120cm N")</f>
        <v>Señal MOPU R.D. 120cm N</v>
      </c>
      <c r="C1866" s="4">
        <f>IFERROR(__xludf.DUMMYFUNCTION("""COMPUTED_VALUE"""),126.0)</f>
        <v>126</v>
      </c>
    </row>
    <row r="1867">
      <c r="A1867" s="4" t="str">
        <f>IFERROR(__xludf.DUMMYFUNCTION("""COMPUTED_VALUE"""),"91120N1")</f>
        <v>91120N1</v>
      </c>
      <c r="B1867" s="4" t="str">
        <f>IFERROR(__xludf.DUMMYFUNCTION("""COMPUTED_VALUE"""),"Señal MOPU R.D. 120cm NI")</f>
        <v>Señal MOPU R.D. 120cm NI</v>
      </c>
      <c r="C1867" s="4">
        <f>IFERROR(__xludf.DUMMYFUNCTION("""COMPUTED_VALUE"""),157.9392)</f>
        <v>157.9392</v>
      </c>
    </row>
    <row r="1868">
      <c r="A1868" s="4" t="str">
        <f>IFERROR(__xludf.DUMMYFUNCTION("""COMPUTED_VALUE"""),"91120N2")</f>
        <v>91120N2</v>
      </c>
      <c r="B1868" s="4" t="str">
        <f>IFERROR(__xludf.DUMMYFUNCTION("""COMPUTED_VALUE"""),"Señal MOPU R.D. 120 cm NII")</f>
        <v>Señal MOPU R.D. 120 cm NII</v>
      </c>
      <c r="C1868" s="4">
        <f>IFERROR(__xludf.DUMMYFUNCTION("""COMPUTED_VALUE"""),186.7008)</f>
        <v>186.7008</v>
      </c>
    </row>
    <row r="1869">
      <c r="A1869" s="4" t="str">
        <f>IFERROR(__xludf.DUMMYFUNCTION("""COMPUTED_VALUE"""),"91120N3")</f>
        <v>91120N3</v>
      </c>
      <c r="B1869" s="4" t="str">
        <f>IFERROR(__xludf.DUMMYFUNCTION("""COMPUTED_VALUE"""),"Señal MOPU R.D. 120 cm NIII")</f>
        <v>Señal MOPU R.D. 120 cm NIII</v>
      </c>
      <c r="C1869" s="4">
        <f>IFERROR(__xludf.DUMMYFUNCTION("""COMPUTED_VALUE"""),278.1696)</f>
        <v>278.1696</v>
      </c>
    </row>
    <row r="1870">
      <c r="A1870" s="4" t="str">
        <f>IFERROR(__xludf.DUMMYFUNCTION("""COMPUTED_VALUE"""),"9160N")</f>
        <v>9160N</v>
      </c>
      <c r="B1870" s="4" t="str">
        <f>IFERROR(__xludf.DUMMYFUNCTION("""COMPUTED_VALUE"""),"Señal MOPU R.D. 60 cm N")</f>
        <v>Señal MOPU R.D. 60 cm N</v>
      </c>
      <c r="C1870" s="4">
        <f>IFERROR(__xludf.DUMMYFUNCTION("""COMPUTED_VALUE"""),34.5408)</f>
        <v>34.5408</v>
      </c>
    </row>
    <row r="1871">
      <c r="A1871" s="4" t="str">
        <f>IFERROR(__xludf.DUMMYFUNCTION("""COMPUTED_VALUE"""),"9160N1")</f>
        <v>9160N1</v>
      </c>
      <c r="B1871" s="4" t="str">
        <f>IFERROR(__xludf.DUMMYFUNCTION("""COMPUTED_VALUE"""),"Señal MOPU R.D. 60 cm NI")</f>
        <v>Señal MOPU R.D. 60 cm NI</v>
      </c>
      <c r="C1871" s="4">
        <f>IFERROR(__xludf.DUMMYFUNCTION("""COMPUTED_VALUE"""),39.8208)</f>
        <v>39.8208</v>
      </c>
    </row>
    <row r="1872">
      <c r="A1872" s="4" t="str">
        <f>IFERROR(__xludf.DUMMYFUNCTION("""COMPUTED_VALUE"""),"9160N2")</f>
        <v>9160N2</v>
      </c>
      <c r="B1872" s="4" t="str">
        <f>IFERROR(__xludf.DUMMYFUNCTION("""COMPUTED_VALUE"""),"Señal MOPU R.D. 60 cm NII")</f>
        <v>Señal MOPU R.D. 60 cm NII</v>
      </c>
      <c r="C1872" s="4">
        <f>IFERROR(__xludf.DUMMYFUNCTION("""COMPUTED_VALUE"""),56.889599999999994)</f>
        <v>56.8896</v>
      </c>
    </row>
    <row r="1873">
      <c r="A1873" s="4" t="str">
        <f>IFERROR(__xludf.DUMMYFUNCTION("""COMPUTED_VALUE"""),"9160N3")</f>
        <v>9160N3</v>
      </c>
      <c r="B1873" s="4" t="str">
        <f>IFERROR(__xludf.DUMMYFUNCTION("""COMPUTED_VALUE"""),"Señal MOPU R.D, 60 cm NIII")</f>
        <v>Señal MOPU R.D, 60 cm NIII</v>
      </c>
      <c r="C1873" s="4">
        <f>IFERROR(__xludf.DUMMYFUNCTION("""COMPUTED_VALUE"""),77.7024)</f>
        <v>77.7024</v>
      </c>
    </row>
    <row r="1874">
      <c r="A1874" s="4" t="str">
        <f>IFERROR(__xludf.DUMMYFUNCTION("""COMPUTED_VALUE"""),"9160NE")</f>
        <v>9160NE</v>
      </c>
      <c r="B1874" s="4" t="str">
        <f>IFERROR(__xludf.DUMMYFUNCTION("""COMPUTED_VALUE"""),"Señal cuadrada 60 cm Normal recarga eléctrica")</f>
        <v>Señal cuadrada 60 cm Normal recarga eléctrica</v>
      </c>
      <c r="C1874" s="4">
        <f>IFERROR(__xludf.DUMMYFUNCTION("""COMPUTED_VALUE"""),29.759999999999998)</f>
        <v>29.76</v>
      </c>
    </row>
    <row r="1875">
      <c r="A1875" s="4" t="str">
        <f>IFERROR(__xludf.DUMMYFUNCTION("""COMPUTED_VALUE"""),"9190N")</f>
        <v>9190N</v>
      </c>
      <c r="B1875" s="4" t="str">
        <f>IFERROR(__xludf.DUMMYFUNCTION("""COMPUTED_VALUE"""),"Señal MOPU R.D. 90 cm N")</f>
        <v>Señal MOPU R.D. 90 cm N</v>
      </c>
      <c r="C1875" s="4">
        <f>IFERROR(__xludf.DUMMYFUNCTION("""COMPUTED_VALUE"""),75.9456)</f>
        <v>75.9456</v>
      </c>
    </row>
    <row r="1876">
      <c r="A1876" s="4" t="str">
        <f>IFERROR(__xludf.DUMMYFUNCTION("""COMPUTED_VALUE"""),"9190N1")</f>
        <v>9190N1</v>
      </c>
      <c r="B1876" s="4" t="str">
        <f>IFERROR(__xludf.DUMMYFUNCTION("""COMPUTED_VALUE"""),"Señal MOPU R.D. 90 cm NI")</f>
        <v>Señal MOPU R.D. 90 cm NI</v>
      </c>
      <c r="C1876" s="4">
        <f>IFERROR(__xludf.DUMMYFUNCTION("""COMPUTED_VALUE"""),84.0192)</f>
        <v>84.0192</v>
      </c>
    </row>
    <row r="1877">
      <c r="A1877" s="4" t="str">
        <f>IFERROR(__xludf.DUMMYFUNCTION("""COMPUTED_VALUE"""),"9190N2")</f>
        <v>9190N2</v>
      </c>
      <c r="B1877" s="4" t="str">
        <f>IFERROR(__xludf.DUMMYFUNCTION("""COMPUTED_VALUE"""),"Señal MOPU R.D. 90 cm NII")</f>
        <v>Señal MOPU R.D. 90 cm NII</v>
      </c>
      <c r="C1877" s="4">
        <f>IFERROR(__xludf.DUMMYFUNCTION("""COMPUTED_VALUE"""),109.6032)</f>
        <v>109.6032</v>
      </c>
    </row>
    <row r="1878">
      <c r="A1878" s="4" t="str">
        <f>IFERROR(__xludf.DUMMYFUNCTION("""COMPUTED_VALUE"""),"9190N3")</f>
        <v>9190N3</v>
      </c>
      <c r="B1878" s="4" t="str">
        <f>IFERROR(__xludf.DUMMYFUNCTION("""COMPUTED_VALUE"""),"Señal MOPU R.D. 90 cm NIII")</f>
        <v>Señal MOPU R.D. 90 cm NIII</v>
      </c>
      <c r="C1878" s="4">
        <f>IFERROR(__xludf.DUMMYFUNCTION("""COMPUTED_VALUE"""),165.60959999999997)</f>
        <v>165.6096</v>
      </c>
    </row>
    <row r="1879">
      <c r="A1879" s="4" t="str">
        <f>IFERROR(__xludf.DUMMYFUNCTION("""COMPUTED_VALUE"""),"9210")</f>
        <v>9210</v>
      </c>
      <c r="B1879" s="4" t="str">
        <f>IFERROR(__xludf.DUMMYFUNCTION("""COMPUTED_VALUE"""),"Pack 10 uds adhesivos 10x15 riesgo electrico")</f>
        <v>Pack 10 uds adhesivos 10x15 riesgo electrico</v>
      </c>
      <c r="C1879" s="4">
        <f>IFERROR(__xludf.DUMMYFUNCTION("""COMPUTED_VALUE"""),4.032)</f>
        <v>4.032</v>
      </c>
    </row>
    <row r="1880">
      <c r="A1880" s="4" t="str">
        <f>IFERROR(__xludf.DUMMYFUNCTION("""COMPUTED_VALUE"""),"925170N2")</f>
        <v>925170N2</v>
      </c>
      <c r="B1880" s="4" t="str">
        <f>IFERROR(__xludf.DUMMYFUNCTION("""COMPUTED_VALUE"""),"Señal MOPU informativa 25x170 cm Reflex II")</f>
        <v>Señal MOPU informativa 25x170 cm Reflex II</v>
      </c>
      <c r="C1880" s="4">
        <f>IFERROR(__xludf.DUMMYFUNCTION("""COMPUTED_VALUE"""),100.224)</f>
        <v>100.224</v>
      </c>
    </row>
    <row r="1881">
      <c r="A1881" s="4" t="str">
        <f>IFERROR(__xludf.DUMMYFUNCTION("""COMPUTED_VALUE"""),"9260N")</f>
        <v>9260N</v>
      </c>
      <c r="B1881" s="4" t="str">
        <f>IFERROR(__xludf.DUMMYFUNCTION("""COMPUTED_VALUE"""),"Señal MOPU R2 60 cm N")</f>
        <v>Señal MOPU R2 60 cm N</v>
      </c>
      <c r="C1881" s="4">
        <f>IFERROR(__xludf.DUMMYFUNCTION("""COMPUTED_VALUE"""),30.671999999999997)</f>
        <v>30.672</v>
      </c>
    </row>
    <row r="1882">
      <c r="A1882" s="4" t="str">
        <f>IFERROR(__xludf.DUMMYFUNCTION("""COMPUTED_VALUE"""),"9260N1")</f>
        <v>9260N1</v>
      </c>
      <c r="B1882" s="4" t="str">
        <f>IFERROR(__xludf.DUMMYFUNCTION("""COMPUTED_VALUE"""),"Señal MOPU R2 60 cm NI")</f>
        <v>Señal MOPU R2 60 cm NI</v>
      </c>
      <c r="C1882" s="4">
        <f>IFERROR(__xludf.DUMMYFUNCTION("""COMPUTED_VALUE"""),41.712)</f>
        <v>41.712</v>
      </c>
    </row>
    <row r="1883">
      <c r="A1883" s="4" t="str">
        <f>IFERROR(__xludf.DUMMYFUNCTION("""COMPUTED_VALUE"""),"9260N2")</f>
        <v>9260N2</v>
      </c>
      <c r="B1883" s="4" t="str">
        <f>IFERROR(__xludf.DUMMYFUNCTION("""COMPUTED_VALUE"""),"Señal MOPU R2 60 cm NII")</f>
        <v>Señal MOPU R2 60 cm NII</v>
      </c>
      <c r="C1883" s="4">
        <f>IFERROR(__xludf.DUMMYFUNCTION("""COMPUTED_VALUE"""),59.712)</f>
        <v>59.712</v>
      </c>
    </row>
    <row r="1884">
      <c r="A1884" s="4" t="str">
        <f>IFERROR(__xludf.DUMMYFUNCTION("""COMPUTED_VALUE"""),"9260N3")</f>
        <v>9260N3</v>
      </c>
      <c r="B1884" s="4" t="str">
        <f>IFERROR(__xludf.DUMMYFUNCTION("""COMPUTED_VALUE"""),"Señal MOPU R2 60 cm NIII")</f>
        <v>Señal MOPU R2 60 cm NIII</v>
      </c>
      <c r="C1884" s="4">
        <f>IFERROR(__xludf.DUMMYFUNCTION("""COMPUTED_VALUE"""),73.4112)</f>
        <v>73.4112</v>
      </c>
    </row>
    <row r="1885">
      <c r="A1885" s="4" t="str">
        <f>IFERROR(__xludf.DUMMYFUNCTION("""COMPUTED_VALUE"""),"9290N")</f>
        <v>9290N</v>
      </c>
      <c r="B1885" s="4" t="str">
        <f>IFERROR(__xludf.DUMMYFUNCTION("""COMPUTED_VALUE"""),"Señal MOPU R2 90 cm N")</f>
        <v>Señal MOPU R2 90 cm N</v>
      </c>
      <c r="C1885" s="4">
        <f>IFERROR(__xludf.DUMMYFUNCTION("""COMPUTED_VALUE"""),66.4512)</f>
        <v>66.4512</v>
      </c>
    </row>
    <row r="1886">
      <c r="A1886" s="4" t="str">
        <f>IFERROR(__xludf.DUMMYFUNCTION("""COMPUTED_VALUE"""),"9290N1")</f>
        <v>9290N1</v>
      </c>
      <c r="B1886" s="4" t="str">
        <f>IFERROR(__xludf.DUMMYFUNCTION("""COMPUTED_VALUE"""),"Señal MOPU R2 90 cm NI")</f>
        <v>Señal MOPU R2 90 cm NI</v>
      </c>
      <c r="C1886" s="4">
        <f>IFERROR(__xludf.DUMMYFUNCTION("""COMPUTED_VALUE"""),80.73599999999999)</f>
        <v>80.736</v>
      </c>
    </row>
    <row r="1887">
      <c r="A1887" s="4" t="str">
        <f>IFERROR(__xludf.DUMMYFUNCTION("""COMPUTED_VALUE"""),"9290N2")</f>
        <v>9290N2</v>
      </c>
      <c r="B1887" s="4" t="str">
        <f>IFERROR(__xludf.DUMMYFUNCTION("""COMPUTED_VALUE"""),"Señal MOPU R2 90 cm NII")</f>
        <v>Señal MOPU R2 90 cm NII</v>
      </c>
      <c r="C1887" s="4">
        <f>IFERROR(__xludf.DUMMYFUNCTION("""COMPUTED_VALUE"""),117.6672)</f>
        <v>117.6672</v>
      </c>
    </row>
    <row r="1888">
      <c r="A1888" s="4" t="str">
        <f>IFERROR(__xludf.DUMMYFUNCTION("""COMPUTED_VALUE"""),"9290N3")</f>
        <v>9290N3</v>
      </c>
      <c r="B1888" s="4" t="str">
        <f>IFERROR(__xludf.DUMMYFUNCTION("""COMPUTED_VALUE"""),"Señal MOPU R2 90 cm NIII")</f>
        <v>Señal MOPU R2 90 cm NIII</v>
      </c>
      <c r="C1888" s="4">
        <f>IFERROR(__xludf.DUMMYFUNCTION("""COMPUTED_VALUE"""),156.6624)</f>
        <v>156.6624</v>
      </c>
    </row>
    <row r="1889">
      <c r="A1889" s="4" t="str">
        <f>IFERROR(__xludf.DUMMYFUNCTION("""COMPUTED_VALUE"""),"9340N")</f>
        <v>9340N</v>
      </c>
      <c r="B1889" s="4" t="str">
        <f>IFERROR(__xludf.DUMMYFUNCTION("""COMPUTED_VALUE"""),"Señal MOPU C.D. 40x40cm N")</f>
        <v>Señal MOPU C.D. 40x40cm N</v>
      </c>
      <c r="C1889" s="4">
        <f>IFERROR(__xludf.DUMMYFUNCTION("""COMPUTED_VALUE"""),22.5792)</f>
        <v>22.5792</v>
      </c>
    </row>
    <row r="1890">
      <c r="A1890" s="4" t="str">
        <f>IFERROR(__xludf.DUMMYFUNCTION("""COMPUTED_VALUE"""),"9340N1")</f>
        <v>9340N1</v>
      </c>
      <c r="B1890" s="4" t="str">
        <f>IFERROR(__xludf.DUMMYFUNCTION("""COMPUTED_VALUE"""),"Señal MOPU C.D, 40x40cm NI")</f>
        <v>Señal MOPU C.D, 40x40cm NI</v>
      </c>
      <c r="C1890" s="4">
        <f>IFERROR(__xludf.DUMMYFUNCTION("""COMPUTED_VALUE"""),25.7184)</f>
        <v>25.7184</v>
      </c>
    </row>
    <row r="1891">
      <c r="A1891" s="4" t="str">
        <f>IFERROR(__xludf.DUMMYFUNCTION("""COMPUTED_VALUE"""),"9340N2")</f>
        <v>9340N2</v>
      </c>
      <c r="B1891" s="4" t="str">
        <f>IFERROR(__xludf.DUMMYFUNCTION("""COMPUTED_VALUE"""),"Señal MOPU C.D. 40x40cm NII")</f>
        <v>Señal MOPU C.D. 40x40cm NII</v>
      </c>
      <c r="C1891" s="4">
        <f>IFERROR(__xludf.DUMMYFUNCTION("""COMPUTED_VALUE"""),35.980799999999995)</f>
        <v>35.9808</v>
      </c>
    </row>
    <row r="1892">
      <c r="A1892" s="4" t="str">
        <f>IFERROR(__xludf.DUMMYFUNCTION("""COMPUTED_VALUE"""),"9340N3")</f>
        <v>9340N3</v>
      </c>
      <c r="B1892" s="4" t="str">
        <f>IFERROR(__xludf.DUMMYFUNCTION("""COMPUTED_VALUE"""),"Señal MOPU C.D. 40x40 cm NIII")</f>
        <v>Señal MOPU C.D. 40x40 cm NIII</v>
      </c>
      <c r="C1892" s="4">
        <f>IFERROR(__xludf.DUMMYFUNCTION("""COMPUTED_VALUE"""),53.9424)</f>
        <v>53.9424</v>
      </c>
    </row>
    <row r="1893">
      <c r="A1893" s="4" t="str">
        <f>IFERROR(__xludf.DUMMYFUNCTION("""COMPUTED_VALUE"""),"9360N")</f>
        <v>9360N</v>
      </c>
      <c r="B1893" s="4" t="str">
        <f>IFERROR(__xludf.DUMMYFUNCTION("""COMPUTED_VALUE"""),"Señal MOPU C.D. 60x60cm N")</f>
        <v>Señal MOPU C.D. 60x60cm N</v>
      </c>
      <c r="C1893" s="4">
        <f>IFERROR(__xludf.DUMMYFUNCTION("""COMPUTED_VALUE"""),30.0)</f>
        <v>30</v>
      </c>
    </row>
    <row r="1894">
      <c r="A1894" s="4" t="str">
        <f>IFERROR(__xludf.DUMMYFUNCTION("""COMPUTED_VALUE"""),"9360N1")</f>
        <v>9360N1</v>
      </c>
      <c r="B1894" s="4" t="str">
        <f>IFERROR(__xludf.DUMMYFUNCTION("""COMPUTED_VALUE"""),"Señal MOPU C.D. 60x60cm NI")</f>
        <v>Señal MOPU C.D. 60x60cm NI</v>
      </c>
      <c r="C1894" s="4">
        <f>IFERROR(__xludf.DUMMYFUNCTION("""COMPUTED_VALUE"""),39.6)</f>
        <v>39.6</v>
      </c>
    </row>
    <row r="1895">
      <c r="A1895" s="4" t="str">
        <f>IFERROR(__xludf.DUMMYFUNCTION("""COMPUTED_VALUE"""),"9360N2")</f>
        <v>9360N2</v>
      </c>
      <c r="B1895" s="4" t="str">
        <f>IFERROR(__xludf.DUMMYFUNCTION("""COMPUTED_VALUE"""),"Señal MOPU C.D. 60x60cm NII")</f>
        <v>Señal MOPU C.D. 60x60cm NII</v>
      </c>
      <c r="C1895" s="4">
        <f>IFERROR(__xludf.DUMMYFUNCTION("""COMPUTED_VALUE"""),47.28)</f>
        <v>47.28</v>
      </c>
    </row>
    <row r="1896">
      <c r="A1896" s="4" t="str">
        <f>IFERROR(__xludf.DUMMYFUNCTION("""COMPUTED_VALUE"""),"9360N3")</f>
        <v>9360N3</v>
      </c>
      <c r="B1896" s="4" t="str">
        <f>IFERROR(__xludf.DUMMYFUNCTION("""COMPUTED_VALUE"""),"Señal MOPU C.D. 60x60cm NIII")</f>
        <v>Señal MOPU C.D. 60x60cm NIII</v>
      </c>
      <c r="C1896" s="4">
        <f>IFERROR(__xludf.DUMMYFUNCTION("""COMPUTED_VALUE"""),79.2)</f>
        <v>79.2</v>
      </c>
    </row>
    <row r="1897">
      <c r="A1897" s="4" t="str">
        <f>IFERROR(__xludf.DUMMYFUNCTION("""COMPUTED_VALUE"""),"9390N")</f>
        <v>9390N</v>
      </c>
      <c r="B1897" s="4" t="str">
        <f>IFERROR(__xludf.DUMMYFUNCTION("""COMPUTED_VALUE"""),"Señal MOPU C.D. 90x90 cm N")</f>
        <v>Señal MOPU C.D. 90x90 cm N</v>
      </c>
      <c r="C1897" s="4">
        <f>IFERROR(__xludf.DUMMYFUNCTION("""COMPUTED_VALUE"""),66.48)</f>
        <v>66.48</v>
      </c>
    </row>
    <row r="1898">
      <c r="A1898" s="4" t="str">
        <f>IFERROR(__xludf.DUMMYFUNCTION("""COMPUTED_VALUE"""),"9390N1")</f>
        <v>9390N1</v>
      </c>
      <c r="B1898" s="4" t="str">
        <f>IFERROR(__xludf.DUMMYFUNCTION("""COMPUTED_VALUE"""),"Señal MOPU C.D. 90x90 cm NI")</f>
        <v>Señal MOPU C.D. 90x90 cm NI</v>
      </c>
      <c r="C1898" s="4">
        <f>IFERROR(__xludf.DUMMYFUNCTION("""COMPUTED_VALUE"""),90.2496)</f>
        <v>90.2496</v>
      </c>
    </row>
    <row r="1899">
      <c r="A1899" s="4" t="str">
        <f>IFERROR(__xludf.DUMMYFUNCTION("""COMPUTED_VALUE"""),"9390N2")</f>
        <v>9390N2</v>
      </c>
      <c r="B1899" s="4" t="str">
        <f>IFERROR(__xludf.DUMMYFUNCTION("""COMPUTED_VALUE"""),"Señal MOPU C.D. 90x90 cm NII")</f>
        <v>Señal MOPU C.D. 90x90 cm NII</v>
      </c>
      <c r="C1899" s="4">
        <f>IFERROR(__xludf.DUMMYFUNCTION("""COMPUTED_VALUE"""),131.3472)</f>
        <v>131.3472</v>
      </c>
    </row>
    <row r="1900">
      <c r="A1900" s="4" t="str">
        <f>IFERROR(__xludf.DUMMYFUNCTION("""COMPUTED_VALUE"""),"9390N3")</f>
        <v>9390N3</v>
      </c>
      <c r="B1900" s="4" t="str">
        <f>IFERROR(__xludf.DUMMYFUNCTION("""COMPUTED_VALUE"""),"Señal MOPU C.D. 90x90 cm NIII")</f>
        <v>Señal MOPU C.D. 90x90 cm NIII</v>
      </c>
      <c r="C1900" s="4">
        <f>IFERROR(__xludf.DUMMYFUNCTION("""COMPUTED_VALUE"""),181.1712)</f>
        <v>181.1712</v>
      </c>
    </row>
    <row r="1901">
      <c r="A1901" s="4" t="str">
        <f>IFERROR(__xludf.DUMMYFUNCTION("""COMPUTED_VALUE"""),"94120180N1")</f>
        <v>94120180N1</v>
      </c>
      <c r="B1901" s="4" t="str">
        <f>IFERROR(__xludf.DUMMYFUNCTION("""COMPUTED_VALUE"""),"Rectangulo MOPU 120x180 cm Reflex I")</f>
        <v>Rectangulo MOPU 120x180 cm Reflex I</v>
      </c>
      <c r="C1901" s="4">
        <f>IFERROR(__xludf.DUMMYFUNCTION("""COMPUTED_VALUE"""),209.51999999999998)</f>
        <v>209.52</v>
      </c>
    </row>
    <row r="1902">
      <c r="A1902" s="4" t="str">
        <f>IFERROR(__xludf.DUMMYFUNCTION("""COMPUTED_VALUE"""),"94120180N2")</f>
        <v>94120180N2</v>
      </c>
      <c r="B1902" s="4" t="str">
        <f>IFERROR(__xludf.DUMMYFUNCTION("""COMPUTED_VALUE"""),"Rectangulo MOPU 120x180 cm Reflex II")</f>
        <v>Rectangulo MOPU 120x180 cm Reflex II</v>
      </c>
      <c r="C1902" s="4">
        <f>IFERROR(__xludf.DUMMYFUNCTION("""COMPUTED_VALUE"""),285.59999999999997)</f>
        <v>285.6</v>
      </c>
    </row>
    <row r="1903">
      <c r="A1903" s="4" t="str">
        <f>IFERROR(__xludf.DUMMYFUNCTION("""COMPUTED_VALUE"""),"94120180N3")</f>
        <v>94120180N3</v>
      </c>
      <c r="B1903" s="4" t="str">
        <f>IFERROR(__xludf.DUMMYFUNCTION("""COMPUTED_VALUE"""),"Rectangulo MOPU 120x180 cm Reflex III")</f>
        <v>Rectangulo MOPU 120x180 cm Reflex III</v>
      </c>
      <c r="C1903" s="4">
        <f>IFERROR(__xludf.DUMMYFUNCTION("""COMPUTED_VALUE"""),410.4)</f>
        <v>410.4</v>
      </c>
    </row>
    <row r="1904">
      <c r="A1904" s="4" t="str">
        <f>IFERROR(__xludf.DUMMYFUNCTION("""COMPUTED_VALUE"""),"94120210N1")</f>
        <v>94120210N1</v>
      </c>
      <c r="B1904" s="4" t="str">
        <f>IFERROR(__xludf.DUMMYFUNCTION("""COMPUTED_VALUE"""),"Rectangulo MOPU 120x210 cm Reflex I")</f>
        <v>Rectangulo MOPU 120x210 cm Reflex I</v>
      </c>
      <c r="C1904" s="4">
        <f>IFERROR(__xludf.DUMMYFUNCTION("""COMPUTED_VALUE"""),278.688)</f>
        <v>278.688</v>
      </c>
    </row>
    <row r="1905">
      <c r="A1905" s="4" t="str">
        <f>IFERROR(__xludf.DUMMYFUNCTION("""COMPUTED_VALUE"""),"94120210N2")</f>
        <v>94120210N2</v>
      </c>
      <c r="B1905" s="4" t="str">
        <f>IFERROR(__xludf.DUMMYFUNCTION("""COMPUTED_VALUE"""),"Rectangulo MOPU 120x210 cm Reflex II")</f>
        <v>Rectangulo MOPU 120x210 cm Reflex II</v>
      </c>
      <c r="C1905" s="4">
        <f>IFERROR(__xludf.DUMMYFUNCTION("""COMPUTED_VALUE"""),422.4)</f>
        <v>422.4</v>
      </c>
    </row>
    <row r="1906">
      <c r="A1906" s="4" t="str">
        <f>IFERROR(__xludf.DUMMYFUNCTION("""COMPUTED_VALUE"""),"94120210N3")</f>
        <v>94120210N3</v>
      </c>
      <c r="B1906" s="4" t="str">
        <f>IFERROR(__xludf.DUMMYFUNCTION("""COMPUTED_VALUE"""),"Rectangulo MOPU 120x210 cm Reflex III")</f>
        <v>Rectangulo MOPU 120x210 cm Reflex III</v>
      </c>
      <c r="C1906" s="4">
        <f>IFERROR(__xludf.DUMMYFUNCTION("""COMPUTED_VALUE"""),585.6)</f>
        <v>585.6</v>
      </c>
    </row>
    <row r="1907">
      <c r="A1907" s="4" t="str">
        <f>IFERROR(__xludf.DUMMYFUNCTION("""COMPUTED_VALUE"""),"944060N")</f>
        <v>944060N</v>
      </c>
      <c r="B1907" s="4" t="str">
        <f>IFERROR(__xludf.DUMMYFUNCTION("""COMPUTED_VALUE"""),"Rectangulo MOPU 40x60 cm Normal")</f>
        <v>Rectangulo MOPU 40x60 cm Normal</v>
      </c>
      <c r="C1907" s="4">
        <f>IFERROR(__xludf.DUMMYFUNCTION("""COMPUTED_VALUE"""),31.68)</f>
        <v>31.68</v>
      </c>
    </row>
    <row r="1908">
      <c r="A1908" s="4" t="str">
        <f>IFERROR(__xludf.DUMMYFUNCTION("""COMPUTED_VALUE"""),"944060N1")</f>
        <v>944060N1</v>
      </c>
      <c r="B1908" s="4" t="str">
        <f>IFERROR(__xludf.DUMMYFUNCTION("""COMPUTED_VALUE"""),"Rectangulo MOPU 40x60 cm Reflex I")</f>
        <v>Rectangulo MOPU 40x60 cm Reflex I</v>
      </c>
      <c r="C1908" s="4">
        <f>IFERROR(__xludf.DUMMYFUNCTION("""COMPUTED_VALUE"""),37.44)</f>
        <v>37.44</v>
      </c>
    </row>
    <row r="1909">
      <c r="A1909" s="4" t="str">
        <f>IFERROR(__xludf.DUMMYFUNCTION("""COMPUTED_VALUE"""),"944060N2")</f>
        <v>944060N2</v>
      </c>
      <c r="B1909" s="4" t="str">
        <f>IFERROR(__xludf.DUMMYFUNCTION("""COMPUTED_VALUE"""),"Rectangulo MOPU 40x60 cm Reflex II")</f>
        <v>Rectangulo MOPU 40x60 cm Reflex II</v>
      </c>
      <c r="C1909" s="4">
        <f>IFERROR(__xludf.DUMMYFUNCTION("""COMPUTED_VALUE"""),41.28)</f>
        <v>41.28</v>
      </c>
    </row>
    <row r="1910">
      <c r="A1910" s="4" t="str">
        <f>IFERROR(__xludf.DUMMYFUNCTION("""COMPUTED_VALUE"""),"944060N3")</f>
        <v>944060N3</v>
      </c>
      <c r="B1910" s="4" t="str">
        <f>IFERROR(__xludf.DUMMYFUNCTION("""COMPUTED_VALUE"""),"Rectangulo MOPU 40x60 cm Reflex III")</f>
        <v>Rectangulo MOPU 40x60 cm Reflex III</v>
      </c>
      <c r="C1910" s="4">
        <f>IFERROR(__xludf.DUMMYFUNCTION("""COMPUTED_VALUE"""),60.39359999999999)</f>
        <v>60.3936</v>
      </c>
    </row>
    <row r="1911">
      <c r="A1911" s="4" t="str">
        <f>IFERROR(__xludf.DUMMYFUNCTION("""COMPUTED_VALUE"""),"9460120N")</f>
        <v>9460120N</v>
      </c>
      <c r="B1911" s="4" t="str">
        <f>IFERROR(__xludf.DUMMYFUNCTION("""COMPUTED_VALUE"""),"Rectangulo MOPU 60x120 cm Normal")</f>
        <v>Rectangulo MOPU 60x120 cm Normal</v>
      </c>
      <c r="C1911" s="4">
        <f>IFERROR(__xludf.DUMMYFUNCTION("""COMPUTED_VALUE"""),80.64)</f>
        <v>80.64</v>
      </c>
    </row>
    <row r="1912">
      <c r="A1912" s="4" t="str">
        <f>IFERROR(__xludf.DUMMYFUNCTION("""COMPUTED_VALUE"""),"9460120N1")</f>
        <v>9460120N1</v>
      </c>
      <c r="B1912" s="4" t="str">
        <f>IFERROR(__xludf.DUMMYFUNCTION("""COMPUTED_VALUE"""),"Rectangulo MOPU 60x120 cm Reflex I")</f>
        <v>Rectangulo MOPU 60x120 cm Reflex I</v>
      </c>
      <c r="C1912" s="4">
        <f>IFERROR(__xludf.DUMMYFUNCTION("""COMPUTED_VALUE"""),95.5968)</f>
        <v>95.5968</v>
      </c>
    </row>
    <row r="1913">
      <c r="A1913" s="4" t="str">
        <f>IFERROR(__xludf.DUMMYFUNCTION("""COMPUTED_VALUE"""),"9460120N2")</f>
        <v>9460120N2</v>
      </c>
      <c r="B1913" s="4" t="str">
        <f>IFERROR(__xludf.DUMMYFUNCTION("""COMPUTED_VALUE"""),"Rectangulo MOPU 60x120 cm Reflex II")</f>
        <v>Rectangulo MOPU 60x120 cm Reflex II</v>
      </c>
      <c r="C1913" s="4">
        <f>IFERROR(__xludf.DUMMYFUNCTION("""COMPUTED_VALUE"""),125.79839999999999)</f>
        <v>125.7984</v>
      </c>
    </row>
    <row r="1914">
      <c r="A1914" s="4" t="str">
        <f>IFERROR(__xludf.DUMMYFUNCTION("""COMPUTED_VALUE"""),"9460120N3")</f>
        <v>9460120N3</v>
      </c>
      <c r="B1914" s="4" t="str">
        <f>IFERROR(__xludf.DUMMYFUNCTION("""COMPUTED_VALUE"""),"Rectangulo MOPU 60x120 cm Reflex III")</f>
        <v>Rectangulo MOPU 60x120 cm Reflex III</v>
      </c>
      <c r="C1914" s="4">
        <f>IFERROR(__xludf.DUMMYFUNCTION("""COMPUTED_VALUE"""),161.04)</f>
        <v>161.04</v>
      </c>
    </row>
    <row r="1915">
      <c r="A1915" s="4" t="str">
        <f>IFERROR(__xludf.DUMMYFUNCTION("""COMPUTED_VALUE"""),"946090N")</f>
        <v>946090N</v>
      </c>
      <c r="B1915" s="4" t="str">
        <f>IFERROR(__xludf.DUMMYFUNCTION("""COMPUTED_VALUE"""),"Rectangulo MOPU 60x90 cm Normal")</f>
        <v>Rectangulo MOPU 60x90 cm Normal</v>
      </c>
      <c r="C1915" s="4">
        <f>IFERROR(__xludf.DUMMYFUNCTION("""COMPUTED_VALUE"""),63.11039999999999)</f>
        <v>63.1104</v>
      </c>
    </row>
    <row r="1916">
      <c r="A1916" s="4" t="str">
        <f>IFERROR(__xludf.DUMMYFUNCTION("""COMPUTED_VALUE"""),"946090N1")</f>
        <v>946090N1</v>
      </c>
      <c r="B1916" s="4" t="str">
        <f>IFERROR(__xludf.DUMMYFUNCTION("""COMPUTED_VALUE"""),"Rectangulo MOPU 60x90 cm Reflex I")</f>
        <v>Rectangulo MOPU 60x90 cm Reflex I</v>
      </c>
      <c r="C1916" s="4">
        <f>IFERROR(__xludf.DUMMYFUNCTION("""COMPUTED_VALUE"""),69.2064)</f>
        <v>69.2064</v>
      </c>
    </row>
    <row r="1917">
      <c r="A1917" s="4" t="str">
        <f>IFERROR(__xludf.DUMMYFUNCTION("""COMPUTED_VALUE"""),"946090N2")</f>
        <v>946090N2</v>
      </c>
      <c r="B1917" s="4" t="str">
        <f>IFERROR(__xludf.DUMMYFUNCTION("""COMPUTED_VALUE"""),"Rectangulo MOPU 60x90 cm Reflex II")</f>
        <v>Rectangulo MOPU 60x90 cm Reflex II</v>
      </c>
      <c r="C1917" s="4">
        <f>IFERROR(__xludf.DUMMYFUNCTION("""COMPUTED_VALUE"""),96.8736)</f>
        <v>96.8736</v>
      </c>
    </row>
    <row r="1918">
      <c r="A1918" s="4" t="str">
        <f>IFERROR(__xludf.DUMMYFUNCTION("""COMPUTED_VALUE"""),"946090N3")</f>
        <v>946090N3</v>
      </c>
      <c r="B1918" s="4" t="str">
        <f>IFERROR(__xludf.DUMMYFUNCTION("""COMPUTED_VALUE"""),"Rectangulo MOPU 60x90 cm Reflex III")</f>
        <v>Rectangulo MOPU 60x90 cm Reflex III</v>
      </c>
      <c r="C1918" s="4">
        <f>IFERROR(__xludf.DUMMYFUNCTION("""COMPUTED_VALUE"""),126.96959999999999)</f>
        <v>126.9696</v>
      </c>
    </row>
    <row r="1919">
      <c r="A1919" s="4" t="str">
        <f>IFERROR(__xludf.DUMMYFUNCTION("""COMPUTED_VALUE"""),"9490135N")</f>
        <v>9490135N</v>
      </c>
      <c r="B1919" s="4" t="str">
        <f>IFERROR(__xludf.DUMMYFUNCTION("""COMPUTED_VALUE"""),"Rectangulo MOPU 90x135 cm Normal")</f>
        <v>Rectangulo MOPU 90x135 cm Normal</v>
      </c>
      <c r="C1919" s="4">
        <f>IFERROR(__xludf.DUMMYFUNCTION("""COMPUTED_VALUE"""),111.32159999999999)</f>
        <v>111.3216</v>
      </c>
    </row>
    <row r="1920">
      <c r="A1920" s="4" t="str">
        <f>IFERROR(__xludf.DUMMYFUNCTION("""COMPUTED_VALUE"""),"9490135N1")</f>
        <v>9490135N1</v>
      </c>
      <c r="B1920" s="4" t="str">
        <f>IFERROR(__xludf.DUMMYFUNCTION("""COMPUTED_VALUE"""),"Rectangulo MOPU 90x135 cm Reflex I")</f>
        <v>Rectangulo MOPU 90x135 cm Reflex I</v>
      </c>
      <c r="C1920" s="4">
        <f>IFERROR(__xludf.DUMMYFUNCTION("""COMPUTED_VALUE"""),256.5504)</f>
        <v>256.5504</v>
      </c>
    </row>
    <row r="1921">
      <c r="A1921" s="4" t="str">
        <f>IFERROR(__xludf.DUMMYFUNCTION("""COMPUTED_VALUE"""),"9490135N2")</f>
        <v>9490135N2</v>
      </c>
      <c r="B1921" s="4" t="str">
        <f>IFERROR(__xludf.DUMMYFUNCTION("""COMPUTED_VALUE"""),"Rectangulo MOPU 90x135 cm Reflex II")</f>
        <v>Rectangulo MOPU 90x135 cm Reflex II</v>
      </c>
      <c r="C1921" s="4">
        <f>IFERROR(__xludf.DUMMYFUNCTION("""COMPUTED_VALUE"""),194.4)</f>
        <v>194.4</v>
      </c>
    </row>
    <row r="1922">
      <c r="A1922" s="4" t="str">
        <f>IFERROR(__xludf.DUMMYFUNCTION("""COMPUTED_VALUE"""),"9490135N3")</f>
        <v>9490135N3</v>
      </c>
      <c r="B1922" s="4" t="str">
        <f>IFERROR(__xludf.DUMMYFUNCTION("""COMPUTED_VALUE"""),"Rectangulo MOPU 90x135 cm Reflex III")</f>
        <v>Rectangulo MOPU 90x135 cm Reflex III</v>
      </c>
      <c r="C1922" s="4">
        <f>IFERROR(__xludf.DUMMYFUNCTION("""COMPUTED_VALUE"""),256.8)</f>
        <v>256.8</v>
      </c>
    </row>
    <row r="1923">
      <c r="A1923" s="4" t="str">
        <f>IFERROR(__xludf.DUMMYFUNCTION("""COMPUTED_VALUE"""),"9500N")</f>
        <v>9500N</v>
      </c>
      <c r="B1923" s="4" t="str">
        <f>IFERROR(__xludf.DUMMYFUNCTION("""COMPUTED_VALUE"""),"Señal Aluminio Triangular 70 cm Normal")</f>
        <v>Señal Aluminio Triangular 70 cm Normal</v>
      </c>
      <c r="C1923" s="4">
        <f>IFERROR(__xludf.DUMMYFUNCTION("""COMPUTED_VALUE"""),25.919999999999998)</f>
        <v>25.92</v>
      </c>
    </row>
    <row r="1924">
      <c r="A1924" s="4" t="str">
        <f>IFERROR(__xludf.DUMMYFUNCTION("""COMPUTED_VALUE"""),"9500N1")</f>
        <v>9500N1</v>
      </c>
      <c r="B1924" s="4" t="str">
        <f>IFERROR(__xludf.DUMMYFUNCTION("""COMPUTED_VALUE"""),"Señal Aluminio Triangular 70 cm Nivel 1")</f>
        <v>Señal Aluminio Triangular 70 cm Nivel 1</v>
      </c>
      <c r="C1924" s="4">
        <f>IFERROR(__xludf.DUMMYFUNCTION("""COMPUTED_VALUE"""),28.799999999999997)</f>
        <v>28.8</v>
      </c>
    </row>
    <row r="1925">
      <c r="A1925" s="4" t="str">
        <f>IFERROR(__xludf.DUMMYFUNCTION("""COMPUTED_VALUE"""),"954020N")</f>
        <v>954020N</v>
      </c>
      <c r="B1925" s="4" t="str">
        <f>IFERROR(__xludf.DUMMYFUNCTION("""COMPUTED_VALUE"""),"Señal MOPU complementaria 40x20 cm Normal")</f>
        <v>Señal MOPU complementaria 40x20 cm Normal</v>
      </c>
      <c r="C1925" s="4">
        <f>IFERROR(__xludf.DUMMYFUNCTION("""COMPUTED_VALUE"""),18.24)</f>
        <v>18.24</v>
      </c>
    </row>
    <row r="1926">
      <c r="A1926" s="4" t="str">
        <f>IFERROR(__xludf.DUMMYFUNCTION("""COMPUTED_VALUE"""),"954020N1")</f>
        <v>954020N1</v>
      </c>
      <c r="B1926" s="4" t="str">
        <f>IFERROR(__xludf.DUMMYFUNCTION("""COMPUTED_VALUE"""),"Señal MOPU complementaria 40x20 cm Reflex I")</f>
        <v>Señal MOPU complementaria 40x20 cm Reflex I</v>
      </c>
      <c r="C1926" s="4">
        <f>IFERROR(__xludf.DUMMYFUNCTION("""COMPUTED_VALUE"""),21.36)</f>
        <v>21.36</v>
      </c>
    </row>
    <row r="1927">
      <c r="A1927" s="4" t="str">
        <f>IFERROR(__xludf.DUMMYFUNCTION("""COMPUTED_VALUE"""),"954020N2")</f>
        <v>954020N2</v>
      </c>
      <c r="B1927" s="4" t="str">
        <f>IFERROR(__xludf.DUMMYFUNCTION("""COMPUTED_VALUE"""),"Señal MOPU complementaria 40x20 cm Reflex II")</f>
        <v>Señal MOPU complementaria 40x20 cm Reflex II</v>
      </c>
      <c r="C1927" s="4">
        <f>IFERROR(__xludf.DUMMYFUNCTION("""COMPUTED_VALUE"""),26.16)</f>
        <v>26.16</v>
      </c>
    </row>
    <row r="1928">
      <c r="A1928" s="4" t="str">
        <f>IFERROR(__xludf.DUMMYFUNCTION("""COMPUTED_VALUE"""),"954020N3")</f>
        <v>954020N3</v>
      </c>
      <c r="B1928" s="4" t="str">
        <f>IFERROR(__xludf.DUMMYFUNCTION("""COMPUTED_VALUE"""),"Señal MOPU complemenaria 40x20 cm Reflex III")</f>
        <v>Señal MOPU complemenaria 40x20 cm Reflex III</v>
      </c>
      <c r="C1928" s="4">
        <f>IFERROR(__xludf.DUMMYFUNCTION("""COMPUTED_VALUE"""),30.144)</f>
        <v>30.144</v>
      </c>
    </row>
    <row r="1929">
      <c r="A1929" s="4" t="str">
        <f>IFERROR(__xludf.DUMMYFUNCTION("""COMPUTED_VALUE"""),"956020N")</f>
        <v>956020N</v>
      </c>
      <c r="B1929" s="4" t="str">
        <f>IFERROR(__xludf.DUMMYFUNCTION("""COMPUTED_VALUE"""),"Señal MOPU complementaria 60x20 cm Normal")</f>
        <v>Señal MOPU complementaria 60x20 cm Normal</v>
      </c>
      <c r="C1929" s="4">
        <f>IFERROR(__xludf.DUMMYFUNCTION("""COMPUTED_VALUE"""),22.464)</f>
        <v>22.464</v>
      </c>
    </row>
    <row r="1930">
      <c r="A1930" s="4" t="str">
        <f>IFERROR(__xludf.DUMMYFUNCTION("""COMPUTED_VALUE"""),"956020N1")</f>
        <v>956020N1</v>
      </c>
      <c r="B1930" s="4" t="str">
        <f>IFERROR(__xludf.DUMMYFUNCTION("""COMPUTED_VALUE"""),"Señal MOPU complementaria 60x20 cm Reflex I")</f>
        <v>Señal MOPU complementaria 60x20 cm Reflex I</v>
      </c>
      <c r="C1930" s="4">
        <f>IFERROR(__xludf.DUMMYFUNCTION("""COMPUTED_VALUE"""),30.959999999999997)</f>
        <v>30.96</v>
      </c>
    </row>
    <row r="1931">
      <c r="A1931" s="4" t="str">
        <f>IFERROR(__xludf.DUMMYFUNCTION("""COMPUTED_VALUE"""),"956020N2")</f>
        <v>956020N2</v>
      </c>
      <c r="B1931" s="4" t="str">
        <f>IFERROR(__xludf.DUMMYFUNCTION("""COMPUTED_VALUE"""),"Señal MOPU complementaria 60x20 cm Reflex II")</f>
        <v>Señal MOPU complementaria 60x20 cm Reflex II</v>
      </c>
      <c r="C1931" s="4">
        <f>IFERROR(__xludf.DUMMYFUNCTION("""COMPUTED_VALUE"""),33.6)</f>
        <v>33.6</v>
      </c>
    </row>
    <row r="1932">
      <c r="A1932" s="4" t="str">
        <f>IFERROR(__xludf.DUMMYFUNCTION("""COMPUTED_VALUE"""),"956020N3")</f>
        <v>956020N3</v>
      </c>
      <c r="B1932" s="4" t="str">
        <f>IFERROR(__xludf.DUMMYFUNCTION("""COMPUTED_VALUE"""),"Señal MOPU complementaria 60x20 cm Reflex III")</f>
        <v>Señal MOPU complementaria 60x20 cm Reflex III</v>
      </c>
      <c r="C1932" s="4">
        <f>IFERROR(__xludf.DUMMYFUNCTION("""COMPUTED_VALUE"""),38.16)</f>
        <v>38.16</v>
      </c>
    </row>
    <row r="1933">
      <c r="A1933" s="4" t="str">
        <f>IFERROR(__xludf.DUMMYFUNCTION("""COMPUTED_VALUE"""),"956030N")</f>
        <v>956030N</v>
      </c>
      <c r="B1933" s="4" t="str">
        <f>IFERROR(__xludf.DUMMYFUNCTION("""COMPUTED_VALUE"""),"Señal MOPU complementaria 60x30 cm Normal")</f>
        <v>Señal MOPU complementaria 60x30 cm Normal</v>
      </c>
      <c r="C1933" s="4">
        <f>IFERROR(__xludf.DUMMYFUNCTION("""COMPUTED_VALUE"""),28.08)</f>
        <v>28.08</v>
      </c>
    </row>
    <row r="1934">
      <c r="A1934" s="4" t="str">
        <f>IFERROR(__xludf.DUMMYFUNCTION("""COMPUTED_VALUE"""),"956030N1")</f>
        <v>956030N1</v>
      </c>
      <c r="B1934" s="4" t="str">
        <f>IFERROR(__xludf.DUMMYFUNCTION("""COMPUTED_VALUE"""),"Señal MOPU complementaria 60x30 cm Reflex I")</f>
        <v>Señal MOPU complementaria 60x30 cm Reflex I</v>
      </c>
      <c r="C1934" s="4">
        <f>IFERROR(__xludf.DUMMYFUNCTION("""COMPUTED_VALUE"""),27.119999999999997)</f>
        <v>27.12</v>
      </c>
    </row>
    <row r="1935">
      <c r="A1935" s="4" t="str">
        <f>IFERROR(__xludf.DUMMYFUNCTION("""COMPUTED_VALUE"""),"956030N2")</f>
        <v>956030N2</v>
      </c>
      <c r="B1935" s="4" t="str">
        <f>IFERROR(__xludf.DUMMYFUNCTION("""COMPUTED_VALUE"""),"Señal MOPU complementaria 60x30 cm Reflex II")</f>
        <v>Señal MOPU complementaria 60x30 cm Reflex II</v>
      </c>
      <c r="C1935" s="4">
        <f>IFERROR(__xludf.DUMMYFUNCTION("""COMPUTED_VALUE"""),37.824)</f>
        <v>37.824</v>
      </c>
    </row>
    <row r="1936">
      <c r="A1936" s="4" t="str">
        <f>IFERROR(__xludf.DUMMYFUNCTION("""COMPUTED_VALUE"""),"956030N3")</f>
        <v>956030N3</v>
      </c>
      <c r="B1936" s="4" t="str">
        <f>IFERROR(__xludf.DUMMYFUNCTION("""COMPUTED_VALUE"""),"Señal MOPu complementaria 60x30 cm Reflex III")</f>
        <v>Señal MOPu complementaria 60x30 cm Reflex III</v>
      </c>
      <c r="C1936" s="4">
        <f>IFERROR(__xludf.DUMMYFUNCTION("""COMPUTED_VALUE"""),47.424)</f>
        <v>47.424</v>
      </c>
    </row>
    <row r="1937">
      <c r="A1937" s="4" t="str">
        <f>IFERROR(__xludf.DUMMYFUNCTION("""COMPUTED_VALUE"""),"956040N")</f>
        <v>956040N</v>
      </c>
      <c r="B1937" s="4" t="str">
        <f>IFERROR(__xludf.DUMMYFUNCTION("""COMPUTED_VALUE"""),"Señal MOPU complementaria 60x40 cm Normal")</f>
        <v>Señal MOPU complementaria 60x40 cm Normal</v>
      </c>
      <c r="C1937" s="4">
        <f>IFERROR(__xludf.DUMMYFUNCTION("""COMPUTED_VALUE"""),37.632)</f>
        <v>37.632</v>
      </c>
    </row>
    <row r="1938">
      <c r="A1938" s="4" t="str">
        <f>IFERROR(__xludf.DUMMYFUNCTION("""COMPUTED_VALUE"""),"956040N1")</f>
        <v>956040N1</v>
      </c>
      <c r="B1938" s="4" t="str">
        <f>IFERROR(__xludf.DUMMYFUNCTION("""COMPUTED_VALUE"""),"Señal MOPU complementaria 60x40 cm Reflex I")</f>
        <v>Señal MOPU complementaria 60x40 cm Reflex I</v>
      </c>
      <c r="C1938" s="4">
        <f>IFERROR(__xludf.DUMMYFUNCTION("""COMPUTED_VALUE"""),38.303999999999995)</f>
        <v>38.304</v>
      </c>
    </row>
    <row r="1939">
      <c r="A1939" s="4" t="str">
        <f>IFERROR(__xludf.DUMMYFUNCTION("""COMPUTED_VALUE"""),"956040N2")</f>
        <v>956040N2</v>
      </c>
      <c r="B1939" s="4" t="str">
        <f>IFERROR(__xludf.DUMMYFUNCTION("""COMPUTED_VALUE"""),"Señal MOPU complementaria 60x40 cm Reflex II")</f>
        <v>Señal MOPU complementaria 60x40 cm Reflex II</v>
      </c>
      <c r="C1939" s="4">
        <f>IFERROR(__xludf.DUMMYFUNCTION("""COMPUTED_VALUE"""),40.559999999999995)</f>
        <v>40.56</v>
      </c>
    </row>
    <row r="1940">
      <c r="A1940" s="4" t="str">
        <f>IFERROR(__xludf.DUMMYFUNCTION("""COMPUTED_VALUE"""),"956040N3")</f>
        <v>956040N3</v>
      </c>
      <c r="B1940" s="4" t="str">
        <f>IFERROR(__xludf.DUMMYFUNCTION("""COMPUTED_VALUE"""),"Señal MOPU complementaria 60x40 cm Reflex III")</f>
        <v>Señal MOPU complementaria 60x40 cm Reflex III</v>
      </c>
      <c r="C1940" s="4">
        <f>IFERROR(__xludf.DUMMYFUNCTION("""COMPUTED_VALUE"""),61.68)</f>
        <v>61.68</v>
      </c>
    </row>
    <row r="1941">
      <c r="A1941" s="4" t="str">
        <f>IFERROR(__xludf.DUMMYFUNCTION("""COMPUTED_VALUE"""),"958040N")</f>
        <v>958040N</v>
      </c>
      <c r="B1941" s="4" t="str">
        <f>IFERROR(__xludf.DUMMYFUNCTION("""COMPUTED_VALUE"""),"Señal MOPU complementaria 80x40 Normal")</f>
        <v>Señal MOPU complementaria 80x40 Normal</v>
      </c>
      <c r="C1941" s="4">
        <f>IFERROR(__xludf.DUMMYFUNCTION("""COMPUTED_VALUE"""),33.36)</f>
        <v>33.36</v>
      </c>
    </row>
    <row r="1942">
      <c r="A1942" s="4" t="str">
        <f>IFERROR(__xludf.DUMMYFUNCTION("""COMPUTED_VALUE"""),"958040N1")</f>
        <v>958040N1</v>
      </c>
      <c r="B1942" s="4" t="str">
        <f>IFERROR(__xludf.DUMMYFUNCTION("""COMPUTED_VALUE"""),"Señal MOPU complementaria 80x40 cm Reflex I")</f>
        <v>Señal MOPU complementaria 80x40 cm Reflex I</v>
      </c>
      <c r="C1942" s="4">
        <f>IFERROR(__xludf.DUMMYFUNCTION("""COMPUTED_VALUE"""),45.36)</f>
        <v>45.36</v>
      </c>
    </row>
    <row r="1943">
      <c r="A1943" s="4" t="str">
        <f>IFERROR(__xludf.DUMMYFUNCTION("""COMPUTED_VALUE"""),"958040N2")</f>
        <v>958040N2</v>
      </c>
      <c r="B1943" s="4" t="str">
        <f>IFERROR(__xludf.DUMMYFUNCTION("""COMPUTED_VALUE"""),"Señal MOPU complementaria 80x40 cm Reflex II")</f>
        <v>Señal MOPU complementaria 80x40 cm Reflex II</v>
      </c>
      <c r="C1943" s="4">
        <f>IFERROR(__xludf.DUMMYFUNCTION("""COMPUTED_VALUE"""),56.879999999999995)</f>
        <v>56.88</v>
      </c>
    </row>
    <row r="1944">
      <c r="A1944" s="4" t="str">
        <f>IFERROR(__xludf.DUMMYFUNCTION("""COMPUTED_VALUE"""),"958040N3")</f>
        <v>958040N3</v>
      </c>
      <c r="B1944" s="4" t="str">
        <f>IFERROR(__xludf.DUMMYFUNCTION("""COMPUTED_VALUE"""),"Señal MOPu complementaria 80x40 cm Reflex III")</f>
        <v>Señal MOPu complementaria 80x40 cm Reflex III</v>
      </c>
      <c r="C1944" s="4">
        <f>IFERROR(__xludf.DUMMYFUNCTION("""COMPUTED_VALUE"""),71.75999999999999)</f>
        <v>71.76</v>
      </c>
    </row>
    <row r="1945">
      <c r="A1945" s="4" t="str">
        <f>IFERROR(__xludf.DUMMYFUNCTION("""COMPUTED_VALUE"""),"958520N")</f>
        <v>958520N</v>
      </c>
      <c r="B1945" s="4" t="str">
        <f>IFERROR(__xludf.DUMMYFUNCTION("""COMPUTED_VALUE"""),"Señal MOPU complementaria 85x20 Normal")</f>
        <v>Señal MOPU complementaria 85x20 Normal</v>
      </c>
      <c r="C1945" s="4">
        <f>IFERROR(__xludf.DUMMYFUNCTION("""COMPUTED_VALUE"""),33.024)</f>
        <v>33.024</v>
      </c>
    </row>
    <row r="1946">
      <c r="A1946" s="4" t="str">
        <f>IFERROR(__xludf.DUMMYFUNCTION("""COMPUTED_VALUE"""),"958520N1")</f>
        <v>958520N1</v>
      </c>
      <c r="B1946" s="4" t="str">
        <f>IFERROR(__xludf.DUMMYFUNCTION("""COMPUTED_VALUE"""),"Señal MOPU complementaria 85x20 cm Reflex I")</f>
        <v>Señal MOPU complementaria 85x20 cm Reflex I</v>
      </c>
      <c r="C1946" s="4">
        <f>IFERROR(__xludf.DUMMYFUNCTION("""COMPUTED_VALUE"""),33.839999999999996)</f>
        <v>33.84</v>
      </c>
    </row>
    <row r="1947">
      <c r="A1947" s="4" t="str">
        <f>IFERROR(__xludf.DUMMYFUNCTION("""COMPUTED_VALUE"""),"958520N2")</f>
        <v>958520N2</v>
      </c>
      <c r="B1947" s="4" t="str">
        <f>IFERROR(__xludf.DUMMYFUNCTION("""COMPUTED_VALUE"""),"Señal MOPU complementaria 85x20 cm Reflex II")</f>
        <v>Señal MOPU complementaria 85x20 cm Reflex II</v>
      </c>
      <c r="C1947" s="4">
        <f>IFERROR(__xludf.DUMMYFUNCTION("""COMPUTED_VALUE"""),47.903999999999996)</f>
        <v>47.904</v>
      </c>
    </row>
    <row r="1948">
      <c r="A1948" s="4" t="str">
        <f>IFERROR(__xludf.DUMMYFUNCTION("""COMPUTED_VALUE"""),"958520N3")</f>
        <v>958520N3</v>
      </c>
      <c r="B1948" s="4" t="str">
        <f>IFERROR(__xludf.DUMMYFUNCTION("""COMPUTED_VALUE"""),"Señal MOPU complementaria 85x20 cm Reflex III")</f>
        <v>Señal MOPU complementaria 85x20 cm Reflex III</v>
      </c>
      <c r="C1948" s="4">
        <f>IFERROR(__xludf.DUMMYFUNCTION("""COMPUTED_VALUE"""),45.36)</f>
        <v>45.36</v>
      </c>
    </row>
    <row r="1949">
      <c r="A1949" s="4" t="str">
        <f>IFERROR(__xludf.DUMMYFUNCTION("""COMPUTED_VALUE"""),"959030N")</f>
        <v>959030N</v>
      </c>
      <c r="B1949" s="4" t="str">
        <f>IFERROR(__xludf.DUMMYFUNCTION("""COMPUTED_VALUE"""),"Señal MOPU complementaria 90x30 cm Normal")</f>
        <v>Señal MOPU complementaria 90x30 cm Normal</v>
      </c>
      <c r="C1949" s="4">
        <f>IFERROR(__xludf.DUMMYFUNCTION("""COMPUTED_VALUE"""),39.12)</f>
        <v>39.12</v>
      </c>
    </row>
    <row r="1950">
      <c r="A1950" s="4" t="str">
        <f>IFERROR(__xludf.DUMMYFUNCTION("""COMPUTED_VALUE"""),"959030N1")</f>
        <v>959030N1</v>
      </c>
      <c r="B1950" s="4" t="str">
        <f>IFERROR(__xludf.DUMMYFUNCTION("""COMPUTED_VALUE"""),"Señal MOPU complementario 90x30 cm Reflex I")</f>
        <v>Señal MOPU complementario 90x30 cm Reflex I</v>
      </c>
      <c r="C1950" s="4">
        <f>IFERROR(__xludf.DUMMYFUNCTION("""COMPUTED_VALUE"""),41.519999999999996)</f>
        <v>41.52</v>
      </c>
    </row>
    <row r="1951">
      <c r="A1951" s="4" t="str">
        <f>IFERROR(__xludf.DUMMYFUNCTION("""COMPUTED_VALUE"""),"959030N2")</f>
        <v>959030N2</v>
      </c>
      <c r="B1951" s="4" t="str">
        <f>IFERROR(__xludf.DUMMYFUNCTION("""COMPUTED_VALUE"""),"Señal MOPU complementaria 90x30 cm Reflex II")</f>
        <v>Señal MOPU complementaria 90x30 cm Reflex II</v>
      </c>
      <c r="C1951" s="4">
        <f>IFERROR(__xludf.DUMMYFUNCTION("""COMPUTED_VALUE"""),55.007999999999996)</f>
        <v>55.008</v>
      </c>
    </row>
    <row r="1952">
      <c r="A1952" s="4" t="str">
        <f>IFERROR(__xludf.DUMMYFUNCTION("""COMPUTED_VALUE"""),"959030N3")</f>
        <v>959030N3</v>
      </c>
      <c r="B1952" s="4" t="str">
        <f>IFERROR(__xludf.DUMMYFUNCTION("""COMPUTED_VALUE"""),"Señal MOPU complementaria 90x30 cm Reflex III")</f>
        <v>Señal MOPU complementaria 90x30 cm Reflex III</v>
      </c>
      <c r="C1952" s="4">
        <f>IFERROR(__xludf.DUMMYFUNCTION("""COMPUTED_VALUE"""),68.39999999999999)</f>
        <v>68.4</v>
      </c>
    </row>
    <row r="1953">
      <c r="A1953" s="4" t="str">
        <f>IFERROR(__xludf.DUMMYFUNCTION("""COMPUTED_VALUE"""),"9600N")</f>
        <v>9600N</v>
      </c>
      <c r="B1953" s="4" t="str">
        <f>IFERROR(__xludf.DUMMYFUNCTION("""COMPUTED_VALUE"""),"Señal Aluminio Circular 60 cm Normal")</f>
        <v>Señal Aluminio Circular 60 cm Normal</v>
      </c>
      <c r="C1953" s="4">
        <f>IFERROR(__xludf.DUMMYFUNCTION("""COMPUTED_VALUE"""),26.88)</f>
        <v>26.88</v>
      </c>
    </row>
    <row r="1954">
      <c r="A1954" s="4" t="str">
        <f>IFERROR(__xludf.DUMMYFUNCTION("""COMPUTED_VALUE"""),"9600N1")</f>
        <v>9600N1</v>
      </c>
      <c r="B1954" s="4" t="str">
        <f>IFERROR(__xludf.DUMMYFUNCTION("""COMPUTED_VALUE"""),"Señal Aluminio Circular 60 cm Nivel 1")</f>
        <v>Señal Aluminio Circular 60 cm Nivel 1</v>
      </c>
      <c r="C1954" s="4">
        <f>IFERROR(__xludf.DUMMYFUNCTION("""COMPUTED_VALUE"""),29.759999999999998)</f>
        <v>29.76</v>
      </c>
    </row>
    <row r="1955">
      <c r="A1955" s="4" t="str">
        <f>IFERROR(__xludf.DUMMYFUNCTION("""COMPUTED_VALUE"""),"9625120N")</f>
        <v>9625120N</v>
      </c>
      <c r="B1955" s="4" t="str">
        <f>IFERROR(__xludf.DUMMYFUNCTION("""COMPUTED_VALUE"""),"Señal MOPU informativa 25x120 cm Normal")</f>
        <v>Señal MOPU informativa 25x120 cm Normal</v>
      </c>
      <c r="C1955" s="4">
        <f>IFERROR(__xludf.DUMMYFUNCTION("""COMPUTED_VALUE"""),62.764799999999994)</f>
        <v>62.7648</v>
      </c>
    </row>
    <row r="1956">
      <c r="A1956" s="4" t="str">
        <f>IFERROR(__xludf.DUMMYFUNCTION("""COMPUTED_VALUE"""),"9625120N1")</f>
        <v>9625120N1</v>
      </c>
      <c r="B1956" s="4" t="str">
        <f>IFERROR(__xludf.DUMMYFUNCTION("""COMPUTED_VALUE"""),"Señal MOPU informativa 25x120 cm Reflex I")</f>
        <v>Señal MOPU informativa 25x120 cm Reflex I</v>
      </c>
      <c r="C1956" s="4">
        <f>IFERROR(__xludf.DUMMYFUNCTION("""COMPUTED_VALUE"""),66.432)</f>
        <v>66.432</v>
      </c>
    </row>
    <row r="1957">
      <c r="A1957" s="4" t="str">
        <f>IFERROR(__xludf.DUMMYFUNCTION("""COMPUTED_VALUE"""),"9625120N1F")</f>
        <v>9625120N1F</v>
      </c>
      <c r="B1957" s="4" t="str">
        <f>IFERROR(__xludf.DUMMYFUNCTION("""COMPUTED_VALUE"""),"Señal MOPU informativa 25x120 Nivel 1 Flechada")</f>
        <v>Señal MOPU informativa 25x120 Nivel 1 Flechada</v>
      </c>
      <c r="C1957" s="4">
        <f>IFERROR(__xludf.DUMMYFUNCTION("""COMPUTED_VALUE"""),65.61599999999999)</f>
        <v>65.616</v>
      </c>
    </row>
    <row r="1958">
      <c r="A1958" s="4" t="str">
        <f>IFERROR(__xludf.DUMMYFUNCTION("""COMPUTED_VALUE"""),"9625120N2")</f>
        <v>9625120N2</v>
      </c>
      <c r="B1958" s="4" t="str">
        <f>IFERROR(__xludf.DUMMYFUNCTION("""COMPUTED_VALUE"""),"Señal MOPU informativa 25x120 cm Reflex II")</f>
        <v>Señal MOPU informativa 25x120 cm Reflex II</v>
      </c>
      <c r="C1958" s="4">
        <f>IFERROR(__xludf.DUMMYFUNCTION("""COMPUTED_VALUE"""),72.96)</f>
        <v>72.96</v>
      </c>
    </row>
    <row r="1959">
      <c r="A1959" s="4" t="str">
        <f>IFERROR(__xludf.DUMMYFUNCTION("""COMPUTED_VALUE"""),"9625120N2F")</f>
        <v>9625120N2F</v>
      </c>
      <c r="B1959" s="4" t="str">
        <f>IFERROR(__xludf.DUMMYFUNCTION("""COMPUTED_VALUE"""),"Señal MOPU informativa 25x120 Nivel 2 Flechada")</f>
        <v>Señal MOPU informativa 25x120 Nivel 2 Flechada</v>
      </c>
      <c r="C1959" s="4">
        <f>IFERROR(__xludf.DUMMYFUNCTION("""COMPUTED_VALUE"""),73.152)</f>
        <v>73.152</v>
      </c>
    </row>
    <row r="1960">
      <c r="A1960" s="4" t="str">
        <f>IFERROR(__xludf.DUMMYFUNCTION("""COMPUTED_VALUE"""),"9625120N3")</f>
        <v>9625120N3</v>
      </c>
      <c r="B1960" s="4" t="str">
        <f>IFERROR(__xludf.DUMMYFUNCTION("""COMPUTED_VALUE"""),"Señal MOPU informativa 25x120 cm Reflex III")</f>
        <v>Señal MOPU informativa 25x120 cm Reflex III</v>
      </c>
      <c r="C1960" s="4">
        <f>IFERROR(__xludf.DUMMYFUNCTION("""COMPUTED_VALUE"""),104.832)</f>
        <v>104.832</v>
      </c>
    </row>
    <row r="1961">
      <c r="A1961" s="4" t="str">
        <f>IFERROR(__xludf.DUMMYFUNCTION("""COMPUTED_VALUE"""),"9625120N3F")</f>
        <v>9625120N3F</v>
      </c>
      <c r="B1961" s="4" t="str">
        <f>IFERROR(__xludf.DUMMYFUNCTION("""COMPUTED_VALUE"""),"Señal MOPU informativa 25x120 Nivel 3 Flechada")</f>
        <v>Señal MOPU informativa 25x120 Nivel 3 Flechada</v>
      </c>
      <c r="C1961" s="4">
        <f>IFERROR(__xludf.DUMMYFUNCTION("""COMPUTED_VALUE"""),105.792)</f>
        <v>105.792</v>
      </c>
    </row>
    <row r="1962">
      <c r="A1962" s="4" t="str">
        <f>IFERROR(__xludf.DUMMYFUNCTION("""COMPUTED_VALUE"""),"9625120NF")</f>
        <v>9625120NF</v>
      </c>
      <c r="B1962" s="4" t="str">
        <f>IFERROR(__xludf.DUMMYFUNCTION("""COMPUTED_VALUE"""),"Señal MOPU informativa 25x120 Normal Flechada")</f>
        <v>Señal MOPU informativa 25x120 Normal Flechada</v>
      </c>
      <c r="C1962" s="4">
        <f>IFERROR(__xludf.DUMMYFUNCTION("""COMPUTED_VALUE"""),59.856)</f>
        <v>59.856</v>
      </c>
    </row>
    <row r="1963">
      <c r="A1963" s="4" t="str">
        <f>IFERROR(__xludf.DUMMYFUNCTION("""COMPUTED_VALUE"""),"962570N")</f>
        <v>962570N</v>
      </c>
      <c r="B1963" s="4" t="str">
        <f>IFERROR(__xludf.DUMMYFUNCTION("""COMPUTED_VALUE"""),"Señal MOPU informativa 25x70 cm Normal")</f>
        <v>Señal MOPU informativa 25x70 cm Normal</v>
      </c>
      <c r="C1963" s="4">
        <f>IFERROR(__xludf.DUMMYFUNCTION("""COMPUTED_VALUE"""),35.519999999999996)</f>
        <v>35.52</v>
      </c>
    </row>
    <row r="1964">
      <c r="A1964" s="4" t="str">
        <f>IFERROR(__xludf.DUMMYFUNCTION("""COMPUTED_VALUE"""),"962570N1")</f>
        <v>962570N1</v>
      </c>
      <c r="B1964" s="4" t="str">
        <f>IFERROR(__xludf.DUMMYFUNCTION("""COMPUTED_VALUE"""),"Señal MOPU informativa 25x70 cm Reflex I")</f>
        <v>Señal MOPU informativa 25x70 cm Reflex I</v>
      </c>
      <c r="C1964" s="4">
        <f>IFERROR(__xludf.DUMMYFUNCTION("""COMPUTED_VALUE"""),40.272)</f>
        <v>40.272</v>
      </c>
    </row>
    <row r="1965">
      <c r="A1965" s="4" t="str">
        <f>IFERROR(__xludf.DUMMYFUNCTION("""COMPUTED_VALUE"""),"962570N1F")</f>
        <v>962570N1F</v>
      </c>
      <c r="B1965" s="4" t="str">
        <f>IFERROR(__xludf.DUMMYFUNCTION("""COMPUTED_VALUE"""),"Señal MOPU informativa 25x70 cm Nivel 1 Flechada")</f>
        <v>Señal MOPU informativa 25x70 cm Nivel 1 Flechada</v>
      </c>
      <c r="C1965" s="4">
        <f>IFERROR(__xludf.DUMMYFUNCTION("""COMPUTED_VALUE"""),40.272)</f>
        <v>40.272</v>
      </c>
    </row>
    <row r="1966">
      <c r="A1966" s="4" t="str">
        <f>IFERROR(__xludf.DUMMYFUNCTION("""COMPUTED_VALUE"""),"962570N2")</f>
        <v>962570N2</v>
      </c>
      <c r="B1966" s="4" t="str">
        <f>IFERROR(__xludf.DUMMYFUNCTION("""COMPUTED_VALUE"""),"Señal MOPU informativa 25x70 cm Reflex II")</f>
        <v>Señal MOPU informativa 25x70 cm Reflex II</v>
      </c>
      <c r="C1966" s="4">
        <f>IFERROR(__xludf.DUMMYFUNCTION("""COMPUTED_VALUE"""),45.8208)</f>
        <v>45.8208</v>
      </c>
    </row>
    <row r="1967">
      <c r="A1967" s="4" t="str">
        <f>IFERROR(__xludf.DUMMYFUNCTION("""COMPUTED_VALUE"""),"962570N2F")</f>
        <v>962570N2F</v>
      </c>
      <c r="B1967" s="4" t="str">
        <f>IFERROR(__xludf.DUMMYFUNCTION("""COMPUTED_VALUE"""),"Señal MOPU informativa 25x70 cm Nivel 2 Flechada")</f>
        <v>Señal MOPU informativa 25x70 cm Nivel 2 Flechada</v>
      </c>
      <c r="C1967" s="4">
        <f>IFERROR(__xludf.DUMMYFUNCTION("""COMPUTED_VALUE"""),45.8208)</f>
        <v>45.8208</v>
      </c>
    </row>
    <row r="1968">
      <c r="A1968" s="4" t="str">
        <f>IFERROR(__xludf.DUMMYFUNCTION("""COMPUTED_VALUE"""),"962570N3")</f>
        <v>962570N3</v>
      </c>
      <c r="B1968" s="4" t="str">
        <f>IFERROR(__xludf.DUMMYFUNCTION("""COMPUTED_VALUE"""),"Señal MOPU informativa 25x70 cm Reflex III")</f>
        <v>Señal MOPU informativa 25x70 cm Reflex III</v>
      </c>
      <c r="C1968" s="4">
        <f>IFERROR(__xludf.DUMMYFUNCTION("""COMPUTED_VALUE"""),51.36)</f>
        <v>51.36</v>
      </c>
    </row>
    <row r="1969">
      <c r="A1969" s="4" t="str">
        <f>IFERROR(__xludf.DUMMYFUNCTION("""COMPUTED_VALUE"""),"962570N3F")</f>
        <v>962570N3F</v>
      </c>
      <c r="B1969" s="4" t="str">
        <f>IFERROR(__xludf.DUMMYFUNCTION("""COMPUTED_VALUE"""),"Señal MOPU informativa 25x70 cm Nivel 3 Flechada")</f>
        <v>Señal MOPU informativa 25x70 cm Nivel 3 Flechada</v>
      </c>
      <c r="C1969" s="4">
        <f>IFERROR(__xludf.DUMMYFUNCTION("""COMPUTED_VALUE"""),51.839999999999996)</f>
        <v>51.84</v>
      </c>
    </row>
    <row r="1970">
      <c r="A1970" s="4" t="str">
        <f>IFERROR(__xludf.DUMMYFUNCTION("""COMPUTED_VALUE"""),"962570NF")</f>
        <v>962570NF</v>
      </c>
      <c r="B1970" s="4" t="str">
        <f>IFERROR(__xludf.DUMMYFUNCTION("""COMPUTED_VALUE"""),"Señal MOPU informativa 25x70 cm Normal flechada")</f>
        <v>Señal MOPU informativa 25x70 cm Normal flechada</v>
      </c>
      <c r="C1970" s="4">
        <f>IFERROR(__xludf.DUMMYFUNCTION("""COMPUTED_VALUE"""),37.7568)</f>
        <v>37.7568</v>
      </c>
    </row>
    <row r="1971">
      <c r="A1971" s="4" t="str">
        <f>IFERROR(__xludf.DUMMYFUNCTION("""COMPUTED_VALUE"""),"962595N")</f>
        <v>962595N</v>
      </c>
      <c r="B1971" s="4" t="str">
        <f>IFERROR(__xludf.DUMMYFUNCTION("""COMPUTED_VALUE"""),"Señal MOPU informativa 25x95 cm Normal")</f>
        <v>Señal MOPU informativa 25x95 cm Normal</v>
      </c>
      <c r="C1971" s="4">
        <f>IFERROR(__xludf.DUMMYFUNCTION("""COMPUTED_VALUE"""),38.7648)</f>
        <v>38.7648</v>
      </c>
    </row>
    <row r="1972">
      <c r="A1972" s="4" t="str">
        <f>IFERROR(__xludf.DUMMYFUNCTION("""COMPUTED_VALUE"""),"962595N1")</f>
        <v>962595N1</v>
      </c>
      <c r="B1972" s="4" t="str">
        <f>IFERROR(__xludf.DUMMYFUNCTION("""COMPUTED_VALUE"""),"Señal MOPU informativa 25x95 cm Reflex I")</f>
        <v>Señal MOPU informativa 25x95 cm Reflex I</v>
      </c>
      <c r="C1972" s="4">
        <f>IFERROR(__xludf.DUMMYFUNCTION("""COMPUTED_VALUE"""),44.284800000000004)</f>
        <v>44.2848</v>
      </c>
    </row>
    <row r="1973">
      <c r="A1973" s="4" t="str">
        <f>IFERROR(__xludf.DUMMYFUNCTION("""COMPUTED_VALUE"""),"962595N3")</f>
        <v>962595N3</v>
      </c>
      <c r="B1973" s="4" t="str">
        <f>IFERROR(__xludf.DUMMYFUNCTION("""COMPUTED_VALUE"""),"Señal MOPU informativa 25x95 cm Reflex III")</f>
        <v>Señal MOPU informativa 25x95 cm Reflex III</v>
      </c>
      <c r="C1973" s="4">
        <f>IFERROR(__xludf.DUMMYFUNCTION("""COMPUTED_VALUE"""),60.336)</f>
        <v>60.336</v>
      </c>
    </row>
    <row r="1974">
      <c r="A1974" s="4" t="str">
        <f>IFERROR(__xludf.DUMMYFUNCTION("""COMPUTED_VALUE"""),"9630120N")</f>
        <v>9630120N</v>
      </c>
      <c r="B1974" s="4" t="str">
        <f>IFERROR(__xludf.DUMMYFUNCTION("""COMPUTED_VALUE"""),"Señal MOPU informativa 30x120 cm Normal")</f>
        <v>Señal MOPU informativa 30x120 cm Normal</v>
      </c>
      <c r="C1974" s="4">
        <f>IFERROR(__xludf.DUMMYFUNCTION("""COMPUTED_VALUE"""),51.36)</f>
        <v>51.36</v>
      </c>
    </row>
    <row r="1975">
      <c r="A1975" s="4" t="str">
        <f>IFERROR(__xludf.DUMMYFUNCTION("""COMPUTED_VALUE"""),"9630120N1")</f>
        <v>9630120N1</v>
      </c>
      <c r="B1975" s="4" t="str">
        <f>IFERROR(__xludf.DUMMYFUNCTION("""COMPUTED_VALUE"""),"Señal MOPU informativa 30x120 cm Reflex I")</f>
        <v>Señal MOPU informativa 30x120 cm Reflex I</v>
      </c>
      <c r="C1975" s="4">
        <f>IFERROR(__xludf.DUMMYFUNCTION("""COMPUTED_VALUE"""),65.184)</f>
        <v>65.184</v>
      </c>
    </row>
    <row r="1976">
      <c r="A1976" s="4" t="str">
        <f>IFERROR(__xludf.DUMMYFUNCTION("""COMPUTED_VALUE"""),"9630145N")</f>
        <v>9630145N</v>
      </c>
      <c r="B1976" s="4" t="str">
        <f>IFERROR(__xludf.DUMMYFUNCTION("""COMPUTED_VALUE"""),"Señal MOPU informativa 30x145 cm Normal")</f>
        <v>Señal MOPU informativa 30x145 cm Normal</v>
      </c>
      <c r="C1976" s="4">
        <f>IFERROR(__xludf.DUMMYFUNCTION("""COMPUTED_VALUE"""),81.648)</f>
        <v>81.648</v>
      </c>
    </row>
    <row r="1977">
      <c r="A1977" s="4" t="str">
        <f>IFERROR(__xludf.DUMMYFUNCTION("""COMPUTED_VALUE"""),"9630145N1")</f>
        <v>9630145N1</v>
      </c>
      <c r="B1977" s="4" t="str">
        <f>IFERROR(__xludf.DUMMYFUNCTION("""COMPUTED_VALUE"""),"Señal MOPU informativa 30x145 cm Reflex I")</f>
        <v>Señal MOPU informativa 30x145 cm Reflex I</v>
      </c>
      <c r="C1977" s="4">
        <f>IFERROR(__xludf.DUMMYFUNCTION("""COMPUTED_VALUE"""),77.28)</f>
        <v>77.28</v>
      </c>
    </row>
    <row r="1978">
      <c r="A1978" s="4" t="str">
        <f>IFERROR(__xludf.DUMMYFUNCTION("""COMPUTED_VALUE"""),"9630145N1F")</f>
        <v>9630145N1F</v>
      </c>
      <c r="B1978" s="4" t="str">
        <f>IFERROR(__xludf.DUMMYFUNCTION("""COMPUTED_VALUE"""),"Señal informativa 30x145 cm Nivel 1 Flechada")</f>
        <v>Señal informativa 30x145 cm Nivel 1 Flechada</v>
      </c>
      <c r="C1978" s="4">
        <f>IFERROR(__xludf.DUMMYFUNCTION("""COMPUTED_VALUE"""),81.072)</f>
        <v>81.072</v>
      </c>
    </row>
    <row r="1979">
      <c r="A1979" s="4" t="str">
        <f>IFERROR(__xludf.DUMMYFUNCTION("""COMPUTED_VALUE"""),"9630145N2")</f>
        <v>9630145N2</v>
      </c>
      <c r="B1979" s="4" t="str">
        <f>IFERROR(__xludf.DUMMYFUNCTION("""COMPUTED_VALUE"""),"Señal MOPU informativa 30x145 cm Reflex II")</f>
        <v>Señal MOPU informativa 30x145 cm Reflex II</v>
      </c>
      <c r="C1979" s="4">
        <f>IFERROR(__xludf.DUMMYFUNCTION("""COMPUTED_VALUE"""),98.39999999999999)</f>
        <v>98.4</v>
      </c>
    </row>
    <row r="1980">
      <c r="A1980" s="4" t="str">
        <f>IFERROR(__xludf.DUMMYFUNCTION("""COMPUTED_VALUE"""),"9630145N2F")</f>
        <v>9630145N2F</v>
      </c>
      <c r="B1980" s="4" t="str">
        <f>IFERROR(__xludf.DUMMYFUNCTION("""COMPUTED_VALUE"""),"Señal informativa 30x145 cm Nivel 2 Flechada")</f>
        <v>Señal informativa 30x145 cm Nivel 2 Flechada</v>
      </c>
      <c r="C1980" s="4">
        <f>IFERROR(__xludf.DUMMYFUNCTION("""COMPUTED_VALUE"""),98.23679999999999)</f>
        <v>98.2368</v>
      </c>
    </row>
    <row r="1981">
      <c r="A1981" s="4" t="str">
        <f>IFERROR(__xludf.DUMMYFUNCTION("""COMPUTED_VALUE"""),"9630145N3")</f>
        <v>9630145N3</v>
      </c>
      <c r="B1981" s="4" t="str">
        <f>IFERROR(__xludf.DUMMYFUNCTION("""COMPUTED_VALUE"""),"Señal MOPu informativa 30x145 cm Reflex III")</f>
        <v>Señal MOPu informativa 30x145 cm Reflex III</v>
      </c>
      <c r="C1981" s="4">
        <f>IFERROR(__xludf.DUMMYFUNCTION("""COMPUTED_VALUE"""),101.75999999999999)</f>
        <v>101.76</v>
      </c>
    </row>
    <row r="1982">
      <c r="A1982" s="4" t="str">
        <f>IFERROR(__xludf.DUMMYFUNCTION("""COMPUTED_VALUE"""),"9630145N3F")</f>
        <v>9630145N3F</v>
      </c>
      <c r="B1982" s="4" t="str">
        <f>IFERROR(__xludf.DUMMYFUNCTION("""COMPUTED_VALUE"""),"Señal informativa 30x145 cm Nivel 3 Flechada")</f>
        <v>Señal informativa 30x145 cm Nivel 3 Flechada</v>
      </c>
      <c r="C1982" s="4">
        <f>IFERROR(__xludf.DUMMYFUNCTION("""COMPUTED_VALUE"""),112.8)</f>
        <v>112.8</v>
      </c>
    </row>
    <row r="1983">
      <c r="A1983" s="4" t="str">
        <f>IFERROR(__xludf.DUMMYFUNCTION("""COMPUTED_VALUE"""),"9630145NF")</f>
        <v>9630145NF</v>
      </c>
      <c r="B1983" s="4" t="str">
        <f>IFERROR(__xludf.DUMMYFUNCTION("""COMPUTED_VALUE"""),"Señal informativa 30x145 cm Normal Flechada")</f>
        <v>Señal informativa 30x145 cm Normal Flechada</v>
      </c>
      <c r="C1983" s="4">
        <f>IFERROR(__xludf.DUMMYFUNCTION("""COMPUTED_VALUE"""),66.384)</f>
        <v>66.384</v>
      </c>
    </row>
    <row r="1984">
      <c r="A1984" s="4" t="str">
        <f>IFERROR(__xludf.DUMMYFUNCTION("""COMPUTED_VALUE"""),"963095N")</f>
        <v>963095N</v>
      </c>
      <c r="B1984" s="4" t="str">
        <f>IFERROR(__xludf.DUMMYFUNCTION("""COMPUTED_VALUE"""),"Señal MOPU informativa 30x95 cm Normal")</f>
        <v>Señal MOPU informativa 30x95 cm Normal</v>
      </c>
      <c r="C1984" s="4">
        <f>IFERROR(__xludf.DUMMYFUNCTION("""COMPUTED_VALUE"""),45.983999999999995)</f>
        <v>45.984</v>
      </c>
    </row>
    <row r="1985">
      <c r="A1985" s="4" t="str">
        <f>IFERROR(__xludf.DUMMYFUNCTION("""COMPUTED_VALUE"""),"963095N1")</f>
        <v>963095N1</v>
      </c>
      <c r="B1985" s="4" t="str">
        <f>IFERROR(__xludf.DUMMYFUNCTION("""COMPUTED_VALUE"""),"Señal MOPU informativa 30x95 cm Reflex I")</f>
        <v>Señal MOPU informativa 30x95 cm Reflex I</v>
      </c>
      <c r="C1985" s="4">
        <f>IFERROR(__xludf.DUMMYFUNCTION("""COMPUTED_VALUE"""),50.784)</f>
        <v>50.784</v>
      </c>
    </row>
    <row r="1986">
      <c r="A1986" s="4" t="str">
        <f>IFERROR(__xludf.DUMMYFUNCTION("""COMPUTED_VALUE"""),"963095N1F")</f>
        <v>963095N1F</v>
      </c>
      <c r="B1986" s="4" t="str">
        <f>IFERROR(__xludf.DUMMYFUNCTION("""COMPUTED_VALUE"""),"Señal MOPU informativa 30x95 Nivel 1 Flechada")</f>
        <v>Señal MOPU informativa 30x95 Nivel 1 Flechada</v>
      </c>
      <c r="C1986" s="4">
        <f>IFERROR(__xludf.DUMMYFUNCTION("""COMPUTED_VALUE"""),50.8032)</f>
        <v>50.8032</v>
      </c>
    </row>
    <row r="1987">
      <c r="A1987" s="4" t="str">
        <f>IFERROR(__xludf.DUMMYFUNCTION("""COMPUTED_VALUE"""),"963095N2")</f>
        <v>963095N2</v>
      </c>
      <c r="B1987" s="4" t="str">
        <f>IFERROR(__xludf.DUMMYFUNCTION("""COMPUTED_VALUE"""),"Señal MOPU informativa 30x95 cm Reflex II")</f>
        <v>Señal MOPU informativa 30x95 cm Reflex II</v>
      </c>
      <c r="C1987" s="4">
        <f>IFERROR(__xludf.DUMMYFUNCTION("""COMPUTED_VALUE"""),56.952)</f>
        <v>56.952</v>
      </c>
    </row>
    <row r="1988">
      <c r="A1988" s="4" t="str">
        <f>IFERROR(__xludf.DUMMYFUNCTION("""COMPUTED_VALUE"""),"963095N2F")</f>
        <v>963095N2F</v>
      </c>
      <c r="B1988" s="4" t="str">
        <f>IFERROR(__xludf.DUMMYFUNCTION("""COMPUTED_VALUE"""),"Señal MOPU informativa 30x95 Nivel 2 Flechada")</f>
        <v>Señal MOPU informativa 30x95 Nivel 2 Flechada</v>
      </c>
      <c r="C1988" s="4">
        <f>IFERROR(__xludf.DUMMYFUNCTION("""COMPUTED_VALUE"""),58.876799999999996)</f>
        <v>58.8768</v>
      </c>
    </row>
    <row r="1989">
      <c r="A1989" s="4" t="str">
        <f>IFERROR(__xludf.DUMMYFUNCTION("""COMPUTED_VALUE"""),"963095N3")</f>
        <v>963095N3</v>
      </c>
      <c r="B1989" s="4" t="str">
        <f>IFERROR(__xludf.DUMMYFUNCTION("""COMPUTED_VALUE"""),"Señal MOPU informativa 30x95 cm Reflex III")</f>
        <v>Señal MOPU informativa 30x95 cm Reflex III</v>
      </c>
      <c r="C1989" s="4">
        <f>IFERROR(__xludf.DUMMYFUNCTION("""COMPUTED_VALUE"""),61.44)</f>
        <v>61.44</v>
      </c>
    </row>
    <row r="1990">
      <c r="A1990" s="4" t="str">
        <f>IFERROR(__xludf.DUMMYFUNCTION("""COMPUTED_VALUE"""),"963095N3F")</f>
        <v>963095N3F</v>
      </c>
      <c r="B1990" s="4" t="str">
        <f>IFERROR(__xludf.DUMMYFUNCTION("""COMPUTED_VALUE"""),"Señal MOPU informativa 30x95 Nivel 3 Flechada")</f>
        <v>Señal MOPU informativa 30x95 Nivel 3 Flechada</v>
      </c>
      <c r="C1990" s="4">
        <f>IFERROR(__xludf.DUMMYFUNCTION("""COMPUTED_VALUE"""),64.464)</f>
        <v>64.464</v>
      </c>
    </row>
    <row r="1991">
      <c r="A1991" s="4" t="str">
        <f>IFERROR(__xludf.DUMMYFUNCTION("""COMPUTED_VALUE"""),"963095NF")</f>
        <v>963095NF</v>
      </c>
      <c r="B1991" s="4" t="str">
        <f>IFERROR(__xludf.DUMMYFUNCTION("""COMPUTED_VALUE"""),"Señal MOPU informativa 30x95 Normal Flechada")</f>
        <v>Señal MOPU informativa 30x95 Normal Flechada</v>
      </c>
      <c r="C1991" s="4">
        <f>IFERROR(__xludf.DUMMYFUNCTION("""COMPUTED_VALUE"""),45.263999999999996)</f>
        <v>45.264</v>
      </c>
    </row>
    <row r="1992">
      <c r="A1992" s="4" t="str">
        <f>IFERROR(__xludf.DUMMYFUNCTION("""COMPUTED_VALUE"""),"9640120N")</f>
        <v>9640120N</v>
      </c>
      <c r="B1992" s="4" t="str">
        <f>IFERROR(__xludf.DUMMYFUNCTION("""COMPUTED_VALUE"""),"Señal MOPU informativa 40x120 cm Normal")</f>
        <v>Señal MOPU informativa 40x120 cm Normal</v>
      </c>
      <c r="C1992" s="4">
        <f>IFERROR(__xludf.DUMMYFUNCTION("""COMPUTED_VALUE"""),76.032)</f>
        <v>76.032</v>
      </c>
    </row>
    <row r="1993">
      <c r="A1993" s="4" t="str">
        <f>IFERROR(__xludf.DUMMYFUNCTION("""COMPUTED_VALUE"""),"9640120N1")</f>
        <v>9640120N1</v>
      </c>
      <c r="B1993" s="4" t="str">
        <f>IFERROR(__xludf.DUMMYFUNCTION("""COMPUTED_VALUE"""),"Señal MOPU informativa 40x120 cm Reflex I")</f>
        <v>Señal MOPU informativa 40x120 cm Reflex I</v>
      </c>
      <c r="C1993" s="4">
        <f>IFERROR(__xludf.DUMMYFUNCTION("""COMPUTED_VALUE"""),70.08)</f>
        <v>70.08</v>
      </c>
    </row>
    <row r="1994">
      <c r="A1994" s="4" t="str">
        <f>IFERROR(__xludf.DUMMYFUNCTION("""COMPUTED_VALUE"""),"9640120N1F")</f>
        <v>9640120N1F</v>
      </c>
      <c r="B1994" s="4" t="str">
        <f>IFERROR(__xludf.DUMMYFUNCTION("""COMPUTED_VALUE"""),"Señal MOPU informativa 40x120 cm Nivel 1 flechada")</f>
        <v>Señal MOPU informativa 40x120 cm Nivel 1 flechada</v>
      </c>
      <c r="C1994" s="4">
        <f>IFERROR(__xludf.DUMMYFUNCTION("""COMPUTED_VALUE"""),75.552)</f>
        <v>75.552</v>
      </c>
    </row>
    <row r="1995">
      <c r="A1995" s="4" t="str">
        <f>IFERROR(__xludf.DUMMYFUNCTION("""COMPUTED_VALUE"""),"9640120N2")</f>
        <v>9640120N2</v>
      </c>
      <c r="B1995" s="4" t="str">
        <f>IFERROR(__xludf.DUMMYFUNCTION("""COMPUTED_VALUE"""),"Señal MOPU informativa 40x120 cm Reflex II")</f>
        <v>Señal MOPU informativa 40x120 cm Reflex II</v>
      </c>
      <c r="C1995" s="4">
        <f>IFERROR(__xludf.DUMMYFUNCTION("""COMPUTED_VALUE"""),84.0)</f>
        <v>84</v>
      </c>
    </row>
    <row r="1996">
      <c r="A1996" s="4" t="str">
        <f>IFERROR(__xludf.DUMMYFUNCTION("""COMPUTED_VALUE"""),"9640120N2F")</f>
        <v>9640120N2F</v>
      </c>
      <c r="B1996" s="4" t="str">
        <f>IFERROR(__xludf.DUMMYFUNCTION("""COMPUTED_VALUE"""),"Señal MOPU informativa 40x120 cm Nivel 2 flechada")</f>
        <v>Señal MOPU informativa 40x120 cm Nivel 2 flechada</v>
      </c>
      <c r="C1996" s="4">
        <f>IFERROR(__xludf.DUMMYFUNCTION("""COMPUTED_VALUE"""),87.6288)</f>
        <v>87.6288</v>
      </c>
    </row>
    <row r="1997">
      <c r="A1997" s="4" t="str">
        <f>IFERROR(__xludf.DUMMYFUNCTION("""COMPUTED_VALUE"""),"9640120N3")</f>
        <v>9640120N3</v>
      </c>
      <c r="B1997" s="4" t="str">
        <f>IFERROR(__xludf.DUMMYFUNCTION("""COMPUTED_VALUE"""),"Señal MOPU inforrmativa 40x120 cm Reflex III")</f>
        <v>Señal MOPU inforrmativa 40x120 cm Reflex III</v>
      </c>
      <c r="C1997" s="4">
        <f>IFERROR(__xludf.DUMMYFUNCTION("""COMPUTED_VALUE"""),116.16)</f>
        <v>116.16</v>
      </c>
    </row>
    <row r="1998">
      <c r="A1998" s="4" t="str">
        <f>IFERROR(__xludf.DUMMYFUNCTION("""COMPUTED_VALUE"""),"9640120N3F")</f>
        <v>9640120N3F</v>
      </c>
      <c r="B1998" s="4" t="str">
        <f>IFERROR(__xludf.DUMMYFUNCTION("""COMPUTED_VALUE"""),"Señal MOPU informativa 40x120 cm Nivel 3 flechada")</f>
        <v>Señal MOPU informativa 40x120 cm Nivel 3 flechada</v>
      </c>
      <c r="C1998" s="4">
        <f>IFERROR(__xludf.DUMMYFUNCTION("""COMPUTED_VALUE"""),128.928)</f>
        <v>128.928</v>
      </c>
    </row>
    <row r="1999">
      <c r="A1999" s="4" t="str">
        <f>IFERROR(__xludf.DUMMYFUNCTION("""COMPUTED_VALUE"""),"9640120NF")</f>
        <v>9640120NF</v>
      </c>
      <c r="B1999" s="4" t="str">
        <f>IFERROR(__xludf.DUMMYFUNCTION("""COMPUTED_VALUE"""),"Señal MOPU informativa 40x120 cm Normal Flechada")</f>
        <v>Señal MOPU informativa 40x120 cm Normal Flechada</v>
      </c>
      <c r="C1999" s="4">
        <f>IFERROR(__xludf.DUMMYFUNCTION("""COMPUTED_VALUE"""),66.432)</f>
        <v>66.432</v>
      </c>
    </row>
    <row r="2000">
      <c r="A2000" s="4" t="str">
        <f>IFERROR(__xludf.DUMMYFUNCTION("""COMPUTED_VALUE"""),"9640170N1")</f>
        <v>9640170N1</v>
      </c>
      <c r="B2000" s="4" t="str">
        <f>IFERROR(__xludf.DUMMYFUNCTION("""COMPUTED_VALUE"""),"Señal MOPU complementaria 40x170 Nivel 1")</f>
        <v>Señal MOPU complementaria 40x170 Nivel 1</v>
      </c>
      <c r="C2000" s="4">
        <f>IFERROR(__xludf.DUMMYFUNCTION("""COMPUTED_VALUE"""),103.2)</f>
        <v>103.2</v>
      </c>
    </row>
    <row r="2001">
      <c r="A2001" s="4" t="str">
        <f>IFERROR(__xludf.DUMMYFUNCTION("""COMPUTED_VALUE"""),"9640195N")</f>
        <v>9640195N</v>
      </c>
      <c r="B2001" s="4" t="str">
        <f>IFERROR(__xludf.DUMMYFUNCTION("""COMPUTED_VALUE"""),"Señal MOPU informativa 40x195 cm Normal")</f>
        <v>Señal MOPU informativa 40x195 cm Normal</v>
      </c>
      <c r="C2001" s="4">
        <f>IFERROR(__xludf.DUMMYFUNCTION("""COMPUTED_VALUE"""),109.632)</f>
        <v>109.632</v>
      </c>
    </row>
    <row r="2002">
      <c r="A2002" s="4" t="str">
        <f>IFERROR(__xludf.DUMMYFUNCTION("""COMPUTED_VALUE"""),"9640195N1")</f>
        <v>9640195N1</v>
      </c>
      <c r="B2002" s="4" t="str">
        <f>IFERROR(__xludf.DUMMYFUNCTION("""COMPUTED_VALUE"""),"Señal MOPU informativa 40x195 cm Nivel 1")</f>
        <v>Señal MOPU informativa 40x195 cm Nivel 1</v>
      </c>
      <c r="C2002" s="4">
        <f>IFERROR(__xludf.DUMMYFUNCTION("""COMPUTED_VALUE"""),117.984)</f>
        <v>117.984</v>
      </c>
    </row>
    <row r="2003">
      <c r="A2003" s="4" t="str">
        <f>IFERROR(__xludf.DUMMYFUNCTION("""COMPUTED_VALUE"""),"9640195N1F")</f>
        <v>9640195N1F</v>
      </c>
      <c r="B2003" s="4" t="str">
        <f>IFERROR(__xludf.DUMMYFUNCTION("""COMPUTED_VALUE"""),"Señal MOPU informativa 40x195 cm Nivel 1 Flechada")</f>
        <v>Señal MOPU informativa 40x195 cm Nivel 1 Flechada</v>
      </c>
      <c r="C2003" s="4">
        <f>IFERROR(__xludf.DUMMYFUNCTION("""COMPUTED_VALUE"""),117.984)</f>
        <v>117.984</v>
      </c>
    </row>
    <row r="2004">
      <c r="A2004" s="4" t="str">
        <f>IFERROR(__xludf.DUMMYFUNCTION("""COMPUTED_VALUE"""),"9640195N2")</f>
        <v>9640195N2</v>
      </c>
      <c r="B2004" s="4" t="str">
        <f>IFERROR(__xludf.DUMMYFUNCTION("""COMPUTED_VALUE"""),"Señal MOPU informativa 40x195 cm Nivel 2")</f>
        <v>Señal MOPU informativa 40x195 cm Nivel 2</v>
      </c>
      <c r="C2004" s="4">
        <f>IFERROR(__xludf.DUMMYFUNCTION("""COMPUTED_VALUE"""),143.28)</f>
        <v>143.28</v>
      </c>
    </row>
    <row r="2005">
      <c r="A2005" s="4" t="str">
        <f>IFERROR(__xludf.DUMMYFUNCTION("""COMPUTED_VALUE"""),"9640195N2F")</f>
        <v>9640195N2F</v>
      </c>
      <c r="B2005" s="4" t="str">
        <f>IFERROR(__xludf.DUMMYFUNCTION("""COMPUTED_VALUE"""),"Señal MOPU informativa 40x195 cm Nivel 2 flechada")</f>
        <v>Señal MOPU informativa 40x195 cm Nivel 2 flechada</v>
      </c>
      <c r="C2005" s="4">
        <f>IFERROR(__xludf.DUMMYFUNCTION("""COMPUTED_VALUE"""),143.28)</f>
        <v>143.28</v>
      </c>
    </row>
    <row r="2006">
      <c r="A2006" s="4" t="str">
        <f>IFERROR(__xludf.DUMMYFUNCTION("""COMPUTED_VALUE"""),"9640195N3")</f>
        <v>9640195N3</v>
      </c>
      <c r="B2006" s="4" t="str">
        <f>IFERROR(__xludf.DUMMYFUNCTION("""COMPUTED_VALUE"""),"Señal MOPU informativa 40x195 cm Nivel 3")</f>
        <v>Señal MOPU informativa 40x195 cm Nivel 3</v>
      </c>
      <c r="C2006" s="4">
        <f>IFERROR(__xludf.DUMMYFUNCTION("""COMPUTED_VALUE"""),150.96)</f>
        <v>150.96</v>
      </c>
    </row>
    <row r="2007">
      <c r="A2007" s="4" t="str">
        <f>IFERROR(__xludf.DUMMYFUNCTION("""COMPUTED_VALUE"""),"9640195N3F")</f>
        <v>9640195N3F</v>
      </c>
      <c r="B2007" s="4" t="str">
        <f>IFERROR(__xludf.DUMMYFUNCTION("""COMPUTED_VALUE"""),"Señal MOPU informativa 40x195 cm Nivel 3 Flechada")</f>
        <v>Señal MOPU informativa 40x195 cm Nivel 3 Flechada</v>
      </c>
      <c r="C2007" s="4">
        <f>IFERROR(__xludf.DUMMYFUNCTION("""COMPUTED_VALUE"""),150.96)</f>
        <v>150.96</v>
      </c>
    </row>
    <row r="2008">
      <c r="A2008" s="4" t="str">
        <f>IFERROR(__xludf.DUMMYFUNCTION("""COMPUTED_VALUE"""),"9640195NF")</f>
        <v>9640195NF</v>
      </c>
      <c r="B2008" s="4" t="str">
        <f>IFERROR(__xludf.DUMMYFUNCTION("""COMPUTED_VALUE"""),"Señal MOPU informativa 40x195 cm Normal Flechada")</f>
        <v>Señal MOPU informativa 40x195 cm Normal Flechada</v>
      </c>
      <c r="C2008" s="4">
        <f>IFERROR(__xludf.DUMMYFUNCTION("""COMPUTED_VALUE"""),109.632)</f>
        <v>109.632</v>
      </c>
    </row>
    <row r="2009">
      <c r="A2009" s="4" t="str">
        <f>IFERROR(__xludf.DUMMYFUNCTION("""COMPUTED_VALUE"""),"964595N")</f>
        <v>964595N</v>
      </c>
      <c r="B2009" s="4" t="str">
        <f>IFERROR(__xludf.DUMMYFUNCTION("""COMPUTED_VALUE"""),"Señal MOPU informativa 45x95 cm Normal")</f>
        <v>Señal MOPU informativa 45x95 cm Normal</v>
      </c>
      <c r="C2009" s="4">
        <f>IFERROR(__xludf.DUMMYFUNCTION("""COMPUTED_VALUE"""),62.61599999999999)</f>
        <v>62.616</v>
      </c>
    </row>
    <row r="2010">
      <c r="A2010" s="4" t="str">
        <f>IFERROR(__xludf.DUMMYFUNCTION("""COMPUTED_VALUE"""),"964595N1")</f>
        <v>964595N1</v>
      </c>
      <c r="B2010" s="4" t="str">
        <f>IFERROR(__xludf.DUMMYFUNCTION("""COMPUTED_VALUE"""),"Señal MOPU informativa 45x95 cm Nivel 1")</f>
        <v>Señal MOPU informativa 45x95 cm Nivel 1</v>
      </c>
      <c r="C2010" s="4">
        <f>IFERROR(__xludf.DUMMYFUNCTION("""COMPUTED_VALUE"""),71.28)</f>
        <v>71.28</v>
      </c>
    </row>
    <row r="2011">
      <c r="A2011" s="4" t="str">
        <f>IFERROR(__xludf.DUMMYFUNCTION("""COMPUTED_VALUE"""),"964595N1F")</f>
        <v>964595N1F</v>
      </c>
      <c r="B2011" s="4" t="str">
        <f>IFERROR(__xludf.DUMMYFUNCTION("""COMPUTED_VALUE"""),"Señal MOPU informativa 45x95 cm Nivel 1 Flechada")</f>
        <v>Señal MOPU informativa 45x95 cm Nivel 1 Flechada</v>
      </c>
      <c r="C2011" s="4">
        <f>IFERROR(__xludf.DUMMYFUNCTION("""COMPUTED_VALUE"""),71.28)</f>
        <v>71.28</v>
      </c>
    </row>
    <row r="2012">
      <c r="A2012" s="4" t="str">
        <f>IFERROR(__xludf.DUMMYFUNCTION("""COMPUTED_VALUE"""),"964595N2")</f>
        <v>964595N2</v>
      </c>
      <c r="B2012" s="4" t="str">
        <f>IFERROR(__xludf.DUMMYFUNCTION("""COMPUTED_VALUE"""),"Señal MOPU informativa 45x95 cm Nivel 2")</f>
        <v>Señal MOPU informativa 45x95 cm Nivel 2</v>
      </c>
      <c r="C2012" s="4">
        <f>IFERROR(__xludf.DUMMYFUNCTION("""COMPUTED_VALUE"""),80.88)</f>
        <v>80.88</v>
      </c>
    </row>
    <row r="2013">
      <c r="A2013" s="4" t="str">
        <f>IFERROR(__xludf.DUMMYFUNCTION("""COMPUTED_VALUE"""),"964595N2F")</f>
        <v>964595N2F</v>
      </c>
      <c r="B2013" s="4" t="str">
        <f>IFERROR(__xludf.DUMMYFUNCTION("""COMPUTED_VALUE"""),"Señal MOPU informativa 45x95 cm Nivel 2 Flechada")</f>
        <v>Señal MOPU informativa 45x95 cm Nivel 2 Flechada</v>
      </c>
      <c r="C2013" s="4">
        <f>IFERROR(__xludf.DUMMYFUNCTION("""COMPUTED_VALUE"""),80.88)</f>
        <v>80.88</v>
      </c>
    </row>
    <row r="2014">
      <c r="A2014" s="4" t="str">
        <f>IFERROR(__xludf.DUMMYFUNCTION("""COMPUTED_VALUE"""),"964595N3")</f>
        <v>964595N3</v>
      </c>
      <c r="B2014" s="4" t="str">
        <f>IFERROR(__xludf.DUMMYFUNCTION("""COMPUTED_VALUE"""),"Señal MOPU informativa 45x95 cm Nivel 3")</f>
        <v>Señal MOPU informativa 45x95 cm Nivel 3</v>
      </c>
      <c r="C2014" s="4">
        <f>IFERROR(__xludf.DUMMYFUNCTION("""COMPUTED_VALUE"""),95.28)</f>
        <v>95.28</v>
      </c>
    </row>
    <row r="2015">
      <c r="A2015" s="4" t="str">
        <f>IFERROR(__xludf.DUMMYFUNCTION("""COMPUTED_VALUE"""),"964595N3F")</f>
        <v>964595N3F</v>
      </c>
      <c r="B2015" s="4" t="str">
        <f>IFERROR(__xludf.DUMMYFUNCTION("""COMPUTED_VALUE"""),"Señal MOPU informativa 45x95 cm Nivel 2 Flechada")</f>
        <v>Señal MOPU informativa 45x95 cm Nivel 2 Flechada</v>
      </c>
      <c r="C2015" s="4">
        <f>IFERROR(__xludf.DUMMYFUNCTION("""COMPUTED_VALUE"""),95.28)</f>
        <v>95.28</v>
      </c>
    </row>
    <row r="2016">
      <c r="A2016" s="4" t="str">
        <f>IFERROR(__xludf.DUMMYFUNCTION("""COMPUTED_VALUE"""),"964595NF")</f>
        <v>964595NF</v>
      </c>
      <c r="B2016" s="4" t="str">
        <f>IFERROR(__xludf.DUMMYFUNCTION("""COMPUTED_VALUE"""),"Señal MOPU informativa 45x95 cm Normal Flechada")</f>
        <v>Señal MOPU informativa 45x95 cm Normal Flechada</v>
      </c>
      <c r="C2016" s="4">
        <f>IFERROR(__xludf.DUMMYFUNCTION("""COMPUTED_VALUE"""),62.61599999999999)</f>
        <v>62.616</v>
      </c>
    </row>
    <row r="2017">
      <c r="A2017" s="4" t="str">
        <f>IFERROR(__xludf.DUMMYFUNCTION("""COMPUTED_VALUE"""),"9655120N")</f>
        <v>9655120N</v>
      </c>
      <c r="B2017" s="4" t="str">
        <f>IFERROR(__xludf.DUMMYFUNCTION("""COMPUTED_VALUE"""),"Señal MOPU informativa 55x120 cm Normal")</f>
        <v>Señal MOPU informativa 55x120 cm Normal</v>
      </c>
      <c r="C2017" s="4">
        <f>IFERROR(__xludf.DUMMYFUNCTION("""COMPUTED_VALUE"""),68.16)</f>
        <v>68.16</v>
      </c>
    </row>
    <row r="2018">
      <c r="A2018" s="4" t="str">
        <f>IFERROR(__xludf.DUMMYFUNCTION("""COMPUTED_VALUE"""),"9655120N1")</f>
        <v>9655120N1</v>
      </c>
      <c r="B2018" s="4" t="str">
        <f>IFERROR(__xludf.DUMMYFUNCTION("""COMPUTED_VALUE"""),"Señal MOPU informativa 55x120 cm Reflex I")</f>
        <v>Señal MOPU informativa 55x120 cm Reflex I</v>
      </c>
      <c r="C2018" s="4">
        <f>IFERROR(__xludf.DUMMYFUNCTION("""COMPUTED_VALUE"""),80.64)</f>
        <v>80.64</v>
      </c>
    </row>
    <row r="2019">
      <c r="A2019" s="4" t="str">
        <f>IFERROR(__xludf.DUMMYFUNCTION("""COMPUTED_VALUE"""),"9655120N1F")</f>
        <v>9655120N1F</v>
      </c>
      <c r="B2019" s="4" t="str">
        <f>IFERROR(__xludf.DUMMYFUNCTION("""COMPUTED_VALUE"""),"Señal MOPU informativa 55x120 cm Nivel 1 Flechada")</f>
        <v>Señal MOPU informativa 55x120 cm Nivel 1 Flechada</v>
      </c>
      <c r="C2019" s="4">
        <f>IFERROR(__xludf.DUMMYFUNCTION("""COMPUTED_VALUE"""),88.2)</f>
        <v>88.2</v>
      </c>
    </row>
    <row r="2020">
      <c r="A2020" s="4" t="str">
        <f>IFERROR(__xludf.DUMMYFUNCTION("""COMPUTED_VALUE"""),"9655120N2")</f>
        <v>9655120N2</v>
      </c>
      <c r="B2020" s="4" t="str">
        <f>IFERROR(__xludf.DUMMYFUNCTION("""COMPUTED_VALUE"""),"Señal MOPU informativa 55x120 cm Reflex II")</f>
        <v>Señal MOPU informativa 55x120 cm Reflex II</v>
      </c>
      <c r="C2020" s="4">
        <f>IFERROR(__xludf.DUMMYFUNCTION("""COMPUTED_VALUE"""),107.52)</f>
        <v>107.52</v>
      </c>
    </row>
    <row r="2021">
      <c r="A2021" s="4" t="str">
        <f>IFERROR(__xludf.DUMMYFUNCTION("""COMPUTED_VALUE"""),"9655120N2F")</f>
        <v>9655120N2F</v>
      </c>
      <c r="B2021" s="4" t="str">
        <f>IFERROR(__xludf.DUMMYFUNCTION("""COMPUTED_VALUE"""),"Señal MOPU informativa 55x120 cm Nivel 2 Flechada")</f>
        <v>Señal MOPU informativa 55x120 cm Nivel 2 Flechada</v>
      </c>
      <c r="C2021" s="4">
        <f>IFERROR(__xludf.DUMMYFUNCTION("""COMPUTED_VALUE"""),117.93599999999999)</f>
        <v>117.936</v>
      </c>
    </row>
    <row r="2022">
      <c r="A2022" s="4" t="str">
        <f>IFERROR(__xludf.DUMMYFUNCTION("""COMPUTED_VALUE"""),"9655120N3")</f>
        <v>9655120N3</v>
      </c>
      <c r="B2022" s="4" t="str">
        <f>IFERROR(__xludf.DUMMYFUNCTION("""COMPUTED_VALUE"""),"Señal MOPU informativa 55x120 cm Reflex NIII")</f>
        <v>Señal MOPU informativa 55x120 cm Reflex NIII</v>
      </c>
      <c r="C2022" s="4">
        <f>IFERROR(__xludf.DUMMYFUNCTION("""COMPUTED_VALUE"""),153.12)</f>
        <v>153.12</v>
      </c>
    </row>
    <row r="2023">
      <c r="A2023" s="4" t="str">
        <f>IFERROR(__xludf.DUMMYFUNCTION("""COMPUTED_VALUE"""),"9655120N3F")</f>
        <v>9655120N3F</v>
      </c>
      <c r="B2023" s="4" t="str">
        <f>IFERROR(__xludf.DUMMYFUNCTION("""COMPUTED_VALUE"""),"Señal MOPU informativa 55x120 cm Nivel 3 flechada")</f>
        <v>Señal MOPU informativa 55x120 cm Nivel 3 flechada</v>
      </c>
      <c r="C2023" s="4">
        <f>IFERROR(__xludf.DUMMYFUNCTION("""COMPUTED_VALUE"""),169.344)</f>
        <v>169.344</v>
      </c>
    </row>
    <row r="2024">
      <c r="A2024" s="4" t="str">
        <f>IFERROR(__xludf.DUMMYFUNCTION("""COMPUTED_VALUE"""),"9655120NF")</f>
        <v>9655120NF</v>
      </c>
      <c r="B2024" s="4" t="str">
        <f>IFERROR(__xludf.DUMMYFUNCTION("""COMPUTED_VALUE"""),"Señal MOPU informativa 55x120 cm Normal Flechada")</f>
        <v>Señal MOPU informativa 55x120 cm Normal Flechada</v>
      </c>
      <c r="C2024" s="4">
        <f>IFERROR(__xludf.DUMMYFUNCTION("""COMPUTED_VALUE"""),94.752)</f>
        <v>94.752</v>
      </c>
    </row>
    <row r="2025">
      <c r="A2025" s="4" t="str">
        <f>IFERROR(__xludf.DUMMYFUNCTION("""COMPUTED_VALUE"""),"9655170N2")</f>
        <v>9655170N2</v>
      </c>
      <c r="B2025" s="4" t="str">
        <f>IFERROR(__xludf.DUMMYFUNCTION("""COMPUTED_VALUE"""),"Señal MOPU informativa 55x170 cm Reflex II")</f>
        <v>Señal MOPU informativa 55x170 cm Reflex II</v>
      </c>
      <c r="C2025" s="4">
        <f>IFERROR(__xludf.DUMMYFUNCTION("""COMPUTED_VALUE"""),294.84)</f>
        <v>294.84</v>
      </c>
    </row>
    <row r="2026">
      <c r="A2026" s="4" t="str">
        <f>IFERROR(__xludf.DUMMYFUNCTION("""COMPUTED_VALUE"""),"965595N")</f>
        <v>965595N</v>
      </c>
      <c r="B2026" s="4" t="str">
        <f>IFERROR(__xludf.DUMMYFUNCTION("""COMPUTED_VALUE"""),"Señal MOPU informativa 55x95 cm Normal")</f>
        <v>Señal MOPU informativa 55x95 cm Normal</v>
      </c>
      <c r="C2026" s="4">
        <f>IFERROR(__xludf.DUMMYFUNCTION("""COMPUTED_VALUE"""),62.64)</f>
        <v>62.64</v>
      </c>
    </row>
    <row r="2027">
      <c r="A2027" s="4" t="str">
        <f>IFERROR(__xludf.DUMMYFUNCTION("""COMPUTED_VALUE"""),"965595N1")</f>
        <v>965595N1</v>
      </c>
      <c r="B2027" s="4" t="str">
        <f>IFERROR(__xludf.DUMMYFUNCTION("""COMPUTED_VALUE"""),"Señal MOPU informativa 55x95 cm Reflex I")</f>
        <v>Señal MOPU informativa 55x95 cm Reflex I</v>
      </c>
      <c r="C2027" s="4">
        <f>IFERROR(__xludf.DUMMYFUNCTION("""COMPUTED_VALUE"""),57.599999999999994)</f>
        <v>57.6</v>
      </c>
    </row>
    <row r="2028">
      <c r="A2028" s="4" t="str">
        <f>IFERROR(__xludf.DUMMYFUNCTION("""COMPUTED_VALUE"""),"965595N1F")</f>
        <v>965595N1F</v>
      </c>
      <c r="B2028" s="4" t="str">
        <f>IFERROR(__xludf.DUMMYFUNCTION("""COMPUTED_VALUE"""),"Señal MOPU informativa 55x95 cm Nivel 1 Flechada")</f>
        <v>Señal MOPU informativa 55x95 cm Nivel 1 Flechada</v>
      </c>
      <c r="C2028" s="4">
        <f>IFERROR(__xludf.DUMMYFUNCTION("""COMPUTED_VALUE"""),64.008)</f>
        <v>64.008</v>
      </c>
    </row>
    <row r="2029">
      <c r="A2029" s="4" t="str">
        <f>IFERROR(__xludf.DUMMYFUNCTION("""COMPUTED_VALUE"""),"965595N2")</f>
        <v>965595N2</v>
      </c>
      <c r="B2029" s="4" t="str">
        <f>IFERROR(__xludf.DUMMYFUNCTION("""COMPUTED_VALUE"""),"Señal MOPU informativa 55X95 cm Reflex II")</f>
        <v>Señal MOPU informativa 55X95 cm Reflex II</v>
      </c>
      <c r="C2029" s="4">
        <f>IFERROR(__xludf.DUMMYFUNCTION("""COMPUTED_VALUE"""),73.92)</f>
        <v>73.92</v>
      </c>
    </row>
    <row r="2030">
      <c r="A2030" s="4" t="str">
        <f>IFERROR(__xludf.DUMMYFUNCTION("""COMPUTED_VALUE"""),"965595N2F")</f>
        <v>965595N2F</v>
      </c>
      <c r="B2030" s="4" t="str">
        <f>IFERROR(__xludf.DUMMYFUNCTION("""COMPUTED_VALUE"""),"Señal MOPU informativa 55x95 cm Nivel 2 Flechada")</f>
        <v>Señal MOPU informativa 55x95 cm Nivel 2 Flechada</v>
      </c>
      <c r="C2030" s="4">
        <f>IFERROR(__xludf.DUMMYFUNCTION("""COMPUTED_VALUE"""),80.64)</f>
        <v>80.64</v>
      </c>
    </row>
    <row r="2031">
      <c r="A2031" s="4" t="str">
        <f>IFERROR(__xludf.DUMMYFUNCTION("""COMPUTED_VALUE"""),"965595N3")</f>
        <v>965595N3</v>
      </c>
      <c r="B2031" s="4" t="str">
        <f>IFERROR(__xludf.DUMMYFUNCTION("""COMPUTED_VALUE"""),"Señal MOPU informativa 55x95 cm Reflex III")</f>
        <v>Señal MOPU informativa 55x95 cm Reflex III</v>
      </c>
      <c r="C2031" s="4">
        <f>IFERROR(__xludf.DUMMYFUNCTION("""COMPUTED_VALUE"""),138.72)</f>
        <v>138.72</v>
      </c>
    </row>
    <row r="2032">
      <c r="A2032" s="4" t="str">
        <f>IFERROR(__xludf.DUMMYFUNCTION("""COMPUTED_VALUE"""),"965595N3F")</f>
        <v>965595N3F</v>
      </c>
      <c r="B2032" s="4" t="str">
        <f>IFERROR(__xludf.DUMMYFUNCTION("""COMPUTED_VALUE"""),"Señal MOPU informativa 55x95 cm Nivel 3 Flechada")</f>
        <v>Señal MOPU informativa 55x95 cm Nivel 3 Flechada</v>
      </c>
      <c r="C2032" s="4">
        <f>IFERROR(__xludf.DUMMYFUNCTION("""COMPUTED_VALUE"""),154.224)</f>
        <v>154.224</v>
      </c>
    </row>
    <row r="2033">
      <c r="A2033" s="4" t="str">
        <f>IFERROR(__xludf.DUMMYFUNCTION("""COMPUTED_VALUE"""),"965595NF")</f>
        <v>965595NF</v>
      </c>
      <c r="B2033" s="4" t="str">
        <f>IFERROR(__xludf.DUMMYFUNCTION("""COMPUTED_VALUE"""),"Señal MOPU informativa 55x95 cm Normal Flechada")</f>
        <v>Señal MOPU informativa 55x95 cm Normal Flechada</v>
      </c>
      <c r="C2033" s="4">
        <f>IFERROR(__xludf.DUMMYFUNCTION("""COMPUTED_VALUE"""),57.96)</f>
        <v>57.96</v>
      </c>
    </row>
    <row r="2034">
      <c r="A2034" s="4" t="str">
        <f>IFERROR(__xludf.DUMMYFUNCTION("""COMPUTED_VALUE"""),"9695145N")</f>
        <v>9695145N</v>
      </c>
      <c r="B2034" s="4" t="str">
        <f>IFERROR(__xludf.DUMMYFUNCTION("""COMPUTED_VALUE"""),"Señal MOPU informativa 95x145 cm Normal")</f>
        <v>Señal MOPU informativa 95x145 cm Normal</v>
      </c>
      <c r="C2034" s="4">
        <f>IFERROR(__xludf.DUMMYFUNCTION("""COMPUTED_VALUE"""),141.6)</f>
        <v>141.6</v>
      </c>
    </row>
    <row r="2035">
      <c r="A2035" s="4" t="str">
        <f>IFERROR(__xludf.DUMMYFUNCTION("""COMPUTED_VALUE"""),"9700N")</f>
        <v>9700N</v>
      </c>
      <c r="B2035" s="4" t="str">
        <f>IFERROR(__xludf.DUMMYFUNCTION("""COMPUTED_VALUE"""),"Señal Aluminio Cuadrada 60 cm Normal")</f>
        <v>Señal Aluminio Cuadrada 60 cm Normal</v>
      </c>
      <c r="C2035" s="4">
        <f>IFERROR(__xludf.DUMMYFUNCTION("""COMPUTED_VALUE"""),29.759999999999998)</f>
        <v>29.76</v>
      </c>
    </row>
    <row r="2036">
      <c r="A2036" s="4" t="str">
        <f>IFERROR(__xludf.DUMMYFUNCTION("""COMPUTED_VALUE"""),"9700N1")</f>
        <v>9700N1</v>
      </c>
      <c r="B2036" s="4" t="str">
        <f>IFERROR(__xludf.DUMMYFUNCTION("""COMPUTED_VALUE"""),"Señal Aluminio Cuadrada 60 cm Nivel 1")</f>
        <v>Señal Aluminio Cuadrada 60 cm Nivel 1</v>
      </c>
      <c r="C2036" s="4">
        <f>IFERROR(__xludf.DUMMYFUNCTION("""COMPUTED_VALUE"""),32.64)</f>
        <v>32.64</v>
      </c>
    </row>
    <row r="2037">
      <c r="A2037" s="4" t="str">
        <f>IFERROR(__xludf.DUMMYFUNCTION("""COMPUTED_VALUE"""),"9716545N")</f>
        <v>9716545N</v>
      </c>
      <c r="B2037" s="4" t="str">
        <f>IFERROR(__xludf.DUMMYFUNCTION("""COMPUTED_VALUE"""),"Panel direccional A/B 165x45 cm Normal")</f>
        <v>Panel direccional A/B 165x45 cm Normal</v>
      </c>
      <c r="C2037" s="4">
        <f>IFERROR(__xludf.DUMMYFUNCTION("""COMPUTED_VALUE"""),71.03999999999999)</f>
        <v>71.04</v>
      </c>
    </row>
    <row r="2038">
      <c r="A2038" s="4" t="str">
        <f>IFERROR(__xludf.DUMMYFUNCTION("""COMPUTED_VALUE"""),"9716545N1")</f>
        <v>9716545N1</v>
      </c>
      <c r="B2038" s="4" t="str">
        <f>IFERROR(__xludf.DUMMYFUNCTION("""COMPUTED_VALUE"""),"Panel direccional A/B 165x45 cm Reflex I")</f>
        <v>Panel direccional A/B 165x45 cm Reflex I</v>
      </c>
      <c r="C2038" s="4">
        <f>IFERROR(__xludf.DUMMYFUNCTION("""COMPUTED_VALUE"""),69.12)</f>
        <v>69.12</v>
      </c>
    </row>
    <row r="2039">
      <c r="A2039" s="4" t="str">
        <f>IFERROR(__xludf.DUMMYFUNCTION("""COMPUTED_VALUE"""),"9716545N2")</f>
        <v>9716545N2</v>
      </c>
      <c r="B2039" s="4" t="str">
        <f>IFERROR(__xludf.DUMMYFUNCTION("""COMPUTED_VALUE"""),"Panel direccional A/B 165x45 cm Reflex II")</f>
        <v>Panel direccional A/B 165x45 cm Reflex II</v>
      </c>
      <c r="C2039" s="4">
        <f>IFERROR(__xludf.DUMMYFUNCTION("""COMPUTED_VALUE"""),101.75999999999999)</f>
        <v>101.76</v>
      </c>
    </row>
    <row r="2040">
      <c r="A2040" s="4" t="str">
        <f>IFERROR(__xludf.DUMMYFUNCTION("""COMPUTED_VALUE"""),"9716545N3")</f>
        <v>9716545N3</v>
      </c>
      <c r="B2040" s="4" t="str">
        <f>IFERROR(__xludf.DUMMYFUNCTION("""COMPUTED_VALUE"""),"Panel direccional A/B 165x45 cm Reflex III")</f>
        <v>Panel direccional A/B 165x45 cm Reflex III</v>
      </c>
      <c r="C2040" s="4">
        <f>IFERROR(__xludf.DUMMYFUNCTION("""COMPUTED_VALUE"""),104.64)</f>
        <v>104.64</v>
      </c>
    </row>
    <row r="2041">
      <c r="A2041" s="4" t="str">
        <f>IFERROR(__xludf.DUMMYFUNCTION("""COMPUTED_VALUE"""),"978040N")</f>
        <v>978040N</v>
      </c>
      <c r="B2041" s="4" t="str">
        <f>IFERROR(__xludf.DUMMYFUNCTION("""COMPUTED_VALUE"""),"Panel direccional A/B 80x40 cm Normal")</f>
        <v>Panel direccional A/B 80x40 cm Normal</v>
      </c>
      <c r="C2041" s="4">
        <f>IFERROR(__xludf.DUMMYFUNCTION("""COMPUTED_VALUE"""),29.759999999999998)</f>
        <v>29.76</v>
      </c>
    </row>
    <row r="2042">
      <c r="A2042" s="4" t="str">
        <f>IFERROR(__xludf.DUMMYFUNCTION("""COMPUTED_VALUE"""),"978040N1")</f>
        <v>978040N1</v>
      </c>
      <c r="B2042" s="4" t="str">
        <f>IFERROR(__xludf.DUMMYFUNCTION("""COMPUTED_VALUE"""),"Panel direccional A/B 80x40 cm Reflex I")</f>
        <v>Panel direccional A/B 80x40 cm Reflex I</v>
      </c>
      <c r="C2042" s="4">
        <f>IFERROR(__xludf.DUMMYFUNCTION("""COMPUTED_VALUE"""),35.519999999999996)</f>
        <v>35.52</v>
      </c>
    </row>
    <row r="2043">
      <c r="A2043" s="4" t="str">
        <f>IFERROR(__xludf.DUMMYFUNCTION("""COMPUTED_VALUE"""),"978040N2")</f>
        <v>978040N2</v>
      </c>
      <c r="B2043" s="4" t="str">
        <f>IFERROR(__xludf.DUMMYFUNCTION("""COMPUTED_VALUE"""),"Panel direccional A/B 80x40 cm Reflex II")</f>
        <v>Panel direccional A/B 80x40 cm Reflex II</v>
      </c>
      <c r="C2043" s="4">
        <f>IFERROR(__xludf.DUMMYFUNCTION("""COMPUTED_VALUE"""),40.32)</f>
        <v>40.32</v>
      </c>
    </row>
    <row r="2044">
      <c r="A2044" s="4" t="str">
        <f>IFERROR(__xludf.DUMMYFUNCTION("""COMPUTED_VALUE"""),"978040N3")</f>
        <v>978040N3</v>
      </c>
      <c r="B2044" s="4" t="str">
        <f>IFERROR(__xludf.DUMMYFUNCTION("""COMPUTED_VALUE"""),"Panel direccional A/B 80x40 cm Reflex III")</f>
        <v>Panel direccional A/B 80x40 cm Reflex III</v>
      </c>
      <c r="C2044" s="4">
        <f>IFERROR(__xludf.DUMMYFUNCTION("""COMPUTED_VALUE"""),50.784)</f>
        <v>50.784</v>
      </c>
    </row>
    <row r="2045">
      <c r="A2045" s="4" t="str">
        <f>IFERROR(__xludf.DUMMYFUNCTION("""COMPUTED_VALUE"""),"9800N")</f>
        <v>9800N</v>
      </c>
      <c r="B2045" s="4" t="str">
        <f>IFERROR(__xludf.DUMMYFUNCTION("""COMPUTED_VALUE"""),"Señal Aluminio Stop 60 cm Normal")</f>
        <v>Señal Aluminio Stop 60 cm Normal</v>
      </c>
      <c r="C2045" s="4">
        <f>IFERROR(__xludf.DUMMYFUNCTION("""COMPUTED_VALUE"""),29.759999999999998)</f>
        <v>29.76</v>
      </c>
    </row>
    <row r="2046">
      <c r="A2046" s="4" t="str">
        <f>IFERROR(__xludf.DUMMYFUNCTION("""COMPUTED_VALUE"""),"9800N1")</f>
        <v>9800N1</v>
      </c>
      <c r="B2046" s="4" t="str">
        <f>IFERROR(__xludf.DUMMYFUNCTION("""COMPUTED_VALUE"""),"Señal Aluminio Stop 60 cm Nivel 1")</f>
        <v>Señal Aluminio Stop 60 cm Nivel 1</v>
      </c>
      <c r="C2046" s="4">
        <f>IFERROR(__xludf.DUMMYFUNCTION("""COMPUTED_VALUE"""),32.64)</f>
        <v>32.64</v>
      </c>
    </row>
    <row r="2047">
      <c r="A2047" s="4" t="str">
        <f>IFERROR(__xludf.DUMMYFUNCTION("""COMPUTED_VALUE"""),"9900N")</f>
        <v>9900N</v>
      </c>
      <c r="B2047" s="4" t="str">
        <f>IFERROR(__xludf.DUMMYFUNCTION("""COMPUTED_VALUE"""),"Señal Aluminio Rectangular 60x30 cm Normal")</f>
        <v>Señal Aluminio Rectangular 60x30 cm Normal</v>
      </c>
      <c r="C2047" s="4">
        <f>IFERROR(__xludf.DUMMYFUNCTION("""COMPUTED_VALUE"""),16.32)</f>
        <v>16.32</v>
      </c>
    </row>
    <row r="2048">
      <c r="A2048" s="4" t="str">
        <f>IFERROR(__xludf.DUMMYFUNCTION("""COMPUTED_VALUE"""),"9900N1")</f>
        <v>9900N1</v>
      </c>
      <c r="B2048" s="4" t="str">
        <f>IFERROR(__xludf.DUMMYFUNCTION("""COMPUTED_VALUE"""),"Señal Aluminio Rectangular 60x30 cm Nivel 1")</f>
        <v>Señal Aluminio Rectangular 60x30 cm Nivel 1</v>
      </c>
      <c r="C2048" s="4">
        <f>IFERROR(__xludf.DUMMYFUNCTION("""COMPUTED_VALUE"""),18.24)</f>
        <v>18.24</v>
      </c>
    </row>
    <row r="2049">
      <c r="A2049" s="4" t="str">
        <f>IFERROR(__xludf.DUMMYFUNCTION("""COMPUTED_VALUE"""),"ABRAZADERA50-")</f>
        <v>ABRAZADERA50-</v>
      </c>
      <c r="B2049" s="4" t="str">
        <f>IFERROR(__xludf.DUMMYFUNCTION("""COMPUTED_VALUE"""),"Abrazadera completa para poste 50/60")</f>
        <v>Abrazadera completa para poste 50/60</v>
      </c>
      <c r="C2049" s="4">
        <f>IFERROR(__xludf.DUMMYFUNCTION("""COMPUTED_VALUE"""),4.56)</f>
        <v>4.56</v>
      </c>
    </row>
    <row r="2050">
      <c r="A2050" s="4" t="str">
        <f>IFERROR(__xludf.DUMMYFUNCTION("""COMPUTED_VALUE"""),"ABRAZADERA80X")</f>
        <v>ABRAZADERA80X</v>
      </c>
      <c r="B2050" s="4" t="str">
        <f>IFERROR(__xludf.DUMMYFUNCTION("""COMPUTED_VALUE"""),"Abrazadera para poste de 80x40")</f>
        <v>Abrazadera para poste de 80x40</v>
      </c>
      <c r="C2050" s="4">
        <f>IFERROR(__xludf.DUMMYFUNCTION("""COMPUTED_VALUE"""),2.592)</f>
        <v>2.592</v>
      </c>
    </row>
    <row r="2051">
      <c r="A2051" s="4" t="str">
        <f>IFERROR(__xludf.DUMMYFUNCTION("""COMPUTED_VALUE"""),"AL297105")</f>
        <v>AL297105</v>
      </c>
      <c r="B2051" s="4" t="str">
        <f>IFERROR(__xludf.DUMMYFUNCTION("""COMPUTED_VALUE"""),"Panel impreso aluminio 297x105 mm")</f>
        <v>Panel impreso aluminio 297x105 mm</v>
      </c>
      <c r="C2051" s="4">
        <f>IFERROR(__xludf.DUMMYFUNCTION("""COMPUTED_VALUE"""),2.064)</f>
        <v>2.064</v>
      </c>
    </row>
    <row r="2052">
      <c r="A2052" s="4" t="str">
        <f>IFERROR(__xludf.DUMMYFUNCTION("""COMPUTED_VALUE"""),"AL320160")</f>
        <v>AL320160</v>
      </c>
      <c r="B2052" s="4" t="str">
        <f>IFERROR(__xludf.DUMMYFUNCTION("""COMPUTED_VALUE"""),"Panel impreso aluminio 320x160 mm")</f>
        <v>Panel impreso aluminio 320x160 mm</v>
      </c>
      <c r="C2052" s="4">
        <f>IFERROR(__xludf.DUMMYFUNCTION("""COMPUTED_VALUE"""),3.9359999999999995)</f>
        <v>3.936</v>
      </c>
    </row>
    <row r="2053">
      <c r="A2053" s="4" t="str">
        <f>IFERROR(__xludf.DUMMYFUNCTION("""COMPUTED_VALUE"""),"AL420320")</f>
        <v>AL420320</v>
      </c>
      <c r="B2053" s="4" t="str">
        <f>IFERROR(__xludf.DUMMYFUNCTION("""COMPUTED_VALUE"""),"Panel impreso aluminio 420x320 mm")</f>
        <v>Panel impreso aluminio 420x320 mm</v>
      </c>
      <c r="C2053" s="4">
        <f>IFERROR(__xludf.DUMMYFUNCTION("""COMPUTED_VALUE"""),10.3296)</f>
        <v>10.3296</v>
      </c>
    </row>
    <row r="2054">
      <c r="A2054" s="4" t="str">
        <f>IFERROR(__xludf.DUMMYFUNCTION("""COMPUTED_VALUE"""),"AL630630")</f>
        <v>AL630630</v>
      </c>
      <c r="B2054" s="4" t="str">
        <f>IFERROR(__xludf.DUMMYFUNCTION("""COMPUTED_VALUE"""),"Panel impreso aluminio 630x630 mm")</f>
        <v>Panel impreso aluminio 630x630 mm</v>
      </c>
      <c r="C2054" s="4">
        <f>IFERROR(__xludf.DUMMYFUNCTION("""COMPUTED_VALUE"""),30.470399999999998)</f>
        <v>30.4704</v>
      </c>
    </row>
    <row r="2055">
      <c r="A2055" s="4" t="str">
        <f>IFERROR(__xludf.DUMMYFUNCTION("""COMPUTED_VALUE"""),"AL960480")</f>
        <v>AL960480</v>
      </c>
      <c r="B2055" s="4" t="str">
        <f>IFERROR(__xludf.DUMMYFUNCTION("""COMPUTED_VALUE"""),"Panel impreso aluminio 960x480")</f>
        <v>Panel impreso aluminio 960x480</v>
      </c>
      <c r="C2055" s="4">
        <f>IFERROR(__xludf.DUMMYFUNCTION("""COMPUTED_VALUE"""),35.903999999999996)</f>
        <v>35.904</v>
      </c>
    </row>
    <row r="2056">
      <c r="A2056" s="4" t="str">
        <f>IFERROR(__xludf.DUMMYFUNCTION("""COMPUTED_VALUE"""),"ALA1")</f>
        <v>ALA1</v>
      </c>
      <c r="B2056" s="4" t="str">
        <f>IFERROR(__xludf.DUMMYFUNCTION("""COMPUTED_VALUE"""),"Panel impreso aluminio A1 (841x594 mm)")</f>
        <v>Panel impreso aluminio A1 (841x594 mm)</v>
      </c>
      <c r="C2056" s="4">
        <f>IFERROR(__xludf.DUMMYFUNCTION("""COMPUTED_VALUE"""),38.620799999999996)</f>
        <v>38.6208</v>
      </c>
    </row>
    <row r="2057">
      <c r="A2057" s="4" t="str">
        <f>IFERROR(__xludf.DUMMYFUNCTION("""COMPUTED_VALUE"""),"ALA2")</f>
        <v>ALA2</v>
      </c>
      <c r="B2057" s="4" t="str">
        <f>IFERROR(__xludf.DUMMYFUNCTION("""COMPUTED_VALUE"""),"Panel impreso aluminio A2 (594X420)")</f>
        <v>Panel impreso aluminio A2 (594X420)</v>
      </c>
      <c r="C2057" s="4">
        <f>IFERROR(__xludf.DUMMYFUNCTION("""COMPUTED_VALUE"""),2.0304)</f>
        <v>2.0304</v>
      </c>
    </row>
    <row r="2058">
      <c r="A2058" s="4" t="str">
        <f>IFERROR(__xludf.DUMMYFUNCTION("""COMPUTED_VALUE"""),"ALA3")</f>
        <v>ALA3</v>
      </c>
      <c r="B2058" s="4" t="str">
        <f>IFERROR(__xludf.DUMMYFUNCTION("""COMPUTED_VALUE"""),"Panel impreso aluminio A3 (420X297 mm)")</f>
        <v>Panel impreso aluminio A3 (420X297 mm)</v>
      </c>
      <c r="C2058" s="4">
        <f>IFERROR(__xludf.DUMMYFUNCTION("""COMPUTED_VALUE"""),9.6768)</f>
        <v>9.6768</v>
      </c>
    </row>
    <row r="2059">
      <c r="A2059" s="4" t="str">
        <f>IFERROR(__xludf.DUMMYFUNCTION("""COMPUTED_VALUE"""),"ALA4")</f>
        <v>ALA4</v>
      </c>
      <c r="B2059" s="4" t="str">
        <f>IFERROR(__xludf.DUMMYFUNCTION("""COMPUTED_VALUE"""),"Panel impreso aluminio A4 (297x210 mm)")</f>
        <v>Panel impreso aluminio A4 (297x210 mm)</v>
      </c>
      <c r="C2059" s="4">
        <f>IFERROR(__xludf.DUMMYFUNCTION("""COMPUTED_VALUE"""),4.8384)</f>
        <v>4.8384</v>
      </c>
    </row>
    <row r="2060">
      <c r="A2060" s="4" t="str">
        <f>IFERROR(__xludf.DUMMYFUNCTION("""COMPUTED_VALUE"""),"ALA6")</f>
        <v>ALA6</v>
      </c>
      <c r="B2060" s="4" t="str">
        <f>IFERROR(__xludf.DUMMYFUNCTION("""COMPUTED_VALUE"""),"Panel impreso aluminio A6 (105x148 mm)")</f>
        <v>Panel impreso aluminio A6 (105x148 mm)</v>
      </c>
      <c r="C2060" s="4">
        <f>IFERROR(__xludf.DUMMYFUNCTION("""COMPUTED_VALUE"""),1.1904)</f>
        <v>1.1904</v>
      </c>
    </row>
    <row r="2061">
      <c r="A2061" s="4" t="str">
        <f>IFERROR(__xludf.DUMMYFUNCTION("""COMPUTED_VALUE"""),"CBA3")</f>
        <v>CBA3</v>
      </c>
      <c r="B2061" s="4" t="str">
        <f>IFERROR(__xludf.DUMMYFUNCTION("""COMPUTED_VALUE"""),"Soporte cartel en banderola acero cartel 40x30 cm")</f>
        <v>Soporte cartel en banderola acero cartel 40x30 cm</v>
      </c>
      <c r="C2061" s="4">
        <f>IFERROR(__xludf.DUMMYFUNCTION("""COMPUTED_VALUE"""),3.264)</f>
        <v>3.264</v>
      </c>
    </row>
    <row r="2062">
      <c r="A2062" s="4" t="str">
        <f>IFERROR(__xludf.DUMMYFUNCTION("""COMPUTED_VALUE"""),"CBA4")</f>
        <v>CBA4</v>
      </c>
      <c r="B2062" s="4" t="str">
        <f>IFERROR(__xludf.DUMMYFUNCTION("""COMPUTED_VALUE"""),"Soporte cartel en banderola acero cartel 21x29 cm")</f>
        <v>Soporte cartel en banderola acero cartel 21x29 cm</v>
      </c>
      <c r="C2062" s="4">
        <f>IFERROR(__xludf.DUMMYFUNCTION("""COMPUTED_VALUE"""),2.304)</f>
        <v>2.304</v>
      </c>
    </row>
    <row r="2063">
      <c r="A2063" s="4" t="str">
        <f>IFERROR(__xludf.DUMMYFUNCTION("""COMPUTED_VALUE"""),"ESCRUADRA")</f>
        <v>ESCRUADRA</v>
      </c>
      <c r="B2063" s="4" t="str">
        <f>IFERROR(__xludf.DUMMYFUNCTION("""COMPUTED_VALUE"""),"Escuadra 9x8x1,8 cm. señal MOPU")</f>
        <v>Escuadra 9x8x1,8 cm. señal MOPU</v>
      </c>
      <c r="C2063" s="4">
        <f>IFERROR(__xludf.DUMMYFUNCTION("""COMPUTED_VALUE"""),2.16)</f>
        <v>2.16</v>
      </c>
    </row>
    <row r="2064">
      <c r="A2064" s="4" t="str">
        <f>IFERROR(__xludf.DUMMYFUNCTION("""COMPUTED_VALUE"""),"ESCUADRA")</f>
        <v>ESCUADRA</v>
      </c>
      <c r="B2064" s="4" t="str">
        <f>IFERROR(__xludf.DUMMYFUNCTION("""COMPUTED_VALUE"""),"Escuadra 14x8x1,8 cm señal MOPU")</f>
        <v>Escuadra 14x8x1,8 cm señal MOPU</v>
      </c>
      <c r="C2064" s="4">
        <f>IFERROR(__xludf.DUMMYFUNCTION("""COMPUTED_VALUE"""),2.784)</f>
        <v>2.784</v>
      </c>
    </row>
    <row r="2065">
      <c r="A2065" s="4" t="str">
        <f>IFERROR(__xludf.DUMMYFUNCTION("""COMPUTED_VALUE"""),"EXPOSIT SEÑAL")</f>
        <v>EXPOSIT SEÑAL</v>
      </c>
      <c r="B2065" s="4" t="str">
        <f>IFERROR(__xludf.DUMMYFUNCTION("""COMPUTED_VALUE"""),"Expositor Señalización SIN SEÑALES")</f>
        <v>Expositor Señalización SIN SEÑALES</v>
      </c>
      <c r="C2065" s="4">
        <f>IFERROR(__xludf.DUMMYFUNCTION("""COMPUTED_VALUE"""),240.0)</f>
        <v>240</v>
      </c>
    </row>
    <row r="2066">
      <c r="A2066" s="4" t="str">
        <f>IFERROR(__xludf.DUMMYFUNCTION("""COMPUTED_VALUE"""),"EXPOSITOR")</f>
        <v>EXPOSITOR</v>
      </c>
      <c r="B2066" s="4" t="str">
        <f>IFERROR(__xludf.DUMMYFUNCTION("""COMPUTED_VALUE"""),"Expositor Señalización + Señales metálicas estándar")</f>
        <v>Expositor Señalización + Señales metálicas estándar</v>
      </c>
      <c r="C2066" s="4">
        <f>IFERROR(__xludf.DUMMYFUNCTION("""COMPUTED_VALUE"""),1152.0)</f>
        <v>1152</v>
      </c>
    </row>
    <row r="2067">
      <c r="A2067" s="4" t="str">
        <f>IFERROR(__xludf.DUMMYFUNCTION("""COMPUTED_VALUE"""),"MCA1")</f>
        <v>MCA1</v>
      </c>
      <c r="B2067" s="4" t="str">
        <f>IFERROR(__xludf.DUMMYFUNCTION("""COMPUTED_VALUE"""),"Panel impreso Metacrilato colada 2 mm A1 (841x594 mm)")</f>
        <v>Panel impreso Metacrilato colada 2 mm A1 (841x594 mm)</v>
      </c>
      <c r="C2067" s="4">
        <f>IFERROR(__xludf.DUMMYFUNCTION("""COMPUTED_VALUE"""),31.2192)</f>
        <v>31.2192</v>
      </c>
    </row>
    <row r="2068">
      <c r="A2068" s="4" t="str">
        <f>IFERROR(__xludf.DUMMYFUNCTION("""COMPUTED_VALUE"""),"MCA2")</f>
        <v>MCA2</v>
      </c>
      <c r="B2068" s="4" t="str">
        <f>IFERROR(__xludf.DUMMYFUNCTION("""COMPUTED_VALUE"""),"Panel impreso Metacrilato colada 2 mm A2 (594x420 mm)")</f>
        <v>Panel impreso Metacrilato colada 2 mm A2 (594x420 mm)</v>
      </c>
      <c r="C2068" s="4">
        <f>IFERROR(__xludf.DUMMYFUNCTION("""COMPUTED_VALUE"""),17.376)</f>
        <v>17.376</v>
      </c>
    </row>
    <row r="2069">
      <c r="A2069" s="4" t="str">
        <f>IFERROR(__xludf.DUMMYFUNCTION("""COMPUTED_VALUE"""),"MCA3")</f>
        <v>MCA3</v>
      </c>
      <c r="B2069" s="4" t="str">
        <f>IFERROR(__xludf.DUMMYFUNCTION("""COMPUTED_VALUE"""),"Panel impreso Metacrilato colada 2 mm A3 (420x297 mm)")</f>
        <v>Panel impreso Metacrilato colada 2 mm A3 (420x297 mm)</v>
      </c>
      <c r="C2069" s="4">
        <f>IFERROR(__xludf.DUMMYFUNCTION("""COMPUTED_VALUE"""),11.4048)</f>
        <v>11.4048</v>
      </c>
    </row>
    <row r="2070">
      <c r="A2070" s="4" t="str">
        <f>IFERROR(__xludf.DUMMYFUNCTION("""COMPUTED_VALUE"""),"MCA4")</f>
        <v>MCA4</v>
      </c>
      <c r="B2070" s="4" t="str">
        <f>IFERROR(__xludf.DUMMYFUNCTION("""COMPUTED_VALUE"""),"Panel impreso Metacrilato colada 2 mm A4 (210x297 mm)")</f>
        <v>Panel impreso Metacrilato colada 2 mm A4 (210x297 mm)</v>
      </c>
      <c r="C2070" s="4">
        <f>IFERROR(__xludf.DUMMYFUNCTION("""COMPUTED_VALUE"""),6.048)</f>
        <v>6.048</v>
      </c>
    </row>
    <row r="2071">
      <c r="A2071" s="4" t="str">
        <f>IFERROR(__xludf.DUMMYFUNCTION("""COMPUTED_VALUE"""),"MCA5")</f>
        <v>MCA5</v>
      </c>
      <c r="B2071" s="4" t="str">
        <f>IFERROR(__xludf.DUMMYFUNCTION("""COMPUTED_VALUE"""),"Panel impreso Metacrilato colada 2 mm A5 (148x210 mm)")</f>
        <v>Panel impreso Metacrilato colada 2 mm A5 (148x210 mm)</v>
      </c>
      <c r="C2071" s="4">
        <f>IFERROR(__xludf.DUMMYFUNCTION("""COMPUTED_VALUE"""),3.264)</f>
        <v>3.264</v>
      </c>
    </row>
    <row r="2072">
      <c r="A2072" s="4" t="str">
        <f>IFERROR(__xludf.DUMMYFUNCTION("""COMPUTED_VALUE"""),"MCA6")</f>
        <v>MCA6</v>
      </c>
      <c r="B2072" s="4" t="str">
        <f>IFERROR(__xludf.DUMMYFUNCTION("""COMPUTED_VALUE"""),"Panel impreso Metacrilato colada 2 mm A6 (148x105 mm)")</f>
        <v>Panel impreso Metacrilato colada 2 mm A6 (148x105 mm)</v>
      </c>
      <c r="C2072" s="4">
        <f>IFERROR(__xludf.DUMMYFUNCTION("""COMPUTED_VALUE"""),2.112)</f>
        <v>2.112</v>
      </c>
    </row>
    <row r="2073">
      <c r="A2073" s="4" t="str">
        <f>IFERROR(__xludf.DUMMYFUNCTION("""COMPUTED_VALUE"""),"PASA1")</f>
        <v>PASA1</v>
      </c>
      <c r="B2073" s="4" t="str">
        <f>IFERROR(__xludf.DUMMYFUNCTION("""COMPUTED_VALUE"""),"Panel impreso Aluminio Sandwich 2mm/0.15 mm A1 (841x594")</f>
        <v>Panel impreso Aluminio Sandwich 2mm/0.15 mm A1 (841x594</v>
      </c>
      <c r="C2073" s="4">
        <f>IFERROR(__xludf.DUMMYFUNCTION("""COMPUTED_VALUE"""),28.368)</f>
        <v>28.368</v>
      </c>
    </row>
    <row r="2074">
      <c r="A2074" s="4" t="str">
        <f>IFERROR(__xludf.DUMMYFUNCTION("""COMPUTED_VALUE"""),"PASA2")</f>
        <v>PASA2</v>
      </c>
      <c r="B2074" s="4" t="str">
        <f>IFERROR(__xludf.DUMMYFUNCTION("""COMPUTED_VALUE"""),"Panel impreso Aluminio Sandwich 2mm/0.15 mm A2 (594x420")</f>
        <v>Panel impreso Aluminio Sandwich 2mm/0.15 mm A2 (594x420</v>
      </c>
      <c r="C2074" s="4">
        <f>IFERROR(__xludf.DUMMYFUNCTION("""COMPUTED_VALUE"""),12.144)</f>
        <v>12.144</v>
      </c>
    </row>
    <row r="2075">
      <c r="A2075" s="4" t="str">
        <f>IFERROR(__xludf.DUMMYFUNCTION("""COMPUTED_VALUE"""),"PASA3")</f>
        <v>PASA3</v>
      </c>
      <c r="B2075" s="4" t="str">
        <f>IFERROR(__xludf.DUMMYFUNCTION("""COMPUTED_VALUE"""),"Panel impreso Aluminio Sandwich 2mm/0.15 mm A3 (420x297")</f>
        <v>Panel impreso Aluminio Sandwich 2mm/0.15 mm A3 (420x297</v>
      </c>
      <c r="C2075" s="4">
        <f>IFERROR(__xludf.DUMMYFUNCTION("""COMPUTED_VALUE"""),4.872)</f>
        <v>4.872</v>
      </c>
    </row>
    <row r="2076">
      <c r="A2076" s="4" t="str">
        <f>IFERROR(__xludf.DUMMYFUNCTION("""COMPUTED_VALUE"""),"PASA4")</f>
        <v>PASA4</v>
      </c>
      <c r="B2076" s="4" t="str">
        <f>IFERROR(__xludf.DUMMYFUNCTION("""COMPUTED_VALUE"""),"Panel impreso Aluminio Sandwich 2mm/0.15 mm A4 (297x210")</f>
        <v>Panel impreso Aluminio Sandwich 2mm/0.15 mm A4 (297x210</v>
      </c>
      <c r="C2076" s="4">
        <f>IFERROR(__xludf.DUMMYFUNCTION("""COMPUTED_VALUE"""),2.6399999999999997)</f>
        <v>2.64</v>
      </c>
    </row>
    <row r="2077">
      <c r="A2077" s="4" t="str">
        <f>IFERROR(__xludf.DUMMYFUNCTION("""COMPUTED_VALUE"""),"PASA5")</f>
        <v>PASA5</v>
      </c>
      <c r="B2077" s="4" t="str">
        <f>IFERROR(__xludf.DUMMYFUNCTION("""COMPUTED_VALUE"""),"Panel impreso Aluminio Sandwich 2mm/0.15 mm A5 (148x210")</f>
        <v>Panel impreso Aluminio Sandwich 2mm/0.15 mm A5 (148x210</v>
      </c>
      <c r="C2077" s="4">
        <f>IFERROR(__xludf.DUMMYFUNCTION("""COMPUTED_VALUE"""),1.3439999999999999)</f>
        <v>1.344</v>
      </c>
    </row>
    <row r="2078">
      <c r="A2078" s="4" t="str">
        <f>IFERROR(__xludf.DUMMYFUNCTION("""COMPUTED_VALUE"""),"PASA6")</f>
        <v>PASA6</v>
      </c>
      <c r="B2078" s="4" t="str">
        <f>IFERROR(__xludf.DUMMYFUNCTION("""COMPUTED_VALUE"""),"Panel impreso Aluminio Sandwich 2mm/0.15 mm A6 (105x148")</f>
        <v>Panel impreso Aluminio Sandwich 2mm/0.15 mm A6 (105x148</v>
      </c>
      <c r="C2078" s="4">
        <f>IFERROR(__xludf.DUMMYFUNCTION("""COMPUTED_VALUE"""),1.056)</f>
        <v>1.056</v>
      </c>
    </row>
    <row r="2079">
      <c r="A2079" s="4" t="str">
        <f>IFERROR(__xludf.DUMMYFUNCTION("""COMPUTED_VALUE"""),"PCMA1")</f>
        <v>PCMA1</v>
      </c>
      <c r="B2079" s="4" t="str">
        <f>IFERROR(__xludf.DUMMYFUNCTION("""COMPUTED_VALUE"""),"Panel impreso PP Celular Microcanal 3 mm A1 (841x594 mm)")</f>
        <v>Panel impreso PP Celular Microcanal 3 mm A1 (841x594 mm)</v>
      </c>
      <c r="C2079" s="4">
        <f>IFERROR(__xludf.DUMMYFUNCTION("""COMPUTED_VALUE"""),9.004800000000001)</f>
        <v>9.0048</v>
      </c>
    </row>
    <row r="2080">
      <c r="A2080" s="4" t="str">
        <f>IFERROR(__xludf.DUMMYFUNCTION("""COMPUTED_VALUE"""),"PCMA2")</f>
        <v>PCMA2</v>
      </c>
      <c r="B2080" s="4" t="str">
        <f>IFERROR(__xludf.DUMMYFUNCTION("""COMPUTED_VALUE"""),"Panel impreso PP Celular Microcanal 3 mm A2 (594x420 mm)")</f>
        <v>Panel impreso PP Celular Microcanal 3 mm A2 (594x420 mm)</v>
      </c>
      <c r="C2080" s="4">
        <f>IFERROR(__xludf.DUMMYFUNCTION("""COMPUTED_VALUE"""),4.300800000000001)</f>
        <v>4.3008</v>
      </c>
    </row>
    <row r="2081">
      <c r="A2081" s="4" t="str">
        <f>IFERROR(__xludf.DUMMYFUNCTION("""COMPUTED_VALUE"""),"PCMA3")</f>
        <v>PCMA3</v>
      </c>
      <c r="B2081" s="4" t="str">
        <f>IFERROR(__xludf.DUMMYFUNCTION("""COMPUTED_VALUE"""),"Panel impreso PP Celular Microcanal 3 mm A3 (420x297 mm)")</f>
        <v>Panel impreso PP Celular Microcanal 3 mm A3 (420x297 mm)</v>
      </c>
      <c r="C2081" s="4">
        <f>IFERROR(__xludf.DUMMYFUNCTION("""COMPUTED_VALUE"""),2.3424)</f>
        <v>2.3424</v>
      </c>
    </row>
    <row r="2082">
      <c r="A2082" s="4" t="str">
        <f>IFERROR(__xludf.DUMMYFUNCTION("""COMPUTED_VALUE"""),"PCMA4")</f>
        <v>PCMA4</v>
      </c>
      <c r="B2082" s="4" t="str">
        <f>IFERROR(__xludf.DUMMYFUNCTION("""COMPUTED_VALUE"""),"Panel impreso PP Celular Microcanal 3 mm A4 (297x210 mm)")</f>
        <v>Panel impreso PP Celular Microcanal 3 mm A4 (297x210 mm)</v>
      </c>
      <c r="C2082" s="4">
        <f>IFERROR(__xludf.DUMMYFUNCTION("""COMPUTED_VALUE"""),1.68)</f>
        <v>1.68</v>
      </c>
    </row>
    <row r="2083">
      <c r="A2083" s="4" t="str">
        <f>IFERROR(__xludf.DUMMYFUNCTION("""COMPUTED_VALUE"""),"PCMA5")</f>
        <v>PCMA5</v>
      </c>
      <c r="B2083" s="4" t="str">
        <f>IFERROR(__xludf.DUMMYFUNCTION("""COMPUTED_VALUE"""),"Panel impreso PP Celular Microcanal 3 mm A5 (148x210 mm)")</f>
        <v>Panel impreso PP Celular Microcanal 3 mm A5 (148x210 mm)</v>
      </c>
      <c r="C2083" s="4">
        <f>IFERROR(__xludf.DUMMYFUNCTION("""COMPUTED_VALUE"""),1.2)</f>
        <v>1.2</v>
      </c>
    </row>
    <row r="2084">
      <c r="A2084" s="4" t="str">
        <f>IFERROR(__xludf.DUMMYFUNCTION("""COMPUTED_VALUE"""),"PCMA6")</f>
        <v>PCMA6</v>
      </c>
      <c r="B2084" s="4" t="str">
        <f>IFERROR(__xludf.DUMMYFUNCTION("""COMPUTED_VALUE"""),"Panel impreso PP Celular Microcanal 3 mm A6 (105x148 mm)")</f>
        <v>Panel impreso PP Celular Microcanal 3 mm A6 (105x148 mm)</v>
      </c>
      <c r="C2084" s="4">
        <f>IFERROR(__xludf.DUMMYFUNCTION("""COMPUTED_VALUE"""),0.864)</f>
        <v>0.864</v>
      </c>
    </row>
    <row r="2085">
      <c r="A2085" s="4" t="str">
        <f>IFERROR(__xludf.DUMMYFUNCTION("""COMPUTED_VALUE"""),"PIEVALLA")</f>
        <v>PIEVALLA</v>
      </c>
      <c r="B2085" s="4" t="str">
        <f>IFERROR(__xludf.DUMMYFUNCTION("""COMPUTED_VALUE"""),"Pie de valla Gate Barrier")</f>
        <v>Pie de valla Gate Barrier</v>
      </c>
      <c r="C2085" s="4">
        <f>IFERROR(__xludf.DUMMYFUNCTION("""COMPUTED_VALUE"""),9.36)</f>
        <v>9.36</v>
      </c>
    </row>
    <row r="2086">
      <c r="A2086" s="4" t="str">
        <f>IFERROR(__xludf.DUMMYFUNCTION("""COMPUTED_VALUE"""),"PIEVALLAP")</f>
        <v>PIEVALLAP</v>
      </c>
      <c r="B2086" s="4" t="str">
        <f>IFERROR(__xludf.DUMMYFUNCTION("""COMPUTED_VALUE"""),"Pie Valla Gate Barrier Asimétrico")</f>
        <v>Pie Valla Gate Barrier Asimétrico</v>
      </c>
      <c r="C2086" s="4">
        <f>IFERROR(__xludf.DUMMYFUNCTION("""COMPUTED_VALUE"""),8.64)</f>
        <v>8.64</v>
      </c>
    </row>
    <row r="2087">
      <c r="A2087" s="4" t="str">
        <f>IFERROR(__xludf.DUMMYFUNCTION("""COMPUTED_VALUE"""),"PVC10070FOTOL")</f>
        <v>PVC10070FOTOL</v>
      </c>
      <c r="B2087" s="4" t="str">
        <f>IFERROR(__xludf.DUMMYFUNCTION("""COMPUTED_VALUE"""),"Cartel PVC fotoluminiscente 100x70 cm")</f>
        <v>Cartel PVC fotoluminiscente 100x70 cm</v>
      </c>
      <c r="C2087" s="4">
        <f>IFERROR(__xludf.DUMMYFUNCTION("""COMPUTED_VALUE"""),23.04)</f>
        <v>23.04</v>
      </c>
    </row>
    <row r="2088">
      <c r="A2088" s="4" t="str">
        <f>IFERROR(__xludf.DUMMYFUNCTION("""COMPUTED_VALUE"""),"PVCRA1")</f>
        <v>PVCRA1</v>
      </c>
      <c r="B2088" s="4" t="str">
        <f>IFERROR(__xludf.DUMMYFUNCTION("""COMPUTED_VALUE"""),"Panel impreso PVC Rígido espumado 3 mm A1 (841x594 mm)")</f>
        <v>Panel impreso PVC Rígido espumado 3 mm A1 (841x594 mm)</v>
      </c>
      <c r="C2088" s="4">
        <f>IFERROR(__xludf.DUMMYFUNCTION("""COMPUTED_VALUE"""),14.111999999999998)</f>
        <v>14.112</v>
      </c>
    </row>
    <row r="2089">
      <c r="A2089" s="4" t="str">
        <f>IFERROR(__xludf.DUMMYFUNCTION("""COMPUTED_VALUE"""),"PVCRA2")</f>
        <v>PVCRA2</v>
      </c>
      <c r="B2089" s="4" t="str">
        <f>IFERROR(__xludf.DUMMYFUNCTION("""COMPUTED_VALUE"""),"Panel impreso PVC Rígido espumado 3 mm A2 (594X420 mm)")</f>
        <v>Panel impreso PVC Rígido espumado 3 mm A2 (594X420 mm)</v>
      </c>
      <c r="C2089" s="4">
        <f>IFERROR(__xludf.DUMMYFUNCTION("""COMPUTED_VALUE"""),8.256)</f>
        <v>8.256</v>
      </c>
    </row>
    <row r="2090">
      <c r="A2090" s="4" t="str">
        <f>IFERROR(__xludf.DUMMYFUNCTION("""COMPUTED_VALUE"""),"PVCRA3")</f>
        <v>PVCRA3</v>
      </c>
      <c r="B2090" s="4" t="str">
        <f>IFERROR(__xludf.DUMMYFUNCTION("""COMPUTED_VALUE"""),"Panel impreso PVC Rígido espumado 3 mm A3 (420x297 mm)")</f>
        <v>Panel impreso PVC Rígido espumado 3 mm A3 (420x297 mm)</v>
      </c>
      <c r="C2090" s="4">
        <f>IFERROR(__xludf.DUMMYFUNCTION("""COMPUTED_VALUE"""),5.2224)</f>
        <v>5.2224</v>
      </c>
    </row>
    <row r="2091">
      <c r="A2091" s="4" t="str">
        <f>IFERROR(__xludf.DUMMYFUNCTION("""COMPUTED_VALUE"""),"PVCRA4")</f>
        <v>PVCRA4</v>
      </c>
      <c r="B2091" s="4" t="str">
        <f>IFERROR(__xludf.DUMMYFUNCTION("""COMPUTED_VALUE"""),"Panel impreso PVC Rígido espumado 3 mm A4 (297x210 mm)")</f>
        <v>Panel impreso PVC Rígido espumado 3 mm A4 (297x210 mm)</v>
      </c>
      <c r="C2091" s="4">
        <f>IFERROR(__xludf.DUMMYFUNCTION("""COMPUTED_VALUE"""),3.5999999999999996)</f>
        <v>3.6</v>
      </c>
    </row>
    <row r="2092">
      <c r="A2092" s="4" t="str">
        <f>IFERROR(__xludf.DUMMYFUNCTION("""COMPUTED_VALUE"""),"PVCRA5")</f>
        <v>PVCRA5</v>
      </c>
      <c r="B2092" s="4" t="str">
        <f>IFERROR(__xludf.DUMMYFUNCTION("""COMPUTED_VALUE"""),"Panel impreso PVC Rígido espumado 3 mm A5 (148x210 mm)")</f>
        <v>Panel impreso PVC Rígido espumado 3 mm A5 (148x210 mm)</v>
      </c>
      <c r="C2092" s="4">
        <f>IFERROR(__xludf.DUMMYFUNCTION("""COMPUTED_VALUE"""),2.4384)</f>
        <v>2.4384</v>
      </c>
    </row>
    <row r="2093">
      <c r="A2093" s="4" t="str">
        <f>IFERROR(__xludf.DUMMYFUNCTION("""COMPUTED_VALUE"""),"PVCRA6")</f>
        <v>PVCRA6</v>
      </c>
      <c r="B2093" s="4" t="str">
        <f>IFERROR(__xludf.DUMMYFUNCTION("""COMPUTED_VALUE"""),"Panel impreso PVC Rígido espumado 3 mm A6 (105x148 mm)")</f>
        <v>Panel impreso PVC Rígido espumado 3 mm A6 (105x148 mm)</v>
      </c>
      <c r="C2093" s="4">
        <f>IFERROR(__xludf.DUMMYFUNCTION("""COMPUTED_VALUE"""),1.248)</f>
        <v>1.248</v>
      </c>
    </row>
    <row r="2094">
      <c r="A2094" s="4" t="str">
        <f>IFERROR(__xludf.DUMMYFUNCTION("""COMPUTED_VALUE"""),"S13LUM")</f>
        <v>S13LUM</v>
      </c>
      <c r="B2094" s="4" t="str">
        <f>IFERROR(__xludf.DUMMYFUNCTION("""COMPUTED_VALUE"""),"Señal aluminio Luminosa S13 60 cm")</f>
        <v>Señal aluminio Luminosa S13 60 cm</v>
      </c>
      <c r="C2094" s="4">
        <f>IFERROR(__xludf.DUMMYFUNCTION("""COMPUTED_VALUE"""),552.0)</f>
        <v>552</v>
      </c>
    </row>
    <row r="2095">
      <c r="A2095" s="4" t="str">
        <f>IFERROR(__xludf.DUMMYFUNCTION("""COMPUTED_VALUE"""),"S13SOLAR")</f>
        <v>S13SOLAR</v>
      </c>
      <c r="B2095" s="4" t="str">
        <f>IFERROR(__xludf.DUMMYFUNCTION("""COMPUTED_VALUE"""),"Kit Solar 20 w para alimentación 5 ah/12 v")</f>
        <v>Kit Solar 20 w para alimentación 5 ah/12 v</v>
      </c>
      <c r="C2095" s="4">
        <f>IFERROR(__xludf.DUMMYFUNCTION("""COMPUTED_VALUE"""),374.4)</f>
        <v>374.4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tr">
        <f>IFERROR(__xludf.DUMMYFUNCTION("QUERY('Hoja 1'!A:L, ""SELECT A, B, J WHERE A IS NOT NULL"", 1)"),"Referencia")</f>
        <v>Referencia</v>
      </c>
      <c r="B1" s="4" t="str">
        <f>IFERROR(__xludf.DUMMYFUNCTION("""COMPUTED_VALUE"""),"Descripcion")</f>
        <v>Descripcion</v>
      </c>
      <c r="C1" s="4" t="str">
        <f>IFERROR(__xludf.DUMMYFUNCTION("""COMPUTED_VALUE"""),"PRECIO_GRUPO1")</f>
        <v>PRECIO_GRUPO1</v>
      </c>
    </row>
    <row r="2">
      <c r="A2" s="4" t="str">
        <f>IFERROR(__xludf.DUMMYFUNCTION("""COMPUTED_VALUE"""),"101")</f>
        <v>101</v>
      </c>
      <c r="B2" s="4" t="str">
        <f>IFERROR(__xludf.DUMMYFUNCTION("""COMPUTED_VALUE"""),"Cartel PVC 21x29 Fotolum. SALIDA FLECHA IZQ.")</f>
        <v>Cartel PVC 21x29 Fotolum. SALIDA FLECHA IZQ.</v>
      </c>
      <c r="C2" s="4">
        <f>IFERROR(__xludf.DUMMYFUNCTION("""COMPUTED_VALUE"""),2.496)</f>
        <v>2.496</v>
      </c>
    </row>
    <row r="3">
      <c r="A3" s="4" t="str">
        <f>IFERROR(__xludf.DUMMYFUNCTION("""COMPUTED_VALUE"""),"0101A")</f>
        <v>0101A</v>
      </c>
      <c r="B3" s="4" t="str">
        <f>IFERROR(__xludf.DUMMYFUNCTION("""COMPUTED_VALUE"""),"Cartel PVC 32x16 Fotolum Salida flecha derecha")</f>
        <v>Cartel PVC 32x16 Fotolum Salida flecha derecha</v>
      </c>
      <c r="C3" s="4">
        <f>IFERROR(__xludf.DUMMYFUNCTION("""COMPUTED_VALUE"""),2.16)</f>
        <v>2.16</v>
      </c>
    </row>
    <row r="4">
      <c r="A4" s="4" t="str">
        <f>IFERROR(__xludf.DUMMYFUNCTION("""COMPUTED_VALUE"""),"0101B")</f>
        <v>0101B</v>
      </c>
      <c r="B4" s="4" t="str">
        <f>IFERROR(__xludf.DUMMYFUNCTION("""COMPUTED_VALUE"""),"Cartel PVC 64x32 Fotolum Salida flecha derecha")</f>
        <v>Cartel PVC 64x32 Fotolum Salida flecha derecha</v>
      </c>
      <c r="C4" s="4">
        <f>IFERROR(__xludf.DUMMYFUNCTION("""COMPUTED_VALUE"""),4.300800000000001)</f>
        <v>4.3008</v>
      </c>
    </row>
    <row r="5">
      <c r="A5" s="4" t="str">
        <f>IFERROR(__xludf.DUMMYFUNCTION("""COMPUTED_VALUE"""),"0101C")</f>
        <v>0101C</v>
      </c>
      <c r="B5" s="4" t="str">
        <f>IFERROR(__xludf.DUMMYFUNCTION("""COMPUTED_VALUE"""),"Cartel PVC 96x48 Fotolum Salida flecha derecha")</f>
        <v>Cartel PVC 96x48 Fotolum Salida flecha derecha</v>
      </c>
      <c r="C5" s="4">
        <f>IFERROR(__xludf.DUMMYFUNCTION("""COMPUTED_VALUE"""),8.601600000000001)</f>
        <v>8.6016</v>
      </c>
    </row>
    <row r="6">
      <c r="A6" s="4" t="str">
        <f>IFERROR(__xludf.DUMMYFUNCTION("""COMPUTED_VALUE"""),"102")</f>
        <v>102</v>
      </c>
      <c r="B6" s="4" t="str">
        <f>IFERROR(__xludf.DUMMYFUNCTION("""COMPUTED_VALUE"""),"Cartel PVC 21x29 Fotolum. SALIDA FLECHA IZQ.")</f>
        <v>Cartel PVC 21x29 Fotolum. SALIDA FLECHA IZQ.</v>
      </c>
      <c r="C6" s="4">
        <f>IFERROR(__xludf.DUMMYFUNCTION("""COMPUTED_VALUE"""),2.496)</f>
        <v>2.496</v>
      </c>
    </row>
    <row r="7">
      <c r="A7" s="4" t="str">
        <f>IFERROR(__xludf.DUMMYFUNCTION("""COMPUTED_VALUE"""),"0102A")</f>
        <v>0102A</v>
      </c>
      <c r="B7" s="4" t="str">
        <f>IFERROR(__xludf.DUMMYFUNCTION("""COMPUTED_VALUE"""),"Cartel PVC 32x16 Fotolum Salida flecha izquierda")</f>
        <v>Cartel PVC 32x16 Fotolum Salida flecha izquierda</v>
      </c>
      <c r="C7" s="4">
        <f>IFERROR(__xludf.DUMMYFUNCTION("""COMPUTED_VALUE"""),2.16)</f>
        <v>2.16</v>
      </c>
    </row>
    <row r="8">
      <c r="A8" s="4" t="str">
        <f>IFERROR(__xludf.DUMMYFUNCTION("""COMPUTED_VALUE"""),"0102B")</f>
        <v>0102B</v>
      </c>
      <c r="B8" s="4" t="str">
        <f>IFERROR(__xludf.DUMMYFUNCTION("""COMPUTED_VALUE"""),"Cartel PVC 64x32 Fotolum Salida flecha izquierda")</f>
        <v>Cartel PVC 64x32 Fotolum Salida flecha izquierda</v>
      </c>
      <c r="C8" s="4">
        <f>IFERROR(__xludf.DUMMYFUNCTION("""COMPUTED_VALUE"""),4.300800000000001)</f>
        <v>4.3008</v>
      </c>
    </row>
    <row r="9">
      <c r="A9" s="4" t="str">
        <f>IFERROR(__xludf.DUMMYFUNCTION("""COMPUTED_VALUE"""),"0102C")</f>
        <v>0102C</v>
      </c>
      <c r="B9" s="4" t="str">
        <f>IFERROR(__xludf.DUMMYFUNCTION("""COMPUTED_VALUE"""),"Cartel PVC 96x48 Fotolum Salida flecha izquierda")</f>
        <v>Cartel PVC 96x48 Fotolum Salida flecha izquierda</v>
      </c>
      <c r="C9" s="4">
        <f>IFERROR(__xludf.DUMMYFUNCTION("""COMPUTED_VALUE"""),8.601600000000001)</f>
        <v>8.6016</v>
      </c>
    </row>
    <row r="10">
      <c r="A10" s="4" t="str">
        <f>IFERROR(__xludf.DUMMYFUNCTION("""COMPUTED_VALUE"""),"103")</f>
        <v>103</v>
      </c>
      <c r="B10" s="4" t="str">
        <f>IFERROR(__xludf.DUMMYFUNCTION("""COMPUTED_VALUE"""),"Cartel PVC 21x29 Fotolum. SALIDA FLECHA FRONTAL")</f>
        <v>Cartel PVC 21x29 Fotolum. SALIDA FLECHA FRONTAL</v>
      </c>
      <c r="C10" s="4">
        <f>IFERROR(__xludf.DUMMYFUNCTION("""COMPUTED_VALUE"""),2.496)</f>
        <v>2.496</v>
      </c>
    </row>
    <row r="11">
      <c r="A11" s="4" t="str">
        <f>IFERROR(__xludf.DUMMYFUNCTION("""COMPUTED_VALUE"""),"0103A")</f>
        <v>0103A</v>
      </c>
      <c r="B11" s="4" t="str">
        <f>IFERROR(__xludf.DUMMYFUNCTION("""COMPUTED_VALUE"""),"Cartel PVC 32x16 Fotolum Salida flecha arriba")</f>
        <v>Cartel PVC 32x16 Fotolum Salida flecha arriba</v>
      </c>
      <c r="C11" s="4">
        <f>IFERROR(__xludf.DUMMYFUNCTION("""COMPUTED_VALUE"""),2.16)</f>
        <v>2.16</v>
      </c>
    </row>
    <row r="12">
      <c r="A12" s="4" t="str">
        <f>IFERROR(__xludf.DUMMYFUNCTION("""COMPUTED_VALUE"""),"0103B")</f>
        <v>0103B</v>
      </c>
      <c r="B12" s="4" t="str">
        <f>IFERROR(__xludf.DUMMYFUNCTION("""COMPUTED_VALUE"""),"Cartel PVC 64x32 Fotolum Salida flecha arriba")</f>
        <v>Cartel PVC 64x32 Fotolum Salida flecha arriba</v>
      </c>
      <c r="C12" s="4">
        <f>IFERROR(__xludf.DUMMYFUNCTION("""COMPUTED_VALUE"""),4.300800000000001)</f>
        <v>4.3008</v>
      </c>
    </row>
    <row r="13">
      <c r="A13" s="4" t="str">
        <f>IFERROR(__xludf.DUMMYFUNCTION("""COMPUTED_VALUE"""),"0103C")</f>
        <v>0103C</v>
      </c>
      <c r="B13" s="4" t="str">
        <f>IFERROR(__xludf.DUMMYFUNCTION("""COMPUTED_VALUE"""),"Cartel PVC 96x48 Fotolum Salida flecha arriba")</f>
        <v>Cartel PVC 96x48 Fotolum Salida flecha arriba</v>
      </c>
      <c r="C13" s="4">
        <f>IFERROR(__xludf.DUMMYFUNCTION("""COMPUTED_VALUE"""),8.601600000000001)</f>
        <v>8.6016</v>
      </c>
    </row>
    <row r="14">
      <c r="A14" s="4" t="str">
        <f>IFERROR(__xludf.DUMMYFUNCTION("""COMPUTED_VALUE"""),"104")</f>
        <v>104</v>
      </c>
      <c r="B14" s="4" t="str">
        <f>IFERROR(__xludf.DUMMYFUNCTION("""COMPUTED_VALUE"""),"Cartel PVC 21x29 Fotolum. SALIDA FLECHA ABAJO")</f>
        <v>Cartel PVC 21x29 Fotolum. SALIDA FLECHA ABAJO</v>
      </c>
      <c r="C14" s="4">
        <f>IFERROR(__xludf.DUMMYFUNCTION("""COMPUTED_VALUE"""),2.496)</f>
        <v>2.496</v>
      </c>
    </row>
    <row r="15">
      <c r="A15" s="4" t="str">
        <f>IFERROR(__xludf.DUMMYFUNCTION("""COMPUTED_VALUE"""),"0104A")</f>
        <v>0104A</v>
      </c>
      <c r="B15" s="4" t="str">
        <f>IFERROR(__xludf.DUMMYFUNCTION("""COMPUTED_VALUE"""),"Cartel PVC 32x16 Fotolum Salida flecha abajo")</f>
        <v>Cartel PVC 32x16 Fotolum Salida flecha abajo</v>
      </c>
      <c r="C15" s="4">
        <f>IFERROR(__xludf.DUMMYFUNCTION("""COMPUTED_VALUE"""),2.16)</f>
        <v>2.16</v>
      </c>
    </row>
    <row r="16">
      <c r="A16" s="4" t="str">
        <f>IFERROR(__xludf.DUMMYFUNCTION("""COMPUTED_VALUE"""),"0104B")</f>
        <v>0104B</v>
      </c>
      <c r="B16" s="4" t="str">
        <f>IFERROR(__xludf.DUMMYFUNCTION("""COMPUTED_VALUE"""),"Cartel PVC 64x32 Fotolum Salida flecha abajo")</f>
        <v>Cartel PVC 64x32 Fotolum Salida flecha abajo</v>
      </c>
      <c r="C16" s="4">
        <f>IFERROR(__xludf.DUMMYFUNCTION("""COMPUTED_VALUE"""),4.300800000000001)</f>
        <v>4.3008</v>
      </c>
    </row>
    <row r="17">
      <c r="A17" s="4" t="str">
        <f>IFERROR(__xludf.DUMMYFUNCTION("""COMPUTED_VALUE"""),"0104C")</f>
        <v>0104C</v>
      </c>
      <c r="B17" s="4" t="str">
        <f>IFERROR(__xludf.DUMMYFUNCTION("""COMPUTED_VALUE"""),"Cartel PVC 96x48 Fotolum Salida flecha abajo")</f>
        <v>Cartel PVC 96x48 Fotolum Salida flecha abajo</v>
      </c>
      <c r="C17" s="4">
        <f>IFERROR(__xludf.DUMMYFUNCTION("""COMPUTED_VALUE"""),8.601600000000001)</f>
        <v>8.6016</v>
      </c>
    </row>
    <row r="18">
      <c r="A18" s="4" t="str">
        <f>IFERROR(__xludf.DUMMYFUNCTION("""COMPUTED_VALUE"""),"105")</f>
        <v>105</v>
      </c>
      <c r="B18" s="4" t="str">
        <f>IFERROR(__xludf.DUMMYFUNCTION("""COMPUTED_VALUE"""),"Cartel PVC 21x29 Fotolum. SALIDA-EXIT")</f>
        <v>Cartel PVC 21x29 Fotolum. SALIDA-EXIT</v>
      </c>
      <c r="C18" s="4">
        <f>IFERROR(__xludf.DUMMYFUNCTION("""COMPUTED_VALUE"""),2.496)</f>
        <v>2.496</v>
      </c>
    </row>
    <row r="19">
      <c r="A19" s="4" t="str">
        <f>IFERROR(__xludf.DUMMYFUNCTION("""COMPUTED_VALUE"""),"0105A")</f>
        <v>0105A</v>
      </c>
      <c r="B19" s="4" t="str">
        <f>IFERROR(__xludf.DUMMYFUNCTION("""COMPUTED_VALUE"""),"Cartel PVC 32x16 Fotolum. Salida-Exit")</f>
        <v>Cartel PVC 32x16 Fotolum. Salida-Exit</v>
      </c>
      <c r="C19" s="4">
        <f>IFERROR(__xludf.DUMMYFUNCTION("""COMPUTED_VALUE"""),2.16)</f>
        <v>2.16</v>
      </c>
    </row>
    <row r="20">
      <c r="A20" s="4" t="str">
        <f>IFERROR(__xludf.DUMMYFUNCTION("""COMPUTED_VALUE"""),"0105B")</f>
        <v>0105B</v>
      </c>
      <c r="B20" s="4" t="str">
        <f>IFERROR(__xludf.DUMMYFUNCTION("""COMPUTED_VALUE"""),"Cartel PVC 64x32 Fotolum. Salida-Exit")</f>
        <v>Cartel PVC 64x32 Fotolum. Salida-Exit</v>
      </c>
      <c r="C20" s="4">
        <f>IFERROR(__xludf.DUMMYFUNCTION("""COMPUTED_VALUE"""),4.300800000000001)</f>
        <v>4.3008</v>
      </c>
    </row>
    <row r="21">
      <c r="A21" s="4" t="str">
        <f>IFERROR(__xludf.DUMMYFUNCTION("""COMPUTED_VALUE"""),"0105C")</f>
        <v>0105C</v>
      </c>
      <c r="B21" s="4" t="str">
        <f>IFERROR(__xludf.DUMMYFUNCTION("""COMPUTED_VALUE"""),"Cartel PVC 96x48 Fotolum. Salida-Exit")</f>
        <v>Cartel PVC 96x48 Fotolum. Salida-Exit</v>
      </c>
      <c r="C21" s="4">
        <f>IFERROR(__xludf.DUMMYFUNCTION("""COMPUTED_VALUE"""),8.601600000000001)</f>
        <v>8.6016</v>
      </c>
    </row>
    <row r="22">
      <c r="A22" s="4" t="str">
        <f>IFERROR(__xludf.DUMMYFUNCTION("""COMPUTED_VALUE"""),"106")</f>
        <v>106</v>
      </c>
      <c r="B22" s="4" t="str">
        <f>IFERROR(__xludf.DUMMYFUNCTION("""COMPUTED_VALUE"""),"Cartel PVC 21x29 Fotolum. SALIDA EMERG. FLECHA DCHA")</f>
        <v>Cartel PVC 21x29 Fotolum. SALIDA EMERG. FLECHA DCHA</v>
      </c>
      <c r="C22" s="4">
        <f>IFERROR(__xludf.DUMMYFUNCTION("""COMPUTED_VALUE"""),2.496)</f>
        <v>2.496</v>
      </c>
    </row>
    <row r="23">
      <c r="A23" s="4" t="str">
        <f>IFERROR(__xludf.DUMMYFUNCTION("""COMPUTED_VALUE"""),"0106A")</f>
        <v>0106A</v>
      </c>
      <c r="B23" s="4" t="str">
        <f>IFERROR(__xludf.DUMMYFUNCTION("""COMPUTED_VALUE"""),"Cartel PVC 32x16 Fotolum. Salida de emergencia + flecha")</f>
        <v>Cartel PVC 32x16 Fotolum. Salida de emergencia + flecha</v>
      </c>
      <c r="C23" s="4">
        <f>IFERROR(__xludf.DUMMYFUNCTION("""COMPUTED_VALUE"""),2.16)</f>
        <v>2.16</v>
      </c>
    </row>
    <row r="24">
      <c r="A24" s="4" t="str">
        <f>IFERROR(__xludf.DUMMYFUNCTION("""COMPUTED_VALUE"""),"0106B")</f>
        <v>0106B</v>
      </c>
      <c r="B24" s="4" t="str">
        <f>IFERROR(__xludf.DUMMYFUNCTION("""COMPUTED_VALUE"""),"Cartel PVC 64x32 Fotolum. Salida de emergencia + flecha")</f>
        <v>Cartel PVC 64x32 Fotolum. Salida de emergencia + flecha</v>
      </c>
      <c r="C24" s="4">
        <f>IFERROR(__xludf.DUMMYFUNCTION("""COMPUTED_VALUE"""),4.300800000000001)</f>
        <v>4.3008</v>
      </c>
    </row>
    <row r="25">
      <c r="A25" s="4" t="str">
        <f>IFERROR(__xludf.DUMMYFUNCTION("""COMPUTED_VALUE"""),"0106C")</f>
        <v>0106C</v>
      </c>
      <c r="B25" s="4" t="str">
        <f>IFERROR(__xludf.DUMMYFUNCTION("""COMPUTED_VALUE"""),"Cartel PVC 96x48 Fotolum. Salida de emergencia + flecha")</f>
        <v>Cartel PVC 96x48 Fotolum. Salida de emergencia + flecha</v>
      </c>
      <c r="C25" s="4">
        <f>IFERROR(__xludf.DUMMYFUNCTION("""COMPUTED_VALUE"""),8.601600000000001)</f>
        <v>8.6016</v>
      </c>
    </row>
    <row r="26">
      <c r="A26" s="4" t="str">
        <f>IFERROR(__xludf.DUMMYFUNCTION("""COMPUTED_VALUE"""),"107")</f>
        <v>107</v>
      </c>
      <c r="B26" s="4" t="str">
        <f>IFERROR(__xludf.DUMMYFUNCTION("""COMPUTED_VALUE"""),"Cartel PVC 21x29 Fotolum. SALIDA EMERG. FLECHA IZQ.")</f>
        <v>Cartel PVC 21x29 Fotolum. SALIDA EMERG. FLECHA IZQ.</v>
      </c>
      <c r="C26" s="4">
        <f>IFERROR(__xludf.DUMMYFUNCTION("""COMPUTED_VALUE"""),2.496)</f>
        <v>2.496</v>
      </c>
    </row>
    <row r="27">
      <c r="A27" s="4" t="str">
        <f>IFERROR(__xludf.DUMMYFUNCTION("""COMPUTED_VALUE"""),"0107A")</f>
        <v>0107A</v>
      </c>
      <c r="B27" s="4" t="str">
        <f>IFERROR(__xludf.DUMMYFUNCTION("""COMPUTED_VALUE"""),"Cartel PVC 32x16 Fotolum. Salida de emergencia + flecha izq")</f>
        <v>Cartel PVC 32x16 Fotolum. Salida de emergencia + flecha izq</v>
      </c>
      <c r="C27" s="4">
        <f>IFERROR(__xludf.DUMMYFUNCTION("""COMPUTED_VALUE"""),2.16)</f>
        <v>2.16</v>
      </c>
    </row>
    <row r="28">
      <c r="A28" s="4" t="str">
        <f>IFERROR(__xludf.DUMMYFUNCTION("""COMPUTED_VALUE"""),"0107B")</f>
        <v>0107B</v>
      </c>
      <c r="B28" s="4" t="str">
        <f>IFERROR(__xludf.DUMMYFUNCTION("""COMPUTED_VALUE"""),"Cartel PVC 64x32 Fotolum. Salida de emergencia + flecha izq")</f>
        <v>Cartel PVC 64x32 Fotolum. Salida de emergencia + flecha izq</v>
      </c>
      <c r="C28" s="4">
        <f>IFERROR(__xludf.DUMMYFUNCTION("""COMPUTED_VALUE"""),4.300800000000001)</f>
        <v>4.3008</v>
      </c>
    </row>
    <row r="29">
      <c r="A29" s="4" t="str">
        <f>IFERROR(__xludf.DUMMYFUNCTION("""COMPUTED_VALUE"""),"0107C")</f>
        <v>0107C</v>
      </c>
      <c r="B29" s="4" t="str">
        <f>IFERROR(__xludf.DUMMYFUNCTION("""COMPUTED_VALUE"""),"Cartel PVC 96x48 Fotolum. Salida de emergencia + flecha izq")</f>
        <v>Cartel PVC 96x48 Fotolum. Salida de emergencia + flecha izq</v>
      </c>
      <c r="C29" s="4">
        <f>IFERROR(__xludf.DUMMYFUNCTION("""COMPUTED_VALUE"""),8.601600000000001)</f>
        <v>8.6016</v>
      </c>
    </row>
    <row r="30">
      <c r="A30" s="4" t="str">
        <f>IFERROR(__xludf.DUMMYFUNCTION("""COMPUTED_VALUE"""),"108")</f>
        <v>108</v>
      </c>
      <c r="B30" s="4" t="str">
        <f>IFERROR(__xludf.DUMMYFUNCTION("""COMPUTED_VALUE"""),"Cartel PVC 21X29 Fotolum. ESCALERA EMERG. FLECHA")</f>
        <v>Cartel PVC 21X29 Fotolum. ESCALERA EMERG. FLECHA</v>
      </c>
      <c r="C30" s="4">
        <f>IFERROR(__xludf.DUMMYFUNCTION("""COMPUTED_VALUE"""),2.496)</f>
        <v>2.496</v>
      </c>
    </row>
    <row r="31">
      <c r="A31" s="4" t="str">
        <f>IFERROR(__xludf.DUMMYFUNCTION("""COMPUTED_VALUE"""),"0108A")</f>
        <v>0108A</v>
      </c>
      <c r="B31" s="4" t="str">
        <f>IFERROR(__xludf.DUMMYFUNCTION("""COMPUTED_VALUE"""),"Cartel PVC 32x16 Fotolum. Escal. de emergencia + flecha")</f>
        <v>Cartel PVC 32x16 Fotolum. Escal. de emergencia + flecha</v>
      </c>
      <c r="C31" s="4">
        <f>IFERROR(__xludf.DUMMYFUNCTION("""COMPUTED_VALUE"""),2.16)</f>
        <v>2.16</v>
      </c>
    </row>
    <row r="32">
      <c r="A32" s="4" t="str">
        <f>IFERROR(__xludf.DUMMYFUNCTION("""COMPUTED_VALUE"""),"0108B")</f>
        <v>0108B</v>
      </c>
      <c r="B32" s="4" t="str">
        <f>IFERROR(__xludf.DUMMYFUNCTION("""COMPUTED_VALUE"""),"Cartel PVC 64x32 Fotolum. Escal. de emergencia + flecha")</f>
        <v>Cartel PVC 64x32 Fotolum. Escal. de emergencia + flecha</v>
      </c>
      <c r="C32" s="4">
        <f>IFERROR(__xludf.DUMMYFUNCTION("""COMPUTED_VALUE"""),4.300800000000001)</f>
        <v>4.3008</v>
      </c>
    </row>
    <row r="33">
      <c r="A33" s="4" t="str">
        <f>IFERROR(__xludf.DUMMYFUNCTION("""COMPUTED_VALUE"""),"0108C")</f>
        <v>0108C</v>
      </c>
      <c r="B33" s="4" t="str">
        <f>IFERROR(__xludf.DUMMYFUNCTION("""COMPUTED_VALUE"""),"Cartel PVC 96x48 Fotolum. Escal. de emergencia + flecha")</f>
        <v>Cartel PVC 96x48 Fotolum. Escal. de emergencia + flecha</v>
      </c>
      <c r="C33" s="4">
        <f>IFERROR(__xludf.DUMMYFUNCTION("""COMPUTED_VALUE"""),8.601600000000001)</f>
        <v>8.6016</v>
      </c>
    </row>
    <row r="34">
      <c r="A34" s="4" t="str">
        <f>IFERROR(__xludf.DUMMYFUNCTION("""COMPUTED_VALUE"""),"109")</f>
        <v>109</v>
      </c>
      <c r="B34" s="4" t="str">
        <f>IFERROR(__xludf.DUMMYFUNCTION("""COMPUTED_VALUE"""),"Cartel PVC 21x29 Fotolum. ESCALERA EMERG. FLECHA")</f>
        <v>Cartel PVC 21x29 Fotolum. ESCALERA EMERG. FLECHA</v>
      </c>
      <c r="C34" s="4">
        <f>IFERROR(__xludf.DUMMYFUNCTION("""COMPUTED_VALUE"""),2.496)</f>
        <v>2.496</v>
      </c>
    </row>
    <row r="35">
      <c r="A35" s="4" t="str">
        <f>IFERROR(__xludf.DUMMYFUNCTION("""COMPUTED_VALUE"""),"0109A")</f>
        <v>0109A</v>
      </c>
      <c r="B35" s="4" t="str">
        <f>IFERROR(__xludf.DUMMYFUNCTION("""COMPUTED_VALUE"""),"Cartel PVC 32x16 Fotolum. Escal. de emergencia + flecha izq.")</f>
        <v>Cartel PVC 32x16 Fotolum. Escal. de emergencia + flecha izq.</v>
      </c>
      <c r="C35" s="4">
        <f>IFERROR(__xludf.DUMMYFUNCTION("""COMPUTED_VALUE"""),2.16)</f>
        <v>2.16</v>
      </c>
    </row>
    <row r="36">
      <c r="A36" s="4" t="str">
        <f>IFERROR(__xludf.DUMMYFUNCTION("""COMPUTED_VALUE"""),"0109B")</f>
        <v>0109B</v>
      </c>
      <c r="B36" s="4" t="str">
        <f>IFERROR(__xludf.DUMMYFUNCTION("""COMPUTED_VALUE"""),"Cartel PVC 64x32 Fotolum. Escal. de emergencia + flecha izq.")</f>
        <v>Cartel PVC 64x32 Fotolum. Escal. de emergencia + flecha izq.</v>
      </c>
      <c r="C36" s="4">
        <f>IFERROR(__xludf.DUMMYFUNCTION("""COMPUTED_VALUE"""),4.300800000000001)</f>
        <v>4.3008</v>
      </c>
    </row>
    <row r="37">
      <c r="A37" s="4" t="str">
        <f>IFERROR(__xludf.DUMMYFUNCTION("""COMPUTED_VALUE"""),"0109C")</f>
        <v>0109C</v>
      </c>
      <c r="B37" s="4" t="str">
        <f>IFERROR(__xludf.DUMMYFUNCTION("""COMPUTED_VALUE"""),"Cartel PVC 96x48 Fotolum. Escal. de emergencia + flecha izq.")</f>
        <v>Cartel PVC 96x48 Fotolum. Escal. de emergencia + flecha izq.</v>
      </c>
      <c r="C37" s="4">
        <f>IFERROR(__xludf.DUMMYFUNCTION("""COMPUTED_VALUE"""),8.601600000000001)</f>
        <v>8.6016</v>
      </c>
    </row>
    <row r="38">
      <c r="A38" s="4" t="str">
        <f>IFERROR(__xludf.DUMMYFUNCTION("""COMPUTED_VALUE"""),"110")</f>
        <v>110</v>
      </c>
      <c r="B38" s="4" t="str">
        <f>IFERROR(__xludf.DUMMYFUNCTION("""COMPUTED_VALUE"""),"Cartel PVC 21x29 Fotolum. No utilizar en caso de incendio")</f>
        <v>Cartel PVC 21x29 Fotolum. No utilizar en caso de incendio</v>
      </c>
      <c r="C38" s="4">
        <f>IFERROR(__xludf.DUMMYFUNCTION("""COMPUTED_VALUE"""),2.496)</f>
        <v>2.496</v>
      </c>
    </row>
    <row r="39">
      <c r="A39" s="4" t="str">
        <f>IFERROR(__xludf.DUMMYFUNCTION("""COMPUTED_VALUE"""),"0116V")</f>
        <v>0116V</v>
      </c>
      <c r="B39" s="4" t="str">
        <f>IFERROR(__xludf.DUMMYFUNCTION("""COMPUTED_VALUE"""),"Vinilo Adhesivo suelo Dir. Peatonal 40 cm")</f>
        <v>Vinilo Adhesivo suelo Dir. Peatonal 40 cm</v>
      </c>
      <c r="C39" s="4">
        <f>IFERROR(__xludf.DUMMYFUNCTION("""COMPUTED_VALUE"""),5.904)</f>
        <v>5.904</v>
      </c>
    </row>
    <row r="40">
      <c r="A40" s="4" t="str">
        <f>IFERROR(__xludf.DUMMYFUNCTION("""COMPUTED_VALUE"""),"0150A")</f>
        <v>0150A</v>
      </c>
      <c r="B40" s="4" t="str">
        <f>IFERROR(__xludf.DUMMYFUNCTION("""COMPUTED_VALUE"""),"Cartel PVC 21x21 Fotolum. Pulsador de alarma")</f>
        <v>Cartel PVC 21x21 Fotolum. Pulsador de alarma</v>
      </c>
      <c r="C40" s="4">
        <f>IFERROR(__xludf.DUMMYFUNCTION("""COMPUTED_VALUE"""),2.2176)</f>
        <v>2.2176</v>
      </c>
    </row>
    <row r="41">
      <c r="A41" s="4" t="str">
        <f>IFERROR(__xludf.DUMMYFUNCTION("""COMPUTED_VALUE"""),"0150B")</f>
        <v>0150B</v>
      </c>
      <c r="B41" s="4" t="str">
        <f>IFERROR(__xludf.DUMMYFUNCTION("""COMPUTED_VALUE"""),"Cartel PVC 42x42 Fotolum. Pulsador de alarma")</f>
        <v>Cartel PVC 42x42 Fotolum. Pulsador de alarma</v>
      </c>
      <c r="C41" s="4">
        <f>IFERROR(__xludf.DUMMYFUNCTION("""COMPUTED_VALUE"""),3.7439999999999998)</f>
        <v>3.744</v>
      </c>
    </row>
    <row r="42">
      <c r="A42" s="4" t="str">
        <f>IFERROR(__xludf.DUMMYFUNCTION("""COMPUTED_VALUE"""),"0150C")</f>
        <v>0150C</v>
      </c>
      <c r="B42" s="4" t="str">
        <f>IFERROR(__xludf.DUMMYFUNCTION("""COMPUTED_VALUE"""),"Cartel PVC 63x63 Fotolum. Pulsador de alarma")</f>
        <v>Cartel PVC 63x63 Fotolum. Pulsador de alarma</v>
      </c>
      <c r="C42" s="4">
        <f>IFERROR(__xludf.DUMMYFUNCTION("""COMPUTED_VALUE"""),6.0)</f>
        <v>6</v>
      </c>
    </row>
    <row r="43">
      <c r="A43" s="4" t="str">
        <f>IFERROR(__xludf.DUMMYFUNCTION("""COMPUTED_VALUE"""),"151")</f>
        <v>151</v>
      </c>
      <c r="B43" s="4" t="str">
        <f>IFERROR(__xludf.DUMMYFUNCTION("""COMPUTED_VALUE"""),"Cartel PVC 21x21 Fotolum. EXTINTOR IZQUIERDA")</f>
        <v>Cartel PVC 21x21 Fotolum. EXTINTOR IZQUIERDA</v>
      </c>
      <c r="C43" s="4">
        <f>IFERROR(__xludf.DUMMYFUNCTION("""COMPUTED_VALUE"""),2.2176)</f>
        <v>2.2176</v>
      </c>
    </row>
    <row r="44">
      <c r="A44" s="4" t="str">
        <f>IFERROR(__xludf.DUMMYFUNCTION("""COMPUTED_VALUE"""),"0151A")</f>
        <v>0151A</v>
      </c>
      <c r="B44" s="4" t="str">
        <f>IFERROR(__xludf.DUMMYFUNCTION("""COMPUTED_VALUE"""),"Cartel PVC 21x21 Fotolum. Carro extintor")</f>
        <v>Cartel PVC 21x21 Fotolum. Carro extintor</v>
      </c>
      <c r="C44" s="4">
        <f>IFERROR(__xludf.DUMMYFUNCTION("""COMPUTED_VALUE"""),2.2176)</f>
        <v>2.2176</v>
      </c>
    </row>
    <row r="45">
      <c r="A45" s="4" t="str">
        <f>IFERROR(__xludf.DUMMYFUNCTION("""COMPUTED_VALUE"""),"0151B")</f>
        <v>0151B</v>
      </c>
      <c r="B45" s="4" t="str">
        <f>IFERROR(__xludf.DUMMYFUNCTION("""COMPUTED_VALUE"""),"Cartel PVC 42x42 Fotolum. Carro extintor")</f>
        <v>Cartel PVC 42x42 Fotolum. Carro extintor</v>
      </c>
      <c r="C45" s="4">
        <f>IFERROR(__xludf.DUMMYFUNCTION("""COMPUTED_VALUE"""),3.7439999999999998)</f>
        <v>3.744</v>
      </c>
    </row>
    <row r="46">
      <c r="A46" s="4" t="str">
        <f>IFERROR(__xludf.DUMMYFUNCTION("""COMPUTED_VALUE"""),"0151C")</f>
        <v>0151C</v>
      </c>
      <c r="B46" s="4" t="str">
        <f>IFERROR(__xludf.DUMMYFUNCTION("""COMPUTED_VALUE"""),"Cartel PVC 63x63 Fotolum. Carro extintor")</f>
        <v>Cartel PVC 63x63 Fotolum. Carro extintor</v>
      </c>
      <c r="C46" s="4">
        <f>IFERROR(__xludf.DUMMYFUNCTION("""COMPUTED_VALUE"""),6.0)</f>
        <v>6</v>
      </c>
    </row>
    <row r="47">
      <c r="A47" s="4" t="str">
        <f>IFERROR(__xludf.DUMMYFUNCTION("""COMPUTED_VALUE"""),"152")</f>
        <v>152</v>
      </c>
      <c r="B47" s="4" t="str">
        <f>IFERROR(__xludf.DUMMYFUNCTION("""COMPUTED_VALUE"""),"Cartel PVC 21x21 Fotolum. EXTINTOR ABAJO")</f>
        <v>Cartel PVC 21x21 Fotolum. EXTINTOR ABAJO</v>
      </c>
      <c r="C47" s="4">
        <f>IFERROR(__xludf.DUMMYFUNCTION("""COMPUTED_VALUE"""),2.2176)</f>
        <v>2.2176</v>
      </c>
    </row>
    <row r="48">
      <c r="A48" s="4" t="str">
        <f>IFERROR(__xludf.DUMMYFUNCTION("""COMPUTED_VALUE"""),"0152A")</f>
        <v>0152A</v>
      </c>
      <c r="B48" s="4" t="str">
        <f>IFERROR(__xludf.DUMMYFUNCTION("""COMPUTED_VALUE"""),"Cartel PVC 21x21 Fotolum. Escalera")</f>
        <v>Cartel PVC 21x21 Fotolum. Escalera</v>
      </c>
      <c r="C48" s="4">
        <f>IFERROR(__xludf.DUMMYFUNCTION("""COMPUTED_VALUE"""),2.2176)</f>
        <v>2.2176</v>
      </c>
    </row>
    <row r="49">
      <c r="A49" s="4" t="str">
        <f>IFERROR(__xludf.DUMMYFUNCTION("""COMPUTED_VALUE"""),"0152B")</f>
        <v>0152B</v>
      </c>
      <c r="B49" s="4" t="str">
        <f>IFERROR(__xludf.DUMMYFUNCTION("""COMPUTED_VALUE"""),"Cartel PVC 42x42 Fotolum. Escalera")</f>
        <v>Cartel PVC 42x42 Fotolum. Escalera</v>
      </c>
      <c r="C49" s="4">
        <f>IFERROR(__xludf.DUMMYFUNCTION("""COMPUTED_VALUE"""),3.7439999999999998)</f>
        <v>3.744</v>
      </c>
    </row>
    <row r="50">
      <c r="A50" s="4" t="str">
        <f>IFERROR(__xludf.DUMMYFUNCTION("""COMPUTED_VALUE"""),"0152C")</f>
        <v>0152C</v>
      </c>
      <c r="B50" s="4" t="str">
        <f>IFERROR(__xludf.DUMMYFUNCTION("""COMPUTED_VALUE"""),"Cartel PVC 63x63 Fotolum. Escalera")</f>
        <v>Cartel PVC 63x63 Fotolum. Escalera</v>
      </c>
      <c r="C50" s="4">
        <f>IFERROR(__xludf.DUMMYFUNCTION("""COMPUTED_VALUE"""),6.0)</f>
        <v>6</v>
      </c>
    </row>
    <row r="51">
      <c r="A51" s="4" t="str">
        <f>IFERROR(__xludf.DUMMYFUNCTION("""COMPUTED_VALUE"""),"153")</f>
        <v>153</v>
      </c>
      <c r="B51" s="4" t="str">
        <f>IFERROR(__xludf.DUMMYFUNCTION("""COMPUTED_VALUE"""),"Cartel PVC 21x21 Fotolum. PULSADOR")</f>
        <v>Cartel PVC 21x21 Fotolum. PULSADOR</v>
      </c>
      <c r="C51" s="4">
        <f>IFERROR(__xludf.DUMMYFUNCTION("""COMPUTED_VALUE"""),2.2176)</f>
        <v>2.2176</v>
      </c>
    </row>
    <row r="52">
      <c r="A52" s="4" t="str">
        <f>IFERROR(__xludf.DUMMYFUNCTION("""COMPUTED_VALUE"""),"0153A")</f>
        <v>0153A</v>
      </c>
      <c r="B52" s="4" t="str">
        <f>IFERROR(__xludf.DUMMYFUNCTION("""COMPUTED_VALUE"""),"Cartel PVC 21x21 Fotolum. Flecha abajo derecha")</f>
        <v>Cartel PVC 21x21 Fotolum. Flecha abajo derecha</v>
      </c>
      <c r="C52" s="4">
        <f>IFERROR(__xludf.DUMMYFUNCTION("""COMPUTED_VALUE"""),2.2176)</f>
        <v>2.2176</v>
      </c>
    </row>
    <row r="53">
      <c r="A53" s="4" t="str">
        <f>IFERROR(__xludf.DUMMYFUNCTION("""COMPUTED_VALUE"""),"0153B")</f>
        <v>0153B</v>
      </c>
      <c r="B53" s="4" t="str">
        <f>IFERROR(__xludf.DUMMYFUNCTION("""COMPUTED_VALUE"""),"Cartel PVC 42x42 Fotolum. Flecha abajo derecha")</f>
        <v>Cartel PVC 42x42 Fotolum. Flecha abajo derecha</v>
      </c>
      <c r="C53" s="4">
        <f>IFERROR(__xludf.DUMMYFUNCTION("""COMPUTED_VALUE"""),3.7439999999999998)</f>
        <v>3.744</v>
      </c>
    </row>
    <row r="54">
      <c r="A54" s="4" t="str">
        <f>IFERROR(__xludf.DUMMYFUNCTION("""COMPUTED_VALUE"""),"0153C")</f>
        <v>0153C</v>
      </c>
      <c r="B54" s="4" t="str">
        <f>IFERROR(__xludf.DUMMYFUNCTION("""COMPUTED_VALUE"""),"Cartel PVC 63x63 Fotolum. Flecha abajo derecha")</f>
        <v>Cartel PVC 63x63 Fotolum. Flecha abajo derecha</v>
      </c>
      <c r="C54" s="4">
        <f>IFERROR(__xludf.DUMMYFUNCTION("""COMPUTED_VALUE"""),6.0)</f>
        <v>6</v>
      </c>
    </row>
    <row r="55">
      <c r="A55" s="4" t="str">
        <f>IFERROR(__xludf.DUMMYFUNCTION("""COMPUTED_VALUE"""),"154")</f>
        <v>154</v>
      </c>
      <c r="B55" s="4" t="str">
        <f>IFERROR(__xludf.DUMMYFUNCTION("""COMPUTED_VALUE"""),"Cartel PVC 21x21 Fotolum. PULSADOR IZQUIERDA")</f>
        <v>Cartel PVC 21x21 Fotolum. PULSADOR IZQUIERDA</v>
      </c>
      <c r="C55" s="4">
        <f>IFERROR(__xludf.DUMMYFUNCTION("""COMPUTED_VALUE"""),2.2176)</f>
        <v>2.2176</v>
      </c>
    </row>
    <row r="56">
      <c r="A56" s="4" t="str">
        <f>IFERROR(__xludf.DUMMYFUNCTION("""COMPUTED_VALUE"""),"0154A")</f>
        <v>0154A</v>
      </c>
      <c r="B56" s="4" t="str">
        <f>IFERROR(__xludf.DUMMYFUNCTION("""COMPUTED_VALUE"""),"Cartel PVC 21x21 Fotolum. Flecha abajo izquierda")</f>
        <v>Cartel PVC 21x21 Fotolum. Flecha abajo izquierda</v>
      </c>
      <c r="C56" s="4">
        <f>IFERROR(__xludf.DUMMYFUNCTION("""COMPUTED_VALUE"""),2.2176)</f>
        <v>2.2176</v>
      </c>
    </row>
    <row r="57">
      <c r="A57" s="4" t="str">
        <f>IFERROR(__xludf.DUMMYFUNCTION("""COMPUTED_VALUE"""),"0154B")</f>
        <v>0154B</v>
      </c>
      <c r="B57" s="4" t="str">
        <f>IFERROR(__xludf.DUMMYFUNCTION("""COMPUTED_VALUE"""),"Cartel PVC 42x42 Fotolum. Flecha abajo izquierda")</f>
        <v>Cartel PVC 42x42 Fotolum. Flecha abajo izquierda</v>
      </c>
      <c r="C57" s="4">
        <f>IFERROR(__xludf.DUMMYFUNCTION("""COMPUTED_VALUE"""),3.7439999999999998)</f>
        <v>3.744</v>
      </c>
    </row>
    <row r="58">
      <c r="A58" s="4" t="str">
        <f>IFERROR(__xludf.DUMMYFUNCTION("""COMPUTED_VALUE"""),"0154C")</f>
        <v>0154C</v>
      </c>
      <c r="B58" s="4" t="str">
        <f>IFERROR(__xludf.DUMMYFUNCTION("""COMPUTED_VALUE"""),"Cartel PVC 21x21 Fotolum. Flecha abajo izquierda")</f>
        <v>Cartel PVC 21x21 Fotolum. Flecha abajo izquierda</v>
      </c>
      <c r="C58" s="4">
        <f>IFERROR(__xludf.DUMMYFUNCTION("""COMPUTED_VALUE"""),6.0)</f>
        <v>6</v>
      </c>
    </row>
    <row r="59">
      <c r="A59" s="4" t="str">
        <f>IFERROR(__xludf.DUMMYFUNCTION("""COMPUTED_VALUE"""),"155")</f>
        <v>155</v>
      </c>
      <c r="B59" s="4" t="str">
        <f>IFERROR(__xludf.DUMMYFUNCTION("""COMPUTED_VALUE"""),"Cartel PVC 21x21 Fotolum. PULSADOR DERECHA")</f>
        <v>Cartel PVC 21x21 Fotolum. PULSADOR DERECHA</v>
      </c>
      <c r="C59" s="4">
        <f>IFERROR(__xludf.DUMMYFUNCTION("""COMPUTED_VALUE"""),2.2176)</f>
        <v>2.2176</v>
      </c>
    </row>
    <row r="60">
      <c r="A60" s="4" t="str">
        <f>IFERROR(__xludf.DUMMYFUNCTION("""COMPUTED_VALUE"""),"160")</f>
        <v>160</v>
      </c>
      <c r="B60" s="4" t="str">
        <f>IFERROR(__xludf.DUMMYFUNCTION("""COMPUTED_VALUE"""),"Cartel PVC 21x21 Fotolum. PUERTA EMERGENCIA IZQ.")</f>
        <v>Cartel PVC 21x21 Fotolum. PUERTA EMERGENCIA IZQ.</v>
      </c>
      <c r="C60" s="4">
        <f>IFERROR(__xludf.DUMMYFUNCTION("""COMPUTED_VALUE"""),2.2176)</f>
        <v>2.2176</v>
      </c>
    </row>
    <row r="61">
      <c r="A61" s="4" t="str">
        <f>IFERROR(__xludf.DUMMYFUNCTION("""COMPUTED_VALUE"""),"0160A")</f>
        <v>0160A</v>
      </c>
      <c r="B61" s="4" t="str">
        <f>IFERROR(__xludf.DUMMYFUNCTION("""COMPUTED_VALUE"""),"Cartel PVC 21x21 Fotolum. Salida emergencia izquierda")</f>
        <v>Cartel PVC 21x21 Fotolum. Salida emergencia izquierda</v>
      </c>
      <c r="C61" s="4">
        <f>IFERROR(__xludf.DUMMYFUNCTION("""COMPUTED_VALUE"""),2.2176)</f>
        <v>2.2176</v>
      </c>
    </row>
    <row r="62">
      <c r="A62" s="4" t="str">
        <f>IFERROR(__xludf.DUMMYFUNCTION("""COMPUTED_VALUE"""),"0160B")</f>
        <v>0160B</v>
      </c>
      <c r="B62" s="4" t="str">
        <f>IFERROR(__xludf.DUMMYFUNCTION("""COMPUTED_VALUE"""),"Cartel PVC 42x42 Fotolum. Salida emergencia izquierda")</f>
        <v>Cartel PVC 42x42 Fotolum. Salida emergencia izquierda</v>
      </c>
      <c r="C62" s="4">
        <f>IFERROR(__xludf.DUMMYFUNCTION("""COMPUTED_VALUE"""),3.7439999999999998)</f>
        <v>3.744</v>
      </c>
    </row>
    <row r="63">
      <c r="A63" s="4" t="str">
        <f>IFERROR(__xludf.DUMMYFUNCTION("""COMPUTED_VALUE"""),"0160C")</f>
        <v>0160C</v>
      </c>
      <c r="B63" s="4" t="str">
        <f>IFERROR(__xludf.DUMMYFUNCTION("""COMPUTED_VALUE"""),"Cartel PVC 63x63 Fotolum. Salida emergencia izquierda")</f>
        <v>Cartel PVC 63x63 Fotolum. Salida emergencia izquierda</v>
      </c>
      <c r="C63" s="4">
        <f>IFERROR(__xludf.DUMMYFUNCTION("""COMPUTED_VALUE"""),6.0)</f>
        <v>6</v>
      </c>
    </row>
    <row r="64">
      <c r="A64" s="4" t="str">
        <f>IFERROR(__xludf.DUMMYFUNCTION("""COMPUTED_VALUE"""),"161")</f>
        <v>161</v>
      </c>
      <c r="B64" s="4" t="str">
        <f>IFERROR(__xludf.DUMMYFUNCTION("""COMPUTED_VALUE"""),"Cartel PVC 21x21 Fotolum. PUERTA EMERGENCIA")</f>
        <v>Cartel PVC 21x21 Fotolum. PUERTA EMERGENCIA</v>
      </c>
      <c r="C64" s="4">
        <f>IFERROR(__xludf.DUMMYFUNCTION("""COMPUTED_VALUE"""),2.2176)</f>
        <v>2.2176</v>
      </c>
    </row>
    <row r="65">
      <c r="A65" s="4" t="str">
        <f>IFERROR(__xludf.DUMMYFUNCTION("""COMPUTED_VALUE"""),"0161A")</f>
        <v>0161A</v>
      </c>
      <c r="B65" s="4" t="str">
        <f>IFERROR(__xludf.DUMMYFUNCTION("""COMPUTED_VALUE"""),"Cartel PVC 21x21 Fotolum. Salida emergencia derecha")</f>
        <v>Cartel PVC 21x21 Fotolum. Salida emergencia derecha</v>
      </c>
      <c r="C65" s="4">
        <f>IFERROR(__xludf.DUMMYFUNCTION("""COMPUTED_VALUE"""),2.2176)</f>
        <v>2.2176</v>
      </c>
    </row>
    <row r="66">
      <c r="A66" s="4" t="str">
        <f>IFERROR(__xludf.DUMMYFUNCTION("""COMPUTED_VALUE"""),"0161B")</f>
        <v>0161B</v>
      </c>
      <c r="B66" s="4" t="str">
        <f>IFERROR(__xludf.DUMMYFUNCTION("""COMPUTED_VALUE"""),"Cartel PVC 42x42 Fotolum. Salida emergencia derecha")</f>
        <v>Cartel PVC 42x42 Fotolum. Salida emergencia derecha</v>
      </c>
      <c r="C66" s="4">
        <f>IFERROR(__xludf.DUMMYFUNCTION("""COMPUTED_VALUE"""),3.7439999999999998)</f>
        <v>3.744</v>
      </c>
    </row>
    <row r="67">
      <c r="A67" s="4" t="str">
        <f>IFERROR(__xludf.DUMMYFUNCTION("""COMPUTED_VALUE"""),"0161C")</f>
        <v>0161C</v>
      </c>
      <c r="B67" s="4" t="str">
        <f>IFERROR(__xludf.DUMMYFUNCTION("""COMPUTED_VALUE"""),"Cartel PVC 63x63 Fotolum. Salida emergencia derecha")</f>
        <v>Cartel PVC 63x63 Fotolum. Salida emergencia derecha</v>
      </c>
      <c r="C67" s="4">
        <f>IFERROR(__xludf.DUMMYFUNCTION("""COMPUTED_VALUE"""),6.0)</f>
        <v>6</v>
      </c>
    </row>
    <row r="68">
      <c r="A68" s="4" t="str">
        <f>IFERROR(__xludf.DUMMYFUNCTION("""COMPUTED_VALUE"""),"162")</f>
        <v>162</v>
      </c>
      <c r="B68" s="4" t="str">
        <f>IFERROR(__xludf.DUMMYFUNCTION("""COMPUTED_VALUE"""),"Cartel PVC 21x21 Fotolum. PUERTA-ESCALERA EMERG. IZ")</f>
        <v>Cartel PVC 21x21 Fotolum. PUERTA-ESCALERA EMERG. IZ</v>
      </c>
      <c r="C68" s="4">
        <f>IFERROR(__xludf.DUMMYFUNCTION("""COMPUTED_VALUE"""),2.2176)</f>
        <v>2.2176</v>
      </c>
    </row>
    <row r="69">
      <c r="A69" s="4" t="str">
        <f>IFERROR(__xludf.DUMMYFUNCTION("""COMPUTED_VALUE"""),"0162A")</f>
        <v>0162A</v>
      </c>
      <c r="B69" s="4" t="str">
        <f>IFERROR(__xludf.DUMMYFUNCTION("""COMPUTED_VALUE"""),"Cartel PVC 21x21 Fotolum. flecha izquierda")</f>
        <v>Cartel PVC 21x21 Fotolum. flecha izquierda</v>
      </c>
      <c r="C69" s="4">
        <f>IFERROR(__xludf.DUMMYFUNCTION("""COMPUTED_VALUE"""),1.2)</f>
        <v>1.2</v>
      </c>
    </row>
    <row r="70">
      <c r="A70" s="4" t="str">
        <f>IFERROR(__xludf.DUMMYFUNCTION("""COMPUTED_VALUE"""),"0162B")</f>
        <v>0162B</v>
      </c>
      <c r="B70" s="4" t="str">
        <f>IFERROR(__xludf.DUMMYFUNCTION("""COMPUTED_VALUE"""),"Cartel PVC 42x42 Fotolum. flecha izquierda")</f>
        <v>Cartel PVC 42x42 Fotolum. flecha izquierda</v>
      </c>
      <c r="C70" s="4">
        <f>IFERROR(__xludf.DUMMYFUNCTION("""COMPUTED_VALUE"""),3.7439999999999998)</f>
        <v>3.744</v>
      </c>
    </row>
    <row r="71">
      <c r="A71" s="4" t="str">
        <f>IFERROR(__xludf.DUMMYFUNCTION("""COMPUTED_VALUE"""),"0162C")</f>
        <v>0162C</v>
      </c>
      <c r="B71" s="4" t="str">
        <f>IFERROR(__xludf.DUMMYFUNCTION("""COMPUTED_VALUE"""),"Cartel PVC 63x63 Fotolum. flecha izquierda")</f>
        <v>Cartel PVC 63x63 Fotolum. flecha izquierda</v>
      </c>
      <c r="C71" s="4">
        <f>IFERROR(__xludf.DUMMYFUNCTION("""COMPUTED_VALUE"""),6.0)</f>
        <v>6</v>
      </c>
    </row>
    <row r="72">
      <c r="A72" s="4" t="str">
        <f>IFERROR(__xludf.DUMMYFUNCTION("""COMPUTED_VALUE"""),"163")</f>
        <v>163</v>
      </c>
      <c r="B72" s="4" t="str">
        <f>IFERROR(__xludf.DUMMYFUNCTION("""COMPUTED_VALUE"""),"Cartel PVC 21x21 Fotolum. PUERTA-ESCALERA EMERG.")</f>
        <v>Cartel PVC 21x21 Fotolum. PUERTA-ESCALERA EMERG.</v>
      </c>
      <c r="C72" s="4">
        <f>IFERROR(__xludf.DUMMYFUNCTION("""COMPUTED_VALUE"""),2.2176)</f>
        <v>2.2176</v>
      </c>
    </row>
    <row r="73">
      <c r="A73" s="4" t="str">
        <f>IFERROR(__xludf.DUMMYFUNCTION("""COMPUTED_VALUE"""),"0163A")</f>
        <v>0163A</v>
      </c>
      <c r="B73" s="4" t="str">
        <f>IFERROR(__xludf.DUMMYFUNCTION("""COMPUTED_VALUE"""),"Cartel PVC 21x21 Fotolum. flecha derecha")</f>
        <v>Cartel PVC 21x21 Fotolum. flecha derecha</v>
      </c>
      <c r="C73" s="4">
        <f>IFERROR(__xludf.DUMMYFUNCTION("""COMPUTED_VALUE"""),2.2176)</f>
        <v>2.2176</v>
      </c>
    </row>
    <row r="74">
      <c r="A74" s="4" t="str">
        <f>IFERROR(__xludf.DUMMYFUNCTION("""COMPUTED_VALUE"""),"0163B")</f>
        <v>0163B</v>
      </c>
      <c r="B74" s="4" t="str">
        <f>IFERROR(__xludf.DUMMYFUNCTION("""COMPUTED_VALUE"""),"Cartel PVC 42x42 Fotolum. flecha derecha")</f>
        <v>Cartel PVC 42x42 Fotolum. flecha derecha</v>
      </c>
      <c r="C74" s="4">
        <f>IFERROR(__xludf.DUMMYFUNCTION("""COMPUTED_VALUE"""),3.7439999999999998)</f>
        <v>3.744</v>
      </c>
    </row>
    <row r="75">
      <c r="A75" s="4" t="str">
        <f>IFERROR(__xludf.DUMMYFUNCTION("""COMPUTED_VALUE"""),"0163C")</f>
        <v>0163C</v>
      </c>
      <c r="B75" s="4" t="str">
        <f>IFERROR(__xludf.DUMMYFUNCTION("""COMPUTED_VALUE"""),"Cartel PVC 63x63 Fotolum. flecha derecha")</f>
        <v>Cartel PVC 63x63 Fotolum. flecha derecha</v>
      </c>
      <c r="C75" s="4">
        <f>IFERROR(__xludf.DUMMYFUNCTION("""COMPUTED_VALUE"""),6.0)</f>
        <v>6</v>
      </c>
    </row>
    <row r="76">
      <c r="A76" s="4" t="str">
        <f>IFERROR(__xludf.DUMMYFUNCTION("""COMPUTED_VALUE"""),"164")</f>
        <v>164</v>
      </c>
      <c r="B76" s="4" t="str">
        <f>IFERROR(__xludf.DUMMYFUNCTION("""COMPUTED_VALUE"""),"Cartel PVC 21x21 Fotolum. EMPUJAR BARRA APERTURA")</f>
        <v>Cartel PVC 21x21 Fotolum. EMPUJAR BARRA APERTURA</v>
      </c>
      <c r="C76" s="4">
        <f>IFERROR(__xludf.DUMMYFUNCTION("""COMPUTED_VALUE"""),2.2176)</f>
        <v>2.2176</v>
      </c>
    </row>
    <row r="77">
      <c r="A77" s="4" t="str">
        <f>IFERROR(__xludf.DUMMYFUNCTION("""COMPUTED_VALUE"""),"165")</f>
        <v>165</v>
      </c>
      <c r="B77" s="4" t="str">
        <f>IFERROR(__xludf.DUMMYFUNCTION("""COMPUTED_VALUE"""),"Cartel PVC 21x21 Fotolum. FLECHA")</f>
        <v>Cartel PVC 21x21 Fotolum. FLECHA</v>
      </c>
      <c r="C77" s="4">
        <f>IFERROR(__xludf.DUMMYFUNCTION("""COMPUTED_VALUE"""),2.2176)</f>
        <v>2.2176</v>
      </c>
    </row>
    <row r="78">
      <c r="A78" s="4" t="str">
        <f>IFERROR(__xludf.DUMMYFUNCTION("""COMPUTED_VALUE"""),"175")</f>
        <v>175</v>
      </c>
      <c r="B78" s="4" t="str">
        <f>IFERROR(__xludf.DUMMYFUNCTION("""COMPUTED_VALUE"""),"Cartel PVC 30x10 Fotolum. SALIDA")</f>
        <v>Cartel PVC 30x10 Fotolum. SALIDA</v>
      </c>
      <c r="C78" s="4">
        <f>IFERROR(__xludf.DUMMYFUNCTION("""COMPUTED_VALUE"""),1.8143999999999998)</f>
        <v>1.8144</v>
      </c>
    </row>
    <row r="79">
      <c r="A79" s="4" t="str">
        <f>IFERROR(__xludf.DUMMYFUNCTION("""COMPUTED_VALUE"""),"176")</f>
        <v>176</v>
      </c>
      <c r="B79" s="4" t="str">
        <f>IFERROR(__xludf.DUMMYFUNCTION("""COMPUTED_VALUE"""),"Cartel PVC 30x10 Fotolum. SALIDA FLECHA DCHA")</f>
        <v>Cartel PVC 30x10 Fotolum. SALIDA FLECHA DCHA</v>
      </c>
      <c r="C79" s="4">
        <f>IFERROR(__xludf.DUMMYFUNCTION("""COMPUTED_VALUE"""),1.8143999999999998)</f>
        <v>1.8144</v>
      </c>
    </row>
    <row r="80">
      <c r="A80" s="4" t="str">
        <f>IFERROR(__xludf.DUMMYFUNCTION("""COMPUTED_VALUE"""),"177")</f>
        <v>177</v>
      </c>
      <c r="B80" s="4" t="str">
        <f>IFERROR(__xludf.DUMMYFUNCTION("""COMPUTED_VALUE"""),"Cartel PVC 30x10 Fotolum. SALIDA FLECHA IZQ.")</f>
        <v>Cartel PVC 30x10 Fotolum. SALIDA FLECHA IZQ.</v>
      </c>
      <c r="C80" s="4">
        <f>IFERROR(__xludf.DUMMYFUNCTION("""COMPUTED_VALUE"""),1.8143999999999998)</f>
        <v>1.8144</v>
      </c>
    </row>
    <row r="81">
      <c r="A81" s="4" t="str">
        <f>IFERROR(__xludf.DUMMYFUNCTION("""COMPUTED_VALUE"""),"178")</f>
        <v>178</v>
      </c>
      <c r="B81" s="4" t="str">
        <f>IFERROR(__xludf.DUMMYFUNCTION("""COMPUTED_VALUE"""),"Cartel PVC 30x10 Fotolum. SALIDA FLECHA ARRIBA")</f>
        <v>Cartel PVC 30x10 Fotolum. SALIDA FLECHA ARRIBA</v>
      </c>
      <c r="C81" s="4">
        <f>IFERROR(__xludf.DUMMYFUNCTION("""COMPUTED_VALUE"""),1.8143999999999998)</f>
        <v>1.8144</v>
      </c>
    </row>
    <row r="82">
      <c r="A82" s="4" t="str">
        <f>IFERROR(__xludf.DUMMYFUNCTION("""COMPUTED_VALUE"""),"179")</f>
        <v>179</v>
      </c>
      <c r="B82" s="4" t="str">
        <f>IFERROR(__xludf.DUMMYFUNCTION("""COMPUTED_VALUE"""),"Cartel PVC 30x10 Fotolum. SALIDA FLECHA ABAJO")</f>
        <v>Cartel PVC 30x10 Fotolum. SALIDA FLECHA ABAJO</v>
      </c>
      <c r="C82" s="4">
        <f>IFERROR(__xludf.DUMMYFUNCTION("""COMPUTED_VALUE"""),1.8143999999999998)</f>
        <v>1.8144</v>
      </c>
    </row>
    <row r="83">
      <c r="A83" s="4" t="str">
        <f>IFERROR(__xludf.DUMMYFUNCTION("""COMPUTED_VALUE"""),"180")</f>
        <v>180</v>
      </c>
      <c r="B83" s="4" t="str">
        <f>IFERROR(__xludf.DUMMYFUNCTION("""COMPUTED_VALUE"""),"Cartel PVC 30x10 Fotolum. SALIDA EMERGENCIA FLECHA")</f>
        <v>Cartel PVC 30x10 Fotolum. SALIDA EMERGENCIA FLECHA</v>
      </c>
      <c r="C83" s="4">
        <f>IFERROR(__xludf.DUMMYFUNCTION("""COMPUTED_VALUE"""),1.8143999999999998)</f>
        <v>1.8144</v>
      </c>
    </row>
    <row r="84">
      <c r="A84" s="4" t="str">
        <f>IFERROR(__xludf.DUMMYFUNCTION("""COMPUTED_VALUE"""),"181")</f>
        <v>181</v>
      </c>
      <c r="B84" s="4" t="str">
        <f>IFERROR(__xludf.DUMMYFUNCTION("""COMPUTED_VALUE"""),"Cartel PVC 30x10 Fotolum. SALIDA EMERGENCIA FLECHA")</f>
        <v>Cartel PVC 30x10 Fotolum. SALIDA EMERGENCIA FLECHA</v>
      </c>
      <c r="C84" s="4">
        <f>IFERROR(__xludf.DUMMYFUNCTION("""COMPUTED_VALUE"""),1.8143999999999998)</f>
        <v>1.8144</v>
      </c>
    </row>
    <row r="85">
      <c r="A85" s="4" t="str">
        <f>IFERROR(__xludf.DUMMYFUNCTION("""COMPUTED_VALUE"""),"182")</f>
        <v>182</v>
      </c>
      <c r="B85" s="4" t="str">
        <f>IFERROR(__xludf.DUMMYFUNCTION("""COMPUTED_VALUE"""),"Cartel PVC 30x10 Fotolum. FLECHA")</f>
        <v>Cartel PVC 30x10 Fotolum. FLECHA</v>
      </c>
      <c r="C85" s="4">
        <f>IFERROR(__xludf.DUMMYFUNCTION("""COMPUTED_VALUE"""),1.8143999999999998)</f>
        <v>1.8144</v>
      </c>
    </row>
    <row r="86">
      <c r="A86" s="4" t="str">
        <f>IFERROR(__xludf.DUMMYFUNCTION("""COMPUTED_VALUE"""),"183")</f>
        <v>183</v>
      </c>
      <c r="B86" s="4" t="str">
        <f>IFERROR(__xludf.DUMMYFUNCTION("""COMPUTED_VALUE"""),"Cartel PVC 30x10 Fotolum. SALIDA DE EMERGENCIA")</f>
        <v>Cartel PVC 30x10 Fotolum. SALIDA DE EMERGENCIA</v>
      </c>
      <c r="C86" s="4">
        <f>IFERROR(__xludf.DUMMYFUNCTION("""COMPUTED_VALUE"""),1.8143999999999998)</f>
        <v>1.8144</v>
      </c>
    </row>
    <row r="87">
      <c r="A87" s="4" t="str">
        <f>IFERROR(__xludf.DUMMYFUNCTION("""COMPUTED_VALUE"""),"184")</f>
        <v>184</v>
      </c>
      <c r="B87" s="4" t="str">
        <f>IFERROR(__xludf.DUMMYFUNCTION("""COMPUTED_VALUE"""),"Cartel PVC 650x105 mm SALIDA DE EMERGENCIA")</f>
        <v>Cartel PVC 650x105 mm SALIDA DE EMERGENCIA</v>
      </c>
      <c r="C87" s="4">
        <f>IFERROR(__xludf.DUMMYFUNCTION("""COMPUTED_VALUE"""),1.8143999999999998)</f>
        <v>1.8144</v>
      </c>
    </row>
    <row r="88">
      <c r="A88" s="4" t="str">
        <f>IFERROR(__xludf.DUMMYFUNCTION("""COMPUTED_VALUE"""),"199")</f>
        <v>199</v>
      </c>
      <c r="B88" s="4" t="str">
        <f>IFERROR(__xludf.DUMMYFUNCTION("""COMPUTED_VALUE"""),"Cartel PVC 21x29 Fotolum. DUCHA DE EMERGENCIA")</f>
        <v>Cartel PVC 21x29 Fotolum. DUCHA DE EMERGENCIA</v>
      </c>
      <c r="C88" s="4">
        <f>IFERROR(__xludf.DUMMYFUNCTION("""COMPUTED_VALUE"""),2.496)</f>
        <v>2.496</v>
      </c>
    </row>
    <row r="89">
      <c r="A89" s="4" t="str">
        <f>IFERROR(__xludf.DUMMYFUNCTION("""COMPUTED_VALUE"""),"0199A")</f>
        <v>0199A</v>
      </c>
      <c r="B89" s="4" t="str">
        <f>IFERROR(__xludf.DUMMYFUNCTION("""COMPUTED_VALUE"""),"Cartel PVC 21x30 Fotolum. ducha de emergencia")</f>
        <v>Cartel PVC 21x30 Fotolum. ducha de emergencia</v>
      </c>
      <c r="C89" s="4">
        <f>IFERROR(__xludf.DUMMYFUNCTION("""COMPUTED_VALUE"""),2.4192)</f>
        <v>2.4192</v>
      </c>
    </row>
    <row r="90">
      <c r="A90" s="4" t="str">
        <f>IFERROR(__xludf.DUMMYFUNCTION("""COMPUTED_VALUE"""),"0199B")</f>
        <v>0199B</v>
      </c>
      <c r="B90" s="4" t="str">
        <f>IFERROR(__xludf.DUMMYFUNCTION("""COMPUTED_VALUE"""),"Cartel PVC 40x30 Fotolum. ducha de emergencia")</f>
        <v>Cartel PVC 40x30 Fotolum. ducha de emergencia</v>
      </c>
      <c r="C90" s="4">
        <f>IFERROR(__xludf.DUMMYFUNCTION("""COMPUTED_VALUE"""),2.976)</f>
        <v>2.976</v>
      </c>
    </row>
    <row r="91">
      <c r="A91" s="4" t="str">
        <f>IFERROR(__xludf.DUMMYFUNCTION("""COMPUTED_VALUE"""),"0200/G")</f>
        <v>0200/G</v>
      </c>
      <c r="B91" s="4" t="str">
        <f>IFERROR(__xludf.DUMMYFUNCTION("""COMPUTED_VALUE"""),"Señal Poliprop. Amarillo 50x50 c/ollados + Pictograma")</f>
        <v>Señal Poliprop. Amarillo 50x50 c/ollados + Pictograma</v>
      </c>
      <c r="C91" s="4">
        <f>IFERROR(__xludf.DUMMYFUNCTION("""COMPUTED_VALUE"""),9.216)</f>
        <v>9.216</v>
      </c>
    </row>
    <row r="92">
      <c r="A92" s="4" t="str">
        <f>IFERROR(__xludf.DUMMYFUNCTION("""COMPUTED_VALUE"""),"0200S2130")</f>
        <v>0200S2130</v>
      </c>
      <c r="B92" s="4" t="str">
        <f>IFERROR(__xludf.DUMMYFUNCTION("""COMPUTED_VALUE"""),"Soperte Acero Inox para cartel 21x29 cm")</f>
        <v>Soperte Acero Inox para cartel 21x29 cm</v>
      </c>
      <c r="C92" s="4">
        <f>IFERROR(__xludf.DUMMYFUNCTION("""COMPUTED_VALUE"""),13.92)</f>
        <v>13.92</v>
      </c>
    </row>
    <row r="93">
      <c r="A93" s="4" t="str">
        <f>IFERROR(__xludf.DUMMYFUNCTION("""COMPUTED_VALUE"""),"0200S4030")</f>
        <v>0200S4030</v>
      </c>
      <c r="B93" s="4" t="str">
        <f>IFERROR(__xludf.DUMMYFUNCTION("""COMPUTED_VALUE"""),"Soporte Acero Inox para Cartel 40x30 cm")</f>
        <v>Soporte Acero Inox para Cartel 40x30 cm</v>
      </c>
      <c r="C93" s="4">
        <f>IFERROR(__xludf.DUMMYFUNCTION("""COMPUTED_VALUE"""),16.32)</f>
        <v>16.32</v>
      </c>
    </row>
    <row r="94">
      <c r="A94" s="4" t="str">
        <f>IFERROR(__xludf.DUMMYFUNCTION("""COMPUTED_VALUE"""),"201")</f>
        <v>201</v>
      </c>
      <c r="B94" s="4" t="str">
        <f>IFERROR(__xludf.DUMMYFUNCTION("""COMPUTED_VALUE"""),"Cartel PVC 40x30 Fotolum. EXTINTOR")</f>
        <v>Cartel PVC 40x30 Fotolum. EXTINTOR</v>
      </c>
      <c r="C94" s="4">
        <f>IFERROR(__xludf.DUMMYFUNCTION("""COMPUTED_VALUE"""),3.2159999999999997)</f>
        <v>3.216</v>
      </c>
    </row>
    <row r="95">
      <c r="A95" s="4" t="str">
        <f>IFERROR(__xludf.DUMMYFUNCTION("""COMPUTED_VALUE"""),"202")</f>
        <v>202</v>
      </c>
      <c r="B95" s="4" t="str">
        <f>IFERROR(__xludf.DUMMYFUNCTION("""COMPUTED_VALUE"""),"Cartel PVC 21x30 Fotolum. Duchas emergencia derecha")</f>
        <v>Cartel PVC 21x30 Fotolum. Duchas emergencia derecha</v>
      </c>
      <c r="C95" s="4">
        <f>IFERROR(__xludf.DUMMYFUNCTION("""COMPUTED_VALUE"""),2.496)</f>
        <v>2.496</v>
      </c>
    </row>
    <row r="96">
      <c r="A96" s="4" t="str">
        <f>IFERROR(__xludf.DUMMYFUNCTION("""COMPUTED_VALUE"""),"203")</f>
        <v>203</v>
      </c>
      <c r="B96" s="4" t="str">
        <f>IFERROR(__xludf.DUMMYFUNCTION("""COMPUTED_VALUE"""),"Cartel PVC 21x30 Fotolum. Duchas emergencia izq.")</f>
        <v>Cartel PVC 21x30 Fotolum. Duchas emergencia izq.</v>
      </c>
      <c r="C96" s="4">
        <f>IFERROR(__xludf.DUMMYFUNCTION("""COMPUTED_VALUE"""),2.496)</f>
        <v>2.496</v>
      </c>
    </row>
    <row r="97">
      <c r="A97" s="4" t="str">
        <f>IFERROR(__xludf.DUMMYFUNCTION("""COMPUTED_VALUE"""),"0204A")</f>
        <v>0204A</v>
      </c>
      <c r="B97" s="4" t="str">
        <f>IFERROR(__xludf.DUMMYFUNCTION("""COMPUTED_VALUE"""),"Cartel PVC 21x30 Fotolum. Oficina")</f>
        <v>Cartel PVC 21x30 Fotolum. Oficina</v>
      </c>
      <c r="C97" s="4">
        <f>IFERROR(__xludf.DUMMYFUNCTION("""COMPUTED_VALUE"""),2.4192)</f>
        <v>2.4192</v>
      </c>
    </row>
    <row r="98">
      <c r="A98" s="4" t="str">
        <f>IFERROR(__xludf.DUMMYFUNCTION("""COMPUTED_VALUE"""),"0204B")</f>
        <v>0204B</v>
      </c>
      <c r="B98" s="4" t="str">
        <f>IFERROR(__xludf.DUMMYFUNCTION("""COMPUTED_VALUE"""),"Cartel PVC 40x30 Fotolum. Oficina")</f>
        <v>Cartel PVC 40x30 Fotolum. Oficina</v>
      </c>
      <c r="C98" s="4">
        <f>IFERROR(__xludf.DUMMYFUNCTION("""COMPUTED_VALUE"""),2.976)</f>
        <v>2.976</v>
      </c>
    </row>
    <row r="99">
      <c r="A99" s="4" t="str">
        <f>IFERROR(__xludf.DUMMYFUNCTION("""COMPUTED_VALUE"""),"0205A")</f>
        <v>0205A</v>
      </c>
      <c r="B99" s="4" t="str">
        <f>IFERROR(__xludf.DUMMYFUNCTION("""COMPUTED_VALUE"""),"Cartel PVC 21x30 Fotolum. Ducha")</f>
        <v>Cartel PVC 21x30 Fotolum. Ducha</v>
      </c>
      <c r="C99" s="4">
        <f>IFERROR(__xludf.DUMMYFUNCTION("""COMPUTED_VALUE"""),2.4192)</f>
        <v>2.4192</v>
      </c>
    </row>
    <row r="100">
      <c r="A100" s="4" t="str">
        <f>IFERROR(__xludf.DUMMYFUNCTION("""COMPUTED_VALUE"""),"0205B")</f>
        <v>0205B</v>
      </c>
      <c r="B100" s="4" t="str">
        <f>IFERROR(__xludf.DUMMYFUNCTION("""COMPUTED_VALUE"""),"Cartel PVC 40x30 Fotolum. Ducha")</f>
        <v>Cartel PVC 40x30 Fotolum. Ducha</v>
      </c>
      <c r="C100" s="4">
        <f>IFERROR(__xludf.DUMMYFUNCTION("""COMPUTED_VALUE"""),2.976)</f>
        <v>2.976</v>
      </c>
    </row>
    <row r="101">
      <c r="A101" s="4" t="str">
        <f>IFERROR(__xludf.DUMMYFUNCTION("""COMPUTED_VALUE"""),"206")</f>
        <v>206</v>
      </c>
      <c r="B101" s="4" t="str">
        <f>IFERROR(__xludf.DUMMYFUNCTION("""COMPUTED_VALUE"""),"Cartel PVC 21x30 Fotolum. Lavaojos emerg. derecha")</f>
        <v>Cartel PVC 21x30 Fotolum. Lavaojos emerg. derecha</v>
      </c>
      <c r="C101" s="4">
        <f>IFERROR(__xludf.DUMMYFUNCTION("""COMPUTED_VALUE"""),2.496)</f>
        <v>2.496</v>
      </c>
    </row>
    <row r="102">
      <c r="A102" s="4" t="str">
        <f>IFERROR(__xludf.DUMMYFUNCTION("""COMPUTED_VALUE"""),"0206A")</f>
        <v>0206A</v>
      </c>
      <c r="B102" s="4" t="str">
        <f>IFERROR(__xludf.DUMMYFUNCTION("""COMPUTED_VALUE"""),"Cartel PVC 21x30 Fotolum. Lavaojos de emergencia")</f>
        <v>Cartel PVC 21x30 Fotolum. Lavaojos de emergencia</v>
      </c>
      <c r="C102" s="4">
        <f>IFERROR(__xludf.DUMMYFUNCTION("""COMPUTED_VALUE"""),2.4192)</f>
        <v>2.4192</v>
      </c>
    </row>
    <row r="103">
      <c r="A103" s="4" t="str">
        <f>IFERROR(__xludf.DUMMYFUNCTION("""COMPUTED_VALUE"""),"0206B")</f>
        <v>0206B</v>
      </c>
      <c r="B103" s="4" t="str">
        <f>IFERROR(__xludf.DUMMYFUNCTION("""COMPUTED_VALUE"""),"Cartel PVC 40x30 Fotolum. Lavaojos de emergencia")</f>
        <v>Cartel PVC 40x30 Fotolum. Lavaojos de emergencia</v>
      </c>
      <c r="C103" s="4">
        <f>IFERROR(__xludf.DUMMYFUNCTION("""COMPUTED_VALUE"""),2.976)</f>
        <v>2.976</v>
      </c>
    </row>
    <row r="104">
      <c r="A104" s="4" t="str">
        <f>IFERROR(__xludf.DUMMYFUNCTION("""COMPUTED_VALUE"""),"207")</f>
        <v>207</v>
      </c>
      <c r="B104" s="4" t="str">
        <f>IFERROR(__xludf.DUMMYFUNCTION("""COMPUTED_VALUE"""),"Cartel PVC 21x30 Fotolum. Lavaojos emerg. izq.")</f>
        <v>Cartel PVC 21x30 Fotolum. Lavaojos emerg. izq.</v>
      </c>
      <c r="C104" s="4">
        <f>IFERROR(__xludf.DUMMYFUNCTION("""COMPUTED_VALUE"""),2.496)</f>
        <v>2.496</v>
      </c>
    </row>
    <row r="105">
      <c r="A105" s="4" t="str">
        <f>IFERROR(__xludf.DUMMYFUNCTION("""COMPUTED_VALUE"""),"0208A")</f>
        <v>0208A</v>
      </c>
      <c r="B105" s="4" t="str">
        <f>IFERROR(__xludf.DUMMYFUNCTION("""COMPUTED_VALUE"""),"Cartel PVC 21x30 Fotolum. Comedor")</f>
        <v>Cartel PVC 21x30 Fotolum. Comedor</v>
      </c>
      <c r="C105" s="4">
        <f>IFERROR(__xludf.DUMMYFUNCTION("""COMPUTED_VALUE"""),2.4192)</f>
        <v>2.4192</v>
      </c>
    </row>
    <row r="106">
      <c r="A106" s="4" t="str">
        <f>IFERROR(__xludf.DUMMYFUNCTION("""COMPUTED_VALUE"""),"0208B")</f>
        <v>0208B</v>
      </c>
      <c r="B106" s="4" t="str">
        <f>IFERROR(__xludf.DUMMYFUNCTION("""COMPUTED_VALUE"""),"Cartel PVC 40x30 Fotolum. Comedor")</f>
        <v>Cartel PVC 40x30 Fotolum. Comedor</v>
      </c>
      <c r="C106" s="4">
        <f>IFERROR(__xludf.DUMMYFUNCTION("""COMPUTED_VALUE"""),2.976)</f>
        <v>2.976</v>
      </c>
    </row>
    <row r="107">
      <c r="A107" s="4" t="str">
        <f>IFERROR(__xludf.DUMMYFUNCTION("""COMPUTED_VALUE"""),"0209A")</f>
        <v>0209A</v>
      </c>
      <c r="B107" s="4" t="str">
        <f>IFERROR(__xludf.DUMMYFUNCTION("""COMPUTED_VALUE"""),"Cartel PVC 21x30 Fotolum. Vestuario")</f>
        <v>Cartel PVC 21x30 Fotolum. Vestuario</v>
      </c>
      <c r="C107" s="4">
        <f>IFERROR(__xludf.DUMMYFUNCTION("""COMPUTED_VALUE"""),2.4192)</f>
        <v>2.4192</v>
      </c>
    </row>
    <row r="108">
      <c r="A108" s="4" t="str">
        <f>IFERROR(__xludf.DUMMYFUNCTION("""COMPUTED_VALUE"""),"0209B")</f>
        <v>0209B</v>
      </c>
      <c r="B108" s="4" t="str">
        <f>IFERROR(__xludf.DUMMYFUNCTION("""COMPUTED_VALUE"""),"Cartel PVC 40x30 Fotolum. Vestuario")</f>
        <v>Cartel PVC 40x30 Fotolum. Vestuario</v>
      </c>
      <c r="C108" s="4">
        <f>IFERROR(__xludf.DUMMYFUNCTION("""COMPUTED_VALUE"""),2.976)</f>
        <v>2.976</v>
      </c>
    </row>
    <row r="109">
      <c r="A109" s="4" t="str">
        <f>IFERROR(__xludf.DUMMYFUNCTION("""COMPUTED_VALUE"""),"210")</f>
        <v>210</v>
      </c>
      <c r="B109" s="4" t="str">
        <f>IFERROR(__xludf.DUMMYFUNCTION("""COMPUTED_VALUE"""),"Cartel PVC 40x30 Riesgo electrico")</f>
        <v>Cartel PVC 40x30 Riesgo electrico</v>
      </c>
      <c r="C109" s="4">
        <f>IFERROR(__xludf.DUMMYFUNCTION("""COMPUTED_VALUE"""),2.3808)</f>
        <v>2.3808</v>
      </c>
    </row>
    <row r="110">
      <c r="A110" s="4" t="str">
        <f>IFERROR(__xludf.DUMMYFUNCTION("""COMPUTED_VALUE"""),"0210P")</f>
        <v>0210P</v>
      </c>
      <c r="B110" s="4" t="str">
        <f>IFERROR(__xludf.DUMMYFUNCTION("""COMPUTED_VALUE"""),"Cartel PVC 21x29 RIESGO ELECTRICO")</f>
        <v>Cartel PVC 21x29 RIESGO ELECTRICO</v>
      </c>
      <c r="C110" s="4">
        <f>IFERROR(__xludf.DUMMYFUNCTION("""COMPUTED_VALUE"""),1.536)</f>
        <v>1.536</v>
      </c>
    </row>
    <row r="111">
      <c r="A111" s="4" t="str">
        <f>IFERROR(__xludf.DUMMYFUNCTION("""COMPUTED_VALUE"""),"211")</f>
        <v>211</v>
      </c>
      <c r="B111" s="4" t="str">
        <f>IFERROR(__xludf.DUMMYFUNCTION("""COMPUTED_VALUE"""),"Cartel PVC 40x30 Carga suspendida")</f>
        <v>Cartel PVC 40x30 Carga suspendida</v>
      </c>
      <c r="C111" s="4">
        <f>IFERROR(__xludf.DUMMYFUNCTION("""COMPUTED_VALUE"""),2.3808)</f>
        <v>2.3808</v>
      </c>
    </row>
    <row r="112">
      <c r="A112" s="4" t="str">
        <f>IFERROR(__xludf.DUMMYFUNCTION("""COMPUTED_VALUE"""),"0211P")</f>
        <v>0211P</v>
      </c>
      <c r="B112" s="4" t="str">
        <f>IFERROR(__xludf.DUMMYFUNCTION("""COMPUTED_VALUE"""),"Cartel PVC 21x29 RIESGO CARGA SUSPENDIDA")</f>
        <v>Cartel PVC 21x29 RIESGO CARGA SUSPENDIDA</v>
      </c>
      <c r="C112" s="4">
        <f>IFERROR(__xludf.DUMMYFUNCTION("""COMPUTED_VALUE"""),1.536)</f>
        <v>1.536</v>
      </c>
    </row>
    <row r="113">
      <c r="A113" s="4" t="str">
        <f>IFERROR(__xludf.DUMMYFUNCTION("""COMPUTED_VALUE"""),"212")</f>
        <v>212</v>
      </c>
      <c r="B113" s="4" t="str">
        <f>IFERROR(__xludf.DUMMYFUNCTION("""COMPUTED_VALUE"""),"Cartel PVC 40x30 Materias corrosivas")</f>
        <v>Cartel PVC 40x30 Materias corrosivas</v>
      </c>
      <c r="C113" s="4">
        <f>IFERROR(__xludf.DUMMYFUNCTION("""COMPUTED_VALUE"""),2.3808)</f>
        <v>2.3808</v>
      </c>
    </row>
    <row r="114">
      <c r="A114" s="4" t="str">
        <f>IFERROR(__xludf.DUMMYFUNCTION("""COMPUTED_VALUE"""),"0212P")</f>
        <v>0212P</v>
      </c>
      <c r="B114" s="4" t="str">
        <f>IFERROR(__xludf.DUMMYFUNCTION("""COMPUTED_VALUE"""),"Cartel PVC 21x29 RIESGO MATERIAS CORROSIVAS")</f>
        <v>Cartel PVC 21x29 RIESGO MATERIAS CORROSIVAS</v>
      </c>
      <c r="C114" s="4">
        <f>IFERROR(__xludf.DUMMYFUNCTION("""COMPUTED_VALUE"""),1.536)</f>
        <v>1.536</v>
      </c>
    </row>
    <row r="115">
      <c r="A115" s="4" t="str">
        <f>IFERROR(__xludf.DUMMYFUNCTION("""COMPUTED_VALUE"""),"213")</f>
        <v>213</v>
      </c>
      <c r="B115" s="4" t="str">
        <f>IFERROR(__xludf.DUMMYFUNCTION("""COMPUTED_VALUE"""),"Cartel PVC 40x30 Vehículo Manutención")</f>
        <v>Cartel PVC 40x30 Vehículo Manutención</v>
      </c>
      <c r="C115" s="4">
        <f>IFERROR(__xludf.DUMMYFUNCTION("""COMPUTED_VALUE"""),2.3808)</f>
        <v>2.3808</v>
      </c>
    </row>
    <row r="116">
      <c r="A116" s="4" t="str">
        <f>IFERROR(__xludf.DUMMYFUNCTION("""COMPUTED_VALUE"""),"0213P")</f>
        <v>0213P</v>
      </c>
      <c r="B116" s="4" t="str">
        <f>IFERROR(__xludf.DUMMYFUNCTION("""COMPUTED_VALUE"""),"Cartel PVC 21x29 VEHICULOS DE MANUTENCION")</f>
        <v>Cartel PVC 21x29 VEHICULOS DE MANUTENCION</v>
      </c>
      <c r="C116" s="4">
        <f>IFERROR(__xludf.DUMMYFUNCTION("""COMPUTED_VALUE"""),1.536)</f>
        <v>1.536</v>
      </c>
    </row>
    <row r="117">
      <c r="A117" s="4" t="str">
        <f>IFERROR(__xludf.DUMMYFUNCTION("""COMPUTED_VALUE"""),"214")</f>
        <v>214</v>
      </c>
      <c r="B117" s="4" t="str">
        <f>IFERROR(__xludf.DUMMYFUNCTION("""COMPUTED_VALUE"""),"Cartel PVC 40x30 Caida distinto nivel")</f>
        <v>Cartel PVC 40x30 Caida distinto nivel</v>
      </c>
      <c r="C117" s="4">
        <f>IFERROR(__xludf.DUMMYFUNCTION("""COMPUTED_VALUE"""),2.3808)</f>
        <v>2.3808</v>
      </c>
    </row>
    <row r="118">
      <c r="A118" s="4" t="str">
        <f>IFERROR(__xludf.DUMMYFUNCTION("""COMPUTED_VALUE"""),"0214P")</f>
        <v>0214P</v>
      </c>
      <c r="B118" s="4" t="str">
        <f>IFERROR(__xludf.DUMMYFUNCTION("""COMPUTED_VALUE"""),"Cartel PVC 21x29 CAIDA A DISTINTO NIVEL")</f>
        <v>Cartel PVC 21x29 CAIDA A DISTINTO NIVEL</v>
      </c>
      <c r="C118" s="4">
        <f>IFERROR(__xludf.DUMMYFUNCTION("""COMPUTED_VALUE"""),1.536)</f>
        <v>1.536</v>
      </c>
    </row>
    <row r="119">
      <c r="A119" s="4" t="str">
        <f>IFERROR(__xludf.DUMMYFUNCTION("""COMPUTED_VALUE"""),"215")</f>
        <v>215</v>
      </c>
      <c r="B119" s="4" t="str">
        <f>IFERROR(__xludf.DUMMYFUNCTION("""COMPUTED_VALUE"""),"Cartel PVC 40x30 Riesgo tropezar")</f>
        <v>Cartel PVC 40x30 Riesgo tropezar</v>
      </c>
      <c r="C119" s="4">
        <f>IFERROR(__xludf.DUMMYFUNCTION("""COMPUTED_VALUE"""),2.3808)</f>
        <v>2.3808</v>
      </c>
    </row>
    <row r="120">
      <c r="A120" s="4" t="str">
        <f>IFERROR(__xludf.DUMMYFUNCTION("""COMPUTED_VALUE"""),"0215P")</f>
        <v>0215P</v>
      </c>
      <c r="B120" s="4" t="str">
        <f>IFERROR(__xludf.DUMMYFUNCTION("""COMPUTED_VALUE"""),"Cartel PVC 21x29 RIESGO DE TROPEZAR")</f>
        <v>Cartel PVC 21x29 RIESGO DE TROPEZAR</v>
      </c>
      <c r="C120" s="4">
        <f>IFERROR(__xludf.DUMMYFUNCTION("""COMPUTED_VALUE"""),1.536)</f>
        <v>1.536</v>
      </c>
    </row>
    <row r="121">
      <c r="A121" s="4" t="str">
        <f>IFERROR(__xludf.DUMMYFUNCTION("""COMPUTED_VALUE"""),"216")</f>
        <v>216</v>
      </c>
      <c r="B121" s="4" t="str">
        <f>IFERROR(__xludf.DUMMYFUNCTION("""COMPUTED_VALUE"""),"Cartel PVC 40x30 Materias comburentes")</f>
        <v>Cartel PVC 40x30 Materias comburentes</v>
      </c>
      <c r="C121" s="4">
        <f>IFERROR(__xludf.DUMMYFUNCTION("""COMPUTED_VALUE"""),2.3808)</f>
        <v>2.3808</v>
      </c>
    </row>
    <row r="122">
      <c r="A122" s="4" t="str">
        <f>IFERROR(__xludf.DUMMYFUNCTION("""COMPUTED_VALUE"""),"0216P")</f>
        <v>0216P</v>
      </c>
      <c r="B122" s="4" t="str">
        <f>IFERROR(__xludf.DUMMYFUNCTION("""COMPUTED_VALUE"""),"Cartel PVC 21x29 MATERIAS COMBURENTES")</f>
        <v>Cartel PVC 21x29 MATERIAS COMBURENTES</v>
      </c>
      <c r="C122" s="4">
        <f>IFERROR(__xludf.DUMMYFUNCTION("""COMPUTED_VALUE"""),1.536)</f>
        <v>1.536</v>
      </c>
    </row>
    <row r="123">
      <c r="A123" s="4" t="str">
        <f>IFERROR(__xludf.DUMMYFUNCTION("""COMPUTED_VALUE"""),"217")</f>
        <v>217</v>
      </c>
      <c r="B123" s="4" t="str">
        <f>IFERROR(__xludf.DUMMYFUNCTION("""COMPUTED_VALUE"""),"Cartel PVC 40x30 Materias Toxicas")</f>
        <v>Cartel PVC 40x30 Materias Toxicas</v>
      </c>
      <c r="C123" s="4">
        <f>IFERROR(__xludf.DUMMYFUNCTION("""COMPUTED_VALUE"""),2.3808)</f>
        <v>2.3808</v>
      </c>
    </row>
    <row r="124">
      <c r="A124" s="4" t="str">
        <f>IFERROR(__xludf.DUMMYFUNCTION("""COMPUTED_VALUE"""),"0217P")</f>
        <v>0217P</v>
      </c>
      <c r="B124" s="4" t="str">
        <f>IFERROR(__xludf.DUMMYFUNCTION("""COMPUTED_VALUE"""),"Cartel PVC 21x29 MATERIAS TOXICAS")</f>
        <v>Cartel PVC 21x29 MATERIAS TOXICAS</v>
      </c>
      <c r="C124" s="4">
        <f>IFERROR(__xludf.DUMMYFUNCTION("""COMPUTED_VALUE"""),1.536)</f>
        <v>1.536</v>
      </c>
    </row>
    <row r="125">
      <c r="A125" s="4" t="str">
        <f>IFERROR(__xludf.DUMMYFUNCTION("""COMPUTED_VALUE"""),"218")</f>
        <v>218</v>
      </c>
      <c r="B125" s="4" t="str">
        <f>IFERROR(__xludf.DUMMYFUNCTION("""COMPUTED_VALUE"""),"Cartel PVC 40x30 Campo Magnetico")</f>
        <v>Cartel PVC 40x30 Campo Magnetico</v>
      </c>
      <c r="C125" s="4">
        <f>IFERROR(__xludf.DUMMYFUNCTION("""COMPUTED_VALUE"""),2.3808)</f>
        <v>2.3808</v>
      </c>
    </row>
    <row r="126">
      <c r="A126" s="4" t="str">
        <f>IFERROR(__xludf.DUMMYFUNCTION("""COMPUTED_VALUE"""),"0218P")</f>
        <v>0218P</v>
      </c>
      <c r="B126" s="4" t="str">
        <f>IFERROR(__xludf.DUMMYFUNCTION("""COMPUTED_VALUE"""),"Cartel PVC 21x29 CAMPO MAGNETICO INTENSO")</f>
        <v>Cartel PVC 21x29 CAMPO MAGNETICO INTENSO</v>
      </c>
      <c r="C126" s="4">
        <f>IFERROR(__xludf.DUMMYFUNCTION("""COMPUTED_VALUE"""),1.536)</f>
        <v>1.536</v>
      </c>
    </row>
    <row r="127">
      <c r="A127" s="4" t="str">
        <f>IFERROR(__xludf.DUMMYFUNCTION("""COMPUTED_VALUE"""),"219")</f>
        <v>219</v>
      </c>
      <c r="B127" s="4" t="str">
        <f>IFERROR(__xludf.DUMMYFUNCTION("""COMPUTED_VALUE"""),"Cartel PVC 40x30 Materias Inflamables")</f>
        <v>Cartel PVC 40x30 Materias Inflamables</v>
      </c>
      <c r="C127" s="4">
        <f>IFERROR(__xludf.DUMMYFUNCTION("""COMPUTED_VALUE"""),2.3808)</f>
        <v>2.3808</v>
      </c>
    </row>
    <row r="128">
      <c r="A128" s="4" t="str">
        <f>IFERROR(__xludf.DUMMYFUNCTION("""COMPUTED_VALUE"""),"0219P")</f>
        <v>0219P</v>
      </c>
      <c r="B128" s="4" t="str">
        <f>IFERROR(__xludf.DUMMYFUNCTION("""COMPUTED_VALUE"""),"Cartel PVC 21x29 MATERIAS INFLAMABLES")</f>
        <v>Cartel PVC 21x29 MATERIAS INFLAMABLES</v>
      </c>
      <c r="C128" s="4">
        <f>IFERROR(__xludf.DUMMYFUNCTION("""COMPUTED_VALUE"""),1.536)</f>
        <v>1.536</v>
      </c>
    </row>
    <row r="129">
      <c r="A129" s="4" t="str">
        <f>IFERROR(__xludf.DUMMYFUNCTION("""COMPUTED_VALUE"""),"220")</f>
        <v>220</v>
      </c>
      <c r="B129" s="4" t="str">
        <f>IFERROR(__xludf.DUMMYFUNCTION("""COMPUTED_VALUE"""),"Cartel PVC 40x30 OBLIG.USO CASC+")</f>
        <v>Cartel PVC 40x30 OBLIG.USO CASC+</v>
      </c>
      <c r="C129" s="4">
        <f>IFERROR(__xludf.DUMMYFUNCTION("""COMPUTED_VALUE"""),2.3808)</f>
        <v>2.3808</v>
      </c>
    </row>
    <row r="130">
      <c r="A130" s="4" t="str">
        <f>IFERROR(__xludf.DUMMYFUNCTION("""COMPUTED_VALUE"""),"0220P")</f>
        <v>0220P</v>
      </c>
      <c r="B130" s="4" t="str">
        <f>IFERROR(__xludf.DUMMYFUNCTION("""COMPUTED_VALUE"""),"Cartel PVC 21x29 USO OBLIGATORIO DEL CASCO")</f>
        <v>Cartel PVC 21x29 USO OBLIGATORIO DEL CASCO</v>
      </c>
      <c r="C130" s="4">
        <f>IFERROR(__xludf.DUMMYFUNCTION("""COMPUTED_VALUE"""),1.536)</f>
        <v>1.536</v>
      </c>
    </row>
    <row r="131">
      <c r="A131" s="4" t="str">
        <f>IFERROR(__xludf.DUMMYFUNCTION("""COMPUTED_VALUE"""),"221")</f>
        <v>221</v>
      </c>
      <c r="B131" s="4" t="str">
        <f>IFERROR(__xludf.DUMMYFUNCTION("""COMPUTED_VALUE"""),"Cartel PVC 40x30 OBLIG.USO BOTA+")</f>
        <v>Cartel PVC 40x30 OBLIG.USO BOTA+</v>
      </c>
      <c r="C131" s="4">
        <f>IFERROR(__xludf.DUMMYFUNCTION("""COMPUTED_VALUE"""),2.3808)</f>
        <v>2.3808</v>
      </c>
    </row>
    <row r="132">
      <c r="A132" s="4" t="str">
        <f>IFERROR(__xludf.DUMMYFUNCTION("""COMPUTED_VALUE"""),"0221P")</f>
        <v>0221P</v>
      </c>
      <c r="B132" s="4" t="str">
        <f>IFERROR(__xludf.DUMMYFUNCTION("""COMPUTED_VALUE"""),"Cartel PVC 21x29 USO OBLIGATORIO DE LAS BOTAS")</f>
        <v>Cartel PVC 21x29 USO OBLIGATORIO DE LAS BOTAS</v>
      </c>
      <c r="C132" s="4">
        <f>IFERROR(__xludf.DUMMYFUNCTION("""COMPUTED_VALUE"""),1.536)</f>
        <v>1.536</v>
      </c>
    </row>
    <row r="133">
      <c r="A133" s="4" t="str">
        <f>IFERROR(__xludf.DUMMYFUNCTION("""COMPUTED_VALUE"""),"222")</f>
        <v>222</v>
      </c>
      <c r="B133" s="4" t="str">
        <f>IFERROR(__xludf.DUMMYFUNCTION("""COMPUTED_VALUE"""),"Cartel PVC 40x30 OBLIG.USO GUAN+E")</f>
        <v>Cartel PVC 40x30 OBLIG.USO GUAN+E</v>
      </c>
      <c r="C133" s="4">
        <f>IFERROR(__xludf.DUMMYFUNCTION("""COMPUTED_VALUE"""),2.3808)</f>
        <v>2.3808</v>
      </c>
    </row>
    <row r="134">
      <c r="A134" s="4" t="str">
        <f>IFERROR(__xludf.DUMMYFUNCTION("""COMPUTED_VALUE"""),"0222P")</f>
        <v>0222P</v>
      </c>
      <c r="B134" s="4" t="str">
        <f>IFERROR(__xludf.DUMMYFUNCTION("""COMPUTED_VALUE"""),"Cartel PVC 21x29 USO OBLIGATORIO DE GUANTES")</f>
        <v>Cartel PVC 21x29 USO OBLIGATORIO DE GUANTES</v>
      </c>
      <c r="C134" s="4">
        <f>IFERROR(__xludf.DUMMYFUNCTION("""COMPUTED_VALUE"""),1.536)</f>
        <v>1.536</v>
      </c>
    </row>
    <row r="135">
      <c r="A135" s="4" t="str">
        <f>IFERROR(__xludf.DUMMYFUNCTION("""COMPUTED_VALUE"""),"223")</f>
        <v>223</v>
      </c>
      <c r="B135" s="4" t="str">
        <f>IFERROR(__xludf.DUMMYFUNCTION("""COMPUTED_VALUE"""),"Cartel PVC 40x30 OBLIG.PROT.ACU+T")</f>
        <v>Cartel PVC 40x30 OBLIG.PROT.ACU+T</v>
      </c>
      <c r="C135" s="4">
        <f>IFERROR(__xludf.DUMMYFUNCTION("""COMPUTED_VALUE"""),2.3808)</f>
        <v>2.3808</v>
      </c>
    </row>
    <row r="136">
      <c r="A136" s="4" t="str">
        <f>IFERROR(__xludf.DUMMYFUNCTION("""COMPUTED_VALUE"""),"0223P")</f>
        <v>0223P</v>
      </c>
      <c r="B136" s="4" t="str">
        <f>IFERROR(__xludf.DUMMYFUNCTION("""COMPUTED_VALUE"""),"Cartel PVC 21x29 USO OBLIGATORIO PROTECCION")</f>
        <v>Cartel PVC 21x29 USO OBLIGATORIO PROTECCION</v>
      </c>
      <c r="C136" s="4">
        <f>IFERROR(__xludf.DUMMYFUNCTION("""COMPUTED_VALUE"""),1.536)</f>
        <v>1.536</v>
      </c>
    </row>
    <row r="137">
      <c r="A137" s="4" t="str">
        <f>IFERROR(__xludf.DUMMYFUNCTION("""COMPUTED_VALUE"""),"224")</f>
        <v>224</v>
      </c>
      <c r="B137" s="4" t="str">
        <f>IFERROR(__xludf.DUMMYFUNCTION("""COMPUTED_VALUE"""),"Cartel PVC 40x30 OBLIG.USO MASC +")</f>
        <v>Cartel PVC 40x30 OBLIG.USO MASC +</v>
      </c>
      <c r="C137" s="4">
        <f>IFERROR(__xludf.DUMMYFUNCTION("""COMPUTED_VALUE"""),2.3808)</f>
        <v>2.3808</v>
      </c>
    </row>
    <row r="138">
      <c r="A138" s="4" t="str">
        <f>IFERROR(__xludf.DUMMYFUNCTION("""COMPUTED_VALUE"""),"0224P")</f>
        <v>0224P</v>
      </c>
      <c r="B138" s="4" t="str">
        <f>IFERROR(__xludf.DUMMYFUNCTION("""COMPUTED_VALUE"""),"Cartel PVC 21x29 OBLIGATORIO EL USO DE LA MASCARA")</f>
        <v>Cartel PVC 21x29 OBLIGATORIO EL USO DE LA MASCARA</v>
      </c>
      <c r="C138" s="4">
        <f>IFERROR(__xludf.DUMMYFUNCTION("""COMPUTED_VALUE"""),1.536)</f>
        <v>1.536</v>
      </c>
    </row>
    <row r="139">
      <c r="A139" s="4" t="str">
        <f>IFERROR(__xludf.DUMMYFUNCTION("""COMPUTED_VALUE"""),"225")</f>
        <v>225</v>
      </c>
      <c r="B139" s="4" t="str">
        <f>IFERROR(__xludf.DUMMYFUNCTION("""COMPUTED_VALUE"""),"Cartel PVC 40x30 OBLIG.PANT.PRO+E")</f>
        <v>Cartel PVC 40x30 OBLIG.PANT.PRO+E</v>
      </c>
      <c r="C139" s="4">
        <f>IFERROR(__xludf.DUMMYFUNCTION("""COMPUTED_VALUE"""),2.3808)</f>
        <v>2.3808</v>
      </c>
    </row>
    <row r="140">
      <c r="A140" s="4" t="str">
        <f>IFERROR(__xludf.DUMMYFUNCTION("""COMPUTED_VALUE"""),"0225P")</f>
        <v>0225P</v>
      </c>
      <c r="B140" s="4" t="str">
        <f>IFERROR(__xludf.DUMMYFUNCTION("""COMPUTED_VALUE"""),"Cartel PVC 21x29 OBLIGATORIO USO PANTALLA")</f>
        <v>Cartel PVC 21x29 OBLIGATORIO USO PANTALLA</v>
      </c>
      <c r="C140" s="4">
        <f>IFERROR(__xludf.DUMMYFUNCTION("""COMPUTED_VALUE"""),1.536)</f>
        <v>1.536</v>
      </c>
    </row>
    <row r="141">
      <c r="A141" s="4" t="str">
        <f>IFERROR(__xludf.DUMMYFUNCTION("""COMPUTED_VALUE"""),"226")</f>
        <v>226</v>
      </c>
      <c r="B141" s="4" t="str">
        <f>IFERROR(__xludf.DUMMYFUNCTION("""COMPUTED_VALUE"""),"Cartel PVC 40x30 OBLIG.GAFAS PROT")</f>
        <v>Cartel PVC 40x30 OBLIG.GAFAS PROT</v>
      </c>
      <c r="C141" s="4">
        <f>IFERROR(__xludf.DUMMYFUNCTION("""COMPUTED_VALUE"""),2.3808)</f>
        <v>2.3808</v>
      </c>
    </row>
    <row r="142">
      <c r="A142" s="4" t="str">
        <f>IFERROR(__xludf.DUMMYFUNCTION("""COMPUTED_VALUE"""),"0226P")</f>
        <v>0226P</v>
      </c>
      <c r="B142" s="4" t="str">
        <f>IFERROR(__xludf.DUMMYFUNCTION("""COMPUTED_VALUE"""),"Cartel PVC 21x29 OBLIGATORIO EL USO GAFAS")</f>
        <v>Cartel PVC 21x29 OBLIGATORIO EL USO GAFAS</v>
      </c>
      <c r="C142" s="4">
        <f>IFERROR(__xludf.DUMMYFUNCTION("""COMPUTED_VALUE"""),1.536)</f>
        <v>1.536</v>
      </c>
    </row>
    <row r="143">
      <c r="A143" s="4" t="str">
        <f>IFERROR(__xludf.DUMMYFUNCTION("""COMPUTED_VALUE"""),"227")</f>
        <v>227</v>
      </c>
      <c r="B143" s="4" t="str">
        <f>IFERROR(__xludf.DUMMYFUNCTION("""COMPUTED_VALUE"""),"Cartel PVC 40x30 OBLIG.ARNES SEGUR.")</f>
        <v>Cartel PVC 40x30 OBLIG.ARNES SEGUR.</v>
      </c>
      <c r="C143" s="4">
        <f>IFERROR(__xludf.DUMMYFUNCTION("""COMPUTED_VALUE"""),2.3808)</f>
        <v>2.3808</v>
      </c>
    </row>
    <row r="144">
      <c r="A144" s="4" t="str">
        <f>IFERROR(__xludf.DUMMYFUNCTION("""COMPUTED_VALUE"""),"0227P")</f>
        <v>0227P</v>
      </c>
      <c r="B144" s="4" t="str">
        <f>IFERROR(__xludf.DUMMYFUNCTION("""COMPUTED_VALUE"""),"Cartel PVC 21x29 OBLIGATORIO EL USO ARNES")</f>
        <v>Cartel PVC 21x29 OBLIGATORIO EL USO ARNES</v>
      </c>
      <c r="C144" s="4">
        <f>IFERROR(__xludf.DUMMYFUNCTION("""COMPUTED_VALUE"""),1.536)</f>
        <v>1.536</v>
      </c>
    </row>
    <row r="145">
      <c r="A145" s="4" t="str">
        <f>IFERROR(__xludf.DUMMYFUNCTION("""COMPUTED_VALUE"""),"228")</f>
        <v>228</v>
      </c>
      <c r="B145" s="4" t="str">
        <f>IFERROR(__xludf.DUMMYFUNCTION("""COMPUTED_VALUE"""),"Cartel PVC 40x30 PROTECION OBLIGAT.CUERPO")</f>
        <v>Cartel PVC 40x30 PROTECION OBLIGAT.CUERPO</v>
      </c>
      <c r="C145" s="4">
        <f>IFERROR(__xludf.DUMMYFUNCTION("""COMPUTED_VALUE"""),2.3808)</f>
        <v>2.3808</v>
      </c>
    </row>
    <row r="146">
      <c r="A146" s="4" t="str">
        <f>IFERROR(__xludf.DUMMYFUNCTION("""COMPUTED_VALUE"""),"0228P")</f>
        <v>0228P</v>
      </c>
      <c r="B146" s="4" t="str">
        <f>IFERROR(__xludf.DUMMYFUNCTION("""COMPUTED_VALUE"""),"Cartel PVC 21x29 USO PROTECCION OBLIGATORIA DEL")</f>
        <v>Cartel PVC 21x29 USO PROTECCION OBLIGATORIA DEL</v>
      </c>
      <c r="C146" s="4">
        <f>IFERROR(__xludf.DUMMYFUNCTION("""COMPUTED_VALUE"""),1.536)</f>
        <v>1.536</v>
      </c>
    </row>
    <row r="147">
      <c r="A147" s="4" t="str">
        <f>IFERROR(__xludf.DUMMYFUNCTION("""COMPUTED_VALUE"""),"229")</f>
        <v>229</v>
      </c>
      <c r="B147" s="4" t="str">
        <f>IFERROR(__xludf.DUMMYFUNCTION("""COMPUTED_VALUE"""),"Cartel PVC 40x30 Eliminar puntas")</f>
        <v>Cartel PVC 40x30 Eliminar puntas</v>
      </c>
      <c r="C147" s="4">
        <f>IFERROR(__xludf.DUMMYFUNCTION("""COMPUTED_VALUE"""),2.3808)</f>
        <v>2.3808</v>
      </c>
    </row>
    <row r="148">
      <c r="A148" s="4" t="str">
        <f>IFERROR(__xludf.DUMMYFUNCTION("""COMPUTED_VALUE"""),"0229P")</f>
        <v>0229P</v>
      </c>
      <c r="B148" s="4" t="str">
        <f>IFERROR(__xludf.DUMMYFUNCTION("""COMPUTED_VALUE"""),"Cartel PVC 21x29 OBLIGATORIO ELIMINAR LAS PUNTAS")</f>
        <v>Cartel PVC 21x29 OBLIGATORIO ELIMINAR LAS PUNTAS</v>
      </c>
      <c r="C148" s="4">
        <f>IFERROR(__xludf.DUMMYFUNCTION("""COMPUTED_VALUE"""),1.536)</f>
        <v>1.536</v>
      </c>
    </row>
    <row r="149">
      <c r="A149" s="4" t="str">
        <f>IFERROR(__xludf.DUMMYFUNCTION("""COMPUTED_VALUE"""),"230")</f>
        <v>230</v>
      </c>
      <c r="B149" s="4" t="str">
        <f>IFERROR(__xludf.DUMMYFUNCTION("""COMPUTED_VALUE"""),"Cartel PVC 40x30 PROHIBIDO FUMA+")</f>
        <v>Cartel PVC 40x30 PROHIBIDO FUMA+</v>
      </c>
      <c r="C149" s="4">
        <f>IFERROR(__xludf.DUMMYFUNCTION("""COMPUTED_VALUE"""),2.3808)</f>
        <v>2.3808</v>
      </c>
    </row>
    <row r="150">
      <c r="A150" s="4" t="str">
        <f>IFERROR(__xludf.DUMMYFUNCTION("""COMPUTED_VALUE"""),"0230P")</f>
        <v>0230P</v>
      </c>
      <c r="B150" s="4" t="str">
        <f>IFERROR(__xludf.DUMMYFUNCTION("""COMPUTED_VALUE"""),"Cartel 21X29 PROHIBIDO FUMAR")</f>
        <v>Cartel 21X29 PROHIBIDO FUMAR</v>
      </c>
      <c r="C150" s="4">
        <f>IFERROR(__xludf.DUMMYFUNCTION("""COMPUTED_VALUE"""),1.536)</f>
        <v>1.536</v>
      </c>
    </row>
    <row r="151">
      <c r="A151" s="4" t="str">
        <f>IFERROR(__xludf.DUMMYFUNCTION("""COMPUTED_VALUE"""),"231")</f>
        <v>231</v>
      </c>
      <c r="B151" s="4" t="str">
        <f>IFERROR(__xludf.DUMMYFUNCTION("""COMPUTED_VALUE"""),"Cartel PVC 40x30 PROHIBIDO PASO+")</f>
        <v>Cartel PVC 40x30 PROHIBIDO PASO+</v>
      </c>
      <c r="C151" s="4">
        <f>IFERROR(__xludf.DUMMYFUNCTION("""COMPUTED_VALUE"""),2.3808)</f>
        <v>2.3808</v>
      </c>
    </row>
    <row r="152">
      <c r="A152" s="4" t="str">
        <f>IFERROR(__xludf.DUMMYFUNCTION("""COMPUTED_VALUE"""),"0231P")</f>
        <v>0231P</v>
      </c>
      <c r="B152" s="4" t="str">
        <f>IFERROR(__xludf.DUMMYFUNCTION("""COMPUTED_VALUE"""),"Cartel PVC 21X29 PROHIBIDO PASO PERSONA AJENA")</f>
        <v>Cartel PVC 21X29 PROHIBIDO PASO PERSONA AJENA</v>
      </c>
      <c r="C152" s="4">
        <f>IFERROR(__xludf.DUMMYFUNCTION("""COMPUTED_VALUE"""),1.536)</f>
        <v>1.536</v>
      </c>
    </row>
    <row r="153">
      <c r="A153" s="4" t="str">
        <f>IFERROR(__xludf.DUMMYFUNCTION("""COMPUTED_VALUE"""),"232")</f>
        <v>232</v>
      </c>
      <c r="B153" s="4" t="str">
        <f>IFERROR(__xludf.DUMMYFUNCTION("""COMPUTED_VALUE"""),"Cartel PVC 40x30 Proh. pasar sin casco")</f>
        <v>Cartel PVC 40x30 Proh. pasar sin casco</v>
      </c>
      <c r="C153" s="4">
        <f>IFERROR(__xludf.DUMMYFUNCTION("""COMPUTED_VALUE"""),2.3808)</f>
        <v>2.3808</v>
      </c>
    </row>
    <row r="154">
      <c r="A154" s="4" t="str">
        <f>IFERROR(__xludf.DUMMYFUNCTION("""COMPUTED_VALUE"""),"0232P")</f>
        <v>0232P</v>
      </c>
      <c r="B154" s="4" t="str">
        <f>IFERROR(__xludf.DUMMYFUNCTION("""COMPUTED_VALUE"""),"Cartel PVC 21X29 PROHIBIDO PASAR SIN CASCO")</f>
        <v>Cartel PVC 21X29 PROHIBIDO PASAR SIN CASCO</v>
      </c>
      <c r="C154" s="4">
        <f>IFERROR(__xludf.DUMMYFUNCTION("""COMPUTED_VALUE"""),1.536)</f>
        <v>1.536</v>
      </c>
    </row>
    <row r="155">
      <c r="A155" s="4" t="str">
        <f>IFERROR(__xludf.DUMMYFUNCTION("""COMPUTED_VALUE"""),"233")</f>
        <v>233</v>
      </c>
      <c r="B155" s="4" t="str">
        <f>IFERROR(__xludf.DUMMYFUNCTION("""COMPUTED_VALUE"""),"Cartel PVC 40x30 Proh. Fumar y encender fuego")</f>
        <v>Cartel PVC 40x30 Proh. Fumar y encender fuego</v>
      </c>
      <c r="C155" s="4">
        <f>IFERROR(__xludf.DUMMYFUNCTION("""COMPUTED_VALUE"""),2.3808)</f>
        <v>2.3808</v>
      </c>
    </row>
    <row r="156">
      <c r="A156" s="4" t="str">
        <f>IFERROR(__xludf.DUMMYFUNCTION("""COMPUTED_VALUE"""),"0233P")</f>
        <v>0233P</v>
      </c>
      <c r="B156" s="4" t="str">
        <f>IFERROR(__xludf.DUMMYFUNCTION("""COMPUTED_VALUE"""),"Cartel PVC 21X29 PROHIBIDO FUMAR Y ENCENDER")</f>
        <v>Cartel PVC 21X29 PROHIBIDO FUMAR Y ENCENDER</v>
      </c>
      <c r="C156" s="4">
        <f>IFERROR(__xludf.DUMMYFUNCTION("""COMPUTED_VALUE"""),1.536)</f>
        <v>1.536</v>
      </c>
    </row>
    <row r="157">
      <c r="A157" s="4" t="str">
        <f>IFERROR(__xludf.DUMMYFUNCTION("""COMPUTED_VALUE"""),"234")</f>
        <v>234</v>
      </c>
      <c r="B157" s="4" t="str">
        <f>IFERROR(__xludf.DUMMYFUNCTION("""COMPUTED_VALUE"""),"Cartel PVC 40x30 Proh. Apagar con agua")</f>
        <v>Cartel PVC 40x30 Proh. Apagar con agua</v>
      </c>
      <c r="C157" s="4">
        <f>IFERROR(__xludf.DUMMYFUNCTION("""COMPUTED_VALUE"""),2.3808)</f>
        <v>2.3808</v>
      </c>
    </row>
    <row r="158">
      <c r="A158" s="4" t="str">
        <f>IFERROR(__xludf.DUMMYFUNCTION("""COMPUTED_VALUE"""),"0234P")</f>
        <v>0234P</v>
      </c>
      <c r="B158" s="4" t="str">
        <f>IFERROR(__xludf.DUMMYFUNCTION("""COMPUTED_VALUE"""),"Cartel PVC 21x29 PROHIBIDO APAGAR CON AGUA")</f>
        <v>Cartel PVC 21x29 PROHIBIDO APAGAR CON AGUA</v>
      </c>
      <c r="C158" s="4">
        <f>IFERROR(__xludf.DUMMYFUNCTION("""COMPUTED_VALUE"""),1.536)</f>
        <v>1.536</v>
      </c>
    </row>
    <row r="159">
      <c r="A159" s="4" t="str">
        <f>IFERROR(__xludf.DUMMYFUNCTION("""COMPUTED_VALUE"""),"235")</f>
        <v>235</v>
      </c>
      <c r="B159" s="4" t="str">
        <f>IFERROR(__xludf.DUMMYFUNCTION("""COMPUTED_VALUE"""),"Cartel PVC 40x30 Proh.a los vehculos manutención")</f>
        <v>Cartel PVC 40x30 Proh.a los vehculos manutención</v>
      </c>
      <c r="C159" s="4">
        <f>IFERROR(__xludf.DUMMYFUNCTION("""COMPUTED_VALUE"""),2.3808)</f>
        <v>2.3808</v>
      </c>
    </row>
    <row r="160">
      <c r="A160" s="4" t="str">
        <f>IFERROR(__xludf.DUMMYFUNCTION("""COMPUTED_VALUE"""),"0235P")</f>
        <v>0235P</v>
      </c>
      <c r="B160" s="4" t="str">
        <f>IFERROR(__xludf.DUMMYFUNCTION("""COMPUTED_VALUE"""),"Cartel PVC 21x29 PROHIBIDO A LOS VEHICULOS DE")</f>
        <v>Cartel PVC 21x29 PROHIBIDO A LOS VEHICULOS DE</v>
      </c>
      <c r="C160" s="4">
        <f>IFERROR(__xludf.DUMMYFUNCTION("""COMPUTED_VALUE"""),1.536)</f>
        <v>1.536</v>
      </c>
    </row>
    <row r="161">
      <c r="A161" s="4" t="str">
        <f>IFERROR(__xludf.DUMMYFUNCTION("""COMPUTED_VALUE"""),"236")</f>
        <v>236</v>
      </c>
      <c r="B161" s="4" t="str">
        <f>IFERROR(__xludf.DUMMYFUNCTION("""COMPUTED_VALUE"""),"Cartel PVC 40x30 Materias Explosivas")</f>
        <v>Cartel PVC 40x30 Materias Explosivas</v>
      </c>
      <c r="C161" s="4">
        <f>IFERROR(__xludf.DUMMYFUNCTION("""COMPUTED_VALUE"""),2.3808)</f>
        <v>2.3808</v>
      </c>
    </row>
    <row r="162">
      <c r="A162" s="4" t="str">
        <f>IFERROR(__xludf.DUMMYFUNCTION("""COMPUTED_VALUE"""),"0236P")</f>
        <v>0236P</v>
      </c>
      <c r="B162" s="4" t="str">
        <f>IFERROR(__xludf.DUMMYFUNCTION("""COMPUTED_VALUE"""),"Cartel PVC 21x29 MATERIAS EXPLOSIVAS")</f>
        <v>Cartel PVC 21x29 MATERIAS EXPLOSIVAS</v>
      </c>
      <c r="C162" s="4">
        <f>IFERROR(__xludf.DUMMYFUNCTION("""COMPUTED_VALUE"""),1.536)</f>
        <v>1.536</v>
      </c>
    </row>
    <row r="163">
      <c r="A163" s="4" t="str">
        <f>IFERROR(__xludf.DUMMYFUNCTION("""COMPUTED_VALUE"""),"237")</f>
        <v>237</v>
      </c>
      <c r="B163" s="4" t="str">
        <f>IFERROR(__xludf.DUMMYFUNCTION("""COMPUTED_VALUE"""),"Cartel PVC 40x30 Proh. uso personas")</f>
        <v>Cartel PVC 40x30 Proh. uso personas</v>
      </c>
      <c r="C163" s="4">
        <f>IFERROR(__xludf.DUMMYFUNCTION("""COMPUTED_VALUE"""),2.3808)</f>
        <v>2.3808</v>
      </c>
    </row>
    <row r="164">
      <c r="A164" s="4" t="str">
        <f>IFERROR(__xludf.DUMMYFUNCTION("""COMPUTED_VALUE"""),"0237P")</f>
        <v>0237P</v>
      </c>
      <c r="B164" s="4" t="str">
        <f>IFERROR(__xludf.DUMMYFUNCTION("""COMPUTED_VALUE"""),"Cartel PVC 21x29 PROHIBIDO EL USO A PERSONAS")</f>
        <v>Cartel PVC 21x29 PROHIBIDO EL USO A PERSONAS</v>
      </c>
      <c r="C164" s="4">
        <f>IFERROR(__xludf.DUMMYFUNCTION("""COMPUTED_VALUE"""),1.536)</f>
        <v>1.536</v>
      </c>
    </row>
    <row r="165">
      <c r="A165" s="4" t="str">
        <f>IFERROR(__xludf.DUMMYFUNCTION("""COMPUTED_VALUE"""),"238")</f>
        <v>238</v>
      </c>
      <c r="B165" s="4" t="str">
        <f>IFERROR(__xludf.DUMMYFUNCTION("""COMPUTED_VALUE"""),"Cartel PVC 40x30 Atencion puesta Tierra")</f>
        <v>Cartel PVC 40x30 Atencion puesta Tierra</v>
      </c>
      <c r="C165" s="4">
        <f>IFERROR(__xludf.DUMMYFUNCTION("""COMPUTED_VALUE"""),2.3808)</f>
        <v>2.3808</v>
      </c>
    </row>
    <row r="166">
      <c r="A166" s="4" t="str">
        <f>IFERROR(__xludf.DUMMYFUNCTION("""COMPUTED_VALUE"""),"0238P")</f>
        <v>0238P</v>
      </c>
      <c r="B166" s="4" t="str">
        <f>IFERROR(__xludf.DUMMYFUNCTION("""COMPUTED_VALUE"""),"Cartel PVC 21x29 ATENCION PUESTA A TIERRA")</f>
        <v>Cartel PVC 21x29 ATENCION PUESTA A TIERRA</v>
      </c>
      <c r="C166" s="4">
        <f>IFERROR(__xludf.DUMMYFUNCTION("""COMPUTED_VALUE"""),1.536)</f>
        <v>1.536</v>
      </c>
    </row>
    <row r="167">
      <c r="A167" s="4" t="str">
        <f>IFERROR(__xludf.DUMMYFUNCTION("""COMPUTED_VALUE"""),"239")</f>
        <v>239</v>
      </c>
      <c r="B167" s="4" t="str">
        <f>IFERROR(__xludf.DUMMYFUNCTION("""COMPUTED_VALUE"""),"Cartel PVC Espacio confinado 40x30 cm")</f>
        <v>Cartel PVC Espacio confinado 40x30 cm</v>
      </c>
      <c r="C167" s="4">
        <f>IFERROR(__xludf.DUMMYFUNCTION("""COMPUTED_VALUE"""),2.3808)</f>
        <v>2.3808</v>
      </c>
    </row>
    <row r="168">
      <c r="A168" s="4" t="str">
        <f>IFERROR(__xludf.DUMMYFUNCTION("""COMPUTED_VALUE"""),"0239P")</f>
        <v>0239P</v>
      </c>
      <c r="B168" s="4" t="str">
        <f>IFERROR(__xludf.DUMMYFUNCTION("""COMPUTED_VALUE"""),"Cartel PVC Espacio Confinado 21x29 cm")</f>
        <v>Cartel PVC Espacio Confinado 21x29 cm</v>
      </c>
      <c r="C168" s="4">
        <f>IFERROR(__xludf.DUMMYFUNCTION("""COMPUTED_VALUE"""),1.536)</f>
        <v>1.536</v>
      </c>
    </row>
    <row r="169">
      <c r="A169" s="4" t="str">
        <f>IFERROR(__xludf.DUMMYFUNCTION("""COMPUTED_VALUE"""),"240")</f>
        <v>240</v>
      </c>
      <c r="B169" s="4" t="str">
        <f>IFERROR(__xludf.DUMMYFUNCTION("""COMPUTED_VALUE"""),"Cartel PVC 40x30 Maquin.pesada en movim")</f>
        <v>Cartel PVC 40x30 Maquin.pesada en movim</v>
      </c>
      <c r="C169" s="4">
        <f>IFERROR(__xludf.DUMMYFUNCTION("""COMPUTED_VALUE"""),2.3808)</f>
        <v>2.3808</v>
      </c>
    </row>
    <row r="170">
      <c r="A170" s="4" t="str">
        <f>IFERROR(__xludf.DUMMYFUNCTION("""COMPUTED_VALUE"""),"0240P")</f>
        <v>0240P</v>
      </c>
      <c r="B170" s="4" t="str">
        <f>IFERROR(__xludf.DUMMYFUNCTION("""COMPUTED_VALUE"""),"Cartel PVC 21X29 MAQUINARIA PESADA EN MOVIMIENTO")</f>
        <v>Cartel PVC 21X29 MAQUINARIA PESADA EN MOVIMIENTO</v>
      </c>
      <c r="C170" s="4">
        <f>IFERROR(__xludf.DUMMYFUNCTION("""COMPUTED_VALUE"""),1.536)</f>
        <v>1.536</v>
      </c>
    </row>
    <row r="171">
      <c r="A171" s="4" t="str">
        <f>IFERROR(__xludf.DUMMYFUNCTION("""COMPUTED_VALUE"""),"241")</f>
        <v>241</v>
      </c>
      <c r="B171" s="4" t="str">
        <f>IFERROR(__xludf.DUMMYFUNCTION("""COMPUTED_VALUE"""),"Cartel PVC 40x30 Fluor ( Se Alquila ) c/ojales")</f>
        <v>Cartel PVC 40x30 Fluor ( Se Alquila ) c/ojales</v>
      </c>
      <c r="C171" s="4">
        <f>IFERROR(__xludf.DUMMYFUNCTION("""COMPUTED_VALUE"""),3.552)</f>
        <v>3.552</v>
      </c>
    </row>
    <row r="172">
      <c r="A172" s="4" t="str">
        <f>IFERROR(__xludf.DUMMYFUNCTION("""COMPUTED_VALUE"""),"242")</f>
        <v>242</v>
      </c>
      <c r="B172" s="4" t="str">
        <f>IFERROR(__xludf.DUMMYFUNCTION("""COMPUTED_VALUE"""),"Cartel PVC 40X30 Fluor ( Se Vende ) c/ojales")</f>
        <v>Cartel PVC 40X30 Fluor ( Se Vende ) c/ojales</v>
      </c>
      <c r="C172" s="4">
        <f>IFERROR(__xludf.DUMMYFUNCTION("""COMPUTED_VALUE"""),3.552)</f>
        <v>3.552</v>
      </c>
    </row>
    <row r="173">
      <c r="A173" s="4" t="str">
        <f>IFERROR(__xludf.DUMMYFUNCTION("""COMPUTED_VALUE"""),"243")</f>
        <v>243</v>
      </c>
      <c r="B173" s="4" t="str">
        <f>IFERROR(__xludf.DUMMYFUNCTION("""COMPUTED_VALUE"""),"Cartel PVC 21x29 Fotolum. Hidrante")</f>
        <v>Cartel PVC 21x29 Fotolum. Hidrante</v>
      </c>
      <c r="C173" s="4">
        <f>IFERROR(__xludf.DUMMYFUNCTION("""COMPUTED_VALUE"""),2.496)</f>
        <v>2.496</v>
      </c>
    </row>
    <row r="174">
      <c r="A174" s="4" t="str">
        <f>IFERROR(__xludf.DUMMYFUNCTION("""COMPUTED_VALUE"""),"0243A")</f>
        <v>0243A</v>
      </c>
      <c r="B174" s="4" t="str">
        <f>IFERROR(__xludf.DUMMYFUNCTION("""COMPUTED_VALUE"""),"Cartel PVC 21x30 Fotolum. Hidrante")</f>
        <v>Cartel PVC 21x30 Fotolum. Hidrante</v>
      </c>
      <c r="C174" s="4">
        <f>IFERROR(__xludf.DUMMYFUNCTION("""COMPUTED_VALUE"""),2.4192)</f>
        <v>2.4192</v>
      </c>
    </row>
    <row r="175">
      <c r="A175" s="4" t="str">
        <f>IFERROR(__xludf.DUMMYFUNCTION("""COMPUTED_VALUE"""),"0243B")</f>
        <v>0243B</v>
      </c>
      <c r="B175" s="4" t="str">
        <f>IFERROR(__xludf.DUMMYFUNCTION("""COMPUTED_VALUE"""),"Cartel PVC 40x30 Fotolum. Hidrante")</f>
        <v>Cartel PVC 40x30 Fotolum. Hidrante</v>
      </c>
      <c r="C175" s="4">
        <f>IFERROR(__xludf.DUMMYFUNCTION("""COMPUTED_VALUE"""),2.976)</f>
        <v>2.976</v>
      </c>
    </row>
    <row r="176">
      <c r="A176" s="4" t="str">
        <f>IFERROR(__xludf.DUMMYFUNCTION("""COMPUTED_VALUE"""),"244")</f>
        <v>244</v>
      </c>
      <c r="B176" s="4" t="str">
        <f>IFERROR(__xludf.DUMMYFUNCTION("""COMPUTED_VALUE"""),"Cartel PVC de 1x0.70 Combinado")</f>
        <v>Cartel PVC de 1x0.70 Combinado</v>
      </c>
      <c r="C176" s="4">
        <f>IFERROR(__xludf.DUMMYFUNCTION("""COMPUTED_VALUE"""),5.664)</f>
        <v>5.664</v>
      </c>
    </row>
    <row r="177">
      <c r="A177" s="4" t="str">
        <f>IFERROR(__xludf.DUMMYFUNCTION("""COMPUTED_VALUE"""),"247")</f>
        <v>247</v>
      </c>
      <c r="B177" s="4" t="str">
        <f>IFERROR(__xludf.DUMMYFUNCTION("""COMPUTED_VALUE"""),"Cartel PVC 40x30 (Salida Camiones)")</f>
        <v>Cartel PVC 40x30 (Salida Camiones)</v>
      </c>
      <c r="C177" s="4">
        <f>IFERROR(__xludf.DUMMYFUNCTION("""COMPUTED_VALUE"""),2.3808)</f>
        <v>2.3808</v>
      </c>
    </row>
    <row r="178">
      <c r="A178" s="4" t="str">
        <f>IFERROR(__xludf.DUMMYFUNCTION("""COMPUTED_VALUE"""),"0247P")</f>
        <v>0247P</v>
      </c>
      <c r="B178" s="4" t="str">
        <f>IFERROR(__xludf.DUMMYFUNCTION("""COMPUTED_VALUE"""),"Cartel PVC 21x29 SALIDA DE CAMIONES")</f>
        <v>Cartel PVC 21x29 SALIDA DE CAMIONES</v>
      </c>
      <c r="C178" s="4">
        <f>IFERROR(__xludf.DUMMYFUNCTION("""COMPUTED_VALUE"""),1.536)</f>
        <v>1.536</v>
      </c>
    </row>
    <row r="179">
      <c r="A179" s="4" t="str">
        <f>IFERROR(__xludf.DUMMYFUNCTION("""COMPUTED_VALUE"""),"248")</f>
        <v>248</v>
      </c>
      <c r="B179" s="4" t="str">
        <f>IFERROR(__xludf.DUMMYFUNCTION("""COMPUTED_VALUE"""),"Cartel PVC 40x30 (Prohibido Aparcar)")</f>
        <v>Cartel PVC 40x30 (Prohibido Aparcar)</v>
      </c>
      <c r="C179" s="4">
        <f>IFERROR(__xludf.DUMMYFUNCTION("""COMPUTED_VALUE"""),2.3808)</f>
        <v>2.3808</v>
      </c>
    </row>
    <row r="180">
      <c r="A180" s="4" t="str">
        <f>IFERROR(__xludf.DUMMYFUNCTION("""COMPUTED_VALUE"""),"0248P")</f>
        <v>0248P</v>
      </c>
      <c r="B180" s="4" t="str">
        <f>IFERROR(__xludf.DUMMYFUNCTION("""COMPUTED_VALUE"""),"Cartel PVC 21x29 PROHIBIDO APARCAR")</f>
        <v>Cartel PVC 21x29 PROHIBIDO APARCAR</v>
      </c>
      <c r="C180" s="4">
        <f>IFERROR(__xludf.DUMMYFUNCTION("""COMPUTED_VALUE"""),1.536)</f>
        <v>1.536</v>
      </c>
    </row>
    <row r="181">
      <c r="A181" s="4" t="str">
        <f>IFERROR(__xludf.DUMMYFUNCTION("""COMPUTED_VALUE"""),"249")</f>
        <v>249</v>
      </c>
      <c r="B181" s="4" t="str">
        <f>IFERROR(__xludf.DUMMYFUNCTION("""COMPUTED_VALUE"""),"Cartel PVC 40x30 STOP")</f>
        <v>Cartel PVC 40x30 STOP</v>
      </c>
      <c r="C181" s="4">
        <f>IFERROR(__xludf.DUMMYFUNCTION("""COMPUTED_VALUE"""),2.3808)</f>
        <v>2.3808</v>
      </c>
    </row>
    <row r="182">
      <c r="A182" s="4" t="str">
        <f>IFERROR(__xludf.DUMMYFUNCTION("""COMPUTED_VALUE"""),"0249P")</f>
        <v>0249P</v>
      </c>
      <c r="B182" s="4" t="str">
        <f>IFERROR(__xludf.DUMMYFUNCTION("""COMPUTED_VALUE"""),"Cartel PVC 21x29 STOP")</f>
        <v>Cartel PVC 21x29 STOP</v>
      </c>
      <c r="C182" s="4">
        <f>IFERROR(__xludf.DUMMYFUNCTION("""COMPUTED_VALUE"""),1.536)</f>
        <v>1.536</v>
      </c>
    </row>
    <row r="183">
      <c r="A183" s="4" t="str">
        <f>IFERROR(__xludf.DUMMYFUNCTION("""COMPUTED_VALUE"""),"250")</f>
        <v>250</v>
      </c>
      <c r="B183" s="4" t="str">
        <f>IFERROR(__xludf.DUMMYFUNCTION("""COMPUTED_VALUE"""),"Cartel PVC 40x30 (Peligro Indefinido)")</f>
        <v>Cartel PVC 40x30 (Peligro Indefinido)</v>
      </c>
      <c r="C183" s="4">
        <f>IFERROR(__xludf.DUMMYFUNCTION("""COMPUTED_VALUE"""),2.3808)</f>
        <v>2.3808</v>
      </c>
    </row>
    <row r="184">
      <c r="A184" s="4" t="str">
        <f>IFERROR(__xludf.DUMMYFUNCTION("""COMPUTED_VALUE"""),"0250P")</f>
        <v>0250P</v>
      </c>
      <c r="B184" s="4" t="str">
        <f>IFERROR(__xludf.DUMMYFUNCTION("""COMPUTED_VALUE"""),"Cartel PVC 21x29 PELIGRO")</f>
        <v>Cartel PVC 21x29 PELIGRO</v>
      </c>
      <c r="C184" s="4">
        <f>IFERROR(__xludf.DUMMYFUNCTION("""COMPUTED_VALUE"""),1.536)</f>
        <v>1.536</v>
      </c>
    </row>
    <row r="185">
      <c r="A185" s="4" t="str">
        <f>IFERROR(__xludf.DUMMYFUNCTION("""COMPUTED_VALUE"""),"251")</f>
        <v>251</v>
      </c>
      <c r="B185" s="4" t="str">
        <f>IFERROR(__xludf.DUMMYFUNCTION("""COMPUTED_VALUE"""),"Cartel PVC 40x30 (Vado Permanente)")</f>
        <v>Cartel PVC 40x30 (Vado Permanente)</v>
      </c>
      <c r="C185" s="4">
        <f>IFERROR(__xludf.DUMMYFUNCTION("""COMPUTED_VALUE"""),2.3808)</f>
        <v>2.3808</v>
      </c>
    </row>
    <row r="186">
      <c r="A186" s="4" t="str">
        <f>IFERROR(__xludf.DUMMYFUNCTION("""COMPUTED_VALUE"""),"0251P")</f>
        <v>0251P</v>
      </c>
      <c r="B186" s="4" t="str">
        <f>IFERROR(__xludf.DUMMYFUNCTION("""COMPUTED_VALUE"""),"Cartel PVC 21x29 VADO PERMANENTE")</f>
        <v>Cartel PVC 21x29 VADO PERMANENTE</v>
      </c>
      <c r="C186" s="4">
        <f>IFERROR(__xludf.DUMMYFUNCTION("""COMPUTED_VALUE"""),1.536)</f>
        <v>1.536</v>
      </c>
    </row>
    <row r="187">
      <c r="A187" s="4" t="str">
        <f>IFERROR(__xludf.DUMMYFUNCTION("""COMPUTED_VALUE"""),"252")</f>
        <v>252</v>
      </c>
      <c r="B187" s="4" t="str">
        <f>IFERROR(__xludf.DUMMYFUNCTION("""COMPUTED_VALUE"""),"Cartel PVC 40x30 (Riesgo Atrapamiento)")</f>
        <v>Cartel PVC 40x30 (Riesgo Atrapamiento)</v>
      </c>
      <c r="C187" s="4">
        <f>IFERROR(__xludf.DUMMYFUNCTION("""COMPUTED_VALUE"""),2.3808)</f>
        <v>2.3808</v>
      </c>
    </row>
    <row r="188">
      <c r="A188" s="4" t="str">
        <f>IFERROR(__xludf.DUMMYFUNCTION("""COMPUTED_VALUE"""),"0252P")</f>
        <v>0252P</v>
      </c>
      <c r="B188" s="4" t="str">
        <f>IFERROR(__xludf.DUMMYFUNCTION("""COMPUTED_VALUE"""),"Cartel PVC 21x29 ATENCION RIESGO DE ATRAPAMIENTO")</f>
        <v>Cartel PVC 21x29 ATENCION RIESGO DE ATRAPAMIENTO</v>
      </c>
      <c r="C188" s="4">
        <f>IFERROR(__xludf.DUMMYFUNCTION("""COMPUTED_VALUE"""),1.536)</f>
        <v>1.536</v>
      </c>
    </row>
    <row r="189">
      <c r="A189" s="4" t="str">
        <f>IFERROR(__xludf.DUMMYFUNCTION("""COMPUTED_VALUE"""),"253")</f>
        <v>253</v>
      </c>
      <c r="B189" s="4" t="str">
        <f>IFERROR(__xludf.DUMMYFUNCTION("""COMPUTED_VALUE"""),"Cartel PVC 40x30 (Proh. paso empresa)")</f>
        <v>Cartel PVC 40x30 (Proh. paso empresa)</v>
      </c>
      <c r="C189" s="4">
        <f>IFERROR(__xludf.DUMMYFUNCTION("""COMPUTED_VALUE"""),2.3808)</f>
        <v>2.3808</v>
      </c>
    </row>
    <row r="190">
      <c r="A190" s="4" t="str">
        <f>IFERROR(__xludf.DUMMYFUNCTION("""COMPUTED_VALUE"""),"0253P")</f>
        <v>0253P</v>
      </c>
      <c r="B190" s="4" t="str">
        <f>IFERROR(__xludf.DUMMYFUNCTION("""COMPUTED_VALUE"""),"Cartel PVC 21x29 PROHIBIDO PASO PERSONA AJENA")</f>
        <v>Cartel PVC 21x29 PROHIBIDO PASO PERSONA AJENA</v>
      </c>
      <c r="C190" s="4">
        <f>IFERROR(__xludf.DUMMYFUNCTION("""COMPUTED_VALUE"""),1.536)</f>
        <v>1.536</v>
      </c>
    </row>
    <row r="191">
      <c r="A191" s="4" t="str">
        <f>IFERROR(__xludf.DUMMYFUNCTION("""COMPUTED_VALUE"""),"255")</f>
        <v>255</v>
      </c>
      <c r="B191" s="4" t="str">
        <f>IFERROR(__xludf.DUMMYFUNCTION("""COMPUTED_VALUE"""),"Cartel PVC 40x30 (Temperatura elevada)")</f>
        <v>Cartel PVC 40x30 (Temperatura elevada)</v>
      </c>
      <c r="C191" s="4">
        <f>IFERROR(__xludf.DUMMYFUNCTION("""COMPUTED_VALUE"""),2.3808)</f>
        <v>2.3808</v>
      </c>
    </row>
    <row r="192">
      <c r="A192" s="4" t="str">
        <f>IFERROR(__xludf.DUMMYFUNCTION("""COMPUTED_VALUE"""),"0255P")</f>
        <v>0255P</v>
      </c>
      <c r="B192" s="4" t="str">
        <f>IFERROR(__xludf.DUMMYFUNCTION("""COMPUTED_VALUE"""),"Cartel PVC 21x29 TEMPERATURA ELEVADA")</f>
        <v>Cartel PVC 21x29 TEMPERATURA ELEVADA</v>
      </c>
      <c r="C192" s="4">
        <f>IFERROR(__xludf.DUMMYFUNCTION("""COMPUTED_VALUE"""),1.536)</f>
        <v>1.536</v>
      </c>
    </row>
    <row r="193">
      <c r="A193" s="4" t="str">
        <f>IFERROR(__xludf.DUMMYFUNCTION("""COMPUTED_VALUE"""),"256")</f>
        <v>256</v>
      </c>
      <c r="B193" s="4" t="str">
        <f>IFERROR(__xludf.DUMMYFUNCTION("""COMPUTED_VALUE"""),"Cartel PVC 40x30 Fotolum. Botiquin")</f>
        <v>Cartel PVC 40x30 Fotolum. Botiquin</v>
      </c>
      <c r="C193" s="4">
        <f>IFERROR(__xludf.DUMMYFUNCTION("""COMPUTED_VALUE"""),3.2159999999999997)</f>
        <v>3.216</v>
      </c>
    </row>
    <row r="194">
      <c r="A194" s="4" t="str">
        <f>IFERROR(__xludf.DUMMYFUNCTION("""COMPUTED_VALUE"""),"257")</f>
        <v>257</v>
      </c>
      <c r="B194" s="4" t="str">
        <f>IFERROR(__xludf.DUMMYFUNCTION("""COMPUTED_VALUE"""),"Cartel PVC 40x30 (Riesgo desprendimiento)")</f>
        <v>Cartel PVC 40x30 (Riesgo desprendimiento)</v>
      </c>
      <c r="C194" s="4">
        <f>IFERROR(__xludf.DUMMYFUNCTION("""COMPUTED_VALUE"""),2.3808)</f>
        <v>2.3808</v>
      </c>
    </row>
    <row r="195">
      <c r="A195" s="4" t="str">
        <f>IFERROR(__xludf.DUMMYFUNCTION("""COMPUTED_VALUE"""),"0257P")</f>
        <v>0257P</v>
      </c>
      <c r="B195" s="4" t="str">
        <f>IFERROR(__xludf.DUMMYFUNCTION("""COMPUTED_VALUE"""),"Cartel PVC 21x29 RIESGO DESPRENDIMIENTOS")</f>
        <v>Cartel PVC 21x29 RIESGO DESPRENDIMIENTOS</v>
      </c>
      <c r="C195" s="4">
        <f>IFERROR(__xludf.DUMMYFUNCTION("""COMPUTED_VALUE"""),1.536)</f>
        <v>1.536</v>
      </c>
    </row>
    <row r="196">
      <c r="A196" s="4" t="str">
        <f>IFERROR(__xludf.DUMMYFUNCTION("""COMPUTED_VALUE"""),"0258A")</f>
        <v>0258A</v>
      </c>
      <c r="B196" s="4" t="str">
        <f>IFERROR(__xludf.DUMMYFUNCTION("""COMPUTED_VALUE"""),"Cartel PVC 21x30 Fotolum. Pulsador de Alarma")</f>
        <v>Cartel PVC 21x30 Fotolum. Pulsador de Alarma</v>
      </c>
      <c r="C196" s="4">
        <f>IFERROR(__xludf.DUMMYFUNCTION("""COMPUTED_VALUE"""),2.4192)</f>
        <v>2.4192</v>
      </c>
    </row>
    <row r="197">
      <c r="A197" s="4" t="str">
        <f>IFERROR(__xludf.DUMMYFUNCTION("""COMPUTED_VALUE"""),"0258B")</f>
        <v>0258B</v>
      </c>
      <c r="B197" s="4" t="str">
        <f>IFERROR(__xludf.DUMMYFUNCTION("""COMPUTED_VALUE"""),"Cartel PVC 40x30 Fotolum. Pulsador de Alarma")</f>
        <v>Cartel PVC 40x30 Fotolum. Pulsador de Alarma</v>
      </c>
      <c r="C197" s="4">
        <f>IFERROR(__xludf.DUMMYFUNCTION("""COMPUTED_VALUE"""),2.976)</f>
        <v>2.976</v>
      </c>
    </row>
    <row r="198">
      <c r="A198" s="4" t="str">
        <f>IFERROR(__xludf.DUMMYFUNCTION("""COMPUTED_VALUE"""),"259")</f>
        <v>259</v>
      </c>
      <c r="B198" s="4" t="str">
        <f>IFERROR(__xludf.DUMMYFUNCTION("""COMPUTED_VALUE"""),"Cartel PVC 40x30 Prohib. depositar materiales")</f>
        <v>Cartel PVC 40x30 Prohib. depositar materiales</v>
      </c>
      <c r="C198" s="4">
        <f>IFERROR(__xludf.DUMMYFUNCTION("""COMPUTED_VALUE"""),2.3808)</f>
        <v>2.3808</v>
      </c>
    </row>
    <row r="199">
      <c r="A199" s="4" t="str">
        <f>IFERROR(__xludf.DUMMYFUNCTION("""COMPUTED_VALUE"""),"0259P")</f>
        <v>0259P</v>
      </c>
      <c r="B199" s="4" t="str">
        <f>IFERROR(__xludf.DUMMYFUNCTION("""COMPUTED_VALUE"""),"Cartel PVC 21x29 PROHIBIDO DEPOSITAR MATERIALES")</f>
        <v>Cartel PVC 21x29 PROHIBIDO DEPOSITAR MATERIALES</v>
      </c>
      <c r="C199" s="4">
        <f>IFERROR(__xludf.DUMMYFUNCTION("""COMPUTED_VALUE"""),1.536)</f>
        <v>1.536</v>
      </c>
    </row>
    <row r="200">
      <c r="A200" s="4" t="str">
        <f>IFERROR(__xludf.DUMMYFUNCTION("""COMPUTED_VALUE"""),"260")</f>
        <v>260</v>
      </c>
      <c r="B200" s="4" t="str">
        <f>IFERROR(__xludf.DUMMYFUNCTION("""COMPUTED_VALUE"""),"Cartel PVC 40x30 Caida de Objetos")</f>
        <v>Cartel PVC 40x30 Caida de Objetos</v>
      </c>
      <c r="C200" s="4">
        <f>IFERROR(__xludf.DUMMYFUNCTION("""COMPUTED_VALUE"""),2.3808)</f>
        <v>2.3808</v>
      </c>
    </row>
    <row r="201">
      <c r="A201" s="4" t="str">
        <f>IFERROR(__xludf.DUMMYFUNCTION("""COMPUTED_VALUE"""),"0260P")</f>
        <v>0260P</v>
      </c>
      <c r="B201" s="4" t="str">
        <f>IFERROR(__xludf.DUMMYFUNCTION("""COMPUTED_VALUE"""),"Cartel PVC 21x29 PELIGRO CAIDA DE OBJETOS")</f>
        <v>Cartel PVC 21x29 PELIGRO CAIDA DE OBJETOS</v>
      </c>
      <c r="C201" s="4">
        <f>IFERROR(__xludf.DUMMYFUNCTION("""COMPUTED_VALUE"""),1.536)</f>
        <v>1.536</v>
      </c>
    </row>
    <row r="202">
      <c r="A202" s="4" t="str">
        <f>IFERROR(__xludf.DUMMYFUNCTION("""COMPUTED_VALUE"""),"261")</f>
        <v>261</v>
      </c>
      <c r="B202" s="4" t="str">
        <f>IFERROR(__xludf.DUMMYFUNCTION("""COMPUTED_VALUE"""),"Cartel PVC 40x30 Fotolum. Aseos Mujeres")</f>
        <v>Cartel PVC 40x30 Fotolum. Aseos Mujeres</v>
      </c>
      <c r="C202" s="4">
        <f>IFERROR(__xludf.DUMMYFUNCTION("""COMPUTED_VALUE"""),3.2159999999999997)</f>
        <v>3.216</v>
      </c>
    </row>
    <row r="203">
      <c r="A203" s="4" t="str">
        <f>IFERROR(__xludf.DUMMYFUNCTION("""COMPUTED_VALUE"""),"262")</f>
        <v>262</v>
      </c>
      <c r="B203" s="4" t="str">
        <f>IFERROR(__xludf.DUMMYFUNCTION("""COMPUTED_VALUE"""),"Cartel PVC 40x30 Fotolum. Aseos hombres")</f>
        <v>Cartel PVC 40x30 Fotolum. Aseos hombres</v>
      </c>
      <c r="C203" s="4">
        <f>IFERROR(__xludf.DUMMYFUNCTION("""COMPUTED_VALUE"""),3.2159999999999997)</f>
        <v>3.216</v>
      </c>
    </row>
    <row r="204">
      <c r="A204" s="4" t="str">
        <f>IFERROR(__xludf.DUMMYFUNCTION("""COMPUTED_VALUE"""),"263")</f>
        <v>263</v>
      </c>
      <c r="B204" s="4" t="str">
        <f>IFERROR(__xludf.DUMMYFUNCTION("""COMPUTED_VALUE"""),"Cartel PVC 40x30 Fotolum.Aseos Mixtos")</f>
        <v>Cartel PVC 40x30 Fotolum.Aseos Mixtos</v>
      </c>
      <c r="C204" s="4">
        <f>IFERROR(__xludf.DUMMYFUNCTION("""COMPUTED_VALUE"""),3.2159999999999997)</f>
        <v>3.216</v>
      </c>
    </row>
    <row r="205">
      <c r="A205" s="4" t="str">
        <f>IFERROR(__xludf.DUMMYFUNCTION("""COMPUTED_VALUE"""),"264")</f>
        <v>264</v>
      </c>
      <c r="B205" s="4" t="str">
        <f>IFERROR(__xludf.DUMMYFUNCTION("""COMPUTED_VALUE"""),"Cartel PVC 40X30 Fotolum. Salida de Emergencia")</f>
        <v>Cartel PVC 40X30 Fotolum. Salida de Emergencia</v>
      </c>
      <c r="C205" s="4">
        <f>IFERROR(__xludf.DUMMYFUNCTION("""COMPUTED_VALUE"""),3.2159999999999997)</f>
        <v>3.216</v>
      </c>
    </row>
    <row r="206">
      <c r="A206" s="4" t="str">
        <f>IFERROR(__xludf.DUMMYFUNCTION("""COMPUTED_VALUE"""),"265")</f>
        <v>265</v>
      </c>
      <c r="B206" s="4" t="str">
        <f>IFERROR(__xludf.DUMMYFUNCTION("""COMPUTED_VALUE"""),"Cartel PVC 40x30 Perro Peligroso")</f>
        <v>Cartel PVC 40x30 Perro Peligroso</v>
      </c>
      <c r="C206" s="4">
        <f>IFERROR(__xludf.DUMMYFUNCTION("""COMPUTED_VALUE"""),2.3808)</f>
        <v>2.3808</v>
      </c>
    </row>
    <row r="207">
      <c r="A207" s="4" t="str">
        <f>IFERROR(__xludf.DUMMYFUNCTION("""COMPUTED_VALUE"""),"0265P")</f>
        <v>0265P</v>
      </c>
      <c r="B207" s="4" t="str">
        <f>IFERROR(__xludf.DUMMYFUNCTION("""COMPUTED_VALUE"""),"Cartel PVC 21x29 PERRO PELIGROSO")</f>
        <v>Cartel PVC 21x29 PERRO PELIGROSO</v>
      </c>
      <c r="C207" s="4">
        <f>IFERROR(__xludf.DUMMYFUNCTION("""COMPUTED_VALUE"""),1.536)</f>
        <v>1.536</v>
      </c>
    </row>
    <row r="208">
      <c r="A208" s="4" t="str">
        <f>IFERROR(__xludf.DUMMYFUNCTION("""COMPUTED_VALUE"""),"266")</f>
        <v>266</v>
      </c>
      <c r="B208" s="4" t="str">
        <f>IFERROR(__xludf.DUMMYFUNCTION("""COMPUTED_VALUE"""),"Cartel PVC 40x30 Peligro zona minera")</f>
        <v>Cartel PVC 40x30 Peligro zona minera</v>
      </c>
      <c r="C208" s="4">
        <f>IFERROR(__xludf.DUMMYFUNCTION("""COMPUTED_VALUE"""),2.3808)</f>
        <v>2.3808</v>
      </c>
    </row>
    <row r="209">
      <c r="A209" s="4" t="str">
        <f>IFERROR(__xludf.DUMMYFUNCTION("""COMPUTED_VALUE"""),"0266P")</f>
        <v>0266P</v>
      </c>
      <c r="B209" s="4" t="str">
        <f>IFERROR(__xludf.DUMMYFUNCTION("""COMPUTED_VALUE"""),"Cartel PVC 21x29 PELIGRO ZONA MINERA")</f>
        <v>Cartel PVC 21x29 PELIGRO ZONA MINERA</v>
      </c>
      <c r="C209" s="4">
        <f>IFERROR(__xludf.DUMMYFUNCTION("""COMPUTED_VALUE"""),1.536)</f>
        <v>1.536</v>
      </c>
    </row>
    <row r="210">
      <c r="A210" s="4" t="str">
        <f>IFERROR(__xludf.DUMMYFUNCTION("""COMPUTED_VALUE"""),"267")</f>
        <v>267</v>
      </c>
      <c r="B210" s="4" t="str">
        <f>IFERROR(__xludf.DUMMYFUNCTION("""COMPUTED_VALUE"""),"Cartel PVC 40x30 Vehiculo Pesado")</f>
        <v>Cartel PVC 40x30 Vehiculo Pesado</v>
      </c>
      <c r="C210" s="4">
        <f>IFERROR(__xludf.DUMMYFUNCTION("""COMPUTED_VALUE"""),2.3808)</f>
        <v>2.3808</v>
      </c>
    </row>
    <row r="211">
      <c r="A211" s="4" t="str">
        <f>IFERROR(__xludf.DUMMYFUNCTION("""COMPUTED_VALUE"""),"0267P")</f>
        <v>0267P</v>
      </c>
      <c r="B211" s="4" t="str">
        <f>IFERROR(__xludf.DUMMYFUNCTION("""COMPUTED_VALUE"""),"Cartel PVC 21x29 VEHICULO PESADO")</f>
        <v>Cartel PVC 21x29 VEHICULO PESADO</v>
      </c>
      <c r="C211" s="4">
        <f>IFERROR(__xludf.DUMMYFUNCTION("""COMPUTED_VALUE"""),1.536)</f>
        <v>1.536</v>
      </c>
    </row>
    <row r="212">
      <c r="A212" s="4" t="str">
        <f>IFERROR(__xludf.DUMMYFUNCTION("""COMPUTED_VALUE"""),"268")</f>
        <v>268</v>
      </c>
      <c r="B212" s="4" t="str">
        <f>IFERROR(__xludf.DUMMYFUNCTION("""COMPUTED_VALUE"""),"Cartel PVC 40x30 Peligro Expulsion de Material")</f>
        <v>Cartel PVC 40x30 Peligro Expulsion de Material</v>
      </c>
      <c r="C212" s="4">
        <f>IFERROR(__xludf.DUMMYFUNCTION("""COMPUTED_VALUE"""),2.3808)</f>
        <v>2.3808</v>
      </c>
    </row>
    <row r="213">
      <c r="A213" s="4" t="str">
        <f>IFERROR(__xludf.DUMMYFUNCTION("""COMPUTED_VALUE"""),"0268P")</f>
        <v>0268P</v>
      </c>
      <c r="B213" s="4" t="str">
        <f>IFERROR(__xludf.DUMMYFUNCTION("""COMPUTED_VALUE"""),"Cartel PVC 21x29 PELIGRO EXPUL.MATERIAL")</f>
        <v>Cartel PVC 21x29 PELIGRO EXPUL.MATERIAL</v>
      </c>
      <c r="C213" s="4">
        <f>IFERROR(__xludf.DUMMYFUNCTION("""COMPUTED_VALUE"""),1.536)</f>
        <v>1.536</v>
      </c>
    </row>
    <row r="214">
      <c r="A214" s="4" t="str">
        <f>IFERROR(__xludf.DUMMYFUNCTION("""COMPUTED_VALUE"""),"269")</f>
        <v>269</v>
      </c>
      <c r="B214" s="4" t="str">
        <f>IFERROR(__xludf.DUMMYFUNCTION("""COMPUTED_VALUE"""),"Cartel PVC 40x30 Atencion Mecanismo Accionado a distancia")</f>
        <v>Cartel PVC 40x30 Atencion Mecanismo Accionado a distancia</v>
      </c>
      <c r="C214" s="4">
        <f>IFERROR(__xludf.DUMMYFUNCTION("""COMPUTED_VALUE"""),2.3808)</f>
        <v>2.3808</v>
      </c>
    </row>
    <row r="215">
      <c r="A215" s="4" t="str">
        <f>IFERROR(__xludf.DUMMYFUNCTION("""COMPUTED_VALUE"""),"0269P")</f>
        <v>0269P</v>
      </c>
      <c r="B215" s="4" t="str">
        <f>IFERROR(__xludf.DUMMYFUNCTION("""COMPUTED_VALUE"""),"Cartel PVC 21x29 ATENCION MECANISMO ACCION.")</f>
        <v>Cartel PVC 21x29 ATENCION MECANISMO ACCION.</v>
      </c>
      <c r="C215" s="4">
        <f>IFERROR(__xludf.DUMMYFUNCTION("""COMPUTED_VALUE"""),1.536)</f>
        <v>1.536</v>
      </c>
    </row>
    <row r="216">
      <c r="A216" s="4" t="str">
        <f>IFERROR(__xludf.DUMMYFUNCTION("""COMPUTED_VALUE"""),"270")</f>
        <v>270</v>
      </c>
      <c r="B216" s="4" t="str">
        <f>IFERROR(__xludf.DUMMYFUNCTION("""COMPUTED_VALUE"""),"Cartel PVC 40x30 Atencion Grua Accionada a distan.")</f>
        <v>Cartel PVC 40x30 Atencion Grua Accionada a distan.</v>
      </c>
      <c r="C216" s="4">
        <f>IFERROR(__xludf.DUMMYFUNCTION("""COMPUTED_VALUE"""),2.3808)</f>
        <v>2.3808</v>
      </c>
    </row>
    <row r="217">
      <c r="A217" s="4" t="str">
        <f>IFERROR(__xludf.DUMMYFUNCTION("""COMPUTED_VALUE"""),"0270P")</f>
        <v>0270P</v>
      </c>
      <c r="B217" s="4" t="str">
        <f>IFERROR(__xludf.DUMMYFUNCTION("""COMPUTED_VALUE"""),"Cartel PVC 21x29 ATENCION GRUA ACCIONADA A")</f>
        <v>Cartel PVC 21x29 ATENCION GRUA ACCIONADA A</v>
      </c>
      <c r="C217" s="4">
        <f>IFERROR(__xludf.DUMMYFUNCTION("""COMPUTED_VALUE"""),1.536)</f>
        <v>1.536</v>
      </c>
    </row>
    <row r="218">
      <c r="A218" s="4" t="str">
        <f>IFERROR(__xludf.DUMMYFUNCTION("""COMPUTED_VALUE"""),"271")</f>
        <v>271</v>
      </c>
      <c r="B218" s="4" t="str">
        <f>IFERROR(__xludf.DUMMYFUNCTION("""COMPUTED_VALUE"""),"Cartel PVC 40x30 EX 40x30 cm")</f>
        <v>Cartel PVC 40x30 EX 40x30 cm</v>
      </c>
      <c r="C218" s="4">
        <f>IFERROR(__xludf.DUMMYFUNCTION("""COMPUTED_VALUE"""),2.3808)</f>
        <v>2.3808</v>
      </c>
    </row>
    <row r="219">
      <c r="A219" s="4" t="str">
        <f>IFERROR(__xludf.DUMMYFUNCTION("""COMPUTED_VALUE"""),"0271P")</f>
        <v>0271P</v>
      </c>
      <c r="B219" s="4" t="str">
        <f>IFERROR(__xludf.DUMMYFUNCTION("""COMPUTED_VALUE"""),"Cartel PVC 21x29 EX 21x29 cm")</f>
        <v>Cartel PVC 21x29 EX 21x29 cm</v>
      </c>
      <c r="C219" s="4">
        <f>IFERROR(__xludf.DUMMYFUNCTION("""COMPUTED_VALUE"""),1.536)</f>
        <v>1.536</v>
      </c>
    </row>
    <row r="220">
      <c r="A220" s="4" t="str">
        <f>IFERROR(__xludf.DUMMYFUNCTION("""COMPUTED_VALUE"""),"272")</f>
        <v>272</v>
      </c>
      <c r="B220" s="4" t="str">
        <f>IFERROR(__xludf.DUMMYFUNCTION("""COMPUTED_VALUE"""),"Cartel PVC 40x30 Peligro Voladuras")</f>
        <v>Cartel PVC 40x30 Peligro Voladuras</v>
      </c>
      <c r="C220" s="4">
        <f>IFERROR(__xludf.DUMMYFUNCTION("""COMPUTED_VALUE"""),2.3808)</f>
        <v>2.3808</v>
      </c>
    </row>
    <row r="221">
      <c r="A221" s="4" t="str">
        <f>IFERROR(__xludf.DUMMYFUNCTION("""COMPUTED_VALUE"""),"0272P")</f>
        <v>0272P</v>
      </c>
      <c r="B221" s="4" t="str">
        <f>IFERROR(__xludf.DUMMYFUNCTION("""COMPUTED_VALUE"""),"Cartel PVC 21x29 PELIGRO VOLADURA")</f>
        <v>Cartel PVC 21x29 PELIGRO VOLADURA</v>
      </c>
      <c r="C221" s="4">
        <f>IFERROR(__xludf.DUMMYFUNCTION("""COMPUTED_VALUE"""),1.536)</f>
        <v>1.536</v>
      </c>
    </row>
    <row r="222">
      <c r="A222" s="4" t="str">
        <f>IFERROR(__xludf.DUMMYFUNCTION("""COMPUTED_VALUE"""),"273")</f>
        <v>273</v>
      </c>
      <c r="B222" s="4" t="str">
        <f>IFERROR(__xludf.DUMMYFUNCTION("""COMPUTED_VALUE"""),"Cartel PVC 40x30 Prohib. Manipular valvula")</f>
        <v>Cartel PVC 40x30 Prohib. Manipular valvula</v>
      </c>
      <c r="C222" s="4">
        <f>IFERROR(__xludf.DUMMYFUNCTION("""COMPUTED_VALUE"""),2.3808)</f>
        <v>2.3808</v>
      </c>
    </row>
    <row r="223">
      <c r="A223" s="4" t="str">
        <f>IFERROR(__xludf.DUMMYFUNCTION("""COMPUTED_VALUE"""),"0273P")</f>
        <v>0273P</v>
      </c>
      <c r="B223" s="4" t="str">
        <f>IFERROR(__xludf.DUMMYFUNCTION("""COMPUTED_VALUE"""),"Cartel PVC 21x29 PROHIBIDO MANIPULAR LA VALVULA")</f>
        <v>Cartel PVC 21x29 PROHIBIDO MANIPULAR LA VALVULA</v>
      </c>
      <c r="C223" s="4">
        <f>IFERROR(__xludf.DUMMYFUNCTION("""COMPUTED_VALUE"""),1.536)</f>
        <v>1.536</v>
      </c>
    </row>
    <row r="224">
      <c r="A224" s="4" t="str">
        <f>IFERROR(__xludf.DUMMYFUNCTION("""COMPUTED_VALUE"""),"274")</f>
        <v>274</v>
      </c>
      <c r="B224" s="4" t="str">
        <f>IFERROR(__xludf.DUMMYFUNCTION("""COMPUTED_VALUE"""),"Cartel PVC 40x30 Prohibido Engrasar en funcionamiento")</f>
        <v>Cartel PVC 40x30 Prohibido Engrasar en funcionamiento</v>
      </c>
      <c r="C224" s="4">
        <f>IFERROR(__xludf.DUMMYFUNCTION("""COMPUTED_VALUE"""),2.3808)</f>
        <v>2.3808</v>
      </c>
    </row>
    <row r="225">
      <c r="A225" s="4" t="str">
        <f>IFERROR(__xludf.DUMMYFUNCTION("""COMPUTED_VALUE"""),"0274P")</f>
        <v>0274P</v>
      </c>
      <c r="B225" s="4" t="str">
        <f>IFERROR(__xludf.DUMMYFUNCTION("""COMPUTED_VALUE"""),"Cartel PVC 21x29 PROHIBIDO ENGRASAR O REPARAR")</f>
        <v>Cartel PVC 21x29 PROHIBIDO ENGRASAR O REPARAR</v>
      </c>
      <c r="C225" s="4">
        <f>IFERROR(__xludf.DUMMYFUNCTION("""COMPUTED_VALUE"""),1.536)</f>
        <v>1.536</v>
      </c>
    </row>
    <row r="226">
      <c r="A226" s="4" t="str">
        <f>IFERROR(__xludf.DUMMYFUNCTION("""COMPUTED_VALUE"""),"275")</f>
        <v>275</v>
      </c>
      <c r="B226" s="4" t="str">
        <f>IFERROR(__xludf.DUMMYFUNCTION("""COMPUTED_VALUE"""),"Cartel PVC 40x30 Prohib. efectuar reparaciones pers. no")</f>
        <v>Cartel PVC 40x30 Prohib. efectuar reparaciones pers. no</v>
      </c>
      <c r="C226" s="4">
        <f>IFERROR(__xludf.DUMMYFUNCTION("""COMPUTED_VALUE"""),2.3808)</f>
        <v>2.3808</v>
      </c>
    </row>
    <row r="227">
      <c r="A227" s="4" t="str">
        <f>IFERROR(__xludf.DUMMYFUNCTION("""COMPUTED_VALUE"""),"0275P")</f>
        <v>0275P</v>
      </c>
      <c r="B227" s="4" t="str">
        <f>IFERROR(__xludf.DUMMYFUNCTION("""COMPUTED_VALUE"""),"Cartel PVC 21x29 PROHIBIDO REPARACIONES PERSONAL")</f>
        <v>Cartel PVC 21x29 PROHIBIDO REPARACIONES PERSONAL</v>
      </c>
      <c r="C227" s="4">
        <f>IFERROR(__xludf.DUMMYFUNCTION("""COMPUTED_VALUE"""),1.536)</f>
        <v>1.536</v>
      </c>
    </row>
    <row r="228">
      <c r="A228" s="4" t="str">
        <f>IFERROR(__xludf.DUMMYFUNCTION("""COMPUTED_VALUE"""),"276")</f>
        <v>276</v>
      </c>
      <c r="B228" s="4" t="str">
        <f>IFERROR(__xludf.DUMMYFUNCTION("""COMPUTED_VALUE"""),"Cartel PVC 40x30 Prohib. Manipular maquina en")</f>
        <v>Cartel PVC 40x30 Prohib. Manipular maquina en</v>
      </c>
      <c r="C228" s="4">
        <f>IFERROR(__xludf.DUMMYFUNCTION("""COMPUTED_VALUE"""),2.3808)</f>
        <v>2.3808</v>
      </c>
    </row>
    <row r="229">
      <c r="A229" s="4" t="str">
        <f>IFERROR(__xludf.DUMMYFUNCTION("""COMPUTED_VALUE"""),"0276P")</f>
        <v>0276P</v>
      </c>
      <c r="B229" s="4" t="str">
        <f>IFERROR(__xludf.DUMMYFUNCTION("""COMPUTED_VALUE"""),"Cartel PVC 21x29 PROHIBIDO MANIPULAR LA MAQUINA EN")</f>
        <v>Cartel PVC 21x29 PROHIBIDO MANIPULAR LA MAQUINA EN</v>
      </c>
      <c r="C229" s="4">
        <f>IFERROR(__xludf.DUMMYFUNCTION("""COMPUTED_VALUE"""),1.536)</f>
        <v>1.536</v>
      </c>
    </row>
    <row r="230">
      <c r="A230" s="4" t="str">
        <f>IFERROR(__xludf.DUMMYFUNCTION("""COMPUTED_VALUE"""),"277")</f>
        <v>277</v>
      </c>
      <c r="B230" s="4" t="str">
        <f>IFERROR(__xludf.DUMMYFUNCTION("""COMPUTED_VALUE"""),"Cartel PVC 40x30 Area de Ruido Peligroso")</f>
        <v>Cartel PVC 40x30 Area de Ruido Peligroso</v>
      </c>
      <c r="C230" s="4">
        <f>IFERROR(__xludf.DUMMYFUNCTION("""COMPUTED_VALUE"""),2.3808)</f>
        <v>2.3808</v>
      </c>
    </row>
    <row r="231">
      <c r="A231" s="4" t="str">
        <f>IFERROR(__xludf.DUMMYFUNCTION("""COMPUTED_VALUE"""),"0277P")</f>
        <v>0277P</v>
      </c>
      <c r="B231" s="4" t="str">
        <f>IFERROR(__xludf.DUMMYFUNCTION("""COMPUTED_VALUE"""),"Cartel PVC 21x29 ATENCION AREA RUIDO PELIGROSO")</f>
        <v>Cartel PVC 21x29 ATENCION AREA RUIDO PELIGROSO</v>
      </c>
      <c r="C231" s="4">
        <f>IFERROR(__xludf.DUMMYFUNCTION("""COMPUTED_VALUE"""),1.536)</f>
        <v>1.536</v>
      </c>
    </row>
    <row r="232">
      <c r="A232" s="4" t="str">
        <f>IFERROR(__xludf.DUMMYFUNCTION("""COMPUTED_VALUE"""),"278")</f>
        <v>278</v>
      </c>
      <c r="B232" s="4" t="str">
        <f>IFERROR(__xludf.DUMMYFUNCTION("""COMPUTED_VALUE"""),"Cartel PVC 40x30 Prohib. la entrada con perros")</f>
        <v>Cartel PVC 40x30 Prohib. la entrada con perros</v>
      </c>
      <c r="C232" s="4">
        <f>IFERROR(__xludf.DUMMYFUNCTION("""COMPUTED_VALUE"""),2.3808)</f>
        <v>2.3808</v>
      </c>
    </row>
    <row r="233">
      <c r="A233" s="4" t="str">
        <f>IFERROR(__xludf.DUMMYFUNCTION("""COMPUTED_VALUE"""),"0278P")</f>
        <v>0278P</v>
      </c>
      <c r="B233" s="4" t="str">
        <f>IFERROR(__xludf.DUMMYFUNCTION("""COMPUTED_VALUE"""),"Cartel PVC 21x29 PROHIBIDO LA ENTRADA CON PERROS")</f>
        <v>Cartel PVC 21x29 PROHIBIDO LA ENTRADA CON PERROS</v>
      </c>
      <c r="C233" s="4">
        <f>IFERROR(__xludf.DUMMYFUNCTION("""COMPUTED_VALUE"""),1.536)</f>
        <v>1.536</v>
      </c>
    </row>
    <row r="234">
      <c r="A234" s="4" t="str">
        <f>IFERROR(__xludf.DUMMYFUNCTION("""COMPUTED_VALUE"""),"279")</f>
        <v>279</v>
      </c>
      <c r="B234" s="4" t="str">
        <f>IFERROR(__xludf.DUMMYFUNCTION("""COMPUTED_VALUE"""),"Cartel PVC 40x30 Prohibido arrojar objetos")</f>
        <v>Cartel PVC 40x30 Prohibido arrojar objetos</v>
      </c>
      <c r="C234" s="4">
        <f>IFERROR(__xludf.DUMMYFUNCTION("""COMPUTED_VALUE"""),2.3808)</f>
        <v>2.3808</v>
      </c>
    </row>
    <row r="235">
      <c r="A235" s="4" t="str">
        <f>IFERROR(__xludf.DUMMYFUNCTION("""COMPUTED_VALUE"""),"0279P")</f>
        <v>0279P</v>
      </c>
      <c r="B235" s="4" t="str">
        <f>IFERROR(__xludf.DUMMYFUNCTION("""COMPUTED_VALUE"""),"Cartel PVC 21x29 PROHIBIDO ARROJAR OBJETOS AL")</f>
        <v>Cartel PVC 21x29 PROHIBIDO ARROJAR OBJETOS AL</v>
      </c>
      <c r="C235" s="4">
        <f>IFERROR(__xludf.DUMMYFUNCTION("""COMPUTED_VALUE"""),1.536)</f>
        <v>1.536</v>
      </c>
    </row>
    <row r="236">
      <c r="A236" s="4" t="str">
        <f>IFERROR(__xludf.DUMMYFUNCTION("""COMPUTED_VALUE"""),"280")</f>
        <v>280</v>
      </c>
      <c r="B236" s="4" t="str">
        <f>IFERROR(__xludf.DUMMYFUNCTION("""COMPUTED_VALUE"""),"Cartel PVC 40x30 Alto No Pasar")</f>
        <v>Cartel PVC 40x30 Alto No Pasar</v>
      </c>
      <c r="C236" s="4">
        <f>IFERROR(__xludf.DUMMYFUNCTION("""COMPUTED_VALUE"""),2.3808)</f>
        <v>2.3808</v>
      </c>
    </row>
    <row r="237">
      <c r="A237" s="4" t="str">
        <f>IFERROR(__xludf.DUMMYFUNCTION("""COMPUTED_VALUE"""),"0280P")</f>
        <v>0280P</v>
      </c>
      <c r="B237" s="4" t="str">
        <f>IFERROR(__xludf.DUMMYFUNCTION("""COMPUTED_VALUE"""),"Cartel PVC 21x29 ALTO NO PASAR")</f>
        <v>Cartel PVC 21x29 ALTO NO PASAR</v>
      </c>
      <c r="C237" s="4">
        <f>IFERROR(__xludf.DUMMYFUNCTION("""COMPUTED_VALUE"""),1.536)</f>
        <v>1.536</v>
      </c>
    </row>
    <row r="238">
      <c r="A238" s="4" t="str">
        <f>IFERROR(__xludf.DUMMYFUNCTION("""COMPUTED_VALUE"""),"281")</f>
        <v>281</v>
      </c>
      <c r="B238" s="4" t="str">
        <f>IFERROR(__xludf.DUMMYFUNCTION("""COMPUTED_VALUE"""),"Cartel PVC 40x30 Agua no Potable")</f>
        <v>Cartel PVC 40x30 Agua no Potable</v>
      </c>
      <c r="C238" s="4">
        <f>IFERROR(__xludf.DUMMYFUNCTION("""COMPUTED_VALUE"""),2.3808)</f>
        <v>2.3808</v>
      </c>
    </row>
    <row r="239">
      <c r="A239" s="4" t="str">
        <f>IFERROR(__xludf.DUMMYFUNCTION("""COMPUTED_VALUE"""),"0281P")</f>
        <v>0281P</v>
      </c>
      <c r="B239" s="4" t="str">
        <f>IFERROR(__xludf.DUMMYFUNCTION("""COMPUTED_VALUE"""),"Cartel PVC 21x29 AGUA NO POTABLE")</f>
        <v>Cartel PVC 21x29 AGUA NO POTABLE</v>
      </c>
      <c r="C239" s="4">
        <f>IFERROR(__xludf.DUMMYFUNCTION("""COMPUTED_VALUE"""),1.536)</f>
        <v>1.536</v>
      </c>
    </row>
    <row r="240">
      <c r="A240" s="4" t="str">
        <f>IFERROR(__xludf.DUMMYFUNCTION("""COMPUTED_VALUE"""),"282")</f>
        <v>282</v>
      </c>
      <c r="B240" s="4" t="str">
        <f>IFERROR(__xludf.DUMMYFUNCTION("""COMPUTED_VALUE"""),"Cartel PVC 40x30 Prohibido El Paso")</f>
        <v>Cartel PVC 40x30 Prohibido El Paso</v>
      </c>
      <c r="C240" s="4">
        <f>IFERROR(__xludf.DUMMYFUNCTION("""COMPUTED_VALUE"""),2.3808)</f>
        <v>2.3808</v>
      </c>
    </row>
    <row r="241">
      <c r="A241" s="4" t="str">
        <f>IFERROR(__xludf.DUMMYFUNCTION("""COMPUTED_VALUE"""),"0282P")</f>
        <v>0282P</v>
      </c>
      <c r="B241" s="4" t="str">
        <f>IFERROR(__xludf.DUMMYFUNCTION("""COMPUTED_VALUE"""),"Cartel PVC 21x29 PROHIBIDO EL PASO")</f>
        <v>Cartel PVC 21x29 PROHIBIDO EL PASO</v>
      </c>
      <c r="C241" s="4">
        <f>IFERROR(__xludf.DUMMYFUNCTION("""COMPUTED_VALUE"""),1.536)</f>
        <v>1.536</v>
      </c>
    </row>
    <row r="242">
      <c r="A242" s="4" t="str">
        <f>IFERROR(__xludf.DUMMYFUNCTION("""COMPUTED_VALUE"""),"283")</f>
        <v>283</v>
      </c>
      <c r="B242" s="4" t="str">
        <f>IFERROR(__xludf.DUMMYFUNCTION("""COMPUTED_VALUE"""),"Cartel PVC 40x30 Prohib. Transportar personas")</f>
        <v>Cartel PVC 40x30 Prohib. Transportar personas</v>
      </c>
      <c r="C242" s="4">
        <f>IFERROR(__xludf.DUMMYFUNCTION("""COMPUTED_VALUE"""),2.3808)</f>
        <v>2.3808</v>
      </c>
    </row>
    <row r="243">
      <c r="A243" s="4" t="str">
        <f>IFERROR(__xludf.DUMMYFUNCTION("""COMPUTED_VALUE"""),"0283P")</f>
        <v>0283P</v>
      </c>
      <c r="B243" s="4" t="str">
        <f>IFERROR(__xludf.DUMMYFUNCTION("""COMPUTED_VALUE"""),"Cartel PVC 21x29 PROHIBIDO TRANSPORTAR PERSONAS")</f>
        <v>Cartel PVC 21x29 PROHIBIDO TRANSPORTAR PERSONAS</v>
      </c>
      <c r="C243" s="4">
        <f>IFERROR(__xludf.DUMMYFUNCTION("""COMPUTED_VALUE"""),1.536)</f>
        <v>1.536</v>
      </c>
    </row>
    <row r="244">
      <c r="A244" s="4" t="str">
        <f>IFERROR(__xludf.DUMMYFUNCTION("""COMPUTED_VALUE"""),"284")</f>
        <v>284</v>
      </c>
      <c r="B244" s="4" t="str">
        <f>IFERROR(__xludf.DUMMYFUNCTION("""COMPUTED_VALUE"""),"Cartel PVC 40x30 Prohib. Situarse debajo de la carga")</f>
        <v>Cartel PVC 40x30 Prohib. Situarse debajo de la carga</v>
      </c>
      <c r="C244" s="4">
        <f>IFERROR(__xludf.DUMMYFUNCTION("""COMPUTED_VALUE"""),2.3808)</f>
        <v>2.3808</v>
      </c>
    </row>
    <row r="245">
      <c r="A245" s="4" t="str">
        <f>IFERROR(__xludf.DUMMYFUNCTION("""COMPUTED_VALUE"""),"0284P")</f>
        <v>0284P</v>
      </c>
      <c r="B245" s="4" t="str">
        <f>IFERROR(__xludf.DUMMYFUNCTION("""COMPUTED_VALUE"""),"Cartel PVC 21x29 PROHIBIDO SITUARSE DEBAJO DE LA")</f>
        <v>Cartel PVC 21x29 PROHIBIDO SITUARSE DEBAJO DE LA</v>
      </c>
      <c r="C245" s="4">
        <f>IFERROR(__xludf.DUMMYFUNCTION("""COMPUTED_VALUE"""),1.536)</f>
        <v>1.536</v>
      </c>
    </row>
    <row r="246">
      <c r="A246" s="4" t="str">
        <f>IFERROR(__xludf.DUMMYFUNCTION("""COMPUTED_VALUE"""),"285")</f>
        <v>285</v>
      </c>
      <c r="B246" s="4" t="str">
        <f>IFERROR(__xludf.DUMMYFUNCTION("""COMPUTED_VALUE"""),"Cartel PVC 40x30 No utilizar en caso de Emergencia")</f>
        <v>Cartel PVC 40x30 No utilizar en caso de Emergencia</v>
      </c>
      <c r="C246" s="4">
        <f>IFERROR(__xludf.DUMMYFUNCTION("""COMPUTED_VALUE"""),2.3808)</f>
        <v>2.3808</v>
      </c>
    </row>
    <row r="247">
      <c r="A247" s="4" t="str">
        <f>IFERROR(__xludf.DUMMYFUNCTION("""COMPUTED_VALUE"""),"0285P")</f>
        <v>0285P</v>
      </c>
      <c r="B247" s="4" t="str">
        <f>IFERROR(__xludf.DUMMYFUNCTION("""COMPUTED_VALUE"""),"Cartel PVC 21X29 NO UTILIZAR EN CASO DE EMERGENCIA")</f>
        <v>Cartel PVC 21X29 NO UTILIZAR EN CASO DE EMERGENCIA</v>
      </c>
      <c r="C247" s="4">
        <f>IFERROR(__xludf.DUMMYFUNCTION("""COMPUTED_VALUE"""),1.536)</f>
        <v>1.536</v>
      </c>
    </row>
    <row r="248">
      <c r="A248" s="4" t="str">
        <f>IFERROR(__xludf.DUMMYFUNCTION("""COMPUTED_VALUE"""),"286")</f>
        <v>286</v>
      </c>
      <c r="B248" s="4" t="str">
        <f>IFERROR(__xludf.DUMMYFUNCTION("""COMPUTED_VALUE"""),"Cartel PVC 40x30 No utilizar Incendio")</f>
        <v>Cartel PVC 40x30 No utilizar Incendio</v>
      </c>
      <c r="C248" s="4">
        <f>IFERROR(__xludf.DUMMYFUNCTION("""COMPUTED_VALUE"""),2.3808)</f>
        <v>2.3808</v>
      </c>
    </row>
    <row r="249">
      <c r="A249" s="4" t="str">
        <f>IFERROR(__xludf.DUMMYFUNCTION("""COMPUTED_VALUE"""),"0286P")</f>
        <v>0286P</v>
      </c>
      <c r="B249" s="4" t="str">
        <f>IFERROR(__xludf.DUMMYFUNCTION("""COMPUTED_VALUE"""),"Cartel PVC 21x29 NO UTILIZAR EN CASO DE INCENDIO")</f>
        <v>Cartel PVC 21x29 NO UTILIZAR EN CASO DE INCENDIO</v>
      </c>
      <c r="C249" s="4">
        <f>IFERROR(__xludf.DUMMYFUNCTION("""COMPUTED_VALUE"""),1.536)</f>
        <v>1.536</v>
      </c>
    </row>
    <row r="250">
      <c r="A250" s="4" t="str">
        <f>IFERROR(__xludf.DUMMYFUNCTION("""COMPUTED_VALUE"""),"287")</f>
        <v>287</v>
      </c>
      <c r="B250" s="4" t="str">
        <f>IFERROR(__xludf.DUMMYFUNCTION("""COMPUTED_VALUE"""),"Cartel PVC 40x30 Atencion Altura Baja")</f>
        <v>Cartel PVC 40x30 Atencion Altura Baja</v>
      </c>
      <c r="C250" s="4">
        <f>IFERROR(__xludf.DUMMYFUNCTION("""COMPUTED_VALUE"""),2.3808)</f>
        <v>2.3808</v>
      </c>
    </row>
    <row r="251">
      <c r="A251" s="4" t="str">
        <f>IFERROR(__xludf.DUMMYFUNCTION("""COMPUTED_VALUE"""),"0287P")</f>
        <v>0287P</v>
      </c>
      <c r="B251" s="4" t="str">
        <f>IFERROR(__xludf.DUMMYFUNCTION("""COMPUTED_VALUE"""),"Cartel PVC 21x29 ATENCION ALTURA BAJA")</f>
        <v>Cartel PVC 21x29 ATENCION ALTURA BAJA</v>
      </c>
      <c r="C251" s="4">
        <f>IFERROR(__xludf.DUMMYFUNCTION("""COMPUTED_VALUE"""),1.536)</f>
        <v>1.536</v>
      </c>
    </row>
    <row r="252">
      <c r="A252" s="4" t="str">
        <f>IFERROR(__xludf.DUMMYFUNCTION("""COMPUTED_VALUE"""),"288")</f>
        <v>288</v>
      </c>
      <c r="B252" s="4" t="str">
        <f>IFERROR(__xludf.DUMMYFUNCTION("""COMPUTED_VALUE"""),"Cartel PVC 40x30 Prohibido Accionar o maniobrar")</f>
        <v>Cartel PVC 40x30 Prohibido Accionar o maniobrar</v>
      </c>
      <c r="C252" s="4">
        <f>IFERROR(__xludf.DUMMYFUNCTION("""COMPUTED_VALUE"""),2.3808)</f>
        <v>2.3808</v>
      </c>
    </row>
    <row r="253">
      <c r="A253" s="4" t="str">
        <f>IFERROR(__xludf.DUMMYFUNCTION("""COMPUTED_VALUE"""),"0288P")</f>
        <v>0288P</v>
      </c>
      <c r="B253" s="4" t="str">
        <f>IFERROR(__xludf.DUMMYFUNCTION("""COMPUTED_VALUE"""),"Cartel PVC 21x29 PROHIBIDO ACCIONAR O MANIOBRAR")</f>
        <v>Cartel PVC 21x29 PROHIBIDO ACCIONAR O MANIOBRAR</v>
      </c>
      <c r="C253" s="4">
        <f>IFERROR(__xludf.DUMMYFUNCTION("""COMPUTED_VALUE"""),1.536)</f>
        <v>1.536</v>
      </c>
    </row>
    <row r="254">
      <c r="A254" s="4" t="str">
        <f>IFERROR(__xludf.DUMMYFUNCTION("""COMPUTED_VALUE"""),"289")</f>
        <v>289</v>
      </c>
      <c r="B254" s="4" t="str">
        <f>IFERROR(__xludf.DUMMYFUNCTION("""COMPUTED_VALUE"""),"Cartel PVC 40x30 Fotolum.Hacha contra Incendio")</f>
        <v>Cartel PVC 40x30 Fotolum.Hacha contra Incendio</v>
      </c>
      <c r="C254" s="4">
        <f>IFERROR(__xludf.DUMMYFUNCTION("""COMPUTED_VALUE"""),2.3808)</f>
        <v>2.3808</v>
      </c>
    </row>
    <row r="255">
      <c r="A255" s="4" t="str">
        <f>IFERROR(__xludf.DUMMYFUNCTION("""COMPUTED_VALUE"""),"0289A")</f>
        <v>0289A</v>
      </c>
      <c r="B255" s="4" t="str">
        <f>IFERROR(__xludf.DUMMYFUNCTION("""COMPUTED_VALUE"""),"Cartel PVC 32x16 Fotolum. No Exit")</f>
        <v>Cartel PVC 32x16 Fotolum. No Exit</v>
      </c>
      <c r="C255" s="4">
        <f>IFERROR(__xludf.DUMMYFUNCTION("""COMPUTED_VALUE"""),2.16)</f>
        <v>2.16</v>
      </c>
    </row>
    <row r="256">
      <c r="A256" s="4" t="str">
        <f>IFERROR(__xludf.DUMMYFUNCTION("""COMPUTED_VALUE"""),"0289B")</f>
        <v>0289B</v>
      </c>
      <c r="B256" s="4" t="str">
        <f>IFERROR(__xludf.DUMMYFUNCTION("""COMPUTED_VALUE"""),"Cartel PVC 64x32 Fotolum. No Exit")</f>
        <v>Cartel PVC 64x32 Fotolum. No Exit</v>
      </c>
      <c r="C256" s="4">
        <f>IFERROR(__xludf.DUMMYFUNCTION("""COMPUTED_VALUE"""),4.300800000000001)</f>
        <v>4.3008</v>
      </c>
    </row>
    <row r="257">
      <c r="A257" s="4" t="str">
        <f>IFERROR(__xludf.DUMMYFUNCTION("""COMPUTED_VALUE"""),"0289C")</f>
        <v>0289C</v>
      </c>
      <c r="B257" s="4" t="str">
        <f>IFERROR(__xludf.DUMMYFUNCTION("""COMPUTED_VALUE"""),"Cartel PVC 96x48 Fotolum. No Exit")</f>
        <v>Cartel PVC 96x48 Fotolum. No Exit</v>
      </c>
      <c r="C257" s="4">
        <f>IFERROR(__xludf.DUMMYFUNCTION("""COMPUTED_VALUE"""),8.601600000000001)</f>
        <v>8.6016</v>
      </c>
    </row>
    <row r="258">
      <c r="A258" s="4" t="str">
        <f>IFERROR(__xludf.DUMMYFUNCTION("""COMPUTED_VALUE"""),"290")</f>
        <v>290</v>
      </c>
      <c r="B258" s="4" t="str">
        <f>IFERROR(__xludf.DUMMYFUNCTION("""COMPUTED_VALUE"""),"Cartel PVC 40x30 Peligro Alta Tension")</f>
        <v>Cartel PVC 40x30 Peligro Alta Tension</v>
      </c>
      <c r="C258" s="4">
        <f>IFERROR(__xludf.DUMMYFUNCTION("""COMPUTED_VALUE"""),2.3808)</f>
        <v>2.3808</v>
      </c>
    </row>
    <row r="259">
      <c r="A259" s="4" t="str">
        <f>IFERROR(__xludf.DUMMYFUNCTION("""COMPUTED_VALUE"""),"0290P")</f>
        <v>0290P</v>
      </c>
      <c r="B259" s="4" t="str">
        <f>IFERROR(__xludf.DUMMYFUNCTION("""COMPUTED_VALUE"""),"Cartel PVC 21x29 PELIGRO ALTA TENSION")</f>
        <v>Cartel PVC 21x29 PELIGRO ALTA TENSION</v>
      </c>
      <c r="C259" s="4">
        <f>IFERROR(__xludf.DUMMYFUNCTION("""COMPUTED_VALUE"""),1.536)</f>
        <v>1.536</v>
      </c>
    </row>
    <row r="260">
      <c r="A260" s="4" t="str">
        <f>IFERROR(__xludf.DUMMYFUNCTION("""COMPUTED_VALUE"""),"291")</f>
        <v>291</v>
      </c>
      <c r="B260" s="4" t="str">
        <f>IFERROR(__xludf.DUMMYFUNCTION("""COMPUTED_VALUE"""),"Cartel PVC 40x30 Peligro no maniobrar")</f>
        <v>Cartel PVC 40x30 Peligro no maniobrar</v>
      </c>
      <c r="C260" s="4">
        <f>IFERROR(__xludf.DUMMYFUNCTION("""COMPUTED_VALUE"""),2.3808)</f>
        <v>2.3808</v>
      </c>
    </row>
    <row r="261">
      <c r="A261" s="4" t="str">
        <f>IFERROR(__xludf.DUMMYFUNCTION("""COMPUTED_VALUE"""),"0291P")</f>
        <v>0291P</v>
      </c>
      <c r="B261" s="4" t="str">
        <f>IFERROR(__xludf.DUMMYFUNCTION("""COMPUTED_VALUE"""),"Cartel PVC 21x29 PELIGRO NO MANIOBRAR. SOLO")</f>
        <v>Cartel PVC 21x29 PELIGRO NO MANIOBRAR. SOLO</v>
      </c>
      <c r="C261" s="4">
        <f>IFERROR(__xludf.DUMMYFUNCTION("""COMPUTED_VALUE"""),1.536)</f>
        <v>1.536</v>
      </c>
    </row>
    <row r="262">
      <c r="A262" s="4" t="str">
        <f>IFERROR(__xludf.DUMMYFUNCTION("""COMPUTED_VALUE"""),"292")</f>
        <v>292</v>
      </c>
      <c r="B262" s="4" t="str">
        <f>IFERROR(__xludf.DUMMYFUNCTION("""COMPUTED_VALUE"""),"Cartel PVC 40x30 No Tocar")</f>
        <v>Cartel PVC 40x30 No Tocar</v>
      </c>
      <c r="C262" s="4">
        <f>IFERROR(__xludf.DUMMYFUNCTION("""COMPUTED_VALUE"""),2.3808)</f>
        <v>2.3808</v>
      </c>
    </row>
    <row r="263">
      <c r="A263" s="4" t="str">
        <f>IFERROR(__xludf.DUMMYFUNCTION("""COMPUTED_VALUE"""),"0292P")</f>
        <v>0292P</v>
      </c>
      <c r="B263" s="4" t="str">
        <f>IFERROR(__xludf.DUMMYFUNCTION("""COMPUTED_VALUE"""),"Cartel PVC 21x29 NO TOCAR")</f>
        <v>Cartel PVC 21x29 NO TOCAR</v>
      </c>
      <c r="C263" s="4">
        <f>IFERROR(__xludf.DUMMYFUNCTION("""COMPUTED_VALUE"""),1.536)</f>
        <v>1.536</v>
      </c>
    </row>
    <row r="264">
      <c r="A264" s="4" t="str">
        <f>IFERROR(__xludf.DUMMYFUNCTION("""COMPUTED_VALUE"""),"293")</f>
        <v>293</v>
      </c>
      <c r="B264" s="4" t="str">
        <f>IFERROR(__xludf.DUMMYFUNCTION("""COMPUTED_VALUE"""),"Cartel PVC 40x30 Peligro Materias Radioactivas")</f>
        <v>Cartel PVC 40x30 Peligro Materias Radioactivas</v>
      </c>
      <c r="C264" s="4">
        <f>IFERROR(__xludf.DUMMYFUNCTION("""COMPUTED_VALUE"""),2.3808)</f>
        <v>2.3808</v>
      </c>
    </row>
    <row r="265">
      <c r="A265" s="4" t="str">
        <f>IFERROR(__xludf.DUMMYFUNCTION("""COMPUTED_VALUE"""),"0293P")</f>
        <v>0293P</v>
      </c>
      <c r="B265" s="4" t="str">
        <f>IFERROR(__xludf.DUMMYFUNCTION("""COMPUTED_VALUE"""),"Cartel PVC 21x29 PELIGRO MATERIAS RADIOACTIVAS")</f>
        <v>Cartel PVC 21x29 PELIGRO MATERIAS RADIOACTIVAS</v>
      </c>
      <c r="C265" s="4">
        <f>IFERROR(__xludf.DUMMYFUNCTION("""COMPUTED_VALUE"""),1.536)</f>
        <v>1.536</v>
      </c>
    </row>
    <row r="266">
      <c r="A266" s="4" t="str">
        <f>IFERROR(__xludf.DUMMYFUNCTION("""COMPUTED_VALUE"""),"294")</f>
        <v>294</v>
      </c>
      <c r="B266" s="4" t="str">
        <f>IFERROR(__xludf.DUMMYFUNCTION("""COMPUTED_VALUE"""),"Cartel PVC 40x30 Peligro Radiaciones Laser")</f>
        <v>Cartel PVC 40x30 Peligro Radiaciones Laser</v>
      </c>
      <c r="C266" s="4">
        <f>IFERROR(__xludf.DUMMYFUNCTION("""COMPUTED_VALUE"""),2.3808)</f>
        <v>2.3808</v>
      </c>
    </row>
    <row r="267">
      <c r="A267" s="4" t="str">
        <f>IFERROR(__xludf.DUMMYFUNCTION("""COMPUTED_VALUE"""),"0294P")</f>
        <v>0294P</v>
      </c>
      <c r="B267" s="4" t="str">
        <f>IFERROR(__xludf.DUMMYFUNCTION("""COMPUTED_VALUE"""),"Cartel PVC 21x29 PELIGRO RADIACIONES LASER")</f>
        <v>Cartel PVC 21x29 PELIGRO RADIACIONES LASER</v>
      </c>
      <c r="C267" s="4">
        <f>IFERROR(__xludf.DUMMYFUNCTION("""COMPUTED_VALUE"""),1.536)</f>
        <v>1.536</v>
      </c>
    </row>
    <row r="268">
      <c r="A268" s="4" t="str">
        <f>IFERROR(__xludf.DUMMYFUNCTION("""COMPUTED_VALUE"""),"295")</f>
        <v>295</v>
      </c>
      <c r="B268" s="4" t="str">
        <f>IFERROR(__xludf.DUMMYFUNCTION("""COMPUTED_VALUE"""),"Cartel PVC 40x30 Riesgo Biologico")</f>
        <v>Cartel PVC 40x30 Riesgo Biologico</v>
      </c>
      <c r="C268" s="4">
        <f>IFERROR(__xludf.DUMMYFUNCTION("""COMPUTED_VALUE"""),2.3808)</f>
        <v>2.3808</v>
      </c>
    </row>
    <row r="269">
      <c r="A269" s="4" t="str">
        <f>IFERROR(__xludf.DUMMYFUNCTION("""COMPUTED_VALUE"""),"0295P")</f>
        <v>0295P</v>
      </c>
      <c r="B269" s="4" t="str">
        <f>IFERROR(__xludf.DUMMYFUNCTION("""COMPUTED_VALUE"""),"Cartel PVC 21x29 PELIGRO RIESGO BIOLOGICO")</f>
        <v>Cartel PVC 21x29 PELIGRO RIESGO BIOLOGICO</v>
      </c>
      <c r="C269" s="4">
        <f>IFERROR(__xludf.DUMMYFUNCTION("""COMPUTED_VALUE"""),1.536)</f>
        <v>1.536</v>
      </c>
    </row>
    <row r="270">
      <c r="A270" s="4" t="str">
        <f>IFERROR(__xludf.DUMMYFUNCTION("""COMPUTED_VALUE"""),"296")</f>
        <v>296</v>
      </c>
      <c r="B270" s="4" t="str">
        <f>IFERROR(__xludf.DUMMYFUNCTION("""COMPUTED_VALUE"""),"Cartel PVC 40x30 Fotolum. Cubo uso en incendio")</f>
        <v>Cartel PVC 40x30 Fotolum. Cubo uso en incendio</v>
      </c>
      <c r="C270" s="4">
        <f>IFERROR(__xludf.DUMMYFUNCTION("""COMPUTED_VALUE"""),3.2159999999999997)</f>
        <v>3.216</v>
      </c>
    </row>
    <row r="271">
      <c r="A271" s="4" t="str">
        <f>IFERROR(__xludf.DUMMYFUNCTION("""COMPUTED_VALUE"""),"0296A")</f>
        <v>0296A</v>
      </c>
      <c r="B271" s="4" t="str">
        <f>IFERROR(__xludf.DUMMYFUNCTION("""COMPUTED_VALUE"""),"Cartel PVC 32x16 Fotolum. Sin Salida")</f>
        <v>Cartel PVC 32x16 Fotolum. Sin Salida</v>
      </c>
      <c r="C271" s="4">
        <f>IFERROR(__xludf.DUMMYFUNCTION("""COMPUTED_VALUE"""),2.16)</f>
        <v>2.16</v>
      </c>
    </row>
    <row r="272">
      <c r="A272" s="4" t="str">
        <f>IFERROR(__xludf.DUMMYFUNCTION("""COMPUTED_VALUE"""),"0296B")</f>
        <v>0296B</v>
      </c>
      <c r="B272" s="4" t="str">
        <f>IFERROR(__xludf.DUMMYFUNCTION("""COMPUTED_VALUE"""),"Cartel PVC 64x32 Fotolum. Sin Salida")</f>
        <v>Cartel PVC 64x32 Fotolum. Sin Salida</v>
      </c>
      <c r="C272" s="4">
        <f>IFERROR(__xludf.DUMMYFUNCTION("""COMPUTED_VALUE"""),4.300800000000001)</f>
        <v>4.3008</v>
      </c>
    </row>
    <row r="273">
      <c r="A273" s="4" t="str">
        <f>IFERROR(__xludf.DUMMYFUNCTION("""COMPUTED_VALUE"""),"0296C")</f>
        <v>0296C</v>
      </c>
      <c r="B273" s="4" t="str">
        <f>IFERROR(__xludf.DUMMYFUNCTION("""COMPUTED_VALUE"""),"Cartel PVC 96x48 Fotolum. Sin Salida")</f>
        <v>Cartel PVC 96x48 Fotolum. Sin Salida</v>
      </c>
      <c r="C273" s="4">
        <f>IFERROR(__xludf.DUMMYFUNCTION("""COMPUTED_VALUE"""),8.601600000000001)</f>
        <v>8.6016</v>
      </c>
    </row>
    <row r="274">
      <c r="A274" s="4" t="str">
        <f>IFERROR(__xludf.DUMMYFUNCTION("""COMPUTED_VALUE"""),"297")</f>
        <v>297</v>
      </c>
      <c r="B274" s="4" t="str">
        <f>IFERROR(__xludf.DUMMYFUNCTION("""COMPUTED_VALUE"""),"Cartel PVC 40x30 Fotoum. Manguera contra Incendios")</f>
        <v>Cartel PVC 40x30 Fotoum. Manguera contra Incendios</v>
      </c>
      <c r="C274" s="4">
        <f>IFERROR(__xludf.DUMMYFUNCTION("""COMPUTED_VALUE"""),3.2159999999999997)</f>
        <v>3.216</v>
      </c>
    </row>
    <row r="275">
      <c r="A275" s="4" t="str">
        <f>IFERROR(__xludf.DUMMYFUNCTION("""COMPUTED_VALUE"""),"298")</f>
        <v>298</v>
      </c>
      <c r="B275" s="4" t="str">
        <f>IFERROR(__xludf.DUMMYFUNCTION("""COMPUTED_VALUE"""),"Cartel PVC 21x29 Fotolum. Escalera incendio")</f>
        <v>Cartel PVC 21x29 Fotolum. Escalera incendio</v>
      </c>
      <c r="C275" s="4">
        <f>IFERROR(__xludf.DUMMYFUNCTION("""COMPUTED_VALUE"""),2.496)</f>
        <v>2.496</v>
      </c>
    </row>
    <row r="276">
      <c r="A276" s="4" t="str">
        <f>IFERROR(__xludf.DUMMYFUNCTION("""COMPUTED_VALUE"""),"0298A")</f>
        <v>0298A</v>
      </c>
      <c r="B276" s="4" t="str">
        <f>IFERROR(__xludf.DUMMYFUNCTION("""COMPUTED_VALUE"""),"Cartel PVC 21x30 Fotolum. Escalera de incendios")</f>
        <v>Cartel PVC 21x30 Fotolum. Escalera de incendios</v>
      </c>
      <c r="C276" s="4">
        <f>IFERROR(__xludf.DUMMYFUNCTION("""COMPUTED_VALUE"""),2.4192)</f>
        <v>2.4192</v>
      </c>
    </row>
    <row r="277">
      <c r="A277" s="4" t="str">
        <f>IFERROR(__xludf.DUMMYFUNCTION("""COMPUTED_VALUE"""),"0298B")</f>
        <v>0298B</v>
      </c>
      <c r="B277" s="4" t="str">
        <f>IFERROR(__xludf.DUMMYFUNCTION("""COMPUTED_VALUE"""),"Cartel PVC 40x30 Fotolum. Escalera de incendios")</f>
        <v>Cartel PVC 40x30 Fotolum. Escalera de incendios</v>
      </c>
      <c r="C277" s="4">
        <f>IFERROR(__xludf.DUMMYFUNCTION("""COMPUTED_VALUE"""),2.976)</f>
        <v>2.976</v>
      </c>
    </row>
    <row r="278">
      <c r="A278" s="4" t="str">
        <f>IFERROR(__xludf.DUMMYFUNCTION("""COMPUTED_VALUE"""),"299")</f>
        <v>299</v>
      </c>
      <c r="B278" s="4" t="str">
        <f>IFERROR(__xludf.DUMMYFUNCTION("""COMPUTED_VALUE"""),"Cartel PVC 40x30 Uso Oblig. de Protec. Lumbar")</f>
        <v>Cartel PVC 40x30 Uso Oblig. de Protec. Lumbar</v>
      </c>
      <c r="C278" s="4">
        <f>IFERROR(__xludf.DUMMYFUNCTION("""COMPUTED_VALUE"""),2.3808)</f>
        <v>2.3808</v>
      </c>
    </row>
    <row r="279">
      <c r="A279" s="4" t="str">
        <f>IFERROR(__xludf.DUMMYFUNCTION("""COMPUTED_VALUE"""),"0299P")</f>
        <v>0299P</v>
      </c>
      <c r="B279" s="4" t="str">
        <f>IFERROR(__xludf.DUMMYFUNCTION("""COMPUTED_VALUE"""),"Cartel PVC 21x29 OBLIGATORIO LA PROTECCION LUMBAR")</f>
        <v>Cartel PVC 21x29 OBLIGATORIO LA PROTECCION LUMBAR</v>
      </c>
      <c r="C279" s="4">
        <f>IFERROR(__xludf.DUMMYFUNCTION("""COMPUTED_VALUE"""),1.536)</f>
        <v>1.536</v>
      </c>
    </row>
    <row r="280">
      <c r="A280" s="4" t="str">
        <f>IFERROR(__xludf.DUMMYFUNCTION("""COMPUTED_VALUE"""),"300")</f>
        <v>300</v>
      </c>
      <c r="B280" s="4" t="str">
        <f>IFERROR(__xludf.DUMMYFUNCTION("""COMPUTED_VALUE"""),"Cartel PVC 40x30 Via oblig. peatones")</f>
        <v>Cartel PVC 40x30 Via oblig. peatones</v>
      </c>
      <c r="C280" s="4">
        <f>IFERROR(__xludf.DUMMYFUNCTION("""COMPUTED_VALUE"""),2.3808)</f>
        <v>2.3808</v>
      </c>
    </row>
    <row r="281">
      <c r="A281" s="4" t="str">
        <f>IFERROR(__xludf.DUMMYFUNCTION("""COMPUTED_VALUE"""),"0300P")</f>
        <v>0300P</v>
      </c>
      <c r="B281" s="4" t="str">
        <f>IFERROR(__xludf.DUMMYFUNCTION("""COMPUTED_VALUE"""),"Cartel PVC 21x29 VIA OBLIGATORIA PARA PEATONES")</f>
        <v>Cartel PVC 21x29 VIA OBLIGATORIA PARA PEATONES</v>
      </c>
      <c r="C281" s="4">
        <f>IFERROR(__xludf.DUMMYFUNCTION("""COMPUTED_VALUE"""),1.536)</f>
        <v>1.536</v>
      </c>
    </row>
    <row r="282">
      <c r="A282" s="4" t="str">
        <f>IFERROR(__xludf.DUMMYFUNCTION("""COMPUTED_VALUE"""),"301")</f>
        <v>301</v>
      </c>
      <c r="B282" s="4" t="str">
        <f>IFERROR(__xludf.DUMMYFUNCTION("""COMPUTED_VALUE"""),"Cartel PVC 40x30 Oblig. Protector")</f>
        <v>Cartel PVC 40x30 Oblig. Protector</v>
      </c>
      <c r="C282" s="4">
        <f>IFERROR(__xludf.DUMMYFUNCTION("""COMPUTED_VALUE"""),2.3808)</f>
        <v>2.3808</v>
      </c>
    </row>
    <row r="283">
      <c r="A283" s="4" t="str">
        <f>IFERROR(__xludf.DUMMYFUNCTION("""COMPUTED_VALUE"""),"0301P")</f>
        <v>0301P</v>
      </c>
      <c r="B283" s="4" t="str">
        <f>IFERROR(__xludf.DUMMYFUNCTION("""COMPUTED_VALUE"""),"Cartel PVC 21x29 USO OBLIGATORIO DE PROTECTOR")</f>
        <v>Cartel PVC 21x29 USO OBLIGATORIO DE PROTECTOR</v>
      </c>
      <c r="C283" s="4">
        <f>IFERROR(__xludf.DUMMYFUNCTION("""COMPUTED_VALUE"""),1.536)</f>
        <v>1.536</v>
      </c>
    </row>
    <row r="284">
      <c r="A284" s="4" t="str">
        <f>IFERROR(__xludf.DUMMYFUNCTION("""COMPUTED_VALUE"""),"302")</f>
        <v>302</v>
      </c>
      <c r="B284" s="4" t="str">
        <f>IFERROR(__xludf.DUMMYFUNCTION("""COMPUTED_VALUE"""),"Cartel PVC 40x30 Proh. paso a peatones")</f>
        <v>Cartel PVC 40x30 Proh. paso a peatones</v>
      </c>
      <c r="C284" s="4">
        <f>IFERROR(__xludf.DUMMYFUNCTION("""COMPUTED_VALUE"""),2.3808)</f>
        <v>2.3808</v>
      </c>
    </row>
    <row r="285">
      <c r="A285" s="4" t="str">
        <f>IFERROR(__xludf.DUMMYFUNCTION("""COMPUTED_VALUE"""),"0302P")</f>
        <v>0302P</v>
      </c>
      <c r="B285" s="4" t="str">
        <f>IFERROR(__xludf.DUMMYFUNCTION("""COMPUTED_VALUE"""),"Cartel PVC 21x29 PROHIBIDO PASAR A LOS PEATONES")</f>
        <v>Cartel PVC 21x29 PROHIBIDO PASAR A LOS PEATONES</v>
      </c>
      <c r="C285" s="4">
        <f>IFERROR(__xludf.DUMMYFUNCTION("""COMPUTED_VALUE"""),1.536)</f>
        <v>1.536</v>
      </c>
    </row>
    <row r="286">
      <c r="A286" s="4" t="str">
        <f>IFERROR(__xludf.DUMMYFUNCTION("""COMPUTED_VALUE"""),"303")</f>
        <v>303</v>
      </c>
      <c r="B286" s="4" t="str">
        <f>IFERROR(__xludf.DUMMYFUNCTION("""COMPUTED_VALUE"""),"Cartel PVC 40x30 Rampa personal autor.")</f>
        <v>Cartel PVC 40x30 Rampa personal autor.</v>
      </c>
      <c r="C286" s="4">
        <f>IFERROR(__xludf.DUMMYFUNCTION("""COMPUTED_VALUE"""),2.3808)</f>
        <v>2.3808</v>
      </c>
    </row>
    <row r="287">
      <c r="A287" s="4" t="str">
        <f>IFERROR(__xludf.DUMMYFUNCTION("""COMPUTED_VALUE"""),"0303B")</f>
        <v>0303B</v>
      </c>
      <c r="B287" s="4" t="str">
        <f>IFERROR(__xludf.DUMMYFUNCTION("""COMPUTED_VALUE"""),"Cartel PVC 21x29 USO OBLIGATORIO PROTECTOR")</f>
        <v>Cartel PVC 21x29 USO OBLIGATORIO PROTECTOR</v>
      </c>
      <c r="C287" s="4">
        <f>IFERROR(__xludf.DUMMYFUNCTION("""COMPUTED_VALUE"""),1.536)</f>
        <v>1.536</v>
      </c>
    </row>
    <row r="288">
      <c r="A288" s="4" t="str">
        <f>IFERROR(__xludf.DUMMYFUNCTION("""COMPUTED_VALUE"""),"0303P")</f>
        <v>0303P</v>
      </c>
      <c r="B288" s="4" t="str">
        <f>IFERROR(__xludf.DUMMYFUNCTION("""COMPUTED_VALUE"""),"Cartel PVC 21x29 RAMPA USO EXCLUSIVO PERSONAL")</f>
        <v>Cartel PVC 21x29 RAMPA USO EXCLUSIVO PERSONAL</v>
      </c>
      <c r="C288" s="4">
        <f>IFERROR(__xludf.DUMMYFUNCTION("""COMPUTED_VALUE"""),1.536)</f>
        <v>1.536</v>
      </c>
    </row>
    <row r="289">
      <c r="A289" s="4" t="str">
        <f>IFERROR(__xludf.DUMMYFUNCTION("""COMPUTED_VALUE"""),"304")</f>
        <v>304</v>
      </c>
      <c r="B289" s="4" t="str">
        <f>IFERROR(__xludf.DUMMYFUNCTION("""COMPUTED_VALUE"""),"Cartel PVC 40x30 Uso oblig. guantes electricos")</f>
        <v>Cartel PVC 40x30 Uso oblig. guantes electricos</v>
      </c>
      <c r="C289" s="4">
        <f>IFERROR(__xludf.DUMMYFUNCTION("""COMPUTED_VALUE"""),2.3808)</f>
        <v>2.3808</v>
      </c>
    </row>
    <row r="290">
      <c r="A290" s="4" t="str">
        <f>IFERROR(__xludf.DUMMYFUNCTION("""COMPUTED_VALUE"""),"0304P")</f>
        <v>0304P</v>
      </c>
      <c r="B290" s="4" t="str">
        <f>IFERROR(__xludf.DUMMYFUNCTION("""COMPUTED_VALUE"""),"Cartel PVC 21x29 USO OBLIGATORIO DE GUANTES")</f>
        <v>Cartel PVC 21x29 USO OBLIGATORIO DE GUANTES</v>
      </c>
      <c r="C290" s="4">
        <f>IFERROR(__xludf.DUMMYFUNCTION("""COMPUTED_VALUE"""),1.536)</f>
        <v>1.536</v>
      </c>
    </row>
    <row r="291">
      <c r="A291" s="4" t="str">
        <f>IFERROR(__xludf.DUMMYFUNCTION("""COMPUTED_VALUE"""),"305")</f>
        <v>305</v>
      </c>
      <c r="B291" s="4" t="str">
        <f>IFERROR(__xludf.DUMMYFUNCTION("""COMPUTED_VALUE"""),"Cartel PVC 40x30 Uso Oblig. calzado electrico")</f>
        <v>Cartel PVC 40x30 Uso Oblig. calzado electrico</v>
      </c>
      <c r="C291" s="4">
        <f>IFERROR(__xludf.DUMMYFUNCTION("""COMPUTED_VALUE"""),2.3808)</f>
        <v>2.3808</v>
      </c>
    </row>
    <row r="292">
      <c r="A292" s="4" t="str">
        <f>IFERROR(__xludf.DUMMYFUNCTION("""COMPUTED_VALUE"""),"0305P")</f>
        <v>0305P</v>
      </c>
      <c r="B292" s="4" t="str">
        <f>IFERROR(__xludf.DUMMYFUNCTION("""COMPUTED_VALUE"""),"Cartel PVC 21x29 USO OBLIGATORIO CALZADO")</f>
        <v>Cartel PVC 21x29 USO OBLIGATORIO CALZADO</v>
      </c>
      <c r="C292" s="4">
        <f>IFERROR(__xludf.DUMMYFUNCTION("""COMPUTED_VALUE"""),1.536)</f>
        <v>1.536</v>
      </c>
    </row>
    <row r="293">
      <c r="A293" s="4" t="str">
        <f>IFERROR(__xludf.DUMMYFUNCTION("""COMPUTED_VALUE"""),"306")</f>
        <v>306</v>
      </c>
      <c r="B293" s="4" t="str">
        <f>IFERROR(__xludf.DUMMYFUNCTION("""COMPUTED_VALUE"""),"Cartel PVC 40x30 Oblig. Lavarse las manos")</f>
        <v>Cartel PVC 40x30 Oblig. Lavarse las manos</v>
      </c>
      <c r="C293" s="4">
        <f>IFERROR(__xludf.DUMMYFUNCTION("""COMPUTED_VALUE"""),2.3808)</f>
        <v>2.3808</v>
      </c>
    </row>
    <row r="294">
      <c r="A294" s="4" t="str">
        <f>IFERROR(__xludf.DUMMYFUNCTION("""COMPUTED_VALUE"""),"0306P")</f>
        <v>0306P</v>
      </c>
      <c r="B294" s="4" t="str">
        <f>IFERROR(__xludf.DUMMYFUNCTION("""COMPUTED_VALUE"""),"Cartel PVC 21x29 OBLIGATORIO LAVARSE LAS MANOS")</f>
        <v>Cartel PVC 21x29 OBLIGATORIO LAVARSE LAS MANOS</v>
      </c>
      <c r="C294" s="4">
        <f>IFERROR(__xludf.DUMMYFUNCTION("""COMPUTED_VALUE"""),1.536)</f>
        <v>1.536</v>
      </c>
    </row>
    <row r="295">
      <c r="A295" s="4" t="str">
        <f>IFERROR(__xludf.DUMMYFUNCTION("""COMPUTED_VALUE"""),"307")</f>
        <v>307</v>
      </c>
      <c r="B295" s="4" t="str">
        <f>IFERROR(__xludf.DUMMYFUNCTION("""COMPUTED_VALUE"""),"Cartel PVC 40x30 Apilar Correctamente")</f>
        <v>Cartel PVC 40x30 Apilar Correctamente</v>
      </c>
      <c r="C295" s="4">
        <f>IFERROR(__xludf.DUMMYFUNCTION("""COMPUTED_VALUE"""),2.3808)</f>
        <v>2.3808</v>
      </c>
    </row>
    <row r="296">
      <c r="A296" s="4" t="str">
        <f>IFERROR(__xludf.DUMMYFUNCTION("""COMPUTED_VALUE"""),"0307P")</f>
        <v>0307P</v>
      </c>
      <c r="B296" s="4" t="str">
        <f>IFERROR(__xludf.DUMMYFUNCTION("""COMPUTED_VALUE"""),"Cartel PVC 21x29 APILAR CORRECTAMENTE")</f>
        <v>Cartel PVC 21x29 APILAR CORRECTAMENTE</v>
      </c>
      <c r="C296" s="4">
        <f>IFERROR(__xludf.DUMMYFUNCTION("""COMPUTED_VALUE"""),1.536)</f>
        <v>1.536</v>
      </c>
    </row>
    <row r="297">
      <c r="A297" s="4" t="str">
        <f>IFERROR(__xludf.DUMMYFUNCTION("""COMPUTED_VALUE"""),"308")</f>
        <v>308</v>
      </c>
      <c r="B297" s="4" t="str">
        <f>IFERROR(__xludf.DUMMYFUNCTION("""COMPUTED_VALUE"""),"Cartel PVC 40x30 Oblig. Protector Ajustable")</f>
        <v>Cartel PVC 40x30 Oblig. Protector Ajustable</v>
      </c>
      <c r="C297" s="4">
        <f>IFERROR(__xludf.DUMMYFUNCTION("""COMPUTED_VALUE"""),2.3808)</f>
        <v>2.3808</v>
      </c>
    </row>
    <row r="298">
      <c r="A298" s="4" t="str">
        <f>IFERROR(__xludf.DUMMYFUNCTION("""COMPUTED_VALUE"""),"0308P")</f>
        <v>0308P</v>
      </c>
      <c r="B298" s="4" t="str">
        <f>IFERROR(__xludf.DUMMYFUNCTION("""COMPUTED_VALUE"""),"Cartel PVC 21x29 Oblig. Protector Ajustable")</f>
        <v>Cartel PVC 21x29 Oblig. Protector Ajustable</v>
      </c>
      <c r="C298" s="4">
        <f>IFERROR(__xludf.DUMMYFUNCTION("""COMPUTED_VALUE"""),1.536)</f>
        <v>1.536</v>
      </c>
    </row>
    <row r="299">
      <c r="A299" s="4" t="str">
        <f>IFERROR(__xludf.DUMMYFUNCTION("""COMPUTED_VALUE"""),"309")</f>
        <v>309</v>
      </c>
      <c r="B299" s="4" t="str">
        <f>IFERROR(__xludf.DUMMYFUNCTION("""COMPUTED_VALUE"""),"Cartel PVC 40x30 Oblig. Protector Fijo")</f>
        <v>Cartel PVC 40x30 Oblig. Protector Fijo</v>
      </c>
      <c r="C299" s="4">
        <f>IFERROR(__xludf.DUMMYFUNCTION("""COMPUTED_VALUE"""),2.3808)</f>
        <v>2.3808</v>
      </c>
    </row>
    <row r="300">
      <c r="A300" s="4" t="str">
        <f>IFERROR(__xludf.DUMMYFUNCTION("""COMPUTED_VALUE"""),"0309P")</f>
        <v>0309P</v>
      </c>
      <c r="B300" s="4" t="str">
        <f>IFERROR(__xludf.DUMMYFUNCTION("""COMPUTED_VALUE"""),"Cartel PVC 21x29 USO OBLIGATORIO PROTECTOR FIJO")</f>
        <v>Cartel PVC 21x29 USO OBLIGATORIO PROTECTOR FIJO</v>
      </c>
      <c r="C300" s="4">
        <f>IFERROR(__xludf.DUMMYFUNCTION("""COMPUTED_VALUE"""),1.536)</f>
        <v>1.536</v>
      </c>
    </row>
    <row r="301">
      <c r="A301" s="4" t="str">
        <f>IFERROR(__xludf.DUMMYFUNCTION("""COMPUTED_VALUE"""),"310")</f>
        <v>310</v>
      </c>
      <c r="B301" s="4" t="str">
        <f>IFERROR(__xludf.DUMMYFUNCTION("""COMPUTED_VALUE"""),"Cartel PVC 40x30 Proh. la entrada con marcapasos")</f>
        <v>Cartel PVC 40x30 Proh. la entrada con marcapasos</v>
      </c>
      <c r="C301" s="4">
        <f>IFERROR(__xludf.DUMMYFUNCTION("""COMPUTED_VALUE"""),2.3808)</f>
        <v>2.3808</v>
      </c>
    </row>
    <row r="302">
      <c r="A302" s="4" t="str">
        <f>IFERROR(__xludf.DUMMYFUNCTION("""COMPUTED_VALUE"""),"0310P")</f>
        <v>0310P</v>
      </c>
      <c r="B302" s="4" t="str">
        <f>IFERROR(__xludf.DUMMYFUNCTION("""COMPUTED_VALUE"""),"Cartel PVC 21x29 PROHIBIDA LA ENTRADA CON")</f>
        <v>Cartel PVC 21x29 PROHIBIDA LA ENTRADA CON</v>
      </c>
      <c r="C302" s="4">
        <f>IFERROR(__xludf.DUMMYFUNCTION("""COMPUTED_VALUE"""),1.536)</f>
        <v>1.536</v>
      </c>
    </row>
    <row r="303">
      <c r="A303" s="4" t="str">
        <f>IFERROR(__xludf.DUMMYFUNCTION("""COMPUTED_VALUE"""),"311")</f>
        <v>311</v>
      </c>
      <c r="B303" s="4" t="str">
        <f>IFERROR(__xludf.DUMMYFUNCTION("""COMPUTED_VALUE"""),"Cartel PVC 40x30 Peligro zona de carga y descarga")</f>
        <v>Cartel PVC 40x30 Peligro zona de carga y descarga</v>
      </c>
      <c r="C303" s="4">
        <f>IFERROR(__xludf.DUMMYFUNCTION("""COMPUTED_VALUE"""),2.3808)</f>
        <v>2.3808</v>
      </c>
    </row>
    <row r="304">
      <c r="A304" s="4" t="str">
        <f>IFERROR(__xludf.DUMMYFUNCTION("""COMPUTED_VALUE"""),"0311P")</f>
        <v>0311P</v>
      </c>
      <c r="B304" s="4" t="str">
        <f>IFERROR(__xludf.DUMMYFUNCTION("""COMPUTED_VALUE"""),"Cartel PVC 21x29 PELIGRO ZONA CARGA Y DESCARGA")</f>
        <v>Cartel PVC 21x29 PELIGRO ZONA CARGA Y DESCARGA</v>
      </c>
      <c r="C304" s="4">
        <f>IFERROR(__xludf.DUMMYFUNCTION("""COMPUTED_VALUE"""),1.536)</f>
        <v>1.536</v>
      </c>
    </row>
    <row r="305">
      <c r="A305" s="4" t="str">
        <f>IFERROR(__xludf.DUMMYFUNCTION("""COMPUTED_VALUE"""),"312")</f>
        <v>312</v>
      </c>
      <c r="B305" s="4" t="str">
        <f>IFERROR(__xludf.DUMMYFUNCTION("""COMPUTED_VALUE"""),"Cartel PVC 40x30 Baja Temperatura")</f>
        <v>Cartel PVC 40x30 Baja Temperatura</v>
      </c>
      <c r="C305" s="4">
        <f>IFERROR(__xludf.DUMMYFUNCTION("""COMPUTED_VALUE"""),2.3808)</f>
        <v>2.3808</v>
      </c>
    </row>
    <row r="306">
      <c r="A306" s="4" t="str">
        <f>IFERROR(__xludf.DUMMYFUNCTION("""COMPUTED_VALUE"""),"0312P")</f>
        <v>0312P</v>
      </c>
      <c r="B306" s="4" t="str">
        <f>IFERROR(__xludf.DUMMYFUNCTION("""COMPUTED_VALUE"""),"Cartel PVC 21x29 ATENCION BAJA TEMPERATURA")</f>
        <v>Cartel PVC 21x29 ATENCION BAJA TEMPERATURA</v>
      </c>
      <c r="C306" s="4">
        <f>IFERROR(__xludf.DUMMYFUNCTION("""COMPUTED_VALUE"""),1.536)</f>
        <v>1.536</v>
      </c>
    </row>
    <row r="307">
      <c r="A307" s="4" t="str">
        <f>IFERROR(__xludf.DUMMYFUNCTION("""COMPUTED_VALUE"""),"313")</f>
        <v>313</v>
      </c>
      <c r="B307" s="4" t="str">
        <f>IFERROR(__xludf.DUMMYFUNCTION("""COMPUTED_VALUE"""),"Cartel PVC 40x30 Peligro Alta Presion")</f>
        <v>Cartel PVC 40x30 Peligro Alta Presion</v>
      </c>
      <c r="C307" s="4">
        <f>IFERROR(__xludf.DUMMYFUNCTION("""COMPUTED_VALUE"""),2.3808)</f>
        <v>2.3808</v>
      </c>
    </row>
    <row r="308">
      <c r="A308" s="4" t="str">
        <f>IFERROR(__xludf.DUMMYFUNCTION("""COMPUTED_VALUE"""),"0313P")</f>
        <v>0313P</v>
      </c>
      <c r="B308" s="4" t="str">
        <f>IFERROR(__xludf.DUMMYFUNCTION("""COMPUTED_VALUE"""),"Cartel PVC 21x29 PELIGRO ALTA PRESION")</f>
        <v>Cartel PVC 21x29 PELIGRO ALTA PRESION</v>
      </c>
      <c r="C308" s="4">
        <f>IFERROR(__xludf.DUMMYFUNCTION("""COMPUTED_VALUE"""),1.536)</f>
        <v>1.536</v>
      </c>
    </row>
    <row r="309">
      <c r="A309" s="4" t="str">
        <f>IFERROR(__xludf.DUMMYFUNCTION("""COMPUTED_VALUE"""),"314")</f>
        <v>314</v>
      </c>
      <c r="B309" s="4" t="str">
        <f>IFERROR(__xludf.DUMMYFUNCTION("""COMPUTED_VALUE"""),"Cartel PVC 40x30 Peligro Suelo fragil")</f>
        <v>Cartel PVC 40x30 Peligro Suelo fragil</v>
      </c>
      <c r="C309" s="4">
        <f>IFERROR(__xludf.DUMMYFUNCTION("""COMPUTED_VALUE"""),2.3808)</f>
        <v>2.3808</v>
      </c>
    </row>
    <row r="310">
      <c r="A310" s="4" t="str">
        <f>IFERROR(__xludf.DUMMYFUNCTION("""COMPUTED_VALUE"""),"0314P")</f>
        <v>0314P</v>
      </c>
      <c r="B310" s="4" t="str">
        <f>IFERROR(__xludf.DUMMYFUNCTION("""COMPUTED_VALUE"""),"Cartel PVC 21x29 ATENCION SUELO FRAGIL")</f>
        <v>Cartel PVC 21x29 ATENCION SUELO FRAGIL</v>
      </c>
      <c r="C310" s="4">
        <f>IFERROR(__xludf.DUMMYFUNCTION("""COMPUTED_VALUE"""),1.536)</f>
        <v>1.536</v>
      </c>
    </row>
    <row r="311">
      <c r="A311" s="4" t="str">
        <f>IFERROR(__xludf.DUMMYFUNCTION("""COMPUTED_VALUE"""),"315")</f>
        <v>315</v>
      </c>
      <c r="B311" s="4" t="str">
        <f>IFERROR(__xludf.DUMMYFUNCTION("""COMPUTED_VALUE"""),"Cartel PVC 40x30 Atencion Suelo Resbaladizo")</f>
        <v>Cartel PVC 40x30 Atencion Suelo Resbaladizo</v>
      </c>
      <c r="C311" s="4">
        <f>IFERROR(__xludf.DUMMYFUNCTION("""COMPUTED_VALUE"""),2.3808)</f>
        <v>2.3808</v>
      </c>
    </row>
    <row r="312">
      <c r="A312" s="4" t="str">
        <f>IFERROR(__xludf.DUMMYFUNCTION("""COMPUTED_VALUE"""),"0315P")</f>
        <v>0315P</v>
      </c>
      <c r="B312" s="4" t="str">
        <f>IFERROR(__xludf.DUMMYFUNCTION("""COMPUTED_VALUE"""),"Cartel PVC 21x29 ATENCION SUELO RESBALADIZO")</f>
        <v>Cartel PVC 21x29 ATENCION SUELO RESBALADIZO</v>
      </c>
      <c r="C312" s="4">
        <f>IFERROR(__xludf.DUMMYFUNCTION("""COMPUTED_VALUE"""),1.536)</f>
        <v>1.536</v>
      </c>
    </row>
    <row r="313">
      <c r="A313" s="4" t="str">
        <f>IFERROR(__xludf.DUMMYFUNCTION("""COMPUTED_VALUE"""),"316")</f>
        <v>316</v>
      </c>
      <c r="B313" s="4" t="str">
        <f>IFERROR(__xludf.DUMMYFUNCTION("""COMPUTED_VALUE"""),"Cartel PVC 40x30 Solo Personal Autorizado")</f>
        <v>Cartel PVC 40x30 Solo Personal Autorizado</v>
      </c>
      <c r="C313" s="4">
        <f>IFERROR(__xludf.DUMMYFUNCTION("""COMPUTED_VALUE"""),2.3808)</f>
        <v>2.3808</v>
      </c>
    </row>
    <row r="314">
      <c r="A314" s="4" t="str">
        <f>IFERROR(__xludf.DUMMYFUNCTION("""COMPUTED_VALUE"""),"0316P")</f>
        <v>0316P</v>
      </c>
      <c r="B314" s="4" t="str">
        <f>IFERROR(__xludf.DUMMYFUNCTION("""COMPUTED_VALUE"""),"Cartel PVC 21x29 SOLO PERSONAL AUTORIZADO")</f>
        <v>Cartel PVC 21x29 SOLO PERSONAL AUTORIZADO</v>
      </c>
      <c r="C314" s="4">
        <f>IFERROR(__xludf.DUMMYFUNCTION("""COMPUTED_VALUE"""),1.536)</f>
        <v>1.536</v>
      </c>
    </row>
    <row r="315">
      <c r="A315" s="4" t="str">
        <f>IFERROR(__xludf.DUMMYFUNCTION("""COMPUTED_VALUE"""),"317")</f>
        <v>317</v>
      </c>
      <c r="B315" s="4" t="str">
        <f>IFERROR(__xludf.DUMMYFUNCTION("""COMPUTED_VALUE"""),"Cartel PVC 40x30 Prohibido paso con bicicleta")</f>
        <v>Cartel PVC 40x30 Prohibido paso con bicicleta</v>
      </c>
      <c r="C315" s="4">
        <f>IFERROR(__xludf.DUMMYFUNCTION("""COMPUTED_VALUE"""),2.3808)</f>
        <v>2.3808</v>
      </c>
    </row>
    <row r="316">
      <c r="A316" s="4" t="str">
        <f>IFERROR(__xludf.DUMMYFUNCTION("""COMPUTED_VALUE"""),"0317P")</f>
        <v>0317P</v>
      </c>
      <c r="B316" s="4" t="str">
        <f>IFERROR(__xludf.DUMMYFUNCTION("""COMPUTED_VALUE"""),"Cartel PVC 21x29 PROHIBIDO EL PASO CON BICICLETA")</f>
        <v>Cartel PVC 21x29 PROHIBIDO EL PASO CON BICICLETA</v>
      </c>
      <c r="C316" s="4">
        <f>IFERROR(__xludf.DUMMYFUNCTION("""COMPUTED_VALUE"""),1.536)</f>
        <v>1.536</v>
      </c>
    </row>
    <row r="317">
      <c r="A317" s="4" t="str">
        <f>IFERROR(__xludf.DUMMYFUNCTION("""COMPUTED_VALUE"""),"318")</f>
        <v>318</v>
      </c>
      <c r="B317" s="4" t="str">
        <f>IFERROR(__xludf.DUMMYFUNCTION("""COMPUTED_VALUE"""),"Cartel PVC 40x30 Prohib. Uso de Moviles")</f>
        <v>Cartel PVC 40x30 Prohib. Uso de Moviles</v>
      </c>
      <c r="C317" s="4">
        <f>IFERROR(__xludf.DUMMYFUNCTION("""COMPUTED_VALUE"""),2.3808)</f>
        <v>2.3808</v>
      </c>
    </row>
    <row r="318">
      <c r="A318" s="4" t="str">
        <f>IFERROR(__xludf.DUMMYFUNCTION("""COMPUTED_VALUE"""),"0318P")</f>
        <v>0318P</v>
      </c>
      <c r="B318" s="4" t="str">
        <f>IFERROR(__xludf.DUMMYFUNCTION("""COMPUTED_VALUE"""),"Cartel PVC 21x29 PROHIBIDO EL USO TELEFONOS")</f>
        <v>Cartel PVC 21x29 PROHIBIDO EL USO TELEFONOS</v>
      </c>
      <c r="C318" s="4">
        <f>IFERROR(__xludf.DUMMYFUNCTION("""COMPUTED_VALUE"""),1.536)</f>
        <v>1.536</v>
      </c>
    </row>
    <row r="319">
      <c r="A319" s="4" t="str">
        <f>IFERROR(__xludf.DUMMYFUNCTION("""COMPUTED_VALUE"""),"319")</f>
        <v>319</v>
      </c>
      <c r="B319" s="4" t="str">
        <f>IFERROR(__xludf.DUMMYFUNCTION("""COMPUTED_VALUE"""),"Cartel PVC 40x30 Fotolum. Hidrante")</f>
        <v>Cartel PVC 40x30 Fotolum. Hidrante</v>
      </c>
      <c r="C319" s="4">
        <f>IFERROR(__xludf.DUMMYFUNCTION("""COMPUTED_VALUE"""),3.312)</f>
        <v>3.312</v>
      </c>
    </row>
    <row r="320">
      <c r="A320" s="4" t="str">
        <f>IFERROR(__xludf.DUMMYFUNCTION("""COMPUTED_VALUE"""),"0319A")</f>
        <v>0319A</v>
      </c>
      <c r="B320" s="4" t="str">
        <f>IFERROR(__xludf.DUMMYFUNCTION("""COMPUTED_VALUE"""),"Cartel PVC 32x16 Fotolum. Salida emergencia dcha abajo")</f>
        <v>Cartel PVC 32x16 Fotolum. Salida emergencia dcha abajo</v>
      </c>
      <c r="C320" s="4">
        <f>IFERROR(__xludf.DUMMYFUNCTION("""COMPUTED_VALUE"""),2.16)</f>
        <v>2.16</v>
      </c>
    </row>
    <row r="321">
      <c r="A321" s="4" t="str">
        <f>IFERROR(__xludf.DUMMYFUNCTION("""COMPUTED_VALUE"""),"0319AA")</f>
        <v>0319AA</v>
      </c>
      <c r="B321" s="4" t="str">
        <f>IFERROR(__xludf.DUMMYFUNCTION("""COMPUTED_VALUE"""),"Cartel PVC 32x16 Fotolum. Salida emergencia dcha abajo")</f>
        <v>Cartel PVC 32x16 Fotolum. Salida emergencia dcha abajo</v>
      </c>
      <c r="C321" s="4">
        <f>IFERROR(__xludf.DUMMYFUNCTION("""COMPUTED_VALUE"""),2.16)</f>
        <v>2.16</v>
      </c>
    </row>
    <row r="322">
      <c r="A322" s="4" t="str">
        <f>IFERROR(__xludf.DUMMYFUNCTION("""COMPUTED_VALUE"""),"0319B")</f>
        <v>0319B</v>
      </c>
      <c r="B322" s="4" t="str">
        <f>IFERROR(__xludf.DUMMYFUNCTION("""COMPUTED_VALUE"""),"Cartel PVC 64x32 Fotolum. Salida emergencia dcha abajo")</f>
        <v>Cartel PVC 64x32 Fotolum. Salida emergencia dcha abajo</v>
      </c>
      <c r="C322" s="4">
        <f>IFERROR(__xludf.DUMMYFUNCTION("""COMPUTED_VALUE"""),4.300800000000001)</f>
        <v>4.3008</v>
      </c>
    </row>
    <row r="323">
      <c r="A323" s="4" t="str">
        <f>IFERROR(__xludf.DUMMYFUNCTION("""COMPUTED_VALUE"""),"0319BA")</f>
        <v>0319BA</v>
      </c>
      <c r="B323" s="4" t="str">
        <f>IFERROR(__xludf.DUMMYFUNCTION("""COMPUTED_VALUE"""),"Cartel PVC 64x32 Fotolum. Salida emergencia dcha abajo")</f>
        <v>Cartel PVC 64x32 Fotolum. Salida emergencia dcha abajo</v>
      </c>
      <c r="C323" s="4">
        <f>IFERROR(__xludf.DUMMYFUNCTION("""COMPUTED_VALUE"""),4.300800000000001)</f>
        <v>4.3008</v>
      </c>
    </row>
    <row r="324">
      <c r="A324" s="4" t="str">
        <f>IFERROR(__xludf.DUMMYFUNCTION("""COMPUTED_VALUE"""),"0319C")</f>
        <v>0319C</v>
      </c>
      <c r="B324" s="4" t="str">
        <f>IFERROR(__xludf.DUMMYFUNCTION("""COMPUTED_VALUE"""),"Cartel PVC 96x48 Fotolum. Salida emergencia dcha abajo")</f>
        <v>Cartel PVC 96x48 Fotolum. Salida emergencia dcha abajo</v>
      </c>
      <c r="C324" s="4">
        <f>IFERROR(__xludf.DUMMYFUNCTION("""COMPUTED_VALUE"""),8.601600000000001)</f>
        <v>8.6016</v>
      </c>
    </row>
    <row r="325">
      <c r="A325" s="4" t="str">
        <f>IFERROR(__xludf.DUMMYFUNCTION("""COMPUTED_VALUE"""),"0319CA")</f>
        <v>0319CA</v>
      </c>
      <c r="B325" s="4" t="str">
        <f>IFERROR(__xludf.DUMMYFUNCTION("""COMPUTED_VALUE"""),"Cartel PVC 96x48 Fotolum. Salida emergencia dcha abajo")</f>
        <v>Cartel PVC 96x48 Fotolum. Salida emergencia dcha abajo</v>
      </c>
      <c r="C325" s="4">
        <f>IFERROR(__xludf.DUMMYFUNCTION("""COMPUTED_VALUE"""),8.601600000000001)</f>
        <v>8.6016</v>
      </c>
    </row>
    <row r="326">
      <c r="A326" s="4" t="str">
        <f>IFERROR(__xludf.DUMMYFUNCTION("""COMPUTED_VALUE"""),"320")</f>
        <v>320</v>
      </c>
      <c r="B326" s="4" t="str">
        <f>IFERROR(__xludf.DUMMYFUNCTION("""COMPUTED_VALUE"""),"Cartel PVC 21x30 Fotolum. Salida escalera arriba izq.")</f>
        <v>Cartel PVC 21x30 Fotolum. Salida escalera arriba izq.</v>
      </c>
      <c r="C326" s="4">
        <f>IFERROR(__xludf.DUMMYFUNCTION("""COMPUTED_VALUE"""),2.496)</f>
        <v>2.496</v>
      </c>
    </row>
    <row r="327">
      <c r="A327" s="4" t="str">
        <f>IFERROR(__xludf.DUMMYFUNCTION("""COMPUTED_VALUE"""),"0320A")</f>
        <v>0320A</v>
      </c>
      <c r="B327" s="4" t="str">
        <f>IFERROR(__xludf.DUMMYFUNCTION("""COMPUTED_VALUE"""),"Cartel PVC 32x16 Fotolum. Salida emergencia arriba izq")</f>
        <v>Cartel PVC 32x16 Fotolum. Salida emergencia arriba izq</v>
      </c>
      <c r="C327" s="4">
        <f>IFERROR(__xludf.DUMMYFUNCTION("""COMPUTED_VALUE"""),2.16)</f>
        <v>2.16</v>
      </c>
    </row>
    <row r="328">
      <c r="A328" s="4" t="str">
        <f>IFERROR(__xludf.DUMMYFUNCTION("""COMPUTED_VALUE"""),"0320AA")</f>
        <v>0320AA</v>
      </c>
      <c r="B328" s="4" t="str">
        <f>IFERROR(__xludf.DUMMYFUNCTION("""COMPUTED_VALUE"""),"Cartel PVC 32x16 Fotolum. Salida emergencia arriba izq Minus")</f>
        <v>Cartel PVC 32x16 Fotolum. Salida emergencia arriba izq Minus</v>
      </c>
      <c r="C328" s="4">
        <f>IFERROR(__xludf.DUMMYFUNCTION("""COMPUTED_VALUE"""),2.16)</f>
        <v>2.16</v>
      </c>
    </row>
    <row r="329">
      <c r="A329" s="4" t="str">
        <f>IFERROR(__xludf.DUMMYFUNCTION("""COMPUTED_VALUE"""),"0320B")</f>
        <v>0320B</v>
      </c>
      <c r="B329" s="4" t="str">
        <f>IFERROR(__xludf.DUMMYFUNCTION("""COMPUTED_VALUE"""),"Cartel PVC 64x32 Fotolum. Salida emergencia arriba izq")</f>
        <v>Cartel PVC 64x32 Fotolum. Salida emergencia arriba izq</v>
      </c>
      <c r="C329" s="4">
        <f>IFERROR(__xludf.DUMMYFUNCTION("""COMPUTED_VALUE"""),4.300800000000001)</f>
        <v>4.3008</v>
      </c>
    </row>
    <row r="330">
      <c r="A330" s="4" t="str">
        <f>IFERROR(__xludf.DUMMYFUNCTION("""COMPUTED_VALUE"""),"0320BA")</f>
        <v>0320BA</v>
      </c>
      <c r="B330" s="4" t="str">
        <f>IFERROR(__xludf.DUMMYFUNCTION("""COMPUTED_VALUE"""),"Cartel PVC 64x32 Fotolum. Salida emergencia arriba izq Minus")</f>
        <v>Cartel PVC 64x32 Fotolum. Salida emergencia arriba izq Minus</v>
      </c>
      <c r="C330" s="4">
        <f>IFERROR(__xludf.DUMMYFUNCTION("""COMPUTED_VALUE"""),4.300800000000001)</f>
        <v>4.3008</v>
      </c>
    </row>
    <row r="331">
      <c r="A331" s="4" t="str">
        <f>IFERROR(__xludf.DUMMYFUNCTION("""COMPUTED_VALUE"""),"0320C")</f>
        <v>0320C</v>
      </c>
      <c r="B331" s="4" t="str">
        <f>IFERROR(__xludf.DUMMYFUNCTION("""COMPUTED_VALUE"""),"Cartel PVC 96x48 Fotolum. Salida emergencia arriba izq")</f>
        <v>Cartel PVC 96x48 Fotolum. Salida emergencia arriba izq</v>
      </c>
      <c r="C331" s="4">
        <f>IFERROR(__xludf.DUMMYFUNCTION("""COMPUTED_VALUE"""),8.601600000000001)</f>
        <v>8.6016</v>
      </c>
    </row>
    <row r="332">
      <c r="A332" s="4" t="str">
        <f>IFERROR(__xludf.DUMMYFUNCTION("""COMPUTED_VALUE"""),"0320CA")</f>
        <v>0320CA</v>
      </c>
      <c r="B332" s="4" t="str">
        <f>IFERROR(__xludf.DUMMYFUNCTION("""COMPUTED_VALUE"""),"Cartel PVC 96x48 Fotolum. Salida emergencia arriba izq Minus")</f>
        <v>Cartel PVC 96x48 Fotolum. Salida emergencia arriba izq Minus</v>
      </c>
      <c r="C332" s="4">
        <f>IFERROR(__xludf.DUMMYFUNCTION("""COMPUTED_VALUE"""),8.601600000000001)</f>
        <v>8.6016</v>
      </c>
    </row>
    <row r="333">
      <c r="A333" s="4" t="str">
        <f>IFERROR(__xludf.DUMMYFUNCTION("""COMPUTED_VALUE"""),"321")</f>
        <v>321</v>
      </c>
      <c r="B333" s="4" t="str">
        <f>IFERROR(__xludf.DUMMYFUNCTION("""COMPUTED_VALUE"""),"Cartel PVC 21x30 Fotolum.Salida escalera abajo izq.")</f>
        <v>Cartel PVC 21x30 Fotolum.Salida escalera abajo izq.</v>
      </c>
      <c r="C333" s="4">
        <f>IFERROR(__xludf.DUMMYFUNCTION("""COMPUTED_VALUE"""),2.496)</f>
        <v>2.496</v>
      </c>
    </row>
    <row r="334">
      <c r="A334" s="4" t="str">
        <f>IFERROR(__xludf.DUMMYFUNCTION("""COMPUTED_VALUE"""),"0321A")</f>
        <v>0321A</v>
      </c>
      <c r="B334" s="4" t="str">
        <f>IFERROR(__xludf.DUMMYFUNCTION("""COMPUTED_VALUE"""),"Cartel PVC 32x16 Fotolum. Salida emergencia abajo izq")</f>
        <v>Cartel PVC 32x16 Fotolum. Salida emergencia abajo izq</v>
      </c>
      <c r="C334" s="4">
        <f>IFERROR(__xludf.DUMMYFUNCTION("""COMPUTED_VALUE"""),2.16)</f>
        <v>2.16</v>
      </c>
    </row>
    <row r="335">
      <c r="A335" s="4" t="str">
        <f>IFERROR(__xludf.DUMMYFUNCTION("""COMPUTED_VALUE"""),"0321AA")</f>
        <v>0321AA</v>
      </c>
      <c r="B335" s="4" t="str">
        <f>IFERROR(__xludf.DUMMYFUNCTION("""COMPUTED_VALUE"""),"Cartel PVC 32x16 Fotolum. Salida emergencia abajo izq Minus")</f>
        <v>Cartel PVC 32x16 Fotolum. Salida emergencia abajo izq Minus</v>
      </c>
      <c r="C335" s="4">
        <f>IFERROR(__xludf.DUMMYFUNCTION("""COMPUTED_VALUE"""),2.16)</f>
        <v>2.16</v>
      </c>
    </row>
    <row r="336">
      <c r="A336" s="4" t="str">
        <f>IFERROR(__xludf.DUMMYFUNCTION("""COMPUTED_VALUE"""),"0321B")</f>
        <v>0321B</v>
      </c>
      <c r="B336" s="4" t="str">
        <f>IFERROR(__xludf.DUMMYFUNCTION("""COMPUTED_VALUE"""),"Cartel PVC 64x32 Fotolum. Salida emergencia abajo izq")</f>
        <v>Cartel PVC 64x32 Fotolum. Salida emergencia abajo izq</v>
      </c>
      <c r="C336" s="4">
        <f>IFERROR(__xludf.DUMMYFUNCTION("""COMPUTED_VALUE"""),4.300800000000001)</f>
        <v>4.3008</v>
      </c>
    </row>
    <row r="337">
      <c r="A337" s="4" t="str">
        <f>IFERROR(__xludf.DUMMYFUNCTION("""COMPUTED_VALUE"""),"0321BA")</f>
        <v>0321BA</v>
      </c>
      <c r="B337" s="4" t="str">
        <f>IFERROR(__xludf.DUMMYFUNCTION("""COMPUTED_VALUE"""),"Cartel PVC 64x32 Fotolum. Salida emergencia abajo izq Minus")</f>
        <v>Cartel PVC 64x32 Fotolum. Salida emergencia abajo izq Minus</v>
      </c>
      <c r="C337" s="4">
        <f>IFERROR(__xludf.DUMMYFUNCTION("""COMPUTED_VALUE"""),4.300800000000001)</f>
        <v>4.3008</v>
      </c>
    </row>
    <row r="338">
      <c r="A338" s="4" t="str">
        <f>IFERROR(__xludf.DUMMYFUNCTION("""COMPUTED_VALUE"""),"0321C")</f>
        <v>0321C</v>
      </c>
      <c r="B338" s="4" t="str">
        <f>IFERROR(__xludf.DUMMYFUNCTION("""COMPUTED_VALUE"""),"Cartel PVC 96x48 Fotolum. Salida emergencia abajo izq")</f>
        <v>Cartel PVC 96x48 Fotolum. Salida emergencia abajo izq</v>
      </c>
      <c r="C338" s="4">
        <f>IFERROR(__xludf.DUMMYFUNCTION("""COMPUTED_VALUE"""),8.601600000000001)</f>
        <v>8.6016</v>
      </c>
    </row>
    <row r="339">
      <c r="A339" s="4" t="str">
        <f>IFERROR(__xludf.DUMMYFUNCTION("""COMPUTED_VALUE"""),"0321CA")</f>
        <v>0321CA</v>
      </c>
      <c r="B339" s="4" t="str">
        <f>IFERROR(__xludf.DUMMYFUNCTION("""COMPUTED_VALUE"""),"Cartel PVC 96x48 Fotolum. Salida emergencia abajo izq Minus")</f>
        <v>Cartel PVC 96x48 Fotolum. Salida emergencia abajo izq Minus</v>
      </c>
      <c r="C339" s="4">
        <f>IFERROR(__xludf.DUMMYFUNCTION("""COMPUTED_VALUE"""),8.601600000000001)</f>
        <v>8.6016</v>
      </c>
    </row>
    <row r="340">
      <c r="A340" s="4" t="str">
        <f>IFERROR(__xludf.DUMMYFUNCTION("""COMPUTED_VALUE"""),"322")</f>
        <v>322</v>
      </c>
      <c r="B340" s="4" t="str">
        <f>IFERROR(__xludf.DUMMYFUNCTION("""COMPUTED_VALUE"""),"Cartel PVC 21x30 Fotolum. Salida escalera arriba dcha.")</f>
        <v>Cartel PVC 21x30 Fotolum. Salida escalera arriba dcha.</v>
      </c>
      <c r="C340" s="4">
        <f>IFERROR(__xludf.DUMMYFUNCTION("""COMPUTED_VALUE"""),2.496)</f>
        <v>2.496</v>
      </c>
    </row>
    <row r="341">
      <c r="A341" s="4" t="str">
        <f>IFERROR(__xludf.DUMMYFUNCTION("""COMPUTED_VALUE"""),"0322A")</f>
        <v>0322A</v>
      </c>
      <c r="B341" s="4" t="str">
        <f>IFERROR(__xludf.DUMMYFUNCTION("""COMPUTED_VALUE"""),"Cartel PVC 32x16 Fotolum. Salida emergencia arriba dcha.")</f>
        <v>Cartel PVC 32x16 Fotolum. Salida emergencia arriba dcha.</v>
      </c>
      <c r="C341" s="4">
        <f>IFERROR(__xludf.DUMMYFUNCTION("""COMPUTED_VALUE"""),2.16)</f>
        <v>2.16</v>
      </c>
    </row>
    <row r="342">
      <c r="A342" s="4" t="str">
        <f>IFERROR(__xludf.DUMMYFUNCTION("""COMPUTED_VALUE"""),"0322AA")</f>
        <v>0322AA</v>
      </c>
      <c r="B342" s="4" t="str">
        <f>IFERROR(__xludf.DUMMYFUNCTION("""COMPUTED_VALUE"""),"Cartel PVC 32x16 Fotolum. Salida emergencia arriba dcha.")</f>
        <v>Cartel PVC 32x16 Fotolum. Salida emergencia arriba dcha.</v>
      </c>
      <c r="C342" s="4">
        <f>IFERROR(__xludf.DUMMYFUNCTION("""COMPUTED_VALUE"""),2.16)</f>
        <v>2.16</v>
      </c>
    </row>
    <row r="343">
      <c r="A343" s="4" t="str">
        <f>IFERROR(__xludf.DUMMYFUNCTION("""COMPUTED_VALUE"""),"0322B")</f>
        <v>0322B</v>
      </c>
      <c r="B343" s="4" t="str">
        <f>IFERROR(__xludf.DUMMYFUNCTION("""COMPUTED_VALUE"""),"Cartel PVC 64x32 Fotolum. Salida emergencia arriba dcha.")</f>
        <v>Cartel PVC 64x32 Fotolum. Salida emergencia arriba dcha.</v>
      </c>
      <c r="C343" s="4">
        <f>IFERROR(__xludf.DUMMYFUNCTION("""COMPUTED_VALUE"""),4.300800000000001)</f>
        <v>4.3008</v>
      </c>
    </row>
    <row r="344">
      <c r="A344" s="4" t="str">
        <f>IFERROR(__xludf.DUMMYFUNCTION("""COMPUTED_VALUE"""),"0322BA")</f>
        <v>0322BA</v>
      </c>
      <c r="B344" s="4" t="str">
        <f>IFERROR(__xludf.DUMMYFUNCTION("""COMPUTED_VALUE"""),"Cartel PVC 64x32 Fotolum. Salida emergencia arriba")</f>
        <v>Cartel PVC 64x32 Fotolum. Salida emergencia arriba</v>
      </c>
      <c r="C344" s="4">
        <f>IFERROR(__xludf.DUMMYFUNCTION("""COMPUTED_VALUE"""),4.300800000000001)</f>
        <v>4.3008</v>
      </c>
    </row>
    <row r="345">
      <c r="A345" s="4" t="str">
        <f>IFERROR(__xludf.DUMMYFUNCTION("""COMPUTED_VALUE"""),"0322C")</f>
        <v>0322C</v>
      </c>
      <c r="B345" s="4" t="str">
        <f>IFERROR(__xludf.DUMMYFUNCTION("""COMPUTED_VALUE"""),"Cartel PVC 96x48 Fotolum. Salida emergencia arriba dcha.")</f>
        <v>Cartel PVC 96x48 Fotolum. Salida emergencia arriba dcha.</v>
      </c>
      <c r="C345" s="4">
        <f>IFERROR(__xludf.DUMMYFUNCTION("""COMPUTED_VALUE"""),8.601600000000001)</f>
        <v>8.6016</v>
      </c>
    </row>
    <row r="346">
      <c r="A346" s="4" t="str">
        <f>IFERROR(__xludf.DUMMYFUNCTION("""COMPUTED_VALUE"""),"0322CA")</f>
        <v>0322CA</v>
      </c>
      <c r="B346" s="4" t="str">
        <f>IFERROR(__xludf.DUMMYFUNCTION("""COMPUTED_VALUE"""),"Cartel PVC 96x48 Fotolum. Salida emergencia arriba dcha.")</f>
        <v>Cartel PVC 96x48 Fotolum. Salida emergencia arriba dcha.</v>
      </c>
      <c r="C346" s="4">
        <f>IFERROR(__xludf.DUMMYFUNCTION("""COMPUTED_VALUE"""),8.601600000000001)</f>
        <v>8.6016</v>
      </c>
    </row>
    <row r="347">
      <c r="A347" s="4" t="str">
        <f>IFERROR(__xludf.DUMMYFUNCTION("""COMPUTED_VALUE"""),"323")</f>
        <v>323</v>
      </c>
      <c r="B347" s="4" t="str">
        <f>IFERROR(__xludf.DUMMYFUNCTION("""COMPUTED_VALUE"""),"Cartel PVC 21x30 Fotolum. Salida escalera abajo dcha")</f>
        <v>Cartel PVC 21x30 Fotolum. Salida escalera abajo dcha</v>
      </c>
      <c r="C347" s="4">
        <f>IFERROR(__xludf.DUMMYFUNCTION("""COMPUTED_VALUE"""),2.496)</f>
        <v>2.496</v>
      </c>
    </row>
    <row r="348">
      <c r="A348" s="4" t="str">
        <f>IFERROR(__xludf.DUMMYFUNCTION("""COMPUTED_VALUE"""),"324")</f>
        <v>324</v>
      </c>
      <c r="B348" s="4" t="str">
        <f>IFERROR(__xludf.DUMMYFUNCTION("""COMPUTED_VALUE"""),"Cartel PVC 21x30 Fotolum. Salida puerta dcha")</f>
        <v>Cartel PVC 21x30 Fotolum. Salida puerta dcha</v>
      </c>
      <c r="C348" s="4">
        <f>IFERROR(__xludf.DUMMYFUNCTION("""COMPUTED_VALUE"""),2.496)</f>
        <v>2.496</v>
      </c>
    </row>
    <row r="349">
      <c r="A349" s="4" t="str">
        <f>IFERROR(__xludf.DUMMYFUNCTION("""COMPUTED_VALUE"""),"0324A")</f>
        <v>0324A</v>
      </c>
      <c r="B349" s="4" t="str">
        <f>IFERROR(__xludf.DUMMYFUNCTION("""COMPUTED_VALUE"""),"Cartel PVC 32x16 Fotolum. Salida de emergencia Pta. Derecha")</f>
        <v>Cartel PVC 32x16 Fotolum. Salida de emergencia Pta. Derecha</v>
      </c>
      <c r="C349" s="4">
        <f>IFERROR(__xludf.DUMMYFUNCTION("""COMPUTED_VALUE"""),2.16)</f>
        <v>2.16</v>
      </c>
    </row>
    <row r="350">
      <c r="A350" s="4" t="str">
        <f>IFERROR(__xludf.DUMMYFUNCTION("""COMPUTED_VALUE"""),"0324AA")</f>
        <v>0324AA</v>
      </c>
      <c r="B350" s="4" t="str">
        <f>IFERROR(__xludf.DUMMYFUNCTION("""COMPUTED_VALUE"""),"Cartel PVC 32x16 Fotolum. Salida de emergencia Pta. Derecha")</f>
        <v>Cartel PVC 32x16 Fotolum. Salida de emergencia Pta. Derecha</v>
      </c>
      <c r="C350" s="4">
        <f>IFERROR(__xludf.DUMMYFUNCTION("""COMPUTED_VALUE"""),2.16)</f>
        <v>2.16</v>
      </c>
    </row>
    <row r="351">
      <c r="A351" s="4" t="str">
        <f>IFERROR(__xludf.DUMMYFUNCTION("""COMPUTED_VALUE"""),"0324B")</f>
        <v>0324B</v>
      </c>
      <c r="B351" s="4" t="str">
        <f>IFERROR(__xludf.DUMMYFUNCTION("""COMPUTED_VALUE"""),"Cartel PVC 64x32 Fotolum. Salida de emergencia Pta. Derecha")</f>
        <v>Cartel PVC 64x32 Fotolum. Salida de emergencia Pta. Derecha</v>
      </c>
      <c r="C351" s="4">
        <f>IFERROR(__xludf.DUMMYFUNCTION("""COMPUTED_VALUE"""),4.300800000000001)</f>
        <v>4.3008</v>
      </c>
    </row>
    <row r="352">
      <c r="A352" s="4" t="str">
        <f>IFERROR(__xludf.DUMMYFUNCTION("""COMPUTED_VALUE"""),"0324BA")</f>
        <v>0324BA</v>
      </c>
      <c r="B352" s="4" t="str">
        <f>IFERROR(__xludf.DUMMYFUNCTION("""COMPUTED_VALUE"""),"Cartel PVC 64x32 Fotolum. Salida de emergencia Pta. Derecha")</f>
        <v>Cartel PVC 64x32 Fotolum. Salida de emergencia Pta. Derecha</v>
      </c>
      <c r="C352" s="4">
        <f>IFERROR(__xludf.DUMMYFUNCTION("""COMPUTED_VALUE"""),4.300800000000001)</f>
        <v>4.3008</v>
      </c>
    </row>
    <row r="353">
      <c r="A353" s="4" t="str">
        <f>IFERROR(__xludf.DUMMYFUNCTION("""COMPUTED_VALUE"""),"0324C")</f>
        <v>0324C</v>
      </c>
      <c r="B353" s="4" t="str">
        <f>IFERROR(__xludf.DUMMYFUNCTION("""COMPUTED_VALUE"""),"Cartel PVC 96x48 Fotolum. Salida de emergencia Pta. Derecha")</f>
        <v>Cartel PVC 96x48 Fotolum. Salida de emergencia Pta. Derecha</v>
      </c>
      <c r="C353" s="4">
        <f>IFERROR(__xludf.DUMMYFUNCTION("""COMPUTED_VALUE"""),8.601600000000001)</f>
        <v>8.6016</v>
      </c>
    </row>
    <row r="354">
      <c r="A354" s="4" t="str">
        <f>IFERROR(__xludf.DUMMYFUNCTION("""COMPUTED_VALUE"""),"0324CA")</f>
        <v>0324CA</v>
      </c>
      <c r="B354" s="4" t="str">
        <f>IFERROR(__xludf.DUMMYFUNCTION("""COMPUTED_VALUE"""),"Cartel PVC 96x48 Fotolum. Salida de emergencia Pta. Derecha")</f>
        <v>Cartel PVC 96x48 Fotolum. Salida de emergencia Pta. Derecha</v>
      </c>
      <c r="C354" s="4">
        <f>IFERROR(__xludf.DUMMYFUNCTION("""COMPUTED_VALUE"""),8.601600000000001)</f>
        <v>8.6016</v>
      </c>
    </row>
    <row r="355">
      <c r="A355" s="4" t="str">
        <f>IFERROR(__xludf.DUMMYFUNCTION("""COMPUTED_VALUE"""),"325")</f>
        <v>325</v>
      </c>
      <c r="B355" s="4" t="str">
        <f>IFERROR(__xludf.DUMMYFUNCTION("""COMPUTED_VALUE"""),"Cartel PVC 21x30 Fotolum. Salida puerta izq.")</f>
        <v>Cartel PVC 21x30 Fotolum. Salida puerta izq.</v>
      </c>
      <c r="C355" s="4">
        <f>IFERROR(__xludf.DUMMYFUNCTION("""COMPUTED_VALUE"""),2.496)</f>
        <v>2.496</v>
      </c>
    </row>
    <row r="356">
      <c r="A356" s="4" t="str">
        <f>IFERROR(__xludf.DUMMYFUNCTION("""COMPUTED_VALUE"""),"0325A")</f>
        <v>0325A</v>
      </c>
      <c r="B356" s="4" t="str">
        <f>IFERROR(__xludf.DUMMYFUNCTION("""COMPUTED_VALUE"""),"Cartel PVC 32x16 Fotolum. Salida de emergencia Pta.")</f>
        <v>Cartel PVC 32x16 Fotolum. Salida de emergencia Pta.</v>
      </c>
      <c r="C356" s="4">
        <f>IFERROR(__xludf.DUMMYFUNCTION("""COMPUTED_VALUE"""),2.16)</f>
        <v>2.16</v>
      </c>
    </row>
    <row r="357">
      <c r="A357" s="4" t="str">
        <f>IFERROR(__xludf.DUMMYFUNCTION("""COMPUTED_VALUE"""),"0325AA")</f>
        <v>0325AA</v>
      </c>
      <c r="B357" s="4" t="str">
        <f>IFERROR(__xludf.DUMMYFUNCTION("""COMPUTED_VALUE"""),"Cartel PVC 32x16 Fotolum. Salida de emergencia puerta izq.")</f>
        <v>Cartel PVC 32x16 Fotolum. Salida de emergencia puerta izq.</v>
      </c>
      <c r="C357" s="4">
        <f>IFERROR(__xludf.DUMMYFUNCTION("""COMPUTED_VALUE"""),2.16)</f>
        <v>2.16</v>
      </c>
    </row>
    <row r="358">
      <c r="A358" s="4" t="str">
        <f>IFERROR(__xludf.DUMMYFUNCTION("""COMPUTED_VALUE"""),"0325B")</f>
        <v>0325B</v>
      </c>
      <c r="B358" s="4" t="str">
        <f>IFERROR(__xludf.DUMMYFUNCTION("""COMPUTED_VALUE"""),"Cartel PVC 64x32 Fotolum. Salida de emergencia Pta.")</f>
        <v>Cartel PVC 64x32 Fotolum. Salida de emergencia Pta.</v>
      </c>
      <c r="C358" s="4">
        <f>IFERROR(__xludf.DUMMYFUNCTION("""COMPUTED_VALUE"""),4.300800000000001)</f>
        <v>4.3008</v>
      </c>
    </row>
    <row r="359">
      <c r="A359" s="4" t="str">
        <f>IFERROR(__xludf.DUMMYFUNCTION("""COMPUTED_VALUE"""),"0325BA")</f>
        <v>0325BA</v>
      </c>
      <c r="B359" s="4" t="str">
        <f>IFERROR(__xludf.DUMMYFUNCTION("""COMPUTED_VALUE"""),"Cartel PVC 64x32 Fotolum. Salida de emergencia Pta. Izq.")</f>
        <v>Cartel PVC 64x32 Fotolum. Salida de emergencia Pta. Izq.</v>
      </c>
      <c r="C359" s="4">
        <f>IFERROR(__xludf.DUMMYFUNCTION("""COMPUTED_VALUE"""),4.300800000000001)</f>
        <v>4.3008</v>
      </c>
    </row>
    <row r="360">
      <c r="A360" s="4" t="str">
        <f>IFERROR(__xludf.DUMMYFUNCTION("""COMPUTED_VALUE"""),"0325C")</f>
        <v>0325C</v>
      </c>
      <c r="B360" s="4" t="str">
        <f>IFERROR(__xludf.DUMMYFUNCTION("""COMPUTED_VALUE"""),"Cartel PVC 96x48 Fotolum. Salida de emergencia Pta.")</f>
        <v>Cartel PVC 96x48 Fotolum. Salida de emergencia Pta.</v>
      </c>
      <c r="C360" s="4">
        <f>IFERROR(__xludf.DUMMYFUNCTION("""COMPUTED_VALUE"""),8.601600000000001)</f>
        <v>8.6016</v>
      </c>
    </row>
    <row r="361">
      <c r="A361" s="4" t="str">
        <f>IFERROR(__xludf.DUMMYFUNCTION("""COMPUTED_VALUE"""),"0325CA")</f>
        <v>0325CA</v>
      </c>
      <c r="B361" s="4" t="str">
        <f>IFERROR(__xludf.DUMMYFUNCTION("""COMPUTED_VALUE"""),"Cartel PVC 96x48 Fotolum. Salida de emergencia Pta. Izq")</f>
        <v>Cartel PVC 96x48 Fotolum. Salida de emergencia Pta. Izq</v>
      </c>
      <c r="C361" s="4">
        <f>IFERROR(__xludf.DUMMYFUNCTION("""COMPUTED_VALUE"""),8.601600000000001)</f>
        <v>8.6016</v>
      </c>
    </row>
    <row r="362">
      <c r="A362" s="4" t="str">
        <f>IFERROR(__xludf.DUMMYFUNCTION("""COMPUTED_VALUE"""),"326")</f>
        <v>326</v>
      </c>
      <c r="B362" s="4" t="str">
        <f>IFERROR(__xludf.DUMMYFUNCTION("""COMPUTED_VALUE"""),"Cartel PVC 21x30 Fotolum. Salida puerta abajo izq.")</f>
        <v>Cartel PVC 21x30 Fotolum. Salida puerta abajo izq.</v>
      </c>
      <c r="C362" s="4">
        <f>IFERROR(__xludf.DUMMYFUNCTION("""COMPUTED_VALUE"""),2.496)</f>
        <v>2.496</v>
      </c>
    </row>
    <row r="363">
      <c r="A363" s="4" t="str">
        <f>IFERROR(__xludf.DUMMYFUNCTION("""COMPUTED_VALUE"""),"0326A")</f>
        <v>0326A</v>
      </c>
      <c r="B363" s="4" t="str">
        <f>IFERROR(__xludf.DUMMYFUNCTION("""COMPUTED_VALUE"""),"Cartel PVC 32x16 Fotolum. Salida de emergencia Pta. Abajo")</f>
        <v>Cartel PVC 32x16 Fotolum. Salida de emergencia Pta. Abajo</v>
      </c>
      <c r="C363" s="4">
        <f>IFERROR(__xludf.DUMMYFUNCTION("""COMPUTED_VALUE"""),2.16)</f>
        <v>2.16</v>
      </c>
    </row>
    <row r="364">
      <c r="A364" s="4" t="str">
        <f>IFERROR(__xludf.DUMMYFUNCTION("""COMPUTED_VALUE"""),"0326AA")</f>
        <v>0326AA</v>
      </c>
      <c r="B364" s="4" t="str">
        <f>IFERROR(__xludf.DUMMYFUNCTION("""COMPUTED_VALUE"""),"Cartel PVC 32x16 Fotolum. Salida de emergencia Pta. Abajo")</f>
        <v>Cartel PVC 32x16 Fotolum. Salida de emergencia Pta. Abajo</v>
      </c>
      <c r="C364" s="4">
        <f>IFERROR(__xludf.DUMMYFUNCTION("""COMPUTED_VALUE"""),2.16)</f>
        <v>2.16</v>
      </c>
    </row>
    <row r="365">
      <c r="A365" s="4" t="str">
        <f>IFERROR(__xludf.DUMMYFUNCTION("""COMPUTED_VALUE"""),"0326B")</f>
        <v>0326B</v>
      </c>
      <c r="B365" s="4" t="str">
        <f>IFERROR(__xludf.DUMMYFUNCTION("""COMPUTED_VALUE"""),"Cartel PVC 64x32 Fotolum. Salida de emergencia Pta. Abajo")</f>
        <v>Cartel PVC 64x32 Fotolum. Salida de emergencia Pta. Abajo</v>
      </c>
      <c r="C365" s="4">
        <f>IFERROR(__xludf.DUMMYFUNCTION("""COMPUTED_VALUE"""),4.300800000000001)</f>
        <v>4.3008</v>
      </c>
    </row>
    <row r="366">
      <c r="A366" s="4" t="str">
        <f>IFERROR(__xludf.DUMMYFUNCTION("""COMPUTED_VALUE"""),"0326BA")</f>
        <v>0326BA</v>
      </c>
      <c r="B366" s="4" t="str">
        <f>IFERROR(__xludf.DUMMYFUNCTION("""COMPUTED_VALUE"""),"Cartel PVC 64x32 Fotolum. Salida de emergencia Pta. Abajo")</f>
        <v>Cartel PVC 64x32 Fotolum. Salida de emergencia Pta. Abajo</v>
      </c>
      <c r="C366" s="4">
        <f>IFERROR(__xludf.DUMMYFUNCTION("""COMPUTED_VALUE"""),4.300800000000001)</f>
        <v>4.3008</v>
      </c>
    </row>
    <row r="367">
      <c r="A367" s="4" t="str">
        <f>IFERROR(__xludf.DUMMYFUNCTION("""COMPUTED_VALUE"""),"0326C")</f>
        <v>0326C</v>
      </c>
      <c r="B367" s="4" t="str">
        <f>IFERROR(__xludf.DUMMYFUNCTION("""COMPUTED_VALUE"""),"Cartel PVC 96x48 Fotolum. Salida de emergencia Pta. Abajo")</f>
        <v>Cartel PVC 96x48 Fotolum. Salida de emergencia Pta. Abajo</v>
      </c>
      <c r="C367" s="4">
        <f>IFERROR(__xludf.DUMMYFUNCTION("""COMPUTED_VALUE"""),8.601600000000001)</f>
        <v>8.6016</v>
      </c>
    </row>
    <row r="368">
      <c r="A368" s="4" t="str">
        <f>IFERROR(__xludf.DUMMYFUNCTION("""COMPUTED_VALUE"""),"0326CA")</f>
        <v>0326CA</v>
      </c>
      <c r="B368" s="4" t="str">
        <f>IFERROR(__xludf.DUMMYFUNCTION("""COMPUTED_VALUE"""),"Cartel PVC 96x48 Fotolum. Salida de emergencia Pta. Abajo")</f>
        <v>Cartel PVC 96x48 Fotolum. Salida de emergencia Pta. Abajo</v>
      </c>
      <c r="C368" s="4">
        <f>IFERROR(__xludf.DUMMYFUNCTION("""COMPUTED_VALUE"""),8.601600000000001)</f>
        <v>8.6016</v>
      </c>
    </row>
    <row r="369">
      <c r="A369" s="4" t="str">
        <f>IFERROR(__xludf.DUMMYFUNCTION("""COMPUTED_VALUE"""),"327")</f>
        <v>327</v>
      </c>
      <c r="B369" s="4" t="str">
        <f>IFERROR(__xludf.DUMMYFUNCTION("""COMPUTED_VALUE"""),"Cartel PVC 21x30 Fotolum.puerta abajo dcha")</f>
        <v>Cartel PVC 21x30 Fotolum.puerta abajo dcha</v>
      </c>
      <c r="C369" s="4">
        <f>IFERROR(__xludf.DUMMYFUNCTION("""COMPUTED_VALUE"""),2.496)</f>
        <v>2.496</v>
      </c>
    </row>
    <row r="370">
      <c r="A370" s="4" t="str">
        <f>IFERROR(__xludf.DUMMYFUNCTION("""COMPUTED_VALUE"""),"0327A")</f>
        <v>0327A</v>
      </c>
      <c r="B370" s="4" t="str">
        <f>IFERROR(__xludf.DUMMYFUNCTION("""COMPUTED_VALUE"""),"Cartel PVC 32x16 Fotolum. Salida de emergencia Pta. Abajo")</f>
        <v>Cartel PVC 32x16 Fotolum. Salida de emergencia Pta. Abajo</v>
      </c>
      <c r="C370" s="4">
        <f>IFERROR(__xludf.DUMMYFUNCTION("""COMPUTED_VALUE"""),2.16)</f>
        <v>2.16</v>
      </c>
    </row>
    <row r="371">
      <c r="A371" s="4" t="str">
        <f>IFERROR(__xludf.DUMMYFUNCTION("""COMPUTED_VALUE"""),"0327AA")</f>
        <v>0327AA</v>
      </c>
      <c r="B371" s="4" t="str">
        <f>IFERROR(__xludf.DUMMYFUNCTION("""COMPUTED_VALUE"""),"Cartel PVC 32x16 Fotolum. Salida de emergencia Pta. Abajo")</f>
        <v>Cartel PVC 32x16 Fotolum. Salida de emergencia Pta. Abajo</v>
      </c>
      <c r="C371" s="4">
        <f>IFERROR(__xludf.DUMMYFUNCTION("""COMPUTED_VALUE"""),2.16)</f>
        <v>2.16</v>
      </c>
    </row>
    <row r="372">
      <c r="A372" s="4" t="str">
        <f>IFERROR(__xludf.DUMMYFUNCTION("""COMPUTED_VALUE"""),"0327B")</f>
        <v>0327B</v>
      </c>
      <c r="B372" s="4" t="str">
        <f>IFERROR(__xludf.DUMMYFUNCTION("""COMPUTED_VALUE"""),"Cartel PVC 64x32 Fotolum. Salida de emergencia Pta. Abajo")</f>
        <v>Cartel PVC 64x32 Fotolum. Salida de emergencia Pta. Abajo</v>
      </c>
      <c r="C372" s="4">
        <f>IFERROR(__xludf.DUMMYFUNCTION("""COMPUTED_VALUE"""),4.300800000000001)</f>
        <v>4.3008</v>
      </c>
    </row>
    <row r="373">
      <c r="A373" s="4" t="str">
        <f>IFERROR(__xludf.DUMMYFUNCTION("""COMPUTED_VALUE"""),"0327BA")</f>
        <v>0327BA</v>
      </c>
      <c r="B373" s="4" t="str">
        <f>IFERROR(__xludf.DUMMYFUNCTION("""COMPUTED_VALUE"""),"Cartel PVC 64x32 Fotolum. Salida de emergencia Pta. Abajo")</f>
        <v>Cartel PVC 64x32 Fotolum. Salida de emergencia Pta. Abajo</v>
      </c>
      <c r="C373" s="4">
        <f>IFERROR(__xludf.DUMMYFUNCTION("""COMPUTED_VALUE"""),4.300800000000001)</f>
        <v>4.3008</v>
      </c>
    </row>
    <row r="374">
      <c r="A374" s="4" t="str">
        <f>IFERROR(__xludf.DUMMYFUNCTION("""COMPUTED_VALUE"""),"0327C")</f>
        <v>0327C</v>
      </c>
      <c r="B374" s="4" t="str">
        <f>IFERROR(__xludf.DUMMYFUNCTION("""COMPUTED_VALUE"""),"Cartel PVC 96x48 Fotolum. Salida de emergencia Pta. Abajo")</f>
        <v>Cartel PVC 96x48 Fotolum. Salida de emergencia Pta. Abajo</v>
      </c>
      <c r="C374" s="4">
        <f>IFERROR(__xludf.DUMMYFUNCTION("""COMPUTED_VALUE"""),8.601600000000001)</f>
        <v>8.6016</v>
      </c>
    </row>
    <row r="375">
      <c r="A375" s="4" t="str">
        <f>IFERROR(__xludf.DUMMYFUNCTION("""COMPUTED_VALUE"""),"0327CA")</f>
        <v>0327CA</v>
      </c>
      <c r="B375" s="4" t="str">
        <f>IFERROR(__xludf.DUMMYFUNCTION("""COMPUTED_VALUE"""),"Cartel PVC 96x48 Fotolum. Salida de emergencia Pta. Abajo")</f>
        <v>Cartel PVC 96x48 Fotolum. Salida de emergencia Pta. Abajo</v>
      </c>
      <c r="C375" s="4">
        <f>IFERROR(__xludf.DUMMYFUNCTION("""COMPUTED_VALUE"""),8.601600000000001)</f>
        <v>8.6016</v>
      </c>
    </row>
    <row r="376">
      <c r="A376" s="4" t="str">
        <f>IFERROR(__xludf.DUMMYFUNCTION("""COMPUTED_VALUE"""),"328")</f>
        <v>328</v>
      </c>
      <c r="B376" s="4" t="str">
        <f>IFERROR(__xludf.DUMMYFUNCTION("""COMPUTED_VALUE"""),"Cartel PVC 21x30 Fotolum. Aseos hombres")</f>
        <v>Cartel PVC 21x30 Fotolum. Aseos hombres</v>
      </c>
      <c r="C376" s="4">
        <f>IFERROR(__xludf.DUMMYFUNCTION("""COMPUTED_VALUE"""),2.496)</f>
        <v>2.496</v>
      </c>
    </row>
    <row r="377">
      <c r="A377" s="4" t="str">
        <f>IFERROR(__xludf.DUMMYFUNCTION("""COMPUTED_VALUE"""),"0328A")</f>
        <v>0328A</v>
      </c>
      <c r="B377" s="4" t="str">
        <f>IFERROR(__xludf.DUMMYFUNCTION("""COMPUTED_VALUE"""),"Cartel PVC 21x30 Fotolum. Aseos masculino")</f>
        <v>Cartel PVC 21x30 Fotolum. Aseos masculino</v>
      </c>
      <c r="C377" s="4">
        <f>IFERROR(__xludf.DUMMYFUNCTION("""COMPUTED_VALUE"""),2.4192)</f>
        <v>2.4192</v>
      </c>
    </row>
    <row r="378">
      <c r="A378" s="4" t="str">
        <f>IFERROR(__xludf.DUMMYFUNCTION("""COMPUTED_VALUE"""),"0328B")</f>
        <v>0328B</v>
      </c>
      <c r="B378" s="4" t="str">
        <f>IFERROR(__xludf.DUMMYFUNCTION("""COMPUTED_VALUE"""),"Cartel PVC 40x30 Fotolum. Aseos Masculino")</f>
        <v>Cartel PVC 40x30 Fotolum. Aseos Masculino</v>
      </c>
      <c r="C378" s="4">
        <f>IFERROR(__xludf.DUMMYFUNCTION("""COMPUTED_VALUE"""),2.976)</f>
        <v>2.976</v>
      </c>
    </row>
    <row r="379">
      <c r="A379" s="4" t="str">
        <f>IFERROR(__xludf.DUMMYFUNCTION("""COMPUTED_VALUE"""),"329")</f>
        <v>329</v>
      </c>
      <c r="B379" s="4" t="str">
        <f>IFERROR(__xludf.DUMMYFUNCTION("""COMPUTED_VALUE"""),"Cartel PVC 21x30 Fotolum. Aseos mujeres")</f>
        <v>Cartel PVC 21x30 Fotolum. Aseos mujeres</v>
      </c>
      <c r="C379" s="4">
        <f>IFERROR(__xludf.DUMMYFUNCTION("""COMPUTED_VALUE"""),2.496)</f>
        <v>2.496</v>
      </c>
    </row>
    <row r="380">
      <c r="A380" s="4" t="str">
        <f>IFERROR(__xludf.DUMMYFUNCTION("""COMPUTED_VALUE"""),"0329A")</f>
        <v>0329A</v>
      </c>
      <c r="B380" s="4" t="str">
        <f>IFERROR(__xludf.DUMMYFUNCTION("""COMPUTED_VALUE"""),"Cartel PVC 21x30 Fotolum. Aseos femenino")</f>
        <v>Cartel PVC 21x30 Fotolum. Aseos femenino</v>
      </c>
      <c r="C380" s="4">
        <f>IFERROR(__xludf.DUMMYFUNCTION("""COMPUTED_VALUE"""),2.4192)</f>
        <v>2.4192</v>
      </c>
    </row>
    <row r="381">
      <c r="A381" s="4" t="str">
        <f>IFERROR(__xludf.DUMMYFUNCTION("""COMPUTED_VALUE"""),"0329B")</f>
        <v>0329B</v>
      </c>
      <c r="B381" s="4" t="str">
        <f>IFERROR(__xludf.DUMMYFUNCTION("""COMPUTED_VALUE"""),"Cartel PVC 40x30 Fotolum. Aseos femenino")</f>
        <v>Cartel PVC 40x30 Fotolum. Aseos femenino</v>
      </c>
      <c r="C381" s="4">
        <f>IFERROR(__xludf.DUMMYFUNCTION("""COMPUTED_VALUE"""),2.976)</f>
        <v>2.976</v>
      </c>
    </row>
    <row r="382">
      <c r="A382" s="4" t="str">
        <f>IFERROR(__xludf.DUMMYFUNCTION("""COMPUTED_VALUE"""),"330")</f>
        <v>330</v>
      </c>
      <c r="B382" s="4" t="str">
        <f>IFERROR(__xludf.DUMMYFUNCTION("""COMPUTED_VALUE"""),"Cartel PVC 21x30 Fotolum. Mujeres/Hombres")</f>
        <v>Cartel PVC 21x30 Fotolum. Mujeres/Hombres</v>
      </c>
      <c r="C382" s="4">
        <f>IFERROR(__xludf.DUMMYFUNCTION("""COMPUTED_VALUE"""),2.496)</f>
        <v>2.496</v>
      </c>
    </row>
    <row r="383">
      <c r="A383" s="4" t="str">
        <f>IFERROR(__xludf.DUMMYFUNCTION("""COMPUTED_VALUE"""),"0330A")</f>
        <v>0330A</v>
      </c>
      <c r="B383" s="4" t="str">
        <f>IFERROR(__xludf.DUMMYFUNCTION("""COMPUTED_VALUE"""),"Cartel PVC 21x30 Fotolum. Aseos mixtos")</f>
        <v>Cartel PVC 21x30 Fotolum. Aseos mixtos</v>
      </c>
      <c r="C383" s="4">
        <f>IFERROR(__xludf.DUMMYFUNCTION("""COMPUTED_VALUE"""),2.4192)</f>
        <v>2.4192</v>
      </c>
    </row>
    <row r="384">
      <c r="A384" s="4" t="str">
        <f>IFERROR(__xludf.DUMMYFUNCTION("""COMPUTED_VALUE"""),"0330B")</f>
        <v>0330B</v>
      </c>
      <c r="B384" s="4" t="str">
        <f>IFERROR(__xludf.DUMMYFUNCTION("""COMPUTED_VALUE"""),"Cartel PVC 40x30 Fotolum. Aseos mixtos")</f>
        <v>Cartel PVC 40x30 Fotolum. Aseos mixtos</v>
      </c>
      <c r="C384" s="4">
        <f>IFERROR(__xludf.DUMMYFUNCTION("""COMPUTED_VALUE"""),2.976)</f>
        <v>2.976</v>
      </c>
    </row>
    <row r="385">
      <c r="A385" s="4" t="str">
        <f>IFERROR(__xludf.DUMMYFUNCTION("""COMPUTED_VALUE"""),"331")</f>
        <v>331</v>
      </c>
      <c r="B385" s="4" t="str">
        <f>IFERROR(__xludf.DUMMYFUNCTION("""COMPUTED_VALUE"""),"Cartel PVC 21x29 Fotolum. HIDRANTE")</f>
        <v>Cartel PVC 21x29 Fotolum. HIDRANTE</v>
      </c>
      <c r="C385" s="4">
        <f>IFERROR(__xludf.DUMMYFUNCTION("""COMPUTED_VALUE"""),2.496)</f>
        <v>2.496</v>
      </c>
    </row>
    <row r="386">
      <c r="A386" s="4" t="str">
        <f>IFERROR(__xludf.DUMMYFUNCTION("""COMPUTED_VALUE"""),"332")</f>
        <v>332</v>
      </c>
      <c r="B386" s="4" t="str">
        <f>IFERROR(__xludf.DUMMYFUNCTION("""COMPUTED_VALUE"""),"Cartel PVC 21x30 Fotolum. Salida Emerg. puerta dcha")</f>
        <v>Cartel PVC 21x30 Fotolum. Salida Emerg. puerta dcha</v>
      </c>
      <c r="C386" s="4">
        <f>IFERROR(__xludf.DUMMYFUNCTION("""COMPUTED_VALUE"""),2.496)</f>
        <v>2.496</v>
      </c>
    </row>
    <row r="387">
      <c r="A387" s="4" t="str">
        <f>IFERROR(__xludf.DUMMYFUNCTION("""COMPUTED_VALUE"""),"333")</f>
        <v>333</v>
      </c>
      <c r="B387" s="4" t="str">
        <f>IFERROR(__xludf.DUMMYFUNCTION("""COMPUTED_VALUE"""),"Cartel PVC 21x30 Fotolum. Salida Emerg. puerta abajo dcha.")</f>
        <v>Cartel PVC 21x30 Fotolum. Salida Emerg. puerta abajo dcha.</v>
      </c>
      <c r="C387" s="4">
        <f>IFERROR(__xludf.DUMMYFUNCTION("""COMPUTED_VALUE"""),2.496)</f>
        <v>2.496</v>
      </c>
    </row>
    <row r="388">
      <c r="A388" s="4" t="str">
        <f>IFERROR(__xludf.DUMMYFUNCTION("""COMPUTED_VALUE"""),"334")</f>
        <v>334</v>
      </c>
      <c r="B388" s="4" t="str">
        <f>IFERROR(__xludf.DUMMYFUNCTION("""COMPUTED_VALUE"""),"Cartel PVC 21x30 Fotolum. Salida Emerg. puerta izq.")</f>
        <v>Cartel PVC 21x30 Fotolum. Salida Emerg. puerta izq.</v>
      </c>
      <c r="C388" s="4">
        <f>IFERROR(__xludf.DUMMYFUNCTION("""COMPUTED_VALUE"""),2.496)</f>
        <v>2.496</v>
      </c>
    </row>
    <row r="389">
      <c r="A389" s="4" t="str">
        <f>IFERROR(__xludf.DUMMYFUNCTION("""COMPUTED_VALUE"""),"335")</f>
        <v>335</v>
      </c>
      <c r="B389" s="4" t="str">
        <f>IFERROR(__xludf.DUMMYFUNCTION("""COMPUTED_VALUE"""),"Cartel PVC 21x30 Fotolum. Salida Emerg. puerta abajo izq.")</f>
        <v>Cartel PVC 21x30 Fotolum. Salida Emerg. puerta abajo izq.</v>
      </c>
      <c r="C389" s="4">
        <f>IFERROR(__xludf.DUMMYFUNCTION("""COMPUTED_VALUE"""),2.496)</f>
        <v>2.496</v>
      </c>
    </row>
    <row r="390">
      <c r="A390" s="4" t="str">
        <f>IFERROR(__xludf.DUMMYFUNCTION("""COMPUTED_VALUE"""),"336")</f>
        <v>336</v>
      </c>
      <c r="B390" s="4" t="str">
        <f>IFERROR(__xludf.DUMMYFUNCTION("""COMPUTED_VALUE"""),"Cartel PVC 21x30 Fotolum. Salida Emerg. escalera abajo izq.")</f>
        <v>Cartel PVC 21x30 Fotolum. Salida Emerg. escalera abajo izq.</v>
      </c>
      <c r="C390" s="4">
        <f>IFERROR(__xludf.DUMMYFUNCTION("""COMPUTED_VALUE"""),2.496)</f>
        <v>2.496</v>
      </c>
    </row>
    <row r="391">
      <c r="A391" s="4" t="str">
        <f>IFERROR(__xludf.DUMMYFUNCTION("""COMPUTED_VALUE"""),"0336A")</f>
        <v>0336A</v>
      </c>
      <c r="B391" s="4" t="str">
        <f>IFERROR(__xludf.DUMMYFUNCTION("""COMPUTED_VALUE"""),"Cartel PVC 32x16 Fotolum. Escal. de emergencia izq abajo")</f>
        <v>Cartel PVC 32x16 Fotolum. Escal. de emergencia izq abajo</v>
      </c>
      <c r="C391" s="4">
        <f>IFERROR(__xludf.DUMMYFUNCTION("""COMPUTED_VALUE"""),2.16)</f>
        <v>2.16</v>
      </c>
    </row>
    <row r="392">
      <c r="A392" s="4" t="str">
        <f>IFERROR(__xludf.DUMMYFUNCTION("""COMPUTED_VALUE"""),"0336B")</f>
        <v>0336B</v>
      </c>
      <c r="B392" s="4" t="str">
        <f>IFERROR(__xludf.DUMMYFUNCTION("""COMPUTED_VALUE"""),"Cartel PVC 64x32 Fotolum. Escal. de emergencia izq abajo")</f>
        <v>Cartel PVC 64x32 Fotolum. Escal. de emergencia izq abajo</v>
      </c>
      <c r="C392" s="4">
        <f>IFERROR(__xludf.DUMMYFUNCTION("""COMPUTED_VALUE"""),4.300800000000001)</f>
        <v>4.3008</v>
      </c>
    </row>
    <row r="393">
      <c r="A393" s="4" t="str">
        <f>IFERROR(__xludf.DUMMYFUNCTION("""COMPUTED_VALUE"""),"337")</f>
        <v>337</v>
      </c>
      <c r="B393" s="4" t="str">
        <f>IFERROR(__xludf.DUMMYFUNCTION("""COMPUTED_VALUE"""),"Cartel PVC 21x30 Fotolum. Salida Emerg.escalera arriba dcha.")</f>
        <v>Cartel PVC 21x30 Fotolum. Salida Emerg.escalera arriba dcha.</v>
      </c>
      <c r="C393" s="4">
        <f>IFERROR(__xludf.DUMMYFUNCTION("""COMPUTED_VALUE"""),2.496)</f>
        <v>2.496</v>
      </c>
    </row>
    <row r="394">
      <c r="A394" s="4" t="str">
        <f>IFERROR(__xludf.DUMMYFUNCTION("""COMPUTED_VALUE"""),"0337A")</f>
        <v>0337A</v>
      </c>
      <c r="B394" s="4" t="str">
        <f>IFERROR(__xludf.DUMMYFUNCTION("""COMPUTED_VALUE"""),"Cartel PVC 32x16 Fotolum. Escal. de emergencia dcha arriba")</f>
        <v>Cartel PVC 32x16 Fotolum. Escal. de emergencia dcha arriba</v>
      </c>
      <c r="C394" s="4">
        <f>IFERROR(__xludf.DUMMYFUNCTION("""COMPUTED_VALUE"""),2.16)</f>
        <v>2.16</v>
      </c>
    </row>
    <row r="395">
      <c r="A395" s="4" t="str">
        <f>IFERROR(__xludf.DUMMYFUNCTION("""COMPUTED_VALUE"""),"0337B")</f>
        <v>0337B</v>
      </c>
      <c r="B395" s="4" t="str">
        <f>IFERROR(__xludf.DUMMYFUNCTION("""COMPUTED_VALUE"""),"Cartel PVC 64x32 Fotolum. Escal. de emergencia dcha arriba")</f>
        <v>Cartel PVC 64x32 Fotolum. Escal. de emergencia dcha arriba</v>
      </c>
      <c r="C395" s="4">
        <f>IFERROR(__xludf.DUMMYFUNCTION("""COMPUTED_VALUE"""),4.300800000000001)</f>
        <v>4.3008</v>
      </c>
    </row>
    <row r="396">
      <c r="A396" s="4" t="str">
        <f>IFERROR(__xludf.DUMMYFUNCTION("""COMPUTED_VALUE"""),"0337C")</f>
        <v>0337C</v>
      </c>
      <c r="B396" s="4" t="str">
        <f>IFERROR(__xludf.DUMMYFUNCTION("""COMPUTED_VALUE"""),"Cartel PVC 96x48 Fotolum. Escal. de emergencia dcha arriba")</f>
        <v>Cartel PVC 96x48 Fotolum. Escal. de emergencia dcha arriba</v>
      </c>
      <c r="C396" s="4">
        <f>IFERROR(__xludf.DUMMYFUNCTION("""COMPUTED_VALUE"""),8.601600000000001)</f>
        <v>8.6016</v>
      </c>
    </row>
    <row r="397">
      <c r="A397" s="4" t="str">
        <f>IFERROR(__xludf.DUMMYFUNCTION("""COMPUTED_VALUE"""),"338")</f>
        <v>338</v>
      </c>
      <c r="B397" s="4" t="str">
        <f>IFERROR(__xludf.DUMMYFUNCTION("""COMPUTED_VALUE"""),"Cartel PVC 21x30 Fotolum. Salida Emerg. escalera abajo dcha")</f>
        <v>Cartel PVC 21x30 Fotolum. Salida Emerg. escalera abajo dcha</v>
      </c>
      <c r="C397" s="4">
        <f>IFERROR(__xludf.DUMMYFUNCTION("""COMPUTED_VALUE"""),2.496)</f>
        <v>2.496</v>
      </c>
    </row>
    <row r="398">
      <c r="A398" s="4" t="str">
        <f>IFERROR(__xludf.DUMMYFUNCTION("""COMPUTED_VALUE"""),"0338A")</f>
        <v>0338A</v>
      </c>
      <c r="B398" s="4" t="str">
        <f>IFERROR(__xludf.DUMMYFUNCTION("""COMPUTED_VALUE"""),"Cartel PVC 32x16 Fotolum. Escal. de emergencia dcha abajo")</f>
        <v>Cartel PVC 32x16 Fotolum. Escal. de emergencia dcha abajo</v>
      </c>
      <c r="C398" s="4">
        <f>IFERROR(__xludf.DUMMYFUNCTION("""COMPUTED_VALUE"""),2.16)</f>
        <v>2.16</v>
      </c>
    </row>
    <row r="399">
      <c r="A399" s="4" t="str">
        <f>IFERROR(__xludf.DUMMYFUNCTION("""COMPUTED_VALUE"""),"0338B")</f>
        <v>0338B</v>
      </c>
      <c r="B399" s="4" t="str">
        <f>IFERROR(__xludf.DUMMYFUNCTION("""COMPUTED_VALUE"""),"Cartel PVC 64x32 Fotolum. Escal. de emergencia dcha abajo")</f>
        <v>Cartel PVC 64x32 Fotolum. Escal. de emergencia dcha abajo</v>
      </c>
      <c r="C399" s="4">
        <f>IFERROR(__xludf.DUMMYFUNCTION("""COMPUTED_VALUE"""),4.300800000000001)</f>
        <v>4.3008</v>
      </c>
    </row>
    <row r="400">
      <c r="A400" s="4" t="str">
        <f>IFERROR(__xludf.DUMMYFUNCTION("""COMPUTED_VALUE"""),"339")</f>
        <v>339</v>
      </c>
      <c r="B400" s="4" t="str">
        <f>IFERROR(__xludf.DUMMYFUNCTION("""COMPUTED_VALUE"""),"Cartel PVC 21x30 Fotolum. Salida Emerg. escalera arriba izq.")</f>
        <v>Cartel PVC 21x30 Fotolum. Salida Emerg. escalera arriba izq.</v>
      </c>
      <c r="C400" s="4">
        <f>IFERROR(__xludf.DUMMYFUNCTION("""COMPUTED_VALUE"""),2.496)</f>
        <v>2.496</v>
      </c>
    </row>
    <row r="401">
      <c r="A401" s="4" t="str">
        <f>IFERROR(__xludf.DUMMYFUNCTION("""COMPUTED_VALUE"""),"0339A")</f>
        <v>0339A</v>
      </c>
      <c r="B401" s="4" t="str">
        <f>IFERROR(__xludf.DUMMYFUNCTION("""COMPUTED_VALUE"""),"Cartel PVC 32x16 Fotolum. Escal. de emergencia izq arriba")</f>
        <v>Cartel PVC 32x16 Fotolum. Escal. de emergencia izq arriba</v>
      </c>
      <c r="C401" s="4">
        <f>IFERROR(__xludf.DUMMYFUNCTION("""COMPUTED_VALUE"""),2.16)</f>
        <v>2.16</v>
      </c>
    </row>
    <row r="402">
      <c r="A402" s="4" t="str">
        <f>IFERROR(__xludf.DUMMYFUNCTION("""COMPUTED_VALUE"""),"0339B")</f>
        <v>0339B</v>
      </c>
      <c r="B402" s="4" t="str">
        <f>IFERROR(__xludf.DUMMYFUNCTION("""COMPUTED_VALUE"""),"Cartel PVC 64x32 Fotolum. Escal. de emergencia izq arriba")</f>
        <v>Cartel PVC 64x32 Fotolum. Escal. de emergencia izq arriba</v>
      </c>
      <c r="C402" s="4">
        <f>IFERROR(__xludf.DUMMYFUNCTION("""COMPUTED_VALUE"""),4.300800000000001)</f>
        <v>4.3008</v>
      </c>
    </row>
    <row r="403">
      <c r="A403" s="4" t="str">
        <f>IFERROR(__xludf.DUMMYFUNCTION("""COMPUTED_VALUE"""),"0339C")</f>
        <v>0339C</v>
      </c>
      <c r="B403" s="4" t="str">
        <f>IFERROR(__xludf.DUMMYFUNCTION("""COMPUTED_VALUE"""),"Cartel PVC 96x48 Fotolum. Escal. de emergencia izq arriba")</f>
        <v>Cartel PVC 96x48 Fotolum. Escal. de emergencia izq arriba</v>
      </c>
      <c r="C403" s="4">
        <f>IFERROR(__xludf.DUMMYFUNCTION("""COMPUTED_VALUE"""),8.601600000000001)</f>
        <v>8.6016</v>
      </c>
    </row>
    <row r="404">
      <c r="A404" s="4" t="str">
        <f>IFERROR(__xludf.DUMMYFUNCTION("""COMPUTED_VALUE"""),"340")</f>
        <v>340</v>
      </c>
      <c r="B404" s="4" t="str">
        <f>IFERROR(__xludf.DUMMYFUNCTION("""COMPUTED_VALUE"""),"Cartel PVC 40x30 Fotolum. SALIDA")</f>
        <v>Cartel PVC 40x30 Fotolum. SALIDA</v>
      </c>
      <c r="C404" s="4">
        <f>IFERROR(__xludf.DUMMYFUNCTION("""COMPUTED_VALUE"""),3.2159999999999997)</f>
        <v>3.216</v>
      </c>
    </row>
    <row r="405">
      <c r="A405" s="4" t="str">
        <f>IFERROR(__xludf.DUMMYFUNCTION("""COMPUTED_VALUE"""),"342")</f>
        <v>342</v>
      </c>
      <c r="B405" s="4" t="str">
        <f>IFERROR(__xludf.DUMMYFUNCTION("""COMPUTED_VALUE"""),"Cartel PVC 40x60 Riesgo de Incendio")</f>
        <v>Cartel PVC 40x60 Riesgo de Incendio</v>
      </c>
      <c r="C405" s="4">
        <f>IFERROR(__xludf.DUMMYFUNCTION("""COMPUTED_VALUE"""),4.56)</f>
        <v>4.56</v>
      </c>
    </row>
    <row r="406">
      <c r="A406" s="4" t="str">
        <f>IFERROR(__xludf.DUMMYFUNCTION("""COMPUTED_VALUE"""),"343")</f>
        <v>343</v>
      </c>
      <c r="B406" s="4" t="str">
        <f>IFERROR(__xludf.DUMMYFUNCTION("""COMPUTED_VALUE"""),"Cartel PVC 21x30 Fotolum. Extintor")</f>
        <v>Cartel PVC 21x30 Fotolum. Extintor</v>
      </c>
      <c r="C406" s="4">
        <f>IFERROR(__xludf.DUMMYFUNCTION("""COMPUTED_VALUE"""),2.496)</f>
        <v>2.496</v>
      </c>
    </row>
    <row r="407">
      <c r="A407" s="4" t="str">
        <f>IFERROR(__xludf.DUMMYFUNCTION("""COMPUTED_VALUE"""),"0343A")</f>
        <v>0343A</v>
      </c>
      <c r="B407" s="4" t="str">
        <f>IFERROR(__xludf.DUMMYFUNCTION("""COMPUTED_VALUE"""),"Cartel PVC 21x30 Fotolum. Extintor")</f>
        <v>Cartel PVC 21x30 Fotolum. Extintor</v>
      </c>
      <c r="C407" s="4">
        <f>IFERROR(__xludf.DUMMYFUNCTION("""COMPUTED_VALUE"""),2.4192)</f>
        <v>2.4192</v>
      </c>
    </row>
    <row r="408">
      <c r="A408" s="4" t="str">
        <f>IFERROR(__xludf.DUMMYFUNCTION("""COMPUTED_VALUE"""),"0343B")</f>
        <v>0343B</v>
      </c>
      <c r="B408" s="4" t="str">
        <f>IFERROR(__xludf.DUMMYFUNCTION("""COMPUTED_VALUE"""),"Cartel PVC 40x30 Fotolum. Extintor")</f>
        <v>Cartel PVC 40x30 Fotolum. Extintor</v>
      </c>
      <c r="C408" s="4">
        <f>IFERROR(__xludf.DUMMYFUNCTION("""COMPUTED_VALUE"""),2.976)</f>
        <v>2.976</v>
      </c>
    </row>
    <row r="409">
      <c r="A409" s="4" t="str">
        <f>IFERROR(__xludf.DUMMYFUNCTION("""COMPUTED_VALUE"""),"0343CO")</f>
        <v>0343CO</v>
      </c>
      <c r="B409" s="4" t="str">
        <f>IFERROR(__xludf.DUMMYFUNCTION("""COMPUTED_VALUE"""),"Cartel PVC 21x30 Fotolum. Extintor Co2")</f>
        <v>Cartel PVC 21x30 Fotolum. Extintor Co2</v>
      </c>
      <c r="C409" s="4">
        <f>IFERROR(__xludf.DUMMYFUNCTION("""COMPUTED_VALUE"""),2.496)</f>
        <v>2.496</v>
      </c>
    </row>
    <row r="410">
      <c r="A410" s="4" t="str">
        <f>IFERROR(__xludf.DUMMYFUNCTION("""COMPUTED_VALUE"""),"344")</f>
        <v>344</v>
      </c>
      <c r="B410" s="4" t="str">
        <f>IFERROR(__xludf.DUMMYFUNCTION("""COMPUTED_VALUE"""),"Cartel PVC 21x30 Fotolum. Salida")</f>
        <v>Cartel PVC 21x30 Fotolum. Salida</v>
      </c>
      <c r="C410" s="4">
        <f>IFERROR(__xludf.DUMMYFUNCTION("""COMPUTED_VALUE"""),2.496)</f>
        <v>2.496</v>
      </c>
    </row>
    <row r="411">
      <c r="A411" s="4" t="str">
        <f>IFERROR(__xludf.DUMMYFUNCTION("""COMPUTED_VALUE"""),"0344A")</f>
        <v>0344A</v>
      </c>
      <c r="B411" s="4" t="str">
        <f>IFERROR(__xludf.DUMMYFUNCTION("""COMPUTED_VALUE"""),"Cartel PVC 32x16 Fotolum. Salida")</f>
        <v>Cartel PVC 32x16 Fotolum. Salida</v>
      </c>
      <c r="C411" s="4">
        <f>IFERROR(__xludf.DUMMYFUNCTION("""COMPUTED_VALUE"""),2.16)</f>
        <v>2.16</v>
      </c>
    </row>
    <row r="412">
      <c r="A412" s="4" t="str">
        <f>IFERROR(__xludf.DUMMYFUNCTION("""COMPUTED_VALUE"""),"0344B")</f>
        <v>0344B</v>
      </c>
      <c r="B412" s="4" t="str">
        <f>IFERROR(__xludf.DUMMYFUNCTION("""COMPUTED_VALUE"""),"Cartel PVC 64x32 Fotolum. Salida")</f>
        <v>Cartel PVC 64x32 Fotolum. Salida</v>
      </c>
      <c r="C412" s="4">
        <f>IFERROR(__xludf.DUMMYFUNCTION("""COMPUTED_VALUE"""),4.300800000000001)</f>
        <v>4.3008</v>
      </c>
    </row>
    <row r="413">
      <c r="A413" s="4" t="str">
        <f>IFERROR(__xludf.DUMMYFUNCTION("""COMPUTED_VALUE"""),"345")</f>
        <v>345</v>
      </c>
      <c r="B413" s="4" t="str">
        <f>IFERROR(__xludf.DUMMYFUNCTION("""COMPUTED_VALUE"""),"Señal PVC 21x29 Fotolum. avisador sonoro")</f>
        <v>Señal PVC 21x29 Fotolum. avisador sonoro</v>
      </c>
      <c r="C413" s="4">
        <f>IFERROR(__xludf.DUMMYFUNCTION("""COMPUTED_VALUE"""),2.496)</f>
        <v>2.496</v>
      </c>
    </row>
    <row r="414">
      <c r="A414" s="4" t="str">
        <f>IFERROR(__xludf.DUMMYFUNCTION("""COMPUTED_VALUE"""),"346")</f>
        <v>346</v>
      </c>
      <c r="B414" s="4" t="str">
        <f>IFERROR(__xludf.DUMMYFUNCTION("""COMPUTED_VALUE"""),"Cartel PVC 21x30 Fotolum. Extintor dcha")</f>
        <v>Cartel PVC 21x30 Fotolum. Extintor dcha</v>
      </c>
      <c r="C414" s="4">
        <f>IFERROR(__xludf.DUMMYFUNCTION("""COMPUTED_VALUE"""),2.496)</f>
        <v>2.496</v>
      </c>
    </row>
    <row r="415">
      <c r="A415" s="4" t="str">
        <f>IFERROR(__xludf.DUMMYFUNCTION("""COMPUTED_VALUE"""),"0346A")</f>
        <v>0346A</v>
      </c>
      <c r="B415" s="4" t="str">
        <f>IFERROR(__xludf.DUMMYFUNCTION("""COMPUTED_VALUE"""),"Cartel PVC 32x16 Fotolum. Extintor derecha")</f>
        <v>Cartel PVC 32x16 Fotolum. Extintor derecha</v>
      </c>
      <c r="C415" s="4">
        <f>IFERROR(__xludf.DUMMYFUNCTION("""COMPUTED_VALUE"""),2.16)</f>
        <v>2.16</v>
      </c>
    </row>
    <row r="416">
      <c r="A416" s="4" t="str">
        <f>IFERROR(__xludf.DUMMYFUNCTION("""COMPUTED_VALUE"""),"0346B")</f>
        <v>0346B</v>
      </c>
      <c r="B416" s="4" t="str">
        <f>IFERROR(__xludf.DUMMYFUNCTION("""COMPUTED_VALUE"""),"Cartel PVC 64x32 Fotolum. Extintor derecha")</f>
        <v>Cartel PVC 64x32 Fotolum. Extintor derecha</v>
      </c>
      <c r="C416" s="4">
        <f>IFERROR(__xludf.DUMMYFUNCTION("""COMPUTED_VALUE"""),4.300800000000001)</f>
        <v>4.3008</v>
      </c>
    </row>
    <row r="417">
      <c r="A417" s="4" t="str">
        <f>IFERROR(__xludf.DUMMYFUNCTION("""COMPUTED_VALUE"""),"0346C")</f>
        <v>0346C</v>
      </c>
      <c r="B417" s="4" t="str">
        <f>IFERROR(__xludf.DUMMYFUNCTION("""COMPUTED_VALUE"""),"Cartel PVC 96x48 Fotolum. Extintor derecha")</f>
        <v>Cartel PVC 96x48 Fotolum. Extintor derecha</v>
      </c>
      <c r="C417" s="4">
        <f>IFERROR(__xludf.DUMMYFUNCTION("""COMPUTED_VALUE"""),8.601600000000001)</f>
        <v>8.6016</v>
      </c>
    </row>
    <row r="418">
      <c r="A418" s="4" t="str">
        <f>IFERROR(__xludf.DUMMYFUNCTION("""COMPUTED_VALUE"""),"347")</f>
        <v>347</v>
      </c>
      <c r="B418" s="4" t="str">
        <f>IFERROR(__xludf.DUMMYFUNCTION("""COMPUTED_VALUE"""),"Cartel PVC 21x30 Fotolum. Extintor Izq.")</f>
        <v>Cartel PVC 21x30 Fotolum. Extintor Izq.</v>
      </c>
      <c r="C418" s="4">
        <f>IFERROR(__xludf.DUMMYFUNCTION("""COMPUTED_VALUE"""),2.496)</f>
        <v>2.496</v>
      </c>
    </row>
    <row r="419">
      <c r="A419" s="4" t="str">
        <f>IFERROR(__xludf.DUMMYFUNCTION("""COMPUTED_VALUE"""),"0347A")</f>
        <v>0347A</v>
      </c>
      <c r="B419" s="4" t="str">
        <f>IFERROR(__xludf.DUMMYFUNCTION("""COMPUTED_VALUE"""),"Cartel PVC 32x16 Fotolum. Extintor izquierda")</f>
        <v>Cartel PVC 32x16 Fotolum. Extintor izquierda</v>
      </c>
      <c r="C419" s="4">
        <f>IFERROR(__xludf.DUMMYFUNCTION("""COMPUTED_VALUE"""),2.16)</f>
        <v>2.16</v>
      </c>
    </row>
    <row r="420">
      <c r="A420" s="4" t="str">
        <f>IFERROR(__xludf.DUMMYFUNCTION("""COMPUTED_VALUE"""),"0347B")</f>
        <v>0347B</v>
      </c>
      <c r="B420" s="4" t="str">
        <f>IFERROR(__xludf.DUMMYFUNCTION("""COMPUTED_VALUE"""),"Cartel PVC 64x32 Fotolum. Extintor izquierda")</f>
        <v>Cartel PVC 64x32 Fotolum. Extintor izquierda</v>
      </c>
      <c r="C420" s="4">
        <f>IFERROR(__xludf.DUMMYFUNCTION("""COMPUTED_VALUE"""),4.300800000000001)</f>
        <v>4.3008</v>
      </c>
    </row>
    <row r="421">
      <c r="A421" s="4" t="str">
        <f>IFERROR(__xludf.DUMMYFUNCTION("""COMPUTED_VALUE"""),"0347C")</f>
        <v>0347C</v>
      </c>
      <c r="B421" s="4" t="str">
        <f>IFERROR(__xludf.DUMMYFUNCTION("""COMPUTED_VALUE"""),"Cartel PVC 96x48 Fotolum. Extintor izquierda")</f>
        <v>Cartel PVC 96x48 Fotolum. Extintor izquierda</v>
      </c>
      <c r="C421" s="4">
        <f>IFERROR(__xludf.DUMMYFUNCTION("""COMPUTED_VALUE"""),8.601600000000001)</f>
        <v>8.6016</v>
      </c>
    </row>
    <row r="422">
      <c r="A422" s="4" t="str">
        <f>IFERROR(__xludf.DUMMYFUNCTION("""COMPUTED_VALUE"""),"348")</f>
        <v>348</v>
      </c>
      <c r="B422" s="4" t="str">
        <f>IFERROR(__xludf.DUMMYFUNCTION("""COMPUTED_VALUE"""),"Cartel PVC 15x15 Fotolum. Pulsador de Alarma")</f>
        <v>Cartel PVC 15x15 Fotolum. Pulsador de Alarma</v>
      </c>
      <c r="C422" s="4">
        <f>IFERROR(__xludf.DUMMYFUNCTION("""COMPUTED_VALUE"""),1.6127999999999998)</f>
        <v>1.6128</v>
      </c>
    </row>
    <row r="423">
      <c r="A423" s="4" t="str">
        <f>IFERROR(__xludf.DUMMYFUNCTION("""COMPUTED_VALUE"""),"349")</f>
        <v>349</v>
      </c>
      <c r="B423" s="4" t="str">
        <f>IFERROR(__xludf.DUMMYFUNCTION("""COMPUTED_VALUE"""),"Cartel PVC 21x30 Fotolum. Boca Incendios")</f>
        <v>Cartel PVC 21x30 Fotolum. Boca Incendios</v>
      </c>
      <c r="C423" s="4">
        <f>IFERROR(__xludf.DUMMYFUNCTION("""COMPUTED_VALUE"""),2.496)</f>
        <v>2.496</v>
      </c>
    </row>
    <row r="424">
      <c r="A424" s="4" t="str">
        <f>IFERROR(__xludf.DUMMYFUNCTION("""COMPUTED_VALUE"""),"0349A")</f>
        <v>0349A</v>
      </c>
      <c r="B424" s="4" t="str">
        <f>IFERROR(__xludf.DUMMYFUNCTION("""COMPUTED_VALUE"""),"Cartel PVC 21x30 Fotolum. Boca de incendio")</f>
        <v>Cartel PVC 21x30 Fotolum. Boca de incendio</v>
      </c>
      <c r="C424" s="4">
        <f>IFERROR(__xludf.DUMMYFUNCTION("""COMPUTED_VALUE"""),2.4192)</f>
        <v>2.4192</v>
      </c>
    </row>
    <row r="425">
      <c r="A425" s="4" t="str">
        <f>IFERROR(__xludf.DUMMYFUNCTION("""COMPUTED_VALUE"""),"0349B")</f>
        <v>0349B</v>
      </c>
      <c r="B425" s="4" t="str">
        <f>IFERROR(__xludf.DUMMYFUNCTION("""COMPUTED_VALUE"""),"Cartel PVC 40x30 Fotolum. Boca de incendio")</f>
        <v>Cartel PVC 40x30 Fotolum. Boca de incendio</v>
      </c>
      <c r="C425" s="4">
        <f>IFERROR(__xludf.DUMMYFUNCTION("""COMPUTED_VALUE"""),2.976)</f>
        <v>2.976</v>
      </c>
    </row>
    <row r="426">
      <c r="A426" s="4" t="str">
        <f>IFERROR(__xludf.DUMMYFUNCTION("""COMPUTED_VALUE"""),"350")</f>
        <v>350</v>
      </c>
      <c r="B426" s="4" t="str">
        <f>IFERROR(__xludf.DUMMYFUNCTION("""COMPUTED_VALUE"""),"Cartel PVC 21x30 Fotolum. Boca Incendios dcha")</f>
        <v>Cartel PVC 21x30 Fotolum. Boca Incendios dcha</v>
      </c>
      <c r="C426" s="4">
        <f>IFERROR(__xludf.DUMMYFUNCTION("""COMPUTED_VALUE"""),2.496)</f>
        <v>2.496</v>
      </c>
    </row>
    <row r="427">
      <c r="A427" s="4" t="str">
        <f>IFERROR(__xludf.DUMMYFUNCTION("""COMPUTED_VALUE"""),"0350A")</f>
        <v>0350A</v>
      </c>
      <c r="B427" s="4" t="str">
        <f>IFERROR(__xludf.DUMMYFUNCTION("""COMPUTED_VALUE"""),"Cartel PVC 32x16 Fotolum. Boca Incendios dcha")</f>
        <v>Cartel PVC 32x16 Fotolum. Boca Incendios dcha</v>
      </c>
      <c r="C427" s="4">
        <f>IFERROR(__xludf.DUMMYFUNCTION("""COMPUTED_VALUE"""),1.9103999999999999)</f>
        <v>1.9104</v>
      </c>
    </row>
    <row r="428">
      <c r="A428" s="4" t="str">
        <f>IFERROR(__xludf.DUMMYFUNCTION("""COMPUTED_VALUE"""),"0350B")</f>
        <v>0350B</v>
      </c>
      <c r="B428" s="4" t="str">
        <f>IFERROR(__xludf.DUMMYFUNCTION("""COMPUTED_VALUE"""),"Cartel PVC 64x32 Fotolum. Boca Incendios dcha")</f>
        <v>Cartel PVC 64x32 Fotolum. Boca Incendios dcha</v>
      </c>
      <c r="C428" s="4">
        <f>IFERROR(__xludf.DUMMYFUNCTION("""COMPUTED_VALUE"""),4.300800000000001)</f>
        <v>4.3008</v>
      </c>
    </row>
    <row r="429">
      <c r="A429" s="4" t="str">
        <f>IFERROR(__xludf.DUMMYFUNCTION("""COMPUTED_VALUE"""),"0350C")</f>
        <v>0350C</v>
      </c>
      <c r="B429" s="4" t="str">
        <f>IFERROR(__xludf.DUMMYFUNCTION("""COMPUTED_VALUE"""),"Cartel PVC 96x48 Fotolum. Boca Incendios dcha")</f>
        <v>Cartel PVC 96x48 Fotolum. Boca Incendios dcha</v>
      </c>
      <c r="C429" s="4">
        <f>IFERROR(__xludf.DUMMYFUNCTION("""COMPUTED_VALUE"""),8.601600000000001)</f>
        <v>8.6016</v>
      </c>
    </row>
    <row r="430">
      <c r="A430" s="4" t="str">
        <f>IFERROR(__xludf.DUMMYFUNCTION("""COMPUTED_VALUE"""),"351")</f>
        <v>351</v>
      </c>
      <c r="B430" s="4" t="str">
        <f>IFERROR(__xludf.DUMMYFUNCTION("""COMPUTED_VALUE"""),"Cartel PVC 21x30 Fotolum. Boca Incendios Izq.")</f>
        <v>Cartel PVC 21x30 Fotolum. Boca Incendios Izq.</v>
      </c>
      <c r="C430" s="4">
        <f>IFERROR(__xludf.DUMMYFUNCTION("""COMPUTED_VALUE"""),2.496)</f>
        <v>2.496</v>
      </c>
    </row>
    <row r="431">
      <c r="A431" s="4" t="str">
        <f>IFERROR(__xludf.DUMMYFUNCTION("""COMPUTED_VALUE"""),"0351A")</f>
        <v>0351A</v>
      </c>
      <c r="B431" s="4" t="str">
        <f>IFERROR(__xludf.DUMMYFUNCTION("""COMPUTED_VALUE"""),"Cartel PVC 32x16 Fotolum. Boca Incendios izq")</f>
        <v>Cartel PVC 32x16 Fotolum. Boca Incendios izq</v>
      </c>
      <c r="C431" s="4">
        <f>IFERROR(__xludf.DUMMYFUNCTION("""COMPUTED_VALUE"""),2.16)</f>
        <v>2.16</v>
      </c>
    </row>
    <row r="432">
      <c r="A432" s="4" t="str">
        <f>IFERROR(__xludf.DUMMYFUNCTION("""COMPUTED_VALUE"""),"0351B")</f>
        <v>0351B</v>
      </c>
      <c r="B432" s="4" t="str">
        <f>IFERROR(__xludf.DUMMYFUNCTION("""COMPUTED_VALUE"""),"Cartel PVC 64x32 Fotolum. Boca Incendios izq")</f>
        <v>Cartel PVC 64x32 Fotolum. Boca Incendios izq</v>
      </c>
      <c r="C432" s="4">
        <f>IFERROR(__xludf.DUMMYFUNCTION("""COMPUTED_VALUE"""),4.300800000000001)</f>
        <v>4.3008</v>
      </c>
    </row>
    <row r="433">
      <c r="A433" s="4" t="str">
        <f>IFERROR(__xludf.DUMMYFUNCTION("""COMPUTED_VALUE"""),"0351C")</f>
        <v>0351C</v>
      </c>
      <c r="B433" s="4" t="str">
        <f>IFERROR(__xludf.DUMMYFUNCTION("""COMPUTED_VALUE"""),"Cartel PVC 96x48 Fotolum. Boca Incendios izq")</f>
        <v>Cartel PVC 96x48 Fotolum. Boca Incendios izq</v>
      </c>
      <c r="C433" s="4">
        <f>IFERROR(__xludf.DUMMYFUNCTION("""COMPUTED_VALUE"""),8.601600000000001)</f>
        <v>8.6016</v>
      </c>
    </row>
    <row r="434">
      <c r="A434" s="4" t="str">
        <f>IFERROR(__xludf.DUMMYFUNCTION("""COMPUTED_VALUE"""),"352")</f>
        <v>352</v>
      </c>
      <c r="B434" s="4" t="str">
        <f>IFERROR(__xludf.DUMMYFUNCTION("""COMPUTED_VALUE"""),"Cartel PVC 21x21 Fotolum. Manguera")</f>
        <v>Cartel PVC 21x21 Fotolum. Manguera</v>
      </c>
      <c r="C434" s="4">
        <f>IFERROR(__xludf.DUMMYFUNCTION("""COMPUTED_VALUE"""),2.2176)</f>
        <v>2.2176</v>
      </c>
    </row>
    <row r="435">
      <c r="A435" s="4" t="str">
        <f>IFERROR(__xludf.DUMMYFUNCTION("""COMPUTED_VALUE"""),"353")</f>
        <v>353</v>
      </c>
      <c r="B435" s="4" t="str">
        <f>IFERROR(__xludf.DUMMYFUNCTION("""COMPUTED_VALUE"""),"Cartel PVC 21x21 Fotolum. Extintor")</f>
        <v>Cartel PVC 21x21 Fotolum. Extintor</v>
      </c>
      <c r="C435" s="4">
        <f>IFERROR(__xludf.DUMMYFUNCTION("""COMPUTED_VALUE"""),2.2176)</f>
        <v>2.2176</v>
      </c>
    </row>
    <row r="436">
      <c r="A436" s="4" t="str">
        <f>IFERROR(__xludf.DUMMYFUNCTION("""COMPUTED_VALUE"""),"0353A")</f>
        <v>0353A</v>
      </c>
      <c r="B436" s="4" t="str">
        <f>IFERROR(__xludf.DUMMYFUNCTION("""COMPUTED_VALUE"""),"Cartel PVC 21x21 Fotolum. Extintor")</f>
        <v>Cartel PVC 21x21 Fotolum. Extintor</v>
      </c>
      <c r="C436" s="4">
        <f>IFERROR(__xludf.DUMMYFUNCTION("""COMPUTED_VALUE"""),2.2176)</f>
        <v>2.2176</v>
      </c>
    </row>
    <row r="437">
      <c r="A437" s="4" t="str">
        <f>IFERROR(__xludf.DUMMYFUNCTION("""COMPUTED_VALUE"""),"0353B")</f>
        <v>0353B</v>
      </c>
      <c r="B437" s="4" t="str">
        <f>IFERROR(__xludf.DUMMYFUNCTION("""COMPUTED_VALUE"""),"Cartel PVC 42x42 Fotolum. Extintor")</f>
        <v>Cartel PVC 42x42 Fotolum. Extintor</v>
      </c>
      <c r="C437" s="4">
        <f>IFERROR(__xludf.DUMMYFUNCTION("""COMPUTED_VALUE"""),3.7439999999999998)</f>
        <v>3.744</v>
      </c>
    </row>
    <row r="438">
      <c r="A438" s="4" t="str">
        <f>IFERROR(__xludf.DUMMYFUNCTION("""COMPUTED_VALUE"""),"0353C")</f>
        <v>0353C</v>
      </c>
      <c r="B438" s="4" t="str">
        <f>IFERROR(__xludf.DUMMYFUNCTION("""COMPUTED_VALUE"""),"Cartel PVC 63x63 Fotolum. Extintor")</f>
        <v>Cartel PVC 63x63 Fotolum. Extintor</v>
      </c>
      <c r="C438" s="4">
        <f>IFERROR(__xludf.DUMMYFUNCTION("""COMPUTED_VALUE"""),6.0)</f>
        <v>6</v>
      </c>
    </row>
    <row r="439">
      <c r="A439" s="4" t="str">
        <f>IFERROR(__xludf.DUMMYFUNCTION("""COMPUTED_VALUE"""),"354")</f>
        <v>354</v>
      </c>
      <c r="B439" s="4" t="str">
        <f>IFERROR(__xludf.DUMMYFUNCTION("""COMPUTED_VALUE"""),"Cartel PVC 21x15 Fotolum. Flecha Salida")</f>
        <v>Cartel PVC 21x15 Fotolum. Flecha Salida</v>
      </c>
      <c r="C439" s="4">
        <f>IFERROR(__xludf.DUMMYFUNCTION("""COMPUTED_VALUE"""),1.6127999999999998)</f>
        <v>1.6128</v>
      </c>
    </row>
    <row r="440">
      <c r="A440" s="4" t="str">
        <f>IFERROR(__xludf.DUMMYFUNCTION("""COMPUTED_VALUE"""),"0354A")</f>
        <v>0354A</v>
      </c>
      <c r="B440" s="4" t="str">
        <f>IFERROR(__xludf.DUMMYFUNCTION("""COMPUTED_VALUE"""),"Cartel PVC 21x21 Fotolum. Manguera contra incendios")</f>
        <v>Cartel PVC 21x21 Fotolum. Manguera contra incendios</v>
      </c>
      <c r="C440" s="4">
        <f>IFERROR(__xludf.DUMMYFUNCTION("""COMPUTED_VALUE"""),2.2176)</f>
        <v>2.2176</v>
      </c>
    </row>
    <row r="441">
      <c r="A441" s="4" t="str">
        <f>IFERROR(__xludf.DUMMYFUNCTION("""COMPUTED_VALUE"""),"0354B")</f>
        <v>0354B</v>
      </c>
      <c r="B441" s="4" t="str">
        <f>IFERROR(__xludf.DUMMYFUNCTION("""COMPUTED_VALUE"""),"Cartel PVC 42x42 Fotolum. Manguera contra incendios")</f>
        <v>Cartel PVC 42x42 Fotolum. Manguera contra incendios</v>
      </c>
      <c r="C441" s="4">
        <f>IFERROR(__xludf.DUMMYFUNCTION("""COMPUTED_VALUE"""),3.7439999999999998)</f>
        <v>3.744</v>
      </c>
    </row>
    <row r="442">
      <c r="A442" s="4" t="str">
        <f>IFERROR(__xludf.DUMMYFUNCTION("""COMPUTED_VALUE"""),"0354C")</f>
        <v>0354C</v>
      </c>
      <c r="B442" s="4" t="str">
        <f>IFERROR(__xludf.DUMMYFUNCTION("""COMPUTED_VALUE"""),"Cartel PVC 63x63 Fotolum. Manguera contra incendios")</f>
        <v>Cartel PVC 63x63 Fotolum. Manguera contra incendios</v>
      </c>
      <c r="C442" s="4">
        <f>IFERROR(__xludf.DUMMYFUNCTION("""COMPUTED_VALUE"""),6.0)</f>
        <v>6</v>
      </c>
    </row>
    <row r="443">
      <c r="A443" s="4" t="str">
        <f>IFERROR(__xludf.DUMMYFUNCTION("""COMPUTED_VALUE"""),"355")</f>
        <v>355</v>
      </c>
      <c r="B443" s="4" t="str">
        <f>IFERROR(__xludf.DUMMYFUNCTION("""COMPUTED_VALUE"""),"Cartel PVC 21x30 Fotolum. Botiquin")</f>
        <v>Cartel PVC 21x30 Fotolum. Botiquin</v>
      </c>
      <c r="C443" s="4">
        <f>IFERROR(__xludf.DUMMYFUNCTION("""COMPUTED_VALUE"""),2.496)</f>
        <v>2.496</v>
      </c>
    </row>
    <row r="444">
      <c r="A444" s="4" t="str">
        <f>IFERROR(__xludf.DUMMYFUNCTION("""COMPUTED_VALUE"""),"0355A")</f>
        <v>0355A</v>
      </c>
      <c r="B444" s="4" t="str">
        <f>IFERROR(__xludf.DUMMYFUNCTION("""COMPUTED_VALUE"""),"Cartel PVC 21x30 Fotolum. Botiquín")</f>
        <v>Cartel PVC 21x30 Fotolum. Botiquín</v>
      </c>
      <c r="C444" s="4">
        <f>IFERROR(__xludf.DUMMYFUNCTION("""COMPUTED_VALUE"""),2.4192)</f>
        <v>2.4192</v>
      </c>
    </row>
    <row r="445">
      <c r="A445" s="4" t="str">
        <f>IFERROR(__xludf.DUMMYFUNCTION("""COMPUTED_VALUE"""),"0355B")</f>
        <v>0355B</v>
      </c>
      <c r="B445" s="4" t="str">
        <f>IFERROR(__xludf.DUMMYFUNCTION("""COMPUTED_VALUE"""),"Cartel PVC 40x30 Fotolum. Botiquín")</f>
        <v>Cartel PVC 40x30 Fotolum. Botiquín</v>
      </c>
      <c r="C445" s="4">
        <f>IFERROR(__xludf.DUMMYFUNCTION("""COMPUTED_VALUE"""),2.976)</f>
        <v>2.976</v>
      </c>
    </row>
    <row r="446">
      <c r="A446" s="4" t="str">
        <f>IFERROR(__xludf.DUMMYFUNCTION("""COMPUTED_VALUE"""),"356")</f>
        <v>356</v>
      </c>
      <c r="B446" s="4" t="str">
        <f>IFERROR(__xludf.DUMMYFUNCTION("""COMPUTED_VALUE"""),"Cartel PVC 21x30 Fotolum. Agua Potable")</f>
        <v>Cartel PVC 21x30 Fotolum. Agua Potable</v>
      </c>
      <c r="C446" s="4">
        <f>IFERROR(__xludf.DUMMYFUNCTION("""COMPUTED_VALUE"""),2.496)</f>
        <v>2.496</v>
      </c>
    </row>
    <row r="447">
      <c r="A447" s="4" t="str">
        <f>IFERROR(__xludf.DUMMYFUNCTION("""COMPUTED_VALUE"""),"0356A")</f>
        <v>0356A</v>
      </c>
      <c r="B447" s="4" t="str">
        <f>IFERROR(__xludf.DUMMYFUNCTION("""COMPUTED_VALUE"""),"Cartel PVC 21x30 Fotolum. Agua potable")</f>
        <v>Cartel PVC 21x30 Fotolum. Agua potable</v>
      </c>
      <c r="C447" s="4">
        <f>IFERROR(__xludf.DUMMYFUNCTION("""COMPUTED_VALUE"""),2.4192)</f>
        <v>2.4192</v>
      </c>
    </row>
    <row r="448">
      <c r="A448" s="4" t="str">
        <f>IFERROR(__xludf.DUMMYFUNCTION("""COMPUTED_VALUE"""),"0356B")</f>
        <v>0356B</v>
      </c>
      <c r="B448" s="4" t="str">
        <f>IFERROR(__xludf.DUMMYFUNCTION("""COMPUTED_VALUE"""),"Cartel PVC 40x30 Fotolum. Agua potable")</f>
        <v>Cartel PVC 40x30 Fotolum. Agua potable</v>
      </c>
      <c r="C448" s="4">
        <f>IFERROR(__xludf.DUMMYFUNCTION("""COMPUTED_VALUE"""),2.976)</f>
        <v>2.976</v>
      </c>
    </row>
    <row r="449">
      <c r="A449" s="4" t="str">
        <f>IFERROR(__xludf.DUMMYFUNCTION("""COMPUTED_VALUE"""),"357")</f>
        <v>357</v>
      </c>
      <c r="B449" s="4" t="str">
        <f>IFERROR(__xludf.DUMMYFUNCTION("""COMPUTED_VALUE"""),"Cartel PVC 21x30 Fotolum. Almacen")</f>
        <v>Cartel PVC 21x30 Fotolum. Almacen</v>
      </c>
      <c r="C449" s="4">
        <f>IFERROR(__xludf.DUMMYFUNCTION("""COMPUTED_VALUE"""),2.496)</f>
        <v>2.496</v>
      </c>
    </row>
    <row r="450">
      <c r="A450" s="4" t="str">
        <f>IFERROR(__xludf.DUMMYFUNCTION("""COMPUTED_VALUE"""),"0357A")</f>
        <v>0357A</v>
      </c>
      <c r="B450" s="4" t="str">
        <f>IFERROR(__xludf.DUMMYFUNCTION("""COMPUTED_VALUE"""),"Cartel PVC 21x30 Fotolum. Almacén")</f>
        <v>Cartel PVC 21x30 Fotolum. Almacén</v>
      </c>
      <c r="C450" s="4">
        <f>IFERROR(__xludf.DUMMYFUNCTION("""COMPUTED_VALUE"""),2.4192)</f>
        <v>2.4192</v>
      </c>
    </row>
    <row r="451">
      <c r="A451" s="4" t="str">
        <f>IFERROR(__xludf.DUMMYFUNCTION("""COMPUTED_VALUE"""),"0357B")</f>
        <v>0357B</v>
      </c>
      <c r="B451" s="4" t="str">
        <f>IFERROR(__xludf.DUMMYFUNCTION("""COMPUTED_VALUE"""),"Cartel PVC40x30 Fotolum. Almacén")</f>
        <v>Cartel PVC40x30 Fotolum. Almacén</v>
      </c>
      <c r="C451" s="4">
        <f>IFERROR(__xludf.DUMMYFUNCTION("""COMPUTED_VALUE"""),2.976)</f>
        <v>2.976</v>
      </c>
    </row>
    <row r="452">
      <c r="A452" s="4" t="str">
        <f>IFERROR(__xludf.DUMMYFUNCTION("""COMPUTED_VALUE"""),"358")</f>
        <v>358</v>
      </c>
      <c r="B452" s="4" t="str">
        <f>IFERROR(__xludf.DUMMYFUNCTION("""COMPUTED_VALUE"""),"Cartel PVC 21x30 Fotolum. Telefono Emergencia")</f>
        <v>Cartel PVC 21x30 Fotolum. Telefono Emergencia</v>
      </c>
      <c r="C452" s="4">
        <f>IFERROR(__xludf.DUMMYFUNCTION("""COMPUTED_VALUE"""),2.496)</f>
        <v>2.496</v>
      </c>
    </row>
    <row r="453">
      <c r="A453" s="4" t="str">
        <f>IFERROR(__xludf.DUMMYFUNCTION("""COMPUTED_VALUE"""),"0358A")</f>
        <v>0358A</v>
      </c>
      <c r="B453" s="4" t="str">
        <f>IFERROR(__xludf.DUMMYFUNCTION("""COMPUTED_VALUE"""),"Cartel PVC 21x30 Fotolum. Teléfono de emergencia")</f>
        <v>Cartel PVC 21x30 Fotolum. Teléfono de emergencia</v>
      </c>
      <c r="C453" s="4">
        <f>IFERROR(__xludf.DUMMYFUNCTION("""COMPUTED_VALUE"""),2.4192)</f>
        <v>2.4192</v>
      </c>
    </row>
    <row r="454">
      <c r="A454" s="4" t="str">
        <f>IFERROR(__xludf.DUMMYFUNCTION("""COMPUTED_VALUE"""),"0358B")</f>
        <v>0358B</v>
      </c>
      <c r="B454" s="4" t="str">
        <f>IFERROR(__xludf.DUMMYFUNCTION("""COMPUTED_VALUE"""),"Cartel PVC 40x30 Fotolum. Teléfono de emergencia")</f>
        <v>Cartel PVC 40x30 Fotolum. Teléfono de emergencia</v>
      </c>
      <c r="C454" s="4">
        <f>IFERROR(__xludf.DUMMYFUNCTION("""COMPUTED_VALUE"""),2.976)</f>
        <v>2.976</v>
      </c>
    </row>
    <row r="455">
      <c r="A455" s="4" t="str">
        <f>IFERROR(__xludf.DUMMYFUNCTION("""COMPUTED_VALUE"""),"359")</f>
        <v>359</v>
      </c>
      <c r="B455" s="4" t="str">
        <f>IFERROR(__xludf.DUMMYFUNCTION("""COMPUTED_VALUE"""),"Cartel PVC 21x30 Fotolum. Equipo Prim. Auxilios")</f>
        <v>Cartel PVC 21x30 Fotolum. Equipo Prim. Auxilios</v>
      </c>
      <c r="C455" s="4">
        <f>IFERROR(__xludf.DUMMYFUNCTION("""COMPUTED_VALUE"""),2.496)</f>
        <v>2.496</v>
      </c>
    </row>
    <row r="456">
      <c r="A456" s="4" t="str">
        <f>IFERROR(__xludf.DUMMYFUNCTION("""COMPUTED_VALUE"""),"0359A")</f>
        <v>0359A</v>
      </c>
      <c r="B456" s="4" t="str">
        <f>IFERROR(__xludf.DUMMYFUNCTION("""COMPUTED_VALUE"""),"Cartel PVC 21x30 Fotolum. Equipo primeros auxilios")</f>
        <v>Cartel PVC 21x30 Fotolum. Equipo primeros auxilios</v>
      </c>
      <c r="C456" s="4">
        <f>IFERROR(__xludf.DUMMYFUNCTION("""COMPUTED_VALUE"""),2.4192)</f>
        <v>2.4192</v>
      </c>
    </row>
    <row r="457">
      <c r="A457" s="4" t="str">
        <f>IFERROR(__xludf.DUMMYFUNCTION("""COMPUTED_VALUE"""),"0359B")</f>
        <v>0359B</v>
      </c>
      <c r="B457" s="4" t="str">
        <f>IFERROR(__xludf.DUMMYFUNCTION("""COMPUTED_VALUE"""),"Cartel PVC 40x30 Fotolum. Equipo primeros auxilios")</f>
        <v>Cartel PVC 40x30 Fotolum. Equipo primeros auxilios</v>
      </c>
      <c r="C457" s="4">
        <f>IFERROR(__xludf.DUMMYFUNCTION("""COMPUTED_VALUE"""),2.976)</f>
        <v>2.976</v>
      </c>
    </row>
    <row r="458">
      <c r="A458" s="4" t="str">
        <f>IFERROR(__xludf.DUMMYFUNCTION("""COMPUTED_VALUE"""),"360")</f>
        <v>360</v>
      </c>
      <c r="B458" s="4" t="str">
        <f>IFERROR(__xludf.DUMMYFUNCTION("""COMPUTED_VALUE"""),"Cartel PVC 40x30 Peatón cruce por la otra acera")</f>
        <v>Cartel PVC 40x30 Peatón cruce por la otra acera</v>
      </c>
      <c r="C458" s="4">
        <f>IFERROR(__xludf.DUMMYFUNCTION("""COMPUTED_VALUE"""),2.3808)</f>
        <v>2.3808</v>
      </c>
    </row>
    <row r="459">
      <c r="A459" s="4" t="str">
        <f>IFERROR(__xludf.DUMMYFUNCTION("""COMPUTED_VALUE"""),"361")</f>
        <v>361</v>
      </c>
      <c r="B459" s="4" t="str">
        <f>IFERROR(__xludf.DUMMYFUNCTION("""COMPUTED_VALUE"""),"Cartel PVC 40x30 Obras en ejecucion. Perdonen las molestias")</f>
        <v>Cartel PVC 40x30 Obras en ejecucion. Perdonen las molestias</v>
      </c>
      <c r="C459" s="4">
        <f>IFERROR(__xludf.DUMMYFUNCTION("""COMPUTED_VALUE"""),2.3808)</f>
        <v>2.3808</v>
      </c>
    </row>
    <row r="460">
      <c r="A460" s="4" t="str">
        <f>IFERROR(__xludf.DUMMYFUNCTION("""COMPUTED_VALUE"""),"362")</f>
        <v>362</v>
      </c>
      <c r="B460" s="4" t="str">
        <f>IFERROR(__xludf.DUMMYFUNCTION("""COMPUTED_VALUE"""),"Cartel PVC 21x30 Fotolum. Punto Reunion")</f>
        <v>Cartel PVC 21x30 Fotolum. Punto Reunion</v>
      </c>
      <c r="C460" s="4">
        <f>IFERROR(__xludf.DUMMYFUNCTION("""COMPUTED_VALUE"""),2.496)</f>
        <v>2.496</v>
      </c>
    </row>
    <row r="461">
      <c r="A461" s="4" t="str">
        <f>IFERROR(__xludf.DUMMYFUNCTION("""COMPUTED_VALUE"""),"0362A")</f>
        <v>0362A</v>
      </c>
      <c r="B461" s="4" t="str">
        <f>IFERROR(__xludf.DUMMYFUNCTION("""COMPUTED_VALUE"""),"Cartel PVC 21x30 Fotolum. Punto de Reunión")</f>
        <v>Cartel PVC 21x30 Fotolum. Punto de Reunión</v>
      </c>
      <c r="C461" s="4">
        <f>IFERROR(__xludf.DUMMYFUNCTION("""COMPUTED_VALUE"""),2.4192)</f>
        <v>2.4192</v>
      </c>
    </row>
    <row r="462">
      <c r="A462" s="4" t="str">
        <f>IFERROR(__xludf.DUMMYFUNCTION("""COMPUTED_VALUE"""),"0362B")</f>
        <v>0362B</v>
      </c>
      <c r="B462" s="4" t="str">
        <f>IFERROR(__xludf.DUMMYFUNCTION("""COMPUTED_VALUE"""),"Cartel PVC 40x30 Fotolum. Punto de reunión")</f>
        <v>Cartel PVC 40x30 Fotolum. Punto de reunión</v>
      </c>
      <c r="C462" s="4">
        <f>IFERROR(__xludf.DUMMYFUNCTION("""COMPUTED_VALUE"""),2.976)</f>
        <v>2.976</v>
      </c>
    </row>
    <row r="463">
      <c r="A463" s="4" t="str">
        <f>IFERROR(__xludf.DUMMYFUNCTION("""COMPUTED_VALUE"""),"363")</f>
        <v>363</v>
      </c>
      <c r="B463" s="4" t="str">
        <f>IFERROR(__xludf.DUMMYFUNCTION("""COMPUTED_VALUE"""),"Cartel PVC 40x30 Atencion salida de camiones")</f>
        <v>Cartel PVC 40x30 Atencion salida de camiones</v>
      </c>
      <c r="C463" s="4">
        <f>IFERROR(__xludf.DUMMYFUNCTION("""COMPUTED_VALUE"""),2.3808)</f>
        <v>2.3808</v>
      </c>
    </row>
    <row r="464">
      <c r="A464" s="4" t="str">
        <f>IFERROR(__xludf.DUMMYFUNCTION("""COMPUTED_VALUE"""),"364")</f>
        <v>364</v>
      </c>
      <c r="B464" s="4" t="str">
        <f>IFERROR(__xludf.DUMMYFUNCTION("""COMPUTED_VALUE"""),"Cartel PVC 21x30 Fotolum. Camilla de Socorro")</f>
        <v>Cartel PVC 21x30 Fotolum. Camilla de Socorro</v>
      </c>
      <c r="C464" s="4">
        <f>IFERROR(__xludf.DUMMYFUNCTION("""COMPUTED_VALUE"""),2.496)</f>
        <v>2.496</v>
      </c>
    </row>
    <row r="465">
      <c r="A465" s="4" t="str">
        <f>IFERROR(__xludf.DUMMYFUNCTION("""COMPUTED_VALUE"""),"0364A")</f>
        <v>0364A</v>
      </c>
      <c r="B465" s="4" t="str">
        <f>IFERROR(__xludf.DUMMYFUNCTION("""COMPUTED_VALUE"""),"Cartel PVC 21x30 Fotolum. Camilla de socorro")</f>
        <v>Cartel PVC 21x30 Fotolum. Camilla de socorro</v>
      </c>
      <c r="C465" s="4">
        <f>IFERROR(__xludf.DUMMYFUNCTION("""COMPUTED_VALUE"""),2.4192)</f>
        <v>2.4192</v>
      </c>
    </row>
    <row r="466">
      <c r="A466" s="4" t="str">
        <f>IFERROR(__xludf.DUMMYFUNCTION("""COMPUTED_VALUE"""),"0364B")</f>
        <v>0364B</v>
      </c>
      <c r="B466" s="4" t="str">
        <f>IFERROR(__xludf.DUMMYFUNCTION("""COMPUTED_VALUE"""),"Cartel PVC 40x30 Fotolum. Camilla de socorro")</f>
        <v>Cartel PVC 40x30 Fotolum. Camilla de socorro</v>
      </c>
      <c r="C466" s="4">
        <f>IFERROR(__xludf.DUMMYFUNCTION("""COMPUTED_VALUE"""),2.976)</f>
        <v>2.976</v>
      </c>
    </row>
    <row r="467">
      <c r="A467" s="4" t="str">
        <f>IFERROR(__xludf.DUMMYFUNCTION("""COMPUTED_VALUE"""),"365")</f>
        <v>365</v>
      </c>
      <c r="B467" s="4" t="str">
        <f>IFERROR(__xludf.DUMMYFUNCTION("""COMPUTED_VALUE"""),"Cartel PVC 21x30 Fotolum. Pulsar en caso de Emergencia")</f>
        <v>Cartel PVC 21x30 Fotolum. Pulsar en caso de Emergencia</v>
      </c>
      <c r="C467" s="4">
        <f>IFERROR(__xludf.DUMMYFUNCTION("""COMPUTED_VALUE"""),2.496)</f>
        <v>2.496</v>
      </c>
    </row>
    <row r="468">
      <c r="A468" s="4" t="str">
        <f>IFERROR(__xludf.DUMMYFUNCTION("""COMPUTED_VALUE"""),"366")</f>
        <v>366</v>
      </c>
      <c r="B468" s="4" t="str">
        <f>IFERROR(__xludf.DUMMYFUNCTION("""COMPUTED_VALUE"""),"Cartel PVC 21x30 Fotolum. Empujar barra para salir")</f>
        <v>Cartel PVC 21x30 Fotolum. Empujar barra para salir</v>
      </c>
      <c r="C468" s="4">
        <f>IFERROR(__xludf.DUMMYFUNCTION("""COMPUTED_VALUE"""),2.496)</f>
        <v>2.496</v>
      </c>
    </row>
    <row r="469">
      <c r="A469" s="4" t="str">
        <f>IFERROR(__xludf.DUMMYFUNCTION("""COMPUTED_VALUE"""),"0366A")</f>
        <v>0366A</v>
      </c>
      <c r="B469" s="4" t="str">
        <f>IFERROR(__xludf.DUMMYFUNCTION("""COMPUTED_VALUE"""),"Cartel PVC 21x30 Fotolum. Empujar barra para salir")</f>
        <v>Cartel PVC 21x30 Fotolum. Empujar barra para salir</v>
      </c>
      <c r="C469" s="4">
        <f>IFERROR(__xludf.DUMMYFUNCTION("""COMPUTED_VALUE"""),2.4192)</f>
        <v>2.4192</v>
      </c>
    </row>
    <row r="470">
      <c r="A470" s="4" t="str">
        <f>IFERROR(__xludf.DUMMYFUNCTION("""COMPUTED_VALUE"""),"0366B")</f>
        <v>0366B</v>
      </c>
      <c r="B470" s="4" t="str">
        <f>IFERROR(__xludf.DUMMYFUNCTION("""COMPUTED_VALUE"""),"Cartel PVC 40x30 Fotolum. Empujar barra para salir")</f>
        <v>Cartel PVC 40x30 Fotolum. Empujar barra para salir</v>
      </c>
      <c r="C470" s="4">
        <f>IFERROR(__xludf.DUMMYFUNCTION("""COMPUTED_VALUE"""),2.976)</f>
        <v>2.976</v>
      </c>
    </row>
    <row r="471">
      <c r="A471" s="4" t="str">
        <f>IFERROR(__xludf.DUMMYFUNCTION("""COMPUTED_VALUE"""),"367")</f>
        <v>367</v>
      </c>
      <c r="B471" s="4" t="str">
        <f>IFERROR(__xludf.DUMMYFUNCTION("""COMPUTED_VALUE"""),"Cartel PVC 21x30 Fotolum. Salida de Emergencia")</f>
        <v>Cartel PVC 21x30 Fotolum. Salida de Emergencia</v>
      </c>
      <c r="C471" s="4">
        <f>IFERROR(__xludf.DUMMYFUNCTION("""COMPUTED_VALUE"""),2.496)</f>
        <v>2.496</v>
      </c>
    </row>
    <row r="472">
      <c r="A472" s="4" t="str">
        <f>IFERROR(__xludf.DUMMYFUNCTION("""COMPUTED_VALUE"""),"0367A")</f>
        <v>0367A</v>
      </c>
      <c r="B472" s="4" t="str">
        <f>IFERROR(__xludf.DUMMYFUNCTION("""COMPUTED_VALUE"""),"Cartel PVC 32x16 Fotolum. Salida de emergenca")</f>
        <v>Cartel PVC 32x16 Fotolum. Salida de emergenca</v>
      </c>
      <c r="C472" s="4">
        <f>IFERROR(__xludf.DUMMYFUNCTION("""COMPUTED_VALUE"""),2.16)</f>
        <v>2.16</v>
      </c>
    </row>
    <row r="473">
      <c r="A473" s="4" t="str">
        <f>IFERROR(__xludf.DUMMYFUNCTION("""COMPUTED_VALUE"""),"0367AA")</f>
        <v>0367AA</v>
      </c>
      <c r="B473" s="4" t="str">
        <f>IFERROR(__xludf.DUMMYFUNCTION("""COMPUTED_VALUE"""),"Cartel PVC 21x21 Fotolum.Minusválidos")</f>
        <v>Cartel PVC 21x21 Fotolum.Minusválidos</v>
      </c>
      <c r="C473" s="4">
        <f>IFERROR(__xludf.DUMMYFUNCTION("""COMPUTED_VALUE"""),2.2176)</f>
        <v>2.2176</v>
      </c>
    </row>
    <row r="474">
      <c r="A474" s="4" t="str">
        <f>IFERROR(__xludf.DUMMYFUNCTION("""COMPUTED_VALUE"""),"0367BA")</f>
        <v>0367BA</v>
      </c>
      <c r="B474" s="4" t="str">
        <f>IFERROR(__xludf.DUMMYFUNCTION("""COMPUTED_VALUE"""),"Cartel PVC 42x42 Fotolum.Minusválidos")</f>
        <v>Cartel PVC 42x42 Fotolum.Minusválidos</v>
      </c>
      <c r="C474" s="4">
        <f>IFERROR(__xludf.DUMMYFUNCTION("""COMPUTED_VALUE"""),3.7439999999999998)</f>
        <v>3.744</v>
      </c>
    </row>
    <row r="475">
      <c r="A475" s="4" t="str">
        <f>IFERROR(__xludf.DUMMYFUNCTION("""COMPUTED_VALUE"""),"0367CA")</f>
        <v>0367CA</v>
      </c>
      <c r="B475" s="4" t="str">
        <f>IFERROR(__xludf.DUMMYFUNCTION("""COMPUTED_VALUE"""),"Cartel PVC 63x63 Fotolum.Minusválidos")</f>
        <v>Cartel PVC 63x63 Fotolum.Minusválidos</v>
      </c>
      <c r="C475" s="4">
        <f>IFERROR(__xludf.DUMMYFUNCTION("""COMPUTED_VALUE"""),6.0)</f>
        <v>6</v>
      </c>
    </row>
    <row r="476">
      <c r="A476" s="4" t="str">
        <f>IFERROR(__xludf.DUMMYFUNCTION("""COMPUTED_VALUE"""),"368")</f>
        <v>368</v>
      </c>
      <c r="B476" s="4" t="str">
        <f>IFERROR(__xludf.DUMMYFUNCTION("""COMPUTED_VALUE"""),"Cartel PVC 21x29 AVISO POLICIA")</f>
        <v>Cartel PVC 21x29 AVISO POLICIA</v>
      </c>
      <c r="C476" s="4">
        <f>IFERROR(__xludf.DUMMYFUNCTION("""COMPUTED_VALUE"""),1.536)</f>
        <v>1.536</v>
      </c>
    </row>
    <row r="477">
      <c r="A477" s="4" t="str">
        <f>IFERROR(__xludf.DUMMYFUNCTION("""COMPUTED_VALUE"""),"369")</f>
        <v>369</v>
      </c>
      <c r="B477" s="4" t="str">
        <f>IFERROR(__xludf.DUMMYFUNCTION("""COMPUTED_VALUE"""),"Cartel PVC 21x29 Zona video vigilada")</f>
        <v>Cartel PVC 21x29 Zona video vigilada</v>
      </c>
      <c r="C477" s="4">
        <f>IFERROR(__xludf.DUMMYFUNCTION("""COMPUTED_VALUE"""),1.536)</f>
        <v>1.536</v>
      </c>
    </row>
    <row r="478">
      <c r="A478" s="4" t="str">
        <f>IFERROR(__xludf.DUMMYFUNCTION("""COMPUTED_VALUE"""),"370")</f>
        <v>370</v>
      </c>
      <c r="B478" s="4" t="str">
        <f>IFERROR(__xludf.DUMMYFUNCTION("""COMPUTED_VALUE"""),"Cartel PVC 40x30 Prohib. Beber y Comer")</f>
        <v>Cartel PVC 40x30 Prohib. Beber y Comer</v>
      </c>
      <c r="C478" s="4">
        <f>IFERROR(__xludf.DUMMYFUNCTION("""COMPUTED_VALUE"""),2.3808)</f>
        <v>2.3808</v>
      </c>
    </row>
    <row r="479">
      <c r="A479" s="4" t="str">
        <f>IFERROR(__xludf.DUMMYFUNCTION("""COMPUTED_VALUE"""),"0370P")</f>
        <v>0370P</v>
      </c>
      <c r="B479" s="4" t="str">
        <f>IFERROR(__xludf.DUMMYFUNCTION("""COMPUTED_VALUE"""),"Cartel PVC 21x29 PROHIBIDO BEBER Y COMER")</f>
        <v>Cartel PVC 21x29 PROHIBIDO BEBER Y COMER</v>
      </c>
      <c r="C479" s="4">
        <f>IFERROR(__xludf.DUMMYFUNCTION("""COMPUTED_VALUE"""),1.536)</f>
        <v>1.536</v>
      </c>
    </row>
    <row r="480">
      <c r="A480" s="4" t="str">
        <f>IFERROR(__xludf.DUMMYFUNCTION("""COMPUTED_VALUE"""),"371")</f>
        <v>371</v>
      </c>
      <c r="B480" s="4" t="str">
        <f>IFERROR(__xludf.DUMMYFUNCTION("""COMPUTED_VALUE"""),"Cartel PVC 40x30 Peligro Gases Compr.")</f>
        <v>Cartel PVC 40x30 Peligro Gases Compr.</v>
      </c>
      <c r="C480" s="4">
        <f>IFERROR(__xludf.DUMMYFUNCTION("""COMPUTED_VALUE"""),2.3808)</f>
        <v>2.3808</v>
      </c>
    </row>
    <row r="481">
      <c r="A481" s="4" t="str">
        <f>IFERROR(__xludf.DUMMYFUNCTION("""COMPUTED_VALUE"""),"0371P")</f>
        <v>0371P</v>
      </c>
      <c r="B481" s="4" t="str">
        <f>IFERROR(__xludf.DUMMYFUNCTION("""COMPUTED_VALUE"""),"Cartel PVC 21x29 PELIGRO GASES COMPRIMIDOS")</f>
        <v>Cartel PVC 21x29 PELIGRO GASES COMPRIMIDOS</v>
      </c>
      <c r="C481" s="4">
        <f>IFERROR(__xludf.DUMMYFUNCTION("""COMPUTED_VALUE"""),1.536)</f>
        <v>1.536</v>
      </c>
    </row>
    <row r="482">
      <c r="A482" s="4" t="str">
        <f>IFERROR(__xludf.DUMMYFUNCTION("""COMPUTED_VALUE"""),"372")</f>
        <v>372</v>
      </c>
      <c r="B482" s="4" t="str">
        <f>IFERROR(__xludf.DUMMYFUNCTION("""COMPUTED_VALUE"""),"Cartel PVC 40x30 Peligro Andamio Incom")</f>
        <v>Cartel PVC 40x30 Peligro Andamio Incom</v>
      </c>
      <c r="C482" s="4">
        <f>IFERROR(__xludf.DUMMYFUNCTION("""COMPUTED_VALUE"""),2.3808)</f>
        <v>2.3808</v>
      </c>
    </row>
    <row r="483">
      <c r="A483" s="4" t="str">
        <f>IFERROR(__xludf.DUMMYFUNCTION("""COMPUTED_VALUE"""),"0372P")</f>
        <v>0372P</v>
      </c>
      <c r="B483" s="4" t="str">
        <f>IFERROR(__xludf.DUMMYFUNCTION("""COMPUTED_VALUE"""),"Cartel PVC 21x29 PELIGRO ANDAMIAJE INCOMPLETO")</f>
        <v>Cartel PVC 21x29 PELIGRO ANDAMIAJE INCOMPLETO</v>
      </c>
      <c r="C483" s="4">
        <f>IFERROR(__xludf.DUMMYFUNCTION("""COMPUTED_VALUE"""),1.536)</f>
        <v>1.536</v>
      </c>
    </row>
    <row r="484">
      <c r="A484" s="4" t="str">
        <f>IFERROR(__xludf.DUMMYFUNCTION("""COMPUTED_VALUE"""),"373")</f>
        <v>373</v>
      </c>
      <c r="B484" s="4" t="str">
        <f>IFERROR(__xludf.DUMMYFUNCTION("""COMPUTED_VALUE"""),"Cartel PVC 40x30 Peligro Escalon")</f>
        <v>Cartel PVC 40x30 Peligro Escalon</v>
      </c>
      <c r="C484" s="4">
        <f>IFERROR(__xludf.DUMMYFUNCTION("""COMPUTED_VALUE"""),2.3808)</f>
        <v>2.3808</v>
      </c>
    </row>
    <row r="485">
      <c r="A485" s="4" t="str">
        <f>IFERROR(__xludf.DUMMYFUNCTION("""COMPUTED_VALUE"""),"0373P")</f>
        <v>0373P</v>
      </c>
      <c r="B485" s="4" t="str">
        <f>IFERROR(__xludf.DUMMYFUNCTION("""COMPUTED_VALUE"""),"Cartel PVC 21x29 PELIGRO CUIDADO CON ESCALON")</f>
        <v>Cartel PVC 21x29 PELIGRO CUIDADO CON ESCALON</v>
      </c>
      <c r="C485" s="4">
        <f>IFERROR(__xludf.DUMMYFUNCTION("""COMPUTED_VALUE"""),1.536)</f>
        <v>1.536</v>
      </c>
    </row>
    <row r="486">
      <c r="A486" s="4" t="str">
        <f>IFERROR(__xludf.DUMMYFUNCTION("""COMPUTED_VALUE"""),"374")</f>
        <v>374</v>
      </c>
      <c r="B486" s="4" t="str">
        <f>IFERROR(__xludf.DUMMYFUNCTION("""COMPUTED_VALUE"""),"Cartel PVC 40x30 Prohibido el Paso")</f>
        <v>Cartel PVC 40x30 Prohibido el Paso</v>
      </c>
      <c r="C486" s="4">
        <f>IFERROR(__xludf.DUMMYFUNCTION("""COMPUTED_VALUE"""),2.3808)</f>
        <v>2.3808</v>
      </c>
    </row>
    <row r="487">
      <c r="A487" s="4" t="str">
        <f>IFERROR(__xludf.DUMMYFUNCTION("""COMPUTED_VALUE"""),"0374P")</f>
        <v>0374P</v>
      </c>
      <c r="B487" s="4" t="str">
        <f>IFERROR(__xludf.DUMMYFUNCTION("""COMPUTED_VALUE"""),"Cartel PVC 21x29 PROHIBIDO EL PASO")</f>
        <v>Cartel PVC 21x29 PROHIBIDO EL PASO</v>
      </c>
      <c r="C487" s="4">
        <f>IFERROR(__xludf.DUMMYFUNCTION("""COMPUTED_VALUE"""),1.536)</f>
        <v>1.536</v>
      </c>
    </row>
    <row r="488">
      <c r="A488" s="4" t="str">
        <f>IFERROR(__xludf.DUMMYFUNCTION("""COMPUTED_VALUE"""),"375")</f>
        <v>375</v>
      </c>
      <c r="B488" s="4" t="str">
        <f>IFERROR(__xludf.DUMMYFUNCTION("""COMPUTED_VALUE"""),"Cartel PVC 40x30 Peligro de Incendio")</f>
        <v>Cartel PVC 40x30 Peligro de Incendio</v>
      </c>
      <c r="C488" s="4">
        <f>IFERROR(__xludf.DUMMYFUNCTION("""COMPUTED_VALUE"""),2.3808)</f>
        <v>2.3808</v>
      </c>
    </row>
    <row r="489">
      <c r="A489" s="4" t="str">
        <f>IFERROR(__xludf.DUMMYFUNCTION("""COMPUTED_VALUE"""),"0375P")</f>
        <v>0375P</v>
      </c>
      <c r="B489" s="4" t="str">
        <f>IFERROR(__xludf.DUMMYFUNCTION("""COMPUTED_VALUE"""),"Cartel PVC 21x29 PELIGRO DE INCENDIO")</f>
        <v>Cartel PVC 21x29 PELIGRO DE INCENDIO</v>
      </c>
      <c r="C489" s="4">
        <f>IFERROR(__xludf.DUMMYFUNCTION("""COMPUTED_VALUE"""),1.536)</f>
        <v>1.536</v>
      </c>
    </row>
    <row r="490">
      <c r="A490" s="4" t="str">
        <f>IFERROR(__xludf.DUMMYFUNCTION("""COMPUTED_VALUE"""),"376")</f>
        <v>376</v>
      </c>
      <c r="B490" s="4" t="str">
        <f>IFERROR(__xludf.DUMMYFUNCTION("""COMPUTED_VALUE"""),"Cartel PVC 40x30 Peligro Zona de Obras")</f>
        <v>Cartel PVC 40x30 Peligro Zona de Obras</v>
      </c>
      <c r="C490" s="4">
        <f>IFERROR(__xludf.DUMMYFUNCTION("""COMPUTED_VALUE"""),2.3808)</f>
        <v>2.3808</v>
      </c>
    </row>
    <row r="491">
      <c r="A491" s="4" t="str">
        <f>IFERROR(__xludf.DUMMYFUNCTION("""COMPUTED_VALUE"""),"0376P")</f>
        <v>0376P</v>
      </c>
      <c r="B491" s="4" t="str">
        <f>IFERROR(__xludf.DUMMYFUNCTION("""COMPUTED_VALUE"""),"Cartel PVC 21x29 PELIGRO ZONA DE OBRAS")</f>
        <v>Cartel PVC 21x29 PELIGRO ZONA DE OBRAS</v>
      </c>
      <c r="C491" s="4">
        <f>IFERROR(__xludf.DUMMYFUNCTION("""COMPUTED_VALUE"""),1.536)</f>
        <v>1.536</v>
      </c>
    </row>
    <row r="492">
      <c r="A492" s="4" t="str">
        <f>IFERROR(__xludf.DUMMYFUNCTION("""COMPUTED_VALUE"""),"377")</f>
        <v>377</v>
      </c>
      <c r="B492" s="4" t="str">
        <f>IFERROR(__xludf.DUMMYFUNCTION("""COMPUTED_VALUE"""),"Cartel PVC 40x30 Uso de minusvalidos")</f>
        <v>Cartel PVC 40x30 Uso de minusvalidos</v>
      </c>
      <c r="C492" s="4">
        <f>IFERROR(__xludf.DUMMYFUNCTION("""COMPUTED_VALUE"""),2.3808)</f>
        <v>2.3808</v>
      </c>
    </row>
    <row r="493">
      <c r="A493" s="4" t="str">
        <f>IFERROR(__xludf.DUMMYFUNCTION("""COMPUTED_VALUE"""),"0377P")</f>
        <v>0377P</v>
      </c>
      <c r="B493" s="4" t="str">
        <f>IFERROR(__xludf.DUMMYFUNCTION("""COMPUTED_VALUE"""),"Cartel PVC 21x29 USO DE MINUSVALIDOS")</f>
        <v>Cartel PVC 21x29 USO DE MINUSVALIDOS</v>
      </c>
      <c r="C493" s="4">
        <f>IFERROR(__xludf.DUMMYFUNCTION("""COMPUTED_VALUE"""),1.536)</f>
        <v>1.536</v>
      </c>
    </row>
    <row r="494">
      <c r="A494" s="4" t="str">
        <f>IFERROR(__xludf.DUMMYFUNCTION("""COMPUTED_VALUE"""),"378")</f>
        <v>378</v>
      </c>
      <c r="B494" s="4" t="str">
        <f>IFERROR(__xludf.DUMMYFUNCTION("""COMPUTED_VALUE"""),"Cartel PVC 40x30 Direccion obligatoria derecha")</f>
        <v>Cartel PVC 40x30 Direccion obligatoria derecha</v>
      </c>
      <c r="C494" s="4">
        <f>IFERROR(__xludf.DUMMYFUNCTION("""COMPUTED_VALUE"""),2.3808)</f>
        <v>2.3808</v>
      </c>
    </row>
    <row r="495">
      <c r="A495" s="4" t="str">
        <f>IFERROR(__xludf.DUMMYFUNCTION("""COMPUTED_VALUE"""),"0378P")</f>
        <v>0378P</v>
      </c>
      <c r="B495" s="4" t="str">
        <f>IFERROR(__xludf.DUMMYFUNCTION("""COMPUTED_VALUE"""),"Cartel PVC 21x29 DIRECCION OBLIGATORIA DERECHA")</f>
        <v>Cartel PVC 21x29 DIRECCION OBLIGATORIA DERECHA</v>
      </c>
      <c r="C495" s="4">
        <f>IFERROR(__xludf.DUMMYFUNCTION("""COMPUTED_VALUE"""),1.536)</f>
        <v>1.536</v>
      </c>
    </row>
    <row r="496">
      <c r="A496" s="4" t="str">
        <f>IFERROR(__xludf.DUMMYFUNCTION("""COMPUTED_VALUE"""),"379")</f>
        <v>379</v>
      </c>
      <c r="B496" s="4" t="str">
        <f>IFERROR(__xludf.DUMMYFUNCTION("""COMPUTED_VALUE"""),"Cartel PVC 40x30 Direccion obligatoria izquierda")</f>
        <v>Cartel PVC 40x30 Direccion obligatoria izquierda</v>
      </c>
      <c r="C496" s="4">
        <f>IFERROR(__xludf.DUMMYFUNCTION("""COMPUTED_VALUE"""),2.3808)</f>
        <v>2.3808</v>
      </c>
    </row>
    <row r="497">
      <c r="A497" s="4" t="str">
        <f>IFERROR(__xludf.DUMMYFUNCTION("""COMPUTED_VALUE"""),"0379P")</f>
        <v>0379P</v>
      </c>
      <c r="B497" s="4" t="str">
        <f>IFERROR(__xludf.DUMMYFUNCTION("""COMPUTED_VALUE"""),"Cartel PVC 21x29 DIRECCION OBLIGATORIA IZQUIERDA")</f>
        <v>Cartel PVC 21x29 DIRECCION OBLIGATORIA IZQUIERDA</v>
      </c>
      <c r="C497" s="4">
        <f>IFERROR(__xludf.DUMMYFUNCTION("""COMPUTED_VALUE"""),1.536)</f>
        <v>1.536</v>
      </c>
    </row>
    <row r="498">
      <c r="A498" s="4" t="str">
        <f>IFERROR(__xludf.DUMMYFUNCTION("""COMPUTED_VALUE"""),"380")</f>
        <v>380</v>
      </c>
      <c r="B498" s="4" t="str">
        <f>IFERROR(__xludf.DUMMYFUNCTION("""COMPUTED_VALUE"""),"Cartel PVC 40x30 Es obligatorio el uso de Mandil")</f>
        <v>Cartel PVC 40x30 Es obligatorio el uso de Mandil</v>
      </c>
      <c r="C498" s="4">
        <f>IFERROR(__xludf.DUMMYFUNCTION("""COMPUTED_VALUE"""),2.3808)</f>
        <v>2.3808</v>
      </c>
    </row>
    <row r="499">
      <c r="A499" s="4" t="str">
        <f>IFERROR(__xludf.DUMMYFUNCTION("""COMPUTED_VALUE"""),"0380P")</f>
        <v>0380P</v>
      </c>
      <c r="B499" s="4" t="str">
        <f>IFERROR(__xludf.DUMMYFUNCTION("""COMPUTED_VALUE"""),"Cartel PVC 21x29 OBLIGATORIO EL USO DE MANDIL")</f>
        <v>Cartel PVC 21x29 OBLIGATORIO EL USO DE MANDIL</v>
      </c>
      <c r="C499" s="4">
        <f>IFERROR(__xludf.DUMMYFUNCTION("""COMPUTED_VALUE"""),1.536)</f>
        <v>1.536</v>
      </c>
    </row>
    <row r="500">
      <c r="A500" s="4" t="str">
        <f>IFERROR(__xludf.DUMMYFUNCTION("""COMPUTED_VALUE"""),"381")</f>
        <v>381</v>
      </c>
      <c r="B500" s="4" t="str">
        <f>IFERROR(__xludf.DUMMYFUNCTION("""COMPUTED_VALUE"""),"Cartel PVC 40x30 Estrechamiento de calzada")</f>
        <v>Cartel PVC 40x30 Estrechamiento de calzada</v>
      </c>
      <c r="C500" s="4">
        <f>IFERROR(__xludf.DUMMYFUNCTION("""COMPUTED_VALUE"""),2.3808)</f>
        <v>2.3808</v>
      </c>
    </row>
    <row r="501">
      <c r="A501" s="4" t="str">
        <f>IFERROR(__xludf.DUMMYFUNCTION("""COMPUTED_VALUE"""),"0381P")</f>
        <v>0381P</v>
      </c>
      <c r="B501" s="4" t="str">
        <f>IFERROR(__xludf.DUMMYFUNCTION("""COMPUTED_VALUE"""),"Cartel PVC 21x29 ESTRECHAMIENTO CALZADA CENTRAL")</f>
        <v>Cartel PVC 21x29 ESTRECHAMIENTO CALZADA CENTRAL</v>
      </c>
      <c r="C501" s="4">
        <f>IFERROR(__xludf.DUMMYFUNCTION("""COMPUTED_VALUE"""),1.536)</f>
        <v>1.536</v>
      </c>
    </row>
    <row r="502">
      <c r="A502" s="4" t="str">
        <f>IFERROR(__xludf.DUMMYFUNCTION("""COMPUTED_VALUE"""),"382")</f>
        <v>382</v>
      </c>
      <c r="B502" s="4" t="str">
        <f>IFERROR(__xludf.DUMMYFUNCTION("""COMPUTED_VALUE"""),"Cartel PVC 40x30 Estrechamiento calzada por la derecha")</f>
        <v>Cartel PVC 40x30 Estrechamiento calzada por la derecha</v>
      </c>
      <c r="C502" s="4">
        <f>IFERROR(__xludf.DUMMYFUNCTION("""COMPUTED_VALUE"""),2.3808)</f>
        <v>2.3808</v>
      </c>
    </row>
    <row r="503">
      <c r="A503" s="4" t="str">
        <f>IFERROR(__xludf.DUMMYFUNCTION("""COMPUTED_VALUE"""),"0382P")</f>
        <v>0382P</v>
      </c>
      <c r="B503" s="4" t="str">
        <f>IFERROR(__xludf.DUMMYFUNCTION("""COMPUTED_VALUE"""),"Cartel PVC 21x29 ESTRECHAMIENTO CALZADA POR DCHA")</f>
        <v>Cartel PVC 21x29 ESTRECHAMIENTO CALZADA POR DCHA</v>
      </c>
      <c r="C503" s="4">
        <f>IFERROR(__xludf.DUMMYFUNCTION("""COMPUTED_VALUE"""),1.536)</f>
        <v>1.536</v>
      </c>
    </row>
    <row r="504">
      <c r="A504" s="4" t="str">
        <f>IFERROR(__xludf.DUMMYFUNCTION("""COMPUTED_VALUE"""),"383")</f>
        <v>383</v>
      </c>
      <c r="B504" s="4" t="str">
        <f>IFERROR(__xludf.DUMMYFUNCTION("""COMPUTED_VALUE"""),"Cartel PVC 40x30 Estrechamiento calzada por la izq.")</f>
        <v>Cartel PVC 40x30 Estrechamiento calzada por la izq.</v>
      </c>
      <c r="C504" s="4">
        <f>IFERROR(__xludf.DUMMYFUNCTION("""COMPUTED_VALUE"""),2.3808)</f>
        <v>2.3808</v>
      </c>
    </row>
    <row r="505">
      <c r="A505" s="4" t="str">
        <f>IFERROR(__xludf.DUMMYFUNCTION("""COMPUTED_VALUE"""),"0383P")</f>
        <v>0383P</v>
      </c>
      <c r="B505" s="4" t="str">
        <f>IFERROR(__xludf.DUMMYFUNCTION("""COMPUTED_VALUE"""),"Cartel PVC 21x29 ESTRECHAMIENTO CALZADA POR IZQ.")</f>
        <v>Cartel PVC 21x29 ESTRECHAMIENTO CALZADA POR IZQ.</v>
      </c>
      <c r="C505" s="4">
        <f>IFERROR(__xludf.DUMMYFUNCTION("""COMPUTED_VALUE"""),1.536)</f>
        <v>1.536</v>
      </c>
    </row>
    <row r="506">
      <c r="A506" s="4" t="str">
        <f>IFERROR(__xludf.DUMMYFUNCTION("""COMPUTED_VALUE"""),"384")</f>
        <v>384</v>
      </c>
      <c r="B506" s="4" t="str">
        <f>IFERROR(__xludf.DUMMYFUNCTION("""COMPUTED_VALUE"""),"Cartel PVC 40x30 Peligro cable suspendido")</f>
        <v>Cartel PVC 40x30 Peligro cable suspendido</v>
      </c>
      <c r="C506" s="4">
        <f>IFERROR(__xludf.DUMMYFUNCTION("""COMPUTED_VALUE"""),2.3808)</f>
        <v>2.3808</v>
      </c>
    </row>
    <row r="507">
      <c r="A507" s="4" t="str">
        <f>IFERROR(__xludf.DUMMYFUNCTION("""COMPUTED_VALUE"""),"0384P")</f>
        <v>0384P</v>
      </c>
      <c r="B507" s="4" t="str">
        <f>IFERROR(__xludf.DUMMYFUNCTION("""COMPUTED_VALUE"""),"Cartel PVC 21x29 PELIGRO CABLE SUSPENDIDO")</f>
        <v>Cartel PVC 21x29 PELIGRO CABLE SUSPENDIDO</v>
      </c>
      <c r="C507" s="4">
        <f>IFERROR(__xludf.DUMMYFUNCTION("""COMPUTED_VALUE"""),1.536)</f>
        <v>1.536</v>
      </c>
    </row>
    <row r="508">
      <c r="A508" s="4" t="str">
        <f>IFERROR(__xludf.DUMMYFUNCTION("""COMPUTED_VALUE"""),"385")</f>
        <v>385</v>
      </c>
      <c r="B508" s="4" t="str">
        <f>IFERROR(__xludf.DUMMYFUNCTION("""COMPUTED_VALUE"""),"Cartel PVC 40x30 Caida al mismo nivel")</f>
        <v>Cartel PVC 40x30 Caida al mismo nivel</v>
      </c>
      <c r="C508" s="4">
        <f>IFERROR(__xludf.DUMMYFUNCTION("""COMPUTED_VALUE"""),2.3808)</f>
        <v>2.3808</v>
      </c>
    </row>
    <row r="509">
      <c r="A509" s="4" t="str">
        <f>IFERROR(__xludf.DUMMYFUNCTION("""COMPUTED_VALUE"""),"0385P")</f>
        <v>0385P</v>
      </c>
      <c r="B509" s="4" t="str">
        <f>IFERROR(__xludf.DUMMYFUNCTION("""COMPUTED_VALUE"""),"Cartel PVC 21x29 CAIDA AL MISMO NIVEL")</f>
        <v>Cartel PVC 21x29 CAIDA AL MISMO NIVEL</v>
      </c>
      <c r="C509" s="4">
        <f>IFERROR(__xludf.DUMMYFUNCTION("""COMPUTED_VALUE"""),1.536)</f>
        <v>1.536</v>
      </c>
    </row>
    <row r="510">
      <c r="A510" s="4" t="str">
        <f>IFERROR(__xludf.DUMMYFUNCTION("""COMPUTED_VALUE"""),"386")</f>
        <v>386</v>
      </c>
      <c r="B510" s="4" t="str">
        <f>IFERROR(__xludf.DUMMYFUNCTION("""COMPUTED_VALUE"""),"Cartel PVC 40x30 Peligro Amianto")</f>
        <v>Cartel PVC 40x30 Peligro Amianto</v>
      </c>
      <c r="C510" s="4">
        <f>IFERROR(__xludf.DUMMYFUNCTION("""COMPUTED_VALUE"""),2.3808)</f>
        <v>2.3808</v>
      </c>
    </row>
    <row r="511">
      <c r="A511" s="4" t="str">
        <f>IFERROR(__xludf.DUMMYFUNCTION("""COMPUTED_VALUE"""),"0386P")</f>
        <v>0386P</v>
      </c>
      <c r="B511" s="4" t="str">
        <f>IFERROR(__xludf.DUMMYFUNCTION("""COMPUTED_VALUE"""),"Cartel PVC 21x29 PELIGRO AMIANTO")</f>
        <v>Cartel PVC 21x29 PELIGRO AMIANTO</v>
      </c>
      <c r="C511" s="4">
        <f>IFERROR(__xludf.DUMMYFUNCTION("""COMPUTED_VALUE"""),1.536)</f>
        <v>1.536</v>
      </c>
    </row>
    <row r="512">
      <c r="A512" s="4" t="str">
        <f>IFERROR(__xludf.DUMMYFUNCTION("""COMPUTED_VALUE"""),"387")</f>
        <v>387</v>
      </c>
      <c r="B512" s="4" t="str">
        <f>IFERROR(__xludf.DUMMYFUNCTION("""COMPUTED_VALUE"""),"Cartel PVC 40x30 Uso obligatorio de luces de cruce")</f>
        <v>Cartel PVC 40x30 Uso obligatorio de luces de cruce</v>
      </c>
      <c r="C512" s="4">
        <f>IFERROR(__xludf.DUMMYFUNCTION("""COMPUTED_VALUE"""),2.3808)</f>
        <v>2.3808</v>
      </c>
    </row>
    <row r="513">
      <c r="A513" s="4" t="str">
        <f>IFERROR(__xludf.DUMMYFUNCTION("""COMPUTED_VALUE"""),"0387P")</f>
        <v>0387P</v>
      </c>
      <c r="B513" s="4" t="str">
        <f>IFERROR(__xludf.DUMMYFUNCTION("""COMPUTED_VALUE"""),"Cartel PVC 21X29 OBLIGATORIO USO DE LUCES DE")</f>
        <v>Cartel PVC 21X29 OBLIGATORIO USO DE LUCES DE</v>
      </c>
      <c r="C513" s="4">
        <f>IFERROR(__xludf.DUMMYFUNCTION("""COMPUTED_VALUE"""),1.536)</f>
        <v>1.536</v>
      </c>
    </row>
    <row r="514">
      <c r="A514" s="4" t="str">
        <f>IFERROR(__xludf.DUMMYFUNCTION("""COMPUTED_VALUE"""),"388")</f>
        <v>388</v>
      </c>
      <c r="B514" s="4" t="str">
        <f>IFERROR(__xludf.DUMMYFUNCTION("""COMPUTED_VALUE"""),"Cartel PVC 40x30 Uso obligatorio de chaleco alta visibilidad")</f>
        <v>Cartel PVC 40x30 Uso obligatorio de chaleco alta visibilidad</v>
      </c>
      <c r="C514" s="4">
        <f>IFERROR(__xludf.DUMMYFUNCTION("""COMPUTED_VALUE"""),2.3808)</f>
        <v>2.3808</v>
      </c>
    </row>
    <row r="515">
      <c r="A515" s="4" t="str">
        <f>IFERROR(__xludf.DUMMYFUNCTION("""COMPUTED_VALUE"""),"0388P")</f>
        <v>0388P</v>
      </c>
      <c r="B515" s="4" t="str">
        <f>IFERROR(__xludf.DUMMYFUNCTION("""COMPUTED_VALUE"""),"Cartel PVC 21x29 OBLIGATORIO EL USO CHALECO ALTA")</f>
        <v>Cartel PVC 21x29 OBLIGATORIO EL USO CHALECO ALTA</v>
      </c>
      <c r="C515" s="4">
        <f>IFERROR(__xludf.DUMMYFUNCTION("""COMPUTED_VALUE"""),1.536)</f>
        <v>1.536</v>
      </c>
    </row>
    <row r="516">
      <c r="A516" s="4" t="str">
        <f>IFERROR(__xludf.DUMMYFUNCTION("""COMPUTED_VALUE"""),"389")</f>
        <v>389</v>
      </c>
      <c r="B516" s="4" t="str">
        <f>IFERROR(__xludf.DUMMYFUNCTION("""COMPUTED_VALUE"""),"Cartel 50x70 cm c/ojales CALLE CORTADA POR OBRAS (o")</f>
        <v>Cartel 50x70 cm c/ojales CALLE CORTADA POR OBRAS (o</v>
      </c>
      <c r="C516" s="4">
        <f>IFERROR(__xludf.DUMMYFUNCTION("""COMPUTED_VALUE"""),9.571200000000001)</f>
        <v>9.5712</v>
      </c>
    </row>
    <row r="517">
      <c r="A517" s="4" t="str">
        <f>IFERROR(__xludf.DUMMYFUNCTION("""COMPUTED_VALUE"""),"390")</f>
        <v>390</v>
      </c>
      <c r="B517" s="4" t="str">
        <f>IFERROR(__xludf.DUMMYFUNCTION("""COMPUTED_VALUE"""),"Cartel PVC 50x70 Combinado")</f>
        <v>Cartel PVC 50x70 Combinado</v>
      </c>
      <c r="C517" s="4">
        <f>IFERROR(__xludf.DUMMYFUNCTION("""COMPUTED_VALUE"""),5.232)</f>
        <v>5.232</v>
      </c>
    </row>
    <row r="518">
      <c r="A518" s="4" t="str">
        <f>IFERROR(__xludf.DUMMYFUNCTION("""COMPUTED_VALUE"""),"0390PA")</f>
        <v>0390PA</v>
      </c>
      <c r="B518" s="4" t="str">
        <f>IFERROR(__xludf.DUMMYFUNCTION("""COMPUTED_VALUE"""),"Cartel Poliet. 50x70 PROHIBIDO APARCAR CON HORARIO")</f>
        <v>Cartel Poliet. 50x70 PROHIBIDO APARCAR CON HORARIO</v>
      </c>
      <c r="C518" s="4">
        <f>IFERROR(__xludf.DUMMYFUNCTION("""COMPUTED_VALUE"""),6.72)</f>
        <v>6.72</v>
      </c>
    </row>
    <row r="519">
      <c r="A519" s="4" t="str">
        <f>IFERROR(__xludf.DUMMYFUNCTION("""COMPUTED_VALUE"""),"391")</f>
        <v>391</v>
      </c>
      <c r="B519" s="4" t="str">
        <f>IFERROR(__xludf.DUMMYFUNCTION("""COMPUTED_VALUE"""),"Señal PVC suelo plegable")</f>
        <v>Señal PVC suelo plegable</v>
      </c>
      <c r="C519" s="4">
        <f>IFERROR(__xludf.DUMMYFUNCTION("""COMPUTED_VALUE"""),5.712)</f>
        <v>5.712</v>
      </c>
    </row>
    <row r="520">
      <c r="A520" s="4" t="str">
        <f>IFERROR(__xludf.DUMMYFUNCTION("""COMPUTED_VALUE"""),"0391P")</f>
        <v>0391P</v>
      </c>
      <c r="B520" s="4" t="str">
        <f>IFERROR(__xludf.DUMMYFUNCTION("""COMPUTED_VALUE"""),"Caballete plegable amarillo señalizacion personalizado")</f>
        <v>Caballete plegable amarillo señalizacion personalizado</v>
      </c>
      <c r="C520" s="4">
        <f>IFERROR(__xludf.DUMMYFUNCTION("""COMPUTED_VALUE"""),8.64)</f>
        <v>8.64</v>
      </c>
    </row>
    <row r="521">
      <c r="A521" s="4" t="str">
        <f>IFERROR(__xludf.DUMMYFUNCTION("""COMPUTED_VALUE"""),"392")</f>
        <v>392</v>
      </c>
      <c r="B521" s="4" t="str">
        <f>IFERROR(__xludf.DUMMYFUNCTION("""COMPUTED_VALUE"""),"Cartel PVC 40x30 Limite vel. 10")</f>
        <v>Cartel PVC 40x30 Limite vel. 10</v>
      </c>
      <c r="C521" s="4">
        <f>IFERROR(__xludf.DUMMYFUNCTION("""COMPUTED_VALUE"""),2.3808)</f>
        <v>2.3808</v>
      </c>
    </row>
    <row r="522">
      <c r="A522" s="4" t="str">
        <f>IFERROR(__xludf.DUMMYFUNCTION("""COMPUTED_VALUE"""),"0392P")</f>
        <v>0392P</v>
      </c>
      <c r="B522" s="4" t="str">
        <f>IFERROR(__xludf.DUMMYFUNCTION("""COMPUTED_VALUE"""),"Cartel PVC 21x29 VELOCIDAD MAXIMA 10")</f>
        <v>Cartel PVC 21x29 VELOCIDAD MAXIMA 10</v>
      </c>
      <c r="C522" s="4">
        <f>IFERROR(__xludf.DUMMYFUNCTION("""COMPUTED_VALUE"""),1.536)</f>
        <v>1.536</v>
      </c>
    </row>
    <row r="523">
      <c r="A523" s="4" t="str">
        <f>IFERROR(__xludf.DUMMYFUNCTION("""COMPUTED_VALUE"""),"393")</f>
        <v>393</v>
      </c>
      <c r="B523" s="4" t="str">
        <f>IFERROR(__xludf.DUMMYFUNCTION("""COMPUTED_VALUE"""),"Cartel PVC 40x30 Limite vel. 20")</f>
        <v>Cartel PVC 40x30 Limite vel. 20</v>
      </c>
      <c r="C523" s="4">
        <f>IFERROR(__xludf.DUMMYFUNCTION("""COMPUTED_VALUE"""),2.3808)</f>
        <v>2.3808</v>
      </c>
    </row>
    <row r="524">
      <c r="A524" s="4" t="str">
        <f>IFERROR(__xludf.DUMMYFUNCTION("""COMPUTED_VALUE"""),"0393P")</f>
        <v>0393P</v>
      </c>
      <c r="B524" s="4" t="str">
        <f>IFERROR(__xludf.DUMMYFUNCTION("""COMPUTED_VALUE"""),"Cartel PVC 21x29 VELOCIDAD MAXIMA 20")</f>
        <v>Cartel PVC 21x29 VELOCIDAD MAXIMA 20</v>
      </c>
      <c r="C524" s="4">
        <f>IFERROR(__xludf.DUMMYFUNCTION("""COMPUTED_VALUE"""),1.536)</f>
        <v>1.536</v>
      </c>
    </row>
    <row r="525">
      <c r="A525" s="4" t="str">
        <f>IFERROR(__xludf.DUMMYFUNCTION("""COMPUTED_VALUE"""),"394")</f>
        <v>394</v>
      </c>
      <c r="B525" s="4" t="str">
        <f>IFERROR(__xludf.DUMMYFUNCTION("""COMPUTED_VALUE"""),"Cartel PVC 40x30 Limite vel. 30")</f>
        <v>Cartel PVC 40x30 Limite vel. 30</v>
      </c>
      <c r="C525" s="4">
        <f>IFERROR(__xludf.DUMMYFUNCTION("""COMPUTED_VALUE"""),2.3808)</f>
        <v>2.3808</v>
      </c>
    </row>
    <row r="526">
      <c r="A526" s="4" t="str">
        <f>IFERROR(__xludf.DUMMYFUNCTION("""COMPUTED_VALUE"""),"0394P")</f>
        <v>0394P</v>
      </c>
      <c r="B526" s="4" t="str">
        <f>IFERROR(__xludf.DUMMYFUNCTION("""COMPUTED_VALUE"""),"Cartel PVC 21x29 VELOCIDAD MAXIMA 30")</f>
        <v>Cartel PVC 21x29 VELOCIDAD MAXIMA 30</v>
      </c>
      <c r="C526" s="4">
        <f>IFERROR(__xludf.DUMMYFUNCTION("""COMPUTED_VALUE"""),1.536)</f>
        <v>1.536</v>
      </c>
    </row>
    <row r="527">
      <c r="A527" s="4" t="str">
        <f>IFERROR(__xludf.DUMMYFUNCTION("""COMPUTED_VALUE"""),"395")</f>
        <v>395</v>
      </c>
      <c r="B527" s="4" t="str">
        <f>IFERROR(__xludf.DUMMYFUNCTION("""COMPUTED_VALUE"""),"Cartel PVC 40x30 Limite vel. 40")</f>
        <v>Cartel PVC 40x30 Limite vel. 40</v>
      </c>
      <c r="C527" s="4">
        <f>IFERROR(__xludf.DUMMYFUNCTION("""COMPUTED_VALUE"""),2.3808)</f>
        <v>2.3808</v>
      </c>
    </row>
    <row r="528">
      <c r="A528" s="4" t="str">
        <f>IFERROR(__xludf.DUMMYFUNCTION("""COMPUTED_VALUE"""),"0395P")</f>
        <v>0395P</v>
      </c>
      <c r="B528" s="4" t="str">
        <f>IFERROR(__xludf.DUMMYFUNCTION("""COMPUTED_VALUE"""),"Cartel PVC 21x29 VELOCIDAD MAXIMA 40")</f>
        <v>Cartel PVC 21x29 VELOCIDAD MAXIMA 40</v>
      </c>
      <c r="C528" s="4">
        <f>IFERROR(__xludf.DUMMYFUNCTION("""COMPUTED_VALUE"""),1.536)</f>
        <v>1.536</v>
      </c>
    </row>
    <row r="529">
      <c r="A529" s="4" t="str">
        <f>IFERROR(__xludf.DUMMYFUNCTION("""COMPUTED_VALUE"""),"396")</f>
        <v>396</v>
      </c>
      <c r="B529" s="4" t="str">
        <f>IFERROR(__xludf.DUMMYFUNCTION("""COMPUTED_VALUE"""),"Cartel PVC 21x29 Fotolum. Columna movil extinción")</f>
        <v>Cartel PVC 21x29 Fotolum. Columna movil extinción</v>
      </c>
      <c r="C529" s="4">
        <f>IFERROR(__xludf.DUMMYFUNCTION("""COMPUTED_VALUE"""),2.496)</f>
        <v>2.496</v>
      </c>
    </row>
    <row r="530">
      <c r="A530" s="4" t="str">
        <f>IFERROR(__xludf.DUMMYFUNCTION("""COMPUTED_VALUE"""),"0396A")</f>
        <v>0396A</v>
      </c>
      <c r="B530" s="4" t="str">
        <f>IFERROR(__xludf.DUMMYFUNCTION("""COMPUTED_VALUE"""),"Cartel PVC 21x30 Fotolum. Carro extintor")</f>
        <v>Cartel PVC 21x30 Fotolum. Carro extintor</v>
      </c>
      <c r="C530" s="4">
        <f>IFERROR(__xludf.DUMMYFUNCTION("""COMPUTED_VALUE"""),2.4192)</f>
        <v>2.4192</v>
      </c>
    </row>
    <row r="531">
      <c r="A531" s="4" t="str">
        <f>IFERROR(__xludf.DUMMYFUNCTION("""COMPUTED_VALUE"""),"0396B")</f>
        <v>0396B</v>
      </c>
      <c r="B531" s="4" t="str">
        <f>IFERROR(__xludf.DUMMYFUNCTION("""COMPUTED_VALUE"""),"Cartel PVC 40x30 Fotolum. Carro extintor")</f>
        <v>Cartel PVC 40x30 Fotolum. Carro extintor</v>
      </c>
      <c r="C531" s="4">
        <f>IFERROR(__xludf.DUMMYFUNCTION("""COMPUTED_VALUE"""),2.976)</f>
        <v>2.976</v>
      </c>
    </row>
    <row r="532">
      <c r="A532" s="4" t="str">
        <f>IFERROR(__xludf.DUMMYFUNCTION("""COMPUTED_VALUE"""),"397")</f>
        <v>397</v>
      </c>
      <c r="B532" s="4" t="str">
        <f>IFERROR(__xludf.DUMMYFUNCTION("""COMPUTED_VALUE"""),"Cartel PVC 21x29 Fotolum. Sin salida")</f>
        <v>Cartel PVC 21x29 Fotolum. Sin salida</v>
      </c>
      <c r="C532" s="4">
        <f>IFERROR(__xludf.DUMMYFUNCTION("""COMPUTED_VALUE"""),2.496)</f>
        <v>2.496</v>
      </c>
    </row>
    <row r="533">
      <c r="A533" s="4" t="str">
        <f>IFERROR(__xludf.DUMMYFUNCTION("""COMPUTED_VALUE"""),"0397A")</f>
        <v>0397A</v>
      </c>
      <c r="B533" s="4" t="str">
        <f>IFERROR(__xludf.DUMMYFUNCTION("""COMPUTED_VALUE"""),"Cartel PVC 32x16 Fotolum. Sin Salida")</f>
        <v>Cartel PVC 32x16 Fotolum. Sin Salida</v>
      </c>
      <c r="C533" s="4">
        <f>IFERROR(__xludf.DUMMYFUNCTION("""COMPUTED_VALUE"""),2.16)</f>
        <v>2.16</v>
      </c>
    </row>
    <row r="534">
      <c r="A534" s="4" t="str">
        <f>IFERROR(__xludf.DUMMYFUNCTION("""COMPUTED_VALUE"""),"0397B")</f>
        <v>0397B</v>
      </c>
      <c r="B534" s="4" t="str">
        <f>IFERROR(__xludf.DUMMYFUNCTION("""COMPUTED_VALUE"""),"Cartel PVC 64x32 Fotolum. Sin Salida")</f>
        <v>Cartel PVC 64x32 Fotolum. Sin Salida</v>
      </c>
      <c r="C534" s="4">
        <f>IFERROR(__xludf.DUMMYFUNCTION("""COMPUTED_VALUE"""),4.300800000000001)</f>
        <v>4.3008</v>
      </c>
    </row>
    <row r="535">
      <c r="A535" s="4" t="str">
        <f>IFERROR(__xludf.DUMMYFUNCTION("""COMPUTED_VALUE"""),"0397C")</f>
        <v>0397C</v>
      </c>
      <c r="B535" s="4" t="str">
        <f>IFERROR(__xludf.DUMMYFUNCTION("""COMPUTED_VALUE"""),"Cartel PVC 96x48 Fotolum. Sin Salida")</f>
        <v>Cartel PVC 96x48 Fotolum. Sin Salida</v>
      </c>
      <c r="C535" s="4">
        <f>IFERROR(__xludf.DUMMYFUNCTION("""COMPUTED_VALUE"""),8.6304)</f>
        <v>8.6304</v>
      </c>
    </row>
    <row r="536">
      <c r="A536" s="4" t="str">
        <f>IFERROR(__xludf.DUMMYFUNCTION("""COMPUTED_VALUE"""),"398")</f>
        <v>398</v>
      </c>
      <c r="B536" s="4" t="str">
        <f>IFERROR(__xludf.DUMMYFUNCTION("""COMPUTED_VALUE"""),"Cartel PVC 21x29 Fotolum. Flecha")</f>
        <v>Cartel PVC 21x29 Fotolum. Flecha</v>
      </c>
      <c r="C536" s="4">
        <f>IFERROR(__xludf.DUMMYFUNCTION("""COMPUTED_VALUE"""),2.496)</f>
        <v>2.496</v>
      </c>
    </row>
    <row r="537">
      <c r="A537" s="4" t="str">
        <f>IFERROR(__xludf.DUMMYFUNCTION("""COMPUTED_VALUE"""),"0398DA")</f>
        <v>0398DA</v>
      </c>
      <c r="B537" s="4" t="str">
        <f>IFERROR(__xludf.DUMMYFUNCTION("""COMPUTED_VALUE"""),"Cartel PVC 32x16 Fotolum. Flecha derecha")</f>
        <v>Cartel PVC 32x16 Fotolum. Flecha derecha</v>
      </c>
      <c r="C537" s="4">
        <f>IFERROR(__xludf.DUMMYFUNCTION("""COMPUTED_VALUE"""),2.16)</f>
        <v>2.16</v>
      </c>
    </row>
    <row r="538">
      <c r="A538" s="4" t="str">
        <f>IFERROR(__xludf.DUMMYFUNCTION("""COMPUTED_VALUE"""),"0398DB")</f>
        <v>0398DB</v>
      </c>
      <c r="B538" s="4" t="str">
        <f>IFERROR(__xludf.DUMMYFUNCTION("""COMPUTED_VALUE"""),"Cartel PVC 64x32 Fotolum. Flecha derecha")</f>
        <v>Cartel PVC 64x32 Fotolum. Flecha derecha</v>
      </c>
      <c r="C538" s="4">
        <f>IFERROR(__xludf.DUMMYFUNCTION("""COMPUTED_VALUE"""),4.300800000000001)</f>
        <v>4.3008</v>
      </c>
    </row>
    <row r="539">
      <c r="A539" s="4" t="str">
        <f>IFERROR(__xludf.DUMMYFUNCTION("""COMPUTED_VALUE"""),"0398DC")</f>
        <v>0398DC</v>
      </c>
      <c r="B539" s="4" t="str">
        <f>IFERROR(__xludf.DUMMYFUNCTION("""COMPUTED_VALUE"""),"Cartel PVC 96x48 Fotolum. Flecha derecha")</f>
        <v>Cartel PVC 96x48 Fotolum. Flecha derecha</v>
      </c>
      <c r="C539" s="4">
        <f>IFERROR(__xludf.DUMMYFUNCTION("""COMPUTED_VALUE"""),8.601600000000001)</f>
        <v>8.6016</v>
      </c>
    </row>
    <row r="540">
      <c r="A540" s="4" t="str">
        <f>IFERROR(__xludf.DUMMYFUNCTION("""COMPUTED_VALUE"""),"0398IA")</f>
        <v>0398IA</v>
      </c>
      <c r="B540" s="4" t="str">
        <f>IFERROR(__xludf.DUMMYFUNCTION("""COMPUTED_VALUE"""),"Cartel PVC 32x16 Fotolum. Flecha izquierda")</f>
        <v>Cartel PVC 32x16 Fotolum. Flecha izquierda</v>
      </c>
      <c r="C540" s="4">
        <f>IFERROR(__xludf.DUMMYFUNCTION("""COMPUTED_VALUE"""),2.16)</f>
        <v>2.16</v>
      </c>
    </row>
    <row r="541">
      <c r="A541" s="4" t="str">
        <f>IFERROR(__xludf.DUMMYFUNCTION("""COMPUTED_VALUE"""),"0398IB")</f>
        <v>0398IB</v>
      </c>
      <c r="B541" s="4" t="str">
        <f>IFERROR(__xludf.DUMMYFUNCTION("""COMPUTED_VALUE"""),"Cartel PVC 64x32 Fotolum. Flecha derecha")</f>
        <v>Cartel PVC 64x32 Fotolum. Flecha derecha</v>
      </c>
      <c r="C541" s="4">
        <f>IFERROR(__xludf.DUMMYFUNCTION("""COMPUTED_VALUE"""),4.300800000000001)</f>
        <v>4.3008</v>
      </c>
    </row>
    <row r="542">
      <c r="A542" s="4" t="str">
        <f>IFERROR(__xludf.DUMMYFUNCTION("""COMPUTED_VALUE"""),"0398IC")</f>
        <v>0398IC</v>
      </c>
      <c r="B542" s="4" t="str">
        <f>IFERROR(__xludf.DUMMYFUNCTION("""COMPUTED_VALUE"""),"Cartel PVC 96x48 Fotolum. Flecha derecha")</f>
        <v>Cartel PVC 96x48 Fotolum. Flecha derecha</v>
      </c>
      <c r="C542" s="4">
        <f>IFERROR(__xludf.DUMMYFUNCTION("""COMPUTED_VALUE"""),8.601600000000001)</f>
        <v>8.6016</v>
      </c>
    </row>
    <row r="543">
      <c r="A543" s="4" t="str">
        <f>IFERROR(__xludf.DUMMYFUNCTION("""COMPUTED_VALUE"""),"399")</f>
        <v>399</v>
      </c>
      <c r="B543" s="4" t="str">
        <f>IFERROR(__xludf.DUMMYFUNCTION("""COMPUTED_VALUE"""),"Cartel PVC 40x30 Calle cortada por obra")</f>
        <v>Cartel PVC 40x30 Calle cortada por obra</v>
      </c>
      <c r="C543" s="4">
        <f>IFERROR(__xludf.DUMMYFUNCTION("""COMPUTED_VALUE"""),2.3808)</f>
        <v>2.3808</v>
      </c>
    </row>
    <row r="544">
      <c r="A544" s="4" t="str">
        <f>IFERROR(__xludf.DUMMYFUNCTION("""COMPUTED_VALUE"""),"400")</f>
        <v>400</v>
      </c>
      <c r="B544" s="4" t="str">
        <f>IFERROR(__xludf.DUMMYFUNCTION("""COMPUTED_VALUE"""),"Bolsa negra perforada cubre señales trafico")</f>
        <v>Bolsa negra perforada cubre señales trafico</v>
      </c>
      <c r="C544" s="4">
        <f>IFERROR(__xludf.DUMMYFUNCTION("""COMPUTED_VALUE"""),1.632)</f>
        <v>1.632</v>
      </c>
    </row>
    <row r="545">
      <c r="A545" s="4" t="str">
        <f>IFERROR(__xludf.DUMMYFUNCTION("""COMPUTED_VALUE"""),"401")</f>
        <v>401</v>
      </c>
      <c r="B545" s="4" t="str">
        <f>IFERROR(__xludf.DUMMYFUNCTION("""COMPUTED_VALUE"""),"Se¤al Bolsa de plastico nº1 DIRECION PROHIB.")</f>
        <v>Se¤al Bolsa de plastico nº1 DIRECION PROHIB.</v>
      </c>
      <c r="C545" s="4">
        <f>IFERROR(__xludf.DUMMYFUNCTION("""COMPUTED_VALUE"""),1.632)</f>
        <v>1.632</v>
      </c>
    </row>
    <row r="546">
      <c r="A546" s="4" t="str">
        <f>IFERROR(__xludf.DUMMYFUNCTION("""COMPUTED_VALUE"""),"402")</f>
        <v>402</v>
      </c>
      <c r="B546" s="4" t="str">
        <f>IFERROR(__xludf.DUMMYFUNCTION("""COMPUTED_VALUE"""),"Señal Bolsa de plastico nº 2 STOP")</f>
        <v>Señal Bolsa de plastico nº 2 STOP</v>
      </c>
      <c r="C546" s="4">
        <f>IFERROR(__xludf.DUMMYFUNCTION("""COMPUTED_VALUE"""),1.632)</f>
        <v>1.632</v>
      </c>
    </row>
    <row r="547">
      <c r="A547" s="4" t="str">
        <f>IFERROR(__xludf.DUMMYFUNCTION("""COMPUTED_VALUE"""),"403")</f>
        <v>403</v>
      </c>
      <c r="B547" s="4" t="str">
        <f>IFERROR(__xludf.DUMMYFUNCTION("""COMPUTED_VALUE"""),"Señal Bolsa de plastico nº 3 DIR. OBL. DERECHA")</f>
        <v>Señal Bolsa de plastico nº 3 DIR. OBL. DERECHA</v>
      </c>
      <c r="C547" s="4">
        <f>IFERROR(__xludf.DUMMYFUNCTION("""COMPUTED_VALUE"""),1.632)</f>
        <v>1.632</v>
      </c>
    </row>
    <row r="548">
      <c r="A548" s="4" t="str">
        <f>IFERROR(__xludf.DUMMYFUNCTION("""COMPUTED_VALUE"""),"404")</f>
        <v>404</v>
      </c>
      <c r="B548" s="4" t="str">
        <f>IFERROR(__xludf.DUMMYFUNCTION("""COMPUTED_VALUE"""),"Señal Bolsa de plastico nº 4 PELIGRO INDEF")</f>
        <v>Señal Bolsa de plastico nº 4 PELIGRO INDEF</v>
      </c>
      <c r="C548" s="4">
        <f>IFERROR(__xludf.DUMMYFUNCTION("""COMPUTED_VALUE"""),1.632)</f>
        <v>1.632</v>
      </c>
    </row>
    <row r="549">
      <c r="A549" s="4" t="str">
        <f>IFERROR(__xludf.DUMMYFUNCTION("""COMPUTED_VALUE"""),"405")</f>
        <v>405</v>
      </c>
      <c r="B549" s="4" t="str">
        <f>IFERROR(__xludf.DUMMYFUNCTION("""COMPUTED_VALUE"""),"Señal Bolsa de plastico nº 5 OBRAS")</f>
        <v>Señal Bolsa de plastico nº 5 OBRAS</v>
      </c>
      <c r="C549" s="4">
        <f>IFERROR(__xludf.DUMMYFUNCTION("""COMPUTED_VALUE"""),1.632)</f>
        <v>1.632</v>
      </c>
    </row>
    <row r="550">
      <c r="A550" s="4" t="str">
        <f>IFERROR(__xludf.DUMMYFUNCTION("""COMPUTED_VALUE"""),"406")</f>
        <v>406</v>
      </c>
      <c r="B550" s="4" t="str">
        <f>IFERROR(__xludf.DUMMYFUNCTION("""COMPUTED_VALUE"""),"Señal Bolsa de plastico nº 6 VEL. 40")</f>
        <v>Señal Bolsa de plastico nº 6 VEL. 40</v>
      </c>
      <c r="C550" s="4">
        <f>IFERROR(__xludf.DUMMYFUNCTION("""COMPUTED_VALUE"""),1.632)</f>
        <v>1.632</v>
      </c>
    </row>
    <row r="551">
      <c r="A551" s="4" t="str">
        <f>IFERROR(__xludf.DUMMYFUNCTION("""COMPUTED_VALUE"""),"407")</f>
        <v>407</v>
      </c>
      <c r="B551" s="4" t="str">
        <f>IFERROR(__xludf.DUMMYFUNCTION("""COMPUTED_VALUE"""),"Señal Bolsa de plastico nº 7 VEL. 60")</f>
        <v>Señal Bolsa de plastico nº 7 VEL. 60</v>
      </c>
      <c r="C551" s="4">
        <f>IFERROR(__xludf.DUMMYFUNCTION("""COMPUTED_VALUE"""),1.632)</f>
        <v>1.632</v>
      </c>
    </row>
    <row r="552">
      <c r="A552" s="4" t="str">
        <f>IFERROR(__xludf.DUMMYFUNCTION("""COMPUTED_VALUE"""),"408")</f>
        <v>408</v>
      </c>
      <c r="B552" s="4" t="str">
        <f>IFERROR(__xludf.DUMMYFUNCTION("""COMPUTED_VALUE"""),"Señal Bolsa de plastico nº 8 ESTRECH")</f>
        <v>Señal Bolsa de plastico nº 8 ESTRECH</v>
      </c>
      <c r="C552" s="4">
        <f>IFERROR(__xludf.DUMMYFUNCTION("""COMPUTED_VALUE"""),1.632)</f>
        <v>1.632</v>
      </c>
    </row>
    <row r="553">
      <c r="A553" s="4" t="str">
        <f>IFERROR(__xludf.DUMMYFUNCTION("""COMPUTED_VALUE"""),"409")</f>
        <v>409</v>
      </c>
      <c r="B553" s="4" t="str">
        <f>IFERROR(__xludf.DUMMYFUNCTION("""COMPUTED_VALUE"""),"Señal Bolsa de plastico nº 9 PROHIB ADELANT")</f>
        <v>Señal Bolsa de plastico nº 9 PROHIB ADELANT</v>
      </c>
      <c r="C553" s="4">
        <f>IFERROR(__xludf.DUMMYFUNCTION("""COMPUTED_VALUE"""),1.632)</f>
        <v>1.632</v>
      </c>
    </row>
    <row r="554">
      <c r="A554" s="4" t="str">
        <f>IFERROR(__xludf.DUMMYFUNCTION("""COMPUTED_VALUE"""),"410")</f>
        <v>410</v>
      </c>
      <c r="B554" s="4" t="str">
        <f>IFERROR(__xludf.DUMMYFUNCTION("""COMPUTED_VALUE"""),"Señal Bolsa de plastico nº 10 PRIORIDAD")</f>
        <v>Señal Bolsa de plastico nº 10 PRIORIDAD</v>
      </c>
      <c r="C554" s="4">
        <f>IFERROR(__xludf.DUMMYFUNCTION("""COMPUTED_VALUE"""),1.632)</f>
        <v>1.632</v>
      </c>
    </row>
    <row r="555">
      <c r="A555" s="4" t="str">
        <f>IFERROR(__xludf.DUMMYFUNCTION("""COMPUTED_VALUE"""),"411")</f>
        <v>411</v>
      </c>
      <c r="B555" s="4" t="str">
        <f>IFERROR(__xludf.DUMMYFUNCTION("""COMPUTED_VALUE"""),"Señal Bolsa de plastico nº 11 PROHIB. APARCAR")</f>
        <v>Señal Bolsa de plastico nº 11 PROHIB. APARCAR</v>
      </c>
      <c r="C555" s="4">
        <f>IFERROR(__xludf.DUMMYFUNCTION("""COMPUTED_VALUE"""),1.632)</f>
        <v>1.632</v>
      </c>
    </row>
    <row r="556">
      <c r="A556" s="4" t="str">
        <f>IFERROR(__xludf.DUMMYFUNCTION("""COMPUTED_VALUE"""),"412")</f>
        <v>412</v>
      </c>
      <c r="B556" s="4" t="str">
        <f>IFERROR(__xludf.DUMMYFUNCTION("""COMPUTED_VALUE"""),"Señal Bolsa de plastico nº 12 ESCALON LATERAL")</f>
        <v>Señal Bolsa de plastico nº 12 ESCALON LATERAL</v>
      </c>
      <c r="C556" s="4">
        <f>IFERROR(__xludf.DUMMYFUNCTION("""COMPUTED_VALUE"""),1.632)</f>
        <v>1.632</v>
      </c>
    </row>
    <row r="557">
      <c r="A557" s="4" t="str">
        <f>IFERROR(__xludf.DUMMYFUNCTION("""COMPUTED_VALUE"""),"413")</f>
        <v>413</v>
      </c>
      <c r="B557" s="4" t="str">
        <f>IFERROR(__xludf.DUMMYFUNCTION("""COMPUTED_VALUE"""),"Señal Bolsa de plastico nº 13 SUELO RESVALADIZO")</f>
        <v>Señal Bolsa de plastico nº 13 SUELO RESVALADIZO</v>
      </c>
      <c r="C557" s="4">
        <f>IFERROR(__xludf.DUMMYFUNCTION("""COMPUTED_VALUE"""),1.632)</f>
        <v>1.632</v>
      </c>
    </row>
    <row r="558">
      <c r="A558" s="4" t="str">
        <f>IFERROR(__xludf.DUMMYFUNCTION("""COMPUTED_VALUE"""),"414")</f>
        <v>414</v>
      </c>
      <c r="B558" s="4" t="str">
        <f>IFERROR(__xludf.DUMMYFUNCTION("""COMPUTED_VALUE"""),"Señal Bolsa de plastico nº 14 VEL 20")</f>
        <v>Señal Bolsa de plastico nº 14 VEL 20</v>
      </c>
      <c r="C558" s="4">
        <f>IFERROR(__xludf.DUMMYFUNCTION("""COMPUTED_VALUE"""),1.632)</f>
        <v>1.632</v>
      </c>
    </row>
    <row r="559">
      <c r="A559" s="4" t="str">
        <f>IFERROR(__xludf.DUMMYFUNCTION("""COMPUTED_VALUE"""),"415")</f>
        <v>415</v>
      </c>
      <c r="B559" s="4" t="str">
        <f>IFERROR(__xludf.DUMMYFUNCTION("""COMPUTED_VALUE"""),"Señal Bolsa de plastico nº 15 PELIGRO CAMIONES")</f>
        <v>Señal Bolsa de plastico nº 15 PELIGRO CAMIONES</v>
      </c>
      <c r="C559" s="4">
        <f>IFERROR(__xludf.DUMMYFUNCTION("""COMPUTED_VALUE"""),1.632)</f>
        <v>1.632</v>
      </c>
    </row>
    <row r="560">
      <c r="A560" s="4" t="str">
        <f>IFERROR(__xludf.DUMMYFUNCTION("""COMPUTED_VALUE"""),"416")</f>
        <v>416</v>
      </c>
      <c r="B560" s="4" t="str">
        <f>IFERROR(__xludf.DUMMYFUNCTION("""COMPUTED_VALUE"""),"Señal Bolsa de plastico nº 16 SALIDA CAMIONES")</f>
        <v>Señal Bolsa de plastico nº 16 SALIDA CAMIONES</v>
      </c>
      <c r="C560" s="4">
        <f>IFERROR(__xludf.DUMMYFUNCTION("""COMPUTED_VALUE"""),1.632)</f>
        <v>1.632</v>
      </c>
    </row>
    <row r="561">
      <c r="A561" s="4" t="str">
        <f>IFERROR(__xludf.DUMMYFUNCTION("""COMPUTED_VALUE"""),"417")</f>
        <v>417</v>
      </c>
      <c r="B561" s="4" t="str">
        <f>IFERROR(__xludf.DUMMYFUNCTION("""COMPUTED_VALUE"""),"Señal Bolsa de plastico nº 17 CALLE CORTADA")</f>
        <v>Señal Bolsa de plastico nº 17 CALLE CORTADA</v>
      </c>
      <c r="C561" s="4">
        <f>IFERROR(__xludf.DUMMYFUNCTION("""COMPUTED_VALUE"""),1.632)</f>
        <v>1.632</v>
      </c>
    </row>
    <row r="562">
      <c r="A562" s="4" t="str">
        <f>IFERROR(__xludf.DUMMYFUNCTION("""COMPUTED_VALUE"""),"418")</f>
        <v>418</v>
      </c>
      <c r="B562" s="4" t="str">
        <f>IFERROR(__xludf.DUMMYFUNCTION("""COMPUTED_VALUE"""),"Señal Bolsa de plastico nº 18 VEL 30")</f>
        <v>Señal Bolsa de plastico nº 18 VEL 30</v>
      </c>
      <c r="C562" s="4">
        <f>IFERROR(__xludf.DUMMYFUNCTION("""COMPUTED_VALUE"""),1.632)</f>
        <v>1.632</v>
      </c>
    </row>
    <row r="563">
      <c r="A563" s="4" t="str">
        <f>IFERROR(__xludf.DUMMYFUNCTION("""COMPUTED_VALUE"""),"419")</f>
        <v>419</v>
      </c>
      <c r="B563" s="4" t="str">
        <f>IFERROR(__xludf.DUMMYFUNCTION("""COMPUTED_VALUE"""),"Señal Bolsa de plastico nº 19 DESPRENDIMIENTO")</f>
        <v>Señal Bolsa de plastico nº 19 DESPRENDIMIENTO</v>
      </c>
      <c r="C563" s="4">
        <f>IFERROR(__xludf.DUMMYFUNCTION("""COMPUTED_VALUE"""),1.632)</f>
        <v>1.632</v>
      </c>
    </row>
    <row r="564">
      <c r="A564" s="4" t="str">
        <f>IFERROR(__xludf.DUMMYFUNCTION("""COMPUTED_VALUE"""),"420")</f>
        <v>420</v>
      </c>
      <c r="B564" s="4" t="str">
        <f>IFERROR(__xludf.DUMMYFUNCTION("""COMPUTED_VALUE"""),"Señal Bolsa de plastico nº 20 ACERA EN OBRAS")</f>
        <v>Señal Bolsa de plastico nº 20 ACERA EN OBRAS</v>
      </c>
      <c r="C564" s="4">
        <f>IFERROR(__xludf.DUMMYFUNCTION("""COMPUTED_VALUE"""),1.632)</f>
        <v>1.632</v>
      </c>
    </row>
    <row r="565">
      <c r="A565" s="4" t="str">
        <f>IFERROR(__xludf.DUMMYFUNCTION("""COMPUTED_VALUE"""),"421")</f>
        <v>421</v>
      </c>
      <c r="B565" s="4" t="str">
        <f>IFERROR(__xludf.DUMMYFUNCTION("""COMPUTED_VALUE"""),"Señal Bolsa de plastico nº 21 ESTRECH. IZQ.")</f>
        <v>Señal Bolsa de plastico nº 21 ESTRECH. IZQ.</v>
      </c>
      <c r="C565" s="4">
        <f>IFERROR(__xludf.DUMMYFUNCTION("""COMPUTED_VALUE"""),1.632)</f>
        <v>1.632</v>
      </c>
    </row>
    <row r="566">
      <c r="A566" s="4" t="str">
        <f>IFERROR(__xludf.DUMMYFUNCTION("""COMPUTED_VALUE"""),"422")</f>
        <v>422</v>
      </c>
      <c r="B566" s="4" t="str">
        <f>IFERROR(__xludf.DUMMYFUNCTION("""COMPUTED_VALUE"""),"Señal Bolsa de plastico nº 22 ESTRECH. DERECHA")</f>
        <v>Señal Bolsa de plastico nº 22 ESTRECH. DERECHA</v>
      </c>
      <c r="C566" s="4">
        <f>IFERROR(__xludf.DUMMYFUNCTION("""COMPUTED_VALUE"""),1.632)</f>
        <v>1.632</v>
      </c>
    </row>
    <row r="567">
      <c r="A567" s="4" t="str">
        <f>IFERROR(__xludf.DUMMYFUNCTION("""COMPUTED_VALUE"""),"423")</f>
        <v>423</v>
      </c>
      <c r="B567" s="4" t="str">
        <f>IFERROR(__xludf.DUMMYFUNCTION("""COMPUTED_VALUE"""),"Señal Bolsa de plastico nº 23 VEL 10")</f>
        <v>Señal Bolsa de plastico nº 23 VEL 10</v>
      </c>
      <c r="C567" s="4">
        <f>IFERROR(__xludf.DUMMYFUNCTION("""COMPUTED_VALUE"""),1.632)</f>
        <v>1.632</v>
      </c>
    </row>
    <row r="568">
      <c r="A568" s="4" t="str">
        <f>IFERROR(__xludf.DUMMYFUNCTION("""COMPUTED_VALUE"""),"424")</f>
        <v>424</v>
      </c>
      <c r="B568" s="4" t="str">
        <f>IFERROR(__xludf.DUMMYFUNCTION("""COMPUTED_VALUE"""),"Señal Bolsa de plastico nº 24 VEL. 50")</f>
        <v>Señal Bolsa de plastico nº 24 VEL. 50</v>
      </c>
      <c r="C568" s="4">
        <f>IFERROR(__xludf.DUMMYFUNCTION("""COMPUTED_VALUE"""),1.632)</f>
        <v>1.632</v>
      </c>
    </row>
    <row r="569">
      <c r="A569" s="4" t="str">
        <f>IFERROR(__xludf.DUMMYFUNCTION("""COMPUTED_VALUE"""),"425")</f>
        <v>425</v>
      </c>
      <c r="B569" s="4" t="str">
        <f>IFERROR(__xludf.DUMMYFUNCTION("""COMPUTED_VALUE"""),"Señal Bolsa de plastico nº 25 RESALTO")</f>
        <v>Señal Bolsa de plastico nº 25 RESALTO</v>
      </c>
      <c r="C569" s="4">
        <f>IFERROR(__xludf.DUMMYFUNCTION("""COMPUTED_VALUE"""),1.632)</f>
        <v>1.632</v>
      </c>
    </row>
    <row r="570">
      <c r="A570" s="4" t="str">
        <f>IFERROR(__xludf.DUMMYFUNCTION("""COMPUTED_VALUE"""),"426")</f>
        <v>426</v>
      </c>
      <c r="B570" s="4" t="str">
        <f>IFERROR(__xludf.DUMMYFUNCTION("""COMPUTED_VALUE"""),"Señal Bolsa de plastico nº 26 CAMINO CORTADO")</f>
        <v>Señal Bolsa de plastico nº 26 CAMINO CORTADO</v>
      </c>
      <c r="C570" s="4">
        <f>IFERROR(__xludf.DUMMYFUNCTION("""COMPUTED_VALUE"""),1.632)</f>
        <v>1.632</v>
      </c>
    </row>
    <row r="571">
      <c r="A571" s="4" t="str">
        <f>IFERROR(__xludf.DUMMYFUNCTION("""COMPUTED_VALUE"""),"427")</f>
        <v>427</v>
      </c>
      <c r="B571" s="4" t="str">
        <f>IFERROR(__xludf.DUMMYFUNCTION("""COMPUTED_VALUE"""),"Señal Bolsa de plastico nº 27 DIR. OBLI. IZQ.")</f>
        <v>Señal Bolsa de plastico nº 27 DIR. OBLI. IZQ.</v>
      </c>
      <c r="C571" s="4">
        <f>IFERROR(__xludf.DUMMYFUNCTION("""COMPUTED_VALUE"""),1.632)</f>
        <v>1.632</v>
      </c>
    </row>
    <row r="572">
      <c r="A572" s="4" t="str">
        <f>IFERROR(__xludf.DUMMYFUNCTION("""COMPUTED_VALUE"""),"428")</f>
        <v>428</v>
      </c>
      <c r="B572" s="4" t="str">
        <f>IFERROR(__xludf.DUMMYFUNCTION("""COMPUTED_VALUE"""),"Señal Bolsa de plastico nº 28 CEDA EL PASO")</f>
        <v>Señal Bolsa de plastico nº 28 CEDA EL PASO</v>
      </c>
      <c r="C572" s="4">
        <f>IFERROR(__xludf.DUMMYFUNCTION("""COMPUTED_VALUE"""),1.632)</f>
        <v>1.632</v>
      </c>
    </row>
    <row r="573">
      <c r="A573" s="4" t="str">
        <f>IFERROR(__xludf.DUMMYFUNCTION("""COMPUTED_VALUE"""),"429")</f>
        <v>429</v>
      </c>
      <c r="B573" s="4" t="str">
        <f>IFERROR(__xludf.DUMMYFUNCTION("""COMPUTED_VALUE"""),"Señal Bolsa de plastico nº 29 CEDA EL PASO C / TEXTO")</f>
        <v>Señal Bolsa de plastico nº 29 CEDA EL PASO C / TEXTO</v>
      </c>
      <c r="C573" s="4">
        <f>IFERROR(__xludf.DUMMYFUNCTION("""COMPUTED_VALUE"""),1.632)</f>
        <v>1.632</v>
      </c>
    </row>
    <row r="574">
      <c r="A574" s="4" t="str">
        <f>IFERROR(__xludf.DUMMYFUNCTION("""COMPUTED_VALUE"""),"430")</f>
        <v>430</v>
      </c>
      <c r="B574" s="4" t="str">
        <f>IFERROR(__xludf.DUMMYFUNCTION("""COMPUTED_VALUE"""),"Señal Bolsa de plastico nº 30 CONTROL POLICIAL")</f>
        <v>Señal Bolsa de plastico nº 30 CONTROL POLICIAL</v>
      </c>
      <c r="C574" s="4">
        <f>IFERROR(__xludf.DUMMYFUNCTION("""COMPUTED_VALUE"""),1.632)</f>
        <v>1.632</v>
      </c>
    </row>
    <row r="575">
      <c r="A575" s="4" t="str">
        <f>IFERROR(__xludf.DUMMYFUNCTION("""COMPUTED_VALUE"""),"431")</f>
        <v>431</v>
      </c>
      <c r="B575" s="4" t="str">
        <f>IFERROR(__xludf.DUMMYFUNCTION("""COMPUTED_VALUE"""),"Señal Bolsa de plastico nº 31 TRABAJOS FORESTALES")</f>
        <v>Señal Bolsa de plastico nº 31 TRABAJOS FORESTALES</v>
      </c>
      <c r="C575" s="4">
        <f>IFERROR(__xludf.DUMMYFUNCTION("""COMPUTED_VALUE"""),1.632)</f>
        <v>1.632</v>
      </c>
    </row>
    <row r="576">
      <c r="A576" s="4" t="str">
        <f>IFERROR(__xludf.DUMMYFUNCTION("""COMPUTED_VALUE"""),"432")</f>
        <v>432</v>
      </c>
      <c r="B576" s="4" t="str">
        <f>IFERROR(__xludf.DUMMYFUNCTION("""COMPUTED_VALUE"""),"Señal Bolsa de plastico nº 32 LUZ OBLIGATORIA")</f>
        <v>Señal Bolsa de plastico nº 32 LUZ OBLIGATORIA</v>
      </c>
      <c r="C576" s="4">
        <f>IFERROR(__xludf.DUMMYFUNCTION("""COMPUTED_VALUE"""),1.632)</f>
        <v>1.632</v>
      </c>
    </row>
    <row r="577">
      <c r="A577" s="4" t="str">
        <f>IFERROR(__xludf.DUMMYFUNCTION("""COMPUTED_VALUE"""),"0450A")</f>
        <v>0450A</v>
      </c>
      <c r="B577" s="4" t="str">
        <f>IFERROR(__xludf.DUMMYFUNCTION("""COMPUTED_VALUE"""),"Plantilla señalizacion para suelo 50x50 cm")</f>
        <v>Plantilla señalizacion para suelo 50x50 cm</v>
      </c>
      <c r="C577" s="4">
        <f>IFERROR(__xludf.DUMMYFUNCTION("""COMPUTED_VALUE"""),31.439999999999998)</f>
        <v>31.44</v>
      </c>
    </row>
    <row r="578">
      <c r="A578" s="4" t="str">
        <f>IFERROR(__xludf.DUMMYFUNCTION("""COMPUTED_VALUE"""),"0450B")</f>
        <v>0450B</v>
      </c>
      <c r="B578" s="4" t="str">
        <f>IFERROR(__xludf.DUMMYFUNCTION("""COMPUTED_VALUE"""),"Plantilla señalizacion para suelo 100 x 70 cm")</f>
        <v>Plantilla señalizacion para suelo 100 x 70 cm</v>
      </c>
      <c r="C578" s="4">
        <f>IFERROR(__xludf.DUMMYFUNCTION("""COMPUTED_VALUE"""),45.6192)</f>
        <v>45.6192</v>
      </c>
    </row>
    <row r="579">
      <c r="A579" s="4" t="str">
        <f>IFERROR(__xludf.DUMMYFUNCTION("""COMPUTED_VALUE"""),"0450E")</f>
        <v>0450E</v>
      </c>
      <c r="B579" s="4" t="str">
        <f>IFERROR(__xludf.DUMMYFUNCTION("""COMPUTED_VALUE"""),"Plantilla 60x60 cm carga coche eléctrico")</f>
        <v>Plantilla 60x60 cm carga coche eléctrico</v>
      </c>
      <c r="C579" s="4">
        <f>IFERROR(__xludf.DUMMYFUNCTION("""COMPUTED_VALUE"""),33.744)</f>
        <v>33.744</v>
      </c>
    </row>
    <row r="580">
      <c r="A580" s="4" t="str">
        <f>IFERROR(__xludf.DUMMYFUNCTION("""COMPUTED_VALUE"""),"561")</f>
        <v>561</v>
      </c>
      <c r="B580" s="4" t="str">
        <f>IFERROR(__xludf.DUMMYFUNCTION("""COMPUTED_VALUE"""),"Bolardo composite cuadrado Abatible 70 cm c/llave")</f>
        <v>Bolardo composite cuadrado Abatible 70 cm c/llave</v>
      </c>
      <c r="C580" s="4">
        <f>IFERROR(__xludf.DUMMYFUNCTION("""COMPUTED_VALUE"""),31.439999999999998)</f>
        <v>31.44</v>
      </c>
    </row>
    <row r="581">
      <c r="A581" s="4" t="str">
        <f>IFERROR(__xludf.DUMMYFUNCTION("""COMPUTED_VALUE"""),"562")</f>
        <v>562</v>
      </c>
      <c r="B581" s="4" t="str">
        <f>IFERROR(__xludf.DUMMYFUNCTION("""COMPUTED_VALUE"""),"Bolardo Composite Redondo Abatible 70 cm c/ llave")</f>
        <v>Bolardo Composite Redondo Abatible 70 cm c/ llave</v>
      </c>
      <c r="C581" s="4">
        <f>IFERROR(__xludf.DUMMYFUNCTION("""COMPUTED_VALUE"""),35.76)</f>
        <v>35.76</v>
      </c>
    </row>
    <row r="582">
      <c r="A582" s="4" t="str">
        <f>IFERROR(__xludf.DUMMYFUNCTION("""COMPUTED_VALUE"""),"563")</f>
        <v>563</v>
      </c>
      <c r="B582" s="4" t="str">
        <f>IFERROR(__xludf.DUMMYFUNCTION("""COMPUTED_VALUE"""),"Tensa Cono 9 Mts A/N")</f>
        <v>Tensa Cono 9 Mts A/N</v>
      </c>
      <c r="C582" s="4">
        <f>IFERROR(__xludf.DUMMYFUNCTION("""COMPUTED_VALUE"""),33.12)</f>
        <v>33.12</v>
      </c>
    </row>
    <row r="583">
      <c r="A583" s="4" t="str">
        <f>IFERROR(__xludf.DUMMYFUNCTION("""COMPUTED_VALUE"""),"564")</f>
        <v>564</v>
      </c>
      <c r="B583" s="4" t="str">
        <f>IFERROR(__xludf.DUMMYFUNCTION("""COMPUTED_VALUE"""),"Tensa Cono 9 Mts R/B")</f>
        <v>Tensa Cono 9 Mts R/B</v>
      </c>
      <c r="C583" s="4">
        <f>IFERROR(__xludf.DUMMYFUNCTION("""COMPUTED_VALUE"""),33.12)</f>
        <v>33.12</v>
      </c>
    </row>
    <row r="584">
      <c r="A584" s="4" t="str">
        <f>IFERROR(__xludf.DUMMYFUNCTION("""COMPUTED_VALUE"""),"565")</f>
        <v>565</v>
      </c>
      <c r="B584" s="4" t="str">
        <f>IFERROR(__xludf.DUMMYFUNCTION("""COMPUTED_VALUE"""),"Tensa Cono 3 Mts R/B")</f>
        <v>Tensa Cono 3 Mts R/B</v>
      </c>
      <c r="C584" s="4">
        <f>IFERROR(__xludf.DUMMYFUNCTION("""COMPUTED_VALUE"""),15.36)</f>
        <v>15.36</v>
      </c>
    </row>
    <row r="585">
      <c r="A585" s="4" t="str">
        <f>IFERROR(__xludf.DUMMYFUNCTION("""COMPUTED_VALUE"""),"566")</f>
        <v>566</v>
      </c>
      <c r="B585" s="4" t="str">
        <f>IFERROR(__xludf.DUMMYFUNCTION("""COMPUTED_VALUE"""),"Tensa Cono 3 Mts A/N")</f>
        <v>Tensa Cono 3 Mts A/N</v>
      </c>
      <c r="C585" s="4">
        <f>IFERROR(__xludf.DUMMYFUNCTION("""COMPUTED_VALUE"""),15.36)</f>
        <v>15.36</v>
      </c>
    </row>
    <row r="586">
      <c r="A586" s="4" t="str">
        <f>IFERROR(__xludf.DUMMYFUNCTION("""COMPUTED_VALUE"""),"568")</f>
        <v>568</v>
      </c>
      <c r="B586" s="4" t="str">
        <f>IFERROR(__xludf.DUMMYFUNCTION("""COMPUTED_VALUE"""),"Hito vertice divergente 1200x1300")</f>
        <v>Hito vertice divergente 1200x1300</v>
      </c>
      <c r="C586" s="4">
        <f>IFERROR(__xludf.DUMMYFUNCTION("""COMPUTED_VALUE"""),378.0)</f>
        <v>378</v>
      </c>
    </row>
    <row r="587">
      <c r="A587" s="4" t="str">
        <f>IFERROR(__xludf.DUMMYFUNCTION("""COMPUTED_VALUE"""),"569")</f>
        <v>569</v>
      </c>
      <c r="B587" s="4" t="str">
        <f>IFERROR(__xludf.DUMMYFUNCTION("""COMPUTED_VALUE"""),"Bolardo Acero 100 cm x 8 cm diámetro fijo")</f>
        <v>Bolardo Acero 100 cm x 8 cm diámetro fijo</v>
      </c>
      <c r="C587" s="4">
        <f>IFERROR(__xludf.DUMMYFUNCTION("""COMPUTED_VALUE"""),32.256)</f>
        <v>32.256</v>
      </c>
    </row>
    <row r="588">
      <c r="A588" s="4" t="str">
        <f>IFERROR(__xludf.DUMMYFUNCTION("""COMPUTED_VALUE"""),"0569/PLATO")</f>
        <v>0569/PLATO</v>
      </c>
      <c r="B588" s="4" t="str">
        <f>IFERROR(__xludf.DUMMYFUNCTION("""COMPUTED_VALUE"""),"Bolardo Acero 100 cm x 8 cm diam. c/plato")</f>
        <v>Bolardo Acero 100 cm x 8 cm diam. c/plato</v>
      </c>
      <c r="C588" s="4">
        <f>IFERROR(__xludf.DUMMYFUNCTION("""COMPUTED_VALUE"""),54.432)</f>
        <v>54.432</v>
      </c>
    </row>
    <row r="589">
      <c r="A589" s="4" t="str">
        <f>IFERROR(__xludf.DUMMYFUNCTION("""COMPUTED_VALUE"""),"0569A")</f>
        <v>0569A</v>
      </c>
      <c r="B589" s="4" t="str">
        <f>IFERROR(__xludf.DUMMYFUNCTION("""COMPUTED_VALUE"""),"Bolardo Acero 100 cm x 8 cm diámetro extraíble")</f>
        <v>Bolardo Acero 100 cm x 8 cm diámetro extraíble</v>
      </c>
      <c r="C589" s="4">
        <f>IFERROR(__xludf.DUMMYFUNCTION("""COMPUTED_VALUE"""),38.303999999999995)</f>
        <v>38.304</v>
      </c>
    </row>
    <row r="590">
      <c r="A590" s="4" t="str">
        <f>IFERROR(__xludf.DUMMYFUNCTION("""COMPUTED_VALUE"""),"0569E")</f>
        <v>0569E</v>
      </c>
      <c r="B590" s="4" t="str">
        <f>IFERROR(__xludf.DUMMYFUNCTION("""COMPUTED_VALUE"""),"Base-enganche bolardo Acero")</f>
        <v>Base-enganche bolardo Acero</v>
      </c>
      <c r="C590" s="4">
        <f>IFERROR(__xludf.DUMMYFUNCTION("""COMPUTED_VALUE"""),56.64)</f>
        <v>56.64</v>
      </c>
    </row>
    <row r="591">
      <c r="A591" s="4" t="str">
        <f>IFERROR(__xludf.DUMMYFUNCTION("""COMPUTED_VALUE"""),"0569LL")</f>
        <v>0569LL</v>
      </c>
      <c r="B591" s="4" t="str">
        <f>IFERROR(__xludf.DUMMYFUNCTION("""COMPUTED_VALUE"""),"Llave para enganche bolardo Acero")</f>
        <v>Llave para enganche bolardo Acero</v>
      </c>
      <c r="C591" s="4">
        <f>IFERROR(__xludf.DUMMYFUNCTION("""COMPUTED_VALUE"""),6.048)</f>
        <v>6.048</v>
      </c>
    </row>
    <row r="592">
      <c r="A592" s="4" t="str">
        <f>IFERROR(__xludf.DUMMYFUNCTION("""COMPUTED_VALUE"""),"570")</f>
        <v>570</v>
      </c>
      <c r="B592" s="4" t="str">
        <f>IFERROR(__xludf.DUMMYFUNCTION("""COMPUTED_VALUE"""),"LLave para colocacion HIto H75")</f>
        <v>LLave para colocacion HIto H75</v>
      </c>
      <c r="C592" s="4">
        <f>IFERROR(__xludf.DUMMYFUNCTION("""COMPUTED_VALUE"""),16.272)</f>
        <v>16.272</v>
      </c>
    </row>
    <row r="593">
      <c r="A593" s="4" t="str">
        <f>IFERROR(__xludf.DUMMYFUNCTION("""COMPUTED_VALUE"""),"571")</f>
        <v>571</v>
      </c>
      <c r="B593" s="4" t="str">
        <f>IFERROR(__xludf.DUMMYFUNCTION("""COMPUTED_VALUE"""),"Hito 75 cm c/base basculante Mod. B Verde")</f>
        <v>Hito 75 cm c/base basculante Mod. B Verde</v>
      </c>
      <c r="C593" s="4">
        <f>IFERROR(__xludf.DUMMYFUNCTION("""COMPUTED_VALUE"""),24.96)</f>
        <v>24.96</v>
      </c>
    </row>
    <row r="594">
      <c r="A594" s="4" t="str">
        <f>IFERROR(__xludf.DUMMYFUNCTION("""COMPUTED_VALUE"""),"0571A")</f>
        <v>0571A</v>
      </c>
      <c r="B594" s="4" t="str">
        <f>IFERROR(__xludf.DUMMYFUNCTION("""COMPUTED_VALUE"""),"Hito 75 cm c/base basculante Mod. B Azul")</f>
        <v>Hito 75 cm c/base basculante Mod. B Azul</v>
      </c>
      <c r="C594" s="4">
        <f>IFERROR(__xludf.DUMMYFUNCTION("""COMPUTED_VALUE"""),24.96)</f>
        <v>24.96</v>
      </c>
    </row>
    <row r="595">
      <c r="A595" s="4" t="str">
        <f>IFERROR(__xludf.DUMMYFUNCTION("""COMPUTED_VALUE"""),"574")</f>
        <v>574</v>
      </c>
      <c r="B595" s="4" t="str">
        <f>IFERROR(__xludf.DUMMYFUNCTION("""COMPUTED_VALUE"""),"Hito H-75 Polietileno azul Mod. A")</f>
        <v>Hito H-75 Polietileno azul Mod. A</v>
      </c>
      <c r="C595" s="4">
        <f>IFERROR(__xludf.DUMMYFUNCTION("""COMPUTED_VALUE"""),16.272)</f>
        <v>16.272</v>
      </c>
    </row>
    <row r="596">
      <c r="A596" s="4" t="str">
        <f>IFERROR(__xludf.DUMMYFUNCTION("""COMPUTED_VALUE"""),"0574P")</f>
        <v>0574P</v>
      </c>
      <c r="B596" s="4" t="str">
        <f>IFERROR(__xludf.DUMMYFUNCTION("""COMPUTED_VALUE"""),"Hito H-50 Polietileno azul Mod. A")</f>
        <v>Hito H-50 Polietileno azul Mod. A</v>
      </c>
      <c r="C596" s="4">
        <f>IFERROR(__xludf.DUMMYFUNCTION("""COMPUTED_VALUE"""),13.2)</f>
        <v>13.2</v>
      </c>
    </row>
    <row r="597">
      <c r="A597" s="4" t="str">
        <f>IFERROR(__xludf.DUMMYFUNCTION("""COMPUTED_VALUE"""),"0575A")</f>
        <v>0575A</v>
      </c>
      <c r="B597" s="4" t="str">
        <f>IFERROR(__xludf.DUMMYFUNCTION("""COMPUTED_VALUE"""),"Bandera señalizacion Mod. Basic Amarillo")</f>
        <v>Bandera señalizacion Mod. Basic Amarillo</v>
      </c>
      <c r="C597" s="4">
        <f>IFERROR(__xludf.DUMMYFUNCTION("""COMPUTED_VALUE"""),4.704)</f>
        <v>4.704</v>
      </c>
    </row>
    <row r="598">
      <c r="A598" s="4" t="str">
        <f>IFERROR(__xludf.DUMMYFUNCTION("""COMPUTED_VALUE"""),"0575R")</f>
        <v>0575R</v>
      </c>
      <c r="B598" s="4" t="str">
        <f>IFERROR(__xludf.DUMMYFUNCTION("""COMPUTED_VALUE"""),"Bandera señalizacion Mod. Basic Rojo")</f>
        <v>Bandera señalizacion Mod. Basic Rojo</v>
      </c>
      <c r="C598" s="4">
        <f>IFERROR(__xludf.DUMMYFUNCTION("""COMPUTED_VALUE"""),4.704)</f>
        <v>4.704</v>
      </c>
    </row>
    <row r="599">
      <c r="A599" s="4" t="str">
        <f>IFERROR(__xludf.DUMMYFUNCTION("""COMPUTED_VALUE"""),"0575V")</f>
        <v>0575V</v>
      </c>
      <c r="B599" s="4" t="str">
        <f>IFERROR(__xludf.DUMMYFUNCTION("""COMPUTED_VALUE"""),"Bandera señalizacion Mod. Basic Verde")</f>
        <v>Bandera señalizacion Mod. Basic Verde</v>
      </c>
      <c r="C599" s="4">
        <f>IFERROR(__xludf.DUMMYFUNCTION("""COMPUTED_VALUE"""),4.704)</f>
        <v>4.704</v>
      </c>
    </row>
    <row r="600">
      <c r="A600" s="4" t="str">
        <f>IFERROR(__xludf.DUMMYFUNCTION("""COMPUTED_VALUE"""),"0575Z")</f>
        <v>0575Z</v>
      </c>
      <c r="B600" s="4" t="str">
        <f>IFERROR(__xludf.DUMMYFUNCTION("""COMPUTED_VALUE"""),"Bandera señalizacion Mod. Basic Azul")</f>
        <v>Bandera señalizacion Mod. Basic Azul</v>
      </c>
      <c r="C600" s="4">
        <f>IFERROR(__xludf.DUMMYFUNCTION("""COMPUTED_VALUE"""),4.704)</f>
        <v>4.704</v>
      </c>
    </row>
    <row r="601">
      <c r="A601" s="4" t="str">
        <f>IFERROR(__xludf.DUMMYFUNCTION("""COMPUTED_VALUE"""),"576")</f>
        <v>576</v>
      </c>
      <c r="B601" s="4" t="str">
        <f>IFERROR(__xludf.DUMMYFUNCTION("""COMPUTED_VALUE"""),"Hito H-75 fijo Polietileno verde Mod. A")</f>
        <v>Hito H-75 fijo Polietileno verde Mod. A</v>
      </c>
      <c r="C601" s="4">
        <f>IFERROR(__xludf.DUMMYFUNCTION("""COMPUTED_VALUE"""),16.272)</f>
        <v>16.272</v>
      </c>
    </row>
    <row r="602">
      <c r="A602" s="4" t="str">
        <f>IFERROR(__xludf.DUMMYFUNCTION("""COMPUTED_VALUE"""),"0576P")</f>
        <v>0576P</v>
      </c>
      <c r="B602" s="4" t="str">
        <f>IFERROR(__xludf.DUMMYFUNCTION("""COMPUTED_VALUE"""),"Hito H-50 fijo Polietileno verde Mod. A")</f>
        <v>Hito H-50 fijo Polietileno verde Mod. A</v>
      </c>
      <c r="C602" s="4">
        <f>IFERROR(__xludf.DUMMYFUNCTION("""COMPUTED_VALUE"""),13.2)</f>
        <v>13.2</v>
      </c>
    </row>
    <row r="603">
      <c r="A603" s="4" t="str">
        <f>IFERROR(__xludf.DUMMYFUNCTION("""COMPUTED_VALUE"""),"0576T")</f>
        <v>0576T</v>
      </c>
      <c r="B603" s="4" t="str">
        <f>IFERROR(__xludf.DUMMYFUNCTION("""COMPUTED_VALUE"""),"Tornillo con casquillo para H-75")</f>
        <v>Tornillo con casquillo para H-75</v>
      </c>
      <c r="C603" s="4">
        <f>IFERROR(__xludf.DUMMYFUNCTION("""COMPUTED_VALUE"""),2.064)</f>
        <v>2.064</v>
      </c>
    </row>
    <row r="604">
      <c r="A604" s="4" t="str">
        <f>IFERROR(__xludf.DUMMYFUNCTION("""COMPUTED_VALUE"""),"577")</f>
        <v>577</v>
      </c>
      <c r="B604" s="4" t="str">
        <f>IFERROR(__xludf.DUMMYFUNCTION("""COMPUTED_VALUE"""),"Señal Obra con mango STOP-PASO")</f>
        <v>Señal Obra con mango STOP-PASO</v>
      </c>
      <c r="C604" s="4">
        <f>IFERROR(__xludf.DUMMYFUNCTION("""COMPUTED_VALUE"""),4.704)</f>
        <v>4.704</v>
      </c>
    </row>
    <row r="605">
      <c r="A605" s="4" t="str">
        <f>IFERROR(__xludf.DUMMYFUNCTION("""COMPUTED_VALUE"""),"0577A")</f>
        <v>0577A</v>
      </c>
      <c r="B605" s="4" t="str">
        <f>IFERROR(__xludf.DUMMYFUNCTION("""COMPUTED_VALUE"""),"Señal Stop/Paso con Mango Reforzada aluminio")</f>
        <v>Señal Stop/Paso con Mango Reforzada aluminio</v>
      </c>
      <c r="C605" s="4">
        <f>IFERROR(__xludf.DUMMYFUNCTION("""COMPUTED_VALUE"""),8.64)</f>
        <v>8.64</v>
      </c>
    </row>
    <row r="606">
      <c r="A606" s="4" t="str">
        <f>IFERROR(__xludf.DUMMYFUNCTION("""COMPUTED_VALUE"""),"0577B")</f>
        <v>0577B</v>
      </c>
      <c r="B606" s="4" t="str">
        <f>IFERROR(__xludf.DUMMYFUNCTION("""COMPUTED_VALUE"""),"Señal Obra con mango STOP-PASO 1.5 m")</f>
        <v>Señal Obra con mango STOP-PASO 1.5 m</v>
      </c>
      <c r="C606" s="4">
        <f>IFERROR(__xludf.DUMMYFUNCTION("""COMPUTED_VALUE"""),7.4399999999999995)</f>
        <v>7.44</v>
      </c>
    </row>
    <row r="607">
      <c r="A607" s="4" t="str">
        <f>IFERROR(__xludf.DUMMYFUNCTION("""COMPUTED_VALUE"""),"578")</f>
        <v>578</v>
      </c>
      <c r="B607" s="4" t="str">
        <f>IFERROR(__xludf.DUMMYFUNCTION("""COMPUTED_VALUE"""),"Soporte metálica para señal bolsa")</f>
        <v>Soporte metálica para señal bolsa</v>
      </c>
      <c r="C607" s="4">
        <f>IFERROR(__xludf.DUMMYFUNCTION("""COMPUTED_VALUE"""),15.12)</f>
        <v>15.12</v>
      </c>
    </row>
    <row r="608">
      <c r="A608" s="4" t="str">
        <f>IFERROR(__xludf.DUMMYFUNCTION("""COMPUTED_VALUE"""),"0579A")</f>
        <v>0579A</v>
      </c>
      <c r="B608" s="4" t="str">
        <f>IFERROR(__xludf.DUMMYFUNCTION("""COMPUTED_VALUE"""),"Pilona extraible PVC-EVA 810 mm Amarilla")</f>
        <v>Pilona extraible PVC-EVA 810 mm Amarilla</v>
      </c>
      <c r="C608" s="4">
        <f>IFERROR(__xludf.DUMMYFUNCTION("""COMPUTED_VALUE"""),44.16)</f>
        <v>44.16</v>
      </c>
    </row>
    <row r="609">
      <c r="A609" s="4" t="str">
        <f>IFERROR(__xludf.DUMMYFUNCTION("""COMPUTED_VALUE"""),"0579B")</f>
        <v>0579B</v>
      </c>
      <c r="B609" s="4" t="str">
        <f>IFERROR(__xludf.DUMMYFUNCTION("""COMPUTED_VALUE"""),"Sistema extraible para pilona 0579")</f>
        <v>Sistema extraible para pilona 0579</v>
      </c>
      <c r="C609" s="4">
        <f>IFERROR(__xludf.DUMMYFUNCTION("""COMPUTED_VALUE"""),34.2048)</f>
        <v>34.2048</v>
      </c>
    </row>
    <row r="610">
      <c r="A610" s="4" t="str">
        <f>IFERROR(__xludf.DUMMYFUNCTION("""COMPUTED_VALUE"""),"0579LL")</f>
        <v>0579LL</v>
      </c>
      <c r="B610" s="4" t="str">
        <f>IFERROR(__xludf.DUMMYFUNCTION("""COMPUTED_VALUE"""),"Llave para pilona extraible 0579")</f>
        <v>Llave para pilona extraible 0579</v>
      </c>
      <c r="C610" s="4">
        <f>IFERROR(__xludf.DUMMYFUNCTION("""COMPUTED_VALUE"""),7.68)</f>
        <v>7.68</v>
      </c>
    </row>
    <row r="611">
      <c r="A611" s="4" t="str">
        <f>IFERROR(__xludf.DUMMYFUNCTION("""COMPUTED_VALUE"""),"0579N")</f>
        <v>0579N</v>
      </c>
      <c r="B611" s="4" t="str">
        <f>IFERROR(__xludf.DUMMYFUNCTION("""COMPUTED_VALUE"""),"Pilona Extraíble PVC-EVA 810 mm Negro")</f>
        <v>Pilona Extraíble PVC-EVA 810 mm Negro</v>
      </c>
      <c r="C611" s="4">
        <f>IFERROR(__xludf.DUMMYFUNCTION("""COMPUTED_VALUE"""),44.16)</f>
        <v>44.16</v>
      </c>
    </row>
    <row r="612">
      <c r="A612" s="4" t="str">
        <f>IFERROR(__xludf.DUMMYFUNCTION("""COMPUTED_VALUE"""),"0579R")</f>
        <v>0579R</v>
      </c>
      <c r="B612" s="4" t="str">
        <f>IFERROR(__xludf.DUMMYFUNCTION("""COMPUTED_VALUE"""),"Pilona extraible PVC-EVA 810 mm Rojo")</f>
        <v>Pilona extraible PVC-EVA 810 mm Rojo</v>
      </c>
      <c r="C612" s="4">
        <f>IFERROR(__xludf.DUMMYFUNCTION("""COMPUTED_VALUE"""),44.16)</f>
        <v>44.16</v>
      </c>
    </row>
    <row r="613">
      <c r="A613" s="4" t="str">
        <f>IFERROR(__xludf.DUMMYFUNCTION("""COMPUTED_VALUE"""),"0579V")</f>
        <v>0579V</v>
      </c>
      <c r="B613" s="4" t="str">
        <f>IFERROR(__xludf.DUMMYFUNCTION("""COMPUTED_VALUE"""),"Pilona extraible PVC-EVA 810 mm Verde")</f>
        <v>Pilona extraible PVC-EVA 810 mm Verde</v>
      </c>
      <c r="C613" s="4">
        <f>IFERROR(__xludf.DUMMYFUNCTION("""COMPUTED_VALUE"""),44.16)</f>
        <v>44.16</v>
      </c>
    </row>
    <row r="614">
      <c r="A614" s="4" t="str">
        <f>IFERROR(__xludf.DUMMYFUNCTION("""COMPUTED_VALUE"""),"0579Z")</f>
        <v>0579Z</v>
      </c>
      <c r="B614" s="4" t="str">
        <f>IFERROR(__xludf.DUMMYFUNCTION("""COMPUTED_VALUE"""),"Pilona extraible PVC-EVA 810 mm Azul")</f>
        <v>Pilona extraible PVC-EVA 810 mm Azul</v>
      </c>
      <c r="C614" s="4">
        <f>IFERROR(__xludf.DUMMYFUNCTION("""COMPUTED_VALUE"""),44.16)</f>
        <v>44.16</v>
      </c>
    </row>
    <row r="615">
      <c r="A615" s="4" t="str">
        <f>IFERROR(__xludf.DUMMYFUNCTION("""COMPUTED_VALUE"""),"0580A")</f>
        <v>0580A</v>
      </c>
      <c r="B615" s="4" t="str">
        <f>IFERROR(__xludf.DUMMYFUNCTION("""COMPUTED_VALUE"""),"Pilona fija PVC-EVA 810 mm Amarillo con peana")</f>
        <v>Pilona fija PVC-EVA 810 mm Amarillo con peana</v>
      </c>
      <c r="C615" s="4">
        <f>IFERROR(__xludf.DUMMYFUNCTION("""COMPUTED_VALUE"""),45.12)</f>
        <v>45.12</v>
      </c>
    </row>
    <row r="616">
      <c r="A616" s="4" t="str">
        <f>IFERROR(__xludf.DUMMYFUNCTION("""COMPUTED_VALUE"""),"0580N")</f>
        <v>0580N</v>
      </c>
      <c r="B616" s="4" t="str">
        <f>IFERROR(__xludf.DUMMYFUNCTION("""COMPUTED_VALUE"""),"Pilona fija PVC-EVA 810 mm Negro con peana")</f>
        <v>Pilona fija PVC-EVA 810 mm Negro con peana</v>
      </c>
      <c r="C616" s="4">
        <f>IFERROR(__xludf.DUMMYFUNCTION("""COMPUTED_VALUE"""),45.12)</f>
        <v>45.12</v>
      </c>
    </row>
    <row r="617">
      <c r="A617" s="4" t="str">
        <f>IFERROR(__xludf.DUMMYFUNCTION("""COMPUTED_VALUE"""),"0580R")</f>
        <v>0580R</v>
      </c>
      <c r="B617" s="4" t="str">
        <f>IFERROR(__xludf.DUMMYFUNCTION("""COMPUTED_VALUE"""),"Pilona fija PVC-EVA 810 mm Rojo con peana")</f>
        <v>Pilona fija PVC-EVA 810 mm Rojo con peana</v>
      </c>
      <c r="C617" s="4">
        <f>IFERROR(__xludf.DUMMYFUNCTION("""COMPUTED_VALUE"""),45.12)</f>
        <v>45.12</v>
      </c>
    </row>
    <row r="618">
      <c r="A618" s="4" t="str">
        <f>IFERROR(__xludf.DUMMYFUNCTION("""COMPUTED_VALUE"""),"0580V")</f>
        <v>0580V</v>
      </c>
      <c r="B618" s="4" t="str">
        <f>IFERROR(__xludf.DUMMYFUNCTION("""COMPUTED_VALUE"""),"Pilona fija PVC-EVA 810 mm Verde con peana")</f>
        <v>Pilona fija PVC-EVA 810 mm Verde con peana</v>
      </c>
      <c r="C618" s="4">
        <f>IFERROR(__xludf.DUMMYFUNCTION("""COMPUTED_VALUE"""),45.12)</f>
        <v>45.12</v>
      </c>
    </row>
    <row r="619">
      <c r="A619" s="4" t="str">
        <f>IFERROR(__xludf.DUMMYFUNCTION("""COMPUTED_VALUE"""),"0580Z")</f>
        <v>0580Z</v>
      </c>
      <c r="B619" s="4" t="str">
        <f>IFERROR(__xludf.DUMMYFUNCTION("""COMPUTED_VALUE"""),"Pilona fija PVC-EVA 810 mm Azul con peana")</f>
        <v>Pilona fija PVC-EVA 810 mm Azul con peana</v>
      </c>
      <c r="C619" s="4">
        <f>IFERROR(__xludf.DUMMYFUNCTION("""COMPUTED_VALUE"""),45.12)</f>
        <v>45.12</v>
      </c>
    </row>
    <row r="620">
      <c r="A620" s="4" t="str">
        <f>IFERROR(__xludf.DUMMYFUNCTION("""COMPUTED_VALUE"""),"581")</f>
        <v>581</v>
      </c>
      <c r="B620" s="4" t="str">
        <f>IFERROR(__xludf.DUMMYFUNCTION("""COMPUTED_VALUE"""),"Hito 100 cm PVC blando Naranja Mod.J")</f>
        <v>Hito 100 cm PVC blando Naranja Mod.J</v>
      </c>
      <c r="C620" s="4">
        <f>IFERROR(__xludf.DUMMYFUNCTION("""COMPUTED_VALUE"""),21.216)</f>
        <v>21.216</v>
      </c>
    </row>
    <row r="621">
      <c r="A621" s="4" t="str">
        <f>IFERROR(__xludf.DUMMYFUNCTION("""COMPUTED_VALUE"""),"0581A")</f>
        <v>0581A</v>
      </c>
      <c r="B621" s="4" t="str">
        <f>IFERROR(__xludf.DUMMYFUNCTION("""COMPUTED_VALUE"""),"Hito 100 cm PVC blando Azul Mod.J")</f>
        <v>Hito 100 cm PVC blando Azul Mod.J</v>
      </c>
      <c r="C621" s="4">
        <f>IFERROR(__xludf.DUMMYFUNCTION("""COMPUTED_VALUE"""),21.216)</f>
        <v>21.216</v>
      </c>
    </row>
    <row r="622">
      <c r="A622" s="4" t="str">
        <f>IFERROR(__xludf.DUMMYFUNCTION("""COMPUTED_VALUE"""),"0581AM")</f>
        <v>0581AM</v>
      </c>
      <c r="B622" s="4" t="str">
        <f>IFERROR(__xludf.DUMMYFUNCTION("""COMPUTED_VALUE"""),"Hito 100 cm PVC blando Amarillo Mod.J")</f>
        <v>Hito 100 cm PVC blando Amarillo Mod.J</v>
      </c>
      <c r="C622" s="4">
        <f>IFERROR(__xludf.DUMMYFUNCTION("""COMPUTED_VALUE"""),21.216)</f>
        <v>21.216</v>
      </c>
    </row>
    <row r="623">
      <c r="A623" s="4" t="str">
        <f>IFERROR(__xludf.DUMMYFUNCTION("""COMPUTED_VALUE"""),"0581B")</f>
        <v>0581B</v>
      </c>
      <c r="B623" s="4" t="str">
        <f>IFERROR(__xludf.DUMMYFUNCTION("""COMPUTED_VALUE"""),"Hito 100 cm PVC blando Blanco Mod.J")</f>
        <v>Hito 100 cm PVC blando Blanco Mod.J</v>
      </c>
      <c r="C623" s="4">
        <f>IFERROR(__xludf.DUMMYFUNCTION("""COMPUTED_VALUE"""),21.216)</f>
        <v>21.216</v>
      </c>
    </row>
    <row r="624">
      <c r="A624" s="4" t="str">
        <f>IFERROR(__xludf.DUMMYFUNCTION("""COMPUTED_VALUE"""),"0581NE")</f>
        <v>0581NE</v>
      </c>
      <c r="B624" s="4" t="str">
        <f>IFERROR(__xludf.DUMMYFUNCTION("""COMPUTED_VALUE"""),"Hito 100 cm PVC blando Negro Mod.J")</f>
        <v>Hito 100 cm PVC blando Negro Mod.J</v>
      </c>
      <c r="C624" s="4">
        <f>IFERROR(__xludf.DUMMYFUNCTION("""COMPUTED_VALUE"""),21.216)</f>
        <v>21.216</v>
      </c>
    </row>
    <row r="625">
      <c r="A625" s="4" t="str">
        <f>IFERROR(__xludf.DUMMYFUNCTION("""COMPUTED_VALUE"""),"0581R")</f>
        <v>0581R</v>
      </c>
      <c r="B625" s="4" t="str">
        <f>IFERROR(__xludf.DUMMYFUNCTION("""COMPUTED_VALUE"""),"Hito 100 cm PVC blando Rojo Mod.J")</f>
        <v>Hito 100 cm PVC blando Rojo Mod.J</v>
      </c>
      <c r="C625" s="4">
        <f>IFERROR(__xludf.DUMMYFUNCTION("""COMPUTED_VALUE"""),21.216)</f>
        <v>21.216</v>
      </c>
    </row>
    <row r="626">
      <c r="A626" s="4" t="str">
        <f>IFERROR(__xludf.DUMMYFUNCTION("""COMPUTED_VALUE"""),"0581V")</f>
        <v>0581V</v>
      </c>
      <c r="B626" s="4" t="str">
        <f>IFERROR(__xludf.DUMMYFUNCTION("""COMPUTED_VALUE"""),"Hito 100 cm PVC blando Verde Mod.J")</f>
        <v>Hito 100 cm PVC blando Verde Mod.J</v>
      </c>
      <c r="C626" s="4">
        <f>IFERROR(__xludf.DUMMYFUNCTION("""COMPUTED_VALUE"""),21.216)</f>
        <v>21.216</v>
      </c>
    </row>
    <row r="627">
      <c r="A627" s="4" t="str">
        <f>IFERROR(__xludf.DUMMYFUNCTION("""COMPUTED_VALUE"""),"582")</f>
        <v>582</v>
      </c>
      <c r="B627" s="4" t="str">
        <f>IFERROR(__xludf.DUMMYFUNCTION("""COMPUTED_VALUE"""),"Hito H-75 flexible E.V.A. verde Mod. C Plus")</f>
        <v>Hito H-75 flexible E.V.A. verde Mod. C Plus</v>
      </c>
      <c r="C627" s="4">
        <f>IFERROR(__xludf.DUMMYFUNCTION("""COMPUTED_VALUE"""),21.36)</f>
        <v>21.36</v>
      </c>
    </row>
    <row r="628">
      <c r="A628" s="4" t="str">
        <f>IFERROR(__xludf.DUMMYFUNCTION("""COMPUTED_VALUE"""),"0582P")</f>
        <v>0582P</v>
      </c>
      <c r="B628" s="4" t="str">
        <f>IFERROR(__xludf.DUMMYFUNCTION("""COMPUTED_VALUE"""),"Hito H-50 flexible E.V.A. verde Mod. C Plus")</f>
        <v>Hito H-50 flexible E.V.A. verde Mod. C Plus</v>
      </c>
      <c r="C628" s="4">
        <f>IFERROR(__xludf.DUMMYFUNCTION("""COMPUTED_VALUE"""),15.6)</f>
        <v>15.6</v>
      </c>
    </row>
    <row r="629">
      <c r="A629" s="4" t="str">
        <f>IFERROR(__xludf.DUMMYFUNCTION("""COMPUTED_VALUE"""),"583")</f>
        <v>583</v>
      </c>
      <c r="B629" s="4" t="str">
        <f>IFERROR(__xludf.DUMMYFUNCTION("""COMPUTED_VALUE"""),"Hito H-75 flexible E.V.A. azul Mod. C Plus")</f>
        <v>Hito H-75 flexible E.V.A. azul Mod. C Plus</v>
      </c>
      <c r="C629" s="4">
        <f>IFERROR(__xludf.DUMMYFUNCTION("""COMPUTED_VALUE"""),21.36)</f>
        <v>21.36</v>
      </c>
    </row>
    <row r="630">
      <c r="A630" s="4" t="str">
        <f>IFERROR(__xludf.DUMMYFUNCTION("""COMPUTED_VALUE"""),"0583P")</f>
        <v>0583P</v>
      </c>
      <c r="B630" s="4" t="str">
        <f>IFERROR(__xludf.DUMMYFUNCTION("""COMPUTED_VALUE"""),"Hito H-50 flexible E.V.A. azul Mod. C Plus")</f>
        <v>Hito H-50 flexible E.V.A. azul Mod. C Plus</v>
      </c>
      <c r="C630" s="4">
        <f>IFERROR(__xludf.DUMMYFUNCTION("""COMPUTED_VALUE"""),15.6)</f>
        <v>15.6</v>
      </c>
    </row>
    <row r="631">
      <c r="A631" s="4" t="str">
        <f>IFERROR(__xludf.DUMMYFUNCTION("""COMPUTED_VALUE"""),"584")</f>
        <v>584</v>
      </c>
      <c r="B631" s="4" t="str">
        <f>IFERROR(__xludf.DUMMYFUNCTION("""COMPUTED_VALUE"""),"Hito H-75 flexible E.V.A. rojo Mod. C Plus")</f>
        <v>Hito H-75 flexible E.V.A. rojo Mod. C Plus</v>
      </c>
      <c r="C631" s="4">
        <f>IFERROR(__xludf.DUMMYFUNCTION("""COMPUTED_VALUE"""),21.36)</f>
        <v>21.36</v>
      </c>
    </row>
    <row r="632">
      <c r="A632" s="4" t="str">
        <f>IFERROR(__xludf.DUMMYFUNCTION("""COMPUTED_VALUE"""),"0584P")</f>
        <v>0584P</v>
      </c>
      <c r="B632" s="4" t="str">
        <f>IFERROR(__xludf.DUMMYFUNCTION("""COMPUTED_VALUE"""),"Hito H-50 flexible E.V.A. rojo Mod. C Plus")</f>
        <v>Hito H-50 flexible E.V.A. rojo Mod. C Plus</v>
      </c>
      <c r="C632" s="4">
        <f>IFERROR(__xludf.DUMMYFUNCTION("""COMPUTED_VALUE"""),15.6)</f>
        <v>15.6</v>
      </c>
    </row>
    <row r="633">
      <c r="A633" s="4" t="str">
        <f>IFERROR(__xludf.DUMMYFUNCTION("""COMPUTED_VALUE"""),"585")</f>
        <v>585</v>
      </c>
      <c r="B633" s="4" t="str">
        <f>IFERROR(__xludf.DUMMYFUNCTION("""COMPUTED_VALUE"""),"Hito H-75 flexible E.V.A. amarillo Mod. C plus")</f>
        <v>Hito H-75 flexible E.V.A. amarillo Mod. C plus</v>
      </c>
      <c r="C633" s="4">
        <f>IFERROR(__xludf.DUMMYFUNCTION("""COMPUTED_VALUE"""),21.168)</f>
        <v>21.168</v>
      </c>
    </row>
    <row r="634">
      <c r="A634" s="4" t="str">
        <f>IFERROR(__xludf.DUMMYFUNCTION("""COMPUTED_VALUE"""),"0585P")</f>
        <v>0585P</v>
      </c>
      <c r="B634" s="4" t="str">
        <f>IFERROR(__xludf.DUMMYFUNCTION("""COMPUTED_VALUE"""),"Hito H-50 flexible E.V.A. amarillo Mod. C Plus")</f>
        <v>Hito H-50 flexible E.V.A. amarillo Mod. C Plus</v>
      </c>
      <c r="C634" s="4">
        <f>IFERROR(__xludf.DUMMYFUNCTION("""COMPUTED_VALUE"""),15.6)</f>
        <v>15.6</v>
      </c>
    </row>
    <row r="635">
      <c r="A635" s="4" t="str">
        <f>IFERROR(__xludf.DUMMYFUNCTION("""COMPUTED_VALUE"""),"586")</f>
        <v>586</v>
      </c>
      <c r="B635" s="4" t="str">
        <f>IFERROR(__xludf.DUMMYFUNCTION("""COMPUTED_VALUE"""),"Hito H-75 fijo Polietileno rojo Mod. A")</f>
        <v>Hito H-75 fijo Polietileno rojo Mod. A</v>
      </c>
      <c r="C635" s="4">
        <f>IFERROR(__xludf.DUMMYFUNCTION("""COMPUTED_VALUE"""),16.272)</f>
        <v>16.272</v>
      </c>
    </row>
    <row r="636">
      <c r="A636" s="4" t="str">
        <f>IFERROR(__xludf.DUMMYFUNCTION("""COMPUTED_VALUE"""),"0586P")</f>
        <v>0586P</v>
      </c>
      <c r="B636" s="4" t="str">
        <f>IFERROR(__xludf.DUMMYFUNCTION("""COMPUTED_VALUE"""),"Hito H-50 fijo Polietilieno rojo Mod. A")</f>
        <v>Hito H-50 fijo Polietilieno rojo Mod. A</v>
      </c>
      <c r="C636" s="4">
        <f>IFERROR(__xludf.DUMMYFUNCTION("""COMPUTED_VALUE"""),13.2)</f>
        <v>13.2</v>
      </c>
    </row>
    <row r="637">
      <c r="A637" s="4" t="str">
        <f>IFERROR(__xludf.DUMMYFUNCTION("""COMPUTED_VALUE"""),"587")</f>
        <v>587</v>
      </c>
      <c r="B637" s="4" t="str">
        <f>IFERROR(__xludf.DUMMYFUNCTION("""COMPUTED_VALUE"""),"Hito H-75 fijo Polietileno amarillo Mod. A")</f>
        <v>Hito H-75 fijo Polietileno amarillo Mod. A</v>
      </c>
      <c r="C637" s="4">
        <f>IFERROR(__xludf.DUMMYFUNCTION("""COMPUTED_VALUE"""),16.272)</f>
        <v>16.272</v>
      </c>
    </row>
    <row r="638">
      <c r="A638" s="4" t="str">
        <f>IFERROR(__xludf.DUMMYFUNCTION("""COMPUTED_VALUE"""),"0587P")</f>
        <v>0587P</v>
      </c>
      <c r="B638" s="4" t="str">
        <f>IFERROR(__xludf.DUMMYFUNCTION("""COMPUTED_VALUE"""),"Hito H-50 Polietileno amarillo Mod. A")</f>
        <v>Hito H-50 Polietileno amarillo Mod. A</v>
      </c>
      <c r="C638" s="4">
        <f>IFERROR(__xludf.DUMMYFUNCTION("""COMPUTED_VALUE"""),13.2)</f>
        <v>13.2</v>
      </c>
    </row>
    <row r="639">
      <c r="A639" s="4" t="str">
        <f>IFERROR(__xludf.DUMMYFUNCTION("""COMPUTED_VALUE"""),"588")</f>
        <v>588</v>
      </c>
      <c r="B639" s="4" t="str">
        <f>IFERROR(__xludf.DUMMYFUNCTION("""COMPUTED_VALUE"""),"Hito 75 cm PVC blando Naranja Mod. E")</f>
        <v>Hito 75 cm PVC blando Naranja Mod. E</v>
      </c>
      <c r="C639" s="4">
        <f>IFERROR(__xludf.DUMMYFUNCTION("""COMPUTED_VALUE"""),13.2)</f>
        <v>13.2</v>
      </c>
    </row>
    <row r="640">
      <c r="A640" s="4" t="str">
        <f>IFERROR(__xludf.DUMMYFUNCTION("""COMPUTED_VALUE"""),"0588A")</f>
        <v>0588A</v>
      </c>
      <c r="B640" s="4" t="str">
        <f>IFERROR(__xludf.DUMMYFUNCTION("""COMPUTED_VALUE"""),"Hito 75 cm PVC blando Azul Mod. E")</f>
        <v>Hito 75 cm PVC blando Azul Mod. E</v>
      </c>
      <c r="C640" s="4">
        <f>IFERROR(__xludf.DUMMYFUNCTION("""COMPUTED_VALUE"""),13.2)</f>
        <v>13.2</v>
      </c>
    </row>
    <row r="641">
      <c r="A641" s="4" t="str">
        <f>IFERROR(__xludf.DUMMYFUNCTION("""COMPUTED_VALUE"""),"0588AM")</f>
        <v>0588AM</v>
      </c>
      <c r="B641" s="4" t="str">
        <f>IFERROR(__xludf.DUMMYFUNCTION("""COMPUTED_VALUE"""),"Hito 75 cm PVC blando Amarillo Mod. E")</f>
        <v>Hito 75 cm PVC blando Amarillo Mod. E</v>
      </c>
      <c r="C641" s="4">
        <f>IFERROR(__xludf.DUMMYFUNCTION("""COMPUTED_VALUE"""),13.2)</f>
        <v>13.2</v>
      </c>
    </row>
    <row r="642">
      <c r="A642" s="4" t="str">
        <f>IFERROR(__xludf.DUMMYFUNCTION("""COMPUTED_VALUE"""),"0588B")</f>
        <v>0588B</v>
      </c>
      <c r="B642" s="4" t="str">
        <f>IFERROR(__xludf.DUMMYFUNCTION("""COMPUTED_VALUE"""),"HIto 75 cm PVC blando Blanco Mod. E")</f>
        <v>HIto 75 cm PVC blando Blanco Mod. E</v>
      </c>
      <c r="C642" s="4">
        <f>IFERROR(__xludf.DUMMYFUNCTION("""COMPUTED_VALUE"""),13.2)</f>
        <v>13.2</v>
      </c>
    </row>
    <row r="643">
      <c r="A643" s="4" t="str">
        <f>IFERROR(__xludf.DUMMYFUNCTION("""COMPUTED_VALUE"""),"0588NE")</f>
        <v>0588NE</v>
      </c>
      <c r="B643" s="4" t="str">
        <f>IFERROR(__xludf.DUMMYFUNCTION("""COMPUTED_VALUE"""),"Hito 75 cm PVC blando Negro Mod. E")</f>
        <v>Hito 75 cm PVC blando Negro Mod. E</v>
      </c>
      <c r="C643" s="4">
        <f>IFERROR(__xludf.DUMMYFUNCTION("""COMPUTED_VALUE"""),13.2)</f>
        <v>13.2</v>
      </c>
    </row>
    <row r="644">
      <c r="A644" s="4" t="str">
        <f>IFERROR(__xludf.DUMMYFUNCTION("""COMPUTED_VALUE"""),"0588R")</f>
        <v>0588R</v>
      </c>
      <c r="B644" s="4" t="str">
        <f>IFERROR(__xludf.DUMMYFUNCTION("""COMPUTED_VALUE"""),"Hito 75 cm PVC blando Rojo Mod. E")</f>
        <v>Hito 75 cm PVC blando Rojo Mod. E</v>
      </c>
      <c r="C644" s="4">
        <f>IFERROR(__xludf.DUMMYFUNCTION("""COMPUTED_VALUE"""),13.2)</f>
        <v>13.2</v>
      </c>
    </row>
    <row r="645">
      <c r="A645" s="4" t="str">
        <f>IFERROR(__xludf.DUMMYFUNCTION("""COMPUTED_VALUE"""),"0588V")</f>
        <v>0588V</v>
      </c>
      <c r="B645" s="4" t="str">
        <f>IFERROR(__xludf.DUMMYFUNCTION("""COMPUTED_VALUE"""),"Hito 75 cm PVC blando Verde Mod. E")</f>
        <v>Hito 75 cm PVC blando Verde Mod. E</v>
      </c>
      <c r="C645" s="4">
        <f>IFERROR(__xludf.DUMMYFUNCTION("""COMPUTED_VALUE"""),13.2)</f>
        <v>13.2</v>
      </c>
    </row>
    <row r="646">
      <c r="A646" s="4" t="str">
        <f>IFERROR(__xludf.DUMMYFUNCTION("""COMPUTED_VALUE"""),"589")</f>
        <v>589</v>
      </c>
      <c r="B646" s="4" t="str">
        <f>IFERROR(__xludf.DUMMYFUNCTION("""COMPUTED_VALUE"""),"Hito 45 cm PVC blando Naranja Mod. F")</f>
        <v>Hito 45 cm PVC blando Naranja Mod. F</v>
      </c>
      <c r="C646" s="4">
        <f>IFERROR(__xludf.DUMMYFUNCTION("""COMPUTED_VALUE"""),7.92)</f>
        <v>7.92</v>
      </c>
    </row>
    <row r="647">
      <c r="A647" s="4" t="str">
        <f>IFERROR(__xludf.DUMMYFUNCTION("""COMPUTED_VALUE"""),"590")</f>
        <v>590</v>
      </c>
      <c r="B647" s="4" t="str">
        <f>IFERROR(__xludf.DUMMYFUNCTION("""COMPUTED_VALUE"""),"Captafaros flexible p/muro doble lente blanco/amarillo")</f>
        <v>Captafaros flexible p/muro doble lente blanco/amarillo</v>
      </c>
      <c r="C647" s="4">
        <f>IFERROR(__xludf.DUMMYFUNCTION("""COMPUTED_VALUE"""),4.512)</f>
        <v>4.512</v>
      </c>
    </row>
    <row r="648">
      <c r="A648" s="4" t="str">
        <f>IFERROR(__xludf.DUMMYFUNCTION("""COMPUTED_VALUE"""),"591")</f>
        <v>591</v>
      </c>
      <c r="B648" s="4" t="str">
        <f>IFERROR(__xludf.DUMMYFUNCTION("""COMPUTED_VALUE"""),"Captafaros doble lente blanco/amarillo 3M")</f>
        <v>Captafaros doble lente blanco/amarillo 3M</v>
      </c>
      <c r="C648" s="4">
        <f>IFERROR(__xludf.DUMMYFUNCTION("""COMPUTED_VALUE"""),2.976)</f>
        <v>2.976</v>
      </c>
    </row>
    <row r="649">
      <c r="A649" s="4" t="str">
        <f>IFERROR(__xludf.DUMMYFUNCTION("""COMPUTED_VALUE"""),"0591A")</f>
        <v>0591A</v>
      </c>
      <c r="B649" s="4" t="str">
        <f>IFERROR(__xludf.DUMMYFUNCTION("""COMPUTED_VALUE"""),"Captafaros doble lente Blanco/Amarillo Autoadhesivo 3M")</f>
        <v>Captafaros doble lente Blanco/Amarillo Autoadhesivo 3M</v>
      </c>
      <c r="C649" s="4">
        <f>IFERROR(__xludf.DUMMYFUNCTION("""COMPUTED_VALUE"""),4.224)</f>
        <v>4.224</v>
      </c>
    </row>
    <row r="650">
      <c r="A650" s="4" t="str">
        <f>IFERROR(__xludf.DUMMYFUNCTION("""COMPUTED_VALUE"""),"0591B")</f>
        <v>0591B</v>
      </c>
      <c r="B650" s="4" t="str">
        <f>IFERROR(__xludf.DUMMYFUNCTION("""COMPUTED_VALUE"""),"Captafaros doble lente Blanco/blanco 3M")</f>
        <v>Captafaros doble lente Blanco/blanco 3M</v>
      </c>
      <c r="C650" s="4">
        <f>IFERROR(__xludf.DUMMYFUNCTION("""COMPUTED_VALUE"""),2.976)</f>
        <v>2.976</v>
      </c>
    </row>
    <row r="651">
      <c r="A651" s="4" t="str">
        <f>IFERROR(__xludf.DUMMYFUNCTION("""COMPUTED_VALUE"""),"0591BA")</f>
        <v>0591BA</v>
      </c>
      <c r="B651" s="4" t="str">
        <f>IFERROR(__xludf.DUMMYFUNCTION("""COMPUTED_VALUE"""),"Captafaros doble lente Blanco/Blanco Autoadhesivo 3M")</f>
        <v>Captafaros doble lente Blanco/Blanco Autoadhesivo 3M</v>
      </c>
      <c r="C651" s="4">
        <f>IFERROR(__xludf.DUMMYFUNCTION("""COMPUTED_VALUE"""),4.224)</f>
        <v>4.224</v>
      </c>
    </row>
    <row r="652">
      <c r="A652" s="4" t="str">
        <f>IFERROR(__xludf.DUMMYFUNCTION("""COMPUTED_VALUE"""),"0592/A")</f>
        <v>0592/A</v>
      </c>
      <c r="B652" s="4" t="str">
        <f>IFERROR(__xludf.DUMMYFUNCTION("""COMPUTED_VALUE"""),"Delineador de Barrera LDS Amarillo 86x15,3 cm")</f>
        <v>Delineador de Barrera LDS Amarillo 86x15,3 cm</v>
      </c>
      <c r="C652" s="4">
        <f>IFERROR(__xludf.DUMMYFUNCTION("""COMPUTED_VALUE"""),19.151999999999997)</f>
        <v>19.152</v>
      </c>
    </row>
    <row r="653">
      <c r="A653" s="4" t="str">
        <f>IFERROR(__xludf.DUMMYFUNCTION("""COMPUTED_VALUE"""),"0592/B")</f>
        <v>0592/B</v>
      </c>
      <c r="B653" s="4" t="str">
        <f>IFERROR(__xludf.DUMMYFUNCTION("""COMPUTED_VALUE"""),"Delineador de Barrera LDS Blanco 86x15,3 cm")</f>
        <v>Delineador de Barrera LDS Blanco 86x15,3 cm</v>
      </c>
      <c r="C653" s="4">
        <f>IFERROR(__xludf.DUMMYFUNCTION("""COMPUTED_VALUE"""),19.151999999999997)</f>
        <v>19.152</v>
      </c>
    </row>
    <row r="654">
      <c r="A654" s="4" t="str">
        <f>IFERROR(__xludf.DUMMYFUNCTION("""COMPUTED_VALUE"""),"0592/R")</f>
        <v>0592/R</v>
      </c>
      <c r="B654" s="4" t="str">
        <f>IFERROR(__xludf.DUMMYFUNCTION("""COMPUTED_VALUE"""),"Delineador de Barrera LDS Rojo 86x15,3 cm")</f>
        <v>Delineador de Barrera LDS Rojo 86x15,3 cm</v>
      </c>
      <c r="C654" s="4">
        <f>IFERROR(__xludf.DUMMYFUNCTION("""COMPUTED_VALUE"""),19.151999999999997)</f>
        <v>19.152</v>
      </c>
    </row>
    <row r="655">
      <c r="A655" s="4" t="str">
        <f>IFERROR(__xludf.DUMMYFUNCTION("""COMPUTED_VALUE"""),"593")</f>
        <v>593</v>
      </c>
      <c r="B655" s="4" t="str">
        <f>IFERROR(__xludf.DUMMYFUNCTION("""COMPUTED_VALUE"""),"Hito Basculante Flexible 75 cm Mod. G + base")</f>
        <v>Hito Basculante Flexible 75 cm Mod. G + base</v>
      </c>
      <c r="C655" s="4">
        <f>IFERROR(__xludf.DUMMYFUNCTION("""COMPUTED_VALUE"""),23.856)</f>
        <v>23.856</v>
      </c>
    </row>
    <row r="656">
      <c r="A656" s="4" t="str">
        <f>IFERROR(__xludf.DUMMYFUNCTION("""COMPUTED_VALUE"""),"594")</f>
        <v>594</v>
      </c>
      <c r="B656" s="4" t="str">
        <f>IFERROR(__xludf.DUMMYFUNCTION("""COMPUTED_VALUE"""),"Panel señal. vertical R/B reflectante 2 caras")</f>
        <v>Panel señal. vertical R/B reflectante 2 caras</v>
      </c>
      <c r="C656" s="4">
        <f>IFERROR(__xludf.DUMMYFUNCTION("""COMPUTED_VALUE"""),17.52)</f>
        <v>17.52</v>
      </c>
    </row>
    <row r="657">
      <c r="A657" s="4" t="str">
        <f>IFERROR(__xludf.DUMMYFUNCTION("""COMPUTED_VALUE"""),"595")</f>
        <v>595</v>
      </c>
      <c r="B657" s="4" t="str">
        <f>IFERROR(__xludf.DUMMYFUNCTION("""COMPUTED_VALUE"""),"Conjunto manga viento + poste y rótula")</f>
        <v>Conjunto manga viento + poste y rótula</v>
      </c>
      <c r="C657" s="4">
        <f>IFERROR(__xludf.DUMMYFUNCTION("""COMPUTED_VALUE"""),897.12)</f>
        <v>897.12</v>
      </c>
    </row>
    <row r="658">
      <c r="A658" s="4" t="str">
        <f>IFERROR(__xludf.DUMMYFUNCTION("""COMPUTED_VALUE"""),"596")</f>
        <v>596</v>
      </c>
      <c r="B658" s="4" t="str">
        <f>IFERROR(__xludf.DUMMYFUNCTION("""COMPUTED_VALUE"""),"Mástil Manga viento c/ rótula 400cm x 8cm diam x 2mm")</f>
        <v>Mástil Manga viento c/ rótula 400cm x 8cm diam x 2mm</v>
      </c>
      <c r="C658" s="4">
        <f>IFERROR(__xludf.DUMMYFUNCTION("""COMPUTED_VALUE"""),453.59999999999997)</f>
        <v>453.6</v>
      </c>
    </row>
    <row r="659">
      <c r="A659" s="4" t="str">
        <f>IFERROR(__xludf.DUMMYFUNCTION("""COMPUTED_VALUE"""),"597")</f>
        <v>597</v>
      </c>
      <c r="B659" s="4" t="str">
        <f>IFERROR(__xludf.DUMMYFUNCTION("""COMPUTED_VALUE"""),"Manga de viento c/aro 400x150mm L.1600mm")</f>
        <v>Manga de viento c/aro 400x150mm L.1600mm</v>
      </c>
      <c r="C659" s="4">
        <f>IFERROR(__xludf.DUMMYFUNCTION("""COMPUTED_VALUE"""),282.24)</f>
        <v>282.24</v>
      </c>
    </row>
    <row r="660">
      <c r="A660" s="4" t="str">
        <f>IFERROR(__xludf.DUMMYFUNCTION("""COMPUTED_VALUE"""),"598")</f>
        <v>598</v>
      </c>
      <c r="B660" s="4" t="str">
        <f>IFERROR(__xludf.DUMMYFUNCTION("""COMPUTED_VALUE"""),"Rótula para manga viento")</f>
        <v>Rótula para manga viento</v>
      </c>
      <c r="C660" s="4">
        <f>IFERROR(__xludf.DUMMYFUNCTION("""COMPUTED_VALUE"""),95.75999999999999)</f>
        <v>95.76</v>
      </c>
    </row>
    <row r="661">
      <c r="A661" s="4" t="str">
        <f>IFERROR(__xludf.DUMMYFUNCTION("""COMPUTED_VALUE"""),"600")</f>
        <v>600</v>
      </c>
      <c r="B661" s="4" t="str">
        <f>IFERROR(__xludf.DUMMYFUNCTION("""COMPUTED_VALUE"""),"Señal metalica TP-3")</f>
        <v>Señal metalica TP-3</v>
      </c>
      <c r="C661" s="4">
        <f>IFERROR(__xludf.DUMMYFUNCTION("""COMPUTED_VALUE"""),10.799999999999999)</f>
        <v>10.8</v>
      </c>
    </row>
    <row r="662">
      <c r="A662" s="4" t="str">
        <f>IFERROR(__xludf.DUMMYFUNCTION("""COMPUTED_VALUE"""),"0600D")</f>
        <v>0600D</v>
      </c>
      <c r="B662" s="4" t="str">
        <f>IFERROR(__xludf.DUMMYFUNCTION("""COMPUTED_VALUE"""),"Señal metalica P-3")</f>
        <v>Señal metalica P-3</v>
      </c>
      <c r="C662" s="4">
        <f>IFERROR(__xludf.DUMMYFUNCTION("""COMPUTED_VALUE"""),10.799999999999999)</f>
        <v>10.8</v>
      </c>
    </row>
    <row r="663">
      <c r="A663" s="4" t="str">
        <f>IFERROR(__xludf.DUMMYFUNCTION("""COMPUTED_VALUE"""),"601")</f>
        <v>601</v>
      </c>
      <c r="B663" s="4" t="str">
        <f>IFERROR(__xludf.DUMMYFUNCTION("""COMPUTED_VALUE"""),"Señal metalica TP-13a")</f>
        <v>Señal metalica TP-13a</v>
      </c>
      <c r="C663" s="4">
        <f>IFERROR(__xludf.DUMMYFUNCTION("""COMPUTED_VALUE"""),10.799999999999999)</f>
        <v>10.8</v>
      </c>
    </row>
    <row r="664">
      <c r="A664" s="4" t="str">
        <f>IFERROR(__xludf.DUMMYFUNCTION("""COMPUTED_VALUE"""),"0601D")</f>
        <v>0601D</v>
      </c>
      <c r="B664" s="4" t="str">
        <f>IFERROR(__xludf.DUMMYFUNCTION("""COMPUTED_VALUE"""),"Señal metalica P-13a")</f>
        <v>Señal metalica P-13a</v>
      </c>
      <c r="C664" s="4">
        <f>IFERROR(__xludf.DUMMYFUNCTION("""COMPUTED_VALUE"""),10.799999999999999)</f>
        <v>10.8</v>
      </c>
    </row>
    <row r="665">
      <c r="A665" s="4" t="str">
        <f>IFERROR(__xludf.DUMMYFUNCTION("""COMPUTED_VALUE"""),"602")</f>
        <v>602</v>
      </c>
      <c r="B665" s="4" t="str">
        <f>IFERROR(__xludf.DUMMYFUNCTION("""COMPUTED_VALUE"""),"Señal metalica TP-13b")</f>
        <v>Señal metalica TP-13b</v>
      </c>
      <c r="C665" s="4">
        <f>IFERROR(__xludf.DUMMYFUNCTION("""COMPUTED_VALUE"""),10.799999999999999)</f>
        <v>10.8</v>
      </c>
    </row>
    <row r="666">
      <c r="A666" s="4" t="str">
        <f>IFERROR(__xludf.DUMMYFUNCTION("""COMPUTED_VALUE"""),"0602D")</f>
        <v>0602D</v>
      </c>
      <c r="B666" s="4" t="str">
        <f>IFERROR(__xludf.DUMMYFUNCTION("""COMPUTED_VALUE"""),"Señal metalica P-13b")</f>
        <v>Señal metalica P-13b</v>
      </c>
      <c r="C666" s="4">
        <f>IFERROR(__xludf.DUMMYFUNCTION("""COMPUTED_VALUE"""),10.799999999999999)</f>
        <v>10.8</v>
      </c>
    </row>
    <row r="667">
      <c r="A667" s="4" t="str">
        <f>IFERROR(__xludf.DUMMYFUNCTION("""COMPUTED_VALUE"""),"603")</f>
        <v>603</v>
      </c>
      <c r="B667" s="4" t="str">
        <f>IFERROR(__xludf.DUMMYFUNCTION("""COMPUTED_VALUE"""),"Señal metalica TP-14a")</f>
        <v>Señal metalica TP-14a</v>
      </c>
      <c r="C667" s="4">
        <f>IFERROR(__xludf.DUMMYFUNCTION("""COMPUTED_VALUE"""),10.799999999999999)</f>
        <v>10.8</v>
      </c>
    </row>
    <row r="668">
      <c r="A668" s="4" t="str">
        <f>IFERROR(__xludf.DUMMYFUNCTION("""COMPUTED_VALUE"""),"0603D")</f>
        <v>0603D</v>
      </c>
      <c r="B668" s="4" t="str">
        <f>IFERROR(__xludf.DUMMYFUNCTION("""COMPUTED_VALUE"""),"Señal metalica P-14a")</f>
        <v>Señal metalica P-14a</v>
      </c>
      <c r="C668" s="4">
        <f>IFERROR(__xludf.DUMMYFUNCTION("""COMPUTED_VALUE"""),10.799999999999999)</f>
        <v>10.8</v>
      </c>
    </row>
    <row r="669">
      <c r="A669" s="4" t="str">
        <f>IFERROR(__xludf.DUMMYFUNCTION("""COMPUTED_VALUE"""),"604")</f>
        <v>604</v>
      </c>
      <c r="B669" s="4" t="str">
        <f>IFERROR(__xludf.DUMMYFUNCTION("""COMPUTED_VALUE"""),"Señal metalica TP-14b")</f>
        <v>Señal metalica TP-14b</v>
      </c>
      <c r="C669" s="4">
        <f>IFERROR(__xludf.DUMMYFUNCTION("""COMPUTED_VALUE"""),10.799999999999999)</f>
        <v>10.8</v>
      </c>
    </row>
    <row r="670">
      <c r="A670" s="4" t="str">
        <f>IFERROR(__xludf.DUMMYFUNCTION("""COMPUTED_VALUE"""),"0604D")</f>
        <v>0604D</v>
      </c>
      <c r="B670" s="4" t="str">
        <f>IFERROR(__xludf.DUMMYFUNCTION("""COMPUTED_VALUE"""),"Señal metalica P-14b")</f>
        <v>Señal metalica P-14b</v>
      </c>
      <c r="C670" s="4">
        <f>IFERROR(__xludf.DUMMYFUNCTION("""COMPUTED_VALUE"""),10.799999999999999)</f>
        <v>10.8</v>
      </c>
    </row>
    <row r="671">
      <c r="A671" s="4" t="str">
        <f>IFERROR(__xludf.DUMMYFUNCTION("""COMPUTED_VALUE"""),"605")</f>
        <v>605</v>
      </c>
      <c r="B671" s="4" t="str">
        <f>IFERROR(__xludf.DUMMYFUNCTION("""COMPUTED_VALUE"""),"Señal metalica TP-15")</f>
        <v>Señal metalica TP-15</v>
      </c>
      <c r="C671" s="4">
        <f>IFERROR(__xludf.DUMMYFUNCTION("""COMPUTED_VALUE"""),10.799999999999999)</f>
        <v>10.8</v>
      </c>
    </row>
    <row r="672">
      <c r="A672" s="4" t="str">
        <f>IFERROR(__xludf.DUMMYFUNCTION("""COMPUTED_VALUE"""),"0605D")</f>
        <v>0605D</v>
      </c>
      <c r="B672" s="4" t="str">
        <f>IFERROR(__xludf.DUMMYFUNCTION("""COMPUTED_VALUE"""),"Señal metalica P-15")</f>
        <v>Señal metalica P-15</v>
      </c>
      <c r="C672" s="4">
        <f>IFERROR(__xludf.DUMMYFUNCTION("""COMPUTED_VALUE"""),10.799999999999999)</f>
        <v>10.8</v>
      </c>
    </row>
    <row r="673">
      <c r="A673" s="4" t="str">
        <f>IFERROR(__xludf.DUMMYFUNCTION("""COMPUTED_VALUE"""),"606")</f>
        <v>606</v>
      </c>
      <c r="B673" s="4" t="str">
        <f>IFERROR(__xludf.DUMMYFUNCTION("""COMPUTED_VALUE"""),"Señal metalica TP-15a")</f>
        <v>Señal metalica TP-15a</v>
      </c>
      <c r="C673" s="4">
        <f>IFERROR(__xludf.DUMMYFUNCTION("""COMPUTED_VALUE"""),10.799999999999999)</f>
        <v>10.8</v>
      </c>
    </row>
    <row r="674">
      <c r="A674" s="4" t="str">
        <f>IFERROR(__xludf.DUMMYFUNCTION("""COMPUTED_VALUE"""),"0606D")</f>
        <v>0606D</v>
      </c>
      <c r="B674" s="4" t="str">
        <f>IFERROR(__xludf.DUMMYFUNCTION("""COMPUTED_VALUE"""),"Señal metalica P-15a")</f>
        <v>Señal metalica P-15a</v>
      </c>
      <c r="C674" s="4">
        <f>IFERROR(__xludf.DUMMYFUNCTION("""COMPUTED_VALUE"""),10.799999999999999)</f>
        <v>10.8</v>
      </c>
    </row>
    <row r="675">
      <c r="A675" s="4" t="str">
        <f>IFERROR(__xludf.DUMMYFUNCTION("""COMPUTED_VALUE"""),"607")</f>
        <v>607</v>
      </c>
      <c r="B675" s="4" t="str">
        <f>IFERROR(__xludf.DUMMYFUNCTION("""COMPUTED_VALUE"""),"Señal metalica TP-15b")</f>
        <v>Señal metalica TP-15b</v>
      </c>
      <c r="C675" s="4">
        <f>IFERROR(__xludf.DUMMYFUNCTION("""COMPUTED_VALUE"""),10.799999999999999)</f>
        <v>10.8</v>
      </c>
    </row>
    <row r="676">
      <c r="A676" s="4" t="str">
        <f>IFERROR(__xludf.DUMMYFUNCTION("""COMPUTED_VALUE"""),"0607D")</f>
        <v>0607D</v>
      </c>
      <c r="B676" s="4" t="str">
        <f>IFERROR(__xludf.DUMMYFUNCTION("""COMPUTED_VALUE"""),"Señal metalica P-15b")</f>
        <v>Señal metalica P-15b</v>
      </c>
      <c r="C676" s="4">
        <f>IFERROR(__xludf.DUMMYFUNCTION("""COMPUTED_VALUE"""),10.799999999999999)</f>
        <v>10.8</v>
      </c>
    </row>
    <row r="677">
      <c r="A677" s="4" t="str">
        <f>IFERROR(__xludf.DUMMYFUNCTION("""COMPUTED_VALUE"""),"608")</f>
        <v>608</v>
      </c>
      <c r="B677" s="4" t="str">
        <f>IFERROR(__xludf.DUMMYFUNCTION("""COMPUTED_VALUE"""),"Señal metalica TP-17")</f>
        <v>Señal metalica TP-17</v>
      </c>
      <c r="C677" s="4">
        <f>IFERROR(__xludf.DUMMYFUNCTION("""COMPUTED_VALUE"""),10.799999999999999)</f>
        <v>10.8</v>
      </c>
    </row>
    <row r="678">
      <c r="A678" s="4" t="str">
        <f>IFERROR(__xludf.DUMMYFUNCTION("""COMPUTED_VALUE"""),"0608D")</f>
        <v>0608D</v>
      </c>
      <c r="B678" s="4" t="str">
        <f>IFERROR(__xludf.DUMMYFUNCTION("""COMPUTED_VALUE"""),"Señal metalica P-17")</f>
        <v>Señal metalica P-17</v>
      </c>
      <c r="C678" s="4">
        <f>IFERROR(__xludf.DUMMYFUNCTION("""COMPUTED_VALUE"""),10.799999999999999)</f>
        <v>10.8</v>
      </c>
    </row>
    <row r="679">
      <c r="A679" s="4" t="str">
        <f>IFERROR(__xludf.DUMMYFUNCTION("""COMPUTED_VALUE"""),"609")</f>
        <v>609</v>
      </c>
      <c r="B679" s="4" t="str">
        <f>IFERROR(__xludf.DUMMYFUNCTION("""COMPUTED_VALUE"""),"Señal metalica TP-17b")</f>
        <v>Señal metalica TP-17b</v>
      </c>
      <c r="C679" s="4">
        <f>IFERROR(__xludf.DUMMYFUNCTION("""COMPUTED_VALUE"""),10.799999999999999)</f>
        <v>10.8</v>
      </c>
    </row>
    <row r="680">
      <c r="A680" s="4" t="str">
        <f>IFERROR(__xludf.DUMMYFUNCTION("""COMPUTED_VALUE"""),"0609D")</f>
        <v>0609D</v>
      </c>
      <c r="B680" s="4" t="str">
        <f>IFERROR(__xludf.DUMMYFUNCTION("""COMPUTED_VALUE"""),"Señal metalica P-17b")</f>
        <v>Señal metalica P-17b</v>
      </c>
      <c r="C680" s="4">
        <f>IFERROR(__xludf.DUMMYFUNCTION("""COMPUTED_VALUE"""),10.799999999999999)</f>
        <v>10.8</v>
      </c>
    </row>
    <row r="681">
      <c r="A681" s="4" t="str">
        <f>IFERROR(__xludf.DUMMYFUNCTION("""COMPUTED_VALUE"""),"610")</f>
        <v>610</v>
      </c>
      <c r="B681" s="4" t="str">
        <f>IFERROR(__xludf.DUMMYFUNCTION("""COMPUTED_VALUE"""),"Señal metalica TP-17a")</f>
        <v>Señal metalica TP-17a</v>
      </c>
      <c r="C681" s="4">
        <f>IFERROR(__xludf.DUMMYFUNCTION("""COMPUTED_VALUE"""),10.799999999999999)</f>
        <v>10.8</v>
      </c>
    </row>
    <row r="682">
      <c r="A682" s="4" t="str">
        <f>IFERROR(__xludf.DUMMYFUNCTION("""COMPUTED_VALUE"""),"0610D")</f>
        <v>0610D</v>
      </c>
      <c r="B682" s="4" t="str">
        <f>IFERROR(__xludf.DUMMYFUNCTION("""COMPUTED_VALUE"""),"Señal metalica P-17a")</f>
        <v>Señal metalica P-17a</v>
      </c>
      <c r="C682" s="4">
        <f>IFERROR(__xludf.DUMMYFUNCTION("""COMPUTED_VALUE"""),10.799999999999999)</f>
        <v>10.8</v>
      </c>
    </row>
    <row r="683">
      <c r="A683" s="4" t="str">
        <f>IFERROR(__xludf.DUMMYFUNCTION("""COMPUTED_VALUE"""),"611")</f>
        <v>611</v>
      </c>
      <c r="B683" s="4" t="str">
        <f>IFERROR(__xludf.DUMMYFUNCTION("""COMPUTED_VALUE"""),"Señal metalica TP-18")</f>
        <v>Señal metalica TP-18</v>
      </c>
      <c r="C683" s="4">
        <f>IFERROR(__xludf.DUMMYFUNCTION("""COMPUTED_VALUE"""),10.799999999999999)</f>
        <v>10.8</v>
      </c>
    </row>
    <row r="684">
      <c r="A684" s="4" t="str">
        <f>IFERROR(__xludf.DUMMYFUNCTION("""COMPUTED_VALUE"""),"0611D")</f>
        <v>0611D</v>
      </c>
      <c r="B684" s="4" t="str">
        <f>IFERROR(__xludf.DUMMYFUNCTION("""COMPUTED_VALUE"""),"Señal metalica P-18")</f>
        <v>Señal metalica P-18</v>
      </c>
      <c r="C684" s="4">
        <f>IFERROR(__xludf.DUMMYFUNCTION("""COMPUTED_VALUE"""),10.799999999999999)</f>
        <v>10.8</v>
      </c>
    </row>
    <row r="685">
      <c r="A685" s="4" t="str">
        <f>IFERROR(__xludf.DUMMYFUNCTION("""COMPUTED_VALUE"""),"612")</f>
        <v>612</v>
      </c>
      <c r="B685" s="4" t="str">
        <f>IFERROR(__xludf.DUMMYFUNCTION("""COMPUTED_VALUE"""),"Señal metalica TP-19")</f>
        <v>Señal metalica TP-19</v>
      </c>
      <c r="C685" s="4">
        <f>IFERROR(__xludf.DUMMYFUNCTION("""COMPUTED_VALUE"""),10.799999999999999)</f>
        <v>10.8</v>
      </c>
    </row>
    <row r="686">
      <c r="A686" s="4" t="str">
        <f>IFERROR(__xludf.DUMMYFUNCTION("""COMPUTED_VALUE"""),"0612D")</f>
        <v>0612D</v>
      </c>
      <c r="B686" s="4" t="str">
        <f>IFERROR(__xludf.DUMMYFUNCTION("""COMPUTED_VALUE"""),"Señal metalica P-19")</f>
        <v>Señal metalica P-19</v>
      </c>
      <c r="C686" s="4">
        <f>IFERROR(__xludf.DUMMYFUNCTION("""COMPUTED_VALUE"""),10.799999999999999)</f>
        <v>10.8</v>
      </c>
    </row>
    <row r="687">
      <c r="A687" s="4" t="str">
        <f>IFERROR(__xludf.DUMMYFUNCTION("""COMPUTED_VALUE"""),"613")</f>
        <v>613</v>
      </c>
      <c r="B687" s="4" t="str">
        <f>IFERROR(__xludf.DUMMYFUNCTION("""COMPUTED_VALUE"""),"Señal metalica TP-25")</f>
        <v>Señal metalica TP-25</v>
      </c>
      <c r="C687" s="4">
        <f>IFERROR(__xludf.DUMMYFUNCTION("""COMPUTED_VALUE"""),10.799999999999999)</f>
        <v>10.8</v>
      </c>
    </row>
    <row r="688">
      <c r="A688" s="4" t="str">
        <f>IFERROR(__xludf.DUMMYFUNCTION("""COMPUTED_VALUE"""),"0613D")</f>
        <v>0613D</v>
      </c>
      <c r="B688" s="4" t="str">
        <f>IFERROR(__xludf.DUMMYFUNCTION("""COMPUTED_VALUE"""),"Señal metalica P-25")</f>
        <v>Señal metalica P-25</v>
      </c>
      <c r="C688" s="4">
        <f>IFERROR(__xludf.DUMMYFUNCTION("""COMPUTED_VALUE"""),10.799999999999999)</f>
        <v>10.8</v>
      </c>
    </row>
    <row r="689">
      <c r="A689" s="4" t="str">
        <f>IFERROR(__xludf.DUMMYFUNCTION("""COMPUTED_VALUE"""),"614")</f>
        <v>614</v>
      </c>
      <c r="B689" s="4" t="str">
        <f>IFERROR(__xludf.DUMMYFUNCTION("""COMPUTED_VALUE"""),"Señal metalica TP-26")</f>
        <v>Señal metalica TP-26</v>
      </c>
      <c r="C689" s="4">
        <f>IFERROR(__xludf.DUMMYFUNCTION("""COMPUTED_VALUE"""),10.799999999999999)</f>
        <v>10.8</v>
      </c>
    </row>
    <row r="690">
      <c r="A690" s="4" t="str">
        <f>IFERROR(__xludf.DUMMYFUNCTION("""COMPUTED_VALUE"""),"0614D")</f>
        <v>0614D</v>
      </c>
      <c r="B690" s="4" t="str">
        <f>IFERROR(__xludf.DUMMYFUNCTION("""COMPUTED_VALUE"""),"Señal metalica P-26")</f>
        <v>Señal metalica P-26</v>
      </c>
      <c r="C690" s="4">
        <f>IFERROR(__xludf.DUMMYFUNCTION("""COMPUTED_VALUE"""),10.799999999999999)</f>
        <v>10.8</v>
      </c>
    </row>
    <row r="691">
      <c r="A691" s="4" t="str">
        <f>IFERROR(__xludf.DUMMYFUNCTION("""COMPUTED_VALUE"""),"615")</f>
        <v>615</v>
      </c>
      <c r="B691" s="4" t="str">
        <f>IFERROR(__xludf.DUMMYFUNCTION("""COMPUTED_VALUE"""),"Señal metalica TP-28")</f>
        <v>Señal metalica TP-28</v>
      </c>
      <c r="C691" s="4">
        <f>IFERROR(__xludf.DUMMYFUNCTION("""COMPUTED_VALUE"""),10.799999999999999)</f>
        <v>10.8</v>
      </c>
    </row>
    <row r="692">
      <c r="A692" s="4" t="str">
        <f>IFERROR(__xludf.DUMMYFUNCTION("""COMPUTED_VALUE"""),"0615D")</f>
        <v>0615D</v>
      </c>
      <c r="B692" s="4" t="str">
        <f>IFERROR(__xludf.DUMMYFUNCTION("""COMPUTED_VALUE"""),"Señal metalica P-28")</f>
        <v>Señal metalica P-28</v>
      </c>
      <c r="C692" s="4">
        <f>IFERROR(__xludf.DUMMYFUNCTION("""COMPUTED_VALUE"""),10.799999999999999)</f>
        <v>10.8</v>
      </c>
    </row>
    <row r="693">
      <c r="A693" s="4" t="str">
        <f>IFERROR(__xludf.DUMMYFUNCTION("""COMPUTED_VALUE"""),"616")</f>
        <v>616</v>
      </c>
      <c r="B693" s="4" t="str">
        <f>IFERROR(__xludf.DUMMYFUNCTION("""COMPUTED_VALUE"""),"Señal metalica TP-30")</f>
        <v>Señal metalica TP-30</v>
      </c>
      <c r="C693" s="4">
        <f>IFERROR(__xludf.DUMMYFUNCTION("""COMPUTED_VALUE"""),10.799999999999999)</f>
        <v>10.8</v>
      </c>
    </row>
    <row r="694">
      <c r="A694" s="4" t="str">
        <f>IFERROR(__xludf.DUMMYFUNCTION("""COMPUTED_VALUE"""),"0616B")</f>
        <v>0616B</v>
      </c>
      <c r="B694" s="4" t="str">
        <f>IFERROR(__xludf.DUMMYFUNCTION("""COMPUTED_VALUE"""),"Cartel PVC 42x42 Fotolum. Salida emergencia derecha")</f>
        <v>Cartel PVC 42x42 Fotolum. Salida emergencia derecha</v>
      </c>
      <c r="C694" s="4">
        <f>IFERROR(__xludf.DUMMYFUNCTION("""COMPUTED_VALUE"""),3.7439999999999998)</f>
        <v>3.744</v>
      </c>
    </row>
    <row r="695">
      <c r="A695" s="4" t="str">
        <f>IFERROR(__xludf.DUMMYFUNCTION("""COMPUTED_VALUE"""),"0616C")</f>
        <v>0616C</v>
      </c>
      <c r="B695" s="4" t="str">
        <f>IFERROR(__xludf.DUMMYFUNCTION("""COMPUTED_VALUE"""),"Cartel PVC 63x63 Fotolum. Salida emergencia derecha")</f>
        <v>Cartel PVC 63x63 Fotolum. Salida emergencia derecha</v>
      </c>
      <c r="C695" s="4">
        <f>IFERROR(__xludf.DUMMYFUNCTION("""COMPUTED_VALUE"""),6.0)</f>
        <v>6</v>
      </c>
    </row>
    <row r="696">
      <c r="A696" s="4" t="str">
        <f>IFERROR(__xludf.DUMMYFUNCTION("""COMPUTED_VALUE"""),"0616D")</f>
        <v>0616D</v>
      </c>
      <c r="B696" s="4" t="str">
        <f>IFERROR(__xludf.DUMMYFUNCTION("""COMPUTED_VALUE"""),"Señal metalica P-30")</f>
        <v>Señal metalica P-30</v>
      </c>
      <c r="C696" s="4">
        <f>IFERROR(__xludf.DUMMYFUNCTION("""COMPUTED_VALUE"""),10.799999999999999)</f>
        <v>10.8</v>
      </c>
    </row>
    <row r="697">
      <c r="A697" s="4" t="str">
        <f>IFERROR(__xludf.DUMMYFUNCTION("""COMPUTED_VALUE"""),"617")</f>
        <v>617</v>
      </c>
      <c r="B697" s="4" t="str">
        <f>IFERROR(__xludf.DUMMYFUNCTION("""COMPUTED_VALUE"""),"Señal metalica TP-50")</f>
        <v>Señal metalica TP-50</v>
      </c>
      <c r="C697" s="4">
        <f>IFERROR(__xludf.DUMMYFUNCTION("""COMPUTED_VALUE"""),10.799999999999999)</f>
        <v>10.8</v>
      </c>
    </row>
    <row r="698">
      <c r="A698" s="4" t="str">
        <f>IFERROR(__xludf.DUMMYFUNCTION("""COMPUTED_VALUE"""),"0617D")</f>
        <v>0617D</v>
      </c>
      <c r="B698" s="4" t="str">
        <f>IFERROR(__xludf.DUMMYFUNCTION("""COMPUTED_VALUE"""),"Señal metalica P-50")</f>
        <v>Señal metalica P-50</v>
      </c>
      <c r="C698" s="4">
        <f>IFERROR(__xludf.DUMMYFUNCTION("""COMPUTED_VALUE"""),10.799999999999999)</f>
        <v>10.8</v>
      </c>
    </row>
    <row r="699">
      <c r="A699" s="4" t="str">
        <f>IFERROR(__xludf.DUMMYFUNCTION("""COMPUTED_VALUE"""),"619")</f>
        <v>619</v>
      </c>
      <c r="B699" s="4" t="str">
        <f>IFERROR(__xludf.DUMMYFUNCTION("""COMPUTED_VALUE"""),"Señal metalica TP-4")</f>
        <v>Señal metalica TP-4</v>
      </c>
      <c r="C699" s="4">
        <f>IFERROR(__xludf.DUMMYFUNCTION("""COMPUTED_VALUE"""),10.799999999999999)</f>
        <v>10.8</v>
      </c>
    </row>
    <row r="700">
      <c r="A700" s="4" t="str">
        <f>IFERROR(__xludf.DUMMYFUNCTION("""COMPUTED_VALUE"""),"0619D")</f>
        <v>0619D</v>
      </c>
      <c r="B700" s="4" t="str">
        <f>IFERROR(__xludf.DUMMYFUNCTION("""COMPUTED_VALUE"""),"Señal metalica P-4")</f>
        <v>Señal metalica P-4</v>
      </c>
      <c r="C700" s="4">
        <f>IFERROR(__xludf.DUMMYFUNCTION("""COMPUTED_VALUE"""),10.799999999999999)</f>
        <v>10.8</v>
      </c>
    </row>
    <row r="701">
      <c r="A701" s="4" t="str">
        <f>IFERROR(__xludf.DUMMYFUNCTION("""COMPUTED_VALUE"""),"620")</f>
        <v>620</v>
      </c>
      <c r="B701" s="4" t="str">
        <f>IFERROR(__xludf.DUMMYFUNCTION("""COMPUTED_VALUE"""),"Señal metalica TR-1")</f>
        <v>Señal metalica TR-1</v>
      </c>
      <c r="C701" s="4">
        <f>IFERROR(__xludf.DUMMYFUNCTION("""COMPUTED_VALUE"""),10.799999999999999)</f>
        <v>10.8</v>
      </c>
    </row>
    <row r="702">
      <c r="A702" s="4" t="str">
        <f>IFERROR(__xludf.DUMMYFUNCTION("""COMPUTED_VALUE"""),"0620D")</f>
        <v>0620D</v>
      </c>
      <c r="B702" s="4" t="str">
        <f>IFERROR(__xludf.DUMMYFUNCTION("""COMPUTED_VALUE"""),"Señal metalica R-1")</f>
        <v>Señal metalica R-1</v>
      </c>
      <c r="C702" s="4">
        <f>IFERROR(__xludf.DUMMYFUNCTION("""COMPUTED_VALUE"""),10.799999999999999)</f>
        <v>10.8</v>
      </c>
    </row>
    <row r="703">
      <c r="A703" s="4" t="str">
        <f>IFERROR(__xludf.DUMMYFUNCTION("""COMPUTED_VALUE"""),"624")</f>
        <v>624</v>
      </c>
      <c r="B703" s="4" t="str">
        <f>IFERROR(__xludf.DUMMYFUNCTION("""COMPUTED_VALUE"""),"Señal metalica Minusvalidos M-1")</f>
        <v>Señal metalica Minusvalidos M-1</v>
      </c>
      <c r="C703" s="4">
        <f>IFERROR(__xludf.DUMMYFUNCTION("""COMPUTED_VALUE"""),10.799999999999999)</f>
        <v>10.8</v>
      </c>
    </row>
    <row r="704">
      <c r="A704" s="4" t="str">
        <f>IFERROR(__xludf.DUMMYFUNCTION("""COMPUTED_VALUE"""),"625")</f>
        <v>625</v>
      </c>
      <c r="B704" s="4" t="str">
        <f>IFERROR(__xludf.DUMMYFUNCTION("""COMPUTED_VALUE"""),"Señal metalica S-13")</f>
        <v>Señal metalica S-13</v>
      </c>
      <c r="C704" s="4">
        <f>IFERROR(__xludf.DUMMYFUNCTION("""COMPUTED_VALUE"""),10.799999999999999)</f>
        <v>10.8</v>
      </c>
    </row>
    <row r="705">
      <c r="A705" s="4" t="str">
        <f>IFERROR(__xludf.DUMMYFUNCTION("""COMPUTED_VALUE"""),"628")</f>
        <v>628</v>
      </c>
      <c r="B705" s="4" t="str">
        <f>IFERROR(__xludf.DUMMYFUNCTION("""COMPUTED_VALUE"""),"Señal metalica R-402")</f>
        <v>Señal metalica R-402</v>
      </c>
      <c r="C705" s="4">
        <f>IFERROR(__xludf.DUMMYFUNCTION("""COMPUTED_VALUE"""),10.799999999999999)</f>
        <v>10.8</v>
      </c>
    </row>
    <row r="706">
      <c r="A706" s="4" t="str">
        <f>IFERROR(__xludf.DUMMYFUNCTION("""COMPUTED_VALUE"""),"629")</f>
        <v>629</v>
      </c>
      <c r="B706" s="4" t="str">
        <f>IFERROR(__xludf.DUMMYFUNCTION("""COMPUTED_VALUE"""),"Señal metalica TR-100")</f>
        <v>Señal metalica TR-100</v>
      </c>
      <c r="C706" s="4">
        <f>IFERROR(__xludf.DUMMYFUNCTION("""COMPUTED_VALUE"""),10.799999999999999)</f>
        <v>10.8</v>
      </c>
    </row>
    <row r="707">
      <c r="A707" s="4" t="str">
        <f>IFERROR(__xludf.DUMMYFUNCTION("""COMPUTED_VALUE"""),"0629D")</f>
        <v>0629D</v>
      </c>
      <c r="B707" s="4" t="str">
        <f>IFERROR(__xludf.DUMMYFUNCTION("""COMPUTED_VALUE"""),"Señal metalica R-100")</f>
        <v>Señal metalica R-100</v>
      </c>
      <c r="C707" s="4">
        <f>IFERROR(__xludf.DUMMYFUNCTION("""COMPUTED_VALUE"""),10.799999999999999)</f>
        <v>10.8</v>
      </c>
    </row>
    <row r="708">
      <c r="A708" s="4" t="str">
        <f>IFERROR(__xludf.DUMMYFUNCTION("""COMPUTED_VALUE"""),"630")</f>
        <v>630</v>
      </c>
      <c r="B708" s="4" t="str">
        <f>IFERROR(__xludf.DUMMYFUNCTION("""COMPUTED_VALUE"""),"Señal metalica TR-305")</f>
        <v>Señal metalica TR-305</v>
      </c>
      <c r="C708" s="4">
        <f>IFERROR(__xludf.DUMMYFUNCTION("""COMPUTED_VALUE"""),10.799999999999999)</f>
        <v>10.8</v>
      </c>
    </row>
    <row r="709">
      <c r="A709" s="4" t="str">
        <f>IFERROR(__xludf.DUMMYFUNCTION("""COMPUTED_VALUE"""),"0630D")</f>
        <v>0630D</v>
      </c>
      <c r="B709" s="4" t="str">
        <f>IFERROR(__xludf.DUMMYFUNCTION("""COMPUTED_VALUE"""),"Señal metalica R-305")</f>
        <v>Señal metalica R-305</v>
      </c>
      <c r="C709" s="4">
        <f>IFERROR(__xludf.DUMMYFUNCTION("""COMPUTED_VALUE"""),10.799999999999999)</f>
        <v>10.8</v>
      </c>
    </row>
    <row r="710">
      <c r="A710" s="4" t="str">
        <f>IFERROR(__xludf.DUMMYFUNCTION("""COMPUTED_VALUE"""),"641")</f>
        <v>641</v>
      </c>
      <c r="B710" s="4" t="str">
        <f>IFERROR(__xludf.DUMMYFUNCTION("""COMPUTED_VALUE"""),"Señal metalica TR-101")</f>
        <v>Señal metalica TR-101</v>
      </c>
      <c r="C710" s="4">
        <f>IFERROR(__xludf.DUMMYFUNCTION("""COMPUTED_VALUE"""),10.799999999999999)</f>
        <v>10.8</v>
      </c>
    </row>
    <row r="711">
      <c r="A711" s="4" t="str">
        <f>IFERROR(__xludf.DUMMYFUNCTION("""COMPUTED_VALUE"""),"642")</f>
        <v>642</v>
      </c>
      <c r="B711" s="4" t="str">
        <f>IFERROR(__xludf.DUMMYFUNCTION("""COMPUTED_VALUE"""),"Señal metalica TR-106")</f>
        <v>Señal metalica TR-106</v>
      </c>
      <c r="C711" s="4">
        <f>IFERROR(__xludf.DUMMYFUNCTION("""COMPUTED_VALUE"""),10.799999999999999)</f>
        <v>10.8</v>
      </c>
    </row>
    <row r="712">
      <c r="A712" s="4" t="str">
        <f>IFERROR(__xludf.DUMMYFUNCTION("""COMPUTED_VALUE"""),"0642D")</f>
        <v>0642D</v>
      </c>
      <c r="B712" s="4" t="str">
        <f>IFERROR(__xludf.DUMMYFUNCTION("""COMPUTED_VALUE"""),"Señal metalica R-106")</f>
        <v>Señal metalica R-106</v>
      </c>
      <c r="C712" s="4">
        <f>IFERROR(__xludf.DUMMYFUNCTION("""COMPUTED_VALUE"""),10.799999999999999)</f>
        <v>10.8</v>
      </c>
    </row>
    <row r="713">
      <c r="A713" s="4" t="str">
        <f>IFERROR(__xludf.DUMMYFUNCTION("""COMPUTED_VALUE"""),"643")</f>
        <v>643</v>
      </c>
      <c r="B713" s="4" t="str">
        <f>IFERROR(__xludf.DUMMYFUNCTION("""COMPUTED_VALUE"""),"Señal metalica TR-201")</f>
        <v>Señal metalica TR-201</v>
      </c>
      <c r="C713" s="4">
        <f>IFERROR(__xludf.DUMMYFUNCTION("""COMPUTED_VALUE"""),10.799999999999999)</f>
        <v>10.8</v>
      </c>
    </row>
    <row r="714">
      <c r="A714" s="4" t="str">
        <f>IFERROR(__xludf.DUMMYFUNCTION("""COMPUTED_VALUE"""),"0643D")</f>
        <v>0643D</v>
      </c>
      <c r="B714" s="4" t="str">
        <f>IFERROR(__xludf.DUMMYFUNCTION("""COMPUTED_VALUE"""),"Señal metalica R-201")</f>
        <v>Señal metalica R-201</v>
      </c>
      <c r="C714" s="4">
        <f>IFERROR(__xludf.DUMMYFUNCTION("""COMPUTED_VALUE"""),10.799999999999999)</f>
        <v>10.8</v>
      </c>
    </row>
    <row r="715">
      <c r="A715" s="4" t="str">
        <f>IFERROR(__xludf.DUMMYFUNCTION("""COMPUTED_VALUE"""),"644")</f>
        <v>644</v>
      </c>
      <c r="B715" s="4" t="str">
        <f>IFERROR(__xludf.DUMMYFUNCTION("""COMPUTED_VALUE"""),"Señal metalica TR-204")</f>
        <v>Señal metalica TR-204</v>
      </c>
      <c r="C715" s="4">
        <f>IFERROR(__xludf.DUMMYFUNCTION("""COMPUTED_VALUE"""),10.799999999999999)</f>
        <v>10.8</v>
      </c>
    </row>
    <row r="716">
      <c r="A716" s="4" t="str">
        <f>IFERROR(__xludf.DUMMYFUNCTION("""COMPUTED_VALUE"""),"0644D")</f>
        <v>0644D</v>
      </c>
      <c r="B716" s="4" t="str">
        <f>IFERROR(__xludf.DUMMYFUNCTION("""COMPUTED_VALUE"""),"Señal metalica R-204")</f>
        <v>Señal metalica R-204</v>
      </c>
      <c r="C716" s="4">
        <f>IFERROR(__xludf.DUMMYFUNCTION("""COMPUTED_VALUE"""),10.799999999999999)</f>
        <v>10.8</v>
      </c>
    </row>
    <row r="717">
      <c r="A717" s="4" t="str">
        <f>IFERROR(__xludf.DUMMYFUNCTION("""COMPUTED_VALUE"""),"645")</f>
        <v>645</v>
      </c>
      <c r="B717" s="4" t="str">
        <f>IFERROR(__xludf.DUMMYFUNCTION("""COMPUTED_VALUE"""),"Señal metalica TR-205")</f>
        <v>Señal metalica TR-205</v>
      </c>
      <c r="C717" s="4">
        <f>IFERROR(__xludf.DUMMYFUNCTION("""COMPUTED_VALUE"""),10.799999999999999)</f>
        <v>10.8</v>
      </c>
    </row>
    <row r="718">
      <c r="A718" s="4" t="str">
        <f>IFERROR(__xludf.DUMMYFUNCTION("""COMPUTED_VALUE"""),"0645D")</f>
        <v>0645D</v>
      </c>
      <c r="B718" s="4" t="str">
        <f>IFERROR(__xludf.DUMMYFUNCTION("""COMPUTED_VALUE"""),"Señal metalica R-205")</f>
        <v>Señal metalica R-205</v>
      </c>
      <c r="C718" s="4">
        <f>IFERROR(__xludf.DUMMYFUNCTION("""COMPUTED_VALUE"""),10.799999999999999)</f>
        <v>10.8</v>
      </c>
    </row>
    <row r="719">
      <c r="A719" s="4" t="str">
        <f>IFERROR(__xludf.DUMMYFUNCTION("""COMPUTED_VALUE"""),"647")</f>
        <v>647</v>
      </c>
      <c r="B719" s="4" t="str">
        <f>IFERROR(__xludf.DUMMYFUNCTION("""COMPUTED_VALUE"""),"Señal metalica TR-303")</f>
        <v>Señal metalica TR-303</v>
      </c>
      <c r="C719" s="4">
        <f>IFERROR(__xludf.DUMMYFUNCTION("""COMPUTED_VALUE"""),10.799999999999999)</f>
        <v>10.8</v>
      </c>
    </row>
    <row r="720">
      <c r="A720" s="4" t="str">
        <f>IFERROR(__xludf.DUMMYFUNCTION("""COMPUTED_VALUE"""),"0647D")</f>
        <v>0647D</v>
      </c>
      <c r="B720" s="4" t="str">
        <f>IFERROR(__xludf.DUMMYFUNCTION("""COMPUTED_VALUE"""),"Señal metalica R-303")</f>
        <v>Señal metalica R-303</v>
      </c>
      <c r="C720" s="4">
        <f>IFERROR(__xludf.DUMMYFUNCTION("""COMPUTED_VALUE"""),10.799999999999999)</f>
        <v>10.8</v>
      </c>
    </row>
    <row r="721">
      <c r="A721" s="4" t="str">
        <f>IFERROR(__xludf.DUMMYFUNCTION("""COMPUTED_VALUE"""),"648")</f>
        <v>648</v>
      </c>
      <c r="B721" s="4" t="str">
        <f>IFERROR(__xludf.DUMMYFUNCTION("""COMPUTED_VALUE"""),"Señal metalica TR-301/20")</f>
        <v>Señal metalica TR-301/20</v>
      </c>
      <c r="C721" s="4">
        <f>IFERROR(__xludf.DUMMYFUNCTION("""COMPUTED_VALUE"""),10.799999999999999)</f>
        <v>10.8</v>
      </c>
    </row>
    <row r="722">
      <c r="A722" s="4" t="str">
        <f>IFERROR(__xludf.DUMMYFUNCTION("""COMPUTED_VALUE"""),"0648D")</f>
        <v>0648D</v>
      </c>
      <c r="B722" s="4" t="str">
        <f>IFERROR(__xludf.DUMMYFUNCTION("""COMPUTED_VALUE"""),"Señal metalica R-301/20")</f>
        <v>Señal metalica R-301/20</v>
      </c>
      <c r="C722" s="4">
        <f>IFERROR(__xludf.DUMMYFUNCTION("""COMPUTED_VALUE"""),10.799999999999999)</f>
        <v>10.8</v>
      </c>
    </row>
    <row r="723">
      <c r="A723" s="4" t="str">
        <f>IFERROR(__xludf.DUMMYFUNCTION("""COMPUTED_VALUE"""),"649")</f>
        <v>649</v>
      </c>
      <c r="B723" s="4" t="str">
        <f>IFERROR(__xludf.DUMMYFUNCTION("""COMPUTED_VALUE"""),"Señal metalica TR-301/30")</f>
        <v>Señal metalica TR-301/30</v>
      </c>
      <c r="C723" s="4">
        <f>IFERROR(__xludf.DUMMYFUNCTION("""COMPUTED_VALUE"""),10.799999999999999)</f>
        <v>10.8</v>
      </c>
    </row>
    <row r="724">
      <c r="A724" s="4" t="str">
        <f>IFERROR(__xludf.DUMMYFUNCTION("""COMPUTED_VALUE"""),"0649D")</f>
        <v>0649D</v>
      </c>
      <c r="B724" s="4" t="str">
        <f>IFERROR(__xludf.DUMMYFUNCTION("""COMPUTED_VALUE"""),"Señal metalica R-301/30")</f>
        <v>Señal metalica R-301/30</v>
      </c>
      <c r="C724" s="4">
        <f>IFERROR(__xludf.DUMMYFUNCTION("""COMPUTED_VALUE"""),10.799999999999999)</f>
        <v>10.8</v>
      </c>
    </row>
    <row r="725">
      <c r="A725" s="4" t="str">
        <f>IFERROR(__xludf.DUMMYFUNCTION("""COMPUTED_VALUE"""),"650")</f>
        <v>650</v>
      </c>
      <c r="B725" s="4" t="str">
        <f>IFERROR(__xludf.DUMMYFUNCTION("""COMPUTED_VALUE"""),"Señal metalica TR-301/40")</f>
        <v>Señal metalica TR-301/40</v>
      </c>
      <c r="C725" s="4">
        <f>IFERROR(__xludf.DUMMYFUNCTION("""COMPUTED_VALUE"""),10.799999999999999)</f>
        <v>10.8</v>
      </c>
    </row>
    <row r="726">
      <c r="A726" s="4" t="str">
        <f>IFERROR(__xludf.DUMMYFUNCTION("""COMPUTED_VALUE"""),"0650D")</f>
        <v>0650D</v>
      </c>
      <c r="B726" s="4" t="str">
        <f>IFERROR(__xludf.DUMMYFUNCTION("""COMPUTED_VALUE"""),"Señal metalica R301/40")</f>
        <v>Señal metalica R301/40</v>
      </c>
      <c r="C726" s="4">
        <f>IFERROR(__xludf.DUMMYFUNCTION("""COMPUTED_VALUE"""),10.799999999999999)</f>
        <v>10.8</v>
      </c>
    </row>
    <row r="727">
      <c r="A727" s="4" t="str">
        <f>IFERROR(__xludf.DUMMYFUNCTION("""COMPUTED_VALUE"""),"651")</f>
        <v>651</v>
      </c>
      <c r="B727" s="4" t="str">
        <f>IFERROR(__xludf.DUMMYFUNCTION("""COMPUTED_VALUE"""),"Señal metalica TR-301/50")</f>
        <v>Señal metalica TR-301/50</v>
      </c>
      <c r="C727" s="4">
        <f>IFERROR(__xludf.DUMMYFUNCTION("""COMPUTED_VALUE"""),10.799999999999999)</f>
        <v>10.8</v>
      </c>
    </row>
    <row r="728">
      <c r="A728" s="4" t="str">
        <f>IFERROR(__xludf.DUMMYFUNCTION("""COMPUTED_VALUE"""),"0651D")</f>
        <v>0651D</v>
      </c>
      <c r="B728" s="4" t="str">
        <f>IFERROR(__xludf.DUMMYFUNCTION("""COMPUTED_VALUE"""),"Señal metalica R-301/50")</f>
        <v>Señal metalica R-301/50</v>
      </c>
      <c r="C728" s="4">
        <f>IFERROR(__xludf.DUMMYFUNCTION("""COMPUTED_VALUE"""),10.799999999999999)</f>
        <v>10.8</v>
      </c>
    </row>
    <row r="729">
      <c r="A729" s="4" t="str">
        <f>IFERROR(__xludf.DUMMYFUNCTION("""COMPUTED_VALUE"""),"652")</f>
        <v>652</v>
      </c>
      <c r="B729" s="4" t="str">
        <f>IFERROR(__xludf.DUMMYFUNCTION("""COMPUTED_VALUE"""),"Señal metalica TR-301/60")</f>
        <v>Señal metalica TR-301/60</v>
      </c>
      <c r="C729" s="4">
        <f>IFERROR(__xludf.DUMMYFUNCTION("""COMPUTED_VALUE"""),10.799999999999999)</f>
        <v>10.8</v>
      </c>
    </row>
    <row r="730">
      <c r="A730" s="4" t="str">
        <f>IFERROR(__xludf.DUMMYFUNCTION("""COMPUTED_VALUE"""),"0652D")</f>
        <v>0652D</v>
      </c>
      <c r="B730" s="4" t="str">
        <f>IFERROR(__xludf.DUMMYFUNCTION("""COMPUTED_VALUE"""),"Señal metalica R-301/60")</f>
        <v>Señal metalica R-301/60</v>
      </c>
      <c r="C730" s="4">
        <f>IFERROR(__xludf.DUMMYFUNCTION("""COMPUTED_VALUE"""),10.799999999999999)</f>
        <v>10.8</v>
      </c>
    </row>
    <row r="731">
      <c r="A731" s="4" t="str">
        <f>IFERROR(__xludf.DUMMYFUNCTION("""COMPUTED_VALUE"""),"653")</f>
        <v>653</v>
      </c>
      <c r="B731" s="4" t="str">
        <f>IFERROR(__xludf.DUMMYFUNCTION("""COMPUTED_VALUE"""),"Señal metalica R-307")</f>
        <v>Señal metalica R-307</v>
      </c>
      <c r="C731" s="4">
        <f>IFERROR(__xludf.DUMMYFUNCTION("""COMPUTED_VALUE"""),10.799999999999999)</f>
        <v>10.8</v>
      </c>
    </row>
    <row r="732">
      <c r="A732" s="4" t="str">
        <f>IFERROR(__xludf.DUMMYFUNCTION("""COMPUTED_VALUE"""),"654")</f>
        <v>654</v>
      </c>
      <c r="B732" s="4" t="str">
        <f>IFERROR(__xludf.DUMMYFUNCTION("""COMPUTED_VALUE"""),"Señal metalica TR-301/10")</f>
        <v>Señal metalica TR-301/10</v>
      </c>
      <c r="C732" s="4">
        <f>IFERROR(__xludf.DUMMYFUNCTION("""COMPUTED_VALUE"""),10.799999999999999)</f>
        <v>10.8</v>
      </c>
    </row>
    <row r="733">
      <c r="A733" s="4" t="str">
        <f>IFERROR(__xludf.DUMMYFUNCTION("""COMPUTED_VALUE"""),"655")</f>
        <v>655</v>
      </c>
      <c r="B733" s="4" t="str">
        <f>IFERROR(__xludf.DUMMYFUNCTION("""COMPUTED_VALUE"""),"Señal metalica Minusvalidos M-2")</f>
        <v>Señal metalica Minusvalidos M-2</v>
      </c>
      <c r="C733" s="4">
        <f>IFERROR(__xludf.DUMMYFUNCTION("""COMPUTED_VALUE"""),10.799999999999999)</f>
        <v>10.8</v>
      </c>
    </row>
    <row r="734">
      <c r="A734" s="4" t="str">
        <f>IFERROR(__xludf.DUMMYFUNCTION("""COMPUTED_VALUE"""),"656")</f>
        <v>656</v>
      </c>
      <c r="B734" s="4" t="str">
        <f>IFERROR(__xludf.DUMMYFUNCTION("""COMPUTED_VALUE"""),"Señal metalica TR-302")</f>
        <v>Señal metalica TR-302</v>
      </c>
      <c r="C734" s="4">
        <f>IFERROR(__xludf.DUMMYFUNCTION("""COMPUTED_VALUE"""),10.799999999999999)</f>
        <v>10.8</v>
      </c>
    </row>
    <row r="735">
      <c r="A735" s="4" t="str">
        <f>IFERROR(__xludf.DUMMYFUNCTION("""COMPUTED_VALUE"""),"0656D")</f>
        <v>0656D</v>
      </c>
      <c r="B735" s="4" t="str">
        <f>IFERROR(__xludf.DUMMYFUNCTION("""COMPUTED_VALUE"""),"Señal metalica R-302")</f>
        <v>Señal metalica R-302</v>
      </c>
      <c r="C735" s="4">
        <f>IFERROR(__xludf.DUMMYFUNCTION("""COMPUTED_VALUE"""),10.799999999999999)</f>
        <v>10.8</v>
      </c>
    </row>
    <row r="736">
      <c r="A736" s="4" t="str">
        <f>IFERROR(__xludf.DUMMYFUNCTION("""COMPUTED_VALUE"""),"657")</f>
        <v>657</v>
      </c>
      <c r="B736" s="4" t="str">
        <f>IFERROR(__xludf.DUMMYFUNCTION("""COMPUTED_VALUE"""),"Señal metalica TR-306")</f>
        <v>Señal metalica TR-306</v>
      </c>
      <c r="C736" s="4">
        <f>IFERROR(__xludf.DUMMYFUNCTION("""COMPUTED_VALUE"""),10.799999999999999)</f>
        <v>10.8</v>
      </c>
    </row>
    <row r="737">
      <c r="A737" s="4" t="str">
        <f>IFERROR(__xludf.DUMMYFUNCTION("""COMPUTED_VALUE"""),"0657D")</f>
        <v>0657D</v>
      </c>
      <c r="B737" s="4" t="str">
        <f>IFERROR(__xludf.DUMMYFUNCTION("""COMPUTED_VALUE"""),"Señal metalica R-306")</f>
        <v>Señal metalica R-306</v>
      </c>
      <c r="C737" s="4">
        <f>IFERROR(__xludf.DUMMYFUNCTION("""COMPUTED_VALUE"""),10.799999999999999)</f>
        <v>10.8</v>
      </c>
    </row>
    <row r="738">
      <c r="A738" s="4" t="str">
        <f>IFERROR(__xludf.DUMMYFUNCTION("""COMPUTED_VALUE"""),"658")</f>
        <v>658</v>
      </c>
      <c r="B738" s="4" t="str">
        <f>IFERROR(__xludf.DUMMYFUNCTION("""COMPUTED_VALUE"""),"Soporte pared 60 mm para señal MOPU")</f>
        <v>Soporte pared 60 mm para señal MOPU</v>
      </c>
      <c r="C738" s="4">
        <f>IFERROR(__xludf.DUMMYFUNCTION("""COMPUTED_VALUE"""),16.32)</f>
        <v>16.32</v>
      </c>
    </row>
    <row r="739">
      <c r="A739" s="4" t="str">
        <f>IFERROR(__xludf.DUMMYFUNCTION("""COMPUTED_VALUE"""),"661")</f>
        <v>661</v>
      </c>
      <c r="B739" s="4" t="str">
        <f>IFERROR(__xludf.DUMMYFUNCTION("""COMPUTED_VALUE"""),"Señal metalica R2 Stop")</f>
        <v>Señal metalica R2 Stop</v>
      </c>
      <c r="C739" s="4">
        <f>IFERROR(__xludf.DUMMYFUNCTION("""COMPUTED_VALUE"""),10.799999999999999)</f>
        <v>10.8</v>
      </c>
    </row>
    <row r="740">
      <c r="A740" s="4" t="str">
        <f>IFERROR(__xludf.DUMMYFUNCTION("""COMPUTED_VALUE"""),"0661V")</f>
        <v>0661V</v>
      </c>
      <c r="B740" s="4" t="str">
        <f>IFERROR(__xludf.DUMMYFUNCTION("""COMPUTED_VALUE"""),"Vinilo adhesivo suelo STOP 40 cm")</f>
        <v>Vinilo adhesivo suelo STOP 40 cm</v>
      </c>
      <c r="C740" s="4">
        <f>IFERROR(__xludf.DUMMYFUNCTION("""COMPUTED_VALUE"""),5.904)</f>
        <v>5.904</v>
      </c>
    </row>
    <row r="741">
      <c r="A741" s="4" t="str">
        <f>IFERROR(__xludf.DUMMYFUNCTION("""COMPUTED_VALUE"""),"662")</f>
        <v>662</v>
      </c>
      <c r="B741" s="4" t="str">
        <f>IFERROR(__xludf.DUMMYFUNCTION("""COMPUTED_VALUE"""),"Señal metalica R-308")</f>
        <v>Señal metalica R-308</v>
      </c>
      <c r="C741" s="4">
        <f>IFERROR(__xludf.DUMMYFUNCTION("""COMPUTED_VALUE"""),10.799999999999999)</f>
        <v>10.8</v>
      </c>
    </row>
    <row r="742">
      <c r="A742" s="4" t="str">
        <f>IFERROR(__xludf.DUMMYFUNCTION("""COMPUTED_VALUE"""),"663")</f>
        <v>663</v>
      </c>
      <c r="B742" s="4" t="str">
        <f>IFERROR(__xludf.DUMMYFUNCTION("""COMPUTED_VALUE"""),"Señal metalica TR-400a")</f>
        <v>Señal metalica TR-400a</v>
      </c>
      <c r="C742" s="4">
        <f>IFERROR(__xludf.DUMMYFUNCTION("""COMPUTED_VALUE"""),10.799999999999999)</f>
        <v>10.8</v>
      </c>
    </row>
    <row r="743">
      <c r="A743" s="4" t="str">
        <f>IFERROR(__xludf.DUMMYFUNCTION("""COMPUTED_VALUE"""),"664")</f>
        <v>664</v>
      </c>
      <c r="B743" s="4" t="str">
        <f>IFERROR(__xludf.DUMMYFUNCTION("""COMPUTED_VALUE"""),"Señal metalica R-400a")</f>
        <v>Señal metalica R-400a</v>
      </c>
      <c r="C743" s="4">
        <f>IFERROR(__xludf.DUMMYFUNCTION("""COMPUTED_VALUE"""),10.799999999999999)</f>
        <v>10.8</v>
      </c>
    </row>
    <row r="744">
      <c r="A744" s="4" t="str">
        <f>IFERROR(__xludf.DUMMYFUNCTION("""COMPUTED_VALUE"""),"0664V")</f>
        <v>0664V</v>
      </c>
      <c r="B744" s="4" t="str">
        <f>IFERROR(__xludf.DUMMYFUNCTION("""COMPUTED_VALUE"""),"Vinilo adhesivo suelo Dirección oblig. 40cm")</f>
        <v>Vinilo adhesivo suelo Dirección oblig. 40cm</v>
      </c>
      <c r="C744" s="4">
        <f>IFERROR(__xludf.DUMMYFUNCTION("""COMPUTED_VALUE"""),5.904)</f>
        <v>5.904</v>
      </c>
    </row>
    <row r="745">
      <c r="A745" s="4" t="str">
        <f>IFERROR(__xludf.DUMMYFUNCTION("""COMPUTED_VALUE"""),"665")</f>
        <v>665</v>
      </c>
      <c r="B745" s="4" t="str">
        <f>IFERROR(__xludf.DUMMYFUNCTION("""COMPUTED_VALUE"""),"Señal metalica S-17 Parking")</f>
        <v>Señal metalica S-17 Parking</v>
      </c>
      <c r="C745" s="4">
        <f>IFERROR(__xludf.DUMMYFUNCTION("""COMPUTED_VALUE"""),10.799999999999999)</f>
        <v>10.8</v>
      </c>
    </row>
    <row r="746">
      <c r="A746" s="4" t="str">
        <f>IFERROR(__xludf.DUMMYFUNCTION("""COMPUTED_VALUE"""),"666")</f>
        <v>666</v>
      </c>
      <c r="B746" s="4" t="str">
        <f>IFERROR(__xludf.DUMMYFUNCTION("""COMPUTED_VALUE"""),"Señal metalica S-15a Calle Cortada")</f>
        <v>Señal metalica S-15a Calle Cortada</v>
      </c>
      <c r="C746" s="4">
        <f>IFERROR(__xludf.DUMMYFUNCTION("""COMPUTED_VALUE"""),10.799999999999999)</f>
        <v>10.8</v>
      </c>
    </row>
    <row r="747">
      <c r="A747" s="4" t="str">
        <f>IFERROR(__xludf.DUMMYFUNCTION("""COMPUTED_VALUE"""),"667")</f>
        <v>667</v>
      </c>
      <c r="B747" s="4" t="str">
        <f>IFERROR(__xludf.DUMMYFUNCTION("""COMPUTED_VALUE"""),"Placa carga Sobresaliente V20 50x50")</f>
        <v>Placa carga Sobresaliente V20 50x50</v>
      </c>
      <c r="C747" s="4">
        <f>IFERROR(__xludf.DUMMYFUNCTION("""COMPUTED_VALUE"""),18.72)</f>
        <v>18.72</v>
      </c>
    </row>
    <row r="748">
      <c r="A748" s="4" t="str">
        <f>IFERROR(__xludf.DUMMYFUNCTION("""COMPUTED_VALUE"""),"668")</f>
        <v>668</v>
      </c>
      <c r="B748" s="4" t="str">
        <f>IFERROR(__xludf.DUMMYFUNCTION("""COMPUTED_VALUE"""),"Señal metalica R-101")</f>
        <v>Señal metalica R-101</v>
      </c>
      <c r="C748" s="4">
        <f>IFERROR(__xludf.DUMMYFUNCTION("""COMPUTED_VALUE"""),10.799999999999999)</f>
        <v>10.8</v>
      </c>
    </row>
    <row r="749">
      <c r="A749" s="4" t="str">
        <f>IFERROR(__xludf.DUMMYFUNCTION("""COMPUTED_VALUE"""),"670")</f>
        <v>670</v>
      </c>
      <c r="B749" s="4" t="str">
        <f>IFERROR(__xludf.DUMMYFUNCTION("""COMPUTED_VALUE"""),"Señal metalica TR-5")</f>
        <v>Señal metalica TR-5</v>
      </c>
      <c r="C749" s="4">
        <f>IFERROR(__xludf.DUMMYFUNCTION("""COMPUTED_VALUE"""),10.799999999999999)</f>
        <v>10.8</v>
      </c>
    </row>
    <row r="750">
      <c r="A750" s="4" t="str">
        <f>IFERROR(__xludf.DUMMYFUNCTION("""COMPUTED_VALUE"""),"0670D")</f>
        <v>0670D</v>
      </c>
      <c r="B750" s="4" t="str">
        <f>IFERROR(__xludf.DUMMYFUNCTION("""COMPUTED_VALUE"""),"Señal metalica R-5")</f>
        <v>Señal metalica R-5</v>
      </c>
      <c r="C750" s="4">
        <f>IFERROR(__xludf.DUMMYFUNCTION("""COMPUTED_VALUE"""),10.799999999999999)</f>
        <v>10.8</v>
      </c>
    </row>
    <row r="751">
      <c r="A751" s="4" t="str">
        <f>IFERROR(__xludf.DUMMYFUNCTION("""COMPUTED_VALUE"""),"671")</f>
        <v>671</v>
      </c>
      <c r="B751" s="4" t="str">
        <f>IFERROR(__xludf.DUMMYFUNCTION("""COMPUTED_VALUE"""),"Señal metalica TR-500")</f>
        <v>Señal metalica TR-500</v>
      </c>
      <c r="C751" s="4">
        <f>IFERROR(__xludf.DUMMYFUNCTION("""COMPUTED_VALUE"""),10.799999999999999)</f>
        <v>10.8</v>
      </c>
    </row>
    <row r="752">
      <c r="A752" s="4" t="str">
        <f>IFERROR(__xludf.DUMMYFUNCTION("""COMPUTED_VALUE"""),"0671D")</f>
        <v>0671D</v>
      </c>
      <c r="B752" s="4" t="str">
        <f>IFERROR(__xludf.DUMMYFUNCTION("""COMPUTED_VALUE"""),"Señal metalica R-500")</f>
        <v>Señal metalica R-500</v>
      </c>
      <c r="C752" s="4">
        <f>IFERROR(__xludf.DUMMYFUNCTION("""COMPUTED_VALUE"""),10.799999999999999)</f>
        <v>10.8</v>
      </c>
    </row>
    <row r="753">
      <c r="A753" s="4" t="str">
        <f>IFERROR(__xludf.DUMMYFUNCTION("""COMPUTED_VALUE"""),"672")</f>
        <v>672</v>
      </c>
      <c r="B753" s="4" t="str">
        <f>IFERROR(__xludf.DUMMYFUNCTION("""COMPUTED_VALUE"""),"Señal metalica TR-502")</f>
        <v>Señal metalica TR-502</v>
      </c>
      <c r="C753" s="4">
        <f>IFERROR(__xludf.DUMMYFUNCTION("""COMPUTED_VALUE"""),10.799999999999999)</f>
        <v>10.8</v>
      </c>
    </row>
    <row r="754">
      <c r="A754" s="4" t="str">
        <f>IFERROR(__xludf.DUMMYFUNCTION("""COMPUTED_VALUE"""),"0672D")</f>
        <v>0672D</v>
      </c>
      <c r="B754" s="4" t="str">
        <f>IFERROR(__xludf.DUMMYFUNCTION("""COMPUTED_VALUE"""),"Señal metalica R-502")</f>
        <v>Señal metalica R-502</v>
      </c>
      <c r="C754" s="4">
        <f>IFERROR(__xludf.DUMMYFUNCTION("""COMPUTED_VALUE"""),10.799999999999999)</f>
        <v>10.8</v>
      </c>
    </row>
    <row r="755">
      <c r="A755" s="4" t="str">
        <f>IFERROR(__xludf.DUMMYFUNCTION("""COMPUTED_VALUE"""),"673")</f>
        <v>673</v>
      </c>
      <c r="B755" s="4" t="str">
        <f>IFERROR(__xludf.DUMMYFUNCTION("""COMPUTED_VALUE"""),"Señal metalica P-20")</f>
        <v>Señal metalica P-20</v>
      </c>
      <c r="C755" s="4">
        <f>IFERROR(__xludf.DUMMYFUNCTION("""COMPUTED_VALUE"""),10.799999999999999)</f>
        <v>10.8</v>
      </c>
    </row>
    <row r="756">
      <c r="A756" s="4" t="str">
        <f>IFERROR(__xludf.DUMMYFUNCTION("""COMPUTED_VALUE"""),"0673D")</f>
        <v>0673D</v>
      </c>
      <c r="B756" s="4" t="str">
        <f>IFERROR(__xludf.DUMMYFUNCTION("""COMPUTED_VALUE"""),"Señal metalica P-20")</f>
        <v>Señal metalica P-20</v>
      </c>
      <c r="C756" s="4">
        <f>IFERROR(__xludf.DUMMYFUNCTION("""COMPUTED_VALUE"""),10.799999999999999)</f>
        <v>10.8</v>
      </c>
    </row>
    <row r="757">
      <c r="A757" s="4" t="str">
        <f>IFERROR(__xludf.DUMMYFUNCTION("""COMPUTED_VALUE"""),"674")</f>
        <v>674</v>
      </c>
      <c r="B757" s="4" t="str">
        <f>IFERROR(__xludf.DUMMYFUNCTION("""COMPUTED_VALUE"""),"Señal metalica TR-503")</f>
        <v>Señal metalica TR-503</v>
      </c>
      <c r="C757" s="4">
        <f>IFERROR(__xludf.DUMMYFUNCTION("""COMPUTED_VALUE"""),10.799999999999999)</f>
        <v>10.8</v>
      </c>
    </row>
    <row r="758">
      <c r="A758" s="4" t="str">
        <f>IFERROR(__xludf.DUMMYFUNCTION("""COMPUTED_VALUE"""),"0674D")</f>
        <v>0674D</v>
      </c>
      <c r="B758" s="4" t="str">
        <f>IFERROR(__xludf.DUMMYFUNCTION("""COMPUTED_VALUE"""),"Señal metalica R-503")</f>
        <v>Señal metalica R-503</v>
      </c>
      <c r="C758" s="4">
        <f>IFERROR(__xludf.DUMMYFUNCTION("""COMPUTED_VALUE"""),10.799999999999999)</f>
        <v>10.8</v>
      </c>
    </row>
    <row r="759">
      <c r="A759" s="4" t="str">
        <f>IFERROR(__xludf.DUMMYFUNCTION("""COMPUTED_VALUE"""),"0674E")</f>
        <v>0674E</v>
      </c>
      <c r="B759" s="4" t="str">
        <f>IFERROR(__xludf.DUMMYFUNCTION("""COMPUTED_VALUE"""),"Señal 50 cm económica recarga eléctrica")</f>
        <v>Señal 50 cm económica recarga eléctrica</v>
      </c>
      <c r="C759" s="4">
        <f>IFERROR(__xludf.DUMMYFUNCTION("""COMPUTED_VALUE"""),10.799999999999999)</f>
        <v>10.8</v>
      </c>
    </row>
    <row r="760">
      <c r="A760" s="4" t="str">
        <f>IFERROR(__xludf.DUMMYFUNCTION("""COMPUTED_VALUE"""),"0674P")</f>
        <v>0674P</v>
      </c>
      <c r="B760" s="4" t="str">
        <f>IFERROR(__xludf.DUMMYFUNCTION("""COMPUTED_VALUE"""),"Señal metálica económica ALTO POLICIA")</f>
        <v>Señal metálica económica ALTO POLICIA</v>
      </c>
      <c r="C760" s="4">
        <f>IFERROR(__xludf.DUMMYFUNCTION("""COMPUTED_VALUE"""),10.799999999999999)</f>
        <v>10.8</v>
      </c>
    </row>
    <row r="761">
      <c r="A761" s="4" t="str">
        <f>IFERROR(__xludf.DUMMYFUNCTION("""COMPUTED_VALUE"""),"675")</f>
        <v>675</v>
      </c>
      <c r="B761" s="4" t="str">
        <f>IFERROR(__xludf.DUMMYFUNCTION("""COMPUTED_VALUE"""),"Tripode tubular naranja señal metalica mod. A")</f>
        <v>Tripode tubular naranja señal metalica mod. A</v>
      </c>
      <c r="C761" s="4">
        <f>IFERROR(__xludf.DUMMYFUNCTION("""COMPUTED_VALUE"""),11.28)</f>
        <v>11.28</v>
      </c>
    </row>
    <row r="762">
      <c r="A762" s="4" t="str">
        <f>IFERROR(__xludf.DUMMYFUNCTION("""COMPUTED_VALUE"""),"0676/10")</f>
        <v>0676/10</v>
      </c>
      <c r="B762" s="4" t="str">
        <f>IFERROR(__xludf.DUMMYFUNCTION("""COMPUTED_VALUE"""),"Tubo 80x40 para señal metalica 1 metro")</f>
        <v>Tubo 80x40 para señal metalica 1 metro</v>
      </c>
      <c r="C762" s="4">
        <f>IFERROR(__xludf.DUMMYFUNCTION("""COMPUTED_VALUE"""),11.04)</f>
        <v>11.04</v>
      </c>
    </row>
    <row r="763">
      <c r="A763" s="4" t="str">
        <f>IFERROR(__xludf.DUMMYFUNCTION("""COMPUTED_VALUE"""),"0676/15")</f>
        <v>0676/15</v>
      </c>
      <c r="B763" s="4" t="str">
        <f>IFERROR(__xludf.DUMMYFUNCTION("""COMPUTED_VALUE"""),"bo 80x40 para señal metalica 1,5 metros")</f>
        <v>bo 80x40 para señal metalica 1,5 metros</v>
      </c>
      <c r="C763" s="4">
        <f>IFERROR(__xludf.DUMMYFUNCTION("""COMPUTED_VALUE"""),15.84)</f>
        <v>15.84</v>
      </c>
    </row>
    <row r="764">
      <c r="A764" s="4" t="str">
        <f>IFERROR(__xludf.DUMMYFUNCTION("""COMPUTED_VALUE"""),"0676/20")</f>
        <v>0676/20</v>
      </c>
      <c r="B764" s="4" t="str">
        <f>IFERROR(__xludf.DUMMYFUNCTION("""COMPUTED_VALUE"""),"Tubo 80x40 para señal metalica 2 metros")</f>
        <v>Tubo 80x40 para señal metalica 2 metros</v>
      </c>
      <c r="C764" s="4">
        <f>IFERROR(__xludf.DUMMYFUNCTION("""COMPUTED_VALUE"""),21.119999999999997)</f>
        <v>21.12</v>
      </c>
    </row>
    <row r="765">
      <c r="A765" s="4" t="str">
        <f>IFERROR(__xludf.DUMMYFUNCTION("""COMPUTED_VALUE"""),"0676/25")</f>
        <v>0676/25</v>
      </c>
      <c r="B765" s="4" t="str">
        <f>IFERROR(__xludf.DUMMYFUNCTION("""COMPUTED_VALUE"""),"Tubo 80x40 para señal metalica 2,5 metros")</f>
        <v>Tubo 80x40 para señal metalica 2,5 metros</v>
      </c>
      <c r="C765" s="4">
        <f>IFERROR(__xludf.DUMMYFUNCTION("""COMPUTED_VALUE"""),26.88)</f>
        <v>26.88</v>
      </c>
    </row>
    <row r="766">
      <c r="A766" s="4" t="str">
        <f>IFERROR(__xludf.DUMMYFUNCTION("""COMPUTED_VALUE"""),"0676/30")</f>
        <v>0676/30</v>
      </c>
      <c r="B766" s="4" t="str">
        <f>IFERROR(__xludf.DUMMYFUNCTION("""COMPUTED_VALUE"""),"Tubo 80x40 para señal metalica 3 metros")</f>
        <v>Tubo 80x40 para señal metalica 3 metros</v>
      </c>
      <c r="C766" s="4">
        <f>IFERROR(__xludf.DUMMYFUNCTION("""COMPUTED_VALUE"""),34.56)</f>
        <v>34.56</v>
      </c>
    </row>
    <row r="767">
      <c r="A767" s="4" t="str">
        <f>IFERROR(__xludf.DUMMYFUNCTION("""COMPUTED_VALUE"""),"0676/35")</f>
        <v>0676/35</v>
      </c>
      <c r="B767" s="4" t="str">
        <f>IFERROR(__xludf.DUMMYFUNCTION("""COMPUTED_VALUE"""),"Tubo 80x40 para señal metalica 3,5 metros")</f>
        <v>Tubo 80x40 para señal metalica 3,5 metros</v>
      </c>
      <c r="C767" s="4">
        <f>IFERROR(__xludf.DUMMYFUNCTION("""COMPUTED_VALUE"""),37.44)</f>
        <v>37.44</v>
      </c>
    </row>
    <row r="768">
      <c r="A768" s="4" t="str">
        <f>IFERROR(__xludf.DUMMYFUNCTION("""COMPUTED_VALUE"""),"0676/40")</f>
        <v>0676/40</v>
      </c>
      <c r="B768" s="4" t="str">
        <f>IFERROR(__xludf.DUMMYFUNCTION("""COMPUTED_VALUE"""),"Tubo 80x40 para señal metalica 4 metros")</f>
        <v>Tubo 80x40 para señal metalica 4 metros</v>
      </c>
      <c r="C768" s="4">
        <f>IFERROR(__xludf.DUMMYFUNCTION("""COMPUTED_VALUE"""),39.839999999999996)</f>
        <v>39.84</v>
      </c>
    </row>
    <row r="769">
      <c r="A769" s="4" t="str">
        <f>IFERROR(__xludf.DUMMYFUNCTION("""COMPUTED_VALUE"""),"0676/AL")</f>
        <v>0676/AL</v>
      </c>
      <c r="B769" s="4" t="str">
        <f>IFERROR(__xludf.DUMMYFUNCTION("""COMPUTED_VALUE"""),"Poste aluminio 3.5 m 76 mm pintado")</f>
        <v>Poste aluminio 3.5 m 76 mm pintado</v>
      </c>
      <c r="C769" s="4">
        <f>IFERROR(__xludf.DUMMYFUNCTION("""COMPUTED_VALUE"""),100.8)</f>
        <v>100.8</v>
      </c>
    </row>
    <row r="770">
      <c r="A770" s="4" t="str">
        <f>IFERROR(__xludf.DUMMYFUNCTION("""COMPUTED_VALUE"""),"0676F")</f>
        <v>0676F</v>
      </c>
      <c r="B770" s="4" t="str">
        <f>IFERROR(__xludf.DUMMYFUNCTION("""COMPUTED_VALUE"""),"Poste 80x40 mm 3 m en forma de F")</f>
        <v>Poste 80x40 mm 3 m en forma de F</v>
      </c>
      <c r="C770" s="4">
        <f>IFERROR(__xludf.DUMMYFUNCTION("""COMPUTED_VALUE"""),47.04)</f>
        <v>47.04</v>
      </c>
    </row>
    <row r="771">
      <c r="A771" s="4" t="str">
        <f>IFERROR(__xludf.DUMMYFUNCTION("""COMPUTED_VALUE"""),"677")</f>
        <v>677</v>
      </c>
      <c r="B771" s="4" t="str">
        <f>IFERROR(__xludf.DUMMYFUNCTION("""COMPUTED_VALUE"""),"Cruceta tubo para señales metalicas")</f>
        <v>Cruceta tubo para señales metalicas</v>
      </c>
      <c r="C771" s="4">
        <f>IFERROR(__xludf.DUMMYFUNCTION("""COMPUTED_VALUE"""),16.608)</f>
        <v>16.608</v>
      </c>
    </row>
    <row r="772">
      <c r="A772" s="4" t="str">
        <f>IFERROR(__xludf.DUMMYFUNCTION("""COMPUTED_VALUE"""),"678")</f>
        <v>678</v>
      </c>
      <c r="B772" s="4" t="str">
        <f>IFERROR(__xludf.DUMMYFUNCTION("""COMPUTED_VALUE"""),"Señal metalica R- 6 Prioridad")</f>
        <v>Señal metalica R- 6 Prioridad</v>
      </c>
      <c r="C772" s="4">
        <f>IFERROR(__xludf.DUMMYFUNCTION("""COMPUTED_VALUE"""),10.799999999999999)</f>
        <v>10.8</v>
      </c>
    </row>
    <row r="773">
      <c r="A773" s="4" t="str">
        <f>IFERROR(__xludf.DUMMYFUNCTION("""COMPUTED_VALUE"""),"679")</f>
        <v>679</v>
      </c>
      <c r="B773" s="4" t="str">
        <f>IFERROR(__xludf.DUMMYFUNCTION("""COMPUTED_VALUE"""),"Placa econ. informat. 20x40 cm f.amarillo")</f>
        <v>Placa econ. informat. 20x40 cm f.amarillo</v>
      </c>
      <c r="C773" s="4">
        <f>IFERROR(__xludf.DUMMYFUNCTION("""COMPUTED_VALUE"""),10.799999999999999)</f>
        <v>10.8</v>
      </c>
    </row>
    <row r="774">
      <c r="A774" s="4" t="str">
        <f>IFERROR(__xludf.DUMMYFUNCTION("""COMPUTED_VALUE"""),"680")</f>
        <v>680</v>
      </c>
      <c r="B774" s="4" t="str">
        <f>IFERROR(__xludf.DUMMYFUNCTION("""COMPUTED_VALUE"""),"Placa informativa 40x20 blanca")</f>
        <v>Placa informativa 40x20 blanca</v>
      </c>
      <c r="C774" s="4">
        <f>IFERROR(__xludf.DUMMYFUNCTION("""COMPUTED_VALUE"""),10.799999999999999)</f>
        <v>10.8</v>
      </c>
    </row>
    <row r="775">
      <c r="A775" s="4" t="str">
        <f>IFERROR(__xludf.DUMMYFUNCTION("""COMPUTED_VALUE"""),"0681/A")</f>
        <v>0681/A</v>
      </c>
      <c r="B775" s="4" t="str">
        <f>IFERROR(__xludf.DUMMYFUNCTION("""COMPUTED_VALUE"""),"Horquilla protector peatones 120x40 cm Galva")</f>
        <v>Horquilla protector peatones 120x40 cm Galva</v>
      </c>
      <c r="C775" s="4">
        <f>IFERROR(__xludf.DUMMYFUNCTION("""COMPUTED_VALUE"""),40.704)</f>
        <v>40.704</v>
      </c>
    </row>
    <row r="776">
      <c r="A776" s="4" t="str">
        <f>IFERROR(__xludf.DUMMYFUNCTION("""COMPUTED_VALUE"""),"0681/A/PLATO")</f>
        <v>0681/A/PLATO</v>
      </c>
      <c r="B776" s="4" t="str">
        <f>IFERROR(__xludf.DUMMYFUNCTION("""COMPUTED_VALUE"""),"Horquilla protector peatones 120x40 cm Galva. c/plato")</f>
        <v>Horquilla protector peatones 120x40 cm Galva. c/plato</v>
      </c>
      <c r="C776" s="4">
        <f>IFERROR(__xludf.DUMMYFUNCTION("""COMPUTED_VALUE"""),50.687999999999995)</f>
        <v>50.688</v>
      </c>
    </row>
    <row r="777">
      <c r="A777" s="4" t="str">
        <f>IFERROR(__xludf.DUMMYFUNCTION("""COMPUTED_VALUE"""),"0681/B")</f>
        <v>0681/B</v>
      </c>
      <c r="B777" s="4" t="str">
        <f>IFERROR(__xludf.DUMMYFUNCTION("""COMPUTED_VALUE"""),"Horquilla protector peatones 90x40 cm Galva")</f>
        <v>Horquilla protector peatones 90x40 cm Galva</v>
      </c>
      <c r="C777" s="4">
        <f>IFERROR(__xludf.DUMMYFUNCTION("""COMPUTED_VALUE"""),37.296)</f>
        <v>37.296</v>
      </c>
    </row>
    <row r="778">
      <c r="A778" s="4" t="str">
        <f>IFERROR(__xludf.DUMMYFUNCTION("""COMPUTED_VALUE"""),"0681/B/PLATO")</f>
        <v>0681/B/PLATO</v>
      </c>
      <c r="B778" s="4" t="str">
        <f>IFERROR(__xludf.DUMMYFUNCTION("""COMPUTED_VALUE"""),"Horquilla protector peatones 90x40 cm Galva c/plato")</f>
        <v>Horquilla protector peatones 90x40 cm Galva c/plato</v>
      </c>
      <c r="C778" s="4">
        <f>IFERROR(__xludf.DUMMYFUNCTION("""COMPUTED_VALUE"""),59.472)</f>
        <v>59.472</v>
      </c>
    </row>
    <row r="779">
      <c r="A779" s="4" t="str">
        <f>IFERROR(__xludf.DUMMYFUNCTION("""COMPUTED_VALUE"""),"0681/LA")</f>
        <v>0681/LA</v>
      </c>
      <c r="B779" s="4" t="str">
        <f>IFERROR(__xludf.DUMMYFUNCTION("""COMPUTED_VALUE"""),"Horquilla protector peatones 120x40 cm Amarilla")</f>
        <v>Horquilla protector peatones 120x40 cm Amarilla</v>
      </c>
      <c r="C779" s="4">
        <f>IFERROR(__xludf.DUMMYFUNCTION("""COMPUTED_VALUE"""),46.512)</f>
        <v>46.512</v>
      </c>
    </row>
    <row r="780">
      <c r="A780" s="4" t="str">
        <f>IFERROR(__xludf.DUMMYFUNCTION("""COMPUTED_VALUE"""),"0681/LA/PLATO")</f>
        <v>0681/LA/PLATO</v>
      </c>
      <c r="B780" s="4" t="str">
        <f>IFERROR(__xludf.DUMMYFUNCTION("""COMPUTED_VALUE"""),"Horquilla protector peatones 120x40 cm Amar. c/plato")</f>
        <v>Horquilla protector peatones 120x40 cm Amar. c/plato</v>
      </c>
      <c r="C780" s="4">
        <f>IFERROR(__xludf.DUMMYFUNCTION("""COMPUTED_VALUE"""),49.392)</f>
        <v>49.392</v>
      </c>
    </row>
    <row r="781">
      <c r="A781" s="4" t="str">
        <f>IFERROR(__xludf.DUMMYFUNCTION("""COMPUTED_VALUE"""),"0681/LB")</f>
        <v>0681/LB</v>
      </c>
      <c r="B781" s="4" t="str">
        <f>IFERROR(__xludf.DUMMYFUNCTION("""COMPUTED_VALUE"""),"Horquilla protector peqtones 90x40 cm Amarilla")</f>
        <v>Horquilla protector peqtones 90x40 cm Amarilla</v>
      </c>
      <c r="C781" s="4">
        <f>IFERROR(__xludf.DUMMYFUNCTION("""COMPUTED_VALUE"""),43.5456)</f>
        <v>43.5456</v>
      </c>
    </row>
    <row r="782">
      <c r="A782" s="4" t="str">
        <f>IFERROR(__xludf.DUMMYFUNCTION("""COMPUTED_VALUE"""),"0681/LB/PLATO")</f>
        <v>0681/LB/PLATO</v>
      </c>
      <c r="B782" s="4" t="str">
        <f>IFERROR(__xludf.DUMMYFUNCTION("""COMPUTED_VALUE"""),"Horquilla protector peatones 90x40 cm Amar.c/plato")</f>
        <v>Horquilla protector peatones 90x40 cm Amar.c/plato</v>
      </c>
      <c r="C782" s="4">
        <f>IFERROR(__xludf.DUMMYFUNCTION("""COMPUTED_VALUE"""),50.620799999999996)</f>
        <v>50.6208</v>
      </c>
    </row>
    <row r="783">
      <c r="A783" s="4" t="str">
        <f>IFERROR(__xludf.DUMMYFUNCTION("""COMPUTED_VALUE"""),"682")</f>
        <v>682</v>
      </c>
      <c r="B783" s="4" t="str">
        <f>IFERROR(__xludf.DUMMYFUNCTION("""COMPUTED_VALUE"""),"Vado Permanente Aluminio 40x30")</f>
        <v>Vado Permanente Aluminio 40x30</v>
      </c>
      <c r="C783" s="4">
        <f>IFERROR(__xludf.DUMMYFUNCTION("""COMPUTED_VALUE"""),8.064)</f>
        <v>8.064</v>
      </c>
    </row>
    <row r="784">
      <c r="A784" s="4" t="str">
        <f>IFERROR(__xludf.DUMMYFUNCTION("""COMPUTED_VALUE"""),"0682P")</f>
        <v>0682P</v>
      </c>
      <c r="B784" s="4" t="str">
        <f>IFERROR(__xludf.DUMMYFUNCTION("""COMPUTED_VALUE"""),"Vado permanente 40x30 aluminio personalizado")</f>
        <v>Vado permanente 40x30 aluminio personalizado</v>
      </c>
      <c r="C784" s="4">
        <f>IFERROR(__xludf.DUMMYFUNCTION("""COMPUTED_VALUE"""),11.52)</f>
        <v>11.52</v>
      </c>
    </row>
    <row r="785">
      <c r="A785" s="4" t="str">
        <f>IFERROR(__xludf.DUMMYFUNCTION("""COMPUTED_VALUE"""),"683")</f>
        <v>683</v>
      </c>
      <c r="B785" s="4" t="str">
        <f>IFERROR(__xludf.DUMMYFUNCTION("""COMPUTED_VALUE"""),"Horquilla protector contenedor basura Galva")</f>
        <v>Horquilla protector contenedor basura Galva</v>
      </c>
      <c r="C785" s="4">
        <f>IFERROR(__xludf.DUMMYFUNCTION("""COMPUTED_VALUE"""),128.928)</f>
        <v>128.928</v>
      </c>
    </row>
    <row r="786">
      <c r="A786" s="4" t="str">
        <f>IFERROR(__xludf.DUMMYFUNCTION("""COMPUTED_VALUE"""),"0683/B")</f>
        <v>0683/B</v>
      </c>
      <c r="B786" s="4" t="str">
        <f>IFERROR(__xludf.DUMMYFUNCTION("""COMPUTED_VALUE"""),"Isleta hormigon con protector direccional Vados")</f>
        <v>Isleta hormigon con protector direccional Vados</v>
      </c>
      <c r="C786" s="4">
        <f>IFERROR(__xludf.DUMMYFUNCTION("""COMPUTED_VALUE"""),441.59999999999997)</f>
        <v>441.6</v>
      </c>
    </row>
    <row r="787">
      <c r="A787" s="4" t="str">
        <f>IFERROR(__xludf.DUMMYFUNCTION("""COMPUTED_VALUE"""),"0683/BS")</f>
        <v>0683/BS</v>
      </c>
      <c r="B787" s="4" t="str">
        <f>IFERROR(__xludf.DUMMYFUNCTION("""COMPUTED_VALUE"""),"Juego 2 angulos sujecion suelo Isleta Vados")</f>
        <v>Juego 2 angulos sujecion suelo Isleta Vados</v>
      </c>
      <c r="C787" s="4">
        <f>IFERROR(__xludf.DUMMYFUNCTION("""COMPUTED_VALUE"""),31.967999999999996)</f>
        <v>31.968</v>
      </c>
    </row>
    <row r="788">
      <c r="A788" s="4" t="str">
        <f>IFERROR(__xludf.DUMMYFUNCTION("""COMPUTED_VALUE"""),"0683D")</f>
        <v>0683D</v>
      </c>
      <c r="B788" s="4" t="str">
        <f>IFERROR(__xludf.DUMMYFUNCTION("""COMPUTED_VALUE"""),"Protector contenedor basura flecha dcha Galv.")</f>
        <v>Protector contenedor basura flecha dcha Galv.</v>
      </c>
      <c r="C788" s="4">
        <f>IFERROR(__xludf.DUMMYFUNCTION("""COMPUTED_VALUE"""),75.09599999999999)</f>
        <v>75.096</v>
      </c>
    </row>
    <row r="789">
      <c r="A789" s="4" t="str">
        <f>IFERROR(__xludf.DUMMYFUNCTION("""COMPUTED_VALUE"""),"0683D/PLATO")</f>
        <v>0683D/PLATO</v>
      </c>
      <c r="B789" s="4" t="str">
        <f>IFERROR(__xludf.DUMMYFUNCTION("""COMPUTED_VALUE"""),"Protector contenedor basura flecha Dcha. Galva. c/plato")</f>
        <v>Protector contenedor basura flecha Dcha. Galva. c/plato</v>
      </c>
      <c r="C789" s="4">
        <f>IFERROR(__xludf.DUMMYFUNCTION("""COMPUTED_VALUE"""),86.184)</f>
        <v>86.184</v>
      </c>
    </row>
    <row r="790">
      <c r="A790" s="4" t="str">
        <f>IFERROR(__xludf.DUMMYFUNCTION("""COMPUTED_VALUE"""),"0683I")</f>
        <v>0683I</v>
      </c>
      <c r="B790" s="4" t="str">
        <f>IFERROR(__xludf.DUMMYFUNCTION("""COMPUTED_VALUE"""),"Protector contenedor basura flecha izq. Galva.")</f>
        <v>Protector contenedor basura flecha izq. Galva.</v>
      </c>
      <c r="C790" s="4">
        <f>IFERROR(__xludf.DUMMYFUNCTION("""COMPUTED_VALUE"""),75.09599999999999)</f>
        <v>75.096</v>
      </c>
    </row>
    <row r="791">
      <c r="A791" s="4" t="str">
        <f>IFERROR(__xludf.DUMMYFUNCTION("""COMPUTED_VALUE"""),"0683I/PLATO")</f>
        <v>0683I/PLATO</v>
      </c>
      <c r="B791" s="4" t="str">
        <f>IFERROR(__xludf.DUMMYFUNCTION("""COMPUTED_VALUE"""),"Protector contendor basura flecha Izq.Galva. c/ plato")</f>
        <v>Protector contendor basura flecha Izq.Galva. c/ plato</v>
      </c>
      <c r="C791" s="4">
        <f>IFERROR(__xludf.DUMMYFUNCTION("""COMPUTED_VALUE"""),72.0)</f>
        <v>72</v>
      </c>
    </row>
    <row r="792">
      <c r="A792" s="4" t="str">
        <f>IFERROR(__xludf.DUMMYFUNCTION("""COMPUTED_VALUE"""),"687")</f>
        <v>687</v>
      </c>
      <c r="B792" s="4" t="str">
        <f>IFERROR(__xludf.DUMMYFUNCTION("""COMPUTED_VALUE"""),"Placa econ. informat. 55x35 cm f.amarillo")</f>
        <v>Placa econ. informat. 55x35 cm f.amarillo</v>
      </c>
      <c r="C792" s="4">
        <f>IFERROR(__xludf.DUMMYFUNCTION("""COMPUTED_VALUE"""),16.128)</f>
        <v>16.128</v>
      </c>
    </row>
    <row r="793">
      <c r="A793" s="4" t="str">
        <f>IFERROR(__xludf.DUMMYFUNCTION("""COMPUTED_VALUE"""),"688")</f>
        <v>688</v>
      </c>
      <c r="B793" s="4" t="str">
        <f>IFERROR(__xludf.DUMMYFUNCTION("""COMPUTED_VALUE"""),"Placa econ. informat. 55x35 cm f.blanco")</f>
        <v>Placa econ. informat. 55x35 cm f.blanco</v>
      </c>
      <c r="C793" s="4">
        <f>IFERROR(__xludf.DUMMYFUNCTION("""COMPUTED_VALUE"""),16.128)</f>
        <v>16.128</v>
      </c>
    </row>
    <row r="794">
      <c r="A794" s="4" t="str">
        <f>IFERROR(__xludf.DUMMYFUNCTION("""COMPUTED_VALUE"""),"690")</f>
        <v>690</v>
      </c>
      <c r="B794" s="4" t="str">
        <f>IFERROR(__xludf.DUMMYFUNCTION("""COMPUTED_VALUE"""),"Base caucho multiperfil")</f>
        <v>Base caucho multiperfil</v>
      </c>
      <c r="C794" s="4">
        <f>IFERROR(__xludf.DUMMYFUNCTION("""COMPUTED_VALUE"""),16.32)</f>
        <v>16.32</v>
      </c>
    </row>
    <row r="795">
      <c r="A795" s="4" t="str">
        <f>IFERROR(__xludf.DUMMYFUNCTION("""COMPUTED_VALUE"""),"0690B")</f>
        <v>0690B</v>
      </c>
      <c r="B795" s="4" t="str">
        <f>IFERROR(__xludf.DUMMYFUNCTION("""COMPUTED_VALUE"""),"Base multiperfil para valla y señales 18 kg")</f>
        <v>Base multiperfil para valla y señales 18 kg</v>
      </c>
      <c r="C795" s="4">
        <f>IFERROR(__xludf.DUMMYFUNCTION("""COMPUTED_VALUE"""),13.92)</f>
        <v>13.92</v>
      </c>
    </row>
    <row r="796">
      <c r="A796" s="4" t="str">
        <f>IFERROR(__xludf.DUMMYFUNCTION("""COMPUTED_VALUE"""),"0690D")</f>
        <v>0690D</v>
      </c>
      <c r="B796" s="4" t="str">
        <f>IFERROR(__xludf.DUMMYFUNCTION("""COMPUTED_VALUE"""),"Base de caucho multiperfil mod D")</f>
        <v>Base de caucho multiperfil mod D</v>
      </c>
      <c r="C796" s="4">
        <f>IFERROR(__xludf.DUMMYFUNCTION("""COMPUTED_VALUE"""),12.48)</f>
        <v>12.48</v>
      </c>
    </row>
    <row r="797">
      <c r="A797" s="4" t="str">
        <f>IFERROR(__xludf.DUMMYFUNCTION("""COMPUTED_VALUE"""),"0690S")</f>
        <v>0690S</v>
      </c>
      <c r="B797" s="4" t="str">
        <f>IFERROR(__xludf.DUMMYFUNCTION("""COMPUTED_VALUE"""),"Base caucho para panel secuencial")</f>
        <v>Base caucho para panel secuencial</v>
      </c>
      <c r="C797" s="4">
        <f>IFERROR(__xludf.DUMMYFUNCTION("""COMPUTED_VALUE"""),18.48)</f>
        <v>18.48</v>
      </c>
    </row>
    <row r="798">
      <c r="A798" s="4" t="str">
        <f>IFERROR(__xludf.DUMMYFUNCTION("""COMPUTED_VALUE"""),"692")</f>
        <v>692</v>
      </c>
      <c r="B798" s="4" t="str">
        <f>IFERROR(__xludf.DUMMYFUNCTION("""COMPUTED_VALUE"""),"Poste aluminio 3 mtros señ. urbana Diam 60")</f>
        <v>Poste aluminio 3 mtros señ. urbana Diam 60</v>
      </c>
      <c r="C798" s="4">
        <f>IFERROR(__xludf.DUMMYFUNCTION("""COMPUTED_VALUE"""),52.8)</f>
        <v>52.8</v>
      </c>
    </row>
    <row r="799">
      <c r="A799" s="4" t="str">
        <f>IFERROR(__xludf.DUMMYFUNCTION("""COMPUTED_VALUE"""),"0692E")</f>
        <v>0692E</v>
      </c>
      <c r="B799" s="4" t="str">
        <f>IFERROR(__xludf.DUMMYFUNCTION("""COMPUTED_VALUE"""),"Abrazadera poste aluminio 60 mm estriado")</f>
        <v>Abrazadera poste aluminio 60 mm estriado</v>
      </c>
      <c r="C799" s="4">
        <f>IFERROR(__xludf.DUMMYFUNCTION("""COMPUTED_VALUE"""),1.44)</f>
        <v>1.44</v>
      </c>
    </row>
    <row r="800">
      <c r="A800" s="4" t="str">
        <f>IFERROR(__xludf.DUMMYFUNCTION("""COMPUTED_VALUE"""),"693")</f>
        <v>693</v>
      </c>
      <c r="B800" s="4" t="str">
        <f>IFERROR(__xludf.DUMMYFUNCTION("""COMPUTED_VALUE"""),"Tripode Tubular señal metalica mod. C")</f>
        <v>Tripode Tubular señal metalica mod. C</v>
      </c>
      <c r="C800" s="4">
        <f>IFERROR(__xludf.DUMMYFUNCTION("""COMPUTED_VALUE"""),20.16)</f>
        <v>20.16</v>
      </c>
    </row>
    <row r="801">
      <c r="A801" s="4" t="str">
        <f>IFERROR(__xludf.DUMMYFUNCTION("""COMPUTED_VALUE"""),"694")</f>
        <v>694</v>
      </c>
      <c r="B801" s="4" t="str">
        <f>IFERROR(__xludf.DUMMYFUNCTION("""COMPUTED_VALUE"""),"Poste redondo diam. 50 galvan. 3 mt para espejo 4100")</f>
        <v>Poste redondo diam. 50 galvan. 3 mt para espejo 4100</v>
      </c>
      <c r="C801" s="4">
        <f>IFERROR(__xludf.DUMMYFUNCTION("""COMPUTED_VALUE"""),27.168)</f>
        <v>27.168</v>
      </c>
    </row>
    <row r="802">
      <c r="A802" s="4" t="str">
        <f>IFERROR(__xludf.DUMMYFUNCTION("""COMPUTED_VALUE"""),"0694/G")</f>
        <v>0694/G</v>
      </c>
      <c r="B802" s="4" t="str">
        <f>IFERROR(__xludf.DUMMYFUNCTION("""COMPUTED_VALUE"""),"Poste redondo diam. 80 galvan. 3 mt para espejo 4101")</f>
        <v>Poste redondo diam. 80 galvan. 3 mt para espejo 4101</v>
      </c>
      <c r="C802" s="4">
        <f>IFERROR(__xludf.DUMMYFUNCTION("""COMPUTED_VALUE"""),39.312000000000005)</f>
        <v>39.312</v>
      </c>
    </row>
    <row r="803">
      <c r="A803" s="4" t="str">
        <f>IFERROR(__xludf.DUMMYFUNCTION("""COMPUTED_VALUE"""),"0694/M")</f>
        <v>0694/M</v>
      </c>
      <c r="B803" s="4" t="str">
        <f>IFERROR(__xludf.DUMMYFUNCTION("""COMPUTED_VALUE"""),"Poste redondo diam. 60 galva. 3 mt. p/espejos")</f>
        <v>Poste redondo diam. 60 galva. 3 mt. p/espejos</v>
      </c>
      <c r="C803" s="4">
        <f>IFERROR(__xludf.DUMMYFUNCTION("""COMPUTED_VALUE"""),31.68)</f>
        <v>31.68</v>
      </c>
    </row>
    <row r="804">
      <c r="A804" s="4" t="str">
        <f>IFERROR(__xludf.DUMMYFUNCTION("""COMPUTED_VALUE"""),"0694D")</f>
        <v>0694D</v>
      </c>
      <c r="B804" s="4" t="str">
        <f>IFERROR(__xludf.DUMMYFUNCTION("""COMPUTED_VALUE"""),"Poste galva doblado 3 m circular 60 mm")</f>
        <v>Poste galva doblado 3 m circular 60 mm</v>
      </c>
      <c r="C804" s="4">
        <f>IFERROR(__xludf.DUMMYFUNCTION("""COMPUTED_VALUE"""),32.64)</f>
        <v>32.64</v>
      </c>
    </row>
    <row r="805">
      <c r="A805" s="4" t="str">
        <f>IFERROR(__xludf.DUMMYFUNCTION("""COMPUTED_VALUE"""),"0694E")</f>
        <v>0694E</v>
      </c>
      <c r="B805" s="4" t="str">
        <f>IFERROR(__xludf.DUMMYFUNCTION("""COMPUTED_VALUE"""),"Poste tubular 60 mm para cartelería vinilada")</f>
        <v>Poste tubular 60 mm para cartelería vinilada</v>
      </c>
      <c r="C805" s="4">
        <f>IFERROR(__xludf.DUMMYFUNCTION("""COMPUTED_VALUE"""),71.03999999999999)</f>
        <v>71.04</v>
      </c>
    </row>
    <row r="806">
      <c r="A806" s="4" t="str">
        <f>IFERROR(__xludf.DUMMYFUNCTION("""COMPUTED_VALUE"""),"695")</f>
        <v>695</v>
      </c>
      <c r="B806" s="4" t="str">
        <f>IFERROR(__xludf.DUMMYFUNCTION("""COMPUTED_VALUE"""),"Tripode angular señal metalica mod. B")</f>
        <v>Tripode angular señal metalica mod. B</v>
      </c>
      <c r="C806" s="4">
        <f>IFERROR(__xludf.DUMMYFUNCTION("""COMPUTED_VALUE"""),11.76)</f>
        <v>11.76</v>
      </c>
    </row>
    <row r="807">
      <c r="A807" s="4" t="str">
        <f>IFERROR(__xludf.DUMMYFUNCTION("""COMPUTED_VALUE"""),"696")</f>
        <v>696</v>
      </c>
      <c r="B807" s="4" t="str">
        <f>IFERROR(__xludf.DUMMYFUNCTION("""COMPUTED_VALUE"""),"Tripode gigante señal metálica")</f>
        <v>Tripode gigante señal metálica</v>
      </c>
      <c r="C807" s="4">
        <f>IFERROR(__xludf.DUMMYFUNCTION("""COMPUTED_VALUE"""),39.407999999999994)</f>
        <v>39.408</v>
      </c>
    </row>
    <row r="808">
      <c r="A808" s="4" t="str">
        <f>IFERROR(__xludf.DUMMYFUNCTION("""COMPUTED_VALUE"""),"697")</f>
        <v>697</v>
      </c>
      <c r="B808" s="4" t="str">
        <f>IFERROR(__xludf.DUMMYFUNCTION("""COMPUTED_VALUE"""),"Soporte pared p/ espejo 60 cm Mod. Basic")</f>
        <v>Soporte pared p/ espejo 60 cm Mod. Basic</v>
      </c>
      <c r="C808" s="4">
        <f>IFERROR(__xludf.DUMMYFUNCTION("""COMPUTED_VALUE"""),12.863999999999999)</f>
        <v>12.864</v>
      </c>
    </row>
    <row r="809">
      <c r="A809" s="4" t="str">
        <f>IFERROR(__xludf.DUMMYFUNCTION("""COMPUTED_VALUE"""),"0697/M")</f>
        <v>0697/M</v>
      </c>
      <c r="B809" s="4" t="str">
        <f>IFERROR(__xludf.DUMMYFUNCTION("""COMPUTED_VALUE"""),"Soporte pared para espejo Giotto-Rafaello-Icaro")</f>
        <v>Soporte pared para espejo Giotto-Rafaello-Icaro</v>
      </c>
      <c r="C809" s="4">
        <f>IFERROR(__xludf.DUMMYFUNCTION("""COMPUTED_VALUE"""),13.344)</f>
        <v>13.344</v>
      </c>
    </row>
    <row r="810">
      <c r="A810" s="4" t="str">
        <f>IFERROR(__xludf.DUMMYFUNCTION("""COMPUTED_VALUE"""),"0697G")</f>
        <v>0697G</v>
      </c>
      <c r="B810" s="4" t="str">
        <f>IFERROR(__xludf.DUMMYFUNCTION("""COMPUTED_VALUE"""),"Soporte pared p/ espejo 80 cm Mod. Basic")</f>
        <v>Soporte pared p/ espejo 80 cm Mod. Basic</v>
      </c>
      <c r="C810" s="4">
        <f>IFERROR(__xludf.DUMMYFUNCTION("""COMPUTED_VALUE"""),15.6)</f>
        <v>15.6</v>
      </c>
    </row>
    <row r="811">
      <c r="A811" s="4" t="str">
        <f>IFERROR(__xludf.DUMMYFUNCTION("""COMPUTED_VALUE"""),"698")</f>
        <v>698</v>
      </c>
      <c r="B811" s="4" t="str">
        <f>IFERROR(__xludf.DUMMYFUNCTION("""COMPUTED_VALUE"""),"Soporte pared señal metalica")</f>
        <v>Soporte pared señal metalica</v>
      </c>
      <c r="C811" s="4">
        <f>IFERROR(__xludf.DUMMYFUNCTION("""COMPUTED_VALUE"""),16.703999999999997)</f>
        <v>16.704</v>
      </c>
    </row>
    <row r="812">
      <c r="A812" s="4" t="str">
        <f>IFERROR(__xludf.DUMMYFUNCTION("""COMPUTED_VALUE"""),"699")</f>
        <v>699</v>
      </c>
      <c r="B812" s="4" t="str">
        <f>IFERROR(__xludf.DUMMYFUNCTION("""COMPUTED_VALUE"""),"Señal economica reflex")</f>
        <v>Señal economica reflex</v>
      </c>
      <c r="C812" s="4">
        <f>IFERROR(__xludf.DUMMYFUNCTION("""COMPUTED_VALUE"""),13.92)</f>
        <v>13.92</v>
      </c>
    </row>
    <row r="813">
      <c r="A813" s="4" t="str">
        <f>IFERROR(__xludf.DUMMYFUNCTION("""COMPUTED_VALUE"""),"701")</f>
        <v>701</v>
      </c>
      <c r="B813" s="4" t="str">
        <f>IFERROR(__xludf.DUMMYFUNCTION("""COMPUTED_VALUE"""),"Conjunto señalización tubular aparcar con soporte y plesilla")</f>
        <v>Conjunto señalización tubular aparcar con soporte y plesilla</v>
      </c>
      <c r="C813" s="4">
        <f>IFERROR(__xludf.DUMMYFUNCTION("""COMPUTED_VALUE"""),75.84)</f>
        <v>75.84</v>
      </c>
    </row>
    <row r="814">
      <c r="A814" s="4" t="str">
        <f>IFERROR(__xludf.DUMMYFUNCTION("""COMPUTED_VALUE"""),"0701/01")</f>
        <v>0701/01</v>
      </c>
      <c r="B814" s="4" t="str">
        <f>IFERROR(__xludf.DUMMYFUNCTION("""COMPUTED_VALUE"""),"Protector esquina acero 45cm lado x 100 cm altura tubo de")</f>
        <v>Protector esquina acero 45cm lado x 100 cm altura tubo de</v>
      </c>
      <c r="C814" s="4">
        <f>IFERROR(__xludf.DUMMYFUNCTION("""COMPUTED_VALUE"""),143.61599999999999)</f>
        <v>143.616</v>
      </c>
    </row>
    <row r="815">
      <c r="A815" s="4" t="str">
        <f>IFERROR(__xludf.DUMMYFUNCTION("""COMPUTED_VALUE"""),"0701/03")</f>
        <v>0701/03</v>
      </c>
      <c r="B815" s="4" t="str">
        <f>IFERROR(__xludf.DUMMYFUNCTION("""COMPUTED_VALUE"""),"Protector esquina acero 100 cm lado x 100 cm altura tubo de")</f>
        <v>Protector esquina acero 100 cm lado x 100 cm altura tubo de</v>
      </c>
      <c r="C815" s="4">
        <f>IFERROR(__xludf.DUMMYFUNCTION("""COMPUTED_VALUE"""),211.67999999999998)</f>
        <v>211.68</v>
      </c>
    </row>
    <row r="816">
      <c r="A816" s="4" t="str">
        <f>IFERROR(__xludf.DUMMYFUNCTION("""COMPUTED_VALUE"""),"0702/01")</f>
        <v>0702/01</v>
      </c>
      <c r="B816" s="4" t="str">
        <f>IFERROR(__xludf.DUMMYFUNCTION("""COMPUTED_VALUE"""),"Barrera protectora 100 cm largo x 100 cm altura tubo de 50x2")</f>
        <v>Barrera protectora 100 cm largo x 100 cm altura tubo de 50x2</v>
      </c>
      <c r="C816" s="4">
        <f>IFERROR(__xludf.DUMMYFUNCTION("""COMPUTED_VALUE"""),120.96)</f>
        <v>120.96</v>
      </c>
    </row>
    <row r="817">
      <c r="A817" s="4" t="str">
        <f>IFERROR(__xludf.DUMMYFUNCTION("""COMPUTED_VALUE"""),"0702/02")</f>
        <v>0702/02</v>
      </c>
      <c r="B817" s="4" t="str">
        <f>IFERROR(__xludf.DUMMYFUNCTION("""COMPUTED_VALUE"""),"Barrera protectora 100 cm largo x 100 cm altura tubo de 50x3")</f>
        <v>Barrera protectora 100 cm largo x 100 cm altura tubo de 50x3</v>
      </c>
      <c r="C817" s="4">
        <f>IFERROR(__xludf.DUMMYFUNCTION("""COMPUTED_VALUE"""),132.048)</f>
        <v>132.048</v>
      </c>
    </row>
    <row r="818">
      <c r="A818" s="4" t="str">
        <f>IFERROR(__xludf.DUMMYFUNCTION("""COMPUTED_VALUE"""),"0702/03")</f>
        <v>0702/03</v>
      </c>
      <c r="B818" s="4" t="str">
        <f>IFERROR(__xludf.DUMMYFUNCTION("""COMPUTED_VALUE"""),"Barrera protectora 100 cm largo x 100 cm altura tubo de")</f>
        <v>Barrera protectora 100 cm largo x 100 cm altura tubo de</v>
      </c>
      <c r="C818" s="4">
        <f>IFERROR(__xludf.DUMMYFUNCTION("""COMPUTED_VALUE"""),136.07999999999998)</f>
        <v>136.08</v>
      </c>
    </row>
    <row r="819">
      <c r="A819" s="4" t="str">
        <f>IFERROR(__xludf.DUMMYFUNCTION("""COMPUTED_VALUE"""),"0702/04")</f>
        <v>0702/04</v>
      </c>
      <c r="B819" s="4" t="str">
        <f>IFERROR(__xludf.DUMMYFUNCTION("""COMPUTED_VALUE"""),"Barrera protectora 100 cm largo x 100 cm altura tubo de")</f>
        <v>Barrera protectora 100 cm largo x 100 cm altura tubo de</v>
      </c>
      <c r="C819" s="4">
        <f>IFERROR(__xludf.DUMMYFUNCTION("""COMPUTED_VALUE"""),163.79999999999998)</f>
        <v>163.8</v>
      </c>
    </row>
    <row r="820">
      <c r="A820" s="4" t="str">
        <f>IFERROR(__xludf.DUMMYFUNCTION("""COMPUTED_VALUE"""),"0702/05")</f>
        <v>0702/05</v>
      </c>
      <c r="B820" s="4" t="str">
        <f>IFERROR(__xludf.DUMMYFUNCTION("""COMPUTED_VALUE"""),"Barrera protectora 200 cm largo x 100 cm altura tubo de")</f>
        <v>Barrera protectora 200 cm largo x 100 cm altura tubo de</v>
      </c>
      <c r="C820" s="4">
        <f>IFERROR(__xludf.DUMMYFUNCTION("""COMPUTED_VALUE"""),166.32)</f>
        <v>166.32</v>
      </c>
    </row>
    <row r="821">
      <c r="A821" s="4" t="str">
        <f>IFERROR(__xludf.DUMMYFUNCTION("""COMPUTED_VALUE"""),"0702/06")</f>
        <v>0702/06</v>
      </c>
      <c r="B821" s="4" t="str">
        <f>IFERROR(__xludf.DUMMYFUNCTION("""COMPUTED_VALUE"""),"Barrera protectora 200 cm largo x 100 cm altura tubo 50x3mm")</f>
        <v>Barrera protectora 200 cm largo x 100 cm altura tubo 50x3mm</v>
      </c>
      <c r="C821" s="4">
        <f>IFERROR(__xludf.DUMMYFUNCTION("""COMPUTED_VALUE"""),214.2)</f>
        <v>214.2</v>
      </c>
    </row>
    <row r="822">
      <c r="A822" s="4" t="str">
        <f>IFERROR(__xludf.DUMMYFUNCTION("""COMPUTED_VALUE"""),"0702/07")</f>
        <v>0702/07</v>
      </c>
      <c r="B822" s="4" t="str">
        <f>IFERROR(__xludf.DUMMYFUNCTION("""COMPUTED_VALUE"""),"Barrera protectora 200 cm largo x 100 cm altura tubo de")</f>
        <v>Barrera protectora 200 cm largo x 100 cm altura tubo de</v>
      </c>
      <c r="C822" s="4">
        <f>IFERROR(__xludf.DUMMYFUNCTION("""COMPUTED_VALUE"""),168.84)</f>
        <v>168.84</v>
      </c>
    </row>
    <row r="823">
      <c r="A823" s="4" t="str">
        <f>IFERROR(__xludf.DUMMYFUNCTION("""COMPUTED_VALUE"""),"0702/08")</f>
        <v>0702/08</v>
      </c>
      <c r="B823" s="4" t="str">
        <f>IFERROR(__xludf.DUMMYFUNCTION("""COMPUTED_VALUE"""),"Barrera protectora 200 cm largo x 100 cm altura tubo de")</f>
        <v>Barrera protectora 200 cm largo x 100 cm altura tubo de</v>
      </c>
      <c r="C823" s="4">
        <f>IFERROR(__xludf.DUMMYFUNCTION("""COMPUTED_VALUE"""),226.79999999999998)</f>
        <v>226.8</v>
      </c>
    </row>
    <row r="824">
      <c r="A824" s="4" t="str">
        <f>IFERROR(__xludf.DUMMYFUNCTION("""COMPUTED_VALUE"""),"0703/01")</f>
        <v>0703/01</v>
      </c>
      <c r="B824" s="4" t="str">
        <f>IFERROR(__xludf.DUMMYFUNCTION("""COMPUTED_VALUE"""),"Barrera protectora reforzada 100 cm largo x 100 cm altura tubo")</f>
        <v>Barrera protectora reforzada 100 cm largo x 100 cm altura tubo</v>
      </c>
      <c r="C824" s="4">
        <f>IFERROR(__xludf.DUMMYFUNCTION("""COMPUTED_VALUE"""),176.4)</f>
        <v>176.4</v>
      </c>
    </row>
    <row r="825">
      <c r="A825" s="4" t="str">
        <f>IFERROR(__xludf.DUMMYFUNCTION("""COMPUTED_VALUE"""),"0703/02")</f>
        <v>0703/02</v>
      </c>
      <c r="B825" s="4" t="str">
        <f>IFERROR(__xludf.DUMMYFUNCTION("""COMPUTED_VALUE"""),"Barrera protectora reforzada 100 cm largo x 100 cm altura tubo")</f>
        <v>Barrera protectora reforzada 100 cm largo x 100 cm altura tubo</v>
      </c>
      <c r="C825" s="4">
        <f>IFERROR(__xludf.DUMMYFUNCTION("""COMPUTED_VALUE"""),141.12)</f>
        <v>141.12</v>
      </c>
    </row>
    <row r="826">
      <c r="A826" s="4" t="str">
        <f>IFERROR(__xludf.DUMMYFUNCTION("""COMPUTED_VALUE"""),"0703/03")</f>
        <v>0703/03</v>
      </c>
      <c r="B826" s="4" t="str">
        <f>IFERROR(__xludf.DUMMYFUNCTION("""COMPUTED_VALUE"""),"Barrera protectora reforzada 100 cm largo x 100 cm altura tubo")</f>
        <v>Barrera protectora reforzada 100 cm largo x 100 cm altura tubo</v>
      </c>
      <c r="C826" s="4">
        <f>IFERROR(__xludf.DUMMYFUNCTION("""COMPUTED_VALUE"""),131.04)</f>
        <v>131.04</v>
      </c>
    </row>
    <row r="827">
      <c r="A827" s="4" t="str">
        <f>IFERROR(__xludf.DUMMYFUNCTION("""COMPUTED_VALUE"""),"0703/04")</f>
        <v>0703/04</v>
      </c>
      <c r="B827" s="4" t="str">
        <f>IFERROR(__xludf.DUMMYFUNCTION("""COMPUTED_VALUE"""),"Barrera protectora reforzada 100 cm largo x 100 cm altura tubo")</f>
        <v>Barrera protectora reforzada 100 cm largo x 100 cm altura tubo</v>
      </c>
      <c r="C827" s="4">
        <f>IFERROR(__xludf.DUMMYFUNCTION("""COMPUTED_VALUE"""),176.4)</f>
        <v>176.4</v>
      </c>
    </row>
    <row r="828">
      <c r="A828" s="4" t="str">
        <f>IFERROR(__xludf.DUMMYFUNCTION("""COMPUTED_VALUE"""),"0703/05")</f>
        <v>0703/05</v>
      </c>
      <c r="B828" s="4" t="str">
        <f>IFERROR(__xludf.DUMMYFUNCTION("""COMPUTED_VALUE"""),"Barrera protectora reforzada 200 cm largo x 100 cm altura tubo")</f>
        <v>Barrera protectora reforzada 200 cm largo x 100 cm altura tubo</v>
      </c>
      <c r="C828" s="4">
        <f>IFERROR(__xludf.DUMMYFUNCTION("""COMPUTED_VALUE"""),189.0)</f>
        <v>189</v>
      </c>
    </row>
    <row r="829">
      <c r="A829" s="4" t="str">
        <f>IFERROR(__xludf.DUMMYFUNCTION("""COMPUTED_VALUE"""),"0703/06")</f>
        <v>0703/06</v>
      </c>
      <c r="B829" s="4" t="str">
        <f>IFERROR(__xludf.DUMMYFUNCTION("""COMPUTED_VALUE"""),"Barrera protectora reforzada 200 cm largo x 100 cm altura tubo")</f>
        <v>Barrera protectora reforzada 200 cm largo x 100 cm altura tubo</v>
      </c>
      <c r="C829" s="4">
        <f>IFERROR(__xludf.DUMMYFUNCTION("""COMPUTED_VALUE"""),214.2)</f>
        <v>214.2</v>
      </c>
    </row>
    <row r="830">
      <c r="A830" s="4" t="str">
        <f>IFERROR(__xludf.DUMMYFUNCTION("""COMPUTED_VALUE"""),"0703/07")</f>
        <v>0703/07</v>
      </c>
      <c r="B830" s="4" t="str">
        <f>IFERROR(__xludf.DUMMYFUNCTION("""COMPUTED_VALUE"""),"Barrera protectora reforzada 200 cm largo x 100 cm altura tubo")</f>
        <v>Barrera protectora reforzada 200 cm largo x 100 cm altura tubo</v>
      </c>
      <c r="C830" s="4">
        <f>IFERROR(__xludf.DUMMYFUNCTION("""COMPUTED_VALUE"""),189.0)</f>
        <v>189</v>
      </c>
    </row>
    <row r="831">
      <c r="A831" s="4" t="str">
        <f>IFERROR(__xludf.DUMMYFUNCTION("""COMPUTED_VALUE"""),"0703/08")</f>
        <v>0703/08</v>
      </c>
      <c r="B831" s="4" t="str">
        <f>IFERROR(__xludf.DUMMYFUNCTION("""COMPUTED_VALUE"""),"Barrera protectora reforzada 200 cm largo x 100 cm altiura tubo")</f>
        <v>Barrera protectora reforzada 200 cm largo x 100 cm altiura tubo</v>
      </c>
      <c r="C831" s="4">
        <f>IFERROR(__xludf.DUMMYFUNCTION("""COMPUTED_VALUE"""),236.88)</f>
        <v>236.88</v>
      </c>
    </row>
    <row r="832">
      <c r="A832" s="4" t="str">
        <f>IFERROR(__xludf.DUMMYFUNCTION("""COMPUTED_VALUE"""),"0704/01")</f>
        <v>0704/01</v>
      </c>
      <c r="B832" s="4" t="str">
        <f>IFERROR(__xludf.DUMMYFUNCTION("""COMPUTED_VALUE"""),"Bolardo acero N/A 100 cm altura tubo 60x2mm")</f>
        <v>Bolardo acero N/A 100 cm altura tubo 60x2mm</v>
      </c>
      <c r="C832" s="4">
        <f>IFERROR(__xludf.DUMMYFUNCTION("""COMPUTED_VALUE"""),60.48)</f>
        <v>60.48</v>
      </c>
    </row>
    <row r="833">
      <c r="A833" s="4" t="str">
        <f>IFERROR(__xludf.DUMMYFUNCTION("""COMPUTED_VALUE"""),"0704/02")</f>
        <v>0704/02</v>
      </c>
      <c r="B833" s="4" t="str">
        <f>IFERROR(__xludf.DUMMYFUNCTION("""COMPUTED_VALUE"""),"Bolardo acero N/A 100 cm altura tubo de 80x2mm")</f>
        <v>Bolardo acero N/A 100 cm altura tubo de 80x2mm</v>
      </c>
      <c r="C833" s="4">
        <f>IFERROR(__xludf.DUMMYFUNCTION("""COMPUTED_VALUE"""),75.6)</f>
        <v>75.6</v>
      </c>
    </row>
    <row r="834">
      <c r="A834" s="4" t="str">
        <f>IFERROR(__xludf.DUMMYFUNCTION("""COMPUTED_VALUE"""),"0705/01")</f>
        <v>0705/01</v>
      </c>
      <c r="B834" s="4" t="str">
        <f>IFERROR(__xludf.DUMMYFUNCTION("""COMPUTED_VALUE"""),"Zocalo proteccion 200 cm largo x 6,6 cm altura tubo de")</f>
        <v>Zocalo proteccion 200 cm largo x 6,6 cm altura tubo de</v>
      </c>
      <c r="C834" s="4">
        <f>IFERROR(__xludf.DUMMYFUNCTION("""COMPUTED_VALUE"""),95.75999999999999)</f>
        <v>95.76</v>
      </c>
    </row>
    <row r="835">
      <c r="A835" s="4" t="str">
        <f>IFERROR(__xludf.DUMMYFUNCTION("""COMPUTED_VALUE"""),"0705/02")</f>
        <v>0705/02</v>
      </c>
      <c r="B835" s="4" t="str">
        <f>IFERROR(__xludf.DUMMYFUNCTION("""COMPUTED_VALUE"""),"Zocalo proteccion 200 cm largo x 8,6 cm altura tubo de")</f>
        <v>Zocalo proteccion 200 cm largo x 8,6 cm altura tubo de</v>
      </c>
      <c r="C835" s="4">
        <f>IFERROR(__xludf.DUMMYFUNCTION("""COMPUTED_VALUE"""),113.39999999999999)</f>
        <v>113.4</v>
      </c>
    </row>
    <row r="836">
      <c r="A836" s="4" t="str">
        <f>IFERROR(__xludf.DUMMYFUNCTION("""COMPUTED_VALUE"""),"706")</f>
        <v>706</v>
      </c>
      <c r="B836" s="4" t="str">
        <f>IFERROR(__xludf.DUMMYFUNCTION("""COMPUTED_VALUE"""),"Placa Taller 50x50 cm personalizable")</f>
        <v>Placa Taller 50x50 cm personalizable</v>
      </c>
      <c r="C836" s="4">
        <f>IFERROR(__xludf.DUMMYFUNCTION("""COMPUTED_VALUE"""),10.799999999999999)</f>
        <v>10.8</v>
      </c>
    </row>
    <row r="837">
      <c r="A837" s="4" t="str">
        <f>IFERROR(__xludf.DUMMYFUNCTION("""COMPUTED_VALUE"""),"708")</f>
        <v>708</v>
      </c>
      <c r="B837" s="4" t="str">
        <f>IFERROR(__xludf.DUMMYFUNCTION("""COMPUTED_VALUE"""),"Conjunto prohibido aparcar + trípode con plesilla")</f>
        <v>Conjunto prohibido aparcar + trípode con plesilla</v>
      </c>
      <c r="C837" s="4">
        <f>IFERROR(__xludf.DUMMYFUNCTION("""COMPUTED_VALUE"""),29.759999999999998)</f>
        <v>29.76</v>
      </c>
    </row>
    <row r="838">
      <c r="A838" s="4" t="str">
        <f>IFERROR(__xludf.DUMMYFUNCTION("""COMPUTED_VALUE"""),"710")</f>
        <v>710</v>
      </c>
      <c r="B838" s="4" t="str">
        <f>IFERROR(__xludf.DUMMYFUNCTION("""COMPUTED_VALUE"""),"Placa mercancias peligrosas fija 40x30 troquelada")</f>
        <v>Placa mercancias peligrosas fija 40x30 troquelada</v>
      </c>
      <c r="C838" s="4">
        <f>IFERROR(__xludf.DUMMYFUNCTION("""COMPUTED_VALUE"""),31.583999999999996)</f>
        <v>31.584</v>
      </c>
    </row>
    <row r="839">
      <c r="A839" s="4" t="str">
        <f>IFERROR(__xludf.DUMMYFUNCTION("""COMPUTED_VALUE"""),"0710T")</f>
        <v>0710T</v>
      </c>
      <c r="B839" s="4" t="str">
        <f>IFERROR(__xludf.DUMMYFUNCTION("""COMPUTED_VALUE"""),"Placa mercancia peligrosa plegable sin troquelar 40x30")</f>
        <v>Placa mercancia peligrosa plegable sin troquelar 40x30</v>
      </c>
      <c r="C839" s="4">
        <f>IFERROR(__xludf.DUMMYFUNCTION("""COMPUTED_VALUE"""),21.216)</f>
        <v>21.216</v>
      </c>
    </row>
    <row r="840">
      <c r="A840" s="4" t="str">
        <f>IFERROR(__xludf.DUMMYFUNCTION("""COMPUTED_VALUE"""),"711")</f>
        <v>711</v>
      </c>
      <c r="B840" s="4" t="str">
        <f>IFERROR(__xludf.DUMMYFUNCTION("""COMPUTED_VALUE"""),"Disco nacional 20 cm diám Limitacion Velocidad alumin, Reflex")</f>
        <v>Disco nacional 20 cm diám Limitacion Velocidad alumin, Reflex</v>
      </c>
      <c r="C840" s="4">
        <f>IFERROR(__xludf.DUMMYFUNCTION("""COMPUTED_VALUE"""),7.68)</f>
        <v>7.68</v>
      </c>
    </row>
    <row r="841">
      <c r="A841" s="4" t="str">
        <f>IFERROR(__xludf.DUMMYFUNCTION("""COMPUTED_VALUE"""),"0711/20")</f>
        <v>0711/20</v>
      </c>
      <c r="B841" s="4" t="str">
        <f>IFERROR(__xludf.DUMMYFUNCTION("""COMPUTED_VALUE"""),"Disco alum. diam.20cm Lim Velocidad 20 Reflex 2")</f>
        <v>Disco alum. diam.20cm Lim Velocidad 20 Reflex 2</v>
      </c>
      <c r="C841" s="4">
        <f>IFERROR(__xludf.DUMMYFUNCTION("""COMPUTED_VALUE"""),7.56)</f>
        <v>7.56</v>
      </c>
    </row>
    <row r="842">
      <c r="A842" s="4" t="str">
        <f>IFERROR(__xludf.DUMMYFUNCTION("""COMPUTED_VALUE"""),"0711/25")</f>
        <v>0711/25</v>
      </c>
      <c r="B842" s="4" t="str">
        <f>IFERROR(__xludf.DUMMYFUNCTION("""COMPUTED_VALUE"""),"Disco alum. diam.20cm Lim Velocidad 25 Reflex 2")</f>
        <v>Disco alum. diam.20cm Lim Velocidad 25 Reflex 2</v>
      </c>
      <c r="C842" s="4">
        <f>IFERROR(__xludf.DUMMYFUNCTION("""COMPUTED_VALUE"""),7.56)</f>
        <v>7.56</v>
      </c>
    </row>
    <row r="843">
      <c r="A843" s="4" t="str">
        <f>IFERROR(__xludf.DUMMYFUNCTION("""COMPUTED_VALUE"""),"0711/30")</f>
        <v>0711/30</v>
      </c>
      <c r="B843" s="4" t="str">
        <f>IFERROR(__xludf.DUMMYFUNCTION("""COMPUTED_VALUE"""),"Disco alum. diam.20cm Lim Velocidad 30 Reflex 2")</f>
        <v>Disco alum. diam.20cm Lim Velocidad 30 Reflex 2</v>
      </c>
      <c r="C843" s="4">
        <f>IFERROR(__xludf.DUMMYFUNCTION("""COMPUTED_VALUE"""),7.56)</f>
        <v>7.56</v>
      </c>
    </row>
    <row r="844">
      <c r="A844" s="4" t="str">
        <f>IFERROR(__xludf.DUMMYFUNCTION("""COMPUTED_VALUE"""),"0711/35")</f>
        <v>0711/35</v>
      </c>
      <c r="B844" s="4" t="str">
        <f>IFERROR(__xludf.DUMMYFUNCTION("""COMPUTED_VALUE"""),"Disco alum. diam.20cm Lim Velocidad 35 Reflex 2")</f>
        <v>Disco alum. diam.20cm Lim Velocidad 35 Reflex 2</v>
      </c>
      <c r="C844" s="4">
        <f>IFERROR(__xludf.DUMMYFUNCTION("""COMPUTED_VALUE"""),7.56)</f>
        <v>7.56</v>
      </c>
    </row>
    <row r="845">
      <c r="A845" s="4" t="str">
        <f>IFERROR(__xludf.DUMMYFUNCTION("""COMPUTED_VALUE"""),"0711/40")</f>
        <v>0711/40</v>
      </c>
      <c r="B845" s="4" t="str">
        <f>IFERROR(__xludf.DUMMYFUNCTION("""COMPUTED_VALUE"""),"Disco alum. diam.20cm Lim Velocidad 40 Reflex 2")</f>
        <v>Disco alum. diam.20cm Lim Velocidad 40 Reflex 2</v>
      </c>
      <c r="C845" s="4">
        <f>IFERROR(__xludf.DUMMYFUNCTION("""COMPUTED_VALUE"""),7.56)</f>
        <v>7.56</v>
      </c>
    </row>
    <row r="846">
      <c r="A846" s="4" t="str">
        <f>IFERROR(__xludf.DUMMYFUNCTION("""COMPUTED_VALUE"""),"0711/45")</f>
        <v>0711/45</v>
      </c>
      <c r="B846" s="4" t="str">
        <f>IFERROR(__xludf.DUMMYFUNCTION("""COMPUTED_VALUE"""),"Disco alum. diam.20cm Lim Velocidad 45 Reflex 2")</f>
        <v>Disco alum. diam.20cm Lim Velocidad 45 Reflex 2</v>
      </c>
      <c r="C846" s="4">
        <f>IFERROR(__xludf.DUMMYFUNCTION("""COMPUTED_VALUE"""),7.56)</f>
        <v>7.56</v>
      </c>
    </row>
    <row r="847">
      <c r="A847" s="4" t="str">
        <f>IFERROR(__xludf.DUMMYFUNCTION("""COMPUTED_VALUE"""),"712")</f>
        <v>712</v>
      </c>
      <c r="B847" s="4" t="str">
        <f>IFERROR(__xludf.DUMMYFUNCTION("""COMPUTED_VALUE"""),"Placa Servicio Público 75x150 mm aluminiro Reflex 2")</f>
        <v>Placa Servicio Público 75x150 mm aluminiro Reflex 2</v>
      </c>
      <c r="C847" s="4">
        <f>IFERROR(__xludf.DUMMYFUNCTION("""COMPUTED_VALUE"""),4.08)</f>
        <v>4.08</v>
      </c>
    </row>
    <row r="848">
      <c r="A848" s="4" t="str">
        <f>IFERROR(__xludf.DUMMYFUNCTION("""COMPUTED_VALUE"""),"713")</f>
        <v>713</v>
      </c>
      <c r="B848" s="4" t="str">
        <f>IFERROR(__xludf.DUMMYFUNCTION("""COMPUTED_VALUE"""),"Placa Servicio Público 120x225 mm aluminio Reflex N2")</f>
        <v>Placa Servicio Público 120x225 mm aluminio Reflex N2</v>
      </c>
      <c r="C848" s="4">
        <f>IFERROR(__xludf.DUMMYFUNCTION("""COMPUTED_VALUE"""),6.4799999999999995)</f>
        <v>6.48</v>
      </c>
    </row>
    <row r="849">
      <c r="A849" s="4" t="str">
        <f>IFERROR(__xludf.DUMMYFUNCTION("""COMPUTED_VALUE"""),"714")</f>
        <v>714</v>
      </c>
      <c r="B849" s="4" t="str">
        <f>IFERROR(__xludf.DUMMYFUNCTION("""COMPUTED_VALUE"""),"Señal Transporte Animales Vivos aluminio 30x22 cm")</f>
        <v>Señal Transporte Animales Vivos aluminio 30x22 cm</v>
      </c>
      <c r="C849" s="4">
        <f>IFERROR(__xludf.DUMMYFUNCTION("""COMPUTED_VALUE"""),7.4399999999999995)</f>
        <v>7.44</v>
      </c>
    </row>
    <row r="850">
      <c r="A850" s="4" t="str">
        <f>IFERROR(__xludf.DUMMYFUNCTION("""COMPUTED_VALUE"""),"715")</f>
        <v>715</v>
      </c>
      <c r="B850" s="4" t="str">
        <f>IFERROR(__xludf.DUMMYFUNCTION("""COMPUTED_VALUE"""),"Señal adhesiva de TARA P.M.A. 130x330 mm")</f>
        <v>Señal adhesiva de TARA P.M.A. 130x330 mm</v>
      </c>
      <c r="C850" s="4">
        <f>IFERROR(__xludf.DUMMYFUNCTION("""COMPUTED_VALUE"""),1.92)</f>
        <v>1.92</v>
      </c>
    </row>
    <row r="851">
      <c r="A851" s="4" t="str">
        <f>IFERROR(__xludf.DUMMYFUNCTION("""COMPUTED_VALUE"""),"716")</f>
        <v>716</v>
      </c>
      <c r="B851" s="4" t="str">
        <f>IFERROR(__xludf.DUMMYFUNCTION("""COMPUTED_VALUE"""),"Placa Vehículo Lento 365 mm de lado aluminio Reflex N2")</f>
        <v>Placa Vehículo Lento 365 mm de lado aluminio Reflex N2</v>
      </c>
      <c r="C851" s="4">
        <f>IFERROR(__xludf.DUMMYFUNCTION("""COMPUTED_VALUE"""),20.16)</f>
        <v>20.16</v>
      </c>
    </row>
    <row r="852">
      <c r="A852" s="4" t="str">
        <f>IFERROR(__xludf.DUMMYFUNCTION("""COMPUTED_VALUE"""),"717")</f>
        <v>717</v>
      </c>
      <c r="B852" s="4" t="str">
        <f>IFERROR(__xludf.DUMMYFUNCTION("""COMPUTED_VALUE"""),"Placa R-70 corta 565x200mm vehic. largo (juego2 pzas)")</f>
        <v>Placa R-70 corta 565x200mm vehic. largo (juego2 pzas)</v>
      </c>
      <c r="C852" s="4">
        <f>IFERROR(__xludf.DUMMYFUNCTION("""COMPUTED_VALUE"""),32.64)</f>
        <v>32.64</v>
      </c>
    </row>
    <row r="853">
      <c r="A853" s="4" t="str">
        <f>IFERROR(__xludf.DUMMYFUNCTION("""COMPUTED_VALUE"""),"0717/L")</f>
        <v>0717/L</v>
      </c>
      <c r="B853" s="4" t="str">
        <f>IFERROR(__xludf.DUMMYFUNCTION("""COMPUTED_VALUE"""),"Placa 1130x200mm vehículo Largo Reflex N2 Homol. Europea")</f>
        <v>Placa 1130x200mm vehículo Largo Reflex N2 Homol. Europea</v>
      </c>
      <c r="C853" s="4">
        <f>IFERROR(__xludf.DUMMYFUNCTION("""COMPUTED_VALUE"""),26.88)</f>
        <v>26.88</v>
      </c>
    </row>
    <row r="854">
      <c r="A854" s="4" t="str">
        <f>IFERROR(__xludf.DUMMYFUNCTION("""COMPUTED_VALUE"""),"719")</f>
        <v>719</v>
      </c>
      <c r="B854" s="4" t="str">
        <f>IFERROR(__xludf.DUMMYFUNCTION("""COMPUTED_VALUE"""),"Placa 1ª categ COTO PRIVADO DE CAZA + matric. Troquel.")</f>
        <v>Placa 1ª categ COTO PRIVADO DE CAZA + matric. Troquel.</v>
      </c>
      <c r="C854" s="4">
        <f>IFERROR(__xludf.DUMMYFUNCTION("""COMPUTED_VALUE"""),10.559999999999999)</f>
        <v>10.56</v>
      </c>
    </row>
    <row r="855">
      <c r="A855" s="4" t="str">
        <f>IFERROR(__xludf.DUMMYFUNCTION("""COMPUTED_VALUE"""),"720")</f>
        <v>720</v>
      </c>
      <c r="B855" s="4" t="str">
        <f>IFERROR(__xludf.DUMMYFUNCTION("""COMPUTED_VALUE"""),"Placa 2ª categ. COTO DE CAZA 30X20 cm")</f>
        <v>Placa 2ª categ. COTO DE CAZA 30X20 cm</v>
      </c>
      <c r="C855" s="4">
        <f>IFERROR(__xludf.DUMMYFUNCTION("""COMPUTED_VALUE"""),5.76)</f>
        <v>5.76</v>
      </c>
    </row>
    <row r="856">
      <c r="A856" s="4" t="str">
        <f>IFERROR(__xludf.DUMMYFUNCTION("""COMPUTED_VALUE"""),"721")</f>
        <v>721</v>
      </c>
      <c r="B856" s="4" t="str">
        <f>IFERROR(__xludf.DUMMYFUNCTION("""COMPUTED_VALUE"""),"Placa Nº puerta aluminio 19x14cm azul")</f>
        <v>Placa Nº puerta aluminio 19x14cm azul</v>
      </c>
      <c r="C856" s="4">
        <f>IFERROR(__xludf.DUMMYFUNCTION("""COMPUTED_VALUE"""),3.84)</f>
        <v>3.84</v>
      </c>
    </row>
    <row r="857">
      <c r="A857" s="4" t="str">
        <f>IFERROR(__xludf.DUMMYFUNCTION("""COMPUTED_VALUE"""),"722")</f>
        <v>722</v>
      </c>
      <c r="B857" s="4" t="str">
        <f>IFERROR(__xludf.DUMMYFUNCTION("""COMPUTED_VALUE"""),"Placa V-10 transporte escolar 20x20 Reflex 2 Homologada")</f>
        <v>Placa V-10 transporte escolar 20x20 Reflex 2 Homologada</v>
      </c>
      <c r="C857" s="4">
        <f>IFERROR(__xludf.DUMMYFUNCTION("""COMPUTED_VALUE"""),10.176)</f>
        <v>10.176</v>
      </c>
    </row>
    <row r="858">
      <c r="A858" s="4" t="str">
        <f>IFERROR(__xludf.DUMMYFUNCTION("""COMPUTED_VALUE"""),"726")</f>
        <v>726</v>
      </c>
      <c r="B858" s="4" t="str">
        <f>IFERROR(__xludf.DUMMYFUNCTION("""COMPUTED_VALUE"""),"Bocina neumática a mano")</f>
        <v>Bocina neumática a mano</v>
      </c>
      <c r="C858" s="4">
        <f>IFERROR(__xludf.DUMMYFUNCTION("""COMPUTED_VALUE"""),20.16)</f>
        <v>20.16</v>
      </c>
    </row>
    <row r="859">
      <c r="A859" s="4" t="str">
        <f>IFERROR(__xludf.DUMMYFUNCTION("""COMPUTED_VALUE"""),"727")</f>
        <v>727</v>
      </c>
      <c r="B859" s="4" t="str">
        <f>IFERROR(__xludf.DUMMYFUNCTION("""COMPUTED_VALUE"""),"Pinzas más cable para batería 400 Ah")</f>
        <v>Pinzas más cable para batería 400 Ah</v>
      </c>
      <c r="C859" s="4">
        <f>IFERROR(__xludf.DUMMYFUNCTION("""COMPUTED_VALUE"""),16.32)</f>
        <v>16.32</v>
      </c>
    </row>
    <row r="860">
      <c r="A860" s="4" t="str">
        <f>IFERROR(__xludf.DUMMYFUNCTION("""COMPUTED_VALUE"""),"728")</f>
        <v>728</v>
      </c>
      <c r="B860" s="4" t="str">
        <f>IFERROR(__xludf.DUMMYFUNCTION("""COMPUTED_VALUE"""),"Reductor tensión 24 a 12 v")</f>
        <v>Reductor tensión 24 a 12 v</v>
      </c>
      <c r="C860" s="4">
        <f>IFERROR(__xludf.DUMMYFUNCTION("""COMPUTED_VALUE"""),135.6)</f>
        <v>135.6</v>
      </c>
    </row>
    <row r="861">
      <c r="A861" s="4" t="str">
        <f>IFERROR(__xludf.DUMMYFUNCTION("""COMPUTED_VALUE"""),"730")</f>
        <v>730</v>
      </c>
      <c r="B861" s="4" t="str">
        <f>IFERROR(__xludf.DUMMYFUNCTION("""COMPUTED_VALUE"""),"Pinza negra - 80 Ah")</f>
        <v>Pinza negra - 80 Ah</v>
      </c>
      <c r="C861" s="4">
        <f>IFERROR(__xludf.DUMMYFUNCTION("""COMPUTED_VALUE"""),1.8239999999999998)</f>
        <v>1.824</v>
      </c>
    </row>
    <row r="862">
      <c r="A862" s="4" t="str">
        <f>IFERROR(__xludf.DUMMYFUNCTION("""COMPUTED_VALUE"""),"731")</f>
        <v>731</v>
      </c>
      <c r="B862" s="4" t="str">
        <f>IFERROR(__xludf.DUMMYFUNCTION("""COMPUTED_VALUE"""),"Pinza Roja + 80 Ah")</f>
        <v>Pinza Roja + 80 Ah</v>
      </c>
      <c r="C862" s="4">
        <f>IFERROR(__xludf.DUMMYFUNCTION("""COMPUTED_VALUE"""),1.8239999999999998)</f>
        <v>1.824</v>
      </c>
    </row>
    <row r="863">
      <c r="A863" s="4" t="str">
        <f>IFERROR(__xludf.DUMMYFUNCTION("""COMPUTED_VALUE"""),"732")</f>
        <v>732</v>
      </c>
      <c r="B863" s="4" t="str">
        <f>IFERROR(__xludf.DUMMYFUNCTION("""COMPUTED_VALUE"""),"Pinza Negra - 500 Ah")</f>
        <v>Pinza Negra - 500 Ah</v>
      </c>
      <c r="C863" s="4">
        <f>IFERROR(__xludf.DUMMYFUNCTION("""COMPUTED_VALUE"""),13.92)</f>
        <v>13.92</v>
      </c>
    </row>
    <row r="864">
      <c r="A864" s="4" t="str">
        <f>IFERROR(__xludf.DUMMYFUNCTION("""COMPUTED_VALUE"""),"733")</f>
        <v>733</v>
      </c>
      <c r="B864" s="4" t="str">
        <f>IFERROR(__xludf.DUMMYFUNCTION("""COMPUTED_VALUE"""),"Pinza Roja + 500 Ah")</f>
        <v>Pinza Roja + 500 Ah</v>
      </c>
      <c r="C864" s="4">
        <f>IFERROR(__xludf.DUMMYFUNCTION("""COMPUTED_VALUE"""),13.92)</f>
        <v>13.92</v>
      </c>
    </row>
    <row r="865">
      <c r="A865" s="4" t="str">
        <f>IFERROR(__xludf.DUMMYFUNCTION("""COMPUTED_VALUE"""),"750")</f>
        <v>750</v>
      </c>
      <c r="B865" s="4" t="str">
        <f>IFERROR(__xludf.DUMMYFUNCTION("""COMPUTED_VALUE"""),"Señal plástica 60 cm reflectante triangular para conos")</f>
        <v>Señal plástica 60 cm reflectante triangular para conos</v>
      </c>
      <c r="C865" s="4">
        <f>IFERROR(__xludf.DUMMYFUNCTION("""COMPUTED_VALUE"""),14.351999999999999)</f>
        <v>14.352</v>
      </c>
    </row>
    <row r="866">
      <c r="A866" s="4" t="str">
        <f>IFERROR(__xludf.DUMMYFUNCTION("""COMPUTED_VALUE"""),"751")</f>
        <v>751</v>
      </c>
      <c r="B866" s="4" t="str">
        <f>IFERROR(__xludf.DUMMYFUNCTION("""COMPUTED_VALUE"""),"Señal plástica 60x30 cm reflectante rectangular para conos")</f>
        <v>Señal plástica 60x30 cm reflectante rectangular para conos</v>
      </c>
      <c r="C866" s="4">
        <f>IFERROR(__xludf.DUMMYFUNCTION("""COMPUTED_VALUE"""),14.351999999999999)</f>
        <v>14.352</v>
      </c>
    </row>
    <row r="867">
      <c r="A867" s="4" t="str">
        <f>IFERROR(__xludf.DUMMYFUNCTION("""COMPUTED_VALUE"""),"752")</f>
        <v>752</v>
      </c>
      <c r="B867" s="4" t="str">
        <f>IFERROR(__xludf.DUMMYFUNCTION("""COMPUTED_VALUE"""),"Señal plástica 60 cm reflectante circular para conos")</f>
        <v>Señal plástica 60 cm reflectante circular para conos</v>
      </c>
      <c r="C867" s="4">
        <f>IFERROR(__xludf.DUMMYFUNCTION("""COMPUTED_VALUE"""),14.351999999999999)</f>
        <v>14.352</v>
      </c>
    </row>
    <row r="868">
      <c r="A868" s="4" t="str">
        <f>IFERROR(__xludf.DUMMYFUNCTION("""COMPUTED_VALUE"""),"753")</f>
        <v>753</v>
      </c>
      <c r="B868" s="4" t="str">
        <f>IFERROR(__xludf.DUMMYFUNCTION("""COMPUTED_VALUE"""),"Señal personalizada con soporte pared 40x30 cm")</f>
        <v>Señal personalizada con soporte pared 40x30 cm</v>
      </c>
      <c r="C868" s="4">
        <f>IFERROR(__xludf.DUMMYFUNCTION("""COMPUTED_VALUE"""),18.24)</f>
        <v>18.24</v>
      </c>
    </row>
    <row r="869">
      <c r="A869" s="4" t="str">
        <f>IFERROR(__xludf.DUMMYFUNCTION("""COMPUTED_VALUE"""),"754")</f>
        <v>754</v>
      </c>
      <c r="B869" s="4" t="str">
        <f>IFERROR(__xludf.DUMMYFUNCTION("""COMPUTED_VALUE"""),"Señal personalizada c/soporte suelo 40x60 cm 3 caras")</f>
        <v>Señal personalizada c/soporte suelo 40x60 cm 3 caras</v>
      </c>
      <c r="C869" s="4">
        <f>IFERROR(__xludf.DUMMYFUNCTION("""COMPUTED_VALUE"""),92.16)</f>
        <v>92.16</v>
      </c>
    </row>
    <row r="870">
      <c r="A870" s="4" t="str">
        <f>IFERROR(__xludf.DUMMYFUNCTION("""COMPUTED_VALUE"""),"765")</f>
        <v>765</v>
      </c>
      <c r="B870" s="4" t="str">
        <f>IFERROR(__xludf.DUMMYFUNCTION("""COMPUTED_VALUE"""),"Aparca Patinetes galvanizado 10p 1 cara")</f>
        <v>Aparca Patinetes galvanizado 10p 1 cara</v>
      </c>
      <c r="C870" s="4">
        <f>IFERROR(__xludf.DUMMYFUNCTION("""COMPUTED_VALUE"""),132.096)</f>
        <v>132.096</v>
      </c>
    </row>
    <row r="871">
      <c r="A871" s="4" t="str">
        <f>IFERROR(__xludf.DUMMYFUNCTION("""COMPUTED_VALUE"""),"766")</f>
        <v>766</v>
      </c>
      <c r="B871" s="4" t="str">
        <f>IFERROR(__xludf.DUMMYFUNCTION("""COMPUTED_VALUE"""),"Aparca Patinetes galvanizado 20p 2 caras")</f>
        <v>Aparca Patinetes galvanizado 20p 2 caras</v>
      </c>
      <c r="C871" s="4">
        <f>IFERROR(__xludf.DUMMYFUNCTION("""COMPUTED_VALUE"""),201.84)</f>
        <v>201.84</v>
      </c>
    </row>
    <row r="872">
      <c r="A872" s="4" t="str">
        <f>IFERROR(__xludf.DUMMYFUNCTION("""COMPUTED_VALUE"""),"768")</f>
        <v>768</v>
      </c>
      <c r="B872" s="4" t="str">
        <f>IFERROR(__xludf.DUMMYFUNCTION("""COMPUTED_VALUE"""),"Aparca Bicis atornillable pared 1p")</f>
        <v>Aparca Bicis atornillable pared 1p</v>
      </c>
      <c r="C872" s="4">
        <f>IFERROR(__xludf.DUMMYFUNCTION("""COMPUTED_VALUE"""),24.96)</f>
        <v>24.96</v>
      </c>
    </row>
    <row r="873">
      <c r="A873" s="4" t="str">
        <f>IFERROR(__xludf.DUMMYFUNCTION("""COMPUTED_VALUE"""),"769")</f>
        <v>769</v>
      </c>
      <c r="B873" s="4" t="str">
        <f>IFERROR(__xludf.DUMMYFUNCTION("""COMPUTED_VALUE"""),"Aparca Bicis atornillable pared 2p")</f>
        <v>Aparca Bicis atornillable pared 2p</v>
      </c>
      <c r="C873" s="4">
        <f>IFERROR(__xludf.DUMMYFUNCTION("""COMPUTED_VALUE"""),42.239999999999995)</f>
        <v>42.24</v>
      </c>
    </row>
    <row r="874">
      <c r="A874" s="4" t="str">
        <f>IFERROR(__xludf.DUMMYFUNCTION("""COMPUTED_VALUE"""),"770")</f>
        <v>770</v>
      </c>
      <c r="B874" s="4" t="str">
        <f>IFERROR(__xludf.DUMMYFUNCTION("""COMPUTED_VALUE"""),"Aparca Bicis atornillable pared 5p")</f>
        <v>Aparca Bicis atornillable pared 5p</v>
      </c>
      <c r="C874" s="4">
        <f>IFERROR(__xludf.DUMMYFUNCTION("""COMPUTED_VALUE"""),88.32)</f>
        <v>88.32</v>
      </c>
    </row>
    <row r="875">
      <c r="A875" s="4" t="str">
        <f>IFERROR(__xludf.DUMMYFUNCTION("""COMPUTED_VALUE"""),"771")</f>
        <v>771</v>
      </c>
      <c r="B875" s="4" t="str">
        <f>IFERROR(__xludf.DUMMYFUNCTION("""COMPUTED_VALUE"""),"Pie soporte atornillable 80x40 mm")</f>
        <v>Pie soporte atornillable 80x40 mm</v>
      </c>
      <c r="C875" s="4">
        <f>IFERROR(__xludf.DUMMYFUNCTION("""COMPUTED_VALUE"""),27.84)</f>
        <v>27.84</v>
      </c>
    </row>
    <row r="876">
      <c r="A876" s="4" t="str">
        <f>IFERROR(__xludf.DUMMYFUNCTION("""COMPUTED_VALUE"""),"772")</f>
        <v>772</v>
      </c>
      <c r="B876" s="4" t="str">
        <f>IFERROR(__xludf.DUMMYFUNCTION("""COMPUTED_VALUE"""),"Pie soporte atornillable cuadrado 40 mm")</f>
        <v>Pie soporte atornillable cuadrado 40 mm</v>
      </c>
      <c r="C876" s="4">
        <f>IFERROR(__xludf.DUMMYFUNCTION("""COMPUTED_VALUE"""),27.84)</f>
        <v>27.84</v>
      </c>
    </row>
    <row r="877">
      <c r="A877" s="4" t="str">
        <f>IFERROR(__xludf.DUMMYFUNCTION("""COMPUTED_VALUE"""),"773")</f>
        <v>773</v>
      </c>
      <c r="B877" s="4" t="str">
        <f>IFERROR(__xludf.DUMMYFUNCTION("""COMPUTED_VALUE"""),"Pie soporte atornillable 50 mm circular")</f>
        <v>Pie soporte atornillable 50 mm circular</v>
      </c>
      <c r="C877" s="4">
        <f>IFERROR(__xludf.DUMMYFUNCTION("""COMPUTED_VALUE"""),27.84)</f>
        <v>27.84</v>
      </c>
    </row>
    <row r="878">
      <c r="A878" s="4" t="str">
        <f>IFERROR(__xludf.DUMMYFUNCTION("""COMPUTED_VALUE"""),"774")</f>
        <v>774</v>
      </c>
      <c r="B878" s="4" t="str">
        <f>IFERROR(__xludf.DUMMYFUNCTION("""COMPUTED_VALUE"""),"Pie soporte atornillable 60 mm circular")</f>
        <v>Pie soporte atornillable 60 mm circular</v>
      </c>
      <c r="C878" s="4">
        <f>IFERROR(__xludf.DUMMYFUNCTION("""COMPUTED_VALUE"""),28.799999999999997)</f>
        <v>28.8</v>
      </c>
    </row>
    <row r="879">
      <c r="A879" s="4" t="str">
        <f>IFERROR(__xludf.DUMMYFUNCTION("""COMPUTED_VALUE"""),"775")</f>
        <v>775</v>
      </c>
      <c r="B879" s="4" t="str">
        <f>IFERROR(__xludf.DUMMYFUNCTION("""COMPUTED_VALUE"""),"Pie soporte atornillable 70 mm circular")</f>
        <v>Pie soporte atornillable 70 mm circular</v>
      </c>
      <c r="C879" s="4">
        <f>IFERROR(__xludf.DUMMYFUNCTION("""COMPUTED_VALUE"""),29.759999999999998)</f>
        <v>29.76</v>
      </c>
    </row>
    <row r="880">
      <c r="A880" s="4" t="str">
        <f>IFERROR(__xludf.DUMMYFUNCTION("""COMPUTED_VALUE"""),"776")</f>
        <v>776</v>
      </c>
      <c r="B880" s="4" t="str">
        <f>IFERROR(__xludf.DUMMYFUNCTION("""COMPUTED_VALUE"""),"Poste 40x40x1.5 mm galva 1.5 m")</f>
        <v>Poste 40x40x1.5 mm galva 1.5 m</v>
      </c>
      <c r="C880" s="4">
        <f>IFERROR(__xludf.DUMMYFUNCTION("""COMPUTED_VALUE"""),10.559999999999999)</f>
        <v>10.56</v>
      </c>
    </row>
    <row r="881">
      <c r="A881" s="4" t="str">
        <f>IFERROR(__xludf.DUMMYFUNCTION("""COMPUTED_VALUE"""),"777")</f>
        <v>777</v>
      </c>
      <c r="B881" s="4" t="str">
        <f>IFERROR(__xludf.DUMMYFUNCTION("""COMPUTED_VALUE"""),"Cruceta para poste 40x40 mm")</f>
        <v>Cruceta para poste 40x40 mm</v>
      </c>
      <c r="C881" s="4">
        <f>IFERROR(__xludf.DUMMYFUNCTION("""COMPUTED_VALUE"""),10.368)</f>
        <v>10.368</v>
      </c>
    </row>
    <row r="882">
      <c r="A882" s="4" t="str">
        <f>IFERROR(__xludf.DUMMYFUNCTION("""COMPUTED_VALUE"""),"778")</f>
        <v>778</v>
      </c>
      <c r="B882" s="4" t="str">
        <f>IFERROR(__xludf.DUMMYFUNCTION("""COMPUTED_VALUE"""),"Aparca Patinetes gavanizado 10p 2 caras")</f>
        <v>Aparca Patinetes gavanizado 10p 2 caras</v>
      </c>
      <c r="C882" s="4">
        <f>IFERROR(__xludf.DUMMYFUNCTION("""COMPUTED_VALUE"""),184.79999999999998)</f>
        <v>184.8</v>
      </c>
    </row>
    <row r="883">
      <c r="A883" s="4" t="str">
        <f>IFERROR(__xludf.DUMMYFUNCTION("""COMPUTED_VALUE"""),"779")</f>
        <v>779</v>
      </c>
      <c r="B883" s="4" t="str">
        <f>IFERROR(__xludf.DUMMYFUNCTION("""COMPUTED_VALUE"""),"Aparca Patinetes galvanizado 5p 1 cara")</f>
        <v>Aparca Patinetes galvanizado 5p 1 cara</v>
      </c>
      <c r="C883" s="4">
        <f>IFERROR(__xludf.DUMMYFUNCTION("""COMPUTED_VALUE"""),121.344)</f>
        <v>121.344</v>
      </c>
    </row>
    <row r="884">
      <c r="A884" s="4" t="str">
        <f>IFERROR(__xludf.DUMMYFUNCTION("""COMPUTED_VALUE"""),"780")</f>
        <v>780</v>
      </c>
      <c r="B884" s="4" t="str">
        <f>IFERROR(__xludf.DUMMYFUNCTION("""COMPUTED_VALUE"""),"Tope estantería metálica mod. A")</f>
        <v>Tope estantería metálica mod. A</v>
      </c>
      <c r="C884" s="4">
        <f>IFERROR(__xludf.DUMMYFUNCTION("""COMPUTED_VALUE"""),17.28)</f>
        <v>17.28</v>
      </c>
    </row>
    <row r="885">
      <c r="A885" s="4" t="str">
        <f>IFERROR(__xludf.DUMMYFUNCTION("""COMPUTED_VALUE"""),"781")</f>
        <v>781</v>
      </c>
      <c r="B885" s="4" t="str">
        <f>IFERROR(__xludf.DUMMYFUNCTION("""COMPUTED_VALUE"""),"Tope estantería metálica mod. B")</f>
        <v>Tope estantería metálica mod. B</v>
      </c>
      <c r="C885" s="4">
        <f>IFERROR(__xludf.DUMMYFUNCTION("""COMPUTED_VALUE"""),21.599999999999998)</f>
        <v>21.6</v>
      </c>
    </row>
    <row r="886">
      <c r="A886" s="4" t="str">
        <f>IFERROR(__xludf.DUMMYFUNCTION("""COMPUTED_VALUE"""),"782")</f>
        <v>782</v>
      </c>
      <c r="B886" s="4" t="str">
        <f>IFERROR(__xludf.DUMMYFUNCTION("""COMPUTED_VALUE"""),"Film manual transparente Rec. Eco 500/1,35/23MY (600-150)")</f>
        <v>Film manual transparente Rec. Eco 500/1,35/23MY (600-150)</v>
      </c>
      <c r="C886" s="4">
        <f>IFERROR(__xludf.DUMMYFUNCTION("""COMPUTED_VALUE"""),3.264)</f>
        <v>3.264</v>
      </c>
    </row>
    <row r="887">
      <c r="A887" s="4" t="str">
        <f>IFERROR(__xludf.DUMMYFUNCTION("""COMPUTED_VALUE"""),"783")</f>
        <v>783</v>
      </c>
      <c r="B887" s="4" t="str">
        <f>IFERROR(__xludf.DUMMYFUNCTION("""COMPUTED_VALUE"""),"Film manual negro Opaco Rec. Eco 500/1,35/23MY (600-150)")</f>
        <v>Film manual negro Opaco Rec. Eco 500/1,35/23MY (600-150)</v>
      </c>
      <c r="C887" s="4">
        <f>IFERROR(__xludf.DUMMYFUNCTION("""COMPUTED_VALUE"""),3.7439999999999998)</f>
        <v>3.744</v>
      </c>
    </row>
    <row r="888">
      <c r="A888" s="4" t="str">
        <f>IFERROR(__xludf.DUMMYFUNCTION("""COMPUTED_VALUE"""),"784")</f>
        <v>784</v>
      </c>
      <c r="B888" s="4" t="str">
        <f>IFERROR(__xludf.DUMMYFUNCTION("""COMPUTED_VALUE"""),"Cinta adhesiva 125m PPAC Transp 48 mm")</f>
        <v>Cinta adhesiva 125m PPAC Transp 48 mm</v>
      </c>
      <c r="C888" s="4">
        <f>IFERROR(__xludf.DUMMYFUNCTION("""COMPUTED_VALUE"""),1.152)</f>
        <v>1.152</v>
      </c>
    </row>
    <row r="889">
      <c r="A889" s="4" t="str">
        <f>IFERROR(__xludf.DUMMYFUNCTION("""COMPUTED_VALUE"""),"800")</f>
        <v>800</v>
      </c>
      <c r="B889" s="4" t="str">
        <f>IFERROR(__xludf.DUMMYFUNCTION("""COMPUTED_VALUE"""),"Adhesivo 100 mm Materias y objetos explosivos A")</f>
        <v>Adhesivo 100 mm Materias y objetos explosivos A</v>
      </c>
      <c r="C889" s="4">
        <f>IFERROR(__xludf.DUMMYFUNCTION("""COMPUTED_VALUE"""),0.576)</f>
        <v>0.576</v>
      </c>
    </row>
    <row r="890">
      <c r="A890" s="4" t="str">
        <f>IFERROR(__xludf.DUMMYFUNCTION("""COMPUTED_VALUE"""),"0800A")</f>
        <v>0800A</v>
      </c>
      <c r="B890" s="4" t="str">
        <f>IFERROR(__xludf.DUMMYFUNCTION("""COMPUTED_VALUE"""),"Adhesivo 300 mm Materias y objetos explosivos A")</f>
        <v>Adhesivo 300 mm Materias y objetos explosivos A</v>
      </c>
      <c r="C890" s="4">
        <f>IFERROR(__xludf.DUMMYFUNCTION("""COMPUTED_VALUE"""),1.536)</f>
        <v>1.536</v>
      </c>
    </row>
    <row r="891">
      <c r="A891" s="4" t="str">
        <f>IFERROR(__xludf.DUMMYFUNCTION("""COMPUTED_VALUE"""),"801")</f>
        <v>801</v>
      </c>
      <c r="B891" s="4" t="str">
        <f>IFERROR(__xludf.DUMMYFUNCTION("""COMPUTED_VALUE"""),"Adhesivo 100 mm Materias y objetos explosivos 1.4")</f>
        <v>Adhesivo 100 mm Materias y objetos explosivos 1.4</v>
      </c>
      <c r="C891" s="4">
        <f>IFERROR(__xludf.DUMMYFUNCTION("""COMPUTED_VALUE"""),0.576)</f>
        <v>0.576</v>
      </c>
    </row>
    <row r="892">
      <c r="A892" s="4" t="str">
        <f>IFERROR(__xludf.DUMMYFUNCTION("""COMPUTED_VALUE"""),"0801A")</f>
        <v>0801A</v>
      </c>
      <c r="B892" s="4" t="str">
        <f>IFERROR(__xludf.DUMMYFUNCTION("""COMPUTED_VALUE"""),"Adhesivo 300 mm Materias y objetos explosivos 1.4")</f>
        <v>Adhesivo 300 mm Materias y objetos explosivos 1.4</v>
      </c>
      <c r="C892" s="4">
        <f>IFERROR(__xludf.DUMMYFUNCTION("""COMPUTED_VALUE"""),1.536)</f>
        <v>1.536</v>
      </c>
    </row>
    <row r="893">
      <c r="A893" s="4" t="str">
        <f>IFERROR(__xludf.DUMMYFUNCTION("""COMPUTED_VALUE"""),"802")</f>
        <v>802</v>
      </c>
      <c r="B893" s="4" t="str">
        <f>IFERROR(__xludf.DUMMYFUNCTION("""COMPUTED_VALUE"""),"Adhesivo 100 mm Materias y objetos explosivos 1.5")</f>
        <v>Adhesivo 100 mm Materias y objetos explosivos 1.5</v>
      </c>
      <c r="C893" s="4">
        <f>IFERROR(__xludf.DUMMYFUNCTION("""COMPUTED_VALUE"""),0.576)</f>
        <v>0.576</v>
      </c>
    </row>
    <row r="894">
      <c r="A894" s="4" t="str">
        <f>IFERROR(__xludf.DUMMYFUNCTION("""COMPUTED_VALUE"""),"0802A")</f>
        <v>0802A</v>
      </c>
      <c r="B894" s="4" t="str">
        <f>IFERROR(__xludf.DUMMYFUNCTION("""COMPUTED_VALUE"""),"Adhesivo 300 mm Materias y objetos explosivos 1.5")</f>
        <v>Adhesivo 300 mm Materias y objetos explosivos 1.5</v>
      </c>
      <c r="C894" s="4">
        <f>IFERROR(__xludf.DUMMYFUNCTION("""COMPUTED_VALUE"""),1.536)</f>
        <v>1.536</v>
      </c>
    </row>
    <row r="895">
      <c r="A895" s="4" t="str">
        <f>IFERROR(__xludf.DUMMYFUNCTION("""COMPUTED_VALUE"""),"803")</f>
        <v>803</v>
      </c>
      <c r="B895" s="4" t="str">
        <f>IFERROR(__xludf.DUMMYFUNCTION("""COMPUTED_VALUE"""),"Adhesivo 100 mm Materias y objetos explosivos 1.6")</f>
        <v>Adhesivo 100 mm Materias y objetos explosivos 1.6</v>
      </c>
      <c r="C895" s="4">
        <f>IFERROR(__xludf.DUMMYFUNCTION("""COMPUTED_VALUE"""),0.576)</f>
        <v>0.576</v>
      </c>
    </row>
    <row r="896">
      <c r="A896" s="4" t="str">
        <f>IFERROR(__xludf.DUMMYFUNCTION("""COMPUTED_VALUE"""),"0803A")</f>
        <v>0803A</v>
      </c>
      <c r="B896" s="4" t="str">
        <f>IFERROR(__xludf.DUMMYFUNCTION("""COMPUTED_VALUE"""),"Adhesivo 300 mm Materias y objetos explosivos 1.6")</f>
        <v>Adhesivo 300 mm Materias y objetos explosivos 1.6</v>
      </c>
      <c r="C896" s="4">
        <f>IFERROR(__xludf.DUMMYFUNCTION("""COMPUTED_VALUE"""),1.536)</f>
        <v>1.536</v>
      </c>
    </row>
    <row r="897">
      <c r="A897" s="4" t="str">
        <f>IFERROR(__xludf.DUMMYFUNCTION("""COMPUTED_VALUE"""),"805")</f>
        <v>805</v>
      </c>
      <c r="B897" s="4" t="str">
        <f>IFERROR(__xludf.DUMMYFUNCTION("""COMPUTED_VALUE"""),"Adhesivo 100 mm Gases Tóxicos")</f>
        <v>Adhesivo 100 mm Gases Tóxicos</v>
      </c>
      <c r="C897" s="4">
        <f>IFERROR(__xludf.DUMMYFUNCTION("""COMPUTED_VALUE"""),0.576)</f>
        <v>0.576</v>
      </c>
    </row>
    <row r="898">
      <c r="A898" s="4" t="str">
        <f>IFERROR(__xludf.DUMMYFUNCTION("""COMPUTED_VALUE"""),"0805A")</f>
        <v>0805A</v>
      </c>
      <c r="B898" s="4" t="str">
        <f>IFERROR(__xludf.DUMMYFUNCTION("""COMPUTED_VALUE"""),"Adhesivo 300 mm Gases Tóxicos")</f>
        <v>Adhesivo 300 mm Gases Tóxicos</v>
      </c>
      <c r="C898" s="4">
        <f>IFERROR(__xludf.DUMMYFUNCTION("""COMPUTED_VALUE"""),1.536)</f>
        <v>1.536</v>
      </c>
    </row>
    <row r="899">
      <c r="A899" s="4" t="str">
        <f>IFERROR(__xludf.DUMMYFUNCTION("""COMPUTED_VALUE"""),"806")</f>
        <v>806</v>
      </c>
      <c r="B899" s="4" t="str">
        <f>IFERROR(__xludf.DUMMYFUNCTION("""COMPUTED_VALUE"""),"Adhesivo 100 mm gases inflamables A")</f>
        <v>Adhesivo 100 mm gases inflamables A</v>
      </c>
      <c r="C899" s="4">
        <f>IFERROR(__xludf.DUMMYFUNCTION("""COMPUTED_VALUE"""),0.576)</f>
        <v>0.576</v>
      </c>
    </row>
    <row r="900">
      <c r="A900" s="4" t="str">
        <f>IFERROR(__xludf.DUMMYFUNCTION("""COMPUTED_VALUE"""),"0806A")</f>
        <v>0806A</v>
      </c>
      <c r="B900" s="4" t="str">
        <f>IFERROR(__xludf.DUMMYFUNCTION("""COMPUTED_VALUE"""),"Adhesivo 300 mm gases inflamables A")</f>
        <v>Adhesivo 300 mm gases inflamables A</v>
      </c>
      <c r="C900" s="4">
        <f>IFERROR(__xludf.DUMMYFUNCTION("""COMPUTED_VALUE"""),1.536)</f>
        <v>1.536</v>
      </c>
    </row>
    <row r="901">
      <c r="A901" s="4" t="str">
        <f>IFERROR(__xludf.DUMMYFUNCTION("""COMPUTED_VALUE"""),"807")</f>
        <v>807</v>
      </c>
      <c r="B901" s="4" t="str">
        <f>IFERROR(__xludf.DUMMYFUNCTION("""COMPUTED_VALUE"""),"Adhesivo 100 mm gases inflamables B")</f>
        <v>Adhesivo 100 mm gases inflamables B</v>
      </c>
      <c r="C901" s="4">
        <f>IFERROR(__xludf.DUMMYFUNCTION("""COMPUTED_VALUE"""),0.576)</f>
        <v>0.576</v>
      </c>
    </row>
    <row r="902">
      <c r="A902" s="4" t="str">
        <f>IFERROR(__xludf.DUMMYFUNCTION("""COMPUTED_VALUE"""),"0807A")</f>
        <v>0807A</v>
      </c>
      <c r="B902" s="4" t="str">
        <f>IFERROR(__xludf.DUMMYFUNCTION("""COMPUTED_VALUE"""),"Adhesivo 300 mm gases inflamables B")</f>
        <v>Adhesivo 300 mm gases inflamables B</v>
      </c>
      <c r="C902" s="4">
        <f>IFERROR(__xludf.DUMMYFUNCTION("""COMPUTED_VALUE"""),1.536)</f>
        <v>1.536</v>
      </c>
    </row>
    <row r="903">
      <c r="A903" s="4" t="str">
        <f>IFERROR(__xludf.DUMMYFUNCTION("""COMPUTED_VALUE"""),"808")</f>
        <v>808</v>
      </c>
      <c r="B903" s="4" t="str">
        <f>IFERROR(__xludf.DUMMYFUNCTION("""COMPUTED_VALUE"""),"Adhesivo 100 mm gases no inflamables A")</f>
        <v>Adhesivo 100 mm gases no inflamables A</v>
      </c>
      <c r="C903" s="4">
        <f>IFERROR(__xludf.DUMMYFUNCTION("""COMPUTED_VALUE"""),0.576)</f>
        <v>0.576</v>
      </c>
    </row>
    <row r="904">
      <c r="A904" s="4" t="str">
        <f>IFERROR(__xludf.DUMMYFUNCTION("""COMPUTED_VALUE"""),"0808A")</f>
        <v>0808A</v>
      </c>
      <c r="B904" s="4" t="str">
        <f>IFERROR(__xludf.DUMMYFUNCTION("""COMPUTED_VALUE"""),"Adhesivo 300 mm gases no inflamables A")</f>
        <v>Adhesivo 300 mm gases no inflamables A</v>
      </c>
      <c r="C904" s="4">
        <f>IFERROR(__xludf.DUMMYFUNCTION("""COMPUTED_VALUE"""),1.536)</f>
        <v>1.536</v>
      </c>
    </row>
    <row r="905">
      <c r="A905" s="4" t="str">
        <f>IFERROR(__xludf.DUMMYFUNCTION("""COMPUTED_VALUE"""),"809")</f>
        <v>809</v>
      </c>
      <c r="B905" s="4" t="str">
        <f>IFERROR(__xludf.DUMMYFUNCTION("""COMPUTED_VALUE"""),"Adhesivo 100 mm gases no inflamables B")</f>
        <v>Adhesivo 100 mm gases no inflamables B</v>
      </c>
      <c r="C905" s="4">
        <f>IFERROR(__xludf.DUMMYFUNCTION("""COMPUTED_VALUE"""),0.576)</f>
        <v>0.576</v>
      </c>
    </row>
    <row r="906">
      <c r="A906" s="4" t="str">
        <f>IFERROR(__xludf.DUMMYFUNCTION("""COMPUTED_VALUE"""),"0809A")</f>
        <v>0809A</v>
      </c>
      <c r="B906" s="4" t="str">
        <f>IFERROR(__xludf.DUMMYFUNCTION("""COMPUTED_VALUE"""),"Adhesivo 300 mm gases no inflamables B")</f>
        <v>Adhesivo 300 mm gases no inflamables B</v>
      </c>
      <c r="C906" s="4">
        <f>IFERROR(__xludf.DUMMYFUNCTION("""COMPUTED_VALUE"""),1.536)</f>
        <v>1.536</v>
      </c>
    </row>
    <row r="907">
      <c r="A907" s="4" t="str">
        <f>IFERROR(__xludf.DUMMYFUNCTION("""COMPUTED_VALUE"""),"810")</f>
        <v>810</v>
      </c>
      <c r="B907" s="4" t="str">
        <f>IFERROR(__xludf.DUMMYFUNCTION("""COMPUTED_VALUE"""),"Lona 100x70 cm multicartel c/ ojales")</f>
        <v>Lona 100x70 cm multicartel c/ ojales</v>
      </c>
      <c r="C907" s="4">
        <f>IFERROR(__xludf.DUMMYFUNCTION("""COMPUTED_VALUE"""),14.111999999999998)</f>
        <v>14.112</v>
      </c>
    </row>
    <row r="908">
      <c r="A908" s="4" t="str">
        <f>IFERROR(__xludf.DUMMYFUNCTION("""COMPUTED_VALUE"""),"811")</f>
        <v>811</v>
      </c>
      <c r="B908" s="4" t="str">
        <f>IFERROR(__xludf.DUMMYFUNCTION("""COMPUTED_VALUE"""),"Lona 50x70 cm multicartel c/ ojales")</f>
        <v>Lona 50x70 cm multicartel c/ ojales</v>
      </c>
      <c r="C908" s="4">
        <f>IFERROR(__xludf.DUMMYFUNCTION("""COMPUTED_VALUE"""),8.064)</f>
        <v>8.064</v>
      </c>
    </row>
    <row r="909">
      <c r="A909" s="4" t="str">
        <f>IFERROR(__xludf.DUMMYFUNCTION("""COMPUTED_VALUE"""),"812")</f>
        <v>812</v>
      </c>
      <c r="B909" s="4" t="str">
        <f>IFERROR(__xludf.DUMMYFUNCTION("""COMPUTED_VALUE"""),"Adhesivo 100 mm líquidos inflamables A")</f>
        <v>Adhesivo 100 mm líquidos inflamables A</v>
      </c>
      <c r="C909" s="4">
        <f>IFERROR(__xludf.DUMMYFUNCTION("""COMPUTED_VALUE"""),0.576)</f>
        <v>0.576</v>
      </c>
    </row>
    <row r="910">
      <c r="A910" s="4" t="str">
        <f>IFERROR(__xludf.DUMMYFUNCTION("""COMPUTED_VALUE"""),"0812A")</f>
        <v>0812A</v>
      </c>
      <c r="B910" s="4" t="str">
        <f>IFERROR(__xludf.DUMMYFUNCTION("""COMPUTED_VALUE"""),"Adhesivo 300 mm líquidos inflamables A")</f>
        <v>Adhesivo 300 mm líquidos inflamables A</v>
      </c>
      <c r="C910" s="4">
        <f>IFERROR(__xludf.DUMMYFUNCTION("""COMPUTED_VALUE"""),1.536)</f>
        <v>1.536</v>
      </c>
    </row>
    <row r="911">
      <c r="A911" s="4" t="str">
        <f>IFERROR(__xludf.DUMMYFUNCTION("""COMPUTED_VALUE"""),"813")</f>
        <v>813</v>
      </c>
      <c r="B911" s="4" t="str">
        <f>IFERROR(__xludf.DUMMYFUNCTION("""COMPUTED_VALUE"""),"Adhesivo 100 mm líquidos inflamables B")</f>
        <v>Adhesivo 100 mm líquidos inflamables B</v>
      </c>
      <c r="C911" s="4">
        <f>IFERROR(__xludf.DUMMYFUNCTION("""COMPUTED_VALUE"""),0.576)</f>
        <v>0.576</v>
      </c>
    </row>
    <row r="912">
      <c r="A912" s="4" t="str">
        <f>IFERROR(__xludf.DUMMYFUNCTION("""COMPUTED_VALUE"""),"0813A")</f>
        <v>0813A</v>
      </c>
      <c r="B912" s="4" t="str">
        <f>IFERROR(__xludf.DUMMYFUNCTION("""COMPUTED_VALUE"""),"Adhesivo 300 mm líquidos inflamables B")</f>
        <v>Adhesivo 300 mm líquidos inflamables B</v>
      </c>
      <c r="C912" s="4">
        <f>IFERROR(__xludf.DUMMYFUNCTION("""COMPUTED_VALUE"""),1.536)</f>
        <v>1.536</v>
      </c>
    </row>
    <row r="913">
      <c r="A913" s="4" t="str">
        <f>IFERROR(__xludf.DUMMYFUNCTION("""COMPUTED_VALUE"""),"814")</f>
        <v>814</v>
      </c>
      <c r="B913" s="4" t="str">
        <f>IFERROR(__xludf.DUMMYFUNCTION("""COMPUTED_VALUE"""),"Adhesivo 100 mm mat. sólidas inflamables")</f>
        <v>Adhesivo 100 mm mat. sólidas inflamables</v>
      </c>
      <c r="C913" s="4">
        <f>IFERROR(__xludf.DUMMYFUNCTION("""COMPUTED_VALUE"""),0.576)</f>
        <v>0.576</v>
      </c>
    </row>
    <row r="914">
      <c r="A914" s="4" t="str">
        <f>IFERROR(__xludf.DUMMYFUNCTION("""COMPUTED_VALUE"""),"0814A")</f>
        <v>0814A</v>
      </c>
      <c r="B914" s="4" t="str">
        <f>IFERROR(__xludf.DUMMYFUNCTION("""COMPUTED_VALUE"""),"Adhesivo 300 mm mat. sólidas inflamables")</f>
        <v>Adhesivo 300 mm mat. sólidas inflamables</v>
      </c>
      <c r="C914" s="4">
        <f>IFERROR(__xludf.DUMMYFUNCTION("""COMPUTED_VALUE"""),1.536)</f>
        <v>1.536</v>
      </c>
    </row>
    <row r="915">
      <c r="A915" s="4" t="str">
        <f>IFERROR(__xludf.DUMMYFUNCTION("""COMPUTED_VALUE"""),"815")</f>
        <v>815</v>
      </c>
      <c r="B915" s="4" t="str">
        <f>IFERROR(__xludf.DUMMYFUNCTION("""COMPUTED_VALUE"""),"Adhesivo 100 mm materias expontáneamente inflamables")</f>
        <v>Adhesivo 100 mm materias expontáneamente inflamables</v>
      </c>
      <c r="C915" s="4">
        <f>IFERROR(__xludf.DUMMYFUNCTION("""COMPUTED_VALUE"""),0.576)</f>
        <v>0.576</v>
      </c>
    </row>
    <row r="916">
      <c r="A916" s="4" t="str">
        <f>IFERROR(__xludf.DUMMYFUNCTION("""COMPUTED_VALUE"""),"0815A")</f>
        <v>0815A</v>
      </c>
      <c r="B916" s="4" t="str">
        <f>IFERROR(__xludf.DUMMYFUNCTION("""COMPUTED_VALUE"""),"Adhesivo 300 mm materias expontáneamente inflamables")</f>
        <v>Adhesivo 300 mm materias expontáneamente inflamables</v>
      </c>
      <c r="C916" s="4">
        <f>IFERROR(__xludf.DUMMYFUNCTION("""COMPUTED_VALUE"""),1.536)</f>
        <v>1.536</v>
      </c>
    </row>
    <row r="917">
      <c r="A917" s="4" t="str">
        <f>IFERROR(__xludf.DUMMYFUNCTION("""COMPUTED_VALUE"""),"816")</f>
        <v>816</v>
      </c>
      <c r="B917" s="4" t="str">
        <f>IFERROR(__xludf.DUMMYFUNCTION("""COMPUTED_VALUE"""),"Adhesivo 100 mm materias contacto agua gases inflamables A")</f>
        <v>Adhesivo 100 mm materias contacto agua gases inflamables A</v>
      </c>
      <c r="C917" s="4">
        <f>IFERROR(__xludf.DUMMYFUNCTION("""COMPUTED_VALUE"""),0.576)</f>
        <v>0.576</v>
      </c>
    </row>
    <row r="918">
      <c r="A918" s="4" t="str">
        <f>IFERROR(__xludf.DUMMYFUNCTION("""COMPUTED_VALUE"""),"0816A")</f>
        <v>0816A</v>
      </c>
      <c r="B918" s="4" t="str">
        <f>IFERROR(__xludf.DUMMYFUNCTION("""COMPUTED_VALUE"""),"Adhesivo 300 mm materias contacto agua gases inflamables A")</f>
        <v>Adhesivo 300 mm materias contacto agua gases inflamables A</v>
      </c>
      <c r="C918" s="4">
        <f>IFERROR(__xludf.DUMMYFUNCTION("""COMPUTED_VALUE"""),1.536)</f>
        <v>1.536</v>
      </c>
    </row>
    <row r="919">
      <c r="A919" s="4" t="str">
        <f>IFERROR(__xludf.DUMMYFUNCTION("""COMPUTED_VALUE"""),"817")</f>
        <v>817</v>
      </c>
      <c r="B919" s="4" t="str">
        <f>IFERROR(__xludf.DUMMYFUNCTION("""COMPUTED_VALUE"""),"Adhesivo 100 mm materias contacto agua gases inflamables B")</f>
        <v>Adhesivo 100 mm materias contacto agua gases inflamables B</v>
      </c>
      <c r="C919" s="4">
        <f>IFERROR(__xludf.DUMMYFUNCTION("""COMPUTED_VALUE"""),0.576)</f>
        <v>0.576</v>
      </c>
    </row>
    <row r="920">
      <c r="A920" s="4" t="str">
        <f>IFERROR(__xludf.DUMMYFUNCTION("""COMPUTED_VALUE"""),"0817A")</f>
        <v>0817A</v>
      </c>
      <c r="B920" s="4" t="str">
        <f>IFERROR(__xludf.DUMMYFUNCTION("""COMPUTED_VALUE"""),"Adhesivo 300 mm materias contacto agua gases inflamables B")</f>
        <v>Adhesivo 300 mm materias contacto agua gases inflamables B</v>
      </c>
      <c r="C920" s="4">
        <f>IFERROR(__xludf.DUMMYFUNCTION("""COMPUTED_VALUE"""),1.536)</f>
        <v>1.536</v>
      </c>
    </row>
    <row r="921">
      <c r="A921" s="4" t="str">
        <f>IFERROR(__xludf.DUMMYFUNCTION("""COMPUTED_VALUE"""),"818")</f>
        <v>818</v>
      </c>
      <c r="B921" s="4" t="str">
        <f>IFERROR(__xludf.DUMMYFUNCTION("""COMPUTED_VALUE"""),"Adhesivo 100 mm materias comburentes")</f>
        <v>Adhesivo 100 mm materias comburentes</v>
      </c>
      <c r="C921" s="4">
        <f>IFERROR(__xludf.DUMMYFUNCTION("""COMPUTED_VALUE"""),0.576)</f>
        <v>0.576</v>
      </c>
    </row>
    <row r="922">
      <c r="A922" s="4" t="str">
        <f>IFERROR(__xludf.DUMMYFUNCTION("""COMPUTED_VALUE"""),"0818A")</f>
        <v>0818A</v>
      </c>
      <c r="B922" s="4" t="str">
        <f>IFERROR(__xludf.DUMMYFUNCTION("""COMPUTED_VALUE"""),"Adhesivo 300 mm materias comburentes")</f>
        <v>Adhesivo 300 mm materias comburentes</v>
      </c>
      <c r="C922" s="4">
        <f>IFERROR(__xludf.DUMMYFUNCTION("""COMPUTED_VALUE"""),1.536)</f>
        <v>1.536</v>
      </c>
    </row>
    <row r="923">
      <c r="A923" s="4" t="str">
        <f>IFERROR(__xludf.DUMMYFUNCTION("""COMPUTED_VALUE"""),"819")</f>
        <v>819</v>
      </c>
      <c r="B923" s="4" t="str">
        <f>IFERROR(__xludf.DUMMYFUNCTION("""COMPUTED_VALUE"""),"Adhesivo 100 mm peróxidos orgánicos")</f>
        <v>Adhesivo 100 mm peróxidos orgánicos</v>
      </c>
      <c r="C923" s="4">
        <f>IFERROR(__xludf.DUMMYFUNCTION("""COMPUTED_VALUE"""),0.576)</f>
        <v>0.576</v>
      </c>
    </row>
    <row r="924">
      <c r="A924" s="4" t="str">
        <f>IFERROR(__xludf.DUMMYFUNCTION("""COMPUTED_VALUE"""),"0819A")</f>
        <v>0819A</v>
      </c>
      <c r="B924" s="4" t="str">
        <f>IFERROR(__xludf.DUMMYFUNCTION("""COMPUTED_VALUE"""),"Adhesivo 300 mm peróxidos orgánicos")</f>
        <v>Adhesivo 300 mm peróxidos orgánicos</v>
      </c>
      <c r="C924" s="4">
        <f>IFERROR(__xludf.DUMMYFUNCTION("""COMPUTED_VALUE"""),1.536)</f>
        <v>1.536</v>
      </c>
    </row>
    <row r="925">
      <c r="A925" s="4" t="str">
        <f>IFERROR(__xludf.DUMMYFUNCTION("""COMPUTED_VALUE"""),"822")</f>
        <v>822</v>
      </c>
      <c r="B925" s="4" t="str">
        <f>IFERROR(__xludf.DUMMYFUNCTION("""COMPUTED_VALUE"""),"Adhesivo 100 mm Materias Tóxicas")</f>
        <v>Adhesivo 100 mm Materias Tóxicas</v>
      </c>
      <c r="C925" s="4">
        <f>IFERROR(__xludf.DUMMYFUNCTION("""COMPUTED_VALUE"""),0.576)</f>
        <v>0.576</v>
      </c>
    </row>
    <row r="926">
      <c r="A926" s="4" t="str">
        <f>IFERROR(__xludf.DUMMYFUNCTION("""COMPUTED_VALUE"""),"0822A")</f>
        <v>0822A</v>
      </c>
      <c r="B926" s="4" t="str">
        <f>IFERROR(__xludf.DUMMYFUNCTION("""COMPUTED_VALUE"""),"Adhesivo 100 mm Materias Tóxicas")</f>
        <v>Adhesivo 100 mm Materias Tóxicas</v>
      </c>
      <c r="C926" s="4">
        <f>IFERROR(__xludf.DUMMYFUNCTION("""COMPUTED_VALUE"""),1.536)</f>
        <v>1.536</v>
      </c>
    </row>
    <row r="927">
      <c r="A927" s="4" t="str">
        <f>IFERROR(__xludf.DUMMYFUNCTION("""COMPUTED_VALUE"""),"823")</f>
        <v>823</v>
      </c>
      <c r="B927" s="4" t="str">
        <f>IFERROR(__xludf.DUMMYFUNCTION("""COMPUTED_VALUE"""),"Adhesivo 100 mm Materias infecciosas")</f>
        <v>Adhesivo 100 mm Materias infecciosas</v>
      </c>
      <c r="C927" s="4">
        <f>IFERROR(__xludf.DUMMYFUNCTION("""COMPUTED_VALUE"""),0.576)</f>
        <v>0.576</v>
      </c>
    </row>
    <row r="928">
      <c r="A928" s="4" t="str">
        <f>IFERROR(__xludf.DUMMYFUNCTION("""COMPUTED_VALUE"""),"0823A")</f>
        <v>0823A</v>
      </c>
      <c r="B928" s="4" t="str">
        <f>IFERROR(__xludf.DUMMYFUNCTION("""COMPUTED_VALUE"""),"Adhesivo 300 mm Materias infecciosas")</f>
        <v>Adhesivo 300 mm Materias infecciosas</v>
      </c>
      <c r="C928" s="4">
        <f>IFERROR(__xludf.DUMMYFUNCTION("""COMPUTED_VALUE"""),1.536)</f>
        <v>1.536</v>
      </c>
    </row>
    <row r="929">
      <c r="A929" s="4" t="str">
        <f>IFERROR(__xludf.DUMMYFUNCTION("""COMPUTED_VALUE"""),"824")</f>
        <v>824</v>
      </c>
      <c r="B929" s="4" t="str">
        <f>IFERROR(__xludf.DUMMYFUNCTION("""COMPUTED_VALUE"""),"Adhesivo 100 mm Materias radiactivas I")</f>
        <v>Adhesivo 100 mm Materias radiactivas I</v>
      </c>
      <c r="C929" s="4">
        <f>IFERROR(__xludf.DUMMYFUNCTION("""COMPUTED_VALUE"""),0.576)</f>
        <v>0.576</v>
      </c>
    </row>
    <row r="930">
      <c r="A930" s="4" t="str">
        <f>IFERROR(__xludf.DUMMYFUNCTION("""COMPUTED_VALUE"""),"0824A")</f>
        <v>0824A</v>
      </c>
      <c r="B930" s="4" t="str">
        <f>IFERROR(__xludf.DUMMYFUNCTION("""COMPUTED_VALUE"""),"Adhesivo 300 mm Materias radiactivas I")</f>
        <v>Adhesivo 300 mm Materias radiactivas I</v>
      </c>
      <c r="C930" s="4">
        <f>IFERROR(__xludf.DUMMYFUNCTION("""COMPUTED_VALUE"""),1.536)</f>
        <v>1.536</v>
      </c>
    </row>
    <row r="931">
      <c r="A931" s="4" t="str">
        <f>IFERROR(__xludf.DUMMYFUNCTION("""COMPUTED_VALUE"""),"825")</f>
        <v>825</v>
      </c>
      <c r="B931" s="4" t="str">
        <f>IFERROR(__xludf.DUMMYFUNCTION("""COMPUTED_VALUE"""),"Adhesivo 100 mm Materias radiactivas II")</f>
        <v>Adhesivo 100 mm Materias radiactivas II</v>
      </c>
      <c r="C931" s="4">
        <f>IFERROR(__xludf.DUMMYFUNCTION("""COMPUTED_VALUE"""),0.576)</f>
        <v>0.576</v>
      </c>
    </row>
    <row r="932">
      <c r="A932" s="4" t="str">
        <f>IFERROR(__xludf.DUMMYFUNCTION("""COMPUTED_VALUE"""),"0825A")</f>
        <v>0825A</v>
      </c>
      <c r="B932" s="4" t="str">
        <f>IFERROR(__xludf.DUMMYFUNCTION("""COMPUTED_VALUE"""),"Adhesivo 300 mm Materias radiactivas II")</f>
        <v>Adhesivo 300 mm Materias radiactivas II</v>
      </c>
      <c r="C932" s="4">
        <f>IFERROR(__xludf.DUMMYFUNCTION("""COMPUTED_VALUE"""),1.536)</f>
        <v>1.536</v>
      </c>
    </row>
    <row r="933">
      <c r="A933" s="4" t="str">
        <f>IFERROR(__xludf.DUMMYFUNCTION("""COMPUTED_VALUE"""),"826")</f>
        <v>826</v>
      </c>
      <c r="B933" s="4" t="str">
        <f>IFERROR(__xludf.DUMMYFUNCTION("""COMPUTED_VALUE"""),"Adhesivo 100 mm Materias radiactivas III")</f>
        <v>Adhesivo 100 mm Materias radiactivas III</v>
      </c>
      <c r="C933" s="4">
        <f>IFERROR(__xludf.DUMMYFUNCTION("""COMPUTED_VALUE"""),0.576)</f>
        <v>0.576</v>
      </c>
    </row>
    <row r="934">
      <c r="A934" s="4" t="str">
        <f>IFERROR(__xludf.DUMMYFUNCTION("""COMPUTED_VALUE"""),"0826A")</f>
        <v>0826A</v>
      </c>
      <c r="B934" s="4" t="str">
        <f>IFERROR(__xludf.DUMMYFUNCTION("""COMPUTED_VALUE"""),"Adhesivo 300 mm Materias radiactivas III")</f>
        <v>Adhesivo 300 mm Materias radiactivas III</v>
      </c>
      <c r="C934" s="4">
        <f>IFERROR(__xludf.DUMMYFUNCTION("""COMPUTED_VALUE"""),1.536)</f>
        <v>1.536</v>
      </c>
    </row>
    <row r="935">
      <c r="A935" s="4" t="str">
        <f>IFERROR(__xludf.DUMMYFUNCTION("""COMPUTED_VALUE"""),"827")</f>
        <v>827</v>
      </c>
      <c r="B935" s="4" t="str">
        <f>IFERROR(__xludf.DUMMYFUNCTION("""COMPUTED_VALUE"""),"Adhesivo 100 mm Materias fisionables")</f>
        <v>Adhesivo 100 mm Materias fisionables</v>
      </c>
      <c r="C935" s="4">
        <f>IFERROR(__xludf.DUMMYFUNCTION("""COMPUTED_VALUE"""),0.576)</f>
        <v>0.576</v>
      </c>
    </row>
    <row r="936">
      <c r="A936" s="4" t="str">
        <f>IFERROR(__xludf.DUMMYFUNCTION("""COMPUTED_VALUE"""),"0827A")</f>
        <v>0827A</v>
      </c>
      <c r="B936" s="4" t="str">
        <f>IFERROR(__xludf.DUMMYFUNCTION("""COMPUTED_VALUE"""),"Adhesivo 300 mm Materias fisionables")</f>
        <v>Adhesivo 300 mm Materias fisionables</v>
      </c>
      <c r="C936" s="4">
        <f>IFERROR(__xludf.DUMMYFUNCTION("""COMPUTED_VALUE"""),1.536)</f>
        <v>1.536</v>
      </c>
    </row>
    <row r="937">
      <c r="A937" s="4" t="str">
        <f>IFERROR(__xludf.DUMMYFUNCTION("""COMPUTED_VALUE"""),"828")</f>
        <v>828</v>
      </c>
      <c r="B937" s="4" t="str">
        <f>IFERROR(__xludf.DUMMYFUNCTION("""COMPUTED_VALUE"""),"Adhesivo 100 mm Materias corrosivas")</f>
        <v>Adhesivo 100 mm Materias corrosivas</v>
      </c>
      <c r="C937" s="4">
        <f>IFERROR(__xludf.DUMMYFUNCTION("""COMPUTED_VALUE"""),0.576)</f>
        <v>0.576</v>
      </c>
    </row>
    <row r="938">
      <c r="A938" s="4" t="str">
        <f>IFERROR(__xludf.DUMMYFUNCTION("""COMPUTED_VALUE"""),"0828A")</f>
        <v>0828A</v>
      </c>
      <c r="B938" s="4" t="str">
        <f>IFERROR(__xludf.DUMMYFUNCTION("""COMPUTED_VALUE"""),"Adhesivo 300 mm Materias corrosivas")</f>
        <v>Adhesivo 300 mm Materias corrosivas</v>
      </c>
      <c r="C938" s="4">
        <f>IFERROR(__xludf.DUMMYFUNCTION("""COMPUTED_VALUE"""),1.536)</f>
        <v>1.536</v>
      </c>
    </row>
    <row r="939">
      <c r="A939" s="4" t="str">
        <f>IFERROR(__xludf.DUMMYFUNCTION("""COMPUTED_VALUE"""),"829")</f>
        <v>829</v>
      </c>
      <c r="B939" s="4" t="str">
        <f>IFERROR(__xludf.DUMMYFUNCTION("""COMPUTED_VALUE"""),"Adhesivo 100 mm Materias y objetos peligrosos diversos")</f>
        <v>Adhesivo 100 mm Materias y objetos peligrosos diversos</v>
      </c>
      <c r="C939" s="4">
        <f>IFERROR(__xludf.DUMMYFUNCTION("""COMPUTED_VALUE"""),0.576)</f>
        <v>0.576</v>
      </c>
    </row>
    <row r="940">
      <c r="A940" s="4" t="str">
        <f>IFERROR(__xludf.DUMMYFUNCTION("""COMPUTED_VALUE"""),"0829A")</f>
        <v>0829A</v>
      </c>
      <c r="B940" s="4" t="str">
        <f>IFERROR(__xludf.DUMMYFUNCTION("""COMPUTED_VALUE"""),"Adhesivo 300 mm Materias y objetos peligrosos divesas")</f>
        <v>Adhesivo 300 mm Materias y objetos peligrosos divesas</v>
      </c>
      <c r="C940" s="4">
        <f>IFERROR(__xludf.DUMMYFUNCTION("""COMPUTED_VALUE"""),1.536)</f>
        <v>1.536</v>
      </c>
    </row>
    <row r="941">
      <c r="A941" s="4" t="str">
        <f>IFERROR(__xludf.DUMMYFUNCTION("""COMPUTED_VALUE"""),"830")</f>
        <v>830</v>
      </c>
      <c r="B941" s="4" t="str">
        <f>IFERROR(__xludf.DUMMYFUNCTION("""COMPUTED_VALUE"""),"Adhesivo 100 mm Materias peligrosas para el medio ambiente")</f>
        <v>Adhesivo 100 mm Materias peligrosas para el medio ambiente</v>
      </c>
      <c r="C941" s="4">
        <f>IFERROR(__xludf.DUMMYFUNCTION("""COMPUTED_VALUE"""),0.576)</f>
        <v>0.576</v>
      </c>
    </row>
    <row r="942">
      <c r="A942" s="4" t="str">
        <f>IFERROR(__xludf.DUMMYFUNCTION("""COMPUTED_VALUE"""),"0830A")</f>
        <v>0830A</v>
      </c>
      <c r="B942" s="4" t="str">
        <f>IFERROR(__xludf.DUMMYFUNCTION("""COMPUTED_VALUE"""),"Adhesivo 300 mm Materias peligrosas para el medio ambiente")</f>
        <v>Adhesivo 300 mm Materias peligrosas para el medio ambiente</v>
      </c>
      <c r="C942" s="4">
        <f>IFERROR(__xludf.DUMMYFUNCTION("""COMPUTED_VALUE"""),1.536)</f>
        <v>1.536</v>
      </c>
    </row>
    <row r="943">
      <c r="A943" s="4" t="str">
        <f>IFERROR(__xludf.DUMMYFUNCTION("""COMPUTED_VALUE"""),"831")</f>
        <v>831</v>
      </c>
      <c r="B943" s="4" t="str">
        <f>IFERROR(__xludf.DUMMYFUNCTION("""COMPUTED_VALUE"""),"Adhesivo 100 mm Orientación del bulto")</f>
        <v>Adhesivo 100 mm Orientación del bulto</v>
      </c>
      <c r="C943" s="4">
        <f>IFERROR(__xludf.DUMMYFUNCTION("""COMPUTED_VALUE"""),0.576)</f>
        <v>0.576</v>
      </c>
    </row>
    <row r="944">
      <c r="A944" s="4" t="str">
        <f>IFERROR(__xludf.DUMMYFUNCTION("""COMPUTED_VALUE"""),"0831A")</f>
        <v>0831A</v>
      </c>
      <c r="B944" s="4" t="str">
        <f>IFERROR(__xludf.DUMMYFUNCTION("""COMPUTED_VALUE"""),"Adhesivo 300 mm Orientación del bulto")</f>
        <v>Adhesivo 300 mm Orientación del bulto</v>
      </c>
      <c r="C944" s="4">
        <f>IFERROR(__xludf.DUMMYFUNCTION("""COMPUTED_VALUE"""),1.536)</f>
        <v>1.536</v>
      </c>
    </row>
    <row r="945">
      <c r="A945" s="4" t="str">
        <f>IFERROR(__xludf.DUMMYFUNCTION("""COMPUTED_VALUE"""),"832")</f>
        <v>832</v>
      </c>
      <c r="B945" s="4" t="str">
        <f>IFERROR(__xludf.DUMMYFUNCTION("""COMPUTED_VALUE"""),"Adhesivo 100 mm productos químicos explosivos")</f>
        <v>Adhesivo 100 mm productos químicos explosivos</v>
      </c>
      <c r="C945" s="4">
        <f>IFERROR(__xludf.DUMMYFUNCTION("""COMPUTED_VALUE"""),0.576)</f>
        <v>0.576</v>
      </c>
    </row>
    <row r="946">
      <c r="A946" s="4" t="str">
        <f>IFERROR(__xludf.DUMMYFUNCTION("""COMPUTED_VALUE"""),"0832A")</f>
        <v>0832A</v>
      </c>
      <c r="B946" s="4" t="str">
        <f>IFERROR(__xludf.DUMMYFUNCTION("""COMPUTED_VALUE"""),"Adhesivo 300 mm productos químicos explosivos")</f>
        <v>Adhesivo 300 mm productos químicos explosivos</v>
      </c>
      <c r="C946" s="4">
        <f>IFERROR(__xludf.DUMMYFUNCTION("""COMPUTED_VALUE"""),1.536)</f>
        <v>1.536</v>
      </c>
    </row>
    <row r="947">
      <c r="A947" s="4" t="str">
        <f>IFERROR(__xludf.DUMMYFUNCTION("""COMPUTED_VALUE"""),"833")</f>
        <v>833</v>
      </c>
      <c r="B947" s="4" t="str">
        <f>IFERROR(__xludf.DUMMYFUNCTION("""COMPUTED_VALUE"""),"Adhesivo 100 mm productos químicos inflamables")</f>
        <v>Adhesivo 100 mm productos químicos inflamables</v>
      </c>
      <c r="C947" s="4">
        <f>IFERROR(__xludf.DUMMYFUNCTION("""COMPUTED_VALUE"""),0.576)</f>
        <v>0.576</v>
      </c>
    </row>
    <row r="948">
      <c r="A948" s="4" t="str">
        <f>IFERROR(__xludf.DUMMYFUNCTION("""COMPUTED_VALUE"""),"0833A")</f>
        <v>0833A</v>
      </c>
      <c r="B948" s="4" t="str">
        <f>IFERROR(__xludf.DUMMYFUNCTION("""COMPUTED_VALUE"""),"Adhesivo 300 mm productos químicos inflamables")</f>
        <v>Adhesivo 300 mm productos químicos inflamables</v>
      </c>
      <c r="C948" s="4">
        <f>IFERROR(__xludf.DUMMYFUNCTION("""COMPUTED_VALUE"""),1.536)</f>
        <v>1.536</v>
      </c>
    </row>
    <row r="949">
      <c r="A949" s="4" t="str">
        <f>IFERROR(__xludf.DUMMYFUNCTION("""COMPUTED_VALUE"""),"834")</f>
        <v>834</v>
      </c>
      <c r="B949" s="4" t="str">
        <f>IFERROR(__xludf.DUMMYFUNCTION("""COMPUTED_VALUE"""),"Adhesivo 100 mm productos químicos comburentes")</f>
        <v>Adhesivo 100 mm productos químicos comburentes</v>
      </c>
      <c r="C949" s="4">
        <f>IFERROR(__xludf.DUMMYFUNCTION("""COMPUTED_VALUE"""),0.576)</f>
        <v>0.576</v>
      </c>
    </row>
    <row r="950">
      <c r="A950" s="4" t="str">
        <f>IFERROR(__xludf.DUMMYFUNCTION("""COMPUTED_VALUE"""),"0834A")</f>
        <v>0834A</v>
      </c>
      <c r="B950" s="4" t="str">
        <f>IFERROR(__xludf.DUMMYFUNCTION("""COMPUTED_VALUE"""),"Adhesivo 300 mm productos químicos comburentes")</f>
        <v>Adhesivo 300 mm productos químicos comburentes</v>
      </c>
      <c r="C950" s="4">
        <f>IFERROR(__xludf.DUMMYFUNCTION("""COMPUTED_VALUE"""),1.536)</f>
        <v>1.536</v>
      </c>
    </row>
    <row r="951">
      <c r="A951" s="4" t="str">
        <f>IFERROR(__xludf.DUMMYFUNCTION("""COMPUTED_VALUE"""),"835")</f>
        <v>835</v>
      </c>
      <c r="B951" s="4" t="str">
        <f>IFERROR(__xludf.DUMMYFUNCTION("""COMPUTED_VALUE"""),"Adhesivo 100 mm productos químicos gas a presión")</f>
        <v>Adhesivo 100 mm productos químicos gas a presión</v>
      </c>
      <c r="C951" s="4">
        <f>IFERROR(__xludf.DUMMYFUNCTION("""COMPUTED_VALUE"""),0.576)</f>
        <v>0.576</v>
      </c>
    </row>
    <row r="952">
      <c r="A952" s="4" t="str">
        <f>IFERROR(__xludf.DUMMYFUNCTION("""COMPUTED_VALUE"""),"0835A")</f>
        <v>0835A</v>
      </c>
      <c r="B952" s="4" t="str">
        <f>IFERROR(__xludf.DUMMYFUNCTION("""COMPUTED_VALUE"""),"Adhesivo 300 mm productos químicos gas a presión")</f>
        <v>Adhesivo 300 mm productos químicos gas a presión</v>
      </c>
      <c r="C952" s="4">
        <f>IFERROR(__xludf.DUMMYFUNCTION("""COMPUTED_VALUE"""),1.536)</f>
        <v>1.536</v>
      </c>
    </row>
    <row r="953">
      <c r="A953" s="4" t="str">
        <f>IFERROR(__xludf.DUMMYFUNCTION("""COMPUTED_VALUE"""),"836")</f>
        <v>836</v>
      </c>
      <c r="B953" s="4" t="str">
        <f>IFERROR(__xludf.DUMMYFUNCTION("""COMPUTED_VALUE"""),"Adhesivo 100 mm productos químicos toxicidad aguda")</f>
        <v>Adhesivo 100 mm productos químicos toxicidad aguda</v>
      </c>
      <c r="C953" s="4">
        <f>IFERROR(__xludf.DUMMYFUNCTION("""COMPUTED_VALUE"""),0.576)</f>
        <v>0.576</v>
      </c>
    </row>
    <row r="954">
      <c r="A954" s="4" t="str">
        <f>IFERROR(__xludf.DUMMYFUNCTION("""COMPUTED_VALUE"""),"0836A")</f>
        <v>0836A</v>
      </c>
      <c r="B954" s="4" t="str">
        <f>IFERROR(__xludf.DUMMYFUNCTION("""COMPUTED_VALUE"""),"Adhesivo 300 mm productos químicos Toxicidad aguda")</f>
        <v>Adhesivo 300 mm productos químicos Toxicidad aguda</v>
      </c>
      <c r="C954" s="4">
        <f>IFERROR(__xludf.DUMMYFUNCTION("""COMPUTED_VALUE"""),1.536)</f>
        <v>1.536</v>
      </c>
    </row>
    <row r="955">
      <c r="A955" s="4" t="str">
        <f>IFERROR(__xludf.DUMMYFUNCTION("""COMPUTED_VALUE"""),"837")</f>
        <v>837</v>
      </c>
      <c r="B955" s="4" t="str">
        <f>IFERROR(__xludf.DUMMYFUNCTION("""COMPUTED_VALUE"""),"Adhesivo 100 mm productos químicos corrosivos")</f>
        <v>Adhesivo 100 mm productos químicos corrosivos</v>
      </c>
      <c r="C955" s="4">
        <f>IFERROR(__xludf.DUMMYFUNCTION("""COMPUTED_VALUE"""),0.576)</f>
        <v>0.576</v>
      </c>
    </row>
    <row r="956">
      <c r="A956" s="4" t="str">
        <f>IFERROR(__xludf.DUMMYFUNCTION("""COMPUTED_VALUE"""),"0837A")</f>
        <v>0837A</v>
      </c>
      <c r="B956" s="4" t="str">
        <f>IFERROR(__xludf.DUMMYFUNCTION("""COMPUTED_VALUE"""),"Adhesivo 300 mm productos químicos corrosivos")</f>
        <v>Adhesivo 300 mm productos químicos corrosivos</v>
      </c>
      <c r="C956" s="4">
        <f>IFERROR(__xludf.DUMMYFUNCTION("""COMPUTED_VALUE"""),1.536)</f>
        <v>1.536</v>
      </c>
    </row>
    <row r="957">
      <c r="A957" s="4" t="str">
        <f>IFERROR(__xludf.DUMMYFUNCTION("""COMPUTED_VALUE"""),"838")</f>
        <v>838</v>
      </c>
      <c r="B957" s="4" t="str">
        <f>IFERROR(__xludf.DUMMYFUNCTION("""COMPUTED_VALUE"""),"Adhesivo 100 mm productos químicos peligro grave para la")</f>
        <v>Adhesivo 100 mm productos químicos peligro grave para la</v>
      </c>
      <c r="C957" s="4">
        <f>IFERROR(__xludf.DUMMYFUNCTION("""COMPUTED_VALUE"""),0.576)</f>
        <v>0.576</v>
      </c>
    </row>
    <row r="958">
      <c r="A958" s="4" t="str">
        <f>IFERROR(__xludf.DUMMYFUNCTION("""COMPUTED_VALUE"""),"0838A")</f>
        <v>0838A</v>
      </c>
      <c r="B958" s="4" t="str">
        <f>IFERROR(__xludf.DUMMYFUNCTION("""COMPUTED_VALUE"""),"Adhesivo 300 mm productos químicos peligro grave para la")</f>
        <v>Adhesivo 300 mm productos químicos peligro grave para la</v>
      </c>
      <c r="C958" s="4">
        <f>IFERROR(__xludf.DUMMYFUNCTION("""COMPUTED_VALUE"""),1.536)</f>
        <v>1.536</v>
      </c>
    </row>
    <row r="959">
      <c r="A959" s="4" t="str">
        <f>IFERROR(__xludf.DUMMYFUNCTION("""COMPUTED_VALUE"""),"839")</f>
        <v>839</v>
      </c>
      <c r="B959" s="4" t="str">
        <f>IFERROR(__xludf.DUMMYFUNCTION("""COMPUTED_VALUE"""),"Adhesivo 100 mm productos químicos peligro para la salud")</f>
        <v>Adhesivo 100 mm productos químicos peligro para la salud</v>
      </c>
      <c r="C959" s="4">
        <f>IFERROR(__xludf.DUMMYFUNCTION("""COMPUTED_VALUE"""),0.576)</f>
        <v>0.576</v>
      </c>
    </row>
    <row r="960">
      <c r="A960" s="4" t="str">
        <f>IFERROR(__xludf.DUMMYFUNCTION("""COMPUTED_VALUE"""),"0839A")</f>
        <v>0839A</v>
      </c>
      <c r="B960" s="4" t="str">
        <f>IFERROR(__xludf.DUMMYFUNCTION("""COMPUTED_VALUE"""),"Adhesivo 300 mm productos químicos peligro para la salud")</f>
        <v>Adhesivo 300 mm productos químicos peligro para la salud</v>
      </c>
      <c r="C960" s="4">
        <f>IFERROR(__xludf.DUMMYFUNCTION("""COMPUTED_VALUE"""),1.536)</f>
        <v>1.536</v>
      </c>
    </row>
    <row r="961">
      <c r="A961" s="4" t="str">
        <f>IFERROR(__xludf.DUMMYFUNCTION("""COMPUTED_VALUE"""),"840")</f>
        <v>840</v>
      </c>
      <c r="B961" s="4" t="str">
        <f>IFERROR(__xludf.DUMMYFUNCTION("""COMPUTED_VALUE"""),"Adhesivo 100 mm productos químicos peligro para el medio")</f>
        <v>Adhesivo 100 mm productos químicos peligro para el medio</v>
      </c>
      <c r="C961" s="4">
        <f>IFERROR(__xludf.DUMMYFUNCTION("""COMPUTED_VALUE"""),0.576)</f>
        <v>0.576</v>
      </c>
    </row>
    <row r="962">
      <c r="A962" s="4" t="str">
        <f>IFERROR(__xludf.DUMMYFUNCTION("""COMPUTED_VALUE"""),"0840A")</f>
        <v>0840A</v>
      </c>
      <c r="B962" s="4" t="str">
        <f>IFERROR(__xludf.DUMMYFUNCTION("""COMPUTED_VALUE"""),"Adhesivo 300 mm productos químicos peligro para el medio")</f>
        <v>Adhesivo 300 mm productos químicos peligro para el medio</v>
      </c>
      <c r="C962" s="4">
        <f>IFERROR(__xludf.DUMMYFUNCTION("""COMPUTED_VALUE"""),1.536)</f>
        <v>1.536</v>
      </c>
    </row>
    <row r="963">
      <c r="A963" s="4" t="str">
        <f>IFERROR(__xludf.DUMMYFUNCTION("""COMPUTED_VALUE"""),"841")</f>
        <v>841</v>
      </c>
      <c r="B963" s="4" t="str">
        <f>IFERROR(__xludf.DUMMYFUNCTION("""COMPUTED_VALUE"""),"Adhesivo información general aparcamiento 200x60 mm")</f>
        <v>Adhesivo información general aparcamiento 200x60 mm</v>
      </c>
      <c r="C963" s="4">
        <f>IFERROR(__xludf.DUMMYFUNCTION("""COMPUTED_VALUE"""),1.056)</f>
        <v>1.056</v>
      </c>
    </row>
    <row r="964">
      <c r="A964" s="4" t="str">
        <f>IFERROR(__xludf.DUMMYFUNCTION("""COMPUTED_VALUE"""),"0841A")</f>
        <v>0841A</v>
      </c>
      <c r="B964" s="4" t="str">
        <f>IFERROR(__xludf.DUMMYFUNCTION("""COMPUTED_VALUE"""),"Adhesivo información general aparcamiento 300x100 mm")</f>
        <v>Adhesivo información general aparcamiento 300x100 mm</v>
      </c>
      <c r="C964" s="4">
        <f>IFERROR(__xludf.DUMMYFUNCTION("""COMPUTED_VALUE"""),1.536)</f>
        <v>1.536</v>
      </c>
    </row>
    <row r="965">
      <c r="A965" s="4" t="str">
        <f>IFERROR(__xludf.DUMMYFUNCTION("""COMPUTED_VALUE"""),"0841C")</f>
        <v>0841C</v>
      </c>
      <c r="B965" s="4" t="str">
        <f>IFERROR(__xludf.DUMMYFUNCTION("""COMPUTED_VALUE"""),"Cartel PVC información general aparcamiento 300x100 mm")</f>
        <v>Cartel PVC información general aparcamiento 300x100 mm</v>
      </c>
      <c r="C965" s="4">
        <f>IFERROR(__xludf.DUMMYFUNCTION("""COMPUTED_VALUE"""),1.776)</f>
        <v>1.776</v>
      </c>
    </row>
    <row r="966">
      <c r="A966" s="4" t="str">
        <f>IFERROR(__xludf.DUMMYFUNCTION("""COMPUTED_VALUE"""),"842")</f>
        <v>842</v>
      </c>
      <c r="B966" s="4" t="str">
        <f>IFERROR(__xludf.DUMMYFUNCTION("""COMPUTED_VALUE"""),"Adhesivo información general aseos minusváldos 200x60 mm")</f>
        <v>Adhesivo información general aseos minusváldos 200x60 mm</v>
      </c>
      <c r="C966" s="4">
        <f>IFERROR(__xludf.DUMMYFUNCTION("""COMPUTED_VALUE"""),1.056)</f>
        <v>1.056</v>
      </c>
    </row>
    <row r="967">
      <c r="A967" s="4" t="str">
        <f>IFERROR(__xludf.DUMMYFUNCTION("""COMPUTED_VALUE"""),"0842A")</f>
        <v>0842A</v>
      </c>
      <c r="B967" s="4" t="str">
        <f>IFERROR(__xludf.DUMMYFUNCTION("""COMPUTED_VALUE"""),"Adhesivo información general aseos minusválidos 300x100")</f>
        <v>Adhesivo información general aseos minusválidos 300x100</v>
      </c>
      <c r="C967" s="4">
        <f>IFERROR(__xludf.DUMMYFUNCTION("""COMPUTED_VALUE"""),1.536)</f>
        <v>1.536</v>
      </c>
    </row>
    <row r="968">
      <c r="A968" s="4" t="str">
        <f>IFERROR(__xludf.DUMMYFUNCTION("""COMPUTED_VALUE"""),"0842C")</f>
        <v>0842C</v>
      </c>
      <c r="B968" s="4" t="str">
        <f>IFERROR(__xludf.DUMMYFUNCTION("""COMPUTED_VALUE"""),"Cartel PVC información general aseos minusválidos 300x100")</f>
        <v>Cartel PVC información general aseos minusválidos 300x100</v>
      </c>
      <c r="C968" s="4">
        <f>IFERROR(__xludf.DUMMYFUNCTION("""COMPUTED_VALUE"""),1.776)</f>
        <v>1.776</v>
      </c>
    </row>
    <row r="969">
      <c r="A969" s="4" t="str">
        <f>IFERROR(__xludf.DUMMYFUNCTION("""COMPUTED_VALUE"""),"843")</f>
        <v>843</v>
      </c>
      <c r="B969" s="4" t="str">
        <f>IFERROR(__xludf.DUMMYFUNCTION("""COMPUTED_VALUE"""),"Adhesivo información general aseos masculino 200x60 mm")</f>
        <v>Adhesivo información general aseos masculino 200x60 mm</v>
      </c>
      <c r="C969" s="4">
        <f>IFERROR(__xludf.DUMMYFUNCTION("""COMPUTED_VALUE"""),1.056)</f>
        <v>1.056</v>
      </c>
    </row>
    <row r="970">
      <c r="A970" s="4" t="str">
        <f>IFERROR(__xludf.DUMMYFUNCTION("""COMPUTED_VALUE"""),"0843A")</f>
        <v>0843A</v>
      </c>
      <c r="B970" s="4" t="str">
        <f>IFERROR(__xludf.DUMMYFUNCTION("""COMPUTED_VALUE"""),"Adhesivo información general aseos masculino 300x100 mm")</f>
        <v>Adhesivo información general aseos masculino 300x100 mm</v>
      </c>
      <c r="C970" s="4">
        <f>IFERROR(__xludf.DUMMYFUNCTION("""COMPUTED_VALUE"""),1.536)</f>
        <v>1.536</v>
      </c>
    </row>
    <row r="971">
      <c r="A971" s="4" t="str">
        <f>IFERROR(__xludf.DUMMYFUNCTION("""COMPUTED_VALUE"""),"0843C")</f>
        <v>0843C</v>
      </c>
      <c r="B971" s="4" t="str">
        <f>IFERROR(__xludf.DUMMYFUNCTION("""COMPUTED_VALUE"""),"Cartel PVC información general aseos masculino 300x100 mm")</f>
        <v>Cartel PVC información general aseos masculino 300x100 mm</v>
      </c>
      <c r="C971" s="4">
        <f>IFERROR(__xludf.DUMMYFUNCTION("""COMPUTED_VALUE"""),1.776)</f>
        <v>1.776</v>
      </c>
    </row>
    <row r="972">
      <c r="A972" s="4" t="str">
        <f>IFERROR(__xludf.DUMMYFUNCTION("""COMPUTED_VALUE"""),"845")</f>
        <v>845</v>
      </c>
      <c r="B972" s="4" t="str">
        <f>IFERROR(__xludf.DUMMYFUNCTION("""COMPUTED_VALUE"""),"Adhesivo información general aseos mixtos 200x60 mm")</f>
        <v>Adhesivo información general aseos mixtos 200x60 mm</v>
      </c>
      <c r="C972" s="4">
        <f>IFERROR(__xludf.DUMMYFUNCTION("""COMPUTED_VALUE"""),1.056)</f>
        <v>1.056</v>
      </c>
    </row>
    <row r="973">
      <c r="A973" s="4" t="str">
        <f>IFERROR(__xludf.DUMMYFUNCTION("""COMPUTED_VALUE"""),"0845A")</f>
        <v>0845A</v>
      </c>
      <c r="B973" s="4" t="str">
        <f>IFERROR(__xludf.DUMMYFUNCTION("""COMPUTED_VALUE"""),"Adhesivo información general aseos mixtos 300x100 mm")</f>
        <v>Adhesivo información general aseos mixtos 300x100 mm</v>
      </c>
      <c r="C973" s="4">
        <f>IFERROR(__xludf.DUMMYFUNCTION("""COMPUTED_VALUE"""),1.536)</f>
        <v>1.536</v>
      </c>
    </row>
    <row r="974">
      <c r="A974" s="4" t="str">
        <f>IFERROR(__xludf.DUMMYFUNCTION("""COMPUTED_VALUE"""),"0845C")</f>
        <v>0845C</v>
      </c>
      <c r="B974" s="4" t="str">
        <f>IFERROR(__xludf.DUMMYFUNCTION("""COMPUTED_VALUE"""),"Cartel PVC información general asos mixtos 300x100 mm")</f>
        <v>Cartel PVC información general asos mixtos 300x100 mm</v>
      </c>
      <c r="C974" s="4">
        <f>IFERROR(__xludf.DUMMYFUNCTION("""COMPUTED_VALUE"""),1.776)</f>
        <v>1.776</v>
      </c>
    </row>
    <row r="975">
      <c r="A975" s="4" t="str">
        <f>IFERROR(__xludf.DUMMYFUNCTION("""COMPUTED_VALUE"""),"846")</f>
        <v>846</v>
      </c>
      <c r="B975" s="4" t="str">
        <f>IFERROR(__xludf.DUMMYFUNCTION("""COMPUTED_VALUE"""),"Adhesivo información general aseos femenino 200x60 mm")</f>
        <v>Adhesivo información general aseos femenino 200x60 mm</v>
      </c>
      <c r="C975" s="4">
        <f>IFERROR(__xludf.DUMMYFUNCTION("""COMPUTED_VALUE"""),1.056)</f>
        <v>1.056</v>
      </c>
    </row>
    <row r="976">
      <c r="A976" s="4" t="str">
        <f>IFERROR(__xludf.DUMMYFUNCTION("""COMPUTED_VALUE"""),"0846A")</f>
        <v>0846A</v>
      </c>
      <c r="B976" s="4" t="str">
        <f>IFERROR(__xludf.DUMMYFUNCTION("""COMPUTED_VALUE"""),"Adhesivo información general aseos femeninio 300x100 mm")</f>
        <v>Adhesivo información general aseos femeninio 300x100 mm</v>
      </c>
      <c r="C976" s="4">
        <f>IFERROR(__xludf.DUMMYFUNCTION("""COMPUTED_VALUE"""),1.536)</f>
        <v>1.536</v>
      </c>
    </row>
    <row r="977">
      <c r="A977" s="4" t="str">
        <f>IFERROR(__xludf.DUMMYFUNCTION("""COMPUTED_VALUE"""),"0846C")</f>
        <v>0846C</v>
      </c>
      <c r="B977" s="4" t="str">
        <f>IFERROR(__xludf.DUMMYFUNCTION("""COMPUTED_VALUE"""),"Cartel PVC informacion general Aseos femenino 300x100 mm")</f>
        <v>Cartel PVC informacion general Aseos femenino 300x100 mm</v>
      </c>
      <c r="C977" s="4">
        <f>IFERROR(__xludf.DUMMYFUNCTION("""COMPUTED_VALUE"""),1.776)</f>
        <v>1.776</v>
      </c>
    </row>
    <row r="978">
      <c r="A978" s="4" t="str">
        <f>IFERROR(__xludf.DUMMYFUNCTION("""COMPUTED_VALUE"""),"847")</f>
        <v>847</v>
      </c>
      <c r="B978" s="4" t="str">
        <f>IFERROR(__xludf.DUMMYFUNCTION("""COMPUTED_VALUE"""),"Adhesivo información general vestuario mixto 200x60 mm")</f>
        <v>Adhesivo información general vestuario mixto 200x60 mm</v>
      </c>
      <c r="C978" s="4">
        <f>IFERROR(__xludf.DUMMYFUNCTION("""COMPUTED_VALUE"""),1.056)</f>
        <v>1.056</v>
      </c>
    </row>
    <row r="979">
      <c r="A979" s="4" t="str">
        <f>IFERROR(__xludf.DUMMYFUNCTION("""COMPUTED_VALUE"""),"0847A")</f>
        <v>0847A</v>
      </c>
      <c r="B979" s="4" t="str">
        <f>IFERROR(__xludf.DUMMYFUNCTION("""COMPUTED_VALUE"""),"Adhesivo información general vestuario mixto 300x100 mm")</f>
        <v>Adhesivo información general vestuario mixto 300x100 mm</v>
      </c>
      <c r="C979" s="4">
        <f>IFERROR(__xludf.DUMMYFUNCTION("""COMPUTED_VALUE"""),1.536)</f>
        <v>1.536</v>
      </c>
    </row>
    <row r="980">
      <c r="A980" s="4" t="str">
        <f>IFERROR(__xludf.DUMMYFUNCTION("""COMPUTED_VALUE"""),"0847C")</f>
        <v>0847C</v>
      </c>
      <c r="B980" s="4" t="str">
        <f>IFERROR(__xludf.DUMMYFUNCTION("""COMPUTED_VALUE"""),"Cartel PVC información general vestuarios mixtos 300x100 mm")</f>
        <v>Cartel PVC información general vestuarios mixtos 300x100 mm</v>
      </c>
      <c r="C980" s="4">
        <f>IFERROR(__xludf.DUMMYFUNCTION("""COMPUTED_VALUE"""),1.776)</f>
        <v>1.776</v>
      </c>
    </row>
    <row r="981">
      <c r="A981" s="4" t="str">
        <f>IFERROR(__xludf.DUMMYFUNCTION("""COMPUTED_VALUE"""),"848")</f>
        <v>848</v>
      </c>
      <c r="B981" s="4" t="str">
        <f>IFERROR(__xludf.DUMMYFUNCTION("""COMPUTED_VALUE"""),"Adhesivo información general vestuario femenino 200x60 mm")</f>
        <v>Adhesivo información general vestuario femenino 200x60 mm</v>
      </c>
      <c r="C981" s="4">
        <f>IFERROR(__xludf.DUMMYFUNCTION("""COMPUTED_VALUE"""),1.056)</f>
        <v>1.056</v>
      </c>
    </row>
    <row r="982">
      <c r="A982" s="4" t="str">
        <f>IFERROR(__xludf.DUMMYFUNCTION("""COMPUTED_VALUE"""),"0848A")</f>
        <v>0848A</v>
      </c>
      <c r="B982" s="4" t="str">
        <f>IFERROR(__xludf.DUMMYFUNCTION("""COMPUTED_VALUE"""),"Adhesivo información general vestuario femenino 300x100 mm")</f>
        <v>Adhesivo información general vestuario femenino 300x100 mm</v>
      </c>
      <c r="C982" s="4">
        <f>IFERROR(__xludf.DUMMYFUNCTION("""COMPUTED_VALUE"""),1.536)</f>
        <v>1.536</v>
      </c>
    </row>
    <row r="983">
      <c r="A983" s="4" t="str">
        <f>IFERROR(__xludf.DUMMYFUNCTION("""COMPUTED_VALUE"""),"0848C")</f>
        <v>0848C</v>
      </c>
      <c r="B983" s="4" t="str">
        <f>IFERROR(__xludf.DUMMYFUNCTION("""COMPUTED_VALUE"""),"Cartel PVC información general vestuario femenino 300x100")</f>
        <v>Cartel PVC información general vestuario femenino 300x100</v>
      </c>
      <c r="C983" s="4">
        <f>IFERROR(__xludf.DUMMYFUNCTION("""COMPUTED_VALUE"""),1.776)</f>
        <v>1.776</v>
      </c>
    </row>
    <row r="984">
      <c r="A984" s="4" t="str">
        <f>IFERROR(__xludf.DUMMYFUNCTION("""COMPUTED_VALUE"""),"849")</f>
        <v>849</v>
      </c>
      <c r="B984" s="4" t="str">
        <f>IFERROR(__xludf.DUMMYFUNCTION("""COMPUTED_VALUE"""),"Adhesivo información general vestuario masculino 200x60 mm")</f>
        <v>Adhesivo información general vestuario masculino 200x60 mm</v>
      </c>
      <c r="C984" s="4">
        <f>IFERROR(__xludf.DUMMYFUNCTION("""COMPUTED_VALUE"""),1.056)</f>
        <v>1.056</v>
      </c>
    </row>
    <row r="985">
      <c r="A985" s="4" t="str">
        <f>IFERROR(__xludf.DUMMYFUNCTION("""COMPUTED_VALUE"""),"0849A")</f>
        <v>0849A</v>
      </c>
      <c r="B985" s="4" t="str">
        <f>IFERROR(__xludf.DUMMYFUNCTION("""COMPUTED_VALUE"""),"Adhesivo información general vestuario masculino 300x100")</f>
        <v>Adhesivo información general vestuario masculino 300x100</v>
      </c>
      <c r="C985" s="4">
        <f>IFERROR(__xludf.DUMMYFUNCTION("""COMPUTED_VALUE"""),1.536)</f>
        <v>1.536</v>
      </c>
    </row>
    <row r="986">
      <c r="A986" s="4" t="str">
        <f>IFERROR(__xludf.DUMMYFUNCTION("""COMPUTED_VALUE"""),"0849C")</f>
        <v>0849C</v>
      </c>
      <c r="B986" s="4" t="str">
        <f>IFERROR(__xludf.DUMMYFUNCTION("""COMPUTED_VALUE"""),"Cartel PVC información general vestuario masculino 300x100")</f>
        <v>Cartel PVC información general vestuario masculino 300x100</v>
      </c>
      <c r="C986" s="4">
        <f>IFERROR(__xludf.DUMMYFUNCTION("""COMPUTED_VALUE"""),1.776)</f>
        <v>1.776</v>
      </c>
    </row>
    <row r="987">
      <c r="A987" s="4" t="str">
        <f>IFERROR(__xludf.DUMMYFUNCTION("""COMPUTED_VALUE"""),"850")</f>
        <v>850</v>
      </c>
      <c r="B987" s="4" t="str">
        <f>IFERROR(__xludf.DUMMYFUNCTION("""COMPUTED_VALUE"""),"Adhesivo información general información 200x60 mm")</f>
        <v>Adhesivo información general información 200x60 mm</v>
      </c>
      <c r="C987" s="4">
        <f>IFERROR(__xludf.DUMMYFUNCTION("""COMPUTED_VALUE"""),1.056)</f>
        <v>1.056</v>
      </c>
    </row>
    <row r="988">
      <c r="A988" s="4" t="str">
        <f>IFERROR(__xludf.DUMMYFUNCTION("""COMPUTED_VALUE"""),"0850A")</f>
        <v>0850A</v>
      </c>
      <c r="B988" s="4" t="str">
        <f>IFERROR(__xludf.DUMMYFUNCTION("""COMPUTED_VALUE"""),"Adhesivo información general información 300x100 mm")</f>
        <v>Adhesivo información general información 300x100 mm</v>
      </c>
      <c r="C988" s="4">
        <f>IFERROR(__xludf.DUMMYFUNCTION("""COMPUTED_VALUE"""),1.536)</f>
        <v>1.536</v>
      </c>
    </row>
    <row r="989">
      <c r="A989" s="4" t="str">
        <f>IFERROR(__xludf.DUMMYFUNCTION("""COMPUTED_VALUE"""),"0850C")</f>
        <v>0850C</v>
      </c>
      <c r="B989" s="4" t="str">
        <f>IFERROR(__xludf.DUMMYFUNCTION("""COMPUTED_VALUE"""),"Cartel PVC información general información 300x100 mm")</f>
        <v>Cartel PVC información general información 300x100 mm</v>
      </c>
      <c r="C989" s="4">
        <f>IFERROR(__xludf.DUMMYFUNCTION("""COMPUTED_VALUE"""),1.776)</f>
        <v>1.776</v>
      </c>
    </row>
    <row r="990">
      <c r="A990" s="4" t="str">
        <f>IFERROR(__xludf.DUMMYFUNCTION("""COMPUTED_VALUE"""),"851")</f>
        <v>851</v>
      </c>
      <c r="B990" s="4" t="str">
        <f>IFERROR(__xludf.DUMMYFUNCTION("""COMPUTED_VALUE"""),"Adhesivo información general teléfono 200x60 mm")</f>
        <v>Adhesivo información general teléfono 200x60 mm</v>
      </c>
      <c r="C990" s="4">
        <f>IFERROR(__xludf.DUMMYFUNCTION("""COMPUTED_VALUE"""),1.056)</f>
        <v>1.056</v>
      </c>
    </row>
    <row r="991">
      <c r="A991" s="4" t="str">
        <f>IFERROR(__xludf.DUMMYFUNCTION("""COMPUTED_VALUE"""),"0851A")</f>
        <v>0851A</v>
      </c>
      <c r="B991" s="4" t="str">
        <f>IFERROR(__xludf.DUMMYFUNCTION("""COMPUTED_VALUE"""),"Adhesivo información general teléfono 300x100 mm")</f>
        <v>Adhesivo información general teléfono 300x100 mm</v>
      </c>
      <c r="C991" s="4">
        <f>IFERROR(__xludf.DUMMYFUNCTION("""COMPUTED_VALUE"""),1.536)</f>
        <v>1.536</v>
      </c>
    </row>
    <row r="992">
      <c r="A992" s="4" t="str">
        <f>IFERROR(__xludf.DUMMYFUNCTION("""COMPUTED_VALUE"""),"0851C")</f>
        <v>0851C</v>
      </c>
      <c r="B992" s="4" t="str">
        <f>IFERROR(__xludf.DUMMYFUNCTION("""COMPUTED_VALUE"""),"Cartel PVC información general teléfono 300x100 mm")</f>
        <v>Cartel PVC información general teléfono 300x100 mm</v>
      </c>
      <c r="C992" s="4">
        <f>IFERROR(__xludf.DUMMYFUNCTION("""COMPUTED_VALUE"""),1.776)</f>
        <v>1.776</v>
      </c>
    </row>
    <row r="993">
      <c r="A993" s="4" t="str">
        <f>IFERROR(__xludf.DUMMYFUNCTION("""COMPUTED_VALUE"""),"852")</f>
        <v>852</v>
      </c>
      <c r="B993" s="4" t="str">
        <f>IFERROR(__xludf.DUMMYFUNCTION("""COMPUTED_VALUE"""),"Adhesivo información general guardarropa 200x60 mm")</f>
        <v>Adhesivo información general guardarropa 200x60 mm</v>
      </c>
      <c r="C993" s="4">
        <f>IFERROR(__xludf.DUMMYFUNCTION("""COMPUTED_VALUE"""),1.056)</f>
        <v>1.056</v>
      </c>
    </row>
    <row r="994">
      <c r="A994" s="4" t="str">
        <f>IFERROR(__xludf.DUMMYFUNCTION("""COMPUTED_VALUE"""),"0852A")</f>
        <v>0852A</v>
      </c>
      <c r="B994" s="4" t="str">
        <f>IFERROR(__xludf.DUMMYFUNCTION("""COMPUTED_VALUE"""),"Adhesivo información general guardarropa 300x100 mm")</f>
        <v>Adhesivo información general guardarropa 300x100 mm</v>
      </c>
      <c r="C994" s="4">
        <f>IFERROR(__xludf.DUMMYFUNCTION("""COMPUTED_VALUE"""),1.536)</f>
        <v>1.536</v>
      </c>
    </row>
    <row r="995">
      <c r="A995" s="4" t="str">
        <f>IFERROR(__xludf.DUMMYFUNCTION("""COMPUTED_VALUE"""),"0852C")</f>
        <v>0852C</v>
      </c>
      <c r="B995" s="4" t="str">
        <f>IFERROR(__xludf.DUMMYFUNCTION("""COMPUTED_VALUE"""),"Cartel PVC información general Guardarropa 300x100 mm")</f>
        <v>Cartel PVC información general Guardarropa 300x100 mm</v>
      </c>
      <c r="C995" s="4">
        <f>IFERROR(__xludf.DUMMYFUNCTION("""COMPUTED_VALUE"""),1.776)</f>
        <v>1.776</v>
      </c>
    </row>
    <row r="996">
      <c r="A996" s="4" t="str">
        <f>IFERROR(__xludf.DUMMYFUNCTION("""COMPUTED_VALUE"""),"853")</f>
        <v>853</v>
      </c>
      <c r="B996" s="4" t="str">
        <f>IFERROR(__xludf.DUMMYFUNCTION("""COMPUTED_VALUE"""),"Adhesivo información general restaurante 200x60 mm")</f>
        <v>Adhesivo información general restaurante 200x60 mm</v>
      </c>
      <c r="C996" s="4">
        <f>IFERROR(__xludf.DUMMYFUNCTION("""COMPUTED_VALUE"""),1.056)</f>
        <v>1.056</v>
      </c>
    </row>
    <row r="997">
      <c r="A997" s="4" t="str">
        <f>IFERROR(__xludf.DUMMYFUNCTION("""COMPUTED_VALUE"""),"0853A")</f>
        <v>0853A</v>
      </c>
      <c r="B997" s="4" t="str">
        <f>IFERROR(__xludf.DUMMYFUNCTION("""COMPUTED_VALUE"""),"Adhesivo información general restaurante 300x100 mm")</f>
        <v>Adhesivo información general restaurante 300x100 mm</v>
      </c>
      <c r="C997" s="4">
        <f>IFERROR(__xludf.DUMMYFUNCTION("""COMPUTED_VALUE"""),1.536)</f>
        <v>1.536</v>
      </c>
    </row>
    <row r="998">
      <c r="A998" s="4" t="str">
        <f>IFERROR(__xludf.DUMMYFUNCTION("""COMPUTED_VALUE"""),"0853C")</f>
        <v>0853C</v>
      </c>
      <c r="B998" s="4" t="str">
        <f>IFERROR(__xludf.DUMMYFUNCTION("""COMPUTED_VALUE"""),"Cartel PVC información general restaurantes 300x100 mm")</f>
        <v>Cartel PVC información general restaurantes 300x100 mm</v>
      </c>
      <c r="C998" s="4">
        <f>IFERROR(__xludf.DUMMYFUNCTION("""COMPUTED_VALUE"""),1.776)</f>
        <v>1.776</v>
      </c>
    </row>
    <row r="999">
      <c r="A999" s="4" t="str">
        <f>IFERROR(__xludf.DUMMYFUNCTION("""COMPUTED_VALUE"""),"854")</f>
        <v>854</v>
      </c>
      <c r="B999" s="4" t="str">
        <f>IFERROR(__xludf.DUMMYFUNCTION("""COMPUTED_VALUE"""),"Adhesivo información general cuarto limpieza 200x60 mm")</f>
        <v>Adhesivo información general cuarto limpieza 200x60 mm</v>
      </c>
      <c r="C999" s="4">
        <f>IFERROR(__xludf.DUMMYFUNCTION("""COMPUTED_VALUE"""),1.056)</f>
        <v>1.056</v>
      </c>
    </row>
    <row r="1000">
      <c r="A1000" s="4" t="str">
        <f>IFERROR(__xludf.DUMMYFUNCTION("""COMPUTED_VALUE"""),"0854A")</f>
        <v>0854A</v>
      </c>
      <c r="B1000" s="4" t="str">
        <f>IFERROR(__xludf.DUMMYFUNCTION("""COMPUTED_VALUE"""),"Adhesivo información general cuarto limpieza 300x100 mm")</f>
        <v>Adhesivo información general cuarto limpieza 300x100 mm</v>
      </c>
      <c r="C1000" s="4">
        <f>IFERROR(__xludf.DUMMYFUNCTION("""COMPUTED_VALUE"""),1.536)</f>
        <v>1.536</v>
      </c>
    </row>
    <row r="1001">
      <c r="A1001" s="4" t="str">
        <f>IFERROR(__xludf.DUMMYFUNCTION("""COMPUTED_VALUE"""),"0854C")</f>
        <v>0854C</v>
      </c>
      <c r="B1001" s="4" t="str">
        <f>IFERROR(__xludf.DUMMYFUNCTION("""COMPUTED_VALUE"""),"Cartel PVC información general cuarto limpieza 300x100 mm")</f>
        <v>Cartel PVC información general cuarto limpieza 300x100 mm</v>
      </c>
      <c r="C1001" s="4">
        <f>IFERROR(__xludf.DUMMYFUNCTION("""COMPUTED_VALUE"""),1.776)</f>
        <v>1.776</v>
      </c>
    </row>
    <row r="1002">
      <c r="A1002" s="4" t="str">
        <f>IFERROR(__xludf.DUMMYFUNCTION("""COMPUTED_VALUE"""),"855")</f>
        <v>855</v>
      </c>
      <c r="B1002" s="4" t="str">
        <f>IFERROR(__xludf.DUMMYFUNCTION("""COMPUTED_VALUE"""),"Adhesivo información general almacen 200x60 mm")</f>
        <v>Adhesivo información general almacen 200x60 mm</v>
      </c>
      <c r="C1002" s="4">
        <f>IFERROR(__xludf.DUMMYFUNCTION("""COMPUTED_VALUE"""),1.056)</f>
        <v>1.056</v>
      </c>
    </row>
    <row r="1003">
      <c r="A1003" s="4" t="str">
        <f>IFERROR(__xludf.DUMMYFUNCTION("""COMPUTED_VALUE"""),"0855A")</f>
        <v>0855A</v>
      </c>
      <c r="B1003" s="4" t="str">
        <f>IFERROR(__xludf.DUMMYFUNCTION("""COMPUTED_VALUE"""),"Adhesivo información general almacen 300x100 mm")</f>
        <v>Adhesivo información general almacen 300x100 mm</v>
      </c>
      <c r="C1003" s="4">
        <f>IFERROR(__xludf.DUMMYFUNCTION("""COMPUTED_VALUE"""),1.536)</f>
        <v>1.536</v>
      </c>
    </row>
    <row r="1004">
      <c r="A1004" s="4" t="str">
        <f>IFERROR(__xludf.DUMMYFUNCTION("""COMPUTED_VALUE"""),"0855C")</f>
        <v>0855C</v>
      </c>
      <c r="B1004" s="4" t="str">
        <f>IFERROR(__xludf.DUMMYFUNCTION("""COMPUTED_VALUE"""),"Cartel PVC información general almacén 300x100 mm")</f>
        <v>Cartel PVC información general almacén 300x100 mm</v>
      </c>
      <c r="C1004" s="4">
        <f>IFERROR(__xludf.DUMMYFUNCTION("""COMPUTED_VALUE"""),1.776)</f>
        <v>1.776</v>
      </c>
    </row>
    <row r="1005">
      <c r="A1005" s="4" t="str">
        <f>IFERROR(__xludf.DUMMYFUNCTION("""COMPUTED_VALUE"""),"856")</f>
        <v>856</v>
      </c>
      <c r="B1005" s="4" t="str">
        <f>IFERROR(__xludf.DUMMYFUNCTION("""COMPUTED_VALUE"""),"Adhesivo información general oficina 200x60 mm")</f>
        <v>Adhesivo información general oficina 200x60 mm</v>
      </c>
      <c r="C1005" s="4">
        <f>IFERROR(__xludf.DUMMYFUNCTION("""COMPUTED_VALUE"""),1.056)</f>
        <v>1.056</v>
      </c>
    </row>
    <row r="1006">
      <c r="A1006" s="4" t="str">
        <f>IFERROR(__xludf.DUMMYFUNCTION("""COMPUTED_VALUE"""),"0856A")</f>
        <v>0856A</v>
      </c>
      <c r="B1006" s="4" t="str">
        <f>IFERROR(__xludf.DUMMYFUNCTION("""COMPUTED_VALUE"""),"Adhesivo información general oficina 300x100 mm")</f>
        <v>Adhesivo información general oficina 300x100 mm</v>
      </c>
      <c r="C1006" s="4">
        <f>IFERROR(__xludf.DUMMYFUNCTION("""COMPUTED_VALUE"""),1.536)</f>
        <v>1.536</v>
      </c>
    </row>
    <row r="1007">
      <c r="A1007" s="4" t="str">
        <f>IFERROR(__xludf.DUMMYFUNCTION("""COMPUTED_VALUE"""),"0856C")</f>
        <v>0856C</v>
      </c>
      <c r="B1007" s="4" t="str">
        <f>IFERROR(__xludf.DUMMYFUNCTION("""COMPUTED_VALUE"""),"Cartel PVC información general oficina 300x100 mm")</f>
        <v>Cartel PVC información general oficina 300x100 mm</v>
      </c>
      <c r="C1007" s="4">
        <f>IFERROR(__xludf.DUMMYFUNCTION("""COMPUTED_VALUE"""),1.776)</f>
        <v>1.776</v>
      </c>
    </row>
    <row r="1008">
      <c r="A1008" s="4" t="str">
        <f>IFERROR(__xludf.DUMMYFUNCTION("""COMPUTED_VALUE"""),"857")</f>
        <v>857</v>
      </c>
      <c r="B1008" s="4" t="str">
        <f>IFERROR(__xludf.DUMMYFUNCTION("""COMPUTED_VALUE"""),"Adhesivo información general entrada 200x60mm")</f>
        <v>Adhesivo información general entrada 200x60mm</v>
      </c>
      <c r="C1008" s="4">
        <f>IFERROR(__xludf.DUMMYFUNCTION("""COMPUTED_VALUE"""),1.056)</f>
        <v>1.056</v>
      </c>
    </row>
    <row r="1009">
      <c r="A1009" s="4" t="str">
        <f>IFERROR(__xludf.DUMMYFUNCTION("""COMPUTED_VALUE"""),"0857A")</f>
        <v>0857A</v>
      </c>
      <c r="B1009" s="4" t="str">
        <f>IFERROR(__xludf.DUMMYFUNCTION("""COMPUTED_VALUE"""),"Adhesivo información general entrada 300x100mm")</f>
        <v>Adhesivo información general entrada 300x100mm</v>
      </c>
      <c r="C1009" s="4">
        <f>IFERROR(__xludf.DUMMYFUNCTION("""COMPUTED_VALUE"""),1.536)</f>
        <v>1.536</v>
      </c>
    </row>
    <row r="1010">
      <c r="A1010" s="4" t="str">
        <f>IFERROR(__xludf.DUMMYFUNCTION("""COMPUTED_VALUE"""),"0857C")</f>
        <v>0857C</v>
      </c>
      <c r="B1010" s="4" t="str">
        <f>IFERROR(__xludf.DUMMYFUNCTION("""COMPUTED_VALUE"""),"Cartel PVC información general entrada 300x100 mm")</f>
        <v>Cartel PVC información general entrada 300x100 mm</v>
      </c>
      <c r="C1010" s="4">
        <f>IFERROR(__xludf.DUMMYFUNCTION("""COMPUTED_VALUE"""),1.776)</f>
        <v>1.776</v>
      </c>
    </row>
    <row r="1011">
      <c r="A1011" s="4" t="str">
        <f>IFERROR(__xludf.DUMMYFUNCTION("""COMPUTED_VALUE"""),"858")</f>
        <v>858</v>
      </c>
      <c r="B1011" s="4" t="str">
        <f>IFERROR(__xludf.DUMMYFUNCTION("""COMPUTED_VALUE"""),"Adhesivo información general cierre la puerta 200x60 mm")</f>
        <v>Adhesivo información general cierre la puerta 200x60 mm</v>
      </c>
      <c r="C1011" s="4">
        <f>IFERROR(__xludf.DUMMYFUNCTION("""COMPUTED_VALUE"""),1.056)</f>
        <v>1.056</v>
      </c>
    </row>
    <row r="1012">
      <c r="A1012" s="4" t="str">
        <f>IFERROR(__xludf.DUMMYFUNCTION("""COMPUTED_VALUE"""),"0858A")</f>
        <v>0858A</v>
      </c>
      <c r="B1012" s="4" t="str">
        <f>IFERROR(__xludf.DUMMYFUNCTION("""COMPUTED_VALUE"""),"Adhesivo información general cierre la puerta 300x100 mm")</f>
        <v>Adhesivo información general cierre la puerta 300x100 mm</v>
      </c>
      <c r="C1012" s="4">
        <f>IFERROR(__xludf.DUMMYFUNCTION("""COMPUTED_VALUE"""),1.536)</f>
        <v>1.536</v>
      </c>
    </row>
    <row r="1013">
      <c r="A1013" s="4" t="str">
        <f>IFERROR(__xludf.DUMMYFUNCTION("""COMPUTED_VALUE"""),"0858C")</f>
        <v>0858C</v>
      </c>
      <c r="B1013" s="4" t="str">
        <f>IFERROR(__xludf.DUMMYFUNCTION("""COMPUTED_VALUE"""),"Cartel PVC información general cierre la puerta 300x100 mm")</f>
        <v>Cartel PVC información general cierre la puerta 300x100 mm</v>
      </c>
      <c r="C1013" s="4">
        <f>IFERROR(__xludf.DUMMYFUNCTION("""COMPUTED_VALUE"""),1.776)</f>
        <v>1.776</v>
      </c>
    </row>
    <row r="1014">
      <c r="A1014" s="4" t="str">
        <f>IFERROR(__xludf.DUMMYFUNCTION("""COMPUTED_VALUE"""),"859")</f>
        <v>859</v>
      </c>
      <c r="B1014" s="4" t="str">
        <f>IFERROR(__xludf.DUMMYFUNCTION("""COMPUTED_VALUE"""),"Adhesivo información general empujar 200x60 mm")</f>
        <v>Adhesivo información general empujar 200x60 mm</v>
      </c>
      <c r="C1014" s="4">
        <f>IFERROR(__xludf.DUMMYFUNCTION("""COMPUTED_VALUE"""),1.056)</f>
        <v>1.056</v>
      </c>
    </row>
    <row r="1015">
      <c r="A1015" s="4" t="str">
        <f>IFERROR(__xludf.DUMMYFUNCTION("""COMPUTED_VALUE"""),"0859A")</f>
        <v>0859A</v>
      </c>
      <c r="B1015" s="4" t="str">
        <f>IFERROR(__xludf.DUMMYFUNCTION("""COMPUTED_VALUE"""),"Adhesivo información general empujar 300x100 mm")</f>
        <v>Adhesivo información general empujar 300x100 mm</v>
      </c>
      <c r="C1015" s="4">
        <f>IFERROR(__xludf.DUMMYFUNCTION("""COMPUTED_VALUE"""),1.536)</f>
        <v>1.536</v>
      </c>
    </row>
    <row r="1016">
      <c r="A1016" s="4" t="str">
        <f>IFERROR(__xludf.DUMMYFUNCTION("""COMPUTED_VALUE"""),"0859C")</f>
        <v>0859C</v>
      </c>
      <c r="B1016" s="4" t="str">
        <f>IFERROR(__xludf.DUMMYFUNCTION("""COMPUTED_VALUE"""),"Cartel PVC información general empujar 300x100 mm")</f>
        <v>Cartel PVC información general empujar 300x100 mm</v>
      </c>
      <c r="C1016" s="4">
        <f>IFERROR(__xludf.DUMMYFUNCTION("""COMPUTED_VALUE"""),1.776)</f>
        <v>1.776</v>
      </c>
    </row>
    <row r="1017">
      <c r="A1017" s="4" t="str">
        <f>IFERROR(__xludf.DUMMYFUNCTION("""COMPUTED_VALUE"""),"860")</f>
        <v>860</v>
      </c>
      <c r="B1017" s="4" t="str">
        <f>IFERROR(__xludf.DUMMYFUNCTION("""COMPUTED_VALUE"""),"Adhesivo información general tirar 200x60 mm")</f>
        <v>Adhesivo información general tirar 200x60 mm</v>
      </c>
      <c r="C1017" s="4">
        <f>IFERROR(__xludf.DUMMYFUNCTION("""COMPUTED_VALUE"""),1.056)</f>
        <v>1.056</v>
      </c>
    </row>
    <row r="1018">
      <c r="A1018" s="4" t="str">
        <f>IFERROR(__xludf.DUMMYFUNCTION("""COMPUTED_VALUE"""),"0860A")</f>
        <v>0860A</v>
      </c>
      <c r="B1018" s="4" t="str">
        <f>IFERROR(__xludf.DUMMYFUNCTION("""COMPUTED_VALUE"""),"Adhesivo información general tirar 300x100 mm")</f>
        <v>Adhesivo información general tirar 300x100 mm</v>
      </c>
      <c r="C1018" s="4">
        <f>IFERROR(__xludf.DUMMYFUNCTION("""COMPUTED_VALUE"""),1.536)</f>
        <v>1.536</v>
      </c>
    </row>
    <row r="1019">
      <c r="A1019" s="4" t="str">
        <f>IFERROR(__xludf.DUMMYFUNCTION("""COMPUTED_VALUE"""),"0860C")</f>
        <v>0860C</v>
      </c>
      <c r="B1019" s="4" t="str">
        <f>IFERROR(__xludf.DUMMYFUNCTION("""COMPUTED_VALUE"""),"Cartel PVC información general tirar 300x100 mm")</f>
        <v>Cartel PVC información general tirar 300x100 mm</v>
      </c>
      <c r="C1019" s="4">
        <f>IFERROR(__xludf.DUMMYFUNCTION("""COMPUTED_VALUE"""),1.776)</f>
        <v>1.776</v>
      </c>
    </row>
    <row r="1020">
      <c r="A1020" s="4" t="str">
        <f>IFERROR(__xludf.DUMMYFUNCTION("""COMPUTED_VALUE"""),"861")</f>
        <v>861</v>
      </c>
      <c r="B1020" s="4" t="str">
        <f>IFERROR(__xludf.DUMMYFUNCTION("""COMPUTED_VALUE"""),"Cartel PVC 40x30 reciclado vidrio")</f>
        <v>Cartel PVC 40x30 reciclado vidrio</v>
      </c>
      <c r="C1020" s="4">
        <f>IFERROR(__xludf.DUMMYFUNCTION("""COMPUTED_VALUE"""),2.3808)</f>
        <v>2.3808</v>
      </c>
    </row>
    <row r="1021">
      <c r="A1021" s="4" t="str">
        <f>IFERROR(__xludf.DUMMYFUNCTION("""COMPUTED_VALUE"""),"0861A")</f>
        <v>0861A</v>
      </c>
      <c r="B1021" s="4" t="str">
        <f>IFERROR(__xludf.DUMMYFUNCTION("""COMPUTED_VALUE"""),"Adhesivo PVC 21x29 reciclado vidrio")</f>
        <v>Adhesivo PVC 21x29 reciclado vidrio</v>
      </c>
      <c r="C1021" s="4">
        <f>IFERROR(__xludf.DUMMYFUNCTION("""COMPUTED_VALUE"""),1.2)</f>
        <v>1.2</v>
      </c>
    </row>
    <row r="1022">
      <c r="A1022" s="4" t="str">
        <f>IFERROR(__xludf.DUMMYFUNCTION("""COMPUTED_VALUE"""),"0861P")</f>
        <v>0861P</v>
      </c>
      <c r="B1022" s="4" t="str">
        <f>IFERROR(__xludf.DUMMYFUNCTION("""COMPUTED_VALUE"""),"Cartel PVC 21x29 reciclado vidrio")</f>
        <v>Cartel PVC 21x29 reciclado vidrio</v>
      </c>
      <c r="C1022" s="4">
        <f>IFERROR(__xludf.DUMMYFUNCTION("""COMPUTED_VALUE"""),1.536)</f>
        <v>1.536</v>
      </c>
    </row>
    <row r="1023">
      <c r="A1023" s="4" t="str">
        <f>IFERROR(__xludf.DUMMYFUNCTION("""COMPUTED_VALUE"""),"862")</f>
        <v>862</v>
      </c>
      <c r="B1023" s="4" t="str">
        <f>IFERROR(__xludf.DUMMYFUNCTION("""COMPUTED_VALUE"""),"Cartel PVC 40x30 reciclado plástico")</f>
        <v>Cartel PVC 40x30 reciclado plástico</v>
      </c>
      <c r="C1023" s="4">
        <f>IFERROR(__xludf.DUMMYFUNCTION("""COMPUTED_VALUE"""),2.3808)</f>
        <v>2.3808</v>
      </c>
    </row>
    <row r="1024">
      <c r="A1024" s="4" t="str">
        <f>IFERROR(__xludf.DUMMYFUNCTION("""COMPUTED_VALUE"""),"0862A")</f>
        <v>0862A</v>
      </c>
      <c r="B1024" s="4" t="str">
        <f>IFERROR(__xludf.DUMMYFUNCTION("""COMPUTED_VALUE"""),"Adhesivo PVC 21x29 reciclado plástico")</f>
        <v>Adhesivo PVC 21x29 reciclado plástico</v>
      </c>
      <c r="C1024" s="4">
        <f>IFERROR(__xludf.DUMMYFUNCTION("""COMPUTED_VALUE"""),1.2)</f>
        <v>1.2</v>
      </c>
    </row>
    <row r="1025">
      <c r="A1025" s="4" t="str">
        <f>IFERROR(__xludf.DUMMYFUNCTION("""COMPUTED_VALUE"""),"0862P")</f>
        <v>0862P</v>
      </c>
      <c r="B1025" s="4" t="str">
        <f>IFERROR(__xludf.DUMMYFUNCTION("""COMPUTED_VALUE"""),"Cartel PVC 21x29 reciclado plástico")</f>
        <v>Cartel PVC 21x29 reciclado plástico</v>
      </c>
      <c r="C1025" s="4">
        <f>IFERROR(__xludf.DUMMYFUNCTION("""COMPUTED_VALUE"""),1.536)</f>
        <v>1.536</v>
      </c>
    </row>
    <row r="1026">
      <c r="A1026" s="4" t="str">
        <f>IFERROR(__xludf.DUMMYFUNCTION("""COMPUTED_VALUE"""),"863")</f>
        <v>863</v>
      </c>
      <c r="B1026" s="4" t="str">
        <f>IFERROR(__xludf.DUMMYFUNCTION("""COMPUTED_VALUE"""),"Cartel PVC 40x30 reciclado metal")</f>
        <v>Cartel PVC 40x30 reciclado metal</v>
      </c>
      <c r="C1026" s="4">
        <f>IFERROR(__xludf.DUMMYFUNCTION("""COMPUTED_VALUE"""),2.3808)</f>
        <v>2.3808</v>
      </c>
    </row>
    <row r="1027">
      <c r="A1027" s="4" t="str">
        <f>IFERROR(__xludf.DUMMYFUNCTION("""COMPUTED_VALUE"""),"0863A")</f>
        <v>0863A</v>
      </c>
      <c r="B1027" s="4" t="str">
        <f>IFERROR(__xludf.DUMMYFUNCTION("""COMPUTED_VALUE"""),"Adhesivo PVC 21x29 reciclado metal")</f>
        <v>Adhesivo PVC 21x29 reciclado metal</v>
      </c>
      <c r="C1027" s="4">
        <f>IFERROR(__xludf.DUMMYFUNCTION("""COMPUTED_VALUE"""),1.2)</f>
        <v>1.2</v>
      </c>
    </row>
    <row r="1028">
      <c r="A1028" s="4" t="str">
        <f>IFERROR(__xludf.DUMMYFUNCTION("""COMPUTED_VALUE"""),"0863P")</f>
        <v>0863P</v>
      </c>
      <c r="B1028" s="4" t="str">
        <f>IFERROR(__xludf.DUMMYFUNCTION("""COMPUTED_VALUE"""),"Cartel PVC 21x29 reciclado metal")</f>
        <v>Cartel PVC 21x29 reciclado metal</v>
      </c>
      <c r="C1028" s="4">
        <f>IFERROR(__xludf.DUMMYFUNCTION("""COMPUTED_VALUE"""),1.536)</f>
        <v>1.536</v>
      </c>
    </row>
    <row r="1029">
      <c r="A1029" s="4" t="str">
        <f>IFERROR(__xludf.DUMMYFUNCTION("""COMPUTED_VALUE"""),"864")</f>
        <v>864</v>
      </c>
      <c r="B1029" s="4" t="str">
        <f>IFERROR(__xludf.DUMMYFUNCTION("""COMPUTED_VALUE"""),"Cartel PVC 40x30 reciclado madera")</f>
        <v>Cartel PVC 40x30 reciclado madera</v>
      </c>
      <c r="C1029" s="4">
        <f>IFERROR(__xludf.DUMMYFUNCTION("""COMPUTED_VALUE"""),2.3808)</f>
        <v>2.3808</v>
      </c>
    </row>
    <row r="1030">
      <c r="A1030" s="4" t="str">
        <f>IFERROR(__xludf.DUMMYFUNCTION("""COMPUTED_VALUE"""),"0864A")</f>
        <v>0864A</v>
      </c>
      <c r="B1030" s="4" t="str">
        <f>IFERROR(__xludf.DUMMYFUNCTION("""COMPUTED_VALUE"""),"Adhesivo PVC 21x29 reciclado madera")</f>
        <v>Adhesivo PVC 21x29 reciclado madera</v>
      </c>
      <c r="C1030" s="4">
        <f>IFERROR(__xludf.DUMMYFUNCTION("""COMPUTED_VALUE"""),1.2)</f>
        <v>1.2</v>
      </c>
    </row>
    <row r="1031">
      <c r="A1031" s="4" t="str">
        <f>IFERROR(__xludf.DUMMYFUNCTION("""COMPUTED_VALUE"""),"0864P")</f>
        <v>0864P</v>
      </c>
      <c r="B1031" s="4" t="str">
        <f>IFERROR(__xludf.DUMMYFUNCTION("""COMPUTED_VALUE"""),"Cartel PVC 21x29 reciclado madera")</f>
        <v>Cartel PVC 21x29 reciclado madera</v>
      </c>
      <c r="C1031" s="4">
        <f>IFERROR(__xludf.DUMMYFUNCTION("""COMPUTED_VALUE"""),1.536)</f>
        <v>1.536</v>
      </c>
    </row>
    <row r="1032">
      <c r="A1032" s="4" t="str">
        <f>IFERROR(__xludf.DUMMYFUNCTION("""COMPUTED_VALUE"""),"865")</f>
        <v>865</v>
      </c>
      <c r="B1032" s="4" t="str">
        <f>IFERROR(__xludf.DUMMYFUNCTION("""COMPUTED_VALUE"""),"Cartel PVC 40x30 reciclado aluminio")</f>
        <v>Cartel PVC 40x30 reciclado aluminio</v>
      </c>
      <c r="C1032" s="4">
        <f>IFERROR(__xludf.DUMMYFUNCTION("""COMPUTED_VALUE"""),2.3808)</f>
        <v>2.3808</v>
      </c>
    </row>
    <row r="1033">
      <c r="A1033" s="4" t="str">
        <f>IFERROR(__xludf.DUMMYFUNCTION("""COMPUTED_VALUE"""),"0865A")</f>
        <v>0865A</v>
      </c>
      <c r="B1033" s="4" t="str">
        <f>IFERROR(__xludf.DUMMYFUNCTION("""COMPUTED_VALUE"""),"Adhesivo PVC 21x29 reciclado aluminio")</f>
        <v>Adhesivo PVC 21x29 reciclado aluminio</v>
      </c>
      <c r="C1033" s="4">
        <f>IFERROR(__xludf.DUMMYFUNCTION("""COMPUTED_VALUE"""),1.2)</f>
        <v>1.2</v>
      </c>
    </row>
    <row r="1034">
      <c r="A1034" s="4" t="str">
        <f>IFERROR(__xludf.DUMMYFUNCTION("""COMPUTED_VALUE"""),"0865P")</f>
        <v>0865P</v>
      </c>
      <c r="B1034" s="4" t="str">
        <f>IFERROR(__xludf.DUMMYFUNCTION("""COMPUTED_VALUE"""),"Cartel PVC 21x29 reciclado aluminio")</f>
        <v>Cartel PVC 21x29 reciclado aluminio</v>
      </c>
      <c r="C1034" s="4">
        <f>IFERROR(__xludf.DUMMYFUNCTION("""COMPUTED_VALUE"""),1.536)</f>
        <v>1.536</v>
      </c>
    </row>
    <row r="1035">
      <c r="A1035" s="4" t="str">
        <f>IFERROR(__xludf.DUMMYFUNCTION("""COMPUTED_VALUE"""),"866")</f>
        <v>866</v>
      </c>
      <c r="B1035" s="4" t="str">
        <f>IFERROR(__xludf.DUMMYFUNCTION("""COMPUTED_VALUE"""),"Cartel PVC 40x30 reciclado papel")</f>
        <v>Cartel PVC 40x30 reciclado papel</v>
      </c>
      <c r="C1035" s="4">
        <f>IFERROR(__xludf.DUMMYFUNCTION("""COMPUTED_VALUE"""),2.3808)</f>
        <v>2.3808</v>
      </c>
    </row>
    <row r="1036">
      <c r="A1036" s="4" t="str">
        <f>IFERROR(__xludf.DUMMYFUNCTION("""COMPUTED_VALUE"""),"0866A")</f>
        <v>0866A</v>
      </c>
      <c r="B1036" s="4" t="str">
        <f>IFERROR(__xludf.DUMMYFUNCTION("""COMPUTED_VALUE"""),"Adhesivo PVC 21x29 reciclado papel")</f>
        <v>Adhesivo PVC 21x29 reciclado papel</v>
      </c>
      <c r="C1036" s="4">
        <f>IFERROR(__xludf.DUMMYFUNCTION("""COMPUTED_VALUE"""),1.2)</f>
        <v>1.2</v>
      </c>
    </row>
    <row r="1037">
      <c r="A1037" s="4" t="str">
        <f>IFERROR(__xludf.DUMMYFUNCTION("""COMPUTED_VALUE"""),"0866P")</f>
        <v>0866P</v>
      </c>
      <c r="B1037" s="4" t="str">
        <f>IFERROR(__xludf.DUMMYFUNCTION("""COMPUTED_VALUE"""),"Cartel PVC 21x29 reciclado papel")</f>
        <v>Cartel PVC 21x29 reciclado papel</v>
      </c>
      <c r="C1037" s="4">
        <f>IFERROR(__xludf.DUMMYFUNCTION("""COMPUTED_VALUE"""),1.536)</f>
        <v>1.536</v>
      </c>
    </row>
    <row r="1038">
      <c r="A1038" s="4" t="str">
        <f>IFERROR(__xludf.DUMMYFUNCTION("""COMPUTED_VALUE"""),"867")</f>
        <v>867</v>
      </c>
      <c r="B1038" s="4" t="str">
        <f>IFERROR(__xludf.DUMMYFUNCTION("""COMPUTED_VALUE"""),"Cartel PVC 40x30 reciclado envases")</f>
        <v>Cartel PVC 40x30 reciclado envases</v>
      </c>
      <c r="C1038" s="4">
        <f>IFERROR(__xludf.DUMMYFUNCTION("""COMPUTED_VALUE"""),2.3808)</f>
        <v>2.3808</v>
      </c>
    </row>
    <row r="1039">
      <c r="A1039" s="4" t="str">
        <f>IFERROR(__xludf.DUMMYFUNCTION("""COMPUTED_VALUE"""),"0867A")</f>
        <v>0867A</v>
      </c>
      <c r="B1039" s="4" t="str">
        <f>IFERROR(__xludf.DUMMYFUNCTION("""COMPUTED_VALUE"""),"Adhesivo PVC 21x29 reciclado envases")</f>
        <v>Adhesivo PVC 21x29 reciclado envases</v>
      </c>
      <c r="C1039" s="4">
        <f>IFERROR(__xludf.DUMMYFUNCTION("""COMPUTED_VALUE"""),1.2)</f>
        <v>1.2</v>
      </c>
    </row>
    <row r="1040">
      <c r="A1040" s="4" t="str">
        <f>IFERROR(__xludf.DUMMYFUNCTION("""COMPUTED_VALUE"""),"0867P")</f>
        <v>0867P</v>
      </c>
      <c r="B1040" s="4" t="str">
        <f>IFERROR(__xludf.DUMMYFUNCTION("""COMPUTED_VALUE"""),"Cartel PVC 21x29 reciclado envases")</f>
        <v>Cartel PVC 21x29 reciclado envases</v>
      </c>
      <c r="C1040" s="4">
        <f>IFERROR(__xludf.DUMMYFUNCTION("""COMPUTED_VALUE"""),1.536)</f>
        <v>1.536</v>
      </c>
    </row>
    <row r="1041">
      <c r="A1041" s="4" t="str">
        <f>IFERROR(__xludf.DUMMYFUNCTION("""COMPUTED_VALUE"""),"868")</f>
        <v>868</v>
      </c>
      <c r="B1041" s="4" t="str">
        <f>IFERROR(__xludf.DUMMYFUNCTION("""COMPUTED_VALUE"""),"Cartel PVC 40x30 reciclado latas")</f>
        <v>Cartel PVC 40x30 reciclado latas</v>
      </c>
      <c r="C1041" s="4">
        <f>IFERROR(__xludf.DUMMYFUNCTION("""COMPUTED_VALUE"""),2.3808)</f>
        <v>2.3808</v>
      </c>
    </row>
    <row r="1042">
      <c r="A1042" s="4" t="str">
        <f>IFERROR(__xludf.DUMMYFUNCTION("""COMPUTED_VALUE"""),"0868A")</f>
        <v>0868A</v>
      </c>
      <c r="B1042" s="4" t="str">
        <f>IFERROR(__xludf.DUMMYFUNCTION("""COMPUTED_VALUE"""),"Adhesivo PVC 21x29 reciclado latas")</f>
        <v>Adhesivo PVC 21x29 reciclado latas</v>
      </c>
      <c r="C1042" s="4">
        <f>IFERROR(__xludf.DUMMYFUNCTION("""COMPUTED_VALUE"""),1.2)</f>
        <v>1.2</v>
      </c>
    </row>
    <row r="1043">
      <c r="A1043" s="4" t="str">
        <f>IFERROR(__xludf.DUMMYFUNCTION("""COMPUTED_VALUE"""),"0868P")</f>
        <v>0868P</v>
      </c>
      <c r="B1043" s="4" t="str">
        <f>IFERROR(__xludf.DUMMYFUNCTION("""COMPUTED_VALUE"""),"Cartel PVC 21x29 reciclado latas")</f>
        <v>Cartel PVC 21x29 reciclado latas</v>
      </c>
      <c r="C1043" s="4">
        <f>IFERROR(__xludf.DUMMYFUNCTION("""COMPUTED_VALUE"""),1.536)</f>
        <v>1.536</v>
      </c>
    </row>
    <row r="1044">
      <c r="A1044" s="4" t="str">
        <f>IFERROR(__xludf.DUMMYFUNCTION("""COMPUTED_VALUE"""),"869")</f>
        <v>869</v>
      </c>
      <c r="B1044" s="4" t="str">
        <f>IFERROR(__xludf.DUMMYFUNCTION("""COMPUTED_VALUE"""),"Cartel PVC 40x30 reciclado chatarra")</f>
        <v>Cartel PVC 40x30 reciclado chatarra</v>
      </c>
      <c r="C1044" s="4">
        <f>IFERROR(__xludf.DUMMYFUNCTION("""COMPUTED_VALUE"""),2.3808)</f>
        <v>2.3808</v>
      </c>
    </row>
    <row r="1045">
      <c r="A1045" s="4" t="str">
        <f>IFERROR(__xludf.DUMMYFUNCTION("""COMPUTED_VALUE"""),"0869A")</f>
        <v>0869A</v>
      </c>
      <c r="B1045" s="4" t="str">
        <f>IFERROR(__xludf.DUMMYFUNCTION("""COMPUTED_VALUE"""),"Adhesivo PVC 21x29 reciclado chatarra")</f>
        <v>Adhesivo PVC 21x29 reciclado chatarra</v>
      </c>
      <c r="C1045" s="4">
        <f>IFERROR(__xludf.DUMMYFUNCTION("""COMPUTED_VALUE"""),1.2)</f>
        <v>1.2</v>
      </c>
    </row>
    <row r="1046">
      <c r="A1046" s="4" t="str">
        <f>IFERROR(__xludf.DUMMYFUNCTION("""COMPUTED_VALUE"""),"0869P")</f>
        <v>0869P</v>
      </c>
      <c r="B1046" s="4" t="str">
        <f>IFERROR(__xludf.DUMMYFUNCTION("""COMPUTED_VALUE"""),"Cartel PVC 21x29 reciclado chatarra")</f>
        <v>Cartel PVC 21x29 reciclado chatarra</v>
      </c>
      <c r="C1046" s="4">
        <f>IFERROR(__xludf.DUMMYFUNCTION("""COMPUTED_VALUE"""),1.536)</f>
        <v>1.536</v>
      </c>
    </row>
    <row r="1047">
      <c r="A1047" s="4" t="str">
        <f>IFERROR(__xludf.DUMMYFUNCTION("""COMPUTED_VALUE"""),"870")</f>
        <v>870</v>
      </c>
      <c r="B1047" s="4" t="str">
        <f>IFERROR(__xludf.DUMMYFUNCTION("""COMPUTED_VALUE"""),"Cartel PVC 40x30 reciclado basura")</f>
        <v>Cartel PVC 40x30 reciclado basura</v>
      </c>
      <c r="C1047" s="4">
        <f>IFERROR(__xludf.DUMMYFUNCTION("""COMPUTED_VALUE"""),2.3808)</f>
        <v>2.3808</v>
      </c>
    </row>
    <row r="1048">
      <c r="A1048" s="4" t="str">
        <f>IFERROR(__xludf.DUMMYFUNCTION("""COMPUTED_VALUE"""),"0870A")</f>
        <v>0870A</v>
      </c>
      <c r="B1048" s="4" t="str">
        <f>IFERROR(__xludf.DUMMYFUNCTION("""COMPUTED_VALUE"""),"Adhesivo PVC 21x29 reciclado basura")</f>
        <v>Adhesivo PVC 21x29 reciclado basura</v>
      </c>
      <c r="C1048" s="4">
        <f>IFERROR(__xludf.DUMMYFUNCTION("""COMPUTED_VALUE"""),1.2)</f>
        <v>1.2</v>
      </c>
    </row>
    <row r="1049">
      <c r="A1049" s="4" t="str">
        <f>IFERROR(__xludf.DUMMYFUNCTION("""COMPUTED_VALUE"""),"0870P")</f>
        <v>0870P</v>
      </c>
      <c r="B1049" s="4" t="str">
        <f>IFERROR(__xludf.DUMMYFUNCTION("""COMPUTED_VALUE"""),"Cartel PVC 21x29 reciclado basura")</f>
        <v>Cartel PVC 21x29 reciclado basura</v>
      </c>
      <c r="C1049" s="4">
        <f>IFERROR(__xludf.DUMMYFUNCTION("""COMPUTED_VALUE"""),1.536)</f>
        <v>1.536</v>
      </c>
    </row>
    <row r="1050">
      <c r="A1050" s="4" t="str">
        <f>IFERROR(__xludf.DUMMYFUNCTION("""COMPUTED_VALUE"""),"871")</f>
        <v>871</v>
      </c>
      <c r="B1050" s="4" t="str">
        <f>IFERROR(__xludf.DUMMYFUNCTION("""COMPUTED_VALUE"""),"Cartel PVC 40x30 cm zona controlada, riesgo de irradiación")</f>
        <v>Cartel PVC 40x30 cm zona controlada, riesgo de irradiación</v>
      </c>
      <c r="C1050" s="4">
        <f>IFERROR(__xludf.DUMMYFUNCTION("""COMPUTED_VALUE"""),2.3808)</f>
        <v>2.3808</v>
      </c>
    </row>
    <row r="1051">
      <c r="A1051" s="4" t="str">
        <f>IFERROR(__xludf.DUMMYFUNCTION("""COMPUTED_VALUE"""),"0871A")</f>
        <v>0871A</v>
      </c>
      <c r="B1051" s="4" t="str">
        <f>IFERROR(__xludf.DUMMYFUNCTION("""COMPUTED_VALUE"""),"Adhesivo PVC 21x29 cm zona controlada, riesgo de irradiación")</f>
        <v>Adhesivo PVC 21x29 cm zona controlada, riesgo de irradiación</v>
      </c>
      <c r="C1051" s="4">
        <f>IFERROR(__xludf.DUMMYFUNCTION("""COMPUTED_VALUE"""),1.2)</f>
        <v>1.2</v>
      </c>
    </row>
    <row r="1052">
      <c r="A1052" s="4" t="str">
        <f>IFERROR(__xludf.DUMMYFUNCTION("""COMPUTED_VALUE"""),"0871P")</f>
        <v>0871P</v>
      </c>
      <c r="B1052" s="4" t="str">
        <f>IFERROR(__xludf.DUMMYFUNCTION("""COMPUTED_VALUE"""),"Cartel PVC 21x29 cm zona controlada, riesgo de irradiación")</f>
        <v>Cartel PVC 21x29 cm zona controlada, riesgo de irradiación</v>
      </c>
      <c r="C1052" s="4">
        <f>IFERROR(__xludf.DUMMYFUNCTION("""COMPUTED_VALUE"""),1.536)</f>
        <v>1.536</v>
      </c>
    </row>
    <row r="1053">
      <c r="A1053" s="4" t="str">
        <f>IFERROR(__xludf.DUMMYFUNCTION("""COMPUTED_VALUE"""),"872")</f>
        <v>872</v>
      </c>
      <c r="B1053" s="4" t="str">
        <f>IFERROR(__xludf.DUMMYFUNCTION("""COMPUTED_VALUE"""),"Cartel PVC 40x30 cm zona controlada, riesgo de")</f>
        <v>Cartel PVC 40x30 cm zona controlada, riesgo de</v>
      </c>
      <c r="C1053" s="4">
        <f>IFERROR(__xludf.DUMMYFUNCTION("""COMPUTED_VALUE"""),2.3808)</f>
        <v>2.3808</v>
      </c>
    </row>
    <row r="1054">
      <c r="A1054" s="4" t="str">
        <f>IFERROR(__xludf.DUMMYFUNCTION("""COMPUTED_VALUE"""),"0872A")</f>
        <v>0872A</v>
      </c>
      <c r="B1054" s="4" t="str">
        <f>IFERROR(__xludf.DUMMYFUNCTION("""COMPUTED_VALUE"""),"Adhesivo PVC 21x29 cm zona controlada, riesgo de")</f>
        <v>Adhesivo PVC 21x29 cm zona controlada, riesgo de</v>
      </c>
      <c r="C1054" s="4">
        <f>IFERROR(__xludf.DUMMYFUNCTION("""COMPUTED_VALUE"""),1.2)</f>
        <v>1.2</v>
      </c>
    </row>
    <row r="1055">
      <c r="A1055" s="4" t="str">
        <f>IFERROR(__xludf.DUMMYFUNCTION("""COMPUTED_VALUE"""),"0872P")</f>
        <v>0872P</v>
      </c>
      <c r="B1055" s="4" t="str">
        <f>IFERROR(__xludf.DUMMYFUNCTION("""COMPUTED_VALUE"""),"Cartel PVC 21x29 cm zona controlada, riesgo de")</f>
        <v>Cartel PVC 21x29 cm zona controlada, riesgo de</v>
      </c>
      <c r="C1055" s="4">
        <f>IFERROR(__xludf.DUMMYFUNCTION("""COMPUTED_VALUE"""),1.536)</f>
        <v>1.536</v>
      </c>
    </row>
    <row r="1056">
      <c r="A1056" s="4" t="str">
        <f>IFERROR(__xludf.DUMMYFUNCTION("""COMPUTED_VALUE"""),"873")</f>
        <v>873</v>
      </c>
      <c r="B1056" s="4" t="str">
        <f>IFERROR(__xludf.DUMMYFUNCTION("""COMPUTED_VALUE"""),"Cartel PVC 40x30 cm zona controlada, riesgo de cont. e irrad.")</f>
        <v>Cartel PVC 40x30 cm zona controlada, riesgo de cont. e irrad.</v>
      </c>
      <c r="C1056" s="4">
        <f>IFERROR(__xludf.DUMMYFUNCTION("""COMPUTED_VALUE"""),2.3808)</f>
        <v>2.3808</v>
      </c>
    </row>
    <row r="1057">
      <c r="A1057" s="4" t="str">
        <f>IFERROR(__xludf.DUMMYFUNCTION("""COMPUTED_VALUE"""),"0873A")</f>
        <v>0873A</v>
      </c>
      <c r="B1057" s="4" t="str">
        <f>IFERROR(__xludf.DUMMYFUNCTION("""COMPUTED_VALUE"""),"Adhesivo PVC 21x29 cm zona controlada, riesgo de cont. e")</f>
        <v>Adhesivo PVC 21x29 cm zona controlada, riesgo de cont. e</v>
      </c>
      <c r="C1057" s="4">
        <f>IFERROR(__xludf.DUMMYFUNCTION("""COMPUTED_VALUE"""),1.2)</f>
        <v>1.2</v>
      </c>
    </row>
    <row r="1058">
      <c r="A1058" s="4" t="str">
        <f>IFERROR(__xludf.DUMMYFUNCTION("""COMPUTED_VALUE"""),"0873P")</f>
        <v>0873P</v>
      </c>
      <c r="B1058" s="4" t="str">
        <f>IFERROR(__xludf.DUMMYFUNCTION("""COMPUTED_VALUE"""),"zona controlada, riesgo de cont. e irrad.")</f>
        <v>zona controlada, riesgo de cont. e irrad.</v>
      </c>
      <c r="C1058" s="4">
        <f>IFERROR(__xludf.DUMMYFUNCTION("""COMPUTED_VALUE"""),1.2)</f>
        <v>1.2</v>
      </c>
    </row>
    <row r="1059">
      <c r="A1059" s="4" t="str">
        <f>IFERROR(__xludf.DUMMYFUNCTION("""COMPUTED_VALUE"""),"874")</f>
        <v>874</v>
      </c>
      <c r="B1059" s="4" t="str">
        <f>IFERROR(__xludf.DUMMYFUNCTION("""COMPUTED_VALUE"""),"Cartel PVC 40x30 cm zona perm. limitada, riesgo de")</f>
        <v>Cartel PVC 40x30 cm zona perm. limitada, riesgo de</v>
      </c>
      <c r="C1059" s="4">
        <f>IFERROR(__xludf.DUMMYFUNCTION("""COMPUTED_VALUE"""),2.3808)</f>
        <v>2.3808</v>
      </c>
    </row>
    <row r="1060">
      <c r="A1060" s="4" t="str">
        <f>IFERROR(__xludf.DUMMYFUNCTION("""COMPUTED_VALUE"""),"0874A")</f>
        <v>0874A</v>
      </c>
      <c r="B1060" s="4" t="str">
        <f>IFERROR(__xludf.DUMMYFUNCTION("""COMPUTED_VALUE"""),"Adhesivo PVC 21x29 cm zona zona perm. limitada, riesgo de")</f>
        <v>Adhesivo PVC 21x29 cm zona zona perm. limitada, riesgo de</v>
      </c>
      <c r="C1060" s="4">
        <f>IFERROR(__xludf.DUMMYFUNCTION("""COMPUTED_VALUE"""),1.2)</f>
        <v>1.2</v>
      </c>
    </row>
    <row r="1061">
      <c r="A1061" s="4" t="str">
        <f>IFERROR(__xludf.DUMMYFUNCTION("""COMPUTED_VALUE"""),"0874P")</f>
        <v>0874P</v>
      </c>
      <c r="B1061" s="4" t="str">
        <f>IFERROR(__xludf.DUMMYFUNCTION("""COMPUTED_VALUE"""),"Cartel PVC 21x29 cm zona perm. limitada, riesgo de")</f>
        <v>Cartel PVC 21x29 cm zona perm. limitada, riesgo de</v>
      </c>
      <c r="C1061" s="4">
        <f>IFERROR(__xludf.DUMMYFUNCTION("""COMPUTED_VALUE"""),1.536)</f>
        <v>1.536</v>
      </c>
    </row>
    <row r="1062">
      <c r="A1062" s="4" t="str">
        <f>IFERROR(__xludf.DUMMYFUNCTION("""COMPUTED_VALUE"""),"875")</f>
        <v>875</v>
      </c>
      <c r="B1062" s="4" t="str">
        <f>IFERROR(__xludf.DUMMYFUNCTION("""COMPUTED_VALUE"""),"Cartel PVC 40x30 cm zona perm. limitada, riesgo de")</f>
        <v>Cartel PVC 40x30 cm zona perm. limitada, riesgo de</v>
      </c>
      <c r="C1062" s="4">
        <f>IFERROR(__xludf.DUMMYFUNCTION("""COMPUTED_VALUE"""),2.3808)</f>
        <v>2.3808</v>
      </c>
    </row>
    <row r="1063">
      <c r="A1063" s="4" t="str">
        <f>IFERROR(__xludf.DUMMYFUNCTION("""COMPUTED_VALUE"""),"0875A")</f>
        <v>0875A</v>
      </c>
      <c r="B1063" s="4" t="str">
        <f>IFERROR(__xludf.DUMMYFUNCTION("""COMPUTED_VALUE"""),"Adhesivo PVC 21x29 cm zona zona perm. limitada, riesgo de")</f>
        <v>Adhesivo PVC 21x29 cm zona zona perm. limitada, riesgo de</v>
      </c>
      <c r="C1063" s="4">
        <f>IFERROR(__xludf.DUMMYFUNCTION("""COMPUTED_VALUE"""),1.2)</f>
        <v>1.2</v>
      </c>
    </row>
    <row r="1064">
      <c r="A1064" s="4" t="str">
        <f>IFERROR(__xludf.DUMMYFUNCTION("""COMPUTED_VALUE"""),"0875P")</f>
        <v>0875P</v>
      </c>
      <c r="B1064" s="4" t="str">
        <f>IFERROR(__xludf.DUMMYFUNCTION("""COMPUTED_VALUE"""),"Cartel PVC 21x29 cm zona perm. limitada, riesgo de")</f>
        <v>Cartel PVC 21x29 cm zona perm. limitada, riesgo de</v>
      </c>
      <c r="C1064" s="4">
        <f>IFERROR(__xludf.DUMMYFUNCTION("""COMPUTED_VALUE"""),1.536)</f>
        <v>1.536</v>
      </c>
    </row>
    <row r="1065">
      <c r="A1065" s="4" t="str">
        <f>IFERROR(__xludf.DUMMYFUNCTION("""COMPUTED_VALUE"""),"876")</f>
        <v>876</v>
      </c>
      <c r="B1065" s="4" t="str">
        <f>IFERROR(__xludf.DUMMYFUNCTION("""COMPUTED_VALUE"""),"Cartel PVC 40x30 cm zona perm. limitada, riesgo de cont. e")</f>
        <v>Cartel PVC 40x30 cm zona perm. limitada, riesgo de cont. e</v>
      </c>
      <c r="C1065" s="4">
        <f>IFERROR(__xludf.DUMMYFUNCTION("""COMPUTED_VALUE"""),2.3808)</f>
        <v>2.3808</v>
      </c>
    </row>
    <row r="1066">
      <c r="A1066" s="4" t="str">
        <f>IFERROR(__xludf.DUMMYFUNCTION("""COMPUTED_VALUE"""),"0876A")</f>
        <v>0876A</v>
      </c>
      <c r="B1066" s="4" t="str">
        <f>IFERROR(__xludf.DUMMYFUNCTION("""COMPUTED_VALUE"""),"Adhesivo PVC 21x29 cm zona zona perm. limitada, riesgo cont.")</f>
        <v>Adhesivo PVC 21x29 cm zona zona perm. limitada, riesgo cont.</v>
      </c>
      <c r="C1066" s="4">
        <f>IFERROR(__xludf.DUMMYFUNCTION("""COMPUTED_VALUE"""),1.2)</f>
        <v>1.2</v>
      </c>
    </row>
    <row r="1067">
      <c r="A1067" s="4" t="str">
        <f>IFERROR(__xludf.DUMMYFUNCTION("""COMPUTED_VALUE"""),"0876P")</f>
        <v>0876P</v>
      </c>
      <c r="B1067" s="4" t="str">
        <f>IFERROR(__xludf.DUMMYFUNCTION("""COMPUTED_VALUE"""),"Cartel PVC 21x29 cm zona perm. limitada, riesgo de cont. e")</f>
        <v>Cartel PVC 21x29 cm zona perm. limitada, riesgo de cont. e</v>
      </c>
      <c r="C1067" s="4">
        <f>IFERROR(__xludf.DUMMYFUNCTION("""COMPUTED_VALUE"""),1.536)</f>
        <v>1.536</v>
      </c>
    </row>
    <row r="1068">
      <c r="A1068" s="4" t="str">
        <f>IFERROR(__xludf.DUMMYFUNCTION("""COMPUTED_VALUE"""),"877")</f>
        <v>877</v>
      </c>
      <c r="B1068" s="4" t="str">
        <f>IFERROR(__xludf.DUMMYFUNCTION("""COMPUTED_VALUE"""),"Cartel PVC 40x30 cm zona acceso prohibido, riesgo de")</f>
        <v>Cartel PVC 40x30 cm zona acceso prohibido, riesgo de</v>
      </c>
      <c r="C1068" s="4">
        <f>IFERROR(__xludf.DUMMYFUNCTION("""COMPUTED_VALUE"""),2.3808)</f>
        <v>2.3808</v>
      </c>
    </row>
    <row r="1069">
      <c r="A1069" s="4" t="str">
        <f>IFERROR(__xludf.DUMMYFUNCTION("""COMPUTED_VALUE"""),"0877A")</f>
        <v>0877A</v>
      </c>
      <c r="B1069" s="4" t="str">
        <f>IFERROR(__xludf.DUMMYFUNCTION("""COMPUTED_VALUE"""),"Adhesivo PVC 21x29 cm zona acceso prohibido, riesgo de")</f>
        <v>Adhesivo PVC 21x29 cm zona acceso prohibido, riesgo de</v>
      </c>
      <c r="C1069" s="4">
        <f>IFERROR(__xludf.DUMMYFUNCTION("""COMPUTED_VALUE"""),1.2)</f>
        <v>1.2</v>
      </c>
    </row>
    <row r="1070">
      <c r="A1070" s="4" t="str">
        <f>IFERROR(__xludf.DUMMYFUNCTION("""COMPUTED_VALUE"""),"0877P")</f>
        <v>0877P</v>
      </c>
      <c r="B1070" s="4" t="str">
        <f>IFERROR(__xludf.DUMMYFUNCTION("""COMPUTED_VALUE"""),"Cartel PVC 21x29 cm zona acceso prohibido, riesgo de")</f>
        <v>Cartel PVC 21x29 cm zona acceso prohibido, riesgo de</v>
      </c>
      <c r="C1070" s="4">
        <f>IFERROR(__xludf.DUMMYFUNCTION("""COMPUTED_VALUE"""),1.536)</f>
        <v>1.536</v>
      </c>
    </row>
    <row r="1071">
      <c r="A1071" s="4" t="str">
        <f>IFERROR(__xludf.DUMMYFUNCTION("""COMPUTED_VALUE"""),"878")</f>
        <v>878</v>
      </c>
      <c r="B1071" s="4" t="str">
        <f>IFERROR(__xludf.DUMMYFUNCTION("""COMPUTED_VALUE"""),"Cartel PVC 40x30 cm zona acceso prohibido, riesgo de")</f>
        <v>Cartel PVC 40x30 cm zona acceso prohibido, riesgo de</v>
      </c>
      <c r="C1071" s="4">
        <f>IFERROR(__xludf.DUMMYFUNCTION("""COMPUTED_VALUE"""),2.3808)</f>
        <v>2.3808</v>
      </c>
    </row>
    <row r="1072">
      <c r="A1072" s="4" t="str">
        <f>IFERROR(__xludf.DUMMYFUNCTION("""COMPUTED_VALUE"""),"0878A")</f>
        <v>0878A</v>
      </c>
      <c r="B1072" s="4" t="str">
        <f>IFERROR(__xludf.DUMMYFUNCTION("""COMPUTED_VALUE"""),"Adhesivo PVC 21x29 cm zona acceso prohibido, riesgo de")</f>
        <v>Adhesivo PVC 21x29 cm zona acceso prohibido, riesgo de</v>
      </c>
      <c r="C1072" s="4">
        <f>IFERROR(__xludf.DUMMYFUNCTION("""COMPUTED_VALUE"""),1.2)</f>
        <v>1.2</v>
      </c>
    </row>
    <row r="1073">
      <c r="A1073" s="4" t="str">
        <f>IFERROR(__xludf.DUMMYFUNCTION("""COMPUTED_VALUE"""),"0878P")</f>
        <v>0878P</v>
      </c>
      <c r="B1073" s="4" t="str">
        <f>IFERROR(__xludf.DUMMYFUNCTION("""COMPUTED_VALUE"""),"Cartel PVC 21x29 cm zona acceso prohibido, riesgo de")</f>
        <v>Cartel PVC 21x29 cm zona acceso prohibido, riesgo de</v>
      </c>
      <c r="C1073" s="4">
        <f>IFERROR(__xludf.DUMMYFUNCTION("""COMPUTED_VALUE"""),1.536)</f>
        <v>1.536</v>
      </c>
    </row>
    <row r="1074">
      <c r="A1074" s="4" t="str">
        <f>IFERROR(__xludf.DUMMYFUNCTION("""COMPUTED_VALUE"""),"879")</f>
        <v>879</v>
      </c>
      <c r="B1074" s="4" t="str">
        <f>IFERROR(__xludf.DUMMYFUNCTION("""COMPUTED_VALUE"""),"Cartel PVC 40x30 cm zona acceso prohibido, riesgo de cont. e")</f>
        <v>Cartel PVC 40x30 cm zona acceso prohibido, riesgo de cont. e</v>
      </c>
      <c r="C1074" s="4">
        <f>IFERROR(__xludf.DUMMYFUNCTION("""COMPUTED_VALUE"""),2.3808)</f>
        <v>2.3808</v>
      </c>
    </row>
    <row r="1075">
      <c r="A1075" s="4" t="str">
        <f>IFERROR(__xludf.DUMMYFUNCTION("""COMPUTED_VALUE"""),"0879A")</f>
        <v>0879A</v>
      </c>
      <c r="B1075" s="4" t="str">
        <f>IFERROR(__xludf.DUMMYFUNCTION("""COMPUTED_VALUE"""),"Adhesivo PVC 21x29 cm zona acceso prohibido, riesgo de")</f>
        <v>Adhesivo PVC 21x29 cm zona acceso prohibido, riesgo de</v>
      </c>
      <c r="C1075" s="4">
        <f>IFERROR(__xludf.DUMMYFUNCTION("""COMPUTED_VALUE"""),1.2)</f>
        <v>1.2</v>
      </c>
    </row>
    <row r="1076">
      <c r="A1076" s="4" t="str">
        <f>IFERROR(__xludf.DUMMYFUNCTION("""COMPUTED_VALUE"""),"0879P")</f>
        <v>0879P</v>
      </c>
      <c r="B1076" s="4" t="str">
        <f>IFERROR(__xludf.DUMMYFUNCTION("""COMPUTED_VALUE"""),"Cartel PVC 21x29 cm zona acceso prohibido, riesgo de cont. e")</f>
        <v>Cartel PVC 21x29 cm zona acceso prohibido, riesgo de cont. e</v>
      </c>
      <c r="C1076" s="4">
        <f>IFERROR(__xludf.DUMMYFUNCTION("""COMPUTED_VALUE"""),1.536)</f>
        <v>1.536</v>
      </c>
    </row>
    <row r="1077">
      <c r="A1077" s="4" t="str">
        <f>IFERROR(__xludf.DUMMYFUNCTION("""COMPUTED_VALUE"""),"880")</f>
        <v>880</v>
      </c>
      <c r="B1077" s="4" t="str">
        <f>IFERROR(__xludf.DUMMYFUNCTION("""COMPUTED_VALUE"""),"Cartel PVC 40x30 cm zona vigilada, riesgo de irradiación")</f>
        <v>Cartel PVC 40x30 cm zona vigilada, riesgo de irradiación</v>
      </c>
      <c r="C1077" s="4">
        <f>IFERROR(__xludf.DUMMYFUNCTION("""COMPUTED_VALUE"""),2.3808)</f>
        <v>2.3808</v>
      </c>
    </row>
    <row r="1078">
      <c r="A1078" s="4" t="str">
        <f>IFERROR(__xludf.DUMMYFUNCTION("""COMPUTED_VALUE"""),"0880A")</f>
        <v>0880A</v>
      </c>
      <c r="B1078" s="4" t="str">
        <f>IFERROR(__xludf.DUMMYFUNCTION("""COMPUTED_VALUE"""),"Adhesivo PVC 21x29 cm zona vigilada, riesgo de irradiación")</f>
        <v>Adhesivo PVC 21x29 cm zona vigilada, riesgo de irradiación</v>
      </c>
      <c r="C1078" s="4">
        <f>IFERROR(__xludf.DUMMYFUNCTION("""COMPUTED_VALUE"""),1.2)</f>
        <v>1.2</v>
      </c>
    </row>
    <row r="1079">
      <c r="A1079" s="4" t="str">
        <f>IFERROR(__xludf.DUMMYFUNCTION("""COMPUTED_VALUE"""),"0880P")</f>
        <v>0880P</v>
      </c>
      <c r="B1079" s="4" t="str">
        <f>IFERROR(__xludf.DUMMYFUNCTION("""COMPUTED_VALUE"""),"Cartel PVC 21x29 cm zona vigilada, riesgo de irradiación")</f>
        <v>Cartel PVC 21x29 cm zona vigilada, riesgo de irradiación</v>
      </c>
      <c r="C1079" s="4">
        <f>IFERROR(__xludf.DUMMYFUNCTION("""COMPUTED_VALUE"""),1.536)</f>
        <v>1.536</v>
      </c>
    </row>
    <row r="1080">
      <c r="A1080" s="4" t="str">
        <f>IFERROR(__xludf.DUMMYFUNCTION("""COMPUTED_VALUE"""),"881")</f>
        <v>881</v>
      </c>
      <c r="B1080" s="4" t="str">
        <f>IFERROR(__xludf.DUMMYFUNCTION("""COMPUTED_VALUE"""),"Cartel PVC 40x30 cm zona vigilada, riesgo de contaminación")</f>
        <v>Cartel PVC 40x30 cm zona vigilada, riesgo de contaminación</v>
      </c>
      <c r="C1080" s="4">
        <f>IFERROR(__xludf.DUMMYFUNCTION("""COMPUTED_VALUE"""),2.3808)</f>
        <v>2.3808</v>
      </c>
    </row>
    <row r="1081">
      <c r="A1081" s="4" t="str">
        <f>IFERROR(__xludf.DUMMYFUNCTION("""COMPUTED_VALUE"""),"0881A")</f>
        <v>0881A</v>
      </c>
      <c r="B1081" s="4" t="str">
        <f>IFERROR(__xludf.DUMMYFUNCTION("""COMPUTED_VALUE"""),"Adhesivo PVC 21x29 cm zona vigilada, riesgo de")</f>
        <v>Adhesivo PVC 21x29 cm zona vigilada, riesgo de</v>
      </c>
      <c r="C1081" s="4">
        <f>IFERROR(__xludf.DUMMYFUNCTION("""COMPUTED_VALUE"""),1.2)</f>
        <v>1.2</v>
      </c>
    </row>
    <row r="1082">
      <c r="A1082" s="4" t="str">
        <f>IFERROR(__xludf.DUMMYFUNCTION("""COMPUTED_VALUE"""),"0881P")</f>
        <v>0881P</v>
      </c>
      <c r="B1082" s="4" t="str">
        <f>IFERROR(__xludf.DUMMYFUNCTION("""COMPUTED_VALUE"""),"Cartel PVC 21x29 cm zona vigilada, riesgo de contaminación")</f>
        <v>Cartel PVC 21x29 cm zona vigilada, riesgo de contaminación</v>
      </c>
      <c r="C1082" s="4">
        <f>IFERROR(__xludf.DUMMYFUNCTION("""COMPUTED_VALUE"""),1.4112)</f>
        <v>1.4112</v>
      </c>
    </row>
    <row r="1083">
      <c r="A1083" s="4" t="str">
        <f>IFERROR(__xludf.DUMMYFUNCTION("""COMPUTED_VALUE"""),"882")</f>
        <v>882</v>
      </c>
      <c r="B1083" s="4" t="str">
        <f>IFERROR(__xludf.DUMMYFUNCTION("""COMPUTED_VALUE"""),"Cartel PVC 40x30 cm zona vigilada, riesgo de cont. e irrad.")</f>
        <v>Cartel PVC 40x30 cm zona vigilada, riesgo de cont. e irrad.</v>
      </c>
      <c r="C1083" s="4">
        <f>IFERROR(__xludf.DUMMYFUNCTION("""COMPUTED_VALUE"""),2.3808)</f>
        <v>2.3808</v>
      </c>
    </row>
    <row r="1084">
      <c r="A1084" s="4" t="str">
        <f>IFERROR(__xludf.DUMMYFUNCTION("""COMPUTED_VALUE"""),"0882A")</f>
        <v>0882A</v>
      </c>
      <c r="B1084" s="4" t="str">
        <f>IFERROR(__xludf.DUMMYFUNCTION("""COMPUTED_VALUE"""),"Adhesivo PVC 21x29 cm zona vigilada, riesgo de cont. e irrad.")</f>
        <v>Adhesivo PVC 21x29 cm zona vigilada, riesgo de cont. e irrad.</v>
      </c>
      <c r="C1084" s="4">
        <f>IFERROR(__xludf.DUMMYFUNCTION("""COMPUTED_VALUE"""),1.2)</f>
        <v>1.2</v>
      </c>
    </row>
    <row r="1085">
      <c r="A1085" s="4" t="str">
        <f>IFERROR(__xludf.DUMMYFUNCTION("""COMPUTED_VALUE"""),"0882P")</f>
        <v>0882P</v>
      </c>
      <c r="B1085" s="4" t="str">
        <f>IFERROR(__xludf.DUMMYFUNCTION("""COMPUTED_VALUE"""),"Cartel PVC 21x29 cm zona vigilada, riesgo de cont. e irrad.")</f>
        <v>Cartel PVC 21x29 cm zona vigilada, riesgo de cont. e irrad.</v>
      </c>
      <c r="C1085" s="4">
        <f>IFERROR(__xludf.DUMMYFUNCTION("""COMPUTED_VALUE"""),1.536)</f>
        <v>1.536</v>
      </c>
    </row>
    <row r="1086">
      <c r="A1086" s="4" t="str">
        <f>IFERROR(__xludf.DUMMYFUNCTION("""COMPUTED_VALUE"""),"883")</f>
        <v>883</v>
      </c>
      <c r="B1086" s="4" t="str">
        <f>IFERROR(__xludf.DUMMYFUNCTION("""COMPUTED_VALUE"""),"Adhesivo PVC Grupo 0 Oxígeno 100x25 mm")</f>
        <v>Adhesivo PVC Grupo 0 Oxígeno 100x25 mm</v>
      </c>
      <c r="C1086" s="4">
        <f>IFERROR(__xludf.DUMMYFUNCTION("""COMPUTED_VALUE"""),0.96)</f>
        <v>0.96</v>
      </c>
    </row>
    <row r="1087">
      <c r="A1087" s="4" t="str">
        <f>IFERROR(__xludf.DUMMYFUNCTION("""COMPUTED_VALUE"""),"0883A")</f>
        <v>0883A</v>
      </c>
      <c r="B1087" s="4" t="str">
        <f>IFERROR(__xludf.DUMMYFUNCTION("""COMPUTED_VALUE"""),"Adhesivo PVC Grupo 0 Oxígeno 200x50 mm")</f>
        <v>Adhesivo PVC Grupo 0 Oxígeno 200x50 mm</v>
      </c>
      <c r="C1087" s="4">
        <f>IFERROR(__xludf.DUMMYFUNCTION("""COMPUTED_VALUE"""),1.44)</f>
        <v>1.44</v>
      </c>
    </row>
    <row r="1088">
      <c r="A1088" s="4" t="str">
        <f>IFERROR(__xludf.DUMMYFUNCTION("""COMPUTED_VALUE"""),"0883B")</f>
        <v>0883B</v>
      </c>
      <c r="B1088" s="4" t="str">
        <f>IFERROR(__xludf.DUMMYFUNCTION("""COMPUTED_VALUE"""),"Adhesivo PVC Grupo 0 Oxígeno 400x100 mm")</f>
        <v>Adhesivo PVC Grupo 0 Oxígeno 400x100 mm</v>
      </c>
      <c r="C1088" s="4">
        <f>IFERROR(__xludf.DUMMYFUNCTION("""COMPUTED_VALUE"""),1.92)</f>
        <v>1.92</v>
      </c>
    </row>
    <row r="1089">
      <c r="A1089" s="4" t="str">
        <f>IFERROR(__xludf.DUMMYFUNCTION("""COMPUTED_VALUE"""),"884")</f>
        <v>884</v>
      </c>
      <c r="B1089" s="4" t="str">
        <f>IFERROR(__xludf.DUMMYFUNCTION("""COMPUTED_VALUE"""),"Adhesivo PVC Grupo 1 Agua 100x25 mm (todas las variantes)")</f>
        <v>Adhesivo PVC Grupo 1 Agua 100x25 mm (todas las variantes)</v>
      </c>
      <c r="C1089" s="4">
        <f>IFERROR(__xludf.DUMMYFUNCTION("""COMPUTED_VALUE"""),0.96)</f>
        <v>0.96</v>
      </c>
    </row>
    <row r="1090">
      <c r="A1090" s="4" t="str">
        <f>IFERROR(__xludf.DUMMYFUNCTION("""COMPUTED_VALUE"""),"0884A")</f>
        <v>0884A</v>
      </c>
      <c r="B1090" s="4" t="str">
        <f>IFERROR(__xludf.DUMMYFUNCTION("""COMPUTED_VALUE"""),"Adhesivo PVC Grupo 1 Agua 200x50 mm (todas las variantes)")</f>
        <v>Adhesivo PVC Grupo 1 Agua 200x50 mm (todas las variantes)</v>
      </c>
      <c r="C1090" s="4">
        <f>IFERROR(__xludf.DUMMYFUNCTION("""COMPUTED_VALUE"""),1.44)</f>
        <v>1.44</v>
      </c>
    </row>
    <row r="1091">
      <c r="A1091" s="4" t="str">
        <f>IFERROR(__xludf.DUMMYFUNCTION("""COMPUTED_VALUE"""),"0884B")</f>
        <v>0884B</v>
      </c>
      <c r="B1091" s="4" t="str">
        <f>IFERROR(__xludf.DUMMYFUNCTION("""COMPUTED_VALUE"""),"Adhesivo PVC Grupo 1 Agua 400x100 mm (todas las")</f>
        <v>Adhesivo PVC Grupo 1 Agua 400x100 mm (todas las</v>
      </c>
      <c r="C1091" s="4">
        <f>IFERROR(__xludf.DUMMYFUNCTION("""COMPUTED_VALUE"""),1.92)</f>
        <v>1.92</v>
      </c>
    </row>
    <row r="1092">
      <c r="A1092" s="4" t="str">
        <f>IFERROR(__xludf.DUMMYFUNCTION("""COMPUTED_VALUE"""),"885")</f>
        <v>885</v>
      </c>
      <c r="B1092" s="4" t="str">
        <f>IFERROR(__xludf.DUMMYFUNCTION("""COMPUTED_VALUE"""),"Adhesivo PVC Grupo 2 Vapor de agua 100x25 mm (todas las")</f>
        <v>Adhesivo PVC Grupo 2 Vapor de agua 100x25 mm (todas las</v>
      </c>
      <c r="C1092" s="4">
        <f>IFERROR(__xludf.DUMMYFUNCTION("""COMPUTED_VALUE"""),0.96)</f>
        <v>0.96</v>
      </c>
    </row>
    <row r="1093">
      <c r="A1093" s="4" t="str">
        <f>IFERROR(__xludf.DUMMYFUNCTION("""COMPUTED_VALUE"""),"0885A")</f>
        <v>0885A</v>
      </c>
      <c r="B1093" s="4" t="str">
        <f>IFERROR(__xludf.DUMMYFUNCTION("""COMPUTED_VALUE"""),"Adhesivo PVC Grupo 2 Vapor de agua 200x50 mm (todas las")</f>
        <v>Adhesivo PVC Grupo 2 Vapor de agua 200x50 mm (todas las</v>
      </c>
      <c r="C1093" s="4">
        <f>IFERROR(__xludf.DUMMYFUNCTION("""COMPUTED_VALUE"""),1.44)</f>
        <v>1.44</v>
      </c>
    </row>
    <row r="1094">
      <c r="A1094" s="4" t="str">
        <f>IFERROR(__xludf.DUMMYFUNCTION("""COMPUTED_VALUE"""),"0885B")</f>
        <v>0885B</v>
      </c>
      <c r="B1094" s="4" t="str">
        <f>IFERROR(__xludf.DUMMYFUNCTION("""COMPUTED_VALUE"""),"Adhesivo PVC Grupo 2 Vapor de agua 400x100 mm (todas las")</f>
        <v>Adhesivo PVC Grupo 2 Vapor de agua 400x100 mm (todas las</v>
      </c>
      <c r="C1094" s="4">
        <f>IFERROR(__xludf.DUMMYFUNCTION("""COMPUTED_VALUE"""),1.92)</f>
        <v>1.92</v>
      </c>
    </row>
    <row r="1095">
      <c r="A1095" s="4" t="str">
        <f>IFERROR(__xludf.DUMMYFUNCTION("""COMPUTED_VALUE"""),"886")</f>
        <v>886</v>
      </c>
      <c r="B1095" s="4" t="str">
        <f>IFERROR(__xludf.DUMMYFUNCTION("""COMPUTED_VALUE"""),"Adhesivo PVC Grupo 3 Aire 100x25 mm (todas las variantes)")</f>
        <v>Adhesivo PVC Grupo 3 Aire 100x25 mm (todas las variantes)</v>
      </c>
      <c r="C1095" s="4">
        <f>IFERROR(__xludf.DUMMYFUNCTION("""COMPUTED_VALUE"""),0.96)</f>
        <v>0.96</v>
      </c>
    </row>
    <row r="1096">
      <c r="A1096" s="4" t="str">
        <f>IFERROR(__xludf.DUMMYFUNCTION("""COMPUTED_VALUE"""),"0886A")</f>
        <v>0886A</v>
      </c>
      <c r="B1096" s="4" t="str">
        <f>IFERROR(__xludf.DUMMYFUNCTION("""COMPUTED_VALUE"""),"Adhesivo PVC Grupo 3 Aire 200x50 mm (todas las variantes)")</f>
        <v>Adhesivo PVC Grupo 3 Aire 200x50 mm (todas las variantes)</v>
      </c>
      <c r="C1096" s="4">
        <f>IFERROR(__xludf.DUMMYFUNCTION("""COMPUTED_VALUE"""),1.92)</f>
        <v>1.92</v>
      </c>
    </row>
    <row r="1097">
      <c r="A1097" s="4" t="str">
        <f>IFERROR(__xludf.DUMMYFUNCTION("""COMPUTED_VALUE"""),"0886B")</f>
        <v>0886B</v>
      </c>
      <c r="B1097" s="4" t="str">
        <f>IFERROR(__xludf.DUMMYFUNCTION("""COMPUTED_VALUE"""),"Adhesivo PVC Grupo 3 Aire 400x100 mm (todas las variantes)")</f>
        <v>Adhesivo PVC Grupo 3 Aire 400x100 mm (todas las variantes)</v>
      </c>
      <c r="C1097" s="4">
        <f>IFERROR(__xludf.DUMMYFUNCTION("""COMPUTED_VALUE"""),1.44)</f>
        <v>1.44</v>
      </c>
    </row>
    <row r="1098">
      <c r="A1098" s="4" t="str">
        <f>IFERROR(__xludf.DUMMYFUNCTION("""COMPUTED_VALUE"""),"887")</f>
        <v>887</v>
      </c>
      <c r="B1098" s="4" t="str">
        <f>IFERROR(__xludf.DUMMYFUNCTION("""COMPUTED_VALUE"""),"Adhesivo PVC Grupo 4 Gases combustibles 100x25 mm (todas")</f>
        <v>Adhesivo PVC Grupo 4 Gases combustibles 100x25 mm (todas</v>
      </c>
      <c r="C1098" s="4">
        <f>IFERROR(__xludf.DUMMYFUNCTION("""COMPUTED_VALUE"""),0.96)</f>
        <v>0.96</v>
      </c>
    </row>
    <row r="1099">
      <c r="A1099" s="4" t="str">
        <f>IFERROR(__xludf.DUMMYFUNCTION("""COMPUTED_VALUE"""),"0887A")</f>
        <v>0887A</v>
      </c>
      <c r="B1099" s="4" t="str">
        <f>IFERROR(__xludf.DUMMYFUNCTION("""COMPUTED_VALUE"""),"Adhesivo PVC Grupo 4 Gases combustibles 200x50 mm (todas")</f>
        <v>Adhesivo PVC Grupo 4 Gases combustibles 200x50 mm (todas</v>
      </c>
      <c r="C1099" s="4">
        <f>IFERROR(__xludf.DUMMYFUNCTION("""COMPUTED_VALUE"""),1.44)</f>
        <v>1.44</v>
      </c>
    </row>
    <row r="1100">
      <c r="A1100" s="4" t="str">
        <f>IFERROR(__xludf.DUMMYFUNCTION("""COMPUTED_VALUE"""),"0887B")</f>
        <v>0887B</v>
      </c>
      <c r="B1100" s="4" t="str">
        <f>IFERROR(__xludf.DUMMYFUNCTION("""COMPUTED_VALUE"""),"Adhesivo PVC Grupo 4 Gases combustibles 400x100 mm")</f>
        <v>Adhesivo PVC Grupo 4 Gases combustibles 400x100 mm</v>
      </c>
      <c r="C1100" s="4">
        <f>IFERROR(__xludf.DUMMYFUNCTION("""COMPUTED_VALUE"""),1.92)</f>
        <v>1.92</v>
      </c>
    </row>
    <row r="1101">
      <c r="A1101" s="4" t="str">
        <f>IFERROR(__xludf.DUMMYFUNCTION("""COMPUTED_VALUE"""),"888")</f>
        <v>888</v>
      </c>
      <c r="B1101" s="4" t="str">
        <f>IFERROR(__xludf.DUMMYFUNCTION("""COMPUTED_VALUE"""),"Adhesivo PVC Grupo 4 Gases combustibles 100x25 mm B")</f>
        <v>Adhesivo PVC Grupo 4 Gases combustibles 100x25 mm B</v>
      </c>
      <c r="C1101" s="4">
        <f>IFERROR(__xludf.DUMMYFUNCTION("""COMPUTED_VALUE"""),0.96)</f>
        <v>0.96</v>
      </c>
    </row>
    <row r="1102">
      <c r="A1102" s="4" t="str">
        <f>IFERROR(__xludf.DUMMYFUNCTION("""COMPUTED_VALUE"""),"0888A")</f>
        <v>0888A</v>
      </c>
      <c r="B1102" s="4" t="str">
        <f>IFERROR(__xludf.DUMMYFUNCTION("""COMPUTED_VALUE"""),"Adhesivo PVC Grupo 4 Gases combustibles 200x50 mm")</f>
        <v>Adhesivo PVC Grupo 4 Gases combustibles 200x50 mm</v>
      </c>
      <c r="C1102" s="4">
        <f>IFERROR(__xludf.DUMMYFUNCTION("""COMPUTED_VALUE"""),1.44)</f>
        <v>1.44</v>
      </c>
    </row>
    <row r="1103">
      <c r="A1103" s="4" t="str">
        <f>IFERROR(__xludf.DUMMYFUNCTION("""COMPUTED_VALUE"""),"0888B")</f>
        <v>0888B</v>
      </c>
      <c r="B1103" s="4" t="str">
        <f>IFERROR(__xludf.DUMMYFUNCTION("""COMPUTED_VALUE"""),"Adhesivo PVC Grupo 4 Gases combustibles 400x100 mm")</f>
        <v>Adhesivo PVC Grupo 4 Gases combustibles 400x100 mm</v>
      </c>
      <c r="C1103" s="4">
        <f>IFERROR(__xludf.DUMMYFUNCTION("""COMPUTED_VALUE"""),1.92)</f>
        <v>1.92</v>
      </c>
    </row>
    <row r="1104">
      <c r="A1104" s="4" t="str">
        <f>IFERROR(__xludf.DUMMYFUNCTION("""COMPUTED_VALUE"""),"889")</f>
        <v>889</v>
      </c>
      <c r="B1104" s="4" t="str">
        <f>IFERROR(__xludf.DUMMYFUNCTION("""COMPUTED_VALUE"""),"Adhesivo PVC Grupo 5 Gases no combustibles 100x25 mm")</f>
        <v>Adhesivo PVC Grupo 5 Gases no combustibles 100x25 mm</v>
      </c>
      <c r="C1104" s="4">
        <f>IFERROR(__xludf.DUMMYFUNCTION("""COMPUTED_VALUE"""),0.96)</f>
        <v>0.96</v>
      </c>
    </row>
    <row r="1105">
      <c r="A1105" s="4" t="str">
        <f>IFERROR(__xludf.DUMMYFUNCTION("""COMPUTED_VALUE"""),"0889A")</f>
        <v>0889A</v>
      </c>
      <c r="B1105" s="4" t="str">
        <f>IFERROR(__xludf.DUMMYFUNCTION("""COMPUTED_VALUE"""),"Adhesivo PVC Grupo 5 Gases no combustibles 200x50 mm")</f>
        <v>Adhesivo PVC Grupo 5 Gases no combustibles 200x50 mm</v>
      </c>
      <c r="C1105" s="4">
        <f>IFERROR(__xludf.DUMMYFUNCTION("""COMPUTED_VALUE"""),1.44)</f>
        <v>1.44</v>
      </c>
    </row>
    <row r="1106">
      <c r="A1106" s="4" t="str">
        <f>IFERROR(__xludf.DUMMYFUNCTION("""COMPUTED_VALUE"""),"0889B")</f>
        <v>0889B</v>
      </c>
      <c r="B1106" s="4" t="str">
        <f>IFERROR(__xludf.DUMMYFUNCTION("""COMPUTED_VALUE"""),"Adhesivo PVC Grupo 5 Gases no combustibles 400x100 mm")</f>
        <v>Adhesivo PVC Grupo 5 Gases no combustibles 400x100 mm</v>
      </c>
      <c r="C1106" s="4">
        <f>IFERROR(__xludf.DUMMYFUNCTION("""COMPUTED_VALUE"""),1.92)</f>
        <v>1.92</v>
      </c>
    </row>
    <row r="1107">
      <c r="A1107" s="4" t="str">
        <f>IFERROR(__xludf.DUMMYFUNCTION("""COMPUTED_VALUE"""),"890")</f>
        <v>890</v>
      </c>
      <c r="B1107" s="4" t="str">
        <f>IFERROR(__xludf.DUMMYFUNCTION("""COMPUTED_VALUE"""),"Adhesivo PVC Grupo 5 Gases no combustibles 100x25 mm")</f>
        <v>Adhesivo PVC Grupo 5 Gases no combustibles 100x25 mm</v>
      </c>
      <c r="C1107" s="4">
        <f>IFERROR(__xludf.DUMMYFUNCTION("""COMPUTED_VALUE"""),0.96)</f>
        <v>0.96</v>
      </c>
    </row>
    <row r="1108">
      <c r="A1108" s="4" t="str">
        <f>IFERROR(__xludf.DUMMYFUNCTION("""COMPUTED_VALUE"""),"0890A")</f>
        <v>0890A</v>
      </c>
      <c r="B1108" s="4" t="str">
        <f>IFERROR(__xludf.DUMMYFUNCTION("""COMPUTED_VALUE"""),"Adhesivo PVC Grupo 5 Gases no combustibles 200x50 mm")</f>
        <v>Adhesivo PVC Grupo 5 Gases no combustibles 200x50 mm</v>
      </c>
      <c r="C1108" s="4">
        <f>IFERROR(__xludf.DUMMYFUNCTION("""COMPUTED_VALUE"""),1.44)</f>
        <v>1.44</v>
      </c>
    </row>
    <row r="1109">
      <c r="A1109" s="4" t="str">
        <f>IFERROR(__xludf.DUMMYFUNCTION("""COMPUTED_VALUE"""),"0890B")</f>
        <v>0890B</v>
      </c>
      <c r="B1109" s="4" t="str">
        <f>IFERROR(__xludf.DUMMYFUNCTION("""COMPUTED_VALUE"""),"Adhesivo PVC Grupo 5 Gases no combustibles 400x100 mm")</f>
        <v>Adhesivo PVC Grupo 5 Gases no combustibles 400x100 mm</v>
      </c>
      <c r="C1109" s="4">
        <f>IFERROR(__xludf.DUMMYFUNCTION("""COMPUTED_VALUE"""),1.92)</f>
        <v>1.92</v>
      </c>
    </row>
    <row r="1110">
      <c r="A1110" s="4" t="str">
        <f>IFERROR(__xludf.DUMMYFUNCTION("""COMPUTED_VALUE"""),"891")</f>
        <v>891</v>
      </c>
      <c r="B1110" s="4" t="str">
        <f>IFERROR(__xludf.DUMMYFUNCTION("""COMPUTED_VALUE"""),"Adhesivo PVC Grupo 6 Ácidos 100x25 mm (todas las")</f>
        <v>Adhesivo PVC Grupo 6 Ácidos 100x25 mm (todas las</v>
      </c>
      <c r="C1110" s="4">
        <f>IFERROR(__xludf.DUMMYFUNCTION("""COMPUTED_VALUE"""),0.96)</f>
        <v>0.96</v>
      </c>
    </row>
    <row r="1111">
      <c r="A1111" s="4" t="str">
        <f>IFERROR(__xludf.DUMMYFUNCTION("""COMPUTED_VALUE"""),"0891A")</f>
        <v>0891A</v>
      </c>
      <c r="B1111" s="4" t="str">
        <f>IFERROR(__xludf.DUMMYFUNCTION("""COMPUTED_VALUE"""),"Adhesivo PVC Grupo 6 Ácidos 200x50 mm (todas las")</f>
        <v>Adhesivo PVC Grupo 6 Ácidos 200x50 mm (todas las</v>
      </c>
      <c r="C1111" s="4">
        <f>IFERROR(__xludf.DUMMYFUNCTION("""COMPUTED_VALUE"""),1.44)</f>
        <v>1.44</v>
      </c>
    </row>
    <row r="1112">
      <c r="A1112" s="4" t="str">
        <f>IFERROR(__xludf.DUMMYFUNCTION("""COMPUTED_VALUE"""),"0891B")</f>
        <v>0891B</v>
      </c>
      <c r="B1112" s="4" t="str">
        <f>IFERROR(__xludf.DUMMYFUNCTION("""COMPUTED_VALUE"""),"Adhesivo PVC Grupo 6 Ácidos 400x100 mm (todas las")</f>
        <v>Adhesivo PVC Grupo 6 Ácidos 400x100 mm (todas las</v>
      </c>
      <c r="C1112" s="4">
        <f>IFERROR(__xludf.DUMMYFUNCTION("""COMPUTED_VALUE"""),1.92)</f>
        <v>1.92</v>
      </c>
    </row>
    <row r="1113">
      <c r="A1113" s="4" t="str">
        <f>IFERROR(__xludf.DUMMYFUNCTION("""COMPUTED_VALUE"""),"892")</f>
        <v>892</v>
      </c>
      <c r="B1113" s="4" t="str">
        <f>IFERROR(__xludf.DUMMYFUNCTION("""COMPUTED_VALUE"""),"Adhesivo PVC Grupo 7 Lejías 100x25 mm (todas las variantes)")</f>
        <v>Adhesivo PVC Grupo 7 Lejías 100x25 mm (todas las variantes)</v>
      </c>
      <c r="C1113" s="4">
        <f>IFERROR(__xludf.DUMMYFUNCTION("""COMPUTED_VALUE"""),0.96)</f>
        <v>0.96</v>
      </c>
    </row>
    <row r="1114">
      <c r="A1114" s="4" t="str">
        <f>IFERROR(__xludf.DUMMYFUNCTION("""COMPUTED_VALUE"""),"0892A")</f>
        <v>0892A</v>
      </c>
      <c r="B1114" s="4" t="str">
        <f>IFERROR(__xludf.DUMMYFUNCTION("""COMPUTED_VALUE"""),"Adhesivo PVC Grupo 7 Lejías 200x50 mm (todas las")</f>
        <v>Adhesivo PVC Grupo 7 Lejías 200x50 mm (todas las</v>
      </c>
      <c r="C1114" s="4">
        <f>IFERROR(__xludf.DUMMYFUNCTION("""COMPUTED_VALUE"""),1.44)</f>
        <v>1.44</v>
      </c>
    </row>
    <row r="1115">
      <c r="A1115" s="4" t="str">
        <f>IFERROR(__xludf.DUMMYFUNCTION("""COMPUTED_VALUE"""),"0892B")</f>
        <v>0892B</v>
      </c>
      <c r="B1115" s="4" t="str">
        <f>IFERROR(__xludf.DUMMYFUNCTION("""COMPUTED_VALUE"""),"Adhesivo PVC Grupo 7 Lejías 400x100 mm (todas las")</f>
        <v>Adhesivo PVC Grupo 7 Lejías 400x100 mm (todas las</v>
      </c>
      <c r="C1115" s="4">
        <f>IFERROR(__xludf.DUMMYFUNCTION("""COMPUTED_VALUE"""),1.92)</f>
        <v>1.92</v>
      </c>
    </row>
    <row r="1116">
      <c r="A1116" s="4" t="str">
        <f>IFERROR(__xludf.DUMMYFUNCTION("""COMPUTED_VALUE"""),"893")</f>
        <v>893</v>
      </c>
      <c r="B1116" s="4" t="str">
        <f>IFERROR(__xludf.DUMMYFUNCTION("""COMPUTED_VALUE"""),"Adhesivo PVC Grupo 8 Líquidos combustibles 100x25 mm")</f>
        <v>Adhesivo PVC Grupo 8 Líquidos combustibles 100x25 mm</v>
      </c>
      <c r="C1116" s="4">
        <f>IFERROR(__xludf.DUMMYFUNCTION("""COMPUTED_VALUE"""),0.96)</f>
        <v>0.96</v>
      </c>
    </row>
    <row r="1117">
      <c r="A1117" s="4" t="str">
        <f>IFERROR(__xludf.DUMMYFUNCTION("""COMPUTED_VALUE"""),"0893A")</f>
        <v>0893A</v>
      </c>
      <c r="B1117" s="4" t="str">
        <f>IFERROR(__xludf.DUMMYFUNCTION("""COMPUTED_VALUE"""),"Adhesivo PVC Grupo 8 Líquidos combustibles 200x50 mm")</f>
        <v>Adhesivo PVC Grupo 8 Líquidos combustibles 200x50 mm</v>
      </c>
      <c r="C1117" s="4">
        <f>IFERROR(__xludf.DUMMYFUNCTION("""COMPUTED_VALUE"""),1.44)</f>
        <v>1.44</v>
      </c>
    </row>
    <row r="1118">
      <c r="A1118" s="4" t="str">
        <f>IFERROR(__xludf.DUMMYFUNCTION("""COMPUTED_VALUE"""),"0893B")</f>
        <v>0893B</v>
      </c>
      <c r="B1118" s="4" t="str">
        <f>IFERROR(__xludf.DUMMYFUNCTION("""COMPUTED_VALUE"""),"Adhesivo PVC Grupo 8 Líquidos combustibles 400x100 mm")</f>
        <v>Adhesivo PVC Grupo 8 Líquidos combustibles 400x100 mm</v>
      </c>
      <c r="C1118" s="4">
        <f>IFERROR(__xludf.DUMMYFUNCTION("""COMPUTED_VALUE"""),1.92)</f>
        <v>1.92</v>
      </c>
    </row>
    <row r="1119">
      <c r="A1119" s="4" t="str">
        <f>IFERROR(__xludf.DUMMYFUNCTION("""COMPUTED_VALUE"""),"894")</f>
        <v>894</v>
      </c>
      <c r="B1119" s="4" t="str">
        <f>IFERROR(__xludf.DUMMYFUNCTION("""COMPUTED_VALUE"""),"Adhesivo PVC Grupo 8 Líquidos combustibles 100x25 mm B")</f>
        <v>Adhesivo PVC Grupo 8 Líquidos combustibles 100x25 mm B</v>
      </c>
      <c r="C1119" s="4">
        <f>IFERROR(__xludf.DUMMYFUNCTION("""COMPUTED_VALUE"""),0.96)</f>
        <v>0.96</v>
      </c>
    </row>
    <row r="1120">
      <c r="A1120" s="4" t="str">
        <f>IFERROR(__xludf.DUMMYFUNCTION("""COMPUTED_VALUE"""),"0894A")</f>
        <v>0894A</v>
      </c>
      <c r="B1120" s="4" t="str">
        <f>IFERROR(__xludf.DUMMYFUNCTION("""COMPUTED_VALUE"""),"Adhesivo PVC Grupo 8 Líquidos combustibles 200x50 mm B")</f>
        <v>Adhesivo PVC Grupo 8 Líquidos combustibles 200x50 mm B</v>
      </c>
      <c r="C1120" s="4">
        <f>IFERROR(__xludf.DUMMYFUNCTION("""COMPUTED_VALUE"""),1.44)</f>
        <v>1.44</v>
      </c>
    </row>
    <row r="1121">
      <c r="A1121" s="4" t="str">
        <f>IFERROR(__xludf.DUMMYFUNCTION("""COMPUTED_VALUE"""),"0894B")</f>
        <v>0894B</v>
      </c>
      <c r="B1121" s="4" t="str">
        <f>IFERROR(__xludf.DUMMYFUNCTION("""COMPUTED_VALUE"""),"Adhesivo PVC Grupo 8 Líquidos combustibles 400x100 mm")</f>
        <v>Adhesivo PVC Grupo 8 Líquidos combustibles 400x100 mm</v>
      </c>
      <c r="C1121" s="4">
        <f>IFERROR(__xludf.DUMMYFUNCTION("""COMPUTED_VALUE"""),1.92)</f>
        <v>1.92</v>
      </c>
    </row>
    <row r="1122">
      <c r="A1122" s="4" t="str">
        <f>IFERROR(__xludf.DUMMYFUNCTION("""COMPUTED_VALUE"""),"895")</f>
        <v>895</v>
      </c>
      <c r="B1122" s="4" t="str">
        <f>IFERROR(__xludf.DUMMYFUNCTION("""COMPUTED_VALUE"""),"Adhesivo PVC Grupo 9 Líquidos no combustibles 100x25 mm")</f>
        <v>Adhesivo PVC Grupo 9 Líquidos no combustibles 100x25 mm</v>
      </c>
      <c r="C1122" s="4">
        <f>IFERROR(__xludf.DUMMYFUNCTION("""COMPUTED_VALUE"""),0.96)</f>
        <v>0.96</v>
      </c>
    </row>
    <row r="1123">
      <c r="A1123" s="4" t="str">
        <f>IFERROR(__xludf.DUMMYFUNCTION("""COMPUTED_VALUE"""),"0895A")</f>
        <v>0895A</v>
      </c>
      <c r="B1123" s="4" t="str">
        <f>IFERROR(__xludf.DUMMYFUNCTION("""COMPUTED_VALUE"""),"Adhesivo PVC Grupo 9 Líquidos no combustibles 200x50 mm")</f>
        <v>Adhesivo PVC Grupo 9 Líquidos no combustibles 200x50 mm</v>
      </c>
      <c r="C1123" s="4">
        <f>IFERROR(__xludf.DUMMYFUNCTION("""COMPUTED_VALUE"""),1.44)</f>
        <v>1.44</v>
      </c>
    </row>
    <row r="1124">
      <c r="A1124" s="4" t="str">
        <f>IFERROR(__xludf.DUMMYFUNCTION("""COMPUTED_VALUE"""),"0895B")</f>
        <v>0895B</v>
      </c>
      <c r="B1124" s="4" t="str">
        <f>IFERROR(__xludf.DUMMYFUNCTION("""COMPUTED_VALUE"""),"Adhesivo PVC Grupo 9 Líquidos no combustibles 400x100 mm")</f>
        <v>Adhesivo PVC Grupo 9 Líquidos no combustibles 400x100 mm</v>
      </c>
      <c r="C1124" s="4">
        <f>IFERROR(__xludf.DUMMYFUNCTION("""COMPUTED_VALUE"""),1.92)</f>
        <v>1.92</v>
      </c>
    </row>
    <row r="1125">
      <c r="A1125" s="4" t="str">
        <f>IFERROR(__xludf.DUMMYFUNCTION("""COMPUTED_VALUE"""),"896")</f>
        <v>896</v>
      </c>
      <c r="B1125" s="4" t="str">
        <f>IFERROR(__xludf.DUMMYFUNCTION("""COMPUTED_VALUE"""),"Adhesivo PVC Grupo 9 Líquidos no combustibles 100x25 mm")</f>
        <v>Adhesivo PVC Grupo 9 Líquidos no combustibles 100x25 mm</v>
      </c>
      <c r="C1125" s="4">
        <f>IFERROR(__xludf.DUMMYFUNCTION("""COMPUTED_VALUE"""),0.96)</f>
        <v>0.96</v>
      </c>
    </row>
    <row r="1126">
      <c r="A1126" s="4" t="str">
        <f>IFERROR(__xludf.DUMMYFUNCTION("""COMPUTED_VALUE"""),"0896A")</f>
        <v>0896A</v>
      </c>
      <c r="B1126" s="4" t="str">
        <f>IFERROR(__xludf.DUMMYFUNCTION("""COMPUTED_VALUE"""),"Adhesivo PVC Grupo 9 Líquidos no combustibles 200x50 mm")</f>
        <v>Adhesivo PVC Grupo 9 Líquidos no combustibles 200x50 mm</v>
      </c>
      <c r="C1126" s="4">
        <f>IFERROR(__xludf.DUMMYFUNCTION("""COMPUTED_VALUE"""),1.92)</f>
        <v>1.92</v>
      </c>
    </row>
    <row r="1127">
      <c r="A1127" s="4" t="str">
        <f>IFERROR(__xludf.DUMMYFUNCTION("""COMPUTED_VALUE"""),"0896B")</f>
        <v>0896B</v>
      </c>
      <c r="B1127" s="4" t="str">
        <f>IFERROR(__xludf.DUMMYFUNCTION("""COMPUTED_VALUE"""),"Adhesivo PVC Grupo 9 Líquidos no combustibles 400x100 mm")</f>
        <v>Adhesivo PVC Grupo 9 Líquidos no combustibles 400x100 mm</v>
      </c>
      <c r="C1127" s="4">
        <f>IFERROR(__xludf.DUMMYFUNCTION("""COMPUTED_VALUE"""),1.92)</f>
        <v>1.92</v>
      </c>
    </row>
    <row r="1128">
      <c r="A1128" s="4" t="str">
        <f>IFERROR(__xludf.DUMMYFUNCTION("""COMPUTED_VALUE"""),"1028/A/BAT")</f>
        <v>1028/A/BAT</v>
      </c>
      <c r="B1128" s="4" t="str">
        <f>IFERROR(__xludf.DUMMYFUNCTION("""COMPUTED_VALUE"""),"Baliza Powerflare azul c/cargador a 220v y 12 v")</f>
        <v>Baliza Powerflare azul c/cargador a 220v y 12 v</v>
      </c>
      <c r="C1128" s="4">
        <f>IFERROR(__xludf.DUMMYFUNCTION("""COMPUTED_VALUE"""),15.12)</f>
        <v>15.12</v>
      </c>
    </row>
    <row r="1129">
      <c r="A1129" s="4" t="str">
        <f>IFERROR(__xludf.DUMMYFUNCTION("""COMPUTED_VALUE"""),"1028/AZUL")</f>
        <v>1028/AZUL</v>
      </c>
      <c r="B1129" s="4" t="str">
        <f>IFERROR(__xludf.DUMMYFUNCTION("""COMPUTED_VALUE"""),"Baliza powerflare azul ( repuesto )")</f>
        <v>Baliza powerflare azul ( repuesto )</v>
      </c>
      <c r="C1129" s="4">
        <f>IFERROR(__xludf.DUMMYFUNCTION("""COMPUTED_VALUE"""),9.072)</f>
        <v>9.072</v>
      </c>
    </row>
    <row r="1130">
      <c r="A1130" s="4" t="str">
        <f>IFERROR(__xludf.DUMMYFUNCTION("""COMPUTED_VALUE"""),"1028/N/BAT")</f>
        <v>1028/N/BAT</v>
      </c>
      <c r="B1130" s="4" t="str">
        <f>IFERROR(__xludf.DUMMYFUNCTION("""COMPUTED_VALUE"""),"Baliza Powerflare naranja c/cargador a 220v y 12 v")</f>
        <v>Baliza Powerflare naranja c/cargador a 220v y 12 v</v>
      </c>
      <c r="C1130" s="4">
        <f>IFERROR(__xludf.DUMMYFUNCTION("""COMPUTED_VALUE"""),15.12)</f>
        <v>15.12</v>
      </c>
    </row>
    <row r="1131">
      <c r="A1131" s="4" t="str">
        <f>IFERROR(__xludf.DUMMYFUNCTION("""COMPUTED_VALUE"""),"1028/NARANJA")</f>
        <v>1028/NARANJA</v>
      </c>
      <c r="B1131" s="4" t="str">
        <f>IFERROR(__xludf.DUMMYFUNCTION("""COMPUTED_VALUE"""),"Baliza powerflare naranja ( repuesto )")</f>
        <v>Baliza powerflare naranja ( repuesto )</v>
      </c>
      <c r="C1131" s="4">
        <f>IFERROR(__xludf.DUMMYFUNCTION("""COMPUTED_VALUE"""),9.072)</f>
        <v>9.072</v>
      </c>
    </row>
    <row r="1132">
      <c r="A1132" s="4" t="str">
        <f>IFERROR(__xludf.DUMMYFUNCTION("""COMPUTED_VALUE"""),"1029")</f>
        <v>1029</v>
      </c>
      <c r="B1132" s="4" t="str">
        <f>IFERROR(__xludf.DUMMYFUNCTION("""COMPUTED_VALUE"""),"Maletín 6 uds baliza NARANJA led powerflare con cargador")</f>
        <v>Maletín 6 uds baliza NARANJA led powerflare con cargador</v>
      </c>
      <c r="C1132" s="4">
        <f>IFERROR(__xludf.DUMMYFUNCTION("""COMPUTED_VALUE"""),95.52)</f>
        <v>95.52</v>
      </c>
    </row>
    <row r="1133">
      <c r="A1133" s="4" t="str">
        <f>IFERROR(__xludf.DUMMYFUNCTION("""COMPUTED_VALUE"""),"1029A")</f>
        <v>1029A</v>
      </c>
      <c r="B1133" s="4" t="str">
        <f>IFERROR(__xludf.DUMMYFUNCTION("""COMPUTED_VALUE"""),"Maletín 6 uds baliza AMARILLO led powerflare con cargador")</f>
        <v>Maletín 6 uds baliza AMARILLO led powerflare con cargador</v>
      </c>
      <c r="C1133" s="4">
        <f>IFERROR(__xludf.DUMMYFUNCTION("""COMPUTED_VALUE"""),95.52)</f>
        <v>95.52</v>
      </c>
    </row>
    <row r="1134">
      <c r="A1134" s="4" t="str">
        <f>IFERROR(__xludf.DUMMYFUNCTION("""COMPUTED_VALUE"""),"1029Z")</f>
        <v>1029Z</v>
      </c>
      <c r="B1134" s="4" t="str">
        <f>IFERROR(__xludf.DUMMYFUNCTION("""COMPUTED_VALUE"""),"Maletín 6 uds baliza AZUL led powerflare con cargador")</f>
        <v>Maletín 6 uds baliza AZUL led powerflare con cargador</v>
      </c>
      <c r="C1134" s="4">
        <f>IFERROR(__xludf.DUMMYFUNCTION("""COMPUTED_VALUE"""),95.52)</f>
        <v>95.52</v>
      </c>
    </row>
    <row r="1135">
      <c r="A1135" s="4" t="str">
        <f>IFERROR(__xludf.DUMMYFUNCTION("""COMPUTED_VALUE"""),"1030")</f>
        <v>1030</v>
      </c>
      <c r="B1135" s="4" t="str">
        <f>IFERROR(__xludf.DUMMYFUNCTION("""COMPUTED_VALUE"""),"Baliza LED azul intermitente")</f>
        <v>Baliza LED azul intermitente</v>
      </c>
      <c r="C1135" s="4">
        <f>IFERROR(__xludf.DUMMYFUNCTION("""COMPUTED_VALUE"""),6.144)</f>
        <v>6.144</v>
      </c>
    </row>
    <row r="1136">
      <c r="A1136" s="4" t="str">
        <f>IFERROR(__xludf.DUMMYFUNCTION("""COMPUTED_VALUE"""),"1032")</f>
        <v>1032</v>
      </c>
      <c r="B1136" s="4" t="str">
        <f>IFERROR(__xludf.DUMMYFUNCTION("""COMPUTED_VALUE"""),"Baliza Señalizacion intermitente para 1 bateria")</f>
        <v>Baliza Señalizacion intermitente para 1 bateria</v>
      </c>
      <c r="C1136" s="4">
        <f>IFERROR(__xludf.DUMMYFUNCTION("""COMPUTED_VALUE"""),4.848)</f>
        <v>4.848</v>
      </c>
    </row>
    <row r="1137">
      <c r="A1137" s="4" t="str">
        <f>IFERROR(__xludf.DUMMYFUNCTION("""COMPUTED_VALUE"""),"1033")</f>
        <v>1033</v>
      </c>
      <c r="B1137" s="4" t="str">
        <f>IFERROR(__xludf.DUMMYFUNCTION("""COMPUTED_VALUE"""),"Baliza Señalización Plus intermitente 2 baterías")</f>
        <v>Baliza Señalización Plus intermitente 2 baterías</v>
      </c>
      <c r="C1137" s="4">
        <f>IFERROR(__xludf.DUMMYFUNCTION("""COMPUTED_VALUE"""),6.691199999999999)</f>
        <v>6.6912</v>
      </c>
    </row>
    <row r="1138">
      <c r="A1138" s="4" t="str">
        <f>IFERROR(__xludf.DUMMYFUNCTION("""COMPUTED_VALUE"""),"1033/B")</f>
        <v>1033/B</v>
      </c>
      <c r="B1138" s="4" t="str">
        <f>IFERROR(__xludf.DUMMYFUNCTION("""COMPUTED_VALUE"""),"Baliza Señalizacion Basic intermitente 2 baterias")</f>
        <v>Baliza Señalizacion Basic intermitente 2 baterias</v>
      </c>
      <c r="C1138" s="4">
        <f>IFERROR(__xludf.DUMMYFUNCTION("""COMPUTED_VALUE"""),5.664)</f>
        <v>5.664</v>
      </c>
    </row>
    <row r="1139">
      <c r="A1139" s="4" t="str">
        <f>IFERROR(__xludf.DUMMYFUNCTION("""COMPUTED_VALUE"""),"1033E")</f>
        <v>1033E</v>
      </c>
      <c r="B1139" s="4" t="str">
        <f>IFERROR(__xludf.DUMMYFUNCTION("""COMPUTED_VALUE"""),"Baliza intermitente Euroflash naranja")</f>
        <v>Baliza intermitente Euroflash naranja</v>
      </c>
      <c r="C1139" s="4">
        <f>IFERROR(__xludf.DUMMYFUNCTION("""COMPUTED_VALUE"""),6.96)</f>
        <v>6.96</v>
      </c>
    </row>
    <row r="1140">
      <c r="A1140" s="4" t="str">
        <f>IFERROR(__xludf.DUMMYFUNCTION("""COMPUTED_VALUE"""),"1033V")</f>
        <v>1033V</v>
      </c>
      <c r="B1140" s="4" t="str">
        <f>IFERROR(__xludf.DUMMYFUNCTION("""COMPUTED_VALUE"""),"Baliza Señalización Plus intermitente 2 baterías VERDE")</f>
        <v>Baliza Señalización Plus intermitente 2 baterías VERDE</v>
      </c>
      <c r="C1140" s="4">
        <f>IFERROR(__xludf.DUMMYFUNCTION("""COMPUTED_VALUE"""),6.672)</f>
        <v>6.672</v>
      </c>
    </row>
    <row r="1141">
      <c r="A1141" s="4" t="str">
        <f>IFERROR(__xludf.DUMMYFUNCTION("""COMPUTED_VALUE"""),"1034")</f>
        <v>1034</v>
      </c>
      <c r="B1141" s="4" t="str">
        <f>IFERROR(__xludf.DUMMYFUNCTION("""COMPUTED_VALUE"""),"Bateria baliza 6V 4R25 7 Ah. Alta Capacidad")</f>
        <v>Bateria baliza 6V 4R25 7 Ah. Alta Capacidad</v>
      </c>
      <c r="C1141" s="4">
        <f>IFERROR(__xludf.DUMMYFUNCTION("""COMPUTED_VALUE"""),1.8143999999999998)</f>
        <v>1.8144</v>
      </c>
    </row>
    <row r="1142">
      <c r="A1142" s="4" t="str">
        <f>IFERROR(__xludf.DUMMYFUNCTION("""COMPUTED_VALUE"""),"1034G")</f>
        <v>1034G</v>
      </c>
      <c r="B1142" s="4" t="str">
        <f>IFERROR(__xludf.DUMMYFUNCTION("""COMPUTED_VALUE"""),"Bateria baliza 6v 25 Ah")</f>
        <v>Bateria baliza 6v 25 Ah</v>
      </c>
      <c r="C1142" s="4">
        <f>IFERROR(__xludf.DUMMYFUNCTION("""COMPUTED_VALUE"""),10.08)</f>
        <v>10.08</v>
      </c>
    </row>
    <row r="1143">
      <c r="A1143" s="4" t="str">
        <f>IFERROR(__xludf.DUMMYFUNCTION("""COMPUTED_VALUE"""),"1035")</f>
        <v>1035</v>
      </c>
      <c r="B1143" s="4" t="str">
        <f>IFERROR(__xludf.DUMMYFUNCTION("""COMPUTED_VALUE"""),"Baliza Señalizacion flash-Led doble cara")</f>
        <v>Baliza Señalizacion flash-Led doble cara</v>
      </c>
      <c r="C1143" s="4">
        <f>IFERROR(__xludf.DUMMYFUNCTION("""COMPUTED_VALUE"""),21.36)</f>
        <v>21.36</v>
      </c>
    </row>
    <row r="1144">
      <c r="A1144" s="4" t="str">
        <f>IFERROR(__xludf.DUMMYFUNCTION("""COMPUTED_VALUE"""),"1036")</f>
        <v>1036</v>
      </c>
      <c r="B1144" s="4" t="str">
        <f>IFERROR(__xludf.DUMMYFUNCTION("""COMPUTED_VALUE"""),"Baliza Señalización luz roja VEGA")</f>
        <v>Baliza Señalización luz roja VEGA</v>
      </c>
      <c r="C1144" s="4">
        <f>IFERROR(__xludf.DUMMYFUNCTION("""COMPUTED_VALUE"""),7.68)</f>
        <v>7.68</v>
      </c>
    </row>
    <row r="1145">
      <c r="A1145" s="4" t="str">
        <f>IFERROR(__xludf.DUMMYFUNCTION("""COMPUTED_VALUE"""),"1037")</f>
        <v>1037</v>
      </c>
      <c r="B1145" s="4" t="str">
        <f>IFERROR(__xludf.DUMMYFUNCTION("""COMPUTED_VALUE"""),"Baliza Señalizacion solar")</f>
        <v>Baliza Señalizacion solar</v>
      </c>
      <c r="C1145" s="4">
        <f>IFERROR(__xludf.DUMMYFUNCTION("""COMPUTED_VALUE"""),14.304)</f>
        <v>14.304</v>
      </c>
    </row>
    <row r="1146">
      <c r="A1146" s="4" t="str">
        <f>IFERROR(__xludf.DUMMYFUNCTION("""COMPUTED_VALUE"""),"1122B")</f>
        <v>1122B</v>
      </c>
      <c r="B1146" s="4" t="str">
        <f>IFERROR(__xludf.DUMMYFUNCTION("""COMPUTED_VALUE"""),"Barrera mediana HOG600 Blanca 560x1130x400 mm")</f>
        <v>Barrera mediana HOG600 Blanca 560x1130x400 mm</v>
      </c>
      <c r="C1146" s="4">
        <f>IFERROR(__xludf.DUMMYFUNCTION("""COMPUTED_VALUE"""),44.16)</f>
        <v>44.16</v>
      </c>
    </row>
    <row r="1147">
      <c r="A1147" s="4" t="str">
        <f>IFERROR(__xludf.DUMMYFUNCTION("""COMPUTED_VALUE"""),"1122R")</f>
        <v>1122R</v>
      </c>
      <c r="B1147" s="4" t="str">
        <f>IFERROR(__xludf.DUMMYFUNCTION("""COMPUTED_VALUE"""),"Barrera mediana HOG600 Roja 560x1130x400 mm")</f>
        <v>Barrera mediana HOG600 Roja 560x1130x400 mm</v>
      </c>
      <c r="C1147" s="4">
        <f>IFERROR(__xludf.DUMMYFUNCTION("""COMPUTED_VALUE"""),44.16)</f>
        <v>44.16</v>
      </c>
    </row>
    <row r="1148">
      <c r="A1148" s="4" t="str">
        <f>IFERROR(__xludf.DUMMYFUNCTION("""COMPUTED_VALUE"""),"1123")</f>
        <v>1123</v>
      </c>
      <c r="B1148" s="4" t="str">
        <f>IFERROR(__xludf.DUMMYFUNCTION("""COMPUTED_VALUE"""),"Mts. Cadena plástico 10 m/m R/B")</f>
        <v>Mts. Cadena plástico 10 m/m R/B</v>
      </c>
      <c r="C1148" s="4">
        <f>IFERROR(__xludf.DUMMYFUNCTION("""COMPUTED_VALUE"""),1.008)</f>
        <v>1.008</v>
      </c>
    </row>
    <row r="1149">
      <c r="A1149" s="4" t="str">
        <f>IFERROR(__xludf.DUMMYFUNCTION("""COMPUTED_VALUE"""),"1124")</f>
        <v>1124</v>
      </c>
      <c r="B1149" s="4" t="str">
        <f>IFERROR(__xludf.DUMMYFUNCTION("""COMPUTED_VALUE"""),"Mts. Cadena plástico 10 m/m N/A")</f>
        <v>Mts. Cadena plástico 10 m/m N/A</v>
      </c>
      <c r="C1149" s="4">
        <f>IFERROR(__xludf.DUMMYFUNCTION("""COMPUTED_VALUE"""),1.008)</f>
        <v>1.008</v>
      </c>
    </row>
    <row r="1150">
      <c r="A1150" s="4" t="str">
        <f>IFERROR(__xludf.DUMMYFUNCTION("""COMPUTED_VALUE"""),"1125")</f>
        <v>1125</v>
      </c>
      <c r="B1150" s="4" t="str">
        <f>IFERROR(__xludf.DUMMYFUNCTION("""COMPUTED_VALUE"""),"Poste señaliz. 1 m Rojo/Blanco p/cadena plastica")</f>
        <v>Poste señaliz. 1 m Rojo/Blanco p/cadena plastica</v>
      </c>
      <c r="C1150" s="4">
        <f>IFERROR(__xludf.DUMMYFUNCTION("""COMPUTED_VALUE"""),6.192)</f>
        <v>6.192</v>
      </c>
    </row>
    <row r="1151">
      <c r="A1151" s="4" t="str">
        <f>IFERROR(__xludf.DUMMYFUNCTION("""COMPUTED_VALUE"""),"1125AN")</f>
        <v>1125AN</v>
      </c>
      <c r="B1151" s="4" t="str">
        <f>IFERROR(__xludf.DUMMYFUNCTION("""COMPUTED_VALUE"""),"Poste señaliz. 1 m Amarillo/negro p/cadena plastica")</f>
        <v>Poste señaliz. 1 m Amarillo/negro p/cadena plastica</v>
      </c>
      <c r="C1151" s="4">
        <f>IFERROR(__xludf.DUMMYFUNCTION("""COMPUTED_VALUE"""),6.192)</f>
        <v>6.192</v>
      </c>
    </row>
    <row r="1152">
      <c r="A1152" s="4" t="str">
        <f>IFERROR(__xludf.DUMMYFUNCTION("""COMPUTED_VALUE"""),"1125BZ")</f>
        <v>1125BZ</v>
      </c>
      <c r="B1152" s="4" t="str">
        <f>IFERROR(__xludf.DUMMYFUNCTION("""COMPUTED_VALUE"""),"Poste señaliz. 1 m Azul/Blanco p/cadena plastica")</f>
        <v>Poste señaliz. 1 m Azul/Blanco p/cadena plastica</v>
      </c>
      <c r="C1152" s="4">
        <f>IFERROR(__xludf.DUMMYFUNCTION("""COMPUTED_VALUE"""),6.192)</f>
        <v>6.192</v>
      </c>
    </row>
    <row r="1153">
      <c r="A1153" s="4" t="str">
        <f>IFERROR(__xludf.DUMMYFUNCTION("""COMPUTED_VALUE"""),"1125VB")</f>
        <v>1125VB</v>
      </c>
      <c r="B1153" s="4" t="str">
        <f>IFERROR(__xludf.DUMMYFUNCTION("""COMPUTED_VALUE"""),"Poste señaliz. 1 m Verde/Blanco p/cadena plastica")</f>
        <v>Poste señaliz. 1 m Verde/Blanco p/cadena plastica</v>
      </c>
      <c r="C1153" s="4">
        <f>IFERROR(__xludf.DUMMYFUNCTION("""COMPUTED_VALUE"""),6.192)</f>
        <v>6.192</v>
      </c>
    </row>
    <row r="1154">
      <c r="A1154" s="4" t="str">
        <f>IFERROR(__xludf.DUMMYFUNCTION("""COMPUTED_VALUE"""),"1126")</f>
        <v>1126</v>
      </c>
      <c r="B1154" s="4" t="str">
        <f>IFERROR(__xludf.DUMMYFUNCTION("""COMPUTED_VALUE"""),"Mts. Cadena Plástico 5.5 m/m R/B")</f>
        <v>Mts. Cadena Plástico 5.5 m/m R/B</v>
      </c>
      <c r="C1154" s="4">
        <f>IFERROR(__xludf.DUMMYFUNCTION("""COMPUTED_VALUE"""),0.624)</f>
        <v>0.624</v>
      </c>
    </row>
    <row r="1155">
      <c r="A1155" s="4" t="str">
        <f>IFERROR(__xludf.DUMMYFUNCTION("""COMPUTED_VALUE"""),"1126B")</f>
        <v>1126B</v>
      </c>
      <c r="B1155" s="4" t="str">
        <f>IFERROR(__xludf.DUMMYFUNCTION("""COMPUTED_VALUE"""),"Mts. cadena Plástico 5.5 mm Blanca")</f>
        <v>Mts. cadena Plástico 5.5 mm Blanca</v>
      </c>
      <c r="C1155" s="4">
        <f>IFERROR(__xludf.DUMMYFUNCTION("""COMPUTED_VALUE"""),0.624)</f>
        <v>0.624</v>
      </c>
    </row>
    <row r="1156">
      <c r="A1156" s="4" t="str">
        <f>IFERROR(__xludf.DUMMYFUNCTION("""COMPUTED_VALUE"""),"1126BZ")</f>
        <v>1126BZ</v>
      </c>
      <c r="B1156" s="4" t="str">
        <f>IFERROR(__xludf.DUMMYFUNCTION("""COMPUTED_VALUE"""),"Mts. Cadena Plástico 5.5 m/m B/Z")</f>
        <v>Mts. Cadena Plástico 5.5 m/m B/Z</v>
      </c>
      <c r="C1156" s="4">
        <f>IFERROR(__xludf.DUMMYFUNCTION("""COMPUTED_VALUE"""),0.624)</f>
        <v>0.624</v>
      </c>
    </row>
    <row r="1157">
      <c r="A1157" s="4" t="str">
        <f>IFERROR(__xludf.DUMMYFUNCTION("""COMPUTED_VALUE"""),"1126M3")</f>
        <v>1126M3</v>
      </c>
      <c r="B1157" s="4" t="str">
        <f>IFERROR(__xludf.DUMMYFUNCTION("""COMPUTED_VALUE"""),"Rollo 165 m cadena metálica señalización cincada 3 mm")</f>
        <v>Rollo 165 m cadena metálica señalización cincada 3 mm</v>
      </c>
      <c r="C1157" s="4">
        <f>IFERROR(__xludf.DUMMYFUNCTION("""COMPUTED_VALUE"""),113.39999999999999)</f>
        <v>113.4</v>
      </c>
    </row>
    <row r="1158">
      <c r="A1158" s="4" t="str">
        <f>IFERROR(__xludf.DUMMYFUNCTION("""COMPUTED_VALUE"""),"1126M6")</f>
        <v>1126M6</v>
      </c>
      <c r="B1158" s="4" t="str">
        <f>IFERROR(__xludf.DUMMYFUNCTION("""COMPUTED_VALUE"""),"Rollo 38 m cadena metálica señalización cincada 6 mm")</f>
        <v>Rollo 38 m cadena metálica señalización cincada 6 mm</v>
      </c>
      <c r="C1158" s="4">
        <f>IFERROR(__xludf.DUMMYFUNCTION("""COMPUTED_VALUE"""),95.03999999999999)</f>
        <v>95.04</v>
      </c>
    </row>
    <row r="1159">
      <c r="A1159" s="4" t="str">
        <f>IFERROR(__xludf.DUMMYFUNCTION("""COMPUTED_VALUE"""),"1126M8")</f>
        <v>1126M8</v>
      </c>
      <c r="B1159" s="4" t="str">
        <f>IFERROR(__xludf.DUMMYFUNCTION("""COMPUTED_VALUE"""),"Rollo 21 m cadena metálica señalización cincada 8 mm")</f>
        <v>Rollo 21 m cadena metálica señalización cincada 8 mm</v>
      </c>
      <c r="C1159" s="4">
        <f>IFERROR(__xludf.DUMMYFUNCTION("""COMPUTED_VALUE"""),88.8)</f>
        <v>88.8</v>
      </c>
    </row>
    <row r="1160">
      <c r="A1160" s="4" t="str">
        <f>IFERROR(__xludf.DUMMYFUNCTION("""COMPUTED_VALUE"""),"1126MNA")</f>
        <v>1126MNA</v>
      </c>
      <c r="B1160" s="4" t="str">
        <f>IFERROR(__xludf.DUMMYFUNCTION("""COMPUTED_VALUE"""),"Rollo 25 m cadena metálica Señalización pintada")</f>
        <v>Rollo 25 m cadena metálica Señalización pintada</v>
      </c>
      <c r="C1160" s="4">
        <f>IFERROR(__xludf.DUMMYFUNCTION("""COMPUTED_VALUE"""),86.39999999999999)</f>
        <v>86.4</v>
      </c>
    </row>
    <row r="1161">
      <c r="A1161" s="4" t="str">
        <f>IFERROR(__xludf.DUMMYFUNCTION("""COMPUTED_VALUE"""),"1126MRB")</f>
        <v>1126MRB</v>
      </c>
      <c r="B1161" s="4" t="str">
        <f>IFERROR(__xludf.DUMMYFUNCTION("""COMPUTED_VALUE"""),"Rollo 25 m cadena metálica Señalización pintada")</f>
        <v>Rollo 25 m cadena metálica Señalización pintada</v>
      </c>
      <c r="C1161" s="4">
        <f>IFERROR(__xludf.DUMMYFUNCTION("""COMPUTED_VALUE"""),86.39999999999999)</f>
        <v>86.4</v>
      </c>
    </row>
    <row r="1162">
      <c r="A1162" s="4" t="str">
        <f>IFERROR(__xludf.DUMMYFUNCTION("""COMPUTED_VALUE"""),"1126V")</f>
        <v>1126V</v>
      </c>
      <c r="B1162" s="4" t="str">
        <f>IFERROR(__xludf.DUMMYFUNCTION("""COMPUTED_VALUE"""),"Mts. Cadena Plástico 5.5 mm Verde")</f>
        <v>Mts. Cadena Plástico 5.5 mm Verde</v>
      </c>
      <c r="C1162" s="4">
        <f>IFERROR(__xludf.DUMMYFUNCTION("""COMPUTED_VALUE"""),0.624)</f>
        <v>0.624</v>
      </c>
    </row>
    <row r="1163">
      <c r="A1163" s="4" t="str">
        <f>IFERROR(__xludf.DUMMYFUNCTION("""COMPUTED_VALUE"""),"1126VB")</f>
        <v>1126VB</v>
      </c>
      <c r="B1163" s="4" t="str">
        <f>IFERROR(__xludf.DUMMYFUNCTION("""COMPUTED_VALUE"""),"Mts. Cadena Plástico 5.5 mm V/B")</f>
        <v>Mts. Cadena Plástico 5.5 mm V/B</v>
      </c>
      <c r="C1163" s="4">
        <f>IFERROR(__xludf.DUMMYFUNCTION("""COMPUTED_VALUE"""),0.624)</f>
        <v>0.624</v>
      </c>
    </row>
    <row r="1164">
      <c r="A1164" s="4" t="str">
        <f>IFERROR(__xludf.DUMMYFUNCTION("""COMPUTED_VALUE"""),"1127")</f>
        <v>1127</v>
      </c>
      <c r="B1164" s="4" t="str">
        <f>IFERROR(__xludf.DUMMYFUNCTION("""COMPUTED_VALUE"""),"Mts. Cadena plastico 7.5 mm R/B")</f>
        <v>Mts. Cadena plastico 7.5 mm R/B</v>
      </c>
      <c r="C1164" s="4">
        <f>IFERROR(__xludf.DUMMYFUNCTION("""COMPUTED_VALUE"""),0.7488)</f>
        <v>0.7488</v>
      </c>
    </row>
    <row r="1165">
      <c r="A1165" s="4" t="str">
        <f>IFERROR(__xludf.DUMMYFUNCTION("""COMPUTED_VALUE"""),"1127B")</f>
        <v>1127B</v>
      </c>
      <c r="B1165" s="4" t="str">
        <f>IFERROR(__xludf.DUMMYFUNCTION("""COMPUTED_VALUE"""),"Mts. cadena Plástico 7.5 mm Blanca")</f>
        <v>Mts. cadena Plástico 7.5 mm Blanca</v>
      </c>
      <c r="C1165" s="4">
        <f>IFERROR(__xludf.DUMMYFUNCTION("""COMPUTED_VALUE"""),0.7488)</f>
        <v>0.7488</v>
      </c>
    </row>
    <row r="1166">
      <c r="A1166" s="4" t="str">
        <f>IFERROR(__xludf.DUMMYFUNCTION("""COMPUTED_VALUE"""),"1127BZ")</f>
        <v>1127BZ</v>
      </c>
      <c r="B1166" s="4" t="str">
        <f>IFERROR(__xludf.DUMMYFUNCTION("""COMPUTED_VALUE"""),"Mts. Cadena Plástico 7.5 mm B/Z")</f>
        <v>Mts. Cadena Plástico 7.5 mm B/Z</v>
      </c>
      <c r="C1166" s="4">
        <f>IFERROR(__xludf.DUMMYFUNCTION("""COMPUTED_VALUE"""),0.7488)</f>
        <v>0.7488</v>
      </c>
    </row>
    <row r="1167">
      <c r="A1167" s="4" t="str">
        <f>IFERROR(__xludf.DUMMYFUNCTION("""COMPUTED_VALUE"""),"1127V")</f>
        <v>1127V</v>
      </c>
      <c r="B1167" s="4" t="str">
        <f>IFERROR(__xludf.DUMMYFUNCTION("""COMPUTED_VALUE"""),"Mts. cadena Plástico 7.5 mm Verde")</f>
        <v>Mts. cadena Plástico 7.5 mm Verde</v>
      </c>
      <c r="C1167" s="4">
        <f>IFERROR(__xludf.DUMMYFUNCTION("""COMPUTED_VALUE"""),0.7488)</f>
        <v>0.7488</v>
      </c>
    </row>
    <row r="1168">
      <c r="A1168" s="4" t="str">
        <f>IFERROR(__xludf.DUMMYFUNCTION("""COMPUTED_VALUE"""),"1127VB")</f>
        <v>1127VB</v>
      </c>
      <c r="B1168" s="4" t="str">
        <f>IFERROR(__xludf.DUMMYFUNCTION("""COMPUTED_VALUE"""),"Mts. Cadena Plástico 7.5 mm V/B")</f>
        <v>Mts. Cadena Plástico 7.5 mm V/B</v>
      </c>
      <c r="C1168" s="4">
        <f>IFERROR(__xludf.DUMMYFUNCTION("""COMPUTED_VALUE"""),0.7488)</f>
        <v>0.7488</v>
      </c>
    </row>
    <row r="1169">
      <c r="A1169" s="4" t="str">
        <f>IFERROR(__xludf.DUMMYFUNCTION("""COMPUTED_VALUE"""),"1128")</f>
        <v>1128</v>
      </c>
      <c r="B1169" s="4" t="str">
        <f>IFERROR(__xludf.DUMMYFUNCTION("""COMPUTED_VALUE"""),"Mts. Cadena plastico 5.5mm N/A")</f>
        <v>Mts. Cadena plastico 5.5mm N/A</v>
      </c>
      <c r="C1169" s="4">
        <f>IFERROR(__xludf.DUMMYFUNCTION("""COMPUTED_VALUE"""),0.624)</f>
        <v>0.624</v>
      </c>
    </row>
    <row r="1170">
      <c r="A1170" s="4" t="str">
        <f>IFERROR(__xludf.DUMMYFUNCTION("""COMPUTED_VALUE"""),"1129")</f>
        <v>1129</v>
      </c>
      <c r="B1170" s="4" t="str">
        <f>IFERROR(__xludf.DUMMYFUNCTION("""COMPUTED_VALUE"""),"Mts. Cadena plastico 7.5 mm N/A")</f>
        <v>Mts. Cadena plastico 7.5 mm N/A</v>
      </c>
      <c r="C1170" s="4">
        <f>IFERROR(__xludf.DUMMYFUNCTION("""COMPUTED_VALUE"""),0.7488)</f>
        <v>0.7488</v>
      </c>
    </row>
    <row r="1171">
      <c r="A1171" s="4" t="str">
        <f>IFERROR(__xludf.DUMMYFUNCTION("""COMPUTED_VALUE"""),"1132")</f>
        <v>1132</v>
      </c>
      <c r="B1171" s="4" t="str">
        <f>IFERROR(__xludf.DUMMYFUNCTION("""COMPUTED_VALUE"""),"Poste plata con cinturón retráctil rojo 2 m")</f>
        <v>Poste plata con cinturón retráctil rojo 2 m</v>
      </c>
      <c r="C1171" s="4">
        <f>IFERROR(__xludf.DUMMYFUNCTION("""COMPUTED_VALUE"""),23.04)</f>
        <v>23.04</v>
      </c>
    </row>
    <row r="1172">
      <c r="A1172" s="4" t="str">
        <f>IFERROR(__xludf.DUMMYFUNCTION("""COMPUTED_VALUE"""),"11325M")</f>
        <v>11325M</v>
      </c>
      <c r="B1172" s="4" t="str">
        <f>IFERROR(__xludf.DUMMYFUNCTION("""COMPUTED_VALUE"""),"Poste plata con cinturón retráctil rojo 5 m")</f>
        <v>Poste plata con cinturón retráctil rojo 5 m</v>
      </c>
      <c r="C1172" s="4">
        <f>IFERROR(__xludf.DUMMYFUNCTION("""COMPUTED_VALUE"""),29.759999999999998)</f>
        <v>29.76</v>
      </c>
    </row>
    <row r="1173">
      <c r="A1173" s="4" t="str">
        <f>IFERROR(__xludf.DUMMYFUNCTION("""COMPUTED_VALUE"""),"1132A")</f>
        <v>1132A</v>
      </c>
      <c r="B1173" s="4" t="str">
        <f>IFERROR(__xludf.DUMMYFUNCTION("""COMPUTED_VALUE"""),"Poste plata con cinturón retráctil azul 2 m")</f>
        <v>Poste plata con cinturón retráctil azul 2 m</v>
      </c>
      <c r="C1173" s="4">
        <f>IFERROR(__xludf.DUMMYFUNCTION("""COMPUTED_VALUE"""),23.04)</f>
        <v>23.04</v>
      </c>
    </row>
    <row r="1174">
      <c r="A1174" s="4" t="str">
        <f>IFERROR(__xludf.DUMMYFUNCTION("""COMPUTED_VALUE"""),"1132A5M")</f>
        <v>1132A5M</v>
      </c>
      <c r="B1174" s="4" t="str">
        <f>IFERROR(__xludf.DUMMYFUNCTION("""COMPUTED_VALUE"""),"Poste plata con cinturón retráctil azul 5 m")</f>
        <v>Poste plata con cinturón retráctil azul 5 m</v>
      </c>
      <c r="C1174" s="4">
        <f>IFERROR(__xludf.DUMMYFUNCTION("""COMPUTED_VALUE"""),29.759999999999998)</f>
        <v>29.76</v>
      </c>
    </row>
    <row r="1175">
      <c r="A1175" s="4" t="str">
        <f>IFERROR(__xludf.DUMMYFUNCTION("""COMPUTED_VALUE"""),"1132N")</f>
        <v>1132N</v>
      </c>
      <c r="B1175" s="4" t="str">
        <f>IFERROR(__xludf.DUMMYFUNCTION("""COMPUTED_VALUE"""),"Poste plata con cinturón retráctil negro 2 m")</f>
        <v>Poste plata con cinturón retráctil negro 2 m</v>
      </c>
      <c r="C1175" s="4">
        <f>IFERROR(__xludf.DUMMYFUNCTION("""COMPUTED_VALUE"""),23.04)</f>
        <v>23.04</v>
      </c>
    </row>
    <row r="1176">
      <c r="A1176" s="4" t="str">
        <f>IFERROR(__xludf.DUMMYFUNCTION("""COMPUTED_VALUE"""),"1132N5M")</f>
        <v>1132N5M</v>
      </c>
      <c r="B1176" s="4" t="str">
        <f>IFERROR(__xludf.DUMMYFUNCTION("""COMPUTED_VALUE"""),"Poste plata con cinturón retráctil negro 5 m")</f>
        <v>Poste plata con cinturón retráctil negro 5 m</v>
      </c>
      <c r="C1176" s="4">
        <f>IFERROR(__xludf.DUMMYFUNCTION("""COMPUTED_VALUE"""),29.759999999999998)</f>
        <v>29.76</v>
      </c>
    </row>
    <row r="1177">
      <c r="A1177" s="4" t="str">
        <f>IFERROR(__xludf.DUMMYFUNCTION("""COMPUTED_VALUE"""),"1133")</f>
        <v>1133</v>
      </c>
      <c r="B1177" s="4" t="str">
        <f>IFERROR(__xludf.DUMMYFUNCTION("""COMPUTED_VALUE"""),"Cinturón Retráctil Pared rojo 2 m")</f>
        <v>Cinturón Retráctil Pared rojo 2 m</v>
      </c>
      <c r="C1177" s="4">
        <f>IFERROR(__xludf.DUMMYFUNCTION("""COMPUTED_VALUE"""),16.272)</f>
        <v>16.272</v>
      </c>
    </row>
    <row r="1178">
      <c r="A1178" s="4" t="str">
        <f>IFERROR(__xludf.DUMMYFUNCTION("""COMPUTED_VALUE"""),"11335M")</f>
        <v>11335M</v>
      </c>
      <c r="B1178" s="4" t="str">
        <f>IFERROR(__xludf.DUMMYFUNCTION("""COMPUTED_VALUE"""),"Cinturón Retráctil Pared rojo 5 m")</f>
        <v>Cinturón Retráctil Pared rojo 5 m</v>
      </c>
      <c r="C1178" s="4">
        <f>IFERROR(__xludf.DUMMYFUNCTION("""COMPUTED_VALUE"""),27.84)</f>
        <v>27.84</v>
      </c>
    </row>
    <row r="1179">
      <c r="A1179" s="4" t="str">
        <f>IFERROR(__xludf.DUMMYFUNCTION("""COMPUTED_VALUE"""),"1133A")</f>
        <v>1133A</v>
      </c>
      <c r="B1179" s="4" t="str">
        <f>IFERROR(__xludf.DUMMYFUNCTION("""COMPUTED_VALUE"""),"Enganche pared para cinturón retráctil")</f>
        <v>Enganche pared para cinturón retráctil</v>
      </c>
      <c r="C1179" s="4">
        <f>IFERROR(__xludf.DUMMYFUNCTION("""COMPUTED_VALUE"""),1.44)</f>
        <v>1.44</v>
      </c>
    </row>
    <row r="1180">
      <c r="A1180" s="4" t="str">
        <f>IFERROR(__xludf.DUMMYFUNCTION("""COMPUTED_VALUE"""),"1133A5M")</f>
        <v>1133A5M</v>
      </c>
      <c r="B1180" s="4" t="str">
        <f>IFERROR(__xludf.DUMMYFUNCTION("""COMPUTED_VALUE"""),"Cinturón Retráctil Pared azul 5 m")</f>
        <v>Cinturón Retráctil Pared azul 5 m</v>
      </c>
      <c r="C1180" s="4">
        <f>IFERROR(__xludf.DUMMYFUNCTION("""COMPUTED_VALUE"""),27.84)</f>
        <v>27.84</v>
      </c>
    </row>
    <row r="1181">
      <c r="A1181" s="4" t="str">
        <f>IFERROR(__xludf.DUMMYFUNCTION("""COMPUTED_VALUE"""),"1133N")</f>
        <v>1133N</v>
      </c>
      <c r="B1181" s="4" t="str">
        <f>IFERROR(__xludf.DUMMYFUNCTION("""COMPUTED_VALUE"""),"Cinturón Retráctil Pared negro 2m")</f>
        <v>Cinturón Retráctil Pared negro 2m</v>
      </c>
      <c r="C1181" s="4">
        <f>IFERROR(__xludf.DUMMYFUNCTION("""COMPUTED_VALUE"""),16.272)</f>
        <v>16.272</v>
      </c>
    </row>
    <row r="1182">
      <c r="A1182" s="4" t="str">
        <f>IFERROR(__xludf.DUMMYFUNCTION("""COMPUTED_VALUE"""),"1133N5M")</f>
        <v>1133N5M</v>
      </c>
      <c r="B1182" s="4" t="str">
        <f>IFERROR(__xludf.DUMMYFUNCTION("""COMPUTED_VALUE"""),"Cinturón Retráctil Pared negro 5 m")</f>
        <v>Cinturón Retráctil Pared negro 5 m</v>
      </c>
      <c r="C1182" s="4">
        <f>IFERROR(__xludf.DUMMYFUNCTION("""COMPUTED_VALUE"""),27.84)</f>
        <v>27.84</v>
      </c>
    </row>
    <row r="1183">
      <c r="A1183" s="4" t="str">
        <f>IFERROR(__xludf.DUMMYFUNCTION("""COMPUTED_VALUE"""),"1134")</f>
        <v>1134</v>
      </c>
      <c r="B1183" s="4" t="str">
        <f>IFERROR(__xludf.DUMMYFUNCTION("""COMPUTED_VALUE"""),"Poste Negro con cinturón retráctil rojo 2 m")</f>
        <v>Poste Negro con cinturón retráctil rojo 2 m</v>
      </c>
      <c r="C1183" s="4">
        <f>IFERROR(__xludf.DUMMYFUNCTION("""COMPUTED_VALUE"""),23.52)</f>
        <v>23.52</v>
      </c>
    </row>
    <row r="1184">
      <c r="A1184" s="4" t="str">
        <f>IFERROR(__xludf.DUMMYFUNCTION("""COMPUTED_VALUE"""),"1134A")</f>
        <v>1134A</v>
      </c>
      <c r="B1184" s="4" t="str">
        <f>IFERROR(__xludf.DUMMYFUNCTION("""COMPUTED_VALUE"""),"Poste Negro con cinturón retráctil azul 2 m")</f>
        <v>Poste Negro con cinturón retráctil azul 2 m</v>
      </c>
      <c r="C1184" s="4">
        <f>IFERROR(__xludf.DUMMYFUNCTION("""COMPUTED_VALUE"""),23.04)</f>
        <v>23.04</v>
      </c>
    </row>
    <row r="1185">
      <c r="A1185" s="4" t="str">
        <f>IFERROR(__xludf.DUMMYFUNCTION("""COMPUTED_VALUE"""),"1134N")</f>
        <v>1134N</v>
      </c>
      <c r="B1185" s="4" t="str">
        <f>IFERROR(__xludf.DUMMYFUNCTION("""COMPUTED_VALUE"""),"Poste negro con cinturón retráctil negro 2 m")</f>
        <v>Poste negro con cinturón retráctil negro 2 m</v>
      </c>
      <c r="C1185" s="4">
        <f>IFERROR(__xludf.DUMMYFUNCTION("""COMPUTED_VALUE"""),23.04)</f>
        <v>23.04</v>
      </c>
    </row>
    <row r="1186">
      <c r="A1186" s="4" t="str">
        <f>IFERROR(__xludf.DUMMYFUNCTION("""COMPUTED_VALUE"""),"1134NA")</f>
        <v>1134NA</v>
      </c>
      <c r="B1186" s="4" t="str">
        <f>IFERROR(__xludf.DUMMYFUNCTION("""COMPUTED_VALUE"""),"Poste negro con cinturón retráctil negro/amarillo 5 m")</f>
        <v>Poste negro con cinturón retráctil negro/amarillo 5 m</v>
      </c>
      <c r="C1186" s="4">
        <f>IFERROR(__xludf.DUMMYFUNCTION("""COMPUTED_VALUE"""),23.04)</f>
        <v>23.04</v>
      </c>
    </row>
    <row r="1187">
      <c r="A1187" s="4" t="str">
        <f>IFERROR(__xludf.DUMMYFUNCTION("""COMPUTED_VALUE"""),"1134RB")</f>
        <v>1134RB</v>
      </c>
      <c r="B1187" s="4" t="str">
        <f>IFERROR(__xludf.DUMMYFUNCTION("""COMPUTED_VALUE"""),"Poste negro con cinturón retráctil rojo/blanco 5 m")</f>
        <v>Poste negro con cinturón retráctil rojo/blanco 5 m</v>
      </c>
      <c r="C1187" s="4">
        <f>IFERROR(__xludf.DUMMYFUNCTION("""COMPUTED_VALUE"""),23.04)</f>
        <v>23.04</v>
      </c>
    </row>
    <row r="1188">
      <c r="A1188" s="4" t="str">
        <f>IFERROR(__xludf.DUMMYFUNCTION("""COMPUTED_VALUE"""),"1135")</f>
        <v>1135</v>
      </c>
      <c r="B1188" s="4" t="str">
        <f>IFERROR(__xludf.DUMMYFUNCTION("""COMPUTED_VALUE"""),"Cinturón retractil pared azul 2 m")</f>
        <v>Cinturón retractil pared azul 2 m</v>
      </c>
      <c r="C1188" s="4">
        <f>IFERROR(__xludf.DUMMYFUNCTION("""COMPUTED_VALUE"""),16.272)</f>
        <v>16.272</v>
      </c>
    </row>
    <row r="1189">
      <c r="A1189" s="4" t="str">
        <f>IFERROR(__xludf.DUMMYFUNCTION("""COMPUTED_VALUE"""),"1136")</f>
        <v>1136</v>
      </c>
      <c r="B1189" s="4" t="str">
        <f>IFERROR(__xludf.DUMMYFUNCTION("""COMPUTED_VALUE"""),"Poste R/B para cadena con base hexagonal pesada")</f>
        <v>Poste R/B para cadena con base hexagonal pesada</v>
      </c>
      <c r="C1189" s="4">
        <f>IFERROR(__xludf.DUMMYFUNCTION("""COMPUTED_VALUE"""),9.072)</f>
        <v>9.072</v>
      </c>
    </row>
    <row r="1190">
      <c r="A1190" s="4" t="str">
        <f>IFERROR(__xludf.DUMMYFUNCTION("""COMPUTED_VALUE"""),"1138")</f>
        <v>1138</v>
      </c>
      <c r="B1190" s="4" t="str">
        <f>IFERROR(__xludf.DUMMYFUNCTION("""COMPUTED_VALUE"""),"Poste señaliz. R/B p/cadena plastica base caucho 3 kg")</f>
        <v>Poste señaliz. R/B p/cadena plastica base caucho 3 kg</v>
      </c>
      <c r="C1190" s="4">
        <f>IFERROR(__xludf.DUMMYFUNCTION("""COMPUTED_VALUE"""),7.4399999999999995)</f>
        <v>7.44</v>
      </c>
    </row>
    <row r="1191">
      <c r="A1191" s="4" t="str">
        <f>IFERROR(__xludf.DUMMYFUNCTION("""COMPUTED_VALUE"""),"1139")</f>
        <v>1139</v>
      </c>
      <c r="B1191" s="4" t="str">
        <f>IFERROR(__xludf.DUMMYFUNCTION("""COMPUTED_VALUE"""),"Poste señaliz. N/A p/cadena plastica base caucho 3 kg")</f>
        <v>Poste señaliz. N/A p/cadena plastica base caucho 3 kg</v>
      </c>
      <c r="C1191" s="4">
        <f>IFERROR(__xludf.DUMMYFUNCTION("""COMPUTED_VALUE"""),7.4399999999999995)</f>
        <v>7.44</v>
      </c>
    </row>
    <row r="1192">
      <c r="A1192" s="4" t="str">
        <f>IFERROR(__xludf.DUMMYFUNCTION("""COMPUTED_VALUE"""),"1520")</f>
        <v>1520</v>
      </c>
      <c r="B1192" s="4" t="str">
        <f>IFERROR(__xludf.DUMMYFUNCTION("""COMPUTED_VALUE"""),"Cinta Creppe 48 mm x 45 m")</f>
        <v>Cinta Creppe 48 mm x 45 m</v>
      </c>
      <c r="C1192" s="4">
        <f>IFERROR(__xludf.DUMMYFUNCTION("""COMPUTED_VALUE"""),1.392)</f>
        <v>1.392</v>
      </c>
    </row>
    <row r="1193">
      <c r="A1193" s="4" t="str">
        <f>IFERROR(__xludf.DUMMYFUNCTION("""COMPUTED_VALUE"""),"1522")</f>
        <v>1522</v>
      </c>
      <c r="B1193" s="4" t="str">
        <f>IFERROR(__xludf.DUMMYFUNCTION("""COMPUTED_VALUE"""),"Cinta Creppe Azul 48 mm x 45 m")</f>
        <v>Cinta Creppe Azul 48 mm x 45 m</v>
      </c>
      <c r="C1193" s="4">
        <f>IFERROR(__xludf.DUMMYFUNCTION("""COMPUTED_VALUE"""),1.68)</f>
        <v>1.68</v>
      </c>
    </row>
    <row r="1194">
      <c r="A1194" s="4" t="str">
        <f>IFERROR(__xludf.DUMMYFUNCTION("""COMPUTED_VALUE"""),"1523")</f>
        <v>1523</v>
      </c>
      <c r="B1194" s="4" t="str">
        <f>IFERROR(__xludf.DUMMYFUNCTION("""COMPUTED_VALUE"""),"Cinta Creppe Exteriores Azul 48 mm x 45 m")</f>
        <v>Cinta Creppe Exteriores Azul 48 mm x 45 m</v>
      </c>
      <c r="C1194" s="4">
        <f>IFERROR(__xludf.DUMMYFUNCTION("""COMPUTED_VALUE"""),4.992)</f>
        <v>4.992</v>
      </c>
    </row>
    <row r="1195">
      <c r="A1195" s="4" t="str">
        <f>IFERROR(__xludf.DUMMYFUNCTION("""COMPUTED_VALUE"""),"1524")</f>
        <v>1524</v>
      </c>
      <c r="B1195" s="4" t="str">
        <f>IFERROR(__xludf.DUMMYFUNCTION("""COMPUTED_VALUE"""),"Cinta Aluminio 30 my 50 mm x 10 m")</f>
        <v>Cinta Aluminio 30 my 50 mm x 10 m</v>
      </c>
      <c r="C1195" s="4">
        <f>IFERROR(__xludf.DUMMYFUNCTION("""COMPUTED_VALUE"""),0.9119999999999999)</f>
        <v>0.912</v>
      </c>
    </row>
    <row r="1196">
      <c r="A1196" s="4" t="str">
        <f>IFERROR(__xludf.DUMMYFUNCTION("""COMPUTED_VALUE"""),"1525")</f>
        <v>1525</v>
      </c>
      <c r="B1196" s="4" t="str">
        <f>IFERROR(__xludf.DUMMYFUNCTION("""COMPUTED_VALUE"""),"Cinta Aluminio 30 my 50 mm x 45 m")</f>
        <v>Cinta Aluminio 30 my 50 mm x 45 m</v>
      </c>
      <c r="C1196" s="4">
        <f>IFERROR(__xludf.DUMMYFUNCTION("""COMPUTED_VALUE"""),4.08)</f>
        <v>4.08</v>
      </c>
    </row>
    <row r="1197">
      <c r="A1197" s="4" t="str">
        <f>IFERROR(__xludf.DUMMYFUNCTION("""COMPUTED_VALUE"""),"1536")</f>
        <v>1536</v>
      </c>
      <c r="B1197" s="4" t="str">
        <f>IFERROR(__xludf.DUMMYFUNCTION("""COMPUTED_VALUE"""),"Rollo cinta marcaje temporal Amarilla 3M 75 m x 12 cm")</f>
        <v>Rollo cinta marcaje temporal Amarilla 3M 75 m x 12 cm</v>
      </c>
      <c r="C1197" s="4">
        <f>IFERROR(__xludf.DUMMYFUNCTION("""COMPUTED_VALUE"""),438.47999999999996)</f>
        <v>438.48</v>
      </c>
    </row>
    <row r="1198">
      <c r="A1198" s="4" t="str">
        <f>IFERROR(__xludf.DUMMYFUNCTION("""COMPUTED_VALUE"""),"1537")</f>
        <v>1537</v>
      </c>
      <c r="B1198" s="4" t="str">
        <f>IFERROR(__xludf.DUMMYFUNCTION("""COMPUTED_VALUE"""),"Rollo cinta enmascarar Negra 3M 109 m x 15 cm")</f>
        <v>Rollo cinta enmascarar Negra 3M 109 m x 15 cm</v>
      </c>
      <c r="C1198" s="4">
        <f>IFERROR(__xludf.DUMMYFUNCTION("""COMPUTED_VALUE"""),400.68)</f>
        <v>400.68</v>
      </c>
    </row>
    <row r="1199">
      <c r="A1199" s="4" t="str">
        <f>IFERROR(__xludf.DUMMYFUNCTION("""COMPUTED_VALUE"""),"1538")</f>
        <v>1538</v>
      </c>
      <c r="B1199" s="4" t="str">
        <f>IFERROR(__xludf.DUMMYFUNCTION("""COMPUTED_VALUE"""),"Rollo cinta antidelizante luminiscente 2,5 cm x 18,30 mt")</f>
        <v>Rollo cinta antidelizante luminiscente 2,5 cm x 18,30 mt</v>
      </c>
      <c r="C1199" s="4">
        <f>IFERROR(__xludf.DUMMYFUNCTION("""COMPUTED_VALUE"""),45.12)</f>
        <v>45.12</v>
      </c>
    </row>
    <row r="1200">
      <c r="A1200" s="4" t="str">
        <f>IFERROR(__xludf.DUMMYFUNCTION("""COMPUTED_VALUE"""),"1539")</f>
        <v>1539</v>
      </c>
      <c r="B1200" s="4" t="str">
        <f>IFERROR(__xludf.DUMMYFUNCTION("""COMPUTED_VALUE"""),"Rollo Cinta 10cm x 200 m bomberos Roja/blanca")</f>
        <v>Rollo Cinta 10cm x 200 m bomberos Roja/blanca</v>
      </c>
      <c r="C1200" s="4">
        <f>IFERROR(__xludf.DUMMYFUNCTION("""COMPUTED_VALUE"""),7.92)</f>
        <v>7.92</v>
      </c>
    </row>
    <row r="1201">
      <c r="A1201" s="4" t="str">
        <f>IFERROR(__xludf.DUMMYFUNCTION("""COMPUTED_VALUE"""),"1540")</f>
        <v>1540</v>
      </c>
      <c r="B1201" s="4" t="str">
        <f>IFERROR(__xludf.DUMMYFUNCTION("""COMPUTED_VALUE"""),"Rollo cinta antideslizante negra 5cm x 18 mt")</f>
        <v>Rollo cinta antideslizante negra 5cm x 18 mt</v>
      </c>
      <c r="C1201" s="4">
        <f>IFERROR(__xludf.DUMMYFUNCTION("""COMPUTED_VALUE"""),13.68)</f>
        <v>13.68</v>
      </c>
    </row>
    <row r="1202">
      <c r="A1202" s="4" t="str">
        <f>IFERROR(__xludf.DUMMYFUNCTION("""COMPUTED_VALUE"""),"1541")</f>
        <v>1541</v>
      </c>
      <c r="B1202" s="4" t="str">
        <f>IFERROR(__xludf.DUMMYFUNCTION("""COMPUTED_VALUE"""),"Rollo cinta antideslizante N/A 5 cm x 18 mt")</f>
        <v>Rollo cinta antideslizante N/A 5 cm x 18 mt</v>
      </c>
      <c r="C1202" s="4">
        <f>IFERROR(__xludf.DUMMYFUNCTION("""COMPUTED_VALUE"""),13.68)</f>
        <v>13.68</v>
      </c>
    </row>
    <row r="1203">
      <c r="A1203" s="4" t="str">
        <f>IFERROR(__xludf.DUMMYFUNCTION("""COMPUTED_VALUE"""),"1542")</f>
        <v>1542</v>
      </c>
      <c r="B1203" s="4" t="str">
        <f>IFERROR(__xludf.DUMMYFUNCTION("""COMPUTED_VALUE"""),"Rollo cinta antideslizante R/B 5 cm x 18 mt")</f>
        <v>Rollo cinta antideslizante R/B 5 cm x 18 mt</v>
      </c>
      <c r="C1203" s="4">
        <f>IFERROR(__xludf.DUMMYFUNCTION("""COMPUTED_VALUE"""),13.68)</f>
        <v>13.68</v>
      </c>
    </row>
    <row r="1204">
      <c r="A1204" s="4" t="str">
        <f>IFERROR(__xludf.DUMMYFUNCTION("""COMPUTED_VALUE"""),"1547")</f>
        <v>1547</v>
      </c>
      <c r="B1204" s="4" t="str">
        <f>IFERROR(__xludf.DUMMYFUNCTION("""COMPUTED_VALUE"""),"Rollo cinta Blanca 55mm x50 metros DG983-10 ECE 104")</f>
        <v>Rollo cinta Blanca 55mm x50 metros DG983-10 ECE 104</v>
      </c>
      <c r="C1204" s="4">
        <f>IFERROR(__xludf.DUMMYFUNCTION("""COMPUTED_VALUE"""),121.96799999999999)</f>
        <v>121.968</v>
      </c>
    </row>
    <row r="1205">
      <c r="A1205" s="4" t="str">
        <f>IFERROR(__xludf.DUMMYFUNCTION("""COMPUTED_VALUE"""),"1547F")</f>
        <v>1547F</v>
      </c>
      <c r="B1205" s="4" t="str">
        <f>IFERROR(__xludf.DUMMYFUNCTION("""COMPUTED_VALUE"""),"Rollo cinta Blanca 51mm x50 metros DG997-10S")</f>
        <v>Rollo cinta Blanca 51mm x50 metros DG997-10S</v>
      </c>
      <c r="C1205" s="4">
        <f>IFERROR(__xludf.DUMMYFUNCTION("""COMPUTED_VALUE"""),121.96799999999999)</f>
        <v>121.968</v>
      </c>
    </row>
    <row r="1206">
      <c r="A1206" s="4" t="str">
        <f>IFERROR(__xludf.DUMMYFUNCTION("""COMPUTED_VALUE"""),"1548")</f>
        <v>1548</v>
      </c>
      <c r="B1206" s="4" t="str">
        <f>IFERROR(__xludf.DUMMYFUNCTION("""COMPUTED_VALUE"""),"Rollo cinta Rojo 55mm x50metros DG983-72 ECE 1R/CTN")</f>
        <v>Rollo cinta Rojo 55mm x50metros DG983-72 ECE 1R/CTN</v>
      </c>
      <c r="C1206" s="4">
        <f>IFERROR(__xludf.DUMMYFUNCTION("""COMPUTED_VALUE"""),121.96799999999999)</f>
        <v>121.968</v>
      </c>
    </row>
    <row r="1207">
      <c r="A1207" s="4" t="str">
        <f>IFERROR(__xludf.DUMMYFUNCTION("""COMPUTED_VALUE"""),"1548F")</f>
        <v>1548F</v>
      </c>
      <c r="B1207" s="4" t="str">
        <f>IFERROR(__xludf.DUMMYFUNCTION("""COMPUTED_VALUE"""),"Rollo cinta Rojo 51mmx 50 metros DG997-72S")</f>
        <v>Rollo cinta Rojo 51mmx 50 metros DG997-72S</v>
      </c>
      <c r="C1207" s="4">
        <f>IFERROR(__xludf.DUMMYFUNCTION("""COMPUTED_VALUE"""),121.96799999999999)</f>
        <v>121.968</v>
      </c>
    </row>
    <row r="1208">
      <c r="A1208" s="4" t="str">
        <f>IFERROR(__xludf.DUMMYFUNCTION("""COMPUTED_VALUE"""),"1549")</f>
        <v>1549</v>
      </c>
      <c r="B1208" s="4" t="str">
        <f>IFERROR(__xludf.DUMMYFUNCTION("""COMPUTED_VALUE"""),"Rollo cinta amarilla 55MM x50metros DG983-71 ECE 104")</f>
        <v>Rollo cinta amarilla 55MM x50metros DG983-71 ECE 104</v>
      </c>
      <c r="C1208" s="4">
        <f>IFERROR(__xludf.DUMMYFUNCTION("""COMPUTED_VALUE"""),121.96799999999999)</f>
        <v>121.968</v>
      </c>
    </row>
    <row r="1209">
      <c r="A1209" s="4" t="str">
        <f>IFERROR(__xludf.DUMMYFUNCTION("""COMPUTED_VALUE"""),"1549F")</f>
        <v>1549F</v>
      </c>
      <c r="B1209" s="4" t="str">
        <f>IFERROR(__xludf.DUMMYFUNCTION("""COMPUTED_VALUE"""),"Rollo cinta Amarilla 51mm x50 metros DG997-71S")</f>
        <v>Rollo cinta Amarilla 51mm x50 metros DG997-71S</v>
      </c>
      <c r="C1209" s="4">
        <f>IFERROR(__xludf.DUMMYFUNCTION("""COMPUTED_VALUE"""),121.96799999999999)</f>
        <v>121.968</v>
      </c>
    </row>
    <row r="1210">
      <c r="A1210" s="4" t="str">
        <f>IFERROR(__xludf.DUMMYFUNCTION("""COMPUTED_VALUE"""),"1550")</f>
        <v>1550</v>
      </c>
      <c r="B1210" s="4" t="str">
        <f>IFERROR(__xludf.DUMMYFUNCTION("""COMPUTED_VALUE"""),"Rollo cinta reflectante adhesiva blanca 5 cm x 46 metros")</f>
        <v>Rollo cinta reflectante adhesiva blanca 5 cm x 46 metros</v>
      </c>
      <c r="C1210" s="4">
        <f>IFERROR(__xludf.DUMMYFUNCTION("""COMPUTED_VALUE"""),14.304)</f>
        <v>14.304</v>
      </c>
    </row>
    <row r="1211">
      <c r="A1211" s="4" t="str">
        <f>IFERROR(__xludf.DUMMYFUNCTION("""COMPUTED_VALUE"""),"1551")</f>
        <v>1551</v>
      </c>
      <c r="B1211" s="4" t="str">
        <f>IFERROR(__xludf.DUMMYFUNCTION("""COMPUTED_VALUE"""),"Rollo (2 unid izq-dcha)señal. vehiculos V-2 9 mtros x 14,1 cm")</f>
        <v>Rollo (2 unid izq-dcha)señal. vehiculos V-2 9 mtros x 14,1 cm</v>
      </c>
      <c r="C1211" s="4">
        <f>IFERROR(__xludf.DUMMYFUNCTION("""COMPUTED_VALUE"""),163.79999999999998)</f>
        <v>163.8</v>
      </c>
    </row>
    <row r="1212">
      <c r="A1212" s="4" t="str">
        <f>IFERROR(__xludf.DUMMYFUNCTION("""COMPUTED_VALUE"""),"1554")</f>
        <v>1554</v>
      </c>
      <c r="B1212" s="4" t="str">
        <f>IFERROR(__xludf.DUMMYFUNCTION("""COMPUTED_VALUE"""),"Rollo cinta luminiscente adhesiva 5 cm x 25 metros")</f>
        <v>Rollo cinta luminiscente adhesiva 5 cm x 25 metros</v>
      </c>
      <c r="C1212" s="4">
        <f>IFERROR(__xludf.DUMMYFUNCTION("""COMPUTED_VALUE"""),87.36)</f>
        <v>87.36</v>
      </c>
    </row>
    <row r="1213">
      <c r="A1213" s="4" t="str">
        <f>IFERROR(__xludf.DUMMYFUNCTION("""COMPUTED_VALUE"""),"1555")</f>
        <v>1555</v>
      </c>
      <c r="B1213" s="4" t="str">
        <f>IFERROR(__xludf.DUMMYFUNCTION("""COMPUTED_VALUE"""),"Rollo cinta reflectante adhesiva R/B 5 cm x 45 metros")</f>
        <v>Rollo cinta reflectante adhesiva R/B 5 cm x 45 metros</v>
      </c>
      <c r="C1213" s="4">
        <f>IFERROR(__xludf.DUMMYFUNCTION("""COMPUTED_VALUE"""),14.304)</f>
        <v>14.304</v>
      </c>
    </row>
    <row r="1214">
      <c r="A1214" s="4" t="str">
        <f>IFERROR(__xludf.DUMMYFUNCTION("""COMPUTED_VALUE"""),"1556")</f>
        <v>1556</v>
      </c>
      <c r="B1214" s="4" t="str">
        <f>IFERROR(__xludf.DUMMYFUNCTION("""COMPUTED_VALUE"""),"Rollo cinta reflectante adhesiva N/A 5 cm x 45 metros")</f>
        <v>Rollo cinta reflectante adhesiva N/A 5 cm x 45 metros</v>
      </c>
      <c r="C1214" s="4">
        <f>IFERROR(__xludf.DUMMYFUNCTION("""COMPUTED_VALUE"""),14.304)</f>
        <v>14.304</v>
      </c>
    </row>
    <row r="1215">
      <c r="A1215" s="4" t="str">
        <f>IFERROR(__xludf.DUMMYFUNCTION("""COMPUTED_VALUE"""),"1557")</f>
        <v>1557</v>
      </c>
      <c r="B1215" s="4" t="str">
        <f>IFERROR(__xludf.DUMMYFUNCTION("""COMPUTED_VALUE"""),"Rollo Cinta 10 cm reflectante adhesiva R/B 45 metros")</f>
        <v>Rollo Cinta 10 cm reflectante adhesiva R/B 45 metros</v>
      </c>
      <c r="C1215" s="4">
        <f>IFERROR(__xludf.DUMMYFUNCTION("""COMPUTED_VALUE"""),26.208)</f>
        <v>26.208</v>
      </c>
    </row>
    <row r="1216">
      <c r="A1216" s="4" t="str">
        <f>IFERROR(__xludf.DUMMYFUNCTION("""COMPUTED_VALUE"""),"1558")</f>
        <v>1558</v>
      </c>
      <c r="B1216" s="4" t="str">
        <f>IFERROR(__xludf.DUMMYFUNCTION("""COMPUTED_VALUE"""),"Rollo cinta 10 cm reflectante adhesiva N/A 45 metros")</f>
        <v>Rollo cinta 10 cm reflectante adhesiva N/A 45 metros</v>
      </c>
      <c r="C1216" s="4">
        <f>IFERROR(__xludf.DUMMYFUNCTION("""COMPUTED_VALUE"""),26.208)</f>
        <v>26.208</v>
      </c>
    </row>
    <row r="1217">
      <c r="A1217" s="4" t="str">
        <f>IFERROR(__xludf.DUMMYFUNCTION("""COMPUTED_VALUE"""),"1559A")</f>
        <v>1559A</v>
      </c>
      <c r="B1217" s="4" t="str">
        <f>IFERROR(__xludf.DUMMYFUNCTION("""COMPUTED_VALUE"""),"Rollo Cinta Adhesiva personalizada 1 color 5cm x132 mts")</f>
        <v>Rollo Cinta Adhesiva personalizada 1 color 5cm x132 mts</v>
      </c>
      <c r="C1217" s="4">
        <f>IFERROR(__xludf.DUMMYFUNCTION("""COMPUTED_VALUE"""),2.832)</f>
        <v>2.832</v>
      </c>
    </row>
    <row r="1218">
      <c r="A1218" s="4" t="str">
        <f>IFERROR(__xludf.DUMMYFUNCTION("""COMPUTED_VALUE"""),"1559B")</f>
        <v>1559B</v>
      </c>
      <c r="B1218" s="4" t="str">
        <f>IFERROR(__xludf.DUMMYFUNCTION("""COMPUTED_VALUE"""),"Rollo Cinta Adhesiva personalizada 2 colores 5cm x132 mts")</f>
        <v>Rollo Cinta Adhesiva personalizada 2 colores 5cm x132 mts</v>
      </c>
      <c r="C1218" s="4">
        <f>IFERROR(__xludf.DUMMYFUNCTION("""COMPUTED_VALUE"""),3.072)</f>
        <v>3.072</v>
      </c>
    </row>
    <row r="1219">
      <c r="A1219" s="4" t="str">
        <f>IFERROR(__xludf.DUMMYFUNCTION("""COMPUTED_VALUE"""),"1559C")</f>
        <v>1559C</v>
      </c>
      <c r="B1219" s="4" t="str">
        <f>IFERROR(__xludf.DUMMYFUNCTION("""COMPUTED_VALUE"""),"Rollo Cinta Adhesiva personalizada 3 colores 5cm x132 mts")</f>
        <v>Rollo Cinta Adhesiva personalizada 3 colores 5cm x132 mts</v>
      </c>
      <c r="C1219" s="4">
        <f>IFERROR(__xludf.DUMMYFUNCTION("""COMPUTED_VALUE"""),3.552)</f>
        <v>3.552</v>
      </c>
    </row>
    <row r="1220">
      <c r="A1220" s="4" t="str">
        <f>IFERROR(__xludf.DUMMYFUNCTION("""COMPUTED_VALUE"""),"1561A")</f>
        <v>1561A</v>
      </c>
      <c r="B1220" s="4" t="str">
        <f>IFERROR(__xludf.DUMMYFUNCTION("""COMPUTED_VALUE"""),"Cinta adhesiva 50 mm x 132 m Amarillo")</f>
        <v>Cinta adhesiva 50 mm x 132 m Amarillo</v>
      </c>
      <c r="C1220" s="4">
        <f>IFERROR(__xludf.DUMMYFUNCTION("""COMPUTED_VALUE"""),3.264)</f>
        <v>3.264</v>
      </c>
    </row>
    <row r="1221">
      <c r="A1221" s="4" t="str">
        <f>IFERROR(__xludf.DUMMYFUNCTION("""COMPUTED_VALUE"""),"1561B")</f>
        <v>1561B</v>
      </c>
      <c r="B1221" s="4" t="str">
        <f>IFERROR(__xludf.DUMMYFUNCTION("""COMPUTED_VALUE"""),"Cinta adhesiva 50 mm x 132 m Blanco")</f>
        <v>Cinta adhesiva 50 mm x 132 m Blanco</v>
      </c>
      <c r="C1221" s="4">
        <f>IFERROR(__xludf.DUMMYFUNCTION("""COMPUTED_VALUE"""),3.264)</f>
        <v>3.264</v>
      </c>
    </row>
    <row r="1222">
      <c r="A1222" s="4" t="str">
        <f>IFERROR(__xludf.DUMMYFUNCTION("""COMPUTED_VALUE"""),"1561N")</f>
        <v>1561N</v>
      </c>
      <c r="B1222" s="4" t="str">
        <f>IFERROR(__xludf.DUMMYFUNCTION("""COMPUTED_VALUE"""),"Cinta adhesiva 50 mm x 132 m Negro")</f>
        <v>Cinta adhesiva 50 mm x 132 m Negro</v>
      </c>
      <c r="C1222" s="4">
        <f>IFERROR(__xludf.DUMMYFUNCTION("""COMPUTED_VALUE"""),3.264)</f>
        <v>3.264</v>
      </c>
    </row>
    <row r="1223">
      <c r="A1223" s="4" t="str">
        <f>IFERROR(__xludf.DUMMYFUNCTION("""COMPUTED_VALUE"""),"1561R")</f>
        <v>1561R</v>
      </c>
      <c r="B1223" s="4" t="str">
        <f>IFERROR(__xludf.DUMMYFUNCTION("""COMPUTED_VALUE"""),"Cinta adhesiva 50 mm x 132 m Rojo")</f>
        <v>Cinta adhesiva 50 mm x 132 m Rojo</v>
      </c>
      <c r="C1223" s="4">
        <f>IFERROR(__xludf.DUMMYFUNCTION("""COMPUTED_VALUE"""),3.264)</f>
        <v>3.264</v>
      </c>
    </row>
    <row r="1224">
      <c r="A1224" s="4" t="str">
        <f>IFERROR(__xludf.DUMMYFUNCTION("""COMPUTED_VALUE"""),"1561V")</f>
        <v>1561V</v>
      </c>
      <c r="B1224" s="4" t="str">
        <f>IFERROR(__xludf.DUMMYFUNCTION("""COMPUTED_VALUE"""),"Cinta adhesiva 50 mm x 132 m Verde")</f>
        <v>Cinta adhesiva 50 mm x 132 m Verde</v>
      </c>
      <c r="C1224" s="4">
        <f>IFERROR(__xludf.DUMMYFUNCTION("""COMPUTED_VALUE"""),3.264)</f>
        <v>3.264</v>
      </c>
    </row>
    <row r="1225">
      <c r="A1225" s="4" t="str">
        <f>IFERROR(__xludf.DUMMYFUNCTION("""COMPUTED_VALUE"""),"1561Z")</f>
        <v>1561Z</v>
      </c>
      <c r="B1225" s="4" t="str">
        <f>IFERROR(__xludf.DUMMYFUNCTION("""COMPUTED_VALUE"""),"Cinta adhesiva 50 mm x 132 m Azul")</f>
        <v>Cinta adhesiva 50 mm x 132 m Azul</v>
      </c>
      <c r="C1225" s="4">
        <f>IFERROR(__xludf.DUMMYFUNCTION("""COMPUTED_VALUE"""),3.264)</f>
        <v>3.264</v>
      </c>
    </row>
    <row r="1226">
      <c r="A1226" s="4" t="str">
        <f>IFERROR(__xludf.DUMMYFUNCTION("""COMPUTED_VALUE"""),"1562")</f>
        <v>1562</v>
      </c>
      <c r="B1226" s="4" t="str">
        <f>IFERROR(__xludf.DUMMYFUNCTION("""COMPUTED_VALUE"""),"Rollo Cinta Señal. N/A 10cm x 200m. G300 2 caras")</f>
        <v>Rollo Cinta Señal. N/A 10cm x 200m. G300 2 caras</v>
      </c>
      <c r="C1226" s="4">
        <f>IFERROR(__xludf.DUMMYFUNCTION("""COMPUTED_VALUE"""),6.96)</f>
        <v>6.96</v>
      </c>
    </row>
    <row r="1227">
      <c r="A1227" s="4" t="str">
        <f>IFERROR(__xludf.DUMMYFUNCTION("""COMPUTED_VALUE"""),"1563")</f>
        <v>1563</v>
      </c>
      <c r="B1227" s="4" t="str">
        <f>IFERROR(__xludf.DUMMYFUNCTION("""COMPUTED_VALUE"""),"Rollo Cinta Adhesiva N/A 5cm x132 mts")</f>
        <v>Rollo Cinta Adhesiva N/A 5cm x132 mts</v>
      </c>
      <c r="C1227" s="4">
        <f>IFERROR(__xludf.DUMMYFUNCTION("""COMPUTED_VALUE"""),3.7439999999999998)</f>
        <v>3.744</v>
      </c>
    </row>
    <row r="1228">
      <c r="A1228" s="4" t="str">
        <f>IFERROR(__xludf.DUMMYFUNCTION("""COMPUTED_VALUE"""),"1564")</f>
        <v>1564</v>
      </c>
      <c r="B1228" s="4" t="str">
        <f>IFERROR(__xludf.DUMMYFUNCTION("""COMPUTED_VALUE"""),"Rollo Cinta Adhesiva B/R 5cm x132 mts")</f>
        <v>Rollo Cinta Adhesiva B/R 5cm x132 mts</v>
      </c>
      <c r="C1228" s="4">
        <f>IFERROR(__xludf.DUMMYFUNCTION("""COMPUTED_VALUE"""),3.7439999999999998)</f>
        <v>3.744</v>
      </c>
    </row>
    <row r="1229">
      <c r="A1229" s="4" t="str">
        <f>IFERROR(__xludf.DUMMYFUNCTION("""COMPUTED_VALUE"""),"1565")</f>
        <v>1565</v>
      </c>
      <c r="B1229" s="4" t="str">
        <f>IFERROR(__xludf.DUMMYFUNCTION("""COMPUTED_VALUE"""),"Rollo cinta Señal. R/B 10cm X 200m. plata")</f>
        <v>Rollo cinta Señal. R/B 10cm X 200m. plata</v>
      </c>
      <c r="C1229" s="4">
        <f>IFERROR(__xludf.DUMMYFUNCTION("""COMPUTED_VALUE"""),8.831999999999999)</f>
        <v>8.832</v>
      </c>
    </row>
    <row r="1230">
      <c r="A1230" s="4" t="str">
        <f>IFERROR(__xludf.DUMMYFUNCTION("""COMPUTED_VALUE"""),"1566")</f>
        <v>1566</v>
      </c>
      <c r="B1230" s="4" t="str">
        <f>IFERROR(__xludf.DUMMYFUNCTION("""COMPUTED_VALUE"""),"Rollo cinta Señal. R/B10cmx200m. c/caja G400")</f>
        <v>Rollo cinta Señal. R/B10cmx200m. c/caja G400</v>
      </c>
      <c r="C1230" s="4">
        <f>IFERROR(__xludf.DUMMYFUNCTION("""COMPUTED_VALUE"""),7.5648)</f>
        <v>7.5648</v>
      </c>
    </row>
    <row r="1231">
      <c r="A1231" s="4" t="str">
        <f>IFERROR(__xludf.DUMMYFUNCTION("""COMPUTED_VALUE"""),"1567")</f>
        <v>1567</v>
      </c>
      <c r="B1231" s="4" t="str">
        <f>IFERROR(__xludf.DUMMYFUNCTION("""COMPUTED_VALUE"""),"Rollo cinta R/B 10cm x 200m. G400")</f>
        <v>Rollo cinta R/B 10cm x 200m. G400</v>
      </c>
      <c r="C1231" s="4">
        <f>IFERROR(__xludf.DUMMYFUNCTION("""COMPUTED_VALUE"""),7.92)</f>
        <v>7.92</v>
      </c>
    </row>
    <row r="1232">
      <c r="A1232" s="4" t="str">
        <f>IFERROR(__xludf.DUMMYFUNCTION("""COMPUTED_VALUE"""),"1568")</f>
        <v>1568</v>
      </c>
      <c r="B1232" s="4" t="str">
        <f>IFERROR(__xludf.DUMMYFUNCTION("""COMPUTED_VALUE"""),"Rollo cinta Señal. R/B 7cm x 200m. c/caja")</f>
        <v>Rollo cinta Señal. R/B 7cm x 200m. c/caja</v>
      </c>
      <c r="C1232" s="4">
        <f>IFERROR(__xludf.DUMMYFUNCTION("""COMPUTED_VALUE"""),2.16)</f>
        <v>2.16</v>
      </c>
    </row>
    <row r="1233">
      <c r="A1233" s="4" t="str">
        <f>IFERROR(__xludf.DUMMYFUNCTION("""COMPUTED_VALUE"""),"1569")</f>
        <v>1569</v>
      </c>
      <c r="B1233" s="4" t="str">
        <f>IFERROR(__xludf.DUMMYFUNCTION("""COMPUTED_VALUE"""),"Rollo cinta R/B 10cm x 200m. c/caja G300")</f>
        <v>Rollo cinta R/B 10cm x 200m. c/caja G300</v>
      </c>
      <c r="C1233" s="4">
        <f>IFERROR(__xludf.DUMMYFUNCTION("""COMPUTED_VALUE"""),7.776)</f>
        <v>7.776</v>
      </c>
    </row>
    <row r="1234">
      <c r="A1234" s="4" t="str">
        <f>IFERROR(__xludf.DUMMYFUNCTION("""COMPUTED_VALUE"""),"1570")</f>
        <v>1570</v>
      </c>
      <c r="B1234" s="4" t="str">
        <f>IFERROR(__xludf.DUMMYFUNCTION("""COMPUTED_VALUE"""),"Rollo cinta Señal.R-B 10cm x 200m. G300 2 caras")</f>
        <v>Rollo cinta Señal.R-B 10cm x 200m. G300 2 caras</v>
      </c>
      <c r="C1234" s="4">
        <f>IFERROR(__xludf.DUMMYFUNCTION("""COMPUTED_VALUE"""),6.96)</f>
        <v>6.96</v>
      </c>
    </row>
    <row r="1235">
      <c r="A1235" s="4" t="str">
        <f>IFERROR(__xludf.DUMMYFUNCTION("""COMPUTED_VALUE"""),"1570V")</f>
        <v>1570V</v>
      </c>
      <c r="B1235" s="4" t="str">
        <f>IFERROR(__xludf.DUMMYFUNCTION("""COMPUTED_VALUE"""),"Rollo cinta Señal.V/B 10cm x 200 m G300 2 caras")</f>
        <v>Rollo cinta Señal.V/B 10cm x 200 m G300 2 caras</v>
      </c>
      <c r="C1235" s="4">
        <f>IFERROR(__xludf.DUMMYFUNCTION("""COMPUTED_VALUE"""),6.96)</f>
        <v>6.96</v>
      </c>
    </row>
    <row r="1236">
      <c r="A1236" s="4" t="str">
        <f>IFERROR(__xludf.DUMMYFUNCTION("""COMPUTED_VALUE"""),"1570Z")</f>
        <v>1570Z</v>
      </c>
      <c r="B1236" s="4" t="str">
        <f>IFERROR(__xludf.DUMMYFUNCTION("""COMPUTED_VALUE"""),"Rollo cinta Señal. B/A 10 cm x 200m. G300 2 caras")</f>
        <v>Rollo cinta Señal. B/A 10 cm x 200m. G300 2 caras</v>
      </c>
      <c r="C1236" s="4">
        <f>IFERROR(__xludf.DUMMYFUNCTION("""COMPUTED_VALUE"""),6.96)</f>
        <v>6.96</v>
      </c>
    </row>
    <row r="1237">
      <c r="A1237" s="4" t="str">
        <f>IFERROR(__xludf.DUMMYFUNCTION("""COMPUTED_VALUE"""),"1571")</f>
        <v>1571</v>
      </c>
      <c r="B1237" s="4" t="str">
        <f>IFERROR(__xludf.DUMMYFUNCTION("""COMPUTED_VALUE"""),"Rollo cinta Señal. 7cm x 200m. s/caja")</f>
        <v>Rollo cinta Señal. 7cm x 200m. s/caja</v>
      </c>
      <c r="C1237" s="4">
        <f>IFERROR(__xludf.DUMMYFUNCTION("""COMPUTED_VALUE"""),1.9103999999999999)</f>
        <v>1.9104</v>
      </c>
    </row>
    <row r="1238">
      <c r="A1238" s="4" t="str">
        <f>IFERROR(__xludf.DUMMYFUNCTION("""COMPUTED_VALUE"""),"1572")</f>
        <v>1572</v>
      </c>
      <c r="B1238" s="4" t="str">
        <f>IFERROR(__xludf.DUMMYFUNCTION("""COMPUTED_VALUE"""),"Rollo cinta Señal. 15cm x 200m. TELECOMUNICACIONES")</f>
        <v>Rollo cinta Señal. 15cm x 200m. TELECOMUNICACIONES</v>
      </c>
      <c r="C1238" s="4">
        <f>IFERROR(__xludf.DUMMYFUNCTION("""COMPUTED_VALUE"""),11.472)</f>
        <v>11.472</v>
      </c>
    </row>
    <row r="1239">
      <c r="A1239" s="4" t="str">
        <f>IFERROR(__xludf.DUMMYFUNCTION("""COMPUTED_VALUE"""),"1572M")</f>
        <v>1572M</v>
      </c>
      <c r="B1239" s="4" t="str">
        <f>IFERROR(__xludf.DUMMYFUNCTION("""COMPUTED_VALUE"""),"Malla verde señalización telecomunicaciones 33 cm x 200 m")</f>
        <v>Malla verde señalización telecomunicaciones 33 cm x 200 m</v>
      </c>
      <c r="C1239" s="4">
        <f>IFERROR(__xludf.DUMMYFUNCTION("""COMPUTED_VALUE"""),31.68)</f>
        <v>31.68</v>
      </c>
    </row>
    <row r="1240">
      <c r="A1240" s="4" t="str">
        <f>IFERROR(__xludf.DUMMYFUNCTION("""COMPUTED_VALUE"""),"1573")</f>
        <v>1573</v>
      </c>
      <c r="B1240" s="4" t="str">
        <f>IFERROR(__xludf.DUMMYFUNCTION("""COMPUTED_VALUE"""),"Rollo cinta Señal. 15cm x 200m. AGUA")</f>
        <v>Rollo cinta Señal. 15cm x 200m. AGUA</v>
      </c>
      <c r="C1240" s="4">
        <f>IFERROR(__xludf.DUMMYFUNCTION("""COMPUTED_VALUE"""),11.472)</f>
        <v>11.472</v>
      </c>
    </row>
    <row r="1241">
      <c r="A1241" s="4" t="str">
        <f>IFERROR(__xludf.DUMMYFUNCTION("""COMPUTED_VALUE"""),"1573M")</f>
        <v>1573M</v>
      </c>
      <c r="B1241" s="4" t="str">
        <f>IFERROR(__xludf.DUMMYFUNCTION("""COMPUTED_VALUE"""),"Malla azul señalización agua 33 cm x 200 m")</f>
        <v>Malla azul señalización agua 33 cm x 200 m</v>
      </c>
      <c r="C1241" s="4">
        <f>IFERROR(__xludf.DUMMYFUNCTION("""COMPUTED_VALUE"""),31.68)</f>
        <v>31.68</v>
      </c>
    </row>
    <row r="1242">
      <c r="A1242" s="4" t="str">
        <f>IFERROR(__xludf.DUMMYFUNCTION("""COMPUTED_VALUE"""),"1574")</f>
        <v>1574</v>
      </c>
      <c r="B1242" s="4" t="str">
        <f>IFERROR(__xludf.DUMMYFUNCTION("""COMPUTED_VALUE"""),"Rollo cinta Señal. 15cm x 200m. GAS")</f>
        <v>Rollo cinta Señal. 15cm x 200m. GAS</v>
      </c>
      <c r="C1242" s="4">
        <f>IFERROR(__xludf.DUMMYFUNCTION("""COMPUTED_VALUE"""),11.472)</f>
        <v>11.472</v>
      </c>
    </row>
    <row r="1243">
      <c r="A1243" s="4" t="str">
        <f>IFERROR(__xludf.DUMMYFUNCTION("""COMPUTED_VALUE"""),"1574M")</f>
        <v>1574M</v>
      </c>
      <c r="B1243" s="4" t="str">
        <f>IFERROR(__xludf.DUMMYFUNCTION("""COMPUTED_VALUE"""),"Malla amarilla señalización gas 33 cm x 200 m")</f>
        <v>Malla amarilla señalización gas 33 cm x 200 m</v>
      </c>
      <c r="C1243" s="4">
        <f>IFERROR(__xludf.DUMMYFUNCTION("""COMPUTED_VALUE"""),31.68)</f>
        <v>31.68</v>
      </c>
    </row>
    <row r="1244">
      <c r="A1244" s="4" t="str">
        <f>IFERROR(__xludf.DUMMYFUNCTION("""COMPUTED_VALUE"""),"1575")</f>
        <v>1575</v>
      </c>
      <c r="B1244" s="4" t="str">
        <f>IFERROR(__xludf.DUMMYFUNCTION("""COMPUTED_VALUE"""),"Rollo cinta Señal. 15cm x 200m. ELECTRI")</f>
        <v>Rollo cinta Señal. 15cm x 200m. ELECTRI</v>
      </c>
      <c r="C1244" s="4">
        <f>IFERROR(__xludf.DUMMYFUNCTION("""COMPUTED_VALUE"""),11.472)</f>
        <v>11.472</v>
      </c>
    </row>
    <row r="1245">
      <c r="A1245" s="4" t="str">
        <f>IFERROR(__xludf.DUMMYFUNCTION("""COMPUTED_VALUE"""),"1575M")</f>
        <v>1575M</v>
      </c>
      <c r="B1245" s="4" t="str">
        <f>IFERROR(__xludf.DUMMYFUNCTION("""COMPUTED_VALUE"""),"Malla roja señalización electricidad 33 cm x 200 m")</f>
        <v>Malla roja señalización electricidad 33 cm x 200 m</v>
      </c>
      <c r="C1245" s="4">
        <f>IFERROR(__xludf.DUMMYFUNCTION("""COMPUTED_VALUE"""),31.68)</f>
        <v>31.68</v>
      </c>
    </row>
    <row r="1246">
      <c r="A1246" s="4" t="str">
        <f>IFERROR(__xludf.DUMMYFUNCTION("""COMPUTED_VALUE"""),"1575P")</f>
        <v>1575P</v>
      </c>
      <c r="B1246" s="4" t="str">
        <f>IFERROR(__xludf.DUMMYFUNCTION("""COMPUTED_VALUE"""),"Placa señalización eléctrica 1000x250x2.5")</f>
        <v>Placa señalización eléctrica 1000x250x2.5</v>
      </c>
      <c r="C1246" s="4">
        <f>IFERROR(__xludf.DUMMYFUNCTION("""COMPUTED_VALUE"""),1.44)</f>
        <v>1.44</v>
      </c>
    </row>
    <row r="1247">
      <c r="A1247" s="4" t="str">
        <f>IFERROR(__xludf.DUMMYFUNCTION("""COMPUTED_VALUE"""),"1576")</f>
        <v>1576</v>
      </c>
      <c r="B1247" s="4" t="str">
        <f>IFERROR(__xludf.DUMMYFUNCTION("""COMPUTED_VALUE"""),"Rollo cinta Señal. 10cm x 200m. POLICIA")</f>
        <v>Rollo cinta Señal. 10cm x 200m. POLICIA</v>
      </c>
      <c r="C1247" s="4">
        <f>IFERROR(__xludf.DUMMYFUNCTION("""COMPUTED_VALUE"""),8.448)</f>
        <v>8.448</v>
      </c>
    </row>
    <row r="1248">
      <c r="A1248" s="4" t="str">
        <f>IFERROR(__xludf.DUMMYFUNCTION("""COMPUTED_VALUE"""),"1577")</f>
        <v>1577</v>
      </c>
      <c r="B1248" s="4" t="str">
        <f>IFERROR(__xludf.DUMMYFUNCTION("""COMPUTED_VALUE"""),"Rollo cinta adhesiva amarilla suelo marcacion temporal")</f>
        <v>Rollo cinta adhesiva amarilla suelo marcacion temporal</v>
      </c>
      <c r="C1248" s="4">
        <f>IFERROR(__xludf.DUMMYFUNCTION("""COMPUTED_VALUE"""),108.0)</f>
        <v>108</v>
      </c>
    </row>
    <row r="1249">
      <c r="A1249" s="4" t="str">
        <f>IFERROR(__xludf.DUMMYFUNCTION("""COMPUTED_VALUE"""),"1577K")</f>
        <v>1577K</v>
      </c>
      <c r="B1249" s="4" t="str">
        <f>IFERROR(__xludf.DUMMYFUNCTION("""COMPUTED_VALUE"""),"Rollo cinta adhesiva negra suelo marcacion temporal")</f>
        <v>Rollo cinta adhesiva negra suelo marcacion temporal</v>
      </c>
      <c r="C1249" s="4">
        <f>IFERROR(__xludf.DUMMYFUNCTION("""COMPUTED_VALUE"""),108.0)</f>
        <v>108</v>
      </c>
    </row>
    <row r="1250">
      <c r="A1250" s="4" t="str">
        <f>IFERROR(__xludf.DUMMYFUNCTION("""COMPUTED_VALUE"""),"1577W")</f>
        <v>1577W</v>
      </c>
      <c r="B1250" s="4" t="str">
        <f>IFERROR(__xludf.DUMMYFUNCTION("""COMPUTED_VALUE"""),"Rollo cinta adhesiva blanca suelo marcacion temporal")</f>
        <v>Rollo cinta adhesiva blanca suelo marcacion temporal</v>
      </c>
      <c r="C1250" s="4">
        <f>IFERROR(__xludf.DUMMYFUNCTION("""COMPUTED_VALUE"""),108.0)</f>
        <v>108</v>
      </c>
    </row>
    <row r="1251">
      <c r="A1251" s="4" t="str">
        <f>IFERROR(__xludf.DUMMYFUNCTION("""COMPUTED_VALUE"""),"1578")</f>
        <v>1578</v>
      </c>
      <c r="B1251" s="4" t="str">
        <f>IFERROR(__xludf.DUMMYFUNCTION("""COMPUTED_VALUE"""),"Rollo cinta Señal.N/A 10cm x200m c/caja G400")</f>
        <v>Rollo cinta Señal.N/A 10cm x200m c/caja G400</v>
      </c>
      <c r="C1251" s="4">
        <f>IFERROR(__xludf.DUMMYFUNCTION("""COMPUTED_VALUE"""),8.4672)</f>
        <v>8.4672</v>
      </c>
    </row>
    <row r="1252">
      <c r="A1252" s="4" t="str">
        <f>IFERROR(__xludf.DUMMYFUNCTION("""COMPUTED_VALUE"""),"1579")</f>
        <v>1579</v>
      </c>
      <c r="B1252" s="4" t="str">
        <f>IFERROR(__xludf.DUMMYFUNCTION("""COMPUTED_VALUE"""),"Rollo cinta Señal. N/A 10cm. x 200m. G400")</f>
        <v>Rollo cinta Señal. N/A 10cm. x 200m. G400</v>
      </c>
      <c r="C1252" s="4">
        <f>IFERROR(__xludf.DUMMYFUNCTION("""COMPUTED_VALUE"""),7.92)</f>
        <v>7.92</v>
      </c>
    </row>
    <row r="1253">
      <c r="A1253" s="4" t="str">
        <f>IFERROR(__xludf.DUMMYFUNCTION("""COMPUTED_VALUE"""),"1580")</f>
        <v>1580</v>
      </c>
      <c r="B1253" s="4" t="str">
        <f>IFERROR(__xludf.DUMMYFUNCTION("""COMPUTED_VALUE"""),"Mts. Banderola Quitamiedos c/reflec")</f>
        <v>Mts. Banderola Quitamiedos c/reflec</v>
      </c>
      <c r="C1253" s="4">
        <f>IFERROR(__xludf.DUMMYFUNCTION("""COMPUTED_VALUE"""),0.6528)</f>
        <v>0.6528</v>
      </c>
    </row>
    <row r="1254">
      <c r="A1254" s="4" t="str">
        <f>IFERROR(__xludf.DUMMYFUNCTION("""COMPUTED_VALUE"""),"1581")</f>
        <v>1581</v>
      </c>
      <c r="B1254" s="4" t="str">
        <f>IFERROR(__xludf.DUMMYFUNCTION("""COMPUTED_VALUE"""),"Mts. Banderola Quitamiedos s/reflectante")</f>
        <v>Mts. Banderola Quitamiedos s/reflectante</v>
      </c>
      <c r="C1254" s="4">
        <f>IFERROR(__xludf.DUMMYFUNCTION("""COMPUTED_VALUE"""),0.3264)</f>
        <v>0.3264</v>
      </c>
    </row>
    <row r="1255">
      <c r="A1255" s="4" t="str">
        <f>IFERROR(__xludf.DUMMYFUNCTION("""COMPUTED_VALUE"""),"1582")</f>
        <v>1582</v>
      </c>
      <c r="B1255" s="4" t="str">
        <f>IFERROR(__xludf.DUMMYFUNCTION("""COMPUTED_VALUE"""),"Rollos cinta Señal. 10cm x 200m. PROTECCION CIVIL")</f>
        <v>Rollos cinta Señal. 10cm x 200m. PROTECCION CIVIL</v>
      </c>
      <c r="C1255" s="4">
        <f>IFERROR(__xludf.DUMMYFUNCTION("""COMPUTED_VALUE"""),7.92)</f>
        <v>7.92</v>
      </c>
    </row>
    <row r="1256">
      <c r="A1256" s="4" t="str">
        <f>IFERROR(__xludf.DUMMYFUNCTION("""COMPUTED_VALUE"""),"1583")</f>
        <v>1583</v>
      </c>
      <c r="B1256" s="4" t="str">
        <f>IFERROR(__xludf.DUMMYFUNCTION("""COMPUTED_VALUE"""),"Rollo cinta Señal.N/A 10cm x 200m. G300 AMIANTO")</f>
        <v>Rollo cinta Señal.N/A 10cm x 200m. G300 AMIANTO</v>
      </c>
      <c r="C1256" s="4">
        <f>IFERROR(__xludf.DUMMYFUNCTION("""COMPUTED_VALUE"""),6.672)</f>
        <v>6.672</v>
      </c>
    </row>
    <row r="1257">
      <c r="A1257" s="4" t="str">
        <f>IFERROR(__xludf.DUMMYFUNCTION("""COMPUTED_VALUE"""),"1585")</f>
        <v>1585</v>
      </c>
      <c r="B1257" s="4" t="str">
        <f>IFERROR(__xludf.DUMMYFUNCTION("""COMPUTED_VALUE"""),"Rollo cinta Señal. 10cm x 200m. NARANJA")</f>
        <v>Rollo cinta Señal. 10cm x 200m. NARANJA</v>
      </c>
      <c r="C1257" s="4">
        <f>IFERROR(__xludf.DUMMYFUNCTION("""COMPUTED_VALUE"""),6.96)</f>
        <v>6.96</v>
      </c>
    </row>
    <row r="1258">
      <c r="A1258" s="4" t="str">
        <f>IFERROR(__xludf.DUMMYFUNCTION("""COMPUTED_VALUE"""),"1586")</f>
        <v>1586</v>
      </c>
      <c r="B1258" s="4" t="str">
        <f>IFERROR(__xludf.DUMMYFUNCTION("""COMPUTED_VALUE"""),"Rollo cinta Señal. 10cm x 200m. VERDE")</f>
        <v>Rollo cinta Señal. 10cm x 200m. VERDE</v>
      </c>
      <c r="C1258" s="4">
        <f>IFERROR(__xludf.DUMMYFUNCTION("""COMPUTED_VALUE"""),6.96)</f>
        <v>6.96</v>
      </c>
    </row>
    <row r="1259">
      <c r="A1259" s="4" t="str">
        <f>IFERROR(__xludf.DUMMYFUNCTION("""COMPUTED_VALUE"""),"1587")</f>
        <v>1587</v>
      </c>
      <c r="B1259" s="4" t="str">
        <f>IFERROR(__xludf.DUMMYFUNCTION("""COMPUTED_VALUE"""),"Rollo cinta Señal. 10cm x 200m. AZUL")</f>
        <v>Rollo cinta Señal. 10cm x 200m. AZUL</v>
      </c>
      <c r="C1259" s="4">
        <f>IFERROR(__xludf.DUMMYFUNCTION("""COMPUTED_VALUE"""),6.96)</f>
        <v>6.96</v>
      </c>
    </row>
    <row r="1260">
      <c r="A1260" s="4" t="str">
        <f>IFERROR(__xludf.DUMMYFUNCTION("""COMPUTED_VALUE"""),"1588")</f>
        <v>1588</v>
      </c>
      <c r="B1260" s="4" t="str">
        <f>IFERROR(__xludf.DUMMYFUNCTION("""COMPUTED_VALUE"""),"Rollo cinta Señal. 10cm x 200m. AMARILLO")</f>
        <v>Rollo cinta Señal. 10cm x 200m. AMARILLO</v>
      </c>
      <c r="C1260" s="4">
        <f>IFERROR(__xludf.DUMMYFUNCTION("""COMPUTED_VALUE"""),6.96)</f>
        <v>6.96</v>
      </c>
    </row>
    <row r="1261">
      <c r="A1261" s="4" t="str">
        <f>IFERROR(__xludf.DUMMYFUNCTION("""COMPUTED_VALUE"""),"1590")</f>
        <v>1590</v>
      </c>
      <c r="B1261" s="4" t="str">
        <f>IFERROR(__xludf.DUMMYFUNCTION("""COMPUTED_VALUE"""),"Vinilo adhesivo suelo ESPERE SU TURNO 40 cm")</f>
        <v>Vinilo adhesivo suelo ESPERE SU TURNO 40 cm</v>
      </c>
      <c r="C1261" s="4">
        <f>IFERROR(__xludf.DUMMYFUNCTION("""COMPUTED_VALUE"""),5.904)</f>
        <v>5.904</v>
      </c>
    </row>
    <row r="1262">
      <c r="A1262" s="4" t="str">
        <f>IFERROR(__xludf.DUMMYFUNCTION("""COMPUTED_VALUE"""),"1591")</f>
        <v>1591</v>
      </c>
      <c r="B1262" s="4" t="str">
        <f>IFERROR(__xludf.DUMMYFUNCTION("""COMPUTED_VALUE"""),"Vinilo adhesivo suelo Paso oblig. carretillas 40 cm")</f>
        <v>Vinilo adhesivo suelo Paso oblig. carretillas 40 cm</v>
      </c>
      <c r="C1262" s="4">
        <f>IFERROR(__xludf.DUMMYFUNCTION("""COMPUTED_VALUE"""),5.904)</f>
        <v>5.904</v>
      </c>
    </row>
    <row r="1263">
      <c r="A1263" s="4" t="str">
        <f>IFERROR(__xludf.DUMMYFUNCTION("""COMPUTED_VALUE"""),"1592")</f>
        <v>1592</v>
      </c>
      <c r="B1263" s="4" t="str">
        <f>IFERROR(__xludf.DUMMYFUNCTION("""COMPUTED_VALUE"""),"Vinilo adhesivo suelo Peligro Paso de carretilla 40 cm")</f>
        <v>Vinilo adhesivo suelo Peligro Paso de carretilla 40 cm</v>
      </c>
      <c r="C1263" s="4">
        <f>IFERROR(__xludf.DUMMYFUNCTION("""COMPUTED_VALUE"""),5.904)</f>
        <v>5.904</v>
      </c>
    </row>
    <row r="1264">
      <c r="A1264" s="4" t="str">
        <f>IFERROR(__xludf.DUMMYFUNCTION("""COMPUTED_VALUE"""),"1593")</f>
        <v>1593</v>
      </c>
      <c r="B1264" s="4" t="str">
        <f>IFERROR(__xludf.DUMMYFUNCTION("""COMPUTED_VALUE"""),"Vinilo adhesivo suelo Peligro suelo Resbaladizo 40 cm")</f>
        <v>Vinilo adhesivo suelo Peligro suelo Resbaladizo 40 cm</v>
      </c>
      <c r="C1264" s="4">
        <f>IFERROR(__xludf.DUMMYFUNCTION("""COMPUTED_VALUE"""),5.904)</f>
        <v>5.904</v>
      </c>
    </row>
    <row r="1265">
      <c r="A1265" s="4" t="str">
        <f>IFERROR(__xludf.DUMMYFUNCTION("""COMPUTED_VALUE"""),"1594")</f>
        <v>1594</v>
      </c>
      <c r="B1265" s="4" t="str">
        <f>IFERROR(__xludf.DUMMYFUNCTION("""COMPUTED_VALUE"""),"Rollo Cinta 15 cm x 200 m Aguas residuales")</f>
        <v>Rollo Cinta 15 cm x 200 m Aguas residuales</v>
      </c>
      <c r="C1265" s="4">
        <f>IFERROR(__xludf.DUMMYFUNCTION("""COMPUTED_VALUE"""),11.472)</f>
        <v>11.472</v>
      </c>
    </row>
    <row r="1266">
      <c r="A1266" s="4" t="str">
        <f>IFERROR(__xludf.DUMMYFUNCTION("""COMPUTED_VALUE"""),"1600")</f>
        <v>1600</v>
      </c>
      <c r="B1266" s="4" t="str">
        <f>IFERROR(__xludf.DUMMYFUNCTION("""COMPUTED_VALUE"""),"Camisa reflec. N.2 cono 50 cm OXFORD")</f>
        <v>Camisa reflec. N.2 cono 50 cm OXFORD</v>
      </c>
      <c r="C1266" s="4">
        <f>IFERROR(__xludf.DUMMYFUNCTION("""COMPUTED_VALUE"""),3.2832)</f>
        <v>3.2832</v>
      </c>
    </row>
    <row r="1267">
      <c r="A1267" s="4" t="str">
        <f>IFERROR(__xludf.DUMMYFUNCTION("""COMPUTED_VALUE"""),"1601")</f>
        <v>1601</v>
      </c>
      <c r="B1267" s="4" t="str">
        <f>IFERROR(__xludf.DUMMYFUNCTION("""COMPUTED_VALUE"""),"Camisa reflec. N.2 cono 75 cm OXFORD")</f>
        <v>Camisa reflec. N.2 cono 75 cm OXFORD</v>
      </c>
      <c r="C1267" s="4">
        <f>IFERROR(__xludf.DUMMYFUNCTION("""COMPUTED_VALUE"""),3.6479999999999997)</f>
        <v>3.648</v>
      </c>
    </row>
    <row r="1268">
      <c r="A1268" s="4" t="str">
        <f>IFERROR(__xludf.DUMMYFUNCTION("""COMPUTED_VALUE"""),"1604AN")</f>
        <v>1604AN</v>
      </c>
      <c r="B1268" s="4" t="str">
        <f>IFERROR(__xludf.DUMMYFUNCTION("""COMPUTED_VALUE"""),"Barra señaliz. Negra/Amarilla extensible para cono")</f>
        <v>Barra señaliz. Negra/Amarilla extensible para cono</v>
      </c>
      <c r="C1268" s="4">
        <f>IFERROR(__xludf.DUMMYFUNCTION("""COMPUTED_VALUE"""),8.064)</f>
        <v>8.064</v>
      </c>
    </row>
    <row r="1269">
      <c r="A1269" s="4" t="str">
        <f>IFERROR(__xludf.DUMMYFUNCTION("""COMPUTED_VALUE"""),"1604RB")</f>
        <v>1604RB</v>
      </c>
      <c r="B1269" s="4" t="str">
        <f>IFERROR(__xludf.DUMMYFUNCTION("""COMPUTED_VALUE"""),"Barra señaliz. Roja/Blanca extensible para cono")</f>
        <v>Barra señaliz. Roja/Blanca extensible para cono</v>
      </c>
      <c r="C1269" s="4">
        <f>IFERROR(__xludf.DUMMYFUNCTION("""COMPUTED_VALUE"""),8.064)</f>
        <v>8.064</v>
      </c>
    </row>
    <row r="1270">
      <c r="A1270" s="4" t="str">
        <f>IFERROR(__xludf.DUMMYFUNCTION("""COMPUTED_VALUE"""),"1617")</f>
        <v>1617</v>
      </c>
      <c r="B1270" s="4" t="str">
        <f>IFERROR(__xludf.DUMMYFUNCTION("""COMPUTED_VALUE"""),"Juego huellas adhesivas 27x10 cm pisable verde")</f>
        <v>Juego huellas adhesivas 27x10 cm pisable verde</v>
      </c>
      <c r="C1270" s="4">
        <f>IFERROR(__xludf.DUMMYFUNCTION("""COMPUTED_VALUE"""),3.024)</f>
        <v>3.024</v>
      </c>
    </row>
    <row r="1271">
      <c r="A1271" s="4" t="str">
        <f>IFERROR(__xludf.DUMMYFUNCTION("""COMPUTED_VALUE"""),"1618")</f>
        <v>1618</v>
      </c>
      <c r="B1271" s="4" t="str">
        <f>IFERROR(__xludf.DUMMYFUNCTION("""COMPUTED_VALUE"""),"Juego huellas adhesivas 27x10 cm pisable rojo")</f>
        <v>Juego huellas adhesivas 27x10 cm pisable rojo</v>
      </c>
      <c r="C1271" s="4">
        <f>IFERROR(__xludf.DUMMYFUNCTION("""COMPUTED_VALUE"""),3.024)</f>
        <v>3.024</v>
      </c>
    </row>
    <row r="1272">
      <c r="A1272" s="4" t="str">
        <f>IFERROR(__xludf.DUMMYFUNCTION("""COMPUTED_VALUE"""),"1619")</f>
        <v>1619</v>
      </c>
      <c r="B1272" s="4" t="str">
        <f>IFERROR(__xludf.DUMMYFUNCTION("""COMPUTED_VALUE"""),"Juego huellas adhesivas 27z10 cm pisable negro")</f>
        <v>Juego huellas adhesivas 27z10 cm pisable negro</v>
      </c>
      <c r="C1272" s="4">
        <f>IFERROR(__xludf.DUMMYFUNCTION("""COMPUTED_VALUE"""),3.024)</f>
        <v>3.024</v>
      </c>
    </row>
    <row r="1273">
      <c r="A1273" s="4" t="str">
        <f>IFERROR(__xludf.DUMMYFUNCTION("""COMPUTED_VALUE"""),"1620")</f>
        <v>1620</v>
      </c>
      <c r="B1273" s="4" t="str">
        <f>IFERROR(__xludf.DUMMYFUNCTION("""COMPUTED_VALUE"""),"Juego 2 Flechas adhesivas 29x8 pisable Verde")</f>
        <v>Juego 2 Flechas adhesivas 29x8 pisable Verde</v>
      </c>
      <c r="C1273" s="4">
        <f>IFERROR(__xludf.DUMMYFUNCTION("""COMPUTED_VALUE"""),3.024)</f>
        <v>3.024</v>
      </c>
    </row>
    <row r="1274">
      <c r="A1274" s="4" t="str">
        <f>IFERROR(__xludf.DUMMYFUNCTION("""COMPUTED_VALUE"""),"1621")</f>
        <v>1621</v>
      </c>
      <c r="B1274" s="4" t="str">
        <f>IFERROR(__xludf.DUMMYFUNCTION("""COMPUTED_VALUE"""),"Juego2 Flechas adhesivas 29x8 pisable Rojo")</f>
        <v>Juego2 Flechas adhesivas 29x8 pisable Rojo</v>
      </c>
      <c r="C1274" s="4">
        <f>IFERROR(__xludf.DUMMYFUNCTION("""COMPUTED_VALUE"""),3.024)</f>
        <v>3.024</v>
      </c>
    </row>
    <row r="1275">
      <c r="A1275" s="4" t="str">
        <f>IFERROR(__xludf.DUMMYFUNCTION("""COMPUTED_VALUE"""),"1622")</f>
        <v>1622</v>
      </c>
      <c r="B1275" s="4" t="str">
        <f>IFERROR(__xludf.DUMMYFUNCTION("""COMPUTED_VALUE"""),"Adhesivo 21x29 Uso desinfectante")</f>
        <v>Adhesivo 21x29 Uso desinfectante</v>
      </c>
      <c r="C1275" s="4">
        <f>IFERROR(__xludf.DUMMYFUNCTION("""COMPUTED_VALUE"""),1.3104)</f>
        <v>1.3104</v>
      </c>
    </row>
    <row r="1276">
      <c r="A1276" s="4" t="str">
        <f>IFERROR(__xludf.DUMMYFUNCTION("""COMPUTED_VALUE"""),"1623")</f>
        <v>1623</v>
      </c>
      <c r="B1276" s="4" t="str">
        <f>IFERROR(__xludf.DUMMYFUNCTION("""COMPUTED_VALUE"""),"Cartel PVC 21x29 cm USO DESINFECTANTE")</f>
        <v>Cartel PVC 21x29 cm USO DESINFECTANTE</v>
      </c>
      <c r="C1276" s="4">
        <f>IFERROR(__xludf.DUMMYFUNCTION("""COMPUTED_VALUE"""),1.536)</f>
        <v>1.536</v>
      </c>
    </row>
    <row r="1277">
      <c r="A1277" s="4" t="str">
        <f>IFERROR(__xludf.DUMMYFUNCTION("""COMPUTED_VALUE"""),"1625")</f>
        <v>1625</v>
      </c>
      <c r="B1277" s="4" t="str">
        <f>IFERROR(__xludf.DUMMYFUNCTION("""COMPUTED_VALUE"""),"Juego huellas adhesivas suelo 27x10 cm Amarillo")</f>
        <v>Juego huellas adhesivas suelo 27x10 cm Amarillo</v>
      </c>
      <c r="C1277" s="4">
        <f>IFERROR(__xludf.DUMMYFUNCTION("""COMPUTED_VALUE"""),4.032)</f>
        <v>4.032</v>
      </c>
    </row>
    <row r="1278">
      <c r="A1278" s="4" t="str">
        <f>IFERROR(__xludf.DUMMYFUNCTION("""COMPUTED_VALUE"""),"1626")</f>
        <v>1626</v>
      </c>
      <c r="B1278" s="4" t="str">
        <f>IFERROR(__xludf.DUMMYFUNCTION("""COMPUTED_VALUE"""),"Juego huellas adhesivas suelo 27x10 cm Basic")</f>
        <v>Juego huellas adhesivas suelo 27x10 cm Basic</v>
      </c>
      <c r="C1278" s="4">
        <f>IFERROR(__xludf.DUMMYFUNCTION("""COMPUTED_VALUE"""),4.032)</f>
        <v>4.032</v>
      </c>
    </row>
    <row r="1279">
      <c r="A1279" s="4" t="str">
        <f>IFERROR(__xludf.DUMMYFUNCTION("""COMPUTED_VALUE"""),"1627")</f>
        <v>1627</v>
      </c>
      <c r="B1279" s="4" t="str">
        <f>IFERROR(__xludf.DUMMYFUNCTION("""COMPUTED_VALUE"""),"Kit Adhesivos flechas y tiras suelo")</f>
        <v>Kit Adhesivos flechas y tiras suelo</v>
      </c>
      <c r="C1279" s="4">
        <f>IFERROR(__xludf.DUMMYFUNCTION("""COMPUTED_VALUE"""),19.872)</f>
        <v>19.872</v>
      </c>
    </row>
    <row r="1280">
      <c r="A1280" s="4" t="str">
        <f>IFERROR(__xludf.DUMMYFUNCTION("""COMPUTED_VALUE"""),"1629")</f>
        <v>1629</v>
      </c>
      <c r="B1280" s="4" t="str">
        <f>IFERROR(__xludf.DUMMYFUNCTION("""COMPUTED_VALUE"""),"Cinta antideslizante N/A DISTANCIA SEGURIDAD 10x100 cm")</f>
        <v>Cinta antideslizante N/A DISTANCIA SEGURIDAD 10x100 cm</v>
      </c>
      <c r="C1280" s="4">
        <f>IFERROR(__xludf.DUMMYFUNCTION("""COMPUTED_VALUE"""),4.7904)</f>
        <v>4.7904</v>
      </c>
    </row>
    <row r="1281">
      <c r="A1281" s="4" t="str">
        <f>IFERROR(__xludf.DUMMYFUNCTION("""COMPUTED_VALUE"""),"1630")</f>
        <v>1630</v>
      </c>
      <c r="B1281" s="4" t="str">
        <f>IFERROR(__xludf.DUMMYFUNCTION("""COMPUTED_VALUE"""),"Cinta antideslizante Blanca ESPERE SU TURNO 10x100 cm")</f>
        <v>Cinta antideslizante Blanca ESPERE SU TURNO 10x100 cm</v>
      </c>
      <c r="C1281" s="4">
        <f>IFERROR(__xludf.DUMMYFUNCTION("""COMPUTED_VALUE"""),4.7904)</f>
        <v>4.7904</v>
      </c>
    </row>
    <row r="1282">
      <c r="A1282" s="4" t="str">
        <f>IFERROR(__xludf.DUMMYFUNCTION("""COMPUTED_VALUE"""),"1631")</f>
        <v>1631</v>
      </c>
      <c r="B1282" s="4" t="str">
        <f>IFERROR(__xludf.DUMMYFUNCTION("""COMPUTED_VALUE"""),"Cono plegable Reflect 55cm")</f>
        <v>Cono plegable Reflect 55cm</v>
      </c>
      <c r="C1282" s="4">
        <f>IFERROR(__xludf.DUMMYFUNCTION("""COMPUTED_VALUE"""),11.76)</f>
        <v>11.76</v>
      </c>
    </row>
    <row r="1283">
      <c r="A1283" s="4" t="str">
        <f>IFERROR(__xludf.DUMMYFUNCTION("""COMPUTED_VALUE"""),"1632")</f>
        <v>1632</v>
      </c>
      <c r="B1283" s="4" t="str">
        <f>IFERROR(__xludf.DUMMYFUNCTION("""COMPUTED_VALUE"""),"Cone extender")</f>
        <v>Cone extender</v>
      </c>
      <c r="C1283" s="4">
        <f>IFERROR(__xludf.DUMMYFUNCTION("""COMPUTED_VALUE"""),4.56)</f>
        <v>4.56</v>
      </c>
    </row>
    <row r="1284">
      <c r="A1284" s="4" t="str">
        <f>IFERROR(__xludf.DUMMYFUNCTION("""COMPUTED_VALUE"""),"1633")</f>
        <v>1633</v>
      </c>
      <c r="B1284" s="4" t="str">
        <f>IFERROR(__xludf.DUMMYFUNCTION("""COMPUTED_VALUE"""),"Cono Señal. 50 cm Amarillo No Aparcar")</f>
        <v>Cono Señal. 50 cm Amarillo No Aparcar</v>
      </c>
      <c r="C1284" s="4">
        <f>IFERROR(__xludf.DUMMYFUNCTION("""COMPUTED_VALUE"""),8.064)</f>
        <v>8.064</v>
      </c>
    </row>
    <row r="1285">
      <c r="A1285" s="4" t="str">
        <f>IFERROR(__xludf.DUMMYFUNCTION("""COMPUTED_VALUE"""),"1634")</f>
        <v>1634</v>
      </c>
      <c r="B1285" s="4" t="str">
        <f>IFERROR(__xludf.DUMMYFUNCTION("""COMPUTED_VALUE"""),"Tetrapodo 50 cm de señalizacion")</f>
        <v>Tetrapodo 50 cm de señalizacion</v>
      </c>
      <c r="C1285" s="4">
        <f>IFERROR(__xludf.DUMMYFUNCTION("""COMPUTED_VALUE"""),18.48)</f>
        <v>18.48</v>
      </c>
    </row>
    <row r="1286">
      <c r="A1286" s="4" t="str">
        <f>IFERROR(__xludf.DUMMYFUNCTION("""COMPUTED_VALUE"""),"1635")</f>
        <v>1635</v>
      </c>
      <c r="B1286" s="4" t="str">
        <f>IFERROR(__xludf.DUMMYFUNCTION("""COMPUTED_VALUE"""),"Cono Señalizacion 32 cm. Flurescent")</f>
        <v>Cono Señalizacion 32 cm. Flurescent</v>
      </c>
      <c r="C1286" s="4">
        <f>IFERROR(__xludf.DUMMYFUNCTION("""COMPUTED_VALUE"""),4.032)</f>
        <v>4.032</v>
      </c>
    </row>
    <row r="1287">
      <c r="A1287" s="4" t="str">
        <f>IFERROR(__xludf.DUMMYFUNCTION("""COMPUTED_VALUE"""),"1636")</f>
        <v>1636</v>
      </c>
      <c r="B1287" s="4" t="str">
        <f>IFERROR(__xludf.DUMMYFUNCTION("""COMPUTED_VALUE"""),"Cono Señaliz. 50 cm fluor.bandas reflectantes")</f>
        <v>Cono Señaliz. 50 cm fluor.bandas reflectantes</v>
      </c>
      <c r="C1287" s="4">
        <f>IFERROR(__xludf.DUMMYFUNCTION("""COMPUTED_VALUE"""),4.723199999999999)</f>
        <v>4.7232</v>
      </c>
    </row>
    <row r="1288">
      <c r="A1288" s="4" t="str">
        <f>IFERROR(__xludf.DUMMYFUNCTION("""COMPUTED_VALUE"""),"1636AZUL")</f>
        <v>1636AZUL</v>
      </c>
      <c r="B1288" s="4" t="str">
        <f>IFERROR(__xludf.DUMMYFUNCTION("""COMPUTED_VALUE"""),"Cono Señaliz. 50 cm Azul bandas reflectantes")</f>
        <v>Cono Señaliz. 50 cm Azul bandas reflectantes</v>
      </c>
      <c r="C1288" s="4">
        <f>IFERROR(__xludf.DUMMYFUNCTION("""COMPUTED_VALUE"""),4.704)</f>
        <v>4.704</v>
      </c>
    </row>
    <row r="1289">
      <c r="A1289" s="4" t="str">
        <f>IFERROR(__xludf.DUMMYFUNCTION("""COMPUTED_VALUE"""),"1637")</f>
        <v>1637</v>
      </c>
      <c r="B1289" s="4" t="str">
        <f>IFERROR(__xludf.DUMMYFUNCTION("""COMPUTED_VALUE"""),"Cono señaliz. 50 cm camisas réflex pvc Blando Bicolor")</f>
        <v>Cono señaliz. 50 cm camisas réflex pvc Blando Bicolor</v>
      </c>
      <c r="C1289" s="4">
        <f>IFERROR(__xludf.DUMMYFUNCTION("""COMPUTED_VALUE"""),5.04)</f>
        <v>5.04</v>
      </c>
    </row>
    <row r="1290">
      <c r="A1290" s="4" t="str">
        <f>IFERROR(__xludf.DUMMYFUNCTION("""COMPUTED_VALUE"""),"1638")</f>
        <v>1638</v>
      </c>
      <c r="B1290" s="4" t="str">
        <f>IFERROR(__xludf.DUMMYFUNCTION("""COMPUTED_VALUE"""),"Cono Señaliz. 50 cm. camisa reflec.2 P. CVT")</f>
        <v>Cono Señaliz. 50 cm. camisa reflec.2 P. CVT</v>
      </c>
      <c r="C1290" s="4">
        <f>IFERROR(__xludf.DUMMYFUNCTION("""COMPUTED_VALUE"""),4.704)</f>
        <v>4.704</v>
      </c>
    </row>
    <row r="1291">
      <c r="A1291" s="4" t="str">
        <f>IFERROR(__xludf.DUMMYFUNCTION("""COMPUTED_VALUE"""),"1640")</f>
        <v>1640</v>
      </c>
      <c r="B1291" s="4" t="str">
        <f>IFERROR(__xludf.DUMMYFUNCTION("""COMPUTED_VALUE"""),"Cono Señaliz.75 cm. camisa reflec.2p. CVT Plus")</f>
        <v>Cono Señaliz.75 cm. camisa reflec.2p. CVT Plus</v>
      </c>
      <c r="C1291" s="4">
        <f>IFERROR(__xludf.DUMMYFUNCTION("""COMPUTED_VALUE"""),6.912)</f>
        <v>6.912</v>
      </c>
    </row>
    <row r="1292">
      <c r="A1292" s="4" t="str">
        <f>IFERROR(__xludf.DUMMYFUNCTION("""COMPUTED_VALUE"""),"1640B")</f>
        <v>1640B</v>
      </c>
      <c r="B1292" s="4" t="str">
        <f>IFERROR(__xludf.DUMMYFUNCTION("""COMPUTED_VALUE"""),"Cono Señaizl. 75 cm.camisa reflect.2p. CVT Basic")</f>
        <v>Cono Señaizl. 75 cm.camisa reflect.2p. CVT Basic</v>
      </c>
      <c r="C1292" s="4">
        <f>IFERROR(__xludf.DUMMYFUNCTION("""COMPUTED_VALUE"""),6.144)</f>
        <v>6.144</v>
      </c>
    </row>
    <row r="1293">
      <c r="A1293" s="4" t="str">
        <f>IFERROR(__xludf.DUMMYFUNCTION("""COMPUTED_VALUE"""),"1645")</f>
        <v>1645</v>
      </c>
      <c r="B1293" s="4" t="str">
        <f>IFERROR(__xludf.DUMMYFUNCTION("""COMPUTED_VALUE"""),"Cono Señaliz. 100 cm camisa reflec.2 P.MELBA")</f>
        <v>Cono Señaliz. 100 cm camisa reflec.2 P.MELBA</v>
      </c>
      <c r="C1293" s="4">
        <f>IFERROR(__xludf.DUMMYFUNCTION("""COMPUTED_VALUE"""),17.183999999999997)</f>
        <v>17.184</v>
      </c>
    </row>
    <row r="1294">
      <c r="A1294" s="4" t="str">
        <f>IFERROR(__xludf.DUMMYFUNCTION("""COMPUTED_VALUE"""),"1646")</f>
        <v>1646</v>
      </c>
      <c r="B1294" s="4" t="str">
        <f>IFERROR(__xludf.DUMMYFUNCTION("""COMPUTED_VALUE"""),"Cono 80cm PVC blando Reflect. MOD B")</f>
        <v>Cono 80cm PVC blando Reflect. MOD B</v>
      </c>
      <c r="C1294" s="4">
        <f>IFERROR(__xludf.DUMMYFUNCTION("""COMPUTED_VALUE"""),9.571200000000001)</f>
        <v>9.5712</v>
      </c>
    </row>
    <row r="1295">
      <c r="A1295" s="4" t="str">
        <f>IFERROR(__xludf.DUMMYFUNCTION("""COMPUTED_VALUE"""),"1646A")</f>
        <v>1646A</v>
      </c>
      <c r="B1295" s="4" t="str">
        <f>IFERROR(__xludf.DUMMYFUNCTION("""COMPUTED_VALUE"""),"Cono 80 cm PVC blando Reflect. Mod B AMARILLO")</f>
        <v>Cono 80 cm PVC blando Reflect. Mod B AMARILLO</v>
      </c>
      <c r="C1295" s="4">
        <f>IFERROR(__xludf.DUMMYFUNCTION("""COMPUTED_VALUE"""),9.571200000000001)</f>
        <v>9.5712</v>
      </c>
    </row>
    <row r="1296">
      <c r="A1296" s="4" t="str">
        <f>IFERROR(__xludf.DUMMYFUNCTION("""COMPUTED_VALUE"""),"1646V")</f>
        <v>1646V</v>
      </c>
      <c r="B1296" s="4" t="str">
        <f>IFERROR(__xludf.DUMMYFUNCTION("""COMPUTED_VALUE"""),"Cono 80 cm PVC blando Reflect. Mod B VERDE")</f>
        <v>Cono 80 cm PVC blando Reflect. Mod B VERDE</v>
      </c>
      <c r="C1296" s="4">
        <f>IFERROR(__xludf.DUMMYFUNCTION("""COMPUTED_VALUE"""),9.575999999999999)</f>
        <v>9.576</v>
      </c>
    </row>
    <row r="1297">
      <c r="A1297" s="4" t="str">
        <f>IFERROR(__xludf.DUMMYFUNCTION("""COMPUTED_VALUE"""),"1646Z")</f>
        <v>1646Z</v>
      </c>
      <c r="B1297" s="4" t="str">
        <f>IFERROR(__xludf.DUMMYFUNCTION("""COMPUTED_VALUE"""),"Cono 80 cm PVC blando Reflect. Mod B AZUL")</f>
        <v>Cono 80 cm PVC blando Reflect. Mod B AZUL</v>
      </c>
      <c r="C1297" s="4">
        <f>IFERROR(__xludf.DUMMYFUNCTION("""COMPUTED_VALUE"""),9.575999999999999)</f>
        <v>9.576</v>
      </c>
    </row>
    <row r="1298">
      <c r="A1298" s="4" t="str">
        <f>IFERROR(__xludf.DUMMYFUNCTION("""COMPUTED_VALUE"""),"1647")</f>
        <v>1647</v>
      </c>
      <c r="B1298" s="4" t="str">
        <f>IFERROR(__xludf.DUMMYFUNCTION("""COMPUTED_VALUE"""),"Cono 54cm PVC blando Reflect. MOD B")</f>
        <v>Cono 54cm PVC blando Reflect. MOD B</v>
      </c>
      <c r="C1298" s="4">
        <f>IFERROR(__xludf.DUMMYFUNCTION("""COMPUTED_VALUE"""),7.776)</f>
        <v>7.776</v>
      </c>
    </row>
    <row r="1299">
      <c r="A1299" s="4" t="str">
        <f>IFERROR(__xludf.DUMMYFUNCTION("""COMPUTED_VALUE"""),"1647A")</f>
        <v>1647A</v>
      </c>
      <c r="B1299" s="4" t="str">
        <f>IFERROR(__xludf.DUMMYFUNCTION("""COMPUTED_VALUE"""),"Cono 54 cm PVC blando Reflect. Mod B AMARILLO")</f>
        <v>Cono 54 cm PVC blando Reflect. Mod B AMARILLO</v>
      </c>
      <c r="C1299" s="4">
        <f>IFERROR(__xludf.DUMMYFUNCTION("""COMPUTED_VALUE"""),7.776)</f>
        <v>7.776</v>
      </c>
    </row>
    <row r="1300">
      <c r="A1300" s="4" t="str">
        <f>IFERROR(__xludf.DUMMYFUNCTION("""COMPUTED_VALUE"""),"1647RO")</f>
        <v>1647RO</v>
      </c>
      <c r="B1300" s="4" t="str">
        <f>IFERROR(__xludf.DUMMYFUNCTION("""COMPUTED_VALUE"""),"Cono 54 cm PVC blando Reflect. Mod B ROSA")</f>
        <v>Cono 54 cm PVC blando Reflect. Mod B ROSA</v>
      </c>
      <c r="C1300" s="4">
        <f>IFERROR(__xludf.DUMMYFUNCTION("""COMPUTED_VALUE"""),7.776)</f>
        <v>7.776</v>
      </c>
    </row>
    <row r="1301">
      <c r="A1301" s="4" t="str">
        <f>IFERROR(__xludf.DUMMYFUNCTION("""COMPUTED_VALUE"""),"1647V")</f>
        <v>1647V</v>
      </c>
      <c r="B1301" s="4" t="str">
        <f>IFERROR(__xludf.DUMMYFUNCTION("""COMPUTED_VALUE"""),"Cono 54 cm PVC blando Reflect. Mod B VERDE")</f>
        <v>Cono 54 cm PVC blando Reflect. Mod B VERDE</v>
      </c>
      <c r="C1301" s="4">
        <f>IFERROR(__xludf.DUMMYFUNCTION("""COMPUTED_VALUE"""),7.776)</f>
        <v>7.776</v>
      </c>
    </row>
    <row r="1302">
      <c r="A1302" s="4" t="str">
        <f>IFERROR(__xludf.DUMMYFUNCTION("""COMPUTED_VALUE"""),"1647Z")</f>
        <v>1647Z</v>
      </c>
      <c r="B1302" s="4" t="str">
        <f>IFERROR(__xludf.DUMMYFUNCTION("""COMPUTED_VALUE"""),"Cono 54 cm PVC blando Reflect. Mod B AZUL")</f>
        <v>Cono 54 cm PVC blando Reflect. Mod B AZUL</v>
      </c>
      <c r="C1302" s="4">
        <f>IFERROR(__xludf.DUMMYFUNCTION("""COMPUTED_VALUE"""),7.776)</f>
        <v>7.776</v>
      </c>
    </row>
    <row r="1303">
      <c r="A1303" s="4" t="str">
        <f>IFERROR(__xludf.DUMMYFUNCTION("""COMPUTED_VALUE"""),"1648")</f>
        <v>1648</v>
      </c>
      <c r="B1303" s="4" t="str">
        <f>IFERROR(__xludf.DUMMYFUNCTION("""COMPUTED_VALUE"""),"Cono 80cm PVC blando Reflect. MOD B Naranja Plus")</f>
        <v>Cono 80cm PVC blando Reflect. MOD B Naranja Plus</v>
      </c>
      <c r="C1303" s="4">
        <f>IFERROR(__xludf.DUMMYFUNCTION("""COMPUTED_VALUE"""),23.279999999999998)</f>
        <v>23.28</v>
      </c>
    </row>
    <row r="1304">
      <c r="A1304" s="4" t="str">
        <f>IFERROR(__xludf.DUMMYFUNCTION("""COMPUTED_VALUE"""),"1650")</f>
        <v>1650</v>
      </c>
      <c r="B1304" s="4" t="str">
        <f>IFERROR(__xludf.DUMMYFUNCTION("""COMPUTED_VALUE"""),"Cono 1 pza 50 cm 2 bandas Reflect. Melba")</f>
        <v>Cono 1 pza 50 cm 2 bandas Reflect. Melba</v>
      </c>
      <c r="C1304" s="4">
        <f>IFERROR(__xludf.DUMMYFUNCTION("""COMPUTED_VALUE"""),5.9712)</f>
        <v>5.9712</v>
      </c>
    </row>
    <row r="1305">
      <c r="A1305" s="4" t="str">
        <f>IFERROR(__xludf.DUMMYFUNCTION("""COMPUTED_VALUE"""),"1651")</f>
        <v>1651</v>
      </c>
      <c r="B1305" s="4" t="str">
        <f>IFERROR(__xludf.DUMMYFUNCTION("""COMPUTED_VALUE"""),"Cono 1 pza 75 cm 2 bandas Reflect. Melba")</f>
        <v>Cono 1 pza 75 cm 2 bandas Reflect. Melba</v>
      </c>
      <c r="C1305" s="4">
        <f>IFERROR(__xludf.DUMMYFUNCTION("""COMPUTED_VALUE"""),7.852799999999999)</f>
        <v>7.8528</v>
      </c>
    </row>
    <row r="1306">
      <c r="A1306" s="4" t="str">
        <f>IFERROR(__xludf.DUMMYFUNCTION("""COMPUTED_VALUE"""),"1652")</f>
        <v>1652</v>
      </c>
      <c r="B1306" s="4" t="str">
        <f>IFERROR(__xludf.DUMMYFUNCTION("""COMPUTED_VALUE"""),"Cono 2 pza 75 cm 2 bandas Reflect. Melba STARLITE")</f>
        <v>Cono 2 pza 75 cm 2 bandas Reflect. Melba STARLITE</v>
      </c>
      <c r="C1306" s="4">
        <f>IFERROR(__xludf.DUMMYFUNCTION("""COMPUTED_VALUE"""),9.575999999999999)</f>
        <v>9.576</v>
      </c>
    </row>
    <row r="1307">
      <c r="A1307" s="4" t="str">
        <f>IFERROR(__xludf.DUMMYFUNCTION("""COMPUTED_VALUE"""),"1653")</f>
        <v>1653</v>
      </c>
      <c r="B1307" s="4" t="str">
        <f>IFERROR(__xludf.DUMMYFUNCTION("""COMPUTED_VALUE"""),"Cono 2 pza 50 cm 1 banda Reflect. Melba BIG FOOT")</f>
        <v>Cono 2 pza 50 cm 1 banda Reflect. Melba BIG FOOT</v>
      </c>
      <c r="C1307" s="4">
        <f>IFERROR(__xludf.DUMMYFUNCTION("""COMPUTED_VALUE"""),7.92)</f>
        <v>7.92</v>
      </c>
    </row>
    <row r="1308">
      <c r="A1308" s="4" t="str">
        <f>IFERROR(__xludf.DUMMYFUNCTION("""COMPUTED_VALUE"""),"1654")</f>
        <v>1654</v>
      </c>
      <c r="B1308" s="4" t="str">
        <f>IFERROR(__xludf.DUMMYFUNCTION("""COMPUTED_VALUE"""),"Cono 2 pza 75 cm 1 banda Reflect. Melba BIG FOOT")</f>
        <v>Cono 2 pza 75 cm 1 banda Reflect. Melba BIG FOOT</v>
      </c>
      <c r="C1308" s="4">
        <f>IFERROR(__xludf.DUMMYFUNCTION("""COMPUTED_VALUE"""),10.799999999999999)</f>
        <v>10.8</v>
      </c>
    </row>
    <row r="1309">
      <c r="A1309" s="4" t="str">
        <f>IFERROR(__xludf.DUMMYFUNCTION("""COMPUTED_VALUE"""),"1655")</f>
        <v>1655</v>
      </c>
      <c r="B1309" s="4" t="str">
        <f>IFERROR(__xludf.DUMMYFUNCTION("""COMPUTED_VALUE"""),"Cono 2 pza 100 cm 1 banda Reflect. Melba BIG FOOT")</f>
        <v>Cono 2 pza 100 cm 1 banda Reflect. Melba BIG FOOT</v>
      </c>
      <c r="C1309" s="4">
        <f>IFERROR(__xludf.DUMMYFUNCTION("""COMPUTED_VALUE"""),16.56)</f>
        <v>16.56</v>
      </c>
    </row>
    <row r="1310">
      <c r="A1310" s="4" t="str">
        <f>IFERROR(__xludf.DUMMYFUNCTION("""COMPUTED_VALUE"""),"1672")</f>
        <v>1672</v>
      </c>
      <c r="B1310" s="4" t="str">
        <f>IFERROR(__xludf.DUMMYFUNCTION("""COMPUTED_VALUE"""),"Pareja semaforos portatiles desmontables Leds mod. B")</f>
        <v>Pareja semaforos portatiles desmontables Leds mod. B</v>
      </c>
      <c r="C1310" s="4">
        <f>IFERROR(__xludf.DUMMYFUNCTION("""COMPUTED_VALUE"""),1536.0)</f>
        <v>1536</v>
      </c>
    </row>
    <row r="1311">
      <c r="A1311" s="4" t="str">
        <f>IFERROR(__xludf.DUMMYFUNCTION("""COMPUTED_VALUE"""),"1673")</f>
        <v>1673</v>
      </c>
      <c r="B1311" s="4" t="str">
        <f>IFERROR(__xludf.DUMMYFUNCTION("""COMPUTED_VALUE"""),"Pareja semaforos portatiles desmont. Led c/ contador de")</f>
        <v>Pareja semaforos portatiles desmont. Led c/ contador de</v>
      </c>
      <c r="C1311" s="4">
        <f>IFERROR(__xludf.DUMMYFUNCTION("""COMPUTED_VALUE"""),1632.0)</f>
        <v>1632</v>
      </c>
    </row>
    <row r="1312">
      <c r="A1312" s="4" t="str">
        <f>IFERROR(__xludf.DUMMYFUNCTION("""COMPUTED_VALUE"""),"1673C")</f>
        <v>1673C</v>
      </c>
      <c r="B1312" s="4" t="str">
        <f>IFERROR(__xludf.DUMMYFUNCTION("""COMPUTED_VALUE"""),"Juego de centralitas semaforos Mod.D")</f>
        <v>Juego de centralitas semaforos Mod.D</v>
      </c>
      <c r="C1312" s="4">
        <f>IFERROR(__xludf.DUMMYFUNCTION("""COMPUTED_VALUE"""),326.4)</f>
        <v>326.4</v>
      </c>
    </row>
    <row r="1313">
      <c r="A1313" s="4" t="str">
        <f>IFERROR(__xludf.DUMMYFUNCTION("""COMPUTED_VALUE"""),"1674")</f>
        <v>1674</v>
      </c>
      <c r="B1313" s="4" t="str">
        <f>IFERROR(__xludf.DUMMYFUNCTION("""COMPUTED_VALUE"""),"Pareja semaforos portatiles plegables Led mod. C")</f>
        <v>Pareja semaforos portatiles plegables Led mod. C</v>
      </c>
      <c r="C1313" s="4">
        <f>IFERROR(__xludf.DUMMYFUNCTION("""COMPUTED_VALUE"""),1680.0)</f>
        <v>1680</v>
      </c>
    </row>
    <row r="1314">
      <c r="A1314" s="4" t="str">
        <f>IFERROR(__xludf.DUMMYFUNCTION("""COMPUTED_VALUE"""),"1674/LP")</f>
        <v>1674/LP</v>
      </c>
      <c r="B1314" s="4" t="str">
        <f>IFERROR(__xludf.DUMMYFUNCTION("""COMPUTED_VALUE"""),"Lente plastico semaforo B - C 430126008")</f>
        <v>Lente plastico semaforo B - C 430126008</v>
      </c>
      <c r="C1314" s="4">
        <f>IFERROR(__xludf.DUMMYFUNCTION("""COMPUTED_VALUE"""),33.024)</f>
        <v>33.024</v>
      </c>
    </row>
    <row r="1315">
      <c r="A1315" s="4" t="str">
        <f>IFERROR(__xludf.DUMMYFUNCTION("""COMPUTED_VALUE"""),"1674/PA")</f>
        <v>1674/PA</v>
      </c>
      <c r="B1315" s="4" t="str">
        <f>IFERROR(__xludf.DUMMYFUNCTION("""COMPUTED_VALUE"""),"Panel Led amarillo semaforo B - C 430208019")</f>
        <v>Panel Led amarillo semaforo B - C 430208019</v>
      </c>
      <c r="C1315" s="4">
        <f>IFERROR(__xludf.DUMMYFUNCTION("""COMPUTED_VALUE"""),106.992)</f>
        <v>106.992</v>
      </c>
    </row>
    <row r="1316">
      <c r="A1316" s="4" t="str">
        <f>IFERROR(__xludf.DUMMYFUNCTION("""COMPUTED_VALUE"""),"1674/PR")</f>
        <v>1674/PR</v>
      </c>
      <c r="B1316" s="4" t="str">
        <f>IFERROR(__xludf.DUMMYFUNCTION("""COMPUTED_VALUE"""),"Panel Led rojo semaforos B - C 430208020")</f>
        <v>Panel Led rojo semaforos B - C 430208020</v>
      </c>
      <c r="C1316" s="4">
        <f>IFERROR(__xludf.DUMMYFUNCTION("""COMPUTED_VALUE"""),106.992)</f>
        <v>106.992</v>
      </c>
    </row>
    <row r="1317">
      <c r="A1317" s="4" t="str">
        <f>IFERROR(__xludf.DUMMYFUNCTION("""COMPUTED_VALUE"""),"1674/PV")</f>
        <v>1674/PV</v>
      </c>
      <c r="B1317" s="4" t="str">
        <f>IFERROR(__xludf.DUMMYFUNCTION("""COMPUTED_VALUE"""),"Panel Led verde semaforos B - C 430208018")</f>
        <v>Panel Led verde semaforos B - C 430208018</v>
      </c>
      <c r="C1317" s="4">
        <f>IFERROR(__xludf.DUMMYFUNCTION("""COMPUTED_VALUE"""),106.992)</f>
        <v>106.992</v>
      </c>
    </row>
    <row r="1318">
      <c r="A1318" s="4" t="str">
        <f>IFERROR(__xludf.DUMMYFUNCTION("""COMPUTED_VALUE"""),"1674/V")</f>
        <v>1674/V</v>
      </c>
      <c r="B1318" s="4" t="str">
        <f>IFERROR(__xludf.DUMMYFUNCTION("""COMPUTED_VALUE"""),"Visera amarilla semaforo B - C 430126009")</f>
        <v>Visera amarilla semaforo B - C 430126009</v>
      </c>
      <c r="C1318" s="4">
        <f>IFERROR(__xludf.DUMMYFUNCTION("""COMPUTED_VALUE"""),26.016000000000002)</f>
        <v>26.016</v>
      </c>
    </row>
    <row r="1319">
      <c r="A1319" s="4" t="str">
        <f>IFERROR(__xludf.DUMMYFUNCTION("""COMPUTED_VALUE"""),"1674C")</f>
        <v>1674C</v>
      </c>
      <c r="B1319" s="4" t="str">
        <f>IFERROR(__xludf.DUMMYFUNCTION("""COMPUTED_VALUE"""),"Cabeza semáforo3 luces 431231016")</f>
        <v>Cabeza semáforo3 luces 431231016</v>
      </c>
      <c r="C1319" s="4">
        <f>IFERROR(__xludf.DUMMYFUNCTION("""COMPUTED_VALUE"""),374.4)</f>
        <v>374.4</v>
      </c>
    </row>
    <row r="1320">
      <c r="A1320" s="4" t="str">
        <f>IFERROR(__xludf.DUMMYFUNCTION("""COMPUTED_VALUE"""),"1674D")</f>
        <v>1674D</v>
      </c>
      <c r="B1320" s="4" t="str">
        <f>IFERROR(__xludf.DUMMYFUNCTION("""COMPUTED_VALUE"""),"Recambio pie semáforo 400900000")</f>
        <v>Recambio pie semáforo 400900000</v>
      </c>
      <c r="C1320" s="4">
        <f>IFERROR(__xludf.DUMMYFUNCTION("""COMPUTED_VALUE"""),33.6)</f>
        <v>33.6</v>
      </c>
    </row>
    <row r="1321">
      <c r="A1321" s="4" t="str">
        <f>IFERROR(__xludf.DUMMYFUNCTION("""COMPUTED_VALUE"""),"1674E")</f>
        <v>1674E</v>
      </c>
      <c r="B1321" s="4" t="str">
        <f>IFERROR(__xludf.DUMMYFUNCTION("""COMPUTED_VALUE"""),"Recambio poste enganche base semáforo 250303006")</f>
        <v>Recambio poste enganche base semáforo 250303006</v>
      </c>
      <c r="C1321" s="4">
        <f>IFERROR(__xludf.DUMMYFUNCTION("""COMPUTED_VALUE"""),67.2)</f>
        <v>67.2</v>
      </c>
    </row>
    <row r="1322">
      <c r="A1322" s="4" t="str">
        <f>IFERROR(__xludf.DUMMYFUNCTION("""COMPUTED_VALUE"""),"1674F")</f>
        <v>1674F</v>
      </c>
      <c r="B1322" s="4" t="str">
        <f>IFERROR(__xludf.DUMMYFUNCTION("""COMPUTED_VALUE"""),"Recambio rueda semáforo 409000006")</f>
        <v>Recambio rueda semáforo 409000006</v>
      </c>
      <c r="C1322" s="4">
        <f>IFERROR(__xludf.DUMMYFUNCTION("""COMPUTED_VALUE"""),25.919999999999998)</f>
        <v>25.92</v>
      </c>
    </row>
    <row r="1323">
      <c r="A1323" s="4" t="str">
        <f>IFERROR(__xludf.DUMMYFUNCTION("""COMPUTED_VALUE"""),"1674G")</f>
        <v>1674G</v>
      </c>
      <c r="B1323" s="4" t="str">
        <f>IFERROR(__xludf.DUMMYFUNCTION("""COMPUTED_VALUE"""),"Pasador de seguridad semáforo 251636400")</f>
        <v>Pasador de seguridad semáforo 251636400</v>
      </c>
      <c r="C1323" s="4">
        <f>IFERROR(__xludf.DUMMYFUNCTION("""COMPUTED_VALUE"""),6.144)</f>
        <v>6.144</v>
      </c>
    </row>
    <row r="1324">
      <c r="A1324" s="4" t="str">
        <f>IFERROR(__xludf.DUMMYFUNCTION("""COMPUTED_VALUE"""),"1674H")</f>
        <v>1674H</v>
      </c>
      <c r="B1324" s="4" t="str">
        <f>IFERROR(__xludf.DUMMYFUNCTION("""COMPUTED_VALUE"""),"Recambio cierre semáforo 1674")</f>
        <v>Recambio cierre semáforo 1674</v>
      </c>
      <c r="C1324" s="4">
        <f>IFERROR(__xludf.DUMMYFUNCTION("""COMPUTED_VALUE"""),23.04)</f>
        <v>23.04</v>
      </c>
    </row>
    <row r="1325">
      <c r="A1325" s="4" t="str">
        <f>IFERROR(__xludf.DUMMYFUNCTION("""COMPUTED_VALUE"""),"1674K")</f>
        <v>1674K</v>
      </c>
      <c r="B1325" s="4" t="str">
        <f>IFERROR(__xludf.DUMMYFUNCTION("""COMPUTED_VALUE"""),"Kit solar 50w alimentación semáforos")</f>
        <v>Kit solar 50w alimentación semáforos</v>
      </c>
      <c r="C1325" s="4">
        <f>IFERROR(__xludf.DUMMYFUNCTION("""COMPUTED_VALUE"""),1008.0)</f>
        <v>1008</v>
      </c>
    </row>
    <row r="1326">
      <c r="A1326" s="4" t="str">
        <f>IFERROR(__xludf.DUMMYFUNCTION("""COMPUTED_VALUE"""),"1674Z")</f>
        <v>1674Z</v>
      </c>
      <c r="B1326" s="4" t="str">
        <f>IFERROR(__xludf.DUMMYFUNCTION("""COMPUTED_VALUE"""),"Conexión semáforos batería")</f>
        <v>Conexión semáforos batería</v>
      </c>
      <c r="C1326" s="4">
        <f>IFERROR(__xludf.DUMMYFUNCTION("""COMPUTED_VALUE"""),17.28)</f>
        <v>17.28</v>
      </c>
    </row>
    <row r="1327">
      <c r="A1327" s="4" t="str">
        <f>IFERROR(__xludf.DUMMYFUNCTION("""COMPUTED_VALUE"""),"1676")</f>
        <v>1676</v>
      </c>
      <c r="B1327" s="4" t="str">
        <f>IFERROR(__xludf.DUMMYFUNCTION("""COMPUTED_VALUE"""),"Secuencial 5 luces Inalambricas rafiofrecuencia")</f>
        <v>Secuencial 5 luces Inalambricas rafiofrecuencia</v>
      </c>
      <c r="C1327" s="4">
        <f>IFERROR(__xludf.DUMMYFUNCTION("""COMPUTED_VALUE"""),705.096)</f>
        <v>705.096</v>
      </c>
    </row>
    <row r="1328">
      <c r="A1328" s="4" t="str">
        <f>IFERROR(__xludf.DUMMYFUNCTION("""COMPUTED_VALUE"""),"1676/BAL")</f>
        <v>1676/BAL</v>
      </c>
      <c r="B1328" s="4" t="str">
        <f>IFERROR(__xludf.DUMMYFUNCTION("""COMPUTED_VALUE"""),"Baliza secuencia radiofrecuencia")</f>
        <v>Baliza secuencia radiofrecuencia</v>
      </c>
      <c r="C1328" s="4">
        <f>IFERROR(__xludf.DUMMYFUNCTION("""COMPUTED_VALUE"""),136.07999999999998)</f>
        <v>136.08</v>
      </c>
    </row>
    <row r="1329">
      <c r="A1329" s="4" t="str">
        <f>IFERROR(__xludf.DUMMYFUNCTION("""COMPUTED_VALUE"""),"1676/LEN")</f>
        <v>1676/LEN</v>
      </c>
      <c r="B1329" s="4" t="str">
        <f>IFERROR(__xludf.DUMMYFUNCTION("""COMPUTED_VALUE"""),"Lente delantera baliza radiofrecuencia")</f>
        <v>Lente delantera baliza radiofrecuencia</v>
      </c>
      <c r="C1329" s="4">
        <f>IFERROR(__xludf.DUMMYFUNCTION("""COMPUTED_VALUE"""),7.56)</f>
        <v>7.56</v>
      </c>
    </row>
    <row r="1330">
      <c r="A1330" s="4" t="str">
        <f>IFERROR(__xludf.DUMMYFUNCTION("""COMPUTED_VALUE"""),"1677")</f>
        <v>1677</v>
      </c>
      <c r="B1330" s="4" t="str">
        <f>IFERROR(__xludf.DUMMYFUNCTION("""COMPUTED_VALUE"""),"Secuencial completo 5 elementos inalambricos por")</f>
        <v>Secuencial completo 5 elementos inalambricos por</v>
      </c>
      <c r="C1330" s="4">
        <f>IFERROR(__xludf.DUMMYFUNCTION("""COMPUTED_VALUE"""),1032.0)</f>
        <v>1032</v>
      </c>
    </row>
    <row r="1331">
      <c r="A1331" s="4" t="str">
        <f>IFERROR(__xludf.DUMMYFUNCTION("""COMPUTED_VALUE"""),"1678")</f>
        <v>1678</v>
      </c>
      <c r="B1331" s="4" t="str">
        <f>IFERROR(__xludf.DUMMYFUNCTION("""COMPUTED_VALUE"""),"Abanderado electromecanico")</f>
        <v>Abanderado electromecanico</v>
      </c>
      <c r="C1331" s="4">
        <f>IFERROR(__xludf.DUMMYFUNCTION("""COMPUTED_VALUE"""),816.0)</f>
        <v>816</v>
      </c>
    </row>
    <row r="1332">
      <c r="A1332" s="4" t="str">
        <f>IFERROR(__xludf.DUMMYFUNCTION("""COMPUTED_VALUE"""),"1679")</f>
        <v>1679</v>
      </c>
      <c r="B1332" s="4" t="str">
        <f>IFERROR(__xludf.DUMMYFUNCTION("""COMPUTED_VALUE"""),"Juego centralitas electronicas semaforo mod. B y C")</f>
        <v>Juego centralitas electronicas semaforo mod. B y C</v>
      </c>
      <c r="C1332" s="4">
        <f>IFERROR(__xludf.DUMMYFUNCTION("""COMPUTED_VALUE"""),326.4)</f>
        <v>326.4</v>
      </c>
    </row>
    <row r="1333">
      <c r="A1333" s="4" t="str">
        <f>IFERROR(__xludf.DUMMYFUNCTION("""COMPUTED_VALUE"""),"1682")</f>
        <v>1682</v>
      </c>
      <c r="B1333" s="4" t="str">
        <f>IFERROR(__xludf.DUMMYFUNCTION("""COMPUTED_VALUE"""),"Rotativo Halog.55 W 12V Mod. Plus (iman+ ventosa)")</f>
        <v>Rotativo Halog.55 W 12V Mod. Plus (iman+ ventosa)</v>
      </c>
      <c r="C1333" s="4">
        <f>IFERROR(__xludf.DUMMYFUNCTION("""COMPUTED_VALUE"""),35.3568)</f>
        <v>35.3568</v>
      </c>
    </row>
    <row r="1334">
      <c r="A1334" s="4" t="str">
        <f>IFERROR(__xludf.DUMMYFUNCTION("""COMPUTED_VALUE"""),"1682/ALARG")</f>
        <v>1682/ALARG</v>
      </c>
      <c r="B1334" s="4" t="str">
        <f>IFERROR(__xludf.DUMMYFUNCTION("""COMPUTED_VALUE"""),"Cable rizado alargadera para Rotativo Mod. Plus")</f>
        <v>Cable rizado alargadera para Rotativo Mod. Plus</v>
      </c>
      <c r="C1334" s="4">
        <f>IFERROR(__xludf.DUMMYFUNCTION("""COMPUTED_VALUE"""),8.64)</f>
        <v>8.64</v>
      </c>
    </row>
    <row r="1335">
      <c r="A1335" s="4" t="str">
        <f>IFERROR(__xludf.DUMMYFUNCTION("""COMPUTED_VALUE"""),"1683")</f>
        <v>1683</v>
      </c>
      <c r="B1335" s="4" t="str">
        <f>IFERROR(__xludf.DUMMYFUNCTION("""COMPUTED_VALUE"""),"Juego 3 focos Leds 10 cm para señal metalica")</f>
        <v>Juego 3 focos Leds 10 cm para señal metalica</v>
      </c>
      <c r="C1335" s="4">
        <f>IFERROR(__xludf.DUMMYFUNCTION("""COMPUTED_VALUE"""),283.3632)</f>
        <v>283.3632</v>
      </c>
    </row>
    <row r="1336">
      <c r="A1336" s="4" t="str">
        <f>IFERROR(__xludf.DUMMYFUNCTION("""COMPUTED_VALUE"""),"1684")</f>
        <v>1684</v>
      </c>
      <c r="B1336" s="4" t="str">
        <f>IFERROR(__xludf.DUMMYFUNCTION("""COMPUTED_VALUE"""),"Rotativo Halogeno magnet. Mod. BASIC")</f>
        <v>Rotativo Halogeno magnet. Mod. BASIC</v>
      </c>
      <c r="C1336" s="4">
        <f>IFERROR(__xludf.DUMMYFUNCTION("""COMPUTED_VALUE"""),13.44)</f>
        <v>13.44</v>
      </c>
    </row>
    <row r="1337">
      <c r="A1337" s="4" t="str">
        <f>IFERROR(__xludf.DUMMYFUNCTION("""COMPUTED_VALUE"""),"1686")</f>
        <v>1686</v>
      </c>
      <c r="B1337" s="4" t="str">
        <f>IFERROR(__xludf.DUMMYFUNCTION("""COMPUTED_VALUE"""),"Conjunto Panel R/B + base caucho")</f>
        <v>Conjunto Panel R/B + base caucho</v>
      </c>
      <c r="C1337" s="4">
        <f>IFERROR(__xludf.DUMMYFUNCTION("""COMPUTED_VALUE"""),39.36)</f>
        <v>39.36</v>
      </c>
    </row>
    <row r="1338">
      <c r="A1338" s="4" t="str">
        <f>IFERROR(__xludf.DUMMYFUNCTION("""COMPUTED_VALUE"""),"1687")</f>
        <v>1687</v>
      </c>
      <c r="B1338" s="4" t="str">
        <f>IFERROR(__xludf.DUMMYFUNCTION("""COMPUTED_VALUE"""),"Rotativo fijo carretilla elevadora 21W 12V A/214")</f>
        <v>Rotativo fijo carretilla elevadora 21W 12V A/214</v>
      </c>
      <c r="C1338" s="4">
        <f>IFERROR(__xludf.DUMMYFUNCTION("""COMPUTED_VALUE"""),25.2)</f>
        <v>25.2</v>
      </c>
    </row>
    <row r="1339">
      <c r="A1339" s="4" t="str">
        <f>IFERROR(__xludf.DUMMYFUNCTION("""COMPUTED_VALUE"""),"1688")</f>
        <v>1688</v>
      </c>
      <c r="B1339" s="4" t="str">
        <f>IFERROR(__xludf.DUMMYFUNCTION("""COMPUTED_VALUE"""),"Panel conjunto 5 Leds para vehículos")</f>
        <v>Panel conjunto 5 Leds para vehículos</v>
      </c>
      <c r="C1339" s="4">
        <f>IFERROR(__xludf.DUMMYFUNCTION("""COMPUTED_VALUE"""),870.912)</f>
        <v>870.912</v>
      </c>
    </row>
    <row r="1340">
      <c r="A1340" s="4" t="str">
        <f>IFERROR(__xludf.DUMMYFUNCTION("""COMPUTED_VALUE"""),"1689")</f>
        <v>1689</v>
      </c>
      <c r="B1340" s="4" t="str">
        <f>IFERROR(__xludf.DUMMYFUNCTION("""COMPUTED_VALUE"""),"Linterna Super-led Basic 12/220v 3 W+ cono amarillo")</f>
        <v>Linterna Super-led Basic 12/220v 3 W+ cono amarillo</v>
      </c>
      <c r="C1340" s="4">
        <f>IFERROR(__xludf.DUMMYFUNCTION("""COMPUTED_VALUE"""),24.96)</f>
        <v>24.96</v>
      </c>
    </row>
    <row r="1341">
      <c r="A1341" s="4" t="str">
        <f>IFERROR(__xludf.DUMMYFUNCTION("""COMPUTED_VALUE"""),"1689B")</f>
        <v>1689B</v>
      </c>
      <c r="B1341" s="4" t="str">
        <f>IFERROR(__xludf.DUMMYFUNCTION("""COMPUTED_VALUE"""),"Batería para Linterna recargable Superled Basic")</f>
        <v>Batería para Linterna recargable Superled Basic</v>
      </c>
      <c r="C1341" s="4">
        <f>IFERROR(__xludf.DUMMYFUNCTION("""COMPUTED_VALUE"""),6.72)</f>
        <v>6.72</v>
      </c>
    </row>
    <row r="1342">
      <c r="A1342" s="4" t="str">
        <f>IFERROR(__xludf.DUMMYFUNCTION("""COMPUTED_VALUE"""),"1689C")</f>
        <v>1689C</v>
      </c>
      <c r="B1342" s="4" t="str">
        <f>IFERROR(__xludf.DUMMYFUNCTION("""COMPUTED_VALUE"""),"Cono para linterna recargable Superled Basic")</f>
        <v>Cono para linterna recargable Superled Basic</v>
      </c>
      <c r="C1342" s="4">
        <f>IFERROR(__xludf.DUMMYFUNCTION("""COMPUTED_VALUE"""),5.76)</f>
        <v>5.76</v>
      </c>
    </row>
    <row r="1343">
      <c r="A1343" s="4" t="str">
        <f>IFERROR(__xludf.DUMMYFUNCTION("""COMPUTED_VALUE"""),"1690")</f>
        <v>1690</v>
      </c>
      <c r="B1343" s="4" t="str">
        <f>IFERROR(__xludf.DUMMYFUNCTION("""COMPUTED_VALUE"""),"Linterna Super-led Polilux 12-220v 3W")</f>
        <v>Linterna Super-led Polilux 12-220v 3W</v>
      </c>
      <c r="C1343" s="4">
        <f>IFERROR(__xludf.DUMMYFUNCTION("""COMPUTED_VALUE"""),239.904)</f>
        <v>239.904</v>
      </c>
    </row>
    <row r="1344">
      <c r="A1344" s="4" t="str">
        <f>IFERROR(__xludf.DUMMYFUNCTION("""COMPUTED_VALUE"""),"1691")</f>
        <v>1691</v>
      </c>
      <c r="B1344" s="4" t="str">
        <f>IFERROR(__xludf.DUMMYFUNCTION("""COMPUTED_VALUE"""),"Paleta difusora Stop-Paso p/linterna profesional")</f>
        <v>Paleta difusora Stop-Paso p/linterna profesional</v>
      </c>
      <c r="C1344" s="4">
        <f>IFERROR(__xludf.DUMMYFUNCTION("""COMPUTED_VALUE"""),33.263999999999996)</f>
        <v>33.264</v>
      </c>
    </row>
    <row r="1345">
      <c r="A1345" s="4" t="str">
        <f>IFERROR(__xludf.DUMMYFUNCTION("""COMPUTED_VALUE"""),"1692")</f>
        <v>1692</v>
      </c>
      <c r="B1345" s="4" t="str">
        <f>IFERROR(__xludf.DUMMYFUNCTION("""COMPUTED_VALUE"""),"Cono amarillo señalizacion p/linterna profesional")</f>
        <v>Cono amarillo señalizacion p/linterna profesional</v>
      </c>
      <c r="C1345" s="4">
        <f>IFERROR(__xludf.DUMMYFUNCTION("""COMPUTED_VALUE"""),6.552)</f>
        <v>6.552</v>
      </c>
    </row>
    <row r="1346">
      <c r="A1346" s="4" t="str">
        <f>IFERROR(__xludf.DUMMYFUNCTION("""COMPUTED_VALUE"""),"1693")</f>
        <v>1693</v>
      </c>
      <c r="B1346" s="4" t="str">
        <f>IFERROR(__xludf.DUMMYFUNCTION("""COMPUTED_VALUE"""),"Avisador acústico para carretilla 97 db")</f>
        <v>Avisador acústico para carretilla 97 db</v>
      </c>
      <c r="C1346" s="4">
        <f>IFERROR(__xludf.DUMMYFUNCTION("""COMPUTED_VALUE"""),25.2)</f>
        <v>25.2</v>
      </c>
    </row>
    <row r="1347">
      <c r="A1347" s="4" t="str">
        <f>IFERROR(__xludf.DUMMYFUNCTION("""COMPUTED_VALUE"""),"1694")</f>
        <v>1694</v>
      </c>
      <c r="B1347" s="4" t="str">
        <f>IFERROR(__xludf.DUMMYFUNCTION("""COMPUTED_VALUE"""),"Rotativo Led 12V base magnetica + ventosa")</f>
        <v>Rotativo Led 12V base magnetica + ventosa</v>
      </c>
      <c r="C1347" s="4">
        <f>IFERROR(__xludf.DUMMYFUNCTION("""COMPUTED_VALUE"""),48.384)</f>
        <v>48.384</v>
      </c>
    </row>
    <row r="1348">
      <c r="A1348" s="4" t="str">
        <f>IFERROR(__xludf.DUMMYFUNCTION("""COMPUTED_VALUE"""),"1697")</f>
        <v>1697</v>
      </c>
      <c r="B1348" s="4" t="str">
        <f>IFERROR(__xludf.DUMMYFUNCTION("""COMPUTED_VALUE"""),"Baston luminoso LED ambar")</f>
        <v>Baston luminoso LED ambar</v>
      </c>
      <c r="C1348" s="4">
        <f>IFERROR(__xludf.DUMMYFUNCTION("""COMPUTED_VALUE"""),7.4399999999999995)</f>
        <v>7.44</v>
      </c>
    </row>
    <row r="1349">
      <c r="A1349" s="4" t="str">
        <f>IFERROR(__xludf.DUMMYFUNCTION("""COMPUTED_VALUE"""),"1700")</f>
        <v>1700</v>
      </c>
      <c r="B1349" s="4" t="str">
        <f>IFERROR(__xludf.DUMMYFUNCTION("""COMPUTED_VALUE"""),"Panel direccional 60x60 8 focos Led 100 mm")</f>
        <v>Panel direccional 60x60 8 focos Led 100 mm</v>
      </c>
      <c r="C1349" s="4">
        <f>IFERROR(__xludf.DUMMYFUNCTION("""COMPUTED_VALUE"""),496.94399999999996)</f>
        <v>496.944</v>
      </c>
    </row>
    <row r="1350">
      <c r="A1350" s="4" t="str">
        <f>IFERROR(__xludf.DUMMYFUNCTION("""COMPUTED_VALUE"""),"1701")</f>
        <v>1701</v>
      </c>
      <c r="B1350" s="4" t="str">
        <f>IFERROR(__xludf.DUMMYFUNCTION("""COMPUTED_VALUE"""),"Panel direccional 90x90 8 Focos Led 200 mm")</f>
        <v>Panel direccional 90x90 8 Focos Led 200 mm</v>
      </c>
      <c r="C1350" s="4">
        <f>IFERROR(__xludf.DUMMYFUNCTION("""COMPUTED_VALUE"""),756.0)</f>
        <v>756</v>
      </c>
    </row>
    <row r="1351">
      <c r="A1351" s="4" t="str">
        <f>IFERROR(__xludf.DUMMYFUNCTION("""COMPUTED_VALUE"""),"1900")</f>
        <v>1900</v>
      </c>
      <c r="B1351" s="4" t="str">
        <f>IFERROR(__xludf.DUMMYFUNCTION("""COMPUTED_VALUE"""),"Reductor veloc. proteccion cables 90x50x5cm")</f>
        <v>Reductor veloc. proteccion cables 90x50x5cm</v>
      </c>
      <c r="C1351" s="4">
        <f>IFERROR(__xludf.DUMMYFUNCTION("""COMPUTED_VALUE"""),43.199999999999996)</f>
        <v>43.2</v>
      </c>
    </row>
    <row r="1352">
      <c r="A1352" s="4" t="str">
        <f>IFERROR(__xludf.DUMMYFUNCTION("""COMPUTED_VALUE"""),"1900B")</f>
        <v>1900B</v>
      </c>
      <c r="B1352" s="4" t="str">
        <f>IFERROR(__xludf.DUMMYFUNCTION("""COMPUTED_VALUE"""),"Reductor veloc. proteccion cables 90x25x4,5 cm")</f>
        <v>Reductor veloc. proteccion cables 90x25x4,5 cm</v>
      </c>
      <c r="C1352" s="4">
        <f>IFERROR(__xludf.DUMMYFUNCTION("""COMPUTED_VALUE"""),38.879999999999995)</f>
        <v>38.88</v>
      </c>
    </row>
    <row r="1353">
      <c r="A1353" s="4" t="str">
        <f>IFERROR(__xludf.DUMMYFUNCTION("""COMPUTED_VALUE"""),"1900C")</f>
        <v>1900C</v>
      </c>
      <c r="B1353" s="4" t="str">
        <f>IFERROR(__xludf.DUMMYFUNCTION("""COMPUTED_VALUE"""),"Rampa proteccion cables 30x82x8,5 cm")</f>
        <v>Rampa proteccion cables 30x82x8,5 cm</v>
      </c>
      <c r="C1353" s="4">
        <f>IFERROR(__xludf.DUMMYFUNCTION("""COMPUTED_VALUE"""),40.08)</f>
        <v>40.08</v>
      </c>
    </row>
    <row r="1354">
      <c r="A1354" s="4" t="str">
        <f>IFERROR(__xludf.DUMMYFUNCTION("""COMPUTED_VALUE"""),"1900D")</f>
        <v>1900D</v>
      </c>
      <c r="B1354" s="4" t="str">
        <f>IFERROR(__xludf.DUMMYFUNCTION("""COMPUTED_VALUE"""),"Reductor Pasacables MOD D")</f>
        <v>Reductor Pasacables MOD D</v>
      </c>
      <c r="C1354" s="4">
        <f>IFERROR(__xludf.DUMMYFUNCTION("""COMPUTED_VALUE"""),37.92)</f>
        <v>37.92</v>
      </c>
    </row>
    <row r="1355">
      <c r="A1355" s="4" t="str">
        <f>IFERROR(__xludf.DUMMYFUNCTION("""COMPUTED_VALUE"""),"1901H")</f>
        <v>1901H</v>
      </c>
      <c r="B1355" s="4" t="str">
        <f>IFERROR(__xludf.DUMMYFUNCTION("""COMPUTED_VALUE"""),"Extremo reductor velocidad 25x50x3 cm Mod B H")</f>
        <v>Extremo reductor velocidad 25x50x3 cm Mod B H</v>
      </c>
      <c r="C1355" s="4">
        <f>IFERROR(__xludf.DUMMYFUNCTION("""COMPUTED_VALUE"""),14.399999999999999)</f>
        <v>14.4</v>
      </c>
    </row>
    <row r="1356">
      <c r="A1356" s="4" t="str">
        <f>IFERROR(__xludf.DUMMYFUNCTION("""COMPUTED_VALUE"""),"1901M")</f>
        <v>1901M</v>
      </c>
      <c r="B1356" s="4" t="str">
        <f>IFERROR(__xludf.DUMMYFUNCTION("""COMPUTED_VALUE"""),"Extremo reductor velocidad 25x50x3 cm Mod B M")</f>
        <v>Extremo reductor velocidad 25x50x3 cm Mod B M</v>
      </c>
      <c r="C1356" s="4">
        <f>IFERROR(__xludf.DUMMYFUNCTION("""COMPUTED_VALUE"""),14.399999999999999)</f>
        <v>14.4</v>
      </c>
    </row>
    <row r="1357">
      <c r="A1357" s="4" t="str">
        <f>IFERROR(__xludf.DUMMYFUNCTION("""COMPUTED_VALUE"""),"1902")</f>
        <v>1902</v>
      </c>
      <c r="B1357" s="4" t="str">
        <f>IFERROR(__xludf.DUMMYFUNCTION("""COMPUTED_VALUE"""),"Reductor Velocidad 50x50x3 cm. Mod. B")</f>
        <v>Reductor Velocidad 50x50x3 cm. Mod. B</v>
      </c>
      <c r="C1357" s="4">
        <f>IFERROR(__xludf.DUMMYFUNCTION("""COMPUTED_VALUE"""),24.1728)</f>
        <v>24.1728</v>
      </c>
    </row>
    <row r="1358">
      <c r="A1358" s="4" t="str">
        <f>IFERROR(__xludf.DUMMYFUNCTION("""COMPUTED_VALUE"""),"1903")</f>
        <v>1903</v>
      </c>
      <c r="B1358" s="4" t="str">
        <f>IFERROR(__xludf.DUMMYFUNCTION("""COMPUTED_VALUE"""),"Reductor Velocidad 50x60x5 cm. Mod. A")</f>
        <v>Reductor Velocidad 50x60x5 cm. Mod. A</v>
      </c>
      <c r="C1358" s="4">
        <f>IFERROR(__xludf.DUMMYFUNCTION("""COMPUTED_VALUE"""),24.863999999999997)</f>
        <v>24.864</v>
      </c>
    </row>
    <row r="1359">
      <c r="A1359" s="4" t="str">
        <f>IFERROR(__xludf.DUMMYFUNCTION("""COMPUTED_VALUE"""),"1903B")</f>
        <v>1903B</v>
      </c>
      <c r="B1359" s="4" t="str">
        <f>IFERROR(__xludf.DUMMYFUNCTION("""COMPUTED_VALUE"""),"Reductor Velocidad 50x60x3 cm. Mod. A")</f>
        <v>Reductor Velocidad 50x60x3 cm. Mod. A</v>
      </c>
      <c r="C1359" s="4">
        <f>IFERROR(__xludf.DUMMYFUNCTION("""COMPUTED_VALUE"""),15.36)</f>
        <v>15.36</v>
      </c>
    </row>
    <row r="1360">
      <c r="A1360" s="4" t="str">
        <f>IFERROR(__xludf.DUMMYFUNCTION("""COMPUTED_VALUE"""),"1904")</f>
        <v>1904</v>
      </c>
      <c r="B1360" s="4" t="str">
        <f>IFERROR(__xludf.DUMMYFUNCTION("""COMPUTED_VALUE"""),"Extremo Reductor velocidad 25x60x5 cm Mod. A")</f>
        <v>Extremo Reductor velocidad 25x60x5 cm Mod. A</v>
      </c>
      <c r="C1360" s="4">
        <f>IFERROR(__xludf.DUMMYFUNCTION("""COMPUTED_VALUE"""),16.272)</f>
        <v>16.272</v>
      </c>
    </row>
    <row r="1361">
      <c r="A1361" s="4" t="str">
        <f>IFERROR(__xludf.DUMMYFUNCTION("""COMPUTED_VALUE"""),"1904B")</f>
        <v>1904B</v>
      </c>
      <c r="B1361" s="4" t="str">
        <f>IFERROR(__xludf.DUMMYFUNCTION("""COMPUTED_VALUE"""),"Extremo reductor Velocidad 50x60x3 cm. Mod. A")</f>
        <v>Extremo reductor Velocidad 50x60x3 cm. Mod. A</v>
      </c>
      <c r="C1361" s="4">
        <f>IFERROR(__xludf.DUMMYFUNCTION("""COMPUTED_VALUE"""),10.799999999999999)</f>
        <v>10.8</v>
      </c>
    </row>
    <row r="1362">
      <c r="A1362" s="4" t="str">
        <f>IFERROR(__xludf.DUMMYFUNCTION("""COMPUTED_VALUE"""),"1908")</f>
        <v>1908</v>
      </c>
      <c r="B1362" s="4" t="str">
        <f>IFERROR(__xludf.DUMMYFUNCTION("""COMPUTED_VALUE"""),"Reductor Velocidad 50x50x5 cm Mod. B")</f>
        <v>Reductor Velocidad 50x50x5 cm Mod. B</v>
      </c>
      <c r="C1362" s="4">
        <f>IFERROR(__xludf.DUMMYFUNCTION("""COMPUTED_VALUE"""),33.36)</f>
        <v>33.36</v>
      </c>
    </row>
    <row r="1363">
      <c r="A1363" s="4" t="str">
        <f>IFERROR(__xludf.DUMMYFUNCTION("""COMPUTED_VALUE"""),"1909H")</f>
        <v>1909H</v>
      </c>
      <c r="B1363" s="4" t="str">
        <f>IFERROR(__xludf.DUMMYFUNCTION("""COMPUTED_VALUE"""),"Extremo reductor velocidad 25x50x5 cm Mod. B H")</f>
        <v>Extremo reductor velocidad 25x50x5 cm Mod. B H</v>
      </c>
      <c r="C1363" s="4">
        <f>IFERROR(__xludf.DUMMYFUNCTION("""COMPUTED_VALUE"""),19.151999999999997)</f>
        <v>19.152</v>
      </c>
    </row>
    <row r="1364">
      <c r="A1364" s="4" t="str">
        <f>IFERROR(__xludf.DUMMYFUNCTION("""COMPUTED_VALUE"""),"1909M")</f>
        <v>1909M</v>
      </c>
      <c r="B1364" s="4" t="str">
        <f>IFERROR(__xludf.DUMMYFUNCTION("""COMPUTED_VALUE"""),"Extremo reductor velocidad 25x50x5 cm Mod. B M")</f>
        <v>Extremo reductor velocidad 25x50x5 cm Mod. B M</v>
      </c>
      <c r="C1364" s="4">
        <f>IFERROR(__xludf.DUMMYFUNCTION("""COMPUTED_VALUE"""),19.151999999999997)</f>
        <v>19.152</v>
      </c>
    </row>
    <row r="1365">
      <c r="A1365" s="4" t="str">
        <f>IFERROR(__xludf.DUMMYFUNCTION("""COMPUTED_VALUE"""),"1910")</f>
        <v>1910</v>
      </c>
      <c r="B1365" s="4" t="str">
        <f>IFERROR(__xludf.DUMMYFUNCTION("""COMPUTED_VALUE"""),"Reductor velocidad - salva cables 50x60x5")</f>
        <v>Reductor velocidad - salva cables 50x60x5</v>
      </c>
      <c r="C1365" s="4">
        <f>IFERROR(__xludf.DUMMYFUNCTION("""COMPUTED_VALUE"""),42.0)</f>
        <v>42</v>
      </c>
    </row>
    <row r="1366">
      <c r="A1366" s="4" t="str">
        <f>IFERROR(__xludf.DUMMYFUNCTION("""COMPUTED_VALUE"""),"1912")</f>
        <v>1912</v>
      </c>
      <c r="B1366" s="4" t="str">
        <f>IFERROR(__xludf.DUMMYFUNCTION("""COMPUTED_VALUE"""),"Reductor Lenticular 22x4")</f>
        <v>Reductor Lenticular 22x4</v>
      </c>
      <c r="C1366" s="4">
        <f>IFERROR(__xludf.DUMMYFUNCTION("""COMPUTED_VALUE"""),7.295999999999999)</f>
        <v>7.296</v>
      </c>
    </row>
    <row r="1367">
      <c r="A1367" s="4" t="str">
        <f>IFERROR(__xludf.DUMMYFUNCTION("""COMPUTED_VALUE"""),"1913/A")</f>
        <v>1913/A</v>
      </c>
      <c r="B1367" s="4" t="str">
        <f>IFERROR(__xludf.DUMMYFUNCTION("""COMPUTED_VALUE"""),"Separador Amarillo carril- bici 1 mt x 15 cm ancho x 5 cm alto")</f>
        <v>Separador Amarillo carril- bici 1 mt x 15 cm ancho x 5 cm alto</v>
      </c>
      <c r="C1367" s="4">
        <f>IFERROR(__xludf.DUMMYFUNCTION("""COMPUTED_VALUE"""),17.28)</f>
        <v>17.28</v>
      </c>
    </row>
    <row r="1368">
      <c r="A1368" s="4" t="str">
        <f>IFERROR(__xludf.DUMMYFUNCTION("""COMPUTED_VALUE"""),"1913/N")</f>
        <v>1913/N</v>
      </c>
      <c r="B1368" s="4" t="str">
        <f>IFERROR(__xludf.DUMMYFUNCTION("""COMPUTED_VALUE"""),"Separador Negro carril-bici 1 mt x 15 cm ancho x 5 cm alto")</f>
        <v>Separador Negro carril-bici 1 mt x 15 cm ancho x 5 cm alto</v>
      </c>
      <c r="C1368" s="4">
        <f>IFERROR(__xludf.DUMMYFUNCTION("""COMPUTED_VALUE"""),17.28)</f>
        <v>17.28</v>
      </c>
    </row>
    <row r="1369">
      <c r="A1369" s="4" t="str">
        <f>IFERROR(__xludf.DUMMYFUNCTION("""COMPUTED_VALUE"""),"1913/R")</f>
        <v>1913/R</v>
      </c>
      <c r="B1369" s="4" t="str">
        <f>IFERROR(__xludf.DUMMYFUNCTION("""COMPUTED_VALUE"""),"Separador Rojo carril-bici 1 mt x 15 cm ancho x 5 cm alto")</f>
        <v>Separador Rojo carril-bici 1 mt x 15 cm ancho x 5 cm alto</v>
      </c>
      <c r="C1369" s="4">
        <f>IFERROR(__xludf.DUMMYFUNCTION("""COMPUTED_VALUE"""),17.28)</f>
        <v>17.28</v>
      </c>
    </row>
    <row r="1370">
      <c r="A1370" s="4" t="str">
        <f>IFERROR(__xludf.DUMMYFUNCTION("""COMPUTED_VALUE"""),"1914")</f>
        <v>1914</v>
      </c>
      <c r="B1370" s="4" t="str">
        <f>IFERROR(__xludf.DUMMYFUNCTION("""COMPUTED_VALUE"""),"Separador carril-bici 77,5 x 16,6 x 9 cm CVT")</f>
        <v>Separador carril-bici 77,5 x 16,6 x 9 cm CVT</v>
      </c>
      <c r="C1370" s="4">
        <f>IFERROR(__xludf.DUMMYFUNCTION("""COMPUTED_VALUE"""),14.016)</f>
        <v>14.016</v>
      </c>
    </row>
    <row r="1371">
      <c r="A1371" s="4" t="str">
        <f>IFERROR(__xludf.DUMMYFUNCTION("""COMPUTED_VALUE"""),"1915")</f>
        <v>1915</v>
      </c>
      <c r="B1371" s="4" t="str">
        <f>IFERROR(__xludf.DUMMYFUNCTION("""COMPUTED_VALUE"""),"Valla extensible PVC 2,50 metros N/A")</f>
        <v>Valla extensible PVC 2,50 metros N/A</v>
      </c>
      <c r="C1371" s="4">
        <f>IFERROR(__xludf.DUMMYFUNCTION("""COMPUTED_VALUE"""),63.36)</f>
        <v>63.36</v>
      </c>
    </row>
    <row r="1372">
      <c r="A1372" s="4" t="str">
        <f>IFERROR(__xludf.DUMMYFUNCTION("""COMPUTED_VALUE"""),"1915/R")</f>
        <v>1915/R</v>
      </c>
      <c r="B1372" s="4" t="str">
        <f>IFERROR(__xludf.DUMMYFUNCTION("""COMPUTED_VALUE"""),"Valla extensible PVC R/B")</f>
        <v>Valla extensible PVC R/B</v>
      </c>
      <c r="C1372" s="4">
        <f>IFERROR(__xludf.DUMMYFUNCTION("""COMPUTED_VALUE"""),75.93599999999999)</f>
        <v>75.936</v>
      </c>
    </row>
    <row r="1373">
      <c r="A1373" s="4" t="str">
        <f>IFERROR(__xludf.DUMMYFUNCTION("""COMPUTED_VALUE"""),"1915M")</f>
        <v>1915M</v>
      </c>
      <c r="B1373" s="4" t="str">
        <f>IFERROR(__xludf.DUMMYFUNCTION("""COMPUTED_VALUE"""),"Utility Barrier 4 pts. 750 mm")</f>
        <v>Utility Barrier 4 pts. 750 mm</v>
      </c>
      <c r="C1373" s="4">
        <f>IFERROR(__xludf.DUMMYFUNCTION("""COMPUTED_VALUE"""),105.6)</f>
        <v>105.6</v>
      </c>
    </row>
    <row r="1374">
      <c r="A1374" s="4" t="str">
        <f>IFERROR(__xludf.DUMMYFUNCTION("""COMPUTED_VALUE"""),"1916")</f>
        <v>1916</v>
      </c>
      <c r="B1374" s="4" t="str">
        <f>IFERROR(__xludf.DUMMYFUNCTION("""COMPUTED_VALUE"""),"Reductor velocidad 50x50x4,5 MOD C")</f>
        <v>Reductor velocidad 50x50x4,5 MOD C</v>
      </c>
      <c r="C1374" s="4">
        <f>IFERROR(__xludf.DUMMYFUNCTION("""COMPUTED_VALUE"""),18.671999999999997)</f>
        <v>18.672</v>
      </c>
    </row>
    <row r="1375">
      <c r="A1375" s="4" t="str">
        <f>IFERROR(__xludf.DUMMYFUNCTION("""COMPUTED_VALUE"""),"1917")</f>
        <v>1917</v>
      </c>
      <c r="B1375" s="4" t="str">
        <f>IFERROR(__xludf.DUMMYFUNCTION("""COMPUTED_VALUE"""),"Extremo reductor velocidad 50x25x4,5 MOD C")</f>
        <v>Extremo reductor velocidad 50x25x4,5 MOD C</v>
      </c>
      <c r="C1375" s="4">
        <f>IFERROR(__xludf.DUMMYFUNCTION("""COMPUTED_VALUE"""),11.76)</f>
        <v>11.76</v>
      </c>
    </row>
    <row r="1376">
      <c r="A1376" s="4" t="str">
        <f>IFERROR(__xludf.DUMMYFUNCTION("""COMPUTED_VALUE"""),"1919")</f>
        <v>1919</v>
      </c>
      <c r="B1376" s="4" t="str">
        <f>IFERROR(__xludf.DUMMYFUNCTION("""COMPUTED_VALUE"""),"Valla alcantarillado 4 ptas Plastico Naranja")</f>
        <v>Valla alcantarillado 4 ptas Plastico Naranja</v>
      </c>
      <c r="C1376" s="4">
        <f>IFERROR(__xludf.DUMMYFUNCTION("""COMPUTED_VALUE"""),95.52)</f>
        <v>95.52</v>
      </c>
    </row>
    <row r="1377">
      <c r="A1377" s="4" t="str">
        <f>IFERROR(__xludf.DUMMYFUNCTION("""COMPUTED_VALUE"""),"1924A")</f>
        <v>1924A</v>
      </c>
      <c r="B1377" s="4" t="str">
        <f>IFERROR(__xludf.DUMMYFUNCTION("""COMPUTED_VALUE"""),"Valla señal. Gate Barrier 2 mtros Amarilla")</f>
        <v>Valla señal. Gate Barrier 2 mtros Amarilla</v>
      </c>
      <c r="C1377" s="4">
        <f>IFERROR(__xludf.DUMMYFUNCTION("""COMPUTED_VALUE"""),53.76)</f>
        <v>53.76</v>
      </c>
    </row>
    <row r="1378">
      <c r="A1378" s="4" t="str">
        <f>IFERROR(__xludf.DUMMYFUNCTION("""COMPUTED_VALUE"""),"1924B")</f>
        <v>1924B</v>
      </c>
      <c r="B1378" s="4" t="str">
        <f>IFERROR(__xludf.DUMMYFUNCTION("""COMPUTED_VALUE"""),"Valla señal. Gate Barrier 2 mtros Blanco")</f>
        <v>Valla señal. Gate Barrier 2 mtros Blanco</v>
      </c>
      <c r="C1378" s="4">
        <f>IFERROR(__xludf.DUMMYFUNCTION("""COMPUTED_VALUE"""),53.76)</f>
        <v>53.76</v>
      </c>
    </row>
    <row r="1379">
      <c r="A1379" s="4" t="str">
        <f>IFERROR(__xludf.DUMMYFUNCTION("""COMPUTED_VALUE"""),"1924N")</f>
        <v>1924N</v>
      </c>
      <c r="B1379" s="4" t="str">
        <f>IFERROR(__xludf.DUMMYFUNCTION("""COMPUTED_VALUE"""),"Valla señal. Gate Barrier 2 mtros Naranja")</f>
        <v>Valla señal. Gate Barrier 2 mtros Naranja</v>
      </c>
      <c r="C1379" s="4">
        <f>IFERROR(__xludf.DUMMYFUNCTION("""COMPUTED_VALUE"""),53.76)</f>
        <v>53.76</v>
      </c>
    </row>
    <row r="1380">
      <c r="A1380" s="4" t="str">
        <f>IFERROR(__xludf.DUMMYFUNCTION("""COMPUTED_VALUE"""),"1924R")</f>
        <v>1924R</v>
      </c>
      <c r="B1380" s="4" t="str">
        <f>IFERROR(__xludf.DUMMYFUNCTION("""COMPUTED_VALUE"""),"Valla Señal. Gate Barrier 2 mtros. Roja")</f>
        <v>Valla Señal. Gate Barrier 2 mtros. Roja</v>
      </c>
      <c r="C1380" s="4">
        <f>IFERROR(__xludf.DUMMYFUNCTION("""COMPUTED_VALUE"""),53.76)</f>
        <v>53.76</v>
      </c>
    </row>
    <row r="1381">
      <c r="A1381" s="4" t="str">
        <f>IFERROR(__xludf.DUMMYFUNCTION("""COMPUTED_VALUE"""),"1924V")</f>
        <v>1924V</v>
      </c>
      <c r="B1381" s="4" t="str">
        <f>IFERROR(__xludf.DUMMYFUNCTION("""COMPUTED_VALUE"""),"Valla señal. Gate Barrier 2 mtros Verde")</f>
        <v>Valla señal. Gate Barrier 2 mtros Verde</v>
      </c>
      <c r="C1381" s="4">
        <f>IFERROR(__xludf.DUMMYFUNCTION("""COMPUTED_VALUE"""),53.76)</f>
        <v>53.76</v>
      </c>
    </row>
    <row r="1382">
      <c r="A1382" s="4" t="str">
        <f>IFERROR(__xludf.DUMMYFUNCTION("""COMPUTED_VALUE"""),"1924Z")</f>
        <v>1924Z</v>
      </c>
      <c r="B1382" s="4" t="str">
        <f>IFERROR(__xludf.DUMMYFUNCTION("""COMPUTED_VALUE"""),"Valla señal. Gate Barrier 2 mtros Azul")</f>
        <v>Valla señal. Gate Barrier 2 mtros Azul</v>
      </c>
      <c r="C1382" s="4">
        <f>IFERROR(__xludf.DUMMYFUNCTION("""COMPUTED_VALUE"""),53.76)</f>
        <v>53.76</v>
      </c>
    </row>
    <row r="1383">
      <c r="A1383" s="4" t="str">
        <f>IFERROR(__xludf.DUMMYFUNCTION("""COMPUTED_VALUE"""),"1925")</f>
        <v>1925</v>
      </c>
      <c r="B1383" s="4" t="str">
        <f>IFERROR(__xludf.DUMMYFUNCTION("""COMPUTED_VALUE"""),"Placa salva-zanjas 120x80 Mod. Basic")</f>
        <v>Placa salva-zanjas 120x80 Mod. Basic</v>
      </c>
      <c r="C1383" s="4">
        <f>IFERROR(__xludf.DUMMYFUNCTION("""COMPUTED_VALUE"""),75.84)</f>
        <v>75.84</v>
      </c>
    </row>
    <row r="1384">
      <c r="A1384" s="4" t="str">
        <f>IFERROR(__xludf.DUMMYFUNCTION("""COMPUTED_VALUE"""),"1925B")</f>
        <v>1925B</v>
      </c>
      <c r="B1384" s="4" t="str">
        <f>IFERROR(__xludf.DUMMYFUNCTION("""COMPUTED_VALUE"""),"Placa salva-zanjas 120 x 80 antideslizante")</f>
        <v>Placa salva-zanjas 120 x 80 antideslizante</v>
      </c>
      <c r="C1384" s="4">
        <f>IFERROR(__xludf.DUMMYFUNCTION("""COMPUTED_VALUE"""),80.64)</f>
        <v>80.64</v>
      </c>
    </row>
    <row r="1385">
      <c r="A1385" s="4" t="str">
        <f>IFERROR(__xludf.DUMMYFUNCTION("""COMPUTED_VALUE"""),"1925C")</f>
        <v>1925C</v>
      </c>
      <c r="B1385" s="4" t="str">
        <f>IFERROR(__xludf.DUMMYFUNCTION("""COMPUTED_VALUE"""),"Placa salva-zanjas 120x160 antideslizante")</f>
        <v>Placa salva-zanjas 120x160 antideslizante</v>
      </c>
      <c r="C1385" s="4">
        <f>IFERROR(__xludf.DUMMYFUNCTION("""COMPUTED_VALUE"""),191.04)</f>
        <v>191.04</v>
      </c>
    </row>
    <row r="1386">
      <c r="A1386" s="4" t="str">
        <f>IFERROR(__xludf.DUMMYFUNCTION("""COMPUTED_VALUE"""),"1927A")</f>
        <v>1927A</v>
      </c>
      <c r="B1386" s="4" t="str">
        <f>IFERROR(__xludf.DUMMYFUNCTION("""COMPUTED_VALUE"""),"Valla señal. Gate Barrier 1 mt. Amarilla publicitaria")</f>
        <v>Valla señal. Gate Barrier 1 mt. Amarilla publicitaria</v>
      </c>
      <c r="C1386" s="4">
        <f>IFERROR(__xludf.DUMMYFUNCTION("""COMPUTED_VALUE"""),36.0)</f>
        <v>36</v>
      </c>
    </row>
    <row r="1387">
      <c r="A1387" s="4" t="str">
        <f>IFERROR(__xludf.DUMMYFUNCTION("""COMPUTED_VALUE"""),"1927B")</f>
        <v>1927B</v>
      </c>
      <c r="B1387" s="4" t="str">
        <f>IFERROR(__xludf.DUMMYFUNCTION("""COMPUTED_VALUE"""),"Valla señal. Gate Barrier 1 mt. Blanca publicitaria")</f>
        <v>Valla señal. Gate Barrier 1 mt. Blanca publicitaria</v>
      </c>
      <c r="C1387" s="4">
        <f>IFERROR(__xludf.DUMMYFUNCTION("""COMPUTED_VALUE"""),36.0)</f>
        <v>36</v>
      </c>
    </row>
    <row r="1388">
      <c r="A1388" s="4" t="str">
        <f>IFERROR(__xludf.DUMMYFUNCTION("""COMPUTED_VALUE"""),"1927N")</f>
        <v>1927N</v>
      </c>
      <c r="B1388" s="4" t="str">
        <f>IFERROR(__xludf.DUMMYFUNCTION("""COMPUTED_VALUE"""),"Valla señal. Gate Barrier 1 mt. Naranja publicitaria")</f>
        <v>Valla señal. Gate Barrier 1 mt. Naranja publicitaria</v>
      </c>
      <c r="C1388" s="4">
        <f>IFERROR(__xludf.DUMMYFUNCTION("""COMPUTED_VALUE"""),36.0)</f>
        <v>36</v>
      </c>
    </row>
    <row r="1389">
      <c r="A1389" s="4" t="str">
        <f>IFERROR(__xludf.DUMMYFUNCTION("""COMPUTED_VALUE"""),"1927Z")</f>
        <v>1927Z</v>
      </c>
      <c r="B1389" s="4" t="str">
        <f>IFERROR(__xludf.DUMMYFUNCTION("""COMPUTED_VALUE"""),"Valla señal. Gate Barrier 1 mt. Azul publicitaria")</f>
        <v>Valla señal. Gate Barrier 1 mt. Azul publicitaria</v>
      </c>
      <c r="C1389" s="4">
        <f>IFERROR(__xludf.DUMMYFUNCTION("""COMPUTED_VALUE"""),36.0)</f>
        <v>36</v>
      </c>
    </row>
    <row r="1390">
      <c r="A1390" s="4" t="str">
        <f>IFERROR(__xludf.DUMMYFUNCTION("""COMPUTED_VALUE"""),"1928A")</f>
        <v>1928A</v>
      </c>
      <c r="B1390" s="4" t="str">
        <f>IFERROR(__xludf.DUMMYFUNCTION("""COMPUTED_VALUE"""),"Valla GateBarrier Slim 2x1 Amarilla")</f>
        <v>Valla GateBarrier Slim 2x1 Amarilla</v>
      </c>
      <c r="C1390" s="4">
        <f>IFERROR(__xludf.DUMMYFUNCTION("""COMPUTED_VALUE"""),51.839999999999996)</f>
        <v>51.84</v>
      </c>
    </row>
    <row r="1391">
      <c r="A1391" s="4" t="str">
        <f>IFERROR(__xludf.DUMMYFUNCTION("""COMPUTED_VALUE"""),"1929A")</f>
        <v>1929A</v>
      </c>
      <c r="B1391" s="4" t="str">
        <f>IFERROR(__xludf.DUMMYFUNCTION("""COMPUTED_VALUE"""),"Valla 1 mt Gate barrier amarilla")</f>
        <v>Valla 1 mt Gate barrier amarilla</v>
      </c>
      <c r="C1391" s="4">
        <f>IFERROR(__xludf.DUMMYFUNCTION("""COMPUTED_VALUE"""),39.36)</f>
        <v>39.36</v>
      </c>
    </row>
    <row r="1392">
      <c r="A1392" s="4" t="str">
        <f>IFERROR(__xludf.DUMMYFUNCTION("""COMPUTED_VALUE"""),"1929B")</f>
        <v>1929B</v>
      </c>
      <c r="B1392" s="4" t="str">
        <f>IFERROR(__xludf.DUMMYFUNCTION("""COMPUTED_VALUE"""),"Valla 1 mt Gate Barrier Blanca")</f>
        <v>Valla 1 mt Gate Barrier Blanca</v>
      </c>
      <c r="C1392" s="4">
        <f>IFERROR(__xludf.DUMMYFUNCTION("""COMPUTED_VALUE"""),39.36)</f>
        <v>39.36</v>
      </c>
    </row>
    <row r="1393">
      <c r="A1393" s="4" t="str">
        <f>IFERROR(__xludf.DUMMYFUNCTION("""COMPUTED_VALUE"""),"1929N")</f>
        <v>1929N</v>
      </c>
      <c r="B1393" s="4" t="str">
        <f>IFERROR(__xludf.DUMMYFUNCTION("""COMPUTED_VALUE"""),"Valla 1 mt Gate barrier Naranja")</f>
        <v>Valla 1 mt Gate barrier Naranja</v>
      </c>
      <c r="C1393" s="4">
        <f>IFERROR(__xludf.DUMMYFUNCTION("""COMPUTED_VALUE"""),39.36)</f>
        <v>39.36</v>
      </c>
    </row>
    <row r="1394">
      <c r="A1394" s="4" t="str">
        <f>IFERROR(__xludf.DUMMYFUNCTION("""COMPUTED_VALUE"""),"1929Z")</f>
        <v>1929Z</v>
      </c>
      <c r="B1394" s="4" t="str">
        <f>IFERROR(__xludf.DUMMYFUNCTION("""COMPUTED_VALUE"""),"Valla 1 mt Gate barrier azul")</f>
        <v>Valla 1 mt Gate barrier azul</v>
      </c>
      <c r="C1394" s="4">
        <f>IFERROR(__xludf.DUMMYFUNCTION("""COMPUTED_VALUE"""),39.36)</f>
        <v>39.36</v>
      </c>
    </row>
    <row r="1395">
      <c r="A1395" s="4" t="str">
        <f>IFERROR(__xludf.DUMMYFUNCTION("""COMPUTED_VALUE"""),"1931")</f>
        <v>1931</v>
      </c>
      <c r="B1395" s="4" t="str">
        <f>IFERROR(__xludf.DUMMYFUNCTION("""COMPUTED_VALUE"""),"Reductor Velocidad 50x44x5 cm Mod. D negro")</f>
        <v>Reductor Velocidad 50x44x5 cm Mod. D negro</v>
      </c>
      <c r="C1395" s="4">
        <f>IFERROR(__xludf.DUMMYFUNCTION("""COMPUTED_VALUE"""),23.279999999999998)</f>
        <v>23.28</v>
      </c>
    </row>
    <row r="1396">
      <c r="A1396" s="4" t="str">
        <f>IFERROR(__xludf.DUMMYFUNCTION("""COMPUTED_VALUE"""),"1932")</f>
        <v>1932</v>
      </c>
      <c r="B1396" s="4" t="str">
        <f>IFERROR(__xludf.DUMMYFUNCTION("""COMPUTED_VALUE"""),"Reductor Velocidad 50x44X5cm Mod. D Amarillo")</f>
        <v>Reductor Velocidad 50x44X5cm Mod. D Amarillo</v>
      </c>
      <c r="C1396" s="4">
        <f>IFERROR(__xludf.DUMMYFUNCTION("""COMPUTED_VALUE"""),23.279999999999998)</f>
        <v>23.28</v>
      </c>
    </row>
    <row r="1397">
      <c r="A1397" s="4" t="str">
        <f>IFERROR(__xludf.DUMMYFUNCTION("""COMPUTED_VALUE"""),"1933")</f>
        <v>1933</v>
      </c>
      <c r="B1397" s="4" t="str">
        <f>IFERROR(__xludf.DUMMYFUNCTION("""COMPUTED_VALUE"""),"Extremo reductor velocidad 21x42.5x5 cm Mod. D Negro")</f>
        <v>Extremo reductor velocidad 21x42.5x5 cm Mod. D Negro</v>
      </c>
      <c r="C1397" s="4">
        <f>IFERROR(__xludf.DUMMYFUNCTION("""COMPUTED_VALUE"""),15.6)</f>
        <v>15.6</v>
      </c>
    </row>
    <row r="1398">
      <c r="A1398" s="4" t="str">
        <f>IFERROR(__xludf.DUMMYFUNCTION("""COMPUTED_VALUE"""),"1934")</f>
        <v>1934</v>
      </c>
      <c r="B1398" s="4" t="str">
        <f>IFERROR(__xludf.DUMMYFUNCTION("""COMPUTED_VALUE"""),"Extremo reductor velocidad 21x42.5x5 cm Mod. D Amarillo")</f>
        <v>Extremo reductor velocidad 21x42.5x5 cm Mod. D Amarillo</v>
      </c>
      <c r="C1398" s="4">
        <f>IFERROR(__xludf.DUMMYFUNCTION("""COMPUTED_VALUE"""),15.6)</f>
        <v>15.6</v>
      </c>
    </row>
    <row r="1399">
      <c r="A1399" s="4" t="str">
        <f>IFERROR(__xludf.DUMMYFUNCTION("""COMPUTED_VALUE"""),"1937")</f>
        <v>1937</v>
      </c>
      <c r="B1399" s="4" t="str">
        <f>IFERROR(__xludf.DUMMYFUNCTION("""COMPUTED_VALUE"""),"Valla Señal. Olimpic Barrier 2 m Naranja")</f>
        <v>Valla Señal. Olimpic Barrier 2 m Naranja</v>
      </c>
      <c r="C1399" s="4">
        <f>IFERROR(__xludf.DUMMYFUNCTION("""COMPUTED_VALUE"""),69.6)</f>
        <v>69.6</v>
      </c>
    </row>
    <row r="1400">
      <c r="A1400" s="4" t="str">
        <f>IFERROR(__xludf.DUMMYFUNCTION("""COMPUTED_VALUE"""),"1938")</f>
        <v>1938</v>
      </c>
      <c r="B1400" s="4" t="str">
        <f>IFERROR(__xludf.DUMMYFUNCTION("""COMPUTED_VALUE"""),"Valla Señal. Wonderwall Naranja COMPLETO 1000x1140x500")</f>
        <v>Valla Señal. Wonderwall Naranja COMPLETO 1000x1140x500</v>
      </c>
      <c r="C1400" s="4">
        <f>IFERROR(__xludf.DUMMYFUNCTION("""COMPUTED_VALUE"""),71.03999999999999)</f>
        <v>71.04</v>
      </c>
    </row>
    <row r="1401">
      <c r="A1401" s="4" t="str">
        <f>IFERROR(__xludf.DUMMYFUNCTION("""COMPUTED_VALUE"""),"1938B")</f>
        <v>1938B</v>
      </c>
      <c r="B1401" s="4" t="str">
        <f>IFERROR(__xludf.DUMMYFUNCTION("""COMPUTED_VALUE"""),"Valla Señal. Wonderwall Naranja BASE")</f>
        <v>Valla Señal. Wonderwall Naranja BASE</v>
      </c>
      <c r="C1401" s="4">
        <f>IFERROR(__xludf.DUMMYFUNCTION("""COMPUTED_VALUE"""),21.599999999999998)</f>
        <v>21.6</v>
      </c>
    </row>
    <row r="1402">
      <c r="A1402" s="4" t="str">
        <f>IFERROR(__xludf.DUMMYFUNCTION("""COMPUTED_VALUE"""),"1938T")</f>
        <v>1938T</v>
      </c>
      <c r="B1402" s="4" t="str">
        <f>IFERROR(__xludf.DUMMYFUNCTION("""COMPUTED_VALUE"""),"Valla Señal. Wonderwall Naranja TOP")</f>
        <v>Valla Señal. Wonderwall Naranja TOP</v>
      </c>
      <c r="C1402" s="4">
        <f>IFERROR(__xludf.DUMMYFUNCTION("""COMPUTED_VALUE"""),47.04)</f>
        <v>47.04</v>
      </c>
    </row>
    <row r="1403">
      <c r="A1403" s="4" t="str">
        <f>IFERROR(__xludf.DUMMYFUNCTION("""COMPUTED_VALUE"""),"1939B")</f>
        <v>1939B</v>
      </c>
      <c r="B1403" s="4" t="str">
        <f>IFERROR(__xludf.DUMMYFUNCTION("""COMPUTED_VALUE"""),"Barrera mediana Budda Barrier 800x1040x280 Blanca")</f>
        <v>Barrera mediana Budda Barrier 800x1040x280 Blanca</v>
      </c>
      <c r="C1403" s="4">
        <f>IFERROR(__xludf.DUMMYFUNCTION("""COMPUTED_VALUE"""),53.76)</f>
        <v>53.76</v>
      </c>
    </row>
    <row r="1404">
      <c r="A1404" s="4" t="str">
        <f>IFERROR(__xludf.DUMMYFUNCTION("""COMPUTED_VALUE"""),"1939R")</f>
        <v>1939R</v>
      </c>
      <c r="B1404" s="4" t="str">
        <f>IFERROR(__xludf.DUMMYFUNCTION("""COMPUTED_VALUE"""),"Barrera mediana Budda Barrier 800x1040x280 Roja")</f>
        <v>Barrera mediana Budda Barrier 800x1040x280 Roja</v>
      </c>
      <c r="C1404" s="4">
        <f>IFERROR(__xludf.DUMMYFUNCTION("""COMPUTED_VALUE"""),53.76)</f>
        <v>53.76</v>
      </c>
    </row>
    <row r="1405">
      <c r="A1405" s="4" t="str">
        <f>IFERROR(__xludf.DUMMYFUNCTION("""COMPUTED_VALUE"""),"1940B")</f>
        <v>1940B</v>
      </c>
      <c r="B1405" s="4" t="str">
        <f>IFERROR(__xludf.DUMMYFUNCTION("""COMPUTED_VALUE"""),"Mini Double top Valla 1115x535 mm blanca")</f>
        <v>Mini Double top Valla 1115x535 mm blanca</v>
      </c>
      <c r="C1405" s="4">
        <f>IFERROR(__xludf.DUMMYFUNCTION("""COMPUTED_VALUE"""),42.239999999999995)</f>
        <v>42.24</v>
      </c>
    </row>
    <row r="1406">
      <c r="A1406" s="4" t="str">
        <f>IFERROR(__xludf.DUMMYFUNCTION("""COMPUTED_VALUE"""),"1940R")</f>
        <v>1940R</v>
      </c>
      <c r="B1406" s="4" t="str">
        <f>IFERROR(__xludf.DUMMYFUNCTION("""COMPUTED_VALUE"""),"Mini Double top Valla 1115x535 mm roja")</f>
        <v>Mini Double top Valla 1115x535 mm roja</v>
      </c>
      <c r="C1406" s="4">
        <f>IFERROR(__xludf.DUMMYFUNCTION("""COMPUTED_VALUE"""),42.239999999999995)</f>
        <v>42.24</v>
      </c>
    </row>
    <row r="1407">
      <c r="A1407" s="4" t="str">
        <f>IFERROR(__xludf.DUMMYFUNCTION("""COMPUTED_VALUE"""),"1941B")</f>
        <v>1941B</v>
      </c>
      <c r="B1407" s="4" t="str">
        <f>IFERROR(__xludf.DUMMYFUNCTION("""COMPUTED_VALUE"""),"Double top Valla 1115x1000 mm blanca")</f>
        <v>Double top Valla 1115x1000 mm blanca</v>
      </c>
      <c r="C1407" s="4">
        <f>IFERROR(__xludf.DUMMYFUNCTION("""COMPUTED_VALUE"""),45.12)</f>
        <v>45.12</v>
      </c>
    </row>
    <row r="1408">
      <c r="A1408" s="4" t="str">
        <f>IFERROR(__xludf.DUMMYFUNCTION("""COMPUTED_VALUE"""),"1941R")</f>
        <v>1941R</v>
      </c>
      <c r="B1408" s="4" t="str">
        <f>IFERROR(__xludf.DUMMYFUNCTION("""COMPUTED_VALUE"""),"Double top Valla 1115x1000 mm roja")</f>
        <v>Double top Valla 1115x1000 mm roja</v>
      </c>
      <c r="C1408" s="4">
        <f>IFERROR(__xludf.DUMMYFUNCTION("""COMPUTED_VALUE"""),45.12)</f>
        <v>45.12</v>
      </c>
    </row>
    <row r="1409">
      <c r="A1409" s="4" t="str">
        <f>IFERROR(__xludf.DUMMYFUNCTION("""COMPUTED_VALUE"""),"1942A")</f>
        <v>1942A</v>
      </c>
      <c r="B1409" s="4" t="str">
        <f>IFERROR(__xludf.DUMMYFUNCTION("""COMPUTED_VALUE"""),"Valla señal.Slim Gate Barrier 2 mtros Amarilla")</f>
        <v>Valla señal.Slim Gate Barrier 2 mtros Amarilla</v>
      </c>
      <c r="C1409" s="4">
        <f>IFERROR(__xludf.DUMMYFUNCTION("""COMPUTED_VALUE"""),50.879999999999995)</f>
        <v>50.88</v>
      </c>
    </row>
    <row r="1410">
      <c r="A1410" s="4" t="str">
        <f>IFERROR(__xludf.DUMMYFUNCTION("""COMPUTED_VALUE"""),"1942B")</f>
        <v>1942B</v>
      </c>
      <c r="B1410" s="4" t="str">
        <f>IFERROR(__xludf.DUMMYFUNCTION("""COMPUTED_VALUE"""),"Valla señal.Slim Gate Barrier 2 mtros Blanco")</f>
        <v>Valla señal.Slim Gate Barrier 2 mtros Blanco</v>
      </c>
      <c r="C1410" s="4">
        <f>IFERROR(__xludf.DUMMYFUNCTION("""COMPUTED_VALUE"""),50.879999999999995)</f>
        <v>50.88</v>
      </c>
    </row>
    <row r="1411">
      <c r="A1411" s="4" t="str">
        <f>IFERROR(__xludf.DUMMYFUNCTION("""COMPUTED_VALUE"""),"1942N")</f>
        <v>1942N</v>
      </c>
      <c r="B1411" s="4" t="str">
        <f>IFERROR(__xludf.DUMMYFUNCTION("""COMPUTED_VALUE"""),"Valla señal.Slim Gate Barrier 2 mtros Naranja")</f>
        <v>Valla señal.Slim Gate Barrier 2 mtros Naranja</v>
      </c>
      <c r="C1411" s="4">
        <f>IFERROR(__xludf.DUMMYFUNCTION("""COMPUTED_VALUE"""),50.879999999999995)</f>
        <v>50.88</v>
      </c>
    </row>
    <row r="1412">
      <c r="A1412" s="4" t="str">
        <f>IFERROR(__xludf.DUMMYFUNCTION("""COMPUTED_VALUE"""),"1942Z")</f>
        <v>1942Z</v>
      </c>
      <c r="B1412" s="4" t="str">
        <f>IFERROR(__xludf.DUMMYFUNCTION("""COMPUTED_VALUE"""),"Valla señal.Slim Gate Barrier 2 mtros Azul")</f>
        <v>Valla señal.Slim Gate Barrier 2 mtros Azul</v>
      </c>
      <c r="C1412" s="4">
        <f>IFERROR(__xludf.DUMMYFUNCTION("""COMPUTED_VALUE"""),50.879999999999995)</f>
        <v>50.88</v>
      </c>
    </row>
    <row r="1413">
      <c r="A1413" s="4" t="str">
        <f>IFERROR(__xludf.DUMMYFUNCTION("""COMPUTED_VALUE"""),"2025")</f>
        <v>2025</v>
      </c>
      <c r="B1413" s="4" t="str">
        <f>IFERROR(__xludf.DUMMYFUNCTION("""COMPUTED_VALUE"""),"Desinfectante fungicida-bactericida 5 litros")</f>
        <v>Desinfectante fungicida-bactericida 5 litros</v>
      </c>
      <c r="C1413" s="4">
        <f>IFERROR(__xludf.DUMMYFUNCTION("""COMPUTED_VALUE"""),19.151999999999997)</f>
        <v>19.152</v>
      </c>
    </row>
    <row r="1414">
      <c r="A1414" s="4" t="str">
        <f>IFERROR(__xludf.DUMMYFUNCTION("""COMPUTED_VALUE"""),"2031")</f>
        <v>2031</v>
      </c>
      <c r="B1414" s="4" t="str">
        <f>IFERROR(__xludf.DUMMYFUNCTION("""COMPUTED_VALUE"""),"Tiralíneas grande Rolycord GM 100m x 1.5mm")</f>
        <v>Tiralíneas grande Rolycord GM 100m x 1.5mm</v>
      </c>
      <c r="C1414" s="4">
        <f>IFERROR(__xludf.DUMMYFUNCTION("""COMPUTED_VALUE"""),8.64)</f>
        <v>8.64</v>
      </c>
    </row>
    <row r="1415">
      <c r="A1415" s="4" t="str">
        <f>IFERROR(__xludf.DUMMYFUNCTION("""COMPUTED_VALUE"""),"2032")</f>
        <v>2032</v>
      </c>
      <c r="B1415" s="4" t="str">
        <f>IFERROR(__xludf.DUMMYFUNCTION("""COMPUTED_VALUE"""),"Tiralíneas Pequeño Rolycord 60m x 2 mmº")</f>
        <v>Tiralíneas Pequeño Rolycord 60m x 2 mmº</v>
      </c>
      <c r="C1415" s="4">
        <f>IFERROR(__xludf.DUMMYFUNCTION("""COMPUTED_VALUE"""),7.68)</f>
        <v>7.68</v>
      </c>
    </row>
    <row r="1416">
      <c r="A1416" s="4" t="str">
        <f>IFERROR(__xludf.DUMMYFUNCTION("""COMPUTED_VALUE"""),"2033")</f>
        <v>2033</v>
      </c>
      <c r="B1416" s="4" t="str">
        <f>IFERROR(__xludf.DUMMYFUNCTION("""COMPUTED_VALUE"""),"Lápiz bicolor Dúo Marker Rojo/azul (Display 100 uds)")</f>
        <v>Lápiz bicolor Dúo Marker Rojo/azul (Display 100 uds)</v>
      </c>
      <c r="C1416" s="4">
        <f>IFERROR(__xludf.DUMMYFUNCTION("""COMPUTED_VALUE"""),39.36)</f>
        <v>39.36</v>
      </c>
    </row>
    <row r="1417">
      <c r="A1417" s="4" t="str">
        <f>IFERROR(__xludf.DUMMYFUNCTION("""COMPUTED_VALUE"""),"2034A")</f>
        <v>2034A</v>
      </c>
      <c r="B1417" s="4" t="str">
        <f>IFERROR(__xludf.DUMMYFUNCTION("""COMPUTED_VALUE"""),"Tiza hexagonal 120 x12 mm Amarillo (12 uds)")</f>
        <v>Tiza hexagonal 120 x12 mm Amarillo (12 uds)</v>
      </c>
      <c r="C1417" s="4">
        <f>IFERROR(__xludf.DUMMYFUNCTION("""COMPUTED_VALUE"""),4.752)</f>
        <v>4.752</v>
      </c>
    </row>
    <row r="1418">
      <c r="A1418" s="4" t="str">
        <f>IFERROR(__xludf.DUMMYFUNCTION("""COMPUTED_VALUE"""),"2034B")</f>
        <v>2034B</v>
      </c>
      <c r="B1418" s="4" t="str">
        <f>IFERROR(__xludf.DUMMYFUNCTION("""COMPUTED_VALUE"""),"Tiza hexagonal 120 x12 mm blanco (12 uds)")</f>
        <v>Tiza hexagonal 120 x12 mm blanco (12 uds)</v>
      </c>
      <c r="C1418" s="4">
        <f>IFERROR(__xludf.DUMMYFUNCTION("""COMPUTED_VALUE"""),4.752)</f>
        <v>4.752</v>
      </c>
    </row>
    <row r="1419">
      <c r="A1419" s="4" t="str">
        <f>IFERROR(__xludf.DUMMYFUNCTION("""COMPUTED_VALUE"""),"2034N")</f>
        <v>2034N</v>
      </c>
      <c r="B1419" s="4" t="str">
        <f>IFERROR(__xludf.DUMMYFUNCTION("""COMPUTED_VALUE"""),"Tiza hexagonal 120 x12 mm Negro (12 uds)")</f>
        <v>Tiza hexagonal 120 x12 mm Negro (12 uds)</v>
      </c>
      <c r="C1419" s="4">
        <f>IFERROR(__xludf.DUMMYFUNCTION("""COMPUTED_VALUE"""),4.752)</f>
        <v>4.752</v>
      </c>
    </row>
    <row r="1420">
      <c r="A1420" s="4" t="str">
        <f>IFERROR(__xludf.DUMMYFUNCTION("""COMPUTED_VALUE"""),"2034R")</f>
        <v>2034R</v>
      </c>
      <c r="B1420" s="4" t="str">
        <f>IFERROR(__xludf.DUMMYFUNCTION("""COMPUTED_VALUE"""),"Tiza hexagonal 120 x12 mm Rojo (12 uds)")</f>
        <v>Tiza hexagonal 120 x12 mm Rojo (12 uds)</v>
      </c>
      <c r="C1420" s="4">
        <f>IFERROR(__xludf.DUMMYFUNCTION("""COMPUTED_VALUE"""),4.752)</f>
        <v>4.752</v>
      </c>
    </row>
    <row r="1421">
      <c r="A1421" s="4" t="str">
        <f>IFERROR(__xludf.DUMMYFUNCTION("""COMPUTED_VALUE"""),"2034V")</f>
        <v>2034V</v>
      </c>
      <c r="B1421" s="4" t="str">
        <f>IFERROR(__xludf.DUMMYFUNCTION("""COMPUTED_VALUE"""),"Tiza hexagonal 120 x12 mm Verde (12 uds)")</f>
        <v>Tiza hexagonal 120 x12 mm Verde (12 uds)</v>
      </c>
      <c r="C1421" s="4">
        <f>IFERROR(__xludf.DUMMYFUNCTION("""COMPUTED_VALUE"""),4.752)</f>
        <v>4.752</v>
      </c>
    </row>
    <row r="1422">
      <c r="A1422" s="4" t="str">
        <f>IFERROR(__xludf.DUMMYFUNCTION("""COMPUTED_VALUE"""),"2034Z")</f>
        <v>2034Z</v>
      </c>
      <c r="B1422" s="4" t="str">
        <f>IFERROR(__xludf.DUMMYFUNCTION("""COMPUTED_VALUE"""),"Tiza hexagonal 120 x12 mm Azul (12 uds)")</f>
        <v>Tiza hexagonal 120 x12 mm Azul (12 uds)</v>
      </c>
      <c r="C1422" s="4">
        <f>IFERROR(__xludf.DUMMYFUNCTION("""COMPUTED_VALUE"""),4.752)</f>
        <v>4.752</v>
      </c>
    </row>
    <row r="1423">
      <c r="A1423" s="4" t="str">
        <f>IFERROR(__xludf.DUMMYFUNCTION("""COMPUTED_VALUE"""),"2035")</f>
        <v>2035</v>
      </c>
      <c r="B1423" s="4" t="str">
        <f>IFERROR(__xludf.DUMMYFUNCTION("""COMPUTED_VALUE"""),"Caja Lapiceros carpintero 180 (144 unid)")</f>
        <v>Caja Lapiceros carpintero 180 (144 unid)</v>
      </c>
      <c r="C1423" s="4">
        <f>IFERROR(__xludf.DUMMYFUNCTION("""COMPUTED_VALUE"""),8.831999999999999)</f>
        <v>8.832</v>
      </c>
    </row>
    <row r="1424">
      <c r="A1424" s="4" t="str">
        <f>IFERROR(__xludf.DUMMYFUNCTION("""COMPUTED_VALUE"""),"2036")</f>
        <v>2036</v>
      </c>
      <c r="B1424" s="4" t="str">
        <f>IFERROR(__xludf.DUMMYFUNCTION("""COMPUTED_VALUE"""),"Lapiz Recargable Metalico")</f>
        <v>Lapiz Recargable Metalico</v>
      </c>
      <c r="C1424" s="4">
        <f>IFERROR(__xludf.DUMMYFUNCTION("""COMPUTED_VALUE"""),3.456)</f>
        <v>3.456</v>
      </c>
    </row>
    <row r="1425">
      <c r="A1425" s="4" t="str">
        <f>IFERROR(__xludf.DUMMYFUNCTION("""COMPUTED_VALUE"""),"2036E")</f>
        <v>2036E</v>
      </c>
      <c r="B1425" s="4" t="str">
        <f>IFERROR(__xludf.DUMMYFUNCTION("""COMPUTED_VALUE"""),"Caja lápiz carpintero Mod. Europe (100 uds)")</f>
        <v>Caja lápiz carpintero Mod. Europe (100 uds)</v>
      </c>
      <c r="C1425" s="4">
        <f>IFERROR(__xludf.DUMMYFUNCTION("""COMPUTED_VALUE"""),47.04)</f>
        <v>47.04</v>
      </c>
    </row>
    <row r="1426">
      <c r="A1426" s="4" t="str">
        <f>IFERROR(__xludf.DUMMYFUNCTION("""COMPUTED_VALUE"""),"2037")</f>
        <v>2037</v>
      </c>
      <c r="B1426" s="4" t="str">
        <f>IFERROR(__xludf.DUMMYFUNCTION("""COMPUTED_VALUE"""),"Recambio Lapiz Metalico (50 und)")</f>
        <v>Recambio Lapiz Metalico (50 und)</v>
      </c>
      <c r="C1426" s="4">
        <f>IFERROR(__xludf.DUMMYFUNCTION("""COMPUTED_VALUE"""),2.2704)</f>
        <v>2.2704</v>
      </c>
    </row>
    <row r="1427">
      <c r="A1427" s="4" t="str">
        <f>IFERROR(__xludf.DUMMYFUNCTION("""COMPUTED_VALUE"""),"2038")</f>
        <v>2038</v>
      </c>
      <c r="B1427" s="4" t="str">
        <f>IFERROR(__xludf.DUMMYFUNCTION("""COMPUTED_VALUE"""),"Tirolesa")</f>
        <v>Tirolesa</v>
      </c>
      <c r="C1427" s="4">
        <f>IFERROR(__xludf.DUMMYFUNCTION("""COMPUTED_VALUE"""),12.719999999999999)</f>
        <v>12.72</v>
      </c>
    </row>
    <row r="1428">
      <c r="A1428" s="4" t="str">
        <f>IFERROR(__xludf.DUMMYFUNCTION("""COMPUTED_VALUE"""),"2039")</f>
        <v>2039</v>
      </c>
      <c r="B1428" s="4" t="str">
        <f>IFERROR(__xludf.DUMMYFUNCTION("""COMPUTED_VALUE"""),"Octometro nueva generacion con mochila de transporte")</f>
        <v>Octometro nueva generacion con mochila de transporte</v>
      </c>
      <c r="C1428" s="4">
        <f>IFERROR(__xludf.DUMMYFUNCTION("""COMPUTED_VALUE"""),23.663999999999998)</f>
        <v>23.664</v>
      </c>
    </row>
    <row r="1429">
      <c r="A1429" s="4" t="str">
        <f>IFERROR(__xludf.DUMMYFUNCTION("""COMPUTED_VALUE"""),"2040")</f>
        <v>2040</v>
      </c>
      <c r="B1429" s="4" t="str">
        <f>IFERROR(__xludf.DUMMYFUNCTION("""COMPUTED_VALUE"""),"Bolsa encofrador polipiel 21x21 1 bolsillo")</f>
        <v>Bolsa encofrador polipiel 21x21 1 bolsillo</v>
      </c>
      <c r="C1429" s="4">
        <f>IFERROR(__xludf.DUMMYFUNCTION("""COMPUTED_VALUE"""),6.192)</f>
        <v>6.192</v>
      </c>
    </row>
    <row r="1430">
      <c r="A1430" s="4" t="str">
        <f>IFERROR(__xludf.DUMMYFUNCTION("""COMPUTED_VALUE"""),"2041")</f>
        <v>2041</v>
      </c>
      <c r="B1430" s="4" t="str">
        <f>IFERROR(__xludf.DUMMYFUNCTION("""COMPUTED_VALUE"""),"Display 12 tiralineas 15 m (línea eco) + 12 botes azulete 60 gr")</f>
        <v>Display 12 tiralineas 15 m (línea eco) + 12 botes azulete 60 gr</v>
      </c>
      <c r="C1430" s="4">
        <f>IFERROR(__xludf.DUMMYFUNCTION("""COMPUTED_VALUE"""),47.04)</f>
        <v>47.04</v>
      </c>
    </row>
    <row r="1431">
      <c r="A1431" s="4" t="str">
        <f>IFERROR(__xludf.DUMMYFUNCTION("""COMPUTED_VALUE"""),"2042")</f>
        <v>2042</v>
      </c>
      <c r="B1431" s="4" t="str">
        <f>IFERROR(__xludf.DUMMYFUNCTION("""COMPUTED_VALUE"""),"Display 3 tiralíneas 50 m y 3 botes azulete 1 kg")</f>
        <v>Display 3 tiralíneas 50 m y 3 botes azulete 1 kg</v>
      </c>
      <c r="C1431" s="4">
        <f>IFERROR(__xludf.DUMMYFUNCTION("""COMPUTED_VALUE"""),76.8)</f>
        <v>76.8</v>
      </c>
    </row>
    <row r="1432">
      <c r="A1432" s="4" t="str">
        <f>IFERROR(__xludf.DUMMYFUNCTION("""COMPUTED_VALUE"""),"2046")</f>
        <v>2046</v>
      </c>
      <c r="B1432" s="4" t="str">
        <f>IFERROR(__xludf.DUMMYFUNCTION("""COMPUTED_VALUE"""),"Tiralíneas Prático 30 mts con botella azulete")</f>
        <v>Tiralíneas Prático 30 mts con botella azulete</v>
      </c>
      <c r="C1432" s="4">
        <f>IFERROR(__xludf.DUMMYFUNCTION("""COMPUTED_VALUE"""),3.84)</f>
        <v>3.84</v>
      </c>
    </row>
    <row r="1433">
      <c r="A1433" s="4" t="str">
        <f>IFERROR(__xludf.DUMMYFUNCTION("""COMPUTED_VALUE"""),"2047")</f>
        <v>2047</v>
      </c>
      <c r="B1433" s="4" t="str">
        <f>IFERROR(__xludf.DUMMYFUNCTION("""COMPUTED_VALUE"""),"Aplicador cinta balizamiento")</f>
        <v>Aplicador cinta balizamiento</v>
      </c>
      <c r="C1433" s="4">
        <f>IFERROR(__xludf.DUMMYFUNCTION("""COMPUTED_VALUE"""),2.88)</f>
        <v>2.88</v>
      </c>
    </row>
    <row r="1434">
      <c r="A1434" s="4" t="str">
        <f>IFERROR(__xludf.DUMMYFUNCTION("""COMPUTED_VALUE"""),"2050")</f>
        <v>2050</v>
      </c>
      <c r="B1434" s="4" t="str">
        <f>IFERROR(__xludf.DUMMYFUNCTION("""COMPUTED_VALUE"""),"Toldo polietileno 2x3 verde 120 gr.")</f>
        <v>Toldo polietileno 2x3 verde 120 gr.</v>
      </c>
      <c r="C1434" s="4">
        <f>IFERROR(__xludf.DUMMYFUNCTION("""COMPUTED_VALUE"""),3.792)</f>
        <v>3.792</v>
      </c>
    </row>
    <row r="1435">
      <c r="A1435" s="4" t="str">
        <f>IFERROR(__xludf.DUMMYFUNCTION("""COMPUTED_VALUE"""),"2051")</f>
        <v>2051</v>
      </c>
      <c r="B1435" s="4" t="str">
        <f>IFERROR(__xludf.DUMMYFUNCTION("""COMPUTED_VALUE"""),"Toldo polietileno 3x4 verde 120 gr.")</f>
        <v>Toldo polietileno 3x4 verde 120 gr.</v>
      </c>
      <c r="C1435" s="4">
        <f>IFERROR(__xludf.DUMMYFUNCTION("""COMPUTED_VALUE"""),7.4399999999999995)</f>
        <v>7.44</v>
      </c>
    </row>
    <row r="1436">
      <c r="A1436" s="4" t="str">
        <f>IFERROR(__xludf.DUMMYFUNCTION("""COMPUTED_VALUE"""),"2052")</f>
        <v>2052</v>
      </c>
      <c r="B1436" s="4" t="str">
        <f>IFERROR(__xludf.DUMMYFUNCTION("""COMPUTED_VALUE"""),"Toldo polietileno 4x6 verde 120 gr.")</f>
        <v>Toldo polietileno 4x6 verde 120 gr.</v>
      </c>
      <c r="C1436" s="4">
        <f>IFERROR(__xludf.DUMMYFUNCTION("""COMPUTED_VALUE"""),13.344)</f>
        <v>13.344</v>
      </c>
    </row>
    <row r="1437">
      <c r="A1437" s="4" t="str">
        <f>IFERROR(__xludf.DUMMYFUNCTION("""COMPUTED_VALUE"""),"2053")</f>
        <v>2053</v>
      </c>
      <c r="B1437" s="4" t="str">
        <f>IFERROR(__xludf.DUMMYFUNCTION("""COMPUTED_VALUE"""),"Toldo polietileno 5x8 verde 120 gr.")</f>
        <v>Toldo polietileno 5x8 verde 120 gr.</v>
      </c>
      <c r="C1437" s="4">
        <f>IFERROR(__xludf.DUMMYFUNCTION("""COMPUTED_VALUE"""),23.52)</f>
        <v>23.52</v>
      </c>
    </row>
    <row r="1438">
      <c r="A1438" s="4" t="str">
        <f>IFERROR(__xludf.DUMMYFUNCTION("""COMPUTED_VALUE"""),"2054")</f>
        <v>2054</v>
      </c>
      <c r="B1438" s="4" t="str">
        <f>IFERROR(__xludf.DUMMYFUNCTION("""COMPUTED_VALUE"""),"Toldo polietileno 6x10 verde 120 gr.")</f>
        <v>Toldo polietileno 6x10 verde 120 gr.</v>
      </c>
      <c r="C1438" s="4">
        <f>IFERROR(__xludf.DUMMYFUNCTION("""COMPUTED_VALUE"""),31.2)</f>
        <v>31.2</v>
      </c>
    </row>
    <row r="1439">
      <c r="A1439" s="4" t="str">
        <f>IFERROR(__xludf.DUMMYFUNCTION("""COMPUTED_VALUE"""),"2058")</f>
        <v>2058</v>
      </c>
      <c r="B1439" s="4" t="str">
        <f>IFERROR(__xludf.DUMMYFUNCTION("""COMPUTED_VALUE"""),"Toldo polietileno 3x5 azul 80 gr")</f>
        <v>Toldo polietileno 3x5 azul 80 gr</v>
      </c>
      <c r="C1439" s="4">
        <f>IFERROR(__xludf.DUMMYFUNCTION("""COMPUTED_VALUE"""),5.952)</f>
        <v>5.952</v>
      </c>
    </row>
    <row r="1440">
      <c r="A1440" s="4" t="str">
        <f>IFERROR(__xludf.DUMMYFUNCTION("""COMPUTED_VALUE"""),"2059")</f>
        <v>2059</v>
      </c>
      <c r="B1440" s="4" t="str">
        <f>IFERROR(__xludf.DUMMYFUNCTION("""COMPUTED_VALUE"""),"Toldo polietileno 4x5 azul 80 gr")</f>
        <v>Toldo polietileno 4x5 azul 80 gr</v>
      </c>
      <c r="C1440" s="4">
        <f>IFERROR(__xludf.DUMMYFUNCTION("""COMPUTED_VALUE"""),10.08)</f>
        <v>10.08</v>
      </c>
    </row>
    <row r="1441">
      <c r="A1441" s="4" t="str">
        <f>IFERROR(__xludf.DUMMYFUNCTION("""COMPUTED_VALUE"""),"2060")</f>
        <v>2060</v>
      </c>
      <c r="B1441" s="4" t="str">
        <f>IFERROR(__xludf.DUMMYFUNCTION("""COMPUTED_VALUE"""),"Toldo polietileno 2x3 azul 80 gr.")</f>
        <v>Toldo polietileno 2x3 azul 80 gr.</v>
      </c>
      <c r="C1441" s="4">
        <f>IFERROR(__xludf.DUMMYFUNCTION("""COMPUTED_VALUE"""),2.6879999999999997)</f>
        <v>2.688</v>
      </c>
    </row>
    <row r="1442">
      <c r="A1442" s="4" t="str">
        <f>IFERROR(__xludf.DUMMYFUNCTION("""COMPUTED_VALUE"""),"2061")</f>
        <v>2061</v>
      </c>
      <c r="B1442" s="4" t="str">
        <f>IFERROR(__xludf.DUMMYFUNCTION("""COMPUTED_VALUE"""),"Toldo polietileno 3x4 azul 80 gr.")</f>
        <v>Toldo polietileno 3x4 azul 80 gr.</v>
      </c>
      <c r="C1442" s="4">
        <f>IFERROR(__xludf.DUMMYFUNCTION("""COMPUTED_VALUE"""),4.656)</f>
        <v>4.656</v>
      </c>
    </row>
    <row r="1443">
      <c r="A1443" s="4" t="str">
        <f>IFERROR(__xludf.DUMMYFUNCTION("""COMPUTED_VALUE"""),"2062")</f>
        <v>2062</v>
      </c>
      <c r="B1443" s="4" t="str">
        <f>IFERROR(__xludf.DUMMYFUNCTION("""COMPUTED_VALUE"""),"Toldo polietileno 4x6 azul 80 gr")</f>
        <v>Toldo polietileno 4x6 azul 80 gr</v>
      </c>
      <c r="C1443" s="4">
        <f>IFERROR(__xludf.DUMMYFUNCTION("""COMPUTED_VALUE"""),10.848)</f>
        <v>10.848</v>
      </c>
    </row>
    <row r="1444">
      <c r="A1444" s="4" t="str">
        <f>IFERROR(__xludf.DUMMYFUNCTION("""COMPUTED_VALUE"""),"2063")</f>
        <v>2063</v>
      </c>
      <c r="B1444" s="4" t="str">
        <f>IFERROR(__xludf.DUMMYFUNCTION("""COMPUTED_VALUE"""),"Toldo polietileno 5x8 azul 80 gr.")</f>
        <v>Toldo polietileno 5x8 azul 80 gr.</v>
      </c>
      <c r="C1444" s="4">
        <f>IFERROR(__xludf.DUMMYFUNCTION("""COMPUTED_VALUE"""),16.272)</f>
        <v>16.272</v>
      </c>
    </row>
    <row r="1445">
      <c r="A1445" s="4" t="str">
        <f>IFERROR(__xludf.DUMMYFUNCTION("""COMPUTED_VALUE"""),"2064")</f>
        <v>2064</v>
      </c>
      <c r="B1445" s="4" t="str">
        <f>IFERROR(__xludf.DUMMYFUNCTION("""COMPUTED_VALUE"""),"Toldo polietileno 6x10 azul 80 gr.")</f>
        <v>Toldo polietileno 6x10 azul 80 gr.</v>
      </c>
      <c r="C1445" s="4">
        <f>IFERROR(__xludf.DUMMYFUNCTION("""COMPUTED_VALUE"""),22.56)</f>
        <v>22.56</v>
      </c>
    </row>
    <row r="1446">
      <c r="A1446" s="4" t="str">
        <f>IFERROR(__xludf.DUMMYFUNCTION("""COMPUTED_VALUE"""),"2065")</f>
        <v>2065</v>
      </c>
      <c r="B1446" s="4" t="str">
        <f>IFERROR(__xludf.DUMMYFUNCTION("""COMPUTED_VALUE"""),"Toldo polietileno 8x12 azul 80 gr.")</f>
        <v>Toldo polietileno 8x12 azul 80 gr.</v>
      </c>
      <c r="C1446" s="4">
        <f>IFERROR(__xludf.DUMMYFUNCTION("""COMPUTED_VALUE"""),28.896)</f>
        <v>28.896</v>
      </c>
    </row>
    <row r="1447">
      <c r="A1447" s="4" t="str">
        <f>IFERROR(__xludf.DUMMYFUNCTION("""COMPUTED_VALUE"""),"2066")</f>
        <v>2066</v>
      </c>
      <c r="B1447" s="4" t="str">
        <f>IFERROR(__xludf.DUMMYFUNCTION("""COMPUTED_VALUE"""),"Toldo polietileno 10x15 azul 80 gr.")</f>
        <v>Toldo polietileno 10x15 azul 80 gr.</v>
      </c>
      <c r="C1447" s="4">
        <f>IFERROR(__xludf.DUMMYFUNCTION("""COMPUTED_VALUE"""),40.32)</f>
        <v>40.32</v>
      </c>
    </row>
    <row r="1448">
      <c r="A1448" s="4" t="str">
        <f>IFERROR(__xludf.DUMMYFUNCTION("""COMPUTED_VALUE"""),"2101")</f>
        <v>2101</v>
      </c>
      <c r="B1448" s="4" t="str">
        <f>IFERROR(__xludf.DUMMYFUNCTION("""COMPUTED_VALUE"""),"Baliza solar amarilla para cono")</f>
        <v>Baliza solar amarilla para cono</v>
      </c>
      <c r="C1448" s="4">
        <f>IFERROR(__xludf.DUMMYFUNCTION("""COMPUTED_VALUE"""),19.151999999999997)</f>
        <v>19.152</v>
      </c>
    </row>
    <row r="1449">
      <c r="A1449" s="4" t="str">
        <f>IFERROR(__xludf.DUMMYFUNCTION("""COMPUTED_VALUE"""),"2102")</f>
        <v>2102</v>
      </c>
      <c r="B1449" s="4" t="str">
        <f>IFERROR(__xludf.DUMMYFUNCTION("""COMPUTED_VALUE"""),"Baliza Solar Roja para cono")</f>
        <v>Baliza Solar Roja para cono</v>
      </c>
      <c r="C1449" s="4">
        <f>IFERROR(__xludf.DUMMYFUNCTION("""COMPUTED_VALUE"""),19.151999999999997)</f>
        <v>19.152</v>
      </c>
    </row>
    <row r="1450">
      <c r="A1450" s="4" t="str">
        <f>IFERROR(__xludf.DUMMYFUNCTION("""COMPUTED_VALUE"""),"2134")</f>
        <v>2134</v>
      </c>
      <c r="B1450" s="4" t="str">
        <f>IFERROR(__xludf.DUMMYFUNCTION("""COMPUTED_VALUE"""),"Tope parking Mod D 183 cm")</f>
        <v>Tope parking Mod D 183 cm</v>
      </c>
      <c r="C1450" s="4">
        <f>IFERROR(__xludf.DUMMYFUNCTION("""COMPUTED_VALUE"""),33.6864)</f>
        <v>33.6864</v>
      </c>
    </row>
    <row r="1451">
      <c r="A1451" s="4" t="str">
        <f>IFERROR(__xludf.DUMMYFUNCTION("""COMPUTED_VALUE"""),"2151")</f>
        <v>2151</v>
      </c>
      <c r="B1451" s="4" t="str">
        <f>IFERROR(__xludf.DUMMYFUNCTION("""COMPUTED_VALUE"""),"Separador Carril 75 cm + base")</f>
        <v>Separador Carril 75 cm + base</v>
      </c>
      <c r="C1451" s="4">
        <f>IFERROR(__xludf.DUMMYFUNCTION("""COMPUTED_VALUE"""),29.759999999999998)</f>
        <v>29.76</v>
      </c>
    </row>
    <row r="1452">
      <c r="A1452" s="4" t="str">
        <f>IFERROR(__xludf.DUMMYFUNCTION("""COMPUTED_VALUE"""),"2234")</f>
        <v>2234</v>
      </c>
      <c r="B1452" s="4" t="str">
        <f>IFERROR(__xludf.DUMMYFUNCTION("""COMPUTED_VALUE"""),"Botella azulete 1Kg. Extra")</f>
        <v>Botella azulete 1Kg. Extra</v>
      </c>
      <c r="C1452" s="4">
        <f>IFERROR(__xludf.DUMMYFUNCTION("""COMPUTED_VALUE"""),4.175999999999999)</f>
        <v>4.176</v>
      </c>
    </row>
    <row r="1453">
      <c r="A1453" s="4" t="str">
        <f>IFERROR(__xludf.DUMMYFUNCTION("""COMPUTED_VALUE"""),"2235")</f>
        <v>2235</v>
      </c>
      <c r="B1453" s="4" t="str">
        <f>IFERROR(__xludf.DUMMYFUNCTION("""COMPUTED_VALUE"""),"Botella azulete 1Kg. Super Extra")</f>
        <v>Botella azulete 1Kg. Super Extra</v>
      </c>
      <c r="C1453" s="4">
        <f>IFERROR(__xludf.DUMMYFUNCTION("""COMPUTED_VALUE"""),5.4719999999999995)</f>
        <v>5.472</v>
      </c>
    </row>
    <row r="1454">
      <c r="A1454" s="4" t="str">
        <f>IFERROR(__xludf.DUMMYFUNCTION("""COMPUTED_VALUE"""),"2236")</f>
        <v>2236</v>
      </c>
      <c r="B1454" s="4" t="str">
        <f>IFERROR(__xludf.DUMMYFUNCTION("""COMPUTED_VALUE"""),"Botella 200 gr. polvo fluo verde")</f>
        <v>Botella 200 gr. polvo fluo verde</v>
      </c>
      <c r="C1454" s="4">
        <f>IFERROR(__xludf.DUMMYFUNCTION("""COMPUTED_VALUE"""),3.6479999999999997)</f>
        <v>3.648</v>
      </c>
    </row>
    <row r="1455">
      <c r="A1455" s="4" t="str">
        <f>IFERROR(__xludf.DUMMYFUNCTION("""COMPUTED_VALUE"""),"2237")</f>
        <v>2237</v>
      </c>
      <c r="B1455" s="4" t="str">
        <f>IFERROR(__xludf.DUMMYFUNCTION("""COMPUTED_VALUE"""),"Botella 200 gr. polvo fluo naranja")</f>
        <v>Botella 200 gr. polvo fluo naranja</v>
      </c>
      <c r="C1455" s="4">
        <f>IFERROR(__xludf.DUMMYFUNCTION("""COMPUTED_VALUE"""),3.6479999999999997)</f>
        <v>3.648</v>
      </c>
    </row>
    <row r="1456">
      <c r="A1456" s="4" t="str">
        <f>IFERROR(__xludf.DUMMYFUNCTION("""COMPUTED_VALUE"""),"2238")</f>
        <v>2238</v>
      </c>
      <c r="B1456" s="4" t="str">
        <f>IFERROR(__xludf.DUMMYFUNCTION("""COMPUTED_VALUE"""),"Azulete Gaviota caja 1 Kg")</f>
        <v>Azulete Gaviota caja 1 Kg</v>
      </c>
      <c r="C1456" s="4">
        <f>IFERROR(__xludf.DUMMYFUNCTION("""COMPUTED_VALUE"""),15.36)</f>
        <v>15.36</v>
      </c>
    </row>
    <row r="1457">
      <c r="A1457" s="4" t="str">
        <f>IFERROR(__xludf.DUMMYFUNCTION("""COMPUTED_VALUE"""),"2240")</f>
        <v>2240</v>
      </c>
      <c r="B1457" s="4" t="str">
        <f>IFERROR(__xludf.DUMMYFUNCTION("""COMPUTED_VALUE"""),"Tiralíneas Gigante 50 Mts.")</f>
        <v>Tiralíneas Gigante 50 Mts.</v>
      </c>
      <c r="C1457" s="4">
        <f>IFERROR(__xludf.DUMMYFUNCTION("""COMPUTED_VALUE"""),31.919999999999998)</f>
        <v>31.92</v>
      </c>
    </row>
    <row r="1458">
      <c r="A1458" s="4" t="str">
        <f>IFERROR(__xludf.DUMMYFUNCTION("""COMPUTED_VALUE"""),"2241")</f>
        <v>2241</v>
      </c>
      <c r="B1458" s="4" t="str">
        <f>IFERROR(__xludf.DUMMYFUNCTION("""COMPUTED_VALUE"""),"Tiralíneas plastico 30 mt + botella polvo 100 gr")</f>
        <v>Tiralíneas plastico 30 mt + botella polvo 100 gr</v>
      </c>
      <c r="C1458" s="4">
        <f>IFERROR(__xludf.DUMMYFUNCTION("""COMPUTED_VALUE"""),3.12)</f>
        <v>3.12</v>
      </c>
    </row>
    <row r="1459">
      <c r="A1459" s="4" t="str">
        <f>IFERROR(__xludf.DUMMYFUNCTION("""COMPUTED_VALUE"""),"2242")</f>
        <v>2242</v>
      </c>
      <c r="B1459" s="4" t="str">
        <f>IFERROR(__xludf.DUMMYFUNCTION("""COMPUTED_VALUE"""),"Tiralíneas aluminio 30 Mts")</f>
        <v>Tiralíneas aluminio 30 Mts</v>
      </c>
      <c r="C1459" s="4">
        <f>IFERROR(__xludf.DUMMYFUNCTION("""COMPUTED_VALUE"""),3.456)</f>
        <v>3.456</v>
      </c>
    </row>
    <row r="1460">
      <c r="A1460" s="4" t="str">
        <f>IFERROR(__xludf.DUMMYFUNCTION("""COMPUTED_VALUE"""),"2244")</f>
        <v>2244</v>
      </c>
      <c r="B1460" s="4" t="str">
        <f>IFERROR(__xludf.DUMMYFUNCTION("""COMPUTED_VALUE"""),"Expositor 12 tiralineas Normo 30 metros + 12 botes polvo 100")</f>
        <v>Expositor 12 tiralineas Normo 30 metros + 12 botes polvo 100</v>
      </c>
      <c r="C1460" s="4">
        <f>IFERROR(__xludf.DUMMYFUNCTION("""COMPUTED_VALUE"""),47.424)</f>
        <v>47.424</v>
      </c>
    </row>
    <row r="1461">
      <c r="A1461" s="4" t="str">
        <f>IFERROR(__xludf.DUMMYFUNCTION("""COMPUTED_VALUE"""),"2245")</f>
        <v>2245</v>
      </c>
      <c r="B1461" s="4" t="str">
        <f>IFERROR(__xludf.DUMMYFUNCTION("""COMPUTED_VALUE"""),"Tiralineas Magnum 50 metros")</f>
        <v>Tiralineas Magnum 50 metros</v>
      </c>
      <c r="C1461" s="4">
        <f>IFERROR(__xludf.DUMMYFUNCTION("""COMPUTED_VALUE"""),32.256)</f>
        <v>32.256</v>
      </c>
    </row>
    <row r="1462">
      <c r="A1462" s="4" t="str">
        <f>IFERROR(__xludf.DUMMYFUNCTION("""COMPUTED_VALUE"""),"2413")</f>
        <v>2413</v>
      </c>
      <c r="B1462" s="4" t="str">
        <f>IFERROR(__xludf.DUMMYFUNCTION("""COMPUTED_VALUE"""),"Frotas esponja naranja g. GRUESO 280x140x20 (024PA)")</f>
        <v>Frotas esponja naranja g. GRUESO 280x140x20 (024PA)</v>
      </c>
      <c r="C1462" s="4">
        <f>IFERROR(__xludf.DUMMYFUNCTION("""COMPUTED_VALUE"""),6.24)</f>
        <v>6.24</v>
      </c>
    </row>
    <row r="1463">
      <c r="A1463" s="4" t="str">
        <f>IFERROR(__xludf.DUMMYFUNCTION("""COMPUTED_VALUE"""),"2414")</f>
        <v>2414</v>
      </c>
      <c r="B1463" s="4" t="str">
        <f>IFERROR(__xludf.DUMMYFUNCTION("""COMPUTED_VALUE"""),"Frotas esponja Azul 280x140x14 grano FINO (024PB)")</f>
        <v>Frotas esponja Azul 280x140x14 grano FINO (024PB)</v>
      </c>
      <c r="C1463" s="4">
        <f>IFERROR(__xludf.DUMMYFUNCTION("""COMPUTED_VALUE"""),5.712)</f>
        <v>5.712</v>
      </c>
    </row>
    <row r="1464">
      <c r="A1464" s="4" t="str">
        <f>IFERROR(__xludf.DUMMYFUNCTION("""COMPUTED_VALUE"""),"2507")</f>
        <v>2507</v>
      </c>
      <c r="B1464" s="4" t="str">
        <f>IFERROR(__xludf.DUMMYFUNCTION("""COMPUTED_VALUE"""),"Hito flexible Naranja 30 cm")</f>
        <v>Hito flexible Naranja 30 cm</v>
      </c>
      <c r="C1464" s="4">
        <f>IFERROR(__xludf.DUMMYFUNCTION("""COMPUTED_VALUE"""),7.584)</f>
        <v>7.584</v>
      </c>
    </row>
    <row r="1465">
      <c r="A1465" s="4" t="str">
        <f>IFERROR(__xludf.DUMMYFUNCTION("""COMPUTED_VALUE"""),"2518")</f>
        <v>2518</v>
      </c>
      <c r="B1465" s="4" t="str">
        <f>IFERROR(__xludf.DUMMYFUNCTION("""COMPUTED_VALUE"""),"Hito flexible Naranja 100 cm")</f>
        <v>Hito flexible Naranja 100 cm</v>
      </c>
      <c r="C1465" s="4">
        <f>IFERROR(__xludf.DUMMYFUNCTION("""COMPUTED_VALUE"""),15.36)</f>
        <v>15.36</v>
      </c>
    </row>
    <row r="1466">
      <c r="A1466" s="4" t="str">
        <f>IFERROR(__xludf.DUMMYFUNCTION("""COMPUTED_VALUE"""),"2519")</f>
        <v>2519</v>
      </c>
      <c r="B1466" s="4" t="str">
        <f>IFERROR(__xludf.DUMMYFUNCTION("""COMPUTED_VALUE"""),"Frotas esponja naranja grano medio 22x14 (018A)")</f>
        <v>Frotas esponja naranja grano medio 22x14 (018A)</v>
      </c>
      <c r="C1466" s="4">
        <f>IFERROR(__xludf.DUMMYFUNCTION("""COMPUTED_VALUE"""),4.704)</f>
        <v>4.704</v>
      </c>
    </row>
    <row r="1467">
      <c r="A1467" s="4" t="str">
        <f>IFERROR(__xludf.DUMMYFUNCTION("""COMPUTED_VALUE"""),"2520")</f>
        <v>2520</v>
      </c>
      <c r="B1467" s="4" t="str">
        <f>IFERROR(__xludf.DUMMYFUNCTION("""COMPUTED_VALUE"""),"Frotas esponja azul grano fino 22x14 (018B)")</f>
        <v>Frotas esponja azul grano fino 22x14 (018B)</v>
      </c>
      <c r="C1467" s="4">
        <f>IFERROR(__xludf.DUMMYFUNCTION("""COMPUTED_VALUE"""),4.704)</f>
        <v>4.704</v>
      </c>
    </row>
    <row r="1468">
      <c r="A1468" s="4" t="str">
        <f>IFERROR(__xludf.DUMMYFUNCTION("""COMPUTED_VALUE"""),"2530")</f>
        <v>2530</v>
      </c>
      <c r="B1468" s="4" t="str">
        <f>IFERROR(__xludf.DUMMYFUNCTION("""COMPUTED_VALUE"""),"Juego rodilleras alicatador")</f>
        <v>Juego rodilleras alicatador</v>
      </c>
      <c r="C1468" s="4">
        <f>IFERROR(__xludf.DUMMYFUNCTION("""COMPUTED_VALUE"""),4.608)</f>
        <v>4.608</v>
      </c>
    </row>
    <row r="1469">
      <c r="A1469" s="4" t="str">
        <f>IFERROR(__xludf.DUMMYFUNCTION("""COMPUTED_VALUE"""),"2575Z")</f>
        <v>2575Z</v>
      </c>
      <c r="B1469" s="4" t="str">
        <f>IFERROR(__xludf.DUMMYFUNCTION("""COMPUTED_VALUE"""),"Rollo cuerda azul trazadora de 100 mts")</f>
        <v>Rollo cuerda azul trazadora de 100 mts</v>
      </c>
      <c r="C1469" s="4">
        <f>IFERROR(__xludf.DUMMYFUNCTION("""COMPUTED_VALUE"""),2.5152)</f>
        <v>2.5152</v>
      </c>
    </row>
    <row r="1470">
      <c r="A1470" s="4" t="str">
        <f>IFERROR(__xludf.DUMMYFUNCTION("""COMPUTED_VALUE"""),"2601")</f>
        <v>2601</v>
      </c>
      <c r="B1470" s="4" t="str">
        <f>IFERROR(__xludf.DUMMYFUNCTION("""COMPUTED_VALUE"""),"Hito Direccion Obligatoria 85 cm")</f>
        <v>Hito Direccion Obligatoria 85 cm</v>
      </c>
      <c r="C1470" s="4">
        <f>IFERROR(__xludf.DUMMYFUNCTION("""COMPUTED_VALUE"""),21.84)</f>
        <v>21.84</v>
      </c>
    </row>
    <row r="1471">
      <c r="A1471" s="4" t="str">
        <f>IFERROR(__xludf.DUMMYFUNCTION("""COMPUTED_VALUE"""),"2601P")</f>
        <v>2601P</v>
      </c>
      <c r="B1471" s="4" t="str">
        <f>IFERROR(__xludf.DUMMYFUNCTION("""COMPUTED_VALUE"""),"Hito flexible personalizable")</f>
        <v>Hito flexible personalizable</v>
      </c>
      <c r="C1471" s="4">
        <f>IFERROR(__xludf.DUMMYFUNCTION("""COMPUTED_VALUE"""),23.279999999999998)</f>
        <v>23.28</v>
      </c>
    </row>
    <row r="1472">
      <c r="A1472" s="4" t="str">
        <f>IFERROR(__xludf.DUMMYFUNCTION("""COMPUTED_VALUE"""),"2674")</f>
        <v>2674</v>
      </c>
      <c r="B1472" s="4" t="str">
        <f>IFERROR(__xludf.DUMMYFUNCTION("""COMPUTED_VALUE"""),"Rollo cuerda blanca trazadora de 50 mts")</f>
        <v>Rollo cuerda blanca trazadora de 50 mts</v>
      </c>
      <c r="C1472" s="4">
        <f>IFERROR(__xludf.DUMMYFUNCTION("""COMPUTED_VALUE"""),1.2192)</f>
        <v>1.2192</v>
      </c>
    </row>
    <row r="1473">
      <c r="A1473" s="4" t="str">
        <f>IFERROR(__xludf.DUMMYFUNCTION("""COMPUTED_VALUE"""),"2674Z")</f>
        <v>2674Z</v>
      </c>
      <c r="B1473" s="4" t="str">
        <f>IFERROR(__xludf.DUMMYFUNCTION("""COMPUTED_VALUE"""),"Rollo cuerda azul trazadora de 50 mts")</f>
        <v>Rollo cuerda azul trazadora de 50 mts</v>
      </c>
      <c r="C1473" s="4">
        <f>IFERROR(__xludf.DUMMYFUNCTION("""COMPUTED_VALUE"""),1.2192)</f>
        <v>1.2192</v>
      </c>
    </row>
    <row r="1474">
      <c r="A1474" s="4" t="str">
        <f>IFERROR(__xludf.DUMMYFUNCTION("""COMPUTED_VALUE"""),"2675")</f>
        <v>2675</v>
      </c>
      <c r="B1474" s="4" t="str">
        <f>IFERROR(__xludf.DUMMYFUNCTION("""COMPUTED_VALUE"""),"Rollo cuerda blanca trazadora de 100 mts.")</f>
        <v>Rollo cuerda blanca trazadora de 100 mts.</v>
      </c>
      <c r="C1474" s="4">
        <f>IFERROR(__xludf.DUMMYFUNCTION("""COMPUTED_VALUE"""),2.5152)</f>
        <v>2.5152</v>
      </c>
    </row>
    <row r="1475">
      <c r="A1475" s="4" t="str">
        <f>IFERROR(__xludf.DUMMYFUNCTION("""COMPUTED_VALUE"""),"2675Z")</f>
        <v>2675Z</v>
      </c>
      <c r="B1475" s="4" t="str">
        <f>IFERROR(__xludf.DUMMYFUNCTION("""COMPUTED_VALUE"""),"Rollo cuerda azul trazadora de 100 mts")</f>
        <v>Rollo cuerda azul trazadora de 100 mts</v>
      </c>
      <c r="C1475" s="4">
        <f>IFERROR(__xludf.DUMMYFUNCTION("""COMPUTED_VALUE"""),2.5152)</f>
        <v>2.5152</v>
      </c>
    </row>
    <row r="1476">
      <c r="A1476" s="4" t="str">
        <f>IFERROR(__xludf.DUMMYFUNCTION("""COMPUTED_VALUE"""),"2676")</f>
        <v>2676</v>
      </c>
      <c r="B1476" s="4" t="str">
        <f>IFERROR(__xludf.DUMMYFUNCTION("""COMPUTED_VALUE"""),"Rollo cuerda blanca trazadora de 200 mts.")</f>
        <v>Rollo cuerda blanca trazadora de 200 mts.</v>
      </c>
      <c r="C1476" s="4">
        <f>IFERROR(__xludf.DUMMYFUNCTION("""COMPUTED_VALUE"""),4.4159999999999995)</f>
        <v>4.416</v>
      </c>
    </row>
    <row r="1477">
      <c r="A1477" s="4" t="str">
        <f>IFERROR(__xludf.DUMMYFUNCTION("""COMPUTED_VALUE"""),"2676Z")</f>
        <v>2676Z</v>
      </c>
      <c r="B1477" s="4" t="str">
        <f>IFERROR(__xludf.DUMMYFUNCTION("""COMPUTED_VALUE"""),"Rollo cuerda azul trazadora de 200 mts.")</f>
        <v>Rollo cuerda azul trazadora de 200 mts.</v>
      </c>
      <c r="C1477" s="4">
        <f>IFERROR(__xludf.DUMMYFUNCTION("""COMPUTED_VALUE"""),4.4159999999999995)</f>
        <v>4.416</v>
      </c>
    </row>
    <row r="1478">
      <c r="A1478" s="4" t="str">
        <f>IFERROR(__xludf.DUMMYFUNCTION("""COMPUTED_VALUE"""),"2677")</f>
        <v>2677</v>
      </c>
      <c r="B1478" s="4" t="str">
        <f>IFERROR(__xludf.DUMMYFUNCTION("""COMPUTED_VALUE"""),"Rollo cuerda blanca trazadora de 500 mts.")</f>
        <v>Rollo cuerda blanca trazadora de 500 mts.</v>
      </c>
      <c r="C1478" s="4">
        <f>IFERROR(__xludf.DUMMYFUNCTION("""COMPUTED_VALUE"""),12.115199999999998)</f>
        <v>12.1152</v>
      </c>
    </row>
    <row r="1479">
      <c r="A1479" s="4" t="str">
        <f>IFERROR(__xludf.DUMMYFUNCTION("""COMPUTED_VALUE"""),"2677Z")</f>
        <v>2677Z</v>
      </c>
      <c r="B1479" s="4" t="str">
        <f>IFERROR(__xludf.DUMMYFUNCTION("""COMPUTED_VALUE"""),"Rollo cuerda azul trazadora de 500 mts.")</f>
        <v>Rollo cuerda azul trazadora de 500 mts.</v>
      </c>
      <c r="C1479" s="4">
        <f>IFERROR(__xludf.DUMMYFUNCTION("""COMPUTED_VALUE"""),12.115199999999998)</f>
        <v>12.1152</v>
      </c>
    </row>
    <row r="1480">
      <c r="A1480" s="4" t="str">
        <f>IFERROR(__xludf.DUMMYFUNCTION("""COMPUTED_VALUE"""),"2700")</f>
        <v>2700</v>
      </c>
      <c r="B1480" s="4" t="str">
        <f>IFERROR(__xludf.DUMMYFUNCTION("""COMPUTED_VALUE"""),"Caldereta obra 15 L.")</f>
        <v>Caldereta obra 15 L.</v>
      </c>
      <c r="C1480" s="4">
        <f>IFERROR(__xludf.DUMMYFUNCTION("""COMPUTED_VALUE"""),2.4192)</f>
        <v>2.4192</v>
      </c>
    </row>
    <row r="1481">
      <c r="A1481" s="4" t="str">
        <f>IFERROR(__xludf.DUMMYFUNCTION("""COMPUTED_VALUE"""),"2701")</f>
        <v>2701</v>
      </c>
      <c r="B1481" s="4" t="str">
        <f>IFERROR(__xludf.DUMMYFUNCTION("""COMPUTED_VALUE"""),"Cubeta pintura azul 16 con rejilla")</f>
        <v>Cubeta pintura azul 16 con rejilla</v>
      </c>
      <c r="C1481" s="4">
        <f>IFERROR(__xludf.DUMMYFUNCTION("""COMPUTED_VALUE"""),2.976)</f>
        <v>2.976</v>
      </c>
    </row>
    <row r="1482">
      <c r="A1482" s="4" t="str">
        <f>IFERROR(__xludf.DUMMYFUNCTION("""COMPUTED_VALUE"""),"2701R")</f>
        <v>2701R</v>
      </c>
      <c r="B1482" s="4" t="str">
        <f>IFERROR(__xludf.DUMMYFUNCTION("""COMPUTED_VALUE"""),"Rejilla para cubeta pintura 16")</f>
        <v>Rejilla para cubeta pintura 16</v>
      </c>
      <c r="C1482" s="4">
        <f>IFERROR(__xludf.DUMMYFUNCTION("""COMPUTED_VALUE"""),0.576)</f>
        <v>0.576</v>
      </c>
    </row>
    <row r="1483">
      <c r="A1483" s="4" t="str">
        <f>IFERROR(__xludf.DUMMYFUNCTION("""COMPUTED_VALUE"""),"270222B")</f>
        <v>270222B</v>
      </c>
      <c r="B1483" s="4" t="str">
        <f>IFERROR(__xludf.DUMMYFUNCTION("""COMPUTED_VALUE"""),"Capazo de goma 22 l Blanco")</f>
        <v>Capazo de goma 22 l Blanco</v>
      </c>
      <c r="C1483" s="4">
        <f>IFERROR(__xludf.DUMMYFUNCTION("""COMPUTED_VALUE"""),1.8719999999999999)</f>
        <v>1.872</v>
      </c>
    </row>
    <row r="1484">
      <c r="A1484" s="4" t="str">
        <f>IFERROR(__xludf.DUMMYFUNCTION("""COMPUTED_VALUE"""),"270222N")</f>
        <v>270222N</v>
      </c>
      <c r="B1484" s="4" t="str">
        <f>IFERROR(__xludf.DUMMYFUNCTION("""COMPUTED_VALUE"""),"Capazo de goma 22 l Negro")</f>
        <v>Capazo de goma 22 l Negro</v>
      </c>
      <c r="C1484" s="4">
        <f>IFERROR(__xludf.DUMMYFUNCTION("""COMPUTED_VALUE"""),1.8719999999999999)</f>
        <v>1.872</v>
      </c>
    </row>
    <row r="1485">
      <c r="A1485" s="4" t="str">
        <f>IFERROR(__xludf.DUMMYFUNCTION("""COMPUTED_VALUE"""),"270222R")</f>
        <v>270222R</v>
      </c>
      <c r="B1485" s="4" t="str">
        <f>IFERROR(__xludf.DUMMYFUNCTION("""COMPUTED_VALUE"""),"Capazo de goma 22 l Rojo")</f>
        <v>Capazo de goma 22 l Rojo</v>
      </c>
      <c r="C1485" s="4">
        <f>IFERROR(__xludf.DUMMYFUNCTION("""COMPUTED_VALUE"""),1.8719999999999999)</f>
        <v>1.872</v>
      </c>
    </row>
    <row r="1486">
      <c r="A1486" s="4" t="str">
        <f>IFERROR(__xludf.DUMMYFUNCTION("""COMPUTED_VALUE"""),"270242B")</f>
        <v>270242B</v>
      </c>
      <c r="B1486" s="4" t="str">
        <f>IFERROR(__xludf.DUMMYFUNCTION("""COMPUTED_VALUE"""),"Capazo de goma 42 l Blanco")</f>
        <v>Capazo de goma 42 l Blanco</v>
      </c>
      <c r="C1486" s="4">
        <f>IFERROR(__xludf.DUMMYFUNCTION("""COMPUTED_VALUE"""),2.352)</f>
        <v>2.352</v>
      </c>
    </row>
    <row r="1487">
      <c r="A1487" s="4" t="str">
        <f>IFERROR(__xludf.DUMMYFUNCTION("""COMPUTED_VALUE"""),"270242N")</f>
        <v>270242N</v>
      </c>
      <c r="B1487" s="4" t="str">
        <f>IFERROR(__xludf.DUMMYFUNCTION("""COMPUTED_VALUE"""),"Capazo de goma 42 l Negro")</f>
        <v>Capazo de goma 42 l Negro</v>
      </c>
      <c r="C1487" s="4">
        <f>IFERROR(__xludf.DUMMYFUNCTION("""COMPUTED_VALUE"""),2.352)</f>
        <v>2.352</v>
      </c>
    </row>
    <row r="1488">
      <c r="A1488" s="4" t="str">
        <f>IFERROR(__xludf.DUMMYFUNCTION("""COMPUTED_VALUE"""),"270242R")</f>
        <v>270242R</v>
      </c>
      <c r="B1488" s="4" t="str">
        <f>IFERROR(__xludf.DUMMYFUNCTION("""COMPUTED_VALUE"""),"Capazo de goma 42 l Rojo")</f>
        <v>Capazo de goma 42 l Rojo</v>
      </c>
      <c r="C1488" s="4">
        <f>IFERROR(__xludf.DUMMYFUNCTION("""COMPUTED_VALUE"""),2.352)</f>
        <v>2.352</v>
      </c>
    </row>
    <row r="1489">
      <c r="A1489" s="4" t="str">
        <f>IFERROR(__xludf.DUMMYFUNCTION("""COMPUTED_VALUE"""),"270255B")</f>
        <v>270255B</v>
      </c>
      <c r="B1489" s="4" t="str">
        <f>IFERROR(__xludf.DUMMYFUNCTION("""COMPUTED_VALUE"""),"Capazo de goma 55 l Blanco")</f>
        <v>Capazo de goma 55 l Blanco</v>
      </c>
      <c r="C1489" s="4">
        <f>IFERROR(__xludf.DUMMYFUNCTION("""COMPUTED_VALUE"""),4.175999999999999)</f>
        <v>4.176</v>
      </c>
    </row>
    <row r="1490">
      <c r="A1490" s="4" t="str">
        <f>IFERROR(__xludf.DUMMYFUNCTION("""COMPUTED_VALUE"""),"270255N")</f>
        <v>270255N</v>
      </c>
      <c r="B1490" s="4" t="str">
        <f>IFERROR(__xludf.DUMMYFUNCTION("""COMPUTED_VALUE"""),"Capazo de goma 55 l Negro")</f>
        <v>Capazo de goma 55 l Negro</v>
      </c>
      <c r="C1490" s="4">
        <f>IFERROR(__xludf.DUMMYFUNCTION("""COMPUTED_VALUE"""),4.175999999999999)</f>
        <v>4.176</v>
      </c>
    </row>
    <row r="1491">
      <c r="A1491" s="4" t="str">
        <f>IFERROR(__xludf.DUMMYFUNCTION("""COMPUTED_VALUE"""),"270255R")</f>
        <v>270255R</v>
      </c>
      <c r="B1491" s="4" t="str">
        <f>IFERROR(__xludf.DUMMYFUNCTION("""COMPUTED_VALUE"""),"Capazo de goma 55 l Rojo")</f>
        <v>Capazo de goma 55 l Rojo</v>
      </c>
      <c r="C1491" s="4">
        <f>IFERROR(__xludf.DUMMYFUNCTION("""COMPUTED_VALUE"""),4.175999999999999)</f>
        <v>4.176</v>
      </c>
    </row>
    <row r="1492">
      <c r="A1492" s="4" t="str">
        <f>IFERROR(__xludf.DUMMYFUNCTION("""COMPUTED_VALUE"""),"2703")</f>
        <v>2703</v>
      </c>
      <c r="B1492" s="4" t="str">
        <f>IFERROR(__xludf.DUMMYFUNCTION("""COMPUTED_VALUE"""),"Cubre cable portatil 1 metro Mod. A")</f>
        <v>Cubre cable portatil 1 metro Mod. A</v>
      </c>
      <c r="C1492" s="4">
        <f>IFERROR(__xludf.DUMMYFUNCTION("""COMPUTED_VALUE"""),12.719999999999999)</f>
        <v>12.72</v>
      </c>
    </row>
    <row r="1493">
      <c r="A1493" s="4" t="str">
        <f>IFERROR(__xludf.DUMMYFUNCTION("""COMPUTED_VALUE"""),"2704")</f>
        <v>2704</v>
      </c>
      <c r="B1493" s="4" t="str">
        <f>IFERROR(__xludf.DUMMYFUNCTION("""COMPUTED_VALUE"""),"Cubre cable portatil 1 metro Mod. B")</f>
        <v>Cubre cable portatil 1 metro Mod. B</v>
      </c>
      <c r="C1493" s="4">
        <f>IFERROR(__xludf.DUMMYFUNCTION("""COMPUTED_VALUE"""),23.279999999999998)</f>
        <v>23.28</v>
      </c>
    </row>
    <row r="1494">
      <c r="A1494" s="4" t="str">
        <f>IFERROR(__xludf.DUMMYFUNCTION("""COMPUTED_VALUE"""),"2705")</f>
        <v>2705</v>
      </c>
      <c r="B1494" s="4" t="str">
        <f>IFERROR(__xludf.DUMMYFUNCTION("""COMPUTED_VALUE"""),"Cubre cable portatil 9 metros Mod. C")</f>
        <v>Cubre cable portatil 9 metros Mod. C</v>
      </c>
      <c r="C1494" s="4">
        <f>IFERROR(__xludf.DUMMYFUNCTION("""COMPUTED_VALUE"""),36.48)</f>
        <v>36.48</v>
      </c>
    </row>
    <row r="1495">
      <c r="A1495" s="4" t="str">
        <f>IFERROR(__xludf.DUMMYFUNCTION("""COMPUTED_VALUE"""),"2706")</f>
        <v>2706</v>
      </c>
      <c r="B1495" s="4" t="str">
        <f>IFERROR(__xludf.DUMMYFUNCTION("""COMPUTED_VALUE"""),"Cubo 12 L Reciclado")</f>
        <v>Cubo 12 L Reciclado</v>
      </c>
      <c r="C1495" s="4">
        <f>IFERROR(__xludf.DUMMYFUNCTION("""COMPUTED_VALUE"""),0.9984)</f>
        <v>0.9984</v>
      </c>
    </row>
    <row r="1496">
      <c r="A1496" s="4" t="str">
        <f>IFERROR(__xludf.DUMMYFUNCTION("""COMPUTED_VALUE"""),"2707")</f>
        <v>2707</v>
      </c>
      <c r="B1496" s="4" t="str">
        <f>IFERROR(__xludf.DUMMYFUNCTION("""COMPUTED_VALUE"""),"Cubo 6 L Reciclado")</f>
        <v>Cubo 6 L Reciclado</v>
      </c>
      <c r="C1496" s="4">
        <f>IFERROR(__xludf.DUMMYFUNCTION("""COMPUTED_VALUE"""),0.768)</f>
        <v>0.768</v>
      </c>
    </row>
    <row r="1497">
      <c r="A1497" s="4" t="str">
        <f>IFERROR(__xludf.DUMMYFUNCTION("""COMPUTED_VALUE"""),"2708")</f>
        <v>2708</v>
      </c>
      <c r="B1497" s="4" t="str">
        <f>IFERROR(__xludf.DUMMYFUNCTION("""COMPUTED_VALUE"""),"Cubo 8 L Reciclado")</f>
        <v>Cubo 8 L Reciclado</v>
      </c>
      <c r="C1497" s="4">
        <f>IFERROR(__xludf.DUMMYFUNCTION("""COMPUTED_VALUE"""),0.816)</f>
        <v>0.816</v>
      </c>
    </row>
    <row r="1498">
      <c r="A1498" s="4" t="str">
        <f>IFERROR(__xludf.DUMMYFUNCTION("""COMPUTED_VALUE"""),"2709")</f>
        <v>2709</v>
      </c>
      <c r="B1498" s="4" t="str">
        <f>IFERROR(__xludf.DUMMYFUNCTION("""COMPUTED_VALUE"""),"Embudo para Combustible Flexible")</f>
        <v>Embudo para Combustible Flexible</v>
      </c>
      <c r="C1498" s="4">
        <f>IFERROR(__xludf.DUMMYFUNCTION("""COMPUTED_VALUE"""),1.5647999999999997)</f>
        <v>1.5648</v>
      </c>
    </row>
    <row r="1499">
      <c r="A1499" s="4" t="str">
        <f>IFERROR(__xludf.DUMMYFUNCTION("""COMPUTED_VALUE"""),"2710")</f>
        <v>2710</v>
      </c>
      <c r="B1499" s="4" t="str">
        <f>IFERROR(__xludf.DUMMYFUNCTION("""COMPUTED_VALUE"""),"Esponja abrasiva Lija Grado Alto Set 3")</f>
        <v>Esponja abrasiva Lija Grado Alto Set 3</v>
      </c>
      <c r="C1499" s="4">
        <f>IFERROR(__xludf.DUMMYFUNCTION("""COMPUTED_VALUE"""),1.68)</f>
        <v>1.68</v>
      </c>
    </row>
    <row r="1500">
      <c r="A1500" s="4" t="str">
        <f>IFERROR(__xludf.DUMMYFUNCTION("""COMPUTED_VALUE"""),"2711")</f>
        <v>2711</v>
      </c>
      <c r="B1500" s="4" t="str">
        <f>IFERROR(__xludf.DUMMYFUNCTION("""COMPUTED_VALUE"""),"Esponja Abrasiva Lija Brado Bajo Set 3")</f>
        <v>Esponja Abrasiva Lija Brado Bajo Set 3</v>
      </c>
      <c r="C1500" s="4">
        <f>IFERROR(__xludf.DUMMYFUNCTION("""COMPUTED_VALUE"""),1.68)</f>
        <v>1.68</v>
      </c>
    </row>
    <row r="1501">
      <c r="A1501" s="4" t="str">
        <f>IFERROR(__xludf.DUMMYFUNCTION("""COMPUTED_VALUE"""),"2712")</f>
        <v>2712</v>
      </c>
      <c r="B1501" s="4" t="str">
        <f>IFERROR(__xludf.DUMMYFUNCTION("""COMPUTED_VALUE"""),"Esponja Abrasiva Lija Grado Medio Set 3")</f>
        <v>Esponja Abrasiva Lija Grado Medio Set 3</v>
      </c>
      <c r="C1501" s="4">
        <f>IFERROR(__xludf.DUMMYFUNCTION("""COMPUTED_VALUE"""),1.68)</f>
        <v>1.68</v>
      </c>
    </row>
    <row r="1502">
      <c r="A1502" s="4" t="str">
        <f>IFERROR(__xludf.DUMMYFUNCTION("""COMPUTED_VALUE"""),"2713")</f>
        <v>2713</v>
      </c>
      <c r="B1502" s="4" t="str">
        <f>IFERROR(__xludf.DUMMYFUNCTION("""COMPUTED_VALUE"""),"Esponja Abrasiva Lija Set 3")</f>
        <v>Esponja Abrasiva Lija Set 3</v>
      </c>
      <c r="C1502" s="4">
        <f>IFERROR(__xludf.DUMMYFUNCTION("""COMPUTED_VALUE"""),1.68)</f>
        <v>1.68</v>
      </c>
    </row>
    <row r="1503">
      <c r="A1503" s="4" t="str">
        <f>IFERROR(__xludf.DUMMYFUNCTION("""COMPUTED_VALUE"""),"2714")</f>
        <v>2714</v>
      </c>
      <c r="B1503" s="4" t="str">
        <f>IFERROR(__xludf.DUMMYFUNCTION("""COMPUTED_VALUE"""),"Garrafa Apta contacto Alimentario 20 L")</f>
        <v>Garrafa Apta contacto Alimentario 20 L</v>
      </c>
      <c r="C1503" s="4">
        <f>IFERROR(__xludf.DUMMYFUNCTION("""COMPUTED_VALUE"""),8.879999999999999)</f>
        <v>8.88</v>
      </c>
    </row>
    <row r="1504">
      <c r="A1504" s="4" t="str">
        <f>IFERROR(__xludf.DUMMYFUNCTION("""COMPUTED_VALUE"""),"2715")</f>
        <v>2715</v>
      </c>
      <c r="B1504" s="4" t="str">
        <f>IFERROR(__xludf.DUMMYFUNCTION("""COMPUTED_VALUE"""),"Paño microfibra profesional 35x40 cm Gris")</f>
        <v>Paño microfibra profesional 35x40 cm Gris</v>
      </c>
      <c r="C1504" s="4">
        <f>IFERROR(__xludf.DUMMYFUNCTION("""COMPUTED_VALUE"""),0.45119999999999993)</f>
        <v>0.4512</v>
      </c>
    </row>
    <row r="1505">
      <c r="A1505" s="4" t="str">
        <f>IFERROR(__xludf.DUMMYFUNCTION("""COMPUTED_VALUE"""),"2716")</f>
        <v>2716</v>
      </c>
      <c r="B1505" s="4" t="str">
        <f>IFERROR(__xludf.DUMMYFUNCTION("""COMPUTED_VALUE"""),"Rollo Fibra abrasiva 15 CM X 6 M")</f>
        <v>Rollo Fibra abrasiva 15 CM X 6 M</v>
      </c>
      <c r="C1505" s="4">
        <f>IFERROR(__xludf.DUMMYFUNCTION("""COMPUTED_VALUE"""),8.4)</f>
        <v>8.4</v>
      </c>
    </row>
    <row r="1506">
      <c r="A1506" s="4" t="str">
        <f>IFERROR(__xludf.DUMMYFUNCTION("""COMPUTED_VALUE"""),"2785")</f>
        <v>2785</v>
      </c>
      <c r="B1506" s="4" t="str">
        <f>IFERROR(__xludf.DUMMYFUNCTION("""COMPUTED_VALUE"""),"Rodillo de marcar de 180")</f>
        <v>Rodillo de marcar de 180</v>
      </c>
      <c r="C1506" s="4">
        <f>IFERROR(__xludf.DUMMYFUNCTION("""COMPUTED_VALUE"""),73.92)</f>
        <v>73.92</v>
      </c>
    </row>
    <row r="1507">
      <c r="A1507" s="4" t="str">
        <f>IFERROR(__xludf.DUMMYFUNCTION("""COMPUTED_VALUE"""),"2800")</f>
        <v>2800</v>
      </c>
      <c r="B1507" s="4" t="str">
        <f>IFERROR(__xludf.DUMMYFUNCTION("""COMPUTED_VALUE"""),"Señal complementaria TPU Triangular 380 mm Reflex 1")</f>
        <v>Señal complementaria TPU Triangular 380 mm Reflex 1</v>
      </c>
      <c r="C1507" s="4">
        <f>IFERROR(__xludf.DUMMYFUNCTION("""COMPUTED_VALUE"""),8.64)</f>
        <v>8.64</v>
      </c>
    </row>
    <row r="1508">
      <c r="A1508" s="4" t="str">
        <f>IFERROR(__xludf.DUMMYFUNCTION("""COMPUTED_VALUE"""),"2900")</f>
        <v>2900</v>
      </c>
      <c r="B1508" s="4" t="str">
        <f>IFERROR(__xludf.DUMMYFUNCTION("""COMPUTED_VALUE"""),"Señal complementaria TPU circular 285 mm Reflex 1")</f>
        <v>Señal complementaria TPU circular 285 mm Reflex 1</v>
      </c>
      <c r="C1508" s="4">
        <f>IFERROR(__xludf.DUMMYFUNCTION("""COMPUTED_VALUE"""),8.64)</f>
        <v>8.64</v>
      </c>
    </row>
    <row r="1509">
      <c r="A1509" s="4" t="str">
        <f>IFERROR(__xludf.DUMMYFUNCTION("""COMPUTED_VALUE"""),"2901")</f>
        <v>2901</v>
      </c>
      <c r="B1509" s="4" t="str">
        <f>IFERROR(__xludf.DUMMYFUNCTION("""COMPUTED_VALUE"""),"Clavo yesero 250")</f>
        <v>Clavo yesero 250</v>
      </c>
      <c r="C1509" s="4">
        <f>IFERROR(__xludf.DUMMYFUNCTION("""COMPUTED_VALUE"""),1.392)</f>
        <v>1.392</v>
      </c>
    </row>
    <row r="1510">
      <c r="A1510" s="4" t="str">
        <f>IFERROR(__xludf.DUMMYFUNCTION("""COMPUTED_VALUE"""),"2969")</f>
        <v>2969</v>
      </c>
      <c r="B1510" s="4" t="str">
        <f>IFERROR(__xludf.DUMMYFUNCTION("""COMPUTED_VALUE"""),"Mezclador b/viscosidad 80 m/m")</f>
        <v>Mezclador b/viscosidad 80 m/m</v>
      </c>
      <c r="C1510" s="4">
        <f>IFERROR(__xludf.DUMMYFUNCTION("""COMPUTED_VALUE"""),1.8239999999999998)</f>
        <v>1.824</v>
      </c>
    </row>
    <row r="1511">
      <c r="A1511" s="4" t="str">
        <f>IFERROR(__xludf.DUMMYFUNCTION("""COMPUTED_VALUE"""),"2971")</f>
        <v>2971</v>
      </c>
      <c r="B1511" s="4" t="str">
        <f>IFERROR(__xludf.DUMMYFUNCTION("""COMPUTED_VALUE"""),"Mezclador pintura de 100 m/m")</f>
        <v>Mezclador pintura de 100 m/m</v>
      </c>
      <c r="C1511" s="4">
        <f>IFERROR(__xludf.DUMMYFUNCTION("""COMPUTED_VALUE"""),2.112)</f>
        <v>2.112</v>
      </c>
    </row>
    <row r="1512">
      <c r="A1512" s="4" t="str">
        <f>IFERROR(__xludf.DUMMYFUNCTION("""COMPUTED_VALUE"""),"3015")</f>
        <v>3015</v>
      </c>
      <c r="B1512" s="4" t="str">
        <f>IFERROR(__xludf.DUMMYFUNCTION("""COMPUTED_VALUE"""),"Distanciador cuña 0-7 (200 unid)")</f>
        <v>Distanciador cuña 0-7 (200 unid)</v>
      </c>
      <c r="C1512" s="4">
        <f>IFERROR(__xludf.DUMMYFUNCTION("""COMPUTED_VALUE"""),1.3439999999999999)</f>
        <v>1.344</v>
      </c>
    </row>
    <row r="1513">
      <c r="A1513" s="4" t="str">
        <f>IFERROR(__xludf.DUMMYFUNCTION("""COMPUTED_VALUE"""),"3030")</f>
        <v>3030</v>
      </c>
      <c r="B1513" s="4" t="str">
        <f>IFERROR(__xludf.DUMMYFUNCTION("""COMPUTED_VALUE"""),"Separador CONDOR 20 m/m (1000 Unid)")</f>
        <v>Separador CONDOR 20 m/m (1000 Unid)</v>
      </c>
      <c r="C1513" s="4">
        <f>IFERROR(__xludf.DUMMYFUNCTION("""COMPUTED_VALUE"""),28.176000000000002)</f>
        <v>28.176</v>
      </c>
    </row>
    <row r="1514">
      <c r="A1514" s="4" t="str">
        <f>IFERROR(__xludf.DUMMYFUNCTION("""COMPUTED_VALUE"""),"3031")</f>
        <v>3031</v>
      </c>
      <c r="B1514" s="4" t="str">
        <f>IFERROR(__xludf.DUMMYFUNCTION("""COMPUTED_VALUE"""),"Separador CONDOR 40 m/m (500 Unid)")</f>
        <v>Separador CONDOR 40 m/m (500 Unid)</v>
      </c>
      <c r="C1514" s="4">
        <f>IFERROR(__xludf.DUMMYFUNCTION("""COMPUTED_VALUE"""),25.151999999999997)</f>
        <v>25.152</v>
      </c>
    </row>
    <row r="1515">
      <c r="A1515" s="4" t="str">
        <f>IFERROR(__xludf.DUMMYFUNCTION("""COMPUTED_VALUE"""),"3032")</f>
        <v>3032</v>
      </c>
      <c r="B1515" s="4" t="str">
        <f>IFERROR(__xludf.DUMMYFUNCTION("""COMPUTED_VALUE"""),"Separador Universal (1000 Unid)")</f>
        <v>Separador Universal (1000 Unid)</v>
      </c>
      <c r="C1515" s="4">
        <f>IFERROR(__xludf.DUMMYFUNCTION("""COMPUTED_VALUE"""),40.12799999999999)</f>
        <v>40.128</v>
      </c>
    </row>
    <row r="1516">
      <c r="A1516" s="4" t="str">
        <f>IFERROR(__xludf.DUMMYFUNCTION("""COMPUTED_VALUE"""),"3033")</f>
        <v>3033</v>
      </c>
      <c r="B1516" s="4" t="str">
        <f>IFERROR(__xludf.DUMMYFUNCTION("""COMPUTED_VALUE"""),"Cono c/tapa para Guardacuerpos")</f>
        <v>Cono c/tapa para Guardacuerpos</v>
      </c>
      <c r="C1516" s="4">
        <f>IFERROR(__xludf.DUMMYFUNCTION("""COMPUTED_VALUE"""),0.1248)</f>
        <v>0.1248</v>
      </c>
    </row>
    <row r="1517">
      <c r="A1517" s="4" t="str">
        <f>IFERROR(__xludf.DUMMYFUNCTION("""COMPUTED_VALUE"""),"3034")</f>
        <v>3034</v>
      </c>
      <c r="B1517" s="4" t="str">
        <f>IFERROR(__xludf.DUMMYFUNCTION("""COMPUTED_VALUE"""),"Base guardacuerpos cuadr.35x40 (150 und)")</f>
        <v>Base guardacuerpos cuadr.35x40 (150 und)</v>
      </c>
      <c r="C1517" s="4">
        <f>IFERROR(__xludf.DUMMYFUNCTION("""COMPUTED_VALUE"""),32.016)</f>
        <v>32.016</v>
      </c>
    </row>
    <row r="1518">
      <c r="A1518" s="4" t="str">
        <f>IFERROR(__xludf.DUMMYFUNCTION("""COMPUTED_VALUE"""),"3035")</f>
        <v>3035</v>
      </c>
      <c r="B1518" s="4" t="str">
        <f>IFERROR(__xludf.DUMMYFUNCTION("""COMPUTED_VALUE"""),"Separador CONDOR 30 m/m (1000 Unid)")</f>
        <v>Separador CONDOR 30 m/m (1000 Unid)</v>
      </c>
      <c r="C1518" s="4">
        <f>IFERROR(__xludf.DUMMYFUNCTION("""COMPUTED_VALUE"""),35.76)</f>
        <v>35.76</v>
      </c>
    </row>
    <row r="1519">
      <c r="A1519" s="4" t="str">
        <f>IFERROR(__xludf.DUMMYFUNCTION("""COMPUTED_VALUE"""),"3036")</f>
        <v>3036</v>
      </c>
      <c r="B1519" s="4" t="str">
        <f>IFERROR(__xludf.DUMMYFUNCTION("""COMPUTED_VALUE"""),"Base horca-pescante 60x40 ( 114 unid)")</f>
        <v>Base horca-pescante 60x40 ( 114 unid)</v>
      </c>
      <c r="C1519" s="4">
        <f>IFERROR(__xludf.DUMMYFUNCTION("""COMPUTED_VALUE"""),115.056)</f>
        <v>115.056</v>
      </c>
    </row>
    <row r="1520">
      <c r="A1520" s="4" t="str">
        <f>IFERROR(__xludf.DUMMYFUNCTION("""COMPUTED_VALUE"""),"3037")</f>
        <v>3037</v>
      </c>
      <c r="B1520" s="4" t="str">
        <f>IFERROR(__xludf.DUMMYFUNCTION("""COMPUTED_VALUE"""),"Base horca-pescante 60x60 ( 45 unid)")</f>
        <v>Base horca-pescante 60x60 ( 45 unid)</v>
      </c>
      <c r="C1520" s="4">
        <f>IFERROR(__xludf.DUMMYFUNCTION("""COMPUTED_VALUE"""),42.239999999999995)</f>
        <v>42.24</v>
      </c>
    </row>
    <row r="1521">
      <c r="A1521" s="4" t="str">
        <f>IFERROR(__xludf.DUMMYFUNCTION("""COMPUTED_VALUE"""),"3038")</f>
        <v>3038</v>
      </c>
      <c r="B1521" s="4" t="str">
        <f>IFERROR(__xludf.DUMMYFUNCTION("""COMPUTED_VALUE"""),"Separador CONDOR 50 m/m (500 Unid )")</f>
        <v>Separador CONDOR 50 m/m (500 Unid )</v>
      </c>
      <c r="C1521" s="4">
        <f>IFERROR(__xludf.DUMMYFUNCTION("""COMPUTED_VALUE"""),37.8)</f>
        <v>37.8</v>
      </c>
    </row>
    <row r="1522">
      <c r="A1522" s="4" t="str">
        <f>IFERROR(__xludf.DUMMYFUNCTION("""COMPUTED_VALUE"""),"3039")</f>
        <v>3039</v>
      </c>
      <c r="B1522" s="4" t="str">
        <f>IFERROR(__xludf.DUMMYFUNCTION("""COMPUTED_VALUE"""),"Seta protectora Varilla 12-20")</f>
        <v>Seta protectora Varilla 12-20</v>
      </c>
      <c r="C1522" s="4">
        <f>IFERROR(__xludf.DUMMYFUNCTION("""COMPUTED_VALUE"""),0.06720000000000001)</f>
        <v>0.0672</v>
      </c>
    </row>
    <row r="1523">
      <c r="A1523" s="4" t="str">
        <f>IFERROR(__xludf.DUMMYFUNCTION("""COMPUTED_VALUE"""),"3041")</f>
        <v>3041</v>
      </c>
      <c r="B1523" s="4" t="str">
        <f>IFERROR(__xludf.DUMMYFUNCTION("""COMPUTED_VALUE"""),"Seta protect. cuadrada 35x40 ( 100 unid )")</f>
        <v>Seta protect. cuadrada 35x40 ( 100 unid )</v>
      </c>
      <c r="C1523" s="4">
        <f>IFERROR(__xludf.DUMMYFUNCTION("""COMPUTED_VALUE"""),12.288)</f>
        <v>12.288</v>
      </c>
    </row>
    <row r="1524">
      <c r="A1524" s="4" t="str">
        <f>IFERROR(__xludf.DUMMYFUNCTION("""COMPUTED_VALUE"""),"3042")</f>
        <v>3042</v>
      </c>
      <c r="B1524" s="4" t="str">
        <f>IFERROR(__xludf.DUMMYFUNCTION("""COMPUTED_VALUE"""),"Setón protector varilla 24-40 ( 200 unid )")</f>
        <v>Setón protector varilla 24-40 ( 200 unid )</v>
      </c>
      <c r="C1524" s="4">
        <f>IFERROR(__xludf.DUMMYFUNCTION("""COMPUTED_VALUE"""),32.16)</f>
        <v>32.16</v>
      </c>
    </row>
    <row r="1525">
      <c r="A1525" s="4" t="str">
        <f>IFERROR(__xludf.DUMMYFUNCTION("""COMPUTED_VALUE"""),"3043")</f>
        <v>3043</v>
      </c>
      <c r="B1525" s="4" t="str">
        <f>IFERROR(__xludf.DUMMYFUNCTION("""COMPUTED_VALUE"""),"Seta protectora c/ refuerzo interior (100 unid)")</f>
        <v>Seta protectora c/ refuerzo interior (100 unid)</v>
      </c>
      <c r="C1525" s="4">
        <f>IFERROR(__xludf.DUMMYFUNCTION("""COMPUTED_VALUE"""),19.151999999999997)</f>
        <v>19.152</v>
      </c>
    </row>
    <row r="1526">
      <c r="A1526" s="4" t="str">
        <f>IFERROR(__xludf.DUMMYFUNCTION("""COMPUTED_VALUE"""),"3100")</f>
        <v>3100</v>
      </c>
      <c r="B1526" s="4" t="str">
        <f>IFERROR(__xludf.DUMMYFUNCTION("""COMPUTED_VALUE"""),"Junta de dilatación 4 cm M.Lineal")</f>
        <v>Junta de dilatación 4 cm M.Lineal</v>
      </c>
      <c r="C1526" s="4">
        <f>IFERROR(__xludf.DUMMYFUNCTION("""COMPUTED_VALUE"""),0.8448)</f>
        <v>0.8448</v>
      </c>
    </row>
    <row r="1527">
      <c r="A1527" s="4" t="str">
        <f>IFERROR(__xludf.DUMMYFUNCTION("""COMPUTED_VALUE"""),"3101")</f>
        <v>3101</v>
      </c>
      <c r="B1527" s="4" t="str">
        <f>IFERROR(__xludf.DUMMYFUNCTION("""COMPUTED_VALUE"""),"Junta de dilatación 8 cm M.Lineal")</f>
        <v>Junta de dilatación 8 cm M.Lineal</v>
      </c>
      <c r="C1527" s="4">
        <f>IFERROR(__xludf.DUMMYFUNCTION("""COMPUTED_VALUE"""),1.152)</f>
        <v>1.152</v>
      </c>
    </row>
    <row r="1528">
      <c r="A1528" s="4" t="str">
        <f>IFERROR(__xludf.DUMMYFUNCTION("""COMPUTED_VALUE"""),"3102")</f>
        <v>3102</v>
      </c>
      <c r="B1528" s="4" t="str">
        <f>IFERROR(__xludf.DUMMYFUNCTION("""COMPUTED_VALUE"""),"Conexión para cadena y cinta poste ref 1136")</f>
        <v>Conexión para cadena y cinta poste ref 1136</v>
      </c>
      <c r="C1528" s="4">
        <f>IFERROR(__xludf.DUMMYFUNCTION("""COMPUTED_VALUE"""),1.3439999999999999)</f>
        <v>1.344</v>
      </c>
    </row>
    <row r="1529">
      <c r="A1529" s="4" t="str">
        <f>IFERROR(__xludf.DUMMYFUNCTION("""COMPUTED_VALUE"""),"3103")</f>
        <v>3103</v>
      </c>
      <c r="B1529" s="4" t="str">
        <f>IFERROR(__xludf.DUMMYFUNCTION("""COMPUTED_VALUE"""),"Conexion para hito 0588 a señales TPU")</f>
        <v>Conexion para hito 0588 a señales TPU</v>
      </c>
      <c r="C1529" s="4">
        <f>IFERROR(__xludf.DUMMYFUNCTION("""COMPUTED_VALUE"""),2.88)</f>
        <v>2.88</v>
      </c>
    </row>
    <row r="1530">
      <c r="A1530" s="4" t="str">
        <f>IFERROR(__xludf.DUMMYFUNCTION("""COMPUTED_VALUE"""),"3105")</f>
        <v>3105</v>
      </c>
      <c r="B1530" s="4" t="str">
        <f>IFERROR(__xludf.DUMMYFUNCTION("""COMPUTED_VALUE"""),"Tornillo y taco para reductor velocidad")</f>
        <v>Tornillo y taco para reductor velocidad</v>
      </c>
      <c r="C1530" s="4">
        <f>IFERROR(__xludf.DUMMYFUNCTION("""COMPUTED_VALUE"""),0.45119999999999993)</f>
        <v>0.4512</v>
      </c>
    </row>
    <row r="1531">
      <c r="A1531" s="4" t="str">
        <f>IFERROR(__xludf.DUMMYFUNCTION("""COMPUTED_VALUE"""),"3112")</f>
        <v>3112</v>
      </c>
      <c r="B1531" s="4" t="str">
        <f>IFERROR(__xludf.DUMMYFUNCTION("""COMPUTED_VALUE"""),"Conexión para conos")</f>
        <v>Conexión para conos</v>
      </c>
      <c r="C1531" s="4">
        <f>IFERROR(__xludf.DUMMYFUNCTION("""COMPUTED_VALUE"""),5.76)</f>
        <v>5.76</v>
      </c>
    </row>
    <row r="1532">
      <c r="A1532" s="4" t="str">
        <f>IFERROR(__xludf.DUMMYFUNCTION("""COMPUTED_VALUE"""),"3250")</f>
        <v>3250</v>
      </c>
      <c r="B1532" s="4" t="str">
        <f>IFERROR(__xludf.DUMMYFUNCTION("""COMPUTED_VALUE"""),"Mts. Guardavivo yeso")</f>
        <v>Mts. Guardavivo yeso</v>
      </c>
      <c r="C1532" s="4">
        <f>IFERROR(__xludf.DUMMYFUNCTION("""COMPUTED_VALUE"""),0.39359999999999995)</f>
        <v>0.3936</v>
      </c>
    </row>
    <row r="1533">
      <c r="A1533" s="4" t="str">
        <f>IFERROR(__xludf.DUMMYFUNCTION("""COMPUTED_VALUE"""),"3251")</f>
        <v>3251</v>
      </c>
      <c r="B1533" s="4" t="str">
        <f>IFERROR(__xludf.DUMMYFUNCTION("""COMPUTED_VALUE"""),"Mts. Guardacantos c/blanco")</f>
        <v>Mts. Guardacantos c/blanco</v>
      </c>
      <c r="C1533" s="4">
        <f>IFERROR(__xludf.DUMMYFUNCTION("""COMPUTED_VALUE"""),0.4128)</f>
        <v>0.4128</v>
      </c>
    </row>
    <row r="1534">
      <c r="A1534" s="4" t="str">
        <f>IFERROR(__xludf.DUMMYFUNCTION("""COMPUTED_VALUE"""),"3252")</f>
        <v>3252</v>
      </c>
      <c r="B1534" s="4" t="str">
        <f>IFERROR(__xludf.DUMMYFUNCTION("""COMPUTED_VALUE"""),"Mts. Guardacantos c/ marfil")</f>
        <v>Mts. Guardacantos c/ marfil</v>
      </c>
      <c r="C1534" s="4">
        <f>IFERROR(__xludf.DUMMYFUNCTION("""COMPUTED_VALUE"""),0.4128)</f>
        <v>0.4128</v>
      </c>
    </row>
    <row r="1535">
      <c r="A1535" s="4" t="str">
        <f>IFERROR(__xludf.DUMMYFUNCTION("""COMPUTED_VALUE"""),"3253")</f>
        <v>3253</v>
      </c>
      <c r="B1535" s="4" t="str">
        <f>IFERROR(__xludf.DUMMYFUNCTION("""COMPUTED_VALUE"""),"Mts. Guardacantos c/gris")</f>
        <v>Mts. Guardacantos c/gris</v>
      </c>
      <c r="C1535" s="4">
        <f>IFERROR(__xludf.DUMMYFUNCTION("""COMPUTED_VALUE"""),0.4128)</f>
        <v>0.4128</v>
      </c>
    </row>
    <row r="1536">
      <c r="A1536" s="4" t="str">
        <f>IFERROR(__xludf.DUMMYFUNCTION("""COMPUTED_VALUE"""),"3254")</f>
        <v>3254</v>
      </c>
      <c r="B1536" s="4" t="str">
        <f>IFERROR(__xludf.DUMMYFUNCTION("""COMPUTED_VALUE"""),"Mts. Junquillo PVC para monocapa")</f>
        <v>Mts. Junquillo PVC para monocapa</v>
      </c>
      <c r="C1536" s="4">
        <f>IFERROR(__xludf.DUMMYFUNCTION("""COMPUTED_VALUE"""),0.3168)</f>
        <v>0.3168</v>
      </c>
    </row>
    <row r="1537">
      <c r="A1537" s="4" t="str">
        <f>IFERROR(__xludf.DUMMYFUNCTION("""COMPUTED_VALUE"""),"3256")</f>
        <v>3256</v>
      </c>
      <c r="B1537" s="4" t="str">
        <f>IFERROR(__xludf.DUMMYFUNCTION("""COMPUTED_VALUE"""),"Mts. Guardavivo monocapa punta fina")</f>
        <v>Mts. Guardavivo monocapa punta fina</v>
      </c>
      <c r="C1537" s="4">
        <f>IFERROR(__xludf.DUMMYFUNCTION("""COMPUTED_VALUE"""),0.3648)</f>
        <v>0.3648</v>
      </c>
    </row>
    <row r="1538">
      <c r="A1538" s="4" t="str">
        <f>IFERROR(__xludf.DUMMYFUNCTION("""COMPUTED_VALUE"""),"3300")</f>
        <v>3300</v>
      </c>
      <c r="B1538" s="4" t="str">
        <f>IFERROR(__xludf.DUMMYFUNCTION("""COMPUTED_VALUE"""),"Mt.Tubo encofrado 22/26- ( En 3 mts)")</f>
        <v>Mt.Tubo encofrado 22/26- ( En 3 mts)</v>
      </c>
      <c r="C1538" s="4">
        <f>IFERROR(__xludf.DUMMYFUNCTION("""COMPUTED_VALUE"""),0.432)</f>
        <v>0.432</v>
      </c>
    </row>
    <row r="1539">
      <c r="A1539" s="4" t="str">
        <f>IFERROR(__xludf.DUMMYFUNCTION("""COMPUTED_VALUE"""),"3301")</f>
        <v>3301</v>
      </c>
      <c r="B1539" s="4" t="str">
        <f>IFERROR(__xludf.DUMMYFUNCTION("""COMPUTED_VALUE"""),"Mt.Tubo encofrado 22/26 -( En 2 mts)")</f>
        <v>Mt.Tubo encofrado 22/26 -( En 2 mts)</v>
      </c>
      <c r="C1539" s="4">
        <f>IFERROR(__xludf.DUMMYFUNCTION("""COMPUTED_VALUE"""),0.432)</f>
        <v>0.432</v>
      </c>
    </row>
    <row r="1540">
      <c r="A1540" s="4" t="str">
        <f>IFERROR(__xludf.DUMMYFUNCTION("""COMPUTED_VALUE"""),"3302")</f>
        <v>3302</v>
      </c>
      <c r="B1540" s="4" t="str">
        <f>IFERROR(__xludf.DUMMYFUNCTION("""COMPUTED_VALUE"""),"Mt Tubo encofrado 26/30- ( En 2 mts)")</f>
        <v>Mt Tubo encofrado 26/30- ( En 2 mts)</v>
      </c>
      <c r="C1540" s="4">
        <f>IFERROR(__xludf.DUMMYFUNCTION("""COMPUTED_VALUE"""),0.528)</f>
        <v>0.528</v>
      </c>
    </row>
    <row r="1541">
      <c r="A1541" s="4" t="str">
        <f>IFERROR(__xludf.DUMMYFUNCTION("""COMPUTED_VALUE"""),"3303")</f>
        <v>3303</v>
      </c>
      <c r="B1541" s="4" t="str">
        <f>IFERROR(__xludf.DUMMYFUNCTION("""COMPUTED_VALUE"""),"Mts. Berengeno Pequeño 27,2mm Base x 20mm Alt.")</f>
        <v>Mts. Berengeno Pequeño 27,2mm Base x 20mm Alt.</v>
      </c>
      <c r="C1541" s="4">
        <f>IFERROR(__xludf.DUMMYFUNCTION("""COMPUTED_VALUE"""),0.39359999999999995)</f>
        <v>0.3936</v>
      </c>
    </row>
    <row r="1542">
      <c r="A1542" s="4" t="str">
        <f>IFERROR(__xludf.DUMMYFUNCTION("""COMPUTED_VALUE"""),"3304")</f>
        <v>3304</v>
      </c>
      <c r="B1542" s="4" t="str">
        <f>IFERROR(__xludf.DUMMYFUNCTION("""COMPUTED_VALUE"""),"Mts. Berengeno Mediano 34mm Base x 25mm Alt.")</f>
        <v>Mts. Berengeno Mediano 34mm Base x 25mm Alt.</v>
      </c>
      <c r="C1542" s="4">
        <f>IFERROR(__xludf.DUMMYFUNCTION("""COMPUTED_VALUE"""),0.5088)</f>
        <v>0.5088</v>
      </c>
    </row>
    <row r="1543">
      <c r="A1543" s="4" t="str">
        <f>IFERROR(__xludf.DUMMYFUNCTION("""COMPUTED_VALUE"""),"3305")</f>
        <v>3305</v>
      </c>
      <c r="B1543" s="4" t="str">
        <f>IFERROR(__xludf.DUMMYFUNCTION("""COMPUTED_VALUE"""),"Mts. Berengeno Grande 41mm Base x 30mm Alt,")</f>
        <v>Mts. Berengeno Grande 41mm Base x 30mm Alt,</v>
      </c>
      <c r="C1543" s="4">
        <f>IFERROR(__xludf.DUMMYFUNCTION("""COMPUTED_VALUE"""),0.5663999999999999)</f>
        <v>0.5664</v>
      </c>
    </row>
    <row r="1544">
      <c r="A1544" s="4" t="str">
        <f>IFERROR(__xludf.DUMMYFUNCTION("""COMPUTED_VALUE"""),"3306")</f>
        <v>3306</v>
      </c>
      <c r="B1544" s="4" t="str">
        <f>IFERROR(__xludf.DUMMYFUNCTION("""COMPUTED_VALUE"""),"Tubo ETUBAX 20 cm")</f>
        <v>Tubo ETUBAX 20 cm</v>
      </c>
      <c r="C1544" s="4">
        <f>IFERROR(__xludf.DUMMYFUNCTION("""COMPUTED_VALUE"""),0.2784)</f>
        <v>0.2784</v>
      </c>
    </row>
    <row r="1545">
      <c r="A1545" s="4" t="str">
        <f>IFERROR(__xludf.DUMMYFUNCTION("""COMPUTED_VALUE"""),"3307")</f>
        <v>3307</v>
      </c>
      <c r="B1545" s="4" t="str">
        <f>IFERROR(__xludf.DUMMYFUNCTION("""COMPUTED_VALUE"""),"Tubo ETUBAX 25 cm")</f>
        <v>Tubo ETUBAX 25 cm</v>
      </c>
      <c r="C1545" s="4">
        <f>IFERROR(__xludf.DUMMYFUNCTION("""COMPUTED_VALUE"""),0.2976)</f>
        <v>0.2976</v>
      </c>
    </row>
    <row r="1546">
      <c r="A1546" s="4" t="str">
        <f>IFERROR(__xludf.DUMMYFUNCTION("""COMPUTED_VALUE"""),"3308")</f>
        <v>3308</v>
      </c>
      <c r="B1546" s="4" t="str">
        <f>IFERROR(__xludf.DUMMYFUNCTION("""COMPUTED_VALUE"""),"Tubo ETUBAX 30 cm")</f>
        <v>Tubo ETUBAX 30 cm</v>
      </c>
      <c r="C1546" s="4">
        <f>IFERROR(__xludf.DUMMYFUNCTION("""COMPUTED_VALUE"""),0.3648)</f>
        <v>0.3648</v>
      </c>
    </row>
    <row r="1547">
      <c r="A1547" s="4" t="str">
        <f>IFERROR(__xludf.DUMMYFUNCTION("""COMPUTED_VALUE"""),"3309")</f>
        <v>3309</v>
      </c>
      <c r="B1547" s="4" t="str">
        <f>IFERROR(__xludf.DUMMYFUNCTION("""COMPUTED_VALUE"""),"Tubo ETUBAX 35 cm")</f>
        <v>Tubo ETUBAX 35 cm</v>
      </c>
      <c r="C1547" s="4">
        <f>IFERROR(__xludf.DUMMYFUNCTION("""COMPUTED_VALUE"""),0.3648)</f>
        <v>0.3648</v>
      </c>
    </row>
    <row r="1548">
      <c r="A1548" s="4" t="str">
        <f>IFERROR(__xludf.DUMMYFUNCTION("""COMPUTED_VALUE"""),"3310")</f>
        <v>3310</v>
      </c>
      <c r="B1548" s="4" t="str">
        <f>IFERROR(__xludf.DUMMYFUNCTION("""COMPUTED_VALUE"""),"Tubo ETUBAX 40 cm")</f>
        <v>Tubo ETUBAX 40 cm</v>
      </c>
      <c r="C1548" s="4">
        <f>IFERROR(__xludf.DUMMYFUNCTION("""COMPUTED_VALUE"""),0.4416)</f>
        <v>0.4416</v>
      </c>
    </row>
    <row r="1549">
      <c r="A1549" s="4" t="str">
        <f>IFERROR(__xludf.DUMMYFUNCTION("""COMPUTED_VALUE"""),"3315")</f>
        <v>3315</v>
      </c>
      <c r="B1549" s="4" t="str">
        <f>IFERROR(__xludf.DUMMYFUNCTION("""COMPUTED_VALUE"""),"Mts. Berengeno Mini 17,2mm Base x 12,5 mm Alt.")</f>
        <v>Mts. Berengeno Mini 17,2mm Base x 12,5 mm Alt.</v>
      </c>
      <c r="C1549" s="4">
        <f>IFERROR(__xludf.DUMMYFUNCTION("""COMPUTED_VALUE"""),0.3168)</f>
        <v>0.3168</v>
      </c>
    </row>
    <row r="1550">
      <c r="A1550" s="4" t="str">
        <f>IFERROR(__xludf.DUMMYFUNCTION("""COMPUTED_VALUE"""),"3370")</f>
        <v>3370</v>
      </c>
      <c r="B1550" s="4" t="str">
        <f>IFERROR(__xludf.DUMMYFUNCTION("""COMPUTED_VALUE"""),"Separador rueda 25 m/m (1000 Unid)")</f>
        <v>Separador rueda 25 m/m (1000 Unid)</v>
      </c>
      <c r="C1550" s="4">
        <f>IFERROR(__xludf.DUMMYFUNCTION("""COMPUTED_VALUE"""),26.784)</f>
        <v>26.784</v>
      </c>
    </row>
    <row r="1551">
      <c r="A1551" s="4" t="str">
        <f>IFERROR(__xludf.DUMMYFUNCTION("""COMPUTED_VALUE"""),"3371")</f>
        <v>3371</v>
      </c>
      <c r="B1551" s="4" t="str">
        <f>IFERROR(__xludf.DUMMYFUNCTION("""COMPUTED_VALUE"""),"Separador rueda 30 m/m (1000 Unid)")</f>
        <v>Separador rueda 30 m/m (1000 Unid)</v>
      </c>
      <c r="C1551" s="4">
        <f>IFERROR(__xludf.DUMMYFUNCTION("""COMPUTED_VALUE"""),28.752)</f>
        <v>28.752</v>
      </c>
    </row>
    <row r="1552">
      <c r="A1552" s="4" t="str">
        <f>IFERROR(__xludf.DUMMYFUNCTION("""COMPUTED_VALUE"""),"3372")</f>
        <v>3372</v>
      </c>
      <c r="B1552" s="4" t="str">
        <f>IFERROR(__xludf.DUMMYFUNCTION("""COMPUTED_VALUE"""),"Separador rueda 35 m/m (500 Unid)")</f>
        <v>Separador rueda 35 m/m (500 Unid)</v>
      </c>
      <c r="C1552" s="4">
        <f>IFERROR(__xludf.DUMMYFUNCTION("""COMPUTED_VALUE"""),22.56)</f>
        <v>22.56</v>
      </c>
    </row>
    <row r="1553">
      <c r="A1553" s="4" t="str">
        <f>IFERROR(__xludf.DUMMYFUNCTION("""COMPUTED_VALUE"""),"3373")</f>
        <v>3373</v>
      </c>
      <c r="B1553" s="4" t="str">
        <f>IFERROR(__xludf.DUMMYFUNCTION("""COMPUTED_VALUE"""),"Separador rueda 40 m/m (500 Unid)")</f>
        <v>Separador rueda 40 m/m (500 Unid)</v>
      </c>
      <c r="C1553" s="4">
        <f>IFERROR(__xludf.DUMMYFUNCTION("""COMPUTED_VALUE"""),28.08)</f>
        <v>28.08</v>
      </c>
    </row>
    <row r="1554">
      <c r="A1554" s="4" t="str">
        <f>IFERROR(__xludf.DUMMYFUNCTION("""COMPUTED_VALUE"""),"3374")</f>
        <v>3374</v>
      </c>
      <c r="B1554" s="4" t="str">
        <f>IFERROR(__xludf.DUMMYFUNCTION("""COMPUTED_VALUE"""),"Separador rueda 50 m/m (250 Unid)")</f>
        <v>Separador rueda 50 m/m (250 Unid)</v>
      </c>
      <c r="C1554" s="4">
        <f>IFERROR(__xludf.DUMMYFUNCTION("""COMPUTED_VALUE"""),25.68)</f>
        <v>25.68</v>
      </c>
    </row>
    <row r="1555">
      <c r="A1555" s="4" t="str">
        <f>IFERROR(__xludf.DUMMYFUNCTION("""COMPUTED_VALUE"""),"3376")</f>
        <v>3376</v>
      </c>
      <c r="B1555" s="4" t="str">
        <f>IFERROR(__xludf.DUMMYFUNCTION("""COMPUTED_VALUE"""),"Separador rueda 70 m/m ( 150 unid )")</f>
        <v>Separador rueda 70 m/m ( 150 unid )</v>
      </c>
      <c r="C1555" s="4">
        <f>IFERROR(__xludf.DUMMYFUNCTION("""COMPUTED_VALUE"""),26.64)</f>
        <v>26.64</v>
      </c>
    </row>
    <row r="1556">
      <c r="A1556" s="4" t="str">
        <f>IFERROR(__xludf.DUMMYFUNCTION("""COMPUTED_VALUE"""),"3390")</f>
        <v>3390</v>
      </c>
      <c r="B1556" s="4" t="str">
        <f>IFERROR(__xludf.DUMMYFUNCTION("""COMPUTED_VALUE"""),"Cono standard tubo de 26 mm (1000 unid )")</f>
        <v>Cono standard tubo de 26 mm (1000 unid )</v>
      </c>
      <c r="C1556" s="4">
        <f>IFERROR(__xludf.DUMMYFUNCTION("""COMPUTED_VALUE"""),52.876799999999996)</f>
        <v>52.8768</v>
      </c>
    </row>
    <row r="1557">
      <c r="A1557" s="4" t="str">
        <f>IFERROR(__xludf.DUMMYFUNCTION("""COMPUTED_VALUE"""),"3391")</f>
        <v>3391</v>
      </c>
      <c r="B1557" s="4" t="str">
        <f>IFERROR(__xludf.DUMMYFUNCTION("""COMPUTED_VALUE"""),"Cono para tubo 22/26 bolsa 1000 uds")</f>
        <v>Cono para tubo 22/26 bolsa 1000 uds</v>
      </c>
      <c r="C1557" s="4">
        <f>IFERROR(__xludf.DUMMYFUNCTION("""COMPUTED_VALUE"""),17.28)</f>
        <v>17.28</v>
      </c>
    </row>
    <row r="1558">
      <c r="A1558" s="4" t="str">
        <f>IFERROR(__xludf.DUMMYFUNCTION("""COMPUTED_VALUE"""),"3392")</f>
        <v>3392</v>
      </c>
      <c r="B1558" s="4" t="str">
        <f>IFERROR(__xludf.DUMMYFUNCTION("""COMPUTED_VALUE"""),"Cono liso para tubo 22 mm ( 500 unid )")</f>
        <v>Cono liso para tubo 22 mm ( 500 unid )</v>
      </c>
      <c r="C1558" s="4">
        <f>IFERROR(__xludf.DUMMYFUNCTION("""COMPUTED_VALUE"""),13.584)</f>
        <v>13.584</v>
      </c>
    </row>
    <row r="1559">
      <c r="A1559" s="4" t="str">
        <f>IFERROR(__xludf.DUMMYFUNCTION("""COMPUTED_VALUE"""),"3393")</f>
        <v>3393</v>
      </c>
      <c r="B1559" s="4" t="str">
        <f>IFERROR(__xludf.DUMMYFUNCTION("""COMPUTED_VALUE"""),"Tapón para cono liso (500 und)")</f>
        <v>Tapón para cono liso (500 und)</v>
      </c>
      <c r="C1559" s="4">
        <f>IFERROR(__xludf.DUMMYFUNCTION("""COMPUTED_VALUE"""),10.08)</f>
        <v>10.08</v>
      </c>
    </row>
    <row r="1560">
      <c r="A1560" s="4" t="str">
        <f>IFERROR(__xludf.DUMMYFUNCTION("""COMPUTED_VALUE"""),"3394")</f>
        <v>3394</v>
      </c>
      <c r="B1560" s="4" t="str">
        <f>IFERROR(__xludf.DUMMYFUNCTION("""COMPUTED_VALUE"""),"Tapon estanco 4 aletas tubo 22 (500 unid)")</f>
        <v>Tapon estanco 4 aletas tubo 22 (500 unid)</v>
      </c>
      <c r="C1560" s="4">
        <f>IFERROR(__xludf.DUMMYFUNCTION("""COMPUTED_VALUE"""),16.608)</f>
        <v>16.608</v>
      </c>
    </row>
    <row r="1561">
      <c r="A1561" s="4" t="str">
        <f>IFERROR(__xludf.DUMMYFUNCTION("""COMPUTED_VALUE"""),"3396")</f>
        <v>3396</v>
      </c>
      <c r="B1561" s="4" t="str">
        <f>IFERROR(__xludf.DUMMYFUNCTION("""COMPUTED_VALUE"""),"Tapón standard tubo 22 m/m (1000 Uni)")</f>
        <v>Tapón standard tubo 22 m/m (1000 Uni)</v>
      </c>
      <c r="C1561" s="4">
        <f>IFERROR(__xludf.DUMMYFUNCTION("""COMPUTED_VALUE"""),13.584)</f>
        <v>13.584</v>
      </c>
    </row>
    <row r="1562">
      <c r="A1562" s="4" t="str">
        <f>IFERROR(__xludf.DUMMYFUNCTION("""COMPUTED_VALUE"""),"3397")</f>
        <v>3397</v>
      </c>
      <c r="B1562" s="4" t="str">
        <f>IFERROR(__xludf.DUMMYFUNCTION("""COMPUTED_VALUE"""),"Tapón standard tubo 26 m/m 1000 unid)")</f>
        <v>Tapón standard tubo 26 m/m 1000 unid)</v>
      </c>
      <c r="C1562" s="4">
        <f>IFERROR(__xludf.DUMMYFUNCTION("""COMPUTED_VALUE"""),32.256)</f>
        <v>32.256</v>
      </c>
    </row>
    <row r="1563">
      <c r="A1563" s="4" t="str">
        <f>IFERROR(__xludf.DUMMYFUNCTION("""COMPUTED_VALUE"""),"4004")</f>
        <v>4004</v>
      </c>
      <c r="B1563" s="4" t="str">
        <f>IFERROR(__xludf.DUMMYFUNCTION("""COMPUTED_VALUE"""),"Mts. cuerda CERVINO 4 m/m")</f>
        <v>Mts. cuerda CERVINO 4 m/m</v>
      </c>
      <c r="C1563" s="4">
        <f>IFERROR(__xludf.DUMMYFUNCTION("""COMPUTED_VALUE"""),0.13440000000000002)</f>
        <v>0.1344</v>
      </c>
    </row>
    <row r="1564">
      <c r="A1564" s="4" t="str">
        <f>IFERROR(__xludf.DUMMYFUNCTION("""COMPUTED_VALUE"""),"4006")</f>
        <v>4006</v>
      </c>
      <c r="B1564" s="4" t="str">
        <f>IFERROR(__xludf.DUMMYFUNCTION("""COMPUTED_VALUE"""),"Mts. cuerda CERVINO 6 m/m")</f>
        <v>Mts. cuerda CERVINO 6 m/m</v>
      </c>
      <c r="C1564" s="4">
        <f>IFERROR(__xludf.DUMMYFUNCTION("""COMPUTED_VALUE"""),0.1824)</f>
        <v>0.1824</v>
      </c>
    </row>
    <row r="1565">
      <c r="A1565" s="4" t="str">
        <f>IFERROR(__xludf.DUMMYFUNCTION("""COMPUTED_VALUE"""),"4008")</f>
        <v>4008</v>
      </c>
      <c r="B1565" s="4" t="str">
        <f>IFERROR(__xludf.DUMMYFUNCTION("""COMPUTED_VALUE"""),"Mts. cuerda CERVINO 8 m/m")</f>
        <v>Mts. cuerda CERVINO 8 m/m</v>
      </c>
      <c r="C1565" s="4">
        <f>IFERROR(__xludf.DUMMYFUNCTION("""COMPUTED_VALUE"""),0.24)</f>
        <v>0.24</v>
      </c>
    </row>
    <row r="1566">
      <c r="A1566" s="4" t="str">
        <f>IFERROR(__xludf.DUMMYFUNCTION("""COMPUTED_VALUE"""),"4010")</f>
        <v>4010</v>
      </c>
      <c r="B1566" s="4" t="str">
        <f>IFERROR(__xludf.DUMMYFUNCTION("""COMPUTED_VALUE"""),"Mts. cuerda CERVINO 10 m/m")</f>
        <v>Mts. cuerda CERVINO 10 m/m</v>
      </c>
      <c r="C1566" s="4">
        <f>IFERROR(__xludf.DUMMYFUNCTION("""COMPUTED_VALUE"""),0.39359999999999995)</f>
        <v>0.3936</v>
      </c>
    </row>
    <row r="1567">
      <c r="A1567" s="4" t="str">
        <f>IFERROR(__xludf.DUMMYFUNCTION("""COMPUTED_VALUE"""),"4012")</f>
        <v>4012</v>
      </c>
      <c r="B1567" s="4" t="str">
        <f>IFERROR(__xludf.DUMMYFUNCTION("""COMPUTED_VALUE"""),"Mts. cuerda CERVINO 12 m/m")</f>
        <v>Mts. cuerda CERVINO 12 m/m</v>
      </c>
      <c r="C1567" s="4">
        <f>IFERROR(__xludf.DUMMYFUNCTION("""COMPUTED_VALUE"""),0.6336)</f>
        <v>0.6336</v>
      </c>
    </row>
    <row r="1568">
      <c r="A1568" s="4" t="str">
        <f>IFERROR(__xludf.DUMMYFUNCTION("""COMPUTED_VALUE"""),"4014")</f>
        <v>4014</v>
      </c>
      <c r="B1568" s="4" t="str">
        <f>IFERROR(__xludf.DUMMYFUNCTION("""COMPUTED_VALUE"""),"Mts. cuerda CERVINO 14 m/m")</f>
        <v>Mts. cuerda CERVINO 14 m/m</v>
      </c>
      <c r="C1568" s="4">
        <f>IFERROR(__xludf.DUMMYFUNCTION("""COMPUTED_VALUE"""),0.6911999999999999)</f>
        <v>0.6912</v>
      </c>
    </row>
    <row r="1569">
      <c r="A1569" s="4" t="str">
        <f>IFERROR(__xludf.DUMMYFUNCTION("""COMPUTED_VALUE"""),"4016")</f>
        <v>4016</v>
      </c>
      <c r="B1569" s="4" t="str">
        <f>IFERROR(__xludf.DUMMYFUNCTION("""COMPUTED_VALUE"""),"Mts. cuerda CERVINO 16 m/m")</f>
        <v>Mts. cuerda CERVINO 16 m/m</v>
      </c>
      <c r="C1569" s="4">
        <f>IFERROR(__xludf.DUMMYFUNCTION("""COMPUTED_VALUE"""),0.8448)</f>
        <v>0.8448</v>
      </c>
    </row>
    <row r="1570">
      <c r="A1570" s="4" t="str">
        <f>IFERROR(__xludf.DUMMYFUNCTION("""COMPUTED_VALUE"""),"4018")</f>
        <v>4018</v>
      </c>
      <c r="B1570" s="4" t="str">
        <f>IFERROR(__xludf.DUMMYFUNCTION("""COMPUTED_VALUE"""),"Mts. cuerda CERVINO 18 m/m")</f>
        <v>Mts. cuerda CERVINO 18 m/m</v>
      </c>
      <c r="C1570" s="4">
        <f>IFERROR(__xludf.DUMMYFUNCTION("""COMPUTED_VALUE"""),1.0752000000000002)</f>
        <v>1.0752</v>
      </c>
    </row>
    <row r="1571">
      <c r="A1571" s="4" t="str">
        <f>IFERROR(__xludf.DUMMYFUNCTION("""COMPUTED_VALUE"""),"4020")</f>
        <v>4020</v>
      </c>
      <c r="B1571" s="4" t="str">
        <f>IFERROR(__xludf.DUMMYFUNCTION("""COMPUTED_VALUE"""),"Mts. cuerda CERVINO 20 m/m")</f>
        <v>Mts. cuerda CERVINO 20 m/m</v>
      </c>
      <c r="C1571" s="4">
        <f>IFERROR(__xludf.DUMMYFUNCTION("""COMPUTED_VALUE"""),1.392)</f>
        <v>1.392</v>
      </c>
    </row>
    <row r="1572">
      <c r="A1572" s="4" t="str">
        <f>IFERROR(__xludf.DUMMYFUNCTION("""COMPUTED_VALUE"""),"4050")</f>
        <v>4050</v>
      </c>
      <c r="B1572" s="4" t="str">
        <f>IFERROR(__xludf.DUMMYFUNCTION("""COMPUTED_VALUE"""),"Señal complementaria TPU rectanagular 440x360 mm Reflex")</f>
        <v>Señal complementaria TPU rectanagular 440x360 mm Reflex</v>
      </c>
      <c r="C1572" s="4">
        <f>IFERROR(__xludf.DUMMYFUNCTION("""COMPUTED_VALUE"""),8.64)</f>
        <v>8.64</v>
      </c>
    </row>
    <row r="1573">
      <c r="A1573" s="4" t="str">
        <f>IFERROR(__xludf.DUMMYFUNCTION("""COMPUTED_VALUE"""),"4080")</f>
        <v>4080</v>
      </c>
      <c r="B1573" s="4" t="str">
        <f>IFERROR(__xludf.DUMMYFUNCTION("""COMPUTED_VALUE"""),"Tope parking 59 L x 12 Anc. x 10 Alt. Mod. B")</f>
        <v>Tope parking 59 L x 12 Anc. x 10 Alt. Mod. B</v>
      </c>
      <c r="C1573" s="4">
        <f>IFERROR(__xludf.DUMMYFUNCTION("""COMPUTED_VALUE"""),9.36)</f>
        <v>9.36</v>
      </c>
    </row>
    <row r="1574">
      <c r="A1574" s="4" t="str">
        <f>IFERROR(__xludf.DUMMYFUNCTION("""COMPUTED_VALUE"""),"4081")</f>
        <v>4081</v>
      </c>
      <c r="B1574" s="4" t="str">
        <f>IFERROR(__xludf.DUMMYFUNCTION("""COMPUTED_VALUE"""),"Tope parking 55 L x 14,5 Anc x 15 Alt. Mod. C")</f>
        <v>Tope parking 55 L x 14,5 Anc x 15 Alt. Mod. C</v>
      </c>
      <c r="C1574" s="4">
        <f>IFERROR(__xludf.DUMMYFUNCTION("""COMPUTED_VALUE"""),13.776)</f>
        <v>13.776</v>
      </c>
    </row>
    <row r="1575">
      <c r="A1575" s="4" t="str">
        <f>IFERROR(__xludf.DUMMYFUNCTION("""COMPUTED_VALUE"""),"4090C")</f>
        <v>4090C</v>
      </c>
      <c r="B1575" s="4" t="str">
        <f>IFERROR(__xludf.DUMMYFUNCTION("""COMPUTED_VALUE"""),"Aparcabicis modulo central 2 bicicletas")</f>
        <v>Aparcabicis modulo central 2 bicicletas</v>
      </c>
      <c r="C1575" s="4">
        <f>IFERROR(__xludf.DUMMYFUNCTION("""COMPUTED_VALUE"""),47.879999999999995)</f>
        <v>47.88</v>
      </c>
    </row>
    <row r="1576">
      <c r="A1576" s="4" t="str">
        <f>IFERROR(__xludf.DUMMYFUNCTION("""COMPUTED_VALUE"""),"4090E")</f>
        <v>4090E</v>
      </c>
      <c r="B1576" s="4" t="str">
        <f>IFERROR(__xludf.DUMMYFUNCTION("""COMPUTED_VALUE"""),"Aparcabicis modulo extremo 2 bicicletas")</f>
        <v>Aparcabicis modulo extremo 2 bicicletas</v>
      </c>
      <c r="C1576" s="4">
        <f>IFERROR(__xludf.DUMMYFUNCTION("""COMPUTED_VALUE"""),47.879999999999995)</f>
        <v>47.88</v>
      </c>
    </row>
    <row r="1577">
      <c r="A1577" s="4" t="str">
        <f>IFERROR(__xludf.DUMMYFUNCTION("""COMPUTED_VALUE"""),"4090U")</f>
        <v>4090U</v>
      </c>
      <c r="B1577" s="4" t="str">
        <f>IFERROR(__xludf.DUMMYFUNCTION("""COMPUTED_VALUE"""),"Aparcabicis unión modulos")</f>
        <v>Aparcabicis unión modulos</v>
      </c>
      <c r="C1577" s="4">
        <f>IFERROR(__xludf.DUMMYFUNCTION("""COMPUTED_VALUE"""),4.56)</f>
        <v>4.56</v>
      </c>
    </row>
    <row r="1578">
      <c r="A1578" s="4" t="str">
        <f>IFERROR(__xludf.DUMMYFUNCTION("""COMPUTED_VALUE"""),"4098")</f>
        <v>4098</v>
      </c>
      <c r="B1578" s="4" t="str">
        <f>IFERROR(__xludf.DUMMYFUNCTION("""COMPUTED_VALUE"""),"Cepo parking Mod. A 49,5 cm x 49,5 cm x 9 cm con llave")</f>
        <v>Cepo parking Mod. A 49,5 cm x 49,5 cm x 9 cm con llave</v>
      </c>
      <c r="C1578" s="4">
        <f>IFERROR(__xludf.DUMMYFUNCTION("""COMPUTED_VALUE"""),37.0848)</f>
        <v>37.0848</v>
      </c>
    </row>
    <row r="1579">
      <c r="A1579" s="4" t="str">
        <f>IFERROR(__xludf.DUMMYFUNCTION("""COMPUTED_VALUE"""),"4099")</f>
        <v>4099</v>
      </c>
      <c r="B1579" s="4" t="str">
        <f>IFERROR(__xludf.DUMMYFUNCTION("""COMPUTED_VALUE"""),"Cepo parking Mod. B 76 cm x 47 cm c/candado")</f>
        <v>Cepo parking Mod. B 76 cm x 47 cm c/candado</v>
      </c>
      <c r="C1579" s="4">
        <f>IFERROR(__xludf.DUMMYFUNCTION("""COMPUTED_VALUE"""),21.119999999999997)</f>
        <v>21.12</v>
      </c>
    </row>
    <row r="1580">
      <c r="A1580" s="4" t="str">
        <f>IFERROR(__xludf.DUMMYFUNCTION("""COMPUTED_VALUE"""),"4100")</f>
        <v>4100</v>
      </c>
      <c r="B1580" s="4" t="str">
        <f>IFERROR(__xludf.DUMMYFUNCTION("""COMPUTED_VALUE"""),"Espejo trafico 600 mm Mod. Basic c/ visera")</f>
        <v>Espejo trafico 600 mm Mod. Basic c/ visera</v>
      </c>
      <c r="C1580" s="4">
        <f>IFERROR(__xludf.DUMMYFUNCTION("""COMPUTED_VALUE"""),33.12)</f>
        <v>33.12</v>
      </c>
    </row>
    <row r="1581">
      <c r="A1581" s="4" t="str">
        <f>IFERROR(__xludf.DUMMYFUNCTION("""COMPUTED_VALUE"""),"4101")</f>
        <v>4101</v>
      </c>
      <c r="B1581" s="4" t="str">
        <f>IFERROR(__xludf.DUMMYFUNCTION("""COMPUTED_VALUE"""),"Espejo Trafico 800 mm Mod. Basic c visera")</f>
        <v>Espejo Trafico 800 mm Mod. Basic c visera</v>
      </c>
      <c r="C1581" s="4">
        <f>IFERROR(__xludf.DUMMYFUNCTION("""COMPUTED_VALUE"""),60.48)</f>
        <v>60.48</v>
      </c>
    </row>
    <row r="1582">
      <c r="A1582" s="4" t="str">
        <f>IFERROR(__xludf.DUMMYFUNCTION("""COMPUTED_VALUE"""),"4103")</f>
        <v>4103</v>
      </c>
      <c r="B1582" s="4" t="str">
        <f>IFERROR(__xludf.DUMMYFUNCTION("""COMPUTED_VALUE"""),"Esquinera proteccion columna 80 cm mod. B")</f>
        <v>Esquinera proteccion columna 80 cm mod. B</v>
      </c>
      <c r="C1582" s="4">
        <f>IFERROR(__xludf.DUMMYFUNCTION("""COMPUTED_VALUE"""),4.224)</f>
        <v>4.224</v>
      </c>
    </row>
    <row r="1583">
      <c r="A1583" s="4" t="str">
        <f>IFERROR(__xludf.DUMMYFUNCTION("""COMPUTED_VALUE"""),"4104")</f>
        <v>4104</v>
      </c>
      <c r="B1583" s="4" t="str">
        <f>IFERROR(__xludf.DUMMYFUNCTION("""COMPUTED_VALUE"""),"Tope parking 55 x 15 Anc. x 10 Alt Mod. A")</f>
        <v>Tope parking 55 x 15 Anc. x 10 Alt Mod. A</v>
      </c>
      <c r="C1583" s="4">
        <f>IFERROR(__xludf.DUMMYFUNCTION("""COMPUTED_VALUE"""),9.216)</f>
        <v>9.216</v>
      </c>
    </row>
    <row r="1584">
      <c r="A1584" s="4" t="str">
        <f>IFERROR(__xludf.DUMMYFUNCTION("""COMPUTED_VALUE"""),"4105")</f>
        <v>4105</v>
      </c>
      <c r="B1584" s="4" t="str">
        <f>IFERROR(__xludf.DUMMYFUNCTION("""COMPUTED_VALUE"""),"Esquinera proteccion columna 80 cm mod. A")</f>
        <v>Esquinera proteccion columna 80 cm mod. A</v>
      </c>
      <c r="C1584" s="4">
        <f>IFERROR(__xludf.DUMMYFUNCTION("""COMPUTED_VALUE"""),7.4399999999999995)</f>
        <v>7.44</v>
      </c>
    </row>
    <row r="1585">
      <c r="A1585" s="4" t="str">
        <f>IFERROR(__xludf.DUMMYFUNCTION("""COMPUTED_VALUE"""),"4106")</f>
        <v>4106</v>
      </c>
      <c r="B1585" s="4" t="str">
        <f>IFERROR(__xludf.DUMMYFUNCTION("""COMPUTED_VALUE"""),"Mts.cuerda certif.poliest.Alta Tenacidad 6 m/m")</f>
        <v>Mts.cuerda certif.poliest.Alta Tenacidad 6 m/m</v>
      </c>
      <c r="C1585" s="4">
        <f>IFERROR(__xludf.DUMMYFUNCTION("""COMPUTED_VALUE"""),0.2304)</f>
        <v>0.2304</v>
      </c>
    </row>
    <row r="1586">
      <c r="A1586" s="4" t="str">
        <f>IFERROR(__xludf.DUMMYFUNCTION("""COMPUTED_VALUE"""),"4108")</f>
        <v>4108</v>
      </c>
      <c r="B1586" s="4" t="str">
        <f>IFERROR(__xludf.DUMMYFUNCTION("""COMPUTED_VALUE"""),"Mts.cuerda certif.poliest.Alta Tenacidad 8 m/m")</f>
        <v>Mts.cuerda certif.poliest.Alta Tenacidad 8 m/m</v>
      </c>
      <c r="C1586" s="4">
        <f>IFERROR(__xludf.DUMMYFUNCTION("""COMPUTED_VALUE"""),0.4128)</f>
        <v>0.4128</v>
      </c>
    </row>
    <row r="1587">
      <c r="A1587" s="4" t="str">
        <f>IFERROR(__xludf.DUMMYFUNCTION("""COMPUTED_VALUE"""),"4110")</f>
        <v>4110</v>
      </c>
      <c r="B1587" s="4" t="str">
        <f>IFERROR(__xludf.DUMMYFUNCTION("""COMPUTED_VALUE"""),"Mts.cuerda certif.poliest.Alta Tenacidad 10 m/m")</f>
        <v>Mts.cuerda certif.poliest.Alta Tenacidad 10 m/m</v>
      </c>
      <c r="C1587" s="4">
        <f>IFERROR(__xludf.DUMMYFUNCTION("""COMPUTED_VALUE"""),0.5376000000000001)</f>
        <v>0.5376</v>
      </c>
    </row>
    <row r="1588">
      <c r="A1588" s="4" t="str">
        <f>IFERROR(__xludf.DUMMYFUNCTION("""COMPUTED_VALUE"""),"4112")</f>
        <v>4112</v>
      </c>
      <c r="B1588" s="4" t="str">
        <f>IFERROR(__xludf.DUMMYFUNCTION("""COMPUTED_VALUE"""),"Mts.cuerda Certif.poliest.Alta Tenacidad 12 m/m")</f>
        <v>Mts.cuerda Certif.poliest.Alta Tenacidad 12 m/m</v>
      </c>
      <c r="C1588" s="4">
        <f>IFERROR(__xludf.DUMMYFUNCTION("""COMPUTED_VALUE"""),0.8448)</f>
        <v>0.8448</v>
      </c>
    </row>
    <row r="1589">
      <c r="A1589" s="4" t="str">
        <f>IFERROR(__xludf.DUMMYFUNCTION("""COMPUTED_VALUE"""),"4114")</f>
        <v>4114</v>
      </c>
      <c r="B1589" s="4" t="str">
        <f>IFERROR(__xludf.DUMMYFUNCTION("""COMPUTED_VALUE"""),"Mts.cuerda Certif.poliest.Alta Tenacidad 14 m/m")</f>
        <v>Mts.cuerda Certif.poliest.Alta Tenacidad 14 m/m</v>
      </c>
      <c r="C1589" s="4">
        <f>IFERROR(__xludf.DUMMYFUNCTION("""COMPUTED_VALUE"""),1.1136)</f>
        <v>1.1136</v>
      </c>
    </row>
    <row r="1590">
      <c r="A1590" s="4" t="str">
        <f>IFERROR(__xludf.DUMMYFUNCTION("""COMPUTED_VALUE"""),"4116")</f>
        <v>4116</v>
      </c>
      <c r="B1590" s="4" t="str">
        <f>IFERROR(__xludf.DUMMYFUNCTION("""COMPUTED_VALUE"""),"Mts.cuerda Certif.poliest.Alta Tenacidad 16 m/m")</f>
        <v>Mts.cuerda Certif.poliest.Alta Tenacidad 16 m/m</v>
      </c>
      <c r="C1590" s="4">
        <f>IFERROR(__xludf.DUMMYFUNCTION("""COMPUTED_VALUE"""),1.3056)</f>
        <v>1.3056</v>
      </c>
    </row>
    <row r="1591">
      <c r="A1591" s="4" t="str">
        <f>IFERROR(__xludf.DUMMYFUNCTION("""COMPUTED_VALUE"""),"4118")</f>
        <v>4118</v>
      </c>
      <c r="B1591" s="4" t="str">
        <f>IFERROR(__xludf.DUMMYFUNCTION("""COMPUTED_VALUE"""),"Mts.cuerda Certif.poliest.Alta Tenacidad 18 m/m")</f>
        <v>Mts.cuerda Certif.poliest.Alta Tenacidad 18 m/m</v>
      </c>
      <c r="C1591" s="4">
        <f>IFERROR(__xludf.DUMMYFUNCTION("""COMPUTED_VALUE"""),1.7087999999999999)</f>
        <v>1.7088</v>
      </c>
    </row>
    <row r="1592">
      <c r="A1592" s="4" t="str">
        <f>IFERROR(__xludf.DUMMYFUNCTION("""COMPUTED_VALUE"""),"4125")</f>
        <v>4125</v>
      </c>
      <c r="B1592" s="4" t="str">
        <f>IFERROR(__xludf.DUMMYFUNCTION("""COMPUTED_VALUE"""),"Bolsa tapa señales 95x110 agujereada")</f>
        <v>Bolsa tapa señales 95x110 agujereada</v>
      </c>
      <c r="C1592" s="4">
        <f>IFERROR(__xludf.DUMMYFUNCTION("""COMPUTED_VALUE"""),2.88)</f>
        <v>2.88</v>
      </c>
    </row>
    <row r="1593">
      <c r="A1593" s="4" t="str">
        <f>IFERROR(__xludf.DUMMYFUNCTION("""COMPUTED_VALUE"""),"4150")</f>
        <v>4150</v>
      </c>
      <c r="B1593" s="4" t="str">
        <f>IFERROR(__xludf.DUMMYFUNCTION("""COMPUTED_VALUE"""),"Espejo 60 cm Mod. Icaro")</f>
        <v>Espejo 60 cm Mod. Icaro</v>
      </c>
      <c r="C1593" s="4">
        <f>IFERROR(__xludf.DUMMYFUNCTION("""COMPUTED_VALUE"""),52.32)</f>
        <v>52.32</v>
      </c>
    </row>
    <row r="1594">
      <c r="A1594" s="4" t="str">
        <f>IFERROR(__xludf.DUMMYFUNCTION("""COMPUTED_VALUE"""),"4151")</f>
        <v>4151</v>
      </c>
      <c r="B1594" s="4" t="str">
        <f>IFERROR(__xludf.DUMMYFUNCTION("""COMPUTED_VALUE"""),"Espejo 80 cm Mod. Icaro")</f>
        <v>Espejo 80 cm Mod. Icaro</v>
      </c>
      <c r="C1594" s="4">
        <f>IFERROR(__xludf.DUMMYFUNCTION("""COMPUTED_VALUE"""),83.52)</f>
        <v>83.52</v>
      </c>
    </row>
    <row r="1595">
      <c r="A1595" s="4" t="str">
        <f>IFERROR(__xludf.DUMMYFUNCTION("""COMPUTED_VALUE"""),"4180")</f>
        <v>4180</v>
      </c>
      <c r="B1595" s="4" t="str">
        <f>IFERROR(__xludf.DUMMYFUNCTION("""COMPUTED_VALUE"""),"Protector parking FOAM R/B columna 30x25x1,5 cm")</f>
        <v>Protector parking FOAM R/B columna 30x25x1,5 cm</v>
      </c>
      <c r="C1595" s="4">
        <f>IFERROR(__xludf.DUMMYFUNCTION("""COMPUTED_VALUE"""),3.264)</f>
        <v>3.264</v>
      </c>
    </row>
    <row r="1596">
      <c r="A1596" s="4" t="str">
        <f>IFERROR(__xludf.DUMMYFUNCTION("""COMPUTED_VALUE"""),"4181")</f>
        <v>4181</v>
      </c>
      <c r="B1596" s="4" t="str">
        <f>IFERROR(__xludf.DUMMYFUNCTION("""COMPUTED_VALUE"""),"Protector parking FOAM N/A columna 30X25X1,5 cm")</f>
        <v>Protector parking FOAM N/A columna 30X25X1,5 cm</v>
      </c>
      <c r="C1596" s="4">
        <f>IFERROR(__xludf.DUMMYFUNCTION("""COMPUTED_VALUE"""),3.264)</f>
        <v>3.264</v>
      </c>
    </row>
    <row r="1597">
      <c r="A1597" s="4" t="str">
        <f>IFERROR(__xludf.DUMMYFUNCTION("""COMPUTED_VALUE"""),"4182")</f>
        <v>4182</v>
      </c>
      <c r="B1597" s="4" t="str">
        <f>IFERROR(__xludf.DUMMYFUNCTION("""COMPUTED_VALUE"""),"Protector parking FOAM R/B columna 100x200x1,5 cm")</f>
        <v>Protector parking FOAM R/B columna 100x200x1,5 cm</v>
      </c>
      <c r="C1597" s="4">
        <f>IFERROR(__xludf.DUMMYFUNCTION("""COMPUTED_VALUE"""),37.44)</f>
        <v>37.44</v>
      </c>
    </row>
    <row r="1598">
      <c r="A1598" s="4" t="str">
        <f>IFERROR(__xludf.DUMMYFUNCTION("""COMPUTED_VALUE"""),"4183")</f>
        <v>4183</v>
      </c>
      <c r="B1598" s="4" t="str">
        <f>IFERROR(__xludf.DUMMYFUNCTION("""COMPUTED_VALUE"""),"Protector parking FOAM N/A columna 100x200x1,5 cm")</f>
        <v>Protector parking FOAM N/A columna 100x200x1,5 cm</v>
      </c>
      <c r="C1598" s="4">
        <f>IFERROR(__xludf.DUMMYFUNCTION("""COMPUTED_VALUE"""),37.44)</f>
        <v>37.44</v>
      </c>
    </row>
    <row r="1599">
      <c r="A1599" s="4" t="str">
        <f>IFERROR(__xludf.DUMMYFUNCTION("""COMPUTED_VALUE"""),"4184")</f>
        <v>4184</v>
      </c>
      <c r="B1599" s="4" t="str">
        <f>IFERROR(__xludf.DUMMYFUNCTION("""COMPUTED_VALUE"""),"Protector parking FOAM R/B plano 24x18x4cm")</f>
        <v>Protector parking FOAM R/B plano 24x18x4cm</v>
      </c>
      <c r="C1599" s="4">
        <f>IFERROR(__xludf.DUMMYFUNCTION("""COMPUTED_VALUE"""),3.312)</f>
        <v>3.312</v>
      </c>
    </row>
    <row r="1600">
      <c r="A1600" s="4" t="str">
        <f>IFERROR(__xludf.DUMMYFUNCTION("""COMPUTED_VALUE"""),"4185")</f>
        <v>4185</v>
      </c>
      <c r="B1600" s="4" t="str">
        <f>IFERROR(__xludf.DUMMYFUNCTION("""COMPUTED_VALUE"""),"Protector parking FOAM N/A plano 24x18x4cm")</f>
        <v>Protector parking FOAM N/A plano 24x18x4cm</v>
      </c>
      <c r="C1600" s="4">
        <f>IFERROR(__xludf.DUMMYFUNCTION("""COMPUTED_VALUE"""),3.312)</f>
        <v>3.312</v>
      </c>
    </row>
    <row r="1601">
      <c r="A1601" s="4" t="str">
        <f>IFERROR(__xludf.DUMMYFUNCTION("""COMPUTED_VALUE"""),"4186")</f>
        <v>4186</v>
      </c>
      <c r="B1601" s="4" t="str">
        <f>IFERROR(__xludf.DUMMYFUNCTION("""COMPUTED_VALUE"""),"Protector parking FOAM R/B esquina 50x(15+15)x1,5 cm")</f>
        <v>Protector parking FOAM R/B esquina 50x(15+15)x1,5 cm</v>
      </c>
      <c r="C1601" s="4">
        <f>IFERROR(__xludf.DUMMYFUNCTION("""COMPUTED_VALUE"""),5.52)</f>
        <v>5.52</v>
      </c>
    </row>
    <row r="1602">
      <c r="A1602" s="4" t="str">
        <f>IFERROR(__xludf.DUMMYFUNCTION("""COMPUTED_VALUE"""),"4187")</f>
        <v>4187</v>
      </c>
      <c r="B1602" s="4" t="str">
        <f>IFERROR(__xludf.DUMMYFUNCTION("""COMPUTED_VALUE"""),"Protector parking FOAM N/A esquina 50x(15+15)x1,5 cm")</f>
        <v>Protector parking FOAM N/A esquina 50x(15+15)x1,5 cm</v>
      </c>
      <c r="C1602" s="4">
        <f>IFERROR(__xludf.DUMMYFUNCTION("""COMPUTED_VALUE"""),5.52)</f>
        <v>5.52</v>
      </c>
    </row>
    <row r="1603">
      <c r="A1603" s="4" t="str">
        <f>IFERROR(__xludf.DUMMYFUNCTION("""COMPUTED_VALUE"""),"4188")</f>
        <v>4188</v>
      </c>
      <c r="B1603" s="4" t="str">
        <f>IFERROR(__xludf.DUMMYFUNCTION("""COMPUTED_VALUE"""),"Protector parking FOAM R/B plano 50X10X1,5cm")</f>
        <v>Protector parking FOAM R/B plano 50X10X1,5cm</v>
      </c>
      <c r="C1603" s="4">
        <f>IFERROR(__xludf.DUMMYFUNCTION("""COMPUTED_VALUE"""),2.112)</f>
        <v>2.112</v>
      </c>
    </row>
    <row r="1604">
      <c r="A1604" s="4" t="str">
        <f>IFERROR(__xludf.DUMMYFUNCTION("""COMPUTED_VALUE"""),"4189")</f>
        <v>4189</v>
      </c>
      <c r="B1604" s="4" t="str">
        <f>IFERROR(__xludf.DUMMYFUNCTION("""COMPUTED_VALUE"""),"Protector parking FOAM N/A plano 50x10x1,5cm")</f>
        <v>Protector parking FOAM N/A plano 50x10x1,5cm</v>
      </c>
      <c r="C1604" s="4">
        <f>IFERROR(__xludf.DUMMYFUNCTION("""COMPUTED_VALUE"""),2.112)</f>
        <v>2.112</v>
      </c>
    </row>
    <row r="1605">
      <c r="A1605" s="4" t="str">
        <f>IFERROR(__xludf.DUMMYFUNCTION("""COMPUTED_VALUE"""),"4190")</f>
        <v>4190</v>
      </c>
      <c r="B1605" s="4" t="str">
        <f>IFERROR(__xludf.DUMMYFUNCTION("""COMPUTED_VALUE"""),"Protector parking FOAM R/B plano 50x25x2,5cm")</f>
        <v>Protector parking FOAM R/B plano 50x25x2,5cm</v>
      </c>
      <c r="C1605" s="4">
        <f>IFERROR(__xludf.DUMMYFUNCTION("""COMPUTED_VALUE"""),4.704)</f>
        <v>4.704</v>
      </c>
    </row>
    <row r="1606">
      <c r="A1606" s="4" t="str">
        <f>IFERROR(__xludf.DUMMYFUNCTION("""COMPUTED_VALUE"""),"4191")</f>
        <v>4191</v>
      </c>
      <c r="B1606" s="4" t="str">
        <f>IFERROR(__xludf.DUMMYFUNCTION("""COMPUTED_VALUE"""),"Protector parking FOAM N/A plano 50x25x2,5cm")</f>
        <v>Protector parking FOAM N/A plano 50x25x2,5cm</v>
      </c>
      <c r="C1606" s="4">
        <f>IFERROR(__xludf.DUMMYFUNCTION("""COMPUTED_VALUE"""),4.704)</f>
        <v>4.704</v>
      </c>
    </row>
    <row r="1607">
      <c r="A1607" s="4" t="str">
        <f>IFERROR(__xludf.DUMMYFUNCTION("""COMPUTED_VALUE"""),"4192")</f>
        <v>4192</v>
      </c>
      <c r="B1607" s="4" t="str">
        <f>IFERROR(__xludf.DUMMYFUNCTION("""COMPUTED_VALUE"""),"Protector parking FOAM R/B plano 30x20x1,5 cm")</f>
        <v>Protector parking FOAM R/B plano 30x20x1,5 cm</v>
      </c>
      <c r="C1607" s="4">
        <f>IFERROR(__xludf.DUMMYFUNCTION("""COMPUTED_VALUE"""),3.5999999999999996)</f>
        <v>3.6</v>
      </c>
    </row>
    <row r="1608">
      <c r="A1608" s="4" t="str">
        <f>IFERROR(__xludf.DUMMYFUNCTION("""COMPUTED_VALUE"""),"4193")</f>
        <v>4193</v>
      </c>
      <c r="B1608" s="4" t="str">
        <f>IFERROR(__xludf.DUMMYFUNCTION("""COMPUTED_VALUE"""),"Protector parking FOAM N/A plano 30x20x1,5 cm")</f>
        <v>Protector parking FOAM N/A plano 30x20x1,5 cm</v>
      </c>
      <c r="C1608" s="4">
        <f>IFERROR(__xludf.DUMMYFUNCTION("""COMPUTED_VALUE"""),3.5999999999999996)</f>
        <v>3.6</v>
      </c>
    </row>
    <row r="1609">
      <c r="A1609" s="4" t="str">
        <f>IFERROR(__xludf.DUMMYFUNCTION("""COMPUTED_VALUE"""),"4194")</f>
        <v>4194</v>
      </c>
      <c r="B1609" s="4" t="str">
        <f>IFERROR(__xludf.DUMMYFUNCTION("""COMPUTED_VALUE"""),"Protector Antigolpes PVC 15x3 cm (5 metros )")</f>
        <v>Protector Antigolpes PVC 15x3 cm (5 metros )</v>
      </c>
      <c r="C1609" s="4">
        <f>IFERROR(__xludf.DUMMYFUNCTION("""COMPUTED_VALUE"""),35.519999999999996)</f>
        <v>35.52</v>
      </c>
    </row>
    <row r="1610">
      <c r="A1610" s="4" t="str">
        <f>IFERROR(__xludf.DUMMYFUNCTION("""COMPUTED_VALUE"""),"4200")</f>
        <v>4200</v>
      </c>
      <c r="B1610" s="4" t="str">
        <f>IFERROR(__xludf.DUMMYFUNCTION("""COMPUTED_VALUE"""),"Esq. protec.N/A 100 cm anti-golpe Foam Mod A")</f>
        <v>Esq. protec.N/A 100 cm anti-golpe Foam Mod A</v>
      </c>
      <c r="C1610" s="4">
        <f>IFERROR(__xludf.DUMMYFUNCTION("""COMPUTED_VALUE"""),14.304)</f>
        <v>14.304</v>
      </c>
    </row>
    <row r="1611">
      <c r="A1611" s="4" t="str">
        <f>IFERROR(__xludf.DUMMYFUNCTION("""COMPUTED_VALUE"""),"4200B")</f>
        <v>4200B</v>
      </c>
      <c r="B1611" s="4" t="str">
        <f>IFERROR(__xludf.DUMMYFUNCTION("""COMPUTED_VALUE"""),"Esq. protec.N/A 100 cm anti-golpe Foam Mod B")</f>
        <v>Esq. protec.N/A 100 cm anti-golpe Foam Mod B</v>
      </c>
      <c r="C1611" s="4">
        <f>IFERROR(__xludf.DUMMYFUNCTION("""COMPUTED_VALUE"""),14.304)</f>
        <v>14.304</v>
      </c>
    </row>
    <row r="1612">
      <c r="A1612" s="4" t="str">
        <f>IFERROR(__xludf.DUMMYFUNCTION("""COMPUTED_VALUE"""),"4200C")</f>
        <v>4200C</v>
      </c>
      <c r="B1612" s="4" t="str">
        <f>IFERROR(__xludf.DUMMYFUNCTION("""COMPUTED_VALUE"""),"Esq. protec.N/A 100 cm anti-golpe Foam Mod C")</f>
        <v>Esq. protec.N/A 100 cm anti-golpe Foam Mod C</v>
      </c>
      <c r="C1612" s="4">
        <f>IFERROR(__xludf.DUMMYFUNCTION("""COMPUTED_VALUE"""),14.304)</f>
        <v>14.304</v>
      </c>
    </row>
    <row r="1613">
      <c r="A1613" s="4" t="str">
        <f>IFERROR(__xludf.DUMMYFUNCTION("""COMPUTED_VALUE"""),"4200D")</f>
        <v>4200D</v>
      </c>
      <c r="B1613" s="4" t="str">
        <f>IFERROR(__xludf.DUMMYFUNCTION("""COMPUTED_VALUE"""),"Esq. protec.N/A 100 cm anti-golpe Foam Mod D")</f>
        <v>Esq. protec.N/A 100 cm anti-golpe Foam Mod D</v>
      </c>
      <c r="C1613" s="4">
        <f>IFERROR(__xludf.DUMMYFUNCTION("""COMPUTED_VALUE"""),14.304)</f>
        <v>14.304</v>
      </c>
    </row>
    <row r="1614">
      <c r="A1614" s="4" t="str">
        <f>IFERROR(__xludf.DUMMYFUNCTION("""COMPUTED_VALUE"""),"4200E")</f>
        <v>4200E</v>
      </c>
      <c r="B1614" s="4" t="str">
        <f>IFERROR(__xludf.DUMMYFUNCTION("""COMPUTED_VALUE"""),"Esq. protec.N/A 100 cm anti-golpe Foam Mod E")</f>
        <v>Esq. protec.N/A 100 cm anti-golpe Foam Mod E</v>
      </c>
      <c r="C1614" s="4">
        <f>IFERROR(__xludf.DUMMYFUNCTION("""COMPUTED_VALUE"""),14.304)</f>
        <v>14.304</v>
      </c>
    </row>
    <row r="1615">
      <c r="A1615" s="4" t="str">
        <f>IFERROR(__xludf.DUMMYFUNCTION("""COMPUTED_VALUE"""),"4200F")</f>
        <v>4200F</v>
      </c>
      <c r="B1615" s="4" t="str">
        <f>IFERROR(__xludf.DUMMYFUNCTION("""COMPUTED_VALUE"""),"Esq. protec.N/A 100 cm anti-golpe Foam Mod. F")</f>
        <v>Esq. protec.N/A 100 cm anti-golpe Foam Mod. F</v>
      </c>
      <c r="C1615" s="4">
        <f>IFERROR(__xludf.DUMMYFUNCTION("""COMPUTED_VALUE"""),14.304)</f>
        <v>14.304</v>
      </c>
    </row>
    <row r="1616">
      <c r="A1616" s="4" t="str">
        <f>IFERROR(__xludf.DUMMYFUNCTION("""COMPUTED_VALUE"""),"4200G")</f>
        <v>4200G</v>
      </c>
      <c r="B1616" s="4" t="str">
        <f>IFERROR(__xludf.DUMMYFUNCTION("""COMPUTED_VALUE"""),"Esq. protec.N/A 100 cm anti-golpe Foam Mod. G")</f>
        <v>Esq. protec.N/A 100 cm anti-golpe Foam Mod. G</v>
      </c>
      <c r="C1616" s="4">
        <f>IFERROR(__xludf.DUMMYFUNCTION("""COMPUTED_VALUE"""),14.304)</f>
        <v>14.304</v>
      </c>
    </row>
    <row r="1617">
      <c r="A1617" s="4" t="str">
        <f>IFERROR(__xludf.DUMMYFUNCTION("""COMPUTED_VALUE"""),"4201")</f>
        <v>4201</v>
      </c>
      <c r="B1617" s="4" t="str">
        <f>IFERROR(__xludf.DUMMYFUNCTION("""COMPUTED_VALUE"""),"Esq. protec.B/R 100 cm anti-golpe Foam Mod. A")</f>
        <v>Esq. protec.B/R 100 cm anti-golpe Foam Mod. A</v>
      </c>
      <c r="C1617" s="4">
        <f>IFERROR(__xludf.DUMMYFUNCTION("""COMPUTED_VALUE"""),14.304)</f>
        <v>14.304</v>
      </c>
    </row>
    <row r="1618">
      <c r="A1618" s="4" t="str">
        <f>IFERROR(__xludf.DUMMYFUNCTION("""COMPUTED_VALUE"""),"4204")</f>
        <v>4204</v>
      </c>
      <c r="B1618" s="4" t="str">
        <f>IFERROR(__xludf.DUMMYFUNCTION("""COMPUTED_VALUE"""),"Espejo Convexo 40 cm Interior Tolomeo")</f>
        <v>Espejo Convexo 40 cm Interior Tolomeo</v>
      </c>
      <c r="C1618" s="4">
        <f>IFERROR(__xludf.DUMMYFUNCTION("""COMPUTED_VALUE"""),39.36)</f>
        <v>39.36</v>
      </c>
    </row>
    <row r="1619">
      <c r="A1619" s="4" t="str">
        <f>IFERROR(__xludf.DUMMYFUNCTION("""COMPUTED_VALUE"""),"4206")</f>
        <v>4206</v>
      </c>
      <c r="B1619" s="4" t="str">
        <f>IFERROR(__xludf.DUMMYFUNCTION("""COMPUTED_VALUE"""),"Espejo Convexo 60 cm Interior Tolomeo")</f>
        <v>Espejo Convexo 60 cm Interior Tolomeo</v>
      </c>
      <c r="C1619" s="4">
        <f>IFERROR(__xludf.DUMMYFUNCTION("""COMPUTED_VALUE"""),51.839999999999996)</f>
        <v>51.84</v>
      </c>
    </row>
    <row r="1620">
      <c r="A1620" s="4" t="str">
        <f>IFERROR(__xludf.DUMMYFUNCTION("""COMPUTED_VALUE"""),"4208")</f>
        <v>4208</v>
      </c>
      <c r="B1620" s="4" t="str">
        <f>IFERROR(__xludf.DUMMYFUNCTION("""COMPUTED_VALUE"""),"Espejo Convexo 80 cm Interior Tolomeo")</f>
        <v>Espejo Convexo 80 cm Interior Tolomeo</v>
      </c>
      <c r="C1620" s="4">
        <f>IFERROR(__xludf.DUMMYFUNCTION("""COMPUTED_VALUE"""),93.11999999999999)</f>
        <v>93.12</v>
      </c>
    </row>
    <row r="1621">
      <c r="A1621" s="4" t="str">
        <f>IFERROR(__xludf.DUMMYFUNCTION("""COMPUTED_VALUE"""),"4209")</f>
        <v>4209</v>
      </c>
      <c r="B1621" s="4" t="str">
        <f>IFERROR(__xludf.DUMMYFUNCTION("""COMPUTED_VALUE"""),"Espejo Convexo 90 cm Interior Tolomeo")</f>
        <v>Espejo Convexo 90 cm Interior Tolomeo</v>
      </c>
      <c r="C1621" s="4">
        <f>IFERROR(__xludf.DUMMYFUNCTION("""COMPUTED_VALUE"""),98.39999999999999)</f>
        <v>98.4</v>
      </c>
    </row>
    <row r="1622">
      <c r="A1622" s="4" t="str">
        <f>IFERROR(__xludf.DUMMYFUNCTION("""COMPUTED_VALUE"""),"4210")</f>
        <v>4210</v>
      </c>
      <c r="B1622" s="4" t="str">
        <f>IFERROR(__xludf.DUMMYFUNCTION("""COMPUTED_VALUE"""),"Espejo Convexo 40x60 Interior Leonardo")</f>
        <v>Espejo Convexo 40x60 Interior Leonardo</v>
      </c>
      <c r="C1622" s="4">
        <f>IFERROR(__xludf.DUMMYFUNCTION("""COMPUTED_VALUE"""),56.64)</f>
        <v>56.64</v>
      </c>
    </row>
    <row r="1623">
      <c r="A1623" s="4" t="str">
        <f>IFERROR(__xludf.DUMMYFUNCTION("""COMPUTED_VALUE"""),"4211")</f>
        <v>4211</v>
      </c>
      <c r="B1623" s="4" t="str">
        <f>IFERROR(__xludf.DUMMYFUNCTION("""COMPUTED_VALUE"""),"Espejo convexo 60x80 Interior Leonardo")</f>
        <v>Espejo convexo 60x80 Interior Leonardo</v>
      </c>
      <c r="C1623" s="4">
        <f>IFERROR(__xludf.DUMMYFUNCTION("""COMPUTED_VALUE"""),96.47999999999999)</f>
        <v>96.48</v>
      </c>
    </row>
    <row r="1624">
      <c r="A1624" s="4" t="str">
        <f>IFERROR(__xludf.DUMMYFUNCTION("""COMPUTED_VALUE"""),"4213")</f>
        <v>4213</v>
      </c>
      <c r="B1624" s="4" t="str">
        <f>IFERROR(__xludf.DUMMYFUNCTION("""COMPUTED_VALUE"""),"Espejo Hemisférico 360º 60 cm Michelangello")</f>
        <v>Espejo Hemisférico 360º 60 cm Michelangello</v>
      </c>
      <c r="C1624" s="4">
        <f>IFERROR(__xludf.DUMMYFUNCTION("""COMPUTED_VALUE"""),40.32)</f>
        <v>40.32</v>
      </c>
    </row>
    <row r="1625">
      <c r="A1625" s="4" t="str">
        <f>IFERROR(__xludf.DUMMYFUNCTION("""COMPUTED_VALUE"""),"4215")</f>
        <v>4215</v>
      </c>
      <c r="B1625" s="4" t="str">
        <f>IFERROR(__xludf.DUMMYFUNCTION("""COMPUTED_VALUE"""),"Espejo Hemisférico 360º 90 cm Michelangello")</f>
        <v>Espejo Hemisférico 360º 90 cm Michelangello</v>
      </c>
      <c r="C1625" s="4">
        <f>IFERROR(__xludf.DUMMYFUNCTION("""COMPUTED_VALUE"""),78.72)</f>
        <v>78.72</v>
      </c>
    </row>
    <row r="1626">
      <c r="A1626" s="4" t="str">
        <f>IFERROR(__xludf.DUMMYFUNCTION("""COMPUTED_VALUE"""),"4221")</f>
        <v>4221</v>
      </c>
      <c r="B1626" s="4" t="str">
        <f>IFERROR(__xludf.DUMMYFUNCTION("""COMPUTED_VALUE"""),"Espejo Convexo 60 cm Exterior Giotto")</f>
        <v>Espejo Convexo 60 cm Exterior Giotto</v>
      </c>
      <c r="C1626" s="4">
        <f>IFERROR(__xludf.DUMMYFUNCTION("""COMPUTED_VALUE"""),92.16)</f>
        <v>92.16</v>
      </c>
    </row>
    <row r="1627">
      <c r="A1627" s="4" t="str">
        <f>IFERROR(__xludf.DUMMYFUNCTION("""COMPUTED_VALUE"""),"4223")</f>
        <v>4223</v>
      </c>
      <c r="B1627" s="4" t="str">
        <f>IFERROR(__xludf.DUMMYFUNCTION("""COMPUTED_VALUE"""),"Espejo Convexo 80 cm Exterior Giotto")</f>
        <v>Espejo Convexo 80 cm Exterior Giotto</v>
      </c>
      <c r="C1627" s="4">
        <f>IFERROR(__xludf.DUMMYFUNCTION("""COMPUTED_VALUE"""),145.92)</f>
        <v>145.92</v>
      </c>
    </row>
    <row r="1628">
      <c r="A1628" s="4" t="str">
        <f>IFERROR(__xludf.DUMMYFUNCTION("""COMPUTED_VALUE"""),"4227")</f>
        <v>4227</v>
      </c>
      <c r="B1628" s="4" t="str">
        <f>IFERROR(__xludf.DUMMYFUNCTION("""COMPUTED_VALUE"""),"Espejo Convexo 40x60 cm Exterior Rafaello")</f>
        <v>Espejo Convexo 40x60 cm Exterior Rafaello</v>
      </c>
      <c r="C1628" s="4">
        <f>IFERROR(__xludf.DUMMYFUNCTION("""COMPUTED_VALUE"""),119.03999999999999)</f>
        <v>119.04</v>
      </c>
    </row>
    <row r="1629">
      <c r="A1629" s="4" t="str">
        <f>IFERROR(__xludf.DUMMYFUNCTION("""COMPUTED_VALUE"""),"4228")</f>
        <v>4228</v>
      </c>
      <c r="B1629" s="4" t="str">
        <f>IFERROR(__xludf.DUMMYFUNCTION("""COMPUTED_VALUE"""),"Espejo Convexo 60x80 cm Exterior Rafaello")</f>
        <v>Espejo Convexo 60x80 cm Exterior Rafaello</v>
      </c>
      <c r="C1629" s="4">
        <f>IFERROR(__xludf.DUMMYFUNCTION("""COMPUTED_VALUE"""),153.6)</f>
        <v>153.6</v>
      </c>
    </row>
    <row r="1630">
      <c r="A1630" s="4" t="str">
        <f>IFERROR(__xludf.DUMMYFUNCTION("""COMPUTED_VALUE"""),"4230")</f>
        <v>4230</v>
      </c>
      <c r="B1630" s="4" t="str">
        <f>IFERROR(__xludf.DUMMYFUNCTION("""COMPUTED_VALUE"""),"Espejo Convexo acero exterior 320 MM")</f>
        <v>Espejo Convexo acero exterior 320 MM</v>
      </c>
      <c r="C1630" s="4">
        <f>IFERROR(__xludf.DUMMYFUNCTION("""COMPUTED_VALUE"""),91.2)</f>
        <v>91.2</v>
      </c>
    </row>
    <row r="1631">
      <c r="A1631" s="4" t="str">
        <f>IFERROR(__xludf.DUMMYFUNCTION("""COMPUTED_VALUE"""),"4231")</f>
        <v>4231</v>
      </c>
      <c r="B1631" s="4" t="str">
        <f>IFERROR(__xludf.DUMMYFUNCTION("""COMPUTED_VALUE"""),"Espejo Convexo Acero Exterior 490 mm")</f>
        <v>Espejo Convexo Acero Exterior 490 mm</v>
      </c>
      <c r="C1631" s="4">
        <f>IFERROR(__xludf.DUMMYFUNCTION("""COMPUTED_VALUE"""),120.0)</f>
        <v>120</v>
      </c>
    </row>
    <row r="1632">
      <c r="A1632" s="4" t="str">
        <f>IFERROR(__xludf.DUMMYFUNCTION("""COMPUTED_VALUE"""),"4232")</f>
        <v>4232</v>
      </c>
      <c r="B1632" s="4" t="str">
        <f>IFERROR(__xludf.DUMMYFUNCTION("""COMPUTED_VALUE"""),"Espejo Convexo Acero Exterior 600 mm")</f>
        <v>Espejo Convexo Acero Exterior 600 mm</v>
      </c>
      <c r="C1632" s="4">
        <f>IFERROR(__xludf.DUMMYFUNCTION("""COMPUTED_VALUE"""),171.84)</f>
        <v>171.84</v>
      </c>
    </row>
    <row r="1633">
      <c r="A1633" s="4" t="str">
        <f>IFERROR(__xludf.DUMMYFUNCTION("""COMPUTED_VALUE"""),"4233")</f>
        <v>4233</v>
      </c>
      <c r="B1633" s="4" t="str">
        <f>IFERROR(__xludf.DUMMYFUNCTION("""COMPUTED_VALUE"""),"Espejo Convexo Acero Exterior 800 mm")</f>
        <v>Espejo Convexo Acero Exterior 800 mm</v>
      </c>
      <c r="C1633" s="4">
        <f>IFERROR(__xludf.DUMMYFUNCTION("""COMPUTED_VALUE"""),220.79999999999998)</f>
        <v>220.8</v>
      </c>
    </row>
    <row r="1634">
      <c r="A1634" s="4" t="str">
        <f>IFERROR(__xludf.DUMMYFUNCTION("""COMPUTED_VALUE"""),"4234")</f>
        <v>4234</v>
      </c>
      <c r="B1634" s="4" t="str">
        <f>IFERROR(__xludf.DUMMYFUNCTION("""COMPUTED_VALUE"""),"Espejo Convexo Acero Exterior 450x600 mm")</f>
        <v>Espejo Convexo Acero Exterior 450x600 mm</v>
      </c>
      <c r="C1634" s="4">
        <f>IFERROR(__xludf.DUMMYFUNCTION("""COMPUTED_VALUE"""),151.2)</f>
        <v>151.2</v>
      </c>
    </row>
    <row r="1635">
      <c r="A1635" s="4" t="str">
        <f>IFERROR(__xludf.DUMMYFUNCTION("""COMPUTED_VALUE"""),"4235")</f>
        <v>4235</v>
      </c>
      <c r="B1635" s="4" t="str">
        <f>IFERROR(__xludf.DUMMYFUNCTION("""COMPUTED_VALUE"""),"Espejo Convexo Acero Interior 490 mm")</f>
        <v>Espejo Convexo Acero Interior 490 mm</v>
      </c>
      <c r="C1635" s="4">
        <f>IFERROR(__xludf.DUMMYFUNCTION("""COMPUTED_VALUE"""),115.19999999999999)</f>
        <v>115.2</v>
      </c>
    </row>
    <row r="1636">
      <c r="A1636" s="4" t="str">
        <f>IFERROR(__xludf.DUMMYFUNCTION("""COMPUTED_VALUE"""),"4250")</f>
        <v>4250</v>
      </c>
      <c r="B1636" s="4" t="str">
        <f>IFERROR(__xludf.DUMMYFUNCTION("""COMPUTED_VALUE"""),"Tope muelle carga - parking 90x10x10 cm")</f>
        <v>Tope muelle carga - parking 90x10x10 cm</v>
      </c>
      <c r="C1636" s="4">
        <f>IFERROR(__xludf.DUMMYFUNCTION("""COMPUTED_VALUE"""),21.119999999999997)</f>
        <v>21.12</v>
      </c>
    </row>
    <row r="1637">
      <c r="A1637" s="4" t="str">
        <f>IFERROR(__xludf.DUMMYFUNCTION("""COMPUTED_VALUE"""),"4300")</f>
        <v>4300</v>
      </c>
      <c r="B1637" s="4" t="str">
        <f>IFERROR(__xludf.DUMMYFUNCTION("""COMPUTED_VALUE"""),"Big Bag 850x850x900 1000kg. 5:1")</f>
        <v>Big Bag 850x850x900 1000kg. 5:1</v>
      </c>
      <c r="C1637" s="4">
        <f>IFERROR(__xludf.DUMMYFUNCTION("""COMPUTED_VALUE"""),3.792)</f>
        <v>3.792</v>
      </c>
    </row>
    <row r="1638">
      <c r="A1638" s="4" t="str">
        <f>IFERROR(__xludf.DUMMYFUNCTION("""COMPUTED_VALUE"""),"4301")</f>
        <v>4301</v>
      </c>
      <c r="B1638" s="4" t="str">
        <f>IFERROR(__xludf.DUMMYFUNCTION("""COMPUTED_VALUE"""),"Big Bag 850x850x900 c/ valvula descarga")</f>
        <v>Big Bag 850x850x900 c/ valvula descarga</v>
      </c>
      <c r="C1638" s="4">
        <f>IFERROR(__xludf.DUMMYFUNCTION("""COMPUTED_VALUE"""),4.4159999999999995)</f>
        <v>4.416</v>
      </c>
    </row>
    <row r="1639">
      <c r="A1639" s="4" t="str">
        <f>IFERROR(__xludf.DUMMYFUNCTION("""COMPUTED_VALUE"""),"4302")</f>
        <v>4302</v>
      </c>
      <c r="B1639" s="4" t="str">
        <f>IFERROR(__xludf.DUMMYFUNCTION("""COMPUTED_VALUE"""),"Big Bag 900x900x1200 MM FDC/FP ADR")</f>
        <v>Big Bag 900x900x1200 MM FDC/FP ADR</v>
      </c>
      <c r="C1639" s="4">
        <f>IFERROR(__xludf.DUMMYFUNCTION("""COMPUTED_VALUE"""),10.799999999999999)</f>
        <v>10.8</v>
      </c>
    </row>
    <row r="1640">
      <c r="A1640" s="4" t="str">
        <f>IFERROR(__xludf.DUMMYFUNCTION("""COMPUTED_VALUE"""),"4303")</f>
        <v>4303</v>
      </c>
      <c r="B1640" s="4" t="str">
        <f>IFERROR(__xludf.DUMMYFUNCTION("""COMPUTED_VALUE"""),"Big Bag 900x900x1200 c/tapa")</f>
        <v>Big Bag 900x900x1200 c/tapa</v>
      </c>
      <c r="C1640" s="4">
        <f>IFERROR(__xludf.DUMMYFUNCTION("""COMPUTED_VALUE"""),6.72)</f>
        <v>6.72</v>
      </c>
    </row>
    <row r="1641">
      <c r="A1641" s="4" t="str">
        <f>IFERROR(__xludf.DUMMYFUNCTION("""COMPUTED_VALUE"""),"4304")</f>
        <v>4304</v>
      </c>
      <c r="B1641" s="4" t="str">
        <f>IFERROR(__xludf.DUMMYFUNCTION("""COMPUTED_VALUE"""),"Saco de rafia para escombros 55cmx85cm carga 25 Kg")</f>
        <v>Saco de rafia para escombros 55cmx85cm carga 25 Kg</v>
      </c>
      <c r="C1641" s="4">
        <f>IFERROR(__xludf.DUMMYFUNCTION("""COMPUTED_VALUE"""),0.2496)</f>
        <v>0.2496</v>
      </c>
    </row>
    <row r="1642">
      <c r="A1642" s="4" t="str">
        <f>IFERROR(__xludf.DUMMYFUNCTION("""COMPUTED_VALUE"""),"4305")</f>
        <v>4305</v>
      </c>
      <c r="B1642" s="4" t="str">
        <f>IFERROR(__xludf.DUMMYFUNCTION("""COMPUTED_VALUE"""),"Paquete 10 unid. saco plastico escombros 55x75")</f>
        <v>Paquete 10 unid. saco plastico escombros 55x75</v>
      </c>
      <c r="C1642" s="4">
        <f>IFERROR(__xludf.DUMMYFUNCTION("""COMPUTED_VALUE"""),4.2912)</f>
        <v>4.2912</v>
      </c>
    </row>
    <row r="1643">
      <c r="A1643" s="4" t="str">
        <f>IFERROR(__xludf.DUMMYFUNCTION("""COMPUTED_VALUE"""),"4690")</f>
        <v>4690</v>
      </c>
      <c r="B1643" s="4" t="str">
        <f>IFERROR(__xludf.DUMMYFUNCTION("""COMPUTED_VALUE"""),"Chaleco Reflect. amarillo")</f>
        <v>Chaleco Reflect. amarillo</v>
      </c>
      <c r="C1643" s="4">
        <f>IFERROR(__xludf.DUMMYFUNCTION("""COMPUTED_VALUE"""),1.8719999999999999)</f>
        <v>1.872</v>
      </c>
    </row>
    <row r="1644">
      <c r="A1644" s="4" t="str">
        <f>IFERROR(__xludf.DUMMYFUNCTION("""COMPUTED_VALUE"""),"4691")</f>
        <v>4691</v>
      </c>
      <c r="B1644" s="4" t="str">
        <f>IFERROR(__xludf.DUMMYFUNCTION("""COMPUTED_VALUE"""),"Chaleco Reflect. naranja")</f>
        <v>Chaleco Reflect. naranja</v>
      </c>
      <c r="C1644" s="4">
        <f>IFERROR(__xludf.DUMMYFUNCTION("""COMPUTED_VALUE"""),1.8719999999999999)</f>
        <v>1.872</v>
      </c>
    </row>
    <row r="1645">
      <c r="A1645" s="4" t="str">
        <f>IFERROR(__xludf.DUMMYFUNCTION("""COMPUTED_VALUE"""),"4692")</f>
        <v>4692</v>
      </c>
      <c r="B1645" s="4" t="str">
        <f>IFERROR(__xludf.DUMMYFUNCTION("""COMPUTED_VALUE"""),"Chaleco Reflect. rejilla verano amarillo NO HOMOLOGADOS")</f>
        <v>Chaleco Reflect. rejilla verano amarillo NO HOMOLOGADOS</v>
      </c>
      <c r="C1645" s="4">
        <f>IFERROR(__xludf.DUMMYFUNCTION("""COMPUTED_VALUE"""),2.592)</f>
        <v>2.592</v>
      </c>
    </row>
    <row r="1646">
      <c r="A1646" s="4" t="str">
        <f>IFERROR(__xludf.DUMMYFUNCTION("""COMPUTED_VALUE"""),"4695")</f>
        <v>4695</v>
      </c>
      <c r="B1646" s="4" t="str">
        <f>IFERROR(__xludf.DUMMYFUNCTION("""COMPUTED_VALUE"""),"Tirantes reflectantes amarillos NO HOMOLOGADOS")</f>
        <v>Tirantes reflectantes amarillos NO HOMOLOGADOS</v>
      </c>
      <c r="C1646" s="4">
        <f>IFERROR(__xludf.DUMMYFUNCTION("""COMPUTED_VALUE"""),2.112)</f>
        <v>2.112</v>
      </c>
    </row>
    <row r="1647">
      <c r="A1647" s="4" t="str">
        <f>IFERROR(__xludf.DUMMYFUNCTION("""COMPUTED_VALUE"""),"4696")</f>
        <v>4696</v>
      </c>
      <c r="B1647" s="4" t="str">
        <f>IFERROR(__xludf.DUMMYFUNCTION("""COMPUTED_VALUE"""),"Tirantes reflectantes naranja NO HOMOLOGADOS")</f>
        <v>Tirantes reflectantes naranja NO HOMOLOGADOS</v>
      </c>
      <c r="C1647" s="4">
        <f>IFERROR(__xludf.DUMMYFUNCTION("""COMPUTED_VALUE"""),2.112)</f>
        <v>2.112</v>
      </c>
    </row>
    <row r="1648">
      <c r="A1648" s="4" t="str">
        <f>IFERROR(__xludf.DUMMYFUNCTION("""COMPUTED_VALUE"""),"4700")</f>
        <v>4700</v>
      </c>
      <c r="B1648" s="4" t="str">
        <f>IFERROR(__xludf.DUMMYFUNCTION("""COMPUTED_VALUE"""),"Rollo Malla Protec Naranja (1x50mts.) 80 gr.")</f>
        <v>Rollo Malla Protec Naranja (1x50mts.) 80 gr.</v>
      </c>
      <c r="C1648" s="4">
        <f>IFERROR(__xludf.DUMMYFUNCTION("""COMPUTED_VALUE"""),17.663999999999998)</f>
        <v>17.664</v>
      </c>
    </row>
    <row r="1649">
      <c r="A1649" s="4" t="str">
        <f>IFERROR(__xludf.DUMMYFUNCTION("""COMPUTED_VALUE"""),"4700A")</f>
        <v>4700A</v>
      </c>
      <c r="B1649" s="4" t="str">
        <f>IFERROR(__xludf.DUMMYFUNCTION("""COMPUTED_VALUE"""),"Rollo malla Protec Amarilla (1x50 m) 80 gr")</f>
        <v>Rollo malla Protec Amarilla (1x50 m) 80 gr</v>
      </c>
      <c r="C1649" s="4">
        <f>IFERROR(__xludf.DUMMYFUNCTION("""COMPUTED_VALUE"""),16.631999999999998)</f>
        <v>16.632</v>
      </c>
    </row>
    <row r="1650">
      <c r="A1650" s="4" t="str">
        <f>IFERROR(__xludf.DUMMYFUNCTION("""COMPUTED_VALUE"""),"4700S")</f>
        <v>4700S</v>
      </c>
      <c r="B1650" s="4" t="str">
        <f>IFERROR(__xludf.DUMMYFUNCTION("""COMPUTED_VALUE"""),"Sistema sujeción para mallas y cinta varilla")</f>
        <v>Sistema sujeción para mallas y cinta varilla</v>
      </c>
      <c r="C1650" s="4">
        <f>IFERROR(__xludf.DUMMYFUNCTION("""COMPUTED_VALUE"""),1.2)</f>
        <v>1.2</v>
      </c>
    </row>
    <row r="1651">
      <c r="A1651" s="4" t="str">
        <f>IFERROR(__xludf.DUMMYFUNCTION("""COMPUTED_VALUE"""),"4700V")</f>
        <v>4700V</v>
      </c>
      <c r="B1651" s="4" t="str">
        <f>IFERROR(__xludf.DUMMYFUNCTION("""COMPUTED_VALUE"""),"Rollo Malla Protec verde (1x50 m) 80 gr")</f>
        <v>Rollo Malla Protec verde (1x50 m) 80 gr</v>
      </c>
      <c r="C1651" s="4">
        <f>IFERROR(__xludf.DUMMYFUNCTION("""COMPUTED_VALUE"""),16.631999999999998)</f>
        <v>16.632</v>
      </c>
    </row>
    <row r="1652">
      <c r="A1652" s="4" t="str">
        <f>IFERROR(__xludf.DUMMYFUNCTION("""COMPUTED_VALUE"""),"4700Z")</f>
        <v>4700Z</v>
      </c>
      <c r="B1652" s="4" t="str">
        <f>IFERROR(__xludf.DUMMYFUNCTION("""COMPUTED_VALUE"""),"Rollo malla Protec Azul (1x50 m) 80 gr")</f>
        <v>Rollo malla Protec Azul (1x50 m) 80 gr</v>
      </c>
      <c r="C1652" s="4">
        <f>IFERROR(__xludf.DUMMYFUNCTION("""COMPUTED_VALUE"""),16.631999999999998)</f>
        <v>16.632</v>
      </c>
    </row>
    <row r="1653">
      <c r="A1653" s="4" t="str">
        <f>IFERROR(__xludf.DUMMYFUNCTION("""COMPUTED_VALUE"""),"4701")</f>
        <v>4701</v>
      </c>
      <c r="B1653" s="4" t="str">
        <f>IFERROR(__xludf.DUMMYFUNCTION("""COMPUTED_VALUE"""),"Rollo Malla Protec Naranja (1X50mts.) 100 gr.")</f>
        <v>Rollo Malla Protec Naranja (1X50mts.) 100 gr.</v>
      </c>
      <c r="C1653" s="4">
        <f>IFERROR(__xludf.DUMMYFUNCTION("""COMPUTED_VALUE"""),18.144)</f>
        <v>18.144</v>
      </c>
    </row>
    <row r="1654">
      <c r="A1654" s="4" t="str">
        <f>IFERROR(__xludf.DUMMYFUNCTION("""COMPUTED_VALUE"""),"4702")</f>
        <v>4702</v>
      </c>
      <c r="B1654" s="4" t="str">
        <f>IFERROR(__xludf.DUMMYFUNCTION("""COMPUTED_VALUE"""),"Rollo malla fibra de vidrio Mortero-Reboco azul 1x50 m")</f>
        <v>Rollo malla fibra de vidrio Mortero-Reboco azul 1x50 m</v>
      </c>
      <c r="C1654" s="4">
        <f>IFERROR(__xludf.DUMMYFUNCTION("""COMPUTED_VALUE"""),20.16)</f>
        <v>20.16</v>
      </c>
    </row>
    <row r="1655">
      <c r="A1655" s="4" t="str">
        <f>IFERROR(__xludf.DUMMYFUNCTION("""COMPUTED_VALUE"""),"4703")</f>
        <v>4703</v>
      </c>
      <c r="B1655" s="4" t="str">
        <f>IFERROR(__xludf.DUMMYFUNCTION("""COMPUTED_VALUE"""),"Rollo malla fibra de vidrio Yeso Blanca 1x50 m")</f>
        <v>Rollo malla fibra de vidrio Yeso Blanca 1x50 m</v>
      </c>
      <c r="C1655" s="4">
        <f>IFERROR(__xludf.DUMMYFUNCTION("""COMPUTED_VALUE"""),20.16)</f>
        <v>20.16</v>
      </c>
    </row>
    <row r="1656">
      <c r="A1656" s="4" t="str">
        <f>IFERROR(__xludf.DUMMYFUNCTION("""COMPUTED_VALUE"""),"4704")</f>
        <v>4704</v>
      </c>
      <c r="B1656" s="4" t="str">
        <f>IFERROR(__xludf.DUMMYFUNCTION("""COMPUTED_VALUE"""),"Rollo Malla fibra de vidrio Blanca pintura 1x50 m")</f>
        <v>Rollo Malla fibra de vidrio Blanca pintura 1x50 m</v>
      </c>
      <c r="C1656" s="4">
        <f>IFERROR(__xludf.DUMMYFUNCTION("""COMPUTED_VALUE"""),20.16)</f>
        <v>20.16</v>
      </c>
    </row>
    <row r="1657">
      <c r="A1657" s="4" t="str">
        <f>IFERROR(__xludf.DUMMYFUNCTION("""COMPUTED_VALUE"""),"4720")</f>
        <v>4720</v>
      </c>
      <c r="B1657" s="4" t="str">
        <f>IFERROR(__xludf.DUMMYFUNCTION("""COMPUTED_VALUE"""),"Mubo PVC señal. c/reflec. 1 mt")</f>
        <v>Mubo PVC señal. c/reflec. 1 mt</v>
      </c>
      <c r="C1657" s="4">
        <f>IFERROR(__xludf.DUMMYFUNCTION("""COMPUTED_VALUE"""),0.768)</f>
        <v>0.768</v>
      </c>
    </row>
    <row r="1658">
      <c r="A1658" s="4" t="str">
        <f>IFERROR(__xludf.DUMMYFUNCTION("""COMPUTED_VALUE"""),"4730")</f>
        <v>4730</v>
      </c>
      <c r="B1658" s="4" t="str">
        <f>IFERROR(__xludf.DUMMYFUNCTION("""COMPUTED_VALUE"""),"Estaca madera 30x30x30")</f>
        <v>Estaca madera 30x30x30</v>
      </c>
      <c r="C1658" s="4">
        <f>IFERROR(__xludf.DUMMYFUNCTION("""COMPUTED_VALUE"""),0.384)</f>
        <v>0.384</v>
      </c>
    </row>
    <row r="1659">
      <c r="A1659" s="4" t="str">
        <f>IFERROR(__xludf.DUMMYFUNCTION("""COMPUTED_VALUE"""),"4735")</f>
        <v>4735</v>
      </c>
      <c r="B1659" s="4" t="str">
        <f>IFERROR(__xludf.DUMMYFUNCTION("""COMPUTED_VALUE"""),"Estaca madera 30x30x35")</f>
        <v>Estaca madera 30x30x35</v>
      </c>
      <c r="C1659" s="4">
        <f>IFERROR(__xludf.DUMMYFUNCTION("""COMPUTED_VALUE"""),0.40319999999999995)</f>
        <v>0.4032</v>
      </c>
    </row>
    <row r="1660">
      <c r="A1660" s="4" t="str">
        <f>IFERROR(__xludf.DUMMYFUNCTION("""COMPUTED_VALUE"""),"4740")</f>
        <v>4740</v>
      </c>
      <c r="B1660" s="4" t="str">
        <f>IFERROR(__xludf.DUMMYFUNCTION("""COMPUTED_VALUE"""),"Estaca madera 30x30x40")</f>
        <v>Estaca madera 30x30x40</v>
      </c>
      <c r="C1660" s="4">
        <f>IFERROR(__xludf.DUMMYFUNCTION("""COMPUTED_VALUE"""),0.384)</f>
        <v>0.384</v>
      </c>
    </row>
    <row r="1661">
      <c r="A1661" s="4" t="str">
        <f>IFERROR(__xludf.DUMMYFUNCTION("""COMPUTED_VALUE"""),"4750")</f>
        <v>4750</v>
      </c>
      <c r="B1661" s="4" t="str">
        <f>IFERROR(__xludf.DUMMYFUNCTION("""COMPUTED_VALUE"""),"Estaca madera 30x30x50")</f>
        <v>Estaca madera 30x30x50</v>
      </c>
      <c r="C1661" s="4">
        <f>IFERROR(__xludf.DUMMYFUNCTION("""COMPUTED_VALUE"""),0.45119999999999993)</f>
        <v>0.4512</v>
      </c>
    </row>
    <row r="1662">
      <c r="A1662" s="4" t="str">
        <f>IFERROR(__xludf.DUMMYFUNCTION("""COMPUTED_VALUE"""),"4760")</f>
        <v>4760</v>
      </c>
      <c r="B1662" s="4" t="str">
        <f>IFERROR(__xludf.DUMMYFUNCTION("""COMPUTED_VALUE"""),"Estaca madera 30x30x60")</f>
        <v>Estaca madera 30x30x60</v>
      </c>
      <c r="C1662" s="4">
        <f>IFERROR(__xludf.DUMMYFUNCTION("""COMPUTED_VALUE"""),0.5471999999999999)</f>
        <v>0.5472</v>
      </c>
    </row>
    <row r="1663">
      <c r="A1663" s="4" t="str">
        <f>IFERROR(__xludf.DUMMYFUNCTION("""COMPUTED_VALUE"""),"4770")</f>
        <v>4770</v>
      </c>
      <c r="B1663" s="4" t="str">
        <f>IFERROR(__xludf.DUMMYFUNCTION("""COMPUTED_VALUE"""),"Estaca madera 30x30x70")</f>
        <v>Estaca madera 30x30x70</v>
      </c>
      <c r="C1663" s="4">
        <f>IFERROR(__xludf.DUMMYFUNCTION("""COMPUTED_VALUE"""),0.6432)</f>
        <v>0.6432</v>
      </c>
    </row>
    <row r="1664">
      <c r="A1664" s="4" t="str">
        <f>IFERROR(__xludf.DUMMYFUNCTION("""COMPUTED_VALUE"""),"4780")</f>
        <v>4780</v>
      </c>
      <c r="B1664" s="4" t="str">
        <f>IFERROR(__xludf.DUMMYFUNCTION("""COMPUTED_VALUE"""),"Ecopate 300")</f>
        <v>Ecopate 300</v>
      </c>
      <c r="C1664" s="4">
        <f>IFERROR(__xludf.DUMMYFUNCTION("""COMPUTED_VALUE"""),5.135999999999999)</f>
        <v>5.136</v>
      </c>
    </row>
    <row r="1665">
      <c r="A1665" s="4" t="str">
        <f>IFERROR(__xludf.DUMMYFUNCTION("""COMPUTED_VALUE"""),"4799")</f>
        <v>4799</v>
      </c>
      <c r="B1665" s="4" t="str">
        <f>IFERROR(__xludf.DUMMYFUNCTION("""COMPUTED_VALUE"""),"Estaca madera 30x30x100")</f>
        <v>Estaca madera 30x30x100</v>
      </c>
      <c r="C1665" s="4">
        <f>IFERROR(__xludf.DUMMYFUNCTION("""COMPUTED_VALUE"""),0.9023999999999999)</f>
        <v>0.9024</v>
      </c>
    </row>
    <row r="1666">
      <c r="A1666" s="4" t="str">
        <f>IFERROR(__xludf.DUMMYFUNCTION("""COMPUTED_VALUE"""),"4887")</f>
        <v>4887</v>
      </c>
      <c r="B1666" s="4" t="str">
        <f>IFERROR(__xludf.DUMMYFUNCTION("""COMPUTED_VALUE"""),"Mtro.cuadrado malla proteccion andamio Standard")</f>
        <v>Mtro.cuadrado malla proteccion andamio Standard</v>
      </c>
      <c r="C1666" s="4">
        <f>IFERROR(__xludf.DUMMYFUNCTION("""COMPUTED_VALUE"""),0.5856)</f>
        <v>0.5856</v>
      </c>
    </row>
    <row r="1667">
      <c r="A1667" s="4" t="str">
        <f>IFERROR(__xludf.DUMMYFUNCTION("""COMPUTED_VALUE"""),"4888")</f>
        <v>4888</v>
      </c>
      <c r="B1667" s="4" t="str">
        <f>IFERROR(__xludf.DUMMYFUNCTION("""COMPUTED_VALUE"""),"Mtro.cuadrado malla proteccion andamio Extra")</f>
        <v>Mtro.cuadrado malla proteccion andamio Extra</v>
      </c>
      <c r="C1667" s="4">
        <f>IFERROR(__xludf.DUMMYFUNCTION("""COMPUTED_VALUE"""),0.6528)</f>
        <v>0.6528</v>
      </c>
    </row>
    <row r="1668">
      <c r="A1668" s="4" t="str">
        <f>IFERROR(__xludf.DUMMYFUNCTION("""COMPUTED_VALUE"""),"4888C")</f>
        <v>4888C</v>
      </c>
      <c r="B1668" s="4" t="str">
        <f>IFERROR(__xludf.DUMMYFUNCTION("""COMPUTED_VALUE"""),"Conector grapa para malla ojales y poste cadena (50 uds)")</f>
        <v>Conector grapa para malla ojales y poste cadena (50 uds)</v>
      </c>
      <c r="C1668" s="4">
        <f>IFERROR(__xludf.DUMMYFUNCTION("""COMPUTED_VALUE"""),5.76)</f>
        <v>5.76</v>
      </c>
    </row>
    <row r="1669">
      <c r="A1669" s="4" t="str">
        <f>IFERROR(__xludf.DUMMYFUNCTION("""COMPUTED_VALUE"""),"4888G")</f>
        <v>4888G</v>
      </c>
      <c r="B1669" s="4" t="str">
        <f>IFERROR(__xludf.DUMMYFUNCTION("""COMPUTED_VALUE"""),"Grapa 35x40 mm para malla (50 uds)")</f>
        <v>Grapa 35x40 mm para malla (50 uds)</v>
      </c>
      <c r="C1669" s="4">
        <f>IFERROR(__xludf.DUMMYFUNCTION("""COMPUTED_VALUE"""),3.84)</f>
        <v>3.84</v>
      </c>
    </row>
    <row r="1670">
      <c r="A1670" s="4" t="str">
        <f>IFERROR(__xludf.DUMMYFUNCTION("""COMPUTED_VALUE"""),"4890")</f>
        <v>4890</v>
      </c>
      <c r="B1670" s="4" t="str">
        <f>IFERROR(__xludf.DUMMYFUNCTION("""COMPUTED_VALUE"""),"Malla sombreo/ocultacion 70% (x M2)")</f>
        <v>Malla sombreo/ocultacion 70% (x M2)</v>
      </c>
      <c r="C1670" s="4">
        <f>IFERROR(__xludf.DUMMYFUNCTION("""COMPUTED_VALUE"""),0.5232)</f>
        <v>0.5232</v>
      </c>
    </row>
    <row r="1671">
      <c r="A1671" s="4" t="str">
        <f>IFERROR(__xludf.DUMMYFUNCTION("""COMPUTED_VALUE"""),"4891")</f>
        <v>4891</v>
      </c>
      <c r="B1671" s="4" t="str">
        <f>IFERROR(__xludf.DUMMYFUNCTION("""COMPUTED_VALUE"""),"Malla sombreo/ocultacion 80% (x M2)")</f>
        <v>Malla sombreo/ocultacion 80% (x M2)</v>
      </c>
      <c r="C1671" s="4">
        <f>IFERROR(__xludf.DUMMYFUNCTION("""COMPUTED_VALUE"""),0.9119999999999999)</f>
        <v>0.912</v>
      </c>
    </row>
    <row r="1672">
      <c r="A1672" s="4" t="str">
        <f>IFERROR(__xludf.DUMMYFUNCTION("""COMPUTED_VALUE"""),"4892")</f>
        <v>4892</v>
      </c>
      <c r="B1672" s="4" t="str">
        <f>IFERROR(__xludf.DUMMYFUNCTION("""COMPUTED_VALUE"""),"Malla sombreo/ocultacion 90% (x M2)")</f>
        <v>Malla sombreo/ocultacion 90% (x M2)</v>
      </c>
      <c r="C1672" s="4">
        <f>IFERROR(__xludf.DUMMYFUNCTION("""COMPUTED_VALUE"""),0.9984)</f>
        <v>0.9984</v>
      </c>
    </row>
    <row r="1673">
      <c r="A1673" s="4" t="str">
        <f>IFERROR(__xludf.DUMMYFUNCTION("""COMPUTED_VALUE"""),"4893")</f>
        <v>4893</v>
      </c>
      <c r="B1673" s="4" t="str">
        <f>IFERROR(__xludf.DUMMYFUNCTION("""COMPUTED_VALUE"""),"Malla/Tejido suelo antihierba negro/verde (x M2)")</f>
        <v>Malla/Tejido suelo antihierba negro/verde (x M2)</v>
      </c>
      <c r="C1673" s="4">
        <f>IFERROR(__xludf.DUMMYFUNCTION("""COMPUTED_VALUE"""),0.7296)</f>
        <v>0.7296</v>
      </c>
    </row>
    <row r="1674">
      <c r="A1674" s="4" t="str">
        <f>IFERROR(__xludf.DUMMYFUNCTION("""COMPUTED_VALUE"""),"4894")</f>
        <v>4894</v>
      </c>
      <c r="B1674" s="4" t="str">
        <f>IFERROR(__xludf.DUMMYFUNCTION("""COMPUTED_VALUE"""),"Malla ocultacion negra/franjas 75% 3,50x1,90 blister")</f>
        <v>Malla ocultacion negra/franjas 75% 3,50x1,90 blister</v>
      </c>
      <c r="C1674" s="4">
        <f>IFERROR(__xludf.DUMMYFUNCTION("""COMPUTED_VALUE"""),5.097599999999999)</f>
        <v>5.0976</v>
      </c>
    </row>
    <row r="1675">
      <c r="A1675" s="4" t="str">
        <f>IFERROR(__xludf.DUMMYFUNCTION("""COMPUTED_VALUE"""),"4895/A")</f>
        <v>4895/A</v>
      </c>
      <c r="B1675" s="4" t="str">
        <f>IFERROR(__xludf.DUMMYFUNCTION("""COMPUTED_VALUE"""),"Malla señal. monofilamento 1x100 mts Amarilla")</f>
        <v>Malla señal. monofilamento 1x100 mts Amarilla</v>
      </c>
      <c r="C1675" s="4">
        <f>IFERROR(__xludf.DUMMYFUNCTION("""COMPUTED_VALUE"""),48.384)</f>
        <v>48.384</v>
      </c>
    </row>
    <row r="1676">
      <c r="A1676" s="4" t="str">
        <f>IFERROR(__xludf.DUMMYFUNCTION("""COMPUTED_VALUE"""),"4895/R")</f>
        <v>4895/R</v>
      </c>
      <c r="B1676" s="4" t="str">
        <f>IFERROR(__xludf.DUMMYFUNCTION("""COMPUTED_VALUE"""),"Malla señal. monofilamento 1x100 mts Rojo")</f>
        <v>Malla señal. monofilamento 1x100 mts Rojo</v>
      </c>
      <c r="C1676" s="4">
        <f>IFERROR(__xludf.DUMMYFUNCTION("""COMPUTED_VALUE"""),48.384)</f>
        <v>48.384</v>
      </c>
    </row>
    <row r="1677">
      <c r="A1677" s="4" t="str">
        <f>IFERROR(__xludf.DUMMYFUNCTION("""COMPUTED_VALUE"""),"4897")</f>
        <v>4897</v>
      </c>
      <c r="B1677" s="4" t="str">
        <f>IFERROR(__xludf.DUMMYFUNCTION("""COMPUTED_VALUE"""),"Malla sombreo/ocultacion 70% manto a medida (x M2)")</f>
        <v>Malla sombreo/ocultacion 70% manto a medida (x M2)</v>
      </c>
      <c r="C1677" s="4">
        <f>IFERROR(__xludf.DUMMYFUNCTION("""COMPUTED_VALUE"""),0.5856)</f>
        <v>0.5856</v>
      </c>
    </row>
    <row r="1678">
      <c r="A1678" s="4" t="str">
        <f>IFERROR(__xludf.DUMMYFUNCTION("""COMPUTED_VALUE"""),"4898")</f>
        <v>4898</v>
      </c>
      <c r="B1678" s="4" t="str">
        <f>IFERROR(__xludf.DUMMYFUNCTION("""COMPUTED_VALUE"""),"Malla sombreo/ocultacion 80% manto a medida (x M2)")</f>
        <v>Malla sombreo/ocultacion 80% manto a medida (x M2)</v>
      </c>
      <c r="C1678" s="4">
        <f>IFERROR(__xludf.DUMMYFUNCTION("""COMPUTED_VALUE"""),0.8543999999999999)</f>
        <v>0.8544</v>
      </c>
    </row>
    <row r="1679">
      <c r="A1679" s="4" t="str">
        <f>IFERROR(__xludf.DUMMYFUNCTION("""COMPUTED_VALUE"""),"4899")</f>
        <v>4899</v>
      </c>
      <c r="B1679" s="4" t="str">
        <f>IFERROR(__xludf.DUMMYFUNCTION("""COMPUTED_VALUE"""),"Malla sombreo/ocultacion 90% manto a medida (x M2)")</f>
        <v>Malla sombreo/ocultacion 90% manto a medida (x M2)</v>
      </c>
      <c r="C1679" s="4">
        <f>IFERROR(__xludf.DUMMYFUNCTION("""COMPUTED_VALUE"""),0.9071999999999999)</f>
        <v>0.9072</v>
      </c>
    </row>
    <row r="1680">
      <c r="A1680" s="4" t="str">
        <f>IFERROR(__xludf.DUMMYFUNCTION("""COMPUTED_VALUE"""),"5100")</f>
        <v>5100</v>
      </c>
      <c r="B1680" s="4" t="str">
        <f>IFERROR(__xludf.DUMMYFUNCTION("""COMPUTED_VALUE"""),"Gafas protección G-1")</f>
        <v>Gafas protección G-1</v>
      </c>
      <c r="C1680" s="4">
        <f>IFERROR(__xludf.DUMMYFUNCTION("""COMPUTED_VALUE"""),1.0943999999999998)</f>
        <v>1.0944</v>
      </c>
    </row>
    <row r="1681">
      <c r="A1681" s="4" t="str">
        <f>IFERROR(__xludf.DUMMYFUNCTION("""COMPUTED_VALUE"""),"5101")</f>
        <v>5101</v>
      </c>
      <c r="B1681" s="4" t="str">
        <f>IFERROR(__xludf.DUMMYFUNCTION("""COMPUTED_VALUE"""),"Gafas protección G-2")</f>
        <v>Gafas protección G-2</v>
      </c>
      <c r="C1681" s="4">
        <f>IFERROR(__xludf.DUMMYFUNCTION("""COMPUTED_VALUE"""),0.768)</f>
        <v>0.768</v>
      </c>
    </row>
    <row r="1682">
      <c r="A1682" s="4" t="str">
        <f>IFERROR(__xludf.DUMMYFUNCTION("""COMPUTED_VALUE"""),"5102")</f>
        <v>5102</v>
      </c>
      <c r="B1682" s="4" t="str">
        <f>IFERROR(__xludf.DUMMYFUNCTION("""COMPUTED_VALUE"""),"Gafas protección G-3")</f>
        <v>Gafas protección G-3</v>
      </c>
      <c r="C1682" s="4">
        <f>IFERROR(__xludf.DUMMYFUNCTION("""COMPUTED_VALUE"""),1.3247999999999998)</f>
        <v>1.3248</v>
      </c>
    </row>
    <row r="1683">
      <c r="A1683" s="4" t="str">
        <f>IFERROR(__xludf.DUMMYFUNCTION("""COMPUTED_VALUE"""),"5105")</f>
        <v>5105</v>
      </c>
      <c r="B1683" s="4" t="str">
        <f>IFERROR(__xludf.DUMMYFUNCTION("""COMPUTED_VALUE"""),"Pantalla protectora facial fija Basic")</f>
        <v>Pantalla protectora facial fija Basic</v>
      </c>
      <c r="C1683" s="4">
        <f>IFERROR(__xludf.DUMMYFUNCTION("""COMPUTED_VALUE"""),2.016)</f>
        <v>2.016</v>
      </c>
    </row>
    <row r="1684">
      <c r="A1684" s="4" t="str">
        <f>IFERROR(__xludf.DUMMYFUNCTION("""COMPUTED_VALUE"""),"5200")</f>
        <v>5200</v>
      </c>
      <c r="B1684" s="4" t="str">
        <f>IFERROR(__xludf.DUMMYFUNCTION("""COMPUTED_VALUE"""),"Tapones proteccion auditiva c/ cordón")</f>
        <v>Tapones proteccion auditiva c/ cordón</v>
      </c>
      <c r="C1684" s="4">
        <f>IFERROR(__xludf.DUMMYFUNCTION("""COMPUTED_VALUE"""),0.2208)</f>
        <v>0.2208</v>
      </c>
    </row>
    <row r="1685">
      <c r="A1685" s="4" t="str">
        <f>IFERROR(__xludf.DUMMYFUNCTION("""COMPUTED_VALUE"""),"5201")</f>
        <v>5201</v>
      </c>
      <c r="B1685" s="4" t="str">
        <f>IFERROR(__xludf.DUMMYFUNCTION("""COMPUTED_VALUE"""),"Cascos proteccion auditiva mod. A")</f>
        <v>Cascos proteccion auditiva mod. A</v>
      </c>
      <c r="C1685" s="4">
        <f>IFERROR(__xludf.DUMMYFUNCTION("""COMPUTED_VALUE"""),2.4288)</f>
        <v>2.4288</v>
      </c>
    </row>
    <row r="1686">
      <c r="A1686" s="4" t="str">
        <f>IFERROR(__xludf.DUMMYFUNCTION("""COMPUTED_VALUE"""),"5300L")</f>
        <v>5300L</v>
      </c>
      <c r="B1686" s="4" t="str">
        <f>IFERROR(__xludf.DUMMYFUNCTION("""COMPUTED_VALUE"""),"Faja elastica proteccion lumbar Talla L")</f>
        <v>Faja elastica proteccion lumbar Talla L</v>
      </c>
      <c r="C1686" s="4">
        <f>IFERROR(__xludf.DUMMYFUNCTION("""COMPUTED_VALUE"""),7.584)</f>
        <v>7.584</v>
      </c>
    </row>
    <row r="1687">
      <c r="A1687" s="4" t="str">
        <f>IFERROR(__xludf.DUMMYFUNCTION("""COMPUTED_VALUE"""),"5300XL")</f>
        <v>5300XL</v>
      </c>
      <c r="B1687" s="4" t="str">
        <f>IFERROR(__xludf.DUMMYFUNCTION("""COMPUTED_VALUE"""),"Faja elastica proteccion lumbar Talla XL")</f>
        <v>Faja elastica proteccion lumbar Talla XL</v>
      </c>
      <c r="C1687" s="4">
        <f>IFERROR(__xludf.DUMMYFUNCTION("""COMPUTED_VALUE"""),7.584)</f>
        <v>7.584</v>
      </c>
    </row>
    <row r="1688">
      <c r="A1688" s="4" t="str">
        <f>IFERROR(__xludf.DUMMYFUNCTION("""COMPUTED_VALUE"""),"5300XXL")</f>
        <v>5300XXL</v>
      </c>
      <c r="B1688" s="4" t="str">
        <f>IFERROR(__xludf.DUMMYFUNCTION("""COMPUTED_VALUE"""),"Faja elastica proteccion lumbar Talla XXL")</f>
        <v>Faja elastica proteccion lumbar Talla XXL</v>
      </c>
      <c r="C1688" s="4">
        <f>IFERROR(__xludf.DUMMYFUNCTION("""COMPUTED_VALUE"""),7.584)</f>
        <v>7.584</v>
      </c>
    </row>
    <row r="1689">
      <c r="A1689" s="4" t="str">
        <f>IFERROR(__xludf.DUMMYFUNCTION("""COMPUTED_VALUE"""),"7000")</f>
        <v>7000</v>
      </c>
      <c r="B1689" s="4" t="str">
        <f>IFERROR(__xludf.DUMMYFUNCTION("""COMPUTED_VALUE"""),"Spray fluo 500 ml S MARK rojo")</f>
        <v>Spray fluo 500 ml S MARK rojo</v>
      </c>
      <c r="C1689" s="4">
        <f>IFERROR(__xludf.DUMMYFUNCTION("""COMPUTED_VALUE"""),4.512)</f>
        <v>4.512</v>
      </c>
    </row>
    <row r="1690">
      <c r="A1690" s="4" t="str">
        <f>IFERROR(__xludf.DUMMYFUNCTION("""COMPUTED_VALUE"""),"7001")</f>
        <v>7001</v>
      </c>
      <c r="B1690" s="4" t="str">
        <f>IFERROR(__xludf.DUMMYFUNCTION("""COMPUTED_VALUE"""),"Spray fluo 500 ml S MARK azul")</f>
        <v>Spray fluo 500 ml S MARK azul</v>
      </c>
      <c r="C1690" s="4">
        <f>IFERROR(__xludf.DUMMYFUNCTION("""COMPUTED_VALUE"""),4.512)</f>
        <v>4.512</v>
      </c>
    </row>
    <row r="1691">
      <c r="A1691" s="4" t="str">
        <f>IFERROR(__xludf.DUMMYFUNCTION("""COMPUTED_VALUE"""),"7002")</f>
        <v>7002</v>
      </c>
      <c r="B1691" s="4" t="str">
        <f>IFERROR(__xludf.DUMMYFUNCTION("""COMPUTED_VALUE"""),"Spray fluo 500 ml S MARK amarillo")</f>
        <v>Spray fluo 500 ml S MARK amarillo</v>
      </c>
      <c r="C1691" s="4">
        <f>IFERROR(__xludf.DUMMYFUNCTION("""COMPUTED_VALUE"""),4.512)</f>
        <v>4.512</v>
      </c>
    </row>
    <row r="1692">
      <c r="A1692" s="4" t="str">
        <f>IFERROR(__xludf.DUMMYFUNCTION("""COMPUTED_VALUE"""),"7003")</f>
        <v>7003</v>
      </c>
      <c r="B1692" s="4" t="str">
        <f>IFERROR(__xludf.DUMMYFUNCTION("""COMPUTED_VALUE"""),"Spray fluo 500 ml S MARK verde")</f>
        <v>Spray fluo 500 ml S MARK verde</v>
      </c>
      <c r="C1692" s="4">
        <f>IFERROR(__xludf.DUMMYFUNCTION("""COMPUTED_VALUE"""),4.512)</f>
        <v>4.512</v>
      </c>
    </row>
    <row r="1693">
      <c r="A1693" s="4" t="str">
        <f>IFERROR(__xludf.DUMMYFUNCTION("""COMPUTED_VALUE"""),"7003A")</f>
        <v>7003A</v>
      </c>
      <c r="B1693" s="4" t="str">
        <f>IFERROR(__xludf.DUMMYFUNCTION("""COMPUTED_VALUE"""),"Loseta/superficie para guía peatonal Mod A")</f>
        <v>Loseta/superficie para guía peatonal Mod A</v>
      </c>
      <c r="C1693" s="4">
        <f>IFERROR(__xludf.DUMMYFUNCTION("""COMPUTED_VALUE"""),9.024)</f>
        <v>9.024</v>
      </c>
    </row>
    <row r="1694">
      <c r="A1694" s="4" t="str">
        <f>IFERROR(__xludf.DUMMYFUNCTION("""COMPUTED_VALUE"""),"7004")</f>
        <v>7004</v>
      </c>
      <c r="B1694" s="4" t="str">
        <f>IFERROR(__xludf.DUMMYFUNCTION("""COMPUTED_VALUE"""),"Spray fluo 500 ml S MARK rosa")</f>
        <v>Spray fluo 500 ml S MARK rosa</v>
      </c>
      <c r="C1694" s="4">
        <f>IFERROR(__xludf.DUMMYFUNCTION("""COMPUTED_VALUE"""),4.512)</f>
        <v>4.512</v>
      </c>
    </row>
    <row r="1695">
      <c r="A1695" s="4" t="str">
        <f>IFERROR(__xludf.DUMMYFUNCTION("""COMPUTED_VALUE"""),"7004B")</f>
        <v>7004B</v>
      </c>
      <c r="B1695" s="4" t="str">
        <f>IFERROR(__xludf.DUMMYFUNCTION("""COMPUTED_VALUE"""),"Loseta/superficie para guía peatonal Mod B")</f>
        <v>Loseta/superficie para guía peatonal Mod B</v>
      </c>
      <c r="C1695" s="4">
        <f>IFERROR(__xludf.DUMMYFUNCTION("""COMPUTED_VALUE"""),9.024)</f>
        <v>9.024</v>
      </c>
    </row>
    <row r="1696">
      <c r="A1696" s="4" t="str">
        <f>IFERROR(__xludf.DUMMYFUNCTION("""COMPUTED_VALUE"""),"7005")</f>
        <v>7005</v>
      </c>
      <c r="B1696" s="4" t="str">
        <f>IFERROR(__xludf.DUMMYFUNCTION("""COMPUTED_VALUE"""),"Spray fluo 500 ml S MARK naranja")</f>
        <v>Spray fluo 500 ml S MARK naranja</v>
      </c>
      <c r="C1696" s="4">
        <f>IFERROR(__xludf.DUMMYFUNCTION("""COMPUTED_VALUE"""),4.512)</f>
        <v>4.512</v>
      </c>
    </row>
    <row r="1697">
      <c r="A1697" s="4" t="str">
        <f>IFERROR(__xludf.DUMMYFUNCTION("""COMPUTED_VALUE"""),"7010")</f>
        <v>7010</v>
      </c>
      <c r="B1697" s="4" t="str">
        <f>IFERROR(__xludf.DUMMYFUNCTION("""COMPUTED_VALUE"""),"Spray Fluo 360º 500 ml IDEAL rojo")</f>
        <v>Spray Fluo 360º 500 ml IDEAL rojo</v>
      </c>
      <c r="C1697" s="4">
        <f>IFERROR(__xludf.DUMMYFUNCTION("""COMPUTED_VALUE"""),4.771199999999999)</f>
        <v>4.7712</v>
      </c>
    </row>
    <row r="1698">
      <c r="A1698" s="4" t="str">
        <f>IFERROR(__xludf.DUMMYFUNCTION("""COMPUTED_VALUE"""),"7011")</f>
        <v>7011</v>
      </c>
      <c r="B1698" s="4" t="str">
        <f>IFERROR(__xludf.DUMMYFUNCTION("""COMPUTED_VALUE"""),"Spray Fluo 360º 500 ml IDEAL azul")</f>
        <v>Spray Fluo 360º 500 ml IDEAL azul</v>
      </c>
      <c r="C1698" s="4">
        <f>IFERROR(__xludf.DUMMYFUNCTION("""COMPUTED_VALUE"""),4.771199999999999)</f>
        <v>4.7712</v>
      </c>
    </row>
    <row r="1699">
      <c r="A1699" s="4" t="str">
        <f>IFERROR(__xludf.DUMMYFUNCTION("""COMPUTED_VALUE"""),"7012")</f>
        <v>7012</v>
      </c>
      <c r="B1699" s="4" t="str">
        <f>IFERROR(__xludf.DUMMYFUNCTION("""COMPUTED_VALUE"""),"Spray Fluo 360º 500 ml IDEAL amarillo")</f>
        <v>Spray Fluo 360º 500 ml IDEAL amarillo</v>
      </c>
      <c r="C1699" s="4">
        <f>IFERROR(__xludf.DUMMYFUNCTION("""COMPUTED_VALUE"""),4.771199999999999)</f>
        <v>4.7712</v>
      </c>
    </row>
    <row r="1700">
      <c r="A1700" s="4" t="str">
        <f>IFERROR(__xludf.DUMMYFUNCTION("""COMPUTED_VALUE"""),"7014")</f>
        <v>7014</v>
      </c>
      <c r="B1700" s="4" t="str">
        <f>IFERROR(__xludf.DUMMYFUNCTION("""COMPUTED_VALUE"""),"Spray Fluo 360º 500 ml IDEAL rosa")</f>
        <v>Spray Fluo 360º 500 ml IDEAL rosa</v>
      </c>
      <c r="C1700" s="4">
        <f>IFERROR(__xludf.DUMMYFUNCTION("""COMPUTED_VALUE"""),4.771199999999999)</f>
        <v>4.7712</v>
      </c>
    </row>
    <row r="1701">
      <c r="A1701" s="4" t="str">
        <f>IFERROR(__xludf.DUMMYFUNCTION("""COMPUTED_VALUE"""),"7020")</f>
        <v>7020</v>
      </c>
      <c r="B1701" s="4" t="str">
        <f>IFERROR(__xludf.DUMMYFUNCTION("""COMPUTED_VALUE"""),"Spray 500 ml Line Marker Blanco")</f>
        <v>Spray 500 ml Line Marker Blanco</v>
      </c>
      <c r="C1701" s="4">
        <f>IFERROR(__xludf.DUMMYFUNCTION("""COMPUTED_VALUE"""),7.3104)</f>
        <v>7.3104</v>
      </c>
    </row>
    <row r="1702">
      <c r="A1702" s="4" t="str">
        <f>IFERROR(__xludf.DUMMYFUNCTION("""COMPUTED_VALUE"""),"7022")</f>
        <v>7022</v>
      </c>
      <c r="B1702" s="4" t="str">
        <f>IFERROR(__xludf.DUMMYFUNCTION("""COMPUTED_VALUE"""),"Spray 500 ml Line Marker Amarillo")</f>
        <v>Spray 500 ml Line Marker Amarillo</v>
      </c>
      <c r="C1702" s="4">
        <f>IFERROR(__xludf.DUMMYFUNCTION("""COMPUTED_VALUE"""),7.3104)</f>
        <v>7.3104</v>
      </c>
    </row>
    <row r="1703">
      <c r="A1703" s="4" t="str">
        <f>IFERROR(__xludf.DUMMYFUNCTION("""COMPUTED_VALUE"""),"7025")</f>
        <v>7025</v>
      </c>
      <c r="B1703" s="4" t="str">
        <f>IFERROR(__xludf.DUMMYFUNCTION("""COMPUTED_VALUE"""),"Spray Pintura Luminiscente 400 ml")</f>
        <v>Spray Pintura Luminiscente 400 ml</v>
      </c>
      <c r="C1703" s="4">
        <f>IFERROR(__xludf.DUMMYFUNCTION("""COMPUTED_VALUE"""),17.64)</f>
        <v>17.64</v>
      </c>
    </row>
    <row r="1704">
      <c r="A1704" s="4" t="str">
        <f>IFERROR(__xludf.DUMMYFUNCTION("""COMPUTED_VALUE"""),"80135N1")</f>
        <v>80135N1</v>
      </c>
      <c r="B1704" s="4" t="str">
        <f>IFERROR(__xludf.DUMMYFUNCTION("""COMPUTED_VALUE"""),"Triangulo MOPU TP 135 cm Reflex I")</f>
        <v>Triangulo MOPU TP 135 cm Reflex I</v>
      </c>
      <c r="C1704" s="4">
        <f>IFERROR(__xludf.DUMMYFUNCTION("""COMPUTED_VALUE"""),77.8176)</f>
        <v>77.8176</v>
      </c>
    </row>
    <row r="1705">
      <c r="A1705" s="4" t="str">
        <f>IFERROR(__xludf.DUMMYFUNCTION("""COMPUTED_VALUE"""),"80135N2")</f>
        <v>80135N2</v>
      </c>
      <c r="B1705" s="4" t="str">
        <f>IFERROR(__xludf.DUMMYFUNCTION("""COMPUTED_VALUE"""),"Triangulo MOPU TD 135 cm Reflex II")</f>
        <v>Triangulo MOPU TD 135 cm Reflex II</v>
      </c>
      <c r="C1705" s="4">
        <f>IFERROR(__xludf.DUMMYFUNCTION("""COMPUTED_VALUE"""),112.6944)</f>
        <v>112.6944</v>
      </c>
    </row>
    <row r="1706">
      <c r="A1706" s="4" t="str">
        <f>IFERROR(__xludf.DUMMYFUNCTION("""COMPUTED_VALUE"""),"80135N3")</f>
        <v>80135N3</v>
      </c>
      <c r="B1706" s="4" t="str">
        <f>IFERROR(__xludf.DUMMYFUNCTION("""COMPUTED_VALUE"""),"Triangulo MOPU TD 135 cm Reflex III")</f>
        <v>Triangulo MOPU TD 135 cm Reflex III</v>
      </c>
      <c r="C1706" s="4">
        <f>IFERROR(__xludf.DUMMYFUNCTION("""COMPUTED_VALUE"""),150.144)</f>
        <v>150.144</v>
      </c>
    </row>
    <row r="1707">
      <c r="A1707" s="4" t="str">
        <f>IFERROR(__xludf.DUMMYFUNCTION("""COMPUTED_VALUE"""),"80175N1")</f>
        <v>80175N1</v>
      </c>
      <c r="B1707" s="4" t="str">
        <f>IFERROR(__xludf.DUMMYFUNCTION("""COMPUTED_VALUE"""),"Triangulo MOPU TD 175 cm Reflex I")</f>
        <v>Triangulo MOPU TD 175 cm Reflex I</v>
      </c>
      <c r="C1707" s="4">
        <f>IFERROR(__xludf.DUMMYFUNCTION("""COMPUTED_VALUE"""),171.60959999999997)</f>
        <v>171.6096</v>
      </c>
    </row>
    <row r="1708">
      <c r="A1708" s="4" t="str">
        <f>IFERROR(__xludf.DUMMYFUNCTION("""COMPUTED_VALUE"""),"80175N2")</f>
        <v>80175N2</v>
      </c>
      <c r="B1708" s="4" t="str">
        <f>IFERROR(__xludf.DUMMYFUNCTION("""COMPUTED_VALUE"""),"Triangulo MOPU TD 175 cm Reflex II")</f>
        <v>Triangulo MOPU TD 175 cm Reflex II</v>
      </c>
      <c r="C1708" s="4">
        <f>IFERROR(__xludf.DUMMYFUNCTION("""COMPUTED_VALUE"""),215.6736)</f>
        <v>215.6736</v>
      </c>
    </row>
    <row r="1709">
      <c r="A1709" s="4" t="str">
        <f>IFERROR(__xludf.DUMMYFUNCTION("""COMPUTED_VALUE"""),"80175N3")</f>
        <v>80175N3</v>
      </c>
      <c r="B1709" s="4" t="str">
        <f>IFERROR(__xludf.DUMMYFUNCTION("""COMPUTED_VALUE"""),"Triangulo MOPU TD 175 cm Reflex III")</f>
        <v>Triangulo MOPU TD 175 cm Reflex III</v>
      </c>
      <c r="C1709" s="4">
        <f>IFERROR(__xludf.DUMMYFUNCTION("""COMPUTED_VALUE"""),275.40479999999997)</f>
        <v>275.4048</v>
      </c>
    </row>
    <row r="1710">
      <c r="A1710" s="4" t="str">
        <f>IFERROR(__xludf.DUMMYFUNCTION("""COMPUTED_VALUE"""),"8070N1")</f>
        <v>8070N1</v>
      </c>
      <c r="B1710" s="4" t="str">
        <f>IFERROR(__xludf.DUMMYFUNCTION("""COMPUTED_VALUE"""),"Triangulo MOPU TP 70 cm Reflex I")</f>
        <v>Triangulo MOPU TP 70 cm Reflex I</v>
      </c>
      <c r="C1710" s="4">
        <f>IFERROR(__xludf.DUMMYFUNCTION("""COMPUTED_VALUE"""),23.04)</f>
        <v>23.04</v>
      </c>
    </row>
    <row r="1711">
      <c r="A1711" s="4" t="str">
        <f>IFERROR(__xludf.DUMMYFUNCTION("""COMPUTED_VALUE"""),"8070N2")</f>
        <v>8070N2</v>
      </c>
      <c r="B1711" s="4" t="str">
        <f>IFERROR(__xludf.DUMMYFUNCTION("""COMPUTED_VALUE"""),"Triangulo MOPU TP 70 cm Reflex II")</f>
        <v>Triangulo MOPU TP 70 cm Reflex II</v>
      </c>
      <c r="C1711" s="4">
        <f>IFERROR(__xludf.DUMMYFUNCTION("""COMPUTED_VALUE"""),29.759999999999998)</f>
        <v>29.76</v>
      </c>
    </row>
    <row r="1712">
      <c r="A1712" s="4" t="str">
        <f>IFERROR(__xludf.DUMMYFUNCTION("""COMPUTED_VALUE"""),"8070N3")</f>
        <v>8070N3</v>
      </c>
      <c r="B1712" s="4" t="str">
        <f>IFERROR(__xludf.DUMMYFUNCTION("""COMPUTED_VALUE"""),"Triangulo MOPU TP 70 cm Reflex III")</f>
        <v>Triangulo MOPU TP 70 cm Reflex III</v>
      </c>
      <c r="C1712" s="4">
        <f>IFERROR(__xludf.DUMMYFUNCTION("""COMPUTED_VALUE"""),47.980799999999995)</f>
        <v>47.9808</v>
      </c>
    </row>
    <row r="1713">
      <c r="A1713" s="4" t="str">
        <f>IFERROR(__xludf.DUMMYFUNCTION("""COMPUTED_VALUE"""),"8090N1")</f>
        <v>8090N1</v>
      </c>
      <c r="B1713" s="4" t="str">
        <f>IFERROR(__xludf.DUMMYFUNCTION("""COMPUTED_VALUE"""),"Triangulo MOPU TP 90 cm Reflex I")</f>
        <v>Triangulo MOPU TP 90 cm Reflex I</v>
      </c>
      <c r="C1713" s="4">
        <f>IFERROR(__xludf.DUMMYFUNCTION("""COMPUTED_VALUE"""),42.48)</f>
        <v>42.48</v>
      </c>
    </row>
    <row r="1714">
      <c r="A1714" s="4" t="str">
        <f>IFERROR(__xludf.DUMMYFUNCTION("""COMPUTED_VALUE"""),"8090N2")</f>
        <v>8090N2</v>
      </c>
      <c r="B1714" s="4" t="str">
        <f>IFERROR(__xludf.DUMMYFUNCTION("""COMPUTED_VALUE"""),"Triangulo MOPU TP 90 cm Reflex II")</f>
        <v>Triangulo MOPU TP 90 cm Reflex II</v>
      </c>
      <c r="C1714" s="4">
        <f>IFERROR(__xludf.DUMMYFUNCTION("""COMPUTED_VALUE"""),54.672000000000004)</f>
        <v>54.672</v>
      </c>
    </row>
    <row r="1715">
      <c r="A1715" s="4" t="str">
        <f>IFERROR(__xludf.DUMMYFUNCTION("""COMPUTED_VALUE"""),"8090N3")</f>
        <v>8090N3</v>
      </c>
      <c r="B1715" s="4" t="str">
        <f>IFERROR(__xludf.DUMMYFUNCTION("""COMPUTED_VALUE"""),"Triangulo MOPU TP 90 cm Reflex III")</f>
        <v>Triangulo MOPU TP 90 cm Reflex III</v>
      </c>
      <c r="C1715" s="4">
        <f>IFERROR(__xludf.DUMMYFUNCTION("""COMPUTED_VALUE"""),76.0512)</f>
        <v>76.0512</v>
      </c>
    </row>
    <row r="1716">
      <c r="A1716" s="4" t="str">
        <f>IFERROR(__xludf.DUMMYFUNCTION("""COMPUTED_VALUE"""),"81120N1")</f>
        <v>81120N1</v>
      </c>
      <c r="B1716" s="4" t="str">
        <f>IFERROR(__xludf.DUMMYFUNCTION("""COMPUTED_VALUE"""),"Disco MOPU TR 120 cm Reflex I")</f>
        <v>Disco MOPU TR 120 cm Reflex I</v>
      </c>
      <c r="C1716" s="4">
        <f>IFERROR(__xludf.DUMMYFUNCTION("""COMPUTED_VALUE"""),141.49439999999998)</f>
        <v>141.4944</v>
      </c>
    </row>
    <row r="1717">
      <c r="A1717" s="4" t="str">
        <f>IFERROR(__xludf.DUMMYFUNCTION("""COMPUTED_VALUE"""),"81120N2")</f>
        <v>81120N2</v>
      </c>
      <c r="B1717" s="4" t="str">
        <f>IFERROR(__xludf.DUMMYFUNCTION("""COMPUTED_VALUE"""),"Disco MOPU TR 120 cm Reflex II")</f>
        <v>Disco MOPU TR 120 cm Reflex II</v>
      </c>
      <c r="C1717" s="4">
        <f>IFERROR(__xludf.DUMMYFUNCTION("""COMPUTED_VALUE"""),194.45759999999999)</f>
        <v>194.4576</v>
      </c>
    </row>
    <row r="1718">
      <c r="A1718" s="4" t="str">
        <f>IFERROR(__xludf.DUMMYFUNCTION("""COMPUTED_VALUE"""),"81120N3")</f>
        <v>81120N3</v>
      </c>
      <c r="B1718" s="4" t="str">
        <f>IFERROR(__xludf.DUMMYFUNCTION("""COMPUTED_VALUE"""),"Disco MOPU TR 120 cm Reflex III")</f>
        <v>Disco MOPU TR 120 cm Reflex III</v>
      </c>
      <c r="C1718" s="4">
        <f>IFERROR(__xludf.DUMMYFUNCTION("""COMPUTED_VALUE"""),250.34879999999995)</f>
        <v>250.3488</v>
      </c>
    </row>
    <row r="1719">
      <c r="A1719" s="4" t="str">
        <f>IFERROR(__xludf.DUMMYFUNCTION("""COMPUTED_VALUE"""),"8160N1")</f>
        <v>8160N1</v>
      </c>
      <c r="B1719" s="4" t="str">
        <f>IFERROR(__xludf.DUMMYFUNCTION("""COMPUTED_VALUE"""),"Disco MOPU TR 60 cm Reflex I")</f>
        <v>Disco MOPU TR 60 cm Reflex I</v>
      </c>
      <c r="C1719" s="4">
        <f>IFERROR(__xludf.DUMMYFUNCTION("""COMPUTED_VALUE"""),23.759999999999998)</f>
        <v>23.76</v>
      </c>
    </row>
    <row r="1720">
      <c r="A1720" s="4" t="str">
        <f>IFERROR(__xludf.DUMMYFUNCTION("""COMPUTED_VALUE"""),"8160N2")</f>
        <v>8160N2</v>
      </c>
      <c r="B1720" s="4" t="str">
        <f>IFERROR(__xludf.DUMMYFUNCTION("""COMPUTED_VALUE"""),"Disco MOPU TR 60 cm Reflex II")</f>
        <v>Disco MOPU TR 60 cm Reflex II</v>
      </c>
      <c r="C1720" s="4">
        <f>IFERROR(__xludf.DUMMYFUNCTION("""COMPUTED_VALUE"""),30.144)</f>
        <v>30.144</v>
      </c>
    </row>
    <row r="1721">
      <c r="A1721" s="4" t="str">
        <f>IFERROR(__xludf.DUMMYFUNCTION("""COMPUTED_VALUE"""),"8160N3")</f>
        <v>8160N3</v>
      </c>
      <c r="B1721" s="4" t="str">
        <f>IFERROR(__xludf.DUMMYFUNCTION("""COMPUTED_VALUE"""),"Disco MOPU TR 60 cm Reflex III")</f>
        <v>Disco MOPU TR 60 cm Reflex III</v>
      </c>
      <c r="C1721" s="4">
        <f>IFERROR(__xludf.DUMMYFUNCTION("""COMPUTED_VALUE"""),64.8192)</f>
        <v>64.8192</v>
      </c>
    </row>
    <row r="1722">
      <c r="A1722" s="4" t="str">
        <f>IFERROR(__xludf.DUMMYFUNCTION("""COMPUTED_VALUE"""),"8190N1")</f>
        <v>8190N1</v>
      </c>
      <c r="B1722" s="4" t="str">
        <f>IFERROR(__xludf.DUMMYFUNCTION("""COMPUTED_VALUE"""),"Disco MOPU TR 90 cm Reflex I")</f>
        <v>Disco MOPU TR 90 cm Reflex I</v>
      </c>
      <c r="C1722" s="4">
        <f>IFERROR(__xludf.DUMMYFUNCTION("""COMPUTED_VALUE"""),66.7488)</f>
        <v>66.7488</v>
      </c>
    </row>
    <row r="1723">
      <c r="A1723" s="4" t="str">
        <f>IFERROR(__xludf.DUMMYFUNCTION("""COMPUTED_VALUE"""),"8190N2")</f>
        <v>8190N2</v>
      </c>
      <c r="B1723" s="4" t="str">
        <f>IFERROR(__xludf.DUMMYFUNCTION("""COMPUTED_VALUE"""),"Disco MOPU TR 90 cm Reflex II")</f>
        <v>Disco MOPU TR 90 cm Reflex II</v>
      </c>
      <c r="C1723" s="4">
        <f>IFERROR(__xludf.DUMMYFUNCTION("""COMPUTED_VALUE"""),99.84)</f>
        <v>99.84</v>
      </c>
    </row>
    <row r="1724">
      <c r="A1724" s="4" t="str">
        <f>IFERROR(__xludf.DUMMYFUNCTION("""COMPUTED_VALUE"""),"8190N3")</f>
        <v>8190N3</v>
      </c>
      <c r="B1724" s="4" t="str">
        <f>IFERROR(__xludf.DUMMYFUNCTION("""COMPUTED_VALUE"""),"Disco MOPU TR 90 cm Reflex III")</f>
        <v>Disco MOPU TR 90 cm Reflex III</v>
      </c>
      <c r="C1724" s="4">
        <f>IFERROR(__xludf.DUMMYFUNCTION("""COMPUTED_VALUE"""),144.96)</f>
        <v>144.96</v>
      </c>
    </row>
    <row r="1725">
      <c r="A1725" s="4" t="str">
        <f>IFERROR(__xludf.DUMMYFUNCTION("""COMPUTED_VALUE"""),"8201")</f>
        <v>8201</v>
      </c>
      <c r="B1725" s="4" t="str">
        <f>IFERROR(__xludf.DUMMYFUNCTION("""COMPUTED_VALUE"""),"Adhesivo 11x15 Extintor")</f>
        <v>Adhesivo 11x15 Extintor</v>
      </c>
      <c r="C1725" s="4">
        <f>IFERROR(__xludf.DUMMYFUNCTION("""COMPUTED_VALUE"""),0.528)</f>
        <v>0.528</v>
      </c>
    </row>
    <row r="1726">
      <c r="A1726" s="4" t="str">
        <f>IFERROR(__xludf.DUMMYFUNCTION("""COMPUTED_VALUE"""),"8201/B")</f>
        <v>8201/B</v>
      </c>
      <c r="B1726" s="4" t="str">
        <f>IFERROR(__xludf.DUMMYFUNCTION("""COMPUTED_VALUE"""),"Blister 10 unid. Adhesivo 11x15 Extintor")</f>
        <v>Blister 10 unid. Adhesivo 11x15 Extintor</v>
      </c>
      <c r="C1726" s="4">
        <f>IFERROR(__xludf.DUMMYFUNCTION("""COMPUTED_VALUE"""),4.224)</f>
        <v>4.224</v>
      </c>
    </row>
    <row r="1727">
      <c r="A1727" s="4" t="str">
        <f>IFERROR(__xludf.DUMMYFUNCTION("""COMPUTED_VALUE"""),"8210")</f>
        <v>8210</v>
      </c>
      <c r="B1727" s="4" t="str">
        <f>IFERROR(__xludf.DUMMYFUNCTION("""COMPUTED_VALUE"""),"Adhesivo 11x15 Riesgo electrico")</f>
        <v>Adhesivo 11x15 Riesgo electrico</v>
      </c>
      <c r="C1727" s="4">
        <f>IFERROR(__xludf.DUMMYFUNCTION("""COMPUTED_VALUE"""),0.528)</f>
        <v>0.528</v>
      </c>
    </row>
    <row r="1728">
      <c r="A1728" s="4" t="str">
        <f>IFERROR(__xludf.DUMMYFUNCTION("""COMPUTED_VALUE"""),"8210/B")</f>
        <v>8210/B</v>
      </c>
      <c r="B1728" s="4" t="str">
        <f>IFERROR(__xludf.DUMMYFUNCTION("""COMPUTED_VALUE"""),"Blister 10 unid. Adhesivo 11x15 Riesgo electrico")</f>
        <v>Blister 10 unid. Adhesivo 11x15 Riesgo electrico</v>
      </c>
      <c r="C1728" s="4">
        <f>IFERROR(__xludf.DUMMYFUNCTION("""COMPUTED_VALUE"""),4.224)</f>
        <v>4.224</v>
      </c>
    </row>
    <row r="1729">
      <c r="A1729" s="4" t="str">
        <f>IFERROR(__xludf.DUMMYFUNCTION("""COMPUTED_VALUE"""),"8216")</f>
        <v>8216</v>
      </c>
      <c r="B1729" s="4" t="str">
        <f>IFERROR(__xludf.DUMMYFUNCTION("""COMPUTED_VALUE"""),"Adhesivo 11x15 Materias comburentes")</f>
        <v>Adhesivo 11x15 Materias comburentes</v>
      </c>
      <c r="C1729" s="4">
        <f>IFERROR(__xludf.DUMMYFUNCTION("""COMPUTED_VALUE"""),0.528)</f>
        <v>0.528</v>
      </c>
    </row>
    <row r="1730">
      <c r="A1730" s="4" t="str">
        <f>IFERROR(__xludf.DUMMYFUNCTION("""COMPUTED_VALUE"""),"8216/B")</f>
        <v>8216/B</v>
      </c>
      <c r="B1730" s="4" t="str">
        <f>IFERROR(__xludf.DUMMYFUNCTION("""COMPUTED_VALUE"""),"Blister 10 unid. Adhesivo 11x15 Materias comburentes")</f>
        <v>Blister 10 unid. Adhesivo 11x15 Materias comburentes</v>
      </c>
      <c r="C1730" s="4">
        <f>IFERROR(__xludf.DUMMYFUNCTION("""COMPUTED_VALUE"""),4.224)</f>
        <v>4.224</v>
      </c>
    </row>
    <row r="1731">
      <c r="A1731" s="4" t="str">
        <f>IFERROR(__xludf.DUMMYFUNCTION("""COMPUTED_VALUE"""),"8218")</f>
        <v>8218</v>
      </c>
      <c r="B1731" s="4" t="str">
        <f>IFERROR(__xludf.DUMMYFUNCTION("""COMPUTED_VALUE"""),"Adhesivo 11x15 Campo Magnetico Intenso")</f>
        <v>Adhesivo 11x15 Campo Magnetico Intenso</v>
      </c>
      <c r="C1731" s="4">
        <f>IFERROR(__xludf.DUMMYFUNCTION("""COMPUTED_VALUE"""),0.528)</f>
        <v>0.528</v>
      </c>
    </row>
    <row r="1732">
      <c r="A1732" s="4" t="str">
        <f>IFERROR(__xludf.DUMMYFUNCTION("""COMPUTED_VALUE"""),"8218/B")</f>
        <v>8218/B</v>
      </c>
      <c r="B1732" s="4" t="str">
        <f>IFERROR(__xludf.DUMMYFUNCTION("""COMPUTED_VALUE"""),"Blister 10 unid. Adhesivo 11x15 Campo Magnetico Intenso")</f>
        <v>Blister 10 unid. Adhesivo 11x15 Campo Magnetico Intenso</v>
      </c>
      <c r="C1732" s="4">
        <f>IFERROR(__xludf.DUMMYFUNCTION("""COMPUTED_VALUE"""),4.224)</f>
        <v>4.224</v>
      </c>
    </row>
    <row r="1733">
      <c r="A1733" s="4" t="str">
        <f>IFERROR(__xludf.DUMMYFUNCTION("""COMPUTED_VALUE"""),"8219")</f>
        <v>8219</v>
      </c>
      <c r="B1733" s="4" t="str">
        <f>IFERROR(__xludf.DUMMYFUNCTION("""COMPUTED_VALUE"""),"Adhesivo 11x15 Materias Inflamables")</f>
        <v>Adhesivo 11x15 Materias Inflamables</v>
      </c>
      <c r="C1733" s="4">
        <f>IFERROR(__xludf.DUMMYFUNCTION("""COMPUTED_VALUE"""),0.528)</f>
        <v>0.528</v>
      </c>
    </row>
    <row r="1734">
      <c r="A1734" s="4" t="str">
        <f>IFERROR(__xludf.DUMMYFUNCTION("""COMPUTED_VALUE"""),"8219/B")</f>
        <v>8219/B</v>
      </c>
      <c r="B1734" s="4" t="str">
        <f>IFERROR(__xludf.DUMMYFUNCTION("""COMPUTED_VALUE"""),"Blister 10 unid. Adhesivo 11x15 Materias inflamables")</f>
        <v>Blister 10 unid. Adhesivo 11x15 Materias inflamables</v>
      </c>
      <c r="C1734" s="4">
        <f>IFERROR(__xludf.DUMMYFUNCTION("""COMPUTED_VALUE"""),4.224)</f>
        <v>4.224</v>
      </c>
    </row>
    <row r="1735">
      <c r="A1735" s="4" t="str">
        <f>IFERROR(__xludf.DUMMYFUNCTION("""COMPUTED_VALUE"""),"8220")</f>
        <v>8220</v>
      </c>
      <c r="B1735" s="4" t="str">
        <f>IFERROR(__xludf.DUMMYFUNCTION("""COMPUTED_VALUE"""),"Adhesivo 11x15 Uso oblig. casco")</f>
        <v>Adhesivo 11x15 Uso oblig. casco</v>
      </c>
      <c r="C1735" s="4">
        <f>IFERROR(__xludf.DUMMYFUNCTION("""COMPUTED_VALUE"""),0.528)</f>
        <v>0.528</v>
      </c>
    </row>
    <row r="1736">
      <c r="A1736" s="4" t="str">
        <f>IFERROR(__xludf.DUMMYFUNCTION("""COMPUTED_VALUE"""),"8220/B")</f>
        <v>8220/B</v>
      </c>
      <c r="B1736" s="4" t="str">
        <f>IFERROR(__xludf.DUMMYFUNCTION("""COMPUTED_VALUE"""),"Blister 10 unid. Adhesivo 11x15 Uso oblig. casco")</f>
        <v>Blister 10 unid. Adhesivo 11x15 Uso oblig. casco</v>
      </c>
      <c r="C1736" s="4">
        <f>IFERROR(__xludf.DUMMYFUNCTION("""COMPUTED_VALUE"""),4.224)</f>
        <v>4.224</v>
      </c>
    </row>
    <row r="1737">
      <c r="A1737" s="4" t="str">
        <f>IFERROR(__xludf.DUMMYFUNCTION("""COMPUTED_VALUE"""),"8221")</f>
        <v>8221</v>
      </c>
      <c r="B1737" s="4" t="str">
        <f>IFERROR(__xludf.DUMMYFUNCTION("""COMPUTED_VALUE"""),"Adhesivo 11x15 Uso Oblig. botas")</f>
        <v>Adhesivo 11x15 Uso Oblig. botas</v>
      </c>
      <c r="C1737" s="4">
        <f>IFERROR(__xludf.DUMMYFUNCTION("""COMPUTED_VALUE"""),0.528)</f>
        <v>0.528</v>
      </c>
    </row>
    <row r="1738">
      <c r="A1738" s="4" t="str">
        <f>IFERROR(__xludf.DUMMYFUNCTION("""COMPUTED_VALUE"""),"8221/B")</f>
        <v>8221/B</v>
      </c>
      <c r="B1738" s="4" t="str">
        <f>IFERROR(__xludf.DUMMYFUNCTION("""COMPUTED_VALUE"""),"Blister 10 unid. Adhesivo 11x15 Uso oblig. botas")</f>
        <v>Blister 10 unid. Adhesivo 11x15 Uso oblig. botas</v>
      </c>
      <c r="C1738" s="4">
        <f>IFERROR(__xludf.DUMMYFUNCTION("""COMPUTED_VALUE"""),4.224)</f>
        <v>4.224</v>
      </c>
    </row>
    <row r="1739">
      <c r="A1739" s="4" t="str">
        <f>IFERROR(__xludf.DUMMYFUNCTION("""COMPUTED_VALUE"""),"8222")</f>
        <v>8222</v>
      </c>
      <c r="B1739" s="4" t="str">
        <f>IFERROR(__xludf.DUMMYFUNCTION("""COMPUTED_VALUE"""),"Adhesivo 11x15 Uso oblig Guantes")</f>
        <v>Adhesivo 11x15 Uso oblig Guantes</v>
      </c>
      <c r="C1739" s="4">
        <f>IFERROR(__xludf.DUMMYFUNCTION("""COMPUTED_VALUE"""),0.528)</f>
        <v>0.528</v>
      </c>
    </row>
    <row r="1740">
      <c r="A1740" s="4" t="str">
        <f>IFERROR(__xludf.DUMMYFUNCTION("""COMPUTED_VALUE"""),"8222/B")</f>
        <v>8222/B</v>
      </c>
      <c r="B1740" s="4" t="str">
        <f>IFERROR(__xludf.DUMMYFUNCTION("""COMPUTED_VALUE"""),"Blister 10 unid. Adhesivo 11x15 Uso oblig. guantes")</f>
        <v>Blister 10 unid. Adhesivo 11x15 Uso oblig. guantes</v>
      </c>
      <c r="C1740" s="4">
        <f>IFERROR(__xludf.DUMMYFUNCTION("""COMPUTED_VALUE"""),4.224)</f>
        <v>4.224</v>
      </c>
    </row>
    <row r="1741">
      <c r="A1741" s="4" t="str">
        <f>IFERROR(__xludf.DUMMYFUNCTION("""COMPUTED_VALUE"""),"8223")</f>
        <v>8223</v>
      </c>
      <c r="B1741" s="4" t="str">
        <f>IFERROR(__xludf.DUMMYFUNCTION("""COMPUTED_VALUE"""),"Adhesivo 11x15 Uso oblig. prot. acustica")</f>
        <v>Adhesivo 11x15 Uso oblig. prot. acustica</v>
      </c>
      <c r="C1741" s="4">
        <f>IFERROR(__xludf.DUMMYFUNCTION("""COMPUTED_VALUE"""),0.528)</f>
        <v>0.528</v>
      </c>
    </row>
    <row r="1742">
      <c r="A1742" s="4" t="str">
        <f>IFERROR(__xludf.DUMMYFUNCTION("""COMPUTED_VALUE"""),"8223/B")</f>
        <v>8223/B</v>
      </c>
      <c r="B1742" s="4" t="str">
        <f>IFERROR(__xludf.DUMMYFUNCTION("""COMPUTED_VALUE"""),"Blister 10 unid. Adhesivo 11x15 Uso oblig.protec.acustica")</f>
        <v>Blister 10 unid. Adhesivo 11x15 Uso oblig.protec.acustica</v>
      </c>
      <c r="C1742" s="4">
        <f>IFERROR(__xludf.DUMMYFUNCTION("""COMPUTED_VALUE"""),4.224)</f>
        <v>4.224</v>
      </c>
    </row>
    <row r="1743">
      <c r="A1743" s="4" t="str">
        <f>IFERROR(__xludf.DUMMYFUNCTION("""COMPUTED_VALUE"""),"8226")</f>
        <v>8226</v>
      </c>
      <c r="B1743" s="4" t="str">
        <f>IFERROR(__xludf.DUMMYFUNCTION("""COMPUTED_VALUE"""),"Adhesivo 11x15 Uso oblig Gafas")</f>
        <v>Adhesivo 11x15 Uso oblig Gafas</v>
      </c>
      <c r="C1743" s="4">
        <f>IFERROR(__xludf.DUMMYFUNCTION("""COMPUTED_VALUE"""),0.528)</f>
        <v>0.528</v>
      </c>
    </row>
    <row r="1744">
      <c r="A1744" s="4" t="str">
        <f>IFERROR(__xludf.DUMMYFUNCTION("""COMPUTED_VALUE"""),"8226/B")</f>
        <v>8226/B</v>
      </c>
      <c r="B1744" s="4" t="str">
        <f>IFERROR(__xludf.DUMMYFUNCTION("""COMPUTED_VALUE"""),"Blister 10 unid. Adhesivo 11x15 Uso obligatorio Gafas")</f>
        <v>Blister 10 unid. Adhesivo 11x15 Uso obligatorio Gafas</v>
      </c>
      <c r="C1744" s="4">
        <f>IFERROR(__xludf.DUMMYFUNCTION("""COMPUTED_VALUE"""),4.224)</f>
        <v>4.224</v>
      </c>
    </row>
    <row r="1745">
      <c r="A1745" s="4" t="str">
        <f>IFERROR(__xludf.DUMMYFUNCTION("""COMPUTED_VALUE"""),"8227")</f>
        <v>8227</v>
      </c>
      <c r="B1745" s="4" t="str">
        <f>IFERROR(__xludf.DUMMYFUNCTION("""COMPUTED_VALUE"""),"Adhesivo 11x 15 Uso oblig. arnes segur.")</f>
        <v>Adhesivo 11x 15 Uso oblig. arnes segur.</v>
      </c>
      <c r="C1745" s="4">
        <f>IFERROR(__xludf.DUMMYFUNCTION("""COMPUTED_VALUE"""),0.528)</f>
        <v>0.528</v>
      </c>
    </row>
    <row r="1746">
      <c r="A1746" s="4" t="str">
        <f>IFERROR(__xludf.DUMMYFUNCTION("""COMPUTED_VALUE"""),"8227/B")</f>
        <v>8227/B</v>
      </c>
      <c r="B1746" s="4" t="str">
        <f>IFERROR(__xludf.DUMMYFUNCTION("""COMPUTED_VALUE"""),"Blister 10 und. Adhesivo 11x15 Uso oblig. arnes seguridad")</f>
        <v>Blister 10 und. Adhesivo 11x15 Uso oblig. arnes seguridad</v>
      </c>
      <c r="C1746" s="4">
        <f>IFERROR(__xludf.DUMMYFUNCTION("""COMPUTED_VALUE"""),4.224)</f>
        <v>4.224</v>
      </c>
    </row>
    <row r="1747">
      <c r="A1747" s="4" t="str">
        <f>IFERROR(__xludf.DUMMYFUNCTION("""COMPUTED_VALUE"""),"8230")</f>
        <v>8230</v>
      </c>
      <c r="B1747" s="4" t="str">
        <f>IFERROR(__xludf.DUMMYFUNCTION("""COMPUTED_VALUE"""),"Adhesivo 11x 15 Prohibido Fumar")</f>
        <v>Adhesivo 11x 15 Prohibido Fumar</v>
      </c>
      <c r="C1747" s="4">
        <f>IFERROR(__xludf.DUMMYFUNCTION("""COMPUTED_VALUE"""),0.528)</f>
        <v>0.528</v>
      </c>
    </row>
    <row r="1748">
      <c r="A1748" s="4" t="str">
        <f>IFERROR(__xludf.DUMMYFUNCTION("""COMPUTED_VALUE"""),"8230/B")</f>
        <v>8230/B</v>
      </c>
      <c r="B1748" s="4" t="str">
        <f>IFERROR(__xludf.DUMMYFUNCTION("""COMPUTED_VALUE"""),"Blister 10 unid. Adhesivo 11x15 Prohibido Fumar")</f>
        <v>Blister 10 unid. Adhesivo 11x15 Prohibido Fumar</v>
      </c>
      <c r="C1748" s="4">
        <f>IFERROR(__xludf.DUMMYFUNCTION("""COMPUTED_VALUE"""),4.224)</f>
        <v>4.224</v>
      </c>
    </row>
    <row r="1749">
      <c r="A1749" s="4" t="str">
        <f>IFERROR(__xludf.DUMMYFUNCTION("""COMPUTED_VALUE"""),"8232")</f>
        <v>8232</v>
      </c>
      <c r="B1749" s="4" t="str">
        <f>IFERROR(__xludf.DUMMYFUNCTION("""COMPUTED_VALUE"""),"Adhesivo 11x15 Prohibido pasar sin casco")</f>
        <v>Adhesivo 11x15 Prohibido pasar sin casco</v>
      </c>
      <c r="C1749" s="4">
        <f>IFERROR(__xludf.DUMMYFUNCTION("""COMPUTED_VALUE"""),0.528)</f>
        <v>0.528</v>
      </c>
    </row>
    <row r="1750">
      <c r="A1750" s="4" t="str">
        <f>IFERROR(__xludf.DUMMYFUNCTION("""COMPUTED_VALUE"""),"8232/B")</f>
        <v>8232/B</v>
      </c>
      <c r="B1750" s="4" t="str">
        <f>IFERROR(__xludf.DUMMYFUNCTION("""COMPUTED_VALUE"""),"Blister 10 unid. Adhesivo 11x15 Prohibido pasar sin casco")</f>
        <v>Blister 10 unid. Adhesivo 11x15 Prohibido pasar sin casco</v>
      </c>
      <c r="C1750" s="4">
        <f>IFERROR(__xludf.DUMMYFUNCTION("""COMPUTED_VALUE"""),4.224)</f>
        <v>4.224</v>
      </c>
    </row>
    <row r="1751">
      <c r="A1751" s="4" t="str">
        <f>IFERROR(__xludf.DUMMYFUNCTION("""COMPUTED_VALUE"""),"8238")</f>
        <v>8238</v>
      </c>
      <c r="B1751" s="4" t="str">
        <f>IFERROR(__xludf.DUMMYFUNCTION("""COMPUTED_VALUE"""),"Adhesivo 11x15 Atencion puesta a tierra")</f>
        <v>Adhesivo 11x15 Atencion puesta a tierra</v>
      </c>
      <c r="C1751" s="4">
        <f>IFERROR(__xludf.DUMMYFUNCTION("""COMPUTED_VALUE"""),0.528)</f>
        <v>0.528</v>
      </c>
    </row>
    <row r="1752">
      <c r="A1752" s="4" t="str">
        <f>IFERROR(__xludf.DUMMYFUNCTION("""COMPUTED_VALUE"""),"8238/B")</f>
        <v>8238/B</v>
      </c>
      <c r="B1752" s="4" t="str">
        <f>IFERROR(__xludf.DUMMYFUNCTION("""COMPUTED_VALUE"""),"Blister 10 unid .Adhesivo 11x15 Atencion puesta a tierra")</f>
        <v>Blister 10 unid .Adhesivo 11x15 Atencion puesta a tierra</v>
      </c>
      <c r="C1752" s="4">
        <f>IFERROR(__xludf.DUMMYFUNCTION("""COMPUTED_VALUE"""),4.224)</f>
        <v>4.224</v>
      </c>
    </row>
    <row r="1753">
      <c r="A1753" s="4" t="str">
        <f>IFERROR(__xludf.DUMMYFUNCTION("""COMPUTED_VALUE"""),"8250")</f>
        <v>8250</v>
      </c>
      <c r="B1753" s="4" t="str">
        <f>IFERROR(__xludf.DUMMYFUNCTION("""COMPUTED_VALUE"""),"Adhesivo 11x15 Peligro")</f>
        <v>Adhesivo 11x15 Peligro</v>
      </c>
      <c r="C1753" s="4">
        <f>IFERROR(__xludf.DUMMYFUNCTION("""COMPUTED_VALUE"""),0.528)</f>
        <v>0.528</v>
      </c>
    </row>
    <row r="1754">
      <c r="A1754" s="4" t="str">
        <f>IFERROR(__xludf.DUMMYFUNCTION("""COMPUTED_VALUE"""),"8250/B")</f>
        <v>8250/B</v>
      </c>
      <c r="B1754" s="4" t="str">
        <f>IFERROR(__xludf.DUMMYFUNCTION("""COMPUTED_VALUE"""),"Blister 10 unid. Adhesivo 11x15 Peligro")</f>
        <v>Blister 10 unid. Adhesivo 11x15 Peligro</v>
      </c>
      <c r="C1754" s="4">
        <f>IFERROR(__xludf.DUMMYFUNCTION("""COMPUTED_VALUE"""),4.224)</f>
        <v>4.224</v>
      </c>
    </row>
    <row r="1755">
      <c r="A1755" s="4" t="str">
        <f>IFERROR(__xludf.DUMMYFUNCTION("""COMPUTED_VALUE"""),"8252")</f>
        <v>8252</v>
      </c>
      <c r="B1755" s="4" t="str">
        <f>IFERROR(__xludf.DUMMYFUNCTION("""COMPUTED_VALUE"""),"Adhesivo 11x15 Riesgo de atrapamiento")</f>
        <v>Adhesivo 11x15 Riesgo de atrapamiento</v>
      </c>
      <c r="C1755" s="4">
        <f>IFERROR(__xludf.DUMMYFUNCTION("""COMPUTED_VALUE"""),0.528)</f>
        <v>0.528</v>
      </c>
    </row>
    <row r="1756">
      <c r="A1756" s="4" t="str">
        <f>IFERROR(__xludf.DUMMYFUNCTION("""COMPUTED_VALUE"""),"8252/B")</f>
        <v>8252/B</v>
      </c>
      <c r="B1756" s="4" t="str">
        <f>IFERROR(__xludf.DUMMYFUNCTION("""COMPUTED_VALUE"""),"Blister 10 unid. Adhesivo 11x15 Riesgo de atrapamiento")</f>
        <v>Blister 10 unid. Adhesivo 11x15 Riesgo de atrapamiento</v>
      </c>
      <c r="C1756" s="4">
        <f>IFERROR(__xludf.DUMMYFUNCTION("""COMPUTED_VALUE"""),4.224)</f>
        <v>4.224</v>
      </c>
    </row>
    <row r="1757">
      <c r="A1757" s="4" t="str">
        <f>IFERROR(__xludf.DUMMYFUNCTION("""COMPUTED_VALUE"""),"8253")</f>
        <v>8253</v>
      </c>
      <c r="B1757" s="4" t="str">
        <f>IFERROR(__xludf.DUMMYFUNCTION("""COMPUTED_VALUE"""),"Adhesivo 11x15 Proh. paso toda person ajena empresa")</f>
        <v>Adhesivo 11x15 Proh. paso toda person ajena empresa</v>
      </c>
      <c r="C1757" s="4">
        <f>IFERROR(__xludf.DUMMYFUNCTION("""COMPUTED_VALUE"""),0.528)</f>
        <v>0.528</v>
      </c>
    </row>
    <row r="1758">
      <c r="A1758" s="4" t="str">
        <f>IFERROR(__xludf.DUMMYFUNCTION("""COMPUTED_VALUE"""),"8253/B")</f>
        <v>8253/B</v>
      </c>
      <c r="B1758" s="4" t="str">
        <f>IFERROR(__xludf.DUMMYFUNCTION("""COMPUTED_VALUE"""),"Blister 10 unid. Adehsivo 11x15 Proh. paso toda persona ajena")</f>
        <v>Blister 10 unid. Adehsivo 11x15 Proh. paso toda persona ajena</v>
      </c>
      <c r="C1758" s="4">
        <f>IFERROR(__xludf.DUMMYFUNCTION("""COMPUTED_VALUE"""),4.224)</f>
        <v>4.224</v>
      </c>
    </row>
    <row r="1759">
      <c r="A1759" s="4" t="str">
        <f>IFERROR(__xludf.DUMMYFUNCTION("""COMPUTED_VALUE"""),"8256")</f>
        <v>8256</v>
      </c>
      <c r="B1759" s="4" t="str">
        <f>IFERROR(__xludf.DUMMYFUNCTION("""COMPUTED_VALUE"""),"Adhesivo 11x15 Botiquin")</f>
        <v>Adhesivo 11x15 Botiquin</v>
      </c>
      <c r="C1759" s="4">
        <f>IFERROR(__xludf.DUMMYFUNCTION("""COMPUTED_VALUE"""),0.528)</f>
        <v>0.528</v>
      </c>
    </row>
    <row r="1760">
      <c r="A1760" s="4" t="str">
        <f>IFERROR(__xludf.DUMMYFUNCTION("""COMPUTED_VALUE"""),"8256/B")</f>
        <v>8256/B</v>
      </c>
      <c r="B1760" s="4" t="str">
        <f>IFERROR(__xludf.DUMMYFUNCTION("""COMPUTED_VALUE"""),"Blister 10 unid. adhesivo 11x15 Botiquin")</f>
        <v>Blister 10 unid. adhesivo 11x15 Botiquin</v>
      </c>
      <c r="C1760" s="4">
        <f>IFERROR(__xludf.DUMMYFUNCTION("""COMPUTED_VALUE"""),4.224)</f>
        <v>4.224</v>
      </c>
    </row>
    <row r="1761">
      <c r="A1761" s="4" t="str">
        <f>IFERROR(__xludf.DUMMYFUNCTION("""COMPUTED_VALUE"""),"8275")</f>
        <v>8275</v>
      </c>
      <c r="B1761" s="4" t="str">
        <f>IFERROR(__xludf.DUMMYFUNCTION("""COMPUTED_VALUE"""),"Adhesivo 11x15 Proh. repar.personal no autorizado")</f>
        <v>Adhesivo 11x15 Proh. repar.personal no autorizado</v>
      </c>
      <c r="C1761" s="4">
        <f>IFERROR(__xludf.DUMMYFUNCTION("""COMPUTED_VALUE"""),0.528)</f>
        <v>0.528</v>
      </c>
    </row>
    <row r="1762">
      <c r="A1762" s="4" t="str">
        <f>IFERROR(__xludf.DUMMYFUNCTION("""COMPUTED_VALUE"""),"8275/B")</f>
        <v>8275/B</v>
      </c>
      <c r="B1762" s="4" t="str">
        <f>IFERROR(__xludf.DUMMYFUNCTION("""COMPUTED_VALUE"""),"Blister 10 unid. Adhesivo 11x15 Proh. repar.personal no")</f>
        <v>Blister 10 unid. Adhesivo 11x15 Proh. repar.personal no</v>
      </c>
      <c r="C1762" s="4">
        <f>IFERROR(__xludf.DUMMYFUNCTION("""COMPUTED_VALUE"""),4.224)</f>
        <v>4.224</v>
      </c>
    </row>
    <row r="1763">
      <c r="A1763" s="4" t="str">
        <f>IFERROR(__xludf.DUMMYFUNCTION("""COMPUTED_VALUE"""),"8281")</f>
        <v>8281</v>
      </c>
      <c r="B1763" s="4" t="str">
        <f>IFERROR(__xludf.DUMMYFUNCTION("""COMPUTED_VALUE"""),"Adhesivo 11x15 Agua no potable")</f>
        <v>Adhesivo 11x15 Agua no potable</v>
      </c>
      <c r="C1763" s="4">
        <f>IFERROR(__xludf.DUMMYFUNCTION("""COMPUTED_VALUE"""),0.528)</f>
        <v>0.528</v>
      </c>
    </row>
    <row r="1764">
      <c r="A1764" s="4" t="str">
        <f>IFERROR(__xludf.DUMMYFUNCTION("""COMPUTED_VALUE"""),"8281/B")</f>
        <v>8281/B</v>
      </c>
      <c r="B1764" s="4" t="str">
        <f>IFERROR(__xludf.DUMMYFUNCTION("""COMPUTED_VALUE"""),"Blister 10 unid. Adhesivo 11x15 Agua no potable")</f>
        <v>Blister 10 unid. Adhesivo 11x15 Agua no potable</v>
      </c>
      <c r="C1764" s="4">
        <f>IFERROR(__xludf.DUMMYFUNCTION("""COMPUTED_VALUE"""),4.224)</f>
        <v>4.224</v>
      </c>
    </row>
    <row r="1765">
      <c r="A1765" s="4" t="str">
        <f>IFERROR(__xludf.DUMMYFUNCTION("""COMPUTED_VALUE"""),"8283")</f>
        <v>8283</v>
      </c>
      <c r="B1765" s="4" t="str">
        <f>IFERROR(__xludf.DUMMYFUNCTION("""COMPUTED_VALUE"""),"Adhesivo 10x15 Uso obligatorio de mascara")</f>
        <v>Adhesivo 10x15 Uso obligatorio de mascara</v>
      </c>
      <c r="C1765" s="4">
        <f>IFERROR(__xludf.DUMMYFUNCTION("""COMPUTED_VALUE"""),0.528)</f>
        <v>0.528</v>
      </c>
    </row>
    <row r="1766">
      <c r="A1766" s="4" t="str">
        <f>IFERROR(__xludf.DUMMYFUNCTION("""COMPUTED_VALUE"""),"8283/B")</f>
        <v>8283/B</v>
      </c>
      <c r="B1766" s="4" t="str">
        <f>IFERROR(__xludf.DUMMYFUNCTION("""COMPUTED_VALUE"""),"Blister 10 unid. Adhesivo 11x15 Uso obligatorio mascara")</f>
        <v>Blister 10 unid. Adhesivo 11x15 Uso obligatorio mascara</v>
      </c>
      <c r="C1766" s="4">
        <f>IFERROR(__xludf.DUMMYFUNCTION("""COMPUTED_VALUE"""),4.224)</f>
        <v>4.224</v>
      </c>
    </row>
    <row r="1767">
      <c r="A1767" s="4" t="str">
        <f>IFERROR(__xludf.DUMMYFUNCTION("""COMPUTED_VALUE"""),"8290")</f>
        <v>8290</v>
      </c>
      <c r="B1767" s="4" t="str">
        <f>IFERROR(__xludf.DUMMYFUNCTION("""COMPUTED_VALUE"""),"Adhesivo 11x15 Peligro alta tension")</f>
        <v>Adhesivo 11x15 Peligro alta tension</v>
      </c>
      <c r="C1767" s="4">
        <f>IFERROR(__xludf.DUMMYFUNCTION("""COMPUTED_VALUE"""),0.528)</f>
        <v>0.528</v>
      </c>
    </row>
    <row r="1768">
      <c r="A1768" s="4" t="str">
        <f>IFERROR(__xludf.DUMMYFUNCTION("""COMPUTED_VALUE"""),"8290/B")</f>
        <v>8290/B</v>
      </c>
      <c r="B1768" s="4" t="str">
        <f>IFERROR(__xludf.DUMMYFUNCTION("""COMPUTED_VALUE"""),"Blister 10 unid. Adhesivo 11x15 Peligro Alta Tension")</f>
        <v>Blister 10 unid. Adhesivo 11x15 Peligro Alta Tension</v>
      </c>
      <c r="C1768" s="4">
        <f>IFERROR(__xludf.DUMMYFUNCTION("""COMPUTED_VALUE"""),4.224)</f>
        <v>4.224</v>
      </c>
    </row>
    <row r="1769">
      <c r="A1769" s="4" t="str">
        <f>IFERROR(__xludf.DUMMYFUNCTION("""COMPUTED_VALUE"""),"8291")</f>
        <v>8291</v>
      </c>
      <c r="B1769" s="4" t="str">
        <f>IFERROR(__xludf.DUMMYFUNCTION("""COMPUTED_VALUE"""),"Adhesivo 11x15 Peligro no maniobrar pers.no autor.")</f>
        <v>Adhesivo 11x15 Peligro no maniobrar pers.no autor.</v>
      </c>
      <c r="C1769" s="4">
        <f>IFERROR(__xludf.DUMMYFUNCTION("""COMPUTED_VALUE"""),0.528)</f>
        <v>0.528</v>
      </c>
    </row>
    <row r="1770">
      <c r="A1770" s="4" t="str">
        <f>IFERROR(__xludf.DUMMYFUNCTION("""COMPUTED_VALUE"""),"8291/B")</f>
        <v>8291/B</v>
      </c>
      <c r="B1770" s="4" t="str">
        <f>IFERROR(__xludf.DUMMYFUNCTION("""COMPUTED_VALUE"""),"Blister 10 unid. Adhesivo 11x15 Peligro no maniobrar pers. no")</f>
        <v>Blister 10 unid. Adhesivo 11x15 Peligro no maniobrar pers. no</v>
      </c>
      <c r="C1770" s="4">
        <f>IFERROR(__xludf.DUMMYFUNCTION("""COMPUTED_VALUE"""),4.224)</f>
        <v>4.224</v>
      </c>
    </row>
    <row r="1771">
      <c r="A1771" s="4" t="str">
        <f>IFERROR(__xludf.DUMMYFUNCTION("""COMPUTED_VALUE"""),"83120N1")</f>
        <v>83120N1</v>
      </c>
      <c r="B1771" s="4" t="str">
        <f>IFERROR(__xludf.DUMMYFUNCTION("""COMPUTED_VALUE"""),"Cuadrado MOPU TS 120x120 cm Reflex I")</f>
        <v>Cuadrado MOPU TS 120x120 cm Reflex I</v>
      </c>
      <c r="C1771" s="4">
        <f>IFERROR(__xludf.DUMMYFUNCTION("""COMPUTED_VALUE"""),137.41439999999997)</f>
        <v>137.4144</v>
      </c>
    </row>
    <row r="1772">
      <c r="A1772" s="4" t="str">
        <f>IFERROR(__xludf.DUMMYFUNCTION("""COMPUTED_VALUE"""),"83120N2")</f>
        <v>83120N2</v>
      </c>
      <c r="B1772" s="4" t="str">
        <f>IFERROR(__xludf.DUMMYFUNCTION("""COMPUTED_VALUE"""),"Cuadrado MOPU TS 120x120 cm Reflex II")</f>
        <v>Cuadrado MOPU TS 120x120 cm Reflex II</v>
      </c>
      <c r="C1772" s="4">
        <f>IFERROR(__xludf.DUMMYFUNCTION("""COMPUTED_VALUE"""),192.576)</f>
        <v>192.576</v>
      </c>
    </row>
    <row r="1773">
      <c r="A1773" s="4" t="str">
        <f>IFERROR(__xludf.DUMMYFUNCTION("""COMPUTED_VALUE"""),"83120N3")</f>
        <v>83120N3</v>
      </c>
      <c r="B1773" s="4" t="str">
        <f>IFERROR(__xludf.DUMMYFUNCTION("""COMPUTED_VALUE"""),"Cuadrado MOPU TS 120x120 cm Reflex III")</f>
        <v>Cuadrado MOPU TS 120x120 cm Reflex III</v>
      </c>
      <c r="C1773" s="4">
        <f>IFERROR(__xludf.DUMMYFUNCTION("""COMPUTED_VALUE"""),293.2704)</f>
        <v>293.2704</v>
      </c>
    </row>
    <row r="1774">
      <c r="A1774" s="4" t="str">
        <f>IFERROR(__xludf.DUMMYFUNCTION("""COMPUTED_VALUE"""),"8340N1")</f>
        <v>8340N1</v>
      </c>
      <c r="B1774" s="4" t="str">
        <f>IFERROR(__xludf.DUMMYFUNCTION("""COMPUTED_VALUE"""),"Cuadrado MOPU TS 40x40 cm Reflex I")</f>
        <v>Cuadrado MOPU TS 40x40 cm Reflex I</v>
      </c>
      <c r="C1774" s="4">
        <f>IFERROR(__xludf.DUMMYFUNCTION("""COMPUTED_VALUE"""),29.759999999999998)</f>
        <v>29.76</v>
      </c>
    </row>
    <row r="1775">
      <c r="A1775" s="4" t="str">
        <f>IFERROR(__xludf.DUMMYFUNCTION("""COMPUTED_VALUE"""),"8340N2")</f>
        <v>8340N2</v>
      </c>
      <c r="B1775" s="4" t="str">
        <f>IFERROR(__xludf.DUMMYFUNCTION("""COMPUTED_VALUE"""),"Cuadrado MOPU TS 40x40 cm Reflex II")</f>
        <v>Cuadrado MOPU TS 40x40 cm Reflex II</v>
      </c>
      <c r="C1775" s="4">
        <f>IFERROR(__xludf.DUMMYFUNCTION("""COMPUTED_VALUE"""),34.56)</f>
        <v>34.56</v>
      </c>
    </row>
    <row r="1776">
      <c r="A1776" s="4" t="str">
        <f>IFERROR(__xludf.DUMMYFUNCTION("""COMPUTED_VALUE"""),"8340N3")</f>
        <v>8340N3</v>
      </c>
      <c r="B1776" s="4" t="str">
        <f>IFERROR(__xludf.DUMMYFUNCTION("""COMPUTED_VALUE"""),"Cuadrado MOPU TS 40x40 cm Reflex III")</f>
        <v>Cuadrado MOPU TS 40x40 cm Reflex III</v>
      </c>
      <c r="C1776" s="4">
        <f>IFERROR(__xludf.DUMMYFUNCTION("""COMPUTED_VALUE"""),51.839999999999996)</f>
        <v>51.84</v>
      </c>
    </row>
    <row r="1777">
      <c r="A1777" s="4" t="str">
        <f>IFERROR(__xludf.DUMMYFUNCTION("""COMPUTED_VALUE"""),"8360N1")</f>
        <v>8360N1</v>
      </c>
      <c r="B1777" s="4" t="str">
        <f>IFERROR(__xludf.DUMMYFUNCTION("""COMPUTED_VALUE"""),"Cuadrado MOPU TS 60x60 cm Reflex I")</f>
        <v>Cuadrado MOPU TS 60x60 cm Reflex I</v>
      </c>
      <c r="C1777" s="4">
        <f>IFERROR(__xludf.DUMMYFUNCTION("""COMPUTED_VALUE"""),25.919999999999998)</f>
        <v>25.92</v>
      </c>
    </row>
    <row r="1778">
      <c r="A1778" s="4" t="str">
        <f>IFERROR(__xludf.DUMMYFUNCTION("""COMPUTED_VALUE"""),"8360N2")</f>
        <v>8360N2</v>
      </c>
      <c r="B1778" s="4" t="str">
        <f>IFERROR(__xludf.DUMMYFUNCTION("""COMPUTED_VALUE"""),"Cuadrado MOPU TS 60x60 cm Reflex II")</f>
        <v>Cuadrado MOPU TS 60x60 cm Reflex II</v>
      </c>
      <c r="C1778" s="4">
        <f>IFERROR(__xludf.DUMMYFUNCTION("""COMPUTED_VALUE"""),42.48)</f>
        <v>42.48</v>
      </c>
    </row>
    <row r="1779">
      <c r="A1779" s="4" t="str">
        <f>IFERROR(__xludf.DUMMYFUNCTION("""COMPUTED_VALUE"""),"8360N3")</f>
        <v>8360N3</v>
      </c>
      <c r="B1779" s="4" t="str">
        <f>IFERROR(__xludf.DUMMYFUNCTION("""COMPUTED_VALUE"""),"Cuadrado MOPU TS 60x60 cm Reflex III")</f>
        <v>Cuadrado MOPU TS 60x60 cm Reflex III</v>
      </c>
      <c r="C1779" s="4">
        <f>IFERROR(__xludf.DUMMYFUNCTION("""COMPUTED_VALUE"""),69.84)</f>
        <v>69.84</v>
      </c>
    </row>
    <row r="1780">
      <c r="A1780" s="4" t="str">
        <f>IFERROR(__xludf.DUMMYFUNCTION("""COMPUTED_VALUE"""),"8374")</f>
        <v>8374</v>
      </c>
      <c r="B1780" s="4" t="str">
        <f>IFERROR(__xludf.DUMMYFUNCTION("""COMPUTED_VALUE"""),"Adhesivo 11x15 Riesgo de proyeccion de particulas")</f>
        <v>Adhesivo 11x15 Riesgo de proyeccion de particulas</v>
      </c>
      <c r="C1780" s="4">
        <f>IFERROR(__xludf.DUMMYFUNCTION("""COMPUTED_VALUE"""),0.528)</f>
        <v>0.528</v>
      </c>
    </row>
    <row r="1781">
      <c r="A1781" s="4" t="str">
        <f>IFERROR(__xludf.DUMMYFUNCTION("""COMPUTED_VALUE"""),"8375")</f>
        <v>8375</v>
      </c>
      <c r="B1781" s="4" t="str">
        <f>IFERROR(__xludf.DUMMYFUNCTION("""COMPUTED_VALUE"""),"Adhesivo 11x15 Peligro de incendio")</f>
        <v>Adhesivo 11x15 Peligro de incendio</v>
      </c>
      <c r="C1781" s="4">
        <f>IFERROR(__xludf.DUMMYFUNCTION("""COMPUTED_VALUE"""),0.528)</f>
        <v>0.528</v>
      </c>
    </row>
    <row r="1782">
      <c r="A1782" s="4" t="str">
        <f>IFERROR(__xludf.DUMMYFUNCTION("""COMPUTED_VALUE"""),"8381")</f>
        <v>8381</v>
      </c>
      <c r="B1782" s="4" t="str">
        <f>IFERROR(__xludf.DUMMYFUNCTION("""COMPUTED_VALUE"""),"Adhesivo 11x15 Riesgo contacto térmico")</f>
        <v>Adhesivo 11x15 Riesgo contacto térmico</v>
      </c>
      <c r="C1782" s="4">
        <f>IFERROR(__xludf.DUMMYFUNCTION("""COMPUTED_VALUE"""),0.528)</f>
        <v>0.528</v>
      </c>
    </row>
    <row r="1783">
      <c r="A1783" s="4" t="str">
        <f>IFERROR(__xludf.DUMMYFUNCTION("""COMPUTED_VALUE"""),"8382")</f>
        <v>8382</v>
      </c>
      <c r="B1783" s="4" t="str">
        <f>IFERROR(__xludf.DUMMYFUNCTION("""COMPUTED_VALUE"""),"Adhesivo 11x15 Riesgo de corte")</f>
        <v>Adhesivo 11x15 Riesgo de corte</v>
      </c>
      <c r="C1783" s="4">
        <f>IFERROR(__xludf.DUMMYFUNCTION("""COMPUTED_VALUE"""),0.528)</f>
        <v>0.528</v>
      </c>
    </row>
    <row r="1784">
      <c r="A1784" s="4" t="str">
        <f>IFERROR(__xludf.DUMMYFUNCTION("""COMPUTED_VALUE"""),"8384")</f>
        <v>8384</v>
      </c>
      <c r="B1784" s="4" t="str">
        <f>IFERROR(__xludf.DUMMYFUNCTION("""COMPUTED_VALUE"""),"Adhesivo 10x15 Uso obligatorio equipo autonomo")</f>
        <v>Adhesivo 10x15 Uso obligatorio equipo autonomo</v>
      </c>
      <c r="C1784" s="4">
        <f>IFERROR(__xludf.DUMMYFUNCTION("""COMPUTED_VALUE"""),0.528)</f>
        <v>0.528</v>
      </c>
    </row>
    <row r="1785">
      <c r="A1785" s="4" t="str">
        <f>IFERROR(__xludf.DUMMYFUNCTION("""COMPUTED_VALUE"""),"8385")</f>
        <v>8385</v>
      </c>
      <c r="B1785" s="4" t="str">
        <f>IFERROR(__xludf.DUMMYFUNCTION("""COMPUTED_VALUE"""),"Adhesivo 10x15 peligro temperatura elevada")</f>
        <v>Adhesivo 10x15 peligro temperatura elevada</v>
      </c>
      <c r="C1785" s="4">
        <f>IFERROR(__xludf.DUMMYFUNCTION("""COMPUTED_VALUE"""),0.528)</f>
        <v>0.528</v>
      </c>
    </row>
    <row r="1786">
      <c r="A1786" s="4" t="str">
        <f>IFERROR(__xludf.DUMMYFUNCTION("""COMPUTED_VALUE"""),"8385/B")</f>
        <v>8385/B</v>
      </c>
      <c r="B1786" s="4" t="str">
        <f>IFERROR(__xludf.DUMMYFUNCTION("""COMPUTED_VALUE"""),"Blístes 10 unid. Ahesivo 11x15 Temperatura Elevada")</f>
        <v>Blístes 10 unid. Ahesivo 11x15 Temperatura Elevada</v>
      </c>
      <c r="C1786" s="4">
        <f>IFERROR(__xludf.DUMMYFUNCTION("""COMPUTED_VALUE"""),4.224)</f>
        <v>4.224</v>
      </c>
    </row>
    <row r="1787">
      <c r="A1787" s="4" t="str">
        <f>IFERROR(__xludf.DUMMYFUNCTION("""COMPUTED_VALUE"""),"8390N1")</f>
        <v>8390N1</v>
      </c>
      <c r="B1787" s="4" t="str">
        <f>IFERROR(__xludf.DUMMYFUNCTION("""COMPUTED_VALUE"""),"Cuadrado MOPU TS 90x90 cm Reflex I")</f>
        <v>Cuadrado MOPU TS 90x90 cm Reflex I</v>
      </c>
      <c r="C1787" s="4">
        <f>IFERROR(__xludf.DUMMYFUNCTION("""COMPUTED_VALUE"""),91.2)</f>
        <v>91.2</v>
      </c>
    </row>
    <row r="1788">
      <c r="A1788" s="4" t="str">
        <f>IFERROR(__xludf.DUMMYFUNCTION("""COMPUTED_VALUE"""),"8390N2")</f>
        <v>8390N2</v>
      </c>
      <c r="B1788" s="4" t="str">
        <f>IFERROR(__xludf.DUMMYFUNCTION("""COMPUTED_VALUE"""),"Cuadrado MOPU TS 90x90 cm Reflex II")</f>
        <v>Cuadrado MOPU TS 90x90 cm Reflex II</v>
      </c>
      <c r="C1788" s="4">
        <f>IFERROR(__xludf.DUMMYFUNCTION("""COMPUTED_VALUE"""),125.136)</f>
        <v>125.136</v>
      </c>
    </row>
    <row r="1789">
      <c r="A1789" s="4" t="str">
        <f>IFERROR(__xludf.DUMMYFUNCTION("""COMPUTED_VALUE"""),"8390N3")</f>
        <v>8390N3</v>
      </c>
      <c r="B1789" s="4" t="str">
        <f>IFERROR(__xludf.DUMMYFUNCTION("""COMPUTED_VALUE"""),"Cuadrado MOPU TS 90x90 cm Reflex III")</f>
        <v>Cuadrado MOPU TS 90x90 cm Reflex III</v>
      </c>
      <c r="C1789" s="4">
        <f>IFERROR(__xludf.DUMMYFUNCTION("""COMPUTED_VALUE"""),150.8832)</f>
        <v>150.8832</v>
      </c>
    </row>
    <row r="1790">
      <c r="A1790" s="4" t="str">
        <f>IFERROR(__xludf.DUMMYFUNCTION("""COMPUTED_VALUE"""),"8399")</f>
        <v>8399</v>
      </c>
      <c r="B1790" s="4" t="str">
        <f>IFERROR(__xludf.DUMMYFUNCTION("""COMPUTED_VALUE"""),"Adhesivo Agles Morts 17x25 cm")</f>
        <v>Adhesivo Agles Morts 17x25 cm</v>
      </c>
      <c r="C1790" s="4">
        <f>IFERROR(__xludf.DUMMYFUNCTION("""COMPUTED_VALUE"""),5.76)</f>
        <v>5.76</v>
      </c>
    </row>
    <row r="1791">
      <c r="A1791" s="4" t="str">
        <f>IFERROR(__xludf.DUMMYFUNCTION("""COMPUTED_VALUE"""),"844060N1")</f>
        <v>844060N1</v>
      </c>
      <c r="B1791" s="4" t="str">
        <f>IFERROR(__xludf.DUMMYFUNCTION("""COMPUTED_VALUE"""),"Rectangulo MOPU TS 40x60 cm Reflex I")</f>
        <v>Rectangulo MOPU TS 40x60 cm Reflex I</v>
      </c>
      <c r="C1791" s="4">
        <f>IFERROR(__xludf.DUMMYFUNCTION("""COMPUTED_VALUE"""),35.04)</f>
        <v>35.04</v>
      </c>
    </row>
    <row r="1792">
      <c r="A1792" s="4" t="str">
        <f>IFERROR(__xludf.DUMMYFUNCTION("""COMPUTED_VALUE"""),"844060N2")</f>
        <v>844060N2</v>
      </c>
      <c r="B1792" s="4" t="str">
        <f>IFERROR(__xludf.DUMMYFUNCTION("""COMPUTED_VALUE"""),"Rectangulo MOPU TS 40X60 cm Reflex II")</f>
        <v>Rectangulo MOPU TS 40X60 cm Reflex II</v>
      </c>
      <c r="C1792" s="4">
        <f>IFERROR(__xludf.DUMMYFUNCTION("""COMPUTED_VALUE"""),40.32)</f>
        <v>40.32</v>
      </c>
    </row>
    <row r="1793">
      <c r="A1793" s="4" t="str">
        <f>IFERROR(__xludf.DUMMYFUNCTION("""COMPUTED_VALUE"""),"844060N3")</f>
        <v>844060N3</v>
      </c>
      <c r="B1793" s="4" t="str">
        <f>IFERROR(__xludf.DUMMYFUNCTION("""COMPUTED_VALUE"""),"Rectangulo MOPU TS 40X60 cm Reflex III")</f>
        <v>Rectangulo MOPU TS 40X60 cm Reflex III</v>
      </c>
      <c r="C1793" s="4">
        <f>IFERROR(__xludf.DUMMYFUNCTION("""COMPUTED_VALUE"""),60.0)</f>
        <v>60</v>
      </c>
    </row>
    <row r="1794">
      <c r="A1794" s="4" t="str">
        <f>IFERROR(__xludf.DUMMYFUNCTION("""COMPUTED_VALUE"""),"8460120N1")</f>
        <v>8460120N1</v>
      </c>
      <c r="B1794" s="4" t="str">
        <f>IFERROR(__xludf.DUMMYFUNCTION("""COMPUTED_VALUE"""),"Rectangulo MOPU TS 60x120 cm Reflex I")</f>
        <v>Rectangulo MOPU TS 60x120 cm Reflex I</v>
      </c>
      <c r="C1794" s="4">
        <f>IFERROR(__xludf.DUMMYFUNCTION("""COMPUTED_VALUE"""),105.83999999999999)</f>
        <v>105.84</v>
      </c>
    </row>
    <row r="1795">
      <c r="A1795" s="4" t="str">
        <f>IFERROR(__xludf.DUMMYFUNCTION("""COMPUTED_VALUE"""),"8460120N2")</f>
        <v>8460120N2</v>
      </c>
      <c r="B1795" s="4" t="str">
        <f>IFERROR(__xludf.DUMMYFUNCTION("""COMPUTED_VALUE"""),"Rectangulo MOPU TS 60x120 cm Reflex II")</f>
        <v>Rectangulo MOPU TS 60x120 cm Reflex II</v>
      </c>
      <c r="C1795" s="4">
        <f>IFERROR(__xludf.DUMMYFUNCTION("""COMPUTED_VALUE"""),107.52)</f>
        <v>107.52</v>
      </c>
    </row>
    <row r="1796">
      <c r="A1796" s="4" t="str">
        <f>IFERROR(__xludf.DUMMYFUNCTION("""COMPUTED_VALUE"""),"8460120N3")</f>
        <v>8460120N3</v>
      </c>
      <c r="B1796" s="4" t="str">
        <f>IFERROR(__xludf.DUMMYFUNCTION("""COMPUTED_VALUE"""),"Rectangulo MOPU TS 60x120 cm Reflex III")</f>
        <v>Rectangulo MOPU TS 60x120 cm Reflex III</v>
      </c>
      <c r="C1796" s="4">
        <f>IFERROR(__xludf.DUMMYFUNCTION("""COMPUTED_VALUE"""),157.44)</f>
        <v>157.44</v>
      </c>
    </row>
    <row r="1797">
      <c r="A1797" s="4" t="str">
        <f>IFERROR(__xludf.DUMMYFUNCTION("""COMPUTED_VALUE"""),"846090N1")</f>
        <v>846090N1</v>
      </c>
      <c r="B1797" s="4" t="str">
        <f>IFERROR(__xludf.DUMMYFUNCTION("""COMPUTED_VALUE"""),"Rectangulo MOPU TS 60x90 cm Reflex I")</f>
        <v>Rectangulo MOPU TS 60x90 cm Reflex I</v>
      </c>
      <c r="C1797" s="4">
        <f>IFERROR(__xludf.DUMMYFUNCTION("""COMPUTED_VALUE"""),42.239999999999995)</f>
        <v>42.24</v>
      </c>
    </row>
    <row r="1798">
      <c r="A1798" s="4" t="str">
        <f>IFERROR(__xludf.DUMMYFUNCTION("""COMPUTED_VALUE"""),"846090N2")</f>
        <v>846090N2</v>
      </c>
      <c r="B1798" s="4" t="str">
        <f>IFERROR(__xludf.DUMMYFUNCTION("""COMPUTED_VALUE"""),"Rectangulo MOPU TS 60x90 cm Reflex II")</f>
        <v>Rectangulo MOPU TS 60x90 cm Reflex II</v>
      </c>
      <c r="C1798" s="4">
        <f>IFERROR(__xludf.DUMMYFUNCTION("""COMPUTED_VALUE"""),84.52799999999999)</f>
        <v>84.528</v>
      </c>
    </row>
    <row r="1799">
      <c r="A1799" s="4" t="str">
        <f>IFERROR(__xludf.DUMMYFUNCTION("""COMPUTED_VALUE"""),"846090N3")</f>
        <v>846090N3</v>
      </c>
      <c r="B1799" s="4" t="str">
        <f>IFERROR(__xludf.DUMMYFUNCTION("""COMPUTED_VALUE"""),"Rectangulo MOPU TS 60x90 cm Reflex III")</f>
        <v>Rectangulo MOPU TS 60x90 cm Reflex III</v>
      </c>
      <c r="C1799" s="4">
        <f>IFERROR(__xludf.DUMMYFUNCTION("""COMPUTED_VALUE"""),111.0144)</f>
        <v>111.0144</v>
      </c>
    </row>
    <row r="1800">
      <c r="A1800" s="4" t="str">
        <f>IFERROR(__xludf.DUMMYFUNCTION("""COMPUTED_VALUE"""),"8490135N1")</f>
        <v>8490135N1</v>
      </c>
      <c r="B1800" s="4" t="str">
        <f>IFERROR(__xludf.DUMMYFUNCTION("""COMPUTED_VALUE"""),"Rectangulo MOPU TS 90x135 cm Reflex I")</f>
        <v>Rectangulo MOPU TS 90x135 cm Reflex I</v>
      </c>
      <c r="C1800" s="4">
        <f>IFERROR(__xludf.DUMMYFUNCTION("""COMPUTED_VALUE"""),110.97599999999998)</f>
        <v>110.976</v>
      </c>
    </row>
    <row r="1801">
      <c r="A1801" s="4" t="str">
        <f>IFERROR(__xludf.DUMMYFUNCTION("""COMPUTED_VALUE"""),"8490135N2")</f>
        <v>8490135N2</v>
      </c>
      <c r="B1801" s="4" t="str">
        <f>IFERROR(__xludf.DUMMYFUNCTION("""COMPUTED_VALUE"""),"Rectangulo MOPU TS 90x135 cm Reflex II")</f>
        <v>Rectangulo MOPU TS 90x135 cm Reflex II</v>
      </c>
      <c r="C1801" s="4">
        <f>IFERROR(__xludf.DUMMYFUNCTION("""COMPUTED_VALUE"""),183.1488)</f>
        <v>183.1488</v>
      </c>
    </row>
    <row r="1802">
      <c r="A1802" s="4" t="str">
        <f>IFERROR(__xludf.DUMMYFUNCTION("""COMPUTED_VALUE"""),"8490135N3")</f>
        <v>8490135N3</v>
      </c>
      <c r="B1802" s="4" t="str">
        <f>IFERROR(__xludf.DUMMYFUNCTION("""COMPUTED_VALUE"""),"Rectangulo MOPU TS 90x135 cm Reflex III")</f>
        <v>Rectangulo MOPU TS 90x135 cm Reflex III</v>
      </c>
      <c r="C1802" s="4">
        <f>IFERROR(__xludf.DUMMYFUNCTION("""COMPUTED_VALUE"""),247.57439999999997)</f>
        <v>247.5744</v>
      </c>
    </row>
    <row r="1803">
      <c r="A1803" s="4" t="str">
        <f>IFERROR(__xludf.DUMMYFUNCTION("""COMPUTED_VALUE"""),"8500N")</f>
        <v>8500N</v>
      </c>
      <c r="B1803" s="4" t="str">
        <f>IFERROR(__xludf.DUMMYFUNCTION("""COMPUTED_VALUE"""),"Señal 30 cm metálica Triangular Normal")</f>
        <v>Señal 30 cm metálica Triangular Normal</v>
      </c>
      <c r="C1803" s="4">
        <f>IFERROR(__xludf.DUMMYFUNCTION("""COMPUTED_VALUE"""),7.92)</f>
        <v>7.92</v>
      </c>
    </row>
    <row r="1804">
      <c r="A1804" s="4" t="str">
        <f>IFERROR(__xludf.DUMMYFUNCTION("""COMPUTED_VALUE"""),"8500N1")</f>
        <v>8500N1</v>
      </c>
      <c r="B1804" s="4" t="str">
        <f>IFERROR(__xludf.DUMMYFUNCTION("""COMPUTED_VALUE"""),"Señal 30 cm metálica Triangular Nivel 1")</f>
        <v>Señal 30 cm metálica Triangular Nivel 1</v>
      </c>
      <c r="C1804" s="4">
        <f>IFERROR(__xludf.DUMMYFUNCTION("""COMPUTED_VALUE"""),8.879999999999999)</f>
        <v>8.88</v>
      </c>
    </row>
    <row r="1805">
      <c r="A1805" s="4" t="str">
        <f>IFERROR(__xludf.DUMMYFUNCTION("""COMPUTED_VALUE"""),"854020N1")</f>
        <v>854020N1</v>
      </c>
      <c r="B1805" s="4" t="str">
        <f>IFERROR(__xludf.DUMMYFUNCTION("""COMPUTED_VALUE"""),"Cajetin MOPU TS 40x20 cm Reflex I")</f>
        <v>Cajetin MOPU TS 40x20 cm Reflex I</v>
      </c>
      <c r="C1805" s="4">
        <f>IFERROR(__xludf.DUMMYFUNCTION("""COMPUTED_VALUE"""),15.206399999999999)</f>
        <v>15.2064</v>
      </c>
    </row>
    <row r="1806">
      <c r="A1806" s="4" t="str">
        <f>IFERROR(__xludf.DUMMYFUNCTION("""COMPUTED_VALUE"""),"854020N2")</f>
        <v>854020N2</v>
      </c>
      <c r="B1806" s="4" t="str">
        <f>IFERROR(__xludf.DUMMYFUNCTION("""COMPUTED_VALUE"""),"Cajetin MOPU TS 40x20 cm Reflex II")</f>
        <v>Cajetin MOPU TS 40x20 cm Reflex II</v>
      </c>
      <c r="C1806" s="4">
        <f>IFERROR(__xludf.DUMMYFUNCTION("""COMPUTED_VALUE"""),22.08)</f>
        <v>22.08</v>
      </c>
    </row>
    <row r="1807">
      <c r="A1807" s="4" t="str">
        <f>IFERROR(__xludf.DUMMYFUNCTION("""COMPUTED_VALUE"""),"854020N3")</f>
        <v>854020N3</v>
      </c>
      <c r="B1807" s="4" t="str">
        <f>IFERROR(__xludf.DUMMYFUNCTION("""COMPUTED_VALUE"""),"Cajetin MOPU TS 40x20 cm Reflex III")</f>
        <v>Cajetin MOPU TS 40x20 cm Reflex III</v>
      </c>
      <c r="C1807" s="4">
        <f>IFERROR(__xludf.DUMMYFUNCTION("""COMPUTED_VALUE"""),27.1872)</f>
        <v>27.1872</v>
      </c>
    </row>
    <row r="1808">
      <c r="A1808" s="4" t="str">
        <f>IFERROR(__xludf.DUMMYFUNCTION("""COMPUTED_VALUE"""),"856020N1")</f>
        <v>856020N1</v>
      </c>
      <c r="B1808" s="4" t="str">
        <f>IFERROR(__xludf.DUMMYFUNCTION("""COMPUTED_VALUE"""),"Cajetin MOPU TS 60x20 cm Reflex I")</f>
        <v>Cajetin MOPU TS 60x20 cm Reflex I</v>
      </c>
      <c r="C1808" s="4">
        <f>IFERROR(__xludf.DUMMYFUNCTION("""COMPUTED_VALUE"""),20.16)</f>
        <v>20.16</v>
      </c>
    </row>
    <row r="1809">
      <c r="A1809" s="4" t="str">
        <f>IFERROR(__xludf.DUMMYFUNCTION("""COMPUTED_VALUE"""),"856030N1")</f>
        <v>856030N1</v>
      </c>
      <c r="B1809" s="4" t="str">
        <f>IFERROR(__xludf.DUMMYFUNCTION("""COMPUTED_VALUE"""),"Cajetin MOPU TS 60x30 cm Reflex I")</f>
        <v>Cajetin MOPU TS 60x30 cm Reflex I</v>
      </c>
      <c r="C1809" s="4">
        <f>IFERROR(__xludf.DUMMYFUNCTION("""COMPUTED_VALUE"""),20.4)</f>
        <v>20.4</v>
      </c>
    </row>
    <row r="1810">
      <c r="A1810" s="4" t="str">
        <f>IFERROR(__xludf.DUMMYFUNCTION("""COMPUTED_VALUE"""),"856030N2")</f>
        <v>856030N2</v>
      </c>
      <c r="B1810" s="4" t="str">
        <f>IFERROR(__xludf.DUMMYFUNCTION("""COMPUTED_VALUE"""),"Cajetin MOPU TS 60x30 cm Reflex II")</f>
        <v>Cajetin MOPU TS 60x30 cm Reflex II</v>
      </c>
      <c r="C1810" s="4">
        <f>IFERROR(__xludf.DUMMYFUNCTION("""COMPUTED_VALUE"""),35.0688)</f>
        <v>35.0688</v>
      </c>
    </row>
    <row r="1811">
      <c r="A1811" s="4" t="str">
        <f>IFERROR(__xludf.DUMMYFUNCTION("""COMPUTED_VALUE"""),"856030N3")</f>
        <v>856030N3</v>
      </c>
      <c r="B1811" s="4" t="str">
        <f>IFERROR(__xludf.DUMMYFUNCTION("""COMPUTED_VALUE"""),"Cajetin MOPU TS 60x30 cm Reflex III")</f>
        <v>Cajetin MOPU TS 60x30 cm Reflex III</v>
      </c>
      <c r="C1811" s="4">
        <f>IFERROR(__xludf.DUMMYFUNCTION("""COMPUTED_VALUE"""),44.4)</f>
        <v>44.4</v>
      </c>
    </row>
    <row r="1812">
      <c r="A1812" s="4" t="str">
        <f>IFERROR(__xludf.DUMMYFUNCTION("""COMPUTED_VALUE"""),"8600N")</f>
        <v>8600N</v>
      </c>
      <c r="B1812" s="4" t="str">
        <f>IFERROR(__xludf.DUMMYFUNCTION("""COMPUTED_VALUE"""),"Señal 30 cm metálica Circular Normal")</f>
        <v>Señal 30 cm metálica Circular Normal</v>
      </c>
      <c r="C1812" s="4">
        <f>IFERROR(__xludf.DUMMYFUNCTION("""COMPUTED_VALUE"""),7.92)</f>
        <v>7.92</v>
      </c>
    </row>
    <row r="1813">
      <c r="A1813" s="4" t="str">
        <f>IFERROR(__xludf.DUMMYFUNCTION("""COMPUTED_VALUE"""),"8600N1")</f>
        <v>8600N1</v>
      </c>
      <c r="B1813" s="4" t="str">
        <f>IFERROR(__xludf.DUMMYFUNCTION("""COMPUTED_VALUE"""),"Señal 30 cm metálica Circular Nivel 1")</f>
        <v>Señal 30 cm metálica Circular Nivel 1</v>
      </c>
      <c r="C1813" s="4">
        <f>IFERROR(__xludf.DUMMYFUNCTION("""COMPUTED_VALUE"""),8.879999999999999)</f>
        <v>8.88</v>
      </c>
    </row>
    <row r="1814">
      <c r="A1814" s="4" t="str">
        <f>IFERROR(__xludf.DUMMYFUNCTION("""COMPUTED_VALUE"""),"8700N")</f>
        <v>8700N</v>
      </c>
      <c r="B1814" s="4" t="str">
        <f>IFERROR(__xludf.DUMMYFUNCTION("""COMPUTED_VALUE"""),"Señal 30 cm metálica Cuadrado Normal")</f>
        <v>Señal 30 cm metálica Cuadrado Normal</v>
      </c>
      <c r="C1814" s="4">
        <f>IFERROR(__xludf.DUMMYFUNCTION("""COMPUTED_VALUE"""),7.92)</f>
        <v>7.92</v>
      </c>
    </row>
    <row r="1815">
      <c r="A1815" s="4" t="str">
        <f>IFERROR(__xludf.DUMMYFUNCTION("""COMPUTED_VALUE"""),"8700N1")</f>
        <v>8700N1</v>
      </c>
      <c r="B1815" s="4" t="str">
        <f>IFERROR(__xludf.DUMMYFUNCTION("""COMPUTED_VALUE"""),"Señal 30 cm metálica Rectangular Nivel 1")</f>
        <v>Señal 30 cm metálica Rectangular Nivel 1</v>
      </c>
      <c r="C1815" s="4">
        <f>IFERROR(__xludf.DUMMYFUNCTION("""COMPUTED_VALUE"""),8.879999999999999)</f>
        <v>8.88</v>
      </c>
    </row>
    <row r="1816">
      <c r="A1816" s="4" t="str">
        <f>IFERROR(__xludf.DUMMYFUNCTION("""COMPUTED_VALUE"""),"8716545N1")</f>
        <v>8716545N1</v>
      </c>
      <c r="B1816" s="4" t="str">
        <f>IFERROR(__xludf.DUMMYFUNCTION("""COMPUTED_VALUE"""),"Panel direccional estrecho R/B TB-2 165x45 cm Reflex I")</f>
        <v>Panel direccional estrecho R/B TB-2 165x45 cm Reflex I</v>
      </c>
      <c r="C1816" s="4">
        <f>IFERROR(__xludf.DUMMYFUNCTION("""COMPUTED_VALUE"""),71.6832)</f>
        <v>71.6832</v>
      </c>
    </row>
    <row r="1817">
      <c r="A1817" s="4" t="str">
        <f>IFERROR(__xludf.DUMMYFUNCTION("""COMPUTED_VALUE"""),"8716545N2")</f>
        <v>8716545N2</v>
      </c>
      <c r="B1817" s="4" t="str">
        <f>IFERROR(__xludf.DUMMYFUNCTION("""COMPUTED_VALUE"""),"Panel direccional estrecho R/B TB-2 165x45 cm Reflex II")</f>
        <v>Panel direccional estrecho R/B TB-2 165x45 cm Reflex II</v>
      </c>
      <c r="C1817" s="4">
        <f>IFERROR(__xludf.DUMMYFUNCTION("""COMPUTED_VALUE"""),86.16)</f>
        <v>86.16</v>
      </c>
    </row>
    <row r="1818">
      <c r="A1818" s="4" t="str">
        <f>IFERROR(__xludf.DUMMYFUNCTION("""COMPUTED_VALUE"""),"8716545N3")</f>
        <v>8716545N3</v>
      </c>
      <c r="B1818" s="4" t="str">
        <f>IFERROR(__xludf.DUMMYFUNCTION("""COMPUTED_VALUE"""),"Panle direccional estrecho R/B TB-2 165x45 cm Reflex III")</f>
        <v>Panle direccional estrecho R/B TB-2 165x45 cm Reflex III</v>
      </c>
      <c r="C1818" s="4">
        <f>IFERROR(__xludf.DUMMYFUNCTION("""COMPUTED_VALUE"""),119.6928)</f>
        <v>119.6928</v>
      </c>
    </row>
    <row r="1819">
      <c r="A1819" s="4" t="str">
        <f>IFERROR(__xludf.DUMMYFUNCTION("""COMPUTED_VALUE"""),"8719595N1")</f>
        <v>8719595N1</v>
      </c>
      <c r="B1819" s="4" t="str">
        <f>IFERROR(__xludf.DUMMYFUNCTION("""COMPUTED_VALUE"""),"Panel direccional alto R/B TB-1 195x95 cm Reflex I")</f>
        <v>Panel direccional alto R/B TB-1 195x95 cm Reflex I</v>
      </c>
      <c r="C1819" s="4">
        <f>IFERROR(__xludf.DUMMYFUNCTION("""COMPUTED_VALUE"""),198.576)</f>
        <v>198.576</v>
      </c>
    </row>
    <row r="1820">
      <c r="A1820" s="4" t="str">
        <f>IFERROR(__xludf.DUMMYFUNCTION("""COMPUTED_VALUE"""),"8719595N2")</f>
        <v>8719595N2</v>
      </c>
      <c r="B1820" s="4" t="str">
        <f>IFERROR(__xludf.DUMMYFUNCTION("""COMPUTED_VALUE"""),"Panel direccional alto R/B TB-1 195x95 cm Reflex II")</f>
        <v>Panel direccional alto R/B TB-1 195x95 cm Reflex II</v>
      </c>
      <c r="C1820" s="4">
        <f>IFERROR(__xludf.DUMMYFUNCTION("""COMPUTED_VALUE"""),231.35999999999999)</f>
        <v>231.36</v>
      </c>
    </row>
    <row r="1821">
      <c r="A1821" s="4" t="str">
        <f>IFERROR(__xludf.DUMMYFUNCTION("""COMPUTED_VALUE"""),"8719595N3")</f>
        <v>8719595N3</v>
      </c>
      <c r="B1821" s="4" t="str">
        <f>IFERROR(__xludf.DUMMYFUNCTION("""COMPUTED_VALUE"""),"Panel direccional alto R/B TB-1 195x95 cm Reflex III")</f>
        <v>Panel direccional alto R/B TB-1 195x95 cm Reflex III</v>
      </c>
      <c r="C1821" s="4">
        <f>IFERROR(__xludf.DUMMYFUNCTION("""COMPUTED_VALUE"""),307.632)</f>
        <v>307.632</v>
      </c>
    </row>
    <row r="1822">
      <c r="A1822" s="4" t="str">
        <f>IFERROR(__xludf.DUMMYFUNCTION("""COMPUTED_VALUE"""),"878040N1")</f>
        <v>878040N1</v>
      </c>
      <c r="B1822" s="4" t="str">
        <f>IFERROR(__xludf.DUMMYFUNCTION("""COMPUTED_VALUE"""),"Panel direccional estrecho R/B TB-2 80x40 cm Reflex I")</f>
        <v>Panel direccional estrecho R/B TB-2 80x40 cm Reflex I</v>
      </c>
      <c r="C1822" s="4">
        <f>IFERROR(__xludf.DUMMYFUNCTION("""COMPUTED_VALUE"""),41.28)</f>
        <v>41.28</v>
      </c>
    </row>
    <row r="1823">
      <c r="A1823" s="4" t="str">
        <f>IFERROR(__xludf.DUMMYFUNCTION("""COMPUTED_VALUE"""),"878040N2")</f>
        <v>878040N2</v>
      </c>
      <c r="B1823" s="4" t="str">
        <f>IFERROR(__xludf.DUMMYFUNCTION("""COMPUTED_VALUE"""),"Panel direccional estrecho R/B TB-2 80x40 cm Reflex II")</f>
        <v>Panel direccional estrecho R/B TB-2 80x40 cm Reflex II</v>
      </c>
      <c r="C1823" s="4">
        <f>IFERROR(__xludf.DUMMYFUNCTION("""COMPUTED_VALUE"""),63.552)</f>
        <v>63.552</v>
      </c>
    </row>
    <row r="1824">
      <c r="A1824" s="4" t="str">
        <f>IFERROR(__xludf.DUMMYFUNCTION("""COMPUTED_VALUE"""),"878040N3")</f>
        <v>878040N3</v>
      </c>
      <c r="B1824" s="4" t="str">
        <f>IFERROR(__xludf.DUMMYFUNCTION("""COMPUTED_VALUE"""),"Panel direccional estrecho R/B TB-2 80x40 cm Reflex III")</f>
        <v>Panel direccional estrecho R/B TB-2 80x40 cm Reflex III</v>
      </c>
      <c r="C1824" s="4">
        <f>IFERROR(__xludf.DUMMYFUNCTION("""COMPUTED_VALUE"""),78.144)</f>
        <v>78.144</v>
      </c>
    </row>
    <row r="1825">
      <c r="A1825" s="4" t="str">
        <f>IFERROR(__xludf.DUMMYFUNCTION("""COMPUTED_VALUE"""),"8800N")</f>
        <v>8800N</v>
      </c>
      <c r="B1825" s="4" t="str">
        <f>IFERROR(__xludf.DUMMYFUNCTION("""COMPUTED_VALUE"""),"Señal 30 cm metálica STOP Normal")</f>
        <v>Señal 30 cm metálica STOP Normal</v>
      </c>
      <c r="C1825" s="4">
        <f>IFERROR(__xludf.DUMMYFUNCTION("""COMPUTED_VALUE"""),7.92)</f>
        <v>7.92</v>
      </c>
    </row>
    <row r="1826">
      <c r="A1826" s="4" t="str">
        <f>IFERROR(__xludf.DUMMYFUNCTION("""COMPUTED_VALUE"""),"8800N1")</f>
        <v>8800N1</v>
      </c>
      <c r="B1826" s="4" t="str">
        <f>IFERROR(__xludf.DUMMYFUNCTION("""COMPUTED_VALUE"""),"Señal 30 cm metálica STOP Nivel 1")</f>
        <v>Señal 30 cm metálica STOP Nivel 1</v>
      </c>
      <c r="C1826" s="4">
        <f>IFERROR(__xludf.DUMMYFUNCTION("""COMPUTED_VALUE"""),8.879999999999999)</f>
        <v>8.88</v>
      </c>
    </row>
    <row r="1827">
      <c r="A1827" s="4" t="str">
        <f>IFERROR(__xludf.DUMMYFUNCTION("""COMPUTED_VALUE"""),"88140251")</f>
        <v>88140251</v>
      </c>
      <c r="B1827" s="4" t="str">
        <f>IFERROR(__xludf.DUMMYFUNCTION("""COMPUTED_VALUE"""),"Valla movil para obras TB-5")</f>
        <v>Valla movil para obras TB-5</v>
      </c>
      <c r="C1827" s="4">
        <f>IFERROR(__xludf.DUMMYFUNCTION("""COMPUTED_VALUE"""),77.712)</f>
        <v>77.712</v>
      </c>
    </row>
    <row r="1828">
      <c r="A1828" s="4" t="str">
        <f>IFERROR(__xludf.DUMMYFUNCTION("""COMPUTED_VALUE"""),"8819560N1")</f>
        <v>8819560N1</v>
      </c>
      <c r="B1828" s="4" t="str">
        <f>IFERROR(__xludf.DUMMYFUNCTION("""COMPUTED_VALUE"""),"Panel Hastial 195x60 cm Reflex I 50%")</f>
        <v>Panel Hastial 195x60 cm Reflex I 50%</v>
      </c>
      <c r="C1828" s="4">
        <f>IFERROR(__xludf.DUMMYFUNCTION("""COMPUTED_VALUE"""),128.64)</f>
        <v>128.64</v>
      </c>
    </row>
    <row r="1829">
      <c r="A1829" s="4" t="str">
        <f>IFERROR(__xludf.DUMMYFUNCTION("""COMPUTED_VALUE"""),"883010N1")</f>
        <v>883010N1</v>
      </c>
      <c r="B1829" s="4" t="str">
        <f>IFERROR(__xludf.DUMMYFUNCTION("""COMPUTED_VALUE"""),"Piqueta 30x10 cm TB-7 NI")</f>
        <v>Piqueta 30x10 cm TB-7 NI</v>
      </c>
      <c r="C1829" s="4">
        <f>IFERROR(__xludf.DUMMYFUNCTION("""COMPUTED_VALUE"""),11.28)</f>
        <v>11.28</v>
      </c>
    </row>
    <row r="1830">
      <c r="A1830" s="4" t="str">
        <f>IFERROR(__xludf.DUMMYFUNCTION("""COMPUTED_VALUE"""),"884030N1")</f>
        <v>884030N1</v>
      </c>
      <c r="B1830" s="4" t="str">
        <f>IFERROR(__xludf.DUMMYFUNCTION("""COMPUTED_VALUE"""),"Plac 40x30 cm Escalon Lateral c/piqueta Reflex")</f>
        <v>Plac 40x30 cm Escalon Lateral c/piqueta Reflex</v>
      </c>
      <c r="C1830" s="4">
        <f>IFERROR(__xludf.DUMMYFUNCTION("""COMPUTED_VALUE"""),23.328)</f>
        <v>23.328</v>
      </c>
    </row>
    <row r="1831">
      <c r="A1831" s="4" t="str">
        <f>IFERROR(__xludf.DUMMYFUNCTION("""COMPUTED_VALUE"""),"8840N1")</f>
        <v>8840N1</v>
      </c>
      <c r="B1831" s="4" t="str">
        <f>IFERROR(__xludf.DUMMYFUNCTION("""COMPUTED_VALUE"""),"Piqueta 40 cm de jalonamiento TB-11 Reflex")</f>
        <v>Piqueta 40 cm de jalonamiento TB-11 Reflex</v>
      </c>
      <c r="C1831" s="4">
        <f>IFERROR(__xludf.DUMMYFUNCTION("""COMPUTED_VALUE"""),8.448)</f>
        <v>8.448</v>
      </c>
    </row>
    <row r="1832">
      <c r="A1832" s="4" t="str">
        <f>IFERROR(__xludf.DUMMYFUNCTION("""COMPUTED_VALUE"""),"887015DN1")</f>
        <v>887015DN1</v>
      </c>
      <c r="B1832" s="4" t="str">
        <f>IFERROR(__xludf.DUMMYFUNCTION("""COMPUTED_VALUE"""),"Baliza de señalizacion obra TB-8 NI Derecha")</f>
        <v>Baliza de señalizacion obra TB-8 NI Derecha</v>
      </c>
      <c r="C1832" s="4">
        <f>IFERROR(__xludf.DUMMYFUNCTION("""COMPUTED_VALUE"""),37.68)</f>
        <v>37.68</v>
      </c>
    </row>
    <row r="1833">
      <c r="A1833" s="4" t="str">
        <f>IFERROR(__xludf.DUMMYFUNCTION("""COMPUTED_VALUE"""),"887015IN1")</f>
        <v>887015IN1</v>
      </c>
      <c r="B1833" s="4" t="str">
        <f>IFERROR(__xludf.DUMMYFUNCTION("""COMPUTED_VALUE"""),"Baliza de señalizacion obra TB-9 NI Izquierda")</f>
        <v>Baliza de señalizacion obra TB-9 NI Izquierda</v>
      </c>
      <c r="C1833" s="4">
        <f>IFERROR(__xludf.DUMMYFUNCTION("""COMPUTED_VALUE"""),37.68)</f>
        <v>37.68</v>
      </c>
    </row>
    <row r="1834">
      <c r="A1834" s="4" t="str">
        <f>IFERROR(__xludf.DUMMYFUNCTION("""COMPUTED_VALUE"""),"889530N1")</f>
        <v>889530N1</v>
      </c>
      <c r="B1834" s="4" t="str">
        <f>IFERROR(__xludf.DUMMYFUNCTION("""COMPUTED_VALUE"""),"Panel Hastial 95x30 cm Reflex I 50%")</f>
        <v>Panel Hastial 95x30 cm Reflex I 50%</v>
      </c>
      <c r="C1834" s="4">
        <f>IFERROR(__xludf.DUMMYFUNCTION("""COMPUTED_VALUE"""),55.68)</f>
        <v>55.68</v>
      </c>
    </row>
    <row r="1835">
      <c r="A1835" s="4" t="str">
        <f>IFERROR(__xludf.DUMMYFUNCTION("""COMPUTED_VALUE"""),"889530N2")</f>
        <v>889530N2</v>
      </c>
      <c r="B1835" s="4" t="str">
        <f>IFERROR(__xludf.DUMMYFUNCTION("""COMPUTED_VALUE"""),"Panel Hastial 95x30 cm Reflex II 50%")</f>
        <v>Panel Hastial 95x30 cm Reflex II 50%</v>
      </c>
      <c r="C1835" s="4">
        <f>IFERROR(__xludf.DUMMYFUNCTION("""COMPUTED_VALUE"""),66.24)</f>
        <v>66.24</v>
      </c>
    </row>
    <row r="1836">
      <c r="A1836" s="4" t="str">
        <f>IFERROR(__xludf.DUMMYFUNCTION("""COMPUTED_VALUE"""),"9000")</f>
        <v>9000</v>
      </c>
      <c r="B1836" s="4" t="str">
        <f>IFERROR(__xludf.DUMMYFUNCTION("""COMPUTED_VALUE"""),"Reductor velocidad 60x50x4.5 cm Mod. G")</f>
        <v>Reductor velocidad 60x50x4.5 cm Mod. G</v>
      </c>
      <c r="C1836" s="4">
        <f>IFERROR(__xludf.DUMMYFUNCTION("""COMPUTED_VALUE"""),20.4)</f>
        <v>20.4</v>
      </c>
    </row>
    <row r="1837">
      <c r="A1837" s="4" t="str">
        <f>IFERROR(__xludf.DUMMYFUNCTION("""COMPUTED_VALUE"""),"9001")</f>
        <v>9001</v>
      </c>
      <c r="B1837" s="4" t="str">
        <f>IFERROR(__xludf.DUMMYFUNCTION("""COMPUTED_VALUE"""),"Extremo reductor veloc. 60x25x4,5 cm Mod. G")</f>
        <v>Extremo reductor veloc. 60x25x4,5 cm Mod. G</v>
      </c>
      <c r="C1837" s="4">
        <f>IFERROR(__xludf.DUMMYFUNCTION("""COMPUTED_VALUE"""),13.2)</f>
        <v>13.2</v>
      </c>
    </row>
    <row r="1838">
      <c r="A1838" s="4" t="str">
        <f>IFERROR(__xludf.DUMMYFUNCTION("""COMPUTED_VALUE"""),"9004")</f>
        <v>9004</v>
      </c>
      <c r="B1838" s="4" t="str">
        <f>IFERROR(__xludf.DUMMYFUNCTION("""COMPUTED_VALUE"""),"Reductor velocidad 40x50x4.5 cm Mod. F")</f>
        <v>Reductor velocidad 40x50x4.5 cm Mod. F</v>
      </c>
      <c r="C1838" s="4">
        <f>IFERROR(__xludf.DUMMYFUNCTION("""COMPUTED_VALUE"""),17.616)</f>
        <v>17.616</v>
      </c>
    </row>
    <row r="1839">
      <c r="A1839" s="4" t="str">
        <f>IFERROR(__xludf.DUMMYFUNCTION("""COMPUTED_VALUE"""),"9005")</f>
        <v>9005</v>
      </c>
      <c r="B1839" s="4" t="str">
        <f>IFERROR(__xludf.DUMMYFUNCTION("""COMPUTED_VALUE"""),"Extremo reductor veloc. 40x25x4.5 cm Mod. F")</f>
        <v>Extremo reductor veloc. 40x25x4.5 cm Mod. F</v>
      </c>
      <c r="C1839" s="4">
        <f>IFERROR(__xludf.DUMMYFUNCTION("""COMPUTED_VALUE"""),12.24)</f>
        <v>12.24</v>
      </c>
    </row>
    <row r="1840">
      <c r="A1840" s="4" t="str">
        <f>IFERROR(__xludf.DUMMYFUNCTION("""COMPUTED_VALUE"""),"9006")</f>
        <v>9006</v>
      </c>
      <c r="B1840" s="4" t="str">
        <f>IFERROR(__xludf.DUMMYFUNCTION("""COMPUTED_VALUE"""),"Reductor velocidad 30x33x4 cm Mod. E")</f>
        <v>Reductor velocidad 30x33x4 cm Mod. E</v>
      </c>
      <c r="C1840" s="4">
        <f>IFERROR(__xludf.DUMMYFUNCTION("""COMPUTED_VALUE"""),14.064)</f>
        <v>14.064</v>
      </c>
    </row>
    <row r="1841">
      <c r="A1841" s="4" t="str">
        <f>IFERROR(__xludf.DUMMYFUNCTION("""COMPUTED_VALUE"""),"9007")</f>
        <v>9007</v>
      </c>
      <c r="B1841" s="4" t="str">
        <f>IFERROR(__xludf.DUMMYFUNCTION("""COMPUTED_VALUE"""),"Extremo reductor velocid. 30x15x4 cm Mod. E")</f>
        <v>Extremo reductor velocid. 30x15x4 cm Mod. E</v>
      </c>
      <c r="C1841" s="4">
        <f>IFERROR(__xludf.DUMMYFUNCTION("""COMPUTED_VALUE"""),9.024)</f>
        <v>9.024</v>
      </c>
    </row>
    <row r="1842">
      <c r="A1842" s="4" t="str">
        <f>IFERROR(__xludf.DUMMYFUNCTION("""COMPUTED_VALUE"""),"9008")</f>
        <v>9008</v>
      </c>
      <c r="B1842" s="4" t="str">
        <f>IFERROR(__xludf.DUMMYFUNCTION("""COMPUTED_VALUE"""),"Reductor velocidad 90x50x5 cm Mod. H")</f>
        <v>Reductor velocidad 90x50x5 cm Mod. H</v>
      </c>
      <c r="C1842" s="4">
        <f>IFERROR(__xludf.DUMMYFUNCTION("""COMPUTED_VALUE"""),36.192)</f>
        <v>36.192</v>
      </c>
    </row>
    <row r="1843">
      <c r="A1843" s="4" t="str">
        <f>IFERROR(__xludf.DUMMYFUNCTION("""COMPUTED_VALUE"""),"9009")</f>
        <v>9009</v>
      </c>
      <c r="B1843" s="4" t="str">
        <f>IFERROR(__xludf.DUMMYFUNCTION("""COMPUTED_VALUE"""),"Extremo reductor veloc. 90x25x5 cm Mod. H")</f>
        <v>Extremo reductor veloc. 90x25x5 cm Mod. H</v>
      </c>
      <c r="C1843" s="4">
        <f>IFERROR(__xludf.DUMMYFUNCTION("""COMPUTED_VALUE"""),20.4)</f>
        <v>20.4</v>
      </c>
    </row>
    <row r="1844">
      <c r="A1844" s="4" t="str">
        <f>IFERROR(__xludf.DUMMYFUNCTION("""COMPUTED_VALUE"""),"9010")</f>
        <v>9010</v>
      </c>
      <c r="B1844" s="4" t="str">
        <f>IFERROR(__xludf.DUMMYFUNCTION("""COMPUTED_VALUE"""),"Reductor velocidad High impact Amarillo")</f>
        <v>Reductor velocidad High impact Amarillo</v>
      </c>
      <c r="C1844" s="4">
        <f>IFERROR(__xludf.DUMMYFUNCTION("""COMPUTED_VALUE"""),13.44)</f>
        <v>13.44</v>
      </c>
    </row>
    <row r="1845">
      <c r="A1845" s="4" t="str">
        <f>IFERROR(__xludf.DUMMYFUNCTION("""COMPUTED_VALUE"""),"9011")</f>
        <v>9011</v>
      </c>
      <c r="B1845" s="4" t="str">
        <f>IFERROR(__xludf.DUMMYFUNCTION("""COMPUTED_VALUE"""),"Reductor velocidad High impact Negro")</f>
        <v>Reductor velocidad High impact Negro</v>
      </c>
      <c r="C1845" s="4">
        <f>IFERROR(__xludf.DUMMYFUNCTION("""COMPUTED_VALUE"""),13.44)</f>
        <v>13.44</v>
      </c>
    </row>
    <row r="1846">
      <c r="A1846" s="4" t="str">
        <f>IFERROR(__xludf.DUMMYFUNCTION("""COMPUTED_VALUE"""),"9012")</f>
        <v>9012</v>
      </c>
      <c r="B1846" s="4" t="str">
        <f>IFERROR(__xludf.DUMMYFUNCTION("""COMPUTED_VALUE"""),"Extremo reductor velocidad High Impact amarillo")</f>
        <v>Extremo reductor velocidad High Impact amarillo</v>
      </c>
      <c r="C1846" s="4">
        <f>IFERROR(__xludf.DUMMYFUNCTION("""COMPUTED_VALUE"""),4.32)</f>
        <v>4.32</v>
      </c>
    </row>
    <row r="1847">
      <c r="A1847" s="4" t="str">
        <f>IFERROR(__xludf.DUMMYFUNCTION("""COMPUTED_VALUE"""),"9013")</f>
        <v>9013</v>
      </c>
      <c r="B1847" s="4" t="str">
        <f>IFERROR(__xludf.DUMMYFUNCTION("""COMPUTED_VALUE"""),"Extremo reductor velocidad High Impact negro")</f>
        <v>Extremo reductor velocidad High Impact negro</v>
      </c>
      <c r="C1847" s="4">
        <f>IFERROR(__xludf.DUMMYFUNCTION("""COMPUTED_VALUE"""),4.32)</f>
        <v>4.32</v>
      </c>
    </row>
    <row r="1848">
      <c r="A1848" s="4" t="str">
        <f>IFERROR(__xludf.DUMMYFUNCTION("""COMPUTED_VALUE"""),"90135N")</f>
        <v>90135N</v>
      </c>
      <c r="B1848" s="4" t="str">
        <f>IFERROR(__xludf.DUMMYFUNCTION("""COMPUTED_VALUE"""),"Señal MOPU T.D. 135 cm N")</f>
        <v>Señal MOPU T.D. 135 cm N</v>
      </c>
      <c r="C1848" s="4">
        <f>IFERROR(__xludf.DUMMYFUNCTION("""COMPUTED_VALUE"""),86.4288)</f>
        <v>86.4288</v>
      </c>
    </row>
    <row r="1849">
      <c r="A1849" s="4" t="str">
        <f>IFERROR(__xludf.DUMMYFUNCTION("""COMPUTED_VALUE"""),"90135N1")</f>
        <v>90135N1</v>
      </c>
      <c r="B1849" s="4" t="str">
        <f>IFERROR(__xludf.DUMMYFUNCTION("""COMPUTED_VALUE"""),"Señal MOPU T.D. 135 cm NI")</f>
        <v>Señal MOPU T.D. 135 cm NI</v>
      </c>
      <c r="C1849" s="4">
        <f>IFERROR(__xludf.DUMMYFUNCTION("""COMPUTED_VALUE"""),95.1264)</f>
        <v>95.1264</v>
      </c>
    </row>
    <row r="1850">
      <c r="A1850" s="4" t="str">
        <f>IFERROR(__xludf.DUMMYFUNCTION("""COMPUTED_VALUE"""),"90135N2")</f>
        <v>90135N2</v>
      </c>
      <c r="B1850" s="4" t="str">
        <f>IFERROR(__xludf.DUMMYFUNCTION("""COMPUTED_VALUE"""),"Señal MOPU T.D. 135 cm NII")</f>
        <v>Señal MOPU T.D. 135 cm NII</v>
      </c>
      <c r="C1850" s="4">
        <f>IFERROR(__xludf.DUMMYFUNCTION("""COMPUTED_VALUE"""),127.4784)</f>
        <v>127.4784</v>
      </c>
    </row>
    <row r="1851">
      <c r="A1851" s="4" t="str">
        <f>IFERROR(__xludf.DUMMYFUNCTION("""COMPUTED_VALUE"""),"90135N3")</f>
        <v>90135N3</v>
      </c>
      <c r="B1851" s="4" t="str">
        <f>IFERROR(__xludf.DUMMYFUNCTION("""COMPUTED_VALUE"""),"Señal MOPU T.D. 135 cm NIII")</f>
        <v>Señal MOPU T.D. 135 cm NIII</v>
      </c>
      <c r="C1851" s="4">
        <f>IFERROR(__xludf.DUMMYFUNCTION("""COMPUTED_VALUE"""),168.91199999999998)</f>
        <v>168.912</v>
      </c>
    </row>
    <row r="1852">
      <c r="A1852" s="4" t="str">
        <f>IFERROR(__xludf.DUMMYFUNCTION("""COMPUTED_VALUE"""),"9014")</f>
        <v>9014</v>
      </c>
      <c r="B1852" s="4" t="str">
        <f>IFERROR(__xludf.DUMMYFUNCTION("""COMPUTED_VALUE"""),"Reductor velocidad High impact Amarillo pasacables")</f>
        <v>Reductor velocidad High impact Amarillo pasacables</v>
      </c>
      <c r="C1852" s="4">
        <f>IFERROR(__xludf.DUMMYFUNCTION("""COMPUTED_VALUE"""),12.48)</f>
        <v>12.48</v>
      </c>
    </row>
    <row r="1853">
      <c r="A1853" s="4" t="str">
        <f>IFERROR(__xludf.DUMMYFUNCTION("""COMPUTED_VALUE"""),"9015")</f>
        <v>9015</v>
      </c>
      <c r="B1853" s="4" t="str">
        <f>IFERROR(__xludf.DUMMYFUNCTION("""COMPUTED_VALUE"""),"Reductor velocidad High impact Negro pasacables")</f>
        <v>Reductor velocidad High impact Negro pasacables</v>
      </c>
      <c r="C1853" s="4">
        <f>IFERROR(__xludf.DUMMYFUNCTION("""COMPUTED_VALUE"""),12.48)</f>
        <v>12.48</v>
      </c>
    </row>
    <row r="1854">
      <c r="A1854" s="4" t="str">
        <f>IFERROR(__xludf.DUMMYFUNCTION("""COMPUTED_VALUE"""),"9016")</f>
        <v>9016</v>
      </c>
      <c r="B1854" s="4" t="str">
        <f>IFERROR(__xludf.DUMMYFUNCTION("""COMPUTED_VALUE"""),"Reductor velocidad Ovaglint 200x120x28 mm")</f>
        <v>Reductor velocidad Ovaglint 200x120x28 mm</v>
      </c>
      <c r="C1854" s="4">
        <f>IFERROR(__xludf.DUMMYFUNCTION("""COMPUTED_VALUE"""),4.32)</f>
        <v>4.32</v>
      </c>
    </row>
    <row r="1855">
      <c r="A1855" s="4" t="str">
        <f>IFERROR(__xludf.DUMMYFUNCTION("""COMPUTED_VALUE"""),"90175N1")</f>
        <v>90175N1</v>
      </c>
      <c r="B1855" s="4" t="str">
        <f>IFERROR(__xludf.DUMMYFUNCTION("""COMPUTED_VALUE"""),"Señal MOPU T.D. 175 cm NI")</f>
        <v>Señal MOPU T.D. 175 cm NI</v>
      </c>
      <c r="C1855" s="4">
        <f>IFERROR(__xludf.DUMMYFUNCTION("""COMPUTED_VALUE"""),187.3536)</f>
        <v>187.3536</v>
      </c>
    </row>
    <row r="1856">
      <c r="A1856" s="4" t="str">
        <f>IFERROR(__xludf.DUMMYFUNCTION("""COMPUTED_VALUE"""),"90175N2")</f>
        <v>90175N2</v>
      </c>
      <c r="B1856" s="4" t="str">
        <f>IFERROR(__xludf.DUMMYFUNCTION("""COMPUTED_VALUE"""),"Señal MOPU T.D. 175 cm NII")</f>
        <v>Señal MOPU T.D. 175 cm NII</v>
      </c>
      <c r="C1856" s="4">
        <f>IFERROR(__xludf.DUMMYFUNCTION("""COMPUTED_VALUE"""),209.88479999999998)</f>
        <v>209.8848</v>
      </c>
    </row>
    <row r="1857">
      <c r="A1857" s="4" t="str">
        <f>IFERROR(__xludf.DUMMYFUNCTION("""COMPUTED_VALUE"""),"90175N3")</f>
        <v>90175N3</v>
      </c>
      <c r="B1857" s="4" t="str">
        <f>IFERROR(__xludf.DUMMYFUNCTION("""COMPUTED_VALUE"""),"Señal MOPU T.D. 175 cm NIII")</f>
        <v>Señal MOPU T.D. 175 cm NIII</v>
      </c>
      <c r="C1857" s="4">
        <f>IFERROR(__xludf.DUMMYFUNCTION("""COMPUTED_VALUE"""),301.4304)</f>
        <v>301.4304</v>
      </c>
    </row>
    <row r="1858">
      <c r="A1858" s="4" t="str">
        <f>IFERROR(__xludf.DUMMYFUNCTION("""COMPUTED_VALUE"""),"9070N")</f>
        <v>9070N</v>
      </c>
      <c r="B1858" s="4" t="str">
        <f>IFERROR(__xludf.DUMMYFUNCTION("""COMPUTED_VALUE"""),"Señal MOPU T.D. 70 cm N")</f>
        <v>Señal MOPU T.D. 70 cm N</v>
      </c>
      <c r="C1858" s="4">
        <f>IFERROR(__xludf.DUMMYFUNCTION("""COMPUTED_VALUE"""),27.8016)</f>
        <v>27.8016</v>
      </c>
    </row>
    <row r="1859">
      <c r="A1859" s="4" t="str">
        <f>IFERROR(__xludf.DUMMYFUNCTION("""COMPUTED_VALUE"""),"9070N1")</f>
        <v>9070N1</v>
      </c>
      <c r="B1859" s="4" t="str">
        <f>IFERROR(__xludf.DUMMYFUNCTION("""COMPUTED_VALUE"""),"Señal MOPU T.D. 70 cm NI")</f>
        <v>Señal MOPU T.D. 70 cm NI</v>
      </c>
      <c r="C1859" s="4">
        <f>IFERROR(__xludf.DUMMYFUNCTION("""COMPUTED_VALUE"""),34.6176)</f>
        <v>34.6176</v>
      </c>
    </row>
    <row r="1860">
      <c r="A1860" s="4" t="str">
        <f>IFERROR(__xludf.DUMMYFUNCTION("""COMPUTED_VALUE"""),"9070N2")</f>
        <v>9070N2</v>
      </c>
      <c r="B1860" s="4" t="str">
        <f>IFERROR(__xludf.DUMMYFUNCTION("""COMPUTED_VALUE"""),"Señal MOPU T.D. 70 cm NII")</f>
        <v>Señal MOPU T.D. 70 cm NII</v>
      </c>
      <c r="C1860" s="4">
        <f>IFERROR(__xludf.DUMMYFUNCTION("""COMPUTED_VALUE"""),43.267199999999995)</f>
        <v>43.2672</v>
      </c>
    </row>
    <row r="1861">
      <c r="A1861" s="4" t="str">
        <f>IFERROR(__xludf.DUMMYFUNCTION("""COMPUTED_VALUE"""),"9070N3")</f>
        <v>9070N3</v>
      </c>
      <c r="B1861" s="4" t="str">
        <f>IFERROR(__xludf.DUMMYFUNCTION("""COMPUTED_VALUE"""),"Señal MOPU T.D. 70 cm NIII")</f>
        <v>Señal MOPU T.D. 70 cm NIII</v>
      </c>
      <c r="C1861" s="4">
        <f>IFERROR(__xludf.DUMMYFUNCTION("""COMPUTED_VALUE"""),57.023999999999994)</f>
        <v>57.024</v>
      </c>
    </row>
    <row r="1862">
      <c r="A1862" s="4" t="str">
        <f>IFERROR(__xludf.DUMMYFUNCTION("""COMPUTED_VALUE"""),"9090N")</f>
        <v>9090N</v>
      </c>
      <c r="B1862" s="4" t="str">
        <f>IFERROR(__xludf.DUMMYFUNCTION("""COMPUTED_VALUE"""),"Señal MOPU T.D. 90 cm N")</f>
        <v>Señal MOPU T.D. 90 cm N</v>
      </c>
      <c r="C1862" s="4">
        <f>IFERROR(__xludf.DUMMYFUNCTION("""COMPUTED_VALUE"""),39.993599999999994)</f>
        <v>39.9936</v>
      </c>
    </row>
    <row r="1863">
      <c r="A1863" s="4" t="str">
        <f>IFERROR(__xludf.DUMMYFUNCTION("""COMPUTED_VALUE"""),"9090N1")</f>
        <v>9090N1</v>
      </c>
      <c r="B1863" s="4" t="str">
        <f>IFERROR(__xludf.DUMMYFUNCTION("""COMPUTED_VALUE"""),"Señal MOPU T.D. 90 cm NI")</f>
        <v>Señal MOPU T.D. 90 cm NI</v>
      </c>
      <c r="C1863" s="4">
        <f>IFERROR(__xludf.DUMMYFUNCTION("""COMPUTED_VALUE"""),48.864)</f>
        <v>48.864</v>
      </c>
    </row>
    <row r="1864">
      <c r="A1864" s="4" t="str">
        <f>IFERROR(__xludf.DUMMYFUNCTION("""COMPUTED_VALUE"""),"9090N2")</f>
        <v>9090N2</v>
      </c>
      <c r="B1864" s="4" t="str">
        <f>IFERROR(__xludf.DUMMYFUNCTION("""COMPUTED_VALUE"""),"Señal MOPU T.D. 90 cm NII")</f>
        <v>Señal MOPU T.D. 90 cm NII</v>
      </c>
      <c r="C1864" s="4">
        <f>IFERROR(__xludf.DUMMYFUNCTION("""COMPUTED_VALUE"""),63.67679999999999)</f>
        <v>63.6768</v>
      </c>
    </row>
    <row r="1865">
      <c r="A1865" s="4" t="str">
        <f>IFERROR(__xludf.DUMMYFUNCTION("""COMPUTED_VALUE"""),"9090N3")</f>
        <v>9090N3</v>
      </c>
      <c r="B1865" s="4" t="str">
        <f>IFERROR(__xludf.DUMMYFUNCTION("""COMPUTED_VALUE"""),"Señal MOPU T.D. 90 cm NIII")</f>
        <v>Señal MOPU T.D. 90 cm NIII</v>
      </c>
      <c r="C1865" s="4">
        <f>IFERROR(__xludf.DUMMYFUNCTION("""COMPUTED_VALUE"""),84.6144)</f>
        <v>84.6144</v>
      </c>
    </row>
    <row r="1866">
      <c r="A1866" s="4" t="str">
        <f>IFERROR(__xludf.DUMMYFUNCTION("""COMPUTED_VALUE"""),"91120N")</f>
        <v>91120N</v>
      </c>
      <c r="B1866" s="4" t="str">
        <f>IFERROR(__xludf.DUMMYFUNCTION("""COMPUTED_VALUE"""),"Señal MOPU R.D. 120cm N")</f>
        <v>Señal MOPU R.D. 120cm N</v>
      </c>
      <c r="C1866" s="4">
        <f>IFERROR(__xludf.DUMMYFUNCTION("""COMPUTED_VALUE"""),126.0)</f>
        <v>126</v>
      </c>
    </row>
    <row r="1867">
      <c r="A1867" s="4" t="str">
        <f>IFERROR(__xludf.DUMMYFUNCTION("""COMPUTED_VALUE"""),"91120N1")</f>
        <v>91120N1</v>
      </c>
      <c r="B1867" s="4" t="str">
        <f>IFERROR(__xludf.DUMMYFUNCTION("""COMPUTED_VALUE"""),"Señal MOPU R.D. 120cm NI")</f>
        <v>Señal MOPU R.D. 120cm NI</v>
      </c>
      <c r="C1867" s="4">
        <f>IFERROR(__xludf.DUMMYFUNCTION("""COMPUTED_VALUE"""),157.9392)</f>
        <v>157.9392</v>
      </c>
    </row>
    <row r="1868">
      <c r="A1868" s="4" t="str">
        <f>IFERROR(__xludf.DUMMYFUNCTION("""COMPUTED_VALUE"""),"91120N2")</f>
        <v>91120N2</v>
      </c>
      <c r="B1868" s="4" t="str">
        <f>IFERROR(__xludf.DUMMYFUNCTION("""COMPUTED_VALUE"""),"Señal MOPU R.D. 120 cm NII")</f>
        <v>Señal MOPU R.D. 120 cm NII</v>
      </c>
      <c r="C1868" s="4">
        <f>IFERROR(__xludf.DUMMYFUNCTION("""COMPUTED_VALUE"""),186.7008)</f>
        <v>186.7008</v>
      </c>
    </row>
    <row r="1869">
      <c r="A1869" s="4" t="str">
        <f>IFERROR(__xludf.DUMMYFUNCTION("""COMPUTED_VALUE"""),"91120N3")</f>
        <v>91120N3</v>
      </c>
      <c r="B1869" s="4" t="str">
        <f>IFERROR(__xludf.DUMMYFUNCTION("""COMPUTED_VALUE"""),"Señal MOPU R.D. 120 cm NIII")</f>
        <v>Señal MOPU R.D. 120 cm NIII</v>
      </c>
      <c r="C1869" s="4">
        <f>IFERROR(__xludf.DUMMYFUNCTION("""COMPUTED_VALUE"""),278.1696)</f>
        <v>278.1696</v>
      </c>
    </row>
    <row r="1870">
      <c r="A1870" s="4" t="str">
        <f>IFERROR(__xludf.DUMMYFUNCTION("""COMPUTED_VALUE"""),"9160N")</f>
        <v>9160N</v>
      </c>
      <c r="B1870" s="4" t="str">
        <f>IFERROR(__xludf.DUMMYFUNCTION("""COMPUTED_VALUE"""),"Señal MOPU R.D. 60 cm N")</f>
        <v>Señal MOPU R.D. 60 cm N</v>
      </c>
      <c r="C1870" s="4">
        <f>IFERROR(__xludf.DUMMYFUNCTION("""COMPUTED_VALUE"""),34.5408)</f>
        <v>34.5408</v>
      </c>
    </row>
    <row r="1871">
      <c r="A1871" s="4" t="str">
        <f>IFERROR(__xludf.DUMMYFUNCTION("""COMPUTED_VALUE"""),"9160N1")</f>
        <v>9160N1</v>
      </c>
      <c r="B1871" s="4" t="str">
        <f>IFERROR(__xludf.DUMMYFUNCTION("""COMPUTED_VALUE"""),"Señal MOPU R.D. 60 cm NI")</f>
        <v>Señal MOPU R.D. 60 cm NI</v>
      </c>
      <c r="C1871" s="4">
        <f>IFERROR(__xludf.DUMMYFUNCTION("""COMPUTED_VALUE"""),39.8208)</f>
        <v>39.8208</v>
      </c>
    </row>
    <row r="1872">
      <c r="A1872" s="4" t="str">
        <f>IFERROR(__xludf.DUMMYFUNCTION("""COMPUTED_VALUE"""),"9160N2")</f>
        <v>9160N2</v>
      </c>
      <c r="B1872" s="4" t="str">
        <f>IFERROR(__xludf.DUMMYFUNCTION("""COMPUTED_VALUE"""),"Señal MOPU R.D. 60 cm NII")</f>
        <v>Señal MOPU R.D. 60 cm NII</v>
      </c>
      <c r="C1872" s="4">
        <f>IFERROR(__xludf.DUMMYFUNCTION("""COMPUTED_VALUE"""),56.889599999999994)</f>
        <v>56.8896</v>
      </c>
    </row>
    <row r="1873">
      <c r="A1873" s="4" t="str">
        <f>IFERROR(__xludf.DUMMYFUNCTION("""COMPUTED_VALUE"""),"9160N3")</f>
        <v>9160N3</v>
      </c>
      <c r="B1873" s="4" t="str">
        <f>IFERROR(__xludf.DUMMYFUNCTION("""COMPUTED_VALUE"""),"Señal MOPU R.D, 60 cm NIII")</f>
        <v>Señal MOPU R.D, 60 cm NIII</v>
      </c>
      <c r="C1873" s="4">
        <f>IFERROR(__xludf.DUMMYFUNCTION("""COMPUTED_VALUE"""),77.7024)</f>
        <v>77.7024</v>
      </c>
    </row>
    <row r="1874">
      <c r="A1874" s="4" t="str">
        <f>IFERROR(__xludf.DUMMYFUNCTION("""COMPUTED_VALUE"""),"9160NE")</f>
        <v>9160NE</v>
      </c>
      <c r="B1874" s="4" t="str">
        <f>IFERROR(__xludf.DUMMYFUNCTION("""COMPUTED_VALUE"""),"Señal cuadrada 60 cm Normal recarga eléctrica")</f>
        <v>Señal cuadrada 60 cm Normal recarga eléctrica</v>
      </c>
      <c r="C1874" s="4">
        <f>IFERROR(__xludf.DUMMYFUNCTION("""COMPUTED_VALUE"""),29.759999999999998)</f>
        <v>29.76</v>
      </c>
    </row>
    <row r="1875">
      <c r="A1875" s="4" t="str">
        <f>IFERROR(__xludf.DUMMYFUNCTION("""COMPUTED_VALUE"""),"9190N")</f>
        <v>9190N</v>
      </c>
      <c r="B1875" s="4" t="str">
        <f>IFERROR(__xludf.DUMMYFUNCTION("""COMPUTED_VALUE"""),"Señal MOPU R.D. 90 cm N")</f>
        <v>Señal MOPU R.D. 90 cm N</v>
      </c>
      <c r="C1875" s="4">
        <f>IFERROR(__xludf.DUMMYFUNCTION("""COMPUTED_VALUE"""),75.9456)</f>
        <v>75.9456</v>
      </c>
    </row>
    <row r="1876">
      <c r="A1876" s="4" t="str">
        <f>IFERROR(__xludf.DUMMYFUNCTION("""COMPUTED_VALUE"""),"9190N1")</f>
        <v>9190N1</v>
      </c>
      <c r="B1876" s="4" t="str">
        <f>IFERROR(__xludf.DUMMYFUNCTION("""COMPUTED_VALUE"""),"Señal MOPU R.D. 90 cm NI")</f>
        <v>Señal MOPU R.D. 90 cm NI</v>
      </c>
      <c r="C1876" s="4">
        <f>IFERROR(__xludf.DUMMYFUNCTION("""COMPUTED_VALUE"""),84.0192)</f>
        <v>84.0192</v>
      </c>
    </row>
    <row r="1877">
      <c r="A1877" s="4" t="str">
        <f>IFERROR(__xludf.DUMMYFUNCTION("""COMPUTED_VALUE"""),"9190N2")</f>
        <v>9190N2</v>
      </c>
      <c r="B1877" s="4" t="str">
        <f>IFERROR(__xludf.DUMMYFUNCTION("""COMPUTED_VALUE"""),"Señal MOPU R.D. 90 cm NII")</f>
        <v>Señal MOPU R.D. 90 cm NII</v>
      </c>
      <c r="C1877" s="4">
        <f>IFERROR(__xludf.DUMMYFUNCTION("""COMPUTED_VALUE"""),109.6032)</f>
        <v>109.6032</v>
      </c>
    </row>
    <row r="1878">
      <c r="A1878" s="4" t="str">
        <f>IFERROR(__xludf.DUMMYFUNCTION("""COMPUTED_VALUE"""),"9190N3")</f>
        <v>9190N3</v>
      </c>
      <c r="B1878" s="4" t="str">
        <f>IFERROR(__xludf.DUMMYFUNCTION("""COMPUTED_VALUE"""),"Señal MOPU R.D. 90 cm NIII")</f>
        <v>Señal MOPU R.D. 90 cm NIII</v>
      </c>
      <c r="C1878" s="4">
        <f>IFERROR(__xludf.DUMMYFUNCTION("""COMPUTED_VALUE"""),165.60959999999997)</f>
        <v>165.6096</v>
      </c>
    </row>
    <row r="1879">
      <c r="A1879" s="4" t="str">
        <f>IFERROR(__xludf.DUMMYFUNCTION("""COMPUTED_VALUE"""),"9210")</f>
        <v>9210</v>
      </c>
      <c r="B1879" s="4" t="str">
        <f>IFERROR(__xludf.DUMMYFUNCTION("""COMPUTED_VALUE"""),"Pack 10 uds adhesivos 10x15 riesgo electrico")</f>
        <v>Pack 10 uds adhesivos 10x15 riesgo electrico</v>
      </c>
      <c r="C1879" s="4">
        <f>IFERROR(__xludf.DUMMYFUNCTION("""COMPUTED_VALUE"""),4.032)</f>
        <v>4.032</v>
      </c>
    </row>
    <row r="1880">
      <c r="A1880" s="4" t="str">
        <f>IFERROR(__xludf.DUMMYFUNCTION("""COMPUTED_VALUE"""),"925170N2")</f>
        <v>925170N2</v>
      </c>
      <c r="B1880" s="4" t="str">
        <f>IFERROR(__xludf.DUMMYFUNCTION("""COMPUTED_VALUE"""),"Señal MOPU informativa 25x170 cm Reflex II")</f>
        <v>Señal MOPU informativa 25x170 cm Reflex II</v>
      </c>
      <c r="C1880" s="4">
        <f>IFERROR(__xludf.DUMMYFUNCTION("""COMPUTED_VALUE"""),100.224)</f>
        <v>100.224</v>
      </c>
    </row>
    <row r="1881">
      <c r="A1881" s="4" t="str">
        <f>IFERROR(__xludf.DUMMYFUNCTION("""COMPUTED_VALUE"""),"9260N")</f>
        <v>9260N</v>
      </c>
      <c r="B1881" s="4" t="str">
        <f>IFERROR(__xludf.DUMMYFUNCTION("""COMPUTED_VALUE"""),"Señal MOPU R2 60 cm N")</f>
        <v>Señal MOPU R2 60 cm N</v>
      </c>
      <c r="C1881" s="4">
        <f>IFERROR(__xludf.DUMMYFUNCTION("""COMPUTED_VALUE"""),30.671999999999997)</f>
        <v>30.672</v>
      </c>
    </row>
    <row r="1882">
      <c r="A1882" s="4" t="str">
        <f>IFERROR(__xludf.DUMMYFUNCTION("""COMPUTED_VALUE"""),"9260N1")</f>
        <v>9260N1</v>
      </c>
      <c r="B1882" s="4" t="str">
        <f>IFERROR(__xludf.DUMMYFUNCTION("""COMPUTED_VALUE"""),"Señal MOPU R2 60 cm NI")</f>
        <v>Señal MOPU R2 60 cm NI</v>
      </c>
      <c r="C1882" s="4">
        <f>IFERROR(__xludf.DUMMYFUNCTION("""COMPUTED_VALUE"""),41.712)</f>
        <v>41.712</v>
      </c>
    </row>
    <row r="1883">
      <c r="A1883" s="4" t="str">
        <f>IFERROR(__xludf.DUMMYFUNCTION("""COMPUTED_VALUE"""),"9260N2")</f>
        <v>9260N2</v>
      </c>
      <c r="B1883" s="4" t="str">
        <f>IFERROR(__xludf.DUMMYFUNCTION("""COMPUTED_VALUE"""),"Señal MOPU R2 60 cm NII")</f>
        <v>Señal MOPU R2 60 cm NII</v>
      </c>
      <c r="C1883" s="4">
        <f>IFERROR(__xludf.DUMMYFUNCTION("""COMPUTED_VALUE"""),59.712)</f>
        <v>59.712</v>
      </c>
    </row>
    <row r="1884">
      <c r="A1884" s="4" t="str">
        <f>IFERROR(__xludf.DUMMYFUNCTION("""COMPUTED_VALUE"""),"9260N3")</f>
        <v>9260N3</v>
      </c>
      <c r="B1884" s="4" t="str">
        <f>IFERROR(__xludf.DUMMYFUNCTION("""COMPUTED_VALUE"""),"Señal MOPU R2 60 cm NIII")</f>
        <v>Señal MOPU R2 60 cm NIII</v>
      </c>
      <c r="C1884" s="4">
        <f>IFERROR(__xludf.DUMMYFUNCTION("""COMPUTED_VALUE"""),73.4112)</f>
        <v>73.4112</v>
      </c>
    </row>
    <row r="1885">
      <c r="A1885" s="4" t="str">
        <f>IFERROR(__xludf.DUMMYFUNCTION("""COMPUTED_VALUE"""),"9290N")</f>
        <v>9290N</v>
      </c>
      <c r="B1885" s="4" t="str">
        <f>IFERROR(__xludf.DUMMYFUNCTION("""COMPUTED_VALUE"""),"Señal MOPU R2 90 cm N")</f>
        <v>Señal MOPU R2 90 cm N</v>
      </c>
      <c r="C1885" s="4">
        <f>IFERROR(__xludf.DUMMYFUNCTION("""COMPUTED_VALUE"""),66.4512)</f>
        <v>66.4512</v>
      </c>
    </row>
    <row r="1886">
      <c r="A1886" s="4" t="str">
        <f>IFERROR(__xludf.DUMMYFUNCTION("""COMPUTED_VALUE"""),"9290N1")</f>
        <v>9290N1</v>
      </c>
      <c r="B1886" s="4" t="str">
        <f>IFERROR(__xludf.DUMMYFUNCTION("""COMPUTED_VALUE"""),"Señal MOPU R2 90 cm NI")</f>
        <v>Señal MOPU R2 90 cm NI</v>
      </c>
      <c r="C1886" s="4">
        <f>IFERROR(__xludf.DUMMYFUNCTION("""COMPUTED_VALUE"""),80.73599999999999)</f>
        <v>80.736</v>
      </c>
    </row>
    <row r="1887">
      <c r="A1887" s="4" t="str">
        <f>IFERROR(__xludf.DUMMYFUNCTION("""COMPUTED_VALUE"""),"9290N2")</f>
        <v>9290N2</v>
      </c>
      <c r="B1887" s="4" t="str">
        <f>IFERROR(__xludf.DUMMYFUNCTION("""COMPUTED_VALUE"""),"Señal MOPU R2 90 cm NII")</f>
        <v>Señal MOPU R2 90 cm NII</v>
      </c>
      <c r="C1887" s="4">
        <f>IFERROR(__xludf.DUMMYFUNCTION("""COMPUTED_VALUE"""),117.6672)</f>
        <v>117.6672</v>
      </c>
    </row>
    <row r="1888">
      <c r="A1888" s="4" t="str">
        <f>IFERROR(__xludf.DUMMYFUNCTION("""COMPUTED_VALUE"""),"9290N3")</f>
        <v>9290N3</v>
      </c>
      <c r="B1888" s="4" t="str">
        <f>IFERROR(__xludf.DUMMYFUNCTION("""COMPUTED_VALUE"""),"Señal MOPU R2 90 cm NIII")</f>
        <v>Señal MOPU R2 90 cm NIII</v>
      </c>
      <c r="C1888" s="4">
        <f>IFERROR(__xludf.DUMMYFUNCTION("""COMPUTED_VALUE"""),156.6624)</f>
        <v>156.6624</v>
      </c>
    </row>
    <row r="1889">
      <c r="A1889" s="4" t="str">
        <f>IFERROR(__xludf.DUMMYFUNCTION("""COMPUTED_VALUE"""),"9340N")</f>
        <v>9340N</v>
      </c>
      <c r="B1889" s="4" t="str">
        <f>IFERROR(__xludf.DUMMYFUNCTION("""COMPUTED_VALUE"""),"Señal MOPU C.D. 40x40cm N")</f>
        <v>Señal MOPU C.D. 40x40cm N</v>
      </c>
      <c r="C1889" s="4">
        <f>IFERROR(__xludf.DUMMYFUNCTION("""COMPUTED_VALUE"""),22.5792)</f>
        <v>22.5792</v>
      </c>
    </row>
    <row r="1890">
      <c r="A1890" s="4" t="str">
        <f>IFERROR(__xludf.DUMMYFUNCTION("""COMPUTED_VALUE"""),"9340N1")</f>
        <v>9340N1</v>
      </c>
      <c r="B1890" s="4" t="str">
        <f>IFERROR(__xludf.DUMMYFUNCTION("""COMPUTED_VALUE"""),"Señal MOPU C.D, 40x40cm NI")</f>
        <v>Señal MOPU C.D, 40x40cm NI</v>
      </c>
      <c r="C1890" s="4">
        <f>IFERROR(__xludf.DUMMYFUNCTION("""COMPUTED_VALUE"""),25.7184)</f>
        <v>25.7184</v>
      </c>
    </row>
    <row r="1891">
      <c r="A1891" s="4" t="str">
        <f>IFERROR(__xludf.DUMMYFUNCTION("""COMPUTED_VALUE"""),"9340N2")</f>
        <v>9340N2</v>
      </c>
      <c r="B1891" s="4" t="str">
        <f>IFERROR(__xludf.DUMMYFUNCTION("""COMPUTED_VALUE"""),"Señal MOPU C.D. 40x40cm NII")</f>
        <v>Señal MOPU C.D. 40x40cm NII</v>
      </c>
      <c r="C1891" s="4">
        <f>IFERROR(__xludf.DUMMYFUNCTION("""COMPUTED_VALUE"""),35.980799999999995)</f>
        <v>35.9808</v>
      </c>
    </row>
    <row r="1892">
      <c r="A1892" s="4" t="str">
        <f>IFERROR(__xludf.DUMMYFUNCTION("""COMPUTED_VALUE"""),"9340N3")</f>
        <v>9340N3</v>
      </c>
      <c r="B1892" s="4" t="str">
        <f>IFERROR(__xludf.DUMMYFUNCTION("""COMPUTED_VALUE"""),"Señal MOPU C.D. 40x40 cm NIII")</f>
        <v>Señal MOPU C.D. 40x40 cm NIII</v>
      </c>
      <c r="C1892" s="4">
        <f>IFERROR(__xludf.DUMMYFUNCTION("""COMPUTED_VALUE"""),53.9424)</f>
        <v>53.9424</v>
      </c>
    </row>
    <row r="1893">
      <c r="A1893" s="4" t="str">
        <f>IFERROR(__xludf.DUMMYFUNCTION("""COMPUTED_VALUE"""),"9360N")</f>
        <v>9360N</v>
      </c>
      <c r="B1893" s="4" t="str">
        <f>IFERROR(__xludf.DUMMYFUNCTION("""COMPUTED_VALUE"""),"Señal MOPU C.D. 60x60cm N")</f>
        <v>Señal MOPU C.D. 60x60cm N</v>
      </c>
      <c r="C1893" s="4">
        <f>IFERROR(__xludf.DUMMYFUNCTION("""COMPUTED_VALUE"""),30.0)</f>
        <v>30</v>
      </c>
    </row>
    <row r="1894">
      <c r="A1894" s="4" t="str">
        <f>IFERROR(__xludf.DUMMYFUNCTION("""COMPUTED_VALUE"""),"9360N1")</f>
        <v>9360N1</v>
      </c>
      <c r="B1894" s="4" t="str">
        <f>IFERROR(__xludf.DUMMYFUNCTION("""COMPUTED_VALUE"""),"Señal MOPU C.D. 60x60cm NI")</f>
        <v>Señal MOPU C.D. 60x60cm NI</v>
      </c>
      <c r="C1894" s="4">
        <f>IFERROR(__xludf.DUMMYFUNCTION("""COMPUTED_VALUE"""),39.6)</f>
        <v>39.6</v>
      </c>
    </row>
    <row r="1895">
      <c r="A1895" s="4" t="str">
        <f>IFERROR(__xludf.DUMMYFUNCTION("""COMPUTED_VALUE"""),"9360N2")</f>
        <v>9360N2</v>
      </c>
      <c r="B1895" s="4" t="str">
        <f>IFERROR(__xludf.DUMMYFUNCTION("""COMPUTED_VALUE"""),"Señal MOPU C.D. 60x60cm NII")</f>
        <v>Señal MOPU C.D. 60x60cm NII</v>
      </c>
      <c r="C1895" s="4">
        <f>IFERROR(__xludf.DUMMYFUNCTION("""COMPUTED_VALUE"""),47.28)</f>
        <v>47.28</v>
      </c>
    </row>
    <row r="1896">
      <c r="A1896" s="4" t="str">
        <f>IFERROR(__xludf.DUMMYFUNCTION("""COMPUTED_VALUE"""),"9360N3")</f>
        <v>9360N3</v>
      </c>
      <c r="B1896" s="4" t="str">
        <f>IFERROR(__xludf.DUMMYFUNCTION("""COMPUTED_VALUE"""),"Señal MOPU C.D. 60x60cm NIII")</f>
        <v>Señal MOPU C.D. 60x60cm NIII</v>
      </c>
      <c r="C1896" s="4">
        <f>IFERROR(__xludf.DUMMYFUNCTION("""COMPUTED_VALUE"""),79.2)</f>
        <v>79.2</v>
      </c>
    </row>
    <row r="1897">
      <c r="A1897" s="4" t="str">
        <f>IFERROR(__xludf.DUMMYFUNCTION("""COMPUTED_VALUE"""),"9390N")</f>
        <v>9390N</v>
      </c>
      <c r="B1897" s="4" t="str">
        <f>IFERROR(__xludf.DUMMYFUNCTION("""COMPUTED_VALUE"""),"Señal MOPU C.D. 90x90 cm N")</f>
        <v>Señal MOPU C.D. 90x90 cm N</v>
      </c>
      <c r="C1897" s="4">
        <f>IFERROR(__xludf.DUMMYFUNCTION("""COMPUTED_VALUE"""),66.48)</f>
        <v>66.48</v>
      </c>
    </row>
    <row r="1898">
      <c r="A1898" s="4" t="str">
        <f>IFERROR(__xludf.DUMMYFUNCTION("""COMPUTED_VALUE"""),"9390N1")</f>
        <v>9390N1</v>
      </c>
      <c r="B1898" s="4" t="str">
        <f>IFERROR(__xludf.DUMMYFUNCTION("""COMPUTED_VALUE"""),"Señal MOPU C.D. 90x90 cm NI")</f>
        <v>Señal MOPU C.D. 90x90 cm NI</v>
      </c>
      <c r="C1898" s="4">
        <f>IFERROR(__xludf.DUMMYFUNCTION("""COMPUTED_VALUE"""),90.2496)</f>
        <v>90.2496</v>
      </c>
    </row>
    <row r="1899">
      <c r="A1899" s="4" t="str">
        <f>IFERROR(__xludf.DUMMYFUNCTION("""COMPUTED_VALUE"""),"9390N2")</f>
        <v>9390N2</v>
      </c>
      <c r="B1899" s="4" t="str">
        <f>IFERROR(__xludf.DUMMYFUNCTION("""COMPUTED_VALUE"""),"Señal MOPU C.D. 90x90 cm NII")</f>
        <v>Señal MOPU C.D. 90x90 cm NII</v>
      </c>
      <c r="C1899" s="4">
        <f>IFERROR(__xludf.DUMMYFUNCTION("""COMPUTED_VALUE"""),131.3472)</f>
        <v>131.3472</v>
      </c>
    </row>
    <row r="1900">
      <c r="A1900" s="4" t="str">
        <f>IFERROR(__xludf.DUMMYFUNCTION("""COMPUTED_VALUE"""),"9390N3")</f>
        <v>9390N3</v>
      </c>
      <c r="B1900" s="4" t="str">
        <f>IFERROR(__xludf.DUMMYFUNCTION("""COMPUTED_VALUE"""),"Señal MOPU C.D. 90x90 cm NIII")</f>
        <v>Señal MOPU C.D. 90x90 cm NIII</v>
      </c>
      <c r="C1900" s="4">
        <f>IFERROR(__xludf.DUMMYFUNCTION("""COMPUTED_VALUE"""),181.1712)</f>
        <v>181.1712</v>
      </c>
    </row>
    <row r="1901">
      <c r="A1901" s="4" t="str">
        <f>IFERROR(__xludf.DUMMYFUNCTION("""COMPUTED_VALUE"""),"94120180N1")</f>
        <v>94120180N1</v>
      </c>
      <c r="B1901" s="4" t="str">
        <f>IFERROR(__xludf.DUMMYFUNCTION("""COMPUTED_VALUE"""),"Rectangulo MOPU 120x180 cm Reflex I")</f>
        <v>Rectangulo MOPU 120x180 cm Reflex I</v>
      </c>
      <c r="C1901" s="4">
        <f>IFERROR(__xludf.DUMMYFUNCTION("""COMPUTED_VALUE"""),209.51999999999998)</f>
        <v>209.52</v>
      </c>
    </row>
    <row r="1902">
      <c r="A1902" s="4" t="str">
        <f>IFERROR(__xludf.DUMMYFUNCTION("""COMPUTED_VALUE"""),"94120180N2")</f>
        <v>94120180N2</v>
      </c>
      <c r="B1902" s="4" t="str">
        <f>IFERROR(__xludf.DUMMYFUNCTION("""COMPUTED_VALUE"""),"Rectangulo MOPU 120x180 cm Reflex II")</f>
        <v>Rectangulo MOPU 120x180 cm Reflex II</v>
      </c>
      <c r="C1902" s="4">
        <f>IFERROR(__xludf.DUMMYFUNCTION("""COMPUTED_VALUE"""),285.59999999999997)</f>
        <v>285.6</v>
      </c>
    </row>
    <row r="1903">
      <c r="A1903" s="4" t="str">
        <f>IFERROR(__xludf.DUMMYFUNCTION("""COMPUTED_VALUE"""),"94120180N3")</f>
        <v>94120180N3</v>
      </c>
      <c r="B1903" s="4" t="str">
        <f>IFERROR(__xludf.DUMMYFUNCTION("""COMPUTED_VALUE"""),"Rectangulo MOPU 120x180 cm Reflex III")</f>
        <v>Rectangulo MOPU 120x180 cm Reflex III</v>
      </c>
      <c r="C1903" s="4">
        <f>IFERROR(__xludf.DUMMYFUNCTION("""COMPUTED_VALUE"""),410.4)</f>
        <v>410.4</v>
      </c>
    </row>
    <row r="1904">
      <c r="A1904" s="4" t="str">
        <f>IFERROR(__xludf.DUMMYFUNCTION("""COMPUTED_VALUE"""),"94120210N1")</f>
        <v>94120210N1</v>
      </c>
      <c r="B1904" s="4" t="str">
        <f>IFERROR(__xludf.DUMMYFUNCTION("""COMPUTED_VALUE"""),"Rectangulo MOPU 120x210 cm Reflex I")</f>
        <v>Rectangulo MOPU 120x210 cm Reflex I</v>
      </c>
      <c r="C1904" s="4">
        <f>IFERROR(__xludf.DUMMYFUNCTION("""COMPUTED_VALUE"""),278.688)</f>
        <v>278.688</v>
      </c>
    </row>
    <row r="1905">
      <c r="A1905" s="4" t="str">
        <f>IFERROR(__xludf.DUMMYFUNCTION("""COMPUTED_VALUE"""),"94120210N2")</f>
        <v>94120210N2</v>
      </c>
      <c r="B1905" s="4" t="str">
        <f>IFERROR(__xludf.DUMMYFUNCTION("""COMPUTED_VALUE"""),"Rectangulo MOPU 120x210 cm Reflex II")</f>
        <v>Rectangulo MOPU 120x210 cm Reflex II</v>
      </c>
      <c r="C1905" s="4">
        <f>IFERROR(__xludf.DUMMYFUNCTION("""COMPUTED_VALUE"""),422.4)</f>
        <v>422.4</v>
      </c>
    </row>
    <row r="1906">
      <c r="A1906" s="4" t="str">
        <f>IFERROR(__xludf.DUMMYFUNCTION("""COMPUTED_VALUE"""),"94120210N3")</f>
        <v>94120210N3</v>
      </c>
      <c r="B1906" s="4" t="str">
        <f>IFERROR(__xludf.DUMMYFUNCTION("""COMPUTED_VALUE"""),"Rectangulo MOPU 120x210 cm Reflex III")</f>
        <v>Rectangulo MOPU 120x210 cm Reflex III</v>
      </c>
      <c r="C1906" s="4">
        <f>IFERROR(__xludf.DUMMYFUNCTION("""COMPUTED_VALUE"""),585.6)</f>
        <v>585.6</v>
      </c>
    </row>
    <row r="1907">
      <c r="A1907" s="4" t="str">
        <f>IFERROR(__xludf.DUMMYFUNCTION("""COMPUTED_VALUE"""),"944060N")</f>
        <v>944060N</v>
      </c>
      <c r="B1907" s="4" t="str">
        <f>IFERROR(__xludf.DUMMYFUNCTION("""COMPUTED_VALUE"""),"Rectangulo MOPU 40x60 cm Normal")</f>
        <v>Rectangulo MOPU 40x60 cm Normal</v>
      </c>
      <c r="C1907" s="4">
        <f>IFERROR(__xludf.DUMMYFUNCTION("""COMPUTED_VALUE"""),31.68)</f>
        <v>31.68</v>
      </c>
    </row>
    <row r="1908">
      <c r="A1908" s="4" t="str">
        <f>IFERROR(__xludf.DUMMYFUNCTION("""COMPUTED_VALUE"""),"944060N1")</f>
        <v>944060N1</v>
      </c>
      <c r="B1908" s="4" t="str">
        <f>IFERROR(__xludf.DUMMYFUNCTION("""COMPUTED_VALUE"""),"Rectangulo MOPU 40x60 cm Reflex I")</f>
        <v>Rectangulo MOPU 40x60 cm Reflex I</v>
      </c>
      <c r="C1908" s="4">
        <f>IFERROR(__xludf.DUMMYFUNCTION("""COMPUTED_VALUE"""),37.44)</f>
        <v>37.44</v>
      </c>
    </row>
    <row r="1909">
      <c r="A1909" s="4" t="str">
        <f>IFERROR(__xludf.DUMMYFUNCTION("""COMPUTED_VALUE"""),"944060N2")</f>
        <v>944060N2</v>
      </c>
      <c r="B1909" s="4" t="str">
        <f>IFERROR(__xludf.DUMMYFUNCTION("""COMPUTED_VALUE"""),"Rectangulo MOPU 40x60 cm Reflex II")</f>
        <v>Rectangulo MOPU 40x60 cm Reflex II</v>
      </c>
      <c r="C1909" s="4">
        <f>IFERROR(__xludf.DUMMYFUNCTION("""COMPUTED_VALUE"""),41.28)</f>
        <v>41.28</v>
      </c>
    </row>
    <row r="1910">
      <c r="A1910" s="4" t="str">
        <f>IFERROR(__xludf.DUMMYFUNCTION("""COMPUTED_VALUE"""),"944060N3")</f>
        <v>944060N3</v>
      </c>
      <c r="B1910" s="4" t="str">
        <f>IFERROR(__xludf.DUMMYFUNCTION("""COMPUTED_VALUE"""),"Rectangulo MOPU 40x60 cm Reflex III")</f>
        <v>Rectangulo MOPU 40x60 cm Reflex III</v>
      </c>
      <c r="C1910" s="4">
        <f>IFERROR(__xludf.DUMMYFUNCTION("""COMPUTED_VALUE"""),60.39359999999999)</f>
        <v>60.3936</v>
      </c>
    </row>
    <row r="1911">
      <c r="A1911" s="4" t="str">
        <f>IFERROR(__xludf.DUMMYFUNCTION("""COMPUTED_VALUE"""),"9460120N")</f>
        <v>9460120N</v>
      </c>
      <c r="B1911" s="4" t="str">
        <f>IFERROR(__xludf.DUMMYFUNCTION("""COMPUTED_VALUE"""),"Rectangulo MOPU 60x120 cm Normal")</f>
        <v>Rectangulo MOPU 60x120 cm Normal</v>
      </c>
      <c r="C1911" s="4">
        <f>IFERROR(__xludf.DUMMYFUNCTION("""COMPUTED_VALUE"""),80.64)</f>
        <v>80.64</v>
      </c>
    </row>
    <row r="1912">
      <c r="A1912" s="4" t="str">
        <f>IFERROR(__xludf.DUMMYFUNCTION("""COMPUTED_VALUE"""),"9460120N1")</f>
        <v>9460120N1</v>
      </c>
      <c r="B1912" s="4" t="str">
        <f>IFERROR(__xludf.DUMMYFUNCTION("""COMPUTED_VALUE"""),"Rectangulo MOPU 60x120 cm Reflex I")</f>
        <v>Rectangulo MOPU 60x120 cm Reflex I</v>
      </c>
      <c r="C1912" s="4">
        <f>IFERROR(__xludf.DUMMYFUNCTION("""COMPUTED_VALUE"""),95.5968)</f>
        <v>95.5968</v>
      </c>
    </row>
    <row r="1913">
      <c r="A1913" s="4" t="str">
        <f>IFERROR(__xludf.DUMMYFUNCTION("""COMPUTED_VALUE"""),"9460120N2")</f>
        <v>9460120N2</v>
      </c>
      <c r="B1913" s="4" t="str">
        <f>IFERROR(__xludf.DUMMYFUNCTION("""COMPUTED_VALUE"""),"Rectangulo MOPU 60x120 cm Reflex II")</f>
        <v>Rectangulo MOPU 60x120 cm Reflex II</v>
      </c>
      <c r="C1913" s="4">
        <f>IFERROR(__xludf.DUMMYFUNCTION("""COMPUTED_VALUE"""),125.79839999999999)</f>
        <v>125.7984</v>
      </c>
    </row>
    <row r="1914">
      <c r="A1914" s="4" t="str">
        <f>IFERROR(__xludf.DUMMYFUNCTION("""COMPUTED_VALUE"""),"9460120N3")</f>
        <v>9460120N3</v>
      </c>
      <c r="B1914" s="4" t="str">
        <f>IFERROR(__xludf.DUMMYFUNCTION("""COMPUTED_VALUE"""),"Rectangulo MOPU 60x120 cm Reflex III")</f>
        <v>Rectangulo MOPU 60x120 cm Reflex III</v>
      </c>
      <c r="C1914" s="4">
        <f>IFERROR(__xludf.DUMMYFUNCTION("""COMPUTED_VALUE"""),161.04)</f>
        <v>161.04</v>
      </c>
    </row>
    <row r="1915">
      <c r="A1915" s="4" t="str">
        <f>IFERROR(__xludf.DUMMYFUNCTION("""COMPUTED_VALUE"""),"946090N")</f>
        <v>946090N</v>
      </c>
      <c r="B1915" s="4" t="str">
        <f>IFERROR(__xludf.DUMMYFUNCTION("""COMPUTED_VALUE"""),"Rectangulo MOPU 60x90 cm Normal")</f>
        <v>Rectangulo MOPU 60x90 cm Normal</v>
      </c>
      <c r="C1915" s="4">
        <f>IFERROR(__xludf.DUMMYFUNCTION("""COMPUTED_VALUE"""),63.11039999999999)</f>
        <v>63.1104</v>
      </c>
    </row>
    <row r="1916">
      <c r="A1916" s="4" t="str">
        <f>IFERROR(__xludf.DUMMYFUNCTION("""COMPUTED_VALUE"""),"946090N1")</f>
        <v>946090N1</v>
      </c>
      <c r="B1916" s="4" t="str">
        <f>IFERROR(__xludf.DUMMYFUNCTION("""COMPUTED_VALUE"""),"Rectangulo MOPU 60x90 cm Reflex I")</f>
        <v>Rectangulo MOPU 60x90 cm Reflex I</v>
      </c>
      <c r="C1916" s="4">
        <f>IFERROR(__xludf.DUMMYFUNCTION("""COMPUTED_VALUE"""),69.2064)</f>
        <v>69.2064</v>
      </c>
    </row>
    <row r="1917">
      <c r="A1917" s="4" t="str">
        <f>IFERROR(__xludf.DUMMYFUNCTION("""COMPUTED_VALUE"""),"946090N2")</f>
        <v>946090N2</v>
      </c>
      <c r="B1917" s="4" t="str">
        <f>IFERROR(__xludf.DUMMYFUNCTION("""COMPUTED_VALUE"""),"Rectangulo MOPU 60x90 cm Reflex II")</f>
        <v>Rectangulo MOPU 60x90 cm Reflex II</v>
      </c>
      <c r="C1917" s="4">
        <f>IFERROR(__xludf.DUMMYFUNCTION("""COMPUTED_VALUE"""),96.8736)</f>
        <v>96.8736</v>
      </c>
    </row>
    <row r="1918">
      <c r="A1918" s="4" t="str">
        <f>IFERROR(__xludf.DUMMYFUNCTION("""COMPUTED_VALUE"""),"946090N3")</f>
        <v>946090N3</v>
      </c>
      <c r="B1918" s="4" t="str">
        <f>IFERROR(__xludf.DUMMYFUNCTION("""COMPUTED_VALUE"""),"Rectangulo MOPU 60x90 cm Reflex III")</f>
        <v>Rectangulo MOPU 60x90 cm Reflex III</v>
      </c>
      <c r="C1918" s="4">
        <f>IFERROR(__xludf.DUMMYFUNCTION("""COMPUTED_VALUE"""),126.96959999999999)</f>
        <v>126.9696</v>
      </c>
    </row>
    <row r="1919">
      <c r="A1919" s="4" t="str">
        <f>IFERROR(__xludf.DUMMYFUNCTION("""COMPUTED_VALUE"""),"9490135N")</f>
        <v>9490135N</v>
      </c>
      <c r="B1919" s="4" t="str">
        <f>IFERROR(__xludf.DUMMYFUNCTION("""COMPUTED_VALUE"""),"Rectangulo MOPU 90x135 cm Normal")</f>
        <v>Rectangulo MOPU 90x135 cm Normal</v>
      </c>
      <c r="C1919" s="4">
        <f>IFERROR(__xludf.DUMMYFUNCTION("""COMPUTED_VALUE"""),111.32159999999999)</f>
        <v>111.3216</v>
      </c>
    </row>
    <row r="1920">
      <c r="A1920" s="4" t="str">
        <f>IFERROR(__xludf.DUMMYFUNCTION("""COMPUTED_VALUE"""),"9490135N1")</f>
        <v>9490135N1</v>
      </c>
      <c r="B1920" s="4" t="str">
        <f>IFERROR(__xludf.DUMMYFUNCTION("""COMPUTED_VALUE"""),"Rectangulo MOPU 90x135 cm Reflex I")</f>
        <v>Rectangulo MOPU 90x135 cm Reflex I</v>
      </c>
      <c r="C1920" s="4">
        <f>IFERROR(__xludf.DUMMYFUNCTION("""COMPUTED_VALUE"""),256.5504)</f>
        <v>256.5504</v>
      </c>
    </row>
    <row r="1921">
      <c r="A1921" s="4" t="str">
        <f>IFERROR(__xludf.DUMMYFUNCTION("""COMPUTED_VALUE"""),"9490135N2")</f>
        <v>9490135N2</v>
      </c>
      <c r="B1921" s="4" t="str">
        <f>IFERROR(__xludf.DUMMYFUNCTION("""COMPUTED_VALUE"""),"Rectangulo MOPU 90x135 cm Reflex II")</f>
        <v>Rectangulo MOPU 90x135 cm Reflex II</v>
      </c>
      <c r="C1921" s="4">
        <f>IFERROR(__xludf.DUMMYFUNCTION("""COMPUTED_VALUE"""),194.4)</f>
        <v>194.4</v>
      </c>
    </row>
    <row r="1922">
      <c r="A1922" s="4" t="str">
        <f>IFERROR(__xludf.DUMMYFUNCTION("""COMPUTED_VALUE"""),"9490135N3")</f>
        <v>9490135N3</v>
      </c>
      <c r="B1922" s="4" t="str">
        <f>IFERROR(__xludf.DUMMYFUNCTION("""COMPUTED_VALUE"""),"Rectangulo MOPU 90x135 cm Reflex III")</f>
        <v>Rectangulo MOPU 90x135 cm Reflex III</v>
      </c>
      <c r="C1922" s="4">
        <f>IFERROR(__xludf.DUMMYFUNCTION("""COMPUTED_VALUE"""),256.8)</f>
        <v>256.8</v>
      </c>
    </row>
    <row r="1923">
      <c r="A1923" s="4" t="str">
        <f>IFERROR(__xludf.DUMMYFUNCTION("""COMPUTED_VALUE"""),"9500N")</f>
        <v>9500N</v>
      </c>
      <c r="B1923" s="4" t="str">
        <f>IFERROR(__xludf.DUMMYFUNCTION("""COMPUTED_VALUE"""),"Señal Aluminio Triangular 70 cm Normal")</f>
        <v>Señal Aluminio Triangular 70 cm Normal</v>
      </c>
      <c r="C1923" s="4">
        <f>IFERROR(__xludf.DUMMYFUNCTION("""COMPUTED_VALUE"""),25.919999999999998)</f>
        <v>25.92</v>
      </c>
    </row>
    <row r="1924">
      <c r="A1924" s="4" t="str">
        <f>IFERROR(__xludf.DUMMYFUNCTION("""COMPUTED_VALUE"""),"9500N1")</f>
        <v>9500N1</v>
      </c>
      <c r="B1924" s="4" t="str">
        <f>IFERROR(__xludf.DUMMYFUNCTION("""COMPUTED_VALUE"""),"Señal Aluminio Triangular 70 cm Nivel 1")</f>
        <v>Señal Aluminio Triangular 70 cm Nivel 1</v>
      </c>
      <c r="C1924" s="4">
        <f>IFERROR(__xludf.DUMMYFUNCTION("""COMPUTED_VALUE"""),28.799999999999997)</f>
        <v>28.8</v>
      </c>
    </row>
    <row r="1925">
      <c r="A1925" s="4" t="str">
        <f>IFERROR(__xludf.DUMMYFUNCTION("""COMPUTED_VALUE"""),"954020N")</f>
        <v>954020N</v>
      </c>
      <c r="B1925" s="4" t="str">
        <f>IFERROR(__xludf.DUMMYFUNCTION("""COMPUTED_VALUE"""),"Señal MOPU complementaria 40x20 cm Normal")</f>
        <v>Señal MOPU complementaria 40x20 cm Normal</v>
      </c>
      <c r="C1925" s="4">
        <f>IFERROR(__xludf.DUMMYFUNCTION("""COMPUTED_VALUE"""),18.24)</f>
        <v>18.24</v>
      </c>
    </row>
    <row r="1926">
      <c r="A1926" s="4" t="str">
        <f>IFERROR(__xludf.DUMMYFUNCTION("""COMPUTED_VALUE"""),"954020N1")</f>
        <v>954020N1</v>
      </c>
      <c r="B1926" s="4" t="str">
        <f>IFERROR(__xludf.DUMMYFUNCTION("""COMPUTED_VALUE"""),"Señal MOPU complementaria 40x20 cm Reflex I")</f>
        <v>Señal MOPU complementaria 40x20 cm Reflex I</v>
      </c>
      <c r="C1926" s="4">
        <f>IFERROR(__xludf.DUMMYFUNCTION("""COMPUTED_VALUE"""),21.36)</f>
        <v>21.36</v>
      </c>
    </row>
    <row r="1927">
      <c r="A1927" s="4" t="str">
        <f>IFERROR(__xludf.DUMMYFUNCTION("""COMPUTED_VALUE"""),"954020N2")</f>
        <v>954020N2</v>
      </c>
      <c r="B1927" s="4" t="str">
        <f>IFERROR(__xludf.DUMMYFUNCTION("""COMPUTED_VALUE"""),"Señal MOPU complementaria 40x20 cm Reflex II")</f>
        <v>Señal MOPU complementaria 40x20 cm Reflex II</v>
      </c>
      <c r="C1927" s="4">
        <f>IFERROR(__xludf.DUMMYFUNCTION("""COMPUTED_VALUE"""),26.16)</f>
        <v>26.16</v>
      </c>
    </row>
    <row r="1928">
      <c r="A1928" s="4" t="str">
        <f>IFERROR(__xludf.DUMMYFUNCTION("""COMPUTED_VALUE"""),"954020N3")</f>
        <v>954020N3</v>
      </c>
      <c r="B1928" s="4" t="str">
        <f>IFERROR(__xludf.DUMMYFUNCTION("""COMPUTED_VALUE"""),"Señal MOPU complemenaria 40x20 cm Reflex III")</f>
        <v>Señal MOPU complemenaria 40x20 cm Reflex III</v>
      </c>
      <c r="C1928" s="4">
        <f>IFERROR(__xludf.DUMMYFUNCTION("""COMPUTED_VALUE"""),30.144)</f>
        <v>30.144</v>
      </c>
    </row>
    <row r="1929">
      <c r="A1929" s="4" t="str">
        <f>IFERROR(__xludf.DUMMYFUNCTION("""COMPUTED_VALUE"""),"956020N")</f>
        <v>956020N</v>
      </c>
      <c r="B1929" s="4" t="str">
        <f>IFERROR(__xludf.DUMMYFUNCTION("""COMPUTED_VALUE"""),"Señal MOPU complementaria 60x20 cm Normal")</f>
        <v>Señal MOPU complementaria 60x20 cm Normal</v>
      </c>
      <c r="C1929" s="4">
        <f>IFERROR(__xludf.DUMMYFUNCTION("""COMPUTED_VALUE"""),22.464)</f>
        <v>22.464</v>
      </c>
    </row>
    <row r="1930">
      <c r="A1930" s="4" t="str">
        <f>IFERROR(__xludf.DUMMYFUNCTION("""COMPUTED_VALUE"""),"956020N1")</f>
        <v>956020N1</v>
      </c>
      <c r="B1930" s="4" t="str">
        <f>IFERROR(__xludf.DUMMYFUNCTION("""COMPUTED_VALUE"""),"Señal MOPU complementaria 60x20 cm Reflex I")</f>
        <v>Señal MOPU complementaria 60x20 cm Reflex I</v>
      </c>
      <c r="C1930" s="4">
        <f>IFERROR(__xludf.DUMMYFUNCTION("""COMPUTED_VALUE"""),30.959999999999997)</f>
        <v>30.96</v>
      </c>
    </row>
    <row r="1931">
      <c r="A1931" s="4" t="str">
        <f>IFERROR(__xludf.DUMMYFUNCTION("""COMPUTED_VALUE"""),"956020N2")</f>
        <v>956020N2</v>
      </c>
      <c r="B1931" s="4" t="str">
        <f>IFERROR(__xludf.DUMMYFUNCTION("""COMPUTED_VALUE"""),"Señal MOPU complementaria 60x20 cm Reflex II")</f>
        <v>Señal MOPU complementaria 60x20 cm Reflex II</v>
      </c>
      <c r="C1931" s="4">
        <f>IFERROR(__xludf.DUMMYFUNCTION("""COMPUTED_VALUE"""),33.6)</f>
        <v>33.6</v>
      </c>
    </row>
    <row r="1932">
      <c r="A1932" s="4" t="str">
        <f>IFERROR(__xludf.DUMMYFUNCTION("""COMPUTED_VALUE"""),"956020N3")</f>
        <v>956020N3</v>
      </c>
      <c r="B1932" s="4" t="str">
        <f>IFERROR(__xludf.DUMMYFUNCTION("""COMPUTED_VALUE"""),"Señal MOPU complementaria 60x20 cm Reflex III")</f>
        <v>Señal MOPU complementaria 60x20 cm Reflex III</v>
      </c>
      <c r="C1932" s="4">
        <f>IFERROR(__xludf.DUMMYFUNCTION("""COMPUTED_VALUE"""),38.16)</f>
        <v>38.16</v>
      </c>
    </row>
    <row r="1933">
      <c r="A1933" s="4" t="str">
        <f>IFERROR(__xludf.DUMMYFUNCTION("""COMPUTED_VALUE"""),"956030N")</f>
        <v>956030N</v>
      </c>
      <c r="B1933" s="4" t="str">
        <f>IFERROR(__xludf.DUMMYFUNCTION("""COMPUTED_VALUE"""),"Señal MOPU complementaria 60x30 cm Normal")</f>
        <v>Señal MOPU complementaria 60x30 cm Normal</v>
      </c>
      <c r="C1933" s="4">
        <f>IFERROR(__xludf.DUMMYFUNCTION("""COMPUTED_VALUE"""),28.08)</f>
        <v>28.08</v>
      </c>
    </row>
    <row r="1934">
      <c r="A1934" s="4" t="str">
        <f>IFERROR(__xludf.DUMMYFUNCTION("""COMPUTED_VALUE"""),"956030N1")</f>
        <v>956030N1</v>
      </c>
      <c r="B1934" s="4" t="str">
        <f>IFERROR(__xludf.DUMMYFUNCTION("""COMPUTED_VALUE"""),"Señal MOPU complementaria 60x30 cm Reflex I")</f>
        <v>Señal MOPU complementaria 60x30 cm Reflex I</v>
      </c>
      <c r="C1934" s="4">
        <f>IFERROR(__xludf.DUMMYFUNCTION("""COMPUTED_VALUE"""),27.119999999999997)</f>
        <v>27.12</v>
      </c>
    </row>
    <row r="1935">
      <c r="A1935" s="4" t="str">
        <f>IFERROR(__xludf.DUMMYFUNCTION("""COMPUTED_VALUE"""),"956030N2")</f>
        <v>956030N2</v>
      </c>
      <c r="B1935" s="4" t="str">
        <f>IFERROR(__xludf.DUMMYFUNCTION("""COMPUTED_VALUE"""),"Señal MOPU complementaria 60x30 cm Reflex II")</f>
        <v>Señal MOPU complementaria 60x30 cm Reflex II</v>
      </c>
      <c r="C1935" s="4">
        <f>IFERROR(__xludf.DUMMYFUNCTION("""COMPUTED_VALUE"""),37.824)</f>
        <v>37.824</v>
      </c>
    </row>
    <row r="1936">
      <c r="A1936" s="4" t="str">
        <f>IFERROR(__xludf.DUMMYFUNCTION("""COMPUTED_VALUE"""),"956030N3")</f>
        <v>956030N3</v>
      </c>
      <c r="B1936" s="4" t="str">
        <f>IFERROR(__xludf.DUMMYFUNCTION("""COMPUTED_VALUE"""),"Señal MOPu complementaria 60x30 cm Reflex III")</f>
        <v>Señal MOPu complementaria 60x30 cm Reflex III</v>
      </c>
      <c r="C1936" s="4">
        <f>IFERROR(__xludf.DUMMYFUNCTION("""COMPUTED_VALUE"""),47.424)</f>
        <v>47.424</v>
      </c>
    </row>
    <row r="1937">
      <c r="A1937" s="4" t="str">
        <f>IFERROR(__xludf.DUMMYFUNCTION("""COMPUTED_VALUE"""),"956040N")</f>
        <v>956040N</v>
      </c>
      <c r="B1937" s="4" t="str">
        <f>IFERROR(__xludf.DUMMYFUNCTION("""COMPUTED_VALUE"""),"Señal MOPU complementaria 60x40 cm Normal")</f>
        <v>Señal MOPU complementaria 60x40 cm Normal</v>
      </c>
      <c r="C1937" s="4">
        <f>IFERROR(__xludf.DUMMYFUNCTION("""COMPUTED_VALUE"""),37.632)</f>
        <v>37.632</v>
      </c>
    </row>
    <row r="1938">
      <c r="A1938" s="4" t="str">
        <f>IFERROR(__xludf.DUMMYFUNCTION("""COMPUTED_VALUE"""),"956040N1")</f>
        <v>956040N1</v>
      </c>
      <c r="B1938" s="4" t="str">
        <f>IFERROR(__xludf.DUMMYFUNCTION("""COMPUTED_VALUE"""),"Señal MOPU complementaria 60x40 cm Reflex I")</f>
        <v>Señal MOPU complementaria 60x40 cm Reflex I</v>
      </c>
      <c r="C1938" s="4">
        <f>IFERROR(__xludf.DUMMYFUNCTION("""COMPUTED_VALUE"""),38.303999999999995)</f>
        <v>38.304</v>
      </c>
    </row>
    <row r="1939">
      <c r="A1939" s="4" t="str">
        <f>IFERROR(__xludf.DUMMYFUNCTION("""COMPUTED_VALUE"""),"956040N2")</f>
        <v>956040N2</v>
      </c>
      <c r="B1939" s="4" t="str">
        <f>IFERROR(__xludf.DUMMYFUNCTION("""COMPUTED_VALUE"""),"Señal MOPU complementaria 60x40 cm Reflex II")</f>
        <v>Señal MOPU complementaria 60x40 cm Reflex II</v>
      </c>
      <c r="C1939" s="4">
        <f>IFERROR(__xludf.DUMMYFUNCTION("""COMPUTED_VALUE"""),40.559999999999995)</f>
        <v>40.56</v>
      </c>
    </row>
    <row r="1940">
      <c r="A1940" s="4" t="str">
        <f>IFERROR(__xludf.DUMMYFUNCTION("""COMPUTED_VALUE"""),"956040N3")</f>
        <v>956040N3</v>
      </c>
      <c r="B1940" s="4" t="str">
        <f>IFERROR(__xludf.DUMMYFUNCTION("""COMPUTED_VALUE"""),"Señal MOPU complementaria 60x40 cm Reflex III")</f>
        <v>Señal MOPU complementaria 60x40 cm Reflex III</v>
      </c>
      <c r="C1940" s="4">
        <f>IFERROR(__xludf.DUMMYFUNCTION("""COMPUTED_VALUE"""),61.68)</f>
        <v>61.68</v>
      </c>
    </row>
    <row r="1941">
      <c r="A1941" s="4" t="str">
        <f>IFERROR(__xludf.DUMMYFUNCTION("""COMPUTED_VALUE"""),"958040N")</f>
        <v>958040N</v>
      </c>
      <c r="B1941" s="4" t="str">
        <f>IFERROR(__xludf.DUMMYFUNCTION("""COMPUTED_VALUE"""),"Señal MOPU complementaria 80x40 Normal")</f>
        <v>Señal MOPU complementaria 80x40 Normal</v>
      </c>
      <c r="C1941" s="4">
        <f>IFERROR(__xludf.DUMMYFUNCTION("""COMPUTED_VALUE"""),33.36)</f>
        <v>33.36</v>
      </c>
    </row>
    <row r="1942">
      <c r="A1942" s="4" t="str">
        <f>IFERROR(__xludf.DUMMYFUNCTION("""COMPUTED_VALUE"""),"958040N1")</f>
        <v>958040N1</v>
      </c>
      <c r="B1942" s="4" t="str">
        <f>IFERROR(__xludf.DUMMYFUNCTION("""COMPUTED_VALUE"""),"Señal MOPU complementaria 80x40 cm Reflex I")</f>
        <v>Señal MOPU complementaria 80x40 cm Reflex I</v>
      </c>
      <c r="C1942" s="4">
        <f>IFERROR(__xludf.DUMMYFUNCTION("""COMPUTED_VALUE"""),45.36)</f>
        <v>45.36</v>
      </c>
    </row>
    <row r="1943">
      <c r="A1943" s="4" t="str">
        <f>IFERROR(__xludf.DUMMYFUNCTION("""COMPUTED_VALUE"""),"958040N2")</f>
        <v>958040N2</v>
      </c>
      <c r="B1943" s="4" t="str">
        <f>IFERROR(__xludf.DUMMYFUNCTION("""COMPUTED_VALUE"""),"Señal MOPU complementaria 80x40 cm Reflex II")</f>
        <v>Señal MOPU complementaria 80x40 cm Reflex II</v>
      </c>
      <c r="C1943" s="4">
        <f>IFERROR(__xludf.DUMMYFUNCTION("""COMPUTED_VALUE"""),56.879999999999995)</f>
        <v>56.88</v>
      </c>
    </row>
    <row r="1944">
      <c r="A1944" s="4" t="str">
        <f>IFERROR(__xludf.DUMMYFUNCTION("""COMPUTED_VALUE"""),"958040N3")</f>
        <v>958040N3</v>
      </c>
      <c r="B1944" s="4" t="str">
        <f>IFERROR(__xludf.DUMMYFUNCTION("""COMPUTED_VALUE"""),"Señal MOPu complementaria 80x40 cm Reflex III")</f>
        <v>Señal MOPu complementaria 80x40 cm Reflex III</v>
      </c>
      <c r="C1944" s="4">
        <f>IFERROR(__xludf.DUMMYFUNCTION("""COMPUTED_VALUE"""),71.75999999999999)</f>
        <v>71.76</v>
      </c>
    </row>
    <row r="1945">
      <c r="A1945" s="4" t="str">
        <f>IFERROR(__xludf.DUMMYFUNCTION("""COMPUTED_VALUE"""),"958520N")</f>
        <v>958520N</v>
      </c>
      <c r="B1945" s="4" t="str">
        <f>IFERROR(__xludf.DUMMYFUNCTION("""COMPUTED_VALUE"""),"Señal MOPU complementaria 85x20 Normal")</f>
        <v>Señal MOPU complementaria 85x20 Normal</v>
      </c>
      <c r="C1945" s="4">
        <f>IFERROR(__xludf.DUMMYFUNCTION("""COMPUTED_VALUE"""),33.024)</f>
        <v>33.024</v>
      </c>
    </row>
    <row r="1946">
      <c r="A1946" s="4" t="str">
        <f>IFERROR(__xludf.DUMMYFUNCTION("""COMPUTED_VALUE"""),"958520N1")</f>
        <v>958520N1</v>
      </c>
      <c r="B1946" s="4" t="str">
        <f>IFERROR(__xludf.DUMMYFUNCTION("""COMPUTED_VALUE"""),"Señal MOPU complementaria 85x20 cm Reflex I")</f>
        <v>Señal MOPU complementaria 85x20 cm Reflex I</v>
      </c>
      <c r="C1946" s="4">
        <f>IFERROR(__xludf.DUMMYFUNCTION("""COMPUTED_VALUE"""),33.839999999999996)</f>
        <v>33.84</v>
      </c>
    </row>
    <row r="1947">
      <c r="A1947" s="4" t="str">
        <f>IFERROR(__xludf.DUMMYFUNCTION("""COMPUTED_VALUE"""),"958520N2")</f>
        <v>958520N2</v>
      </c>
      <c r="B1947" s="4" t="str">
        <f>IFERROR(__xludf.DUMMYFUNCTION("""COMPUTED_VALUE"""),"Señal MOPU complementaria 85x20 cm Reflex II")</f>
        <v>Señal MOPU complementaria 85x20 cm Reflex II</v>
      </c>
      <c r="C1947" s="4">
        <f>IFERROR(__xludf.DUMMYFUNCTION("""COMPUTED_VALUE"""),47.903999999999996)</f>
        <v>47.904</v>
      </c>
    </row>
    <row r="1948">
      <c r="A1948" s="4" t="str">
        <f>IFERROR(__xludf.DUMMYFUNCTION("""COMPUTED_VALUE"""),"958520N3")</f>
        <v>958520N3</v>
      </c>
      <c r="B1948" s="4" t="str">
        <f>IFERROR(__xludf.DUMMYFUNCTION("""COMPUTED_VALUE"""),"Señal MOPU complementaria 85x20 cm Reflex III")</f>
        <v>Señal MOPU complementaria 85x20 cm Reflex III</v>
      </c>
      <c r="C1948" s="4">
        <f>IFERROR(__xludf.DUMMYFUNCTION("""COMPUTED_VALUE"""),45.36)</f>
        <v>45.36</v>
      </c>
    </row>
    <row r="1949">
      <c r="A1949" s="4" t="str">
        <f>IFERROR(__xludf.DUMMYFUNCTION("""COMPUTED_VALUE"""),"959030N")</f>
        <v>959030N</v>
      </c>
      <c r="B1949" s="4" t="str">
        <f>IFERROR(__xludf.DUMMYFUNCTION("""COMPUTED_VALUE"""),"Señal MOPU complementaria 90x30 cm Normal")</f>
        <v>Señal MOPU complementaria 90x30 cm Normal</v>
      </c>
      <c r="C1949" s="4">
        <f>IFERROR(__xludf.DUMMYFUNCTION("""COMPUTED_VALUE"""),39.12)</f>
        <v>39.12</v>
      </c>
    </row>
    <row r="1950">
      <c r="A1950" s="4" t="str">
        <f>IFERROR(__xludf.DUMMYFUNCTION("""COMPUTED_VALUE"""),"959030N1")</f>
        <v>959030N1</v>
      </c>
      <c r="B1950" s="4" t="str">
        <f>IFERROR(__xludf.DUMMYFUNCTION("""COMPUTED_VALUE"""),"Señal MOPU complementario 90x30 cm Reflex I")</f>
        <v>Señal MOPU complementario 90x30 cm Reflex I</v>
      </c>
      <c r="C1950" s="4">
        <f>IFERROR(__xludf.DUMMYFUNCTION("""COMPUTED_VALUE"""),41.519999999999996)</f>
        <v>41.52</v>
      </c>
    </row>
    <row r="1951">
      <c r="A1951" s="4" t="str">
        <f>IFERROR(__xludf.DUMMYFUNCTION("""COMPUTED_VALUE"""),"959030N2")</f>
        <v>959030N2</v>
      </c>
      <c r="B1951" s="4" t="str">
        <f>IFERROR(__xludf.DUMMYFUNCTION("""COMPUTED_VALUE"""),"Señal MOPU complementaria 90x30 cm Reflex II")</f>
        <v>Señal MOPU complementaria 90x30 cm Reflex II</v>
      </c>
      <c r="C1951" s="4">
        <f>IFERROR(__xludf.DUMMYFUNCTION("""COMPUTED_VALUE"""),55.007999999999996)</f>
        <v>55.008</v>
      </c>
    </row>
    <row r="1952">
      <c r="A1952" s="4" t="str">
        <f>IFERROR(__xludf.DUMMYFUNCTION("""COMPUTED_VALUE"""),"959030N3")</f>
        <v>959030N3</v>
      </c>
      <c r="B1952" s="4" t="str">
        <f>IFERROR(__xludf.DUMMYFUNCTION("""COMPUTED_VALUE"""),"Señal MOPU complementaria 90x30 cm Reflex III")</f>
        <v>Señal MOPU complementaria 90x30 cm Reflex III</v>
      </c>
      <c r="C1952" s="4">
        <f>IFERROR(__xludf.DUMMYFUNCTION("""COMPUTED_VALUE"""),68.39999999999999)</f>
        <v>68.4</v>
      </c>
    </row>
    <row r="1953">
      <c r="A1953" s="4" t="str">
        <f>IFERROR(__xludf.DUMMYFUNCTION("""COMPUTED_VALUE"""),"9600N")</f>
        <v>9600N</v>
      </c>
      <c r="B1953" s="4" t="str">
        <f>IFERROR(__xludf.DUMMYFUNCTION("""COMPUTED_VALUE"""),"Señal Aluminio Circular 60 cm Normal")</f>
        <v>Señal Aluminio Circular 60 cm Normal</v>
      </c>
      <c r="C1953" s="4">
        <f>IFERROR(__xludf.DUMMYFUNCTION("""COMPUTED_VALUE"""),26.88)</f>
        <v>26.88</v>
      </c>
    </row>
    <row r="1954">
      <c r="A1954" s="4" t="str">
        <f>IFERROR(__xludf.DUMMYFUNCTION("""COMPUTED_VALUE"""),"9600N1")</f>
        <v>9600N1</v>
      </c>
      <c r="B1954" s="4" t="str">
        <f>IFERROR(__xludf.DUMMYFUNCTION("""COMPUTED_VALUE"""),"Señal Aluminio Circular 60 cm Nivel 1")</f>
        <v>Señal Aluminio Circular 60 cm Nivel 1</v>
      </c>
      <c r="C1954" s="4">
        <f>IFERROR(__xludf.DUMMYFUNCTION("""COMPUTED_VALUE"""),29.759999999999998)</f>
        <v>29.76</v>
      </c>
    </row>
    <row r="1955">
      <c r="A1955" s="4" t="str">
        <f>IFERROR(__xludf.DUMMYFUNCTION("""COMPUTED_VALUE"""),"9625120N")</f>
        <v>9625120N</v>
      </c>
      <c r="B1955" s="4" t="str">
        <f>IFERROR(__xludf.DUMMYFUNCTION("""COMPUTED_VALUE"""),"Señal MOPU informativa 25x120 cm Normal")</f>
        <v>Señal MOPU informativa 25x120 cm Normal</v>
      </c>
      <c r="C1955" s="4">
        <f>IFERROR(__xludf.DUMMYFUNCTION("""COMPUTED_VALUE"""),62.764799999999994)</f>
        <v>62.7648</v>
      </c>
    </row>
    <row r="1956">
      <c r="A1956" s="4" t="str">
        <f>IFERROR(__xludf.DUMMYFUNCTION("""COMPUTED_VALUE"""),"9625120N1")</f>
        <v>9625120N1</v>
      </c>
      <c r="B1956" s="4" t="str">
        <f>IFERROR(__xludf.DUMMYFUNCTION("""COMPUTED_VALUE"""),"Señal MOPU informativa 25x120 cm Reflex I")</f>
        <v>Señal MOPU informativa 25x120 cm Reflex I</v>
      </c>
      <c r="C1956" s="4">
        <f>IFERROR(__xludf.DUMMYFUNCTION("""COMPUTED_VALUE"""),66.432)</f>
        <v>66.432</v>
      </c>
    </row>
    <row r="1957">
      <c r="A1957" s="4" t="str">
        <f>IFERROR(__xludf.DUMMYFUNCTION("""COMPUTED_VALUE"""),"9625120N1F")</f>
        <v>9625120N1F</v>
      </c>
      <c r="B1957" s="4" t="str">
        <f>IFERROR(__xludf.DUMMYFUNCTION("""COMPUTED_VALUE"""),"Señal MOPU informativa 25x120 Nivel 1 Flechada")</f>
        <v>Señal MOPU informativa 25x120 Nivel 1 Flechada</v>
      </c>
      <c r="C1957" s="4">
        <f>IFERROR(__xludf.DUMMYFUNCTION("""COMPUTED_VALUE"""),65.61599999999999)</f>
        <v>65.616</v>
      </c>
    </row>
    <row r="1958">
      <c r="A1958" s="4" t="str">
        <f>IFERROR(__xludf.DUMMYFUNCTION("""COMPUTED_VALUE"""),"9625120N2")</f>
        <v>9625120N2</v>
      </c>
      <c r="B1958" s="4" t="str">
        <f>IFERROR(__xludf.DUMMYFUNCTION("""COMPUTED_VALUE"""),"Señal MOPU informativa 25x120 cm Reflex II")</f>
        <v>Señal MOPU informativa 25x120 cm Reflex II</v>
      </c>
      <c r="C1958" s="4">
        <f>IFERROR(__xludf.DUMMYFUNCTION("""COMPUTED_VALUE"""),72.96)</f>
        <v>72.96</v>
      </c>
    </row>
    <row r="1959">
      <c r="A1959" s="4" t="str">
        <f>IFERROR(__xludf.DUMMYFUNCTION("""COMPUTED_VALUE"""),"9625120N2F")</f>
        <v>9625120N2F</v>
      </c>
      <c r="B1959" s="4" t="str">
        <f>IFERROR(__xludf.DUMMYFUNCTION("""COMPUTED_VALUE"""),"Señal MOPU informativa 25x120 Nivel 2 Flechada")</f>
        <v>Señal MOPU informativa 25x120 Nivel 2 Flechada</v>
      </c>
      <c r="C1959" s="4">
        <f>IFERROR(__xludf.DUMMYFUNCTION("""COMPUTED_VALUE"""),73.152)</f>
        <v>73.152</v>
      </c>
    </row>
    <row r="1960">
      <c r="A1960" s="4" t="str">
        <f>IFERROR(__xludf.DUMMYFUNCTION("""COMPUTED_VALUE"""),"9625120N3")</f>
        <v>9625120N3</v>
      </c>
      <c r="B1960" s="4" t="str">
        <f>IFERROR(__xludf.DUMMYFUNCTION("""COMPUTED_VALUE"""),"Señal MOPU informativa 25x120 cm Reflex III")</f>
        <v>Señal MOPU informativa 25x120 cm Reflex III</v>
      </c>
      <c r="C1960" s="4">
        <f>IFERROR(__xludf.DUMMYFUNCTION("""COMPUTED_VALUE"""),104.832)</f>
        <v>104.832</v>
      </c>
    </row>
    <row r="1961">
      <c r="A1961" s="4" t="str">
        <f>IFERROR(__xludf.DUMMYFUNCTION("""COMPUTED_VALUE"""),"9625120N3F")</f>
        <v>9625120N3F</v>
      </c>
      <c r="B1961" s="4" t="str">
        <f>IFERROR(__xludf.DUMMYFUNCTION("""COMPUTED_VALUE"""),"Señal MOPU informativa 25x120 Nivel 3 Flechada")</f>
        <v>Señal MOPU informativa 25x120 Nivel 3 Flechada</v>
      </c>
      <c r="C1961" s="4">
        <f>IFERROR(__xludf.DUMMYFUNCTION("""COMPUTED_VALUE"""),105.792)</f>
        <v>105.792</v>
      </c>
    </row>
    <row r="1962">
      <c r="A1962" s="4" t="str">
        <f>IFERROR(__xludf.DUMMYFUNCTION("""COMPUTED_VALUE"""),"9625120NF")</f>
        <v>9625120NF</v>
      </c>
      <c r="B1962" s="4" t="str">
        <f>IFERROR(__xludf.DUMMYFUNCTION("""COMPUTED_VALUE"""),"Señal MOPU informativa 25x120 Normal Flechada")</f>
        <v>Señal MOPU informativa 25x120 Normal Flechada</v>
      </c>
      <c r="C1962" s="4">
        <f>IFERROR(__xludf.DUMMYFUNCTION("""COMPUTED_VALUE"""),59.856)</f>
        <v>59.856</v>
      </c>
    </row>
    <row r="1963">
      <c r="A1963" s="4" t="str">
        <f>IFERROR(__xludf.DUMMYFUNCTION("""COMPUTED_VALUE"""),"962570N")</f>
        <v>962570N</v>
      </c>
      <c r="B1963" s="4" t="str">
        <f>IFERROR(__xludf.DUMMYFUNCTION("""COMPUTED_VALUE"""),"Señal MOPU informativa 25x70 cm Normal")</f>
        <v>Señal MOPU informativa 25x70 cm Normal</v>
      </c>
      <c r="C1963" s="4">
        <f>IFERROR(__xludf.DUMMYFUNCTION("""COMPUTED_VALUE"""),35.519999999999996)</f>
        <v>35.52</v>
      </c>
    </row>
    <row r="1964">
      <c r="A1964" s="4" t="str">
        <f>IFERROR(__xludf.DUMMYFUNCTION("""COMPUTED_VALUE"""),"962570N1")</f>
        <v>962570N1</v>
      </c>
      <c r="B1964" s="4" t="str">
        <f>IFERROR(__xludf.DUMMYFUNCTION("""COMPUTED_VALUE"""),"Señal MOPU informativa 25x70 cm Reflex I")</f>
        <v>Señal MOPU informativa 25x70 cm Reflex I</v>
      </c>
      <c r="C1964" s="4">
        <f>IFERROR(__xludf.DUMMYFUNCTION("""COMPUTED_VALUE"""),40.272)</f>
        <v>40.272</v>
      </c>
    </row>
    <row r="1965">
      <c r="A1965" s="4" t="str">
        <f>IFERROR(__xludf.DUMMYFUNCTION("""COMPUTED_VALUE"""),"962570N1F")</f>
        <v>962570N1F</v>
      </c>
      <c r="B1965" s="4" t="str">
        <f>IFERROR(__xludf.DUMMYFUNCTION("""COMPUTED_VALUE"""),"Señal MOPU informativa 25x70 cm Nivel 1 Flechada")</f>
        <v>Señal MOPU informativa 25x70 cm Nivel 1 Flechada</v>
      </c>
      <c r="C1965" s="4">
        <f>IFERROR(__xludf.DUMMYFUNCTION("""COMPUTED_VALUE"""),40.272)</f>
        <v>40.272</v>
      </c>
    </row>
    <row r="1966">
      <c r="A1966" s="4" t="str">
        <f>IFERROR(__xludf.DUMMYFUNCTION("""COMPUTED_VALUE"""),"962570N2")</f>
        <v>962570N2</v>
      </c>
      <c r="B1966" s="4" t="str">
        <f>IFERROR(__xludf.DUMMYFUNCTION("""COMPUTED_VALUE"""),"Señal MOPU informativa 25x70 cm Reflex II")</f>
        <v>Señal MOPU informativa 25x70 cm Reflex II</v>
      </c>
      <c r="C1966" s="4">
        <f>IFERROR(__xludf.DUMMYFUNCTION("""COMPUTED_VALUE"""),45.8208)</f>
        <v>45.8208</v>
      </c>
    </row>
    <row r="1967">
      <c r="A1967" s="4" t="str">
        <f>IFERROR(__xludf.DUMMYFUNCTION("""COMPUTED_VALUE"""),"962570N2F")</f>
        <v>962570N2F</v>
      </c>
      <c r="B1967" s="4" t="str">
        <f>IFERROR(__xludf.DUMMYFUNCTION("""COMPUTED_VALUE"""),"Señal MOPU informativa 25x70 cm Nivel 2 Flechada")</f>
        <v>Señal MOPU informativa 25x70 cm Nivel 2 Flechada</v>
      </c>
      <c r="C1967" s="4">
        <f>IFERROR(__xludf.DUMMYFUNCTION("""COMPUTED_VALUE"""),45.8208)</f>
        <v>45.8208</v>
      </c>
    </row>
    <row r="1968">
      <c r="A1968" s="4" t="str">
        <f>IFERROR(__xludf.DUMMYFUNCTION("""COMPUTED_VALUE"""),"962570N3")</f>
        <v>962570N3</v>
      </c>
      <c r="B1968" s="4" t="str">
        <f>IFERROR(__xludf.DUMMYFUNCTION("""COMPUTED_VALUE"""),"Señal MOPU informativa 25x70 cm Reflex III")</f>
        <v>Señal MOPU informativa 25x70 cm Reflex III</v>
      </c>
      <c r="C1968" s="4">
        <f>IFERROR(__xludf.DUMMYFUNCTION("""COMPUTED_VALUE"""),51.36)</f>
        <v>51.36</v>
      </c>
    </row>
    <row r="1969">
      <c r="A1969" s="4" t="str">
        <f>IFERROR(__xludf.DUMMYFUNCTION("""COMPUTED_VALUE"""),"962570N3F")</f>
        <v>962570N3F</v>
      </c>
      <c r="B1969" s="4" t="str">
        <f>IFERROR(__xludf.DUMMYFUNCTION("""COMPUTED_VALUE"""),"Señal MOPU informativa 25x70 cm Nivel 3 Flechada")</f>
        <v>Señal MOPU informativa 25x70 cm Nivel 3 Flechada</v>
      </c>
      <c r="C1969" s="4">
        <f>IFERROR(__xludf.DUMMYFUNCTION("""COMPUTED_VALUE"""),51.839999999999996)</f>
        <v>51.84</v>
      </c>
    </row>
    <row r="1970">
      <c r="A1970" s="4" t="str">
        <f>IFERROR(__xludf.DUMMYFUNCTION("""COMPUTED_VALUE"""),"962570NF")</f>
        <v>962570NF</v>
      </c>
      <c r="B1970" s="4" t="str">
        <f>IFERROR(__xludf.DUMMYFUNCTION("""COMPUTED_VALUE"""),"Señal MOPU informativa 25x70 cm Normal flechada")</f>
        <v>Señal MOPU informativa 25x70 cm Normal flechada</v>
      </c>
      <c r="C1970" s="4">
        <f>IFERROR(__xludf.DUMMYFUNCTION("""COMPUTED_VALUE"""),37.7568)</f>
        <v>37.7568</v>
      </c>
    </row>
    <row r="1971">
      <c r="A1971" s="4" t="str">
        <f>IFERROR(__xludf.DUMMYFUNCTION("""COMPUTED_VALUE"""),"962595N")</f>
        <v>962595N</v>
      </c>
      <c r="B1971" s="4" t="str">
        <f>IFERROR(__xludf.DUMMYFUNCTION("""COMPUTED_VALUE"""),"Señal MOPU informativa 25x95 cm Normal")</f>
        <v>Señal MOPU informativa 25x95 cm Normal</v>
      </c>
      <c r="C1971" s="4">
        <f>IFERROR(__xludf.DUMMYFUNCTION("""COMPUTED_VALUE"""),38.7648)</f>
        <v>38.7648</v>
      </c>
    </row>
    <row r="1972">
      <c r="A1972" s="4" t="str">
        <f>IFERROR(__xludf.DUMMYFUNCTION("""COMPUTED_VALUE"""),"962595N1")</f>
        <v>962595N1</v>
      </c>
      <c r="B1972" s="4" t="str">
        <f>IFERROR(__xludf.DUMMYFUNCTION("""COMPUTED_VALUE"""),"Señal MOPU informativa 25x95 cm Reflex I")</f>
        <v>Señal MOPU informativa 25x95 cm Reflex I</v>
      </c>
      <c r="C1972" s="4">
        <f>IFERROR(__xludf.DUMMYFUNCTION("""COMPUTED_VALUE"""),44.284800000000004)</f>
        <v>44.2848</v>
      </c>
    </row>
    <row r="1973">
      <c r="A1973" s="4" t="str">
        <f>IFERROR(__xludf.DUMMYFUNCTION("""COMPUTED_VALUE"""),"962595N3")</f>
        <v>962595N3</v>
      </c>
      <c r="B1973" s="4" t="str">
        <f>IFERROR(__xludf.DUMMYFUNCTION("""COMPUTED_VALUE"""),"Señal MOPU informativa 25x95 cm Reflex III")</f>
        <v>Señal MOPU informativa 25x95 cm Reflex III</v>
      </c>
      <c r="C1973" s="4">
        <f>IFERROR(__xludf.DUMMYFUNCTION("""COMPUTED_VALUE"""),60.336)</f>
        <v>60.336</v>
      </c>
    </row>
    <row r="1974">
      <c r="A1974" s="4" t="str">
        <f>IFERROR(__xludf.DUMMYFUNCTION("""COMPUTED_VALUE"""),"9630120N")</f>
        <v>9630120N</v>
      </c>
      <c r="B1974" s="4" t="str">
        <f>IFERROR(__xludf.DUMMYFUNCTION("""COMPUTED_VALUE"""),"Señal MOPU informativa 30x120 cm Normal")</f>
        <v>Señal MOPU informativa 30x120 cm Normal</v>
      </c>
      <c r="C1974" s="4">
        <f>IFERROR(__xludf.DUMMYFUNCTION("""COMPUTED_VALUE"""),51.36)</f>
        <v>51.36</v>
      </c>
    </row>
    <row r="1975">
      <c r="A1975" s="4" t="str">
        <f>IFERROR(__xludf.DUMMYFUNCTION("""COMPUTED_VALUE"""),"9630120N1")</f>
        <v>9630120N1</v>
      </c>
      <c r="B1975" s="4" t="str">
        <f>IFERROR(__xludf.DUMMYFUNCTION("""COMPUTED_VALUE"""),"Señal MOPU informativa 30x120 cm Reflex I")</f>
        <v>Señal MOPU informativa 30x120 cm Reflex I</v>
      </c>
      <c r="C1975" s="4">
        <f>IFERROR(__xludf.DUMMYFUNCTION("""COMPUTED_VALUE"""),65.184)</f>
        <v>65.184</v>
      </c>
    </row>
    <row r="1976">
      <c r="A1976" s="4" t="str">
        <f>IFERROR(__xludf.DUMMYFUNCTION("""COMPUTED_VALUE"""),"9630145N")</f>
        <v>9630145N</v>
      </c>
      <c r="B1976" s="4" t="str">
        <f>IFERROR(__xludf.DUMMYFUNCTION("""COMPUTED_VALUE"""),"Señal MOPU informativa 30x145 cm Normal")</f>
        <v>Señal MOPU informativa 30x145 cm Normal</v>
      </c>
      <c r="C1976" s="4">
        <f>IFERROR(__xludf.DUMMYFUNCTION("""COMPUTED_VALUE"""),81.648)</f>
        <v>81.648</v>
      </c>
    </row>
    <row r="1977">
      <c r="A1977" s="4" t="str">
        <f>IFERROR(__xludf.DUMMYFUNCTION("""COMPUTED_VALUE"""),"9630145N1")</f>
        <v>9630145N1</v>
      </c>
      <c r="B1977" s="4" t="str">
        <f>IFERROR(__xludf.DUMMYFUNCTION("""COMPUTED_VALUE"""),"Señal MOPU informativa 30x145 cm Reflex I")</f>
        <v>Señal MOPU informativa 30x145 cm Reflex I</v>
      </c>
      <c r="C1977" s="4">
        <f>IFERROR(__xludf.DUMMYFUNCTION("""COMPUTED_VALUE"""),77.28)</f>
        <v>77.28</v>
      </c>
    </row>
    <row r="1978">
      <c r="A1978" s="4" t="str">
        <f>IFERROR(__xludf.DUMMYFUNCTION("""COMPUTED_VALUE"""),"9630145N1F")</f>
        <v>9630145N1F</v>
      </c>
      <c r="B1978" s="4" t="str">
        <f>IFERROR(__xludf.DUMMYFUNCTION("""COMPUTED_VALUE"""),"Señal informativa 30x145 cm Nivel 1 Flechada")</f>
        <v>Señal informativa 30x145 cm Nivel 1 Flechada</v>
      </c>
      <c r="C1978" s="4">
        <f>IFERROR(__xludf.DUMMYFUNCTION("""COMPUTED_VALUE"""),81.072)</f>
        <v>81.072</v>
      </c>
    </row>
    <row r="1979">
      <c r="A1979" s="4" t="str">
        <f>IFERROR(__xludf.DUMMYFUNCTION("""COMPUTED_VALUE"""),"9630145N2")</f>
        <v>9630145N2</v>
      </c>
      <c r="B1979" s="4" t="str">
        <f>IFERROR(__xludf.DUMMYFUNCTION("""COMPUTED_VALUE"""),"Señal MOPU informativa 30x145 cm Reflex II")</f>
        <v>Señal MOPU informativa 30x145 cm Reflex II</v>
      </c>
      <c r="C1979" s="4">
        <f>IFERROR(__xludf.DUMMYFUNCTION("""COMPUTED_VALUE"""),98.39999999999999)</f>
        <v>98.4</v>
      </c>
    </row>
    <row r="1980">
      <c r="A1980" s="4" t="str">
        <f>IFERROR(__xludf.DUMMYFUNCTION("""COMPUTED_VALUE"""),"9630145N2F")</f>
        <v>9630145N2F</v>
      </c>
      <c r="B1980" s="4" t="str">
        <f>IFERROR(__xludf.DUMMYFUNCTION("""COMPUTED_VALUE"""),"Señal informativa 30x145 cm Nivel 2 Flechada")</f>
        <v>Señal informativa 30x145 cm Nivel 2 Flechada</v>
      </c>
      <c r="C1980" s="4">
        <f>IFERROR(__xludf.DUMMYFUNCTION("""COMPUTED_VALUE"""),98.23679999999999)</f>
        <v>98.2368</v>
      </c>
    </row>
    <row r="1981">
      <c r="A1981" s="4" t="str">
        <f>IFERROR(__xludf.DUMMYFUNCTION("""COMPUTED_VALUE"""),"9630145N3")</f>
        <v>9630145N3</v>
      </c>
      <c r="B1981" s="4" t="str">
        <f>IFERROR(__xludf.DUMMYFUNCTION("""COMPUTED_VALUE"""),"Señal MOPu informativa 30x145 cm Reflex III")</f>
        <v>Señal MOPu informativa 30x145 cm Reflex III</v>
      </c>
      <c r="C1981" s="4">
        <f>IFERROR(__xludf.DUMMYFUNCTION("""COMPUTED_VALUE"""),101.75999999999999)</f>
        <v>101.76</v>
      </c>
    </row>
    <row r="1982">
      <c r="A1982" s="4" t="str">
        <f>IFERROR(__xludf.DUMMYFUNCTION("""COMPUTED_VALUE"""),"9630145N3F")</f>
        <v>9630145N3F</v>
      </c>
      <c r="B1982" s="4" t="str">
        <f>IFERROR(__xludf.DUMMYFUNCTION("""COMPUTED_VALUE"""),"Señal informativa 30x145 cm Nivel 3 Flechada")</f>
        <v>Señal informativa 30x145 cm Nivel 3 Flechada</v>
      </c>
      <c r="C1982" s="4">
        <f>IFERROR(__xludf.DUMMYFUNCTION("""COMPUTED_VALUE"""),112.8)</f>
        <v>112.8</v>
      </c>
    </row>
    <row r="1983">
      <c r="A1983" s="4" t="str">
        <f>IFERROR(__xludf.DUMMYFUNCTION("""COMPUTED_VALUE"""),"9630145NF")</f>
        <v>9630145NF</v>
      </c>
      <c r="B1983" s="4" t="str">
        <f>IFERROR(__xludf.DUMMYFUNCTION("""COMPUTED_VALUE"""),"Señal informativa 30x145 cm Normal Flechada")</f>
        <v>Señal informativa 30x145 cm Normal Flechada</v>
      </c>
      <c r="C1983" s="4">
        <f>IFERROR(__xludf.DUMMYFUNCTION("""COMPUTED_VALUE"""),66.384)</f>
        <v>66.384</v>
      </c>
    </row>
    <row r="1984">
      <c r="A1984" s="4" t="str">
        <f>IFERROR(__xludf.DUMMYFUNCTION("""COMPUTED_VALUE"""),"963095N")</f>
        <v>963095N</v>
      </c>
      <c r="B1984" s="4" t="str">
        <f>IFERROR(__xludf.DUMMYFUNCTION("""COMPUTED_VALUE"""),"Señal MOPU informativa 30x95 cm Normal")</f>
        <v>Señal MOPU informativa 30x95 cm Normal</v>
      </c>
      <c r="C1984" s="4">
        <f>IFERROR(__xludf.DUMMYFUNCTION("""COMPUTED_VALUE"""),45.983999999999995)</f>
        <v>45.984</v>
      </c>
    </row>
    <row r="1985">
      <c r="A1985" s="4" t="str">
        <f>IFERROR(__xludf.DUMMYFUNCTION("""COMPUTED_VALUE"""),"963095N1")</f>
        <v>963095N1</v>
      </c>
      <c r="B1985" s="4" t="str">
        <f>IFERROR(__xludf.DUMMYFUNCTION("""COMPUTED_VALUE"""),"Señal MOPU informativa 30x95 cm Reflex I")</f>
        <v>Señal MOPU informativa 30x95 cm Reflex I</v>
      </c>
      <c r="C1985" s="4">
        <f>IFERROR(__xludf.DUMMYFUNCTION("""COMPUTED_VALUE"""),50.784)</f>
        <v>50.784</v>
      </c>
    </row>
    <row r="1986">
      <c r="A1986" s="4" t="str">
        <f>IFERROR(__xludf.DUMMYFUNCTION("""COMPUTED_VALUE"""),"963095N1F")</f>
        <v>963095N1F</v>
      </c>
      <c r="B1986" s="4" t="str">
        <f>IFERROR(__xludf.DUMMYFUNCTION("""COMPUTED_VALUE"""),"Señal MOPU informativa 30x95 Nivel 1 Flechada")</f>
        <v>Señal MOPU informativa 30x95 Nivel 1 Flechada</v>
      </c>
      <c r="C1986" s="4">
        <f>IFERROR(__xludf.DUMMYFUNCTION("""COMPUTED_VALUE"""),50.8032)</f>
        <v>50.8032</v>
      </c>
    </row>
    <row r="1987">
      <c r="A1987" s="4" t="str">
        <f>IFERROR(__xludf.DUMMYFUNCTION("""COMPUTED_VALUE"""),"963095N2")</f>
        <v>963095N2</v>
      </c>
      <c r="B1987" s="4" t="str">
        <f>IFERROR(__xludf.DUMMYFUNCTION("""COMPUTED_VALUE"""),"Señal MOPU informativa 30x95 cm Reflex II")</f>
        <v>Señal MOPU informativa 30x95 cm Reflex II</v>
      </c>
      <c r="C1987" s="4">
        <f>IFERROR(__xludf.DUMMYFUNCTION("""COMPUTED_VALUE"""),56.952)</f>
        <v>56.952</v>
      </c>
    </row>
    <row r="1988">
      <c r="A1988" s="4" t="str">
        <f>IFERROR(__xludf.DUMMYFUNCTION("""COMPUTED_VALUE"""),"963095N2F")</f>
        <v>963095N2F</v>
      </c>
      <c r="B1988" s="4" t="str">
        <f>IFERROR(__xludf.DUMMYFUNCTION("""COMPUTED_VALUE"""),"Señal MOPU informativa 30x95 Nivel 2 Flechada")</f>
        <v>Señal MOPU informativa 30x95 Nivel 2 Flechada</v>
      </c>
      <c r="C1988" s="4">
        <f>IFERROR(__xludf.DUMMYFUNCTION("""COMPUTED_VALUE"""),58.876799999999996)</f>
        <v>58.8768</v>
      </c>
    </row>
    <row r="1989">
      <c r="A1989" s="4" t="str">
        <f>IFERROR(__xludf.DUMMYFUNCTION("""COMPUTED_VALUE"""),"963095N3")</f>
        <v>963095N3</v>
      </c>
      <c r="B1989" s="4" t="str">
        <f>IFERROR(__xludf.DUMMYFUNCTION("""COMPUTED_VALUE"""),"Señal MOPU informativa 30x95 cm Reflex III")</f>
        <v>Señal MOPU informativa 30x95 cm Reflex III</v>
      </c>
      <c r="C1989" s="4">
        <f>IFERROR(__xludf.DUMMYFUNCTION("""COMPUTED_VALUE"""),61.44)</f>
        <v>61.44</v>
      </c>
    </row>
    <row r="1990">
      <c r="A1990" s="4" t="str">
        <f>IFERROR(__xludf.DUMMYFUNCTION("""COMPUTED_VALUE"""),"963095N3F")</f>
        <v>963095N3F</v>
      </c>
      <c r="B1990" s="4" t="str">
        <f>IFERROR(__xludf.DUMMYFUNCTION("""COMPUTED_VALUE"""),"Señal MOPU informativa 30x95 Nivel 3 Flechada")</f>
        <v>Señal MOPU informativa 30x95 Nivel 3 Flechada</v>
      </c>
      <c r="C1990" s="4">
        <f>IFERROR(__xludf.DUMMYFUNCTION("""COMPUTED_VALUE"""),64.464)</f>
        <v>64.464</v>
      </c>
    </row>
    <row r="1991">
      <c r="A1991" s="4" t="str">
        <f>IFERROR(__xludf.DUMMYFUNCTION("""COMPUTED_VALUE"""),"963095NF")</f>
        <v>963095NF</v>
      </c>
      <c r="B1991" s="4" t="str">
        <f>IFERROR(__xludf.DUMMYFUNCTION("""COMPUTED_VALUE"""),"Señal MOPU informativa 30x95 Normal Flechada")</f>
        <v>Señal MOPU informativa 30x95 Normal Flechada</v>
      </c>
      <c r="C1991" s="4">
        <f>IFERROR(__xludf.DUMMYFUNCTION("""COMPUTED_VALUE"""),45.263999999999996)</f>
        <v>45.264</v>
      </c>
    </row>
    <row r="1992">
      <c r="A1992" s="4" t="str">
        <f>IFERROR(__xludf.DUMMYFUNCTION("""COMPUTED_VALUE"""),"9640120N")</f>
        <v>9640120N</v>
      </c>
      <c r="B1992" s="4" t="str">
        <f>IFERROR(__xludf.DUMMYFUNCTION("""COMPUTED_VALUE"""),"Señal MOPU informativa 40x120 cm Normal")</f>
        <v>Señal MOPU informativa 40x120 cm Normal</v>
      </c>
      <c r="C1992" s="4">
        <f>IFERROR(__xludf.DUMMYFUNCTION("""COMPUTED_VALUE"""),76.032)</f>
        <v>76.032</v>
      </c>
    </row>
    <row r="1993">
      <c r="A1993" s="4" t="str">
        <f>IFERROR(__xludf.DUMMYFUNCTION("""COMPUTED_VALUE"""),"9640120N1")</f>
        <v>9640120N1</v>
      </c>
      <c r="B1993" s="4" t="str">
        <f>IFERROR(__xludf.DUMMYFUNCTION("""COMPUTED_VALUE"""),"Señal MOPU informativa 40x120 cm Reflex I")</f>
        <v>Señal MOPU informativa 40x120 cm Reflex I</v>
      </c>
      <c r="C1993" s="4">
        <f>IFERROR(__xludf.DUMMYFUNCTION("""COMPUTED_VALUE"""),70.08)</f>
        <v>70.08</v>
      </c>
    </row>
    <row r="1994">
      <c r="A1994" s="4" t="str">
        <f>IFERROR(__xludf.DUMMYFUNCTION("""COMPUTED_VALUE"""),"9640120N1F")</f>
        <v>9640120N1F</v>
      </c>
      <c r="B1994" s="4" t="str">
        <f>IFERROR(__xludf.DUMMYFUNCTION("""COMPUTED_VALUE"""),"Señal MOPU informativa 40x120 cm Nivel 1 flechada")</f>
        <v>Señal MOPU informativa 40x120 cm Nivel 1 flechada</v>
      </c>
      <c r="C1994" s="4">
        <f>IFERROR(__xludf.DUMMYFUNCTION("""COMPUTED_VALUE"""),75.552)</f>
        <v>75.552</v>
      </c>
    </row>
    <row r="1995">
      <c r="A1995" s="4" t="str">
        <f>IFERROR(__xludf.DUMMYFUNCTION("""COMPUTED_VALUE"""),"9640120N2")</f>
        <v>9640120N2</v>
      </c>
      <c r="B1995" s="4" t="str">
        <f>IFERROR(__xludf.DUMMYFUNCTION("""COMPUTED_VALUE"""),"Señal MOPU informativa 40x120 cm Reflex II")</f>
        <v>Señal MOPU informativa 40x120 cm Reflex II</v>
      </c>
      <c r="C1995" s="4">
        <f>IFERROR(__xludf.DUMMYFUNCTION("""COMPUTED_VALUE"""),84.0)</f>
        <v>84</v>
      </c>
    </row>
    <row r="1996">
      <c r="A1996" s="4" t="str">
        <f>IFERROR(__xludf.DUMMYFUNCTION("""COMPUTED_VALUE"""),"9640120N2F")</f>
        <v>9640120N2F</v>
      </c>
      <c r="B1996" s="4" t="str">
        <f>IFERROR(__xludf.DUMMYFUNCTION("""COMPUTED_VALUE"""),"Señal MOPU informativa 40x120 cm Nivel 2 flechada")</f>
        <v>Señal MOPU informativa 40x120 cm Nivel 2 flechada</v>
      </c>
      <c r="C1996" s="4">
        <f>IFERROR(__xludf.DUMMYFUNCTION("""COMPUTED_VALUE"""),87.6288)</f>
        <v>87.6288</v>
      </c>
    </row>
    <row r="1997">
      <c r="A1997" s="4" t="str">
        <f>IFERROR(__xludf.DUMMYFUNCTION("""COMPUTED_VALUE"""),"9640120N3")</f>
        <v>9640120N3</v>
      </c>
      <c r="B1997" s="4" t="str">
        <f>IFERROR(__xludf.DUMMYFUNCTION("""COMPUTED_VALUE"""),"Señal MOPU inforrmativa 40x120 cm Reflex III")</f>
        <v>Señal MOPU inforrmativa 40x120 cm Reflex III</v>
      </c>
      <c r="C1997" s="4">
        <f>IFERROR(__xludf.DUMMYFUNCTION("""COMPUTED_VALUE"""),116.16)</f>
        <v>116.16</v>
      </c>
    </row>
    <row r="1998">
      <c r="A1998" s="4" t="str">
        <f>IFERROR(__xludf.DUMMYFUNCTION("""COMPUTED_VALUE"""),"9640120N3F")</f>
        <v>9640120N3F</v>
      </c>
      <c r="B1998" s="4" t="str">
        <f>IFERROR(__xludf.DUMMYFUNCTION("""COMPUTED_VALUE"""),"Señal MOPU informativa 40x120 cm Nivel 3 flechada")</f>
        <v>Señal MOPU informativa 40x120 cm Nivel 3 flechada</v>
      </c>
      <c r="C1998" s="4">
        <f>IFERROR(__xludf.DUMMYFUNCTION("""COMPUTED_VALUE"""),128.928)</f>
        <v>128.928</v>
      </c>
    </row>
    <row r="1999">
      <c r="A1999" s="4" t="str">
        <f>IFERROR(__xludf.DUMMYFUNCTION("""COMPUTED_VALUE"""),"9640120NF")</f>
        <v>9640120NF</v>
      </c>
      <c r="B1999" s="4" t="str">
        <f>IFERROR(__xludf.DUMMYFUNCTION("""COMPUTED_VALUE"""),"Señal MOPU informativa 40x120 cm Normal Flechada")</f>
        <v>Señal MOPU informativa 40x120 cm Normal Flechada</v>
      </c>
      <c r="C1999" s="4">
        <f>IFERROR(__xludf.DUMMYFUNCTION("""COMPUTED_VALUE"""),66.432)</f>
        <v>66.432</v>
      </c>
    </row>
    <row r="2000">
      <c r="A2000" s="4" t="str">
        <f>IFERROR(__xludf.DUMMYFUNCTION("""COMPUTED_VALUE"""),"9640170N1")</f>
        <v>9640170N1</v>
      </c>
      <c r="B2000" s="4" t="str">
        <f>IFERROR(__xludf.DUMMYFUNCTION("""COMPUTED_VALUE"""),"Señal MOPU complementaria 40x170 Nivel 1")</f>
        <v>Señal MOPU complementaria 40x170 Nivel 1</v>
      </c>
      <c r="C2000" s="4">
        <f>IFERROR(__xludf.DUMMYFUNCTION("""COMPUTED_VALUE"""),103.2)</f>
        <v>103.2</v>
      </c>
    </row>
    <row r="2001">
      <c r="A2001" s="4" t="str">
        <f>IFERROR(__xludf.DUMMYFUNCTION("""COMPUTED_VALUE"""),"9640195N")</f>
        <v>9640195N</v>
      </c>
      <c r="B2001" s="4" t="str">
        <f>IFERROR(__xludf.DUMMYFUNCTION("""COMPUTED_VALUE"""),"Señal MOPU informativa 40x195 cm Normal")</f>
        <v>Señal MOPU informativa 40x195 cm Normal</v>
      </c>
      <c r="C2001" s="4">
        <f>IFERROR(__xludf.DUMMYFUNCTION("""COMPUTED_VALUE"""),109.632)</f>
        <v>109.632</v>
      </c>
    </row>
    <row r="2002">
      <c r="A2002" s="4" t="str">
        <f>IFERROR(__xludf.DUMMYFUNCTION("""COMPUTED_VALUE"""),"9640195N1")</f>
        <v>9640195N1</v>
      </c>
      <c r="B2002" s="4" t="str">
        <f>IFERROR(__xludf.DUMMYFUNCTION("""COMPUTED_VALUE"""),"Señal MOPU informativa 40x195 cm Nivel 1")</f>
        <v>Señal MOPU informativa 40x195 cm Nivel 1</v>
      </c>
      <c r="C2002" s="4">
        <f>IFERROR(__xludf.DUMMYFUNCTION("""COMPUTED_VALUE"""),117.984)</f>
        <v>117.984</v>
      </c>
    </row>
    <row r="2003">
      <c r="A2003" s="4" t="str">
        <f>IFERROR(__xludf.DUMMYFUNCTION("""COMPUTED_VALUE"""),"9640195N1F")</f>
        <v>9640195N1F</v>
      </c>
      <c r="B2003" s="4" t="str">
        <f>IFERROR(__xludf.DUMMYFUNCTION("""COMPUTED_VALUE"""),"Señal MOPU informativa 40x195 cm Nivel 1 Flechada")</f>
        <v>Señal MOPU informativa 40x195 cm Nivel 1 Flechada</v>
      </c>
      <c r="C2003" s="4">
        <f>IFERROR(__xludf.DUMMYFUNCTION("""COMPUTED_VALUE"""),117.984)</f>
        <v>117.984</v>
      </c>
    </row>
    <row r="2004">
      <c r="A2004" s="4" t="str">
        <f>IFERROR(__xludf.DUMMYFUNCTION("""COMPUTED_VALUE"""),"9640195N2")</f>
        <v>9640195N2</v>
      </c>
      <c r="B2004" s="4" t="str">
        <f>IFERROR(__xludf.DUMMYFUNCTION("""COMPUTED_VALUE"""),"Señal MOPU informativa 40x195 cm Nivel 2")</f>
        <v>Señal MOPU informativa 40x195 cm Nivel 2</v>
      </c>
      <c r="C2004" s="4">
        <f>IFERROR(__xludf.DUMMYFUNCTION("""COMPUTED_VALUE"""),143.28)</f>
        <v>143.28</v>
      </c>
    </row>
    <row r="2005">
      <c r="A2005" s="4" t="str">
        <f>IFERROR(__xludf.DUMMYFUNCTION("""COMPUTED_VALUE"""),"9640195N2F")</f>
        <v>9640195N2F</v>
      </c>
      <c r="B2005" s="4" t="str">
        <f>IFERROR(__xludf.DUMMYFUNCTION("""COMPUTED_VALUE"""),"Señal MOPU informativa 40x195 cm Nivel 2 flechada")</f>
        <v>Señal MOPU informativa 40x195 cm Nivel 2 flechada</v>
      </c>
      <c r="C2005" s="4">
        <f>IFERROR(__xludf.DUMMYFUNCTION("""COMPUTED_VALUE"""),143.28)</f>
        <v>143.28</v>
      </c>
    </row>
    <row r="2006">
      <c r="A2006" s="4" t="str">
        <f>IFERROR(__xludf.DUMMYFUNCTION("""COMPUTED_VALUE"""),"9640195N3")</f>
        <v>9640195N3</v>
      </c>
      <c r="B2006" s="4" t="str">
        <f>IFERROR(__xludf.DUMMYFUNCTION("""COMPUTED_VALUE"""),"Señal MOPU informativa 40x195 cm Nivel 3")</f>
        <v>Señal MOPU informativa 40x195 cm Nivel 3</v>
      </c>
      <c r="C2006" s="4">
        <f>IFERROR(__xludf.DUMMYFUNCTION("""COMPUTED_VALUE"""),150.96)</f>
        <v>150.96</v>
      </c>
    </row>
    <row r="2007">
      <c r="A2007" s="4" t="str">
        <f>IFERROR(__xludf.DUMMYFUNCTION("""COMPUTED_VALUE"""),"9640195N3F")</f>
        <v>9640195N3F</v>
      </c>
      <c r="B2007" s="4" t="str">
        <f>IFERROR(__xludf.DUMMYFUNCTION("""COMPUTED_VALUE"""),"Señal MOPU informativa 40x195 cm Nivel 3 Flechada")</f>
        <v>Señal MOPU informativa 40x195 cm Nivel 3 Flechada</v>
      </c>
      <c r="C2007" s="4">
        <f>IFERROR(__xludf.DUMMYFUNCTION("""COMPUTED_VALUE"""),150.96)</f>
        <v>150.96</v>
      </c>
    </row>
    <row r="2008">
      <c r="A2008" s="4" t="str">
        <f>IFERROR(__xludf.DUMMYFUNCTION("""COMPUTED_VALUE"""),"9640195NF")</f>
        <v>9640195NF</v>
      </c>
      <c r="B2008" s="4" t="str">
        <f>IFERROR(__xludf.DUMMYFUNCTION("""COMPUTED_VALUE"""),"Señal MOPU informativa 40x195 cm Normal Flechada")</f>
        <v>Señal MOPU informativa 40x195 cm Normal Flechada</v>
      </c>
      <c r="C2008" s="4">
        <f>IFERROR(__xludf.DUMMYFUNCTION("""COMPUTED_VALUE"""),109.632)</f>
        <v>109.632</v>
      </c>
    </row>
    <row r="2009">
      <c r="A2009" s="4" t="str">
        <f>IFERROR(__xludf.DUMMYFUNCTION("""COMPUTED_VALUE"""),"964595N")</f>
        <v>964595N</v>
      </c>
      <c r="B2009" s="4" t="str">
        <f>IFERROR(__xludf.DUMMYFUNCTION("""COMPUTED_VALUE"""),"Señal MOPU informativa 45x95 cm Normal")</f>
        <v>Señal MOPU informativa 45x95 cm Normal</v>
      </c>
      <c r="C2009" s="4">
        <f>IFERROR(__xludf.DUMMYFUNCTION("""COMPUTED_VALUE"""),62.61599999999999)</f>
        <v>62.616</v>
      </c>
    </row>
    <row r="2010">
      <c r="A2010" s="4" t="str">
        <f>IFERROR(__xludf.DUMMYFUNCTION("""COMPUTED_VALUE"""),"964595N1")</f>
        <v>964595N1</v>
      </c>
      <c r="B2010" s="4" t="str">
        <f>IFERROR(__xludf.DUMMYFUNCTION("""COMPUTED_VALUE"""),"Señal MOPU informativa 45x95 cm Nivel 1")</f>
        <v>Señal MOPU informativa 45x95 cm Nivel 1</v>
      </c>
      <c r="C2010" s="4">
        <f>IFERROR(__xludf.DUMMYFUNCTION("""COMPUTED_VALUE"""),71.28)</f>
        <v>71.28</v>
      </c>
    </row>
    <row r="2011">
      <c r="A2011" s="4" t="str">
        <f>IFERROR(__xludf.DUMMYFUNCTION("""COMPUTED_VALUE"""),"964595N1F")</f>
        <v>964595N1F</v>
      </c>
      <c r="B2011" s="4" t="str">
        <f>IFERROR(__xludf.DUMMYFUNCTION("""COMPUTED_VALUE"""),"Señal MOPU informativa 45x95 cm Nivel 1 Flechada")</f>
        <v>Señal MOPU informativa 45x95 cm Nivel 1 Flechada</v>
      </c>
      <c r="C2011" s="4">
        <f>IFERROR(__xludf.DUMMYFUNCTION("""COMPUTED_VALUE"""),71.28)</f>
        <v>71.28</v>
      </c>
    </row>
    <row r="2012">
      <c r="A2012" s="4" t="str">
        <f>IFERROR(__xludf.DUMMYFUNCTION("""COMPUTED_VALUE"""),"964595N2")</f>
        <v>964595N2</v>
      </c>
      <c r="B2012" s="4" t="str">
        <f>IFERROR(__xludf.DUMMYFUNCTION("""COMPUTED_VALUE"""),"Señal MOPU informativa 45x95 cm Nivel 2")</f>
        <v>Señal MOPU informativa 45x95 cm Nivel 2</v>
      </c>
      <c r="C2012" s="4">
        <f>IFERROR(__xludf.DUMMYFUNCTION("""COMPUTED_VALUE"""),80.88)</f>
        <v>80.88</v>
      </c>
    </row>
    <row r="2013">
      <c r="A2013" s="4" t="str">
        <f>IFERROR(__xludf.DUMMYFUNCTION("""COMPUTED_VALUE"""),"964595N2F")</f>
        <v>964595N2F</v>
      </c>
      <c r="B2013" s="4" t="str">
        <f>IFERROR(__xludf.DUMMYFUNCTION("""COMPUTED_VALUE"""),"Señal MOPU informativa 45x95 cm Nivel 2 Flechada")</f>
        <v>Señal MOPU informativa 45x95 cm Nivel 2 Flechada</v>
      </c>
      <c r="C2013" s="4">
        <f>IFERROR(__xludf.DUMMYFUNCTION("""COMPUTED_VALUE"""),80.88)</f>
        <v>80.88</v>
      </c>
    </row>
    <row r="2014">
      <c r="A2014" s="4" t="str">
        <f>IFERROR(__xludf.DUMMYFUNCTION("""COMPUTED_VALUE"""),"964595N3")</f>
        <v>964595N3</v>
      </c>
      <c r="B2014" s="4" t="str">
        <f>IFERROR(__xludf.DUMMYFUNCTION("""COMPUTED_VALUE"""),"Señal MOPU informativa 45x95 cm Nivel 3")</f>
        <v>Señal MOPU informativa 45x95 cm Nivel 3</v>
      </c>
      <c r="C2014" s="4">
        <f>IFERROR(__xludf.DUMMYFUNCTION("""COMPUTED_VALUE"""),95.28)</f>
        <v>95.28</v>
      </c>
    </row>
    <row r="2015">
      <c r="A2015" s="4" t="str">
        <f>IFERROR(__xludf.DUMMYFUNCTION("""COMPUTED_VALUE"""),"964595N3F")</f>
        <v>964595N3F</v>
      </c>
      <c r="B2015" s="4" t="str">
        <f>IFERROR(__xludf.DUMMYFUNCTION("""COMPUTED_VALUE"""),"Señal MOPU informativa 45x95 cm Nivel 2 Flechada")</f>
        <v>Señal MOPU informativa 45x95 cm Nivel 2 Flechada</v>
      </c>
      <c r="C2015" s="4">
        <f>IFERROR(__xludf.DUMMYFUNCTION("""COMPUTED_VALUE"""),95.28)</f>
        <v>95.28</v>
      </c>
    </row>
    <row r="2016">
      <c r="A2016" s="4" t="str">
        <f>IFERROR(__xludf.DUMMYFUNCTION("""COMPUTED_VALUE"""),"964595NF")</f>
        <v>964595NF</v>
      </c>
      <c r="B2016" s="4" t="str">
        <f>IFERROR(__xludf.DUMMYFUNCTION("""COMPUTED_VALUE"""),"Señal MOPU informativa 45x95 cm Normal Flechada")</f>
        <v>Señal MOPU informativa 45x95 cm Normal Flechada</v>
      </c>
      <c r="C2016" s="4">
        <f>IFERROR(__xludf.DUMMYFUNCTION("""COMPUTED_VALUE"""),62.61599999999999)</f>
        <v>62.616</v>
      </c>
    </row>
    <row r="2017">
      <c r="A2017" s="4" t="str">
        <f>IFERROR(__xludf.DUMMYFUNCTION("""COMPUTED_VALUE"""),"9655120N")</f>
        <v>9655120N</v>
      </c>
      <c r="B2017" s="4" t="str">
        <f>IFERROR(__xludf.DUMMYFUNCTION("""COMPUTED_VALUE"""),"Señal MOPU informativa 55x120 cm Normal")</f>
        <v>Señal MOPU informativa 55x120 cm Normal</v>
      </c>
      <c r="C2017" s="4">
        <f>IFERROR(__xludf.DUMMYFUNCTION("""COMPUTED_VALUE"""),68.16)</f>
        <v>68.16</v>
      </c>
    </row>
    <row r="2018">
      <c r="A2018" s="4" t="str">
        <f>IFERROR(__xludf.DUMMYFUNCTION("""COMPUTED_VALUE"""),"9655120N1")</f>
        <v>9655120N1</v>
      </c>
      <c r="B2018" s="4" t="str">
        <f>IFERROR(__xludf.DUMMYFUNCTION("""COMPUTED_VALUE"""),"Señal MOPU informativa 55x120 cm Reflex I")</f>
        <v>Señal MOPU informativa 55x120 cm Reflex I</v>
      </c>
      <c r="C2018" s="4">
        <f>IFERROR(__xludf.DUMMYFUNCTION("""COMPUTED_VALUE"""),80.64)</f>
        <v>80.64</v>
      </c>
    </row>
    <row r="2019">
      <c r="A2019" s="4" t="str">
        <f>IFERROR(__xludf.DUMMYFUNCTION("""COMPUTED_VALUE"""),"9655120N1F")</f>
        <v>9655120N1F</v>
      </c>
      <c r="B2019" s="4" t="str">
        <f>IFERROR(__xludf.DUMMYFUNCTION("""COMPUTED_VALUE"""),"Señal MOPU informativa 55x120 cm Nivel 1 Flechada")</f>
        <v>Señal MOPU informativa 55x120 cm Nivel 1 Flechada</v>
      </c>
      <c r="C2019" s="4">
        <f>IFERROR(__xludf.DUMMYFUNCTION("""COMPUTED_VALUE"""),88.2)</f>
        <v>88.2</v>
      </c>
    </row>
    <row r="2020">
      <c r="A2020" s="4" t="str">
        <f>IFERROR(__xludf.DUMMYFUNCTION("""COMPUTED_VALUE"""),"9655120N2")</f>
        <v>9655120N2</v>
      </c>
      <c r="B2020" s="4" t="str">
        <f>IFERROR(__xludf.DUMMYFUNCTION("""COMPUTED_VALUE"""),"Señal MOPU informativa 55x120 cm Reflex II")</f>
        <v>Señal MOPU informativa 55x120 cm Reflex II</v>
      </c>
      <c r="C2020" s="4">
        <f>IFERROR(__xludf.DUMMYFUNCTION("""COMPUTED_VALUE"""),107.52)</f>
        <v>107.52</v>
      </c>
    </row>
    <row r="2021">
      <c r="A2021" s="4" t="str">
        <f>IFERROR(__xludf.DUMMYFUNCTION("""COMPUTED_VALUE"""),"9655120N2F")</f>
        <v>9655120N2F</v>
      </c>
      <c r="B2021" s="4" t="str">
        <f>IFERROR(__xludf.DUMMYFUNCTION("""COMPUTED_VALUE"""),"Señal MOPU informativa 55x120 cm Nivel 2 Flechada")</f>
        <v>Señal MOPU informativa 55x120 cm Nivel 2 Flechada</v>
      </c>
      <c r="C2021" s="4">
        <f>IFERROR(__xludf.DUMMYFUNCTION("""COMPUTED_VALUE"""),117.93599999999999)</f>
        <v>117.936</v>
      </c>
    </row>
    <row r="2022">
      <c r="A2022" s="4" t="str">
        <f>IFERROR(__xludf.DUMMYFUNCTION("""COMPUTED_VALUE"""),"9655120N3")</f>
        <v>9655120N3</v>
      </c>
      <c r="B2022" s="4" t="str">
        <f>IFERROR(__xludf.DUMMYFUNCTION("""COMPUTED_VALUE"""),"Señal MOPU informativa 55x120 cm Reflex NIII")</f>
        <v>Señal MOPU informativa 55x120 cm Reflex NIII</v>
      </c>
      <c r="C2022" s="4">
        <f>IFERROR(__xludf.DUMMYFUNCTION("""COMPUTED_VALUE"""),153.12)</f>
        <v>153.12</v>
      </c>
    </row>
    <row r="2023">
      <c r="A2023" s="4" t="str">
        <f>IFERROR(__xludf.DUMMYFUNCTION("""COMPUTED_VALUE"""),"9655120N3F")</f>
        <v>9655120N3F</v>
      </c>
      <c r="B2023" s="4" t="str">
        <f>IFERROR(__xludf.DUMMYFUNCTION("""COMPUTED_VALUE"""),"Señal MOPU informativa 55x120 cm Nivel 3 flechada")</f>
        <v>Señal MOPU informativa 55x120 cm Nivel 3 flechada</v>
      </c>
      <c r="C2023" s="4">
        <f>IFERROR(__xludf.DUMMYFUNCTION("""COMPUTED_VALUE"""),169.344)</f>
        <v>169.344</v>
      </c>
    </row>
    <row r="2024">
      <c r="A2024" s="4" t="str">
        <f>IFERROR(__xludf.DUMMYFUNCTION("""COMPUTED_VALUE"""),"9655120NF")</f>
        <v>9655120NF</v>
      </c>
      <c r="B2024" s="4" t="str">
        <f>IFERROR(__xludf.DUMMYFUNCTION("""COMPUTED_VALUE"""),"Señal MOPU informativa 55x120 cm Normal Flechada")</f>
        <v>Señal MOPU informativa 55x120 cm Normal Flechada</v>
      </c>
      <c r="C2024" s="4">
        <f>IFERROR(__xludf.DUMMYFUNCTION("""COMPUTED_VALUE"""),94.752)</f>
        <v>94.752</v>
      </c>
    </row>
    <row r="2025">
      <c r="A2025" s="4" t="str">
        <f>IFERROR(__xludf.DUMMYFUNCTION("""COMPUTED_VALUE"""),"9655170N2")</f>
        <v>9655170N2</v>
      </c>
      <c r="B2025" s="4" t="str">
        <f>IFERROR(__xludf.DUMMYFUNCTION("""COMPUTED_VALUE"""),"Señal MOPU informativa 55x170 cm Reflex II")</f>
        <v>Señal MOPU informativa 55x170 cm Reflex II</v>
      </c>
      <c r="C2025" s="4">
        <f>IFERROR(__xludf.DUMMYFUNCTION("""COMPUTED_VALUE"""),294.84)</f>
        <v>294.84</v>
      </c>
    </row>
    <row r="2026">
      <c r="A2026" s="4" t="str">
        <f>IFERROR(__xludf.DUMMYFUNCTION("""COMPUTED_VALUE"""),"965595N")</f>
        <v>965595N</v>
      </c>
      <c r="B2026" s="4" t="str">
        <f>IFERROR(__xludf.DUMMYFUNCTION("""COMPUTED_VALUE"""),"Señal MOPU informativa 55x95 cm Normal")</f>
        <v>Señal MOPU informativa 55x95 cm Normal</v>
      </c>
      <c r="C2026" s="4">
        <f>IFERROR(__xludf.DUMMYFUNCTION("""COMPUTED_VALUE"""),62.64)</f>
        <v>62.64</v>
      </c>
    </row>
    <row r="2027">
      <c r="A2027" s="4" t="str">
        <f>IFERROR(__xludf.DUMMYFUNCTION("""COMPUTED_VALUE"""),"965595N1")</f>
        <v>965595N1</v>
      </c>
      <c r="B2027" s="4" t="str">
        <f>IFERROR(__xludf.DUMMYFUNCTION("""COMPUTED_VALUE"""),"Señal MOPU informativa 55x95 cm Reflex I")</f>
        <v>Señal MOPU informativa 55x95 cm Reflex I</v>
      </c>
      <c r="C2027" s="4">
        <f>IFERROR(__xludf.DUMMYFUNCTION("""COMPUTED_VALUE"""),57.599999999999994)</f>
        <v>57.6</v>
      </c>
    </row>
    <row r="2028">
      <c r="A2028" s="4" t="str">
        <f>IFERROR(__xludf.DUMMYFUNCTION("""COMPUTED_VALUE"""),"965595N1F")</f>
        <v>965595N1F</v>
      </c>
      <c r="B2028" s="4" t="str">
        <f>IFERROR(__xludf.DUMMYFUNCTION("""COMPUTED_VALUE"""),"Señal MOPU informativa 55x95 cm Nivel 1 Flechada")</f>
        <v>Señal MOPU informativa 55x95 cm Nivel 1 Flechada</v>
      </c>
      <c r="C2028" s="4">
        <f>IFERROR(__xludf.DUMMYFUNCTION("""COMPUTED_VALUE"""),64.008)</f>
        <v>64.008</v>
      </c>
    </row>
    <row r="2029">
      <c r="A2029" s="4" t="str">
        <f>IFERROR(__xludf.DUMMYFUNCTION("""COMPUTED_VALUE"""),"965595N2")</f>
        <v>965595N2</v>
      </c>
      <c r="B2029" s="4" t="str">
        <f>IFERROR(__xludf.DUMMYFUNCTION("""COMPUTED_VALUE"""),"Señal MOPU informativa 55X95 cm Reflex II")</f>
        <v>Señal MOPU informativa 55X95 cm Reflex II</v>
      </c>
      <c r="C2029" s="4">
        <f>IFERROR(__xludf.DUMMYFUNCTION("""COMPUTED_VALUE"""),73.92)</f>
        <v>73.92</v>
      </c>
    </row>
    <row r="2030">
      <c r="A2030" s="4" t="str">
        <f>IFERROR(__xludf.DUMMYFUNCTION("""COMPUTED_VALUE"""),"965595N2F")</f>
        <v>965595N2F</v>
      </c>
      <c r="B2030" s="4" t="str">
        <f>IFERROR(__xludf.DUMMYFUNCTION("""COMPUTED_VALUE"""),"Señal MOPU informativa 55x95 cm Nivel 2 Flechada")</f>
        <v>Señal MOPU informativa 55x95 cm Nivel 2 Flechada</v>
      </c>
      <c r="C2030" s="4">
        <f>IFERROR(__xludf.DUMMYFUNCTION("""COMPUTED_VALUE"""),80.64)</f>
        <v>80.64</v>
      </c>
    </row>
    <row r="2031">
      <c r="A2031" s="4" t="str">
        <f>IFERROR(__xludf.DUMMYFUNCTION("""COMPUTED_VALUE"""),"965595N3")</f>
        <v>965595N3</v>
      </c>
      <c r="B2031" s="4" t="str">
        <f>IFERROR(__xludf.DUMMYFUNCTION("""COMPUTED_VALUE"""),"Señal MOPU informativa 55x95 cm Reflex III")</f>
        <v>Señal MOPU informativa 55x95 cm Reflex III</v>
      </c>
      <c r="C2031" s="4">
        <f>IFERROR(__xludf.DUMMYFUNCTION("""COMPUTED_VALUE"""),138.72)</f>
        <v>138.72</v>
      </c>
    </row>
    <row r="2032">
      <c r="A2032" s="4" t="str">
        <f>IFERROR(__xludf.DUMMYFUNCTION("""COMPUTED_VALUE"""),"965595N3F")</f>
        <v>965595N3F</v>
      </c>
      <c r="B2032" s="4" t="str">
        <f>IFERROR(__xludf.DUMMYFUNCTION("""COMPUTED_VALUE"""),"Señal MOPU informativa 55x95 cm Nivel 3 Flechada")</f>
        <v>Señal MOPU informativa 55x95 cm Nivel 3 Flechada</v>
      </c>
      <c r="C2032" s="4">
        <f>IFERROR(__xludf.DUMMYFUNCTION("""COMPUTED_VALUE"""),154.224)</f>
        <v>154.224</v>
      </c>
    </row>
    <row r="2033">
      <c r="A2033" s="4" t="str">
        <f>IFERROR(__xludf.DUMMYFUNCTION("""COMPUTED_VALUE"""),"965595NF")</f>
        <v>965595NF</v>
      </c>
      <c r="B2033" s="4" t="str">
        <f>IFERROR(__xludf.DUMMYFUNCTION("""COMPUTED_VALUE"""),"Señal MOPU informativa 55x95 cm Normal Flechada")</f>
        <v>Señal MOPU informativa 55x95 cm Normal Flechada</v>
      </c>
      <c r="C2033" s="4">
        <f>IFERROR(__xludf.DUMMYFUNCTION("""COMPUTED_VALUE"""),57.96)</f>
        <v>57.96</v>
      </c>
    </row>
    <row r="2034">
      <c r="A2034" s="4" t="str">
        <f>IFERROR(__xludf.DUMMYFUNCTION("""COMPUTED_VALUE"""),"9695145N")</f>
        <v>9695145N</v>
      </c>
      <c r="B2034" s="4" t="str">
        <f>IFERROR(__xludf.DUMMYFUNCTION("""COMPUTED_VALUE"""),"Señal MOPU informativa 95x145 cm Normal")</f>
        <v>Señal MOPU informativa 95x145 cm Normal</v>
      </c>
      <c r="C2034" s="4">
        <f>IFERROR(__xludf.DUMMYFUNCTION("""COMPUTED_VALUE"""),141.6)</f>
        <v>141.6</v>
      </c>
    </row>
    <row r="2035">
      <c r="A2035" s="4" t="str">
        <f>IFERROR(__xludf.DUMMYFUNCTION("""COMPUTED_VALUE"""),"9700N")</f>
        <v>9700N</v>
      </c>
      <c r="B2035" s="4" t="str">
        <f>IFERROR(__xludf.DUMMYFUNCTION("""COMPUTED_VALUE"""),"Señal Aluminio Cuadrada 60 cm Normal")</f>
        <v>Señal Aluminio Cuadrada 60 cm Normal</v>
      </c>
      <c r="C2035" s="4">
        <f>IFERROR(__xludf.DUMMYFUNCTION("""COMPUTED_VALUE"""),29.759999999999998)</f>
        <v>29.76</v>
      </c>
    </row>
    <row r="2036">
      <c r="A2036" s="4" t="str">
        <f>IFERROR(__xludf.DUMMYFUNCTION("""COMPUTED_VALUE"""),"9700N1")</f>
        <v>9700N1</v>
      </c>
      <c r="B2036" s="4" t="str">
        <f>IFERROR(__xludf.DUMMYFUNCTION("""COMPUTED_VALUE"""),"Señal Aluminio Cuadrada 60 cm Nivel 1")</f>
        <v>Señal Aluminio Cuadrada 60 cm Nivel 1</v>
      </c>
      <c r="C2036" s="4">
        <f>IFERROR(__xludf.DUMMYFUNCTION("""COMPUTED_VALUE"""),32.64)</f>
        <v>32.64</v>
      </c>
    </row>
    <row r="2037">
      <c r="A2037" s="4" t="str">
        <f>IFERROR(__xludf.DUMMYFUNCTION("""COMPUTED_VALUE"""),"9716545N")</f>
        <v>9716545N</v>
      </c>
      <c r="B2037" s="4" t="str">
        <f>IFERROR(__xludf.DUMMYFUNCTION("""COMPUTED_VALUE"""),"Panel direccional A/B 165x45 cm Normal")</f>
        <v>Panel direccional A/B 165x45 cm Normal</v>
      </c>
      <c r="C2037" s="4">
        <f>IFERROR(__xludf.DUMMYFUNCTION("""COMPUTED_VALUE"""),71.03999999999999)</f>
        <v>71.04</v>
      </c>
    </row>
    <row r="2038">
      <c r="A2038" s="4" t="str">
        <f>IFERROR(__xludf.DUMMYFUNCTION("""COMPUTED_VALUE"""),"9716545N1")</f>
        <v>9716545N1</v>
      </c>
      <c r="B2038" s="4" t="str">
        <f>IFERROR(__xludf.DUMMYFUNCTION("""COMPUTED_VALUE"""),"Panel direccional A/B 165x45 cm Reflex I")</f>
        <v>Panel direccional A/B 165x45 cm Reflex I</v>
      </c>
      <c r="C2038" s="4">
        <f>IFERROR(__xludf.DUMMYFUNCTION("""COMPUTED_VALUE"""),69.12)</f>
        <v>69.12</v>
      </c>
    </row>
    <row r="2039">
      <c r="A2039" s="4" t="str">
        <f>IFERROR(__xludf.DUMMYFUNCTION("""COMPUTED_VALUE"""),"9716545N2")</f>
        <v>9716545N2</v>
      </c>
      <c r="B2039" s="4" t="str">
        <f>IFERROR(__xludf.DUMMYFUNCTION("""COMPUTED_VALUE"""),"Panel direccional A/B 165x45 cm Reflex II")</f>
        <v>Panel direccional A/B 165x45 cm Reflex II</v>
      </c>
      <c r="C2039" s="4">
        <f>IFERROR(__xludf.DUMMYFUNCTION("""COMPUTED_VALUE"""),101.75999999999999)</f>
        <v>101.76</v>
      </c>
    </row>
    <row r="2040">
      <c r="A2040" s="4" t="str">
        <f>IFERROR(__xludf.DUMMYFUNCTION("""COMPUTED_VALUE"""),"9716545N3")</f>
        <v>9716545N3</v>
      </c>
      <c r="B2040" s="4" t="str">
        <f>IFERROR(__xludf.DUMMYFUNCTION("""COMPUTED_VALUE"""),"Panel direccional A/B 165x45 cm Reflex III")</f>
        <v>Panel direccional A/B 165x45 cm Reflex III</v>
      </c>
      <c r="C2040" s="4">
        <f>IFERROR(__xludf.DUMMYFUNCTION("""COMPUTED_VALUE"""),104.64)</f>
        <v>104.64</v>
      </c>
    </row>
    <row r="2041">
      <c r="A2041" s="4" t="str">
        <f>IFERROR(__xludf.DUMMYFUNCTION("""COMPUTED_VALUE"""),"978040N")</f>
        <v>978040N</v>
      </c>
      <c r="B2041" s="4" t="str">
        <f>IFERROR(__xludf.DUMMYFUNCTION("""COMPUTED_VALUE"""),"Panel direccional A/B 80x40 cm Normal")</f>
        <v>Panel direccional A/B 80x40 cm Normal</v>
      </c>
      <c r="C2041" s="4">
        <f>IFERROR(__xludf.DUMMYFUNCTION("""COMPUTED_VALUE"""),29.759999999999998)</f>
        <v>29.76</v>
      </c>
    </row>
    <row r="2042">
      <c r="A2042" s="4" t="str">
        <f>IFERROR(__xludf.DUMMYFUNCTION("""COMPUTED_VALUE"""),"978040N1")</f>
        <v>978040N1</v>
      </c>
      <c r="B2042" s="4" t="str">
        <f>IFERROR(__xludf.DUMMYFUNCTION("""COMPUTED_VALUE"""),"Panel direccional A/B 80x40 cm Reflex I")</f>
        <v>Panel direccional A/B 80x40 cm Reflex I</v>
      </c>
      <c r="C2042" s="4">
        <f>IFERROR(__xludf.DUMMYFUNCTION("""COMPUTED_VALUE"""),35.519999999999996)</f>
        <v>35.52</v>
      </c>
    </row>
    <row r="2043">
      <c r="A2043" s="4" t="str">
        <f>IFERROR(__xludf.DUMMYFUNCTION("""COMPUTED_VALUE"""),"978040N2")</f>
        <v>978040N2</v>
      </c>
      <c r="B2043" s="4" t="str">
        <f>IFERROR(__xludf.DUMMYFUNCTION("""COMPUTED_VALUE"""),"Panel direccional A/B 80x40 cm Reflex II")</f>
        <v>Panel direccional A/B 80x40 cm Reflex II</v>
      </c>
      <c r="C2043" s="4">
        <f>IFERROR(__xludf.DUMMYFUNCTION("""COMPUTED_VALUE"""),40.32)</f>
        <v>40.32</v>
      </c>
    </row>
    <row r="2044">
      <c r="A2044" s="4" t="str">
        <f>IFERROR(__xludf.DUMMYFUNCTION("""COMPUTED_VALUE"""),"978040N3")</f>
        <v>978040N3</v>
      </c>
      <c r="B2044" s="4" t="str">
        <f>IFERROR(__xludf.DUMMYFUNCTION("""COMPUTED_VALUE"""),"Panel direccional A/B 80x40 cm Reflex III")</f>
        <v>Panel direccional A/B 80x40 cm Reflex III</v>
      </c>
      <c r="C2044" s="4">
        <f>IFERROR(__xludf.DUMMYFUNCTION("""COMPUTED_VALUE"""),50.784)</f>
        <v>50.784</v>
      </c>
    </row>
    <row r="2045">
      <c r="A2045" s="4" t="str">
        <f>IFERROR(__xludf.DUMMYFUNCTION("""COMPUTED_VALUE"""),"9800N")</f>
        <v>9800N</v>
      </c>
      <c r="B2045" s="4" t="str">
        <f>IFERROR(__xludf.DUMMYFUNCTION("""COMPUTED_VALUE"""),"Señal Aluminio Stop 60 cm Normal")</f>
        <v>Señal Aluminio Stop 60 cm Normal</v>
      </c>
      <c r="C2045" s="4">
        <f>IFERROR(__xludf.DUMMYFUNCTION("""COMPUTED_VALUE"""),29.759999999999998)</f>
        <v>29.76</v>
      </c>
    </row>
    <row r="2046">
      <c r="A2046" s="4" t="str">
        <f>IFERROR(__xludf.DUMMYFUNCTION("""COMPUTED_VALUE"""),"9800N1")</f>
        <v>9800N1</v>
      </c>
      <c r="B2046" s="4" t="str">
        <f>IFERROR(__xludf.DUMMYFUNCTION("""COMPUTED_VALUE"""),"Señal Aluminio Stop 60 cm Nivel 1")</f>
        <v>Señal Aluminio Stop 60 cm Nivel 1</v>
      </c>
      <c r="C2046" s="4">
        <f>IFERROR(__xludf.DUMMYFUNCTION("""COMPUTED_VALUE"""),32.64)</f>
        <v>32.64</v>
      </c>
    </row>
    <row r="2047">
      <c r="A2047" s="4" t="str">
        <f>IFERROR(__xludf.DUMMYFUNCTION("""COMPUTED_VALUE"""),"9900N")</f>
        <v>9900N</v>
      </c>
      <c r="B2047" s="4" t="str">
        <f>IFERROR(__xludf.DUMMYFUNCTION("""COMPUTED_VALUE"""),"Señal Aluminio Rectangular 60x30 cm Normal")</f>
        <v>Señal Aluminio Rectangular 60x30 cm Normal</v>
      </c>
      <c r="C2047" s="4">
        <f>IFERROR(__xludf.DUMMYFUNCTION("""COMPUTED_VALUE"""),16.32)</f>
        <v>16.32</v>
      </c>
    </row>
    <row r="2048">
      <c r="A2048" s="4" t="str">
        <f>IFERROR(__xludf.DUMMYFUNCTION("""COMPUTED_VALUE"""),"9900N1")</f>
        <v>9900N1</v>
      </c>
      <c r="B2048" s="4" t="str">
        <f>IFERROR(__xludf.DUMMYFUNCTION("""COMPUTED_VALUE"""),"Señal Aluminio Rectangular 60x30 cm Nivel 1")</f>
        <v>Señal Aluminio Rectangular 60x30 cm Nivel 1</v>
      </c>
      <c r="C2048" s="4">
        <f>IFERROR(__xludf.DUMMYFUNCTION("""COMPUTED_VALUE"""),18.24)</f>
        <v>18.24</v>
      </c>
    </row>
    <row r="2049">
      <c r="A2049" s="4" t="str">
        <f>IFERROR(__xludf.DUMMYFUNCTION("""COMPUTED_VALUE"""),"ABRAZADERA50-")</f>
        <v>ABRAZADERA50-</v>
      </c>
      <c r="B2049" s="4" t="str">
        <f>IFERROR(__xludf.DUMMYFUNCTION("""COMPUTED_VALUE"""),"Abrazadera completa para poste 50/60")</f>
        <v>Abrazadera completa para poste 50/60</v>
      </c>
      <c r="C2049" s="4">
        <f>IFERROR(__xludf.DUMMYFUNCTION("""COMPUTED_VALUE"""),4.56)</f>
        <v>4.56</v>
      </c>
    </row>
    <row r="2050">
      <c r="A2050" s="4" t="str">
        <f>IFERROR(__xludf.DUMMYFUNCTION("""COMPUTED_VALUE"""),"ABRAZADERA80X")</f>
        <v>ABRAZADERA80X</v>
      </c>
      <c r="B2050" s="4" t="str">
        <f>IFERROR(__xludf.DUMMYFUNCTION("""COMPUTED_VALUE"""),"Abrazadera para poste de 80x40")</f>
        <v>Abrazadera para poste de 80x40</v>
      </c>
      <c r="C2050" s="4">
        <f>IFERROR(__xludf.DUMMYFUNCTION("""COMPUTED_VALUE"""),2.592)</f>
        <v>2.592</v>
      </c>
    </row>
    <row r="2051">
      <c r="A2051" s="4" t="str">
        <f>IFERROR(__xludf.DUMMYFUNCTION("""COMPUTED_VALUE"""),"AL297105")</f>
        <v>AL297105</v>
      </c>
      <c r="B2051" s="4" t="str">
        <f>IFERROR(__xludf.DUMMYFUNCTION("""COMPUTED_VALUE"""),"Panel impreso aluminio 297x105 mm")</f>
        <v>Panel impreso aluminio 297x105 mm</v>
      </c>
      <c r="C2051" s="4">
        <f>IFERROR(__xludf.DUMMYFUNCTION("""COMPUTED_VALUE"""),2.064)</f>
        <v>2.064</v>
      </c>
    </row>
    <row r="2052">
      <c r="A2052" s="4" t="str">
        <f>IFERROR(__xludf.DUMMYFUNCTION("""COMPUTED_VALUE"""),"AL320160")</f>
        <v>AL320160</v>
      </c>
      <c r="B2052" s="4" t="str">
        <f>IFERROR(__xludf.DUMMYFUNCTION("""COMPUTED_VALUE"""),"Panel impreso aluminio 320x160 mm")</f>
        <v>Panel impreso aluminio 320x160 mm</v>
      </c>
      <c r="C2052" s="4">
        <f>IFERROR(__xludf.DUMMYFUNCTION("""COMPUTED_VALUE"""),3.9359999999999995)</f>
        <v>3.936</v>
      </c>
    </row>
    <row r="2053">
      <c r="A2053" s="4" t="str">
        <f>IFERROR(__xludf.DUMMYFUNCTION("""COMPUTED_VALUE"""),"AL420320")</f>
        <v>AL420320</v>
      </c>
      <c r="B2053" s="4" t="str">
        <f>IFERROR(__xludf.DUMMYFUNCTION("""COMPUTED_VALUE"""),"Panel impreso aluminio 420x320 mm")</f>
        <v>Panel impreso aluminio 420x320 mm</v>
      </c>
      <c r="C2053" s="4">
        <f>IFERROR(__xludf.DUMMYFUNCTION("""COMPUTED_VALUE"""),10.3296)</f>
        <v>10.3296</v>
      </c>
    </row>
    <row r="2054">
      <c r="A2054" s="4" t="str">
        <f>IFERROR(__xludf.DUMMYFUNCTION("""COMPUTED_VALUE"""),"AL630630")</f>
        <v>AL630630</v>
      </c>
      <c r="B2054" s="4" t="str">
        <f>IFERROR(__xludf.DUMMYFUNCTION("""COMPUTED_VALUE"""),"Panel impreso aluminio 630x630 mm")</f>
        <v>Panel impreso aluminio 630x630 mm</v>
      </c>
      <c r="C2054" s="4">
        <f>IFERROR(__xludf.DUMMYFUNCTION("""COMPUTED_VALUE"""),30.470399999999998)</f>
        <v>30.4704</v>
      </c>
    </row>
    <row r="2055">
      <c r="A2055" s="4" t="str">
        <f>IFERROR(__xludf.DUMMYFUNCTION("""COMPUTED_VALUE"""),"AL960480")</f>
        <v>AL960480</v>
      </c>
      <c r="B2055" s="4" t="str">
        <f>IFERROR(__xludf.DUMMYFUNCTION("""COMPUTED_VALUE"""),"Panel impreso aluminio 960x480")</f>
        <v>Panel impreso aluminio 960x480</v>
      </c>
      <c r="C2055" s="4">
        <f>IFERROR(__xludf.DUMMYFUNCTION("""COMPUTED_VALUE"""),35.903999999999996)</f>
        <v>35.904</v>
      </c>
    </row>
    <row r="2056">
      <c r="A2056" s="4" t="str">
        <f>IFERROR(__xludf.DUMMYFUNCTION("""COMPUTED_VALUE"""),"ALA1")</f>
        <v>ALA1</v>
      </c>
      <c r="B2056" s="4" t="str">
        <f>IFERROR(__xludf.DUMMYFUNCTION("""COMPUTED_VALUE"""),"Panel impreso aluminio A1 (841x594 mm)")</f>
        <v>Panel impreso aluminio A1 (841x594 mm)</v>
      </c>
      <c r="C2056" s="4">
        <f>IFERROR(__xludf.DUMMYFUNCTION("""COMPUTED_VALUE"""),38.620799999999996)</f>
        <v>38.6208</v>
      </c>
    </row>
    <row r="2057">
      <c r="A2057" s="4" t="str">
        <f>IFERROR(__xludf.DUMMYFUNCTION("""COMPUTED_VALUE"""),"ALA2")</f>
        <v>ALA2</v>
      </c>
      <c r="B2057" s="4" t="str">
        <f>IFERROR(__xludf.DUMMYFUNCTION("""COMPUTED_VALUE"""),"Panel impreso aluminio A2 (594X420)")</f>
        <v>Panel impreso aluminio A2 (594X420)</v>
      </c>
      <c r="C2057" s="4">
        <f>IFERROR(__xludf.DUMMYFUNCTION("""COMPUTED_VALUE"""),2.0304)</f>
        <v>2.0304</v>
      </c>
    </row>
    <row r="2058">
      <c r="A2058" s="4" t="str">
        <f>IFERROR(__xludf.DUMMYFUNCTION("""COMPUTED_VALUE"""),"ALA3")</f>
        <v>ALA3</v>
      </c>
      <c r="B2058" s="4" t="str">
        <f>IFERROR(__xludf.DUMMYFUNCTION("""COMPUTED_VALUE"""),"Panel impreso aluminio A3 (420X297 mm)")</f>
        <v>Panel impreso aluminio A3 (420X297 mm)</v>
      </c>
      <c r="C2058" s="4">
        <f>IFERROR(__xludf.DUMMYFUNCTION("""COMPUTED_VALUE"""),9.6768)</f>
        <v>9.6768</v>
      </c>
    </row>
    <row r="2059">
      <c r="A2059" s="4" t="str">
        <f>IFERROR(__xludf.DUMMYFUNCTION("""COMPUTED_VALUE"""),"ALA4")</f>
        <v>ALA4</v>
      </c>
      <c r="B2059" s="4" t="str">
        <f>IFERROR(__xludf.DUMMYFUNCTION("""COMPUTED_VALUE"""),"Panel impreso aluminio A4 (297x210 mm)")</f>
        <v>Panel impreso aluminio A4 (297x210 mm)</v>
      </c>
      <c r="C2059" s="4">
        <f>IFERROR(__xludf.DUMMYFUNCTION("""COMPUTED_VALUE"""),4.8384)</f>
        <v>4.8384</v>
      </c>
    </row>
    <row r="2060">
      <c r="A2060" s="4" t="str">
        <f>IFERROR(__xludf.DUMMYFUNCTION("""COMPUTED_VALUE"""),"ALA6")</f>
        <v>ALA6</v>
      </c>
      <c r="B2060" s="4" t="str">
        <f>IFERROR(__xludf.DUMMYFUNCTION("""COMPUTED_VALUE"""),"Panel impreso aluminio A6 (105x148 mm)")</f>
        <v>Panel impreso aluminio A6 (105x148 mm)</v>
      </c>
      <c r="C2060" s="4">
        <f>IFERROR(__xludf.DUMMYFUNCTION("""COMPUTED_VALUE"""),1.1904)</f>
        <v>1.1904</v>
      </c>
    </row>
    <row r="2061">
      <c r="A2061" s="4" t="str">
        <f>IFERROR(__xludf.DUMMYFUNCTION("""COMPUTED_VALUE"""),"CBA3")</f>
        <v>CBA3</v>
      </c>
      <c r="B2061" s="4" t="str">
        <f>IFERROR(__xludf.DUMMYFUNCTION("""COMPUTED_VALUE"""),"Soporte cartel en banderola acero cartel 40x30 cm")</f>
        <v>Soporte cartel en banderola acero cartel 40x30 cm</v>
      </c>
      <c r="C2061" s="4">
        <f>IFERROR(__xludf.DUMMYFUNCTION("""COMPUTED_VALUE"""),3.264)</f>
        <v>3.264</v>
      </c>
    </row>
    <row r="2062">
      <c r="A2062" s="4" t="str">
        <f>IFERROR(__xludf.DUMMYFUNCTION("""COMPUTED_VALUE"""),"CBA4")</f>
        <v>CBA4</v>
      </c>
      <c r="B2062" s="4" t="str">
        <f>IFERROR(__xludf.DUMMYFUNCTION("""COMPUTED_VALUE"""),"Soporte cartel en banderola acero cartel 21x29 cm")</f>
        <v>Soporte cartel en banderola acero cartel 21x29 cm</v>
      </c>
      <c r="C2062" s="4">
        <f>IFERROR(__xludf.DUMMYFUNCTION("""COMPUTED_VALUE"""),2.304)</f>
        <v>2.304</v>
      </c>
    </row>
    <row r="2063">
      <c r="A2063" s="4" t="str">
        <f>IFERROR(__xludf.DUMMYFUNCTION("""COMPUTED_VALUE"""),"ESCRUADRA")</f>
        <v>ESCRUADRA</v>
      </c>
      <c r="B2063" s="4" t="str">
        <f>IFERROR(__xludf.DUMMYFUNCTION("""COMPUTED_VALUE"""),"Escuadra 9x8x1,8 cm. señal MOPU")</f>
        <v>Escuadra 9x8x1,8 cm. señal MOPU</v>
      </c>
      <c r="C2063" s="4">
        <f>IFERROR(__xludf.DUMMYFUNCTION("""COMPUTED_VALUE"""),2.16)</f>
        <v>2.16</v>
      </c>
    </row>
    <row r="2064">
      <c r="A2064" s="4" t="str">
        <f>IFERROR(__xludf.DUMMYFUNCTION("""COMPUTED_VALUE"""),"ESCUADRA")</f>
        <v>ESCUADRA</v>
      </c>
      <c r="B2064" s="4" t="str">
        <f>IFERROR(__xludf.DUMMYFUNCTION("""COMPUTED_VALUE"""),"Escuadra 14x8x1,8 cm señal MOPU")</f>
        <v>Escuadra 14x8x1,8 cm señal MOPU</v>
      </c>
      <c r="C2064" s="4">
        <f>IFERROR(__xludf.DUMMYFUNCTION("""COMPUTED_VALUE"""),2.784)</f>
        <v>2.784</v>
      </c>
    </row>
    <row r="2065">
      <c r="A2065" s="4" t="str">
        <f>IFERROR(__xludf.DUMMYFUNCTION("""COMPUTED_VALUE"""),"EXPOSIT SEÑAL")</f>
        <v>EXPOSIT SEÑAL</v>
      </c>
      <c r="B2065" s="4" t="str">
        <f>IFERROR(__xludf.DUMMYFUNCTION("""COMPUTED_VALUE"""),"Expositor Señalización SIN SEÑALES")</f>
        <v>Expositor Señalización SIN SEÑALES</v>
      </c>
      <c r="C2065" s="4">
        <f>IFERROR(__xludf.DUMMYFUNCTION("""COMPUTED_VALUE"""),240.0)</f>
        <v>240</v>
      </c>
    </row>
    <row r="2066">
      <c r="A2066" s="4" t="str">
        <f>IFERROR(__xludf.DUMMYFUNCTION("""COMPUTED_VALUE"""),"EXPOSITOR")</f>
        <v>EXPOSITOR</v>
      </c>
      <c r="B2066" s="4" t="str">
        <f>IFERROR(__xludf.DUMMYFUNCTION("""COMPUTED_VALUE"""),"Expositor Señalización + Señales metálicas estándar")</f>
        <v>Expositor Señalización + Señales metálicas estándar</v>
      </c>
      <c r="C2066" s="4">
        <f>IFERROR(__xludf.DUMMYFUNCTION("""COMPUTED_VALUE"""),1152.0)</f>
        <v>1152</v>
      </c>
    </row>
    <row r="2067">
      <c r="A2067" s="4" t="str">
        <f>IFERROR(__xludf.DUMMYFUNCTION("""COMPUTED_VALUE"""),"MCA1")</f>
        <v>MCA1</v>
      </c>
      <c r="B2067" s="4" t="str">
        <f>IFERROR(__xludf.DUMMYFUNCTION("""COMPUTED_VALUE"""),"Panel impreso Metacrilato colada 2 mm A1 (841x594 mm)")</f>
        <v>Panel impreso Metacrilato colada 2 mm A1 (841x594 mm)</v>
      </c>
      <c r="C2067" s="4">
        <f>IFERROR(__xludf.DUMMYFUNCTION("""COMPUTED_VALUE"""),31.2192)</f>
        <v>31.2192</v>
      </c>
    </row>
    <row r="2068">
      <c r="A2068" s="4" t="str">
        <f>IFERROR(__xludf.DUMMYFUNCTION("""COMPUTED_VALUE"""),"MCA2")</f>
        <v>MCA2</v>
      </c>
      <c r="B2068" s="4" t="str">
        <f>IFERROR(__xludf.DUMMYFUNCTION("""COMPUTED_VALUE"""),"Panel impreso Metacrilato colada 2 mm A2 (594x420 mm)")</f>
        <v>Panel impreso Metacrilato colada 2 mm A2 (594x420 mm)</v>
      </c>
      <c r="C2068" s="4">
        <f>IFERROR(__xludf.DUMMYFUNCTION("""COMPUTED_VALUE"""),17.376)</f>
        <v>17.376</v>
      </c>
    </row>
    <row r="2069">
      <c r="A2069" s="4" t="str">
        <f>IFERROR(__xludf.DUMMYFUNCTION("""COMPUTED_VALUE"""),"MCA3")</f>
        <v>MCA3</v>
      </c>
      <c r="B2069" s="4" t="str">
        <f>IFERROR(__xludf.DUMMYFUNCTION("""COMPUTED_VALUE"""),"Panel impreso Metacrilato colada 2 mm A3 (420x297 mm)")</f>
        <v>Panel impreso Metacrilato colada 2 mm A3 (420x297 mm)</v>
      </c>
      <c r="C2069" s="4">
        <f>IFERROR(__xludf.DUMMYFUNCTION("""COMPUTED_VALUE"""),11.4048)</f>
        <v>11.4048</v>
      </c>
    </row>
    <row r="2070">
      <c r="A2070" s="4" t="str">
        <f>IFERROR(__xludf.DUMMYFUNCTION("""COMPUTED_VALUE"""),"MCA4")</f>
        <v>MCA4</v>
      </c>
      <c r="B2070" s="4" t="str">
        <f>IFERROR(__xludf.DUMMYFUNCTION("""COMPUTED_VALUE"""),"Panel impreso Metacrilato colada 2 mm A4 (210x297 mm)")</f>
        <v>Panel impreso Metacrilato colada 2 mm A4 (210x297 mm)</v>
      </c>
      <c r="C2070" s="4">
        <f>IFERROR(__xludf.DUMMYFUNCTION("""COMPUTED_VALUE"""),6.048)</f>
        <v>6.048</v>
      </c>
    </row>
    <row r="2071">
      <c r="A2071" s="4" t="str">
        <f>IFERROR(__xludf.DUMMYFUNCTION("""COMPUTED_VALUE"""),"MCA5")</f>
        <v>MCA5</v>
      </c>
      <c r="B2071" s="4" t="str">
        <f>IFERROR(__xludf.DUMMYFUNCTION("""COMPUTED_VALUE"""),"Panel impreso Metacrilato colada 2 mm A5 (148x210 mm)")</f>
        <v>Panel impreso Metacrilato colada 2 mm A5 (148x210 mm)</v>
      </c>
      <c r="C2071" s="4">
        <f>IFERROR(__xludf.DUMMYFUNCTION("""COMPUTED_VALUE"""),3.264)</f>
        <v>3.264</v>
      </c>
    </row>
    <row r="2072">
      <c r="A2072" s="4" t="str">
        <f>IFERROR(__xludf.DUMMYFUNCTION("""COMPUTED_VALUE"""),"MCA6")</f>
        <v>MCA6</v>
      </c>
      <c r="B2072" s="4" t="str">
        <f>IFERROR(__xludf.DUMMYFUNCTION("""COMPUTED_VALUE"""),"Panel impreso Metacrilato colada 2 mm A6 (148x105 mm)")</f>
        <v>Panel impreso Metacrilato colada 2 mm A6 (148x105 mm)</v>
      </c>
      <c r="C2072" s="4">
        <f>IFERROR(__xludf.DUMMYFUNCTION("""COMPUTED_VALUE"""),2.112)</f>
        <v>2.112</v>
      </c>
    </row>
    <row r="2073">
      <c r="A2073" s="4" t="str">
        <f>IFERROR(__xludf.DUMMYFUNCTION("""COMPUTED_VALUE"""),"PASA1")</f>
        <v>PASA1</v>
      </c>
      <c r="B2073" s="4" t="str">
        <f>IFERROR(__xludf.DUMMYFUNCTION("""COMPUTED_VALUE"""),"Panel impreso Aluminio Sandwich 2mm/0.15 mm A1 (841x594")</f>
        <v>Panel impreso Aluminio Sandwich 2mm/0.15 mm A1 (841x594</v>
      </c>
      <c r="C2073" s="4">
        <f>IFERROR(__xludf.DUMMYFUNCTION("""COMPUTED_VALUE"""),28.368)</f>
        <v>28.368</v>
      </c>
    </row>
    <row r="2074">
      <c r="A2074" s="4" t="str">
        <f>IFERROR(__xludf.DUMMYFUNCTION("""COMPUTED_VALUE"""),"PASA2")</f>
        <v>PASA2</v>
      </c>
      <c r="B2074" s="4" t="str">
        <f>IFERROR(__xludf.DUMMYFUNCTION("""COMPUTED_VALUE"""),"Panel impreso Aluminio Sandwich 2mm/0.15 mm A2 (594x420")</f>
        <v>Panel impreso Aluminio Sandwich 2mm/0.15 mm A2 (594x420</v>
      </c>
      <c r="C2074" s="4">
        <f>IFERROR(__xludf.DUMMYFUNCTION("""COMPUTED_VALUE"""),12.144)</f>
        <v>12.144</v>
      </c>
    </row>
    <row r="2075">
      <c r="A2075" s="4" t="str">
        <f>IFERROR(__xludf.DUMMYFUNCTION("""COMPUTED_VALUE"""),"PASA3")</f>
        <v>PASA3</v>
      </c>
      <c r="B2075" s="4" t="str">
        <f>IFERROR(__xludf.DUMMYFUNCTION("""COMPUTED_VALUE"""),"Panel impreso Aluminio Sandwich 2mm/0.15 mm A3 (420x297")</f>
        <v>Panel impreso Aluminio Sandwich 2mm/0.15 mm A3 (420x297</v>
      </c>
      <c r="C2075" s="4">
        <f>IFERROR(__xludf.DUMMYFUNCTION("""COMPUTED_VALUE"""),4.872)</f>
        <v>4.872</v>
      </c>
    </row>
    <row r="2076">
      <c r="A2076" s="4" t="str">
        <f>IFERROR(__xludf.DUMMYFUNCTION("""COMPUTED_VALUE"""),"PASA4")</f>
        <v>PASA4</v>
      </c>
      <c r="B2076" s="4" t="str">
        <f>IFERROR(__xludf.DUMMYFUNCTION("""COMPUTED_VALUE"""),"Panel impreso Aluminio Sandwich 2mm/0.15 mm A4 (297x210")</f>
        <v>Panel impreso Aluminio Sandwich 2mm/0.15 mm A4 (297x210</v>
      </c>
      <c r="C2076" s="4">
        <f>IFERROR(__xludf.DUMMYFUNCTION("""COMPUTED_VALUE"""),2.6399999999999997)</f>
        <v>2.64</v>
      </c>
    </row>
    <row r="2077">
      <c r="A2077" s="4" t="str">
        <f>IFERROR(__xludf.DUMMYFUNCTION("""COMPUTED_VALUE"""),"PASA5")</f>
        <v>PASA5</v>
      </c>
      <c r="B2077" s="4" t="str">
        <f>IFERROR(__xludf.DUMMYFUNCTION("""COMPUTED_VALUE"""),"Panel impreso Aluminio Sandwich 2mm/0.15 mm A5 (148x210")</f>
        <v>Panel impreso Aluminio Sandwich 2mm/0.15 mm A5 (148x210</v>
      </c>
      <c r="C2077" s="4">
        <f>IFERROR(__xludf.DUMMYFUNCTION("""COMPUTED_VALUE"""),1.3439999999999999)</f>
        <v>1.344</v>
      </c>
    </row>
    <row r="2078">
      <c r="A2078" s="4" t="str">
        <f>IFERROR(__xludf.DUMMYFUNCTION("""COMPUTED_VALUE"""),"PASA6")</f>
        <v>PASA6</v>
      </c>
      <c r="B2078" s="4" t="str">
        <f>IFERROR(__xludf.DUMMYFUNCTION("""COMPUTED_VALUE"""),"Panel impreso Aluminio Sandwich 2mm/0.15 mm A6 (105x148")</f>
        <v>Panel impreso Aluminio Sandwich 2mm/0.15 mm A6 (105x148</v>
      </c>
      <c r="C2078" s="4">
        <f>IFERROR(__xludf.DUMMYFUNCTION("""COMPUTED_VALUE"""),1.056)</f>
        <v>1.056</v>
      </c>
    </row>
    <row r="2079">
      <c r="A2079" s="4" t="str">
        <f>IFERROR(__xludf.DUMMYFUNCTION("""COMPUTED_VALUE"""),"PCMA1")</f>
        <v>PCMA1</v>
      </c>
      <c r="B2079" s="4" t="str">
        <f>IFERROR(__xludf.DUMMYFUNCTION("""COMPUTED_VALUE"""),"Panel impreso PP Celular Microcanal 3 mm A1 (841x594 mm)")</f>
        <v>Panel impreso PP Celular Microcanal 3 mm A1 (841x594 mm)</v>
      </c>
      <c r="C2079" s="4">
        <f>IFERROR(__xludf.DUMMYFUNCTION("""COMPUTED_VALUE"""),9.004800000000001)</f>
        <v>9.0048</v>
      </c>
    </row>
    <row r="2080">
      <c r="A2080" s="4" t="str">
        <f>IFERROR(__xludf.DUMMYFUNCTION("""COMPUTED_VALUE"""),"PCMA2")</f>
        <v>PCMA2</v>
      </c>
      <c r="B2080" s="4" t="str">
        <f>IFERROR(__xludf.DUMMYFUNCTION("""COMPUTED_VALUE"""),"Panel impreso PP Celular Microcanal 3 mm A2 (594x420 mm)")</f>
        <v>Panel impreso PP Celular Microcanal 3 mm A2 (594x420 mm)</v>
      </c>
      <c r="C2080" s="4">
        <f>IFERROR(__xludf.DUMMYFUNCTION("""COMPUTED_VALUE"""),4.300800000000001)</f>
        <v>4.3008</v>
      </c>
    </row>
    <row r="2081">
      <c r="A2081" s="4" t="str">
        <f>IFERROR(__xludf.DUMMYFUNCTION("""COMPUTED_VALUE"""),"PCMA3")</f>
        <v>PCMA3</v>
      </c>
      <c r="B2081" s="4" t="str">
        <f>IFERROR(__xludf.DUMMYFUNCTION("""COMPUTED_VALUE"""),"Panel impreso PP Celular Microcanal 3 mm A3 (420x297 mm)")</f>
        <v>Panel impreso PP Celular Microcanal 3 mm A3 (420x297 mm)</v>
      </c>
      <c r="C2081" s="4">
        <f>IFERROR(__xludf.DUMMYFUNCTION("""COMPUTED_VALUE"""),2.3424)</f>
        <v>2.3424</v>
      </c>
    </row>
    <row r="2082">
      <c r="A2082" s="4" t="str">
        <f>IFERROR(__xludf.DUMMYFUNCTION("""COMPUTED_VALUE"""),"PCMA4")</f>
        <v>PCMA4</v>
      </c>
      <c r="B2082" s="4" t="str">
        <f>IFERROR(__xludf.DUMMYFUNCTION("""COMPUTED_VALUE"""),"Panel impreso PP Celular Microcanal 3 mm A4 (297x210 mm)")</f>
        <v>Panel impreso PP Celular Microcanal 3 mm A4 (297x210 mm)</v>
      </c>
      <c r="C2082" s="4">
        <f>IFERROR(__xludf.DUMMYFUNCTION("""COMPUTED_VALUE"""),1.68)</f>
        <v>1.68</v>
      </c>
    </row>
    <row r="2083">
      <c r="A2083" s="4" t="str">
        <f>IFERROR(__xludf.DUMMYFUNCTION("""COMPUTED_VALUE"""),"PCMA5")</f>
        <v>PCMA5</v>
      </c>
      <c r="B2083" s="4" t="str">
        <f>IFERROR(__xludf.DUMMYFUNCTION("""COMPUTED_VALUE"""),"Panel impreso PP Celular Microcanal 3 mm A5 (148x210 mm)")</f>
        <v>Panel impreso PP Celular Microcanal 3 mm A5 (148x210 mm)</v>
      </c>
      <c r="C2083" s="4">
        <f>IFERROR(__xludf.DUMMYFUNCTION("""COMPUTED_VALUE"""),1.2)</f>
        <v>1.2</v>
      </c>
    </row>
    <row r="2084">
      <c r="A2084" s="4" t="str">
        <f>IFERROR(__xludf.DUMMYFUNCTION("""COMPUTED_VALUE"""),"PCMA6")</f>
        <v>PCMA6</v>
      </c>
      <c r="B2084" s="4" t="str">
        <f>IFERROR(__xludf.DUMMYFUNCTION("""COMPUTED_VALUE"""),"Panel impreso PP Celular Microcanal 3 mm A6 (105x148 mm)")</f>
        <v>Panel impreso PP Celular Microcanal 3 mm A6 (105x148 mm)</v>
      </c>
      <c r="C2084" s="4">
        <f>IFERROR(__xludf.DUMMYFUNCTION("""COMPUTED_VALUE"""),0.864)</f>
        <v>0.864</v>
      </c>
    </row>
    <row r="2085">
      <c r="A2085" s="4" t="str">
        <f>IFERROR(__xludf.DUMMYFUNCTION("""COMPUTED_VALUE"""),"PIEVALLA")</f>
        <v>PIEVALLA</v>
      </c>
      <c r="B2085" s="4" t="str">
        <f>IFERROR(__xludf.DUMMYFUNCTION("""COMPUTED_VALUE"""),"Pie de valla Gate Barrier")</f>
        <v>Pie de valla Gate Barrier</v>
      </c>
      <c r="C2085" s="4">
        <f>IFERROR(__xludf.DUMMYFUNCTION("""COMPUTED_VALUE"""),9.36)</f>
        <v>9.36</v>
      </c>
    </row>
    <row r="2086">
      <c r="A2086" s="4" t="str">
        <f>IFERROR(__xludf.DUMMYFUNCTION("""COMPUTED_VALUE"""),"PIEVALLAP")</f>
        <v>PIEVALLAP</v>
      </c>
      <c r="B2086" s="4" t="str">
        <f>IFERROR(__xludf.DUMMYFUNCTION("""COMPUTED_VALUE"""),"Pie Valla Gate Barrier Asimétrico")</f>
        <v>Pie Valla Gate Barrier Asimétrico</v>
      </c>
      <c r="C2086" s="4">
        <f>IFERROR(__xludf.DUMMYFUNCTION("""COMPUTED_VALUE"""),8.64)</f>
        <v>8.64</v>
      </c>
    </row>
    <row r="2087">
      <c r="A2087" s="4" t="str">
        <f>IFERROR(__xludf.DUMMYFUNCTION("""COMPUTED_VALUE"""),"PVC10070FOTOL")</f>
        <v>PVC10070FOTOL</v>
      </c>
      <c r="B2087" s="4" t="str">
        <f>IFERROR(__xludf.DUMMYFUNCTION("""COMPUTED_VALUE"""),"Cartel PVC fotoluminiscente 100x70 cm")</f>
        <v>Cartel PVC fotoluminiscente 100x70 cm</v>
      </c>
      <c r="C2087" s="4">
        <f>IFERROR(__xludf.DUMMYFUNCTION("""COMPUTED_VALUE"""),23.04)</f>
        <v>23.04</v>
      </c>
    </row>
    <row r="2088">
      <c r="A2088" s="4" t="str">
        <f>IFERROR(__xludf.DUMMYFUNCTION("""COMPUTED_VALUE"""),"PVCRA1")</f>
        <v>PVCRA1</v>
      </c>
      <c r="B2088" s="4" t="str">
        <f>IFERROR(__xludf.DUMMYFUNCTION("""COMPUTED_VALUE"""),"Panel impreso PVC Rígido espumado 3 mm A1 (841x594 mm)")</f>
        <v>Panel impreso PVC Rígido espumado 3 mm A1 (841x594 mm)</v>
      </c>
      <c r="C2088" s="4">
        <f>IFERROR(__xludf.DUMMYFUNCTION("""COMPUTED_VALUE"""),14.111999999999998)</f>
        <v>14.112</v>
      </c>
    </row>
    <row r="2089">
      <c r="A2089" s="4" t="str">
        <f>IFERROR(__xludf.DUMMYFUNCTION("""COMPUTED_VALUE"""),"PVCRA2")</f>
        <v>PVCRA2</v>
      </c>
      <c r="B2089" s="4" t="str">
        <f>IFERROR(__xludf.DUMMYFUNCTION("""COMPUTED_VALUE"""),"Panel impreso PVC Rígido espumado 3 mm A2 (594X420 mm)")</f>
        <v>Panel impreso PVC Rígido espumado 3 mm A2 (594X420 mm)</v>
      </c>
      <c r="C2089" s="4">
        <f>IFERROR(__xludf.DUMMYFUNCTION("""COMPUTED_VALUE"""),8.256)</f>
        <v>8.256</v>
      </c>
    </row>
    <row r="2090">
      <c r="A2090" s="4" t="str">
        <f>IFERROR(__xludf.DUMMYFUNCTION("""COMPUTED_VALUE"""),"PVCRA3")</f>
        <v>PVCRA3</v>
      </c>
      <c r="B2090" s="4" t="str">
        <f>IFERROR(__xludf.DUMMYFUNCTION("""COMPUTED_VALUE"""),"Panel impreso PVC Rígido espumado 3 mm A3 (420x297 mm)")</f>
        <v>Panel impreso PVC Rígido espumado 3 mm A3 (420x297 mm)</v>
      </c>
      <c r="C2090" s="4">
        <f>IFERROR(__xludf.DUMMYFUNCTION("""COMPUTED_VALUE"""),5.2224)</f>
        <v>5.2224</v>
      </c>
    </row>
    <row r="2091">
      <c r="A2091" s="4" t="str">
        <f>IFERROR(__xludf.DUMMYFUNCTION("""COMPUTED_VALUE"""),"PVCRA4")</f>
        <v>PVCRA4</v>
      </c>
      <c r="B2091" s="4" t="str">
        <f>IFERROR(__xludf.DUMMYFUNCTION("""COMPUTED_VALUE"""),"Panel impreso PVC Rígido espumado 3 mm A4 (297x210 mm)")</f>
        <v>Panel impreso PVC Rígido espumado 3 mm A4 (297x210 mm)</v>
      </c>
      <c r="C2091" s="4">
        <f>IFERROR(__xludf.DUMMYFUNCTION("""COMPUTED_VALUE"""),3.5999999999999996)</f>
        <v>3.6</v>
      </c>
    </row>
    <row r="2092">
      <c r="A2092" s="4" t="str">
        <f>IFERROR(__xludf.DUMMYFUNCTION("""COMPUTED_VALUE"""),"PVCRA5")</f>
        <v>PVCRA5</v>
      </c>
      <c r="B2092" s="4" t="str">
        <f>IFERROR(__xludf.DUMMYFUNCTION("""COMPUTED_VALUE"""),"Panel impreso PVC Rígido espumado 3 mm A5 (148x210 mm)")</f>
        <v>Panel impreso PVC Rígido espumado 3 mm A5 (148x210 mm)</v>
      </c>
      <c r="C2092" s="4">
        <f>IFERROR(__xludf.DUMMYFUNCTION("""COMPUTED_VALUE"""),2.4384)</f>
        <v>2.4384</v>
      </c>
    </row>
    <row r="2093">
      <c r="A2093" s="4" t="str">
        <f>IFERROR(__xludf.DUMMYFUNCTION("""COMPUTED_VALUE"""),"PVCRA6")</f>
        <v>PVCRA6</v>
      </c>
      <c r="B2093" s="4" t="str">
        <f>IFERROR(__xludf.DUMMYFUNCTION("""COMPUTED_VALUE"""),"Panel impreso PVC Rígido espumado 3 mm A6 (105x148 mm)")</f>
        <v>Panel impreso PVC Rígido espumado 3 mm A6 (105x148 mm)</v>
      </c>
      <c r="C2093" s="4">
        <f>IFERROR(__xludf.DUMMYFUNCTION("""COMPUTED_VALUE"""),1.248)</f>
        <v>1.248</v>
      </c>
    </row>
    <row r="2094">
      <c r="A2094" s="4" t="str">
        <f>IFERROR(__xludf.DUMMYFUNCTION("""COMPUTED_VALUE"""),"S13LUM")</f>
        <v>S13LUM</v>
      </c>
      <c r="B2094" s="4" t="str">
        <f>IFERROR(__xludf.DUMMYFUNCTION("""COMPUTED_VALUE"""),"Señal aluminio Luminosa S13 60 cm")</f>
        <v>Señal aluminio Luminosa S13 60 cm</v>
      </c>
      <c r="C2094" s="4">
        <f>IFERROR(__xludf.DUMMYFUNCTION("""COMPUTED_VALUE"""),552.0)</f>
        <v>552</v>
      </c>
    </row>
    <row r="2095">
      <c r="A2095" s="4" t="str">
        <f>IFERROR(__xludf.DUMMYFUNCTION("""COMPUTED_VALUE"""),"S13SOLAR")</f>
        <v>S13SOLAR</v>
      </c>
      <c r="B2095" s="4" t="str">
        <f>IFERROR(__xludf.DUMMYFUNCTION("""COMPUTED_VALUE"""),"Kit Solar 20 w para alimentación 5 ah/12 v")</f>
        <v>Kit Solar 20 w para alimentación 5 ah/12 v</v>
      </c>
      <c r="C2095" s="4">
        <f>IFERROR(__xludf.DUMMYFUNCTION("""COMPUTED_VALUE"""),374.4)</f>
        <v>374.4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tr">
        <f>IFERROR(__xludf.DUMMYFUNCTION("QUERY('Hoja 1'!A:L, ""SELECT A, B, J WHERE A IS NOT NULL"", 1)"),"Referencia")</f>
        <v>Referencia</v>
      </c>
      <c r="B1" s="4" t="str">
        <f>IFERROR(__xludf.DUMMYFUNCTION("""COMPUTED_VALUE"""),"Descripcion")</f>
        <v>Descripcion</v>
      </c>
      <c r="C1" s="4" t="str">
        <f>IFERROR(__xludf.DUMMYFUNCTION("""COMPUTED_VALUE"""),"PRECIO_GRUPO1")</f>
        <v>PRECIO_GRUPO1</v>
      </c>
    </row>
    <row r="2">
      <c r="A2" s="4" t="str">
        <f>IFERROR(__xludf.DUMMYFUNCTION("""COMPUTED_VALUE"""),"101")</f>
        <v>101</v>
      </c>
      <c r="B2" s="4" t="str">
        <f>IFERROR(__xludf.DUMMYFUNCTION("""COMPUTED_VALUE"""),"Cartel PVC 21x29 Fotolum. SALIDA FLECHA IZQ.")</f>
        <v>Cartel PVC 21x29 Fotolum. SALIDA FLECHA IZQ.</v>
      </c>
      <c r="C2" s="4">
        <f>IFERROR(__xludf.DUMMYFUNCTION("""COMPUTED_VALUE"""),2.496)</f>
        <v>2.496</v>
      </c>
    </row>
    <row r="3">
      <c r="A3" s="4" t="str">
        <f>IFERROR(__xludf.DUMMYFUNCTION("""COMPUTED_VALUE"""),"0101A")</f>
        <v>0101A</v>
      </c>
      <c r="B3" s="4" t="str">
        <f>IFERROR(__xludf.DUMMYFUNCTION("""COMPUTED_VALUE"""),"Cartel PVC 32x16 Fotolum Salida flecha derecha")</f>
        <v>Cartel PVC 32x16 Fotolum Salida flecha derecha</v>
      </c>
      <c r="C3" s="4">
        <f>IFERROR(__xludf.DUMMYFUNCTION("""COMPUTED_VALUE"""),2.16)</f>
        <v>2.16</v>
      </c>
    </row>
    <row r="4">
      <c r="A4" s="4" t="str">
        <f>IFERROR(__xludf.DUMMYFUNCTION("""COMPUTED_VALUE"""),"0101B")</f>
        <v>0101B</v>
      </c>
      <c r="B4" s="4" t="str">
        <f>IFERROR(__xludf.DUMMYFUNCTION("""COMPUTED_VALUE"""),"Cartel PVC 64x32 Fotolum Salida flecha derecha")</f>
        <v>Cartel PVC 64x32 Fotolum Salida flecha derecha</v>
      </c>
      <c r="C4" s="4">
        <f>IFERROR(__xludf.DUMMYFUNCTION("""COMPUTED_VALUE"""),4.300800000000001)</f>
        <v>4.3008</v>
      </c>
    </row>
    <row r="5">
      <c r="A5" s="4" t="str">
        <f>IFERROR(__xludf.DUMMYFUNCTION("""COMPUTED_VALUE"""),"0101C")</f>
        <v>0101C</v>
      </c>
      <c r="B5" s="4" t="str">
        <f>IFERROR(__xludf.DUMMYFUNCTION("""COMPUTED_VALUE"""),"Cartel PVC 96x48 Fotolum Salida flecha derecha")</f>
        <v>Cartel PVC 96x48 Fotolum Salida flecha derecha</v>
      </c>
      <c r="C5" s="4">
        <f>IFERROR(__xludf.DUMMYFUNCTION("""COMPUTED_VALUE"""),8.601600000000001)</f>
        <v>8.6016</v>
      </c>
    </row>
    <row r="6">
      <c r="A6" s="4" t="str">
        <f>IFERROR(__xludf.DUMMYFUNCTION("""COMPUTED_VALUE"""),"102")</f>
        <v>102</v>
      </c>
      <c r="B6" s="4" t="str">
        <f>IFERROR(__xludf.DUMMYFUNCTION("""COMPUTED_VALUE"""),"Cartel PVC 21x29 Fotolum. SALIDA FLECHA IZQ.")</f>
        <v>Cartel PVC 21x29 Fotolum. SALIDA FLECHA IZQ.</v>
      </c>
      <c r="C6" s="4">
        <f>IFERROR(__xludf.DUMMYFUNCTION("""COMPUTED_VALUE"""),2.496)</f>
        <v>2.496</v>
      </c>
    </row>
    <row r="7">
      <c r="A7" s="4" t="str">
        <f>IFERROR(__xludf.DUMMYFUNCTION("""COMPUTED_VALUE"""),"0102A")</f>
        <v>0102A</v>
      </c>
      <c r="B7" s="4" t="str">
        <f>IFERROR(__xludf.DUMMYFUNCTION("""COMPUTED_VALUE"""),"Cartel PVC 32x16 Fotolum Salida flecha izquierda")</f>
        <v>Cartel PVC 32x16 Fotolum Salida flecha izquierda</v>
      </c>
      <c r="C7" s="4">
        <f>IFERROR(__xludf.DUMMYFUNCTION("""COMPUTED_VALUE"""),2.16)</f>
        <v>2.16</v>
      </c>
    </row>
    <row r="8">
      <c r="A8" s="4" t="str">
        <f>IFERROR(__xludf.DUMMYFUNCTION("""COMPUTED_VALUE"""),"0102B")</f>
        <v>0102B</v>
      </c>
      <c r="B8" s="4" t="str">
        <f>IFERROR(__xludf.DUMMYFUNCTION("""COMPUTED_VALUE"""),"Cartel PVC 64x32 Fotolum Salida flecha izquierda")</f>
        <v>Cartel PVC 64x32 Fotolum Salida flecha izquierda</v>
      </c>
      <c r="C8" s="4">
        <f>IFERROR(__xludf.DUMMYFUNCTION("""COMPUTED_VALUE"""),4.300800000000001)</f>
        <v>4.3008</v>
      </c>
    </row>
    <row r="9">
      <c r="A9" s="4" t="str">
        <f>IFERROR(__xludf.DUMMYFUNCTION("""COMPUTED_VALUE"""),"0102C")</f>
        <v>0102C</v>
      </c>
      <c r="B9" s="4" t="str">
        <f>IFERROR(__xludf.DUMMYFUNCTION("""COMPUTED_VALUE"""),"Cartel PVC 96x48 Fotolum Salida flecha izquierda")</f>
        <v>Cartel PVC 96x48 Fotolum Salida flecha izquierda</v>
      </c>
      <c r="C9" s="4">
        <f>IFERROR(__xludf.DUMMYFUNCTION("""COMPUTED_VALUE"""),8.601600000000001)</f>
        <v>8.6016</v>
      </c>
    </row>
    <row r="10">
      <c r="A10" s="4" t="str">
        <f>IFERROR(__xludf.DUMMYFUNCTION("""COMPUTED_VALUE"""),"103")</f>
        <v>103</v>
      </c>
      <c r="B10" s="4" t="str">
        <f>IFERROR(__xludf.DUMMYFUNCTION("""COMPUTED_VALUE"""),"Cartel PVC 21x29 Fotolum. SALIDA FLECHA FRONTAL")</f>
        <v>Cartel PVC 21x29 Fotolum. SALIDA FLECHA FRONTAL</v>
      </c>
      <c r="C10" s="4">
        <f>IFERROR(__xludf.DUMMYFUNCTION("""COMPUTED_VALUE"""),2.496)</f>
        <v>2.496</v>
      </c>
    </row>
    <row r="11">
      <c r="A11" s="4" t="str">
        <f>IFERROR(__xludf.DUMMYFUNCTION("""COMPUTED_VALUE"""),"0103A")</f>
        <v>0103A</v>
      </c>
      <c r="B11" s="4" t="str">
        <f>IFERROR(__xludf.DUMMYFUNCTION("""COMPUTED_VALUE"""),"Cartel PVC 32x16 Fotolum Salida flecha arriba")</f>
        <v>Cartel PVC 32x16 Fotolum Salida flecha arriba</v>
      </c>
      <c r="C11" s="4">
        <f>IFERROR(__xludf.DUMMYFUNCTION("""COMPUTED_VALUE"""),2.16)</f>
        <v>2.16</v>
      </c>
    </row>
    <row r="12">
      <c r="A12" s="4" t="str">
        <f>IFERROR(__xludf.DUMMYFUNCTION("""COMPUTED_VALUE"""),"0103B")</f>
        <v>0103B</v>
      </c>
      <c r="B12" s="4" t="str">
        <f>IFERROR(__xludf.DUMMYFUNCTION("""COMPUTED_VALUE"""),"Cartel PVC 64x32 Fotolum Salida flecha arriba")</f>
        <v>Cartel PVC 64x32 Fotolum Salida flecha arriba</v>
      </c>
      <c r="C12" s="4">
        <f>IFERROR(__xludf.DUMMYFUNCTION("""COMPUTED_VALUE"""),4.300800000000001)</f>
        <v>4.3008</v>
      </c>
    </row>
    <row r="13">
      <c r="A13" s="4" t="str">
        <f>IFERROR(__xludf.DUMMYFUNCTION("""COMPUTED_VALUE"""),"0103C")</f>
        <v>0103C</v>
      </c>
      <c r="B13" s="4" t="str">
        <f>IFERROR(__xludf.DUMMYFUNCTION("""COMPUTED_VALUE"""),"Cartel PVC 96x48 Fotolum Salida flecha arriba")</f>
        <v>Cartel PVC 96x48 Fotolum Salida flecha arriba</v>
      </c>
      <c r="C13" s="4">
        <f>IFERROR(__xludf.DUMMYFUNCTION("""COMPUTED_VALUE"""),8.601600000000001)</f>
        <v>8.6016</v>
      </c>
    </row>
    <row r="14">
      <c r="A14" s="4" t="str">
        <f>IFERROR(__xludf.DUMMYFUNCTION("""COMPUTED_VALUE"""),"104")</f>
        <v>104</v>
      </c>
      <c r="B14" s="4" t="str">
        <f>IFERROR(__xludf.DUMMYFUNCTION("""COMPUTED_VALUE"""),"Cartel PVC 21x29 Fotolum. SALIDA FLECHA ABAJO")</f>
        <v>Cartel PVC 21x29 Fotolum. SALIDA FLECHA ABAJO</v>
      </c>
      <c r="C14" s="4">
        <f>IFERROR(__xludf.DUMMYFUNCTION("""COMPUTED_VALUE"""),2.496)</f>
        <v>2.496</v>
      </c>
    </row>
    <row r="15">
      <c r="A15" s="4" t="str">
        <f>IFERROR(__xludf.DUMMYFUNCTION("""COMPUTED_VALUE"""),"0104A")</f>
        <v>0104A</v>
      </c>
      <c r="B15" s="4" t="str">
        <f>IFERROR(__xludf.DUMMYFUNCTION("""COMPUTED_VALUE"""),"Cartel PVC 32x16 Fotolum Salida flecha abajo")</f>
        <v>Cartel PVC 32x16 Fotolum Salida flecha abajo</v>
      </c>
      <c r="C15" s="4">
        <f>IFERROR(__xludf.DUMMYFUNCTION("""COMPUTED_VALUE"""),2.16)</f>
        <v>2.16</v>
      </c>
    </row>
    <row r="16">
      <c r="A16" s="4" t="str">
        <f>IFERROR(__xludf.DUMMYFUNCTION("""COMPUTED_VALUE"""),"0104B")</f>
        <v>0104B</v>
      </c>
      <c r="B16" s="4" t="str">
        <f>IFERROR(__xludf.DUMMYFUNCTION("""COMPUTED_VALUE"""),"Cartel PVC 64x32 Fotolum Salida flecha abajo")</f>
        <v>Cartel PVC 64x32 Fotolum Salida flecha abajo</v>
      </c>
      <c r="C16" s="4">
        <f>IFERROR(__xludf.DUMMYFUNCTION("""COMPUTED_VALUE"""),4.300800000000001)</f>
        <v>4.3008</v>
      </c>
    </row>
    <row r="17">
      <c r="A17" s="4" t="str">
        <f>IFERROR(__xludf.DUMMYFUNCTION("""COMPUTED_VALUE"""),"0104C")</f>
        <v>0104C</v>
      </c>
      <c r="B17" s="4" t="str">
        <f>IFERROR(__xludf.DUMMYFUNCTION("""COMPUTED_VALUE"""),"Cartel PVC 96x48 Fotolum Salida flecha abajo")</f>
        <v>Cartel PVC 96x48 Fotolum Salida flecha abajo</v>
      </c>
      <c r="C17" s="4">
        <f>IFERROR(__xludf.DUMMYFUNCTION("""COMPUTED_VALUE"""),8.601600000000001)</f>
        <v>8.6016</v>
      </c>
    </row>
    <row r="18">
      <c r="A18" s="4" t="str">
        <f>IFERROR(__xludf.DUMMYFUNCTION("""COMPUTED_VALUE"""),"105")</f>
        <v>105</v>
      </c>
      <c r="B18" s="4" t="str">
        <f>IFERROR(__xludf.DUMMYFUNCTION("""COMPUTED_VALUE"""),"Cartel PVC 21x29 Fotolum. SALIDA-EXIT")</f>
        <v>Cartel PVC 21x29 Fotolum. SALIDA-EXIT</v>
      </c>
      <c r="C18" s="4">
        <f>IFERROR(__xludf.DUMMYFUNCTION("""COMPUTED_VALUE"""),2.496)</f>
        <v>2.496</v>
      </c>
    </row>
    <row r="19">
      <c r="A19" s="4" t="str">
        <f>IFERROR(__xludf.DUMMYFUNCTION("""COMPUTED_VALUE"""),"0105A")</f>
        <v>0105A</v>
      </c>
      <c r="B19" s="4" t="str">
        <f>IFERROR(__xludf.DUMMYFUNCTION("""COMPUTED_VALUE"""),"Cartel PVC 32x16 Fotolum. Salida-Exit")</f>
        <v>Cartel PVC 32x16 Fotolum. Salida-Exit</v>
      </c>
      <c r="C19" s="4">
        <f>IFERROR(__xludf.DUMMYFUNCTION("""COMPUTED_VALUE"""),2.16)</f>
        <v>2.16</v>
      </c>
    </row>
    <row r="20">
      <c r="A20" s="4" t="str">
        <f>IFERROR(__xludf.DUMMYFUNCTION("""COMPUTED_VALUE"""),"0105B")</f>
        <v>0105B</v>
      </c>
      <c r="B20" s="4" t="str">
        <f>IFERROR(__xludf.DUMMYFUNCTION("""COMPUTED_VALUE"""),"Cartel PVC 64x32 Fotolum. Salida-Exit")</f>
        <v>Cartel PVC 64x32 Fotolum. Salida-Exit</v>
      </c>
      <c r="C20" s="4">
        <f>IFERROR(__xludf.DUMMYFUNCTION("""COMPUTED_VALUE"""),4.300800000000001)</f>
        <v>4.3008</v>
      </c>
    </row>
    <row r="21">
      <c r="A21" s="4" t="str">
        <f>IFERROR(__xludf.DUMMYFUNCTION("""COMPUTED_VALUE"""),"0105C")</f>
        <v>0105C</v>
      </c>
      <c r="B21" s="4" t="str">
        <f>IFERROR(__xludf.DUMMYFUNCTION("""COMPUTED_VALUE"""),"Cartel PVC 96x48 Fotolum. Salida-Exit")</f>
        <v>Cartel PVC 96x48 Fotolum. Salida-Exit</v>
      </c>
      <c r="C21" s="4">
        <f>IFERROR(__xludf.DUMMYFUNCTION("""COMPUTED_VALUE"""),8.601600000000001)</f>
        <v>8.6016</v>
      </c>
    </row>
    <row r="22">
      <c r="A22" s="4" t="str">
        <f>IFERROR(__xludf.DUMMYFUNCTION("""COMPUTED_VALUE"""),"106")</f>
        <v>106</v>
      </c>
      <c r="B22" s="4" t="str">
        <f>IFERROR(__xludf.DUMMYFUNCTION("""COMPUTED_VALUE"""),"Cartel PVC 21x29 Fotolum. SALIDA EMERG. FLECHA DCHA")</f>
        <v>Cartel PVC 21x29 Fotolum. SALIDA EMERG. FLECHA DCHA</v>
      </c>
      <c r="C22" s="4">
        <f>IFERROR(__xludf.DUMMYFUNCTION("""COMPUTED_VALUE"""),2.496)</f>
        <v>2.496</v>
      </c>
    </row>
    <row r="23">
      <c r="A23" s="4" t="str">
        <f>IFERROR(__xludf.DUMMYFUNCTION("""COMPUTED_VALUE"""),"0106A")</f>
        <v>0106A</v>
      </c>
      <c r="B23" s="4" t="str">
        <f>IFERROR(__xludf.DUMMYFUNCTION("""COMPUTED_VALUE"""),"Cartel PVC 32x16 Fotolum. Salida de emergencia + flecha")</f>
        <v>Cartel PVC 32x16 Fotolum. Salida de emergencia + flecha</v>
      </c>
      <c r="C23" s="4">
        <f>IFERROR(__xludf.DUMMYFUNCTION("""COMPUTED_VALUE"""),2.16)</f>
        <v>2.16</v>
      </c>
    </row>
    <row r="24">
      <c r="A24" s="4" t="str">
        <f>IFERROR(__xludf.DUMMYFUNCTION("""COMPUTED_VALUE"""),"0106B")</f>
        <v>0106B</v>
      </c>
      <c r="B24" s="4" t="str">
        <f>IFERROR(__xludf.DUMMYFUNCTION("""COMPUTED_VALUE"""),"Cartel PVC 64x32 Fotolum. Salida de emergencia + flecha")</f>
        <v>Cartel PVC 64x32 Fotolum. Salida de emergencia + flecha</v>
      </c>
      <c r="C24" s="4">
        <f>IFERROR(__xludf.DUMMYFUNCTION("""COMPUTED_VALUE"""),4.300800000000001)</f>
        <v>4.3008</v>
      </c>
    </row>
    <row r="25">
      <c r="A25" s="4" t="str">
        <f>IFERROR(__xludf.DUMMYFUNCTION("""COMPUTED_VALUE"""),"0106C")</f>
        <v>0106C</v>
      </c>
      <c r="B25" s="4" t="str">
        <f>IFERROR(__xludf.DUMMYFUNCTION("""COMPUTED_VALUE"""),"Cartel PVC 96x48 Fotolum. Salida de emergencia + flecha")</f>
        <v>Cartel PVC 96x48 Fotolum. Salida de emergencia + flecha</v>
      </c>
      <c r="C25" s="4">
        <f>IFERROR(__xludf.DUMMYFUNCTION("""COMPUTED_VALUE"""),8.601600000000001)</f>
        <v>8.6016</v>
      </c>
    </row>
    <row r="26">
      <c r="A26" s="4" t="str">
        <f>IFERROR(__xludf.DUMMYFUNCTION("""COMPUTED_VALUE"""),"107")</f>
        <v>107</v>
      </c>
      <c r="B26" s="4" t="str">
        <f>IFERROR(__xludf.DUMMYFUNCTION("""COMPUTED_VALUE"""),"Cartel PVC 21x29 Fotolum. SALIDA EMERG. FLECHA IZQ.")</f>
        <v>Cartel PVC 21x29 Fotolum. SALIDA EMERG. FLECHA IZQ.</v>
      </c>
      <c r="C26" s="4">
        <f>IFERROR(__xludf.DUMMYFUNCTION("""COMPUTED_VALUE"""),2.496)</f>
        <v>2.496</v>
      </c>
    </row>
    <row r="27">
      <c r="A27" s="4" t="str">
        <f>IFERROR(__xludf.DUMMYFUNCTION("""COMPUTED_VALUE"""),"0107A")</f>
        <v>0107A</v>
      </c>
      <c r="B27" s="4" t="str">
        <f>IFERROR(__xludf.DUMMYFUNCTION("""COMPUTED_VALUE"""),"Cartel PVC 32x16 Fotolum. Salida de emergencia + flecha izq")</f>
        <v>Cartel PVC 32x16 Fotolum. Salida de emergencia + flecha izq</v>
      </c>
      <c r="C27" s="4">
        <f>IFERROR(__xludf.DUMMYFUNCTION("""COMPUTED_VALUE"""),2.16)</f>
        <v>2.16</v>
      </c>
    </row>
    <row r="28">
      <c r="A28" s="4" t="str">
        <f>IFERROR(__xludf.DUMMYFUNCTION("""COMPUTED_VALUE"""),"0107B")</f>
        <v>0107B</v>
      </c>
      <c r="B28" s="4" t="str">
        <f>IFERROR(__xludf.DUMMYFUNCTION("""COMPUTED_VALUE"""),"Cartel PVC 64x32 Fotolum. Salida de emergencia + flecha izq")</f>
        <v>Cartel PVC 64x32 Fotolum. Salida de emergencia + flecha izq</v>
      </c>
      <c r="C28" s="4">
        <f>IFERROR(__xludf.DUMMYFUNCTION("""COMPUTED_VALUE"""),4.300800000000001)</f>
        <v>4.3008</v>
      </c>
    </row>
    <row r="29">
      <c r="A29" s="4" t="str">
        <f>IFERROR(__xludf.DUMMYFUNCTION("""COMPUTED_VALUE"""),"0107C")</f>
        <v>0107C</v>
      </c>
      <c r="B29" s="4" t="str">
        <f>IFERROR(__xludf.DUMMYFUNCTION("""COMPUTED_VALUE"""),"Cartel PVC 96x48 Fotolum. Salida de emergencia + flecha izq")</f>
        <v>Cartel PVC 96x48 Fotolum. Salida de emergencia + flecha izq</v>
      </c>
      <c r="C29" s="4">
        <f>IFERROR(__xludf.DUMMYFUNCTION("""COMPUTED_VALUE"""),8.601600000000001)</f>
        <v>8.6016</v>
      </c>
    </row>
    <row r="30">
      <c r="A30" s="4" t="str">
        <f>IFERROR(__xludf.DUMMYFUNCTION("""COMPUTED_VALUE"""),"108")</f>
        <v>108</v>
      </c>
      <c r="B30" s="4" t="str">
        <f>IFERROR(__xludf.DUMMYFUNCTION("""COMPUTED_VALUE"""),"Cartel PVC 21X29 Fotolum. ESCALERA EMERG. FLECHA")</f>
        <v>Cartel PVC 21X29 Fotolum. ESCALERA EMERG. FLECHA</v>
      </c>
      <c r="C30" s="4">
        <f>IFERROR(__xludf.DUMMYFUNCTION("""COMPUTED_VALUE"""),2.496)</f>
        <v>2.496</v>
      </c>
    </row>
    <row r="31">
      <c r="A31" s="4" t="str">
        <f>IFERROR(__xludf.DUMMYFUNCTION("""COMPUTED_VALUE"""),"0108A")</f>
        <v>0108A</v>
      </c>
      <c r="B31" s="4" t="str">
        <f>IFERROR(__xludf.DUMMYFUNCTION("""COMPUTED_VALUE"""),"Cartel PVC 32x16 Fotolum. Escal. de emergencia + flecha")</f>
        <v>Cartel PVC 32x16 Fotolum. Escal. de emergencia + flecha</v>
      </c>
      <c r="C31" s="4">
        <f>IFERROR(__xludf.DUMMYFUNCTION("""COMPUTED_VALUE"""),2.16)</f>
        <v>2.16</v>
      </c>
    </row>
    <row r="32">
      <c r="A32" s="4" t="str">
        <f>IFERROR(__xludf.DUMMYFUNCTION("""COMPUTED_VALUE"""),"0108B")</f>
        <v>0108B</v>
      </c>
      <c r="B32" s="4" t="str">
        <f>IFERROR(__xludf.DUMMYFUNCTION("""COMPUTED_VALUE"""),"Cartel PVC 64x32 Fotolum. Escal. de emergencia + flecha")</f>
        <v>Cartel PVC 64x32 Fotolum. Escal. de emergencia + flecha</v>
      </c>
      <c r="C32" s="4">
        <f>IFERROR(__xludf.DUMMYFUNCTION("""COMPUTED_VALUE"""),4.300800000000001)</f>
        <v>4.3008</v>
      </c>
    </row>
    <row r="33">
      <c r="A33" s="4" t="str">
        <f>IFERROR(__xludf.DUMMYFUNCTION("""COMPUTED_VALUE"""),"0108C")</f>
        <v>0108C</v>
      </c>
      <c r="B33" s="4" t="str">
        <f>IFERROR(__xludf.DUMMYFUNCTION("""COMPUTED_VALUE"""),"Cartel PVC 96x48 Fotolum. Escal. de emergencia + flecha")</f>
        <v>Cartel PVC 96x48 Fotolum. Escal. de emergencia + flecha</v>
      </c>
      <c r="C33" s="4">
        <f>IFERROR(__xludf.DUMMYFUNCTION("""COMPUTED_VALUE"""),8.601600000000001)</f>
        <v>8.6016</v>
      </c>
    </row>
    <row r="34">
      <c r="A34" s="4" t="str">
        <f>IFERROR(__xludf.DUMMYFUNCTION("""COMPUTED_VALUE"""),"109")</f>
        <v>109</v>
      </c>
      <c r="B34" s="4" t="str">
        <f>IFERROR(__xludf.DUMMYFUNCTION("""COMPUTED_VALUE"""),"Cartel PVC 21x29 Fotolum. ESCALERA EMERG. FLECHA")</f>
        <v>Cartel PVC 21x29 Fotolum. ESCALERA EMERG. FLECHA</v>
      </c>
      <c r="C34" s="4">
        <f>IFERROR(__xludf.DUMMYFUNCTION("""COMPUTED_VALUE"""),2.496)</f>
        <v>2.496</v>
      </c>
    </row>
    <row r="35">
      <c r="A35" s="4" t="str">
        <f>IFERROR(__xludf.DUMMYFUNCTION("""COMPUTED_VALUE"""),"0109A")</f>
        <v>0109A</v>
      </c>
      <c r="B35" s="4" t="str">
        <f>IFERROR(__xludf.DUMMYFUNCTION("""COMPUTED_VALUE"""),"Cartel PVC 32x16 Fotolum. Escal. de emergencia + flecha izq.")</f>
        <v>Cartel PVC 32x16 Fotolum. Escal. de emergencia + flecha izq.</v>
      </c>
      <c r="C35" s="4">
        <f>IFERROR(__xludf.DUMMYFUNCTION("""COMPUTED_VALUE"""),2.16)</f>
        <v>2.16</v>
      </c>
    </row>
    <row r="36">
      <c r="A36" s="4" t="str">
        <f>IFERROR(__xludf.DUMMYFUNCTION("""COMPUTED_VALUE"""),"0109B")</f>
        <v>0109B</v>
      </c>
      <c r="B36" s="4" t="str">
        <f>IFERROR(__xludf.DUMMYFUNCTION("""COMPUTED_VALUE"""),"Cartel PVC 64x32 Fotolum. Escal. de emergencia + flecha izq.")</f>
        <v>Cartel PVC 64x32 Fotolum. Escal. de emergencia + flecha izq.</v>
      </c>
      <c r="C36" s="4">
        <f>IFERROR(__xludf.DUMMYFUNCTION("""COMPUTED_VALUE"""),4.300800000000001)</f>
        <v>4.3008</v>
      </c>
    </row>
    <row r="37">
      <c r="A37" s="4" t="str">
        <f>IFERROR(__xludf.DUMMYFUNCTION("""COMPUTED_VALUE"""),"0109C")</f>
        <v>0109C</v>
      </c>
      <c r="B37" s="4" t="str">
        <f>IFERROR(__xludf.DUMMYFUNCTION("""COMPUTED_VALUE"""),"Cartel PVC 96x48 Fotolum. Escal. de emergencia + flecha izq.")</f>
        <v>Cartel PVC 96x48 Fotolum. Escal. de emergencia + flecha izq.</v>
      </c>
      <c r="C37" s="4">
        <f>IFERROR(__xludf.DUMMYFUNCTION("""COMPUTED_VALUE"""),8.601600000000001)</f>
        <v>8.6016</v>
      </c>
    </row>
    <row r="38">
      <c r="A38" s="4" t="str">
        <f>IFERROR(__xludf.DUMMYFUNCTION("""COMPUTED_VALUE"""),"110")</f>
        <v>110</v>
      </c>
      <c r="B38" s="4" t="str">
        <f>IFERROR(__xludf.DUMMYFUNCTION("""COMPUTED_VALUE"""),"Cartel PVC 21x29 Fotolum. No utilizar en caso de incendio")</f>
        <v>Cartel PVC 21x29 Fotolum. No utilizar en caso de incendio</v>
      </c>
      <c r="C38" s="4">
        <f>IFERROR(__xludf.DUMMYFUNCTION("""COMPUTED_VALUE"""),2.496)</f>
        <v>2.496</v>
      </c>
    </row>
    <row r="39">
      <c r="A39" s="4" t="str">
        <f>IFERROR(__xludf.DUMMYFUNCTION("""COMPUTED_VALUE"""),"0116V")</f>
        <v>0116V</v>
      </c>
      <c r="B39" s="4" t="str">
        <f>IFERROR(__xludf.DUMMYFUNCTION("""COMPUTED_VALUE"""),"Vinilo Adhesivo suelo Dir. Peatonal 40 cm")</f>
        <v>Vinilo Adhesivo suelo Dir. Peatonal 40 cm</v>
      </c>
      <c r="C39" s="4">
        <f>IFERROR(__xludf.DUMMYFUNCTION("""COMPUTED_VALUE"""),5.904)</f>
        <v>5.904</v>
      </c>
    </row>
    <row r="40">
      <c r="A40" s="4" t="str">
        <f>IFERROR(__xludf.DUMMYFUNCTION("""COMPUTED_VALUE"""),"0150A")</f>
        <v>0150A</v>
      </c>
      <c r="B40" s="4" t="str">
        <f>IFERROR(__xludf.DUMMYFUNCTION("""COMPUTED_VALUE"""),"Cartel PVC 21x21 Fotolum. Pulsador de alarma")</f>
        <v>Cartel PVC 21x21 Fotolum. Pulsador de alarma</v>
      </c>
      <c r="C40" s="4">
        <f>IFERROR(__xludf.DUMMYFUNCTION("""COMPUTED_VALUE"""),2.2176)</f>
        <v>2.2176</v>
      </c>
    </row>
    <row r="41">
      <c r="A41" s="4" t="str">
        <f>IFERROR(__xludf.DUMMYFUNCTION("""COMPUTED_VALUE"""),"0150B")</f>
        <v>0150B</v>
      </c>
      <c r="B41" s="4" t="str">
        <f>IFERROR(__xludf.DUMMYFUNCTION("""COMPUTED_VALUE"""),"Cartel PVC 42x42 Fotolum. Pulsador de alarma")</f>
        <v>Cartel PVC 42x42 Fotolum. Pulsador de alarma</v>
      </c>
      <c r="C41" s="4">
        <f>IFERROR(__xludf.DUMMYFUNCTION("""COMPUTED_VALUE"""),3.7439999999999998)</f>
        <v>3.744</v>
      </c>
    </row>
    <row r="42">
      <c r="A42" s="4" t="str">
        <f>IFERROR(__xludf.DUMMYFUNCTION("""COMPUTED_VALUE"""),"0150C")</f>
        <v>0150C</v>
      </c>
      <c r="B42" s="4" t="str">
        <f>IFERROR(__xludf.DUMMYFUNCTION("""COMPUTED_VALUE"""),"Cartel PVC 63x63 Fotolum. Pulsador de alarma")</f>
        <v>Cartel PVC 63x63 Fotolum. Pulsador de alarma</v>
      </c>
      <c r="C42" s="4">
        <f>IFERROR(__xludf.DUMMYFUNCTION("""COMPUTED_VALUE"""),6.0)</f>
        <v>6</v>
      </c>
    </row>
    <row r="43">
      <c r="A43" s="4" t="str">
        <f>IFERROR(__xludf.DUMMYFUNCTION("""COMPUTED_VALUE"""),"151")</f>
        <v>151</v>
      </c>
      <c r="B43" s="4" t="str">
        <f>IFERROR(__xludf.DUMMYFUNCTION("""COMPUTED_VALUE"""),"Cartel PVC 21x21 Fotolum. EXTINTOR IZQUIERDA")</f>
        <v>Cartel PVC 21x21 Fotolum. EXTINTOR IZQUIERDA</v>
      </c>
      <c r="C43" s="4">
        <f>IFERROR(__xludf.DUMMYFUNCTION("""COMPUTED_VALUE"""),2.2176)</f>
        <v>2.2176</v>
      </c>
    </row>
    <row r="44">
      <c r="A44" s="4" t="str">
        <f>IFERROR(__xludf.DUMMYFUNCTION("""COMPUTED_VALUE"""),"0151A")</f>
        <v>0151A</v>
      </c>
      <c r="B44" s="4" t="str">
        <f>IFERROR(__xludf.DUMMYFUNCTION("""COMPUTED_VALUE"""),"Cartel PVC 21x21 Fotolum. Carro extintor")</f>
        <v>Cartel PVC 21x21 Fotolum. Carro extintor</v>
      </c>
      <c r="C44" s="4">
        <f>IFERROR(__xludf.DUMMYFUNCTION("""COMPUTED_VALUE"""),2.2176)</f>
        <v>2.2176</v>
      </c>
    </row>
    <row r="45">
      <c r="A45" s="4" t="str">
        <f>IFERROR(__xludf.DUMMYFUNCTION("""COMPUTED_VALUE"""),"0151B")</f>
        <v>0151B</v>
      </c>
      <c r="B45" s="4" t="str">
        <f>IFERROR(__xludf.DUMMYFUNCTION("""COMPUTED_VALUE"""),"Cartel PVC 42x42 Fotolum. Carro extintor")</f>
        <v>Cartel PVC 42x42 Fotolum. Carro extintor</v>
      </c>
      <c r="C45" s="4">
        <f>IFERROR(__xludf.DUMMYFUNCTION("""COMPUTED_VALUE"""),3.7439999999999998)</f>
        <v>3.744</v>
      </c>
    </row>
    <row r="46">
      <c r="A46" s="4" t="str">
        <f>IFERROR(__xludf.DUMMYFUNCTION("""COMPUTED_VALUE"""),"0151C")</f>
        <v>0151C</v>
      </c>
      <c r="B46" s="4" t="str">
        <f>IFERROR(__xludf.DUMMYFUNCTION("""COMPUTED_VALUE"""),"Cartel PVC 63x63 Fotolum. Carro extintor")</f>
        <v>Cartel PVC 63x63 Fotolum. Carro extintor</v>
      </c>
      <c r="C46" s="4">
        <f>IFERROR(__xludf.DUMMYFUNCTION("""COMPUTED_VALUE"""),6.0)</f>
        <v>6</v>
      </c>
    </row>
    <row r="47">
      <c r="A47" s="4" t="str">
        <f>IFERROR(__xludf.DUMMYFUNCTION("""COMPUTED_VALUE"""),"152")</f>
        <v>152</v>
      </c>
      <c r="B47" s="4" t="str">
        <f>IFERROR(__xludf.DUMMYFUNCTION("""COMPUTED_VALUE"""),"Cartel PVC 21x21 Fotolum. EXTINTOR ABAJO")</f>
        <v>Cartel PVC 21x21 Fotolum. EXTINTOR ABAJO</v>
      </c>
      <c r="C47" s="4">
        <f>IFERROR(__xludf.DUMMYFUNCTION("""COMPUTED_VALUE"""),2.2176)</f>
        <v>2.2176</v>
      </c>
    </row>
    <row r="48">
      <c r="A48" s="4" t="str">
        <f>IFERROR(__xludf.DUMMYFUNCTION("""COMPUTED_VALUE"""),"0152A")</f>
        <v>0152A</v>
      </c>
      <c r="B48" s="4" t="str">
        <f>IFERROR(__xludf.DUMMYFUNCTION("""COMPUTED_VALUE"""),"Cartel PVC 21x21 Fotolum. Escalera")</f>
        <v>Cartel PVC 21x21 Fotolum. Escalera</v>
      </c>
      <c r="C48" s="4">
        <f>IFERROR(__xludf.DUMMYFUNCTION("""COMPUTED_VALUE"""),2.2176)</f>
        <v>2.2176</v>
      </c>
    </row>
    <row r="49">
      <c r="A49" s="4" t="str">
        <f>IFERROR(__xludf.DUMMYFUNCTION("""COMPUTED_VALUE"""),"0152B")</f>
        <v>0152B</v>
      </c>
      <c r="B49" s="4" t="str">
        <f>IFERROR(__xludf.DUMMYFUNCTION("""COMPUTED_VALUE"""),"Cartel PVC 42x42 Fotolum. Escalera")</f>
        <v>Cartel PVC 42x42 Fotolum. Escalera</v>
      </c>
      <c r="C49" s="4">
        <f>IFERROR(__xludf.DUMMYFUNCTION("""COMPUTED_VALUE"""),3.7439999999999998)</f>
        <v>3.744</v>
      </c>
    </row>
    <row r="50">
      <c r="A50" s="4" t="str">
        <f>IFERROR(__xludf.DUMMYFUNCTION("""COMPUTED_VALUE"""),"0152C")</f>
        <v>0152C</v>
      </c>
      <c r="B50" s="4" t="str">
        <f>IFERROR(__xludf.DUMMYFUNCTION("""COMPUTED_VALUE"""),"Cartel PVC 63x63 Fotolum. Escalera")</f>
        <v>Cartel PVC 63x63 Fotolum. Escalera</v>
      </c>
      <c r="C50" s="4">
        <f>IFERROR(__xludf.DUMMYFUNCTION("""COMPUTED_VALUE"""),6.0)</f>
        <v>6</v>
      </c>
    </row>
    <row r="51">
      <c r="A51" s="4" t="str">
        <f>IFERROR(__xludf.DUMMYFUNCTION("""COMPUTED_VALUE"""),"153")</f>
        <v>153</v>
      </c>
      <c r="B51" s="4" t="str">
        <f>IFERROR(__xludf.DUMMYFUNCTION("""COMPUTED_VALUE"""),"Cartel PVC 21x21 Fotolum. PULSADOR")</f>
        <v>Cartel PVC 21x21 Fotolum. PULSADOR</v>
      </c>
      <c r="C51" s="4">
        <f>IFERROR(__xludf.DUMMYFUNCTION("""COMPUTED_VALUE"""),2.2176)</f>
        <v>2.2176</v>
      </c>
    </row>
    <row r="52">
      <c r="A52" s="4" t="str">
        <f>IFERROR(__xludf.DUMMYFUNCTION("""COMPUTED_VALUE"""),"0153A")</f>
        <v>0153A</v>
      </c>
      <c r="B52" s="4" t="str">
        <f>IFERROR(__xludf.DUMMYFUNCTION("""COMPUTED_VALUE"""),"Cartel PVC 21x21 Fotolum. Flecha abajo derecha")</f>
        <v>Cartel PVC 21x21 Fotolum. Flecha abajo derecha</v>
      </c>
      <c r="C52" s="4">
        <f>IFERROR(__xludf.DUMMYFUNCTION("""COMPUTED_VALUE"""),2.2176)</f>
        <v>2.2176</v>
      </c>
    </row>
    <row r="53">
      <c r="A53" s="4" t="str">
        <f>IFERROR(__xludf.DUMMYFUNCTION("""COMPUTED_VALUE"""),"0153B")</f>
        <v>0153B</v>
      </c>
      <c r="B53" s="4" t="str">
        <f>IFERROR(__xludf.DUMMYFUNCTION("""COMPUTED_VALUE"""),"Cartel PVC 42x42 Fotolum. Flecha abajo derecha")</f>
        <v>Cartel PVC 42x42 Fotolum. Flecha abajo derecha</v>
      </c>
      <c r="C53" s="4">
        <f>IFERROR(__xludf.DUMMYFUNCTION("""COMPUTED_VALUE"""),3.7439999999999998)</f>
        <v>3.744</v>
      </c>
    </row>
    <row r="54">
      <c r="A54" s="4" t="str">
        <f>IFERROR(__xludf.DUMMYFUNCTION("""COMPUTED_VALUE"""),"0153C")</f>
        <v>0153C</v>
      </c>
      <c r="B54" s="4" t="str">
        <f>IFERROR(__xludf.DUMMYFUNCTION("""COMPUTED_VALUE"""),"Cartel PVC 63x63 Fotolum. Flecha abajo derecha")</f>
        <v>Cartel PVC 63x63 Fotolum. Flecha abajo derecha</v>
      </c>
      <c r="C54" s="4">
        <f>IFERROR(__xludf.DUMMYFUNCTION("""COMPUTED_VALUE"""),6.0)</f>
        <v>6</v>
      </c>
    </row>
    <row r="55">
      <c r="A55" s="4" t="str">
        <f>IFERROR(__xludf.DUMMYFUNCTION("""COMPUTED_VALUE"""),"154")</f>
        <v>154</v>
      </c>
      <c r="B55" s="4" t="str">
        <f>IFERROR(__xludf.DUMMYFUNCTION("""COMPUTED_VALUE"""),"Cartel PVC 21x21 Fotolum. PULSADOR IZQUIERDA")</f>
        <v>Cartel PVC 21x21 Fotolum. PULSADOR IZQUIERDA</v>
      </c>
      <c r="C55" s="4">
        <f>IFERROR(__xludf.DUMMYFUNCTION("""COMPUTED_VALUE"""),2.2176)</f>
        <v>2.2176</v>
      </c>
    </row>
    <row r="56">
      <c r="A56" s="4" t="str">
        <f>IFERROR(__xludf.DUMMYFUNCTION("""COMPUTED_VALUE"""),"0154A")</f>
        <v>0154A</v>
      </c>
      <c r="B56" s="4" t="str">
        <f>IFERROR(__xludf.DUMMYFUNCTION("""COMPUTED_VALUE"""),"Cartel PVC 21x21 Fotolum. Flecha abajo izquierda")</f>
        <v>Cartel PVC 21x21 Fotolum. Flecha abajo izquierda</v>
      </c>
      <c r="C56" s="4">
        <f>IFERROR(__xludf.DUMMYFUNCTION("""COMPUTED_VALUE"""),2.2176)</f>
        <v>2.2176</v>
      </c>
    </row>
    <row r="57">
      <c r="A57" s="4" t="str">
        <f>IFERROR(__xludf.DUMMYFUNCTION("""COMPUTED_VALUE"""),"0154B")</f>
        <v>0154B</v>
      </c>
      <c r="B57" s="4" t="str">
        <f>IFERROR(__xludf.DUMMYFUNCTION("""COMPUTED_VALUE"""),"Cartel PVC 42x42 Fotolum. Flecha abajo izquierda")</f>
        <v>Cartel PVC 42x42 Fotolum. Flecha abajo izquierda</v>
      </c>
      <c r="C57" s="4">
        <f>IFERROR(__xludf.DUMMYFUNCTION("""COMPUTED_VALUE"""),3.7439999999999998)</f>
        <v>3.744</v>
      </c>
    </row>
    <row r="58">
      <c r="A58" s="4" t="str">
        <f>IFERROR(__xludf.DUMMYFUNCTION("""COMPUTED_VALUE"""),"0154C")</f>
        <v>0154C</v>
      </c>
      <c r="B58" s="4" t="str">
        <f>IFERROR(__xludf.DUMMYFUNCTION("""COMPUTED_VALUE"""),"Cartel PVC 21x21 Fotolum. Flecha abajo izquierda")</f>
        <v>Cartel PVC 21x21 Fotolum. Flecha abajo izquierda</v>
      </c>
      <c r="C58" s="4">
        <f>IFERROR(__xludf.DUMMYFUNCTION("""COMPUTED_VALUE"""),6.0)</f>
        <v>6</v>
      </c>
    </row>
    <row r="59">
      <c r="A59" s="4" t="str">
        <f>IFERROR(__xludf.DUMMYFUNCTION("""COMPUTED_VALUE"""),"155")</f>
        <v>155</v>
      </c>
      <c r="B59" s="4" t="str">
        <f>IFERROR(__xludf.DUMMYFUNCTION("""COMPUTED_VALUE"""),"Cartel PVC 21x21 Fotolum. PULSADOR DERECHA")</f>
        <v>Cartel PVC 21x21 Fotolum. PULSADOR DERECHA</v>
      </c>
      <c r="C59" s="4">
        <f>IFERROR(__xludf.DUMMYFUNCTION("""COMPUTED_VALUE"""),2.2176)</f>
        <v>2.2176</v>
      </c>
    </row>
    <row r="60">
      <c r="A60" s="4" t="str">
        <f>IFERROR(__xludf.DUMMYFUNCTION("""COMPUTED_VALUE"""),"160")</f>
        <v>160</v>
      </c>
      <c r="B60" s="4" t="str">
        <f>IFERROR(__xludf.DUMMYFUNCTION("""COMPUTED_VALUE"""),"Cartel PVC 21x21 Fotolum. PUERTA EMERGENCIA IZQ.")</f>
        <v>Cartel PVC 21x21 Fotolum. PUERTA EMERGENCIA IZQ.</v>
      </c>
      <c r="C60" s="4">
        <f>IFERROR(__xludf.DUMMYFUNCTION("""COMPUTED_VALUE"""),2.2176)</f>
        <v>2.2176</v>
      </c>
    </row>
    <row r="61">
      <c r="A61" s="4" t="str">
        <f>IFERROR(__xludf.DUMMYFUNCTION("""COMPUTED_VALUE"""),"0160A")</f>
        <v>0160A</v>
      </c>
      <c r="B61" s="4" t="str">
        <f>IFERROR(__xludf.DUMMYFUNCTION("""COMPUTED_VALUE"""),"Cartel PVC 21x21 Fotolum. Salida emergencia izquierda")</f>
        <v>Cartel PVC 21x21 Fotolum. Salida emergencia izquierda</v>
      </c>
      <c r="C61" s="4">
        <f>IFERROR(__xludf.DUMMYFUNCTION("""COMPUTED_VALUE"""),2.2176)</f>
        <v>2.2176</v>
      </c>
    </row>
    <row r="62">
      <c r="A62" s="4" t="str">
        <f>IFERROR(__xludf.DUMMYFUNCTION("""COMPUTED_VALUE"""),"0160B")</f>
        <v>0160B</v>
      </c>
      <c r="B62" s="4" t="str">
        <f>IFERROR(__xludf.DUMMYFUNCTION("""COMPUTED_VALUE"""),"Cartel PVC 42x42 Fotolum. Salida emergencia izquierda")</f>
        <v>Cartel PVC 42x42 Fotolum. Salida emergencia izquierda</v>
      </c>
      <c r="C62" s="4">
        <f>IFERROR(__xludf.DUMMYFUNCTION("""COMPUTED_VALUE"""),3.7439999999999998)</f>
        <v>3.744</v>
      </c>
    </row>
    <row r="63">
      <c r="A63" s="4" t="str">
        <f>IFERROR(__xludf.DUMMYFUNCTION("""COMPUTED_VALUE"""),"0160C")</f>
        <v>0160C</v>
      </c>
      <c r="B63" s="4" t="str">
        <f>IFERROR(__xludf.DUMMYFUNCTION("""COMPUTED_VALUE"""),"Cartel PVC 63x63 Fotolum. Salida emergencia izquierda")</f>
        <v>Cartel PVC 63x63 Fotolum. Salida emergencia izquierda</v>
      </c>
      <c r="C63" s="4">
        <f>IFERROR(__xludf.DUMMYFUNCTION("""COMPUTED_VALUE"""),6.0)</f>
        <v>6</v>
      </c>
    </row>
    <row r="64">
      <c r="A64" s="4" t="str">
        <f>IFERROR(__xludf.DUMMYFUNCTION("""COMPUTED_VALUE"""),"161")</f>
        <v>161</v>
      </c>
      <c r="B64" s="4" t="str">
        <f>IFERROR(__xludf.DUMMYFUNCTION("""COMPUTED_VALUE"""),"Cartel PVC 21x21 Fotolum. PUERTA EMERGENCIA")</f>
        <v>Cartel PVC 21x21 Fotolum. PUERTA EMERGENCIA</v>
      </c>
      <c r="C64" s="4">
        <f>IFERROR(__xludf.DUMMYFUNCTION("""COMPUTED_VALUE"""),2.2176)</f>
        <v>2.2176</v>
      </c>
    </row>
    <row r="65">
      <c r="A65" s="4" t="str">
        <f>IFERROR(__xludf.DUMMYFUNCTION("""COMPUTED_VALUE"""),"0161A")</f>
        <v>0161A</v>
      </c>
      <c r="B65" s="4" t="str">
        <f>IFERROR(__xludf.DUMMYFUNCTION("""COMPUTED_VALUE"""),"Cartel PVC 21x21 Fotolum. Salida emergencia derecha")</f>
        <v>Cartel PVC 21x21 Fotolum. Salida emergencia derecha</v>
      </c>
      <c r="C65" s="4">
        <f>IFERROR(__xludf.DUMMYFUNCTION("""COMPUTED_VALUE"""),2.2176)</f>
        <v>2.2176</v>
      </c>
    </row>
    <row r="66">
      <c r="A66" s="4" t="str">
        <f>IFERROR(__xludf.DUMMYFUNCTION("""COMPUTED_VALUE"""),"0161B")</f>
        <v>0161B</v>
      </c>
      <c r="B66" s="4" t="str">
        <f>IFERROR(__xludf.DUMMYFUNCTION("""COMPUTED_VALUE"""),"Cartel PVC 42x42 Fotolum. Salida emergencia derecha")</f>
        <v>Cartel PVC 42x42 Fotolum. Salida emergencia derecha</v>
      </c>
      <c r="C66" s="4">
        <f>IFERROR(__xludf.DUMMYFUNCTION("""COMPUTED_VALUE"""),3.7439999999999998)</f>
        <v>3.744</v>
      </c>
    </row>
    <row r="67">
      <c r="A67" s="4" t="str">
        <f>IFERROR(__xludf.DUMMYFUNCTION("""COMPUTED_VALUE"""),"0161C")</f>
        <v>0161C</v>
      </c>
      <c r="B67" s="4" t="str">
        <f>IFERROR(__xludf.DUMMYFUNCTION("""COMPUTED_VALUE"""),"Cartel PVC 63x63 Fotolum. Salida emergencia derecha")</f>
        <v>Cartel PVC 63x63 Fotolum. Salida emergencia derecha</v>
      </c>
      <c r="C67" s="4">
        <f>IFERROR(__xludf.DUMMYFUNCTION("""COMPUTED_VALUE"""),6.0)</f>
        <v>6</v>
      </c>
    </row>
    <row r="68">
      <c r="A68" s="4" t="str">
        <f>IFERROR(__xludf.DUMMYFUNCTION("""COMPUTED_VALUE"""),"162")</f>
        <v>162</v>
      </c>
      <c r="B68" s="4" t="str">
        <f>IFERROR(__xludf.DUMMYFUNCTION("""COMPUTED_VALUE"""),"Cartel PVC 21x21 Fotolum. PUERTA-ESCALERA EMERG. IZ")</f>
        <v>Cartel PVC 21x21 Fotolum. PUERTA-ESCALERA EMERG. IZ</v>
      </c>
      <c r="C68" s="4">
        <f>IFERROR(__xludf.DUMMYFUNCTION("""COMPUTED_VALUE"""),2.2176)</f>
        <v>2.2176</v>
      </c>
    </row>
    <row r="69">
      <c r="A69" s="4" t="str">
        <f>IFERROR(__xludf.DUMMYFUNCTION("""COMPUTED_VALUE"""),"0162A")</f>
        <v>0162A</v>
      </c>
      <c r="B69" s="4" t="str">
        <f>IFERROR(__xludf.DUMMYFUNCTION("""COMPUTED_VALUE"""),"Cartel PVC 21x21 Fotolum. flecha izquierda")</f>
        <v>Cartel PVC 21x21 Fotolum. flecha izquierda</v>
      </c>
      <c r="C69" s="4">
        <f>IFERROR(__xludf.DUMMYFUNCTION("""COMPUTED_VALUE"""),1.2)</f>
        <v>1.2</v>
      </c>
    </row>
    <row r="70">
      <c r="A70" s="4" t="str">
        <f>IFERROR(__xludf.DUMMYFUNCTION("""COMPUTED_VALUE"""),"0162B")</f>
        <v>0162B</v>
      </c>
      <c r="B70" s="4" t="str">
        <f>IFERROR(__xludf.DUMMYFUNCTION("""COMPUTED_VALUE"""),"Cartel PVC 42x42 Fotolum. flecha izquierda")</f>
        <v>Cartel PVC 42x42 Fotolum. flecha izquierda</v>
      </c>
      <c r="C70" s="4">
        <f>IFERROR(__xludf.DUMMYFUNCTION("""COMPUTED_VALUE"""),3.7439999999999998)</f>
        <v>3.744</v>
      </c>
    </row>
    <row r="71">
      <c r="A71" s="4" t="str">
        <f>IFERROR(__xludf.DUMMYFUNCTION("""COMPUTED_VALUE"""),"0162C")</f>
        <v>0162C</v>
      </c>
      <c r="B71" s="4" t="str">
        <f>IFERROR(__xludf.DUMMYFUNCTION("""COMPUTED_VALUE"""),"Cartel PVC 63x63 Fotolum. flecha izquierda")</f>
        <v>Cartel PVC 63x63 Fotolum. flecha izquierda</v>
      </c>
      <c r="C71" s="4">
        <f>IFERROR(__xludf.DUMMYFUNCTION("""COMPUTED_VALUE"""),6.0)</f>
        <v>6</v>
      </c>
    </row>
    <row r="72">
      <c r="A72" s="4" t="str">
        <f>IFERROR(__xludf.DUMMYFUNCTION("""COMPUTED_VALUE"""),"163")</f>
        <v>163</v>
      </c>
      <c r="B72" s="4" t="str">
        <f>IFERROR(__xludf.DUMMYFUNCTION("""COMPUTED_VALUE"""),"Cartel PVC 21x21 Fotolum. PUERTA-ESCALERA EMERG.")</f>
        <v>Cartel PVC 21x21 Fotolum. PUERTA-ESCALERA EMERG.</v>
      </c>
      <c r="C72" s="4">
        <f>IFERROR(__xludf.DUMMYFUNCTION("""COMPUTED_VALUE"""),2.2176)</f>
        <v>2.2176</v>
      </c>
    </row>
    <row r="73">
      <c r="A73" s="4" t="str">
        <f>IFERROR(__xludf.DUMMYFUNCTION("""COMPUTED_VALUE"""),"0163A")</f>
        <v>0163A</v>
      </c>
      <c r="B73" s="4" t="str">
        <f>IFERROR(__xludf.DUMMYFUNCTION("""COMPUTED_VALUE"""),"Cartel PVC 21x21 Fotolum. flecha derecha")</f>
        <v>Cartel PVC 21x21 Fotolum. flecha derecha</v>
      </c>
      <c r="C73" s="4">
        <f>IFERROR(__xludf.DUMMYFUNCTION("""COMPUTED_VALUE"""),2.2176)</f>
        <v>2.2176</v>
      </c>
    </row>
    <row r="74">
      <c r="A74" s="4" t="str">
        <f>IFERROR(__xludf.DUMMYFUNCTION("""COMPUTED_VALUE"""),"0163B")</f>
        <v>0163B</v>
      </c>
      <c r="B74" s="4" t="str">
        <f>IFERROR(__xludf.DUMMYFUNCTION("""COMPUTED_VALUE"""),"Cartel PVC 42x42 Fotolum. flecha derecha")</f>
        <v>Cartel PVC 42x42 Fotolum. flecha derecha</v>
      </c>
      <c r="C74" s="4">
        <f>IFERROR(__xludf.DUMMYFUNCTION("""COMPUTED_VALUE"""),3.7439999999999998)</f>
        <v>3.744</v>
      </c>
    </row>
    <row r="75">
      <c r="A75" s="4" t="str">
        <f>IFERROR(__xludf.DUMMYFUNCTION("""COMPUTED_VALUE"""),"0163C")</f>
        <v>0163C</v>
      </c>
      <c r="B75" s="4" t="str">
        <f>IFERROR(__xludf.DUMMYFUNCTION("""COMPUTED_VALUE"""),"Cartel PVC 63x63 Fotolum. flecha derecha")</f>
        <v>Cartel PVC 63x63 Fotolum. flecha derecha</v>
      </c>
      <c r="C75" s="4">
        <f>IFERROR(__xludf.DUMMYFUNCTION("""COMPUTED_VALUE"""),6.0)</f>
        <v>6</v>
      </c>
    </row>
    <row r="76">
      <c r="A76" s="4" t="str">
        <f>IFERROR(__xludf.DUMMYFUNCTION("""COMPUTED_VALUE"""),"164")</f>
        <v>164</v>
      </c>
      <c r="B76" s="4" t="str">
        <f>IFERROR(__xludf.DUMMYFUNCTION("""COMPUTED_VALUE"""),"Cartel PVC 21x21 Fotolum. EMPUJAR BARRA APERTURA")</f>
        <v>Cartel PVC 21x21 Fotolum. EMPUJAR BARRA APERTURA</v>
      </c>
      <c r="C76" s="4">
        <f>IFERROR(__xludf.DUMMYFUNCTION("""COMPUTED_VALUE"""),2.2176)</f>
        <v>2.2176</v>
      </c>
    </row>
    <row r="77">
      <c r="A77" s="4" t="str">
        <f>IFERROR(__xludf.DUMMYFUNCTION("""COMPUTED_VALUE"""),"165")</f>
        <v>165</v>
      </c>
      <c r="B77" s="4" t="str">
        <f>IFERROR(__xludf.DUMMYFUNCTION("""COMPUTED_VALUE"""),"Cartel PVC 21x21 Fotolum. FLECHA")</f>
        <v>Cartel PVC 21x21 Fotolum. FLECHA</v>
      </c>
      <c r="C77" s="4">
        <f>IFERROR(__xludf.DUMMYFUNCTION("""COMPUTED_VALUE"""),2.2176)</f>
        <v>2.2176</v>
      </c>
    </row>
    <row r="78">
      <c r="A78" s="4" t="str">
        <f>IFERROR(__xludf.DUMMYFUNCTION("""COMPUTED_VALUE"""),"175")</f>
        <v>175</v>
      </c>
      <c r="B78" s="4" t="str">
        <f>IFERROR(__xludf.DUMMYFUNCTION("""COMPUTED_VALUE"""),"Cartel PVC 30x10 Fotolum. SALIDA")</f>
        <v>Cartel PVC 30x10 Fotolum. SALIDA</v>
      </c>
      <c r="C78" s="4">
        <f>IFERROR(__xludf.DUMMYFUNCTION("""COMPUTED_VALUE"""),1.8143999999999998)</f>
        <v>1.8144</v>
      </c>
    </row>
    <row r="79">
      <c r="A79" s="4" t="str">
        <f>IFERROR(__xludf.DUMMYFUNCTION("""COMPUTED_VALUE"""),"176")</f>
        <v>176</v>
      </c>
      <c r="B79" s="4" t="str">
        <f>IFERROR(__xludf.DUMMYFUNCTION("""COMPUTED_VALUE"""),"Cartel PVC 30x10 Fotolum. SALIDA FLECHA DCHA")</f>
        <v>Cartel PVC 30x10 Fotolum. SALIDA FLECHA DCHA</v>
      </c>
      <c r="C79" s="4">
        <f>IFERROR(__xludf.DUMMYFUNCTION("""COMPUTED_VALUE"""),1.8143999999999998)</f>
        <v>1.8144</v>
      </c>
    </row>
    <row r="80">
      <c r="A80" s="4" t="str">
        <f>IFERROR(__xludf.DUMMYFUNCTION("""COMPUTED_VALUE"""),"177")</f>
        <v>177</v>
      </c>
      <c r="B80" s="4" t="str">
        <f>IFERROR(__xludf.DUMMYFUNCTION("""COMPUTED_VALUE"""),"Cartel PVC 30x10 Fotolum. SALIDA FLECHA IZQ.")</f>
        <v>Cartel PVC 30x10 Fotolum. SALIDA FLECHA IZQ.</v>
      </c>
      <c r="C80" s="4">
        <f>IFERROR(__xludf.DUMMYFUNCTION("""COMPUTED_VALUE"""),1.8143999999999998)</f>
        <v>1.8144</v>
      </c>
    </row>
    <row r="81">
      <c r="A81" s="4" t="str">
        <f>IFERROR(__xludf.DUMMYFUNCTION("""COMPUTED_VALUE"""),"178")</f>
        <v>178</v>
      </c>
      <c r="B81" s="4" t="str">
        <f>IFERROR(__xludf.DUMMYFUNCTION("""COMPUTED_VALUE"""),"Cartel PVC 30x10 Fotolum. SALIDA FLECHA ARRIBA")</f>
        <v>Cartel PVC 30x10 Fotolum. SALIDA FLECHA ARRIBA</v>
      </c>
      <c r="C81" s="4">
        <f>IFERROR(__xludf.DUMMYFUNCTION("""COMPUTED_VALUE"""),1.8143999999999998)</f>
        <v>1.8144</v>
      </c>
    </row>
    <row r="82">
      <c r="A82" s="4" t="str">
        <f>IFERROR(__xludf.DUMMYFUNCTION("""COMPUTED_VALUE"""),"179")</f>
        <v>179</v>
      </c>
      <c r="B82" s="4" t="str">
        <f>IFERROR(__xludf.DUMMYFUNCTION("""COMPUTED_VALUE"""),"Cartel PVC 30x10 Fotolum. SALIDA FLECHA ABAJO")</f>
        <v>Cartel PVC 30x10 Fotolum. SALIDA FLECHA ABAJO</v>
      </c>
      <c r="C82" s="4">
        <f>IFERROR(__xludf.DUMMYFUNCTION("""COMPUTED_VALUE"""),1.8143999999999998)</f>
        <v>1.8144</v>
      </c>
    </row>
    <row r="83">
      <c r="A83" s="4" t="str">
        <f>IFERROR(__xludf.DUMMYFUNCTION("""COMPUTED_VALUE"""),"180")</f>
        <v>180</v>
      </c>
      <c r="B83" s="4" t="str">
        <f>IFERROR(__xludf.DUMMYFUNCTION("""COMPUTED_VALUE"""),"Cartel PVC 30x10 Fotolum. SALIDA EMERGENCIA FLECHA")</f>
        <v>Cartel PVC 30x10 Fotolum. SALIDA EMERGENCIA FLECHA</v>
      </c>
      <c r="C83" s="4">
        <f>IFERROR(__xludf.DUMMYFUNCTION("""COMPUTED_VALUE"""),1.8143999999999998)</f>
        <v>1.8144</v>
      </c>
    </row>
    <row r="84">
      <c r="A84" s="4" t="str">
        <f>IFERROR(__xludf.DUMMYFUNCTION("""COMPUTED_VALUE"""),"181")</f>
        <v>181</v>
      </c>
      <c r="B84" s="4" t="str">
        <f>IFERROR(__xludf.DUMMYFUNCTION("""COMPUTED_VALUE"""),"Cartel PVC 30x10 Fotolum. SALIDA EMERGENCIA FLECHA")</f>
        <v>Cartel PVC 30x10 Fotolum. SALIDA EMERGENCIA FLECHA</v>
      </c>
      <c r="C84" s="4">
        <f>IFERROR(__xludf.DUMMYFUNCTION("""COMPUTED_VALUE"""),1.8143999999999998)</f>
        <v>1.8144</v>
      </c>
    </row>
    <row r="85">
      <c r="A85" s="4" t="str">
        <f>IFERROR(__xludf.DUMMYFUNCTION("""COMPUTED_VALUE"""),"182")</f>
        <v>182</v>
      </c>
      <c r="B85" s="4" t="str">
        <f>IFERROR(__xludf.DUMMYFUNCTION("""COMPUTED_VALUE"""),"Cartel PVC 30x10 Fotolum. FLECHA")</f>
        <v>Cartel PVC 30x10 Fotolum. FLECHA</v>
      </c>
      <c r="C85" s="4">
        <f>IFERROR(__xludf.DUMMYFUNCTION("""COMPUTED_VALUE"""),1.8143999999999998)</f>
        <v>1.8144</v>
      </c>
    </row>
    <row r="86">
      <c r="A86" s="4" t="str">
        <f>IFERROR(__xludf.DUMMYFUNCTION("""COMPUTED_VALUE"""),"183")</f>
        <v>183</v>
      </c>
      <c r="B86" s="4" t="str">
        <f>IFERROR(__xludf.DUMMYFUNCTION("""COMPUTED_VALUE"""),"Cartel PVC 30x10 Fotolum. SALIDA DE EMERGENCIA")</f>
        <v>Cartel PVC 30x10 Fotolum. SALIDA DE EMERGENCIA</v>
      </c>
      <c r="C86" s="4">
        <f>IFERROR(__xludf.DUMMYFUNCTION("""COMPUTED_VALUE"""),1.8143999999999998)</f>
        <v>1.8144</v>
      </c>
    </row>
    <row r="87">
      <c r="A87" s="4" t="str">
        <f>IFERROR(__xludf.DUMMYFUNCTION("""COMPUTED_VALUE"""),"184")</f>
        <v>184</v>
      </c>
      <c r="B87" s="4" t="str">
        <f>IFERROR(__xludf.DUMMYFUNCTION("""COMPUTED_VALUE"""),"Cartel PVC 650x105 mm SALIDA DE EMERGENCIA")</f>
        <v>Cartel PVC 650x105 mm SALIDA DE EMERGENCIA</v>
      </c>
      <c r="C87" s="4">
        <f>IFERROR(__xludf.DUMMYFUNCTION("""COMPUTED_VALUE"""),1.8143999999999998)</f>
        <v>1.8144</v>
      </c>
    </row>
    <row r="88">
      <c r="A88" s="4" t="str">
        <f>IFERROR(__xludf.DUMMYFUNCTION("""COMPUTED_VALUE"""),"199")</f>
        <v>199</v>
      </c>
      <c r="B88" s="4" t="str">
        <f>IFERROR(__xludf.DUMMYFUNCTION("""COMPUTED_VALUE"""),"Cartel PVC 21x29 Fotolum. DUCHA DE EMERGENCIA")</f>
        <v>Cartel PVC 21x29 Fotolum. DUCHA DE EMERGENCIA</v>
      </c>
      <c r="C88" s="4">
        <f>IFERROR(__xludf.DUMMYFUNCTION("""COMPUTED_VALUE"""),2.496)</f>
        <v>2.496</v>
      </c>
    </row>
    <row r="89">
      <c r="A89" s="4" t="str">
        <f>IFERROR(__xludf.DUMMYFUNCTION("""COMPUTED_VALUE"""),"0199A")</f>
        <v>0199A</v>
      </c>
      <c r="B89" s="4" t="str">
        <f>IFERROR(__xludf.DUMMYFUNCTION("""COMPUTED_VALUE"""),"Cartel PVC 21x30 Fotolum. ducha de emergencia")</f>
        <v>Cartel PVC 21x30 Fotolum. ducha de emergencia</v>
      </c>
      <c r="C89" s="4">
        <f>IFERROR(__xludf.DUMMYFUNCTION("""COMPUTED_VALUE"""),2.4192)</f>
        <v>2.4192</v>
      </c>
    </row>
    <row r="90">
      <c r="A90" s="4" t="str">
        <f>IFERROR(__xludf.DUMMYFUNCTION("""COMPUTED_VALUE"""),"0199B")</f>
        <v>0199B</v>
      </c>
      <c r="B90" s="4" t="str">
        <f>IFERROR(__xludf.DUMMYFUNCTION("""COMPUTED_VALUE"""),"Cartel PVC 40x30 Fotolum. ducha de emergencia")</f>
        <v>Cartel PVC 40x30 Fotolum. ducha de emergencia</v>
      </c>
      <c r="C90" s="4">
        <f>IFERROR(__xludf.DUMMYFUNCTION("""COMPUTED_VALUE"""),2.976)</f>
        <v>2.976</v>
      </c>
    </row>
    <row r="91">
      <c r="A91" s="4" t="str">
        <f>IFERROR(__xludf.DUMMYFUNCTION("""COMPUTED_VALUE"""),"0200/G")</f>
        <v>0200/G</v>
      </c>
      <c r="B91" s="4" t="str">
        <f>IFERROR(__xludf.DUMMYFUNCTION("""COMPUTED_VALUE"""),"Señal Poliprop. Amarillo 50x50 c/ollados + Pictograma")</f>
        <v>Señal Poliprop. Amarillo 50x50 c/ollados + Pictograma</v>
      </c>
      <c r="C91" s="4">
        <f>IFERROR(__xludf.DUMMYFUNCTION("""COMPUTED_VALUE"""),9.216)</f>
        <v>9.216</v>
      </c>
    </row>
    <row r="92">
      <c r="A92" s="4" t="str">
        <f>IFERROR(__xludf.DUMMYFUNCTION("""COMPUTED_VALUE"""),"0200S2130")</f>
        <v>0200S2130</v>
      </c>
      <c r="B92" s="4" t="str">
        <f>IFERROR(__xludf.DUMMYFUNCTION("""COMPUTED_VALUE"""),"Soperte Acero Inox para cartel 21x29 cm")</f>
        <v>Soperte Acero Inox para cartel 21x29 cm</v>
      </c>
      <c r="C92" s="4">
        <f>IFERROR(__xludf.DUMMYFUNCTION("""COMPUTED_VALUE"""),13.92)</f>
        <v>13.92</v>
      </c>
    </row>
    <row r="93">
      <c r="A93" s="4" t="str">
        <f>IFERROR(__xludf.DUMMYFUNCTION("""COMPUTED_VALUE"""),"0200S4030")</f>
        <v>0200S4030</v>
      </c>
      <c r="B93" s="4" t="str">
        <f>IFERROR(__xludf.DUMMYFUNCTION("""COMPUTED_VALUE"""),"Soporte Acero Inox para Cartel 40x30 cm")</f>
        <v>Soporte Acero Inox para Cartel 40x30 cm</v>
      </c>
      <c r="C93" s="4">
        <f>IFERROR(__xludf.DUMMYFUNCTION("""COMPUTED_VALUE"""),16.32)</f>
        <v>16.32</v>
      </c>
    </row>
    <row r="94">
      <c r="A94" s="4" t="str">
        <f>IFERROR(__xludf.DUMMYFUNCTION("""COMPUTED_VALUE"""),"201")</f>
        <v>201</v>
      </c>
      <c r="B94" s="4" t="str">
        <f>IFERROR(__xludf.DUMMYFUNCTION("""COMPUTED_VALUE"""),"Cartel PVC 40x30 Fotolum. EXTINTOR")</f>
        <v>Cartel PVC 40x30 Fotolum. EXTINTOR</v>
      </c>
      <c r="C94" s="4">
        <f>IFERROR(__xludf.DUMMYFUNCTION("""COMPUTED_VALUE"""),3.2159999999999997)</f>
        <v>3.216</v>
      </c>
    </row>
    <row r="95">
      <c r="A95" s="4" t="str">
        <f>IFERROR(__xludf.DUMMYFUNCTION("""COMPUTED_VALUE"""),"202")</f>
        <v>202</v>
      </c>
      <c r="B95" s="4" t="str">
        <f>IFERROR(__xludf.DUMMYFUNCTION("""COMPUTED_VALUE"""),"Cartel PVC 21x30 Fotolum. Duchas emergencia derecha")</f>
        <v>Cartel PVC 21x30 Fotolum. Duchas emergencia derecha</v>
      </c>
      <c r="C95" s="4">
        <f>IFERROR(__xludf.DUMMYFUNCTION("""COMPUTED_VALUE"""),2.496)</f>
        <v>2.496</v>
      </c>
    </row>
    <row r="96">
      <c r="A96" s="4" t="str">
        <f>IFERROR(__xludf.DUMMYFUNCTION("""COMPUTED_VALUE"""),"203")</f>
        <v>203</v>
      </c>
      <c r="B96" s="4" t="str">
        <f>IFERROR(__xludf.DUMMYFUNCTION("""COMPUTED_VALUE"""),"Cartel PVC 21x30 Fotolum. Duchas emergencia izq.")</f>
        <v>Cartel PVC 21x30 Fotolum. Duchas emergencia izq.</v>
      </c>
      <c r="C96" s="4">
        <f>IFERROR(__xludf.DUMMYFUNCTION("""COMPUTED_VALUE"""),2.496)</f>
        <v>2.496</v>
      </c>
    </row>
    <row r="97">
      <c r="A97" s="4" t="str">
        <f>IFERROR(__xludf.DUMMYFUNCTION("""COMPUTED_VALUE"""),"0204A")</f>
        <v>0204A</v>
      </c>
      <c r="B97" s="4" t="str">
        <f>IFERROR(__xludf.DUMMYFUNCTION("""COMPUTED_VALUE"""),"Cartel PVC 21x30 Fotolum. Oficina")</f>
        <v>Cartel PVC 21x30 Fotolum. Oficina</v>
      </c>
      <c r="C97" s="4">
        <f>IFERROR(__xludf.DUMMYFUNCTION("""COMPUTED_VALUE"""),2.4192)</f>
        <v>2.4192</v>
      </c>
    </row>
    <row r="98">
      <c r="A98" s="4" t="str">
        <f>IFERROR(__xludf.DUMMYFUNCTION("""COMPUTED_VALUE"""),"0204B")</f>
        <v>0204B</v>
      </c>
      <c r="B98" s="4" t="str">
        <f>IFERROR(__xludf.DUMMYFUNCTION("""COMPUTED_VALUE"""),"Cartel PVC 40x30 Fotolum. Oficina")</f>
        <v>Cartel PVC 40x30 Fotolum. Oficina</v>
      </c>
      <c r="C98" s="4">
        <f>IFERROR(__xludf.DUMMYFUNCTION("""COMPUTED_VALUE"""),2.976)</f>
        <v>2.976</v>
      </c>
    </row>
    <row r="99">
      <c r="A99" s="4" t="str">
        <f>IFERROR(__xludf.DUMMYFUNCTION("""COMPUTED_VALUE"""),"0205A")</f>
        <v>0205A</v>
      </c>
      <c r="B99" s="4" t="str">
        <f>IFERROR(__xludf.DUMMYFUNCTION("""COMPUTED_VALUE"""),"Cartel PVC 21x30 Fotolum. Ducha")</f>
        <v>Cartel PVC 21x30 Fotolum. Ducha</v>
      </c>
      <c r="C99" s="4">
        <f>IFERROR(__xludf.DUMMYFUNCTION("""COMPUTED_VALUE"""),2.4192)</f>
        <v>2.4192</v>
      </c>
    </row>
    <row r="100">
      <c r="A100" s="4" t="str">
        <f>IFERROR(__xludf.DUMMYFUNCTION("""COMPUTED_VALUE"""),"0205B")</f>
        <v>0205B</v>
      </c>
      <c r="B100" s="4" t="str">
        <f>IFERROR(__xludf.DUMMYFUNCTION("""COMPUTED_VALUE"""),"Cartel PVC 40x30 Fotolum. Ducha")</f>
        <v>Cartel PVC 40x30 Fotolum. Ducha</v>
      </c>
      <c r="C100" s="4">
        <f>IFERROR(__xludf.DUMMYFUNCTION("""COMPUTED_VALUE"""),2.976)</f>
        <v>2.976</v>
      </c>
    </row>
    <row r="101">
      <c r="A101" s="4" t="str">
        <f>IFERROR(__xludf.DUMMYFUNCTION("""COMPUTED_VALUE"""),"206")</f>
        <v>206</v>
      </c>
      <c r="B101" s="4" t="str">
        <f>IFERROR(__xludf.DUMMYFUNCTION("""COMPUTED_VALUE"""),"Cartel PVC 21x30 Fotolum. Lavaojos emerg. derecha")</f>
        <v>Cartel PVC 21x30 Fotolum. Lavaojos emerg. derecha</v>
      </c>
      <c r="C101" s="4">
        <f>IFERROR(__xludf.DUMMYFUNCTION("""COMPUTED_VALUE"""),2.496)</f>
        <v>2.496</v>
      </c>
    </row>
    <row r="102">
      <c r="A102" s="4" t="str">
        <f>IFERROR(__xludf.DUMMYFUNCTION("""COMPUTED_VALUE"""),"0206A")</f>
        <v>0206A</v>
      </c>
      <c r="B102" s="4" t="str">
        <f>IFERROR(__xludf.DUMMYFUNCTION("""COMPUTED_VALUE"""),"Cartel PVC 21x30 Fotolum. Lavaojos de emergencia")</f>
        <v>Cartel PVC 21x30 Fotolum. Lavaojos de emergencia</v>
      </c>
      <c r="C102" s="4">
        <f>IFERROR(__xludf.DUMMYFUNCTION("""COMPUTED_VALUE"""),2.4192)</f>
        <v>2.4192</v>
      </c>
    </row>
    <row r="103">
      <c r="A103" s="4" t="str">
        <f>IFERROR(__xludf.DUMMYFUNCTION("""COMPUTED_VALUE"""),"0206B")</f>
        <v>0206B</v>
      </c>
      <c r="B103" s="4" t="str">
        <f>IFERROR(__xludf.DUMMYFUNCTION("""COMPUTED_VALUE"""),"Cartel PVC 40x30 Fotolum. Lavaojos de emergencia")</f>
        <v>Cartel PVC 40x30 Fotolum. Lavaojos de emergencia</v>
      </c>
      <c r="C103" s="4">
        <f>IFERROR(__xludf.DUMMYFUNCTION("""COMPUTED_VALUE"""),2.976)</f>
        <v>2.976</v>
      </c>
    </row>
    <row r="104">
      <c r="A104" s="4" t="str">
        <f>IFERROR(__xludf.DUMMYFUNCTION("""COMPUTED_VALUE"""),"207")</f>
        <v>207</v>
      </c>
      <c r="B104" s="4" t="str">
        <f>IFERROR(__xludf.DUMMYFUNCTION("""COMPUTED_VALUE"""),"Cartel PVC 21x30 Fotolum. Lavaojos emerg. izq.")</f>
        <v>Cartel PVC 21x30 Fotolum. Lavaojos emerg. izq.</v>
      </c>
      <c r="C104" s="4">
        <f>IFERROR(__xludf.DUMMYFUNCTION("""COMPUTED_VALUE"""),2.496)</f>
        <v>2.496</v>
      </c>
    </row>
    <row r="105">
      <c r="A105" s="4" t="str">
        <f>IFERROR(__xludf.DUMMYFUNCTION("""COMPUTED_VALUE"""),"0208A")</f>
        <v>0208A</v>
      </c>
      <c r="B105" s="4" t="str">
        <f>IFERROR(__xludf.DUMMYFUNCTION("""COMPUTED_VALUE"""),"Cartel PVC 21x30 Fotolum. Comedor")</f>
        <v>Cartel PVC 21x30 Fotolum. Comedor</v>
      </c>
      <c r="C105" s="4">
        <f>IFERROR(__xludf.DUMMYFUNCTION("""COMPUTED_VALUE"""),2.4192)</f>
        <v>2.4192</v>
      </c>
    </row>
    <row r="106">
      <c r="A106" s="4" t="str">
        <f>IFERROR(__xludf.DUMMYFUNCTION("""COMPUTED_VALUE"""),"0208B")</f>
        <v>0208B</v>
      </c>
      <c r="B106" s="4" t="str">
        <f>IFERROR(__xludf.DUMMYFUNCTION("""COMPUTED_VALUE"""),"Cartel PVC 40x30 Fotolum. Comedor")</f>
        <v>Cartel PVC 40x30 Fotolum. Comedor</v>
      </c>
      <c r="C106" s="4">
        <f>IFERROR(__xludf.DUMMYFUNCTION("""COMPUTED_VALUE"""),2.976)</f>
        <v>2.976</v>
      </c>
    </row>
    <row r="107">
      <c r="A107" s="4" t="str">
        <f>IFERROR(__xludf.DUMMYFUNCTION("""COMPUTED_VALUE"""),"0209A")</f>
        <v>0209A</v>
      </c>
      <c r="B107" s="4" t="str">
        <f>IFERROR(__xludf.DUMMYFUNCTION("""COMPUTED_VALUE"""),"Cartel PVC 21x30 Fotolum. Vestuario")</f>
        <v>Cartel PVC 21x30 Fotolum. Vestuario</v>
      </c>
      <c r="C107" s="4">
        <f>IFERROR(__xludf.DUMMYFUNCTION("""COMPUTED_VALUE"""),2.4192)</f>
        <v>2.4192</v>
      </c>
    </row>
    <row r="108">
      <c r="A108" s="4" t="str">
        <f>IFERROR(__xludf.DUMMYFUNCTION("""COMPUTED_VALUE"""),"0209B")</f>
        <v>0209B</v>
      </c>
      <c r="B108" s="4" t="str">
        <f>IFERROR(__xludf.DUMMYFUNCTION("""COMPUTED_VALUE"""),"Cartel PVC 40x30 Fotolum. Vestuario")</f>
        <v>Cartel PVC 40x30 Fotolum. Vestuario</v>
      </c>
      <c r="C108" s="4">
        <f>IFERROR(__xludf.DUMMYFUNCTION("""COMPUTED_VALUE"""),2.976)</f>
        <v>2.976</v>
      </c>
    </row>
    <row r="109">
      <c r="A109" s="4" t="str">
        <f>IFERROR(__xludf.DUMMYFUNCTION("""COMPUTED_VALUE"""),"210")</f>
        <v>210</v>
      </c>
      <c r="B109" s="4" t="str">
        <f>IFERROR(__xludf.DUMMYFUNCTION("""COMPUTED_VALUE"""),"Cartel PVC 40x30 Riesgo electrico")</f>
        <v>Cartel PVC 40x30 Riesgo electrico</v>
      </c>
      <c r="C109" s="4">
        <f>IFERROR(__xludf.DUMMYFUNCTION("""COMPUTED_VALUE"""),2.3808)</f>
        <v>2.3808</v>
      </c>
    </row>
    <row r="110">
      <c r="A110" s="4" t="str">
        <f>IFERROR(__xludf.DUMMYFUNCTION("""COMPUTED_VALUE"""),"0210P")</f>
        <v>0210P</v>
      </c>
      <c r="B110" s="4" t="str">
        <f>IFERROR(__xludf.DUMMYFUNCTION("""COMPUTED_VALUE"""),"Cartel PVC 21x29 RIESGO ELECTRICO")</f>
        <v>Cartel PVC 21x29 RIESGO ELECTRICO</v>
      </c>
      <c r="C110" s="4">
        <f>IFERROR(__xludf.DUMMYFUNCTION("""COMPUTED_VALUE"""),1.536)</f>
        <v>1.536</v>
      </c>
    </row>
    <row r="111">
      <c r="A111" s="4" t="str">
        <f>IFERROR(__xludf.DUMMYFUNCTION("""COMPUTED_VALUE"""),"211")</f>
        <v>211</v>
      </c>
      <c r="B111" s="4" t="str">
        <f>IFERROR(__xludf.DUMMYFUNCTION("""COMPUTED_VALUE"""),"Cartel PVC 40x30 Carga suspendida")</f>
        <v>Cartel PVC 40x30 Carga suspendida</v>
      </c>
      <c r="C111" s="4">
        <f>IFERROR(__xludf.DUMMYFUNCTION("""COMPUTED_VALUE"""),2.3808)</f>
        <v>2.3808</v>
      </c>
    </row>
    <row r="112">
      <c r="A112" s="4" t="str">
        <f>IFERROR(__xludf.DUMMYFUNCTION("""COMPUTED_VALUE"""),"0211P")</f>
        <v>0211P</v>
      </c>
      <c r="B112" s="4" t="str">
        <f>IFERROR(__xludf.DUMMYFUNCTION("""COMPUTED_VALUE"""),"Cartel PVC 21x29 RIESGO CARGA SUSPENDIDA")</f>
        <v>Cartel PVC 21x29 RIESGO CARGA SUSPENDIDA</v>
      </c>
      <c r="C112" s="4">
        <f>IFERROR(__xludf.DUMMYFUNCTION("""COMPUTED_VALUE"""),1.536)</f>
        <v>1.536</v>
      </c>
    </row>
    <row r="113">
      <c r="A113" s="4" t="str">
        <f>IFERROR(__xludf.DUMMYFUNCTION("""COMPUTED_VALUE"""),"212")</f>
        <v>212</v>
      </c>
      <c r="B113" s="4" t="str">
        <f>IFERROR(__xludf.DUMMYFUNCTION("""COMPUTED_VALUE"""),"Cartel PVC 40x30 Materias corrosivas")</f>
        <v>Cartel PVC 40x30 Materias corrosivas</v>
      </c>
      <c r="C113" s="4">
        <f>IFERROR(__xludf.DUMMYFUNCTION("""COMPUTED_VALUE"""),2.3808)</f>
        <v>2.3808</v>
      </c>
    </row>
    <row r="114">
      <c r="A114" s="4" t="str">
        <f>IFERROR(__xludf.DUMMYFUNCTION("""COMPUTED_VALUE"""),"0212P")</f>
        <v>0212P</v>
      </c>
      <c r="B114" s="4" t="str">
        <f>IFERROR(__xludf.DUMMYFUNCTION("""COMPUTED_VALUE"""),"Cartel PVC 21x29 RIESGO MATERIAS CORROSIVAS")</f>
        <v>Cartel PVC 21x29 RIESGO MATERIAS CORROSIVAS</v>
      </c>
      <c r="C114" s="4">
        <f>IFERROR(__xludf.DUMMYFUNCTION("""COMPUTED_VALUE"""),1.536)</f>
        <v>1.536</v>
      </c>
    </row>
    <row r="115">
      <c r="A115" s="4" t="str">
        <f>IFERROR(__xludf.DUMMYFUNCTION("""COMPUTED_VALUE"""),"213")</f>
        <v>213</v>
      </c>
      <c r="B115" s="4" t="str">
        <f>IFERROR(__xludf.DUMMYFUNCTION("""COMPUTED_VALUE"""),"Cartel PVC 40x30 Vehículo Manutención")</f>
        <v>Cartel PVC 40x30 Vehículo Manutención</v>
      </c>
      <c r="C115" s="4">
        <f>IFERROR(__xludf.DUMMYFUNCTION("""COMPUTED_VALUE"""),2.3808)</f>
        <v>2.3808</v>
      </c>
    </row>
    <row r="116">
      <c r="A116" s="4" t="str">
        <f>IFERROR(__xludf.DUMMYFUNCTION("""COMPUTED_VALUE"""),"0213P")</f>
        <v>0213P</v>
      </c>
      <c r="B116" s="4" t="str">
        <f>IFERROR(__xludf.DUMMYFUNCTION("""COMPUTED_VALUE"""),"Cartel PVC 21x29 VEHICULOS DE MANUTENCION")</f>
        <v>Cartel PVC 21x29 VEHICULOS DE MANUTENCION</v>
      </c>
      <c r="C116" s="4">
        <f>IFERROR(__xludf.DUMMYFUNCTION("""COMPUTED_VALUE"""),1.536)</f>
        <v>1.536</v>
      </c>
    </row>
    <row r="117">
      <c r="A117" s="4" t="str">
        <f>IFERROR(__xludf.DUMMYFUNCTION("""COMPUTED_VALUE"""),"214")</f>
        <v>214</v>
      </c>
      <c r="B117" s="4" t="str">
        <f>IFERROR(__xludf.DUMMYFUNCTION("""COMPUTED_VALUE"""),"Cartel PVC 40x30 Caida distinto nivel")</f>
        <v>Cartel PVC 40x30 Caida distinto nivel</v>
      </c>
      <c r="C117" s="4">
        <f>IFERROR(__xludf.DUMMYFUNCTION("""COMPUTED_VALUE"""),2.3808)</f>
        <v>2.3808</v>
      </c>
    </row>
    <row r="118">
      <c r="A118" s="4" t="str">
        <f>IFERROR(__xludf.DUMMYFUNCTION("""COMPUTED_VALUE"""),"0214P")</f>
        <v>0214P</v>
      </c>
      <c r="B118" s="4" t="str">
        <f>IFERROR(__xludf.DUMMYFUNCTION("""COMPUTED_VALUE"""),"Cartel PVC 21x29 CAIDA A DISTINTO NIVEL")</f>
        <v>Cartel PVC 21x29 CAIDA A DISTINTO NIVEL</v>
      </c>
      <c r="C118" s="4">
        <f>IFERROR(__xludf.DUMMYFUNCTION("""COMPUTED_VALUE"""),1.536)</f>
        <v>1.536</v>
      </c>
    </row>
    <row r="119">
      <c r="A119" s="4" t="str">
        <f>IFERROR(__xludf.DUMMYFUNCTION("""COMPUTED_VALUE"""),"215")</f>
        <v>215</v>
      </c>
      <c r="B119" s="4" t="str">
        <f>IFERROR(__xludf.DUMMYFUNCTION("""COMPUTED_VALUE"""),"Cartel PVC 40x30 Riesgo tropezar")</f>
        <v>Cartel PVC 40x30 Riesgo tropezar</v>
      </c>
      <c r="C119" s="4">
        <f>IFERROR(__xludf.DUMMYFUNCTION("""COMPUTED_VALUE"""),2.3808)</f>
        <v>2.3808</v>
      </c>
    </row>
    <row r="120">
      <c r="A120" s="4" t="str">
        <f>IFERROR(__xludf.DUMMYFUNCTION("""COMPUTED_VALUE"""),"0215P")</f>
        <v>0215P</v>
      </c>
      <c r="B120" s="4" t="str">
        <f>IFERROR(__xludf.DUMMYFUNCTION("""COMPUTED_VALUE"""),"Cartel PVC 21x29 RIESGO DE TROPEZAR")</f>
        <v>Cartel PVC 21x29 RIESGO DE TROPEZAR</v>
      </c>
      <c r="C120" s="4">
        <f>IFERROR(__xludf.DUMMYFUNCTION("""COMPUTED_VALUE"""),1.536)</f>
        <v>1.536</v>
      </c>
    </row>
    <row r="121">
      <c r="A121" s="4" t="str">
        <f>IFERROR(__xludf.DUMMYFUNCTION("""COMPUTED_VALUE"""),"216")</f>
        <v>216</v>
      </c>
      <c r="B121" s="4" t="str">
        <f>IFERROR(__xludf.DUMMYFUNCTION("""COMPUTED_VALUE"""),"Cartel PVC 40x30 Materias comburentes")</f>
        <v>Cartel PVC 40x30 Materias comburentes</v>
      </c>
      <c r="C121" s="4">
        <f>IFERROR(__xludf.DUMMYFUNCTION("""COMPUTED_VALUE"""),2.3808)</f>
        <v>2.3808</v>
      </c>
    </row>
    <row r="122">
      <c r="A122" s="4" t="str">
        <f>IFERROR(__xludf.DUMMYFUNCTION("""COMPUTED_VALUE"""),"0216P")</f>
        <v>0216P</v>
      </c>
      <c r="B122" s="4" t="str">
        <f>IFERROR(__xludf.DUMMYFUNCTION("""COMPUTED_VALUE"""),"Cartel PVC 21x29 MATERIAS COMBURENTES")</f>
        <v>Cartel PVC 21x29 MATERIAS COMBURENTES</v>
      </c>
      <c r="C122" s="4">
        <f>IFERROR(__xludf.DUMMYFUNCTION("""COMPUTED_VALUE"""),1.536)</f>
        <v>1.536</v>
      </c>
    </row>
    <row r="123">
      <c r="A123" s="4" t="str">
        <f>IFERROR(__xludf.DUMMYFUNCTION("""COMPUTED_VALUE"""),"217")</f>
        <v>217</v>
      </c>
      <c r="B123" s="4" t="str">
        <f>IFERROR(__xludf.DUMMYFUNCTION("""COMPUTED_VALUE"""),"Cartel PVC 40x30 Materias Toxicas")</f>
        <v>Cartel PVC 40x30 Materias Toxicas</v>
      </c>
      <c r="C123" s="4">
        <f>IFERROR(__xludf.DUMMYFUNCTION("""COMPUTED_VALUE"""),2.3808)</f>
        <v>2.3808</v>
      </c>
    </row>
    <row r="124">
      <c r="A124" s="4" t="str">
        <f>IFERROR(__xludf.DUMMYFUNCTION("""COMPUTED_VALUE"""),"0217P")</f>
        <v>0217P</v>
      </c>
      <c r="B124" s="4" t="str">
        <f>IFERROR(__xludf.DUMMYFUNCTION("""COMPUTED_VALUE"""),"Cartel PVC 21x29 MATERIAS TOXICAS")</f>
        <v>Cartel PVC 21x29 MATERIAS TOXICAS</v>
      </c>
      <c r="C124" s="4">
        <f>IFERROR(__xludf.DUMMYFUNCTION("""COMPUTED_VALUE"""),1.536)</f>
        <v>1.536</v>
      </c>
    </row>
    <row r="125">
      <c r="A125" s="4" t="str">
        <f>IFERROR(__xludf.DUMMYFUNCTION("""COMPUTED_VALUE"""),"218")</f>
        <v>218</v>
      </c>
      <c r="B125" s="4" t="str">
        <f>IFERROR(__xludf.DUMMYFUNCTION("""COMPUTED_VALUE"""),"Cartel PVC 40x30 Campo Magnetico")</f>
        <v>Cartel PVC 40x30 Campo Magnetico</v>
      </c>
      <c r="C125" s="4">
        <f>IFERROR(__xludf.DUMMYFUNCTION("""COMPUTED_VALUE"""),2.3808)</f>
        <v>2.3808</v>
      </c>
    </row>
    <row r="126">
      <c r="A126" s="4" t="str">
        <f>IFERROR(__xludf.DUMMYFUNCTION("""COMPUTED_VALUE"""),"0218P")</f>
        <v>0218P</v>
      </c>
      <c r="B126" s="4" t="str">
        <f>IFERROR(__xludf.DUMMYFUNCTION("""COMPUTED_VALUE"""),"Cartel PVC 21x29 CAMPO MAGNETICO INTENSO")</f>
        <v>Cartel PVC 21x29 CAMPO MAGNETICO INTENSO</v>
      </c>
      <c r="C126" s="4">
        <f>IFERROR(__xludf.DUMMYFUNCTION("""COMPUTED_VALUE"""),1.536)</f>
        <v>1.536</v>
      </c>
    </row>
    <row r="127">
      <c r="A127" s="4" t="str">
        <f>IFERROR(__xludf.DUMMYFUNCTION("""COMPUTED_VALUE"""),"219")</f>
        <v>219</v>
      </c>
      <c r="B127" s="4" t="str">
        <f>IFERROR(__xludf.DUMMYFUNCTION("""COMPUTED_VALUE"""),"Cartel PVC 40x30 Materias Inflamables")</f>
        <v>Cartel PVC 40x30 Materias Inflamables</v>
      </c>
      <c r="C127" s="4">
        <f>IFERROR(__xludf.DUMMYFUNCTION("""COMPUTED_VALUE"""),2.3808)</f>
        <v>2.3808</v>
      </c>
    </row>
    <row r="128">
      <c r="A128" s="4" t="str">
        <f>IFERROR(__xludf.DUMMYFUNCTION("""COMPUTED_VALUE"""),"0219P")</f>
        <v>0219P</v>
      </c>
      <c r="B128" s="4" t="str">
        <f>IFERROR(__xludf.DUMMYFUNCTION("""COMPUTED_VALUE"""),"Cartel PVC 21x29 MATERIAS INFLAMABLES")</f>
        <v>Cartel PVC 21x29 MATERIAS INFLAMABLES</v>
      </c>
      <c r="C128" s="4">
        <f>IFERROR(__xludf.DUMMYFUNCTION("""COMPUTED_VALUE"""),1.536)</f>
        <v>1.536</v>
      </c>
    </row>
    <row r="129">
      <c r="A129" s="4" t="str">
        <f>IFERROR(__xludf.DUMMYFUNCTION("""COMPUTED_VALUE"""),"220")</f>
        <v>220</v>
      </c>
      <c r="B129" s="4" t="str">
        <f>IFERROR(__xludf.DUMMYFUNCTION("""COMPUTED_VALUE"""),"Cartel PVC 40x30 OBLIG.USO CASC+")</f>
        <v>Cartel PVC 40x30 OBLIG.USO CASC+</v>
      </c>
      <c r="C129" s="4">
        <f>IFERROR(__xludf.DUMMYFUNCTION("""COMPUTED_VALUE"""),2.3808)</f>
        <v>2.3808</v>
      </c>
    </row>
    <row r="130">
      <c r="A130" s="4" t="str">
        <f>IFERROR(__xludf.DUMMYFUNCTION("""COMPUTED_VALUE"""),"0220P")</f>
        <v>0220P</v>
      </c>
      <c r="B130" s="4" t="str">
        <f>IFERROR(__xludf.DUMMYFUNCTION("""COMPUTED_VALUE"""),"Cartel PVC 21x29 USO OBLIGATORIO DEL CASCO")</f>
        <v>Cartel PVC 21x29 USO OBLIGATORIO DEL CASCO</v>
      </c>
      <c r="C130" s="4">
        <f>IFERROR(__xludf.DUMMYFUNCTION("""COMPUTED_VALUE"""),1.536)</f>
        <v>1.536</v>
      </c>
    </row>
    <row r="131">
      <c r="A131" s="4" t="str">
        <f>IFERROR(__xludf.DUMMYFUNCTION("""COMPUTED_VALUE"""),"221")</f>
        <v>221</v>
      </c>
      <c r="B131" s="4" t="str">
        <f>IFERROR(__xludf.DUMMYFUNCTION("""COMPUTED_VALUE"""),"Cartel PVC 40x30 OBLIG.USO BOTA+")</f>
        <v>Cartel PVC 40x30 OBLIG.USO BOTA+</v>
      </c>
      <c r="C131" s="4">
        <f>IFERROR(__xludf.DUMMYFUNCTION("""COMPUTED_VALUE"""),2.3808)</f>
        <v>2.3808</v>
      </c>
    </row>
    <row r="132">
      <c r="A132" s="4" t="str">
        <f>IFERROR(__xludf.DUMMYFUNCTION("""COMPUTED_VALUE"""),"0221P")</f>
        <v>0221P</v>
      </c>
      <c r="B132" s="4" t="str">
        <f>IFERROR(__xludf.DUMMYFUNCTION("""COMPUTED_VALUE"""),"Cartel PVC 21x29 USO OBLIGATORIO DE LAS BOTAS")</f>
        <v>Cartel PVC 21x29 USO OBLIGATORIO DE LAS BOTAS</v>
      </c>
      <c r="C132" s="4">
        <f>IFERROR(__xludf.DUMMYFUNCTION("""COMPUTED_VALUE"""),1.536)</f>
        <v>1.536</v>
      </c>
    </row>
    <row r="133">
      <c r="A133" s="4" t="str">
        <f>IFERROR(__xludf.DUMMYFUNCTION("""COMPUTED_VALUE"""),"222")</f>
        <v>222</v>
      </c>
      <c r="B133" s="4" t="str">
        <f>IFERROR(__xludf.DUMMYFUNCTION("""COMPUTED_VALUE"""),"Cartel PVC 40x30 OBLIG.USO GUAN+E")</f>
        <v>Cartel PVC 40x30 OBLIG.USO GUAN+E</v>
      </c>
      <c r="C133" s="4">
        <f>IFERROR(__xludf.DUMMYFUNCTION("""COMPUTED_VALUE"""),2.3808)</f>
        <v>2.3808</v>
      </c>
    </row>
    <row r="134">
      <c r="A134" s="4" t="str">
        <f>IFERROR(__xludf.DUMMYFUNCTION("""COMPUTED_VALUE"""),"0222P")</f>
        <v>0222P</v>
      </c>
      <c r="B134" s="4" t="str">
        <f>IFERROR(__xludf.DUMMYFUNCTION("""COMPUTED_VALUE"""),"Cartel PVC 21x29 USO OBLIGATORIO DE GUANTES")</f>
        <v>Cartel PVC 21x29 USO OBLIGATORIO DE GUANTES</v>
      </c>
      <c r="C134" s="4">
        <f>IFERROR(__xludf.DUMMYFUNCTION("""COMPUTED_VALUE"""),1.536)</f>
        <v>1.536</v>
      </c>
    </row>
    <row r="135">
      <c r="A135" s="4" t="str">
        <f>IFERROR(__xludf.DUMMYFUNCTION("""COMPUTED_VALUE"""),"223")</f>
        <v>223</v>
      </c>
      <c r="B135" s="4" t="str">
        <f>IFERROR(__xludf.DUMMYFUNCTION("""COMPUTED_VALUE"""),"Cartel PVC 40x30 OBLIG.PROT.ACU+T")</f>
        <v>Cartel PVC 40x30 OBLIG.PROT.ACU+T</v>
      </c>
      <c r="C135" s="4">
        <f>IFERROR(__xludf.DUMMYFUNCTION("""COMPUTED_VALUE"""),2.3808)</f>
        <v>2.3808</v>
      </c>
    </row>
    <row r="136">
      <c r="A136" s="4" t="str">
        <f>IFERROR(__xludf.DUMMYFUNCTION("""COMPUTED_VALUE"""),"0223P")</f>
        <v>0223P</v>
      </c>
      <c r="B136" s="4" t="str">
        <f>IFERROR(__xludf.DUMMYFUNCTION("""COMPUTED_VALUE"""),"Cartel PVC 21x29 USO OBLIGATORIO PROTECCION")</f>
        <v>Cartel PVC 21x29 USO OBLIGATORIO PROTECCION</v>
      </c>
      <c r="C136" s="4">
        <f>IFERROR(__xludf.DUMMYFUNCTION("""COMPUTED_VALUE"""),1.536)</f>
        <v>1.536</v>
      </c>
    </row>
    <row r="137">
      <c r="A137" s="4" t="str">
        <f>IFERROR(__xludf.DUMMYFUNCTION("""COMPUTED_VALUE"""),"224")</f>
        <v>224</v>
      </c>
      <c r="B137" s="4" t="str">
        <f>IFERROR(__xludf.DUMMYFUNCTION("""COMPUTED_VALUE"""),"Cartel PVC 40x30 OBLIG.USO MASC +")</f>
        <v>Cartel PVC 40x30 OBLIG.USO MASC +</v>
      </c>
      <c r="C137" s="4">
        <f>IFERROR(__xludf.DUMMYFUNCTION("""COMPUTED_VALUE"""),2.3808)</f>
        <v>2.3808</v>
      </c>
    </row>
    <row r="138">
      <c r="A138" s="4" t="str">
        <f>IFERROR(__xludf.DUMMYFUNCTION("""COMPUTED_VALUE"""),"0224P")</f>
        <v>0224P</v>
      </c>
      <c r="B138" s="4" t="str">
        <f>IFERROR(__xludf.DUMMYFUNCTION("""COMPUTED_VALUE"""),"Cartel PVC 21x29 OBLIGATORIO EL USO DE LA MASCARA")</f>
        <v>Cartel PVC 21x29 OBLIGATORIO EL USO DE LA MASCARA</v>
      </c>
      <c r="C138" s="4">
        <f>IFERROR(__xludf.DUMMYFUNCTION("""COMPUTED_VALUE"""),1.536)</f>
        <v>1.536</v>
      </c>
    </row>
    <row r="139">
      <c r="A139" s="4" t="str">
        <f>IFERROR(__xludf.DUMMYFUNCTION("""COMPUTED_VALUE"""),"225")</f>
        <v>225</v>
      </c>
      <c r="B139" s="4" t="str">
        <f>IFERROR(__xludf.DUMMYFUNCTION("""COMPUTED_VALUE"""),"Cartel PVC 40x30 OBLIG.PANT.PRO+E")</f>
        <v>Cartel PVC 40x30 OBLIG.PANT.PRO+E</v>
      </c>
      <c r="C139" s="4">
        <f>IFERROR(__xludf.DUMMYFUNCTION("""COMPUTED_VALUE"""),2.3808)</f>
        <v>2.3808</v>
      </c>
    </row>
    <row r="140">
      <c r="A140" s="4" t="str">
        <f>IFERROR(__xludf.DUMMYFUNCTION("""COMPUTED_VALUE"""),"0225P")</f>
        <v>0225P</v>
      </c>
      <c r="B140" s="4" t="str">
        <f>IFERROR(__xludf.DUMMYFUNCTION("""COMPUTED_VALUE"""),"Cartel PVC 21x29 OBLIGATORIO USO PANTALLA")</f>
        <v>Cartel PVC 21x29 OBLIGATORIO USO PANTALLA</v>
      </c>
      <c r="C140" s="4">
        <f>IFERROR(__xludf.DUMMYFUNCTION("""COMPUTED_VALUE"""),1.536)</f>
        <v>1.536</v>
      </c>
    </row>
    <row r="141">
      <c r="A141" s="4" t="str">
        <f>IFERROR(__xludf.DUMMYFUNCTION("""COMPUTED_VALUE"""),"226")</f>
        <v>226</v>
      </c>
      <c r="B141" s="4" t="str">
        <f>IFERROR(__xludf.DUMMYFUNCTION("""COMPUTED_VALUE"""),"Cartel PVC 40x30 OBLIG.GAFAS PROT")</f>
        <v>Cartel PVC 40x30 OBLIG.GAFAS PROT</v>
      </c>
      <c r="C141" s="4">
        <f>IFERROR(__xludf.DUMMYFUNCTION("""COMPUTED_VALUE"""),2.3808)</f>
        <v>2.3808</v>
      </c>
    </row>
    <row r="142">
      <c r="A142" s="4" t="str">
        <f>IFERROR(__xludf.DUMMYFUNCTION("""COMPUTED_VALUE"""),"0226P")</f>
        <v>0226P</v>
      </c>
      <c r="B142" s="4" t="str">
        <f>IFERROR(__xludf.DUMMYFUNCTION("""COMPUTED_VALUE"""),"Cartel PVC 21x29 OBLIGATORIO EL USO GAFAS")</f>
        <v>Cartel PVC 21x29 OBLIGATORIO EL USO GAFAS</v>
      </c>
      <c r="C142" s="4">
        <f>IFERROR(__xludf.DUMMYFUNCTION("""COMPUTED_VALUE"""),1.536)</f>
        <v>1.536</v>
      </c>
    </row>
    <row r="143">
      <c r="A143" s="4" t="str">
        <f>IFERROR(__xludf.DUMMYFUNCTION("""COMPUTED_VALUE"""),"227")</f>
        <v>227</v>
      </c>
      <c r="B143" s="4" t="str">
        <f>IFERROR(__xludf.DUMMYFUNCTION("""COMPUTED_VALUE"""),"Cartel PVC 40x30 OBLIG.ARNES SEGUR.")</f>
        <v>Cartel PVC 40x30 OBLIG.ARNES SEGUR.</v>
      </c>
      <c r="C143" s="4">
        <f>IFERROR(__xludf.DUMMYFUNCTION("""COMPUTED_VALUE"""),2.3808)</f>
        <v>2.3808</v>
      </c>
    </row>
    <row r="144">
      <c r="A144" s="4" t="str">
        <f>IFERROR(__xludf.DUMMYFUNCTION("""COMPUTED_VALUE"""),"0227P")</f>
        <v>0227P</v>
      </c>
      <c r="B144" s="4" t="str">
        <f>IFERROR(__xludf.DUMMYFUNCTION("""COMPUTED_VALUE"""),"Cartel PVC 21x29 OBLIGATORIO EL USO ARNES")</f>
        <v>Cartel PVC 21x29 OBLIGATORIO EL USO ARNES</v>
      </c>
      <c r="C144" s="4">
        <f>IFERROR(__xludf.DUMMYFUNCTION("""COMPUTED_VALUE"""),1.536)</f>
        <v>1.536</v>
      </c>
    </row>
    <row r="145">
      <c r="A145" s="4" t="str">
        <f>IFERROR(__xludf.DUMMYFUNCTION("""COMPUTED_VALUE"""),"228")</f>
        <v>228</v>
      </c>
      <c r="B145" s="4" t="str">
        <f>IFERROR(__xludf.DUMMYFUNCTION("""COMPUTED_VALUE"""),"Cartel PVC 40x30 PROTECION OBLIGAT.CUERPO")</f>
        <v>Cartel PVC 40x30 PROTECION OBLIGAT.CUERPO</v>
      </c>
      <c r="C145" s="4">
        <f>IFERROR(__xludf.DUMMYFUNCTION("""COMPUTED_VALUE"""),2.3808)</f>
        <v>2.3808</v>
      </c>
    </row>
    <row r="146">
      <c r="A146" s="4" t="str">
        <f>IFERROR(__xludf.DUMMYFUNCTION("""COMPUTED_VALUE"""),"0228P")</f>
        <v>0228P</v>
      </c>
      <c r="B146" s="4" t="str">
        <f>IFERROR(__xludf.DUMMYFUNCTION("""COMPUTED_VALUE"""),"Cartel PVC 21x29 USO PROTECCION OBLIGATORIA DEL")</f>
        <v>Cartel PVC 21x29 USO PROTECCION OBLIGATORIA DEL</v>
      </c>
      <c r="C146" s="4">
        <f>IFERROR(__xludf.DUMMYFUNCTION("""COMPUTED_VALUE"""),1.536)</f>
        <v>1.536</v>
      </c>
    </row>
    <row r="147">
      <c r="A147" s="4" t="str">
        <f>IFERROR(__xludf.DUMMYFUNCTION("""COMPUTED_VALUE"""),"229")</f>
        <v>229</v>
      </c>
      <c r="B147" s="4" t="str">
        <f>IFERROR(__xludf.DUMMYFUNCTION("""COMPUTED_VALUE"""),"Cartel PVC 40x30 Eliminar puntas")</f>
        <v>Cartel PVC 40x30 Eliminar puntas</v>
      </c>
      <c r="C147" s="4">
        <f>IFERROR(__xludf.DUMMYFUNCTION("""COMPUTED_VALUE"""),2.3808)</f>
        <v>2.3808</v>
      </c>
    </row>
    <row r="148">
      <c r="A148" s="4" t="str">
        <f>IFERROR(__xludf.DUMMYFUNCTION("""COMPUTED_VALUE"""),"0229P")</f>
        <v>0229P</v>
      </c>
      <c r="B148" s="4" t="str">
        <f>IFERROR(__xludf.DUMMYFUNCTION("""COMPUTED_VALUE"""),"Cartel PVC 21x29 OBLIGATORIO ELIMINAR LAS PUNTAS")</f>
        <v>Cartel PVC 21x29 OBLIGATORIO ELIMINAR LAS PUNTAS</v>
      </c>
      <c r="C148" s="4">
        <f>IFERROR(__xludf.DUMMYFUNCTION("""COMPUTED_VALUE"""),1.536)</f>
        <v>1.536</v>
      </c>
    </row>
    <row r="149">
      <c r="A149" s="4" t="str">
        <f>IFERROR(__xludf.DUMMYFUNCTION("""COMPUTED_VALUE"""),"230")</f>
        <v>230</v>
      </c>
      <c r="B149" s="4" t="str">
        <f>IFERROR(__xludf.DUMMYFUNCTION("""COMPUTED_VALUE"""),"Cartel PVC 40x30 PROHIBIDO FUMA+")</f>
        <v>Cartel PVC 40x30 PROHIBIDO FUMA+</v>
      </c>
      <c r="C149" s="4">
        <f>IFERROR(__xludf.DUMMYFUNCTION("""COMPUTED_VALUE"""),2.3808)</f>
        <v>2.3808</v>
      </c>
    </row>
    <row r="150">
      <c r="A150" s="4" t="str">
        <f>IFERROR(__xludf.DUMMYFUNCTION("""COMPUTED_VALUE"""),"0230P")</f>
        <v>0230P</v>
      </c>
      <c r="B150" s="4" t="str">
        <f>IFERROR(__xludf.DUMMYFUNCTION("""COMPUTED_VALUE"""),"Cartel 21X29 PROHIBIDO FUMAR")</f>
        <v>Cartel 21X29 PROHIBIDO FUMAR</v>
      </c>
      <c r="C150" s="4">
        <f>IFERROR(__xludf.DUMMYFUNCTION("""COMPUTED_VALUE"""),1.536)</f>
        <v>1.536</v>
      </c>
    </row>
    <row r="151">
      <c r="A151" s="4" t="str">
        <f>IFERROR(__xludf.DUMMYFUNCTION("""COMPUTED_VALUE"""),"231")</f>
        <v>231</v>
      </c>
      <c r="B151" s="4" t="str">
        <f>IFERROR(__xludf.DUMMYFUNCTION("""COMPUTED_VALUE"""),"Cartel PVC 40x30 PROHIBIDO PASO+")</f>
        <v>Cartel PVC 40x30 PROHIBIDO PASO+</v>
      </c>
      <c r="C151" s="4">
        <f>IFERROR(__xludf.DUMMYFUNCTION("""COMPUTED_VALUE"""),2.3808)</f>
        <v>2.3808</v>
      </c>
    </row>
    <row r="152">
      <c r="A152" s="4" t="str">
        <f>IFERROR(__xludf.DUMMYFUNCTION("""COMPUTED_VALUE"""),"0231P")</f>
        <v>0231P</v>
      </c>
      <c r="B152" s="4" t="str">
        <f>IFERROR(__xludf.DUMMYFUNCTION("""COMPUTED_VALUE"""),"Cartel PVC 21X29 PROHIBIDO PASO PERSONA AJENA")</f>
        <v>Cartel PVC 21X29 PROHIBIDO PASO PERSONA AJENA</v>
      </c>
      <c r="C152" s="4">
        <f>IFERROR(__xludf.DUMMYFUNCTION("""COMPUTED_VALUE"""),1.536)</f>
        <v>1.536</v>
      </c>
    </row>
    <row r="153">
      <c r="A153" s="4" t="str">
        <f>IFERROR(__xludf.DUMMYFUNCTION("""COMPUTED_VALUE"""),"232")</f>
        <v>232</v>
      </c>
      <c r="B153" s="4" t="str">
        <f>IFERROR(__xludf.DUMMYFUNCTION("""COMPUTED_VALUE"""),"Cartel PVC 40x30 Proh. pasar sin casco")</f>
        <v>Cartel PVC 40x30 Proh. pasar sin casco</v>
      </c>
      <c r="C153" s="4">
        <f>IFERROR(__xludf.DUMMYFUNCTION("""COMPUTED_VALUE"""),2.3808)</f>
        <v>2.3808</v>
      </c>
    </row>
    <row r="154">
      <c r="A154" s="4" t="str">
        <f>IFERROR(__xludf.DUMMYFUNCTION("""COMPUTED_VALUE"""),"0232P")</f>
        <v>0232P</v>
      </c>
      <c r="B154" s="4" t="str">
        <f>IFERROR(__xludf.DUMMYFUNCTION("""COMPUTED_VALUE"""),"Cartel PVC 21X29 PROHIBIDO PASAR SIN CASCO")</f>
        <v>Cartel PVC 21X29 PROHIBIDO PASAR SIN CASCO</v>
      </c>
      <c r="C154" s="4">
        <f>IFERROR(__xludf.DUMMYFUNCTION("""COMPUTED_VALUE"""),1.536)</f>
        <v>1.536</v>
      </c>
    </row>
    <row r="155">
      <c r="A155" s="4" t="str">
        <f>IFERROR(__xludf.DUMMYFUNCTION("""COMPUTED_VALUE"""),"233")</f>
        <v>233</v>
      </c>
      <c r="B155" s="4" t="str">
        <f>IFERROR(__xludf.DUMMYFUNCTION("""COMPUTED_VALUE"""),"Cartel PVC 40x30 Proh. Fumar y encender fuego")</f>
        <v>Cartel PVC 40x30 Proh. Fumar y encender fuego</v>
      </c>
      <c r="C155" s="4">
        <f>IFERROR(__xludf.DUMMYFUNCTION("""COMPUTED_VALUE"""),2.3808)</f>
        <v>2.3808</v>
      </c>
    </row>
    <row r="156">
      <c r="A156" s="4" t="str">
        <f>IFERROR(__xludf.DUMMYFUNCTION("""COMPUTED_VALUE"""),"0233P")</f>
        <v>0233P</v>
      </c>
      <c r="B156" s="4" t="str">
        <f>IFERROR(__xludf.DUMMYFUNCTION("""COMPUTED_VALUE"""),"Cartel PVC 21X29 PROHIBIDO FUMAR Y ENCENDER")</f>
        <v>Cartel PVC 21X29 PROHIBIDO FUMAR Y ENCENDER</v>
      </c>
      <c r="C156" s="4">
        <f>IFERROR(__xludf.DUMMYFUNCTION("""COMPUTED_VALUE"""),1.536)</f>
        <v>1.536</v>
      </c>
    </row>
    <row r="157">
      <c r="A157" s="4" t="str">
        <f>IFERROR(__xludf.DUMMYFUNCTION("""COMPUTED_VALUE"""),"234")</f>
        <v>234</v>
      </c>
      <c r="B157" s="4" t="str">
        <f>IFERROR(__xludf.DUMMYFUNCTION("""COMPUTED_VALUE"""),"Cartel PVC 40x30 Proh. Apagar con agua")</f>
        <v>Cartel PVC 40x30 Proh. Apagar con agua</v>
      </c>
      <c r="C157" s="4">
        <f>IFERROR(__xludf.DUMMYFUNCTION("""COMPUTED_VALUE"""),2.3808)</f>
        <v>2.3808</v>
      </c>
    </row>
    <row r="158">
      <c r="A158" s="4" t="str">
        <f>IFERROR(__xludf.DUMMYFUNCTION("""COMPUTED_VALUE"""),"0234P")</f>
        <v>0234P</v>
      </c>
      <c r="B158" s="4" t="str">
        <f>IFERROR(__xludf.DUMMYFUNCTION("""COMPUTED_VALUE"""),"Cartel PVC 21x29 PROHIBIDO APAGAR CON AGUA")</f>
        <v>Cartel PVC 21x29 PROHIBIDO APAGAR CON AGUA</v>
      </c>
      <c r="C158" s="4">
        <f>IFERROR(__xludf.DUMMYFUNCTION("""COMPUTED_VALUE"""),1.536)</f>
        <v>1.536</v>
      </c>
    </row>
    <row r="159">
      <c r="A159" s="4" t="str">
        <f>IFERROR(__xludf.DUMMYFUNCTION("""COMPUTED_VALUE"""),"235")</f>
        <v>235</v>
      </c>
      <c r="B159" s="4" t="str">
        <f>IFERROR(__xludf.DUMMYFUNCTION("""COMPUTED_VALUE"""),"Cartel PVC 40x30 Proh.a los vehculos manutención")</f>
        <v>Cartel PVC 40x30 Proh.a los vehculos manutención</v>
      </c>
      <c r="C159" s="4">
        <f>IFERROR(__xludf.DUMMYFUNCTION("""COMPUTED_VALUE"""),2.3808)</f>
        <v>2.3808</v>
      </c>
    </row>
    <row r="160">
      <c r="A160" s="4" t="str">
        <f>IFERROR(__xludf.DUMMYFUNCTION("""COMPUTED_VALUE"""),"0235P")</f>
        <v>0235P</v>
      </c>
      <c r="B160" s="4" t="str">
        <f>IFERROR(__xludf.DUMMYFUNCTION("""COMPUTED_VALUE"""),"Cartel PVC 21x29 PROHIBIDO A LOS VEHICULOS DE")</f>
        <v>Cartel PVC 21x29 PROHIBIDO A LOS VEHICULOS DE</v>
      </c>
      <c r="C160" s="4">
        <f>IFERROR(__xludf.DUMMYFUNCTION("""COMPUTED_VALUE"""),1.536)</f>
        <v>1.536</v>
      </c>
    </row>
    <row r="161">
      <c r="A161" s="4" t="str">
        <f>IFERROR(__xludf.DUMMYFUNCTION("""COMPUTED_VALUE"""),"236")</f>
        <v>236</v>
      </c>
      <c r="B161" s="4" t="str">
        <f>IFERROR(__xludf.DUMMYFUNCTION("""COMPUTED_VALUE"""),"Cartel PVC 40x30 Materias Explosivas")</f>
        <v>Cartel PVC 40x30 Materias Explosivas</v>
      </c>
      <c r="C161" s="4">
        <f>IFERROR(__xludf.DUMMYFUNCTION("""COMPUTED_VALUE"""),2.3808)</f>
        <v>2.3808</v>
      </c>
    </row>
    <row r="162">
      <c r="A162" s="4" t="str">
        <f>IFERROR(__xludf.DUMMYFUNCTION("""COMPUTED_VALUE"""),"0236P")</f>
        <v>0236P</v>
      </c>
      <c r="B162" s="4" t="str">
        <f>IFERROR(__xludf.DUMMYFUNCTION("""COMPUTED_VALUE"""),"Cartel PVC 21x29 MATERIAS EXPLOSIVAS")</f>
        <v>Cartel PVC 21x29 MATERIAS EXPLOSIVAS</v>
      </c>
      <c r="C162" s="4">
        <f>IFERROR(__xludf.DUMMYFUNCTION("""COMPUTED_VALUE"""),1.536)</f>
        <v>1.536</v>
      </c>
    </row>
    <row r="163">
      <c r="A163" s="4" t="str">
        <f>IFERROR(__xludf.DUMMYFUNCTION("""COMPUTED_VALUE"""),"237")</f>
        <v>237</v>
      </c>
      <c r="B163" s="4" t="str">
        <f>IFERROR(__xludf.DUMMYFUNCTION("""COMPUTED_VALUE"""),"Cartel PVC 40x30 Proh. uso personas")</f>
        <v>Cartel PVC 40x30 Proh. uso personas</v>
      </c>
      <c r="C163" s="4">
        <f>IFERROR(__xludf.DUMMYFUNCTION("""COMPUTED_VALUE"""),2.3808)</f>
        <v>2.3808</v>
      </c>
    </row>
    <row r="164">
      <c r="A164" s="4" t="str">
        <f>IFERROR(__xludf.DUMMYFUNCTION("""COMPUTED_VALUE"""),"0237P")</f>
        <v>0237P</v>
      </c>
      <c r="B164" s="4" t="str">
        <f>IFERROR(__xludf.DUMMYFUNCTION("""COMPUTED_VALUE"""),"Cartel PVC 21x29 PROHIBIDO EL USO A PERSONAS")</f>
        <v>Cartel PVC 21x29 PROHIBIDO EL USO A PERSONAS</v>
      </c>
      <c r="C164" s="4">
        <f>IFERROR(__xludf.DUMMYFUNCTION("""COMPUTED_VALUE"""),1.536)</f>
        <v>1.536</v>
      </c>
    </row>
    <row r="165">
      <c r="A165" s="4" t="str">
        <f>IFERROR(__xludf.DUMMYFUNCTION("""COMPUTED_VALUE"""),"238")</f>
        <v>238</v>
      </c>
      <c r="B165" s="4" t="str">
        <f>IFERROR(__xludf.DUMMYFUNCTION("""COMPUTED_VALUE"""),"Cartel PVC 40x30 Atencion puesta Tierra")</f>
        <v>Cartel PVC 40x30 Atencion puesta Tierra</v>
      </c>
      <c r="C165" s="4">
        <f>IFERROR(__xludf.DUMMYFUNCTION("""COMPUTED_VALUE"""),2.3808)</f>
        <v>2.3808</v>
      </c>
    </row>
    <row r="166">
      <c r="A166" s="4" t="str">
        <f>IFERROR(__xludf.DUMMYFUNCTION("""COMPUTED_VALUE"""),"0238P")</f>
        <v>0238P</v>
      </c>
      <c r="B166" s="4" t="str">
        <f>IFERROR(__xludf.DUMMYFUNCTION("""COMPUTED_VALUE"""),"Cartel PVC 21x29 ATENCION PUESTA A TIERRA")</f>
        <v>Cartel PVC 21x29 ATENCION PUESTA A TIERRA</v>
      </c>
      <c r="C166" s="4">
        <f>IFERROR(__xludf.DUMMYFUNCTION("""COMPUTED_VALUE"""),1.536)</f>
        <v>1.536</v>
      </c>
    </row>
    <row r="167">
      <c r="A167" s="4" t="str">
        <f>IFERROR(__xludf.DUMMYFUNCTION("""COMPUTED_VALUE"""),"239")</f>
        <v>239</v>
      </c>
      <c r="B167" s="4" t="str">
        <f>IFERROR(__xludf.DUMMYFUNCTION("""COMPUTED_VALUE"""),"Cartel PVC Espacio confinado 40x30 cm")</f>
        <v>Cartel PVC Espacio confinado 40x30 cm</v>
      </c>
      <c r="C167" s="4">
        <f>IFERROR(__xludf.DUMMYFUNCTION("""COMPUTED_VALUE"""),2.3808)</f>
        <v>2.3808</v>
      </c>
    </row>
    <row r="168">
      <c r="A168" s="4" t="str">
        <f>IFERROR(__xludf.DUMMYFUNCTION("""COMPUTED_VALUE"""),"0239P")</f>
        <v>0239P</v>
      </c>
      <c r="B168" s="4" t="str">
        <f>IFERROR(__xludf.DUMMYFUNCTION("""COMPUTED_VALUE"""),"Cartel PVC Espacio Confinado 21x29 cm")</f>
        <v>Cartel PVC Espacio Confinado 21x29 cm</v>
      </c>
      <c r="C168" s="4">
        <f>IFERROR(__xludf.DUMMYFUNCTION("""COMPUTED_VALUE"""),1.536)</f>
        <v>1.536</v>
      </c>
    </row>
    <row r="169">
      <c r="A169" s="4" t="str">
        <f>IFERROR(__xludf.DUMMYFUNCTION("""COMPUTED_VALUE"""),"240")</f>
        <v>240</v>
      </c>
      <c r="B169" s="4" t="str">
        <f>IFERROR(__xludf.DUMMYFUNCTION("""COMPUTED_VALUE"""),"Cartel PVC 40x30 Maquin.pesada en movim")</f>
        <v>Cartel PVC 40x30 Maquin.pesada en movim</v>
      </c>
      <c r="C169" s="4">
        <f>IFERROR(__xludf.DUMMYFUNCTION("""COMPUTED_VALUE"""),2.3808)</f>
        <v>2.3808</v>
      </c>
    </row>
    <row r="170">
      <c r="A170" s="4" t="str">
        <f>IFERROR(__xludf.DUMMYFUNCTION("""COMPUTED_VALUE"""),"0240P")</f>
        <v>0240P</v>
      </c>
      <c r="B170" s="4" t="str">
        <f>IFERROR(__xludf.DUMMYFUNCTION("""COMPUTED_VALUE"""),"Cartel PVC 21X29 MAQUINARIA PESADA EN MOVIMIENTO")</f>
        <v>Cartel PVC 21X29 MAQUINARIA PESADA EN MOVIMIENTO</v>
      </c>
      <c r="C170" s="4">
        <f>IFERROR(__xludf.DUMMYFUNCTION("""COMPUTED_VALUE"""),1.536)</f>
        <v>1.536</v>
      </c>
    </row>
    <row r="171">
      <c r="A171" s="4" t="str">
        <f>IFERROR(__xludf.DUMMYFUNCTION("""COMPUTED_VALUE"""),"241")</f>
        <v>241</v>
      </c>
      <c r="B171" s="4" t="str">
        <f>IFERROR(__xludf.DUMMYFUNCTION("""COMPUTED_VALUE"""),"Cartel PVC 40x30 Fluor ( Se Alquila ) c/ojales")</f>
        <v>Cartel PVC 40x30 Fluor ( Se Alquila ) c/ojales</v>
      </c>
      <c r="C171" s="4">
        <f>IFERROR(__xludf.DUMMYFUNCTION("""COMPUTED_VALUE"""),3.552)</f>
        <v>3.552</v>
      </c>
    </row>
    <row r="172">
      <c r="A172" s="4" t="str">
        <f>IFERROR(__xludf.DUMMYFUNCTION("""COMPUTED_VALUE"""),"242")</f>
        <v>242</v>
      </c>
      <c r="B172" s="4" t="str">
        <f>IFERROR(__xludf.DUMMYFUNCTION("""COMPUTED_VALUE"""),"Cartel PVC 40X30 Fluor ( Se Vende ) c/ojales")</f>
        <v>Cartel PVC 40X30 Fluor ( Se Vende ) c/ojales</v>
      </c>
      <c r="C172" s="4">
        <f>IFERROR(__xludf.DUMMYFUNCTION("""COMPUTED_VALUE"""),3.552)</f>
        <v>3.552</v>
      </c>
    </row>
    <row r="173">
      <c r="A173" s="4" t="str">
        <f>IFERROR(__xludf.DUMMYFUNCTION("""COMPUTED_VALUE"""),"243")</f>
        <v>243</v>
      </c>
      <c r="B173" s="4" t="str">
        <f>IFERROR(__xludf.DUMMYFUNCTION("""COMPUTED_VALUE"""),"Cartel PVC 21x29 Fotolum. Hidrante")</f>
        <v>Cartel PVC 21x29 Fotolum. Hidrante</v>
      </c>
      <c r="C173" s="4">
        <f>IFERROR(__xludf.DUMMYFUNCTION("""COMPUTED_VALUE"""),2.496)</f>
        <v>2.496</v>
      </c>
    </row>
    <row r="174">
      <c r="A174" s="4" t="str">
        <f>IFERROR(__xludf.DUMMYFUNCTION("""COMPUTED_VALUE"""),"0243A")</f>
        <v>0243A</v>
      </c>
      <c r="B174" s="4" t="str">
        <f>IFERROR(__xludf.DUMMYFUNCTION("""COMPUTED_VALUE"""),"Cartel PVC 21x30 Fotolum. Hidrante")</f>
        <v>Cartel PVC 21x30 Fotolum. Hidrante</v>
      </c>
      <c r="C174" s="4">
        <f>IFERROR(__xludf.DUMMYFUNCTION("""COMPUTED_VALUE"""),2.4192)</f>
        <v>2.4192</v>
      </c>
    </row>
    <row r="175">
      <c r="A175" s="4" t="str">
        <f>IFERROR(__xludf.DUMMYFUNCTION("""COMPUTED_VALUE"""),"0243B")</f>
        <v>0243B</v>
      </c>
      <c r="B175" s="4" t="str">
        <f>IFERROR(__xludf.DUMMYFUNCTION("""COMPUTED_VALUE"""),"Cartel PVC 40x30 Fotolum. Hidrante")</f>
        <v>Cartel PVC 40x30 Fotolum. Hidrante</v>
      </c>
      <c r="C175" s="4">
        <f>IFERROR(__xludf.DUMMYFUNCTION("""COMPUTED_VALUE"""),2.976)</f>
        <v>2.976</v>
      </c>
    </row>
    <row r="176">
      <c r="A176" s="4" t="str">
        <f>IFERROR(__xludf.DUMMYFUNCTION("""COMPUTED_VALUE"""),"244")</f>
        <v>244</v>
      </c>
      <c r="B176" s="4" t="str">
        <f>IFERROR(__xludf.DUMMYFUNCTION("""COMPUTED_VALUE"""),"Cartel PVC de 1x0.70 Combinado")</f>
        <v>Cartel PVC de 1x0.70 Combinado</v>
      </c>
      <c r="C176" s="4">
        <f>IFERROR(__xludf.DUMMYFUNCTION("""COMPUTED_VALUE"""),5.664)</f>
        <v>5.664</v>
      </c>
    </row>
    <row r="177">
      <c r="A177" s="4" t="str">
        <f>IFERROR(__xludf.DUMMYFUNCTION("""COMPUTED_VALUE"""),"247")</f>
        <v>247</v>
      </c>
      <c r="B177" s="4" t="str">
        <f>IFERROR(__xludf.DUMMYFUNCTION("""COMPUTED_VALUE"""),"Cartel PVC 40x30 (Salida Camiones)")</f>
        <v>Cartel PVC 40x30 (Salida Camiones)</v>
      </c>
      <c r="C177" s="4">
        <f>IFERROR(__xludf.DUMMYFUNCTION("""COMPUTED_VALUE"""),2.3808)</f>
        <v>2.3808</v>
      </c>
    </row>
    <row r="178">
      <c r="A178" s="4" t="str">
        <f>IFERROR(__xludf.DUMMYFUNCTION("""COMPUTED_VALUE"""),"0247P")</f>
        <v>0247P</v>
      </c>
      <c r="B178" s="4" t="str">
        <f>IFERROR(__xludf.DUMMYFUNCTION("""COMPUTED_VALUE"""),"Cartel PVC 21x29 SALIDA DE CAMIONES")</f>
        <v>Cartel PVC 21x29 SALIDA DE CAMIONES</v>
      </c>
      <c r="C178" s="4">
        <f>IFERROR(__xludf.DUMMYFUNCTION("""COMPUTED_VALUE"""),1.536)</f>
        <v>1.536</v>
      </c>
    </row>
    <row r="179">
      <c r="A179" s="4" t="str">
        <f>IFERROR(__xludf.DUMMYFUNCTION("""COMPUTED_VALUE"""),"248")</f>
        <v>248</v>
      </c>
      <c r="B179" s="4" t="str">
        <f>IFERROR(__xludf.DUMMYFUNCTION("""COMPUTED_VALUE"""),"Cartel PVC 40x30 (Prohibido Aparcar)")</f>
        <v>Cartel PVC 40x30 (Prohibido Aparcar)</v>
      </c>
      <c r="C179" s="4">
        <f>IFERROR(__xludf.DUMMYFUNCTION("""COMPUTED_VALUE"""),2.3808)</f>
        <v>2.3808</v>
      </c>
    </row>
    <row r="180">
      <c r="A180" s="4" t="str">
        <f>IFERROR(__xludf.DUMMYFUNCTION("""COMPUTED_VALUE"""),"0248P")</f>
        <v>0248P</v>
      </c>
      <c r="B180" s="4" t="str">
        <f>IFERROR(__xludf.DUMMYFUNCTION("""COMPUTED_VALUE"""),"Cartel PVC 21x29 PROHIBIDO APARCAR")</f>
        <v>Cartel PVC 21x29 PROHIBIDO APARCAR</v>
      </c>
      <c r="C180" s="4">
        <f>IFERROR(__xludf.DUMMYFUNCTION("""COMPUTED_VALUE"""),1.536)</f>
        <v>1.536</v>
      </c>
    </row>
    <row r="181">
      <c r="A181" s="4" t="str">
        <f>IFERROR(__xludf.DUMMYFUNCTION("""COMPUTED_VALUE"""),"249")</f>
        <v>249</v>
      </c>
      <c r="B181" s="4" t="str">
        <f>IFERROR(__xludf.DUMMYFUNCTION("""COMPUTED_VALUE"""),"Cartel PVC 40x30 STOP")</f>
        <v>Cartel PVC 40x30 STOP</v>
      </c>
      <c r="C181" s="4">
        <f>IFERROR(__xludf.DUMMYFUNCTION("""COMPUTED_VALUE"""),2.3808)</f>
        <v>2.3808</v>
      </c>
    </row>
    <row r="182">
      <c r="A182" s="4" t="str">
        <f>IFERROR(__xludf.DUMMYFUNCTION("""COMPUTED_VALUE"""),"0249P")</f>
        <v>0249P</v>
      </c>
      <c r="B182" s="4" t="str">
        <f>IFERROR(__xludf.DUMMYFUNCTION("""COMPUTED_VALUE"""),"Cartel PVC 21x29 STOP")</f>
        <v>Cartel PVC 21x29 STOP</v>
      </c>
      <c r="C182" s="4">
        <f>IFERROR(__xludf.DUMMYFUNCTION("""COMPUTED_VALUE"""),1.536)</f>
        <v>1.536</v>
      </c>
    </row>
    <row r="183">
      <c r="A183" s="4" t="str">
        <f>IFERROR(__xludf.DUMMYFUNCTION("""COMPUTED_VALUE"""),"250")</f>
        <v>250</v>
      </c>
      <c r="B183" s="4" t="str">
        <f>IFERROR(__xludf.DUMMYFUNCTION("""COMPUTED_VALUE"""),"Cartel PVC 40x30 (Peligro Indefinido)")</f>
        <v>Cartel PVC 40x30 (Peligro Indefinido)</v>
      </c>
      <c r="C183" s="4">
        <f>IFERROR(__xludf.DUMMYFUNCTION("""COMPUTED_VALUE"""),2.3808)</f>
        <v>2.3808</v>
      </c>
    </row>
    <row r="184">
      <c r="A184" s="4" t="str">
        <f>IFERROR(__xludf.DUMMYFUNCTION("""COMPUTED_VALUE"""),"0250P")</f>
        <v>0250P</v>
      </c>
      <c r="B184" s="4" t="str">
        <f>IFERROR(__xludf.DUMMYFUNCTION("""COMPUTED_VALUE"""),"Cartel PVC 21x29 PELIGRO")</f>
        <v>Cartel PVC 21x29 PELIGRO</v>
      </c>
      <c r="C184" s="4">
        <f>IFERROR(__xludf.DUMMYFUNCTION("""COMPUTED_VALUE"""),1.536)</f>
        <v>1.536</v>
      </c>
    </row>
    <row r="185">
      <c r="A185" s="4" t="str">
        <f>IFERROR(__xludf.DUMMYFUNCTION("""COMPUTED_VALUE"""),"251")</f>
        <v>251</v>
      </c>
      <c r="B185" s="4" t="str">
        <f>IFERROR(__xludf.DUMMYFUNCTION("""COMPUTED_VALUE"""),"Cartel PVC 40x30 (Vado Permanente)")</f>
        <v>Cartel PVC 40x30 (Vado Permanente)</v>
      </c>
      <c r="C185" s="4">
        <f>IFERROR(__xludf.DUMMYFUNCTION("""COMPUTED_VALUE"""),2.3808)</f>
        <v>2.3808</v>
      </c>
    </row>
    <row r="186">
      <c r="A186" s="4" t="str">
        <f>IFERROR(__xludf.DUMMYFUNCTION("""COMPUTED_VALUE"""),"0251P")</f>
        <v>0251P</v>
      </c>
      <c r="B186" s="4" t="str">
        <f>IFERROR(__xludf.DUMMYFUNCTION("""COMPUTED_VALUE"""),"Cartel PVC 21x29 VADO PERMANENTE")</f>
        <v>Cartel PVC 21x29 VADO PERMANENTE</v>
      </c>
      <c r="C186" s="4">
        <f>IFERROR(__xludf.DUMMYFUNCTION("""COMPUTED_VALUE"""),1.536)</f>
        <v>1.536</v>
      </c>
    </row>
    <row r="187">
      <c r="A187" s="4" t="str">
        <f>IFERROR(__xludf.DUMMYFUNCTION("""COMPUTED_VALUE"""),"252")</f>
        <v>252</v>
      </c>
      <c r="B187" s="4" t="str">
        <f>IFERROR(__xludf.DUMMYFUNCTION("""COMPUTED_VALUE"""),"Cartel PVC 40x30 (Riesgo Atrapamiento)")</f>
        <v>Cartel PVC 40x30 (Riesgo Atrapamiento)</v>
      </c>
      <c r="C187" s="4">
        <f>IFERROR(__xludf.DUMMYFUNCTION("""COMPUTED_VALUE"""),2.3808)</f>
        <v>2.3808</v>
      </c>
    </row>
    <row r="188">
      <c r="A188" s="4" t="str">
        <f>IFERROR(__xludf.DUMMYFUNCTION("""COMPUTED_VALUE"""),"0252P")</f>
        <v>0252P</v>
      </c>
      <c r="B188" s="4" t="str">
        <f>IFERROR(__xludf.DUMMYFUNCTION("""COMPUTED_VALUE"""),"Cartel PVC 21x29 ATENCION RIESGO DE ATRAPAMIENTO")</f>
        <v>Cartel PVC 21x29 ATENCION RIESGO DE ATRAPAMIENTO</v>
      </c>
      <c r="C188" s="4">
        <f>IFERROR(__xludf.DUMMYFUNCTION("""COMPUTED_VALUE"""),1.536)</f>
        <v>1.536</v>
      </c>
    </row>
    <row r="189">
      <c r="A189" s="4" t="str">
        <f>IFERROR(__xludf.DUMMYFUNCTION("""COMPUTED_VALUE"""),"253")</f>
        <v>253</v>
      </c>
      <c r="B189" s="4" t="str">
        <f>IFERROR(__xludf.DUMMYFUNCTION("""COMPUTED_VALUE"""),"Cartel PVC 40x30 (Proh. paso empresa)")</f>
        <v>Cartel PVC 40x30 (Proh. paso empresa)</v>
      </c>
      <c r="C189" s="4">
        <f>IFERROR(__xludf.DUMMYFUNCTION("""COMPUTED_VALUE"""),2.3808)</f>
        <v>2.3808</v>
      </c>
    </row>
    <row r="190">
      <c r="A190" s="4" t="str">
        <f>IFERROR(__xludf.DUMMYFUNCTION("""COMPUTED_VALUE"""),"0253P")</f>
        <v>0253P</v>
      </c>
      <c r="B190" s="4" t="str">
        <f>IFERROR(__xludf.DUMMYFUNCTION("""COMPUTED_VALUE"""),"Cartel PVC 21x29 PROHIBIDO PASO PERSONA AJENA")</f>
        <v>Cartel PVC 21x29 PROHIBIDO PASO PERSONA AJENA</v>
      </c>
      <c r="C190" s="4">
        <f>IFERROR(__xludf.DUMMYFUNCTION("""COMPUTED_VALUE"""),1.536)</f>
        <v>1.536</v>
      </c>
    </row>
    <row r="191">
      <c r="A191" s="4" t="str">
        <f>IFERROR(__xludf.DUMMYFUNCTION("""COMPUTED_VALUE"""),"255")</f>
        <v>255</v>
      </c>
      <c r="B191" s="4" t="str">
        <f>IFERROR(__xludf.DUMMYFUNCTION("""COMPUTED_VALUE"""),"Cartel PVC 40x30 (Temperatura elevada)")</f>
        <v>Cartel PVC 40x30 (Temperatura elevada)</v>
      </c>
      <c r="C191" s="4">
        <f>IFERROR(__xludf.DUMMYFUNCTION("""COMPUTED_VALUE"""),2.3808)</f>
        <v>2.3808</v>
      </c>
    </row>
    <row r="192">
      <c r="A192" s="4" t="str">
        <f>IFERROR(__xludf.DUMMYFUNCTION("""COMPUTED_VALUE"""),"0255P")</f>
        <v>0255P</v>
      </c>
      <c r="B192" s="4" t="str">
        <f>IFERROR(__xludf.DUMMYFUNCTION("""COMPUTED_VALUE"""),"Cartel PVC 21x29 TEMPERATURA ELEVADA")</f>
        <v>Cartel PVC 21x29 TEMPERATURA ELEVADA</v>
      </c>
      <c r="C192" s="4">
        <f>IFERROR(__xludf.DUMMYFUNCTION("""COMPUTED_VALUE"""),1.536)</f>
        <v>1.536</v>
      </c>
    </row>
    <row r="193">
      <c r="A193" s="4" t="str">
        <f>IFERROR(__xludf.DUMMYFUNCTION("""COMPUTED_VALUE"""),"256")</f>
        <v>256</v>
      </c>
      <c r="B193" s="4" t="str">
        <f>IFERROR(__xludf.DUMMYFUNCTION("""COMPUTED_VALUE"""),"Cartel PVC 40x30 Fotolum. Botiquin")</f>
        <v>Cartel PVC 40x30 Fotolum. Botiquin</v>
      </c>
      <c r="C193" s="4">
        <f>IFERROR(__xludf.DUMMYFUNCTION("""COMPUTED_VALUE"""),3.2159999999999997)</f>
        <v>3.216</v>
      </c>
    </row>
    <row r="194">
      <c r="A194" s="4" t="str">
        <f>IFERROR(__xludf.DUMMYFUNCTION("""COMPUTED_VALUE"""),"257")</f>
        <v>257</v>
      </c>
      <c r="B194" s="4" t="str">
        <f>IFERROR(__xludf.DUMMYFUNCTION("""COMPUTED_VALUE"""),"Cartel PVC 40x30 (Riesgo desprendimiento)")</f>
        <v>Cartel PVC 40x30 (Riesgo desprendimiento)</v>
      </c>
      <c r="C194" s="4">
        <f>IFERROR(__xludf.DUMMYFUNCTION("""COMPUTED_VALUE"""),2.3808)</f>
        <v>2.3808</v>
      </c>
    </row>
    <row r="195">
      <c r="A195" s="4" t="str">
        <f>IFERROR(__xludf.DUMMYFUNCTION("""COMPUTED_VALUE"""),"0257P")</f>
        <v>0257P</v>
      </c>
      <c r="B195" s="4" t="str">
        <f>IFERROR(__xludf.DUMMYFUNCTION("""COMPUTED_VALUE"""),"Cartel PVC 21x29 RIESGO DESPRENDIMIENTOS")</f>
        <v>Cartel PVC 21x29 RIESGO DESPRENDIMIENTOS</v>
      </c>
      <c r="C195" s="4">
        <f>IFERROR(__xludf.DUMMYFUNCTION("""COMPUTED_VALUE"""),1.536)</f>
        <v>1.536</v>
      </c>
    </row>
    <row r="196">
      <c r="A196" s="4" t="str">
        <f>IFERROR(__xludf.DUMMYFUNCTION("""COMPUTED_VALUE"""),"0258A")</f>
        <v>0258A</v>
      </c>
      <c r="B196" s="4" t="str">
        <f>IFERROR(__xludf.DUMMYFUNCTION("""COMPUTED_VALUE"""),"Cartel PVC 21x30 Fotolum. Pulsador de Alarma")</f>
        <v>Cartel PVC 21x30 Fotolum. Pulsador de Alarma</v>
      </c>
      <c r="C196" s="4">
        <f>IFERROR(__xludf.DUMMYFUNCTION("""COMPUTED_VALUE"""),2.4192)</f>
        <v>2.4192</v>
      </c>
    </row>
    <row r="197">
      <c r="A197" s="4" t="str">
        <f>IFERROR(__xludf.DUMMYFUNCTION("""COMPUTED_VALUE"""),"0258B")</f>
        <v>0258B</v>
      </c>
      <c r="B197" s="4" t="str">
        <f>IFERROR(__xludf.DUMMYFUNCTION("""COMPUTED_VALUE"""),"Cartel PVC 40x30 Fotolum. Pulsador de Alarma")</f>
        <v>Cartel PVC 40x30 Fotolum. Pulsador de Alarma</v>
      </c>
      <c r="C197" s="4">
        <f>IFERROR(__xludf.DUMMYFUNCTION("""COMPUTED_VALUE"""),2.976)</f>
        <v>2.976</v>
      </c>
    </row>
    <row r="198">
      <c r="A198" s="4" t="str">
        <f>IFERROR(__xludf.DUMMYFUNCTION("""COMPUTED_VALUE"""),"259")</f>
        <v>259</v>
      </c>
      <c r="B198" s="4" t="str">
        <f>IFERROR(__xludf.DUMMYFUNCTION("""COMPUTED_VALUE"""),"Cartel PVC 40x30 Prohib. depositar materiales")</f>
        <v>Cartel PVC 40x30 Prohib. depositar materiales</v>
      </c>
      <c r="C198" s="4">
        <f>IFERROR(__xludf.DUMMYFUNCTION("""COMPUTED_VALUE"""),2.3808)</f>
        <v>2.3808</v>
      </c>
    </row>
    <row r="199">
      <c r="A199" s="4" t="str">
        <f>IFERROR(__xludf.DUMMYFUNCTION("""COMPUTED_VALUE"""),"0259P")</f>
        <v>0259P</v>
      </c>
      <c r="B199" s="4" t="str">
        <f>IFERROR(__xludf.DUMMYFUNCTION("""COMPUTED_VALUE"""),"Cartel PVC 21x29 PROHIBIDO DEPOSITAR MATERIALES")</f>
        <v>Cartel PVC 21x29 PROHIBIDO DEPOSITAR MATERIALES</v>
      </c>
      <c r="C199" s="4">
        <f>IFERROR(__xludf.DUMMYFUNCTION("""COMPUTED_VALUE"""),1.536)</f>
        <v>1.536</v>
      </c>
    </row>
    <row r="200">
      <c r="A200" s="4" t="str">
        <f>IFERROR(__xludf.DUMMYFUNCTION("""COMPUTED_VALUE"""),"260")</f>
        <v>260</v>
      </c>
      <c r="B200" s="4" t="str">
        <f>IFERROR(__xludf.DUMMYFUNCTION("""COMPUTED_VALUE"""),"Cartel PVC 40x30 Caida de Objetos")</f>
        <v>Cartel PVC 40x30 Caida de Objetos</v>
      </c>
      <c r="C200" s="4">
        <f>IFERROR(__xludf.DUMMYFUNCTION("""COMPUTED_VALUE"""),2.3808)</f>
        <v>2.3808</v>
      </c>
    </row>
    <row r="201">
      <c r="A201" s="4" t="str">
        <f>IFERROR(__xludf.DUMMYFUNCTION("""COMPUTED_VALUE"""),"0260P")</f>
        <v>0260P</v>
      </c>
      <c r="B201" s="4" t="str">
        <f>IFERROR(__xludf.DUMMYFUNCTION("""COMPUTED_VALUE"""),"Cartel PVC 21x29 PELIGRO CAIDA DE OBJETOS")</f>
        <v>Cartel PVC 21x29 PELIGRO CAIDA DE OBJETOS</v>
      </c>
      <c r="C201" s="4">
        <f>IFERROR(__xludf.DUMMYFUNCTION("""COMPUTED_VALUE"""),1.536)</f>
        <v>1.536</v>
      </c>
    </row>
    <row r="202">
      <c r="A202" s="4" t="str">
        <f>IFERROR(__xludf.DUMMYFUNCTION("""COMPUTED_VALUE"""),"261")</f>
        <v>261</v>
      </c>
      <c r="B202" s="4" t="str">
        <f>IFERROR(__xludf.DUMMYFUNCTION("""COMPUTED_VALUE"""),"Cartel PVC 40x30 Fotolum. Aseos Mujeres")</f>
        <v>Cartel PVC 40x30 Fotolum. Aseos Mujeres</v>
      </c>
      <c r="C202" s="4">
        <f>IFERROR(__xludf.DUMMYFUNCTION("""COMPUTED_VALUE"""),3.2159999999999997)</f>
        <v>3.216</v>
      </c>
    </row>
    <row r="203">
      <c r="A203" s="4" t="str">
        <f>IFERROR(__xludf.DUMMYFUNCTION("""COMPUTED_VALUE"""),"262")</f>
        <v>262</v>
      </c>
      <c r="B203" s="4" t="str">
        <f>IFERROR(__xludf.DUMMYFUNCTION("""COMPUTED_VALUE"""),"Cartel PVC 40x30 Fotolum. Aseos hombres")</f>
        <v>Cartel PVC 40x30 Fotolum. Aseos hombres</v>
      </c>
      <c r="C203" s="4">
        <f>IFERROR(__xludf.DUMMYFUNCTION("""COMPUTED_VALUE"""),3.2159999999999997)</f>
        <v>3.216</v>
      </c>
    </row>
    <row r="204">
      <c r="A204" s="4" t="str">
        <f>IFERROR(__xludf.DUMMYFUNCTION("""COMPUTED_VALUE"""),"263")</f>
        <v>263</v>
      </c>
      <c r="B204" s="4" t="str">
        <f>IFERROR(__xludf.DUMMYFUNCTION("""COMPUTED_VALUE"""),"Cartel PVC 40x30 Fotolum.Aseos Mixtos")</f>
        <v>Cartel PVC 40x30 Fotolum.Aseos Mixtos</v>
      </c>
      <c r="C204" s="4">
        <f>IFERROR(__xludf.DUMMYFUNCTION("""COMPUTED_VALUE"""),3.2159999999999997)</f>
        <v>3.216</v>
      </c>
    </row>
    <row r="205">
      <c r="A205" s="4" t="str">
        <f>IFERROR(__xludf.DUMMYFUNCTION("""COMPUTED_VALUE"""),"264")</f>
        <v>264</v>
      </c>
      <c r="B205" s="4" t="str">
        <f>IFERROR(__xludf.DUMMYFUNCTION("""COMPUTED_VALUE"""),"Cartel PVC 40X30 Fotolum. Salida de Emergencia")</f>
        <v>Cartel PVC 40X30 Fotolum. Salida de Emergencia</v>
      </c>
      <c r="C205" s="4">
        <f>IFERROR(__xludf.DUMMYFUNCTION("""COMPUTED_VALUE"""),3.2159999999999997)</f>
        <v>3.216</v>
      </c>
    </row>
    <row r="206">
      <c r="A206" s="4" t="str">
        <f>IFERROR(__xludf.DUMMYFUNCTION("""COMPUTED_VALUE"""),"265")</f>
        <v>265</v>
      </c>
      <c r="B206" s="4" t="str">
        <f>IFERROR(__xludf.DUMMYFUNCTION("""COMPUTED_VALUE"""),"Cartel PVC 40x30 Perro Peligroso")</f>
        <v>Cartel PVC 40x30 Perro Peligroso</v>
      </c>
      <c r="C206" s="4">
        <f>IFERROR(__xludf.DUMMYFUNCTION("""COMPUTED_VALUE"""),2.3808)</f>
        <v>2.3808</v>
      </c>
    </row>
    <row r="207">
      <c r="A207" s="4" t="str">
        <f>IFERROR(__xludf.DUMMYFUNCTION("""COMPUTED_VALUE"""),"0265P")</f>
        <v>0265P</v>
      </c>
      <c r="B207" s="4" t="str">
        <f>IFERROR(__xludf.DUMMYFUNCTION("""COMPUTED_VALUE"""),"Cartel PVC 21x29 PERRO PELIGROSO")</f>
        <v>Cartel PVC 21x29 PERRO PELIGROSO</v>
      </c>
      <c r="C207" s="4">
        <f>IFERROR(__xludf.DUMMYFUNCTION("""COMPUTED_VALUE"""),1.536)</f>
        <v>1.536</v>
      </c>
    </row>
    <row r="208">
      <c r="A208" s="4" t="str">
        <f>IFERROR(__xludf.DUMMYFUNCTION("""COMPUTED_VALUE"""),"266")</f>
        <v>266</v>
      </c>
      <c r="B208" s="4" t="str">
        <f>IFERROR(__xludf.DUMMYFUNCTION("""COMPUTED_VALUE"""),"Cartel PVC 40x30 Peligro zona minera")</f>
        <v>Cartel PVC 40x30 Peligro zona minera</v>
      </c>
      <c r="C208" s="4">
        <f>IFERROR(__xludf.DUMMYFUNCTION("""COMPUTED_VALUE"""),2.3808)</f>
        <v>2.3808</v>
      </c>
    </row>
    <row r="209">
      <c r="A209" s="4" t="str">
        <f>IFERROR(__xludf.DUMMYFUNCTION("""COMPUTED_VALUE"""),"0266P")</f>
        <v>0266P</v>
      </c>
      <c r="B209" s="4" t="str">
        <f>IFERROR(__xludf.DUMMYFUNCTION("""COMPUTED_VALUE"""),"Cartel PVC 21x29 PELIGRO ZONA MINERA")</f>
        <v>Cartel PVC 21x29 PELIGRO ZONA MINERA</v>
      </c>
      <c r="C209" s="4">
        <f>IFERROR(__xludf.DUMMYFUNCTION("""COMPUTED_VALUE"""),1.536)</f>
        <v>1.536</v>
      </c>
    </row>
    <row r="210">
      <c r="A210" s="4" t="str">
        <f>IFERROR(__xludf.DUMMYFUNCTION("""COMPUTED_VALUE"""),"267")</f>
        <v>267</v>
      </c>
      <c r="B210" s="4" t="str">
        <f>IFERROR(__xludf.DUMMYFUNCTION("""COMPUTED_VALUE"""),"Cartel PVC 40x30 Vehiculo Pesado")</f>
        <v>Cartel PVC 40x30 Vehiculo Pesado</v>
      </c>
      <c r="C210" s="4">
        <f>IFERROR(__xludf.DUMMYFUNCTION("""COMPUTED_VALUE"""),2.3808)</f>
        <v>2.3808</v>
      </c>
    </row>
    <row r="211">
      <c r="A211" s="4" t="str">
        <f>IFERROR(__xludf.DUMMYFUNCTION("""COMPUTED_VALUE"""),"0267P")</f>
        <v>0267P</v>
      </c>
      <c r="B211" s="4" t="str">
        <f>IFERROR(__xludf.DUMMYFUNCTION("""COMPUTED_VALUE"""),"Cartel PVC 21x29 VEHICULO PESADO")</f>
        <v>Cartel PVC 21x29 VEHICULO PESADO</v>
      </c>
      <c r="C211" s="4">
        <f>IFERROR(__xludf.DUMMYFUNCTION("""COMPUTED_VALUE"""),1.536)</f>
        <v>1.536</v>
      </c>
    </row>
    <row r="212">
      <c r="A212" s="4" t="str">
        <f>IFERROR(__xludf.DUMMYFUNCTION("""COMPUTED_VALUE"""),"268")</f>
        <v>268</v>
      </c>
      <c r="B212" s="4" t="str">
        <f>IFERROR(__xludf.DUMMYFUNCTION("""COMPUTED_VALUE"""),"Cartel PVC 40x30 Peligro Expulsion de Material")</f>
        <v>Cartel PVC 40x30 Peligro Expulsion de Material</v>
      </c>
      <c r="C212" s="4">
        <f>IFERROR(__xludf.DUMMYFUNCTION("""COMPUTED_VALUE"""),2.3808)</f>
        <v>2.3808</v>
      </c>
    </row>
    <row r="213">
      <c r="A213" s="4" t="str">
        <f>IFERROR(__xludf.DUMMYFUNCTION("""COMPUTED_VALUE"""),"0268P")</f>
        <v>0268P</v>
      </c>
      <c r="B213" s="4" t="str">
        <f>IFERROR(__xludf.DUMMYFUNCTION("""COMPUTED_VALUE"""),"Cartel PVC 21x29 PELIGRO EXPUL.MATERIAL")</f>
        <v>Cartel PVC 21x29 PELIGRO EXPUL.MATERIAL</v>
      </c>
      <c r="C213" s="4">
        <f>IFERROR(__xludf.DUMMYFUNCTION("""COMPUTED_VALUE"""),1.536)</f>
        <v>1.536</v>
      </c>
    </row>
    <row r="214">
      <c r="A214" s="4" t="str">
        <f>IFERROR(__xludf.DUMMYFUNCTION("""COMPUTED_VALUE"""),"269")</f>
        <v>269</v>
      </c>
      <c r="B214" s="4" t="str">
        <f>IFERROR(__xludf.DUMMYFUNCTION("""COMPUTED_VALUE"""),"Cartel PVC 40x30 Atencion Mecanismo Accionado a distancia")</f>
        <v>Cartel PVC 40x30 Atencion Mecanismo Accionado a distancia</v>
      </c>
      <c r="C214" s="4">
        <f>IFERROR(__xludf.DUMMYFUNCTION("""COMPUTED_VALUE"""),2.3808)</f>
        <v>2.3808</v>
      </c>
    </row>
    <row r="215">
      <c r="A215" s="4" t="str">
        <f>IFERROR(__xludf.DUMMYFUNCTION("""COMPUTED_VALUE"""),"0269P")</f>
        <v>0269P</v>
      </c>
      <c r="B215" s="4" t="str">
        <f>IFERROR(__xludf.DUMMYFUNCTION("""COMPUTED_VALUE"""),"Cartel PVC 21x29 ATENCION MECANISMO ACCION.")</f>
        <v>Cartel PVC 21x29 ATENCION MECANISMO ACCION.</v>
      </c>
      <c r="C215" s="4">
        <f>IFERROR(__xludf.DUMMYFUNCTION("""COMPUTED_VALUE"""),1.536)</f>
        <v>1.536</v>
      </c>
    </row>
    <row r="216">
      <c r="A216" s="4" t="str">
        <f>IFERROR(__xludf.DUMMYFUNCTION("""COMPUTED_VALUE"""),"270")</f>
        <v>270</v>
      </c>
      <c r="B216" s="4" t="str">
        <f>IFERROR(__xludf.DUMMYFUNCTION("""COMPUTED_VALUE"""),"Cartel PVC 40x30 Atencion Grua Accionada a distan.")</f>
        <v>Cartel PVC 40x30 Atencion Grua Accionada a distan.</v>
      </c>
      <c r="C216" s="4">
        <f>IFERROR(__xludf.DUMMYFUNCTION("""COMPUTED_VALUE"""),2.3808)</f>
        <v>2.3808</v>
      </c>
    </row>
    <row r="217">
      <c r="A217" s="4" t="str">
        <f>IFERROR(__xludf.DUMMYFUNCTION("""COMPUTED_VALUE"""),"0270P")</f>
        <v>0270P</v>
      </c>
      <c r="B217" s="4" t="str">
        <f>IFERROR(__xludf.DUMMYFUNCTION("""COMPUTED_VALUE"""),"Cartel PVC 21x29 ATENCION GRUA ACCIONADA A")</f>
        <v>Cartel PVC 21x29 ATENCION GRUA ACCIONADA A</v>
      </c>
      <c r="C217" s="4">
        <f>IFERROR(__xludf.DUMMYFUNCTION("""COMPUTED_VALUE"""),1.536)</f>
        <v>1.536</v>
      </c>
    </row>
    <row r="218">
      <c r="A218" s="4" t="str">
        <f>IFERROR(__xludf.DUMMYFUNCTION("""COMPUTED_VALUE"""),"271")</f>
        <v>271</v>
      </c>
      <c r="B218" s="4" t="str">
        <f>IFERROR(__xludf.DUMMYFUNCTION("""COMPUTED_VALUE"""),"Cartel PVC 40x30 EX 40x30 cm")</f>
        <v>Cartel PVC 40x30 EX 40x30 cm</v>
      </c>
      <c r="C218" s="4">
        <f>IFERROR(__xludf.DUMMYFUNCTION("""COMPUTED_VALUE"""),2.3808)</f>
        <v>2.3808</v>
      </c>
    </row>
    <row r="219">
      <c r="A219" s="4" t="str">
        <f>IFERROR(__xludf.DUMMYFUNCTION("""COMPUTED_VALUE"""),"0271P")</f>
        <v>0271P</v>
      </c>
      <c r="B219" s="4" t="str">
        <f>IFERROR(__xludf.DUMMYFUNCTION("""COMPUTED_VALUE"""),"Cartel PVC 21x29 EX 21x29 cm")</f>
        <v>Cartel PVC 21x29 EX 21x29 cm</v>
      </c>
      <c r="C219" s="4">
        <f>IFERROR(__xludf.DUMMYFUNCTION("""COMPUTED_VALUE"""),1.536)</f>
        <v>1.536</v>
      </c>
    </row>
    <row r="220">
      <c r="A220" s="4" t="str">
        <f>IFERROR(__xludf.DUMMYFUNCTION("""COMPUTED_VALUE"""),"272")</f>
        <v>272</v>
      </c>
      <c r="B220" s="4" t="str">
        <f>IFERROR(__xludf.DUMMYFUNCTION("""COMPUTED_VALUE"""),"Cartel PVC 40x30 Peligro Voladuras")</f>
        <v>Cartel PVC 40x30 Peligro Voladuras</v>
      </c>
      <c r="C220" s="4">
        <f>IFERROR(__xludf.DUMMYFUNCTION("""COMPUTED_VALUE"""),2.3808)</f>
        <v>2.3808</v>
      </c>
    </row>
    <row r="221">
      <c r="A221" s="4" t="str">
        <f>IFERROR(__xludf.DUMMYFUNCTION("""COMPUTED_VALUE"""),"0272P")</f>
        <v>0272P</v>
      </c>
      <c r="B221" s="4" t="str">
        <f>IFERROR(__xludf.DUMMYFUNCTION("""COMPUTED_VALUE"""),"Cartel PVC 21x29 PELIGRO VOLADURA")</f>
        <v>Cartel PVC 21x29 PELIGRO VOLADURA</v>
      </c>
      <c r="C221" s="4">
        <f>IFERROR(__xludf.DUMMYFUNCTION("""COMPUTED_VALUE"""),1.536)</f>
        <v>1.536</v>
      </c>
    </row>
    <row r="222">
      <c r="A222" s="4" t="str">
        <f>IFERROR(__xludf.DUMMYFUNCTION("""COMPUTED_VALUE"""),"273")</f>
        <v>273</v>
      </c>
      <c r="B222" s="4" t="str">
        <f>IFERROR(__xludf.DUMMYFUNCTION("""COMPUTED_VALUE"""),"Cartel PVC 40x30 Prohib. Manipular valvula")</f>
        <v>Cartel PVC 40x30 Prohib. Manipular valvula</v>
      </c>
      <c r="C222" s="4">
        <f>IFERROR(__xludf.DUMMYFUNCTION("""COMPUTED_VALUE"""),2.3808)</f>
        <v>2.3808</v>
      </c>
    </row>
    <row r="223">
      <c r="A223" s="4" t="str">
        <f>IFERROR(__xludf.DUMMYFUNCTION("""COMPUTED_VALUE"""),"0273P")</f>
        <v>0273P</v>
      </c>
      <c r="B223" s="4" t="str">
        <f>IFERROR(__xludf.DUMMYFUNCTION("""COMPUTED_VALUE"""),"Cartel PVC 21x29 PROHIBIDO MANIPULAR LA VALVULA")</f>
        <v>Cartel PVC 21x29 PROHIBIDO MANIPULAR LA VALVULA</v>
      </c>
      <c r="C223" s="4">
        <f>IFERROR(__xludf.DUMMYFUNCTION("""COMPUTED_VALUE"""),1.536)</f>
        <v>1.536</v>
      </c>
    </row>
    <row r="224">
      <c r="A224" s="4" t="str">
        <f>IFERROR(__xludf.DUMMYFUNCTION("""COMPUTED_VALUE"""),"274")</f>
        <v>274</v>
      </c>
      <c r="B224" s="4" t="str">
        <f>IFERROR(__xludf.DUMMYFUNCTION("""COMPUTED_VALUE"""),"Cartel PVC 40x30 Prohibido Engrasar en funcionamiento")</f>
        <v>Cartel PVC 40x30 Prohibido Engrasar en funcionamiento</v>
      </c>
      <c r="C224" s="4">
        <f>IFERROR(__xludf.DUMMYFUNCTION("""COMPUTED_VALUE"""),2.3808)</f>
        <v>2.3808</v>
      </c>
    </row>
    <row r="225">
      <c r="A225" s="4" t="str">
        <f>IFERROR(__xludf.DUMMYFUNCTION("""COMPUTED_VALUE"""),"0274P")</f>
        <v>0274P</v>
      </c>
      <c r="B225" s="4" t="str">
        <f>IFERROR(__xludf.DUMMYFUNCTION("""COMPUTED_VALUE"""),"Cartel PVC 21x29 PROHIBIDO ENGRASAR O REPARAR")</f>
        <v>Cartel PVC 21x29 PROHIBIDO ENGRASAR O REPARAR</v>
      </c>
      <c r="C225" s="4">
        <f>IFERROR(__xludf.DUMMYFUNCTION("""COMPUTED_VALUE"""),1.536)</f>
        <v>1.536</v>
      </c>
    </row>
    <row r="226">
      <c r="A226" s="4" t="str">
        <f>IFERROR(__xludf.DUMMYFUNCTION("""COMPUTED_VALUE"""),"275")</f>
        <v>275</v>
      </c>
      <c r="B226" s="4" t="str">
        <f>IFERROR(__xludf.DUMMYFUNCTION("""COMPUTED_VALUE"""),"Cartel PVC 40x30 Prohib. efectuar reparaciones pers. no")</f>
        <v>Cartel PVC 40x30 Prohib. efectuar reparaciones pers. no</v>
      </c>
      <c r="C226" s="4">
        <f>IFERROR(__xludf.DUMMYFUNCTION("""COMPUTED_VALUE"""),2.3808)</f>
        <v>2.3808</v>
      </c>
    </row>
    <row r="227">
      <c r="A227" s="4" t="str">
        <f>IFERROR(__xludf.DUMMYFUNCTION("""COMPUTED_VALUE"""),"0275P")</f>
        <v>0275P</v>
      </c>
      <c r="B227" s="4" t="str">
        <f>IFERROR(__xludf.DUMMYFUNCTION("""COMPUTED_VALUE"""),"Cartel PVC 21x29 PROHIBIDO REPARACIONES PERSONAL")</f>
        <v>Cartel PVC 21x29 PROHIBIDO REPARACIONES PERSONAL</v>
      </c>
      <c r="C227" s="4">
        <f>IFERROR(__xludf.DUMMYFUNCTION("""COMPUTED_VALUE"""),1.536)</f>
        <v>1.536</v>
      </c>
    </row>
    <row r="228">
      <c r="A228" s="4" t="str">
        <f>IFERROR(__xludf.DUMMYFUNCTION("""COMPUTED_VALUE"""),"276")</f>
        <v>276</v>
      </c>
      <c r="B228" s="4" t="str">
        <f>IFERROR(__xludf.DUMMYFUNCTION("""COMPUTED_VALUE"""),"Cartel PVC 40x30 Prohib. Manipular maquina en")</f>
        <v>Cartel PVC 40x30 Prohib. Manipular maquina en</v>
      </c>
      <c r="C228" s="4">
        <f>IFERROR(__xludf.DUMMYFUNCTION("""COMPUTED_VALUE"""),2.3808)</f>
        <v>2.3808</v>
      </c>
    </row>
    <row r="229">
      <c r="A229" s="4" t="str">
        <f>IFERROR(__xludf.DUMMYFUNCTION("""COMPUTED_VALUE"""),"0276P")</f>
        <v>0276P</v>
      </c>
      <c r="B229" s="4" t="str">
        <f>IFERROR(__xludf.DUMMYFUNCTION("""COMPUTED_VALUE"""),"Cartel PVC 21x29 PROHIBIDO MANIPULAR LA MAQUINA EN")</f>
        <v>Cartel PVC 21x29 PROHIBIDO MANIPULAR LA MAQUINA EN</v>
      </c>
      <c r="C229" s="4">
        <f>IFERROR(__xludf.DUMMYFUNCTION("""COMPUTED_VALUE"""),1.536)</f>
        <v>1.536</v>
      </c>
    </row>
    <row r="230">
      <c r="A230" s="4" t="str">
        <f>IFERROR(__xludf.DUMMYFUNCTION("""COMPUTED_VALUE"""),"277")</f>
        <v>277</v>
      </c>
      <c r="B230" s="4" t="str">
        <f>IFERROR(__xludf.DUMMYFUNCTION("""COMPUTED_VALUE"""),"Cartel PVC 40x30 Area de Ruido Peligroso")</f>
        <v>Cartel PVC 40x30 Area de Ruido Peligroso</v>
      </c>
      <c r="C230" s="4">
        <f>IFERROR(__xludf.DUMMYFUNCTION("""COMPUTED_VALUE"""),2.3808)</f>
        <v>2.3808</v>
      </c>
    </row>
    <row r="231">
      <c r="A231" s="4" t="str">
        <f>IFERROR(__xludf.DUMMYFUNCTION("""COMPUTED_VALUE"""),"0277P")</f>
        <v>0277P</v>
      </c>
      <c r="B231" s="4" t="str">
        <f>IFERROR(__xludf.DUMMYFUNCTION("""COMPUTED_VALUE"""),"Cartel PVC 21x29 ATENCION AREA RUIDO PELIGROSO")</f>
        <v>Cartel PVC 21x29 ATENCION AREA RUIDO PELIGROSO</v>
      </c>
      <c r="C231" s="4">
        <f>IFERROR(__xludf.DUMMYFUNCTION("""COMPUTED_VALUE"""),1.536)</f>
        <v>1.536</v>
      </c>
    </row>
    <row r="232">
      <c r="A232" s="4" t="str">
        <f>IFERROR(__xludf.DUMMYFUNCTION("""COMPUTED_VALUE"""),"278")</f>
        <v>278</v>
      </c>
      <c r="B232" s="4" t="str">
        <f>IFERROR(__xludf.DUMMYFUNCTION("""COMPUTED_VALUE"""),"Cartel PVC 40x30 Prohib. la entrada con perros")</f>
        <v>Cartel PVC 40x30 Prohib. la entrada con perros</v>
      </c>
      <c r="C232" s="4">
        <f>IFERROR(__xludf.DUMMYFUNCTION("""COMPUTED_VALUE"""),2.3808)</f>
        <v>2.3808</v>
      </c>
    </row>
    <row r="233">
      <c r="A233" s="4" t="str">
        <f>IFERROR(__xludf.DUMMYFUNCTION("""COMPUTED_VALUE"""),"0278P")</f>
        <v>0278P</v>
      </c>
      <c r="B233" s="4" t="str">
        <f>IFERROR(__xludf.DUMMYFUNCTION("""COMPUTED_VALUE"""),"Cartel PVC 21x29 PROHIBIDO LA ENTRADA CON PERROS")</f>
        <v>Cartel PVC 21x29 PROHIBIDO LA ENTRADA CON PERROS</v>
      </c>
      <c r="C233" s="4">
        <f>IFERROR(__xludf.DUMMYFUNCTION("""COMPUTED_VALUE"""),1.536)</f>
        <v>1.536</v>
      </c>
    </row>
    <row r="234">
      <c r="A234" s="4" t="str">
        <f>IFERROR(__xludf.DUMMYFUNCTION("""COMPUTED_VALUE"""),"279")</f>
        <v>279</v>
      </c>
      <c r="B234" s="4" t="str">
        <f>IFERROR(__xludf.DUMMYFUNCTION("""COMPUTED_VALUE"""),"Cartel PVC 40x30 Prohibido arrojar objetos")</f>
        <v>Cartel PVC 40x30 Prohibido arrojar objetos</v>
      </c>
      <c r="C234" s="4">
        <f>IFERROR(__xludf.DUMMYFUNCTION("""COMPUTED_VALUE"""),2.3808)</f>
        <v>2.3808</v>
      </c>
    </row>
    <row r="235">
      <c r="A235" s="4" t="str">
        <f>IFERROR(__xludf.DUMMYFUNCTION("""COMPUTED_VALUE"""),"0279P")</f>
        <v>0279P</v>
      </c>
      <c r="B235" s="4" t="str">
        <f>IFERROR(__xludf.DUMMYFUNCTION("""COMPUTED_VALUE"""),"Cartel PVC 21x29 PROHIBIDO ARROJAR OBJETOS AL")</f>
        <v>Cartel PVC 21x29 PROHIBIDO ARROJAR OBJETOS AL</v>
      </c>
      <c r="C235" s="4">
        <f>IFERROR(__xludf.DUMMYFUNCTION("""COMPUTED_VALUE"""),1.536)</f>
        <v>1.536</v>
      </c>
    </row>
    <row r="236">
      <c r="A236" s="4" t="str">
        <f>IFERROR(__xludf.DUMMYFUNCTION("""COMPUTED_VALUE"""),"280")</f>
        <v>280</v>
      </c>
      <c r="B236" s="4" t="str">
        <f>IFERROR(__xludf.DUMMYFUNCTION("""COMPUTED_VALUE"""),"Cartel PVC 40x30 Alto No Pasar")</f>
        <v>Cartel PVC 40x30 Alto No Pasar</v>
      </c>
      <c r="C236" s="4">
        <f>IFERROR(__xludf.DUMMYFUNCTION("""COMPUTED_VALUE"""),2.3808)</f>
        <v>2.3808</v>
      </c>
    </row>
    <row r="237">
      <c r="A237" s="4" t="str">
        <f>IFERROR(__xludf.DUMMYFUNCTION("""COMPUTED_VALUE"""),"0280P")</f>
        <v>0280P</v>
      </c>
      <c r="B237" s="4" t="str">
        <f>IFERROR(__xludf.DUMMYFUNCTION("""COMPUTED_VALUE"""),"Cartel PVC 21x29 ALTO NO PASAR")</f>
        <v>Cartel PVC 21x29 ALTO NO PASAR</v>
      </c>
      <c r="C237" s="4">
        <f>IFERROR(__xludf.DUMMYFUNCTION("""COMPUTED_VALUE"""),1.536)</f>
        <v>1.536</v>
      </c>
    </row>
    <row r="238">
      <c r="A238" s="4" t="str">
        <f>IFERROR(__xludf.DUMMYFUNCTION("""COMPUTED_VALUE"""),"281")</f>
        <v>281</v>
      </c>
      <c r="B238" s="4" t="str">
        <f>IFERROR(__xludf.DUMMYFUNCTION("""COMPUTED_VALUE"""),"Cartel PVC 40x30 Agua no Potable")</f>
        <v>Cartel PVC 40x30 Agua no Potable</v>
      </c>
      <c r="C238" s="4">
        <f>IFERROR(__xludf.DUMMYFUNCTION("""COMPUTED_VALUE"""),2.3808)</f>
        <v>2.3808</v>
      </c>
    </row>
    <row r="239">
      <c r="A239" s="4" t="str">
        <f>IFERROR(__xludf.DUMMYFUNCTION("""COMPUTED_VALUE"""),"0281P")</f>
        <v>0281P</v>
      </c>
      <c r="B239" s="4" t="str">
        <f>IFERROR(__xludf.DUMMYFUNCTION("""COMPUTED_VALUE"""),"Cartel PVC 21x29 AGUA NO POTABLE")</f>
        <v>Cartel PVC 21x29 AGUA NO POTABLE</v>
      </c>
      <c r="C239" s="4">
        <f>IFERROR(__xludf.DUMMYFUNCTION("""COMPUTED_VALUE"""),1.536)</f>
        <v>1.536</v>
      </c>
    </row>
    <row r="240">
      <c r="A240" s="4" t="str">
        <f>IFERROR(__xludf.DUMMYFUNCTION("""COMPUTED_VALUE"""),"282")</f>
        <v>282</v>
      </c>
      <c r="B240" s="4" t="str">
        <f>IFERROR(__xludf.DUMMYFUNCTION("""COMPUTED_VALUE"""),"Cartel PVC 40x30 Prohibido El Paso")</f>
        <v>Cartel PVC 40x30 Prohibido El Paso</v>
      </c>
      <c r="C240" s="4">
        <f>IFERROR(__xludf.DUMMYFUNCTION("""COMPUTED_VALUE"""),2.3808)</f>
        <v>2.3808</v>
      </c>
    </row>
    <row r="241">
      <c r="A241" s="4" t="str">
        <f>IFERROR(__xludf.DUMMYFUNCTION("""COMPUTED_VALUE"""),"0282P")</f>
        <v>0282P</v>
      </c>
      <c r="B241" s="4" t="str">
        <f>IFERROR(__xludf.DUMMYFUNCTION("""COMPUTED_VALUE"""),"Cartel PVC 21x29 PROHIBIDO EL PASO")</f>
        <v>Cartel PVC 21x29 PROHIBIDO EL PASO</v>
      </c>
      <c r="C241" s="4">
        <f>IFERROR(__xludf.DUMMYFUNCTION("""COMPUTED_VALUE"""),1.536)</f>
        <v>1.536</v>
      </c>
    </row>
    <row r="242">
      <c r="A242" s="4" t="str">
        <f>IFERROR(__xludf.DUMMYFUNCTION("""COMPUTED_VALUE"""),"283")</f>
        <v>283</v>
      </c>
      <c r="B242" s="4" t="str">
        <f>IFERROR(__xludf.DUMMYFUNCTION("""COMPUTED_VALUE"""),"Cartel PVC 40x30 Prohib. Transportar personas")</f>
        <v>Cartel PVC 40x30 Prohib. Transportar personas</v>
      </c>
      <c r="C242" s="4">
        <f>IFERROR(__xludf.DUMMYFUNCTION("""COMPUTED_VALUE"""),2.3808)</f>
        <v>2.3808</v>
      </c>
    </row>
    <row r="243">
      <c r="A243" s="4" t="str">
        <f>IFERROR(__xludf.DUMMYFUNCTION("""COMPUTED_VALUE"""),"0283P")</f>
        <v>0283P</v>
      </c>
      <c r="B243" s="4" t="str">
        <f>IFERROR(__xludf.DUMMYFUNCTION("""COMPUTED_VALUE"""),"Cartel PVC 21x29 PROHIBIDO TRANSPORTAR PERSONAS")</f>
        <v>Cartel PVC 21x29 PROHIBIDO TRANSPORTAR PERSONAS</v>
      </c>
      <c r="C243" s="4">
        <f>IFERROR(__xludf.DUMMYFUNCTION("""COMPUTED_VALUE"""),1.536)</f>
        <v>1.536</v>
      </c>
    </row>
    <row r="244">
      <c r="A244" s="4" t="str">
        <f>IFERROR(__xludf.DUMMYFUNCTION("""COMPUTED_VALUE"""),"284")</f>
        <v>284</v>
      </c>
      <c r="B244" s="4" t="str">
        <f>IFERROR(__xludf.DUMMYFUNCTION("""COMPUTED_VALUE"""),"Cartel PVC 40x30 Prohib. Situarse debajo de la carga")</f>
        <v>Cartel PVC 40x30 Prohib. Situarse debajo de la carga</v>
      </c>
      <c r="C244" s="4">
        <f>IFERROR(__xludf.DUMMYFUNCTION("""COMPUTED_VALUE"""),2.3808)</f>
        <v>2.3808</v>
      </c>
    </row>
    <row r="245">
      <c r="A245" s="4" t="str">
        <f>IFERROR(__xludf.DUMMYFUNCTION("""COMPUTED_VALUE"""),"0284P")</f>
        <v>0284P</v>
      </c>
      <c r="B245" s="4" t="str">
        <f>IFERROR(__xludf.DUMMYFUNCTION("""COMPUTED_VALUE"""),"Cartel PVC 21x29 PROHIBIDO SITUARSE DEBAJO DE LA")</f>
        <v>Cartel PVC 21x29 PROHIBIDO SITUARSE DEBAJO DE LA</v>
      </c>
      <c r="C245" s="4">
        <f>IFERROR(__xludf.DUMMYFUNCTION("""COMPUTED_VALUE"""),1.536)</f>
        <v>1.536</v>
      </c>
    </row>
    <row r="246">
      <c r="A246" s="4" t="str">
        <f>IFERROR(__xludf.DUMMYFUNCTION("""COMPUTED_VALUE"""),"285")</f>
        <v>285</v>
      </c>
      <c r="B246" s="4" t="str">
        <f>IFERROR(__xludf.DUMMYFUNCTION("""COMPUTED_VALUE"""),"Cartel PVC 40x30 No utilizar en caso de Emergencia")</f>
        <v>Cartel PVC 40x30 No utilizar en caso de Emergencia</v>
      </c>
      <c r="C246" s="4">
        <f>IFERROR(__xludf.DUMMYFUNCTION("""COMPUTED_VALUE"""),2.3808)</f>
        <v>2.3808</v>
      </c>
    </row>
    <row r="247">
      <c r="A247" s="4" t="str">
        <f>IFERROR(__xludf.DUMMYFUNCTION("""COMPUTED_VALUE"""),"0285P")</f>
        <v>0285P</v>
      </c>
      <c r="B247" s="4" t="str">
        <f>IFERROR(__xludf.DUMMYFUNCTION("""COMPUTED_VALUE"""),"Cartel PVC 21X29 NO UTILIZAR EN CASO DE EMERGENCIA")</f>
        <v>Cartel PVC 21X29 NO UTILIZAR EN CASO DE EMERGENCIA</v>
      </c>
      <c r="C247" s="4">
        <f>IFERROR(__xludf.DUMMYFUNCTION("""COMPUTED_VALUE"""),1.536)</f>
        <v>1.536</v>
      </c>
    </row>
    <row r="248">
      <c r="A248" s="4" t="str">
        <f>IFERROR(__xludf.DUMMYFUNCTION("""COMPUTED_VALUE"""),"286")</f>
        <v>286</v>
      </c>
      <c r="B248" s="4" t="str">
        <f>IFERROR(__xludf.DUMMYFUNCTION("""COMPUTED_VALUE"""),"Cartel PVC 40x30 No utilizar Incendio")</f>
        <v>Cartel PVC 40x30 No utilizar Incendio</v>
      </c>
      <c r="C248" s="4">
        <f>IFERROR(__xludf.DUMMYFUNCTION("""COMPUTED_VALUE"""),2.3808)</f>
        <v>2.3808</v>
      </c>
    </row>
    <row r="249">
      <c r="A249" s="4" t="str">
        <f>IFERROR(__xludf.DUMMYFUNCTION("""COMPUTED_VALUE"""),"0286P")</f>
        <v>0286P</v>
      </c>
      <c r="B249" s="4" t="str">
        <f>IFERROR(__xludf.DUMMYFUNCTION("""COMPUTED_VALUE"""),"Cartel PVC 21x29 NO UTILIZAR EN CASO DE INCENDIO")</f>
        <v>Cartel PVC 21x29 NO UTILIZAR EN CASO DE INCENDIO</v>
      </c>
      <c r="C249" s="4">
        <f>IFERROR(__xludf.DUMMYFUNCTION("""COMPUTED_VALUE"""),1.536)</f>
        <v>1.536</v>
      </c>
    </row>
    <row r="250">
      <c r="A250" s="4" t="str">
        <f>IFERROR(__xludf.DUMMYFUNCTION("""COMPUTED_VALUE"""),"287")</f>
        <v>287</v>
      </c>
      <c r="B250" s="4" t="str">
        <f>IFERROR(__xludf.DUMMYFUNCTION("""COMPUTED_VALUE"""),"Cartel PVC 40x30 Atencion Altura Baja")</f>
        <v>Cartel PVC 40x30 Atencion Altura Baja</v>
      </c>
      <c r="C250" s="4">
        <f>IFERROR(__xludf.DUMMYFUNCTION("""COMPUTED_VALUE"""),2.3808)</f>
        <v>2.3808</v>
      </c>
    </row>
    <row r="251">
      <c r="A251" s="4" t="str">
        <f>IFERROR(__xludf.DUMMYFUNCTION("""COMPUTED_VALUE"""),"0287P")</f>
        <v>0287P</v>
      </c>
      <c r="B251" s="4" t="str">
        <f>IFERROR(__xludf.DUMMYFUNCTION("""COMPUTED_VALUE"""),"Cartel PVC 21x29 ATENCION ALTURA BAJA")</f>
        <v>Cartel PVC 21x29 ATENCION ALTURA BAJA</v>
      </c>
      <c r="C251" s="4">
        <f>IFERROR(__xludf.DUMMYFUNCTION("""COMPUTED_VALUE"""),1.536)</f>
        <v>1.536</v>
      </c>
    </row>
    <row r="252">
      <c r="A252" s="4" t="str">
        <f>IFERROR(__xludf.DUMMYFUNCTION("""COMPUTED_VALUE"""),"288")</f>
        <v>288</v>
      </c>
      <c r="B252" s="4" t="str">
        <f>IFERROR(__xludf.DUMMYFUNCTION("""COMPUTED_VALUE"""),"Cartel PVC 40x30 Prohibido Accionar o maniobrar")</f>
        <v>Cartel PVC 40x30 Prohibido Accionar o maniobrar</v>
      </c>
      <c r="C252" s="4">
        <f>IFERROR(__xludf.DUMMYFUNCTION("""COMPUTED_VALUE"""),2.3808)</f>
        <v>2.3808</v>
      </c>
    </row>
    <row r="253">
      <c r="A253" s="4" t="str">
        <f>IFERROR(__xludf.DUMMYFUNCTION("""COMPUTED_VALUE"""),"0288P")</f>
        <v>0288P</v>
      </c>
      <c r="B253" s="4" t="str">
        <f>IFERROR(__xludf.DUMMYFUNCTION("""COMPUTED_VALUE"""),"Cartel PVC 21x29 PROHIBIDO ACCIONAR O MANIOBRAR")</f>
        <v>Cartel PVC 21x29 PROHIBIDO ACCIONAR O MANIOBRAR</v>
      </c>
      <c r="C253" s="4">
        <f>IFERROR(__xludf.DUMMYFUNCTION("""COMPUTED_VALUE"""),1.536)</f>
        <v>1.536</v>
      </c>
    </row>
    <row r="254">
      <c r="A254" s="4" t="str">
        <f>IFERROR(__xludf.DUMMYFUNCTION("""COMPUTED_VALUE"""),"289")</f>
        <v>289</v>
      </c>
      <c r="B254" s="4" t="str">
        <f>IFERROR(__xludf.DUMMYFUNCTION("""COMPUTED_VALUE"""),"Cartel PVC 40x30 Fotolum.Hacha contra Incendio")</f>
        <v>Cartel PVC 40x30 Fotolum.Hacha contra Incendio</v>
      </c>
      <c r="C254" s="4">
        <f>IFERROR(__xludf.DUMMYFUNCTION("""COMPUTED_VALUE"""),2.3808)</f>
        <v>2.3808</v>
      </c>
    </row>
    <row r="255">
      <c r="A255" s="4" t="str">
        <f>IFERROR(__xludf.DUMMYFUNCTION("""COMPUTED_VALUE"""),"0289A")</f>
        <v>0289A</v>
      </c>
      <c r="B255" s="4" t="str">
        <f>IFERROR(__xludf.DUMMYFUNCTION("""COMPUTED_VALUE"""),"Cartel PVC 32x16 Fotolum. No Exit")</f>
        <v>Cartel PVC 32x16 Fotolum. No Exit</v>
      </c>
      <c r="C255" s="4">
        <f>IFERROR(__xludf.DUMMYFUNCTION("""COMPUTED_VALUE"""),2.16)</f>
        <v>2.16</v>
      </c>
    </row>
    <row r="256">
      <c r="A256" s="4" t="str">
        <f>IFERROR(__xludf.DUMMYFUNCTION("""COMPUTED_VALUE"""),"0289B")</f>
        <v>0289B</v>
      </c>
      <c r="B256" s="4" t="str">
        <f>IFERROR(__xludf.DUMMYFUNCTION("""COMPUTED_VALUE"""),"Cartel PVC 64x32 Fotolum. No Exit")</f>
        <v>Cartel PVC 64x32 Fotolum. No Exit</v>
      </c>
      <c r="C256" s="4">
        <f>IFERROR(__xludf.DUMMYFUNCTION("""COMPUTED_VALUE"""),4.300800000000001)</f>
        <v>4.3008</v>
      </c>
    </row>
    <row r="257">
      <c r="A257" s="4" t="str">
        <f>IFERROR(__xludf.DUMMYFUNCTION("""COMPUTED_VALUE"""),"0289C")</f>
        <v>0289C</v>
      </c>
      <c r="B257" s="4" t="str">
        <f>IFERROR(__xludf.DUMMYFUNCTION("""COMPUTED_VALUE"""),"Cartel PVC 96x48 Fotolum. No Exit")</f>
        <v>Cartel PVC 96x48 Fotolum. No Exit</v>
      </c>
      <c r="C257" s="4">
        <f>IFERROR(__xludf.DUMMYFUNCTION("""COMPUTED_VALUE"""),8.601600000000001)</f>
        <v>8.6016</v>
      </c>
    </row>
    <row r="258">
      <c r="A258" s="4" t="str">
        <f>IFERROR(__xludf.DUMMYFUNCTION("""COMPUTED_VALUE"""),"290")</f>
        <v>290</v>
      </c>
      <c r="B258" s="4" t="str">
        <f>IFERROR(__xludf.DUMMYFUNCTION("""COMPUTED_VALUE"""),"Cartel PVC 40x30 Peligro Alta Tension")</f>
        <v>Cartel PVC 40x30 Peligro Alta Tension</v>
      </c>
      <c r="C258" s="4">
        <f>IFERROR(__xludf.DUMMYFUNCTION("""COMPUTED_VALUE"""),2.3808)</f>
        <v>2.3808</v>
      </c>
    </row>
    <row r="259">
      <c r="A259" s="4" t="str">
        <f>IFERROR(__xludf.DUMMYFUNCTION("""COMPUTED_VALUE"""),"0290P")</f>
        <v>0290P</v>
      </c>
      <c r="B259" s="4" t="str">
        <f>IFERROR(__xludf.DUMMYFUNCTION("""COMPUTED_VALUE"""),"Cartel PVC 21x29 PELIGRO ALTA TENSION")</f>
        <v>Cartel PVC 21x29 PELIGRO ALTA TENSION</v>
      </c>
      <c r="C259" s="4">
        <f>IFERROR(__xludf.DUMMYFUNCTION("""COMPUTED_VALUE"""),1.536)</f>
        <v>1.536</v>
      </c>
    </row>
    <row r="260">
      <c r="A260" s="4" t="str">
        <f>IFERROR(__xludf.DUMMYFUNCTION("""COMPUTED_VALUE"""),"291")</f>
        <v>291</v>
      </c>
      <c r="B260" s="4" t="str">
        <f>IFERROR(__xludf.DUMMYFUNCTION("""COMPUTED_VALUE"""),"Cartel PVC 40x30 Peligro no maniobrar")</f>
        <v>Cartel PVC 40x30 Peligro no maniobrar</v>
      </c>
      <c r="C260" s="4">
        <f>IFERROR(__xludf.DUMMYFUNCTION("""COMPUTED_VALUE"""),2.3808)</f>
        <v>2.3808</v>
      </c>
    </row>
    <row r="261">
      <c r="A261" s="4" t="str">
        <f>IFERROR(__xludf.DUMMYFUNCTION("""COMPUTED_VALUE"""),"0291P")</f>
        <v>0291P</v>
      </c>
      <c r="B261" s="4" t="str">
        <f>IFERROR(__xludf.DUMMYFUNCTION("""COMPUTED_VALUE"""),"Cartel PVC 21x29 PELIGRO NO MANIOBRAR. SOLO")</f>
        <v>Cartel PVC 21x29 PELIGRO NO MANIOBRAR. SOLO</v>
      </c>
      <c r="C261" s="4">
        <f>IFERROR(__xludf.DUMMYFUNCTION("""COMPUTED_VALUE"""),1.536)</f>
        <v>1.536</v>
      </c>
    </row>
    <row r="262">
      <c r="A262" s="4" t="str">
        <f>IFERROR(__xludf.DUMMYFUNCTION("""COMPUTED_VALUE"""),"292")</f>
        <v>292</v>
      </c>
      <c r="B262" s="4" t="str">
        <f>IFERROR(__xludf.DUMMYFUNCTION("""COMPUTED_VALUE"""),"Cartel PVC 40x30 No Tocar")</f>
        <v>Cartel PVC 40x30 No Tocar</v>
      </c>
      <c r="C262" s="4">
        <f>IFERROR(__xludf.DUMMYFUNCTION("""COMPUTED_VALUE"""),2.3808)</f>
        <v>2.3808</v>
      </c>
    </row>
    <row r="263">
      <c r="A263" s="4" t="str">
        <f>IFERROR(__xludf.DUMMYFUNCTION("""COMPUTED_VALUE"""),"0292P")</f>
        <v>0292P</v>
      </c>
      <c r="B263" s="4" t="str">
        <f>IFERROR(__xludf.DUMMYFUNCTION("""COMPUTED_VALUE"""),"Cartel PVC 21x29 NO TOCAR")</f>
        <v>Cartel PVC 21x29 NO TOCAR</v>
      </c>
      <c r="C263" s="4">
        <f>IFERROR(__xludf.DUMMYFUNCTION("""COMPUTED_VALUE"""),1.536)</f>
        <v>1.536</v>
      </c>
    </row>
    <row r="264">
      <c r="A264" s="4" t="str">
        <f>IFERROR(__xludf.DUMMYFUNCTION("""COMPUTED_VALUE"""),"293")</f>
        <v>293</v>
      </c>
      <c r="B264" s="4" t="str">
        <f>IFERROR(__xludf.DUMMYFUNCTION("""COMPUTED_VALUE"""),"Cartel PVC 40x30 Peligro Materias Radioactivas")</f>
        <v>Cartel PVC 40x30 Peligro Materias Radioactivas</v>
      </c>
      <c r="C264" s="4">
        <f>IFERROR(__xludf.DUMMYFUNCTION("""COMPUTED_VALUE"""),2.3808)</f>
        <v>2.3808</v>
      </c>
    </row>
    <row r="265">
      <c r="A265" s="4" t="str">
        <f>IFERROR(__xludf.DUMMYFUNCTION("""COMPUTED_VALUE"""),"0293P")</f>
        <v>0293P</v>
      </c>
      <c r="B265" s="4" t="str">
        <f>IFERROR(__xludf.DUMMYFUNCTION("""COMPUTED_VALUE"""),"Cartel PVC 21x29 PELIGRO MATERIAS RADIOACTIVAS")</f>
        <v>Cartel PVC 21x29 PELIGRO MATERIAS RADIOACTIVAS</v>
      </c>
      <c r="C265" s="4">
        <f>IFERROR(__xludf.DUMMYFUNCTION("""COMPUTED_VALUE"""),1.536)</f>
        <v>1.536</v>
      </c>
    </row>
    <row r="266">
      <c r="A266" s="4" t="str">
        <f>IFERROR(__xludf.DUMMYFUNCTION("""COMPUTED_VALUE"""),"294")</f>
        <v>294</v>
      </c>
      <c r="B266" s="4" t="str">
        <f>IFERROR(__xludf.DUMMYFUNCTION("""COMPUTED_VALUE"""),"Cartel PVC 40x30 Peligro Radiaciones Laser")</f>
        <v>Cartel PVC 40x30 Peligro Radiaciones Laser</v>
      </c>
      <c r="C266" s="4">
        <f>IFERROR(__xludf.DUMMYFUNCTION("""COMPUTED_VALUE"""),2.3808)</f>
        <v>2.3808</v>
      </c>
    </row>
    <row r="267">
      <c r="A267" s="4" t="str">
        <f>IFERROR(__xludf.DUMMYFUNCTION("""COMPUTED_VALUE"""),"0294P")</f>
        <v>0294P</v>
      </c>
      <c r="B267" s="4" t="str">
        <f>IFERROR(__xludf.DUMMYFUNCTION("""COMPUTED_VALUE"""),"Cartel PVC 21x29 PELIGRO RADIACIONES LASER")</f>
        <v>Cartel PVC 21x29 PELIGRO RADIACIONES LASER</v>
      </c>
      <c r="C267" s="4">
        <f>IFERROR(__xludf.DUMMYFUNCTION("""COMPUTED_VALUE"""),1.536)</f>
        <v>1.536</v>
      </c>
    </row>
    <row r="268">
      <c r="A268" s="4" t="str">
        <f>IFERROR(__xludf.DUMMYFUNCTION("""COMPUTED_VALUE"""),"295")</f>
        <v>295</v>
      </c>
      <c r="B268" s="4" t="str">
        <f>IFERROR(__xludf.DUMMYFUNCTION("""COMPUTED_VALUE"""),"Cartel PVC 40x30 Riesgo Biologico")</f>
        <v>Cartel PVC 40x30 Riesgo Biologico</v>
      </c>
      <c r="C268" s="4">
        <f>IFERROR(__xludf.DUMMYFUNCTION("""COMPUTED_VALUE"""),2.3808)</f>
        <v>2.3808</v>
      </c>
    </row>
    <row r="269">
      <c r="A269" s="4" t="str">
        <f>IFERROR(__xludf.DUMMYFUNCTION("""COMPUTED_VALUE"""),"0295P")</f>
        <v>0295P</v>
      </c>
      <c r="B269" s="4" t="str">
        <f>IFERROR(__xludf.DUMMYFUNCTION("""COMPUTED_VALUE"""),"Cartel PVC 21x29 PELIGRO RIESGO BIOLOGICO")</f>
        <v>Cartel PVC 21x29 PELIGRO RIESGO BIOLOGICO</v>
      </c>
      <c r="C269" s="4">
        <f>IFERROR(__xludf.DUMMYFUNCTION("""COMPUTED_VALUE"""),1.536)</f>
        <v>1.536</v>
      </c>
    </row>
    <row r="270">
      <c r="A270" s="4" t="str">
        <f>IFERROR(__xludf.DUMMYFUNCTION("""COMPUTED_VALUE"""),"296")</f>
        <v>296</v>
      </c>
      <c r="B270" s="4" t="str">
        <f>IFERROR(__xludf.DUMMYFUNCTION("""COMPUTED_VALUE"""),"Cartel PVC 40x30 Fotolum. Cubo uso en incendio")</f>
        <v>Cartel PVC 40x30 Fotolum. Cubo uso en incendio</v>
      </c>
      <c r="C270" s="4">
        <f>IFERROR(__xludf.DUMMYFUNCTION("""COMPUTED_VALUE"""),3.2159999999999997)</f>
        <v>3.216</v>
      </c>
    </row>
    <row r="271">
      <c r="A271" s="4" t="str">
        <f>IFERROR(__xludf.DUMMYFUNCTION("""COMPUTED_VALUE"""),"0296A")</f>
        <v>0296A</v>
      </c>
      <c r="B271" s="4" t="str">
        <f>IFERROR(__xludf.DUMMYFUNCTION("""COMPUTED_VALUE"""),"Cartel PVC 32x16 Fotolum. Sin Salida")</f>
        <v>Cartel PVC 32x16 Fotolum. Sin Salida</v>
      </c>
      <c r="C271" s="4">
        <f>IFERROR(__xludf.DUMMYFUNCTION("""COMPUTED_VALUE"""),2.16)</f>
        <v>2.16</v>
      </c>
    </row>
    <row r="272">
      <c r="A272" s="4" t="str">
        <f>IFERROR(__xludf.DUMMYFUNCTION("""COMPUTED_VALUE"""),"0296B")</f>
        <v>0296B</v>
      </c>
      <c r="B272" s="4" t="str">
        <f>IFERROR(__xludf.DUMMYFUNCTION("""COMPUTED_VALUE"""),"Cartel PVC 64x32 Fotolum. Sin Salida")</f>
        <v>Cartel PVC 64x32 Fotolum. Sin Salida</v>
      </c>
      <c r="C272" s="4">
        <f>IFERROR(__xludf.DUMMYFUNCTION("""COMPUTED_VALUE"""),4.300800000000001)</f>
        <v>4.3008</v>
      </c>
    </row>
    <row r="273">
      <c r="A273" s="4" t="str">
        <f>IFERROR(__xludf.DUMMYFUNCTION("""COMPUTED_VALUE"""),"0296C")</f>
        <v>0296C</v>
      </c>
      <c r="B273" s="4" t="str">
        <f>IFERROR(__xludf.DUMMYFUNCTION("""COMPUTED_VALUE"""),"Cartel PVC 96x48 Fotolum. Sin Salida")</f>
        <v>Cartel PVC 96x48 Fotolum. Sin Salida</v>
      </c>
      <c r="C273" s="4">
        <f>IFERROR(__xludf.DUMMYFUNCTION("""COMPUTED_VALUE"""),8.601600000000001)</f>
        <v>8.6016</v>
      </c>
    </row>
    <row r="274">
      <c r="A274" s="4" t="str">
        <f>IFERROR(__xludf.DUMMYFUNCTION("""COMPUTED_VALUE"""),"297")</f>
        <v>297</v>
      </c>
      <c r="B274" s="4" t="str">
        <f>IFERROR(__xludf.DUMMYFUNCTION("""COMPUTED_VALUE"""),"Cartel PVC 40x30 Fotoum. Manguera contra Incendios")</f>
        <v>Cartel PVC 40x30 Fotoum. Manguera contra Incendios</v>
      </c>
      <c r="C274" s="4">
        <f>IFERROR(__xludf.DUMMYFUNCTION("""COMPUTED_VALUE"""),3.2159999999999997)</f>
        <v>3.216</v>
      </c>
    </row>
    <row r="275">
      <c r="A275" s="4" t="str">
        <f>IFERROR(__xludf.DUMMYFUNCTION("""COMPUTED_VALUE"""),"298")</f>
        <v>298</v>
      </c>
      <c r="B275" s="4" t="str">
        <f>IFERROR(__xludf.DUMMYFUNCTION("""COMPUTED_VALUE"""),"Cartel PVC 21x29 Fotolum. Escalera incendio")</f>
        <v>Cartel PVC 21x29 Fotolum. Escalera incendio</v>
      </c>
      <c r="C275" s="4">
        <f>IFERROR(__xludf.DUMMYFUNCTION("""COMPUTED_VALUE"""),2.496)</f>
        <v>2.496</v>
      </c>
    </row>
    <row r="276">
      <c r="A276" s="4" t="str">
        <f>IFERROR(__xludf.DUMMYFUNCTION("""COMPUTED_VALUE"""),"0298A")</f>
        <v>0298A</v>
      </c>
      <c r="B276" s="4" t="str">
        <f>IFERROR(__xludf.DUMMYFUNCTION("""COMPUTED_VALUE"""),"Cartel PVC 21x30 Fotolum. Escalera de incendios")</f>
        <v>Cartel PVC 21x30 Fotolum. Escalera de incendios</v>
      </c>
      <c r="C276" s="4">
        <f>IFERROR(__xludf.DUMMYFUNCTION("""COMPUTED_VALUE"""),2.4192)</f>
        <v>2.4192</v>
      </c>
    </row>
    <row r="277">
      <c r="A277" s="4" t="str">
        <f>IFERROR(__xludf.DUMMYFUNCTION("""COMPUTED_VALUE"""),"0298B")</f>
        <v>0298B</v>
      </c>
      <c r="B277" s="4" t="str">
        <f>IFERROR(__xludf.DUMMYFUNCTION("""COMPUTED_VALUE"""),"Cartel PVC 40x30 Fotolum. Escalera de incendios")</f>
        <v>Cartel PVC 40x30 Fotolum. Escalera de incendios</v>
      </c>
      <c r="C277" s="4">
        <f>IFERROR(__xludf.DUMMYFUNCTION("""COMPUTED_VALUE"""),2.976)</f>
        <v>2.976</v>
      </c>
    </row>
    <row r="278">
      <c r="A278" s="4" t="str">
        <f>IFERROR(__xludf.DUMMYFUNCTION("""COMPUTED_VALUE"""),"299")</f>
        <v>299</v>
      </c>
      <c r="B278" s="4" t="str">
        <f>IFERROR(__xludf.DUMMYFUNCTION("""COMPUTED_VALUE"""),"Cartel PVC 40x30 Uso Oblig. de Protec. Lumbar")</f>
        <v>Cartel PVC 40x30 Uso Oblig. de Protec. Lumbar</v>
      </c>
      <c r="C278" s="4">
        <f>IFERROR(__xludf.DUMMYFUNCTION("""COMPUTED_VALUE"""),2.3808)</f>
        <v>2.3808</v>
      </c>
    </row>
    <row r="279">
      <c r="A279" s="4" t="str">
        <f>IFERROR(__xludf.DUMMYFUNCTION("""COMPUTED_VALUE"""),"0299P")</f>
        <v>0299P</v>
      </c>
      <c r="B279" s="4" t="str">
        <f>IFERROR(__xludf.DUMMYFUNCTION("""COMPUTED_VALUE"""),"Cartel PVC 21x29 OBLIGATORIO LA PROTECCION LUMBAR")</f>
        <v>Cartel PVC 21x29 OBLIGATORIO LA PROTECCION LUMBAR</v>
      </c>
      <c r="C279" s="4">
        <f>IFERROR(__xludf.DUMMYFUNCTION("""COMPUTED_VALUE"""),1.536)</f>
        <v>1.536</v>
      </c>
    </row>
    <row r="280">
      <c r="A280" s="4" t="str">
        <f>IFERROR(__xludf.DUMMYFUNCTION("""COMPUTED_VALUE"""),"300")</f>
        <v>300</v>
      </c>
      <c r="B280" s="4" t="str">
        <f>IFERROR(__xludf.DUMMYFUNCTION("""COMPUTED_VALUE"""),"Cartel PVC 40x30 Via oblig. peatones")</f>
        <v>Cartel PVC 40x30 Via oblig. peatones</v>
      </c>
      <c r="C280" s="4">
        <f>IFERROR(__xludf.DUMMYFUNCTION("""COMPUTED_VALUE"""),2.3808)</f>
        <v>2.3808</v>
      </c>
    </row>
    <row r="281">
      <c r="A281" s="4" t="str">
        <f>IFERROR(__xludf.DUMMYFUNCTION("""COMPUTED_VALUE"""),"0300P")</f>
        <v>0300P</v>
      </c>
      <c r="B281" s="4" t="str">
        <f>IFERROR(__xludf.DUMMYFUNCTION("""COMPUTED_VALUE"""),"Cartel PVC 21x29 VIA OBLIGATORIA PARA PEATONES")</f>
        <v>Cartel PVC 21x29 VIA OBLIGATORIA PARA PEATONES</v>
      </c>
      <c r="C281" s="4">
        <f>IFERROR(__xludf.DUMMYFUNCTION("""COMPUTED_VALUE"""),1.536)</f>
        <v>1.536</v>
      </c>
    </row>
    <row r="282">
      <c r="A282" s="4" t="str">
        <f>IFERROR(__xludf.DUMMYFUNCTION("""COMPUTED_VALUE"""),"301")</f>
        <v>301</v>
      </c>
      <c r="B282" s="4" t="str">
        <f>IFERROR(__xludf.DUMMYFUNCTION("""COMPUTED_VALUE"""),"Cartel PVC 40x30 Oblig. Protector")</f>
        <v>Cartel PVC 40x30 Oblig. Protector</v>
      </c>
      <c r="C282" s="4">
        <f>IFERROR(__xludf.DUMMYFUNCTION("""COMPUTED_VALUE"""),2.3808)</f>
        <v>2.3808</v>
      </c>
    </row>
    <row r="283">
      <c r="A283" s="4" t="str">
        <f>IFERROR(__xludf.DUMMYFUNCTION("""COMPUTED_VALUE"""),"0301P")</f>
        <v>0301P</v>
      </c>
      <c r="B283" s="4" t="str">
        <f>IFERROR(__xludf.DUMMYFUNCTION("""COMPUTED_VALUE"""),"Cartel PVC 21x29 USO OBLIGATORIO DE PROTECTOR")</f>
        <v>Cartel PVC 21x29 USO OBLIGATORIO DE PROTECTOR</v>
      </c>
      <c r="C283" s="4">
        <f>IFERROR(__xludf.DUMMYFUNCTION("""COMPUTED_VALUE"""),1.536)</f>
        <v>1.536</v>
      </c>
    </row>
    <row r="284">
      <c r="A284" s="4" t="str">
        <f>IFERROR(__xludf.DUMMYFUNCTION("""COMPUTED_VALUE"""),"302")</f>
        <v>302</v>
      </c>
      <c r="B284" s="4" t="str">
        <f>IFERROR(__xludf.DUMMYFUNCTION("""COMPUTED_VALUE"""),"Cartel PVC 40x30 Proh. paso a peatones")</f>
        <v>Cartel PVC 40x30 Proh. paso a peatones</v>
      </c>
      <c r="C284" s="4">
        <f>IFERROR(__xludf.DUMMYFUNCTION("""COMPUTED_VALUE"""),2.3808)</f>
        <v>2.3808</v>
      </c>
    </row>
    <row r="285">
      <c r="A285" s="4" t="str">
        <f>IFERROR(__xludf.DUMMYFUNCTION("""COMPUTED_VALUE"""),"0302P")</f>
        <v>0302P</v>
      </c>
      <c r="B285" s="4" t="str">
        <f>IFERROR(__xludf.DUMMYFUNCTION("""COMPUTED_VALUE"""),"Cartel PVC 21x29 PROHIBIDO PASAR A LOS PEATONES")</f>
        <v>Cartel PVC 21x29 PROHIBIDO PASAR A LOS PEATONES</v>
      </c>
      <c r="C285" s="4">
        <f>IFERROR(__xludf.DUMMYFUNCTION("""COMPUTED_VALUE"""),1.536)</f>
        <v>1.536</v>
      </c>
    </row>
    <row r="286">
      <c r="A286" s="4" t="str">
        <f>IFERROR(__xludf.DUMMYFUNCTION("""COMPUTED_VALUE"""),"303")</f>
        <v>303</v>
      </c>
      <c r="B286" s="4" t="str">
        <f>IFERROR(__xludf.DUMMYFUNCTION("""COMPUTED_VALUE"""),"Cartel PVC 40x30 Rampa personal autor.")</f>
        <v>Cartel PVC 40x30 Rampa personal autor.</v>
      </c>
      <c r="C286" s="4">
        <f>IFERROR(__xludf.DUMMYFUNCTION("""COMPUTED_VALUE"""),2.3808)</f>
        <v>2.3808</v>
      </c>
    </row>
    <row r="287">
      <c r="A287" s="4" t="str">
        <f>IFERROR(__xludf.DUMMYFUNCTION("""COMPUTED_VALUE"""),"0303B")</f>
        <v>0303B</v>
      </c>
      <c r="B287" s="4" t="str">
        <f>IFERROR(__xludf.DUMMYFUNCTION("""COMPUTED_VALUE"""),"Cartel PVC 21x29 USO OBLIGATORIO PROTECTOR")</f>
        <v>Cartel PVC 21x29 USO OBLIGATORIO PROTECTOR</v>
      </c>
      <c r="C287" s="4">
        <f>IFERROR(__xludf.DUMMYFUNCTION("""COMPUTED_VALUE"""),1.536)</f>
        <v>1.536</v>
      </c>
    </row>
    <row r="288">
      <c r="A288" s="4" t="str">
        <f>IFERROR(__xludf.DUMMYFUNCTION("""COMPUTED_VALUE"""),"0303P")</f>
        <v>0303P</v>
      </c>
      <c r="B288" s="4" t="str">
        <f>IFERROR(__xludf.DUMMYFUNCTION("""COMPUTED_VALUE"""),"Cartel PVC 21x29 RAMPA USO EXCLUSIVO PERSONAL")</f>
        <v>Cartel PVC 21x29 RAMPA USO EXCLUSIVO PERSONAL</v>
      </c>
      <c r="C288" s="4">
        <f>IFERROR(__xludf.DUMMYFUNCTION("""COMPUTED_VALUE"""),1.536)</f>
        <v>1.536</v>
      </c>
    </row>
    <row r="289">
      <c r="A289" s="4" t="str">
        <f>IFERROR(__xludf.DUMMYFUNCTION("""COMPUTED_VALUE"""),"304")</f>
        <v>304</v>
      </c>
      <c r="B289" s="4" t="str">
        <f>IFERROR(__xludf.DUMMYFUNCTION("""COMPUTED_VALUE"""),"Cartel PVC 40x30 Uso oblig. guantes electricos")</f>
        <v>Cartel PVC 40x30 Uso oblig. guantes electricos</v>
      </c>
      <c r="C289" s="4">
        <f>IFERROR(__xludf.DUMMYFUNCTION("""COMPUTED_VALUE"""),2.3808)</f>
        <v>2.3808</v>
      </c>
    </row>
    <row r="290">
      <c r="A290" s="4" t="str">
        <f>IFERROR(__xludf.DUMMYFUNCTION("""COMPUTED_VALUE"""),"0304P")</f>
        <v>0304P</v>
      </c>
      <c r="B290" s="4" t="str">
        <f>IFERROR(__xludf.DUMMYFUNCTION("""COMPUTED_VALUE"""),"Cartel PVC 21x29 USO OBLIGATORIO DE GUANTES")</f>
        <v>Cartel PVC 21x29 USO OBLIGATORIO DE GUANTES</v>
      </c>
      <c r="C290" s="4">
        <f>IFERROR(__xludf.DUMMYFUNCTION("""COMPUTED_VALUE"""),1.536)</f>
        <v>1.536</v>
      </c>
    </row>
    <row r="291">
      <c r="A291" s="4" t="str">
        <f>IFERROR(__xludf.DUMMYFUNCTION("""COMPUTED_VALUE"""),"305")</f>
        <v>305</v>
      </c>
      <c r="B291" s="4" t="str">
        <f>IFERROR(__xludf.DUMMYFUNCTION("""COMPUTED_VALUE"""),"Cartel PVC 40x30 Uso Oblig. calzado electrico")</f>
        <v>Cartel PVC 40x30 Uso Oblig. calzado electrico</v>
      </c>
      <c r="C291" s="4">
        <f>IFERROR(__xludf.DUMMYFUNCTION("""COMPUTED_VALUE"""),2.3808)</f>
        <v>2.3808</v>
      </c>
    </row>
    <row r="292">
      <c r="A292" s="4" t="str">
        <f>IFERROR(__xludf.DUMMYFUNCTION("""COMPUTED_VALUE"""),"0305P")</f>
        <v>0305P</v>
      </c>
      <c r="B292" s="4" t="str">
        <f>IFERROR(__xludf.DUMMYFUNCTION("""COMPUTED_VALUE"""),"Cartel PVC 21x29 USO OBLIGATORIO CALZADO")</f>
        <v>Cartel PVC 21x29 USO OBLIGATORIO CALZADO</v>
      </c>
      <c r="C292" s="4">
        <f>IFERROR(__xludf.DUMMYFUNCTION("""COMPUTED_VALUE"""),1.536)</f>
        <v>1.536</v>
      </c>
    </row>
    <row r="293">
      <c r="A293" s="4" t="str">
        <f>IFERROR(__xludf.DUMMYFUNCTION("""COMPUTED_VALUE"""),"306")</f>
        <v>306</v>
      </c>
      <c r="B293" s="4" t="str">
        <f>IFERROR(__xludf.DUMMYFUNCTION("""COMPUTED_VALUE"""),"Cartel PVC 40x30 Oblig. Lavarse las manos")</f>
        <v>Cartel PVC 40x30 Oblig. Lavarse las manos</v>
      </c>
      <c r="C293" s="4">
        <f>IFERROR(__xludf.DUMMYFUNCTION("""COMPUTED_VALUE"""),2.3808)</f>
        <v>2.3808</v>
      </c>
    </row>
    <row r="294">
      <c r="A294" s="4" t="str">
        <f>IFERROR(__xludf.DUMMYFUNCTION("""COMPUTED_VALUE"""),"0306P")</f>
        <v>0306P</v>
      </c>
      <c r="B294" s="4" t="str">
        <f>IFERROR(__xludf.DUMMYFUNCTION("""COMPUTED_VALUE"""),"Cartel PVC 21x29 OBLIGATORIO LAVARSE LAS MANOS")</f>
        <v>Cartel PVC 21x29 OBLIGATORIO LAVARSE LAS MANOS</v>
      </c>
      <c r="C294" s="4">
        <f>IFERROR(__xludf.DUMMYFUNCTION("""COMPUTED_VALUE"""),1.536)</f>
        <v>1.536</v>
      </c>
    </row>
    <row r="295">
      <c r="A295" s="4" t="str">
        <f>IFERROR(__xludf.DUMMYFUNCTION("""COMPUTED_VALUE"""),"307")</f>
        <v>307</v>
      </c>
      <c r="B295" s="4" t="str">
        <f>IFERROR(__xludf.DUMMYFUNCTION("""COMPUTED_VALUE"""),"Cartel PVC 40x30 Apilar Correctamente")</f>
        <v>Cartel PVC 40x30 Apilar Correctamente</v>
      </c>
      <c r="C295" s="4">
        <f>IFERROR(__xludf.DUMMYFUNCTION("""COMPUTED_VALUE"""),2.3808)</f>
        <v>2.3808</v>
      </c>
    </row>
    <row r="296">
      <c r="A296" s="4" t="str">
        <f>IFERROR(__xludf.DUMMYFUNCTION("""COMPUTED_VALUE"""),"0307P")</f>
        <v>0307P</v>
      </c>
      <c r="B296" s="4" t="str">
        <f>IFERROR(__xludf.DUMMYFUNCTION("""COMPUTED_VALUE"""),"Cartel PVC 21x29 APILAR CORRECTAMENTE")</f>
        <v>Cartel PVC 21x29 APILAR CORRECTAMENTE</v>
      </c>
      <c r="C296" s="4">
        <f>IFERROR(__xludf.DUMMYFUNCTION("""COMPUTED_VALUE"""),1.536)</f>
        <v>1.536</v>
      </c>
    </row>
    <row r="297">
      <c r="A297" s="4" t="str">
        <f>IFERROR(__xludf.DUMMYFUNCTION("""COMPUTED_VALUE"""),"308")</f>
        <v>308</v>
      </c>
      <c r="B297" s="4" t="str">
        <f>IFERROR(__xludf.DUMMYFUNCTION("""COMPUTED_VALUE"""),"Cartel PVC 40x30 Oblig. Protector Ajustable")</f>
        <v>Cartel PVC 40x30 Oblig. Protector Ajustable</v>
      </c>
      <c r="C297" s="4">
        <f>IFERROR(__xludf.DUMMYFUNCTION("""COMPUTED_VALUE"""),2.3808)</f>
        <v>2.3808</v>
      </c>
    </row>
    <row r="298">
      <c r="A298" s="4" t="str">
        <f>IFERROR(__xludf.DUMMYFUNCTION("""COMPUTED_VALUE"""),"0308P")</f>
        <v>0308P</v>
      </c>
      <c r="B298" s="4" t="str">
        <f>IFERROR(__xludf.DUMMYFUNCTION("""COMPUTED_VALUE"""),"Cartel PVC 21x29 Oblig. Protector Ajustable")</f>
        <v>Cartel PVC 21x29 Oblig. Protector Ajustable</v>
      </c>
      <c r="C298" s="4">
        <f>IFERROR(__xludf.DUMMYFUNCTION("""COMPUTED_VALUE"""),1.536)</f>
        <v>1.536</v>
      </c>
    </row>
    <row r="299">
      <c r="A299" s="4" t="str">
        <f>IFERROR(__xludf.DUMMYFUNCTION("""COMPUTED_VALUE"""),"309")</f>
        <v>309</v>
      </c>
      <c r="B299" s="4" t="str">
        <f>IFERROR(__xludf.DUMMYFUNCTION("""COMPUTED_VALUE"""),"Cartel PVC 40x30 Oblig. Protector Fijo")</f>
        <v>Cartel PVC 40x30 Oblig. Protector Fijo</v>
      </c>
      <c r="C299" s="4">
        <f>IFERROR(__xludf.DUMMYFUNCTION("""COMPUTED_VALUE"""),2.3808)</f>
        <v>2.3808</v>
      </c>
    </row>
    <row r="300">
      <c r="A300" s="4" t="str">
        <f>IFERROR(__xludf.DUMMYFUNCTION("""COMPUTED_VALUE"""),"0309P")</f>
        <v>0309P</v>
      </c>
      <c r="B300" s="4" t="str">
        <f>IFERROR(__xludf.DUMMYFUNCTION("""COMPUTED_VALUE"""),"Cartel PVC 21x29 USO OBLIGATORIO PROTECTOR FIJO")</f>
        <v>Cartel PVC 21x29 USO OBLIGATORIO PROTECTOR FIJO</v>
      </c>
      <c r="C300" s="4">
        <f>IFERROR(__xludf.DUMMYFUNCTION("""COMPUTED_VALUE"""),1.536)</f>
        <v>1.536</v>
      </c>
    </row>
    <row r="301">
      <c r="A301" s="4" t="str">
        <f>IFERROR(__xludf.DUMMYFUNCTION("""COMPUTED_VALUE"""),"310")</f>
        <v>310</v>
      </c>
      <c r="B301" s="4" t="str">
        <f>IFERROR(__xludf.DUMMYFUNCTION("""COMPUTED_VALUE"""),"Cartel PVC 40x30 Proh. la entrada con marcapasos")</f>
        <v>Cartel PVC 40x30 Proh. la entrada con marcapasos</v>
      </c>
      <c r="C301" s="4">
        <f>IFERROR(__xludf.DUMMYFUNCTION("""COMPUTED_VALUE"""),2.3808)</f>
        <v>2.3808</v>
      </c>
    </row>
    <row r="302">
      <c r="A302" s="4" t="str">
        <f>IFERROR(__xludf.DUMMYFUNCTION("""COMPUTED_VALUE"""),"0310P")</f>
        <v>0310P</v>
      </c>
      <c r="B302" s="4" t="str">
        <f>IFERROR(__xludf.DUMMYFUNCTION("""COMPUTED_VALUE"""),"Cartel PVC 21x29 PROHIBIDA LA ENTRADA CON")</f>
        <v>Cartel PVC 21x29 PROHIBIDA LA ENTRADA CON</v>
      </c>
      <c r="C302" s="4">
        <f>IFERROR(__xludf.DUMMYFUNCTION("""COMPUTED_VALUE"""),1.536)</f>
        <v>1.536</v>
      </c>
    </row>
    <row r="303">
      <c r="A303" s="4" t="str">
        <f>IFERROR(__xludf.DUMMYFUNCTION("""COMPUTED_VALUE"""),"311")</f>
        <v>311</v>
      </c>
      <c r="B303" s="4" t="str">
        <f>IFERROR(__xludf.DUMMYFUNCTION("""COMPUTED_VALUE"""),"Cartel PVC 40x30 Peligro zona de carga y descarga")</f>
        <v>Cartel PVC 40x30 Peligro zona de carga y descarga</v>
      </c>
      <c r="C303" s="4">
        <f>IFERROR(__xludf.DUMMYFUNCTION("""COMPUTED_VALUE"""),2.3808)</f>
        <v>2.3808</v>
      </c>
    </row>
    <row r="304">
      <c r="A304" s="4" t="str">
        <f>IFERROR(__xludf.DUMMYFUNCTION("""COMPUTED_VALUE"""),"0311P")</f>
        <v>0311P</v>
      </c>
      <c r="B304" s="4" t="str">
        <f>IFERROR(__xludf.DUMMYFUNCTION("""COMPUTED_VALUE"""),"Cartel PVC 21x29 PELIGRO ZONA CARGA Y DESCARGA")</f>
        <v>Cartel PVC 21x29 PELIGRO ZONA CARGA Y DESCARGA</v>
      </c>
      <c r="C304" s="4">
        <f>IFERROR(__xludf.DUMMYFUNCTION("""COMPUTED_VALUE"""),1.536)</f>
        <v>1.536</v>
      </c>
    </row>
    <row r="305">
      <c r="A305" s="4" t="str">
        <f>IFERROR(__xludf.DUMMYFUNCTION("""COMPUTED_VALUE"""),"312")</f>
        <v>312</v>
      </c>
      <c r="B305" s="4" t="str">
        <f>IFERROR(__xludf.DUMMYFUNCTION("""COMPUTED_VALUE"""),"Cartel PVC 40x30 Baja Temperatura")</f>
        <v>Cartel PVC 40x30 Baja Temperatura</v>
      </c>
      <c r="C305" s="4">
        <f>IFERROR(__xludf.DUMMYFUNCTION("""COMPUTED_VALUE"""),2.3808)</f>
        <v>2.3808</v>
      </c>
    </row>
    <row r="306">
      <c r="A306" s="4" t="str">
        <f>IFERROR(__xludf.DUMMYFUNCTION("""COMPUTED_VALUE"""),"0312P")</f>
        <v>0312P</v>
      </c>
      <c r="B306" s="4" t="str">
        <f>IFERROR(__xludf.DUMMYFUNCTION("""COMPUTED_VALUE"""),"Cartel PVC 21x29 ATENCION BAJA TEMPERATURA")</f>
        <v>Cartel PVC 21x29 ATENCION BAJA TEMPERATURA</v>
      </c>
      <c r="C306" s="4">
        <f>IFERROR(__xludf.DUMMYFUNCTION("""COMPUTED_VALUE"""),1.536)</f>
        <v>1.536</v>
      </c>
    </row>
    <row r="307">
      <c r="A307" s="4" t="str">
        <f>IFERROR(__xludf.DUMMYFUNCTION("""COMPUTED_VALUE"""),"313")</f>
        <v>313</v>
      </c>
      <c r="B307" s="4" t="str">
        <f>IFERROR(__xludf.DUMMYFUNCTION("""COMPUTED_VALUE"""),"Cartel PVC 40x30 Peligro Alta Presion")</f>
        <v>Cartel PVC 40x30 Peligro Alta Presion</v>
      </c>
      <c r="C307" s="4">
        <f>IFERROR(__xludf.DUMMYFUNCTION("""COMPUTED_VALUE"""),2.3808)</f>
        <v>2.3808</v>
      </c>
    </row>
    <row r="308">
      <c r="A308" s="4" t="str">
        <f>IFERROR(__xludf.DUMMYFUNCTION("""COMPUTED_VALUE"""),"0313P")</f>
        <v>0313P</v>
      </c>
      <c r="B308" s="4" t="str">
        <f>IFERROR(__xludf.DUMMYFUNCTION("""COMPUTED_VALUE"""),"Cartel PVC 21x29 PELIGRO ALTA PRESION")</f>
        <v>Cartel PVC 21x29 PELIGRO ALTA PRESION</v>
      </c>
      <c r="C308" s="4">
        <f>IFERROR(__xludf.DUMMYFUNCTION("""COMPUTED_VALUE"""),1.536)</f>
        <v>1.536</v>
      </c>
    </row>
    <row r="309">
      <c r="A309" s="4" t="str">
        <f>IFERROR(__xludf.DUMMYFUNCTION("""COMPUTED_VALUE"""),"314")</f>
        <v>314</v>
      </c>
      <c r="B309" s="4" t="str">
        <f>IFERROR(__xludf.DUMMYFUNCTION("""COMPUTED_VALUE"""),"Cartel PVC 40x30 Peligro Suelo fragil")</f>
        <v>Cartel PVC 40x30 Peligro Suelo fragil</v>
      </c>
      <c r="C309" s="4">
        <f>IFERROR(__xludf.DUMMYFUNCTION("""COMPUTED_VALUE"""),2.3808)</f>
        <v>2.3808</v>
      </c>
    </row>
    <row r="310">
      <c r="A310" s="4" t="str">
        <f>IFERROR(__xludf.DUMMYFUNCTION("""COMPUTED_VALUE"""),"0314P")</f>
        <v>0314P</v>
      </c>
      <c r="B310" s="4" t="str">
        <f>IFERROR(__xludf.DUMMYFUNCTION("""COMPUTED_VALUE"""),"Cartel PVC 21x29 ATENCION SUELO FRAGIL")</f>
        <v>Cartel PVC 21x29 ATENCION SUELO FRAGIL</v>
      </c>
      <c r="C310" s="4">
        <f>IFERROR(__xludf.DUMMYFUNCTION("""COMPUTED_VALUE"""),1.536)</f>
        <v>1.536</v>
      </c>
    </row>
    <row r="311">
      <c r="A311" s="4" t="str">
        <f>IFERROR(__xludf.DUMMYFUNCTION("""COMPUTED_VALUE"""),"315")</f>
        <v>315</v>
      </c>
      <c r="B311" s="4" t="str">
        <f>IFERROR(__xludf.DUMMYFUNCTION("""COMPUTED_VALUE"""),"Cartel PVC 40x30 Atencion Suelo Resbaladizo")</f>
        <v>Cartel PVC 40x30 Atencion Suelo Resbaladizo</v>
      </c>
      <c r="C311" s="4">
        <f>IFERROR(__xludf.DUMMYFUNCTION("""COMPUTED_VALUE"""),2.3808)</f>
        <v>2.3808</v>
      </c>
    </row>
    <row r="312">
      <c r="A312" s="4" t="str">
        <f>IFERROR(__xludf.DUMMYFUNCTION("""COMPUTED_VALUE"""),"0315P")</f>
        <v>0315P</v>
      </c>
      <c r="B312" s="4" t="str">
        <f>IFERROR(__xludf.DUMMYFUNCTION("""COMPUTED_VALUE"""),"Cartel PVC 21x29 ATENCION SUELO RESBALADIZO")</f>
        <v>Cartel PVC 21x29 ATENCION SUELO RESBALADIZO</v>
      </c>
      <c r="C312" s="4">
        <f>IFERROR(__xludf.DUMMYFUNCTION("""COMPUTED_VALUE"""),1.536)</f>
        <v>1.536</v>
      </c>
    </row>
    <row r="313">
      <c r="A313" s="4" t="str">
        <f>IFERROR(__xludf.DUMMYFUNCTION("""COMPUTED_VALUE"""),"316")</f>
        <v>316</v>
      </c>
      <c r="B313" s="4" t="str">
        <f>IFERROR(__xludf.DUMMYFUNCTION("""COMPUTED_VALUE"""),"Cartel PVC 40x30 Solo Personal Autorizado")</f>
        <v>Cartel PVC 40x30 Solo Personal Autorizado</v>
      </c>
      <c r="C313" s="4">
        <f>IFERROR(__xludf.DUMMYFUNCTION("""COMPUTED_VALUE"""),2.3808)</f>
        <v>2.3808</v>
      </c>
    </row>
    <row r="314">
      <c r="A314" s="4" t="str">
        <f>IFERROR(__xludf.DUMMYFUNCTION("""COMPUTED_VALUE"""),"0316P")</f>
        <v>0316P</v>
      </c>
      <c r="B314" s="4" t="str">
        <f>IFERROR(__xludf.DUMMYFUNCTION("""COMPUTED_VALUE"""),"Cartel PVC 21x29 SOLO PERSONAL AUTORIZADO")</f>
        <v>Cartel PVC 21x29 SOLO PERSONAL AUTORIZADO</v>
      </c>
      <c r="C314" s="4">
        <f>IFERROR(__xludf.DUMMYFUNCTION("""COMPUTED_VALUE"""),1.536)</f>
        <v>1.536</v>
      </c>
    </row>
    <row r="315">
      <c r="A315" s="4" t="str">
        <f>IFERROR(__xludf.DUMMYFUNCTION("""COMPUTED_VALUE"""),"317")</f>
        <v>317</v>
      </c>
      <c r="B315" s="4" t="str">
        <f>IFERROR(__xludf.DUMMYFUNCTION("""COMPUTED_VALUE"""),"Cartel PVC 40x30 Prohibido paso con bicicleta")</f>
        <v>Cartel PVC 40x30 Prohibido paso con bicicleta</v>
      </c>
      <c r="C315" s="4">
        <f>IFERROR(__xludf.DUMMYFUNCTION("""COMPUTED_VALUE"""),2.3808)</f>
        <v>2.3808</v>
      </c>
    </row>
    <row r="316">
      <c r="A316" s="4" t="str">
        <f>IFERROR(__xludf.DUMMYFUNCTION("""COMPUTED_VALUE"""),"0317P")</f>
        <v>0317P</v>
      </c>
      <c r="B316" s="4" t="str">
        <f>IFERROR(__xludf.DUMMYFUNCTION("""COMPUTED_VALUE"""),"Cartel PVC 21x29 PROHIBIDO EL PASO CON BICICLETA")</f>
        <v>Cartel PVC 21x29 PROHIBIDO EL PASO CON BICICLETA</v>
      </c>
      <c r="C316" s="4">
        <f>IFERROR(__xludf.DUMMYFUNCTION("""COMPUTED_VALUE"""),1.536)</f>
        <v>1.536</v>
      </c>
    </row>
    <row r="317">
      <c r="A317" s="4" t="str">
        <f>IFERROR(__xludf.DUMMYFUNCTION("""COMPUTED_VALUE"""),"318")</f>
        <v>318</v>
      </c>
      <c r="B317" s="4" t="str">
        <f>IFERROR(__xludf.DUMMYFUNCTION("""COMPUTED_VALUE"""),"Cartel PVC 40x30 Prohib. Uso de Moviles")</f>
        <v>Cartel PVC 40x30 Prohib. Uso de Moviles</v>
      </c>
      <c r="C317" s="4">
        <f>IFERROR(__xludf.DUMMYFUNCTION("""COMPUTED_VALUE"""),2.3808)</f>
        <v>2.3808</v>
      </c>
    </row>
    <row r="318">
      <c r="A318" s="4" t="str">
        <f>IFERROR(__xludf.DUMMYFUNCTION("""COMPUTED_VALUE"""),"0318P")</f>
        <v>0318P</v>
      </c>
      <c r="B318" s="4" t="str">
        <f>IFERROR(__xludf.DUMMYFUNCTION("""COMPUTED_VALUE"""),"Cartel PVC 21x29 PROHIBIDO EL USO TELEFONOS")</f>
        <v>Cartel PVC 21x29 PROHIBIDO EL USO TELEFONOS</v>
      </c>
      <c r="C318" s="4">
        <f>IFERROR(__xludf.DUMMYFUNCTION("""COMPUTED_VALUE"""),1.536)</f>
        <v>1.536</v>
      </c>
    </row>
    <row r="319">
      <c r="A319" s="4" t="str">
        <f>IFERROR(__xludf.DUMMYFUNCTION("""COMPUTED_VALUE"""),"319")</f>
        <v>319</v>
      </c>
      <c r="B319" s="4" t="str">
        <f>IFERROR(__xludf.DUMMYFUNCTION("""COMPUTED_VALUE"""),"Cartel PVC 40x30 Fotolum. Hidrante")</f>
        <v>Cartel PVC 40x30 Fotolum. Hidrante</v>
      </c>
      <c r="C319" s="4">
        <f>IFERROR(__xludf.DUMMYFUNCTION("""COMPUTED_VALUE"""),3.312)</f>
        <v>3.312</v>
      </c>
    </row>
    <row r="320">
      <c r="A320" s="4" t="str">
        <f>IFERROR(__xludf.DUMMYFUNCTION("""COMPUTED_VALUE"""),"0319A")</f>
        <v>0319A</v>
      </c>
      <c r="B320" s="4" t="str">
        <f>IFERROR(__xludf.DUMMYFUNCTION("""COMPUTED_VALUE"""),"Cartel PVC 32x16 Fotolum. Salida emergencia dcha abajo")</f>
        <v>Cartel PVC 32x16 Fotolum. Salida emergencia dcha abajo</v>
      </c>
      <c r="C320" s="4">
        <f>IFERROR(__xludf.DUMMYFUNCTION("""COMPUTED_VALUE"""),2.16)</f>
        <v>2.16</v>
      </c>
    </row>
    <row r="321">
      <c r="A321" s="4" t="str">
        <f>IFERROR(__xludf.DUMMYFUNCTION("""COMPUTED_VALUE"""),"0319AA")</f>
        <v>0319AA</v>
      </c>
      <c r="B321" s="4" t="str">
        <f>IFERROR(__xludf.DUMMYFUNCTION("""COMPUTED_VALUE"""),"Cartel PVC 32x16 Fotolum. Salida emergencia dcha abajo")</f>
        <v>Cartel PVC 32x16 Fotolum. Salida emergencia dcha abajo</v>
      </c>
      <c r="C321" s="4">
        <f>IFERROR(__xludf.DUMMYFUNCTION("""COMPUTED_VALUE"""),2.16)</f>
        <v>2.16</v>
      </c>
    </row>
    <row r="322">
      <c r="A322" s="4" t="str">
        <f>IFERROR(__xludf.DUMMYFUNCTION("""COMPUTED_VALUE"""),"0319B")</f>
        <v>0319B</v>
      </c>
      <c r="B322" s="4" t="str">
        <f>IFERROR(__xludf.DUMMYFUNCTION("""COMPUTED_VALUE"""),"Cartel PVC 64x32 Fotolum. Salida emergencia dcha abajo")</f>
        <v>Cartel PVC 64x32 Fotolum. Salida emergencia dcha abajo</v>
      </c>
      <c r="C322" s="4">
        <f>IFERROR(__xludf.DUMMYFUNCTION("""COMPUTED_VALUE"""),4.300800000000001)</f>
        <v>4.3008</v>
      </c>
    </row>
    <row r="323">
      <c r="A323" s="4" t="str">
        <f>IFERROR(__xludf.DUMMYFUNCTION("""COMPUTED_VALUE"""),"0319BA")</f>
        <v>0319BA</v>
      </c>
      <c r="B323" s="4" t="str">
        <f>IFERROR(__xludf.DUMMYFUNCTION("""COMPUTED_VALUE"""),"Cartel PVC 64x32 Fotolum. Salida emergencia dcha abajo")</f>
        <v>Cartel PVC 64x32 Fotolum. Salida emergencia dcha abajo</v>
      </c>
      <c r="C323" s="4">
        <f>IFERROR(__xludf.DUMMYFUNCTION("""COMPUTED_VALUE"""),4.300800000000001)</f>
        <v>4.3008</v>
      </c>
    </row>
    <row r="324">
      <c r="A324" s="4" t="str">
        <f>IFERROR(__xludf.DUMMYFUNCTION("""COMPUTED_VALUE"""),"0319C")</f>
        <v>0319C</v>
      </c>
      <c r="B324" s="4" t="str">
        <f>IFERROR(__xludf.DUMMYFUNCTION("""COMPUTED_VALUE"""),"Cartel PVC 96x48 Fotolum. Salida emergencia dcha abajo")</f>
        <v>Cartel PVC 96x48 Fotolum. Salida emergencia dcha abajo</v>
      </c>
      <c r="C324" s="4">
        <f>IFERROR(__xludf.DUMMYFUNCTION("""COMPUTED_VALUE"""),8.601600000000001)</f>
        <v>8.6016</v>
      </c>
    </row>
    <row r="325">
      <c r="A325" s="4" t="str">
        <f>IFERROR(__xludf.DUMMYFUNCTION("""COMPUTED_VALUE"""),"0319CA")</f>
        <v>0319CA</v>
      </c>
      <c r="B325" s="4" t="str">
        <f>IFERROR(__xludf.DUMMYFUNCTION("""COMPUTED_VALUE"""),"Cartel PVC 96x48 Fotolum. Salida emergencia dcha abajo")</f>
        <v>Cartel PVC 96x48 Fotolum. Salida emergencia dcha abajo</v>
      </c>
      <c r="C325" s="4">
        <f>IFERROR(__xludf.DUMMYFUNCTION("""COMPUTED_VALUE"""),8.601600000000001)</f>
        <v>8.6016</v>
      </c>
    </row>
    <row r="326">
      <c r="A326" s="4" t="str">
        <f>IFERROR(__xludf.DUMMYFUNCTION("""COMPUTED_VALUE"""),"320")</f>
        <v>320</v>
      </c>
      <c r="B326" s="4" t="str">
        <f>IFERROR(__xludf.DUMMYFUNCTION("""COMPUTED_VALUE"""),"Cartel PVC 21x30 Fotolum. Salida escalera arriba izq.")</f>
        <v>Cartel PVC 21x30 Fotolum. Salida escalera arriba izq.</v>
      </c>
      <c r="C326" s="4">
        <f>IFERROR(__xludf.DUMMYFUNCTION("""COMPUTED_VALUE"""),2.496)</f>
        <v>2.496</v>
      </c>
    </row>
    <row r="327">
      <c r="A327" s="4" t="str">
        <f>IFERROR(__xludf.DUMMYFUNCTION("""COMPUTED_VALUE"""),"0320A")</f>
        <v>0320A</v>
      </c>
      <c r="B327" s="4" t="str">
        <f>IFERROR(__xludf.DUMMYFUNCTION("""COMPUTED_VALUE"""),"Cartel PVC 32x16 Fotolum. Salida emergencia arriba izq")</f>
        <v>Cartel PVC 32x16 Fotolum. Salida emergencia arriba izq</v>
      </c>
      <c r="C327" s="4">
        <f>IFERROR(__xludf.DUMMYFUNCTION("""COMPUTED_VALUE"""),2.16)</f>
        <v>2.16</v>
      </c>
    </row>
    <row r="328">
      <c r="A328" s="4" t="str">
        <f>IFERROR(__xludf.DUMMYFUNCTION("""COMPUTED_VALUE"""),"0320AA")</f>
        <v>0320AA</v>
      </c>
      <c r="B328" s="4" t="str">
        <f>IFERROR(__xludf.DUMMYFUNCTION("""COMPUTED_VALUE"""),"Cartel PVC 32x16 Fotolum. Salida emergencia arriba izq Minus")</f>
        <v>Cartel PVC 32x16 Fotolum. Salida emergencia arriba izq Minus</v>
      </c>
      <c r="C328" s="4">
        <f>IFERROR(__xludf.DUMMYFUNCTION("""COMPUTED_VALUE"""),2.16)</f>
        <v>2.16</v>
      </c>
    </row>
    <row r="329">
      <c r="A329" s="4" t="str">
        <f>IFERROR(__xludf.DUMMYFUNCTION("""COMPUTED_VALUE"""),"0320B")</f>
        <v>0320B</v>
      </c>
      <c r="B329" s="4" t="str">
        <f>IFERROR(__xludf.DUMMYFUNCTION("""COMPUTED_VALUE"""),"Cartel PVC 64x32 Fotolum. Salida emergencia arriba izq")</f>
        <v>Cartel PVC 64x32 Fotolum. Salida emergencia arriba izq</v>
      </c>
      <c r="C329" s="4">
        <f>IFERROR(__xludf.DUMMYFUNCTION("""COMPUTED_VALUE"""),4.300800000000001)</f>
        <v>4.3008</v>
      </c>
    </row>
    <row r="330">
      <c r="A330" s="4" t="str">
        <f>IFERROR(__xludf.DUMMYFUNCTION("""COMPUTED_VALUE"""),"0320BA")</f>
        <v>0320BA</v>
      </c>
      <c r="B330" s="4" t="str">
        <f>IFERROR(__xludf.DUMMYFUNCTION("""COMPUTED_VALUE"""),"Cartel PVC 64x32 Fotolum. Salida emergencia arriba izq Minus")</f>
        <v>Cartel PVC 64x32 Fotolum. Salida emergencia arriba izq Minus</v>
      </c>
      <c r="C330" s="4">
        <f>IFERROR(__xludf.DUMMYFUNCTION("""COMPUTED_VALUE"""),4.300800000000001)</f>
        <v>4.3008</v>
      </c>
    </row>
    <row r="331">
      <c r="A331" s="4" t="str">
        <f>IFERROR(__xludf.DUMMYFUNCTION("""COMPUTED_VALUE"""),"0320C")</f>
        <v>0320C</v>
      </c>
      <c r="B331" s="4" t="str">
        <f>IFERROR(__xludf.DUMMYFUNCTION("""COMPUTED_VALUE"""),"Cartel PVC 96x48 Fotolum. Salida emergencia arriba izq")</f>
        <v>Cartel PVC 96x48 Fotolum. Salida emergencia arriba izq</v>
      </c>
      <c r="C331" s="4">
        <f>IFERROR(__xludf.DUMMYFUNCTION("""COMPUTED_VALUE"""),8.601600000000001)</f>
        <v>8.6016</v>
      </c>
    </row>
    <row r="332">
      <c r="A332" s="4" t="str">
        <f>IFERROR(__xludf.DUMMYFUNCTION("""COMPUTED_VALUE"""),"0320CA")</f>
        <v>0320CA</v>
      </c>
      <c r="B332" s="4" t="str">
        <f>IFERROR(__xludf.DUMMYFUNCTION("""COMPUTED_VALUE"""),"Cartel PVC 96x48 Fotolum. Salida emergencia arriba izq Minus")</f>
        <v>Cartel PVC 96x48 Fotolum. Salida emergencia arriba izq Minus</v>
      </c>
      <c r="C332" s="4">
        <f>IFERROR(__xludf.DUMMYFUNCTION("""COMPUTED_VALUE"""),8.601600000000001)</f>
        <v>8.6016</v>
      </c>
    </row>
    <row r="333">
      <c r="A333" s="4" t="str">
        <f>IFERROR(__xludf.DUMMYFUNCTION("""COMPUTED_VALUE"""),"321")</f>
        <v>321</v>
      </c>
      <c r="B333" s="4" t="str">
        <f>IFERROR(__xludf.DUMMYFUNCTION("""COMPUTED_VALUE"""),"Cartel PVC 21x30 Fotolum.Salida escalera abajo izq.")</f>
        <v>Cartel PVC 21x30 Fotolum.Salida escalera abajo izq.</v>
      </c>
      <c r="C333" s="4">
        <f>IFERROR(__xludf.DUMMYFUNCTION("""COMPUTED_VALUE"""),2.496)</f>
        <v>2.496</v>
      </c>
    </row>
    <row r="334">
      <c r="A334" s="4" t="str">
        <f>IFERROR(__xludf.DUMMYFUNCTION("""COMPUTED_VALUE"""),"0321A")</f>
        <v>0321A</v>
      </c>
      <c r="B334" s="4" t="str">
        <f>IFERROR(__xludf.DUMMYFUNCTION("""COMPUTED_VALUE"""),"Cartel PVC 32x16 Fotolum. Salida emergencia abajo izq")</f>
        <v>Cartel PVC 32x16 Fotolum. Salida emergencia abajo izq</v>
      </c>
      <c r="C334" s="4">
        <f>IFERROR(__xludf.DUMMYFUNCTION("""COMPUTED_VALUE"""),2.16)</f>
        <v>2.16</v>
      </c>
    </row>
    <row r="335">
      <c r="A335" s="4" t="str">
        <f>IFERROR(__xludf.DUMMYFUNCTION("""COMPUTED_VALUE"""),"0321AA")</f>
        <v>0321AA</v>
      </c>
      <c r="B335" s="4" t="str">
        <f>IFERROR(__xludf.DUMMYFUNCTION("""COMPUTED_VALUE"""),"Cartel PVC 32x16 Fotolum. Salida emergencia abajo izq Minus")</f>
        <v>Cartel PVC 32x16 Fotolum. Salida emergencia abajo izq Minus</v>
      </c>
      <c r="C335" s="4">
        <f>IFERROR(__xludf.DUMMYFUNCTION("""COMPUTED_VALUE"""),2.16)</f>
        <v>2.16</v>
      </c>
    </row>
    <row r="336">
      <c r="A336" s="4" t="str">
        <f>IFERROR(__xludf.DUMMYFUNCTION("""COMPUTED_VALUE"""),"0321B")</f>
        <v>0321B</v>
      </c>
      <c r="B336" s="4" t="str">
        <f>IFERROR(__xludf.DUMMYFUNCTION("""COMPUTED_VALUE"""),"Cartel PVC 64x32 Fotolum. Salida emergencia abajo izq")</f>
        <v>Cartel PVC 64x32 Fotolum. Salida emergencia abajo izq</v>
      </c>
      <c r="C336" s="4">
        <f>IFERROR(__xludf.DUMMYFUNCTION("""COMPUTED_VALUE"""),4.300800000000001)</f>
        <v>4.3008</v>
      </c>
    </row>
    <row r="337">
      <c r="A337" s="4" t="str">
        <f>IFERROR(__xludf.DUMMYFUNCTION("""COMPUTED_VALUE"""),"0321BA")</f>
        <v>0321BA</v>
      </c>
      <c r="B337" s="4" t="str">
        <f>IFERROR(__xludf.DUMMYFUNCTION("""COMPUTED_VALUE"""),"Cartel PVC 64x32 Fotolum. Salida emergencia abajo izq Minus")</f>
        <v>Cartel PVC 64x32 Fotolum. Salida emergencia abajo izq Minus</v>
      </c>
      <c r="C337" s="4">
        <f>IFERROR(__xludf.DUMMYFUNCTION("""COMPUTED_VALUE"""),4.300800000000001)</f>
        <v>4.3008</v>
      </c>
    </row>
    <row r="338">
      <c r="A338" s="4" t="str">
        <f>IFERROR(__xludf.DUMMYFUNCTION("""COMPUTED_VALUE"""),"0321C")</f>
        <v>0321C</v>
      </c>
      <c r="B338" s="4" t="str">
        <f>IFERROR(__xludf.DUMMYFUNCTION("""COMPUTED_VALUE"""),"Cartel PVC 96x48 Fotolum. Salida emergencia abajo izq")</f>
        <v>Cartel PVC 96x48 Fotolum. Salida emergencia abajo izq</v>
      </c>
      <c r="C338" s="4">
        <f>IFERROR(__xludf.DUMMYFUNCTION("""COMPUTED_VALUE"""),8.601600000000001)</f>
        <v>8.6016</v>
      </c>
    </row>
    <row r="339">
      <c r="A339" s="4" t="str">
        <f>IFERROR(__xludf.DUMMYFUNCTION("""COMPUTED_VALUE"""),"0321CA")</f>
        <v>0321CA</v>
      </c>
      <c r="B339" s="4" t="str">
        <f>IFERROR(__xludf.DUMMYFUNCTION("""COMPUTED_VALUE"""),"Cartel PVC 96x48 Fotolum. Salida emergencia abajo izq Minus")</f>
        <v>Cartel PVC 96x48 Fotolum. Salida emergencia abajo izq Minus</v>
      </c>
      <c r="C339" s="4">
        <f>IFERROR(__xludf.DUMMYFUNCTION("""COMPUTED_VALUE"""),8.601600000000001)</f>
        <v>8.6016</v>
      </c>
    </row>
    <row r="340">
      <c r="A340" s="4" t="str">
        <f>IFERROR(__xludf.DUMMYFUNCTION("""COMPUTED_VALUE"""),"322")</f>
        <v>322</v>
      </c>
      <c r="B340" s="4" t="str">
        <f>IFERROR(__xludf.DUMMYFUNCTION("""COMPUTED_VALUE"""),"Cartel PVC 21x30 Fotolum. Salida escalera arriba dcha.")</f>
        <v>Cartel PVC 21x30 Fotolum. Salida escalera arriba dcha.</v>
      </c>
      <c r="C340" s="4">
        <f>IFERROR(__xludf.DUMMYFUNCTION("""COMPUTED_VALUE"""),2.496)</f>
        <v>2.496</v>
      </c>
    </row>
    <row r="341">
      <c r="A341" s="4" t="str">
        <f>IFERROR(__xludf.DUMMYFUNCTION("""COMPUTED_VALUE"""),"0322A")</f>
        <v>0322A</v>
      </c>
      <c r="B341" s="4" t="str">
        <f>IFERROR(__xludf.DUMMYFUNCTION("""COMPUTED_VALUE"""),"Cartel PVC 32x16 Fotolum. Salida emergencia arriba dcha.")</f>
        <v>Cartel PVC 32x16 Fotolum. Salida emergencia arriba dcha.</v>
      </c>
      <c r="C341" s="4">
        <f>IFERROR(__xludf.DUMMYFUNCTION("""COMPUTED_VALUE"""),2.16)</f>
        <v>2.16</v>
      </c>
    </row>
    <row r="342">
      <c r="A342" s="4" t="str">
        <f>IFERROR(__xludf.DUMMYFUNCTION("""COMPUTED_VALUE"""),"0322AA")</f>
        <v>0322AA</v>
      </c>
      <c r="B342" s="4" t="str">
        <f>IFERROR(__xludf.DUMMYFUNCTION("""COMPUTED_VALUE"""),"Cartel PVC 32x16 Fotolum. Salida emergencia arriba dcha.")</f>
        <v>Cartel PVC 32x16 Fotolum. Salida emergencia arriba dcha.</v>
      </c>
      <c r="C342" s="4">
        <f>IFERROR(__xludf.DUMMYFUNCTION("""COMPUTED_VALUE"""),2.16)</f>
        <v>2.16</v>
      </c>
    </row>
    <row r="343">
      <c r="A343" s="4" t="str">
        <f>IFERROR(__xludf.DUMMYFUNCTION("""COMPUTED_VALUE"""),"0322B")</f>
        <v>0322B</v>
      </c>
      <c r="B343" s="4" t="str">
        <f>IFERROR(__xludf.DUMMYFUNCTION("""COMPUTED_VALUE"""),"Cartel PVC 64x32 Fotolum. Salida emergencia arriba dcha.")</f>
        <v>Cartel PVC 64x32 Fotolum. Salida emergencia arriba dcha.</v>
      </c>
      <c r="C343" s="4">
        <f>IFERROR(__xludf.DUMMYFUNCTION("""COMPUTED_VALUE"""),4.300800000000001)</f>
        <v>4.3008</v>
      </c>
    </row>
    <row r="344">
      <c r="A344" s="4" t="str">
        <f>IFERROR(__xludf.DUMMYFUNCTION("""COMPUTED_VALUE"""),"0322BA")</f>
        <v>0322BA</v>
      </c>
      <c r="B344" s="4" t="str">
        <f>IFERROR(__xludf.DUMMYFUNCTION("""COMPUTED_VALUE"""),"Cartel PVC 64x32 Fotolum. Salida emergencia arriba")</f>
        <v>Cartel PVC 64x32 Fotolum. Salida emergencia arriba</v>
      </c>
      <c r="C344" s="4">
        <f>IFERROR(__xludf.DUMMYFUNCTION("""COMPUTED_VALUE"""),4.300800000000001)</f>
        <v>4.3008</v>
      </c>
    </row>
    <row r="345">
      <c r="A345" s="4" t="str">
        <f>IFERROR(__xludf.DUMMYFUNCTION("""COMPUTED_VALUE"""),"0322C")</f>
        <v>0322C</v>
      </c>
      <c r="B345" s="4" t="str">
        <f>IFERROR(__xludf.DUMMYFUNCTION("""COMPUTED_VALUE"""),"Cartel PVC 96x48 Fotolum. Salida emergencia arriba dcha.")</f>
        <v>Cartel PVC 96x48 Fotolum. Salida emergencia arriba dcha.</v>
      </c>
      <c r="C345" s="4">
        <f>IFERROR(__xludf.DUMMYFUNCTION("""COMPUTED_VALUE"""),8.601600000000001)</f>
        <v>8.6016</v>
      </c>
    </row>
    <row r="346">
      <c r="A346" s="4" t="str">
        <f>IFERROR(__xludf.DUMMYFUNCTION("""COMPUTED_VALUE"""),"0322CA")</f>
        <v>0322CA</v>
      </c>
      <c r="B346" s="4" t="str">
        <f>IFERROR(__xludf.DUMMYFUNCTION("""COMPUTED_VALUE"""),"Cartel PVC 96x48 Fotolum. Salida emergencia arriba dcha.")</f>
        <v>Cartel PVC 96x48 Fotolum. Salida emergencia arriba dcha.</v>
      </c>
      <c r="C346" s="4">
        <f>IFERROR(__xludf.DUMMYFUNCTION("""COMPUTED_VALUE"""),8.601600000000001)</f>
        <v>8.6016</v>
      </c>
    </row>
    <row r="347">
      <c r="A347" s="4" t="str">
        <f>IFERROR(__xludf.DUMMYFUNCTION("""COMPUTED_VALUE"""),"323")</f>
        <v>323</v>
      </c>
      <c r="B347" s="4" t="str">
        <f>IFERROR(__xludf.DUMMYFUNCTION("""COMPUTED_VALUE"""),"Cartel PVC 21x30 Fotolum. Salida escalera abajo dcha")</f>
        <v>Cartel PVC 21x30 Fotolum. Salida escalera abajo dcha</v>
      </c>
      <c r="C347" s="4">
        <f>IFERROR(__xludf.DUMMYFUNCTION("""COMPUTED_VALUE"""),2.496)</f>
        <v>2.496</v>
      </c>
    </row>
    <row r="348">
      <c r="A348" s="4" t="str">
        <f>IFERROR(__xludf.DUMMYFUNCTION("""COMPUTED_VALUE"""),"324")</f>
        <v>324</v>
      </c>
      <c r="B348" s="4" t="str">
        <f>IFERROR(__xludf.DUMMYFUNCTION("""COMPUTED_VALUE"""),"Cartel PVC 21x30 Fotolum. Salida puerta dcha")</f>
        <v>Cartel PVC 21x30 Fotolum. Salida puerta dcha</v>
      </c>
      <c r="C348" s="4">
        <f>IFERROR(__xludf.DUMMYFUNCTION("""COMPUTED_VALUE"""),2.496)</f>
        <v>2.496</v>
      </c>
    </row>
    <row r="349">
      <c r="A349" s="4" t="str">
        <f>IFERROR(__xludf.DUMMYFUNCTION("""COMPUTED_VALUE"""),"0324A")</f>
        <v>0324A</v>
      </c>
      <c r="B349" s="4" t="str">
        <f>IFERROR(__xludf.DUMMYFUNCTION("""COMPUTED_VALUE"""),"Cartel PVC 32x16 Fotolum. Salida de emergencia Pta. Derecha")</f>
        <v>Cartel PVC 32x16 Fotolum. Salida de emergencia Pta. Derecha</v>
      </c>
      <c r="C349" s="4">
        <f>IFERROR(__xludf.DUMMYFUNCTION("""COMPUTED_VALUE"""),2.16)</f>
        <v>2.16</v>
      </c>
    </row>
    <row r="350">
      <c r="A350" s="4" t="str">
        <f>IFERROR(__xludf.DUMMYFUNCTION("""COMPUTED_VALUE"""),"0324AA")</f>
        <v>0324AA</v>
      </c>
      <c r="B350" s="4" t="str">
        <f>IFERROR(__xludf.DUMMYFUNCTION("""COMPUTED_VALUE"""),"Cartel PVC 32x16 Fotolum. Salida de emergencia Pta. Derecha")</f>
        <v>Cartel PVC 32x16 Fotolum. Salida de emergencia Pta. Derecha</v>
      </c>
      <c r="C350" s="4">
        <f>IFERROR(__xludf.DUMMYFUNCTION("""COMPUTED_VALUE"""),2.16)</f>
        <v>2.16</v>
      </c>
    </row>
    <row r="351">
      <c r="A351" s="4" t="str">
        <f>IFERROR(__xludf.DUMMYFUNCTION("""COMPUTED_VALUE"""),"0324B")</f>
        <v>0324B</v>
      </c>
      <c r="B351" s="4" t="str">
        <f>IFERROR(__xludf.DUMMYFUNCTION("""COMPUTED_VALUE"""),"Cartel PVC 64x32 Fotolum. Salida de emergencia Pta. Derecha")</f>
        <v>Cartel PVC 64x32 Fotolum. Salida de emergencia Pta. Derecha</v>
      </c>
      <c r="C351" s="4">
        <f>IFERROR(__xludf.DUMMYFUNCTION("""COMPUTED_VALUE"""),4.300800000000001)</f>
        <v>4.3008</v>
      </c>
    </row>
    <row r="352">
      <c r="A352" s="4" t="str">
        <f>IFERROR(__xludf.DUMMYFUNCTION("""COMPUTED_VALUE"""),"0324BA")</f>
        <v>0324BA</v>
      </c>
      <c r="B352" s="4" t="str">
        <f>IFERROR(__xludf.DUMMYFUNCTION("""COMPUTED_VALUE"""),"Cartel PVC 64x32 Fotolum. Salida de emergencia Pta. Derecha")</f>
        <v>Cartel PVC 64x32 Fotolum. Salida de emergencia Pta. Derecha</v>
      </c>
      <c r="C352" s="4">
        <f>IFERROR(__xludf.DUMMYFUNCTION("""COMPUTED_VALUE"""),4.300800000000001)</f>
        <v>4.3008</v>
      </c>
    </row>
    <row r="353">
      <c r="A353" s="4" t="str">
        <f>IFERROR(__xludf.DUMMYFUNCTION("""COMPUTED_VALUE"""),"0324C")</f>
        <v>0324C</v>
      </c>
      <c r="B353" s="4" t="str">
        <f>IFERROR(__xludf.DUMMYFUNCTION("""COMPUTED_VALUE"""),"Cartel PVC 96x48 Fotolum. Salida de emergencia Pta. Derecha")</f>
        <v>Cartel PVC 96x48 Fotolum. Salida de emergencia Pta. Derecha</v>
      </c>
      <c r="C353" s="4">
        <f>IFERROR(__xludf.DUMMYFUNCTION("""COMPUTED_VALUE"""),8.601600000000001)</f>
        <v>8.6016</v>
      </c>
    </row>
    <row r="354">
      <c r="A354" s="4" t="str">
        <f>IFERROR(__xludf.DUMMYFUNCTION("""COMPUTED_VALUE"""),"0324CA")</f>
        <v>0324CA</v>
      </c>
      <c r="B354" s="4" t="str">
        <f>IFERROR(__xludf.DUMMYFUNCTION("""COMPUTED_VALUE"""),"Cartel PVC 96x48 Fotolum. Salida de emergencia Pta. Derecha")</f>
        <v>Cartel PVC 96x48 Fotolum. Salida de emergencia Pta. Derecha</v>
      </c>
      <c r="C354" s="4">
        <f>IFERROR(__xludf.DUMMYFUNCTION("""COMPUTED_VALUE"""),8.601600000000001)</f>
        <v>8.6016</v>
      </c>
    </row>
    <row r="355">
      <c r="A355" s="4" t="str">
        <f>IFERROR(__xludf.DUMMYFUNCTION("""COMPUTED_VALUE"""),"325")</f>
        <v>325</v>
      </c>
      <c r="B355" s="4" t="str">
        <f>IFERROR(__xludf.DUMMYFUNCTION("""COMPUTED_VALUE"""),"Cartel PVC 21x30 Fotolum. Salida puerta izq.")</f>
        <v>Cartel PVC 21x30 Fotolum. Salida puerta izq.</v>
      </c>
      <c r="C355" s="4">
        <f>IFERROR(__xludf.DUMMYFUNCTION("""COMPUTED_VALUE"""),2.496)</f>
        <v>2.496</v>
      </c>
    </row>
    <row r="356">
      <c r="A356" s="4" t="str">
        <f>IFERROR(__xludf.DUMMYFUNCTION("""COMPUTED_VALUE"""),"0325A")</f>
        <v>0325A</v>
      </c>
      <c r="B356" s="4" t="str">
        <f>IFERROR(__xludf.DUMMYFUNCTION("""COMPUTED_VALUE"""),"Cartel PVC 32x16 Fotolum. Salida de emergencia Pta.")</f>
        <v>Cartel PVC 32x16 Fotolum. Salida de emergencia Pta.</v>
      </c>
      <c r="C356" s="4">
        <f>IFERROR(__xludf.DUMMYFUNCTION("""COMPUTED_VALUE"""),2.16)</f>
        <v>2.16</v>
      </c>
    </row>
    <row r="357">
      <c r="A357" s="4" t="str">
        <f>IFERROR(__xludf.DUMMYFUNCTION("""COMPUTED_VALUE"""),"0325AA")</f>
        <v>0325AA</v>
      </c>
      <c r="B357" s="4" t="str">
        <f>IFERROR(__xludf.DUMMYFUNCTION("""COMPUTED_VALUE"""),"Cartel PVC 32x16 Fotolum. Salida de emergencia puerta izq.")</f>
        <v>Cartel PVC 32x16 Fotolum. Salida de emergencia puerta izq.</v>
      </c>
      <c r="C357" s="4">
        <f>IFERROR(__xludf.DUMMYFUNCTION("""COMPUTED_VALUE"""),2.16)</f>
        <v>2.16</v>
      </c>
    </row>
    <row r="358">
      <c r="A358" s="4" t="str">
        <f>IFERROR(__xludf.DUMMYFUNCTION("""COMPUTED_VALUE"""),"0325B")</f>
        <v>0325B</v>
      </c>
      <c r="B358" s="4" t="str">
        <f>IFERROR(__xludf.DUMMYFUNCTION("""COMPUTED_VALUE"""),"Cartel PVC 64x32 Fotolum. Salida de emergencia Pta.")</f>
        <v>Cartel PVC 64x32 Fotolum. Salida de emergencia Pta.</v>
      </c>
      <c r="C358" s="4">
        <f>IFERROR(__xludf.DUMMYFUNCTION("""COMPUTED_VALUE"""),4.300800000000001)</f>
        <v>4.3008</v>
      </c>
    </row>
    <row r="359">
      <c r="A359" s="4" t="str">
        <f>IFERROR(__xludf.DUMMYFUNCTION("""COMPUTED_VALUE"""),"0325BA")</f>
        <v>0325BA</v>
      </c>
      <c r="B359" s="4" t="str">
        <f>IFERROR(__xludf.DUMMYFUNCTION("""COMPUTED_VALUE"""),"Cartel PVC 64x32 Fotolum. Salida de emergencia Pta. Izq.")</f>
        <v>Cartel PVC 64x32 Fotolum. Salida de emergencia Pta. Izq.</v>
      </c>
      <c r="C359" s="4">
        <f>IFERROR(__xludf.DUMMYFUNCTION("""COMPUTED_VALUE"""),4.300800000000001)</f>
        <v>4.3008</v>
      </c>
    </row>
    <row r="360">
      <c r="A360" s="4" t="str">
        <f>IFERROR(__xludf.DUMMYFUNCTION("""COMPUTED_VALUE"""),"0325C")</f>
        <v>0325C</v>
      </c>
      <c r="B360" s="4" t="str">
        <f>IFERROR(__xludf.DUMMYFUNCTION("""COMPUTED_VALUE"""),"Cartel PVC 96x48 Fotolum. Salida de emergencia Pta.")</f>
        <v>Cartel PVC 96x48 Fotolum. Salida de emergencia Pta.</v>
      </c>
      <c r="C360" s="4">
        <f>IFERROR(__xludf.DUMMYFUNCTION("""COMPUTED_VALUE"""),8.601600000000001)</f>
        <v>8.6016</v>
      </c>
    </row>
    <row r="361">
      <c r="A361" s="4" t="str">
        <f>IFERROR(__xludf.DUMMYFUNCTION("""COMPUTED_VALUE"""),"0325CA")</f>
        <v>0325CA</v>
      </c>
      <c r="B361" s="4" t="str">
        <f>IFERROR(__xludf.DUMMYFUNCTION("""COMPUTED_VALUE"""),"Cartel PVC 96x48 Fotolum. Salida de emergencia Pta. Izq")</f>
        <v>Cartel PVC 96x48 Fotolum. Salida de emergencia Pta. Izq</v>
      </c>
      <c r="C361" s="4">
        <f>IFERROR(__xludf.DUMMYFUNCTION("""COMPUTED_VALUE"""),8.601600000000001)</f>
        <v>8.6016</v>
      </c>
    </row>
    <row r="362">
      <c r="A362" s="4" t="str">
        <f>IFERROR(__xludf.DUMMYFUNCTION("""COMPUTED_VALUE"""),"326")</f>
        <v>326</v>
      </c>
      <c r="B362" s="4" t="str">
        <f>IFERROR(__xludf.DUMMYFUNCTION("""COMPUTED_VALUE"""),"Cartel PVC 21x30 Fotolum. Salida puerta abajo izq.")</f>
        <v>Cartel PVC 21x30 Fotolum. Salida puerta abajo izq.</v>
      </c>
      <c r="C362" s="4">
        <f>IFERROR(__xludf.DUMMYFUNCTION("""COMPUTED_VALUE"""),2.496)</f>
        <v>2.496</v>
      </c>
    </row>
    <row r="363">
      <c r="A363" s="4" t="str">
        <f>IFERROR(__xludf.DUMMYFUNCTION("""COMPUTED_VALUE"""),"0326A")</f>
        <v>0326A</v>
      </c>
      <c r="B363" s="4" t="str">
        <f>IFERROR(__xludf.DUMMYFUNCTION("""COMPUTED_VALUE"""),"Cartel PVC 32x16 Fotolum. Salida de emergencia Pta. Abajo")</f>
        <v>Cartel PVC 32x16 Fotolum. Salida de emergencia Pta. Abajo</v>
      </c>
      <c r="C363" s="4">
        <f>IFERROR(__xludf.DUMMYFUNCTION("""COMPUTED_VALUE"""),2.16)</f>
        <v>2.16</v>
      </c>
    </row>
    <row r="364">
      <c r="A364" s="4" t="str">
        <f>IFERROR(__xludf.DUMMYFUNCTION("""COMPUTED_VALUE"""),"0326AA")</f>
        <v>0326AA</v>
      </c>
      <c r="B364" s="4" t="str">
        <f>IFERROR(__xludf.DUMMYFUNCTION("""COMPUTED_VALUE"""),"Cartel PVC 32x16 Fotolum. Salida de emergencia Pta. Abajo")</f>
        <v>Cartel PVC 32x16 Fotolum. Salida de emergencia Pta. Abajo</v>
      </c>
      <c r="C364" s="4">
        <f>IFERROR(__xludf.DUMMYFUNCTION("""COMPUTED_VALUE"""),2.16)</f>
        <v>2.16</v>
      </c>
    </row>
    <row r="365">
      <c r="A365" s="4" t="str">
        <f>IFERROR(__xludf.DUMMYFUNCTION("""COMPUTED_VALUE"""),"0326B")</f>
        <v>0326B</v>
      </c>
      <c r="B365" s="4" t="str">
        <f>IFERROR(__xludf.DUMMYFUNCTION("""COMPUTED_VALUE"""),"Cartel PVC 64x32 Fotolum. Salida de emergencia Pta. Abajo")</f>
        <v>Cartel PVC 64x32 Fotolum. Salida de emergencia Pta. Abajo</v>
      </c>
      <c r="C365" s="4">
        <f>IFERROR(__xludf.DUMMYFUNCTION("""COMPUTED_VALUE"""),4.300800000000001)</f>
        <v>4.3008</v>
      </c>
    </row>
    <row r="366">
      <c r="A366" s="4" t="str">
        <f>IFERROR(__xludf.DUMMYFUNCTION("""COMPUTED_VALUE"""),"0326BA")</f>
        <v>0326BA</v>
      </c>
      <c r="B366" s="4" t="str">
        <f>IFERROR(__xludf.DUMMYFUNCTION("""COMPUTED_VALUE"""),"Cartel PVC 64x32 Fotolum. Salida de emergencia Pta. Abajo")</f>
        <v>Cartel PVC 64x32 Fotolum. Salida de emergencia Pta. Abajo</v>
      </c>
      <c r="C366" s="4">
        <f>IFERROR(__xludf.DUMMYFUNCTION("""COMPUTED_VALUE"""),4.300800000000001)</f>
        <v>4.3008</v>
      </c>
    </row>
    <row r="367">
      <c r="A367" s="4" t="str">
        <f>IFERROR(__xludf.DUMMYFUNCTION("""COMPUTED_VALUE"""),"0326C")</f>
        <v>0326C</v>
      </c>
      <c r="B367" s="4" t="str">
        <f>IFERROR(__xludf.DUMMYFUNCTION("""COMPUTED_VALUE"""),"Cartel PVC 96x48 Fotolum. Salida de emergencia Pta. Abajo")</f>
        <v>Cartel PVC 96x48 Fotolum. Salida de emergencia Pta. Abajo</v>
      </c>
      <c r="C367" s="4">
        <f>IFERROR(__xludf.DUMMYFUNCTION("""COMPUTED_VALUE"""),8.601600000000001)</f>
        <v>8.6016</v>
      </c>
    </row>
    <row r="368">
      <c r="A368" s="4" t="str">
        <f>IFERROR(__xludf.DUMMYFUNCTION("""COMPUTED_VALUE"""),"0326CA")</f>
        <v>0326CA</v>
      </c>
      <c r="B368" s="4" t="str">
        <f>IFERROR(__xludf.DUMMYFUNCTION("""COMPUTED_VALUE"""),"Cartel PVC 96x48 Fotolum. Salida de emergencia Pta. Abajo")</f>
        <v>Cartel PVC 96x48 Fotolum. Salida de emergencia Pta. Abajo</v>
      </c>
      <c r="C368" s="4">
        <f>IFERROR(__xludf.DUMMYFUNCTION("""COMPUTED_VALUE"""),8.601600000000001)</f>
        <v>8.6016</v>
      </c>
    </row>
    <row r="369">
      <c r="A369" s="4" t="str">
        <f>IFERROR(__xludf.DUMMYFUNCTION("""COMPUTED_VALUE"""),"327")</f>
        <v>327</v>
      </c>
      <c r="B369" s="4" t="str">
        <f>IFERROR(__xludf.DUMMYFUNCTION("""COMPUTED_VALUE"""),"Cartel PVC 21x30 Fotolum.puerta abajo dcha")</f>
        <v>Cartel PVC 21x30 Fotolum.puerta abajo dcha</v>
      </c>
      <c r="C369" s="4">
        <f>IFERROR(__xludf.DUMMYFUNCTION("""COMPUTED_VALUE"""),2.496)</f>
        <v>2.496</v>
      </c>
    </row>
    <row r="370">
      <c r="A370" s="4" t="str">
        <f>IFERROR(__xludf.DUMMYFUNCTION("""COMPUTED_VALUE"""),"0327A")</f>
        <v>0327A</v>
      </c>
      <c r="B370" s="4" t="str">
        <f>IFERROR(__xludf.DUMMYFUNCTION("""COMPUTED_VALUE"""),"Cartel PVC 32x16 Fotolum. Salida de emergencia Pta. Abajo")</f>
        <v>Cartel PVC 32x16 Fotolum. Salida de emergencia Pta. Abajo</v>
      </c>
      <c r="C370" s="4">
        <f>IFERROR(__xludf.DUMMYFUNCTION("""COMPUTED_VALUE"""),2.16)</f>
        <v>2.16</v>
      </c>
    </row>
    <row r="371">
      <c r="A371" s="4" t="str">
        <f>IFERROR(__xludf.DUMMYFUNCTION("""COMPUTED_VALUE"""),"0327AA")</f>
        <v>0327AA</v>
      </c>
      <c r="B371" s="4" t="str">
        <f>IFERROR(__xludf.DUMMYFUNCTION("""COMPUTED_VALUE"""),"Cartel PVC 32x16 Fotolum. Salida de emergencia Pta. Abajo")</f>
        <v>Cartel PVC 32x16 Fotolum. Salida de emergencia Pta. Abajo</v>
      </c>
      <c r="C371" s="4">
        <f>IFERROR(__xludf.DUMMYFUNCTION("""COMPUTED_VALUE"""),2.16)</f>
        <v>2.16</v>
      </c>
    </row>
    <row r="372">
      <c r="A372" s="4" t="str">
        <f>IFERROR(__xludf.DUMMYFUNCTION("""COMPUTED_VALUE"""),"0327B")</f>
        <v>0327B</v>
      </c>
      <c r="B372" s="4" t="str">
        <f>IFERROR(__xludf.DUMMYFUNCTION("""COMPUTED_VALUE"""),"Cartel PVC 64x32 Fotolum. Salida de emergencia Pta. Abajo")</f>
        <v>Cartel PVC 64x32 Fotolum. Salida de emergencia Pta. Abajo</v>
      </c>
      <c r="C372" s="4">
        <f>IFERROR(__xludf.DUMMYFUNCTION("""COMPUTED_VALUE"""),4.300800000000001)</f>
        <v>4.3008</v>
      </c>
    </row>
    <row r="373">
      <c r="A373" s="4" t="str">
        <f>IFERROR(__xludf.DUMMYFUNCTION("""COMPUTED_VALUE"""),"0327BA")</f>
        <v>0327BA</v>
      </c>
      <c r="B373" s="4" t="str">
        <f>IFERROR(__xludf.DUMMYFUNCTION("""COMPUTED_VALUE"""),"Cartel PVC 64x32 Fotolum. Salida de emergencia Pta. Abajo")</f>
        <v>Cartel PVC 64x32 Fotolum. Salida de emergencia Pta. Abajo</v>
      </c>
      <c r="C373" s="4">
        <f>IFERROR(__xludf.DUMMYFUNCTION("""COMPUTED_VALUE"""),4.300800000000001)</f>
        <v>4.3008</v>
      </c>
    </row>
    <row r="374">
      <c r="A374" s="4" t="str">
        <f>IFERROR(__xludf.DUMMYFUNCTION("""COMPUTED_VALUE"""),"0327C")</f>
        <v>0327C</v>
      </c>
      <c r="B374" s="4" t="str">
        <f>IFERROR(__xludf.DUMMYFUNCTION("""COMPUTED_VALUE"""),"Cartel PVC 96x48 Fotolum. Salida de emergencia Pta. Abajo")</f>
        <v>Cartel PVC 96x48 Fotolum. Salida de emergencia Pta. Abajo</v>
      </c>
      <c r="C374" s="4">
        <f>IFERROR(__xludf.DUMMYFUNCTION("""COMPUTED_VALUE"""),8.601600000000001)</f>
        <v>8.6016</v>
      </c>
    </row>
    <row r="375">
      <c r="A375" s="4" t="str">
        <f>IFERROR(__xludf.DUMMYFUNCTION("""COMPUTED_VALUE"""),"0327CA")</f>
        <v>0327CA</v>
      </c>
      <c r="B375" s="4" t="str">
        <f>IFERROR(__xludf.DUMMYFUNCTION("""COMPUTED_VALUE"""),"Cartel PVC 96x48 Fotolum. Salida de emergencia Pta. Abajo")</f>
        <v>Cartel PVC 96x48 Fotolum. Salida de emergencia Pta. Abajo</v>
      </c>
      <c r="C375" s="4">
        <f>IFERROR(__xludf.DUMMYFUNCTION("""COMPUTED_VALUE"""),8.601600000000001)</f>
        <v>8.6016</v>
      </c>
    </row>
    <row r="376">
      <c r="A376" s="4" t="str">
        <f>IFERROR(__xludf.DUMMYFUNCTION("""COMPUTED_VALUE"""),"328")</f>
        <v>328</v>
      </c>
      <c r="B376" s="4" t="str">
        <f>IFERROR(__xludf.DUMMYFUNCTION("""COMPUTED_VALUE"""),"Cartel PVC 21x30 Fotolum. Aseos hombres")</f>
        <v>Cartel PVC 21x30 Fotolum. Aseos hombres</v>
      </c>
      <c r="C376" s="4">
        <f>IFERROR(__xludf.DUMMYFUNCTION("""COMPUTED_VALUE"""),2.496)</f>
        <v>2.496</v>
      </c>
    </row>
    <row r="377">
      <c r="A377" s="4" t="str">
        <f>IFERROR(__xludf.DUMMYFUNCTION("""COMPUTED_VALUE"""),"0328A")</f>
        <v>0328A</v>
      </c>
      <c r="B377" s="4" t="str">
        <f>IFERROR(__xludf.DUMMYFUNCTION("""COMPUTED_VALUE"""),"Cartel PVC 21x30 Fotolum. Aseos masculino")</f>
        <v>Cartel PVC 21x30 Fotolum. Aseos masculino</v>
      </c>
      <c r="C377" s="4">
        <f>IFERROR(__xludf.DUMMYFUNCTION("""COMPUTED_VALUE"""),2.4192)</f>
        <v>2.4192</v>
      </c>
    </row>
    <row r="378">
      <c r="A378" s="4" t="str">
        <f>IFERROR(__xludf.DUMMYFUNCTION("""COMPUTED_VALUE"""),"0328B")</f>
        <v>0328B</v>
      </c>
      <c r="B378" s="4" t="str">
        <f>IFERROR(__xludf.DUMMYFUNCTION("""COMPUTED_VALUE"""),"Cartel PVC 40x30 Fotolum. Aseos Masculino")</f>
        <v>Cartel PVC 40x30 Fotolum. Aseos Masculino</v>
      </c>
      <c r="C378" s="4">
        <f>IFERROR(__xludf.DUMMYFUNCTION("""COMPUTED_VALUE"""),2.976)</f>
        <v>2.976</v>
      </c>
    </row>
    <row r="379">
      <c r="A379" s="4" t="str">
        <f>IFERROR(__xludf.DUMMYFUNCTION("""COMPUTED_VALUE"""),"329")</f>
        <v>329</v>
      </c>
      <c r="B379" s="4" t="str">
        <f>IFERROR(__xludf.DUMMYFUNCTION("""COMPUTED_VALUE"""),"Cartel PVC 21x30 Fotolum. Aseos mujeres")</f>
        <v>Cartel PVC 21x30 Fotolum. Aseos mujeres</v>
      </c>
      <c r="C379" s="4">
        <f>IFERROR(__xludf.DUMMYFUNCTION("""COMPUTED_VALUE"""),2.496)</f>
        <v>2.496</v>
      </c>
    </row>
    <row r="380">
      <c r="A380" s="4" t="str">
        <f>IFERROR(__xludf.DUMMYFUNCTION("""COMPUTED_VALUE"""),"0329A")</f>
        <v>0329A</v>
      </c>
      <c r="B380" s="4" t="str">
        <f>IFERROR(__xludf.DUMMYFUNCTION("""COMPUTED_VALUE"""),"Cartel PVC 21x30 Fotolum. Aseos femenino")</f>
        <v>Cartel PVC 21x30 Fotolum. Aseos femenino</v>
      </c>
      <c r="C380" s="4">
        <f>IFERROR(__xludf.DUMMYFUNCTION("""COMPUTED_VALUE"""),2.4192)</f>
        <v>2.4192</v>
      </c>
    </row>
    <row r="381">
      <c r="A381" s="4" t="str">
        <f>IFERROR(__xludf.DUMMYFUNCTION("""COMPUTED_VALUE"""),"0329B")</f>
        <v>0329B</v>
      </c>
      <c r="B381" s="4" t="str">
        <f>IFERROR(__xludf.DUMMYFUNCTION("""COMPUTED_VALUE"""),"Cartel PVC 40x30 Fotolum. Aseos femenino")</f>
        <v>Cartel PVC 40x30 Fotolum. Aseos femenino</v>
      </c>
      <c r="C381" s="4">
        <f>IFERROR(__xludf.DUMMYFUNCTION("""COMPUTED_VALUE"""),2.976)</f>
        <v>2.976</v>
      </c>
    </row>
    <row r="382">
      <c r="A382" s="4" t="str">
        <f>IFERROR(__xludf.DUMMYFUNCTION("""COMPUTED_VALUE"""),"330")</f>
        <v>330</v>
      </c>
      <c r="B382" s="4" t="str">
        <f>IFERROR(__xludf.DUMMYFUNCTION("""COMPUTED_VALUE"""),"Cartel PVC 21x30 Fotolum. Mujeres/Hombres")</f>
        <v>Cartel PVC 21x30 Fotolum. Mujeres/Hombres</v>
      </c>
      <c r="C382" s="4">
        <f>IFERROR(__xludf.DUMMYFUNCTION("""COMPUTED_VALUE"""),2.496)</f>
        <v>2.496</v>
      </c>
    </row>
    <row r="383">
      <c r="A383" s="4" t="str">
        <f>IFERROR(__xludf.DUMMYFUNCTION("""COMPUTED_VALUE"""),"0330A")</f>
        <v>0330A</v>
      </c>
      <c r="B383" s="4" t="str">
        <f>IFERROR(__xludf.DUMMYFUNCTION("""COMPUTED_VALUE"""),"Cartel PVC 21x30 Fotolum. Aseos mixtos")</f>
        <v>Cartel PVC 21x30 Fotolum. Aseos mixtos</v>
      </c>
      <c r="C383" s="4">
        <f>IFERROR(__xludf.DUMMYFUNCTION("""COMPUTED_VALUE"""),2.4192)</f>
        <v>2.4192</v>
      </c>
    </row>
    <row r="384">
      <c r="A384" s="4" t="str">
        <f>IFERROR(__xludf.DUMMYFUNCTION("""COMPUTED_VALUE"""),"0330B")</f>
        <v>0330B</v>
      </c>
      <c r="B384" s="4" t="str">
        <f>IFERROR(__xludf.DUMMYFUNCTION("""COMPUTED_VALUE"""),"Cartel PVC 40x30 Fotolum. Aseos mixtos")</f>
        <v>Cartel PVC 40x30 Fotolum. Aseos mixtos</v>
      </c>
      <c r="C384" s="4">
        <f>IFERROR(__xludf.DUMMYFUNCTION("""COMPUTED_VALUE"""),2.976)</f>
        <v>2.976</v>
      </c>
    </row>
    <row r="385">
      <c r="A385" s="4" t="str">
        <f>IFERROR(__xludf.DUMMYFUNCTION("""COMPUTED_VALUE"""),"331")</f>
        <v>331</v>
      </c>
      <c r="B385" s="4" t="str">
        <f>IFERROR(__xludf.DUMMYFUNCTION("""COMPUTED_VALUE"""),"Cartel PVC 21x29 Fotolum. HIDRANTE")</f>
        <v>Cartel PVC 21x29 Fotolum. HIDRANTE</v>
      </c>
      <c r="C385" s="4">
        <f>IFERROR(__xludf.DUMMYFUNCTION("""COMPUTED_VALUE"""),2.496)</f>
        <v>2.496</v>
      </c>
    </row>
    <row r="386">
      <c r="A386" s="4" t="str">
        <f>IFERROR(__xludf.DUMMYFUNCTION("""COMPUTED_VALUE"""),"332")</f>
        <v>332</v>
      </c>
      <c r="B386" s="4" t="str">
        <f>IFERROR(__xludf.DUMMYFUNCTION("""COMPUTED_VALUE"""),"Cartel PVC 21x30 Fotolum. Salida Emerg. puerta dcha")</f>
        <v>Cartel PVC 21x30 Fotolum. Salida Emerg. puerta dcha</v>
      </c>
      <c r="C386" s="4">
        <f>IFERROR(__xludf.DUMMYFUNCTION("""COMPUTED_VALUE"""),2.496)</f>
        <v>2.496</v>
      </c>
    </row>
    <row r="387">
      <c r="A387" s="4" t="str">
        <f>IFERROR(__xludf.DUMMYFUNCTION("""COMPUTED_VALUE"""),"333")</f>
        <v>333</v>
      </c>
      <c r="B387" s="4" t="str">
        <f>IFERROR(__xludf.DUMMYFUNCTION("""COMPUTED_VALUE"""),"Cartel PVC 21x30 Fotolum. Salida Emerg. puerta abajo dcha.")</f>
        <v>Cartel PVC 21x30 Fotolum. Salida Emerg. puerta abajo dcha.</v>
      </c>
      <c r="C387" s="4">
        <f>IFERROR(__xludf.DUMMYFUNCTION("""COMPUTED_VALUE"""),2.496)</f>
        <v>2.496</v>
      </c>
    </row>
    <row r="388">
      <c r="A388" s="4" t="str">
        <f>IFERROR(__xludf.DUMMYFUNCTION("""COMPUTED_VALUE"""),"334")</f>
        <v>334</v>
      </c>
      <c r="B388" s="4" t="str">
        <f>IFERROR(__xludf.DUMMYFUNCTION("""COMPUTED_VALUE"""),"Cartel PVC 21x30 Fotolum. Salida Emerg. puerta izq.")</f>
        <v>Cartel PVC 21x30 Fotolum. Salida Emerg. puerta izq.</v>
      </c>
      <c r="C388" s="4">
        <f>IFERROR(__xludf.DUMMYFUNCTION("""COMPUTED_VALUE"""),2.496)</f>
        <v>2.496</v>
      </c>
    </row>
    <row r="389">
      <c r="A389" s="4" t="str">
        <f>IFERROR(__xludf.DUMMYFUNCTION("""COMPUTED_VALUE"""),"335")</f>
        <v>335</v>
      </c>
      <c r="B389" s="4" t="str">
        <f>IFERROR(__xludf.DUMMYFUNCTION("""COMPUTED_VALUE"""),"Cartel PVC 21x30 Fotolum. Salida Emerg. puerta abajo izq.")</f>
        <v>Cartel PVC 21x30 Fotolum. Salida Emerg. puerta abajo izq.</v>
      </c>
      <c r="C389" s="4">
        <f>IFERROR(__xludf.DUMMYFUNCTION("""COMPUTED_VALUE"""),2.496)</f>
        <v>2.496</v>
      </c>
    </row>
    <row r="390">
      <c r="A390" s="4" t="str">
        <f>IFERROR(__xludf.DUMMYFUNCTION("""COMPUTED_VALUE"""),"336")</f>
        <v>336</v>
      </c>
      <c r="B390" s="4" t="str">
        <f>IFERROR(__xludf.DUMMYFUNCTION("""COMPUTED_VALUE"""),"Cartel PVC 21x30 Fotolum. Salida Emerg. escalera abajo izq.")</f>
        <v>Cartel PVC 21x30 Fotolum. Salida Emerg. escalera abajo izq.</v>
      </c>
      <c r="C390" s="4">
        <f>IFERROR(__xludf.DUMMYFUNCTION("""COMPUTED_VALUE"""),2.496)</f>
        <v>2.496</v>
      </c>
    </row>
    <row r="391">
      <c r="A391" s="4" t="str">
        <f>IFERROR(__xludf.DUMMYFUNCTION("""COMPUTED_VALUE"""),"0336A")</f>
        <v>0336A</v>
      </c>
      <c r="B391" s="4" t="str">
        <f>IFERROR(__xludf.DUMMYFUNCTION("""COMPUTED_VALUE"""),"Cartel PVC 32x16 Fotolum. Escal. de emergencia izq abajo")</f>
        <v>Cartel PVC 32x16 Fotolum. Escal. de emergencia izq abajo</v>
      </c>
      <c r="C391" s="4">
        <f>IFERROR(__xludf.DUMMYFUNCTION("""COMPUTED_VALUE"""),2.16)</f>
        <v>2.16</v>
      </c>
    </row>
    <row r="392">
      <c r="A392" s="4" t="str">
        <f>IFERROR(__xludf.DUMMYFUNCTION("""COMPUTED_VALUE"""),"0336B")</f>
        <v>0336B</v>
      </c>
      <c r="B392" s="4" t="str">
        <f>IFERROR(__xludf.DUMMYFUNCTION("""COMPUTED_VALUE"""),"Cartel PVC 64x32 Fotolum. Escal. de emergencia izq abajo")</f>
        <v>Cartel PVC 64x32 Fotolum. Escal. de emergencia izq abajo</v>
      </c>
      <c r="C392" s="4">
        <f>IFERROR(__xludf.DUMMYFUNCTION("""COMPUTED_VALUE"""),4.300800000000001)</f>
        <v>4.3008</v>
      </c>
    </row>
    <row r="393">
      <c r="A393" s="4" t="str">
        <f>IFERROR(__xludf.DUMMYFUNCTION("""COMPUTED_VALUE"""),"337")</f>
        <v>337</v>
      </c>
      <c r="B393" s="4" t="str">
        <f>IFERROR(__xludf.DUMMYFUNCTION("""COMPUTED_VALUE"""),"Cartel PVC 21x30 Fotolum. Salida Emerg.escalera arriba dcha.")</f>
        <v>Cartel PVC 21x30 Fotolum. Salida Emerg.escalera arriba dcha.</v>
      </c>
      <c r="C393" s="4">
        <f>IFERROR(__xludf.DUMMYFUNCTION("""COMPUTED_VALUE"""),2.496)</f>
        <v>2.496</v>
      </c>
    </row>
    <row r="394">
      <c r="A394" s="4" t="str">
        <f>IFERROR(__xludf.DUMMYFUNCTION("""COMPUTED_VALUE"""),"0337A")</f>
        <v>0337A</v>
      </c>
      <c r="B394" s="4" t="str">
        <f>IFERROR(__xludf.DUMMYFUNCTION("""COMPUTED_VALUE"""),"Cartel PVC 32x16 Fotolum. Escal. de emergencia dcha arriba")</f>
        <v>Cartel PVC 32x16 Fotolum. Escal. de emergencia dcha arriba</v>
      </c>
      <c r="C394" s="4">
        <f>IFERROR(__xludf.DUMMYFUNCTION("""COMPUTED_VALUE"""),2.16)</f>
        <v>2.16</v>
      </c>
    </row>
    <row r="395">
      <c r="A395" s="4" t="str">
        <f>IFERROR(__xludf.DUMMYFUNCTION("""COMPUTED_VALUE"""),"0337B")</f>
        <v>0337B</v>
      </c>
      <c r="B395" s="4" t="str">
        <f>IFERROR(__xludf.DUMMYFUNCTION("""COMPUTED_VALUE"""),"Cartel PVC 64x32 Fotolum. Escal. de emergencia dcha arriba")</f>
        <v>Cartel PVC 64x32 Fotolum. Escal. de emergencia dcha arriba</v>
      </c>
      <c r="C395" s="4">
        <f>IFERROR(__xludf.DUMMYFUNCTION("""COMPUTED_VALUE"""),4.300800000000001)</f>
        <v>4.3008</v>
      </c>
    </row>
    <row r="396">
      <c r="A396" s="4" t="str">
        <f>IFERROR(__xludf.DUMMYFUNCTION("""COMPUTED_VALUE"""),"0337C")</f>
        <v>0337C</v>
      </c>
      <c r="B396" s="4" t="str">
        <f>IFERROR(__xludf.DUMMYFUNCTION("""COMPUTED_VALUE"""),"Cartel PVC 96x48 Fotolum. Escal. de emergencia dcha arriba")</f>
        <v>Cartel PVC 96x48 Fotolum. Escal. de emergencia dcha arriba</v>
      </c>
      <c r="C396" s="4">
        <f>IFERROR(__xludf.DUMMYFUNCTION("""COMPUTED_VALUE"""),8.601600000000001)</f>
        <v>8.6016</v>
      </c>
    </row>
    <row r="397">
      <c r="A397" s="4" t="str">
        <f>IFERROR(__xludf.DUMMYFUNCTION("""COMPUTED_VALUE"""),"338")</f>
        <v>338</v>
      </c>
      <c r="B397" s="4" t="str">
        <f>IFERROR(__xludf.DUMMYFUNCTION("""COMPUTED_VALUE"""),"Cartel PVC 21x30 Fotolum. Salida Emerg. escalera abajo dcha")</f>
        <v>Cartel PVC 21x30 Fotolum. Salida Emerg. escalera abajo dcha</v>
      </c>
      <c r="C397" s="4">
        <f>IFERROR(__xludf.DUMMYFUNCTION("""COMPUTED_VALUE"""),2.496)</f>
        <v>2.496</v>
      </c>
    </row>
    <row r="398">
      <c r="A398" s="4" t="str">
        <f>IFERROR(__xludf.DUMMYFUNCTION("""COMPUTED_VALUE"""),"0338A")</f>
        <v>0338A</v>
      </c>
      <c r="B398" s="4" t="str">
        <f>IFERROR(__xludf.DUMMYFUNCTION("""COMPUTED_VALUE"""),"Cartel PVC 32x16 Fotolum. Escal. de emergencia dcha abajo")</f>
        <v>Cartel PVC 32x16 Fotolum. Escal. de emergencia dcha abajo</v>
      </c>
      <c r="C398" s="4">
        <f>IFERROR(__xludf.DUMMYFUNCTION("""COMPUTED_VALUE"""),2.16)</f>
        <v>2.16</v>
      </c>
    </row>
    <row r="399">
      <c r="A399" s="4" t="str">
        <f>IFERROR(__xludf.DUMMYFUNCTION("""COMPUTED_VALUE"""),"0338B")</f>
        <v>0338B</v>
      </c>
      <c r="B399" s="4" t="str">
        <f>IFERROR(__xludf.DUMMYFUNCTION("""COMPUTED_VALUE"""),"Cartel PVC 64x32 Fotolum. Escal. de emergencia dcha abajo")</f>
        <v>Cartel PVC 64x32 Fotolum. Escal. de emergencia dcha abajo</v>
      </c>
      <c r="C399" s="4">
        <f>IFERROR(__xludf.DUMMYFUNCTION("""COMPUTED_VALUE"""),4.300800000000001)</f>
        <v>4.3008</v>
      </c>
    </row>
    <row r="400">
      <c r="A400" s="4" t="str">
        <f>IFERROR(__xludf.DUMMYFUNCTION("""COMPUTED_VALUE"""),"339")</f>
        <v>339</v>
      </c>
      <c r="B400" s="4" t="str">
        <f>IFERROR(__xludf.DUMMYFUNCTION("""COMPUTED_VALUE"""),"Cartel PVC 21x30 Fotolum. Salida Emerg. escalera arriba izq.")</f>
        <v>Cartel PVC 21x30 Fotolum. Salida Emerg. escalera arriba izq.</v>
      </c>
      <c r="C400" s="4">
        <f>IFERROR(__xludf.DUMMYFUNCTION("""COMPUTED_VALUE"""),2.496)</f>
        <v>2.496</v>
      </c>
    </row>
    <row r="401">
      <c r="A401" s="4" t="str">
        <f>IFERROR(__xludf.DUMMYFUNCTION("""COMPUTED_VALUE"""),"0339A")</f>
        <v>0339A</v>
      </c>
      <c r="B401" s="4" t="str">
        <f>IFERROR(__xludf.DUMMYFUNCTION("""COMPUTED_VALUE"""),"Cartel PVC 32x16 Fotolum. Escal. de emergencia izq arriba")</f>
        <v>Cartel PVC 32x16 Fotolum. Escal. de emergencia izq arriba</v>
      </c>
      <c r="C401" s="4">
        <f>IFERROR(__xludf.DUMMYFUNCTION("""COMPUTED_VALUE"""),2.16)</f>
        <v>2.16</v>
      </c>
    </row>
    <row r="402">
      <c r="A402" s="4" t="str">
        <f>IFERROR(__xludf.DUMMYFUNCTION("""COMPUTED_VALUE"""),"0339B")</f>
        <v>0339B</v>
      </c>
      <c r="B402" s="4" t="str">
        <f>IFERROR(__xludf.DUMMYFUNCTION("""COMPUTED_VALUE"""),"Cartel PVC 64x32 Fotolum. Escal. de emergencia izq arriba")</f>
        <v>Cartel PVC 64x32 Fotolum. Escal. de emergencia izq arriba</v>
      </c>
      <c r="C402" s="4">
        <f>IFERROR(__xludf.DUMMYFUNCTION("""COMPUTED_VALUE"""),4.300800000000001)</f>
        <v>4.3008</v>
      </c>
    </row>
    <row r="403">
      <c r="A403" s="4" t="str">
        <f>IFERROR(__xludf.DUMMYFUNCTION("""COMPUTED_VALUE"""),"0339C")</f>
        <v>0339C</v>
      </c>
      <c r="B403" s="4" t="str">
        <f>IFERROR(__xludf.DUMMYFUNCTION("""COMPUTED_VALUE"""),"Cartel PVC 96x48 Fotolum. Escal. de emergencia izq arriba")</f>
        <v>Cartel PVC 96x48 Fotolum. Escal. de emergencia izq arriba</v>
      </c>
      <c r="C403" s="4">
        <f>IFERROR(__xludf.DUMMYFUNCTION("""COMPUTED_VALUE"""),8.601600000000001)</f>
        <v>8.6016</v>
      </c>
    </row>
    <row r="404">
      <c r="A404" s="4" t="str">
        <f>IFERROR(__xludf.DUMMYFUNCTION("""COMPUTED_VALUE"""),"340")</f>
        <v>340</v>
      </c>
      <c r="B404" s="4" t="str">
        <f>IFERROR(__xludf.DUMMYFUNCTION("""COMPUTED_VALUE"""),"Cartel PVC 40x30 Fotolum. SALIDA")</f>
        <v>Cartel PVC 40x30 Fotolum. SALIDA</v>
      </c>
      <c r="C404" s="4">
        <f>IFERROR(__xludf.DUMMYFUNCTION("""COMPUTED_VALUE"""),3.2159999999999997)</f>
        <v>3.216</v>
      </c>
    </row>
    <row r="405">
      <c r="A405" s="4" t="str">
        <f>IFERROR(__xludf.DUMMYFUNCTION("""COMPUTED_VALUE"""),"342")</f>
        <v>342</v>
      </c>
      <c r="B405" s="4" t="str">
        <f>IFERROR(__xludf.DUMMYFUNCTION("""COMPUTED_VALUE"""),"Cartel PVC 40x60 Riesgo de Incendio")</f>
        <v>Cartel PVC 40x60 Riesgo de Incendio</v>
      </c>
      <c r="C405" s="4">
        <f>IFERROR(__xludf.DUMMYFUNCTION("""COMPUTED_VALUE"""),4.56)</f>
        <v>4.56</v>
      </c>
    </row>
    <row r="406">
      <c r="A406" s="4" t="str">
        <f>IFERROR(__xludf.DUMMYFUNCTION("""COMPUTED_VALUE"""),"343")</f>
        <v>343</v>
      </c>
      <c r="B406" s="4" t="str">
        <f>IFERROR(__xludf.DUMMYFUNCTION("""COMPUTED_VALUE"""),"Cartel PVC 21x30 Fotolum. Extintor")</f>
        <v>Cartel PVC 21x30 Fotolum. Extintor</v>
      </c>
      <c r="C406" s="4">
        <f>IFERROR(__xludf.DUMMYFUNCTION("""COMPUTED_VALUE"""),2.496)</f>
        <v>2.496</v>
      </c>
    </row>
    <row r="407">
      <c r="A407" s="4" t="str">
        <f>IFERROR(__xludf.DUMMYFUNCTION("""COMPUTED_VALUE"""),"0343A")</f>
        <v>0343A</v>
      </c>
      <c r="B407" s="4" t="str">
        <f>IFERROR(__xludf.DUMMYFUNCTION("""COMPUTED_VALUE"""),"Cartel PVC 21x30 Fotolum. Extintor")</f>
        <v>Cartel PVC 21x30 Fotolum. Extintor</v>
      </c>
      <c r="C407" s="4">
        <f>IFERROR(__xludf.DUMMYFUNCTION("""COMPUTED_VALUE"""),2.4192)</f>
        <v>2.4192</v>
      </c>
    </row>
    <row r="408">
      <c r="A408" s="4" t="str">
        <f>IFERROR(__xludf.DUMMYFUNCTION("""COMPUTED_VALUE"""),"0343B")</f>
        <v>0343B</v>
      </c>
      <c r="B408" s="4" t="str">
        <f>IFERROR(__xludf.DUMMYFUNCTION("""COMPUTED_VALUE"""),"Cartel PVC 40x30 Fotolum. Extintor")</f>
        <v>Cartel PVC 40x30 Fotolum. Extintor</v>
      </c>
      <c r="C408" s="4">
        <f>IFERROR(__xludf.DUMMYFUNCTION("""COMPUTED_VALUE"""),2.976)</f>
        <v>2.976</v>
      </c>
    </row>
    <row r="409">
      <c r="A409" s="4" t="str">
        <f>IFERROR(__xludf.DUMMYFUNCTION("""COMPUTED_VALUE"""),"0343CO")</f>
        <v>0343CO</v>
      </c>
      <c r="B409" s="4" t="str">
        <f>IFERROR(__xludf.DUMMYFUNCTION("""COMPUTED_VALUE"""),"Cartel PVC 21x30 Fotolum. Extintor Co2")</f>
        <v>Cartel PVC 21x30 Fotolum. Extintor Co2</v>
      </c>
      <c r="C409" s="4">
        <f>IFERROR(__xludf.DUMMYFUNCTION("""COMPUTED_VALUE"""),2.496)</f>
        <v>2.496</v>
      </c>
    </row>
    <row r="410">
      <c r="A410" s="4" t="str">
        <f>IFERROR(__xludf.DUMMYFUNCTION("""COMPUTED_VALUE"""),"344")</f>
        <v>344</v>
      </c>
      <c r="B410" s="4" t="str">
        <f>IFERROR(__xludf.DUMMYFUNCTION("""COMPUTED_VALUE"""),"Cartel PVC 21x30 Fotolum. Salida")</f>
        <v>Cartel PVC 21x30 Fotolum. Salida</v>
      </c>
      <c r="C410" s="4">
        <f>IFERROR(__xludf.DUMMYFUNCTION("""COMPUTED_VALUE"""),2.496)</f>
        <v>2.496</v>
      </c>
    </row>
    <row r="411">
      <c r="A411" s="4" t="str">
        <f>IFERROR(__xludf.DUMMYFUNCTION("""COMPUTED_VALUE"""),"0344A")</f>
        <v>0344A</v>
      </c>
      <c r="B411" s="4" t="str">
        <f>IFERROR(__xludf.DUMMYFUNCTION("""COMPUTED_VALUE"""),"Cartel PVC 32x16 Fotolum. Salida")</f>
        <v>Cartel PVC 32x16 Fotolum. Salida</v>
      </c>
      <c r="C411" s="4">
        <f>IFERROR(__xludf.DUMMYFUNCTION("""COMPUTED_VALUE"""),2.16)</f>
        <v>2.16</v>
      </c>
    </row>
    <row r="412">
      <c r="A412" s="4" t="str">
        <f>IFERROR(__xludf.DUMMYFUNCTION("""COMPUTED_VALUE"""),"0344B")</f>
        <v>0344B</v>
      </c>
      <c r="B412" s="4" t="str">
        <f>IFERROR(__xludf.DUMMYFUNCTION("""COMPUTED_VALUE"""),"Cartel PVC 64x32 Fotolum. Salida")</f>
        <v>Cartel PVC 64x32 Fotolum. Salida</v>
      </c>
      <c r="C412" s="4">
        <f>IFERROR(__xludf.DUMMYFUNCTION("""COMPUTED_VALUE"""),4.300800000000001)</f>
        <v>4.3008</v>
      </c>
    </row>
    <row r="413">
      <c r="A413" s="4" t="str">
        <f>IFERROR(__xludf.DUMMYFUNCTION("""COMPUTED_VALUE"""),"345")</f>
        <v>345</v>
      </c>
      <c r="B413" s="4" t="str">
        <f>IFERROR(__xludf.DUMMYFUNCTION("""COMPUTED_VALUE"""),"Señal PVC 21x29 Fotolum. avisador sonoro")</f>
        <v>Señal PVC 21x29 Fotolum. avisador sonoro</v>
      </c>
      <c r="C413" s="4">
        <f>IFERROR(__xludf.DUMMYFUNCTION("""COMPUTED_VALUE"""),2.496)</f>
        <v>2.496</v>
      </c>
    </row>
    <row r="414">
      <c r="A414" s="4" t="str">
        <f>IFERROR(__xludf.DUMMYFUNCTION("""COMPUTED_VALUE"""),"346")</f>
        <v>346</v>
      </c>
      <c r="B414" s="4" t="str">
        <f>IFERROR(__xludf.DUMMYFUNCTION("""COMPUTED_VALUE"""),"Cartel PVC 21x30 Fotolum. Extintor dcha")</f>
        <v>Cartel PVC 21x30 Fotolum. Extintor dcha</v>
      </c>
      <c r="C414" s="4">
        <f>IFERROR(__xludf.DUMMYFUNCTION("""COMPUTED_VALUE"""),2.496)</f>
        <v>2.496</v>
      </c>
    </row>
    <row r="415">
      <c r="A415" s="4" t="str">
        <f>IFERROR(__xludf.DUMMYFUNCTION("""COMPUTED_VALUE"""),"0346A")</f>
        <v>0346A</v>
      </c>
      <c r="B415" s="4" t="str">
        <f>IFERROR(__xludf.DUMMYFUNCTION("""COMPUTED_VALUE"""),"Cartel PVC 32x16 Fotolum. Extintor derecha")</f>
        <v>Cartel PVC 32x16 Fotolum. Extintor derecha</v>
      </c>
      <c r="C415" s="4">
        <f>IFERROR(__xludf.DUMMYFUNCTION("""COMPUTED_VALUE"""),2.16)</f>
        <v>2.16</v>
      </c>
    </row>
    <row r="416">
      <c r="A416" s="4" t="str">
        <f>IFERROR(__xludf.DUMMYFUNCTION("""COMPUTED_VALUE"""),"0346B")</f>
        <v>0346B</v>
      </c>
      <c r="B416" s="4" t="str">
        <f>IFERROR(__xludf.DUMMYFUNCTION("""COMPUTED_VALUE"""),"Cartel PVC 64x32 Fotolum. Extintor derecha")</f>
        <v>Cartel PVC 64x32 Fotolum. Extintor derecha</v>
      </c>
      <c r="C416" s="4">
        <f>IFERROR(__xludf.DUMMYFUNCTION("""COMPUTED_VALUE"""),4.300800000000001)</f>
        <v>4.3008</v>
      </c>
    </row>
    <row r="417">
      <c r="A417" s="4" t="str">
        <f>IFERROR(__xludf.DUMMYFUNCTION("""COMPUTED_VALUE"""),"0346C")</f>
        <v>0346C</v>
      </c>
      <c r="B417" s="4" t="str">
        <f>IFERROR(__xludf.DUMMYFUNCTION("""COMPUTED_VALUE"""),"Cartel PVC 96x48 Fotolum. Extintor derecha")</f>
        <v>Cartel PVC 96x48 Fotolum. Extintor derecha</v>
      </c>
      <c r="C417" s="4">
        <f>IFERROR(__xludf.DUMMYFUNCTION("""COMPUTED_VALUE"""),8.601600000000001)</f>
        <v>8.6016</v>
      </c>
    </row>
    <row r="418">
      <c r="A418" s="4" t="str">
        <f>IFERROR(__xludf.DUMMYFUNCTION("""COMPUTED_VALUE"""),"347")</f>
        <v>347</v>
      </c>
      <c r="B418" s="4" t="str">
        <f>IFERROR(__xludf.DUMMYFUNCTION("""COMPUTED_VALUE"""),"Cartel PVC 21x30 Fotolum. Extintor Izq.")</f>
        <v>Cartel PVC 21x30 Fotolum. Extintor Izq.</v>
      </c>
      <c r="C418" s="4">
        <f>IFERROR(__xludf.DUMMYFUNCTION("""COMPUTED_VALUE"""),2.496)</f>
        <v>2.496</v>
      </c>
    </row>
    <row r="419">
      <c r="A419" s="4" t="str">
        <f>IFERROR(__xludf.DUMMYFUNCTION("""COMPUTED_VALUE"""),"0347A")</f>
        <v>0347A</v>
      </c>
      <c r="B419" s="4" t="str">
        <f>IFERROR(__xludf.DUMMYFUNCTION("""COMPUTED_VALUE"""),"Cartel PVC 32x16 Fotolum. Extintor izquierda")</f>
        <v>Cartel PVC 32x16 Fotolum. Extintor izquierda</v>
      </c>
      <c r="C419" s="4">
        <f>IFERROR(__xludf.DUMMYFUNCTION("""COMPUTED_VALUE"""),2.16)</f>
        <v>2.16</v>
      </c>
    </row>
    <row r="420">
      <c r="A420" s="4" t="str">
        <f>IFERROR(__xludf.DUMMYFUNCTION("""COMPUTED_VALUE"""),"0347B")</f>
        <v>0347B</v>
      </c>
      <c r="B420" s="4" t="str">
        <f>IFERROR(__xludf.DUMMYFUNCTION("""COMPUTED_VALUE"""),"Cartel PVC 64x32 Fotolum. Extintor izquierda")</f>
        <v>Cartel PVC 64x32 Fotolum. Extintor izquierda</v>
      </c>
      <c r="C420" s="4">
        <f>IFERROR(__xludf.DUMMYFUNCTION("""COMPUTED_VALUE"""),4.300800000000001)</f>
        <v>4.3008</v>
      </c>
    </row>
    <row r="421">
      <c r="A421" s="4" t="str">
        <f>IFERROR(__xludf.DUMMYFUNCTION("""COMPUTED_VALUE"""),"0347C")</f>
        <v>0347C</v>
      </c>
      <c r="B421" s="4" t="str">
        <f>IFERROR(__xludf.DUMMYFUNCTION("""COMPUTED_VALUE"""),"Cartel PVC 96x48 Fotolum. Extintor izquierda")</f>
        <v>Cartel PVC 96x48 Fotolum. Extintor izquierda</v>
      </c>
      <c r="C421" s="4">
        <f>IFERROR(__xludf.DUMMYFUNCTION("""COMPUTED_VALUE"""),8.601600000000001)</f>
        <v>8.6016</v>
      </c>
    </row>
    <row r="422">
      <c r="A422" s="4" t="str">
        <f>IFERROR(__xludf.DUMMYFUNCTION("""COMPUTED_VALUE"""),"348")</f>
        <v>348</v>
      </c>
      <c r="B422" s="4" t="str">
        <f>IFERROR(__xludf.DUMMYFUNCTION("""COMPUTED_VALUE"""),"Cartel PVC 15x15 Fotolum. Pulsador de Alarma")</f>
        <v>Cartel PVC 15x15 Fotolum. Pulsador de Alarma</v>
      </c>
      <c r="C422" s="4">
        <f>IFERROR(__xludf.DUMMYFUNCTION("""COMPUTED_VALUE"""),1.6127999999999998)</f>
        <v>1.6128</v>
      </c>
    </row>
    <row r="423">
      <c r="A423" s="4" t="str">
        <f>IFERROR(__xludf.DUMMYFUNCTION("""COMPUTED_VALUE"""),"349")</f>
        <v>349</v>
      </c>
      <c r="B423" s="4" t="str">
        <f>IFERROR(__xludf.DUMMYFUNCTION("""COMPUTED_VALUE"""),"Cartel PVC 21x30 Fotolum. Boca Incendios")</f>
        <v>Cartel PVC 21x30 Fotolum. Boca Incendios</v>
      </c>
      <c r="C423" s="4">
        <f>IFERROR(__xludf.DUMMYFUNCTION("""COMPUTED_VALUE"""),2.496)</f>
        <v>2.496</v>
      </c>
    </row>
    <row r="424">
      <c r="A424" s="4" t="str">
        <f>IFERROR(__xludf.DUMMYFUNCTION("""COMPUTED_VALUE"""),"0349A")</f>
        <v>0349A</v>
      </c>
      <c r="B424" s="4" t="str">
        <f>IFERROR(__xludf.DUMMYFUNCTION("""COMPUTED_VALUE"""),"Cartel PVC 21x30 Fotolum. Boca de incendio")</f>
        <v>Cartel PVC 21x30 Fotolum. Boca de incendio</v>
      </c>
      <c r="C424" s="4">
        <f>IFERROR(__xludf.DUMMYFUNCTION("""COMPUTED_VALUE"""),2.4192)</f>
        <v>2.4192</v>
      </c>
    </row>
    <row r="425">
      <c r="A425" s="4" t="str">
        <f>IFERROR(__xludf.DUMMYFUNCTION("""COMPUTED_VALUE"""),"0349B")</f>
        <v>0349B</v>
      </c>
      <c r="B425" s="4" t="str">
        <f>IFERROR(__xludf.DUMMYFUNCTION("""COMPUTED_VALUE"""),"Cartel PVC 40x30 Fotolum. Boca de incendio")</f>
        <v>Cartel PVC 40x30 Fotolum. Boca de incendio</v>
      </c>
      <c r="C425" s="4">
        <f>IFERROR(__xludf.DUMMYFUNCTION("""COMPUTED_VALUE"""),2.976)</f>
        <v>2.976</v>
      </c>
    </row>
    <row r="426">
      <c r="A426" s="4" t="str">
        <f>IFERROR(__xludf.DUMMYFUNCTION("""COMPUTED_VALUE"""),"350")</f>
        <v>350</v>
      </c>
      <c r="B426" s="4" t="str">
        <f>IFERROR(__xludf.DUMMYFUNCTION("""COMPUTED_VALUE"""),"Cartel PVC 21x30 Fotolum. Boca Incendios dcha")</f>
        <v>Cartel PVC 21x30 Fotolum. Boca Incendios dcha</v>
      </c>
      <c r="C426" s="4">
        <f>IFERROR(__xludf.DUMMYFUNCTION("""COMPUTED_VALUE"""),2.496)</f>
        <v>2.496</v>
      </c>
    </row>
    <row r="427">
      <c r="A427" s="4" t="str">
        <f>IFERROR(__xludf.DUMMYFUNCTION("""COMPUTED_VALUE"""),"0350A")</f>
        <v>0350A</v>
      </c>
      <c r="B427" s="4" t="str">
        <f>IFERROR(__xludf.DUMMYFUNCTION("""COMPUTED_VALUE"""),"Cartel PVC 32x16 Fotolum. Boca Incendios dcha")</f>
        <v>Cartel PVC 32x16 Fotolum. Boca Incendios dcha</v>
      </c>
      <c r="C427" s="4">
        <f>IFERROR(__xludf.DUMMYFUNCTION("""COMPUTED_VALUE"""),1.9103999999999999)</f>
        <v>1.9104</v>
      </c>
    </row>
    <row r="428">
      <c r="A428" s="4" t="str">
        <f>IFERROR(__xludf.DUMMYFUNCTION("""COMPUTED_VALUE"""),"0350B")</f>
        <v>0350B</v>
      </c>
      <c r="B428" s="4" t="str">
        <f>IFERROR(__xludf.DUMMYFUNCTION("""COMPUTED_VALUE"""),"Cartel PVC 64x32 Fotolum. Boca Incendios dcha")</f>
        <v>Cartel PVC 64x32 Fotolum. Boca Incendios dcha</v>
      </c>
      <c r="C428" s="4">
        <f>IFERROR(__xludf.DUMMYFUNCTION("""COMPUTED_VALUE"""),4.300800000000001)</f>
        <v>4.3008</v>
      </c>
    </row>
    <row r="429">
      <c r="A429" s="4" t="str">
        <f>IFERROR(__xludf.DUMMYFUNCTION("""COMPUTED_VALUE"""),"0350C")</f>
        <v>0350C</v>
      </c>
      <c r="B429" s="4" t="str">
        <f>IFERROR(__xludf.DUMMYFUNCTION("""COMPUTED_VALUE"""),"Cartel PVC 96x48 Fotolum. Boca Incendios dcha")</f>
        <v>Cartel PVC 96x48 Fotolum. Boca Incendios dcha</v>
      </c>
      <c r="C429" s="4">
        <f>IFERROR(__xludf.DUMMYFUNCTION("""COMPUTED_VALUE"""),8.601600000000001)</f>
        <v>8.6016</v>
      </c>
    </row>
    <row r="430">
      <c r="A430" s="4" t="str">
        <f>IFERROR(__xludf.DUMMYFUNCTION("""COMPUTED_VALUE"""),"351")</f>
        <v>351</v>
      </c>
      <c r="B430" s="4" t="str">
        <f>IFERROR(__xludf.DUMMYFUNCTION("""COMPUTED_VALUE"""),"Cartel PVC 21x30 Fotolum. Boca Incendios Izq.")</f>
        <v>Cartel PVC 21x30 Fotolum. Boca Incendios Izq.</v>
      </c>
      <c r="C430" s="4">
        <f>IFERROR(__xludf.DUMMYFUNCTION("""COMPUTED_VALUE"""),2.496)</f>
        <v>2.496</v>
      </c>
    </row>
    <row r="431">
      <c r="A431" s="4" t="str">
        <f>IFERROR(__xludf.DUMMYFUNCTION("""COMPUTED_VALUE"""),"0351A")</f>
        <v>0351A</v>
      </c>
      <c r="B431" s="4" t="str">
        <f>IFERROR(__xludf.DUMMYFUNCTION("""COMPUTED_VALUE"""),"Cartel PVC 32x16 Fotolum. Boca Incendios izq")</f>
        <v>Cartel PVC 32x16 Fotolum. Boca Incendios izq</v>
      </c>
      <c r="C431" s="4">
        <f>IFERROR(__xludf.DUMMYFUNCTION("""COMPUTED_VALUE"""),2.16)</f>
        <v>2.16</v>
      </c>
    </row>
    <row r="432">
      <c r="A432" s="4" t="str">
        <f>IFERROR(__xludf.DUMMYFUNCTION("""COMPUTED_VALUE"""),"0351B")</f>
        <v>0351B</v>
      </c>
      <c r="B432" s="4" t="str">
        <f>IFERROR(__xludf.DUMMYFUNCTION("""COMPUTED_VALUE"""),"Cartel PVC 64x32 Fotolum. Boca Incendios izq")</f>
        <v>Cartel PVC 64x32 Fotolum. Boca Incendios izq</v>
      </c>
      <c r="C432" s="4">
        <f>IFERROR(__xludf.DUMMYFUNCTION("""COMPUTED_VALUE"""),4.300800000000001)</f>
        <v>4.3008</v>
      </c>
    </row>
    <row r="433">
      <c r="A433" s="4" t="str">
        <f>IFERROR(__xludf.DUMMYFUNCTION("""COMPUTED_VALUE"""),"0351C")</f>
        <v>0351C</v>
      </c>
      <c r="B433" s="4" t="str">
        <f>IFERROR(__xludf.DUMMYFUNCTION("""COMPUTED_VALUE"""),"Cartel PVC 96x48 Fotolum. Boca Incendios izq")</f>
        <v>Cartel PVC 96x48 Fotolum. Boca Incendios izq</v>
      </c>
      <c r="C433" s="4">
        <f>IFERROR(__xludf.DUMMYFUNCTION("""COMPUTED_VALUE"""),8.601600000000001)</f>
        <v>8.6016</v>
      </c>
    </row>
    <row r="434">
      <c r="A434" s="4" t="str">
        <f>IFERROR(__xludf.DUMMYFUNCTION("""COMPUTED_VALUE"""),"352")</f>
        <v>352</v>
      </c>
      <c r="B434" s="4" t="str">
        <f>IFERROR(__xludf.DUMMYFUNCTION("""COMPUTED_VALUE"""),"Cartel PVC 21x21 Fotolum. Manguera")</f>
        <v>Cartel PVC 21x21 Fotolum. Manguera</v>
      </c>
      <c r="C434" s="4">
        <f>IFERROR(__xludf.DUMMYFUNCTION("""COMPUTED_VALUE"""),2.2176)</f>
        <v>2.2176</v>
      </c>
    </row>
    <row r="435">
      <c r="A435" s="4" t="str">
        <f>IFERROR(__xludf.DUMMYFUNCTION("""COMPUTED_VALUE"""),"353")</f>
        <v>353</v>
      </c>
      <c r="B435" s="4" t="str">
        <f>IFERROR(__xludf.DUMMYFUNCTION("""COMPUTED_VALUE"""),"Cartel PVC 21x21 Fotolum. Extintor")</f>
        <v>Cartel PVC 21x21 Fotolum. Extintor</v>
      </c>
      <c r="C435" s="4">
        <f>IFERROR(__xludf.DUMMYFUNCTION("""COMPUTED_VALUE"""),2.2176)</f>
        <v>2.2176</v>
      </c>
    </row>
    <row r="436">
      <c r="A436" s="4" t="str">
        <f>IFERROR(__xludf.DUMMYFUNCTION("""COMPUTED_VALUE"""),"0353A")</f>
        <v>0353A</v>
      </c>
      <c r="B436" s="4" t="str">
        <f>IFERROR(__xludf.DUMMYFUNCTION("""COMPUTED_VALUE"""),"Cartel PVC 21x21 Fotolum. Extintor")</f>
        <v>Cartel PVC 21x21 Fotolum. Extintor</v>
      </c>
      <c r="C436" s="4">
        <f>IFERROR(__xludf.DUMMYFUNCTION("""COMPUTED_VALUE"""),2.2176)</f>
        <v>2.2176</v>
      </c>
    </row>
    <row r="437">
      <c r="A437" s="4" t="str">
        <f>IFERROR(__xludf.DUMMYFUNCTION("""COMPUTED_VALUE"""),"0353B")</f>
        <v>0353B</v>
      </c>
      <c r="B437" s="4" t="str">
        <f>IFERROR(__xludf.DUMMYFUNCTION("""COMPUTED_VALUE"""),"Cartel PVC 42x42 Fotolum. Extintor")</f>
        <v>Cartel PVC 42x42 Fotolum. Extintor</v>
      </c>
      <c r="C437" s="4">
        <f>IFERROR(__xludf.DUMMYFUNCTION("""COMPUTED_VALUE"""),3.7439999999999998)</f>
        <v>3.744</v>
      </c>
    </row>
    <row r="438">
      <c r="A438" s="4" t="str">
        <f>IFERROR(__xludf.DUMMYFUNCTION("""COMPUTED_VALUE"""),"0353C")</f>
        <v>0353C</v>
      </c>
      <c r="B438" s="4" t="str">
        <f>IFERROR(__xludf.DUMMYFUNCTION("""COMPUTED_VALUE"""),"Cartel PVC 63x63 Fotolum. Extintor")</f>
        <v>Cartel PVC 63x63 Fotolum. Extintor</v>
      </c>
      <c r="C438" s="4">
        <f>IFERROR(__xludf.DUMMYFUNCTION("""COMPUTED_VALUE"""),6.0)</f>
        <v>6</v>
      </c>
    </row>
    <row r="439">
      <c r="A439" s="4" t="str">
        <f>IFERROR(__xludf.DUMMYFUNCTION("""COMPUTED_VALUE"""),"354")</f>
        <v>354</v>
      </c>
      <c r="B439" s="4" t="str">
        <f>IFERROR(__xludf.DUMMYFUNCTION("""COMPUTED_VALUE"""),"Cartel PVC 21x15 Fotolum. Flecha Salida")</f>
        <v>Cartel PVC 21x15 Fotolum. Flecha Salida</v>
      </c>
      <c r="C439" s="4">
        <f>IFERROR(__xludf.DUMMYFUNCTION("""COMPUTED_VALUE"""),1.6127999999999998)</f>
        <v>1.6128</v>
      </c>
    </row>
    <row r="440">
      <c r="A440" s="4" t="str">
        <f>IFERROR(__xludf.DUMMYFUNCTION("""COMPUTED_VALUE"""),"0354A")</f>
        <v>0354A</v>
      </c>
      <c r="B440" s="4" t="str">
        <f>IFERROR(__xludf.DUMMYFUNCTION("""COMPUTED_VALUE"""),"Cartel PVC 21x21 Fotolum. Manguera contra incendios")</f>
        <v>Cartel PVC 21x21 Fotolum. Manguera contra incendios</v>
      </c>
      <c r="C440" s="4">
        <f>IFERROR(__xludf.DUMMYFUNCTION("""COMPUTED_VALUE"""),2.2176)</f>
        <v>2.2176</v>
      </c>
    </row>
    <row r="441">
      <c r="A441" s="4" t="str">
        <f>IFERROR(__xludf.DUMMYFUNCTION("""COMPUTED_VALUE"""),"0354B")</f>
        <v>0354B</v>
      </c>
      <c r="B441" s="4" t="str">
        <f>IFERROR(__xludf.DUMMYFUNCTION("""COMPUTED_VALUE"""),"Cartel PVC 42x42 Fotolum. Manguera contra incendios")</f>
        <v>Cartel PVC 42x42 Fotolum. Manguera contra incendios</v>
      </c>
      <c r="C441" s="4">
        <f>IFERROR(__xludf.DUMMYFUNCTION("""COMPUTED_VALUE"""),3.7439999999999998)</f>
        <v>3.744</v>
      </c>
    </row>
    <row r="442">
      <c r="A442" s="4" t="str">
        <f>IFERROR(__xludf.DUMMYFUNCTION("""COMPUTED_VALUE"""),"0354C")</f>
        <v>0354C</v>
      </c>
      <c r="B442" s="4" t="str">
        <f>IFERROR(__xludf.DUMMYFUNCTION("""COMPUTED_VALUE"""),"Cartel PVC 63x63 Fotolum. Manguera contra incendios")</f>
        <v>Cartel PVC 63x63 Fotolum. Manguera contra incendios</v>
      </c>
      <c r="C442" s="4">
        <f>IFERROR(__xludf.DUMMYFUNCTION("""COMPUTED_VALUE"""),6.0)</f>
        <v>6</v>
      </c>
    </row>
    <row r="443">
      <c r="A443" s="4" t="str">
        <f>IFERROR(__xludf.DUMMYFUNCTION("""COMPUTED_VALUE"""),"355")</f>
        <v>355</v>
      </c>
      <c r="B443" s="4" t="str">
        <f>IFERROR(__xludf.DUMMYFUNCTION("""COMPUTED_VALUE"""),"Cartel PVC 21x30 Fotolum. Botiquin")</f>
        <v>Cartel PVC 21x30 Fotolum. Botiquin</v>
      </c>
      <c r="C443" s="4">
        <f>IFERROR(__xludf.DUMMYFUNCTION("""COMPUTED_VALUE"""),2.496)</f>
        <v>2.496</v>
      </c>
    </row>
    <row r="444">
      <c r="A444" s="4" t="str">
        <f>IFERROR(__xludf.DUMMYFUNCTION("""COMPUTED_VALUE"""),"0355A")</f>
        <v>0355A</v>
      </c>
      <c r="B444" s="4" t="str">
        <f>IFERROR(__xludf.DUMMYFUNCTION("""COMPUTED_VALUE"""),"Cartel PVC 21x30 Fotolum. Botiquín")</f>
        <v>Cartel PVC 21x30 Fotolum. Botiquín</v>
      </c>
      <c r="C444" s="4">
        <f>IFERROR(__xludf.DUMMYFUNCTION("""COMPUTED_VALUE"""),2.4192)</f>
        <v>2.4192</v>
      </c>
    </row>
    <row r="445">
      <c r="A445" s="4" t="str">
        <f>IFERROR(__xludf.DUMMYFUNCTION("""COMPUTED_VALUE"""),"0355B")</f>
        <v>0355B</v>
      </c>
      <c r="B445" s="4" t="str">
        <f>IFERROR(__xludf.DUMMYFUNCTION("""COMPUTED_VALUE"""),"Cartel PVC 40x30 Fotolum. Botiquín")</f>
        <v>Cartel PVC 40x30 Fotolum. Botiquín</v>
      </c>
      <c r="C445" s="4">
        <f>IFERROR(__xludf.DUMMYFUNCTION("""COMPUTED_VALUE"""),2.976)</f>
        <v>2.976</v>
      </c>
    </row>
    <row r="446">
      <c r="A446" s="4" t="str">
        <f>IFERROR(__xludf.DUMMYFUNCTION("""COMPUTED_VALUE"""),"356")</f>
        <v>356</v>
      </c>
      <c r="B446" s="4" t="str">
        <f>IFERROR(__xludf.DUMMYFUNCTION("""COMPUTED_VALUE"""),"Cartel PVC 21x30 Fotolum. Agua Potable")</f>
        <v>Cartel PVC 21x30 Fotolum. Agua Potable</v>
      </c>
      <c r="C446" s="4">
        <f>IFERROR(__xludf.DUMMYFUNCTION("""COMPUTED_VALUE"""),2.496)</f>
        <v>2.496</v>
      </c>
    </row>
    <row r="447">
      <c r="A447" s="4" t="str">
        <f>IFERROR(__xludf.DUMMYFUNCTION("""COMPUTED_VALUE"""),"0356A")</f>
        <v>0356A</v>
      </c>
      <c r="B447" s="4" t="str">
        <f>IFERROR(__xludf.DUMMYFUNCTION("""COMPUTED_VALUE"""),"Cartel PVC 21x30 Fotolum. Agua potable")</f>
        <v>Cartel PVC 21x30 Fotolum. Agua potable</v>
      </c>
      <c r="C447" s="4">
        <f>IFERROR(__xludf.DUMMYFUNCTION("""COMPUTED_VALUE"""),2.4192)</f>
        <v>2.4192</v>
      </c>
    </row>
    <row r="448">
      <c r="A448" s="4" t="str">
        <f>IFERROR(__xludf.DUMMYFUNCTION("""COMPUTED_VALUE"""),"0356B")</f>
        <v>0356B</v>
      </c>
      <c r="B448" s="4" t="str">
        <f>IFERROR(__xludf.DUMMYFUNCTION("""COMPUTED_VALUE"""),"Cartel PVC 40x30 Fotolum. Agua potable")</f>
        <v>Cartel PVC 40x30 Fotolum. Agua potable</v>
      </c>
      <c r="C448" s="4">
        <f>IFERROR(__xludf.DUMMYFUNCTION("""COMPUTED_VALUE"""),2.976)</f>
        <v>2.976</v>
      </c>
    </row>
    <row r="449">
      <c r="A449" s="4" t="str">
        <f>IFERROR(__xludf.DUMMYFUNCTION("""COMPUTED_VALUE"""),"357")</f>
        <v>357</v>
      </c>
      <c r="B449" s="4" t="str">
        <f>IFERROR(__xludf.DUMMYFUNCTION("""COMPUTED_VALUE"""),"Cartel PVC 21x30 Fotolum. Almacen")</f>
        <v>Cartel PVC 21x30 Fotolum. Almacen</v>
      </c>
      <c r="C449" s="4">
        <f>IFERROR(__xludf.DUMMYFUNCTION("""COMPUTED_VALUE"""),2.496)</f>
        <v>2.496</v>
      </c>
    </row>
    <row r="450">
      <c r="A450" s="4" t="str">
        <f>IFERROR(__xludf.DUMMYFUNCTION("""COMPUTED_VALUE"""),"0357A")</f>
        <v>0357A</v>
      </c>
      <c r="B450" s="4" t="str">
        <f>IFERROR(__xludf.DUMMYFUNCTION("""COMPUTED_VALUE"""),"Cartel PVC 21x30 Fotolum. Almacén")</f>
        <v>Cartel PVC 21x30 Fotolum. Almacén</v>
      </c>
      <c r="C450" s="4">
        <f>IFERROR(__xludf.DUMMYFUNCTION("""COMPUTED_VALUE"""),2.4192)</f>
        <v>2.4192</v>
      </c>
    </row>
    <row r="451">
      <c r="A451" s="4" t="str">
        <f>IFERROR(__xludf.DUMMYFUNCTION("""COMPUTED_VALUE"""),"0357B")</f>
        <v>0357B</v>
      </c>
      <c r="B451" s="4" t="str">
        <f>IFERROR(__xludf.DUMMYFUNCTION("""COMPUTED_VALUE"""),"Cartel PVC40x30 Fotolum. Almacén")</f>
        <v>Cartel PVC40x30 Fotolum. Almacén</v>
      </c>
      <c r="C451" s="4">
        <f>IFERROR(__xludf.DUMMYFUNCTION("""COMPUTED_VALUE"""),2.976)</f>
        <v>2.976</v>
      </c>
    </row>
    <row r="452">
      <c r="A452" s="4" t="str">
        <f>IFERROR(__xludf.DUMMYFUNCTION("""COMPUTED_VALUE"""),"358")</f>
        <v>358</v>
      </c>
      <c r="B452" s="4" t="str">
        <f>IFERROR(__xludf.DUMMYFUNCTION("""COMPUTED_VALUE"""),"Cartel PVC 21x30 Fotolum. Telefono Emergencia")</f>
        <v>Cartel PVC 21x30 Fotolum. Telefono Emergencia</v>
      </c>
      <c r="C452" s="4">
        <f>IFERROR(__xludf.DUMMYFUNCTION("""COMPUTED_VALUE"""),2.496)</f>
        <v>2.496</v>
      </c>
    </row>
    <row r="453">
      <c r="A453" s="4" t="str">
        <f>IFERROR(__xludf.DUMMYFUNCTION("""COMPUTED_VALUE"""),"0358A")</f>
        <v>0358A</v>
      </c>
      <c r="B453" s="4" t="str">
        <f>IFERROR(__xludf.DUMMYFUNCTION("""COMPUTED_VALUE"""),"Cartel PVC 21x30 Fotolum. Teléfono de emergencia")</f>
        <v>Cartel PVC 21x30 Fotolum. Teléfono de emergencia</v>
      </c>
      <c r="C453" s="4">
        <f>IFERROR(__xludf.DUMMYFUNCTION("""COMPUTED_VALUE"""),2.4192)</f>
        <v>2.4192</v>
      </c>
    </row>
    <row r="454">
      <c r="A454" s="4" t="str">
        <f>IFERROR(__xludf.DUMMYFUNCTION("""COMPUTED_VALUE"""),"0358B")</f>
        <v>0358B</v>
      </c>
      <c r="B454" s="4" t="str">
        <f>IFERROR(__xludf.DUMMYFUNCTION("""COMPUTED_VALUE"""),"Cartel PVC 40x30 Fotolum. Teléfono de emergencia")</f>
        <v>Cartel PVC 40x30 Fotolum. Teléfono de emergencia</v>
      </c>
      <c r="C454" s="4">
        <f>IFERROR(__xludf.DUMMYFUNCTION("""COMPUTED_VALUE"""),2.976)</f>
        <v>2.976</v>
      </c>
    </row>
    <row r="455">
      <c r="A455" s="4" t="str">
        <f>IFERROR(__xludf.DUMMYFUNCTION("""COMPUTED_VALUE"""),"359")</f>
        <v>359</v>
      </c>
      <c r="B455" s="4" t="str">
        <f>IFERROR(__xludf.DUMMYFUNCTION("""COMPUTED_VALUE"""),"Cartel PVC 21x30 Fotolum. Equipo Prim. Auxilios")</f>
        <v>Cartel PVC 21x30 Fotolum. Equipo Prim. Auxilios</v>
      </c>
      <c r="C455" s="4">
        <f>IFERROR(__xludf.DUMMYFUNCTION("""COMPUTED_VALUE"""),2.496)</f>
        <v>2.496</v>
      </c>
    </row>
    <row r="456">
      <c r="A456" s="4" t="str">
        <f>IFERROR(__xludf.DUMMYFUNCTION("""COMPUTED_VALUE"""),"0359A")</f>
        <v>0359A</v>
      </c>
      <c r="B456" s="4" t="str">
        <f>IFERROR(__xludf.DUMMYFUNCTION("""COMPUTED_VALUE"""),"Cartel PVC 21x30 Fotolum. Equipo primeros auxilios")</f>
        <v>Cartel PVC 21x30 Fotolum. Equipo primeros auxilios</v>
      </c>
      <c r="C456" s="4">
        <f>IFERROR(__xludf.DUMMYFUNCTION("""COMPUTED_VALUE"""),2.4192)</f>
        <v>2.4192</v>
      </c>
    </row>
    <row r="457">
      <c r="A457" s="4" t="str">
        <f>IFERROR(__xludf.DUMMYFUNCTION("""COMPUTED_VALUE"""),"0359B")</f>
        <v>0359B</v>
      </c>
      <c r="B457" s="4" t="str">
        <f>IFERROR(__xludf.DUMMYFUNCTION("""COMPUTED_VALUE"""),"Cartel PVC 40x30 Fotolum. Equipo primeros auxilios")</f>
        <v>Cartel PVC 40x30 Fotolum. Equipo primeros auxilios</v>
      </c>
      <c r="C457" s="4">
        <f>IFERROR(__xludf.DUMMYFUNCTION("""COMPUTED_VALUE"""),2.976)</f>
        <v>2.976</v>
      </c>
    </row>
    <row r="458">
      <c r="A458" s="4" t="str">
        <f>IFERROR(__xludf.DUMMYFUNCTION("""COMPUTED_VALUE"""),"360")</f>
        <v>360</v>
      </c>
      <c r="B458" s="4" t="str">
        <f>IFERROR(__xludf.DUMMYFUNCTION("""COMPUTED_VALUE"""),"Cartel PVC 40x30 Peatón cruce por la otra acera")</f>
        <v>Cartel PVC 40x30 Peatón cruce por la otra acera</v>
      </c>
      <c r="C458" s="4">
        <f>IFERROR(__xludf.DUMMYFUNCTION("""COMPUTED_VALUE"""),2.3808)</f>
        <v>2.3808</v>
      </c>
    </row>
    <row r="459">
      <c r="A459" s="4" t="str">
        <f>IFERROR(__xludf.DUMMYFUNCTION("""COMPUTED_VALUE"""),"361")</f>
        <v>361</v>
      </c>
      <c r="B459" s="4" t="str">
        <f>IFERROR(__xludf.DUMMYFUNCTION("""COMPUTED_VALUE"""),"Cartel PVC 40x30 Obras en ejecucion. Perdonen las molestias")</f>
        <v>Cartel PVC 40x30 Obras en ejecucion. Perdonen las molestias</v>
      </c>
      <c r="C459" s="4">
        <f>IFERROR(__xludf.DUMMYFUNCTION("""COMPUTED_VALUE"""),2.3808)</f>
        <v>2.3808</v>
      </c>
    </row>
    <row r="460">
      <c r="A460" s="4" t="str">
        <f>IFERROR(__xludf.DUMMYFUNCTION("""COMPUTED_VALUE"""),"362")</f>
        <v>362</v>
      </c>
      <c r="B460" s="4" t="str">
        <f>IFERROR(__xludf.DUMMYFUNCTION("""COMPUTED_VALUE"""),"Cartel PVC 21x30 Fotolum. Punto Reunion")</f>
        <v>Cartel PVC 21x30 Fotolum. Punto Reunion</v>
      </c>
      <c r="C460" s="4">
        <f>IFERROR(__xludf.DUMMYFUNCTION("""COMPUTED_VALUE"""),2.496)</f>
        <v>2.496</v>
      </c>
    </row>
    <row r="461">
      <c r="A461" s="4" t="str">
        <f>IFERROR(__xludf.DUMMYFUNCTION("""COMPUTED_VALUE"""),"0362A")</f>
        <v>0362A</v>
      </c>
      <c r="B461" s="4" t="str">
        <f>IFERROR(__xludf.DUMMYFUNCTION("""COMPUTED_VALUE"""),"Cartel PVC 21x30 Fotolum. Punto de Reunión")</f>
        <v>Cartel PVC 21x30 Fotolum. Punto de Reunión</v>
      </c>
      <c r="C461" s="4">
        <f>IFERROR(__xludf.DUMMYFUNCTION("""COMPUTED_VALUE"""),2.4192)</f>
        <v>2.4192</v>
      </c>
    </row>
    <row r="462">
      <c r="A462" s="4" t="str">
        <f>IFERROR(__xludf.DUMMYFUNCTION("""COMPUTED_VALUE"""),"0362B")</f>
        <v>0362B</v>
      </c>
      <c r="B462" s="4" t="str">
        <f>IFERROR(__xludf.DUMMYFUNCTION("""COMPUTED_VALUE"""),"Cartel PVC 40x30 Fotolum. Punto de reunión")</f>
        <v>Cartel PVC 40x30 Fotolum. Punto de reunión</v>
      </c>
      <c r="C462" s="4">
        <f>IFERROR(__xludf.DUMMYFUNCTION("""COMPUTED_VALUE"""),2.976)</f>
        <v>2.976</v>
      </c>
    </row>
    <row r="463">
      <c r="A463" s="4" t="str">
        <f>IFERROR(__xludf.DUMMYFUNCTION("""COMPUTED_VALUE"""),"363")</f>
        <v>363</v>
      </c>
      <c r="B463" s="4" t="str">
        <f>IFERROR(__xludf.DUMMYFUNCTION("""COMPUTED_VALUE"""),"Cartel PVC 40x30 Atencion salida de camiones")</f>
        <v>Cartel PVC 40x30 Atencion salida de camiones</v>
      </c>
      <c r="C463" s="4">
        <f>IFERROR(__xludf.DUMMYFUNCTION("""COMPUTED_VALUE"""),2.3808)</f>
        <v>2.3808</v>
      </c>
    </row>
    <row r="464">
      <c r="A464" s="4" t="str">
        <f>IFERROR(__xludf.DUMMYFUNCTION("""COMPUTED_VALUE"""),"364")</f>
        <v>364</v>
      </c>
      <c r="B464" s="4" t="str">
        <f>IFERROR(__xludf.DUMMYFUNCTION("""COMPUTED_VALUE"""),"Cartel PVC 21x30 Fotolum. Camilla de Socorro")</f>
        <v>Cartel PVC 21x30 Fotolum. Camilla de Socorro</v>
      </c>
      <c r="C464" s="4">
        <f>IFERROR(__xludf.DUMMYFUNCTION("""COMPUTED_VALUE"""),2.496)</f>
        <v>2.496</v>
      </c>
    </row>
    <row r="465">
      <c r="A465" s="4" t="str">
        <f>IFERROR(__xludf.DUMMYFUNCTION("""COMPUTED_VALUE"""),"0364A")</f>
        <v>0364A</v>
      </c>
      <c r="B465" s="4" t="str">
        <f>IFERROR(__xludf.DUMMYFUNCTION("""COMPUTED_VALUE"""),"Cartel PVC 21x30 Fotolum. Camilla de socorro")</f>
        <v>Cartel PVC 21x30 Fotolum. Camilla de socorro</v>
      </c>
      <c r="C465" s="4">
        <f>IFERROR(__xludf.DUMMYFUNCTION("""COMPUTED_VALUE"""),2.4192)</f>
        <v>2.4192</v>
      </c>
    </row>
    <row r="466">
      <c r="A466" s="4" t="str">
        <f>IFERROR(__xludf.DUMMYFUNCTION("""COMPUTED_VALUE"""),"0364B")</f>
        <v>0364B</v>
      </c>
      <c r="B466" s="4" t="str">
        <f>IFERROR(__xludf.DUMMYFUNCTION("""COMPUTED_VALUE"""),"Cartel PVC 40x30 Fotolum. Camilla de socorro")</f>
        <v>Cartel PVC 40x30 Fotolum. Camilla de socorro</v>
      </c>
      <c r="C466" s="4">
        <f>IFERROR(__xludf.DUMMYFUNCTION("""COMPUTED_VALUE"""),2.976)</f>
        <v>2.976</v>
      </c>
    </row>
    <row r="467">
      <c r="A467" s="4" t="str">
        <f>IFERROR(__xludf.DUMMYFUNCTION("""COMPUTED_VALUE"""),"365")</f>
        <v>365</v>
      </c>
      <c r="B467" s="4" t="str">
        <f>IFERROR(__xludf.DUMMYFUNCTION("""COMPUTED_VALUE"""),"Cartel PVC 21x30 Fotolum. Pulsar en caso de Emergencia")</f>
        <v>Cartel PVC 21x30 Fotolum. Pulsar en caso de Emergencia</v>
      </c>
      <c r="C467" s="4">
        <f>IFERROR(__xludf.DUMMYFUNCTION("""COMPUTED_VALUE"""),2.496)</f>
        <v>2.496</v>
      </c>
    </row>
    <row r="468">
      <c r="A468" s="4" t="str">
        <f>IFERROR(__xludf.DUMMYFUNCTION("""COMPUTED_VALUE"""),"366")</f>
        <v>366</v>
      </c>
      <c r="B468" s="4" t="str">
        <f>IFERROR(__xludf.DUMMYFUNCTION("""COMPUTED_VALUE"""),"Cartel PVC 21x30 Fotolum. Empujar barra para salir")</f>
        <v>Cartel PVC 21x30 Fotolum. Empujar barra para salir</v>
      </c>
      <c r="C468" s="4">
        <f>IFERROR(__xludf.DUMMYFUNCTION("""COMPUTED_VALUE"""),2.496)</f>
        <v>2.496</v>
      </c>
    </row>
    <row r="469">
      <c r="A469" s="4" t="str">
        <f>IFERROR(__xludf.DUMMYFUNCTION("""COMPUTED_VALUE"""),"0366A")</f>
        <v>0366A</v>
      </c>
      <c r="B469" s="4" t="str">
        <f>IFERROR(__xludf.DUMMYFUNCTION("""COMPUTED_VALUE"""),"Cartel PVC 21x30 Fotolum. Empujar barra para salir")</f>
        <v>Cartel PVC 21x30 Fotolum. Empujar barra para salir</v>
      </c>
      <c r="C469" s="4">
        <f>IFERROR(__xludf.DUMMYFUNCTION("""COMPUTED_VALUE"""),2.4192)</f>
        <v>2.4192</v>
      </c>
    </row>
    <row r="470">
      <c r="A470" s="4" t="str">
        <f>IFERROR(__xludf.DUMMYFUNCTION("""COMPUTED_VALUE"""),"0366B")</f>
        <v>0366B</v>
      </c>
      <c r="B470" s="4" t="str">
        <f>IFERROR(__xludf.DUMMYFUNCTION("""COMPUTED_VALUE"""),"Cartel PVC 40x30 Fotolum. Empujar barra para salir")</f>
        <v>Cartel PVC 40x30 Fotolum. Empujar barra para salir</v>
      </c>
      <c r="C470" s="4">
        <f>IFERROR(__xludf.DUMMYFUNCTION("""COMPUTED_VALUE"""),2.976)</f>
        <v>2.976</v>
      </c>
    </row>
    <row r="471">
      <c r="A471" s="4" t="str">
        <f>IFERROR(__xludf.DUMMYFUNCTION("""COMPUTED_VALUE"""),"367")</f>
        <v>367</v>
      </c>
      <c r="B471" s="4" t="str">
        <f>IFERROR(__xludf.DUMMYFUNCTION("""COMPUTED_VALUE"""),"Cartel PVC 21x30 Fotolum. Salida de Emergencia")</f>
        <v>Cartel PVC 21x30 Fotolum. Salida de Emergencia</v>
      </c>
      <c r="C471" s="4">
        <f>IFERROR(__xludf.DUMMYFUNCTION("""COMPUTED_VALUE"""),2.496)</f>
        <v>2.496</v>
      </c>
    </row>
    <row r="472">
      <c r="A472" s="4" t="str">
        <f>IFERROR(__xludf.DUMMYFUNCTION("""COMPUTED_VALUE"""),"0367A")</f>
        <v>0367A</v>
      </c>
      <c r="B472" s="4" t="str">
        <f>IFERROR(__xludf.DUMMYFUNCTION("""COMPUTED_VALUE"""),"Cartel PVC 32x16 Fotolum. Salida de emergenca")</f>
        <v>Cartel PVC 32x16 Fotolum. Salida de emergenca</v>
      </c>
      <c r="C472" s="4">
        <f>IFERROR(__xludf.DUMMYFUNCTION("""COMPUTED_VALUE"""),2.16)</f>
        <v>2.16</v>
      </c>
    </row>
    <row r="473">
      <c r="A473" s="4" t="str">
        <f>IFERROR(__xludf.DUMMYFUNCTION("""COMPUTED_VALUE"""),"0367AA")</f>
        <v>0367AA</v>
      </c>
      <c r="B473" s="4" t="str">
        <f>IFERROR(__xludf.DUMMYFUNCTION("""COMPUTED_VALUE"""),"Cartel PVC 21x21 Fotolum.Minusválidos")</f>
        <v>Cartel PVC 21x21 Fotolum.Minusválidos</v>
      </c>
      <c r="C473" s="4">
        <f>IFERROR(__xludf.DUMMYFUNCTION("""COMPUTED_VALUE"""),2.2176)</f>
        <v>2.2176</v>
      </c>
    </row>
    <row r="474">
      <c r="A474" s="4" t="str">
        <f>IFERROR(__xludf.DUMMYFUNCTION("""COMPUTED_VALUE"""),"0367BA")</f>
        <v>0367BA</v>
      </c>
      <c r="B474" s="4" t="str">
        <f>IFERROR(__xludf.DUMMYFUNCTION("""COMPUTED_VALUE"""),"Cartel PVC 42x42 Fotolum.Minusválidos")</f>
        <v>Cartel PVC 42x42 Fotolum.Minusválidos</v>
      </c>
      <c r="C474" s="4">
        <f>IFERROR(__xludf.DUMMYFUNCTION("""COMPUTED_VALUE"""),3.7439999999999998)</f>
        <v>3.744</v>
      </c>
    </row>
    <row r="475">
      <c r="A475" s="4" t="str">
        <f>IFERROR(__xludf.DUMMYFUNCTION("""COMPUTED_VALUE"""),"0367CA")</f>
        <v>0367CA</v>
      </c>
      <c r="B475" s="4" t="str">
        <f>IFERROR(__xludf.DUMMYFUNCTION("""COMPUTED_VALUE"""),"Cartel PVC 63x63 Fotolum.Minusválidos")</f>
        <v>Cartel PVC 63x63 Fotolum.Minusválidos</v>
      </c>
      <c r="C475" s="4">
        <f>IFERROR(__xludf.DUMMYFUNCTION("""COMPUTED_VALUE"""),6.0)</f>
        <v>6</v>
      </c>
    </row>
    <row r="476">
      <c r="A476" s="4" t="str">
        <f>IFERROR(__xludf.DUMMYFUNCTION("""COMPUTED_VALUE"""),"368")</f>
        <v>368</v>
      </c>
      <c r="B476" s="4" t="str">
        <f>IFERROR(__xludf.DUMMYFUNCTION("""COMPUTED_VALUE"""),"Cartel PVC 21x29 AVISO POLICIA")</f>
        <v>Cartel PVC 21x29 AVISO POLICIA</v>
      </c>
      <c r="C476" s="4">
        <f>IFERROR(__xludf.DUMMYFUNCTION("""COMPUTED_VALUE"""),1.536)</f>
        <v>1.536</v>
      </c>
    </row>
    <row r="477">
      <c r="A477" s="4" t="str">
        <f>IFERROR(__xludf.DUMMYFUNCTION("""COMPUTED_VALUE"""),"369")</f>
        <v>369</v>
      </c>
      <c r="B477" s="4" t="str">
        <f>IFERROR(__xludf.DUMMYFUNCTION("""COMPUTED_VALUE"""),"Cartel PVC 21x29 Zona video vigilada")</f>
        <v>Cartel PVC 21x29 Zona video vigilada</v>
      </c>
      <c r="C477" s="4">
        <f>IFERROR(__xludf.DUMMYFUNCTION("""COMPUTED_VALUE"""),1.536)</f>
        <v>1.536</v>
      </c>
    </row>
    <row r="478">
      <c r="A478" s="4" t="str">
        <f>IFERROR(__xludf.DUMMYFUNCTION("""COMPUTED_VALUE"""),"370")</f>
        <v>370</v>
      </c>
      <c r="B478" s="4" t="str">
        <f>IFERROR(__xludf.DUMMYFUNCTION("""COMPUTED_VALUE"""),"Cartel PVC 40x30 Prohib. Beber y Comer")</f>
        <v>Cartel PVC 40x30 Prohib. Beber y Comer</v>
      </c>
      <c r="C478" s="4">
        <f>IFERROR(__xludf.DUMMYFUNCTION("""COMPUTED_VALUE"""),2.3808)</f>
        <v>2.3808</v>
      </c>
    </row>
    <row r="479">
      <c r="A479" s="4" t="str">
        <f>IFERROR(__xludf.DUMMYFUNCTION("""COMPUTED_VALUE"""),"0370P")</f>
        <v>0370P</v>
      </c>
      <c r="B479" s="4" t="str">
        <f>IFERROR(__xludf.DUMMYFUNCTION("""COMPUTED_VALUE"""),"Cartel PVC 21x29 PROHIBIDO BEBER Y COMER")</f>
        <v>Cartel PVC 21x29 PROHIBIDO BEBER Y COMER</v>
      </c>
      <c r="C479" s="4">
        <f>IFERROR(__xludf.DUMMYFUNCTION("""COMPUTED_VALUE"""),1.536)</f>
        <v>1.536</v>
      </c>
    </row>
    <row r="480">
      <c r="A480" s="4" t="str">
        <f>IFERROR(__xludf.DUMMYFUNCTION("""COMPUTED_VALUE"""),"371")</f>
        <v>371</v>
      </c>
      <c r="B480" s="4" t="str">
        <f>IFERROR(__xludf.DUMMYFUNCTION("""COMPUTED_VALUE"""),"Cartel PVC 40x30 Peligro Gases Compr.")</f>
        <v>Cartel PVC 40x30 Peligro Gases Compr.</v>
      </c>
      <c r="C480" s="4">
        <f>IFERROR(__xludf.DUMMYFUNCTION("""COMPUTED_VALUE"""),2.3808)</f>
        <v>2.3808</v>
      </c>
    </row>
    <row r="481">
      <c r="A481" s="4" t="str">
        <f>IFERROR(__xludf.DUMMYFUNCTION("""COMPUTED_VALUE"""),"0371P")</f>
        <v>0371P</v>
      </c>
      <c r="B481" s="4" t="str">
        <f>IFERROR(__xludf.DUMMYFUNCTION("""COMPUTED_VALUE"""),"Cartel PVC 21x29 PELIGRO GASES COMPRIMIDOS")</f>
        <v>Cartel PVC 21x29 PELIGRO GASES COMPRIMIDOS</v>
      </c>
      <c r="C481" s="4">
        <f>IFERROR(__xludf.DUMMYFUNCTION("""COMPUTED_VALUE"""),1.536)</f>
        <v>1.536</v>
      </c>
    </row>
    <row r="482">
      <c r="A482" s="4" t="str">
        <f>IFERROR(__xludf.DUMMYFUNCTION("""COMPUTED_VALUE"""),"372")</f>
        <v>372</v>
      </c>
      <c r="B482" s="4" t="str">
        <f>IFERROR(__xludf.DUMMYFUNCTION("""COMPUTED_VALUE"""),"Cartel PVC 40x30 Peligro Andamio Incom")</f>
        <v>Cartel PVC 40x30 Peligro Andamio Incom</v>
      </c>
      <c r="C482" s="4">
        <f>IFERROR(__xludf.DUMMYFUNCTION("""COMPUTED_VALUE"""),2.3808)</f>
        <v>2.3808</v>
      </c>
    </row>
    <row r="483">
      <c r="A483" s="4" t="str">
        <f>IFERROR(__xludf.DUMMYFUNCTION("""COMPUTED_VALUE"""),"0372P")</f>
        <v>0372P</v>
      </c>
      <c r="B483" s="4" t="str">
        <f>IFERROR(__xludf.DUMMYFUNCTION("""COMPUTED_VALUE"""),"Cartel PVC 21x29 PELIGRO ANDAMIAJE INCOMPLETO")</f>
        <v>Cartel PVC 21x29 PELIGRO ANDAMIAJE INCOMPLETO</v>
      </c>
      <c r="C483" s="4">
        <f>IFERROR(__xludf.DUMMYFUNCTION("""COMPUTED_VALUE"""),1.536)</f>
        <v>1.536</v>
      </c>
    </row>
    <row r="484">
      <c r="A484" s="4" t="str">
        <f>IFERROR(__xludf.DUMMYFUNCTION("""COMPUTED_VALUE"""),"373")</f>
        <v>373</v>
      </c>
      <c r="B484" s="4" t="str">
        <f>IFERROR(__xludf.DUMMYFUNCTION("""COMPUTED_VALUE"""),"Cartel PVC 40x30 Peligro Escalon")</f>
        <v>Cartel PVC 40x30 Peligro Escalon</v>
      </c>
      <c r="C484" s="4">
        <f>IFERROR(__xludf.DUMMYFUNCTION("""COMPUTED_VALUE"""),2.3808)</f>
        <v>2.3808</v>
      </c>
    </row>
    <row r="485">
      <c r="A485" s="4" t="str">
        <f>IFERROR(__xludf.DUMMYFUNCTION("""COMPUTED_VALUE"""),"0373P")</f>
        <v>0373P</v>
      </c>
      <c r="B485" s="4" t="str">
        <f>IFERROR(__xludf.DUMMYFUNCTION("""COMPUTED_VALUE"""),"Cartel PVC 21x29 PELIGRO CUIDADO CON ESCALON")</f>
        <v>Cartel PVC 21x29 PELIGRO CUIDADO CON ESCALON</v>
      </c>
      <c r="C485" s="4">
        <f>IFERROR(__xludf.DUMMYFUNCTION("""COMPUTED_VALUE"""),1.536)</f>
        <v>1.536</v>
      </c>
    </row>
    <row r="486">
      <c r="A486" s="4" t="str">
        <f>IFERROR(__xludf.DUMMYFUNCTION("""COMPUTED_VALUE"""),"374")</f>
        <v>374</v>
      </c>
      <c r="B486" s="4" t="str">
        <f>IFERROR(__xludf.DUMMYFUNCTION("""COMPUTED_VALUE"""),"Cartel PVC 40x30 Prohibido el Paso")</f>
        <v>Cartel PVC 40x30 Prohibido el Paso</v>
      </c>
      <c r="C486" s="4">
        <f>IFERROR(__xludf.DUMMYFUNCTION("""COMPUTED_VALUE"""),2.3808)</f>
        <v>2.3808</v>
      </c>
    </row>
    <row r="487">
      <c r="A487" s="4" t="str">
        <f>IFERROR(__xludf.DUMMYFUNCTION("""COMPUTED_VALUE"""),"0374P")</f>
        <v>0374P</v>
      </c>
      <c r="B487" s="4" t="str">
        <f>IFERROR(__xludf.DUMMYFUNCTION("""COMPUTED_VALUE"""),"Cartel PVC 21x29 PROHIBIDO EL PASO")</f>
        <v>Cartel PVC 21x29 PROHIBIDO EL PASO</v>
      </c>
      <c r="C487" s="4">
        <f>IFERROR(__xludf.DUMMYFUNCTION("""COMPUTED_VALUE"""),1.536)</f>
        <v>1.536</v>
      </c>
    </row>
    <row r="488">
      <c r="A488" s="4" t="str">
        <f>IFERROR(__xludf.DUMMYFUNCTION("""COMPUTED_VALUE"""),"375")</f>
        <v>375</v>
      </c>
      <c r="B488" s="4" t="str">
        <f>IFERROR(__xludf.DUMMYFUNCTION("""COMPUTED_VALUE"""),"Cartel PVC 40x30 Peligro de Incendio")</f>
        <v>Cartel PVC 40x30 Peligro de Incendio</v>
      </c>
      <c r="C488" s="4">
        <f>IFERROR(__xludf.DUMMYFUNCTION("""COMPUTED_VALUE"""),2.3808)</f>
        <v>2.3808</v>
      </c>
    </row>
    <row r="489">
      <c r="A489" s="4" t="str">
        <f>IFERROR(__xludf.DUMMYFUNCTION("""COMPUTED_VALUE"""),"0375P")</f>
        <v>0375P</v>
      </c>
      <c r="B489" s="4" t="str">
        <f>IFERROR(__xludf.DUMMYFUNCTION("""COMPUTED_VALUE"""),"Cartel PVC 21x29 PELIGRO DE INCENDIO")</f>
        <v>Cartel PVC 21x29 PELIGRO DE INCENDIO</v>
      </c>
      <c r="C489" s="4">
        <f>IFERROR(__xludf.DUMMYFUNCTION("""COMPUTED_VALUE"""),1.536)</f>
        <v>1.536</v>
      </c>
    </row>
    <row r="490">
      <c r="A490" s="4" t="str">
        <f>IFERROR(__xludf.DUMMYFUNCTION("""COMPUTED_VALUE"""),"376")</f>
        <v>376</v>
      </c>
      <c r="B490" s="4" t="str">
        <f>IFERROR(__xludf.DUMMYFUNCTION("""COMPUTED_VALUE"""),"Cartel PVC 40x30 Peligro Zona de Obras")</f>
        <v>Cartel PVC 40x30 Peligro Zona de Obras</v>
      </c>
      <c r="C490" s="4">
        <f>IFERROR(__xludf.DUMMYFUNCTION("""COMPUTED_VALUE"""),2.3808)</f>
        <v>2.3808</v>
      </c>
    </row>
    <row r="491">
      <c r="A491" s="4" t="str">
        <f>IFERROR(__xludf.DUMMYFUNCTION("""COMPUTED_VALUE"""),"0376P")</f>
        <v>0376P</v>
      </c>
      <c r="B491" s="4" t="str">
        <f>IFERROR(__xludf.DUMMYFUNCTION("""COMPUTED_VALUE"""),"Cartel PVC 21x29 PELIGRO ZONA DE OBRAS")</f>
        <v>Cartel PVC 21x29 PELIGRO ZONA DE OBRAS</v>
      </c>
      <c r="C491" s="4">
        <f>IFERROR(__xludf.DUMMYFUNCTION("""COMPUTED_VALUE"""),1.536)</f>
        <v>1.536</v>
      </c>
    </row>
    <row r="492">
      <c r="A492" s="4" t="str">
        <f>IFERROR(__xludf.DUMMYFUNCTION("""COMPUTED_VALUE"""),"377")</f>
        <v>377</v>
      </c>
      <c r="B492" s="4" t="str">
        <f>IFERROR(__xludf.DUMMYFUNCTION("""COMPUTED_VALUE"""),"Cartel PVC 40x30 Uso de minusvalidos")</f>
        <v>Cartel PVC 40x30 Uso de minusvalidos</v>
      </c>
      <c r="C492" s="4">
        <f>IFERROR(__xludf.DUMMYFUNCTION("""COMPUTED_VALUE"""),2.3808)</f>
        <v>2.3808</v>
      </c>
    </row>
    <row r="493">
      <c r="A493" s="4" t="str">
        <f>IFERROR(__xludf.DUMMYFUNCTION("""COMPUTED_VALUE"""),"0377P")</f>
        <v>0377P</v>
      </c>
      <c r="B493" s="4" t="str">
        <f>IFERROR(__xludf.DUMMYFUNCTION("""COMPUTED_VALUE"""),"Cartel PVC 21x29 USO DE MINUSVALIDOS")</f>
        <v>Cartel PVC 21x29 USO DE MINUSVALIDOS</v>
      </c>
      <c r="C493" s="4">
        <f>IFERROR(__xludf.DUMMYFUNCTION("""COMPUTED_VALUE"""),1.536)</f>
        <v>1.536</v>
      </c>
    </row>
    <row r="494">
      <c r="A494" s="4" t="str">
        <f>IFERROR(__xludf.DUMMYFUNCTION("""COMPUTED_VALUE"""),"378")</f>
        <v>378</v>
      </c>
      <c r="B494" s="4" t="str">
        <f>IFERROR(__xludf.DUMMYFUNCTION("""COMPUTED_VALUE"""),"Cartel PVC 40x30 Direccion obligatoria derecha")</f>
        <v>Cartel PVC 40x30 Direccion obligatoria derecha</v>
      </c>
      <c r="C494" s="4">
        <f>IFERROR(__xludf.DUMMYFUNCTION("""COMPUTED_VALUE"""),2.3808)</f>
        <v>2.3808</v>
      </c>
    </row>
    <row r="495">
      <c r="A495" s="4" t="str">
        <f>IFERROR(__xludf.DUMMYFUNCTION("""COMPUTED_VALUE"""),"0378P")</f>
        <v>0378P</v>
      </c>
      <c r="B495" s="4" t="str">
        <f>IFERROR(__xludf.DUMMYFUNCTION("""COMPUTED_VALUE"""),"Cartel PVC 21x29 DIRECCION OBLIGATORIA DERECHA")</f>
        <v>Cartel PVC 21x29 DIRECCION OBLIGATORIA DERECHA</v>
      </c>
      <c r="C495" s="4">
        <f>IFERROR(__xludf.DUMMYFUNCTION("""COMPUTED_VALUE"""),1.536)</f>
        <v>1.536</v>
      </c>
    </row>
    <row r="496">
      <c r="A496" s="4" t="str">
        <f>IFERROR(__xludf.DUMMYFUNCTION("""COMPUTED_VALUE"""),"379")</f>
        <v>379</v>
      </c>
      <c r="B496" s="4" t="str">
        <f>IFERROR(__xludf.DUMMYFUNCTION("""COMPUTED_VALUE"""),"Cartel PVC 40x30 Direccion obligatoria izquierda")</f>
        <v>Cartel PVC 40x30 Direccion obligatoria izquierda</v>
      </c>
      <c r="C496" s="4">
        <f>IFERROR(__xludf.DUMMYFUNCTION("""COMPUTED_VALUE"""),2.3808)</f>
        <v>2.3808</v>
      </c>
    </row>
    <row r="497">
      <c r="A497" s="4" t="str">
        <f>IFERROR(__xludf.DUMMYFUNCTION("""COMPUTED_VALUE"""),"0379P")</f>
        <v>0379P</v>
      </c>
      <c r="B497" s="4" t="str">
        <f>IFERROR(__xludf.DUMMYFUNCTION("""COMPUTED_VALUE"""),"Cartel PVC 21x29 DIRECCION OBLIGATORIA IZQUIERDA")</f>
        <v>Cartel PVC 21x29 DIRECCION OBLIGATORIA IZQUIERDA</v>
      </c>
      <c r="C497" s="4">
        <f>IFERROR(__xludf.DUMMYFUNCTION("""COMPUTED_VALUE"""),1.536)</f>
        <v>1.536</v>
      </c>
    </row>
    <row r="498">
      <c r="A498" s="4" t="str">
        <f>IFERROR(__xludf.DUMMYFUNCTION("""COMPUTED_VALUE"""),"380")</f>
        <v>380</v>
      </c>
      <c r="B498" s="4" t="str">
        <f>IFERROR(__xludf.DUMMYFUNCTION("""COMPUTED_VALUE"""),"Cartel PVC 40x30 Es obligatorio el uso de Mandil")</f>
        <v>Cartel PVC 40x30 Es obligatorio el uso de Mandil</v>
      </c>
      <c r="C498" s="4">
        <f>IFERROR(__xludf.DUMMYFUNCTION("""COMPUTED_VALUE"""),2.3808)</f>
        <v>2.3808</v>
      </c>
    </row>
    <row r="499">
      <c r="A499" s="4" t="str">
        <f>IFERROR(__xludf.DUMMYFUNCTION("""COMPUTED_VALUE"""),"0380P")</f>
        <v>0380P</v>
      </c>
      <c r="B499" s="4" t="str">
        <f>IFERROR(__xludf.DUMMYFUNCTION("""COMPUTED_VALUE"""),"Cartel PVC 21x29 OBLIGATORIO EL USO DE MANDIL")</f>
        <v>Cartel PVC 21x29 OBLIGATORIO EL USO DE MANDIL</v>
      </c>
      <c r="C499" s="4">
        <f>IFERROR(__xludf.DUMMYFUNCTION("""COMPUTED_VALUE"""),1.536)</f>
        <v>1.536</v>
      </c>
    </row>
    <row r="500">
      <c r="A500" s="4" t="str">
        <f>IFERROR(__xludf.DUMMYFUNCTION("""COMPUTED_VALUE"""),"381")</f>
        <v>381</v>
      </c>
      <c r="B500" s="4" t="str">
        <f>IFERROR(__xludf.DUMMYFUNCTION("""COMPUTED_VALUE"""),"Cartel PVC 40x30 Estrechamiento de calzada")</f>
        <v>Cartel PVC 40x30 Estrechamiento de calzada</v>
      </c>
      <c r="C500" s="4">
        <f>IFERROR(__xludf.DUMMYFUNCTION("""COMPUTED_VALUE"""),2.3808)</f>
        <v>2.3808</v>
      </c>
    </row>
    <row r="501">
      <c r="A501" s="4" t="str">
        <f>IFERROR(__xludf.DUMMYFUNCTION("""COMPUTED_VALUE"""),"0381P")</f>
        <v>0381P</v>
      </c>
      <c r="B501" s="4" t="str">
        <f>IFERROR(__xludf.DUMMYFUNCTION("""COMPUTED_VALUE"""),"Cartel PVC 21x29 ESTRECHAMIENTO CALZADA CENTRAL")</f>
        <v>Cartel PVC 21x29 ESTRECHAMIENTO CALZADA CENTRAL</v>
      </c>
      <c r="C501" s="4">
        <f>IFERROR(__xludf.DUMMYFUNCTION("""COMPUTED_VALUE"""),1.536)</f>
        <v>1.536</v>
      </c>
    </row>
    <row r="502">
      <c r="A502" s="4" t="str">
        <f>IFERROR(__xludf.DUMMYFUNCTION("""COMPUTED_VALUE"""),"382")</f>
        <v>382</v>
      </c>
      <c r="B502" s="4" t="str">
        <f>IFERROR(__xludf.DUMMYFUNCTION("""COMPUTED_VALUE"""),"Cartel PVC 40x30 Estrechamiento calzada por la derecha")</f>
        <v>Cartel PVC 40x30 Estrechamiento calzada por la derecha</v>
      </c>
      <c r="C502" s="4">
        <f>IFERROR(__xludf.DUMMYFUNCTION("""COMPUTED_VALUE"""),2.3808)</f>
        <v>2.3808</v>
      </c>
    </row>
    <row r="503">
      <c r="A503" s="4" t="str">
        <f>IFERROR(__xludf.DUMMYFUNCTION("""COMPUTED_VALUE"""),"0382P")</f>
        <v>0382P</v>
      </c>
      <c r="B503" s="4" t="str">
        <f>IFERROR(__xludf.DUMMYFUNCTION("""COMPUTED_VALUE"""),"Cartel PVC 21x29 ESTRECHAMIENTO CALZADA POR DCHA")</f>
        <v>Cartel PVC 21x29 ESTRECHAMIENTO CALZADA POR DCHA</v>
      </c>
      <c r="C503" s="4">
        <f>IFERROR(__xludf.DUMMYFUNCTION("""COMPUTED_VALUE"""),1.536)</f>
        <v>1.536</v>
      </c>
    </row>
    <row r="504">
      <c r="A504" s="4" t="str">
        <f>IFERROR(__xludf.DUMMYFUNCTION("""COMPUTED_VALUE"""),"383")</f>
        <v>383</v>
      </c>
      <c r="B504" s="4" t="str">
        <f>IFERROR(__xludf.DUMMYFUNCTION("""COMPUTED_VALUE"""),"Cartel PVC 40x30 Estrechamiento calzada por la izq.")</f>
        <v>Cartel PVC 40x30 Estrechamiento calzada por la izq.</v>
      </c>
      <c r="C504" s="4">
        <f>IFERROR(__xludf.DUMMYFUNCTION("""COMPUTED_VALUE"""),2.3808)</f>
        <v>2.3808</v>
      </c>
    </row>
    <row r="505">
      <c r="A505" s="4" t="str">
        <f>IFERROR(__xludf.DUMMYFUNCTION("""COMPUTED_VALUE"""),"0383P")</f>
        <v>0383P</v>
      </c>
      <c r="B505" s="4" t="str">
        <f>IFERROR(__xludf.DUMMYFUNCTION("""COMPUTED_VALUE"""),"Cartel PVC 21x29 ESTRECHAMIENTO CALZADA POR IZQ.")</f>
        <v>Cartel PVC 21x29 ESTRECHAMIENTO CALZADA POR IZQ.</v>
      </c>
      <c r="C505" s="4">
        <f>IFERROR(__xludf.DUMMYFUNCTION("""COMPUTED_VALUE"""),1.536)</f>
        <v>1.536</v>
      </c>
    </row>
    <row r="506">
      <c r="A506" s="4" t="str">
        <f>IFERROR(__xludf.DUMMYFUNCTION("""COMPUTED_VALUE"""),"384")</f>
        <v>384</v>
      </c>
      <c r="B506" s="4" t="str">
        <f>IFERROR(__xludf.DUMMYFUNCTION("""COMPUTED_VALUE"""),"Cartel PVC 40x30 Peligro cable suspendido")</f>
        <v>Cartel PVC 40x30 Peligro cable suspendido</v>
      </c>
      <c r="C506" s="4">
        <f>IFERROR(__xludf.DUMMYFUNCTION("""COMPUTED_VALUE"""),2.3808)</f>
        <v>2.3808</v>
      </c>
    </row>
    <row r="507">
      <c r="A507" s="4" t="str">
        <f>IFERROR(__xludf.DUMMYFUNCTION("""COMPUTED_VALUE"""),"0384P")</f>
        <v>0384P</v>
      </c>
      <c r="B507" s="4" t="str">
        <f>IFERROR(__xludf.DUMMYFUNCTION("""COMPUTED_VALUE"""),"Cartel PVC 21x29 PELIGRO CABLE SUSPENDIDO")</f>
        <v>Cartel PVC 21x29 PELIGRO CABLE SUSPENDIDO</v>
      </c>
      <c r="C507" s="4">
        <f>IFERROR(__xludf.DUMMYFUNCTION("""COMPUTED_VALUE"""),1.536)</f>
        <v>1.536</v>
      </c>
    </row>
    <row r="508">
      <c r="A508" s="4" t="str">
        <f>IFERROR(__xludf.DUMMYFUNCTION("""COMPUTED_VALUE"""),"385")</f>
        <v>385</v>
      </c>
      <c r="B508" s="4" t="str">
        <f>IFERROR(__xludf.DUMMYFUNCTION("""COMPUTED_VALUE"""),"Cartel PVC 40x30 Caida al mismo nivel")</f>
        <v>Cartel PVC 40x30 Caida al mismo nivel</v>
      </c>
      <c r="C508" s="4">
        <f>IFERROR(__xludf.DUMMYFUNCTION("""COMPUTED_VALUE"""),2.3808)</f>
        <v>2.3808</v>
      </c>
    </row>
    <row r="509">
      <c r="A509" s="4" t="str">
        <f>IFERROR(__xludf.DUMMYFUNCTION("""COMPUTED_VALUE"""),"0385P")</f>
        <v>0385P</v>
      </c>
      <c r="B509" s="4" t="str">
        <f>IFERROR(__xludf.DUMMYFUNCTION("""COMPUTED_VALUE"""),"Cartel PVC 21x29 CAIDA AL MISMO NIVEL")</f>
        <v>Cartel PVC 21x29 CAIDA AL MISMO NIVEL</v>
      </c>
      <c r="C509" s="4">
        <f>IFERROR(__xludf.DUMMYFUNCTION("""COMPUTED_VALUE"""),1.536)</f>
        <v>1.536</v>
      </c>
    </row>
    <row r="510">
      <c r="A510" s="4" t="str">
        <f>IFERROR(__xludf.DUMMYFUNCTION("""COMPUTED_VALUE"""),"386")</f>
        <v>386</v>
      </c>
      <c r="B510" s="4" t="str">
        <f>IFERROR(__xludf.DUMMYFUNCTION("""COMPUTED_VALUE"""),"Cartel PVC 40x30 Peligro Amianto")</f>
        <v>Cartel PVC 40x30 Peligro Amianto</v>
      </c>
      <c r="C510" s="4">
        <f>IFERROR(__xludf.DUMMYFUNCTION("""COMPUTED_VALUE"""),2.3808)</f>
        <v>2.3808</v>
      </c>
    </row>
    <row r="511">
      <c r="A511" s="4" t="str">
        <f>IFERROR(__xludf.DUMMYFUNCTION("""COMPUTED_VALUE"""),"0386P")</f>
        <v>0386P</v>
      </c>
      <c r="B511" s="4" t="str">
        <f>IFERROR(__xludf.DUMMYFUNCTION("""COMPUTED_VALUE"""),"Cartel PVC 21x29 PELIGRO AMIANTO")</f>
        <v>Cartel PVC 21x29 PELIGRO AMIANTO</v>
      </c>
      <c r="C511" s="4">
        <f>IFERROR(__xludf.DUMMYFUNCTION("""COMPUTED_VALUE"""),1.536)</f>
        <v>1.536</v>
      </c>
    </row>
    <row r="512">
      <c r="A512" s="4" t="str">
        <f>IFERROR(__xludf.DUMMYFUNCTION("""COMPUTED_VALUE"""),"387")</f>
        <v>387</v>
      </c>
      <c r="B512" s="4" t="str">
        <f>IFERROR(__xludf.DUMMYFUNCTION("""COMPUTED_VALUE"""),"Cartel PVC 40x30 Uso obligatorio de luces de cruce")</f>
        <v>Cartel PVC 40x30 Uso obligatorio de luces de cruce</v>
      </c>
      <c r="C512" s="4">
        <f>IFERROR(__xludf.DUMMYFUNCTION("""COMPUTED_VALUE"""),2.3808)</f>
        <v>2.3808</v>
      </c>
    </row>
    <row r="513">
      <c r="A513" s="4" t="str">
        <f>IFERROR(__xludf.DUMMYFUNCTION("""COMPUTED_VALUE"""),"0387P")</f>
        <v>0387P</v>
      </c>
      <c r="B513" s="4" t="str">
        <f>IFERROR(__xludf.DUMMYFUNCTION("""COMPUTED_VALUE"""),"Cartel PVC 21X29 OBLIGATORIO USO DE LUCES DE")</f>
        <v>Cartel PVC 21X29 OBLIGATORIO USO DE LUCES DE</v>
      </c>
      <c r="C513" s="4">
        <f>IFERROR(__xludf.DUMMYFUNCTION("""COMPUTED_VALUE"""),1.536)</f>
        <v>1.536</v>
      </c>
    </row>
    <row r="514">
      <c r="A514" s="4" t="str">
        <f>IFERROR(__xludf.DUMMYFUNCTION("""COMPUTED_VALUE"""),"388")</f>
        <v>388</v>
      </c>
      <c r="B514" s="4" t="str">
        <f>IFERROR(__xludf.DUMMYFUNCTION("""COMPUTED_VALUE"""),"Cartel PVC 40x30 Uso obligatorio de chaleco alta visibilidad")</f>
        <v>Cartel PVC 40x30 Uso obligatorio de chaleco alta visibilidad</v>
      </c>
      <c r="C514" s="4">
        <f>IFERROR(__xludf.DUMMYFUNCTION("""COMPUTED_VALUE"""),2.3808)</f>
        <v>2.3808</v>
      </c>
    </row>
    <row r="515">
      <c r="A515" s="4" t="str">
        <f>IFERROR(__xludf.DUMMYFUNCTION("""COMPUTED_VALUE"""),"0388P")</f>
        <v>0388P</v>
      </c>
      <c r="B515" s="4" t="str">
        <f>IFERROR(__xludf.DUMMYFUNCTION("""COMPUTED_VALUE"""),"Cartel PVC 21x29 OBLIGATORIO EL USO CHALECO ALTA")</f>
        <v>Cartel PVC 21x29 OBLIGATORIO EL USO CHALECO ALTA</v>
      </c>
      <c r="C515" s="4">
        <f>IFERROR(__xludf.DUMMYFUNCTION("""COMPUTED_VALUE"""),1.536)</f>
        <v>1.536</v>
      </c>
    </row>
    <row r="516">
      <c r="A516" s="4" t="str">
        <f>IFERROR(__xludf.DUMMYFUNCTION("""COMPUTED_VALUE"""),"389")</f>
        <v>389</v>
      </c>
      <c r="B516" s="4" t="str">
        <f>IFERROR(__xludf.DUMMYFUNCTION("""COMPUTED_VALUE"""),"Cartel 50x70 cm c/ojales CALLE CORTADA POR OBRAS (o")</f>
        <v>Cartel 50x70 cm c/ojales CALLE CORTADA POR OBRAS (o</v>
      </c>
      <c r="C516" s="4">
        <f>IFERROR(__xludf.DUMMYFUNCTION("""COMPUTED_VALUE"""),9.571200000000001)</f>
        <v>9.5712</v>
      </c>
    </row>
    <row r="517">
      <c r="A517" s="4" t="str">
        <f>IFERROR(__xludf.DUMMYFUNCTION("""COMPUTED_VALUE"""),"390")</f>
        <v>390</v>
      </c>
      <c r="B517" s="4" t="str">
        <f>IFERROR(__xludf.DUMMYFUNCTION("""COMPUTED_VALUE"""),"Cartel PVC 50x70 Combinado")</f>
        <v>Cartel PVC 50x70 Combinado</v>
      </c>
      <c r="C517" s="4">
        <f>IFERROR(__xludf.DUMMYFUNCTION("""COMPUTED_VALUE"""),5.232)</f>
        <v>5.232</v>
      </c>
    </row>
    <row r="518">
      <c r="A518" s="4" t="str">
        <f>IFERROR(__xludf.DUMMYFUNCTION("""COMPUTED_VALUE"""),"0390PA")</f>
        <v>0390PA</v>
      </c>
      <c r="B518" s="4" t="str">
        <f>IFERROR(__xludf.DUMMYFUNCTION("""COMPUTED_VALUE"""),"Cartel Poliet. 50x70 PROHIBIDO APARCAR CON HORARIO")</f>
        <v>Cartel Poliet. 50x70 PROHIBIDO APARCAR CON HORARIO</v>
      </c>
      <c r="C518" s="4">
        <f>IFERROR(__xludf.DUMMYFUNCTION("""COMPUTED_VALUE"""),6.72)</f>
        <v>6.72</v>
      </c>
    </row>
    <row r="519">
      <c r="A519" s="4" t="str">
        <f>IFERROR(__xludf.DUMMYFUNCTION("""COMPUTED_VALUE"""),"391")</f>
        <v>391</v>
      </c>
      <c r="B519" s="4" t="str">
        <f>IFERROR(__xludf.DUMMYFUNCTION("""COMPUTED_VALUE"""),"Señal PVC suelo plegable")</f>
        <v>Señal PVC suelo plegable</v>
      </c>
      <c r="C519" s="4">
        <f>IFERROR(__xludf.DUMMYFUNCTION("""COMPUTED_VALUE"""),5.712)</f>
        <v>5.712</v>
      </c>
    </row>
    <row r="520">
      <c r="A520" s="4" t="str">
        <f>IFERROR(__xludf.DUMMYFUNCTION("""COMPUTED_VALUE"""),"0391P")</f>
        <v>0391P</v>
      </c>
      <c r="B520" s="4" t="str">
        <f>IFERROR(__xludf.DUMMYFUNCTION("""COMPUTED_VALUE"""),"Caballete plegable amarillo señalizacion personalizado")</f>
        <v>Caballete plegable amarillo señalizacion personalizado</v>
      </c>
      <c r="C520" s="4">
        <f>IFERROR(__xludf.DUMMYFUNCTION("""COMPUTED_VALUE"""),8.64)</f>
        <v>8.64</v>
      </c>
    </row>
    <row r="521">
      <c r="A521" s="4" t="str">
        <f>IFERROR(__xludf.DUMMYFUNCTION("""COMPUTED_VALUE"""),"392")</f>
        <v>392</v>
      </c>
      <c r="B521" s="4" t="str">
        <f>IFERROR(__xludf.DUMMYFUNCTION("""COMPUTED_VALUE"""),"Cartel PVC 40x30 Limite vel. 10")</f>
        <v>Cartel PVC 40x30 Limite vel. 10</v>
      </c>
      <c r="C521" s="4">
        <f>IFERROR(__xludf.DUMMYFUNCTION("""COMPUTED_VALUE"""),2.3808)</f>
        <v>2.3808</v>
      </c>
    </row>
    <row r="522">
      <c r="A522" s="4" t="str">
        <f>IFERROR(__xludf.DUMMYFUNCTION("""COMPUTED_VALUE"""),"0392P")</f>
        <v>0392P</v>
      </c>
      <c r="B522" s="4" t="str">
        <f>IFERROR(__xludf.DUMMYFUNCTION("""COMPUTED_VALUE"""),"Cartel PVC 21x29 VELOCIDAD MAXIMA 10")</f>
        <v>Cartel PVC 21x29 VELOCIDAD MAXIMA 10</v>
      </c>
      <c r="C522" s="4">
        <f>IFERROR(__xludf.DUMMYFUNCTION("""COMPUTED_VALUE"""),1.536)</f>
        <v>1.536</v>
      </c>
    </row>
    <row r="523">
      <c r="A523" s="4" t="str">
        <f>IFERROR(__xludf.DUMMYFUNCTION("""COMPUTED_VALUE"""),"393")</f>
        <v>393</v>
      </c>
      <c r="B523" s="4" t="str">
        <f>IFERROR(__xludf.DUMMYFUNCTION("""COMPUTED_VALUE"""),"Cartel PVC 40x30 Limite vel. 20")</f>
        <v>Cartel PVC 40x30 Limite vel. 20</v>
      </c>
      <c r="C523" s="4">
        <f>IFERROR(__xludf.DUMMYFUNCTION("""COMPUTED_VALUE"""),2.3808)</f>
        <v>2.3808</v>
      </c>
    </row>
    <row r="524">
      <c r="A524" s="4" t="str">
        <f>IFERROR(__xludf.DUMMYFUNCTION("""COMPUTED_VALUE"""),"0393P")</f>
        <v>0393P</v>
      </c>
      <c r="B524" s="4" t="str">
        <f>IFERROR(__xludf.DUMMYFUNCTION("""COMPUTED_VALUE"""),"Cartel PVC 21x29 VELOCIDAD MAXIMA 20")</f>
        <v>Cartel PVC 21x29 VELOCIDAD MAXIMA 20</v>
      </c>
      <c r="C524" s="4">
        <f>IFERROR(__xludf.DUMMYFUNCTION("""COMPUTED_VALUE"""),1.536)</f>
        <v>1.536</v>
      </c>
    </row>
    <row r="525">
      <c r="A525" s="4" t="str">
        <f>IFERROR(__xludf.DUMMYFUNCTION("""COMPUTED_VALUE"""),"394")</f>
        <v>394</v>
      </c>
      <c r="B525" s="4" t="str">
        <f>IFERROR(__xludf.DUMMYFUNCTION("""COMPUTED_VALUE"""),"Cartel PVC 40x30 Limite vel. 30")</f>
        <v>Cartel PVC 40x30 Limite vel. 30</v>
      </c>
      <c r="C525" s="4">
        <f>IFERROR(__xludf.DUMMYFUNCTION("""COMPUTED_VALUE"""),2.3808)</f>
        <v>2.3808</v>
      </c>
    </row>
    <row r="526">
      <c r="A526" s="4" t="str">
        <f>IFERROR(__xludf.DUMMYFUNCTION("""COMPUTED_VALUE"""),"0394P")</f>
        <v>0394P</v>
      </c>
      <c r="B526" s="4" t="str">
        <f>IFERROR(__xludf.DUMMYFUNCTION("""COMPUTED_VALUE"""),"Cartel PVC 21x29 VELOCIDAD MAXIMA 30")</f>
        <v>Cartel PVC 21x29 VELOCIDAD MAXIMA 30</v>
      </c>
      <c r="C526" s="4">
        <f>IFERROR(__xludf.DUMMYFUNCTION("""COMPUTED_VALUE"""),1.536)</f>
        <v>1.536</v>
      </c>
    </row>
    <row r="527">
      <c r="A527" s="4" t="str">
        <f>IFERROR(__xludf.DUMMYFUNCTION("""COMPUTED_VALUE"""),"395")</f>
        <v>395</v>
      </c>
      <c r="B527" s="4" t="str">
        <f>IFERROR(__xludf.DUMMYFUNCTION("""COMPUTED_VALUE"""),"Cartel PVC 40x30 Limite vel. 40")</f>
        <v>Cartel PVC 40x30 Limite vel. 40</v>
      </c>
      <c r="C527" s="4">
        <f>IFERROR(__xludf.DUMMYFUNCTION("""COMPUTED_VALUE"""),2.3808)</f>
        <v>2.3808</v>
      </c>
    </row>
    <row r="528">
      <c r="A528" s="4" t="str">
        <f>IFERROR(__xludf.DUMMYFUNCTION("""COMPUTED_VALUE"""),"0395P")</f>
        <v>0395P</v>
      </c>
      <c r="B528" s="4" t="str">
        <f>IFERROR(__xludf.DUMMYFUNCTION("""COMPUTED_VALUE"""),"Cartel PVC 21x29 VELOCIDAD MAXIMA 40")</f>
        <v>Cartel PVC 21x29 VELOCIDAD MAXIMA 40</v>
      </c>
      <c r="C528" s="4">
        <f>IFERROR(__xludf.DUMMYFUNCTION("""COMPUTED_VALUE"""),1.536)</f>
        <v>1.536</v>
      </c>
    </row>
    <row r="529">
      <c r="A529" s="4" t="str">
        <f>IFERROR(__xludf.DUMMYFUNCTION("""COMPUTED_VALUE"""),"396")</f>
        <v>396</v>
      </c>
      <c r="B529" s="4" t="str">
        <f>IFERROR(__xludf.DUMMYFUNCTION("""COMPUTED_VALUE"""),"Cartel PVC 21x29 Fotolum. Columna movil extinción")</f>
        <v>Cartel PVC 21x29 Fotolum. Columna movil extinción</v>
      </c>
      <c r="C529" s="4">
        <f>IFERROR(__xludf.DUMMYFUNCTION("""COMPUTED_VALUE"""),2.496)</f>
        <v>2.496</v>
      </c>
    </row>
    <row r="530">
      <c r="A530" s="4" t="str">
        <f>IFERROR(__xludf.DUMMYFUNCTION("""COMPUTED_VALUE"""),"0396A")</f>
        <v>0396A</v>
      </c>
      <c r="B530" s="4" t="str">
        <f>IFERROR(__xludf.DUMMYFUNCTION("""COMPUTED_VALUE"""),"Cartel PVC 21x30 Fotolum. Carro extintor")</f>
        <v>Cartel PVC 21x30 Fotolum. Carro extintor</v>
      </c>
      <c r="C530" s="4">
        <f>IFERROR(__xludf.DUMMYFUNCTION("""COMPUTED_VALUE"""),2.4192)</f>
        <v>2.4192</v>
      </c>
    </row>
    <row r="531">
      <c r="A531" s="4" t="str">
        <f>IFERROR(__xludf.DUMMYFUNCTION("""COMPUTED_VALUE"""),"0396B")</f>
        <v>0396B</v>
      </c>
      <c r="B531" s="4" t="str">
        <f>IFERROR(__xludf.DUMMYFUNCTION("""COMPUTED_VALUE"""),"Cartel PVC 40x30 Fotolum. Carro extintor")</f>
        <v>Cartel PVC 40x30 Fotolum. Carro extintor</v>
      </c>
      <c r="C531" s="4">
        <f>IFERROR(__xludf.DUMMYFUNCTION("""COMPUTED_VALUE"""),2.976)</f>
        <v>2.976</v>
      </c>
    </row>
    <row r="532">
      <c r="A532" s="4" t="str">
        <f>IFERROR(__xludf.DUMMYFUNCTION("""COMPUTED_VALUE"""),"397")</f>
        <v>397</v>
      </c>
      <c r="B532" s="4" t="str">
        <f>IFERROR(__xludf.DUMMYFUNCTION("""COMPUTED_VALUE"""),"Cartel PVC 21x29 Fotolum. Sin salida")</f>
        <v>Cartel PVC 21x29 Fotolum. Sin salida</v>
      </c>
      <c r="C532" s="4">
        <f>IFERROR(__xludf.DUMMYFUNCTION("""COMPUTED_VALUE"""),2.496)</f>
        <v>2.496</v>
      </c>
    </row>
    <row r="533">
      <c r="A533" s="4" t="str">
        <f>IFERROR(__xludf.DUMMYFUNCTION("""COMPUTED_VALUE"""),"0397A")</f>
        <v>0397A</v>
      </c>
      <c r="B533" s="4" t="str">
        <f>IFERROR(__xludf.DUMMYFUNCTION("""COMPUTED_VALUE"""),"Cartel PVC 32x16 Fotolum. Sin Salida")</f>
        <v>Cartel PVC 32x16 Fotolum. Sin Salida</v>
      </c>
      <c r="C533" s="4">
        <f>IFERROR(__xludf.DUMMYFUNCTION("""COMPUTED_VALUE"""),2.16)</f>
        <v>2.16</v>
      </c>
    </row>
    <row r="534">
      <c r="A534" s="4" t="str">
        <f>IFERROR(__xludf.DUMMYFUNCTION("""COMPUTED_VALUE"""),"0397B")</f>
        <v>0397B</v>
      </c>
      <c r="B534" s="4" t="str">
        <f>IFERROR(__xludf.DUMMYFUNCTION("""COMPUTED_VALUE"""),"Cartel PVC 64x32 Fotolum. Sin Salida")</f>
        <v>Cartel PVC 64x32 Fotolum. Sin Salida</v>
      </c>
      <c r="C534" s="4">
        <f>IFERROR(__xludf.DUMMYFUNCTION("""COMPUTED_VALUE"""),4.300800000000001)</f>
        <v>4.3008</v>
      </c>
    </row>
    <row r="535">
      <c r="A535" s="4" t="str">
        <f>IFERROR(__xludf.DUMMYFUNCTION("""COMPUTED_VALUE"""),"0397C")</f>
        <v>0397C</v>
      </c>
      <c r="B535" s="4" t="str">
        <f>IFERROR(__xludf.DUMMYFUNCTION("""COMPUTED_VALUE"""),"Cartel PVC 96x48 Fotolum. Sin Salida")</f>
        <v>Cartel PVC 96x48 Fotolum. Sin Salida</v>
      </c>
      <c r="C535" s="4">
        <f>IFERROR(__xludf.DUMMYFUNCTION("""COMPUTED_VALUE"""),8.6304)</f>
        <v>8.6304</v>
      </c>
    </row>
    <row r="536">
      <c r="A536" s="4" t="str">
        <f>IFERROR(__xludf.DUMMYFUNCTION("""COMPUTED_VALUE"""),"398")</f>
        <v>398</v>
      </c>
      <c r="B536" s="4" t="str">
        <f>IFERROR(__xludf.DUMMYFUNCTION("""COMPUTED_VALUE"""),"Cartel PVC 21x29 Fotolum. Flecha")</f>
        <v>Cartel PVC 21x29 Fotolum. Flecha</v>
      </c>
      <c r="C536" s="4">
        <f>IFERROR(__xludf.DUMMYFUNCTION("""COMPUTED_VALUE"""),2.496)</f>
        <v>2.496</v>
      </c>
    </row>
    <row r="537">
      <c r="A537" s="4" t="str">
        <f>IFERROR(__xludf.DUMMYFUNCTION("""COMPUTED_VALUE"""),"0398DA")</f>
        <v>0398DA</v>
      </c>
      <c r="B537" s="4" t="str">
        <f>IFERROR(__xludf.DUMMYFUNCTION("""COMPUTED_VALUE"""),"Cartel PVC 32x16 Fotolum. Flecha derecha")</f>
        <v>Cartel PVC 32x16 Fotolum. Flecha derecha</v>
      </c>
      <c r="C537" s="4">
        <f>IFERROR(__xludf.DUMMYFUNCTION("""COMPUTED_VALUE"""),2.16)</f>
        <v>2.16</v>
      </c>
    </row>
    <row r="538">
      <c r="A538" s="4" t="str">
        <f>IFERROR(__xludf.DUMMYFUNCTION("""COMPUTED_VALUE"""),"0398DB")</f>
        <v>0398DB</v>
      </c>
      <c r="B538" s="4" t="str">
        <f>IFERROR(__xludf.DUMMYFUNCTION("""COMPUTED_VALUE"""),"Cartel PVC 64x32 Fotolum. Flecha derecha")</f>
        <v>Cartel PVC 64x32 Fotolum. Flecha derecha</v>
      </c>
      <c r="C538" s="4">
        <f>IFERROR(__xludf.DUMMYFUNCTION("""COMPUTED_VALUE"""),4.300800000000001)</f>
        <v>4.3008</v>
      </c>
    </row>
    <row r="539">
      <c r="A539" s="4" t="str">
        <f>IFERROR(__xludf.DUMMYFUNCTION("""COMPUTED_VALUE"""),"0398DC")</f>
        <v>0398DC</v>
      </c>
      <c r="B539" s="4" t="str">
        <f>IFERROR(__xludf.DUMMYFUNCTION("""COMPUTED_VALUE"""),"Cartel PVC 96x48 Fotolum. Flecha derecha")</f>
        <v>Cartel PVC 96x48 Fotolum. Flecha derecha</v>
      </c>
      <c r="C539" s="4">
        <f>IFERROR(__xludf.DUMMYFUNCTION("""COMPUTED_VALUE"""),8.601600000000001)</f>
        <v>8.6016</v>
      </c>
    </row>
    <row r="540">
      <c r="A540" s="4" t="str">
        <f>IFERROR(__xludf.DUMMYFUNCTION("""COMPUTED_VALUE"""),"0398IA")</f>
        <v>0398IA</v>
      </c>
      <c r="B540" s="4" t="str">
        <f>IFERROR(__xludf.DUMMYFUNCTION("""COMPUTED_VALUE"""),"Cartel PVC 32x16 Fotolum. Flecha izquierda")</f>
        <v>Cartel PVC 32x16 Fotolum. Flecha izquierda</v>
      </c>
      <c r="C540" s="4">
        <f>IFERROR(__xludf.DUMMYFUNCTION("""COMPUTED_VALUE"""),2.16)</f>
        <v>2.16</v>
      </c>
    </row>
    <row r="541">
      <c r="A541" s="4" t="str">
        <f>IFERROR(__xludf.DUMMYFUNCTION("""COMPUTED_VALUE"""),"0398IB")</f>
        <v>0398IB</v>
      </c>
      <c r="B541" s="4" t="str">
        <f>IFERROR(__xludf.DUMMYFUNCTION("""COMPUTED_VALUE"""),"Cartel PVC 64x32 Fotolum. Flecha derecha")</f>
        <v>Cartel PVC 64x32 Fotolum. Flecha derecha</v>
      </c>
      <c r="C541" s="4">
        <f>IFERROR(__xludf.DUMMYFUNCTION("""COMPUTED_VALUE"""),4.300800000000001)</f>
        <v>4.3008</v>
      </c>
    </row>
    <row r="542">
      <c r="A542" s="4" t="str">
        <f>IFERROR(__xludf.DUMMYFUNCTION("""COMPUTED_VALUE"""),"0398IC")</f>
        <v>0398IC</v>
      </c>
      <c r="B542" s="4" t="str">
        <f>IFERROR(__xludf.DUMMYFUNCTION("""COMPUTED_VALUE"""),"Cartel PVC 96x48 Fotolum. Flecha derecha")</f>
        <v>Cartel PVC 96x48 Fotolum. Flecha derecha</v>
      </c>
      <c r="C542" s="4">
        <f>IFERROR(__xludf.DUMMYFUNCTION("""COMPUTED_VALUE"""),8.601600000000001)</f>
        <v>8.6016</v>
      </c>
    </row>
    <row r="543">
      <c r="A543" s="4" t="str">
        <f>IFERROR(__xludf.DUMMYFUNCTION("""COMPUTED_VALUE"""),"399")</f>
        <v>399</v>
      </c>
      <c r="B543" s="4" t="str">
        <f>IFERROR(__xludf.DUMMYFUNCTION("""COMPUTED_VALUE"""),"Cartel PVC 40x30 Calle cortada por obra")</f>
        <v>Cartel PVC 40x30 Calle cortada por obra</v>
      </c>
      <c r="C543" s="4">
        <f>IFERROR(__xludf.DUMMYFUNCTION("""COMPUTED_VALUE"""),2.3808)</f>
        <v>2.3808</v>
      </c>
    </row>
    <row r="544">
      <c r="A544" s="4" t="str">
        <f>IFERROR(__xludf.DUMMYFUNCTION("""COMPUTED_VALUE"""),"400")</f>
        <v>400</v>
      </c>
      <c r="B544" s="4" t="str">
        <f>IFERROR(__xludf.DUMMYFUNCTION("""COMPUTED_VALUE"""),"Bolsa negra perforada cubre señales trafico")</f>
        <v>Bolsa negra perforada cubre señales trafico</v>
      </c>
      <c r="C544" s="4">
        <f>IFERROR(__xludf.DUMMYFUNCTION("""COMPUTED_VALUE"""),1.632)</f>
        <v>1.632</v>
      </c>
    </row>
    <row r="545">
      <c r="A545" s="4" t="str">
        <f>IFERROR(__xludf.DUMMYFUNCTION("""COMPUTED_VALUE"""),"401")</f>
        <v>401</v>
      </c>
      <c r="B545" s="4" t="str">
        <f>IFERROR(__xludf.DUMMYFUNCTION("""COMPUTED_VALUE"""),"Se¤al Bolsa de plastico nº1 DIRECION PROHIB.")</f>
        <v>Se¤al Bolsa de plastico nº1 DIRECION PROHIB.</v>
      </c>
      <c r="C545" s="4">
        <f>IFERROR(__xludf.DUMMYFUNCTION("""COMPUTED_VALUE"""),1.632)</f>
        <v>1.632</v>
      </c>
    </row>
    <row r="546">
      <c r="A546" s="4" t="str">
        <f>IFERROR(__xludf.DUMMYFUNCTION("""COMPUTED_VALUE"""),"402")</f>
        <v>402</v>
      </c>
      <c r="B546" s="4" t="str">
        <f>IFERROR(__xludf.DUMMYFUNCTION("""COMPUTED_VALUE"""),"Señal Bolsa de plastico nº 2 STOP")</f>
        <v>Señal Bolsa de plastico nº 2 STOP</v>
      </c>
      <c r="C546" s="4">
        <f>IFERROR(__xludf.DUMMYFUNCTION("""COMPUTED_VALUE"""),1.632)</f>
        <v>1.632</v>
      </c>
    </row>
    <row r="547">
      <c r="A547" s="4" t="str">
        <f>IFERROR(__xludf.DUMMYFUNCTION("""COMPUTED_VALUE"""),"403")</f>
        <v>403</v>
      </c>
      <c r="B547" s="4" t="str">
        <f>IFERROR(__xludf.DUMMYFUNCTION("""COMPUTED_VALUE"""),"Señal Bolsa de plastico nº 3 DIR. OBL. DERECHA")</f>
        <v>Señal Bolsa de plastico nº 3 DIR. OBL. DERECHA</v>
      </c>
      <c r="C547" s="4">
        <f>IFERROR(__xludf.DUMMYFUNCTION("""COMPUTED_VALUE"""),1.632)</f>
        <v>1.632</v>
      </c>
    </row>
    <row r="548">
      <c r="A548" s="4" t="str">
        <f>IFERROR(__xludf.DUMMYFUNCTION("""COMPUTED_VALUE"""),"404")</f>
        <v>404</v>
      </c>
      <c r="B548" s="4" t="str">
        <f>IFERROR(__xludf.DUMMYFUNCTION("""COMPUTED_VALUE"""),"Señal Bolsa de plastico nº 4 PELIGRO INDEF")</f>
        <v>Señal Bolsa de plastico nº 4 PELIGRO INDEF</v>
      </c>
      <c r="C548" s="4">
        <f>IFERROR(__xludf.DUMMYFUNCTION("""COMPUTED_VALUE"""),1.632)</f>
        <v>1.632</v>
      </c>
    </row>
    <row r="549">
      <c r="A549" s="4" t="str">
        <f>IFERROR(__xludf.DUMMYFUNCTION("""COMPUTED_VALUE"""),"405")</f>
        <v>405</v>
      </c>
      <c r="B549" s="4" t="str">
        <f>IFERROR(__xludf.DUMMYFUNCTION("""COMPUTED_VALUE"""),"Señal Bolsa de plastico nº 5 OBRAS")</f>
        <v>Señal Bolsa de plastico nº 5 OBRAS</v>
      </c>
      <c r="C549" s="4">
        <f>IFERROR(__xludf.DUMMYFUNCTION("""COMPUTED_VALUE"""),1.632)</f>
        <v>1.632</v>
      </c>
    </row>
    <row r="550">
      <c r="A550" s="4" t="str">
        <f>IFERROR(__xludf.DUMMYFUNCTION("""COMPUTED_VALUE"""),"406")</f>
        <v>406</v>
      </c>
      <c r="B550" s="4" t="str">
        <f>IFERROR(__xludf.DUMMYFUNCTION("""COMPUTED_VALUE"""),"Señal Bolsa de plastico nº 6 VEL. 40")</f>
        <v>Señal Bolsa de plastico nº 6 VEL. 40</v>
      </c>
      <c r="C550" s="4">
        <f>IFERROR(__xludf.DUMMYFUNCTION("""COMPUTED_VALUE"""),1.632)</f>
        <v>1.632</v>
      </c>
    </row>
    <row r="551">
      <c r="A551" s="4" t="str">
        <f>IFERROR(__xludf.DUMMYFUNCTION("""COMPUTED_VALUE"""),"407")</f>
        <v>407</v>
      </c>
      <c r="B551" s="4" t="str">
        <f>IFERROR(__xludf.DUMMYFUNCTION("""COMPUTED_VALUE"""),"Señal Bolsa de plastico nº 7 VEL. 60")</f>
        <v>Señal Bolsa de plastico nº 7 VEL. 60</v>
      </c>
      <c r="C551" s="4">
        <f>IFERROR(__xludf.DUMMYFUNCTION("""COMPUTED_VALUE"""),1.632)</f>
        <v>1.632</v>
      </c>
    </row>
    <row r="552">
      <c r="A552" s="4" t="str">
        <f>IFERROR(__xludf.DUMMYFUNCTION("""COMPUTED_VALUE"""),"408")</f>
        <v>408</v>
      </c>
      <c r="B552" s="4" t="str">
        <f>IFERROR(__xludf.DUMMYFUNCTION("""COMPUTED_VALUE"""),"Señal Bolsa de plastico nº 8 ESTRECH")</f>
        <v>Señal Bolsa de plastico nº 8 ESTRECH</v>
      </c>
      <c r="C552" s="4">
        <f>IFERROR(__xludf.DUMMYFUNCTION("""COMPUTED_VALUE"""),1.632)</f>
        <v>1.632</v>
      </c>
    </row>
    <row r="553">
      <c r="A553" s="4" t="str">
        <f>IFERROR(__xludf.DUMMYFUNCTION("""COMPUTED_VALUE"""),"409")</f>
        <v>409</v>
      </c>
      <c r="B553" s="4" t="str">
        <f>IFERROR(__xludf.DUMMYFUNCTION("""COMPUTED_VALUE"""),"Señal Bolsa de plastico nº 9 PROHIB ADELANT")</f>
        <v>Señal Bolsa de plastico nº 9 PROHIB ADELANT</v>
      </c>
      <c r="C553" s="4">
        <f>IFERROR(__xludf.DUMMYFUNCTION("""COMPUTED_VALUE"""),1.632)</f>
        <v>1.632</v>
      </c>
    </row>
    <row r="554">
      <c r="A554" s="4" t="str">
        <f>IFERROR(__xludf.DUMMYFUNCTION("""COMPUTED_VALUE"""),"410")</f>
        <v>410</v>
      </c>
      <c r="B554" s="4" t="str">
        <f>IFERROR(__xludf.DUMMYFUNCTION("""COMPUTED_VALUE"""),"Señal Bolsa de plastico nº 10 PRIORIDAD")</f>
        <v>Señal Bolsa de plastico nº 10 PRIORIDAD</v>
      </c>
      <c r="C554" s="4">
        <f>IFERROR(__xludf.DUMMYFUNCTION("""COMPUTED_VALUE"""),1.632)</f>
        <v>1.632</v>
      </c>
    </row>
    <row r="555">
      <c r="A555" s="4" t="str">
        <f>IFERROR(__xludf.DUMMYFUNCTION("""COMPUTED_VALUE"""),"411")</f>
        <v>411</v>
      </c>
      <c r="B555" s="4" t="str">
        <f>IFERROR(__xludf.DUMMYFUNCTION("""COMPUTED_VALUE"""),"Señal Bolsa de plastico nº 11 PROHIB. APARCAR")</f>
        <v>Señal Bolsa de plastico nº 11 PROHIB. APARCAR</v>
      </c>
      <c r="C555" s="4">
        <f>IFERROR(__xludf.DUMMYFUNCTION("""COMPUTED_VALUE"""),1.632)</f>
        <v>1.632</v>
      </c>
    </row>
    <row r="556">
      <c r="A556" s="4" t="str">
        <f>IFERROR(__xludf.DUMMYFUNCTION("""COMPUTED_VALUE"""),"412")</f>
        <v>412</v>
      </c>
      <c r="B556" s="4" t="str">
        <f>IFERROR(__xludf.DUMMYFUNCTION("""COMPUTED_VALUE"""),"Señal Bolsa de plastico nº 12 ESCALON LATERAL")</f>
        <v>Señal Bolsa de plastico nº 12 ESCALON LATERAL</v>
      </c>
      <c r="C556" s="4">
        <f>IFERROR(__xludf.DUMMYFUNCTION("""COMPUTED_VALUE"""),1.632)</f>
        <v>1.632</v>
      </c>
    </row>
    <row r="557">
      <c r="A557" s="4" t="str">
        <f>IFERROR(__xludf.DUMMYFUNCTION("""COMPUTED_VALUE"""),"413")</f>
        <v>413</v>
      </c>
      <c r="B557" s="4" t="str">
        <f>IFERROR(__xludf.DUMMYFUNCTION("""COMPUTED_VALUE"""),"Señal Bolsa de plastico nº 13 SUELO RESVALADIZO")</f>
        <v>Señal Bolsa de plastico nº 13 SUELO RESVALADIZO</v>
      </c>
      <c r="C557" s="4">
        <f>IFERROR(__xludf.DUMMYFUNCTION("""COMPUTED_VALUE"""),1.632)</f>
        <v>1.632</v>
      </c>
    </row>
    <row r="558">
      <c r="A558" s="4" t="str">
        <f>IFERROR(__xludf.DUMMYFUNCTION("""COMPUTED_VALUE"""),"414")</f>
        <v>414</v>
      </c>
      <c r="B558" s="4" t="str">
        <f>IFERROR(__xludf.DUMMYFUNCTION("""COMPUTED_VALUE"""),"Señal Bolsa de plastico nº 14 VEL 20")</f>
        <v>Señal Bolsa de plastico nº 14 VEL 20</v>
      </c>
      <c r="C558" s="4">
        <f>IFERROR(__xludf.DUMMYFUNCTION("""COMPUTED_VALUE"""),1.632)</f>
        <v>1.632</v>
      </c>
    </row>
    <row r="559">
      <c r="A559" s="4" t="str">
        <f>IFERROR(__xludf.DUMMYFUNCTION("""COMPUTED_VALUE"""),"415")</f>
        <v>415</v>
      </c>
      <c r="B559" s="4" t="str">
        <f>IFERROR(__xludf.DUMMYFUNCTION("""COMPUTED_VALUE"""),"Señal Bolsa de plastico nº 15 PELIGRO CAMIONES")</f>
        <v>Señal Bolsa de plastico nº 15 PELIGRO CAMIONES</v>
      </c>
      <c r="C559" s="4">
        <f>IFERROR(__xludf.DUMMYFUNCTION("""COMPUTED_VALUE"""),1.632)</f>
        <v>1.632</v>
      </c>
    </row>
    <row r="560">
      <c r="A560" s="4" t="str">
        <f>IFERROR(__xludf.DUMMYFUNCTION("""COMPUTED_VALUE"""),"416")</f>
        <v>416</v>
      </c>
      <c r="B560" s="4" t="str">
        <f>IFERROR(__xludf.DUMMYFUNCTION("""COMPUTED_VALUE"""),"Señal Bolsa de plastico nº 16 SALIDA CAMIONES")</f>
        <v>Señal Bolsa de plastico nº 16 SALIDA CAMIONES</v>
      </c>
      <c r="C560" s="4">
        <f>IFERROR(__xludf.DUMMYFUNCTION("""COMPUTED_VALUE"""),1.632)</f>
        <v>1.632</v>
      </c>
    </row>
    <row r="561">
      <c r="A561" s="4" t="str">
        <f>IFERROR(__xludf.DUMMYFUNCTION("""COMPUTED_VALUE"""),"417")</f>
        <v>417</v>
      </c>
      <c r="B561" s="4" t="str">
        <f>IFERROR(__xludf.DUMMYFUNCTION("""COMPUTED_VALUE"""),"Señal Bolsa de plastico nº 17 CALLE CORTADA")</f>
        <v>Señal Bolsa de plastico nº 17 CALLE CORTADA</v>
      </c>
      <c r="C561" s="4">
        <f>IFERROR(__xludf.DUMMYFUNCTION("""COMPUTED_VALUE"""),1.632)</f>
        <v>1.632</v>
      </c>
    </row>
    <row r="562">
      <c r="A562" s="4" t="str">
        <f>IFERROR(__xludf.DUMMYFUNCTION("""COMPUTED_VALUE"""),"418")</f>
        <v>418</v>
      </c>
      <c r="B562" s="4" t="str">
        <f>IFERROR(__xludf.DUMMYFUNCTION("""COMPUTED_VALUE"""),"Señal Bolsa de plastico nº 18 VEL 30")</f>
        <v>Señal Bolsa de plastico nº 18 VEL 30</v>
      </c>
      <c r="C562" s="4">
        <f>IFERROR(__xludf.DUMMYFUNCTION("""COMPUTED_VALUE"""),1.632)</f>
        <v>1.632</v>
      </c>
    </row>
    <row r="563">
      <c r="A563" s="4" t="str">
        <f>IFERROR(__xludf.DUMMYFUNCTION("""COMPUTED_VALUE"""),"419")</f>
        <v>419</v>
      </c>
      <c r="B563" s="4" t="str">
        <f>IFERROR(__xludf.DUMMYFUNCTION("""COMPUTED_VALUE"""),"Señal Bolsa de plastico nº 19 DESPRENDIMIENTO")</f>
        <v>Señal Bolsa de plastico nº 19 DESPRENDIMIENTO</v>
      </c>
      <c r="C563" s="4">
        <f>IFERROR(__xludf.DUMMYFUNCTION("""COMPUTED_VALUE"""),1.632)</f>
        <v>1.632</v>
      </c>
    </row>
    <row r="564">
      <c r="A564" s="4" t="str">
        <f>IFERROR(__xludf.DUMMYFUNCTION("""COMPUTED_VALUE"""),"420")</f>
        <v>420</v>
      </c>
      <c r="B564" s="4" t="str">
        <f>IFERROR(__xludf.DUMMYFUNCTION("""COMPUTED_VALUE"""),"Señal Bolsa de plastico nº 20 ACERA EN OBRAS")</f>
        <v>Señal Bolsa de plastico nº 20 ACERA EN OBRAS</v>
      </c>
      <c r="C564" s="4">
        <f>IFERROR(__xludf.DUMMYFUNCTION("""COMPUTED_VALUE"""),1.632)</f>
        <v>1.632</v>
      </c>
    </row>
    <row r="565">
      <c r="A565" s="4" t="str">
        <f>IFERROR(__xludf.DUMMYFUNCTION("""COMPUTED_VALUE"""),"421")</f>
        <v>421</v>
      </c>
      <c r="B565" s="4" t="str">
        <f>IFERROR(__xludf.DUMMYFUNCTION("""COMPUTED_VALUE"""),"Señal Bolsa de plastico nº 21 ESTRECH. IZQ.")</f>
        <v>Señal Bolsa de plastico nº 21 ESTRECH. IZQ.</v>
      </c>
      <c r="C565" s="4">
        <f>IFERROR(__xludf.DUMMYFUNCTION("""COMPUTED_VALUE"""),1.632)</f>
        <v>1.632</v>
      </c>
    </row>
    <row r="566">
      <c r="A566" s="4" t="str">
        <f>IFERROR(__xludf.DUMMYFUNCTION("""COMPUTED_VALUE"""),"422")</f>
        <v>422</v>
      </c>
      <c r="B566" s="4" t="str">
        <f>IFERROR(__xludf.DUMMYFUNCTION("""COMPUTED_VALUE"""),"Señal Bolsa de plastico nº 22 ESTRECH. DERECHA")</f>
        <v>Señal Bolsa de plastico nº 22 ESTRECH. DERECHA</v>
      </c>
      <c r="C566" s="4">
        <f>IFERROR(__xludf.DUMMYFUNCTION("""COMPUTED_VALUE"""),1.632)</f>
        <v>1.632</v>
      </c>
    </row>
    <row r="567">
      <c r="A567" s="4" t="str">
        <f>IFERROR(__xludf.DUMMYFUNCTION("""COMPUTED_VALUE"""),"423")</f>
        <v>423</v>
      </c>
      <c r="B567" s="4" t="str">
        <f>IFERROR(__xludf.DUMMYFUNCTION("""COMPUTED_VALUE"""),"Señal Bolsa de plastico nº 23 VEL 10")</f>
        <v>Señal Bolsa de plastico nº 23 VEL 10</v>
      </c>
      <c r="C567" s="4">
        <f>IFERROR(__xludf.DUMMYFUNCTION("""COMPUTED_VALUE"""),1.632)</f>
        <v>1.632</v>
      </c>
    </row>
    <row r="568">
      <c r="A568" s="4" t="str">
        <f>IFERROR(__xludf.DUMMYFUNCTION("""COMPUTED_VALUE"""),"424")</f>
        <v>424</v>
      </c>
      <c r="B568" s="4" t="str">
        <f>IFERROR(__xludf.DUMMYFUNCTION("""COMPUTED_VALUE"""),"Señal Bolsa de plastico nº 24 VEL. 50")</f>
        <v>Señal Bolsa de plastico nº 24 VEL. 50</v>
      </c>
      <c r="C568" s="4">
        <f>IFERROR(__xludf.DUMMYFUNCTION("""COMPUTED_VALUE"""),1.632)</f>
        <v>1.632</v>
      </c>
    </row>
    <row r="569">
      <c r="A569" s="4" t="str">
        <f>IFERROR(__xludf.DUMMYFUNCTION("""COMPUTED_VALUE"""),"425")</f>
        <v>425</v>
      </c>
      <c r="B569" s="4" t="str">
        <f>IFERROR(__xludf.DUMMYFUNCTION("""COMPUTED_VALUE"""),"Señal Bolsa de plastico nº 25 RESALTO")</f>
        <v>Señal Bolsa de plastico nº 25 RESALTO</v>
      </c>
      <c r="C569" s="4">
        <f>IFERROR(__xludf.DUMMYFUNCTION("""COMPUTED_VALUE"""),1.632)</f>
        <v>1.632</v>
      </c>
    </row>
    <row r="570">
      <c r="A570" s="4" t="str">
        <f>IFERROR(__xludf.DUMMYFUNCTION("""COMPUTED_VALUE"""),"426")</f>
        <v>426</v>
      </c>
      <c r="B570" s="4" t="str">
        <f>IFERROR(__xludf.DUMMYFUNCTION("""COMPUTED_VALUE"""),"Señal Bolsa de plastico nº 26 CAMINO CORTADO")</f>
        <v>Señal Bolsa de plastico nº 26 CAMINO CORTADO</v>
      </c>
      <c r="C570" s="4">
        <f>IFERROR(__xludf.DUMMYFUNCTION("""COMPUTED_VALUE"""),1.632)</f>
        <v>1.632</v>
      </c>
    </row>
    <row r="571">
      <c r="A571" s="4" t="str">
        <f>IFERROR(__xludf.DUMMYFUNCTION("""COMPUTED_VALUE"""),"427")</f>
        <v>427</v>
      </c>
      <c r="B571" s="4" t="str">
        <f>IFERROR(__xludf.DUMMYFUNCTION("""COMPUTED_VALUE"""),"Señal Bolsa de plastico nº 27 DIR. OBLI. IZQ.")</f>
        <v>Señal Bolsa de plastico nº 27 DIR. OBLI. IZQ.</v>
      </c>
      <c r="C571" s="4">
        <f>IFERROR(__xludf.DUMMYFUNCTION("""COMPUTED_VALUE"""),1.632)</f>
        <v>1.632</v>
      </c>
    </row>
    <row r="572">
      <c r="A572" s="4" t="str">
        <f>IFERROR(__xludf.DUMMYFUNCTION("""COMPUTED_VALUE"""),"428")</f>
        <v>428</v>
      </c>
      <c r="B572" s="4" t="str">
        <f>IFERROR(__xludf.DUMMYFUNCTION("""COMPUTED_VALUE"""),"Señal Bolsa de plastico nº 28 CEDA EL PASO")</f>
        <v>Señal Bolsa de plastico nº 28 CEDA EL PASO</v>
      </c>
      <c r="C572" s="4">
        <f>IFERROR(__xludf.DUMMYFUNCTION("""COMPUTED_VALUE"""),1.632)</f>
        <v>1.632</v>
      </c>
    </row>
    <row r="573">
      <c r="A573" s="4" t="str">
        <f>IFERROR(__xludf.DUMMYFUNCTION("""COMPUTED_VALUE"""),"429")</f>
        <v>429</v>
      </c>
      <c r="B573" s="4" t="str">
        <f>IFERROR(__xludf.DUMMYFUNCTION("""COMPUTED_VALUE"""),"Señal Bolsa de plastico nº 29 CEDA EL PASO C / TEXTO")</f>
        <v>Señal Bolsa de plastico nº 29 CEDA EL PASO C / TEXTO</v>
      </c>
      <c r="C573" s="4">
        <f>IFERROR(__xludf.DUMMYFUNCTION("""COMPUTED_VALUE"""),1.632)</f>
        <v>1.632</v>
      </c>
    </row>
    <row r="574">
      <c r="A574" s="4" t="str">
        <f>IFERROR(__xludf.DUMMYFUNCTION("""COMPUTED_VALUE"""),"430")</f>
        <v>430</v>
      </c>
      <c r="B574" s="4" t="str">
        <f>IFERROR(__xludf.DUMMYFUNCTION("""COMPUTED_VALUE"""),"Señal Bolsa de plastico nº 30 CONTROL POLICIAL")</f>
        <v>Señal Bolsa de plastico nº 30 CONTROL POLICIAL</v>
      </c>
      <c r="C574" s="4">
        <f>IFERROR(__xludf.DUMMYFUNCTION("""COMPUTED_VALUE"""),1.632)</f>
        <v>1.632</v>
      </c>
    </row>
    <row r="575">
      <c r="A575" s="4" t="str">
        <f>IFERROR(__xludf.DUMMYFUNCTION("""COMPUTED_VALUE"""),"431")</f>
        <v>431</v>
      </c>
      <c r="B575" s="4" t="str">
        <f>IFERROR(__xludf.DUMMYFUNCTION("""COMPUTED_VALUE"""),"Señal Bolsa de plastico nº 31 TRABAJOS FORESTALES")</f>
        <v>Señal Bolsa de plastico nº 31 TRABAJOS FORESTALES</v>
      </c>
      <c r="C575" s="4">
        <f>IFERROR(__xludf.DUMMYFUNCTION("""COMPUTED_VALUE"""),1.632)</f>
        <v>1.632</v>
      </c>
    </row>
    <row r="576">
      <c r="A576" s="4" t="str">
        <f>IFERROR(__xludf.DUMMYFUNCTION("""COMPUTED_VALUE"""),"432")</f>
        <v>432</v>
      </c>
      <c r="B576" s="4" t="str">
        <f>IFERROR(__xludf.DUMMYFUNCTION("""COMPUTED_VALUE"""),"Señal Bolsa de plastico nº 32 LUZ OBLIGATORIA")</f>
        <v>Señal Bolsa de plastico nº 32 LUZ OBLIGATORIA</v>
      </c>
      <c r="C576" s="4">
        <f>IFERROR(__xludf.DUMMYFUNCTION("""COMPUTED_VALUE"""),1.632)</f>
        <v>1.632</v>
      </c>
    </row>
    <row r="577">
      <c r="A577" s="4" t="str">
        <f>IFERROR(__xludf.DUMMYFUNCTION("""COMPUTED_VALUE"""),"0450A")</f>
        <v>0450A</v>
      </c>
      <c r="B577" s="4" t="str">
        <f>IFERROR(__xludf.DUMMYFUNCTION("""COMPUTED_VALUE"""),"Plantilla señalizacion para suelo 50x50 cm")</f>
        <v>Plantilla señalizacion para suelo 50x50 cm</v>
      </c>
      <c r="C577" s="4">
        <f>IFERROR(__xludf.DUMMYFUNCTION("""COMPUTED_VALUE"""),31.439999999999998)</f>
        <v>31.44</v>
      </c>
    </row>
    <row r="578">
      <c r="A578" s="4" t="str">
        <f>IFERROR(__xludf.DUMMYFUNCTION("""COMPUTED_VALUE"""),"0450B")</f>
        <v>0450B</v>
      </c>
      <c r="B578" s="4" t="str">
        <f>IFERROR(__xludf.DUMMYFUNCTION("""COMPUTED_VALUE"""),"Plantilla señalizacion para suelo 100 x 70 cm")</f>
        <v>Plantilla señalizacion para suelo 100 x 70 cm</v>
      </c>
      <c r="C578" s="4">
        <f>IFERROR(__xludf.DUMMYFUNCTION("""COMPUTED_VALUE"""),45.6192)</f>
        <v>45.6192</v>
      </c>
    </row>
    <row r="579">
      <c r="A579" s="4" t="str">
        <f>IFERROR(__xludf.DUMMYFUNCTION("""COMPUTED_VALUE"""),"0450E")</f>
        <v>0450E</v>
      </c>
      <c r="B579" s="4" t="str">
        <f>IFERROR(__xludf.DUMMYFUNCTION("""COMPUTED_VALUE"""),"Plantilla 60x60 cm carga coche eléctrico")</f>
        <v>Plantilla 60x60 cm carga coche eléctrico</v>
      </c>
      <c r="C579" s="4">
        <f>IFERROR(__xludf.DUMMYFUNCTION("""COMPUTED_VALUE"""),33.744)</f>
        <v>33.744</v>
      </c>
    </row>
    <row r="580">
      <c r="A580" s="4" t="str">
        <f>IFERROR(__xludf.DUMMYFUNCTION("""COMPUTED_VALUE"""),"561")</f>
        <v>561</v>
      </c>
      <c r="B580" s="4" t="str">
        <f>IFERROR(__xludf.DUMMYFUNCTION("""COMPUTED_VALUE"""),"Bolardo composite cuadrado Abatible 70 cm c/llave")</f>
        <v>Bolardo composite cuadrado Abatible 70 cm c/llave</v>
      </c>
      <c r="C580" s="4">
        <f>IFERROR(__xludf.DUMMYFUNCTION("""COMPUTED_VALUE"""),31.439999999999998)</f>
        <v>31.44</v>
      </c>
    </row>
    <row r="581">
      <c r="A581" s="4" t="str">
        <f>IFERROR(__xludf.DUMMYFUNCTION("""COMPUTED_VALUE"""),"562")</f>
        <v>562</v>
      </c>
      <c r="B581" s="4" t="str">
        <f>IFERROR(__xludf.DUMMYFUNCTION("""COMPUTED_VALUE"""),"Bolardo Composite Redondo Abatible 70 cm c/ llave")</f>
        <v>Bolardo Composite Redondo Abatible 70 cm c/ llave</v>
      </c>
      <c r="C581" s="4">
        <f>IFERROR(__xludf.DUMMYFUNCTION("""COMPUTED_VALUE"""),35.76)</f>
        <v>35.76</v>
      </c>
    </row>
    <row r="582">
      <c r="A582" s="4" t="str">
        <f>IFERROR(__xludf.DUMMYFUNCTION("""COMPUTED_VALUE"""),"563")</f>
        <v>563</v>
      </c>
      <c r="B582" s="4" t="str">
        <f>IFERROR(__xludf.DUMMYFUNCTION("""COMPUTED_VALUE"""),"Tensa Cono 9 Mts A/N")</f>
        <v>Tensa Cono 9 Mts A/N</v>
      </c>
      <c r="C582" s="4">
        <f>IFERROR(__xludf.DUMMYFUNCTION("""COMPUTED_VALUE"""),33.12)</f>
        <v>33.12</v>
      </c>
    </row>
    <row r="583">
      <c r="A583" s="4" t="str">
        <f>IFERROR(__xludf.DUMMYFUNCTION("""COMPUTED_VALUE"""),"564")</f>
        <v>564</v>
      </c>
      <c r="B583" s="4" t="str">
        <f>IFERROR(__xludf.DUMMYFUNCTION("""COMPUTED_VALUE"""),"Tensa Cono 9 Mts R/B")</f>
        <v>Tensa Cono 9 Mts R/B</v>
      </c>
      <c r="C583" s="4">
        <f>IFERROR(__xludf.DUMMYFUNCTION("""COMPUTED_VALUE"""),33.12)</f>
        <v>33.12</v>
      </c>
    </row>
    <row r="584">
      <c r="A584" s="4" t="str">
        <f>IFERROR(__xludf.DUMMYFUNCTION("""COMPUTED_VALUE"""),"565")</f>
        <v>565</v>
      </c>
      <c r="B584" s="4" t="str">
        <f>IFERROR(__xludf.DUMMYFUNCTION("""COMPUTED_VALUE"""),"Tensa Cono 3 Mts R/B")</f>
        <v>Tensa Cono 3 Mts R/B</v>
      </c>
      <c r="C584" s="4">
        <f>IFERROR(__xludf.DUMMYFUNCTION("""COMPUTED_VALUE"""),15.36)</f>
        <v>15.36</v>
      </c>
    </row>
    <row r="585">
      <c r="A585" s="4" t="str">
        <f>IFERROR(__xludf.DUMMYFUNCTION("""COMPUTED_VALUE"""),"566")</f>
        <v>566</v>
      </c>
      <c r="B585" s="4" t="str">
        <f>IFERROR(__xludf.DUMMYFUNCTION("""COMPUTED_VALUE"""),"Tensa Cono 3 Mts A/N")</f>
        <v>Tensa Cono 3 Mts A/N</v>
      </c>
      <c r="C585" s="4">
        <f>IFERROR(__xludf.DUMMYFUNCTION("""COMPUTED_VALUE"""),15.36)</f>
        <v>15.36</v>
      </c>
    </row>
    <row r="586">
      <c r="A586" s="4" t="str">
        <f>IFERROR(__xludf.DUMMYFUNCTION("""COMPUTED_VALUE"""),"568")</f>
        <v>568</v>
      </c>
      <c r="B586" s="4" t="str">
        <f>IFERROR(__xludf.DUMMYFUNCTION("""COMPUTED_VALUE"""),"Hito vertice divergente 1200x1300")</f>
        <v>Hito vertice divergente 1200x1300</v>
      </c>
      <c r="C586" s="4">
        <f>IFERROR(__xludf.DUMMYFUNCTION("""COMPUTED_VALUE"""),378.0)</f>
        <v>378</v>
      </c>
    </row>
    <row r="587">
      <c r="A587" s="4" t="str">
        <f>IFERROR(__xludf.DUMMYFUNCTION("""COMPUTED_VALUE"""),"569")</f>
        <v>569</v>
      </c>
      <c r="B587" s="4" t="str">
        <f>IFERROR(__xludf.DUMMYFUNCTION("""COMPUTED_VALUE"""),"Bolardo Acero 100 cm x 8 cm diámetro fijo")</f>
        <v>Bolardo Acero 100 cm x 8 cm diámetro fijo</v>
      </c>
      <c r="C587" s="4">
        <f>IFERROR(__xludf.DUMMYFUNCTION("""COMPUTED_VALUE"""),32.256)</f>
        <v>32.256</v>
      </c>
    </row>
    <row r="588">
      <c r="A588" s="4" t="str">
        <f>IFERROR(__xludf.DUMMYFUNCTION("""COMPUTED_VALUE"""),"0569/PLATO")</f>
        <v>0569/PLATO</v>
      </c>
      <c r="B588" s="4" t="str">
        <f>IFERROR(__xludf.DUMMYFUNCTION("""COMPUTED_VALUE"""),"Bolardo Acero 100 cm x 8 cm diam. c/plato")</f>
        <v>Bolardo Acero 100 cm x 8 cm diam. c/plato</v>
      </c>
      <c r="C588" s="4">
        <f>IFERROR(__xludf.DUMMYFUNCTION("""COMPUTED_VALUE"""),54.432)</f>
        <v>54.432</v>
      </c>
    </row>
    <row r="589">
      <c r="A589" s="4" t="str">
        <f>IFERROR(__xludf.DUMMYFUNCTION("""COMPUTED_VALUE"""),"0569A")</f>
        <v>0569A</v>
      </c>
      <c r="B589" s="4" t="str">
        <f>IFERROR(__xludf.DUMMYFUNCTION("""COMPUTED_VALUE"""),"Bolardo Acero 100 cm x 8 cm diámetro extraíble")</f>
        <v>Bolardo Acero 100 cm x 8 cm diámetro extraíble</v>
      </c>
      <c r="C589" s="4">
        <f>IFERROR(__xludf.DUMMYFUNCTION("""COMPUTED_VALUE"""),38.303999999999995)</f>
        <v>38.304</v>
      </c>
    </row>
    <row r="590">
      <c r="A590" s="4" t="str">
        <f>IFERROR(__xludf.DUMMYFUNCTION("""COMPUTED_VALUE"""),"0569E")</f>
        <v>0569E</v>
      </c>
      <c r="B590" s="4" t="str">
        <f>IFERROR(__xludf.DUMMYFUNCTION("""COMPUTED_VALUE"""),"Base-enganche bolardo Acero")</f>
        <v>Base-enganche bolardo Acero</v>
      </c>
      <c r="C590" s="4">
        <f>IFERROR(__xludf.DUMMYFUNCTION("""COMPUTED_VALUE"""),56.64)</f>
        <v>56.64</v>
      </c>
    </row>
    <row r="591">
      <c r="A591" s="4" t="str">
        <f>IFERROR(__xludf.DUMMYFUNCTION("""COMPUTED_VALUE"""),"0569LL")</f>
        <v>0569LL</v>
      </c>
      <c r="B591" s="4" t="str">
        <f>IFERROR(__xludf.DUMMYFUNCTION("""COMPUTED_VALUE"""),"Llave para enganche bolardo Acero")</f>
        <v>Llave para enganche bolardo Acero</v>
      </c>
      <c r="C591" s="4">
        <f>IFERROR(__xludf.DUMMYFUNCTION("""COMPUTED_VALUE"""),6.048)</f>
        <v>6.048</v>
      </c>
    </row>
    <row r="592">
      <c r="A592" s="4" t="str">
        <f>IFERROR(__xludf.DUMMYFUNCTION("""COMPUTED_VALUE"""),"570")</f>
        <v>570</v>
      </c>
      <c r="B592" s="4" t="str">
        <f>IFERROR(__xludf.DUMMYFUNCTION("""COMPUTED_VALUE"""),"LLave para colocacion HIto H75")</f>
        <v>LLave para colocacion HIto H75</v>
      </c>
      <c r="C592" s="4">
        <f>IFERROR(__xludf.DUMMYFUNCTION("""COMPUTED_VALUE"""),16.272)</f>
        <v>16.272</v>
      </c>
    </row>
    <row r="593">
      <c r="A593" s="4" t="str">
        <f>IFERROR(__xludf.DUMMYFUNCTION("""COMPUTED_VALUE"""),"571")</f>
        <v>571</v>
      </c>
      <c r="B593" s="4" t="str">
        <f>IFERROR(__xludf.DUMMYFUNCTION("""COMPUTED_VALUE"""),"Hito 75 cm c/base basculante Mod. B Verde")</f>
        <v>Hito 75 cm c/base basculante Mod. B Verde</v>
      </c>
      <c r="C593" s="4">
        <f>IFERROR(__xludf.DUMMYFUNCTION("""COMPUTED_VALUE"""),24.96)</f>
        <v>24.96</v>
      </c>
    </row>
    <row r="594">
      <c r="A594" s="4" t="str">
        <f>IFERROR(__xludf.DUMMYFUNCTION("""COMPUTED_VALUE"""),"0571A")</f>
        <v>0571A</v>
      </c>
      <c r="B594" s="4" t="str">
        <f>IFERROR(__xludf.DUMMYFUNCTION("""COMPUTED_VALUE"""),"Hito 75 cm c/base basculante Mod. B Azul")</f>
        <v>Hito 75 cm c/base basculante Mod. B Azul</v>
      </c>
      <c r="C594" s="4">
        <f>IFERROR(__xludf.DUMMYFUNCTION("""COMPUTED_VALUE"""),24.96)</f>
        <v>24.96</v>
      </c>
    </row>
    <row r="595">
      <c r="A595" s="4" t="str">
        <f>IFERROR(__xludf.DUMMYFUNCTION("""COMPUTED_VALUE"""),"574")</f>
        <v>574</v>
      </c>
      <c r="B595" s="4" t="str">
        <f>IFERROR(__xludf.DUMMYFUNCTION("""COMPUTED_VALUE"""),"Hito H-75 Polietileno azul Mod. A")</f>
        <v>Hito H-75 Polietileno azul Mod. A</v>
      </c>
      <c r="C595" s="4">
        <f>IFERROR(__xludf.DUMMYFUNCTION("""COMPUTED_VALUE"""),16.272)</f>
        <v>16.272</v>
      </c>
    </row>
    <row r="596">
      <c r="A596" s="4" t="str">
        <f>IFERROR(__xludf.DUMMYFUNCTION("""COMPUTED_VALUE"""),"0574P")</f>
        <v>0574P</v>
      </c>
      <c r="B596" s="4" t="str">
        <f>IFERROR(__xludf.DUMMYFUNCTION("""COMPUTED_VALUE"""),"Hito H-50 Polietileno azul Mod. A")</f>
        <v>Hito H-50 Polietileno azul Mod. A</v>
      </c>
      <c r="C596" s="4">
        <f>IFERROR(__xludf.DUMMYFUNCTION("""COMPUTED_VALUE"""),13.2)</f>
        <v>13.2</v>
      </c>
    </row>
    <row r="597">
      <c r="A597" s="4" t="str">
        <f>IFERROR(__xludf.DUMMYFUNCTION("""COMPUTED_VALUE"""),"0575A")</f>
        <v>0575A</v>
      </c>
      <c r="B597" s="4" t="str">
        <f>IFERROR(__xludf.DUMMYFUNCTION("""COMPUTED_VALUE"""),"Bandera señalizacion Mod. Basic Amarillo")</f>
        <v>Bandera señalizacion Mod. Basic Amarillo</v>
      </c>
      <c r="C597" s="4">
        <f>IFERROR(__xludf.DUMMYFUNCTION("""COMPUTED_VALUE"""),4.704)</f>
        <v>4.704</v>
      </c>
    </row>
    <row r="598">
      <c r="A598" s="4" t="str">
        <f>IFERROR(__xludf.DUMMYFUNCTION("""COMPUTED_VALUE"""),"0575R")</f>
        <v>0575R</v>
      </c>
      <c r="B598" s="4" t="str">
        <f>IFERROR(__xludf.DUMMYFUNCTION("""COMPUTED_VALUE"""),"Bandera señalizacion Mod. Basic Rojo")</f>
        <v>Bandera señalizacion Mod. Basic Rojo</v>
      </c>
      <c r="C598" s="4">
        <f>IFERROR(__xludf.DUMMYFUNCTION("""COMPUTED_VALUE"""),4.704)</f>
        <v>4.704</v>
      </c>
    </row>
    <row r="599">
      <c r="A599" s="4" t="str">
        <f>IFERROR(__xludf.DUMMYFUNCTION("""COMPUTED_VALUE"""),"0575V")</f>
        <v>0575V</v>
      </c>
      <c r="B599" s="4" t="str">
        <f>IFERROR(__xludf.DUMMYFUNCTION("""COMPUTED_VALUE"""),"Bandera señalizacion Mod. Basic Verde")</f>
        <v>Bandera señalizacion Mod. Basic Verde</v>
      </c>
      <c r="C599" s="4">
        <f>IFERROR(__xludf.DUMMYFUNCTION("""COMPUTED_VALUE"""),4.704)</f>
        <v>4.704</v>
      </c>
    </row>
    <row r="600">
      <c r="A600" s="4" t="str">
        <f>IFERROR(__xludf.DUMMYFUNCTION("""COMPUTED_VALUE"""),"0575Z")</f>
        <v>0575Z</v>
      </c>
      <c r="B600" s="4" t="str">
        <f>IFERROR(__xludf.DUMMYFUNCTION("""COMPUTED_VALUE"""),"Bandera señalizacion Mod. Basic Azul")</f>
        <v>Bandera señalizacion Mod. Basic Azul</v>
      </c>
      <c r="C600" s="4">
        <f>IFERROR(__xludf.DUMMYFUNCTION("""COMPUTED_VALUE"""),4.704)</f>
        <v>4.704</v>
      </c>
    </row>
    <row r="601">
      <c r="A601" s="4" t="str">
        <f>IFERROR(__xludf.DUMMYFUNCTION("""COMPUTED_VALUE"""),"576")</f>
        <v>576</v>
      </c>
      <c r="B601" s="4" t="str">
        <f>IFERROR(__xludf.DUMMYFUNCTION("""COMPUTED_VALUE"""),"Hito H-75 fijo Polietileno verde Mod. A")</f>
        <v>Hito H-75 fijo Polietileno verde Mod. A</v>
      </c>
      <c r="C601" s="4">
        <f>IFERROR(__xludf.DUMMYFUNCTION("""COMPUTED_VALUE"""),16.272)</f>
        <v>16.272</v>
      </c>
    </row>
    <row r="602">
      <c r="A602" s="4" t="str">
        <f>IFERROR(__xludf.DUMMYFUNCTION("""COMPUTED_VALUE"""),"0576P")</f>
        <v>0576P</v>
      </c>
      <c r="B602" s="4" t="str">
        <f>IFERROR(__xludf.DUMMYFUNCTION("""COMPUTED_VALUE"""),"Hito H-50 fijo Polietileno verde Mod. A")</f>
        <v>Hito H-50 fijo Polietileno verde Mod. A</v>
      </c>
      <c r="C602" s="4">
        <f>IFERROR(__xludf.DUMMYFUNCTION("""COMPUTED_VALUE"""),13.2)</f>
        <v>13.2</v>
      </c>
    </row>
    <row r="603">
      <c r="A603" s="4" t="str">
        <f>IFERROR(__xludf.DUMMYFUNCTION("""COMPUTED_VALUE"""),"0576T")</f>
        <v>0576T</v>
      </c>
      <c r="B603" s="4" t="str">
        <f>IFERROR(__xludf.DUMMYFUNCTION("""COMPUTED_VALUE"""),"Tornillo con casquillo para H-75")</f>
        <v>Tornillo con casquillo para H-75</v>
      </c>
      <c r="C603" s="4">
        <f>IFERROR(__xludf.DUMMYFUNCTION("""COMPUTED_VALUE"""),2.064)</f>
        <v>2.064</v>
      </c>
    </row>
    <row r="604">
      <c r="A604" s="4" t="str">
        <f>IFERROR(__xludf.DUMMYFUNCTION("""COMPUTED_VALUE"""),"577")</f>
        <v>577</v>
      </c>
      <c r="B604" s="4" t="str">
        <f>IFERROR(__xludf.DUMMYFUNCTION("""COMPUTED_VALUE"""),"Señal Obra con mango STOP-PASO")</f>
        <v>Señal Obra con mango STOP-PASO</v>
      </c>
      <c r="C604" s="4">
        <f>IFERROR(__xludf.DUMMYFUNCTION("""COMPUTED_VALUE"""),4.704)</f>
        <v>4.704</v>
      </c>
    </row>
    <row r="605">
      <c r="A605" s="4" t="str">
        <f>IFERROR(__xludf.DUMMYFUNCTION("""COMPUTED_VALUE"""),"0577A")</f>
        <v>0577A</v>
      </c>
      <c r="B605" s="4" t="str">
        <f>IFERROR(__xludf.DUMMYFUNCTION("""COMPUTED_VALUE"""),"Señal Stop/Paso con Mango Reforzada aluminio")</f>
        <v>Señal Stop/Paso con Mango Reforzada aluminio</v>
      </c>
      <c r="C605" s="4">
        <f>IFERROR(__xludf.DUMMYFUNCTION("""COMPUTED_VALUE"""),8.64)</f>
        <v>8.64</v>
      </c>
    </row>
    <row r="606">
      <c r="A606" s="4" t="str">
        <f>IFERROR(__xludf.DUMMYFUNCTION("""COMPUTED_VALUE"""),"0577B")</f>
        <v>0577B</v>
      </c>
      <c r="B606" s="4" t="str">
        <f>IFERROR(__xludf.DUMMYFUNCTION("""COMPUTED_VALUE"""),"Señal Obra con mango STOP-PASO 1.5 m")</f>
        <v>Señal Obra con mango STOP-PASO 1.5 m</v>
      </c>
      <c r="C606" s="4">
        <f>IFERROR(__xludf.DUMMYFUNCTION("""COMPUTED_VALUE"""),7.4399999999999995)</f>
        <v>7.44</v>
      </c>
    </row>
    <row r="607">
      <c r="A607" s="4" t="str">
        <f>IFERROR(__xludf.DUMMYFUNCTION("""COMPUTED_VALUE"""),"578")</f>
        <v>578</v>
      </c>
      <c r="B607" s="4" t="str">
        <f>IFERROR(__xludf.DUMMYFUNCTION("""COMPUTED_VALUE"""),"Soporte metálica para señal bolsa")</f>
        <v>Soporte metálica para señal bolsa</v>
      </c>
      <c r="C607" s="4">
        <f>IFERROR(__xludf.DUMMYFUNCTION("""COMPUTED_VALUE"""),15.12)</f>
        <v>15.12</v>
      </c>
    </row>
    <row r="608">
      <c r="A608" s="4" t="str">
        <f>IFERROR(__xludf.DUMMYFUNCTION("""COMPUTED_VALUE"""),"0579A")</f>
        <v>0579A</v>
      </c>
      <c r="B608" s="4" t="str">
        <f>IFERROR(__xludf.DUMMYFUNCTION("""COMPUTED_VALUE"""),"Pilona extraible PVC-EVA 810 mm Amarilla")</f>
        <v>Pilona extraible PVC-EVA 810 mm Amarilla</v>
      </c>
      <c r="C608" s="4">
        <f>IFERROR(__xludf.DUMMYFUNCTION("""COMPUTED_VALUE"""),44.16)</f>
        <v>44.16</v>
      </c>
    </row>
    <row r="609">
      <c r="A609" s="4" t="str">
        <f>IFERROR(__xludf.DUMMYFUNCTION("""COMPUTED_VALUE"""),"0579B")</f>
        <v>0579B</v>
      </c>
      <c r="B609" s="4" t="str">
        <f>IFERROR(__xludf.DUMMYFUNCTION("""COMPUTED_VALUE"""),"Sistema extraible para pilona 0579")</f>
        <v>Sistema extraible para pilona 0579</v>
      </c>
      <c r="C609" s="4">
        <f>IFERROR(__xludf.DUMMYFUNCTION("""COMPUTED_VALUE"""),34.2048)</f>
        <v>34.2048</v>
      </c>
    </row>
    <row r="610">
      <c r="A610" s="4" t="str">
        <f>IFERROR(__xludf.DUMMYFUNCTION("""COMPUTED_VALUE"""),"0579LL")</f>
        <v>0579LL</v>
      </c>
      <c r="B610" s="4" t="str">
        <f>IFERROR(__xludf.DUMMYFUNCTION("""COMPUTED_VALUE"""),"Llave para pilona extraible 0579")</f>
        <v>Llave para pilona extraible 0579</v>
      </c>
      <c r="C610" s="4">
        <f>IFERROR(__xludf.DUMMYFUNCTION("""COMPUTED_VALUE"""),7.68)</f>
        <v>7.68</v>
      </c>
    </row>
    <row r="611">
      <c r="A611" s="4" t="str">
        <f>IFERROR(__xludf.DUMMYFUNCTION("""COMPUTED_VALUE"""),"0579N")</f>
        <v>0579N</v>
      </c>
      <c r="B611" s="4" t="str">
        <f>IFERROR(__xludf.DUMMYFUNCTION("""COMPUTED_VALUE"""),"Pilona Extraíble PVC-EVA 810 mm Negro")</f>
        <v>Pilona Extraíble PVC-EVA 810 mm Negro</v>
      </c>
      <c r="C611" s="4">
        <f>IFERROR(__xludf.DUMMYFUNCTION("""COMPUTED_VALUE"""),44.16)</f>
        <v>44.16</v>
      </c>
    </row>
    <row r="612">
      <c r="A612" s="4" t="str">
        <f>IFERROR(__xludf.DUMMYFUNCTION("""COMPUTED_VALUE"""),"0579R")</f>
        <v>0579R</v>
      </c>
      <c r="B612" s="4" t="str">
        <f>IFERROR(__xludf.DUMMYFUNCTION("""COMPUTED_VALUE"""),"Pilona extraible PVC-EVA 810 mm Rojo")</f>
        <v>Pilona extraible PVC-EVA 810 mm Rojo</v>
      </c>
      <c r="C612" s="4">
        <f>IFERROR(__xludf.DUMMYFUNCTION("""COMPUTED_VALUE"""),44.16)</f>
        <v>44.16</v>
      </c>
    </row>
    <row r="613">
      <c r="A613" s="4" t="str">
        <f>IFERROR(__xludf.DUMMYFUNCTION("""COMPUTED_VALUE"""),"0579V")</f>
        <v>0579V</v>
      </c>
      <c r="B613" s="4" t="str">
        <f>IFERROR(__xludf.DUMMYFUNCTION("""COMPUTED_VALUE"""),"Pilona extraible PVC-EVA 810 mm Verde")</f>
        <v>Pilona extraible PVC-EVA 810 mm Verde</v>
      </c>
      <c r="C613" s="4">
        <f>IFERROR(__xludf.DUMMYFUNCTION("""COMPUTED_VALUE"""),44.16)</f>
        <v>44.16</v>
      </c>
    </row>
    <row r="614">
      <c r="A614" s="4" t="str">
        <f>IFERROR(__xludf.DUMMYFUNCTION("""COMPUTED_VALUE"""),"0579Z")</f>
        <v>0579Z</v>
      </c>
      <c r="B614" s="4" t="str">
        <f>IFERROR(__xludf.DUMMYFUNCTION("""COMPUTED_VALUE"""),"Pilona extraible PVC-EVA 810 mm Azul")</f>
        <v>Pilona extraible PVC-EVA 810 mm Azul</v>
      </c>
      <c r="C614" s="4">
        <f>IFERROR(__xludf.DUMMYFUNCTION("""COMPUTED_VALUE"""),44.16)</f>
        <v>44.16</v>
      </c>
    </row>
    <row r="615">
      <c r="A615" s="4" t="str">
        <f>IFERROR(__xludf.DUMMYFUNCTION("""COMPUTED_VALUE"""),"0580A")</f>
        <v>0580A</v>
      </c>
      <c r="B615" s="4" t="str">
        <f>IFERROR(__xludf.DUMMYFUNCTION("""COMPUTED_VALUE"""),"Pilona fija PVC-EVA 810 mm Amarillo con peana")</f>
        <v>Pilona fija PVC-EVA 810 mm Amarillo con peana</v>
      </c>
      <c r="C615" s="4">
        <f>IFERROR(__xludf.DUMMYFUNCTION("""COMPUTED_VALUE"""),45.12)</f>
        <v>45.12</v>
      </c>
    </row>
    <row r="616">
      <c r="A616" s="4" t="str">
        <f>IFERROR(__xludf.DUMMYFUNCTION("""COMPUTED_VALUE"""),"0580N")</f>
        <v>0580N</v>
      </c>
      <c r="B616" s="4" t="str">
        <f>IFERROR(__xludf.DUMMYFUNCTION("""COMPUTED_VALUE"""),"Pilona fija PVC-EVA 810 mm Negro con peana")</f>
        <v>Pilona fija PVC-EVA 810 mm Negro con peana</v>
      </c>
      <c r="C616" s="4">
        <f>IFERROR(__xludf.DUMMYFUNCTION("""COMPUTED_VALUE"""),45.12)</f>
        <v>45.12</v>
      </c>
    </row>
    <row r="617">
      <c r="A617" s="4" t="str">
        <f>IFERROR(__xludf.DUMMYFUNCTION("""COMPUTED_VALUE"""),"0580R")</f>
        <v>0580R</v>
      </c>
      <c r="B617" s="4" t="str">
        <f>IFERROR(__xludf.DUMMYFUNCTION("""COMPUTED_VALUE"""),"Pilona fija PVC-EVA 810 mm Rojo con peana")</f>
        <v>Pilona fija PVC-EVA 810 mm Rojo con peana</v>
      </c>
      <c r="C617" s="4">
        <f>IFERROR(__xludf.DUMMYFUNCTION("""COMPUTED_VALUE"""),45.12)</f>
        <v>45.12</v>
      </c>
    </row>
    <row r="618">
      <c r="A618" s="4" t="str">
        <f>IFERROR(__xludf.DUMMYFUNCTION("""COMPUTED_VALUE"""),"0580V")</f>
        <v>0580V</v>
      </c>
      <c r="B618" s="4" t="str">
        <f>IFERROR(__xludf.DUMMYFUNCTION("""COMPUTED_VALUE"""),"Pilona fija PVC-EVA 810 mm Verde con peana")</f>
        <v>Pilona fija PVC-EVA 810 mm Verde con peana</v>
      </c>
      <c r="C618" s="4">
        <f>IFERROR(__xludf.DUMMYFUNCTION("""COMPUTED_VALUE"""),45.12)</f>
        <v>45.12</v>
      </c>
    </row>
    <row r="619">
      <c r="A619" s="4" t="str">
        <f>IFERROR(__xludf.DUMMYFUNCTION("""COMPUTED_VALUE"""),"0580Z")</f>
        <v>0580Z</v>
      </c>
      <c r="B619" s="4" t="str">
        <f>IFERROR(__xludf.DUMMYFUNCTION("""COMPUTED_VALUE"""),"Pilona fija PVC-EVA 810 mm Azul con peana")</f>
        <v>Pilona fija PVC-EVA 810 mm Azul con peana</v>
      </c>
      <c r="C619" s="4">
        <f>IFERROR(__xludf.DUMMYFUNCTION("""COMPUTED_VALUE"""),45.12)</f>
        <v>45.12</v>
      </c>
    </row>
    <row r="620">
      <c r="A620" s="4" t="str">
        <f>IFERROR(__xludf.DUMMYFUNCTION("""COMPUTED_VALUE"""),"581")</f>
        <v>581</v>
      </c>
      <c r="B620" s="4" t="str">
        <f>IFERROR(__xludf.DUMMYFUNCTION("""COMPUTED_VALUE"""),"Hito 100 cm PVC blando Naranja Mod.J")</f>
        <v>Hito 100 cm PVC blando Naranja Mod.J</v>
      </c>
      <c r="C620" s="4">
        <f>IFERROR(__xludf.DUMMYFUNCTION("""COMPUTED_VALUE"""),21.216)</f>
        <v>21.216</v>
      </c>
    </row>
    <row r="621">
      <c r="A621" s="4" t="str">
        <f>IFERROR(__xludf.DUMMYFUNCTION("""COMPUTED_VALUE"""),"0581A")</f>
        <v>0581A</v>
      </c>
      <c r="B621" s="4" t="str">
        <f>IFERROR(__xludf.DUMMYFUNCTION("""COMPUTED_VALUE"""),"Hito 100 cm PVC blando Azul Mod.J")</f>
        <v>Hito 100 cm PVC blando Azul Mod.J</v>
      </c>
      <c r="C621" s="4">
        <f>IFERROR(__xludf.DUMMYFUNCTION("""COMPUTED_VALUE"""),21.216)</f>
        <v>21.216</v>
      </c>
    </row>
    <row r="622">
      <c r="A622" s="4" t="str">
        <f>IFERROR(__xludf.DUMMYFUNCTION("""COMPUTED_VALUE"""),"0581AM")</f>
        <v>0581AM</v>
      </c>
      <c r="B622" s="4" t="str">
        <f>IFERROR(__xludf.DUMMYFUNCTION("""COMPUTED_VALUE"""),"Hito 100 cm PVC blando Amarillo Mod.J")</f>
        <v>Hito 100 cm PVC blando Amarillo Mod.J</v>
      </c>
      <c r="C622" s="4">
        <f>IFERROR(__xludf.DUMMYFUNCTION("""COMPUTED_VALUE"""),21.216)</f>
        <v>21.216</v>
      </c>
    </row>
    <row r="623">
      <c r="A623" s="4" t="str">
        <f>IFERROR(__xludf.DUMMYFUNCTION("""COMPUTED_VALUE"""),"0581B")</f>
        <v>0581B</v>
      </c>
      <c r="B623" s="4" t="str">
        <f>IFERROR(__xludf.DUMMYFUNCTION("""COMPUTED_VALUE"""),"Hito 100 cm PVC blando Blanco Mod.J")</f>
        <v>Hito 100 cm PVC blando Blanco Mod.J</v>
      </c>
      <c r="C623" s="4">
        <f>IFERROR(__xludf.DUMMYFUNCTION("""COMPUTED_VALUE"""),21.216)</f>
        <v>21.216</v>
      </c>
    </row>
    <row r="624">
      <c r="A624" s="4" t="str">
        <f>IFERROR(__xludf.DUMMYFUNCTION("""COMPUTED_VALUE"""),"0581NE")</f>
        <v>0581NE</v>
      </c>
      <c r="B624" s="4" t="str">
        <f>IFERROR(__xludf.DUMMYFUNCTION("""COMPUTED_VALUE"""),"Hito 100 cm PVC blando Negro Mod.J")</f>
        <v>Hito 100 cm PVC blando Negro Mod.J</v>
      </c>
      <c r="C624" s="4">
        <f>IFERROR(__xludf.DUMMYFUNCTION("""COMPUTED_VALUE"""),21.216)</f>
        <v>21.216</v>
      </c>
    </row>
    <row r="625">
      <c r="A625" s="4" t="str">
        <f>IFERROR(__xludf.DUMMYFUNCTION("""COMPUTED_VALUE"""),"0581R")</f>
        <v>0581R</v>
      </c>
      <c r="B625" s="4" t="str">
        <f>IFERROR(__xludf.DUMMYFUNCTION("""COMPUTED_VALUE"""),"Hito 100 cm PVC blando Rojo Mod.J")</f>
        <v>Hito 100 cm PVC blando Rojo Mod.J</v>
      </c>
      <c r="C625" s="4">
        <f>IFERROR(__xludf.DUMMYFUNCTION("""COMPUTED_VALUE"""),21.216)</f>
        <v>21.216</v>
      </c>
    </row>
    <row r="626">
      <c r="A626" s="4" t="str">
        <f>IFERROR(__xludf.DUMMYFUNCTION("""COMPUTED_VALUE"""),"0581V")</f>
        <v>0581V</v>
      </c>
      <c r="B626" s="4" t="str">
        <f>IFERROR(__xludf.DUMMYFUNCTION("""COMPUTED_VALUE"""),"Hito 100 cm PVC blando Verde Mod.J")</f>
        <v>Hito 100 cm PVC blando Verde Mod.J</v>
      </c>
      <c r="C626" s="4">
        <f>IFERROR(__xludf.DUMMYFUNCTION("""COMPUTED_VALUE"""),21.216)</f>
        <v>21.216</v>
      </c>
    </row>
    <row r="627">
      <c r="A627" s="4" t="str">
        <f>IFERROR(__xludf.DUMMYFUNCTION("""COMPUTED_VALUE"""),"582")</f>
        <v>582</v>
      </c>
      <c r="B627" s="4" t="str">
        <f>IFERROR(__xludf.DUMMYFUNCTION("""COMPUTED_VALUE"""),"Hito H-75 flexible E.V.A. verde Mod. C Plus")</f>
        <v>Hito H-75 flexible E.V.A. verde Mod. C Plus</v>
      </c>
      <c r="C627" s="4">
        <f>IFERROR(__xludf.DUMMYFUNCTION("""COMPUTED_VALUE"""),21.36)</f>
        <v>21.36</v>
      </c>
    </row>
    <row r="628">
      <c r="A628" s="4" t="str">
        <f>IFERROR(__xludf.DUMMYFUNCTION("""COMPUTED_VALUE"""),"0582P")</f>
        <v>0582P</v>
      </c>
      <c r="B628" s="4" t="str">
        <f>IFERROR(__xludf.DUMMYFUNCTION("""COMPUTED_VALUE"""),"Hito H-50 flexible E.V.A. verde Mod. C Plus")</f>
        <v>Hito H-50 flexible E.V.A. verde Mod. C Plus</v>
      </c>
      <c r="C628" s="4">
        <f>IFERROR(__xludf.DUMMYFUNCTION("""COMPUTED_VALUE"""),15.6)</f>
        <v>15.6</v>
      </c>
    </row>
    <row r="629">
      <c r="A629" s="4" t="str">
        <f>IFERROR(__xludf.DUMMYFUNCTION("""COMPUTED_VALUE"""),"583")</f>
        <v>583</v>
      </c>
      <c r="B629" s="4" t="str">
        <f>IFERROR(__xludf.DUMMYFUNCTION("""COMPUTED_VALUE"""),"Hito H-75 flexible E.V.A. azul Mod. C Plus")</f>
        <v>Hito H-75 flexible E.V.A. azul Mod. C Plus</v>
      </c>
      <c r="C629" s="4">
        <f>IFERROR(__xludf.DUMMYFUNCTION("""COMPUTED_VALUE"""),21.36)</f>
        <v>21.36</v>
      </c>
    </row>
    <row r="630">
      <c r="A630" s="4" t="str">
        <f>IFERROR(__xludf.DUMMYFUNCTION("""COMPUTED_VALUE"""),"0583P")</f>
        <v>0583P</v>
      </c>
      <c r="B630" s="4" t="str">
        <f>IFERROR(__xludf.DUMMYFUNCTION("""COMPUTED_VALUE"""),"Hito H-50 flexible E.V.A. azul Mod. C Plus")</f>
        <v>Hito H-50 flexible E.V.A. azul Mod. C Plus</v>
      </c>
      <c r="C630" s="4">
        <f>IFERROR(__xludf.DUMMYFUNCTION("""COMPUTED_VALUE"""),15.6)</f>
        <v>15.6</v>
      </c>
    </row>
    <row r="631">
      <c r="A631" s="4" t="str">
        <f>IFERROR(__xludf.DUMMYFUNCTION("""COMPUTED_VALUE"""),"584")</f>
        <v>584</v>
      </c>
      <c r="B631" s="4" t="str">
        <f>IFERROR(__xludf.DUMMYFUNCTION("""COMPUTED_VALUE"""),"Hito H-75 flexible E.V.A. rojo Mod. C Plus")</f>
        <v>Hito H-75 flexible E.V.A. rojo Mod. C Plus</v>
      </c>
      <c r="C631" s="4">
        <f>IFERROR(__xludf.DUMMYFUNCTION("""COMPUTED_VALUE"""),21.36)</f>
        <v>21.36</v>
      </c>
    </row>
    <row r="632">
      <c r="A632" s="4" t="str">
        <f>IFERROR(__xludf.DUMMYFUNCTION("""COMPUTED_VALUE"""),"0584P")</f>
        <v>0584P</v>
      </c>
      <c r="B632" s="4" t="str">
        <f>IFERROR(__xludf.DUMMYFUNCTION("""COMPUTED_VALUE"""),"Hito H-50 flexible E.V.A. rojo Mod. C Plus")</f>
        <v>Hito H-50 flexible E.V.A. rojo Mod. C Plus</v>
      </c>
      <c r="C632" s="4">
        <f>IFERROR(__xludf.DUMMYFUNCTION("""COMPUTED_VALUE"""),15.6)</f>
        <v>15.6</v>
      </c>
    </row>
    <row r="633">
      <c r="A633" s="4" t="str">
        <f>IFERROR(__xludf.DUMMYFUNCTION("""COMPUTED_VALUE"""),"585")</f>
        <v>585</v>
      </c>
      <c r="B633" s="4" t="str">
        <f>IFERROR(__xludf.DUMMYFUNCTION("""COMPUTED_VALUE"""),"Hito H-75 flexible E.V.A. amarillo Mod. C plus")</f>
        <v>Hito H-75 flexible E.V.A. amarillo Mod. C plus</v>
      </c>
      <c r="C633" s="4">
        <f>IFERROR(__xludf.DUMMYFUNCTION("""COMPUTED_VALUE"""),21.168)</f>
        <v>21.168</v>
      </c>
    </row>
    <row r="634">
      <c r="A634" s="4" t="str">
        <f>IFERROR(__xludf.DUMMYFUNCTION("""COMPUTED_VALUE"""),"0585P")</f>
        <v>0585P</v>
      </c>
      <c r="B634" s="4" t="str">
        <f>IFERROR(__xludf.DUMMYFUNCTION("""COMPUTED_VALUE"""),"Hito H-50 flexible E.V.A. amarillo Mod. C Plus")</f>
        <v>Hito H-50 flexible E.V.A. amarillo Mod. C Plus</v>
      </c>
      <c r="C634" s="4">
        <f>IFERROR(__xludf.DUMMYFUNCTION("""COMPUTED_VALUE"""),15.6)</f>
        <v>15.6</v>
      </c>
    </row>
    <row r="635">
      <c r="A635" s="4" t="str">
        <f>IFERROR(__xludf.DUMMYFUNCTION("""COMPUTED_VALUE"""),"586")</f>
        <v>586</v>
      </c>
      <c r="B635" s="4" t="str">
        <f>IFERROR(__xludf.DUMMYFUNCTION("""COMPUTED_VALUE"""),"Hito H-75 fijo Polietileno rojo Mod. A")</f>
        <v>Hito H-75 fijo Polietileno rojo Mod. A</v>
      </c>
      <c r="C635" s="4">
        <f>IFERROR(__xludf.DUMMYFUNCTION("""COMPUTED_VALUE"""),16.272)</f>
        <v>16.272</v>
      </c>
    </row>
    <row r="636">
      <c r="A636" s="4" t="str">
        <f>IFERROR(__xludf.DUMMYFUNCTION("""COMPUTED_VALUE"""),"0586P")</f>
        <v>0586P</v>
      </c>
      <c r="B636" s="4" t="str">
        <f>IFERROR(__xludf.DUMMYFUNCTION("""COMPUTED_VALUE"""),"Hito H-50 fijo Polietilieno rojo Mod. A")</f>
        <v>Hito H-50 fijo Polietilieno rojo Mod. A</v>
      </c>
      <c r="C636" s="4">
        <f>IFERROR(__xludf.DUMMYFUNCTION("""COMPUTED_VALUE"""),13.2)</f>
        <v>13.2</v>
      </c>
    </row>
    <row r="637">
      <c r="A637" s="4" t="str">
        <f>IFERROR(__xludf.DUMMYFUNCTION("""COMPUTED_VALUE"""),"587")</f>
        <v>587</v>
      </c>
      <c r="B637" s="4" t="str">
        <f>IFERROR(__xludf.DUMMYFUNCTION("""COMPUTED_VALUE"""),"Hito H-75 fijo Polietileno amarillo Mod. A")</f>
        <v>Hito H-75 fijo Polietileno amarillo Mod. A</v>
      </c>
      <c r="C637" s="4">
        <f>IFERROR(__xludf.DUMMYFUNCTION("""COMPUTED_VALUE"""),16.272)</f>
        <v>16.272</v>
      </c>
    </row>
    <row r="638">
      <c r="A638" s="4" t="str">
        <f>IFERROR(__xludf.DUMMYFUNCTION("""COMPUTED_VALUE"""),"0587P")</f>
        <v>0587P</v>
      </c>
      <c r="B638" s="4" t="str">
        <f>IFERROR(__xludf.DUMMYFUNCTION("""COMPUTED_VALUE"""),"Hito H-50 Polietileno amarillo Mod. A")</f>
        <v>Hito H-50 Polietileno amarillo Mod. A</v>
      </c>
      <c r="C638" s="4">
        <f>IFERROR(__xludf.DUMMYFUNCTION("""COMPUTED_VALUE"""),13.2)</f>
        <v>13.2</v>
      </c>
    </row>
    <row r="639">
      <c r="A639" s="4" t="str">
        <f>IFERROR(__xludf.DUMMYFUNCTION("""COMPUTED_VALUE"""),"588")</f>
        <v>588</v>
      </c>
      <c r="B639" s="4" t="str">
        <f>IFERROR(__xludf.DUMMYFUNCTION("""COMPUTED_VALUE"""),"Hito 75 cm PVC blando Naranja Mod. E")</f>
        <v>Hito 75 cm PVC blando Naranja Mod. E</v>
      </c>
      <c r="C639" s="4">
        <f>IFERROR(__xludf.DUMMYFUNCTION("""COMPUTED_VALUE"""),13.2)</f>
        <v>13.2</v>
      </c>
    </row>
    <row r="640">
      <c r="A640" s="4" t="str">
        <f>IFERROR(__xludf.DUMMYFUNCTION("""COMPUTED_VALUE"""),"0588A")</f>
        <v>0588A</v>
      </c>
      <c r="B640" s="4" t="str">
        <f>IFERROR(__xludf.DUMMYFUNCTION("""COMPUTED_VALUE"""),"Hito 75 cm PVC blando Azul Mod. E")</f>
        <v>Hito 75 cm PVC blando Azul Mod. E</v>
      </c>
      <c r="C640" s="4">
        <f>IFERROR(__xludf.DUMMYFUNCTION("""COMPUTED_VALUE"""),13.2)</f>
        <v>13.2</v>
      </c>
    </row>
    <row r="641">
      <c r="A641" s="4" t="str">
        <f>IFERROR(__xludf.DUMMYFUNCTION("""COMPUTED_VALUE"""),"0588AM")</f>
        <v>0588AM</v>
      </c>
      <c r="B641" s="4" t="str">
        <f>IFERROR(__xludf.DUMMYFUNCTION("""COMPUTED_VALUE"""),"Hito 75 cm PVC blando Amarillo Mod. E")</f>
        <v>Hito 75 cm PVC blando Amarillo Mod. E</v>
      </c>
      <c r="C641" s="4">
        <f>IFERROR(__xludf.DUMMYFUNCTION("""COMPUTED_VALUE"""),13.2)</f>
        <v>13.2</v>
      </c>
    </row>
    <row r="642">
      <c r="A642" s="4" t="str">
        <f>IFERROR(__xludf.DUMMYFUNCTION("""COMPUTED_VALUE"""),"0588B")</f>
        <v>0588B</v>
      </c>
      <c r="B642" s="4" t="str">
        <f>IFERROR(__xludf.DUMMYFUNCTION("""COMPUTED_VALUE"""),"HIto 75 cm PVC blando Blanco Mod. E")</f>
        <v>HIto 75 cm PVC blando Blanco Mod. E</v>
      </c>
      <c r="C642" s="4">
        <f>IFERROR(__xludf.DUMMYFUNCTION("""COMPUTED_VALUE"""),13.2)</f>
        <v>13.2</v>
      </c>
    </row>
    <row r="643">
      <c r="A643" s="4" t="str">
        <f>IFERROR(__xludf.DUMMYFUNCTION("""COMPUTED_VALUE"""),"0588NE")</f>
        <v>0588NE</v>
      </c>
      <c r="B643" s="4" t="str">
        <f>IFERROR(__xludf.DUMMYFUNCTION("""COMPUTED_VALUE"""),"Hito 75 cm PVC blando Negro Mod. E")</f>
        <v>Hito 75 cm PVC blando Negro Mod. E</v>
      </c>
      <c r="C643" s="4">
        <f>IFERROR(__xludf.DUMMYFUNCTION("""COMPUTED_VALUE"""),13.2)</f>
        <v>13.2</v>
      </c>
    </row>
    <row r="644">
      <c r="A644" s="4" t="str">
        <f>IFERROR(__xludf.DUMMYFUNCTION("""COMPUTED_VALUE"""),"0588R")</f>
        <v>0588R</v>
      </c>
      <c r="B644" s="4" t="str">
        <f>IFERROR(__xludf.DUMMYFUNCTION("""COMPUTED_VALUE"""),"Hito 75 cm PVC blando Rojo Mod. E")</f>
        <v>Hito 75 cm PVC blando Rojo Mod. E</v>
      </c>
      <c r="C644" s="4">
        <f>IFERROR(__xludf.DUMMYFUNCTION("""COMPUTED_VALUE"""),13.2)</f>
        <v>13.2</v>
      </c>
    </row>
    <row r="645">
      <c r="A645" s="4" t="str">
        <f>IFERROR(__xludf.DUMMYFUNCTION("""COMPUTED_VALUE"""),"0588V")</f>
        <v>0588V</v>
      </c>
      <c r="B645" s="4" t="str">
        <f>IFERROR(__xludf.DUMMYFUNCTION("""COMPUTED_VALUE"""),"Hito 75 cm PVC blando Verde Mod. E")</f>
        <v>Hito 75 cm PVC blando Verde Mod. E</v>
      </c>
      <c r="C645" s="4">
        <f>IFERROR(__xludf.DUMMYFUNCTION("""COMPUTED_VALUE"""),13.2)</f>
        <v>13.2</v>
      </c>
    </row>
    <row r="646">
      <c r="A646" s="4" t="str">
        <f>IFERROR(__xludf.DUMMYFUNCTION("""COMPUTED_VALUE"""),"589")</f>
        <v>589</v>
      </c>
      <c r="B646" s="4" t="str">
        <f>IFERROR(__xludf.DUMMYFUNCTION("""COMPUTED_VALUE"""),"Hito 45 cm PVC blando Naranja Mod. F")</f>
        <v>Hito 45 cm PVC blando Naranja Mod. F</v>
      </c>
      <c r="C646" s="4">
        <f>IFERROR(__xludf.DUMMYFUNCTION("""COMPUTED_VALUE"""),7.92)</f>
        <v>7.92</v>
      </c>
    </row>
    <row r="647">
      <c r="A647" s="4" t="str">
        <f>IFERROR(__xludf.DUMMYFUNCTION("""COMPUTED_VALUE"""),"590")</f>
        <v>590</v>
      </c>
      <c r="B647" s="4" t="str">
        <f>IFERROR(__xludf.DUMMYFUNCTION("""COMPUTED_VALUE"""),"Captafaros flexible p/muro doble lente blanco/amarillo")</f>
        <v>Captafaros flexible p/muro doble lente blanco/amarillo</v>
      </c>
      <c r="C647" s="4">
        <f>IFERROR(__xludf.DUMMYFUNCTION("""COMPUTED_VALUE"""),4.512)</f>
        <v>4.512</v>
      </c>
    </row>
    <row r="648">
      <c r="A648" s="4" t="str">
        <f>IFERROR(__xludf.DUMMYFUNCTION("""COMPUTED_VALUE"""),"591")</f>
        <v>591</v>
      </c>
      <c r="B648" s="4" t="str">
        <f>IFERROR(__xludf.DUMMYFUNCTION("""COMPUTED_VALUE"""),"Captafaros doble lente blanco/amarillo 3M")</f>
        <v>Captafaros doble lente blanco/amarillo 3M</v>
      </c>
      <c r="C648" s="4">
        <f>IFERROR(__xludf.DUMMYFUNCTION("""COMPUTED_VALUE"""),2.976)</f>
        <v>2.976</v>
      </c>
    </row>
    <row r="649">
      <c r="A649" s="4" t="str">
        <f>IFERROR(__xludf.DUMMYFUNCTION("""COMPUTED_VALUE"""),"0591A")</f>
        <v>0591A</v>
      </c>
      <c r="B649" s="4" t="str">
        <f>IFERROR(__xludf.DUMMYFUNCTION("""COMPUTED_VALUE"""),"Captafaros doble lente Blanco/Amarillo Autoadhesivo 3M")</f>
        <v>Captafaros doble lente Blanco/Amarillo Autoadhesivo 3M</v>
      </c>
      <c r="C649" s="4">
        <f>IFERROR(__xludf.DUMMYFUNCTION("""COMPUTED_VALUE"""),4.224)</f>
        <v>4.224</v>
      </c>
    </row>
    <row r="650">
      <c r="A650" s="4" t="str">
        <f>IFERROR(__xludf.DUMMYFUNCTION("""COMPUTED_VALUE"""),"0591B")</f>
        <v>0591B</v>
      </c>
      <c r="B650" s="4" t="str">
        <f>IFERROR(__xludf.DUMMYFUNCTION("""COMPUTED_VALUE"""),"Captafaros doble lente Blanco/blanco 3M")</f>
        <v>Captafaros doble lente Blanco/blanco 3M</v>
      </c>
      <c r="C650" s="4">
        <f>IFERROR(__xludf.DUMMYFUNCTION("""COMPUTED_VALUE"""),2.976)</f>
        <v>2.976</v>
      </c>
    </row>
    <row r="651">
      <c r="A651" s="4" t="str">
        <f>IFERROR(__xludf.DUMMYFUNCTION("""COMPUTED_VALUE"""),"0591BA")</f>
        <v>0591BA</v>
      </c>
      <c r="B651" s="4" t="str">
        <f>IFERROR(__xludf.DUMMYFUNCTION("""COMPUTED_VALUE"""),"Captafaros doble lente Blanco/Blanco Autoadhesivo 3M")</f>
        <v>Captafaros doble lente Blanco/Blanco Autoadhesivo 3M</v>
      </c>
      <c r="C651" s="4">
        <f>IFERROR(__xludf.DUMMYFUNCTION("""COMPUTED_VALUE"""),4.224)</f>
        <v>4.224</v>
      </c>
    </row>
    <row r="652">
      <c r="A652" s="4" t="str">
        <f>IFERROR(__xludf.DUMMYFUNCTION("""COMPUTED_VALUE"""),"0592/A")</f>
        <v>0592/A</v>
      </c>
      <c r="B652" s="4" t="str">
        <f>IFERROR(__xludf.DUMMYFUNCTION("""COMPUTED_VALUE"""),"Delineador de Barrera LDS Amarillo 86x15,3 cm")</f>
        <v>Delineador de Barrera LDS Amarillo 86x15,3 cm</v>
      </c>
      <c r="C652" s="4">
        <f>IFERROR(__xludf.DUMMYFUNCTION("""COMPUTED_VALUE"""),19.151999999999997)</f>
        <v>19.152</v>
      </c>
    </row>
    <row r="653">
      <c r="A653" s="4" t="str">
        <f>IFERROR(__xludf.DUMMYFUNCTION("""COMPUTED_VALUE"""),"0592/B")</f>
        <v>0592/B</v>
      </c>
      <c r="B653" s="4" t="str">
        <f>IFERROR(__xludf.DUMMYFUNCTION("""COMPUTED_VALUE"""),"Delineador de Barrera LDS Blanco 86x15,3 cm")</f>
        <v>Delineador de Barrera LDS Blanco 86x15,3 cm</v>
      </c>
      <c r="C653" s="4">
        <f>IFERROR(__xludf.DUMMYFUNCTION("""COMPUTED_VALUE"""),19.151999999999997)</f>
        <v>19.152</v>
      </c>
    </row>
    <row r="654">
      <c r="A654" s="4" t="str">
        <f>IFERROR(__xludf.DUMMYFUNCTION("""COMPUTED_VALUE"""),"0592/R")</f>
        <v>0592/R</v>
      </c>
      <c r="B654" s="4" t="str">
        <f>IFERROR(__xludf.DUMMYFUNCTION("""COMPUTED_VALUE"""),"Delineador de Barrera LDS Rojo 86x15,3 cm")</f>
        <v>Delineador de Barrera LDS Rojo 86x15,3 cm</v>
      </c>
      <c r="C654" s="4">
        <f>IFERROR(__xludf.DUMMYFUNCTION("""COMPUTED_VALUE"""),19.151999999999997)</f>
        <v>19.152</v>
      </c>
    </row>
    <row r="655">
      <c r="A655" s="4" t="str">
        <f>IFERROR(__xludf.DUMMYFUNCTION("""COMPUTED_VALUE"""),"593")</f>
        <v>593</v>
      </c>
      <c r="B655" s="4" t="str">
        <f>IFERROR(__xludf.DUMMYFUNCTION("""COMPUTED_VALUE"""),"Hito Basculante Flexible 75 cm Mod. G + base")</f>
        <v>Hito Basculante Flexible 75 cm Mod. G + base</v>
      </c>
      <c r="C655" s="4">
        <f>IFERROR(__xludf.DUMMYFUNCTION("""COMPUTED_VALUE"""),23.856)</f>
        <v>23.856</v>
      </c>
    </row>
    <row r="656">
      <c r="A656" s="4" t="str">
        <f>IFERROR(__xludf.DUMMYFUNCTION("""COMPUTED_VALUE"""),"594")</f>
        <v>594</v>
      </c>
      <c r="B656" s="4" t="str">
        <f>IFERROR(__xludf.DUMMYFUNCTION("""COMPUTED_VALUE"""),"Panel señal. vertical R/B reflectante 2 caras")</f>
        <v>Panel señal. vertical R/B reflectante 2 caras</v>
      </c>
      <c r="C656" s="4">
        <f>IFERROR(__xludf.DUMMYFUNCTION("""COMPUTED_VALUE"""),17.52)</f>
        <v>17.52</v>
      </c>
    </row>
    <row r="657">
      <c r="A657" s="4" t="str">
        <f>IFERROR(__xludf.DUMMYFUNCTION("""COMPUTED_VALUE"""),"595")</f>
        <v>595</v>
      </c>
      <c r="B657" s="4" t="str">
        <f>IFERROR(__xludf.DUMMYFUNCTION("""COMPUTED_VALUE"""),"Conjunto manga viento + poste y rótula")</f>
        <v>Conjunto manga viento + poste y rótula</v>
      </c>
      <c r="C657" s="4">
        <f>IFERROR(__xludf.DUMMYFUNCTION("""COMPUTED_VALUE"""),897.12)</f>
        <v>897.12</v>
      </c>
    </row>
    <row r="658">
      <c r="A658" s="4" t="str">
        <f>IFERROR(__xludf.DUMMYFUNCTION("""COMPUTED_VALUE"""),"596")</f>
        <v>596</v>
      </c>
      <c r="B658" s="4" t="str">
        <f>IFERROR(__xludf.DUMMYFUNCTION("""COMPUTED_VALUE"""),"Mástil Manga viento c/ rótula 400cm x 8cm diam x 2mm")</f>
        <v>Mástil Manga viento c/ rótula 400cm x 8cm diam x 2mm</v>
      </c>
      <c r="C658" s="4">
        <f>IFERROR(__xludf.DUMMYFUNCTION("""COMPUTED_VALUE"""),453.59999999999997)</f>
        <v>453.6</v>
      </c>
    </row>
    <row r="659">
      <c r="A659" s="4" t="str">
        <f>IFERROR(__xludf.DUMMYFUNCTION("""COMPUTED_VALUE"""),"597")</f>
        <v>597</v>
      </c>
      <c r="B659" s="4" t="str">
        <f>IFERROR(__xludf.DUMMYFUNCTION("""COMPUTED_VALUE"""),"Manga de viento c/aro 400x150mm L.1600mm")</f>
        <v>Manga de viento c/aro 400x150mm L.1600mm</v>
      </c>
      <c r="C659" s="4">
        <f>IFERROR(__xludf.DUMMYFUNCTION("""COMPUTED_VALUE"""),282.24)</f>
        <v>282.24</v>
      </c>
    </row>
    <row r="660">
      <c r="A660" s="4" t="str">
        <f>IFERROR(__xludf.DUMMYFUNCTION("""COMPUTED_VALUE"""),"598")</f>
        <v>598</v>
      </c>
      <c r="B660" s="4" t="str">
        <f>IFERROR(__xludf.DUMMYFUNCTION("""COMPUTED_VALUE"""),"Rótula para manga viento")</f>
        <v>Rótula para manga viento</v>
      </c>
      <c r="C660" s="4">
        <f>IFERROR(__xludf.DUMMYFUNCTION("""COMPUTED_VALUE"""),95.75999999999999)</f>
        <v>95.76</v>
      </c>
    </row>
    <row r="661">
      <c r="A661" s="4" t="str">
        <f>IFERROR(__xludf.DUMMYFUNCTION("""COMPUTED_VALUE"""),"600")</f>
        <v>600</v>
      </c>
      <c r="B661" s="4" t="str">
        <f>IFERROR(__xludf.DUMMYFUNCTION("""COMPUTED_VALUE"""),"Señal metalica TP-3")</f>
        <v>Señal metalica TP-3</v>
      </c>
      <c r="C661" s="4">
        <f>IFERROR(__xludf.DUMMYFUNCTION("""COMPUTED_VALUE"""),10.799999999999999)</f>
        <v>10.8</v>
      </c>
    </row>
    <row r="662">
      <c r="A662" s="4" t="str">
        <f>IFERROR(__xludf.DUMMYFUNCTION("""COMPUTED_VALUE"""),"0600D")</f>
        <v>0600D</v>
      </c>
      <c r="B662" s="4" t="str">
        <f>IFERROR(__xludf.DUMMYFUNCTION("""COMPUTED_VALUE"""),"Señal metalica P-3")</f>
        <v>Señal metalica P-3</v>
      </c>
      <c r="C662" s="4">
        <f>IFERROR(__xludf.DUMMYFUNCTION("""COMPUTED_VALUE"""),10.799999999999999)</f>
        <v>10.8</v>
      </c>
    </row>
    <row r="663">
      <c r="A663" s="4" t="str">
        <f>IFERROR(__xludf.DUMMYFUNCTION("""COMPUTED_VALUE"""),"601")</f>
        <v>601</v>
      </c>
      <c r="B663" s="4" t="str">
        <f>IFERROR(__xludf.DUMMYFUNCTION("""COMPUTED_VALUE"""),"Señal metalica TP-13a")</f>
        <v>Señal metalica TP-13a</v>
      </c>
      <c r="C663" s="4">
        <f>IFERROR(__xludf.DUMMYFUNCTION("""COMPUTED_VALUE"""),10.799999999999999)</f>
        <v>10.8</v>
      </c>
    </row>
    <row r="664">
      <c r="A664" s="4" t="str">
        <f>IFERROR(__xludf.DUMMYFUNCTION("""COMPUTED_VALUE"""),"0601D")</f>
        <v>0601D</v>
      </c>
      <c r="B664" s="4" t="str">
        <f>IFERROR(__xludf.DUMMYFUNCTION("""COMPUTED_VALUE"""),"Señal metalica P-13a")</f>
        <v>Señal metalica P-13a</v>
      </c>
      <c r="C664" s="4">
        <f>IFERROR(__xludf.DUMMYFUNCTION("""COMPUTED_VALUE"""),10.799999999999999)</f>
        <v>10.8</v>
      </c>
    </row>
    <row r="665">
      <c r="A665" s="4" t="str">
        <f>IFERROR(__xludf.DUMMYFUNCTION("""COMPUTED_VALUE"""),"602")</f>
        <v>602</v>
      </c>
      <c r="B665" s="4" t="str">
        <f>IFERROR(__xludf.DUMMYFUNCTION("""COMPUTED_VALUE"""),"Señal metalica TP-13b")</f>
        <v>Señal metalica TP-13b</v>
      </c>
      <c r="C665" s="4">
        <f>IFERROR(__xludf.DUMMYFUNCTION("""COMPUTED_VALUE"""),10.799999999999999)</f>
        <v>10.8</v>
      </c>
    </row>
    <row r="666">
      <c r="A666" s="4" t="str">
        <f>IFERROR(__xludf.DUMMYFUNCTION("""COMPUTED_VALUE"""),"0602D")</f>
        <v>0602D</v>
      </c>
      <c r="B666" s="4" t="str">
        <f>IFERROR(__xludf.DUMMYFUNCTION("""COMPUTED_VALUE"""),"Señal metalica P-13b")</f>
        <v>Señal metalica P-13b</v>
      </c>
      <c r="C666" s="4">
        <f>IFERROR(__xludf.DUMMYFUNCTION("""COMPUTED_VALUE"""),10.799999999999999)</f>
        <v>10.8</v>
      </c>
    </row>
    <row r="667">
      <c r="A667" s="4" t="str">
        <f>IFERROR(__xludf.DUMMYFUNCTION("""COMPUTED_VALUE"""),"603")</f>
        <v>603</v>
      </c>
      <c r="B667" s="4" t="str">
        <f>IFERROR(__xludf.DUMMYFUNCTION("""COMPUTED_VALUE"""),"Señal metalica TP-14a")</f>
        <v>Señal metalica TP-14a</v>
      </c>
      <c r="C667" s="4">
        <f>IFERROR(__xludf.DUMMYFUNCTION("""COMPUTED_VALUE"""),10.799999999999999)</f>
        <v>10.8</v>
      </c>
    </row>
    <row r="668">
      <c r="A668" s="4" t="str">
        <f>IFERROR(__xludf.DUMMYFUNCTION("""COMPUTED_VALUE"""),"0603D")</f>
        <v>0603D</v>
      </c>
      <c r="B668" s="4" t="str">
        <f>IFERROR(__xludf.DUMMYFUNCTION("""COMPUTED_VALUE"""),"Señal metalica P-14a")</f>
        <v>Señal metalica P-14a</v>
      </c>
      <c r="C668" s="4">
        <f>IFERROR(__xludf.DUMMYFUNCTION("""COMPUTED_VALUE"""),10.799999999999999)</f>
        <v>10.8</v>
      </c>
    </row>
    <row r="669">
      <c r="A669" s="4" t="str">
        <f>IFERROR(__xludf.DUMMYFUNCTION("""COMPUTED_VALUE"""),"604")</f>
        <v>604</v>
      </c>
      <c r="B669" s="4" t="str">
        <f>IFERROR(__xludf.DUMMYFUNCTION("""COMPUTED_VALUE"""),"Señal metalica TP-14b")</f>
        <v>Señal metalica TP-14b</v>
      </c>
      <c r="C669" s="4">
        <f>IFERROR(__xludf.DUMMYFUNCTION("""COMPUTED_VALUE"""),10.799999999999999)</f>
        <v>10.8</v>
      </c>
    </row>
    <row r="670">
      <c r="A670" s="4" t="str">
        <f>IFERROR(__xludf.DUMMYFUNCTION("""COMPUTED_VALUE"""),"0604D")</f>
        <v>0604D</v>
      </c>
      <c r="B670" s="4" t="str">
        <f>IFERROR(__xludf.DUMMYFUNCTION("""COMPUTED_VALUE"""),"Señal metalica P-14b")</f>
        <v>Señal metalica P-14b</v>
      </c>
      <c r="C670" s="4">
        <f>IFERROR(__xludf.DUMMYFUNCTION("""COMPUTED_VALUE"""),10.799999999999999)</f>
        <v>10.8</v>
      </c>
    </row>
    <row r="671">
      <c r="A671" s="4" t="str">
        <f>IFERROR(__xludf.DUMMYFUNCTION("""COMPUTED_VALUE"""),"605")</f>
        <v>605</v>
      </c>
      <c r="B671" s="4" t="str">
        <f>IFERROR(__xludf.DUMMYFUNCTION("""COMPUTED_VALUE"""),"Señal metalica TP-15")</f>
        <v>Señal metalica TP-15</v>
      </c>
      <c r="C671" s="4">
        <f>IFERROR(__xludf.DUMMYFUNCTION("""COMPUTED_VALUE"""),10.799999999999999)</f>
        <v>10.8</v>
      </c>
    </row>
    <row r="672">
      <c r="A672" s="4" t="str">
        <f>IFERROR(__xludf.DUMMYFUNCTION("""COMPUTED_VALUE"""),"0605D")</f>
        <v>0605D</v>
      </c>
      <c r="B672" s="4" t="str">
        <f>IFERROR(__xludf.DUMMYFUNCTION("""COMPUTED_VALUE"""),"Señal metalica P-15")</f>
        <v>Señal metalica P-15</v>
      </c>
      <c r="C672" s="4">
        <f>IFERROR(__xludf.DUMMYFUNCTION("""COMPUTED_VALUE"""),10.799999999999999)</f>
        <v>10.8</v>
      </c>
    </row>
    <row r="673">
      <c r="A673" s="4" t="str">
        <f>IFERROR(__xludf.DUMMYFUNCTION("""COMPUTED_VALUE"""),"606")</f>
        <v>606</v>
      </c>
      <c r="B673" s="4" t="str">
        <f>IFERROR(__xludf.DUMMYFUNCTION("""COMPUTED_VALUE"""),"Señal metalica TP-15a")</f>
        <v>Señal metalica TP-15a</v>
      </c>
      <c r="C673" s="4">
        <f>IFERROR(__xludf.DUMMYFUNCTION("""COMPUTED_VALUE"""),10.799999999999999)</f>
        <v>10.8</v>
      </c>
    </row>
    <row r="674">
      <c r="A674" s="4" t="str">
        <f>IFERROR(__xludf.DUMMYFUNCTION("""COMPUTED_VALUE"""),"0606D")</f>
        <v>0606D</v>
      </c>
      <c r="B674" s="4" t="str">
        <f>IFERROR(__xludf.DUMMYFUNCTION("""COMPUTED_VALUE"""),"Señal metalica P-15a")</f>
        <v>Señal metalica P-15a</v>
      </c>
      <c r="C674" s="4">
        <f>IFERROR(__xludf.DUMMYFUNCTION("""COMPUTED_VALUE"""),10.799999999999999)</f>
        <v>10.8</v>
      </c>
    </row>
    <row r="675">
      <c r="A675" s="4" t="str">
        <f>IFERROR(__xludf.DUMMYFUNCTION("""COMPUTED_VALUE"""),"607")</f>
        <v>607</v>
      </c>
      <c r="B675" s="4" t="str">
        <f>IFERROR(__xludf.DUMMYFUNCTION("""COMPUTED_VALUE"""),"Señal metalica TP-15b")</f>
        <v>Señal metalica TP-15b</v>
      </c>
      <c r="C675" s="4">
        <f>IFERROR(__xludf.DUMMYFUNCTION("""COMPUTED_VALUE"""),10.799999999999999)</f>
        <v>10.8</v>
      </c>
    </row>
    <row r="676">
      <c r="A676" s="4" t="str">
        <f>IFERROR(__xludf.DUMMYFUNCTION("""COMPUTED_VALUE"""),"0607D")</f>
        <v>0607D</v>
      </c>
      <c r="B676" s="4" t="str">
        <f>IFERROR(__xludf.DUMMYFUNCTION("""COMPUTED_VALUE"""),"Señal metalica P-15b")</f>
        <v>Señal metalica P-15b</v>
      </c>
      <c r="C676" s="4">
        <f>IFERROR(__xludf.DUMMYFUNCTION("""COMPUTED_VALUE"""),10.799999999999999)</f>
        <v>10.8</v>
      </c>
    </row>
    <row r="677">
      <c r="A677" s="4" t="str">
        <f>IFERROR(__xludf.DUMMYFUNCTION("""COMPUTED_VALUE"""),"608")</f>
        <v>608</v>
      </c>
      <c r="B677" s="4" t="str">
        <f>IFERROR(__xludf.DUMMYFUNCTION("""COMPUTED_VALUE"""),"Señal metalica TP-17")</f>
        <v>Señal metalica TP-17</v>
      </c>
      <c r="C677" s="4">
        <f>IFERROR(__xludf.DUMMYFUNCTION("""COMPUTED_VALUE"""),10.799999999999999)</f>
        <v>10.8</v>
      </c>
    </row>
    <row r="678">
      <c r="A678" s="4" t="str">
        <f>IFERROR(__xludf.DUMMYFUNCTION("""COMPUTED_VALUE"""),"0608D")</f>
        <v>0608D</v>
      </c>
      <c r="B678" s="4" t="str">
        <f>IFERROR(__xludf.DUMMYFUNCTION("""COMPUTED_VALUE"""),"Señal metalica P-17")</f>
        <v>Señal metalica P-17</v>
      </c>
      <c r="C678" s="4">
        <f>IFERROR(__xludf.DUMMYFUNCTION("""COMPUTED_VALUE"""),10.799999999999999)</f>
        <v>10.8</v>
      </c>
    </row>
    <row r="679">
      <c r="A679" s="4" t="str">
        <f>IFERROR(__xludf.DUMMYFUNCTION("""COMPUTED_VALUE"""),"609")</f>
        <v>609</v>
      </c>
      <c r="B679" s="4" t="str">
        <f>IFERROR(__xludf.DUMMYFUNCTION("""COMPUTED_VALUE"""),"Señal metalica TP-17b")</f>
        <v>Señal metalica TP-17b</v>
      </c>
      <c r="C679" s="4">
        <f>IFERROR(__xludf.DUMMYFUNCTION("""COMPUTED_VALUE"""),10.799999999999999)</f>
        <v>10.8</v>
      </c>
    </row>
    <row r="680">
      <c r="A680" s="4" t="str">
        <f>IFERROR(__xludf.DUMMYFUNCTION("""COMPUTED_VALUE"""),"0609D")</f>
        <v>0609D</v>
      </c>
      <c r="B680" s="4" t="str">
        <f>IFERROR(__xludf.DUMMYFUNCTION("""COMPUTED_VALUE"""),"Señal metalica P-17b")</f>
        <v>Señal metalica P-17b</v>
      </c>
      <c r="C680" s="4">
        <f>IFERROR(__xludf.DUMMYFUNCTION("""COMPUTED_VALUE"""),10.799999999999999)</f>
        <v>10.8</v>
      </c>
    </row>
    <row r="681">
      <c r="A681" s="4" t="str">
        <f>IFERROR(__xludf.DUMMYFUNCTION("""COMPUTED_VALUE"""),"610")</f>
        <v>610</v>
      </c>
      <c r="B681" s="4" t="str">
        <f>IFERROR(__xludf.DUMMYFUNCTION("""COMPUTED_VALUE"""),"Señal metalica TP-17a")</f>
        <v>Señal metalica TP-17a</v>
      </c>
      <c r="C681" s="4">
        <f>IFERROR(__xludf.DUMMYFUNCTION("""COMPUTED_VALUE"""),10.799999999999999)</f>
        <v>10.8</v>
      </c>
    </row>
    <row r="682">
      <c r="A682" s="4" t="str">
        <f>IFERROR(__xludf.DUMMYFUNCTION("""COMPUTED_VALUE"""),"0610D")</f>
        <v>0610D</v>
      </c>
      <c r="B682" s="4" t="str">
        <f>IFERROR(__xludf.DUMMYFUNCTION("""COMPUTED_VALUE"""),"Señal metalica P-17a")</f>
        <v>Señal metalica P-17a</v>
      </c>
      <c r="C682" s="4">
        <f>IFERROR(__xludf.DUMMYFUNCTION("""COMPUTED_VALUE"""),10.799999999999999)</f>
        <v>10.8</v>
      </c>
    </row>
    <row r="683">
      <c r="A683" s="4" t="str">
        <f>IFERROR(__xludf.DUMMYFUNCTION("""COMPUTED_VALUE"""),"611")</f>
        <v>611</v>
      </c>
      <c r="B683" s="4" t="str">
        <f>IFERROR(__xludf.DUMMYFUNCTION("""COMPUTED_VALUE"""),"Señal metalica TP-18")</f>
        <v>Señal metalica TP-18</v>
      </c>
      <c r="C683" s="4">
        <f>IFERROR(__xludf.DUMMYFUNCTION("""COMPUTED_VALUE"""),10.799999999999999)</f>
        <v>10.8</v>
      </c>
    </row>
    <row r="684">
      <c r="A684" s="4" t="str">
        <f>IFERROR(__xludf.DUMMYFUNCTION("""COMPUTED_VALUE"""),"0611D")</f>
        <v>0611D</v>
      </c>
      <c r="B684" s="4" t="str">
        <f>IFERROR(__xludf.DUMMYFUNCTION("""COMPUTED_VALUE"""),"Señal metalica P-18")</f>
        <v>Señal metalica P-18</v>
      </c>
      <c r="C684" s="4">
        <f>IFERROR(__xludf.DUMMYFUNCTION("""COMPUTED_VALUE"""),10.799999999999999)</f>
        <v>10.8</v>
      </c>
    </row>
    <row r="685">
      <c r="A685" s="4" t="str">
        <f>IFERROR(__xludf.DUMMYFUNCTION("""COMPUTED_VALUE"""),"612")</f>
        <v>612</v>
      </c>
      <c r="B685" s="4" t="str">
        <f>IFERROR(__xludf.DUMMYFUNCTION("""COMPUTED_VALUE"""),"Señal metalica TP-19")</f>
        <v>Señal metalica TP-19</v>
      </c>
      <c r="C685" s="4">
        <f>IFERROR(__xludf.DUMMYFUNCTION("""COMPUTED_VALUE"""),10.799999999999999)</f>
        <v>10.8</v>
      </c>
    </row>
    <row r="686">
      <c r="A686" s="4" t="str">
        <f>IFERROR(__xludf.DUMMYFUNCTION("""COMPUTED_VALUE"""),"0612D")</f>
        <v>0612D</v>
      </c>
      <c r="B686" s="4" t="str">
        <f>IFERROR(__xludf.DUMMYFUNCTION("""COMPUTED_VALUE"""),"Señal metalica P-19")</f>
        <v>Señal metalica P-19</v>
      </c>
      <c r="C686" s="4">
        <f>IFERROR(__xludf.DUMMYFUNCTION("""COMPUTED_VALUE"""),10.799999999999999)</f>
        <v>10.8</v>
      </c>
    </row>
    <row r="687">
      <c r="A687" s="4" t="str">
        <f>IFERROR(__xludf.DUMMYFUNCTION("""COMPUTED_VALUE"""),"613")</f>
        <v>613</v>
      </c>
      <c r="B687" s="4" t="str">
        <f>IFERROR(__xludf.DUMMYFUNCTION("""COMPUTED_VALUE"""),"Señal metalica TP-25")</f>
        <v>Señal metalica TP-25</v>
      </c>
      <c r="C687" s="4">
        <f>IFERROR(__xludf.DUMMYFUNCTION("""COMPUTED_VALUE"""),10.799999999999999)</f>
        <v>10.8</v>
      </c>
    </row>
    <row r="688">
      <c r="A688" s="4" t="str">
        <f>IFERROR(__xludf.DUMMYFUNCTION("""COMPUTED_VALUE"""),"0613D")</f>
        <v>0613D</v>
      </c>
      <c r="B688" s="4" t="str">
        <f>IFERROR(__xludf.DUMMYFUNCTION("""COMPUTED_VALUE"""),"Señal metalica P-25")</f>
        <v>Señal metalica P-25</v>
      </c>
      <c r="C688" s="4">
        <f>IFERROR(__xludf.DUMMYFUNCTION("""COMPUTED_VALUE"""),10.799999999999999)</f>
        <v>10.8</v>
      </c>
    </row>
    <row r="689">
      <c r="A689" s="4" t="str">
        <f>IFERROR(__xludf.DUMMYFUNCTION("""COMPUTED_VALUE"""),"614")</f>
        <v>614</v>
      </c>
      <c r="B689" s="4" t="str">
        <f>IFERROR(__xludf.DUMMYFUNCTION("""COMPUTED_VALUE"""),"Señal metalica TP-26")</f>
        <v>Señal metalica TP-26</v>
      </c>
      <c r="C689" s="4">
        <f>IFERROR(__xludf.DUMMYFUNCTION("""COMPUTED_VALUE"""),10.799999999999999)</f>
        <v>10.8</v>
      </c>
    </row>
    <row r="690">
      <c r="A690" s="4" t="str">
        <f>IFERROR(__xludf.DUMMYFUNCTION("""COMPUTED_VALUE"""),"0614D")</f>
        <v>0614D</v>
      </c>
      <c r="B690" s="4" t="str">
        <f>IFERROR(__xludf.DUMMYFUNCTION("""COMPUTED_VALUE"""),"Señal metalica P-26")</f>
        <v>Señal metalica P-26</v>
      </c>
      <c r="C690" s="4">
        <f>IFERROR(__xludf.DUMMYFUNCTION("""COMPUTED_VALUE"""),10.799999999999999)</f>
        <v>10.8</v>
      </c>
    </row>
    <row r="691">
      <c r="A691" s="4" t="str">
        <f>IFERROR(__xludf.DUMMYFUNCTION("""COMPUTED_VALUE"""),"615")</f>
        <v>615</v>
      </c>
      <c r="B691" s="4" t="str">
        <f>IFERROR(__xludf.DUMMYFUNCTION("""COMPUTED_VALUE"""),"Señal metalica TP-28")</f>
        <v>Señal metalica TP-28</v>
      </c>
      <c r="C691" s="4">
        <f>IFERROR(__xludf.DUMMYFUNCTION("""COMPUTED_VALUE"""),10.799999999999999)</f>
        <v>10.8</v>
      </c>
    </row>
    <row r="692">
      <c r="A692" s="4" t="str">
        <f>IFERROR(__xludf.DUMMYFUNCTION("""COMPUTED_VALUE"""),"0615D")</f>
        <v>0615D</v>
      </c>
      <c r="B692" s="4" t="str">
        <f>IFERROR(__xludf.DUMMYFUNCTION("""COMPUTED_VALUE"""),"Señal metalica P-28")</f>
        <v>Señal metalica P-28</v>
      </c>
      <c r="C692" s="4">
        <f>IFERROR(__xludf.DUMMYFUNCTION("""COMPUTED_VALUE"""),10.799999999999999)</f>
        <v>10.8</v>
      </c>
    </row>
    <row r="693">
      <c r="A693" s="4" t="str">
        <f>IFERROR(__xludf.DUMMYFUNCTION("""COMPUTED_VALUE"""),"616")</f>
        <v>616</v>
      </c>
      <c r="B693" s="4" t="str">
        <f>IFERROR(__xludf.DUMMYFUNCTION("""COMPUTED_VALUE"""),"Señal metalica TP-30")</f>
        <v>Señal metalica TP-30</v>
      </c>
      <c r="C693" s="4">
        <f>IFERROR(__xludf.DUMMYFUNCTION("""COMPUTED_VALUE"""),10.799999999999999)</f>
        <v>10.8</v>
      </c>
    </row>
    <row r="694">
      <c r="A694" s="4" t="str">
        <f>IFERROR(__xludf.DUMMYFUNCTION("""COMPUTED_VALUE"""),"0616B")</f>
        <v>0616B</v>
      </c>
      <c r="B694" s="4" t="str">
        <f>IFERROR(__xludf.DUMMYFUNCTION("""COMPUTED_VALUE"""),"Cartel PVC 42x42 Fotolum. Salida emergencia derecha")</f>
        <v>Cartel PVC 42x42 Fotolum. Salida emergencia derecha</v>
      </c>
      <c r="C694" s="4">
        <f>IFERROR(__xludf.DUMMYFUNCTION("""COMPUTED_VALUE"""),3.7439999999999998)</f>
        <v>3.744</v>
      </c>
    </row>
    <row r="695">
      <c r="A695" s="4" t="str">
        <f>IFERROR(__xludf.DUMMYFUNCTION("""COMPUTED_VALUE"""),"0616C")</f>
        <v>0616C</v>
      </c>
      <c r="B695" s="4" t="str">
        <f>IFERROR(__xludf.DUMMYFUNCTION("""COMPUTED_VALUE"""),"Cartel PVC 63x63 Fotolum. Salida emergencia derecha")</f>
        <v>Cartel PVC 63x63 Fotolum. Salida emergencia derecha</v>
      </c>
      <c r="C695" s="4">
        <f>IFERROR(__xludf.DUMMYFUNCTION("""COMPUTED_VALUE"""),6.0)</f>
        <v>6</v>
      </c>
    </row>
    <row r="696">
      <c r="A696" s="4" t="str">
        <f>IFERROR(__xludf.DUMMYFUNCTION("""COMPUTED_VALUE"""),"0616D")</f>
        <v>0616D</v>
      </c>
      <c r="B696" s="4" t="str">
        <f>IFERROR(__xludf.DUMMYFUNCTION("""COMPUTED_VALUE"""),"Señal metalica P-30")</f>
        <v>Señal metalica P-30</v>
      </c>
      <c r="C696" s="4">
        <f>IFERROR(__xludf.DUMMYFUNCTION("""COMPUTED_VALUE"""),10.799999999999999)</f>
        <v>10.8</v>
      </c>
    </row>
    <row r="697">
      <c r="A697" s="4" t="str">
        <f>IFERROR(__xludf.DUMMYFUNCTION("""COMPUTED_VALUE"""),"617")</f>
        <v>617</v>
      </c>
      <c r="B697" s="4" t="str">
        <f>IFERROR(__xludf.DUMMYFUNCTION("""COMPUTED_VALUE"""),"Señal metalica TP-50")</f>
        <v>Señal metalica TP-50</v>
      </c>
      <c r="C697" s="4">
        <f>IFERROR(__xludf.DUMMYFUNCTION("""COMPUTED_VALUE"""),10.799999999999999)</f>
        <v>10.8</v>
      </c>
    </row>
    <row r="698">
      <c r="A698" s="4" t="str">
        <f>IFERROR(__xludf.DUMMYFUNCTION("""COMPUTED_VALUE"""),"0617D")</f>
        <v>0617D</v>
      </c>
      <c r="B698" s="4" t="str">
        <f>IFERROR(__xludf.DUMMYFUNCTION("""COMPUTED_VALUE"""),"Señal metalica P-50")</f>
        <v>Señal metalica P-50</v>
      </c>
      <c r="C698" s="4">
        <f>IFERROR(__xludf.DUMMYFUNCTION("""COMPUTED_VALUE"""),10.799999999999999)</f>
        <v>10.8</v>
      </c>
    </row>
    <row r="699">
      <c r="A699" s="4" t="str">
        <f>IFERROR(__xludf.DUMMYFUNCTION("""COMPUTED_VALUE"""),"619")</f>
        <v>619</v>
      </c>
      <c r="B699" s="4" t="str">
        <f>IFERROR(__xludf.DUMMYFUNCTION("""COMPUTED_VALUE"""),"Señal metalica TP-4")</f>
        <v>Señal metalica TP-4</v>
      </c>
      <c r="C699" s="4">
        <f>IFERROR(__xludf.DUMMYFUNCTION("""COMPUTED_VALUE"""),10.799999999999999)</f>
        <v>10.8</v>
      </c>
    </row>
    <row r="700">
      <c r="A700" s="4" t="str">
        <f>IFERROR(__xludf.DUMMYFUNCTION("""COMPUTED_VALUE"""),"0619D")</f>
        <v>0619D</v>
      </c>
      <c r="B700" s="4" t="str">
        <f>IFERROR(__xludf.DUMMYFUNCTION("""COMPUTED_VALUE"""),"Señal metalica P-4")</f>
        <v>Señal metalica P-4</v>
      </c>
      <c r="C700" s="4">
        <f>IFERROR(__xludf.DUMMYFUNCTION("""COMPUTED_VALUE"""),10.799999999999999)</f>
        <v>10.8</v>
      </c>
    </row>
    <row r="701">
      <c r="A701" s="4" t="str">
        <f>IFERROR(__xludf.DUMMYFUNCTION("""COMPUTED_VALUE"""),"620")</f>
        <v>620</v>
      </c>
      <c r="B701" s="4" t="str">
        <f>IFERROR(__xludf.DUMMYFUNCTION("""COMPUTED_VALUE"""),"Señal metalica TR-1")</f>
        <v>Señal metalica TR-1</v>
      </c>
      <c r="C701" s="4">
        <f>IFERROR(__xludf.DUMMYFUNCTION("""COMPUTED_VALUE"""),10.799999999999999)</f>
        <v>10.8</v>
      </c>
    </row>
    <row r="702">
      <c r="A702" s="4" t="str">
        <f>IFERROR(__xludf.DUMMYFUNCTION("""COMPUTED_VALUE"""),"0620D")</f>
        <v>0620D</v>
      </c>
      <c r="B702" s="4" t="str">
        <f>IFERROR(__xludf.DUMMYFUNCTION("""COMPUTED_VALUE"""),"Señal metalica R-1")</f>
        <v>Señal metalica R-1</v>
      </c>
      <c r="C702" s="4">
        <f>IFERROR(__xludf.DUMMYFUNCTION("""COMPUTED_VALUE"""),10.799999999999999)</f>
        <v>10.8</v>
      </c>
    </row>
    <row r="703">
      <c r="A703" s="4" t="str">
        <f>IFERROR(__xludf.DUMMYFUNCTION("""COMPUTED_VALUE"""),"624")</f>
        <v>624</v>
      </c>
      <c r="B703" s="4" t="str">
        <f>IFERROR(__xludf.DUMMYFUNCTION("""COMPUTED_VALUE"""),"Señal metalica Minusvalidos M-1")</f>
        <v>Señal metalica Minusvalidos M-1</v>
      </c>
      <c r="C703" s="4">
        <f>IFERROR(__xludf.DUMMYFUNCTION("""COMPUTED_VALUE"""),10.799999999999999)</f>
        <v>10.8</v>
      </c>
    </row>
    <row r="704">
      <c r="A704" s="4" t="str">
        <f>IFERROR(__xludf.DUMMYFUNCTION("""COMPUTED_VALUE"""),"625")</f>
        <v>625</v>
      </c>
      <c r="B704" s="4" t="str">
        <f>IFERROR(__xludf.DUMMYFUNCTION("""COMPUTED_VALUE"""),"Señal metalica S-13")</f>
        <v>Señal metalica S-13</v>
      </c>
      <c r="C704" s="4">
        <f>IFERROR(__xludf.DUMMYFUNCTION("""COMPUTED_VALUE"""),10.799999999999999)</f>
        <v>10.8</v>
      </c>
    </row>
    <row r="705">
      <c r="A705" s="4" t="str">
        <f>IFERROR(__xludf.DUMMYFUNCTION("""COMPUTED_VALUE"""),"628")</f>
        <v>628</v>
      </c>
      <c r="B705" s="4" t="str">
        <f>IFERROR(__xludf.DUMMYFUNCTION("""COMPUTED_VALUE"""),"Señal metalica R-402")</f>
        <v>Señal metalica R-402</v>
      </c>
      <c r="C705" s="4">
        <f>IFERROR(__xludf.DUMMYFUNCTION("""COMPUTED_VALUE"""),10.799999999999999)</f>
        <v>10.8</v>
      </c>
    </row>
    <row r="706">
      <c r="A706" s="4" t="str">
        <f>IFERROR(__xludf.DUMMYFUNCTION("""COMPUTED_VALUE"""),"629")</f>
        <v>629</v>
      </c>
      <c r="B706" s="4" t="str">
        <f>IFERROR(__xludf.DUMMYFUNCTION("""COMPUTED_VALUE"""),"Señal metalica TR-100")</f>
        <v>Señal metalica TR-100</v>
      </c>
      <c r="C706" s="4">
        <f>IFERROR(__xludf.DUMMYFUNCTION("""COMPUTED_VALUE"""),10.799999999999999)</f>
        <v>10.8</v>
      </c>
    </row>
    <row r="707">
      <c r="A707" s="4" t="str">
        <f>IFERROR(__xludf.DUMMYFUNCTION("""COMPUTED_VALUE"""),"0629D")</f>
        <v>0629D</v>
      </c>
      <c r="B707" s="4" t="str">
        <f>IFERROR(__xludf.DUMMYFUNCTION("""COMPUTED_VALUE"""),"Señal metalica R-100")</f>
        <v>Señal metalica R-100</v>
      </c>
      <c r="C707" s="4">
        <f>IFERROR(__xludf.DUMMYFUNCTION("""COMPUTED_VALUE"""),10.799999999999999)</f>
        <v>10.8</v>
      </c>
    </row>
    <row r="708">
      <c r="A708" s="4" t="str">
        <f>IFERROR(__xludf.DUMMYFUNCTION("""COMPUTED_VALUE"""),"630")</f>
        <v>630</v>
      </c>
      <c r="B708" s="4" t="str">
        <f>IFERROR(__xludf.DUMMYFUNCTION("""COMPUTED_VALUE"""),"Señal metalica TR-305")</f>
        <v>Señal metalica TR-305</v>
      </c>
      <c r="C708" s="4">
        <f>IFERROR(__xludf.DUMMYFUNCTION("""COMPUTED_VALUE"""),10.799999999999999)</f>
        <v>10.8</v>
      </c>
    </row>
    <row r="709">
      <c r="A709" s="4" t="str">
        <f>IFERROR(__xludf.DUMMYFUNCTION("""COMPUTED_VALUE"""),"0630D")</f>
        <v>0630D</v>
      </c>
      <c r="B709" s="4" t="str">
        <f>IFERROR(__xludf.DUMMYFUNCTION("""COMPUTED_VALUE"""),"Señal metalica R-305")</f>
        <v>Señal metalica R-305</v>
      </c>
      <c r="C709" s="4">
        <f>IFERROR(__xludf.DUMMYFUNCTION("""COMPUTED_VALUE"""),10.799999999999999)</f>
        <v>10.8</v>
      </c>
    </row>
    <row r="710">
      <c r="A710" s="4" t="str">
        <f>IFERROR(__xludf.DUMMYFUNCTION("""COMPUTED_VALUE"""),"641")</f>
        <v>641</v>
      </c>
      <c r="B710" s="4" t="str">
        <f>IFERROR(__xludf.DUMMYFUNCTION("""COMPUTED_VALUE"""),"Señal metalica TR-101")</f>
        <v>Señal metalica TR-101</v>
      </c>
      <c r="C710" s="4">
        <f>IFERROR(__xludf.DUMMYFUNCTION("""COMPUTED_VALUE"""),10.799999999999999)</f>
        <v>10.8</v>
      </c>
    </row>
    <row r="711">
      <c r="A711" s="4" t="str">
        <f>IFERROR(__xludf.DUMMYFUNCTION("""COMPUTED_VALUE"""),"642")</f>
        <v>642</v>
      </c>
      <c r="B711" s="4" t="str">
        <f>IFERROR(__xludf.DUMMYFUNCTION("""COMPUTED_VALUE"""),"Señal metalica TR-106")</f>
        <v>Señal metalica TR-106</v>
      </c>
      <c r="C711" s="4">
        <f>IFERROR(__xludf.DUMMYFUNCTION("""COMPUTED_VALUE"""),10.799999999999999)</f>
        <v>10.8</v>
      </c>
    </row>
    <row r="712">
      <c r="A712" s="4" t="str">
        <f>IFERROR(__xludf.DUMMYFUNCTION("""COMPUTED_VALUE"""),"0642D")</f>
        <v>0642D</v>
      </c>
      <c r="B712" s="4" t="str">
        <f>IFERROR(__xludf.DUMMYFUNCTION("""COMPUTED_VALUE"""),"Señal metalica R-106")</f>
        <v>Señal metalica R-106</v>
      </c>
      <c r="C712" s="4">
        <f>IFERROR(__xludf.DUMMYFUNCTION("""COMPUTED_VALUE"""),10.799999999999999)</f>
        <v>10.8</v>
      </c>
    </row>
    <row r="713">
      <c r="A713" s="4" t="str">
        <f>IFERROR(__xludf.DUMMYFUNCTION("""COMPUTED_VALUE"""),"643")</f>
        <v>643</v>
      </c>
      <c r="B713" s="4" t="str">
        <f>IFERROR(__xludf.DUMMYFUNCTION("""COMPUTED_VALUE"""),"Señal metalica TR-201")</f>
        <v>Señal metalica TR-201</v>
      </c>
      <c r="C713" s="4">
        <f>IFERROR(__xludf.DUMMYFUNCTION("""COMPUTED_VALUE"""),10.799999999999999)</f>
        <v>10.8</v>
      </c>
    </row>
    <row r="714">
      <c r="A714" s="4" t="str">
        <f>IFERROR(__xludf.DUMMYFUNCTION("""COMPUTED_VALUE"""),"0643D")</f>
        <v>0643D</v>
      </c>
      <c r="B714" s="4" t="str">
        <f>IFERROR(__xludf.DUMMYFUNCTION("""COMPUTED_VALUE"""),"Señal metalica R-201")</f>
        <v>Señal metalica R-201</v>
      </c>
      <c r="C714" s="4">
        <f>IFERROR(__xludf.DUMMYFUNCTION("""COMPUTED_VALUE"""),10.799999999999999)</f>
        <v>10.8</v>
      </c>
    </row>
    <row r="715">
      <c r="A715" s="4" t="str">
        <f>IFERROR(__xludf.DUMMYFUNCTION("""COMPUTED_VALUE"""),"644")</f>
        <v>644</v>
      </c>
      <c r="B715" s="4" t="str">
        <f>IFERROR(__xludf.DUMMYFUNCTION("""COMPUTED_VALUE"""),"Señal metalica TR-204")</f>
        <v>Señal metalica TR-204</v>
      </c>
      <c r="C715" s="4">
        <f>IFERROR(__xludf.DUMMYFUNCTION("""COMPUTED_VALUE"""),10.799999999999999)</f>
        <v>10.8</v>
      </c>
    </row>
    <row r="716">
      <c r="A716" s="4" t="str">
        <f>IFERROR(__xludf.DUMMYFUNCTION("""COMPUTED_VALUE"""),"0644D")</f>
        <v>0644D</v>
      </c>
      <c r="B716" s="4" t="str">
        <f>IFERROR(__xludf.DUMMYFUNCTION("""COMPUTED_VALUE"""),"Señal metalica R-204")</f>
        <v>Señal metalica R-204</v>
      </c>
      <c r="C716" s="4">
        <f>IFERROR(__xludf.DUMMYFUNCTION("""COMPUTED_VALUE"""),10.799999999999999)</f>
        <v>10.8</v>
      </c>
    </row>
    <row r="717">
      <c r="A717" s="4" t="str">
        <f>IFERROR(__xludf.DUMMYFUNCTION("""COMPUTED_VALUE"""),"645")</f>
        <v>645</v>
      </c>
      <c r="B717" s="4" t="str">
        <f>IFERROR(__xludf.DUMMYFUNCTION("""COMPUTED_VALUE"""),"Señal metalica TR-205")</f>
        <v>Señal metalica TR-205</v>
      </c>
      <c r="C717" s="4">
        <f>IFERROR(__xludf.DUMMYFUNCTION("""COMPUTED_VALUE"""),10.799999999999999)</f>
        <v>10.8</v>
      </c>
    </row>
    <row r="718">
      <c r="A718" s="4" t="str">
        <f>IFERROR(__xludf.DUMMYFUNCTION("""COMPUTED_VALUE"""),"0645D")</f>
        <v>0645D</v>
      </c>
      <c r="B718" s="4" t="str">
        <f>IFERROR(__xludf.DUMMYFUNCTION("""COMPUTED_VALUE"""),"Señal metalica R-205")</f>
        <v>Señal metalica R-205</v>
      </c>
      <c r="C718" s="4">
        <f>IFERROR(__xludf.DUMMYFUNCTION("""COMPUTED_VALUE"""),10.799999999999999)</f>
        <v>10.8</v>
      </c>
    </row>
    <row r="719">
      <c r="A719" s="4" t="str">
        <f>IFERROR(__xludf.DUMMYFUNCTION("""COMPUTED_VALUE"""),"647")</f>
        <v>647</v>
      </c>
      <c r="B719" s="4" t="str">
        <f>IFERROR(__xludf.DUMMYFUNCTION("""COMPUTED_VALUE"""),"Señal metalica TR-303")</f>
        <v>Señal metalica TR-303</v>
      </c>
      <c r="C719" s="4">
        <f>IFERROR(__xludf.DUMMYFUNCTION("""COMPUTED_VALUE"""),10.799999999999999)</f>
        <v>10.8</v>
      </c>
    </row>
    <row r="720">
      <c r="A720" s="4" t="str">
        <f>IFERROR(__xludf.DUMMYFUNCTION("""COMPUTED_VALUE"""),"0647D")</f>
        <v>0647D</v>
      </c>
      <c r="B720" s="4" t="str">
        <f>IFERROR(__xludf.DUMMYFUNCTION("""COMPUTED_VALUE"""),"Señal metalica R-303")</f>
        <v>Señal metalica R-303</v>
      </c>
      <c r="C720" s="4">
        <f>IFERROR(__xludf.DUMMYFUNCTION("""COMPUTED_VALUE"""),10.799999999999999)</f>
        <v>10.8</v>
      </c>
    </row>
    <row r="721">
      <c r="A721" s="4" t="str">
        <f>IFERROR(__xludf.DUMMYFUNCTION("""COMPUTED_VALUE"""),"648")</f>
        <v>648</v>
      </c>
      <c r="B721" s="4" t="str">
        <f>IFERROR(__xludf.DUMMYFUNCTION("""COMPUTED_VALUE"""),"Señal metalica TR-301/20")</f>
        <v>Señal metalica TR-301/20</v>
      </c>
      <c r="C721" s="4">
        <f>IFERROR(__xludf.DUMMYFUNCTION("""COMPUTED_VALUE"""),10.799999999999999)</f>
        <v>10.8</v>
      </c>
    </row>
    <row r="722">
      <c r="A722" s="4" t="str">
        <f>IFERROR(__xludf.DUMMYFUNCTION("""COMPUTED_VALUE"""),"0648D")</f>
        <v>0648D</v>
      </c>
      <c r="B722" s="4" t="str">
        <f>IFERROR(__xludf.DUMMYFUNCTION("""COMPUTED_VALUE"""),"Señal metalica R-301/20")</f>
        <v>Señal metalica R-301/20</v>
      </c>
      <c r="C722" s="4">
        <f>IFERROR(__xludf.DUMMYFUNCTION("""COMPUTED_VALUE"""),10.799999999999999)</f>
        <v>10.8</v>
      </c>
    </row>
    <row r="723">
      <c r="A723" s="4" t="str">
        <f>IFERROR(__xludf.DUMMYFUNCTION("""COMPUTED_VALUE"""),"649")</f>
        <v>649</v>
      </c>
      <c r="B723" s="4" t="str">
        <f>IFERROR(__xludf.DUMMYFUNCTION("""COMPUTED_VALUE"""),"Señal metalica TR-301/30")</f>
        <v>Señal metalica TR-301/30</v>
      </c>
      <c r="C723" s="4">
        <f>IFERROR(__xludf.DUMMYFUNCTION("""COMPUTED_VALUE"""),10.799999999999999)</f>
        <v>10.8</v>
      </c>
    </row>
    <row r="724">
      <c r="A724" s="4" t="str">
        <f>IFERROR(__xludf.DUMMYFUNCTION("""COMPUTED_VALUE"""),"0649D")</f>
        <v>0649D</v>
      </c>
      <c r="B724" s="4" t="str">
        <f>IFERROR(__xludf.DUMMYFUNCTION("""COMPUTED_VALUE"""),"Señal metalica R-301/30")</f>
        <v>Señal metalica R-301/30</v>
      </c>
      <c r="C724" s="4">
        <f>IFERROR(__xludf.DUMMYFUNCTION("""COMPUTED_VALUE"""),10.799999999999999)</f>
        <v>10.8</v>
      </c>
    </row>
    <row r="725">
      <c r="A725" s="4" t="str">
        <f>IFERROR(__xludf.DUMMYFUNCTION("""COMPUTED_VALUE"""),"650")</f>
        <v>650</v>
      </c>
      <c r="B725" s="4" t="str">
        <f>IFERROR(__xludf.DUMMYFUNCTION("""COMPUTED_VALUE"""),"Señal metalica TR-301/40")</f>
        <v>Señal metalica TR-301/40</v>
      </c>
      <c r="C725" s="4">
        <f>IFERROR(__xludf.DUMMYFUNCTION("""COMPUTED_VALUE"""),10.799999999999999)</f>
        <v>10.8</v>
      </c>
    </row>
    <row r="726">
      <c r="A726" s="4" t="str">
        <f>IFERROR(__xludf.DUMMYFUNCTION("""COMPUTED_VALUE"""),"0650D")</f>
        <v>0650D</v>
      </c>
      <c r="B726" s="4" t="str">
        <f>IFERROR(__xludf.DUMMYFUNCTION("""COMPUTED_VALUE"""),"Señal metalica R301/40")</f>
        <v>Señal metalica R301/40</v>
      </c>
      <c r="C726" s="4">
        <f>IFERROR(__xludf.DUMMYFUNCTION("""COMPUTED_VALUE"""),10.799999999999999)</f>
        <v>10.8</v>
      </c>
    </row>
    <row r="727">
      <c r="A727" s="4" t="str">
        <f>IFERROR(__xludf.DUMMYFUNCTION("""COMPUTED_VALUE"""),"651")</f>
        <v>651</v>
      </c>
      <c r="B727" s="4" t="str">
        <f>IFERROR(__xludf.DUMMYFUNCTION("""COMPUTED_VALUE"""),"Señal metalica TR-301/50")</f>
        <v>Señal metalica TR-301/50</v>
      </c>
      <c r="C727" s="4">
        <f>IFERROR(__xludf.DUMMYFUNCTION("""COMPUTED_VALUE"""),10.799999999999999)</f>
        <v>10.8</v>
      </c>
    </row>
    <row r="728">
      <c r="A728" s="4" t="str">
        <f>IFERROR(__xludf.DUMMYFUNCTION("""COMPUTED_VALUE"""),"0651D")</f>
        <v>0651D</v>
      </c>
      <c r="B728" s="4" t="str">
        <f>IFERROR(__xludf.DUMMYFUNCTION("""COMPUTED_VALUE"""),"Señal metalica R-301/50")</f>
        <v>Señal metalica R-301/50</v>
      </c>
      <c r="C728" s="4">
        <f>IFERROR(__xludf.DUMMYFUNCTION("""COMPUTED_VALUE"""),10.799999999999999)</f>
        <v>10.8</v>
      </c>
    </row>
    <row r="729">
      <c r="A729" s="4" t="str">
        <f>IFERROR(__xludf.DUMMYFUNCTION("""COMPUTED_VALUE"""),"652")</f>
        <v>652</v>
      </c>
      <c r="B729" s="4" t="str">
        <f>IFERROR(__xludf.DUMMYFUNCTION("""COMPUTED_VALUE"""),"Señal metalica TR-301/60")</f>
        <v>Señal metalica TR-301/60</v>
      </c>
      <c r="C729" s="4">
        <f>IFERROR(__xludf.DUMMYFUNCTION("""COMPUTED_VALUE"""),10.799999999999999)</f>
        <v>10.8</v>
      </c>
    </row>
    <row r="730">
      <c r="A730" s="4" t="str">
        <f>IFERROR(__xludf.DUMMYFUNCTION("""COMPUTED_VALUE"""),"0652D")</f>
        <v>0652D</v>
      </c>
      <c r="B730" s="4" t="str">
        <f>IFERROR(__xludf.DUMMYFUNCTION("""COMPUTED_VALUE"""),"Señal metalica R-301/60")</f>
        <v>Señal metalica R-301/60</v>
      </c>
      <c r="C730" s="4">
        <f>IFERROR(__xludf.DUMMYFUNCTION("""COMPUTED_VALUE"""),10.799999999999999)</f>
        <v>10.8</v>
      </c>
    </row>
    <row r="731">
      <c r="A731" s="4" t="str">
        <f>IFERROR(__xludf.DUMMYFUNCTION("""COMPUTED_VALUE"""),"653")</f>
        <v>653</v>
      </c>
      <c r="B731" s="4" t="str">
        <f>IFERROR(__xludf.DUMMYFUNCTION("""COMPUTED_VALUE"""),"Señal metalica R-307")</f>
        <v>Señal metalica R-307</v>
      </c>
      <c r="C731" s="4">
        <f>IFERROR(__xludf.DUMMYFUNCTION("""COMPUTED_VALUE"""),10.799999999999999)</f>
        <v>10.8</v>
      </c>
    </row>
    <row r="732">
      <c r="A732" s="4" t="str">
        <f>IFERROR(__xludf.DUMMYFUNCTION("""COMPUTED_VALUE"""),"654")</f>
        <v>654</v>
      </c>
      <c r="B732" s="4" t="str">
        <f>IFERROR(__xludf.DUMMYFUNCTION("""COMPUTED_VALUE"""),"Señal metalica TR-301/10")</f>
        <v>Señal metalica TR-301/10</v>
      </c>
      <c r="C732" s="4">
        <f>IFERROR(__xludf.DUMMYFUNCTION("""COMPUTED_VALUE"""),10.799999999999999)</f>
        <v>10.8</v>
      </c>
    </row>
    <row r="733">
      <c r="A733" s="4" t="str">
        <f>IFERROR(__xludf.DUMMYFUNCTION("""COMPUTED_VALUE"""),"655")</f>
        <v>655</v>
      </c>
      <c r="B733" s="4" t="str">
        <f>IFERROR(__xludf.DUMMYFUNCTION("""COMPUTED_VALUE"""),"Señal metalica Minusvalidos M-2")</f>
        <v>Señal metalica Minusvalidos M-2</v>
      </c>
      <c r="C733" s="4">
        <f>IFERROR(__xludf.DUMMYFUNCTION("""COMPUTED_VALUE"""),10.799999999999999)</f>
        <v>10.8</v>
      </c>
    </row>
    <row r="734">
      <c r="A734" s="4" t="str">
        <f>IFERROR(__xludf.DUMMYFUNCTION("""COMPUTED_VALUE"""),"656")</f>
        <v>656</v>
      </c>
      <c r="B734" s="4" t="str">
        <f>IFERROR(__xludf.DUMMYFUNCTION("""COMPUTED_VALUE"""),"Señal metalica TR-302")</f>
        <v>Señal metalica TR-302</v>
      </c>
      <c r="C734" s="4">
        <f>IFERROR(__xludf.DUMMYFUNCTION("""COMPUTED_VALUE"""),10.799999999999999)</f>
        <v>10.8</v>
      </c>
    </row>
    <row r="735">
      <c r="A735" s="4" t="str">
        <f>IFERROR(__xludf.DUMMYFUNCTION("""COMPUTED_VALUE"""),"0656D")</f>
        <v>0656D</v>
      </c>
      <c r="B735" s="4" t="str">
        <f>IFERROR(__xludf.DUMMYFUNCTION("""COMPUTED_VALUE"""),"Señal metalica R-302")</f>
        <v>Señal metalica R-302</v>
      </c>
      <c r="C735" s="4">
        <f>IFERROR(__xludf.DUMMYFUNCTION("""COMPUTED_VALUE"""),10.799999999999999)</f>
        <v>10.8</v>
      </c>
    </row>
    <row r="736">
      <c r="A736" s="4" t="str">
        <f>IFERROR(__xludf.DUMMYFUNCTION("""COMPUTED_VALUE"""),"657")</f>
        <v>657</v>
      </c>
      <c r="B736" s="4" t="str">
        <f>IFERROR(__xludf.DUMMYFUNCTION("""COMPUTED_VALUE"""),"Señal metalica TR-306")</f>
        <v>Señal metalica TR-306</v>
      </c>
      <c r="C736" s="4">
        <f>IFERROR(__xludf.DUMMYFUNCTION("""COMPUTED_VALUE"""),10.799999999999999)</f>
        <v>10.8</v>
      </c>
    </row>
    <row r="737">
      <c r="A737" s="4" t="str">
        <f>IFERROR(__xludf.DUMMYFUNCTION("""COMPUTED_VALUE"""),"0657D")</f>
        <v>0657D</v>
      </c>
      <c r="B737" s="4" t="str">
        <f>IFERROR(__xludf.DUMMYFUNCTION("""COMPUTED_VALUE"""),"Señal metalica R-306")</f>
        <v>Señal metalica R-306</v>
      </c>
      <c r="C737" s="4">
        <f>IFERROR(__xludf.DUMMYFUNCTION("""COMPUTED_VALUE"""),10.799999999999999)</f>
        <v>10.8</v>
      </c>
    </row>
    <row r="738">
      <c r="A738" s="4" t="str">
        <f>IFERROR(__xludf.DUMMYFUNCTION("""COMPUTED_VALUE"""),"658")</f>
        <v>658</v>
      </c>
      <c r="B738" s="4" t="str">
        <f>IFERROR(__xludf.DUMMYFUNCTION("""COMPUTED_VALUE"""),"Soporte pared 60 mm para señal MOPU")</f>
        <v>Soporte pared 60 mm para señal MOPU</v>
      </c>
      <c r="C738" s="4">
        <f>IFERROR(__xludf.DUMMYFUNCTION("""COMPUTED_VALUE"""),16.32)</f>
        <v>16.32</v>
      </c>
    </row>
    <row r="739">
      <c r="A739" s="4" t="str">
        <f>IFERROR(__xludf.DUMMYFUNCTION("""COMPUTED_VALUE"""),"661")</f>
        <v>661</v>
      </c>
      <c r="B739" s="4" t="str">
        <f>IFERROR(__xludf.DUMMYFUNCTION("""COMPUTED_VALUE"""),"Señal metalica R2 Stop")</f>
        <v>Señal metalica R2 Stop</v>
      </c>
      <c r="C739" s="4">
        <f>IFERROR(__xludf.DUMMYFUNCTION("""COMPUTED_VALUE"""),10.799999999999999)</f>
        <v>10.8</v>
      </c>
    </row>
    <row r="740">
      <c r="A740" s="4" t="str">
        <f>IFERROR(__xludf.DUMMYFUNCTION("""COMPUTED_VALUE"""),"0661V")</f>
        <v>0661V</v>
      </c>
      <c r="B740" s="4" t="str">
        <f>IFERROR(__xludf.DUMMYFUNCTION("""COMPUTED_VALUE"""),"Vinilo adhesivo suelo STOP 40 cm")</f>
        <v>Vinilo adhesivo suelo STOP 40 cm</v>
      </c>
      <c r="C740" s="4">
        <f>IFERROR(__xludf.DUMMYFUNCTION("""COMPUTED_VALUE"""),5.904)</f>
        <v>5.904</v>
      </c>
    </row>
    <row r="741">
      <c r="A741" s="4" t="str">
        <f>IFERROR(__xludf.DUMMYFUNCTION("""COMPUTED_VALUE"""),"662")</f>
        <v>662</v>
      </c>
      <c r="B741" s="4" t="str">
        <f>IFERROR(__xludf.DUMMYFUNCTION("""COMPUTED_VALUE"""),"Señal metalica R-308")</f>
        <v>Señal metalica R-308</v>
      </c>
      <c r="C741" s="4">
        <f>IFERROR(__xludf.DUMMYFUNCTION("""COMPUTED_VALUE"""),10.799999999999999)</f>
        <v>10.8</v>
      </c>
    </row>
    <row r="742">
      <c r="A742" s="4" t="str">
        <f>IFERROR(__xludf.DUMMYFUNCTION("""COMPUTED_VALUE"""),"663")</f>
        <v>663</v>
      </c>
      <c r="B742" s="4" t="str">
        <f>IFERROR(__xludf.DUMMYFUNCTION("""COMPUTED_VALUE"""),"Señal metalica TR-400a")</f>
        <v>Señal metalica TR-400a</v>
      </c>
      <c r="C742" s="4">
        <f>IFERROR(__xludf.DUMMYFUNCTION("""COMPUTED_VALUE"""),10.799999999999999)</f>
        <v>10.8</v>
      </c>
    </row>
    <row r="743">
      <c r="A743" s="4" t="str">
        <f>IFERROR(__xludf.DUMMYFUNCTION("""COMPUTED_VALUE"""),"664")</f>
        <v>664</v>
      </c>
      <c r="B743" s="4" t="str">
        <f>IFERROR(__xludf.DUMMYFUNCTION("""COMPUTED_VALUE"""),"Señal metalica R-400a")</f>
        <v>Señal metalica R-400a</v>
      </c>
      <c r="C743" s="4">
        <f>IFERROR(__xludf.DUMMYFUNCTION("""COMPUTED_VALUE"""),10.799999999999999)</f>
        <v>10.8</v>
      </c>
    </row>
    <row r="744">
      <c r="A744" s="4" t="str">
        <f>IFERROR(__xludf.DUMMYFUNCTION("""COMPUTED_VALUE"""),"0664V")</f>
        <v>0664V</v>
      </c>
      <c r="B744" s="4" t="str">
        <f>IFERROR(__xludf.DUMMYFUNCTION("""COMPUTED_VALUE"""),"Vinilo adhesivo suelo Dirección oblig. 40cm")</f>
        <v>Vinilo adhesivo suelo Dirección oblig. 40cm</v>
      </c>
      <c r="C744" s="4">
        <f>IFERROR(__xludf.DUMMYFUNCTION("""COMPUTED_VALUE"""),5.904)</f>
        <v>5.904</v>
      </c>
    </row>
    <row r="745">
      <c r="A745" s="4" t="str">
        <f>IFERROR(__xludf.DUMMYFUNCTION("""COMPUTED_VALUE"""),"665")</f>
        <v>665</v>
      </c>
      <c r="B745" s="4" t="str">
        <f>IFERROR(__xludf.DUMMYFUNCTION("""COMPUTED_VALUE"""),"Señal metalica S-17 Parking")</f>
        <v>Señal metalica S-17 Parking</v>
      </c>
      <c r="C745" s="4">
        <f>IFERROR(__xludf.DUMMYFUNCTION("""COMPUTED_VALUE"""),10.799999999999999)</f>
        <v>10.8</v>
      </c>
    </row>
    <row r="746">
      <c r="A746" s="4" t="str">
        <f>IFERROR(__xludf.DUMMYFUNCTION("""COMPUTED_VALUE"""),"666")</f>
        <v>666</v>
      </c>
      <c r="B746" s="4" t="str">
        <f>IFERROR(__xludf.DUMMYFUNCTION("""COMPUTED_VALUE"""),"Señal metalica S-15a Calle Cortada")</f>
        <v>Señal metalica S-15a Calle Cortada</v>
      </c>
      <c r="C746" s="4">
        <f>IFERROR(__xludf.DUMMYFUNCTION("""COMPUTED_VALUE"""),10.799999999999999)</f>
        <v>10.8</v>
      </c>
    </row>
    <row r="747">
      <c r="A747" s="4" t="str">
        <f>IFERROR(__xludf.DUMMYFUNCTION("""COMPUTED_VALUE"""),"667")</f>
        <v>667</v>
      </c>
      <c r="B747" s="4" t="str">
        <f>IFERROR(__xludf.DUMMYFUNCTION("""COMPUTED_VALUE"""),"Placa carga Sobresaliente V20 50x50")</f>
        <v>Placa carga Sobresaliente V20 50x50</v>
      </c>
      <c r="C747" s="4">
        <f>IFERROR(__xludf.DUMMYFUNCTION("""COMPUTED_VALUE"""),18.72)</f>
        <v>18.72</v>
      </c>
    </row>
    <row r="748">
      <c r="A748" s="4" t="str">
        <f>IFERROR(__xludf.DUMMYFUNCTION("""COMPUTED_VALUE"""),"668")</f>
        <v>668</v>
      </c>
      <c r="B748" s="4" t="str">
        <f>IFERROR(__xludf.DUMMYFUNCTION("""COMPUTED_VALUE"""),"Señal metalica R-101")</f>
        <v>Señal metalica R-101</v>
      </c>
      <c r="C748" s="4">
        <f>IFERROR(__xludf.DUMMYFUNCTION("""COMPUTED_VALUE"""),10.799999999999999)</f>
        <v>10.8</v>
      </c>
    </row>
    <row r="749">
      <c r="A749" s="4" t="str">
        <f>IFERROR(__xludf.DUMMYFUNCTION("""COMPUTED_VALUE"""),"670")</f>
        <v>670</v>
      </c>
      <c r="B749" s="4" t="str">
        <f>IFERROR(__xludf.DUMMYFUNCTION("""COMPUTED_VALUE"""),"Señal metalica TR-5")</f>
        <v>Señal metalica TR-5</v>
      </c>
      <c r="C749" s="4">
        <f>IFERROR(__xludf.DUMMYFUNCTION("""COMPUTED_VALUE"""),10.799999999999999)</f>
        <v>10.8</v>
      </c>
    </row>
    <row r="750">
      <c r="A750" s="4" t="str">
        <f>IFERROR(__xludf.DUMMYFUNCTION("""COMPUTED_VALUE"""),"0670D")</f>
        <v>0670D</v>
      </c>
      <c r="B750" s="4" t="str">
        <f>IFERROR(__xludf.DUMMYFUNCTION("""COMPUTED_VALUE"""),"Señal metalica R-5")</f>
        <v>Señal metalica R-5</v>
      </c>
      <c r="C750" s="4">
        <f>IFERROR(__xludf.DUMMYFUNCTION("""COMPUTED_VALUE"""),10.799999999999999)</f>
        <v>10.8</v>
      </c>
    </row>
    <row r="751">
      <c r="A751" s="4" t="str">
        <f>IFERROR(__xludf.DUMMYFUNCTION("""COMPUTED_VALUE"""),"671")</f>
        <v>671</v>
      </c>
      <c r="B751" s="4" t="str">
        <f>IFERROR(__xludf.DUMMYFUNCTION("""COMPUTED_VALUE"""),"Señal metalica TR-500")</f>
        <v>Señal metalica TR-500</v>
      </c>
      <c r="C751" s="4">
        <f>IFERROR(__xludf.DUMMYFUNCTION("""COMPUTED_VALUE"""),10.799999999999999)</f>
        <v>10.8</v>
      </c>
    </row>
    <row r="752">
      <c r="A752" s="4" t="str">
        <f>IFERROR(__xludf.DUMMYFUNCTION("""COMPUTED_VALUE"""),"0671D")</f>
        <v>0671D</v>
      </c>
      <c r="B752" s="4" t="str">
        <f>IFERROR(__xludf.DUMMYFUNCTION("""COMPUTED_VALUE"""),"Señal metalica R-500")</f>
        <v>Señal metalica R-500</v>
      </c>
      <c r="C752" s="4">
        <f>IFERROR(__xludf.DUMMYFUNCTION("""COMPUTED_VALUE"""),10.799999999999999)</f>
        <v>10.8</v>
      </c>
    </row>
    <row r="753">
      <c r="A753" s="4" t="str">
        <f>IFERROR(__xludf.DUMMYFUNCTION("""COMPUTED_VALUE"""),"672")</f>
        <v>672</v>
      </c>
      <c r="B753" s="4" t="str">
        <f>IFERROR(__xludf.DUMMYFUNCTION("""COMPUTED_VALUE"""),"Señal metalica TR-502")</f>
        <v>Señal metalica TR-502</v>
      </c>
      <c r="C753" s="4">
        <f>IFERROR(__xludf.DUMMYFUNCTION("""COMPUTED_VALUE"""),10.799999999999999)</f>
        <v>10.8</v>
      </c>
    </row>
    <row r="754">
      <c r="A754" s="4" t="str">
        <f>IFERROR(__xludf.DUMMYFUNCTION("""COMPUTED_VALUE"""),"0672D")</f>
        <v>0672D</v>
      </c>
      <c r="B754" s="4" t="str">
        <f>IFERROR(__xludf.DUMMYFUNCTION("""COMPUTED_VALUE"""),"Señal metalica R-502")</f>
        <v>Señal metalica R-502</v>
      </c>
      <c r="C754" s="4">
        <f>IFERROR(__xludf.DUMMYFUNCTION("""COMPUTED_VALUE"""),10.799999999999999)</f>
        <v>10.8</v>
      </c>
    </row>
    <row r="755">
      <c r="A755" s="4" t="str">
        <f>IFERROR(__xludf.DUMMYFUNCTION("""COMPUTED_VALUE"""),"673")</f>
        <v>673</v>
      </c>
      <c r="B755" s="4" t="str">
        <f>IFERROR(__xludf.DUMMYFUNCTION("""COMPUTED_VALUE"""),"Señal metalica P-20")</f>
        <v>Señal metalica P-20</v>
      </c>
      <c r="C755" s="4">
        <f>IFERROR(__xludf.DUMMYFUNCTION("""COMPUTED_VALUE"""),10.799999999999999)</f>
        <v>10.8</v>
      </c>
    </row>
    <row r="756">
      <c r="A756" s="4" t="str">
        <f>IFERROR(__xludf.DUMMYFUNCTION("""COMPUTED_VALUE"""),"0673D")</f>
        <v>0673D</v>
      </c>
      <c r="B756" s="4" t="str">
        <f>IFERROR(__xludf.DUMMYFUNCTION("""COMPUTED_VALUE"""),"Señal metalica P-20")</f>
        <v>Señal metalica P-20</v>
      </c>
      <c r="C756" s="4">
        <f>IFERROR(__xludf.DUMMYFUNCTION("""COMPUTED_VALUE"""),10.799999999999999)</f>
        <v>10.8</v>
      </c>
    </row>
    <row r="757">
      <c r="A757" s="4" t="str">
        <f>IFERROR(__xludf.DUMMYFUNCTION("""COMPUTED_VALUE"""),"674")</f>
        <v>674</v>
      </c>
      <c r="B757" s="4" t="str">
        <f>IFERROR(__xludf.DUMMYFUNCTION("""COMPUTED_VALUE"""),"Señal metalica TR-503")</f>
        <v>Señal metalica TR-503</v>
      </c>
      <c r="C757" s="4">
        <f>IFERROR(__xludf.DUMMYFUNCTION("""COMPUTED_VALUE"""),10.799999999999999)</f>
        <v>10.8</v>
      </c>
    </row>
    <row r="758">
      <c r="A758" s="4" t="str">
        <f>IFERROR(__xludf.DUMMYFUNCTION("""COMPUTED_VALUE"""),"0674D")</f>
        <v>0674D</v>
      </c>
      <c r="B758" s="4" t="str">
        <f>IFERROR(__xludf.DUMMYFUNCTION("""COMPUTED_VALUE"""),"Señal metalica R-503")</f>
        <v>Señal metalica R-503</v>
      </c>
      <c r="C758" s="4">
        <f>IFERROR(__xludf.DUMMYFUNCTION("""COMPUTED_VALUE"""),10.799999999999999)</f>
        <v>10.8</v>
      </c>
    </row>
    <row r="759">
      <c r="A759" s="4" t="str">
        <f>IFERROR(__xludf.DUMMYFUNCTION("""COMPUTED_VALUE"""),"0674E")</f>
        <v>0674E</v>
      </c>
      <c r="B759" s="4" t="str">
        <f>IFERROR(__xludf.DUMMYFUNCTION("""COMPUTED_VALUE"""),"Señal 50 cm económica recarga eléctrica")</f>
        <v>Señal 50 cm económica recarga eléctrica</v>
      </c>
      <c r="C759" s="4">
        <f>IFERROR(__xludf.DUMMYFUNCTION("""COMPUTED_VALUE"""),10.799999999999999)</f>
        <v>10.8</v>
      </c>
    </row>
    <row r="760">
      <c r="A760" s="4" t="str">
        <f>IFERROR(__xludf.DUMMYFUNCTION("""COMPUTED_VALUE"""),"0674P")</f>
        <v>0674P</v>
      </c>
      <c r="B760" s="4" t="str">
        <f>IFERROR(__xludf.DUMMYFUNCTION("""COMPUTED_VALUE"""),"Señal metálica económica ALTO POLICIA")</f>
        <v>Señal metálica económica ALTO POLICIA</v>
      </c>
      <c r="C760" s="4">
        <f>IFERROR(__xludf.DUMMYFUNCTION("""COMPUTED_VALUE"""),10.799999999999999)</f>
        <v>10.8</v>
      </c>
    </row>
    <row r="761">
      <c r="A761" s="4" t="str">
        <f>IFERROR(__xludf.DUMMYFUNCTION("""COMPUTED_VALUE"""),"675")</f>
        <v>675</v>
      </c>
      <c r="B761" s="4" t="str">
        <f>IFERROR(__xludf.DUMMYFUNCTION("""COMPUTED_VALUE"""),"Tripode tubular naranja señal metalica mod. A")</f>
        <v>Tripode tubular naranja señal metalica mod. A</v>
      </c>
      <c r="C761" s="4">
        <f>IFERROR(__xludf.DUMMYFUNCTION("""COMPUTED_VALUE"""),11.28)</f>
        <v>11.28</v>
      </c>
    </row>
    <row r="762">
      <c r="A762" s="4" t="str">
        <f>IFERROR(__xludf.DUMMYFUNCTION("""COMPUTED_VALUE"""),"0676/10")</f>
        <v>0676/10</v>
      </c>
      <c r="B762" s="4" t="str">
        <f>IFERROR(__xludf.DUMMYFUNCTION("""COMPUTED_VALUE"""),"Tubo 80x40 para señal metalica 1 metro")</f>
        <v>Tubo 80x40 para señal metalica 1 metro</v>
      </c>
      <c r="C762" s="4">
        <f>IFERROR(__xludf.DUMMYFUNCTION("""COMPUTED_VALUE"""),11.04)</f>
        <v>11.04</v>
      </c>
    </row>
    <row r="763">
      <c r="A763" s="4" t="str">
        <f>IFERROR(__xludf.DUMMYFUNCTION("""COMPUTED_VALUE"""),"0676/15")</f>
        <v>0676/15</v>
      </c>
      <c r="B763" s="4" t="str">
        <f>IFERROR(__xludf.DUMMYFUNCTION("""COMPUTED_VALUE"""),"bo 80x40 para señal metalica 1,5 metros")</f>
        <v>bo 80x40 para señal metalica 1,5 metros</v>
      </c>
      <c r="C763" s="4">
        <f>IFERROR(__xludf.DUMMYFUNCTION("""COMPUTED_VALUE"""),15.84)</f>
        <v>15.84</v>
      </c>
    </row>
    <row r="764">
      <c r="A764" s="4" t="str">
        <f>IFERROR(__xludf.DUMMYFUNCTION("""COMPUTED_VALUE"""),"0676/20")</f>
        <v>0676/20</v>
      </c>
      <c r="B764" s="4" t="str">
        <f>IFERROR(__xludf.DUMMYFUNCTION("""COMPUTED_VALUE"""),"Tubo 80x40 para señal metalica 2 metros")</f>
        <v>Tubo 80x40 para señal metalica 2 metros</v>
      </c>
      <c r="C764" s="4">
        <f>IFERROR(__xludf.DUMMYFUNCTION("""COMPUTED_VALUE"""),21.119999999999997)</f>
        <v>21.12</v>
      </c>
    </row>
    <row r="765">
      <c r="A765" s="4" t="str">
        <f>IFERROR(__xludf.DUMMYFUNCTION("""COMPUTED_VALUE"""),"0676/25")</f>
        <v>0676/25</v>
      </c>
      <c r="B765" s="4" t="str">
        <f>IFERROR(__xludf.DUMMYFUNCTION("""COMPUTED_VALUE"""),"Tubo 80x40 para señal metalica 2,5 metros")</f>
        <v>Tubo 80x40 para señal metalica 2,5 metros</v>
      </c>
      <c r="C765" s="4">
        <f>IFERROR(__xludf.DUMMYFUNCTION("""COMPUTED_VALUE"""),26.88)</f>
        <v>26.88</v>
      </c>
    </row>
    <row r="766">
      <c r="A766" s="4" t="str">
        <f>IFERROR(__xludf.DUMMYFUNCTION("""COMPUTED_VALUE"""),"0676/30")</f>
        <v>0676/30</v>
      </c>
      <c r="B766" s="4" t="str">
        <f>IFERROR(__xludf.DUMMYFUNCTION("""COMPUTED_VALUE"""),"Tubo 80x40 para señal metalica 3 metros")</f>
        <v>Tubo 80x40 para señal metalica 3 metros</v>
      </c>
      <c r="C766" s="4">
        <f>IFERROR(__xludf.DUMMYFUNCTION("""COMPUTED_VALUE"""),34.56)</f>
        <v>34.56</v>
      </c>
    </row>
    <row r="767">
      <c r="A767" s="4" t="str">
        <f>IFERROR(__xludf.DUMMYFUNCTION("""COMPUTED_VALUE"""),"0676/35")</f>
        <v>0676/35</v>
      </c>
      <c r="B767" s="4" t="str">
        <f>IFERROR(__xludf.DUMMYFUNCTION("""COMPUTED_VALUE"""),"Tubo 80x40 para señal metalica 3,5 metros")</f>
        <v>Tubo 80x40 para señal metalica 3,5 metros</v>
      </c>
      <c r="C767" s="4">
        <f>IFERROR(__xludf.DUMMYFUNCTION("""COMPUTED_VALUE"""),37.44)</f>
        <v>37.44</v>
      </c>
    </row>
    <row r="768">
      <c r="A768" s="4" t="str">
        <f>IFERROR(__xludf.DUMMYFUNCTION("""COMPUTED_VALUE"""),"0676/40")</f>
        <v>0676/40</v>
      </c>
      <c r="B768" s="4" t="str">
        <f>IFERROR(__xludf.DUMMYFUNCTION("""COMPUTED_VALUE"""),"Tubo 80x40 para señal metalica 4 metros")</f>
        <v>Tubo 80x40 para señal metalica 4 metros</v>
      </c>
      <c r="C768" s="4">
        <f>IFERROR(__xludf.DUMMYFUNCTION("""COMPUTED_VALUE"""),39.839999999999996)</f>
        <v>39.84</v>
      </c>
    </row>
    <row r="769">
      <c r="A769" s="4" t="str">
        <f>IFERROR(__xludf.DUMMYFUNCTION("""COMPUTED_VALUE"""),"0676/AL")</f>
        <v>0676/AL</v>
      </c>
      <c r="B769" s="4" t="str">
        <f>IFERROR(__xludf.DUMMYFUNCTION("""COMPUTED_VALUE"""),"Poste aluminio 3.5 m 76 mm pintado")</f>
        <v>Poste aluminio 3.5 m 76 mm pintado</v>
      </c>
      <c r="C769" s="4">
        <f>IFERROR(__xludf.DUMMYFUNCTION("""COMPUTED_VALUE"""),100.8)</f>
        <v>100.8</v>
      </c>
    </row>
    <row r="770">
      <c r="A770" s="4" t="str">
        <f>IFERROR(__xludf.DUMMYFUNCTION("""COMPUTED_VALUE"""),"0676F")</f>
        <v>0676F</v>
      </c>
      <c r="B770" s="4" t="str">
        <f>IFERROR(__xludf.DUMMYFUNCTION("""COMPUTED_VALUE"""),"Poste 80x40 mm 3 m en forma de F")</f>
        <v>Poste 80x40 mm 3 m en forma de F</v>
      </c>
      <c r="C770" s="4">
        <f>IFERROR(__xludf.DUMMYFUNCTION("""COMPUTED_VALUE"""),47.04)</f>
        <v>47.04</v>
      </c>
    </row>
    <row r="771">
      <c r="A771" s="4" t="str">
        <f>IFERROR(__xludf.DUMMYFUNCTION("""COMPUTED_VALUE"""),"677")</f>
        <v>677</v>
      </c>
      <c r="B771" s="4" t="str">
        <f>IFERROR(__xludf.DUMMYFUNCTION("""COMPUTED_VALUE"""),"Cruceta tubo para señales metalicas")</f>
        <v>Cruceta tubo para señales metalicas</v>
      </c>
      <c r="C771" s="4">
        <f>IFERROR(__xludf.DUMMYFUNCTION("""COMPUTED_VALUE"""),16.608)</f>
        <v>16.608</v>
      </c>
    </row>
    <row r="772">
      <c r="A772" s="4" t="str">
        <f>IFERROR(__xludf.DUMMYFUNCTION("""COMPUTED_VALUE"""),"678")</f>
        <v>678</v>
      </c>
      <c r="B772" s="4" t="str">
        <f>IFERROR(__xludf.DUMMYFUNCTION("""COMPUTED_VALUE"""),"Señal metalica R- 6 Prioridad")</f>
        <v>Señal metalica R- 6 Prioridad</v>
      </c>
      <c r="C772" s="4">
        <f>IFERROR(__xludf.DUMMYFUNCTION("""COMPUTED_VALUE"""),10.799999999999999)</f>
        <v>10.8</v>
      </c>
    </row>
    <row r="773">
      <c r="A773" s="4" t="str">
        <f>IFERROR(__xludf.DUMMYFUNCTION("""COMPUTED_VALUE"""),"679")</f>
        <v>679</v>
      </c>
      <c r="B773" s="4" t="str">
        <f>IFERROR(__xludf.DUMMYFUNCTION("""COMPUTED_VALUE"""),"Placa econ. informat. 20x40 cm f.amarillo")</f>
        <v>Placa econ. informat. 20x40 cm f.amarillo</v>
      </c>
      <c r="C773" s="4">
        <f>IFERROR(__xludf.DUMMYFUNCTION("""COMPUTED_VALUE"""),10.799999999999999)</f>
        <v>10.8</v>
      </c>
    </row>
    <row r="774">
      <c r="A774" s="4" t="str">
        <f>IFERROR(__xludf.DUMMYFUNCTION("""COMPUTED_VALUE"""),"680")</f>
        <v>680</v>
      </c>
      <c r="B774" s="4" t="str">
        <f>IFERROR(__xludf.DUMMYFUNCTION("""COMPUTED_VALUE"""),"Placa informativa 40x20 blanca")</f>
        <v>Placa informativa 40x20 blanca</v>
      </c>
      <c r="C774" s="4">
        <f>IFERROR(__xludf.DUMMYFUNCTION("""COMPUTED_VALUE"""),10.799999999999999)</f>
        <v>10.8</v>
      </c>
    </row>
    <row r="775">
      <c r="A775" s="4" t="str">
        <f>IFERROR(__xludf.DUMMYFUNCTION("""COMPUTED_VALUE"""),"0681/A")</f>
        <v>0681/A</v>
      </c>
      <c r="B775" s="4" t="str">
        <f>IFERROR(__xludf.DUMMYFUNCTION("""COMPUTED_VALUE"""),"Horquilla protector peatones 120x40 cm Galva")</f>
        <v>Horquilla protector peatones 120x40 cm Galva</v>
      </c>
      <c r="C775" s="4">
        <f>IFERROR(__xludf.DUMMYFUNCTION("""COMPUTED_VALUE"""),40.704)</f>
        <v>40.704</v>
      </c>
    </row>
    <row r="776">
      <c r="A776" s="4" t="str">
        <f>IFERROR(__xludf.DUMMYFUNCTION("""COMPUTED_VALUE"""),"0681/A/PLATO")</f>
        <v>0681/A/PLATO</v>
      </c>
      <c r="B776" s="4" t="str">
        <f>IFERROR(__xludf.DUMMYFUNCTION("""COMPUTED_VALUE"""),"Horquilla protector peatones 120x40 cm Galva. c/plato")</f>
        <v>Horquilla protector peatones 120x40 cm Galva. c/plato</v>
      </c>
      <c r="C776" s="4">
        <f>IFERROR(__xludf.DUMMYFUNCTION("""COMPUTED_VALUE"""),50.687999999999995)</f>
        <v>50.688</v>
      </c>
    </row>
    <row r="777">
      <c r="A777" s="4" t="str">
        <f>IFERROR(__xludf.DUMMYFUNCTION("""COMPUTED_VALUE"""),"0681/B")</f>
        <v>0681/B</v>
      </c>
      <c r="B777" s="4" t="str">
        <f>IFERROR(__xludf.DUMMYFUNCTION("""COMPUTED_VALUE"""),"Horquilla protector peatones 90x40 cm Galva")</f>
        <v>Horquilla protector peatones 90x40 cm Galva</v>
      </c>
      <c r="C777" s="4">
        <f>IFERROR(__xludf.DUMMYFUNCTION("""COMPUTED_VALUE"""),37.296)</f>
        <v>37.296</v>
      </c>
    </row>
    <row r="778">
      <c r="A778" s="4" t="str">
        <f>IFERROR(__xludf.DUMMYFUNCTION("""COMPUTED_VALUE"""),"0681/B/PLATO")</f>
        <v>0681/B/PLATO</v>
      </c>
      <c r="B778" s="4" t="str">
        <f>IFERROR(__xludf.DUMMYFUNCTION("""COMPUTED_VALUE"""),"Horquilla protector peatones 90x40 cm Galva c/plato")</f>
        <v>Horquilla protector peatones 90x40 cm Galva c/plato</v>
      </c>
      <c r="C778" s="4">
        <f>IFERROR(__xludf.DUMMYFUNCTION("""COMPUTED_VALUE"""),59.472)</f>
        <v>59.472</v>
      </c>
    </row>
    <row r="779">
      <c r="A779" s="4" t="str">
        <f>IFERROR(__xludf.DUMMYFUNCTION("""COMPUTED_VALUE"""),"0681/LA")</f>
        <v>0681/LA</v>
      </c>
      <c r="B779" s="4" t="str">
        <f>IFERROR(__xludf.DUMMYFUNCTION("""COMPUTED_VALUE"""),"Horquilla protector peatones 120x40 cm Amarilla")</f>
        <v>Horquilla protector peatones 120x40 cm Amarilla</v>
      </c>
      <c r="C779" s="4">
        <f>IFERROR(__xludf.DUMMYFUNCTION("""COMPUTED_VALUE"""),46.512)</f>
        <v>46.512</v>
      </c>
    </row>
    <row r="780">
      <c r="A780" s="4" t="str">
        <f>IFERROR(__xludf.DUMMYFUNCTION("""COMPUTED_VALUE"""),"0681/LA/PLATO")</f>
        <v>0681/LA/PLATO</v>
      </c>
      <c r="B780" s="4" t="str">
        <f>IFERROR(__xludf.DUMMYFUNCTION("""COMPUTED_VALUE"""),"Horquilla protector peatones 120x40 cm Amar. c/plato")</f>
        <v>Horquilla protector peatones 120x40 cm Amar. c/plato</v>
      </c>
      <c r="C780" s="4">
        <f>IFERROR(__xludf.DUMMYFUNCTION("""COMPUTED_VALUE"""),49.392)</f>
        <v>49.392</v>
      </c>
    </row>
    <row r="781">
      <c r="A781" s="4" t="str">
        <f>IFERROR(__xludf.DUMMYFUNCTION("""COMPUTED_VALUE"""),"0681/LB")</f>
        <v>0681/LB</v>
      </c>
      <c r="B781" s="4" t="str">
        <f>IFERROR(__xludf.DUMMYFUNCTION("""COMPUTED_VALUE"""),"Horquilla protector peqtones 90x40 cm Amarilla")</f>
        <v>Horquilla protector peqtones 90x40 cm Amarilla</v>
      </c>
      <c r="C781" s="4">
        <f>IFERROR(__xludf.DUMMYFUNCTION("""COMPUTED_VALUE"""),43.5456)</f>
        <v>43.5456</v>
      </c>
    </row>
    <row r="782">
      <c r="A782" s="4" t="str">
        <f>IFERROR(__xludf.DUMMYFUNCTION("""COMPUTED_VALUE"""),"0681/LB/PLATO")</f>
        <v>0681/LB/PLATO</v>
      </c>
      <c r="B782" s="4" t="str">
        <f>IFERROR(__xludf.DUMMYFUNCTION("""COMPUTED_VALUE"""),"Horquilla protector peatones 90x40 cm Amar.c/plato")</f>
        <v>Horquilla protector peatones 90x40 cm Amar.c/plato</v>
      </c>
      <c r="C782" s="4">
        <f>IFERROR(__xludf.DUMMYFUNCTION("""COMPUTED_VALUE"""),50.620799999999996)</f>
        <v>50.6208</v>
      </c>
    </row>
    <row r="783">
      <c r="A783" s="4" t="str">
        <f>IFERROR(__xludf.DUMMYFUNCTION("""COMPUTED_VALUE"""),"682")</f>
        <v>682</v>
      </c>
      <c r="B783" s="4" t="str">
        <f>IFERROR(__xludf.DUMMYFUNCTION("""COMPUTED_VALUE"""),"Vado Permanente Aluminio 40x30")</f>
        <v>Vado Permanente Aluminio 40x30</v>
      </c>
      <c r="C783" s="4">
        <f>IFERROR(__xludf.DUMMYFUNCTION("""COMPUTED_VALUE"""),8.064)</f>
        <v>8.064</v>
      </c>
    </row>
    <row r="784">
      <c r="A784" s="4" t="str">
        <f>IFERROR(__xludf.DUMMYFUNCTION("""COMPUTED_VALUE"""),"0682P")</f>
        <v>0682P</v>
      </c>
      <c r="B784" s="4" t="str">
        <f>IFERROR(__xludf.DUMMYFUNCTION("""COMPUTED_VALUE"""),"Vado permanente 40x30 aluminio personalizado")</f>
        <v>Vado permanente 40x30 aluminio personalizado</v>
      </c>
      <c r="C784" s="4">
        <f>IFERROR(__xludf.DUMMYFUNCTION("""COMPUTED_VALUE"""),11.52)</f>
        <v>11.52</v>
      </c>
    </row>
    <row r="785">
      <c r="A785" s="4" t="str">
        <f>IFERROR(__xludf.DUMMYFUNCTION("""COMPUTED_VALUE"""),"683")</f>
        <v>683</v>
      </c>
      <c r="B785" s="4" t="str">
        <f>IFERROR(__xludf.DUMMYFUNCTION("""COMPUTED_VALUE"""),"Horquilla protector contenedor basura Galva")</f>
        <v>Horquilla protector contenedor basura Galva</v>
      </c>
      <c r="C785" s="4">
        <f>IFERROR(__xludf.DUMMYFUNCTION("""COMPUTED_VALUE"""),128.928)</f>
        <v>128.928</v>
      </c>
    </row>
    <row r="786">
      <c r="A786" s="4" t="str">
        <f>IFERROR(__xludf.DUMMYFUNCTION("""COMPUTED_VALUE"""),"0683/B")</f>
        <v>0683/B</v>
      </c>
      <c r="B786" s="4" t="str">
        <f>IFERROR(__xludf.DUMMYFUNCTION("""COMPUTED_VALUE"""),"Isleta hormigon con protector direccional Vados")</f>
        <v>Isleta hormigon con protector direccional Vados</v>
      </c>
      <c r="C786" s="4">
        <f>IFERROR(__xludf.DUMMYFUNCTION("""COMPUTED_VALUE"""),441.59999999999997)</f>
        <v>441.6</v>
      </c>
    </row>
    <row r="787">
      <c r="A787" s="4" t="str">
        <f>IFERROR(__xludf.DUMMYFUNCTION("""COMPUTED_VALUE"""),"0683/BS")</f>
        <v>0683/BS</v>
      </c>
      <c r="B787" s="4" t="str">
        <f>IFERROR(__xludf.DUMMYFUNCTION("""COMPUTED_VALUE"""),"Juego 2 angulos sujecion suelo Isleta Vados")</f>
        <v>Juego 2 angulos sujecion suelo Isleta Vados</v>
      </c>
      <c r="C787" s="4">
        <f>IFERROR(__xludf.DUMMYFUNCTION("""COMPUTED_VALUE"""),31.967999999999996)</f>
        <v>31.968</v>
      </c>
    </row>
    <row r="788">
      <c r="A788" s="4" t="str">
        <f>IFERROR(__xludf.DUMMYFUNCTION("""COMPUTED_VALUE"""),"0683D")</f>
        <v>0683D</v>
      </c>
      <c r="B788" s="4" t="str">
        <f>IFERROR(__xludf.DUMMYFUNCTION("""COMPUTED_VALUE"""),"Protector contenedor basura flecha dcha Galv.")</f>
        <v>Protector contenedor basura flecha dcha Galv.</v>
      </c>
      <c r="C788" s="4">
        <f>IFERROR(__xludf.DUMMYFUNCTION("""COMPUTED_VALUE"""),75.09599999999999)</f>
        <v>75.096</v>
      </c>
    </row>
    <row r="789">
      <c r="A789" s="4" t="str">
        <f>IFERROR(__xludf.DUMMYFUNCTION("""COMPUTED_VALUE"""),"0683D/PLATO")</f>
        <v>0683D/PLATO</v>
      </c>
      <c r="B789" s="4" t="str">
        <f>IFERROR(__xludf.DUMMYFUNCTION("""COMPUTED_VALUE"""),"Protector contenedor basura flecha Dcha. Galva. c/plato")</f>
        <v>Protector contenedor basura flecha Dcha. Galva. c/plato</v>
      </c>
      <c r="C789" s="4">
        <f>IFERROR(__xludf.DUMMYFUNCTION("""COMPUTED_VALUE"""),86.184)</f>
        <v>86.184</v>
      </c>
    </row>
    <row r="790">
      <c r="A790" s="4" t="str">
        <f>IFERROR(__xludf.DUMMYFUNCTION("""COMPUTED_VALUE"""),"0683I")</f>
        <v>0683I</v>
      </c>
      <c r="B790" s="4" t="str">
        <f>IFERROR(__xludf.DUMMYFUNCTION("""COMPUTED_VALUE"""),"Protector contenedor basura flecha izq. Galva.")</f>
        <v>Protector contenedor basura flecha izq. Galva.</v>
      </c>
      <c r="C790" s="4">
        <f>IFERROR(__xludf.DUMMYFUNCTION("""COMPUTED_VALUE"""),75.09599999999999)</f>
        <v>75.096</v>
      </c>
    </row>
    <row r="791">
      <c r="A791" s="4" t="str">
        <f>IFERROR(__xludf.DUMMYFUNCTION("""COMPUTED_VALUE"""),"0683I/PLATO")</f>
        <v>0683I/PLATO</v>
      </c>
      <c r="B791" s="4" t="str">
        <f>IFERROR(__xludf.DUMMYFUNCTION("""COMPUTED_VALUE"""),"Protector contendor basura flecha Izq.Galva. c/ plato")</f>
        <v>Protector contendor basura flecha Izq.Galva. c/ plato</v>
      </c>
      <c r="C791" s="4">
        <f>IFERROR(__xludf.DUMMYFUNCTION("""COMPUTED_VALUE"""),72.0)</f>
        <v>72</v>
      </c>
    </row>
    <row r="792">
      <c r="A792" s="4" t="str">
        <f>IFERROR(__xludf.DUMMYFUNCTION("""COMPUTED_VALUE"""),"687")</f>
        <v>687</v>
      </c>
      <c r="B792" s="4" t="str">
        <f>IFERROR(__xludf.DUMMYFUNCTION("""COMPUTED_VALUE"""),"Placa econ. informat. 55x35 cm f.amarillo")</f>
        <v>Placa econ. informat. 55x35 cm f.amarillo</v>
      </c>
      <c r="C792" s="4">
        <f>IFERROR(__xludf.DUMMYFUNCTION("""COMPUTED_VALUE"""),16.128)</f>
        <v>16.128</v>
      </c>
    </row>
    <row r="793">
      <c r="A793" s="4" t="str">
        <f>IFERROR(__xludf.DUMMYFUNCTION("""COMPUTED_VALUE"""),"688")</f>
        <v>688</v>
      </c>
      <c r="B793" s="4" t="str">
        <f>IFERROR(__xludf.DUMMYFUNCTION("""COMPUTED_VALUE"""),"Placa econ. informat. 55x35 cm f.blanco")</f>
        <v>Placa econ. informat. 55x35 cm f.blanco</v>
      </c>
      <c r="C793" s="4">
        <f>IFERROR(__xludf.DUMMYFUNCTION("""COMPUTED_VALUE"""),16.128)</f>
        <v>16.128</v>
      </c>
    </row>
    <row r="794">
      <c r="A794" s="4" t="str">
        <f>IFERROR(__xludf.DUMMYFUNCTION("""COMPUTED_VALUE"""),"690")</f>
        <v>690</v>
      </c>
      <c r="B794" s="4" t="str">
        <f>IFERROR(__xludf.DUMMYFUNCTION("""COMPUTED_VALUE"""),"Base caucho multiperfil")</f>
        <v>Base caucho multiperfil</v>
      </c>
      <c r="C794" s="4">
        <f>IFERROR(__xludf.DUMMYFUNCTION("""COMPUTED_VALUE"""),16.32)</f>
        <v>16.32</v>
      </c>
    </row>
    <row r="795">
      <c r="A795" s="4" t="str">
        <f>IFERROR(__xludf.DUMMYFUNCTION("""COMPUTED_VALUE"""),"0690B")</f>
        <v>0690B</v>
      </c>
      <c r="B795" s="4" t="str">
        <f>IFERROR(__xludf.DUMMYFUNCTION("""COMPUTED_VALUE"""),"Base multiperfil para valla y señales 18 kg")</f>
        <v>Base multiperfil para valla y señales 18 kg</v>
      </c>
      <c r="C795" s="4">
        <f>IFERROR(__xludf.DUMMYFUNCTION("""COMPUTED_VALUE"""),13.92)</f>
        <v>13.92</v>
      </c>
    </row>
    <row r="796">
      <c r="A796" s="4" t="str">
        <f>IFERROR(__xludf.DUMMYFUNCTION("""COMPUTED_VALUE"""),"0690D")</f>
        <v>0690D</v>
      </c>
      <c r="B796" s="4" t="str">
        <f>IFERROR(__xludf.DUMMYFUNCTION("""COMPUTED_VALUE"""),"Base de caucho multiperfil mod D")</f>
        <v>Base de caucho multiperfil mod D</v>
      </c>
      <c r="C796" s="4">
        <f>IFERROR(__xludf.DUMMYFUNCTION("""COMPUTED_VALUE"""),12.48)</f>
        <v>12.48</v>
      </c>
    </row>
    <row r="797">
      <c r="A797" s="4" t="str">
        <f>IFERROR(__xludf.DUMMYFUNCTION("""COMPUTED_VALUE"""),"0690S")</f>
        <v>0690S</v>
      </c>
      <c r="B797" s="4" t="str">
        <f>IFERROR(__xludf.DUMMYFUNCTION("""COMPUTED_VALUE"""),"Base caucho para panel secuencial")</f>
        <v>Base caucho para panel secuencial</v>
      </c>
      <c r="C797" s="4">
        <f>IFERROR(__xludf.DUMMYFUNCTION("""COMPUTED_VALUE"""),18.48)</f>
        <v>18.48</v>
      </c>
    </row>
    <row r="798">
      <c r="A798" s="4" t="str">
        <f>IFERROR(__xludf.DUMMYFUNCTION("""COMPUTED_VALUE"""),"692")</f>
        <v>692</v>
      </c>
      <c r="B798" s="4" t="str">
        <f>IFERROR(__xludf.DUMMYFUNCTION("""COMPUTED_VALUE"""),"Poste aluminio 3 mtros señ. urbana Diam 60")</f>
        <v>Poste aluminio 3 mtros señ. urbana Diam 60</v>
      </c>
      <c r="C798" s="4">
        <f>IFERROR(__xludf.DUMMYFUNCTION("""COMPUTED_VALUE"""),52.8)</f>
        <v>52.8</v>
      </c>
    </row>
    <row r="799">
      <c r="A799" s="4" t="str">
        <f>IFERROR(__xludf.DUMMYFUNCTION("""COMPUTED_VALUE"""),"0692E")</f>
        <v>0692E</v>
      </c>
      <c r="B799" s="4" t="str">
        <f>IFERROR(__xludf.DUMMYFUNCTION("""COMPUTED_VALUE"""),"Abrazadera poste aluminio 60 mm estriado")</f>
        <v>Abrazadera poste aluminio 60 mm estriado</v>
      </c>
      <c r="C799" s="4">
        <f>IFERROR(__xludf.DUMMYFUNCTION("""COMPUTED_VALUE"""),1.44)</f>
        <v>1.44</v>
      </c>
    </row>
    <row r="800">
      <c r="A800" s="4" t="str">
        <f>IFERROR(__xludf.DUMMYFUNCTION("""COMPUTED_VALUE"""),"693")</f>
        <v>693</v>
      </c>
      <c r="B800" s="4" t="str">
        <f>IFERROR(__xludf.DUMMYFUNCTION("""COMPUTED_VALUE"""),"Tripode Tubular señal metalica mod. C")</f>
        <v>Tripode Tubular señal metalica mod. C</v>
      </c>
      <c r="C800" s="4">
        <f>IFERROR(__xludf.DUMMYFUNCTION("""COMPUTED_VALUE"""),20.16)</f>
        <v>20.16</v>
      </c>
    </row>
    <row r="801">
      <c r="A801" s="4" t="str">
        <f>IFERROR(__xludf.DUMMYFUNCTION("""COMPUTED_VALUE"""),"694")</f>
        <v>694</v>
      </c>
      <c r="B801" s="4" t="str">
        <f>IFERROR(__xludf.DUMMYFUNCTION("""COMPUTED_VALUE"""),"Poste redondo diam. 50 galvan. 3 mt para espejo 4100")</f>
        <v>Poste redondo diam. 50 galvan. 3 mt para espejo 4100</v>
      </c>
      <c r="C801" s="4">
        <f>IFERROR(__xludf.DUMMYFUNCTION("""COMPUTED_VALUE"""),27.168)</f>
        <v>27.168</v>
      </c>
    </row>
    <row r="802">
      <c r="A802" s="4" t="str">
        <f>IFERROR(__xludf.DUMMYFUNCTION("""COMPUTED_VALUE"""),"0694/G")</f>
        <v>0694/G</v>
      </c>
      <c r="B802" s="4" t="str">
        <f>IFERROR(__xludf.DUMMYFUNCTION("""COMPUTED_VALUE"""),"Poste redondo diam. 80 galvan. 3 mt para espejo 4101")</f>
        <v>Poste redondo diam. 80 galvan. 3 mt para espejo 4101</v>
      </c>
      <c r="C802" s="4">
        <f>IFERROR(__xludf.DUMMYFUNCTION("""COMPUTED_VALUE"""),39.312000000000005)</f>
        <v>39.312</v>
      </c>
    </row>
    <row r="803">
      <c r="A803" s="4" t="str">
        <f>IFERROR(__xludf.DUMMYFUNCTION("""COMPUTED_VALUE"""),"0694/M")</f>
        <v>0694/M</v>
      </c>
      <c r="B803" s="4" t="str">
        <f>IFERROR(__xludf.DUMMYFUNCTION("""COMPUTED_VALUE"""),"Poste redondo diam. 60 galva. 3 mt. p/espejos")</f>
        <v>Poste redondo diam. 60 galva. 3 mt. p/espejos</v>
      </c>
      <c r="C803" s="4">
        <f>IFERROR(__xludf.DUMMYFUNCTION("""COMPUTED_VALUE"""),31.68)</f>
        <v>31.68</v>
      </c>
    </row>
    <row r="804">
      <c r="A804" s="4" t="str">
        <f>IFERROR(__xludf.DUMMYFUNCTION("""COMPUTED_VALUE"""),"0694D")</f>
        <v>0694D</v>
      </c>
      <c r="B804" s="4" t="str">
        <f>IFERROR(__xludf.DUMMYFUNCTION("""COMPUTED_VALUE"""),"Poste galva doblado 3 m circular 60 mm")</f>
        <v>Poste galva doblado 3 m circular 60 mm</v>
      </c>
      <c r="C804" s="4">
        <f>IFERROR(__xludf.DUMMYFUNCTION("""COMPUTED_VALUE"""),32.64)</f>
        <v>32.64</v>
      </c>
    </row>
    <row r="805">
      <c r="A805" s="4" t="str">
        <f>IFERROR(__xludf.DUMMYFUNCTION("""COMPUTED_VALUE"""),"0694E")</f>
        <v>0694E</v>
      </c>
      <c r="B805" s="4" t="str">
        <f>IFERROR(__xludf.DUMMYFUNCTION("""COMPUTED_VALUE"""),"Poste tubular 60 mm para cartelería vinilada")</f>
        <v>Poste tubular 60 mm para cartelería vinilada</v>
      </c>
      <c r="C805" s="4">
        <f>IFERROR(__xludf.DUMMYFUNCTION("""COMPUTED_VALUE"""),71.03999999999999)</f>
        <v>71.04</v>
      </c>
    </row>
    <row r="806">
      <c r="A806" s="4" t="str">
        <f>IFERROR(__xludf.DUMMYFUNCTION("""COMPUTED_VALUE"""),"695")</f>
        <v>695</v>
      </c>
      <c r="B806" s="4" t="str">
        <f>IFERROR(__xludf.DUMMYFUNCTION("""COMPUTED_VALUE"""),"Tripode angular señal metalica mod. B")</f>
        <v>Tripode angular señal metalica mod. B</v>
      </c>
      <c r="C806" s="4">
        <f>IFERROR(__xludf.DUMMYFUNCTION("""COMPUTED_VALUE"""),11.76)</f>
        <v>11.76</v>
      </c>
    </row>
    <row r="807">
      <c r="A807" s="4" t="str">
        <f>IFERROR(__xludf.DUMMYFUNCTION("""COMPUTED_VALUE"""),"696")</f>
        <v>696</v>
      </c>
      <c r="B807" s="4" t="str">
        <f>IFERROR(__xludf.DUMMYFUNCTION("""COMPUTED_VALUE"""),"Tripode gigante señal metálica")</f>
        <v>Tripode gigante señal metálica</v>
      </c>
      <c r="C807" s="4">
        <f>IFERROR(__xludf.DUMMYFUNCTION("""COMPUTED_VALUE"""),39.407999999999994)</f>
        <v>39.408</v>
      </c>
    </row>
    <row r="808">
      <c r="A808" s="4" t="str">
        <f>IFERROR(__xludf.DUMMYFUNCTION("""COMPUTED_VALUE"""),"697")</f>
        <v>697</v>
      </c>
      <c r="B808" s="4" t="str">
        <f>IFERROR(__xludf.DUMMYFUNCTION("""COMPUTED_VALUE"""),"Soporte pared p/ espejo 60 cm Mod. Basic")</f>
        <v>Soporte pared p/ espejo 60 cm Mod. Basic</v>
      </c>
      <c r="C808" s="4">
        <f>IFERROR(__xludf.DUMMYFUNCTION("""COMPUTED_VALUE"""),12.863999999999999)</f>
        <v>12.864</v>
      </c>
    </row>
    <row r="809">
      <c r="A809" s="4" t="str">
        <f>IFERROR(__xludf.DUMMYFUNCTION("""COMPUTED_VALUE"""),"0697/M")</f>
        <v>0697/M</v>
      </c>
      <c r="B809" s="4" t="str">
        <f>IFERROR(__xludf.DUMMYFUNCTION("""COMPUTED_VALUE"""),"Soporte pared para espejo Giotto-Rafaello-Icaro")</f>
        <v>Soporte pared para espejo Giotto-Rafaello-Icaro</v>
      </c>
      <c r="C809" s="4">
        <f>IFERROR(__xludf.DUMMYFUNCTION("""COMPUTED_VALUE"""),13.344)</f>
        <v>13.344</v>
      </c>
    </row>
    <row r="810">
      <c r="A810" s="4" t="str">
        <f>IFERROR(__xludf.DUMMYFUNCTION("""COMPUTED_VALUE"""),"0697G")</f>
        <v>0697G</v>
      </c>
      <c r="B810" s="4" t="str">
        <f>IFERROR(__xludf.DUMMYFUNCTION("""COMPUTED_VALUE"""),"Soporte pared p/ espejo 80 cm Mod. Basic")</f>
        <v>Soporte pared p/ espejo 80 cm Mod. Basic</v>
      </c>
      <c r="C810" s="4">
        <f>IFERROR(__xludf.DUMMYFUNCTION("""COMPUTED_VALUE"""),15.6)</f>
        <v>15.6</v>
      </c>
    </row>
    <row r="811">
      <c r="A811" s="4" t="str">
        <f>IFERROR(__xludf.DUMMYFUNCTION("""COMPUTED_VALUE"""),"698")</f>
        <v>698</v>
      </c>
      <c r="B811" s="4" t="str">
        <f>IFERROR(__xludf.DUMMYFUNCTION("""COMPUTED_VALUE"""),"Soporte pared señal metalica")</f>
        <v>Soporte pared señal metalica</v>
      </c>
      <c r="C811" s="4">
        <f>IFERROR(__xludf.DUMMYFUNCTION("""COMPUTED_VALUE"""),16.703999999999997)</f>
        <v>16.704</v>
      </c>
    </row>
    <row r="812">
      <c r="A812" s="4" t="str">
        <f>IFERROR(__xludf.DUMMYFUNCTION("""COMPUTED_VALUE"""),"699")</f>
        <v>699</v>
      </c>
      <c r="B812" s="4" t="str">
        <f>IFERROR(__xludf.DUMMYFUNCTION("""COMPUTED_VALUE"""),"Señal economica reflex")</f>
        <v>Señal economica reflex</v>
      </c>
      <c r="C812" s="4">
        <f>IFERROR(__xludf.DUMMYFUNCTION("""COMPUTED_VALUE"""),13.92)</f>
        <v>13.92</v>
      </c>
    </row>
    <row r="813">
      <c r="A813" s="4" t="str">
        <f>IFERROR(__xludf.DUMMYFUNCTION("""COMPUTED_VALUE"""),"701")</f>
        <v>701</v>
      </c>
      <c r="B813" s="4" t="str">
        <f>IFERROR(__xludf.DUMMYFUNCTION("""COMPUTED_VALUE"""),"Conjunto señalización tubular aparcar con soporte y plesilla")</f>
        <v>Conjunto señalización tubular aparcar con soporte y plesilla</v>
      </c>
      <c r="C813" s="4">
        <f>IFERROR(__xludf.DUMMYFUNCTION("""COMPUTED_VALUE"""),75.84)</f>
        <v>75.84</v>
      </c>
    </row>
    <row r="814">
      <c r="A814" s="4" t="str">
        <f>IFERROR(__xludf.DUMMYFUNCTION("""COMPUTED_VALUE"""),"0701/01")</f>
        <v>0701/01</v>
      </c>
      <c r="B814" s="4" t="str">
        <f>IFERROR(__xludf.DUMMYFUNCTION("""COMPUTED_VALUE"""),"Protector esquina acero 45cm lado x 100 cm altura tubo de")</f>
        <v>Protector esquina acero 45cm lado x 100 cm altura tubo de</v>
      </c>
      <c r="C814" s="4">
        <f>IFERROR(__xludf.DUMMYFUNCTION("""COMPUTED_VALUE"""),143.61599999999999)</f>
        <v>143.616</v>
      </c>
    </row>
    <row r="815">
      <c r="A815" s="4" t="str">
        <f>IFERROR(__xludf.DUMMYFUNCTION("""COMPUTED_VALUE"""),"0701/03")</f>
        <v>0701/03</v>
      </c>
      <c r="B815" s="4" t="str">
        <f>IFERROR(__xludf.DUMMYFUNCTION("""COMPUTED_VALUE"""),"Protector esquina acero 100 cm lado x 100 cm altura tubo de")</f>
        <v>Protector esquina acero 100 cm lado x 100 cm altura tubo de</v>
      </c>
      <c r="C815" s="4">
        <f>IFERROR(__xludf.DUMMYFUNCTION("""COMPUTED_VALUE"""),211.67999999999998)</f>
        <v>211.68</v>
      </c>
    </row>
    <row r="816">
      <c r="A816" s="4" t="str">
        <f>IFERROR(__xludf.DUMMYFUNCTION("""COMPUTED_VALUE"""),"0702/01")</f>
        <v>0702/01</v>
      </c>
      <c r="B816" s="4" t="str">
        <f>IFERROR(__xludf.DUMMYFUNCTION("""COMPUTED_VALUE"""),"Barrera protectora 100 cm largo x 100 cm altura tubo de 50x2")</f>
        <v>Barrera protectora 100 cm largo x 100 cm altura tubo de 50x2</v>
      </c>
      <c r="C816" s="4">
        <f>IFERROR(__xludf.DUMMYFUNCTION("""COMPUTED_VALUE"""),120.96)</f>
        <v>120.96</v>
      </c>
    </row>
    <row r="817">
      <c r="A817" s="4" t="str">
        <f>IFERROR(__xludf.DUMMYFUNCTION("""COMPUTED_VALUE"""),"0702/02")</f>
        <v>0702/02</v>
      </c>
      <c r="B817" s="4" t="str">
        <f>IFERROR(__xludf.DUMMYFUNCTION("""COMPUTED_VALUE"""),"Barrera protectora 100 cm largo x 100 cm altura tubo de 50x3")</f>
        <v>Barrera protectora 100 cm largo x 100 cm altura tubo de 50x3</v>
      </c>
      <c r="C817" s="4">
        <f>IFERROR(__xludf.DUMMYFUNCTION("""COMPUTED_VALUE"""),132.048)</f>
        <v>132.048</v>
      </c>
    </row>
    <row r="818">
      <c r="A818" s="4" t="str">
        <f>IFERROR(__xludf.DUMMYFUNCTION("""COMPUTED_VALUE"""),"0702/03")</f>
        <v>0702/03</v>
      </c>
      <c r="B818" s="4" t="str">
        <f>IFERROR(__xludf.DUMMYFUNCTION("""COMPUTED_VALUE"""),"Barrera protectora 100 cm largo x 100 cm altura tubo de")</f>
        <v>Barrera protectora 100 cm largo x 100 cm altura tubo de</v>
      </c>
      <c r="C818" s="4">
        <f>IFERROR(__xludf.DUMMYFUNCTION("""COMPUTED_VALUE"""),136.07999999999998)</f>
        <v>136.08</v>
      </c>
    </row>
    <row r="819">
      <c r="A819" s="4" t="str">
        <f>IFERROR(__xludf.DUMMYFUNCTION("""COMPUTED_VALUE"""),"0702/04")</f>
        <v>0702/04</v>
      </c>
      <c r="B819" s="4" t="str">
        <f>IFERROR(__xludf.DUMMYFUNCTION("""COMPUTED_VALUE"""),"Barrera protectora 100 cm largo x 100 cm altura tubo de")</f>
        <v>Barrera protectora 100 cm largo x 100 cm altura tubo de</v>
      </c>
      <c r="C819" s="4">
        <f>IFERROR(__xludf.DUMMYFUNCTION("""COMPUTED_VALUE"""),163.79999999999998)</f>
        <v>163.8</v>
      </c>
    </row>
    <row r="820">
      <c r="A820" s="4" t="str">
        <f>IFERROR(__xludf.DUMMYFUNCTION("""COMPUTED_VALUE"""),"0702/05")</f>
        <v>0702/05</v>
      </c>
      <c r="B820" s="4" t="str">
        <f>IFERROR(__xludf.DUMMYFUNCTION("""COMPUTED_VALUE"""),"Barrera protectora 200 cm largo x 100 cm altura tubo de")</f>
        <v>Barrera protectora 200 cm largo x 100 cm altura tubo de</v>
      </c>
      <c r="C820" s="4">
        <f>IFERROR(__xludf.DUMMYFUNCTION("""COMPUTED_VALUE"""),166.32)</f>
        <v>166.32</v>
      </c>
    </row>
    <row r="821">
      <c r="A821" s="4" t="str">
        <f>IFERROR(__xludf.DUMMYFUNCTION("""COMPUTED_VALUE"""),"0702/06")</f>
        <v>0702/06</v>
      </c>
      <c r="B821" s="4" t="str">
        <f>IFERROR(__xludf.DUMMYFUNCTION("""COMPUTED_VALUE"""),"Barrera protectora 200 cm largo x 100 cm altura tubo 50x3mm")</f>
        <v>Barrera protectora 200 cm largo x 100 cm altura tubo 50x3mm</v>
      </c>
      <c r="C821" s="4">
        <f>IFERROR(__xludf.DUMMYFUNCTION("""COMPUTED_VALUE"""),214.2)</f>
        <v>214.2</v>
      </c>
    </row>
    <row r="822">
      <c r="A822" s="4" t="str">
        <f>IFERROR(__xludf.DUMMYFUNCTION("""COMPUTED_VALUE"""),"0702/07")</f>
        <v>0702/07</v>
      </c>
      <c r="B822" s="4" t="str">
        <f>IFERROR(__xludf.DUMMYFUNCTION("""COMPUTED_VALUE"""),"Barrera protectora 200 cm largo x 100 cm altura tubo de")</f>
        <v>Barrera protectora 200 cm largo x 100 cm altura tubo de</v>
      </c>
      <c r="C822" s="4">
        <f>IFERROR(__xludf.DUMMYFUNCTION("""COMPUTED_VALUE"""),168.84)</f>
        <v>168.84</v>
      </c>
    </row>
    <row r="823">
      <c r="A823" s="4" t="str">
        <f>IFERROR(__xludf.DUMMYFUNCTION("""COMPUTED_VALUE"""),"0702/08")</f>
        <v>0702/08</v>
      </c>
      <c r="B823" s="4" t="str">
        <f>IFERROR(__xludf.DUMMYFUNCTION("""COMPUTED_VALUE"""),"Barrera protectora 200 cm largo x 100 cm altura tubo de")</f>
        <v>Barrera protectora 200 cm largo x 100 cm altura tubo de</v>
      </c>
      <c r="C823" s="4">
        <f>IFERROR(__xludf.DUMMYFUNCTION("""COMPUTED_VALUE"""),226.79999999999998)</f>
        <v>226.8</v>
      </c>
    </row>
    <row r="824">
      <c r="A824" s="4" t="str">
        <f>IFERROR(__xludf.DUMMYFUNCTION("""COMPUTED_VALUE"""),"0703/01")</f>
        <v>0703/01</v>
      </c>
      <c r="B824" s="4" t="str">
        <f>IFERROR(__xludf.DUMMYFUNCTION("""COMPUTED_VALUE"""),"Barrera protectora reforzada 100 cm largo x 100 cm altura tubo")</f>
        <v>Barrera protectora reforzada 100 cm largo x 100 cm altura tubo</v>
      </c>
      <c r="C824" s="4">
        <f>IFERROR(__xludf.DUMMYFUNCTION("""COMPUTED_VALUE"""),176.4)</f>
        <v>176.4</v>
      </c>
    </row>
    <row r="825">
      <c r="A825" s="4" t="str">
        <f>IFERROR(__xludf.DUMMYFUNCTION("""COMPUTED_VALUE"""),"0703/02")</f>
        <v>0703/02</v>
      </c>
      <c r="B825" s="4" t="str">
        <f>IFERROR(__xludf.DUMMYFUNCTION("""COMPUTED_VALUE"""),"Barrera protectora reforzada 100 cm largo x 100 cm altura tubo")</f>
        <v>Barrera protectora reforzada 100 cm largo x 100 cm altura tubo</v>
      </c>
      <c r="C825" s="4">
        <f>IFERROR(__xludf.DUMMYFUNCTION("""COMPUTED_VALUE"""),141.12)</f>
        <v>141.12</v>
      </c>
    </row>
    <row r="826">
      <c r="A826" s="4" t="str">
        <f>IFERROR(__xludf.DUMMYFUNCTION("""COMPUTED_VALUE"""),"0703/03")</f>
        <v>0703/03</v>
      </c>
      <c r="B826" s="4" t="str">
        <f>IFERROR(__xludf.DUMMYFUNCTION("""COMPUTED_VALUE"""),"Barrera protectora reforzada 100 cm largo x 100 cm altura tubo")</f>
        <v>Barrera protectora reforzada 100 cm largo x 100 cm altura tubo</v>
      </c>
      <c r="C826" s="4">
        <f>IFERROR(__xludf.DUMMYFUNCTION("""COMPUTED_VALUE"""),131.04)</f>
        <v>131.04</v>
      </c>
    </row>
    <row r="827">
      <c r="A827" s="4" t="str">
        <f>IFERROR(__xludf.DUMMYFUNCTION("""COMPUTED_VALUE"""),"0703/04")</f>
        <v>0703/04</v>
      </c>
      <c r="B827" s="4" t="str">
        <f>IFERROR(__xludf.DUMMYFUNCTION("""COMPUTED_VALUE"""),"Barrera protectora reforzada 100 cm largo x 100 cm altura tubo")</f>
        <v>Barrera protectora reforzada 100 cm largo x 100 cm altura tubo</v>
      </c>
      <c r="C827" s="4">
        <f>IFERROR(__xludf.DUMMYFUNCTION("""COMPUTED_VALUE"""),176.4)</f>
        <v>176.4</v>
      </c>
    </row>
    <row r="828">
      <c r="A828" s="4" t="str">
        <f>IFERROR(__xludf.DUMMYFUNCTION("""COMPUTED_VALUE"""),"0703/05")</f>
        <v>0703/05</v>
      </c>
      <c r="B828" s="4" t="str">
        <f>IFERROR(__xludf.DUMMYFUNCTION("""COMPUTED_VALUE"""),"Barrera protectora reforzada 200 cm largo x 100 cm altura tubo")</f>
        <v>Barrera protectora reforzada 200 cm largo x 100 cm altura tubo</v>
      </c>
      <c r="C828" s="4">
        <f>IFERROR(__xludf.DUMMYFUNCTION("""COMPUTED_VALUE"""),189.0)</f>
        <v>189</v>
      </c>
    </row>
    <row r="829">
      <c r="A829" s="4" t="str">
        <f>IFERROR(__xludf.DUMMYFUNCTION("""COMPUTED_VALUE"""),"0703/06")</f>
        <v>0703/06</v>
      </c>
      <c r="B829" s="4" t="str">
        <f>IFERROR(__xludf.DUMMYFUNCTION("""COMPUTED_VALUE"""),"Barrera protectora reforzada 200 cm largo x 100 cm altura tubo")</f>
        <v>Barrera protectora reforzada 200 cm largo x 100 cm altura tubo</v>
      </c>
      <c r="C829" s="4">
        <f>IFERROR(__xludf.DUMMYFUNCTION("""COMPUTED_VALUE"""),214.2)</f>
        <v>214.2</v>
      </c>
    </row>
    <row r="830">
      <c r="A830" s="4" t="str">
        <f>IFERROR(__xludf.DUMMYFUNCTION("""COMPUTED_VALUE"""),"0703/07")</f>
        <v>0703/07</v>
      </c>
      <c r="B830" s="4" t="str">
        <f>IFERROR(__xludf.DUMMYFUNCTION("""COMPUTED_VALUE"""),"Barrera protectora reforzada 200 cm largo x 100 cm altura tubo")</f>
        <v>Barrera protectora reforzada 200 cm largo x 100 cm altura tubo</v>
      </c>
      <c r="C830" s="4">
        <f>IFERROR(__xludf.DUMMYFUNCTION("""COMPUTED_VALUE"""),189.0)</f>
        <v>189</v>
      </c>
    </row>
    <row r="831">
      <c r="A831" s="4" t="str">
        <f>IFERROR(__xludf.DUMMYFUNCTION("""COMPUTED_VALUE"""),"0703/08")</f>
        <v>0703/08</v>
      </c>
      <c r="B831" s="4" t="str">
        <f>IFERROR(__xludf.DUMMYFUNCTION("""COMPUTED_VALUE"""),"Barrera protectora reforzada 200 cm largo x 100 cm altiura tubo")</f>
        <v>Barrera protectora reforzada 200 cm largo x 100 cm altiura tubo</v>
      </c>
      <c r="C831" s="4">
        <f>IFERROR(__xludf.DUMMYFUNCTION("""COMPUTED_VALUE"""),236.88)</f>
        <v>236.88</v>
      </c>
    </row>
    <row r="832">
      <c r="A832" s="4" t="str">
        <f>IFERROR(__xludf.DUMMYFUNCTION("""COMPUTED_VALUE"""),"0704/01")</f>
        <v>0704/01</v>
      </c>
      <c r="B832" s="4" t="str">
        <f>IFERROR(__xludf.DUMMYFUNCTION("""COMPUTED_VALUE"""),"Bolardo acero N/A 100 cm altura tubo 60x2mm")</f>
        <v>Bolardo acero N/A 100 cm altura tubo 60x2mm</v>
      </c>
      <c r="C832" s="4">
        <f>IFERROR(__xludf.DUMMYFUNCTION("""COMPUTED_VALUE"""),60.48)</f>
        <v>60.48</v>
      </c>
    </row>
    <row r="833">
      <c r="A833" s="4" t="str">
        <f>IFERROR(__xludf.DUMMYFUNCTION("""COMPUTED_VALUE"""),"0704/02")</f>
        <v>0704/02</v>
      </c>
      <c r="B833" s="4" t="str">
        <f>IFERROR(__xludf.DUMMYFUNCTION("""COMPUTED_VALUE"""),"Bolardo acero N/A 100 cm altura tubo de 80x2mm")</f>
        <v>Bolardo acero N/A 100 cm altura tubo de 80x2mm</v>
      </c>
      <c r="C833" s="4">
        <f>IFERROR(__xludf.DUMMYFUNCTION("""COMPUTED_VALUE"""),75.6)</f>
        <v>75.6</v>
      </c>
    </row>
    <row r="834">
      <c r="A834" s="4" t="str">
        <f>IFERROR(__xludf.DUMMYFUNCTION("""COMPUTED_VALUE"""),"0705/01")</f>
        <v>0705/01</v>
      </c>
      <c r="B834" s="4" t="str">
        <f>IFERROR(__xludf.DUMMYFUNCTION("""COMPUTED_VALUE"""),"Zocalo proteccion 200 cm largo x 6,6 cm altura tubo de")</f>
        <v>Zocalo proteccion 200 cm largo x 6,6 cm altura tubo de</v>
      </c>
      <c r="C834" s="4">
        <f>IFERROR(__xludf.DUMMYFUNCTION("""COMPUTED_VALUE"""),95.75999999999999)</f>
        <v>95.76</v>
      </c>
    </row>
    <row r="835">
      <c r="A835" s="4" t="str">
        <f>IFERROR(__xludf.DUMMYFUNCTION("""COMPUTED_VALUE"""),"0705/02")</f>
        <v>0705/02</v>
      </c>
      <c r="B835" s="4" t="str">
        <f>IFERROR(__xludf.DUMMYFUNCTION("""COMPUTED_VALUE"""),"Zocalo proteccion 200 cm largo x 8,6 cm altura tubo de")</f>
        <v>Zocalo proteccion 200 cm largo x 8,6 cm altura tubo de</v>
      </c>
      <c r="C835" s="4">
        <f>IFERROR(__xludf.DUMMYFUNCTION("""COMPUTED_VALUE"""),113.39999999999999)</f>
        <v>113.4</v>
      </c>
    </row>
    <row r="836">
      <c r="A836" s="4" t="str">
        <f>IFERROR(__xludf.DUMMYFUNCTION("""COMPUTED_VALUE"""),"706")</f>
        <v>706</v>
      </c>
      <c r="B836" s="4" t="str">
        <f>IFERROR(__xludf.DUMMYFUNCTION("""COMPUTED_VALUE"""),"Placa Taller 50x50 cm personalizable")</f>
        <v>Placa Taller 50x50 cm personalizable</v>
      </c>
      <c r="C836" s="4">
        <f>IFERROR(__xludf.DUMMYFUNCTION("""COMPUTED_VALUE"""),10.799999999999999)</f>
        <v>10.8</v>
      </c>
    </row>
    <row r="837">
      <c r="A837" s="4" t="str">
        <f>IFERROR(__xludf.DUMMYFUNCTION("""COMPUTED_VALUE"""),"708")</f>
        <v>708</v>
      </c>
      <c r="B837" s="4" t="str">
        <f>IFERROR(__xludf.DUMMYFUNCTION("""COMPUTED_VALUE"""),"Conjunto prohibido aparcar + trípode con plesilla")</f>
        <v>Conjunto prohibido aparcar + trípode con plesilla</v>
      </c>
      <c r="C837" s="4">
        <f>IFERROR(__xludf.DUMMYFUNCTION("""COMPUTED_VALUE"""),29.759999999999998)</f>
        <v>29.76</v>
      </c>
    </row>
    <row r="838">
      <c r="A838" s="4" t="str">
        <f>IFERROR(__xludf.DUMMYFUNCTION("""COMPUTED_VALUE"""),"710")</f>
        <v>710</v>
      </c>
      <c r="B838" s="4" t="str">
        <f>IFERROR(__xludf.DUMMYFUNCTION("""COMPUTED_VALUE"""),"Placa mercancias peligrosas fija 40x30 troquelada")</f>
        <v>Placa mercancias peligrosas fija 40x30 troquelada</v>
      </c>
      <c r="C838" s="4">
        <f>IFERROR(__xludf.DUMMYFUNCTION("""COMPUTED_VALUE"""),31.583999999999996)</f>
        <v>31.584</v>
      </c>
    </row>
    <row r="839">
      <c r="A839" s="4" t="str">
        <f>IFERROR(__xludf.DUMMYFUNCTION("""COMPUTED_VALUE"""),"0710T")</f>
        <v>0710T</v>
      </c>
      <c r="B839" s="4" t="str">
        <f>IFERROR(__xludf.DUMMYFUNCTION("""COMPUTED_VALUE"""),"Placa mercancia peligrosa plegable sin troquelar 40x30")</f>
        <v>Placa mercancia peligrosa plegable sin troquelar 40x30</v>
      </c>
      <c r="C839" s="4">
        <f>IFERROR(__xludf.DUMMYFUNCTION("""COMPUTED_VALUE"""),21.216)</f>
        <v>21.216</v>
      </c>
    </row>
    <row r="840">
      <c r="A840" s="4" t="str">
        <f>IFERROR(__xludf.DUMMYFUNCTION("""COMPUTED_VALUE"""),"711")</f>
        <v>711</v>
      </c>
      <c r="B840" s="4" t="str">
        <f>IFERROR(__xludf.DUMMYFUNCTION("""COMPUTED_VALUE"""),"Disco nacional 20 cm diám Limitacion Velocidad alumin, Reflex")</f>
        <v>Disco nacional 20 cm diám Limitacion Velocidad alumin, Reflex</v>
      </c>
      <c r="C840" s="4">
        <f>IFERROR(__xludf.DUMMYFUNCTION("""COMPUTED_VALUE"""),7.68)</f>
        <v>7.68</v>
      </c>
    </row>
    <row r="841">
      <c r="A841" s="4" t="str">
        <f>IFERROR(__xludf.DUMMYFUNCTION("""COMPUTED_VALUE"""),"0711/20")</f>
        <v>0711/20</v>
      </c>
      <c r="B841" s="4" t="str">
        <f>IFERROR(__xludf.DUMMYFUNCTION("""COMPUTED_VALUE"""),"Disco alum. diam.20cm Lim Velocidad 20 Reflex 2")</f>
        <v>Disco alum. diam.20cm Lim Velocidad 20 Reflex 2</v>
      </c>
      <c r="C841" s="4">
        <f>IFERROR(__xludf.DUMMYFUNCTION("""COMPUTED_VALUE"""),7.56)</f>
        <v>7.56</v>
      </c>
    </row>
    <row r="842">
      <c r="A842" s="4" t="str">
        <f>IFERROR(__xludf.DUMMYFUNCTION("""COMPUTED_VALUE"""),"0711/25")</f>
        <v>0711/25</v>
      </c>
      <c r="B842" s="4" t="str">
        <f>IFERROR(__xludf.DUMMYFUNCTION("""COMPUTED_VALUE"""),"Disco alum. diam.20cm Lim Velocidad 25 Reflex 2")</f>
        <v>Disco alum. diam.20cm Lim Velocidad 25 Reflex 2</v>
      </c>
      <c r="C842" s="4">
        <f>IFERROR(__xludf.DUMMYFUNCTION("""COMPUTED_VALUE"""),7.56)</f>
        <v>7.56</v>
      </c>
    </row>
    <row r="843">
      <c r="A843" s="4" t="str">
        <f>IFERROR(__xludf.DUMMYFUNCTION("""COMPUTED_VALUE"""),"0711/30")</f>
        <v>0711/30</v>
      </c>
      <c r="B843" s="4" t="str">
        <f>IFERROR(__xludf.DUMMYFUNCTION("""COMPUTED_VALUE"""),"Disco alum. diam.20cm Lim Velocidad 30 Reflex 2")</f>
        <v>Disco alum. diam.20cm Lim Velocidad 30 Reflex 2</v>
      </c>
      <c r="C843" s="4">
        <f>IFERROR(__xludf.DUMMYFUNCTION("""COMPUTED_VALUE"""),7.56)</f>
        <v>7.56</v>
      </c>
    </row>
    <row r="844">
      <c r="A844" s="4" t="str">
        <f>IFERROR(__xludf.DUMMYFUNCTION("""COMPUTED_VALUE"""),"0711/35")</f>
        <v>0711/35</v>
      </c>
      <c r="B844" s="4" t="str">
        <f>IFERROR(__xludf.DUMMYFUNCTION("""COMPUTED_VALUE"""),"Disco alum. diam.20cm Lim Velocidad 35 Reflex 2")</f>
        <v>Disco alum. diam.20cm Lim Velocidad 35 Reflex 2</v>
      </c>
      <c r="C844" s="4">
        <f>IFERROR(__xludf.DUMMYFUNCTION("""COMPUTED_VALUE"""),7.56)</f>
        <v>7.56</v>
      </c>
    </row>
    <row r="845">
      <c r="A845" s="4" t="str">
        <f>IFERROR(__xludf.DUMMYFUNCTION("""COMPUTED_VALUE"""),"0711/40")</f>
        <v>0711/40</v>
      </c>
      <c r="B845" s="4" t="str">
        <f>IFERROR(__xludf.DUMMYFUNCTION("""COMPUTED_VALUE"""),"Disco alum. diam.20cm Lim Velocidad 40 Reflex 2")</f>
        <v>Disco alum. diam.20cm Lim Velocidad 40 Reflex 2</v>
      </c>
      <c r="C845" s="4">
        <f>IFERROR(__xludf.DUMMYFUNCTION("""COMPUTED_VALUE"""),7.56)</f>
        <v>7.56</v>
      </c>
    </row>
    <row r="846">
      <c r="A846" s="4" t="str">
        <f>IFERROR(__xludf.DUMMYFUNCTION("""COMPUTED_VALUE"""),"0711/45")</f>
        <v>0711/45</v>
      </c>
      <c r="B846" s="4" t="str">
        <f>IFERROR(__xludf.DUMMYFUNCTION("""COMPUTED_VALUE"""),"Disco alum. diam.20cm Lim Velocidad 45 Reflex 2")</f>
        <v>Disco alum. diam.20cm Lim Velocidad 45 Reflex 2</v>
      </c>
      <c r="C846" s="4">
        <f>IFERROR(__xludf.DUMMYFUNCTION("""COMPUTED_VALUE"""),7.56)</f>
        <v>7.56</v>
      </c>
    </row>
    <row r="847">
      <c r="A847" s="4" t="str">
        <f>IFERROR(__xludf.DUMMYFUNCTION("""COMPUTED_VALUE"""),"712")</f>
        <v>712</v>
      </c>
      <c r="B847" s="4" t="str">
        <f>IFERROR(__xludf.DUMMYFUNCTION("""COMPUTED_VALUE"""),"Placa Servicio Público 75x150 mm aluminiro Reflex 2")</f>
        <v>Placa Servicio Público 75x150 mm aluminiro Reflex 2</v>
      </c>
      <c r="C847" s="4">
        <f>IFERROR(__xludf.DUMMYFUNCTION("""COMPUTED_VALUE"""),4.08)</f>
        <v>4.08</v>
      </c>
    </row>
    <row r="848">
      <c r="A848" s="4" t="str">
        <f>IFERROR(__xludf.DUMMYFUNCTION("""COMPUTED_VALUE"""),"713")</f>
        <v>713</v>
      </c>
      <c r="B848" s="4" t="str">
        <f>IFERROR(__xludf.DUMMYFUNCTION("""COMPUTED_VALUE"""),"Placa Servicio Público 120x225 mm aluminio Reflex N2")</f>
        <v>Placa Servicio Público 120x225 mm aluminio Reflex N2</v>
      </c>
      <c r="C848" s="4">
        <f>IFERROR(__xludf.DUMMYFUNCTION("""COMPUTED_VALUE"""),6.4799999999999995)</f>
        <v>6.48</v>
      </c>
    </row>
    <row r="849">
      <c r="A849" s="4" t="str">
        <f>IFERROR(__xludf.DUMMYFUNCTION("""COMPUTED_VALUE"""),"714")</f>
        <v>714</v>
      </c>
      <c r="B849" s="4" t="str">
        <f>IFERROR(__xludf.DUMMYFUNCTION("""COMPUTED_VALUE"""),"Señal Transporte Animales Vivos aluminio 30x22 cm")</f>
        <v>Señal Transporte Animales Vivos aluminio 30x22 cm</v>
      </c>
      <c r="C849" s="4">
        <f>IFERROR(__xludf.DUMMYFUNCTION("""COMPUTED_VALUE"""),7.4399999999999995)</f>
        <v>7.44</v>
      </c>
    </row>
    <row r="850">
      <c r="A850" s="4" t="str">
        <f>IFERROR(__xludf.DUMMYFUNCTION("""COMPUTED_VALUE"""),"715")</f>
        <v>715</v>
      </c>
      <c r="B850" s="4" t="str">
        <f>IFERROR(__xludf.DUMMYFUNCTION("""COMPUTED_VALUE"""),"Señal adhesiva de TARA P.M.A. 130x330 mm")</f>
        <v>Señal adhesiva de TARA P.M.A. 130x330 mm</v>
      </c>
      <c r="C850" s="4">
        <f>IFERROR(__xludf.DUMMYFUNCTION("""COMPUTED_VALUE"""),1.92)</f>
        <v>1.92</v>
      </c>
    </row>
    <row r="851">
      <c r="A851" s="4" t="str">
        <f>IFERROR(__xludf.DUMMYFUNCTION("""COMPUTED_VALUE"""),"716")</f>
        <v>716</v>
      </c>
      <c r="B851" s="4" t="str">
        <f>IFERROR(__xludf.DUMMYFUNCTION("""COMPUTED_VALUE"""),"Placa Vehículo Lento 365 mm de lado aluminio Reflex N2")</f>
        <v>Placa Vehículo Lento 365 mm de lado aluminio Reflex N2</v>
      </c>
      <c r="C851" s="4">
        <f>IFERROR(__xludf.DUMMYFUNCTION("""COMPUTED_VALUE"""),20.16)</f>
        <v>20.16</v>
      </c>
    </row>
    <row r="852">
      <c r="A852" s="4" t="str">
        <f>IFERROR(__xludf.DUMMYFUNCTION("""COMPUTED_VALUE"""),"717")</f>
        <v>717</v>
      </c>
      <c r="B852" s="4" t="str">
        <f>IFERROR(__xludf.DUMMYFUNCTION("""COMPUTED_VALUE"""),"Placa R-70 corta 565x200mm vehic. largo (juego2 pzas)")</f>
        <v>Placa R-70 corta 565x200mm vehic. largo (juego2 pzas)</v>
      </c>
      <c r="C852" s="4">
        <f>IFERROR(__xludf.DUMMYFUNCTION("""COMPUTED_VALUE"""),32.64)</f>
        <v>32.64</v>
      </c>
    </row>
    <row r="853">
      <c r="A853" s="4" t="str">
        <f>IFERROR(__xludf.DUMMYFUNCTION("""COMPUTED_VALUE"""),"0717/L")</f>
        <v>0717/L</v>
      </c>
      <c r="B853" s="4" t="str">
        <f>IFERROR(__xludf.DUMMYFUNCTION("""COMPUTED_VALUE"""),"Placa 1130x200mm vehículo Largo Reflex N2 Homol. Europea")</f>
        <v>Placa 1130x200mm vehículo Largo Reflex N2 Homol. Europea</v>
      </c>
      <c r="C853" s="4">
        <f>IFERROR(__xludf.DUMMYFUNCTION("""COMPUTED_VALUE"""),26.88)</f>
        <v>26.88</v>
      </c>
    </row>
    <row r="854">
      <c r="A854" s="4" t="str">
        <f>IFERROR(__xludf.DUMMYFUNCTION("""COMPUTED_VALUE"""),"719")</f>
        <v>719</v>
      </c>
      <c r="B854" s="4" t="str">
        <f>IFERROR(__xludf.DUMMYFUNCTION("""COMPUTED_VALUE"""),"Placa 1ª categ COTO PRIVADO DE CAZA + matric. Troquel.")</f>
        <v>Placa 1ª categ COTO PRIVADO DE CAZA + matric. Troquel.</v>
      </c>
      <c r="C854" s="4">
        <f>IFERROR(__xludf.DUMMYFUNCTION("""COMPUTED_VALUE"""),10.559999999999999)</f>
        <v>10.56</v>
      </c>
    </row>
    <row r="855">
      <c r="A855" s="4" t="str">
        <f>IFERROR(__xludf.DUMMYFUNCTION("""COMPUTED_VALUE"""),"720")</f>
        <v>720</v>
      </c>
      <c r="B855" s="4" t="str">
        <f>IFERROR(__xludf.DUMMYFUNCTION("""COMPUTED_VALUE"""),"Placa 2ª categ. COTO DE CAZA 30X20 cm")</f>
        <v>Placa 2ª categ. COTO DE CAZA 30X20 cm</v>
      </c>
      <c r="C855" s="4">
        <f>IFERROR(__xludf.DUMMYFUNCTION("""COMPUTED_VALUE"""),5.76)</f>
        <v>5.76</v>
      </c>
    </row>
    <row r="856">
      <c r="A856" s="4" t="str">
        <f>IFERROR(__xludf.DUMMYFUNCTION("""COMPUTED_VALUE"""),"721")</f>
        <v>721</v>
      </c>
      <c r="B856" s="4" t="str">
        <f>IFERROR(__xludf.DUMMYFUNCTION("""COMPUTED_VALUE"""),"Placa Nº puerta aluminio 19x14cm azul")</f>
        <v>Placa Nº puerta aluminio 19x14cm azul</v>
      </c>
      <c r="C856" s="4">
        <f>IFERROR(__xludf.DUMMYFUNCTION("""COMPUTED_VALUE"""),3.84)</f>
        <v>3.84</v>
      </c>
    </row>
    <row r="857">
      <c r="A857" s="4" t="str">
        <f>IFERROR(__xludf.DUMMYFUNCTION("""COMPUTED_VALUE"""),"722")</f>
        <v>722</v>
      </c>
      <c r="B857" s="4" t="str">
        <f>IFERROR(__xludf.DUMMYFUNCTION("""COMPUTED_VALUE"""),"Placa V-10 transporte escolar 20x20 Reflex 2 Homologada")</f>
        <v>Placa V-10 transporte escolar 20x20 Reflex 2 Homologada</v>
      </c>
      <c r="C857" s="4">
        <f>IFERROR(__xludf.DUMMYFUNCTION("""COMPUTED_VALUE"""),10.176)</f>
        <v>10.176</v>
      </c>
    </row>
    <row r="858">
      <c r="A858" s="4" t="str">
        <f>IFERROR(__xludf.DUMMYFUNCTION("""COMPUTED_VALUE"""),"726")</f>
        <v>726</v>
      </c>
      <c r="B858" s="4" t="str">
        <f>IFERROR(__xludf.DUMMYFUNCTION("""COMPUTED_VALUE"""),"Bocina neumática a mano")</f>
        <v>Bocina neumática a mano</v>
      </c>
      <c r="C858" s="4">
        <f>IFERROR(__xludf.DUMMYFUNCTION("""COMPUTED_VALUE"""),20.16)</f>
        <v>20.16</v>
      </c>
    </row>
    <row r="859">
      <c r="A859" s="4" t="str">
        <f>IFERROR(__xludf.DUMMYFUNCTION("""COMPUTED_VALUE"""),"727")</f>
        <v>727</v>
      </c>
      <c r="B859" s="4" t="str">
        <f>IFERROR(__xludf.DUMMYFUNCTION("""COMPUTED_VALUE"""),"Pinzas más cable para batería 400 Ah")</f>
        <v>Pinzas más cable para batería 400 Ah</v>
      </c>
      <c r="C859" s="4">
        <f>IFERROR(__xludf.DUMMYFUNCTION("""COMPUTED_VALUE"""),16.32)</f>
        <v>16.32</v>
      </c>
    </row>
    <row r="860">
      <c r="A860" s="4" t="str">
        <f>IFERROR(__xludf.DUMMYFUNCTION("""COMPUTED_VALUE"""),"728")</f>
        <v>728</v>
      </c>
      <c r="B860" s="4" t="str">
        <f>IFERROR(__xludf.DUMMYFUNCTION("""COMPUTED_VALUE"""),"Reductor tensión 24 a 12 v")</f>
        <v>Reductor tensión 24 a 12 v</v>
      </c>
      <c r="C860" s="4">
        <f>IFERROR(__xludf.DUMMYFUNCTION("""COMPUTED_VALUE"""),135.6)</f>
        <v>135.6</v>
      </c>
    </row>
    <row r="861">
      <c r="A861" s="4" t="str">
        <f>IFERROR(__xludf.DUMMYFUNCTION("""COMPUTED_VALUE"""),"730")</f>
        <v>730</v>
      </c>
      <c r="B861" s="4" t="str">
        <f>IFERROR(__xludf.DUMMYFUNCTION("""COMPUTED_VALUE"""),"Pinza negra - 80 Ah")</f>
        <v>Pinza negra - 80 Ah</v>
      </c>
      <c r="C861" s="4">
        <f>IFERROR(__xludf.DUMMYFUNCTION("""COMPUTED_VALUE"""),1.8239999999999998)</f>
        <v>1.824</v>
      </c>
    </row>
    <row r="862">
      <c r="A862" s="4" t="str">
        <f>IFERROR(__xludf.DUMMYFUNCTION("""COMPUTED_VALUE"""),"731")</f>
        <v>731</v>
      </c>
      <c r="B862" s="4" t="str">
        <f>IFERROR(__xludf.DUMMYFUNCTION("""COMPUTED_VALUE"""),"Pinza Roja + 80 Ah")</f>
        <v>Pinza Roja + 80 Ah</v>
      </c>
      <c r="C862" s="4">
        <f>IFERROR(__xludf.DUMMYFUNCTION("""COMPUTED_VALUE"""),1.8239999999999998)</f>
        <v>1.824</v>
      </c>
    </row>
    <row r="863">
      <c r="A863" s="4" t="str">
        <f>IFERROR(__xludf.DUMMYFUNCTION("""COMPUTED_VALUE"""),"732")</f>
        <v>732</v>
      </c>
      <c r="B863" s="4" t="str">
        <f>IFERROR(__xludf.DUMMYFUNCTION("""COMPUTED_VALUE"""),"Pinza Negra - 500 Ah")</f>
        <v>Pinza Negra - 500 Ah</v>
      </c>
      <c r="C863" s="4">
        <f>IFERROR(__xludf.DUMMYFUNCTION("""COMPUTED_VALUE"""),13.92)</f>
        <v>13.92</v>
      </c>
    </row>
    <row r="864">
      <c r="A864" s="4" t="str">
        <f>IFERROR(__xludf.DUMMYFUNCTION("""COMPUTED_VALUE"""),"733")</f>
        <v>733</v>
      </c>
      <c r="B864" s="4" t="str">
        <f>IFERROR(__xludf.DUMMYFUNCTION("""COMPUTED_VALUE"""),"Pinza Roja + 500 Ah")</f>
        <v>Pinza Roja + 500 Ah</v>
      </c>
      <c r="C864" s="4">
        <f>IFERROR(__xludf.DUMMYFUNCTION("""COMPUTED_VALUE"""),13.92)</f>
        <v>13.92</v>
      </c>
    </row>
    <row r="865">
      <c r="A865" s="4" t="str">
        <f>IFERROR(__xludf.DUMMYFUNCTION("""COMPUTED_VALUE"""),"750")</f>
        <v>750</v>
      </c>
      <c r="B865" s="4" t="str">
        <f>IFERROR(__xludf.DUMMYFUNCTION("""COMPUTED_VALUE"""),"Señal plástica 60 cm reflectante triangular para conos")</f>
        <v>Señal plástica 60 cm reflectante triangular para conos</v>
      </c>
      <c r="C865" s="4">
        <f>IFERROR(__xludf.DUMMYFUNCTION("""COMPUTED_VALUE"""),14.351999999999999)</f>
        <v>14.352</v>
      </c>
    </row>
    <row r="866">
      <c r="A866" s="4" t="str">
        <f>IFERROR(__xludf.DUMMYFUNCTION("""COMPUTED_VALUE"""),"751")</f>
        <v>751</v>
      </c>
      <c r="B866" s="4" t="str">
        <f>IFERROR(__xludf.DUMMYFUNCTION("""COMPUTED_VALUE"""),"Señal plástica 60x30 cm reflectante rectangular para conos")</f>
        <v>Señal plástica 60x30 cm reflectante rectangular para conos</v>
      </c>
      <c r="C866" s="4">
        <f>IFERROR(__xludf.DUMMYFUNCTION("""COMPUTED_VALUE"""),14.351999999999999)</f>
        <v>14.352</v>
      </c>
    </row>
    <row r="867">
      <c r="A867" s="4" t="str">
        <f>IFERROR(__xludf.DUMMYFUNCTION("""COMPUTED_VALUE"""),"752")</f>
        <v>752</v>
      </c>
      <c r="B867" s="4" t="str">
        <f>IFERROR(__xludf.DUMMYFUNCTION("""COMPUTED_VALUE"""),"Señal plástica 60 cm reflectante circular para conos")</f>
        <v>Señal plástica 60 cm reflectante circular para conos</v>
      </c>
      <c r="C867" s="4">
        <f>IFERROR(__xludf.DUMMYFUNCTION("""COMPUTED_VALUE"""),14.351999999999999)</f>
        <v>14.352</v>
      </c>
    </row>
    <row r="868">
      <c r="A868" s="4" t="str">
        <f>IFERROR(__xludf.DUMMYFUNCTION("""COMPUTED_VALUE"""),"753")</f>
        <v>753</v>
      </c>
      <c r="B868" s="4" t="str">
        <f>IFERROR(__xludf.DUMMYFUNCTION("""COMPUTED_VALUE"""),"Señal personalizada con soporte pared 40x30 cm")</f>
        <v>Señal personalizada con soporte pared 40x30 cm</v>
      </c>
      <c r="C868" s="4">
        <f>IFERROR(__xludf.DUMMYFUNCTION("""COMPUTED_VALUE"""),18.24)</f>
        <v>18.24</v>
      </c>
    </row>
    <row r="869">
      <c r="A869" s="4" t="str">
        <f>IFERROR(__xludf.DUMMYFUNCTION("""COMPUTED_VALUE"""),"754")</f>
        <v>754</v>
      </c>
      <c r="B869" s="4" t="str">
        <f>IFERROR(__xludf.DUMMYFUNCTION("""COMPUTED_VALUE"""),"Señal personalizada c/soporte suelo 40x60 cm 3 caras")</f>
        <v>Señal personalizada c/soporte suelo 40x60 cm 3 caras</v>
      </c>
      <c r="C869" s="4">
        <f>IFERROR(__xludf.DUMMYFUNCTION("""COMPUTED_VALUE"""),92.16)</f>
        <v>92.16</v>
      </c>
    </row>
    <row r="870">
      <c r="A870" s="4" t="str">
        <f>IFERROR(__xludf.DUMMYFUNCTION("""COMPUTED_VALUE"""),"765")</f>
        <v>765</v>
      </c>
      <c r="B870" s="4" t="str">
        <f>IFERROR(__xludf.DUMMYFUNCTION("""COMPUTED_VALUE"""),"Aparca Patinetes galvanizado 10p 1 cara")</f>
        <v>Aparca Patinetes galvanizado 10p 1 cara</v>
      </c>
      <c r="C870" s="4">
        <f>IFERROR(__xludf.DUMMYFUNCTION("""COMPUTED_VALUE"""),132.096)</f>
        <v>132.096</v>
      </c>
    </row>
    <row r="871">
      <c r="A871" s="4" t="str">
        <f>IFERROR(__xludf.DUMMYFUNCTION("""COMPUTED_VALUE"""),"766")</f>
        <v>766</v>
      </c>
      <c r="B871" s="4" t="str">
        <f>IFERROR(__xludf.DUMMYFUNCTION("""COMPUTED_VALUE"""),"Aparca Patinetes galvanizado 20p 2 caras")</f>
        <v>Aparca Patinetes galvanizado 20p 2 caras</v>
      </c>
      <c r="C871" s="4">
        <f>IFERROR(__xludf.DUMMYFUNCTION("""COMPUTED_VALUE"""),201.84)</f>
        <v>201.84</v>
      </c>
    </row>
    <row r="872">
      <c r="A872" s="4" t="str">
        <f>IFERROR(__xludf.DUMMYFUNCTION("""COMPUTED_VALUE"""),"768")</f>
        <v>768</v>
      </c>
      <c r="B872" s="4" t="str">
        <f>IFERROR(__xludf.DUMMYFUNCTION("""COMPUTED_VALUE"""),"Aparca Bicis atornillable pared 1p")</f>
        <v>Aparca Bicis atornillable pared 1p</v>
      </c>
      <c r="C872" s="4">
        <f>IFERROR(__xludf.DUMMYFUNCTION("""COMPUTED_VALUE"""),24.96)</f>
        <v>24.96</v>
      </c>
    </row>
    <row r="873">
      <c r="A873" s="4" t="str">
        <f>IFERROR(__xludf.DUMMYFUNCTION("""COMPUTED_VALUE"""),"769")</f>
        <v>769</v>
      </c>
      <c r="B873" s="4" t="str">
        <f>IFERROR(__xludf.DUMMYFUNCTION("""COMPUTED_VALUE"""),"Aparca Bicis atornillable pared 2p")</f>
        <v>Aparca Bicis atornillable pared 2p</v>
      </c>
      <c r="C873" s="4">
        <f>IFERROR(__xludf.DUMMYFUNCTION("""COMPUTED_VALUE"""),42.239999999999995)</f>
        <v>42.24</v>
      </c>
    </row>
    <row r="874">
      <c r="A874" s="4" t="str">
        <f>IFERROR(__xludf.DUMMYFUNCTION("""COMPUTED_VALUE"""),"770")</f>
        <v>770</v>
      </c>
      <c r="B874" s="4" t="str">
        <f>IFERROR(__xludf.DUMMYFUNCTION("""COMPUTED_VALUE"""),"Aparca Bicis atornillable pared 5p")</f>
        <v>Aparca Bicis atornillable pared 5p</v>
      </c>
      <c r="C874" s="4">
        <f>IFERROR(__xludf.DUMMYFUNCTION("""COMPUTED_VALUE"""),88.32)</f>
        <v>88.32</v>
      </c>
    </row>
    <row r="875">
      <c r="A875" s="4" t="str">
        <f>IFERROR(__xludf.DUMMYFUNCTION("""COMPUTED_VALUE"""),"771")</f>
        <v>771</v>
      </c>
      <c r="B875" s="4" t="str">
        <f>IFERROR(__xludf.DUMMYFUNCTION("""COMPUTED_VALUE"""),"Pie soporte atornillable 80x40 mm")</f>
        <v>Pie soporte atornillable 80x40 mm</v>
      </c>
      <c r="C875" s="4">
        <f>IFERROR(__xludf.DUMMYFUNCTION("""COMPUTED_VALUE"""),27.84)</f>
        <v>27.84</v>
      </c>
    </row>
    <row r="876">
      <c r="A876" s="4" t="str">
        <f>IFERROR(__xludf.DUMMYFUNCTION("""COMPUTED_VALUE"""),"772")</f>
        <v>772</v>
      </c>
      <c r="B876" s="4" t="str">
        <f>IFERROR(__xludf.DUMMYFUNCTION("""COMPUTED_VALUE"""),"Pie soporte atornillable cuadrado 40 mm")</f>
        <v>Pie soporte atornillable cuadrado 40 mm</v>
      </c>
      <c r="C876" s="4">
        <f>IFERROR(__xludf.DUMMYFUNCTION("""COMPUTED_VALUE"""),27.84)</f>
        <v>27.84</v>
      </c>
    </row>
    <row r="877">
      <c r="A877" s="4" t="str">
        <f>IFERROR(__xludf.DUMMYFUNCTION("""COMPUTED_VALUE"""),"773")</f>
        <v>773</v>
      </c>
      <c r="B877" s="4" t="str">
        <f>IFERROR(__xludf.DUMMYFUNCTION("""COMPUTED_VALUE"""),"Pie soporte atornillable 50 mm circular")</f>
        <v>Pie soporte atornillable 50 mm circular</v>
      </c>
      <c r="C877" s="4">
        <f>IFERROR(__xludf.DUMMYFUNCTION("""COMPUTED_VALUE"""),27.84)</f>
        <v>27.84</v>
      </c>
    </row>
    <row r="878">
      <c r="A878" s="4" t="str">
        <f>IFERROR(__xludf.DUMMYFUNCTION("""COMPUTED_VALUE"""),"774")</f>
        <v>774</v>
      </c>
      <c r="B878" s="4" t="str">
        <f>IFERROR(__xludf.DUMMYFUNCTION("""COMPUTED_VALUE"""),"Pie soporte atornillable 60 mm circular")</f>
        <v>Pie soporte atornillable 60 mm circular</v>
      </c>
      <c r="C878" s="4">
        <f>IFERROR(__xludf.DUMMYFUNCTION("""COMPUTED_VALUE"""),28.799999999999997)</f>
        <v>28.8</v>
      </c>
    </row>
    <row r="879">
      <c r="A879" s="4" t="str">
        <f>IFERROR(__xludf.DUMMYFUNCTION("""COMPUTED_VALUE"""),"775")</f>
        <v>775</v>
      </c>
      <c r="B879" s="4" t="str">
        <f>IFERROR(__xludf.DUMMYFUNCTION("""COMPUTED_VALUE"""),"Pie soporte atornillable 70 mm circular")</f>
        <v>Pie soporte atornillable 70 mm circular</v>
      </c>
      <c r="C879" s="4">
        <f>IFERROR(__xludf.DUMMYFUNCTION("""COMPUTED_VALUE"""),29.759999999999998)</f>
        <v>29.76</v>
      </c>
    </row>
    <row r="880">
      <c r="A880" s="4" t="str">
        <f>IFERROR(__xludf.DUMMYFUNCTION("""COMPUTED_VALUE"""),"776")</f>
        <v>776</v>
      </c>
      <c r="B880" s="4" t="str">
        <f>IFERROR(__xludf.DUMMYFUNCTION("""COMPUTED_VALUE"""),"Poste 40x40x1.5 mm galva 1.5 m")</f>
        <v>Poste 40x40x1.5 mm galva 1.5 m</v>
      </c>
      <c r="C880" s="4">
        <f>IFERROR(__xludf.DUMMYFUNCTION("""COMPUTED_VALUE"""),10.559999999999999)</f>
        <v>10.56</v>
      </c>
    </row>
    <row r="881">
      <c r="A881" s="4" t="str">
        <f>IFERROR(__xludf.DUMMYFUNCTION("""COMPUTED_VALUE"""),"777")</f>
        <v>777</v>
      </c>
      <c r="B881" s="4" t="str">
        <f>IFERROR(__xludf.DUMMYFUNCTION("""COMPUTED_VALUE"""),"Cruceta para poste 40x40 mm")</f>
        <v>Cruceta para poste 40x40 mm</v>
      </c>
      <c r="C881" s="4">
        <f>IFERROR(__xludf.DUMMYFUNCTION("""COMPUTED_VALUE"""),10.368)</f>
        <v>10.368</v>
      </c>
    </row>
    <row r="882">
      <c r="A882" s="4" t="str">
        <f>IFERROR(__xludf.DUMMYFUNCTION("""COMPUTED_VALUE"""),"778")</f>
        <v>778</v>
      </c>
      <c r="B882" s="4" t="str">
        <f>IFERROR(__xludf.DUMMYFUNCTION("""COMPUTED_VALUE"""),"Aparca Patinetes gavanizado 10p 2 caras")</f>
        <v>Aparca Patinetes gavanizado 10p 2 caras</v>
      </c>
      <c r="C882" s="4">
        <f>IFERROR(__xludf.DUMMYFUNCTION("""COMPUTED_VALUE"""),184.79999999999998)</f>
        <v>184.8</v>
      </c>
    </row>
    <row r="883">
      <c r="A883" s="4" t="str">
        <f>IFERROR(__xludf.DUMMYFUNCTION("""COMPUTED_VALUE"""),"779")</f>
        <v>779</v>
      </c>
      <c r="B883" s="4" t="str">
        <f>IFERROR(__xludf.DUMMYFUNCTION("""COMPUTED_VALUE"""),"Aparca Patinetes galvanizado 5p 1 cara")</f>
        <v>Aparca Patinetes galvanizado 5p 1 cara</v>
      </c>
      <c r="C883" s="4">
        <f>IFERROR(__xludf.DUMMYFUNCTION("""COMPUTED_VALUE"""),121.344)</f>
        <v>121.344</v>
      </c>
    </row>
    <row r="884">
      <c r="A884" s="4" t="str">
        <f>IFERROR(__xludf.DUMMYFUNCTION("""COMPUTED_VALUE"""),"780")</f>
        <v>780</v>
      </c>
      <c r="B884" s="4" t="str">
        <f>IFERROR(__xludf.DUMMYFUNCTION("""COMPUTED_VALUE"""),"Tope estantería metálica mod. A")</f>
        <v>Tope estantería metálica mod. A</v>
      </c>
      <c r="C884" s="4">
        <f>IFERROR(__xludf.DUMMYFUNCTION("""COMPUTED_VALUE"""),17.28)</f>
        <v>17.28</v>
      </c>
    </row>
    <row r="885">
      <c r="A885" s="4" t="str">
        <f>IFERROR(__xludf.DUMMYFUNCTION("""COMPUTED_VALUE"""),"781")</f>
        <v>781</v>
      </c>
      <c r="B885" s="4" t="str">
        <f>IFERROR(__xludf.DUMMYFUNCTION("""COMPUTED_VALUE"""),"Tope estantería metálica mod. B")</f>
        <v>Tope estantería metálica mod. B</v>
      </c>
      <c r="C885" s="4">
        <f>IFERROR(__xludf.DUMMYFUNCTION("""COMPUTED_VALUE"""),21.599999999999998)</f>
        <v>21.6</v>
      </c>
    </row>
    <row r="886">
      <c r="A886" s="4" t="str">
        <f>IFERROR(__xludf.DUMMYFUNCTION("""COMPUTED_VALUE"""),"782")</f>
        <v>782</v>
      </c>
      <c r="B886" s="4" t="str">
        <f>IFERROR(__xludf.DUMMYFUNCTION("""COMPUTED_VALUE"""),"Film manual transparente Rec. Eco 500/1,35/23MY (600-150)")</f>
        <v>Film manual transparente Rec. Eco 500/1,35/23MY (600-150)</v>
      </c>
      <c r="C886" s="4">
        <f>IFERROR(__xludf.DUMMYFUNCTION("""COMPUTED_VALUE"""),3.264)</f>
        <v>3.264</v>
      </c>
    </row>
    <row r="887">
      <c r="A887" s="4" t="str">
        <f>IFERROR(__xludf.DUMMYFUNCTION("""COMPUTED_VALUE"""),"783")</f>
        <v>783</v>
      </c>
      <c r="B887" s="4" t="str">
        <f>IFERROR(__xludf.DUMMYFUNCTION("""COMPUTED_VALUE"""),"Film manual negro Opaco Rec. Eco 500/1,35/23MY (600-150)")</f>
        <v>Film manual negro Opaco Rec. Eco 500/1,35/23MY (600-150)</v>
      </c>
      <c r="C887" s="4">
        <f>IFERROR(__xludf.DUMMYFUNCTION("""COMPUTED_VALUE"""),3.7439999999999998)</f>
        <v>3.744</v>
      </c>
    </row>
    <row r="888">
      <c r="A888" s="4" t="str">
        <f>IFERROR(__xludf.DUMMYFUNCTION("""COMPUTED_VALUE"""),"784")</f>
        <v>784</v>
      </c>
      <c r="B888" s="4" t="str">
        <f>IFERROR(__xludf.DUMMYFUNCTION("""COMPUTED_VALUE"""),"Cinta adhesiva 125m PPAC Transp 48 mm")</f>
        <v>Cinta adhesiva 125m PPAC Transp 48 mm</v>
      </c>
      <c r="C888" s="4">
        <f>IFERROR(__xludf.DUMMYFUNCTION("""COMPUTED_VALUE"""),1.152)</f>
        <v>1.152</v>
      </c>
    </row>
    <row r="889">
      <c r="A889" s="4" t="str">
        <f>IFERROR(__xludf.DUMMYFUNCTION("""COMPUTED_VALUE"""),"800")</f>
        <v>800</v>
      </c>
      <c r="B889" s="4" t="str">
        <f>IFERROR(__xludf.DUMMYFUNCTION("""COMPUTED_VALUE"""),"Adhesivo 100 mm Materias y objetos explosivos A")</f>
        <v>Adhesivo 100 mm Materias y objetos explosivos A</v>
      </c>
      <c r="C889" s="4">
        <f>IFERROR(__xludf.DUMMYFUNCTION("""COMPUTED_VALUE"""),0.576)</f>
        <v>0.576</v>
      </c>
    </row>
    <row r="890">
      <c r="A890" s="4" t="str">
        <f>IFERROR(__xludf.DUMMYFUNCTION("""COMPUTED_VALUE"""),"0800A")</f>
        <v>0800A</v>
      </c>
      <c r="B890" s="4" t="str">
        <f>IFERROR(__xludf.DUMMYFUNCTION("""COMPUTED_VALUE"""),"Adhesivo 300 mm Materias y objetos explosivos A")</f>
        <v>Adhesivo 300 mm Materias y objetos explosivos A</v>
      </c>
      <c r="C890" s="4">
        <f>IFERROR(__xludf.DUMMYFUNCTION("""COMPUTED_VALUE"""),1.536)</f>
        <v>1.536</v>
      </c>
    </row>
    <row r="891">
      <c r="A891" s="4" t="str">
        <f>IFERROR(__xludf.DUMMYFUNCTION("""COMPUTED_VALUE"""),"801")</f>
        <v>801</v>
      </c>
      <c r="B891" s="4" t="str">
        <f>IFERROR(__xludf.DUMMYFUNCTION("""COMPUTED_VALUE"""),"Adhesivo 100 mm Materias y objetos explosivos 1.4")</f>
        <v>Adhesivo 100 mm Materias y objetos explosivos 1.4</v>
      </c>
      <c r="C891" s="4">
        <f>IFERROR(__xludf.DUMMYFUNCTION("""COMPUTED_VALUE"""),0.576)</f>
        <v>0.576</v>
      </c>
    </row>
    <row r="892">
      <c r="A892" s="4" t="str">
        <f>IFERROR(__xludf.DUMMYFUNCTION("""COMPUTED_VALUE"""),"0801A")</f>
        <v>0801A</v>
      </c>
      <c r="B892" s="4" t="str">
        <f>IFERROR(__xludf.DUMMYFUNCTION("""COMPUTED_VALUE"""),"Adhesivo 300 mm Materias y objetos explosivos 1.4")</f>
        <v>Adhesivo 300 mm Materias y objetos explosivos 1.4</v>
      </c>
      <c r="C892" s="4">
        <f>IFERROR(__xludf.DUMMYFUNCTION("""COMPUTED_VALUE"""),1.536)</f>
        <v>1.536</v>
      </c>
    </row>
    <row r="893">
      <c r="A893" s="4" t="str">
        <f>IFERROR(__xludf.DUMMYFUNCTION("""COMPUTED_VALUE"""),"802")</f>
        <v>802</v>
      </c>
      <c r="B893" s="4" t="str">
        <f>IFERROR(__xludf.DUMMYFUNCTION("""COMPUTED_VALUE"""),"Adhesivo 100 mm Materias y objetos explosivos 1.5")</f>
        <v>Adhesivo 100 mm Materias y objetos explosivos 1.5</v>
      </c>
      <c r="C893" s="4">
        <f>IFERROR(__xludf.DUMMYFUNCTION("""COMPUTED_VALUE"""),0.576)</f>
        <v>0.576</v>
      </c>
    </row>
    <row r="894">
      <c r="A894" s="4" t="str">
        <f>IFERROR(__xludf.DUMMYFUNCTION("""COMPUTED_VALUE"""),"0802A")</f>
        <v>0802A</v>
      </c>
      <c r="B894" s="4" t="str">
        <f>IFERROR(__xludf.DUMMYFUNCTION("""COMPUTED_VALUE"""),"Adhesivo 300 mm Materias y objetos explosivos 1.5")</f>
        <v>Adhesivo 300 mm Materias y objetos explosivos 1.5</v>
      </c>
      <c r="C894" s="4">
        <f>IFERROR(__xludf.DUMMYFUNCTION("""COMPUTED_VALUE"""),1.536)</f>
        <v>1.536</v>
      </c>
    </row>
    <row r="895">
      <c r="A895" s="4" t="str">
        <f>IFERROR(__xludf.DUMMYFUNCTION("""COMPUTED_VALUE"""),"803")</f>
        <v>803</v>
      </c>
      <c r="B895" s="4" t="str">
        <f>IFERROR(__xludf.DUMMYFUNCTION("""COMPUTED_VALUE"""),"Adhesivo 100 mm Materias y objetos explosivos 1.6")</f>
        <v>Adhesivo 100 mm Materias y objetos explosivos 1.6</v>
      </c>
      <c r="C895" s="4">
        <f>IFERROR(__xludf.DUMMYFUNCTION("""COMPUTED_VALUE"""),0.576)</f>
        <v>0.576</v>
      </c>
    </row>
    <row r="896">
      <c r="A896" s="4" t="str">
        <f>IFERROR(__xludf.DUMMYFUNCTION("""COMPUTED_VALUE"""),"0803A")</f>
        <v>0803A</v>
      </c>
      <c r="B896" s="4" t="str">
        <f>IFERROR(__xludf.DUMMYFUNCTION("""COMPUTED_VALUE"""),"Adhesivo 300 mm Materias y objetos explosivos 1.6")</f>
        <v>Adhesivo 300 mm Materias y objetos explosivos 1.6</v>
      </c>
      <c r="C896" s="4">
        <f>IFERROR(__xludf.DUMMYFUNCTION("""COMPUTED_VALUE"""),1.536)</f>
        <v>1.536</v>
      </c>
    </row>
    <row r="897">
      <c r="A897" s="4" t="str">
        <f>IFERROR(__xludf.DUMMYFUNCTION("""COMPUTED_VALUE"""),"805")</f>
        <v>805</v>
      </c>
      <c r="B897" s="4" t="str">
        <f>IFERROR(__xludf.DUMMYFUNCTION("""COMPUTED_VALUE"""),"Adhesivo 100 mm Gases Tóxicos")</f>
        <v>Adhesivo 100 mm Gases Tóxicos</v>
      </c>
      <c r="C897" s="4">
        <f>IFERROR(__xludf.DUMMYFUNCTION("""COMPUTED_VALUE"""),0.576)</f>
        <v>0.576</v>
      </c>
    </row>
    <row r="898">
      <c r="A898" s="4" t="str">
        <f>IFERROR(__xludf.DUMMYFUNCTION("""COMPUTED_VALUE"""),"0805A")</f>
        <v>0805A</v>
      </c>
      <c r="B898" s="4" t="str">
        <f>IFERROR(__xludf.DUMMYFUNCTION("""COMPUTED_VALUE"""),"Adhesivo 300 mm Gases Tóxicos")</f>
        <v>Adhesivo 300 mm Gases Tóxicos</v>
      </c>
      <c r="C898" s="4">
        <f>IFERROR(__xludf.DUMMYFUNCTION("""COMPUTED_VALUE"""),1.536)</f>
        <v>1.536</v>
      </c>
    </row>
    <row r="899">
      <c r="A899" s="4" t="str">
        <f>IFERROR(__xludf.DUMMYFUNCTION("""COMPUTED_VALUE"""),"806")</f>
        <v>806</v>
      </c>
      <c r="B899" s="4" t="str">
        <f>IFERROR(__xludf.DUMMYFUNCTION("""COMPUTED_VALUE"""),"Adhesivo 100 mm gases inflamables A")</f>
        <v>Adhesivo 100 mm gases inflamables A</v>
      </c>
      <c r="C899" s="4">
        <f>IFERROR(__xludf.DUMMYFUNCTION("""COMPUTED_VALUE"""),0.576)</f>
        <v>0.576</v>
      </c>
    </row>
    <row r="900">
      <c r="A900" s="4" t="str">
        <f>IFERROR(__xludf.DUMMYFUNCTION("""COMPUTED_VALUE"""),"0806A")</f>
        <v>0806A</v>
      </c>
      <c r="B900" s="4" t="str">
        <f>IFERROR(__xludf.DUMMYFUNCTION("""COMPUTED_VALUE"""),"Adhesivo 300 mm gases inflamables A")</f>
        <v>Adhesivo 300 mm gases inflamables A</v>
      </c>
      <c r="C900" s="4">
        <f>IFERROR(__xludf.DUMMYFUNCTION("""COMPUTED_VALUE"""),1.536)</f>
        <v>1.536</v>
      </c>
    </row>
    <row r="901">
      <c r="A901" s="4" t="str">
        <f>IFERROR(__xludf.DUMMYFUNCTION("""COMPUTED_VALUE"""),"807")</f>
        <v>807</v>
      </c>
      <c r="B901" s="4" t="str">
        <f>IFERROR(__xludf.DUMMYFUNCTION("""COMPUTED_VALUE"""),"Adhesivo 100 mm gases inflamables B")</f>
        <v>Adhesivo 100 mm gases inflamables B</v>
      </c>
      <c r="C901" s="4">
        <f>IFERROR(__xludf.DUMMYFUNCTION("""COMPUTED_VALUE"""),0.576)</f>
        <v>0.576</v>
      </c>
    </row>
    <row r="902">
      <c r="A902" s="4" t="str">
        <f>IFERROR(__xludf.DUMMYFUNCTION("""COMPUTED_VALUE"""),"0807A")</f>
        <v>0807A</v>
      </c>
      <c r="B902" s="4" t="str">
        <f>IFERROR(__xludf.DUMMYFUNCTION("""COMPUTED_VALUE"""),"Adhesivo 300 mm gases inflamables B")</f>
        <v>Adhesivo 300 mm gases inflamables B</v>
      </c>
      <c r="C902" s="4">
        <f>IFERROR(__xludf.DUMMYFUNCTION("""COMPUTED_VALUE"""),1.536)</f>
        <v>1.536</v>
      </c>
    </row>
    <row r="903">
      <c r="A903" s="4" t="str">
        <f>IFERROR(__xludf.DUMMYFUNCTION("""COMPUTED_VALUE"""),"808")</f>
        <v>808</v>
      </c>
      <c r="B903" s="4" t="str">
        <f>IFERROR(__xludf.DUMMYFUNCTION("""COMPUTED_VALUE"""),"Adhesivo 100 mm gases no inflamables A")</f>
        <v>Adhesivo 100 mm gases no inflamables A</v>
      </c>
      <c r="C903" s="4">
        <f>IFERROR(__xludf.DUMMYFUNCTION("""COMPUTED_VALUE"""),0.576)</f>
        <v>0.576</v>
      </c>
    </row>
    <row r="904">
      <c r="A904" s="4" t="str">
        <f>IFERROR(__xludf.DUMMYFUNCTION("""COMPUTED_VALUE"""),"0808A")</f>
        <v>0808A</v>
      </c>
      <c r="B904" s="4" t="str">
        <f>IFERROR(__xludf.DUMMYFUNCTION("""COMPUTED_VALUE"""),"Adhesivo 300 mm gases no inflamables A")</f>
        <v>Adhesivo 300 mm gases no inflamables A</v>
      </c>
      <c r="C904" s="4">
        <f>IFERROR(__xludf.DUMMYFUNCTION("""COMPUTED_VALUE"""),1.536)</f>
        <v>1.536</v>
      </c>
    </row>
    <row r="905">
      <c r="A905" s="4" t="str">
        <f>IFERROR(__xludf.DUMMYFUNCTION("""COMPUTED_VALUE"""),"809")</f>
        <v>809</v>
      </c>
      <c r="B905" s="4" t="str">
        <f>IFERROR(__xludf.DUMMYFUNCTION("""COMPUTED_VALUE"""),"Adhesivo 100 mm gases no inflamables B")</f>
        <v>Adhesivo 100 mm gases no inflamables B</v>
      </c>
      <c r="C905" s="4">
        <f>IFERROR(__xludf.DUMMYFUNCTION("""COMPUTED_VALUE"""),0.576)</f>
        <v>0.576</v>
      </c>
    </row>
    <row r="906">
      <c r="A906" s="4" t="str">
        <f>IFERROR(__xludf.DUMMYFUNCTION("""COMPUTED_VALUE"""),"0809A")</f>
        <v>0809A</v>
      </c>
      <c r="B906" s="4" t="str">
        <f>IFERROR(__xludf.DUMMYFUNCTION("""COMPUTED_VALUE"""),"Adhesivo 300 mm gases no inflamables B")</f>
        <v>Adhesivo 300 mm gases no inflamables B</v>
      </c>
      <c r="C906" s="4">
        <f>IFERROR(__xludf.DUMMYFUNCTION("""COMPUTED_VALUE"""),1.536)</f>
        <v>1.536</v>
      </c>
    </row>
    <row r="907">
      <c r="A907" s="4" t="str">
        <f>IFERROR(__xludf.DUMMYFUNCTION("""COMPUTED_VALUE"""),"810")</f>
        <v>810</v>
      </c>
      <c r="B907" s="4" t="str">
        <f>IFERROR(__xludf.DUMMYFUNCTION("""COMPUTED_VALUE"""),"Lona 100x70 cm multicartel c/ ojales")</f>
        <v>Lona 100x70 cm multicartel c/ ojales</v>
      </c>
      <c r="C907" s="4">
        <f>IFERROR(__xludf.DUMMYFUNCTION("""COMPUTED_VALUE"""),14.111999999999998)</f>
        <v>14.112</v>
      </c>
    </row>
    <row r="908">
      <c r="A908" s="4" t="str">
        <f>IFERROR(__xludf.DUMMYFUNCTION("""COMPUTED_VALUE"""),"811")</f>
        <v>811</v>
      </c>
      <c r="B908" s="4" t="str">
        <f>IFERROR(__xludf.DUMMYFUNCTION("""COMPUTED_VALUE"""),"Lona 50x70 cm multicartel c/ ojales")</f>
        <v>Lona 50x70 cm multicartel c/ ojales</v>
      </c>
      <c r="C908" s="4">
        <f>IFERROR(__xludf.DUMMYFUNCTION("""COMPUTED_VALUE"""),8.064)</f>
        <v>8.064</v>
      </c>
    </row>
    <row r="909">
      <c r="A909" s="4" t="str">
        <f>IFERROR(__xludf.DUMMYFUNCTION("""COMPUTED_VALUE"""),"812")</f>
        <v>812</v>
      </c>
      <c r="B909" s="4" t="str">
        <f>IFERROR(__xludf.DUMMYFUNCTION("""COMPUTED_VALUE"""),"Adhesivo 100 mm líquidos inflamables A")</f>
        <v>Adhesivo 100 mm líquidos inflamables A</v>
      </c>
      <c r="C909" s="4">
        <f>IFERROR(__xludf.DUMMYFUNCTION("""COMPUTED_VALUE"""),0.576)</f>
        <v>0.576</v>
      </c>
    </row>
    <row r="910">
      <c r="A910" s="4" t="str">
        <f>IFERROR(__xludf.DUMMYFUNCTION("""COMPUTED_VALUE"""),"0812A")</f>
        <v>0812A</v>
      </c>
      <c r="B910" s="4" t="str">
        <f>IFERROR(__xludf.DUMMYFUNCTION("""COMPUTED_VALUE"""),"Adhesivo 300 mm líquidos inflamables A")</f>
        <v>Adhesivo 300 mm líquidos inflamables A</v>
      </c>
      <c r="C910" s="4">
        <f>IFERROR(__xludf.DUMMYFUNCTION("""COMPUTED_VALUE"""),1.536)</f>
        <v>1.536</v>
      </c>
    </row>
    <row r="911">
      <c r="A911" s="4" t="str">
        <f>IFERROR(__xludf.DUMMYFUNCTION("""COMPUTED_VALUE"""),"813")</f>
        <v>813</v>
      </c>
      <c r="B911" s="4" t="str">
        <f>IFERROR(__xludf.DUMMYFUNCTION("""COMPUTED_VALUE"""),"Adhesivo 100 mm líquidos inflamables B")</f>
        <v>Adhesivo 100 mm líquidos inflamables B</v>
      </c>
      <c r="C911" s="4">
        <f>IFERROR(__xludf.DUMMYFUNCTION("""COMPUTED_VALUE"""),0.576)</f>
        <v>0.576</v>
      </c>
    </row>
    <row r="912">
      <c r="A912" s="4" t="str">
        <f>IFERROR(__xludf.DUMMYFUNCTION("""COMPUTED_VALUE"""),"0813A")</f>
        <v>0813A</v>
      </c>
      <c r="B912" s="4" t="str">
        <f>IFERROR(__xludf.DUMMYFUNCTION("""COMPUTED_VALUE"""),"Adhesivo 300 mm líquidos inflamables B")</f>
        <v>Adhesivo 300 mm líquidos inflamables B</v>
      </c>
      <c r="C912" s="4">
        <f>IFERROR(__xludf.DUMMYFUNCTION("""COMPUTED_VALUE"""),1.536)</f>
        <v>1.536</v>
      </c>
    </row>
    <row r="913">
      <c r="A913" s="4" t="str">
        <f>IFERROR(__xludf.DUMMYFUNCTION("""COMPUTED_VALUE"""),"814")</f>
        <v>814</v>
      </c>
      <c r="B913" s="4" t="str">
        <f>IFERROR(__xludf.DUMMYFUNCTION("""COMPUTED_VALUE"""),"Adhesivo 100 mm mat. sólidas inflamables")</f>
        <v>Adhesivo 100 mm mat. sólidas inflamables</v>
      </c>
      <c r="C913" s="4">
        <f>IFERROR(__xludf.DUMMYFUNCTION("""COMPUTED_VALUE"""),0.576)</f>
        <v>0.576</v>
      </c>
    </row>
    <row r="914">
      <c r="A914" s="4" t="str">
        <f>IFERROR(__xludf.DUMMYFUNCTION("""COMPUTED_VALUE"""),"0814A")</f>
        <v>0814A</v>
      </c>
      <c r="B914" s="4" t="str">
        <f>IFERROR(__xludf.DUMMYFUNCTION("""COMPUTED_VALUE"""),"Adhesivo 300 mm mat. sólidas inflamables")</f>
        <v>Adhesivo 300 mm mat. sólidas inflamables</v>
      </c>
      <c r="C914" s="4">
        <f>IFERROR(__xludf.DUMMYFUNCTION("""COMPUTED_VALUE"""),1.536)</f>
        <v>1.536</v>
      </c>
    </row>
    <row r="915">
      <c r="A915" s="4" t="str">
        <f>IFERROR(__xludf.DUMMYFUNCTION("""COMPUTED_VALUE"""),"815")</f>
        <v>815</v>
      </c>
      <c r="B915" s="4" t="str">
        <f>IFERROR(__xludf.DUMMYFUNCTION("""COMPUTED_VALUE"""),"Adhesivo 100 mm materias expontáneamente inflamables")</f>
        <v>Adhesivo 100 mm materias expontáneamente inflamables</v>
      </c>
      <c r="C915" s="4">
        <f>IFERROR(__xludf.DUMMYFUNCTION("""COMPUTED_VALUE"""),0.576)</f>
        <v>0.576</v>
      </c>
    </row>
    <row r="916">
      <c r="A916" s="4" t="str">
        <f>IFERROR(__xludf.DUMMYFUNCTION("""COMPUTED_VALUE"""),"0815A")</f>
        <v>0815A</v>
      </c>
      <c r="B916" s="4" t="str">
        <f>IFERROR(__xludf.DUMMYFUNCTION("""COMPUTED_VALUE"""),"Adhesivo 300 mm materias expontáneamente inflamables")</f>
        <v>Adhesivo 300 mm materias expontáneamente inflamables</v>
      </c>
      <c r="C916" s="4">
        <f>IFERROR(__xludf.DUMMYFUNCTION("""COMPUTED_VALUE"""),1.536)</f>
        <v>1.536</v>
      </c>
    </row>
    <row r="917">
      <c r="A917" s="4" t="str">
        <f>IFERROR(__xludf.DUMMYFUNCTION("""COMPUTED_VALUE"""),"816")</f>
        <v>816</v>
      </c>
      <c r="B917" s="4" t="str">
        <f>IFERROR(__xludf.DUMMYFUNCTION("""COMPUTED_VALUE"""),"Adhesivo 100 mm materias contacto agua gases inflamables A")</f>
        <v>Adhesivo 100 mm materias contacto agua gases inflamables A</v>
      </c>
      <c r="C917" s="4">
        <f>IFERROR(__xludf.DUMMYFUNCTION("""COMPUTED_VALUE"""),0.576)</f>
        <v>0.576</v>
      </c>
    </row>
    <row r="918">
      <c r="A918" s="4" t="str">
        <f>IFERROR(__xludf.DUMMYFUNCTION("""COMPUTED_VALUE"""),"0816A")</f>
        <v>0816A</v>
      </c>
      <c r="B918" s="4" t="str">
        <f>IFERROR(__xludf.DUMMYFUNCTION("""COMPUTED_VALUE"""),"Adhesivo 300 mm materias contacto agua gases inflamables A")</f>
        <v>Adhesivo 300 mm materias contacto agua gases inflamables A</v>
      </c>
      <c r="C918" s="4">
        <f>IFERROR(__xludf.DUMMYFUNCTION("""COMPUTED_VALUE"""),1.536)</f>
        <v>1.536</v>
      </c>
    </row>
    <row r="919">
      <c r="A919" s="4" t="str">
        <f>IFERROR(__xludf.DUMMYFUNCTION("""COMPUTED_VALUE"""),"817")</f>
        <v>817</v>
      </c>
      <c r="B919" s="4" t="str">
        <f>IFERROR(__xludf.DUMMYFUNCTION("""COMPUTED_VALUE"""),"Adhesivo 100 mm materias contacto agua gases inflamables B")</f>
        <v>Adhesivo 100 mm materias contacto agua gases inflamables B</v>
      </c>
      <c r="C919" s="4">
        <f>IFERROR(__xludf.DUMMYFUNCTION("""COMPUTED_VALUE"""),0.576)</f>
        <v>0.576</v>
      </c>
    </row>
    <row r="920">
      <c r="A920" s="4" t="str">
        <f>IFERROR(__xludf.DUMMYFUNCTION("""COMPUTED_VALUE"""),"0817A")</f>
        <v>0817A</v>
      </c>
      <c r="B920" s="4" t="str">
        <f>IFERROR(__xludf.DUMMYFUNCTION("""COMPUTED_VALUE"""),"Adhesivo 300 mm materias contacto agua gases inflamables B")</f>
        <v>Adhesivo 300 mm materias contacto agua gases inflamables B</v>
      </c>
      <c r="C920" s="4">
        <f>IFERROR(__xludf.DUMMYFUNCTION("""COMPUTED_VALUE"""),1.536)</f>
        <v>1.536</v>
      </c>
    </row>
    <row r="921">
      <c r="A921" s="4" t="str">
        <f>IFERROR(__xludf.DUMMYFUNCTION("""COMPUTED_VALUE"""),"818")</f>
        <v>818</v>
      </c>
      <c r="B921" s="4" t="str">
        <f>IFERROR(__xludf.DUMMYFUNCTION("""COMPUTED_VALUE"""),"Adhesivo 100 mm materias comburentes")</f>
        <v>Adhesivo 100 mm materias comburentes</v>
      </c>
      <c r="C921" s="4">
        <f>IFERROR(__xludf.DUMMYFUNCTION("""COMPUTED_VALUE"""),0.576)</f>
        <v>0.576</v>
      </c>
    </row>
    <row r="922">
      <c r="A922" s="4" t="str">
        <f>IFERROR(__xludf.DUMMYFUNCTION("""COMPUTED_VALUE"""),"0818A")</f>
        <v>0818A</v>
      </c>
      <c r="B922" s="4" t="str">
        <f>IFERROR(__xludf.DUMMYFUNCTION("""COMPUTED_VALUE"""),"Adhesivo 300 mm materias comburentes")</f>
        <v>Adhesivo 300 mm materias comburentes</v>
      </c>
      <c r="C922" s="4">
        <f>IFERROR(__xludf.DUMMYFUNCTION("""COMPUTED_VALUE"""),1.536)</f>
        <v>1.536</v>
      </c>
    </row>
    <row r="923">
      <c r="A923" s="4" t="str">
        <f>IFERROR(__xludf.DUMMYFUNCTION("""COMPUTED_VALUE"""),"819")</f>
        <v>819</v>
      </c>
      <c r="B923" s="4" t="str">
        <f>IFERROR(__xludf.DUMMYFUNCTION("""COMPUTED_VALUE"""),"Adhesivo 100 mm peróxidos orgánicos")</f>
        <v>Adhesivo 100 mm peróxidos orgánicos</v>
      </c>
      <c r="C923" s="4">
        <f>IFERROR(__xludf.DUMMYFUNCTION("""COMPUTED_VALUE"""),0.576)</f>
        <v>0.576</v>
      </c>
    </row>
    <row r="924">
      <c r="A924" s="4" t="str">
        <f>IFERROR(__xludf.DUMMYFUNCTION("""COMPUTED_VALUE"""),"0819A")</f>
        <v>0819A</v>
      </c>
      <c r="B924" s="4" t="str">
        <f>IFERROR(__xludf.DUMMYFUNCTION("""COMPUTED_VALUE"""),"Adhesivo 300 mm peróxidos orgánicos")</f>
        <v>Adhesivo 300 mm peróxidos orgánicos</v>
      </c>
      <c r="C924" s="4">
        <f>IFERROR(__xludf.DUMMYFUNCTION("""COMPUTED_VALUE"""),1.536)</f>
        <v>1.536</v>
      </c>
    </row>
    <row r="925">
      <c r="A925" s="4" t="str">
        <f>IFERROR(__xludf.DUMMYFUNCTION("""COMPUTED_VALUE"""),"822")</f>
        <v>822</v>
      </c>
      <c r="B925" s="4" t="str">
        <f>IFERROR(__xludf.DUMMYFUNCTION("""COMPUTED_VALUE"""),"Adhesivo 100 mm Materias Tóxicas")</f>
        <v>Adhesivo 100 mm Materias Tóxicas</v>
      </c>
      <c r="C925" s="4">
        <f>IFERROR(__xludf.DUMMYFUNCTION("""COMPUTED_VALUE"""),0.576)</f>
        <v>0.576</v>
      </c>
    </row>
    <row r="926">
      <c r="A926" s="4" t="str">
        <f>IFERROR(__xludf.DUMMYFUNCTION("""COMPUTED_VALUE"""),"0822A")</f>
        <v>0822A</v>
      </c>
      <c r="B926" s="4" t="str">
        <f>IFERROR(__xludf.DUMMYFUNCTION("""COMPUTED_VALUE"""),"Adhesivo 100 mm Materias Tóxicas")</f>
        <v>Adhesivo 100 mm Materias Tóxicas</v>
      </c>
      <c r="C926" s="4">
        <f>IFERROR(__xludf.DUMMYFUNCTION("""COMPUTED_VALUE"""),1.536)</f>
        <v>1.536</v>
      </c>
    </row>
    <row r="927">
      <c r="A927" s="4" t="str">
        <f>IFERROR(__xludf.DUMMYFUNCTION("""COMPUTED_VALUE"""),"823")</f>
        <v>823</v>
      </c>
      <c r="B927" s="4" t="str">
        <f>IFERROR(__xludf.DUMMYFUNCTION("""COMPUTED_VALUE"""),"Adhesivo 100 mm Materias infecciosas")</f>
        <v>Adhesivo 100 mm Materias infecciosas</v>
      </c>
      <c r="C927" s="4">
        <f>IFERROR(__xludf.DUMMYFUNCTION("""COMPUTED_VALUE"""),0.576)</f>
        <v>0.576</v>
      </c>
    </row>
    <row r="928">
      <c r="A928" s="4" t="str">
        <f>IFERROR(__xludf.DUMMYFUNCTION("""COMPUTED_VALUE"""),"0823A")</f>
        <v>0823A</v>
      </c>
      <c r="B928" s="4" t="str">
        <f>IFERROR(__xludf.DUMMYFUNCTION("""COMPUTED_VALUE"""),"Adhesivo 300 mm Materias infecciosas")</f>
        <v>Adhesivo 300 mm Materias infecciosas</v>
      </c>
      <c r="C928" s="4">
        <f>IFERROR(__xludf.DUMMYFUNCTION("""COMPUTED_VALUE"""),1.536)</f>
        <v>1.536</v>
      </c>
    </row>
    <row r="929">
      <c r="A929" s="4" t="str">
        <f>IFERROR(__xludf.DUMMYFUNCTION("""COMPUTED_VALUE"""),"824")</f>
        <v>824</v>
      </c>
      <c r="B929" s="4" t="str">
        <f>IFERROR(__xludf.DUMMYFUNCTION("""COMPUTED_VALUE"""),"Adhesivo 100 mm Materias radiactivas I")</f>
        <v>Adhesivo 100 mm Materias radiactivas I</v>
      </c>
      <c r="C929" s="4">
        <f>IFERROR(__xludf.DUMMYFUNCTION("""COMPUTED_VALUE"""),0.576)</f>
        <v>0.576</v>
      </c>
    </row>
    <row r="930">
      <c r="A930" s="4" t="str">
        <f>IFERROR(__xludf.DUMMYFUNCTION("""COMPUTED_VALUE"""),"0824A")</f>
        <v>0824A</v>
      </c>
      <c r="B930" s="4" t="str">
        <f>IFERROR(__xludf.DUMMYFUNCTION("""COMPUTED_VALUE"""),"Adhesivo 300 mm Materias radiactivas I")</f>
        <v>Adhesivo 300 mm Materias radiactivas I</v>
      </c>
      <c r="C930" s="4">
        <f>IFERROR(__xludf.DUMMYFUNCTION("""COMPUTED_VALUE"""),1.536)</f>
        <v>1.536</v>
      </c>
    </row>
    <row r="931">
      <c r="A931" s="4" t="str">
        <f>IFERROR(__xludf.DUMMYFUNCTION("""COMPUTED_VALUE"""),"825")</f>
        <v>825</v>
      </c>
      <c r="B931" s="4" t="str">
        <f>IFERROR(__xludf.DUMMYFUNCTION("""COMPUTED_VALUE"""),"Adhesivo 100 mm Materias radiactivas II")</f>
        <v>Adhesivo 100 mm Materias radiactivas II</v>
      </c>
      <c r="C931" s="4">
        <f>IFERROR(__xludf.DUMMYFUNCTION("""COMPUTED_VALUE"""),0.576)</f>
        <v>0.576</v>
      </c>
    </row>
    <row r="932">
      <c r="A932" s="4" t="str">
        <f>IFERROR(__xludf.DUMMYFUNCTION("""COMPUTED_VALUE"""),"0825A")</f>
        <v>0825A</v>
      </c>
      <c r="B932" s="4" t="str">
        <f>IFERROR(__xludf.DUMMYFUNCTION("""COMPUTED_VALUE"""),"Adhesivo 300 mm Materias radiactivas II")</f>
        <v>Adhesivo 300 mm Materias radiactivas II</v>
      </c>
      <c r="C932" s="4">
        <f>IFERROR(__xludf.DUMMYFUNCTION("""COMPUTED_VALUE"""),1.536)</f>
        <v>1.536</v>
      </c>
    </row>
    <row r="933">
      <c r="A933" s="4" t="str">
        <f>IFERROR(__xludf.DUMMYFUNCTION("""COMPUTED_VALUE"""),"826")</f>
        <v>826</v>
      </c>
      <c r="B933" s="4" t="str">
        <f>IFERROR(__xludf.DUMMYFUNCTION("""COMPUTED_VALUE"""),"Adhesivo 100 mm Materias radiactivas III")</f>
        <v>Adhesivo 100 mm Materias radiactivas III</v>
      </c>
      <c r="C933" s="4">
        <f>IFERROR(__xludf.DUMMYFUNCTION("""COMPUTED_VALUE"""),0.576)</f>
        <v>0.576</v>
      </c>
    </row>
    <row r="934">
      <c r="A934" s="4" t="str">
        <f>IFERROR(__xludf.DUMMYFUNCTION("""COMPUTED_VALUE"""),"0826A")</f>
        <v>0826A</v>
      </c>
      <c r="B934" s="4" t="str">
        <f>IFERROR(__xludf.DUMMYFUNCTION("""COMPUTED_VALUE"""),"Adhesivo 300 mm Materias radiactivas III")</f>
        <v>Adhesivo 300 mm Materias radiactivas III</v>
      </c>
      <c r="C934" s="4">
        <f>IFERROR(__xludf.DUMMYFUNCTION("""COMPUTED_VALUE"""),1.536)</f>
        <v>1.536</v>
      </c>
    </row>
    <row r="935">
      <c r="A935" s="4" t="str">
        <f>IFERROR(__xludf.DUMMYFUNCTION("""COMPUTED_VALUE"""),"827")</f>
        <v>827</v>
      </c>
      <c r="B935" s="4" t="str">
        <f>IFERROR(__xludf.DUMMYFUNCTION("""COMPUTED_VALUE"""),"Adhesivo 100 mm Materias fisionables")</f>
        <v>Adhesivo 100 mm Materias fisionables</v>
      </c>
      <c r="C935" s="4">
        <f>IFERROR(__xludf.DUMMYFUNCTION("""COMPUTED_VALUE"""),0.576)</f>
        <v>0.576</v>
      </c>
    </row>
    <row r="936">
      <c r="A936" s="4" t="str">
        <f>IFERROR(__xludf.DUMMYFUNCTION("""COMPUTED_VALUE"""),"0827A")</f>
        <v>0827A</v>
      </c>
      <c r="B936" s="4" t="str">
        <f>IFERROR(__xludf.DUMMYFUNCTION("""COMPUTED_VALUE"""),"Adhesivo 300 mm Materias fisionables")</f>
        <v>Adhesivo 300 mm Materias fisionables</v>
      </c>
      <c r="C936" s="4">
        <f>IFERROR(__xludf.DUMMYFUNCTION("""COMPUTED_VALUE"""),1.536)</f>
        <v>1.536</v>
      </c>
    </row>
    <row r="937">
      <c r="A937" s="4" t="str">
        <f>IFERROR(__xludf.DUMMYFUNCTION("""COMPUTED_VALUE"""),"828")</f>
        <v>828</v>
      </c>
      <c r="B937" s="4" t="str">
        <f>IFERROR(__xludf.DUMMYFUNCTION("""COMPUTED_VALUE"""),"Adhesivo 100 mm Materias corrosivas")</f>
        <v>Adhesivo 100 mm Materias corrosivas</v>
      </c>
      <c r="C937" s="4">
        <f>IFERROR(__xludf.DUMMYFUNCTION("""COMPUTED_VALUE"""),0.576)</f>
        <v>0.576</v>
      </c>
    </row>
    <row r="938">
      <c r="A938" s="4" t="str">
        <f>IFERROR(__xludf.DUMMYFUNCTION("""COMPUTED_VALUE"""),"0828A")</f>
        <v>0828A</v>
      </c>
      <c r="B938" s="4" t="str">
        <f>IFERROR(__xludf.DUMMYFUNCTION("""COMPUTED_VALUE"""),"Adhesivo 300 mm Materias corrosivas")</f>
        <v>Adhesivo 300 mm Materias corrosivas</v>
      </c>
      <c r="C938" s="4">
        <f>IFERROR(__xludf.DUMMYFUNCTION("""COMPUTED_VALUE"""),1.536)</f>
        <v>1.536</v>
      </c>
    </row>
    <row r="939">
      <c r="A939" s="4" t="str">
        <f>IFERROR(__xludf.DUMMYFUNCTION("""COMPUTED_VALUE"""),"829")</f>
        <v>829</v>
      </c>
      <c r="B939" s="4" t="str">
        <f>IFERROR(__xludf.DUMMYFUNCTION("""COMPUTED_VALUE"""),"Adhesivo 100 mm Materias y objetos peligrosos diversos")</f>
        <v>Adhesivo 100 mm Materias y objetos peligrosos diversos</v>
      </c>
      <c r="C939" s="4">
        <f>IFERROR(__xludf.DUMMYFUNCTION("""COMPUTED_VALUE"""),0.576)</f>
        <v>0.576</v>
      </c>
    </row>
    <row r="940">
      <c r="A940" s="4" t="str">
        <f>IFERROR(__xludf.DUMMYFUNCTION("""COMPUTED_VALUE"""),"0829A")</f>
        <v>0829A</v>
      </c>
      <c r="B940" s="4" t="str">
        <f>IFERROR(__xludf.DUMMYFUNCTION("""COMPUTED_VALUE"""),"Adhesivo 300 mm Materias y objetos peligrosos divesas")</f>
        <v>Adhesivo 300 mm Materias y objetos peligrosos divesas</v>
      </c>
      <c r="C940" s="4">
        <f>IFERROR(__xludf.DUMMYFUNCTION("""COMPUTED_VALUE"""),1.536)</f>
        <v>1.536</v>
      </c>
    </row>
    <row r="941">
      <c r="A941" s="4" t="str">
        <f>IFERROR(__xludf.DUMMYFUNCTION("""COMPUTED_VALUE"""),"830")</f>
        <v>830</v>
      </c>
      <c r="B941" s="4" t="str">
        <f>IFERROR(__xludf.DUMMYFUNCTION("""COMPUTED_VALUE"""),"Adhesivo 100 mm Materias peligrosas para el medio ambiente")</f>
        <v>Adhesivo 100 mm Materias peligrosas para el medio ambiente</v>
      </c>
      <c r="C941" s="4">
        <f>IFERROR(__xludf.DUMMYFUNCTION("""COMPUTED_VALUE"""),0.576)</f>
        <v>0.576</v>
      </c>
    </row>
    <row r="942">
      <c r="A942" s="4" t="str">
        <f>IFERROR(__xludf.DUMMYFUNCTION("""COMPUTED_VALUE"""),"0830A")</f>
        <v>0830A</v>
      </c>
      <c r="B942" s="4" t="str">
        <f>IFERROR(__xludf.DUMMYFUNCTION("""COMPUTED_VALUE"""),"Adhesivo 300 mm Materias peligrosas para el medio ambiente")</f>
        <v>Adhesivo 300 mm Materias peligrosas para el medio ambiente</v>
      </c>
      <c r="C942" s="4">
        <f>IFERROR(__xludf.DUMMYFUNCTION("""COMPUTED_VALUE"""),1.536)</f>
        <v>1.536</v>
      </c>
    </row>
    <row r="943">
      <c r="A943" s="4" t="str">
        <f>IFERROR(__xludf.DUMMYFUNCTION("""COMPUTED_VALUE"""),"831")</f>
        <v>831</v>
      </c>
      <c r="B943" s="4" t="str">
        <f>IFERROR(__xludf.DUMMYFUNCTION("""COMPUTED_VALUE"""),"Adhesivo 100 mm Orientación del bulto")</f>
        <v>Adhesivo 100 mm Orientación del bulto</v>
      </c>
      <c r="C943" s="4">
        <f>IFERROR(__xludf.DUMMYFUNCTION("""COMPUTED_VALUE"""),0.576)</f>
        <v>0.576</v>
      </c>
    </row>
    <row r="944">
      <c r="A944" s="4" t="str">
        <f>IFERROR(__xludf.DUMMYFUNCTION("""COMPUTED_VALUE"""),"0831A")</f>
        <v>0831A</v>
      </c>
      <c r="B944" s="4" t="str">
        <f>IFERROR(__xludf.DUMMYFUNCTION("""COMPUTED_VALUE"""),"Adhesivo 300 mm Orientación del bulto")</f>
        <v>Adhesivo 300 mm Orientación del bulto</v>
      </c>
      <c r="C944" s="4">
        <f>IFERROR(__xludf.DUMMYFUNCTION("""COMPUTED_VALUE"""),1.536)</f>
        <v>1.536</v>
      </c>
    </row>
    <row r="945">
      <c r="A945" s="4" t="str">
        <f>IFERROR(__xludf.DUMMYFUNCTION("""COMPUTED_VALUE"""),"832")</f>
        <v>832</v>
      </c>
      <c r="B945" s="4" t="str">
        <f>IFERROR(__xludf.DUMMYFUNCTION("""COMPUTED_VALUE"""),"Adhesivo 100 mm productos químicos explosivos")</f>
        <v>Adhesivo 100 mm productos químicos explosivos</v>
      </c>
      <c r="C945" s="4">
        <f>IFERROR(__xludf.DUMMYFUNCTION("""COMPUTED_VALUE"""),0.576)</f>
        <v>0.576</v>
      </c>
    </row>
    <row r="946">
      <c r="A946" s="4" t="str">
        <f>IFERROR(__xludf.DUMMYFUNCTION("""COMPUTED_VALUE"""),"0832A")</f>
        <v>0832A</v>
      </c>
      <c r="B946" s="4" t="str">
        <f>IFERROR(__xludf.DUMMYFUNCTION("""COMPUTED_VALUE"""),"Adhesivo 300 mm productos químicos explosivos")</f>
        <v>Adhesivo 300 mm productos químicos explosivos</v>
      </c>
      <c r="C946" s="4">
        <f>IFERROR(__xludf.DUMMYFUNCTION("""COMPUTED_VALUE"""),1.536)</f>
        <v>1.536</v>
      </c>
    </row>
    <row r="947">
      <c r="A947" s="4" t="str">
        <f>IFERROR(__xludf.DUMMYFUNCTION("""COMPUTED_VALUE"""),"833")</f>
        <v>833</v>
      </c>
      <c r="B947" s="4" t="str">
        <f>IFERROR(__xludf.DUMMYFUNCTION("""COMPUTED_VALUE"""),"Adhesivo 100 mm productos químicos inflamables")</f>
        <v>Adhesivo 100 mm productos químicos inflamables</v>
      </c>
      <c r="C947" s="4">
        <f>IFERROR(__xludf.DUMMYFUNCTION("""COMPUTED_VALUE"""),0.576)</f>
        <v>0.576</v>
      </c>
    </row>
    <row r="948">
      <c r="A948" s="4" t="str">
        <f>IFERROR(__xludf.DUMMYFUNCTION("""COMPUTED_VALUE"""),"0833A")</f>
        <v>0833A</v>
      </c>
      <c r="B948" s="4" t="str">
        <f>IFERROR(__xludf.DUMMYFUNCTION("""COMPUTED_VALUE"""),"Adhesivo 300 mm productos químicos inflamables")</f>
        <v>Adhesivo 300 mm productos químicos inflamables</v>
      </c>
      <c r="C948" s="4">
        <f>IFERROR(__xludf.DUMMYFUNCTION("""COMPUTED_VALUE"""),1.536)</f>
        <v>1.536</v>
      </c>
    </row>
    <row r="949">
      <c r="A949" s="4" t="str">
        <f>IFERROR(__xludf.DUMMYFUNCTION("""COMPUTED_VALUE"""),"834")</f>
        <v>834</v>
      </c>
      <c r="B949" s="4" t="str">
        <f>IFERROR(__xludf.DUMMYFUNCTION("""COMPUTED_VALUE"""),"Adhesivo 100 mm productos químicos comburentes")</f>
        <v>Adhesivo 100 mm productos químicos comburentes</v>
      </c>
      <c r="C949" s="4">
        <f>IFERROR(__xludf.DUMMYFUNCTION("""COMPUTED_VALUE"""),0.576)</f>
        <v>0.576</v>
      </c>
    </row>
    <row r="950">
      <c r="A950" s="4" t="str">
        <f>IFERROR(__xludf.DUMMYFUNCTION("""COMPUTED_VALUE"""),"0834A")</f>
        <v>0834A</v>
      </c>
      <c r="B950" s="4" t="str">
        <f>IFERROR(__xludf.DUMMYFUNCTION("""COMPUTED_VALUE"""),"Adhesivo 300 mm productos químicos comburentes")</f>
        <v>Adhesivo 300 mm productos químicos comburentes</v>
      </c>
      <c r="C950" s="4">
        <f>IFERROR(__xludf.DUMMYFUNCTION("""COMPUTED_VALUE"""),1.536)</f>
        <v>1.536</v>
      </c>
    </row>
    <row r="951">
      <c r="A951" s="4" t="str">
        <f>IFERROR(__xludf.DUMMYFUNCTION("""COMPUTED_VALUE"""),"835")</f>
        <v>835</v>
      </c>
      <c r="B951" s="4" t="str">
        <f>IFERROR(__xludf.DUMMYFUNCTION("""COMPUTED_VALUE"""),"Adhesivo 100 mm productos químicos gas a presión")</f>
        <v>Adhesivo 100 mm productos químicos gas a presión</v>
      </c>
      <c r="C951" s="4">
        <f>IFERROR(__xludf.DUMMYFUNCTION("""COMPUTED_VALUE"""),0.576)</f>
        <v>0.576</v>
      </c>
    </row>
    <row r="952">
      <c r="A952" s="4" t="str">
        <f>IFERROR(__xludf.DUMMYFUNCTION("""COMPUTED_VALUE"""),"0835A")</f>
        <v>0835A</v>
      </c>
      <c r="B952" s="4" t="str">
        <f>IFERROR(__xludf.DUMMYFUNCTION("""COMPUTED_VALUE"""),"Adhesivo 300 mm productos químicos gas a presión")</f>
        <v>Adhesivo 300 mm productos químicos gas a presión</v>
      </c>
      <c r="C952" s="4">
        <f>IFERROR(__xludf.DUMMYFUNCTION("""COMPUTED_VALUE"""),1.536)</f>
        <v>1.536</v>
      </c>
    </row>
    <row r="953">
      <c r="A953" s="4" t="str">
        <f>IFERROR(__xludf.DUMMYFUNCTION("""COMPUTED_VALUE"""),"836")</f>
        <v>836</v>
      </c>
      <c r="B953" s="4" t="str">
        <f>IFERROR(__xludf.DUMMYFUNCTION("""COMPUTED_VALUE"""),"Adhesivo 100 mm productos químicos toxicidad aguda")</f>
        <v>Adhesivo 100 mm productos químicos toxicidad aguda</v>
      </c>
      <c r="C953" s="4">
        <f>IFERROR(__xludf.DUMMYFUNCTION("""COMPUTED_VALUE"""),0.576)</f>
        <v>0.576</v>
      </c>
    </row>
    <row r="954">
      <c r="A954" s="4" t="str">
        <f>IFERROR(__xludf.DUMMYFUNCTION("""COMPUTED_VALUE"""),"0836A")</f>
        <v>0836A</v>
      </c>
      <c r="B954" s="4" t="str">
        <f>IFERROR(__xludf.DUMMYFUNCTION("""COMPUTED_VALUE"""),"Adhesivo 300 mm productos químicos Toxicidad aguda")</f>
        <v>Adhesivo 300 mm productos químicos Toxicidad aguda</v>
      </c>
      <c r="C954" s="4">
        <f>IFERROR(__xludf.DUMMYFUNCTION("""COMPUTED_VALUE"""),1.536)</f>
        <v>1.536</v>
      </c>
    </row>
    <row r="955">
      <c r="A955" s="4" t="str">
        <f>IFERROR(__xludf.DUMMYFUNCTION("""COMPUTED_VALUE"""),"837")</f>
        <v>837</v>
      </c>
      <c r="B955" s="4" t="str">
        <f>IFERROR(__xludf.DUMMYFUNCTION("""COMPUTED_VALUE"""),"Adhesivo 100 mm productos químicos corrosivos")</f>
        <v>Adhesivo 100 mm productos químicos corrosivos</v>
      </c>
      <c r="C955" s="4">
        <f>IFERROR(__xludf.DUMMYFUNCTION("""COMPUTED_VALUE"""),0.576)</f>
        <v>0.576</v>
      </c>
    </row>
    <row r="956">
      <c r="A956" s="4" t="str">
        <f>IFERROR(__xludf.DUMMYFUNCTION("""COMPUTED_VALUE"""),"0837A")</f>
        <v>0837A</v>
      </c>
      <c r="B956" s="4" t="str">
        <f>IFERROR(__xludf.DUMMYFUNCTION("""COMPUTED_VALUE"""),"Adhesivo 300 mm productos químicos corrosivos")</f>
        <v>Adhesivo 300 mm productos químicos corrosivos</v>
      </c>
      <c r="C956" s="4">
        <f>IFERROR(__xludf.DUMMYFUNCTION("""COMPUTED_VALUE"""),1.536)</f>
        <v>1.536</v>
      </c>
    </row>
    <row r="957">
      <c r="A957" s="4" t="str">
        <f>IFERROR(__xludf.DUMMYFUNCTION("""COMPUTED_VALUE"""),"838")</f>
        <v>838</v>
      </c>
      <c r="B957" s="4" t="str">
        <f>IFERROR(__xludf.DUMMYFUNCTION("""COMPUTED_VALUE"""),"Adhesivo 100 mm productos químicos peligro grave para la")</f>
        <v>Adhesivo 100 mm productos químicos peligro grave para la</v>
      </c>
      <c r="C957" s="4">
        <f>IFERROR(__xludf.DUMMYFUNCTION("""COMPUTED_VALUE"""),0.576)</f>
        <v>0.576</v>
      </c>
    </row>
    <row r="958">
      <c r="A958" s="4" t="str">
        <f>IFERROR(__xludf.DUMMYFUNCTION("""COMPUTED_VALUE"""),"0838A")</f>
        <v>0838A</v>
      </c>
      <c r="B958" s="4" t="str">
        <f>IFERROR(__xludf.DUMMYFUNCTION("""COMPUTED_VALUE"""),"Adhesivo 300 mm productos químicos peligro grave para la")</f>
        <v>Adhesivo 300 mm productos químicos peligro grave para la</v>
      </c>
      <c r="C958" s="4">
        <f>IFERROR(__xludf.DUMMYFUNCTION("""COMPUTED_VALUE"""),1.536)</f>
        <v>1.536</v>
      </c>
    </row>
    <row r="959">
      <c r="A959" s="4" t="str">
        <f>IFERROR(__xludf.DUMMYFUNCTION("""COMPUTED_VALUE"""),"839")</f>
        <v>839</v>
      </c>
      <c r="B959" s="4" t="str">
        <f>IFERROR(__xludf.DUMMYFUNCTION("""COMPUTED_VALUE"""),"Adhesivo 100 mm productos químicos peligro para la salud")</f>
        <v>Adhesivo 100 mm productos químicos peligro para la salud</v>
      </c>
      <c r="C959" s="4">
        <f>IFERROR(__xludf.DUMMYFUNCTION("""COMPUTED_VALUE"""),0.576)</f>
        <v>0.576</v>
      </c>
    </row>
    <row r="960">
      <c r="A960" s="4" t="str">
        <f>IFERROR(__xludf.DUMMYFUNCTION("""COMPUTED_VALUE"""),"0839A")</f>
        <v>0839A</v>
      </c>
      <c r="B960" s="4" t="str">
        <f>IFERROR(__xludf.DUMMYFUNCTION("""COMPUTED_VALUE"""),"Adhesivo 300 mm productos químicos peligro para la salud")</f>
        <v>Adhesivo 300 mm productos químicos peligro para la salud</v>
      </c>
      <c r="C960" s="4">
        <f>IFERROR(__xludf.DUMMYFUNCTION("""COMPUTED_VALUE"""),1.536)</f>
        <v>1.536</v>
      </c>
    </row>
    <row r="961">
      <c r="A961" s="4" t="str">
        <f>IFERROR(__xludf.DUMMYFUNCTION("""COMPUTED_VALUE"""),"840")</f>
        <v>840</v>
      </c>
      <c r="B961" s="4" t="str">
        <f>IFERROR(__xludf.DUMMYFUNCTION("""COMPUTED_VALUE"""),"Adhesivo 100 mm productos químicos peligro para el medio")</f>
        <v>Adhesivo 100 mm productos químicos peligro para el medio</v>
      </c>
      <c r="C961" s="4">
        <f>IFERROR(__xludf.DUMMYFUNCTION("""COMPUTED_VALUE"""),0.576)</f>
        <v>0.576</v>
      </c>
    </row>
    <row r="962">
      <c r="A962" s="4" t="str">
        <f>IFERROR(__xludf.DUMMYFUNCTION("""COMPUTED_VALUE"""),"0840A")</f>
        <v>0840A</v>
      </c>
      <c r="B962" s="4" t="str">
        <f>IFERROR(__xludf.DUMMYFUNCTION("""COMPUTED_VALUE"""),"Adhesivo 300 mm productos químicos peligro para el medio")</f>
        <v>Adhesivo 300 mm productos químicos peligro para el medio</v>
      </c>
      <c r="C962" s="4">
        <f>IFERROR(__xludf.DUMMYFUNCTION("""COMPUTED_VALUE"""),1.536)</f>
        <v>1.536</v>
      </c>
    </row>
    <row r="963">
      <c r="A963" s="4" t="str">
        <f>IFERROR(__xludf.DUMMYFUNCTION("""COMPUTED_VALUE"""),"841")</f>
        <v>841</v>
      </c>
      <c r="B963" s="4" t="str">
        <f>IFERROR(__xludf.DUMMYFUNCTION("""COMPUTED_VALUE"""),"Adhesivo información general aparcamiento 200x60 mm")</f>
        <v>Adhesivo información general aparcamiento 200x60 mm</v>
      </c>
      <c r="C963" s="4">
        <f>IFERROR(__xludf.DUMMYFUNCTION("""COMPUTED_VALUE"""),1.056)</f>
        <v>1.056</v>
      </c>
    </row>
    <row r="964">
      <c r="A964" s="4" t="str">
        <f>IFERROR(__xludf.DUMMYFUNCTION("""COMPUTED_VALUE"""),"0841A")</f>
        <v>0841A</v>
      </c>
      <c r="B964" s="4" t="str">
        <f>IFERROR(__xludf.DUMMYFUNCTION("""COMPUTED_VALUE"""),"Adhesivo información general aparcamiento 300x100 mm")</f>
        <v>Adhesivo información general aparcamiento 300x100 mm</v>
      </c>
      <c r="C964" s="4">
        <f>IFERROR(__xludf.DUMMYFUNCTION("""COMPUTED_VALUE"""),1.536)</f>
        <v>1.536</v>
      </c>
    </row>
    <row r="965">
      <c r="A965" s="4" t="str">
        <f>IFERROR(__xludf.DUMMYFUNCTION("""COMPUTED_VALUE"""),"0841C")</f>
        <v>0841C</v>
      </c>
      <c r="B965" s="4" t="str">
        <f>IFERROR(__xludf.DUMMYFUNCTION("""COMPUTED_VALUE"""),"Cartel PVC información general aparcamiento 300x100 mm")</f>
        <v>Cartel PVC información general aparcamiento 300x100 mm</v>
      </c>
      <c r="C965" s="4">
        <f>IFERROR(__xludf.DUMMYFUNCTION("""COMPUTED_VALUE"""),1.776)</f>
        <v>1.776</v>
      </c>
    </row>
    <row r="966">
      <c r="A966" s="4" t="str">
        <f>IFERROR(__xludf.DUMMYFUNCTION("""COMPUTED_VALUE"""),"842")</f>
        <v>842</v>
      </c>
      <c r="B966" s="4" t="str">
        <f>IFERROR(__xludf.DUMMYFUNCTION("""COMPUTED_VALUE"""),"Adhesivo información general aseos minusváldos 200x60 mm")</f>
        <v>Adhesivo información general aseos minusváldos 200x60 mm</v>
      </c>
      <c r="C966" s="4">
        <f>IFERROR(__xludf.DUMMYFUNCTION("""COMPUTED_VALUE"""),1.056)</f>
        <v>1.056</v>
      </c>
    </row>
    <row r="967">
      <c r="A967" s="4" t="str">
        <f>IFERROR(__xludf.DUMMYFUNCTION("""COMPUTED_VALUE"""),"0842A")</f>
        <v>0842A</v>
      </c>
      <c r="B967" s="4" t="str">
        <f>IFERROR(__xludf.DUMMYFUNCTION("""COMPUTED_VALUE"""),"Adhesivo información general aseos minusválidos 300x100")</f>
        <v>Adhesivo información general aseos minusválidos 300x100</v>
      </c>
      <c r="C967" s="4">
        <f>IFERROR(__xludf.DUMMYFUNCTION("""COMPUTED_VALUE"""),1.536)</f>
        <v>1.536</v>
      </c>
    </row>
    <row r="968">
      <c r="A968" s="4" t="str">
        <f>IFERROR(__xludf.DUMMYFUNCTION("""COMPUTED_VALUE"""),"0842C")</f>
        <v>0842C</v>
      </c>
      <c r="B968" s="4" t="str">
        <f>IFERROR(__xludf.DUMMYFUNCTION("""COMPUTED_VALUE"""),"Cartel PVC información general aseos minusválidos 300x100")</f>
        <v>Cartel PVC información general aseos minusválidos 300x100</v>
      </c>
      <c r="C968" s="4">
        <f>IFERROR(__xludf.DUMMYFUNCTION("""COMPUTED_VALUE"""),1.776)</f>
        <v>1.776</v>
      </c>
    </row>
    <row r="969">
      <c r="A969" s="4" t="str">
        <f>IFERROR(__xludf.DUMMYFUNCTION("""COMPUTED_VALUE"""),"843")</f>
        <v>843</v>
      </c>
      <c r="B969" s="4" t="str">
        <f>IFERROR(__xludf.DUMMYFUNCTION("""COMPUTED_VALUE"""),"Adhesivo información general aseos masculino 200x60 mm")</f>
        <v>Adhesivo información general aseos masculino 200x60 mm</v>
      </c>
      <c r="C969" s="4">
        <f>IFERROR(__xludf.DUMMYFUNCTION("""COMPUTED_VALUE"""),1.056)</f>
        <v>1.056</v>
      </c>
    </row>
    <row r="970">
      <c r="A970" s="4" t="str">
        <f>IFERROR(__xludf.DUMMYFUNCTION("""COMPUTED_VALUE"""),"0843A")</f>
        <v>0843A</v>
      </c>
      <c r="B970" s="4" t="str">
        <f>IFERROR(__xludf.DUMMYFUNCTION("""COMPUTED_VALUE"""),"Adhesivo información general aseos masculino 300x100 mm")</f>
        <v>Adhesivo información general aseos masculino 300x100 mm</v>
      </c>
      <c r="C970" s="4">
        <f>IFERROR(__xludf.DUMMYFUNCTION("""COMPUTED_VALUE"""),1.536)</f>
        <v>1.536</v>
      </c>
    </row>
    <row r="971">
      <c r="A971" s="4" t="str">
        <f>IFERROR(__xludf.DUMMYFUNCTION("""COMPUTED_VALUE"""),"0843C")</f>
        <v>0843C</v>
      </c>
      <c r="B971" s="4" t="str">
        <f>IFERROR(__xludf.DUMMYFUNCTION("""COMPUTED_VALUE"""),"Cartel PVC información general aseos masculino 300x100 mm")</f>
        <v>Cartel PVC información general aseos masculino 300x100 mm</v>
      </c>
      <c r="C971" s="4">
        <f>IFERROR(__xludf.DUMMYFUNCTION("""COMPUTED_VALUE"""),1.776)</f>
        <v>1.776</v>
      </c>
    </row>
    <row r="972">
      <c r="A972" s="4" t="str">
        <f>IFERROR(__xludf.DUMMYFUNCTION("""COMPUTED_VALUE"""),"845")</f>
        <v>845</v>
      </c>
      <c r="B972" s="4" t="str">
        <f>IFERROR(__xludf.DUMMYFUNCTION("""COMPUTED_VALUE"""),"Adhesivo información general aseos mixtos 200x60 mm")</f>
        <v>Adhesivo información general aseos mixtos 200x60 mm</v>
      </c>
      <c r="C972" s="4">
        <f>IFERROR(__xludf.DUMMYFUNCTION("""COMPUTED_VALUE"""),1.056)</f>
        <v>1.056</v>
      </c>
    </row>
    <row r="973">
      <c r="A973" s="4" t="str">
        <f>IFERROR(__xludf.DUMMYFUNCTION("""COMPUTED_VALUE"""),"0845A")</f>
        <v>0845A</v>
      </c>
      <c r="B973" s="4" t="str">
        <f>IFERROR(__xludf.DUMMYFUNCTION("""COMPUTED_VALUE"""),"Adhesivo información general aseos mixtos 300x100 mm")</f>
        <v>Adhesivo información general aseos mixtos 300x100 mm</v>
      </c>
      <c r="C973" s="4">
        <f>IFERROR(__xludf.DUMMYFUNCTION("""COMPUTED_VALUE"""),1.536)</f>
        <v>1.536</v>
      </c>
    </row>
    <row r="974">
      <c r="A974" s="4" t="str">
        <f>IFERROR(__xludf.DUMMYFUNCTION("""COMPUTED_VALUE"""),"0845C")</f>
        <v>0845C</v>
      </c>
      <c r="B974" s="4" t="str">
        <f>IFERROR(__xludf.DUMMYFUNCTION("""COMPUTED_VALUE"""),"Cartel PVC información general asos mixtos 300x100 mm")</f>
        <v>Cartel PVC información general asos mixtos 300x100 mm</v>
      </c>
      <c r="C974" s="4">
        <f>IFERROR(__xludf.DUMMYFUNCTION("""COMPUTED_VALUE"""),1.776)</f>
        <v>1.776</v>
      </c>
    </row>
    <row r="975">
      <c r="A975" s="4" t="str">
        <f>IFERROR(__xludf.DUMMYFUNCTION("""COMPUTED_VALUE"""),"846")</f>
        <v>846</v>
      </c>
      <c r="B975" s="4" t="str">
        <f>IFERROR(__xludf.DUMMYFUNCTION("""COMPUTED_VALUE"""),"Adhesivo información general aseos femenino 200x60 mm")</f>
        <v>Adhesivo información general aseos femenino 200x60 mm</v>
      </c>
      <c r="C975" s="4">
        <f>IFERROR(__xludf.DUMMYFUNCTION("""COMPUTED_VALUE"""),1.056)</f>
        <v>1.056</v>
      </c>
    </row>
    <row r="976">
      <c r="A976" s="4" t="str">
        <f>IFERROR(__xludf.DUMMYFUNCTION("""COMPUTED_VALUE"""),"0846A")</f>
        <v>0846A</v>
      </c>
      <c r="B976" s="4" t="str">
        <f>IFERROR(__xludf.DUMMYFUNCTION("""COMPUTED_VALUE"""),"Adhesivo información general aseos femeninio 300x100 mm")</f>
        <v>Adhesivo información general aseos femeninio 300x100 mm</v>
      </c>
      <c r="C976" s="4">
        <f>IFERROR(__xludf.DUMMYFUNCTION("""COMPUTED_VALUE"""),1.536)</f>
        <v>1.536</v>
      </c>
    </row>
    <row r="977">
      <c r="A977" s="4" t="str">
        <f>IFERROR(__xludf.DUMMYFUNCTION("""COMPUTED_VALUE"""),"0846C")</f>
        <v>0846C</v>
      </c>
      <c r="B977" s="4" t="str">
        <f>IFERROR(__xludf.DUMMYFUNCTION("""COMPUTED_VALUE"""),"Cartel PVC informacion general Aseos femenino 300x100 mm")</f>
        <v>Cartel PVC informacion general Aseos femenino 300x100 mm</v>
      </c>
      <c r="C977" s="4">
        <f>IFERROR(__xludf.DUMMYFUNCTION("""COMPUTED_VALUE"""),1.776)</f>
        <v>1.776</v>
      </c>
    </row>
    <row r="978">
      <c r="A978" s="4" t="str">
        <f>IFERROR(__xludf.DUMMYFUNCTION("""COMPUTED_VALUE"""),"847")</f>
        <v>847</v>
      </c>
      <c r="B978" s="4" t="str">
        <f>IFERROR(__xludf.DUMMYFUNCTION("""COMPUTED_VALUE"""),"Adhesivo información general vestuario mixto 200x60 mm")</f>
        <v>Adhesivo información general vestuario mixto 200x60 mm</v>
      </c>
      <c r="C978" s="4">
        <f>IFERROR(__xludf.DUMMYFUNCTION("""COMPUTED_VALUE"""),1.056)</f>
        <v>1.056</v>
      </c>
    </row>
    <row r="979">
      <c r="A979" s="4" t="str">
        <f>IFERROR(__xludf.DUMMYFUNCTION("""COMPUTED_VALUE"""),"0847A")</f>
        <v>0847A</v>
      </c>
      <c r="B979" s="4" t="str">
        <f>IFERROR(__xludf.DUMMYFUNCTION("""COMPUTED_VALUE"""),"Adhesivo información general vestuario mixto 300x100 mm")</f>
        <v>Adhesivo información general vestuario mixto 300x100 mm</v>
      </c>
      <c r="C979" s="4">
        <f>IFERROR(__xludf.DUMMYFUNCTION("""COMPUTED_VALUE"""),1.536)</f>
        <v>1.536</v>
      </c>
    </row>
    <row r="980">
      <c r="A980" s="4" t="str">
        <f>IFERROR(__xludf.DUMMYFUNCTION("""COMPUTED_VALUE"""),"0847C")</f>
        <v>0847C</v>
      </c>
      <c r="B980" s="4" t="str">
        <f>IFERROR(__xludf.DUMMYFUNCTION("""COMPUTED_VALUE"""),"Cartel PVC información general vestuarios mixtos 300x100 mm")</f>
        <v>Cartel PVC información general vestuarios mixtos 300x100 mm</v>
      </c>
      <c r="C980" s="4">
        <f>IFERROR(__xludf.DUMMYFUNCTION("""COMPUTED_VALUE"""),1.776)</f>
        <v>1.776</v>
      </c>
    </row>
    <row r="981">
      <c r="A981" s="4" t="str">
        <f>IFERROR(__xludf.DUMMYFUNCTION("""COMPUTED_VALUE"""),"848")</f>
        <v>848</v>
      </c>
      <c r="B981" s="4" t="str">
        <f>IFERROR(__xludf.DUMMYFUNCTION("""COMPUTED_VALUE"""),"Adhesivo información general vestuario femenino 200x60 mm")</f>
        <v>Adhesivo información general vestuario femenino 200x60 mm</v>
      </c>
      <c r="C981" s="4">
        <f>IFERROR(__xludf.DUMMYFUNCTION("""COMPUTED_VALUE"""),1.056)</f>
        <v>1.056</v>
      </c>
    </row>
    <row r="982">
      <c r="A982" s="4" t="str">
        <f>IFERROR(__xludf.DUMMYFUNCTION("""COMPUTED_VALUE"""),"0848A")</f>
        <v>0848A</v>
      </c>
      <c r="B982" s="4" t="str">
        <f>IFERROR(__xludf.DUMMYFUNCTION("""COMPUTED_VALUE"""),"Adhesivo información general vestuario femenino 300x100 mm")</f>
        <v>Adhesivo información general vestuario femenino 300x100 mm</v>
      </c>
      <c r="C982" s="4">
        <f>IFERROR(__xludf.DUMMYFUNCTION("""COMPUTED_VALUE"""),1.536)</f>
        <v>1.536</v>
      </c>
    </row>
    <row r="983">
      <c r="A983" s="4" t="str">
        <f>IFERROR(__xludf.DUMMYFUNCTION("""COMPUTED_VALUE"""),"0848C")</f>
        <v>0848C</v>
      </c>
      <c r="B983" s="4" t="str">
        <f>IFERROR(__xludf.DUMMYFUNCTION("""COMPUTED_VALUE"""),"Cartel PVC información general vestuario femenino 300x100")</f>
        <v>Cartel PVC información general vestuario femenino 300x100</v>
      </c>
      <c r="C983" s="4">
        <f>IFERROR(__xludf.DUMMYFUNCTION("""COMPUTED_VALUE"""),1.776)</f>
        <v>1.776</v>
      </c>
    </row>
    <row r="984">
      <c r="A984" s="4" t="str">
        <f>IFERROR(__xludf.DUMMYFUNCTION("""COMPUTED_VALUE"""),"849")</f>
        <v>849</v>
      </c>
      <c r="B984" s="4" t="str">
        <f>IFERROR(__xludf.DUMMYFUNCTION("""COMPUTED_VALUE"""),"Adhesivo información general vestuario masculino 200x60 mm")</f>
        <v>Adhesivo información general vestuario masculino 200x60 mm</v>
      </c>
      <c r="C984" s="4">
        <f>IFERROR(__xludf.DUMMYFUNCTION("""COMPUTED_VALUE"""),1.056)</f>
        <v>1.056</v>
      </c>
    </row>
    <row r="985">
      <c r="A985" s="4" t="str">
        <f>IFERROR(__xludf.DUMMYFUNCTION("""COMPUTED_VALUE"""),"0849A")</f>
        <v>0849A</v>
      </c>
      <c r="B985" s="4" t="str">
        <f>IFERROR(__xludf.DUMMYFUNCTION("""COMPUTED_VALUE"""),"Adhesivo información general vestuario masculino 300x100")</f>
        <v>Adhesivo información general vestuario masculino 300x100</v>
      </c>
      <c r="C985" s="4">
        <f>IFERROR(__xludf.DUMMYFUNCTION("""COMPUTED_VALUE"""),1.536)</f>
        <v>1.536</v>
      </c>
    </row>
    <row r="986">
      <c r="A986" s="4" t="str">
        <f>IFERROR(__xludf.DUMMYFUNCTION("""COMPUTED_VALUE"""),"0849C")</f>
        <v>0849C</v>
      </c>
      <c r="B986" s="4" t="str">
        <f>IFERROR(__xludf.DUMMYFUNCTION("""COMPUTED_VALUE"""),"Cartel PVC información general vestuario masculino 300x100")</f>
        <v>Cartel PVC información general vestuario masculino 300x100</v>
      </c>
      <c r="C986" s="4">
        <f>IFERROR(__xludf.DUMMYFUNCTION("""COMPUTED_VALUE"""),1.776)</f>
        <v>1.776</v>
      </c>
    </row>
    <row r="987">
      <c r="A987" s="4" t="str">
        <f>IFERROR(__xludf.DUMMYFUNCTION("""COMPUTED_VALUE"""),"850")</f>
        <v>850</v>
      </c>
      <c r="B987" s="4" t="str">
        <f>IFERROR(__xludf.DUMMYFUNCTION("""COMPUTED_VALUE"""),"Adhesivo información general información 200x60 mm")</f>
        <v>Adhesivo información general información 200x60 mm</v>
      </c>
      <c r="C987" s="4">
        <f>IFERROR(__xludf.DUMMYFUNCTION("""COMPUTED_VALUE"""),1.056)</f>
        <v>1.056</v>
      </c>
    </row>
    <row r="988">
      <c r="A988" s="4" t="str">
        <f>IFERROR(__xludf.DUMMYFUNCTION("""COMPUTED_VALUE"""),"0850A")</f>
        <v>0850A</v>
      </c>
      <c r="B988" s="4" t="str">
        <f>IFERROR(__xludf.DUMMYFUNCTION("""COMPUTED_VALUE"""),"Adhesivo información general información 300x100 mm")</f>
        <v>Adhesivo información general información 300x100 mm</v>
      </c>
      <c r="C988" s="4">
        <f>IFERROR(__xludf.DUMMYFUNCTION("""COMPUTED_VALUE"""),1.536)</f>
        <v>1.536</v>
      </c>
    </row>
    <row r="989">
      <c r="A989" s="4" t="str">
        <f>IFERROR(__xludf.DUMMYFUNCTION("""COMPUTED_VALUE"""),"0850C")</f>
        <v>0850C</v>
      </c>
      <c r="B989" s="4" t="str">
        <f>IFERROR(__xludf.DUMMYFUNCTION("""COMPUTED_VALUE"""),"Cartel PVC información general información 300x100 mm")</f>
        <v>Cartel PVC información general información 300x100 mm</v>
      </c>
      <c r="C989" s="4">
        <f>IFERROR(__xludf.DUMMYFUNCTION("""COMPUTED_VALUE"""),1.776)</f>
        <v>1.776</v>
      </c>
    </row>
    <row r="990">
      <c r="A990" s="4" t="str">
        <f>IFERROR(__xludf.DUMMYFUNCTION("""COMPUTED_VALUE"""),"851")</f>
        <v>851</v>
      </c>
      <c r="B990" s="4" t="str">
        <f>IFERROR(__xludf.DUMMYFUNCTION("""COMPUTED_VALUE"""),"Adhesivo información general teléfono 200x60 mm")</f>
        <v>Adhesivo información general teléfono 200x60 mm</v>
      </c>
      <c r="C990" s="4">
        <f>IFERROR(__xludf.DUMMYFUNCTION("""COMPUTED_VALUE"""),1.056)</f>
        <v>1.056</v>
      </c>
    </row>
    <row r="991">
      <c r="A991" s="4" t="str">
        <f>IFERROR(__xludf.DUMMYFUNCTION("""COMPUTED_VALUE"""),"0851A")</f>
        <v>0851A</v>
      </c>
      <c r="B991" s="4" t="str">
        <f>IFERROR(__xludf.DUMMYFUNCTION("""COMPUTED_VALUE"""),"Adhesivo información general teléfono 300x100 mm")</f>
        <v>Adhesivo información general teléfono 300x100 mm</v>
      </c>
      <c r="C991" s="4">
        <f>IFERROR(__xludf.DUMMYFUNCTION("""COMPUTED_VALUE"""),1.536)</f>
        <v>1.536</v>
      </c>
    </row>
    <row r="992">
      <c r="A992" s="4" t="str">
        <f>IFERROR(__xludf.DUMMYFUNCTION("""COMPUTED_VALUE"""),"0851C")</f>
        <v>0851C</v>
      </c>
      <c r="B992" s="4" t="str">
        <f>IFERROR(__xludf.DUMMYFUNCTION("""COMPUTED_VALUE"""),"Cartel PVC información general teléfono 300x100 mm")</f>
        <v>Cartel PVC información general teléfono 300x100 mm</v>
      </c>
      <c r="C992" s="4">
        <f>IFERROR(__xludf.DUMMYFUNCTION("""COMPUTED_VALUE"""),1.776)</f>
        <v>1.776</v>
      </c>
    </row>
    <row r="993">
      <c r="A993" s="4" t="str">
        <f>IFERROR(__xludf.DUMMYFUNCTION("""COMPUTED_VALUE"""),"852")</f>
        <v>852</v>
      </c>
      <c r="B993" s="4" t="str">
        <f>IFERROR(__xludf.DUMMYFUNCTION("""COMPUTED_VALUE"""),"Adhesivo información general guardarropa 200x60 mm")</f>
        <v>Adhesivo información general guardarropa 200x60 mm</v>
      </c>
      <c r="C993" s="4">
        <f>IFERROR(__xludf.DUMMYFUNCTION("""COMPUTED_VALUE"""),1.056)</f>
        <v>1.056</v>
      </c>
    </row>
    <row r="994">
      <c r="A994" s="4" t="str">
        <f>IFERROR(__xludf.DUMMYFUNCTION("""COMPUTED_VALUE"""),"0852A")</f>
        <v>0852A</v>
      </c>
      <c r="B994" s="4" t="str">
        <f>IFERROR(__xludf.DUMMYFUNCTION("""COMPUTED_VALUE"""),"Adhesivo información general guardarropa 300x100 mm")</f>
        <v>Adhesivo información general guardarropa 300x100 mm</v>
      </c>
      <c r="C994" s="4">
        <f>IFERROR(__xludf.DUMMYFUNCTION("""COMPUTED_VALUE"""),1.536)</f>
        <v>1.536</v>
      </c>
    </row>
    <row r="995">
      <c r="A995" s="4" t="str">
        <f>IFERROR(__xludf.DUMMYFUNCTION("""COMPUTED_VALUE"""),"0852C")</f>
        <v>0852C</v>
      </c>
      <c r="B995" s="4" t="str">
        <f>IFERROR(__xludf.DUMMYFUNCTION("""COMPUTED_VALUE"""),"Cartel PVC información general Guardarropa 300x100 mm")</f>
        <v>Cartel PVC información general Guardarropa 300x100 mm</v>
      </c>
      <c r="C995" s="4">
        <f>IFERROR(__xludf.DUMMYFUNCTION("""COMPUTED_VALUE"""),1.776)</f>
        <v>1.776</v>
      </c>
    </row>
    <row r="996">
      <c r="A996" s="4" t="str">
        <f>IFERROR(__xludf.DUMMYFUNCTION("""COMPUTED_VALUE"""),"853")</f>
        <v>853</v>
      </c>
      <c r="B996" s="4" t="str">
        <f>IFERROR(__xludf.DUMMYFUNCTION("""COMPUTED_VALUE"""),"Adhesivo información general restaurante 200x60 mm")</f>
        <v>Adhesivo información general restaurante 200x60 mm</v>
      </c>
      <c r="C996" s="4">
        <f>IFERROR(__xludf.DUMMYFUNCTION("""COMPUTED_VALUE"""),1.056)</f>
        <v>1.056</v>
      </c>
    </row>
    <row r="997">
      <c r="A997" s="4" t="str">
        <f>IFERROR(__xludf.DUMMYFUNCTION("""COMPUTED_VALUE"""),"0853A")</f>
        <v>0853A</v>
      </c>
      <c r="B997" s="4" t="str">
        <f>IFERROR(__xludf.DUMMYFUNCTION("""COMPUTED_VALUE"""),"Adhesivo información general restaurante 300x100 mm")</f>
        <v>Adhesivo información general restaurante 300x100 mm</v>
      </c>
      <c r="C997" s="4">
        <f>IFERROR(__xludf.DUMMYFUNCTION("""COMPUTED_VALUE"""),1.536)</f>
        <v>1.536</v>
      </c>
    </row>
    <row r="998">
      <c r="A998" s="4" t="str">
        <f>IFERROR(__xludf.DUMMYFUNCTION("""COMPUTED_VALUE"""),"0853C")</f>
        <v>0853C</v>
      </c>
      <c r="B998" s="4" t="str">
        <f>IFERROR(__xludf.DUMMYFUNCTION("""COMPUTED_VALUE"""),"Cartel PVC información general restaurantes 300x100 mm")</f>
        <v>Cartel PVC información general restaurantes 300x100 mm</v>
      </c>
      <c r="C998" s="4">
        <f>IFERROR(__xludf.DUMMYFUNCTION("""COMPUTED_VALUE"""),1.776)</f>
        <v>1.776</v>
      </c>
    </row>
    <row r="999">
      <c r="A999" s="4" t="str">
        <f>IFERROR(__xludf.DUMMYFUNCTION("""COMPUTED_VALUE"""),"854")</f>
        <v>854</v>
      </c>
      <c r="B999" s="4" t="str">
        <f>IFERROR(__xludf.DUMMYFUNCTION("""COMPUTED_VALUE"""),"Adhesivo información general cuarto limpieza 200x60 mm")</f>
        <v>Adhesivo información general cuarto limpieza 200x60 mm</v>
      </c>
      <c r="C999" s="4">
        <f>IFERROR(__xludf.DUMMYFUNCTION("""COMPUTED_VALUE"""),1.056)</f>
        <v>1.056</v>
      </c>
    </row>
    <row r="1000">
      <c r="A1000" s="4" t="str">
        <f>IFERROR(__xludf.DUMMYFUNCTION("""COMPUTED_VALUE"""),"0854A")</f>
        <v>0854A</v>
      </c>
      <c r="B1000" s="4" t="str">
        <f>IFERROR(__xludf.DUMMYFUNCTION("""COMPUTED_VALUE"""),"Adhesivo información general cuarto limpieza 300x100 mm")</f>
        <v>Adhesivo información general cuarto limpieza 300x100 mm</v>
      </c>
      <c r="C1000" s="4">
        <f>IFERROR(__xludf.DUMMYFUNCTION("""COMPUTED_VALUE"""),1.536)</f>
        <v>1.536</v>
      </c>
    </row>
    <row r="1001">
      <c r="A1001" s="4" t="str">
        <f>IFERROR(__xludf.DUMMYFUNCTION("""COMPUTED_VALUE"""),"0854C")</f>
        <v>0854C</v>
      </c>
      <c r="B1001" s="4" t="str">
        <f>IFERROR(__xludf.DUMMYFUNCTION("""COMPUTED_VALUE"""),"Cartel PVC información general cuarto limpieza 300x100 mm")</f>
        <v>Cartel PVC información general cuarto limpieza 300x100 mm</v>
      </c>
      <c r="C1001" s="4">
        <f>IFERROR(__xludf.DUMMYFUNCTION("""COMPUTED_VALUE"""),1.776)</f>
        <v>1.776</v>
      </c>
    </row>
    <row r="1002">
      <c r="A1002" s="4" t="str">
        <f>IFERROR(__xludf.DUMMYFUNCTION("""COMPUTED_VALUE"""),"855")</f>
        <v>855</v>
      </c>
      <c r="B1002" s="4" t="str">
        <f>IFERROR(__xludf.DUMMYFUNCTION("""COMPUTED_VALUE"""),"Adhesivo información general almacen 200x60 mm")</f>
        <v>Adhesivo información general almacen 200x60 mm</v>
      </c>
      <c r="C1002" s="4">
        <f>IFERROR(__xludf.DUMMYFUNCTION("""COMPUTED_VALUE"""),1.056)</f>
        <v>1.056</v>
      </c>
    </row>
    <row r="1003">
      <c r="A1003" s="4" t="str">
        <f>IFERROR(__xludf.DUMMYFUNCTION("""COMPUTED_VALUE"""),"0855A")</f>
        <v>0855A</v>
      </c>
      <c r="B1003" s="4" t="str">
        <f>IFERROR(__xludf.DUMMYFUNCTION("""COMPUTED_VALUE"""),"Adhesivo información general almacen 300x100 mm")</f>
        <v>Adhesivo información general almacen 300x100 mm</v>
      </c>
      <c r="C1003" s="4">
        <f>IFERROR(__xludf.DUMMYFUNCTION("""COMPUTED_VALUE"""),1.536)</f>
        <v>1.536</v>
      </c>
    </row>
    <row r="1004">
      <c r="A1004" s="4" t="str">
        <f>IFERROR(__xludf.DUMMYFUNCTION("""COMPUTED_VALUE"""),"0855C")</f>
        <v>0855C</v>
      </c>
      <c r="B1004" s="4" t="str">
        <f>IFERROR(__xludf.DUMMYFUNCTION("""COMPUTED_VALUE"""),"Cartel PVC información general almacén 300x100 mm")</f>
        <v>Cartel PVC información general almacén 300x100 mm</v>
      </c>
      <c r="C1004" s="4">
        <f>IFERROR(__xludf.DUMMYFUNCTION("""COMPUTED_VALUE"""),1.776)</f>
        <v>1.776</v>
      </c>
    </row>
    <row r="1005">
      <c r="A1005" s="4" t="str">
        <f>IFERROR(__xludf.DUMMYFUNCTION("""COMPUTED_VALUE"""),"856")</f>
        <v>856</v>
      </c>
      <c r="B1005" s="4" t="str">
        <f>IFERROR(__xludf.DUMMYFUNCTION("""COMPUTED_VALUE"""),"Adhesivo información general oficina 200x60 mm")</f>
        <v>Adhesivo información general oficina 200x60 mm</v>
      </c>
      <c r="C1005" s="4">
        <f>IFERROR(__xludf.DUMMYFUNCTION("""COMPUTED_VALUE"""),1.056)</f>
        <v>1.056</v>
      </c>
    </row>
    <row r="1006">
      <c r="A1006" s="4" t="str">
        <f>IFERROR(__xludf.DUMMYFUNCTION("""COMPUTED_VALUE"""),"0856A")</f>
        <v>0856A</v>
      </c>
      <c r="B1006" s="4" t="str">
        <f>IFERROR(__xludf.DUMMYFUNCTION("""COMPUTED_VALUE"""),"Adhesivo información general oficina 300x100 mm")</f>
        <v>Adhesivo información general oficina 300x100 mm</v>
      </c>
      <c r="C1006" s="4">
        <f>IFERROR(__xludf.DUMMYFUNCTION("""COMPUTED_VALUE"""),1.536)</f>
        <v>1.536</v>
      </c>
    </row>
    <row r="1007">
      <c r="A1007" s="4" t="str">
        <f>IFERROR(__xludf.DUMMYFUNCTION("""COMPUTED_VALUE"""),"0856C")</f>
        <v>0856C</v>
      </c>
      <c r="B1007" s="4" t="str">
        <f>IFERROR(__xludf.DUMMYFUNCTION("""COMPUTED_VALUE"""),"Cartel PVC información general oficina 300x100 mm")</f>
        <v>Cartel PVC información general oficina 300x100 mm</v>
      </c>
      <c r="C1007" s="4">
        <f>IFERROR(__xludf.DUMMYFUNCTION("""COMPUTED_VALUE"""),1.776)</f>
        <v>1.776</v>
      </c>
    </row>
    <row r="1008">
      <c r="A1008" s="4" t="str">
        <f>IFERROR(__xludf.DUMMYFUNCTION("""COMPUTED_VALUE"""),"857")</f>
        <v>857</v>
      </c>
      <c r="B1008" s="4" t="str">
        <f>IFERROR(__xludf.DUMMYFUNCTION("""COMPUTED_VALUE"""),"Adhesivo información general entrada 200x60mm")</f>
        <v>Adhesivo información general entrada 200x60mm</v>
      </c>
      <c r="C1008" s="4">
        <f>IFERROR(__xludf.DUMMYFUNCTION("""COMPUTED_VALUE"""),1.056)</f>
        <v>1.056</v>
      </c>
    </row>
    <row r="1009">
      <c r="A1009" s="4" t="str">
        <f>IFERROR(__xludf.DUMMYFUNCTION("""COMPUTED_VALUE"""),"0857A")</f>
        <v>0857A</v>
      </c>
      <c r="B1009" s="4" t="str">
        <f>IFERROR(__xludf.DUMMYFUNCTION("""COMPUTED_VALUE"""),"Adhesivo información general entrada 300x100mm")</f>
        <v>Adhesivo información general entrada 300x100mm</v>
      </c>
      <c r="C1009" s="4">
        <f>IFERROR(__xludf.DUMMYFUNCTION("""COMPUTED_VALUE"""),1.536)</f>
        <v>1.536</v>
      </c>
    </row>
    <row r="1010">
      <c r="A1010" s="4" t="str">
        <f>IFERROR(__xludf.DUMMYFUNCTION("""COMPUTED_VALUE"""),"0857C")</f>
        <v>0857C</v>
      </c>
      <c r="B1010" s="4" t="str">
        <f>IFERROR(__xludf.DUMMYFUNCTION("""COMPUTED_VALUE"""),"Cartel PVC información general entrada 300x100 mm")</f>
        <v>Cartel PVC información general entrada 300x100 mm</v>
      </c>
      <c r="C1010" s="4">
        <f>IFERROR(__xludf.DUMMYFUNCTION("""COMPUTED_VALUE"""),1.776)</f>
        <v>1.776</v>
      </c>
    </row>
    <row r="1011">
      <c r="A1011" s="4" t="str">
        <f>IFERROR(__xludf.DUMMYFUNCTION("""COMPUTED_VALUE"""),"858")</f>
        <v>858</v>
      </c>
      <c r="B1011" s="4" t="str">
        <f>IFERROR(__xludf.DUMMYFUNCTION("""COMPUTED_VALUE"""),"Adhesivo información general cierre la puerta 200x60 mm")</f>
        <v>Adhesivo información general cierre la puerta 200x60 mm</v>
      </c>
      <c r="C1011" s="4">
        <f>IFERROR(__xludf.DUMMYFUNCTION("""COMPUTED_VALUE"""),1.056)</f>
        <v>1.056</v>
      </c>
    </row>
    <row r="1012">
      <c r="A1012" s="4" t="str">
        <f>IFERROR(__xludf.DUMMYFUNCTION("""COMPUTED_VALUE"""),"0858A")</f>
        <v>0858A</v>
      </c>
      <c r="B1012" s="4" t="str">
        <f>IFERROR(__xludf.DUMMYFUNCTION("""COMPUTED_VALUE"""),"Adhesivo información general cierre la puerta 300x100 mm")</f>
        <v>Adhesivo información general cierre la puerta 300x100 mm</v>
      </c>
      <c r="C1012" s="4">
        <f>IFERROR(__xludf.DUMMYFUNCTION("""COMPUTED_VALUE"""),1.536)</f>
        <v>1.536</v>
      </c>
    </row>
    <row r="1013">
      <c r="A1013" s="4" t="str">
        <f>IFERROR(__xludf.DUMMYFUNCTION("""COMPUTED_VALUE"""),"0858C")</f>
        <v>0858C</v>
      </c>
      <c r="B1013" s="4" t="str">
        <f>IFERROR(__xludf.DUMMYFUNCTION("""COMPUTED_VALUE"""),"Cartel PVC información general cierre la puerta 300x100 mm")</f>
        <v>Cartel PVC información general cierre la puerta 300x100 mm</v>
      </c>
      <c r="C1013" s="4">
        <f>IFERROR(__xludf.DUMMYFUNCTION("""COMPUTED_VALUE"""),1.776)</f>
        <v>1.776</v>
      </c>
    </row>
    <row r="1014">
      <c r="A1014" s="4" t="str">
        <f>IFERROR(__xludf.DUMMYFUNCTION("""COMPUTED_VALUE"""),"859")</f>
        <v>859</v>
      </c>
      <c r="B1014" s="4" t="str">
        <f>IFERROR(__xludf.DUMMYFUNCTION("""COMPUTED_VALUE"""),"Adhesivo información general empujar 200x60 mm")</f>
        <v>Adhesivo información general empujar 200x60 mm</v>
      </c>
      <c r="C1014" s="4">
        <f>IFERROR(__xludf.DUMMYFUNCTION("""COMPUTED_VALUE"""),1.056)</f>
        <v>1.056</v>
      </c>
    </row>
    <row r="1015">
      <c r="A1015" s="4" t="str">
        <f>IFERROR(__xludf.DUMMYFUNCTION("""COMPUTED_VALUE"""),"0859A")</f>
        <v>0859A</v>
      </c>
      <c r="B1015" s="4" t="str">
        <f>IFERROR(__xludf.DUMMYFUNCTION("""COMPUTED_VALUE"""),"Adhesivo información general empujar 300x100 mm")</f>
        <v>Adhesivo información general empujar 300x100 mm</v>
      </c>
      <c r="C1015" s="4">
        <f>IFERROR(__xludf.DUMMYFUNCTION("""COMPUTED_VALUE"""),1.536)</f>
        <v>1.536</v>
      </c>
    </row>
    <row r="1016">
      <c r="A1016" s="4" t="str">
        <f>IFERROR(__xludf.DUMMYFUNCTION("""COMPUTED_VALUE"""),"0859C")</f>
        <v>0859C</v>
      </c>
      <c r="B1016" s="4" t="str">
        <f>IFERROR(__xludf.DUMMYFUNCTION("""COMPUTED_VALUE"""),"Cartel PVC información general empujar 300x100 mm")</f>
        <v>Cartel PVC información general empujar 300x100 mm</v>
      </c>
      <c r="C1016" s="4">
        <f>IFERROR(__xludf.DUMMYFUNCTION("""COMPUTED_VALUE"""),1.776)</f>
        <v>1.776</v>
      </c>
    </row>
    <row r="1017">
      <c r="A1017" s="4" t="str">
        <f>IFERROR(__xludf.DUMMYFUNCTION("""COMPUTED_VALUE"""),"860")</f>
        <v>860</v>
      </c>
      <c r="B1017" s="4" t="str">
        <f>IFERROR(__xludf.DUMMYFUNCTION("""COMPUTED_VALUE"""),"Adhesivo información general tirar 200x60 mm")</f>
        <v>Adhesivo información general tirar 200x60 mm</v>
      </c>
      <c r="C1017" s="4">
        <f>IFERROR(__xludf.DUMMYFUNCTION("""COMPUTED_VALUE"""),1.056)</f>
        <v>1.056</v>
      </c>
    </row>
    <row r="1018">
      <c r="A1018" s="4" t="str">
        <f>IFERROR(__xludf.DUMMYFUNCTION("""COMPUTED_VALUE"""),"0860A")</f>
        <v>0860A</v>
      </c>
      <c r="B1018" s="4" t="str">
        <f>IFERROR(__xludf.DUMMYFUNCTION("""COMPUTED_VALUE"""),"Adhesivo información general tirar 300x100 mm")</f>
        <v>Adhesivo información general tirar 300x100 mm</v>
      </c>
      <c r="C1018" s="4">
        <f>IFERROR(__xludf.DUMMYFUNCTION("""COMPUTED_VALUE"""),1.536)</f>
        <v>1.536</v>
      </c>
    </row>
    <row r="1019">
      <c r="A1019" s="4" t="str">
        <f>IFERROR(__xludf.DUMMYFUNCTION("""COMPUTED_VALUE"""),"0860C")</f>
        <v>0860C</v>
      </c>
      <c r="B1019" s="4" t="str">
        <f>IFERROR(__xludf.DUMMYFUNCTION("""COMPUTED_VALUE"""),"Cartel PVC información general tirar 300x100 mm")</f>
        <v>Cartel PVC información general tirar 300x100 mm</v>
      </c>
      <c r="C1019" s="4">
        <f>IFERROR(__xludf.DUMMYFUNCTION("""COMPUTED_VALUE"""),1.776)</f>
        <v>1.776</v>
      </c>
    </row>
    <row r="1020">
      <c r="A1020" s="4" t="str">
        <f>IFERROR(__xludf.DUMMYFUNCTION("""COMPUTED_VALUE"""),"861")</f>
        <v>861</v>
      </c>
      <c r="B1020" s="4" t="str">
        <f>IFERROR(__xludf.DUMMYFUNCTION("""COMPUTED_VALUE"""),"Cartel PVC 40x30 reciclado vidrio")</f>
        <v>Cartel PVC 40x30 reciclado vidrio</v>
      </c>
      <c r="C1020" s="4">
        <f>IFERROR(__xludf.DUMMYFUNCTION("""COMPUTED_VALUE"""),2.3808)</f>
        <v>2.3808</v>
      </c>
    </row>
    <row r="1021">
      <c r="A1021" s="4" t="str">
        <f>IFERROR(__xludf.DUMMYFUNCTION("""COMPUTED_VALUE"""),"0861A")</f>
        <v>0861A</v>
      </c>
      <c r="B1021" s="4" t="str">
        <f>IFERROR(__xludf.DUMMYFUNCTION("""COMPUTED_VALUE"""),"Adhesivo PVC 21x29 reciclado vidrio")</f>
        <v>Adhesivo PVC 21x29 reciclado vidrio</v>
      </c>
      <c r="C1021" s="4">
        <f>IFERROR(__xludf.DUMMYFUNCTION("""COMPUTED_VALUE"""),1.2)</f>
        <v>1.2</v>
      </c>
    </row>
    <row r="1022">
      <c r="A1022" s="4" t="str">
        <f>IFERROR(__xludf.DUMMYFUNCTION("""COMPUTED_VALUE"""),"0861P")</f>
        <v>0861P</v>
      </c>
      <c r="B1022" s="4" t="str">
        <f>IFERROR(__xludf.DUMMYFUNCTION("""COMPUTED_VALUE"""),"Cartel PVC 21x29 reciclado vidrio")</f>
        <v>Cartel PVC 21x29 reciclado vidrio</v>
      </c>
      <c r="C1022" s="4">
        <f>IFERROR(__xludf.DUMMYFUNCTION("""COMPUTED_VALUE"""),1.536)</f>
        <v>1.536</v>
      </c>
    </row>
    <row r="1023">
      <c r="A1023" s="4" t="str">
        <f>IFERROR(__xludf.DUMMYFUNCTION("""COMPUTED_VALUE"""),"862")</f>
        <v>862</v>
      </c>
      <c r="B1023" s="4" t="str">
        <f>IFERROR(__xludf.DUMMYFUNCTION("""COMPUTED_VALUE"""),"Cartel PVC 40x30 reciclado plástico")</f>
        <v>Cartel PVC 40x30 reciclado plástico</v>
      </c>
      <c r="C1023" s="4">
        <f>IFERROR(__xludf.DUMMYFUNCTION("""COMPUTED_VALUE"""),2.3808)</f>
        <v>2.3808</v>
      </c>
    </row>
    <row r="1024">
      <c r="A1024" s="4" t="str">
        <f>IFERROR(__xludf.DUMMYFUNCTION("""COMPUTED_VALUE"""),"0862A")</f>
        <v>0862A</v>
      </c>
      <c r="B1024" s="4" t="str">
        <f>IFERROR(__xludf.DUMMYFUNCTION("""COMPUTED_VALUE"""),"Adhesivo PVC 21x29 reciclado plástico")</f>
        <v>Adhesivo PVC 21x29 reciclado plástico</v>
      </c>
      <c r="C1024" s="4">
        <f>IFERROR(__xludf.DUMMYFUNCTION("""COMPUTED_VALUE"""),1.2)</f>
        <v>1.2</v>
      </c>
    </row>
    <row r="1025">
      <c r="A1025" s="4" t="str">
        <f>IFERROR(__xludf.DUMMYFUNCTION("""COMPUTED_VALUE"""),"0862P")</f>
        <v>0862P</v>
      </c>
      <c r="B1025" s="4" t="str">
        <f>IFERROR(__xludf.DUMMYFUNCTION("""COMPUTED_VALUE"""),"Cartel PVC 21x29 reciclado plástico")</f>
        <v>Cartel PVC 21x29 reciclado plástico</v>
      </c>
      <c r="C1025" s="4">
        <f>IFERROR(__xludf.DUMMYFUNCTION("""COMPUTED_VALUE"""),1.536)</f>
        <v>1.536</v>
      </c>
    </row>
    <row r="1026">
      <c r="A1026" s="4" t="str">
        <f>IFERROR(__xludf.DUMMYFUNCTION("""COMPUTED_VALUE"""),"863")</f>
        <v>863</v>
      </c>
      <c r="B1026" s="4" t="str">
        <f>IFERROR(__xludf.DUMMYFUNCTION("""COMPUTED_VALUE"""),"Cartel PVC 40x30 reciclado metal")</f>
        <v>Cartel PVC 40x30 reciclado metal</v>
      </c>
      <c r="C1026" s="4">
        <f>IFERROR(__xludf.DUMMYFUNCTION("""COMPUTED_VALUE"""),2.3808)</f>
        <v>2.3808</v>
      </c>
    </row>
    <row r="1027">
      <c r="A1027" s="4" t="str">
        <f>IFERROR(__xludf.DUMMYFUNCTION("""COMPUTED_VALUE"""),"0863A")</f>
        <v>0863A</v>
      </c>
      <c r="B1027" s="4" t="str">
        <f>IFERROR(__xludf.DUMMYFUNCTION("""COMPUTED_VALUE"""),"Adhesivo PVC 21x29 reciclado metal")</f>
        <v>Adhesivo PVC 21x29 reciclado metal</v>
      </c>
      <c r="C1027" s="4">
        <f>IFERROR(__xludf.DUMMYFUNCTION("""COMPUTED_VALUE"""),1.2)</f>
        <v>1.2</v>
      </c>
    </row>
    <row r="1028">
      <c r="A1028" s="4" t="str">
        <f>IFERROR(__xludf.DUMMYFUNCTION("""COMPUTED_VALUE"""),"0863P")</f>
        <v>0863P</v>
      </c>
      <c r="B1028" s="4" t="str">
        <f>IFERROR(__xludf.DUMMYFUNCTION("""COMPUTED_VALUE"""),"Cartel PVC 21x29 reciclado metal")</f>
        <v>Cartel PVC 21x29 reciclado metal</v>
      </c>
      <c r="C1028" s="4">
        <f>IFERROR(__xludf.DUMMYFUNCTION("""COMPUTED_VALUE"""),1.536)</f>
        <v>1.536</v>
      </c>
    </row>
    <row r="1029">
      <c r="A1029" s="4" t="str">
        <f>IFERROR(__xludf.DUMMYFUNCTION("""COMPUTED_VALUE"""),"864")</f>
        <v>864</v>
      </c>
      <c r="B1029" s="4" t="str">
        <f>IFERROR(__xludf.DUMMYFUNCTION("""COMPUTED_VALUE"""),"Cartel PVC 40x30 reciclado madera")</f>
        <v>Cartel PVC 40x30 reciclado madera</v>
      </c>
      <c r="C1029" s="4">
        <f>IFERROR(__xludf.DUMMYFUNCTION("""COMPUTED_VALUE"""),2.3808)</f>
        <v>2.3808</v>
      </c>
    </row>
    <row r="1030">
      <c r="A1030" s="4" t="str">
        <f>IFERROR(__xludf.DUMMYFUNCTION("""COMPUTED_VALUE"""),"0864A")</f>
        <v>0864A</v>
      </c>
      <c r="B1030" s="4" t="str">
        <f>IFERROR(__xludf.DUMMYFUNCTION("""COMPUTED_VALUE"""),"Adhesivo PVC 21x29 reciclado madera")</f>
        <v>Adhesivo PVC 21x29 reciclado madera</v>
      </c>
      <c r="C1030" s="4">
        <f>IFERROR(__xludf.DUMMYFUNCTION("""COMPUTED_VALUE"""),1.2)</f>
        <v>1.2</v>
      </c>
    </row>
    <row r="1031">
      <c r="A1031" s="4" t="str">
        <f>IFERROR(__xludf.DUMMYFUNCTION("""COMPUTED_VALUE"""),"0864P")</f>
        <v>0864P</v>
      </c>
      <c r="B1031" s="4" t="str">
        <f>IFERROR(__xludf.DUMMYFUNCTION("""COMPUTED_VALUE"""),"Cartel PVC 21x29 reciclado madera")</f>
        <v>Cartel PVC 21x29 reciclado madera</v>
      </c>
      <c r="C1031" s="4">
        <f>IFERROR(__xludf.DUMMYFUNCTION("""COMPUTED_VALUE"""),1.536)</f>
        <v>1.536</v>
      </c>
    </row>
    <row r="1032">
      <c r="A1032" s="4" t="str">
        <f>IFERROR(__xludf.DUMMYFUNCTION("""COMPUTED_VALUE"""),"865")</f>
        <v>865</v>
      </c>
      <c r="B1032" s="4" t="str">
        <f>IFERROR(__xludf.DUMMYFUNCTION("""COMPUTED_VALUE"""),"Cartel PVC 40x30 reciclado aluminio")</f>
        <v>Cartel PVC 40x30 reciclado aluminio</v>
      </c>
      <c r="C1032" s="4">
        <f>IFERROR(__xludf.DUMMYFUNCTION("""COMPUTED_VALUE"""),2.3808)</f>
        <v>2.3808</v>
      </c>
    </row>
    <row r="1033">
      <c r="A1033" s="4" t="str">
        <f>IFERROR(__xludf.DUMMYFUNCTION("""COMPUTED_VALUE"""),"0865A")</f>
        <v>0865A</v>
      </c>
      <c r="B1033" s="4" t="str">
        <f>IFERROR(__xludf.DUMMYFUNCTION("""COMPUTED_VALUE"""),"Adhesivo PVC 21x29 reciclado aluminio")</f>
        <v>Adhesivo PVC 21x29 reciclado aluminio</v>
      </c>
      <c r="C1033" s="4">
        <f>IFERROR(__xludf.DUMMYFUNCTION("""COMPUTED_VALUE"""),1.2)</f>
        <v>1.2</v>
      </c>
    </row>
    <row r="1034">
      <c r="A1034" s="4" t="str">
        <f>IFERROR(__xludf.DUMMYFUNCTION("""COMPUTED_VALUE"""),"0865P")</f>
        <v>0865P</v>
      </c>
      <c r="B1034" s="4" t="str">
        <f>IFERROR(__xludf.DUMMYFUNCTION("""COMPUTED_VALUE"""),"Cartel PVC 21x29 reciclado aluminio")</f>
        <v>Cartel PVC 21x29 reciclado aluminio</v>
      </c>
      <c r="C1034" s="4">
        <f>IFERROR(__xludf.DUMMYFUNCTION("""COMPUTED_VALUE"""),1.536)</f>
        <v>1.536</v>
      </c>
    </row>
    <row r="1035">
      <c r="A1035" s="4" t="str">
        <f>IFERROR(__xludf.DUMMYFUNCTION("""COMPUTED_VALUE"""),"866")</f>
        <v>866</v>
      </c>
      <c r="B1035" s="4" t="str">
        <f>IFERROR(__xludf.DUMMYFUNCTION("""COMPUTED_VALUE"""),"Cartel PVC 40x30 reciclado papel")</f>
        <v>Cartel PVC 40x30 reciclado papel</v>
      </c>
      <c r="C1035" s="4">
        <f>IFERROR(__xludf.DUMMYFUNCTION("""COMPUTED_VALUE"""),2.3808)</f>
        <v>2.3808</v>
      </c>
    </row>
    <row r="1036">
      <c r="A1036" s="4" t="str">
        <f>IFERROR(__xludf.DUMMYFUNCTION("""COMPUTED_VALUE"""),"0866A")</f>
        <v>0866A</v>
      </c>
      <c r="B1036" s="4" t="str">
        <f>IFERROR(__xludf.DUMMYFUNCTION("""COMPUTED_VALUE"""),"Adhesivo PVC 21x29 reciclado papel")</f>
        <v>Adhesivo PVC 21x29 reciclado papel</v>
      </c>
      <c r="C1036" s="4">
        <f>IFERROR(__xludf.DUMMYFUNCTION("""COMPUTED_VALUE"""),1.2)</f>
        <v>1.2</v>
      </c>
    </row>
    <row r="1037">
      <c r="A1037" s="4" t="str">
        <f>IFERROR(__xludf.DUMMYFUNCTION("""COMPUTED_VALUE"""),"0866P")</f>
        <v>0866P</v>
      </c>
      <c r="B1037" s="4" t="str">
        <f>IFERROR(__xludf.DUMMYFUNCTION("""COMPUTED_VALUE"""),"Cartel PVC 21x29 reciclado papel")</f>
        <v>Cartel PVC 21x29 reciclado papel</v>
      </c>
      <c r="C1037" s="4">
        <f>IFERROR(__xludf.DUMMYFUNCTION("""COMPUTED_VALUE"""),1.536)</f>
        <v>1.536</v>
      </c>
    </row>
    <row r="1038">
      <c r="A1038" s="4" t="str">
        <f>IFERROR(__xludf.DUMMYFUNCTION("""COMPUTED_VALUE"""),"867")</f>
        <v>867</v>
      </c>
      <c r="B1038" s="4" t="str">
        <f>IFERROR(__xludf.DUMMYFUNCTION("""COMPUTED_VALUE"""),"Cartel PVC 40x30 reciclado envases")</f>
        <v>Cartel PVC 40x30 reciclado envases</v>
      </c>
      <c r="C1038" s="4">
        <f>IFERROR(__xludf.DUMMYFUNCTION("""COMPUTED_VALUE"""),2.3808)</f>
        <v>2.3808</v>
      </c>
    </row>
    <row r="1039">
      <c r="A1039" s="4" t="str">
        <f>IFERROR(__xludf.DUMMYFUNCTION("""COMPUTED_VALUE"""),"0867A")</f>
        <v>0867A</v>
      </c>
      <c r="B1039" s="4" t="str">
        <f>IFERROR(__xludf.DUMMYFUNCTION("""COMPUTED_VALUE"""),"Adhesivo PVC 21x29 reciclado envases")</f>
        <v>Adhesivo PVC 21x29 reciclado envases</v>
      </c>
      <c r="C1039" s="4">
        <f>IFERROR(__xludf.DUMMYFUNCTION("""COMPUTED_VALUE"""),1.2)</f>
        <v>1.2</v>
      </c>
    </row>
    <row r="1040">
      <c r="A1040" s="4" t="str">
        <f>IFERROR(__xludf.DUMMYFUNCTION("""COMPUTED_VALUE"""),"0867P")</f>
        <v>0867P</v>
      </c>
      <c r="B1040" s="4" t="str">
        <f>IFERROR(__xludf.DUMMYFUNCTION("""COMPUTED_VALUE"""),"Cartel PVC 21x29 reciclado envases")</f>
        <v>Cartel PVC 21x29 reciclado envases</v>
      </c>
      <c r="C1040" s="4">
        <f>IFERROR(__xludf.DUMMYFUNCTION("""COMPUTED_VALUE"""),1.536)</f>
        <v>1.536</v>
      </c>
    </row>
    <row r="1041">
      <c r="A1041" s="4" t="str">
        <f>IFERROR(__xludf.DUMMYFUNCTION("""COMPUTED_VALUE"""),"868")</f>
        <v>868</v>
      </c>
      <c r="B1041" s="4" t="str">
        <f>IFERROR(__xludf.DUMMYFUNCTION("""COMPUTED_VALUE"""),"Cartel PVC 40x30 reciclado latas")</f>
        <v>Cartel PVC 40x30 reciclado latas</v>
      </c>
      <c r="C1041" s="4">
        <f>IFERROR(__xludf.DUMMYFUNCTION("""COMPUTED_VALUE"""),2.3808)</f>
        <v>2.3808</v>
      </c>
    </row>
    <row r="1042">
      <c r="A1042" s="4" t="str">
        <f>IFERROR(__xludf.DUMMYFUNCTION("""COMPUTED_VALUE"""),"0868A")</f>
        <v>0868A</v>
      </c>
      <c r="B1042" s="4" t="str">
        <f>IFERROR(__xludf.DUMMYFUNCTION("""COMPUTED_VALUE"""),"Adhesivo PVC 21x29 reciclado latas")</f>
        <v>Adhesivo PVC 21x29 reciclado latas</v>
      </c>
      <c r="C1042" s="4">
        <f>IFERROR(__xludf.DUMMYFUNCTION("""COMPUTED_VALUE"""),1.2)</f>
        <v>1.2</v>
      </c>
    </row>
    <row r="1043">
      <c r="A1043" s="4" t="str">
        <f>IFERROR(__xludf.DUMMYFUNCTION("""COMPUTED_VALUE"""),"0868P")</f>
        <v>0868P</v>
      </c>
      <c r="B1043" s="4" t="str">
        <f>IFERROR(__xludf.DUMMYFUNCTION("""COMPUTED_VALUE"""),"Cartel PVC 21x29 reciclado latas")</f>
        <v>Cartel PVC 21x29 reciclado latas</v>
      </c>
      <c r="C1043" s="4">
        <f>IFERROR(__xludf.DUMMYFUNCTION("""COMPUTED_VALUE"""),1.536)</f>
        <v>1.536</v>
      </c>
    </row>
    <row r="1044">
      <c r="A1044" s="4" t="str">
        <f>IFERROR(__xludf.DUMMYFUNCTION("""COMPUTED_VALUE"""),"869")</f>
        <v>869</v>
      </c>
      <c r="B1044" s="4" t="str">
        <f>IFERROR(__xludf.DUMMYFUNCTION("""COMPUTED_VALUE"""),"Cartel PVC 40x30 reciclado chatarra")</f>
        <v>Cartel PVC 40x30 reciclado chatarra</v>
      </c>
      <c r="C1044" s="4">
        <f>IFERROR(__xludf.DUMMYFUNCTION("""COMPUTED_VALUE"""),2.3808)</f>
        <v>2.3808</v>
      </c>
    </row>
    <row r="1045">
      <c r="A1045" s="4" t="str">
        <f>IFERROR(__xludf.DUMMYFUNCTION("""COMPUTED_VALUE"""),"0869A")</f>
        <v>0869A</v>
      </c>
      <c r="B1045" s="4" t="str">
        <f>IFERROR(__xludf.DUMMYFUNCTION("""COMPUTED_VALUE"""),"Adhesivo PVC 21x29 reciclado chatarra")</f>
        <v>Adhesivo PVC 21x29 reciclado chatarra</v>
      </c>
      <c r="C1045" s="4">
        <f>IFERROR(__xludf.DUMMYFUNCTION("""COMPUTED_VALUE"""),1.2)</f>
        <v>1.2</v>
      </c>
    </row>
    <row r="1046">
      <c r="A1046" s="4" t="str">
        <f>IFERROR(__xludf.DUMMYFUNCTION("""COMPUTED_VALUE"""),"0869P")</f>
        <v>0869P</v>
      </c>
      <c r="B1046" s="4" t="str">
        <f>IFERROR(__xludf.DUMMYFUNCTION("""COMPUTED_VALUE"""),"Cartel PVC 21x29 reciclado chatarra")</f>
        <v>Cartel PVC 21x29 reciclado chatarra</v>
      </c>
      <c r="C1046" s="4">
        <f>IFERROR(__xludf.DUMMYFUNCTION("""COMPUTED_VALUE"""),1.536)</f>
        <v>1.536</v>
      </c>
    </row>
    <row r="1047">
      <c r="A1047" s="4" t="str">
        <f>IFERROR(__xludf.DUMMYFUNCTION("""COMPUTED_VALUE"""),"870")</f>
        <v>870</v>
      </c>
      <c r="B1047" s="4" t="str">
        <f>IFERROR(__xludf.DUMMYFUNCTION("""COMPUTED_VALUE"""),"Cartel PVC 40x30 reciclado basura")</f>
        <v>Cartel PVC 40x30 reciclado basura</v>
      </c>
      <c r="C1047" s="4">
        <f>IFERROR(__xludf.DUMMYFUNCTION("""COMPUTED_VALUE"""),2.3808)</f>
        <v>2.3808</v>
      </c>
    </row>
    <row r="1048">
      <c r="A1048" s="4" t="str">
        <f>IFERROR(__xludf.DUMMYFUNCTION("""COMPUTED_VALUE"""),"0870A")</f>
        <v>0870A</v>
      </c>
      <c r="B1048" s="4" t="str">
        <f>IFERROR(__xludf.DUMMYFUNCTION("""COMPUTED_VALUE"""),"Adhesivo PVC 21x29 reciclado basura")</f>
        <v>Adhesivo PVC 21x29 reciclado basura</v>
      </c>
      <c r="C1048" s="4">
        <f>IFERROR(__xludf.DUMMYFUNCTION("""COMPUTED_VALUE"""),1.2)</f>
        <v>1.2</v>
      </c>
    </row>
    <row r="1049">
      <c r="A1049" s="4" t="str">
        <f>IFERROR(__xludf.DUMMYFUNCTION("""COMPUTED_VALUE"""),"0870P")</f>
        <v>0870P</v>
      </c>
      <c r="B1049" s="4" t="str">
        <f>IFERROR(__xludf.DUMMYFUNCTION("""COMPUTED_VALUE"""),"Cartel PVC 21x29 reciclado basura")</f>
        <v>Cartel PVC 21x29 reciclado basura</v>
      </c>
      <c r="C1049" s="4">
        <f>IFERROR(__xludf.DUMMYFUNCTION("""COMPUTED_VALUE"""),1.536)</f>
        <v>1.536</v>
      </c>
    </row>
    <row r="1050">
      <c r="A1050" s="4" t="str">
        <f>IFERROR(__xludf.DUMMYFUNCTION("""COMPUTED_VALUE"""),"871")</f>
        <v>871</v>
      </c>
      <c r="B1050" s="4" t="str">
        <f>IFERROR(__xludf.DUMMYFUNCTION("""COMPUTED_VALUE"""),"Cartel PVC 40x30 cm zona controlada, riesgo de irradiación")</f>
        <v>Cartel PVC 40x30 cm zona controlada, riesgo de irradiación</v>
      </c>
      <c r="C1050" s="4">
        <f>IFERROR(__xludf.DUMMYFUNCTION("""COMPUTED_VALUE"""),2.3808)</f>
        <v>2.3808</v>
      </c>
    </row>
    <row r="1051">
      <c r="A1051" s="4" t="str">
        <f>IFERROR(__xludf.DUMMYFUNCTION("""COMPUTED_VALUE"""),"0871A")</f>
        <v>0871A</v>
      </c>
      <c r="B1051" s="4" t="str">
        <f>IFERROR(__xludf.DUMMYFUNCTION("""COMPUTED_VALUE"""),"Adhesivo PVC 21x29 cm zona controlada, riesgo de irradiación")</f>
        <v>Adhesivo PVC 21x29 cm zona controlada, riesgo de irradiación</v>
      </c>
      <c r="C1051" s="4">
        <f>IFERROR(__xludf.DUMMYFUNCTION("""COMPUTED_VALUE"""),1.2)</f>
        <v>1.2</v>
      </c>
    </row>
    <row r="1052">
      <c r="A1052" s="4" t="str">
        <f>IFERROR(__xludf.DUMMYFUNCTION("""COMPUTED_VALUE"""),"0871P")</f>
        <v>0871P</v>
      </c>
      <c r="B1052" s="4" t="str">
        <f>IFERROR(__xludf.DUMMYFUNCTION("""COMPUTED_VALUE"""),"Cartel PVC 21x29 cm zona controlada, riesgo de irradiación")</f>
        <v>Cartel PVC 21x29 cm zona controlada, riesgo de irradiación</v>
      </c>
      <c r="C1052" s="4">
        <f>IFERROR(__xludf.DUMMYFUNCTION("""COMPUTED_VALUE"""),1.536)</f>
        <v>1.536</v>
      </c>
    </row>
    <row r="1053">
      <c r="A1053" s="4" t="str">
        <f>IFERROR(__xludf.DUMMYFUNCTION("""COMPUTED_VALUE"""),"872")</f>
        <v>872</v>
      </c>
      <c r="B1053" s="4" t="str">
        <f>IFERROR(__xludf.DUMMYFUNCTION("""COMPUTED_VALUE"""),"Cartel PVC 40x30 cm zona controlada, riesgo de")</f>
        <v>Cartel PVC 40x30 cm zona controlada, riesgo de</v>
      </c>
      <c r="C1053" s="4">
        <f>IFERROR(__xludf.DUMMYFUNCTION("""COMPUTED_VALUE"""),2.3808)</f>
        <v>2.3808</v>
      </c>
    </row>
    <row r="1054">
      <c r="A1054" s="4" t="str">
        <f>IFERROR(__xludf.DUMMYFUNCTION("""COMPUTED_VALUE"""),"0872A")</f>
        <v>0872A</v>
      </c>
      <c r="B1054" s="4" t="str">
        <f>IFERROR(__xludf.DUMMYFUNCTION("""COMPUTED_VALUE"""),"Adhesivo PVC 21x29 cm zona controlada, riesgo de")</f>
        <v>Adhesivo PVC 21x29 cm zona controlada, riesgo de</v>
      </c>
      <c r="C1054" s="4">
        <f>IFERROR(__xludf.DUMMYFUNCTION("""COMPUTED_VALUE"""),1.2)</f>
        <v>1.2</v>
      </c>
    </row>
    <row r="1055">
      <c r="A1055" s="4" t="str">
        <f>IFERROR(__xludf.DUMMYFUNCTION("""COMPUTED_VALUE"""),"0872P")</f>
        <v>0872P</v>
      </c>
      <c r="B1055" s="4" t="str">
        <f>IFERROR(__xludf.DUMMYFUNCTION("""COMPUTED_VALUE"""),"Cartel PVC 21x29 cm zona controlada, riesgo de")</f>
        <v>Cartel PVC 21x29 cm zona controlada, riesgo de</v>
      </c>
      <c r="C1055" s="4">
        <f>IFERROR(__xludf.DUMMYFUNCTION("""COMPUTED_VALUE"""),1.536)</f>
        <v>1.536</v>
      </c>
    </row>
    <row r="1056">
      <c r="A1056" s="4" t="str">
        <f>IFERROR(__xludf.DUMMYFUNCTION("""COMPUTED_VALUE"""),"873")</f>
        <v>873</v>
      </c>
      <c r="B1056" s="4" t="str">
        <f>IFERROR(__xludf.DUMMYFUNCTION("""COMPUTED_VALUE"""),"Cartel PVC 40x30 cm zona controlada, riesgo de cont. e irrad.")</f>
        <v>Cartel PVC 40x30 cm zona controlada, riesgo de cont. e irrad.</v>
      </c>
      <c r="C1056" s="4">
        <f>IFERROR(__xludf.DUMMYFUNCTION("""COMPUTED_VALUE"""),2.3808)</f>
        <v>2.3808</v>
      </c>
    </row>
    <row r="1057">
      <c r="A1057" s="4" t="str">
        <f>IFERROR(__xludf.DUMMYFUNCTION("""COMPUTED_VALUE"""),"0873A")</f>
        <v>0873A</v>
      </c>
      <c r="B1057" s="4" t="str">
        <f>IFERROR(__xludf.DUMMYFUNCTION("""COMPUTED_VALUE"""),"Adhesivo PVC 21x29 cm zona controlada, riesgo de cont. e")</f>
        <v>Adhesivo PVC 21x29 cm zona controlada, riesgo de cont. e</v>
      </c>
      <c r="C1057" s="4">
        <f>IFERROR(__xludf.DUMMYFUNCTION("""COMPUTED_VALUE"""),1.2)</f>
        <v>1.2</v>
      </c>
    </row>
    <row r="1058">
      <c r="A1058" s="4" t="str">
        <f>IFERROR(__xludf.DUMMYFUNCTION("""COMPUTED_VALUE"""),"0873P")</f>
        <v>0873P</v>
      </c>
      <c r="B1058" s="4" t="str">
        <f>IFERROR(__xludf.DUMMYFUNCTION("""COMPUTED_VALUE"""),"zona controlada, riesgo de cont. e irrad.")</f>
        <v>zona controlada, riesgo de cont. e irrad.</v>
      </c>
      <c r="C1058" s="4">
        <f>IFERROR(__xludf.DUMMYFUNCTION("""COMPUTED_VALUE"""),1.2)</f>
        <v>1.2</v>
      </c>
    </row>
    <row r="1059">
      <c r="A1059" s="4" t="str">
        <f>IFERROR(__xludf.DUMMYFUNCTION("""COMPUTED_VALUE"""),"874")</f>
        <v>874</v>
      </c>
      <c r="B1059" s="4" t="str">
        <f>IFERROR(__xludf.DUMMYFUNCTION("""COMPUTED_VALUE"""),"Cartel PVC 40x30 cm zona perm. limitada, riesgo de")</f>
        <v>Cartel PVC 40x30 cm zona perm. limitada, riesgo de</v>
      </c>
      <c r="C1059" s="4">
        <f>IFERROR(__xludf.DUMMYFUNCTION("""COMPUTED_VALUE"""),2.3808)</f>
        <v>2.3808</v>
      </c>
    </row>
    <row r="1060">
      <c r="A1060" s="4" t="str">
        <f>IFERROR(__xludf.DUMMYFUNCTION("""COMPUTED_VALUE"""),"0874A")</f>
        <v>0874A</v>
      </c>
      <c r="B1060" s="4" t="str">
        <f>IFERROR(__xludf.DUMMYFUNCTION("""COMPUTED_VALUE"""),"Adhesivo PVC 21x29 cm zona zona perm. limitada, riesgo de")</f>
        <v>Adhesivo PVC 21x29 cm zona zona perm. limitada, riesgo de</v>
      </c>
      <c r="C1060" s="4">
        <f>IFERROR(__xludf.DUMMYFUNCTION("""COMPUTED_VALUE"""),1.2)</f>
        <v>1.2</v>
      </c>
    </row>
    <row r="1061">
      <c r="A1061" s="4" t="str">
        <f>IFERROR(__xludf.DUMMYFUNCTION("""COMPUTED_VALUE"""),"0874P")</f>
        <v>0874P</v>
      </c>
      <c r="B1061" s="4" t="str">
        <f>IFERROR(__xludf.DUMMYFUNCTION("""COMPUTED_VALUE"""),"Cartel PVC 21x29 cm zona perm. limitada, riesgo de")</f>
        <v>Cartel PVC 21x29 cm zona perm. limitada, riesgo de</v>
      </c>
      <c r="C1061" s="4">
        <f>IFERROR(__xludf.DUMMYFUNCTION("""COMPUTED_VALUE"""),1.536)</f>
        <v>1.536</v>
      </c>
    </row>
    <row r="1062">
      <c r="A1062" s="4" t="str">
        <f>IFERROR(__xludf.DUMMYFUNCTION("""COMPUTED_VALUE"""),"875")</f>
        <v>875</v>
      </c>
      <c r="B1062" s="4" t="str">
        <f>IFERROR(__xludf.DUMMYFUNCTION("""COMPUTED_VALUE"""),"Cartel PVC 40x30 cm zona perm. limitada, riesgo de")</f>
        <v>Cartel PVC 40x30 cm zona perm. limitada, riesgo de</v>
      </c>
      <c r="C1062" s="4">
        <f>IFERROR(__xludf.DUMMYFUNCTION("""COMPUTED_VALUE"""),2.3808)</f>
        <v>2.3808</v>
      </c>
    </row>
    <row r="1063">
      <c r="A1063" s="4" t="str">
        <f>IFERROR(__xludf.DUMMYFUNCTION("""COMPUTED_VALUE"""),"0875A")</f>
        <v>0875A</v>
      </c>
      <c r="B1063" s="4" t="str">
        <f>IFERROR(__xludf.DUMMYFUNCTION("""COMPUTED_VALUE"""),"Adhesivo PVC 21x29 cm zona zona perm. limitada, riesgo de")</f>
        <v>Adhesivo PVC 21x29 cm zona zona perm. limitada, riesgo de</v>
      </c>
      <c r="C1063" s="4">
        <f>IFERROR(__xludf.DUMMYFUNCTION("""COMPUTED_VALUE"""),1.2)</f>
        <v>1.2</v>
      </c>
    </row>
    <row r="1064">
      <c r="A1064" s="4" t="str">
        <f>IFERROR(__xludf.DUMMYFUNCTION("""COMPUTED_VALUE"""),"0875P")</f>
        <v>0875P</v>
      </c>
      <c r="B1064" s="4" t="str">
        <f>IFERROR(__xludf.DUMMYFUNCTION("""COMPUTED_VALUE"""),"Cartel PVC 21x29 cm zona perm. limitada, riesgo de")</f>
        <v>Cartel PVC 21x29 cm zona perm. limitada, riesgo de</v>
      </c>
      <c r="C1064" s="4">
        <f>IFERROR(__xludf.DUMMYFUNCTION("""COMPUTED_VALUE"""),1.536)</f>
        <v>1.536</v>
      </c>
    </row>
    <row r="1065">
      <c r="A1065" s="4" t="str">
        <f>IFERROR(__xludf.DUMMYFUNCTION("""COMPUTED_VALUE"""),"876")</f>
        <v>876</v>
      </c>
      <c r="B1065" s="4" t="str">
        <f>IFERROR(__xludf.DUMMYFUNCTION("""COMPUTED_VALUE"""),"Cartel PVC 40x30 cm zona perm. limitada, riesgo de cont. e")</f>
        <v>Cartel PVC 40x30 cm zona perm. limitada, riesgo de cont. e</v>
      </c>
      <c r="C1065" s="4">
        <f>IFERROR(__xludf.DUMMYFUNCTION("""COMPUTED_VALUE"""),2.3808)</f>
        <v>2.3808</v>
      </c>
    </row>
    <row r="1066">
      <c r="A1066" s="4" t="str">
        <f>IFERROR(__xludf.DUMMYFUNCTION("""COMPUTED_VALUE"""),"0876A")</f>
        <v>0876A</v>
      </c>
      <c r="B1066" s="4" t="str">
        <f>IFERROR(__xludf.DUMMYFUNCTION("""COMPUTED_VALUE"""),"Adhesivo PVC 21x29 cm zona zona perm. limitada, riesgo cont.")</f>
        <v>Adhesivo PVC 21x29 cm zona zona perm. limitada, riesgo cont.</v>
      </c>
      <c r="C1066" s="4">
        <f>IFERROR(__xludf.DUMMYFUNCTION("""COMPUTED_VALUE"""),1.2)</f>
        <v>1.2</v>
      </c>
    </row>
    <row r="1067">
      <c r="A1067" s="4" t="str">
        <f>IFERROR(__xludf.DUMMYFUNCTION("""COMPUTED_VALUE"""),"0876P")</f>
        <v>0876P</v>
      </c>
      <c r="B1067" s="4" t="str">
        <f>IFERROR(__xludf.DUMMYFUNCTION("""COMPUTED_VALUE"""),"Cartel PVC 21x29 cm zona perm. limitada, riesgo de cont. e")</f>
        <v>Cartel PVC 21x29 cm zona perm. limitada, riesgo de cont. e</v>
      </c>
      <c r="C1067" s="4">
        <f>IFERROR(__xludf.DUMMYFUNCTION("""COMPUTED_VALUE"""),1.536)</f>
        <v>1.536</v>
      </c>
    </row>
    <row r="1068">
      <c r="A1068" s="4" t="str">
        <f>IFERROR(__xludf.DUMMYFUNCTION("""COMPUTED_VALUE"""),"877")</f>
        <v>877</v>
      </c>
      <c r="B1068" s="4" t="str">
        <f>IFERROR(__xludf.DUMMYFUNCTION("""COMPUTED_VALUE"""),"Cartel PVC 40x30 cm zona acceso prohibido, riesgo de")</f>
        <v>Cartel PVC 40x30 cm zona acceso prohibido, riesgo de</v>
      </c>
      <c r="C1068" s="4">
        <f>IFERROR(__xludf.DUMMYFUNCTION("""COMPUTED_VALUE"""),2.3808)</f>
        <v>2.3808</v>
      </c>
    </row>
    <row r="1069">
      <c r="A1069" s="4" t="str">
        <f>IFERROR(__xludf.DUMMYFUNCTION("""COMPUTED_VALUE"""),"0877A")</f>
        <v>0877A</v>
      </c>
      <c r="B1069" s="4" t="str">
        <f>IFERROR(__xludf.DUMMYFUNCTION("""COMPUTED_VALUE"""),"Adhesivo PVC 21x29 cm zona acceso prohibido, riesgo de")</f>
        <v>Adhesivo PVC 21x29 cm zona acceso prohibido, riesgo de</v>
      </c>
      <c r="C1069" s="4">
        <f>IFERROR(__xludf.DUMMYFUNCTION("""COMPUTED_VALUE"""),1.2)</f>
        <v>1.2</v>
      </c>
    </row>
    <row r="1070">
      <c r="A1070" s="4" t="str">
        <f>IFERROR(__xludf.DUMMYFUNCTION("""COMPUTED_VALUE"""),"0877P")</f>
        <v>0877P</v>
      </c>
      <c r="B1070" s="4" t="str">
        <f>IFERROR(__xludf.DUMMYFUNCTION("""COMPUTED_VALUE"""),"Cartel PVC 21x29 cm zona acceso prohibido, riesgo de")</f>
        <v>Cartel PVC 21x29 cm zona acceso prohibido, riesgo de</v>
      </c>
      <c r="C1070" s="4">
        <f>IFERROR(__xludf.DUMMYFUNCTION("""COMPUTED_VALUE"""),1.536)</f>
        <v>1.536</v>
      </c>
    </row>
    <row r="1071">
      <c r="A1071" s="4" t="str">
        <f>IFERROR(__xludf.DUMMYFUNCTION("""COMPUTED_VALUE"""),"878")</f>
        <v>878</v>
      </c>
      <c r="B1071" s="4" t="str">
        <f>IFERROR(__xludf.DUMMYFUNCTION("""COMPUTED_VALUE"""),"Cartel PVC 40x30 cm zona acceso prohibido, riesgo de")</f>
        <v>Cartel PVC 40x30 cm zona acceso prohibido, riesgo de</v>
      </c>
      <c r="C1071" s="4">
        <f>IFERROR(__xludf.DUMMYFUNCTION("""COMPUTED_VALUE"""),2.3808)</f>
        <v>2.3808</v>
      </c>
    </row>
    <row r="1072">
      <c r="A1072" s="4" t="str">
        <f>IFERROR(__xludf.DUMMYFUNCTION("""COMPUTED_VALUE"""),"0878A")</f>
        <v>0878A</v>
      </c>
      <c r="B1072" s="4" t="str">
        <f>IFERROR(__xludf.DUMMYFUNCTION("""COMPUTED_VALUE"""),"Adhesivo PVC 21x29 cm zona acceso prohibido, riesgo de")</f>
        <v>Adhesivo PVC 21x29 cm zona acceso prohibido, riesgo de</v>
      </c>
      <c r="C1072" s="4">
        <f>IFERROR(__xludf.DUMMYFUNCTION("""COMPUTED_VALUE"""),1.2)</f>
        <v>1.2</v>
      </c>
    </row>
    <row r="1073">
      <c r="A1073" s="4" t="str">
        <f>IFERROR(__xludf.DUMMYFUNCTION("""COMPUTED_VALUE"""),"0878P")</f>
        <v>0878P</v>
      </c>
      <c r="B1073" s="4" t="str">
        <f>IFERROR(__xludf.DUMMYFUNCTION("""COMPUTED_VALUE"""),"Cartel PVC 21x29 cm zona acceso prohibido, riesgo de")</f>
        <v>Cartel PVC 21x29 cm zona acceso prohibido, riesgo de</v>
      </c>
      <c r="C1073" s="4">
        <f>IFERROR(__xludf.DUMMYFUNCTION("""COMPUTED_VALUE"""),1.536)</f>
        <v>1.536</v>
      </c>
    </row>
    <row r="1074">
      <c r="A1074" s="4" t="str">
        <f>IFERROR(__xludf.DUMMYFUNCTION("""COMPUTED_VALUE"""),"879")</f>
        <v>879</v>
      </c>
      <c r="B1074" s="4" t="str">
        <f>IFERROR(__xludf.DUMMYFUNCTION("""COMPUTED_VALUE"""),"Cartel PVC 40x30 cm zona acceso prohibido, riesgo de cont. e")</f>
        <v>Cartel PVC 40x30 cm zona acceso prohibido, riesgo de cont. e</v>
      </c>
      <c r="C1074" s="4">
        <f>IFERROR(__xludf.DUMMYFUNCTION("""COMPUTED_VALUE"""),2.3808)</f>
        <v>2.3808</v>
      </c>
    </row>
    <row r="1075">
      <c r="A1075" s="4" t="str">
        <f>IFERROR(__xludf.DUMMYFUNCTION("""COMPUTED_VALUE"""),"0879A")</f>
        <v>0879A</v>
      </c>
      <c r="B1075" s="4" t="str">
        <f>IFERROR(__xludf.DUMMYFUNCTION("""COMPUTED_VALUE"""),"Adhesivo PVC 21x29 cm zona acceso prohibido, riesgo de")</f>
        <v>Adhesivo PVC 21x29 cm zona acceso prohibido, riesgo de</v>
      </c>
      <c r="C1075" s="4">
        <f>IFERROR(__xludf.DUMMYFUNCTION("""COMPUTED_VALUE"""),1.2)</f>
        <v>1.2</v>
      </c>
    </row>
    <row r="1076">
      <c r="A1076" s="4" t="str">
        <f>IFERROR(__xludf.DUMMYFUNCTION("""COMPUTED_VALUE"""),"0879P")</f>
        <v>0879P</v>
      </c>
      <c r="B1076" s="4" t="str">
        <f>IFERROR(__xludf.DUMMYFUNCTION("""COMPUTED_VALUE"""),"Cartel PVC 21x29 cm zona acceso prohibido, riesgo de cont. e")</f>
        <v>Cartel PVC 21x29 cm zona acceso prohibido, riesgo de cont. e</v>
      </c>
      <c r="C1076" s="4">
        <f>IFERROR(__xludf.DUMMYFUNCTION("""COMPUTED_VALUE"""),1.536)</f>
        <v>1.536</v>
      </c>
    </row>
    <row r="1077">
      <c r="A1077" s="4" t="str">
        <f>IFERROR(__xludf.DUMMYFUNCTION("""COMPUTED_VALUE"""),"880")</f>
        <v>880</v>
      </c>
      <c r="B1077" s="4" t="str">
        <f>IFERROR(__xludf.DUMMYFUNCTION("""COMPUTED_VALUE"""),"Cartel PVC 40x30 cm zona vigilada, riesgo de irradiación")</f>
        <v>Cartel PVC 40x30 cm zona vigilada, riesgo de irradiación</v>
      </c>
      <c r="C1077" s="4">
        <f>IFERROR(__xludf.DUMMYFUNCTION("""COMPUTED_VALUE"""),2.3808)</f>
        <v>2.3808</v>
      </c>
    </row>
    <row r="1078">
      <c r="A1078" s="4" t="str">
        <f>IFERROR(__xludf.DUMMYFUNCTION("""COMPUTED_VALUE"""),"0880A")</f>
        <v>0880A</v>
      </c>
      <c r="B1078" s="4" t="str">
        <f>IFERROR(__xludf.DUMMYFUNCTION("""COMPUTED_VALUE"""),"Adhesivo PVC 21x29 cm zona vigilada, riesgo de irradiación")</f>
        <v>Adhesivo PVC 21x29 cm zona vigilada, riesgo de irradiación</v>
      </c>
      <c r="C1078" s="4">
        <f>IFERROR(__xludf.DUMMYFUNCTION("""COMPUTED_VALUE"""),1.2)</f>
        <v>1.2</v>
      </c>
    </row>
    <row r="1079">
      <c r="A1079" s="4" t="str">
        <f>IFERROR(__xludf.DUMMYFUNCTION("""COMPUTED_VALUE"""),"0880P")</f>
        <v>0880P</v>
      </c>
      <c r="B1079" s="4" t="str">
        <f>IFERROR(__xludf.DUMMYFUNCTION("""COMPUTED_VALUE"""),"Cartel PVC 21x29 cm zona vigilada, riesgo de irradiación")</f>
        <v>Cartel PVC 21x29 cm zona vigilada, riesgo de irradiación</v>
      </c>
      <c r="C1079" s="4">
        <f>IFERROR(__xludf.DUMMYFUNCTION("""COMPUTED_VALUE"""),1.536)</f>
        <v>1.536</v>
      </c>
    </row>
    <row r="1080">
      <c r="A1080" s="4" t="str">
        <f>IFERROR(__xludf.DUMMYFUNCTION("""COMPUTED_VALUE"""),"881")</f>
        <v>881</v>
      </c>
      <c r="B1080" s="4" t="str">
        <f>IFERROR(__xludf.DUMMYFUNCTION("""COMPUTED_VALUE"""),"Cartel PVC 40x30 cm zona vigilada, riesgo de contaminación")</f>
        <v>Cartel PVC 40x30 cm zona vigilada, riesgo de contaminación</v>
      </c>
      <c r="C1080" s="4">
        <f>IFERROR(__xludf.DUMMYFUNCTION("""COMPUTED_VALUE"""),2.3808)</f>
        <v>2.3808</v>
      </c>
    </row>
    <row r="1081">
      <c r="A1081" s="4" t="str">
        <f>IFERROR(__xludf.DUMMYFUNCTION("""COMPUTED_VALUE"""),"0881A")</f>
        <v>0881A</v>
      </c>
      <c r="B1081" s="4" t="str">
        <f>IFERROR(__xludf.DUMMYFUNCTION("""COMPUTED_VALUE"""),"Adhesivo PVC 21x29 cm zona vigilada, riesgo de")</f>
        <v>Adhesivo PVC 21x29 cm zona vigilada, riesgo de</v>
      </c>
      <c r="C1081" s="4">
        <f>IFERROR(__xludf.DUMMYFUNCTION("""COMPUTED_VALUE"""),1.2)</f>
        <v>1.2</v>
      </c>
    </row>
    <row r="1082">
      <c r="A1082" s="4" t="str">
        <f>IFERROR(__xludf.DUMMYFUNCTION("""COMPUTED_VALUE"""),"0881P")</f>
        <v>0881P</v>
      </c>
      <c r="B1082" s="4" t="str">
        <f>IFERROR(__xludf.DUMMYFUNCTION("""COMPUTED_VALUE"""),"Cartel PVC 21x29 cm zona vigilada, riesgo de contaminación")</f>
        <v>Cartel PVC 21x29 cm zona vigilada, riesgo de contaminación</v>
      </c>
      <c r="C1082" s="4">
        <f>IFERROR(__xludf.DUMMYFUNCTION("""COMPUTED_VALUE"""),1.4112)</f>
        <v>1.4112</v>
      </c>
    </row>
    <row r="1083">
      <c r="A1083" s="4" t="str">
        <f>IFERROR(__xludf.DUMMYFUNCTION("""COMPUTED_VALUE"""),"882")</f>
        <v>882</v>
      </c>
      <c r="B1083" s="4" t="str">
        <f>IFERROR(__xludf.DUMMYFUNCTION("""COMPUTED_VALUE"""),"Cartel PVC 40x30 cm zona vigilada, riesgo de cont. e irrad.")</f>
        <v>Cartel PVC 40x30 cm zona vigilada, riesgo de cont. e irrad.</v>
      </c>
      <c r="C1083" s="4">
        <f>IFERROR(__xludf.DUMMYFUNCTION("""COMPUTED_VALUE"""),2.3808)</f>
        <v>2.3808</v>
      </c>
    </row>
    <row r="1084">
      <c r="A1084" s="4" t="str">
        <f>IFERROR(__xludf.DUMMYFUNCTION("""COMPUTED_VALUE"""),"0882A")</f>
        <v>0882A</v>
      </c>
      <c r="B1084" s="4" t="str">
        <f>IFERROR(__xludf.DUMMYFUNCTION("""COMPUTED_VALUE"""),"Adhesivo PVC 21x29 cm zona vigilada, riesgo de cont. e irrad.")</f>
        <v>Adhesivo PVC 21x29 cm zona vigilada, riesgo de cont. e irrad.</v>
      </c>
      <c r="C1084" s="4">
        <f>IFERROR(__xludf.DUMMYFUNCTION("""COMPUTED_VALUE"""),1.2)</f>
        <v>1.2</v>
      </c>
    </row>
    <row r="1085">
      <c r="A1085" s="4" t="str">
        <f>IFERROR(__xludf.DUMMYFUNCTION("""COMPUTED_VALUE"""),"0882P")</f>
        <v>0882P</v>
      </c>
      <c r="B1085" s="4" t="str">
        <f>IFERROR(__xludf.DUMMYFUNCTION("""COMPUTED_VALUE"""),"Cartel PVC 21x29 cm zona vigilada, riesgo de cont. e irrad.")</f>
        <v>Cartel PVC 21x29 cm zona vigilada, riesgo de cont. e irrad.</v>
      </c>
      <c r="C1085" s="4">
        <f>IFERROR(__xludf.DUMMYFUNCTION("""COMPUTED_VALUE"""),1.536)</f>
        <v>1.536</v>
      </c>
    </row>
    <row r="1086">
      <c r="A1086" s="4" t="str">
        <f>IFERROR(__xludf.DUMMYFUNCTION("""COMPUTED_VALUE"""),"883")</f>
        <v>883</v>
      </c>
      <c r="B1086" s="4" t="str">
        <f>IFERROR(__xludf.DUMMYFUNCTION("""COMPUTED_VALUE"""),"Adhesivo PVC Grupo 0 Oxígeno 100x25 mm")</f>
        <v>Adhesivo PVC Grupo 0 Oxígeno 100x25 mm</v>
      </c>
      <c r="C1086" s="4">
        <f>IFERROR(__xludf.DUMMYFUNCTION("""COMPUTED_VALUE"""),0.96)</f>
        <v>0.96</v>
      </c>
    </row>
    <row r="1087">
      <c r="A1087" s="4" t="str">
        <f>IFERROR(__xludf.DUMMYFUNCTION("""COMPUTED_VALUE"""),"0883A")</f>
        <v>0883A</v>
      </c>
      <c r="B1087" s="4" t="str">
        <f>IFERROR(__xludf.DUMMYFUNCTION("""COMPUTED_VALUE"""),"Adhesivo PVC Grupo 0 Oxígeno 200x50 mm")</f>
        <v>Adhesivo PVC Grupo 0 Oxígeno 200x50 mm</v>
      </c>
      <c r="C1087" s="4">
        <f>IFERROR(__xludf.DUMMYFUNCTION("""COMPUTED_VALUE"""),1.44)</f>
        <v>1.44</v>
      </c>
    </row>
    <row r="1088">
      <c r="A1088" s="4" t="str">
        <f>IFERROR(__xludf.DUMMYFUNCTION("""COMPUTED_VALUE"""),"0883B")</f>
        <v>0883B</v>
      </c>
      <c r="B1088" s="4" t="str">
        <f>IFERROR(__xludf.DUMMYFUNCTION("""COMPUTED_VALUE"""),"Adhesivo PVC Grupo 0 Oxígeno 400x100 mm")</f>
        <v>Adhesivo PVC Grupo 0 Oxígeno 400x100 mm</v>
      </c>
      <c r="C1088" s="4">
        <f>IFERROR(__xludf.DUMMYFUNCTION("""COMPUTED_VALUE"""),1.92)</f>
        <v>1.92</v>
      </c>
    </row>
    <row r="1089">
      <c r="A1089" s="4" t="str">
        <f>IFERROR(__xludf.DUMMYFUNCTION("""COMPUTED_VALUE"""),"884")</f>
        <v>884</v>
      </c>
      <c r="B1089" s="4" t="str">
        <f>IFERROR(__xludf.DUMMYFUNCTION("""COMPUTED_VALUE"""),"Adhesivo PVC Grupo 1 Agua 100x25 mm (todas las variantes)")</f>
        <v>Adhesivo PVC Grupo 1 Agua 100x25 mm (todas las variantes)</v>
      </c>
      <c r="C1089" s="4">
        <f>IFERROR(__xludf.DUMMYFUNCTION("""COMPUTED_VALUE"""),0.96)</f>
        <v>0.96</v>
      </c>
    </row>
    <row r="1090">
      <c r="A1090" s="4" t="str">
        <f>IFERROR(__xludf.DUMMYFUNCTION("""COMPUTED_VALUE"""),"0884A")</f>
        <v>0884A</v>
      </c>
      <c r="B1090" s="4" t="str">
        <f>IFERROR(__xludf.DUMMYFUNCTION("""COMPUTED_VALUE"""),"Adhesivo PVC Grupo 1 Agua 200x50 mm (todas las variantes)")</f>
        <v>Adhesivo PVC Grupo 1 Agua 200x50 mm (todas las variantes)</v>
      </c>
      <c r="C1090" s="4">
        <f>IFERROR(__xludf.DUMMYFUNCTION("""COMPUTED_VALUE"""),1.44)</f>
        <v>1.44</v>
      </c>
    </row>
    <row r="1091">
      <c r="A1091" s="4" t="str">
        <f>IFERROR(__xludf.DUMMYFUNCTION("""COMPUTED_VALUE"""),"0884B")</f>
        <v>0884B</v>
      </c>
      <c r="B1091" s="4" t="str">
        <f>IFERROR(__xludf.DUMMYFUNCTION("""COMPUTED_VALUE"""),"Adhesivo PVC Grupo 1 Agua 400x100 mm (todas las")</f>
        <v>Adhesivo PVC Grupo 1 Agua 400x100 mm (todas las</v>
      </c>
      <c r="C1091" s="4">
        <f>IFERROR(__xludf.DUMMYFUNCTION("""COMPUTED_VALUE"""),1.92)</f>
        <v>1.92</v>
      </c>
    </row>
    <row r="1092">
      <c r="A1092" s="4" t="str">
        <f>IFERROR(__xludf.DUMMYFUNCTION("""COMPUTED_VALUE"""),"885")</f>
        <v>885</v>
      </c>
      <c r="B1092" s="4" t="str">
        <f>IFERROR(__xludf.DUMMYFUNCTION("""COMPUTED_VALUE"""),"Adhesivo PVC Grupo 2 Vapor de agua 100x25 mm (todas las")</f>
        <v>Adhesivo PVC Grupo 2 Vapor de agua 100x25 mm (todas las</v>
      </c>
      <c r="C1092" s="4">
        <f>IFERROR(__xludf.DUMMYFUNCTION("""COMPUTED_VALUE"""),0.96)</f>
        <v>0.96</v>
      </c>
    </row>
    <row r="1093">
      <c r="A1093" s="4" t="str">
        <f>IFERROR(__xludf.DUMMYFUNCTION("""COMPUTED_VALUE"""),"0885A")</f>
        <v>0885A</v>
      </c>
      <c r="B1093" s="4" t="str">
        <f>IFERROR(__xludf.DUMMYFUNCTION("""COMPUTED_VALUE"""),"Adhesivo PVC Grupo 2 Vapor de agua 200x50 mm (todas las")</f>
        <v>Adhesivo PVC Grupo 2 Vapor de agua 200x50 mm (todas las</v>
      </c>
      <c r="C1093" s="4">
        <f>IFERROR(__xludf.DUMMYFUNCTION("""COMPUTED_VALUE"""),1.44)</f>
        <v>1.44</v>
      </c>
    </row>
    <row r="1094">
      <c r="A1094" s="4" t="str">
        <f>IFERROR(__xludf.DUMMYFUNCTION("""COMPUTED_VALUE"""),"0885B")</f>
        <v>0885B</v>
      </c>
      <c r="B1094" s="4" t="str">
        <f>IFERROR(__xludf.DUMMYFUNCTION("""COMPUTED_VALUE"""),"Adhesivo PVC Grupo 2 Vapor de agua 400x100 mm (todas las")</f>
        <v>Adhesivo PVC Grupo 2 Vapor de agua 400x100 mm (todas las</v>
      </c>
      <c r="C1094" s="4">
        <f>IFERROR(__xludf.DUMMYFUNCTION("""COMPUTED_VALUE"""),1.92)</f>
        <v>1.92</v>
      </c>
    </row>
    <row r="1095">
      <c r="A1095" s="4" t="str">
        <f>IFERROR(__xludf.DUMMYFUNCTION("""COMPUTED_VALUE"""),"886")</f>
        <v>886</v>
      </c>
      <c r="B1095" s="4" t="str">
        <f>IFERROR(__xludf.DUMMYFUNCTION("""COMPUTED_VALUE"""),"Adhesivo PVC Grupo 3 Aire 100x25 mm (todas las variantes)")</f>
        <v>Adhesivo PVC Grupo 3 Aire 100x25 mm (todas las variantes)</v>
      </c>
      <c r="C1095" s="4">
        <f>IFERROR(__xludf.DUMMYFUNCTION("""COMPUTED_VALUE"""),0.96)</f>
        <v>0.96</v>
      </c>
    </row>
    <row r="1096">
      <c r="A1096" s="4" t="str">
        <f>IFERROR(__xludf.DUMMYFUNCTION("""COMPUTED_VALUE"""),"0886A")</f>
        <v>0886A</v>
      </c>
      <c r="B1096" s="4" t="str">
        <f>IFERROR(__xludf.DUMMYFUNCTION("""COMPUTED_VALUE"""),"Adhesivo PVC Grupo 3 Aire 200x50 mm (todas las variantes)")</f>
        <v>Adhesivo PVC Grupo 3 Aire 200x50 mm (todas las variantes)</v>
      </c>
      <c r="C1096" s="4">
        <f>IFERROR(__xludf.DUMMYFUNCTION("""COMPUTED_VALUE"""),1.92)</f>
        <v>1.92</v>
      </c>
    </row>
    <row r="1097">
      <c r="A1097" s="4" t="str">
        <f>IFERROR(__xludf.DUMMYFUNCTION("""COMPUTED_VALUE"""),"0886B")</f>
        <v>0886B</v>
      </c>
      <c r="B1097" s="4" t="str">
        <f>IFERROR(__xludf.DUMMYFUNCTION("""COMPUTED_VALUE"""),"Adhesivo PVC Grupo 3 Aire 400x100 mm (todas las variantes)")</f>
        <v>Adhesivo PVC Grupo 3 Aire 400x100 mm (todas las variantes)</v>
      </c>
      <c r="C1097" s="4">
        <f>IFERROR(__xludf.DUMMYFUNCTION("""COMPUTED_VALUE"""),1.44)</f>
        <v>1.44</v>
      </c>
    </row>
    <row r="1098">
      <c r="A1098" s="4" t="str">
        <f>IFERROR(__xludf.DUMMYFUNCTION("""COMPUTED_VALUE"""),"887")</f>
        <v>887</v>
      </c>
      <c r="B1098" s="4" t="str">
        <f>IFERROR(__xludf.DUMMYFUNCTION("""COMPUTED_VALUE"""),"Adhesivo PVC Grupo 4 Gases combustibles 100x25 mm (todas")</f>
        <v>Adhesivo PVC Grupo 4 Gases combustibles 100x25 mm (todas</v>
      </c>
      <c r="C1098" s="4">
        <f>IFERROR(__xludf.DUMMYFUNCTION("""COMPUTED_VALUE"""),0.96)</f>
        <v>0.96</v>
      </c>
    </row>
    <row r="1099">
      <c r="A1099" s="4" t="str">
        <f>IFERROR(__xludf.DUMMYFUNCTION("""COMPUTED_VALUE"""),"0887A")</f>
        <v>0887A</v>
      </c>
      <c r="B1099" s="4" t="str">
        <f>IFERROR(__xludf.DUMMYFUNCTION("""COMPUTED_VALUE"""),"Adhesivo PVC Grupo 4 Gases combustibles 200x50 mm (todas")</f>
        <v>Adhesivo PVC Grupo 4 Gases combustibles 200x50 mm (todas</v>
      </c>
      <c r="C1099" s="4">
        <f>IFERROR(__xludf.DUMMYFUNCTION("""COMPUTED_VALUE"""),1.44)</f>
        <v>1.44</v>
      </c>
    </row>
    <row r="1100">
      <c r="A1100" s="4" t="str">
        <f>IFERROR(__xludf.DUMMYFUNCTION("""COMPUTED_VALUE"""),"0887B")</f>
        <v>0887B</v>
      </c>
      <c r="B1100" s="4" t="str">
        <f>IFERROR(__xludf.DUMMYFUNCTION("""COMPUTED_VALUE"""),"Adhesivo PVC Grupo 4 Gases combustibles 400x100 mm")</f>
        <v>Adhesivo PVC Grupo 4 Gases combustibles 400x100 mm</v>
      </c>
      <c r="C1100" s="4">
        <f>IFERROR(__xludf.DUMMYFUNCTION("""COMPUTED_VALUE"""),1.92)</f>
        <v>1.92</v>
      </c>
    </row>
    <row r="1101">
      <c r="A1101" s="4" t="str">
        <f>IFERROR(__xludf.DUMMYFUNCTION("""COMPUTED_VALUE"""),"888")</f>
        <v>888</v>
      </c>
      <c r="B1101" s="4" t="str">
        <f>IFERROR(__xludf.DUMMYFUNCTION("""COMPUTED_VALUE"""),"Adhesivo PVC Grupo 4 Gases combustibles 100x25 mm B")</f>
        <v>Adhesivo PVC Grupo 4 Gases combustibles 100x25 mm B</v>
      </c>
      <c r="C1101" s="4">
        <f>IFERROR(__xludf.DUMMYFUNCTION("""COMPUTED_VALUE"""),0.96)</f>
        <v>0.96</v>
      </c>
    </row>
    <row r="1102">
      <c r="A1102" s="4" t="str">
        <f>IFERROR(__xludf.DUMMYFUNCTION("""COMPUTED_VALUE"""),"0888A")</f>
        <v>0888A</v>
      </c>
      <c r="B1102" s="4" t="str">
        <f>IFERROR(__xludf.DUMMYFUNCTION("""COMPUTED_VALUE"""),"Adhesivo PVC Grupo 4 Gases combustibles 200x50 mm")</f>
        <v>Adhesivo PVC Grupo 4 Gases combustibles 200x50 mm</v>
      </c>
      <c r="C1102" s="4">
        <f>IFERROR(__xludf.DUMMYFUNCTION("""COMPUTED_VALUE"""),1.44)</f>
        <v>1.44</v>
      </c>
    </row>
    <row r="1103">
      <c r="A1103" s="4" t="str">
        <f>IFERROR(__xludf.DUMMYFUNCTION("""COMPUTED_VALUE"""),"0888B")</f>
        <v>0888B</v>
      </c>
      <c r="B1103" s="4" t="str">
        <f>IFERROR(__xludf.DUMMYFUNCTION("""COMPUTED_VALUE"""),"Adhesivo PVC Grupo 4 Gases combustibles 400x100 mm")</f>
        <v>Adhesivo PVC Grupo 4 Gases combustibles 400x100 mm</v>
      </c>
      <c r="C1103" s="4">
        <f>IFERROR(__xludf.DUMMYFUNCTION("""COMPUTED_VALUE"""),1.92)</f>
        <v>1.92</v>
      </c>
    </row>
    <row r="1104">
      <c r="A1104" s="4" t="str">
        <f>IFERROR(__xludf.DUMMYFUNCTION("""COMPUTED_VALUE"""),"889")</f>
        <v>889</v>
      </c>
      <c r="B1104" s="4" t="str">
        <f>IFERROR(__xludf.DUMMYFUNCTION("""COMPUTED_VALUE"""),"Adhesivo PVC Grupo 5 Gases no combustibles 100x25 mm")</f>
        <v>Adhesivo PVC Grupo 5 Gases no combustibles 100x25 mm</v>
      </c>
      <c r="C1104" s="4">
        <f>IFERROR(__xludf.DUMMYFUNCTION("""COMPUTED_VALUE"""),0.96)</f>
        <v>0.96</v>
      </c>
    </row>
    <row r="1105">
      <c r="A1105" s="4" t="str">
        <f>IFERROR(__xludf.DUMMYFUNCTION("""COMPUTED_VALUE"""),"0889A")</f>
        <v>0889A</v>
      </c>
      <c r="B1105" s="4" t="str">
        <f>IFERROR(__xludf.DUMMYFUNCTION("""COMPUTED_VALUE"""),"Adhesivo PVC Grupo 5 Gases no combustibles 200x50 mm")</f>
        <v>Adhesivo PVC Grupo 5 Gases no combustibles 200x50 mm</v>
      </c>
      <c r="C1105" s="4">
        <f>IFERROR(__xludf.DUMMYFUNCTION("""COMPUTED_VALUE"""),1.44)</f>
        <v>1.44</v>
      </c>
    </row>
    <row r="1106">
      <c r="A1106" s="4" t="str">
        <f>IFERROR(__xludf.DUMMYFUNCTION("""COMPUTED_VALUE"""),"0889B")</f>
        <v>0889B</v>
      </c>
      <c r="B1106" s="4" t="str">
        <f>IFERROR(__xludf.DUMMYFUNCTION("""COMPUTED_VALUE"""),"Adhesivo PVC Grupo 5 Gases no combustibles 400x100 mm")</f>
        <v>Adhesivo PVC Grupo 5 Gases no combustibles 400x100 mm</v>
      </c>
      <c r="C1106" s="4">
        <f>IFERROR(__xludf.DUMMYFUNCTION("""COMPUTED_VALUE"""),1.92)</f>
        <v>1.92</v>
      </c>
    </row>
    <row r="1107">
      <c r="A1107" s="4" t="str">
        <f>IFERROR(__xludf.DUMMYFUNCTION("""COMPUTED_VALUE"""),"890")</f>
        <v>890</v>
      </c>
      <c r="B1107" s="4" t="str">
        <f>IFERROR(__xludf.DUMMYFUNCTION("""COMPUTED_VALUE"""),"Adhesivo PVC Grupo 5 Gases no combustibles 100x25 mm")</f>
        <v>Adhesivo PVC Grupo 5 Gases no combustibles 100x25 mm</v>
      </c>
      <c r="C1107" s="4">
        <f>IFERROR(__xludf.DUMMYFUNCTION("""COMPUTED_VALUE"""),0.96)</f>
        <v>0.96</v>
      </c>
    </row>
    <row r="1108">
      <c r="A1108" s="4" t="str">
        <f>IFERROR(__xludf.DUMMYFUNCTION("""COMPUTED_VALUE"""),"0890A")</f>
        <v>0890A</v>
      </c>
      <c r="B1108" s="4" t="str">
        <f>IFERROR(__xludf.DUMMYFUNCTION("""COMPUTED_VALUE"""),"Adhesivo PVC Grupo 5 Gases no combustibles 200x50 mm")</f>
        <v>Adhesivo PVC Grupo 5 Gases no combustibles 200x50 mm</v>
      </c>
      <c r="C1108" s="4">
        <f>IFERROR(__xludf.DUMMYFUNCTION("""COMPUTED_VALUE"""),1.44)</f>
        <v>1.44</v>
      </c>
    </row>
    <row r="1109">
      <c r="A1109" s="4" t="str">
        <f>IFERROR(__xludf.DUMMYFUNCTION("""COMPUTED_VALUE"""),"0890B")</f>
        <v>0890B</v>
      </c>
      <c r="B1109" s="4" t="str">
        <f>IFERROR(__xludf.DUMMYFUNCTION("""COMPUTED_VALUE"""),"Adhesivo PVC Grupo 5 Gases no combustibles 400x100 mm")</f>
        <v>Adhesivo PVC Grupo 5 Gases no combustibles 400x100 mm</v>
      </c>
      <c r="C1109" s="4">
        <f>IFERROR(__xludf.DUMMYFUNCTION("""COMPUTED_VALUE"""),1.92)</f>
        <v>1.92</v>
      </c>
    </row>
    <row r="1110">
      <c r="A1110" s="4" t="str">
        <f>IFERROR(__xludf.DUMMYFUNCTION("""COMPUTED_VALUE"""),"891")</f>
        <v>891</v>
      </c>
      <c r="B1110" s="4" t="str">
        <f>IFERROR(__xludf.DUMMYFUNCTION("""COMPUTED_VALUE"""),"Adhesivo PVC Grupo 6 Ácidos 100x25 mm (todas las")</f>
        <v>Adhesivo PVC Grupo 6 Ácidos 100x25 mm (todas las</v>
      </c>
      <c r="C1110" s="4">
        <f>IFERROR(__xludf.DUMMYFUNCTION("""COMPUTED_VALUE"""),0.96)</f>
        <v>0.96</v>
      </c>
    </row>
    <row r="1111">
      <c r="A1111" s="4" t="str">
        <f>IFERROR(__xludf.DUMMYFUNCTION("""COMPUTED_VALUE"""),"0891A")</f>
        <v>0891A</v>
      </c>
      <c r="B1111" s="4" t="str">
        <f>IFERROR(__xludf.DUMMYFUNCTION("""COMPUTED_VALUE"""),"Adhesivo PVC Grupo 6 Ácidos 200x50 mm (todas las")</f>
        <v>Adhesivo PVC Grupo 6 Ácidos 200x50 mm (todas las</v>
      </c>
      <c r="C1111" s="4">
        <f>IFERROR(__xludf.DUMMYFUNCTION("""COMPUTED_VALUE"""),1.44)</f>
        <v>1.44</v>
      </c>
    </row>
    <row r="1112">
      <c r="A1112" s="4" t="str">
        <f>IFERROR(__xludf.DUMMYFUNCTION("""COMPUTED_VALUE"""),"0891B")</f>
        <v>0891B</v>
      </c>
      <c r="B1112" s="4" t="str">
        <f>IFERROR(__xludf.DUMMYFUNCTION("""COMPUTED_VALUE"""),"Adhesivo PVC Grupo 6 Ácidos 400x100 mm (todas las")</f>
        <v>Adhesivo PVC Grupo 6 Ácidos 400x100 mm (todas las</v>
      </c>
      <c r="C1112" s="4">
        <f>IFERROR(__xludf.DUMMYFUNCTION("""COMPUTED_VALUE"""),1.92)</f>
        <v>1.92</v>
      </c>
    </row>
    <row r="1113">
      <c r="A1113" s="4" t="str">
        <f>IFERROR(__xludf.DUMMYFUNCTION("""COMPUTED_VALUE"""),"892")</f>
        <v>892</v>
      </c>
      <c r="B1113" s="4" t="str">
        <f>IFERROR(__xludf.DUMMYFUNCTION("""COMPUTED_VALUE"""),"Adhesivo PVC Grupo 7 Lejías 100x25 mm (todas las variantes)")</f>
        <v>Adhesivo PVC Grupo 7 Lejías 100x25 mm (todas las variantes)</v>
      </c>
      <c r="C1113" s="4">
        <f>IFERROR(__xludf.DUMMYFUNCTION("""COMPUTED_VALUE"""),0.96)</f>
        <v>0.96</v>
      </c>
    </row>
    <row r="1114">
      <c r="A1114" s="4" t="str">
        <f>IFERROR(__xludf.DUMMYFUNCTION("""COMPUTED_VALUE"""),"0892A")</f>
        <v>0892A</v>
      </c>
      <c r="B1114" s="4" t="str">
        <f>IFERROR(__xludf.DUMMYFUNCTION("""COMPUTED_VALUE"""),"Adhesivo PVC Grupo 7 Lejías 200x50 mm (todas las")</f>
        <v>Adhesivo PVC Grupo 7 Lejías 200x50 mm (todas las</v>
      </c>
      <c r="C1114" s="4">
        <f>IFERROR(__xludf.DUMMYFUNCTION("""COMPUTED_VALUE"""),1.44)</f>
        <v>1.44</v>
      </c>
    </row>
    <row r="1115">
      <c r="A1115" s="4" t="str">
        <f>IFERROR(__xludf.DUMMYFUNCTION("""COMPUTED_VALUE"""),"0892B")</f>
        <v>0892B</v>
      </c>
      <c r="B1115" s="4" t="str">
        <f>IFERROR(__xludf.DUMMYFUNCTION("""COMPUTED_VALUE"""),"Adhesivo PVC Grupo 7 Lejías 400x100 mm (todas las")</f>
        <v>Adhesivo PVC Grupo 7 Lejías 400x100 mm (todas las</v>
      </c>
      <c r="C1115" s="4">
        <f>IFERROR(__xludf.DUMMYFUNCTION("""COMPUTED_VALUE"""),1.92)</f>
        <v>1.92</v>
      </c>
    </row>
    <row r="1116">
      <c r="A1116" s="4" t="str">
        <f>IFERROR(__xludf.DUMMYFUNCTION("""COMPUTED_VALUE"""),"893")</f>
        <v>893</v>
      </c>
      <c r="B1116" s="4" t="str">
        <f>IFERROR(__xludf.DUMMYFUNCTION("""COMPUTED_VALUE"""),"Adhesivo PVC Grupo 8 Líquidos combustibles 100x25 mm")</f>
        <v>Adhesivo PVC Grupo 8 Líquidos combustibles 100x25 mm</v>
      </c>
      <c r="C1116" s="4">
        <f>IFERROR(__xludf.DUMMYFUNCTION("""COMPUTED_VALUE"""),0.96)</f>
        <v>0.96</v>
      </c>
    </row>
    <row r="1117">
      <c r="A1117" s="4" t="str">
        <f>IFERROR(__xludf.DUMMYFUNCTION("""COMPUTED_VALUE"""),"0893A")</f>
        <v>0893A</v>
      </c>
      <c r="B1117" s="4" t="str">
        <f>IFERROR(__xludf.DUMMYFUNCTION("""COMPUTED_VALUE"""),"Adhesivo PVC Grupo 8 Líquidos combustibles 200x50 mm")</f>
        <v>Adhesivo PVC Grupo 8 Líquidos combustibles 200x50 mm</v>
      </c>
      <c r="C1117" s="4">
        <f>IFERROR(__xludf.DUMMYFUNCTION("""COMPUTED_VALUE"""),1.44)</f>
        <v>1.44</v>
      </c>
    </row>
    <row r="1118">
      <c r="A1118" s="4" t="str">
        <f>IFERROR(__xludf.DUMMYFUNCTION("""COMPUTED_VALUE"""),"0893B")</f>
        <v>0893B</v>
      </c>
      <c r="B1118" s="4" t="str">
        <f>IFERROR(__xludf.DUMMYFUNCTION("""COMPUTED_VALUE"""),"Adhesivo PVC Grupo 8 Líquidos combustibles 400x100 mm")</f>
        <v>Adhesivo PVC Grupo 8 Líquidos combustibles 400x100 mm</v>
      </c>
      <c r="C1118" s="4">
        <f>IFERROR(__xludf.DUMMYFUNCTION("""COMPUTED_VALUE"""),1.92)</f>
        <v>1.92</v>
      </c>
    </row>
    <row r="1119">
      <c r="A1119" s="4" t="str">
        <f>IFERROR(__xludf.DUMMYFUNCTION("""COMPUTED_VALUE"""),"894")</f>
        <v>894</v>
      </c>
      <c r="B1119" s="4" t="str">
        <f>IFERROR(__xludf.DUMMYFUNCTION("""COMPUTED_VALUE"""),"Adhesivo PVC Grupo 8 Líquidos combustibles 100x25 mm B")</f>
        <v>Adhesivo PVC Grupo 8 Líquidos combustibles 100x25 mm B</v>
      </c>
      <c r="C1119" s="4">
        <f>IFERROR(__xludf.DUMMYFUNCTION("""COMPUTED_VALUE"""),0.96)</f>
        <v>0.96</v>
      </c>
    </row>
    <row r="1120">
      <c r="A1120" s="4" t="str">
        <f>IFERROR(__xludf.DUMMYFUNCTION("""COMPUTED_VALUE"""),"0894A")</f>
        <v>0894A</v>
      </c>
      <c r="B1120" s="4" t="str">
        <f>IFERROR(__xludf.DUMMYFUNCTION("""COMPUTED_VALUE"""),"Adhesivo PVC Grupo 8 Líquidos combustibles 200x50 mm B")</f>
        <v>Adhesivo PVC Grupo 8 Líquidos combustibles 200x50 mm B</v>
      </c>
      <c r="C1120" s="4">
        <f>IFERROR(__xludf.DUMMYFUNCTION("""COMPUTED_VALUE"""),1.44)</f>
        <v>1.44</v>
      </c>
    </row>
    <row r="1121">
      <c r="A1121" s="4" t="str">
        <f>IFERROR(__xludf.DUMMYFUNCTION("""COMPUTED_VALUE"""),"0894B")</f>
        <v>0894B</v>
      </c>
      <c r="B1121" s="4" t="str">
        <f>IFERROR(__xludf.DUMMYFUNCTION("""COMPUTED_VALUE"""),"Adhesivo PVC Grupo 8 Líquidos combustibles 400x100 mm")</f>
        <v>Adhesivo PVC Grupo 8 Líquidos combustibles 400x100 mm</v>
      </c>
      <c r="C1121" s="4">
        <f>IFERROR(__xludf.DUMMYFUNCTION("""COMPUTED_VALUE"""),1.92)</f>
        <v>1.92</v>
      </c>
    </row>
    <row r="1122">
      <c r="A1122" s="4" t="str">
        <f>IFERROR(__xludf.DUMMYFUNCTION("""COMPUTED_VALUE"""),"895")</f>
        <v>895</v>
      </c>
      <c r="B1122" s="4" t="str">
        <f>IFERROR(__xludf.DUMMYFUNCTION("""COMPUTED_VALUE"""),"Adhesivo PVC Grupo 9 Líquidos no combustibles 100x25 mm")</f>
        <v>Adhesivo PVC Grupo 9 Líquidos no combustibles 100x25 mm</v>
      </c>
      <c r="C1122" s="4">
        <f>IFERROR(__xludf.DUMMYFUNCTION("""COMPUTED_VALUE"""),0.96)</f>
        <v>0.96</v>
      </c>
    </row>
    <row r="1123">
      <c r="A1123" s="4" t="str">
        <f>IFERROR(__xludf.DUMMYFUNCTION("""COMPUTED_VALUE"""),"0895A")</f>
        <v>0895A</v>
      </c>
      <c r="B1123" s="4" t="str">
        <f>IFERROR(__xludf.DUMMYFUNCTION("""COMPUTED_VALUE"""),"Adhesivo PVC Grupo 9 Líquidos no combustibles 200x50 mm")</f>
        <v>Adhesivo PVC Grupo 9 Líquidos no combustibles 200x50 mm</v>
      </c>
      <c r="C1123" s="4">
        <f>IFERROR(__xludf.DUMMYFUNCTION("""COMPUTED_VALUE"""),1.44)</f>
        <v>1.44</v>
      </c>
    </row>
    <row r="1124">
      <c r="A1124" s="4" t="str">
        <f>IFERROR(__xludf.DUMMYFUNCTION("""COMPUTED_VALUE"""),"0895B")</f>
        <v>0895B</v>
      </c>
      <c r="B1124" s="4" t="str">
        <f>IFERROR(__xludf.DUMMYFUNCTION("""COMPUTED_VALUE"""),"Adhesivo PVC Grupo 9 Líquidos no combustibles 400x100 mm")</f>
        <v>Adhesivo PVC Grupo 9 Líquidos no combustibles 400x100 mm</v>
      </c>
      <c r="C1124" s="4">
        <f>IFERROR(__xludf.DUMMYFUNCTION("""COMPUTED_VALUE"""),1.92)</f>
        <v>1.92</v>
      </c>
    </row>
    <row r="1125">
      <c r="A1125" s="4" t="str">
        <f>IFERROR(__xludf.DUMMYFUNCTION("""COMPUTED_VALUE"""),"896")</f>
        <v>896</v>
      </c>
      <c r="B1125" s="4" t="str">
        <f>IFERROR(__xludf.DUMMYFUNCTION("""COMPUTED_VALUE"""),"Adhesivo PVC Grupo 9 Líquidos no combustibles 100x25 mm")</f>
        <v>Adhesivo PVC Grupo 9 Líquidos no combustibles 100x25 mm</v>
      </c>
      <c r="C1125" s="4">
        <f>IFERROR(__xludf.DUMMYFUNCTION("""COMPUTED_VALUE"""),0.96)</f>
        <v>0.96</v>
      </c>
    </row>
    <row r="1126">
      <c r="A1126" s="4" t="str">
        <f>IFERROR(__xludf.DUMMYFUNCTION("""COMPUTED_VALUE"""),"0896A")</f>
        <v>0896A</v>
      </c>
      <c r="B1126" s="4" t="str">
        <f>IFERROR(__xludf.DUMMYFUNCTION("""COMPUTED_VALUE"""),"Adhesivo PVC Grupo 9 Líquidos no combustibles 200x50 mm")</f>
        <v>Adhesivo PVC Grupo 9 Líquidos no combustibles 200x50 mm</v>
      </c>
      <c r="C1126" s="4">
        <f>IFERROR(__xludf.DUMMYFUNCTION("""COMPUTED_VALUE"""),1.92)</f>
        <v>1.92</v>
      </c>
    </row>
    <row r="1127">
      <c r="A1127" s="4" t="str">
        <f>IFERROR(__xludf.DUMMYFUNCTION("""COMPUTED_VALUE"""),"0896B")</f>
        <v>0896B</v>
      </c>
      <c r="B1127" s="4" t="str">
        <f>IFERROR(__xludf.DUMMYFUNCTION("""COMPUTED_VALUE"""),"Adhesivo PVC Grupo 9 Líquidos no combustibles 400x100 mm")</f>
        <v>Adhesivo PVC Grupo 9 Líquidos no combustibles 400x100 mm</v>
      </c>
      <c r="C1127" s="4">
        <f>IFERROR(__xludf.DUMMYFUNCTION("""COMPUTED_VALUE"""),1.92)</f>
        <v>1.92</v>
      </c>
    </row>
    <row r="1128">
      <c r="A1128" s="4" t="str">
        <f>IFERROR(__xludf.DUMMYFUNCTION("""COMPUTED_VALUE"""),"1028/A/BAT")</f>
        <v>1028/A/BAT</v>
      </c>
      <c r="B1128" s="4" t="str">
        <f>IFERROR(__xludf.DUMMYFUNCTION("""COMPUTED_VALUE"""),"Baliza Powerflare azul c/cargador a 220v y 12 v")</f>
        <v>Baliza Powerflare azul c/cargador a 220v y 12 v</v>
      </c>
      <c r="C1128" s="4">
        <f>IFERROR(__xludf.DUMMYFUNCTION("""COMPUTED_VALUE"""),15.12)</f>
        <v>15.12</v>
      </c>
    </row>
    <row r="1129">
      <c r="A1129" s="4" t="str">
        <f>IFERROR(__xludf.DUMMYFUNCTION("""COMPUTED_VALUE"""),"1028/AZUL")</f>
        <v>1028/AZUL</v>
      </c>
      <c r="B1129" s="4" t="str">
        <f>IFERROR(__xludf.DUMMYFUNCTION("""COMPUTED_VALUE"""),"Baliza powerflare azul ( repuesto )")</f>
        <v>Baliza powerflare azul ( repuesto )</v>
      </c>
      <c r="C1129" s="4">
        <f>IFERROR(__xludf.DUMMYFUNCTION("""COMPUTED_VALUE"""),9.072)</f>
        <v>9.072</v>
      </c>
    </row>
    <row r="1130">
      <c r="A1130" s="4" t="str">
        <f>IFERROR(__xludf.DUMMYFUNCTION("""COMPUTED_VALUE"""),"1028/N/BAT")</f>
        <v>1028/N/BAT</v>
      </c>
      <c r="B1130" s="4" t="str">
        <f>IFERROR(__xludf.DUMMYFUNCTION("""COMPUTED_VALUE"""),"Baliza Powerflare naranja c/cargador a 220v y 12 v")</f>
        <v>Baliza Powerflare naranja c/cargador a 220v y 12 v</v>
      </c>
      <c r="C1130" s="4">
        <f>IFERROR(__xludf.DUMMYFUNCTION("""COMPUTED_VALUE"""),15.12)</f>
        <v>15.12</v>
      </c>
    </row>
    <row r="1131">
      <c r="A1131" s="4" t="str">
        <f>IFERROR(__xludf.DUMMYFUNCTION("""COMPUTED_VALUE"""),"1028/NARANJA")</f>
        <v>1028/NARANJA</v>
      </c>
      <c r="B1131" s="4" t="str">
        <f>IFERROR(__xludf.DUMMYFUNCTION("""COMPUTED_VALUE"""),"Baliza powerflare naranja ( repuesto )")</f>
        <v>Baliza powerflare naranja ( repuesto )</v>
      </c>
      <c r="C1131" s="4">
        <f>IFERROR(__xludf.DUMMYFUNCTION("""COMPUTED_VALUE"""),9.072)</f>
        <v>9.072</v>
      </c>
    </row>
    <row r="1132">
      <c r="A1132" s="4" t="str">
        <f>IFERROR(__xludf.DUMMYFUNCTION("""COMPUTED_VALUE"""),"1029")</f>
        <v>1029</v>
      </c>
      <c r="B1132" s="4" t="str">
        <f>IFERROR(__xludf.DUMMYFUNCTION("""COMPUTED_VALUE"""),"Maletín 6 uds baliza NARANJA led powerflare con cargador")</f>
        <v>Maletín 6 uds baliza NARANJA led powerflare con cargador</v>
      </c>
      <c r="C1132" s="4">
        <f>IFERROR(__xludf.DUMMYFUNCTION("""COMPUTED_VALUE"""),95.52)</f>
        <v>95.52</v>
      </c>
    </row>
    <row r="1133">
      <c r="A1133" s="4" t="str">
        <f>IFERROR(__xludf.DUMMYFUNCTION("""COMPUTED_VALUE"""),"1029A")</f>
        <v>1029A</v>
      </c>
      <c r="B1133" s="4" t="str">
        <f>IFERROR(__xludf.DUMMYFUNCTION("""COMPUTED_VALUE"""),"Maletín 6 uds baliza AMARILLO led powerflare con cargador")</f>
        <v>Maletín 6 uds baliza AMARILLO led powerflare con cargador</v>
      </c>
      <c r="C1133" s="4">
        <f>IFERROR(__xludf.DUMMYFUNCTION("""COMPUTED_VALUE"""),95.52)</f>
        <v>95.52</v>
      </c>
    </row>
    <row r="1134">
      <c r="A1134" s="4" t="str">
        <f>IFERROR(__xludf.DUMMYFUNCTION("""COMPUTED_VALUE"""),"1029Z")</f>
        <v>1029Z</v>
      </c>
      <c r="B1134" s="4" t="str">
        <f>IFERROR(__xludf.DUMMYFUNCTION("""COMPUTED_VALUE"""),"Maletín 6 uds baliza AZUL led powerflare con cargador")</f>
        <v>Maletín 6 uds baliza AZUL led powerflare con cargador</v>
      </c>
      <c r="C1134" s="4">
        <f>IFERROR(__xludf.DUMMYFUNCTION("""COMPUTED_VALUE"""),95.52)</f>
        <v>95.52</v>
      </c>
    </row>
    <row r="1135">
      <c r="A1135" s="4" t="str">
        <f>IFERROR(__xludf.DUMMYFUNCTION("""COMPUTED_VALUE"""),"1030")</f>
        <v>1030</v>
      </c>
      <c r="B1135" s="4" t="str">
        <f>IFERROR(__xludf.DUMMYFUNCTION("""COMPUTED_VALUE"""),"Baliza LED azul intermitente")</f>
        <v>Baliza LED azul intermitente</v>
      </c>
      <c r="C1135" s="4">
        <f>IFERROR(__xludf.DUMMYFUNCTION("""COMPUTED_VALUE"""),6.144)</f>
        <v>6.144</v>
      </c>
    </row>
    <row r="1136">
      <c r="A1136" s="4" t="str">
        <f>IFERROR(__xludf.DUMMYFUNCTION("""COMPUTED_VALUE"""),"1032")</f>
        <v>1032</v>
      </c>
      <c r="B1136" s="4" t="str">
        <f>IFERROR(__xludf.DUMMYFUNCTION("""COMPUTED_VALUE"""),"Baliza Señalizacion intermitente para 1 bateria")</f>
        <v>Baliza Señalizacion intermitente para 1 bateria</v>
      </c>
      <c r="C1136" s="4">
        <f>IFERROR(__xludf.DUMMYFUNCTION("""COMPUTED_VALUE"""),4.848)</f>
        <v>4.848</v>
      </c>
    </row>
    <row r="1137">
      <c r="A1137" s="4" t="str">
        <f>IFERROR(__xludf.DUMMYFUNCTION("""COMPUTED_VALUE"""),"1033")</f>
        <v>1033</v>
      </c>
      <c r="B1137" s="4" t="str">
        <f>IFERROR(__xludf.DUMMYFUNCTION("""COMPUTED_VALUE"""),"Baliza Señalización Plus intermitente 2 baterías")</f>
        <v>Baliza Señalización Plus intermitente 2 baterías</v>
      </c>
      <c r="C1137" s="4">
        <f>IFERROR(__xludf.DUMMYFUNCTION("""COMPUTED_VALUE"""),6.691199999999999)</f>
        <v>6.6912</v>
      </c>
    </row>
    <row r="1138">
      <c r="A1138" s="4" t="str">
        <f>IFERROR(__xludf.DUMMYFUNCTION("""COMPUTED_VALUE"""),"1033/B")</f>
        <v>1033/B</v>
      </c>
      <c r="B1138" s="4" t="str">
        <f>IFERROR(__xludf.DUMMYFUNCTION("""COMPUTED_VALUE"""),"Baliza Señalizacion Basic intermitente 2 baterias")</f>
        <v>Baliza Señalizacion Basic intermitente 2 baterias</v>
      </c>
      <c r="C1138" s="4">
        <f>IFERROR(__xludf.DUMMYFUNCTION("""COMPUTED_VALUE"""),5.664)</f>
        <v>5.664</v>
      </c>
    </row>
    <row r="1139">
      <c r="A1139" s="4" t="str">
        <f>IFERROR(__xludf.DUMMYFUNCTION("""COMPUTED_VALUE"""),"1033E")</f>
        <v>1033E</v>
      </c>
      <c r="B1139" s="4" t="str">
        <f>IFERROR(__xludf.DUMMYFUNCTION("""COMPUTED_VALUE"""),"Baliza intermitente Euroflash naranja")</f>
        <v>Baliza intermitente Euroflash naranja</v>
      </c>
      <c r="C1139" s="4">
        <f>IFERROR(__xludf.DUMMYFUNCTION("""COMPUTED_VALUE"""),6.96)</f>
        <v>6.96</v>
      </c>
    </row>
    <row r="1140">
      <c r="A1140" s="4" t="str">
        <f>IFERROR(__xludf.DUMMYFUNCTION("""COMPUTED_VALUE"""),"1033V")</f>
        <v>1033V</v>
      </c>
      <c r="B1140" s="4" t="str">
        <f>IFERROR(__xludf.DUMMYFUNCTION("""COMPUTED_VALUE"""),"Baliza Señalización Plus intermitente 2 baterías VERDE")</f>
        <v>Baliza Señalización Plus intermitente 2 baterías VERDE</v>
      </c>
      <c r="C1140" s="4">
        <f>IFERROR(__xludf.DUMMYFUNCTION("""COMPUTED_VALUE"""),6.672)</f>
        <v>6.672</v>
      </c>
    </row>
    <row r="1141">
      <c r="A1141" s="4" t="str">
        <f>IFERROR(__xludf.DUMMYFUNCTION("""COMPUTED_VALUE"""),"1034")</f>
        <v>1034</v>
      </c>
      <c r="B1141" s="4" t="str">
        <f>IFERROR(__xludf.DUMMYFUNCTION("""COMPUTED_VALUE"""),"Bateria baliza 6V 4R25 7 Ah. Alta Capacidad")</f>
        <v>Bateria baliza 6V 4R25 7 Ah. Alta Capacidad</v>
      </c>
      <c r="C1141" s="4">
        <f>IFERROR(__xludf.DUMMYFUNCTION("""COMPUTED_VALUE"""),1.8143999999999998)</f>
        <v>1.8144</v>
      </c>
    </row>
    <row r="1142">
      <c r="A1142" s="4" t="str">
        <f>IFERROR(__xludf.DUMMYFUNCTION("""COMPUTED_VALUE"""),"1034G")</f>
        <v>1034G</v>
      </c>
      <c r="B1142" s="4" t="str">
        <f>IFERROR(__xludf.DUMMYFUNCTION("""COMPUTED_VALUE"""),"Bateria baliza 6v 25 Ah")</f>
        <v>Bateria baliza 6v 25 Ah</v>
      </c>
      <c r="C1142" s="4">
        <f>IFERROR(__xludf.DUMMYFUNCTION("""COMPUTED_VALUE"""),10.08)</f>
        <v>10.08</v>
      </c>
    </row>
    <row r="1143">
      <c r="A1143" s="4" t="str">
        <f>IFERROR(__xludf.DUMMYFUNCTION("""COMPUTED_VALUE"""),"1035")</f>
        <v>1035</v>
      </c>
      <c r="B1143" s="4" t="str">
        <f>IFERROR(__xludf.DUMMYFUNCTION("""COMPUTED_VALUE"""),"Baliza Señalizacion flash-Led doble cara")</f>
        <v>Baliza Señalizacion flash-Led doble cara</v>
      </c>
      <c r="C1143" s="4">
        <f>IFERROR(__xludf.DUMMYFUNCTION("""COMPUTED_VALUE"""),21.36)</f>
        <v>21.36</v>
      </c>
    </row>
    <row r="1144">
      <c r="A1144" s="4" t="str">
        <f>IFERROR(__xludf.DUMMYFUNCTION("""COMPUTED_VALUE"""),"1036")</f>
        <v>1036</v>
      </c>
      <c r="B1144" s="4" t="str">
        <f>IFERROR(__xludf.DUMMYFUNCTION("""COMPUTED_VALUE"""),"Baliza Señalización luz roja VEGA")</f>
        <v>Baliza Señalización luz roja VEGA</v>
      </c>
      <c r="C1144" s="4">
        <f>IFERROR(__xludf.DUMMYFUNCTION("""COMPUTED_VALUE"""),7.68)</f>
        <v>7.68</v>
      </c>
    </row>
    <row r="1145">
      <c r="A1145" s="4" t="str">
        <f>IFERROR(__xludf.DUMMYFUNCTION("""COMPUTED_VALUE"""),"1037")</f>
        <v>1037</v>
      </c>
      <c r="B1145" s="4" t="str">
        <f>IFERROR(__xludf.DUMMYFUNCTION("""COMPUTED_VALUE"""),"Baliza Señalizacion solar")</f>
        <v>Baliza Señalizacion solar</v>
      </c>
      <c r="C1145" s="4">
        <f>IFERROR(__xludf.DUMMYFUNCTION("""COMPUTED_VALUE"""),14.304)</f>
        <v>14.304</v>
      </c>
    </row>
    <row r="1146">
      <c r="A1146" s="4" t="str">
        <f>IFERROR(__xludf.DUMMYFUNCTION("""COMPUTED_VALUE"""),"1122B")</f>
        <v>1122B</v>
      </c>
      <c r="B1146" s="4" t="str">
        <f>IFERROR(__xludf.DUMMYFUNCTION("""COMPUTED_VALUE"""),"Barrera mediana HOG600 Blanca 560x1130x400 mm")</f>
        <v>Barrera mediana HOG600 Blanca 560x1130x400 mm</v>
      </c>
      <c r="C1146" s="4">
        <f>IFERROR(__xludf.DUMMYFUNCTION("""COMPUTED_VALUE"""),44.16)</f>
        <v>44.16</v>
      </c>
    </row>
    <row r="1147">
      <c r="A1147" s="4" t="str">
        <f>IFERROR(__xludf.DUMMYFUNCTION("""COMPUTED_VALUE"""),"1122R")</f>
        <v>1122R</v>
      </c>
      <c r="B1147" s="4" t="str">
        <f>IFERROR(__xludf.DUMMYFUNCTION("""COMPUTED_VALUE"""),"Barrera mediana HOG600 Roja 560x1130x400 mm")</f>
        <v>Barrera mediana HOG600 Roja 560x1130x400 mm</v>
      </c>
      <c r="C1147" s="4">
        <f>IFERROR(__xludf.DUMMYFUNCTION("""COMPUTED_VALUE"""),44.16)</f>
        <v>44.16</v>
      </c>
    </row>
    <row r="1148">
      <c r="A1148" s="4" t="str">
        <f>IFERROR(__xludf.DUMMYFUNCTION("""COMPUTED_VALUE"""),"1123")</f>
        <v>1123</v>
      </c>
      <c r="B1148" s="4" t="str">
        <f>IFERROR(__xludf.DUMMYFUNCTION("""COMPUTED_VALUE"""),"Mts. Cadena plástico 10 m/m R/B")</f>
        <v>Mts. Cadena plástico 10 m/m R/B</v>
      </c>
      <c r="C1148" s="4">
        <f>IFERROR(__xludf.DUMMYFUNCTION("""COMPUTED_VALUE"""),1.008)</f>
        <v>1.008</v>
      </c>
    </row>
    <row r="1149">
      <c r="A1149" s="4" t="str">
        <f>IFERROR(__xludf.DUMMYFUNCTION("""COMPUTED_VALUE"""),"1124")</f>
        <v>1124</v>
      </c>
      <c r="B1149" s="4" t="str">
        <f>IFERROR(__xludf.DUMMYFUNCTION("""COMPUTED_VALUE"""),"Mts. Cadena plástico 10 m/m N/A")</f>
        <v>Mts. Cadena plástico 10 m/m N/A</v>
      </c>
      <c r="C1149" s="4">
        <f>IFERROR(__xludf.DUMMYFUNCTION("""COMPUTED_VALUE"""),1.008)</f>
        <v>1.008</v>
      </c>
    </row>
    <row r="1150">
      <c r="A1150" s="4" t="str">
        <f>IFERROR(__xludf.DUMMYFUNCTION("""COMPUTED_VALUE"""),"1125")</f>
        <v>1125</v>
      </c>
      <c r="B1150" s="4" t="str">
        <f>IFERROR(__xludf.DUMMYFUNCTION("""COMPUTED_VALUE"""),"Poste señaliz. 1 m Rojo/Blanco p/cadena plastica")</f>
        <v>Poste señaliz. 1 m Rojo/Blanco p/cadena plastica</v>
      </c>
      <c r="C1150" s="4">
        <f>IFERROR(__xludf.DUMMYFUNCTION("""COMPUTED_VALUE"""),6.192)</f>
        <v>6.192</v>
      </c>
    </row>
    <row r="1151">
      <c r="A1151" s="4" t="str">
        <f>IFERROR(__xludf.DUMMYFUNCTION("""COMPUTED_VALUE"""),"1125AN")</f>
        <v>1125AN</v>
      </c>
      <c r="B1151" s="4" t="str">
        <f>IFERROR(__xludf.DUMMYFUNCTION("""COMPUTED_VALUE"""),"Poste señaliz. 1 m Amarillo/negro p/cadena plastica")</f>
        <v>Poste señaliz. 1 m Amarillo/negro p/cadena plastica</v>
      </c>
      <c r="C1151" s="4">
        <f>IFERROR(__xludf.DUMMYFUNCTION("""COMPUTED_VALUE"""),6.192)</f>
        <v>6.192</v>
      </c>
    </row>
    <row r="1152">
      <c r="A1152" s="4" t="str">
        <f>IFERROR(__xludf.DUMMYFUNCTION("""COMPUTED_VALUE"""),"1125BZ")</f>
        <v>1125BZ</v>
      </c>
      <c r="B1152" s="4" t="str">
        <f>IFERROR(__xludf.DUMMYFUNCTION("""COMPUTED_VALUE"""),"Poste señaliz. 1 m Azul/Blanco p/cadena plastica")</f>
        <v>Poste señaliz. 1 m Azul/Blanco p/cadena plastica</v>
      </c>
      <c r="C1152" s="4">
        <f>IFERROR(__xludf.DUMMYFUNCTION("""COMPUTED_VALUE"""),6.192)</f>
        <v>6.192</v>
      </c>
    </row>
    <row r="1153">
      <c r="A1153" s="4" t="str">
        <f>IFERROR(__xludf.DUMMYFUNCTION("""COMPUTED_VALUE"""),"1125VB")</f>
        <v>1125VB</v>
      </c>
      <c r="B1153" s="4" t="str">
        <f>IFERROR(__xludf.DUMMYFUNCTION("""COMPUTED_VALUE"""),"Poste señaliz. 1 m Verde/Blanco p/cadena plastica")</f>
        <v>Poste señaliz. 1 m Verde/Blanco p/cadena plastica</v>
      </c>
      <c r="C1153" s="4">
        <f>IFERROR(__xludf.DUMMYFUNCTION("""COMPUTED_VALUE"""),6.192)</f>
        <v>6.192</v>
      </c>
    </row>
    <row r="1154">
      <c r="A1154" s="4" t="str">
        <f>IFERROR(__xludf.DUMMYFUNCTION("""COMPUTED_VALUE"""),"1126")</f>
        <v>1126</v>
      </c>
      <c r="B1154" s="4" t="str">
        <f>IFERROR(__xludf.DUMMYFUNCTION("""COMPUTED_VALUE"""),"Mts. Cadena Plástico 5.5 m/m R/B")</f>
        <v>Mts. Cadena Plástico 5.5 m/m R/B</v>
      </c>
      <c r="C1154" s="4">
        <f>IFERROR(__xludf.DUMMYFUNCTION("""COMPUTED_VALUE"""),0.624)</f>
        <v>0.624</v>
      </c>
    </row>
    <row r="1155">
      <c r="A1155" s="4" t="str">
        <f>IFERROR(__xludf.DUMMYFUNCTION("""COMPUTED_VALUE"""),"1126B")</f>
        <v>1126B</v>
      </c>
      <c r="B1155" s="4" t="str">
        <f>IFERROR(__xludf.DUMMYFUNCTION("""COMPUTED_VALUE"""),"Mts. cadena Plástico 5.5 mm Blanca")</f>
        <v>Mts. cadena Plástico 5.5 mm Blanca</v>
      </c>
      <c r="C1155" s="4">
        <f>IFERROR(__xludf.DUMMYFUNCTION("""COMPUTED_VALUE"""),0.624)</f>
        <v>0.624</v>
      </c>
    </row>
    <row r="1156">
      <c r="A1156" s="4" t="str">
        <f>IFERROR(__xludf.DUMMYFUNCTION("""COMPUTED_VALUE"""),"1126BZ")</f>
        <v>1126BZ</v>
      </c>
      <c r="B1156" s="4" t="str">
        <f>IFERROR(__xludf.DUMMYFUNCTION("""COMPUTED_VALUE"""),"Mts. Cadena Plástico 5.5 m/m B/Z")</f>
        <v>Mts. Cadena Plástico 5.5 m/m B/Z</v>
      </c>
      <c r="C1156" s="4">
        <f>IFERROR(__xludf.DUMMYFUNCTION("""COMPUTED_VALUE"""),0.624)</f>
        <v>0.624</v>
      </c>
    </row>
    <row r="1157">
      <c r="A1157" s="4" t="str">
        <f>IFERROR(__xludf.DUMMYFUNCTION("""COMPUTED_VALUE"""),"1126M3")</f>
        <v>1126M3</v>
      </c>
      <c r="B1157" s="4" t="str">
        <f>IFERROR(__xludf.DUMMYFUNCTION("""COMPUTED_VALUE"""),"Rollo 165 m cadena metálica señalización cincada 3 mm")</f>
        <v>Rollo 165 m cadena metálica señalización cincada 3 mm</v>
      </c>
      <c r="C1157" s="4">
        <f>IFERROR(__xludf.DUMMYFUNCTION("""COMPUTED_VALUE"""),113.39999999999999)</f>
        <v>113.4</v>
      </c>
    </row>
    <row r="1158">
      <c r="A1158" s="4" t="str">
        <f>IFERROR(__xludf.DUMMYFUNCTION("""COMPUTED_VALUE"""),"1126M6")</f>
        <v>1126M6</v>
      </c>
      <c r="B1158" s="4" t="str">
        <f>IFERROR(__xludf.DUMMYFUNCTION("""COMPUTED_VALUE"""),"Rollo 38 m cadena metálica señalización cincada 6 mm")</f>
        <v>Rollo 38 m cadena metálica señalización cincada 6 mm</v>
      </c>
      <c r="C1158" s="4">
        <f>IFERROR(__xludf.DUMMYFUNCTION("""COMPUTED_VALUE"""),95.03999999999999)</f>
        <v>95.04</v>
      </c>
    </row>
    <row r="1159">
      <c r="A1159" s="4" t="str">
        <f>IFERROR(__xludf.DUMMYFUNCTION("""COMPUTED_VALUE"""),"1126M8")</f>
        <v>1126M8</v>
      </c>
      <c r="B1159" s="4" t="str">
        <f>IFERROR(__xludf.DUMMYFUNCTION("""COMPUTED_VALUE"""),"Rollo 21 m cadena metálica señalización cincada 8 mm")</f>
        <v>Rollo 21 m cadena metálica señalización cincada 8 mm</v>
      </c>
      <c r="C1159" s="4">
        <f>IFERROR(__xludf.DUMMYFUNCTION("""COMPUTED_VALUE"""),88.8)</f>
        <v>88.8</v>
      </c>
    </row>
    <row r="1160">
      <c r="A1160" s="4" t="str">
        <f>IFERROR(__xludf.DUMMYFUNCTION("""COMPUTED_VALUE"""),"1126MNA")</f>
        <v>1126MNA</v>
      </c>
      <c r="B1160" s="4" t="str">
        <f>IFERROR(__xludf.DUMMYFUNCTION("""COMPUTED_VALUE"""),"Rollo 25 m cadena metálica Señalización pintada")</f>
        <v>Rollo 25 m cadena metálica Señalización pintada</v>
      </c>
      <c r="C1160" s="4">
        <f>IFERROR(__xludf.DUMMYFUNCTION("""COMPUTED_VALUE"""),86.39999999999999)</f>
        <v>86.4</v>
      </c>
    </row>
    <row r="1161">
      <c r="A1161" s="4" t="str">
        <f>IFERROR(__xludf.DUMMYFUNCTION("""COMPUTED_VALUE"""),"1126MRB")</f>
        <v>1126MRB</v>
      </c>
      <c r="B1161" s="4" t="str">
        <f>IFERROR(__xludf.DUMMYFUNCTION("""COMPUTED_VALUE"""),"Rollo 25 m cadena metálica Señalización pintada")</f>
        <v>Rollo 25 m cadena metálica Señalización pintada</v>
      </c>
      <c r="C1161" s="4">
        <f>IFERROR(__xludf.DUMMYFUNCTION("""COMPUTED_VALUE"""),86.39999999999999)</f>
        <v>86.4</v>
      </c>
    </row>
    <row r="1162">
      <c r="A1162" s="4" t="str">
        <f>IFERROR(__xludf.DUMMYFUNCTION("""COMPUTED_VALUE"""),"1126V")</f>
        <v>1126V</v>
      </c>
      <c r="B1162" s="4" t="str">
        <f>IFERROR(__xludf.DUMMYFUNCTION("""COMPUTED_VALUE"""),"Mts. Cadena Plástico 5.5 mm Verde")</f>
        <v>Mts. Cadena Plástico 5.5 mm Verde</v>
      </c>
      <c r="C1162" s="4">
        <f>IFERROR(__xludf.DUMMYFUNCTION("""COMPUTED_VALUE"""),0.624)</f>
        <v>0.624</v>
      </c>
    </row>
    <row r="1163">
      <c r="A1163" s="4" t="str">
        <f>IFERROR(__xludf.DUMMYFUNCTION("""COMPUTED_VALUE"""),"1126VB")</f>
        <v>1126VB</v>
      </c>
      <c r="B1163" s="4" t="str">
        <f>IFERROR(__xludf.DUMMYFUNCTION("""COMPUTED_VALUE"""),"Mts. Cadena Plástico 5.5 mm V/B")</f>
        <v>Mts. Cadena Plástico 5.5 mm V/B</v>
      </c>
      <c r="C1163" s="4">
        <f>IFERROR(__xludf.DUMMYFUNCTION("""COMPUTED_VALUE"""),0.624)</f>
        <v>0.624</v>
      </c>
    </row>
    <row r="1164">
      <c r="A1164" s="4" t="str">
        <f>IFERROR(__xludf.DUMMYFUNCTION("""COMPUTED_VALUE"""),"1127")</f>
        <v>1127</v>
      </c>
      <c r="B1164" s="4" t="str">
        <f>IFERROR(__xludf.DUMMYFUNCTION("""COMPUTED_VALUE"""),"Mts. Cadena plastico 7.5 mm R/B")</f>
        <v>Mts. Cadena plastico 7.5 mm R/B</v>
      </c>
      <c r="C1164" s="4">
        <f>IFERROR(__xludf.DUMMYFUNCTION("""COMPUTED_VALUE"""),0.7488)</f>
        <v>0.7488</v>
      </c>
    </row>
    <row r="1165">
      <c r="A1165" s="4" t="str">
        <f>IFERROR(__xludf.DUMMYFUNCTION("""COMPUTED_VALUE"""),"1127B")</f>
        <v>1127B</v>
      </c>
      <c r="B1165" s="4" t="str">
        <f>IFERROR(__xludf.DUMMYFUNCTION("""COMPUTED_VALUE"""),"Mts. cadena Plástico 7.5 mm Blanca")</f>
        <v>Mts. cadena Plástico 7.5 mm Blanca</v>
      </c>
      <c r="C1165" s="4">
        <f>IFERROR(__xludf.DUMMYFUNCTION("""COMPUTED_VALUE"""),0.7488)</f>
        <v>0.7488</v>
      </c>
    </row>
    <row r="1166">
      <c r="A1166" s="4" t="str">
        <f>IFERROR(__xludf.DUMMYFUNCTION("""COMPUTED_VALUE"""),"1127BZ")</f>
        <v>1127BZ</v>
      </c>
      <c r="B1166" s="4" t="str">
        <f>IFERROR(__xludf.DUMMYFUNCTION("""COMPUTED_VALUE"""),"Mts. Cadena Plástico 7.5 mm B/Z")</f>
        <v>Mts. Cadena Plástico 7.5 mm B/Z</v>
      </c>
      <c r="C1166" s="4">
        <f>IFERROR(__xludf.DUMMYFUNCTION("""COMPUTED_VALUE"""),0.7488)</f>
        <v>0.7488</v>
      </c>
    </row>
    <row r="1167">
      <c r="A1167" s="4" t="str">
        <f>IFERROR(__xludf.DUMMYFUNCTION("""COMPUTED_VALUE"""),"1127V")</f>
        <v>1127V</v>
      </c>
      <c r="B1167" s="4" t="str">
        <f>IFERROR(__xludf.DUMMYFUNCTION("""COMPUTED_VALUE"""),"Mts. cadena Plástico 7.5 mm Verde")</f>
        <v>Mts. cadena Plástico 7.5 mm Verde</v>
      </c>
      <c r="C1167" s="4">
        <f>IFERROR(__xludf.DUMMYFUNCTION("""COMPUTED_VALUE"""),0.7488)</f>
        <v>0.7488</v>
      </c>
    </row>
    <row r="1168">
      <c r="A1168" s="4" t="str">
        <f>IFERROR(__xludf.DUMMYFUNCTION("""COMPUTED_VALUE"""),"1127VB")</f>
        <v>1127VB</v>
      </c>
      <c r="B1168" s="4" t="str">
        <f>IFERROR(__xludf.DUMMYFUNCTION("""COMPUTED_VALUE"""),"Mts. Cadena Plástico 7.5 mm V/B")</f>
        <v>Mts. Cadena Plástico 7.5 mm V/B</v>
      </c>
      <c r="C1168" s="4">
        <f>IFERROR(__xludf.DUMMYFUNCTION("""COMPUTED_VALUE"""),0.7488)</f>
        <v>0.7488</v>
      </c>
    </row>
    <row r="1169">
      <c r="A1169" s="4" t="str">
        <f>IFERROR(__xludf.DUMMYFUNCTION("""COMPUTED_VALUE"""),"1128")</f>
        <v>1128</v>
      </c>
      <c r="B1169" s="4" t="str">
        <f>IFERROR(__xludf.DUMMYFUNCTION("""COMPUTED_VALUE"""),"Mts. Cadena plastico 5.5mm N/A")</f>
        <v>Mts. Cadena plastico 5.5mm N/A</v>
      </c>
      <c r="C1169" s="4">
        <f>IFERROR(__xludf.DUMMYFUNCTION("""COMPUTED_VALUE"""),0.624)</f>
        <v>0.624</v>
      </c>
    </row>
    <row r="1170">
      <c r="A1170" s="4" t="str">
        <f>IFERROR(__xludf.DUMMYFUNCTION("""COMPUTED_VALUE"""),"1129")</f>
        <v>1129</v>
      </c>
      <c r="B1170" s="4" t="str">
        <f>IFERROR(__xludf.DUMMYFUNCTION("""COMPUTED_VALUE"""),"Mts. Cadena plastico 7.5 mm N/A")</f>
        <v>Mts. Cadena plastico 7.5 mm N/A</v>
      </c>
      <c r="C1170" s="4">
        <f>IFERROR(__xludf.DUMMYFUNCTION("""COMPUTED_VALUE"""),0.7488)</f>
        <v>0.7488</v>
      </c>
    </row>
    <row r="1171">
      <c r="A1171" s="4" t="str">
        <f>IFERROR(__xludf.DUMMYFUNCTION("""COMPUTED_VALUE"""),"1132")</f>
        <v>1132</v>
      </c>
      <c r="B1171" s="4" t="str">
        <f>IFERROR(__xludf.DUMMYFUNCTION("""COMPUTED_VALUE"""),"Poste plata con cinturón retráctil rojo 2 m")</f>
        <v>Poste plata con cinturón retráctil rojo 2 m</v>
      </c>
      <c r="C1171" s="4">
        <f>IFERROR(__xludf.DUMMYFUNCTION("""COMPUTED_VALUE"""),23.04)</f>
        <v>23.04</v>
      </c>
    </row>
    <row r="1172">
      <c r="A1172" s="4" t="str">
        <f>IFERROR(__xludf.DUMMYFUNCTION("""COMPUTED_VALUE"""),"11325M")</f>
        <v>11325M</v>
      </c>
      <c r="B1172" s="4" t="str">
        <f>IFERROR(__xludf.DUMMYFUNCTION("""COMPUTED_VALUE"""),"Poste plata con cinturón retráctil rojo 5 m")</f>
        <v>Poste plata con cinturón retráctil rojo 5 m</v>
      </c>
      <c r="C1172" s="4">
        <f>IFERROR(__xludf.DUMMYFUNCTION("""COMPUTED_VALUE"""),29.759999999999998)</f>
        <v>29.76</v>
      </c>
    </row>
    <row r="1173">
      <c r="A1173" s="4" t="str">
        <f>IFERROR(__xludf.DUMMYFUNCTION("""COMPUTED_VALUE"""),"1132A")</f>
        <v>1132A</v>
      </c>
      <c r="B1173" s="4" t="str">
        <f>IFERROR(__xludf.DUMMYFUNCTION("""COMPUTED_VALUE"""),"Poste plata con cinturón retráctil azul 2 m")</f>
        <v>Poste plata con cinturón retráctil azul 2 m</v>
      </c>
      <c r="C1173" s="4">
        <f>IFERROR(__xludf.DUMMYFUNCTION("""COMPUTED_VALUE"""),23.04)</f>
        <v>23.04</v>
      </c>
    </row>
    <row r="1174">
      <c r="A1174" s="4" t="str">
        <f>IFERROR(__xludf.DUMMYFUNCTION("""COMPUTED_VALUE"""),"1132A5M")</f>
        <v>1132A5M</v>
      </c>
      <c r="B1174" s="4" t="str">
        <f>IFERROR(__xludf.DUMMYFUNCTION("""COMPUTED_VALUE"""),"Poste plata con cinturón retráctil azul 5 m")</f>
        <v>Poste plata con cinturón retráctil azul 5 m</v>
      </c>
      <c r="C1174" s="4">
        <f>IFERROR(__xludf.DUMMYFUNCTION("""COMPUTED_VALUE"""),29.759999999999998)</f>
        <v>29.76</v>
      </c>
    </row>
    <row r="1175">
      <c r="A1175" s="4" t="str">
        <f>IFERROR(__xludf.DUMMYFUNCTION("""COMPUTED_VALUE"""),"1132N")</f>
        <v>1132N</v>
      </c>
      <c r="B1175" s="4" t="str">
        <f>IFERROR(__xludf.DUMMYFUNCTION("""COMPUTED_VALUE"""),"Poste plata con cinturón retráctil negro 2 m")</f>
        <v>Poste plata con cinturón retráctil negro 2 m</v>
      </c>
      <c r="C1175" s="4">
        <f>IFERROR(__xludf.DUMMYFUNCTION("""COMPUTED_VALUE"""),23.04)</f>
        <v>23.04</v>
      </c>
    </row>
    <row r="1176">
      <c r="A1176" s="4" t="str">
        <f>IFERROR(__xludf.DUMMYFUNCTION("""COMPUTED_VALUE"""),"1132N5M")</f>
        <v>1132N5M</v>
      </c>
      <c r="B1176" s="4" t="str">
        <f>IFERROR(__xludf.DUMMYFUNCTION("""COMPUTED_VALUE"""),"Poste plata con cinturón retráctil negro 5 m")</f>
        <v>Poste plata con cinturón retráctil negro 5 m</v>
      </c>
      <c r="C1176" s="4">
        <f>IFERROR(__xludf.DUMMYFUNCTION("""COMPUTED_VALUE"""),29.759999999999998)</f>
        <v>29.76</v>
      </c>
    </row>
    <row r="1177">
      <c r="A1177" s="4" t="str">
        <f>IFERROR(__xludf.DUMMYFUNCTION("""COMPUTED_VALUE"""),"1133")</f>
        <v>1133</v>
      </c>
      <c r="B1177" s="4" t="str">
        <f>IFERROR(__xludf.DUMMYFUNCTION("""COMPUTED_VALUE"""),"Cinturón Retráctil Pared rojo 2 m")</f>
        <v>Cinturón Retráctil Pared rojo 2 m</v>
      </c>
      <c r="C1177" s="4">
        <f>IFERROR(__xludf.DUMMYFUNCTION("""COMPUTED_VALUE"""),16.272)</f>
        <v>16.272</v>
      </c>
    </row>
    <row r="1178">
      <c r="A1178" s="4" t="str">
        <f>IFERROR(__xludf.DUMMYFUNCTION("""COMPUTED_VALUE"""),"11335M")</f>
        <v>11335M</v>
      </c>
      <c r="B1178" s="4" t="str">
        <f>IFERROR(__xludf.DUMMYFUNCTION("""COMPUTED_VALUE"""),"Cinturón Retráctil Pared rojo 5 m")</f>
        <v>Cinturón Retráctil Pared rojo 5 m</v>
      </c>
      <c r="C1178" s="4">
        <f>IFERROR(__xludf.DUMMYFUNCTION("""COMPUTED_VALUE"""),27.84)</f>
        <v>27.84</v>
      </c>
    </row>
    <row r="1179">
      <c r="A1179" s="4" t="str">
        <f>IFERROR(__xludf.DUMMYFUNCTION("""COMPUTED_VALUE"""),"1133A")</f>
        <v>1133A</v>
      </c>
      <c r="B1179" s="4" t="str">
        <f>IFERROR(__xludf.DUMMYFUNCTION("""COMPUTED_VALUE"""),"Enganche pared para cinturón retráctil")</f>
        <v>Enganche pared para cinturón retráctil</v>
      </c>
      <c r="C1179" s="4">
        <f>IFERROR(__xludf.DUMMYFUNCTION("""COMPUTED_VALUE"""),1.44)</f>
        <v>1.44</v>
      </c>
    </row>
    <row r="1180">
      <c r="A1180" s="4" t="str">
        <f>IFERROR(__xludf.DUMMYFUNCTION("""COMPUTED_VALUE"""),"1133A5M")</f>
        <v>1133A5M</v>
      </c>
      <c r="B1180" s="4" t="str">
        <f>IFERROR(__xludf.DUMMYFUNCTION("""COMPUTED_VALUE"""),"Cinturón Retráctil Pared azul 5 m")</f>
        <v>Cinturón Retráctil Pared azul 5 m</v>
      </c>
      <c r="C1180" s="4">
        <f>IFERROR(__xludf.DUMMYFUNCTION("""COMPUTED_VALUE"""),27.84)</f>
        <v>27.84</v>
      </c>
    </row>
    <row r="1181">
      <c r="A1181" s="4" t="str">
        <f>IFERROR(__xludf.DUMMYFUNCTION("""COMPUTED_VALUE"""),"1133N")</f>
        <v>1133N</v>
      </c>
      <c r="B1181" s="4" t="str">
        <f>IFERROR(__xludf.DUMMYFUNCTION("""COMPUTED_VALUE"""),"Cinturón Retráctil Pared negro 2m")</f>
        <v>Cinturón Retráctil Pared negro 2m</v>
      </c>
      <c r="C1181" s="4">
        <f>IFERROR(__xludf.DUMMYFUNCTION("""COMPUTED_VALUE"""),16.272)</f>
        <v>16.272</v>
      </c>
    </row>
    <row r="1182">
      <c r="A1182" s="4" t="str">
        <f>IFERROR(__xludf.DUMMYFUNCTION("""COMPUTED_VALUE"""),"1133N5M")</f>
        <v>1133N5M</v>
      </c>
      <c r="B1182" s="4" t="str">
        <f>IFERROR(__xludf.DUMMYFUNCTION("""COMPUTED_VALUE"""),"Cinturón Retráctil Pared negro 5 m")</f>
        <v>Cinturón Retráctil Pared negro 5 m</v>
      </c>
      <c r="C1182" s="4">
        <f>IFERROR(__xludf.DUMMYFUNCTION("""COMPUTED_VALUE"""),27.84)</f>
        <v>27.84</v>
      </c>
    </row>
    <row r="1183">
      <c r="A1183" s="4" t="str">
        <f>IFERROR(__xludf.DUMMYFUNCTION("""COMPUTED_VALUE"""),"1134")</f>
        <v>1134</v>
      </c>
      <c r="B1183" s="4" t="str">
        <f>IFERROR(__xludf.DUMMYFUNCTION("""COMPUTED_VALUE"""),"Poste Negro con cinturón retráctil rojo 2 m")</f>
        <v>Poste Negro con cinturón retráctil rojo 2 m</v>
      </c>
      <c r="C1183" s="4">
        <f>IFERROR(__xludf.DUMMYFUNCTION("""COMPUTED_VALUE"""),23.52)</f>
        <v>23.52</v>
      </c>
    </row>
    <row r="1184">
      <c r="A1184" s="4" t="str">
        <f>IFERROR(__xludf.DUMMYFUNCTION("""COMPUTED_VALUE"""),"1134A")</f>
        <v>1134A</v>
      </c>
      <c r="B1184" s="4" t="str">
        <f>IFERROR(__xludf.DUMMYFUNCTION("""COMPUTED_VALUE"""),"Poste Negro con cinturón retráctil azul 2 m")</f>
        <v>Poste Negro con cinturón retráctil azul 2 m</v>
      </c>
      <c r="C1184" s="4">
        <f>IFERROR(__xludf.DUMMYFUNCTION("""COMPUTED_VALUE"""),23.04)</f>
        <v>23.04</v>
      </c>
    </row>
    <row r="1185">
      <c r="A1185" s="4" t="str">
        <f>IFERROR(__xludf.DUMMYFUNCTION("""COMPUTED_VALUE"""),"1134N")</f>
        <v>1134N</v>
      </c>
      <c r="B1185" s="4" t="str">
        <f>IFERROR(__xludf.DUMMYFUNCTION("""COMPUTED_VALUE"""),"Poste negro con cinturón retráctil negro 2 m")</f>
        <v>Poste negro con cinturón retráctil negro 2 m</v>
      </c>
      <c r="C1185" s="4">
        <f>IFERROR(__xludf.DUMMYFUNCTION("""COMPUTED_VALUE"""),23.04)</f>
        <v>23.04</v>
      </c>
    </row>
    <row r="1186">
      <c r="A1186" s="4" t="str">
        <f>IFERROR(__xludf.DUMMYFUNCTION("""COMPUTED_VALUE"""),"1134NA")</f>
        <v>1134NA</v>
      </c>
      <c r="B1186" s="4" t="str">
        <f>IFERROR(__xludf.DUMMYFUNCTION("""COMPUTED_VALUE"""),"Poste negro con cinturón retráctil negro/amarillo 5 m")</f>
        <v>Poste negro con cinturón retráctil negro/amarillo 5 m</v>
      </c>
      <c r="C1186" s="4">
        <f>IFERROR(__xludf.DUMMYFUNCTION("""COMPUTED_VALUE"""),23.04)</f>
        <v>23.04</v>
      </c>
    </row>
    <row r="1187">
      <c r="A1187" s="4" t="str">
        <f>IFERROR(__xludf.DUMMYFUNCTION("""COMPUTED_VALUE"""),"1134RB")</f>
        <v>1134RB</v>
      </c>
      <c r="B1187" s="4" t="str">
        <f>IFERROR(__xludf.DUMMYFUNCTION("""COMPUTED_VALUE"""),"Poste negro con cinturón retráctil rojo/blanco 5 m")</f>
        <v>Poste negro con cinturón retráctil rojo/blanco 5 m</v>
      </c>
      <c r="C1187" s="4">
        <f>IFERROR(__xludf.DUMMYFUNCTION("""COMPUTED_VALUE"""),23.04)</f>
        <v>23.04</v>
      </c>
    </row>
    <row r="1188">
      <c r="A1188" s="4" t="str">
        <f>IFERROR(__xludf.DUMMYFUNCTION("""COMPUTED_VALUE"""),"1135")</f>
        <v>1135</v>
      </c>
      <c r="B1188" s="4" t="str">
        <f>IFERROR(__xludf.DUMMYFUNCTION("""COMPUTED_VALUE"""),"Cinturón retractil pared azul 2 m")</f>
        <v>Cinturón retractil pared azul 2 m</v>
      </c>
      <c r="C1188" s="4">
        <f>IFERROR(__xludf.DUMMYFUNCTION("""COMPUTED_VALUE"""),16.272)</f>
        <v>16.272</v>
      </c>
    </row>
    <row r="1189">
      <c r="A1189" s="4" t="str">
        <f>IFERROR(__xludf.DUMMYFUNCTION("""COMPUTED_VALUE"""),"1136")</f>
        <v>1136</v>
      </c>
      <c r="B1189" s="4" t="str">
        <f>IFERROR(__xludf.DUMMYFUNCTION("""COMPUTED_VALUE"""),"Poste R/B para cadena con base hexagonal pesada")</f>
        <v>Poste R/B para cadena con base hexagonal pesada</v>
      </c>
      <c r="C1189" s="4">
        <f>IFERROR(__xludf.DUMMYFUNCTION("""COMPUTED_VALUE"""),9.072)</f>
        <v>9.072</v>
      </c>
    </row>
    <row r="1190">
      <c r="A1190" s="4" t="str">
        <f>IFERROR(__xludf.DUMMYFUNCTION("""COMPUTED_VALUE"""),"1138")</f>
        <v>1138</v>
      </c>
      <c r="B1190" s="4" t="str">
        <f>IFERROR(__xludf.DUMMYFUNCTION("""COMPUTED_VALUE"""),"Poste señaliz. R/B p/cadena plastica base caucho 3 kg")</f>
        <v>Poste señaliz. R/B p/cadena plastica base caucho 3 kg</v>
      </c>
      <c r="C1190" s="4">
        <f>IFERROR(__xludf.DUMMYFUNCTION("""COMPUTED_VALUE"""),7.4399999999999995)</f>
        <v>7.44</v>
      </c>
    </row>
    <row r="1191">
      <c r="A1191" s="4" t="str">
        <f>IFERROR(__xludf.DUMMYFUNCTION("""COMPUTED_VALUE"""),"1139")</f>
        <v>1139</v>
      </c>
      <c r="B1191" s="4" t="str">
        <f>IFERROR(__xludf.DUMMYFUNCTION("""COMPUTED_VALUE"""),"Poste señaliz. N/A p/cadena plastica base caucho 3 kg")</f>
        <v>Poste señaliz. N/A p/cadena plastica base caucho 3 kg</v>
      </c>
      <c r="C1191" s="4">
        <f>IFERROR(__xludf.DUMMYFUNCTION("""COMPUTED_VALUE"""),7.4399999999999995)</f>
        <v>7.44</v>
      </c>
    </row>
    <row r="1192">
      <c r="A1192" s="4" t="str">
        <f>IFERROR(__xludf.DUMMYFUNCTION("""COMPUTED_VALUE"""),"1520")</f>
        <v>1520</v>
      </c>
      <c r="B1192" s="4" t="str">
        <f>IFERROR(__xludf.DUMMYFUNCTION("""COMPUTED_VALUE"""),"Cinta Creppe 48 mm x 45 m")</f>
        <v>Cinta Creppe 48 mm x 45 m</v>
      </c>
      <c r="C1192" s="4">
        <f>IFERROR(__xludf.DUMMYFUNCTION("""COMPUTED_VALUE"""),1.392)</f>
        <v>1.392</v>
      </c>
    </row>
    <row r="1193">
      <c r="A1193" s="4" t="str">
        <f>IFERROR(__xludf.DUMMYFUNCTION("""COMPUTED_VALUE"""),"1522")</f>
        <v>1522</v>
      </c>
      <c r="B1193" s="4" t="str">
        <f>IFERROR(__xludf.DUMMYFUNCTION("""COMPUTED_VALUE"""),"Cinta Creppe Azul 48 mm x 45 m")</f>
        <v>Cinta Creppe Azul 48 mm x 45 m</v>
      </c>
      <c r="C1193" s="4">
        <f>IFERROR(__xludf.DUMMYFUNCTION("""COMPUTED_VALUE"""),1.68)</f>
        <v>1.68</v>
      </c>
    </row>
    <row r="1194">
      <c r="A1194" s="4" t="str">
        <f>IFERROR(__xludf.DUMMYFUNCTION("""COMPUTED_VALUE"""),"1523")</f>
        <v>1523</v>
      </c>
      <c r="B1194" s="4" t="str">
        <f>IFERROR(__xludf.DUMMYFUNCTION("""COMPUTED_VALUE"""),"Cinta Creppe Exteriores Azul 48 mm x 45 m")</f>
        <v>Cinta Creppe Exteriores Azul 48 mm x 45 m</v>
      </c>
      <c r="C1194" s="4">
        <f>IFERROR(__xludf.DUMMYFUNCTION("""COMPUTED_VALUE"""),4.992)</f>
        <v>4.992</v>
      </c>
    </row>
    <row r="1195">
      <c r="A1195" s="4" t="str">
        <f>IFERROR(__xludf.DUMMYFUNCTION("""COMPUTED_VALUE"""),"1524")</f>
        <v>1524</v>
      </c>
      <c r="B1195" s="4" t="str">
        <f>IFERROR(__xludf.DUMMYFUNCTION("""COMPUTED_VALUE"""),"Cinta Aluminio 30 my 50 mm x 10 m")</f>
        <v>Cinta Aluminio 30 my 50 mm x 10 m</v>
      </c>
      <c r="C1195" s="4">
        <f>IFERROR(__xludf.DUMMYFUNCTION("""COMPUTED_VALUE"""),0.9119999999999999)</f>
        <v>0.912</v>
      </c>
    </row>
    <row r="1196">
      <c r="A1196" s="4" t="str">
        <f>IFERROR(__xludf.DUMMYFUNCTION("""COMPUTED_VALUE"""),"1525")</f>
        <v>1525</v>
      </c>
      <c r="B1196" s="4" t="str">
        <f>IFERROR(__xludf.DUMMYFUNCTION("""COMPUTED_VALUE"""),"Cinta Aluminio 30 my 50 mm x 45 m")</f>
        <v>Cinta Aluminio 30 my 50 mm x 45 m</v>
      </c>
      <c r="C1196" s="4">
        <f>IFERROR(__xludf.DUMMYFUNCTION("""COMPUTED_VALUE"""),4.08)</f>
        <v>4.08</v>
      </c>
    </row>
    <row r="1197">
      <c r="A1197" s="4" t="str">
        <f>IFERROR(__xludf.DUMMYFUNCTION("""COMPUTED_VALUE"""),"1536")</f>
        <v>1536</v>
      </c>
      <c r="B1197" s="4" t="str">
        <f>IFERROR(__xludf.DUMMYFUNCTION("""COMPUTED_VALUE"""),"Rollo cinta marcaje temporal Amarilla 3M 75 m x 12 cm")</f>
        <v>Rollo cinta marcaje temporal Amarilla 3M 75 m x 12 cm</v>
      </c>
      <c r="C1197" s="4">
        <f>IFERROR(__xludf.DUMMYFUNCTION("""COMPUTED_VALUE"""),438.47999999999996)</f>
        <v>438.48</v>
      </c>
    </row>
    <row r="1198">
      <c r="A1198" s="4" t="str">
        <f>IFERROR(__xludf.DUMMYFUNCTION("""COMPUTED_VALUE"""),"1537")</f>
        <v>1537</v>
      </c>
      <c r="B1198" s="4" t="str">
        <f>IFERROR(__xludf.DUMMYFUNCTION("""COMPUTED_VALUE"""),"Rollo cinta enmascarar Negra 3M 109 m x 15 cm")</f>
        <v>Rollo cinta enmascarar Negra 3M 109 m x 15 cm</v>
      </c>
      <c r="C1198" s="4">
        <f>IFERROR(__xludf.DUMMYFUNCTION("""COMPUTED_VALUE"""),400.68)</f>
        <v>400.68</v>
      </c>
    </row>
    <row r="1199">
      <c r="A1199" s="4" t="str">
        <f>IFERROR(__xludf.DUMMYFUNCTION("""COMPUTED_VALUE"""),"1538")</f>
        <v>1538</v>
      </c>
      <c r="B1199" s="4" t="str">
        <f>IFERROR(__xludf.DUMMYFUNCTION("""COMPUTED_VALUE"""),"Rollo cinta antidelizante luminiscente 2,5 cm x 18,30 mt")</f>
        <v>Rollo cinta antidelizante luminiscente 2,5 cm x 18,30 mt</v>
      </c>
      <c r="C1199" s="4">
        <f>IFERROR(__xludf.DUMMYFUNCTION("""COMPUTED_VALUE"""),45.12)</f>
        <v>45.12</v>
      </c>
    </row>
    <row r="1200">
      <c r="A1200" s="4" t="str">
        <f>IFERROR(__xludf.DUMMYFUNCTION("""COMPUTED_VALUE"""),"1539")</f>
        <v>1539</v>
      </c>
      <c r="B1200" s="4" t="str">
        <f>IFERROR(__xludf.DUMMYFUNCTION("""COMPUTED_VALUE"""),"Rollo Cinta 10cm x 200 m bomberos Roja/blanca")</f>
        <v>Rollo Cinta 10cm x 200 m bomberos Roja/blanca</v>
      </c>
      <c r="C1200" s="4">
        <f>IFERROR(__xludf.DUMMYFUNCTION("""COMPUTED_VALUE"""),7.92)</f>
        <v>7.92</v>
      </c>
    </row>
    <row r="1201">
      <c r="A1201" s="4" t="str">
        <f>IFERROR(__xludf.DUMMYFUNCTION("""COMPUTED_VALUE"""),"1540")</f>
        <v>1540</v>
      </c>
      <c r="B1201" s="4" t="str">
        <f>IFERROR(__xludf.DUMMYFUNCTION("""COMPUTED_VALUE"""),"Rollo cinta antideslizante negra 5cm x 18 mt")</f>
        <v>Rollo cinta antideslizante negra 5cm x 18 mt</v>
      </c>
      <c r="C1201" s="4">
        <f>IFERROR(__xludf.DUMMYFUNCTION("""COMPUTED_VALUE"""),13.68)</f>
        <v>13.68</v>
      </c>
    </row>
    <row r="1202">
      <c r="A1202" s="4" t="str">
        <f>IFERROR(__xludf.DUMMYFUNCTION("""COMPUTED_VALUE"""),"1541")</f>
        <v>1541</v>
      </c>
      <c r="B1202" s="4" t="str">
        <f>IFERROR(__xludf.DUMMYFUNCTION("""COMPUTED_VALUE"""),"Rollo cinta antideslizante N/A 5 cm x 18 mt")</f>
        <v>Rollo cinta antideslizante N/A 5 cm x 18 mt</v>
      </c>
      <c r="C1202" s="4">
        <f>IFERROR(__xludf.DUMMYFUNCTION("""COMPUTED_VALUE"""),13.68)</f>
        <v>13.68</v>
      </c>
    </row>
    <row r="1203">
      <c r="A1203" s="4" t="str">
        <f>IFERROR(__xludf.DUMMYFUNCTION("""COMPUTED_VALUE"""),"1542")</f>
        <v>1542</v>
      </c>
      <c r="B1203" s="4" t="str">
        <f>IFERROR(__xludf.DUMMYFUNCTION("""COMPUTED_VALUE"""),"Rollo cinta antideslizante R/B 5 cm x 18 mt")</f>
        <v>Rollo cinta antideslizante R/B 5 cm x 18 mt</v>
      </c>
      <c r="C1203" s="4">
        <f>IFERROR(__xludf.DUMMYFUNCTION("""COMPUTED_VALUE"""),13.68)</f>
        <v>13.68</v>
      </c>
    </row>
    <row r="1204">
      <c r="A1204" s="4" t="str">
        <f>IFERROR(__xludf.DUMMYFUNCTION("""COMPUTED_VALUE"""),"1547")</f>
        <v>1547</v>
      </c>
      <c r="B1204" s="4" t="str">
        <f>IFERROR(__xludf.DUMMYFUNCTION("""COMPUTED_VALUE"""),"Rollo cinta Blanca 55mm x50 metros DG983-10 ECE 104")</f>
        <v>Rollo cinta Blanca 55mm x50 metros DG983-10 ECE 104</v>
      </c>
      <c r="C1204" s="4">
        <f>IFERROR(__xludf.DUMMYFUNCTION("""COMPUTED_VALUE"""),121.96799999999999)</f>
        <v>121.968</v>
      </c>
    </row>
    <row r="1205">
      <c r="A1205" s="4" t="str">
        <f>IFERROR(__xludf.DUMMYFUNCTION("""COMPUTED_VALUE"""),"1547F")</f>
        <v>1547F</v>
      </c>
      <c r="B1205" s="4" t="str">
        <f>IFERROR(__xludf.DUMMYFUNCTION("""COMPUTED_VALUE"""),"Rollo cinta Blanca 51mm x50 metros DG997-10S")</f>
        <v>Rollo cinta Blanca 51mm x50 metros DG997-10S</v>
      </c>
      <c r="C1205" s="4">
        <f>IFERROR(__xludf.DUMMYFUNCTION("""COMPUTED_VALUE"""),121.96799999999999)</f>
        <v>121.968</v>
      </c>
    </row>
    <row r="1206">
      <c r="A1206" s="4" t="str">
        <f>IFERROR(__xludf.DUMMYFUNCTION("""COMPUTED_VALUE"""),"1548")</f>
        <v>1548</v>
      </c>
      <c r="B1206" s="4" t="str">
        <f>IFERROR(__xludf.DUMMYFUNCTION("""COMPUTED_VALUE"""),"Rollo cinta Rojo 55mm x50metros DG983-72 ECE 1R/CTN")</f>
        <v>Rollo cinta Rojo 55mm x50metros DG983-72 ECE 1R/CTN</v>
      </c>
      <c r="C1206" s="4">
        <f>IFERROR(__xludf.DUMMYFUNCTION("""COMPUTED_VALUE"""),121.96799999999999)</f>
        <v>121.968</v>
      </c>
    </row>
    <row r="1207">
      <c r="A1207" s="4" t="str">
        <f>IFERROR(__xludf.DUMMYFUNCTION("""COMPUTED_VALUE"""),"1548F")</f>
        <v>1548F</v>
      </c>
      <c r="B1207" s="4" t="str">
        <f>IFERROR(__xludf.DUMMYFUNCTION("""COMPUTED_VALUE"""),"Rollo cinta Rojo 51mmx 50 metros DG997-72S")</f>
        <v>Rollo cinta Rojo 51mmx 50 metros DG997-72S</v>
      </c>
      <c r="C1207" s="4">
        <f>IFERROR(__xludf.DUMMYFUNCTION("""COMPUTED_VALUE"""),121.96799999999999)</f>
        <v>121.968</v>
      </c>
    </row>
    <row r="1208">
      <c r="A1208" s="4" t="str">
        <f>IFERROR(__xludf.DUMMYFUNCTION("""COMPUTED_VALUE"""),"1549")</f>
        <v>1549</v>
      </c>
      <c r="B1208" s="4" t="str">
        <f>IFERROR(__xludf.DUMMYFUNCTION("""COMPUTED_VALUE"""),"Rollo cinta amarilla 55MM x50metros DG983-71 ECE 104")</f>
        <v>Rollo cinta amarilla 55MM x50metros DG983-71 ECE 104</v>
      </c>
      <c r="C1208" s="4">
        <f>IFERROR(__xludf.DUMMYFUNCTION("""COMPUTED_VALUE"""),121.96799999999999)</f>
        <v>121.968</v>
      </c>
    </row>
    <row r="1209">
      <c r="A1209" s="4" t="str">
        <f>IFERROR(__xludf.DUMMYFUNCTION("""COMPUTED_VALUE"""),"1549F")</f>
        <v>1549F</v>
      </c>
      <c r="B1209" s="4" t="str">
        <f>IFERROR(__xludf.DUMMYFUNCTION("""COMPUTED_VALUE"""),"Rollo cinta Amarilla 51mm x50 metros DG997-71S")</f>
        <v>Rollo cinta Amarilla 51mm x50 metros DG997-71S</v>
      </c>
      <c r="C1209" s="4">
        <f>IFERROR(__xludf.DUMMYFUNCTION("""COMPUTED_VALUE"""),121.96799999999999)</f>
        <v>121.968</v>
      </c>
    </row>
    <row r="1210">
      <c r="A1210" s="4" t="str">
        <f>IFERROR(__xludf.DUMMYFUNCTION("""COMPUTED_VALUE"""),"1550")</f>
        <v>1550</v>
      </c>
      <c r="B1210" s="4" t="str">
        <f>IFERROR(__xludf.DUMMYFUNCTION("""COMPUTED_VALUE"""),"Rollo cinta reflectante adhesiva blanca 5 cm x 46 metros")</f>
        <v>Rollo cinta reflectante adhesiva blanca 5 cm x 46 metros</v>
      </c>
      <c r="C1210" s="4">
        <f>IFERROR(__xludf.DUMMYFUNCTION("""COMPUTED_VALUE"""),14.304)</f>
        <v>14.304</v>
      </c>
    </row>
    <row r="1211">
      <c r="A1211" s="4" t="str">
        <f>IFERROR(__xludf.DUMMYFUNCTION("""COMPUTED_VALUE"""),"1551")</f>
        <v>1551</v>
      </c>
      <c r="B1211" s="4" t="str">
        <f>IFERROR(__xludf.DUMMYFUNCTION("""COMPUTED_VALUE"""),"Rollo (2 unid izq-dcha)señal. vehiculos V-2 9 mtros x 14,1 cm")</f>
        <v>Rollo (2 unid izq-dcha)señal. vehiculos V-2 9 mtros x 14,1 cm</v>
      </c>
      <c r="C1211" s="4">
        <f>IFERROR(__xludf.DUMMYFUNCTION("""COMPUTED_VALUE"""),163.79999999999998)</f>
        <v>163.8</v>
      </c>
    </row>
    <row r="1212">
      <c r="A1212" s="4" t="str">
        <f>IFERROR(__xludf.DUMMYFUNCTION("""COMPUTED_VALUE"""),"1554")</f>
        <v>1554</v>
      </c>
      <c r="B1212" s="4" t="str">
        <f>IFERROR(__xludf.DUMMYFUNCTION("""COMPUTED_VALUE"""),"Rollo cinta luminiscente adhesiva 5 cm x 25 metros")</f>
        <v>Rollo cinta luminiscente adhesiva 5 cm x 25 metros</v>
      </c>
      <c r="C1212" s="4">
        <f>IFERROR(__xludf.DUMMYFUNCTION("""COMPUTED_VALUE"""),87.36)</f>
        <v>87.36</v>
      </c>
    </row>
    <row r="1213">
      <c r="A1213" s="4" t="str">
        <f>IFERROR(__xludf.DUMMYFUNCTION("""COMPUTED_VALUE"""),"1555")</f>
        <v>1555</v>
      </c>
      <c r="B1213" s="4" t="str">
        <f>IFERROR(__xludf.DUMMYFUNCTION("""COMPUTED_VALUE"""),"Rollo cinta reflectante adhesiva R/B 5 cm x 45 metros")</f>
        <v>Rollo cinta reflectante adhesiva R/B 5 cm x 45 metros</v>
      </c>
      <c r="C1213" s="4">
        <f>IFERROR(__xludf.DUMMYFUNCTION("""COMPUTED_VALUE"""),14.304)</f>
        <v>14.304</v>
      </c>
    </row>
    <row r="1214">
      <c r="A1214" s="4" t="str">
        <f>IFERROR(__xludf.DUMMYFUNCTION("""COMPUTED_VALUE"""),"1556")</f>
        <v>1556</v>
      </c>
      <c r="B1214" s="4" t="str">
        <f>IFERROR(__xludf.DUMMYFUNCTION("""COMPUTED_VALUE"""),"Rollo cinta reflectante adhesiva N/A 5 cm x 45 metros")</f>
        <v>Rollo cinta reflectante adhesiva N/A 5 cm x 45 metros</v>
      </c>
      <c r="C1214" s="4">
        <f>IFERROR(__xludf.DUMMYFUNCTION("""COMPUTED_VALUE"""),14.304)</f>
        <v>14.304</v>
      </c>
    </row>
    <row r="1215">
      <c r="A1215" s="4" t="str">
        <f>IFERROR(__xludf.DUMMYFUNCTION("""COMPUTED_VALUE"""),"1557")</f>
        <v>1557</v>
      </c>
      <c r="B1215" s="4" t="str">
        <f>IFERROR(__xludf.DUMMYFUNCTION("""COMPUTED_VALUE"""),"Rollo Cinta 10 cm reflectante adhesiva R/B 45 metros")</f>
        <v>Rollo Cinta 10 cm reflectante adhesiva R/B 45 metros</v>
      </c>
      <c r="C1215" s="4">
        <f>IFERROR(__xludf.DUMMYFUNCTION("""COMPUTED_VALUE"""),26.208)</f>
        <v>26.208</v>
      </c>
    </row>
    <row r="1216">
      <c r="A1216" s="4" t="str">
        <f>IFERROR(__xludf.DUMMYFUNCTION("""COMPUTED_VALUE"""),"1558")</f>
        <v>1558</v>
      </c>
      <c r="B1216" s="4" t="str">
        <f>IFERROR(__xludf.DUMMYFUNCTION("""COMPUTED_VALUE"""),"Rollo cinta 10 cm reflectante adhesiva N/A 45 metros")</f>
        <v>Rollo cinta 10 cm reflectante adhesiva N/A 45 metros</v>
      </c>
      <c r="C1216" s="4">
        <f>IFERROR(__xludf.DUMMYFUNCTION("""COMPUTED_VALUE"""),26.208)</f>
        <v>26.208</v>
      </c>
    </row>
    <row r="1217">
      <c r="A1217" s="4" t="str">
        <f>IFERROR(__xludf.DUMMYFUNCTION("""COMPUTED_VALUE"""),"1559A")</f>
        <v>1559A</v>
      </c>
      <c r="B1217" s="4" t="str">
        <f>IFERROR(__xludf.DUMMYFUNCTION("""COMPUTED_VALUE"""),"Rollo Cinta Adhesiva personalizada 1 color 5cm x132 mts")</f>
        <v>Rollo Cinta Adhesiva personalizada 1 color 5cm x132 mts</v>
      </c>
      <c r="C1217" s="4">
        <f>IFERROR(__xludf.DUMMYFUNCTION("""COMPUTED_VALUE"""),2.832)</f>
        <v>2.832</v>
      </c>
    </row>
    <row r="1218">
      <c r="A1218" s="4" t="str">
        <f>IFERROR(__xludf.DUMMYFUNCTION("""COMPUTED_VALUE"""),"1559B")</f>
        <v>1559B</v>
      </c>
      <c r="B1218" s="4" t="str">
        <f>IFERROR(__xludf.DUMMYFUNCTION("""COMPUTED_VALUE"""),"Rollo Cinta Adhesiva personalizada 2 colores 5cm x132 mts")</f>
        <v>Rollo Cinta Adhesiva personalizada 2 colores 5cm x132 mts</v>
      </c>
      <c r="C1218" s="4">
        <f>IFERROR(__xludf.DUMMYFUNCTION("""COMPUTED_VALUE"""),3.072)</f>
        <v>3.072</v>
      </c>
    </row>
    <row r="1219">
      <c r="A1219" s="4" t="str">
        <f>IFERROR(__xludf.DUMMYFUNCTION("""COMPUTED_VALUE"""),"1559C")</f>
        <v>1559C</v>
      </c>
      <c r="B1219" s="4" t="str">
        <f>IFERROR(__xludf.DUMMYFUNCTION("""COMPUTED_VALUE"""),"Rollo Cinta Adhesiva personalizada 3 colores 5cm x132 mts")</f>
        <v>Rollo Cinta Adhesiva personalizada 3 colores 5cm x132 mts</v>
      </c>
      <c r="C1219" s="4">
        <f>IFERROR(__xludf.DUMMYFUNCTION("""COMPUTED_VALUE"""),3.552)</f>
        <v>3.552</v>
      </c>
    </row>
    <row r="1220">
      <c r="A1220" s="4" t="str">
        <f>IFERROR(__xludf.DUMMYFUNCTION("""COMPUTED_VALUE"""),"1561A")</f>
        <v>1561A</v>
      </c>
      <c r="B1220" s="4" t="str">
        <f>IFERROR(__xludf.DUMMYFUNCTION("""COMPUTED_VALUE"""),"Cinta adhesiva 50 mm x 132 m Amarillo")</f>
        <v>Cinta adhesiva 50 mm x 132 m Amarillo</v>
      </c>
      <c r="C1220" s="4">
        <f>IFERROR(__xludf.DUMMYFUNCTION("""COMPUTED_VALUE"""),3.264)</f>
        <v>3.264</v>
      </c>
    </row>
    <row r="1221">
      <c r="A1221" s="4" t="str">
        <f>IFERROR(__xludf.DUMMYFUNCTION("""COMPUTED_VALUE"""),"1561B")</f>
        <v>1561B</v>
      </c>
      <c r="B1221" s="4" t="str">
        <f>IFERROR(__xludf.DUMMYFUNCTION("""COMPUTED_VALUE"""),"Cinta adhesiva 50 mm x 132 m Blanco")</f>
        <v>Cinta adhesiva 50 mm x 132 m Blanco</v>
      </c>
      <c r="C1221" s="4">
        <f>IFERROR(__xludf.DUMMYFUNCTION("""COMPUTED_VALUE"""),3.264)</f>
        <v>3.264</v>
      </c>
    </row>
    <row r="1222">
      <c r="A1222" s="4" t="str">
        <f>IFERROR(__xludf.DUMMYFUNCTION("""COMPUTED_VALUE"""),"1561N")</f>
        <v>1561N</v>
      </c>
      <c r="B1222" s="4" t="str">
        <f>IFERROR(__xludf.DUMMYFUNCTION("""COMPUTED_VALUE"""),"Cinta adhesiva 50 mm x 132 m Negro")</f>
        <v>Cinta adhesiva 50 mm x 132 m Negro</v>
      </c>
      <c r="C1222" s="4">
        <f>IFERROR(__xludf.DUMMYFUNCTION("""COMPUTED_VALUE"""),3.264)</f>
        <v>3.264</v>
      </c>
    </row>
    <row r="1223">
      <c r="A1223" s="4" t="str">
        <f>IFERROR(__xludf.DUMMYFUNCTION("""COMPUTED_VALUE"""),"1561R")</f>
        <v>1561R</v>
      </c>
      <c r="B1223" s="4" t="str">
        <f>IFERROR(__xludf.DUMMYFUNCTION("""COMPUTED_VALUE"""),"Cinta adhesiva 50 mm x 132 m Rojo")</f>
        <v>Cinta adhesiva 50 mm x 132 m Rojo</v>
      </c>
      <c r="C1223" s="4">
        <f>IFERROR(__xludf.DUMMYFUNCTION("""COMPUTED_VALUE"""),3.264)</f>
        <v>3.264</v>
      </c>
    </row>
    <row r="1224">
      <c r="A1224" s="4" t="str">
        <f>IFERROR(__xludf.DUMMYFUNCTION("""COMPUTED_VALUE"""),"1561V")</f>
        <v>1561V</v>
      </c>
      <c r="B1224" s="4" t="str">
        <f>IFERROR(__xludf.DUMMYFUNCTION("""COMPUTED_VALUE"""),"Cinta adhesiva 50 mm x 132 m Verde")</f>
        <v>Cinta adhesiva 50 mm x 132 m Verde</v>
      </c>
      <c r="C1224" s="4">
        <f>IFERROR(__xludf.DUMMYFUNCTION("""COMPUTED_VALUE"""),3.264)</f>
        <v>3.264</v>
      </c>
    </row>
    <row r="1225">
      <c r="A1225" s="4" t="str">
        <f>IFERROR(__xludf.DUMMYFUNCTION("""COMPUTED_VALUE"""),"1561Z")</f>
        <v>1561Z</v>
      </c>
      <c r="B1225" s="4" t="str">
        <f>IFERROR(__xludf.DUMMYFUNCTION("""COMPUTED_VALUE"""),"Cinta adhesiva 50 mm x 132 m Azul")</f>
        <v>Cinta adhesiva 50 mm x 132 m Azul</v>
      </c>
      <c r="C1225" s="4">
        <f>IFERROR(__xludf.DUMMYFUNCTION("""COMPUTED_VALUE"""),3.264)</f>
        <v>3.264</v>
      </c>
    </row>
    <row r="1226">
      <c r="A1226" s="4" t="str">
        <f>IFERROR(__xludf.DUMMYFUNCTION("""COMPUTED_VALUE"""),"1562")</f>
        <v>1562</v>
      </c>
      <c r="B1226" s="4" t="str">
        <f>IFERROR(__xludf.DUMMYFUNCTION("""COMPUTED_VALUE"""),"Rollo Cinta Señal. N/A 10cm x 200m. G300 2 caras")</f>
        <v>Rollo Cinta Señal. N/A 10cm x 200m. G300 2 caras</v>
      </c>
      <c r="C1226" s="4">
        <f>IFERROR(__xludf.DUMMYFUNCTION("""COMPUTED_VALUE"""),6.96)</f>
        <v>6.96</v>
      </c>
    </row>
    <row r="1227">
      <c r="A1227" s="4" t="str">
        <f>IFERROR(__xludf.DUMMYFUNCTION("""COMPUTED_VALUE"""),"1563")</f>
        <v>1563</v>
      </c>
      <c r="B1227" s="4" t="str">
        <f>IFERROR(__xludf.DUMMYFUNCTION("""COMPUTED_VALUE"""),"Rollo Cinta Adhesiva N/A 5cm x132 mts")</f>
        <v>Rollo Cinta Adhesiva N/A 5cm x132 mts</v>
      </c>
      <c r="C1227" s="4">
        <f>IFERROR(__xludf.DUMMYFUNCTION("""COMPUTED_VALUE"""),3.7439999999999998)</f>
        <v>3.744</v>
      </c>
    </row>
    <row r="1228">
      <c r="A1228" s="4" t="str">
        <f>IFERROR(__xludf.DUMMYFUNCTION("""COMPUTED_VALUE"""),"1564")</f>
        <v>1564</v>
      </c>
      <c r="B1228" s="4" t="str">
        <f>IFERROR(__xludf.DUMMYFUNCTION("""COMPUTED_VALUE"""),"Rollo Cinta Adhesiva B/R 5cm x132 mts")</f>
        <v>Rollo Cinta Adhesiva B/R 5cm x132 mts</v>
      </c>
      <c r="C1228" s="4">
        <f>IFERROR(__xludf.DUMMYFUNCTION("""COMPUTED_VALUE"""),3.7439999999999998)</f>
        <v>3.744</v>
      </c>
    </row>
    <row r="1229">
      <c r="A1229" s="4" t="str">
        <f>IFERROR(__xludf.DUMMYFUNCTION("""COMPUTED_VALUE"""),"1565")</f>
        <v>1565</v>
      </c>
      <c r="B1229" s="4" t="str">
        <f>IFERROR(__xludf.DUMMYFUNCTION("""COMPUTED_VALUE"""),"Rollo cinta Señal. R/B 10cm X 200m. plata")</f>
        <v>Rollo cinta Señal. R/B 10cm X 200m. plata</v>
      </c>
      <c r="C1229" s="4">
        <f>IFERROR(__xludf.DUMMYFUNCTION("""COMPUTED_VALUE"""),8.831999999999999)</f>
        <v>8.832</v>
      </c>
    </row>
    <row r="1230">
      <c r="A1230" s="4" t="str">
        <f>IFERROR(__xludf.DUMMYFUNCTION("""COMPUTED_VALUE"""),"1566")</f>
        <v>1566</v>
      </c>
      <c r="B1230" s="4" t="str">
        <f>IFERROR(__xludf.DUMMYFUNCTION("""COMPUTED_VALUE"""),"Rollo cinta Señal. R/B10cmx200m. c/caja G400")</f>
        <v>Rollo cinta Señal. R/B10cmx200m. c/caja G400</v>
      </c>
      <c r="C1230" s="4">
        <f>IFERROR(__xludf.DUMMYFUNCTION("""COMPUTED_VALUE"""),7.5648)</f>
        <v>7.5648</v>
      </c>
    </row>
    <row r="1231">
      <c r="A1231" s="4" t="str">
        <f>IFERROR(__xludf.DUMMYFUNCTION("""COMPUTED_VALUE"""),"1567")</f>
        <v>1567</v>
      </c>
      <c r="B1231" s="4" t="str">
        <f>IFERROR(__xludf.DUMMYFUNCTION("""COMPUTED_VALUE"""),"Rollo cinta R/B 10cm x 200m. G400")</f>
        <v>Rollo cinta R/B 10cm x 200m. G400</v>
      </c>
      <c r="C1231" s="4">
        <f>IFERROR(__xludf.DUMMYFUNCTION("""COMPUTED_VALUE"""),7.92)</f>
        <v>7.92</v>
      </c>
    </row>
    <row r="1232">
      <c r="A1232" s="4" t="str">
        <f>IFERROR(__xludf.DUMMYFUNCTION("""COMPUTED_VALUE"""),"1568")</f>
        <v>1568</v>
      </c>
      <c r="B1232" s="4" t="str">
        <f>IFERROR(__xludf.DUMMYFUNCTION("""COMPUTED_VALUE"""),"Rollo cinta Señal. R/B 7cm x 200m. c/caja")</f>
        <v>Rollo cinta Señal. R/B 7cm x 200m. c/caja</v>
      </c>
      <c r="C1232" s="4">
        <f>IFERROR(__xludf.DUMMYFUNCTION("""COMPUTED_VALUE"""),2.16)</f>
        <v>2.16</v>
      </c>
    </row>
    <row r="1233">
      <c r="A1233" s="4" t="str">
        <f>IFERROR(__xludf.DUMMYFUNCTION("""COMPUTED_VALUE"""),"1569")</f>
        <v>1569</v>
      </c>
      <c r="B1233" s="4" t="str">
        <f>IFERROR(__xludf.DUMMYFUNCTION("""COMPUTED_VALUE"""),"Rollo cinta R/B 10cm x 200m. c/caja G300")</f>
        <v>Rollo cinta R/B 10cm x 200m. c/caja G300</v>
      </c>
      <c r="C1233" s="4">
        <f>IFERROR(__xludf.DUMMYFUNCTION("""COMPUTED_VALUE"""),7.776)</f>
        <v>7.776</v>
      </c>
    </row>
    <row r="1234">
      <c r="A1234" s="4" t="str">
        <f>IFERROR(__xludf.DUMMYFUNCTION("""COMPUTED_VALUE"""),"1570")</f>
        <v>1570</v>
      </c>
      <c r="B1234" s="4" t="str">
        <f>IFERROR(__xludf.DUMMYFUNCTION("""COMPUTED_VALUE"""),"Rollo cinta Señal.R-B 10cm x 200m. G300 2 caras")</f>
        <v>Rollo cinta Señal.R-B 10cm x 200m. G300 2 caras</v>
      </c>
      <c r="C1234" s="4">
        <f>IFERROR(__xludf.DUMMYFUNCTION("""COMPUTED_VALUE"""),6.96)</f>
        <v>6.96</v>
      </c>
    </row>
    <row r="1235">
      <c r="A1235" s="4" t="str">
        <f>IFERROR(__xludf.DUMMYFUNCTION("""COMPUTED_VALUE"""),"1570V")</f>
        <v>1570V</v>
      </c>
      <c r="B1235" s="4" t="str">
        <f>IFERROR(__xludf.DUMMYFUNCTION("""COMPUTED_VALUE"""),"Rollo cinta Señal.V/B 10cm x 200 m G300 2 caras")</f>
        <v>Rollo cinta Señal.V/B 10cm x 200 m G300 2 caras</v>
      </c>
      <c r="C1235" s="4">
        <f>IFERROR(__xludf.DUMMYFUNCTION("""COMPUTED_VALUE"""),6.96)</f>
        <v>6.96</v>
      </c>
    </row>
    <row r="1236">
      <c r="A1236" s="4" t="str">
        <f>IFERROR(__xludf.DUMMYFUNCTION("""COMPUTED_VALUE"""),"1570Z")</f>
        <v>1570Z</v>
      </c>
      <c r="B1236" s="4" t="str">
        <f>IFERROR(__xludf.DUMMYFUNCTION("""COMPUTED_VALUE"""),"Rollo cinta Señal. B/A 10 cm x 200m. G300 2 caras")</f>
        <v>Rollo cinta Señal. B/A 10 cm x 200m. G300 2 caras</v>
      </c>
      <c r="C1236" s="4">
        <f>IFERROR(__xludf.DUMMYFUNCTION("""COMPUTED_VALUE"""),6.96)</f>
        <v>6.96</v>
      </c>
    </row>
    <row r="1237">
      <c r="A1237" s="4" t="str">
        <f>IFERROR(__xludf.DUMMYFUNCTION("""COMPUTED_VALUE"""),"1571")</f>
        <v>1571</v>
      </c>
      <c r="B1237" s="4" t="str">
        <f>IFERROR(__xludf.DUMMYFUNCTION("""COMPUTED_VALUE"""),"Rollo cinta Señal. 7cm x 200m. s/caja")</f>
        <v>Rollo cinta Señal. 7cm x 200m. s/caja</v>
      </c>
      <c r="C1237" s="4">
        <f>IFERROR(__xludf.DUMMYFUNCTION("""COMPUTED_VALUE"""),1.9103999999999999)</f>
        <v>1.9104</v>
      </c>
    </row>
    <row r="1238">
      <c r="A1238" s="4" t="str">
        <f>IFERROR(__xludf.DUMMYFUNCTION("""COMPUTED_VALUE"""),"1572")</f>
        <v>1572</v>
      </c>
      <c r="B1238" s="4" t="str">
        <f>IFERROR(__xludf.DUMMYFUNCTION("""COMPUTED_VALUE"""),"Rollo cinta Señal. 15cm x 200m. TELECOMUNICACIONES")</f>
        <v>Rollo cinta Señal. 15cm x 200m. TELECOMUNICACIONES</v>
      </c>
      <c r="C1238" s="4">
        <f>IFERROR(__xludf.DUMMYFUNCTION("""COMPUTED_VALUE"""),11.472)</f>
        <v>11.472</v>
      </c>
    </row>
    <row r="1239">
      <c r="A1239" s="4" t="str">
        <f>IFERROR(__xludf.DUMMYFUNCTION("""COMPUTED_VALUE"""),"1572M")</f>
        <v>1572M</v>
      </c>
      <c r="B1239" s="4" t="str">
        <f>IFERROR(__xludf.DUMMYFUNCTION("""COMPUTED_VALUE"""),"Malla verde señalización telecomunicaciones 33 cm x 200 m")</f>
        <v>Malla verde señalización telecomunicaciones 33 cm x 200 m</v>
      </c>
      <c r="C1239" s="4">
        <f>IFERROR(__xludf.DUMMYFUNCTION("""COMPUTED_VALUE"""),31.68)</f>
        <v>31.68</v>
      </c>
    </row>
    <row r="1240">
      <c r="A1240" s="4" t="str">
        <f>IFERROR(__xludf.DUMMYFUNCTION("""COMPUTED_VALUE"""),"1573")</f>
        <v>1573</v>
      </c>
      <c r="B1240" s="4" t="str">
        <f>IFERROR(__xludf.DUMMYFUNCTION("""COMPUTED_VALUE"""),"Rollo cinta Señal. 15cm x 200m. AGUA")</f>
        <v>Rollo cinta Señal. 15cm x 200m. AGUA</v>
      </c>
      <c r="C1240" s="4">
        <f>IFERROR(__xludf.DUMMYFUNCTION("""COMPUTED_VALUE"""),11.472)</f>
        <v>11.472</v>
      </c>
    </row>
    <row r="1241">
      <c r="A1241" s="4" t="str">
        <f>IFERROR(__xludf.DUMMYFUNCTION("""COMPUTED_VALUE"""),"1573M")</f>
        <v>1573M</v>
      </c>
      <c r="B1241" s="4" t="str">
        <f>IFERROR(__xludf.DUMMYFUNCTION("""COMPUTED_VALUE"""),"Malla azul señalización agua 33 cm x 200 m")</f>
        <v>Malla azul señalización agua 33 cm x 200 m</v>
      </c>
      <c r="C1241" s="4">
        <f>IFERROR(__xludf.DUMMYFUNCTION("""COMPUTED_VALUE"""),31.68)</f>
        <v>31.68</v>
      </c>
    </row>
    <row r="1242">
      <c r="A1242" s="4" t="str">
        <f>IFERROR(__xludf.DUMMYFUNCTION("""COMPUTED_VALUE"""),"1574")</f>
        <v>1574</v>
      </c>
      <c r="B1242" s="4" t="str">
        <f>IFERROR(__xludf.DUMMYFUNCTION("""COMPUTED_VALUE"""),"Rollo cinta Señal. 15cm x 200m. GAS")</f>
        <v>Rollo cinta Señal. 15cm x 200m. GAS</v>
      </c>
      <c r="C1242" s="4">
        <f>IFERROR(__xludf.DUMMYFUNCTION("""COMPUTED_VALUE"""),11.472)</f>
        <v>11.472</v>
      </c>
    </row>
    <row r="1243">
      <c r="A1243" s="4" t="str">
        <f>IFERROR(__xludf.DUMMYFUNCTION("""COMPUTED_VALUE"""),"1574M")</f>
        <v>1574M</v>
      </c>
      <c r="B1243" s="4" t="str">
        <f>IFERROR(__xludf.DUMMYFUNCTION("""COMPUTED_VALUE"""),"Malla amarilla señalización gas 33 cm x 200 m")</f>
        <v>Malla amarilla señalización gas 33 cm x 200 m</v>
      </c>
      <c r="C1243" s="4">
        <f>IFERROR(__xludf.DUMMYFUNCTION("""COMPUTED_VALUE"""),31.68)</f>
        <v>31.68</v>
      </c>
    </row>
    <row r="1244">
      <c r="A1244" s="4" t="str">
        <f>IFERROR(__xludf.DUMMYFUNCTION("""COMPUTED_VALUE"""),"1575")</f>
        <v>1575</v>
      </c>
      <c r="B1244" s="4" t="str">
        <f>IFERROR(__xludf.DUMMYFUNCTION("""COMPUTED_VALUE"""),"Rollo cinta Señal. 15cm x 200m. ELECTRI")</f>
        <v>Rollo cinta Señal. 15cm x 200m. ELECTRI</v>
      </c>
      <c r="C1244" s="4">
        <f>IFERROR(__xludf.DUMMYFUNCTION("""COMPUTED_VALUE"""),11.472)</f>
        <v>11.472</v>
      </c>
    </row>
    <row r="1245">
      <c r="A1245" s="4" t="str">
        <f>IFERROR(__xludf.DUMMYFUNCTION("""COMPUTED_VALUE"""),"1575M")</f>
        <v>1575M</v>
      </c>
      <c r="B1245" s="4" t="str">
        <f>IFERROR(__xludf.DUMMYFUNCTION("""COMPUTED_VALUE"""),"Malla roja señalización electricidad 33 cm x 200 m")</f>
        <v>Malla roja señalización electricidad 33 cm x 200 m</v>
      </c>
      <c r="C1245" s="4">
        <f>IFERROR(__xludf.DUMMYFUNCTION("""COMPUTED_VALUE"""),31.68)</f>
        <v>31.68</v>
      </c>
    </row>
    <row r="1246">
      <c r="A1246" s="4" t="str">
        <f>IFERROR(__xludf.DUMMYFUNCTION("""COMPUTED_VALUE"""),"1575P")</f>
        <v>1575P</v>
      </c>
      <c r="B1246" s="4" t="str">
        <f>IFERROR(__xludf.DUMMYFUNCTION("""COMPUTED_VALUE"""),"Placa señalización eléctrica 1000x250x2.5")</f>
        <v>Placa señalización eléctrica 1000x250x2.5</v>
      </c>
      <c r="C1246" s="4">
        <f>IFERROR(__xludf.DUMMYFUNCTION("""COMPUTED_VALUE"""),1.44)</f>
        <v>1.44</v>
      </c>
    </row>
    <row r="1247">
      <c r="A1247" s="4" t="str">
        <f>IFERROR(__xludf.DUMMYFUNCTION("""COMPUTED_VALUE"""),"1576")</f>
        <v>1576</v>
      </c>
      <c r="B1247" s="4" t="str">
        <f>IFERROR(__xludf.DUMMYFUNCTION("""COMPUTED_VALUE"""),"Rollo cinta Señal. 10cm x 200m. POLICIA")</f>
        <v>Rollo cinta Señal. 10cm x 200m. POLICIA</v>
      </c>
      <c r="C1247" s="4">
        <f>IFERROR(__xludf.DUMMYFUNCTION("""COMPUTED_VALUE"""),8.448)</f>
        <v>8.448</v>
      </c>
    </row>
    <row r="1248">
      <c r="A1248" s="4" t="str">
        <f>IFERROR(__xludf.DUMMYFUNCTION("""COMPUTED_VALUE"""),"1577")</f>
        <v>1577</v>
      </c>
      <c r="B1248" s="4" t="str">
        <f>IFERROR(__xludf.DUMMYFUNCTION("""COMPUTED_VALUE"""),"Rollo cinta adhesiva amarilla suelo marcacion temporal")</f>
        <v>Rollo cinta adhesiva amarilla suelo marcacion temporal</v>
      </c>
      <c r="C1248" s="4">
        <f>IFERROR(__xludf.DUMMYFUNCTION("""COMPUTED_VALUE"""),108.0)</f>
        <v>108</v>
      </c>
    </row>
    <row r="1249">
      <c r="A1249" s="4" t="str">
        <f>IFERROR(__xludf.DUMMYFUNCTION("""COMPUTED_VALUE"""),"1577K")</f>
        <v>1577K</v>
      </c>
      <c r="B1249" s="4" t="str">
        <f>IFERROR(__xludf.DUMMYFUNCTION("""COMPUTED_VALUE"""),"Rollo cinta adhesiva negra suelo marcacion temporal")</f>
        <v>Rollo cinta adhesiva negra suelo marcacion temporal</v>
      </c>
      <c r="C1249" s="4">
        <f>IFERROR(__xludf.DUMMYFUNCTION("""COMPUTED_VALUE"""),108.0)</f>
        <v>108</v>
      </c>
    </row>
    <row r="1250">
      <c r="A1250" s="4" t="str">
        <f>IFERROR(__xludf.DUMMYFUNCTION("""COMPUTED_VALUE"""),"1577W")</f>
        <v>1577W</v>
      </c>
      <c r="B1250" s="4" t="str">
        <f>IFERROR(__xludf.DUMMYFUNCTION("""COMPUTED_VALUE"""),"Rollo cinta adhesiva blanca suelo marcacion temporal")</f>
        <v>Rollo cinta adhesiva blanca suelo marcacion temporal</v>
      </c>
      <c r="C1250" s="4">
        <f>IFERROR(__xludf.DUMMYFUNCTION("""COMPUTED_VALUE"""),108.0)</f>
        <v>108</v>
      </c>
    </row>
    <row r="1251">
      <c r="A1251" s="4" t="str">
        <f>IFERROR(__xludf.DUMMYFUNCTION("""COMPUTED_VALUE"""),"1578")</f>
        <v>1578</v>
      </c>
      <c r="B1251" s="4" t="str">
        <f>IFERROR(__xludf.DUMMYFUNCTION("""COMPUTED_VALUE"""),"Rollo cinta Señal.N/A 10cm x200m c/caja G400")</f>
        <v>Rollo cinta Señal.N/A 10cm x200m c/caja G400</v>
      </c>
      <c r="C1251" s="4">
        <f>IFERROR(__xludf.DUMMYFUNCTION("""COMPUTED_VALUE"""),8.4672)</f>
        <v>8.4672</v>
      </c>
    </row>
    <row r="1252">
      <c r="A1252" s="4" t="str">
        <f>IFERROR(__xludf.DUMMYFUNCTION("""COMPUTED_VALUE"""),"1579")</f>
        <v>1579</v>
      </c>
      <c r="B1252" s="4" t="str">
        <f>IFERROR(__xludf.DUMMYFUNCTION("""COMPUTED_VALUE"""),"Rollo cinta Señal. N/A 10cm. x 200m. G400")</f>
        <v>Rollo cinta Señal. N/A 10cm. x 200m. G400</v>
      </c>
      <c r="C1252" s="4">
        <f>IFERROR(__xludf.DUMMYFUNCTION("""COMPUTED_VALUE"""),7.92)</f>
        <v>7.92</v>
      </c>
    </row>
    <row r="1253">
      <c r="A1253" s="4" t="str">
        <f>IFERROR(__xludf.DUMMYFUNCTION("""COMPUTED_VALUE"""),"1580")</f>
        <v>1580</v>
      </c>
      <c r="B1253" s="4" t="str">
        <f>IFERROR(__xludf.DUMMYFUNCTION("""COMPUTED_VALUE"""),"Mts. Banderola Quitamiedos c/reflec")</f>
        <v>Mts. Banderola Quitamiedos c/reflec</v>
      </c>
      <c r="C1253" s="4">
        <f>IFERROR(__xludf.DUMMYFUNCTION("""COMPUTED_VALUE"""),0.6528)</f>
        <v>0.6528</v>
      </c>
    </row>
    <row r="1254">
      <c r="A1254" s="4" t="str">
        <f>IFERROR(__xludf.DUMMYFUNCTION("""COMPUTED_VALUE"""),"1581")</f>
        <v>1581</v>
      </c>
      <c r="B1254" s="4" t="str">
        <f>IFERROR(__xludf.DUMMYFUNCTION("""COMPUTED_VALUE"""),"Mts. Banderola Quitamiedos s/reflectante")</f>
        <v>Mts. Banderola Quitamiedos s/reflectante</v>
      </c>
      <c r="C1254" s="4">
        <f>IFERROR(__xludf.DUMMYFUNCTION("""COMPUTED_VALUE"""),0.3264)</f>
        <v>0.3264</v>
      </c>
    </row>
    <row r="1255">
      <c r="A1255" s="4" t="str">
        <f>IFERROR(__xludf.DUMMYFUNCTION("""COMPUTED_VALUE"""),"1582")</f>
        <v>1582</v>
      </c>
      <c r="B1255" s="4" t="str">
        <f>IFERROR(__xludf.DUMMYFUNCTION("""COMPUTED_VALUE"""),"Rollos cinta Señal. 10cm x 200m. PROTECCION CIVIL")</f>
        <v>Rollos cinta Señal. 10cm x 200m. PROTECCION CIVIL</v>
      </c>
      <c r="C1255" s="4">
        <f>IFERROR(__xludf.DUMMYFUNCTION("""COMPUTED_VALUE"""),7.92)</f>
        <v>7.92</v>
      </c>
    </row>
    <row r="1256">
      <c r="A1256" s="4" t="str">
        <f>IFERROR(__xludf.DUMMYFUNCTION("""COMPUTED_VALUE"""),"1583")</f>
        <v>1583</v>
      </c>
      <c r="B1256" s="4" t="str">
        <f>IFERROR(__xludf.DUMMYFUNCTION("""COMPUTED_VALUE"""),"Rollo cinta Señal.N/A 10cm x 200m. G300 AMIANTO")</f>
        <v>Rollo cinta Señal.N/A 10cm x 200m. G300 AMIANTO</v>
      </c>
      <c r="C1256" s="4">
        <f>IFERROR(__xludf.DUMMYFUNCTION("""COMPUTED_VALUE"""),6.672)</f>
        <v>6.672</v>
      </c>
    </row>
    <row r="1257">
      <c r="A1257" s="4" t="str">
        <f>IFERROR(__xludf.DUMMYFUNCTION("""COMPUTED_VALUE"""),"1585")</f>
        <v>1585</v>
      </c>
      <c r="B1257" s="4" t="str">
        <f>IFERROR(__xludf.DUMMYFUNCTION("""COMPUTED_VALUE"""),"Rollo cinta Señal. 10cm x 200m. NARANJA")</f>
        <v>Rollo cinta Señal. 10cm x 200m. NARANJA</v>
      </c>
      <c r="C1257" s="4">
        <f>IFERROR(__xludf.DUMMYFUNCTION("""COMPUTED_VALUE"""),6.96)</f>
        <v>6.96</v>
      </c>
    </row>
    <row r="1258">
      <c r="A1258" s="4" t="str">
        <f>IFERROR(__xludf.DUMMYFUNCTION("""COMPUTED_VALUE"""),"1586")</f>
        <v>1586</v>
      </c>
      <c r="B1258" s="4" t="str">
        <f>IFERROR(__xludf.DUMMYFUNCTION("""COMPUTED_VALUE"""),"Rollo cinta Señal. 10cm x 200m. VERDE")</f>
        <v>Rollo cinta Señal. 10cm x 200m. VERDE</v>
      </c>
      <c r="C1258" s="4">
        <f>IFERROR(__xludf.DUMMYFUNCTION("""COMPUTED_VALUE"""),6.96)</f>
        <v>6.96</v>
      </c>
    </row>
    <row r="1259">
      <c r="A1259" s="4" t="str">
        <f>IFERROR(__xludf.DUMMYFUNCTION("""COMPUTED_VALUE"""),"1587")</f>
        <v>1587</v>
      </c>
      <c r="B1259" s="4" t="str">
        <f>IFERROR(__xludf.DUMMYFUNCTION("""COMPUTED_VALUE"""),"Rollo cinta Señal. 10cm x 200m. AZUL")</f>
        <v>Rollo cinta Señal. 10cm x 200m. AZUL</v>
      </c>
      <c r="C1259" s="4">
        <f>IFERROR(__xludf.DUMMYFUNCTION("""COMPUTED_VALUE"""),6.96)</f>
        <v>6.96</v>
      </c>
    </row>
    <row r="1260">
      <c r="A1260" s="4" t="str">
        <f>IFERROR(__xludf.DUMMYFUNCTION("""COMPUTED_VALUE"""),"1588")</f>
        <v>1588</v>
      </c>
      <c r="B1260" s="4" t="str">
        <f>IFERROR(__xludf.DUMMYFUNCTION("""COMPUTED_VALUE"""),"Rollo cinta Señal. 10cm x 200m. AMARILLO")</f>
        <v>Rollo cinta Señal. 10cm x 200m. AMARILLO</v>
      </c>
      <c r="C1260" s="4">
        <f>IFERROR(__xludf.DUMMYFUNCTION("""COMPUTED_VALUE"""),6.96)</f>
        <v>6.96</v>
      </c>
    </row>
    <row r="1261">
      <c r="A1261" s="4" t="str">
        <f>IFERROR(__xludf.DUMMYFUNCTION("""COMPUTED_VALUE"""),"1590")</f>
        <v>1590</v>
      </c>
      <c r="B1261" s="4" t="str">
        <f>IFERROR(__xludf.DUMMYFUNCTION("""COMPUTED_VALUE"""),"Vinilo adhesivo suelo ESPERE SU TURNO 40 cm")</f>
        <v>Vinilo adhesivo suelo ESPERE SU TURNO 40 cm</v>
      </c>
      <c r="C1261" s="4">
        <f>IFERROR(__xludf.DUMMYFUNCTION("""COMPUTED_VALUE"""),5.904)</f>
        <v>5.904</v>
      </c>
    </row>
    <row r="1262">
      <c r="A1262" s="4" t="str">
        <f>IFERROR(__xludf.DUMMYFUNCTION("""COMPUTED_VALUE"""),"1591")</f>
        <v>1591</v>
      </c>
      <c r="B1262" s="4" t="str">
        <f>IFERROR(__xludf.DUMMYFUNCTION("""COMPUTED_VALUE"""),"Vinilo adhesivo suelo Paso oblig. carretillas 40 cm")</f>
        <v>Vinilo adhesivo suelo Paso oblig. carretillas 40 cm</v>
      </c>
      <c r="C1262" s="4">
        <f>IFERROR(__xludf.DUMMYFUNCTION("""COMPUTED_VALUE"""),5.904)</f>
        <v>5.904</v>
      </c>
    </row>
    <row r="1263">
      <c r="A1263" s="4" t="str">
        <f>IFERROR(__xludf.DUMMYFUNCTION("""COMPUTED_VALUE"""),"1592")</f>
        <v>1592</v>
      </c>
      <c r="B1263" s="4" t="str">
        <f>IFERROR(__xludf.DUMMYFUNCTION("""COMPUTED_VALUE"""),"Vinilo adhesivo suelo Peligro Paso de carretilla 40 cm")</f>
        <v>Vinilo adhesivo suelo Peligro Paso de carretilla 40 cm</v>
      </c>
      <c r="C1263" s="4">
        <f>IFERROR(__xludf.DUMMYFUNCTION("""COMPUTED_VALUE"""),5.904)</f>
        <v>5.904</v>
      </c>
    </row>
    <row r="1264">
      <c r="A1264" s="4" t="str">
        <f>IFERROR(__xludf.DUMMYFUNCTION("""COMPUTED_VALUE"""),"1593")</f>
        <v>1593</v>
      </c>
      <c r="B1264" s="4" t="str">
        <f>IFERROR(__xludf.DUMMYFUNCTION("""COMPUTED_VALUE"""),"Vinilo adhesivo suelo Peligro suelo Resbaladizo 40 cm")</f>
        <v>Vinilo adhesivo suelo Peligro suelo Resbaladizo 40 cm</v>
      </c>
      <c r="C1264" s="4">
        <f>IFERROR(__xludf.DUMMYFUNCTION("""COMPUTED_VALUE"""),5.904)</f>
        <v>5.904</v>
      </c>
    </row>
    <row r="1265">
      <c r="A1265" s="4" t="str">
        <f>IFERROR(__xludf.DUMMYFUNCTION("""COMPUTED_VALUE"""),"1594")</f>
        <v>1594</v>
      </c>
      <c r="B1265" s="4" t="str">
        <f>IFERROR(__xludf.DUMMYFUNCTION("""COMPUTED_VALUE"""),"Rollo Cinta 15 cm x 200 m Aguas residuales")</f>
        <v>Rollo Cinta 15 cm x 200 m Aguas residuales</v>
      </c>
      <c r="C1265" s="4">
        <f>IFERROR(__xludf.DUMMYFUNCTION("""COMPUTED_VALUE"""),11.472)</f>
        <v>11.472</v>
      </c>
    </row>
    <row r="1266">
      <c r="A1266" s="4" t="str">
        <f>IFERROR(__xludf.DUMMYFUNCTION("""COMPUTED_VALUE"""),"1600")</f>
        <v>1600</v>
      </c>
      <c r="B1266" s="4" t="str">
        <f>IFERROR(__xludf.DUMMYFUNCTION("""COMPUTED_VALUE"""),"Camisa reflec. N.2 cono 50 cm OXFORD")</f>
        <v>Camisa reflec. N.2 cono 50 cm OXFORD</v>
      </c>
      <c r="C1266" s="4">
        <f>IFERROR(__xludf.DUMMYFUNCTION("""COMPUTED_VALUE"""),3.2832)</f>
        <v>3.2832</v>
      </c>
    </row>
    <row r="1267">
      <c r="A1267" s="4" t="str">
        <f>IFERROR(__xludf.DUMMYFUNCTION("""COMPUTED_VALUE"""),"1601")</f>
        <v>1601</v>
      </c>
      <c r="B1267" s="4" t="str">
        <f>IFERROR(__xludf.DUMMYFUNCTION("""COMPUTED_VALUE"""),"Camisa reflec. N.2 cono 75 cm OXFORD")</f>
        <v>Camisa reflec. N.2 cono 75 cm OXFORD</v>
      </c>
      <c r="C1267" s="4">
        <f>IFERROR(__xludf.DUMMYFUNCTION("""COMPUTED_VALUE"""),3.6479999999999997)</f>
        <v>3.648</v>
      </c>
    </row>
    <row r="1268">
      <c r="A1268" s="4" t="str">
        <f>IFERROR(__xludf.DUMMYFUNCTION("""COMPUTED_VALUE"""),"1604AN")</f>
        <v>1604AN</v>
      </c>
      <c r="B1268" s="4" t="str">
        <f>IFERROR(__xludf.DUMMYFUNCTION("""COMPUTED_VALUE"""),"Barra señaliz. Negra/Amarilla extensible para cono")</f>
        <v>Barra señaliz. Negra/Amarilla extensible para cono</v>
      </c>
      <c r="C1268" s="4">
        <f>IFERROR(__xludf.DUMMYFUNCTION("""COMPUTED_VALUE"""),8.064)</f>
        <v>8.064</v>
      </c>
    </row>
    <row r="1269">
      <c r="A1269" s="4" t="str">
        <f>IFERROR(__xludf.DUMMYFUNCTION("""COMPUTED_VALUE"""),"1604RB")</f>
        <v>1604RB</v>
      </c>
      <c r="B1269" s="4" t="str">
        <f>IFERROR(__xludf.DUMMYFUNCTION("""COMPUTED_VALUE"""),"Barra señaliz. Roja/Blanca extensible para cono")</f>
        <v>Barra señaliz. Roja/Blanca extensible para cono</v>
      </c>
      <c r="C1269" s="4">
        <f>IFERROR(__xludf.DUMMYFUNCTION("""COMPUTED_VALUE"""),8.064)</f>
        <v>8.064</v>
      </c>
    </row>
    <row r="1270">
      <c r="A1270" s="4" t="str">
        <f>IFERROR(__xludf.DUMMYFUNCTION("""COMPUTED_VALUE"""),"1617")</f>
        <v>1617</v>
      </c>
      <c r="B1270" s="4" t="str">
        <f>IFERROR(__xludf.DUMMYFUNCTION("""COMPUTED_VALUE"""),"Juego huellas adhesivas 27x10 cm pisable verde")</f>
        <v>Juego huellas adhesivas 27x10 cm pisable verde</v>
      </c>
      <c r="C1270" s="4">
        <f>IFERROR(__xludf.DUMMYFUNCTION("""COMPUTED_VALUE"""),3.024)</f>
        <v>3.024</v>
      </c>
    </row>
    <row r="1271">
      <c r="A1271" s="4" t="str">
        <f>IFERROR(__xludf.DUMMYFUNCTION("""COMPUTED_VALUE"""),"1618")</f>
        <v>1618</v>
      </c>
      <c r="B1271" s="4" t="str">
        <f>IFERROR(__xludf.DUMMYFUNCTION("""COMPUTED_VALUE"""),"Juego huellas adhesivas 27x10 cm pisable rojo")</f>
        <v>Juego huellas adhesivas 27x10 cm pisable rojo</v>
      </c>
      <c r="C1271" s="4">
        <f>IFERROR(__xludf.DUMMYFUNCTION("""COMPUTED_VALUE"""),3.024)</f>
        <v>3.024</v>
      </c>
    </row>
    <row r="1272">
      <c r="A1272" s="4" t="str">
        <f>IFERROR(__xludf.DUMMYFUNCTION("""COMPUTED_VALUE"""),"1619")</f>
        <v>1619</v>
      </c>
      <c r="B1272" s="4" t="str">
        <f>IFERROR(__xludf.DUMMYFUNCTION("""COMPUTED_VALUE"""),"Juego huellas adhesivas 27z10 cm pisable negro")</f>
        <v>Juego huellas adhesivas 27z10 cm pisable negro</v>
      </c>
      <c r="C1272" s="4">
        <f>IFERROR(__xludf.DUMMYFUNCTION("""COMPUTED_VALUE"""),3.024)</f>
        <v>3.024</v>
      </c>
    </row>
    <row r="1273">
      <c r="A1273" s="4" t="str">
        <f>IFERROR(__xludf.DUMMYFUNCTION("""COMPUTED_VALUE"""),"1620")</f>
        <v>1620</v>
      </c>
      <c r="B1273" s="4" t="str">
        <f>IFERROR(__xludf.DUMMYFUNCTION("""COMPUTED_VALUE"""),"Juego 2 Flechas adhesivas 29x8 pisable Verde")</f>
        <v>Juego 2 Flechas adhesivas 29x8 pisable Verde</v>
      </c>
      <c r="C1273" s="4">
        <f>IFERROR(__xludf.DUMMYFUNCTION("""COMPUTED_VALUE"""),3.024)</f>
        <v>3.024</v>
      </c>
    </row>
    <row r="1274">
      <c r="A1274" s="4" t="str">
        <f>IFERROR(__xludf.DUMMYFUNCTION("""COMPUTED_VALUE"""),"1621")</f>
        <v>1621</v>
      </c>
      <c r="B1274" s="4" t="str">
        <f>IFERROR(__xludf.DUMMYFUNCTION("""COMPUTED_VALUE"""),"Juego2 Flechas adhesivas 29x8 pisable Rojo")</f>
        <v>Juego2 Flechas adhesivas 29x8 pisable Rojo</v>
      </c>
      <c r="C1274" s="4">
        <f>IFERROR(__xludf.DUMMYFUNCTION("""COMPUTED_VALUE"""),3.024)</f>
        <v>3.024</v>
      </c>
    </row>
    <row r="1275">
      <c r="A1275" s="4" t="str">
        <f>IFERROR(__xludf.DUMMYFUNCTION("""COMPUTED_VALUE"""),"1622")</f>
        <v>1622</v>
      </c>
      <c r="B1275" s="4" t="str">
        <f>IFERROR(__xludf.DUMMYFUNCTION("""COMPUTED_VALUE"""),"Adhesivo 21x29 Uso desinfectante")</f>
        <v>Adhesivo 21x29 Uso desinfectante</v>
      </c>
      <c r="C1275" s="4">
        <f>IFERROR(__xludf.DUMMYFUNCTION("""COMPUTED_VALUE"""),1.3104)</f>
        <v>1.3104</v>
      </c>
    </row>
    <row r="1276">
      <c r="A1276" s="4" t="str">
        <f>IFERROR(__xludf.DUMMYFUNCTION("""COMPUTED_VALUE"""),"1623")</f>
        <v>1623</v>
      </c>
      <c r="B1276" s="4" t="str">
        <f>IFERROR(__xludf.DUMMYFUNCTION("""COMPUTED_VALUE"""),"Cartel PVC 21x29 cm USO DESINFECTANTE")</f>
        <v>Cartel PVC 21x29 cm USO DESINFECTANTE</v>
      </c>
      <c r="C1276" s="4">
        <f>IFERROR(__xludf.DUMMYFUNCTION("""COMPUTED_VALUE"""),1.536)</f>
        <v>1.536</v>
      </c>
    </row>
    <row r="1277">
      <c r="A1277" s="4" t="str">
        <f>IFERROR(__xludf.DUMMYFUNCTION("""COMPUTED_VALUE"""),"1625")</f>
        <v>1625</v>
      </c>
      <c r="B1277" s="4" t="str">
        <f>IFERROR(__xludf.DUMMYFUNCTION("""COMPUTED_VALUE"""),"Juego huellas adhesivas suelo 27x10 cm Amarillo")</f>
        <v>Juego huellas adhesivas suelo 27x10 cm Amarillo</v>
      </c>
      <c r="C1277" s="4">
        <f>IFERROR(__xludf.DUMMYFUNCTION("""COMPUTED_VALUE"""),4.032)</f>
        <v>4.032</v>
      </c>
    </row>
    <row r="1278">
      <c r="A1278" s="4" t="str">
        <f>IFERROR(__xludf.DUMMYFUNCTION("""COMPUTED_VALUE"""),"1626")</f>
        <v>1626</v>
      </c>
      <c r="B1278" s="4" t="str">
        <f>IFERROR(__xludf.DUMMYFUNCTION("""COMPUTED_VALUE"""),"Juego huellas adhesivas suelo 27x10 cm Basic")</f>
        <v>Juego huellas adhesivas suelo 27x10 cm Basic</v>
      </c>
      <c r="C1278" s="4">
        <f>IFERROR(__xludf.DUMMYFUNCTION("""COMPUTED_VALUE"""),4.032)</f>
        <v>4.032</v>
      </c>
    </row>
    <row r="1279">
      <c r="A1279" s="4" t="str">
        <f>IFERROR(__xludf.DUMMYFUNCTION("""COMPUTED_VALUE"""),"1627")</f>
        <v>1627</v>
      </c>
      <c r="B1279" s="4" t="str">
        <f>IFERROR(__xludf.DUMMYFUNCTION("""COMPUTED_VALUE"""),"Kit Adhesivos flechas y tiras suelo")</f>
        <v>Kit Adhesivos flechas y tiras suelo</v>
      </c>
      <c r="C1279" s="4">
        <f>IFERROR(__xludf.DUMMYFUNCTION("""COMPUTED_VALUE"""),19.872)</f>
        <v>19.872</v>
      </c>
    </row>
    <row r="1280">
      <c r="A1280" s="4" t="str">
        <f>IFERROR(__xludf.DUMMYFUNCTION("""COMPUTED_VALUE"""),"1629")</f>
        <v>1629</v>
      </c>
      <c r="B1280" s="4" t="str">
        <f>IFERROR(__xludf.DUMMYFUNCTION("""COMPUTED_VALUE"""),"Cinta antideslizante N/A DISTANCIA SEGURIDAD 10x100 cm")</f>
        <v>Cinta antideslizante N/A DISTANCIA SEGURIDAD 10x100 cm</v>
      </c>
      <c r="C1280" s="4">
        <f>IFERROR(__xludf.DUMMYFUNCTION("""COMPUTED_VALUE"""),4.7904)</f>
        <v>4.7904</v>
      </c>
    </row>
    <row r="1281">
      <c r="A1281" s="4" t="str">
        <f>IFERROR(__xludf.DUMMYFUNCTION("""COMPUTED_VALUE"""),"1630")</f>
        <v>1630</v>
      </c>
      <c r="B1281" s="4" t="str">
        <f>IFERROR(__xludf.DUMMYFUNCTION("""COMPUTED_VALUE"""),"Cinta antideslizante Blanca ESPERE SU TURNO 10x100 cm")</f>
        <v>Cinta antideslizante Blanca ESPERE SU TURNO 10x100 cm</v>
      </c>
      <c r="C1281" s="4">
        <f>IFERROR(__xludf.DUMMYFUNCTION("""COMPUTED_VALUE"""),4.7904)</f>
        <v>4.7904</v>
      </c>
    </row>
    <row r="1282">
      <c r="A1282" s="4" t="str">
        <f>IFERROR(__xludf.DUMMYFUNCTION("""COMPUTED_VALUE"""),"1631")</f>
        <v>1631</v>
      </c>
      <c r="B1282" s="4" t="str">
        <f>IFERROR(__xludf.DUMMYFUNCTION("""COMPUTED_VALUE"""),"Cono plegable Reflect 55cm")</f>
        <v>Cono plegable Reflect 55cm</v>
      </c>
      <c r="C1282" s="4">
        <f>IFERROR(__xludf.DUMMYFUNCTION("""COMPUTED_VALUE"""),11.76)</f>
        <v>11.76</v>
      </c>
    </row>
    <row r="1283">
      <c r="A1283" s="4" t="str">
        <f>IFERROR(__xludf.DUMMYFUNCTION("""COMPUTED_VALUE"""),"1632")</f>
        <v>1632</v>
      </c>
      <c r="B1283" s="4" t="str">
        <f>IFERROR(__xludf.DUMMYFUNCTION("""COMPUTED_VALUE"""),"Cone extender")</f>
        <v>Cone extender</v>
      </c>
      <c r="C1283" s="4">
        <f>IFERROR(__xludf.DUMMYFUNCTION("""COMPUTED_VALUE"""),4.56)</f>
        <v>4.56</v>
      </c>
    </row>
    <row r="1284">
      <c r="A1284" s="4" t="str">
        <f>IFERROR(__xludf.DUMMYFUNCTION("""COMPUTED_VALUE"""),"1633")</f>
        <v>1633</v>
      </c>
      <c r="B1284" s="4" t="str">
        <f>IFERROR(__xludf.DUMMYFUNCTION("""COMPUTED_VALUE"""),"Cono Señal. 50 cm Amarillo No Aparcar")</f>
        <v>Cono Señal. 50 cm Amarillo No Aparcar</v>
      </c>
      <c r="C1284" s="4">
        <f>IFERROR(__xludf.DUMMYFUNCTION("""COMPUTED_VALUE"""),8.064)</f>
        <v>8.064</v>
      </c>
    </row>
    <row r="1285">
      <c r="A1285" s="4" t="str">
        <f>IFERROR(__xludf.DUMMYFUNCTION("""COMPUTED_VALUE"""),"1634")</f>
        <v>1634</v>
      </c>
      <c r="B1285" s="4" t="str">
        <f>IFERROR(__xludf.DUMMYFUNCTION("""COMPUTED_VALUE"""),"Tetrapodo 50 cm de señalizacion")</f>
        <v>Tetrapodo 50 cm de señalizacion</v>
      </c>
      <c r="C1285" s="4">
        <f>IFERROR(__xludf.DUMMYFUNCTION("""COMPUTED_VALUE"""),18.48)</f>
        <v>18.48</v>
      </c>
    </row>
    <row r="1286">
      <c r="A1286" s="4" t="str">
        <f>IFERROR(__xludf.DUMMYFUNCTION("""COMPUTED_VALUE"""),"1635")</f>
        <v>1635</v>
      </c>
      <c r="B1286" s="4" t="str">
        <f>IFERROR(__xludf.DUMMYFUNCTION("""COMPUTED_VALUE"""),"Cono Señalizacion 32 cm. Flurescent")</f>
        <v>Cono Señalizacion 32 cm. Flurescent</v>
      </c>
      <c r="C1286" s="4">
        <f>IFERROR(__xludf.DUMMYFUNCTION("""COMPUTED_VALUE"""),4.032)</f>
        <v>4.032</v>
      </c>
    </row>
    <row r="1287">
      <c r="A1287" s="4" t="str">
        <f>IFERROR(__xludf.DUMMYFUNCTION("""COMPUTED_VALUE"""),"1636")</f>
        <v>1636</v>
      </c>
      <c r="B1287" s="4" t="str">
        <f>IFERROR(__xludf.DUMMYFUNCTION("""COMPUTED_VALUE"""),"Cono Señaliz. 50 cm fluor.bandas reflectantes")</f>
        <v>Cono Señaliz. 50 cm fluor.bandas reflectantes</v>
      </c>
      <c r="C1287" s="4">
        <f>IFERROR(__xludf.DUMMYFUNCTION("""COMPUTED_VALUE"""),4.723199999999999)</f>
        <v>4.7232</v>
      </c>
    </row>
    <row r="1288">
      <c r="A1288" s="4" t="str">
        <f>IFERROR(__xludf.DUMMYFUNCTION("""COMPUTED_VALUE"""),"1636AZUL")</f>
        <v>1636AZUL</v>
      </c>
      <c r="B1288" s="4" t="str">
        <f>IFERROR(__xludf.DUMMYFUNCTION("""COMPUTED_VALUE"""),"Cono Señaliz. 50 cm Azul bandas reflectantes")</f>
        <v>Cono Señaliz. 50 cm Azul bandas reflectantes</v>
      </c>
      <c r="C1288" s="4">
        <f>IFERROR(__xludf.DUMMYFUNCTION("""COMPUTED_VALUE"""),4.704)</f>
        <v>4.704</v>
      </c>
    </row>
    <row r="1289">
      <c r="A1289" s="4" t="str">
        <f>IFERROR(__xludf.DUMMYFUNCTION("""COMPUTED_VALUE"""),"1637")</f>
        <v>1637</v>
      </c>
      <c r="B1289" s="4" t="str">
        <f>IFERROR(__xludf.DUMMYFUNCTION("""COMPUTED_VALUE"""),"Cono señaliz. 50 cm camisas réflex pvc Blando Bicolor")</f>
        <v>Cono señaliz. 50 cm camisas réflex pvc Blando Bicolor</v>
      </c>
      <c r="C1289" s="4">
        <f>IFERROR(__xludf.DUMMYFUNCTION("""COMPUTED_VALUE"""),5.04)</f>
        <v>5.04</v>
      </c>
    </row>
    <row r="1290">
      <c r="A1290" s="4" t="str">
        <f>IFERROR(__xludf.DUMMYFUNCTION("""COMPUTED_VALUE"""),"1638")</f>
        <v>1638</v>
      </c>
      <c r="B1290" s="4" t="str">
        <f>IFERROR(__xludf.DUMMYFUNCTION("""COMPUTED_VALUE"""),"Cono Señaliz. 50 cm. camisa reflec.2 P. CVT")</f>
        <v>Cono Señaliz. 50 cm. camisa reflec.2 P. CVT</v>
      </c>
      <c r="C1290" s="4">
        <f>IFERROR(__xludf.DUMMYFUNCTION("""COMPUTED_VALUE"""),4.704)</f>
        <v>4.704</v>
      </c>
    </row>
    <row r="1291">
      <c r="A1291" s="4" t="str">
        <f>IFERROR(__xludf.DUMMYFUNCTION("""COMPUTED_VALUE"""),"1640")</f>
        <v>1640</v>
      </c>
      <c r="B1291" s="4" t="str">
        <f>IFERROR(__xludf.DUMMYFUNCTION("""COMPUTED_VALUE"""),"Cono Señaliz.75 cm. camisa reflec.2p. CVT Plus")</f>
        <v>Cono Señaliz.75 cm. camisa reflec.2p. CVT Plus</v>
      </c>
      <c r="C1291" s="4">
        <f>IFERROR(__xludf.DUMMYFUNCTION("""COMPUTED_VALUE"""),6.912)</f>
        <v>6.912</v>
      </c>
    </row>
    <row r="1292">
      <c r="A1292" s="4" t="str">
        <f>IFERROR(__xludf.DUMMYFUNCTION("""COMPUTED_VALUE"""),"1640B")</f>
        <v>1640B</v>
      </c>
      <c r="B1292" s="4" t="str">
        <f>IFERROR(__xludf.DUMMYFUNCTION("""COMPUTED_VALUE"""),"Cono Señaizl. 75 cm.camisa reflect.2p. CVT Basic")</f>
        <v>Cono Señaizl. 75 cm.camisa reflect.2p. CVT Basic</v>
      </c>
      <c r="C1292" s="4">
        <f>IFERROR(__xludf.DUMMYFUNCTION("""COMPUTED_VALUE"""),6.144)</f>
        <v>6.144</v>
      </c>
    </row>
    <row r="1293">
      <c r="A1293" s="4" t="str">
        <f>IFERROR(__xludf.DUMMYFUNCTION("""COMPUTED_VALUE"""),"1645")</f>
        <v>1645</v>
      </c>
      <c r="B1293" s="4" t="str">
        <f>IFERROR(__xludf.DUMMYFUNCTION("""COMPUTED_VALUE"""),"Cono Señaliz. 100 cm camisa reflec.2 P.MELBA")</f>
        <v>Cono Señaliz. 100 cm camisa reflec.2 P.MELBA</v>
      </c>
      <c r="C1293" s="4">
        <f>IFERROR(__xludf.DUMMYFUNCTION("""COMPUTED_VALUE"""),17.183999999999997)</f>
        <v>17.184</v>
      </c>
    </row>
    <row r="1294">
      <c r="A1294" s="4" t="str">
        <f>IFERROR(__xludf.DUMMYFUNCTION("""COMPUTED_VALUE"""),"1646")</f>
        <v>1646</v>
      </c>
      <c r="B1294" s="4" t="str">
        <f>IFERROR(__xludf.DUMMYFUNCTION("""COMPUTED_VALUE"""),"Cono 80cm PVC blando Reflect. MOD B")</f>
        <v>Cono 80cm PVC blando Reflect. MOD B</v>
      </c>
      <c r="C1294" s="4">
        <f>IFERROR(__xludf.DUMMYFUNCTION("""COMPUTED_VALUE"""),9.571200000000001)</f>
        <v>9.5712</v>
      </c>
    </row>
    <row r="1295">
      <c r="A1295" s="4" t="str">
        <f>IFERROR(__xludf.DUMMYFUNCTION("""COMPUTED_VALUE"""),"1646A")</f>
        <v>1646A</v>
      </c>
      <c r="B1295" s="4" t="str">
        <f>IFERROR(__xludf.DUMMYFUNCTION("""COMPUTED_VALUE"""),"Cono 80 cm PVC blando Reflect. Mod B AMARILLO")</f>
        <v>Cono 80 cm PVC blando Reflect. Mod B AMARILLO</v>
      </c>
      <c r="C1295" s="4">
        <f>IFERROR(__xludf.DUMMYFUNCTION("""COMPUTED_VALUE"""),9.571200000000001)</f>
        <v>9.5712</v>
      </c>
    </row>
    <row r="1296">
      <c r="A1296" s="4" t="str">
        <f>IFERROR(__xludf.DUMMYFUNCTION("""COMPUTED_VALUE"""),"1646V")</f>
        <v>1646V</v>
      </c>
      <c r="B1296" s="4" t="str">
        <f>IFERROR(__xludf.DUMMYFUNCTION("""COMPUTED_VALUE"""),"Cono 80 cm PVC blando Reflect. Mod B VERDE")</f>
        <v>Cono 80 cm PVC blando Reflect. Mod B VERDE</v>
      </c>
      <c r="C1296" s="4">
        <f>IFERROR(__xludf.DUMMYFUNCTION("""COMPUTED_VALUE"""),9.575999999999999)</f>
        <v>9.576</v>
      </c>
    </row>
    <row r="1297">
      <c r="A1297" s="4" t="str">
        <f>IFERROR(__xludf.DUMMYFUNCTION("""COMPUTED_VALUE"""),"1646Z")</f>
        <v>1646Z</v>
      </c>
      <c r="B1297" s="4" t="str">
        <f>IFERROR(__xludf.DUMMYFUNCTION("""COMPUTED_VALUE"""),"Cono 80 cm PVC blando Reflect. Mod B AZUL")</f>
        <v>Cono 80 cm PVC blando Reflect. Mod B AZUL</v>
      </c>
      <c r="C1297" s="4">
        <f>IFERROR(__xludf.DUMMYFUNCTION("""COMPUTED_VALUE"""),9.575999999999999)</f>
        <v>9.576</v>
      </c>
    </row>
    <row r="1298">
      <c r="A1298" s="4" t="str">
        <f>IFERROR(__xludf.DUMMYFUNCTION("""COMPUTED_VALUE"""),"1647")</f>
        <v>1647</v>
      </c>
      <c r="B1298" s="4" t="str">
        <f>IFERROR(__xludf.DUMMYFUNCTION("""COMPUTED_VALUE"""),"Cono 54cm PVC blando Reflect. MOD B")</f>
        <v>Cono 54cm PVC blando Reflect. MOD B</v>
      </c>
      <c r="C1298" s="4">
        <f>IFERROR(__xludf.DUMMYFUNCTION("""COMPUTED_VALUE"""),7.776)</f>
        <v>7.776</v>
      </c>
    </row>
    <row r="1299">
      <c r="A1299" s="4" t="str">
        <f>IFERROR(__xludf.DUMMYFUNCTION("""COMPUTED_VALUE"""),"1647A")</f>
        <v>1647A</v>
      </c>
      <c r="B1299" s="4" t="str">
        <f>IFERROR(__xludf.DUMMYFUNCTION("""COMPUTED_VALUE"""),"Cono 54 cm PVC blando Reflect. Mod B AMARILLO")</f>
        <v>Cono 54 cm PVC blando Reflect. Mod B AMARILLO</v>
      </c>
      <c r="C1299" s="4">
        <f>IFERROR(__xludf.DUMMYFUNCTION("""COMPUTED_VALUE"""),7.776)</f>
        <v>7.776</v>
      </c>
    </row>
    <row r="1300">
      <c r="A1300" s="4" t="str">
        <f>IFERROR(__xludf.DUMMYFUNCTION("""COMPUTED_VALUE"""),"1647RO")</f>
        <v>1647RO</v>
      </c>
      <c r="B1300" s="4" t="str">
        <f>IFERROR(__xludf.DUMMYFUNCTION("""COMPUTED_VALUE"""),"Cono 54 cm PVC blando Reflect. Mod B ROSA")</f>
        <v>Cono 54 cm PVC blando Reflect. Mod B ROSA</v>
      </c>
      <c r="C1300" s="4">
        <f>IFERROR(__xludf.DUMMYFUNCTION("""COMPUTED_VALUE"""),7.776)</f>
        <v>7.776</v>
      </c>
    </row>
    <row r="1301">
      <c r="A1301" s="4" t="str">
        <f>IFERROR(__xludf.DUMMYFUNCTION("""COMPUTED_VALUE"""),"1647V")</f>
        <v>1647V</v>
      </c>
      <c r="B1301" s="4" t="str">
        <f>IFERROR(__xludf.DUMMYFUNCTION("""COMPUTED_VALUE"""),"Cono 54 cm PVC blando Reflect. Mod B VERDE")</f>
        <v>Cono 54 cm PVC blando Reflect. Mod B VERDE</v>
      </c>
      <c r="C1301" s="4">
        <f>IFERROR(__xludf.DUMMYFUNCTION("""COMPUTED_VALUE"""),7.776)</f>
        <v>7.776</v>
      </c>
    </row>
    <row r="1302">
      <c r="A1302" s="4" t="str">
        <f>IFERROR(__xludf.DUMMYFUNCTION("""COMPUTED_VALUE"""),"1647Z")</f>
        <v>1647Z</v>
      </c>
      <c r="B1302" s="4" t="str">
        <f>IFERROR(__xludf.DUMMYFUNCTION("""COMPUTED_VALUE"""),"Cono 54 cm PVC blando Reflect. Mod B AZUL")</f>
        <v>Cono 54 cm PVC blando Reflect. Mod B AZUL</v>
      </c>
      <c r="C1302" s="4">
        <f>IFERROR(__xludf.DUMMYFUNCTION("""COMPUTED_VALUE"""),7.776)</f>
        <v>7.776</v>
      </c>
    </row>
    <row r="1303">
      <c r="A1303" s="4" t="str">
        <f>IFERROR(__xludf.DUMMYFUNCTION("""COMPUTED_VALUE"""),"1648")</f>
        <v>1648</v>
      </c>
      <c r="B1303" s="4" t="str">
        <f>IFERROR(__xludf.DUMMYFUNCTION("""COMPUTED_VALUE"""),"Cono 80cm PVC blando Reflect. MOD B Naranja Plus")</f>
        <v>Cono 80cm PVC blando Reflect. MOD B Naranja Plus</v>
      </c>
      <c r="C1303" s="4">
        <f>IFERROR(__xludf.DUMMYFUNCTION("""COMPUTED_VALUE"""),23.279999999999998)</f>
        <v>23.28</v>
      </c>
    </row>
    <row r="1304">
      <c r="A1304" s="4" t="str">
        <f>IFERROR(__xludf.DUMMYFUNCTION("""COMPUTED_VALUE"""),"1650")</f>
        <v>1650</v>
      </c>
      <c r="B1304" s="4" t="str">
        <f>IFERROR(__xludf.DUMMYFUNCTION("""COMPUTED_VALUE"""),"Cono 1 pza 50 cm 2 bandas Reflect. Melba")</f>
        <v>Cono 1 pza 50 cm 2 bandas Reflect. Melba</v>
      </c>
      <c r="C1304" s="4">
        <f>IFERROR(__xludf.DUMMYFUNCTION("""COMPUTED_VALUE"""),5.9712)</f>
        <v>5.9712</v>
      </c>
    </row>
    <row r="1305">
      <c r="A1305" s="4" t="str">
        <f>IFERROR(__xludf.DUMMYFUNCTION("""COMPUTED_VALUE"""),"1651")</f>
        <v>1651</v>
      </c>
      <c r="B1305" s="4" t="str">
        <f>IFERROR(__xludf.DUMMYFUNCTION("""COMPUTED_VALUE"""),"Cono 1 pza 75 cm 2 bandas Reflect. Melba")</f>
        <v>Cono 1 pza 75 cm 2 bandas Reflect. Melba</v>
      </c>
      <c r="C1305" s="4">
        <f>IFERROR(__xludf.DUMMYFUNCTION("""COMPUTED_VALUE"""),7.852799999999999)</f>
        <v>7.8528</v>
      </c>
    </row>
    <row r="1306">
      <c r="A1306" s="4" t="str">
        <f>IFERROR(__xludf.DUMMYFUNCTION("""COMPUTED_VALUE"""),"1652")</f>
        <v>1652</v>
      </c>
      <c r="B1306" s="4" t="str">
        <f>IFERROR(__xludf.DUMMYFUNCTION("""COMPUTED_VALUE"""),"Cono 2 pza 75 cm 2 bandas Reflect. Melba STARLITE")</f>
        <v>Cono 2 pza 75 cm 2 bandas Reflect. Melba STARLITE</v>
      </c>
      <c r="C1306" s="4">
        <f>IFERROR(__xludf.DUMMYFUNCTION("""COMPUTED_VALUE"""),9.575999999999999)</f>
        <v>9.576</v>
      </c>
    </row>
    <row r="1307">
      <c r="A1307" s="4" t="str">
        <f>IFERROR(__xludf.DUMMYFUNCTION("""COMPUTED_VALUE"""),"1653")</f>
        <v>1653</v>
      </c>
      <c r="B1307" s="4" t="str">
        <f>IFERROR(__xludf.DUMMYFUNCTION("""COMPUTED_VALUE"""),"Cono 2 pza 50 cm 1 banda Reflect. Melba BIG FOOT")</f>
        <v>Cono 2 pza 50 cm 1 banda Reflect. Melba BIG FOOT</v>
      </c>
      <c r="C1307" s="4">
        <f>IFERROR(__xludf.DUMMYFUNCTION("""COMPUTED_VALUE"""),7.92)</f>
        <v>7.92</v>
      </c>
    </row>
    <row r="1308">
      <c r="A1308" s="4" t="str">
        <f>IFERROR(__xludf.DUMMYFUNCTION("""COMPUTED_VALUE"""),"1654")</f>
        <v>1654</v>
      </c>
      <c r="B1308" s="4" t="str">
        <f>IFERROR(__xludf.DUMMYFUNCTION("""COMPUTED_VALUE"""),"Cono 2 pza 75 cm 1 banda Reflect. Melba BIG FOOT")</f>
        <v>Cono 2 pza 75 cm 1 banda Reflect. Melba BIG FOOT</v>
      </c>
      <c r="C1308" s="4">
        <f>IFERROR(__xludf.DUMMYFUNCTION("""COMPUTED_VALUE"""),10.799999999999999)</f>
        <v>10.8</v>
      </c>
    </row>
    <row r="1309">
      <c r="A1309" s="4" t="str">
        <f>IFERROR(__xludf.DUMMYFUNCTION("""COMPUTED_VALUE"""),"1655")</f>
        <v>1655</v>
      </c>
      <c r="B1309" s="4" t="str">
        <f>IFERROR(__xludf.DUMMYFUNCTION("""COMPUTED_VALUE"""),"Cono 2 pza 100 cm 1 banda Reflect. Melba BIG FOOT")</f>
        <v>Cono 2 pza 100 cm 1 banda Reflect. Melba BIG FOOT</v>
      </c>
      <c r="C1309" s="4">
        <f>IFERROR(__xludf.DUMMYFUNCTION("""COMPUTED_VALUE"""),16.56)</f>
        <v>16.56</v>
      </c>
    </row>
    <row r="1310">
      <c r="A1310" s="4" t="str">
        <f>IFERROR(__xludf.DUMMYFUNCTION("""COMPUTED_VALUE"""),"1672")</f>
        <v>1672</v>
      </c>
      <c r="B1310" s="4" t="str">
        <f>IFERROR(__xludf.DUMMYFUNCTION("""COMPUTED_VALUE"""),"Pareja semaforos portatiles desmontables Leds mod. B")</f>
        <v>Pareja semaforos portatiles desmontables Leds mod. B</v>
      </c>
      <c r="C1310" s="4">
        <f>IFERROR(__xludf.DUMMYFUNCTION("""COMPUTED_VALUE"""),1536.0)</f>
        <v>1536</v>
      </c>
    </row>
    <row r="1311">
      <c r="A1311" s="4" t="str">
        <f>IFERROR(__xludf.DUMMYFUNCTION("""COMPUTED_VALUE"""),"1673")</f>
        <v>1673</v>
      </c>
      <c r="B1311" s="4" t="str">
        <f>IFERROR(__xludf.DUMMYFUNCTION("""COMPUTED_VALUE"""),"Pareja semaforos portatiles desmont. Led c/ contador de")</f>
        <v>Pareja semaforos portatiles desmont. Led c/ contador de</v>
      </c>
      <c r="C1311" s="4">
        <f>IFERROR(__xludf.DUMMYFUNCTION("""COMPUTED_VALUE"""),1632.0)</f>
        <v>1632</v>
      </c>
    </row>
    <row r="1312">
      <c r="A1312" s="4" t="str">
        <f>IFERROR(__xludf.DUMMYFUNCTION("""COMPUTED_VALUE"""),"1673C")</f>
        <v>1673C</v>
      </c>
      <c r="B1312" s="4" t="str">
        <f>IFERROR(__xludf.DUMMYFUNCTION("""COMPUTED_VALUE"""),"Juego de centralitas semaforos Mod.D")</f>
        <v>Juego de centralitas semaforos Mod.D</v>
      </c>
      <c r="C1312" s="4">
        <f>IFERROR(__xludf.DUMMYFUNCTION("""COMPUTED_VALUE"""),326.4)</f>
        <v>326.4</v>
      </c>
    </row>
    <row r="1313">
      <c r="A1313" s="4" t="str">
        <f>IFERROR(__xludf.DUMMYFUNCTION("""COMPUTED_VALUE"""),"1674")</f>
        <v>1674</v>
      </c>
      <c r="B1313" s="4" t="str">
        <f>IFERROR(__xludf.DUMMYFUNCTION("""COMPUTED_VALUE"""),"Pareja semaforos portatiles plegables Led mod. C")</f>
        <v>Pareja semaforos portatiles plegables Led mod. C</v>
      </c>
      <c r="C1313" s="4">
        <f>IFERROR(__xludf.DUMMYFUNCTION("""COMPUTED_VALUE"""),1680.0)</f>
        <v>1680</v>
      </c>
    </row>
    <row r="1314">
      <c r="A1314" s="4" t="str">
        <f>IFERROR(__xludf.DUMMYFUNCTION("""COMPUTED_VALUE"""),"1674/LP")</f>
        <v>1674/LP</v>
      </c>
      <c r="B1314" s="4" t="str">
        <f>IFERROR(__xludf.DUMMYFUNCTION("""COMPUTED_VALUE"""),"Lente plastico semaforo B - C 430126008")</f>
        <v>Lente plastico semaforo B - C 430126008</v>
      </c>
      <c r="C1314" s="4">
        <f>IFERROR(__xludf.DUMMYFUNCTION("""COMPUTED_VALUE"""),33.024)</f>
        <v>33.024</v>
      </c>
    </row>
    <row r="1315">
      <c r="A1315" s="4" t="str">
        <f>IFERROR(__xludf.DUMMYFUNCTION("""COMPUTED_VALUE"""),"1674/PA")</f>
        <v>1674/PA</v>
      </c>
      <c r="B1315" s="4" t="str">
        <f>IFERROR(__xludf.DUMMYFUNCTION("""COMPUTED_VALUE"""),"Panel Led amarillo semaforo B - C 430208019")</f>
        <v>Panel Led amarillo semaforo B - C 430208019</v>
      </c>
      <c r="C1315" s="4">
        <f>IFERROR(__xludf.DUMMYFUNCTION("""COMPUTED_VALUE"""),106.992)</f>
        <v>106.992</v>
      </c>
    </row>
    <row r="1316">
      <c r="A1316" s="4" t="str">
        <f>IFERROR(__xludf.DUMMYFUNCTION("""COMPUTED_VALUE"""),"1674/PR")</f>
        <v>1674/PR</v>
      </c>
      <c r="B1316" s="4" t="str">
        <f>IFERROR(__xludf.DUMMYFUNCTION("""COMPUTED_VALUE"""),"Panel Led rojo semaforos B - C 430208020")</f>
        <v>Panel Led rojo semaforos B - C 430208020</v>
      </c>
      <c r="C1316" s="4">
        <f>IFERROR(__xludf.DUMMYFUNCTION("""COMPUTED_VALUE"""),106.992)</f>
        <v>106.992</v>
      </c>
    </row>
    <row r="1317">
      <c r="A1317" s="4" t="str">
        <f>IFERROR(__xludf.DUMMYFUNCTION("""COMPUTED_VALUE"""),"1674/PV")</f>
        <v>1674/PV</v>
      </c>
      <c r="B1317" s="4" t="str">
        <f>IFERROR(__xludf.DUMMYFUNCTION("""COMPUTED_VALUE"""),"Panel Led verde semaforos B - C 430208018")</f>
        <v>Panel Led verde semaforos B - C 430208018</v>
      </c>
      <c r="C1317" s="4">
        <f>IFERROR(__xludf.DUMMYFUNCTION("""COMPUTED_VALUE"""),106.992)</f>
        <v>106.992</v>
      </c>
    </row>
    <row r="1318">
      <c r="A1318" s="4" t="str">
        <f>IFERROR(__xludf.DUMMYFUNCTION("""COMPUTED_VALUE"""),"1674/V")</f>
        <v>1674/V</v>
      </c>
      <c r="B1318" s="4" t="str">
        <f>IFERROR(__xludf.DUMMYFUNCTION("""COMPUTED_VALUE"""),"Visera amarilla semaforo B - C 430126009")</f>
        <v>Visera amarilla semaforo B - C 430126009</v>
      </c>
      <c r="C1318" s="4">
        <f>IFERROR(__xludf.DUMMYFUNCTION("""COMPUTED_VALUE"""),26.016000000000002)</f>
        <v>26.016</v>
      </c>
    </row>
    <row r="1319">
      <c r="A1319" s="4" t="str">
        <f>IFERROR(__xludf.DUMMYFUNCTION("""COMPUTED_VALUE"""),"1674C")</f>
        <v>1674C</v>
      </c>
      <c r="B1319" s="4" t="str">
        <f>IFERROR(__xludf.DUMMYFUNCTION("""COMPUTED_VALUE"""),"Cabeza semáforo3 luces 431231016")</f>
        <v>Cabeza semáforo3 luces 431231016</v>
      </c>
      <c r="C1319" s="4">
        <f>IFERROR(__xludf.DUMMYFUNCTION("""COMPUTED_VALUE"""),374.4)</f>
        <v>374.4</v>
      </c>
    </row>
    <row r="1320">
      <c r="A1320" s="4" t="str">
        <f>IFERROR(__xludf.DUMMYFUNCTION("""COMPUTED_VALUE"""),"1674D")</f>
        <v>1674D</v>
      </c>
      <c r="B1320" s="4" t="str">
        <f>IFERROR(__xludf.DUMMYFUNCTION("""COMPUTED_VALUE"""),"Recambio pie semáforo 400900000")</f>
        <v>Recambio pie semáforo 400900000</v>
      </c>
      <c r="C1320" s="4">
        <f>IFERROR(__xludf.DUMMYFUNCTION("""COMPUTED_VALUE"""),33.6)</f>
        <v>33.6</v>
      </c>
    </row>
    <row r="1321">
      <c r="A1321" s="4" t="str">
        <f>IFERROR(__xludf.DUMMYFUNCTION("""COMPUTED_VALUE"""),"1674E")</f>
        <v>1674E</v>
      </c>
      <c r="B1321" s="4" t="str">
        <f>IFERROR(__xludf.DUMMYFUNCTION("""COMPUTED_VALUE"""),"Recambio poste enganche base semáforo 250303006")</f>
        <v>Recambio poste enganche base semáforo 250303006</v>
      </c>
      <c r="C1321" s="4">
        <f>IFERROR(__xludf.DUMMYFUNCTION("""COMPUTED_VALUE"""),67.2)</f>
        <v>67.2</v>
      </c>
    </row>
    <row r="1322">
      <c r="A1322" s="4" t="str">
        <f>IFERROR(__xludf.DUMMYFUNCTION("""COMPUTED_VALUE"""),"1674F")</f>
        <v>1674F</v>
      </c>
      <c r="B1322" s="4" t="str">
        <f>IFERROR(__xludf.DUMMYFUNCTION("""COMPUTED_VALUE"""),"Recambio rueda semáforo 409000006")</f>
        <v>Recambio rueda semáforo 409000006</v>
      </c>
      <c r="C1322" s="4">
        <f>IFERROR(__xludf.DUMMYFUNCTION("""COMPUTED_VALUE"""),25.919999999999998)</f>
        <v>25.92</v>
      </c>
    </row>
    <row r="1323">
      <c r="A1323" s="4" t="str">
        <f>IFERROR(__xludf.DUMMYFUNCTION("""COMPUTED_VALUE"""),"1674G")</f>
        <v>1674G</v>
      </c>
      <c r="B1323" s="4" t="str">
        <f>IFERROR(__xludf.DUMMYFUNCTION("""COMPUTED_VALUE"""),"Pasador de seguridad semáforo 251636400")</f>
        <v>Pasador de seguridad semáforo 251636400</v>
      </c>
      <c r="C1323" s="4">
        <f>IFERROR(__xludf.DUMMYFUNCTION("""COMPUTED_VALUE"""),6.144)</f>
        <v>6.144</v>
      </c>
    </row>
    <row r="1324">
      <c r="A1324" s="4" t="str">
        <f>IFERROR(__xludf.DUMMYFUNCTION("""COMPUTED_VALUE"""),"1674H")</f>
        <v>1674H</v>
      </c>
      <c r="B1324" s="4" t="str">
        <f>IFERROR(__xludf.DUMMYFUNCTION("""COMPUTED_VALUE"""),"Recambio cierre semáforo 1674")</f>
        <v>Recambio cierre semáforo 1674</v>
      </c>
      <c r="C1324" s="4">
        <f>IFERROR(__xludf.DUMMYFUNCTION("""COMPUTED_VALUE"""),23.04)</f>
        <v>23.04</v>
      </c>
    </row>
    <row r="1325">
      <c r="A1325" s="4" t="str">
        <f>IFERROR(__xludf.DUMMYFUNCTION("""COMPUTED_VALUE"""),"1674K")</f>
        <v>1674K</v>
      </c>
      <c r="B1325" s="4" t="str">
        <f>IFERROR(__xludf.DUMMYFUNCTION("""COMPUTED_VALUE"""),"Kit solar 50w alimentación semáforos")</f>
        <v>Kit solar 50w alimentación semáforos</v>
      </c>
      <c r="C1325" s="4">
        <f>IFERROR(__xludf.DUMMYFUNCTION("""COMPUTED_VALUE"""),1008.0)</f>
        <v>1008</v>
      </c>
    </row>
    <row r="1326">
      <c r="A1326" s="4" t="str">
        <f>IFERROR(__xludf.DUMMYFUNCTION("""COMPUTED_VALUE"""),"1674Z")</f>
        <v>1674Z</v>
      </c>
      <c r="B1326" s="4" t="str">
        <f>IFERROR(__xludf.DUMMYFUNCTION("""COMPUTED_VALUE"""),"Conexión semáforos batería")</f>
        <v>Conexión semáforos batería</v>
      </c>
      <c r="C1326" s="4">
        <f>IFERROR(__xludf.DUMMYFUNCTION("""COMPUTED_VALUE"""),17.28)</f>
        <v>17.28</v>
      </c>
    </row>
    <row r="1327">
      <c r="A1327" s="4" t="str">
        <f>IFERROR(__xludf.DUMMYFUNCTION("""COMPUTED_VALUE"""),"1676")</f>
        <v>1676</v>
      </c>
      <c r="B1327" s="4" t="str">
        <f>IFERROR(__xludf.DUMMYFUNCTION("""COMPUTED_VALUE"""),"Secuencial 5 luces Inalambricas rafiofrecuencia")</f>
        <v>Secuencial 5 luces Inalambricas rafiofrecuencia</v>
      </c>
      <c r="C1327" s="4">
        <f>IFERROR(__xludf.DUMMYFUNCTION("""COMPUTED_VALUE"""),705.096)</f>
        <v>705.096</v>
      </c>
    </row>
    <row r="1328">
      <c r="A1328" s="4" t="str">
        <f>IFERROR(__xludf.DUMMYFUNCTION("""COMPUTED_VALUE"""),"1676/BAL")</f>
        <v>1676/BAL</v>
      </c>
      <c r="B1328" s="4" t="str">
        <f>IFERROR(__xludf.DUMMYFUNCTION("""COMPUTED_VALUE"""),"Baliza secuencia radiofrecuencia")</f>
        <v>Baliza secuencia radiofrecuencia</v>
      </c>
      <c r="C1328" s="4">
        <f>IFERROR(__xludf.DUMMYFUNCTION("""COMPUTED_VALUE"""),136.07999999999998)</f>
        <v>136.08</v>
      </c>
    </row>
    <row r="1329">
      <c r="A1329" s="4" t="str">
        <f>IFERROR(__xludf.DUMMYFUNCTION("""COMPUTED_VALUE"""),"1676/LEN")</f>
        <v>1676/LEN</v>
      </c>
      <c r="B1329" s="4" t="str">
        <f>IFERROR(__xludf.DUMMYFUNCTION("""COMPUTED_VALUE"""),"Lente delantera baliza radiofrecuencia")</f>
        <v>Lente delantera baliza radiofrecuencia</v>
      </c>
      <c r="C1329" s="4">
        <f>IFERROR(__xludf.DUMMYFUNCTION("""COMPUTED_VALUE"""),7.56)</f>
        <v>7.56</v>
      </c>
    </row>
    <row r="1330">
      <c r="A1330" s="4" t="str">
        <f>IFERROR(__xludf.DUMMYFUNCTION("""COMPUTED_VALUE"""),"1677")</f>
        <v>1677</v>
      </c>
      <c r="B1330" s="4" t="str">
        <f>IFERROR(__xludf.DUMMYFUNCTION("""COMPUTED_VALUE"""),"Secuencial completo 5 elementos inalambricos por")</f>
        <v>Secuencial completo 5 elementos inalambricos por</v>
      </c>
      <c r="C1330" s="4">
        <f>IFERROR(__xludf.DUMMYFUNCTION("""COMPUTED_VALUE"""),1032.0)</f>
        <v>1032</v>
      </c>
    </row>
    <row r="1331">
      <c r="A1331" s="4" t="str">
        <f>IFERROR(__xludf.DUMMYFUNCTION("""COMPUTED_VALUE"""),"1678")</f>
        <v>1678</v>
      </c>
      <c r="B1331" s="4" t="str">
        <f>IFERROR(__xludf.DUMMYFUNCTION("""COMPUTED_VALUE"""),"Abanderado electromecanico")</f>
        <v>Abanderado electromecanico</v>
      </c>
      <c r="C1331" s="4">
        <f>IFERROR(__xludf.DUMMYFUNCTION("""COMPUTED_VALUE"""),816.0)</f>
        <v>816</v>
      </c>
    </row>
    <row r="1332">
      <c r="A1332" s="4" t="str">
        <f>IFERROR(__xludf.DUMMYFUNCTION("""COMPUTED_VALUE"""),"1679")</f>
        <v>1679</v>
      </c>
      <c r="B1332" s="4" t="str">
        <f>IFERROR(__xludf.DUMMYFUNCTION("""COMPUTED_VALUE"""),"Juego centralitas electronicas semaforo mod. B y C")</f>
        <v>Juego centralitas electronicas semaforo mod. B y C</v>
      </c>
      <c r="C1332" s="4">
        <f>IFERROR(__xludf.DUMMYFUNCTION("""COMPUTED_VALUE"""),326.4)</f>
        <v>326.4</v>
      </c>
    </row>
    <row r="1333">
      <c r="A1333" s="4" t="str">
        <f>IFERROR(__xludf.DUMMYFUNCTION("""COMPUTED_VALUE"""),"1682")</f>
        <v>1682</v>
      </c>
      <c r="B1333" s="4" t="str">
        <f>IFERROR(__xludf.DUMMYFUNCTION("""COMPUTED_VALUE"""),"Rotativo Halog.55 W 12V Mod. Plus (iman+ ventosa)")</f>
        <v>Rotativo Halog.55 W 12V Mod. Plus (iman+ ventosa)</v>
      </c>
      <c r="C1333" s="4">
        <f>IFERROR(__xludf.DUMMYFUNCTION("""COMPUTED_VALUE"""),35.3568)</f>
        <v>35.3568</v>
      </c>
    </row>
    <row r="1334">
      <c r="A1334" s="4" t="str">
        <f>IFERROR(__xludf.DUMMYFUNCTION("""COMPUTED_VALUE"""),"1682/ALARG")</f>
        <v>1682/ALARG</v>
      </c>
      <c r="B1334" s="4" t="str">
        <f>IFERROR(__xludf.DUMMYFUNCTION("""COMPUTED_VALUE"""),"Cable rizado alargadera para Rotativo Mod. Plus")</f>
        <v>Cable rizado alargadera para Rotativo Mod. Plus</v>
      </c>
      <c r="C1334" s="4">
        <f>IFERROR(__xludf.DUMMYFUNCTION("""COMPUTED_VALUE"""),8.64)</f>
        <v>8.64</v>
      </c>
    </row>
    <row r="1335">
      <c r="A1335" s="4" t="str">
        <f>IFERROR(__xludf.DUMMYFUNCTION("""COMPUTED_VALUE"""),"1683")</f>
        <v>1683</v>
      </c>
      <c r="B1335" s="4" t="str">
        <f>IFERROR(__xludf.DUMMYFUNCTION("""COMPUTED_VALUE"""),"Juego 3 focos Leds 10 cm para señal metalica")</f>
        <v>Juego 3 focos Leds 10 cm para señal metalica</v>
      </c>
      <c r="C1335" s="4">
        <f>IFERROR(__xludf.DUMMYFUNCTION("""COMPUTED_VALUE"""),283.3632)</f>
        <v>283.3632</v>
      </c>
    </row>
    <row r="1336">
      <c r="A1336" s="4" t="str">
        <f>IFERROR(__xludf.DUMMYFUNCTION("""COMPUTED_VALUE"""),"1684")</f>
        <v>1684</v>
      </c>
      <c r="B1336" s="4" t="str">
        <f>IFERROR(__xludf.DUMMYFUNCTION("""COMPUTED_VALUE"""),"Rotativo Halogeno magnet. Mod. BASIC")</f>
        <v>Rotativo Halogeno magnet. Mod. BASIC</v>
      </c>
      <c r="C1336" s="4">
        <f>IFERROR(__xludf.DUMMYFUNCTION("""COMPUTED_VALUE"""),13.44)</f>
        <v>13.44</v>
      </c>
    </row>
    <row r="1337">
      <c r="A1337" s="4" t="str">
        <f>IFERROR(__xludf.DUMMYFUNCTION("""COMPUTED_VALUE"""),"1686")</f>
        <v>1686</v>
      </c>
      <c r="B1337" s="4" t="str">
        <f>IFERROR(__xludf.DUMMYFUNCTION("""COMPUTED_VALUE"""),"Conjunto Panel R/B + base caucho")</f>
        <v>Conjunto Panel R/B + base caucho</v>
      </c>
      <c r="C1337" s="4">
        <f>IFERROR(__xludf.DUMMYFUNCTION("""COMPUTED_VALUE"""),39.36)</f>
        <v>39.36</v>
      </c>
    </row>
    <row r="1338">
      <c r="A1338" s="4" t="str">
        <f>IFERROR(__xludf.DUMMYFUNCTION("""COMPUTED_VALUE"""),"1687")</f>
        <v>1687</v>
      </c>
      <c r="B1338" s="4" t="str">
        <f>IFERROR(__xludf.DUMMYFUNCTION("""COMPUTED_VALUE"""),"Rotativo fijo carretilla elevadora 21W 12V A/214")</f>
        <v>Rotativo fijo carretilla elevadora 21W 12V A/214</v>
      </c>
      <c r="C1338" s="4">
        <f>IFERROR(__xludf.DUMMYFUNCTION("""COMPUTED_VALUE"""),25.2)</f>
        <v>25.2</v>
      </c>
    </row>
    <row r="1339">
      <c r="A1339" s="4" t="str">
        <f>IFERROR(__xludf.DUMMYFUNCTION("""COMPUTED_VALUE"""),"1688")</f>
        <v>1688</v>
      </c>
      <c r="B1339" s="4" t="str">
        <f>IFERROR(__xludf.DUMMYFUNCTION("""COMPUTED_VALUE"""),"Panel conjunto 5 Leds para vehículos")</f>
        <v>Panel conjunto 5 Leds para vehículos</v>
      </c>
      <c r="C1339" s="4">
        <f>IFERROR(__xludf.DUMMYFUNCTION("""COMPUTED_VALUE"""),870.912)</f>
        <v>870.912</v>
      </c>
    </row>
    <row r="1340">
      <c r="A1340" s="4" t="str">
        <f>IFERROR(__xludf.DUMMYFUNCTION("""COMPUTED_VALUE"""),"1689")</f>
        <v>1689</v>
      </c>
      <c r="B1340" s="4" t="str">
        <f>IFERROR(__xludf.DUMMYFUNCTION("""COMPUTED_VALUE"""),"Linterna Super-led Basic 12/220v 3 W+ cono amarillo")</f>
        <v>Linterna Super-led Basic 12/220v 3 W+ cono amarillo</v>
      </c>
      <c r="C1340" s="4">
        <f>IFERROR(__xludf.DUMMYFUNCTION("""COMPUTED_VALUE"""),24.96)</f>
        <v>24.96</v>
      </c>
    </row>
    <row r="1341">
      <c r="A1341" s="4" t="str">
        <f>IFERROR(__xludf.DUMMYFUNCTION("""COMPUTED_VALUE"""),"1689B")</f>
        <v>1689B</v>
      </c>
      <c r="B1341" s="4" t="str">
        <f>IFERROR(__xludf.DUMMYFUNCTION("""COMPUTED_VALUE"""),"Batería para Linterna recargable Superled Basic")</f>
        <v>Batería para Linterna recargable Superled Basic</v>
      </c>
      <c r="C1341" s="4">
        <f>IFERROR(__xludf.DUMMYFUNCTION("""COMPUTED_VALUE"""),6.72)</f>
        <v>6.72</v>
      </c>
    </row>
    <row r="1342">
      <c r="A1342" s="4" t="str">
        <f>IFERROR(__xludf.DUMMYFUNCTION("""COMPUTED_VALUE"""),"1689C")</f>
        <v>1689C</v>
      </c>
      <c r="B1342" s="4" t="str">
        <f>IFERROR(__xludf.DUMMYFUNCTION("""COMPUTED_VALUE"""),"Cono para linterna recargable Superled Basic")</f>
        <v>Cono para linterna recargable Superled Basic</v>
      </c>
      <c r="C1342" s="4">
        <f>IFERROR(__xludf.DUMMYFUNCTION("""COMPUTED_VALUE"""),5.76)</f>
        <v>5.76</v>
      </c>
    </row>
    <row r="1343">
      <c r="A1343" s="4" t="str">
        <f>IFERROR(__xludf.DUMMYFUNCTION("""COMPUTED_VALUE"""),"1690")</f>
        <v>1690</v>
      </c>
      <c r="B1343" s="4" t="str">
        <f>IFERROR(__xludf.DUMMYFUNCTION("""COMPUTED_VALUE"""),"Linterna Super-led Polilux 12-220v 3W")</f>
        <v>Linterna Super-led Polilux 12-220v 3W</v>
      </c>
      <c r="C1343" s="4">
        <f>IFERROR(__xludf.DUMMYFUNCTION("""COMPUTED_VALUE"""),239.904)</f>
        <v>239.904</v>
      </c>
    </row>
    <row r="1344">
      <c r="A1344" s="4" t="str">
        <f>IFERROR(__xludf.DUMMYFUNCTION("""COMPUTED_VALUE"""),"1691")</f>
        <v>1691</v>
      </c>
      <c r="B1344" s="4" t="str">
        <f>IFERROR(__xludf.DUMMYFUNCTION("""COMPUTED_VALUE"""),"Paleta difusora Stop-Paso p/linterna profesional")</f>
        <v>Paleta difusora Stop-Paso p/linterna profesional</v>
      </c>
      <c r="C1344" s="4">
        <f>IFERROR(__xludf.DUMMYFUNCTION("""COMPUTED_VALUE"""),33.263999999999996)</f>
        <v>33.264</v>
      </c>
    </row>
    <row r="1345">
      <c r="A1345" s="4" t="str">
        <f>IFERROR(__xludf.DUMMYFUNCTION("""COMPUTED_VALUE"""),"1692")</f>
        <v>1692</v>
      </c>
      <c r="B1345" s="4" t="str">
        <f>IFERROR(__xludf.DUMMYFUNCTION("""COMPUTED_VALUE"""),"Cono amarillo señalizacion p/linterna profesional")</f>
        <v>Cono amarillo señalizacion p/linterna profesional</v>
      </c>
      <c r="C1345" s="4">
        <f>IFERROR(__xludf.DUMMYFUNCTION("""COMPUTED_VALUE"""),6.552)</f>
        <v>6.552</v>
      </c>
    </row>
    <row r="1346">
      <c r="A1346" s="4" t="str">
        <f>IFERROR(__xludf.DUMMYFUNCTION("""COMPUTED_VALUE"""),"1693")</f>
        <v>1693</v>
      </c>
      <c r="B1346" s="4" t="str">
        <f>IFERROR(__xludf.DUMMYFUNCTION("""COMPUTED_VALUE"""),"Avisador acústico para carretilla 97 db")</f>
        <v>Avisador acústico para carretilla 97 db</v>
      </c>
      <c r="C1346" s="4">
        <f>IFERROR(__xludf.DUMMYFUNCTION("""COMPUTED_VALUE"""),25.2)</f>
        <v>25.2</v>
      </c>
    </row>
    <row r="1347">
      <c r="A1347" s="4" t="str">
        <f>IFERROR(__xludf.DUMMYFUNCTION("""COMPUTED_VALUE"""),"1694")</f>
        <v>1694</v>
      </c>
      <c r="B1347" s="4" t="str">
        <f>IFERROR(__xludf.DUMMYFUNCTION("""COMPUTED_VALUE"""),"Rotativo Led 12V base magnetica + ventosa")</f>
        <v>Rotativo Led 12V base magnetica + ventosa</v>
      </c>
      <c r="C1347" s="4">
        <f>IFERROR(__xludf.DUMMYFUNCTION("""COMPUTED_VALUE"""),48.384)</f>
        <v>48.384</v>
      </c>
    </row>
    <row r="1348">
      <c r="A1348" s="4" t="str">
        <f>IFERROR(__xludf.DUMMYFUNCTION("""COMPUTED_VALUE"""),"1697")</f>
        <v>1697</v>
      </c>
      <c r="B1348" s="4" t="str">
        <f>IFERROR(__xludf.DUMMYFUNCTION("""COMPUTED_VALUE"""),"Baston luminoso LED ambar")</f>
        <v>Baston luminoso LED ambar</v>
      </c>
      <c r="C1348" s="4">
        <f>IFERROR(__xludf.DUMMYFUNCTION("""COMPUTED_VALUE"""),7.4399999999999995)</f>
        <v>7.44</v>
      </c>
    </row>
    <row r="1349">
      <c r="A1349" s="4" t="str">
        <f>IFERROR(__xludf.DUMMYFUNCTION("""COMPUTED_VALUE"""),"1700")</f>
        <v>1700</v>
      </c>
      <c r="B1349" s="4" t="str">
        <f>IFERROR(__xludf.DUMMYFUNCTION("""COMPUTED_VALUE"""),"Panel direccional 60x60 8 focos Led 100 mm")</f>
        <v>Panel direccional 60x60 8 focos Led 100 mm</v>
      </c>
      <c r="C1349" s="4">
        <f>IFERROR(__xludf.DUMMYFUNCTION("""COMPUTED_VALUE"""),496.94399999999996)</f>
        <v>496.944</v>
      </c>
    </row>
    <row r="1350">
      <c r="A1350" s="4" t="str">
        <f>IFERROR(__xludf.DUMMYFUNCTION("""COMPUTED_VALUE"""),"1701")</f>
        <v>1701</v>
      </c>
      <c r="B1350" s="4" t="str">
        <f>IFERROR(__xludf.DUMMYFUNCTION("""COMPUTED_VALUE"""),"Panel direccional 90x90 8 Focos Led 200 mm")</f>
        <v>Panel direccional 90x90 8 Focos Led 200 mm</v>
      </c>
      <c r="C1350" s="4">
        <f>IFERROR(__xludf.DUMMYFUNCTION("""COMPUTED_VALUE"""),756.0)</f>
        <v>756</v>
      </c>
    </row>
    <row r="1351">
      <c r="A1351" s="4" t="str">
        <f>IFERROR(__xludf.DUMMYFUNCTION("""COMPUTED_VALUE"""),"1900")</f>
        <v>1900</v>
      </c>
      <c r="B1351" s="4" t="str">
        <f>IFERROR(__xludf.DUMMYFUNCTION("""COMPUTED_VALUE"""),"Reductor veloc. proteccion cables 90x50x5cm")</f>
        <v>Reductor veloc. proteccion cables 90x50x5cm</v>
      </c>
      <c r="C1351" s="4">
        <f>IFERROR(__xludf.DUMMYFUNCTION("""COMPUTED_VALUE"""),43.199999999999996)</f>
        <v>43.2</v>
      </c>
    </row>
    <row r="1352">
      <c r="A1352" s="4" t="str">
        <f>IFERROR(__xludf.DUMMYFUNCTION("""COMPUTED_VALUE"""),"1900B")</f>
        <v>1900B</v>
      </c>
      <c r="B1352" s="4" t="str">
        <f>IFERROR(__xludf.DUMMYFUNCTION("""COMPUTED_VALUE"""),"Reductor veloc. proteccion cables 90x25x4,5 cm")</f>
        <v>Reductor veloc. proteccion cables 90x25x4,5 cm</v>
      </c>
      <c r="C1352" s="4">
        <f>IFERROR(__xludf.DUMMYFUNCTION("""COMPUTED_VALUE"""),38.879999999999995)</f>
        <v>38.88</v>
      </c>
    </row>
    <row r="1353">
      <c r="A1353" s="4" t="str">
        <f>IFERROR(__xludf.DUMMYFUNCTION("""COMPUTED_VALUE"""),"1900C")</f>
        <v>1900C</v>
      </c>
      <c r="B1353" s="4" t="str">
        <f>IFERROR(__xludf.DUMMYFUNCTION("""COMPUTED_VALUE"""),"Rampa proteccion cables 30x82x8,5 cm")</f>
        <v>Rampa proteccion cables 30x82x8,5 cm</v>
      </c>
      <c r="C1353" s="4">
        <f>IFERROR(__xludf.DUMMYFUNCTION("""COMPUTED_VALUE"""),40.08)</f>
        <v>40.08</v>
      </c>
    </row>
    <row r="1354">
      <c r="A1354" s="4" t="str">
        <f>IFERROR(__xludf.DUMMYFUNCTION("""COMPUTED_VALUE"""),"1900D")</f>
        <v>1900D</v>
      </c>
      <c r="B1354" s="4" t="str">
        <f>IFERROR(__xludf.DUMMYFUNCTION("""COMPUTED_VALUE"""),"Reductor Pasacables MOD D")</f>
        <v>Reductor Pasacables MOD D</v>
      </c>
      <c r="C1354" s="4">
        <f>IFERROR(__xludf.DUMMYFUNCTION("""COMPUTED_VALUE"""),37.92)</f>
        <v>37.92</v>
      </c>
    </row>
    <row r="1355">
      <c r="A1355" s="4" t="str">
        <f>IFERROR(__xludf.DUMMYFUNCTION("""COMPUTED_VALUE"""),"1901H")</f>
        <v>1901H</v>
      </c>
      <c r="B1355" s="4" t="str">
        <f>IFERROR(__xludf.DUMMYFUNCTION("""COMPUTED_VALUE"""),"Extremo reductor velocidad 25x50x3 cm Mod B H")</f>
        <v>Extremo reductor velocidad 25x50x3 cm Mod B H</v>
      </c>
      <c r="C1355" s="4">
        <f>IFERROR(__xludf.DUMMYFUNCTION("""COMPUTED_VALUE"""),14.399999999999999)</f>
        <v>14.4</v>
      </c>
    </row>
    <row r="1356">
      <c r="A1356" s="4" t="str">
        <f>IFERROR(__xludf.DUMMYFUNCTION("""COMPUTED_VALUE"""),"1901M")</f>
        <v>1901M</v>
      </c>
      <c r="B1356" s="4" t="str">
        <f>IFERROR(__xludf.DUMMYFUNCTION("""COMPUTED_VALUE"""),"Extremo reductor velocidad 25x50x3 cm Mod B M")</f>
        <v>Extremo reductor velocidad 25x50x3 cm Mod B M</v>
      </c>
      <c r="C1356" s="4">
        <f>IFERROR(__xludf.DUMMYFUNCTION("""COMPUTED_VALUE"""),14.399999999999999)</f>
        <v>14.4</v>
      </c>
    </row>
    <row r="1357">
      <c r="A1357" s="4" t="str">
        <f>IFERROR(__xludf.DUMMYFUNCTION("""COMPUTED_VALUE"""),"1902")</f>
        <v>1902</v>
      </c>
      <c r="B1357" s="4" t="str">
        <f>IFERROR(__xludf.DUMMYFUNCTION("""COMPUTED_VALUE"""),"Reductor Velocidad 50x50x3 cm. Mod. B")</f>
        <v>Reductor Velocidad 50x50x3 cm. Mod. B</v>
      </c>
      <c r="C1357" s="4">
        <f>IFERROR(__xludf.DUMMYFUNCTION("""COMPUTED_VALUE"""),24.1728)</f>
        <v>24.1728</v>
      </c>
    </row>
    <row r="1358">
      <c r="A1358" s="4" t="str">
        <f>IFERROR(__xludf.DUMMYFUNCTION("""COMPUTED_VALUE"""),"1903")</f>
        <v>1903</v>
      </c>
      <c r="B1358" s="4" t="str">
        <f>IFERROR(__xludf.DUMMYFUNCTION("""COMPUTED_VALUE"""),"Reductor Velocidad 50x60x5 cm. Mod. A")</f>
        <v>Reductor Velocidad 50x60x5 cm. Mod. A</v>
      </c>
      <c r="C1358" s="4">
        <f>IFERROR(__xludf.DUMMYFUNCTION("""COMPUTED_VALUE"""),24.863999999999997)</f>
        <v>24.864</v>
      </c>
    </row>
    <row r="1359">
      <c r="A1359" s="4" t="str">
        <f>IFERROR(__xludf.DUMMYFUNCTION("""COMPUTED_VALUE"""),"1903B")</f>
        <v>1903B</v>
      </c>
      <c r="B1359" s="4" t="str">
        <f>IFERROR(__xludf.DUMMYFUNCTION("""COMPUTED_VALUE"""),"Reductor Velocidad 50x60x3 cm. Mod. A")</f>
        <v>Reductor Velocidad 50x60x3 cm. Mod. A</v>
      </c>
      <c r="C1359" s="4">
        <f>IFERROR(__xludf.DUMMYFUNCTION("""COMPUTED_VALUE"""),15.36)</f>
        <v>15.36</v>
      </c>
    </row>
    <row r="1360">
      <c r="A1360" s="4" t="str">
        <f>IFERROR(__xludf.DUMMYFUNCTION("""COMPUTED_VALUE"""),"1904")</f>
        <v>1904</v>
      </c>
      <c r="B1360" s="4" t="str">
        <f>IFERROR(__xludf.DUMMYFUNCTION("""COMPUTED_VALUE"""),"Extremo Reductor velocidad 25x60x5 cm Mod. A")</f>
        <v>Extremo Reductor velocidad 25x60x5 cm Mod. A</v>
      </c>
      <c r="C1360" s="4">
        <f>IFERROR(__xludf.DUMMYFUNCTION("""COMPUTED_VALUE"""),16.272)</f>
        <v>16.272</v>
      </c>
    </row>
    <row r="1361">
      <c r="A1361" s="4" t="str">
        <f>IFERROR(__xludf.DUMMYFUNCTION("""COMPUTED_VALUE"""),"1904B")</f>
        <v>1904B</v>
      </c>
      <c r="B1361" s="4" t="str">
        <f>IFERROR(__xludf.DUMMYFUNCTION("""COMPUTED_VALUE"""),"Extremo reductor Velocidad 50x60x3 cm. Mod. A")</f>
        <v>Extremo reductor Velocidad 50x60x3 cm. Mod. A</v>
      </c>
      <c r="C1361" s="4">
        <f>IFERROR(__xludf.DUMMYFUNCTION("""COMPUTED_VALUE"""),10.799999999999999)</f>
        <v>10.8</v>
      </c>
    </row>
    <row r="1362">
      <c r="A1362" s="4" t="str">
        <f>IFERROR(__xludf.DUMMYFUNCTION("""COMPUTED_VALUE"""),"1908")</f>
        <v>1908</v>
      </c>
      <c r="B1362" s="4" t="str">
        <f>IFERROR(__xludf.DUMMYFUNCTION("""COMPUTED_VALUE"""),"Reductor Velocidad 50x50x5 cm Mod. B")</f>
        <v>Reductor Velocidad 50x50x5 cm Mod. B</v>
      </c>
      <c r="C1362" s="4">
        <f>IFERROR(__xludf.DUMMYFUNCTION("""COMPUTED_VALUE"""),33.36)</f>
        <v>33.36</v>
      </c>
    </row>
    <row r="1363">
      <c r="A1363" s="4" t="str">
        <f>IFERROR(__xludf.DUMMYFUNCTION("""COMPUTED_VALUE"""),"1909H")</f>
        <v>1909H</v>
      </c>
      <c r="B1363" s="4" t="str">
        <f>IFERROR(__xludf.DUMMYFUNCTION("""COMPUTED_VALUE"""),"Extremo reductor velocidad 25x50x5 cm Mod. B H")</f>
        <v>Extremo reductor velocidad 25x50x5 cm Mod. B H</v>
      </c>
      <c r="C1363" s="4">
        <f>IFERROR(__xludf.DUMMYFUNCTION("""COMPUTED_VALUE"""),19.151999999999997)</f>
        <v>19.152</v>
      </c>
    </row>
    <row r="1364">
      <c r="A1364" s="4" t="str">
        <f>IFERROR(__xludf.DUMMYFUNCTION("""COMPUTED_VALUE"""),"1909M")</f>
        <v>1909M</v>
      </c>
      <c r="B1364" s="4" t="str">
        <f>IFERROR(__xludf.DUMMYFUNCTION("""COMPUTED_VALUE"""),"Extremo reductor velocidad 25x50x5 cm Mod. B M")</f>
        <v>Extremo reductor velocidad 25x50x5 cm Mod. B M</v>
      </c>
      <c r="C1364" s="4">
        <f>IFERROR(__xludf.DUMMYFUNCTION("""COMPUTED_VALUE"""),19.151999999999997)</f>
        <v>19.152</v>
      </c>
    </row>
    <row r="1365">
      <c r="A1365" s="4" t="str">
        <f>IFERROR(__xludf.DUMMYFUNCTION("""COMPUTED_VALUE"""),"1910")</f>
        <v>1910</v>
      </c>
      <c r="B1365" s="4" t="str">
        <f>IFERROR(__xludf.DUMMYFUNCTION("""COMPUTED_VALUE"""),"Reductor velocidad - salva cables 50x60x5")</f>
        <v>Reductor velocidad - salva cables 50x60x5</v>
      </c>
      <c r="C1365" s="4">
        <f>IFERROR(__xludf.DUMMYFUNCTION("""COMPUTED_VALUE"""),42.0)</f>
        <v>42</v>
      </c>
    </row>
    <row r="1366">
      <c r="A1366" s="4" t="str">
        <f>IFERROR(__xludf.DUMMYFUNCTION("""COMPUTED_VALUE"""),"1912")</f>
        <v>1912</v>
      </c>
      <c r="B1366" s="4" t="str">
        <f>IFERROR(__xludf.DUMMYFUNCTION("""COMPUTED_VALUE"""),"Reductor Lenticular 22x4")</f>
        <v>Reductor Lenticular 22x4</v>
      </c>
      <c r="C1366" s="4">
        <f>IFERROR(__xludf.DUMMYFUNCTION("""COMPUTED_VALUE"""),7.295999999999999)</f>
        <v>7.296</v>
      </c>
    </row>
    <row r="1367">
      <c r="A1367" s="4" t="str">
        <f>IFERROR(__xludf.DUMMYFUNCTION("""COMPUTED_VALUE"""),"1913/A")</f>
        <v>1913/A</v>
      </c>
      <c r="B1367" s="4" t="str">
        <f>IFERROR(__xludf.DUMMYFUNCTION("""COMPUTED_VALUE"""),"Separador Amarillo carril- bici 1 mt x 15 cm ancho x 5 cm alto")</f>
        <v>Separador Amarillo carril- bici 1 mt x 15 cm ancho x 5 cm alto</v>
      </c>
      <c r="C1367" s="4">
        <f>IFERROR(__xludf.DUMMYFUNCTION("""COMPUTED_VALUE"""),17.28)</f>
        <v>17.28</v>
      </c>
    </row>
    <row r="1368">
      <c r="A1368" s="4" t="str">
        <f>IFERROR(__xludf.DUMMYFUNCTION("""COMPUTED_VALUE"""),"1913/N")</f>
        <v>1913/N</v>
      </c>
      <c r="B1368" s="4" t="str">
        <f>IFERROR(__xludf.DUMMYFUNCTION("""COMPUTED_VALUE"""),"Separador Negro carril-bici 1 mt x 15 cm ancho x 5 cm alto")</f>
        <v>Separador Negro carril-bici 1 mt x 15 cm ancho x 5 cm alto</v>
      </c>
      <c r="C1368" s="4">
        <f>IFERROR(__xludf.DUMMYFUNCTION("""COMPUTED_VALUE"""),17.28)</f>
        <v>17.28</v>
      </c>
    </row>
    <row r="1369">
      <c r="A1369" s="4" t="str">
        <f>IFERROR(__xludf.DUMMYFUNCTION("""COMPUTED_VALUE"""),"1913/R")</f>
        <v>1913/R</v>
      </c>
      <c r="B1369" s="4" t="str">
        <f>IFERROR(__xludf.DUMMYFUNCTION("""COMPUTED_VALUE"""),"Separador Rojo carril-bici 1 mt x 15 cm ancho x 5 cm alto")</f>
        <v>Separador Rojo carril-bici 1 mt x 15 cm ancho x 5 cm alto</v>
      </c>
      <c r="C1369" s="4">
        <f>IFERROR(__xludf.DUMMYFUNCTION("""COMPUTED_VALUE"""),17.28)</f>
        <v>17.28</v>
      </c>
    </row>
    <row r="1370">
      <c r="A1370" s="4" t="str">
        <f>IFERROR(__xludf.DUMMYFUNCTION("""COMPUTED_VALUE"""),"1914")</f>
        <v>1914</v>
      </c>
      <c r="B1370" s="4" t="str">
        <f>IFERROR(__xludf.DUMMYFUNCTION("""COMPUTED_VALUE"""),"Separador carril-bici 77,5 x 16,6 x 9 cm CVT")</f>
        <v>Separador carril-bici 77,5 x 16,6 x 9 cm CVT</v>
      </c>
      <c r="C1370" s="4">
        <f>IFERROR(__xludf.DUMMYFUNCTION("""COMPUTED_VALUE"""),14.016)</f>
        <v>14.016</v>
      </c>
    </row>
    <row r="1371">
      <c r="A1371" s="4" t="str">
        <f>IFERROR(__xludf.DUMMYFUNCTION("""COMPUTED_VALUE"""),"1915")</f>
        <v>1915</v>
      </c>
      <c r="B1371" s="4" t="str">
        <f>IFERROR(__xludf.DUMMYFUNCTION("""COMPUTED_VALUE"""),"Valla extensible PVC 2,50 metros N/A")</f>
        <v>Valla extensible PVC 2,50 metros N/A</v>
      </c>
      <c r="C1371" s="4">
        <f>IFERROR(__xludf.DUMMYFUNCTION("""COMPUTED_VALUE"""),63.36)</f>
        <v>63.36</v>
      </c>
    </row>
    <row r="1372">
      <c r="A1372" s="4" t="str">
        <f>IFERROR(__xludf.DUMMYFUNCTION("""COMPUTED_VALUE"""),"1915/R")</f>
        <v>1915/R</v>
      </c>
      <c r="B1372" s="4" t="str">
        <f>IFERROR(__xludf.DUMMYFUNCTION("""COMPUTED_VALUE"""),"Valla extensible PVC R/B")</f>
        <v>Valla extensible PVC R/B</v>
      </c>
      <c r="C1372" s="4">
        <f>IFERROR(__xludf.DUMMYFUNCTION("""COMPUTED_VALUE"""),75.93599999999999)</f>
        <v>75.936</v>
      </c>
    </row>
    <row r="1373">
      <c r="A1373" s="4" t="str">
        <f>IFERROR(__xludf.DUMMYFUNCTION("""COMPUTED_VALUE"""),"1915M")</f>
        <v>1915M</v>
      </c>
      <c r="B1373" s="4" t="str">
        <f>IFERROR(__xludf.DUMMYFUNCTION("""COMPUTED_VALUE"""),"Utility Barrier 4 pts. 750 mm")</f>
        <v>Utility Barrier 4 pts. 750 mm</v>
      </c>
      <c r="C1373" s="4">
        <f>IFERROR(__xludf.DUMMYFUNCTION("""COMPUTED_VALUE"""),105.6)</f>
        <v>105.6</v>
      </c>
    </row>
    <row r="1374">
      <c r="A1374" s="4" t="str">
        <f>IFERROR(__xludf.DUMMYFUNCTION("""COMPUTED_VALUE"""),"1916")</f>
        <v>1916</v>
      </c>
      <c r="B1374" s="4" t="str">
        <f>IFERROR(__xludf.DUMMYFUNCTION("""COMPUTED_VALUE"""),"Reductor velocidad 50x50x4,5 MOD C")</f>
        <v>Reductor velocidad 50x50x4,5 MOD C</v>
      </c>
      <c r="C1374" s="4">
        <f>IFERROR(__xludf.DUMMYFUNCTION("""COMPUTED_VALUE"""),18.671999999999997)</f>
        <v>18.672</v>
      </c>
    </row>
    <row r="1375">
      <c r="A1375" s="4" t="str">
        <f>IFERROR(__xludf.DUMMYFUNCTION("""COMPUTED_VALUE"""),"1917")</f>
        <v>1917</v>
      </c>
      <c r="B1375" s="4" t="str">
        <f>IFERROR(__xludf.DUMMYFUNCTION("""COMPUTED_VALUE"""),"Extremo reductor velocidad 50x25x4,5 MOD C")</f>
        <v>Extremo reductor velocidad 50x25x4,5 MOD C</v>
      </c>
      <c r="C1375" s="4">
        <f>IFERROR(__xludf.DUMMYFUNCTION("""COMPUTED_VALUE"""),11.76)</f>
        <v>11.76</v>
      </c>
    </row>
    <row r="1376">
      <c r="A1376" s="4" t="str">
        <f>IFERROR(__xludf.DUMMYFUNCTION("""COMPUTED_VALUE"""),"1919")</f>
        <v>1919</v>
      </c>
      <c r="B1376" s="4" t="str">
        <f>IFERROR(__xludf.DUMMYFUNCTION("""COMPUTED_VALUE"""),"Valla alcantarillado 4 ptas Plastico Naranja")</f>
        <v>Valla alcantarillado 4 ptas Plastico Naranja</v>
      </c>
      <c r="C1376" s="4">
        <f>IFERROR(__xludf.DUMMYFUNCTION("""COMPUTED_VALUE"""),95.52)</f>
        <v>95.52</v>
      </c>
    </row>
    <row r="1377">
      <c r="A1377" s="4" t="str">
        <f>IFERROR(__xludf.DUMMYFUNCTION("""COMPUTED_VALUE"""),"1924A")</f>
        <v>1924A</v>
      </c>
      <c r="B1377" s="4" t="str">
        <f>IFERROR(__xludf.DUMMYFUNCTION("""COMPUTED_VALUE"""),"Valla señal. Gate Barrier 2 mtros Amarilla")</f>
        <v>Valla señal. Gate Barrier 2 mtros Amarilla</v>
      </c>
      <c r="C1377" s="4">
        <f>IFERROR(__xludf.DUMMYFUNCTION("""COMPUTED_VALUE"""),53.76)</f>
        <v>53.76</v>
      </c>
    </row>
    <row r="1378">
      <c r="A1378" s="4" t="str">
        <f>IFERROR(__xludf.DUMMYFUNCTION("""COMPUTED_VALUE"""),"1924B")</f>
        <v>1924B</v>
      </c>
      <c r="B1378" s="4" t="str">
        <f>IFERROR(__xludf.DUMMYFUNCTION("""COMPUTED_VALUE"""),"Valla señal. Gate Barrier 2 mtros Blanco")</f>
        <v>Valla señal. Gate Barrier 2 mtros Blanco</v>
      </c>
      <c r="C1378" s="4">
        <f>IFERROR(__xludf.DUMMYFUNCTION("""COMPUTED_VALUE"""),53.76)</f>
        <v>53.76</v>
      </c>
    </row>
    <row r="1379">
      <c r="A1379" s="4" t="str">
        <f>IFERROR(__xludf.DUMMYFUNCTION("""COMPUTED_VALUE"""),"1924N")</f>
        <v>1924N</v>
      </c>
      <c r="B1379" s="4" t="str">
        <f>IFERROR(__xludf.DUMMYFUNCTION("""COMPUTED_VALUE"""),"Valla señal. Gate Barrier 2 mtros Naranja")</f>
        <v>Valla señal. Gate Barrier 2 mtros Naranja</v>
      </c>
      <c r="C1379" s="4">
        <f>IFERROR(__xludf.DUMMYFUNCTION("""COMPUTED_VALUE"""),53.76)</f>
        <v>53.76</v>
      </c>
    </row>
    <row r="1380">
      <c r="A1380" s="4" t="str">
        <f>IFERROR(__xludf.DUMMYFUNCTION("""COMPUTED_VALUE"""),"1924R")</f>
        <v>1924R</v>
      </c>
      <c r="B1380" s="4" t="str">
        <f>IFERROR(__xludf.DUMMYFUNCTION("""COMPUTED_VALUE"""),"Valla Señal. Gate Barrier 2 mtros. Roja")</f>
        <v>Valla Señal. Gate Barrier 2 mtros. Roja</v>
      </c>
      <c r="C1380" s="4">
        <f>IFERROR(__xludf.DUMMYFUNCTION("""COMPUTED_VALUE"""),53.76)</f>
        <v>53.76</v>
      </c>
    </row>
    <row r="1381">
      <c r="A1381" s="4" t="str">
        <f>IFERROR(__xludf.DUMMYFUNCTION("""COMPUTED_VALUE"""),"1924V")</f>
        <v>1924V</v>
      </c>
      <c r="B1381" s="4" t="str">
        <f>IFERROR(__xludf.DUMMYFUNCTION("""COMPUTED_VALUE"""),"Valla señal. Gate Barrier 2 mtros Verde")</f>
        <v>Valla señal. Gate Barrier 2 mtros Verde</v>
      </c>
      <c r="C1381" s="4">
        <f>IFERROR(__xludf.DUMMYFUNCTION("""COMPUTED_VALUE"""),53.76)</f>
        <v>53.76</v>
      </c>
    </row>
    <row r="1382">
      <c r="A1382" s="4" t="str">
        <f>IFERROR(__xludf.DUMMYFUNCTION("""COMPUTED_VALUE"""),"1924Z")</f>
        <v>1924Z</v>
      </c>
      <c r="B1382" s="4" t="str">
        <f>IFERROR(__xludf.DUMMYFUNCTION("""COMPUTED_VALUE"""),"Valla señal. Gate Barrier 2 mtros Azul")</f>
        <v>Valla señal. Gate Barrier 2 mtros Azul</v>
      </c>
      <c r="C1382" s="4">
        <f>IFERROR(__xludf.DUMMYFUNCTION("""COMPUTED_VALUE"""),53.76)</f>
        <v>53.76</v>
      </c>
    </row>
    <row r="1383">
      <c r="A1383" s="4" t="str">
        <f>IFERROR(__xludf.DUMMYFUNCTION("""COMPUTED_VALUE"""),"1925")</f>
        <v>1925</v>
      </c>
      <c r="B1383" s="4" t="str">
        <f>IFERROR(__xludf.DUMMYFUNCTION("""COMPUTED_VALUE"""),"Placa salva-zanjas 120x80 Mod. Basic")</f>
        <v>Placa salva-zanjas 120x80 Mod. Basic</v>
      </c>
      <c r="C1383" s="4">
        <f>IFERROR(__xludf.DUMMYFUNCTION("""COMPUTED_VALUE"""),75.84)</f>
        <v>75.84</v>
      </c>
    </row>
    <row r="1384">
      <c r="A1384" s="4" t="str">
        <f>IFERROR(__xludf.DUMMYFUNCTION("""COMPUTED_VALUE"""),"1925B")</f>
        <v>1925B</v>
      </c>
      <c r="B1384" s="4" t="str">
        <f>IFERROR(__xludf.DUMMYFUNCTION("""COMPUTED_VALUE"""),"Placa salva-zanjas 120 x 80 antideslizante")</f>
        <v>Placa salva-zanjas 120 x 80 antideslizante</v>
      </c>
      <c r="C1384" s="4">
        <f>IFERROR(__xludf.DUMMYFUNCTION("""COMPUTED_VALUE"""),80.64)</f>
        <v>80.64</v>
      </c>
    </row>
    <row r="1385">
      <c r="A1385" s="4" t="str">
        <f>IFERROR(__xludf.DUMMYFUNCTION("""COMPUTED_VALUE"""),"1925C")</f>
        <v>1925C</v>
      </c>
      <c r="B1385" s="4" t="str">
        <f>IFERROR(__xludf.DUMMYFUNCTION("""COMPUTED_VALUE"""),"Placa salva-zanjas 120x160 antideslizante")</f>
        <v>Placa salva-zanjas 120x160 antideslizante</v>
      </c>
      <c r="C1385" s="4">
        <f>IFERROR(__xludf.DUMMYFUNCTION("""COMPUTED_VALUE"""),191.04)</f>
        <v>191.04</v>
      </c>
    </row>
    <row r="1386">
      <c r="A1386" s="4" t="str">
        <f>IFERROR(__xludf.DUMMYFUNCTION("""COMPUTED_VALUE"""),"1927A")</f>
        <v>1927A</v>
      </c>
      <c r="B1386" s="4" t="str">
        <f>IFERROR(__xludf.DUMMYFUNCTION("""COMPUTED_VALUE"""),"Valla señal. Gate Barrier 1 mt. Amarilla publicitaria")</f>
        <v>Valla señal. Gate Barrier 1 mt. Amarilla publicitaria</v>
      </c>
      <c r="C1386" s="4">
        <f>IFERROR(__xludf.DUMMYFUNCTION("""COMPUTED_VALUE"""),36.0)</f>
        <v>36</v>
      </c>
    </row>
    <row r="1387">
      <c r="A1387" s="4" t="str">
        <f>IFERROR(__xludf.DUMMYFUNCTION("""COMPUTED_VALUE"""),"1927B")</f>
        <v>1927B</v>
      </c>
      <c r="B1387" s="4" t="str">
        <f>IFERROR(__xludf.DUMMYFUNCTION("""COMPUTED_VALUE"""),"Valla señal. Gate Barrier 1 mt. Blanca publicitaria")</f>
        <v>Valla señal. Gate Barrier 1 mt. Blanca publicitaria</v>
      </c>
      <c r="C1387" s="4">
        <f>IFERROR(__xludf.DUMMYFUNCTION("""COMPUTED_VALUE"""),36.0)</f>
        <v>36</v>
      </c>
    </row>
    <row r="1388">
      <c r="A1388" s="4" t="str">
        <f>IFERROR(__xludf.DUMMYFUNCTION("""COMPUTED_VALUE"""),"1927N")</f>
        <v>1927N</v>
      </c>
      <c r="B1388" s="4" t="str">
        <f>IFERROR(__xludf.DUMMYFUNCTION("""COMPUTED_VALUE"""),"Valla señal. Gate Barrier 1 mt. Naranja publicitaria")</f>
        <v>Valla señal. Gate Barrier 1 mt. Naranja publicitaria</v>
      </c>
      <c r="C1388" s="4">
        <f>IFERROR(__xludf.DUMMYFUNCTION("""COMPUTED_VALUE"""),36.0)</f>
        <v>36</v>
      </c>
    </row>
    <row r="1389">
      <c r="A1389" s="4" t="str">
        <f>IFERROR(__xludf.DUMMYFUNCTION("""COMPUTED_VALUE"""),"1927Z")</f>
        <v>1927Z</v>
      </c>
      <c r="B1389" s="4" t="str">
        <f>IFERROR(__xludf.DUMMYFUNCTION("""COMPUTED_VALUE"""),"Valla señal. Gate Barrier 1 mt. Azul publicitaria")</f>
        <v>Valla señal. Gate Barrier 1 mt. Azul publicitaria</v>
      </c>
      <c r="C1389" s="4">
        <f>IFERROR(__xludf.DUMMYFUNCTION("""COMPUTED_VALUE"""),36.0)</f>
        <v>36</v>
      </c>
    </row>
    <row r="1390">
      <c r="A1390" s="4" t="str">
        <f>IFERROR(__xludf.DUMMYFUNCTION("""COMPUTED_VALUE"""),"1928A")</f>
        <v>1928A</v>
      </c>
      <c r="B1390" s="4" t="str">
        <f>IFERROR(__xludf.DUMMYFUNCTION("""COMPUTED_VALUE"""),"Valla GateBarrier Slim 2x1 Amarilla")</f>
        <v>Valla GateBarrier Slim 2x1 Amarilla</v>
      </c>
      <c r="C1390" s="4">
        <f>IFERROR(__xludf.DUMMYFUNCTION("""COMPUTED_VALUE"""),51.839999999999996)</f>
        <v>51.84</v>
      </c>
    </row>
    <row r="1391">
      <c r="A1391" s="4" t="str">
        <f>IFERROR(__xludf.DUMMYFUNCTION("""COMPUTED_VALUE"""),"1929A")</f>
        <v>1929A</v>
      </c>
      <c r="B1391" s="4" t="str">
        <f>IFERROR(__xludf.DUMMYFUNCTION("""COMPUTED_VALUE"""),"Valla 1 mt Gate barrier amarilla")</f>
        <v>Valla 1 mt Gate barrier amarilla</v>
      </c>
      <c r="C1391" s="4">
        <f>IFERROR(__xludf.DUMMYFUNCTION("""COMPUTED_VALUE"""),39.36)</f>
        <v>39.36</v>
      </c>
    </row>
    <row r="1392">
      <c r="A1392" s="4" t="str">
        <f>IFERROR(__xludf.DUMMYFUNCTION("""COMPUTED_VALUE"""),"1929B")</f>
        <v>1929B</v>
      </c>
      <c r="B1392" s="4" t="str">
        <f>IFERROR(__xludf.DUMMYFUNCTION("""COMPUTED_VALUE"""),"Valla 1 mt Gate Barrier Blanca")</f>
        <v>Valla 1 mt Gate Barrier Blanca</v>
      </c>
      <c r="C1392" s="4">
        <f>IFERROR(__xludf.DUMMYFUNCTION("""COMPUTED_VALUE"""),39.36)</f>
        <v>39.36</v>
      </c>
    </row>
    <row r="1393">
      <c r="A1393" s="4" t="str">
        <f>IFERROR(__xludf.DUMMYFUNCTION("""COMPUTED_VALUE"""),"1929N")</f>
        <v>1929N</v>
      </c>
      <c r="B1393" s="4" t="str">
        <f>IFERROR(__xludf.DUMMYFUNCTION("""COMPUTED_VALUE"""),"Valla 1 mt Gate barrier Naranja")</f>
        <v>Valla 1 mt Gate barrier Naranja</v>
      </c>
      <c r="C1393" s="4">
        <f>IFERROR(__xludf.DUMMYFUNCTION("""COMPUTED_VALUE"""),39.36)</f>
        <v>39.36</v>
      </c>
    </row>
    <row r="1394">
      <c r="A1394" s="4" t="str">
        <f>IFERROR(__xludf.DUMMYFUNCTION("""COMPUTED_VALUE"""),"1929Z")</f>
        <v>1929Z</v>
      </c>
      <c r="B1394" s="4" t="str">
        <f>IFERROR(__xludf.DUMMYFUNCTION("""COMPUTED_VALUE"""),"Valla 1 mt Gate barrier azul")</f>
        <v>Valla 1 mt Gate barrier azul</v>
      </c>
      <c r="C1394" s="4">
        <f>IFERROR(__xludf.DUMMYFUNCTION("""COMPUTED_VALUE"""),39.36)</f>
        <v>39.36</v>
      </c>
    </row>
    <row r="1395">
      <c r="A1395" s="4" t="str">
        <f>IFERROR(__xludf.DUMMYFUNCTION("""COMPUTED_VALUE"""),"1931")</f>
        <v>1931</v>
      </c>
      <c r="B1395" s="4" t="str">
        <f>IFERROR(__xludf.DUMMYFUNCTION("""COMPUTED_VALUE"""),"Reductor Velocidad 50x44x5 cm Mod. D negro")</f>
        <v>Reductor Velocidad 50x44x5 cm Mod. D negro</v>
      </c>
      <c r="C1395" s="4">
        <f>IFERROR(__xludf.DUMMYFUNCTION("""COMPUTED_VALUE"""),23.279999999999998)</f>
        <v>23.28</v>
      </c>
    </row>
    <row r="1396">
      <c r="A1396" s="4" t="str">
        <f>IFERROR(__xludf.DUMMYFUNCTION("""COMPUTED_VALUE"""),"1932")</f>
        <v>1932</v>
      </c>
      <c r="B1396" s="4" t="str">
        <f>IFERROR(__xludf.DUMMYFUNCTION("""COMPUTED_VALUE"""),"Reductor Velocidad 50x44X5cm Mod. D Amarillo")</f>
        <v>Reductor Velocidad 50x44X5cm Mod. D Amarillo</v>
      </c>
      <c r="C1396" s="4">
        <f>IFERROR(__xludf.DUMMYFUNCTION("""COMPUTED_VALUE"""),23.279999999999998)</f>
        <v>23.28</v>
      </c>
    </row>
    <row r="1397">
      <c r="A1397" s="4" t="str">
        <f>IFERROR(__xludf.DUMMYFUNCTION("""COMPUTED_VALUE"""),"1933")</f>
        <v>1933</v>
      </c>
      <c r="B1397" s="4" t="str">
        <f>IFERROR(__xludf.DUMMYFUNCTION("""COMPUTED_VALUE"""),"Extremo reductor velocidad 21x42.5x5 cm Mod. D Negro")</f>
        <v>Extremo reductor velocidad 21x42.5x5 cm Mod. D Negro</v>
      </c>
      <c r="C1397" s="4">
        <f>IFERROR(__xludf.DUMMYFUNCTION("""COMPUTED_VALUE"""),15.6)</f>
        <v>15.6</v>
      </c>
    </row>
    <row r="1398">
      <c r="A1398" s="4" t="str">
        <f>IFERROR(__xludf.DUMMYFUNCTION("""COMPUTED_VALUE"""),"1934")</f>
        <v>1934</v>
      </c>
      <c r="B1398" s="4" t="str">
        <f>IFERROR(__xludf.DUMMYFUNCTION("""COMPUTED_VALUE"""),"Extremo reductor velocidad 21x42.5x5 cm Mod. D Amarillo")</f>
        <v>Extremo reductor velocidad 21x42.5x5 cm Mod. D Amarillo</v>
      </c>
      <c r="C1398" s="4">
        <f>IFERROR(__xludf.DUMMYFUNCTION("""COMPUTED_VALUE"""),15.6)</f>
        <v>15.6</v>
      </c>
    </row>
    <row r="1399">
      <c r="A1399" s="4" t="str">
        <f>IFERROR(__xludf.DUMMYFUNCTION("""COMPUTED_VALUE"""),"1937")</f>
        <v>1937</v>
      </c>
      <c r="B1399" s="4" t="str">
        <f>IFERROR(__xludf.DUMMYFUNCTION("""COMPUTED_VALUE"""),"Valla Señal. Olimpic Barrier 2 m Naranja")</f>
        <v>Valla Señal. Olimpic Barrier 2 m Naranja</v>
      </c>
      <c r="C1399" s="4">
        <f>IFERROR(__xludf.DUMMYFUNCTION("""COMPUTED_VALUE"""),69.6)</f>
        <v>69.6</v>
      </c>
    </row>
    <row r="1400">
      <c r="A1400" s="4" t="str">
        <f>IFERROR(__xludf.DUMMYFUNCTION("""COMPUTED_VALUE"""),"1938")</f>
        <v>1938</v>
      </c>
      <c r="B1400" s="4" t="str">
        <f>IFERROR(__xludf.DUMMYFUNCTION("""COMPUTED_VALUE"""),"Valla Señal. Wonderwall Naranja COMPLETO 1000x1140x500")</f>
        <v>Valla Señal. Wonderwall Naranja COMPLETO 1000x1140x500</v>
      </c>
      <c r="C1400" s="4">
        <f>IFERROR(__xludf.DUMMYFUNCTION("""COMPUTED_VALUE"""),71.03999999999999)</f>
        <v>71.04</v>
      </c>
    </row>
    <row r="1401">
      <c r="A1401" s="4" t="str">
        <f>IFERROR(__xludf.DUMMYFUNCTION("""COMPUTED_VALUE"""),"1938B")</f>
        <v>1938B</v>
      </c>
      <c r="B1401" s="4" t="str">
        <f>IFERROR(__xludf.DUMMYFUNCTION("""COMPUTED_VALUE"""),"Valla Señal. Wonderwall Naranja BASE")</f>
        <v>Valla Señal. Wonderwall Naranja BASE</v>
      </c>
      <c r="C1401" s="4">
        <f>IFERROR(__xludf.DUMMYFUNCTION("""COMPUTED_VALUE"""),21.599999999999998)</f>
        <v>21.6</v>
      </c>
    </row>
    <row r="1402">
      <c r="A1402" s="4" t="str">
        <f>IFERROR(__xludf.DUMMYFUNCTION("""COMPUTED_VALUE"""),"1938T")</f>
        <v>1938T</v>
      </c>
      <c r="B1402" s="4" t="str">
        <f>IFERROR(__xludf.DUMMYFUNCTION("""COMPUTED_VALUE"""),"Valla Señal. Wonderwall Naranja TOP")</f>
        <v>Valla Señal. Wonderwall Naranja TOP</v>
      </c>
      <c r="C1402" s="4">
        <f>IFERROR(__xludf.DUMMYFUNCTION("""COMPUTED_VALUE"""),47.04)</f>
        <v>47.04</v>
      </c>
    </row>
    <row r="1403">
      <c r="A1403" s="4" t="str">
        <f>IFERROR(__xludf.DUMMYFUNCTION("""COMPUTED_VALUE"""),"1939B")</f>
        <v>1939B</v>
      </c>
      <c r="B1403" s="4" t="str">
        <f>IFERROR(__xludf.DUMMYFUNCTION("""COMPUTED_VALUE"""),"Barrera mediana Budda Barrier 800x1040x280 Blanca")</f>
        <v>Barrera mediana Budda Barrier 800x1040x280 Blanca</v>
      </c>
      <c r="C1403" s="4">
        <f>IFERROR(__xludf.DUMMYFUNCTION("""COMPUTED_VALUE"""),53.76)</f>
        <v>53.76</v>
      </c>
    </row>
    <row r="1404">
      <c r="A1404" s="4" t="str">
        <f>IFERROR(__xludf.DUMMYFUNCTION("""COMPUTED_VALUE"""),"1939R")</f>
        <v>1939R</v>
      </c>
      <c r="B1404" s="4" t="str">
        <f>IFERROR(__xludf.DUMMYFUNCTION("""COMPUTED_VALUE"""),"Barrera mediana Budda Barrier 800x1040x280 Roja")</f>
        <v>Barrera mediana Budda Barrier 800x1040x280 Roja</v>
      </c>
      <c r="C1404" s="4">
        <f>IFERROR(__xludf.DUMMYFUNCTION("""COMPUTED_VALUE"""),53.76)</f>
        <v>53.76</v>
      </c>
    </row>
    <row r="1405">
      <c r="A1405" s="4" t="str">
        <f>IFERROR(__xludf.DUMMYFUNCTION("""COMPUTED_VALUE"""),"1940B")</f>
        <v>1940B</v>
      </c>
      <c r="B1405" s="4" t="str">
        <f>IFERROR(__xludf.DUMMYFUNCTION("""COMPUTED_VALUE"""),"Mini Double top Valla 1115x535 mm blanca")</f>
        <v>Mini Double top Valla 1115x535 mm blanca</v>
      </c>
      <c r="C1405" s="4">
        <f>IFERROR(__xludf.DUMMYFUNCTION("""COMPUTED_VALUE"""),42.239999999999995)</f>
        <v>42.24</v>
      </c>
    </row>
    <row r="1406">
      <c r="A1406" s="4" t="str">
        <f>IFERROR(__xludf.DUMMYFUNCTION("""COMPUTED_VALUE"""),"1940R")</f>
        <v>1940R</v>
      </c>
      <c r="B1406" s="4" t="str">
        <f>IFERROR(__xludf.DUMMYFUNCTION("""COMPUTED_VALUE"""),"Mini Double top Valla 1115x535 mm roja")</f>
        <v>Mini Double top Valla 1115x535 mm roja</v>
      </c>
      <c r="C1406" s="4">
        <f>IFERROR(__xludf.DUMMYFUNCTION("""COMPUTED_VALUE"""),42.239999999999995)</f>
        <v>42.24</v>
      </c>
    </row>
    <row r="1407">
      <c r="A1407" s="4" t="str">
        <f>IFERROR(__xludf.DUMMYFUNCTION("""COMPUTED_VALUE"""),"1941B")</f>
        <v>1941B</v>
      </c>
      <c r="B1407" s="4" t="str">
        <f>IFERROR(__xludf.DUMMYFUNCTION("""COMPUTED_VALUE"""),"Double top Valla 1115x1000 mm blanca")</f>
        <v>Double top Valla 1115x1000 mm blanca</v>
      </c>
      <c r="C1407" s="4">
        <f>IFERROR(__xludf.DUMMYFUNCTION("""COMPUTED_VALUE"""),45.12)</f>
        <v>45.12</v>
      </c>
    </row>
    <row r="1408">
      <c r="A1408" s="4" t="str">
        <f>IFERROR(__xludf.DUMMYFUNCTION("""COMPUTED_VALUE"""),"1941R")</f>
        <v>1941R</v>
      </c>
      <c r="B1408" s="4" t="str">
        <f>IFERROR(__xludf.DUMMYFUNCTION("""COMPUTED_VALUE"""),"Double top Valla 1115x1000 mm roja")</f>
        <v>Double top Valla 1115x1000 mm roja</v>
      </c>
      <c r="C1408" s="4">
        <f>IFERROR(__xludf.DUMMYFUNCTION("""COMPUTED_VALUE"""),45.12)</f>
        <v>45.12</v>
      </c>
    </row>
    <row r="1409">
      <c r="A1409" s="4" t="str">
        <f>IFERROR(__xludf.DUMMYFUNCTION("""COMPUTED_VALUE"""),"1942A")</f>
        <v>1942A</v>
      </c>
      <c r="B1409" s="4" t="str">
        <f>IFERROR(__xludf.DUMMYFUNCTION("""COMPUTED_VALUE"""),"Valla señal.Slim Gate Barrier 2 mtros Amarilla")</f>
        <v>Valla señal.Slim Gate Barrier 2 mtros Amarilla</v>
      </c>
      <c r="C1409" s="4">
        <f>IFERROR(__xludf.DUMMYFUNCTION("""COMPUTED_VALUE"""),50.879999999999995)</f>
        <v>50.88</v>
      </c>
    </row>
    <row r="1410">
      <c r="A1410" s="4" t="str">
        <f>IFERROR(__xludf.DUMMYFUNCTION("""COMPUTED_VALUE"""),"1942B")</f>
        <v>1942B</v>
      </c>
      <c r="B1410" s="4" t="str">
        <f>IFERROR(__xludf.DUMMYFUNCTION("""COMPUTED_VALUE"""),"Valla señal.Slim Gate Barrier 2 mtros Blanco")</f>
        <v>Valla señal.Slim Gate Barrier 2 mtros Blanco</v>
      </c>
      <c r="C1410" s="4">
        <f>IFERROR(__xludf.DUMMYFUNCTION("""COMPUTED_VALUE"""),50.879999999999995)</f>
        <v>50.88</v>
      </c>
    </row>
    <row r="1411">
      <c r="A1411" s="4" t="str">
        <f>IFERROR(__xludf.DUMMYFUNCTION("""COMPUTED_VALUE"""),"1942N")</f>
        <v>1942N</v>
      </c>
      <c r="B1411" s="4" t="str">
        <f>IFERROR(__xludf.DUMMYFUNCTION("""COMPUTED_VALUE"""),"Valla señal.Slim Gate Barrier 2 mtros Naranja")</f>
        <v>Valla señal.Slim Gate Barrier 2 mtros Naranja</v>
      </c>
      <c r="C1411" s="4">
        <f>IFERROR(__xludf.DUMMYFUNCTION("""COMPUTED_VALUE"""),50.879999999999995)</f>
        <v>50.88</v>
      </c>
    </row>
    <row r="1412">
      <c r="A1412" s="4" t="str">
        <f>IFERROR(__xludf.DUMMYFUNCTION("""COMPUTED_VALUE"""),"1942Z")</f>
        <v>1942Z</v>
      </c>
      <c r="B1412" s="4" t="str">
        <f>IFERROR(__xludf.DUMMYFUNCTION("""COMPUTED_VALUE"""),"Valla señal.Slim Gate Barrier 2 mtros Azul")</f>
        <v>Valla señal.Slim Gate Barrier 2 mtros Azul</v>
      </c>
      <c r="C1412" s="4">
        <f>IFERROR(__xludf.DUMMYFUNCTION("""COMPUTED_VALUE"""),50.879999999999995)</f>
        <v>50.88</v>
      </c>
    </row>
    <row r="1413">
      <c r="A1413" s="4" t="str">
        <f>IFERROR(__xludf.DUMMYFUNCTION("""COMPUTED_VALUE"""),"2025")</f>
        <v>2025</v>
      </c>
      <c r="B1413" s="4" t="str">
        <f>IFERROR(__xludf.DUMMYFUNCTION("""COMPUTED_VALUE"""),"Desinfectante fungicida-bactericida 5 litros")</f>
        <v>Desinfectante fungicida-bactericida 5 litros</v>
      </c>
      <c r="C1413" s="4">
        <f>IFERROR(__xludf.DUMMYFUNCTION("""COMPUTED_VALUE"""),19.151999999999997)</f>
        <v>19.152</v>
      </c>
    </row>
    <row r="1414">
      <c r="A1414" s="4" t="str">
        <f>IFERROR(__xludf.DUMMYFUNCTION("""COMPUTED_VALUE"""),"2031")</f>
        <v>2031</v>
      </c>
      <c r="B1414" s="4" t="str">
        <f>IFERROR(__xludf.DUMMYFUNCTION("""COMPUTED_VALUE"""),"Tiralíneas grande Rolycord GM 100m x 1.5mm")</f>
        <v>Tiralíneas grande Rolycord GM 100m x 1.5mm</v>
      </c>
      <c r="C1414" s="4">
        <f>IFERROR(__xludf.DUMMYFUNCTION("""COMPUTED_VALUE"""),8.64)</f>
        <v>8.64</v>
      </c>
    </row>
    <row r="1415">
      <c r="A1415" s="4" t="str">
        <f>IFERROR(__xludf.DUMMYFUNCTION("""COMPUTED_VALUE"""),"2032")</f>
        <v>2032</v>
      </c>
      <c r="B1415" s="4" t="str">
        <f>IFERROR(__xludf.DUMMYFUNCTION("""COMPUTED_VALUE"""),"Tiralíneas Pequeño Rolycord 60m x 2 mmº")</f>
        <v>Tiralíneas Pequeño Rolycord 60m x 2 mmº</v>
      </c>
      <c r="C1415" s="4">
        <f>IFERROR(__xludf.DUMMYFUNCTION("""COMPUTED_VALUE"""),7.68)</f>
        <v>7.68</v>
      </c>
    </row>
    <row r="1416">
      <c r="A1416" s="4" t="str">
        <f>IFERROR(__xludf.DUMMYFUNCTION("""COMPUTED_VALUE"""),"2033")</f>
        <v>2033</v>
      </c>
      <c r="B1416" s="4" t="str">
        <f>IFERROR(__xludf.DUMMYFUNCTION("""COMPUTED_VALUE"""),"Lápiz bicolor Dúo Marker Rojo/azul (Display 100 uds)")</f>
        <v>Lápiz bicolor Dúo Marker Rojo/azul (Display 100 uds)</v>
      </c>
      <c r="C1416" s="4">
        <f>IFERROR(__xludf.DUMMYFUNCTION("""COMPUTED_VALUE"""),39.36)</f>
        <v>39.36</v>
      </c>
    </row>
    <row r="1417">
      <c r="A1417" s="4" t="str">
        <f>IFERROR(__xludf.DUMMYFUNCTION("""COMPUTED_VALUE"""),"2034A")</f>
        <v>2034A</v>
      </c>
      <c r="B1417" s="4" t="str">
        <f>IFERROR(__xludf.DUMMYFUNCTION("""COMPUTED_VALUE"""),"Tiza hexagonal 120 x12 mm Amarillo (12 uds)")</f>
        <v>Tiza hexagonal 120 x12 mm Amarillo (12 uds)</v>
      </c>
      <c r="C1417" s="4">
        <f>IFERROR(__xludf.DUMMYFUNCTION("""COMPUTED_VALUE"""),4.752)</f>
        <v>4.752</v>
      </c>
    </row>
    <row r="1418">
      <c r="A1418" s="4" t="str">
        <f>IFERROR(__xludf.DUMMYFUNCTION("""COMPUTED_VALUE"""),"2034B")</f>
        <v>2034B</v>
      </c>
      <c r="B1418" s="4" t="str">
        <f>IFERROR(__xludf.DUMMYFUNCTION("""COMPUTED_VALUE"""),"Tiza hexagonal 120 x12 mm blanco (12 uds)")</f>
        <v>Tiza hexagonal 120 x12 mm blanco (12 uds)</v>
      </c>
      <c r="C1418" s="4">
        <f>IFERROR(__xludf.DUMMYFUNCTION("""COMPUTED_VALUE"""),4.752)</f>
        <v>4.752</v>
      </c>
    </row>
    <row r="1419">
      <c r="A1419" s="4" t="str">
        <f>IFERROR(__xludf.DUMMYFUNCTION("""COMPUTED_VALUE"""),"2034N")</f>
        <v>2034N</v>
      </c>
      <c r="B1419" s="4" t="str">
        <f>IFERROR(__xludf.DUMMYFUNCTION("""COMPUTED_VALUE"""),"Tiza hexagonal 120 x12 mm Negro (12 uds)")</f>
        <v>Tiza hexagonal 120 x12 mm Negro (12 uds)</v>
      </c>
      <c r="C1419" s="4">
        <f>IFERROR(__xludf.DUMMYFUNCTION("""COMPUTED_VALUE"""),4.752)</f>
        <v>4.752</v>
      </c>
    </row>
    <row r="1420">
      <c r="A1420" s="4" t="str">
        <f>IFERROR(__xludf.DUMMYFUNCTION("""COMPUTED_VALUE"""),"2034R")</f>
        <v>2034R</v>
      </c>
      <c r="B1420" s="4" t="str">
        <f>IFERROR(__xludf.DUMMYFUNCTION("""COMPUTED_VALUE"""),"Tiza hexagonal 120 x12 mm Rojo (12 uds)")</f>
        <v>Tiza hexagonal 120 x12 mm Rojo (12 uds)</v>
      </c>
      <c r="C1420" s="4">
        <f>IFERROR(__xludf.DUMMYFUNCTION("""COMPUTED_VALUE"""),4.752)</f>
        <v>4.752</v>
      </c>
    </row>
    <row r="1421">
      <c r="A1421" s="4" t="str">
        <f>IFERROR(__xludf.DUMMYFUNCTION("""COMPUTED_VALUE"""),"2034V")</f>
        <v>2034V</v>
      </c>
      <c r="B1421" s="4" t="str">
        <f>IFERROR(__xludf.DUMMYFUNCTION("""COMPUTED_VALUE"""),"Tiza hexagonal 120 x12 mm Verde (12 uds)")</f>
        <v>Tiza hexagonal 120 x12 mm Verde (12 uds)</v>
      </c>
      <c r="C1421" s="4">
        <f>IFERROR(__xludf.DUMMYFUNCTION("""COMPUTED_VALUE"""),4.752)</f>
        <v>4.752</v>
      </c>
    </row>
    <row r="1422">
      <c r="A1422" s="4" t="str">
        <f>IFERROR(__xludf.DUMMYFUNCTION("""COMPUTED_VALUE"""),"2034Z")</f>
        <v>2034Z</v>
      </c>
      <c r="B1422" s="4" t="str">
        <f>IFERROR(__xludf.DUMMYFUNCTION("""COMPUTED_VALUE"""),"Tiza hexagonal 120 x12 mm Azul (12 uds)")</f>
        <v>Tiza hexagonal 120 x12 mm Azul (12 uds)</v>
      </c>
      <c r="C1422" s="4">
        <f>IFERROR(__xludf.DUMMYFUNCTION("""COMPUTED_VALUE"""),4.752)</f>
        <v>4.752</v>
      </c>
    </row>
    <row r="1423">
      <c r="A1423" s="4" t="str">
        <f>IFERROR(__xludf.DUMMYFUNCTION("""COMPUTED_VALUE"""),"2035")</f>
        <v>2035</v>
      </c>
      <c r="B1423" s="4" t="str">
        <f>IFERROR(__xludf.DUMMYFUNCTION("""COMPUTED_VALUE"""),"Caja Lapiceros carpintero 180 (144 unid)")</f>
        <v>Caja Lapiceros carpintero 180 (144 unid)</v>
      </c>
      <c r="C1423" s="4">
        <f>IFERROR(__xludf.DUMMYFUNCTION("""COMPUTED_VALUE"""),8.831999999999999)</f>
        <v>8.832</v>
      </c>
    </row>
    <row r="1424">
      <c r="A1424" s="4" t="str">
        <f>IFERROR(__xludf.DUMMYFUNCTION("""COMPUTED_VALUE"""),"2036")</f>
        <v>2036</v>
      </c>
      <c r="B1424" s="4" t="str">
        <f>IFERROR(__xludf.DUMMYFUNCTION("""COMPUTED_VALUE"""),"Lapiz Recargable Metalico")</f>
        <v>Lapiz Recargable Metalico</v>
      </c>
      <c r="C1424" s="4">
        <f>IFERROR(__xludf.DUMMYFUNCTION("""COMPUTED_VALUE"""),3.456)</f>
        <v>3.456</v>
      </c>
    </row>
    <row r="1425">
      <c r="A1425" s="4" t="str">
        <f>IFERROR(__xludf.DUMMYFUNCTION("""COMPUTED_VALUE"""),"2036E")</f>
        <v>2036E</v>
      </c>
      <c r="B1425" s="4" t="str">
        <f>IFERROR(__xludf.DUMMYFUNCTION("""COMPUTED_VALUE"""),"Caja lápiz carpintero Mod. Europe (100 uds)")</f>
        <v>Caja lápiz carpintero Mod. Europe (100 uds)</v>
      </c>
      <c r="C1425" s="4">
        <f>IFERROR(__xludf.DUMMYFUNCTION("""COMPUTED_VALUE"""),47.04)</f>
        <v>47.04</v>
      </c>
    </row>
    <row r="1426">
      <c r="A1426" s="4" t="str">
        <f>IFERROR(__xludf.DUMMYFUNCTION("""COMPUTED_VALUE"""),"2037")</f>
        <v>2037</v>
      </c>
      <c r="B1426" s="4" t="str">
        <f>IFERROR(__xludf.DUMMYFUNCTION("""COMPUTED_VALUE"""),"Recambio Lapiz Metalico (50 und)")</f>
        <v>Recambio Lapiz Metalico (50 und)</v>
      </c>
      <c r="C1426" s="4">
        <f>IFERROR(__xludf.DUMMYFUNCTION("""COMPUTED_VALUE"""),2.2704)</f>
        <v>2.2704</v>
      </c>
    </row>
    <row r="1427">
      <c r="A1427" s="4" t="str">
        <f>IFERROR(__xludf.DUMMYFUNCTION("""COMPUTED_VALUE"""),"2038")</f>
        <v>2038</v>
      </c>
      <c r="B1427" s="4" t="str">
        <f>IFERROR(__xludf.DUMMYFUNCTION("""COMPUTED_VALUE"""),"Tirolesa")</f>
        <v>Tirolesa</v>
      </c>
      <c r="C1427" s="4">
        <f>IFERROR(__xludf.DUMMYFUNCTION("""COMPUTED_VALUE"""),12.719999999999999)</f>
        <v>12.72</v>
      </c>
    </row>
    <row r="1428">
      <c r="A1428" s="4" t="str">
        <f>IFERROR(__xludf.DUMMYFUNCTION("""COMPUTED_VALUE"""),"2039")</f>
        <v>2039</v>
      </c>
      <c r="B1428" s="4" t="str">
        <f>IFERROR(__xludf.DUMMYFUNCTION("""COMPUTED_VALUE"""),"Octometro nueva generacion con mochila de transporte")</f>
        <v>Octometro nueva generacion con mochila de transporte</v>
      </c>
      <c r="C1428" s="4">
        <f>IFERROR(__xludf.DUMMYFUNCTION("""COMPUTED_VALUE"""),23.663999999999998)</f>
        <v>23.664</v>
      </c>
    </row>
    <row r="1429">
      <c r="A1429" s="4" t="str">
        <f>IFERROR(__xludf.DUMMYFUNCTION("""COMPUTED_VALUE"""),"2040")</f>
        <v>2040</v>
      </c>
      <c r="B1429" s="4" t="str">
        <f>IFERROR(__xludf.DUMMYFUNCTION("""COMPUTED_VALUE"""),"Bolsa encofrador polipiel 21x21 1 bolsillo")</f>
        <v>Bolsa encofrador polipiel 21x21 1 bolsillo</v>
      </c>
      <c r="C1429" s="4">
        <f>IFERROR(__xludf.DUMMYFUNCTION("""COMPUTED_VALUE"""),6.192)</f>
        <v>6.192</v>
      </c>
    </row>
    <row r="1430">
      <c r="A1430" s="4" t="str">
        <f>IFERROR(__xludf.DUMMYFUNCTION("""COMPUTED_VALUE"""),"2041")</f>
        <v>2041</v>
      </c>
      <c r="B1430" s="4" t="str">
        <f>IFERROR(__xludf.DUMMYFUNCTION("""COMPUTED_VALUE"""),"Display 12 tiralineas 15 m (línea eco) + 12 botes azulete 60 gr")</f>
        <v>Display 12 tiralineas 15 m (línea eco) + 12 botes azulete 60 gr</v>
      </c>
      <c r="C1430" s="4">
        <f>IFERROR(__xludf.DUMMYFUNCTION("""COMPUTED_VALUE"""),47.04)</f>
        <v>47.04</v>
      </c>
    </row>
    <row r="1431">
      <c r="A1431" s="4" t="str">
        <f>IFERROR(__xludf.DUMMYFUNCTION("""COMPUTED_VALUE"""),"2042")</f>
        <v>2042</v>
      </c>
      <c r="B1431" s="4" t="str">
        <f>IFERROR(__xludf.DUMMYFUNCTION("""COMPUTED_VALUE"""),"Display 3 tiralíneas 50 m y 3 botes azulete 1 kg")</f>
        <v>Display 3 tiralíneas 50 m y 3 botes azulete 1 kg</v>
      </c>
      <c r="C1431" s="4">
        <f>IFERROR(__xludf.DUMMYFUNCTION("""COMPUTED_VALUE"""),76.8)</f>
        <v>76.8</v>
      </c>
    </row>
    <row r="1432">
      <c r="A1432" s="4" t="str">
        <f>IFERROR(__xludf.DUMMYFUNCTION("""COMPUTED_VALUE"""),"2046")</f>
        <v>2046</v>
      </c>
      <c r="B1432" s="4" t="str">
        <f>IFERROR(__xludf.DUMMYFUNCTION("""COMPUTED_VALUE"""),"Tiralíneas Prático 30 mts con botella azulete")</f>
        <v>Tiralíneas Prático 30 mts con botella azulete</v>
      </c>
      <c r="C1432" s="4">
        <f>IFERROR(__xludf.DUMMYFUNCTION("""COMPUTED_VALUE"""),3.84)</f>
        <v>3.84</v>
      </c>
    </row>
    <row r="1433">
      <c r="A1433" s="4" t="str">
        <f>IFERROR(__xludf.DUMMYFUNCTION("""COMPUTED_VALUE"""),"2047")</f>
        <v>2047</v>
      </c>
      <c r="B1433" s="4" t="str">
        <f>IFERROR(__xludf.DUMMYFUNCTION("""COMPUTED_VALUE"""),"Aplicador cinta balizamiento")</f>
        <v>Aplicador cinta balizamiento</v>
      </c>
      <c r="C1433" s="4">
        <f>IFERROR(__xludf.DUMMYFUNCTION("""COMPUTED_VALUE"""),2.88)</f>
        <v>2.88</v>
      </c>
    </row>
    <row r="1434">
      <c r="A1434" s="4" t="str">
        <f>IFERROR(__xludf.DUMMYFUNCTION("""COMPUTED_VALUE"""),"2050")</f>
        <v>2050</v>
      </c>
      <c r="B1434" s="4" t="str">
        <f>IFERROR(__xludf.DUMMYFUNCTION("""COMPUTED_VALUE"""),"Toldo polietileno 2x3 verde 120 gr.")</f>
        <v>Toldo polietileno 2x3 verde 120 gr.</v>
      </c>
      <c r="C1434" s="4">
        <f>IFERROR(__xludf.DUMMYFUNCTION("""COMPUTED_VALUE"""),3.792)</f>
        <v>3.792</v>
      </c>
    </row>
    <row r="1435">
      <c r="A1435" s="4" t="str">
        <f>IFERROR(__xludf.DUMMYFUNCTION("""COMPUTED_VALUE"""),"2051")</f>
        <v>2051</v>
      </c>
      <c r="B1435" s="4" t="str">
        <f>IFERROR(__xludf.DUMMYFUNCTION("""COMPUTED_VALUE"""),"Toldo polietileno 3x4 verde 120 gr.")</f>
        <v>Toldo polietileno 3x4 verde 120 gr.</v>
      </c>
      <c r="C1435" s="4">
        <f>IFERROR(__xludf.DUMMYFUNCTION("""COMPUTED_VALUE"""),7.4399999999999995)</f>
        <v>7.44</v>
      </c>
    </row>
    <row r="1436">
      <c r="A1436" s="4" t="str">
        <f>IFERROR(__xludf.DUMMYFUNCTION("""COMPUTED_VALUE"""),"2052")</f>
        <v>2052</v>
      </c>
      <c r="B1436" s="4" t="str">
        <f>IFERROR(__xludf.DUMMYFUNCTION("""COMPUTED_VALUE"""),"Toldo polietileno 4x6 verde 120 gr.")</f>
        <v>Toldo polietileno 4x6 verde 120 gr.</v>
      </c>
      <c r="C1436" s="4">
        <f>IFERROR(__xludf.DUMMYFUNCTION("""COMPUTED_VALUE"""),13.344)</f>
        <v>13.344</v>
      </c>
    </row>
    <row r="1437">
      <c r="A1437" s="4" t="str">
        <f>IFERROR(__xludf.DUMMYFUNCTION("""COMPUTED_VALUE"""),"2053")</f>
        <v>2053</v>
      </c>
      <c r="B1437" s="4" t="str">
        <f>IFERROR(__xludf.DUMMYFUNCTION("""COMPUTED_VALUE"""),"Toldo polietileno 5x8 verde 120 gr.")</f>
        <v>Toldo polietileno 5x8 verde 120 gr.</v>
      </c>
      <c r="C1437" s="4">
        <f>IFERROR(__xludf.DUMMYFUNCTION("""COMPUTED_VALUE"""),23.52)</f>
        <v>23.52</v>
      </c>
    </row>
    <row r="1438">
      <c r="A1438" s="4" t="str">
        <f>IFERROR(__xludf.DUMMYFUNCTION("""COMPUTED_VALUE"""),"2054")</f>
        <v>2054</v>
      </c>
      <c r="B1438" s="4" t="str">
        <f>IFERROR(__xludf.DUMMYFUNCTION("""COMPUTED_VALUE"""),"Toldo polietileno 6x10 verde 120 gr.")</f>
        <v>Toldo polietileno 6x10 verde 120 gr.</v>
      </c>
      <c r="C1438" s="4">
        <f>IFERROR(__xludf.DUMMYFUNCTION("""COMPUTED_VALUE"""),31.2)</f>
        <v>31.2</v>
      </c>
    </row>
    <row r="1439">
      <c r="A1439" s="4" t="str">
        <f>IFERROR(__xludf.DUMMYFUNCTION("""COMPUTED_VALUE"""),"2058")</f>
        <v>2058</v>
      </c>
      <c r="B1439" s="4" t="str">
        <f>IFERROR(__xludf.DUMMYFUNCTION("""COMPUTED_VALUE"""),"Toldo polietileno 3x5 azul 80 gr")</f>
        <v>Toldo polietileno 3x5 azul 80 gr</v>
      </c>
      <c r="C1439" s="4">
        <f>IFERROR(__xludf.DUMMYFUNCTION("""COMPUTED_VALUE"""),5.952)</f>
        <v>5.952</v>
      </c>
    </row>
    <row r="1440">
      <c r="A1440" s="4" t="str">
        <f>IFERROR(__xludf.DUMMYFUNCTION("""COMPUTED_VALUE"""),"2059")</f>
        <v>2059</v>
      </c>
      <c r="B1440" s="4" t="str">
        <f>IFERROR(__xludf.DUMMYFUNCTION("""COMPUTED_VALUE"""),"Toldo polietileno 4x5 azul 80 gr")</f>
        <v>Toldo polietileno 4x5 azul 80 gr</v>
      </c>
      <c r="C1440" s="4">
        <f>IFERROR(__xludf.DUMMYFUNCTION("""COMPUTED_VALUE"""),10.08)</f>
        <v>10.08</v>
      </c>
    </row>
    <row r="1441">
      <c r="A1441" s="4" t="str">
        <f>IFERROR(__xludf.DUMMYFUNCTION("""COMPUTED_VALUE"""),"2060")</f>
        <v>2060</v>
      </c>
      <c r="B1441" s="4" t="str">
        <f>IFERROR(__xludf.DUMMYFUNCTION("""COMPUTED_VALUE"""),"Toldo polietileno 2x3 azul 80 gr.")</f>
        <v>Toldo polietileno 2x3 azul 80 gr.</v>
      </c>
      <c r="C1441" s="4">
        <f>IFERROR(__xludf.DUMMYFUNCTION("""COMPUTED_VALUE"""),2.6879999999999997)</f>
        <v>2.688</v>
      </c>
    </row>
    <row r="1442">
      <c r="A1442" s="4" t="str">
        <f>IFERROR(__xludf.DUMMYFUNCTION("""COMPUTED_VALUE"""),"2061")</f>
        <v>2061</v>
      </c>
      <c r="B1442" s="4" t="str">
        <f>IFERROR(__xludf.DUMMYFUNCTION("""COMPUTED_VALUE"""),"Toldo polietileno 3x4 azul 80 gr.")</f>
        <v>Toldo polietileno 3x4 azul 80 gr.</v>
      </c>
      <c r="C1442" s="4">
        <f>IFERROR(__xludf.DUMMYFUNCTION("""COMPUTED_VALUE"""),4.656)</f>
        <v>4.656</v>
      </c>
    </row>
    <row r="1443">
      <c r="A1443" s="4" t="str">
        <f>IFERROR(__xludf.DUMMYFUNCTION("""COMPUTED_VALUE"""),"2062")</f>
        <v>2062</v>
      </c>
      <c r="B1443" s="4" t="str">
        <f>IFERROR(__xludf.DUMMYFUNCTION("""COMPUTED_VALUE"""),"Toldo polietileno 4x6 azul 80 gr")</f>
        <v>Toldo polietileno 4x6 azul 80 gr</v>
      </c>
      <c r="C1443" s="4">
        <f>IFERROR(__xludf.DUMMYFUNCTION("""COMPUTED_VALUE"""),10.848)</f>
        <v>10.848</v>
      </c>
    </row>
    <row r="1444">
      <c r="A1444" s="4" t="str">
        <f>IFERROR(__xludf.DUMMYFUNCTION("""COMPUTED_VALUE"""),"2063")</f>
        <v>2063</v>
      </c>
      <c r="B1444" s="4" t="str">
        <f>IFERROR(__xludf.DUMMYFUNCTION("""COMPUTED_VALUE"""),"Toldo polietileno 5x8 azul 80 gr.")</f>
        <v>Toldo polietileno 5x8 azul 80 gr.</v>
      </c>
      <c r="C1444" s="4">
        <f>IFERROR(__xludf.DUMMYFUNCTION("""COMPUTED_VALUE"""),16.272)</f>
        <v>16.272</v>
      </c>
    </row>
    <row r="1445">
      <c r="A1445" s="4" t="str">
        <f>IFERROR(__xludf.DUMMYFUNCTION("""COMPUTED_VALUE"""),"2064")</f>
        <v>2064</v>
      </c>
      <c r="B1445" s="4" t="str">
        <f>IFERROR(__xludf.DUMMYFUNCTION("""COMPUTED_VALUE"""),"Toldo polietileno 6x10 azul 80 gr.")</f>
        <v>Toldo polietileno 6x10 azul 80 gr.</v>
      </c>
      <c r="C1445" s="4">
        <f>IFERROR(__xludf.DUMMYFUNCTION("""COMPUTED_VALUE"""),22.56)</f>
        <v>22.56</v>
      </c>
    </row>
    <row r="1446">
      <c r="A1446" s="4" t="str">
        <f>IFERROR(__xludf.DUMMYFUNCTION("""COMPUTED_VALUE"""),"2065")</f>
        <v>2065</v>
      </c>
      <c r="B1446" s="4" t="str">
        <f>IFERROR(__xludf.DUMMYFUNCTION("""COMPUTED_VALUE"""),"Toldo polietileno 8x12 azul 80 gr.")</f>
        <v>Toldo polietileno 8x12 azul 80 gr.</v>
      </c>
      <c r="C1446" s="4">
        <f>IFERROR(__xludf.DUMMYFUNCTION("""COMPUTED_VALUE"""),28.896)</f>
        <v>28.896</v>
      </c>
    </row>
    <row r="1447">
      <c r="A1447" s="4" t="str">
        <f>IFERROR(__xludf.DUMMYFUNCTION("""COMPUTED_VALUE"""),"2066")</f>
        <v>2066</v>
      </c>
      <c r="B1447" s="4" t="str">
        <f>IFERROR(__xludf.DUMMYFUNCTION("""COMPUTED_VALUE"""),"Toldo polietileno 10x15 azul 80 gr.")</f>
        <v>Toldo polietileno 10x15 azul 80 gr.</v>
      </c>
      <c r="C1447" s="4">
        <f>IFERROR(__xludf.DUMMYFUNCTION("""COMPUTED_VALUE"""),40.32)</f>
        <v>40.32</v>
      </c>
    </row>
    <row r="1448">
      <c r="A1448" s="4" t="str">
        <f>IFERROR(__xludf.DUMMYFUNCTION("""COMPUTED_VALUE"""),"2101")</f>
        <v>2101</v>
      </c>
      <c r="B1448" s="4" t="str">
        <f>IFERROR(__xludf.DUMMYFUNCTION("""COMPUTED_VALUE"""),"Baliza solar amarilla para cono")</f>
        <v>Baliza solar amarilla para cono</v>
      </c>
      <c r="C1448" s="4">
        <f>IFERROR(__xludf.DUMMYFUNCTION("""COMPUTED_VALUE"""),19.151999999999997)</f>
        <v>19.152</v>
      </c>
    </row>
    <row r="1449">
      <c r="A1449" s="4" t="str">
        <f>IFERROR(__xludf.DUMMYFUNCTION("""COMPUTED_VALUE"""),"2102")</f>
        <v>2102</v>
      </c>
      <c r="B1449" s="4" t="str">
        <f>IFERROR(__xludf.DUMMYFUNCTION("""COMPUTED_VALUE"""),"Baliza Solar Roja para cono")</f>
        <v>Baliza Solar Roja para cono</v>
      </c>
      <c r="C1449" s="4">
        <f>IFERROR(__xludf.DUMMYFUNCTION("""COMPUTED_VALUE"""),19.151999999999997)</f>
        <v>19.152</v>
      </c>
    </row>
    <row r="1450">
      <c r="A1450" s="4" t="str">
        <f>IFERROR(__xludf.DUMMYFUNCTION("""COMPUTED_VALUE"""),"2134")</f>
        <v>2134</v>
      </c>
      <c r="B1450" s="4" t="str">
        <f>IFERROR(__xludf.DUMMYFUNCTION("""COMPUTED_VALUE"""),"Tope parking Mod D 183 cm")</f>
        <v>Tope parking Mod D 183 cm</v>
      </c>
      <c r="C1450" s="4">
        <f>IFERROR(__xludf.DUMMYFUNCTION("""COMPUTED_VALUE"""),33.6864)</f>
        <v>33.6864</v>
      </c>
    </row>
    <row r="1451">
      <c r="A1451" s="4" t="str">
        <f>IFERROR(__xludf.DUMMYFUNCTION("""COMPUTED_VALUE"""),"2151")</f>
        <v>2151</v>
      </c>
      <c r="B1451" s="4" t="str">
        <f>IFERROR(__xludf.DUMMYFUNCTION("""COMPUTED_VALUE"""),"Separador Carril 75 cm + base")</f>
        <v>Separador Carril 75 cm + base</v>
      </c>
      <c r="C1451" s="4">
        <f>IFERROR(__xludf.DUMMYFUNCTION("""COMPUTED_VALUE"""),29.759999999999998)</f>
        <v>29.76</v>
      </c>
    </row>
    <row r="1452">
      <c r="A1452" s="4" t="str">
        <f>IFERROR(__xludf.DUMMYFUNCTION("""COMPUTED_VALUE"""),"2234")</f>
        <v>2234</v>
      </c>
      <c r="B1452" s="4" t="str">
        <f>IFERROR(__xludf.DUMMYFUNCTION("""COMPUTED_VALUE"""),"Botella azulete 1Kg. Extra")</f>
        <v>Botella azulete 1Kg. Extra</v>
      </c>
      <c r="C1452" s="4">
        <f>IFERROR(__xludf.DUMMYFUNCTION("""COMPUTED_VALUE"""),4.175999999999999)</f>
        <v>4.176</v>
      </c>
    </row>
    <row r="1453">
      <c r="A1453" s="4" t="str">
        <f>IFERROR(__xludf.DUMMYFUNCTION("""COMPUTED_VALUE"""),"2235")</f>
        <v>2235</v>
      </c>
      <c r="B1453" s="4" t="str">
        <f>IFERROR(__xludf.DUMMYFUNCTION("""COMPUTED_VALUE"""),"Botella azulete 1Kg. Super Extra")</f>
        <v>Botella azulete 1Kg. Super Extra</v>
      </c>
      <c r="C1453" s="4">
        <f>IFERROR(__xludf.DUMMYFUNCTION("""COMPUTED_VALUE"""),5.4719999999999995)</f>
        <v>5.472</v>
      </c>
    </row>
    <row r="1454">
      <c r="A1454" s="4" t="str">
        <f>IFERROR(__xludf.DUMMYFUNCTION("""COMPUTED_VALUE"""),"2236")</f>
        <v>2236</v>
      </c>
      <c r="B1454" s="4" t="str">
        <f>IFERROR(__xludf.DUMMYFUNCTION("""COMPUTED_VALUE"""),"Botella 200 gr. polvo fluo verde")</f>
        <v>Botella 200 gr. polvo fluo verde</v>
      </c>
      <c r="C1454" s="4">
        <f>IFERROR(__xludf.DUMMYFUNCTION("""COMPUTED_VALUE"""),3.6479999999999997)</f>
        <v>3.648</v>
      </c>
    </row>
    <row r="1455">
      <c r="A1455" s="4" t="str">
        <f>IFERROR(__xludf.DUMMYFUNCTION("""COMPUTED_VALUE"""),"2237")</f>
        <v>2237</v>
      </c>
      <c r="B1455" s="4" t="str">
        <f>IFERROR(__xludf.DUMMYFUNCTION("""COMPUTED_VALUE"""),"Botella 200 gr. polvo fluo naranja")</f>
        <v>Botella 200 gr. polvo fluo naranja</v>
      </c>
      <c r="C1455" s="4">
        <f>IFERROR(__xludf.DUMMYFUNCTION("""COMPUTED_VALUE"""),3.6479999999999997)</f>
        <v>3.648</v>
      </c>
    </row>
    <row r="1456">
      <c r="A1456" s="4" t="str">
        <f>IFERROR(__xludf.DUMMYFUNCTION("""COMPUTED_VALUE"""),"2238")</f>
        <v>2238</v>
      </c>
      <c r="B1456" s="4" t="str">
        <f>IFERROR(__xludf.DUMMYFUNCTION("""COMPUTED_VALUE"""),"Azulete Gaviota caja 1 Kg")</f>
        <v>Azulete Gaviota caja 1 Kg</v>
      </c>
      <c r="C1456" s="4">
        <f>IFERROR(__xludf.DUMMYFUNCTION("""COMPUTED_VALUE"""),15.36)</f>
        <v>15.36</v>
      </c>
    </row>
    <row r="1457">
      <c r="A1457" s="4" t="str">
        <f>IFERROR(__xludf.DUMMYFUNCTION("""COMPUTED_VALUE"""),"2240")</f>
        <v>2240</v>
      </c>
      <c r="B1457" s="4" t="str">
        <f>IFERROR(__xludf.DUMMYFUNCTION("""COMPUTED_VALUE"""),"Tiralíneas Gigante 50 Mts.")</f>
        <v>Tiralíneas Gigante 50 Mts.</v>
      </c>
      <c r="C1457" s="4">
        <f>IFERROR(__xludf.DUMMYFUNCTION("""COMPUTED_VALUE"""),31.919999999999998)</f>
        <v>31.92</v>
      </c>
    </row>
    <row r="1458">
      <c r="A1458" s="4" t="str">
        <f>IFERROR(__xludf.DUMMYFUNCTION("""COMPUTED_VALUE"""),"2241")</f>
        <v>2241</v>
      </c>
      <c r="B1458" s="4" t="str">
        <f>IFERROR(__xludf.DUMMYFUNCTION("""COMPUTED_VALUE"""),"Tiralíneas plastico 30 mt + botella polvo 100 gr")</f>
        <v>Tiralíneas plastico 30 mt + botella polvo 100 gr</v>
      </c>
      <c r="C1458" s="4">
        <f>IFERROR(__xludf.DUMMYFUNCTION("""COMPUTED_VALUE"""),3.12)</f>
        <v>3.12</v>
      </c>
    </row>
    <row r="1459">
      <c r="A1459" s="4" t="str">
        <f>IFERROR(__xludf.DUMMYFUNCTION("""COMPUTED_VALUE"""),"2242")</f>
        <v>2242</v>
      </c>
      <c r="B1459" s="4" t="str">
        <f>IFERROR(__xludf.DUMMYFUNCTION("""COMPUTED_VALUE"""),"Tiralíneas aluminio 30 Mts")</f>
        <v>Tiralíneas aluminio 30 Mts</v>
      </c>
      <c r="C1459" s="4">
        <f>IFERROR(__xludf.DUMMYFUNCTION("""COMPUTED_VALUE"""),3.456)</f>
        <v>3.456</v>
      </c>
    </row>
    <row r="1460">
      <c r="A1460" s="4" t="str">
        <f>IFERROR(__xludf.DUMMYFUNCTION("""COMPUTED_VALUE"""),"2244")</f>
        <v>2244</v>
      </c>
      <c r="B1460" s="4" t="str">
        <f>IFERROR(__xludf.DUMMYFUNCTION("""COMPUTED_VALUE"""),"Expositor 12 tiralineas Normo 30 metros + 12 botes polvo 100")</f>
        <v>Expositor 12 tiralineas Normo 30 metros + 12 botes polvo 100</v>
      </c>
      <c r="C1460" s="4">
        <f>IFERROR(__xludf.DUMMYFUNCTION("""COMPUTED_VALUE"""),47.424)</f>
        <v>47.424</v>
      </c>
    </row>
    <row r="1461">
      <c r="A1461" s="4" t="str">
        <f>IFERROR(__xludf.DUMMYFUNCTION("""COMPUTED_VALUE"""),"2245")</f>
        <v>2245</v>
      </c>
      <c r="B1461" s="4" t="str">
        <f>IFERROR(__xludf.DUMMYFUNCTION("""COMPUTED_VALUE"""),"Tiralineas Magnum 50 metros")</f>
        <v>Tiralineas Magnum 50 metros</v>
      </c>
      <c r="C1461" s="4">
        <f>IFERROR(__xludf.DUMMYFUNCTION("""COMPUTED_VALUE"""),32.256)</f>
        <v>32.256</v>
      </c>
    </row>
    <row r="1462">
      <c r="A1462" s="4" t="str">
        <f>IFERROR(__xludf.DUMMYFUNCTION("""COMPUTED_VALUE"""),"2413")</f>
        <v>2413</v>
      </c>
      <c r="B1462" s="4" t="str">
        <f>IFERROR(__xludf.DUMMYFUNCTION("""COMPUTED_VALUE"""),"Frotas esponja naranja g. GRUESO 280x140x20 (024PA)")</f>
        <v>Frotas esponja naranja g. GRUESO 280x140x20 (024PA)</v>
      </c>
      <c r="C1462" s="4">
        <f>IFERROR(__xludf.DUMMYFUNCTION("""COMPUTED_VALUE"""),6.24)</f>
        <v>6.24</v>
      </c>
    </row>
    <row r="1463">
      <c r="A1463" s="4" t="str">
        <f>IFERROR(__xludf.DUMMYFUNCTION("""COMPUTED_VALUE"""),"2414")</f>
        <v>2414</v>
      </c>
      <c r="B1463" s="4" t="str">
        <f>IFERROR(__xludf.DUMMYFUNCTION("""COMPUTED_VALUE"""),"Frotas esponja Azul 280x140x14 grano FINO (024PB)")</f>
        <v>Frotas esponja Azul 280x140x14 grano FINO (024PB)</v>
      </c>
      <c r="C1463" s="4">
        <f>IFERROR(__xludf.DUMMYFUNCTION("""COMPUTED_VALUE"""),5.712)</f>
        <v>5.712</v>
      </c>
    </row>
    <row r="1464">
      <c r="A1464" s="4" t="str">
        <f>IFERROR(__xludf.DUMMYFUNCTION("""COMPUTED_VALUE"""),"2507")</f>
        <v>2507</v>
      </c>
      <c r="B1464" s="4" t="str">
        <f>IFERROR(__xludf.DUMMYFUNCTION("""COMPUTED_VALUE"""),"Hito flexible Naranja 30 cm")</f>
        <v>Hito flexible Naranja 30 cm</v>
      </c>
      <c r="C1464" s="4">
        <f>IFERROR(__xludf.DUMMYFUNCTION("""COMPUTED_VALUE"""),7.584)</f>
        <v>7.584</v>
      </c>
    </row>
    <row r="1465">
      <c r="A1465" s="4" t="str">
        <f>IFERROR(__xludf.DUMMYFUNCTION("""COMPUTED_VALUE"""),"2518")</f>
        <v>2518</v>
      </c>
      <c r="B1465" s="4" t="str">
        <f>IFERROR(__xludf.DUMMYFUNCTION("""COMPUTED_VALUE"""),"Hito flexible Naranja 100 cm")</f>
        <v>Hito flexible Naranja 100 cm</v>
      </c>
      <c r="C1465" s="4">
        <f>IFERROR(__xludf.DUMMYFUNCTION("""COMPUTED_VALUE"""),15.36)</f>
        <v>15.36</v>
      </c>
    </row>
    <row r="1466">
      <c r="A1466" s="4" t="str">
        <f>IFERROR(__xludf.DUMMYFUNCTION("""COMPUTED_VALUE"""),"2519")</f>
        <v>2519</v>
      </c>
      <c r="B1466" s="4" t="str">
        <f>IFERROR(__xludf.DUMMYFUNCTION("""COMPUTED_VALUE"""),"Frotas esponja naranja grano medio 22x14 (018A)")</f>
        <v>Frotas esponja naranja grano medio 22x14 (018A)</v>
      </c>
      <c r="C1466" s="4">
        <f>IFERROR(__xludf.DUMMYFUNCTION("""COMPUTED_VALUE"""),4.704)</f>
        <v>4.704</v>
      </c>
    </row>
    <row r="1467">
      <c r="A1467" s="4" t="str">
        <f>IFERROR(__xludf.DUMMYFUNCTION("""COMPUTED_VALUE"""),"2520")</f>
        <v>2520</v>
      </c>
      <c r="B1467" s="4" t="str">
        <f>IFERROR(__xludf.DUMMYFUNCTION("""COMPUTED_VALUE"""),"Frotas esponja azul grano fino 22x14 (018B)")</f>
        <v>Frotas esponja azul grano fino 22x14 (018B)</v>
      </c>
      <c r="C1467" s="4">
        <f>IFERROR(__xludf.DUMMYFUNCTION("""COMPUTED_VALUE"""),4.704)</f>
        <v>4.704</v>
      </c>
    </row>
    <row r="1468">
      <c r="A1468" s="4" t="str">
        <f>IFERROR(__xludf.DUMMYFUNCTION("""COMPUTED_VALUE"""),"2530")</f>
        <v>2530</v>
      </c>
      <c r="B1468" s="4" t="str">
        <f>IFERROR(__xludf.DUMMYFUNCTION("""COMPUTED_VALUE"""),"Juego rodilleras alicatador")</f>
        <v>Juego rodilleras alicatador</v>
      </c>
      <c r="C1468" s="4">
        <f>IFERROR(__xludf.DUMMYFUNCTION("""COMPUTED_VALUE"""),4.608)</f>
        <v>4.608</v>
      </c>
    </row>
    <row r="1469">
      <c r="A1469" s="4" t="str">
        <f>IFERROR(__xludf.DUMMYFUNCTION("""COMPUTED_VALUE"""),"2575Z")</f>
        <v>2575Z</v>
      </c>
      <c r="B1469" s="4" t="str">
        <f>IFERROR(__xludf.DUMMYFUNCTION("""COMPUTED_VALUE"""),"Rollo cuerda azul trazadora de 100 mts")</f>
        <v>Rollo cuerda azul trazadora de 100 mts</v>
      </c>
      <c r="C1469" s="4">
        <f>IFERROR(__xludf.DUMMYFUNCTION("""COMPUTED_VALUE"""),2.5152)</f>
        <v>2.5152</v>
      </c>
    </row>
    <row r="1470">
      <c r="A1470" s="4" t="str">
        <f>IFERROR(__xludf.DUMMYFUNCTION("""COMPUTED_VALUE"""),"2601")</f>
        <v>2601</v>
      </c>
      <c r="B1470" s="4" t="str">
        <f>IFERROR(__xludf.DUMMYFUNCTION("""COMPUTED_VALUE"""),"Hito Direccion Obligatoria 85 cm")</f>
        <v>Hito Direccion Obligatoria 85 cm</v>
      </c>
      <c r="C1470" s="4">
        <f>IFERROR(__xludf.DUMMYFUNCTION("""COMPUTED_VALUE"""),21.84)</f>
        <v>21.84</v>
      </c>
    </row>
    <row r="1471">
      <c r="A1471" s="4" t="str">
        <f>IFERROR(__xludf.DUMMYFUNCTION("""COMPUTED_VALUE"""),"2601P")</f>
        <v>2601P</v>
      </c>
      <c r="B1471" s="4" t="str">
        <f>IFERROR(__xludf.DUMMYFUNCTION("""COMPUTED_VALUE"""),"Hito flexible personalizable")</f>
        <v>Hito flexible personalizable</v>
      </c>
      <c r="C1471" s="4">
        <f>IFERROR(__xludf.DUMMYFUNCTION("""COMPUTED_VALUE"""),23.279999999999998)</f>
        <v>23.28</v>
      </c>
    </row>
    <row r="1472">
      <c r="A1472" s="4" t="str">
        <f>IFERROR(__xludf.DUMMYFUNCTION("""COMPUTED_VALUE"""),"2674")</f>
        <v>2674</v>
      </c>
      <c r="B1472" s="4" t="str">
        <f>IFERROR(__xludf.DUMMYFUNCTION("""COMPUTED_VALUE"""),"Rollo cuerda blanca trazadora de 50 mts")</f>
        <v>Rollo cuerda blanca trazadora de 50 mts</v>
      </c>
      <c r="C1472" s="4">
        <f>IFERROR(__xludf.DUMMYFUNCTION("""COMPUTED_VALUE"""),1.2192)</f>
        <v>1.2192</v>
      </c>
    </row>
    <row r="1473">
      <c r="A1473" s="4" t="str">
        <f>IFERROR(__xludf.DUMMYFUNCTION("""COMPUTED_VALUE"""),"2674Z")</f>
        <v>2674Z</v>
      </c>
      <c r="B1473" s="4" t="str">
        <f>IFERROR(__xludf.DUMMYFUNCTION("""COMPUTED_VALUE"""),"Rollo cuerda azul trazadora de 50 mts")</f>
        <v>Rollo cuerda azul trazadora de 50 mts</v>
      </c>
      <c r="C1473" s="4">
        <f>IFERROR(__xludf.DUMMYFUNCTION("""COMPUTED_VALUE"""),1.2192)</f>
        <v>1.2192</v>
      </c>
    </row>
    <row r="1474">
      <c r="A1474" s="4" t="str">
        <f>IFERROR(__xludf.DUMMYFUNCTION("""COMPUTED_VALUE"""),"2675")</f>
        <v>2675</v>
      </c>
      <c r="B1474" s="4" t="str">
        <f>IFERROR(__xludf.DUMMYFUNCTION("""COMPUTED_VALUE"""),"Rollo cuerda blanca trazadora de 100 mts.")</f>
        <v>Rollo cuerda blanca trazadora de 100 mts.</v>
      </c>
      <c r="C1474" s="4">
        <f>IFERROR(__xludf.DUMMYFUNCTION("""COMPUTED_VALUE"""),2.5152)</f>
        <v>2.5152</v>
      </c>
    </row>
    <row r="1475">
      <c r="A1475" s="4" t="str">
        <f>IFERROR(__xludf.DUMMYFUNCTION("""COMPUTED_VALUE"""),"2675Z")</f>
        <v>2675Z</v>
      </c>
      <c r="B1475" s="4" t="str">
        <f>IFERROR(__xludf.DUMMYFUNCTION("""COMPUTED_VALUE"""),"Rollo cuerda azul trazadora de 100 mts")</f>
        <v>Rollo cuerda azul trazadora de 100 mts</v>
      </c>
      <c r="C1475" s="4">
        <f>IFERROR(__xludf.DUMMYFUNCTION("""COMPUTED_VALUE"""),2.5152)</f>
        <v>2.5152</v>
      </c>
    </row>
    <row r="1476">
      <c r="A1476" s="4" t="str">
        <f>IFERROR(__xludf.DUMMYFUNCTION("""COMPUTED_VALUE"""),"2676")</f>
        <v>2676</v>
      </c>
      <c r="B1476" s="4" t="str">
        <f>IFERROR(__xludf.DUMMYFUNCTION("""COMPUTED_VALUE"""),"Rollo cuerda blanca trazadora de 200 mts.")</f>
        <v>Rollo cuerda blanca trazadora de 200 mts.</v>
      </c>
      <c r="C1476" s="4">
        <f>IFERROR(__xludf.DUMMYFUNCTION("""COMPUTED_VALUE"""),4.4159999999999995)</f>
        <v>4.416</v>
      </c>
    </row>
    <row r="1477">
      <c r="A1477" s="4" t="str">
        <f>IFERROR(__xludf.DUMMYFUNCTION("""COMPUTED_VALUE"""),"2676Z")</f>
        <v>2676Z</v>
      </c>
      <c r="B1477" s="4" t="str">
        <f>IFERROR(__xludf.DUMMYFUNCTION("""COMPUTED_VALUE"""),"Rollo cuerda azul trazadora de 200 mts.")</f>
        <v>Rollo cuerda azul trazadora de 200 mts.</v>
      </c>
      <c r="C1477" s="4">
        <f>IFERROR(__xludf.DUMMYFUNCTION("""COMPUTED_VALUE"""),4.4159999999999995)</f>
        <v>4.416</v>
      </c>
    </row>
    <row r="1478">
      <c r="A1478" s="4" t="str">
        <f>IFERROR(__xludf.DUMMYFUNCTION("""COMPUTED_VALUE"""),"2677")</f>
        <v>2677</v>
      </c>
      <c r="B1478" s="4" t="str">
        <f>IFERROR(__xludf.DUMMYFUNCTION("""COMPUTED_VALUE"""),"Rollo cuerda blanca trazadora de 500 mts.")</f>
        <v>Rollo cuerda blanca trazadora de 500 mts.</v>
      </c>
      <c r="C1478" s="4">
        <f>IFERROR(__xludf.DUMMYFUNCTION("""COMPUTED_VALUE"""),12.115199999999998)</f>
        <v>12.1152</v>
      </c>
    </row>
    <row r="1479">
      <c r="A1479" s="4" t="str">
        <f>IFERROR(__xludf.DUMMYFUNCTION("""COMPUTED_VALUE"""),"2677Z")</f>
        <v>2677Z</v>
      </c>
      <c r="B1479" s="4" t="str">
        <f>IFERROR(__xludf.DUMMYFUNCTION("""COMPUTED_VALUE"""),"Rollo cuerda azul trazadora de 500 mts.")</f>
        <v>Rollo cuerda azul trazadora de 500 mts.</v>
      </c>
      <c r="C1479" s="4">
        <f>IFERROR(__xludf.DUMMYFUNCTION("""COMPUTED_VALUE"""),12.115199999999998)</f>
        <v>12.1152</v>
      </c>
    </row>
    <row r="1480">
      <c r="A1480" s="4" t="str">
        <f>IFERROR(__xludf.DUMMYFUNCTION("""COMPUTED_VALUE"""),"2700")</f>
        <v>2700</v>
      </c>
      <c r="B1480" s="4" t="str">
        <f>IFERROR(__xludf.DUMMYFUNCTION("""COMPUTED_VALUE"""),"Caldereta obra 15 L.")</f>
        <v>Caldereta obra 15 L.</v>
      </c>
      <c r="C1480" s="4">
        <f>IFERROR(__xludf.DUMMYFUNCTION("""COMPUTED_VALUE"""),2.4192)</f>
        <v>2.4192</v>
      </c>
    </row>
    <row r="1481">
      <c r="A1481" s="4" t="str">
        <f>IFERROR(__xludf.DUMMYFUNCTION("""COMPUTED_VALUE"""),"2701")</f>
        <v>2701</v>
      </c>
      <c r="B1481" s="4" t="str">
        <f>IFERROR(__xludf.DUMMYFUNCTION("""COMPUTED_VALUE"""),"Cubeta pintura azul 16 con rejilla")</f>
        <v>Cubeta pintura azul 16 con rejilla</v>
      </c>
      <c r="C1481" s="4">
        <f>IFERROR(__xludf.DUMMYFUNCTION("""COMPUTED_VALUE"""),2.976)</f>
        <v>2.976</v>
      </c>
    </row>
    <row r="1482">
      <c r="A1482" s="4" t="str">
        <f>IFERROR(__xludf.DUMMYFUNCTION("""COMPUTED_VALUE"""),"2701R")</f>
        <v>2701R</v>
      </c>
      <c r="B1482" s="4" t="str">
        <f>IFERROR(__xludf.DUMMYFUNCTION("""COMPUTED_VALUE"""),"Rejilla para cubeta pintura 16")</f>
        <v>Rejilla para cubeta pintura 16</v>
      </c>
      <c r="C1482" s="4">
        <f>IFERROR(__xludf.DUMMYFUNCTION("""COMPUTED_VALUE"""),0.576)</f>
        <v>0.576</v>
      </c>
    </row>
    <row r="1483">
      <c r="A1483" s="4" t="str">
        <f>IFERROR(__xludf.DUMMYFUNCTION("""COMPUTED_VALUE"""),"270222B")</f>
        <v>270222B</v>
      </c>
      <c r="B1483" s="4" t="str">
        <f>IFERROR(__xludf.DUMMYFUNCTION("""COMPUTED_VALUE"""),"Capazo de goma 22 l Blanco")</f>
        <v>Capazo de goma 22 l Blanco</v>
      </c>
      <c r="C1483" s="4">
        <f>IFERROR(__xludf.DUMMYFUNCTION("""COMPUTED_VALUE"""),1.8719999999999999)</f>
        <v>1.872</v>
      </c>
    </row>
    <row r="1484">
      <c r="A1484" s="4" t="str">
        <f>IFERROR(__xludf.DUMMYFUNCTION("""COMPUTED_VALUE"""),"270222N")</f>
        <v>270222N</v>
      </c>
      <c r="B1484" s="4" t="str">
        <f>IFERROR(__xludf.DUMMYFUNCTION("""COMPUTED_VALUE"""),"Capazo de goma 22 l Negro")</f>
        <v>Capazo de goma 22 l Negro</v>
      </c>
      <c r="C1484" s="4">
        <f>IFERROR(__xludf.DUMMYFUNCTION("""COMPUTED_VALUE"""),1.8719999999999999)</f>
        <v>1.872</v>
      </c>
    </row>
    <row r="1485">
      <c r="A1485" s="4" t="str">
        <f>IFERROR(__xludf.DUMMYFUNCTION("""COMPUTED_VALUE"""),"270222R")</f>
        <v>270222R</v>
      </c>
      <c r="B1485" s="4" t="str">
        <f>IFERROR(__xludf.DUMMYFUNCTION("""COMPUTED_VALUE"""),"Capazo de goma 22 l Rojo")</f>
        <v>Capazo de goma 22 l Rojo</v>
      </c>
      <c r="C1485" s="4">
        <f>IFERROR(__xludf.DUMMYFUNCTION("""COMPUTED_VALUE"""),1.8719999999999999)</f>
        <v>1.872</v>
      </c>
    </row>
    <row r="1486">
      <c r="A1486" s="4" t="str">
        <f>IFERROR(__xludf.DUMMYFUNCTION("""COMPUTED_VALUE"""),"270242B")</f>
        <v>270242B</v>
      </c>
      <c r="B1486" s="4" t="str">
        <f>IFERROR(__xludf.DUMMYFUNCTION("""COMPUTED_VALUE"""),"Capazo de goma 42 l Blanco")</f>
        <v>Capazo de goma 42 l Blanco</v>
      </c>
      <c r="C1486" s="4">
        <f>IFERROR(__xludf.DUMMYFUNCTION("""COMPUTED_VALUE"""),2.352)</f>
        <v>2.352</v>
      </c>
    </row>
    <row r="1487">
      <c r="A1487" s="4" t="str">
        <f>IFERROR(__xludf.DUMMYFUNCTION("""COMPUTED_VALUE"""),"270242N")</f>
        <v>270242N</v>
      </c>
      <c r="B1487" s="4" t="str">
        <f>IFERROR(__xludf.DUMMYFUNCTION("""COMPUTED_VALUE"""),"Capazo de goma 42 l Negro")</f>
        <v>Capazo de goma 42 l Negro</v>
      </c>
      <c r="C1487" s="4">
        <f>IFERROR(__xludf.DUMMYFUNCTION("""COMPUTED_VALUE"""),2.352)</f>
        <v>2.352</v>
      </c>
    </row>
    <row r="1488">
      <c r="A1488" s="4" t="str">
        <f>IFERROR(__xludf.DUMMYFUNCTION("""COMPUTED_VALUE"""),"270242R")</f>
        <v>270242R</v>
      </c>
      <c r="B1488" s="4" t="str">
        <f>IFERROR(__xludf.DUMMYFUNCTION("""COMPUTED_VALUE"""),"Capazo de goma 42 l Rojo")</f>
        <v>Capazo de goma 42 l Rojo</v>
      </c>
      <c r="C1488" s="4">
        <f>IFERROR(__xludf.DUMMYFUNCTION("""COMPUTED_VALUE"""),2.352)</f>
        <v>2.352</v>
      </c>
    </row>
    <row r="1489">
      <c r="A1489" s="4" t="str">
        <f>IFERROR(__xludf.DUMMYFUNCTION("""COMPUTED_VALUE"""),"270255B")</f>
        <v>270255B</v>
      </c>
      <c r="B1489" s="4" t="str">
        <f>IFERROR(__xludf.DUMMYFUNCTION("""COMPUTED_VALUE"""),"Capazo de goma 55 l Blanco")</f>
        <v>Capazo de goma 55 l Blanco</v>
      </c>
      <c r="C1489" s="4">
        <f>IFERROR(__xludf.DUMMYFUNCTION("""COMPUTED_VALUE"""),4.175999999999999)</f>
        <v>4.176</v>
      </c>
    </row>
    <row r="1490">
      <c r="A1490" s="4" t="str">
        <f>IFERROR(__xludf.DUMMYFUNCTION("""COMPUTED_VALUE"""),"270255N")</f>
        <v>270255N</v>
      </c>
      <c r="B1490" s="4" t="str">
        <f>IFERROR(__xludf.DUMMYFUNCTION("""COMPUTED_VALUE"""),"Capazo de goma 55 l Negro")</f>
        <v>Capazo de goma 55 l Negro</v>
      </c>
      <c r="C1490" s="4">
        <f>IFERROR(__xludf.DUMMYFUNCTION("""COMPUTED_VALUE"""),4.175999999999999)</f>
        <v>4.176</v>
      </c>
    </row>
    <row r="1491">
      <c r="A1491" s="4" t="str">
        <f>IFERROR(__xludf.DUMMYFUNCTION("""COMPUTED_VALUE"""),"270255R")</f>
        <v>270255R</v>
      </c>
      <c r="B1491" s="4" t="str">
        <f>IFERROR(__xludf.DUMMYFUNCTION("""COMPUTED_VALUE"""),"Capazo de goma 55 l Rojo")</f>
        <v>Capazo de goma 55 l Rojo</v>
      </c>
      <c r="C1491" s="4">
        <f>IFERROR(__xludf.DUMMYFUNCTION("""COMPUTED_VALUE"""),4.175999999999999)</f>
        <v>4.176</v>
      </c>
    </row>
    <row r="1492">
      <c r="A1492" s="4" t="str">
        <f>IFERROR(__xludf.DUMMYFUNCTION("""COMPUTED_VALUE"""),"2703")</f>
        <v>2703</v>
      </c>
      <c r="B1492" s="4" t="str">
        <f>IFERROR(__xludf.DUMMYFUNCTION("""COMPUTED_VALUE"""),"Cubre cable portatil 1 metro Mod. A")</f>
        <v>Cubre cable portatil 1 metro Mod. A</v>
      </c>
      <c r="C1492" s="4">
        <f>IFERROR(__xludf.DUMMYFUNCTION("""COMPUTED_VALUE"""),12.719999999999999)</f>
        <v>12.72</v>
      </c>
    </row>
    <row r="1493">
      <c r="A1493" s="4" t="str">
        <f>IFERROR(__xludf.DUMMYFUNCTION("""COMPUTED_VALUE"""),"2704")</f>
        <v>2704</v>
      </c>
      <c r="B1493" s="4" t="str">
        <f>IFERROR(__xludf.DUMMYFUNCTION("""COMPUTED_VALUE"""),"Cubre cable portatil 1 metro Mod. B")</f>
        <v>Cubre cable portatil 1 metro Mod. B</v>
      </c>
      <c r="C1493" s="4">
        <f>IFERROR(__xludf.DUMMYFUNCTION("""COMPUTED_VALUE"""),23.279999999999998)</f>
        <v>23.28</v>
      </c>
    </row>
    <row r="1494">
      <c r="A1494" s="4" t="str">
        <f>IFERROR(__xludf.DUMMYFUNCTION("""COMPUTED_VALUE"""),"2705")</f>
        <v>2705</v>
      </c>
      <c r="B1494" s="4" t="str">
        <f>IFERROR(__xludf.DUMMYFUNCTION("""COMPUTED_VALUE"""),"Cubre cable portatil 9 metros Mod. C")</f>
        <v>Cubre cable portatil 9 metros Mod. C</v>
      </c>
      <c r="C1494" s="4">
        <f>IFERROR(__xludf.DUMMYFUNCTION("""COMPUTED_VALUE"""),36.48)</f>
        <v>36.48</v>
      </c>
    </row>
    <row r="1495">
      <c r="A1495" s="4" t="str">
        <f>IFERROR(__xludf.DUMMYFUNCTION("""COMPUTED_VALUE"""),"2706")</f>
        <v>2706</v>
      </c>
      <c r="B1495" s="4" t="str">
        <f>IFERROR(__xludf.DUMMYFUNCTION("""COMPUTED_VALUE"""),"Cubo 12 L Reciclado")</f>
        <v>Cubo 12 L Reciclado</v>
      </c>
      <c r="C1495" s="4">
        <f>IFERROR(__xludf.DUMMYFUNCTION("""COMPUTED_VALUE"""),0.9984)</f>
        <v>0.9984</v>
      </c>
    </row>
    <row r="1496">
      <c r="A1496" s="4" t="str">
        <f>IFERROR(__xludf.DUMMYFUNCTION("""COMPUTED_VALUE"""),"2707")</f>
        <v>2707</v>
      </c>
      <c r="B1496" s="4" t="str">
        <f>IFERROR(__xludf.DUMMYFUNCTION("""COMPUTED_VALUE"""),"Cubo 6 L Reciclado")</f>
        <v>Cubo 6 L Reciclado</v>
      </c>
      <c r="C1496" s="4">
        <f>IFERROR(__xludf.DUMMYFUNCTION("""COMPUTED_VALUE"""),0.768)</f>
        <v>0.768</v>
      </c>
    </row>
    <row r="1497">
      <c r="A1497" s="4" t="str">
        <f>IFERROR(__xludf.DUMMYFUNCTION("""COMPUTED_VALUE"""),"2708")</f>
        <v>2708</v>
      </c>
      <c r="B1497" s="4" t="str">
        <f>IFERROR(__xludf.DUMMYFUNCTION("""COMPUTED_VALUE"""),"Cubo 8 L Reciclado")</f>
        <v>Cubo 8 L Reciclado</v>
      </c>
      <c r="C1497" s="4">
        <f>IFERROR(__xludf.DUMMYFUNCTION("""COMPUTED_VALUE"""),0.816)</f>
        <v>0.816</v>
      </c>
    </row>
    <row r="1498">
      <c r="A1498" s="4" t="str">
        <f>IFERROR(__xludf.DUMMYFUNCTION("""COMPUTED_VALUE"""),"2709")</f>
        <v>2709</v>
      </c>
      <c r="B1498" s="4" t="str">
        <f>IFERROR(__xludf.DUMMYFUNCTION("""COMPUTED_VALUE"""),"Embudo para Combustible Flexible")</f>
        <v>Embudo para Combustible Flexible</v>
      </c>
      <c r="C1498" s="4">
        <f>IFERROR(__xludf.DUMMYFUNCTION("""COMPUTED_VALUE"""),1.5647999999999997)</f>
        <v>1.5648</v>
      </c>
    </row>
    <row r="1499">
      <c r="A1499" s="4" t="str">
        <f>IFERROR(__xludf.DUMMYFUNCTION("""COMPUTED_VALUE"""),"2710")</f>
        <v>2710</v>
      </c>
      <c r="B1499" s="4" t="str">
        <f>IFERROR(__xludf.DUMMYFUNCTION("""COMPUTED_VALUE"""),"Esponja abrasiva Lija Grado Alto Set 3")</f>
        <v>Esponja abrasiva Lija Grado Alto Set 3</v>
      </c>
      <c r="C1499" s="4">
        <f>IFERROR(__xludf.DUMMYFUNCTION("""COMPUTED_VALUE"""),1.68)</f>
        <v>1.68</v>
      </c>
    </row>
    <row r="1500">
      <c r="A1500" s="4" t="str">
        <f>IFERROR(__xludf.DUMMYFUNCTION("""COMPUTED_VALUE"""),"2711")</f>
        <v>2711</v>
      </c>
      <c r="B1500" s="4" t="str">
        <f>IFERROR(__xludf.DUMMYFUNCTION("""COMPUTED_VALUE"""),"Esponja Abrasiva Lija Brado Bajo Set 3")</f>
        <v>Esponja Abrasiva Lija Brado Bajo Set 3</v>
      </c>
      <c r="C1500" s="4">
        <f>IFERROR(__xludf.DUMMYFUNCTION("""COMPUTED_VALUE"""),1.68)</f>
        <v>1.68</v>
      </c>
    </row>
    <row r="1501">
      <c r="A1501" s="4" t="str">
        <f>IFERROR(__xludf.DUMMYFUNCTION("""COMPUTED_VALUE"""),"2712")</f>
        <v>2712</v>
      </c>
      <c r="B1501" s="4" t="str">
        <f>IFERROR(__xludf.DUMMYFUNCTION("""COMPUTED_VALUE"""),"Esponja Abrasiva Lija Grado Medio Set 3")</f>
        <v>Esponja Abrasiva Lija Grado Medio Set 3</v>
      </c>
      <c r="C1501" s="4">
        <f>IFERROR(__xludf.DUMMYFUNCTION("""COMPUTED_VALUE"""),1.68)</f>
        <v>1.68</v>
      </c>
    </row>
    <row r="1502">
      <c r="A1502" s="4" t="str">
        <f>IFERROR(__xludf.DUMMYFUNCTION("""COMPUTED_VALUE"""),"2713")</f>
        <v>2713</v>
      </c>
      <c r="B1502" s="4" t="str">
        <f>IFERROR(__xludf.DUMMYFUNCTION("""COMPUTED_VALUE"""),"Esponja Abrasiva Lija Set 3")</f>
        <v>Esponja Abrasiva Lija Set 3</v>
      </c>
      <c r="C1502" s="4">
        <f>IFERROR(__xludf.DUMMYFUNCTION("""COMPUTED_VALUE"""),1.68)</f>
        <v>1.68</v>
      </c>
    </row>
    <row r="1503">
      <c r="A1503" s="4" t="str">
        <f>IFERROR(__xludf.DUMMYFUNCTION("""COMPUTED_VALUE"""),"2714")</f>
        <v>2714</v>
      </c>
      <c r="B1503" s="4" t="str">
        <f>IFERROR(__xludf.DUMMYFUNCTION("""COMPUTED_VALUE"""),"Garrafa Apta contacto Alimentario 20 L")</f>
        <v>Garrafa Apta contacto Alimentario 20 L</v>
      </c>
      <c r="C1503" s="4">
        <f>IFERROR(__xludf.DUMMYFUNCTION("""COMPUTED_VALUE"""),8.879999999999999)</f>
        <v>8.88</v>
      </c>
    </row>
    <row r="1504">
      <c r="A1504" s="4" t="str">
        <f>IFERROR(__xludf.DUMMYFUNCTION("""COMPUTED_VALUE"""),"2715")</f>
        <v>2715</v>
      </c>
      <c r="B1504" s="4" t="str">
        <f>IFERROR(__xludf.DUMMYFUNCTION("""COMPUTED_VALUE"""),"Paño microfibra profesional 35x40 cm Gris")</f>
        <v>Paño microfibra profesional 35x40 cm Gris</v>
      </c>
      <c r="C1504" s="4">
        <f>IFERROR(__xludf.DUMMYFUNCTION("""COMPUTED_VALUE"""),0.45119999999999993)</f>
        <v>0.4512</v>
      </c>
    </row>
    <row r="1505">
      <c r="A1505" s="4" t="str">
        <f>IFERROR(__xludf.DUMMYFUNCTION("""COMPUTED_VALUE"""),"2716")</f>
        <v>2716</v>
      </c>
      <c r="B1505" s="4" t="str">
        <f>IFERROR(__xludf.DUMMYFUNCTION("""COMPUTED_VALUE"""),"Rollo Fibra abrasiva 15 CM X 6 M")</f>
        <v>Rollo Fibra abrasiva 15 CM X 6 M</v>
      </c>
      <c r="C1505" s="4">
        <f>IFERROR(__xludf.DUMMYFUNCTION("""COMPUTED_VALUE"""),8.4)</f>
        <v>8.4</v>
      </c>
    </row>
    <row r="1506">
      <c r="A1506" s="4" t="str">
        <f>IFERROR(__xludf.DUMMYFUNCTION("""COMPUTED_VALUE"""),"2785")</f>
        <v>2785</v>
      </c>
      <c r="B1506" s="4" t="str">
        <f>IFERROR(__xludf.DUMMYFUNCTION("""COMPUTED_VALUE"""),"Rodillo de marcar de 180")</f>
        <v>Rodillo de marcar de 180</v>
      </c>
      <c r="C1506" s="4">
        <f>IFERROR(__xludf.DUMMYFUNCTION("""COMPUTED_VALUE"""),73.92)</f>
        <v>73.92</v>
      </c>
    </row>
    <row r="1507">
      <c r="A1507" s="4" t="str">
        <f>IFERROR(__xludf.DUMMYFUNCTION("""COMPUTED_VALUE"""),"2800")</f>
        <v>2800</v>
      </c>
      <c r="B1507" s="4" t="str">
        <f>IFERROR(__xludf.DUMMYFUNCTION("""COMPUTED_VALUE"""),"Señal complementaria TPU Triangular 380 mm Reflex 1")</f>
        <v>Señal complementaria TPU Triangular 380 mm Reflex 1</v>
      </c>
      <c r="C1507" s="4">
        <f>IFERROR(__xludf.DUMMYFUNCTION("""COMPUTED_VALUE"""),8.64)</f>
        <v>8.64</v>
      </c>
    </row>
    <row r="1508">
      <c r="A1508" s="4" t="str">
        <f>IFERROR(__xludf.DUMMYFUNCTION("""COMPUTED_VALUE"""),"2900")</f>
        <v>2900</v>
      </c>
      <c r="B1508" s="4" t="str">
        <f>IFERROR(__xludf.DUMMYFUNCTION("""COMPUTED_VALUE"""),"Señal complementaria TPU circular 285 mm Reflex 1")</f>
        <v>Señal complementaria TPU circular 285 mm Reflex 1</v>
      </c>
      <c r="C1508" s="4">
        <f>IFERROR(__xludf.DUMMYFUNCTION("""COMPUTED_VALUE"""),8.64)</f>
        <v>8.64</v>
      </c>
    </row>
    <row r="1509">
      <c r="A1509" s="4" t="str">
        <f>IFERROR(__xludf.DUMMYFUNCTION("""COMPUTED_VALUE"""),"2901")</f>
        <v>2901</v>
      </c>
      <c r="B1509" s="4" t="str">
        <f>IFERROR(__xludf.DUMMYFUNCTION("""COMPUTED_VALUE"""),"Clavo yesero 250")</f>
        <v>Clavo yesero 250</v>
      </c>
      <c r="C1509" s="4">
        <f>IFERROR(__xludf.DUMMYFUNCTION("""COMPUTED_VALUE"""),1.392)</f>
        <v>1.392</v>
      </c>
    </row>
    <row r="1510">
      <c r="A1510" s="4" t="str">
        <f>IFERROR(__xludf.DUMMYFUNCTION("""COMPUTED_VALUE"""),"2969")</f>
        <v>2969</v>
      </c>
      <c r="B1510" s="4" t="str">
        <f>IFERROR(__xludf.DUMMYFUNCTION("""COMPUTED_VALUE"""),"Mezclador b/viscosidad 80 m/m")</f>
        <v>Mezclador b/viscosidad 80 m/m</v>
      </c>
      <c r="C1510" s="4">
        <f>IFERROR(__xludf.DUMMYFUNCTION("""COMPUTED_VALUE"""),1.8239999999999998)</f>
        <v>1.824</v>
      </c>
    </row>
    <row r="1511">
      <c r="A1511" s="4" t="str">
        <f>IFERROR(__xludf.DUMMYFUNCTION("""COMPUTED_VALUE"""),"2971")</f>
        <v>2971</v>
      </c>
      <c r="B1511" s="4" t="str">
        <f>IFERROR(__xludf.DUMMYFUNCTION("""COMPUTED_VALUE"""),"Mezclador pintura de 100 m/m")</f>
        <v>Mezclador pintura de 100 m/m</v>
      </c>
      <c r="C1511" s="4">
        <f>IFERROR(__xludf.DUMMYFUNCTION("""COMPUTED_VALUE"""),2.112)</f>
        <v>2.112</v>
      </c>
    </row>
    <row r="1512">
      <c r="A1512" s="4" t="str">
        <f>IFERROR(__xludf.DUMMYFUNCTION("""COMPUTED_VALUE"""),"3015")</f>
        <v>3015</v>
      </c>
      <c r="B1512" s="4" t="str">
        <f>IFERROR(__xludf.DUMMYFUNCTION("""COMPUTED_VALUE"""),"Distanciador cuña 0-7 (200 unid)")</f>
        <v>Distanciador cuña 0-7 (200 unid)</v>
      </c>
      <c r="C1512" s="4">
        <f>IFERROR(__xludf.DUMMYFUNCTION("""COMPUTED_VALUE"""),1.3439999999999999)</f>
        <v>1.344</v>
      </c>
    </row>
    <row r="1513">
      <c r="A1513" s="4" t="str">
        <f>IFERROR(__xludf.DUMMYFUNCTION("""COMPUTED_VALUE"""),"3030")</f>
        <v>3030</v>
      </c>
      <c r="B1513" s="4" t="str">
        <f>IFERROR(__xludf.DUMMYFUNCTION("""COMPUTED_VALUE"""),"Separador CONDOR 20 m/m (1000 Unid)")</f>
        <v>Separador CONDOR 20 m/m (1000 Unid)</v>
      </c>
      <c r="C1513" s="4">
        <f>IFERROR(__xludf.DUMMYFUNCTION("""COMPUTED_VALUE"""),28.176000000000002)</f>
        <v>28.176</v>
      </c>
    </row>
    <row r="1514">
      <c r="A1514" s="4" t="str">
        <f>IFERROR(__xludf.DUMMYFUNCTION("""COMPUTED_VALUE"""),"3031")</f>
        <v>3031</v>
      </c>
      <c r="B1514" s="4" t="str">
        <f>IFERROR(__xludf.DUMMYFUNCTION("""COMPUTED_VALUE"""),"Separador CONDOR 40 m/m (500 Unid)")</f>
        <v>Separador CONDOR 40 m/m (500 Unid)</v>
      </c>
      <c r="C1514" s="4">
        <f>IFERROR(__xludf.DUMMYFUNCTION("""COMPUTED_VALUE"""),25.151999999999997)</f>
        <v>25.152</v>
      </c>
    </row>
    <row r="1515">
      <c r="A1515" s="4" t="str">
        <f>IFERROR(__xludf.DUMMYFUNCTION("""COMPUTED_VALUE"""),"3032")</f>
        <v>3032</v>
      </c>
      <c r="B1515" s="4" t="str">
        <f>IFERROR(__xludf.DUMMYFUNCTION("""COMPUTED_VALUE"""),"Separador Universal (1000 Unid)")</f>
        <v>Separador Universal (1000 Unid)</v>
      </c>
      <c r="C1515" s="4">
        <f>IFERROR(__xludf.DUMMYFUNCTION("""COMPUTED_VALUE"""),40.12799999999999)</f>
        <v>40.128</v>
      </c>
    </row>
    <row r="1516">
      <c r="A1516" s="4" t="str">
        <f>IFERROR(__xludf.DUMMYFUNCTION("""COMPUTED_VALUE"""),"3033")</f>
        <v>3033</v>
      </c>
      <c r="B1516" s="4" t="str">
        <f>IFERROR(__xludf.DUMMYFUNCTION("""COMPUTED_VALUE"""),"Cono c/tapa para Guardacuerpos")</f>
        <v>Cono c/tapa para Guardacuerpos</v>
      </c>
      <c r="C1516" s="4">
        <f>IFERROR(__xludf.DUMMYFUNCTION("""COMPUTED_VALUE"""),0.1248)</f>
        <v>0.1248</v>
      </c>
    </row>
    <row r="1517">
      <c r="A1517" s="4" t="str">
        <f>IFERROR(__xludf.DUMMYFUNCTION("""COMPUTED_VALUE"""),"3034")</f>
        <v>3034</v>
      </c>
      <c r="B1517" s="4" t="str">
        <f>IFERROR(__xludf.DUMMYFUNCTION("""COMPUTED_VALUE"""),"Base guardacuerpos cuadr.35x40 (150 und)")</f>
        <v>Base guardacuerpos cuadr.35x40 (150 und)</v>
      </c>
      <c r="C1517" s="4">
        <f>IFERROR(__xludf.DUMMYFUNCTION("""COMPUTED_VALUE"""),32.016)</f>
        <v>32.016</v>
      </c>
    </row>
    <row r="1518">
      <c r="A1518" s="4" t="str">
        <f>IFERROR(__xludf.DUMMYFUNCTION("""COMPUTED_VALUE"""),"3035")</f>
        <v>3035</v>
      </c>
      <c r="B1518" s="4" t="str">
        <f>IFERROR(__xludf.DUMMYFUNCTION("""COMPUTED_VALUE"""),"Separador CONDOR 30 m/m (1000 Unid)")</f>
        <v>Separador CONDOR 30 m/m (1000 Unid)</v>
      </c>
      <c r="C1518" s="4">
        <f>IFERROR(__xludf.DUMMYFUNCTION("""COMPUTED_VALUE"""),35.76)</f>
        <v>35.76</v>
      </c>
    </row>
    <row r="1519">
      <c r="A1519" s="4" t="str">
        <f>IFERROR(__xludf.DUMMYFUNCTION("""COMPUTED_VALUE"""),"3036")</f>
        <v>3036</v>
      </c>
      <c r="B1519" s="4" t="str">
        <f>IFERROR(__xludf.DUMMYFUNCTION("""COMPUTED_VALUE"""),"Base horca-pescante 60x40 ( 114 unid)")</f>
        <v>Base horca-pescante 60x40 ( 114 unid)</v>
      </c>
      <c r="C1519" s="4">
        <f>IFERROR(__xludf.DUMMYFUNCTION("""COMPUTED_VALUE"""),115.056)</f>
        <v>115.056</v>
      </c>
    </row>
    <row r="1520">
      <c r="A1520" s="4" t="str">
        <f>IFERROR(__xludf.DUMMYFUNCTION("""COMPUTED_VALUE"""),"3037")</f>
        <v>3037</v>
      </c>
      <c r="B1520" s="4" t="str">
        <f>IFERROR(__xludf.DUMMYFUNCTION("""COMPUTED_VALUE"""),"Base horca-pescante 60x60 ( 45 unid)")</f>
        <v>Base horca-pescante 60x60 ( 45 unid)</v>
      </c>
      <c r="C1520" s="4">
        <f>IFERROR(__xludf.DUMMYFUNCTION("""COMPUTED_VALUE"""),42.239999999999995)</f>
        <v>42.24</v>
      </c>
    </row>
    <row r="1521">
      <c r="A1521" s="4" t="str">
        <f>IFERROR(__xludf.DUMMYFUNCTION("""COMPUTED_VALUE"""),"3038")</f>
        <v>3038</v>
      </c>
      <c r="B1521" s="4" t="str">
        <f>IFERROR(__xludf.DUMMYFUNCTION("""COMPUTED_VALUE"""),"Separador CONDOR 50 m/m (500 Unid )")</f>
        <v>Separador CONDOR 50 m/m (500 Unid )</v>
      </c>
      <c r="C1521" s="4">
        <f>IFERROR(__xludf.DUMMYFUNCTION("""COMPUTED_VALUE"""),37.8)</f>
        <v>37.8</v>
      </c>
    </row>
    <row r="1522">
      <c r="A1522" s="4" t="str">
        <f>IFERROR(__xludf.DUMMYFUNCTION("""COMPUTED_VALUE"""),"3039")</f>
        <v>3039</v>
      </c>
      <c r="B1522" s="4" t="str">
        <f>IFERROR(__xludf.DUMMYFUNCTION("""COMPUTED_VALUE"""),"Seta protectora Varilla 12-20")</f>
        <v>Seta protectora Varilla 12-20</v>
      </c>
      <c r="C1522" s="4">
        <f>IFERROR(__xludf.DUMMYFUNCTION("""COMPUTED_VALUE"""),0.06720000000000001)</f>
        <v>0.0672</v>
      </c>
    </row>
    <row r="1523">
      <c r="A1523" s="4" t="str">
        <f>IFERROR(__xludf.DUMMYFUNCTION("""COMPUTED_VALUE"""),"3041")</f>
        <v>3041</v>
      </c>
      <c r="B1523" s="4" t="str">
        <f>IFERROR(__xludf.DUMMYFUNCTION("""COMPUTED_VALUE"""),"Seta protect. cuadrada 35x40 ( 100 unid )")</f>
        <v>Seta protect. cuadrada 35x40 ( 100 unid )</v>
      </c>
      <c r="C1523" s="4">
        <f>IFERROR(__xludf.DUMMYFUNCTION("""COMPUTED_VALUE"""),12.288)</f>
        <v>12.288</v>
      </c>
    </row>
    <row r="1524">
      <c r="A1524" s="4" t="str">
        <f>IFERROR(__xludf.DUMMYFUNCTION("""COMPUTED_VALUE"""),"3042")</f>
        <v>3042</v>
      </c>
      <c r="B1524" s="4" t="str">
        <f>IFERROR(__xludf.DUMMYFUNCTION("""COMPUTED_VALUE"""),"Setón protector varilla 24-40 ( 200 unid )")</f>
        <v>Setón protector varilla 24-40 ( 200 unid )</v>
      </c>
      <c r="C1524" s="4">
        <f>IFERROR(__xludf.DUMMYFUNCTION("""COMPUTED_VALUE"""),32.16)</f>
        <v>32.16</v>
      </c>
    </row>
    <row r="1525">
      <c r="A1525" s="4" t="str">
        <f>IFERROR(__xludf.DUMMYFUNCTION("""COMPUTED_VALUE"""),"3043")</f>
        <v>3043</v>
      </c>
      <c r="B1525" s="4" t="str">
        <f>IFERROR(__xludf.DUMMYFUNCTION("""COMPUTED_VALUE"""),"Seta protectora c/ refuerzo interior (100 unid)")</f>
        <v>Seta protectora c/ refuerzo interior (100 unid)</v>
      </c>
      <c r="C1525" s="4">
        <f>IFERROR(__xludf.DUMMYFUNCTION("""COMPUTED_VALUE"""),19.151999999999997)</f>
        <v>19.152</v>
      </c>
    </row>
    <row r="1526">
      <c r="A1526" s="4" t="str">
        <f>IFERROR(__xludf.DUMMYFUNCTION("""COMPUTED_VALUE"""),"3100")</f>
        <v>3100</v>
      </c>
      <c r="B1526" s="4" t="str">
        <f>IFERROR(__xludf.DUMMYFUNCTION("""COMPUTED_VALUE"""),"Junta de dilatación 4 cm M.Lineal")</f>
        <v>Junta de dilatación 4 cm M.Lineal</v>
      </c>
      <c r="C1526" s="4">
        <f>IFERROR(__xludf.DUMMYFUNCTION("""COMPUTED_VALUE"""),0.8448)</f>
        <v>0.8448</v>
      </c>
    </row>
    <row r="1527">
      <c r="A1527" s="4" t="str">
        <f>IFERROR(__xludf.DUMMYFUNCTION("""COMPUTED_VALUE"""),"3101")</f>
        <v>3101</v>
      </c>
      <c r="B1527" s="4" t="str">
        <f>IFERROR(__xludf.DUMMYFUNCTION("""COMPUTED_VALUE"""),"Junta de dilatación 8 cm M.Lineal")</f>
        <v>Junta de dilatación 8 cm M.Lineal</v>
      </c>
      <c r="C1527" s="4">
        <f>IFERROR(__xludf.DUMMYFUNCTION("""COMPUTED_VALUE"""),1.152)</f>
        <v>1.152</v>
      </c>
    </row>
    <row r="1528">
      <c r="A1528" s="4" t="str">
        <f>IFERROR(__xludf.DUMMYFUNCTION("""COMPUTED_VALUE"""),"3102")</f>
        <v>3102</v>
      </c>
      <c r="B1528" s="4" t="str">
        <f>IFERROR(__xludf.DUMMYFUNCTION("""COMPUTED_VALUE"""),"Conexión para cadena y cinta poste ref 1136")</f>
        <v>Conexión para cadena y cinta poste ref 1136</v>
      </c>
      <c r="C1528" s="4">
        <f>IFERROR(__xludf.DUMMYFUNCTION("""COMPUTED_VALUE"""),1.3439999999999999)</f>
        <v>1.344</v>
      </c>
    </row>
    <row r="1529">
      <c r="A1529" s="4" t="str">
        <f>IFERROR(__xludf.DUMMYFUNCTION("""COMPUTED_VALUE"""),"3103")</f>
        <v>3103</v>
      </c>
      <c r="B1529" s="4" t="str">
        <f>IFERROR(__xludf.DUMMYFUNCTION("""COMPUTED_VALUE"""),"Conexion para hito 0588 a señales TPU")</f>
        <v>Conexion para hito 0588 a señales TPU</v>
      </c>
      <c r="C1529" s="4">
        <f>IFERROR(__xludf.DUMMYFUNCTION("""COMPUTED_VALUE"""),2.88)</f>
        <v>2.88</v>
      </c>
    </row>
    <row r="1530">
      <c r="A1530" s="4" t="str">
        <f>IFERROR(__xludf.DUMMYFUNCTION("""COMPUTED_VALUE"""),"3105")</f>
        <v>3105</v>
      </c>
      <c r="B1530" s="4" t="str">
        <f>IFERROR(__xludf.DUMMYFUNCTION("""COMPUTED_VALUE"""),"Tornillo y taco para reductor velocidad")</f>
        <v>Tornillo y taco para reductor velocidad</v>
      </c>
      <c r="C1530" s="4">
        <f>IFERROR(__xludf.DUMMYFUNCTION("""COMPUTED_VALUE"""),0.45119999999999993)</f>
        <v>0.4512</v>
      </c>
    </row>
    <row r="1531">
      <c r="A1531" s="4" t="str">
        <f>IFERROR(__xludf.DUMMYFUNCTION("""COMPUTED_VALUE"""),"3112")</f>
        <v>3112</v>
      </c>
      <c r="B1531" s="4" t="str">
        <f>IFERROR(__xludf.DUMMYFUNCTION("""COMPUTED_VALUE"""),"Conexión para conos")</f>
        <v>Conexión para conos</v>
      </c>
      <c r="C1531" s="4">
        <f>IFERROR(__xludf.DUMMYFUNCTION("""COMPUTED_VALUE"""),5.76)</f>
        <v>5.76</v>
      </c>
    </row>
    <row r="1532">
      <c r="A1532" s="4" t="str">
        <f>IFERROR(__xludf.DUMMYFUNCTION("""COMPUTED_VALUE"""),"3250")</f>
        <v>3250</v>
      </c>
      <c r="B1532" s="4" t="str">
        <f>IFERROR(__xludf.DUMMYFUNCTION("""COMPUTED_VALUE"""),"Mts. Guardavivo yeso")</f>
        <v>Mts. Guardavivo yeso</v>
      </c>
      <c r="C1532" s="4">
        <f>IFERROR(__xludf.DUMMYFUNCTION("""COMPUTED_VALUE"""),0.39359999999999995)</f>
        <v>0.3936</v>
      </c>
    </row>
    <row r="1533">
      <c r="A1533" s="4" t="str">
        <f>IFERROR(__xludf.DUMMYFUNCTION("""COMPUTED_VALUE"""),"3251")</f>
        <v>3251</v>
      </c>
      <c r="B1533" s="4" t="str">
        <f>IFERROR(__xludf.DUMMYFUNCTION("""COMPUTED_VALUE"""),"Mts. Guardacantos c/blanco")</f>
        <v>Mts. Guardacantos c/blanco</v>
      </c>
      <c r="C1533" s="4">
        <f>IFERROR(__xludf.DUMMYFUNCTION("""COMPUTED_VALUE"""),0.4128)</f>
        <v>0.4128</v>
      </c>
    </row>
    <row r="1534">
      <c r="A1534" s="4" t="str">
        <f>IFERROR(__xludf.DUMMYFUNCTION("""COMPUTED_VALUE"""),"3252")</f>
        <v>3252</v>
      </c>
      <c r="B1534" s="4" t="str">
        <f>IFERROR(__xludf.DUMMYFUNCTION("""COMPUTED_VALUE"""),"Mts. Guardacantos c/ marfil")</f>
        <v>Mts. Guardacantos c/ marfil</v>
      </c>
      <c r="C1534" s="4">
        <f>IFERROR(__xludf.DUMMYFUNCTION("""COMPUTED_VALUE"""),0.4128)</f>
        <v>0.4128</v>
      </c>
    </row>
    <row r="1535">
      <c r="A1535" s="4" t="str">
        <f>IFERROR(__xludf.DUMMYFUNCTION("""COMPUTED_VALUE"""),"3253")</f>
        <v>3253</v>
      </c>
      <c r="B1535" s="4" t="str">
        <f>IFERROR(__xludf.DUMMYFUNCTION("""COMPUTED_VALUE"""),"Mts. Guardacantos c/gris")</f>
        <v>Mts. Guardacantos c/gris</v>
      </c>
      <c r="C1535" s="4">
        <f>IFERROR(__xludf.DUMMYFUNCTION("""COMPUTED_VALUE"""),0.4128)</f>
        <v>0.4128</v>
      </c>
    </row>
    <row r="1536">
      <c r="A1536" s="4" t="str">
        <f>IFERROR(__xludf.DUMMYFUNCTION("""COMPUTED_VALUE"""),"3254")</f>
        <v>3254</v>
      </c>
      <c r="B1536" s="4" t="str">
        <f>IFERROR(__xludf.DUMMYFUNCTION("""COMPUTED_VALUE"""),"Mts. Junquillo PVC para monocapa")</f>
        <v>Mts. Junquillo PVC para monocapa</v>
      </c>
      <c r="C1536" s="4">
        <f>IFERROR(__xludf.DUMMYFUNCTION("""COMPUTED_VALUE"""),0.3168)</f>
        <v>0.3168</v>
      </c>
    </row>
    <row r="1537">
      <c r="A1537" s="4" t="str">
        <f>IFERROR(__xludf.DUMMYFUNCTION("""COMPUTED_VALUE"""),"3256")</f>
        <v>3256</v>
      </c>
      <c r="B1537" s="4" t="str">
        <f>IFERROR(__xludf.DUMMYFUNCTION("""COMPUTED_VALUE"""),"Mts. Guardavivo monocapa punta fina")</f>
        <v>Mts. Guardavivo monocapa punta fina</v>
      </c>
      <c r="C1537" s="4">
        <f>IFERROR(__xludf.DUMMYFUNCTION("""COMPUTED_VALUE"""),0.3648)</f>
        <v>0.3648</v>
      </c>
    </row>
    <row r="1538">
      <c r="A1538" s="4" t="str">
        <f>IFERROR(__xludf.DUMMYFUNCTION("""COMPUTED_VALUE"""),"3300")</f>
        <v>3300</v>
      </c>
      <c r="B1538" s="4" t="str">
        <f>IFERROR(__xludf.DUMMYFUNCTION("""COMPUTED_VALUE"""),"Mt.Tubo encofrado 22/26- ( En 3 mts)")</f>
        <v>Mt.Tubo encofrado 22/26- ( En 3 mts)</v>
      </c>
      <c r="C1538" s="4">
        <f>IFERROR(__xludf.DUMMYFUNCTION("""COMPUTED_VALUE"""),0.432)</f>
        <v>0.432</v>
      </c>
    </row>
    <row r="1539">
      <c r="A1539" s="4" t="str">
        <f>IFERROR(__xludf.DUMMYFUNCTION("""COMPUTED_VALUE"""),"3301")</f>
        <v>3301</v>
      </c>
      <c r="B1539" s="4" t="str">
        <f>IFERROR(__xludf.DUMMYFUNCTION("""COMPUTED_VALUE"""),"Mt.Tubo encofrado 22/26 -( En 2 mts)")</f>
        <v>Mt.Tubo encofrado 22/26 -( En 2 mts)</v>
      </c>
      <c r="C1539" s="4">
        <f>IFERROR(__xludf.DUMMYFUNCTION("""COMPUTED_VALUE"""),0.432)</f>
        <v>0.432</v>
      </c>
    </row>
    <row r="1540">
      <c r="A1540" s="4" t="str">
        <f>IFERROR(__xludf.DUMMYFUNCTION("""COMPUTED_VALUE"""),"3302")</f>
        <v>3302</v>
      </c>
      <c r="B1540" s="4" t="str">
        <f>IFERROR(__xludf.DUMMYFUNCTION("""COMPUTED_VALUE"""),"Mt Tubo encofrado 26/30- ( En 2 mts)")</f>
        <v>Mt Tubo encofrado 26/30- ( En 2 mts)</v>
      </c>
      <c r="C1540" s="4">
        <f>IFERROR(__xludf.DUMMYFUNCTION("""COMPUTED_VALUE"""),0.528)</f>
        <v>0.528</v>
      </c>
    </row>
    <row r="1541">
      <c r="A1541" s="4" t="str">
        <f>IFERROR(__xludf.DUMMYFUNCTION("""COMPUTED_VALUE"""),"3303")</f>
        <v>3303</v>
      </c>
      <c r="B1541" s="4" t="str">
        <f>IFERROR(__xludf.DUMMYFUNCTION("""COMPUTED_VALUE"""),"Mts. Berengeno Pequeño 27,2mm Base x 20mm Alt.")</f>
        <v>Mts. Berengeno Pequeño 27,2mm Base x 20mm Alt.</v>
      </c>
      <c r="C1541" s="4">
        <f>IFERROR(__xludf.DUMMYFUNCTION("""COMPUTED_VALUE"""),0.39359999999999995)</f>
        <v>0.3936</v>
      </c>
    </row>
    <row r="1542">
      <c r="A1542" s="4" t="str">
        <f>IFERROR(__xludf.DUMMYFUNCTION("""COMPUTED_VALUE"""),"3304")</f>
        <v>3304</v>
      </c>
      <c r="B1542" s="4" t="str">
        <f>IFERROR(__xludf.DUMMYFUNCTION("""COMPUTED_VALUE"""),"Mts. Berengeno Mediano 34mm Base x 25mm Alt.")</f>
        <v>Mts. Berengeno Mediano 34mm Base x 25mm Alt.</v>
      </c>
      <c r="C1542" s="4">
        <f>IFERROR(__xludf.DUMMYFUNCTION("""COMPUTED_VALUE"""),0.5088)</f>
        <v>0.5088</v>
      </c>
    </row>
    <row r="1543">
      <c r="A1543" s="4" t="str">
        <f>IFERROR(__xludf.DUMMYFUNCTION("""COMPUTED_VALUE"""),"3305")</f>
        <v>3305</v>
      </c>
      <c r="B1543" s="4" t="str">
        <f>IFERROR(__xludf.DUMMYFUNCTION("""COMPUTED_VALUE"""),"Mts. Berengeno Grande 41mm Base x 30mm Alt,")</f>
        <v>Mts. Berengeno Grande 41mm Base x 30mm Alt,</v>
      </c>
      <c r="C1543" s="4">
        <f>IFERROR(__xludf.DUMMYFUNCTION("""COMPUTED_VALUE"""),0.5663999999999999)</f>
        <v>0.5664</v>
      </c>
    </row>
    <row r="1544">
      <c r="A1544" s="4" t="str">
        <f>IFERROR(__xludf.DUMMYFUNCTION("""COMPUTED_VALUE"""),"3306")</f>
        <v>3306</v>
      </c>
      <c r="B1544" s="4" t="str">
        <f>IFERROR(__xludf.DUMMYFUNCTION("""COMPUTED_VALUE"""),"Tubo ETUBAX 20 cm")</f>
        <v>Tubo ETUBAX 20 cm</v>
      </c>
      <c r="C1544" s="4">
        <f>IFERROR(__xludf.DUMMYFUNCTION("""COMPUTED_VALUE"""),0.2784)</f>
        <v>0.2784</v>
      </c>
    </row>
    <row r="1545">
      <c r="A1545" s="4" t="str">
        <f>IFERROR(__xludf.DUMMYFUNCTION("""COMPUTED_VALUE"""),"3307")</f>
        <v>3307</v>
      </c>
      <c r="B1545" s="4" t="str">
        <f>IFERROR(__xludf.DUMMYFUNCTION("""COMPUTED_VALUE"""),"Tubo ETUBAX 25 cm")</f>
        <v>Tubo ETUBAX 25 cm</v>
      </c>
      <c r="C1545" s="4">
        <f>IFERROR(__xludf.DUMMYFUNCTION("""COMPUTED_VALUE"""),0.2976)</f>
        <v>0.2976</v>
      </c>
    </row>
    <row r="1546">
      <c r="A1546" s="4" t="str">
        <f>IFERROR(__xludf.DUMMYFUNCTION("""COMPUTED_VALUE"""),"3308")</f>
        <v>3308</v>
      </c>
      <c r="B1546" s="4" t="str">
        <f>IFERROR(__xludf.DUMMYFUNCTION("""COMPUTED_VALUE"""),"Tubo ETUBAX 30 cm")</f>
        <v>Tubo ETUBAX 30 cm</v>
      </c>
      <c r="C1546" s="4">
        <f>IFERROR(__xludf.DUMMYFUNCTION("""COMPUTED_VALUE"""),0.3648)</f>
        <v>0.3648</v>
      </c>
    </row>
    <row r="1547">
      <c r="A1547" s="4" t="str">
        <f>IFERROR(__xludf.DUMMYFUNCTION("""COMPUTED_VALUE"""),"3309")</f>
        <v>3309</v>
      </c>
      <c r="B1547" s="4" t="str">
        <f>IFERROR(__xludf.DUMMYFUNCTION("""COMPUTED_VALUE"""),"Tubo ETUBAX 35 cm")</f>
        <v>Tubo ETUBAX 35 cm</v>
      </c>
      <c r="C1547" s="4">
        <f>IFERROR(__xludf.DUMMYFUNCTION("""COMPUTED_VALUE"""),0.3648)</f>
        <v>0.3648</v>
      </c>
    </row>
    <row r="1548">
      <c r="A1548" s="4" t="str">
        <f>IFERROR(__xludf.DUMMYFUNCTION("""COMPUTED_VALUE"""),"3310")</f>
        <v>3310</v>
      </c>
      <c r="B1548" s="4" t="str">
        <f>IFERROR(__xludf.DUMMYFUNCTION("""COMPUTED_VALUE"""),"Tubo ETUBAX 40 cm")</f>
        <v>Tubo ETUBAX 40 cm</v>
      </c>
      <c r="C1548" s="4">
        <f>IFERROR(__xludf.DUMMYFUNCTION("""COMPUTED_VALUE"""),0.4416)</f>
        <v>0.4416</v>
      </c>
    </row>
    <row r="1549">
      <c r="A1549" s="4" t="str">
        <f>IFERROR(__xludf.DUMMYFUNCTION("""COMPUTED_VALUE"""),"3315")</f>
        <v>3315</v>
      </c>
      <c r="B1549" s="4" t="str">
        <f>IFERROR(__xludf.DUMMYFUNCTION("""COMPUTED_VALUE"""),"Mts. Berengeno Mini 17,2mm Base x 12,5 mm Alt.")</f>
        <v>Mts. Berengeno Mini 17,2mm Base x 12,5 mm Alt.</v>
      </c>
      <c r="C1549" s="4">
        <f>IFERROR(__xludf.DUMMYFUNCTION("""COMPUTED_VALUE"""),0.3168)</f>
        <v>0.3168</v>
      </c>
    </row>
    <row r="1550">
      <c r="A1550" s="4" t="str">
        <f>IFERROR(__xludf.DUMMYFUNCTION("""COMPUTED_VALUE"""),"3370")</f>
        <v>3370</v>
      </c>
      <c r="B1550" s="4" t="str">
        <f>IFERROR(__xludf.DUMMYFUNCTION("""COMPUTED_VALUE"""),"Separador rueda 25 m/m (1000 Unid)")</f>
        <v>Separador rueda 25 m/m (1000 Unid)</v>
      </c>
      <c r="C1550" s="4">
        <f>IFERROR(__xludf.DUMMYFUNCTION("""COMPUTED_VALUE"""),26.784)</f>
        <v>26.784</v>
      </c>
    </row>
    <row r="1551">
      <c r="A1551" s="4" t="str">
        <f>IFERROR(__xludf.DUMMYFUNCTION("""COMPUTED_VALUE"""),"3371")</f>
        <v>3371</v>
      </c>
      <c r="B1551" s="4" t="str">
        <f>IFERROR(__xludf.DUMMYFUNCTION("""COMPUTED_VALUE"""),"Separador rueda 30 m/m (1000 Unid)")</f>
        <v>Separador rueda 30 m/m (1000 Unid)</v>
      </c>
      <c r="C1551" s="4">
        <f>IFERROR(__xludf.DUMMYFUNCTION("""COMPUTED_VALUE"""),28.752)</f>
        <v>28.752</v>
      </c>
    </row>
    <row r="1552">
      <c r="A1552" s="4" t="str">
        <f>IFERROR(__xludf.DUMMYFUNCTION("""COMPUTED_VALUE"""),"3372")</f>
        <v>3372</v>
      </c>
      <c r="B1552" s="4" t="str">
        <f>IFERROR(__xludf.DUMMYFUNCTION("""COMPUTED_VALUE"""),"Separador rueda 35 m/m (500 Unid)")</f>
        <v>Separador rueda 35 m/m (500 Unid)</v>
      </c>
      <c r="C1552" s="4">
        <f>IFERROR(__xludf.DUMMYFUNCTION("""COMPUTED_VALUE"""),22.56)</f>
        <v>22.56</v>
      </c>
    </row>
    <row r="1553">
      <c r="A1553" s="4" t="str">
        <f>IFERROR(__xludf.DUMMYFUNCTION("""COMPUTED_VALUE"""),"3373")</f>
        <v>3373</v>
      </c>
      <c r="B1553" s="4" t="str">
        <f>IFERROR(__xludf.DUMMYFUNCTION("""COMPUTED_VALUE"""),"Separador rueda 40 m/m (500 Unid)")</f>
        <v>Separador rueda 40 m/m (500 Unid)</v>
      </c>
      <c r="C1553" s="4">
        <f>IFERROR(__xludf.DUMMYFUNCTION("""COMPUTED_VALUE"""),28.08)</f>
        <v>28.08</v>
      </c>
    </row>
    <row r="1554">
      <c r="A1554" s="4" t="str">
        <f>IFERROR(__xludf.DUMMYFUNCTION("""COMPUTED_VALUE"""),"3374")</f>
        <v>3374</v>
      </c>
      <c r="B1554" s="4" t="str">
        <f>IFERROR(__xludf.DUMMYFUNCTION("""COMPUTED_VALUE"""),"Separador rueda 50 m/m (250 Unid)")</f>
        <v>Separador rueda 50 m/m (250 Unid)</v>
      </c>
      <c r="C1554" s="4">
        <f>IFERROR(__xludf.DUMMYFUNCTION("""COMPUTED_VALUE"""),25.68)</f>
        <v>25.68</v>
      </c>
    </row>
    <row r="1555">
      <c r="A1555" s="4" t="str">
        <f>IFERROR(__xludf.DUMMYFUNCTION("""COMPUTED_VALUE"""),"3376")</f>
        <v>3376</v>
      </c>
      <c r="B1555" s="4" t="str">
        <f>IFERROR(__xludf.DUMMYFUNCTION("""COMPUTED_VALUE"""),"Separador rueda 70 m/m ( 150 unid )")</f>
        <v>Separador rueda 70 m/m ( 150 unid )</v>
      </c>
      <c r="C1555" s="4">
        <f>IFERROR(__xludf.DUMMYFUNCTION("""COMPUTED_VALUE"""),26.64)</f>
        <v>26.64</v>
      </c>
    </row>
    <row r="1556">
      <c r="A1556" s="4" t="str">
        <f>IFERROR(__xludf.DUMMYFUNCTION("""COMPUTED_VALUE"""),"3390")</f>
        <v>3390</v>
      </c>
      <c r="B1556" s="4" t="str">
        <f>IFERROR(__xludf.DUMMYFUNCTION("""COMPUTED_VALUE"""),"Cono standard tubo de 26 mm (1000 unid )")</f>
        <v>Cono standard tubo de 26 mm (1000 unid )</v>
      </c>
      <c r="C1556" s="4">
        <f>IFERROR(__xludf.DUMMYFUNCTION("""COMPUTED_VALUE"""),52.876799999999996)</f>
        <v>52.8768</v>
      </c>
    </row>
    <row r="1557">
      <c r="A1557" s="4" t="str">
        <f>IFERROR(__xludf.DUMMYFUNCTION("""COMPUTED_VALUE"""),"3391")</f>
        <v>3391</v>
      </c>
      <c r="B1557" s="4" t="str">
        <f>IFERROR(__xludf.DUMMYFUNCTION("""COMPUTED_VALUE"""),"Cono para tubo 22/26 bolsa 1000 uds")</f>
        <v>Cono para tubo 22/26 bolsa 1000 uds</v>
      </c>
      <c r="C1557" s="4">
        <f>IFERROR(__xludf.DUMMYFUNCTION("""COMPUTED_VALUE"""),17.28)</f>
        <v>17.28</v>
      </c>
    </row>
    <row r="1558">
      <c r="A1558" s="4" t="str">
        <f>IFERROR(__xludf.DUMMYFUNCTION("""COMPUTED_VALUE"""),"3392")</f>
        <v>3392</v>
      </c>
      <c r="B1558" s="4" t="str">
        <f>IFERROR(__xludf.DUMMYFUNCTION("""COMPUTED_VALUE"""),"Cono liso para tubo 22 mm ( 500 unid )")</f>
        <v>Cono liso para tubo 22 mm ( 500 unid )</v>
      </c>
      <c r="C1558" s="4">
        <f>IFERROR(__xludf.DUMMYFUNCTION("""COMPUTED_VALUE"""),13.584)</f>
        <v>13.584</v>
      </c>
    </row>
    <row r="1559">
      <c r="A1559" s="4" t="str">
        <f>IFERROR(__xludf.DUMMYFUNCTION("""COMPUTED_VALUE"""),"3393")</f>
        <v>3393</v>
      </c>
      <c r="B1559" s="4" t="str">
        <f>IFERROR(__xludf.DUMMYFUNCTION("""COMPUTED_VALUE"""),"Tapón para cono liso (500 und)")</f>
        <v>Tapón para cono liso (500 und)</v>
      </c>
      <c r="C1559" s="4">
        <f>IFERROR(__xludf.DUMMYFUNCTION("""COMPUTED_VALUE"""),10.08)</f>
        <v>10.08</v>
      </c>
    </row>
    <row r="1560">
      <c r="A1560" s="4" t="str">
        <f>IFERROR(__xludf.DUMMYFUNCTION("""COMPUTED_VALUE"""),"3394")</f>
        <v>3394</v>
      </c>
      <c r="B1560" s="4" t="str">
        <f>IFERROR(__xludf.DUMMYFUNCTION("""COMPUTED_VALUE"""),"Tapon estanco 4 aletas tubo 22 (500 unid)")</f>
        <v>Tapon estanco 4 aletas tubo 22 (500 unid)</v>
      </c>
      <c r="C1560" s="4">
        <f>IFERROR(__xludf.DUMMYFUNCTION("""COMPUTED_VALUE"""),16.608)</f>
        <v>16.608</v>
      </c>
    </row>
    <row r="1561">
      <c r="A1561" s="4" t="str">
        <f>IFERROR(__xludf.DUMMYFUNCTION("""COMPUTED_VALUE"""),"3396")</f>
        <v>3396</v>
      </c>
      <c r="B1561" s="4" t="str">
        <f>IFERROR(__xludf.DUMMYFUNCTION("""COMPUTED_VALUE"""),"Tapón standard tubo 22 m/m (1000 Uni)")</f>
        <v>Tapón standard tubo 22 m/m (1000 Uni)</v>
      </c>
      <c r="C1561" s="4">
        <f>IFERROR(__xludf.DUMMYFUNCTION("""COMPUTED_VALUE"""),13.584)</f>
        <v>13.584</v>
      </c>
    </row>
    <row r="1562">
      <c r="A1562" s="4" t="str">
        <f>IFERROR(__xludf.DUMMYFUNCTION("""COMPUTED_VALUE"""),"3397")</f>
        <v>3397</v>
      </c>
      <c r="B1562" s="4" t="str">
        <f>IFERROR(__xludf.DUMMYFUNCTION("""COMPUTED_VALUE"""),"Tapón standard tubo 26 m/m 1000 unid)")</f>
        <v>Tapón standard tubo 26 m/m 1000 unid)</v>
      </c>
      <c r="C1562" s="4">
        <f>IFERROR(__xludf.DUMMYFUNCTION("""COMPUTED_VALUE"""),32.256)</f>
        <v>32.256</v>
      </c>
    </row>
    <row r="1563">
      <c r="A1563" s="4" t="str">
        <f>IFERROR(__xludf.DUMMYFUNCTION("""COMPUTED_VALUE"""),"4004")</f>
        <v>4004</v>
      </c>
      <c r="B1563" s="4" t="str">
        <f>IFERROR(__xludf.DUMMYFUNCTION("""COMPUTED_VALUE"""),"Mts. cuerda CERVINO 4 m/m")</f>
        <v>Mts. cuerda CERVINO 4 m/m</v>
      </c>
      <c r="C1563" s="4">
        <f>IFERROR(__xludf.DUMMYFUNCTION("""COMPUTED_VALUE"""),0.13440000000000002)</f>
        <v>0.1344</v>
      </c>
    </row>
    <row r="1564">
      <c r="A1564" s="4" t="str">
        <f>IFERROR(__xludf.DUMMYFUNCTION("""COMPUTED_VALUE"""),"4006")</f>
        <v>4006</v>
      </c>
      <c r="B1564" s="4" t="str">
        <f>IFERROR(__xludf.DUMMYFUNCTION("""COMPUTED_VALUE"""),"Mts. cuerda CERVINO 6 m/m")</f>
        <v>Mts. cuerda CERVINO 6 m/m</v>
      </c>
      <c r="C1564" s="4">
        <f>IFERROR(__xludf.DUMMYFUNCTION("""COMPUTED_VALUE"""),0.1824)</f>
        <v>0.1824</v>
      </c>
    </row>
    <row r="1565">
      <c r="A1565" s="4" t="str">
        <f>IFERROR(__xludf.DUMMYFUNCTION("""COMPUTED_VALUE"""),"4008")</f>
        <v>4008</v>
      </c>
      <c r="B1565" s="4" t="str">
        <f>IFERROR(__xludf.DUMMYFUNCTION("""COMPUTED_VALUE"""),"Mts. cuerda CERVINO 8 m/m")</f>
        <v>Mts. cuerda CERVINO 8 m/m</v>
      </c>
      <c r="C1565" s="4">
        <f>IFERROR(__xludf.DUMMYFUNCTION("""COMPUTED_VALUE"""),0.24)</f>
        <v>0.24</v>
      </c>
    </row>
    <row r="1566">
      <c r="A1566" s="4" t="str">
        <f>IFERROR(__xludf.DUMMYFUNCTION("""COMPUTED_VALUE"""),"4010")</f>
        <v>4010</v>
      </c>
      <c r="B1566" s="4" t="str">
        <f>IFERROR(__xludf.DUMMYFUNCTION("""COMPUTED_VALUE"""),"Mts. cuerda CERVINO 10 m/m")</f>
        <v>Mts. cuerda CERVINO 10 m/m</v>
      </c>
      <c r="C1566" s="4">
        <f>IFERROR(__xludf.DUMMYFUNCTION("""COMPUTED_VALUE"""),0.39359999999999995)</f>
        <v>0.3936</v>
      </c>
    </row>
    <row r="1567">
      <c r="A1567" s="4" t="str">
        <f>IFERROR(__xludf.DUMMYFUNCTION("""COMPUTED_VALUE"""),"4012")</f>
        <v>4012</v>
      </c>
      <c r="B1567" s="4" t="str">
        <f>IFERROR(__xludf.DUMMYFUNCTION("""COMPUTED_VALUE"""),"Mts. cuerda CERVINO 12 m/m")</f>
        <v>Mts. cuerda CERVINO 12 m/m</v>
      </c>
      <c r="C1567" s="4">
        <f>IFERROR(__xludf.DUMMYFUNCTION("""COMPUTED_VALUE"""),0.6336)</f>
        <v>0.6336</v>
      </c>
    </row>
    <row r="1568">
      <c r="A1568" s="4" t="str">
        <f>IFERROR(__xludf.DUMMYFUNCTION("""COMPUTED_VALUE"""),"4014")</f>
        <v>4014</v>
      </c>
      <c r="B1568" s="4" t="str">
        <f>IFERROR(__xludf.DUMMYFUNCTION("""COMPUTED_VALUE"""),"Mts. cuerda CERVINO 14 m/m")</f>
        <v>Mts. cuerda CERVINO 14 m/m</v>
      </c>
      <c r="C1568" s="4">
        <f>IFERROR(__xludf.DUMMYFUNCTION("""COMPUTED_VALUE"""),0.6911999999999999)</f>
        <v>0.6912</v>
      </c>
    </row>
    <row r="1569">
      <c r="A1569" s="4" t="str">
        <f>IFERROR(__xludf.DUMMYFUNCTION("""COMPUTED_VALUE"""),"4016")</f>
        <v>4016</v>
      </c>
      <c r="B1569" s="4" t="str">
        <f>IFERROR(__xludf.DUMMYFUNCTION("""COMPUTED_VALUE"""),"Mts. cuerda CERVINO 16 m/m")</f>
        <v>Mts. cuerda CERVINO 16 m/m</v>
      </c>
      <c r="C1569" s="4">
        <f>IFERROR(__xludf.DUMMYFUNCTION("""COMPUTED_VALUE"""),0.8448)</f>
        <v>0.8448</v>
      </c>
    </row>
    <row r="1570">
      <c r="A1570" s="4" t="str">
        <f>IFERROR(__xludf.DUMMYFUNCTION("""COMPUTED_VALUE"""),"4018")</f>
        <v>4018</v>
      </c>
      <c r="B1570" s="4" t="str">
        <f>IFERROR(__xludf.DUMMYFUNCTION("""COMPUTED_VALUE"""),"Mts. cuerda CERVINO 18 m/m")</f>
        <v>Mts. cuerda CERVINO 18 m/m</v>
      </c>
      <c r="C1570" s="4">
        <f>IFERROR(__xludf.DUMMYFUNCTION("""COMPUTED_VALUE"""),1.0752000000000002)</f>
        <v>1.0752</v>
      </c>
    </row>
    <row r="1571">
      <c r="A1571" s="4" t="str">
        <f>IFERROR(__xludf.DUMMYFUNCTION("""COMPUTED_VALUE"""),"4020")</f>
        <v>4020</v>
      </c>
      <c r="B1571" s="4" t="str">
        <f>IFERROR(__xludf.DUMMYFUNCTION("""COMPUTED_VALUE"""),"Mts. cuerda CERVINO 20 m/m")</f>
        <v>Mts. cuerda CERVINO 20 m/m</v>
      </c>
      <c r="C1571" s="4">
        <f>IFERROR(__xludf.DUMMYFUNCTION("""COMPUTED_VALUE"""),1.392)</f>
        <v>1.392</v>
      </c>
    </row>
    <row r="1572">
      <c r="A1572" s="4" t="str">
        <f>IFERROR(__xludf.DUMMYFUNCTION("""COMPUTED_VALUE"""),"4050")</f>
        <v>4050</v>
      </c>
      <c r="B1572" s="4" t="str">
        <f>IFERROR(__xludf.DUMMYFUNCTION("""COMPUTED_VALUE"""),"Señal complementaria TPU rectanagular 440x360 mm Reflex")</f>
        <v>Señal complementaria TPU rectanagular 440x360 mm Reflex</v>
      </c>
      <c r="C1572" s="4">
        <f>IFERROR(__xludf.DUMMYFUNCTION("""COMPUTED_VALUE"""),8.64)</f>
        <v>8.64</v>
      </c>
    </row>
    <row r="1573">
      <c r="A1573" s="4" t="str">
        <f>IFERROR(__xludf.DUMMYFUNCTION("""COMPUTED_VALUE"""),"4080")</f>
        <v>4080</v>
      </c>
      <c r="B1573" s="4" t="str">
        <f>IFERROR(__xludf.DUMMYFUNCTION("""COMPUTED_VALUE"""),"Tope parking 59 L x 12 Anc. x 10 Alt. Mod. B")</f>
        <v>Tope parking 59 L x 12 Anc. x 10 Alt. Mod. B</v>
      </c>
      <c r="C1573" s="4">
        <f>IFERROR(__xludf.DUMMYFUNCTION("""COMPUTED_VALUE"""),9.36)</f>
        <v>9.36</v>
      </c>
    </row>
    <row r="1574">
      <c r="A1574" s="4" t="str">
        <f>IFERROR(__xludf.DUMMYFUNCTION("""COMPUTED_VALUE"""),"4081")</f>
        <v>4081</v>
      </c>
      <c r="B1574" s="4" t="str">
        <f>IFERROR(__xludf.DUMMYFUNCTION("""COMPUTED_VALUE"""),"Tope parking 55 L x 14,5 Anc x 15 Alt. Mod. C")</f>
        <v>Tope parking 55 L x 14,5 Anc x 15 Alt. Mod. C</v>
      </c>
      <c r="C1574" s="4">
        <f>IFERROR(__xludf.DUMMYFUNCTION("""COMPUTED_VALUE"""),13.776)</f>
        <v>13.776</v>
      </c>
    </row>
    <row r="1575">
      <c r="A1575" s="4" t="str">
        <f>IFERROR(__xludf.DUMMYFUNCTION("""COMPUTED_VALUE"""),"4090C")</f>
        <v>4090C</v>
      </c>
      <c r="B1575" s="4" t="str">
        <f>IFERROR(__xludf.DUMMYFUNCTION("""COMPUTED_VALUE"""),"Aparcabicis modulo central 2 bicicletas")</f>
        <v>Aparcabicis modulo central 2 bicicletas</v>
      </c>
      <c r="C1575" s="4">
        <f>IFERROR(__xludf.DUMMYFUNCTION("""COMPUTED_VALUE"""),47.879999999999995)</f>
        <v>47.88</v>
      </c>
    </row>
    <row r="1576">
      <c r="A1576" s="4" t="str">
        <f>IFERROR(__xludf.DUMMYFUNCTION("""COMPUTED_VALUE"""),"4090E")</f>
        <v>4090E</v>
      </c>
      <c r="B1576" s="4" t="str">
        <f>IFERROR(__xludf.DUMMYFUNCTION("""COMPUTED_VALUE"""),"Aparcabicis modulo extremo 2 bicicletas")</f>
        <v>Aparcabicis modulo extremo 2 bicicletas</v>
      </c>
      <c r="C1576" s="4">
        <f>IFERROR(__xludf.DUMMYFUNCTION("""COMPUTED_VALUE"""),47.879999999999995)</f>
        <v>47.88</v>
      </c>
    </row>
    <row r="1577">
      <c r="A1577" s="4" t="str">
        <f>IFERROR(__xludf.DUMMYFUNCTION("""COMPUTED_VALUE"""),"4090U")</f>
        <v>4090U</v>
      </c>
      <c r="B1577" s="4" t="str">
        <f>IFERROR(__xludf.DUMMYFUNCTION("""COMPUTED_VALUE"""),"Aparcabicis unión modulos")</f>
        <v>Aparcabicis unión modulos</v>
      </c>
      <c r="C1577" s="4">
        <f>IFERROR(__xludf.DUMMYFUNCTION("""COMPUTED_VALUE"""),4.56)</f>
        <v>4.56</v>
      </c>
    </row>
    <row r="1578">
      <c r="A1578" s="4" t="str">
        <f>IFERROR(__xludf.DUMMYFUNCTION("""COMPUTED_VALUE"""),"4098")</f>
        <v>4098</v>
      </c>
      <c r="B1578" s="4" t="str">
        <f>IFERROR(__xludf.DUMMYFUNCTION("""COMPUTED_VALUE"""),"Cepo parking Mod. A 49,5 cm x 49,5 cm x 9 cm con llave")</f>
        <v>Cepo parking Mod. A 49,5 cm x 49,5 cm x 9 cm con llave</v>
      </c>
      <c r="C1578" s="4">
        <f>IFERROR(__xludf.DUMMYFUNCTION("""COMPUTED_VALUE"""),37.0848)</f>
        <v>37.0848</v>
      </c>
    </row>
    <row r="1579">
      <c r="A1579" s="4" t="str">
        <f>IFERROR(__xludf.DUMMYFUNCTION("""COMPUTED_VALUE"""),"4099")</f>
        <v>4099</v>
      </c>
      <c r="B1579" s="4" t="str">
        <f>IFERROR(__xludf.DUMMYFUNCTION("""COMPUTED_VALUE"""),"Cepo parking Mod. B 76 cm x 47 cm c/candado")</f>
        <v>Cepo parking Mod. B 76 cm x 47 cm c/candado</v>
      </c>
      <c r="C1579" s="4">
        <f>IFERROR(__xludf.DUMMYFUNCTION("""COMPUTED_VALUE"""),21.119999999999997)</f>
        <v>21.12</v>
      </c>
    </row>
    <row r="1580">
      <c r="A1580" s="4" t="str">
        <f>IFERROR(__xludf.DUMMYFUNCTION("""COMPUTED_VALUE"""),"4100")</f>
        <v>4100</v>
      </c>
      <c r="B1580" s="4" t="str">
        <f>IFERROR(__xludf.DUMMYFUNCTION("""COMPUTED_VALUE"""),"Espejo trafico 600 mm Mod. Basic c/ visera")</f>
        <v>Espejo trafico 600 mm Mod. Basic c/ visera</v>
      </c>
      <c r="C1580" s="4">
        <f>IFERROR(__xludf.DUMMYFUNCTION("""COMPUTED_VALUE"""),33.12)</f>
        <v>33.12</v>
      </c>
    </row>
    <row r="1581">
      <c r="A1581" s="4" t="str">
        <f>IFERROR(__xludf.DUMMYFUNCTION("""COMPUTED_VALUE"""),"4101")</f>
        <v>4101</v>
      </c>
      <c r="B1581" s="4" t="str">
        <f>IFERROR(__xludf.DUMMYFUNCTION("""COMPUTED_VALUE"""),"Espejo Trafico 800 mm Mod. Basic c visera")</f>
        <v>Espejo Trafico 800 mm Mod. Basic c visera</v>
      </c>
      <c r="C1581" s="4">
        <f>IFERROR(__xludf.DUMMYFUNCTION("""COMPUTED_VALUE"""),60.48)</f>
        <v>60.48</v>
      </c>
    </row>
    <row r="1582">
      <c r="A1582" s="4" t="str">
        <f>IFERROR(__xludf.DUMMYFUNCTION("""COMPUTED_VALUE"""),"4103")</f>
        <v>4103</v>
      </c>
      <c r="B1582" s="4" t="str">
        <f>IFERROR(__xludf.DUMMYFUNCTION("""COMPUTED_VALUE"""),"Esquinera proteccion columna 80 cm mod. B")</f>
        <v>Esquinera proteccion columna 80 cm mod. B</v>
      </c>
      <c r="C1582" s="4">
        <f>IFERROR(__xludf.DUMMYFUNCTION("""COMPUTED_VALUE"""),4.224)</f>
        <v>4.224</v>
      </c>
    </row>
    <row r="1583">
      <c r="A1583" s="4" t="str">
        <f>IFERROR(__xludf.DUMMYFUNCTION("""COMPUTED_VALUE"""),"4104")</f>
        <v>4104</v>
      </c>
      <c r="B1583" s="4" t="str">
        <f>IFERROR(__xludf.DUMMYFUNCTION("""COMPUTED_VALUE"""),"Tope parking 55 x 15 Anc. x 10 Alt Mod. A")</f>
        <v>Tope parking 55 x 15 Anc. x 10 Alt Mod. A</v>
      </c>
      <c r="C1583" s="4">
        <f>IFERROR(__xludf.DUMMYFUNCTION("""COMPUTED_VALUE"""),9.216)</f>
        <v>9.216</v>
      </c>
    </row>
    <row r="1584">
      <c r="A1584" s="4" t="str">
        <f>IFERROR(__xludf.DUMMYFUNCTION("""COMPUTED_VALUE"""),"4105")</f>
        <v>4105</v>
      </c>
      <c r="B1584" s="4" t="str">
        <f>IFERROR(__xludf.DUMMYFUNCTION("""COMPUTED_VALUE"""),"Esquinera proteccion columna 80 cm mod. A")</f>
        <v>Esquinera proteccion columna 80 cm mod. A</v>
      </c>
      <c r="C1584" s="4">
        <f>IFERROR(__xludf.DUMMYFUNCTION("""COMPUTED_VALUE"""),7.4399999999999995)</f>
        <v>7.44</v>
      </c>
    </row>
    <row r="1585">
      <c r="A1585" s="4" t="str">
        <f>IFERROR(__xludf.DUMMYFUNCTION("""COMPUTED_VALUE"""),"4106")</f>
        <v>4106</v>
      </c>
      <c r="B1585" s="4" t="str">
        <f>IFERROR(__xludf.DUMMYFUNCTION("""COMPUTED_VALUE"""),"Mts.cuerda certif.poliest.Alta Tenacidad 6 m/m")</f>
        <v>Mts.cuerda certif.poliest.Alta Tenacidad 6 m/m</v>
      </c>
      <c r="C1585" s="4">
        <f>IFERROR(__xludf.DUMMYFUNCTION("""COMPUTED_VALUE"""),0.2304)</f>
        <v>0.2304</v>
      </c>
    </row>
    <row r="1586">
      <c r="A1586" s="4" t="str">
        <f>IFERROR(__xludf.DUMMYFUNCTION("""COMPUTED_VALUE"""),"4108")</f>
        <v>4108</v>
      </c>
      <c r="B1586" s="4" t="str">
        <f>IFERROR(__xludf.DUMMYFUNCTION("""COMPUTED_VALUE"""),"Mts.cuerda certif.poliest.Alta Tenacidad 8 m/m")</f>
        <v>Mts.cuerda certif.poliest.Alta Tenacidad 8 m/m</v>
      </c>
      <c r="C1586" s="4">
        <f>IFERROR(__xludf.DUMMYFUNCTION("""COMPUTED_VALUE"""),0.4128)</f>
        <v>0.4128</v>
      </c>
    </row>
    <row r="1587">
      <c r="A1587" s="4" t="str">
        <f>IFERROR(__xludf.DUMMYFUNCTION("""COMPUTED_VALUE"""),"4110")</f>
        <v>4110</v>
      </c>
      <c r="B1587" s="4" t="str">
        <f>IFERROR(__xludf.DUMMYFUNCTION("""COMPUTED_VALUE"""),"Mts.cuerda certif.poliest.Alta Tenacidad 10 m/m")</f>
        <v>Mts.cuerda certif.poliest.Alta Tenacidad 10 m/m</v>
      </c>
      <c r="C1587" s="4">
        <f>IFERROR(__xludf.DUMMYFUNCTION("""COMPUTED_VALUE"""),0.5376000000000001)</f>
        <v>0.5376</v>
      </c>
    </row>
    <row r="1588">
      <c r="A1588" s="4" t="str">
        <f>IFERROR(__xludf.DUMMYFUNCTION("""COMPUTED_VALUE"""),"4112")</f>
        <v>4112</v>
      </c>
      <c r="B1588" s="4" t="str">
        <f>IFERROR(__xludf.DUMMYFUNCTION("""COMPUTED_VALUE"""),"Mts.cuerda Certif.poliest.Alta Tenacidad 12 m/m")</f>
        <v>Mts.cuerda Certif.poliest.Alta Tenacidad 12 m/m</v>
      </c>
      <c r="C1588" s="4">
        <f>IFERROR(__xludf.DUMMYFUNCTION("""COMPUTED_VALUE"""),0.8448)</f>
        <v>0.8448</v>
      </c>
    </row>
    <row r="1589">
      <c r="A1589" s="4" t="str">
        <f>IFERROR(__xludf.DUMMYFUNCTION("""COMPUTED_VALUE"""),"4114")</f>
        <v>4114</v>
      </c>
      <c r="B1589" s="4" t="str">
        <f>IFERROR(__xludf.DUMMYFUNCTION("""COMPUTED_VALUE"""),"Mts.cuerda Certif.poliest.Alta Tenacidad 14 m/m")</f>
        <v>Mts.cuerda Certif.poliest.Alta Tenacidad 14 m/m</v>
      </c>
      <c r="C1589" s="4">
        <f>IFERROR(__xludf.DUMMYFUNCTION("""COMPUTED_VALUE"""),1.1136)</f>
        <v>1.1136</v>
      </c>
    </row>
    <row r="1590">
      <c r="A1590" s="4" t="str">
        <f>IFERROR(__xludf.DUMMYFUNCTION("""COMPUTED_VALUE"""),"4116")</f>
        <v>4116</v>
      </c>
      <c r="B1590" s="4" t="str">
        <f>IFERROR(__xludf.DUMMYFUNCTION("""COMPUTED_VALUE"""),"Mts.cuerda Certif.poliest.Alta Tenacidad 16 m/m")</f>
        <v>Mts.cuerda Certif.poliest.Alta Tenacidad 16 m/m</v>
      </c>
      <c r="C1590" s="4">
        <f>IFERROR(__xludf.DUMMYFUNCTION("""COMPUTED_VALUE"""),1.3056)</f>
        <v>1.3056</v>
      </c>
    </row>
    <row r="1591">
      <c r="A1591" s="4" t="str">
        <f>IFERROR(__xludf.DUMMYFUNCTION("""COMPUTED_VALUE"""),"4118")</f>
        <v>4118</v>
      </c>
      <c r="B1591" s="4" t="str">
        <f>IFERROR(__xludf.DUMMYFUNCTION("""COMPUTED_VALUE"""),"Mts.cuerda Certif.poliest.Alta Tenacidad 18 m/m")</f>
        <v>Mts.cuerda Certif.poliest.Alta Tenacidad 18 m/m</v>
      </c>
      <c r="C1591" s="4">
        <f>IFERROR(__xludf.DUMMYFUNCTION("""COMPUTED_VALUE"""),1.7087999999999999)</f>
        <v>1.7088</v>
      </c>
    </row>
    <row r="1592">
      <c r="A1592" s="4" t="str">
        <f>IFERROR(__xludf.DUMMYFUNCTION("""COMPUTED_VALUE"""),"4125")</f>
        <v>4125</v>
      </c>
      <c r="B1592" s="4" t="str">
        <f>IFERROR(__xludf.DUMMYFUNCTION("""COMPUTED_VALUE"""),"Bolsa tapa señales 95x110 agujereada")</f>
        <v>Bolsa tapa señales 95x110 agujereada</v>
      </c>
      <c r="C1592" s="4">
        <f>IFERROR(__xludf.DUMMYFUNCTION("""COMPUTED_VALUE"""),2.88)</f>
        <v>2.88</v>
      </c>
    </row>
    <row r="1593">
      <c r="A1593" s="4" t="str">
        <f>IFERROR(__xludf.DUMMYFUNCTION("""COMPUTED_VALUE"""),"4150")</f>
        <v>4150</v>
      </c>
      <c r="B1593" s="4" t="str">
        <f>IFERROR(__xludf.DUMMYFUNCTION("""COMPUTED_VALUE"""),"Espejo 60 cm Mod. Icaro")</f>
        <v>Espejo 60 cm Mod. Icaro</v>
      </c>
      <c r="C1593" s="4">
        <f>IFERROR(__xludf.DUMMYFUNCTION("""COMPUTED_VALUE"""),52.32)</f>
        <v>52.32</v>
      </c>
    </row>
    <row r="1594">
      <c r="A1594" s="4" t="str">
        <f>IFERROR(__xludf.DUMMYFUNCTION("""COMPUTED_VALUE"""),"4151")</f>
        <v>4151</v>
      </c>
      <c r="B1594" s="4" t="str">
        <f>IFERROR(__xludf.DUMMYFUNCTION("""COMPUTED_VALUE"""),"Espejo 80 cm Mod. Icaro")</f>
        <v>Espejo 80 cm Mod. Icaro</v>
      </c>
      <c r="C1594" s="4">
        <f>IFERROR(__xludf.DUMMYFUNCTION("""COMPUTED_VALUE"""),83.52)</f>
        <v>83.52</v>
      </c>
    </row>
    <row r="1595">
      <c r="A1595" s="4" t="str">
        <f>IFERROR(__xludf.DUMMYFUNCTION("""COMPUTED_VALUE"""),"4180")</f>
        <v>4180</v>
      </c>
      <c r="B1595" s="4" t="str">
        <f>IFERROR(__xludf.DUMMYFUNCTION("""COMPUTED_VALUE"""),"Protector parking FOAM R/B columna 30x25x1,5 cm")</f>
        <v>Protector parking FOAM R/B columna 30x25x1,5 cm</v>
      </c>
      <c r="C1595" s="4">
        <f>IFERROR(__xludf.DUMMYFUNCTION("""COMPUTED_VALUE"""),3.264)</f>
        <v>3.264</v>
      </c>
    </row>
    <row r="1596">
      <c r="A1596" s="4" t="str">
        <f>IFERROR(__xludf.DUMMYFUNCTION("""COMPUTED_VALUE"""),"4181")</f>
        <v>4181</v>
      </c>
      <c r="B1596" s="4" t="str">
        <f>IFERROR(__xludf.DUMMYFUNCTION("""COMPUTED_VALUE"""),"Protector parking FOAM N/A columna 30X25X1,5 cm")</f>
        <v>Protector parking FOAM N/A columna 30X25X1,5 cm</v>
      </c>
      <c r="C1596" s="4">
        <f>IFERROR(__xludf.DUMMYFUNCTION("""COMPUTED_VALUE"""),3.264)</f>
        <v>3.264</v>
      </c>
    </row>
    <row r="1597">
      <c r="A1597" s="4" t="str">
        <f>IFERROR(__xludf.DUMMYFUNCTION("""COMPUTED_VALUE"""),"4182")</f>
        <v>4182</v>
      </c>
      <c r="B1597" s="4" t="str">
        <f>IFERROR(__xludf.DUMMYFUNCTION("""COMPUTED_VALUE"""),"Protector parking FOAM R/B columna 100x200x1,5 cm")</f>
        <v>Protector parking FOAM R/B columna 100x200x1,5 cm</v>
      </c>
      <c r="C1597" s="4">
        <f>IFERROR(__xludf.DUMMYFUNCTION("""COMPUTED_VALUE"""),37.44)</f>
        <v>37.44</v>
      </c>
    </row>
    <row r="1598">
      <c r="A1598" s="4" t="str">
        <f>IFERROR(__xludf.DUMMYFUNCTION("""COMPUTED_VALUE"""),"4183")</f>
        <v>4183</v>
      </c>
      <c r="B1598" s="4" t="str">
        <f>IFERROR(__xludf.DUMMYFUNCTION("""COMPUTED_VALUE"""),"Protector parking FOAM N/A columna 100x200x1,5 cm")</f>
        <v>Protector parking FOAM N/A columna 100x200x1,5 cm</v>
      </c>
      <c r="C1598" s="4">
        <f>IFERROR(__xludf.DUMMYFUNCTION("""COMPUTED_VALUE"""),37.44)</f>
        <v>37.44</v>
      </c>
    </row>
    <row r="1599">
      <c r="A1599" s="4" t="str">
        <f>IFERROR(__xludf.DUMMYFUNCTION("""COMPUTED_VALUE"""),"4184")</f>
        <v>4184</v>
      </c>
      <c r="B1599" s="4" t="str">
        <f>IFERROR(__xludf.DUMMYFUNCTION("""COMPUTED_VALUE"""),"Protector parking FOAM R/B plano 24x18x4cm")</f>
        <v>Protector parking FOAM R/B plano 24x18x4cm</v>
      </c>
      <c r="C1599" s="4">
        <f>IFERROR(__xludf.DUMMYFUNCTION("""COMPUTED_VALUE"""),3.312)</f>
        <v>3.312</v>
      </c>
    </row>
    <row r="1600">
      <c r="A1600" s="4" t="str">
        <f>IFERROR(__xludf.DUMMYFUNCTION("""COMPUTED_VALUE"""),"4185")</f>
        <v>4185</v>
      </c>
      <c r="B1600" s="4" t="str">
        <f>IFERROR(__xludf.DUMMYFUNCTION("""COMPUTED_VALUE"""),"Protector parking FOAM N/A plano 24x18x4cm")</f>
        <v>Protector parking FOAM N/A plano 24x18x4cm</v>
      </c>
      <c r="C1600" s="4">
        <f>IFERROR(__xludf.DUMMYFUNCTION("""COMPUTED_VALUE"""),3.312)</f>
        <v>3.312</v>
      </c>
    </row>
    <row r="1601">
      <c r="A1601" s="4" t="str">
        <f>IFERROR(__xludf.DUMMYFUNCTION("""COMPUTED_VALUE"""),"4186")</f>
        <v>4186</v>
      </c>
      <c r="B1601" s="4" t="str">
        <f>IFERROR(__xludf.DUMMYFUNCTION("""COMPUTED_VALUE"""),"Protector parking FOAM R/B esquina 50x(15+15)x1,5 cm")</f>
        <v>Protector parking FOAM R/B esquina 50x(15+15)x1,5 cm</v>
      </c>
      <c r="C1601" s="4">
        <f>IFERROR(__xludf.DUMMYFUNCTION("""COMPUTED_VALUE"""),5.52)</f>
        <v>5.52</v>
      </c>
    </row>
    <row r="1602">
      <c r="A1602" s="4" t="str">
        <f>IFERROR(__xludf.DUMMYFUNCTION("""COMPUTED_VALUE"""),"4187")</f>
        <v>4187</v>
      </c>
      <c r="B1602" s="4" t="str">
        <f>IFERROR(__xludf.DUMMYFUNCTION("""COMPUTED_VALUE"""),"Protector parking FOAM N/A esquina 50x(15+15)x1,5 cm")</f>
        <v>Protector parking FOAM N/A esquina 50x(15+15)x1,5 cm</v>
      </c>
      <c r="C1602" s="4">
        <f>IFERROR(__xludf.DUMMYFUNCTION("""COMPUTED_VALUE"""),5.52)</f>
        <v>5.52</v>
      </c>
    </row>
    <row r="1603">
      <c r="A1603" s="4" t="str">
        <f>IFERROR(__xludf.DUMMYFUNCTION("""COMPUTED_VALUE"""),"4188")</f>
        <v>4188</v>
      </c>
      <c r="B1603" s="4" t="str">
        <f>IFERROR(__xludf.DUMMYFUNCTION("""COMPUTED_VALUE"""),"Protector parking FOAM R/B plano 50X10X1,5cm")</f>
        <v>Protector parking FOAM R/B plano 50X10X1,5cm</v>
      </c>
      <c r="C1603" s="4">
        <f>IFERROR(__xludf.DUMMYFUNCTION("""COMPUTED_VALUE"""),2.112)</f>
        <v>2.112</v>
      </c>
    </row>
    <row r="1604">
      <c r="A1604" s="4" t="str">
        <f>IFERROR(__xludf.DUMMYFUNCTION("""COMPUTED_VALUE"""),"4189")</f>
        <v>4189</v>
      </c>
      <c r="B1604" s="4" t="str">
        <f>IFERROR(__xludf.DUMMYFUNCTION("""COMPUTED_VALUE"""),"Protector parking FOAM N/A plano 50x10x1,5cm")</f>
        <v>Protector parking FOAM N/A plano 50x10x1,5cm</v>
      </c>
      <c r="C1604" s="4">
        <f>IFERROR(__xludf.DUMMYFUNCTION("""COMPUTED_VALUE"""),2.112)</f>
        <v>2.112</v>
      </c>
    </row>
    <row r="1605">
      <c r="A1605" s="4" t="str">
        <f>IFERROR(__xludf.DUMMYFUNCTION("""COMPUTED_VALUE"""),"4190")</f>
        <v>4190</v>
      </c>
      <c r="B1605" s="4" t="str">
        <f>IFERROR(__xludf.DUMMYFUNCTION("""COMPUTED_VALUE"""),"Protector parking FOAM R/B plano 50x25x2,5cm")</f>
        <v>Protector parking FOAM R/B plano 50x25x2,5cm</v>
      </c>
      <c r="C1605" s="4">
        <f>IFERROR(__xludf.DUMMYFUNCTION("""COMPUTED_VALUE"""),4.704)</f>
        <v>4.704</v>
      </c>
    </row>
    <row r="1606">
      <c r="A1606" s="4" t="str">
        <f>IFERROR(__xludf.DUMMYFUNCTION("""COMPUTED_VALUE"""),"4191")</f>
        <v>4191</v>
      </c>
      <c r="B1606" s="4" t="str">
        <f>IFERROR(__xludf.DUMMYFUNCTION("""COMPUTED_VALUE"""),"Protector parking FOAM N/A plano 50x25x2,5cm")</f>
        <v>Protector parking FOAM N/A plano 50x25x2,5cm</v>
      </c>
      <c r="C1606" s="4">
        <f>IFERROR(__xludf.DUMMYFUNCTION("""COMPUTED_VALUE"""),4.704)</f>
        <v>4.704</v>
      </c>
    </row>
    <row r="1607">
      <c r="A1607" s="4" t="str">
        <f>IFERROR(__xludf.DUMMYFUNCTION("""COMPUTED_VALUE"""),"4192")</f>
        <v>4192</v>
      </c>
      <c r="B1607" s="4" t="str">
        <f>IFERROR(__xludf.DUMMYFUNCTION("""COMPUTED_VALUE"""),"Protector parking FOAM R/B plano 30x20x1,5 cm")</f>
        <v>Protector parking FOAM R/B plano 30x20x1,5 cm</v>
      </c>
      <c r="C1607" s="4">
        <f>IFERROR(__xludf.DUMMYFUNCTION("""COMPUTED_VALUE"""),3.5999999999999996)</f>
        <v>3.6</v>
      </c>
    </row>
    <row r="1608">
      <c r="A1608" s="4" t="str">
        <f>IFERROR(__xludf.DUMMYFUNCTION("""COMPUTED_VALUE"""),"4193")</f>
        <v>4193</v>
      </c>
      <c r="B1608" s="4" t="str">
        <f>IFERROR(__xludf.DUMMYFUNCTION("""COMPUTED_VALUE"""),"Protector parking FOAM N/A plano 30x20x1,5 cm")</f>
        <v>Protector parking FOAM N/A plano 30x20x1,5 cm</v>
      </c>
      <c r="C1608" s="4">
        <f>IFERROR(__xludf.DUMMYFUNCTION("""COMPUTED_VALUE"""),3.5999999999999996)</f>
        <v>3.6</v>
      </c>
    </row>
    <row r="1609">
      <c r="A1609" s="4" t="str">
        <f>IFERROR(__xludf.DUMMYFUNCTION("""COMPUTED_VALUE"""),"4194")</f>
        <v>4194</v>
      </c>
      <c r="B1609" s="4" t="str">
        <f>IFERROR(__xludf.DUMMYFUNCTION("""COMPUTED_VALUE"""),"Protector Antigolpes PVC 15x3 cm (5 metros )")</f>
        <v>Protector Antigolpes PVC 15x3 cm (5 metros )</v>
      </c>
      <c r="C1609" s="4">
        <f>IFERROR(__xludf.DUMMYFUNCTION("""COMPUTED_VALUE"""),35.519999999999996)</f>
        <v>35.52</v>
      </c>
    </row>
    <row r="1610">
      <c r="A1610" s="4" t="str">
        <f>IFERROR(__xludf.DUMMYFUNCTION("""COMPUTED_VALUE"""),"4200")</f>
        <v>4200</v>
      </c>
      <c r="B1610" s="4" t="str">
        <f>IFERROR(__xludf.DUMMYFUNCTION("""COMPUTED_VALUE"""),"Esq. protec.N/A 100 cm anti-golpe Foam Mod A")</f>
        <v>Esq. protec.N/A 100 cm anti-golpe Foam Mod A</v>
      </c>
      <c r="C1610" s="4">
        <f>IFERROR(__xludf.DUMMYFUNCTION("""COMPUTED_VALUE"""),14.304)</f>
        <v>14.304</v>
      </c>
    </row>
    <row r="1611">
      <c r="A1611" s="4" t="str">
        <f>IFERROR(__xludf.DUMMYFUNCTION("""COMPUTED_VALUE"""),"4200B")</f>
        <v>4200B</v>
      </c>
      <c r="B1611" s="4" t="str">
        <f>IFERROR(__xludf.DUMMYFUNCTION("""COMPUTED_VALUE"""),"Esq. protec.N/A 100 cm anti-golpe Foam Mod B")</f>
        <v>Esq. protec.N/A 100 cm anti-golpe Foam Mod B</v>
      </c>
      <c r="C1611" s="4">
        <f>IFERROR(__xludf.DUMMYFUNCTION("""COMPUTED_VALUE"""),14.304)</f>
        <v>14.304</v>
      </c>
    </row>
    <row r="1612">
      <c r="A1612" s="4" t="str">
        <f>IFERROR(__xludf.DUMMYFUNCTION("""COMPUTED_VALUE"""),"4200C")</f>
        <v>4200C</v>
      </c>
      <c r="B1612" s="4" t="str">
        <f>IFERROR(__xludf.DUMMYFUNCTION("""COMPUTED_VALUE"""),"Esq. protec.N/A 100 cm anti-golpe Foam Mod C")</f>
        <v>Esq. protec.N/A 100 cm anti-golpe Foam Mod C</v>
      </c>
      <c r="C1612" s="4">
        <f>IFERROR(__xludf.DUMMYFUNCTION("""COMPUTED_VALUE"""),14.304)</f>
        <v>14.304</v>
      </c>
    </row>
    <row r="1613">
      <c r="A1613" s="4" t="str">
        <f>IFERROR(__xludf.DUMMYFUNCTION("""COMPUTED_VALUE"""),"4200D")</f>
        <v>4200D</v>
      </c>
      <c r="B1613" s="4" t="str">
        <f>IFERROR(__xludf.DUMMYFUNCTION("""COMPUTED_VALUE"""),"Esq. protec.N/A 100 cm anti-golpe Foam Mod D")</f>
        <v>Esq. protec.N/A 100 cm anti-golpe Foam Mod D</v>
      </c>
      <c r="C1613" s="4">
        <f>IFERROR(__xludf.DUMMYFUNCTION("""COMPUTED_VALUE"""),14.304)</f>
        <v>14.304</v>
      </c>
    </row>
    <row r="1614">
      <c r="A1614" s="4" t="str">
        <f>IFERROR(__xludf.DUMMYFUNCTION("""COMPUTED_VALUE"""),"4200E")</f>
        <v>4200E</v>
      </c>
      <c r="B1614" s="4" t="str">
        <f>IFERROR(__xludf.DUMMYFUNCTION("""COMPUTED_VALUE"""),"Esq. protec.N/A 100 cm anti-golpe Foam Mod E")</f>
        <v>Esq. protec.N/A 100 cm anti-golpe Foam Mod E</v>
      </c>
      <c r="C1614" s="4">
        <f>IFERROR(__xludf.DUMMYFUNCTION("""COMPUTED_VALUE"""),14.304)</f>
        <v>14.304</v>
      </c>
    </row>
    <row r="1615">
      <c r="A1615" s="4" t="str">
        <f>IFERROR(__xludf.DUMMYFUNCTION("""COMPUTED_VALUE"""),"4200F")</f>
        <v>4200F</v>
      </c>
      <c r="B1615" s="4" t="str">
        <f>IFERROR(__xludf.DUMMYFUNCTION("""COMPUTED_VALUE"""),"Esq. protec.N/A 100 cm anti-golpe Foam Mod. F")</f>
        <v>Esq. protec.N/A 100 cm anti-golpe Foam Mod. F</v>
      </c>
      <c r="C1615" s="4">
        <f>IFERROR(__xludf.DUMMYFUNCTION("""COMPUTED_VALUE"""),14.304)</f>
        <v>14.304</v>
      </c>
    </row>
    <row r="1616">
      <c r="A1616" s="4" t="str">
        <f>IFERROR(__xludf.DUMMYFUNCTION("""COMPUTED_VALUE"""),"4200G")</f>
        <v>4200G</v>
      </c>
      <c r="B1616" s="4" t="str">
        <f>IFERROR(__xludf.DUMMYFUNCTION("""COMPUTED_VALUE"""),"Esq. protec.N/A 100 cm anti-golpe Foam Mod. G")</f>
        <v>Esq. protec.N/A 100 cm anti-golpe Foam Mod. G</v>
      </c>
      <c r="C1616" s="4">
        <f>IFERROR(__xludf.DUMMYFUNCTION("""COMPUTED_VALUE"""),14.304)</f>
        <v>14.304</v>
      </c>
    </row>
    <row r="1617">
      <c r="A1617" s="4" t="str">
        <f>IFERROR(__xludf.DUMMYFUNCTION("""COMPUTED_VALUE"""),"4201")</f>
        <v>4201</v>
      </c>
      <c r="B1617" s="4" t="str">
        <f>IFERROR(__xludf.DUMMYFUNCTION("""COMPUTED_VALUE"""),"Esq. protec.B/R 100 cm anti-golpe Foam Mod. A")</f>
        <v>Esq. protec.B/R 100 cm anti-golpe Foam Mod. A</v>
      </c>
      <c r="C1617" s="4">
        <f>IFERROR(__xludf.DUMMYFUNCTION("""COMPUTED_VALUE"""),14.304)</f>
        <v>14.304</v>
      </c>
    </row>
    <row r="1618">
      <c r="A1618" s="4" t="str">
        <f>IFERROR(__xludf.DUMMYFUNCTION("""COMPUTED_VALUE"""),"4204")</f>
        <v>4204</v>
      </c>
      <c r="B1618" s="4" t="str">
        <f>IFERROR(__xludf.DUMMYFUNCTION("""COMPUTED_VALUE"""),"Espejo Convexo 40 cm Interior Tolomeo")</f>
        <v>Espejo Convexo 40 cm Interior Tolomeo</v>
      </c>
      <c r="C1618" s="4">
        <f>IFERROR(__xludf.DUMMYFUNCTION("""COMPUTED_VALUE"""),39.36)</f>
        <v>39.36</v>
      </c>
    </row>
    <row r="1619">
      <c r="A1619" s="4" t="str">
        <f>IFERROR(__xludf.DUMMYFUNCTION("""COMPUTED_VALUE"""),"4206")</f>
        <v>4206</v>
      </c>
      <c r="B1619" s="4" t="str">
        <f>IFERROR(__xludf.DUMMYFUNCTION("""COMPUTED_VALUE"""),"Espejo Convexo 60 cm Interior Tolomeo")</f>
        <v>Espejo Convexo 60 cm Interior Tolomeo</v>
      </c>
      <c r="C1619" s="4">
        <f>IFERROR(__xludf.DUMMYFUNCTION("""COMPUTED_VALUE"""),51.839999999999996)</f>
        <v>51.84</v>
      </c>
    </row>
    <row r="1620">
      <c r="A1620" s="4" t="str">
        <f>IFERROR(__xludf.DUMMYFUNCTION("""COMPUTED_VALUE"""),"4208")</f>
        <v>4208</v>
      </c>
      <c r="B1620" s="4" t="str">
        <f>IFERROR(__xludf.DUMMYFUNCTION("""COMPUTED_VALUE"""),"Espejo Convexo 80 cm Interior Tolomeo")</f>
        <v>Espejo Convexo 80 cm Interior Tolomeo</v>
      </c>
      <c r="C1620" s="4">
        <f>IFERROR(__xludf.DUMMYFUNCTION("""COMPUTED_VALUE"""),93.11999999999999)</f>
        <v>93.12</v>
      </c>
    </row>
    <row r="1621">
      <c r="A1621" s="4" t="str">
        <f>IFERROR(__xludf.DUMMYFUNCTION("""COMPUTED_VALUE"""),"4209")</f>
        <v>4209</v>
      </c>
      <c r="B1621" s="4" t="str">
        <f>IFERROR(__xludf.DUMMYFUNCTION("""COMPUTED_VALUE"""),"Espejo Convexo 90 cm Interior Tolomeo")</f>
        <v>Espejo Convexo 90 cm Interior Tolomeo</v>
      </c>
      <c r="C1621" s="4">
        <f>IFERROR(__xludf.DUMMYFUNCTION("""COMPUTED_VALUE"""),98.39999999999999)</f>
        <v>98.4</v>
      </c>
    </row>
    <row r="1622">
      <c r="A1622" s="4" t="str">
        <f>IFERROR(__xludf.DUMMYFUNCTION("""COMPUTED_VALUE"""),"4210")</f>
        <v>4210</v>
      </c>
      <c r="B1622" s="4" t="str">
        <f>IFERROR(__xludf.DUMMYFUNCTION("""COMPUTED_VALUE"""),"Espejo Convexo 40x60 Interior Leonardo")</f>
        <v>Espejo Convexo 40x60 Interior Leonardo</v>
      </c>
      <c r="C1622" s="4">
        <f>IFERROR(__xludf.DUMMYFUNCTION("""COMPUTED_VALUE"""),56.64)</f>
        <v>56.64</v>
      </c>
    </row>
    <row r="1623">
      <c r="A1623" s="4" t="str">
        <f>IFERROR(__xludf.DUMMYFUNCTION("""COMPUTED_VALUE"""),"4211")</f>
        <v>4211</v>
      </c>
      <c r="B1623" s="4" t="str">
        <f>IFERROR(__xludf.DUMMYFUNCTION("""COMPUTED_VALUE"""),"Espejo convexo 60x80 Interior Leonardo")</f>
        <v>Espejo convexo 60x80 Interior Leonardo</v>
      </c>
      <c r="C1623" s="4">
        <f>IFERROR(__xludf.DUMMYFUNCTION("""COMPUTED_VALUE"""),96.47999999999999)</f>
        <v>96.48</v>
      </c>
    </row>
    <row r="1624">
      <c r="A1624" s="4" t="str">
        <f>IFERROR(__xludf.DUMMYFUNCTION("""COMPUTED_VALUE"""),"4213")</f>
        <v>4213</v>
      </c>
      <c r="B1624" s="4" t="str">
        <f>IFERROR(__xludf.DUMMYFUNCTION("""COMPUTED_VALUE"""),"Espejo Hemisférico 360º 60 cm Michelangello")</f>
        <v>Espejo Hemisférico 360º 60 cm Michelangello</v>
      </c>
      <c r="C1624" s="4">
        <f>IFERROR(__xludf.DUMMYFUNCTION("""COMPUTED_VALUE"""),40.32)</f>
        <v>40.32</v>
      </c>
    </row>
    <row r="1625">
      <c r="A1625" s="4" t="str">
        <f>IFERROR(__xludf.DUMMYFUNCTION("""COMPUTED_VALUE"""),"4215")</f>
        <v>4215</v>
      </c>
      <c r="B1625" s="4" t="str">
        <f>IFERROR(__xludf.DUMMYFUNCTION("""COMPUTED_VALUE"""),"Espejo Hemisférico 360º 90 cm Michelangello")</f>
        <v>Espejo Hemisférico 360º 90 cm Michelangello</v>
      </c>
      <c r="C1625" s="4">
        <f>IFERROR(__xludf.DUMMYFUNCTION("""COMPUTED_VALUE"""),78.72)</f>
        <v>78.72</v>
      </c>
    </row>
    <row r="1626">
      <c r="A1626" s="4" t="str">
        <f>IFERROR(__xludf.DUMMYFUNCTION("""COMPUTED_VALUE"""),"4221")</f>
        <v>4221</v>
      </c>
      <c r="B1626" s="4" t="str">
        <f>IFERROR(__xludf.DUMMYFUNCTION("""COMPUTED_VALUE"""),"Espejo Convexo 60 cm Exterior Giotto")</f>
        <v>Espejo Convexo 60 cm Exterior Giotto</v>
      </c>
      <c r="C1626" s="4">
        <f>IFERROR(__xludf.DUMMYFUNCTION("""COMPUTED_VALUE"""),92.16)</f>
        <v>92.16</v>
      </c>
    </row>
    <row r="1627">
      <c r="A1627" s="4" t="str">
        <f>IFERROR(__xludf.DUMMYFUNCTION("""COMPUTED_VALUE"""),"4223")</f>
        <v>4223</v>
      </c>
      <c r="B1627" s="4" t="str">
        <f>IFERROR(__xludf.DUMMYFUNCTION("""COMPUTED_VALUE"""),"Espejo Convexo 80 cm Exterior Giotto")</f>
        <v>Espejo Convexo 80 cm Exterior Giotto</v>
      </c>
      <c r="C1627" s="4">
        <f>IFERROR(__xludf.DUMMYFUNCTION("""COMPUTED_VALUE"""),145.92)</f>
        <v>145.92</v>
      </c>
    </row>
    <row r="1628">
      <c r="A1628" s="4" t="str">
        <f>IFERROR(__xludf.DUMMYFUNCTION("""COMPUTED_VALUE"""),"4227")</f>
        <v>4227</v>
      </c>
      <c r="B1628" s="4" t="str">
        <f>IFERROR(__xludf.DUMMYFUNCTION("""COMPUTED_VALUE"""),"Espejo Convexo 40x60 cm Exterior Rafaello")</f>
        <v>Espejo Convexo 40x60 cm Exterior Rafaello</v>
      </c>
      <c r="C1628" s="4">
        <f>IFERROR(__xludf.DUMMYFUNCTION("""COMPUTED_VALUE"""),119.03999999999999)</f>
        <v>119.04</v>
      </c>
    </row>
    <row r="1629">
      <c r="A1629" s="4" t="str">
        <f>IFERROR(__xludf.DUMMYFUNCTION("""COMPUTED_VALUE"""),"4228")</f>
        <v>4228</v>
      </c>
      <c r="B1629" s="4" t="str">
        <f>IFERROR(__xludf.DUMMYFUNCTION("""COMPUTED_VALUE"""),"Espejo Convexo 60x80 cm Exterior Rafaello")</f>
        <v>Espejo Convexo 60x80 cm Exterior Rafaello</v>
      </c>
      <c r="C1629" s="4">
        <f>IFERROR(__xludf.DUMMYFUNCTION("""COMPUTED_VALUE"""),153.6)</f>
        <v>153.6</v>
      </c>
    </row>
    <row r="1630">
      <c r="A1630" s="4" t="str">
        <f>IFERROR(__xludf.DUMMYFUNCTION("""COMPUTED_VALUE"""),"4230")</f>
        <v>4230</v>
      </c>
      <c r="B1630" s="4" t="str">
        <f>IFERROR(__xludf.DUMMYFUNCTION("""COMPUTED_VALUE"""),"Espejo Convexo acero exterior 320 MM")</f>
        <v>Espejo Convexo acero exterior 320 MM</v>
      </c>
      <c r="C1630" s="4">
        <f>IFERROR(__xludf.DUMMYFUNCTION("""COMPUTED_VALUE"""),91.2)</f>
        <v>91.2</v>
      </c>
    </row>
    <row r="1631">
      <c r="A1631" s="4" t="str">
        <f>IFERROR(__xludf.DUMMYFUNCTION("""COMPUTED_VALUE"""),"4231")</f>
        <v>4231</v>
      </c>
      <c r="B1631" s="4" t="str">
        <f>IFERROR(__xludf.DUMMYFUNCTION("""COMPUTED_VALUE"""),"Espejo Convexo Acero Exterior 490 mm")</f>
        <v>Espejo Convexo Acero Exterior 490 mm</v>
      </c>
      <c r="C1631" s="4">
        <f>IFERROR(__xludf.DUMMYFUNCTION("""COMPUTED_VALUE"""),120.0)</f>
        <v>120</v>
      </c>
    </row>
    <row r="1632">
      <c r="A1632" s="4" t="str">
        <f>IFERROR(__xludf.DUMMYFUNCTION("""COMPUTED_VALUE"""),"4232")</f>
        <v>4232</v>
      </c>
      <c r="B1632" s="4" t="str">
        <f>IFERROR(__xludf.DUMMYFUNCTION("""COMPUTED_VALUE"""),"Espejo Convexo Acero Exterior 600 mm")</f>
        <v>Espejo Convexo Acero Exterior 600 mm</v>
      </c>
      <c r="C1632" s="4">
        <f>IFERROR(__xludf.DUMMYFUNCTION("""COMPUTED_VALUE"""),171.84)</f>
        <v>171.84</v>
      </c>
    </row>
    <row r="1633">
      <c r="A1633" s="4" t="str">
        <f>IFERROR(__xludf.DUMMYFUNCTION("""COMPUTED_VALUE"""),"4233")</f>
        <v>4233</v>
      </c>
      <c r="B1633" s="4" t="str">
        <f>IFERROR(__xludf.DUMMYFUNCTION("""COMPUTED_VALUE"""),"Espejo Convexo Acero Exterior 800 mm")</f>
        <v>Espejo Convexo Acero Exterior 800 mm</v>
      </c>
      <c r="C1633" s="4">
        <f>IFERROR(__xludf.DUMMYFUNCTION("""COMPUTED_VALUE"""),220.79999999999998)</f>
        <v>220.8</v>
      </c>
    </row>
    <row r="1634">
      <c r="A1634" s="4" t="str">
        <f>IFERROR(__xludf.DUMMYFUNCTION("""COMPUTED_VALUE"""),"4234")</f>
        <v>4234</v>
      </c>
      <c r="B1634" s="4" t="str">
        <f>IFERROR(__xludf.DUMMYFUNCTION("""COMPUTED_VALUE"""),"Espejo Convexo Acero Exterior 450x600 mm")</f>
        <v>Espejo Convexo Acero Exterior 450x600 mm</v>
      </c>
      <c r="C1634" s="4">
        <f>IFERROR(__xludf.DUMMYFUNCTION("""COMPUTED_VALUE"""),151.2)</f>
        <v>151.2</v>
      </c>
    </row>
    <row r="1635">
      <c r="A1635" s="4" t="str">
        <f>IFERROR(__xludf.DUMMYFUNCTION("""COMPUTED_VALUE"""),"4235")</f>
        <v>4235</v>
      </c>
      <c r="B1635" s="4" t="str">
        <f>IFERROR(__xludf.DUMMYFUNCTION("""COMPUTED_VALUE"""),"Espejo Convexo Acero Interior 490 mm")</f>
        <v>Espejo Convexo Acero Interior 490 mm</v>
      </c>
      <c r="C1635" s="4">
        <f>IFERROR(__xludf.DUMMYFUNCTION("""COMPUTED_VALUE"""),115.19999999999999)</f>
        <v>115.2</v>
      </c>
    </row>
    <row r="1636">
      <c r="A1636" s="4" t="str">
        <f>IFERROR(__xludf.DUMMYFUNCTION("""COMPUTED_VALUE"""),"4250")</f>
        <v>4250</v>
      </c>
      <c r="B1636" s="4" t="str">
        <f>IFERROR(__xludf.DUMMYFUNCTION("""COMPUTED_VALUE"""),"Tope muelle carga - parking 90x10x10 cm")</f>
        <v>Tope muelle carga - parking 90x10x10 cm</v>
      </c>
      <c r="C1636" s="4">
        <f>IFERROR(__xludf.DUMMYFUNCTION("""COMPUTED_VALUE"""),21.119999999999997)</f>
        <v>21.12</v>
      </c>
    </row>
    <row r="1637">
      <c r="A1637" s="4" t="str">
        <f>IFERROR(__xludf.DUMMYFUNCTION("""COMPUTED_VALUE"""),"4300")</f>
        <v>4300</v>
      </c>
      <c r="B1637" s="4" t="str">
        <f>IFERROR(__xludf.DUMMYFUNCTION("""COMPUTED_VALUE"""),"Big Bag 850x850x900 1000kg. 5:1")</f>
        <v>Big Bag 850x850x900 1000kg. 5:1</v>
      </c>
      <c r="C1637" s="4">
        <f>IFERROR(__xludf.DUMMYFUNCTION("""COMPUTED_VALUE"""),3.792)</f>
        <v>3.792</v>
      </c>
    </row>
    <row r="1638">
      <c r="A1638" s="4" t="str">
        <f>IFERROR(__xludf.DUMMYFUNCTION("""COMPUTED_VALUE"""),"4301")</f>
        <v>4301</v>
      </c>
      <c r="B1638" s="4" t="str">
        <f>IFERROR(__xludf.DUMMYFUNCTION("""COMPUTED_VALUE"""),"Big Bag 850x850x900 c/ valvula descarga")</f>
        <v>Big Bag 850x850x900 c/ valvula descarga</v>
      </c>
      <c r="C1638" s="4">
        <f>IFERROR(__xludf.DUMMYFUNCTION("""COMPUTED_VALUE"""),4.4159999999999995)</f>
        <v>4.416</v>
      </c>
    </row>
    <row r="1639">
      <c r="A1639" s="4" t="str">
        <f>IFERROR(__xludf.DUMMYFUNCTION("""COMPUTED_VALUE"""),"4302")</f>
        <v>4302</v>
      </c>
      <c r="B1639" s="4" t="str">
        <f>IFERROR(__xludf.DUMMYFUNCTION("""COMPUTED_VALUE"""),"Big Bag 900x900x1200 MM FDC/FP ADR")</f>
        <v>Big Bag 900x900x1200 MM FDC/FP ADR</v>
      </c>
      <c r="C1639" s="4">
        <f>IFERROR(__xludf.DUMMYFUNCTION("""COMPUTED_VALUE"""),10.799999999999999)</f>
        <v>10.8</v>
      </c>
    </row>
    <row r="1640">
      <c r="A1640" s="4" t="str">
        <f>IFERROR(__xludf.DUMMYFUNCTION("""COMPUTED_VALUE"""),"4303")</f>
        <v>4303</v>
      </c>
      <c r="B1640" s="4" t="str">
        <f>IFERROR(__xludf.DUMMYFUNCTION("""COMPUTED_VALUE"""),"Big Bag 900x900x1200 c/tapa")</f>
        <v>Big Bag 900x900x1200 c/tapa</v>
      </c>
      <c r="C1640" s="4">
        <f>IFERROR(__xludf.DUMMYFUNCTION("""COMPUTED_VALUE"""),6.72)</f>
        <v>6.72</v>
      </c>
    </row>
    <row r="1641">
      <c r="A1641" s="4" t="str">
        <f>IFERROR(__xludf.DUMMYFUNCTION("""COMPUTED_VALUE"""),"4304")</f>
        <v>4304</v>
      </c>
      <c r="B1641" s="4" t="str">
        <f>IFERROR(__xludf.DUMMYFUNCTION("""COMPUTED_VALUE"""),"Saco de rafia para escombros 55cmx85cm carga 25 Kg")</f>
        <v>Saco de rafia para escombros 55cmx85cm carga 25 Kg</v>
      </c>
      <c r="C1641" s="4">
        <f>IFERROR(__xludf.DUMMYFUNCTION("""COMPUTED_VALUE"""),0.2496)</f>
        <v>0.2496</v>
      </c>
    </row>
    <row r="1642">
      <c r="A1642" s="4" t="str">
        <f>IFERROR(__xludf.DUMMYFUNCTION("""COMPUTED_VALUE"""),"4305")</f>
        <v>4305</v>
      </c>
      <c r="B1642" s="4" t="str">
        <f>IFERROR(__xludf.DUMMYFUNCTION("""COMPUTED_VALUE"""),"Paquete 10 unid. saco plastico escombros 55x75")</f>
        <v>Paquete 10 unid. saco plastico escombros 55x75</v>
      </c>
      <c r="C1642" s="4">
        <f>IFERROR(__xludf.DUMMYFUNCTION("""COMPUTED_VALUE"""),4.2912)</f>
        <v>4.2912</v>
      </c>
    </row>
    <row r="1643">
      <c r="A1643" s="4" t="str">
        <f>IFERROR(__xludf.DUMMYFUNCTION("""COMPUTED_VALUE"""),"4690")</f>
        <v>4690</v>
      </c>
      <c r="B1643" s="4" t="str">
        <f>IFERROR(__xludf.DUMMYFUNCTION("""COMPUTED_VALUE"""),"Chaleco Reflect. amarillo")</f>
        <v>Chaleco Reflect. amarillo</v>
      </c>
      <c r="C1643" s="4">
        <f>IFERROR(__xludf.DUMMYFUNCTION("""COMPUTED_VALUE"""),1.8719999999999999)</f>
        <v>1.872</v>
      </c>
    </row>
    <row r="1644">
      <c r="A1644" s="4" t="str">
        <f>IFERROR(__xludf.DUMMYFUNCTION("""COMPUTED_VALUE"""),"4691")</f>
        <v>4691</v>
      </c>
      <c r="B1644" s="4" t="str">
        <f>IFERROR(__xludf.DUMMYFUNCTION("""COMPUTED_VALUE"""),"Chaleco Reflect. naranja")</f>
        <v>Chaleco Reflect. naranja</v>
      </c>
      <c r="C1644" s="4">
        <f>IFERROR(__xludf.DUMMYFUNCTION("""COMPUTED_VALUE"""),1.8719999999999999)</f>
        <v>1.872</v>
      </c>
    </row>
    <row r="1645">
      <c r="A1645" s="4" t="str">
        <f>IFERROR(__xludf.DUMMYFUNCTION("""COMPUTED_VALUE"""),"4692")</f>
        <v>4692</v>
      </c>
      <c r="B1645" s="4" t="str">
        <f>IFERROR(__xludf.DUMMYFUNCTION("""COMPUTED_VALUE"""),"Chaleco Reflect. rejilla verano amarillo NO HOMOLOGADOS")</f>
        <v>Chaleco Reflect. rejilla verano amarillo NO HOMOLOGADOS</v>
      </c>
      <c r="C1645" s="4">
        <f>IFERROR(__xludf.DUMMYFUNCTION("""COMPUTED_VALUE"""),2.592)</f>
        <v>2.592</v>
      </c>
    </row>
    <row r="1646">
      <c r="A1646" s="4" t="str">
        <f>IFERROR(__xludf.DUMMYFUNCTION("""COMPUTED_VALUE"""),"4695")</f>
        <v>4695</v>
      </c>
      <c r="B1646" s="4" t="str">
        <f>IFERROR(__xludf.DUMMYFUNCTION("""COMPUTED_VALUE"""),"Tirantes reflectantes amarillos NO HOMOLOGADOS")</f>
        <v>Tirantes reflectantes amarillos NO HOMOLOGADOS</v>
      </c>
      <c r="C1646" s="4">
        <f>IFERROR(__xludf.DUMMYFUNCTION("""COMPUTED_VALUE"""),2.112)</f>
        <v>2.112</v>
      </c>
    </row>
    <row r="1647">
      <c r="A1647" s="4" t="str">
        <f>IFERROR(__xludf.DUMMYFUNCTION("""COMPUTED_VALUE"""),"4696")</f>
        <v>4696</v>
      </c>
      <c r="B1647" s="4" t="str">
        <f>IFERROR(__xludf.DUMMYFUNCTION("""COMPUTED_VALUE"""),"Tirantes reflectantes naranja NO HOMOLOGADOS")</f>
        <v>Tirantes reflectantes naranja NO HOMOLOGADOS</v>
      </c>
      <c r="C1647" s="4">
        <f>IFERROR(__xludf.DUMMYFUNCTION("""COMPUTED_VALUE"""),2.112)</f>
        <v>2.112</v>
      </c>
    </row>
    <row r="1648">
      <c r="A1648" s="4" t="str">
        <f>IFERROR(__xludf.DUMMYFUNCTION("""COMPUTED_VALUE"""),"4700")</f>
        <v>4700</v>
      </c>
      <c r="B1648" s="4" t="str">
        <f>IFERROR(__xludf.DUMMYFUNCTION("""COMPUTED_VALUE"""),"Rollo Malla Protec Naranja (1x50mts.) 80 gr.")</f>
        <v>Rollo Malla Protec Naranja (1x50mts.) 80 gr.</v>
      </c>
      <c r="C1648" s="4">
        <f>IFERROR(__xludf.DUMMYFUNCTION("""COMPUTED_VALUE"""),17.663999999999998)</f>
        <v>17.664</v>
      </c>
    </row>
    <row r="1649">
      <c r="A1649" s="4" t="str">
        <f>IFERROR(__xludf.DUMMYFUNCTION("""COMPUTED_VALUE"""),"4700A")</f>
        <v>4700A</v>
      </c>
      <c r="B1649" s="4" t="str">
        <f>IFERROR(__xludf.DUMMYFUNCTION("""COMPUTED_VALUE"""),"Rollo malla Protec Amarilla (1x50 m) 80 gr")</f>
        <v>Rollo malla Protec Amarilla (1x50 m) 80 gr</v>
      </c>
      <c r="C1649" s="4">
        <f>IFERROR(__xludf.DUMMYFUNCTION("""COMPUTED_VALUE"""),16.631999999999998)</f>
        <v>16.632</v>
      </c>
    </row>
    <row r="1650">
      <c r="A1650" s="4" t="str">
        <f>IFERROR(__xludf.DUMMYFUNCTION("""COMPUTED_VALUE"""),"4700S")</f>
        <v>4700S</v>
      </c>
      <c r="B1650" s="4" t="str">
        <f>IFERROR(__xludf.DUMMYFUNCTION("""COMPUTED_VALUE"""),"Sistema sujeción para mallas y cinta varilla")</f>
        <v>Sistema sujeción para mallas y cinta varilla</v>
      </c>
      <c r="C1650" s="4">
        <f>IFERROR(__xludf.DUMMYFUNCTION("""COMPUTED_VALUE"""),1.2)</f>
        <v>1.2</v>
      </c>
    </row>
    <row r="1651">
      <c r="A1651" s="4" t="str">
        <f>IFERROR(__xludf.DUMMYFUNCTION("""COMPUTED_VALUE"""),"4700V")</f>
        <v>4700V</v>
      </c>
      <c r="B1651" s="4" t="str">
        <f>IFERROR(__xludf.DUMMYFUNCTION("""COMPUTED_VALUE"""),"Rollo Malla Protec verde (1x50 m) 80 gr")</f>
        <v>Rollo Malla Protec verde (1x50 m) 80 gr</v>
      </c>
      <c r="C1651" s="4">
        <f>IFERROR(__xludf.DUMMYFUNCTION("""COMPUTED_VALUE"""),16.631999999999998)</f>
        <v>16.632</v>
      </c>
    </row>
    <row r="1652">
      <c r="A1652" s="4" t="str">
        <f>IFERROR(__xludf.DUMMYFUNCTION("""COMPUTED_VALUE"""),"4700Z")</f>
        <v>4700Z</v>
      </c>
      <c r="B1652" s="4" t="str">
        <f>IFERROR(__xludf.DUMMYFUNCTION("""COMPUTED_VALUE"""),"Rollo malla Protec Azul (1x50 m) 80 gr")</f>
        <v>Rollo malla Protec Azul (1x50 m) 80 gr</v>
      </c>
      <c r="C1652" s="4">
        <f>IFERROR(__xludf.DUMMYFUNCTION("""COMPUTED_VALUE"""),16.631999999999998)</f>
        <v>16.632</v>
      </c>
    </row>
    <row r="1653">
      <c r="A1653" s="4" t="str">
        <f>IFERROR(__xludf.DUMMYFUNCTION("""COMPUTED_VALUE"""),"4701")</f>
        <v>4701</v>
      </c>
      <c r="B1653" s="4" t="str">
        <f>IFERROR(__xludf.DUMMYFUNCTION("""COMPUTED_VALUE"""),"Rollo Malla Protec Naranja (1X50mts.) 100 gr.")</f>
        <v>Rollo Malla Protec Naranja (1X50mts.) 100 gr.</v>
      </c>
      <c r="C1653" s="4">
        <f>IFERROR(__xludf.DUMMYFUNCTION("""COMPUTED_VALUE"""),18.144)</f>
        <v>18.144</v>
      </c>
    </row>
    <row r="1654">
      <c r="A1654" s="4" t="str">
        <f>IFERROR(__xludf.DUMMYFUNCTION("""COMPUTED_VALUE"""),"4702")</f>
        <v>4702</v>
      </c>
      <c r="B1654" s="4" t="str">
        <f>IFERROR(__xludf.DUMMYFUNCTION("""COMPUTED_VALUE"""),"Rollo malla fibra de vidrio Mortero-Reboco azul 1x50 m")</f>
        <v>Rollo malla fibra de vidrio Mortero-Reboco azul 1x50 m</v>
      </c>
      <c r="C1654" s="4">
        <f>IFERROR(__xludf.DUMMYFUNCTION("""COMPUTED_VALUE"""),20.16)</f>
        <v>20.16</v>
      </c>
    </row>
    <row r="1655">
      <c r="A1655" s="4" t="str">
        <f>IFERROR(__xludf.DUMMYFUNCTION("""COMPUTED_VALUE"""),"4703")</f>
        <v>4703</v>
      </c>
      <c r="B1655" s="4" t="str">
        <f>IFERROR(__xludf.DUMMYFUNCTION("""COMPUTED_VALUE"""),"Rollo malla fibra de vidrio Yeso Blanca 1x50 m")</f>
        <v>Rollo malla fibra de vidrio Yeso Blanca 1x50 m</v>
      </c>
      <c r="C1655" s="4">
        <f>IFERROR(__xludf.DUMMYFUNCTION("""COMPUTED_VALUE"""),20.16)</f>
        <v>20.16</v>
      </c>
    </row>
    <row r="1656">
      <c r="A1656" s="4" t="str">
        <f>IFERROR(__xludf.DUMMYFUNCTION("""COMPUTED_VALUE"""),"4704")</f>
        <v>4704</v>
      </c>
      <c r="B1656" s="4" t="str">
        <f>IFERROR(__xludf.DUMMYFUNCTION("""COMPUTED_VALUE"""),"Rollo Malla fibra de vidrio Blanca pintura 1x50 m")</f>
        <v>Rollo Malla fibra de vidrio Blanca pintura 1x50 m</v>
      </c>
      <c r="C1656" s="4">
        <f>IFERROR(__xludf.DUMMYFUNCTION("""COMPUTED_VALUE"""),20.16)</f>
        <v>20.16</v>
      </c>
    </row>
    <row r="1657">
      <c r="A1657" s="4" t="str">
        <f>IFERROR(__xludf.DUMMYFUNCTION("""COMPUTED_VALUE"""),"4720")</f>
        <v>4720</v>
      </c>
      <c r="B1657" s="4" t="str">
        <f>IFERROR(__xludf.DUMMYFUNCTION("""COMPUTED_VALUE"""),"Mubo PVC señal. c/reflec. 1 mt")</f>
        <v>Mubo PVC señal. c/reflec. 1 mt</v>
      </c>
      <c r="C1657" s="4">
        <f>IFERROR(__xludf.DUMMYFUNCTION("""COMPUTED_VALUE"""),0.768)</f>
        <v>0.768</v>
      </c>
    </row>
    <row r="1658">
      <c r="A1658" s="4" t="str">
        <f>IFERROR(__xludf.DUMMYFUNCTION("""COMPUTED_VALUE"""),"4730")</f>
        <v>4730</v>
      </c>
      <c r="B1658" s="4" t="str">
        <f>IFERROR(__xludf.DUMMYFUNCTION("""COMPUTED_VALUE"""),"Estaca madera 30x30x30")</f>
        <v>Estaca madera 30x30x30</v>
      </c>
      <c r="C1658" s="4">
        <f>IFERROR(__xludf.DUMMYFUNCTION("""COMPUTED_VALUE"""),0.384)</f>
        <v>0.384</v>
      </c>
    </row>
    <row r="1659">
      <c r="A1659" s="4" t="str">
        <f>IFERROR(__xludf.DUMMYFUNCTION("""COMPUTED_VALUE"""),"4735")</f>
        <v>4735</v>
      </c>
      <c r="B1659" s="4" t="str">
        <f>IFERROR(__xludf.DUMMYFUNCTION("""COMPUTED_VALUE"""),"Estaca madera 30x30x35")</f>
        <v>Estaca madera 30x30x35</v>
      </c>
      <c r="C1659" s="4">
        <f>IFERROR(__xludf.DUMMYFUNCTION("""COMPUTED_VALUE"""),0.40319999999999995)</f>
        <v>0.4032</v>
      </c>
    </row>
    <row r="1660">
      <c r="A1660" s="4" t="str">
        <f>IFERROR(__xludf.DUMMYFUNCTION("""COMPUTED_VALUE"""),"4740")</f>
        <v>4740</v>
      </c>
      <c r="B1660" s="4" t="str">
        <f>IFERROR(__xludf.DUMMYFUNCTION("""COMPUTED_VALUE"""),"Estaca madera 30x30x40")</f>
        <v>Estaca madera 30x30x40</v>
      </c>
      <c r="C1660" s="4">
        <f>IFERROR(__xludf.DUMMYFUNCTION("""COMPUTED_VALUE"""),0.384)</f>
        <v>0.384</v>
      </c>
    </row>
    <row r="1661">
      <c r="A1661" s="4" t="str">
        <f>IFERROR(__xludf.DUMMYFUNCTION("""COMPUTED_VALUE"""),"4750")</f>
        <v>4750</v>
      </c>
      <c r="B1661" s="4" t="str">
        <f>IFERROR(__xludf.DUMMYFUNCTION("""COMPUTED_VALUE"""),"Estaca madera 30x30x50")</f>
        <v>Estaca madera 30x30x50</v>
      </c>
      <c r="C1661" s="4">
        <f>IFERROR(__xludf.DUMMYFUNCTION("""COMPUTED_VALUE"""),0.45119999999999993)</f>
        <v>0.4512</v>
      </c>
    </row>
    <row r="1662">
      <c r="A1662" s="4" t="str">
        <f>IFERROR(__xludf.DUMMYFUNCTION("""COMPUTED_VALUE"""),"4760")</f>
        <v>4760</v>
      </c>
      <c r="B1662" s="4" t="str">
        <f>IFERROR(__xludf.DUMMYFUNCTION("""COMPUTED_VALUE"""),"Estaca madera 30x30x60")</f>
        <v>Estaca madera 30x30x60</v>
      </c>
      <c r="C1662" s="4">
        <f>IFERROR(__xludf.DUMMYFUNCTION("""COMPUTED_VALUE"""),0.5471999999999999)</f>
        <v>0.5472</v>
      </c>
    </row>
    <row r="1663">
      <c r="A1663" s="4" t="str">
        <f>IFERROR(__xludf.DUMMYFUNCTION("""COMPUTED_VALUE"""),"4770")</f>
        <v>4770</v>
      </c>
      <c r="B1663" s="4" t="str">
        <f>IFERROR(__xludf.DUMMYFUNCTION("""COMPUTED_VALUE"""),"Estaca madera 30x30x70")</f>
        <v>Estaca madera 30x30x70</v>
      </c>
      <c r="C1663" s="4">
        <f>IFERROR(__xludf.DUMMYFUNCTION("""COMPUTED_VALUE"""),0.6432)</f>
        <v>0.6432</v>
      </c>
    </row>
    <row r="1664">
      <c r="A1664" s="4" t="str">
        <f>IFERROR(__xludf.DUMMYFUNCTION("""COMPUTED_VALUE"""),"4780")</f>
        <v>4780</v>
      </c>
      <c r="B1664" s="4" t="str">
        <f>IFERROR(__xludf.DUMMYFUNCTION("""COMPUTED_VALUE"""),"Ecopate 300")</f>
        <v>Ecopate 300</v>
      </c>
      <c r="C1664" s="4">
        <f>IFERROR(__xludf.DUMMYFUNCTION("""COMPUTED_VALUE"""),5.135999999999999)</f>
        <v>5.136</v>
      </c>
    </row>
    <row r="1665">
      <c r="A1665" s="4" t="str">
        <f>IFERROR(__xludf.DUMMYFUNCTION("""COMPUTED_VALUE"""),"4799")</f>
        <v>4799</v>
      </c>
      <c r="B1665" s="4" t="str">
        <f>IFERROR(__xludf.DUMMYFUNCTION("""COMPUTED_VALUE"""),"Estaca madera 30x30x100")</f>
        <v>Estaca madera 30x30x100</v>
      </c>
      <c r="C1665" s="4">
        <f>IFERROR(__xludf.DUMMYFUNCTION("""COMPUTED_VALUE"""),0.9023999999999999)</f>
        <v>0.9024</v>
      </c>
    </row>
    <row r="1666">
      <c r="A1666" s="4" t="str">
        <f>IFERROR(__xludf.DUMMYFUNCTION("""COMPUTED_VALUE"""),"4887")</f>
        <v>4887</v>
      </c>
      <c r="B1666" s="4" t="str">
        <f>IFERROR(__xludf.DUMMYFUNCTION("""COMPUTED_VALUE"""),"Mtro.cuadrado malla proteccion andamio Standard")</f>
        <v>Mtro.cuadrado malla proteccion andamio Standard</v>
      </c>
      <c r="C1666" s="4">
        <f>IFERROR(__xludf.DUMMYFUNCTION("""COMPUTED_VALUE"""),0.5856)</f>
        <v>0.5856</v>
      </c>
    </row>
    <row r="1667">
      <c r="A1667" s="4" t="str">
        <f>IFERROR(__xludf.DUMMYFUNCTION("""COMPUTED_VALUE"""),"4888")</f>
        <v>4888</v>
      </c>
      <c r="B1667" s="4" t="str">
        <f>IFERROR(__xludf.DUMMYFUNCTION("""COMPUTED_VALUE"""),"Mtro.cuadrado malla proteccion andamio Extra")</f>
        <v>Mtro.cuadrado malla proteccion andamio Extra</v>
      </c>
      <c r="C1667" s="4">
        <f>IFERROR(__xludf.DUMMYFUNCTION("""COMPUTED_VALUE"""),0.6528)</f>
        <v>0.6528</v>
      </c>
    </row>
    <row r="1668">
      <c r="A1668" s="4" t="str">
        <f>IFERROR(__xludf.DUMMYFUNCTION("""COMPUTED_VALUE"""),"4888C")</f>
        <v>4888C</v>
      </c>
      <c r="B1668" s="4" t="str">
        <f>IFERROR(__xludf.DUMMYFUNCTION("""COMPUTED_VALUE"""),"Conector grapa para malla ojales y poste cadena (50 uds)")</f>
        <v>Conector grapa para malla ojales y poste cadena (50 uds)</v>
      </c>
      <c r="C1668" s="4">
        <f>IFERROR(__xludf.DUMMYFUNCTION("""COMPUTED_VALUE"""),5.76)</f>
        <v>5.76</v>
      </c>
    </row>
    <row r="1669">
      <c r="A1669" s="4" t="str">
        <f>IFERROR(__xludf.DUMMYFUNCTION("""COMPUTED_VALUE"""),"4888G")</f>
        <v>4888G</v>
      </c>
      <c r="B1669" s="4" t="str">
        <f>IFERROR(__xludf.DUMMYFUNCTION("""COMPUTED_VALUE"""),"Grapa 35x40 mm para malla (50 uds)")</f>
        <v>Grapa 35x40 mm para malla (50 uds)</v>
      </c>
      <c r="C1669" s="4">
        <f>IFERROR(__xludf.DUMMYFUNCTION("""COMPUTED_VALUE"""),3.84)</f>
        <v>3.84</v>
      </c>
    </row>
    <row r="1670">
      <c r="A1670" s="4" t="str">
        <f>IFERROR(__xludf.DUMMYFUNCTION("""COMPUTED_VALUE"""),"4890")</f>
        <v>4890</v>
      </c>
      <c r="B1670" s="4" t="str">
        <f>IFERROR(__xludf.DUMMYFUNCTION("""COMPUTED_VALUE"""),"Malla sombreo/ocultacion 70% (x M2)")</f>
        <v>Malla sombreo/ocultacion 70% (x M2)</v>
      </c>
      <c r="C1670" s="4">
        <f>IFERROR(__xludf.DUMMYFUNCTION("""COMPUTED_VALUE"""),0.5232)</f>
        <v>0.5232</v>
      </c>
    </row>
    <row r="1671">
      <c r="A1671" s="4" t="str">
        <f>IFERROR(__xludf.DUMMYFUNCTION("""COMPUTED_VALUE"""),"4891")</f>
        <v>4891</v>
      </c>
      <c r="B1671" s="4" t="str">
        <f>IFERROR(__xludf.DUMMYFUNCTION("""COMPUTED_VALUE"""),"Malla sombreo/ocultacion 80% (x M2)")</f>
        <v>Malla sombreo/ocultacion 80% (x M2)</v>
      </c>
      <c r="C1671" s="4">
        <f>IFERROR(__xludf.DUMMYFUNCTION("""COMPUTED_VALUE"""),0.9119999999999999)</f>
        <v>0.912</v>
      </c>
    </row>
    <row r="1672">
      <c r="A1672" s="4" t="str">
        <f>IFERROR(__xludf.DUMMYFUNCTION("""COMPUTED_VALUE"""),"4892")</f>
        <v>4892</v>
      </c>
      <c r="B1672" s="4" t="str">
        <f>IFERROR(__xludf.DUMMYFUNCTION("""COMPUTED_VALUE"""),"Malla sombreo/ocultacion 90% (x M2)")</f>
        <v>Malla sombreo/ocultacion 90% (x M2)</v>
      </c>
      <c r="C1672" s="4">
        <f>IFERROR(__xludf.DUMMYFUNCTION("""COMPUTED_VALUE"""),0.9984)</f>
        <v>0.9984</v>
      </c>
    </row>
    <row r="1673">
      <c r="A1673" s="4" t="str">
        <f>IFERROR(__xludf.DUMMYFUNCTION("""COMPUTED_VALUE"""),"4893")</f>
        <v>4893</v>
      </c>
      <c r="B1673" s="4" t="str">
        <f>IFERROR(__xludf.DUMMYFUNCTION("""COMPUTED_VALUE"""),"Malla/Tejido suelo antihierba negro/verde (x M2)")</f>
        <v>Malla/Tejido suelo antihierba negro/verde (x M2)</v>
      </c>
      <c r="C1673" s="4">
        <f>IFERROR(__xludf.DUMMYFUNCTION("""COMPUTED_VALUE"""),0.7296)</f>
        <v>0.7296</v>
      </c>
    </row>
    <row r="1674">
      <c r="A1674" s="4" t="str">
        <f>IFERROR(__xludf.DUMMYFUNCTION("""COMPUTED_VALUE"""),"4894")</f>
        <v>4894</v>
      </c>
      <c r="B1674" s="4" t="str">
        <f>IFERROR(__xludf.DUMMYFUNCTION("""COMPUTED_VALUE"""),"Malla ocultacion negra/franjas 75% 3,50x1,90 blister")</f>
        <v>Malla ocultacion negra/franjas 75% 3,50x1,90 blister</v>
      </c>
      <c r="C1674" s="4">
        <f>IFERROR(__xludf.DUMMYFUNCTION("""COMPUTED_VALUE"""),5.097599999999999)</f>
        <v>5.0976</v>
      </c>
    </row>
    <row r="1675">
      <c r="A1675" s="4" t="str">
        <f>IFERROR(__xludf.DUMMYFUNCTION("""COMPUTED_VALUE"""),"4895/A")</f>
        <v>4895/A</v>
      </c>
      <c r="B1675" s="4" t="str">
        <f>IFERROR(__xludf.DUMMYFUNCTION("""COMPUTED_VALUE"""),"Malla señal. monofilamento 1x100 mts Amarilla")</f>
        <v>Malla señal. monofilamento 1x100 mts Amarilla</v>
      </c>
      <c r="C1675" s="4">
        <f>IFERROR(__xludf.DUMMYFUNCTION("""COMPUTED_VALUE"""),48.384)</f>
        <v>48.384</v>
      </c>
    </row>
    <row r="1676">
      <c r="A1676" s="4" t="str">
        <f>IFERROR(__xludf.DUMMYFUNCTION("""COMPUTED_VALUE"""),"4895/R")</f>
        <v>4895/R</v>
      </c>
      <c r="B1676" s="4" t="str">
        <f>IFERROR(__xludf.DUMMYFUNCTION("""COMPUTED_VALUE"""),"Malla señal. monofilamento 1x100 mts Rojo")</f>
        <v>Malla señal. monofilamento 1x100 mts Rojo</v>
      </c>
      <c r="C1676" s="4">
        <f>IFERROR(__xludf.DUMMYFUNCTION("""COMPUTED_VALUE"""),48.384)</f>
        <v>48.384</v>
      </c>
    </row>
    <row r="1677">
      <c r="A1677" s="4" t="str">
        <f>IFERROR(__xludf.DUMMYFUNCTION("""COMPUTED_VALUE"""),"4897")</f>
        <v>4897</v>
      </c>
      <c r="B1677" s="4" t="str">
        <f>IFERROR(__xludf.DUMMYFUNCTION("""COMPUTED_VALUE"""),"Malla sombreo/ocultacion 70% manto a medida (x M2)")</f>
        <v>Malla sombreo/ocultacion 70% manto a medida (x M2)</v>
      </c>
      <c r="C1677" s="4">
        <f>IFERROR(__xludf.DUMMYFUNCTION("""COMPUTED_VALUE"""),0.5856)</f>
        <v>0.5856</v>
      </c>
    </row>
    <row r="1678">
      <c r="A1678" s="4" t="str">
        <f>IFERROR(__xludf.DUMMYFUNCTION("""COMPUTED_VALUE"""),"4898")</f>
        <v>4898</v>
      </c>
      <c r="B1678" s="4" t="str">
        <f>IFERROR(__xludf.DUMMYFUNCTION("""COMPUTED_VALUE"""),"Malla sombreo/ocultacion 80% manto a medida (x M2)")</f>
        <v>Malla sombreo/ocultacion 80% manto a medida (x M2)</v>
      </c>
      <c r="C1678" s="4">
        <f>IFERROR(__xludf.DUMMYFUNCTION("""COMPUTED_VALUE"""),0.8543999999999999)</f>
        <v>0.8544</v>
      </c>
    </row>
    <row r="1679">
      <c r="A1679" s="4" t="str">
        <f>IFERROR(__xludf.DUMMYFUNCTION("""COMPUTED_VALUE"""),"4899")</f>
        <v>4899</v>
      </c>
      <c r="B1679" s="4" t="str">
        <f>IFERROR(__xludf.DUMMYFUNCTION("""COMPUTED_VALUE"""),"Malla sombreo/ocultacion 90% manto a medida (x M2)")</f>
        <v>Malla sombreo/ocultacion 90% manto a medida (x M2)</v>
      </c>
      <c r="C1679" s="4">
        <f>IFERROR(__xludf.DUMMYFUNCTION("""COMPUTED_VALUE"""),0.9071999999999999)</f>
        <v>0.9072</v>
      </c>
    </row>
    <row r="1680">
      <c r="A1680" s="4" t="str">
        <f>IFERROR(__xludf.DUMMYFUNCTION("""COMPUTED_VALUE"""),"5100")</f>
        <v>5100</v>
      </c>
      <c r="B1680" s="4" t="str">
        <f>IFERROR(__xludf.DUMMYFUNCTION("""COMPUTED_VALUE"""),"Gafas protección G-1")</f>
        <v>Gafas protección G-1</v>
      </c>
      <c r="C1680" s="4">
        <f>IFERROR(__xludf.DUMMYFUNCTION("""COMPUTED_VALUE"""),1.0943999999999998)</f>
        <v>1.0944</v>
      </c>
    </row>
    <row r="1681">
      <c r="A1681" s="4" t="str">
        <f>IFERROR(__xludf.DUMMYFUNCTION("""COMPUTED_VALUE"""),"5101")</f>
        <v>5101</v>
      </c>
      <c r="B1681" s="4" t="str">
        <f>IFERROR(__xludf.DUMMYFUNCTION("""COMPUTED_VALUE"""),"Gafas protección G-2")</f>
        <v>Gafas protección G-2</v>
      </c>
      <c r="C1681" s="4">
        <f>IFERROR(__xludf.DUMMYFUNCTION("""COMPUTED_VALUE"""),0.768)</f>
        <v>0.768</v>
      </c>
    </row>
    <row r="1682">
      <c r="A1682" s="4" t="str">
        <f>IFERROR(__xludf.DUMMYFUNCTION("""COMPUTED_VALUE"""),"5102")</f>
        <v>5102</v>
      </c>
      <c r="B1682" s="4" t="str">
        <f>IFERROR(__xludf.DUMMYFUNCTION("""COMPUTED_VALUE"""),"Gafas protección G-3")</f>
        <v>Gafas protección G-3</v>
      </c>
      <c r="C1682" s="4">
        <f>IFERROR(__xludf.DUMMYFUNCTION("""COMPUTED_VALUE"""),1.3247999999999998)</f>
        <v>1.3248</v>
      </c>
    </row>
    <row r="1683">
      <c r="A1683" s="4" t="str">
        <f>IFERROR(__xludf.DUMMYFUNCTION("""COMPUTED_VALUE"""),"5105")</f>
        <v>5105</v>
      </c>
      <c r="B1683" s="4" t="str">
        <f>IFERROR(__xludf.DUMMYFUNCTION("""COMPUTED_VALUE"""),"Pantalla protectora facial fija Basic")</f>
        <v>Pantalla protectora facial fija Basic</v>
      </c>
      <c r="C1683" s="4">
        <f>IFERROR(__xludf.DUMMYFUNCTION("""COMPUTED_VALUE"""),2.016)</f>
        <v>2.016</v>
      </c>
    </row>
    <row r="1684">
      <c r="A1684" s="4" t="str">
        <f>IFERROR(__xludf.DUMMYFUNCTION("""COMPUTED_VALUE"""),"5200")</f>
        <v>5200</v>
      </c>
      <c r="B1684" s="4" t="str">
        <f>IFERROR(__xludf.DUMMYFUNCTION("""COMPUTED_VALUE"""),"Tapones proteccion auditiva c/ cordón")</f>
        <v>Tapones proteccion auditiva c/ cordón</v>
      </c>
      <c r="C1684" s="4">
        <f>IFERROR(__xludf.DUMMYFUNCTION("""COMPUTED_VALUE"""),0.2208)</f>
        <v>0.2208</v>
      </c>
    </row>
    <row r="1685">
      <c r="A1685" s="4" t="str">
        <f>IFERROR(__xludf.DUMMYFUNCTION("""COMPUTED_VALUE"""),"5201")</f>
        <v>5201</v>
      </c>
      <c r="B1685" s="4" t="str">
        <f>IFERROR(__xludf.DUMMYFUNCTION("""COMPUTED_VALUE"""),"Cascos proteccion auditiva mod. A")</f>
        <v>Cascos proteccion auditiva mod. A</v>
      </c>
      <c r="C1685" s="4">
        <f>IFERROR(__xludf.DUMMYFUNCTION("""COMPUTED_VALUE"""),2.4288)</f>
        <v>2.4288</v>
      </c>
    </row>
    <row r="1686">
      <c r="A1686" s="4" t="str">
        <f>IFERROR(__xludf.DUMMYFUNCTION("""COMPUTED_VALUE"""),"5300L")</f>
        <v>5300L</v>
      </c>
      <c r="B1686" s="4" t="str">
        <f>IFERROR(__xludf.DUMMYFUNCTION("""COMPUTED_VALUE"""),"Faja elastica proteccion lumbar Talla L")</f>
        <v>Faja elastica proteccion lumbar Talla L</v>
      </c>
      <c r="C1686" s="4">
        <f>IFERROR(__xludf.DUMMYFUNCTION("""COMPUTED_VALUE"""),7.584)</f>
        <v>7.584</v>
      </c>
    </row>
    <row r="1687">
      <c r="A1687" s="4" t="str">
        <f>IFERROR(__xludf.DUMMYFUNCTION("""COMPUTED_VALUE"""),"5300XL")</f>
        <v>5300XL</v>
      </c>
      <c r="B1687" s="4" t="str">
        <f>IFERROR(__xludf.DUMMYFUNCTION("""COMPUTED_VALUE"""),"Faja elastica proteccion lumbar Talla XL")</f>
        <v>Faja elastica proteccion lumbar Talla XL</v>
      </c>
      <c r="C1687" s="4">
        <f>IFERROR(__xludf.DUMMYFUNCTION("""COMPUTED_VALUE"""),7.584)</f>
        <v>7.584</v>
      </c>
    </row>
    <row r="1688">
      <c r="A1688" s="4" t="str">
        <f>IFERROR(__xludf.DUMMYFUNCTION("""COMPUTED_VALUE"""),"5300XXL")</f>
        <v>5300XXL</v>
      </c>
      <c r="B1688" s="4" t="str">
        <f>IFERROR(__xludf.DUMMYFUNCTION("""COMPUTED_VALUE"""),"Faja elastica proteccion lumbar Talla XXL")</f>
        <v>Faja elastica proteccion lumbar Talla XXL</v>
      </c>
      <c r="C1688" s="4">
        <f>IFERROR(__xludf.DUMMYFUNCTION("""COMPUTED_VALUE"""),7.584)</f>
        <v>7.584</v>
      </c>
    </row>
    <row r="1689">
      <c r="A1689" s="4" t="str">
        <f>IFERROR(__xludf.DUMMYFUNCTION("""COMPUTED_VALUE"""),"7000")</f>
        <v>7000</v>
      </c>
      <c r="B1689" s="4" t="str">
        <f>IFERROR(__xludf.DUMMYFUNCTION("""COMPUTED_VALUE"""),"Spray fluo 500 ml S MARK rojo")</f>
        <v>Spray fluo 500 ml S MARK rojo</v>
      </c>
      <c r="C1689" s="4">
        <f>IFERROR(__xludf.DUMMYFUNCTION("""COMPUTED_VALUE"""),4.512)</f>
        <v>4.512</v>
      </c>
    </row>
    <row r="1690">
      <c r="A1690" s="4" t="str">
        <f>IFERROR(__xludf.DUMMYFUNCTION("""COMPUTED_VALUE"""),"7001")</f>
        <v>7001</v>
      </c>
      <c r="B1690" s="4" t="str">
        <f>IFERROR(__xludf.DUMMYFUNCTION("""COMPUTED_VALUE"""),"Spray fluo 500 ml S MARK azul")</f>
        <v>Spray fluo 500 ml S MARK azul</v>
      </c>
      <c r="C1690" s="4">
        <f>IFERROR(__xludf.DUMMYFUNCTION("""COMPUTED_VALUE"""),4.512)</f>
        <v>4.512</v>
      </c>
    </row>
    <row r="1691">
      <c r="A1691" s="4" t="str">
        <f>IFERROR(__xludf.DUMMYFUNCTION("""COMPUTED_VALUE"""),"7002")</f>
        <v>7002</v>
      </c>
      <c r="B1691" s="4" t="str">
        <f>IFERROR(__xludf.DUMMYFUNCTION("""COMPUTED_VALUE"""),"Spray fluo 500 ml S MARK amarillo")</f>
        <v>Spray fluo 500 ml S MARK amarillo</v>
      </c>
      <c r="C1691" s="4">
        <f>IFERROR(__xludf.DUMMYFUNCTION("""COMPUTED_VALUE"""),4.512)</f>
        <v>4.512</v>
      </c>
    </row>
    <row r="1692">
      <c r="A1692" s="4" t="str">
        <f>IFERROR(__xludf.DUMMYFUNCTION("""COMPUTED_VALUE"""),"7003")</f>
        <v>7003</v>
      </c>
      <c r="B1692" s="4" t="str">
        <f>IFERROR(__xludf.DUMMYFUNCTION("""COMPUTED_VALUE"""),"Spray fluo 500 ml S MARK verde")</f>
        <v>Spray fluo 500 ml S MARK verde</v>
      </c>
      <c r="C1692" s="4">
        <f>IFERROR(__xludf.DUMMYFUNCTION("""COMPUTED_VALUE"""),4.512)</f>
        <v>4.512</v>
      </c>
    </row>
    <row r="1693">
      <c r="A1693" s="4" t="str">
        <f>IFERROR(__xludf.DUMMYFUNCTION("""COMPUTED_VALUE"""),"7003A")</f>
        <v>7003A</v>
      </c>
      <c r="B1693" s="4" t="str">
        <f>IFERROR(__xludf.DUMMYFUNCTION("""COMPUTED_VALUE"""),"Loseta/superficie para guía peatonal Mod A")</f>
        <v>Loseta/superficie para guía peatonal Mod A</v>
      </c>
      <c r="C1693" s="4">
        <f>IFERROR(__xludf.DUMMYFUNCTION("""COMPUTED_VALUE"""),9.024)</f>
        <v>9.024</v>
      </c>
    </row>
    <row r="1694">
      <c r="A1694" s="4" t="str">
        <f>IFERROR(__xludf.DUMMYFUNCTION("""COMPUTED_VALUE"""),"7004")</f>
        <v>7004</v>
      </c>
      <c r="B1694" s="4" t="str">
        <f>IFERROR(__xludf.DUMMYFUNCTION("""COMPUTED_VALUE"""),"Spray fluo 500 ml S MARK rosa")</f>
        <v>Spray fluo 500 ml S MARK rosa</v>
      </c>
      <c r="C1694" s="4">
        <f>IFERROR(__xludf.DUMMYFUNCTION("""COMPUTED_VALUE"""),4.512)</f>
        <v>4.512</v>
      </c>
    </row>
    <row r="1695">
      <c r="A1695" s="4" t="str">
        <f>IFERROR(__xludf.DUMMYFUNCTION("""COMPUTED_VALUE"""),"7004B")</f>
        <v>7004B</v>
      </c>
      <c r="B1695" s="4" t="str">
        <f>IFERROR(__xludf.DUMMYFUNCTION("""COMPUTED_VALUE"""),"Loseta/superficie para guía peatonal Mod B")</f>
        <v>Loseta/superficie para guía peatonal Mod B</v>
      </c>
      <c r="C1695" s="4">
        <f>IFERROR(__xludf.DUMMYFUNCTION("""COMPUTED_VALUE"""),9.024)</f>
        <v>9.024</v>
      </c>
    </row>
    <row r="1696">
      <c r="A1696" s="4" t="str">
        <f>IFERROR(__xludf.DUMMYFUNCTION("""COMPUTED_VALUE"""),"7005")</f>
        <v>7005</v>
      </c>
      <c r="B1696" s="4" t="str">
        <f>IFERROR(__xludf.DUMMYFUNCTION("""COMPUTED_VALUE"""),"Spray fluo 500 ml S MARK naranja")</f>
        <v>Spray fluo 500 ml S MARK naranja</v>
      </c>
      <c r="C1696" s="4">
        <f>IFERROR(__xludf.DUMMYFUNCTION("""COMPUTED_VALUE"""),4.512)</f>
        <v>4.512</v>
      </c>
    </row>
    <row r="1697">
      <c r="A1697" s="4" t="str">
        <f>IFERROR(__xludf.DUMMYFUNCTION("""COMPUTED_VALUE"""),"7010")</f>
        <v>7010</v>
      </c>
      <c r="B1697" s="4" t="str">
        <f>IFERROR(__xludf.DUMMYFUNCTION("""COMPUTED_VALUE"""),"Spray Fluo 360º 500 ml IDEAL rojo")</f>
        <v>Spray Fluo 360º 500 ml IDEAL rojo</v>
      </c>
      <c r="C1697" s="4">
        <f>IFERROR(__xludf.DUMMYFUNCTION("""COMPUTED_VALUE"""),4.771199999999999)</f>
        <v>4.7712</v>
      </c>
    </row>
    <row r="1698">
      <c r="A1698" s="4" t="str">
        <f>IFERROR(__xludf.DUMMYFUNCTION("""COMPUTED_VALUE"""),"7011")</f>
        <v>7011</v>
      </c>
      <c r="B1698" s="4" t="str">
        <f>IFERROR(__xludf.DUMMYFUNCTION("""COMPUTED_VALUE"""),"Spray Fluo 360º 500 ml IDEAL azul")</f>
        <v>Spray Fluo 360º 500 ml IDEAL azul</v>
      </c>
      <c r="C1698" s="4">
        <f>IFERROR(__xludf.DUMMYFUNCTION("""COMPUTED_VALUE"""),4.771199999999999)</f>
        <v>4.7712</v>
      </c>
    </row>
    <row r="1699">
      <c r="A1699" s="4" t="str">
        <f>IFERROR(__xludf.DUMMYFUNCTION("""COMPUTED_VALUE"""),"7012")</f>
        <v>7012</v>
      </c>
      <c r="B1699" s="4" t="str">
        <f>IFERROR(__xludf.DUMMYFUNCTION("""COMPUTED_VALUE"""),"Spray Fluo 360º 500 ml IDEAL amarillo")</f>
        <v>Spray Fluo 360º 500 ml IDEAL amarillo</v>
      </c>
      <c r="C1699" s="4">
        <f>IFERROR(__xludf.DUMMYFUNCTION("""COMPUTED_VALUE"""),4.771199999999999)</f>
        <v>4.7712</v>
      </c>
    </row>
    <row r="1700">
      <c r="A1700" s="4" t="str">
        <f>IFERROR(__xludf.DUMMYFUNCTION("""COMPUTED_VALUE"""),"7014")</f>
        <v>7014</v>
      </c>
      <c r="B1700" s="4" t="str">
        <f>IFERROR(__xludf.DUMMYFUNCTION("""COMPUTED_VALUE"""),"Spray Fluo 360º 500 ml IDEAL rosa")</f>
        <v>Spray Fluo 360º 500 ml IDEAL rosa</v>
      </c>
      <c r="C1700" s="4">
        <f>IFERROR(__xludf.DUMMYFUNCTION("""COMPUTED_VALUE"""),4.771199999999999)</f>
        <v>4.7712</v>
      </c>
    </row>
    <row r="1701">
      <c r="A1701" s="4" t="str">
        <f>IFERROR(__xludf.DUMMYFUNCTION("""COMPUTED_VALUE"""),"7020")</f>
        <v>7020</v>
      </c>
      <c r="B1701" s="4" t="str">
        <f>IFERROR(__xludf.DUMMYFUNCTION("""COMPUTED_VALUE"""),"Spray 500 ml Line Marker Blanco")</f>
        <v>Spray 500 ml Line Marker Blanco</v>
      </c>
      <c r="C1701" s="4">
        <f>IFERROR(__xludf.DUMMYFUNCTION("""COMPUTED_VALUE"""),7.3104)</f>
        <v>7.3104</v>
      </c>
    </row>
    <row r="1702">
      <c r="A1702" s="4" t="str">
        <f>IFERROR(__xludf.DUMMYFUNCTION("""COMPUTED_VALUE"""),"7022")</f>
        <v>7022</v>
      </c>
      <c r="B1702" s="4" t="str">
        <f>IFERROR(__xludf.DUMMYFUNCTION("""COMPUTED_VALUE"""),"Spray 500 ml Line Marker Amarillo")</f>
        <v>Spray 500 ml Line Marker Amarillo</v>
      </c>
      <c r="C1702" s="4">
        <f>IFERROR(__xludf.DUMMYFUNCTION("""COMPUTED_VALUE"""),7.3104)</f>
        <v>7.3104</v>
      </c>
    </row>
    <row r="1703">
      <c r="A1703" s="4" t="str">
        <f>IFERROR(__xludf.DUMMYFUNCTION("""COMPUTED_VALUE"""),"7025")</f>
        <v>7025</v>
      </c>
      <c r="B1703" s="4" t="str">
        <f>IFERROR(__xludf.DUMMYFUNCTION("""COMPUTED_VALUE"""),"Spray Pintura Luminiscente 400 ml")</f>
        <v>Spray Pintura Luminiscente 400 ml</v>
      </c>
      <c r="C1703" s="4">
        <f>IFERROR(__xludf.DUMMYFUNCTION("""COMPUTED_VALUE"""),17.64)</f>
        <v>17.64</v>
      </c>
    </row>
    <row r="1704">
      <c r="A1704" s="4" t="str">
        <f>IFERROR(__xludf.DUMMYFUNCTION("""COMPUTED_VALUE"""),"80135N1")</f>
        <v>80135N1</v>
      </c>
      <c r="B1704" s="4" t="str">
        <f>IFERROR(__xludf.DUMMYFUNCTION("""COMPUTED_VALUE"""),"Triangulo MOPU TP 135 cm Reflex I")</f>
        <v>Triangulo MOPU TP 135 cm Reflex I</v>
      </c>
      <c r="C1704" s="4">
        <f>IFERROR(__xludf.DUMMYFUNCTION("""COMPUTED_VALUE"""),77.8176)</f>
        <v>77.8176</v>
      </c>
    </row>
    <row r="1705">
      <c r="A1705" s="4" t="str">
        <f>IFERROR(__xludf.DUMMYFUNCTION("""COMPUTED_VALUE"""),"80135N2")</f>
        <v>80135N2</v>
      </c>
      <c r="B1705" s="4" t="str">
        <f>IFERROR(__xludf.DUMMYFUNCTION("""COMPUTED_VALUE"""),"Triangulo MOPU TD 135 cm Reflex II")</f>
        <v>Triangulo MOPU TD 135 cm Reflex II</v>
      </c>
      <c r="C1705" s="4">
        <f>IFERROR(__xludf.DUMMYFUNCTION("""COMPUTED_VALUE"""),112.6944)</f>
        <v>112.6944</v>
      </c>
    </row>
    <row r="1706">
      <c r="A1706" s="4" t="str">
        <f>IFERROR(__xludf.DUMMYFUNCTION("""COMPUTED_VALUE"""),"80135N3")</f>
        <v>80135N3</v>
      </c>
      <c r="B1706" s="4" t="str">
        <f>IFERROR(__xludf.DUMMYFUNCTION("""COMPUTED_VALUE"""),"Triangulo MOPU TD 135 cm Reflex III")</f>
        <v>Triangulo MOPU TD 135 cm Reflex III</v>
      </c>
      <c r="C1706" s="4">
        <f>IFERROR(__xludf.DUMMYFUNCTION("""COMPUTED_VALUE"""),150.144)</f>
        <v>150.144</v>
      </c>
    </row>
    <row r="1707">
      <c r="A1707" s="4" t="str">
        <f>IFERROR(__xludf.DUMMYFUNCTION("""COMPUTED_VALUE"""),"80175N1")</f>
        <v>80175N1</v>
      </c>
      <c r="B1707" s="4" t="str">
        <f>IFERROR(__xludf.DUMMYFUNCTION("""COMPUTED_VALUE"""),"Triangulo MOPU TD 175 cm Reflex I")</f>
        <v>Triangulo MOPU TD 175 cm Reflex I</v>
      </c>
      <c r="C1707" s="4">
        <f>IFERROR(__xludf.DUMMYFUNCTION("""COMPUTED_VALUE"""),171.60959999999997)</f>
        <v>171.6096</v>
      </c>
    </row>
    <row r="1708">
      <c r="A1708" s="4" t="str">
        <f>IFERROR(__xludf.DUMMYFUNCTION("""COMPUTED_VALUE"""),"80175N2")</f>
        <v>80175N2</v>
      </c>
      <c r="B1708" s="4" t="str">
        <f>IFERROR(__xludf.DUMMYFUNCTION("""COMPUTED_VALUE"""),"Triangulo MOPU TD 175 cm Reflex II")</f>
        <v>Triangulo MOPU TD 175 cm Reflex II</v>
      </c>
      <c r="C1708" s="4">
        <f>IFERROR(__xludf.DUMMYFUNCTION("""COMPUTED_VALUE"""),215.6736)</f>
        <v>215.6736</v>
      </c>
    </row>
    <row r="1709">
      <c r="A1709" s="4" t="str">
        <f>IFERROR(__xludf.DUMMYFUNCTION("""COMPUTED_VALUE"""),"80175N3")</f>
        <v>80175N3</v>
      </c>
      <c r="B1709" s="4" t="str">
        <f>IFERROR(__xludf.DUMMYFUNCTION("""COMPUTED_VALUE"""),"Triangulo MOPU TD 175 cm Reflex III")</f>
        <v>Triangulo MOPU TD 175 cm Reflex III</v>
      </c>
      <c r="C1709" s="4">
        <f>IFERROR(__xludf.DUMMYFUNCTION("""COMPUTED_VALUE"""),275.40479999999997)</f>
        <v>275.4048</v>
      </c>
    </row>
    <row r="1710">
      <c r="A1710" s="4" t="str">
        <f>IFERROR(__xludf.DUMMYFUNCTION("""COMPUTED_VALUE"""),"8070N1")</f>
        <v>8070N1</v>
      </c>
      <c r="B1710" s="4" t="str">
        <f>IFERROR(__xludf.DUMMYFUNCTION("""COMPUTED_VALUE"""),"Triangulo MOPU TP 70 cm Reflex I")</f>
        <v>Triangulo MOPU TP 70 cm Reflex I</v>
      </c>
      <c r="C1710" s="4">
        <f>IFERROR(__xludf.DUMMYFUNCTION("""COMPUTED_VALUE"""),23.04)</f>
        <v>23.04</v>
      </c>
    </row>
    <row r="1711">
      <c r="A1711" s="4" t="str">
        <f>IFERROR(__xludf.DUMMYFUNCTION("""COMPUTED_VALUE"""),"8070N2")</f>
        <v>8070N2</v>
      </c>
      <c r="B1711" s="4" t="str">
        <f>IFERROR(__xludf.DUMMYFUNCTION("""COMPUTED_VALUE"""),"Triangulo MOPU TP 70 cm Reflex II")</f>
        <v>Triangulo MOPU TP 70 cm Reflex II</v>
      </c>
      <c r="C1711" s="4">
        <f>IFERROR(__xludf.DUMMYFUNCTION("""COMPUTED_VALUE"""),29.759999999999998)</f>
        <v>29.76</v>
      </c>
    </row>
    <row r="1712">
      <c r="A1712" s="4" t="str">
        <f>IFERROR(__xludf.DUMMYFUNCTION("""COMPUTED_VALUE"""),"8070N3")</f>
        <v>8070N3</v>
      </c>
      <c r="B1712" s="4" t="str">
        <f>IFERROR(__xludf.DUMMYFUNCTION("""COMPUTED_VALUE"""),"Triangulo MOPU TP 70 cm Reflex III")</f>
        <v>Triangulo MOPU TP 70 cm Reflex III</v>
      </c>
      <c r="C1712" s="4">
        <f>IFERROR(__xludf.DUMMYFUNCTION("""COMPUTED_VALUE"""),47.980799999999995)</f>
        <v>47.9808</v>
      </c>
    </row>
    <row r="1713">
      <c r="A1713" s="4" t="str">
        <f>IFERROR(__xludf.DUMMYFUNCTION("""COMPUTED_VALUE"""),"8090N1")</f>
        <v>8090N1</v>
      </c>
      <c r="B1713" s="4" t="str">
        <f>IFERROR(__xludf.DUMMYFUNCTION("""COMPUTED_VALUE"""),"Triangulo MOPU TP 90 cm Reflex I")</f>
        <v>Triangulo MOPU TP 90 cm Reflex I</v>
      </c>
      <c r="C1713" s="4">
        <f>IFERROR(__xludf.DUMMYFUNCTION("""COMPUTED_VALUE"""),42.48)</f>
        <v>42.48</v>
      </c>
    </row>
    <row r="1714">
      <c r="A1714" s="4" t="str">
        <f>IFERROR(__xludf.DUMMYFUNCTION("""COMPUTED_VALUE"""),"8090N2")</f>
        <v>8090N2</v>
      </c>
      <c r="B1714" s="4" t="str">
        <f>IFERROR(__xludf.DUMMYFUNCTION("""COMPUTED_VALUE"""),"Triangulo MOPU TP 90 cm Reflex II")</f>
        <v>Triangulo MOPU TP 90 cm Reflex II</v>
      </c>
      <c r="C1714" s="4">
        <f>IFERROR(__xludf.DUMMYFUNCTION("""COMPUTED_VALUE"""),54.672000000000004)</f>
        <v>54.672</v>
      </c>
    </row>
    <row r="1715">
      <c r="A1715" s="4" t="str">
        <f>IFERROR(__xludf.DUMMYFUNCTION("""COMPUTED_VALUE"""),"8090N3")</f>
        <v>8090N3</v>
      </c>
      <c r="B1715" s="4" t="str">
        <f>IFERROR(__xludf.DUMMYFUNCTION("""COMPUTED_VALUE"""),"Triangulo MOPU TP 90 cm Reflex III")</f>
        <v>Triangulo MOPU TP 90 cm Reflex III</v>
      </c>
      <c r="C1715" s="4">
        <f>IFERROR(__xludf.DUMMYFUNCTION("""COMPUTED_VALUE"""),76.0512)</f>
        <v>76.0512</v>
      </c>
    </row>
    <row r="1716">
      <c r="A1716" s="4" t="str">
        <f>IFERROR(__xludf.DUMMYFUNCTION("""COMPUTED_VALUE"""),"81120N1")</f>
        <v>81120N1</v>
      </c>
      <c r="B1716" s="4" t="str">
        <f>IFERROR(__xludf.DUMMYFUNCTION("""COMPUTED_VALUE"""),"Disco MOPU TR 120 cm Reflex I")</f>
        <v>Disco MOPU TR 120 cm Reflex I</v>
      </c>
      <c r="C1716" s="4">
        <f>IFERROR(__xludf.DUMMYFUNCTION("""COMPUTED_VALUE"""),141.49439999999998)</f>
        <v>141.4944</v>
      </c>
    </row>
    <row r="1717">
      <c r="A1717" s="4" t="str">
        <f>IFERROR(__xludf.DUMMYFUNCTION("""COMPUTED_VALUE"""),"81120N2")</f>
        <v>81120N2</v>
      </c>
      <c r="B1717" s="4" t="str">
        <f>IFERROR(__xludf.DUMMYFUNCTION("""COMPUTED_VALUE"""),"Disco MOPU TR 120 cm Reflex II")</f>
        <v>Disco MOPU TR 120 cm Reflex II</v>
      </c>
      <c r="C1717" s="4">
        <f>IFERROR(__xludf.DUMMYFUNCTION("""COMPUTED_VALUE"""),194.45759999999999)</f>
        <v>194.4576</v>
      </c>
    </row>
    <row r="1718">
      <c r="A1718" s="4" t="str">
        <f>IFERROR(__xludf.DUMMYFUNCTION("""COMPUTED_VALUE"""),"81120N3")</f>
        <v>81120N3</v>
      </c>
      <c r="B1718" s="4" t="str">
        <f>IFERROR(__xludf.DUMMYFUNCTION("""COMPUTED_VALUE"""),"Disco MOPU TR 120 cm Reflex III")</f>
        <v>Disco MOPU TR 120 cm Reflex III</v>
      </c>
      <c r="C1718" s="4">
        <f>IFERROR(__xludf.DUMMYFUNCTION("""COMPUTED_VALUE"""),250.34879999999995)</f>
        <v>250.3488</v>
      </c>
    </row>
    <row r="1719">
      <c r="A1719" s="4" t="str">
        <f>IFERROR(__xludf.DUMMYFUNCTION("""COMPUTED_VALUE"""),"8160N1")</f>
        <v>8160N1</v>
      </c>
      <c r="B1719" s="4" t="str">
        <f>IFERROR(__xludf.DUMMYFUNCTION("""COMPUTED_VALUE"""),"Disco MOPU TR 60 cm Reflex I")</f>
        <v>Disco MOPU TR 60 cm Reflex I</v>
      </c>
      <c r="C1719" s="4">
        <f>IFERROR(__xludf.DUMMYFUNCTION("""COMPUTED_VALUE"""),23.759999999999998)</f>
        <v>23.76</v>
      </c>
    </row>
    <row r="1720">
      <c r="A1720" s="4" t="str">
        <f>IFERROR(__xludf.DUMMYFUNCTION("""COMPUTED_VALUE"""),"8160N2")</f>
        <v>8160N2</v>
      </c>
      <c r="B1720" s="4" t="str">
        <f>IFERROR(__xludf.DUMMYFUNCTION("""COMPUTED_VALUE"""),"Disco MOPU TR 60 cm Reflex II")</f>
        <v>Disco MOPU TR 60 cm Reflex II</v>
      </c>
      <c r="C1720" s="4">
        <f>IFERROR(__xludf.DUMMYFUNCTION("""COMPUTED_VALUE"""),30.144)</f>
        <v>30.144</v>
      </c>
    </row>
    <row r="1721">
      <c r="A1721" s="4" t="str">
        <f>IFERROR(__xludf.DUMMYFUNCTION("""COMPUTED_VALUE"""),"8160N3")</f>
        <v>8160N3</v>
      </c>
      <c r="B1721" s="4" t="str">
        <f>IFERROR(__xludf.DUMMYFUNCTION("""COMPUTED_VALUE"""),"Disco MOPU TR 60 cm Reflex III")</f>
        <v>Disco MOPU TR 60 cm Reflex III</v>
      </c>
      <c r="C1721" s="4">
        <f>IFERROR(__xludf.DUMMYFUNCTION("""COMPUTED_VALUE"""),64.8192)</f>
        <v>64.8192</v>
      </c>
    </row>
    <row r="1722">
      <c r="A1722" s="4" t="str">
        <f>IFERROR(__xludf.DUMMYFUNCTION("""COMPUTED_VALUE"""),"8190N1")</f>
        <v>8190N1</v>
      </c>
      <c r="B1722" s="4" t="str">
        <f>IFERROR(__xludf.DUMMYFUNCTION("""COMPUTED_VALUE"""),"Disco MOPU TR 90 cm Reflex I")</f>
        <v>Disco MOPU TR 90 cm Reflex I</v>
      </c>
      <c r="C1722" s="4">
        <f>IFERROR(__xludf.DUMMYFUNCTION("""COMPUTED_VALUE"""),66.7488)</f>
        <v>66.7488</v>
      </c>
    </row>
    <row r="1723">
      <c r="A1723" s="4" t="str">
        <f>IFERROR(__xludf.DUMMYFUNCTION("""COMPUTED_VALUE"""),"8190N2")</f>
        <v>8190N2</v>
      </c>
      <c r="B1723" s="4" t="str">
        <f>IFERROR(__xludf.DUMMYFUNCTION("""COMPUTED_VALUE"""),"Disco MOPU TR 90 cm Reflex II")</f>
        <v>Disco MOPU TR 90 cm Reflex II</v>
      </c>
      <c r="C1723" s="4">
        <f>IFERROR(__xludf.DUMMYFUNCTION("""COMPUTED_VALUE"""),99.84)</f>
        <v>99.84</v>
      </c>
    </row>
    <row r="1724">
      <c r="A1724" s="4" t="str">
        <f>IFERROR(__xludf.DUMMYFUNCTION("""COMPUTED_VALUE"""),"8190N3")</f>
        <v>8190N3</v>
      </c>
      <c r="B1724" s="4" t="str">
        <f>IFERROR(__xludf.DUMMYFUNCTION("""COMPUTED_VALUE"""),"Disco MOPU TR 90 cm Reflex III")</f>
        <v>Disco MOPU TR 90 cm Reflex III</v>
      </c>
      <c r="C1724" s="4">
        <f>IFERROR(__xludf.DUMMYFUNCTION("""COMPUTED_VALUE"""),144.96)</f>
        <v>144.96</v>
      </c>
    </row>
    <row r="1725">
      <c r="A1725" s="4" t="str">
        <f>IFERROR(__xludf.DUMMYFUNCTION("""COMPUTED_VALUE"""),"8201")</f>
        <v>8201</v>
      </c>
      <c r="B1725" s="4" t="str">
        <f>IFERROR(__xludf.DUMMYFUNCTION("""COMPUTED_VALUE"""),"Adhesivo 11x15 Extintor")</f>
        <v>Adhesivo 11x15 Extintor</v>
      </c>
      <c r="C1725" s="4">
        <f>IFERROR(__xludf.DUMMYFUNCTION("""COMPUTED_VALUE"""),0.528)</f>
        <v>0.528</v>
      </c>
    </row>
    <row r="1726">
      <c r="A1726" s="4" t="str">
        <f>IFERROR(__xludf.DUMMYFUNCTION("""COMPUTED_VALUE"""),"8201/B")</f>
        <v>8201/B</v>
      </c>
      <c r="B1726" s="4" t="str">
        <f>IFERROR(__xludf.DUMMYFUNCTION("""COMPUTED_VALUE"""),"Blister 10 unid. Adhesivo 11x15 Extintor")</f>
        <v>Blister 10 unid. Adhesivo 11x15 Extintor</v>
      </c>
      <c r="C1726" s="4">
        <f>IFERROR(__xludf.DUMMYFUNCTION("""COMPUTED_VALUE"""),4.224)</f>
        <v>4.224</v>
      </c>
    </row>
    <row r="1727">
      <c r="A1727" s="4" t="str">
        <f>IFERROR(__xludf.DUMMYFUNCTION("""COMPUTED_VALUE"""),"8210")</f>
        <v>8210</v>
      </c>
      <c r="B1727" s="4" t="str">
        <f>IFERROR(__xludf.DUMMYFUNCTION("""COMPUTED_VALUE"""),"Adhesivo 11x15 Riesgo electrico")</f>
        <v>Adhesivo 11x15 Riesgo electrico</v>
      </c>
      <c r="C1727" s="4">
        <f>IFERROR(__xludf.DUMMYFUNCTION("""COMPUTED_VALUE"""),0.528)</f>
        <v>0.528</v>
      </c>
    </row>
    <row r="1728">
      <c r="A1728" s="4" t="str">
        <f>IFERROR(__xludf.DUMMYFUNCTION("""COMPUTED_VALUE"""),"8210/B")</f>
        <v>8210/B</v>
      </c>
      <c r="B1728" s="4" t="str">
        <f>IFERROR(__xludf.DUMMYFUNCTION("""COMPUTED_VALUE"""),"Blister 10 unid. Adhesivo 11x15 Riesgo electrico")</f>
        <v>Blister 10 unid. Adhesivo 11x15 Riesgo electrico</v>
      </c>
      <c r="C1728" s="4">
        <f>IFERROR(__xludf.DUMMYFUNCTION("""COMPUTED_VALUE"""),4.224)</f>
        <v>4.224</v>
      </c>
    </row>
    <row r="1729">
      <c r="A1729" s="4" t="str">
        <f>IFERROR(__xludf.DUMMYFUNCTION("""COMPUTED_VALUE"""),"8216")</f>
        <v>8216</v>
      </c>
      <c r="B1729" s="4" t="str">
        <f>IFERROR(__xludf.DUMMYFUNCTION("""COMPUTED_VALUE"""),"Adhesivo 11x15 Materias comburentes")</f>
        <v>Adhesivo 11x15 Materias comburentes</v>
      </c>
      <c r="C1729" s="4">
        <f>IFERROR(__xludf.DUMMYFUNCTION("""COMPUTED_VALUE"""),0.528)</f>
        <v>0.528</v>
      </c>
    </row>
    <row r="1730">
      <c r="A1730" s="4" t="str">
        <f>IFERROR(__xludf.DUMMYFUNCTION("""COMPUTED_VALUE"""),"8216/B")</f>
        <v>8216/B</v>
      </c>
      <c r="B1730" s="4" t="str">
        <f>IFERROR(__xludf.DUMMYFUNCTION("""COMPUTED_VALUE"""),"Blister 10 unid. Adhesivo 11x15 Materias comburentes")</f>
        <v>Blister 10 unid. Adhesivo 11x15 Materias comburentes</v>
      </c>
      <c r="C1730" s="4">
        <f>IFERROR(__xludf.DUMMYFUNCTION("""COMPUTED_VALUE"""),4.224)</f>
        <v>4.224</v>
      </c>
    </row>
    <row r="1731">
      <c r="A1731" s="4" t="str">
        <f>IFERROR(__xludf.DUMMYFUNCTION("""COMPUTED_VALUE"""),"8218")</f>
        <v>8218</v>
      </c>
      <c r="B1731" s="4" t="str">
        <f>IFERROR(__xludf.DUMMYFUNCTION("""COMPUTED_VALUE"""),"Adhesivo 11x15 Campo Magnetico Intenso")</f>
        <v>Adhesivo 11x15 Campo Magnetico Intenso</v>
      </c>
      <c r="C1731" s="4">
        <f>IFERROR(__xludf.DUMMYFUNCTION("""COMPUTED_VALUE"""),0.528)</f>
        <v>0.528</v>
      </c>
    </row>
    <row r="1732">
      <c r="A1732" s="4" t="str">
        <f>IFERROR(__xludf.DUMMYFUNCTION("""COMPUTED_VALUE"""),"8218/B")</f>
        <v>8218/B</v>
      </c>
      <c r="B1732" s="4" t="str">
        <f>IFERROR(__xludf.DUMMYFUNCTION("""COMPUTED_VALUE"""),"Blister 10 unid. Adhesivo 11x15 Campo Magnetico Intenso")</f>
        <v>Blister 10 unid. Adhesivo 11x15 Campo Magnetico Intenso</v>
      </c>
      <c r="C1732" s="4">
        <f>IFERROR(__xludf.DUMMYFUNCTION("""COMPUTED_VALUE"""),4.224)</f>
        <v>4.224</v>
      </c>
    </row>
    <row r="1733">
      <c r="A1733" s="4" t="str">
        <f>IFERROR(__xludf.DUMMYFUNCTION("""COMPUTED_VALUE"""),"8219")</f>
        <v>8219</v>
      </c>
      <c r="B1733" s="4" t="str">
        <f>IFERROR(__xludf.DUMMYFUNCTION("""COMPUTED_VALUE"""),"Adhesivo 11x15 Materias Inflamables")</f>
        <v>Adhesivo 11x15 Materias Inflamables</v>
      </c>
      <c r="C1733" s="4">
        <f>IFERROR(__xludf.DUMMYFUNCTION("""COMPUTED_VALUE"""),0.528)</f>
        <v>0.528</v>
      </c>
    </row>
    <row r="1734">
      <c r="A1734" s="4" t="str">
        <f>IFERROR(__xludf.DUMMYFUNCTION("""COMPUTED_VALUE"""),"8219/B")</f>
        <v>8219/B</v>
      </c>
      <c r="B1734" s="4" t="str">
        <f>IFERROR(__xludf.DUMMYFUNCTION("""COMPUTED_VALUE"""),"Blister 10 unid. Adhesivo 11x15 Materias inflamables")</f>
        <v>Blister 10 unid. Adhesivo 11x15 Materias inflamables</v>
      </c>
      <c r="C1734" s="4">
        <f>IFERROR(__xludf.DUMMYFUNCTION("""COMPUTED_VALUE"""),4.224)</f>
        <v>4.224</v>
      </c>
    </row>
    <row r="1735">
      <c r="A1735" s="4" t="str">
        <f>IFERROR(__xludf.DUMMYFUNCTION("""COMPUTED_VALUE"""),"8220")</f>
        <v>8220</v>
      </c>
      <c r="B1735" s="4" t="str">
        <f>IFERROR(__xludf.DUMMYFUNCTION("""COMPUTED_VALUE"""),"Adhesivo 11x15 Uso oblig. casco")</f>
        <v>Adhesivo 11x15 Uso oblig. casco</v>
      </c>
      <c r="C1735" s="4">
        <f>IFERROR(__xludf.DUMMYFUNCTION("""COMPUTED_VALUE"""),0.528)</f>
        <v>0.528</v>
      </c>
    </row>
    <row r="1736">
      <c r="A1736" s="4" t="str">
        <f>IFERROR(__xludf.DUMMYFUNCTION("""COMPUTED_VALUE"""),"8220/B")</f>
        <v>8220/B</v>
      </c>
      <c r="B1736" s="4" t="str">
        <f>IFERROR(__xludf.DUMMYFUNCTION("""COMPUTED_VALUE"""),"Blister 10 unid. Adhesivo 11x15 Uso oblig. casco")</f>
        <v>Blister 10 unid. Adhesivo 11x15 Uso oblig. casco</v>
      </c>
      <c r="C1736" s="4">
        <f>IFERROR(__xludf.DUMMYFUNCTION("""COMPUTED_VALUE"""),4.224)</f>
        <v>4.224</v>
      </c>
    </row>
    <row r="1737">
      <c r="A1737" s="4" t="str">
        <f>IFERROR(__xludf.DUMMYFUNCTION("""COMPUTED_VALUE"""),"8221")</f>
        <v>8221</v>
      </c>
      <c r="B1737" s="4" t="str">
        <f>IFERROR(__xludf.DUMMYFUNCTION("""COMPUTED_VALUE"""),"Adhesivo 11x15 Uso Oblig. botas")</f>
        <v>Adhesivo 11x15 Uso Oblig. botas</v>
      </c>
      <c r="C1737" s="4">
        <f>IFERROR(__xludf.DUMMYFUNCTION("""COMPUTED_VALUE"""),0.528)</f>
        <v>0.528</v>
      </c>
    </row>
    <row r="1738">
      <c r="A1738" s="4" t="str">
        <f>IFERROR(__xludf.DUMMYFUNCTION("""COMPUTED_VALUE"""),"8221/B")</f>
        <v>8221/B</v>
      </c>
      <c r="B1738" s="4" t="str">
        <f>IFERROR(__xludf.DUMMYFUNCTION("""COMPUTED_VALUE"""),"Blister 10 unid. Adhesivo 11x15 Uso oblig. botas")</f>
        <v>Blister 10 unid. Adhesivo 11x15 Uso oblig. botas</v>
      </c>
      <c r="C1738" s="4">
        <f>IFERROR(__xludf.DUMMYFUNCTION("""COMPUTED_VALUE"""),4.224)</f>
        <v>4.224</v>
      </c>
    </row>
    <row r="1739">
      <c r="A1739" s="4" t="str">
        <f>IFERROR(__xludf.DUMMYFUNCTION("""COMPUTED_VALUE"""),"8222")</f>
        <v>8222</v>
      </c>
      <c r="B1739" s="4" t="str">
        <f>IFERROR(__xludf.DUMMYFUNCTION("""COMPUTED_VALUE"""),"Adhesivo 11x15 Uso oblig Guantes")</f>
        <v>Adhesivo 11x15 Uso oblig Guantes</v>
      </c>
      <c r="C1739" s="4">
        <f>IFERROR(__xludf.DUMMYFUNCTION("""COMPUTED_VALUE"""),0.528)</f>
        <v>0.528</v>
      </c>
    </row>
    <row r="1740">
      <c r="A1740" s="4" t="str">
        <f>IFERROR(__xludf.DUMMYFUNCTION("""COMPUTED_VALUE"""),"8222/B")</f>
        <v>8222/B</v>
      </c>
      <c r="B1740" s="4" t="str">
        <f>IFERROR(__xludf.DUMMYFUNCTION("""COMPUTED_VALUE"""),"Blister 10 unid. Adhesivo 11x15 Uso oblig. guantes")</f>
        <v>Blister 10 unid. Adhesivo 11x15 Uso oblig. guantes</v>
      </c>
      <c r="C1740" s="4">
        <f>IFERROR(__xludf.DUMMYFUNCTION("""COMPUTED_VALUE"""),4.224)</f>
        <v>4.224</v>
      </c>
    </row>
    <row r="1741">
      <c r="A1741" s="4" t="str">
        <f>IFERROR(__xludf.DUMMYFUNCTION("""COMPUTED_VALUE"""),"8223")</f>
        <v>8223</v>
      </c>
      <c r="B1741" s="4" t="str">
        <f>IFERROR(__xludf.DUMMYFUNCTION("""COMPUTED_VALUE"""),"Adhesivo 11x15 Uso oblig. prot. acustica")</f>
        <v>Adhesivo 11x15 Uso oblig. prot. acustica</v>
      </c>
      <c r="C1741" s="4">
        <f>IFERROR(__xludf.DUMMYFUNCTION("""COMPUTED_VALUE"""),0.528)</f>
        <v>0.528</v>
      </c>
    </row>
    <row r="1742">
      <c r="A1742" s="4" t="str">
        <f>IFERROR(__xludf.DUMMYFUNCTION("""COMPUTED_VALUE"""),"8223/B")</f>
        <v>8223/B</v>
      </c>
      <c r="B1742" s="4" t="str">
        <f>IFERROR(__xludf.DUMMYFUNCTION("""COMPUTED_VALUE"""),"Blister 10 unid. Adhesivo 11x15 Uso oblig.protec.acustica")</f>
        <v>Blister 10 unid. Adhesivo 11x15 Uso oblig.protec.acustica</v>
      </c>
      <c r="C1742" s="4">
        <f>IFERROR(__xludf.DUMMYFUNCTION("""COMPUTED_VALUE"""),4.224)</f>
        <v>4.224</v>
      </c>
    </row>
    <row r="1743">
      <c r="A1743" s="4" t="str">
        <f>IFERROR(__xludf.DUMMYFUNCTION("""COMPUTED_VALUE"""),"8226")</f>
        <v>8226</v>
      </c>
      <c r="B1743" s="4" t="str">
        <f>IFERROR(__xludf.DUMMYFUNCTION("""COMPUTED_VALUE"""),"Adhesivo 11x15 Uso oblig Gafas")</f>
        <v>Adhesivo 11x15 Uso oblig Gafas</v>
      </c>
      <c r="C1743" s="4">
        <f>IFERROR(__xludf.DUMMYFUNCTION("""COMPUTED_VALUE"""),0.528)</f>
        <v>0.528</v>
      </c>
    </row>
    <row r="1744">
      <c r="A1744" s="4" t="str">
        <f>IFERROR(__xludf.DUMMYFUNCTION("""COMPUTED_VALUE"""),"8226/B")</f>
        <v>8226/B</v>
      </c>
      <c r="B1744" s="4" t="str">
        <f>IFERROR(__xludf.DUMMYFUNCTION("""COMPUTED_VALUE"""),"Blister 10 unid. Adhesivo 11x15 Uso obligatorio Gafas")</f>
        <v>Blister 10 unid. Adhesivo 11x15 Uso obligatorio Gafas</v>
      </c>
      <c r="C1744" s="4">
        <f>IFERROR(__xludf.DUMMYFUNCTION("""COMPUTED_VALUE"""),4.224)</f>
        <v>4.224</v>
      </c>
    </row>
    <row r="1745">
      <c r="A1745" s="4" t="str">
        <f>IFERROR(__xludf.DUMMYFUNCTION("""COMPUTED_VALUE"""),"8227")</f>
        <v>8227</v>
      </c>
      <c r="B1745" s="4" t="str">
        <f>IFERROR(__xludf.DUMMYFUNCTION("""COMPUTED_VALUE"""),"Adhesivo 11x 15 Uso oblig. arnes segur.")</f>
        <v>Adhesivo 11x 15 Uso oblig. arnes segur.</v>
      </c>
      <c r="C1745" s="4">
        <f>IFERROR(__xludf.DUMMYFUNCTION("""COMPUTED_VALUE"""),0.528)</f>
        <v>0.528</v>
      </c>
    </row>
    <row r="1746">
      <c r="A1746" s="4" t="str">
        <f>IFERROR(__xludf.DUMMYFUNCTION("""COMPUTED_VALUE"""),"8227/B")</f>
        <v>8227/B</v>
      </c>
      <c r="B1746" s="4" t="str">
        <f>IFERROR(__xludf.DUMMYFUNCTION("""COMPUTED_VALUE"""),"Blister 10 und. Adhesivo 11x15 Uso oblig. arnes seguridad")</f>
        <v>Blister 10 und. Adhesivo 11x15 Uso oblig. arnes seguridad</v>
      </c>
      <c r="C1746" s="4">
        <f>IFERROR(__xludf.DUMMYFUNCTION("""COMPUTED_VALUE"""),4.224)</f>
        <v>4.224</v>
      </c>
    </row>
    <row r="1747">
      <c r="A1747" s="4" t="str">
        <f>IFERROR(__xludf.DUMMYFUNCTION("""COMPUTED_VALUE"""),"8230")</f>
        <v>8230</v>
      </c>
      <c r="B1747" s="4" t="str">
        <f>IFERROR(__xludf.DUMMYFUNCTION("""COMPUTED_VALUE"""),"Adhesivo 11x 15 Prohibido Fumar")</f>
        <v>Adhesivo 11x 15 Prohibido Fumar</v>
      </c>
      <c r="C1747" s="4">
        <f>IFERROR(__xludf.DUMMYFUNCTION("""COMPUTED_VALUE"""),0.528)</f>
        <v>0.528</v>
      </c>
    </row>
    <row r="1748">
      <c r="A1748" s="4" t="str">
        <f>IFERROR(__xludf.DUMMYFUNCTION("""COMPUTED_VALUE"""),"8230/B")</f>
        <v>8230/B</v>
      </c>
      <c r="B1748" s="4" t="str">
        <f>IFERROR(__xludf.DUMMYFUNCTION("""COMPUTED_VALUE"""),"Blister 10 unid. Adhesivo 11x15 Prohibido Fumar")</f>
        <v>Blister 10 unid. Adhesivo 11x15 Prohibido Fumar</v>
      </c>
      <c r="C1748" s="4">
        <f>IFERROR(__xludf.DUMMYFUNCTION("""COMPUTED_VALUE"""),4.224)</f>
        <v>4.224</v>
      </c>
    </row>
    <row r="1749">
      <c r="A1749" s="4" t="str">
        <f>IFERROR(__xludf.DUMMYFUNCTION("""COMPUTED_VALUE"""),"8232")</f>
        <v>8232</v>
      </c>
      <c r="B1749" s="4" t="str">
        <f>IFERROR(__xludf.DUMMYFUNCTION("""COMPUTED_VALUE"""),"Adhesivo 11x15 Prohibido pasar sin casco")</f>
        <v>Adhesivo 11x15 Prohibido pasar sin casco</v>
      </c>
      <c r="C1749" s="4">
        <f>IFERROR(__xludf.DUMMYFUNCTION("""COMPUTED_VALUE"""),0.528)</f>
        <v>0.528</v>
      </c>
    </row>
    <row r="1750">
      <c r="A1750" s="4" t="str">
        <f>IFERROR(__xludf.DUMMYFUNCTION("""COMPUTED_VALUE"""),"8232/B")</f>
        <v>8232/B</v>
      </c>
      <c r="B1750" s="4" t="str">
        <f>IFERROR(__xludf.DUMMYFUNCTION("""COMPUTED_VALUE"""),"Blister 10 unid. Adhesivo 11x15 Prohibido pasar sin casco")</f>
        <v>Blister 10 unid. Adhesivo 11x15 Prohibido pasar sin casco</v>
      </c>
      <c r="C1750" s="4">
        <f>IFERROR(__xludf.DUMMYFUNCTION("""COMPUTED_VALUE"""),4.224)</f>
        <v>4.224</v>
      </c>
    </row>
    <row r="1751">
      <c r="A1751" s="4" t="str">
        <f>IFERROR(__xludf.DUMMYFUNCTION("""COMPUTED_VALUE"""),"8238")</f>
        <v>8238</v>
      </c>
      <c r="B1751" s="4" t="str">
        <f>IFERROR(__xludf.DUMMYFUNCTION("""COMPUTED_VALUE"""),"Adhesivo 11x15 Atencion puesta a tierra")</f>
        <v>Adhesivo 11x15 Atencion puesta a tierra</v>
      </c>
      <c r="C1751" s="4">
        <f>IFERROR(__xludf.DUMMYFUNCTION("""COMPUTED_VALUE"""),0.528)</f>
        <v>0.528</v>
      </c>
    </row>
    <row r="1752">
      <c r="A1752" s="4" t="str">
        <f>IFERROR(__xludf.DUMMYFUNCTION("""COMPUTED_VALUE"""),"8238/B")</f>
        <v>8238/B</v>
      </c>
      <c r="B1752" s="4" t="str">
        <f>IFERROR(__xludf.DUMMYFUNCTION("""COMPUTED_VALUE"""),"Blister 10 unid .Adhesivo 11x15 Atencion puesta a tierra")</f>
        <v>Blister 10 unid .Adhesivo 11x15 Atencion puesta a tierra</v>
      </c>
      <c r="C1752" s="4">
        <f>IFERROR(__xludf.DUMMYFUNCTION("""COMPUTED_VALUE"""),4.224)</f>
        <v>4.224</v>
      </c>
    </row>
    <row r="1753">
      <c r="A1753" s="4" t="str">
        <f>IFERROR(__xludf.DUMMYFUNCTION("""COMPUTED_VALUE"""),"8250")</f>
        <v>8250</v>
      </c>
      <c r="B1753" s="4" t="str">
        <f>IFERROR(__xludf.DUMMYFUNCTION("""COMPUTED_VALUE"""),"Adhesivo 11x15 Peligro")</f>
        <v>Adhesivo 11x15 Peligro</v>
      </c>
      <c r="C1753" s="4">
        <f>IFERROR(__xludf.DUMMYFUNCTION("""COMPUTED_VALUE"""),0.528)</f>
        <v>0.528</v>
      </c>
    </row>
    <row r="1754">
      <c r="A1754" s="4" t="str">
        <f>IFERROR(__xludf.DUMMYFUNCTION("""COMPUTED_VALUE"""),"8250/B")</f>
        <v>8250/B</v>
      </c>
      <c r="B1754" s="4" t="str">
        <f>IFERROR(__xludf.DUMMYFUNCTION("""COMPUTED_VALUE"""),"Blister 10 unid. Adhesivo 11x15 Peligro")</f>
        <v>Blister 10 unid. Adhesivo 11x15 Peligro</v>
      </c>
      <c r="C1754" s="4">
        <f>IFERROR(__xludf.DUMMYFUNCTION("""COMPUTED_VALUE"""),4.224)</f>
        <v>4.224</v>
      </c>
    </row>
    <row r="1755">
      <c r="A1755" s="4" t="str">
        <f>IFERROR(__xludf.DUMMYFUNCTION("""COMPUTED_VALUE"""),"8252")</f>
        <v>8252</v>
      </c>
      <c r="B1755" s="4" t="str">
        <f>IFERROR(__xludf.DUMMYFUNCTION("""COMPUTED_VALUE"""),"Adhesivo 11x15 Riesgo de atrapamiento")</f>
        <v>Adhesivo 11x15 Riesgo de atrapamiento</v>
      </c>
      <c r="C1755" s="4">
        <f>IFERROR(__xludf.DUMMYFUNCTION("""COMPUTED_VALUE"""),0.528)</f>
        <v>0.528</v>
      </c>
    </row>
    <row r="1756">
      <c r="A1756" s="4" t="str">
        <f>IFERROR(__xludf.DUMMYFUNCTION("""COMPUTED_VALUE"""),"8252/B")</f>
        <v>8252/B</v>
      </c>
      <c r="B1756" s="4" t="str">
        <f>IFERROR(__xludf.DUMMYFUNCTION("""COMPUTED_VALUE"""),"Blister 10 unid. Adhesivo 11x15 Riesgo de atrapamiento")</f>
        <v>Blister 10 unid. Adhesivo 11x15 Riesgo de atrapamiento</v>
      </c>
      <c r="C1756" s="4">
        <f>IFERROR(__xludf.DUMMYFUNCTION("""COMPUTED_VALUE"""),4.224)</f>
        <v>4.224</v>
      </c>
    </row>
    <row r="1757">
      <c r="A1757" s="4" t="str">
        <f>IFERROR(__xludf.DUMMYFUNCTION("""COMPUTED_VALUE"""),"8253")</f>
        <v>8253</v>
      </c>
      <c r="B1757" s="4" t="str">
        <f>IFERROR(__xludf.DUMMYFUNCTION("""COMPUTED_VALUE"""),"Adhesivo 11x15 Proh. paso toda person ajena empresa")</f>
        <v>Adhesivo 11x15 Proh. paso toda person ajena empresa</v>
      </c>
      <c r="C1757" s="4">
        <f>IFERROR(__xludf.DUMMYFUNCTION("""COMPUTED_VALUE"""),0.528)</f>
        <v>0.528</v>
      </c>
    </row>
    <row r="1758">
      <c r="A1758" s="4" t="str">
        <f>IFERROR(__xludf.DUMMYFUNCTION("""COMPUTED_VALUE"""),"8253/B")</f>
        <v>8253/B</v>
      </c>
      <c r="B1758" s="4" t="str">
        <f>IFERROR(__xludf.DUMMYFUNCTION("""COMPUTED_VALUE"""),"Blister 10 unid. Adehsivo 11x15 Proh. paso toda persona ajena")</f>
        <v>Blister 10 unid. Adehsivo 11x15 Proh. paso toda persona ajena</v>
      </c>
      <c r="C1758" s="4">
        <f>IFERROR(__xludf.DUMMYFUNCTION("""COMPUTED_VALUE"""),4.224)</f>
        <v>4.224</v>
      </c>
    </row>
    <row r="1759">
      <c r="A1759" s="4" t="str">
        <f>IFERROR(__xludf.DUMMYFUNCTION("""COMPUTED_VALUE"""),"8256")</f>
        <v>8256</v>
      </c>
      <c r="B1759" s="4" t="str">
        <f>IFERROR(__xludf.DUMMYFUNCTION("""COMPUTED_VALUE"""),"Adhesivo 11x15 Botiquin")</f>
        <v>Adhesivo 11x15 Botiquin</v>
      </c>
      <c r="C1759" s="4">
        <f>IFERROR(__xludf.DUMMYFUNCTION("""COMPUTED_VALUE"""),0.528)</f>
        <v>0.528</v>
      </c>
    </row>
    <row r="1760">
      <c r="A1760" s="4" t="str">
        <f>IFERROR(__xludf.DUMMYFUNCTION("""COMPUTED_VALUE"""),"8256/B")</f>
        <v>8256/B</v>
      </c>
      <c r="B1760" s="4" t="str">
        <f>IFERROR(__xludf.DUMMYFUNCTION("""COMPUTED_VALUE"""),"Blister 10 unid. adhesivo 11x15 Botiquin")</f>
        <v>Blister 10 unid. adhesivo 11x15 Botiquin</v>
      </c>
      <c r="C1760" s="4">
        <f>IFERROR(__xludf.DUMMYFUNCTION("""COMPUTED_VALUE"""),4.224)</f>
        <v>4.224</v>
      </c>
    </row>
    <row r="1761">
      <c r="A1761" s="4" t="str">
        <f>IFERROR(__xludf.DUMMYFUNCTION("""COMPUTED_VALUE"""),"8275")</f>
        <v>8275</v>
      </c>
      <c r="B1761" s="4" t="str">
        <f>IFERROR(__xludf.DUMMYFUNCTION("""COMPUTED_VALUE"""),"Adhesivo 11x15 Proh. repar.personal no autorizado")</f>
        <v>Adhesivo 11x15 Proh. repar.personal no autorizado</v>
      </c>
      <c r="C1761" s="4">
        <f>IFERROR(__xludf.DUMMYFUNCTION("""COMPUTED_VALUE"""),0.528)</f>
        <v>0.528</v>
      </c>
    </row>
    <row r="1762">
      <c r="A1762" s="4" t="str">
        <f>IFERROR(__xludf.DUMMYFUNCTION("""COMPUTED_VALUE"""),"8275/B")</f>
        <v>8275/B</v>
      </c>
      <c r="B1762" s="4" t="str">
        <f>IFERROR(__xludf.DUMMYFUNCTION("""COMPUTED_VALUE"""),"Blister 10 unid. Adhesivo 11x15 Proh. repar.personal no")</f>
        <v>Blister 10 unid. Adhesivo 11x15 Proh. repar.personal no</v>
      </c>
      <c r="C1762" s="4">
        <f>IFERROR(__xludf.DUMMYFUNCTION("""COMPUTED_VALUE"""),4.224)</f>
        <v>4.224</v>
      </c>
    </row>
    <row r="1763">
      <c r="A1763" s="4" t="str">
        <f>IFERROR(__xludf.DUMMYFUNCTION("""COMPUTED_VALUE"""),"8281")</f>
        <v>8281</v>
      </c>
      <c r="B1763" s="4" t="str">
        <f>IFERROR(__xludf.DUMMYFUNCTION("""COMPUTED_VALUE"""),"Adhesivo 11x15 Agua no potable")</f>
        <v>Adhesivo 11x15 Agua no potable</v>
      </c>
      <c r="C1763" s="4">
        <f>IFERROR(__xludf.DUMMYFUNCTION("""COMPUTED_VALUE"""),0.528)</f>
        <v>0.528</v>
      </c>
    </row>
    <row r="1764">
      <c r="A1764" s="4" t="str">
        <f>IFERROR(__xludf.DUMMYFUNCTION("""COMPUTED_VALUE"""),"8281/B")</f>
        <v>8281/B</v>
      </c>
      <c r="B1764" s="4" t="str">
        <f>IFERROR(__xludf.DUMMYFUNCTION("""COMPUTED_VALUE"""),"Blister 10 unid. Adhesivo 11x15 Agua no potable")</f>
        <v>Blister 10 unid. Adhesivo 11x15 Agua no potable</v>
      </c>
      <c r="C1764" s="4">
        <f>IFERROR(__xludf.DUMMYFUNCTION("""COMPUTED_VALUE"""),4.224)</f>
        <v>4.224</v>
      </c>
    </row>
    <row r="1765">
      <c r="A1765" s="4" t="str">
        <f>IFERROR(__xludf.DUMMYFUNCTION("""COMPUTED_VALUE"""),"8283")</f>
        <v>8283</v>
      </c>
      <c r="B1765" s="4" t="str">
        <f>IFERROR(__xludf.DUMMYFUNCTION("""COMPUTED_VALUE"""),"Adhesivo 10x15 Uso obligatorio de mascara")</f>
        <v>Adhesivo 10x15 Uso obligatorio de mascara</v>
      </c>
      <c r="C1765" s="4">
        <f>IFERROR(__xludf.DUMMYFUNCTION("""COMPUTED_VALUE"""),0.528)</f>
        <v>0.528</v>
      </c>
    </row>
    <row r="1766">
      <c r="A1766" s="4" t="str">
        <f>IFERROR(__xludf.DUMMYFUNCTION("""COMPUTED_VALUE"""),"8283/B")</f>
        <v>8283/B</v>
      </c>
      <c r="B1766" s="4" t="str">
        <f>IFERROR(__xludf.DUMMYFUNCTION("""COMPUTED_VALUE"""),"Blister 10 unid. Adhesivo 11x15 Uso obligatorio mascara")</f>
        <v>Blister 10 unid. Adhesivo 11x15 Uso obligatorio mascara</v>
      </c>
      <c r="C1766" s="4">
        <f>IFERROR(__xludf.DUMMYFUNCTION("""COMPUTED_VALUE"""),4.224)</f>
        <v>4.224</v>
      </c>
    </row>
    <row r="1767">
      <c r="A1767" s="4" t="str">
        <f>IFERROR(__xludf.DUMMYFUNCTION("""COMPUTED_VALUE"""),"8290")</f>
        <v>8290</v>
      </c>
      <c r="B1767" s="4" t="str">
        <f>IFERROR(__xludf.DUMMYFUNCTION("""COMPUTED_VALUE"""),"Adhesivo 11x15 Peligro alta tension")</f>
        <v>Adhesivo 11x15 Peligro alta tension</v>
      </c>
      <c r="C1767" s="4">
        <f>IFERROR(__xludf.DUMMYFUNCTION("""COMPUTED_VALUE"""),0.528)</f>
        <v>0.528</v>
      </c>
    </row>
    <row r="1768">
      <c r="A1768" s="4" t="str">
        <f>IFERROR(__xludf.DUMMYFUNCTION("""COMPUTED_VALUE"""),"8290/B")</f>
        <v>8290/B</v>
      </c>
      <c r="B1768" s="4" t="str">
        <f>IFERROR(__xludf.DUMMYFUNCTION("""COMPUTED_VALUE"""),"Blister 10 unid. Adhesivo 11x15 Peligro Alta Tension")</f>
        <v>Blister 10 unid. Adhesivo 11x15 Peligro Alta Tension</v>
      </c>
      <c r="C1768" s="4">
        <f>IFERROR(__xludf.DUMMYFUNCTION("""COMPUTED_VALUE"""),4.224)</f>
        <v>4.224</v>
      </c>
    </row>
    <row r="1769">
      <c r="A1769" s="4" t="str">
        <f>IFERROR(__xludf.DUMMYFUNCTION("""COMPUTED_VALUE"""),"8291")</f>
        <v>8291</v>
      </c>
      <c r="B1769" s="4" t="str">
        <f>IFERROR(__xludf.DUMMYFUNCTION("""COMPUTED_VALUE"""),"Adhesivo 11x15 Peligro no maniobrar pers.no autor.")</f>
        <v>Adhesivo 11x15 Peligro no maniobrar pers.no autor.</v>
      </c>
      <c r="C1769" s="4">
        <f>IFERROR(__xludf.DUMMYFUNCTION("""COMPUTED_VALUE"""),0.528)</f>
        <v>0.528</v>
      </c>
    </row>
    <row r="1770">
      <c r="A1770" s="4" t="str">
        <f>IFERROR(__xludf.DUMMYFUNCTION("""COMPUTED_VALUE"""),"8291/B")</f>
        <v>8291/B</v>
      </c>
      <c r="B1770" s="4" t="str">
        <f>IFERROR(__xludf.DUMMYFUNCTION("""COMPUTED_VALUE"""),"Blister 10 unid. Adhesivo 11x15 Peligro no maniobrar pers. no")</f>
        <v>Blister 10 unid. Adhesivo 11x15 Peligro no maniobrar pers. no</v>
      </c>
      <c r="C1770" s="4">
        <f>IFERROR(__xludf.DUMMYFUNCTION("""COMPUTED_VALUE"""),4.224)</f>
        <v>4.224</v>
      </c>
    </row>
    <row r="1771">
      <c r="A1771" s="4" t="str">
        <f>IFERROR(__xludf.DUMMYFUNCTION("""COMPUTED_VALUE"""),"83120N1")</f>
        <v>83120N1</v>
      </c>
      <c r="B1771" s="4" t="str">
        <f>IFERROR(__xludf.DUMMYFUNCTION("""COMPUTED_VALUE"""),"Cuadrado MOPU TS 120x120 cm Reflex I")</f>
        <v>Cuadrado MOPU TS 120x120 cm Reflex I</v>
      </c>
      <c r="C1771" s="4">
        <f>IFERROR(__xludf.DUMMYFUNCTION("""COMPUTED_VALUE"""),137.41439999999997)</f>
        <v>137.4144</v>
      </c>
    </row>
    <row r="1772">
      <c r="A1772" s="4" t="str">
        <f>IFERROR(__xludf.DUMMYFUNCTION("""COMPUTED_VALUE"""),"83120N2")</f>
        <v>83120N2</v>
      </c>
      <c r="B1772" s="4" t="str">
        <f>IFERROR(__xludf.DUMMYFUNCTION("""COMPUTED_VALUE"""),"Cuadrado MOPU TS 120x120 cm Reflex II")</f>
        <v>Cuadrado MOPU TS 120x120 cm Reflex II</v>
      </c>
      <c r="C1772" s="4">
        <f>IFERROR(__xludf.DUMMYFUNCTION("""COMPUTED_VALUE"""),192.576)</f>
        <v>192.576</v>
      </c>
    </row>
    <row r="1773">
      <c r="A1773" s="4" t="str">
        <f>IFERROR(__xludf.DUMMYFUNCTION("""COMPUTED_VALUE"""),"83120N3")</f>
        <v>83120N3</v>
      </c>
      <c r="B1773" s="4" t="str">
        <f>IFERROR(__xludf.DUMMYFUNCTION("""COMPUTED_VALUE"""),"Cuadrado MOPU TS 120x120 cm Reflex III")</f>
        <v>Cuadrado MOPU TS 120x120 cm Reflex III</v>
      </c>
      <c r="C1773" s="4">
        <f>IFERROR(__xludf.DUMMYFUNCTION("""COMPUTED_VALUE"""),293.2704)</f>
        <v>293.2704</v>
      </c>
    </row>
    <row r="1774">
      <c r="A1774" s="4" t="str">
        <f>IFERROR(__xludf.DUMMYFUNCTION("""COMPUTED_VALUE"""),"8340N1")</f>
        <v>8340N1</v>
      </c>
      <c r="B1774" s="4" t="str">
        <f>IFERROR(__xludf.DUMMYFUNCTION("""COMPUTED_VALUE"""),"Cuadrado MOPU TS 40x40 cm Reflex I")</f>
        <v>Cuadrado MOPU TS 40x40 cm Reflex I</v>
      </c>
      <c r="C1774" s="4">
        <f>IFERROR(__xludf.DUMMYFUNCTION("""COMPUTED_VALUE"""),29.759999999999998)</f>
        <v>29.76</v>
      </c>
    </row>
    <row r="1775">
      <c r="A1775" s="4" t="str">
        <f>IFERROR(__xludf.DUMMYFUNCTION("""COMPUTED_VALUE"""),"8340N2")</f>
        <v>8340N2</v>
      </c>
      <c r="B1775" s="4" t="str">
        <f>IFERROR(__xludf.DUMMYFUNCTION("""COMPUTED_VALUE"""),"Cuadrado MOPU TS 40x40 cm Reflex II")</f>
        <v>Cuadrado MOPU TS 40x40 cm Reflex II</v>
      </c>
      <c r="C1775" s="4">
        <f>IFERROR(__xludf.DUMMYFUNCTION("""COMPUTED_VALUE"""),34.56)</f>
        <v>34.56</v>
      </c>
    </row>
    <row r="1776">
      <c r="A1776" s="4" t="str">
        <f>IFERROR(__xludf.DUMMYFUNCTION("""COMPUTED_VALUE"""),"8340N3")</f>
        <v>8340N3</v>
      </c>
      <c r="B1776" s="4" t="str">
        <f>IFERROR(__xludf.DUMMYFUNCTION("""COMPUTED_VALUE"""),"Cuadrado MOPU TS 40x40 cm Reflex III")</f>
        <v>Cuadrado MOPU TS 40x40 cm Reflex III</v>
      </c>
      <c r="C1776" s="4">
        <f>IFERROR(__xludf.DUMMYFUNCTION("""COMPUTED_VALUE"""),51.839999999999996)</f>
        <v>51.84</v>
      </c>
    </row>
    <row r="1777">
      <c r="A1777" s="4" t="str">
        <f>IFERROR(__xludf.DUMMYFUNCTION("""COMPUTED_VALUE"""),"8360N1")</f>
        <v>8360N1</v>
      </c>
      <c r="B1777" s="4" t="str">
        <f>IFERROR(__xludf.DUMMYFUNCTION("""COMPUTED_VALUE"""),"Cuadrado MOPU TS 60x60 cm Reflex I")</f>
        <v>Cuadrado MOPU TS 60x60 cm Reflex I</v>
      </c>
      <c r="C1777" s="4">
        <f>IFERROR(__xludf.DUMMYFUNCTION("""COMPUTED_VALUE"""),25.919999999999998)</f>
        <v>25.92</v>
      </c>
    </row>
    <row r="1778">
      <c r="A1778" s="4" t="str">
        <f>IFERROR(__xludf.DUMMYFUNCTION("""COMPUTED_VALUE"""),"8360N2")</f>
        <v>8360N2</v>
      </c>
      <c r="B1778" s="4" t="str">
        <f>IFERROR(__xludf.DUMMYFUNCTION("""COMPUTED_VALUE"""),"Cuadrado MOPU TS 60x60 cm Reflex II")</f>
        <v>Cuadrado MOPU TS 60x60 cm Reflex II</v>
      </c>
      <c r="C1778" s="4">
        <f>IFERROR(__xludf.DUMMYFUNCTION("""COMPUTED_VALUE"""),42.48)</f>
        <v>42.48</v>
      </c>
    </row>
    <row r="1779">
      <c r="A1779" s="4" t="str">
        <f>IFERROR(__xludf.DUMMYFUNCTION("""COMPUTED_VALUE"""),"8360N3")</f>
        <v>8360N3</v>
      </c>
      <c r="B1779" s="4" t="str">
        <f>IFERROR(__xludf.DUMMYFUNCTION("""COMPUTED_VALUE"""),"Cuadrado MOPU TS 60x60 cm Reflex III")</f>
        <v>Cuadrado MOPU TS 60x60 cm Reflex III</v>
      </c>
      <c r="C1779" s="4">
        <f>IFERROR(__xludf.DUMMYFUNCTION("""COMPUTED_VALUE"""),69.84)</f>
        <v>69.84</v>
      </c>
    </row>
    <row r="1780">
      <c r="A1780" s="4" t="str">
        <f>IFERROR(__xludf.DUMMYFUNCTION("""COMPUTED_VALUE"""),"8374")</f>
        <v>8374</v>
      </c>
      <c r="B1780" s="4" t="str">
        <f>IFERROR(__xludf.DUMMYFUNCTION("""COMPUTED_VALUE"""),"Adhesivo 11x15 Riesgo de proyeccion de particulas")</f>
        <v>Adhesivo 11x15 Riesgo de proyeccion de particulas</v>
      </c>
      <c r="C1780" s="4">
        <f>IFERROR(__xludf.DUMMYFUNCTION("""COMPUTED_VALUE"""),0.528)</f>
        <v>0.528</v>
      </c>
    </row>
    <row r="1781">
      <c r="A1781" s="4" t="str">
        <f>IFERROR(__xludf.DUMMYFUNCTION("""COMPUTED_VALUE"""),"8375")</f>
        <v>8375</v>
      </c>
      <c r="B1781" s="4" t="str">
        <f>IFERROR(__xludf.DUMMYFUNCTION("""COMPUTED_VALUE"""),"Adhesivo 11x15 Peligro de incendio")</f>
        <v>Adhesivo 11x15 Peligro de incendio</v>
      </c>
      <c r="C1781" s="4">
        <f>IFERROR(__xludf.DUMMYFUNCTION("""COMPUTED_VALUE"""),0.528)</f>
        <v>0.528</v>
      </c>
    </row>
    <row r="1782">
      <c r="A1782" s="4" t="str">
        <f>IFERROR(__xludf.DUMMYFUNCTION("""COMPUTED_VALUE"""),"8381")</f>
        <v>8381</v>
      </c>
      <c r="B1782" s="4" t="str">
        <f>IFERROR(__xludf.DUMMYFUNCTION("""COMPUTED_VALUE"""),"Adhesivo 11x15 Riesgo contacto térmico")</f>
        <v>Adhesivo 11x15 Riesgo contacto térmico</v>
      </c>
      <c r="C1782" s="4">
        <f>IFERROR(__xludf.DUMMYFUNCTION("""COMPUTED_VALUE"""),0.528)</f>
        <v>0.528</v>
      </c>
    </row>
    <row r="1783">
      <c r="A1783" s="4" t="str">
        <f>IFERROR(__xludf.DUMMYFUNCTION("""COMPUTED_VALUE"""),"8382")</f>
        <v>8382</v>
      </c>
      <c r="B1783" s="4" t="str">
        <f>IFERROR(__xludf.DUMMYFUNCTION("""COMPUTED_VALUE"""),"Adhesivo 11x15 Riesgo de corte")</f>
        <v>Adhesivo 11x15 Riesgo de corte</v>
      </c>
      <c r="C1783" s="4">
        <f>IFERROR(__xludf.DUMMYFUNCTION("""COMPUTED_VALUE"""),0.528)</f>
        <v>0.528</v>
      </c>
    </row>
    <row r="1784">
      <c r="A1784" s="4" t="str">
        <f>IFERROR(__xludf.DUMMYFUNCTION("""COMPUTED_VALUE"""),"8384")</f>
        <v>8384</v>
      </c>
      <c r="B1784" s="4" t="str">
        <f>IFERROR(__xludf.DUMMYFUNCTION("""COMPUTED_VALUE"""),"Adhesivo 10x15 Uso obligatorio equipo autonomo")</f>
        <v>Adhesivo 10x15 Uso obligatorio equipo autonomo</v>
      </c>
      <c r="C1784" s="4">
        <f>IFERROR(__xludf.DUMMYFUNCTION("""COMPUTED_VALUE"""),0.528)</f>
        <v>0.528</v>
      </c>
    </row>
    <row r="1785">
      <c r="A1785" s="4" t="str">
        <f>IFERROR(__xludf.DUMMYFUNCTION("""COMPUTED_VALUE"""),"8385")</f>
        <v>8385</v>
      </c>
      <c r="B1785" s="4" t="str">
        <f>IFERROR(__xludf.DUMMYFUNCTION("""COMPUTED_VALUE"""),"Adhesivo 10x15 peligro temperatura elevada")</f>
        <v>Adhesivo 10x15 peligro temperatura elevada</v>
      </c>
      <c r="C1785" s="4">
        <f>IFERROR(__xludf.DUMMYFUNCTION("""COMPUTED_VALUE"""),0.528)</f>
        <v>0.528</v>
      </c>
    </row>
    <row r="1786">
      <c r="A1786" s="4" t="str">
        <f>IFERROR(__xludf.DUMMYFUNCTION("""COMPUTED_VALUE"""),"8385/B")</f>
        <v>8385/B</v>
      </c>
      <c r="B1786" s="4" t="str">
        <f>IFERROR(__xludf.DUMMYFUNCTION("""COMPUTED_VALUE"""),"Blístes 10 unid. Ahesivo 11x15 Temperatura Elevada")</f>
        <v>Blístes 10 unid. Ahesivo 11x15 Temperatura Elevada</v>
      </c>
      <c r="C1786" s="4">
        <f>IFERROR(__xludf.DUMMYFUNCTION("""COMPUTED_VALUE"""),4.224)</f>
        <v>4.224</v>
      </c>
    </row>
    <row r="1787">
      <c r="A1787" s="4" t="str">
        <f>IFERROR(__xludf.DUMMYFUNCTION("""COMPUTED_VALUE"""),"8390N1")</f>
        <v>8390N1</v>
      </c>
      <c r="B1787" s="4" t="str">
        <f>IFERROR(__xludf.DUMMYFUNCTION("""COMPUTED_VALUE"""),"Cuadrado MOPU TS 90x90 cm Reflex I")</f>
        <v>Cuadrado MOPU TS 90x90 cm Reflex I</v>
      </c>
      <c r="C1787" s="4">
        <f>IFERROR(__xludf.DUMMYFUNCTION("""COMPUTED_VALUE"""),91.2)</f>
        <v>91.2</v>
      </c>
    </row>
    <row r="1788">
      <c r="A1788" s="4" t="str">
        <f>IFERROR(__xludf.DUMMYFUNCTION("""COMPUTED_VALUE"""),"8390N2")</f>
        <v>8390N2</v>
      </c>
      <c r="B1788" s="4" t="str">
        <f>IFERROR(__xludf.DUMMYFUNCTION("""COMPUTED_VALUE"""),"Cuadrado MOPU TS 90x90 cm Reflex II")</f>
        <v>Cuadrado MOPU TS 90x90 cm Reflex II</v>
      </c>
      <c r="C1788" s="4">
        <f>IFERROR(__xludf.DUMMYFUNCTION("""COMPUTED_VALUE"""),125.136)</f>
        <v>125.136</v>
      </c>
    </row>
    <row r="1789">
      <c r="A1789" s="4" t="str">
        <f>IFERROR(__xludf.DUMMYFUNCTION("""COMPUTED_VALUE"""),"8390N3")</f>
        <v>8390N3</v>
      </c>
      <c r="B1789" s="4" t="str">
        <f>IFERROR(__xludf.DUMMYFUNCTION("""COMPUTED_VALUE"""),"Cuadrado MOPU TS 90x90 cm Reflex III")</f>
        <v>Cuadrado MOPU TS 90x90 cm Reflex III</v>
      </c>
      <c r="C1789" s="4">
        <f>IFERROR(__xludf.DUMMYFUNCTION("""COMPUTED_VALUE"""),150.8832)</f>
        <v>150.8832</v>
      </c>
    </row>
    <row r="1790">
      <c r="A1790" s="4" t="str">
        <f>IFERROR(__xludf.DUMMYFUNCTION("""COMPUTED_VALUE"""),"8399")</f>
        <v>8399</v>
      </c>
      <c r="B1790" s="4" t="str">
        <f>IFERROR(__xludf.DUMMYFUNCTION("""COMPUTED_VALUE"""),"Adhesivo Agles Morts 17x25 cm")</f>
        <v>Adhesivo Agles Morts 17x25 cm</v>
      </c>
      <c r="C1790" s="4">
        <f>IFERROR(__xludf.DUMMYFUNCTION("""COMPUTED_VALUE"""),5.76)</f>
        <v>5.76</v>
      </c>
    </row>
    <row r="1791">
      <c r="A1791" s="4" t="str">
        <f>IFERROR(__xludf.DUMMYFUNCTION("""COMPUTED_VALUE"""),"844060N1")</f>
        <v>844060N1</v>
      </c>
      <c r="B1791" s="4" t="str">
        <f>IFERROR(__xludf.DUMMYFUNCTION("""COMPUTED_VALUE"""),"Rectangulo MOPU TS 40x60 cm Reflex I")</f>
        <v>Rectangulo MOPU TS 40x60 cm Reflex I</v>
      </c>
      <c r="C1791" s="4">
        <f>IFERROR(__xludf.DUMMYFUNCTION("""COMPUTED_VALUE"""),35.04)</f>
        <v>35.04</v>
      </c>
    </row>
    <row r="1792">
      <c r="A1792" s="4" t="str">
        <f>IFERROR(__xludf.DUMMYFUNCTION("""COMPUTED_VALUE"""),"844060N2")</f>
        <v>844060N2</v>
      </c>
      <c r="B1792" s="4" t="str">
        <f>IFERROR(__xludf.DUMMYFUNCTION("""COMPUTED_VALUE"""),"Rectangulo MOPU TS 40X60 cm Reflex II")</f>
        <v>Rectangulo MOPU TS 40X60 cm Reflex II</v>
      </c>
      <c r="C1792" s="4">
        <f>IFERROR(__xludf.DUMMYFUNCTION("""COMPUTED_VALUE"""),40.32)</f>
        <v>40.32</v>
      </c>
    </row>
    <row r="1793">
      <c r="A1793" s="4" t="str">
        <f>IFERROR(__xludf.DUMMYFUNCTION("""COMPUTED_VALUE"""),"844060N3")</f>
        <v>844060N3</v>
      </c>
      <c r="B1793" s="4" t="str">
        <f>IFERROR(__xludf.DUMMYFUNCTION("""COMPUTED_VALUE"""),"Rectangulo MOPU TS 40X60 cm Reflex III")</f>
        <v>Rectangulo MOPU TS 40X60 cm Reflex III</v>
      </c>
      <c r="C1793" s="4">
        <f>IFERROR(__xludf.DUMMYFUNCTION("""COMPUTED_VALUE"""),60.0)</f>
        <v>60</v>
      </c>
    </row>
    <row r="1794">
      <c r="A1794" s="4" t="str">
        <f>IFERROR(__xludf.DUMMYFUNCTION("""COMPUTED_VALUE"""),"8460120N1")</f>
        <v>8460120N1</v>
      </c>
      <c r="B1794" s="4" t="str">
        <f>IFERROR(__xludf.DUMMYFUNCTION("""COMPUTED_VALUE"""),"Rectangulo MOPU TS 60x120 cm Reflex I")</f>
        <v>Rectangulo MOPU TS 60x120 cm Reflex I</v>
      </c>
      <c r="C1794" s="4">
        <f>IFERROR(__xludf.DUMMYFUNCTION("""COMPUTED_VALUE"""),105.83999999999999)</f>
        <v>105.84</v>
      </c>
    </row>
    <row r="1795">
      <c r="A1795" s="4" t="str">
        <f>IFERROR(__xludf.DUMMYFUNCTION("""COMPUTED_VALUE"""),"8460120N2")</f>
        <v>8460120N2</v>
      </c>
      <c r="B1795" s="4" t="str">
        <f>IFERROR(__xludf.DUMMYFUNCTION("""COMPUTED_VALUE"""),"Rectangulo MOPU TS 60x120 cm Reflex II")</f>
        <v>Rectangulo MOPU TS 60x120 cm Reflex II</v>
      </c>
      <c r="C1795" s="4">
        <f>IFERROR(__xludf.DUMMYFUNCTION("""COMPUTED_VALUE"""),107.52)</f>
        <v>107.52</v>
      </c>
    </row>
    <row r="1796">
      <c r="A1796" s="4" t="str">
        <f>IFERROR(__xludf.DUMMYFUNCTION("""COMPUTED_VALUE"""),"8460120N3")</f>
        <v>8460120N3</v>
      </c>
      <c r="B1796" s="4" t="str">
        <f>IFERROR(__xludf.DUMMYFUNCTION("""COMPUTED_VALUE"""),"Rectangulo MOPU TS 60x120 cm Reflex III")</f>
        <v>Rectangulo MOPU TS 60x120 cm Reflex III</v>
      </c>
      <c r="C1796" s="4">
        <f>IFERROR(__xludf.DUMMYFUNCTION("""COMPUTED_VALUE"""),157.44)</f>
        <v>157.44</v>
      </c>
    </row>
    <row r="1797">
      <c r="A1797" s="4" t="str">
        <f>IFERROR(__xludf.DUMMYFUNCTION("""COMPUTED_VALUE"""),"846090N1")</f>
        <v>846090N1</v>
      </c>
      <c r="B1797" s="4" t="str">
        <f>IFERROR(__xludf.DUMMYFUNCTION("""COMPUTED_VALUE"""),"Rectangulo MOPU TS 60x90 cm Reflex I")</f>
        <v>Rectangulo MOPU TS 60x90 cm Reflex I</v>
      </c>
      <c r="C1797" s="4">
        <f>IFERROR(__xludf.DUMMYFUNCTION("""COMPUTED_VALUE"""),42.239999999999995)</f>
        <v>42.24</v>
      </c>
    </row>
    <row r="1798">
      <c r="A1798" s="4" t="str">
        <f>IFERROR(__xludf.DUMMYFUNCTION("""COMPUTED_VALUE"""),"846090N2")</f>
        <v>846090N2</v>
      </c>
      <c r="B1798" s="4" t="str">
        <f>IFERROR(__xludf.DUMMYFUNCTION("""COMPUTED_VALUE"""),"Rectangulo MOPU TS 60x90 cm Reflex II")</f>
        <v>Rectangulo MOPU TS 60x90 cm Reflex II</v>
      </c>
      <c r="C1798" s="4">
        <f>IFERROR(__xludf.DUMMYFUNCTION("""COMPUTED_VALUE"""),84.52799999999999)</f>
        <v>84.528</v>
      </c>
    </row>
    <row r="1799">
      <c r="A1799" s="4" t="str">
        <f>IFERROR(__xludf.DUMMYFUNCTION("""COMPUTED_VALUE"""),"846090N3")</f>
        <v>846090N3</v>
      </c>
      <c r="B1799" s="4" t="str">
        <f>IFERROR(__xludf.DUMMYFUNCTION("""COMPUTED_VALUE"""),"Rectangulo MOPU TS 60x90 cm Reflex III")</f>
        <v>Rectangulo MOPU TS 60x90 cm Reflex III</v>
      </c>
      <c r="C1799" s="4">
        <f>IFERROR(__xludf.DUMMYFUNCTION("""COMPUTED_VALUE"""),111.0144)</f>
        <v>111.0144</v>
      </c>
    </row>
    <row r="1800">
      <c r="A1800" s="4" t="str">
        <f>IFERROR(__xludf.DUMMYFUNCTION("""COMPUTED_VALUE"""),"8490135N1")</f>
        <v>8490135N1</v>
      </c>
      <c r="B1800" s="4" t="str">
        <f>IFERROR(__xludf.DUMMYFUNCTION("""COMPUTED_VALUE"""),"Rectangulo MOPU TS 90x135 cm Reflex I")</f>
        <v>Rectangulo MOPU TS 90x135 cm Reflex I</v>
      </c>
      <c r="C1800" s="4">
        <f>IFERROR(__xludf.DUMMYFUNCTION("""COMPUTED_VALUE"""),110.97599999999998)</f>
        <v>110.976</v>
      </c>
    </row>
    <row r="1801">
      <c r="A1801" s="4" t="str">
        <f>IFERROR(__xludf.DUMMYFUNCTION("""COMPUTED_VALUE"""),"8490135N2")</f>
        <v>8490135N2</v>
      </c>
      <c r="B1801" s="4" t="str">
        <f>IFERROR(__xludf.DUMMYFUNCTION("""COMPUTED_VALUE"""),"Rectangulo MOPU TS 90x135 cm Reflex II")</f>
        <v>Rectangulo MOPU TS 90x135 cm Reflex II</v>
      </c>
      <c r="C1801" s="4">
        <f>IFERROR(__xludf.DUMMYFUNCTION("""COMPUTED_VALUE"""),183.1488)</f>
        <v>183.1488</v>
      </c>
    </row>
    <row r="1802">
      <c r="A1802" s="4" t="str">
        <f>IFERROR(__xludf.DUMMYFUNCTION("""COMPUTED_VALUE"""),"8490135N3")</f>
        <v>8490135N3</v>
      </c>
      <c r="B1802" s="4" t="str">
        <f>IFERROR(__xludf.DUMMYFUNCTION("""COMPUTED_VALUE"""),"Rectangulo MOPU TS 90x135 cm Reflex III")</f>
        <v>Rectangulo MOPU TS 90x135 cm Reflex III</v>
      </c>
      <c r="C1802" s="4">
        <f>IFERROR(__xludf.DUMMYFUNCTION("""COMPUTED_VALUE"""),247.57439999999997)</f>
        <v>247.5744</v>
      </c>
    </row>
    <row r="1803">
      <c r="A1803" s="4" t="str">
        <f>IFERROR(__xludf.DUMMYFUNCTION("""COMPUTED_VALUE"""),"8500N")</f>
        <v>8500N</v>
      </c>
      <c r="B1803" s="4" t="str">
        <f>IFERROR(__xludf.DUMMYFUNCTION("""COMPUTED_VALUE"""),"Señal 30 cm metálica Triangular Normal")</f>
        <v>Señal 30 cm metálica Triangular Normal</v>
      </c>
      <c r="C1803" s="4">
        <f>IFERROR(__xludf.DUMMYFUNCTION("""COMPUTED_VALUE"""),7.92)</f>
        <v>7.92</v>
      </c>
    </row>
    <row r="1804">
      <c r="A1804" s="4" t="str">
        <f>IFERROR(__xludf.DUMMYFUNCTION("""COMPUTED_VALUE"""),"8500N1")</f>
        <v>8500N1</v>
      </c>
      <c r="B1804" s="4" t="str">
        <f>IFERROR(__xludf.DUMMYFUNCTION("""COMPUTED_VALUE"""),"Señal 30 cm metálica Triangular Nivel 1")</f>
        <v>Señal 30 cm metálica Triangular Nivel 1</v>
      </c>
      <c r="C1804" s="4">
        <f>IFERROR(__xludf.DUMMYFUNCTION("""COMPUTED_VALUE"""),8.879999999999999)</f>
        <v>8.88</v>
      </c>
    </row>
    <row r="1805">
      <c r="A1805" s="4" t="str">
        <f>IFERROR(__xludf.DUMMYFUNCTION("""COMPUTED_VALUE"""),"854020N1")</f>
        <v>854020N1</v>
      </c>
      <c r="B1805" s="4" t="str">
        <f>IFERROR(__xludf.DUMMYFUNCTION("""COMPUTED_VALUE"""),"Cajetin MOPU TS 40x20 cm Reflex I")</f>
        <v>Cajetin MOPU TS 40x20 cm Reflex I</v>
      </c>
      <c r="C1805" s="4">
        <f>IFERROR(__xludf.DUMMYFUNCTION("""COMPUTED_VALUE"""),15.206399999999999)</f>
        <v>15.2064</v>
      </c>
    </row>
    <row r="1806">
      <c r="A1806" s="4" t="str">
        <f>IFERROR(__xludf.DUMMYFUNCTION("""COMPUTED_VALUE"""),"854020N2")</f>
        <v>854020N2</v>
      </c>
      <c r="B1806" s="4" t="str">
        <f>IFERROR(__xludf.DUMMYFUNCTION("""COMPUTED_VALUE"""),"Cajetin MOPU TS 40x20 cm Reflex II")</f>
        <v>Cajetin MOPU TS 40x20 cm Reflex II</v>
      </c>
      <c r="C1806" s="4">
        <f>IFERROR(__xludf.DUMMYFUNCTION("""COMPUTED_VALUE"""),22.08)</f>
        <v>22.08</v>
      </c>
    </row>
    <row r="1807">
      <c r="A1807" s="4" t="str">
        <f>IFERROR(__xludf.DUMMYFUNCTION("""COMPUTED_VALUE"""),"854020N3")</f>
        <v>854020N3</v>
      </c>
      <c r="B1807" s="4" t="str">
        <f>IFERROR(__xludf.DUMMYFUNCTION("""COMPUTED_VALUE"""),"Cajetin MOPU TS 40x20 cm Reflex III")</f>
        <v>Cajetin MOPU TS 40x20 cm Reflex III</v>
      </c>
      <c r="C1807" s="4">
        <f>IFERROR(__xludf.DUMMYFUNCTION("""COMPUTED_VALUE"""),27.1872)</f>
        <v>27.1872</v>
      </c>
    </row>
    <row r="1808">
      <c r="A1808" s="4" t="str">
        <f>IFERROR(__xludf.DUMMYFUNCTION("""COMPUTED_VALUE"""),"856020N1")</f>
        <v>856020N1</v>
      </c>
      <c r="B1808" s="4" t="str">
        <f>IFERROR(__xludf.DUMMYFUNCTION("""COMPUTED_VALUE"""),"Cajetin MOPU TS 60x20 cm Reflex I")</f>
        <v>Cajetin MOPU TS 60x20 cm Reflex I</v>
      </c>
      <c r="C1808" s="4">
        <f>IFERROR(__xludf.DUMMYFUNCTION("""COMPUTED_VALUE"""),20.16)</f>
        <v>20.16</v>
      </c>
    </row>
    <row r="1809">
      <c r="A1809" s="4" t="str">
        <f>IFERROR(__xludf.DUMMYFUNCTION("""COMPUTED_VALUE"""),"856030N1")</f>
        <v>856030N1</v>
      </c>
      <c r="B1809" s="4" t="str">
        <f>IFERROR(__xludf.DUMMYFUNCTION("""COMPUTED_VALUE"""),"Cajetin MOPU TS 60x30 cm Reflex I")</f>
        <v>Cajetin MOPU TS 60x30 cm Reflex I</v>
      </c>
      <c r="C1809" s="4">
        <f>IFERROR(__xludf.DUMMYFUNCTION("""COMPUTED_VALUE"""),20.4)</f>
        <v>20.4</v>
      </c>
    </row>
    <row r="1810">
      <c r="A1810" s="4" t="str">
        <f>IFERROR(__xludf.DUMMYFUNCTION("""COMPUTED_VALUE"""),"856030N2")</f>
        <v>856030N2</v>
      </c>
      <c r="B1810" s="4" t="str">
        <f>IFERROR(__xludf.DUMMYFUNCTION("""COMPUTED_VALUE"""),"Cajetin MOPU TS 60x30 cm Reflex II")</f>
        <v>Cajetin MOPU TS 60x30 cm Reflex II</v>
      </c>
      <c r="C1810" s="4">
        <f>IFERROR(__xludf.DUMMYFUNCTION("""COMPUTED_VALUE"""),35.0688)</f>
        <v>35.0688</v>
      </c>
    </row>
    <row r="1811">
      <c r="A1811" s="4" t="str">
        <f>IFERROR(__xludf.DUMMYFUNCTION("""COMPUTED_VALUE"""),"856030N3")</f>
        <v>856030N3</v>
      </c>
      <c r="B1811" s="4" t="str">
        <f>IFERROR(__xludf.DUMMYFUNCTION("""COMPUTED_VALUE"""),"Cajetin MOPU TS 60x30 cm Reflex III")</f>
        <v>Cajetin MOPU TS 60x30 cm Reflex III</v>
      </c>
      <c r="C1811" s="4">
        <f>IFERROR(__xludf.DUMMYFUNCTION("""COMPUTED_VALUE"""),44.4)</f>
        <v>44.4</v>
      </c>
    </row>
    <row r="1812">
      <c r="A1812" s="4" t="str">
        <f>IFERROR(__xludf.DUMMYFUNCTION("""COMPUTED_VALUE"""),"8600N")</f>
        <v>8600N</v>
      </c>
      <c r="B1812" s="4" t="str">
        <f>IFERROR(__xludf.DUMMYFUNCTION("""COMPUTED_VALUE"""),"Señal 30 cm metálica Circular Normal")</f>
        <v>Señal 30 cm metálica Circular Normal</v>
      </c>
      <c r="C1812" s="4">
        <f>IFERROR(__xludf.DUMMYFUNCTION("""COMPUTED_VALUE"""),7.92)</f>
        <v>7.92</v>
      </c>
    </row>
    <row r="1813">
      <c r="A1813" s="4" t="str">
        <f>IFERROR(__xludf.DUMMYFUNCTION("""COMPUTED_VALUE"""),"8600N1")</f>
        <v>8600N1</v>
      </c>
      <c r="B1813" s="4" t="str">
        <f>IFERROR(__xludf.DUMMYFUNCTION("""COMPUTED_VALUE"""),"Señal 30 cm metálica Circular Nivel 1")</f>
        <v>Señal 30 cm metálica Circular Nivel 1</v>
      </c>
      <c r="C1813" s="4">
        <f>IFERROR(__xludf.DUMMYFUNCTION("""COMPUTED_VALUE"""),8.879999999999999)</f>
        <v>8.88</v>
      </c>
    </row>
    <row r="1814">
      <c r="A1814" s="4" t="str">
        <f>IFERROR(__xludf.DUMMYFUNCTION("""COMPUTED_VALUE"""),"8700N")</f>
        <v>8700N</v>
      </c>
      <c r="B1814" s="4" t="str">
        <f>IFERROR(__xludf.DUMMYFUNCTION("""COMPUTED_VALUE"""),"Señal 30 cm metálica Cuadrado Normal")</f>
        <v>Señal 30 cm metálica Cuadrado Normal</v>
      </c>
      <c r="C1814" s="4">
        <f>IFERROR(__xludf.DUMMYFUNCTION("""COMPUTED_VALUE"""),7.92)</f>
        <v>7.92</v>
      </c>
    </row>
    <row r="1815">
      <c r="A1815" s="4" t="str">
        <f>IFERROR(__xludf.DUMMYFUNCTION("""COMPUTED_VALUE"""),"8700N1")</f>
        <v>8700N1</v>
      </c>
      <c r="B1815" s="4" t="str">
        <f>IFERROR(__xludf.DUMMYFUNCTION("""COMPUTED_VALUE"""),"Señal 30 cm metálica Rectangular Nivel 1")</f>
        <v>Señal 30 cm metálica Rectangular Nivel 1</v>
      </c>
      <c r="C1815" s="4">
        <f>IFERROR(__xludf.DUMMYFUNCTION("""COMPUTED_VALUE"""),8.879999999999999)</f>
        <v>8.88</v>
      </c>
    </row>
    <row r="1816">
      <c r="A1816" s="4" t="str">
        <f>IFERROR(__xludf.DUMMYFUNCTION("""COMPUTED_VALUE"""),"8716545N1")</f>
        <v>8716545N1</v>
      </c>
      <c r="B1816" s="4" t="str">
        <f>IFERROR(__xludf.DUMMYFUNCTION("""COMPUTED_VALUE"""),"Panel direccional estrecho R/B TB-2 165x45 cm Reflex I")</f>
        <v>Panel direccional estrecho R/B TB-2 165x45 cm Reflex I</v>
      </c>
      <c r="C1816" s="4">
        <f>IFERROR(__xludf.DUMMYFUNCTION("""COMPUTED_VALUE"""),71.6832)</f>
        <v>71.6832</v>
      </c>
    </row>
    <row r="1817">
      <c r="A1817" s="4" t="str">
        <f>IFERROR(__xludf.DUMMYFUNCTION("""COMPUTED_VALUE"""),"8716545N2")</f>
        <v>8716545N2</v>
      </c>
      <c r="B1817" s="4" t="str">
        <f>IFERROR(__xludf.DUMMYFUNCTION("""COMPUTED_VALUE"""),"Panel direccional estrecho R/B TB-2 165x45 cm Reflex II")</f>
        <v>Panel direccional estrecho R/B TB-2 165x45 cm Reflex II</v>
      </c>
      <c r="C1817" s="4">
        <f>IFERROR(__xludf.DUMMYFUNCTION("""COMPUTED_VALUE"""),86.16)</f>
        <v>86.16</v>
      </c>
    </row>
    <row r="1818">
      <c r="A1818" s="4" t="str">
        <f>IFERROR(__xludf.DUMMYFUNCTION("""COMPUTED_VALUE"""),"8716545N3")</f>
        <v>8716545N3</v>
      </c>
      <c r="B1818" s="4" t="str">
        <f>IFERROR(__xludf.DUMMYFUNCTION("""COMPUTED_VALUE"""),"Panle direccional estrecho R/B TB-2 165x45 cm Reflex III")</f>
        <v>Panle direccional estrecho R/B TB-2 165x45 cm Reflex III</v>
      </c>
      <c r="C1818" s="4">
        <f>IFERROR(__xludf.DUMMYFUNCTION("""COMPUTED_VALUE"""),119.6928)</f>
        <v>119.6928</v>
      </c>
    </row>
    <row r="1819">
      <c r="A1819" s="4" t="str">
        <f>IFERROR(__xludf.DUMMYFUNCTION("""COMPUTED_VALUE"""),"8719595N1")</f>
        <v>8719595N1</v>
      </c>
      <c r="B1819" s="4" t="str">
        <f>IFERROR(__xludf.DUMMYFUNCTION("""COMPUTED_VALUE"""),"Panel direccional alto R/B TB-1 195x95 cm Reflex I")</f>
        <v>Panel direccional alto R/B TB-1 195x95 cm Reflex I</v>
      </c>
      <c r="C1819" s="4">
        <f>IFERROR(__xludf.DUMMYFUNCTION("""COMPUTED_VALUE"""),198.576)</f>
        <v>198.576</v>
      </c>
    </row>
    <row r="1820">
      <c r="A1820" s="4" t="str">
        <f>IFERROR(__xludf.DUMMYFUNCTION("""COMPUTED_VALUE"""),"8719595N2")</f>
        <v>8719595N2</v>
      </c>
      <c r="B1820" s="4" t="str">
        <f>IFERROR(__xludf.DUMMYFUNCTION("""COMPUTED_VALUE"""),"Panel direccional alto R/B TB-1 195x95 cm Reflex II")</f>
        <v>Panel direccional alto R/B TB-1 195x95 cm Reflex II</v>
      </c>
      <c r="C1820" s="4">
        <f>IFERROR(__xludf.DUMMYFUNCTION("""COMPUTED_VALUE"""),231.35999999999999)</f>
        <v>231.36</v>
      </c>
    </row>
    <row r="1821">
      <c r="A1821" s="4" t="str">
        <f>IFERROR(__xludf.DUMMYFUNCTION("""COMPUTED_VALUE"""),"8719595N3")</f>
        <v>8719595N3</v>
      </c>
      <c r="B1821" s="4" t="str">
        <f>IFERROR(__xludf.DUMMYFUNCTION("""COMPUTED_VALUE"""),"Panel direccional alto R/B TB-1 195x95 cm Reflex III")</f>
        <v>Panel direccional alto R/B TB-1 195x95 cm Reflex III</v>
      </c>
      <c r="C1821" s="4">
        <f>IFERROR(__xludf.DUMMYFUNCTION("""COMPUTED_VALUE"""),307.632)</f>
        <v>307.632</v>
      </c>
    </row>
    <row r="1822">
      <c r="A1822" s="4" t="str">
        <f>IFERROR(__xludf.DUMMYFUNCTION("""COMPUTED_VALUE"""),"878040N1")</f>
        <v>878040N1</v>
      </c>
      <c r="B1822" s="4" t="str">
        <f>IFERROR(__xludf.DUMMYFUNCTION("""COMPUTED_VALUE"""),"Panel direccional estrecho R/B TB-2 80x40 cm Reflex I")</f>
        <v>Panel direccional estrecho R/B TB-2 80x40 cm Reflex I</v>
      </c>
      <c r="C1822" s="4">
        <f>IFERROR(__xludf.DUMMYFUNCTION("""COMPUTED_VALUE"""),41.28)</f>
        <v>41.28</v>
      </c>
    </row>
    <row r="1823">
      <c r="A1823" s="4" t="str">
        <f>IFERROR(__xludf.DUMMYFUNCTION("""COMPUTED_VALUE"""),"878040N2")</f>
        <v>878040N2</v>
      </c>
      <c r="B1823" s="4" t="str">
        <f>IFERROR(__xludf.DUMMYFUNCTION("""COMPUTED_VALUE"""),"Panel direccional estrecho R/B TB-2 80x40 cm Reflex II")</f>
        <v>Panel direccional estrecho R/B TB-2 80x40 cm Reflex II</v>
      </c>
      <c r="C1823" s="4">
        <f>IFERROR(__xludf.DUMMYFUNCTION("""COMPUTED_VALUE"""),63.552)</f>
        <v>63.552</v>
      </c>
    </row>
    <row r="1824">
      <c r="A1824" s="4" t="str">
        <f>IFERROR(__xludf.DUMMYFUNCTION("""COMPUTED_VALUE"""),"878040N3")</f>
        <v>878040N3</v>
      </c>
      <c r="B1824" s="4" t="str">
        <f>IFERROR(__xludf.DUMMYFUNCTION("""COMPUTED_VALUE"""),"Panel direccional estrecho R/B TB-2 80x40 cm Reflex III")</f>
        <v>Panel direccional estrecho R/B TB-2 80x40 cm Reflex III</v>
      </c>
      <c r="C1824" s="4">
        <f>IFERROR(__xludf.DUMMYFUNCTION("""COMPUTED_VALUE"""),78.144)</f>
        <v>78.144</v>
      </c>
    </row>
    <row r="1825">
      <c r="A1825" s="4" t="str">
        <f>IFERROR(__xludf.DUMMYFUNCTION("""COMPUTED_VALUE"""),"8800N")</f>
        <v>8800N</v>
      </c>
      <c r="B1825" s="4" t="str">
        <f>IFERROR(__xludf.DUMMYFUNCTION("""COMPUTED_VALUE"""),"Señal 30 cm metálica STOP Normal")</f>
        <v>Señal 30 cm metálica STOP Normal</v>
      </c>
      <c r="C1825" s="4">
        <f>IFERROR(__xludf.DUMMYFUNCTION("""COMPUTED_VALUE"""),7.92)</f>
        <v>7.92</v>
      </c>
    </row>
    <row r="1826">
      <c r="A1826" s="4" t="str">
        <f>IFERROR(__xludf.DUMMYFUNCTION("""COMPUTED_VALUE"""),"8800N1")</f>
        <v>8800N1</v>
      </c>
      <c r="B1826" s="4" t="str">
        <f>IFERROR(__xludf.DUMMYFUNCTION("""COMPUTED_VALUE"""),"Señal 30 cm metálica STOP Nivel 1")</f>
        <v>Señal 30 cm metálica STOP Nivel 1</v>
      </c>
      <c r="C1826" s="4">
        <f>IFERROR(__xludf.DUMMYFUNCTION("""COMPUTED_VALUE"""),8.879999999999999)</f>
        <v>8.88</v>
      </c>
    </row>
    <row r="1827">
      <c r="A1827" s="4" t="str">
        <f>IFERROR(__xludf.DUMMYFUNCTION("""COMPUTED_VALUE"""),"88140251")</f>
        <v>88140251</v>
      </c>
      <c r="B1827" s="4" t="str">
        <f>IFERROR(__xludf.DUMMYFUNCTION("""COMPUTED_VALUE"""),"Valla movil para obras TB-5")</f>
        <v>Valla movil para obras TB-5</v>
      </c>
      <c r="C1827" s="4">
        <f>IFERROR(__xludf.DUMMYFUNCTION("""COMPUTED_VALUE"""),77.712)</f>
        <v>77.712</v>
      </c>
    </row>
    <row r="1828">
      <c r="A1828" s="4" t="str">
        <f>IFERROR(__xludf.DUMMYFUNCTION("""COMPUTED_VALUE"""),"8819560N1")</f>
        <v>8819560N1</v>
      </c>
      <c r="B1828" s="4" t="str">
        <f>IFERROR(__xludf.DUMMYFUNCTION("""COMPUTED_VALUE"""),"Panel Hastial 195x60 cm Reflex I 50%")</f>
        <v>Panel Hastial 195x60 cm Reflex I 50%</v>
      </c>
      <c r="C1828" s="4">
        <f>IFERROR(__xludf.DUMMYFUNCTION("""COMPUTED_VALUE"""),128.64)</f>
        <v>128.64</v>
      </c>
    </row>
    <row r="1829">
      <c r="A1829" s="4" t="str">
        <f>IFERROR(__xludf.DUMMYFUNCTION("""COMPUTED_VALUE"""),"883010N1")</f>
        <v>883010N1</v>
      </c>
      <c r="B1829" s="4" t="str">
        <f>IFERROR(__xludf.DUMMYFUNCTION("""COMPUTED_VALUE"""),"Piqueta 30x10 cm TB-7 NI")</f>
        <v>Piqueta 30x10 cm TB-7 NI</v>
      </c>
      <c r="C1829" s="4">
        <f>IFERROR(__xludf.DUMMYFUNCTION("""COMPUTED_VALUE"""),11.28)</f>
        <v>11.28</v>
      </c>
    </row>
    <row r="1830">
      <c r="A1830" s="4" t="str">
        <f>IFERROR(__xludf.DUMMYFUNCTION("""COMPUTED_VALUE"""),"884030N1")</f>
        <v>884030N1</v>
      </c>
      <c r="B1830" s="4" t="str">
        <f>IFERROR(__xludf.DUMMYFUNCTION("""COMPUTED_VALUE"""),"Plac 40x30 cm Escalon Lateral c/piqueta Reflex")</f>
        <v>Plac 40x30 cm Escalon Lateral c/piqueta Reflex</v>
      </c>
      <c r="C1830" s="4">
        <f>IFERROR(__xludf.DUMMYFUNCTION("""COMPUTED_VALUE"""),23.328)</f>
        <v>23.328</v>
      </c>
    </row>
    <row r="1831">
      <c r="A1831" s="4" t="str">
        <f>IFERROR(__xludf.DUMMYFUNCTION("""COMPUTED_VALUE"""),"8840N1")</f>
        <v>8840N1</v>
      </c>
      <c r="B1831" s="4" t="str">
        <f>IFERROR(__xludf.DUMMYFUNCTION("""COMPUTED_VALUE"""),"Piqueta 40 cm de jalonamiento TB-11 Reflex")</f>
        <v>Piqueta 40 cm de jalonamiento TB-11 Reflex</v>
      </c>
      <c r="C1831" s="4">
        <f>IFERROR(__xludf.DUMMYFUNCTION("""COMPUTED_VALUE"""),8.448)</f>
        <v>8.448</v>
      </c>
    </row>
    <row r="1832">
      <c r="A1832" s="4" t="str">
        <f>IFERROR(__xludf.DUMMYFUNCTION("""COMPUTED_VALUE"""),"887015DN1")</f>
        <v>887015DN1</v>
      </c>
      <c r="B1832" s="4" t="str">
        <f>IFERROR(__xludf.DUMMYFUNCTION("""COMPUTED_VALUE"""),"Baliza de señalizacion obra TB-8 NI Derecha")</f>
        <v>Baliza de señalizacion obra TB-8 NI Derecha</v>
      </c>
      <c r="C1832" s="4">
        <f>IFERROR(__xludf.DUMMYFUNCTION("""COMPUTED_VALUE"""),37.68)</f>
        <v>37.68</v>
      </c>
    </row>
    <row r="1833">
      <c r="A1833" s="4" t="str">
        <f>IFERROR(__xludf.DUMMYFUNCTION("""COMPUTED_VALUE"""),"887015IN1")</f>
        <v>887015IN1</v>
      </c>
      <c r="B1833" s="4" t="str">
        <f>IFERROR(__xludf.DUMMYFUNCTION("""COMPUTED_VALUE"""),"Baliza de señalizacion obra TB-9 NI Izquierda")</f>
        <v>Baliza de señalizacion obra TB-9 NI Izquierda</v>
      </c>
      <c r="C1833" s="4">
        <f>IFERROR(__xludf.DUMMYFUNCTION("""COMPUTED_VALUE"""),37.68)</f>
        <v>37.68</v>
      </c>
    </row>
    <row r="1834">
      <c r="A1834" s="4" t="str">
        <f>IFERROR(__xludf.DUMMYFUNCTION("""COMPUTED_VALUE"""),"889530N1")</f>
        <v>889530N1</v>
      </c>
      <c r="B1834" s="4" t="str">
        <f>IFERROR(__xludf.DUMMYFUNCTION("""COMPUTED_VALUE"""),"Panel Hastial 95x30 cm Reflex I 50%")</f>
        <v>Panel Hastial 95x30 cm Reflex I 50%</v>
      </c>
      <c r="C1834" s="4">
        <f>IFERROR(__xludf.DUMMYFUNCTION("""COMPUTED_VALUE"""),55.68)</f>
        <v>55.68</v>
      </c>
    </row>
    <row r="1835">
      <c r="A1835" s="4" t="str">
        <f>IFERROR(__xludf.DUMMYFUNCTION("""COMPUTED_VALUE"""),"889530N2")</f>
        <v>889530N2</v>
      </c>
      <c r="B1835" s="4" t="str">
        <f>IFERROR(__xludf.DUMMYFUNCTION("""COMPUTED_VALUE"""),"Panel Hastial 95x30 cm Reflex II 50%")</f>
        <v>Panel Hastial 95x30 cm Reflex II 50%</v>
      </c>
      <c r="C1835" s="4">
        <f>IFERROR(__xludf.DUMMYFUNCTION("""COMPUTED_VALUE"""),66.24)</f>
        <v>66.24</v>
      </c>
    </row>
    <row r="1836">
      <c r="A1836" s="4" t="str">
        <f>IFERROR(__xludf.DUMMYFUNCTION("""COMPUTED_VALUE"""),"9000")</f>
        <v>9000</v>
      </c>
      <c r="B1836" s="4" t="str">
        <f>IFERROR(__xludf.DUMMYFUNCTION("""COMPUTED_VALUE"""),"Reductor velocidad 60x50x4.5 cm Mod. G")</f>
        <v>Reductor velocidad 60x50x4.5 cm Mod. G</v>
      </c>
      <c r="C1836" s="4">
        <f>IFERROR(__xludf.DUMMYFUNCTION("""COMPUTED_VALUE"""),20.4)</f>
        <v>20.4</v>
      </c>
    </row>
    <row r="1837">
      <c r="A1837" s="4" t="str">
        <f>IFERROR(__xludf.DUMMYFUNCTION("""COMPUTED_VALUE"""),"9001")</f>
        <v>9001</v>
      </c>
      <c r="B1837" s="4" t="str">
        <f>IFERROR(__xludf.DUMMYFUNCTION("""COMPUTED_VALUE"""),"Extremo reductor veloc. 60x25x4,5 cm Mod. G")</f>
        <v>Extremo reductor veloc. 60x25x4,5 cm Mod. G</v>
      </c>
      <c r="C1837" s="4">
        <f>IFERROR(__xludf.DUMMYFUNCTION("""COMPUTED_VALUE"""),13.2)</f>
        <v>13.2</v>
      </c>
    </row>
    <row r="1838">
      <c r="A1838" s="4" t="str">
        <f>IFERROR(__xludf.DUMMYFUNCTION("""COMPUTED_VALUE"""),"9004")</f>
        <v>9004</v>
      </c>
      <c r="B1838" s="4" t="str">
        <f>IFERROR(__xludf.DUMMYFUNCTION("""COMPUTED_VALUE"""),"Reductor velocidad 40x50x4.5 cm Mod. F")</f>
        <v>Reductor velocidad 40x50x4.5 cm Mod. F</v>
      </c>
      <c r="C1838" s="4">
        <f>IFERROR(__xludf.DUMMYFUNCTION("""COMPUTED_VALUE"""),17.616)</f>
        <v>17.616</v>
      </c>
    </row>
    <row r="1839">
      <c r="A1839" s="4" t="str">
        <f>IFERROR(__xludf.DUMMYFUNCTION("""COMPUTED_VALUE"""),"9005")</f>
        <v>9005</v>
      </c>
      <c r="B1839" s="4" t="str">
        <f>IFERROR(__xludf.DUMMYFUNCTION("""COMPUTED_VALUE"""),"Extremo reductor veloc. 40x25x4.5 cm Mod. F")</f>
        <v>Extremo reductor veloc. 40x25x4.5 cm Mod. F</v>
      </c>
      <c r="C1839" s="4">
        <f>IFERROR(__xludf.DUMMYFUNCTION("""COMPUTED_VALUE"""),12.24)</f>
        <v>12.24</v>
      </c>
    </row>
    <row r="1840">
      <c r="A1840" s="4" t="str">
        <f>IFERROR(__xludf.DUMMYFUNCTION("""COMPUTED_VALUE"""),"9006")</f>
        <v>9006</v>
      </c>
      <c r="B1840" s="4" t="str">
        <f>IFERROR(__xludf.DUMMYFUNCTION("""COMPUTED_VALUE"""),"Reductor velocidad 30x33x4 cm Mod. E")</f>
        <v>Reductor velocidad 30x33x4 cm Mod. E</v>
      </c>
      <c r="C1840" s="4">
        <f>IFERROR(__xludf.DUMMYFUNCTION("""COMPUTED_VALUE"""),14.064)</f>
        <v>14.064</v>
      </c>
    </row>
    <row r="1841">
      <c r="A1841" s="4" t="str">
        <f>IFERROR(__xludf.DUMMYFUNCTION("""COMPUTED_VALUE"""),"9007")</f>
        <v>9007</v>
      </c>
      <c r="B1841" s="4" t="str">
        <f>IFERROR(__xludf.DUMMYFUNCTION("""COMPUTED_VALUE"""),"Extremo reductor velocid. 30x15x4 cm Mod. E")</f>
        <v>Extremo reductor velocid. 30x15x4 cm Mod. E</v>
      </c>
      <c r="C1841" s="4">
        <f>IFERROR(__xludf.DUMMYFUNCTION("""COMPUTED_VALUE"""),9.024)</f>
        <v>9.024</v>
      </c>
    </row>
    <row r="1842">
      <c r="A1842" s="4" t="str">
        <f>IFERROR(__xludf.DUMMYFUNCTION("""COMPUTED_VALUE"""),"9008")</f>
        <v>9008</v>
      </c>
      <c r="B1842" s="4" t="str">
        <f>IFERROR(__xludf.DUMMYFUNCTION("""COMPUTED_VALUE"""),"Reductor velocidad 90x50x5 cm Mod. H")</f>
        <v>Reductor velocidad 90x50x5 cm Mod. H</v>
      </c>
      <c r="C1842" s="4">
        <f>IFERROR(__xludf.DUMMYFUNCTION("""COMPUTED_VALUE"""),36.192)</f>
        <v>36.192</v>
      </c>
    </row>
    <row r="1843">
      <c r="A1843" s="4" t="str">
        <f>IFERROR(__xludf.DUMMYFUNCTION("""COMPUTED_VALUE"""),"9009")</f>
        <v>9009</v>
      </c>
      <c r="B1843" s="4" t="str">
        <f>IFERROR(__xludf.DUMMYFUNCTION("""COMPUTED_VALUE"""),"Extremo reductor veloc. 90x25x5 cm Mod. H")</f>
        <v>Extremo reductor veloc. 90x25x5 cm Mod. H</v>
      </c>
      <c r="C1843" s="4">
        <f>IFERROR(__xludf.DUMMYFUNCTION("""COMPUTED_VALUE"""),20.4)</f>
        <v>20.4</v>
      </c>
    </row>
    <row r="1844">
      <c r="A1844" s="4" t="str">
        <f>IFERROR(__xludf.DUMMYFUNCTION("""COMPUTED_VALUE"""),"9010")</f>
        <v>9010</v>
      </c>
      <c r="B1844" s="4" t="str">
        <f>IFERROR(__xludf.DUMMYFUNCTION("""COMPUTED_VALUE"""),"Reductor velocidad High impact Amarillo")</f>
        <v>Reductor velocidad High impact Amarillo</v>
      </c>
      <c r="C1844" s="4">
        <f>IFERROR(__xludf.DUMMYFUNCTION("""COMPUTED_VALUE"""),13.44)</f>
        <v>13.44</v>
      </c>
    </row>
    <row r="1845">
      <c r="A1845" s="4" t="str">
        <f>IFERROR(__xludf.DUMMYFUNCTION("""COMPUTED_VALUE"""),"9011")</f>
        <v>9011</v>
      </c>
      <c r="B1845" s="4" t="str">
        <f>IFERROR(__xludf.DUMMYFUNCTION("""COMPUTED_VALUE"""),"Reductor velocidad High impact Negro")</f>
        <v>Reductor velocidad High impact Negro</v>
      </c>
      <c r="C1845" s="4">
        <f>IFERROR(__xludf.DUMMYFUNCTION("""COMPUTED_VALUE"""),13.44)</f>
        <v>13.44</v>
      </c>
    </row>
    <row r="1846">
      <c r="A1846" s="4" t="str">
        <f>IFERROR(__xludf.DUMMYFUNCTION("""COMPUTED_VALUE"""),"9012")</f>
        <v>9012</v>
      </c>
      <c r="B1846" s="4" t="str">
        <f>IFERROR(__xludf.DUMMYFUNCTION("""COMPUTED_VALUE"""),"Extremo reductor velocidad High Impact amarillo")</f>
        <v>Extremo reductor velocidad High Impact amarillo</v>
      </c>
      <c r="C1846" s="4">
        <f>IFERROR(__xludf.DUMMYFUNCTION("""COMPUTED_VALUE"""),4.32)</f>
        <v>4.32</v>
      </c>
    </row>
    <row r="1847">
      <c r="A1847" s="4" t="str">
        <f>IFERROR(__xludf.DUMMYFUNCTION("""COMPUTED_VALUE"""),"9013")</f>
        <v>9013</v>
      </c>
      <c r="B1847" s="4" t="str">
        <f>IFERROR(__xludf.DUMMYFUNCTION("""COMPUTED_VALUE"""),"Extremo reductor velocidad High Impact negro")</f>
        <v>Extremo reductor velocidad High Impact negro</v>
      </c>
      <c r="C1847" s="4">
        <f>IFERROR(__xludf.DUMMYFUNCTION("""COMPUTED_VALUE"""),4.32)</f>
        <v>4.32</v>
      </c>
    </row>
    <row r="1848">
      <c r="A1848" s="4" t="str">
        <f>IFERROR(__xludf.DUMMYFUNCTION("""COMPUTED_VALUE"""),"90135N")</f>
        <v>90135N</v>
      </c>
      <c r="B1848" s="4" t="str">
        <f>IFERROR(__xludf.DUMMYFUNCTION("""COMPUTED_VALUE"""),"Señal MOPU T.D. 135 cm N")</f>
        <v>Señal MOPU T.D. 135 cm N</v>
      </c>
      <c r="C1848" s="4">
        <f>IFERROR(__xludf.DUMMYFUNCTION("""COMPUTED_VALUE"""),86.4288)</f>
        <v>86.4288</v>
      </c>
    </row>
    <row r="1849">
      <c r="A1849" s="4" t="str">
        <f>IFERROR(__xludf.DUMMYFUNCTION("""COMPUTED_VALUE"""),"90135N1")</f>
        <v>90135N1</v>
      </c>
      <c r="B1849" s="4" t="str">
        <f>IFERROR(__xludf.DUMMYFUNCTION("""COMPUTED_VALUE"""),"Señal MOPU T.D. 135 cm NI")</f>
        <v>Señal MOPU T.D. 135 cm NI</v>
      </c>
      <c r="C1849" s="4">
        <f>IFERROR(__xludf.DUMMYFUNCTION("""COMPUTED_VALUE"""),95.1264)</f>
        <v>95.1264</v>
      </c>
    </row>
    <row r="1850">
      <c r="A1850" s="4" t="str">
        <f>IFERROR(__xludf.DUMMYFUNCTION("""COMPUTED_VALUE"""),"90135N2")</f>
        <v>90135N2</v>
      </c>
      <c r="B1850" s="4" t="str">
        <f>IFERROR(__xludf.DUMMYFUNCTION("""COMPUTED_VALUE"""),"Señal MOPU T.D. 135 cm NII")</f>
        <v>Señal MOPU T.D. 135 cm NII</v>
      </c>
      <c r="C1850" s="4">
        <f>IFERROR(__xludf.DUMMYFUNCTION("""COMPUTED_VALUE"""),127.4784)</f>
        <v>127.4784</v>
      </c>
    </row>
    <row r="1851">
      <c r="A1851" s="4" t="str">
        <f>IFERROR(__xludf.DUMMYFUNCTION("""COMPUTED_VALUE"""),"90135N3")</f>
        <v>90135N3</v>
      </c>
      <c r="B1851" s="4" t="str">
        <f>IFERROR(__xludf.DUMMYFUNCTION("""COMPUTED_VALUE"""),"Señal MOPU T.D. 135 cm NIII")</f>
        <v>Señal MOPU T.D. 135 cm NIII</v>
      </c>
      <c r="C1851" s="4">
        <f>IFERROR(__xludf.DUMMYFUNCTION("""COMPUTED_VALUE"""),168.91199999999998)</f>
        <v>168.912</v>
      </c>
    </row>
    <row r="1852">
      <c r="A1852" s="4" t="str">
        <f>IFERROR(__xludf.DUMMYFUNCTION("""COMPUTED_VALUE"""),"9014")</f>
        <v>9014</v>
      </c>
      <c r="B1852" s="4" t="str">
        <f>IFERROR(__xludf.DUMMYFUNCTION("""COMPUTED_VALUE"""),"Reductor velocidad High impact Amarillo pasacables")</f>
        <v>Reductor velocidad High impact Amarillo pasacables</v>
      </c>
      <c r="C1852" s="4">
        <f>IFERROR(__xludf.DUMMYFUNCTION("""COMPUTED_VALUE"""),12.48)</f>
        <v>12.48</v>
      </c>
    </row>
    <row r="1853">
      <c r="A1853" s="4" t="str">
        <f>IFERROR(__xludf.DUMMYFUNCTION("""COMPUTED_VALUE"""),"9015")</f>
        <v>9015</v>
      </c>
      <c r="B1853" s="4" t="str">
        <f>IFERROR(__xludf.DUMMYFUNCTION("""COMPUTED_VALUE"""),"Reductor velocidad High impact Negro pasacables")</f>
        <v>Reductor velocidad High impact Negro pasacables</v>
      </c>
      <c r="C1853" s="4">
        <f>IFERROR(__xludf.DUMMYFUNCTION("""COMPUTED_VALUE"""),12.48)</f>
        <v>12.48</v>
      </c>
    </row>
    <row r="1854">
      <c r="A1854" s="4" t="str">
        <f>IFERROR(__xludf.DUMMYFUNCTION("""COMPUTED_VALUE"""),"9016")</f>
        <v>9016</v>
      </c>
      <c r="B1854" s="4" t="str">
        <f>IFERROR(__xludf.DUMMYFUNCTION("""COMPUTED_VALUE"""),"Reductor velocidad Ovaglint 200x120x28 mm")</f>
        <v>Reductor velocidad Ovaglint 200x120x28 mm</v>
      </c>
      <c r="C1854" s="4">
        <f>IFERROR(__xludf.DUMMYFUNCTION("""COMPUTED_VALUE"""),4.32)</f>
        <v>4.32</v>
      </c>
    </row>
    <row r="1855">
      <c r="A1855" s="4" t="str">
        <f>IFERROR(__xludf.DUMMYFUNCTION("""COMPUTED_VALUE"""),"90175N1")</f>
        <v>90175N1</v>
      </c>
      <c r="B1855" s="4" t="str">
        <f>IFERROR(__xludf.DUMMYFUNCTION("""COMPUTED_VALUE"""),"Señal MOPU T.D. 175 cm NI")</f>
        <v>Señal MOPU T.D. 175 cm NI</v>
      </c>
      <c r="C1855" s="4">
        <f>IFERROR(__xludf.DUMMYFUNCTION("""COMPUTED_VALUE"""),187.3536)</f>
        <v>187.3536</v>
      </c>
    </row>
    <row r="1856">
      <c r="A1856" s="4" t="str">
        <f>IFERROR(__xludf.DUMMYFUNCTION("""COMPUTED_VALUE"""),"90175N2")</f>
        <v>90175N2</v>
      </c>
      <c r="B1856" s="4" t="str">
        <f>IFERROR(__xludf.DUMMYFUNCTION("""COMPUTED_VALUE"""),"Señal MOPU T.D. 175 cm NII")</f>
        <v>Señal MOPU T.D. 175 cm NII</v>
      </c>
      <c r="C1856" s="4">
        <f>IFERROR(__xludf.DUMMYFUNCTION("""COMPUTED_VALUE"""),209.88479999999998)</f>
        <v>209.8848</v>
      </c>
    </row>
    <row r="1857">
      <c r="A1857" s="4" t="str">
        <f>IFERROR(__xludf.DUMMYFUNCTION("""COMPUTED_VALUE"""),"90175N3")</f>
        <v>90175N3</v>
      </c>
      <c r="B1857" s="4" t="str">
        <f>IFERROR(__xludf.DUMMYFUNCTION("""COMPUTED_VALUE"""),"Señal MOPU T.D. 175 cm NIII")</f>
        <v>Señal MOPU T.D. 175 cm NIII</v>
      </c>
      <c r="C1857" s="4">
        <f>IFERROR(__xludf.DUMMYFUNCTION("""COMPUTED_VALUE"""),301.4304)</f>
        <v>301.4304</v>
      </c>
    </row>
    <row r="1858">
      <c r="A1858" s="4" t="str">
        <f>IFERROR(__xludf.DUMMYFUNCTION("""COMPUTED_VALUE"""),"9070N")</f>
        <v>9070N</v>
      </c>
      <c r="B1858" s="4" t="str">
        <f>IFERROR(__xludf.DUMMYFUNCTION("""COMPUTED_VALUE"""),"Señal MOPU T.D. 70 cm N")</f>
        <v>Señal MOPU T.D. 70 cm N</v>
      </c>
      <c r="C1858" s="4">
        <f>IFERROR(__xludf.DUMMYFUNCTION("""COMPUTED_VALUE"""),27.8016)</f>
        <v>27.8016</v>
      </c>
    </row>
    <row r="1859">
      <c r="A1859" s="4" t="str">
        <f>IFERROR(__xludf.DUMMYFUNCTION("""COMPUTED_VALUE"""),"9070N1")</f>
        <v>9070N1</v>
      </c>
      <c r="B1859" s="4" t="str">
        <f>IFERROR(__xludf.DUMMYFUNCTION("""COMPUTED_VALUE"""),"Señal MOPU T.D. 70 cm NI")</f>
        <v>Señal MOPU T.D. 70 cm NI</v>
      </c>
      <c r="C1859" s="4">
        <f>IFERROR(__xludf.DUMMYFUNCTION("""COMPUTED_VALUE"""),34.6176)</f>
        <v>34.6176</v>
      </c>
    </row>
    <row r="1860">
      <c r="A1860" s="4" t="str">
        <f>IFERROR(__xludf.DUMMYFUNCTION("""COMPUTED_VALUE"""),"9070N2")</f>
        <v>9070N2</v>
      </c>
      <c r="B1860" s="4" t="str">
        <f>IFERROR(__xludf.DUMMYFUNCTION("""COMPUTED_VALUE"""),"Señal MOPU T.D. 70 cm NII")</f>
        <v>Señal MOPU T.D. 70 cm NII</v>
      </c>
      <c r="C1860" s="4">
        <f>IFERROR(__xludf.DUMMYFUNCTION("""COMPUTED_VALUE"""),43.267199999999995)</f>
        <v>43.2672</v>
      </c>
    </row>
    <row r="1861">
      <c r="A1861" s="4" t="str">
        <f>IFERROR(__xludf.DUMMYFUNCTION("""COMPUTED_VALUE"""),"9070N3")</f>
        <v>9070N3</v>
      </c>
      <c r="B1861" s="4" t="str">
        <f>IFERROR(__xludf.DUMMYFUNCTION("""COMPUTED_VALUE"""),"Señal MOPU T.D. 70 cm NIII")</f>
        <v>Señal MOPU T.D. 70 cm NIII</v>
      </c>
      <c r="C1861" s="4">
        <f>IFERROR(__xludf.DUMMYFUNCTION("""COMPUTED_VALUE"""),57.023999999999994)</f>
        <v>57.024</v>
      </c>
    </row>
    <row r="1862">
      <c r="A1862" s="4" t="str">
        <f>IFERROR(__xludf.DUMMYFUNCTION("""COMPUTED_VALUE"""),"9090N")</f>
        <v>9090N</v>
      </c>
      <c r="B1862" s="4" t="str">
        <f>IFERROR(__xludf.DUMMYFUNCTION("""COMPUTED_VALUE"""),"Señal MOPU T.D. 90 cm N")</f>
        <v>Señal MOPU T.D. 90 cm N</v>
      </c>
      <c r="C1862" s="4">
        <f>IFERROR(__xludf.DUMMYFUNCTION("""COMPUTED_VALUE"""),39.993599999999994)</f>
        <v>39.9936</v>
      </c>
    </row>
    <row r="1863">
      <c r="A1863" s="4" t="str">
        <f>IFERROR(__xludf.DUMMYFUNCTION("""COMPUTED_VALUE"""),"9090N1")</f>
        <v>9090N1</v>
      </c>
      <c r="B1863" s="4" t="str">
        <f>IFERROR(__xludf.DUMMYFUNCTION("""COMPUTED_VALUE"""),"Señal MOPU T.D. 90 cm NI")</f>
        <v>Señal MOPU T.D. 90 cm NI</v>
      </c>
      <c r="C1863" s="4">
        <f>IFERROR(__xludf.DUMMYFUNCTION("""COMPUTED_VALUE"""),48.864)</f>
        <v>48.864</v>
      </c>
    </row>
    <row r="1864">
      <c r="A1864" s="4" t="str">
        <f>IFERROR(__xludf.DUMMYFUNCTION("""COMPUTED_VALUE"""),"9090N2")</f>
        <v>9090N2</v>
      </c>
      <c r="B1864" s="4" t="str">
        <f>IFERROR(__xludf.DUMMYFUNCTION("""COMPUTED_VALUE"""),"Señal MOPU T.D. 90 cm NII")</f>
        <v>Señal MOPU T.D. 90 cm NII</v>
      </c>
      <c r="C1864" s="4">
        <f>IFERROR(__xludf.DUMMYFUNCTION("""COMPUTED_VALUE"""),63.67679999999999)</f>
        <v>63.6768</v>
      </c>
    </row>
    <row r="1865">
      <c r="A1865" s="4" t="str">
        <f>IFERROR(__xludf.DUMMYFUNCTION("""COMPUTED_VALUE"""),"9090N3")</f>
        <v>9090N3</v>
      </c>
      <c r="B1865" s="4" t="str">
        <f>IFERROR(__xludf.DUMMYFUNCTION("""COMPUTED_VALUE"""),"Señal MOPU T.D. 90 cm NIII")</f>
        <v>Señal MOPU T.D. 90 cm NIII</v>
      </c>
      <c r="C1865" s="4">
        <f>IFERROR(__xludf.DUMMYFUNCTION("""COMPUTED_VALUE"""),84.6144)</f>
        <v>84.6144</v>
      </c>
    </row>
    <row r="1866">
      <c r="A1866" s="4" t="str">
        <f>IFERROR(__xludf.DUMMYFUNCTION("""COMPUTED_VALUE"""),"91120N")</f>
        <v>91120N</v>
      </c>
      <c r="B1866" s="4" t="str">
        <f>IFERROR(__xludf.DUMMYFUNCTION("""COMPUTED_VALUE"""),"Señal MOPU R.D. 120cm N")</f>
        <v>Señal MOPU R.D. 120cm N</v>
      </c>
      <c r="C1866" s="4">
        <f>IFERROR(__xludf.DUMMYFUNCTION("""COMPUTED_VALUE"""),126.0)</f>
        <v>126</v>
      </c>
    </row>
    <row r="1867">
      <c r="A1867" s="4" t="str">
        <f>IFERROR(__xludf.DUMMYFUNCTION("""COMPUTED_VALUE"""),"91120N1")</f>
        <v>91120N1</v>
      </c>
      <c r="B1867" s="4" t="str">
        <f>IFERROR(__xludf.DUMMYFUNCTION("""COMPUTED_VALUE"""),"Señal MOPU R.D. 120cm NI")</f>
        <v>Señal MOPU R.D. 120cm NI</v>
      </c>
      <c r="C1867" s="4">
        <f>IFERROR(__xludf.DUMMYFUNCTION("""COMPUTED_VALUE"""),157.9392)</f>
        <v>157.9392</v>
      </c>
    </row>
    <row r="1868">
      <c r="A1868" s="4" t="str">
        <f>IFERROR(__xludf.DUMMYFUNCTION("""COMPUTED_VALUE"""),"91120N2")</f>
        <v>91120N2</v>
      </c>
      <c r="B1868" s="4" t="str">
        <f>IFERROR(__xludf.DUMMYFUNCTION("""COMPUTED_VALUE"""),"Señal MOPU R.D. 120 cm NII")</f>
        <v>Señal MOPU R.D. 120 cm NII</v>
      </c>
      <c r="C1868" s="4">
        <f>IFERROR(__xludf.DUMMYFUNCTION("""COMPUTED_VALUE"""),186.7008)</f>
        <v>186.7008</v>
      </c>
    </row>
    <row r="1869">
      <c r="A1869" s="4" t="str">
        <f>IFERROR(__xludf.DUMMYFUNCTION("""COMPUTED_VALUE"""),"91120N3")</f>
        <v>91120N3</v>
      </c>
      <c r="B1869" s="4" t="str">
        <f>IFERROR(__xludf.DUMMYFUNCTION("""COMPUTED_VALUE"""),"Señal MOPU R.D. 120 cm NIII")</f>
        <v>Señal MOPU R.D. 120 cm NIII</v>
      </c>
      <c r="C1869" s="4">
        <f>IFERROR(__xludf.DUMMYFUNCTION("""COMPUTED_VALUE"""),278.1696)</f>
        <v>278.1696</v>
      </c>
    </row>
    <row r="1870">
      <c r="A1870" s="4" t="str">
        <f>IFERROR(__xludf.DUMMYFUNCTION("""COMPUTED_VALUE"""),"9160N")</f>
        <v>9160N</v>
      </c>
      <c r="B1870" s="4" t="str">
        <f>IFERROR(__xludf.DUMMYFUNCTION("""COMPUTED_VALUE"""),"Señal MOPU R.D. 60 cm N")</f>
        <v>Señal MOPU R.D. 60 cm N</v>
      </c>
      <c r="C1870" s="4">
        <f>IFERROR(__xludf.DUMMYFUNCTION("""COMPUTED_VALUE"""),34.5408)</f>
        <v>34.5408</v>
      </c>
    </row>
    <row r="1871">
      <c r="A1871" s="4" t="str">
        <f>IFERROR(__xludf.DUMMYFUNCTION("""COMPUTED_VALUE"""),"9160N1")</f>
        <v>9160N1</v>
      </c>
      <c r="B1871" s="4" t="str">
        <f>IFERROR(__xludf.DUMMYFUNCTION("""COMPUTED_VALUE"""),"Señal MOPU R.D. 60 cm NI")</f>
        <v>Señal MOPU R.D. 60 cm NI</v>
      </c>
      <c r="C1871" s="4">
        <f>IFERROR(__xludf.DUMMYFUNCTION("""COMPUTED_VALUE"""),39.8208)</f>
        <v>39.8208</v>
      </c>
    </row>
    <row r="1872">
      <c r="A1872" s="4" t="str">
        <f>IFERROR(__xludf.DUMMYFUNCTION("""COMPUTED_VALUE"""),"9160N2")</f>
        <v>9160N2</v>
      </c>
      <c r="B1872" s="4" t="str">
        <f>IFERROR(__xludf.DUMMYFUNCTION("""COMPUTED_VALUE"""),"Señal MOPU R.D. 60 cm NII")</f>
        <v>Señal MOPU R.D. 60 cm NII</v>
      </c>
      <c r="C1872" s="4">
        <f>IFERROR(__xludf.DUMMYFUNCTION("""COMPUTED_VALUE"""),56.889599999999994)</f>
        <v>56.8896</v>
      </c>
    </row>
    <row r="1873">
      <c r="A1873" s="4" t="str">
        <f>IFERROR(__xludf.DUMMYFUNCTION("""COMPUTED_VALUE"""),"9160N3")</f>
        <v>9160N3</v>
      </c>
      <c r="B1873" s="4" t="str">
        <f>IFERROR(__xludf.DUMMYFUNCTION("""COMPUTED_VALUE"""),"Señal MOPU R.D, 60 cm NIII")</f>
        <v>Señal MOPU R.D, 60 cm NIII</v>
      </c>
      <c r="C1873" s="4">
        <f>IFERROR(__xludf.DUMMYFUNCTION("""COMPUTED_VALUE"""),77.7024)</f>
        <v>77.7024</v>
      </c>
    </row>
    <row r="1874">
      <c r="A1874" s="4" t="str">
        <f>IFERROR(__xludf.DUMMYFUNCTION("""COMPUTED_VALUE"""),"9160NE")</f>
        <v>9160NE</v>
      </c>
      <c r="B1874" s="4" t="str">
        <f>IFERROR(__xludf.DUMMYFUNCTION("""COMPUTED_VALUE"""),"Señal cuadrada 60 cm Normal recarga eléctrica")</f>
        <v>Señal cuadrada 60 cm Normal recarga eléctrica</v>
      </c>
      <c r="C1874" s="4">
        <f>IFERROR(__xludf.DUMMYFUNCTION("""COMPUTED_VALUE"""),29.759999999999998)</f>
        <v>29.76</v>
      </c>
    </row>
    <row r="1875">
      <c r="A1875" s="4" t="str">
        <f>IFERROR(__xludf.DUMMYFUNCTION("""COMPUTED_VALUE"""),"9190N")</f>
        <v>9190N</v>
      </c>
      <c r="B1875" s="4" t="str">
        <f>IFERROR(__xludf.DUMMYFUNCTION("""COMPUTED_VALUE"""),"Señal MOPU R.D. 90 cm N")</f>
        <v>Señal MOPU R.D. 90 cm N</v>
      </c>
      <c r="C1875" s="4">
        <f>IFERROR(__xludf.DUMMYFUNCTION("""COMPUTED_VALUE"""),75.9456)</f>
        <v>75.9456</v>
      </c>
    </row>
    <row r="1876">
      <c r="A1876" s="4" t="str">
        <f>IFERROR(__xludf.DUMMYFUNCTION("""COMPUTED_VALUE"""),"9190N1")</f>
        <v>9190N1</v>
      </c>
      <c r="B1876" s="4" t="str">
        <f>IFERROR(__xludf.DUMMYFUNCTION("""COMPUTED_VALUE"""),"Señal MOPU R.D. 90 cm NI")</f>
        <v>Señal MOPU R.D. 90 cm NI</v>
      </c>
      <c r="C1876" s="4">
        <f>IFERROR(__xludf.DUMMYFUNCTION("""COMPUTED_VALUE"""),84.0192)</f>
        <v>84.0192</v>
      </c>
    </row>
    <row r="1877">
      <c r="A1877" s="4" t="str">
        <f>IFERROR(__xludf.DUMMYFUNCTION("""COMPUTED_VALUE"""),"9190N2")</f>
        <v>9190N2</v>
      </c>
      <c r="B1877" s="4" t="str">
        <f>IFERROR(__xludf.DUMMYFUNCTION("""COMPUTED_VALUE"""),"Señal MOPU R.D. 90 cm NII")</f>
        <v>Señal MOPU R.D. 90 cm NII</v>
      </c>
      <c r="C1877" s="4">
        <f>IFERROR(__xludf.DUMMYFUNCTION("""COMPUTED_VALUE"""),109.6032)</f>
        <v>109.6032</v>
      </c>
    </row>
    <row r="1878">
      <c r="A1878" s="4" t="str">
        <f>IFERROR(__xludf.DUMMYFUNCTION("""COMPUTED_VALUE"""),"9190N3")</f>
        <v>9190N3</v>
      </c>
      <c r="B1878" s="4" t="str">
        <f>IFERROR(__xludf.DUMMYFUNCTION("""COMPUTED_VALUE"""),"Señal MOPU R.D. 90 cm NIII")</f>
        <v>Señal MOPU R.D. 90 cm NIII</v>
      </c>
      <c r="C1878" s="4">
        <f>IFERROR(__xludf.DUMMYFUNCTION("""COMPUTED_VALUE"""),165.60959999999997)</f>
        <v>165.6096</v>
      </c>
    </row>
    <row r="1879">
      <c r="A1879" s="4" t="str">
        <f>IFERROR(__xludf.DUMMYFUNCTION("""COMPUTED_VALUE"""),"9210")</f>
        <v>9210</v>
      </c>
      <c r="B1879" s="4" t="str">
        <f>IFERROR(__xludf.DUMMYFUNCTION("""COMPUTED_VALUE"""),"Pack 10 uds adhesivos 10x15 riesgo electrico")</f>
        <v>Pack 10 uds adhesivos 10x15 riesgo electrico</v>
      </c>
      <c r="C1879" s="4">
        <f>IFERROR(__xludf.DUMMYFUNCTION("""COMPUTED_VALUE"""),4.032)</f>
        <v>4.032</v>
      </c>
    </row>
    <row r="1880">
      <c r="A1880" s="4" t="str">
        <f>IFERROR(__xludf.DUMMYFUNCTION("""COMPUTED_VALUE"""),"925170N2")</f>
        <v>925170N2</v>
      </c>
      <c r="B1880" s="4" t="str">
        <f>IFERROR(__xludf.DUMMYFUNCTION("""COMPUTED_VALUE"""),"Señal MOPU informativa 25x170 cm Reflex II")</f>
        <v>Señal MOPU informativa 25x170 cm Reflex II</v>
      </c>
      <c r="C1880" s="4">
        <f>IFERROR(__xludf.DUMMYFUNCTION("""COMPUTED_VALUE"""),100.224)</f>
        <v>100.224</v>
      </c>
    </row>
    <row r="1881">
      <c r="A1881" s="4" t="str">
        <f>IFERROR(__xludf.DUMMYFUNCTION("""COMPUTED_VALUE"""),"9260N")</f>
        <v>9260N</v>
      </c>
      <c r="B1881" s="4" t="str">
        <f>IFERROR(__xludf.DUMMYFUNCTION("""COMPUTED_VALUE"""),"Señal MOPU R2 60 cm N")</f>
        <v>Señal MOPU R2 60 cm N</v>
      </c>
      <c r="C1881" s="4">
        <f>IFERROR(__xludf.DUMMYFUNCTION("""COMPUTED_VALUE"""),30.671999999999997)</f>
        <v>30.672</v>
      </c>
    </row>
    <row r="1882">
      <c r="A1882" s="4" t="str">
        <f>IFERROR(__xludf.DUMMYFUNCTION("""COMPUTED_VALUE"""),"9260N1")</f>
        <v>9260N1</v>
      </c>
      <c r="B1882" s="4" t="str">
        <f>IFERROR(__xludf.DUMMYFUNCTION("""COMPUTED_VALUE"""),"Señal MOPU R2 60 cm NI")</f>
        <v>Señal MOPU R2 60 cm NI</v>
      </c>
      <c r="C1882" s="4">
        <f>IFERROR(__xludf.DUMMYFUNCTION("""COMPUTED_VALUE"""),41.712)</f>
        <v>41.712</v>
      </c>
    </row>
    <row r="1883">
      <c r="A1883" s="4" t="str">
        <f>IFERROR(__xludf.DUMMYFUNCTION("""COMPUTED_VALUE"""),"9260N2")</f>
        <v>9260N2</v>
      </c>
      <c r="B1883" s="4" t="str">
        <f>IFERROR(__xludf.DUMMYFUNCTION("""COMPUTED_VALUE"""),"Señal MOPU R2 60 cm NII")</f>
        <v>Señal MOPU R2 60 cm NII</v>
      </c>
      <c r="C1883" s="4">
        <f>IFERROR(__xludf.DUMMYFUNCTION("""COMPUTED_VALUE"""),59.712)</f>
        <v>59.712</v>
      </c>
    </row>
    <row r="1884">
      <c r="A1884" s="4" t="str">
        <f>IFERROR(__xludf.DUMMYFUNCTION("""COMPUTED_VALUE"""),"9260N3")</f>
        <v>9260N3</v>
      </c>
      <c r="B1884" s="4" t="str">
        <f>IFERROR(__xludf.DUMMYFUNCTION("""COMPUTED_VALUE"""),"Señal MOPU R2 60 cm NIII")</f>
        <v>Señal MOPU R2 60 cm NIII</v>
      </c>
      <c r="C1884" s="4">
        <f>IFERROR(__xludf.DUMMYFUNCTION("""COMPUTED_VALUE"""),73.4112)</f>
        <v>73.4112</v>
      </c>
    </row>
    <row r="1885">
      <c r="A1885" s="4" t="str">
        <f>IFERROR(__xludf.DUMMYFUNCTION("""COMPUTED_VALUE"""),"9290N")</f>
        <v>9290N</v>
      </c>
      <c r="B1885" s="4" t="str">
        <f>IFERROR(__xludf.DUMMYFUNCTION("""COMPUTED_VALUE"""),"Señal MOPU R2 90 cm N")</f>
        <v>Señal MOPU R2 90 cm N</v>
      </c>
      <c r="C1885" s="4">
        <f>IFERROR(__xludf.DUMMYFUNCTION("""COMPUTED_VALUE"""),66.4512)</f>
        <v>66.4512</v>
      </c>
    </row>
    <row r="1886">
      <c r="A1886" s="4" t="str">
        <f>IFERROR(__xludf.DUMMYFUNCTION("""COMPUTED_VALUE"""),"9290N1")</f>
        <v>9290N1</v>
      </c>
      <c r="B1886" s="4" t="str">
        <f>IFERROR(__xludf.DUMMYFUNCTION("""COMPUTED_VALUE"""),"Señal MOPU R2 90 cm NI")</f>
        <v>Señal MOPU R2 90 cm NI</v>
      </c>
      <c r="C1886" s="4">
        <f>IFERROR(__xludf.DUMMYFUNCTION("""COMPUTED_VALUE"""),80.73599999999999)</f>
        <v>80.736</v>
      </c>
    </row>
    <row r="1887">
      <c r="A1887" s="4" t="str">
        <f>IFERROR(__xludf.DUMMYFUNCTION("""COMPUTED_VALUE"""),"9290N2")</f>
        <v>9290N2</v>
      </c>
      <c r="B1887" s="4" t="str">
        <f>IFERROR(__xludf.DUMMYFUNCTION("""COMPUTED_VALUE"""),"Señal MOPU R2 90 cm NII")</f>
        <v>Señal MOPU R2 90 cm NII</v>
      </c>
      <c r="C1887" s="4">
        <f>IFERROR(__xludf.DUMMYFUNCTION("""COMPUTED_VALUE"""),117.6672)</f>
        <v>117.6672</v>
      </c>
    </row>
    <row r="1888">
      <c r="A1888" s="4" t="str">
        <f>IFERROR(__xludf.DUMMYFUNCTION("""COMPUTED_VALUE"""),"9290N3")</f>
        <v>9290N3</v>
      </c>
      <c r="B1888" s="4" t="str">
        <f>IFERROR(__xludf.DUMMYFUNCTION("""COMPUTED_VALUE"""),"Señal MOPU R2 90 cm NIII")</f>
        <v>Señal MOPU R2 90 cm NIII</v>
      </c>
      <c r="C1888" s="4">
        <f>IFERROR(__xludf.DUMMYFUNCTION("""COMPUTED_VALUE"""),156.6624)</f>
        <v>156.6624</v>
      </c>
    </row>
    <row r="1889">
      <c r="A1889" s="4" t="str">
        <f>IFERROR(__xludf.DUMMYFUNCTION("""COMPUTED_VALUE"""),"9340N")</f>
        <v>9340N</v>
      </c>
      <c r="B1889" s="4" t="str">
        <f>IFERROR(__xludf.DUMMYFUNCTION("""COMPUTED_VALUE"""),"Señal MOPU C.D. 40x40cm N")</f>
        <v>Señal MOPU C.D. 40x40cm N</v>
      </c>
      <c r="C1889" s="4">
        <f>IFERROR(__xludf.DUMMYFUNCTION("""COMPUTED_VALUE"""),22.5792)</f>
        <v>22.5792</v>
      </c>
    </row>
    <row r="1890">
      <c r="A1890" s="4" t="str">
        <f>IFERROR(__xludf.DUMMYFUNCTION("""COMPUTED_VALUE"""),"9340N1")</f>
        <v>9340N1</v>
      </c>
      <c r="B1890" s="4" t="str">
        <f>IFERROR(__xludf.DUMMYFUNCTION("""COMPUTED_VALUE"""),"Señal MOPU C.D, 40x40cm NI")</f>
        <v>Señal MOPU C.D, 40x40cm NI</v>
      </c>
      <c r="C1890" s="4">
        <f>IFERROR(__xludf.DUMMYFUNCTION("""COMPUTED_VALUE"""),25.7184)</f>
        <v>25.7184</v>
      </c>
    </row>
    <row r="1891">
      <c r="A1891" s="4" t="str">
        <f>IFERROR(__xludf.DUMMYFUNCTION("""COMPUTED_VALUE"""),"9340N2")</f>
        <v>9340N2</v>
      </c>
      <c r="B1891" s="4" t="str">
        <f>IFERROR(__xludf.DUMMYFUNCTION("""COMPUTED_VALUE"""),"Señal MOPU C.D. 40x40cm NII")</f>
        <v>Señal MOPU C.D. 40x40cm NII</v>
      </c>
      <c r="C1891" s="4">
        <f>IFERROR(__xludf.DUMMYFUNCTION("""COMPUTED_VALUE"""),35.980799999999995)</f>
        <v>35.9808</v>
      </c>
    </row>
    <row r="1892">
      <c r="A1892" s="4" t="str">
        <f>IFERROR(__xludf.DUMMYFUNCTION("""COMPUTED_VALUE"""),"9340N3")</f>
        <v>9340N3</v>
      </c>
      <c r="B1892" s="4" t="str">
        <f>IFERROR(__xludf.DUMMYFUNCTION("""COMPUTED_VALUE"""),"Señal MOPU C.D. 40x40 cm NIII")</f>
        <v>Señal MOPU C.D. 40x40 cm NIII</v>
      </c>
      <c r="C1892" s="4">
        <f>IFERROR(__xludf.DUMMYFUNCTION("""COMPUTED_VALUE"""),53.9424)</f>
        <v>53.9424</v>
      </c>
    </row>
    <row r="1893">
      <c r="A1893" s="4" t="str">
        <f>IFERROR(__xludf.DUMMYFUNCTION("""COMPUTED_VALUE"""),"9360N")</f>
        <v>9360N</v>
      </c>
      <c r="B1893" s="4" t="str">
        <f>IFERROR(__xludf.DUMMYFUNCTION("""COMPUTED_VALUE"""),"Señal MOPU C.D. 60x60cm N")</f>
        <v>Señal MOPU C.D. 60x60cm N</v>
      </c>
      <c r="C1893" s="4">
        <f>IFERROR(__xludf.DUMMYFUNCTION("""COMPUTED_VALUE"""),30.0)</f>
        <v>30</v>
      </c>
    </row>
    <row r="1894">
      <c r="A1894" s="4" t="str">
        <f>IFERROR(__xludf.DUMMYFUNCTION("""COMPUTED_VALUE"""),"9360N1")</f>
        <v>9360N1</v>
      </c>
      <c r="B1894" s="4" t="str">
        <f>IFERROR(__xludf.DUMMYFUNCTION("""COMPUTED_VALUE"""),"Señal MOPU C.D. 60x60cm NI")</f>
        <v>Señal MOPU C.D. 60x60cm NI</v>
      </c>
      <c r="C1894" s="4">
        <f>IFERROR(__xludf.DUMMYFUNCTION("""COMPUTED_VALUE"""),39.6)</f>
        <v>39.6</v>
      </c>
    </row>
    <row r="1895">
      <c r="A1895" s="4" t="str">
        <f>IFERROR(__xludf.DUMMYFUNCTION("""COMPUTED_VALUE"""),"9360N2")</f>
        <v>9360N2</v>
      </c>
      <c r="B1895" s="4" t="str">
        <f>IFERROR(__xludf.DUMMYFUNCTION("""COMPUTED_VALUE"""),"Señal MOPU C.D. 60x60cm NII")</f>
        <v>Señal MOPU C.D. 60x60cm NII</v>
      </c>
      <c r="C1895" s="4">
        <f>IFERROR(__xludf.DUMMYFUNCTION("""COMPUTED_VALUE"""),47.28)</f>
        <v>47.28</v>
      </c>
    </row>
    <row r="1896">
      <c r="A1896" s="4" t="str">
        <f>IFERROR(__xludf.DUMMYFUNCTION("""COMPUTED_VALUE"""),"9360N3")</f>
        <v>9360N3</v>
      </c>
      <c r="B1896" s="4" t="str">
        <f>IFERROR(__xludf.DUMMYFUNCTION("""COMPUTED_VALUE"""),"Señal MOPU C.D. 60x60cm NIII")</f>
        <v>Señal MOPU C.D. 60x60cm NIII</v>
      </c>
      <c r="C1896" s="4">
        <f>IFERROR(__xludf.DUMMYFUNCTION("""COMPUTED_VALUE"""),79.2)</f>
        <v>79.2</v>
      </c>
    </row>
    <row r="1897">
      <c r="A1897" s="4" t="str">
        <f>IFERROR(__xludf.DUMMYFUNCTION("""COMPUTED_VALUE"""),"9390N")</f>
        <v>9390N</v>
      </c>
      <c r="B1897" s="4" t="str">
        <f>IFERROR(__xludf.DUMMYFUNCTION("""COMPUTED_VALUE"""),"Señal MOPU C.D. 90x90 cm N")</f>
        <v>Señal MOPU C.D. 90x90 cm N</v>
      </c>
      <c r="C1897" s="4">
        <f>IFERROR(__xludf.DUMMYFUNCTION("""COMPUTED_VALUE"""),66.48)</f>
        <v>66.48</v>
      </c>
    </row>
    <row r="1898">
      <c r="A1898" s="4" t="str">
        <f>IFERROR(__xludf.DUMMYFUNCTION("""COMPUTED_VALUE"""),"9390N1")</f>
        <v>9390N1</v>
      </c>
      <c r="B1898" s="4" t="str">
        <f>IFERROR(__xludf.DUMMYFUNCTION("""COMPUTED_VALUE"""),"Señal MOPU C.D. 90x90 cm NI")</f>
        <v>Señal MOPU C.D. 90x90 cm NI</v>
      </c>
      <c r="C1898" s="4">
        <f>IFERROR(__xludf.DUMMYFUNCTION("""COMPUTED_VALUE"""),90.2496)</f>
        <v>90.2496</v>
      </c>
    </row>
    <row r="1899">
      <c r="A1899" s="4" t="str">
        <f>IFERROR(__xludf.DUMMYFUNCTION("""COMPUTED_VALUE"""),"9390N2")</f>
        <v>9390N2</v>
      </c>
      <c r="B1899" s="4" t="str">
        <f>IFERROR(__xludf.DUMMYFUNCTION("""COMPUTED_VALUE"""),"Señal MOPU C.D. 90x90 cm NII")</f>
        <v>Señal MOPU C.D. 90x90 cm NII</v>
      </c>
      <c r="C1899" s="4">
        <f>IFERROR(__xludf.DUMMYFUNCTION("""COMPUTED_VALUE"""),131.3472)</f>
        <v>131.3472</v>
      </c>
    </row>
    <row r="1900">
      <c r="A1900" s="4" t="str">
        <f>IFERROR(__xludf.DUMMYFUNCTION("""COMPUTED_VALUE"""),"9390N3")</f>
        <v>9390N3</v>
      </c>
      <c r="B1900" s="4" t="str">
        <f>IFERROR(__xludf.DUMMYFUNCTION("""COMPUTED_VALUE"""),"Señal MOPU C.D. 90x90 cm NIII")</f>
        <v>Señal MOPU C.D. 90x90 cm NIII</v>
      </c>
      <c r="C1900" s="4">
        <f>IFERROR(__xludf.DUMMYFUNCTION("""COMPUTED_VALUE"""),181.1712)</f>
        <v>181.1712</v>
      </c>
    </row>
    <row r="1901">
      <c r="A1901" s="4" t="str">
        <f>IFERROR(__xludf.DUMMYFUNCTION("""COMPUTED_VALUE"""),"94120180N1")</f>
        <v>94120180N1</v>
      </c>
      <c r="B1901" s="4" t="str">
        <f>IFERROR(__xludf.DUMMYFUNCTION("""COMPUTED_VALUE"""),"Rectangulo MOPU 120x180 cm Reflex I")</f>
        <v>Rectangulo MOPU 120x180 cm Reflex I</v>
      </c>
      <c r="C1901" s="4">
        <f>IFERROR(__xludf.DUMMYFUNCTION("""COMPUTED_VALUE"""),209.51999999999998)</f>
        <v>209.52</v>
      </c>
    </row>
    <row r="1902">
      <c r="A1902" s="4" t="str">
        <f>IFERROR(__xludf.DUMMYFUNCTION("""COMPUTED_VALUE"""),"94120180N2")</f>
        <v>94120180N2</v>
      </c>
      <c r="B1902" s="4" t="str">
        <f>IFERROR(__xludf.DUMMYFUNCTION("""COMPUTED_VALUE"""),"Rectangulo MOPU 120x180 cm Reflex II")</f>
        <v>Rectangulo MOPU 120x180 cm Reflex II</v>
      </c>
      <c r="C1902" s="4">
        <f>IFERROR(__xludf.DUMMYFUNCTION("""COMPUTED_VALUE"""),285.59999999999997)</f>
        <v>285.6</v>
      </c>
    </row>
    <row r="1903">
      <c r="A1903" s="4" t="str">
        <f>IFERROR(__xludf.DUMMYFUNCTION("""COMPUTED_VALUE"""),"94120180N3")</f>
        <v>94120180N3</v>
      </c>
      <c r="B1903" s="4" t="str">
        <f>IFERROR(__xludf.DUMMYFUNCTION("""COMPUTED_VALUE"""),"Rectangulo MOPU 120x180 cm Reflex III")</f>
        <v>Rectangulo MOPU 120x180 cm Reflex III</v>
      </c>
      <c r="C1903" s="4">
        <f>IFERROR(__xludf.DUMMYFUNCTION("""COMPUTED_VALUE"""),410.4)</f>
        <v>410.4</v>
      </c>
    </row>
    <row r="1904">
      <c r="A1904" s="4" t="str">
        <f>IFERROR(__xludf.DUMMYFUNCTION("""COMPUTED_VALUE"""),"94120210N1")</f>
        <v>94120210N1</v>
      </c>
      <c r="B1904" s="4" t="str">
        <f>IFERROR(__xludf.DUMMYFUNCTION("""COMPUTED_VALUE"""),"Rectangulo MOPU 120x210 cm Reflex I")</f>
        <v>Rectangulo MOPU 120x210 cm Reflex I</v>
      </c>
      <c r="C1904" s="4">
        <f>IFERROR(__xludf.DUMMYFUNCTION("""COMPUTED_VALUE"""),278.688)</f>
        <v>278.688</v>
      </c>
    </row>
    <row r="1905">
      <c r="A1905" s="4" t="str">
        <f>IFERROR(__xludf.DUMMYFUNCTION("""COMPUTED_VALUE"""),"94120210N2")</f>
        <v>94120210N2</v>
      </c>
      <c r="B1905" s="4" t="str">
        <f>IFERROR(__xludf.DUMMYFUNCTION("""COMPUTED_VALUE"""),"Rectangulo MOPU 120x210 cm Reflex II")</f>
        <v>Rectangulo MOPU 120x210 cm Reflex II</v>
      </c>
      <c r="C1905" s="4">
        <f>IFERROR(__xludf.DUMMYFUNCTION("""COMPUTED_VALUE"""),422.4)</f>
        <v>422.4</v>
      </c>
    </row>
    <row r="1906">
      <c r="A1906" s="4" t="str">
        <f>IFERROR(__xludf.DUMMYFUNCTION("""COMPUTED_VALUE"""),"94120210N3")</f>
        <v>94120210N3</v>
      </c>
      <c r="B1906" s="4" t="str">
        <f>IFERROR(__xludf.DUMMYFUNCTION("""COMPUTED_VALUE"""),"Rectangulo MOPU 120x210 cm Reflex III")</f>
        <v>Rectangulo MOPU 120x210 cm Reflex III</v>
      </c>
      <c r="C1906" s="4">
        <f>IFERROR(__xludf.DUMMYFUNCTION("""COMPUTED_VALUE"""),585.6)</f>
        <v>585.6</v>
      </c>
    </row>
    <row r="1907">
      <c r="A1907" s="4" t="str">
        <f>IFERROR(__xludf.DUMMYFUNCTION("""COMPUTED_VALUE"""),"944060N")</f>
        <v>944060N</v>
      </c>
      <c r="B1907" s="4" t="str">
        <f>IFERROR(__xludf.DUMMYFUNCTION("""COMPUTED_VALUE"""),"Rectangulo MOPU 40x60 cm Normal")</f>
        <v>Rectangulo MOPU 40x60 cm Normal</v>
      </c>
      <c r="C1907" s="4">
        <f>IFERROR(__xludf.DUMMYFUNCTION("""COMPUTED_VALUE"""),31.68)</f>
        <v>31.68</v>
      </c>
    </row>
    <row r="1908">
      <c r="A1908" s="4" t="str">
        <f>IFERROR(__xludf.DUMMYFUNCTION("""COMPUTED_VALUE"""),"944060N1")</f>
        <v>944060N1</v>
      </c>
      <c r="B1908" s="4" t="str">
        <f>IFERROR(__xludf.DUMMYFUNCTION("""COMPUTED_VALUE"""),"Rectangulo MOPU 40x60 cm Reflex I")</f>
        <v>Rectangulo MOPU 40x60 cm Reflex I</v>
      </c>
      <c r="C1908" s="4">
        <f>IFERROR(__xludf.DUMMYFUNCTION("""COMPUTED_VALUE"""),37.44)</f>
        <v>37.44</v>
      </c>
    </row>
    <row r="1909">
      <c r="A1909" s="4" t="str">
        <f>IFERROR(__xludf.DUMMYFUNCTION("""COMPUTED_VALUE"""),"944060N2")</f>
        <v>944060N2</v>
      </c>
      <c r="B1909" s="4" t="str">
        <f>IFERROR(__xludf.DUMMYFUNCTION("""COMPUTED_VALUE"""),"Rectangulo MOPU 40x60 cm Reflex II")</f>
        <v>Rectangulo MOPU 40x60 cm Reflex II</v>
      </c>
      <c r="C1909" s="4">
        <f>IFERROR(__xludf.DUMMYFUNCTION("""COMPUTED_VALUE"""),41.28)</f>
        <v>41.28</v>
      </c>
    </row>
    <row r="1910">
      <c r="A1910" s="4" t="str">
        <f>IFERROR(__xludf.DUMMYFUNCTION("""COMPUTED_VALUE"""),"944060N3")</f>
        <v>944060N3</v>
      </c>
      <c r="B1910" s="4" t="str">
        <f>IFERROR(__xludf.DUMMYFUNCTION("""COMPUTED_VALUE"""),"Rectangulo MOPU 40x60 cm Reflex III")</f>
        <v>Rectangulo MOPU 40x60 cm Reflex III</v>
      </c>
      <c r="C1910" s="4">
        <f>IFERROR(__xludf.DUMMYFUNCTION("""COMPUTED_VALUE"""),60.39359999999999)</f>
        <v>60.3936</v>
      </c>
    </row>
    <row r="1911">
      <c r="A1911" s="4" t="str">
        <f>IFERROR(__xludf.DUMMYFUNCTION("""COMPUTED_VALUE"""),"9460120N")</f>
        <v>9460120N</v>
      </c>
      <c r="B1911" s="4" t="str">
        <f>IFERROR(__xludf.DUMMYFUNCTION("""COMPUTED_VALUE"""),"Rectangulo MOPU 60x120 cm Normal")</f>
        <v>Rectangulo MOPU 60x120 cm Normal</v>
      </c>
      <c r="C1911" s="4">
        <f>IFERROR(__xludf.DUMMYFUNCTION("""COMPUTED_VALUE"""),80.64)</f>
        <v>80.64</v>
      </c>
    </row>
    <row r="1912">
      <c r="A1912" s="4" t="str">
        <f>IFERROR(__xludf.DUMMYFUNCTION("""COMPUTED_VALUE"""),"9460120N1")</f>
        <v>9460120N1</v>
      </c>
      <c r="B1912" s="4" t="str">
        <f>IFERROR(__xludf.DUMMYFUNCTION("""COMPUTED_VALUE"""),"Rectangulo MOPU 60x120 cm Reflex I")</f>
        <v>Rectangulo MOPU 60x120 cm Reflex I</v>
      </c>
      <c r="C1912" s="4">
        <f>IFERROR(__xludf.DUMMYFUNCTION("""COMPUTED_VALUE"""),95.5968)</f>
        <v>95.5968</v>
      </c>
    </row>
    <row r="1913">
      <c r="A1913" s="4" t="str">
        <f>IFERROR(__xludf.DUMMYFUNCTION("""COMPUTED_VALUE"""),"9460120N2")</f>
        <v>9460120N2</v>
      </c>
      <c r="B1913" s="4" t="str">
        <f>IFERROR(__xludf.DUMMYFUNCTION("""COMPUTED_VALUE"""),"Rectangulo MOPU 60x120 cm Reflex II")</f>
        <v>Rectangulo MOPU 60x120 cm Reflex II</v>
      </c>
      <c r="C1913" s="4">
        <f>IFERROR(__xludf.DUMMYFUNCTION("""COMPUTED_VALUE"""),125.79839999999999)</f>
        <v>125.7984</v>
      </c>
    </row>
    <row r="1914">
      <c r="A1914" s="4" t="str">
        <f>IFERROR(__xludf.DUMMYFUNCTION("""COMPUTED_VALUE"""),"9460120N3")</f>
        <v>9460120N3</v>
      </c>
      <c r="B1914" s="4" t="str">
        <f>IFERROR(__xludf.DUMMYFUNCTION("""COMPUTED_VALUE"""),"Rectangulo MOPU 60x120 cm Reflex III")</f>
        <v>Rectangulo MOPU 60x120 cm Reflex III</v>
      </c>
      <c r="C1914" s="4">
        <f>IFERROR(__xludf.DUMMYFUNCTION("""COMPUTED_VALUE"""),161.04)</f>
        <v>161.04</v>
      </c>
    </row>
    <row r="1915">
      <c r="A1915" s="4" t="str">
        <f>IFERROR(__xludf.DUMMYFUNCTION("""COMPUTED_VALUE"""),"946090N")</f>
        <v>946090N</v>
      </c>
      <c r="B1915" s="4" t="str">
        <f>IFERROR(__xludf.DUMMYFUNCTION("""COMPUTED_VALUE"""),"Rectangulo MOPU 60x90 cm Normal")</f>
        <v>Rectangulo MOPU 60x90 cm Normal</v>
      </c>
      <c r="C1915" s="4">
        <f>IFERROR(__xludf.DUMMYFUNCTION("""COMPUTED_VALUE"""),63.11039999999999)</f>
        <v>63.1104</v>
      </c>
    </row>
    <row r="1916">
      <c r="A1916" s="4" t="str">
        <f>IFERROR(__xludf.DUMMYFUNCTION("""COMPUTED_VALUE"""),"946090N1")</f>
        <v>946090N1</v>
      </c>
      <c r="B1916" s="4" t="str">
        <f>IFERROR(__xludf.DUMMYFUNCTION("""COMPUTED_VALUE"""),"Rectangulo MOPU 60x90 cm Reflex I")</f>
        <v>Rectangulo MOPU 60x90 cm Reflex I</v>
      </c>
      <c r="C1916" s="4">
        <f>IFERROR(__xludf.DUMMYFUNCTION("""COMPUTED_VALUE"""),69.2064)</f>
        <v>69.2064</v>
      </c>
    </row>
    <row r="1917">
      <c r="A1917" s="4" t="str">
        <f>IFERROR(__xludf.DUMMYFUNCTION("""COMPUTED_VALUE"""),"946090N2")</f>
        <v>946090N2</v>
      </c>
      <c r="B1917" s="4" t="str">
        <f>IFERROR(__xludf.DUMMYFUNCTION("""COMPUTED_VALUE"""),"Rectangulo MOPU 60x90 cm Reflex II")</f>
        <v>Rectangulo MOPU 60x90 cm Reflex II</v>
      </c>
      <c r="C1917" s="4">
        <f>IFERROR(__xludf.DUMMYFUNCTION("""COMPUTED_VALUE"""),96.8736)</f>
        <v>96.8736</v>
      </c>
    </row>
    <row r="1918">
      <c r="A1918" s="4" t="str">
        <f>IFERROR(__xludf.DUMMYFUNCTION("""COMPUTED_VALUE"""),"946090N3")</f>
        <v>946090N3</v>
      </c>
      <c r="B1918" s="4" t="str">
        <f>IFERROR(__xludf.DUMMYFUNCTION("""COMPUTED_VALUE"""),"Rectangulo MOPU 60x90 cm Reflex III")</f>
        <v>Rectangulo MOPU 60x90 cm Reflex III</v>
      </c>
      <c r="C1918" s="4">
        <f>IFERROR(__xludf.DUMMYFUNCTION("""COMPUTED_VALUE"""),126.96959999999999)</f>
        <v>126.9696</v>
      </c>
    </row>
    <row r="1919">
      <c r="A1919" s="4" t="str">
        <f>IFERROR(__xludf.DUMMYFUNCTION("""COMPUTED_VALUE"""),"9490135N")</f>
        <v>9490135N</v>
      </c>
      <c r="B1919" s="4" t="str">
        <f>IFERROR(__xludf.DUMMYFUNCTION("""COMPUTED_VALUE"""),"Rectangulo MOPU 90x135 cm Normal")</f>
        <v>Rectangulo MOPU 90x135 cm Normal</v>
      </c>
      <c r="C1919" s="4">
        <f>IFERROR(__xludf.DUMMYFUNCTION("""COMPUTED_VALUE"""),111.32159999999999)</f>
        <v>111.3216</v>
      </c>
    </row>
    <row r="1920">
      <c r="A1920" s="4" t="str">
        <f>IFERROR(__xludf.DUMMYFUNCTION("""COMPUTED_VALUE"""),"9490135N1")</f>
        <v>9490135N1</v>
      </c>
      <c r="B1920" s="4" t="str">
        <f>IFERROR(__xludf.DUMMYFUNCTION("""COMPUTED_VALUE"""),"Rectangulo MOPU 90x135 cm Reflex I")</f>
        <v>Rectangulo MOPU 90x135 cm Reflex I</v>
      </c>
      <c r="C1920" s="4">
        <f>IFERROR(__xludf.DUMMYFUNCTION("""COMPUTED_VALUE"""),256.5504)</f>
        <v>256.5504</v>
      </c>
    </row>
    <row r="1921">
      <c r="A1921" s="4" t="str">
        <f>IFERROR(__xludf.DUMMYFUNCTION("""COMPUTED_VALUE"""),"9490135N2")</f>
        <v>9490135N2</v>
      </c>
      <c r="B1921" s="4" t="str">
        <f>IFERROR(__xludf.DUMMYFUNCTION("""COMPUTED_VALUE"""),"Rectangulo MOPU 90x135 cm Reflex II")</f>
        <v>Rectangulo MOPU 90x135 cm Reflex II</v>
      </c>
      <c r="C1921" s="4">
        <f>IFERROR(__xludf.DUMMYFUNCTION("""COMPUTED_VALUE"""),194.4)</f>
        <v>194.4</v>
      </c>
    </row>
    <row r="1922">
      <c r="A1922" s="4" t="str">
        <f>IFERROR(__xludf.DUMMYFUNCTION("""COMPUTED_VALUE"""),"9490135N3")</f>
        <v>9490135N3</v>
      </c>
      <c r="B1922" s="4" t="str">
        <f>IFERROR(__xludf.DUMMYFUNCTION("""COMPUTED_VALUE"""),"Rectangulo MOPU 90x135 cm Reflex III")</f>
        <v>Rectangulo MOPU 90x135 cm Reflex III</v>
      </c>
      <c r="C1922" s="4">
        <f>IFERROR(__xludf.DUMMYFUNCTION("""COMPUTED_VALUE"""),256.8)</f>
        <v>256.8</v>
      </c>
    </row>
    <row r="1923">
      <c r="A1923" s="4" t="str">
        <f>IFERROR(__xludf.DUMMYFUNCTION("""COMPUTED_VALUE"""),"9500N")</f>
        <v>9500N</v>
      </c>
      <c r="B1923" s="4" t="str">
        <f>IFERROR(__xludf.DUMMYFUNCTION("""COMPUTED_VALUE"""),"Señal Aluminio Triangular 70 cm Normal")</f>
        <v>Señal Aluminio Triangular 70 cm Normal</v>
      </c>
      <c r="C1923" s="4">
        <f>IFERROR(__xludf.DUMMYFUNCTION("""COMPUTED_VALUE"""),25.919999999999998)</f>
        <v>25.92</v>
      </c>
    </row>
    <row r="1924">
      <c r="A1924" s="4" t="str">
        <f>IFERROR(__xludf.DUMMYFUNCTION("""COMPUTED_VALUE"""),"9500N1")</f>
        <v>9500N1</v>
      </c>
      <c r="B1924" s="4" t="str">
        <f>IFERROR(__xludf.DUMMYFUNCTION("""COMPUTED_VALUE"""),"Señal Aluminio Triangular 70 cm Nivel 1")</f>
        <v>Señal Aluminio Triangular 70 cm Nivel 1</v>
      </c>
      <c r="C1924" s="4">
        <f>IFERROR(__xludf.DUMMYFUNCTION("""COMPUTED_VALUE"""),28.799999999999997)</f>
        <v>28.8</v>
      </c>
    </row>
    <row r="1925">
      <c r="A1925" s="4" t="str">
        <f>IFERROR(__xludf.DUMMYFUNCTION("""COMPUTED_VALUE"""),"954020N")</f>
        <v>954020N</v>
      </c>
      <c r="B1925" s="4" t="str">
        <f>IFERROR(__xludf.DUMMYFUNCTION("""COMPUTED_VALUE"""),"Señal MOPU complementaria 40x20 cm Normal")</f>
        <v>Señal MOPU complementaria 40x20 cm Normal</v>
      </c>
      <c r="C1925" s="4">
        <f>IFERROR(__xludf.DUMMYFUNCTION("""COMPUTED_VALUE"""),18.24)</f>
        <v>18.24</v>
      </c>
    </row>
    <row r="1926">
      <c r="A1926" s="4" t="str">
        <f>IFERROR(__xludf.DUMMYFUNCTION("""COMPUTED_VALUE"""),"954020N1")</f>
        <v>954020N1</v>
      </c>
      <c r="B1926" s="4" t="str">
        <f>IFERROR(__xludf.DUMMYFUNCTION("""COMPUTED_VALUE"""),"Señal MOPU complementaria 40x20 cm Reflex I")</f>
        <v>Señal MOPU complementaria 40x20 cm Reflex I</v>
      </c>
      <c r="C1926" s="4">
        <f>IFERROR(__xludf.DUMMYFUNCTION("""COMPUTED_VALUE"""),21.36)</f>
        <v>21.36</v>
      </c>
    </row>
    <row r="1927">
      <c r="A1927" s="4" t="str">
        <f>IFERROR(__xludf.DUMMYFUNCTION("""COMPUTED_VALUE"""),"954020N2")</f>
        <v>954020N2</v>
      </c>
      <c r="B1927" s="4" t="str">
        <f>IFERROR(__xludf.DUMMYFUNCTION("""COMPUTED_VALUE"""),"Señal MOPU complementaria 40x20 cm Reflex II")</f>
        <v>Señal MOPU complementaria 40x20 cm Reflex II</v>
      </c>
      <c r="C1927" s="4">
        <f>IFERROR(__xludf.DUMMYFUNCTION("""COMPUTED_VALUE"""),26.16)</f>
        <v>26.16</v>
      </c>
    </row>
    <row r="1928">
      <c r="A1928" s="4" t="str">
        <f>IFERROR(__xludf.DUMMYFUNCTION("""COMPUTED_VALUE"""),"954020N3")</f>
        <v>954020N3</v>
      </c>
      <c r="B1928" s="4" t="str">
        <f>IFERROR(__xludf.DUMMYFUNCTION("""COMPUTED_VALUE"""),"Señal MOPU complemenaria 40x20 cm Reflex III")</f>
        <v>Señal MOPU complemenaria 40x20 cm Reflex III</v>
      </c>
      <c r="C1928" s="4">
        <f>IFERROR(__xludf.DUMMYFUNCTION("""COMPUTED_VALUE"""),30.144)</f>
        <v>30.144</v>
      </c>
    </row>
    <row r="1929">
      <c r="A1929" s="4" t="str">
        <f>IFERROR(__xludf.DUMMYFUNCTION("""COMPUTED_VALUE"""),"956020N")</f>
        <v>956020N</v>
      </c>
      <c r="B1929" s="4" t="str">
        <f>IFERROR(__xludf.DUMMYFUNCTION("""COMPUTED_VALUE"""),"Señal MOPU complementaria 60x20 cm Normal")</f>
        <v>Señal MOPU complementaria 60x20 cm Normal</v>
      </c>
      <c r="C1929" s="4">
        <f>IFERROR(__xludf.DUMMYFUNCTION("""COMPUTED_VALUE"""),22.464)</f>
        <v>22.464</v>
      </c>
    </row>
    <row r="1930">
      <c r="A1930" s="4" t="str">
        <f>IFERROR(__xludf.DUMMYFUNCTION("""COMPUTED_VALUE"""),"956020N1")</f>
        <v>956020N1</v>
      </c>
      <c r="B1930" s="4" t="str">
        <f>IFERROR(__xludf.DUMMYFUNCTION("""COMPUTED_VALUE"""),"Señal MOPU complementaria 60x20 cm Reflex I")</f>
        <v>Señal MOPU complementaria 60x20 cm Reflex I</v>
      </c>
      <c r="C1930" s="4">
        <f>IFERROR(__xludf.DUMMYFUNCTION("""COMPUTED_VALUE"""),30.959999999999997)</f>
        <v>30.96</v>
      </c>
    </row>
    <row r="1931">
      <c r="A1931" s="4" t="str">
        <f>IFERROR(__xludf.DUMMYFUNCTION("""COMPUTED_VALUE"""),"956020N2")</f>
        <v>956020N2</v>
      </c>
      <c r="B1931" s="4" t="str">
        <f>IFERROR(__xludf.DUMMYFUNCTION("""COMPUTED_VALUE"""),"Señal MOPU complementaria 60x20 cm Reflex II")</f>
        <v>Señal MOPU complementaria 60x20 cm Reflex II</v>
      </c>
      <c r="C1931" s="4">
        <f>IFERROR(__xludf.DUMMYFUNCTION("""COMPUTED_VALUE"""),33.6)</f>
        <v>33.6</v>
      </c>
    </row>
    <row r="1932">
      <c r="A1932" s="4" t="str">
        <f>IFERROR(__xludf.DUMMYFUNCTION("""COMPUTED_VALUE"""),"956020N3")</f>
        <v>956020N3</v>
      </c>
      <c r="B1932" s="4" t="str">
        <f>IFERROR(__xludf.DUMMYFUNCTION("""COMPUTED_VALUE"""),"Señal MOPU complementaria 60x20 cm Reflex III")</f>
        <v>Señal MOPU complementaria 60x20 cm Reflex III</v>
      </c>
      <c r="C1932" s="4">
        <f>IFERROR(__xludf.DUMMYFUNCTION("""COMPUTED_VALUE"""),38.16)</f>
        <v>38.16</v>
      </c>
    </row>
    <row r="1933">
      <c r="A1933" s="4" t="str">
        <f>IFERROR(__xludf.DUMMYFUNCTION("""COMPUTED_VALUE"""),"956030N")</f>
        <v>956030N</v>
      </c>
      <c r="B1933" s="4" t="str">
        <f>IFERROR(__xludf.DUMMYFUNCTION("""COMPUTED_VALUE"""),"Señal MOPU complementaria 60x30 cm Normal")</f>
        <v>Señal MOPU complementaria 60x30 cm Normal</v>
      </c>
      <c r="C1933" s="4">
        <f>IFERROR(__xludf.DUMMYFUNCTION("""COMPUTED_VALUE"""),28.08)</f>
        <v>28.08</v>
      </c>
    </row>
    <row r="1934">
      <c r="A1934" s="4" t="str">
        <f>IFERROR(__xludf.DUMMYFUNCTION("""COMPUTED_VALUE"""),"956030N1")</f>
        <v>956030N1</v>
      </c>
      <c r="B1934" s="4" t="str">
        <f>IFERROR(__xludf.DUMMYFUNCTION("""COMPUTED_VALUE"""),"Señal MOPU complementaria 60x30 cm Reflex I")</f>
        <v>Señal MOPU complementaria 60x30 cm Reflex I</v>
      </c>
      <c r="C1934" s="4">
        <f>IFERROR(__xludf.DUMMYFUNCTION("""COMPUTED_VALUE"""),27.119999999999997)</f>
        <v>27.12</v>
      </c>
    </row>
    <row r="1935">
      <c r="A1935" s="4" t="str">
        <f>IFERROR(__xludf.DUMMYFUNCTION("""COMPUTED_VALUE"""),"956030N2")</f>
        <v>956030N2</v>
      </c>
      <c r="B1935" s="4" t="str">
        <f>IFERROR(__xludf.DUMMYFUNCTION("""COMPUTED_VALUE"""),"Señal MOPU complementaria 60x30 cm Reflex II")</f>
        <v>Señal MOPU complementaria 60x30 cm Reflex II</v>
      </c>
      <c r="C1935" s="4">
        <f>IFERROR(__xludf.DUMMYFUNCTION("""COMPUTED_VALUE"""),37.824)</f>
        <v>37.824</v>
      </c>
    </row>
    <row r="1936">
      <c r="A1936" s="4" t="str">
        <f>IFERROR(__xludf.DUMMYFUNCTION("""COMPUTED_VALUE"""),"956030N3")</f>
        <v>956030N3</v>
      </c>
      <c r="B1936" s="4" t="str">
        <f>IFERROR(__xludf.DUMMYFUNCTION("""COMPUTED_VALUE"""),"Señal MOPu complementaria 60x30 cm Reflex III")</f>
        <v>Señal MOPu complementaria 60x30 cm Reflex III</v>
      </c>
      <c r="C1936" s="4">
        <f>IFERROR(__xludf.DUMMYFUNCTION("""COMPUTED_VALUE"""),47.424)</f>
        <v>47.424</v>
      </c>
    </row>
    <row r="1937">
      <c r="A1937" s="4" t="str">
        <f>IFERROR(__xludf.DUMMYFUNCTION("""COMPUTED_VALUE"""),"956040N")</f>
        <v>956040N</v>
      </c>
      <c r="B1937" s="4" t="str">
        <f>IFERROR(__xludf.DUMMYFUNCTION("""COMPUTED_VALUE"""),"Señal MOPU complementaria 60x40 cm Normal")</f>
        <v>Señal MOPU complementaria 60x40 cm Normal</v>
      </c>
      <c r="C1937" s="4">
        <f>IFERROR(__xludf.DUMMYFUNCTION("""COMPUTED_VALUE"""),37.632)</f>
        <v>37.632</v>
      </c>
    </row>
    <row r="1938">
      <c r="A1938" s="4" t="str">
        <f>IFERROR(__xludf.DUMMYFUNCTION("""COMPUTED_VALUE"""),"956040N1")</f>
        <v>956040N1</v>
      </c>
      <c r="B1938" s="4" t="str">
        <f>IFERROR(__xludf.DUMMYFUNCTION("""COMPUTED_VALUE"""),"Señal MOPU complementaria 60x40 cm Reflex I")</f>
        <v>Señal MOPU complementaria 60x40 cm Reflex I</v>
      </c>
      <c r="C1938" s="4">
        <f>IFERROR(__xludf.DUMMYFUNCTION("""COMPUTED_VALUE"""),38.303999999999995)</f>
        <v>38.304</v>
      </c>
    </row>
    <row r="1939">
      <c r="A1939" s="4" t="str">
        <f>IFERROR(__xludf.DUMMYFUNCTION("""COMPUTED_VALUE"""),"956040N2")</f>
        <v>956040N2</v>
      </c>
      <c r="B1939" s="4" t="str">
        <f>IFERROR(__xludf.DUMMYFUNCTION("""COMPUTED_VALUE"""),"Señal MOPU complementaria 60x40 cm Reflex II")</f>
        <v>Señal MOPU complementaria 60x40 cm Reflex II</v>
      </c>
      <c r="C1939" s="4">
        <f>IFERROR(__xludf.DUMMYFUNCTION("""COMPUTED_VALUE"""),40.559999999999995)</f>
        <v>40.56</v>
      </c>
    </row>
    <row r="1940">
      <c r="A1940" s="4" t="str">
        <f>IFERROR(__xludf.DUMMYFUNCTION("""COMPUTED_VALUE"""),"956040N3")</f>
        <v>956040N3</v>
      </c>
      <c r="B1940" s="4" t="str">
        <f>IFERROR(__xludf.DUMMYFUNCTION("""COMPUTED_VALUE"""),"Señal MOPU complementaria 60x40 cm Reflex III")</f>
        <v>Señal MOPU complementaria 60x40 cm Reflex III</v>
      </c>
      <c r="C1940" s="4">
        <f>IFERROR(__xludf.DUMMYFUNCTION("""COMPUTED_VALUE"""),61.68)</f>
        <v>61.68</v>
      </c>
    </row>
    <row r="1941">
      <c r="A1941" s="4" t="str">
        <f>IFERROR(__xludf.DUMMYFUNCTION("""COMPUTED_VALUE"""),"958040N")</f>
        <v>958040N</v>
      </c>
      <c r="B1941" s="4" t="str">
        <f>IFERROR(__xludf.DUMMYFUNCTION("""COMPUTED_VALUE"""),"Señal MOPU complementaria 80x40 Normal")</f>
        <v>Señal MOPU complementaria 80x40 Normal</v>
      </c>
      <c r="C1941" s="4">
        <f>IFERROR(__xludf.DUMMYFUNCTION("""COMPUTED_VALUE"""),33.36)</f>
        <v>33.36</v>
      </c>
    </row>
    <row r="1942">
      <c r="A1942" s="4" t="str">
        <f>IFERROR(__xludf.DUMMYFUNCTION("""COMPUTED_VALUE"""),"958040N1")</f>
        <v>958040N1</v>
      </c>
      <c r="B1942" s="4" t="str">
        <f>IFERROR(__xludf.DUMMYFUNCTION("""COMPUTED_VALUE"""),"Señal MOPU complementaria 80x40 cm Reflex I")</f>
        <v>Señal MOPU complementaria 80x40 cm Reflex I</v>
      </c>
      <c r="C1942" s="4">
        <f>IFERROR(__xludf.DUMMYFUNCTION("""COMPUTED_VALUE"""),45.36)</f>
        <v>45.36</v>
      </c>
    </row>
    <row r="1943">
      <c r="A1943" s="4" t="str">
        <f>IFERROR(__xludf.DUMMYFUNCTION("""COMPUTED_VALUE"""),"958040N2")</f>
        <v>958040N2</v>
      </c>
      <c r="B1943" s="4" t="str">
        <f>IFERROR(__xludf.DUMMYFUNCTION("""COMPUTED_VALUE"""),"Señal MOPU complementaria 80x40 cm Reflex II")</f>
        <v>Señal MOPU complementaria 80x40 cm Reflex II</v>
      </c>
      <c r="C1943" s="4">
        <f>IFERROR(__xludf.DUMMYFUNCTION("""COMPUTED_VALUE"""),56.879999999999995)</f>
        <v>56.88</v>
      </c>
    </row>
    <row r="1944">
      <c r="A1944" s="4" t="str">
        <f>IFERROR(__xludf.DUMMYFUNCTION("""COMPUTED_VALUE"""),"958040N3")</f>
        <v>958040N3</v>
      </c>
      <c r="B1944" s="4" t="str">
        <f>IFERROR(__xludf.DUMMYFUNCTION("""COMPUTED_VALUE"""),"Señal MOPu complementaria 80x40 cm Reflex III")</f>
        <v>Señal MOPu complementaria 80x40 cm Reflex III</v>
      </c>
      <c r="C1944" s="4">
        <f>IFERROR(__xludf.DUMMYFUNCTION("""COMPUTED_VALUE"""),71.75999999999999)</f>
        <v>71.76</v>
      </c>
    </row>
    <row r="1945">
      <c r="A1945" s="4" t="str">
        <f>IFERROR(__xludf.DUMMYFUNCTION("""COMPUTED_VALUE"""),"958520N")</f>
        <v>958520N</v>
      </c>
      <c r="B1945" s="4" t="str">
        <f>IFERROR(__xludf.DUMMYFUNCTION("""COMPUTED_VALUE"""),"Señal MOPU complementaria 85x20 Normal")</f>
        <v>Señal MOPU complementaria 85x20 Normal</v>
      </c>
      <c r="C1945" s="4">
        <f>IFERROR(__xludf.DUMMYFUNCTION("""COMPUTED_VALUE"""),33.024)</f>
        <v>33.024</v>
      </c>
    </row>
    <row r="1946">
      <c r="A1946" s="4" t="str">
        <f>IFERROR(__xludf.DUMMYFUNCTION("""COMPUTED_VALUE"""),"958520N1")</f>
        <v>958520N1</v>
      </c>
      <c r="B1946" s="4" t="str">
        <f>IFERROR(__xludf.DUMMYFUNCTION("""COMPUTED_VALUE"""),"Señal MOPU complementaria 85x20 cm Reflex I")</f>
        <v>Señal MOPU complementaria 85x20 cm Reflex I</v>
      </c>
      <c r="C1946" s="4">
        <f>IFERROR(__xludf.DUMMYFUNCTION("""COMPUTED_VALUE"""),33.839999999999996)</f>
        <v>33.84</v>
      </c>
    </row>
    <row r="1947">
      <c r="A1947" s="4" t="str">
        <f>IFERROR(__xludf.DUMMYFUNCTION("""COMPUTED_VALUE"""),"958520N2")</f>
        <v>958520N2</v>
      </c>
      <c r="B1947" s="4" t="str">
        <f>IFERROR(__xludf.DUMMYFUNCTION("""COMPUTED_VALUE"""),"Señal MOPU complementaria 85x20 cm Reflex II")</f>
        <v>Señal MOPU complementaria 85x20 cm Reflex II</v>
      </c>
      <c r="C1947" s="4">
        <f>IFERROR(__xludf.DUMMYFUNCTION("""COMPUTED_VALUE"""),47.903999999999996)</f>
        <v>47.904</v>
      </c>
    </row>
    <row r="1948">
      <c r="A1948" s="4" t="str">
        <f>IFERROR(__xludf.DUMMYFUNCTION("""COMPUTED_VALUE"""),"958520N3")</f>
        <v>958520N3</v>
      </c>
      <c r="B1948" s="4" t="str">
        <f>IFERROR(__xludf.DUMMYFUNCTION("""COMPUTED_VALUE"""),"Señal MOPU complementaria 85x20 cm Reflex III")</f>
        <v>Señal MOPU complementaria 85x20 cm Reflex III</v>
      </c>
      <c r="C1948" s="4">
        <f>IFERROR(__xludf.DUMMYFUNCTION("""COMPUTED_VALUE"""),45.36)</f>
        <v>45.36</v>
      </c>
    </row>
    <row r="1949">
      <c r="A1949" s="4" t="str">
        <f>IFERROR(__xludf.DUMMYFUNCTION("""COMPUTED_VALUE"""),"959030N")</f>
        <v>959030N</v>
      </c>
      <c r="B1949" s="4" t="str">
        <f>IFERROR(__xludf.DUMMYFUNCTION("""COMPUTED_VALUE"""),"Señal MOPU complementaria 90x30 cm Normal")</f>
        <v>Señal MOPU complementaria 90x30 cm Normal</v>
      </c>
      <c r="C1949" s="4">
        <f>IFERROR(__xludf.DUMMYFUNCTION("""COMPUTED_VALUE"""),39.12)</f>
        <v>39.12</v>
      </c>
    </row>
    <row r="1950">
      <c r="A1950" s="4" t="str">
        <f>IFERROR(__xludf.DUMMYFUNCTION("""COMPUTED_VALUE"""),"959030N1")</f>
        <v>959030N1</v>
      </c>
      <c r="B1950" s="4" t="str">
        <f>IFERROR(__xludf.DUMMYFUNCTION("""COMPUTED_VALUE"""),"Señal MOPU complementario 90x30 cm Reflex I")</f>
        <v>Señal MOPU complementario 90x30 cm Reflex I</v>
      </c>
      <c r="C1950" s="4">
        <f>IFERROR(__xludf.DUMMYFUNCTION("""COMPUTED_VALUE"""),41.519999999999996)</f>
        <v>41.52</v>
      </c>
    </row>
    <row r="1951">
      <c r="A1951" s="4" t="str">
        <f>IFERROR(__xludf.DUMMYFUNCTION("""COMPUTED_VALUE"""),"959030N2")</f>
        <v>959030N2</v>
      </c>
      <c r="B1951" s="4" t="str">
        <f>IFERROR(__xludf.DUMMYFUNCTION("""COMPUTED_VALUE"""),"Señal MOPU complementaria 90x30 cm Reflex II")</f>
        <v>Señal MOPU complementaria 90x30 cm Reflex II</v>
      </c>
      <c r="C1951" s="4">
        <f>IFERROR(__xludf.DUMMYFUNCTION("""COMPUTED_VALUE"""),55.007999999999996)</f>
        <v>55.008</v>
      </c>
    </row>
    <row r="1952">
      <c r="A1952" s="4" t="str">
        <f>IFERROR(__xludf.DUMMYFUNCTION("""COMPUTED_VALUE"""),"959030N3")</f>
        <v>959030N3</v>
      </c>
      <c r="B1952" s="4" t="str">
        <f>IFERROR(__xludf.DUMMYFUNCTION("""COMPUTED_VALUE"""),"Señal MOPU complementaria 90x30 cm Reflex III")</f>
        <v>Señal MOPU complementaria 90x30 cm Reflex III</v>
      </c>
      <c r="C1952" s="4">
        <f>IFERROR(__xludf.DUMMYFUNCTION("""COMPUTED_VALUE"""),68.39999999999999)</f>
        <v>68.4</v>
      </c>
    </row>
    <row r="1953">
      <c r="A1953" s="4" t="str">
        <f>IFERROR(__xludf.DUMMYFUNCTION("""COMPUTED_VALUE"""),"9600N")</f>
        <v>9600N</v>
      </c>
      <c r="B1953" s="4" t="str">
        <f>IFERROR(__xludf.DUMMYFUNCTION("""COMPUTED_VALUE"""),"Señal Aluminio Circular 60 cm Normal")</f>
        <v>Señal Aluminio Circular 60 cm Normal</v>
      </c>
      <c r="C1953" s="4">
        <f>IFERROR(__xludf.DUMMYFUNCTION("""COMPUTED_VALUE"""),26.88)</f>
        <v>26.88</v>
      </c>
    </row>
    <row r="1954">
      <c r="A1954" s="4" t="str">
        <f>IFERROR(__xludf.DUMMYFUNCTION("""COMPUTED_VALUE"""),"9600N1")</f>
        <v>9600N1</v>
      </c>
      <c r="B1954" s="4" t="str">
        <f>IFERROR(__xludf.DUMMYFUNCTION("""COMPUTED_VALUE"""),"Señal Aluminio Circular 60 cm Nivel 1")</f>
        <v>Señal Aluminio Circular 60 cm Nivel 1</v>
      </c>
      <c r="C1954" s="4">
        <f>IFERROR(__xludf.DUMMYFUNCTION("""COMPUTED_VALUE"""),29.759999999999998)</f>
        <v>29.76</v>
      </c>
    </row>
    <row r="1955">
      <c r="A1955" s="4" t="str">
        <f>IFERROR(__xludf.DUMMYFUNCTION("""COMPUTED_VALUE"""),"9625120N")</f>
        <v>9625120N</v>
      </c>
      <c r="B1955" s="4" t="str">
        <f>IFERROR(__xludf.DUMMYFUNCTION("""COMPUTED_VALUE"""),"Señal MOPU informativa 25x120 cm Normal")</f>
        <v>Señal MOPU informativa 25x120 cm Normal</v>
      </c>
      <c r="C1955" s="4">
        <f>IFERROR(__xludf.DUMMYFUNCTION("""COMPUTED_VALUE"""),62.764799999999994)</f>
        <v>62.7648</v>
      </c>
    </row>
    <row r="1956">
      <c r="A1956" s="4" t="str">
        <f>IFERROR(__xludf.DUMMYFUNCTION("""COMPUTED_VALUE"""),"9625120N1")</f>
        <v>9625120N1</v>
      </c>
      <c r="B1956" s="4" t="str">
        <f>IFERROR(__xludf.DUMMYFUNCTION("""COMPUTED_VALUE"""),"Señal MOPU informativa 25x120 cm Reflex I")</f>
        <v>Señal MOPU informativa 25x120 cm Reflex I</v>
      </c>
      <c r="C1956" s="4">
        <f>IFERROR(__xludf.DUMMYFUNCTION("""COMPUTED_VALUE"""),66.432)</f>
        <v>66.432</v>
      </c>
    </row>
    <row r="1957">
      <c r="A1957" s="4" t="str">
        <f>IFERROR(__xludf.DUMMYFUNCTION("""COMPUTED_VALUE"""),"9625120N1F")</f>
        <v>9625120N1F</v>
      </c>
      <c r="B1957" s="4" t="str">
        <f>IFERROR(__xludf.DUMMYFUNCTION("""COMPUTED_VALUE"""),"Señal MOPU informativa 25x120 Nivel 1 Flechada")</f>
        <v>Señal MOPU informativa 25x120 Nivel 1 Flechada</v>
      </c>
      <c r="C1957" s="4">
        <f>IFERROR(__xludf.DUMMYFUNCTION("""COMPUTED_VALUE"""),65.61599999999999)</f>
        <v>65.616</v>
      </c>
    </row>
    <row r="1958">
      <c r="A1958" s="4" t="str">
        <f>IFERROR(__xludf.DUMMYFUNCTION("""COMPUTED_VALUE"""),"9625120N2")</f>
        <v>9625120N2</v>
      </c>
      <c r="B1958" s="4" t="str">
        <f>IFERROR(__xludf.DUMMYFUNCTION("""COMPUTED_VALUE"""),"Señal MOPU informativa 25x120 cm Reflex II")</f>
        <v>Señal MOPU informativa 25x120 cm Reflex II</v>
      </c>
      <c r="C1958" s="4">
        <f>IFERROR(__xludf.DUMMYFUNCTION("""COMPUTED_VALUE"""),72.96)</f>
        <v>72.96</v>
      </c>
    </row>
    <row r="1959">
      <c r="A1959" s="4" t="str">
        <f>IFERROR(__xludf.DUMMYFUNCTION("""COMPUTED_VALUE"""),"9625120N2F")</f>
        <v>9625120N2F</v>
      </c>
      <c r="B1959" s="4" t="str">
        <f>IFERROR(__xludf.DUMMYFUNCTION("""COMPUTED_VALUE"""),"Señal MOPU informativa 25x120 Nivel 2 Flechada")</f>
        <v>Señal MOPU informativa 25x120 Nivel 2 Flechada</v>
      </c>
      <c r="C1959" s="4">
        <f>IFERROR(__xludf.DUMMYFUNCTION("""COMPUTED_VALUE"""),73.152)</f>
        <v>73.152</v>
      </c>
    </row>
    <row r="1960">
      <c r="A1960" s="4" t="str">
        <f>IFERROR(__xludf.DUMMYFUNCTION("""COMPUTED_VALUE"""),"9625120N3")</f>
        <v>9625120N3</v>
      </c>
      <c r="B1960" s="4" t="str">
        <f>IFERROR(__xludf.DUMMYFUNCTION("""COMPUTED_VALUE"""),"Señal MOPU informativa 25x120 cm Reflex III")</f>
        <v>Señal MOPU informativa 25x120 cm Reflex III</v>
      </c>
      <c r="C1960" s="4">
        <f>IFERROR(__xludf.DUMMYFUNCTION("""COMPUTED_VALUE"""),104.832)</f>
        <v>104.832</v>
      </c>
    </row>
    <row r="1961">
      <c r="A1961" s="4" t="str">
        <f>IFERROR(__xludf.DUMMYFUNCTION("""COMPUTED_VALUE"""),"9625120N3F")</f>
        <v>9625120N3F</v>
      </c>
      <c r="B1961" s="4" t="str">
        <f>IFERROR(__xludf.DUMMYFUNCTION("""COMPUTED_VALUE"""),"Señal MOPU informativa 25x120 Nivel 3 Flechada")</f>
        <v>Señal MOPU informativa 25x120 Nivel 3 Flechada</v>
      </c>
      <c r="C1961" s="4">
        <f>IFERROR(__xludf.DUMMYFUNCTION("""COMPUTED_VALUE"""),105.792)</f>
        <v>105.792</v>
      </c>
    </row>
    <row r="1962">
      <c r="A1962" s="4" t="str">
        <f>IFERROR(__xludf.DUMMYFUNCTION("""COMPUTED_VALUE"""),"9625120NF")</f>
        <v>9625120NF</v>
      </c>
      <c r="B1962" s="4" t="str">
        <f>IFERROR(__xludf.DUMMYFUNCTION("""COMPUTED_VALUE"""),"Señal MOPU informativa 25x120 Normal Flechada")</f>
        <v>Señal MOPU informativa 25x120 Normal Flechada</v>
      </c>
      <c r="C1962" s="4">
        <f>IFERROR(__xludf.DUMMYFUNCTION("""COMPUTED_VALUE"""),59.856)</f>
        <v>59.856</v>
      </c>
    </row>
    <row r="1963">
      <c r="A1963" s="4" t="str">
        <f>IFERROR(__xludf.DUMMYFUNCTION("""COMPUTED_VALUE"""),"962570N")</f>
        <v>962570N</v>
      </c>
      <c r="B1963" s="4" t="str">
        <f>IFERROR(__xludf.DUMMYFUNCTION("""COMPUTED_VALUE"""),"Señal MOPU informativa 25x70 cm Normal")</f>
        <v>Señal MOPU informativa 25x70 cm Normal</v>
      </c>
      <c r="C1963" s="4">
        <f>IFERROR(__xludf.DUMMYFUNCTION("""COMPUTED_VALUE"""),35.519999999999996)</f>
        <v>35.52</v>
      </c>
    </row>
    <row r="1964">
      <c r="A1964" s="4" t="str">
        <f>IFERROR(__xludf.DUMMYFUNCTION("""COMPUTED_VALUE"""),"962570N1")</f>
        <v>962570N1</v>
      </c>
      <c r="B1964" s="4" t="str">
        <f>IFERROR(__xludf.DUMMYFUNCTION("""COMPUTED_VALUE"""),"Señal MOPU informativa 25x70 cm Reflex I")</f>
        <v>Señal MOPU informativa 25x70 cm Reflex I</v>
      </c>
      <c r="C1964" s="4">
        <f>IFERROR(__xludf.DUMMYFUNCTION("""COMPUTED_VALUE"""),40.272)</f>
        <v>40.272</v>
      </c>
    </row>
    <row r="1965">
      <c r="A1965" s="4" t="str">
        <f>IFERROR(__xludf.DUMMYFUNCTION("""COMPUTED_VALUE"""),"962570N1F")</f>
        <v>962570N1F</v>
      </c>
      <c r="B1965" s="4" t="str">
        <f>IFERROR(__xludf.DUMMYFUNCTION("""COMPUTED_VALUE"""),"Señal MOPU informativa 25x70 cm Nivel 1 Flechada")</f>
        <v>Señal MOPU informativa 25x70 cm Nivel 1 Flechada</v>
      </c>
      <c r="C1965" s="4">
        <f>IFERROR(__xludf.DUMMYFUNCTION("""COMPUTED_VALUE"""),40.272)</f>
        <v>40.272</v>
      </c>
    </row>
    <row r="1966">
      <c r="A1966" s="4" t="str">
        <f>IFERROR(__xludf.DUMMYFUNCTION("""COMPUTED_VALUE"""),"962570N2")</f>
        <v>962570N2</v>
      </c>
      <c r="B1966" s="4" t="str">
        <f>IFERROR(__xludf.DUMMYFUNCTION("""COMPUTED_VALUE"""),"Señal MOPU informativa 25x70 cm Reflex II")</f>
        <v>Señal MOPU informativa 25x70 cm Reflex II</v>
      </c>
      <c r="C1966" s="4">
        <f>IFERROR(__xludf.DUMMYFUNCTION("""COMPUTED_VALUE"""),45.8208)</f>
        <v>45.8208</v>
      </c>
    </row>
    <row r="1967">
      <c r="A1967" s="4" t="str">
        <f>IFERROR(__xludf.DUMMYFUNCTION("""COMPUTED_VALUE"""),"962570N2F")</f>
        <v>962570N2F</v>
      </c>
      <c r="B1967" s="4" t="str">
        <f>IFERROR(__xludf.DUMMYFUNCTION("""COMPUTED_VALUE"""),"Señal MOPU informativa 25x70 cm Nivel 2 Flechada")</f>
        <v>Señal MOPU informativa 25x70 cm Nivel 2 Flechada</v>
      </c>
      <c r="C1967" s="4">
        <f>IFERROR(__xludf.DUMMYFUNCTION("""COMPUTED_VALUE"""),45.8208)</f>
        <v>45.8208</v>
      </c>
    </row>
    <row r="1968">
      <c r="A1968" s="4" t="str">
        <f>IFERROR(__xludf.DUMMYFUNCTION("""COMPUTED_VALUE"""),"962570N3")</f>
        <v>962570N3</v>
      </c>
      <c r="B1968" s="4" t="str">
        <f>IFERROR(__xludf.DUMMYFUNCTION("""COMPUTED_VALUE"""),"Señal MOPU informativa 25x70 cm Reflex III")</f>
        <v>Señal MOPU informativa 25x70 cm Reflex III</v>
      </c>
      <c r="C1968" s="4">
        <f>IFERROR(__xludf.DUMMYFUNCTION("""COMPUTED_VALUE"""),51.36)</f>
        <v>51.36</v>
      </c>
    </row>
    <row r="1969">
      <c r="A1969" s="4" t="str">
        <f>IFERROR(__xludf.DUMMYFUNCTION("""COMPUTED_VALUE"""),"962570N3F")</f>
        <v>962570N3F</v>
      </c>
      <c r="B1969" s="4" t="str">
        <f>IFERROR(__xludf.DUMMYFUNCTION("""COMPUTED_VALUE"""),"Señal MOPU informativa 25x70 cm Nivel 3 Flechada")</f>
        <v>Señal MOPU informativa 25x70 cm Nivel 3 Flechada</v>
      </c>
      <c r="C1969" s="4">
        <f>IFERROR(__xludf.DUMMYFUNCTION("""COMPUTED_VALUE"""),51.839999999999996)</f>
        <v>51.84</v>
      </c>
    </row>
    <row r="1970">
      <c r="A1970" s="4" t="str">
        <f>IFERROR(__xludf.DUMMYFUNCTION("""COMPUTED_VALUE"""),"962570NF")</f>
        <v>962570NF</v>
      </c>
      <c r="B1970" s="4" t="str">
        <f>IFERROR(__xludf.DUMMYFUNCTION("""COMPUTED_VALUE"""),"Señal MOPU informativa 25x70 cm Normal flechada")</f>
        <v>Señal MOPU informativa 25x70 cm Normal flechada</v>
      </c>
      <c r="C1970" s="4">
        <f>IFERROR(__xludf.DUMMYFUNCTION("""COMPUTED_VALUE"""),37.7568)</f>
        <v>37.7568</v>
      </c>
    </row>
    <row r="1971">
      <c r="A1971" s="4" t="str">
        <f>IFERROR(__xludf.DUMMYFUNCTION("""COMPUTED_VALUE"""),"962595N")</f>
        <v>962595N</v>
      </c>
      <c r="B1971" s="4" t="str">
        <f>IFERROR(__xludf.DUMMYFUNCTION("""COMPUTED_VALUE"""),"Señal MOPU informativa 25x95 cm Normal")</f>
        <v>Señal MOPU informativa 25x95 cm Normal</v>
      </c>
      <c r="C1971" s="4">
        <f>IFERROR(__xludf.DUMMYFUNCTION("""COMPUTED_VALUE"""),38.7648)</f>
        <v>38.7648</v>
      </c>
    </row>
    <row r="1972">
      <c r="A1972" s="4" t="str">
        <f>IFERROR(__xludf.DUMMYFUNCTION("""COMPUTED_VALUE"""),"962595N1")</f>
        <v>962595N1</v>
      </c>
      <c r="B1972" s="4" t="str">
        <f>IFERROR(__xludf.DUMMYFUNCTION("""COMPUTED_VALUE"""),"Señal MOPU informativa 25x95 cm Reflex I")</f>
        <v>Señal MOPU informativa 25x95 cm Reflex I</v>
      </c>
      <c r="C1972" s="4">
        <f>IFERROR(__xludf.DUMMYFUNCTION("""COMPUTED_VALUE"""),44.284800000000004)</f>
        <v>44.2848</v>
      </c>
    </row>
    <row r="1973">
      <c r="A1973" s="4" t="str">
        <f>IFERROR(__xludf.DUMMYFUNCTION("""COMPUTED_VALUE"""),"962595N3")</f>
        <v>962595N3</v>
      </c>
      <c r="B1973" s="4" t="str">
        <f>IFERROR(__xludf.DUMMYFUNCTION("""COMPUTED_VALUE"""),"Señal MOPU informativa 25x95 cm Reflex III")</f>
        <v>Señal MOPU informativa 25x95 cm Reflex III</v>
      </c>
      <c r="C1973" s="4">
        <f>IFERROR(__xludf.DUMMYFUNCTION("""COMPUTED_VALUE"""),60.336)</f>
        <v>60.336</v>
      </c>
    </row>
    <row r="1974">
      <c r="A1974" s="4" t="str">
        <f>IFERROR(__xludf.DUMMYFUNCTION("""COMPUTED_VALUE"""),"9630120N")</f>
        <v>9630120N</v>
      </c>
      <c r="B1974" s="4" t="str">
        <f>IFERROR(__xludf.DUMMYFUNCTION("""COMPUTED_VALUE"""),"Señal MOPU informativa 30x120 cm Normal")</f>
        <v>Señal MOPU informativa 30x120 cm Normal</v>
      </c>
      <c r="C1974" s="4">
        <f>IFERROR(__xludf.DUMMYFUNCTION("""COMPUTED_VALUE"""),51.36)</f>
        <v>51.36</v>
      </c>
    </row>
    <row r="1975">
      <c r="A1975" s="4" t="str">
        <f>IFERROR(__xludf.DUMMYFUNCTION("""COMPUTED_VALUE"""),"9630120N1")</f>
        <v>9630120N1</v>
      </c>
      <c r="B1975" s="4" t="str">
        <f>IFERROR(__xludf.DUMMYFUNCTION("""COMPUTED_VALUE"""),"Señal MOPU informativa 30x120 cm Reflex I")</f>
        <v>Señal MOPU informativa 30x120 cm Reflex I</v>
      </c>
      <c r="C1975" s="4">
        <f>IFERROR(__xludf.DUMMYFUNCTION("""COMPUTED_VALUE"""),65.184)</f>
        <v>65.184</v>
      </c>
    </row>
    <row r="1976">
      <c r="A1976" s="4" t="str">
        <f>IFERROR(__xludf.DUMMYFUNCTION("""COMPUTED_VALUE"""),"9630145N")</f>
        <v>9630145N</v>
      </c>
      <c r="B1976" s="4" t="str">
        <f>IFERROR(__xludf.DUMMYFUNCTION("""COMPUTED_VALUE"""),"Señal MOPU informativa 30x145 cm Normal")</f>
        <v>Señal MOPU informativa 30x145 cm Normal</v>
      </c>
      <c r="C1976" s="4">
        <f>IFERROR(__xludf.DUMMYFUNCTION("""COMPUTED_VALUE"""),81.648)</f>
        <v>81.648</v>
      </c>
    </row>
    <row r="1977">
      <c r="A1977" s="4" t="str">
        <f>IFERROR(__xludf.DUMMYFUNCTION("""COMPUTED_VALUE"""),"9630145N1")</f>
        <v>9630145N1</v>
      </c>
      <c r="B1977" s="4" t="str">
        <f>IFERROR(__xludf.DUMMYFUNCTION("""COMPUTED_VALUE"""),"Señal MOPU informativa 30x145 cm Reflex I")</f>
        <v>Señal MOPU informativa 30x145 cm Reflex I</v>
      </c>
      <c r="C1977" s="4">
        <f>IFERROR(__xludf.DUMMYFUNCTION("""COMPUTED_VALUE"""),77.28)</f>
        <v>77.28</v>
      </c>
    </row>
    <row r="1978">
      <c r="A1978" s="4" t="str">
        <f>IFERROR(__xludf.DUMMYFUNCTION("""COMPUTED_VALUE"""),"9630145N1F")</f>
        <v>9630145N1F</v>
      </c>
      <c r="B1978" s="4" t="str">
        <f>IFERROR(__xludf.DUMMYFUNCTION("""COMPUTED_VALUE"""),"Señal informativa 30x145 cm Nivel 1 Flechada")</f>
        <v>Señal informativa 30x145 cm Nivel 1 Flechada</v>
      </c>
      <c r="C1978" s="4">
        <f>IFERROR(__xludf.DUMMYFUNCTION("""COMPUTED_VALUE"""),81.072)</f>
        <v>81.072</v>
      </c>
    </row>
    <row r="1979">
      <c r="A1979" s="4" t="str">
        <f>IFERROR(__xludf.DUMMYFUNCTION("""COMPUTED_VALUE"""),"9630145N2")</f>
        <v>9630145N2</v>
      </c>
      <c r="B1979" s="4" t="str">
        <f>IFERROR(__xludf.DUMMYFUNCTION("""COMPUTED_VALUE"""),"Señal MOPU informativa 30x145 cm Reflex II")</f>
        <v>Señal MOPU informativa 30x145 cm Reflex II</v>
      </c>
      <c r="C1979" s="4">
        <f>IFERROR(__xludf.DUMMYFUNCTION("""COMPUTED_VALUE"""),98.39999999999999)</f>
        <v>98.4</v>
      </c>
    </row>
    <row r="1980">
      <c r="A1980" s="4" t="str">
        <f>IFERROR(__xludf.DUMMYFUNCTION("""COMPUTED_VALUE"""),"9630145N2F")</f>
        <v>9630145N2F</v>
      </c>
      <c r="B1980" s="4" t="str">
        <f>IFERROR(__xludf.DUMMYFUNCTION("""COMPUTED_VALUE"""),"Señal informativa 30x145 cm Nivel 2 Flechada")</f>
        <v>Señal informativa 30x145 cm Nivel 2 Flechada</v>
      </c>
      <c r="C1980" s="4">
        <f>IFERROR(__xludf.DUMMYFUNCTION("""COMPUTED_VALUE"""),98.23679999999999)</f>
        <v>98.2368</v>
      </c>
    </row>
    <row r="1981">
      <c r="A1981" s="4" t="str">
        <f>IFERROR(__xludf.DUMMYFUNCTION("""COMPUTED_VALUE"""),"9630145N3")</f>
        <v>9630145N3</v>
      </c>
      <c r="B1981" s="4" t="str">
        <f>IFERROR(__xludf.DUMMYFUNCTION("""COMPUTED_VALUE"""),"Señal MOPu informativa 30x145 cm Reflex III")</f>
        <v>Señal MOPu informativa 30x145 cm Reflex III</v>
      </c>
      <c r="C1981" s="4">
        <f>IFERROR(__xludf.DUMMYFUNCTION("""COMPUTED_VALUE"""),101.75999999999999)</f>
        <v>101.76</v>
      </c>
    </row>
    <row r="1982">
      <c r="A1982" s="4" t="str">
        <f>IFERROR(__xludf.DUMMYFUNCTION("""COMPUTED_VALUE"""),"9630145N3F")</f>
        <v>9630145N3F</v>
      </c>
      <c r="B1982" s="4" t="str">
        <f>IFERROR(__xludf.DUMMYFUNCTION("""COMPUTED_VALUE"""),"Señal informativa 30x145 cm Nivel 3 Flechada")</f>
        <v>Señal informativa 30x145 cm Nivel 3 Flechada</v>
      </c>
      <c r="C1982" s="4">
        <f>IFERROR(__xludf.DUMMYFUNCTION("""COMPUTED_VALUE"""),112.8)</f>
        <v>112.8</v>
      </c>
    </row>
    <row r="1983">
      <c r="A1983" s="4" t="str">
        <f>IFERROR(__xludf.DUMMYFUNCTION("""COMPUTED_VALUE"""),"9630145NF")</f>
        <v>9630145NF</v>
      </c>
      <c r="B1983" s="4" t="str">
        <f>IFERROR(__xludf.DUMMYFUNCTION("""COMPUTED_VALUE"""),"Señal informativa 30x145 cm Normal Flechada")</f>
        <v>Señal informativa 30x145 cm Normal Flechada</v>
      </c>
      <c r="C1983" s="4">
        <f>IFERROR(__xludf.DUMMYFUNCTION("""COMPUTED_VALUE"""),66.384)</f>
        <v>66.384</v>
      </c>
    </row>
    <row r="1984">
      <c r="A1984" s="4" t="str">
        <f>IFERROR(__xludf.DUMMYFUNCTION("""COMPUTED_VALUE"""),"963095N")</f>
        <v>963095N</v>
      </c>
      <c r="B1984" s="4" t="str">
        <f>IFERROR(__xludf.DUMMYFUNCTION("""COMPUTED_VALUE"""),"Señal MOPU informativa 30x95 cm Normal")</f>
        <v>Señal MOPU informativa 30x95 cm Normal</v>
      </c>
      <c r="C1984" s="4">
        <f>IFERROR(__xludf.DUMMYFUNCTION("""COMPUTED_VALUE"""),45.983999999999995)</f>
        <v>45.984</v>
      </c>
    </row>
    <row r="1985">
      <c r="A1985" s="4" t="str">
        <f>IFERROR(__xludf.DUMMYFUNCTION("""COMPUTED_VALUE"""),"963095N1")</f>
        <v>963095N1</v>
      </c>
      <c r="B1985" s="4" t="str">
        <f>IFERROR(__xludf.DUMMYFUNCTION("""COMPUTED_VALUE"""),"Señal MOPU informativa 30x95 cm Reflex I")</f>
        <v>Señal MOPU informativa 30x95 cm Reflex I</v>
      </c>
      <c r="C1985" s="4">
        <f>IFERROR(__xludf.DUMMYFUNCTION("""COMPUTED_VALUE"""),50.784)</f>
        <v>50.784</v>
      </c>
    </row>
    <row r="1986">
      <c r="A1986" s="4" t="str">
        <f>IFERROR(__xludf.DUMMYFUNCTION("""COMPUTED_VALUE"""),"963095N1F")</f>
        <v>963095N1F</v>
      </c>
      <c r="B1986" s="4" t="str">
        <f>IFERROR(__xludf.DUMMYFUNCTION("""COMPUTED_VALUE"""),"Señal MOPU informativa 30x95 Nivel 1 Flechada")</f>
        <v>Señal MOPU informativa 30x95 Nivel 1 Flechada</v>
      </c>
      <c r="C1986" s="4">
        <f>IFERROR(__xludf.DUMMYFUNCTION("""COMPUTED_VALUE"""),50.8032)</f>
        <v>50.8032</v>
      </c>
    </row>
    <row r="1987">
      <c r="A1987" s="4" t="str">
        <f>IFERROR(__xludf.DUMMYFUNCTION("""COMPUTED_VALUE"""),"963095N2")</f>
        <v>963095N2</v>
      </c>
      <c r="B1987" s="4" t="str">
        <f>IFERROR(__xludf.DUMMYFUNCTION("""COMPUTED_VALUE"""),"Señal MOPU informativa 30x95 cm Reflex II")</f>
        <v>Señal MOPU informativa 30x95 cm Reflex II</v>
      </c>
      <c r="C1987" s="4">
        <f>IFERROR(__xludf.DUMMYFUNCTION("""COMPUTED_VALUE"""),56.952)</f>
        <v>56.952</v>
      </c>
    </row>
    <row r="1988">
      <c r="A1988" s="4" t="str">
        <f>IFERROR(__xludf.DUMMYFUNCTION("""COMPUTED_VALUE"""),"963095N2F")</f>
        <v>963095N2F</v>
      </c>
      <c r="B1988" s="4" t="str">
        <f>IFERROR(__xludf.DUMMYFUNCTION("""COMPUTED_VALUE"""),"Señal MOPU informativa 30x95 Nivel 2 Flechada")</f>
        <v>Señal MOPU informativa 30x95 Nivel 2 Flechada</v>
      </c>
      <c r="C1988" s="4">
        <f>IFERROR(__xludf.DUMMYFUNCTION("""COMPUTED_VALUE"""),58.876799999999996)</f>
        <v>58.8768</v>
      </c>
    </row>
    <row r="1989">
      <c r="A1989" s="4" t="str">
        <f>IFERROR(__xludf.DUMMYFUNCTION("""COMPUTED_VALUE"""),"963095N3")</f>
        <v>963095N3</v>
      </c>
      <c r="B1989" s="4" t="str">
        <f>IFERROR(__xludf.DUMMYFUNCTION("""COMPUTED_VALUE"""),"Señal MOPU informativa 30x95 cm Reflex III")</f>
        <v>Señal MOPU informativa 30x95 cm Reflex III</v>
      </c>
      <c r="C1989" s="4">
        <f>IFERROR(__xludf.DUMMYFUNCTION("""COMPUTED_VALUE"""),61.44)</f>
        <v>61.44</v>
      </c>
    </row>
    <row r="1990">
      <c r="A1990" s="4" t="str">
        <f>IFERROR(__xludf.DUMMYFUNCTION("""COMPUTED_VALUE"""),"963095N3F")</f>
        <v>963095N3F</v>
      </c>
      <c r="B1990" s="4" t="str">
        <f>IFERROR(__xludf.DUMMYFUNCTION("""COMPUTED_VALUE"""),"Señal MOPU informativa 30x95 Nivel 3 Flechada")</f>
        <v>Señal MOPU informativa 30x95 Nivel 3 Flechada</v>
      </c>
      <c r="C1990" s="4">
        <f>IFERROR(__xludf.DUMMYFUNCTION("""COMPUTED_VALUE"""),64.464)</f>
        <v>64.464</v>
      </c>
    </row>
    <row r="1991">
      <c r="A1991" s="4" t="str">
        <f>IFERROR(__xludf.DUMMYFUNCTION("""COMPUTED_VALUE"""),"963095NF")</f>
        <v>963095NF</v>
      </c>
      <c r="B1991" s="4" t="str">
        <f>IFERROR(__xludf.DUMMYFUNCTION("""COMPUTED_VALUE"""),"Señal MOPU informativa 30x95 Normal Flechada")</f>
        <v>Señal MOPU informativa 30x95 Normal Flechada</v>
      </c>
      <c r="C1991" s="4">
        <f>IFERROR(__xludf.DUMMYFUNCTION("""COMPUTED_VALUE"""),45.263999999999996)</f>
        <v>45.264</v>
      </c>
    </row>
    <row r="1992">
      <c r="A1992" s="4" t="str">
        <f>IFERROR(__xludf.DUMMYFUNCTION("""COMPUTED_VALUE"""),"9640120N")</f>
        <v>9640120N</v>
      </c>
      <c r="B1992" s="4" t="str">
        <f>IFERROR(__xludf.DUMMYFUNCTION("""COMPUTED_VALUE"""),"Señal MOPU informativa 40x120 cm Normal")</f>
        <v>Señal MOPU informativa 40x120 cm Normal</v>
      </c>
      <c r="C1992" s="4">
        <f>IFERROR(__xludf.DUMMYFUNCTION("""COMPUTED_VALUE"""),76.032)</f>
        <v>76.032</v>
      </c>
    </row>
    <row r="1993">
      <c r="A1993" s="4" t="str">
        <f>IFERROR(__xludf.DUMMYFUNCTION("""COMPUTED_VALUE"""),"9640120N1")</f>
        <v>9640120N1</v>
      </c>
      <c r="B1993" s="4" t="str">
        <f>IFERROR(__xludf.DUMMYFUNCTION("""COMPUTED_VALUE"""),"Señal MOPU informativa 40x120 cm Reflex I")</f>
        <v>Señal MOPU informativa 40x120 cm Reflex I</v>
      </c>
      <c r="C1993" s="4">
        <f>IFERROR(__xludf.DUMMYFUNCTION("""COMPUTED_VALUE"""),70.08)</f>
        <v>70.08</v>
      </c>
    </row>
    <row r="1994">
      <c r="A1994" s="4" t="str">
        <f>IFERROR(__xludf.DUMMYFUNCTION("""COMPUTED_VALUE"""),"9640120N1F")</f>
        <v>9640120N1F</v>
      </c>
      <c r="B1994" s="4" t="str">
        <f>IFERROR(__xludf.DUMMYFUNCTION("""COMPUTED_VALUE"""),"Señal MOPU informativa 40x120 cm Nivel 1 flechada")</f>
        <v>Señal MOPU informativa 40x120 cm Nivel 1 flechada</v>
      </c>
      <c r="C1994" s="4">
        <f>IFERROR(__xludf.DUMMYFUNCTION("""COMPUTED_VALUE"""),75.552)</f>
        <v>75.552</v>
      </c>
    </row>
    <row r="1995">
      <c r="A1995" s="4" t="str">
        <f>IFERROR(__xludf.DUMMYFUNCTION("""COMPUTED_VALUE"""),"9640120N2")</f>
        <v>9640120N2</v>
      </c>
      <c r="B1995" s="4" t="str">
        <f>IFERROR(__xludf.DUMMYFUNCTION("""COMPUTED_VALUE"""),"Señal MOPU informativa 40x120 cm Reflex II")</f>
        <v>Señal MOPU informativa 40x120 cm Reflex II</v>
      </c>
      <c r="C1995" s="4">
        <f>IFERROR(__xludf.DUMMYFUNCTION("""COMPUTED_VALUE"""),84.0)</f>
        <v>84</v>
      </c>
    </row>
    <row r="1996">
      <c r="A1996" s="4" t="str">
        <f>IFERROR(__xludf.DUMMYFUNCTION("""COMPUTED_VALUE"""),"9640120N2F")</f>
        <v>9640120N2F</v>
      </c>
      <c r="B1996" s="4" t="str">
        <f>IFERROR(__xludf.DUMMYFUNCTION("""COMPUTED_VALUE"""),"Señal MOPU informativa 40x120 cm Nivel 2 flechada")</f>
        <v>Señal MOPU informativa 40x120 cm Nivel 2 flechada</v>
      </c>
      <c r="C1996" s="4">
        <f>IFERROR(__xludf.DUMMYFUNCTION("""COMPUTED_VALUE"""),87.6288)</f>
        <v>87.6288</v>
      </c>
    </row>
    <row r="1997">
      <c r="A1997" s="4" t="str">
        <f>IFERROR(__xludf.DUMMYFUNCTION("""COMPUTED_VALUE"""),"9640120N3")</f>
        <v>9640120N3</v>
      </c>
      <c r="B1997" s="4" t="str">
        <f>IFERROR(__xludf.DUMMYFUNCTION("""COMPUTED_VALUE"""),"Señal MOPU inforrmativa 40x120 cm Reflex III")</f>
        <v>Señal MOPU inforrmativa 40x120 cm Reflex III</v>
      </c>
      <c r="C1997" s="4">
        <f>IFERROR(__xludf.DUMMYFUNCTION("""COMPUTED_VALUE"""),116.16)</f>
        <v>116.16</v>
      </c>
    </row>
    <row r="1998">
      <c r="A1998" s="4" t="str">
        <f>IFERROR(__xludf.DUMMYFUNCTION("""COMPUTED_VALUE"""),"9640120N3F")</f>
        <v>9640120N3F</v>
      </c>
      <c r="B1998" s="4" t="str">
        <f>IFERROR(__xludf.DUMMYFUNCTION("""COMPUTED_VALUE"""),"Señal MOPU informativa 40x120 cm Nivel 3 flechada")</f>
        <v>Señal MOPU informativa 40x120 cm Nivel 3 flechada</v>
      </c>
      <c r="C1998" s="4">
        <f>IFERROR(__xludf.DUMMYFUNCTION("""COMPUTED_VALUE"""),128.928)</f>
        <v>128.928</v>
      </c>
    </row>
    <row r="1999">
      <c r="A1999" s="4" t="str">
        <f>IFERROR(__xludf.DUMMYFUNCTION("""COMPUTED_VALUE"""),"9640120NF")</f>
        <v>9640120NF</v>
      </c>
      <c r="B1999" s="4" t="str">
        <f>IFERROR(__xludf.DUMMYFUNCTION("""COMPUTED_VALUE"""),"Señal MOPU informativa 40x120 cm Normal Flechada")</f>
        <v>Señal MOPU informativa 40x120 cm Normal Flechada</v>
      </c>
      <c r="C1999" s="4">
        <f>IFERROR(__xludf.DUMMYFUNCTION("""COMPUTED_VALUE"""),66.432)</f>
        <v>66.432</v>
      </c>
    </row>
    <row r="2000">
      <c r="A2000" s="4" t="str">
        <f>IFERROR(__xludf.DUMMYFUNCTION("""COMPUTED_VALUE"""),"9640170N1")</f>
        <v>9640170N1</v>
      </c>
      <c r="B2000" s="4" t="str">
        <f>IFERROR(__xludf.DUMMYFUNCTION("""COMPUTED_VALUE"""),"Señal MOPU complementaria 40x170 Nivel 1")</f>
        <v>Señal MOPU complementaria 40x170 Nivel 1</v>
      </c>
      <c r="C2000" s="4">
        <f>IFERROR(__xludf.DUMMYFUNCTION("""COMPUTED_VALUE"""),103.2)</f>
        <v>103.2</v>
      </c>
    </row>
    <row r="2001">
      <c r="A2001" s="4" t="str">
        <f>IFERROR(__xludf.DUMMYFUNCTION("""COMPUTED_VALUE"""),"9640195N")</f>
        <v>9640195N</v>
      </c>
      <c r="B2001" s="4" t="str">
        <f>IFERROR(__xludf.DUMMYFUNCTION("""COMPUTED_VALUE"""),"Señal MOPU informativa 40x195 cm Normal")</f>
        <v>Señal MOPU informativa 40x195 cm Normal</v>
      </c>
      <c r="C2001" s="4">
        <f>IFERROR(__xludf.DUMMYFUNCTION("""COMPUTED_VALUE"""),109.632)</f>
        <v>109.632</v>
      </c>
    </row>
    <row r="2002">
      <c r="A2002" s="4" t="str">
        <f>IFERROR(__xludf.DUMMYFUNCTION("""COMPUTED_VALUE"""),"9640195N1")</f>
        <v>9640195N1</v>
      </c>
      <c r="B2002" s="4" t="str">
        <f>IFERROR(__xludf.DUMMYFUNCTION("""COMPUTED_VALUE"""),"Señal MOPU informativa 40x195 cm Nivel 1")</f>
        <v>Señal MOPU informativa 40x195 cm Nivel 1</v>
      </c>
      <c r="C2002" s="4">
        <f>IFERROR(__xludf.DUMMYFUNCTION("""COMPUTED_VALUE"""),117.984)</f>
        <v>117.984</v>
      </c>
    </row>
    <row r="2003">
      <c r="A2003" s="4" t="str">
        <f>IFERROR(__xludf.DUMMYFUNCTION("""COMPUTED_VALUE"""),"9640195N1F")</f>
        <v>9640195N1F</v>
      </c>
      <c r="B2003" s="4" t="str">
        <f>IFERROR(__xludf.DUMMYFUNCTION("""COMPUTED_VALUE"""),"Señal MOPU informativa 40x195 cm Nivel 1 Flechada")</f>
        <v>Señal MOPU informativa 40x195 cm Nivel 1 Flechada</v>
      </c>
      <c r="C2003" s="4">
        <f>IFERROR(__xludf.DUMMYFUNCTION("""COMPUTED_VALUE"""),117.984)</f>
        <v>117.984</v>
      </c>
    </row>
    <row r="2004">
      <c r="A2004" s="4" t="str">
        <f>IFERROR(__xludf.DUMMYFUNCTION("""COMPUTED_VALUE"""),"9640195N2")</f>
        <v>9640195N2</v>
      </c>
      <c r="B2004" s="4" t="str">
        <f>IFERROR(__xludf.DUMMYFUNCTION("""COMPUTED_VALUE"""),"Señal MOPU informativa 40x195 cm Nivel 2")</f>
        <v>Señal MOPU informativa 40x195 cm Nivel 2</v>
      </c>
      <c r="C2004" s="4">
        <f>IFERROR(__xludf.DUMMYFUNCTION("""COMPUTED_VALUE"""),143.28)</f>
        <v>143.28</v>
      </c>
    </row>
    <row r="2005">
      <c r="A2005" s="4" t="str">
        <f>IFERROR(__xludf.DUMMYFUNCTION("""COMPUTED_VALUE"""),"9640195N2F")</f>
        <v>9640195N2F</v>
      </c>
      <c r="B2005" s="4" t="str">
        <f>IFERROR(__xludf.DUMMYFUNCTION("""COMPUTED_VALUE"""),"Señal MOPU informativa 40x195 cm Nivel 2 flechada")</f>
        <v>Señal MOPU informativa 40x195 cm Nivel 2 flechada</v>
      </c>
      <c r="C2005" s="4">
        <f>IFERROR(__xludf.DUMMYFUNCTION("""COMPUTED_VALUE"""),143.28)</f>
        <v>143.28</v>
      </c>
    </row>
    <row r="2006">
      <c r="A2006" s="4" t="str">
        <f>IFERROR(__xludf.DUMMYFUNCTION("""COMPUTED_VALUE"""),"9640195N3")</f>
        <v>9640195N3</v>
      </c>
      <c r="B2006" s="4" t="str">
        <f>IFERROR(__xludf.DUMMYFUNCTION("""COMPUTED_VALUE"""),"Señal MOPU informativa 40x195 cm Nivel 3")</f>
        <v>Señal MOPU informativa 40x195 cm Nivel 3</v>
      </c>
      <c r="C2006" s="4">
        <f>IFERROR(__xludf.DUMMYFUNCTION("""COMPUTED_VALUE"""),150.96)</f>
        <v>150.96</v>
      </c>
    </row>
    <row r="2007">
      <c r="A2007" s="4" t="str">
        <f>IFERROR(__xludf.DUMMYFUNCTION("""COMPUTED_VALUE"""),"9640195N3F")</f>
        <v>9640195N3F</v>
      </c>
      <c r="B2007" s="4" t="str">
        <f>IFERROR(__xludf.DUMMYFUNCTION("""COMPUTED_VALUE"""),"Señal MOPU informativa 40x195 cm Nivel 3 Flechada")</f>
        <v>Señal MOPU informativa 40x195 cm Nivel 3 Flechada</v>
      </c>
      <c r="C2007" s="4">
        <f>IFERROR(__xludf.DUMMYFUNCTION("""COMPUTED_VALUE"""),150.96)</f>
        <v>150.96</v>
      </c>
    </row>
    <row r="2008">
      <c r="A2008" s="4" t="str">
        <f>IFERROR(__xludf.DUMMYFUNCTION("""COMPUTED_VALUE"""),"9640195NF")</f>
        <v>9640195NF</v>
      </c>
      <c r="B2008" s="4" t="str">
        <f>IFERROR(__xludf.DUMMYFUNCTION("""COMPUTED_VALUE"""),"Señal MOPU informativa 40x195 cm Normal Flechada")</f>
        <v>Señal MOPU informativa 40x195 cm Normal Flechada</v>
      </c>
      <c r="C2008" s="4">
        <f>IFERROR(__xludf.DUMMYFUNCTION("""COMPUTED_VALUE"""),109.632)</f>
        <v>109.632</v>
      </c>
    </row>
    <row r="2009">
      <c r="A2009" s="4" t="str">
        <f>IFERROR(__xludf.DUMMYFUNCTION("""COMPUTED_VALUE"""),"964595N")</f>
        <v>964595N</v>
      </c>
      <c r="B2009" s="4" t="str">
        <f>IFERROR(__xludf.DUMMYFUNCTION("""COMPUTED_VALUE"""),"Señal MOPU informativa 45x95 cm Normal")</f>
        <v>Señal MOPU informativa 45x95 cm Normal</v>
      </c>
      <c r="C2009" s="4">
        <f>IFERROR(__xludf.DUMMYFUNCTION("""COMPUTED_VALUE"""),62.61599999999999)</f>
        <v>62.616</v>
      </c>
    </row>
    <row r="2010">
      <c r="A2010" s="4" t="str">
        <f>IFERROR(__xludf.DUMMYFUNCTION("""COMPUTED_VALUE"""),"964595N1")</f>
        <v>964595N1</v>
      </c>
      <c r="B2010" s="4" t="str">
        <f>IFERROR(__xludf.DUMMYFUNCTION("""COMPUTED_VALUE"""),"Señal MOPU informativa 45x95 cm Nivel 1")</f>
        <v>Señal MOPU informativa 45x95 cm Nivel 1</v>
      </c>
      <c r="C2010" s="4">
        <f>IFERROR(__xludf.DUMMYFUNCTION("""COMPUTED_VALUE"""),71.28)</f>
        <v>71.28</v>
      </c>
    </row>
    <row r="2011">
      <c r="A2011" s="4" t="str">
        <f>IFERROR(__xludf.DUMMYFUNCTION("""COMPUTED_VALUE"""),"964595N1F")</f>
        <v>964595N1F</v>
      </c>
      <c r="B2011" s="4" t="str">
        <f>IFERROR(__xludf.DUMMYFUNCTION("""COMPUTED_VALUE"""),"Señal MOPU informativa 45x95 cm Nivel 1 Flechada")</f>
        <v>Señal MOPU informativa 45x95 cm Nivel 1 Flechada</v>
      </c>
      <c r="C2011" s="4">
        <f>IFERROR(__xludf.DUMMYFUNCTION("""COMPUTED_VALUE"""),71.28)</f>
        <v>71.28</v>
      </c>
    </row>
    <row r="2012">
      <c r="A2012" s="4" t="str">
        <f>IFERROR(__xludf.DUMMYFUNCTION("""COMPUTED_VALUE"""),"964595N2")</f>
        <v>964595N2</v>
      </c>
      <c r="B2012" s="4" t="str">
        <f>IFERROR(__xludf.DUMMYFUNCTION("""COMPUTED_VALUE"""),"Señal MOPU informativa 45x95 cm Nivel 2")</f>
        <v>Señal MOPU informativa 45x95 cm Nivel 2</v>
      </c>
      <c r="C2012" s="4">
        <f>IFERROR(__xludf.DUMMYFUNCTION("""COMPUTED_VALUE"""),80.88)</f>
        <v>80.88</v>
      </c>
    </row>
    <row r="2013">
      <c r="A2013" s="4" t="str">
        <f>IFERROR(__xludf.DUMMYFUNCTION("""COMPUTED_VALUE"""),"964595N2F")</f>
        <v>964595N2F</v>
      </c>
      <c r="B2013" s="4" t="str">
        <f>IFERROR(__xludf.DUMMYFUNCTION("""COMPUTED_VALUE"""),"Señal MOPU informativa 45x95 cm Nivel 2 Flechada")</f>
        <v>Señal MOPU informativa 45x95 cm Nivel 2 Flechada</v>
      </c>
      <c r="C2013" s="4">
        <f>IFERROR(__xludf.DUMMYFUNCTION("""COMPUTED_VALUE"""),80.88)</f>
        <v>80.88</v>
      </c>
    </row>
    <row r="2014">
      <c r="A2014" s="4" t="str">
        <f>IFERROR(__xludf.DUMMYFUNCTION("""COMPUTED_VALUE"""),"964595N3")</f>
        <v>964595N3</v>
      </c>
      <c r="B2014" s="4" t="str">
        <f>IFERROR(__xludf.DUMMYFUNCTION("""COMPUTED_VALUE"""),"Señal MOPU informativa 45x95 cm Nivel 3")</f>
        <v>Señal MOPU informativa 45x95 cm Nivel 3</v>
      </c>
      <c r="C2014" s="4">
        <f>IFERROR(__xludf.DUMMYFUNCTION("""COMPUTED_VALUE"""),95.28)</f>
        <v>95.28</v>
      </c>
    </row>
    <row r="2015">
      <c r="A2015" s="4" t="str">
        <f>IFERROR(__xludf.DUMMYFUNCTION("""COMPUTED_VALUE"""),"964595N3F")</f>
        <v>964595N3F</v>
      </c>
      <c r="B2015" s="4" t="str">
        <f>IFERROR(__xludf.DUMMYFUNCTION("""COMPUTED_VALUE"""),"Señal MOPU informativa 45x95 cm Nivel 2 Flechada")</f>
        <v>Señal MOPU informativa 45x95 cm Nivel 2 Flechada</v>
      </c>
      <c r="C2015" s="4">
        <f>IFERROR(__xludf.DUMMYFUNCTION("""COMPUTED_VALUE"""),95.28)</f>
        <v>95.28</v>
      </c>
    </row>
    <row r="2016">
      <c r="A2016" s="4" t="str">
        <f>IFERROR(__xludf.DUMMYFUNCTION("""COMPUTED_VALUE"""),"964595NF")</f>
        <v>964595NF</v>
      </c>
      <c r="B2016" s="4" t="str">
        <f>IFERROR(__xludf.DUMMYFUNCTION("""COMPUTED_VALUE"""),"Señal MOPU informativa 45x95 cm Normal Flechada")</f>
        <v>Señal MOPU informativa 45x95 cm Normal Flechada</v>
      </c>
      <c r="C2016" s="4">
        <f>IFERROR(__xludf.DUMMYFUNCTION("""COMPUTED_VALUE"""),62.61599999999999)</f>
        <v>62.616</v>
      </c>
    </row>
    <row r="2017">
      <c r="A2017" s="4" t="str">
        <f>IFERROR(__xludf.DUMMYFUNCTION("""COMPUTED_VALUE"""),"9655120N")</f>
        <v>9655120N</v>
      </c>
      <c r="B2017" s="4" t="str">
        <f>IFERROR(__xludf.DUMMYFUNCTION("""COMPUTED_VALUE"""),"Señal MOPU informativa 55x120 cm Normal")</f>
        <v>Señal MOPU informativa 55x120 cm Normal</v>
      </c>
      <c r="C2017" s="4">
        <f>IFERROR(__xludf.DUMMYFUNCTION("""COMPUTED_VALUE"""),68.16)</f>
        <v>68.16</v>
      </c>
    </row>
    <row r="2018">
      <c r="A2018" s="4" t="str">
        <f>IFERROR(__xludf.DUMMYFUNCTION("""COMPUTED_VALUE"""),"9655120N1")</f>
        <v>9655120N1</v>
      </c>
      <c r="B2018" s="4" t="str">
        <f>IFERROR(__xludf.DUMMYFUNCTION("""COMPUTED_VALUE"""),"Señal MOPU informativa 55x120 cm Reflex I")</f>
        <v>Señal MOPU informativa 55x120 cm Reflex I</v>
      </c>
      <c r="C2018" s="4">
        <f>IFERROR(__xludf.DUMMYFUNCTION("""COMPUTED_VALUE"""),80.64)</f>
        <v>80.64</v>
      </c>
    </row>
    <row r="2019">
      <c r="A2019" s="4" t="str">
        <f>IFERROR(__xludf.DUMMYFUNCTION("""COMPUTED_VALUE"""),"9655120N1F")</f>
        <v>9655120N1F</v>
      </c>
      <c r="B2019" s="4" t="str">
        <f>IFERROR(__xludf.DUMMYFUNCTION("""COMPUTED_VALUE"""),"Señal MOPU informativa 55x120 cm Nivel 1 Flechada")</f>
        <v>Señal MOPU informativa 55x120 cm Nivel 1 Flechada</v>
      </c>
      <c r="C2019" s="4">
        <f>IFERROR(__xludf.DUMMYFUNCTION("""COMPUTED_VALUE"""),88.2)</f>
        <v>88.2</v>
      </c>
    </row>
    <row r="2020">
      <c r="A2020" s="4" t="str">
        <f>IFERROR(__xludf.DUMMYFUNCTION("""COMPUTED_VALUE"""),"9655120N2")</f>
        <v>9655120N2</v>
      </c>
      <c r="B2020" s="4" t="str">
        <f>IFERROR(__xludf.DUMMYFUNCTION("""COMPUTED_VALUE"""),"Señal MOPU informativa 55x120 cm Reflex II")</f>
        <v>Señal MOPU informativa 55x120 cm Reflex II</v>
      </c>
      <c r="C2020" s="4">
        <f>IFERROR(__xludf.DUMMYFUNCTION("""COMPUTED_VALUE"""),107.52)</f>
        <v>107.52</v>
      </c>
    </row>
    <row r="2021">
      <c r="A2021" s="4" t="str">
        <f>IFERROR(__xludf.DUMMYFUNCTION("""COMPUTED_VALUE"""),"9655120N2F")</f>
        <v>9655120N2F</v>
      </c>
      <c r="B2021" s="4" t="str">
        <f>IFERROR(__xludf.DUMMYFUNCTION("""COMPUTED_VALUE"""),"Señal MOPU informativa 55x120 cm Nivel 2 Flechada")</f>
        <v>Señal MOPU informativa 55x120 cm Nivel 2 Flechada</v>
      </c>
      <c r="C2021" s="4">
        <f>IFERROR(__xludf.DUMMYFUNCTION("""COMPUTED_VALUE"""),117.93599999999999)</f>
        <v>117.936</v>
      </c>
    </row>
    <row r="2022">
      <c r="A2022" s="4" t="str">
        <f>IFERROR(__xludf.DUMMYFUNCTION("""COMPUTED_VALUE"""),"9655120N3")</f>
        <v>9655120N3</v>
      </c>
      <c r="B2022" s="4" t="str">
        <f>IFERROR(__xludf.DUMMYFUNCTION("""COMPUTED_VALUE"""),"Señal MOPU informativa 55x120 cm Reflex NIII")</f>
        <v>Señal MOPU informativa 55x120 cm Reflex NIII</v>
      </c>
      <c r="C2022" s="4">
        <f>IFERROR(__xludf.DUMMYFUNCTION("""COMPUTED_VALUE"""),153.12)</f>
        <v>153.12</v>
      </c>
    </row>
    <row r="2023">
      <c r="A2023" s="4" t="str">
        <f>IFERROR(__xludf.DUMMYFUNCTION("""COMPUTED_VALUE"""),"9655120N3F")</f>
        <v>9655120N3F</v>
      </c>
      <c r="B2023" s="4" t="str">
        <f>IFERROR(__xludf.DUMMYFUNCTION("""COMPUTED_VALUE"""),"Señal MOPU informativa 55x120 cm Nivel 3 flechada")</f>
        <v>Señal MOPU informativa 55x120 cm Nivel 3 flechada</v>
      </c>
      <c r="C2023" s="4">
        <f>IFERROR(__xludf.DUMMYFUNCTION("""COMPUTED_VALUE"""),169.344)</f>
        <v>169.344</v>
      </c>
    </row>
    <row r="2024">
      <c r="A2024" s="4" t="str">
        <f>IFERROR(__xludf.DUMMYFUNCTION("""COMPUTED_VALUE"""),"9655120NF")</f>
        <v>9655120NF</v>
      </c>
      <c r="B2024" s="4" t="str">
        <f>IFERROR(__xludf.DUMMYFUNCTION("""COMPUTED_VALUE"""),"Señal MOPU informativa 55x120 cm Normal Flechada")</f>
        <v>Señal MOPU informativa 55x120 cm Normal Flechada</v>
      </c>
      <c r="C2024" s="4">
        <f>IFERROR(__xludf.DUMMYFUNCTION("""COMPUTED_VALUE"""),94.752)</f>
        <v>94.752</v>
      </c>
    </row>
    <row r="2025">
      <c r="A2025" s="4" t="str">
        <f>IFERROR(__xludf.DUMMYFUNCTION("""COMPUTED_VALUE"""),"9655170N2")</f>
        <v>9655170N2</v>
      </c>
      <c r="B2025" s="4" t="str">
        <f>IFERROR(__xludf.DUMMYFUNCTION("""COMPUTED_VALUE"""),"Señal MOPU informativa 55x170 cm Reflex II")</f>
        <v>Señal MOPU informativa 55x170 cm Reflex II</v>
      </c>
      <c r="C2025" s="4">
        <f>IFERROR(__xludf.DUMMYFUNCTION("""COMPUTED_VALUE"""),294.84)</f>
        <v>294.84</v>
      </c>
    </row>
    <row r="2026">
      <c r="A2026" s="4" t="str">
        <f>IFERROR(__xludf.DUMMYFUNCTION("""COMPUTED_VALUE"""),"965595N")</f>
        <v>965595N</v>
      </c>
      <c r="B2026" s="4" t="str">
        <f>IFERROR(__xludf.DUMMYFUNCTION("""COMPUTED_VALUE"""),"Señal MOPU informativa 55x95 cm Normal")</f>
        <v>Señal MOPU informativa 55x95 cm Normal</v>
      </c>
      <c r="C2026" s="4">
        <f>IFERROR(__xludf.DUMMYFUNCTION("""COMPUTED_VALUE"""),62.64)</f>
        <v>62.64</v>
      </c>
    </row>
    <row r="2027">
      <c r="A2027" s="4" t="str">
        <f>IFERROR(__xludf.DUMMYFUNCTION("""COMPUTED_VALUE"""),"965595N1")</f>
        <v>965595N1</v>
      </c>
      <c r="B2027" s="4" t="str">
        <f>IFERROR(__xludf.DUMMYFUNCTION("""COMPUTED_VALUE"""),"Señal MOPU informativa 55x95 cm Reflex I")</f>
        <v>Señal MOPU informativa 55x95 cm Reflex I</v>
      </c>
      <c r="C2027" s="4">
        <f>IFERROR(__xludf.DUMMYFUNCTION("""COMPUTED_VALUE"""),57.599999999999994)</f>
        <v>57.6</v>
      </c>
    </row>
    <row r="2028">
      <c r="A2028" s="4" t="str">
        <f>IFERROR(__xludf.DUMMYFUNCTION("""COMPUTED_VALUE"""),"965595N1F")</f>
        <v>965595N1F</v>
      </c>
      <c r="B2028" s="4" t="str">
        <f>IFERROR(__xludf.DUMMYFUNCTION("""COMPUTED_VALUE"""),"Señal MOPU informativa 55x95 cm Nivel 1 Flechada")</f>
        <v>Señal MOPU informativa 55x95 cm Nivel 1 Flechada</v>
      </c>
      <c r="C2028" s="4">
        <f>IFERROR(__xludf.DUMMYFUNCTION("""COMPUTED_VALUE"""),64.008)</f>
        <v>64.008</v>
      </c>
    </row>
    <row r="2029">
      <c r="A2029" s="4" t="str">
        <f>IFERROR(__xludf.DUMMYFUNCTION("""COMPUTED_VALUE"""),"965595N2")</f>
        <v>965595N2</v>
      </c>
      <c r="B2029" s="4" t="str">
        <f>IFERROR(__xludf.DUMMYFUNCTION("""COMPUTED_VALUE"""),"Señal MOPU informativa 55X95 cm Reflex II")</f>
        <v>Señal MOPU informativa 55X95 cm Reflex II</v>
      </c>
      <c r="C2029" s="4">
        <f>IFERROR(__xludf.DUMMYFUNCTION("""COMPUTED_VALUE"""),73.92)</f>
        <v>73.92</v>
      </c>
    </row>
    <row r="2030">
      <c r="A2030" s="4" t="str">
        <f>IFERROR(__xludf.DUMMYFUNCTION("""COMPUTED_VALUE"""),"965595N2F")</f>
        <v>965595N2F</v>
      </c>
      <c r="B2030" s="4" t="str">
        <f>IFERROR(__xludf.DUMMYFUNCTION("""COMPUTED_VALUE"""),"Señal MOPU informativa 55x95 cm Nivel 2 Flechada")</f>
        <v>Señal MOPU informativa 55x95 cm Nivel 2 Flechada</v>
      </c>
      <c r="C2030" s="4">
        <f>IFERROR(__xludf.DUMMYFUNCTION("""COMPUTED_VALUE"""),80.64)</f>
        <v>80.64</v>
      </c>
    </row>
    <row r="2031">
      <c r="A2031" s="4" t="str">
        <f>IFERROR(__xludf.DUMMYFUNCTION("""COMPUTED_VALUE"""),"965595N3")</f>
        <v>965595N3</v>
      </c>
      <c r="B2031" s="4" t="str">
        <f>IFERROR(__xludf.DUMMYFUNCTION("""COMPUTED_VALUE"""),"Señal MOPU informativa 55x95 cm Reflex III")</f>
        <v>Señal MOPU informativa 55x95 cm Reflex III</v>
      </c>
      <c r="C2031" s="4">
        <f>IFERROR(__xludf.DUMMYFUNCTION("""COMPUTED_VALUE"""),138.72)</f>
        <v>138.72</v>
      </c>
    </row>
    <row r="2032">
      <c r="A2032" s="4" t="str">
        <f>IFERROR(__xludf.DUMMYFUNCTION("""COMPUTED_VALUE"""),"965595N3F")</f>
        <v>965595N3F</v>
      </c>
      <c r="B2032" s="4" t="str">
        <f>IFERROR(__xludf.DUMMYFUNCTION("""COMPUTED_VALUE"""),"Señal MOPU informativa 55x95 cm Nivel 3 Flechada")</f>
        <v>Señal MOPU informativa 55x95 cm Nivel 3 Flechada</v>
      </c>
      <c r="C2032" s="4">
        <f>IFERROR(__xludf.DUMMYFUNCTION("""COMPUTED_VALUE"""),154.224)</f>
        <v>154.224</v>
      </c>
    </row>
    <row r="2033">
      <c r="A2033" s="4" t="str">
        <f>IFERROR(__xludf.DUMMYFUNCTION("""COMPUTED_VALUE"""),"965595NF")</f>
        <v>965595NF</v>
      </c>
      <c r="B2033" s="4" t="str">
        <f>IFERROR(__xludf.DUMMYFUNCTION("""COMPUTED_VALUE"""),"Señal MOPU informativa 55x95 cm Normal Flechada")</f>
        <v>Señal MOPU informativa 55x95 cm Normal Flechada</v>
      </c>
      <c r="C2033" s="4">
        <f>IFERROR(__xludf.DUMMYFUNCTION("""COMPUTED_VALUE"""),57.96)</f>
        <v>57.96</v>
      </c>
    </row>
    <row r="2034">
      <c r="A2034" s="4" t="str">
        <f>IFERROR(__xludf.DUMMYFUNCTION("""COMPUTED_VALUE"""),"9695145N")</f>
        <v>9695145N</v>
      </c>
      <c r="B2034" s="4" t="str">
        <f>IFERROR(__xludf.DUMMYFUNCTION("""COMPUTED_VALUE"""),"Señal MOPU informativa 95x145 cm Normal")</f>
        <v>Señal MOPU informativa 95x145 cm Normal</v>
      </c>
      <c r="C2034" s="4">
        <f>IFERROR(__xludf.DUMMYFUNCTION("""COMPUTED_VALUE"""),141.6)</f>
        <v>141.6</v>
      </c>
    </row>
    <row r="2035">
      <c r="A2035" s="4" t="str">
        <f>IFERROR(__xludf.DUMMYFUNCTION("""COMPUTED_VALUE"""),"9700N")</f>
        <v>9700N</v>
      </c>
      <c r="B2035" s="4" t="str">
        <f>IFERROR(__xludf.DUMMYFUNCTION("""COMPUTED_VALUE"""),"Señal Aluminio Cuadrada 60 cm Normal")</f>
        <v>Señal Aluminio Cuadrada 60 cm Normal</v>
      </c>
      <c r="C2035" s="4">
        <f>IFERROR(__xludf.DUMMYFUNCTION("""COMPUTED_VALUE"""),29.759999999999998)</f>
        <v>29.76</v>
      </c>
    </row>
    <row r="2036">
      <c r="A2036" s="4" t="str">
        <f>IFERROR(__xludf.DUMMYFUNCTION("""COMPUTED_VALUE"""),"9700N1")</f>
        <v>9700N1</v>
      </c>
      <c r="B2036" s="4" t="str">
        <f>IFERROR(__xludf.DUMMYFUNCTION("""COMPUTED_VALUE"""),"Señal Aluminio Cuadrada 60 cm Nivel 1")</f>
        <v>Señal Aluminio Cuadrada 60 cm Nivel 1</v>
      </c>
      <c r="C2036" s="4">
        <f>IFERROR(__xludf.DUMMYFUNCTION("""COMPUTED_VALUE"""),32.64)</f>
        <v>32.64</v>
      </c>
    </row>
    <row r="2037">
      <c r="A2037" s="4" t="str">
        <f>IFERROR(__xludf.DUMMYFUNCTION("""COMPUTED_VALUE"""),"9716545N")</f>
        <v>9716545N</v>
      </c>
      <c r="B2037" s="4" t="str">
        <f>IFERROR(__xludf.DUMMYFUNCTION("""COMPUTED_VALUE"""),"Panel direccional A/B 165x45 cm Normal")</f>
        <v>Panel direccional A/B 165x45 cm Normal</v>
      </c>
      <c r="C2037" s="4">
        <f>IFERROR(__xludf.DUMMYFUNCTION("""COMPUTED_VALUE"""),71.03999999999999)</f>
        <v>71.04</v>
      </c>
    </row>
    <row r="2038">
      <c r="A2038" s="4" t="str">
        <f>IFERROR(__xludf.DUMMYFUNCTION("""COMPUTED_VALUE"""),"9716545N1")</f>
        <v>9716545N1</v>
      </c>
      <c r="B2038" s="4" t="str">
        <f>IFERROR(__xludf.DUMMYFUNCTION("""COMPUTED_VALUE"""),"Panel direccional A/B 165x45 cm Reflex I")</f>
        <v>Panel direccional A/B 165x45 cm Reflex I</v>
      </c>
      <c r="C2038" s="4">
        <f>IFERROR(__xludf.DUMMYFUNCTION("""COMPUTED_VALUE"""),69.12)</f>
        <v>69.12</v>
      </c>
    </row>
    <row r="2039">
      <c r="A2039" s="4" t="str">
        <f>IFERROR(__xludf.DUMMYFUNCTION("""COMPUTED_VALUE"""),"9716545N2")</f>
        <v>9716545N2</v>
      </c>
      <c r="B2039" s="4" t="str">
        <f>IFERROR(__xludf.DUMMYFUNCTION("""COMPUTED_VALUE"""),"Panel direccional A/B 165x45 cm Reflex II")</f>
        <v>Panel direccional A/B 165x45 cm Reflex II</v>
      </c>
      <c r="C2039" s="4">
        <f>IFERROR(__xludf.DUMMYFUNCTION("""COMPUTED_VALUE"""),101.75999999999999)</f>
        <v>101.76</v>
      </c>
    </row>
    <row r="2040">
      <c r="A2040" s="4" t="str">
        <f>IFERROR(__xludf.DUMMYFUNCTION("""COMPUTED_VALUE"""),"9716545N3")</f>
        <v>9716545N3</v>
      </c>
      <c r="B2040" s="4" t="str">
        <f>IFERROR(__xludf.DUMMYFUNCTION("""COMPUTED_VALUE"""),"Panel direccional A/B 165x45 cm Reflex III")</f>
        <v>Panel direccional A/B 165x45 cm Reflex III</v>
      </c>
      <c r="C2040" s="4">
        <f>IFERROR(__xludf.DUMMYFUNCTION("""COMPUTED_VALUE"""),104.64)</f>
        <v>104.64</v>
      </c>
    </row>
    <row r="2041">
      <c r="A2041" s="4" t="str">
        <f>IFERROR(__xludf.DUMMYFUNCTION("""COMPUTED_VALUE"""),"978040N")</f>
        <v>978040N</v>
      </c>
      <c r="B2041" s="4" t="str">
        <f>IFERROR(__xludf.DUMMYFUNCTION("""COMPUTED_VALUE"""),"Panel direccional A/B 80x40 cm Normal")</f>
        <v>Panel direccional A/B 80x40 cm Normal</v>
      </c>
      <c r="C2041" s="4">
        <f>IFERROR(__xludf.DUMMYFUNCTION("""COMPUTED_VALUE"""),29.759999999999998)</f>
        <v>29.76</v>
      </c>
    </row>
    <row r="2042">
      <c r="A2042" s="4" t="str">
        <f>IFERROR(__xludf.DUMMYFUNCTION("""COMPUTED_VALUE"""),"978040N1")</f>
        <v>978040N1</v>
      </c>
      <c r="B2042" s="4" t="str">
        <f>IFERROR(__xludf.DUMMYFUNCTION("""COMPUTED_VALUE"""),"Panel direccional A/B 80x40 cm Reflex I")</f>
        <v>Panel direccional A/B 80x40 cm Reflex I</v>
      </c>
      <c r="C2042" s="4">
        <f>IFERROR(__xludf.DUMMYFUNCTION("""COMPUTED_VALUE"""),35.519999999999996)</f>
        <v>35.52</v>
      </c>
    </row>
    <row r="2043">
      <c r="A2043" s="4" t="str">
        <f>IFERROR(__xludf.DUMMYFUNCTION("""COMPUTED_VALUE"""),"978040N2")</f>
        <v>978040N2</v>
      </c>
      <c r="B2043" s="4" t="str">
        <f>IFERROR(__xludf.DUMMYFUNCTION("""COMPUTED_VALUE"""),"Panel direccional A/B 80x40 cm Reflex II")</f>
        <v>Panel direccional A/B 80x40 cm Reflex II</v>
      </c>
      <c r="C2043" s="4">
        <f>IFERROR(__xludf.DUMMYFUNCTION("""COMPUTED_VALUE"""),40.32)</f>
        <v>40.32</v>
      </c>
    </row>
    <row r="2044">
      <c r="A2044" s="4" t="str">
        <f>IFERROR(__xludf.DUMMYFUNCTION("""COMPUTED_VALUE"""),"978040N3")</f>
        <v>978040N3</v>
      </c>
      <c r="B2044" s="4" t="str">
        <f>IFERROR(__xludf.DUMMYFUNCTION("""COMPUTED_VALUE"""),"Panel direccional A/B 80x40 cm Reflex III")</f>
        <v>Panel direccional A/B 80x40 cm Reflex III</v>
      </c>
      <c r="C2044" s="4">
        <f>IFERROR(__xludf.DUMMYFUNCTION("""COMPUTED_VALUE"""),50.784)</f>
        <v>50.784</v>
      </c>
    </row>
    <row r="2045">
      <c r="A2045" s="4" t="str">
        <f>IFERROR(__xludf.DUMMYFUNCTION("""COMPUTED_VALUE"""),"9800N")</f>
        <v>9800N</v>
      </c>
      <c r="B2045" s="4" t="str">
        <f>IFERROR(__xludf.DUMMYFUNCTION("""COMPUTED_VALUE"""),"Señal Aluminio Stop 60 cm Normal")</f>
        <v>Señal Aluminio Stop 60 cm Normal</v>
      </c>
      <c r="C2045" s="4">
        <f>IFERROR(__xludf.DUMMYFUNCTION("""COMPUTED_VALUE"""),29.759999999999998)</f>
        <v>29.76</v>
      </c>
    </row>
    <row r="2046">
      <c r="A2046" s="4" t="str">
        <f>IFERROR(__xludf.DUMMYFUNCTION("""COMPUTED_VALUE"""),"9800N1")</f>
        <v>9800N1</v>
      </c>
      <c r="B2046" s="4" t="str">
        <f>IFERROR(__xludf.DUMMYFUNCTION("""COMPUTED_VALUE"""),"Señal Aluminio Stop 60 cm Nivel 1")</f>
        <v>Señal Aluminio Stop 60 cm Nivel 1</v>
      </c>
      <c r="C2046" s="4">
        <f>IFERROR(__xludf.DUMMYFUNCTION("""COMPUTED_VALUE"""),32.64)</f>
        <v>32.64</v>
      </c>
    </row>
    <row r="2047">
      <c r="A2047" s="4" t="str">
        <f>IFERROR(__xludf.DUMMYFUNCTION("""COMPUTED_VALUE"""),"9900N")</f>
        <v>9900N</v>
      </c>
      <c r="B2047" s="4" t="str">
        <f>IFERROR(__xludf.DUMMYFUNCTION("""COMPUTED_VALUE"""),"Señal Aluminio Rectangular 60x30 cm Normal")</f>
        <v>Señal Aluminio Rectangular 60x30 cm Normal</v>
      </c>
      <c r="C2047" s="4">
        <f>IFERROR(__xludf.DUMMYFUNCTION("""COMPUTED_VALUE"""),16.32)</f>
        <v>16.32</v>
      </c>
    </row>
    <row r="2048">
      <c r="A2048" s="4" t="str">
        <f>IFERROR(__xludf.DUMMYFUNCTION("""COMPUTED_VALUE"""),"9900N1")</f>
        <v>9900N1</v>
      </c>
      <c r="B2048" s="4" t="str">
        <f>IFERROR(__xludf.DUMMYFUNCTION("""COMPUTED_VALUE"""),"Señal Aluminio Rectangular 60x30 cm Nivel 1")</f>
        <v>Señal Aluminio Rectangular 60x30 cm Nivel 1</v>
      </c>
      <c r="C2048" s="4">
        <f>IFERROR(__xludf.DUMMYFUNCTION("""COMPUTED_VALUE"""),18.24)</f>
        <v>18.24</v>
      </c>
    </row>
    <row r="2049">
      <c r="A2049" s="4" t="str">
        <f>IFERROR(__xludf.DUMMYFUNCTION("""COMPUTED_VALUE"""),"ABRAZADERA50-")</f>
        <v>ABRAZADERA50-</v>
      </c>
      <c r="B2049" s="4" t="str">
        <f>IFERROR(__xludf.DUMMYFUNCTION("""COMPUTED_VALUE"""),"Abrazadera completa para poste 50/60")</f>
        <v>Abrazadera completa para poste 50/60</v>
      </c>
      <c r="C2049" s="4">
        <f>IFERROR(__xludf.DUMMYFUNCTION("""COMPUTED_VALUE"""),4.56)</f>
        <v>4.56</v>
      </c>
    </row>
    <row r="2050">
      <c r="A2050" s="4" t="str">
        <f>IFERROR(__xludf.DUMMYFUNCTION("""COMPUTED_VALUE"""),"ABRAZADERA80X")</f>
        <v>ABRAZADERA80X</v>
      </c>
      <c r="B2050" s="4" t="str">
        <f>IFERROR(__xludf.DUMMYFUNCTION("""COMPUTED_VALUE"""),"Abrazadera para poste de 80x40")</f>
        <v>Abrazadera para poste de 80x40</v>
      </c>
      <c r="C2050" s="4">
        <f>IFERROR(__xludf.DUMMYFUNCTION("""COMPUTED_VALUE"""),2.592)</f>
        <v>2.592</v>
      </c>
    </row>
    <row r="2051">
      <c r="A2051" s="4" t="str">
        <f>IFERROR(__xludf.DUMMYFUNCTION("""COMPUTED_VALUE"""),"AL297105")</f>
        <v>AL297105</v>
      </c>
      <c r="B2051" s="4" t="str">
        <f>IFERROR(__xludf.DUMMYFUNCTION("""COMPUTED_VALUE"""),"Panel impreso aluminio 297x105 mm")</f>
        <v>Panel impreso aluminio 297x105 mm</v>
      </c>
      <c r="C2051" s="4">
        <f>IFERROR(__xludf.DUMMYFUNCTION("""COMPUTED_VALUE"""),2.064)</f>
        <v>2.064</v>
      </c>
    </row>
    <row r="2052">
      <c r="A2052" s="4" t="str">
        <f>IFERROR(__xludf.DUMMYFUNCTION("""COMPUTED_VALUE"""),"AL320160")</f>
        <v>AL320160</v>
      </c>
      <c r="B2052" s="4" t="str">
        <f>IFERROR(__xludf.DUMMYFUNCTION("""COMPUTED_VALUE"""),"Panel impreso aluminio 320x160 mm")</f>
        <v>Panel impreso aluminio 320x160 mm</v>
      </c>
      <c r="C2052" s="4">
        <f>IFERROR(__xludf.DUMMYFUNCTION("""COMPUTED_VALUE"""),3.9359999999999995)</f>
        <v>3.936</v>
      </c>
    </row>
    <row r="2053">
      <c r="A2053" s="4" t="str">
        <f>IFERROR(__xludf.DUMMYFUNCTION("""COMPUTED_VALUE"""),"AL420320")</f>
        <v>AL420320</v>
      </c>
      <c r="B2053" s="4" t="str">
        <f>IFERROR(__xludf.DUMMYFUNCTION("""COMPUTED_VALUE"""),"Panel impreso aluminio 420x320 mm")</f>
        <v>Panel impreso aluminio 420x320 mm</v>
      </c>
      <c r="C2053" s="4">
        <f>IFERROR(__xludf.DUMMYFUNCTION("""COMPUTED_VALUE"""),10.3296)</f>
        <v>10.3296</v>
      </c>
    </row>
    <row r="2054">
      <c r="A2054" s="4" t="str">
        <f>IFERROR(__xludf.DUMMYFUNCTION("""COMPUTED_VALUE"""),"AL630630")</f>
        <v>AL630630</v>
      </c>
      <c r="B2054" s="4" t="str">
        <f>IFERROR(__xludf.DUMMYFUNCTION("""COMPUTED_VALUE"""),"Panel impreso aluminio 630x630 mm")</f>
        <v>Panel impreso aluminio 630x630 mm</v>
      </c>
      <c r="C2054" s="4">
        <f>IFERROR(__xludf.DUMMYFUNCTION("""COMPUTED_VALUE"""),30.470399999999998)</f>
        <v>30.4704</v>
      </c>
    </row>
    <row r="2055">
      <c r="A2055" s="4" t="str">
        <f>IFERROR(__xludf.DUMMYFUNCTION("""COMPUTED_VALUE"""),"AL960480")</f>
        <v>AL960480</v>
      </c>
      <c r="B2055" s="4" t="str">
        <f>IFERROR(__xludf.DUMMYFUNCTION("""COMPUTED_VALUE"""),"Panel impreso aluminio 960x480")</f>
        <v>Panel impreso aluminio 960x480</v>
      </c>
      <c r="C2055" s="4">
        <f>IFERROR(__xludf.DUMMYFUNCTION("""COMPUTED_VALUE"""),35.903999999999996)</f>
        <v>35.904</v>
      </c>
    </row>
    <row r="2056">
      <c r="A2056" s="4" t="str">
        <f>IFERROR(__xludf.DUMMYFUNCTION("""COMPUTED_VALUE"""),"ALA1")</f>
        <v>ALA1</v>
      </c>
      <c r="B2056" s="4" t="str">
        <f>IFERROR(__xludf.DUMMYFUNCTION("""COMPUTED_VALUE"""),"Panel impreso aluminio A1 (841x594 mm)")</f>
        <v>Panel impreso aluminio A1 (841x594 mm)</v>
      </c>
      <c r="C2056" s="4">
        <f>IFERROR(__xludf.DUMMYFUNCTION("""COMPUTED_VALUE"""),38.620799999999996)</f>
        <v>38.6208</v>
      </c>
    </row>
    <row r="2057">
      <c r="A2057" s="4" t="str">
        <f>IFERROR(__xludf.DUMMYFUNCTION("""COMPUTED_VALUE"""),"ALA2")</f>
        <v>ALA2</v>
      </c>
      <c r="B2057" s="4" t="str">
        <f>IFERROR(__xludf.DUMMYFUNCTION("""COMPUTED_VALUE"""),"Panel impreso aluminio A2 (594X420)")</f>
        <v>Panel impreso aluminio A2 (594X420)</v>
      </c>
      <c r="C2057" s="4">
        <f>IFERROR(__xludf.DUMMYFUNCTION("""COMPUTED_VALUE"""),2.0304)</f>
        <v>2.0304</v>
      </c>
    </row>
    <row r="2058">
      <c r="A2058" s="4" t="str">
        <f>IFERROR(__xludf.DUMMYFUNCTION("""COMPUTED_VALUE"""),"ALA3")</f>
        <v>ALA3</v>
      </c>
      <c r="B2058" s="4" t="str">
        <f>IFERROR(__xludf.DUMMYFUNCTION("""COMPUTED_VALUE"""),"Panel impreso aluminio A3 (420X297 mm)")</f>
        <v>Panel impreso aluminio A3 (420X297 mm)</v>
      </c>
      <c r="C2058" s="4">
        <f>IFERROR(__xludf.DUMMYFUNCTION("""COMPUTED_VALUE"""),9.6768)</f>
        <v>9.6768</v>
      </c>
    </row>
    <row r="2059">
      <c r="A2059" s="4" t="str">
        <f>IFERROR(__xludf.DUMMYFUNCTION("""COMPUTED_VALUE"""),"ALA4")</f>
        <v>ALA4</v>
      </c>
      <c r="B2059" s="4" t="str">
        <f>IFERROR(__xludf.DUMMYFUNCTION("""COMPUTED_VALUE"""),"Panel impreso aluminio A4 (297x210 mm)")</f>
        <v>Panel impreso aluminio A4 (297x210 mm)</v>
      </c>
      <c r="C2059" s="4">
        <f>IFERROR(__xludf.DUMMYFUNCTION("""COMPUTED_VALUE"""),4.8384)</f>
        <v>4.8384</v>
      </c>
    </row>
    <row r="2060">
      <c r="A2060" s="4" t="str">
        <f>IFERROR(__xludf.DUMMYFUNCTION("""COMPUTED_VALUE"""),"ALA6")</f>
        <v>ALA6</v>
      </c>
      <c r="B2060" s="4" t="str">
        <f>IFERROR(__xludf.DUMMYFUNCTION("""COMPUTED_VALUE"""),"Panel impreso aluminio A6 (105x148 mm)")</f>
        <v>Panel impreso aluminio A6 (105x148 mm)</v>
      </c>
      <c r="C2060" s="4">
        <f>IFERROR(__xludf.DUMMYFUNCTION("""COMPUTED_VALUE"""),1.1904)</f>
        <v>1.1904</v>
      </c>
    </row>
    <row r="2061">
      <c r="A2061" s="4" t="str">
        <f>IFERROR(__xludf.DUMMYFUNCTION("""COMPUTED_VALUE"""),"CBA3")</f>
        <v>CBA3</v>
      </c>
      <c r="B2061" s="4" t="str">
        <f>IFERROR(__xludf.DUMMYFUNCTION("""COMPUTED_VALUE"""),"Soporte cartel en banderola acero cartel 40x30 cm")</f>
        <v>Soporte cartel en banderola acero cartel 40x30 cm</v>
      </c>
      <c r="C2061" s="4">
        <f>IFERROR(__xludf.DUMMYFUNCTION("""COMPUTED_VALUE"""),3.264)</f>
        <v>3.264</v>
      </c>
    </row>
    <row r="2062">
      <c r="A2062" s="4" t="str">
        <f>IFERROR(__xludf.DUMMYFUNCTION("""COMPUTED_VALUE"""),"CBA4")</f>
        <v>CBA4</v>
      </c>
      <c r="B2062" s="4" t="str">
        <f>IFERROR(__xludf.DUMMYFUNCTION("""COMPUTED_VALUE"""),"Soporte cartel en banderola acero cartel 21x29 cm")</f>
        <v>Soporte cartel en banderola acero cartel 21x29 cm</v>
      </c>
      <c r="C2062" s="4">
        <f>IFERROR(__xludf.DUMMYFUNCTION("""COMPUTED_VALUE"""),2.304)</f>
        <v>2.304</v>
      </c>
    </row>
    <row r="2063">
      <c r="A2063" s="4" t="str">
        <f>IFERROR(__xludf.DUMMYFUNCTION("""COMPUTED_VALUE"""),"ESCRUADRA")</f>
        <v>ESCRUADRA</v>
      </c>
      <c r="B2063" s="4" t="str">
        <f>IFERROR(__xludf.DUMMYFUNCTION("""COMPUTED_VALUE"""),"Escuadra 9x8x1,8 cm. señal MOPU")</f>
        <v>Escuadra 9x8x1,8 cm. señal MOPU</v>
      </c>
      <c r="C2063" s="4">
        <f>IFERROR(__xludf.DUMMYFUNCTION("""COMPUTED_VALUE"""),2.16)</f>
        <v>2.16</v>
      </c>
    </row>
    <row r="2064">
      <c r="A2064" s="4" t="str">
        <f>IFERROR(__xludf.DUMMYFUNCTION("""COMPUTED_VALUE"""),"ESCUADRA")</f>
        <v>ESCUADRA</v>
      </c>
      <c r="B2064" s="4" t="str">
        <f>IFERROR(__xludf.DUMMYFUNCTION("""COMPUTED_VALUE"""),"Escuadra 14x8x1,8 cm señal MOPU")</f>
        <v>Escuadra 14x8x1,8 cm señal MOPU</v>
      </c>
      <c r="C2064" s="4">
        <f>IFERROR(__xludf.DUMMYFUNCTION("""COMPUTED_VALUE"""),2.784)</f>
        <v>2.784</v>
      </c>
    </row>
    <row r="2065">
      <c r="A2065" s="4" t="str">
        <f>IFERROR(__xludf.DUMMYFUNCTION("""COMPUTED_VALUE"""),"EXPOSIT SEÑAL")</f>
        <v>EXPOSIT SEÑAL</v>
      </c>
      <c r="B2065" s="4" t="str">
        <f>IFERROR(__xludf.DUMMYFUNCTION("""COMPUTED_VALUE"""),"Expositor Señalización SIN SEÑALES")</f>
        <v>Expositor Señalización SIN SEÑALES</v>
      </c>
      <c r="C2065" s="4">
        <f>IFERROR(__xludf.DUMMYFUNCTION("""COMPUTED_VALUE"""),240.0)</f>
        <v>240</v>
      </c>
    </row>
    <row r="2066">
      <c r="A2066" s="4" t="str">
        <f>IFERROR(__xludf.DUMMYFUNCTION("""COMPUTED_VALUE"""),"EXPOSITOR")</f>
        <v>EXPOSITOR</v>
      </c>
      <c r="B2066" s="4" t="str">
        <f>IFERROR(__xludf.DUMMYFUNCTION("""COMPUTED_VALUE"""),"Expositor Señalización + Señales metálicas estándar")</f>
        <v>Expositor Señalización + Señales metálicas estándar</v>
      </c>
      <c r="C2066" s="4">
        <f>IFERROR(__xludf.DUMMYFUNCTION("""COMPUTED_VALUE"""),1152.0)</f>
        <v>1152</v>
      </c>
    </row>
    <row r="2067">
      <c r="A2067" s="4" t="str">
        <f>IFERROR(__xludf.DUMMYFUNCTION("""COMPUTED_VALUE"""),"MCA1")</f>
        <v>MCA1</v>
      </c>
      <c r="B2067" s="4" t="str">
        <f>IFERROR(__xludf.DUMMYFUNCTION("""COMPUTED_VALUE"""),"Panel impreso Metacrilato colada 2 mm A1 (841x594 mm)")</f>
        <v>Panel impreso Metacrilato colada 2 mm A1 (841x594 mm)</v>
      </c>
      <c r="C2067" s="4">
        <f>IFERROR(__xludf.DUMMYFUNCTION("""COMPUTED_VALUE"""),31.2192)</f>
        <v>31.2192</v>
      </c>
    </row>
    <row r="2068">
      <c r="A2068" s="4" t="str">
        <f>IFERROR(__xludf.DUMMYFUNCTION("""COMPUTED_VALUE"""),"MCA2")</f>
        <v>MCA2</v>
      </c>
      <c r="B2068" s="4" t="str">
        <f>IFERROR(__xludf.DUMMYFUNCTION("""COMPUTED_VALUE"""),"Panel impreso Metacrilato colada 2 mm A2 (594x420 mm)")</f>
        <v>Panel impreso Metacrilato colada 2 mm A2 (594x420 mm)</v>
      </c>
      <c r="C2068" s="4">
        <f>IFERROR(__xludf.DUMMYFUNCTION("""COMPUTED_VALUE"""),17.376)</f>
        <v>17.376</v>
      </c>
    </row>
    <row r="2069">
      <c r="A2069" s="4" t="str">
        <f>IFERROR(__xludf.DUMMYFUNCTION("""COMPUTED_VALUE"""),"MCA3")</f>
        <v>MCA3</v>
      </c>
      <c r="B2069" s="4" t="str">
        <f>IFERROR(__xludf.DUMMYFUNCTION("""COMPUTED_VALUE"""),"Panel impreso Metacrilato colada 2 mm A3 (420x297 mm)")</f>
        <v>Panel impreso Metacrilato colada 2 mm A3 (420x297 mm)</v>
      </c>
      <c r="C2069" s="4">
        <f>IFERROR(__xludf.DUMMYFUNCTION("""COMPUTED_VALUE"""),11.4048)</f>
        <v>11.4048</v>
      </c>
    </row>
    <row r="2070">
      <c r="A2070" s="4" t="str">
        <f>IFERROR(__xludf.DUMMYFUNCTION("""COMPUTED_VALUE"""),"MCA4")</f>
        <v>MCA4</v>
      </c>
      <c r="B2070" s="4" t="str">
        <f>IFERROR(__xludf.DUMMYFUNCTION("""COMPUTED_VALUE"""),"Panel impreso Metacrilato colada 2 mm A4 (210x297 mm)")</f>
        <v>Panel impreso Metacrilato colada 2 mm A4 (210x297 mm)</v>
      </c>
      <c r="C2070" s="4">
        <f>IFERROR(__xludf.DUMMYFUNCTION("""COMPUTED_VALUE"""),6.048)</f>
        <v>6.048</v>
      </c>
    </row>
    <row r="2071">
      <c r="A2071" s="4" t="str">
        <f>IFERROR(__xludf.DUMMYFUNCTION("""COMPUTED_VALUE"""),"MCA5")</f>
        <v>MCA5</v>
      </c>
      <c r="B2071" s="4" t="str">
        <f>IFERROR(__xludf.DUMMYFUNCTION("""COMPUTED_VALUE"""),"Panel impreso Metacrilato colada 2 mm A5 (148x210 mm)")</f>
        <v>Panel impreso Metacrilato colada 2 mm A5 (148x210 mm)</v>
      </c>
      <c r="C2071" s="4">
        <f>IFERROR(__xludf.DUMMYFUNCTION("""COMPUTED_VALUE"""),3.264)</f>
        <v>3.264</v>
      </c>
    </row>
    <row r="2072">
      <c r="A2072" s="4" t="str">
        <f>IFERROR(__xludf.DUMMYFUNCTION("""COMPUTED_VALUE"""),"MCA6")</f>
        <v>MCA6</v>
      </c>
      <c r="B2072" s="4" t="str">
        <f>IFERROR(__xludf.DUMMYFUNCTION("""COMPUTED_VALUE"""),"Panel impreso Metacrilato colada 2 mm A6 (148x105 mm)")</f>
        <v>Panel impreso Metacrilato colada 2 mm A6 (148x105 mm)</v>
      </c>
      <c r="C2072" s="4">
        <f>IFERROR(__xludf.DUMMYFUNCTION("""COMPUTED_VALUE"""),2.112)</f>
        <v>2.112</v>
      </c>
    </row>
    <row r="2073">
      <c r="A2073" s="4" t="str">
        <f>IFERROR(__xludf.DUMMYFUNCTION("""COMPUTED_VALUE"""),"PASA1")</f>
        <v>PASA1</v>
      </c>
      <c r="B2073" s="4" t="str">
        <f>IFERROR(__xludf.DUMMYFUNCTION("""COMPUTED_VALUE"""),"Panel impreso Aluminio Sandwich 2mm/0.15 mm A1 (841x594")</f>
        <v>Panel impreso Aluminio Sandwich 2mm/0.15 mm A1 (841x594</v>
      </c>
      <c r="C2073" s="4">
        <f>IFERROR(__xludf.DUMMYFUNCTION("""COMPUTED_VALUE"""),28.368)</f>
        <v>28.368</v>
      </c>
    </row>
    <row r="2074">
      <c r="A2074" s="4" t="str">
        <f>IFERROR(__xludf.DUMMYFUNCTION("""COMPUTED_VALUE"""),"PASA2")</f>
        <v>PASA2</v>
      </c>
      <c r="B2074" s="4" t="str">
        <f>IFERROR(__xludf.DUMMYFUNCTION("""COMPUTED_VALUE"""),"Panel impreso Aluminio Sandwich 2mm/0.15 mm A2 (594x420")</f>
        <v>Panel impreso Aluminio Sandwich 2mm/0.15 mm A2 (594x420</v>
      </c>
      <c r="C2074" s="4">
        <f>IFERROR(__xludf.DUMMYFUNCTION("""COMPUTED_VALUE"""),12.144)</f>
        <v>12.144</v>
      </c>
    </row>
    <row r="2075">
      <c r="A2075" s="4" t="str">
        <f>IFERROR(__xludf.DUMMYFUNCTION("""COMPUTED_VALUE"""),"PASA3")</f>
        <v>PASA3</v>
      </c>
      <c r="B2075" s="4" t="str">
        <f>IFERROR(__xludf.DUMMYFUNCTION("""COMPUTED_VALUE"""),"Panel impreso Aluminio Sandwich 2mm/0.15 mm A3 (420x297")</f>
        <v>Panel impreso Aluminio Sandwich 2mm/0.15 mm A3 (420x297</v>
      </c>
      <c r="C2075" s="4">
        <f>IFERROR(__xludf.DUMMYFUNCTION("""COMPUTED_VALUE"""),4.872)</f>
        <v>4.872</v>
      </c>
    </row>
    <row r="2076">
      <c r="A2076" s="4" t="str">
        <f>IFERROR(__xludf.DUMMYFUNCTION("""COMPUTED_VALUE"""),"PASA4")</f>
        <v>PASA4</v>
      </c>
      <c r="B2076" s="4" t="str">
        <f>IFERROR(__xludf.DUMMYFUNCTION("""COMPUTED_VALUE"""),"Panel impreso Aluminio Sandwich 2mm/0.15 mm A4 (297x210")</f>
        <v>Panel impreso Aluminio Sandwich 2mm/0.15 mm A4 (297x210</v>
      </c>
      <c r="C2076" s="4">
        <f>IFERROR(__xludf.DUMMYFUNCTION("""COMPUTED_VALUE"""),2.6399999999999997)</f>
        <v>2.64</v>
      </c>
    </row>
    <row r="2077">
      <c r="A2077" s="4" t="str">
        <f>IFERROR(__xludf.DUMMYFUNCTION("""COMPUTED_VALUE"""),"PASA5")</f>
        <v>PASA5</v>
      </c>
      <c r="B2077" s="4" t="str">
        <f>IFERROR(__xludf.DUMMYFUNCTION("""COMPUTED_VALUE"""),"Panel impreso Aluminio Sandwich 2mm/0.15 mm A5 (148x210")</f>
        <v>Panel impreso Aluminio Sandwich 2mm/0.15 mm A5 (148x210</v>
      </c>
      <c r="C2077" s="4">
        <f>IFERROR(__xludf.DUMMYFUNCTION("""COMPUTED_VALUE"""),1.3439999999999999)</f>
        <v>1.344</v>
      </c>
    </row>
    <row r="2078">
      <c r="A2078" s="4" t="str">
        <f>IFERROR(__xludf.DUMMYFUNCTION("""COMPUTED_VALUE"""),"PASA6")</f>
        <v>PASA6</v>
      </c>
      <c r="B2078" s="4" t="str">
        <f>IFERROR(__xludf.DUMMYFUNCTION("""COMPUTED_VALUE"""),"Panel impreso Aluminio Sandwich 2mm/0.15 mm A6 (105x148")</f>
        <v>Panel impreso Aluminio Sandwich 2mm/0.15 mm A6 (105x148</v>
      </c>
      <c r="C2078" s="4">
        <f>IFERROR(__xludf.DUMMYFUNCTION("""COMPUTED_VALUE"""),1.056)</f>
        <v>1.056</v>
      </c>
    </row>
    <row r="2079">
      <c r="A2079" s="4" t="str">
        <f>IFERROR(__xludf.DUMMYFUNCTION("""COMPUTED_VALUE"""),"PCMA1")</f>
        <v>PCMA1</v>
      </c>
      <c r="B2079" s="4" t="str">
        <f>IFERROR(__xludf.DUMMYFUNCTION("""COMPUTED_VALUE"""),"Panel impreso PP Celular Microcanal 3 mm A1 (841x594 mm)")</f>
        <v>Panel impreso PP Celular Microcanal 3 mm A1 (841x594 mm)</v>
      </c>
      <c r="C2079" s="4">
        <f>IFERROR(__xludf.DUMMYFUNCTION("""COMPUTED_VALUE"""),9.004800000000001)</f>
        <v>9.0048</v>
      </c>
    </row>
    <row r="2080">
      <c r="A2080" s="4" t="str">
        <f>IFERROR(__xludf.DUMMYFUNCTION("""COMPUTED_VALUE"""),"PCMA2")</f>
        <v>PCMA2</v>
      </c>
      <c r="B2080" s="4" t="str">
        <f>IFERROR(__xludf.DUMMYFUNCTION("""COMPUTED_VALUE"""),"Panel impreso PP Celular Microcanal 3 mm A2 (594x420 mm)")</f>
        <v>Panel impreso PP Celular Microcanal 3 mm A2 (594x420 mm)</v>
      </c>
      <c r="C2080" s="4">
        <f>IFERROR(__xludf.DUMMYFUNCTION("""COMPUTED_VALUE"""),4.300800000000001)</f>
        <v>4.3008</v>
      </c>
    </row>
    <row r="2081">
      <c r="A2081" s="4" t="str">
        <f>IFERROR(__xludf.DUMMYFUNCTION("""COMPUTED_VALUE"""),"PCMA3")</f>
        <v>PCMA3</v>
      </c>
      <c r="B2081" s="4" t="str">
        <f>IFERROR(__xludf.DUMMYFUNCTION("""COMPUTED_VALUE"""),"Panel impreso PP Celular Microcanal 3 mm A3 (420x297 mm)")</f>
        <v>Panel impreso PP Celular Microcanal 3 mm A3 (420x297 mm)</v>
      </c>
      <c r="C2081" s="4">
        <f>IFERROR(__xludf.DUMMYFUNCTION("""COMPUTED_VALUE"""),2.3424)</f>
        <v>2.3424</v>
      </c>
    </row>
    <row r="2082">
      <c r="A2082" s="4" t="str">
        <f>IFERROR(__xludf.DUMMYFUNCTION("""COMPUTED_VALUE"""),"PCMA4")</f>
        <v>PCMA4</v>
      </c>
      <c r="B2082" s="4" t="str">
        <f>IFERROR(__xludf.DUMMYFUNCTION("""COMPUTED_VALUE"""),"Panel impreso PP Celular Microcanal 3 mm A4 (297x210 mm)")</f>
        <v>Panel impreso PP Celular Microcanal 3 mm A4 (297x210 mm)</v>
      </c>
      <c r="C2082" s="4">
        <f>IFERROR(__xludf.DUMMYFUNCTION("""COMPUTED_VALUE"""),1.68)</f>
        <v>1.68</v>
      </c>
    </row>
    <row r="2083">
      <c r="A2083" s="4" t="str">
        <f>IFERROR(__xludf.DUMMYFUNCTION("""COMPUTED_VALUE"""),"PCMA5")</f>
        <v>PCMA5</v>
      </c>
      <c r="B2083" s="4" t="str">
        <f>IFERROR(__xludf.DUMMYFUNCTION("""COMPUTED_VALUE"""),"Panel impreso PP Celular Microcanal 3 mm A5 (148x210 mm)")</f>
        <v>Panel impreso PP Celular Microcanal 3 mm A5 (148x210 mm)</v>
      </c>
      <c r="C2083" s="4">
        <f>IFERROR(__xludf.DUMMYFUNCTION("""COMPUTED_VALUE"""),1.2)</f>
        <v>1.2</v>
      </c>
    </row>
    <row r="2084">
      <c r="A2084" s="4" t="str">
        <f>IFERROR(__xludf.DUMMYFUNCTION("""COMPUTED_VALUE"""),"PCMA6")</f>
        <v>PCMA6</v>
      </c>
      <c r="B2084" s="4" t="str">
        <f>IFERROR(__xludf.DUMMYFUNCTION("""COMPUTED_VALUE"""),"Panel impreso PP Celular Microcanal 3 mm A6 (105x148 mm)")</f>
        <v>Panel impreso PP Celular Microcanal 3 mm A6 (105x148 mm)</v>
      </c>
      <c r="C2084" s="4">
        <f>IFERROR(__xludf.DUMMYFUNCTION("""COMPUTED_VALUE"""),0.864)</f>
        <v>0.864</v>
      </c>
    </row>
    <row r="2085">
      <c r="A2085" s="4" t="str">
        <f>IFERROR(__xludf.DUMMYFUNCTION("""COMPUTED_VALUE"""),"PIEVALLA")</f>
        <v>PIEVALLA</v>
      </c>
      <c r="B2085" s="4" t="str">
        <f>IFERROR(__xludf.DUMMYFUNCTION("""COMPUTED_VALUE"""),"Pie de valla Gate Barrier")</f>
        <v>Pie de valla Gate Barrier</v>
      </c>
      <c r="C2085" s="4">
        <f>IFERROR(__xludf.DUMMYFUNCTION("""COMPUTED_VALUE"""),9.36)</f>
        <v>9.36</v>
      </c>
    </row>
    <row r="2086">
      <c r="A2086" s="4" t="str">
        <f>IFERROR(__xludf.DUMMYFUNCTION("""COMPUTED_VALUE"""),"PIEVALLAP")</f>
        <v>PIEVALLAP</v>
      </c>
      <c r="B2086" s="4" t="str">
        <f>IFERROR(__xludf.DUMMYFUNCTION("""COMPUTED_VALUE"""),"Pie Valla Gate Barrier Asimétrico")</f>
        <v>Pie Valla Gate Barrier Asimétrico</v>
      </c>
      <c r="C2086" s="4">
        <f>IFERROR(__xludf.DUMMYFUNCTION("""COMPUTED_VALUE"""),8.64)</f>
        <v>8.64</v>
      </c>
    </row>
    <row r="2087">
      <c r="A2087" s="4" t="str">
        <f>IFERROR(__xludf.DUMMYFUNCTION("""COMPUTED_VALUE"""),"PVC10070FOTOL")</f>
        <v>PVC10070FOTOL</v>
      </c>
      <c r="B2087" s="4" t="str">
        <f>IFERROR(__xludf.DUMMYFUNCTION("""COMPUTED_VALUE"""),"Cartel PVC fotoluminiscente 100x70 cm")</f>
        <v>Cartel PVC fotoluminiscente 100x70 cm</v>
      </c>
      <c r="C2087" s="4">
        <f>IFERROR(__xludf.DUMMYFUNCTION("""COMPUTED_VALUE"""),23.04)</f>
        <v>23.04</v>
      </c>
    </row>
    <row r="2088">
      <c r="A2088" s="4" t="str">
        <f>IFERROR(__xludf.DUMMYFUNCTION("""COMPUTED_VALUE"""),"PVCRA1")</f>
        <v>PVCRA1</v>
      </c>
      <c r="B2088" s="4" t="str">
        <f>IFERROR(__xludf.DUMMYFUNCTION("""COMPUTED_VALUE"""),"Panel impreso PVC Rígido espumado 3 mm A1 (841x594 mm)")</f>
        <v>Panel impreso PVC Rígido espumado 3 mm A1 (841x594 mm)</v>
      </c>
      <c r="C2088" s="4">
        <f>IFERROR(__xludf.DUMMYFUNCTION("""COMPUTED_VALUE"""),14.111999999999998)</f>
        <v>14.112</v>
      </c>
    </row>
    <row r="2089">
      <c r="A2089" s="4" t="str">
        <f>IFERROR(__xludf.DUMMYFUNCTION("""COMPUTED_VALUE"""),"PVCRA2")</f>
        <v>PVCRA2</v>
      </c>
      <c r="B2089" s="4" t="str">
        <f>IFERROR(__xludf.DUMMYFUNCTION("""COMPUTED_VALUE"""),"Panel impreso PVC Rígido espumado 3 mm A2 (594X420 mm)")</f>
        <v>Panel impreso PVC Rígido espumado 3 mm A2 (594X420 mm)</v>
      </c>
      <c r="C2089" s="4">
        <f>IFERROR(__xludf.DUMMYFUNCTION("""COMPUTED_VALUE"""),8.256)</f>
        <v>8.256</v>
      </c>
    </row>
    <row r="2090">
      <c r="A2090" s="4" t="str">
        <f>IFERROR(__xludf.DUMMYFUNCTION("""COMPUTED_VALUE"""),"PVCRA3")</f>
        <v>PVCRA3</v>
      </c>
      <c r="B2090" s="4" t="str">
        <f>IFERROR(__xludf.DUMMYFUNCTION("""COMPUTED_VALUE"""),"Panel impreso PVC Rígido espumado 3 mm A3 (420x297 mm)")</f>
        <v>Panel impreso PVC Rígido espumado 3 mm A3 (420x297 mm)</v>
      </c>
      <c r="C2090" s="4">
        <f>IFERROR(__xludf.DUMMYFUNCTION("""COMPUTED_VALUE"""),5.2224)</f>
        <v>5.2224</v>
      </c>
    </row>
    <row r="2091">
      <c r="A2091" s="4" t="str">
        <f>IFERROR(__xludf.DUMMYFUNCTION("""COMPUTED_VALUE"""),"PVCRA4")</f>
        <v>PVCRA4</v>
      </c>
      <c r="B2091" s="4" t="str">
        <f>IFERROR(__xludf.DUMMYFUNCTION("""COMPUTED_VALUE"""),"Panel impreso PVC Rígido espumado 3 mm A4 (297x210 mm)")</f>
        <v>Panel impreso PVC Rígido espumado 3 mm A4 (297x210 mm)</v>
      </c>
      <c r="C2091" s="4">
        <f>IFERROR(__xludf.DUMMYFUNCTION("""COMPUTED_VALUE"""),3.5999999999999996)</f>
        <v>3.6</v>
      </c>
    </row>
    <row r="2092">
      <c r="A2092" s="4" t="str">
        <f>IFERROR(__xludf.DUMMYFUNCTION("""COMPUTED_VALUE"""),"PVCRA5")</f>
        <v>PVCRA5</v>
      </c>
      <c r="B2092" s="4" t="str">
        <f>IFERROR(__xludf.DUMMYFUNCTION("""COMPUTED_VALUE"""),"Panel impreso PVC Rígido espumado 3 mm A5 (148x210 mm)")</f>
        <v>Panel impreso PVC Rígido espumado 3 mm A5 (148x210 mm)</v>
      </c>
      <c r="C2092" s="4">
        <f>IFERROR(__xludf.DUMMYFUNCTION("""COMPUTED_VALUE"""),2.4384)</f>
        <v>2.4384</v>
      </c>
    </row>
    <row r="2093">
      <c r="A2093" s="4" t="str">
        <f>IFERROR(__xludf.DUMMYFUNCTION("""COMPUTED_VALUE"""),"PVCRA6")</f>
        <v>PVCRA6</v>
      </c>
      <c r="B2093" s="4" t="str">
        <f>IFERROR(__xludf.DUMMYFUNCTION("""COMPUTED_VALUE"""),"Panel impreso PVC Rígido espumado 3 mm A6 (105x148 mm)")</f>
        <v>Panel impreso PVC Rígido espumado 3 mm A6 (105x148 mm)</v>
      </c>
      <c r="C2093" s="4">
        <f>IFERROR(__xludf.DUMMYFUNCTION("""COMPUTED_VALUE"""),1.248)</f>
        <v>1.248</v>
      </c>
    </row>
    <row r="2094">
      <c r="A2094" s="4" t="str">
        <f>IFERROR(__xludf.DUMMYFUNCTION("""COMPUTED_VALUE"""),"S13LUM")</f>
        <v>S13LUM</v>
      </c>
      <c r="B2094" s="4" t="str">
        <f>IFERROR(__xludf.DUMMYFUNCTION("""COMPUTED_VALUE"""),"Señal aluminio Luminosa S13 60 cm")</f>
        <v>Señal aluminio Luminosa S13 60 cm</v>
      </c>
      <c r="C2094" s="4">
        <f>IFERROR(__xludf.DUMMYFUNCTION("""COMPUTED_VALUE"""),552.0)</f>
        <v>552</v>
      </c>
    </row>
    <row r="2095">
      <c r="A2095" s="4" t="str">
        <f>IFERROR(__xludf.DUMMYFUNCTION("""COMPUTED_VALUE"""),"S13SOLAR")</f>
        <v>S13SOLAR</v>
      </c>
      <c r="B2095" s="4" t="str">
        <f>IFERROR(__xludf.DUMMYFUNCTION("""COMPUTED_VALUE"""),"Kit Solar 20 w para alimentación 5 ah/12 v")</f>
        <v>Kit Solar 20 w para alimentación 5 ah/12 v</v>
      </c>
      <c r="C2095" s="4">
        <f>IFERROR(__xludf.DUMMYFUNCTION("""COMPUTED_VALUE"""),374.4)</f>
        <v>374.4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tr">
        <f>IFERROR(__xludf.DUMMYFUNCTION("QUERY('Hoja 1'!A:L, ""SELECT A, B, G, E, I WHERE A IS NOT NULL"", 1)"),"Referencia")</f>
        <v>Referencia</v>
      </c>
      <c r="B1" s="4" t="str">
        <f>IFERROR(__xludf.DUMMYFUNCTION("""COMPUTED_VALUE"""),"Descripcion")</f>
        <v>Descripcion</v>
      </c>
      <c r="C1" s="4" t="str">
        <f>IFERROR(__xludf.DUMMYFUNCTION("""COMPUTED_VALUE"""),"PRECIO_ESTANDAR")</f>
        <v>PRECIO_ESTANDAR</v>
      </c>
      <c r="D1" s="4" t="str">
        <f>IFERROR(__xludf.DUMMYFUNCTION("""COMPUTED_VALUE"""),"NETOS_GRANDE_CUENTAS")</f>
        <v>NETOS_GRANDE_CUENTAS</v>
      </c>
      <c r="E1" s="4" t="str">
        <f>IFERROR(__xludf.DUMMYFUNCTION("""COMPUTED_VALUE"""),"CONDICION_NETO_GC")</f>
        <v>CONDICION_NETO_GC</v>
      </c>
    </row>
    <row r="2">
      <c r="A2" s="4" t="str">
        <f>IFERROR(__xludf.DUMMYFUNCTION("""COMPUTED_VALUE"""),"101")</f>
        <v>101</v>
      </c>
      <c r="B2" s="4" t="str">
        <f>IFERROR(__xludf.DUMMYFUNCTION("""COMPUTED_VALUE"""),"Cartel PVC 21x29 Fotolum. SALIDA FLECHA IZQ.")</f>
        <v>Cartel PVC 21x29 Fotolum. SALIDA FLECHA IZQ.</v>
      </c>
      <c r="C2" s="4">
        <f>IFERROR(__xludf.DUMMYFUNCTION("""COMPUTED_VALUE"""),2.6)</f>
        <v>2.6</v>
      </c>
      <c r="D2" s="4">
        <f>IFERROR(__xludf.DUMMYFUNCTION("""COMPUTED_VALUE"""),2.1)</f>
        <v>2.1</v>
      </c>
      <c r="E2" s="4" t="str">
        <f>IFERROR(__xludf.DUMMYFUNCTION("""COMPUTED_VALUE"""),"Neto G.C.: 2,10 € (a partir de 1 uds.)")</f>
        <v>Neto G.C.: 2,10 € (a partir de 1 uds.)</v>
      </c>
    </row>
    <row r="3">
      <c r="A3" s="4" t="str">
        <f>IFERROR(__xludf.DUMMYFUNCTION("""COMPUTED_VALUE"""),"0101A")</f>
        <v>0101A</v>
      </c>
      <c r="B3" s="4" t="str">
        <f>IFERROR(__xludf.DUMMYFUNCTION("""COMPUTED_VALUE"""),"Cartel PVC 32x16 Fotolum Salida flecha derecha")</f>
        <v>Cartel PVC 32x16 Fotolum Salida flecha derecha</v>
      </c>
      <c r="C3" s="4">
        <f>IFERROR(__xludf.DUMMYFUNCTION("""COMPUTED_VALUE"""),2.25)</f>
        <v>2.25</v>
      </c>
      <c r="D3" s="4"/>
      <c r="E3" s="4" t="str">
        <f>IFERROR(__xludf.DUMMYFUNCTION("""COMPUTED_VALUE"""),"Sin precio neto G.C.")</f>
        <v>Sin precio neto G.C.</v>
      </c>
    </row>
    <row r="4">
      <c r="A4" s="4" t="str">
        <f>IFERROR(__xludf.DUMMYFUNCTION("""COMPUTED_VALUE"""),"0101B")</f>
        <v>0101B</v>
      </c>
      <c r="B4" s="4" t="str">
        <f>IFERROR(__xludf.DUMMYFUNCTION("""COMPUTED_VALUE"""),"Cartel PVC 64x32 Fotolum Salida flecha derecha")</f>
        <v>Cartel PVC 64x32 Fotolum Salida flecha derecha</v>
      </c>
      <c r="C4" s="4">
        <f>IFERROR(__xludf.DUMMYFUNCTION("""COMPUTED_VALUE"""),4.48)</f>
        <v>4.48</v>
      </c>
      <c r="D4" s="4"/>
      <c r="E4" s="4" t="str">
        <f>IFERROR(__xludf.DUMMYFUNCTION("""COMPUTED_VALUE"""),"Sin precio neto G.C.")</f>
        <v>Sin precio neto G.C.</v>
      </c>
    </row>
    <row r="5">
      <c r="A5" s="4" t="str">
        <f>IFERROR(__xludf.DUMMYFUNCTION("""COMPUTED_VALUE"""),"0101C")</f>
        <v>0101C</v>
      </c>
      <c r="B5" s="4" t="str">
        <f>IFERROR(__xludf.DUMMYFUNCTION("""COMPUTED_VALUE"""),"Cartel PVC 96x48 Fotolum Salida flecha derecha")</f>
        <v>Cartel PVC 96x48 Fotolum Salida flecha derecha</v>
      </c>
      <c r="C5" s="4">
        <f>IFERROR(__xludf.DUMMYFUNCTION("""COMPUTED_VALUE"""),8.96)</f>
        <v>8.96</v>
      </c>
      <c r="D5" s="4"/>
      <c r="E5" s="4" t="str">
        <f>IFERROR(__xludf.DUMMYFUNCTION("""COMPUTED_VALUE"""),"Sin precio neto G.C.")</f>
        <v>Sin precio neto G.C.</v>
      </c>
    </row>
    <row r="6">
      <c r="A6" s="4" t="str">
        <f>IFERROR(__xludf.DUMMYFUNCTION("""COMPUTED_VALUE"""),"102")</f>
        <v>102</v>
      </c>
      <c r="B6" s="4" t="str">
        <f>IFERROR(__xludf.DUMMYFUNCTION("""COMPUTED_VALUE"""),"Cartel PVC 21x29 Fotolum. SALIDA FLECHA IZQ.")</f>
        <v>Cartel PVC 21x29 Fotolum. SALIDA FLECHA IZQ.</v>
      </c>
      <c r="C6" s="4">
        <f>IFERROR(__xludf.DUMMYFUNCTION("""COMPUTED_VALUE"""),2.6)</f>
        <v>2.6</v>
      </c>
      <c r="D6" s="4">
        <f>IFERROR(__xludf.DUMMYFUNCTION("""COMPUTED_VALUE"""),2.1)</f>
        <v>2.1</v>
      </c>
      <c r="E6" s="4" t="str">
        <f>IFERROR(__xludf.DUMMYFUNCTION("""COMPUTED_VALUE"""),"Neto G.C.: 2,10 € (a partir de 1 uds.)")</f>
        <v>Neto G.C.: 2,10 € (a partir de 1 uds.)</v>
      </c>
    </row>
    <row r="7">
      <c r="A7" s="4" t="str">
        <f>IFERROR(__xludf.DUMMYFUNCTION("""COMPUTED_VALUE"""),"0102A")</f>
        <v>0102A</v>
      </c>
      <c r="B7" s="4" t="str">
        <f>IFERROR(__xludf.DUMMYFUNCTION("""COMPUTED_VALUE"""),"Cartel PVC 32x16 Fotolum Salida flecha izquierda")</f>
        <v>Cartel PVC 32x16 Fotolum Salida flecha izquierda</v>
      </c>
      <c r="C7" s="4">
        <f>IFERROR(__xludf.DUMMYFUNCTION("""COMPUTED_VALUE"""),2.25)</f>
        <v>2.25</v>
      </c>
      <c r="D7" s="4"/>
      <c r="E7" s="4" t="str">
        <f>IFERROR(__xludf.DUMMYFUNCTION("""COMPUTED_VALUE"""),"Sin precio neto G.C.")</f>
        <v>Sin precio neto G.C.</v>
      </c>
    </row>
    <row r="8">
      <c r="A8" s="4" t="str">
        <f>IFERROR(__xludf.DUMMYFUNCTION("""COMPUTED_VALUE"""),"0102B")</f>
        <v>0102B</v>
      </c>
      <c r="B8" s="4" t="str">
        <f>IFERROR(__xludf.DUMMYFUNCTION("""COMPUTED_VALUE"""),"Cartel PVC 64x32 Fotolum Salida flecha izquierda")</f>
        <v>Cartel PVC 64x32 Fotolum Salida flecha izquierda</v>
      </c>
      <c r="C8" s="4">
        <f>IFERROR(__xludf.DUMMYFUNCTION("""COMPUTED_VALUE"""),4.48)</f>
        <v>4.48</v>
      </c>
      <c r="D8" s="4"/>
      <c r="E8" s="4" t="str">
        <f>IFERROR(__xludf.DUMMYFUNCTION("""COMPUTED_VALUE"""),"Sin precio neto G.C.")</f>
        <v>Sin precio neto G.C.</v>
      </c>
    </row>
    <row r="9">
      <c r="A9" s="4" t="str">
        <f>IFERROR(__xludf.DUMMYFUNCTION("""COMPUTED_VALUE"""),"0102C")</f>
        <v>0102C</v>
      </c>
      <c r="B9" s="4" t="str">
        <f>IFERROR(__xludf.DUMMYFUNCTION("""COMPUTED_VALUE"""),"Cartel PVC 96x48 Fotolum Salida flecha izquierda")</f>
        <v>Cartel PVC 96x48 Fotolum Salida flecha izquierda</v>
      </c>
      <c r="C9" s="4">
        <f>IFERROR(__xludf.DUMMYFUNCTION("""COMPUTED_VALUE"""),8.96)</f>
        <v>8.96</v>
      </c>
      <c r="D9" s="4"/>
      <c r="E9" s="4" t="str">
        <f>IFERROR(__xludf.DUMMYFUNCTION("""COMPUTED_VALUE"""),"Sin precio neto G.C.")</f>
        <v>Sin precio neto G.C.</v>
      </c>
    </row>
    <row r="10">
      <c r="A10" s="4" t="str">
        <f>IFERROR(__xludf.DUMMYFUNCTION("""COMPUTED_VALUE"""),"103")</f>
        <v>103</v>
      </c>
      <c r="B10" s="4" t="str">
        <f>IFERROR(__xludf.DUMMYFUNCTION("""COMPUTED_VALUE"""),"Cartel PVC 21x29 Fotolum. SALIDA FLECHA FRONTAL")</f>
        <v>Cartel PVC 21x29 Fotolum. SALIDA FLECHA FRONTAL</v>
      </c>
      <c r="C10" s="4">
        <f>IFERROR(__xludf.DUMMYFUNCTION("""COMPUTED_VALUE"""),2.6)</f>
        <v>2.6</v>
      </c>
      <c r="D10" s="4">
        <f>IFERROR(__xludf.DUMMYFUNCTION("""COMPUTED_VALUE"""),2.1)</f>
        <v>2.1</v>
      </c>
      <c r="E10" s="4" t="str">
        <f>IFERROR(__xludf.DUMMYFUNCTION("""COMPUTED_VALUE"""),"Neto G.C.: 2,10 € (a partir de 1 uds.)")</f>
        <v>Neto G.C.: 2,10 € (a partir de 1 uds.)</v>
      </c>
    </row>
    <row r="11">
      <c r="A11" s="4" t="str">
        <f>IFERROR(__xludf.DUMMYFUNCTION("""COMPUTED_VALUE"""),"0103A")</f>
        <v>0103A</v>
      </c>
      <c r="B11" s="4" t="str">
        <f>IFERROR(__xludf.DUMMYFUNCTION("""COMPUTED_VALUE"""),"Cartel PVC 32x16 Fotolum Salida flecha arriba")</f>
        <v>Cartel PVC 32x16 Fotolum Salida flecha arriba</v>
      </c>
      <c r="C11" s="4">
        <f>IFERROR(__xludf.DUMMYFUNCTION("""COMPUTED_VALUE"""),2.25)</f>
        <v>2.25</v>
      </c>
      <c r="D11" s="4"/>
      <c r="E11" s="4" t="str">
        <f>IFERROR(__xludf.DUMMYFUNCTION("""COMPUTED_VALUE"""),"Sin precio neto G.C.")</f>
        <v>Sin precio neto G.C.</v>
      </c>
    </row>
    <row r="12">
      <c r="A12" s="4" t="str">
        <f>IFERROR(__xludf.DUMMYFUNCTION("""COMPUTED_VALUE"""),"0103B")</f>
        <v>0103B</v>
      </c>
      <c r="B12" s="4" t="str">
        <f>IFERROR(__xludf.DUMMYFUNCTION("""COMPUTED_VALUE"""),"Cartel PVC 64x32 Fotolum Salida flecha arriba")</f>
        <v>Cartel PVC 64x32 Fotolum Salida flecha arriba</v>
      </c>
      <c r="C12" s="4">
        <f>IFERROR(__xludf.DUMMYFUNCTION("""COMPUTED_VALUE"""),4.48)</f>
        <v>4.48</v>
      </c>
      <c r="D12" s="4"/>
      <c r="E12" s="4" t="str">
        <f>IFERROR(__xludf.DUMMYFUNCTION("""COMPUTED_VALUE"""),"Sin precio neto G.C.")</f>
        <v>Sin precio neto G.C.</v>
      </c>
    </row>
    <row r="13">
      <c r="A13" s="4" t="str">
        <f>IFERROR(__xludf.DUMMYFUNCTION("""COMPUTED_VALUE"""),"0103C")</f>
        <v>0103C</v>
      </c>
      <c r="B13" s="4" t="str">
        <f>IFERROR(__xludf.DUMMYFUNCTION("""COMPUTED_VALUE"""),"Cartel PVC 96x48 Fotolum Salida flecha arriba")</f>
        <v>Cartel PVC 96x48 Fotolum Salida flecha arriba</v>
      </c>
      <c r="C13" s="4">
        <f>IFERROR(__xludf.DUMMYFUNCTION("""COMPUTED_VALUE"""),8.96)</f>
        <v>8.96</v>
      </c>
      <c r="D13" s="4"/>
      <c r="E13" s="4" t="str">
        <f>IFERROR(__xludf.DUMMYFUNCTION("""COMPUTED_VALUE"""),"Sin precio neto G.C.")</f>
        <v>Sin precio neto G.C.</v>
      </c>
    </row>
    <row r="14">
      <c r="A14" s="4" t="str">
        <f>IFERROR(__xludf.DUMMYFUNCTION("""COMPUTED_VALUE"""),"104")</f>
        <v>104</v>
      </c>
      <c r="B14" s="4" t="str">
        <f>IFERROR(__xludf.DUMMYFUNCTION("""COMPUTED_VALUE"""),"Cartel PVC 21x29 Fotolum. SALIDA FLECHA ABAJO")</f>
        <v>Cartel PVC 21x29 Fotolum. SALIDA FLECHA ABAJO</v>
      </c>
      <c r="C14" s="4">
        <f>IFERROR(__xludf.DUMMYFUNCTION("""COMPUTED_VALUE"""),2.6)</f>
        <v>2.6</v>
      </c>
      <c r="D14" s="4">
        <f>IFERROR(__xludf.DUMMYFUNCTION("""COMPUTED_VALUE"""),2.1)</f>
        <v>2.1</v>
      </c>
      <c r="E14" s="4" t="str">
        <f>IFERROR(__xludf.DUMMYFUNCTION("""COMPUTED_VALUE"""),"Neto G.C.: 2,10 € (a partir de 1 uds.)")</f>
        <v>Neto G.C.: 2,10 € (a partir de 1 uds.)</v>
      </c>
    </row>
    <row r="15">
      <c r="A15" s="4" t="str">
        <f>IFERROR(__xludf.DUMMYFUNCTION("""COMPUTED_VALUE"""),"0104A")</f>
        <v>0104A</v>
      </c>
      <c r="B15" s="4" t="str">
        <f>IFERROR(__xludf.DUMMYFUNCTION("""COMPUTED_VALUE"""),"Cartel PVC 32x16 Fotolum Salida flecha abajo")</f>
        <v>Cartel PVC 32x16 Fotolum Salida flecha abajo</v>
      </c>
      <c r="C15" s="4">
        <f>IFERROR(__xludf.DUMMYFUNCTION("""COMPUTED_VALUE"""),2.25)</f>
        <v>2.25</v>
      </c>
      <c r="D15" s="4"/>
      <c r="E15" s="4" t="str">
        <f>IFERROR(__xludf.DUMMYFUNCTION("""COMPUTED_VALUE"""),"Sin precio neto G.C.")</f>
        <v>Sin precio neto G.C.</v>
      </c>
    </row>
    <row r="16">
      <c r="A16" s="4" t="str">
        <f>IFERROR(__xludf.DUMMYFUNCTION("""COMPUTED_VALUE"""),"0104B")</f>
        <v>0104B</v>
      </c>
      <c r="B16" s="4" t="str">
        <f>IFERROR(__xludf.DUMMYFUNCTION("""COMPUTED_VALUE"""),"Cartel PVC 64x32 Fotolum Salida flecha abajo")</f>
        <v>Cartel PVC 64x32 Fotolum Salida flecha abajo</v>
      </c>
      <c r="C16" s="4">
        <f>IFERROR(__xludf.DUMMYFUNCTION("""COMPUTED_VALUE"""),4.48)</f>
        <v>4.48</v>
      </c>
      <c r="D16" s="4"/>
      <c r="E16" s="4" t="str">
        <f>IFERROR(__xludf.DUMMYFUNCTION("""COMPUTED_VALUE"""),"Sin precio neto G.C.")</f>
        <v>Sin precio neto G.C.</v>
      </c>
    </row>
    <row r="17">
      <c r="A17" s="4" t="str">
        <f>IFERROR(__xludf.DUMMYFUNCTION("""COMPUTED_VALUE"""),"0104C")</f>
        <v>0104C</v>
      </c>
      <c r="B17" s="4" t="str">
        <f>IFERROR(__xludf.DUMMYFUNCTION("""COMPUTED_VALUE"""),"Cartel PVC 96x48 Fotolum Salida flecha abajo")</f>
        <v>Cartel PVC 96x48 Fotolum Salida flecha abajo</v>
      </c>
      <c r="C17" s="4">
        <f>IFERROR(__xludf.DUMMYFUNCTION("""COMPUTED_VALUE"""),8.96)</f>
        <v>8.96</v>
      </c>
      <c r="D17" s="4"/>
      <c r="E17" s="4" t="str">
        <f>IFERROR(__xludf.DUMMYFUNCTION("""COMPUTED_VALUE"""),"Sin precio neto G.C.")</f>
        <v>Sin precio neto G.C.</v>
      </c>
    </row>
    <row r="18">
      <c r="A18" s="4" t="str">
        <f>IFERROR(__xludf.DUMMYFUNCTION("""COMPUTED_VALUE"""),"105")</f>
        <v>105</v>
      </c>
      <c r="B18" s="4" t="str">
        <f>IFERROR(__xludf.DUMMYFUNCTION("""COMPUTED_VALUE"""),"Cartel PVC 21x29 Fotolum. SALIDA-EXIT")</f>
        <v>Cartel PVC 21x29 Fotolum. SALIDA-EXIT</v>
      </c>
      <c r="C18" s="4">
        <f>IFERROR(__xludf.DUMMYFUNCTION("""COMPUTED_VALUE"""),2.6)</f>
        <v>2.6</v>
      </c>
      <c r="D18" s="4">
        <f>IFERROR(__xludf.DUMMYFUNCTION("""COMPUTED_VALUE"""),2.1)</f>
        <v>2.1</v>
      </c>
      <c r="E18" s="4" t="str">
        <f>IFERROR(__xludf.DUMMYFUNCTION("""COMPUTED_VALUE"""),"Neto G.C.: 2,10 € (a partir de 1 uds.)")</f>
        <v>Neto G.C.: 2,10 € (a partir de 1 uds.)</v>
      </c>
    </row>
    <row r="19">
      <c r="A19" s="4" t="str">
        <f>IFERROR(__xludf.DUMMYFUNCTION("""COMPUTED_VALUE"""),"0105A")</f>
        <v>0105A</v>
      </c>
      <c r="B19" s="4" t="str">
        <f>IFERROR(__xludf.DUMMYFUNCTION("""COMPUTED_VALUE"""),"Cartel PVC 32x16 Fotolum. Salida-Exit")</f>
        <v>Cartel PVC 32x16 Fotolum. Salida-Exit</v>
      </c>
      <c r="C19" s="4">
        <f>IFERROR(__xludf.DUMMYFUNCTION("""COMPUTED_VALUE"""),2.25)</f>
        <v>2.25</v>
      </c>
      <c r="D19" s="4"/>
      <c r="E19" s="4" t="str">
        <f>IFERROR(__xludf.DUMMYFUNCTION("""COMPUTED_VALUE"""),"Sin precio neto G.C.")</f>
        <v>Sin precio neto G.C.</v>
      </c>
    </row>
    <row r="20">
      <c r="A20" s="4" t="str">
        <f>IFERROR(__xludf.DUMMYFUNCTION("""COMPUTED_VALUE"""),"0105B")</f>
        <v>0105B</v>
      </c>
      <c r="B20" s="4" t="str">
        <f>IFERROR(__xludf.DUMMYFUNCTION("""COMPUTED_VALUE"""),"Cartel PVC 64x32 Fotolum. Salida-Exit")</f>
        <v>Cartel PVC 64x32 Fotolum. Salida-Exit</v>
      </c>
      <c r="C20" s="4">
        <f>IFERROR(__xludf.DUMMYFUNCTION("""COMPUTED_VALUE"""),4.48)</f>
        <v>4.48</v>
      </c>
      <c r="D20" s="4"/>
      <c r="E20" s="4" t="str">
        <f>IFERROR(__xludf.DUMMYFUNCTION("""COMPUTED_VALUE"""),"Sin precio neto G.C.")</f>
        <v>Sin precio neto G.C.</v>
      </c>
    </row>
    <row r="21">
      <c r="A21" s="4" t="str">
        <f>IFERROR(__xludf.DUMMYFUNCTION("""COMPUTED_VALUE"""),"0105C")</f>
        <v>0105C</v>
      </c>
      <c r="B21" s="4" t="str">
        <f>IFERROR(__xludf.DUMMYFUNCTION("""COMPUTED_VALUE"""),"Cartel PVC 96x48 Fotolum. Salida-Exit")</f>
        <v>Cartel PVC 96x48 Fotolum. Salida-Exit</v>
      </c>
      <c r="C21" s="4">
        <f>IFERROR(__xludf.DUMMYFUNCTION("""COMPUTED_VALUE"""),8.96)</f>
        <v>8.96</v>
      </c>
      <c r="D21" s="4"/>
      <c r="E21" s="4" t="str">
        <f>IFERROR(__xludf.DUMMYFUNCTION("""COMPUTED_VALUE"""),"Sin precio neto G.C.")</f>
        <v>Sin precio neto G.C.</v>
      </c>
    </row>
    <row r="22">
      <c r="A22" s="4" t="str">
        <f>IFERROR(__xludf.DUMMYFUNCTION("""COMPUTED_VALUE"""),"106")</f>
        <v>106</v>
      </c>
      <c r="B22" s="4" t="str">
        <f>IFERROR(__xludf.DUMMYFUNCTION("""COMPUTED_VALUE"""),"Cartel PVC 21x29 Fotolum. SALIDA EMERG. FLECHA DCHA")</f>
        <v>Cartel PVC 21x29 Fotolum. SALIDA EMERG. FLECHA DCHA</v>
      </c>
      <c r="C22" s="4">
        <f>IFERROR(__xludf.DUMMYFUNCTION("""COMPUTED_VALUE"""),2.6)</f>
        <v>2.6</v>
      </c>
      <c r="D22" s="4">
        <f>IFERROR(__xludf.DUMMYFUNCTION("""COMPUTED_VALUE"""),2.1)</f>
        <v>2.1</v>
      </c>
      <c r="E22" s="4" t="str">
        <f>IFERROR(__xludf.DUMMYFUNCTION("""COMPUTED_VALUE"""),"Neto G.C.: 2,10 € (a partir de 1 uds.)")</f>
        <v>Neto G.C.: 2,10 € (a partir de 1 uds.)</v>
      </c>
    </row>
    <row r="23">
      <c r="A23" s="4" t="str">
        <f>IFERROR(__xludf.DUMMYFUNCTION("""COMPUTED_VALUE"""),"0106A")</f>
        <v>0106A</v>
      </c>
      <c r="B23" s="4" t="str">
        <f>IFERROR(__xludf.DUMMYFUNCTION("""COMPUTED_VALUE"""),"Cartel PVC 32x16 Fotolum. Salida de emergencia + flecha")</f>
        <v>Cartel PVC 32x16 Fotolum. Salida de emergencia + flecha</v>
      </c>
      <c r="C23" s="4">
        <f>IFERROR(__xludf.DUMMYFUNCTION("""COMPUTED_VALUE"""),2.25)</f>
        <v>2.25</v>
      </c>
      <c r="D23" s="4"/>
      <c r="E23" s="4" t="str">
        <f>IFERROR(__xludf.DUMMYFUNCTION("""COMPUTED_VALUE"""),"Sin precio neto G.C.")</f>
        <v>Sin precio neto G.C.</v>
      </c>
    </row>
    <row r="24">
      <c r="A24" s="4" t="str">
        <f>IFERROR(__xludf.DUMMYFUNCTION("""COMPUTED_VALUE"""),"0106B")</f>
        <v>0106B</v>
      </c>
      <c r="B24" s="4" t="str">
        <f>IFERROR(__xludf.DUMMYFUNCTION("""COMPUTED_VALUE"""),"Cartel PVC 64x32 Fotolum. Salida de emergencia + flecha")</f>
        <v>Cartel PVC 64x32 Fotolum. Salida de emergencia + flecha</v>
      </c>
      <c r="C24" s="4">
        <f>IFERROR(__xludf.DUMMYFUNCTION("""COMPUTED_VALUE"""),4.48)</f>
        <v>4.48</v>
      </c>
      <c r="D24" s="4"/>
      <c r="E24" s="4" t="str">
        <f>IFERROR(__xludf.DUMMYFUNCTION("""COMPUTED_VALUE"""),"Sin precio neto G.C.")</f>
        <v>Sin precio neto G.C.</v>
      </c>
    </row>
    <row r="25">
      <c r="A25" s="4" t="str">
        <f>IFERROR(__xludf.DUMMYFUNCTION("""COMPUTED_VALUE"""),"0106C")</f>
        <v>0106C</v>
      </c>
      <c r="B25" s="4" t="str">
        <f>IFERROR(__xludf.DUMMYFUNCTION("""COMPUTED_VALUE"""),"Cartel PVC 96x48 Fotolum. Salida de emergencia + flecha")</f>
        <v>Cartel PVC 96x48 Fotolum. Salida de emergencia + flecha</v>
      </c>
      <c r="C25" s="4">
        <f>IFERROR(__xludf.DUMMYFUNCTION("""COMPUTED_VALUE"""),8.96)</f>
        <v>8.96</v>
      </c>
      <c r="D25" s="4"/>
      <c r="E25" s="4" t="str">
        <f>IFERROR(__xludf.DUMMYFUNCTION("""COMPUTED_VALUE"""),"Sin precio neto G.C.")</f>
        <v>Sin precio neto G.C.</v>
      </c>
    </row>
    <row r="26">
      <c r="A26" s="4" t="str">
        <f>IFERROR(__xludf.DUMMYFUNCTION("""COMPUTED_VALUE"""),"107")</f>
        <v>107</v>
      </c>
      <c r="B26" s="4" t="str">
        <f>IFERROR(__xludf.DUMMYFUNCTION("""COMPUTED_VALUE"""),"Cartel PVC 21x29 Fotolum. SALIDA EMERG. FLECHA IZQ.")</f>
        <v>Cartel PVC 21x29 Fotolum. SALIDA EMERG. FLECHA IZQ.</v>
      </c>
      <c r="C26" s="4">
        <f>IFERROR(__xludf.DUMMYFUNCTION("""COMPUTED_VALUE"""),2.6)</f>
        <v>2.6</v>
      </c>
      <c r="D26" s="4">
        <f>IFERROR(__xludf.DUMMYFUNCTION("""COMPUTED_VALUE"""),2.1)</f>
        <v>2.1</v>
      </c>
      <c r="E26" s="4" t="str">
        <f>IFERROR(__xludf.DUMMYFUNCTION("""COMPUTED_VALUE"""),"Neto G.C.: 2,10 € (a partir de 1 uds.)")</f>
        <v>Neto G.C.: 2,10 € (a partir de 1 uds.)</v>
      </c>
    </row>
    <row r="27">
      <c r="A27" s="4" t="str">
        <f>IFERROR(__xludf.DUMMYFUNCTION("""COMPUTED_VALUE"""),"0107A")</f>
        <v>0107A</v>
      </c>
      <c r="B27" s="4" t="str">
        <f>IFERROR(__xludf.DUMMYFUNCTION("""COMPUTED_VALUE"""),"Cartel PVC 32x16 Fotolum. Salida de emergencia + flecha izq")</f>
        <v>Cartel PVC 32x16 Fotolum. Salida de emergencia + flecha izq</v>
      </c>
      <c r="C27" s="4">
        <f>IFERROR(__xludf.DUMMYFUNCTION("""COMPUTED_VALUE"""),2.25)</f>
        <v>2.25</v>
      </c>
      <c r="D27" s="4"/>
      <c r="E27" s="4" t="str">
        <f>IFERROR(__xludf.DUMMYFUNCTION("""COMPUTED_VALUE"""),"Sin precio neto G.C.")</f>
        <v>Sin precio neto G.C.</v>
      </c>
    </row>
    <row r="28">
      <c r="A28" s="4" t="str">
        <f>IFERROR(__xludf.DUMMYFUNCTION("""COMPUTED_VALUE"""),"0107B")</f>
        <v>0107B</v>
      </c>
      <c r="B28" s="4" t="str">
        <f>IFERROR(__xludf.DUMMYFUNCTION("""COMPUTED_VALUE"""),"Cartel PVC 64x32 Fotolum. Salida de emergencia + flecha izq")</f>
        <v>Cartel PVC 64x32 Fotolum. Salida de emergencia + flecha izq</v>
      </c>
      <c r="C28" s="4">
        <f>IFERROR(__xludf.DUMMYFUNCTION("""COMPUTED_VALUE"""),4.48)</f>
        <v>4.48</v>
      </c>
      <c r="D28" s="4"/>
      <c r="E28" s="4" t="str">
        <f>IFERROR(__xludf.DUMMYFUNCTION("""COMPUTED_VALUE"""),"Sin precio neto G.C.")</f>
        <v>Sin precio neto G.C.</v>
      </c>
    </row>
    <row r="29">
      <c r="A29" s="4" t="str">
        <f>IFERROR(__xludf.DUMMYFUNCTION("""COMPUTED_VALUE"""),"0107C")</f>
        <v>0107C</v>
      </c>
      <c r="B29" s="4" t="str">
        <f>IFERROR(__xludf.DUMMYFUNCTION("""COMPUTED_VALUE"""),"Cartel PVC 96x48 Fotolum. Salida de emergencia + flecha izq")</f>
        <v>Cartel PVC 96x48 Fotolum. Salida de emergencia + flecha izq</v>
      </c>
      <c r="C29" s="4">
        <f>IFERROR(__xludf.DUMMYFUNCTION("""COMPUTED_VALUE"""),8.96)</f>
        <v>8.96</v>
      </c>
      <c r="D29" s="4"/>
      <c r="E29" s="4" t="str">
        <f>IFERROR(__xludf.DUMMYFUNCTION("""COMPUTED_VALUE"""),"Sin precio neto G.C.")</f>
        <v>Sin precio neto G.C.</v>
      </c>
    </row>
    <row r="30">
      <c r="A30" s="4" t="str">
        <f>IFERROR(__xludf.DUMMYFUNCTION("""COMPUTED_VALUE"""),"108")</f>
        <v>108</v>
      </c>
      <c r="B30" s="4" t="str">
        <f>IFERROR(__xludf.DUMMYFUNCTION("""COMPUTED_VALUE"""),"Cartel PVC 21X29 Fotolum. ESCALERA EMERG. FLECHA")</f>
        <v>Cartel PVC 21X29 Fotolum. ESCALERA EMERG. FLECHA</v>
      </c>
      <c r="C30" s="4">
        <f>IFERROR(__xludf.DUMMYFUNCTION("""COMPUTED_VALUE"""),2.6)</f>
        <v>2.6</v>
      </c>
      <c r="D30" s="4">
        <f>IFERROR(__xludf.DUMMYFUNCTION("""COMPUTED_VALUE"""),2.1)</f>
        <v>2.1</v>
      </c>
      <c r="E30" s="4" t="str">
        <f>IFERROR(__xludf.DUMMYFUNCTION("""COMPUTED_VALUE"""),"Neto G.C.: 2,10 € (a partir de 1 uds.)")</f>
        <v>Neto G.C.: 2,10 € (a partir de 1 uds.)</v>
      </c>
    </row>
    <row r="31">
      <c r="A31" s="4" t="str">
        <f>IFERROR(__xludf.DUMMYFUNCTION("""COMPUTED_VALUE"""),"0108A")</f>
        <v>0108A</v>
      </c>
      <c r="B31" s="4" t="str">
        <f>IFERROR(__xludf.DUMMYFUNCTION("""COMPUTED_VALUE"""),"Cartel PVC 32x16 Fotolum. Escal. de emergencia + flecha")</f>
        <v>Cartel PVC 32x16 Fotolum. Escal. de emergencia + flecha</v>
      </c>
      <c r="C31" s="4">
        <f>IFERROR(__xludf.DUMMYFUNCTION("""COMPUTED_VALUE"""),2.25)</f>
        <v>2.25</v>
      </c>
      <c r="D31" s="4"/>
      <c r="E31" s="4" t="str">
        <f>IFERROR(__xludf.DUMMYFUNCTION("""COMPUTED_VALUE"""),"Sin precio neto G.C.")</f>
        <v>Sin precio neto G.C.</v>
      </c>
    </row>
    <row r="32">
      <c r="A32" s="4" t="str">
        <f>IFERROR(__xludf.DUMMYFUNCTION("""COMPUTED_VALUE"""),"0108B")</f>
        <v>0108B</v>
      </c>
      <c r="B32" s="4" t="str">
        <f>IFERROR(__xludf.DUMMYFUNCTION("""COMPUTED_VALUE"""),"Cartel PVC 64x32 Fotolum. Escal. de emergencia + flecha")</f>
        <v>Cartel PVC 64x32 Fotolum. Escal. de emergencia + flecha</v>
      </c>
      <c r="C32" s="4">
        <f>IFERROR(__xludf.DUMMYFUNCTION("""COMPUTED_VALUE"""),4.48)</f>
        <v>4.48</v>
      </c>
      <c r="D32" s="4"/>
      <c r="E32" s="4" t="str">
        <f>IFERROR(__xludf.DUMMYFUNCTION("""COMPUTED_VALUE"""),"Sin precio neto G.C.")</f>
        <v>Sin precio neto G.C.</v>
      </c>
    </row>
    <row r="33">
      <c r="A33" s="4" t="str">
        <f>IFERROR(__xludf.DUMMYFUNCTION("""COMPUTED_VALUE"""),"0108C")</f>
        <v>0108C</v>
      </c>
      <c r="B33" s="4" t="str">
        <f>IFERROR(__xludf.DUMMYFUNCTION("""COMPUTED_VALUE"""),"Cartel PVC 96x48 Fotolum. Escal. de emergencia + flecha")</f>
        <v>Cartel PVC 96x48 Fotolum. Escal. de emergencia + flecha</v>
      </c>
      <c r="C33" s="4">
        <f>IFERROR(__xludf.DUMMYFUNCTION("""COMPUTED_VALUE"""),8.96)</f>
        <v>8.96</v>
      </c>
      <c r="D33" s="4"/>
      <c r="E33" s="4" t="str">
        <f>IFERROR(__xludf.DUMMYFUNCTION("""COMPUTED_VALUE"""),"Sin precio neto G.C.")</f>
        <v>Sin precio neto G.C.</v>
      </c>
    </row>
    <row r="34">
      <c r="A34" s="4" t="str">
        <f>IFERROR(__xludf.DUMMYFUNCTION("""COMPUTED_VALUE"""),"109")</f>
        <v>109</v>
      </c>
      <c r="B34" s="4" t="str">
        <f>IFERROR(__xludf.DUMMYFUNCTION("""COMPUTED_VALUE"""),"Cartel PVC 21x29 Fotolum. ESCALERA EMERG. FLECHA")</f>
        <v>Cartel PVC 21x29 Fotolum. ESCALERA EMERG. FLECHA</v>
      </c>
      <c r="C34" s="4">
        <f>IFERROR(__xludf.DUMMYFUNCTION("""COMPUTED_VALUE"""),2.6)</f>
        <v>2.6</v>
      </c>
      <c r="D34" s="4">
        <f>IFERROR(__xludf.DUMMYFUNCTION("""COMPUTED_VALUE"""),2.1)</f>
        <v>2.1</v>
      </c>
      <c r="E34" s="4" t="str">
        <f>IFERROR(__xludf.DUMMYFUNCTION("""COMPUTED_VALUE"""),"Neto G.C.: 2,10 € (a partir de 1 uds.)")</f>
        <v>Neto G.C.: 2,10 € (a partir de 1 uds.)</v>
      </c>
    </row>
    <row r="35">
      <c r="A35" s="4" t="str">
        <f>IFERROR(__xludf.DUMMYFUNCTION("""COMPUTED_VALUE"""),"0109A")</f>
        <v>0109A</v>
      </c>
      <c r="B35" s="4" t="str">
        <f>IFERROR(__xludf.DUMMYFUNCTION("""COMPUTED_VALUE"""),"Cartel PVC 32x16 Fotolum. Escal. de emergencia + flecha izq.")</f>
        <v>Cartel PVC 32x16 Fotolum. Escal. de emergencia + flecha izq.</v>
      </c>
      <c r="C35" s="4">
        <f>IFERROR(__xludf.DUMMYFUNCTION("""COMPUTED_VALUE"""),2.25)</f>
        <v>2.25</v>
      </c>
      <c r="D35" s="4"/>
      <c r="E35" s="4" t="str">
        <f>IFERROR(__xludf.DUMMYFUNCTION("""COMPUTED_VALUE"""),"Sin precio neto G.C.")</f>
        <v>Sin precio neto G.C.</v>
      </c>
    </row>
    <row r="36">
      <c r="A36" s="4" t="str">
        <f>IFERROR(__xludf.DUMMYFUNCTION("""COMPUTED_VALUE"""),"0109B")</f>
        <v>0109B</v>
      </c>
      <c r="B36" s="4" t="str">
        <f>IFERROR(__xludf.DUMMYFUNCTION("""COMPUTED_VALUE"""),"Cartel PVC 64x32 Fotolum. Escal. de emergencia + flecha izq.")</f>
        <v>Cartel PVC 64x32 Fotolum. Escal. de emergencia + flecha izq.</v>
      </c>
      <c r="C36" s="4">
        <f>IFERROR(__xludf.DUMMYFUNCTION("""COMPUTED_VALUE"""),4.48)</f>
        <v>4.48</v>
      </c>
      <c r="D36" s="4"/>
      <c r="E36" s="4" t="str">
        <f>IFERROR(__xludf.DUMMYFUNCTION("""COMPUTED_VALUE"""),"Sin precio neto G.C.")</f>
        <v>Sin precio neto G.C.</v>
      </c>
    </row>
    <row r="37">
      <c r="A37" s="4" t="str">
        <f>IFERROR(__xludf.DUMMYFUNCTION("""COMPUTED_VALUE"""),"0109C")</f>
        <v>0109C</v>
      </c>
      <c r="B37" s="4" t="str">
        <f>IFERROR(__xludf.DUMMYFUNCTION("""COMPUTED_VALUE"""),"Cartel PVC 96x48 Fotolum. Escal. de emergencia + flecha izq.")</f>
        <v>Cartel PVC 96x48 Fotolum. Escal. de emergencia + flecha izq.</v>
      </c>
      <c r="C37" s="4">
        <f>IFERROR(__xludf.DUMMYFUNCTION("""COMPUTED_VALUE"""),8.96)</f>
        <v>8.96</v>
      </c>
      <c r="D37" s="4"/>
      <c r="E37" s="4" t="str">
        <f>IFERROR(__xludf.DUMMYFUNCTION("""COMPUTED_VALUE"""),"Sin precio neto G.C.")</f>
        <v>Sin precio neto G.C.</v>
      </c>
    </row>
    <row r="38">
      <c r="A38" s="4" t="str">
        <f>IFERROR(__xludf.DUMMYFUNCTION("""COMPUTED_VALUE"""),"110")</f>
        <v>110</v>
      </c>
      <c r="B38" s="4" t="str">
        <f>IFERROR(__xludf.DUMMYFUNCTION("""COMPUTED_VALUE"""),"Cartel PVC 21x29 Fotolum. No utilizar en caso de incendio")</f>
        <v>Cartel PVC 21x29 Fotolum. No utilizar en caso de incendio</v>
      </c>
      <c r="C38" s="4">
        <f>IFERROR(__xludf.DUMMYFUNCTION("""COMPUTED_VALUE"""),2.6)</f>
        <v>2.6</v>
      </c>
      <c r="D38" s="4">
        <f>IFERROR(__xludf.DUMMYFUNCTION("""COMPUTED_VALUE"""),2.1)</f>
        <v>2.1</v>
      </c>
      <c r="E38" s="4" t="str">
        <f>IFERROR(__xludf.DUMMYFUNCTION("""COMPUTED_VALUE"""),"Neto G.C.: 2,10 € (a partir de 1 uds.)")</f>
        <v>Neto G.C.: 2,10 € (a partir de 1 uds.)</v>
      </c>
    </row>
    <row r="39">
      <c r="A39" s="4" t="str">
        <f>IFERROR(__xludf.DUMMYFUNCTION("""COMPUTED_VALUE"""),"0116V")</f>
        <v>0116V</v>
      </c>
      <c r="B39" s="4" t="str">
        <f>IFERROR(__xludf.DUMMYFUNCTION("""COMPUTED_VALUE"""),"Vinilo Adhesivo suelo Dir. Peatonal 40 cm")</f>
        <v>Vinilo Adhesivo suelo Dir. Peatonal 40 cm</v>
      </c>
      <c r="C39" s="4">
        <f>IFERROR(__xludf.DUMMYFUNCTION("""COMPUTED_VALUE"""),6.15)</f>
        <v>6.15</v>
      </c>
      <c r="D39" s="4"/>
      <c r="E39" s="4" t="str">
        <f>IFERROR(__xludf.DUMMYFUNCTION("""COMPUTED_VALUE"""),"Sin precio neto G.C.")</f>
        <v>Sin precio neto G.C.</v>
      </c>
    </row>
    <row r="40">
      <c r="A40" s="4" t="str">
        <f>IFERROR(__xludf.DUMMYFUNCTION("""COMPUTED_VALUE"""),"0150A")</f>
        <v>0150A</v>
      </c>
      <c r="B40" s="4" t="str">
        <f>IFERROR(__xludf.DUMMYFUNCTION("""COMPUTED_VALUE"""),"Cartel PVC 21x21 Fotolum. Pulsador de alarma")</f>
        <v>Cartel PVC 21x21 Fotolum. Pulsador de alarma</v>
      </c>
      <c r="C40" s="4">
        <f>IFERROR(__xludf.DUMMYFUNCTION("""COMPUTED_VALUE"""),2.31)</f>
        <v>2.31</v>
      </c>
      <c r="D40" s="4"/>
      <c r="E40" s="4" t="str">
        <f>IFERROR(__xludf.DUMMYFUNCTION("""COMPUTED_VALUE"""),"Sin precio neto G.C.")</f>
        <v>Sin precio neto G.C.</v>
      </c>
    </row>
    <row r="41">
      <c r="A41" s="4" t="str">
        <f>IFERROR(__xludf.DUMMYFUNCTION("""COMPUTED_VALUE"""),"0150B")</f>
        <v>0150B</v>
      </c>
      <c r="B41" s="4" t="str">
        <f>IFERROR(__xludf.DUMMYFUNCTION("""COMPUTED_VALUE"""),"Cartel PVC 42x42 Fotolum. Pulsador de alarma")</f>
        <v>Cartel PVC 42x42 Fotolum. Pulsador de alarma</v>
      </c>
      <c r="C41" s="4">
        <f>IFERROR(__xludf.DUMMYFUNCTION("""COMPUTED_VALUE"""),3.9)</f>
        <v>3.9</v>
      </c>
      <c r="D41" s="4"/>
      <c r="E41" s="4" t="str">
        <f>IFERROR(__xludf.DUMMYFUNCTION("""COMPUTED_VALUE"""),"Sin precio neto G.C.")</f>
        <v>Sin precio neto G.C.</v>
      </c>
    </row>
    <row r="42">
      <c r="A42" s="4" t="str">
        <f>IFERROR(__xludf.DUMMYFUNCTION("""COMPUTED_VALUE"""),"0150C")</f>
        <v>0150C</v>
      </c>
      <c r="B42" s="4" t="str">
        <f>IFERROR(__xludf.DUMMYFUNCTION("""COMPUTED_VALUE"""),"Cartel PVC 63x63 Fotolum. Pulsador de alarma")</f>
        <v>Cartel PVC 63x63 Fotolum. Pulsador de alarma</v>
      </c>
      <c r="C42" s="4">
        <f>IFERROR(__xludf.DUMMYFUNCTION("""COMPUTED_VALUE"""),6.25)</f>
        <v>6.25</v>
      </c>
      <c r="D42" s="4"/>
      <c r="E42" s="4" t="str">
        <f>IFERROR(__xludf.DUMMYFUNCTION("""COMPUTED_VALUE"""),"Sin precio neto G.C.")</f>
        <v>Sin precio neto G.C.</v>
      </c>
    </row>
    <row r="43">
      <c r="A43" s="4" t="str">
        <f>IFERROR(__xludf.DUMMYFUNCTION("""COMPUTED_VALUE"""),"151")</f>
        <v>151</v>
      </c>
      <c r="B43" s="4" t="str">
        <f>IFERROR(__xludf.DUMMYFUNCTION("""COMPUTED_VALUE"""),"Cartel PVC 21x21 Fotolum. EXTINTOR IZQUIERDA")</f>
        <v>Cartel PVC 21x21 Fotolum. EXTINTOR IZQUIERDA</v>
      </c>
      <c r="C43" s="4">
        <f>IFERROR(__xludf.DUMMYFUNCTION("""COMPUTED_VALUE"""),2.31)</f>
        <v>2.31</v>
      </c>
      <c r="D43" s="4"/>
      <c r="E43" s="4" t="str">
        <f>IFERROR(__xludf.DUMMYFUNCTION("""COMPUTED_VALUE"""),"Sin precio neto G.C.")</f>
        <v>Sin precio neto G.C.</v>
      </c>
    </row>
    <row r="44">
      <c r="A44" s="4" t="str">
        <f>IFERROR(__xludf.DUMMYFUNCTION("""COMPUTED_VALUE"""),"0151A")</f>
        <v>0151A</v>
      </c>
      <c r="B44" s="4" t="str">
        <f>IFERROR(__xludf.DUMMYFUNCTION("""COMPUTED_VALUE"""),"Cartel PVC 21x21 Fotolum. Carro extintor")</f>
        <v>Cartel PVC 21x21 Fotolum. Carro extintor</v>
      </c>
      <c r="C44" s="4">
        <f>IFERROR(__xludf.DUMMYFUNCTION("""COMPUTED_VALUE"""),2.31)</f>
        <v>2.31</v>
      </c>
      <c r="D44" s="4"/>
      <c r="E44" s="4" t="str">
        <f>IFERROR(__xludf.DUMMYFUNCTION("""COMPUTED_VALUE"""),"Sin precio neto G.C.")</f>
        <v>Sin precio neto G.C.</v>
      </c>
    </row>
    <row r="45">
      <c r="A45" s="4" t="str">
        <f>IFERROR(__xludf.DUMMYFUNCTION("""COMPUTED_VALUE"""),"0151B")</f>
        <v>0151B</v>
      </c>
      <c r="B45" s="4" t="str">
        <f>IFERROR(__xludf.DUMMYFUNCTION("""COMPUTED_VALUE"""),"Cartel PVC 42x42 Fotolum. Carro extintor")</f>
        <v>Cartel PVC 42x42 Fotolum. Carro extintor</v>
      </c>
      <c r="C45" s="4">
        <f>IFERROR(__xludf.DUMMYFUNCTION("""COMPUTED_VALUE"""),3.9)</f>
        <v>3.9</v>
      </c>
      <c r="D45" s="4"/>
      <c r="E45" s="4" t="str">
        <f>IFERROR(__xludf.DUMMYFUNCTION("""COMPUTED_VALUE"""),"Sin precio neto G.C.")</f>
        <v>Sin precio neto G.C.</v>
      </c>
    </row>
    <row r="46">
      <c r="A46" s="4" t="str">
        <f>IFERROR(__xludf.DUMMYFUNCTION("""COMPUTED_VALUE"""),"0151C")</f>
        <v>0151C</v>
      </c>
      <c r="B46" s="4" t="str">
        <f>IFERROR(__xludf.DUMMYFUNCTION("""COMPUTED_VALUE"""),"Cartel PVC 63x63 Fotolum. Carro extintor")</f>
        <v>Cartel PVC 63x63 Fotolum. Carro extintor</v>
      </c>
      <c r="C46" s="4">
        <f>IFERROR(__xludf.DUMMYFUNCTION("""COMPUTED_VALUE"""),6.25)</f>
        <v>6.25</v>
      </c>
      <c r="D46" s="4"/>
      <c r="E46" s="4" t="str">
        <f>IFERROR(__xludf.DUMMYFUNCTION("""COMPUTED_VALUE"""),"Sin precio neto G.C.")</f>
        <v>Sin precio neto G.C.</v>
      </c>
    </row>
    <row r="47">
      <c r="A47" s="4" t="str">
        <f>IFERROR(__xludf.DUMMYFUNCTION("""COMPUTED_VALUE"""),"152")</f>
        <v>152</v>
      </c>
      <c r="B47" s="4" t="str">
        <f>IFERROR(__xludf.DUMMYFUNCTION("""COMPUTED_VALUE"""),"Cartel PVC 21x21 Fotolum. EXTINTOR ABAJO")</f>
        <v>Cartel PVC 21x21 Fotolum. EXTINTOR ABAJO</v>
      </c>
      <c r="C47" s="4">
        <f>IFERROR(__xludf.DUMMYFUNCTION("""COMPUTED_VALUE"""),2.31)</f>
        <v>2.31</v>
      </c>
      <c r="D47" s="4"/>
      <c r="E47" s="4" t="str">
        <f>IFERROR(__xludf.DUMMYFUNCTION("""COMPUTED_VALUE"""),"Sin precio neto G.C.")</f>
        <v>Sin precio neto G.C.</v>
      </c>
    </row>
    <row r="48">
      <c r="A48" s="4" t="str">
        <f>IFERROR(__xludf.DUMMYFUNCTION("""COMPUTED_VALUE"""),"0152A")</f>
        <v>0152A</v>
      </c>
      <c r="B48" s="4" t="str">
        <f>IFERROR(__xludf.DUMMYFUNCTION("""COMPUTED_VALUE"""),"Cartel PVC 21x21 Fotolum. Escalera")</f>
        <v>Cartel PVC 21x21 Fotolum. Escalera</v>
      </c>
      <c r="C48" s="4">
        <f>IFERROR(__xludf.DUMMYFUNCTION("""COMPUTED_VALUE"""),2.31)</f>
        <v>2.31</v>
      </c>
      <c r="D48" s="4"/>
      <c r="E48" s="4" t="str">
        <f>IFERROR(__xludf.DUMMYFUNCTION("""COMPUTED_VALUE"""),"Sin precio neto G.C.")</f>
        <v>Sin precio neto G.C.</v>
      </c>
    </row>
    <row r="49">
      <c r="A49" s="4" t="str">
        <f>IFERROR(__xludf.DUMMYFUNCTION("""COMPUTED_VALUE"""),"0152B")</f>
        <v>0152B</v>
      </c>
      <c r="B49" s="4" t="str">
        <f>IFERROR(__xludf.DUMMYFUNCTION("""COMPUTED_VALUE"""),"Cartel PVC 42x42 Fotolum. Escalera")</f>
        <v>Cartel PVC 42x42 Fotolum. Escalera</v>
      </c>
      <c r="C49" s="4">
        <f>IFERROR(__xludf.DUMMYFUNCTION("""COMPUTED_VALUE"""),3.9)</f>
        <v>3.9</v>
      </c>
      <c r="D49" s="4"/>
      <c r="E49" s="4" t="str">
        <f>IFERROR(__xludf.DUMMYFUNCTION("""COMPUTED_VALUE"""),"Sin precio neto G.C.")</f>
        <v>Sin precio neto G.C.</v>
      </c>
    </row>
    <row r="50">
      <c r="A50" s="4" t="str">
        <f>IFERROR(__xludf.DUMMYFUNCTION("""COMPUTED_VALUE"""),"0152C")</f>
        <v>0152C</v>
      </c>
      <c r="B50" s="4" t="str">
        <f>IFERROR(__xludf.DUMMYFUNCTION("""COMPUTED_VALUE"""),"Cartel PVC 63x63 Fotolum. Escalera")</f>
        <v>Cartel PVC 63x63 Fotolum. Escalera</v>
      </c>
      <c r="C50" s="4">
        <f>IFERROR(__xludf.DUMMYFUNCTION("""COMPUTED_VALUE"""),6.25)</f>
        <v>6.25</v>
      </c>
      <c r="D50" s="4"/>
      <c r="E50" s="4" t="str">
        <f>IFERROR(__xludf.DUMMYFUNCTION("""COMPUTED_VALUE"""),"Sin precio neto G.C.")</f>
        <v>Sin precio neto G.C.</v>
      </c>
    </row>
    <row r="51">
      <c r="A51" s="4" t="str">
        <f>IFERROR(__xludf.DUMMYFUNCTION("""COMPUTED_VALUE"""),"153")</f>
        <v>153</v>
      </c>
      <c r="B51" s="4" t="str">
        <f>IFERROR(__xludf.DUMMYFUNCTION("""COMPUTED_VALUE"""),"Cartel PVC 21x21 Fotolum. PULSADOR")</f>
        <v>Cartel PVC 21x21 Fotolum. PULSADOR</v>
      </c>
      <c r="C51" s="4">
        <f>IFERROR(__xludf.DUMMYFUNCTION("""COMPUTED_VALUE"""),2.31)</f>
        <v>2.31</v>
      </c>
      <c r="D51" s="4"/>
      <c r="E51" s="4" t="str">
        <f>IFERROR(__xludf.DUMMYFUNCTION("""COMPUTED_VALUE"""),"Sin precio neto G.C.")</f>
        <v>Sin precio neto G.C.</v>
      </c>
    </row>
    <row r="52">
      <c r="A52" s="4" t="str">
        <f>IFERROR(__xludf.DUMMYFUNCTION("""COMPUTED_VALUE"""),"0153A")</f>
        <v>0153A</v>
      </c>
      <c r="B52" s="4" t="str">
        <f>IFERROR(__xludf.DUMMYFUNCTION("""COMPUTED_VALUE"""),"Cartel PVC 21x21 Fotolum. Flecha abajo derecha")</f>
        <v>Cartel PVC 21x21 Fotolum. Flecha abajo derecha</v>
      </c>
      <c r="C52" s="4">
        <f>IFERROR(__xludf.DUMMYFUNCTION("""COMPUTED_VALUE"""),2.31)</f>
        <v>2.31</v>
      </c>
      <c r="D52" s="4"/>
      <c r="E52" s="4" t="str">
        <f>IFERROR(__xludf.DUMMYFUNCTION("""COMPUTED_VALUE"""),"Sin precio neto G.C.")</f>
        <v>Sin precio neto G.C.</v>
      </c>
    </row>
    <row r="53">
      <c r="A53" s="4" t="str">
        <f>IFERROR(__xludf.DUMMYFUNCTION("""COMPUTED_VALUE"""),"0153B")</f>
        <v>0153B</v>
      </c>
      <c r="B53" s="4" t="str">
        <f>IFERROR(__xludf.DUMMYFUNCTION("""COMPUTED_VALUE"""),"Cartel PVC 42x42 Fotolum. Flecha abajo derecha")</f>
        <v>Cartel PVC 42x42 Fotolum. Flecha abajo derecha</v>
      </c>
      <c r="C53" s="4">
        <f>IFERROR(__xludf.DUMMYFUNCTION("""COMPUTED_VALUE"""),3.9)</f>
        <v>3.9</v>
      </c>
      <c r="D53" s="4"/>
      <c r="E53" s="4" t="str">
        <f>IFERROR(__xludf.DUMMYFUNCTION("""COMPUTED_VALUE"""),"Sin precio neto G.C.")</f>
        <v>Sin precio neto G.C.</v>
      </c>
    </row>
    <row r="54">
      <c r="A54" s="4" t="str">
        <f>IFERROR(__xludf.DUMMYFUNCTION("""COMPUTED_VALUE"""),"0153C")</f>
        <v>0153C</v>
      </c>
      <c r="B54" s="4" t="str">
        <f>IFERROR(__xludf.DUMMYFUNCTION("""COMPUTED_VALUE"""),"Cartel PVC 63x63 Fotolum. Flecha abajo derecha")</f>
        <v>Cartel PVC 63x63 Fotolum. Flecha abajo derecha</v>
      </c>
      <c r="C54" s="4">
        <f>IFERROR(__xludf.DUMMYFUNCTION("""COMPUTED_VALUE"""),6.25)</f>
        <v>6.25</v>
      </c>
      <c r="D54" s="4"/>
      <c r="E54" s="4" t="str">
        <f>IFERROR(__xludf.DUMMYFUNCTION("""COMPUTED_VALUE"""),"Sin precio neto G.C.")</f>
        <v>Sin precio neto G.C.</v>
      </c>
    </row>
    <row r="55">
      <c r="A55" s="4" t="str">
        <f>IFERROR(__xludf.DUMMYFUNCTION("""COMPUTED_VALUE"""),"154")</f>
        <v>154</v>
      </c>
      <c r="B55" s="4" t="str">
        <f>IFERROR(__xludf.DUMMYFUNCTION("""COMPUTED_VALUE"""),"Cartel PVC 21x21 Fotolum. PULSADOR IZQUIERDA")</f>
        <v>Cartel PVC 21x21 Fotolum. PULSADOR IZQUIERDA</v>
      </c>
      <c r="C55" s="4">
        <f>IFERROR(__xludf.DUMMYFUNCTION("""COMPUTED_VALUE"""),2.31)</f>
        <v>2.31</v>
      </c>
      <c r="D55" s="4"/>
      <c r="E55" s="4" t="str">
        <f>IFERROR(__xludf.DUMMYFUNCTION("""COMPUTED_VALUE"""),"Sin precio neto G.C.")</f>
        <v>Sin precio neto G.C.</v>
      </c>
    </row>
    <row r="56">
      <c r="A56" s="4" t="str">
        <f>IFERROR(__xludf.DUMMYFUNCTION("""COMPUTED_VALUE"""),"0154A")</f>
        <v>0154A</v>
      </c>
      <c r="B56" s="4" t="str">
        <f>IFERROR(__xludf.DUMMYFUNCTION("""COMPUTED_VALUE"""),"Cartel PVC 21x21 Fotolum. Flecha abajo izquierda")</f>
        <v>Cartel PVC 21x21 Fotolum. Flecha abajo izquierda</v>
      </c>
      <c r="C56" s="4">
        <f>IFERROR(__xludf.DUMMYFUNCTION("""COMPUTED_VALUE"""),2.31)</f>
        <v>2.31</v>
      </c>
      <c r="D56" s="4"/>
      <c r="E56" s="4" t="str">
        <f>IFERROR(__xludf.DUMMYFUNCTION("""COMPUTED_VALUE"""),"Sin precio neto G.C.")</f>
        <v>Sin precio neto G.C.</v>
      </c>
    </row>
    <row r="57">
      <c r="A57" s="4" t="str">
        <f>IFERROR(__xludf.DUMMYFUNCTION("""COMPUTED_VALUE"""),"0154B")</f>
        <v>0154B</v>
      </c>
      <c r="B57" s="4" t="str">
        <f>IFERROR(__xludf.DUMMYFUNCTION("""COMPUTED_VALUE"""),"Cartel PVC 42x42 Fotolum. Flecha abajo izquierda")</f>
        <v>Cartel PVC 42x42 Fotolum. Flecha abajo izquierda</v>
      </c>
      <c r="C57" s="4">
        <f>IFERROR(__xludf.DUMMYFUNCTION("""COMPUTED_VALUE"""),3.9)</f>
        <v>3.9</v>
      </c>
      <c r="D57" s="4"/>
      <c r="E57" s="4" t="str">
        <f>IFERROR(__xludf.DUMMYFUNCTION("""COMPUTED_VALUE"""),"Sin precio neto G.C.")</f>
        <v>Sin precio neto G.C.</v>
      </c>
    </row>
    <row r="58">
      <c r="A58" s="4" t="str">
        <f>IFERROR(__xludf.DUMMYFUNCTION("""COMPUTED_VALUE"""),"0154C")</f>
        <v>0154C</v>
      </c>
      <c r="B58" s="4" t="str">
        <f>IFERROR(__xludf.DUMMYFUNCTION("""COMPUTED_VALUE"""),"Cartel PVC 21x21 Fotolum. Flecha abajo izquierda")</f>
        <v>Cartel PVC 21x21 Fotolum. Flecha abajo izquierda</v>
      </c>
      <c r="C58" s="4">
        <f>IFERROR(__xludf.DUMMYFUNCTION("""COMPUTED_VALUE"""),6.25)</f>
        <v>6.25</v>
      </c>
      <c r="D58" s="4"/>
      <c r="E58" s="4" t="str">
        <f>IFERROR(__xludf.DUMMYFUNCTION("""COMPUTED_VALUE"""),"Sin precio neto G.C.")</f>
        <v>Sin precio neto G.C.</v>
      </c>
    </row>
    <row r="59">
      <c r="A59" s="4" t="str">
        <f>IFERROR(__xludf.DUMMYFUNCTION("""COMPUTED_VALUE"""),"155")</f>
        <v>155</v>
      </c>
      <c r="B59" s="4" t="str">
        <f>IFERROR(__xludf.DUMMYFUNCTION("""COMPUTED_VALUE"""),"Cartel PVC 21x21 Fotolum. PULSADOR DERECHA")</f>
        <v>Cartel PVC 21x21 Fotolum. PULSADOR DERECHA</v>
      </c>
      <c r="C59" s="4">
        <f>IFERROR(__xludf.DUMMYFUNCTION("""COMPUTED_VALUE"""),2.31)</f>
        <v>2.31</v>
      </c>
      <c r="D59" s="4"/>
      <c r="E59" s="4" t="str">
        <f>IFERROR(__xludf.DUMMYFUNCTION("""COMPUTED_VALUE"""),"Sin precio neto G.C.")</f>
        <v>Sin precio neto G.C.</v>
      </c>
    </row>
    <row r="60">
      <c r="A60" s="4" t="str">
        <f>IFERROR(__xludf.DUMMYFUNCTION("""COMPUTED_VALUE"""),"160")</f>
        <v>160</v>
      </c>
      <c r="B60" s="4" t="str">
        <f>IFERROR(__xludf.DUMMYFUNCTION("""COMPUTED_VALUE"""),"Cartel PVC 21x21 Fotolum. PUERTA EMERGENCIA IZQ.")</f>
        <v>Cartel PVC 21x21 Fotolum. PUERTA EMERGENCIA IZQ.</v>
      </c>
      <c r="C60" s="4">
        <f>IFERROR(__xludf.DUMMYFUNCTION("""COMPUTED_VALUE"""),2.31)</f>
        <v>2.31</v>
      </c>
      <c r="D60" s="4"/>
      <c r="E60" s="4" t="str">
        <f>IFERROR(__xludf.DUMMYFUNCTION("""COMPUTED_VALUE"""),"Sin precio neto G.C.")</f>
        <v>Sin precio neto G.C.</v>
      </c>
    </row>
    <row r="61">
      <c r="A61" s="4" t="str">
        <f>IFERROR(__xludf.DUMMYFUNCTION("""COMPUTED_VALUE"""),"0160A")</f>
        <v>0160A</v>
      </c>
      <c r="B61" s="4" t="str">
        <f>IFERROR(__xludf.DUMMYFUNCTION("""COMPUTED_VALUE"""),"Cartel PVC 21x21 Fotolum. Salida emergencia izquierda")</f>
        <v>Cartel PVC 21x21 Fotolum. Salida emergencia izquierda</v>
      </c>
      <c r="C61" s="4">
        <f>IFERROR(__xludf.DUMMYFUNCTION("""COMPUTED_VALUE"""),2.31)</f>
        <v>2.31</v>
      </c>
      <c r="D61" s="4"/>
      <c r="E61" s="4" t="str">
        <f>IFERROR(__xludf.DUMMYFUNCTION("""COMPUTED_VALUE"""),"Sin precio neto G.C.")</f>
        <v>Sin precio neto G.C.</v>
      </c>
    </row>
    <row r="62">
      <c r="A62" s="4" t="str">
        <f>IFERROR(__xludf.DUMMYFUNCTION("""COMPUTED_VALUE"""),"0160B")</f>
        <v>0160B</v>
      </c>
      <c r="B62" s="4" t="str">
        <f>IFERROR(__xludf.DUMMYFUNCTION("""COMPUTED_VALUE"""),"Cartel PVC 42x42 Fotolum. Salida emergencia izquierda")</f>
        <v>Cartel PVC 42x42 Fotolum. Salida emergencia izquierda</v>
      </c>
      <c r="C62" s="4">
        <f>IFERROR(__xludf.DUMMYFUNCTION("""COMPUTED_VALUE"""),3.9)</f>
        <v>3.9</v>
      </c>
      <c r="D62" s="4"/>
      <c r="E62" s="4" t="str">
        <f>IFERROR(__xludf.DUMMYFUNCTION("""COMPUTED_VALUE"""),"Sin precio neto G.C.")</f>
        <v>Sin precio neto G.C.</v>
      </c>
    </row>
    <row r="63">
      <c r="A63" s="4" t="str">
        <f>IFERROR(__xludf.DUMMYFUNCTION("""COMPUTED_VALUE"""),"0160C")</f>
        <v>0160C</v>
      </c>
      <c r="B63" s="4" t="str">
        <f>IFERROR(__xludf.DUMMYFUNCTION("""COMPUTED_VALUE"""),"Cartel PVC 63x63 Fotolum. Salida emergencia izquierda")</f>
        <v>Cartel PVC 63x63 Fotolum. Salida emergencia izquierda</v>
      </c>
      <c r="C63" s="4">
        <f>IFERROR(__xludf.DUMMYFUNCTION("""COMPUTED_VALUE"""),6.25)</f>
        <v>6.25</v>
      </c>
      <c r="D63" s="4"/>
      <c r="E63" s="4" t="str">
        <f>IFERROR(__xludf.DUMMYFUNCTION("""COMPUTED_VALUE"""),"Sin precio neto G.C.")</f>
        <v>Sin precio neto G.C.</v>
      </c>
    </row>
    <row r="64">
      <c r="A64" s="4" t="str">
        <f>IFERROR(__xludf.DUMMYFUNCTION("""COMPUTED_VALUE"""),"161")</f>
        <v>161</v>
      </c>
      <c r="B64" s="4" t="str">
        <f>IFERROR(__xludf.DUMMYFUNCTION("""COMPUTED_VALUE"""),"Cartel PVC 21x21 Fotolum. PUERTA EMERGENCIA")</f>
        <v>Cartel PVC 21x21 Fotolum. PUERTA EMERGENCIA</v>
      </c>
      <c r="C64" s="4">
        <f>IFERROR(__xludf.DUMMYFUNCTION("""COMPUTED_VALUE"""),2.31)</f>
        <v>2.31</v>
      </c>
      <c r="D64" s="4"/>
      <c r="E64" s="4" t="str">
        <f>IFERROR(__xludf.DUMMYFUNCTION("""COMPUTED_VALUE"""),"Sin precio neto G.C.")</f>
        <v>Sin precio neto G.C.</v>
      </c>
    </row>
    <row r="65">
      <c r="A65" s="4" t="str">
        <f>IFERROR(__xludf.DUMMYFUNCTION("""COMPUTED_VALUE"""),"0161A")</f>
        <v>0161A</v>
      </c>
      <c r="B65" s="4" t="str">
        <f>IFERROR(__xludf.DUMMYFUNCTION("""COMPUTED_VALUE"""),"Cartel PVC 21x21 Fotolum. Salida emergencia derecha")</f>
        <v>Cartel PVC 21x21 Fotolum. Salida emergencia derecha</v>
      </c>
      <c r="C65" s="4">
        <f>IFERROR(__xludf.DUMMYFUNCTION("""COMPUTED_VALUE"""),2.31)</f>
        <v>2.31</v>
      </c>
      <c r="D65" s="4"/>
      <c r="E65" s="4" t="str">
        <f>IFERROR(__xludf.DUMMYFUNCTION("""COMPUTED_VALUE"""),"Sin precio neto G.C.")</f>
        <v>Sin precio neto G.C.</v>
      </c>
    </row>
    <row r="66">
      <c r="A66" s="4" t="str">
        <f>IFERROR(__xludf.DUMMYFUNCTION("""COMPUTED_VALUE"""),"0161B")</f>
        <v>0161B</v>
      </c>
      <c r="B66" s="4" t="str">
        <f>IFERROR(__xludf.DUMMYFUNCTION("""COMPUTED_VALUE"""),"Cartel PVC 42x42 Fotolum. Salida emergencia derecha")</f>
        <v>Cartel PVC 42x42 Fotolum. Salida emergencia derecha</v>
      </c>
      <c r="C66" s="4">
        <f>IFERROR(__xludf.DUMMYFUNCTION("""COMPUTED_VALUE"""),3.9)</f>
        <v>3.9</v>
      </c>
      <c r="D66" s="4"/>
      <c r="E66" s="4" t="str">
        <f>IFERROR(__xludf.DUMMYFUNCTION("""COMPUTED_VALUE"""),"Sin precio neto G.C.")</f>
        <v>Sin precio neto G.C.</v>
      </c>
    </row>
    <row r="67">
      <c r="A67" s="4" t="str">
        <f>IFERROR(__xludf.DUMMYFUNCTION("""COMPUTED_VALUE"""),"0161C")</f>
        <v>0161C</v>
      </c>
      <c r="B67" s="4" t="str">
        <f>IFERROR(__xludf.DUMMYFUNCTION("""COMPUTED_VALUE"""),"Cartel PVC 63x63 Fotolum. Salida emergencia derecha")</f>
        <v>Cartel PVC 63x63 Fotolum. Salida emergencia derecha</v>
      </c>
      <c r="C67" s="4">
        <f>IFERROR(__xludf.DUMMYFUNCTION("""COMPUTED_VALUE"""),6.25)</f>
        <v>6.25</v>
      </c>
      <c r="D67" s="4"/>
      <c r="E67" s="4" t="str">
        <f>IFERROR(__xludf.DUMMYFUNCTION("""COMPUTED_VALUE"""),"Sin precio neto G.C.")</f>
        <v>Sin precio neto G.C.</v>
      </c>
    </row>
    <row r="68">
      <c r="A68" s="4" t="str">
        <f>IFERROR(__xludf.DUMMYFUNCTION("""COMPUTED_VALUE"""),"162")</f>
        <v>162</v>
      </c>
      <c r="B68" s="4" t="str">
        <f>IFERROR(__xludf.DUMMYFUNCTION("""COMPUTED_VALUE"""),"Cartel PVC 21x21 Fotolum. PUERTA-ESCALERA EMERG. IZ")</f>
        <v>Cartel PVC 21x21 Fotolum. PUERTA-ESCALERA EMERG. IZ</v>
      </c>
      <c r="C68" s="4">
        <f>IFERROR(__xludf.DUMMYFUNCTION("""COMPUTED_VALUE"""),2.31)</f>
        <v>2.31</v>
      </c>
      <c r="D68" s="4"/>
      <c r="E68" s="4" t="str">
        <f>IFERROR(__xludf.DUMMYFUNCTION("""COMPUTED_VALUE"""),"Sin precio neto G.C.")</f>
        <v>Sin precio neto G.C.</v>
      </c>
    </row>
    <row r="69">
      <c r="A69" s="4" t="str">
        <f>IFERROR(__xludf.DUMMYFUNCTION("""COMPUTED_VALUE"""),"0162A")</f>
        <v>0162A</v>
      </c>
      <c r="B69" s="4" t="str">
        <f>IFERROR(__xludf.DUMMYFUNCTION("""COMPUTED_VALUE"""),"Cartel PVC 21x21 Fotolum. flecha izquierda")</f>
        <v>Cartel PVC 21x21 Fotolum. flecha izquierda</v>
      </c>
      <c r="C69" s="4">
        <f>IFERROR(__xludf.DUMMYFUNCTION("""COMPUTED_VALUE"""),1.25)</f>
        <v>1.25</v>
      </c>
      <c r="D69" s="4"/>
      <c r="E69" s="4" t="str">
        <f>IFERROR(__xludf.DUMMYFUNCTION("""COMPUTED_VALUE"""),"Sin precio neto G.C.")</f>
        <v>Sin precio neto G.C.</v>
      </c>
    </row>
    <row r="70">
      <c r="A70" s="4" t="str">
        <f>IFERROR(__xludf.DUMMYFUNCTION("""COMPUTED_VALUE"""),"0162B")</f>
        <v>0162B</v>
      </c>
      <c r="B70" s="4" t="str">
        <f>IFERROR(__xludf.DUMMYFUNCTION("""COMPUTED_VALUE"""),"Cartel PVC 42x42 Fotolum. flecha izquierda")</f>
        <v>Cartel PVC 42x42 Fotolum. flecha izquierda</v>
      </c>
      <c r="C70" s="4">
        <f>IFERROR(__xludf.DUMMYFUNCTION("""COMPUTED_VALUE"""),3.9)</f>
        <v>3.9</v>
      </c>
      <c r="D70" s="4"/>
      <c r="E70" s="4" t="str">
        <f>IFERROR(__xludf.DUMMYFUNCTION("""COMPUTED_VALUE"""),"Sin precio neto G.C.")</f>
        <v>Sin precio neto G.C.</v>
      </c>
    </row>
    <row r="71">
      <c r="A71" s="4" t="str">
        <f>IFERROR(__xludf.DUMMYFUNCTION("""COMPUTED_VALUE"""),"0162C")</f>
        <v>0162C</v>
      </c>
      <c r="B71" s="4" t="str">
        <f>IFERROR(__xludf.DUMMYFUNCTION("""COMPUTED_VALUE"""),"Cartel PVC 63x63 Fotolum. flecha izquierda")</f>
        <v>Cartel PVC 63x63 Fotolum. flecha izquierda</v>
      </c>
      <c r="C71" s="4">
        <f>IFERROR(__xludf.DUMMYFUNCTION("""COMPUTED_VALUE"""),6.25)</f>
        <v>6.25</v>
      </c>
      <c r="D71" s="4"/>
      <c r="E71" s="4" t="str">
        <f>IFERROR(__xludf.DUMMYFUNCTION("""COMPUTED_VALUE"""),"Sin precio neto G.C.")</f>
        <v>Sin precio neto G.C.</v>
      </c>
    </row>
    <row r="72">
      <c r="A72" s="4" t="str">
        <f>IFERROR(__xludf.DUMMYFUNCTION("""COMPUTED_VALUE"""),"163")</f>
        <v>163</v>
      </c>
      <c r="B72" s="4" t="str">
        <f>IFERROR(__xludf.DUMMYFUNCTION("""COMPUTED_VALUE"""),"Cartel PVC 21x21 Fotolum. PUERTA-ESCALERA EMERG.")</f>
        <v>Cartel PVC 21x21 Fotolum. PUERTA-ESCALERA EMERG.</v>
      </c>
      <c r="C72" s="4">
        <f>IFERROR(__xludf.DUMMYFUNCTION("""COMPUTED_VALUE"""),2.31)</f>
        <v>2.31</v>
      </c>
      <c r="D72" s="4"/>
      <c r="E72" s="4" t="str">
        <f>IFERROR(__xludf.DUMMYFUNCTION("""COMPUTED_VALUE"""),"Sin precio neto G.C.")</f>
        <v>Sin precio neto G.C.</v>
      </c>
    </row>
    <row r="73">
      <c r="A73" s="4" t="str">
        <f>IFERROR(__xludf.DUMMYFUNCTION("""COMPUTED_VALUE"""),"0163A")</f>
        <v>0163A</v>
      </c>
      <c r="B73" s="4" t="str">
        <f>IFERROR(__xludf.DUMMYFUNCTION("""COMPUTED_VALUE"""),"Cartel PVC 21x21 Fotolum. flecha derecha")</f>
        <v>Cartel PVC 21x21 Fotolum. flecha derecha</v>
      </c>
      <c r="C73" s="4">
        <f>IFERROR(__xludf.DUMMYFUNCTION("""COMPUTED_VALUE"""),2.31)</f>
        <v>2.31</v>
      </c>
      <c r="D73" s="4"/>
      <c r="E73" s="4" t="str">
        <f>IFERROR(__xludf.DUMMYFUNCTION("""COMPUTED_VALUE"""),"Sin precio neto G.C.")</f>
        <v>Sin precio neto G.C.</v>
      </c>
    </row>
    <row r="74">
      <c r="A74" s="4" t="str">
        <f>IFERROR(__xludf.DUMMYFUNCTION("""COMPUTED_VALUE"""),"0163B")</f>
        <v>0163B</v>
      </c>
      <c r="B74" s="4" t="str">
        <f>IFERROR(__xludf.DUMMYFUNCTION("""COMPUTED_VALUE"""),"Cartel PVC 42x42 Fotolum. flecha derecha")</f>
        <v>Cartel PVC 42x42 Fotolum. flecha derecha</v>
      </c>
      <c r="C74" s="4">
        <f>IFERROR(__xludf.DUMMYFUNCTION("""COMPUTED_VALUE"""),3.9)</f>
        <v>3.9</v>
      </c>
      <c r="D74" s="4"/>
      <c r="E74" s="4" t="str">
        <f>IFERROR(__xludf.DUMMYFUNCTION("""COMPUTED_VALUE"""),"Sin precio neto G.C.")</f>
        <v>Sin precio neto G.C.</v>
      </c>
    </row>
    <row r="75">
      <c r="A75" s="4" t="str">
        <f>IFERROR(__xludf.DUMMYFUNCTION("""COMPUTED_VALUE"""),"0163C")</f>
        <v>0163C</v>
      </c>
      <c r="B75" s="4" t="str">
        <f>IFERROR(__xludf.DUMMYFUNCTION("""COMPUTED_VALUE"""),"Cartel PVC 63x63 Fotolum. flecha derecha")</f>
        <v>Cartel PVC 63x63 Fotolum. flecha derecha</v>
      </c>
      <c r="C75" s="4">
        <f>IFERROR(__xludf.DUMMYFUNCTION("""COMPUTED_VALUE"""),6.25)</f>
        <v>6.25</v>
      </c>
      <c r="D75" s="4"/>
      <c r="E75" s="4" t="str">
        <f>IFERROR(__xludf.DUMMYFUNCTION("""COMPUTED_VALUE"""),"Sin precio neto G.C.")</f>
        <v>Sin precio neto G.C.</v>
      </c>
    </row>
    <row r="76">
      <c r="A76" s="4" t="str">
        <f>IFERROR(__xludf.DUMMYFUNCTION("""COMPUTED_VALUE"""),"164")</f>
        <v>164</v>
      </c>
      <c r="B76" s="4" t="str">
        <f>IFERROR(__xludf.DUMMYFUNCTION("""COMPUTED_VALUE"""),"Cartel PVC 21x21 Fotolum. EMPUJAR BARRA APERTURA")</f>
        <v>Cartel PVC 21x21 Fotolum. EMPUJAR BARRA APERTURA</v>
      </c>
      <c r="C76" s="4">
        <f>IFERROR(__xludf.DUMMYFUNCTION("""COMPUTED_VALUE"""),2.31)</f>
        <v>2.31</v>
      </c>
      <c r="D76" s="4"/>
      <c r="E76" s="4" t="str">
        <f>IFERROR(__xludf.DUMMYFUNCTION("""COMPUTED_VALUE"""),"Sin precio neto G.C.")</f>
        <v>Sin precio neto G.C.</v>
      </c>
    </row>
    <row r="77">
      <c r="A77" s="4" t="str">
        <f>IFERROR(__xludf.DUMMYFUNCTION("""COMPUTED_VALUE"""),"165")</f>
        <v>165</v>
      </c>
      <c r="B77" s="4" t="str">
        <f>IFERROR(__xludf.DUMMYFUNCTION("""COMPUTED_VALUE"""),"Cartel PVC 21x21 Fotolum. FLECHA")</f>
        <v>Cartel PVC 21x21 Fotolum. FLECHA</v>
      </c>
      <c r="C77" s="4">
        <f>IFERROR(__xludf.DUMMYFUNCTION("""COMPUTED_VALUE"""),2.31)</f>
        <v>2.31</v>
      </c>
      <c r="D77" s="4"/>
      <c r="E77" s="4" t="str">
        <f>IFERROR(__xludf.DUMMYFUNCTION("""COMPUTED_VALUE"""),"Sin precio neto G.C.")</f>
        <v>Sin precio neto G.C.</v>
      </c>
    </row>
    <row r="78">
      <c r="A78" s="4" t="str">
        <f>IFERROR(__xludf.DUMMYFUNCTION("""COMPUTED_VALUE"""),"175")</f>
        <v>175</v>
      </c>
      <c r="B78" s="4" t="str">
        <f>IFERROR(__xludf.DUMMYFUNCTION("""COMPUTED_VALUE"""),"Cartel PVC 30x10 Fotolum. SALIDA")</f>
        <v>Cartel PVC 30x10 Fotolum. SALIDA</v>
      </c>
      <c r="C78" s="4">
        <f>IFERROR(__xludf.DUMMYFUNCTION("""COMPUTED_VALUE"""),1.89)</f>
        <v>1.89</v>
      </c>
      <c r="D78" s="4"/>
      <c r="E78" s="4" t="str">
        <f>IFERROR(__xludf.DUMMYFUNCTION("""COMPUTED_VALUE"""),"Sin precio neto G.C.")</f>
        <v>Sin precio neto G.C.</v>
      </c>
    </row>
    <row r="79">
      <c r="A79" s="4" t="str">
        <f>IFERROR(__xludf.DUMMYFUNCTION("""COMPUTED_VALUE"""),"176")</f>
        <v>176</v>
      </c>
      <c r="B79" s="4" t="str">
        <f>IFERROR(__xludf.DUMMYFUNCTION("""COMPUTED_VALUE"""),"Cartel PVC 30x10 Fotolum. SALIDA FLECHA DCHA")</f>
        <v>Cartel PVC 30x10 Fotolum. SALIDA FLECHA DCHA</v>
      </c>
      <c r="C79" s="4">
        <f>IFERROR(__xludf.DUMMYFUNCTION("""COMPUTED_VALUE"""),1.89)</f>
        <v>1.89</v>
      </c>
      <c r="D79" s="4"/>
      <c r="E79" s="4" t="str">
        <f>IFERROR(__xludf.DUMMYFUNCTION("""COMPUTED_VALUE"""),"Sin precio neto G.C.")</f>
        <v>Sin precio neto G.C.</v>
      </c>
    </row>
    <row r="80">
      <c r="A80" s="4" t="str">
        <f>IFERROR(__xludf.DUMMYFUNCTION("""COMPUTED_VALUE"""),"177")</f>
        <v>177</v>
      </c>
      <c r="B80" s="4" t="str">
        <f>IFERROR(__xludf.DUMMYFUNCTION("""COMPUTED_VALUE"""),"Cartel PVC 30x10 Fotolum. SALIDA FLECHA IZQ.")</f>
        <v>Cartel PVC 30x10 Fotolum. SALIDA FLECHA IZQ.</v>
      </c>
      <c r="C80" s="4">
        <f>IFERROR(__xludf.DUMMYFUNCTION("""COMPUTED_VALUE"""),1.89)</f>
        <v>1.89</v>
      </c>
      <c r="D80" s="4"/>
      <c r="E80" s="4" t="str">
        <f>IFERROR(__xludf.DUMMYFUNCTION("""COMPUTED_VALUE"""),"Sin precio neto G.C.")</f>
        <v>Sin precio neto G.C.</v>
      </c>
    </row>
    <row r="81">
      <c r="A81" s="4" t="str">
        <f>IFERROR(__xludf.DUMMYFUNCTION("""COMPUTED_VALUE"""),"178")</f>
        <v>178</v>
      </c>
      <c r="B81" s="4" t="str">
        <f>IFERROR(__xludf.DUMMYFUNCTION("""COMPUTED_VALUE"""),"Cartel PVC 30x10 Fotolum. SALIDA FLECHA ARRIBA")</f>
        <v>Cartel PVC 30x10 Fotolum. SALIDA FLECHA ARRIBA</v>
      </c>
      <c r="C81" s="4">
        <f>IFERROR(__xludf.DUMMYFUNCTION("""COMPUTED_VALUE"""),1.89)</f>
        <v>1.89</v>
      </c>
      <c r="D81" s="4"/>
      <c r="E81" s="4" t="str">
        <f>IFERROR(__xludf.DUMMYFUNCTION("""COMPUTED_VALUE"""),"Sin precio neto G.C.")</f>
        <v>Sin precio neto G.C.</v>
      </c>
    </row>
    <row r="82">
      <c r="A82" s="4" t="str">
        <f>IFERROR(__xludf.DUMMYFUNCTION("""COMPUTED_VALUE"""),"179")</f>
        <v>179</v>
      </c>
      <c r="B82" s="4" t="str">
        <f>IFERROR(__xludf.DUMMYFUNCTION("""COMPUTED_VALUE"""),"Cartel PVC 30x10 Fotolum. SALIDA FLECHA ABAJO")</f>
        <v>Cartel PVC 30x10 Fotolum. SALIDA FLECHA ABAJO</v>
      </c>
      <c r="C82" s="4">
        <f>IFERROR(__xludf.DUMMYFUNCTION("""COMPUTED_VALUE"""),1.89)</f>
        <v>1.89</v>
      </c>
      <c r="D82" s="4"/>
      <c r="E82" s="4" t="str">
        <f>IFERROR(__xludf.DUMMYFUNCTION("""COMPUTED_VALUE"""),"Sin precio neto G.C.")</f>
        <v>Sin precio neto G.C.</v>
      </c>
    </row>
    <row r="83">
      <c r="A83" s="4" t="str">
        <f>IFERROR(__xludf.DUMMYFUNCTION("""COMPUTED_VALUE"""),"180")</f>
        <v>180</v>
      </c>
      <c r="B83" s="4" t="str">
        <f>IFERROR(__xludf.DUMMYFUNCTION("""COMPUTED_VALUE"""),"Cartel PVC 30x10 Fotolum. SALIDA EMERGENCIA FLECHA")</f>
        <v>Cartel PVC 30x10 Fotolum. SALIDA EMERGENCIA FLECHA</v>
      </c>
      <c r="C83" s="4">
        <f>IFERROR(__xludf.DUMMYFUNCTION("""COMPUTED_VALUE"""),1.89)</f>
        <v>1.89</v>
      </c>
      <c r="D83" s="4"/>
      <c r="E83" s="4" t="str">
        <f>IFERROR(__xludf.DUMMYFUNCTION("""COMPUTED_VALUE"""),"Sin precio neto G.C.")</f>
        <v>Sin precio neto G.C.</v>
      </c>
    </row>
    <row r="84">
      <c r="A84" s="4" t="str">
        <f>IFERROR(__xludf.DUMMYFUNCTION("""COMPUTED_VALUE"""),"181")</f>
        <v>181</v>
      </c>
      <c r="B84" s="4" t="str">
        <f>IFERROR(__xludf.DUMMYFUNCTION("""COMPUTED_VALUE"""),"Cartel PVC 30x10 Fotolum. SALIDA EMERGENCIA FLECHA")</f>
        <v>Cartel PVC 30x10 Fotolum. SALIDA EMERGENCIA FLECHA</v>
      </c>
      <c r="C84" s="4">
        <f>IFERROR(__xludf.DUMMYFUNCTION("""COMPUTED_VALUE"""),1.89)</f>
        <v>1.89</v>
      </c>
      <c r="D84" s="4"/>
      <c r="E84" s="4" t="str">
        <f>IFERROR(__xludf.DUMMYFUNCTION("""COMPUTED_VALUE"""),"Sin precio neto G.C.")</f>
        <v>Sin precio neto G.C.</v>
      </c>
    </row>
    <row r="85">
      <c r="A85" s="4" t="str">
        <f>IFERROR(__xludf.DUMMYFUNCTION("""COMPUTED_VALUE"""),"182")</f>
        <v>182</v>
      </c>
      <c r="B85" s="4" t="str">
        <f>IFERROR(__xludf.DUMMYFUNCTION("""COMPUTED_VALUE"""),"Cartel PVC 30x10 Fotolum. FLECHA")</f>
        <v>Cartel PVC 30x10 Fotolum. FLECHA</v>
      </c>
      <c r="C85" s="4">
        <f>IFERROR(__xludf.DUMMYFUNCTION("""COMPUTED_VALUE"""),1.89)</f>
        <v>1.89</v>
      </c>
      <c r="D85" s="4"/>
      <c r="E85" s="4" t="str">
        <f>IFERROR(__xludf.DUMMYFUNCTION("""COMPUTED_VALUE"""),"Sin precio neto G.C.")</f>
        <v>Sin precio neto G.C.</v>
      </c>
    </row>
    <row r="86">
      <c r="A86" s="4" t="str">
        <f>IFERROR(__xludf.DUMMYFUNCTION("""COMPUTED_VALUE"""),"183")</f>
        <v>183</v>
      </c>
      <c r="B86" s="4" t="str">
        <f>IFERROR(__xludf.DUMMYFUNCTION("""COMPUTED_VALUE"""),"Cartel PVC 30x10 Fotolum. SALIDA DE EMERGENCIA")</f>
        <v>Cartel PVC 30x10 Fotolum. SALIDA DE EMERGENCIA</v>
      </c>
      <c r="C86" s="4">
        <f>IFERROR(__xludf.DUMMYFUNCTION("""COMPUTED_VALUE"""),1.89)</f>
        <v>1.89</v>
      </c>
      <c r="D86" s="4"/>
      <c r="E86" s="4" t="str">
        <f>IFERROR(__xludf.DUMMYFUNCTION("""COMPUTED_VALUE"""),"Sin precio neto G.C.")</f>
        <v>Sin precio neto G.C.</v>
      </c>
    </row>
    <row r="87">
      <c r="A87" s="4" t="str">
        <f>IFERROR(__xludf.DUMMYFUNCTION("""COMPUTED_VALUE"""),"184")</f>
        <v>184</v>
      </c>
      <c r="B87" s="4" t="str">
        <f>IFERROR(__xludf.DUMMYFUNCTION("""COMPUTED_VALUE"""),"Cartel PVC 650x105 mm SALIDA DE EMERGENCIA")</f>
        <v>Cartel PVC 650x105 mm SALIDA DE EMERGENCIA</v>
      </c>
      <c r="C87" s="4">
        <f>IFERROR(__xludf.DUMMYFUNCTION("""COMPUTED_VALUE"""),1.89)</f>
        <v>1.89</v>
      </c>
      <c r="D87" s="4"/>
      <c r="E87" s="4" t="str">
        <f>IFERROR(__xludf.DUMMYFUNCTION("""COMPUTED_VALUE"""),"Sin precio neto G.C.")</f>
        <v>Sin precio neto G.C.</v>
      </c>
    </row>
    <row r="88">
      <c r="A88" s="4" t="str">
        <f>IFERROR(__xludf.DUMMYFUNCTION("""COMPUTED_VALUE"""),"199")</f>
        <v>199</v>
      </c>
      <c r="B88" s="4" t="str">
        <f>IFERROR(__xludf.DUMMYFUNCTION("""COMPUTED_VALUE"""),"Cartel PVC 21x29 Fotolum. DUCHA DE EMERGENCIA")</f>
        <v>Cartel PVC 21x29 Fotolum. DUCHA DE EMERGENCIA</v>
      </c>
      <c r="C88" s="4">
        <f>IFERROR(__xludf.DUMMYFUNCTION("""COMPUTED_VALUE"""),2.6)</f>
        <v>2.6</v>
      </c>
      <c r="D88" s="4">
        <f>IFERROR(__xludf.DUMMYFUNCTION("""COMPUTED_VALUE"""),2.1)</f>
        <v>2.1</v>
      </c>
      <c r="E88" s="4" t="str">
        <f>IFERROR(__xludf.DUMMYFUNCTION("""COMPUTED_VALUE"""),"Neto G.C.: 2,10 € (a partir de 1 uds.)")</f>
        <v>Neto G.C.: 2,10 € (a partir de 1 uds.)</v>
      </c>
    </row>
    <row r="89">
      <c r="A89" s="4" t="str">
        <f>IFERROR(__xludf.DUMMYFUNCTION("""COMPUTED_VALUE"""),"0199A")</f>
        <v>0199A</v>
      </c>
      <c r="B89" s="4" t="str">
        <f>IFERROR(__xludf.DUMMYFUNCTION("""COMPUTED_VALUE"""),"Cartel PVC 21x30 Fotolum. ducha de emergencia")</f>
        <v>Cartel PVC 21x30 Fotolum. ducha de emergencia</v>
      </c>
      <c r="C89" s="4">
        <f>IFERROR(__xludf.DUMMYFUNCTION("""COMPUTED_VALUE"""),2.52)</f>
        <v>2.52</v>
      </c>
      <c r="D89" s="4">
        <f>IFERROR(__xludf.DUMMYFUNCTION("""COMPUTED_VALUE"""),2.1)</f>
        <v>2.1</v>
      </c>
      <c r="E89" s="4" t="str">
        <f>IFERROR(__xludf.DUMMYFUNCTION("""COMPUTED_VALUE"""),"Neto G.C.: 2,10 € (a partir de 1 uds.)")</f>
        <v>Neto G.C.: 2,10 € (a partir de 1 uds.)</v>
      </c>
    </row>
    <row r="90">
      <c r="A90" s="4" t="str">
        <f>IFERROR(__xludf.DUMMYFUNCTION("""COMPUTED_VALUE"""),"0199B")</f>
        <v>0199B</v>
      </c>
      <c r="B90" s="4" t="str">
        <f>IFERROR(__xludf.DUMMYFUNCTION("""COMPUTED_VALUE"""),"Cartel PVC 40x30 Fotolum. ducha de emergencia")</f>
        <v>Cartel PVC 40x30 Fotolum. ducha de emergencia</v>
      </c>
      <c r="C90" s="4">
        <f>IFERROR(__xludf.DUMMYFUNCTION("""COMPUTED_VALUE"""),3.1)</f>
        <v>3.1</v>
      </c>
      <c r="D90" s="4">
        <f>IFERROR(__xludf.DUMMYFUNCTION("""COMPUTED_VALUE"""),3.2)</f>
        <v>3.2</v>
      </c>
      <c r="E90" s="4" t="str">
        <f>IFERROR(__xludf.DUMMYFUNCTION("""COMPUTED_VALUE"""),"Neto G.C.: 3,20 € (a partir de 1 uds.)")</f>
        <v>Neto G.C.: 3,20 € (a partir de 1 uds.)</v>
      </c>
    </row>
    <row r="91">
      <c r="A91" s="4" t="str">
        <f>IFERROR(__xludf.DUMMYFUNCTION("""COMPUTED_VALUE"""),"0200/G")</f>
        <v>0200/G</v>
      </c>
      <c r="B91" s="4" t="str">
        <f>IFERROR(__xludf.DUMMYFUNCTION("""COMPUTED_VALUE"""),"Señal Poliprop. Amarillo 50x50 c/ollados + Pictograma")</f>
        <v>Señal Poliprop. Amarillo 50x50 c/ollados + Pictograma</v>
      </c>
      <c r="C91" s="4">
        <f>IFERROR(__xludf.DUMMYFUNCTION("""COMPUTED_VALUE"""),9.6)</f>
        <v>9.6</v>
      </c>
      <c r="D91" s="4"/>
      <c r="E91" s="4" t="str">
        <f>IFERROR(__xludf.DUMMYFUNCTION("""COMPUTED_VALUE"""),"Sin precio neto G.C.")</f>
        <v>Sin precio neto G.C.</v>
      </c>
    </row>
    <row r="92">
      <c r="A92" s="4" t="str">
        <f>IFERROR(__xludf.DUMMYFUNCTION("""COMPUTED_VALUE"""),"0200S2130")</f>
        <v>0200S2130</v>
      </c>
      <c r="B92" s="4" t="str">
        <f>IFERROR(__xludf.DUMMYFUNCTION("""COMPUTED_VALUE"""),"Soperte Acero Inox para cartel 21x29 cm")</f>
        <v>Soperte Acero Inox para cartel 21x29 cm</v>
      </c>
      <c r="C92" s="4">
        <f>IFERROR(__xludf.DUMMYFUNCTION("""COMPUTED_VALUE"""),14.5)</f>
        <v>14.5</v>
      </c>
      <c r="D92" s="4"/>
      <c r="E92" s="4" t="str">
        <f>IFERROR(__xludf.DUMMYFUNCTION("""COMPUTED_VALUE"""),"Sin precio neto G.C.")</f>
        <v>Sin precio neto G.C.</v>
      </c>
    </row>
    <row r="93">
      <c r="A93" s="4" t="str">
        <f>IFERROR(__xludf.DUMMYFUNCTION("""COMPUTED_VALUE"""),"0200S4030")</f>
        <v>0200S4030</v>
      </c>
      <c r="B93" s="4" t="str">
        <f>IFERROR(__xludf.DUMMYFUNCTION("""COMPUTED_VALUE"""),"Soporte Acero Inox para Cartel 40x30 cm")</f>
        <v>Soporte Acero Inox para Cartel 40x30 cm</v>
      </c>
      <c r="C93" s="4">
        <f>IFERROR(__xludf.DUMMYFUNCTION("""COMPUTED_VALUE"""),17.0)</f>
        <v>17</v>
      </c>
      <c r="D93" s="4"/>
      <c r="E93" s="4" t="str">
        <f>IFERROR(__xludf.DUMMYFUNCTION("""COMPUTED_VALUE"""),"Sin precio neto G.C.")</f>
        <v>Sin precio neto G.C.</v>
      </c>
    </row>
    <row r="94">
      <c r="A94" s="4" t="str">
        <f>IFERROR(__xludf.DUMMYFUNCTION("""COMPUTED_VALUE"""),"201")</f>
        <v>201</v>
      </c>
      <c r="B94" s="4" t="str">
        <f>IFERROR(__xludf.DUMMYFUNCTION("""COMPUTED_VALUE"""),"Cartel PVC 40x30 Fotolum. EXTINTOR")</f>
        <v>Cartel PVC 40x30 Fotolum. EXTINTOR</v>
      </c>
      <c r="C94" s="4">
        <f>IFERROR(__xludf.DUMMYFUNCTION("""COMPUTED_VALUE"""),3.35)</f>
        <v>3.35</v>
      </c>
      <c r="D94" s="4"/>
      <c r="E94" s="4" t="str">
        <f>IFERROR(__xludf.DUMMYFUNCTION("""COMPUTED_VALUE"""),"Sin precio neto G.C.")</f>
        <v>Sin precio neto G.C.</v>
      </c>
    </row>
    <row r="95">
      <c r="A95" s="4" t="str">
        <f>IFERROR(__xludf.DUMMYFUNCTION("""COMPUTED_VALUE"""),"202")</f>
        <v>202</v>
      </c>
      <c r="B95" s="4" t="str">
        <f>IFERROR(__xludf.DUMMYFUNCTION("""COMPUTED_VALUE"""),"Cartel PVC 21x30 Fotolum. Duchas emergencia derecha")</f>
        <v>Cartel PVC 21x30 Fotolum. Duchas emergencia derecha</v>
      </c>
      <c r="C95" s="4">
        <f>IFERROR(__xludf.DUMMYFUNCTION("""COMPUTED_VALUE"""),2.6)</f>
        <v>2.6</v>
      </c>
      <c r="D95" s="4">
        <f>IFERROR(__xludf.DUMMYFUNCTION("""COMPUTED_VALUE"""),2.1)</f>
        <v>2.1</v>
      </c>
      <c r="E95" s="4" t="str">
        <f>IFERROR(__xludf.DUMMYFUNCTION("""COMPUTED_VALUE"""),"Neto G.C.: 2,10 € (a partir de 1 uds.)")</f>
        <v>Neto G.C.: 2,10 € (a partir de 1 uds.)</v>
      </c>
    </row>
    <row r="96">
      <c r="A96" s="4" t="str">
        <f>IFERROR(__xludf.DUMMYFUNCTION("""COMPUTED_VALUE"""),"203")</f>
        <v>203</v>
      </c>
      <c r="B96" s="4" t="str">
        <f>IFERROR(__xludf.DUMMYFUNCTION("""COMPUTED_VALUE"""),"Cartel PVC 21x30 Fotolum. Duchas emergencia izq.")</f>
        <v>Cartel PVC 21x30 Fotolum. Duchas emergencia izq.</v>
      </c>
      <c r="C96" s="4">
        <f>IFERROR(__xludf.DUMMYFUNCTION("""COMPUTED_VALUE"""),2.6)</f>
        <v>2.6</v>
      </c>
      <c r="D96" s="4">
        <f>IFERROR(__xludf.DUMMYFUNCTION("""COMPUTED_VALUE"""),2.1)</f>
        <v>2.1</v>
      </c>
      <c r="E96" s="4" t="str">
        <f>IFERROR(__xludf.DUMMYFUNCTION("""COMPUTED_VALUE"""),"Neto G.C.: 2,10 € (a partir de 1 uds.)")</f>
        <v>Neto G.C.: 2,10 € (a partir de 1 uds.)</v>
      </c>
    </row>
    <row r="97">
      <c r="A97" s="4" t="str">
        <f>IFERROR(__xludf.DUMMYFUNCTION("""COMPUTED_VALUE"""),"0204A")</f>
        <v>0204A</v>
      </c>
      <c r="B97" s="4" t="str">
        <f>IFERROR(__xludf.DUMMYFUNCTION("""COMPUTED_VALUE"""),"Cartel PVC 21x30 Fotolum. Oficina")</f>
        <v>Cartel PVC 21x30 Fotolum. Oficina</v>
      </c>
      <c r="C97" s="4">
        <f>IFERROR(__xludf.DUMMYFUNCTION("""COMPUTED_VALUE"""),2.52)</f>
        <v>2.52</v>
      </c>
      <c r="D97" s="4">
        <f>IFERROR(__xludf.DUMMYFUNCTION("""COMPUTED_VALUE"""),2.1)</f>
        <v>2.1</v>
      </c>
      <c r="E97" s="4" t="str">
        <f>IFERROR(__xludf.DUMMYFUNCTION("""COMPUTED_VALUE"""),"Neto G.C.: 2,10 € (a partir de 1 uds.)")</f>
        <v>Neto G.C.: 2,10 € (a partir de 1 uds.)</v>
      </c>
    </row>
    <row r="98">
      <c r="A98" s="4" t="str">
        <f>IFERROR(__xludf.DUMMYFUNCTION("""COMPUTED_VALUE"""),"0204B")</f>
        <v>0204B</v>
      </c>
      <c r="B98" s="4" t="str">
        <f>IFERROR(__xludf.DUMMYFUNCTION("""COMPUTED_VALUE"""),"Cartel PVC 40x30 Fotolum. Oficina")</f>
        <v>Cartel PVC 40x30 Fotolum. Oficina</v>
      </c>
      <c r="C98" s="4">
        <f>IFERROR(__xludf.DUMMYFUNCTION("""COMPUTED_VALUE"""),3.1)</f>
        <v>3.1</v>
      </c>
      <c r="D98" s="4">
        <f>IFERROR(__xludf.DUMMYFUNCTION("""COMPUTED_VALUE"""),3.2)</f>
        <v>3.2</v>
      </c>
      <c r="E98" s="4" t="str">
        <f>IFERROR(__xludf.DUMMYFUNCTION("""COMPUTED_VALUE"""),"Neto G.C.: 3,20 € (a partir de 1 uds.)")</f>
        <v>Neto G.C.: 3,20 € (a partir de 1 uds.)</v>
      </c>
    </row>
    <row r="99">
      <c r="A99" s="4" t="str">
        <f>IFERROR(__xludf.DUMMYFUNCTION("""COMPUTED_VALUE"""),"0205A")</f>
        <v>0205A</v>
      </c>
      <c r="B99" s="4" t="str">
        <f>IFERROR(__xludf.DUMMYFUNCTION("""COMPUTED_VALUE"""),"Cartel PVC 21x30 Fotolum. Ducha")</f>
        <v>Cartel PVC 21x30 Fotolum. Ducha</v>
      </c>
      <c r="C99" s="4">
        <f>IFERROR(__xludf.DUMMYFUNCTION("""COMPUTED_VALUE"""),2.52)</f>
        <v>2.52</v>
      </c>
      <c r="D99" s="4">
        <f>IFERROR(__xludf.DUMMYFUNCTION("""COMPUTED_VALUE"""),2.1)</f>
        <v>2.1</v>
      </c>
      <c r="E99" s="4" t="str">
        <f>IFERROR(__xludf.DUMMYFUNCTION("""COMPUTED_VALUE"""),"Neto G.C.: 2,10 € (a partir de 1 uds.)")</f>
        <v>Neto G.C.: 2,10 € (a partir de 1 uds.)</v>
      </c>
    </row>
    <row r="100">
      <c r="A100" s="4" t="str">
        <f>IFERROR(__xludf.DUMMYFUNCTION("""COMPUTED_VALUE"""),"0205B")</f>
        <v>0205B</v>
      </c>
      <c r="B100" s="4" t="str">
        <f>IFERROR(__xludf.DUMMYFUNCTION("""COMPUTED_VALUE"""),"Cartel PVC 40x30 Fotolum. Ducha")</f>
        <v>Cartel PVC 40x30 Fotolum. Ducha</v>
      </c>
      <c r="C100" s="4">
        <f>IFERROR(__xludf.DUMMYFUNCTION("""COMPUTED_VALUE"""),3.1)</f>
        <v>3.1</v>
      </c>
      <c r="D100" s="4">
        <f>IFERROR(__xludf.DUMMYFUNCTION("""COMPUTED_VALUE"""),3.2)</f>
        <v>3.2</v>
      </c>
      <c r="E100" s="4" t="str">
        <f>IFERROR(__xludf.DUMMYFUNCTION("""COMPUTED_VALUE"""),"Neto G.C.: 3,20 € (a partir de 1 uds.)")</f>
        <v>Neto G.C.: 3,20 € (a partir de 1 uds.)</v>
      </c>
    </row>
    <row r="101">
      <c r="A101" s="4" t="str">
        <f>IFERROR(__xludf.DUMMYFUNCTION("""COMPUTED_VALUE"""),"206")</f>
        <v>206</v>
      </c>
      <c r="B101" s="4" t="str">
        <f>IFERROR(__xludf.DUMMYFUNCTION("""COMPUTED_VALUE"""),"Cartel PVC 21x30 Fotolum. Lavaojos emerg. derecha")</f>
        <v>Cartel PVC 21x30 Fotolum. Lavaojos emerg. derecha</v>
      </c>
      <c r="C101" s="4">
        <f>IFERROR(__xludf.DUMMYFUNCTION("""COMPUTED_VALUE"""),2.6)</f>
        <v>2.6</v>
      </c>
      <c r="D101" s="4">
        <f>IFERROR(__xludf.DUMMYFUNCTION("""COMPUTED_VALUE"""),2.1)</f>
        <v>2.1</v>
      </c>
      <c r="E101" s="4" t="str">
        <f>IFERROR(__xludf.DUMMYFUNCTION("""COMPUTED_VALUE"""),"Neto G.C.: 2,10 € (a partir de 1 uds.)")</f>
        <v>Neto G.C.: 2,10 € (a partir de 1 uds.)</v>
      </c>
    </row>
    <row r="102">
      <c r="A102" s="4" t="str">
        <f>IFERROR(__xludf.DUMMYFUNCTION("""COMPUTED_VALUE"""),"0206A")</f>
        <v>0206A</v>
      </c>
      <c r="B102" s="4" t="str">
        <f>IFERROR(__xludf.DUMMYFUNCTION("""COMPUTED_VALUE"""),"Cartel PVC 21x30 Fotolum. Lavaojos de emergencia")</f>
        <v>Cartel PVC 21x30 Fotolum. Lavaojos de emergencia</v>
      </c>
      <c r="C102" s="4">
        <f>IFERROR(__xludf.DUMMYFUNCTION("""COMPUTED_VALUE"""),2.52)</f>
        <v>2.52</v>
      </c>
      <c r="D102" s="4">
        <f>IFERROR(__xludf.DUMMYFUNCTION("""COMPUTED_VALUE"""),2.1)</f>
        <v>2.1</v>
      </c>
      <c r="E102" s="4" t="str">
        <f>IFERROR(__xludf.DUMMYFUNCTION("""COMPUTED_VALUE"""),"Neto G.C.: 2,10 € (a partir de 1 uds.)")</f>
        <v>Neto G.C.: 2,10 € (a partir de 1 uds.)</v>
      </c>
    </row>
    <row r="103">
      <c r="A103" s="4" t="str">
        <f>IFERROR(__xludf.DUMMYFUNCTION("""COMPUTED_VALUE"""),"0206B")</f>
        <v>0206B</v>
      </c>
      <c r="B103" s="4" t="str">
        <f>IFERROR(__xludf.DUMMYFUNCTION("""COMPUTED_VALUE"""),"Cartel PVC 40x30 Fotolum. Lavaojos de emergencia")</f>
        <v>Cartel PVC 40x30 Fotolum. Lavaojos de emergencia</v>
      </c>
      <c r="C103" s="4">
        <f>IFERROR(__xludf.DUMMYFUNCTION("""COMPUTED_VALUE"""),3.1)</f>
        <v>3.1</v>
      </c>
      <c r="D103" s="4">
        <f>IFERROR(__xludf.DUMMYFUNCTION("""COMPUTED_VALUE"""),3.2)</f>
        <v>3.2</v>
      </c>
      <c r="E103" s="4" t="str">
        <f>IFERROR(__xludf.DUMMYFUNCTION("""COMPUTED_VALUE"""),"Neto G.C.: 3,20 € (a partir de 1 uds.)")</f>
        <v>Neto G.C.: 3,20 € (a partir de 1 uds.)</v>
      </c>
    </row>
    <row r="104">
      <c r="A104" s="4" t="str">
        <f>IFERROR(__xludf.DUMMYFUNCTION("""COMPUTED_VALUE"""),"207")</f>
        <v>207</v>
      </c>
      <c r="B104" s="4" t="str">
        <f>IFERROR(__xludf.DUMMYFUNCTION("""COMPUTED_VALUE"""),"Cartel PVC 21x30 Fotolum. Lavaojos emerg. izq.")</f>
        <v>Cartel PVC 21x30 Fotolum. Lavaojos emerg. izq.</v>
      </c>
      <c r="C104" s="4">
        <f>IFERROR(__xludf.DUMMYFUNCTION("""COMPUTED_VALUE"""),2.6)</f>
        <v>2.6</v>
      </c>
      <c r="D104" s="4">
        <f>IFERROR(__xludf.DUMMYFUNCTION("""COMPUTED_VALUE"""),2.1)</f>
        <v>2.1</v>
      </c>
      <c r="E104" s="4" t="str">
        <f>IFERROR(__xludf.DUMMYFUNCTION("""COMPUTED_VALUE"""),"Neto G.C.: 2,10 € (a partir de 1 uds.)")</f>
        <v>Neto G.C.: 2,10 € (a partir de 1 uds.)</v>
      </c>
    </row>
    <row r="105">
      <c r="A105" s="4" t="str">
        <f>IFERROR(__xludf.DUMMYFUNCTION("""COMPUTED_VALUE"""),"0208A")</f>
        <v>0208A</v>
      </c>
      <c r="B105" s="4" t="str">
        <f>IFERROR(__xludf.DUMMYFUNCTION("""COMPUTED_VALUE"""),"Cartel PVC 21x30 Fotolum. Comedor")</f>
        <v>Cartel PVC 21x30 Fotolum. Comedor</v>
      </c>
      <c r="C105" s="4">
        <f>IFERROR(__xludf.DUMMYFUNCTION("""COMPUTED_VALUE"""),2.52)</f>
        <v>2.52</v>
      </c>
      <c r="D105" s="4">
        <f>IFERROR(__xludf.DUMMYFUNCTION("""COMPUTED_VALUE"""),2.1)</f>
        <v>2.1</v>
      </c>
      <c r="E105" s="4" t="str">
        <f>IFERROR(__xludf.DUMMYFUNCTION("""COMPUTED_VALUE"""),"Neto G.C.: 2,10 € (a partir de 1 uds.)")</f>
        <v>Neto G.C.: 2,10 € (a partir de 1 uds.)</v>
      </c>
    </row>
    <row r="106">
      <c r="A106" s="4" t="str">
        <f>IFERROR(__xludf.DUMMYFUNCTION("""COMPUTED_VALUE"""),"0208B")</f>
        <v>0208B</v>
      </c>
      <c r="B106" s="4" t="str">
        <f>IFERROR(__xludf.DUMMYFUNCTION("""COMPUTED_VALUE"""),"Cartel PVC 40x30 Fotolum. Comedor")</f>
        <v>Cartel PVC 40x30 Fotolum. Comedor</v>
      </c>
      <c r="C106" s="4">
        <f>IFERROR(__xludf.DUMMYFUNCTION("""COMPUTED_VALUE"""),3.1)</f>
        <v>3.1</v>
      </c>
      <c r="D106" s="4">
        <f>IFERROR(__xludf.DUMMYFUNCTION("""COMPUTED_VALUE"""),3.2)</f>
        <v>3.2</v>
      </c>
      <c r="E106" s="4" t="str">
        <f>IFERROR(__xludf.DUMMYFUNCTION("""COMPUTED_VALUE"""),"Neto G.C.: 3,20 € (a partir de 1 uds.)")</f>
        <v>Neto G.C.: 3,20 € (a partir de 1 uds.)</v>
      </c>
    </row>
    <row r="107">
      <c r="A107" s="4" t="str">
        <f>IFERROR(__xludf.DUMMYFUNCTION("""COMPUTED_VALUE"""),"0209A")</f>
        <v>0209A</v>
      </c>
      <c r="B107" s="4" t="str">
        <f>IFERROR(__xludf.DUMMYFUNCTION("""COMPUTED_VALUE"""),"Cartel PVC 21x30 Fotolum. Vestuario")</f>
        <v>Cartel PVC 21x30 Fotolum. Vestuario</v>
      </c>
      <c r="C107" s="4">
        <f>IFERROR(__xludf.DUMMYFUNCTION("""COMPUTED_VALUE"""),2.52)</f>
        <v>2.52</v>
      </c>
      <c r="D107" s="4">
        <f>IFERROR(__xludf.DUMMYFUNCTION("""COMPUTED_VALUE"""),2.1)</f>
        <v>2.1</v>
      </c>
      <c r="E107" s="4" t="str">
        <f>IFERROR(__xludf.DUMMYFUNCTION("""COMPUTED_VALUE"""),"Neto G.C.: 2,10 € (a partir de 1 uds.)")</f>
        <v>Neto G.C.: 2,10 € (a partir de 1 uds.)</v>
      </c>
    </row>
    <row r="108">
      <c r="A108" s="4" t="str">
        <f>IFERROR(__xludf.DUMMYFUNCTION("""COMPUTED_VALUE"""),"0209B")</f>
        <v>0209B</v>
      </c>
      <c r="B108" s="4" t="str">
        <f>IFERROR(__xludf.DUMMYFUNCTION("""COMPUTED_VALUE"""),"Cartel PVC 40x30 Fotolum. Vestuario")</f>
        <v>Cartel PVC 40x30 Fotolum. Vestuario</v>
      </c>
      <c r="C108" s="4">
        <f>IFERROR(__xludf.DUMMYFUNCTION("""COMPUTED_VALUE"""),3.1)</f>
        <v>3.1</v>
      </c>
      <c r="D108" s="4">
        <f>IFERROR(__xludf.DUMMYFUNCTION("""COMPUTED_VALUE"""),3.2)</f>
        <v>3.2</v>
      </c>
      <c r="E108" s="4" t="str">
        <f>IFERROR(__xludf.DUMMYFUNCTION("""COMPUTED_VALUE"""),"Neto G.C.: 3,20 € (a partir de 1 uds.)")</f>
        <v>Neto G.C.: 3,20 € (a partir de 1 uds.)</v>
      </c>
    </row>
    <row r="109">
      <c r="A109" s="4" t="str">
        <f>IFERROR(__xludf.DUMMYFUNCTION("""COMPUTED_VALUE"""),"210")</f>
        <v>210</v>
      </c>
      <c r="B109" s="4" t="str">
        <f>IFERROR(__xludf.DUMMYFUNCTION("""COMPUTED_VALUE"""),"Cartel PVC 40x30 Riesgo electrico")</f>
        <v>Cartel PVC 40x30 Riesgo electrico</v>
      </c>
      <c r="C109" s="4">
        <f>IFERROR(__xludf.DUMMYFUNCTION("""COMPUTED_VALUE"""),2.48)</f>
        <v>2.48</v>
      </c>
      <c r="D109" s="4">
        <f>IFERROR(__xludf.DUMMYFUNCTION("""COMPUTED_VALUE"""),1.75)</f>
        <v>1.75</v>
      </c>
      <c r="E109" s="4" t="str">
        <f>IFERROR(__xludf.DUMMYFUNCTION("""COMPUTED_VALUE"""),"Neto G.C.: 1,75 € (a partir de 1 uds.)")</f>
        <v>Neto G.C.: 1,75 € (a partir de 1 uds.)</v>
      </c>
    </row>
    <row r="110">
      <c r="A110" s="4" t="str">
        <f>IFERROR(__xludf.DUMMYFUNCTION("""COMPUTED_VALUE"""),"0210P")</f>
        <v>0210P</v>
      </c>
      <c r="B110" s="4" t="str">
        <f>IFERROR(__xludf.DUMMYFUNCTION("""COMPUTED_VALUE"""),"Cartel PVC 21x29 RIESGO ELECTRICO")</f>
        <v>Cartel PVC 21x29 RIESGO ELECTRICO</v>
      </c>
      <c r="C110" s="4">
        <f>IFERROR(__xludf.DUMMYFUNCTION("""COMPUTED_VALUE"""),1.6)</f>
        <v>1.6</v>
      </c>
      <c r="D110" s="4">
        <f>IFERROR(__xludf.DUMMYFUNCTION("""COMPUTED_VALUE"""),1.2)</f>
        <v>1.2</v>
      </c>
      <c r="E110" s="4" t="str">
        <f>IFERROR(__xludf.DUMMYFUNCTION("""COMPUTED_VALUE"""),"Neto G.C.: 1,20 € (a partir de 1 uds.)")</f>
        <v>Neto G.C.: 1,20 € (a partir de 1 uds.)</v>
      </c>
    </row>
    <row r="111">
      <c r="A111" s="4" t="str">
        <f>IFERROR(__xludf.DUMMYFUNCTION("""COMPUTED_VALUE"""),"211")</f>
        <v>211</v>
      </c>
      <c r="B111" s="4" t="str">
        <f>IFERROR(__xludf.DUMMYFUNCTION("""COMPUTED_VALUE"""),"Cartel PVC 40x30 Carga suspendida")</f>
        <v>Cartel PVC 40x30 Carga suspendida</v>
      </c>
      <c r="C111" s="4">
        <f>IFERROR(__xludf.DUMMYFUNCTION("""COMPUTED_VALUE"""),2.48)</f>
        <v>2.48</v>
      </c>
      <c r="D111" s="4">
        <f>IFERROR(__xludf.DUMMYFUNCTION("""COMPUTED_VALUE"""),1.75)</f>
        <v>1.75</v>
      </c>
      <c r="E111" s="4" t="str">
        <f>IFERROR(__xludf.DUMMYFUNCTION("""COMPUTED_VALUE"""),"Neto G.C.: 1,75 € (a partir de 1 uds.)")</f>
        <v>Neto G.C.: 1,75 € (a partir de 1 uds.)</v>
      </c>
    </row>
    <row r="112">
      <c r="A112" s="4" t="str">
        <f>IFERROR(__xludf.DUMMYFUNCTION("""COMPUTED_VALUE"""),"0211P")</f>
        <v>0211P</v>
      </c>
      <c r="B112" s="4" t="str">
        <f>IFERROR(__xludf.DUMMYFUNCTION("""COMPUTED_VALUE"""),"Cartel PVC 21x29 RIESGO CARGA SUSPENDIDA")</f>
        <v>Cartel PVC 21x29 RIESGO CARGA SUSPENDIDA</v>
      </c>
      <c r="C112" s="4">
        <f>IFERROR(__xludf.DUMMYFUNCTION("""COMPUTED_VALUE"""),1.6)</f>
        <v>1.6</v>
      </c>
      <c r="D112" s="4">
        <f>IFERROR(__xludf.DUMMYFUNCTION("""COMPUTED_VALUE"""),1.2)</f>
        <v>1.2</v>
      </c>
      <c r="E112" s="4" t="str">
        <f>IFERROR(__xludf.DUMMYFUNCTION("""COMPUTED_VALUE"""),"Neto G.C.: 1,20 € (a partir de 1 uds.)")</f>
        <v>Neto G.C.: 1,20 € (a partir de 1 uds.)</v>
      </c>
    </row>
    <row r="113">
      <c r="A113" s="4" t="str">
        <f>IFERROR(__xludf.DUMMYFUNCTION("""COMPUTED_VALUE"""),"212")</f>
        <v>212</v>
      </c>
      <c r="B113" s="4" t="str">
        <f>IFERROR(__xludf.DUMMYFUNCTION("""COMPUTED_VALUE"""),"Cartel PVC 40x30 Materias corrosivas")</f>
        <v>Cartel PVC 40x30 Materias corrosivas</v>
      </c>
      <c r="C113" s="4">
        <f>IFERROR(__xludf.DUMMYFUNCTION("""COMPUTED_VALUE"""),2.48)</f>
        <v>2.48</v>
      </c>
      <c r="D113" s="4">
        <f>IFERROR(__xludf.DUMMYFUNCTION("""COMPUTED_VALUE"""),1.75)</f>
        <v>1.75</v>
      </c>
      <c r="E113" s="4" t="str">
        <f>IFERROR(__xludf.DUMMYFUNCTION("""COMPUTED_VALUE"""),"Neto G.C.: 1,75 € (a partir de 1 uds.)")</f>
        <v>Neto G.C.: 1,75 € (a partir de 1 uds.)</v>
      </c>
    </row>
    <row r="114">
      <c r="A114" s="4" t="str">
        <f>IFERROR(__xludf.DUMMYFUNCTION("""COMPUTED_VALUE"""),"0212P")</f>
        <v>0212P</v>
      </c>
      <c r="B114" s="4" t="str">
        <f>IFERROR(__xludf.DUMMYFUNCTION("""COMPUTED_VALUE"""),"Cartel PVC 21x29 RIESGO MATERIAS CORROSIVAS")</f>
        <v>Cartel PVC 21x29 RIESGO MATERIAS CORROSIVAS</v>
      </c>
      <c r="C114" s="4">
        <f>IFERROR(__xludf.DUMMYFUNCTION("""COMPUTED_VALUE"""),1.6)</f>
        <v>1.6</v>
      </c>
      <c r="D114" s="4">
        <f>IFERROR(__xludf.DUMMYFUNCTION("""COMPUTED_VALUE"""),1.2)</f>
        <v>1.2</v>
      </c>
      <c r="E114" s="4" t="str">
        <f>IFERROR(__xludf.DUMMYFUNCTION("""COMPUTED_VALUE"""),"Neto G.C.: 1,20 € (a partir de 1 uds.)")</f>
        <v>Neto G.C.: 1,20 € (a partir de 1 uds.)</v>
      </c>
    </row>
    <row r="115">
      <c r="A115" s="4" t="str">
        <f>IFERROR(__xludf.DUMMYFUNCTION("""COMPUTED_VALUE"""),"213")</f>
        <v>213</v>
      </c>
      <c r="B115" s="4" t="str">
        <f>IFERROR(__xludf.DUMMYFUNCTION("""COMPUTED_VALUE"""),"Cartel PVC 40x30 Vehículo Manutención")</f>
        <v>Cartel PVC 40x30 Vehículo Manutención</v>
      </c>
      <c r="C115" s="4">
        <f>IFERROR(__xludf.DUMMYFUNCTION("""COMPUTED_VALUE"""),2.48)</f>
        <v>2.48</v>
      </c>
      <c r="D115" s="4">
        <f>IFERROR(__xludf.DUMMYFUNCTION("""COMPUTED_VALUE"""),1.75)</f>
        <v>1.75</v>
      </c>
      <c r="E115" s="4" t="str">
        <f>IFERROR(__xludf.DUMMYFUNCTION("""COMPUTED_VALUE"""),"Neto G.C.: 1,75 € (a partir de 1 uds.)")</f>
        <v>Neto G.C.: 1,75 € (a partir de 1 uds.)</v>
      </c>
    </row>
    <row r="116">
      <c r="A116" s="4" t="str">
        <f>IFERROR(__xludf.DUMMYFUNCTION("""COMPUTED_VALUE"""),"0213P")</f>
        <v>0213P</v>
      </c>
      <c r="B116" s="4" t="str">
        <f>IFERROR(__xludf.DUMMYFUNCTION("""COMPUTED_VALUE"""),"Cartel PVC 21x29 VEHICULOS DE MANUTENCION")</f>
        <v>Cartel PVC 21x29 VEHICULOS DE MANUTENCION</v>
      </c>
      <c r="C116" s="4">
        <f>IFERROR(__xludf.DUMMYFUNCTION("""COMPUTED_VALUE"""),1.6)</f>
        <v>1.6</v>
      </c>
      <c r="D116" s="4">
        <f>IFERROR(__xludf.DUMMYFUNCTION("""COMPUTED_VALUE"""),1.2)</f>
        <v>1.2</v>
      </c>
      <c r="E116" s="4" t="str">
        <f>IFERROR(__xludf.DUMMYFUNCTION("""COMPUTED_VALUE"""),"Neto G.C.: 1,20 € (a partir de 1 uds.)")</f>
        <v>Neto G.C.: 1,20 € (a partir de 1 uds.)</v>
      </c>
    </row>
    <row r="117">
      <c r="A117" s="4" t="str">
        <f>IFERROR(__xludf.DUMMYFUNCTION("""COMPUTED_VALUE"""),"214")</f>
        <v>214</v>
      </c>
      <c r="B117" s="4" t="str">
        <f>IFERROR(__xludf.DUMMYFUNCTION("""COMPUTED_VALUE"""),"Cartel PVC 40x30 Caida distinto nivel")</f>
        <v>Cartel PVC 40x30 Caida distinto nivel</v>
      </c>
      <c r="C117" s="4">
        <f>IFERROR(__xludf.DUMMYFUNCTION("""COMPUTED_VALUE"""),2.48)</f>
        <v>2.48</v>
      </c>
      <c r="D117" s="4">
        <f>IFERROR(__xludf.DUMMYFUNCTION("""COMPUTED_VALUE"""),1.75)</f>
        <v>1.75</v>
      </c>
      <c r="E117" s="4" t="str">
        <f>IFERROR(__xludf.DUMMYFUNCTION("""COMPUTED_VALUE"""),"Neto G.C.: 1,75 € (a partir de 1 uds.)")</f>
        <v>Neto G.C.: 1,75 € (a partir de 1 uds.)</v>
      </c>
    </row>
    <row r="118">
      <c r="A118" s="4" t="str">
        <f>IFERROR(__xludf.DUMMYFUNCTION("""COMPUTED_VALUE"""),"0214P")</f>
        <v>0214P</v>
      </c>
      <c r="B118" s="4" t="str">
        <f>IFERROR(__xludf.DUMMYFUNCTION("""COMPUTED_VALUE"""),"Cartel PVC 21x29 CAIDA A DISTINTO NIVEL")</f>
        <v>Cartel PVC 21x29 CAIDA A DISTINTO NIVEL</v>
      </c>
      <c r="C118" s="4">
        <f>IFERROR(__xludf.DUMMYFUNCTION("""COMPUTED_VALUE"""),1.6)</f>
        <v>1.6</v>
      </c>
      <c r="D118" s="4">
        <f>IFERROR(__xludf.DUMMYFUNCTION("""COMPUTED_VALUE"""),1.2)</f>
        <v>1.2</v>
      </c>
      <c r="E118" s="4" t="str">
        <f>IFERROR(__xludf.DUMMYFUNCTION("""COMPUTED_VALUE"""),"Neto G.C.: 1,20 € (a partir de 1 uds.)")</f>
        <v>Neto G.C.: 1,20 € (a partir de 1 uds.)</v>
      </c>
    </row>
    <row r="119">
      <c r="A119" s="4" t="str">
        <f>IFERROR(__xludf.DUMMYFUNCTION("""COMPUTED_VALUE"""),"215")</f>
        <v>215</v>
      </c>
      <c r="B119" s="4" t="str">
        <f>IFERROR(__xludf.DUMMYFUNCTION("""COMPUTED_VALUE"""),"Cartel PVC 40x30 Riesgo tropezar")</f>
        <v>Cartel PVC 40x30 Riesgo tropezar</v>
      </c>
      <c r="C119" s="4">
        <f>IFERROR(__xludf.DUMMYFUNCTION("""COMPUTED_VALUE"""),2.48)</f>
        <v>2.48</v>
      </c>
      <c r="D119" s="4">
        <f>IFERROR(__xludf.DUMMYFUNCTION("""COMPUTED_VALUE"""),1.75)</f>
        <v>1.75</v>
      </c>
      <c r="E119" s="4" t="str">
        <f>IFERROR(__xludf.DUMMYFUNCTION("""COMPUTED_VALUE"""),"Neto G.C.: 1,75 € (a partir de 1 uds.)")</f>
        <v>Neto G.C.: 1,75 € (a partir de 1 uds.)</v>
      </c>
    </row>
    <row r="120">
      <c r="A120" s="4" t="str">
        <f>IFERROR(__xludf.DUMMYFUNCTION("""COMPUTED_VALUE"""),"0215P")</f>
        <v>0215P</v>
      </c>
      <c r="B120" s="4" t="str">
        <f>IFERROR(__xludf.DUMMYFUNCTION("""COMPUTED_VALUE"""),"Cartel PVC 21x29 RIESGO DE TROPEZAR")</f>
        <v>Cartel PVC 21x29 RIESGO DE TROPEZAR</v>
      </c>
      <c r="C120" s="4">
        <f>IFERROR(__xludf.DUMMYFUNCTION("""COMPUTED_VALUE"""),1.6)</f>
        <v>1.6</v>
      </c>
      <c r="D120" s="4">
        <f>IFERROR(__xludf.DUMMYFUNCTION("""COMPUTED_VALUE"""),1.2)</f>
        <v>1.2</v>
      </c>
      <c r="E120" s="4" t="str">
        <f>IFERROR(__xludf.DUMMYFUNCTION("""COMPUTED_VALUE"""),"Neto G.C.: 1,20 € (a partir de 1 uds.)")</f>
        <v>Neto G.C.: 1,20 € (a partir de 1 uds.)</v>
      </c>
    </row>
    <row r="121">
      <c r="A121" s="4" t="str">
        <f>IFERROR(__xludf.DUMMYFUNCTION("""COMPUTED_VALUE"""),"216")</f>
        <v>216</v>
      </c>
      <c r="B121" s="4" t="str">
        <f>IFERROR(__xludf.DUMMYFUNCTION("""COMPUTED_VALUE"""),"Cartel PVC 40x30 Materias comburentes")</f>
        <v>Cartel PVC 40x30 Materias comburentes</v>
      </c>
      <c r="C121" s="4">
        <f>IFERROR(__xludf.DUMMYFUNCTION("""COMPUTED_VALUE"""),2.48)</f>
        <v>2.48</v>
      </c>
      <c r="D121" s="4">
        <f>IFERROR(__xludf.DUMMYFUNCTION("""COMPUTED_VALUE"""),1.75)</f>
        <v>1.75</v>
      </c>
      <c r="E121" s="4" t="str">
        <f>IFERROR(__xludf.DUMMYFUNCTION("""COMPUTED_VALUE"""),"Neto G.C.: 1,75 € (a partir de 1 uds.)")</f>
        <v>Neto G.C.: 1,75 € (a partir de 1 uds.)</v>
      </c>
    </row>
    <row r="122">
      <c r="A122" s="4" t="str">
        <f>IFERROR(__xludf.DUMMYFUNCTION("""COMPUTED_VALUE"""),"0216P")</f>
        <v>0216P</v>
      </c>
      <c r="B122" s="4" t="str">
        <f>IFERROR(__xludf.DUMMYFUNCTION("""COMPUTED_VALUE"""),"Cartel PVC 21x29 MATERIAS COMBURENTES")</f>
        <v>Cartel PVC 21x29 MATERIAS COMBURENTES</v>
      </c>
      <c r="C122" s="4">
        <f>IFERROR(__xludf.DUMMYFUNCTION("""COMPUTED_VALUE"""),1.6)</f>
        <v>1.6</v>
      </c>
      <c r="D122" s="4">
        <f>IFERROR(__xludf.DUMMYFUNCTION("""COMPUTED_VALUE"""),1.2)</f>
        <v>1.2</v>
      </c>
      <c r="E122" s="4" t="str">
        <f>IFERROR(__xludf.DUMMYFUNCTION("""COMPUTED_VALUE"""),"Neto G.C.: 1,20 € (a partir de 1 uds.)")</f>
        <v>Neto G.C.: 1,20 € (a partir de 1 uds.)</v>
      </c>
    </row>
    <row r="123">
      <c r="A123" s="4" t="str">
        <f>IFERROR(__xludf.DUMMYFUNCTION("""COMPUTED_VALUE"""),"217")</f>
        <v>217</v>
      </c>
      <c r="B123" s="4" t="str">
        <f>IFERROR(__xludf.DUMMYFUNCTION("""COMPUTED_VALUE"""),"Cartel PVC 40x30 Materias Toxicas")</f>
        <v>Cartel PVC 40x30 Materias Toxicas</v>
      </c>
      <c r="C123" s="4">
        <f>IFERROR(__xludf.DUMMYFUNCTION("""COMPUTED_VALUE"""),2.48)</f>
        <v>2.48</v>
      </c>
      <c r="D123" s="4">
        <f>IFERROR(__xludf.DUMMYFUNCTION("""COMPUTED_VALUE"""),1.75)</f>
        <v>1.75</v>
      </c>
      <c r="E123" s="4" t="str">
        <f>IFERROR(__xludf.DUMMYFUNCTION("""COMPUTED_VALUE"""),"Neto G.C.: 1,75 € (a partir de 1 uds.)")</f>
        <v>Neto G.C.: 1,75 € (a partir de 1 uds.)</v>
      </c>
    </row>
    <row r="124">
      <c r="A124" s="4" t="str">
        <f>IFERROR(__xludf.DUMMYFUNCTION("""COMPUTED_VALUE"""),"0217P")</f>
        <v>0217P</v>
      </c>
      <c r="B124" s="4" t="str">
        <f>IFERROR(__xludf.DUMMYFUNCTION("""COMPUTED_VALUE"""),"Cartel PVC 21x29 MATERIAS TOXICAS")</f>
        <v>Cartel PVC 21x29 MATERIAS TOXICAS</v>
      </c>
      <c r="C124" s="4">
        <f>IFERROR(__xludf.DUMMYFUNCTION("""COMPUTED_VALUE"""),1.6)</f>
        <v>1.6</v>
      </c>
      <c r="D124" s="4">
        <f>IFERROR(__xludf.DUMMYFUNCTION("""COMPUTED_VALUE"""),1.2)</f>
        <v>1.2</v>
      </c>
      <c r="E124" s="4" t="str">
        <f>IFERROR(__xludf.DUMMYFUNCTION("""COMPUTED_VALUE"""),"Neto G.C.: 1,20 € (a partir de 1 uds.)")</f>
        <v>Neto G.C.: 1,20 € (a partir de 1 uds.)</v>
      </c>
    </row>
    <row r="125">
      <c r="A125" s="4" t="str">
        <f>IFERROR(__xludf.DUMMYFUNCTION("""COMPUTED_VALUE"""),"218")</f>
        <v>218</v>
      </c>
      <c r="B125" s="4" t="str">
        <f>IFERROR(__xludf.DUMMYFUNCTION("""COMPUTED_VALUE"""),"Cartel PVC 40x30 Campo Magnetico")</f>
        <v>Cartel PVC 40x30 Campo Magnetico</v>
      </c>
      <c r="C125" s="4">
        <f>IFERROR(__xludf.DUMMYFUNCTION("""COMPUTED_VALUE"""),2.48)</f>
        <v>2.48</v>
      </c>
      <c r="D125" s="4">
        <f>IFERROR(__xludf.DUMMYFUNCTION("""COMPUTED_VALUE"""),1.75)</f>
        <v>1.75</v>
      </c>
      <c r="E125" s="4" t="str">
        <f>IFERROR(__xludf.DUMMYFUNCTION("""COMPUTED_VALUE"""),"Neto G.C.: 1,75 € (a partir de 1 uds.)")</f>
        <v>Neto G.C.: 1,75 € (a partir de 1 uds.)</v>
      </c>
    </row>
    <row r="126">
      <c r="A126" s="4" t="str">
        <f>IFERROR(__xludf.DUMMYFUNCTION("""COMPUTED_VALUE"""),"0218P")</f>
        <v>0218P</v>
      </c>
      <c r="B126" s="4" t="str">
        <f>IFERROR(__xludf.DUMMYFUNCTION("""COMPUTED_VALUE"""),"Cartel PVC 21x29 CAMPO MAGNETICO INTENSO")</f>
        <v>Cartel PVC 21x29 CAMPO MAGNETICO INTENSO</v>
      </c>
      <c r="C126" s="4">
        <f>IFERROR(__xludf.DUMMYFUNCTION("""COMPUTED_VALUE"""),1.6)</f>
        <v>1.6</v>
      </c>
      <c r="D126" s="4">
        <f>IFERROR(__xludf.DUMMYFUNCTION("""COMPUTED_VALUE"""),1.2)</f>
        <v>1.2</v>
      </c>
      <c r="E126" s="4" t="str">
        <f>IFERROR(__xludf.DUMMYFUNCTION("""COMPUTED_VALUE"""),"Neto G.C.: 1,20 € (a partir de 1 uds.)")</f>
        <v>Neto G.C.: 1,20 € (a partir de 1 uds.)</v>
      </c>
    </row>
    <row r="127">
      <c r="A127" s="4" t="str">
        <f>IFERROR(__xludf.DUMMYFUNCTION("""COMPUTED_VALUE"""),"219")</f>
        <v>219</v>
      </c>
      <c r="B127" s="4" t="str">
        <f>IFERROR(__xludf.DUMMYFUNCTION("""COMPUTED_VALUE"""),"Cartel PVC 40x30 Materias Inflamables")</f>
        <v>Cartel PVC 40x30 Materias Inflamables</v>
      </c>
      <c r="C127" s="4">
        <f>IFERROR(__xludf.DUMMYFUNCTION("""COMPUTED_VALUE"""),2.48)</f>
        <v>2.48</v>
      </c>
      <c r="D127" s="4">
        <f>IFERROR(__xludf.DUMMYFUNCTION("""COMPUTED_VALUE"""),1.75)</f>
        <v>1.75</v>
      </c>
      <c r="E127" s="4" t="str">
        <f>IFERROR(__xludf.DUMMYFUNCTION("""COMPUTED_VALUE"""),"Neto G.C.: 1,75 € (a partir de 1 uds.)")</f>
        <v>Neto G.C.: 1,75 € (a partir de 1 uds.)</v>
      </c>
    </row>
    <row r="128">
      <c r="A128" s="4" t="str">
        <f>IFERROR(__xludf.DUMMYFUNCTION("""COMPUTED_VALUE"""),"0219P")</f>
        <v>0219P</v>
      </c>
      <c r="B128" s="4" t="str">
        <f>IFERROR(__xludf.DUMMYFUNCTION("""COMPUTED_VALUE"""),"Cartel PVC 21x29 MATERIAS INFLAMABLES")</f>
        <v>Cartel PVC 21x29 MATERIAS INFLAMABLES</v>
      </c>
      <c r="C128" s="4">
        <f>IFERROR(__xludf.DUMMYFUNCTION("""COMPUTED_VALUE"""),1.6)</f>
        <v>1.6</v>
      </c>
      <c r="D128" s="4">
        <f>IFERROR(__xludf.DUMMYFUNCTION("""COMPUTED_VALUE"""),1.2)</f>
        <v>1.2</v>
      </c>
      <c r="E128" s="4" t="str">
        <f>IFERROR(__xludf.DUMMYFUNCTION("""COMPUTED_VALUE"""),"Neto G.C.: 1,20 € (a partir de 1 uds.)")</f>
        <v>Neto G.C.: 1,20 € (a partir de 1 uds.)</v>
      </c>
    </row>
    <row r="129">
      <c r="A129" s="4" t="str">
        <f>IFERROR(__xludf.DUMMYFUNCTION("""COMPUTED_VALUE"""),"220")</f>
        <v>220</v>
      </c>
      <c r="B129" s="4" t="str">
        <f>IFERROR(__xludf.DUMMYFUNCTION("""COMPUTED_VALUE"""),"Cartel PVC 40x30 OBLIG.USO CASC+")</f>
        <v>Cartel PVC 40x30 OBLIG.USO CASC+</v>
      </c>
      <c r="C129" s="4">
        <f>IFERROR(__xludf.DUMMYFUNCTION("""COMPUTED_VALUE"""),2.48)</f>
        <v>2.48</v>
      </c>
      <c r="D129" s="4">
        <f>IFERROR(__xludf.DUMMYFUNCTION("""COMPUTED_VALUE"""),1.75)</f>
        <v>1.75</v>
      </c>
      <c r="E129" s="4" t="str">
        <f>IFERROR(__xludf.DUMMYFUNCTION("""COMPUTED_VALUE"""),"Neto G.C.: 1,75 € (a partir de 1 uds.)")</f>
        <v>Neto G.C.: 1,75 € (a partir de 1 uds.)</v>
      </c>
    </row>
    <row r="130">
      <c r="A130" s="4" t="str">
        <f>IFERROR(__xludf.DUMMYFUNCTION("""COMPUTED_VALUE"""),"0220P")</f>
        <v>0220P</v>
      </c>
      <c r="B130" s="4" t="str">
        <f>IFERROR(__xludf.DUMMYFUNCTION("""COMPUTED_VALUE"""),"Cartel PVC 21x29 USO OBLIGATORIO DEL CASCO")</f>
        <v>Cartel PVC 21x29 USO OBLIGATORIO DEL CASCO</v>
      </c>
      <c r="C130" s="4">
        <f>IFERROR(__xludf.DUMMYFUNCTION("""COMPUTED_VALUE"""),1.6)</f>
        <v>1.6</v>
      </c>
      <c r="D130" s="4">
        <f>IFERROR(__xludf.DUMMYFUNCTION("""COMPUTED_VALUE"""),1.2)</f>
        <v>1.2</v>
      </c>
      <c r="E130" s="4" t="str">
        <f>IFERROR(__xludf.DUMMYFUNCTION("""COMPUTED_VALUE"""),"Neto G.C.: 1,20 € (a partir de 1 uds.)")</f>
        <v>Neto G.C.: 1,20 € (a partir de 1 uds.)</v>
      </c>
    </row>
    <row r="131">
      <c r="A131" s="4" t="str">
        <f>IFERROR(__xludf.DUMMYFUNCTION("""COMPUTED_VALUE"""),"221")</f>
        <v>221</v>
      </c>
      <c r="B131" s="4" t="str">
        <f>IFERROR(__xludf.DUMMYFUNCTION("""COMPUTED_VALUE"""),"Cartel PVC 40x30 OBLIG.USO BOTA+")</f>
        <v>Cartel PVC 40x30 OBLIG.USO BOTA+</v>
      </c>
      <c r="C131" s="4">
        <f>IFERROR(__xludf.DUMMYFUNCTION("""COMPUTED_VALUE"""),2.48)</f>
        <v>2.48</v>
      </c>
      <c r="D131" s="4">
        <f>IFERROR(__xludf.DUMMYFUNCTION("""COMPUTED_VALUE"""),1.75)</f>
        <v>1.75</v>
      </c>
      <c r="E131" s="4" t="str">
        <f>IFERROR(__xludf.DUMMYFUNCTION("""COMPUTED_VALUE"""),"Neto G.C.: 1,75 € (a partir de 1 uds.)")</f>
        <v>Neto G.C.: 1,75 € (a partir de 1 uds.)</v>
      </c>
    </row>
    <row r="132">
      <c r="A132" s="4" t="str">
        <f>IFERROR(__xludf.DUMMYFUNCTION("""COMPUTED_VALUE"""),"0221P")</f>
        <v>0221P</v>
      </c>
      <c r="B132" s="4" t="str">
        <f>IFERROR(__xludf.DUMMYFUNCTION("""COMPUTED_VALUE"""),"Cartel PVC 21x29 USO OBLIGATORIO DE LAS BOTAS")</f>
        <v>Cartel PVC 21x29 USO OBLIGATORIO DE LAS BOTAS</v>
      </c>
      <c r="C132" s="4">
        <f>IFERROR(__xludf.DUMMYFUNCTION("""COMPUTED_VALUE"""),1.6)</f>
        <v>1.6</v>
      </c>
      <c r="D132" s="4">
        <f>IFERROR(__xludf.DUMMYFUNCTION("""COMPUTED_VALUE"""),1.2)</f>
        <v>1.2</v>
      </c>
      <c r="E132" s="4" t="str">
        <f>IFERROR(__xludf.DUMMYFUNCTION("""COMPUTED_VALUE"""),"Neto G.C.: 1,20 € (a partir de 1 uds.)")</f>
        <v>Neto G.C.: 1,20 € (a partir de 1 uds.)</v>
      </c>
    </row>
    <row r="133">
      <c r="A133" s="4" t="str">
        <f>IFERROR(__xludf.DUMMYFUNCTION("""COMPUTED_VALUE"""),"222")</f>
        <v>222</v>
      </c>
      <c r="B133" s="4" t="str">
        <f>IFERROR(__xludf.DUMMYFUNCTION("""COMPUTED_VALUE"""),"Cartel PVC 40x30 OBLIG.USO GUAN+E")</f>
        <v>Cartel PVC 40x30 OBLIG.USO GUAN+E</v>
      </c>
      <c r="C133" s="4">
        <f>IFERROR(__xludf.DUMMYFUNCTION("""COMPUTED_VALUE"""),2.48)</f>
        <v>2.48</v>
      </c>
      <c r="D133" s="4">
        <f>IFERROR(__xludf.DUMMYFUNCTION("""COMPUTED_VALUE"""),1.75)</f>
        <v>1.75</v>
      </c>
      <c r="E133" s="4" t="str">
        <f>IFERROR(__xludf.DUMMYFUNCTION("""COMPUTED_VALUE"""),"Neto G.C.: 1,75 € (a partir de 1 uds.)")</f>
        <v>Neto G.C.: 1,75 € (a partir de 1 uds.)</v>
      </c>
    </row>
    <row r="134">
      <c r="A134" s="4" t="str">
        <f>IFERROR(__xludf.DUMMYFUNCTION("""COMPUTED_VALUE"""),"0222P")</f>
        <v>0222P</v>
      </c>
      <c r="B134" s="4" t="str">
        <f>IFERROR(__xludf.DUMMYFUNCTION("""COMPUTED_VALUE"""),"Cartel PVC 21x29 USO OBLIGATORIO DE GUANTES")</f>
        <v>Cartel PVC 21x29 USO OBLIGATORIO DE GUANTES</v>
      </c>
      <c r="C134" s="4">
        <f>IFERROR(__xludf.DUMMYFUNCTION("""COMPUTED_VALUE"""),1.6)</f>
        <v>1.6</v>
      </c>
      <c r="D134" s="4">
        <f>IFERROR(__xludf.DUMMYFUNCTION("""COMPUTED_VALUE"""),1.2)</f>
        <v>1.2</v>
      </c>
      <c r="E134" s="4" t="str">
        <f>IFERROR(__xludf.DUMMYFUNCTION("""COMPUTED_VALUE"""),"Neto G.C.: 1,20 € (a partir de 1 uds.)")</f>
        <v>Neto G.C.: 1,20 € (a partir de 1 uds.)</v>
      </c>
    </row>
    <row r="135">
      <c r="A135" s="4" t="str">
        <f>IFERROR(__xludf.DUMMYFUNCTION("""COMPUTED_VALUE"""),"223")</f>
        <v>223</v>
      </c>
      <c r="B135" s="4" t="str">
        <f>IFERROR(__xludf.DUMMYFUNCTION("""COMPUTED_VALUE"""),"Cartel PVC 40x30 OBLIG.PROT.ACU+T")</f>
        <v>Cartel PVC 40x30 OBLIG.PROT.ACU+T</v>
      </c>
      <c r="C135" s="4">
        <f>IFERROR(__xludf.DUMMYFUNCTION("""COMPUTED_VALUE"""),2.48)</f>
        <v>2.48</v>
      </c>
      <c r="D135" s="4">
        <f>IFERROR(__xludf.DUMMYFUNCTION("""COMPUTED_VALUE"""),1.75)</f>
        <v>1.75</v>
      </c>
      <c r="E135" s="4" t="str">
        <f>IFERROR(__xludf.DUMMYFUNCTION("""COMPUTED_VALUE"""),"Neto G.C.: 1,75 € (a partir de 1 uds.)")</f>
        <v>Neto G.C.: 1,75 € (a partir de 1 uds.)</v>
      </c>
    </row>
    <row r="136">
      <c r="A136" s="4" t="str">
        <f>IFERROR(__xludf.DUMMYFUNCTION("""COMPUTED_VALUE"""),"0223P")</f>
        <v>0223P</v>
      </c>
      <c r="B136" s="4" t="str">
        <f>IFERROR(__xludf.DUMMYFUNCTION("""COMPUTED_VALUE"""),"Cartel PVC 21x29 USO OBLIGATORIO PROTECCION")</f>
        <v>Cartel PVC 21x29 USO OBLIGATORIO PROTECCION</v>
      </c>
      <c r="C136" s="4">
        <f>IFERROR(__xludf.DUMMYFUNCTION("""COMPUTED_VALUE"""),1.6)</f>
        <v>1.6</v>
      </c>
      <c r="D136" s="4">
        <f>IFERROR(__xludf.DUMMYFUNCTION("""COMPUTED_VALUE"""),1.2)</f>
        <v>1.2</v>
      </c>
      <c r="E136" s="4" t="str">
        <f>IFERROR(__xludf.DUMMYFUNCTION("""COMPUTED_VALUE"""),"Neto G.C.: 1,20 € (a partir de 1 uds.)")</f>
        <v>Neto G.C.: 1,20 € (a partir de 1 uds.)</v>
      </c>
    </row>
    <row r="137">
      <c r="A137" s="4" t="str">
        <f>IFERROR(__xludf.DUMMYFUNCTION("""COMPUTED_VALUE"""),"224")</f>
        <v>224</v>
      </c>
      <c r="B137" s="4" t="str">
        <f>IFERROR(__xludf.DUMMYFUNCTION("""COMPUTED_VALUE"""),"Cartel PVC 40x30 OBLIG.USO MASC +")</f>
        <v>Cartel PVC 40x30 OBLIG.USO MASC +</v>
      </c>
      <c r="C137" s="4">
        <f>IFERROR(__xludf.DUMMYFUNCTION("""COMPUTED_VALUE"""),2.48)</f>
        <v>2.48</v>
      </c>
      <c r="D137" s="4">
        <f>IFERROR(__xludf.DUMMYFUNCTION("""COMPUTED_VALUE"""),1.75)</f>
        <v>1.75</v>
      </c>
      <c r="E137" s="4" t="str">
        <f>IFERROR(__xludf.DUMMYFUNCTION("""COMPUTED_VALUE"""),"Neto G.C.: 1,75 € (a partir de 1 uds.)")</f>
        <v>Neto G.C.: 1,75 € (a partir de 1 uds.)</v>
      </c>
    </row>
    <row r="138">
      <c r="A138" s="4" t="str">
        <f>IFERROR(__xludf.DUMMYFUNCTION("""COMPUTED_VALUE"""),"0224P")</f>
        <v>0224P</v>
      </c>
      <c r="B138" s="4" t="str">
        <f>IFERROR(__xludf.DUMMYFUNCTION("""COMPUTED_VALUE"""),"Cartel PVC 21x29 OBLIGATORIO EL USO DE LA MASCARA")</f>
        <v>Cartel PVC 21x29 OBLIGATORIO EL USO DE LA MASCARA</v>
      </c>
      <c r="C138" s="4">
        <f>IFERROR(__xludf.DUMMYFUNCTION("""COMPUTED_VALUE"""),1.6)</f>
        <v>1.6</v>
      </c>
      <c r="D138" s="4">
        <f>IFERROR(__xludf.DUMMYFUNCTION("""COMPUTED_VALUE"""),1.2)</f>
        <v>1.2</v>
      </c>
      <c r="E138" s="4" t="str">
        <f>IFERROR(__xludf.DUMMYFUNCTION("""COMPUTED_VALUE"""),"Neto G.C.: 1,20 € (a partir de 1 uds.)")</f>
        <v>Neto G.C.: 1,20 € (a partir de 1 uds.)</v>
      </c>
    </row>
    <row r="139">
      <c r="A139" s="4" t="str">
        <f>IFERROR(__xludf.DUMMYFUNCTION("""COMPUTED_VALUE"""),"225")</f>
        <v>225</v>
      </c>
      <c r="B139" s="4" t="str">
        <f>IFERROR(__xludf.DUMMYFUNCTION("""COMPUTED_VALUE"""),"Cartel PVC 40x30 OBLIG.PANT.PRO+E")</f>
        <v>Cartel PVC 40x30 OBLIG.PANT.PRO+E</v>
      </c>
      <c r="C139" s="4">
        <f>IFERROR(__xludf.DUMMYFUNCTION("""COMPUTED_VALUE"""),2.48)</f>
        <v>2.48</v>
      </c>
      <c r="D139" s="4">
        <f>IFERROR(__xludf.DUMMYFUNCTION("""COMPUTED_VALUE"""),1.75)</f>
        <v>1.75</v>
      </c>
      <c r="E139" s="4" t="str">
        <f>IFERROR(__xludf.DUMMYFUNCTION("""COMPUTED_VALUE"""),"Neto G.C.: 1,75 € (a partir de 1 uds.)")</f>
        <v>Neto G.C.: 1,75 € (a partir de 1 uds.)</v>
      </c>
    </row>
    <row r="140">
      <c r="A140" s="4" t="str">
        <f>IFERROR(__xludf.DUMMYFUNCTION("""COMPUTED_VALUE"""),"0225P")</f>
        <v>0225P</v>
      </c>
      <c r="B140" s="4" t="str">
        <f>IFERROR(__xludf.DUMMYFUNCTION("""COMPUTED_VALUE"""),"Cartel PVC 21x29 OBLIGATORIO USO PANTALLA")</f>
        <v>Cartel PVC 21x29 OBLIGATORIO USO PANTALLA</v>
      </c>
      <c r="C140" s="4">
        <f>IFERROR(__xludf.DUMMYFUNCTION("""COMPUTED_VALUE"""),1.6)</f>
        <v>1.6</v>
      </c>
      <c r="D140" s="4">
        <f>IFERROR(__xludf.DUMMYFUNCTION("""COMPUTED_VALUE"""),1.2)</f>
        <v>1.2</v>
      </c>
      <c r="E140" s="4" t="str">
        <f>IFERROR(__xludf.DUMMYFUNCTION("""COMPUTED_VALUE"""),"Neto G.C.: 1,20 € (a partir de 1 uds.)")</f>
        <v>Neto G.C.: 1,20 € (a partir de 1 uds.)</v>
      </c>
    </row>
    <row r="141">
      <c r="A141" s="4" t="str">
        <f>IFERROR(__xludf.DUMMYFUNCTION("""COMPUTED_VALUE"""),"226")</f>
        <v>226</v>
      </c>
      <c r="B141" s="4" t="str">
        <f>IFERROR(__xludf.DUMMYFUNCTION("""COMPUTED_VALUE"""),"Cartel PVC 40x30 OBLIG.GAFAS PROT")</f>
        <v>Cartel PVC 40x30 OBLIG.GAFAS PROT</v>
      </c>
      <c r="C141" s="4">
        <f>IFERROR(__xludf.DUMMYFUNCTION("""COMPUTED_VALUE"""),2.48)</f>
        <v>2.48</v>
      </c>
      <c r="D141" s="4">
        <f>IFERROR(__xludf.DUMMYFUNCTION("""COMPUTED_VALUE"""),1.75)</f>
        <v>1.75</v>
      </c>
      <c r="E141" s="4" t="str">
        <f>IFERROR(__xludf.DUMMYFUNCTION("""COMPUTED_VALUE"""),"Neto G.C.: 1,75 € (a partir de 1 uds.)")</f>
        <v>Neto G.C.: 1,75 € (a partir de 1 uds.)</v>
      </c>
    </row>
    <row r="142">
      <c r="A142" s="4" t="str">
        <f>IFERROR(__xludf.DUMMYFUNCTION("""COMPUTED_VALUE"""),"0226P")</f>
        <v>0226P</v>
      </c>
      <c r="B142" s="4" t="str">
        <f>IFERROR(__xludf.DUMMYFUNCTION("""COMPUTED_VALUE"""),"Cartel PVC 21x29 OBLIGATORIO EL USO GAFAS")</f>
        <v>Cartel PVC 21x29 OBLIGATORIO EL USO GAFAS</v>
      </c>
      <c r="C142" s="4">
        <f>IFERROR(__xludf.DUMMYFUNCTION("""COMPUTED_VALUE"""),1.6)</f>
        <v>1.6</v>
      </c>
      <c r="D142" s="4">
        <f>IFERROR(__xludf.DUMMYFUNCTION("""COMPUTED_VALUE"""),1.2)</f>
        <v>1.2</v>
      </c>
      <c r="E142" s="4" t="str">
        <f>IFERROR(__xludf.DUMMYFUNCTION("""COMPUTED_VALUE"""),"Neto G.C.: 1,20 € (a partir de 1 uds.)")</f>
        <v>Neto G.C.: 1,20 € (a partir de 1 uds.)</v>
      </c>
    </row>
    <row r="143">
      <c r="A143" s="4" t="str">
        <f>IFERROR(__xludf.DUMMYFUNCTION("""COMPUTED_VALUE"""),"227")</f>
        <v>227</v>
      </c>
      <c r="B143" s="4" t="str">
        <f>IFERROR(__xludf.DUMMYFUNCTION("""COMPUTED_VALUE"""),"Cartel PVC 40x30 OBLIG.ARNES SEGUR.")</f>
        <v>Cartel PVC 40x30 OBLIG.ARNES SEGUR.</v>
      </c>
      <c r="C143" s="4">
        <f>IFERROR(__xludf.DUMMYFUNCTION("""COMPUTED_VALUE"""),2.48)</f>
        <v>2.48</v>
      </c>
      <c r="D143" s="4">
        <f>IFERROR(__xludf.DUMMYFUNCTION("""COMPUTED_VALUE"""),1.75)</f>
        <v>1.75</v>
      </c>
      <c r="E143" s="4" t="str">
        <f>IFERROR(__xludf.DUMMYFUNCTION("""COMPUTED_VALUE"""),"Neto G.C.: 1,75 € (a partir de 1 uds.)")</f>
        <v>Neto G.C.: 1,75 € (a partir de 1 uds.)</v>
      </c>
    </row>
    <row r="144">
      <c r="A144" s="4" t="str">
        <f>IFERROR(__xludf.DUMMYFUNCTION("""COMPUTED_VALUE"""),"0227P")</f>
        <v>0227P</v>
      </c>
      <c r="B144" s="4" t="str">
        <f>IFERROR(__xludf.DUMMYFUNCTION("""COMPUTED_VALUE"""),"Cartel PVC 21x29 OBLIGATORIO EL USO ARNES")</f>
        <v>Cartel PVC 21x29 OBLIGATORIO EL USO ARNES</v>
      </c>
      <c r="C144" s="4">
        <f>IFERROR(__xludf.DUMMYFUNCTION("""COMPUTED_VALUE"""),1.6)</f>
        <v>1.6</v>
      </c>
      <c r="D144" s="4">
        <f>IFERROR(__xludf.DUMMYFUNCTION("""COMPUTED_VALUE"""),1.2)</f>
        <v>1.2</v>
      </c>
      <c r="E144" s="4" t="str">
        <f>IFERROR(__xludf.DUMMYFUNCTION("""COMPUTED_VALUE"""),"Neto G.C.: 1,20 € (a partir de 1 uds.)")</f>
        <v>Neto G.C.: 1,20 € (a partir de 1 uds.)</v>
      </c>
    </row>
    <row r="145">
      <c r="A145" s="4" t="str">
        <f>IFERROR(__xludf.DUMMYFUNCTION("""COMPUTED_VALUE"""),"228")</f>
        <v>228</v>
      </c>
      <c r="B145" s="4" t="str">
        <f>IFERROR(__xludf.DUMMYFUNCTION("""COMPUTED_VALUE"""),"Cartel PVC 40x30 PROTECION OBLIGAT.CUERPO")</f>
        <v>Cartel PVC 40x30 PROTECION OBLIGAT.CUERPO</v>
      </c>
      <c r="C145" s="4">
        <f>IFERROR(__xludf.DUMMYFUNCTION("""COMPUTED_VALUE"""),2.48)</f>
        <v>2.48</v>
      </c>
      <c r="D145" s="4">
        <f>IFERROR(__xludf.DUMMYFUNCTION("""COMPUTED_VALUE"""),1.75)</f>
        <v>1.75</v>
      </c>
      <c r="E145" s="4" t="str">
        <f>IFERROR(__xludf.DUMMYFUNCTION("""COMPUTED_VALUE"""),"Neto G.C.: 1,75 € (a partir de 1 uds.)")</f>
        <v>Neto G.C.: 1,75 € (a partir de 1 uds.)</v>
      </c>
    </row>
    <row r="146">
      <c r="A146" s="4" t="str">
        <f>IFERROR(__xludf.DUMMYFUNCTION("""COMPUTED_VALUE"""),"0228P")</f>
        <v>0228P</v>
      </c>
      <c r="B146" s="4" t="str">
        <f>IFERROR(__xludf.DUMMYFUNCTION("""COMPUTED_VALUE"""),"Cartel PVC 21x29 USO PROTECCION OBLIGATORIA DEL")</f>
        <v>Cartel PVC 21x29 USO PROTECCION OBLIGATORIA DEL</v>
      </c>
      <c r="C146" s="4">
        <f>IFERROR(__xludf.DUMMYFUNCTION("""COMPUTED_VALUE"""),1.6)</f>
        <v>1.6</v>
      </c>
      <c r="D146" s="4">
        <f>IFERROR(__xludf.DUMMYFUNCTION("""COMPUTED_VALUE"""),1.2)</f>
        <v>1.2</v>
      </c>
      <c r="E146" s="4" t="str">
        <f>IFERROR(__xludf.DUMMYFUNCTION("""COMPUTED_VALUE"""),"Neto G.C.: 1,20 € (a partir de 1 uds.)")</f>
        <v>Neto G.C.: 1,20 € (a partir de 1 uds.)</v>
      </c>
    </row>
    <row r="147">
      <c r="A147" s="4" t="str">
        <f>IFERROR(__xludf.DUMMYFUNCTION("""COMPUTED_VALUE"""),"229")</f>
        <v>229</v>
      </c>
      <c r="B147" s="4" t="str">
        <f>IFERROR(__xludf.DUMMYFUNCTION("""COMPUTED_VALUE"""),"Cartel PVC 40x30 Eliminar puntas")</f>
        <v>Cartel PVC 40x30 Eliminar puntas</v>
      </c>
      <c r="C147" s="4">
        <f>IFERROR(__xludf.DUMMYFUNCTION("""COMPUTED_VALUE"""),2.48)</f>
        <v>2.48</v>
      </c>
      <c r="D147" s="4">
        <f>IFERROR(__xludf.DUMMYFUNCTION("""COMPUTED_VALUE"""),1.75)</f>
        <v>1.75</v>
      </c>
      <c r="E147" s="4" t="str">
        <f>IFERROR(__xludf.DUMMYFUNCTION("""COMPUTED_VALUE"""),"Neto G.C.: 1,75 € (a partir de 1 uds.)")</f>
        <v>Neto G.C.: 1,75 € (a partir de 1 uds.)</v>
      </c>
    </row>
    <row r="148">
      <c r="A148" s="4" t="str">
        <f>IFERROR(__xludf.DUMMYFUNCTION("""COMPUTED_VALUE"""),"0229P")</f>
        <v>0229P</v>
      </c>
      <c r="B148" s="4" t="str">
        <f>IFERROR(__xludf.DUMMYFUNCTION("""COMPUTED_VALUE"""),"Cartel PVC 21x29 OBLIGATORIO ELIMINAR LAS PUNTAS")</f>
        <v>Cartel PVC 21x29 OBLIGATORIO ELIMINAR LAS PUNTAS</v>
      </c>
      <c r="C148" s="4">
        <f>IFERROR(__xludf.DUMMYFUNCTION("""COMPUTED_VALUE"""),1.6)</f>
        <v>1.6</v>
      </c>
      <c r="D148" s="4">
        <f>IFERROR(__xludf.DUMMYFUNCTION("""COMPUTED_VALUE"""),1.2)</f>
        <v>1.2</v>
      </c>
      <c r="E148" s="4" t="str">
        <f>IFERROR(__xludf.DUMMYFUNCTION("""COMPUTED_VALUE"""),"Neto G.C.: 1,20 € (a partir de 1 uds.)")</f>
        <v>Neto G.C.: 1,20 € (a partir de 1 uds.)</v>
      </c>
    </row>
    <row r="149">
      <c r="A149" s="4" t="str">
        <f>IFERROR(__xludf.DUMMYFUNCTION("""COMPUTED_VALUE"""),"230")</f>
        <v>230</v>
      </c>
      <c r="B149" s="4" t="str">
        <f>IFERROR(__xludf.DUMMYFUNCTION("""COMPUTED_VALUE"""),"Cartel PVC 40x30 PROHIBIDO FUMA+")</f>
        <v>Cartel PVC 40x30 PROHIBIDO FUMA+</v>
      </c>
      <c r="C149" s="4">
        <f>IFERROR(__xludf.DUMMYFUNCTION("""COMPUTED_VALUE"""),2.48)</f>
        <v>2.48</v>
      </c>
      <c r="D149" s="4">
        <f>IFERROR(__xludf.DUMMYFUNCTION("""COMPUTED_VALUE"""),1.75)</f>
        <v>1.75</v>
      </c>
      <c r="E149" s="4" t="str">
        <f>IFERROR(__xludf.DUMMYFUNCTION("""COMPUTED_VALUE"""),"Neto G.C.: 1,75 € (a partir de 1 uds.)")</f>
        <v>Neto G.C.: 1,75 € (a partir de 1 uds.)</v>
      </c>
    </row>
    <row r="150">
      <c r="A150" s="4" t="str">
        <f>IFERROR(__xludf.DUMMYFUNCTION("""COMPUTED_VALUE"""),"0230P")</f>
        <v>0230P</v>
      </c>
      <c r="B150" s="4" t="str">
        <f>IFERROR(__xludf.DUMMYFUNCTION("""COMPUTED_VALUE"""),"Cartel 21X29 PROHIBIDO FUMAR")</f>
        <v>Cartel 21X29 PROHIBIDO FUMAR</v>
      </c>
      <c r="C150" s="4">
        <f>IFERROR(__xludf.DUMMYFUNCTION("""COMPUTED_VALUE"""),1.6)</f>
        <v>1.6</v>
      </c>
      <c r="D150" s="4">
        <f>IFERROR(__xludf.DUMMYFUNCTION("""COMPUTED_VALUE"""),1.2)</f>
        <v>1.2</v>
      </c>
      <c r="E150" s="4" t="str">
        <f>IFERROR(__xludf.DUMMYFUNCTION("""COMPUTED_VALUE"""),"Neto G.C.: 1,20 € (a partir de 1 uds.)")</f>
        <v>Neto G.C.: 1,20 € (a partir de 1 uds.)</v>
      </c>
    </row>
    <row r="151">
      <c r="A151" s="4" t="str">
        <f>IFERROR(__xludf.DUMMYFUNCTION("""COMPUTED_VALUE"""),"231")</f>
        <v>231</v>
      </c>
      <c r="B151" s="4" t="str">
        <f>IFERROR(__xludf.DUMMYFUNCTION("""COMPUTED_VALUE"""),"Cartel PVC 40x30 PROHIBIDO PASO+")</f>
        <v>Cartel PVC 40x30 PROHIBIDO PASO+</v>
      </c>
      <c r="C151" s="4">
        <f>IFERROR(__xludf.DUMMYFUNCTION("""COMPUTED_VALUE"""),2.48)</f>
        <v>2.48</v>
      </c>
      <c r="D151" s="4">
        <f>IFERROR(__xludf.DUMMYFUNCTION("""COMPUTED_VALUE"""),1.75)</f>
        <v>1.75</v>
      </c>
      <c r="E151" s="4" t="str">
        <f>IFERROR(__xludf.DUMMYFUNCTION("""COMPUTED_VALUE"""),"Neto G.C.: 1,75 € (a partir de 1 uds.)")</f>
        <v>Neto G.C.: 1,75 € (a partir de 1 uds.)</v>
      </c>
    </row>
    <row r="152">
      <c r="A152" s="4" t="str">
        <f>IFERROR(__xludf.DUMMYFUNCTION("""COMPUTED_VALUE"""),"0231P")</f>
        <v>0231P</v>
      </c>
      <c r="B152" s="4" t="str">
        <f>IFERROR(__xludf.DUMMYFUNCTION("""COMPUTED_VALUE"""),"Cartel PVC 21X29 PROHIBIDO PASO PERSONA AJENA")</f>
        <v>Cartel PVC 21X29 PROHIBIDO PASO PERSONA AJENA</v>
      </c>
      <c r="C152" s="4">
        <f>IFERROR(__xludf.DUMMYFUNCTION("""COMPUTED_VALUE"""),1.6)</f>
        <v>1.6</v>
      </c>
      <c r="D152" s="4">
        <f>IFERROR(__xludf.DUMMYFUNCTION("""COMPUTED_VALUE"""),1.2)</f>
        <v>1.2</v>
      </c>
      <c r="E152" s="4" t="str">
        <f>IFERROR(__xludf.DUMMYFUNCTION("""COMPUTED_VALUE"""),"Neto G.C.: 1,20 € (a partir de 1 uds.)")</f>
        <v>Neto G.C.: 1,20 € (a partir de 1 uds.)</v>
      </c>
    </row>
    <row r="153">
      <c r="A153" s="4" t="str">
        <f>IFERROR(__xludf.DUMMYFUNCTION("""COMPUTED_VALUE"""),"232")</f>
        <v>232</v>
      </c>
      <c r="B153" s="4" t="str">
        <f>IFERROR(__xludf.DUMMYFUNCTION("""COMPUTED_VALUE"""),"Cartel PVC 40x30 Proh. pasar sin casco")</f>
        <v>Cartel PVC 40x30 Proh. pasar sin casco</v>
      </c>
      <c r="C153" s="4">
        <f>IFERROR(__xludf.DUMMYFUNCTION("""COMPUTED_VALUE"""),2.48)</f>
        <v>2.48</v>
      </c>
      <c r="D153" s="4">
        <f>IFERROR(__xludf.DUMMYFUNCTION("""COMPUTED_VALUE"""),1.75)</f>
        <v>1.75</v>
      </c>
      <c r="E153" s="4" t="str">
        <f>IFERROR(__xludf.DUMMYFUNCTION("""COMPUTED_VALUE"""),"Neto G.C.: 1,75 € (a partir de 1 uds.)")</f>
        <v>Neto G.C.: 1,75 € (a partir de 1 uds.)</v>
      </c>
    </row>
    <row r="154">
      <c r="A154" s="4" t="str">
        <f>IFERROR(__xludf.DUMMYFUNCTION("""COMPUTED_VALUE"""),"0232P")</f>
        <v>0232P</v>
      </c>
      <c r="B154" s="4" t="str">
        <f>IFERROR(__xludf.DUMMYFUNCTION("""COMPUTED_VALUE"""),"Cartel PVC 21X29 PROHIBIDO PASAR SIN CASCO")</f>
        <v>Cartel PVC 21X29 PROHIBIDO PASAR SIN CASCO</v>
      </c>
      <c r="C154" s="4">
        <f>IFERROR(__xludf.DUMMYFUNCTION("""COMPUTED_VALUE"""),1.6)</f>
        <v>1.6</v>
      </c>
      <c r="D154" s="4">
        <f>IFERROR(__xludf.DUMMYFUNCTION("""COMPUTED_VALUE"""),1.2)</f>
        <v>1.2</v>
      </c>
      <c r="E154" s="4" t="str">
        <f>IFERROR(__xludf.DUMMYFUNCTION("""COMPUTED_VALUE"""),"Neto G.C.: 1,20 € (a partir de 1 uds.)")</f>
        <v>Neto G.C.: 1,20 € (a partir de 1 uds.)</v>
      </c>
    </row>
    <row r="155">
      <c r="A155" s="4" t="str">
        <f>IFERROR(__xludf.DUMMYFUNCTION("""COMPUTED_VALUE"""),"233")</f>
        <v>233</v>
      </c>
      <c r="B155" s="4" t="str">
        <f>IFERROR(__xludf.DUMMYFUNCTION("""COMPUTED_VALUE"""),"Cartel PVC 40x30 Proh. Fumar y encender fuego")</f>
        <v>Cartel PVC 40x30 Proh. Fumar y encender fuego</v>
      </c>
      <c r="C155" s="4">
        <f>IFERROR(__xludf.DUMMYFUNCTION("""COMPUTED_VALUE"""),2.48)</f>
        <v>2.48</v>
      </c>
      <c r="D155" s="4">
        <f>IFERROR(__xludf.DUMMYFUNCTION("""COMPUTED_VALUE"""),1.75)</f>
        <v>1.75</v>
      </c>
      <c r="E155" s="4" t="str">
        <f>IFERROR(__xludf.DUMMYFUNCTION("""COMPUTED_VALUE"""),"Neto G.C.: 1,75 € (a partir de 1 uds.)")</f>
        <v>Neto G.C.: 1,75 € (a partir de 1 uds.)</v>
      </c>
    </row>
    <row r="156">
      <c r="A156" s="4" t="str">
        <f>IFERROR(__xludf.DUMMYFUNCTION("""COMPUTED_VALUE"""),"0233P")</f>
        <v>0233P</v>
      </c>
      <c r="B156" s="4" t="str">
        <f>IFERROR(__xludf.DUMMYFUNCTION("""COMPUTED_VALUE"""),"Cartel PVC 21X29 PROHIBIDO FUMAR Y ENCENDER")</f>
        <v>Cartel PVC 21X29 PROHIBIDO FUMAR Y ENCENDER</v>
      </c>
      <c r="C156" s="4">
        <f>IFERROR(__xludf.DUMMYFUNCTION("""COMPUTED_VALUE"""),1.6)</f>
        <v>1.6</v>
      </c>
      <c r="D156" s="4">
        <f>IFERROR(__xludf.DUMMYFUNCTION("""COMPUTED_VALUE"""),1.2)</f>
        <v>1.2</v>
      </c>
      <c r="E156" s="4" t="str">
        <f>IFERROR(__xludf.DUMMYFUNCTION("""COMPUTED_VALUE"""),"Neto G.C.: 1,20 € (a partir de 1 uds.)")</f>
        <v>Neto G.C.: 1,20 € (a partir de 1 uds.)</v>
      </c>
    </row>
    <row r="157">
      <c r="A157" s="4" t="str">
        <f>IFERROR(__xludf.DUMMYFUNCTION("""COMPUTED_VALUE"""),"234")</f>
        <v>234</v>
      </c>
      <c r="B157" s="4" t="str">
        <f>IFERROR(__xludf.DUMMYFUNCTION("""COMPUTED_VALUE"""),"Cartel PVC 40x30 Proh. Apagar con agua")</f>
        <v>Cartel PVC 40x30 Proh. Apagar con agua</v>
      </c>
      <c r="C157" s="4">
        <f>IFERROR(__xludf.DUMMYFUNCTION("""COMPUTED_VALUE"""),2.48)</f>
        <v>2.48</v>
      </c>
      <c r="D157" s="4">
        <f>IFERROR(__xludf.DUMMYFUNCTION("""COMPUTED_VALUE"""),1.75)</f>
        <v>1.75</v>
      </c>
      <c r="E157" s="4" t="str">
        <f>IFERROR(__xludf.DUMMYFUNCTION("""COMPUTED_VALUE"""),"Neto G.C.: 1,75 € (a partir de 1 uds.)")</f>
        <v>Neto G.C.: 1,75 € (a partir de 1 uds.)</v>
      </c>
    </row>
    <row r="158">
      <c r="A158" s="4" t="str">
        <f>IFERROR(__xludf.DUMMYFUNCTION("""COMPUTED_VALUE"""),"0234P")</f>
        <v>0234P</v>
      </c>
      <c r="B158" s="4" t="str">
        <f>IFERROR(__xludf.DUMMYFUNCTION("""COMPUTED_VALUE"""),"Cartel PVC 21x29 PROHIBIDO APAGAR CON AGUA")</f>
        <v>Cartel PVC 21x29 PROHIBIDO APAGAR CON AGUA</v>
      </c>
      <c r="C158" s="4">
        <f>IFERROR(__xludf.DUMMYFUNCTION("""COMPUTED_VALUE"""),1.6)</f>
        <v>1.6</v>
      </c>
      <c r="D158" s="4">
        <f>IFERROR(__xludf.DUMMYFUNCTION("""COMPUTED_VALUE"""),1.2)</f>
        <v>1.2</v>
      </c>
      <c r="E158" s="4" t="str">
        <f>IFERROR(__xludf.DUMMYFUNCTION("""COMPUTED_VALUE"""),"Neto G.C.: 1,20 € (a partir de 1 uds.)")</f>
        <v>Neto G.C.: 1,20 € (a partir de 1 uds.)</v>
      </c>
    </row>
    <row r="159">
      <c r="A159" s="4" t="str">
        <f>IFERROR(__xludf.DUMMYFUNCTION("""COMPUTED_VALUE"""),"235")</f>
        <v>235</v>
      </c>
      <c r="B159" s="4" t="str">
        <f>IFERROR(__xludf.DUMMYFUNCTION("""COMPUTED_VALUE"""),"Cartel PVC 40x30 Proh.a los vehculos manutención")</f>
        <v>Cartel PVC 40x30 Proh.a los vehculos manutención</v>
      </c>
      <c r="C159" s="4">
        <f>IFERROR(__xludf.DUMMYFUNCTION("""COMPUTED_VALUE"""),2.48)</f>
        <v>2.48</v>
      </c>
      <c r="D159" s="4">
        <f>IFERROR(__xludf.DUMMYFUNCTION("""COMPUTED_VALUE"""),1.75)</f>
        <v>1.75</v>
      </c>
      <c r="E159" s="4" t="str">
        <f>IFERROR(__xludf.DUMMYFUNCTION("""COMPUTED_VALUE"""),"Neto G.C.: 1,75 € (a partir de 1 uds.)")</f>
        <v>Neto G.C.: 1,75 € (a partir de 1 uds.)</v>
      </c>
    </row>
    <row r="160">
      <c r="A160" s="4" t="str">
        <f>IFERROR(__xludf.DUMMYFUNCTION("""COMPUTED_VALUE"""),"0235P")</f>
        <v>0235P</v>
      </c>
      <c r="B160" s="4" t="str">
        <f>IFERROR(__xludf.DUMMYFUNCTION("""COMPUTED_VALUE"""),"Cartel PVC 21x29 PROHIBIDO A LOS VEHICULOS DE")</f>
        <v>Cartel PVC 21x29 PROHIBIDO A LOS VEHICULOS DE</v>
      </c>
      <c r="C160" s="4">
        <f>IFERROR(__xludf.DUMMYFUNCTION("""COMPUTED_VALUE"""),1.6)</f>
        <v>1.6</v>
      </c>
      <c r="D160" s="4">
        <f>IFERROR(__xludf.DUMMYFUNCTION("""COMPUTED_VALUE"""),1.2)</f>
        <v>1.2</v>
      </c>
      <c r="E160" s="4" t="str">
        <f>IFERROR(__xludf.DUMMYFUNCTION("""COMPUTED_VALUE"""),"Neto G.C.: 1,20 € (a partir de 1 uds.)")</f>
        <v>Neto G.C.: 1,20 € (a partir de 1 uds.)</v>
      </c>
    </row>
    <row r="161">
      <c r="A161" s="4" t="str">
        <f>IFERROR(__xludf.DUMMYFUNCTION("""COMPUTED_VALUE"""),"236")</f>
        <v>236</v>
      </c>
      <c r="B161" s="4" t="str">
        <f>IFERROR(__xludf.DUMMYFUNCTION("""COMPUTED_VALUE"""),"Cartel PVC 40x30 Materias Explosivas")</f>
        <v>Cartel PVC 40x30 Materias Explosivas</v>
      </c>
      <c r="C161" s="4">
        <f>IFERROR(__xludf.DUMMYFUNCTION("""COMPUTED_VALUE"""),2.48)</f>
        <v>2.48</v>
      </c>
      <c r="D161" s="4">
        <f>IFERROR(__xludf.DUMMYFUNCTION("""COMPUTED_VALUE"""),1.75)</f>
        <v>1.75</v>
      </c>
      <c r="E161" s="4" t="str">
        <f>IFERROR(__xludf.DUMMYFUNCTION("""COMPUTED_VALUE"""),"Neto G.C.: 1,75 € (a partir de 1 uds.)")</f>
        <v>Neto G.C.: 1,75 € (a partir de 1 uds.)</v>
      </c>
    </row>
    <row r="162">
      <c r="A162" s="4" t="str">
        <f>IFERROR(__xludf.DUMMYFUNCTION("""COMPUTED_VALUE"""),"0236P")</f>
        <v>0236P</v>
      </c>
      <c r="B162" s="4" t="str">
        <f>IFERROR(__xludf.DUMMYFUNCTION("""COMPUTED_VALUE"""),"Cartel PVC 21x29 MATERIAS EXPLOSIVAS")</f>
        <v>Cartel PVC 21x29 MATERIAS EXPLOSIVAS</v>
      </c>
      <c r="C162" s="4">
        <f>IFERROR(__xludf.DUMMYFUNCTION("""COMPUTED_VALUE"""),1.6)</f>
        <v>1.6</v>
      </c>
      <c r="D162" s="4">
        <f>IFERROR(__xludf.DUMMYFUNCTION("""COMPUTED_VALUE"""),1.2)</f>
        <v>1.2</v>
      </c>
      <c r="E162" s="4" t="str">
        <f>IFERROR(__xludf.DUMMYFUNCTION("""COMPUTED_VALUE"""),"Neto G.C.: 1,20 € (a partir de 1 uds.)")</f>
        <v>Neto G.C.: 1,20 € (a partir de 1 uds.)</v>
      </c>
    </row>
    <row r="163">
      <c r="A163" s="4" t="str">
        <f>IFERROR(__xludf.DUMMYFUNCTION("""COMPUTED_VALUE"""),"237")</f>
        <v>237</v>
      </c>
      <c r="B163" s="4" t="str">
        <f>IFERROR(__xludf.DUMMYFUNCTION("""COMPUTED_VALUE"""),"Cartel PVC 40x30 Proh. uso personas")</f>
        <v>Cartel PVC 40x30 Proh. uso personas</v>
      </c>
      <c r="C163" s="4">
        <f>IFERROR(__xludf.DUMMYFUNCTION("""COMPUTED_VALUE"""),2.48)</f>
        <v>2.48</v>
      </c>
      <c r="D163" s="4">
        <f>IFERROR(__xludf.DUMMYFUNCTION("""COMPUTED_VALUE"""),1.75)</f>
        <v>1.75</v>
      </c>
      <c r="E163" s="4" t="str">
        <f>IFERROR(__xludf.DUMMYFUNCTION("""COMPUTED_VALUE"""),"Neto G.C.: 1,75 € (a partir de 1 uds.)")</f>
        <v>Neto G.C.: 1,75 € (a partir de 1 uds.)</v>
      </c>
    </row>
    <row r="164">
      <c r="A164" s="4" t="str">
        <f>IFERROR(__xludf.DUMMYFUNCTION("""COMPUTED_VALUE"""),"0237P")</f>
        <v>0237P</v>
      </c>
      <c r="B164" s="4" t="str">
        <f>IFERROR(__xludf.DUMMYFUNCTION("""COMPUTED_VALUE"""),"Cartel PVC 21x29 PROHIBIDO EL USO A PERSONAS")</f>
        <v>Cartel PVC 21x29 PROHIBIDO EL USO A PERSONAS</v>
      </c>
      <c r="C164" s="4">
        <f>IFERROR(__xludf.DUMMYFUNCTION("""COMPUTED_VALUE"""),1.6)</f>
        <v>1.6</v>
      </c>
      <c r="D164" s="4">
        <f>IFERROR(__xludf.DUMMYFUNCTION("""COMPUTED_VALUE"""),1.2)</f>
        <v>1.2</v>
      </c>
      <c r="E164" s="4" t="str">
        <f>IFERROR(__xludf.DUMMYFUNCTION("""COMPUTED_VALUE"""),"Neto G.C.: 1,20 € (a partir de 1 uds.)")</f>
        <v>Neto G.C.: 1,20 € (a partir de 1 uds.)</v>
      </c>
    </row>
    <row r="165">
      <c r="A165" s="4" t="str">
        <f>IFERROR(__xludf.DUMMYFUNCTION("""COMPUTED_VALUE"""),"238")</f>
        <v>238</v>
      </c>
      <c r="B165" s="4" t="str">
        <f>IFERROR(__xludf.DUMMYFUNCTION("""COMPUTED_VALUE"""),"Cartel PVC 40x30 Atencion puesta Tierra")</f>
        <v>Cartel PVC 40x30 Atencion puesta Tierra</v>
      </c>
      <c r="C165" s="4">
        <f>IFERROR(__xludf.DUMMYFUNCTION("""COMPUTED_VALUE"""),2.48)</f>
        <v>2.48</v>
      </c>
      <c r="D165" s="4">
        <f>IFERROR(__xludf.DUMMYFUNCTION("""COMPUTED_VALUE"""),1.75)</f>
        <v>1.75</v>
      </c>
      <c r="E165" s="4" t="str">
        <f>IFERROR(__xludf.DUMMYFUNCTION("""COMPUTED_VALUE"""),"Neto G.C.: 1,75 € (a partir de 1 uds.)")</f>
        <v>Neto G.C.: 1,75 € (a partir de 1 uds.)</v>
      </c>
    </row>
    <row r="166">
      <c r="A166" s="4" t="str">
        <f>IFERROR(__xludf.DUMMYFUNCTION("""COMPUTED_VALUE"""),"0238P")</f>
        <v>0238P</v>
      </c>
      <c r="B166" s="4" t="str">
        <f>IFERROR(__xludf.DUMMYFUNCTION("""COMPUTED_VALUE"""),"Cartel PVC 21x29 ATENCION PUESTA A TIERRA")</f>
        <v>Cartel PVC 21x29 ATENCION PUESTA A TIERRA</v>
      </c>
      <c r="C166" s="4">
        <f>IFERROR(__xludf.DUMMYFUNCTION("""COMPUTED_VALUE"""),1.6)</f>
        <v>1.6</v>
      </c>
      <c r="D166" s="4">
        <f>IFERROR(__xludf.DUMMYFUNCTION("""COMPUTED_VALUE"""),1.2)</f>
        <v>1.2</v>
      </c>
      <c r="E166" s="4" t="str">
        <f>IFERROR(__xludf.DUMMYFUNCTION("""COMPUTED_VALUE"""),"Neto G.C.: 1,20 € (a partir de 1 uds.)")</f>
        <v>Neto G.C.: 1,20 € (a partir de 1 uds.)</v>
      </c>
    </row>
    <row r="167">
      <c r="A167" s="4" t="str">
        <f>IFERROR(__xludf.DUMMYFUNCTION("""COMPUTED_VALUE"""),"239")</f>
        <v>239</v>
      </c>
      <c r="B167" s="4" t="str">
        <f>IFERROR(__xludf.DUMMYFUNCTION("""COMPUTED_VALUE"""),"Cartel PVC Espacio confinado 40x30 cm")</f>
        <v>Cartel PVC Espacio confinado 40x30 cm</v>
      </c>
      <c r="C167" s="4">
        <f>IFERROR(__xludf.DUMMYFUNCTION("""COMPUTED_VALUE"""),2.48)</f>
        <v>2.48</v>
      </c>
      <c r="D167" s="4">
        <f>IFERROR(__xludf.DUMMYFUNCTION("""COMPUTED_VALUE"""),1.75)</f>
        <v>1.75</v>
      </c>
      <c r="E167" s="4" t="str">
        <f>IFERROR(__xludf.DUMMYFUNCTION("""COMPUTED_VALUE"""),"Neto G.C.: 1,75 € (a partir de 1 uds.)")</f>
        <v>Neto G.C.: 1,75 € (a partir de 1 uds.)</v>
      </c>
    </row>
    <row r="168">
      <c r="A168" s="4" t="str">
        <f>IFERROR(__xludf.DUMMYFUNCTION("""COMPUTED_VALUE"""),"0239P")</f>
        <v>0239P</v>
      </c>
      <c r="B168" s="4" t="str">
        <f>IFERROR(__xludf.DUMMYFUNCTION("""COMPUTED_VALUE"""),"Cartel PVC Espacio Confinado 21x29 cm")</f>
        <v>Cartel PVC Espacio Confinado 21x29 cm</v>
      </c>
      <c r="C168" s="4">
        <f>IFERROR(__xludf.DUMMYFUNCTION("""COMPUTED_VALUE"""),1.6)</f>
        <v>1.6</v>
      </c>
      <c r="D168" s="4">
        <f>IFERROR(__xludf.DUMMYFUNCTION("""COMPUTED_VALUE"""),1.2)</f>
        <v>1.2</v>
      </c>
      <c r="E168" s="4" t="str">
        <f>IFERROR(__xludf.DUMMYFUNCTION("""COMPUTED_VALUE"""),"Neto G.C.: 1,20 € (a partir de 1 uds.)")</f>
        <v>Neto G.C.: 1,20 € (a partir de 1 uds.)</v>
      </c>
    </row>
    <row r="169">
      <c r="A169" s="4" t="str">
        <f>IFERROR(__xludf.DUMMYFUNCTION("""COMPUTED_VALUE"""),"240")</f>
        <v>240</v>
      </c>
      <c r="B169" s="4" t="str">
        <f>IFERROR(__xludf.DUMMYFUNCTION("""COMPUTED_VALUE"""),"Cartel PVC 40x30 Maquin.pesada en movim")</f>
        <v>Cartel PVC 40x30 Maquin.pesada en movim</v>
      </c>
      <c r="C169" s="4">
        <f>IFERROR(__xludf.DUMMYFUNCTION("""COMPUTED_VALUE"""),2.48)</f>
        <v>2.48</v>
      </c>
      <c r="D169" s="4">
        <f>IFERROR(__xludf.DUMMYFUNCTION("""COMPUTED_VALUE"""),1.75)</f>
        <v>1.75</v>
      </c>
      <c r="E169" s="4" t="str">
        <f>IFERROR(__xludf.DUMMYFUNCTION("""COMPUTED_VALUE"""),"Neto G.C.: 1,75 € (a partir de 1 uds.)")</f>
        <v>Neto G.C.: 1,75 € (a partir de 1 uds.)</v>
      </c>
    </row>
    <row r="170">
      <c r="A170" s="4" t="str">
        <f>IFERROR(__xludf.DUMMYFUNCTION("""COMPUTED_VALUE"""),"0240P")</f>
        <v>0240P</v>
      </c>
      <c r="B170" s="4" t="str">
        <f>IFERROR(__xludf.DUMMYFUNCTION("""COMPUTED_VALUE"""),"Cartel PVC 21X29 MAQUINARIA PESADA EN MOVIMIENTO")</f>
        <v>Cartel PVC 21X29 MAQUINARIA PESADA EN MOVIMIENTO</v>
      </c>
      <c r="C170" s="4">
        <f>IFERROR(__xludf.DUMMYFUNCTION("""COMPUTED_VALUE"""),1.6)</f>
        <v>1.6</v>
      </c>
      <c r="D170" s="4">
        <f>IFERROR(__xludf.DUMMYFUNCTION("""COMPUTED_VALUE"""),1.2)</f>
        <v>1.2</v>
      </c>
      <c r="E170" s="4" t="str">
        <f>IFERROR(__xludf.DUMMYFUNCTION("""COMPUTED_VALUE"""),"Neto G.C.: 1,20 € (a partir de 1 uds.)")</f>
        <v>Neto G.C.: 1,20 € (a partir de 1 uds.)</v>
      </c>
    </row>
    <row r="171">
      <c r="A171" s="4" t="str">
        <f>IFERROR(__xludf.DUMMYFUNCTION("""COMPUTED_VALUE"""),"241")</f>
        <v>241</v>
      </c>
      <c r="B171" s="4" t="str">
        <f>IFERROR(__xludf.DUMMYFUNCTION("""COMPUTED_VALUE"""),"Cartel PVC 40x30 Fluor ( Se Alquila ) c/ojales")</f>
        <v>Cartel PVC 40x30 Fluor ( Se Alquila ) c/ojales</v>
      </c>
      <c r="C171" s="4">
        <f>IFERROR(__xludf.DUMMYFUNCTION("""COMPUTED_VALUE"""),3.7)</f>
        <v>3.7</v>
      </c>
      <c r="D171" s="4">
        <f>IFERROR(__xludf.DUMMYFUNCTION("""COMPUTED_VALUE"""),3.2)</f>
        <v>3.2</v>
      </c>
      <c r="E171" s="4" t="str">
        <f>IFERROR(__xludf.DUMMYFUNCTION("""COMPUTED_VALUE"""),"Neto G.C.: 3,20 € (a partir de 1 uds.)")</f>
        <v>Neto G.C.: 3,20 € (a partir de 1 uds.)</v>
      </c>
    </row>
    <row r="172">
      <c r="A172" s="4" t="str">
        <f>IFERROR(__xludf.DUMMYFUNCTION("""COMPUTED_VALUE"""),"242")</f>
        <v>242</v>
      </c>
      <c r="B172" s="4" t="str">
        <f>IFERROR(__xludf.DUMMYFUNCTION("""COMPUTED_VALUE"""),"Cartel PVC 40X30 Fluor ( Se Vende ) c/ojales")</f>
        <v>Cartel PVC 40X30 Fluor ( Se Vende ) c/ojales</v>
      </c>
      <c r="C172" s="4">
        <f>IFERROR(__xludf.DUMMYFUNCTION("""COMPUTED_VALUE"""),3.7)</f>
        <v>3.7</v>
      </c>
      <c r="D172" s="4">
        <f>IFERROR(__xludf.DUMMYFUNCTION("""COMPUTED_VALUE"""),3.2)</f>
        <v>3.2</v>
      </c>
      <c r="E172" s="4" t="str">
        <f>IFERROR(__xludf.DUMMYFUNCTION("""COMPUTED_VALUE"""),"Neto G.C.: 3,20 € (a partir de 1 uds.)")</f>
        <v>Neto G.C.: 3,20 € (a partir de 1 uds.)</v>
      </c>
    </row>
    <row r="173">
      <c r="A173" s="4" t="str">
        <f>IFERROR(__xludf.DUMMYFUNCTION("""COMPUTED_VALUE"""),"243")</f>
        <v>243</v>
      </c>
      <c r="B173" s="4" t="str">
        <f>IFERROR(__xludf.DUMMYFUNCTION("""COMPUTED_VALUE"""),"Cartel PVC 21x29 Fotolum. Hidrante")</f>
        <v>Cartel PVC 21x29 Fotolum. Hidrante</v>
      </c>
      <c r="C173" s="4">
        <f>IFERROR(__xludf.DUMMYFUNCTION("""COMPUTED_VALUE"""),2.6)</f>
        <v>2.6</v>
      </c>
      <c r="D173" s="4">
        <f>IFERROR(__xludf.DUMMYFUNCTION("""COMPUTED_VALUE"""),2.1)</f>
        <v>2.1</v>
      </c>
      <c r="E173" s="4" t="str">
        <f>IFERROR(__xludf.DUMMYFUNCTION("""COMPUTED_VALUE"""),"Neto G.C.: 2,10 € (a partir de 1 uds.)")</f>
        <v>Neto G.C.: 2,10 € (a partir de 1 uds.)</v>
      </c>
    </row>
    <row r="174">
      <c r="A174" s="4" t="str">
        <f>IFERROR(__xludf.DUMMYFUNCTION("""COMPUTED_VALUE"""),"0243A")</f>
        <v>0243A</v>
      </c>
      <c r="B174" s="4" t="str">
        <f>IFERROR(__xludf.DUMMYFUNCTION("""COMPUTED_VALUE"""),"Cartel PVC 21x30 Fotolum. Hidrante")</f>
        <v>Cartel PVC 21x30 Fotolum. Hidrante</v>
      </c>
      <c r="C174" s="4">
        <f>IFERROR(__xludf.DUMMYFUNCTION("""COMPUTED_VALUE"""),2.52)</f>
        <v>2.52</v>
      </c>
      <c r="D174" s="4">
        <f>IFERROR(__xludf.DUMMYFUNCTION("""COMPUTED_VALUE"""),2.1)</f>
        <v>2.1</v>
      </c>
      <c r="E174" s="4" t="str">
        <f>IFERROR(__xludf.DUMMYFUNCTION("""COMPUTED_VALUE"""),"Neto G.C.: 2,10 € (a partir de 1 uds.)")</f>
        <v>Neto G.C.: 2,10 € (a partir de 1 uds.)</v>
      </c>
    </row>
    <row r="175">
      <c r="A175" s="4" t="str">
        <f>IFERROR(__xludf.DUMMYFUNCTION("""COMPUTED_VALUE"""),"0243B")</f>
        <v>0243B</v>
      </c>
      <c r="B175" s="4" t="str">
        <f>IFERROR(__xludf.DUMMYFUNCTION("""COMPUTED_VALUE"""),"Cartel PVC 40x30 Fotolum. Hidrante")</f>
        <v>Cartel PVC 40x30 Fotolum. Hidrante</v>
      </c>
      <c r="C175" s="4">
        <f>IFERROR(__xludf.DUMMYFUNCTION("""COMPUTED_VALUE"""),3.1)</f>
        <v>3.1</v>
      </c>
      <c r="D175" s="4">
        <f>IFERROR(__xludf.DUMMYFUNCTION("""COMPUTED_VALUE"""),3.2)</f>
        <v>3.2</v>
      </c>
      <c r="E175" s="4" t="str">
        <f>IFERROR(__xludf.DUMMYFUNCTION("""COMPUTED_VALUE"""),"Neto G.C.: 3,20 € (a partir de 1 uds.)")</f>
        <v>Neto G.C.: 3,20 € (a partir de 1 uds.)</v>
      </c>
    </row>
    <row r="176">
      <c r="A176" s="4" t="str">
        <f>IFERROR(__xludf.DUMMYFUNCTION("""COMPUTED_VALUE"""),"244")</f>
        <v>244</v>
      </c>
      <c r="B176" s="4" t="str">
        <f>IFERROR(__xludf.DUMMYFUNCTION("""COMPUTED_VALUE"""),"Cartel PVC de 1x0.70 Combinado")</f>
        <v>Cartel PVC de 1x0.70 Combinado</v>
      </c>
      <c r="C176" s="4">
        <f>IFERROR(__xludf.DUMMYFUNCTION("""COMPUTED_VALUE"""),5.9)</f>
        <v>5.9</v>
      </c>
      <c r="D176" s="4">
        <f>IFERROR(__xludf.DUMMYFUNCTION("""COMPUTED_VALUE"""),5.5)</f>
        <v>5.5</v>
      </c>
      <c r="E176" s="4" t="str">
        <f>IFERROR(__xludf.DUMMYFUNCTION("""COMPUTED_VALUE"""),"Neto G.C.: 5,50 € (a partir de 50 uds.)")</f>
        <v>Neto G.C.: 5,50 € (a partir de 50 uds.)</v>
      </c>
    </row>
    <row r="177">
      <c r="A177" s="4" t="str">
        <f>IFERROR(__xludf.DUMMYFUNCTION("""COMPUTED_VALUE"""),"247")</f>
        <v>247</v>
      </c>
      <c r="B177" s="4" t="str">
        <f>IFERROR(__xludf.DUMMYFUNCTION("""COMPUTED_VALUE"""),"Cartel PVC 40x30 (Salida Camiones)")</f>
        <v>Cartel PVC 40x30 (Salida Camiones)</v>
      </c>
      <c r="C177" s="4">
        <f>IFERROR(__xludf.DUMMYFUNCTION("""COMPUTED_VALUE"""),2.48)</f>
        <v>2.48</v>
      </c>
      <c r="D177" s="4">
        <f>IFERROR(__xludf.DUMMYFUNCTION("""COMPUTED_VALUE"""),1.75)</f>
        <v>1.75</v>
      </c>
      <c r="E177" s="4" t="str">
        <f>IFERROR(__xludf.DUMMYFUNCTION("""COMPUTED_VALUE"""),"Neto G.C.: 1,75 € (a partir de 1 uds.)")</f>
        <v>Neto G.C.: 1,75 € (a partir de 1 uds.)</v>
      </c>
    </row>
    <row r="178">
      <c r="A178" s="4" t="str">
        <f>IFERROR(__xludf.DUMMYFUNCTION("""COMPUTED_VALUE"""),"0247P")</f>
        <v>0247P</v>
      </c>
      <c r="B178" s="4" t="str">
        <f>IFERROR(__xludf.DUMMYFUNCTION("""COMPUTED_VALUE"""),"Cartel PVC 21x29 SALIDA DE CAMIONES")</f>
        <v>Cartel PVC 21x29 SALIDA DE CAMIONES</v>
      </c>
      <c r="C178" s="4">
        <f>IFERROR(__xludf.DUMMYFUNCTION("""COMPUTED_VALUE"""),1.6)</f>
        <v>1.6</v>
      </c>
      <c r="D178" s="4">
        <f>IFERROR(__xludf.DUMMYFUNCTION("""COMPUTED_VALUE"""),1.2)</f>
        <v>1.2</v>
      </c>
      <c r="E178" s="4" t="str">
        <f>IFERROR(__xludf.DUMMYFUNCTION("""COMPUTED_VALUE"""),"Neto G.C.: 1,20 € (a partir de 1 uds.)")</f>
        <v>Neto G.C.: 1,20 € (a partir de 1 uds.)</v>
      </c>
    </row>
    <row r="179">
      <c r="A179" s="4" t="str">
        <f>IFERROR(__xludf.DUMMYFUNCTION("""COMPUTED_VALUE"""),"248")</f>
        <v>248</v>
      </c>
      <c r="B179" s="4" t="str">
        <f>IFERROR(__xludf.DUMMYFUNCTION("""COMPUTED_VALUE"""),"Cartel PVC 40x30 (Prohibido Aparcar)")</f>
        <v>Cartel PVC 40x30 (Prohibido Aparcar)</v>
      </c>
      <c r="C179" s="4">
        <f>IFERROR(__xludf.DUMMYFUNCTION("""COMPUTED_VALUE"""),2.48)</f>
        <v>2.48</v>
      </c>
      <c r="D179" s="4">
        <f>IFERROR(__xludf.DUMMYFUNCTION("""COMPUTED_VALUE"""),1.75)</f>
        <v>1.75</v>
      </c>
      <c r="E179" s="4" t="str">
        <f>IFERROR(__xludf.DUMMYFUNCTION("""COMPUTED_VALUE"""),"Neto G.C.: 1,75 € (a partir de 1 uds.)")</f>
        <v>Neto G.C.: 1,75 € (a partir de 1 uds.)</v>
      </c>
    </row>
    <row r="180">
      <c r="A180" s="4" t="str">
        <f>IFERROR(__xludf.DUMMYFUNCTION("""COMPUTED_VALUE"""),"0248P")</f>
        <v>0248P</v>
      </c>
      <c r="B180" s="4" t="str">
        <f>IFERROR(__xludf.DUMMYFUNCTION("""COMPUTED_VALUE"""),"Cartel PVC 21x29 PROHIBIDO APARCAR")</f>
        <v>Cartel PVC 21x29 PROHIBIDO APARCAR</v>
      </c>
      <c r="C180" s="4">
        <f>IFERROR(__xludf.DUMMYFUNCTION("""COMPUTED_VALUE"""),1.6)</f>
        <v>1.6</v>
      </c>
      <c r="D180" s="4">
        <f>IFERROR(__xludf.DUMMYFUNCTION("""COMPUTED_VALUE"""),1.2)</f>
        <v>1.2</v>
      </c>
      <c r="E180" s="4" t="str">
        <f>IFERROR(__xludf.DUMMYFUNCTION("""COMPUTED_VALUE"""),"Neto G.C.: 1,20 € (a partir de 1 uds.)")</f>
        <v>Neto G.C.: 1,20 € (a partir de 1 uds.)</v>
      </c>
    </row>
    <row r="181">
      <c r="A181" s="4" t="str">
        <f>IFERROR(__xludf.DUMMYFUNCTION("""COMPUTED_VALUE"""),"249")</f>
        <v>249</v>
      </c>
      <c r="B181" s="4" t="str">
        <f>IFERROR(__xludf.DUMMYFUNCTION("""COMPUTED_VALUE"""),"Cartel PVC 40x30 STOP")</f>
        <v>Cartel PVC 40x30 STOP</v>
      </c>
      <c r="C181" s="4">
        <f>IFERROR(__xludf.DUMMYFUNCTION("""COMPUTED_VALUE"""),2.48)</f>
        <v>2.48</v>
      </c>
      <c r="D181" s="4">
        <f>IFERROR(__xludf.DUMMYFUNCTION("""COMPUTED_VALUE"""),1.75)</f>
        <v>1.75</v>
      </c>
      <c r="E181" s="4" t="str">
        <f>IFERROR(__xludf.DUMMYFUNCTION("""COMPUTED_VALUE"""),"Neto G.C.: 1,75 € (a partir de 1 uds.)")</f>
        <v>Neto G.C.: 1,75 € (a partir de 1 uds.)</v>
      </c>
    </row>
    <row r="182">
      <c r="A182" s="4" t="str">
        <f>IFERROR(__xludf.DUMMYFUNCTION("""COMPUTED_VALUE"""),"0249P")</f>
        <v>0249P</v>
      </c>
      <c r="B182" s="4" t="str">
        <f>IFERROR(__xludf.DUMMYFUNCTION("""COMPUTED_VALUE"""),"Cartel PVC 21x29 STOP")</f>
        <v>Cartel PVC 21x29 STOP</v>
      </c>
      <c r="C182" s="4">
        <f>IFERROR(__xludf.DUMMYFUNCTION("""COMPUTED_VALUE"""),1.6)</f>
        <v>1.6</v>
      </c>
      <c r="D182" s="4">
        <f>IFERROR(__xludf.DUMMYFUNCTION("""COMPUTED_VALUE"""),1.2)</f>
        <v>1.2</v>
      </c>
      <c r="E182" s="4" t="str">
        <f>IFERROR(__xludf.DUMMYFUNCTION("""COMPUTED_VALUE"""),"Neto G.C.: 1,20 € (a partir de 1 uds.)")</f>
        <v>Neto G.C.: 1,20 € (a partir de 1 uds.)</v>
      </c>
    </row>
    <row r="183">
      <c r="A183" s="4" t="str">
        <f>IFERROR(__xludf.DUMMYFUNCTION("""COMPUTED_VALUE"""),"250")</f>
        <v>250</v>
      </c>
      <c r="B183" s="4" t="str">
        <f>IFERROR(__xludf.DUMMYFUNCTION("""COMPUTED_VALUE"""),"Cartel PVC 40x30 (Peligro Indefinido)")</f>
        <v>Cartel PVC 40x30 (Peligro Indefinido)</v>
      </c>
      <c r="C183" s="4">
        <f>IFERROR(__xludf.DUMMYFUNCTION("""COMPUTED_VALUE"""),2.48)</f>
        <v>2.48</v>
      </c>
      <c r="D183" s="4">
        <f>IFERROR(__xludf.DUMMYFUNCTION("""COMPUTED_VALUE"""),1.75)</f>
        <v>1.75</v>
      </c>
      <c r="E183" s="4" t="str">
        <f>IFERROR(__xludf.DUMMYFUNCTION("""COMPUTED_VALUE"""),"Neto G.C.: 1,75 € (a partir de 1 uds.)")</f>
        <v>Neto G.C.: 1,75 € (a partir de 1 uds.)</v>
      </c>
    </row>
    <row r="184">
      <c r="A184" s="4" t="str">
        <f>IFERROR(__xludf.DUMMYFUNCTION("""COMPUTED_VALUE"""),"0250P")</f>
        <v>0250P</v>
      </c>
      <c r="B184" s="4" t="str">
        <f>IFERROR(__xludf.DUMMYFUNCTION("""COMPUTED_VALUE"""),"Cartel PVC 21x29 PELIGRO")</f>
        <v>Cartel PVC 21x29 PELIGRO</v>
      </c>
      <c r="C184" s="4">
        <f>IFERROR(__xludf.DUMMYFUNCTION("""COMPUTED_VALUE"""),1.6)</f>
        <v>1.6</v>
      </c>
      <c r="D184" s="4">
        <f>IFERROR(__xludf.DUMMYFUNCTION("""COMPUTED_VALUE"""),1.2)</f>
        <v>1.2</v>
      </c>
      <c r="E184" s="4" t="str">
        <f>IFERROR(__xludf.DUMMYFUNCTION("""COMPUTED_VALUE"""),"Neto G.C.: 1,20 € (a partir de 1 uds.)")</f>
        <v>Neto G.C.: 1,20 € (a partir de 1 uds.)</v>
      </c>
    </row>
    <row r="185">
      <c r="A185" s="4" t="str">
        <f>IFERROR(__xludf.DUMMYFUNCTION("""COMPUTED_VALUE"""),"251")</f>
        <v>251</v>
      </c>
      <c r="B185" s="4" t="str">
        <f>IFERROR(__xludf.DUMMYFUNCTION("""COMPUTED_VALUE"""),"Cartel PVC 40x30 (Vado Permanente)")</f>
        <v>Cartel PVC 40x30 (Vado Permanente)</v>
      </c>
      <c r="C185" s="4">
        <f>IFERROR(__xludf.DUMMYFUNCTION("""COMPUTED_VALUE"""),2.48)</f>
        <v>2.48</v>
      </c>
      <c r="D185" s="4">
        <f>IFERROR(__xludf.DUMMYFUNCTION("""COMPUTED_VALUE"""),1.75)</f>
        <v>1.75</v>
      </c>
      <c r="E185" s="4" t="str">
        <f>IFERROR(__xludf.DUMMYFUNCTION("""COMPUTED_VALUE"""),"Neto G.C.: 1,75 € (a partir de 1 uds.)")</f>
        <v>Neto G.C.: 1,75 € (a partir de 1 uds.)</v>
      </c>
    </row>
    <row r="186">
      <c r="A186" s="4" t="str">
        <f>IFERROR(__xludf.DUMMYFUNCTION("""COMPUTED_VALUE"""),"0251P")</f>
        <v>0251P</v>
      </c>
      <c r="B186" s="4" t="str">
        <f>IFERROR(__xludf.DUMMYFUNCTION("""COMPUTED_VALUE"""),"Cartel PVC 21x29 VADO PERMANENTE")</f>
        <v>Cartel PVC 21x29 VADO PERMANENTE</v>
      </c>
      <c r="C186" s="4">
        <f>IFERROR(__xludf.DUMMYFUNCTION("""COMPUTED_VALUE"""),1.6)</f>
        <v>1.6</v>
      </c>
      <c r="D186" s="4">
        <f>IFERROR(__xludf.DUMMYFUNCTION("""COMPUTED_VALUE"""),1.2)</f>
        <v>1.2</v>
      </c>
      <c r="E186" s="4" t="str">
        <f>IFERROR(__xludf.DUMMYFUNCTION("""COMPUTED_VALUE"""),"Neto G.C.: 1,20 € (a partir de 1 uds.)")</f>
        <v>Neto G.C.: 1,20 € (a partir de 1 uds.)</v>
      </c>
    </row>
    <row r="187">
      <c r="A187" s="4" t="str">
        <f>IFERROR(__xludf.DUMMYFUNCTION("""COMPUTED_VALUE"""),"252")</f>
        <v>252</v>
      </c>
      <c r="B187" s="4" t="str">
        <f>IFERROR(__xludf.DUMMYFUNCTION("""COMPUTED_VALUE"""),"Cartel PVC 40x30 (Riesgo Atrapamiento)")</f>
        <v>Cartel PVC 40x30 (Riesgo Atrapamiento)</v>
      </c>
      <c r="C187" s="4">
        <f>IFERROR(__xludf.DUMMYFUNCTION("""COMPUTED_VALUE"""),2.48)</f>
        <v>2.48</v>
      </c>
      <c r="D187" s="4">
        <f>IFERROR(__xludf.DUMMYFUNCTION("""COMPUTED_VALUE"""),1.75)</f>
        <v>1.75</v>
      </c>
      <c r="E187" s="4" t="str">
        <f>IFERROR(__xludf.DUMMYFUNCTION("""COMPUTED_VALUE"""),"Neto G.C.: 1,75 € (a partir de 1 uds.)")</f>
        <v>Neto G.C.: 1,75 € (a partir de 1 uds.)</v>
      </c>
    </row>
    <row r="188">
      <c r="A188" s="4" t="str">
        <f>IFERROR(__xludf.DUMMYFUNCTION("""COMPUTED_VALUE"""),"0252P")</f>
        <v>0252P</v>
      </c>
      <c r="B188" s="4" t="str">
        <f>IFERROR(__xludf.DUMMYFUNCTION("""COMPUTED_VALUE"""),"Cartel PVC 21x29 ATENCION RIESGO DE ATRAPAMIENTO")</f>
        <v>Cartel PVC 21x29 ATENCION RIESGO DE ATRAPAMIENTO</v>
      </c>
      <c r="C188" s="4">
        <f>IFERROR(__xludf.DUMMYFUNCTION("""COMPUTED_VALUE"""),1.6)</f>
        <v>1.6</v>
      </c>
      <c r="D188" s="4">
        <f>IFERROR(__xludf.DUMMYFUNCTION("""COMPUTED_VALUE"""),1.2)</f>
        <v>1.2</v>
      </c>
      <c r="E188" s="4" t="str">
        <f>IFERROR(__xludf.DUMMYFUNCTION("""COMPUTED_VALUE"""),"Neto G.C.: 1,20 € (a partir de 1 uds.)")</f>
        <v>Neto G.C.: 1,20 € (a partir de 1 uds.)</v>
      </c>
    </row>
    <row r="189">
      <c r="A189" s="4" t="str">
        <f>IFERROR(__xludf.DUMMYFUNCTION("""COMPUTED_VALUE"""),"253")</f>
        <v>253</v>
      </c>
      <c r="B189" s="4" t="str">
        <f>IFERROR(__xludf.DUMMYFUNCTION("""COMPUTED_VALUE"""),"Cartel PVC 40x30 (Proh. paso empresa)")</f>
        <v>Cartel PVC 40x30 (Proh. paso empresa)</v>
      </c>
      <c r="C189" s="4">
        <f>IFERROR(__xludf.DUMMYFUNCTION("""COMPUTED_VALUE"""),2.48)</f>
        <v>2.48</v>
      </c>
      <c r="D189" s="4">
        <f>IFERROR(__xludf.DUMMYFUNCTION("""COMPUTED_VALUE"""),1.75)</f>
        <v>1.75</v>
      </c>
      <c r="E189" s="4" t="str">
        <f>IFERROR(__xludf.DUMMYFUNCTION("""COMPUTED_VALUE"""),"Neto G.C.: 1,75 € (a partir de 1 uds.)")</f>
        <v>Neto G.C.: 1,75 € (a partir de 1 uds.)</v>
      </c>
    </row>
    <row r="190">
      <c r="A190" s="4" t="str">
        <f>IFERROR(__xludf.DUMMYFUNCTION("""COMPUTED_VALUE"""),"0253P")</f>
        <v>0253P</v>
      </c>
      <c r="B190" s="4" t="str">
        <f>IFERROR(__xludf.DUMMYFUNCTION("""COMPUTED_VALUE"""),"Cartel PVC 21x29 PROHIBIDO PASO PERSONA AJENA")</f>
        <v>Cartel PVC 21x29 PROHIBIDO PASO PERSONA AJENA</v>
      </c>
      <c r="C190" s="4">
        <f>IFERROR(__xludf.DUMMYFUNCTION("""COMPUTED_VALUE"""),1.6)</f>
        <v>1.6</v>
      </c>
      <c r="D190" s="4">
        <f>IFERROR(__xludf.DUMMYFUNCTION("""COMPUTED_VALUE"""),1.2)</f>
        <v>1.2</v>
      </c>
      <c r="E190" s="4" t="str">
        <f>IFERROR(__xludf.DUMMYFUNCTION("""COMPUTED_VALUE"""),"Neto G.C.: 1,20 € (a partir de 1 uds.)")</f>
        <v>Neto G.C.: 1,20 € (a partir de 1 uds.)</v>
      </c>
    </row>
    <row r="191">
      <c r="A191" s="4" t="str">
        <f>IFERROR(__xludf.DUMMYFUNCTION("""COMPUTED_VALUE"""),"255")</f>
        <v>255</v>
      </c>
      <c r="B191" s="4" t="str">
        <f>IFERROR(__xludf.DUMMYFUNCTION("""COMPUTED_VALUE"""),"Cartel PVC 40x30 (Temperatura elevada)")</f>
        <v>Cartel PVC 40x30 (Temperatura elevada)</v>
      </c>
      <c r="C191" s="4">
        <f>IFERROR(__xludf.DUMMYFUNCTION("""COMPUTED_VALUE"""),2.48)</f>
        <v>2.48</v>
      </c>
      <c r="D191" s="4">
        <f>IFERROR(__xludf.DUMMYFUNCTION("""COMPUTED_VALUE"""),1.75)</f>
        <v>1.75</v>
      </c>
      <c r="E191" s="4" t="str">
        <f>IFERROR(__xludf.DUMMYFUNCTION("""COMPUTED_VALUE"""),"Neto G.C.: 1,75 € (a partir de 1 uds.)")</f>
        <v>Neto G.C.: 1,75 € (a partir de 1 uds.)</v>
      </c>
    </row>
    <row r="192">
      <c r="A192" s="4" t="str">
        <f>IFERROR(__xludf.DUMMYFUNCTION("""COMPUTED_VALUE"""),"0255P")</f>
        <v>0255P</v>
      </c>
      <c r="B192" s="4" t="str">
        <f>IFERROR(__xludf.DUMMYFUNCTION("""COMPUTED_VALUE"""),"Cartel PVC 21x29 TEMPERATURA ELEVADA")</f>
        <v>Cartel PVC 21x29 TEMPERATURA ELEVADA</v>
      </c>
      <c r="C192" s="4">
        <f>IFERROR(__xludf.DUMMYFUNCTION("""COMPUTED_VALUE"""),1.6)</f>
        <v>1.6</v>
      </c>
      <c r="D192" s="4">
        <f>IFERROR(__xludf.DUMMYFUNCTION("""COMPUTED_VALUE"""),1.2)</f>
        <v>1.2</v>
      </c>
      <c r="E192" s="4" t="str">
        <f>IFERROR(__xludf.DUMMYFUNCTION("""COMPUTED_VALUE"""),"Neto G.C.: 1,20 € (a partir de 1 uds.)")</f>
        <v>Neto G.C.: 1,20 € (a partir de 1 uds.)</v>
      </c>
    </row>
    <row r="193">
      <c r="A193" s="4" t="str">
        <f>IFERROR(__xludf.DUMMYFUNCTION("""COMPUTED_VALUE"""),"256")</f>
        <v>256</v>
      </c>
      <c r="B193" s="4" t="str">
        <f>IFERROR(__xludf.DUMMYFUNCTION("""COMPUTED_VALUE"""),"Cartel PVC 40x30 Fotolum. Botiquin")</f>
        <v>Cartel PVC 40x30 Fotolum. Botiquin</v>
      </c>
      <c r="C193" s="4">
        <f>IFERROR(__xludf.DUMMYFUNCTION("""COMPUTED_VALUE"""),3.35)</f>
        <v>3.35</v>
      </c>
      <c r="D193" s="4">
        <f>IFERROR(__xludf.DUMMYFUNCTION("""COMPUTED_VALUE"""),1.75)</f>
        <v>1.75</v>
      </c>
      <c r="E193" s="4" t="str">
        <f>IFERROR(__xludf.DUMMYFUNCTION("""COMPUTED_VALUE"""),"Neto G.C.: 1,75 € (a partir de 1 uds.)")</f>
        <v>Neto G.C.: 1,75 € (a partir de 1 uds.)</v>
      </c>
    </row>
    <row r="194">
      <c r="A194" s="4" t="str">
        <f>IFERROR(__xludf.DUMMYFUNCTION("""COMPUTED_VALUE"""),"257")</f>
        <v>257</v>
      </c>
      <c r="B194" s="4" t="str">
        <f>IFERROR(__xludf.DUMMYFUNCTION("""COMPUTED_VALUE"""),"Cartel PVC 40x30 (Riesgo desprendimiento)")</f>
        <v>Cartel PVC 40x30 (Riesgo desprendimiento)</v>
      </c>
      <c r="C194" s="4">
        <f>IFERROR(__xludf.DUMMYFUNCTION("""COMPUTED_VALUE"""),2.48)</f>
        <v>2.48</v>
      </c>
      <c r="D194" s="4">
        <f>IFERROR(__xludf.DUMMYFUNCTION("""COMPUTED_VALUE"""),1.8)</f>
        <v>1.8</v>
      </c>
      <c r="E194" s="4" t="str">
        <f>IFERROR(__xludf.DUMMYFUNCTION("""COMPUTED_VALUE"""),"Neto G.C.: 1,80 € (a partir de 1 uds.)")</f>
        <v>Neto G.C.: 1,80 € (a partir de 1 uds.)</v>
      </c>
    </row>
    <row r="195">
      <c r="A195" s="4" t="str">
        <f>IFERROR(__xludf.DUMMYFUNCTION("""COMPUTED_VALUE"""),"0257P")</f>
        <v>0257P</v>
      </c>
      <c r="B195" s="4" t="str">
        <f>IFERROR(__xludf.DUMMYFUNCTION("""COMPUTED_VALUE"""),"Cartel PVC 21x29 RIESGO DESPRENDIMIENTOS")</f>
        <v>Cartel PVC 21x29 RIESGO DESPRENDIMIENTOS</v>
      </c>
      <c r="C195" s="4">
        <f>IFERROR(__xludf.DUMMYFUNCTION("""COMPUTED_VALUE"""),1.6)</f>
        <v>1.6</v>
      </c>
      <c r="D195" s="4">
        <f>IFERROR(__xludf.DUMMYFUNCTION("""COMPUTED_VALUE"""),1.75)</f>
        <v>1.75</v>
      </c>
      <c r="E195" s="4" t="str">
        <f>IFERROR(__xludf.DUMMYFUNCTION("""COMPUTED_VALUE"""),"Neto G.C.: 1,75 € (a partir de 1 uds.)")</f>
        <v>Neto G.C.: 1,75 € (a partir de 1 uds.)</v>
      </c>
    </row>
    <row r="196">
      <c r="A196" s="4" t="str">
        <f>IFERROR(__xludf.DUMMYFUNCTION("""COMPUTED_VALUE"""),"0258A")</f>
        <v>0258A</v>
      </c>
      <c r="B196" s="4" t="str">
        <f>IFERROR(__xludf.DUMMYFUNCTION("""COMPUTED_VALUE"""),"Cartel PVC 21x30 Fotolum. Pulsador de Alarma")</f>
        <v>Cartel PVC 21x30 Fotolum. Pulsador de Alarma</v>
      </c>
      <c r="C196" s="4">
        <f>IFERROR(__xludf.DUMMYFUNCTION("""COMPUTED_VALUE"""),2.52)</f>
        <v>2.52</v>
      </c>
      <c r="D196" s="4">
        <f>IFERROR(__xludf.DUMMYFUNCTION("""COMPUTED_VALUE"""),2.1)</f>
        <v>2.1</v>
      </c>
      <c r="E196" s="4" t="str">
        <f>IFERROR(__xludf.DUMMYFUNCTION("""COMPUTED_VALUE"""),"Neto G.C.: 2,10 € (a partir de 1 uds.)")</f>
        <v>Neto G.C.: 2,10 € (a partir de 1 uds.)</v>
      </c>
    </row>
    <row r="197">
      <c r="A197" s="4" t="str">
        <f>IFERROR(__xludf.DUMMYFUNCTION("""COMPUTED_VALUE"""),"0258B")</f>
        <v>0258B</v>
      </c>
      <c r="B197" s="4" t="str">
        <f>IFERROR(__xludf.DUMMYFUNCTION("""COMPUTED_VALUE"""),"Cartel PVC 40x30 Fotolum. Pulsador de Alarma")</f>
        <v>Cartel PVC 40x30 Fotolum. Pulsador de Alarma</v>
      </c>
      <c r="C197" s="4">
        <f>IFERROR(__xludf.DUMMYFUNCTION("""COMPUTED_VALUE"""),3.1)</f>
        <v>3.1</v>
      </c>
      <c r="D197" s="4">
        <f>IFERROR(__xludf.DUMMYFUNCTION("""COMPUTED_VALUE"""),3.2)</f>
        <v>3.2</v>
      </c>
      <c r="E197" s="4" t="str">
        <f>IFERROR(__xludf.DUMMYFUNCTION("""COMPUTED_VALUE"""),"Neto G.C.: 3,20 € (a partir de 1 uds.)")</f>
        <v>Neto G.C.: 3,20 € (a partir de 1 uds.)</v>
      </c>
    </row>
    <row r="198">
      <c r="A198" s="4" t="str">
        <f>IFERROR(__xludf.DUMMYFUNCTION("""COMPUTED_VALUE"""),"259")</f>
        <v>259</v>
      </c>
      <c r="B198" s="4" t="str">
        <f>IFERROR(__xludf.DUMMYFUNCTION("""COMPUTED_VALUE"""),"Cartel PVC 40x30 Prohib. depositar materiales")</f>
        <v>Cartel PVC 40x30 Prohib. depositar materiales</v>
      </c>
      <c r="C198" s="4">
        <f>IFERROR(__xludf.DUMMYFUNCTION("""COMPUTED_VALUE"""),2.48)</f>
        <v>2.48</v>
      </c>
      <c r="D198" s="4">
        <f>IFERROR(__xludf.DUMMYFUNCTION("""COMPUTED_VALUE"""),1.75)</f>
        <v>1.75</v>
      </c>
      <c r="E198" s="4" t="str">
        <f>IFERROR(__xludf.DUMMYFUNCTION("""COMPUTED_VALUE"""),"Neto G.C.: 1,75 € (a partir de 1 uds.)")</f>
        <v>Neto G.C.: 1,75 € (a partir de 1 uds.)</v>
      </c>
    </row>
    <row r="199">
      <c r="A199" s="4" t="str">
        <f>IFERROR(__xludf.DUMMYFUNCTION("""COMPUTED_VALUE"""),"0259P")</f>
        <v>0259P</v>
      </c>
      <c r="B199" s="4" t="str">
        <f>IFERROR(__xludf.DUMMYFUNCTION("""COMPUTED_VALUE"""),"Cartel PVC 21x29 PROHIBIDO DEPOSITAR MATERIALES")</f>
        <v>Cartel PVC 21x29 PROHIBIDO DEPOSITAR MATERIALES</v>
      </c>
      <c r="C199" s="4">
        <f>IFERROR(__xludf.DUMMYFUNCTION("""COMPUTED_VALUE"""),1.6)</f>
        <v>1.6</v>
      </c>
      <c r="D199" s="4">
        <f>IFERROR(__xludf.DUMMYFUNCTION("""COMPUTED_VALUE"""),1.2)</f>
        <v>1.2</v>
      </c>
      <c r="E199" s="4" t="str">
        <f>IFERROR(__xludf.DUMMYFUNCTION("""COMPUTED_VALUE"""),"Neto G.C.: 1,20 € (a partir de 1 uds.)")</f>
        <v>Neto G.C.: 1,20 € (a partir de 1 uds.)</v>
      </c>
    </row>
    <row r="200">
      <c r="A200" s="4" t="str">
        <f>IFERROR(__xludf.DUMMYFUNCTION("""COMPUTED_VALUE"""),"260")</f>
        <v>260</v>
      </c>
      <c r="B200" s="4" t="str">
        <f>IFERROR(__xludf.DUMMYFUNCTION("""COMPUTED_VALUE"""),"Cartel PVC 40x30 Caida de Objetos")</f>
        <v>Cartel PVC 40x30 Caida de Objetos</v>
      </c>
      <c r="C200" s="4">
        <f>IFERROR(__xludf.DUMMYFUNCTION("""COMPUTED_VALUE"""),2.48)</f>
        <v>2.48</v>
      </c>
      <c r="D200" s="4">
        <f>IFERROR(__xludf.DUMMYFUNCTION("""COMPUTED_VALUE"""),1.75)</f>
        <v>1.75</v>
      </c>
      <c r="E200" s="4" t="str">
        <f>IFERROR(__xludf.DUMMYFUNCTION("""COMPUTED_VALUE"""),"Neto G.C.: 1,75 € (a partir de 1 uds.)")</f>
        <v>Neto G.C.: 1,75 € (a partir de 1 uds.)</v>
      </c>
    </row>
    <row r="201">
      <c r="A201" s="4" t="str">
        <f>IFERROR(__xludf.DUMMYFUNCTION("""COMPUTED_VALUE"""),"0260P")</f>
        <v>0260P</v>
      </c>
      <c r="B201" s="4" t="str">
        <f>IFERROR(__xludf.DUMMYFUNCTION("""COMPUTED_VALUE"""),"Cartel PVC 21x29 PELIGRO CAIDA DE OBJETOS")</f>
        <v>Cartel PVC 21x29 PELIGRO CAIDA DE OBJETOS</v>
      </c>
      <c r="C201" s="4">
        <f>IFERROR(__xludf.DUMMYFUNCTION("""COMPUTED_VALUE"""),1.6)</f>
        <v>1.6</v>
      </c>
      <c r="D201" s="4">
        <f>IFERROR(__xludf.DUMMYFUNCTION("""COMPUTED_VALUE"""),1.2)</f>
        <v>1.2</v>
      </c>
      <c r="E201" s="4" t="str">
        <f>IFERROR(__xludf.DUMMYFUNCTION("""COMPUTED_VALUE"""),"Neto G.C.: 1,20 € (a partir de 1 uds.)")</f>
        <v>Neto G.C.: 1,20 € (a partir de 1 uds.)</v>
      </c>
    </row>
    <row r="202">
      <c r="A202" s="4" t="str">
        <f>IFERROR(__xludf.DUMMYFUNCTION("""COMPUTED_VALUE"""),"261")</f>
        <v>261</v>
      </c>
      <c r="B202" s="4" t="str">
        <f>IFERROR(__xludf.DUMMYFUNCTION("""COMPUTED_VALUE"""),"Cartel PVC 40x30 Fotolum. Aseos Mujeres")</f>
        <v>Cartel PVC 40x30 Fotolum. Aseos Mujeres</v>
      </c>
      <c r="C202" s="4">
        <f>IFERROR(__xludf.DUMMYFUNCTION("""COMPUTED_VALUE"""),3.35)</f>
        <v>3.35</v>
      </c>
      <c r="D202" s="4">
        <f>IFERROR(__xludf.DUMMYFUNCTION("""COMPUTED_VALUE"""),3.2)</f>
        <v>3.2</v>
      </c>
      <c r="E202" s="4" t="str">
        <f>IFERROR(__xludf.DUMMYFUNCTION("""COMPUTED_VALUE"""),"Neto G.C.: 3,20 € (a partir de 1 uds.)")</f>
        <v>Neto G.C.: 3,20 € (a partir de 1 uds.)</v>
      </c>
    </row>
    <row r="203">
      <c r="A203" s="4" t="str">
        <f>IFERROR(__xludf.DUMMYFUNCTION("""COMPUTED_VALUE"""),"262")</f>
        <v>262</v>
      </c>
      <c r="B203" s="4" t="str">
        <f>IFERROR(__xludf.DUMMYFUNCTION("""COMPUTED_VALUE"""),"Cartel PVC 40x30 Fotolum. Aseos hombres")</f>
        <v>Cartel PVC 40x30 Fotolum. Aseos hombres</v>
      </c>
      <c r="C203" s="4">
        <f>IFERROR(__xludf.DUMMYFUNCTION("""COMPUTED_VALUE"""),3.35)</f>
        <v>3.35</v>
      </c>
      <c r="D203" s="4">
        <f>IFERROR(__xludf.DUMMYFUNCTION("""COMPUTED_VALUE"""),3.2)</f>
        <v>3.2</v>
      </c>
      <c r="E203" s="4" t="str">
        <f>IFERROR(__xludf.DUMMYFUNCTION("""COMPUTED_VALUE"""),"Neto G.C.: 3,20 € (a partir de 1 uds.)")</f>
        <v>Neto G.C.: 3,20 € (a partir de 1 uds.)</v>
      </c>
    </row>
    <row r="204">
      <c r="A204" s="4" t="str">
        <f>IFERROR(__xludf.DUMMYFUNCTION("""COMPUTED_VALUE"""),"263")</f>
        <v>263</v>
      </c>
      <c r="B204" s="4" t="str">
        <f>IFERROR(__xludf.DUMMYFUNCTION("""COMPUTED_VALUE"""),"Cartel PVC 40x30 Fotolum.Aseos Mixtos")</f>
        <v>Cartel PVC 40x30 Fotolum.Aseos Mixtos</v>
      </c>
      <c r="C204" s="4">
        <f>IFERROR(__xludf.DUMMYFUNCTION("""COMPUTED_VALUE"""),3.35)</f>
        <v>3.35</v>
      </c>
      <c r="D204" s="4">
        <f>IFERROR(__xludf.DUMMYFUNCTION("""COMPUTED_VALUE"""),3.2)</f>
        <v>3.2</v>
      </c>
      <c r="E204" s="4" t="str">
        <f>IFERROR(__xludf.DUMMYFUNCTION("""COMPUTED_VALUE"""),"Neto G.C.: 3,20 € (a partir de 1 uds.)")</f>
        <v>Neto G.C.: 3,20 € (a partir de 1 uds.)</v>
      </c>
    </row>
    <row r="205">
      <c r="A205" s="4" t="str">
        <f>IFERROR(__xludf.DUMMYFUNCTION("""COMPUTED_VALUE"""),"264")</f>
        <v>264</v>
      </c>
      <c r="B205" s="4" t="str">
        <f>IFERROR(__xludf.DUMMYFUNCTION("""COMPUTED_VALUE"""),"Cartel PVC 40X30 Fotolum. Salida de Emergencia")</f>
        <v>Cartel PVC 40X30 Fotolum. Salida de Emergencia</v>
      </c>
      <c r="C205" s="4">
        <f>IFERROR(__xludf.DUMMYFUNCTION("""COMPUTED_VALUE"""),3.35)</f>
        <v>3.35</v>
      </c>
      <c r="D205" s="4">
        <f>IFERROR(__xludf.DUMMYFUNCTION("""COMPUTED_VALUE"""),3.2)</f>
        <v>3.2</v>
      </c>
      <c r="E205" s="4" t="str">
        <f>IFERROR(__xludf.DUMMYFUNCTION("""COMPUTED_VALUE"""),"Neto G.C.: 3,20 € (a partir de 1 uds.)")</f>
        <v>Neto G.C.: 3,20 € (a partir de 1 uds.)</v>
      </c>
    </row>
    <row r="206">
      <c r="A206" s="4" t="str">
        <f>IFERROR(__xludf.DUMMYFUNCTION("""COMPUTED_VALUE"""),"265")</f>
        <v>265</v>
      </c>
      <c r="B206" s="4" t="str">
        <f>IFERROR(__xludf.DUMMYFUNCTION("""COMPUTED_VALUE"""),"Cartel PVC 40x30 Perro Peligroso")</f>
        <v>Cartel PVC 40x30 Perro Peligroso</v>
      </c>
      <c r="C206" s="4">
        <f>IFERROR(__xludf.DUMMYFUNCTION("""COMPUTED_VALUE"""),2.48)</f>
        <v>2.48</v>
      </c>
      <c r="D206" s="4">
        <f>IFERROR(__xludf.DUMMYFUNCTION("""COMPUTED_VALUE"""),1.75)</f>
        <v>1.75</v>
      </c>
      <c r="E206" s="4" t="str">
        <f>IFERROR(__xludf.DUMMYFUNCTION("""COMPUTED_VALUE"""),"Neto G.C.: 1,75 € (a partir de 1 uds.)")</f>
        <v>Neto G.C.: 1,75 € (a partir de 1 uds.)</v>
      </c>
    </row>
    <row r="207">
      <c r="A207" s="4" t="str">
        <f>IFERROR(__xludf.DUMMYFUNCTION("""COMPUTED_VALUE"""),"0265P")</f>
        <v>0265P</v>
      </c>
      <c r="B207" s="4" t="str">
        <f>IFERROR(__xludf.DUMMYFUNCTION("""COMPUTED_VALUE"""),"Cartel PVC 21x29 PERRO PELIGROSO")</f>
        <v>Cartel PVC 21x29 PERRO PELIGROSO</v>
      </c>
      <c r="C207" s="4">
        <f>IFERROR(__xludf.DUMMYFUNCTION("""COMPUTED_VALUE"""),1.6)</f>
        <v>1.6</v>
      </c>
      <c r="D207" s="4">
        <f>IFERROR(__xludf.DUMMYFUNCTION("""COMPUTED_VALUE"""),1.2)</f>
        <v>1.2</v>
      </c>
      <c r="E207" s="4" t="str">
        <f>IFERROR(__xludf.DUMMYFUNCTION("""COMPUTED_VALUE"""),"Neto G.C.: 1,20 € (a partir de 1 uds.)")</f>
        <v>Neto G.C.: 1,20 € (a partir de 1 uds.)</v>
      </c>
    </row>
    <row r="208">
      <c r="A208" s="4" t="str">
        <f>IFERROR(__xludf.DUMMYFUNCTION("""COMPUTED_VALUE"""),"266")</f>
        <v>266</v>
      </c>
      <c r="B208" s="4" t="str">
        <f>IFERROR(__xludf.DUMMYFUNCTION("""COMPUTED_VALUE"""),"Cartel PVC 40x30 Peligro zona minera")</f>
        <v>Cartel PVC 40x30 Peligro zona minera</v>
      </c>
      <c r="C208" s="4">
        <f>IFERROR(__xludf.DUMMYFUNCTION("""COMPUTED_VALUE"""),2.48)</f>
        <v>2.48</v>
      </c>
      <c r="D208" s="4">
        <f>IFERROR(__xludf.DUMMYFUNCTION("""COMPUTED_VALUE"""),1.75)</f>
        <v>1.75</v>
      </c>
      <c r="E208" s="4" t="str">
        <f>IFERROR(__xludf.DUMMYFUNCTION("""COMPUTED_VALUE"""),"Neto G.C.: 1,75 € (a partir de 1 uds.)")</f>
        <v>Neto G.C.: 1,75 € (a partir de 1 uds.)</v>
      </c>
    </row>
    <row r="209">
      <c r="A209" s="4" t="str">
        <f>IFERROR(__xludf.DUMMYFUNCTION("""COMPUTED_VALUE"""),"0266P")</f>
        <v>0266P</v>
      </c>
      <c r="B209" s="4" t="str">
        <f>IFERROR(__xludf.DUMMYFUNCTION("""COMPUTED_VALUE"""),"Cartel PVC 21x29 PELIGRO ZONA MINERA")</f>
        <v>Cartel PVC 21x29 PELIGRO ZONA MINERA</v>
      </c>
      <c r="C209" s="4">
        <f>IFERROR(__xludf.DUMMYFUNCTION("""COMPUTED_VALUE"""),1.6)</f>
        <v>1.6</v>
      </c>
      <c r="D209" s="4">
        <f>IFERROR(__xludf.DUMMYFUNCTION("""COMPUTED_VALUE"""),1.2)</f>
        <v>1.2</v>
      </c>
      <c r="E209" s="4" t="str">
        <f>IFERROR(__xludf.DUMMYFUNCTION("""COMPUTED_VALUE"""),"Neto G.C.: 1,20 € (a partir de 1 uds.)")</f>
        <v>Neto G.C.: 1,20 € (a partir de 1 uds.)</v>
      </c>
    </row>
    <row r="210">
      <c r="A210" s="4" t="str">
        <f>IFERROR(__xludf.DUMMYFUNCTION("""COMPUTED_VALUE"""),"267")</f>
        <v>267</v>
      </c>
      <c r="B210" s="4" t="str">
        <f>IFERROR(__xludf.DUMMYFUNCTION("""COMPUTED_VALUE"""),"Cartel PVC 40x30 Vehiculo Pesado")</f>
        <v>Cartel PVC 40x30 Vehiculo Pesado</v>
      </c>
      <c r="C210" s="4">
        <f>IFERROR(__xludf.DUMMYFUNCTION("""COMPUTED_VALUE"""),2.48)</f>
        <v>2.48</v>
      </c>
      <c r="D210" s="4">
        <f>IFERROR(__xludf.DUMMYFUNCTION("""COMPUTED_VALUE"""),1.75)</f>
        <v>1.75</v>
      </c>
      <c r="E210" s="4" t="str">
        <f>IFERROR(__xludf.DUMMYFUNCTION("""COMPUTED_VALUE"""),"Neto G.C.: 1,75 € (a partir de 1 uds.)")</f>
        <v>Neto G.C.: 1,75 € (a partir de 1 uds.)</v>
      </c>
    </row>
    <row r="211">
      <c r="A211" s="4" t="str">
        <f>IFERROR(__xludf.DUMMYFUNCTION("""COMPUTED_VALUE"""),"0267P")</f>
        <v>0267P</v>
      </c>
      <c r="B211" s="4" t="str">
        <f>IFERROR(__xludf.DUMMYFUNCTION("""COMPUTED_VALUE"""),"Cartel PVC 21x29 VEHICULO PESADO")</f>
        <v>Cartel PVC 21x29 VEHICULO PESADO</v>
      </c>
      <c r="C211" s="4">
        <f>IFERROR(__xludf.DUMMYFUNCTION("""COMPUTED_VALUE"""),1.6)</f>
        <v>1.6</v>
      </c>
      <c r="D211" s="4">
        <f>IFERROR(__xludf.DUMMYFUNCTION("""COMPUTED_VALUE"""),1.2)</f>
        <v>1.2</v>
      </c>
      <c r="E211" s="4" t="str">
        <f>IFERROR(__xludf.DUMMYFUNCTION("""COMPUTED_VALUE"""),"Neto G.C.: 1,20 € (a partir de 1 uds.)")</f>
        <v>Neto G.C.: 1,20 € (a partir de 1 uds.)</v>
      </c>
    </row>
    <row r="212">
      <c r="A212" s="4" t="str">
        <f>IFERROR(__xludf.DUMMYFUNCTION("""COMPUTED_VALUE"""),"268")</f>
        <v>268</v>
      </c>
      <c r="B212" s="4" t="str">
        <f>IFERROR(__xludf.DUMMYFUNCTION("""COMPUTED_VALUE"""),"Cartel PVC 40x30 Peligro Expulsion de Material")</f>
        <v>Cartel PVC 40x30 Peligro Expulsion de Material</v>
      </c>
      <c r="C212" s="4">
        <f>IFERROR(__xludf.DUMMYFUNCTION("""COMPUTED_VALUE"""),2.48)</f>
        <v>2.48</v>
      </c>
      <c r="D212" s="4">
        <f>IFERROR(__xludf.DUMMYFUNCTION("""COMPUTED_VALUE"""),1.75)</f>
        <v>1.75</v>
      </c>
      <c r="E212" s="4" t="str">
        <f>IFERROR(__xludf.DUMMYFUNCTION("""COMPUTED_VALUE"""),"Neto G.C.: 1,75 € (a partir de 1 uds.)")</f>
        <v>Neto G.C.: 1,75 € (a partir de 1 uds.)</v>
      </c>
    </row>
    <row r="213">
      <c r="A213" s="4" t="str">
        <f>IFERROR(__xludf.DUMMYFUNCTION("""COMPUTED_VALUE"""),"0268P")</f>
        <v>0268P</v>
      </c>
      <c r="B213" s="4" t="str">
        <f>IFERROR(__xludf.DUMMYFUNCTION("""COMPUTED_VALUE"""),"Cartel PVC 21x29 PELIGRO EXPUL.MATERIAL")</f>
        <v>Cartel PVC 21x29 PELIGRO EXPUL.MATERIAL</v>
      </c>
      <c r="C213" s="4">
        <f>IFERROR(__xludf.DUMMYFUNCTION("""COMPUTED_VALUE"""),1.6)</f>
        <v>1.6</v>
      </c>
      <c r="D213" s="4">
        <f>IFERROR(__xludf.DUMMYFUNCTION("""COMPUTED_VALUE"""),1.2)</f>
        <v>1.2</v>
      </c>
      <c r="E213" s="4" t="str">
        <f>IFERROR(__xludf.DUMMYFUNCTION("""COMPUTED_VALUE"""),"Neto G.C.: 1,20 € (a partir de 1 uds.)")</f>
        <v>Neto G.C.: 1,20 € (a partir de 1 uds.)</v>
      </c>
    </row>
    <row r="214">
      <c r="A214" s="4" t="str">
        <f>IFERROR(__xludf.DUMMYFUNCTION("""COMPUTED_VALUE"""),"269")</f>
        <v>269</v>
      </c>
      <c r="B214" s="4" t="str">
        <f>IFERROR(__xludf.DUMMYFUNCTION("""COMPUTED_VALUE"""),"Cartel PVC 40x30 Atencion Mecanismo Accionado a distancia")</f>
        <v>Cartel PVC 40x30 Atencion Mecanismo Accionado a distancia</v>
      </c>
      <c r="C214" s="4">
        <f>IFERROR(__xludf.DUMMYFUNCTION("""COMPUTED_VALUE"""),2.48)</f>
        <v>2.48</v>
      </c>
      <c r="D214" s="4">
        <f>IFERROR(__xludf.DUMMYFUNCTION("""COMPUTED_VALUE"""),1.75)</f>
        <v>1.75</v>
      </c>
      <c r="E214" s="4" t="str">
        <f>IFERROR(__xludf.DUMMYFUNCTION("""COMPUTED_VALUE"""),"Neto G.C.: 1,75 € (a partir de 1 uds.)")</f>
        <v>Neto G.C.: 1,75 € (a partir de 1 uds.)</v>
      </c>
    </row>
    <row r="215">
      <c r="A215" s="4" t="str">
        <f>IFERROR(__xludf.DUMMYFUNCTION("""COMPUTED_VALUE"""),"0269P")</f>
        <v>0269P</v>
      </c>
      <c r="B215" s="4" t="str">
        <f>IFERROR(__xludf.DUMMYFUNCTION("""COMPUTED_VALUE"""),"Cartel PVC 21x29 ATENCION MECANISMO ACCION.")</f>
        <v>Cartel PVC 21x29 ATENCION MECANISMO ACCION.</v>
      </c>
      <c r="C215" s="4">
        <f>IFERROR(__xludf.DUMMYFUNCTION("""COMPUTED_VALUE"""),1.6)</f>
        <v>1.6</v>
      </c>
      <c r="D215" s="4">
        <f>IFERROR(__xludf.DUMMYFUNCTION("""COMPUTED_VALUE"""),1.2)</f>
        <v>1.2</v>
      </c>
      <c r="E215" s="4" t="str">
        <f>IFERROR(__xludf.DUMMYFUNCTION("""COMPUTED_VALUE"""),"Neto G.C.: 1,20 € (a partir de 1 uds.)")</f>
        <v>Neto G.C.: 1,20 € (a partir de 1 uds.)</v>
      </c>
    </row>
    <row r="216">
      <c r="A216" s="4" t="str">
        <f>IFERROR(__xludf.DUMMYFUNCTION("""COMPUTED_VALUE"""),"270")</f>
        <v>270</v>
      </c>
      <c r="B216" s="4" t="str">
        <f>IFERROR(__xludf.DUMMYFUNCTION("""COMPUTED_VALUE"""),"Cartel PVC 40x30 Atencion Grua Accionada a distan.")</f>
        <v>Cartel PVC 40x30 Atencion Grua Accionada a distan.</v>
      </c>
      <c r="C216" s="4">
        <f>IFERROR(__xludf.DUMMYFUNCTION("""COMPUTED_VALUE"""),2.48)</f>
        <v>2.48</v>
      </c>
      <c r="D216" s="4">
        <f>IFERROR(__xludf.DUMMYFUNCTION("""COMPUTED_VALUE"""),1.75)</f>
        <v>1.75</v>
      </c>
      <c r="E216" s="4" t="str">
        <f>IFERROR(__xludf.DUMMYFUNCTION("""COMPUTED_VALUE"""),"Neto G.C.: 1,75 € (a partir de 1 uds.)")</f>
        <v>Neto G.C.: 1,75 € (a partir de 1 uds.)</v>
      </c>
    </row>
    <row r="217">
      <c r="A217" s="4" t="str">
        <f>IFERROR(__xludf.DUMMYFUNCTION("""COMPUTED_VALUE"""),"0270P")</f>
        <v>0270P</v>
      </c>
      <c r="B217" s="4" t="str">
        <f>IFERROR(__xludf.DUMMYFUNCTION("""COMPUTED_VALUE"""),"Cartel PVC 21x29 ATENCION GRUA ACCIONADA A")</f>
        <v>Cartel PVC 21x29 ATENCION GRUA ACCIONADA A</v>
      </c>
      <c r="C217" s="4">
        <f>IFERROR(__xludf.DUMMYFUNCTION("""COMPUTED_VALUE"""),1.6)</f>
        <v>1.6</v>
      </c>
      <c r="D217" s="4">
        <f>IFERROR(__xludf.DUMMYFUNCTION("""COMPUTED_VALUE"""),1.2)</f>
        <v>1.2</v>
      </c>
      <c r="E217" s="4" t="str">
        <f>IFERROR(__xludf.DUMMYFUNCTION("""COMPUTED_VALUE"""),"Neto G.C.: 1,20 € (a partir de 1 uds.)")</f>
        <v>Neto G.C.: 1,20 € (a partir de 1 uds.)</v>
      </c>
    </row>
    <row r="218">
      <c r="A218" s="4" t="str">
        <f>IFERROR(__xludf.DUMMYFUNCTION("""COMPUTED_VALUE"""),"271")</f>
        <v>271</v>
      </c>
      <c r="B218" s="4" t="str">
        <f>IFERROR(__xludf.DUMMYFUNCTION("""COMPUTED_VALUE"""),"Cartel PVC 40x30 EX 40x30 cm")</f>
        <v>Cartel PVC 40x30 EX 40x30 cm</v>
      </c>
      <c r="C218" s="4">
        <f>IFERROR(__xludf.DUMMYFUNCTION("""COMPUTED_VALUE"""),2.48)</f>
        <v>2.48</v>
      </c>
      <c r="D218" s="4">
        <f>IFERROR(__xludf.DUMMYFUNCTION("""COMPUTED_VALUE"""),1.75)</f>
        <v>1.75</v>
      </c>
      <c r="E218" s="4" t="str">
        <f>IFERROR(__xludf.DUMMYFUNCTION("""COMPUTED_VALUE"""),"Neto G.C.: 1,75 € (a partir de 1 uds.)")</f>
        <v>Neto G.C.: 1,75 € (a partir de 1 uds.)</v>
      </c>
    </row>
    <row r="219">
      <c r="A219" s="4" t="str">
        <f>IFERROR(__xludf.DUMMYFUNCTION("""COMPUTED_VALUE"""),"0271P")</f>
        <v>0271P</v>
      </c>
      <c r="B219" s="4" t="str">
        <f>IFERROR(__xludf.DUMMYFUNCTION("""COMPUTED_VALUE"""),"Cartel PVC 21x29 EX 21x29 cm")</f>
        <v>Cartel PVC 21x29 EX 21x29 cm</v>
      </c>
      <c r="C219" s="4">
        <f>IFERROR(__xludf.DUMMYFUNCTION("""COMPUTED_VALUE"""),1.6)</f>
        <v>1.6</v>
      </c>
      <c r="D219" s="4">
        <f>IFERROR(__xludf.DUMMYFUNCTION("""COMPUTED_VALUE"""),1.2)</f>
        <v>1.2</v>
      </c>
      <c r="E219" s="4" t="str">
        <f>IFERROR(__xludf.DUMMYFUNCTION("""COMPUTED_VALUE"""),"Neto G.C.: 1,20 € (a partir de 1 uds.)")</f>
        <v>Neto G.C.: 1,20 € (a partir de 1 uds.)</v>
      </c>
    </row>
    <row r="220">
      <c r="A220" s="4" t="str">
        <f>IFERROR(__xludf.DUMMYFUNCTION("""COMPUTED_VALUE"""),"272")</f>
        <v>272</v>
      </c>
      <c r="B220" s="4" t="str">
        <f>IFERROR(__xludf.DUMMYFUNCTION("""COMPUTED_VALUE"""),"Cartel PVC 40x30 Peligro Voladuras")</f>
        <v>Cartel PVC 40x30 Peligro Voladuras</v>
      </c>
      <c r="C220" s="4">
        <f>IFERROR(__xludf.DUMMYFUNCTION("""COMPUTED_VALUE"""),2.48)</f>
        <v>2.48</v>
      </c>
      <c r="D220" s="4">
        <f>IFERROR(__xludf.DUMMYFUNCTION("""COMPUTED_VALUE"""),1.75)</f>
        <v>1.75</v>
      </c>
      <c r="E220" s="4" t="str">
        <f>IFERROR(__xludf.DUMMYFUNCTION("""COMPUTED_VALUE"""),"Neto G.C.: 1,75 € (a partir de 1 uds.)")</f>
        <v>Neto G.C.: 1,75 € (a partir de 1 uds.)</v>
      </c>
    </row>
    <row r="221">
      <c r="A221" s="4" t="str">
        <f>IFERROR(__xludf.DUMMYFUNCTION("""COMPUTED_VALUE"""),"0272P")</f>
        <v>0272P</v>
      </c>
      <c r="B221" s="4" t="str">
        <f>IFERROR(__xludf.DUMMYFUNCTION("""COMPUTED_VALUE"""),"Cartel PVC 21x29 PELIGRO VOLADURA")</f>
        <v>Cartel PVC 21x29 PELIGRO VOLADURA</v>
      </c>
      <c r="C221" s="4">
        <f>IFERROR(__xludf.DUMMYFUNCTION("""COMPUTED_VALUE"""),1.6)</f>
        <v>1.6</v>
      </c>
      <c r="D221" s="4">
        <f>IFERROR(__xludf.DUMMYFUNCTION("""COMPUTED_VALUE"""),1.2)</f>
        <v>1.2</v>
      </c>
      <c r="E221" s="4" t="str">
        <f>IFERROR(__xludf.DUMMYFUNCTION("""COMPUTED_VALUE"""),"Neto G.C.: 1,20 € (a partir de 1 uds.)")</f>
        <v>Neto G.C.: 1,20 € (a partir de 1 uds.)</v>
      </c>
    </row>
    <row r="222">
      <c r="A222" s="4" t="str">
        <f>IFERROR(__xludf.DUMMYFUNCTION("""COMPUTED_VALUE"""),"273")</f>
        <v>273</v>
      </c>
      <c r="B222" s="4" t="str">
        <f>IFERROR(__xludf.DUMMYFUNCTION("""COMPUTED_VALUE"""),"Cartel PVC 40x30 Prohib. Manipular valvula")</f>
        <v>Cartel PVC 40x30 Prohib. Manipular valvula</v>
      </c>
      <c r="C222" s="4">
        <f>IFERROR(__xludf.DUMMYFUNCTION("""COMPUTED_VALUE"""),2.48)</f>
        <v>2.48</v>
      </c>
      <c r="D222" s="4">
        <f>IFERROR(__xludf.DUMMYFUNCTION("""COMPUTED_VALUE"""),1.75)</f>
        <v>1.75</v>
      </c>
      <c r="E222" s="4" t="str">
        <f>IFERROR(__xludf.DUMMYFUNCTION("""COMPUTED_VALUE"""),"Neto G.C.: 1,75 € (a partir de 1 uds.)")</f>
        <v>Neto G.C.: 1,75 € (a partir de 1 uds.)</v>
      </c>
    </row>
    <row r="223">
      <c r="A223" s="4" t="str">
        <f>IFERROR(__xludf.DUMMYFUNCTION("""COMPUTED_VALUE"""),"0273P")</f>
        <v>0273P</v>
      </c>
      <c r="B223" s="4" t="str">
        <f>IFERROR(__xludf.DUMMYFUNCTION("""COMPUTED_VALUE"""),"Cartel PVC 21x29 PROHIBIDO MANIPULAR LA VALVULA")</f>
        <v>Cartel PVC 21x29 PROHIBIDO MANIPULAR LA VALVULA</v>
      </c>
      <c r="C223" s="4">
        <f>IFERROR(__xludf.DUMMYFUNCTION("""COMPUTED_VALUE"""),1.6)</f>
        <v>1.6</v>
      </c>
      <c r="D223" s="4">
        <f>IFERROR(__xludf.DUMMYFUNCTION("""COMPUTED_VALUE"""),1.2)</f>
        <v>1.2</v>
      </c>
      <c r="E223" s="4" t="str">
        <f>IFERROR(__xludf.DUMMYFUNCTION("""COMPUTED_VALUE"""),"Neto G.C.: 1,20 € (a partir de 1 uds.)")</f>
        <v>Neto G.C.: 1,20 € (a partir de 1 uds.)</v>
      </c>
    </row>
    <row r="224">
      <c r="A224" s="4" t="str">
        <f>IFERROR(__xludf.DUMMYFUNCTION("""COMPUTED_VALUE"""),"274")</f>
        <v>274</v>
      </c>
      <c r="B224" s="4" t="str">
        <f>IFERROR(__xludf.DUMMYFUNCTION("""COMPUTED_VALUE"""),"Cartel PVC 40x30 Prohibido Engrasar en funcionamiento")</f>
        <v>Cartel PVC 40x30 Prohibido Engrasar en funcionamiento</v>
      </c>
      <c r="C224" s="4">
        <f>IFERROR(__xludf.DUMMYFUNCTION("""COMPUTED_VALUE"""),2.48)</f>
        <v>2.48</v>
      </c>
      <c r="D224" s="4">
        <f>IFERROR(__xludf.DUMMYFUNCTION("""COMPUTED_VALUE"""),1.75)</f>
        <v>1.75</v>
      </c>
      <c r="E224" s="4" t="str">
        <f>IFERROR(__xludf.DUMMYFUNCTION("""COMPUTED_VALUE"""),"Neto G.C.: 1,75 € (a partir de 1 uds.)")</f>
        <v>Neto G.C.: 1,75 € (a partir de 1 uds.)</v>
      </c>
    </row>
    <row r="225">
      <c r="A225" s="4" t="str">
        <f>IFERROR(__xludf.DUMMYFUNCTION("""COMPUTED_VALUE"""),"0274P")</f>
        <v>0274P</v>
      </c>
      <c r="B225" s="4" t="str">
        <f>IFERROR(__xludf.DUMMYFUNCTION("""COMPUTED_VALUE"""),"Cartel PVC 21x29 PROHIBIDO ENGRASAR O REPARAR")</f>
        <v>Cartel PVC 21x29 PROHIBIDO ENGRASAR O REPARAR</v>
      </c>
      <c r="C225" s="4">
        <f>IFERROR(__xludf.DUMMYFUNCTION("""COMPUTED_VALUE"""),1.6)</f>
        <v>1.6</v>
      </c>
      <c r="D225" s="4">
        <f>IFERROR(__xludf.DUMMYFUNCTION("""COMPUTED_VALUE"""),1.2)</f>
        <v>1.2</v>
      </c>
      <c r="E225" s="4" t="str">
        <f>IFERROR(__xludf.DUMMYFUNCTION("""COMPUTED_VALUE"""),"Neto G.C.: 1,20 € (a partir de 1 uds.)")</f>
        <v>Neto G.C.: 1,20 € (a partir de 1 uds.)</v>
      </c>
    </row>
    <row r="226">
      <c r="A226" s="4" t="str">
        <f>IFERROR(__xludf.DUMMYFUNCTION("""COMPUTED_VALUE"""),"275")</f>
        <v>275</v>
      </c>
      <c r="B226" s="4" t="str">
        <f>IFERROR(__xludf.DUMMYFUNCTION("""COMPUTED_VALUE"""),"Cartel PVC 40x30 Prohib. efectuar reparaciones pers. no")</f>
        <v>Cartel PVC 40x30 Prohib. efectuar reparaciones pers. no</v>
      </c>
      <c r="C226" s="4">
        <f>IFERROR(__xludf.DUMMYFUNCTION("""COMPUTED_VALUE"""),2.48)</f>
        <v>2.48</v>
      </c>
      <c r="D226" s="4">
        <f>IFERROR(__xludf.DUMMYFUNCTION("""COMPUTED_VALUE"""),1.75)</f>
        <v>1.75</v>
      </c>
      <c r="E226" s="4" t="str">
        <f>IFERROR(__xludf.DUMMYFUNCTION("""COMPUTED_VALUE"""),"Neto G.C.: 1,75 € (a partir de 1 uds.)")</f>
        <v>Neto G.C.: 1,75 € (a partir de 1 uds.)</v>
      </c>
    </row>
    <row r="227">
      <c r="A227" s="4" t="str">
        <f>IFERROR(__xludf.DUMMYFUNCTION("""COMPUTED_VALUE"""),"0275P")</f>
        <v>0275P</v>
      </c>
      <c r="B227" s="4" t="str">
        <f>IFERROR(__xludf.DUMMYFUNCTION("""COMPUTED_VALUE"""),"Cartel PVC 21x29 PROHIBIDO REPARACIONES PERSONAL")</f>
        <v>Cartel PVC 21x29 PROHIBIDO REPARACIONES PERSONAL</v>
      </c>
      <c r="C227" s="4">
        <f>IFERROR(__xludf.DUMMYFUNCTION("""COMPUTED_VALUE"""),1.6)</f>
        <v>1.6</v>
      </c>
      <c r="D227" s="4">
        <f>IFERROR(__xludf.DUMMYFUNCTION("""COMPUTED_VALUE"""),1.2)</f>
        <v>1.2</v>
      </c>
      <c r="E227" s="4" t="str">
        <f>IFERROR(__xludf.DUMMYFUNCTION("""COMPUTED_VALUE"""),"Neto G.C.: 1,20 € (a partir de 1 uds.)")</f>
        <v>Neto G.C.: 1,20 € (a partir de 1 uds.)</v>
      </c>
    </row>
    <row r="228">
      <c r="A228" s="4" t="str">
        <f>IFERROR(__xludf.DUMMYFUNCTION("""COMPUTED_VALUE"""),"276")</f>
        <v>276</v>
      </c>
      <c r="B228" s="4" t="str">
        <f>IFERROR(__xludf.DUMMYFUNCTION("""COMPUTED_VALUE"""),"Cartel PVC 40x30 Prohib. Manipular maquina en")</f>
        <v>Cartel PVC 40x30 Prohib. Manipular maquina en</v>
      </c>
      <c r="C228" s="4">
        <f>IFERROR(__xludf.DUMMYFUNCTION("""COMPUTED_VALUE"""),2.48)</f>
        <v>2.48</v>
      </c>
      <c r="D228" s="4">
        <f>IFERROR(__xludf.DUMMYFUNCTION("""COMPUTED_VALUE"""),1.75)</f>
        <v>1.75</v>
      </c>
      <c r="E228" s="4" t="str">
        <f>IFERROR(__xludf.DUMMYFUNCTION("""COMPUTED_VALUE"""),"Neto G.C.: 1,75 € (a partir de 1 uds.)")</f>
        <v>Neto G.C.: 1,75 € (a partir de 1 uds.)</v>
      </c>
    </row>
    <row r="229">
      <c r="A229" s="4" t="str">
        <f>IFERROR(__xludf.DUMMYFUNCTION("""COMPUTED_VALUE"""),"0276P")</f>
        <v>0276P</v>
      </c>
      <c r="B229" s="4" t="str">
        <f>IFERROR(__xludf.DUMMYFUNCTION("""COMPUTED_VALUE"""),"Cartel PVC 21x29 PROHIBIDO MANIPULAR LA MAQUINA EN")</f>
        <v>Cartel PVC 21x29 PROHIBIDO MANIPULAR LA MAQUINA EN</v>
      </c>
      <c r="C229" s="4">
        <f>IFERROR(__xludf.DUMMYFUNCTION("""COMPUTED_VALUE"""),1.6)</f>
        <v>1.6</v>
      </c>
      <c r="D229" s="4">
        <f>IFERROR(__xludf.DUMMYFUNCTION("""COMPUTED_VALUE"""),1.2)</f>
        <v>1.2</v>
      </c>
      <c r="E229" s="4" t="str">
        <f>IFERROR(__xludf.DUMMYFUNCTION("""COMPUTED_VALUE"""),"Neto G.C.: 1,20 € (a partir de 1 uds.)")</f>
        <v>Neto G.C.: 1,20 € (a partir de 1 uds.)</v>
      </c>
    </row>
    <row r="230">
      <c r="A230" s="4" t="str">
        <f>IFERROR(__xludf.DUMMYFUNCTION("""COMPUTED_VALUE"""),"277")</f>
        <v>277</v>
      </c>
      <c r="B230" s="4" t="str">
        <f>IFERROR(__xludf.DUMMYFUNCTION("""COMPUTED_VALUE"""),"Cartel PVC 40x30 Area de Ruido Peligroso")</f>
        <v>Cartel PVC 40x30 Area de Ruido Peligroso</v>
      </c>
      <c r="C230" s="4">
        <f>IFERROR(__xludf.DUMMYFUNCTION("""COMPUTED_VALUE"""),2.48)</f>
        <v>2.48</v>
      </c>
      <c r="D230" s="4">
        <f>IFERROR(__xludf.DUMMYFUNCTION("""COMPUTED_VALUE"""),1.75)</f>
        <v>1.75</v>
      </c>
      <c r="E230" s="4" t="str">
        <f>IFERROR(__xludf.DUMMYFUNCTION("""COMPUTED_VALUE"""),"Neto G.C.: 1,75 € (a partir de 1 uds.)")</f>
        <v>Neto G.C.: 1,75 € (a partir de 1 uds.)</v>
      </c>
    </row>
    <row r="231">
      <c r="A231" s="4" t="str">
        <f>IFERROR(__xludf.DUMMYFUNCTION("""COMPUTED_VALUE"""),"0277P")</f>
        <v>0277P</v>
      </c>
      <c r="B231" s="4" t="str">
        <f>IFERROR(__xludf.DUMMYFUNCTION("""COMPUTED_VALUE"""),"Cartel PVC 21x29 ATENCION AREA RUIDO PELIGROSO")</f>
        <v>Cartel PVC 21x29 ATENCION AREA RUIDO PELIGROSO</v>
      </c>
      <c r="C231" s="4">
        <f>IFERROR(__xludf.DUMMYFUNCTION("""COMPUTED_VALUE"""),1.6)</f>
        <v>1.6</v>
      </c>
      <c r="D231" s="4">
        <f>IFERROR(__xludf.DUMMYFUNCTION("""COMPUTED_VALUE"""),1.2)</f>
        <v>1.2</v>
      </c>
      <c r="E231" s="4" t="str">
        <f>IFERROR(__xludf.DUMMYFUNCTION("""COMPUTED_VALUE"""),"Neto G.C.: 1,20 € (a partir de 1 uds.)")</f>
        <v>Neto G.C.: 1,20 € (a partir de 1 uds.)</v>
      </c>
    </row>
    <row r="232">
      <c r="A232" s="4" t="str">
        <f>IFERROR(__xludf.DUMMYFUNCTION("""COMPUTED_VALUE"""),"278")</f>
        <v>278</v>
      </c>
      <c r="B232" s="4" t="str">
        <f>IFERROR(__xludf.DUMMYFUNCTION("""COMPUTED_VALUE"""),"Cartel PVC 40x30 Prohib. la entrada con perros")</f>
        <v>Cartel PVC 40x30 Prohib. la entrada con perros</v>
      </c>
      <c r="C232" s="4">
        <f>IFERROR(__xludf.DUMMYFUNCTION("""COMPUTED_VALUE"""),2.48)</f>
        <v>2.48</v>
      </c>
      <c r="D232" s="4">
        <f>IFERROR(__xludf.DUMMYFUNCTION("""COMPUTED_VALUE"""),1.75)</f>
        <v>1.75</v>
      </c>
      <c r="E232" s="4" t="str">
        <f>IFERROR(__xludf.DUMMYFUNCTION("""COMPUTED_VALUE"""),"Neto G.C.: 1,75 € (a partir de 1 uds.)")</f>
        <v>Neto G.C.: 1,75 € (a partir de 1 uds.)</v>
      </c>
    </row>
    <row r="233">
      <c r="A233" s="4" t="str">
        <f>IFERROR(__xludf.DUMMYFUNCTION("""COMPUTED_VALUE"""),"0278P")</f>
        <v>0278P</v>
      </c>
      <c r="B233" s="4" t="str">
        <f>IFERROR(__xludf.DUMMYFUNCTION("""COMPUTED_VALUE"""),"Cartel PVC 21x29 PROHIBIDO LA ENTRADA CON PERROS")</f>
        <v>Cartel PVC 21x29 PROHIBIDO LA ENTRADA CON PERROS</v>
      </c>
      <c r="C233" s="4">
        <f>IFERROR(__xludf.DUMMYFUNCTION("""COMPUTED_VALUE"""),1.6)</f>
        <v>1.6</v>
      </c>
      <c r="D233" s="4">
        <f>IFERROR(__xludf.DUMMYFUNCTION("""COMPUTED_VALUE"""),1.2)</f>
        <v>1.2</v>
      </c>
      <c r="E233" s="4" t="str">
        <f>IFERROR(__xludf.DUMMYFUNCTION("""COMPUTED_VALUE"""),"Neto G.C.: 1,20 € (a partir de 1 uds.)")</f>
        <v>Neto G.C.: 1,20 € (a partir de 1 uds.)</v>
      </c>
    </row>
    <row r="234">
      <c r="A234" s="4" t="str">
        <f>IFERROR(__xludf.DUMMYFUNCTION("""COMPUTED_VALUE"""),"279")</f>
        <v>279</v>
      </c>
      <c r="B234" s="4" t="str">
        <f>IFERROR(__xludf.DUMMYFUNCTION("""COMPUTED_VALUE"""),"Cartel PVC 40x30 Prohibido arrojar objetos")</f>
        <v>Cartel PVC 40x30 Prohibido arrojar objetos</v>
      </c>
      <c r="C234" s="4">
        <f>IFERROR(__xludf.DUMMYFUNCTION("""COMPUTED_VALUE"""),2.48)</f>
        <v>2.48</v>
      </c>
      <c r="D234" s="4">
        <f>IFERROR(__xludf.DUMMYFUNCTION("""COMPUTED_VALUE"""),1.75)</f>
        <v>1.75</v>
      </c>
      <c r="E234" s="4" t="str">
        <f>IFERROR(__xludf.DUMMYFUNCTION("""COMPUTED_VALUE"""),"Neto G.C.: 1,75 € (a partir de 1 uds.)")</f>
        <v>Neto G.C.: 1,75 € (a partir de 1 uds.)</v>
      </c>
    </row>
    <row r="235">
      <c r="A235" s="4" t="str">
        <f>IFERROR(__xludf.DUMMYFUNCTION("""COMPUTED_VALUE"""),"0279P")</f>
        <v>0279P</v>
      </c>
      <c r="B235" s="4" t="str">
        <f>IFERROR(__xludf.DUMMYFUNCTION("""COMPUTED_VALUE"""),"Cartel PVC 21x29 PROHIBIDO ARROJAR OBJETOS AL")</f>
        <v>Cartel PVC 21x29 PROHIBIDO ARROJAR OBJETOS AL</v>
      </c>
      <c r="C235" s="4">
        <f>IFERROR(__xludf.DUMMYFUNCTION("""COMPUTED_VALUE"""),1.6)</f>
        <v>1.6</v>
      </c>
      <c r="D235" s="4">
        <f>IFERROR(__xludf.DUMMYFUNCTION("""COMPUTED_VALUE"""),1.2)</f>
        <v>1.2</v>
      </c>
      <c r="E235" s="4" t="str">
        <f>IFERROR(__xludf.DUMMYFUNCTION("""COMPUTED_VALUE"""),"Neto G.C.: 1,20 € (a partir de 1 uds.)")</f>
        <v>Neto G.C.: 1,20 € (a partir de 1 uds.)</v>
      </c>
    </row>
    <row r="236">
      <c r="A236" s="4" t="str">
        <f>IFERROR(__xludf.DUMMYFUNCTION("""COMPUTED_VALUE"""),"280")</f>
        <v>280</v>
      </c>
      <c r="B236" s="4" t="str">
        <f>IFERROR(__xludf.DUMMYFUNCTION("""COMPUTED_VALUE"""),"Cartel PVC 40x30 Alto No Pasar")</f>
        <v>Cartel PVC 40x30 Alto No Pasar</v>
      </c>
      <c r="C236" s="4">
        <f>IFERROR(__xludf.DUMMYFUNCTION("""COMPUTED_VALUE"""),2.48)</f>
        <v>2.48</v>
      </c>
      <c r="D236" s="4">
        <f>IFERROR(__xludf.DUMMYFUNCTION("""COMPUTED_VALUE"""),1.75)</f>
        <v>1.75</v>
      </c>
      <c r="E236" s="4" t="str">
        <f>IFERROR(__xludf.DUMMYFUNCTION("""COMPUTED_VALUE"""),"Neto G.C.: 1,75 € (a partir de 1 uds.)")</f>
        <v>Neto G.C.: 1,75 € (a partir de 1 uds.)</v>
      </c>
    </row>
    <row r="237">
      <c r="A237" s="4" t="str">
        <f>IFERROR(__xludf.DUMMYFUNCTION("""COMPUTED_VALUE"""),"0280P")</f>
        <v>0280P</v>
      </c>
      <c r="B237" s="4" t="str">
        <f>IFERROR(__xludf.DUMMYFUNCTION("""COMPUTED_VALUE"""),"Cartel PVC 21x29 ALTO NO PASAR")</f>
        <v>Cartel PVC 21x29 ALTO NO PASAR</v>
      </c>
      <c r="C237" s="4">
        <f>IFERROR(__xludf.DUMMYFUNCTION("""COMPUTED_VALUE"""),1.6)</f>
        <v>1.6</v>
      </c>
      <c r="D237" s="4">
        <f>IFERROR(__xludf.DUMMYFUNCTION("""COMPUTED_VALUE"""),1.2)</f>
        <v>1.2</v>
      </c>
      <c r="E237" s="4" t="str">
        <f>IFERROR(__xludf.DUMMYFUNCTION("""COMPUTED_VALUE"""),"Neto G.C.: 1,20 € (a partir de 1 uds.)")</f>
        <v>Neto G.C.: 1,20 € (a partir de 1 uds.)</v>
      </c>
    </row>
    <row r="238">
      <c r="A238" s="4" t="str">
        <f>IFERROR(__xludf.DUMMYFUNCTION("""COMPUTED_VALUE"""),"281")</f>
        <v>281</v>
      </c>
      <c r="B238" s="4" t="str">
        <f>IFERROR(__xludf.DUMMYFUNCTION("""COMPUTED_VALUE"""),"Cartel PVC 40x30 Agua no Potable")</f>
        <v>Cartel PVC 40x30 Agua no Potable</v>
      </c>
      <c r="C238" s="4">
        <f>IFERROR(__xludf.DUMMYFUNCTION("""COMPUTED_VALUE"""),2.48)</f>
        <v>2.48</v>
      </c>
      <c r="D238" s="4">
        <f>IFERROR(__xludf.DUMMYFUNCTION("""COMPUTED_VALUE"""),1.75)</f>
        <v>1.75</v>
      </c>
      <c r="E238" s="4" t="str">
        <f>IFERROR(__xludf.DUMMYFUNCTION("""COMPUTED_VALUE"""),"Neto G.C.: 1,75 € (a partir de 1 uds.)")</f>
        <v>Neto G.C.: 1,75 € (a partir de 1 uds.)</v>
      </c>
    </row>
    <row r="239">
      <c r="A239" s="4" t="str">
        <f>IFERROR(__xludf.DUMMYFUNCTION("""COMPUTED_VALUE"""),"0281P")</f>
        <v>0281P</v>
      </c>
      <c r="B239" s="4" t="str">
        <f>IFERROR(__xludf.DUMMYFUNCTION("""COMPUTED_VALUE"""),"Cartel PVC 21x29 AGUA NO POTABLE")</f>
        <v>Cartel PVC 21x29 AGUA NO POTABLE</v>
      </c>
      <c r="C239" s="4">
        <f>IFERROR(__xludf.DUMMYFUNCTION("""COMPUTED_VALUE"""),1.6)</f>
        <v>1.6</v>
      </c>
      <c r="D239" s="4">
        <f>IFERROR(__xludf.DUMMYFUNCTION("""COMPUTED_VALUE"""),1.2)</f>
        <v>1.2</v>
      </c>
      <c r="E239" s="4" t="str">
        <f>IFERROR(__xludf.DUMMYFUNCTION("""COMPUTED_VALUE"""),"Neto G.C.: 1,20 € (a partir de 1 uds.)")</f>
        <v>Neto G.C.: 1,20 € (a partir de 1 uds.)</v>
      </c>
    </row>
    <row r="240">
      <c r="A240" s="4" t="str">
        <f>IFERROR(__xludf.DUMMYFUNCTION("""COMPUTED_VALUE"""),"282")</f>
        <v>282</v>
      </c>
      <c r="B240" s="4" t="str">
        <f>IFERROR(__xludf.DUMMYFUNCTION("""COMPUTED_VALUE"""),"Cartel PVC 40x30 Prohibido El Paso")</f>
        <v>Cartel PVC 40x30 Prohibido El Paso</v>
      </c>
      <c r="C240" s="4">
        <f>IFERROR(__xludf.DUMMYFUNCTION("""COMPUTED_VALUE"""),2.48)</f>
        <v>2.48</v>
      </c>
      <c r="D240" s="4">
        <f>IFERROR(__xludf.DUMMYFUNCTION("""COMPUTED_VALUE"""),1.75)</f>
        <v>1.75</v>
      </c>
      <c r="E240" s="4" t="str">
        <f>IFERROR(__xludf.DUMMYFUNCTION("""COMPUTED_VALUE"""),"Neto G.C.: 1,75 € (a partir de 1 uds.)")</f>
        <v>Neto G.C.: 1,75 € (a partir de 1 uds.)</v>
      </c>
    </row>
    <row r="241">
      <c r="A241" s="4" t="str">
        <f>IFERROR(__xludf.DUMMYFUNCTION("""COMPUTED_VALUE"""),"0282P")</f>
        <v>0282P</v>
      </c>
      <c r="B241" s="4" t="str">
        <f>IFERROR(__xludf.DUMMYFUNCTION("""COMPUTED_VALUE"""),"Cartel PVC 21x29 PROHIBIDO EL PASO")</f>
        <v>Cartel PVC 21x29 PROHIBIDO EL PASO</v>
      </c>
      <c r="C241" s="4">
        <f>IFERROR(__xludf.DUMMYFUNCTION("""COMPUTED_VALUE"""),1.6)</f>
        <v>1.6</v>
      </c>
      <c r="D241" s="4">
        <f>IFERROR(__xludf.DUMMYFUNCTION("""COMPUTED_VALUE"""),1.2)</f>
        <v>1.2</v>
      </c>
      <c r="E241" s="4" t="str">
        <f>IFERROR(__xludf.DUMMYFUNCTION("""COMPUTED_VALUE"""),"Neto G.C.: 1,20 € (a partir de 1 uds.)")</f>
        <v>Neto G.C.: 1,20 € (a partir de 1 uds.)</v>
      </c>
    </row>
    <row r="242">
      <c r="A242" s="4" t="str">
        <f>IFERROR(__xludf.DUMMYFUNCTION("""COMPUTED_VALUE"""),"283")</f>
        <v>283</v>
      </c>
      <c r="B242" s="4" t="str">
        <f>IFERROR(__xludf.DUMMYFUNCTION("""COMPUTED_VALUE"""),"Cartel PVC 40x30 Prohib. Transportar personas")</f>
        <v>Cartel PVC 40x30 Prohib. Transportar personas</v>
      </c>
      <c r="C242" s="4">
        <f>IFERROR(__xludf.DUMMYFUNCTION("""COMPUTED_VALUE"""),2.48)</f>
        <v>2.48</v>
      </c>
      <c r="D242" s="4">
        <f>IFERROR(__xludf.DUMMYFUNCTION("""COMPUTED_VALUE"""),1.75)</f>
        <v>1.75</v>
      </c>
      <c r="E242" s="4" t="str">
        <f>IFERROR(__xludf.DUMMYFUNCTION("""COMPUTED_VALUE"""),"Neto G.C.: 1,75 € (a partir de 1 uds.)")</f>
        <v>Neto G.C.: 1,75 € (a partir de 1 uds.)</v>
      </c>
    </row>
    <row r="243">
      <c r="A243" s="4" t="str">
        <f>IFERROR(__xludf.DUMMYFUNCTION("""COMPUTED_VALUE"""),"0283P")</f>
        <v>0283P</v>
      </c>
      <c r="B243" s="4" t="str">
        <f>IFERROR(__xludf.DUMMYFUNCTION("""COMPUTED_VALUE"""),"Cartel PVC 21x29 PROHIBIDO TRANSPORTAR PERSONAS")</f>
        <v>Cartel PVC 21x29 PROHIBIDO TRANSPORTAR PERSONAS</v>
      </c>
      <c r="C243" s="4">
        <f>IFERROR(__xludf.DUMMYFUNCTION("""COMPUTED_VALUE"""),1.6)</f>
        <v>1.6</v>
      </c>
      <c r="D243" s="4">
        <f>IFERROR(__xludf.DUMMYFUNCTION("""COMPUTED_VALUE"""),1.2)</f>
        <v>1.2</v>
      </c>
      <c r="E243" s="4" t="str">
        <f>IFERROR(__xludf.DUMMYFUNCTION("""COMPUTED_VALUE"""),"Neto G.C.: 1,20 € (a partir de 1 uds.)")</f>
        <v>Neto G.C.: 1,20 € (a partir de 1 uds.)</v>
      </c>
    </row>
    <row r="244">
      <c r="A244" s="4" t="str">
        <f>IFERROR(__xludf.DUMMYFUNCTION("""COMPUTED_VALUE"""),"284")</f>
        <v>284</v>
      </c>
      <c r="B244" s="4" t="str">
        <f>IFERROR(__xludf.DUMMYFUNCTION("""COMPUTED_VALUE"""),"Cartel PVC 40x30 Prohib. Situarse debajo de la carga")</f>
        <v>Cartel PVC 40x30 Prohib. Situarse debajo de la carga</v>
      </c>
      <c r="C244" s="4">
        <f>IFERROR(__xludf.DUMMYFUNCTION("""COMPUTED_VALUE"""),2.48)</f>
        <v>2.48</v>
      </c>
      <c r="D244" s="4">
        <f>IFERROR(__xludf.DUMMYFUNCTION("""COMPUTED_VALUE"""),1.75)</f>
        <v>1.75</v>
      </c>
      <c r="E244" s="4" t="str">
        <f>IFERROR(__xludf.DUMMYFUNCTION("""COMPUTED_VALUE"""),"Neto G.C.: 1,75 € (a partir de 1 uds.)")</f>
        <v>Neto G.C.: 1,75 € (a partir de 1 uds.)</v>
      </c>
    </row>
    <row r="245">
      <c r="A245" s="4" t="str">
        <f>IFERROR(__xludf.DUMMYFUNCTION("""COMPUTED_VALUE"""),"0284P")</f>
        <v>0284P</v>
      </c>
      <c r="B245" s="4" t="str">
        <f>IFERROR(__xludf.DUMMYFUNCTION("""COMPUTED_VALUE"""),"Cartel PVC 21x29 PROHIBIDO SITUARSE DEBAJO DE LA")</f>
        <v>Cartel PVC 21x29 PROHIBIDO SITUARSE DEBAJO DE LA</v>
      </c>
      <c r="C245" s="4">
        <f>IFERROR(__xludf.DUMMYFUNCTION("""COMPUTED_VALUE"""),1.6)</f>
        <v>1.6</v>
      </c>
      <c r="D245" s="4">
        <f>IFERROR(__xludf.DUMMYFUNCTION("""COMPUTED_VALUE"""),1.2)</f>
        <v>1.2</v>
      </c>
      <c r="E245" s="4" t="str">
        <f>IFERROR(__xludf.DUMMYFUNCTION("""COMPUTED_VALUE"""),"Neto G.C.: 1,20 € (a partir de 1 uds.)")</f>
        <v>Neto G.C.: 1,20 € (a partir de 1 uds.)</v>
      </c>
    </row>
    <row r="246">
      <c r="A246" s="4" t="str">
        <f>IFERROR(__xludf.DUMMYFUNCTION("""COMPUTED_VALUE"""),"285")</f>
        <v>285</v>
      </c>
      <c r="B246" s="4" t="str">
        <f>IFERROR(__xludf.DUMMYFUNCTION("""COMPUTED_VALUE"""),"Cartel PVC 40x30 No utilizar en caso de Emergencia")</f>
        <v>Cartel PVC 40x30 No utilizar en caso de Emergencia</v>
      </c>
      <c r="C246" s="4">
        <f>IFERROR(__xludf.DUMMYFUNCTION("""COMPUTED_VALUE"""),2.48)</f>
        <v>2.48</v>
      </c>
      <c r="D246" s="4">
        <f>IFERROR(__xludf.DUMMYFUNCTION("""COMPUTED_VALUE"""),1.75)</f>
        <v>1.75</v>
      </c>
      <c r="E246" s="4" t="str">
        <f>IFERROR(__xludf.DUMMYFUNCTION("""COMPUTED_VALUE"""),"Neto G.C.: 1,75 € (a partir de 1 uds.)")</f>
        <v>Neto G.C.: 1,75 € (a partir de 1 uds.)</v>
      </c>
    </row>
    <row r="247">
      <c r="A247" s="4" t="str">
        <f>IFERROR(__xludf.DUMMYFUNCTION("""COMPUTED_VALUE"""),"0285P")</f>
        <v>0285P</v>
      </c>
      <c r="B247" s="4" t="str">
        <f>IFERROR(__xludf.DUMMYFUNCTION("""COMPUTED_VALUE"""),"Cartel PVC 21X29 NO UTILIZAR EN CASO DE EMERGENCIA")</f>
        <v>Cartel PVC 21X29 NO UTILIZAR EN CASO DE EMERGENCIA</v>
      </c>
      <c r="C247" s="4">
        <f>IFERROR(__xludf.DUMMYFUNCTION("""COMPUTED_VALUE"""),1.6)</f>
        <v>1.6</v>
      </c>
      <c r="D247" s="4">
        <f>IFERROR(__xludf.DUMMYFUNCTION("""COMPUTED_VALUE"""),1.2)</f>
        <v>1.2</v>
      </c>
      <c r="E247" s="4" t="str">
        <f>IFERROR(__xludf.DUMMYFUNCTION("""COMPUTED_VALUE"""),"Neto G.C.: 1,20 € (a partir de 1 uds.)")</f>
        <v>Neto G.C.: 1,20 € (a partir de 1 uds.)</v>
      </c>
    </row>
    <row r="248">
      <c r="A248" s="4" t="str">
        <f>IFERROR(__xludf.DUMMYFUNCTION("""COMPUTED_VALUE"""),"286")</f>
        <v>286</v>
      </c>
      <c r="B248" s="4" t="str">
        <f>IFERROR(__xludf.DUMMYFUNCTION("""COMPUTED_VALUE"""),"Cartel PVC 40x30 No utilizar Incendio")</f>
        <v>Cartel PVC 40x30 No utilizar Incendio</v>
      </c>
      <c r="C248" s="4">
        <f>IFERROR(__xludf.DUMMYFUNCTION("""COMPUTED_VALUE"""),2.48)</f>
        <v>2.48</v>
      </c>
      <c r="D248" s="4">
        <f>IFERROR(__xludf.DUMMYFUNCTION("""COMPUTED_VALUE"""),1.75)</f>
        <v>1.75</v>
      </c>
      <c r="E248" s="4" t="str">
        <f>IFERROR(__xludf.DUMMYFUNCTION("""COMPUTED_VALUE"""),"Neto G.C.: 1,75 € (a partir de 1 uds.)")</f>
        <v>Neto G.C.: 1,75 € (a partir de 1 uds.)</v>
      </c>
    </row>
    <row r="249">
      <c r="A249" s="4" t="str">
        <f>IFERROR(__xludf.DUMMYFUNCTION("""COMPUTED_VALUE"""),"0286P")</f>
        <v>0286P</v>
      </c>
      <c r="B249" s="4" t="str">
        <f>IFERROR(__xludf.DUMMYFUNCTION("""COMPUTED_VALUE"""),"Cartel PVC 21x29 NO UTILIZAR EN CASO DE INCENDIO")</f>
        <v>Cartel PVC 21x29 NO UTILIZAR EN CASO DE INCENDIO</v>
      </c>
      <c r="C249" s="4">
        <f>IFERROR(__xludf.DUMMYFUNCTION("""COMPUTED_VALUE"""),1.6)</f>
        <v>1.6</v>
      </c>
      <c r="D249" s="4">
        <f>IFERROR(__xludf.DUMMYFUNCTION("""COMPUTED_VALUE"""),1.2)</f>
        <v>1.2</v>
      </c>
      <c r="E249" s="4" t="str">
        <f>IFERROR(__xludf.DUMMYFUNCTION("""COMPUTED_VALUE"""),"Neto G.C.: 1,20 € (a partir de 1 uds.)")</f>
        <v>Neto G.C.: 1,20 € (a partir de 1 uds.)</v>
      </c>
    </row>
    <row r="250">
      <c r="A250" s="4" t="str">
        <f>IFERROR(__xludf.DUMMYFUNCTION("""COMPUTED_VALUE"""),"287")</f>
        <v>287</v>
      </c>
      <c r="B250" s="4" t="str">
        <f>IFERROR(__xludf.DUMMYFUNCTION("""COMPUTED_VALUE"""),"Cartel PVC 40x30 Atencion Altura Baja")</f>
        <v>Cartel PVC 40x30 Atencion Altura Baja</v>
      </c>
      <c r="C250" s="4">
        <f>IFERROR(__xludf.DUMMYFUNCTION("""COMPUTED_VALUE"""),2.48)</f>
        <v>2.48</v>
      </c>
      <c r="D250" s="4">
        <f>IFERROR(__xludf.DUMMYFUNCTION("""COMPUTED_VALUE"""),1.75)</f>
        <v>1.75</v>
      </c>
      <c r="E250" s="4" t="str">
        <f>IFERROR(__xludf.DUMMYFUNCTION("""COMPUTED_VALUE"""),"Neto G.C.: 1,75 € (a partir de 1 uds.)")</f>
        <v>Neto G.C.: 1,75 € (a partir de 1 uds.)</v>
      </c>
    </row>
    <row r="251">
      <c r="A251" s="4" t="str">
        <f>IFERROR(__xludf.DUMMYFUNCTION("""COMPUTED_VALUE"""),"0287P")</f>
        <v>0287P</v>
      </c>
      <c r="B251" s="4" t="str">
        <f>IFERROR(__xludf.DUMMYFUNCTION("""COMPUTED_VALUE"""),"Cartel PVC 21x29 ATENCION ALTURA BAJA")</f>
        <v>Cartel PVC 21x29 ATENCION ALTURA BAJA</v>
      </c>
      <c r="C251" s="4">
        <f>IFERROR(__xludf.DUMMYFUNCTION("""COMPUTED_VALUE"""),1.6)</f>
        <v>1.6</v>
      </c>
      <c r="D251" s="4">
        <f>IFERROR(__xludf.DUMMYFUNCTION("""COMPUTED_VALUE"""),1.2)</f>
        <v>1.2</v>
      </c>
      <c r="E251" s="4" t="str">
        <f>IFERROR(__xludf.DUMMYFUNCTION("""COMPUTED_VALUE"""),"Neto G.C.: 1,20 € (a partir de 1 uds.)")</f>
        <v>Neto G.C.: 1,20 € (a partir de 1 uds.)</v>
      </c>
    </row>
    <row r="252">
      <c r="A252" s="4" t="str">
        <f>IFERROR(__xludf.DUMMYFUNCTION("""COMPUTED_VALUE"""),"288")</f>
        <v>288</v>
      </c>
      <c r="B252" s="4" t="str">
        <f>IFERROR(__xludf.DUMMYFUNCTION("""COMPUTED_VALUE"""),"Cartel PVC 40x30 Prohibido Accionar o maniobrar")</f>
        <v>Cartel PVC 40x30 Prohibido Accionar o maniobrar</v>
      </c>
      <c r="C252" s="4">
        <f>IFERROR(__xludf.DUMMYFUNCTION("""COMPUTED_VALUE"""),2.48)</f>
        <v>2.48</v>
      </c>
      <c r="D252" s="4">
        <f>IFERROR(__xludf.DUMMYFUNCTION("""COMPUTED_VALUE"""),1.75)</f>
        <v>1.75</v>
      </c>
      <c r="E252" s="4" t="str">
        <f>IFERROR(__xludf.DUMMYFUNCTION("""COMPUTED_VALUE"""),"Neto G.C.: 1,75 € (a partir de 1 uds.)")</f>
        <v>Neto G.C.: 1,75 € (a partir de 1 uds.)</v>
      </c>
    </row>
    <row r="253">
      <c r="A253" s="4" t="str">
        <f>IFERROR(__xludf.DUMMYFUNCTION("""COMPUTED_VALUE"""),"0288P")</f>
        <v>0288P</v>
      </c>
      <c r="B253" s="4" t="str">
        <f>IFERROR(__xludf.DUMMYFUNCTION("""COMPUTED_VALUE"""),"Cartel PVC 21x29 PROHIBIDO ACCIONAR O MANIOBRAR")</f>
        <v>Cartel PVC 21x29 PROHIBIDO ACCIONAR O MANIOBRAR</v>
      </c>
      <c r="C253" s="4">
        <f>IFERROR(__xludf.DUMMYFUNCTION("""COMPUTED_VALUE"""),1.6)</f>
        <v>1.6</v>
      </c>
      <c r="D253" s="4">
        <f>IFERROR(__xludf.DUMMYFUNCTION("""COMPUTED_VALUE"""),1.2)</f>
        <v>1.2</v>
      </c>
      <c r="E253" s="4" t="str">
        <f>IFERROR(__xludf.DUMMYFUNCTION("""COMPUTED_VALUE"""),"Neto G.C.: 1,20 € (a partir de 1 uds.)")</f>
        <v>Neto G.C.: 1,20 € (a partir de 1 uds.)</v>
      </c>
    </row>
    <row r="254">
      <c r="A254" s="4" t="str">
        <f>IFERROR(__xludf.DUMMYFUNCTION("""COMPUTED_VALUE"""),"289")</f>
        <v>289</v>
      </c>
      <c r="B254" s="4" t="str">
        <f>IFERROR(__xludf.DUMMYFUNCTION("""COMPUTED_VALUE"""),"Cartel PVC 40x30 Fotolum.Hacha contra Incendio")</f>
        <v>Cartel PVC 40x30 Fotolum.Hacha contra Incendio</v>
      </c>
      <c r="C254" s="4">
        <f>IFERROR(__xludf.DUMMYFUNCTION("""COMPUTED_VALUE"""),2.48)</f>
        <v>2.48</v>
      </c>
      <c r="D254" s="4">
        <f>IFERROR(__xludf.DUMMYFUNCTION("""COMPUTED_VALUE"""),1.75)</f>
        <v>1.75</v>
      </c>
      <c r="E254" s="4" t="str">
        <f>IFERROR(__xludf.DUMMYFUNCTION("""COMPUTED_VALUE"""),"Neto G.C.: 1,75 € (a partir de 1 uds.)")</f>
        <v>Neto G.C.: 1,75 € (a partir de 1 uds.)</v>
      </c>
    </row>
    <row r="255">
      <c r="A255" s="4" t="str">
        <f>IFERROR(__xludf.DUMMYFUNCTION("""COMPUTED_VALUE"""),"0289A")</f>
        <v>0289A</v>
      </c>
      <c r="B255" s="4" t="str">
        <f>IFERROR(__xludf.DUMMYFUNCTION("""COMPUTED_VALUE"""),"Cartel PVC 32x16 Fotolum. No Exit")</f>
        <v>Cartel PVC 32x16 Fotolum. No Exit</v>
      </c>
      <c r="C255" s="4">
        <f>IFERROR(__xludf.DUMMYFUNCTION("""COMPUTED_VALUE"""),2.25)</f>
        <v>2.25</v>
      </c>
      <c r="D255" s="4"/>
      <c r="E255" s="4" t="str">
        <f>IFERROR(__xludf.DUMMYFUNCTION("""COMPUTED_VALUE"""),"Sin precio neto G.C.")</f>
        <v>Sin precio neto G.C.</v>
      </c>
    </row>
    <row r="256">
      <c r="A256" s="4" t="str">
        <f>IFERROR(__xludf.DUMMYFUNCTION("""COMPUTED_VALUE"""),"0289B")</f>
        <v>0289B</v>
      </c>
      <c r="B256" s="4" t="str">
        <f>IFERROR(__xludf.DUMMYFUNCTION("""COMPUTED_VALUE"""),"Cartel PVC 64x32 Fotolum. No Exit")</f>
        <v>Cartel PVC 64x32 Fotolum. No Exit</v>
      </c>
      <c r="C256" s="4">
        <f>IFERROR(__xludf.DUMMYFUNCTION("""COMPUTED_VALUE"""),4.48)</f>
        <v>4.48</v>
      </c>
      <c r="D256" s="4"/>
      <c r="E256" s="4" t="str">
        <f>IFERROR(__xludf.DUMMYFUNCTION("""COMPUTED_VALUE"""),"Sin precio neto G.C.")</f>
        <v>Sin precio neto G.C.</v>
      </c>
    </row>
    <row r="257">
      <c r="A257" s="4" t="str">
        <f>IFERROR(__xludf.DUMMYFUNCTION("""COMPUTED_VALUE"""),"0289C")</f>
        <v>0289C</v>
      </c>
      <c r="B257" s="4" t="str">
        <f>IFERROR(__xludf.DUMMYFUNCTION("""COMPUTED_VALUE"""),"Cartel PVC 96x48 Fotolum. No Exit")</f>
        <v>Cartel PVC 96x48 Fotolum. No Exit</v>
      </c>
      <c r="C257" s="4">
        <f>IFERROR(__xludf.DUMMYFUNCTION("""COMPUTED_VALUE"""),8.96)</f>
        <v>8.96</v>
      </c>
      <c r="D257" s="4"/>
      <c r="E257" s="4" t="str">
        <f>IFERROR(__xludf.DUMMYFUNCTION("""COMPUTED_VALUE"""),"Sin precio neto G.C.")</f>
        <v>Sin precio neto G.C.</v>
      </c>
    </row>
    <row r="258">
      <c r="A258" s="4" t="str">
        <f>IFERROR(__xludf.DUMMYFUNCTION("""COMPUTED_VALUE"""),"290")</f>
        <v>290</v>
      </c>
      <c r="B258" s="4" t="str">
        <f>IFERROR(__xludf.DUMMYFUNCTION("""COMPUTED_VALUE"""),"Cartel PVC 40x30 Peligro Alta Tension")</f>
        <v>Cartel PVC 40x30 Peligro Alta Tension</v>
      </c>
      <c r="C258" s="4">
        <f>IFERROR(__xludf.DUMMYFUNCTION("""COMPUTED_VALUE"""),2.48)</f>
        <v>2.48</v>
      </c>
      <c r="D258" s="4">
        <f>IFERROR(__xludf.DUMMYFUNCTION("""COMPUTED_VALUE"""),1.75)</f>
        <v>1.75</v>
      </c>
      <c r="E258" s="4" t="str">
        <f>IFERROR(__xludf.DUMMYFUNCTION("""COMPUTED_VALUE"""),"Neto G.C.: 1,75 € (a partir de 1 uds.)")</f>
        <v>Neto G.C.: 1,75 € (a partir de 1 uds.)</v>
      </c>
    </row>
    <row r="259">
      <c r="A259" s="4" t="str">
        <f>IFERROR(__xludf.DUMMYFUNCTION("""COMPUTED_VALUE"""),"0290P")</f>
        <v>0290P</v>
      </c>
      <c r="B259" s="4" t="str">
        <f>IFERROR(__xludf.DUMMYFUNCTION("""COMPUTED_VALUE"""),"Cartel PVC 21x29 PELIGRO ALTA TENSION")</f>
        <v>Cartel PVC 21x29 PELIGRO ALTA TENSION</v>
      </c>
      <c r="C259" s="4">
        <f>IFERROR(__xludf.DUMMYFUNCTION("""COMPUTED_VALUE"""),1.6)</f>
        <v>1.6</v>
      </c>
      <c r="D259" s="4">
        <f>IFERROR(__xludf.DUMMYFUNCTION("""COMPUTED_VALUE"""),1.2)</f>
        <v>1.2</v>
      </c>
      <c r="E259" s="4" t="str">
        <f>IFERROR(__xludf.DUMMYFUNCTION("""COMPUTED_VALUE"""),"Neto G.C.: 1,20 € (a partir de 1 uds.)")</f>
        <v>Neto G.C.: 1,20 € (a partir de 1 uds.)</v>
      </c>
    </row>
    <row r="260">
      <c r="A260" s="4" t="str">
        <f>IFERROR(__xludf.DUMMYFUNCTION("""COMPUTED_VALUE"""),"291")</f>
        <v>291</v>
      </c>
      <c r="B260" s="4" t="str">
        <f>IFERROR(__xludf.DUMMYFUNCTION("""COMPUTED_VALUE"""),"Cartel PVC 40x30 Peligro no maniobrar")</f>
        <v>Cartel PVC 40x30 Peligro no maniobrar</v>
      </c>
      <c r="C260" s="4">
        <f>IFERROR(__xludf.DUMMYFUNCTION("""COMPUTED_VALUE"""),2.48)</f>
        <v>2.48</v>
      </c>
      <c r="D260" s="4">
        <f>IFERROR(__xludf.DUMMYFUNCTION("""COMPUTED_VALUE"""),1.75)</f>
        <v>1.75</v>
      </c>
      <c r="E260" s="4" t="str">
        <f>IFERROR(__xludf.DUMMYFUNCTION("""COMPUTED_VALUE"""),"Neto G.C.: 1,75 € (a partir de 1 uds.)")</f>
        <v>Neto G.C.: 1,75 € (a partir de 1 uds.)</v>
      </c>
    </row>
    <row r="261">
      <c r="A261" s="4" t="str">
        <f>IFERROR(__xludf.DUMMYFUNCTION("""COMPUTED_VALUE"""),"0291P")</f>
        <v>0291P</v>
      </c>
      <c r="B261" s="4" t="str">
        <f>IFERROR(__xludf.DUMMYFUNCTION("""COMPUTED_VALUE"""),"Cartel PVC 21x29 PELIGRO NO MANIOBRAR. SOLO")</f>
        <v>Cartel PVC 21x29 PELIGRO NO MANIOBRAR. SOLO</v>
      </c>
      <c r="C261" s="4">
        <f>IFERROR(__xludf.DUMMYFUNCTION("""COMPUTED_VALUE"""),1.6)</f>
        <v>1.6</v>
      </c>
      <c r="D261" s="4">
        <f>IFERROR(__xludf.DUMMYFUNCTION("""COMPUTED_VALUE"""),1.2)</f>
        <v>1.2</v>
      </c>
      <c r="E261" s="4" t="str">
        <f>IFERROR(__xludf.DUMMYFUNCTION("""COMPUTED_VALUE"""),"Neto G.C.: 1,20 € (a partir de 1 uds.)")</f>
        <v>Neto G.C.: 1,20 € (a partir de 1 uds.)</v>
      </c>
    </row>
    <row r="262">
      <c r="A262" s="4" t="str">
        <f>IFERROR(__xludf.DUMMYFUNCTION("""COMPUTED_VALUE"""),"292")</f>
        <v>292</v>
      </c>
      <c r="B262" s="4" t="str">
        <f>IFERROR(__xludf.DUMMYFUNCTION("""COMPUTED_VALUE"""),"Cartel PVC 40x30 No Tocar")</f>
        <v>Cartel PVC 40x30 No Tocar</v>
      </c>
      <c r="C262" s="4">
        <f>IFERROR(__xludf.DUMMYFUNCTION("""COMPUTED_VALUE"""),2.48)</f>
        <v>2.48</v>
      </c>
      <c r="D262" s="4">
        <f>IFERROR(__xludf.DUMMYFUNCTION("""COMPUTED_VALUE"""),1.75)</f>
        <v>1.75</v>
      </c>
      <c r="E262" s="4" t="str">
        <f>IFERROR(__xludf.DUMMYFUNCTION("""COMPUTED_VALUE"""),"Neto G.C.: 1,75 € (a partir de 1 uds.)")</f>
        <v>Neto G.C.: 1,75 € (a partir de 1 uds.)</v>
      </c>
    </row>
    <row r="263">
      <c r="A263" s="4" t="str">
        <f>IFERROR(__xludf.DUMMYFUNCTION("""COMPUTED_VALUE"""),"0292P")</f>
        <v>0292P</v>
      </c>
      <c r="B263" s="4" t="str">
        <f>IFERROR(__xludf.DUMMYFUNCTION("""COMPUTED_VALUE"""),"Cartel PVC 21x29 NO TOCAR")</f>
        <v>Cartel PVC 21x29 NO TOCAR</v>
      </c>
      <c r="C263" s="4">
        <f>IFERROR(__xludf.DUMMYFUNCTION("""COMPUTED_VALUE"""),1.6)</f>
        <v>1.6</v>
      </c>
      <c r="D263" s="4">
        <f>IFERROR(__xludf.DUMMYFUNCTION("""COMPUTED_VALUE"""),1.2)</f>
        <v>1.2</v>
      </c>
      <c r="E263" s="4" t="str">
        <f>IFERROR(__xludf.DUMMYFUNCTION("""COMPUTED_VALUE"""),"Neto G.C.: 1,20 € (a partir de 1 uds.)")</f>
        <v>Neto G.C.: 1,20 € (a partir de 1 uds.)</v>
      </c>
    </row>
    <row r="264">
      <c r="A264" s="4" t="str">
        <f>IFERROR(__xludf.DUMMYFUNCTION("""COMPUTED_VALUE"""),"293")</f>
        <v>293</v>
      </c>
      <c r="B264" s="4" t="str">
        <f>IFERROR(__xludf.DUMMYFUNCTION("""COMPUTED_VALUE"""),"Cartel PVC 40x30 Peligro Materias Radioactivas")</f>
        <v>Cartel PVC 40x30 Peligro Materias Radioactivas</v>
      </c>
      <c r="C264" s="4">
        <f>IFERROR(__xludf.DUMMYFUNCTION("""COMPUTED_VALUE"""),2.48)</f>
        <v>2.48</v>
      </c>
      <c r="D264" s="4">
        <f>IFERROR(__xludf.DUMMYFUNCTION("""COMPUTED_VALUE"""),1.75)</f>
        <v>1.75</v>
      </c>
      <c r="E264" s="4" t="str">
        <f>IFERROR(__xludf.DUMMYFUNCTION("""COMPUTED_VALUE"""),"Neto G.C.: 1,75 € (a partir de 1 uds.)")</f>
        <v>Neto G.C.: 1,75 € (a partir de 1 uds.)</v>
      </c>
    </row>
    <row r="265">
      <c r="A265" s="4" t="str">
        <f>IFERROR(__xludf.DUMMYFUNCTION("""COMPUTED_VALUE"""),"0293P")</f>
        <v>0293P</v>
      </c>
      <c r="B265" s="4" t="str">
        <f>IFERROR(__xludf.DUMMYFUNCTION("""COMPUTED_VALUE"""),"Cartel PVC 21x29 PELIGRO MATERIAS RADIOACTIVAS")</f>
        <v>Cartel PVC 21x29 PELIGRO MATERIAS RADIOACTIVAS</v>
      </c>
      <c r="C265" s="4">
        <f>IFERROR(__xludf.DUMMYFUNCTION("""COMPUTED_VALUE"""),1.6)</f>
        <v>1.6</v>
      </c>
      <c r="D265" s="4">
        <f>IFERROR(__xludf.DUMMYFUNCTION("""COMPUTED_VALUE"""),1.2)</f>
        <v>1.2</v>
      </c>
      <c r="E265" s="4" t="str">
        <f>IFERROR(__xludf.DUMMYFUNCTION("""COMPUTED_VALUE"""),"Neto G.C.: 1,20 € (a partir de 1 uds.)")</f>
        <v>Neto G.C.: 1,20 € (a partir de 1 uds.)</v>
      </c>
    </row>
    <row r="266">
      <c r="A266" s="4" t="str">
        <f>IFERROR(__xludf.DUMMYFUNCTION("""COMPUTED_VALUE"""),"294")</f>
        <v>294</v>
      </c>
      <c r="B266" s="4" t="str">
        <f>IFERROR(__xludf.DUMMYFUNCTION("""COMPUTED_VALUE"""),"Cartel PVC 40x30 Peligro Radiaciones Laser")</f>
        <v>Cartel PVC 40x30 Peligro Radiaciones Laser</v>
      </c>
      <c r="C266" s="4">
        <f>IFERROR(__xludf.DUMMYFUNCTION("""COMPUTED_VALUE"""),2.48)</f>
        <v>2.48</v>
      </c>
      <c r="D266" s="4">
        <f>IFERROR(__xludf.DUMMYFUNCTION("""COMPUTED_VALUE"""),1.75)</f>
        <v>1.75</v>
      </c>
      <c r="E266" s="4" t="str">
        <f>IFERROR(__xludf.DUMMYFUNCTION("""COMPUTED_VALUE"""),"Neto G.C.: 1,75 € (a partir de 1 uds.)")</f>
        <v>Neto G.C.: 1,75 € (a partir de 1 uds.)</v>
      </c>
    </row>
    <row r="267">
      <c r="A267" s="4" t="str">
        <f>IFERROR(__xludf.DUMMYFUNCTION("""COMPUTED_VALUE"""),"0294P")</f>
        <v>0294P</v>
      </c>
      <c r="B267" s="4" t="str">
        <f>IFERROR(__xludf.DUMMYFUNCTION("""COMPUTED_VALUE"""),"Cartel PVC 21x29 PELIGRO RADIACIONES LASER")</f>
        <v>Cartel PVC 21x29 PELIGRO RADIACIONES LASER</v>
      </c>
      <c r="C267" s="4">
        <f>IFERROR(__xludf.DUMMYFUNCTION("""COMPUTED_VALUE"""),1.6)</f>
        <v>1.6</v>
      </c>
      <c r="D267" s="4">
        <f>IFERROR(__xludf.DUMMYFUNCTION("""COMPUTED_VALUE"""),1.2)</f>
        <v>1.2</v>
      </c>
      <c r="E267" s="4" t="str">
        <f>IFERROR(__xludf.DUMMYFUNCTION("""COMPUTED_VALUE"""),"Neto G.C.: 1,20 € (a partir de 1 uds.)")</f>
        <v>Neto G.C.: 1,20 € (a partir de 1 uds.)</v>
      </c>
    </row>
    <row r="268">
      <c r="A268" s="4" t="str">
        <f>IFERROR(__xludf.DUMMYFUNCTION("""COMPUTED_VALUE"""),"295")</f>
        <v>295</v>
      </c>
      <c r="B268" s="4" t="str">
        <f>IFERROR(__xludf.DUMMYFUNCTION("""COMPUTED_VALUE"""),"Cartel PVC 40x30 Riesgo Biologico")</f>
        <v>Cartel PVC 40x30 Riesgo Biologico</v>
      </c>
      <c r="C268" s="4">
        <f>IFERROR(__xludf.DUMMYFUNCTION("""COMPUTED_VALUE"""),2.48)</f>
        <v>2.48</v>
      </c>
      <c r="D268" s="4">
        <f>IFERROR(__xludf.DUMMYFUNCTION("""COMPUTED_VALUE"""),1.75)</f>
        <v>1.75</v>
      </c>
      <c r="E268" s="4" t="str">
        <f>IFERROR(__xludf.DUMMYFUNCTION("""COMPUTED_VALUE"""),"Neto G.C.: 1,75 € (a partir de 1 uds.)")</f>
        <v>Neto G.C.: 1,75 € (a partir de 1 uds.)</v>
      </c>
    </row>
    <row r="269">
      <c r="A269" s="4" t="str">
        <f>IFERROR(__xludf.DUMMYFUNCTION("""COMPUTED_VALUE"""),"0295P")</f>
        <v>0295P</v>
      </c>
      <c r="B269" s="4" t="str">
        <f>IFERROR(__xludf.DUMMYFUNCTION("""COMPUTED_VALUE"""),"Cartel PVC 21x29 PELIGRO RIESGO BIOLOGICO")</f>
        <v>Cartel PVC 21x29 PELIGRO RIESGO BIOLOGICO</v>
      </c>
      <c r="C269" s="4">
        <f>IFERROR(__xludf.DUMMYFUNCTION("""COMPUTED_VALUE"""),1.6)</f>
        <v>1.6</v>
      </c>
      <c r="D269" s="4">
        <f>IFERROR(__xludf.DUMMYFUNCTION("""COMPUTED_VALUE"""),1.2)</f>
        <v>1.2</v>
      </c>
      <c r="E269" s="4" t="str">
        <f>IFERROR(__xludf.DUMMYFUNCTION("""COMPUTED_VALUE"""),"Neto G.C.: 1,20 € (a partir de 1 uds.)")</f>
        <v>Neto G.C.: 1,20 € (a partir de 1 uds.)</v>
      </c>
    </row>
    <row r="270">
      <c r="A270" s="4" t="str">
        <f>IFERROR(__xludf.DUMMYFUNCTION("""COMPUTED_VALUE"""),"296")</f>
        <v>296</v>
      </c>
      <c r="B270" s="4" t="str">
        <f>IFERROR(__xludf.DUMMYFUNCTION("""COMPUTED_VALUE"""),"Cartel PVC 40x30 Fotolum. Cubo uso en incendio")</f>
        <v>Cartel PVC 40x30 Fotolum. Cubo uso en incendio</v>
      </c>
      <c r="C270" s="4">
        <f>IFERROR(__xludf.DUMMYFUNCTION("""COMPUTED_VALUE"""),3.35)</f>
        <v>3.35</v>
      </c>
      <c r="D270" s="4">
        <f>IFERROR(__xludf.DUMMYFUNCTION("""COMPUTED_VALUE"""),1.75)</f>
        <v>1.75</v>
      </c>
      <c r="E270" s="4" t="str">
        <f>IFERROR(__xludf.DUMMYFUNCTION("""COMPUTED_VALUE"""),"Neto G.C.: 1,75 € (a partir de 1 uds.)")</f>
        <v>Neto G.C.: 1,75 € (a partir de 1 uds.)</v>
      </c>
    </row>
    <row r="271">
      <c r="A271" s="4" t="str">
        <f>IFERROR(__xludf.DUMMYFUNCTION("""COMPUTED_VALUE"""),"0296A")</f>
        <v>0296A</v>
      </c>
      <c r="B271" s="4" t="str">
        <f>IFERROR(__xludf.DUMMYFUNCTION("""COMPUTED_VALUE"""),"Cartel PVC 32x16 Fotolum. Sin Salida")</f>
        <v>Cartel PVC 32x16 Fotolum. Sin Salida</v>
      </c>
      <c r="C271" s="4">
        <f>IFERROR(__xludf.DUMMYFUNCTION("""COMPUTED_VALUE"""),2.25)</f>
        <v>2.25</v>
      </c>
      <c r="D271" s="4"/>
      <c r="E271" s="4" t="str">
        <f>IFERROR(__xludf.DUMMYFUNCTION("""COMPUTED_VALUE"""),"Sin precio neto G.C.")</f>
        <v>Sin precio neto G.C.</v>
      </c>
    </row>
    <row r="272">
      <c r="A272" s="4" t="str">
        <f>IFERROR(__xludf.DUMMYFUNCTION("""COMPUTED_VALUE"""),"0296B")</f>
        <v>0296B</v>
      </c>
      <c r="B272" s="4" t="str">
        <f>IFERROR(__xludf.DUMMYFUNCTION("""COMPUTED_VALUE"""),"Cartel PVC 64x32 Fotolum. Sin Salida")</f>
        <v>Cartel PVC 64x32 Fotolum. Sin Salida</v>
      </c>
      <c r="C272" s="4">
        <f>IFERROR(__xludf.DUMMYFUNCTION("""COMPUTED_VALUE"""),4.48)</f>
        <v>4.48</v>
      </c>
      <c r="D272" s="4"/>
      <c r="E272" s="4" t="str">
        <f>IFERROR(__xludf.DUMMYFUNCTION("""COMPUTED_VALUE"""),"Sin precio neto G.C.")</f>
        <v>Sin precio neto G.C.</v>
      </c>
    </row>
    <row r="273">
      <c r="A273" s="4" t="str">
        <f>IFERROR(__xludf.DUMMYFUNCTION("""COMPUTED_VALUE"""),"0296C")</f>
        <v>0296C</v>
      </c>
      <c r="B273" s="4" t="str">
        <f>IFERROR(__xludf.DUMMYFUNCTION("""COMPUTED_VALUE"""),"Cartel PVC 96x48 Fotolum. Sin Salida")</f>
        <v>Cartel PVC 96x48 Fotolum. Sin Salida</v>
      </c>
      <c r="C273" s="4">
        <f>IFERROR(__xludf.DUMMYFUNCTION("""COMPUTED_VALUE"""),8.96)</f>
        <v>8.96</v>
      </c>
      <c r="D273" s="4"/>
      <c r="E273" s="4" t="str">
        <f>IFERROR(__xludf.DUMMYFUNCTION("""COMPUTED_VALUE"""),"Sin precio neto G.C.")</f>
        <v>Sin precio neto G.C.</v>
      </c>
    </row>
    <row r="274">
      <c r="A274" s="4" t="str">
        <f>IFERROR(__xludf.DUMMYFUNCTION("""COMPUTED_VALUE"""),"297")</f>
        <v>297</v>
      </c>
      <c r="B274" s="4" t="str">
        <f>IFERROR(__xludf.DUMMYFUNCTION("""COMPUTED_VALUE"""),"Cartel PVC 40x30 Fotoum. Manguera contra Incendios")</f>
        <v>Cartel PVC 40x30 Fotoum. Manguera contra Incendios</v>
      </c>
      <c r="C274" s="4">
        <f>IFERROR(__xludf.DUMMYFUNCTION("""COMPUTED_VALUE"""),3.35)</f>
        <v>3.35</v>
      </c>
      <c r="D274" s="4">
        <f>IFERROR(__xludf.DUMMYFUNCTION("""COMPUTED_VALUE"""),3.2)</f>
        <v>3.2</v>
      </c>
      <c r="E274" s="4" t="str">
        <f>IFERROR(__xludf.DUMMYFUNCTION("""COMPUTED_VALUE"""),"Neto G.C.: 3,20 € (a partir de 1 uds.)")</f>
        <v>Neto G.C.: 3,20 € (a partir de 1 uds.)</v>
      </c>
    </row>
    <row r="275">
      <c r="A275" s="4" t="str">
        <f>IFERROR(__xludf.DUMMYFUNCTION("""COMPUTED_VALUE"""),"298")</f>
        <v>298</v>
      </c>
      <c r="B275" s="4" t="str">
        <f>IFERROR(__xludf.DUMMYFUNCTION("""COMPUTED_VALUE"""),"Cartel PVC 21x29 Fotolum. Escalera incendio")</f>
        <v>Cartel PVC 21x29 Fotolum. Escalera incendio</v>
      </c>
      <c r="C275" s="4">
        <f>IFERROR(__xludf.DUMMYFUNCTION("""COMPUTED_VALUE"""),2.6)</f>
        <v>2.6</v>
      </c>
      <c r="D275" s="4">
        <f>IFERROR(__xludf.DUMMYFUNCTION("""COMPUTED_VALUE"""),2.1)</f>
        <v>2.1</v>
      </c>
      <c r="E275" s="4" t="str">
        <f>IFERROR(__xludf.DUMMYFUNCTION("""COMPUTED_VALUE"""),"Neto G.C.: 2,10 € (a partir de 1 uds.)")</f>
        <v>Neto G.C.: 2,10 € (a partir de 1 uds.)</v>
      </c>
    </row>
    <row r="276">
      <c r="A276" s="4" t="str">
        <f>IFERROR(__xludf.DUMMYFUNCTION("""COMPUTED_VALUE"""),"0298A")</f>
        <v>0298A</v>
      </c>
      <c r="B276" s="4" t="str">
        <f>IFERROR(__xludf.DUMMYFUNCTION("""COMPUTED_VALUE"""),"Cartel PVC 21x30 Fotolum. Escalera de incendios")</f>
        <v>Cartel PVC 21x30 Fotolum. Escalera de incendios</v>
      </c>
      <c r="C276" s="4">
        <f>IFERROR(__xludf.DUMMYFUNCTION("""COMPUTED_VALUE"""),2.52)</f>
        <v>2.52</v>
      </c>
      <c r="D276" s="4">
        <f>IFERROR(__xludf.DUMMYFUNCTION("""COMPUTED_VALUE"""),2.1)</f>
        <v>2.1</v>
      </c>
      <c r="E276" s="4" t="str">
        <f>IFERROR(__xludf.DUMMYFUNCTION("""COMPUTED_VALUE"""),"Neto G.C.: 2,10 € (a partir de 1 uds.)")</f>
        <v>Neto G.C.: 2,10 € (a partir de 1 uds.)</v>
      </c>
    </row>
    <row r="277">
      <c r="A277" s="4" t="str">
        <f>IFERROR(__xludf.DUMMYFUNCTION("""COMPUTED_VALUE"""),"0298B")</f>
        <v>0298B</v>
      </c>
      <c r="B277" s="4" t="str">
        <f>IFERROR(__xludf.DUMMYFUNCTION("""COMPUTED_VALUE"""),"Cartel PVC 40x30 Fotolum. Escalera de incendios")</f>
        <v>Cartel PVC 40x30 Fotolum. Escalera de incendios</v>
      </c>
      <c r="C277" s="4">
        <f>IFERROR(__xludf.DUMMYFUNCTION("""COMPUTED_VALUE"""),3.1)</f>
        <v>3.1</v>
      </c>
      <c r="D277" s="4">
        <f>IFERROR(__xludf.DUMMYFUNCTION("""COMPUTED_VALUE"""),3.2)</f>
        <v>3.2</v>
      </c>
      <c r="E277" s="4" t="str">
        <f>IFERROR(__xludf.DUMMYFUNCTION("""COMPUTED_VALUE"""),"Neto G.C.: 3,20 € (a partir de 1 uds.)")</f>
        <v>Neto G.C.: 3,20 € (a partir de 1 uds.)</v>
      </c>
    </row>
    <row r="278">
      <c r="A278" s="4" t="str">
        <f>IFERROR(__xludf.DUMMYFUNCTION("""COMPUTED_VALUE"""),"299")</f>
        <v>299</v>
      </c>
      <c r="B278" s="4" t="str">
        <f>IFERROR(__xludf.DUMMYFUNCTION("""COMPUTED_VALUE"""),"Cartel PVC 40x30 Uso Oblig. de Protec. Lumbar")</f>
        <v>Cartel PVC 40x30 Uso Oblig. de Protec. Lumbar</v>
      </c>
      <c r="C278" s="4">
        <f>IFERROR(__xludf.DUMMYFUNCTION("""COMPUTED_VALUE"""),2.48)</f>
        <v>2.48</v>
      </c>
      <c r="D278" s="4">
        <f>IFERROR(__xludf.DUMMYFUNCTION("""COMPUTED_VALUE"""),1.75)</f>
        <v>1.75</v>
      </c>
      <c r="E278" s="4" t="str">
        <f>IFERROR(__xludf.DUMMYFUNCTION("""COMPUTED_VALUE"""),"Neto G.C.: 1,75 € (a partir de 1 uds.)")</f>
        <v>Neto G.C.: 1,75 € (a partir de 1 uds.)</v>
      </c>
    </row>
    <row r="279">
      <c r="A279" s="4" t="str">
        <f>IFERROR(__xludf.DUMMYFUNCTION("""COMPUTED_VALUE"""),"0299P")</f>
        <v>0299P</v>
      </c>
      <c r="B279" s="4" t="str">
        <f>IFERROR(__xludf.DUMMYFUNCTION("""COMPUTED_VALUE"""),"Cartel PVC 21x29 OBLIGATORIO LA PROTECCION LUMBAR")</f>
        <v>Cartel PVC 21x29 OBLIGATORIO LA PROTECCION LUMBAR</v>
      </c>
      <c r="C279" s="4">
        <f>IFERROR(__xludf.DUMMYFUNCTION("""COMPUTED_VALUE"""),1.6)</f>
        <v>1.6</v>
      </c>
      <c r="D279" s="4">
        <f>IFERROR(__xludf.DUMMYFUNCTION("""COMPUTED_VALUE"""),1.2)</f>
        <v>1.2</v>
      </c>
      <c r="E279" s="4" t="str">
        <f>IFERROR(__xludf.DUMMYFUNCTION("""COMPUTED_VALUE"""),"Neto G.C.: 1,20 € (a partir de 1 uds.)")</f>
        <v>Neto G.C.: 1,20 € (a partir de 1 uds.)</v>
      </c>
    </row>
    <row r="280">
      <c r="A280" s="4" t="str">
        <f>IFERROR(__xludf.DUMMYFUNCTION("""COMPUTED_VALUE"""),"300")</f>
        <v>300</v>
      </c>
      <c r="B280" s="4" t="str">
        <f>IFERROR(__xludf.DUMMYFUNCTION("""COMPUTED_VALUE"""),"Cartel PVC 40x30 Via oblig. peatones")</f>
        <v>Cartel PVC 40x30 Via oblig. peatones</v>
      </c>
      <c r="C280" s="4">
        <f>IFERROR(__xludf.DUMMYFUNCTION("""COMPUTED_VALUE"""),2.48)</f>
        <v>2.48</v>
      </c>
      <c r="D280" s="4">
        <f>IFERROR(__xludf.DUMMYFUNCTION("""COMPUTED_VALUE"""),1.75)</f>
        <v>1.75</v>
      </c>
      <c r="E280" s="4" t="str">
        <f>IFERROR(__xludf.DUMMYFUNCTION("""COMPUTED_VALUE"""),"Neto G.C.: 1,75 € (a partir de 1 uds.)")</f>
        <v>Neto G.C.: 1,75 € (a partir de 1 uds.)</v>
      </c>
    </row>
    <row r="281">
      <c r="A281" s="4" t="str">
        <f>IFERROR(__xludf.DUMMYFUNCTION("""COMPUTED_VALUE"""),"0300P")</f>
        <v>0300P</v>
      </c>
      <c r="B281" s="4" t="str">
        <f>IFERROR(__xludf.DUMMYFUNCTION("""COMPUTED_VALUE"""),"Cartel PVC 21x29 VIA OBLIGATORIA PARA PEATONES")</f>
        <v>Cartel PVC 21x29 VIA OBLIGATORIA PARA PEATONES</v>
      </c>
      <c r="C281" s="4">
        <f>IFERROR(__xludf.DUMMYFUNCTION("""COMPUTED_VALUE"""),1.6)</f>
        <v>1.6</v>
      </c>
      <c r="D281" s="4">
        <f>IFERROR(__xludf.DUMMYFUNCTION("""COMPUTED_VALUE"""),1.2)</f>
        <v>1.2</v>
      </c>
      <c r="E281" s="4" t="str">
        <f>IFERROR(__xludf.DUMMYFUNCTION("""COMPUTED_VALUE"""),"Neto G.C.: 1,20 € (a partir de 1 uds.)")</f>
        <v>Neto G.C.: 1,20 € (a partir de 1 uds.)</v>
      </c>
    </row>
    <row r="282">
      <c r="A282" s="4" t="str">
        <f>IFERROR(__xludf.DUMMYFUNCTION("""COMPUTED_VALUE"""),"301")</f>
        <v>301</v>
      </c>
      <c r="B282" s="4" t="str">
        <f>IFERROR(__xludf.DUMMYFUNCTION("""COMPUTED_VALUE"""),"Cartel PVC 40x30 Oblig. Protector")</f>
        <v>Cartel PVC 40x30 Oblig. Protector</v>
      </c>
      <c r="C282" s="4">
        <f>IFERROR(__xludf.DUMMYFUNCTION("""COMPUTED_VALUE"""),2.48)</f>
        <v>2.48</v>
      </c>
      <c r="D282" s="4">
        <f>IFERROR(__xludf.DUMMYFUNCTION("""COMPUTED_VALUE"""),1.75)</f>
        <v>1.75</v>
      </c>
      <c r="E282" s="4" t="str">
        <f>IFERROR(__xludf.DUMMYFUNCTION("""COMPUTED_VALUE"""),"Neto G.C.: 1,75 € (a partir de 1 uds.)")</f>
        <v>Neto G.C.: 1,75 € (a partir de 1 uds.)</v>
      </c>
    </row>
    <row r="283">
      <c r="A283" s="4" t="str">
        <f>IFERROR(__xludf.DUMMYFUNCTION("""COMPUTED_VALUE"""),"0301P")</f>
        <v>0301P</v>
      </c>
      <c r="B283" s="4" t="str">
        <f>IFERROR(__xludf.DUMMYFUNCTION("""COMPUTED_VALUE"""),"Cartel PVC 21x29 USO OBLIGATORIO DE PROTECTOR")</f>
        <v>Cartel PVC 21x29 USO OBLIGATORIO DE PROTECTOR</v>
      </c>
      <c r="C283" s="4">
        <f>IFERROR(__xludf.DUMMYFUNCTION("""COMPUTED_VALUE"""),1.6)</f>
        <v>1.6</v>
      </c>
      <c r="D283" s="4">
        <f>IFERROR(__xludf.DUMMYFUNCTION("""COMPUTED_VALUE"""),1.2)</f>
        <v>1.2</v>
      </c>
      <c r="E283" s="4" t="str">
        <f>IFERROR(__xludf.DUMMYFUNCTION("""COMPUTED_VALUE"""),"Neto G.C.: 1,20 € (a partir de 1 uds.)")</f>
        <v>Neto G.C.: 1,20 € (a partir de 1 uds.)</v>
      </c>
    </row>
    <row r="284">
      <c r="A284" s="4" t="str">
        <f>IFERROR(__xludf.DUMMYFUNCTION("""COMPUTED_VALUE"""),"302")</f>
        <v>302</v>
      </c>
      <c r="B284" s="4" t="str">
        <f>IFERROR(__xludf.DUMMYFUNCTION("""COMPUTED_VALUE"""),"Cartel PVC 40x30 Proh. paso a peatones")</f>
        <v>Cartel PVC 40x30 Proh. paso a peatones</v>
      </c>
      <c r="C284" s="4">
        <f>IFERROR(__xludf.DUMMYFUNCTION("""COMPUTED_VALUE"""),2.48)</f>
        <v>2.48</v>
      </c>
      <c r="D284" s="4">
        <f>IFERROR(__xludf.DUMMYFUNCTION("""COMPUTED_VALUE"""),1.75)</f>
        <v>1.75</v>
      </c>
      <c r="E284" s="4" t="str">
        <f>IFERROR(__xludf.DUMMYFUNCTION("""COMPUTED_VALUE"""),"Neto G.C.: 1,75 € (a partir de 1 uds.)")</f>
        <v>Neto G.C.: 1,75 € (a partir de 1 uds.)</v>
      </c>
    </row>
    <row r="285">
      <c r="A285" s="4" t="str">
        <f>IFERROR(__xludf.DUMMYFUNCTION("""COMPUTED_VALUE"""),"0302P")</f>
        <v>0302P</v>
      </c>
      <c r="B285" s="4" t="str">
        <f>IFERROR(__xludf.DUMMYFUNCTION("""COMPUTED_VALUE"""),"Cartel PVC 21x29 PROHIBIDO PASAR A LOS PEATONES")</f>
        <v>Cartel PVC 21x29 PROHIBIDO PASAR A LOS PEATONES</v>
      </c>
      <c r="C285" s="4">
        <f>IFERROR(__xludf.DUMMYFUNCTION("""COMPUTED_VALUE"""),1.6)</f>
        <v>1.6</v>
      </c>
      <c r="D285" s="4">
        <f>IFERROR(__xludf.DUMMYFUNCTION("""COMPUTED_VALUE"""),1.2)</f>
        <v>1.2</v>
      </c>
      <c r="E285" s="4" t="str">
        <f>IFERROR(__xludf.DUMMYFUNCTION("""COMPUTED_VALUE"""),"Neto G.C.: 1,20 € (a partir de 1 uds.)")</f>
        <v>Neto G.C.: 1,20 € (a partir de 1 uds.)</v>
      </c>
    </row>
    <row r="286">
      <c r="A286" s="4" t="str">
        <f>IFERROR(__xludf.DUMMYFUNCTION("""COMPUTED_VALUE"""),"303")</f>
        <v>303</v>
      </c>
      <c r="B286" s="4" t="str">
        <f>IFERROR(__xludf.DUMMYFUNCTION("""COMPUTED_VALUE"""),"Cartel PVC 40x30 Rampa personal autor.")</f>
        <v>Cartel PVC 40x30 Rampa personal autor.</v>
      </c>
      <c r="C286" s="4">
        <f>IFERROR(__xludf.DUMMYFUNCTION("""COMPUTED_VALUE"""),2.48)</f>
        <v>2.48</v>
      </c>
      <c r="D286" s="4">
        <f>IFERROR(__xludf.DUMMYFUNCTION("""COMPUTED_VALUE"""),1.75)</f>
        <v>1.75</v>
      </c>
      <c r="E286" s="4" t="str">
        <f>IFERROR(__xludf.DUMMYFUNCTION("""COMPUTED_VALUE"""),"Neto G.C.: 1,75 € (a partir de 1 uds.)")</f>
        <v>Neto G.C.: 1,75 € (a partir de 1 uds.)</v>
      </c>
    </row>
    <row r="287">
      <c r="A287" s="4" t="str">
        <f>IFERROR(__xludf.DUMMYFUNCTION("""COMPUTED_VALUE"""),"0303B")</f>
        <v>0303B</v>
      </c>
      <c r="B287" s="4" t="str">
        <f>IFERROR(__xludf.DUMMYFUNCTION("""COMPUTED_VALUE"""),"Cartel PVC 21x29 USO OBLIGATORIO PROTECTOR")</f>
        <v>Cartel PVC 21x29 USO OBLIGATORIO PROTECTOR</v>
      </c>
      <c r="C287" s="4">
        <f>IFERROR(__xludf.DUMMYFUNCTION("""COMPUTED_VALUE"""),1.6)</f>
        <v>1.6</v>
      </c>
      <c r="D287" s="4">
        <f>IFERROR(__xludf.DUMMYFUNCTION("""COMPUTED_VALUE"""),1.2)</f>
        <v>1.2</v>
      </c>
      <c r="E287" s="4" t="str">
        <f>IFERROR(__xludf.DUMMYFUNCTION("""COMPUTED_VALUE"""),"Neto G.C.: 1,20 € (a partir de 1 uds.)")</f>
        <v>Neto G.C.: 1,20 € (a partir de 1 uds.)</v>
      </c>
    </row>
    <row r="288">
      <c r="A288" s="4" t="str">
        <f>IFERROR(__xludf.DUMMYFUNCTION("""COMPUTED_VALUE"""),"0303P")</f>
        <v>0303P</v>
      </c>
      <c r="B288" s="4" t="str">
        <f>IFERROR(__xludf.DUMMYFUNCTION("""COMPUTED_VALUE"""),"Cartel PVC 21x29 RAMPA USO EXCLUSIVO PERSONAL")</f>
        <v>Cartel PVC 21x29 RAMPA USO EXCLUSIVO PERSONAL</v>
      </c>
      <c r="C288" s="4">
        <f>IFERROR(__xludf.DUMMYFUNCTION("""COMPUTED_VALUE"""),1.6)</f>
        <v>1.6</v>
      </c>
      <c r="D288" s="4">
        <f>IFERROR(__xludf.DUMMYFUNCTION("""COMPUTED_VALUE"""),1.2)</f>
        <v>1.2</v>
      </c>
      <c r="E288" s="4" t="str">
        <f>IFERROR(__xludf.DUMMYFUNCTION("""COMPUTED_VALUE"""),"Neto G.C.: 1,20 € (a partir de 1 uds.)")</f>
        <v>Neto G.C.: 1,20 € (a partir de 1 uds.)</v>
      </c>
    </row>
    <row r="289">
      <c r="A289" s="4" t="str">
        <f>IFERROR(__xludf.DUMMYFUNCTION("""COMPUTED_VALUE"""),"304")</f>
        <v>304</v>
      </c>
      <c r="B289" s="4" t="str">
        <f>IFERROR(__xludf.DUMMYFUNCTION("""COMPUTED_VALUE"""),"Cartel PVC 40x30 Uso oblig. guantes electricos")</f>
        <v>Cartel PVC 40x30 Uso oblig. guantes electricos</v>
      </c>
      <c r="C289" s="4">
        <f>IFERROR(__xludf.DUMMYFUNCTION("""COMPUTED_VALUE"""),2.48)</f>
        <v>2.48</v>
      </c>
      <c r="D289" s="4">
        <f>IFERROR(__xludf.DUMMYFUNCTION("""COMPUTED_VALUE"""),1.75)</f>
        <v>1.75</v>
      </c>
      <c r="E289" s="4" t="str">
        <f>IFERROR(__xludf.DUMMYFUNCTION("""COMPUTED_VALUE"""),"Neto G.C.: 1,75 € (a partir de 1 uds.)")</f>
        <v>Neto G.C.: 1,75 € (a partir de 1 uds.)</v>
      </c>
    </row>
    <row r="290">
      <c r="A290" s="4" t="str">
        <f>IFERROR(__xludf.DUMMYFUNCTION("""COMPUTED_VALUE"""),"0304P")</f>
        <v>0304P</v>
      </c>
      <c r="B290" s="4" t="str">
        <f>IFERROR(__xludf.DUMMYFUNCTION("""COMPUTED_VALUE"""),"Cartel PVC 21x29 USO OBLIGATORIO DE GUANTES")</f>
        <v>Cartel PVC 21x29 USO OBLIGATORIO DE GUANTES</v>
      </c>
      <c r="C290" s="4">
        <f>IFERROR(__xludf.DUMMYFUNCTION("""COMPUTED_VALUE"""),1.6)</f>
        <v>1.6</v>
      </c>
      <c r="D290" s="4">
        <f>IFERROR(__xludf.DUMMYFUNCTION("""COMPUTED_VALUE"""),1.2)</f>
        <v>1.2</v>
      </c>
      <c r="E290" s="4" t="str">
        <f>IFERROR(__xludf.DUMMYFUNCTION("""COMPUTED_VALUE"""),"Neto G.C.: 1,20 € (a partir de 1 uds.)")</f>
        <v>Neto G.C.: 1,20 € (a partir de 1 uds.)</v>
      </c>
    </row>
    <row r="291">
      <c r="A291" s="4" t="str">
        <f>IFERROR(__xludf.DUMMYFUNCTION("""COMPUTED_VALUE"""),"305")</f>
        <v>305</v>
      </c>
      <c r="B291" s="4" t="str">
        <f>IFERROR(__xludf.DUMMYFUNCTION("""COMPUTED_VALUE"""),"Cartel PVC 40x30 Uso Oblig. calzado electrico")</f>
        <v>Cartel PVC 40x30 Uso Oblig. calzado electrico</v>
      </c>
      <c r="C291" s="4">
        <f>IFERROR(__xludf.DUMMYFUNCTION("""COMPUTED_VALUE"""),2.48)</f>
        <v>2.48</v>
      </c>
      <c r="D291" s="4">
        <f>IFERROR(__xludf.DUMMYFUNCTION("""COMPUTED_VALUE"""),1.75)</f>
        <v>1.75</v>
      </c>
      <c r="E291" s="4" t="str">
        <f>IFERROR(__xludf.DUMMYFUNCTION("""COMPUTED_VALUE"""),"Neto G.C.: 1,75 € (a partir de 1 uds.)")</f>
        <v>Neto G.C.: 1,75 € (a partir de 1 uds.)</v>
      </c>
    </row>
    <row r="292">
      <c r="A292" s="4" t="str">
        <f>IFERROR(__xludf.DUMMYFUNCTION("""COMPUTED_VALUE"""),"0305P")</f>
        <v>0305P</v>
      </c>
      <c r="B292" s="4" t="str">
        <f>IFERROR(__xludf.DUMMYFUNCTION("""COMPUTED_VALUE"""),"Cartel PVC 21x29 USO OBLIGATORIO CALZADO")</f>
        <v>Cartel PVC 21x29 USO OBLIGATORIO CALZADO</v>
      </c>
      <c r="C292" s="4">
        <f>IFERROR(__xludf.DUMMYFUNCTION("""COMPUTED_VALUE"""),1.6)</f>
        <v>1.6</v>
      </c>
      <c r="D292" s="4">
        <f>IFERROR(__xludf.DUMMYFUNCTION("""COMPUTED_VALUE"""),1.2)</f>
        <v>1.2</v>
      </c>
      <c r="E292" s="4" t="str">
        <f>IFERROR(__xludf.DUMMYFUNCTION("""COMPUTED_VALUE"""),"Neto G.C.: 1,20 € (a partir de 1 uds.)")</f>
        <v>Neto G.C.: 1,20 € (a partir de 1 uds.)</v>
      </c>
    </row>
    <row r="293">
      <c r="A293" s="4" t="str">
        <f>IFERROR(__xludf.DUMMYFUNCTION("""COMPUTED_VALUE"""),"306")</f>
        <v>306</v>
      </c>
      <c r="B293" s="4" t="str">
        <f>IFERROR(__xludf.DUMMYFUNCTION("""COMPUTED_VALUE"""),"Cartel PVC 40x30 Oblig. Lavarse las manos")</f>
        <v>Cartel PVC 40x30 Oblig. Lavarse las manos</v>
      </c>
      <c r="C293" s="4">
        <f>IFERROR(__xludf.DUMMYFUNCTION("""COMPUTED_VALUE"""),2.48)</f>
        <v>2.48</v>
      </c>
      <c r="D293" s="4">
        <f>IFERROR(__xludf.DUMMYFUNCTION("""COMPUTED_VALUE"""),1.75)</f>
        <v>1.75</v>
      </c>
      <c r="E293" s="4" t="str">
        <f>IFERROR(__xludf.DUMMYFUNCTION("""COMPUTED_VALUE"""),"Neto G.C.: 1,75 € (a partir de 1 uds.)")</f>
        <v>Neto G.C.: 1,75 € (a partir de 1 uds.)</v>
      </c>
    </row>
    <row r="294">
      <c r="A294" s="4" t="str">
        <f>IFERROR(__xludf.DUMMYFUNCTION("""COMPUTED_VALUE"""),"0306P")</f>
        <v>0306P</v>
      </c>
      <c r="B294" s="4" t="str">
        <f>IFERROR(__xludf.DUMMYFUNCTION("""COMPUTED_VALUE"""),"Cartel PVC 21x29 OBLIGATORIO LAVARSE LAS MANOS")</f>
        <v>Cartel PVC 21x29 OBLIGATORIO LAVARSE LAS MANOS</v>
      </c>
      <c r="C294" s="4">
        <f>IFERROR(__xludf.DUMMYFUNCTION("""COMPUTED_VALUE"""),1.6)</f>
        <v>1.6</v>
      </c>
      <c r="D294" s="4">
        <f>IFERROR(__xludf.DUMMYFUNCTION("""COMPUTED_VALUE"""),1.2)</f>
        <v>1.2</v>
      </c>
      <c r="E294" s="4" t="str">
        <f>IFERROR(__xludf.DUMMYFUNCTION("""COMPUTED_VALUE"""),"Neto G.C.: 1,20 € (a partir de 1 uds.)")</f>
        <v>Neto G.C.: 1,20 € (a partir de 1 uds.)</v>
      </c>
    </row>
    <row r="295">
      <c r="A295" s="4" t="str">
        <f>IFERROR(__xludf.DUMMYFUNCTION("""COMPUTED_VALUE"""),"307")</f>
        <v>307</v>
      </c>
      <c r="B295" s="4" t="str">
        <f>IFERROR(__xludf.DUMMYFUNCTION("""COMPUTED_VALUE"""),"Cartel PVC 40x30 Apilar Correctamente")</f>
        <v>Cartel PVC 40x30 Apilar Correctamente</v>
      </c>
      <c r="C295" s="4">
        <f>IFERROR(__xludf.DUMMYFUNCTION("""COMPUTED_VALUE"""),2.48)</f>
        <v>2.48</v>
      </c>
      <c r="D295" s="4">
        <f>IFERROR(__xludf.DUMMYFUNCTION("""COMPUTED_VALUE"""),1.75)</f>
        <v>1.75</v>
      </c>
      <c r="E295" s="4" t="str">
        <f>IFERROR(__xludf.DUMMYFUNCTION("""COMPUTED_VALUE"""),"Neto G.C.: 1,75 € (a partir de 1 uds.)")</f>
        <v>Neto G.C.: 1,75 € (a partir de 1 uds.)</v>
      </c>
    </row>
    <row r="296">
      <c r="A296" s="4" t="str">
        <f>IFERROR(__xludf.DUMMYFUNCTION("""COMPUTED_VALUE"""),"0307P")</f>
        <v>0307P</v>
      </c>
      <c r="B296" s="4" t="str">
        <f>IFERROR(__xludf.DUMMYFUNCTION("""COMPUTED_VALUE"""),"Cartel PVC 21x29 APILAR CORRECTAMENTE")</f>
        <v>Cartel PVC 21x29 APILAR CORRECTAMENTE</v>
      </c>
      <c r="C296" s="4">
        <f>IFERROR(__xludf.DUMMYFUNCTION("""COMPUTED_VALUE"""),1.6)</f>
        <v>1.6</v>
      </c>
      <c r="D296" s="4">
        <f>IFERROR(__xludf.DUMMYFUNCTION("""COMPUTED_VALUE"""),1.2)</f>
        <v>1.2</v>
      </c>
      <c r="E296" s="4" t="str">
        <f>IFERROR(__xludf.DUMMYFUNCTION("""COMPUTED_VALUE"""),"Neto G.C.: 1,20 € (a partir de 1 uds.)")</f>
        <v>Neto G.C.: 1,20 € (a partir de 1 uds.)</v>
      </c>
    </row>
    <row r="297">
      <c r="A297" s="4" t="str">
        <f>IFERROR(__xludf.DUMMYFUNCTION("""COMPUTED_VALUE"""),"308")</f>
        <v>308</v>
      </c>
      <c r="B297" s="4" t="str">
        <f>IFERROR(__xludf.DUMMYFUNCTION("""COMPUTED_VALUE"""),"Cartel PVC 40x30 Oblig. Protector Ajustable")</f>
        <v>Cartel PVC 40x30 Oblig. Protector Ajustable</v>
      </c>
      <c r="C297" s="4">
        <f>IFERROR(__xludf.DUMMYFUNCTION("""COMPUTED_VALUE"""),2.48)</f>
        <v>2.48</v>
      </c>
      <c r="D297" s="4">
        <f>IFERROR(__xludf.DUMMYFUNCTION("""COMPUTED_VALUE"""),1.75)</f>
        <v>1.75</v>
      </c>
      <c r="E297" s="4" t="str">
        <f>IFERROR(__xludf.DUMMYFUNCTION("""COMPUTED_VALUE"""),"Neto G.C.: 1,75 € (a partir de 1 uds.)")</f>
        <v>Neto G.C.: 1,75 € (a partir de 1 uds.)</v>
      </c>
    </row>
    <row r="298">
      <c r="A298" s="4" t="str">
        <f>IFERROR(__xludf.DUMMYFUNCTION("""COMPUTED_VALUE"""),"0308P")</f>
        <v>0308P</v>
      </c>
      <c r="B298" s="4" t="str">
        <f>IFERROR(__xludf.DUMMYFUNCTION("""COMPUTED_VALUE"""),"Cartel PVC 21x29 Oblig. Protector Ajustable")</f>
        <v>Cartel PVC 21x29 Oblig. Protector Ajustable</v>
      </c>
      <c r="C298" s="4">
        <f>IFERROR(__xludf.DUMMYFUNCTION("""COMPUTED_VALUE"""),1.6)</f>
        <v>1.6</v>
      </c>
      <c r="D298" s="4">
        <f>IFERROR(__xludf.DUMMYFUNCTION("""COMPUTED_VALUE"""),1.2)</f>
        <v>1.2</v>
      </c>
      <c r="E298" s="4" t="str">
        <f>IFERROR(__xludf.DUMMYFUNCTION("""COMPUTED_VALUE"""),"Neto G.C.: 1,20 € (a partir de 1 uds.)")</f>
        <v>Neto G.C.: 1,20 € (a partir de 1 uds.)</v>
      </c>
    </row>
    <row r="299">
      <c r="A299" s="4" t="str">
        <f>IFERROR(__xludf.DUMMYFUNCTION("""COMPUTED_VALUE"""),"309")</f>
        <v>309</v>
      </c>
      <c r="B299" s="4" t="str">
        <f>IFERROR(__xludf.DUMMYFUNCTION("""COMPUTED_VALUE"""),"Cartel PVC 40x30 Oblig. Protector Fijo")</f>
        <v>Cartel PVC 40x30 Oblig. Protector Fijo</v>
      </c>
      <c r="C299" s="4">
        <f>IFERROR(__xludf.DUMMYFUNCTION("""COMPUTED_VALUE"""),2.48)</f>
        <v>2.48</v>
      </c>
      <c r="D299" s="4">
        <f>IFERROR(__xludf.DUMMYFUNCTION("""COMPUTED_VALUE"""),1.75)</f>
        <v>1.75</v>
      </c>
      <c r="E299" s="4" t="str">
        <f>IFERROR(__xludf.DUMMYFUNCTION("""COMPUTED_VALUE"""),"Neto G.C.: 1,75 € (a partir de 1 uds.)")</f>
        <v>Neto G.C.: 1,75 € (a partir de 1 uds.)</v>
      </c>
    </row>
    <row r="300">
      <c r="A300" s="4" t="str">
        <f>IFERROR(__xludf.DUMMYFUNCTION("""COMPUTED_VALUE"""),"0309P")</f>
        <v>0309P</v>
      </c>
      <c r="B300" s="4" t="str">
        <f>IFERROR(__xludf.DUMMYFUNCTION("""COMPUTED_VALUE"""),"Cartel PVC 21x29 USO OBLIGATORIO PROTECTOR FIJO")</f>
        <v>Cartel PVC 21x29 USO OBLIGATORIO PROTECTOR FIJO</v>
      </c>
      <c r="C300" s="4">
        <f>IFERROR(__xludf.DUMMYFUNCTION("""COMPUTED_VALUE"""),1.6)</f>
        <v>1.6</v>
      </c>
      <c r="D300" s="4">
        <f>IFERROR(__xludf.DUMMYFUNCTION("""COMPUTED_VALUE"""),1.2)</f>
        <v>1.2</v>
      </c>
      <c r="E300" s="4" t="str">
        <f>IFERROR(__xludf.DUMMYFUNCTION("""COMPUTED_VALUE"""),"Neto G.C.: 1,20 € (a partir de 1 uds.)")</f>
        <v>Neto G.C.: 1,20 € (a partir de 1 uds.)</v>
      </c>
    </row>
    <row r="301">
      <c r="A301" s="4" t="str">
        <f>IFERROR(__xludf.DUMMYFUNCTION("""COMPUTED_VALUE"""),"310")</f>
        <v>310</v>
      </c>
      <c r="B301" s="4" t="str">
        <f>IFERROR(__xludf.DUMMYFUNCTION("""COMPUTED_VALUE"""),"Cartel PVC 40x30 Proh. la entrada con marcapasos")</f>
        <v>Cartel PVC 40x30 Proh. la entrada con marcapasos</v>
      </c>
      <c r="C301" s="4">
        <f>IFERROR(__xludf.DUMMYFUNCTION("""COMPUTED_VALUE"""),2.48)</f>
        <v>2.48</v>
      </c>
      <c r="D301" s="4">
        <f>IFERROR(__xludf.DUMMYFUNCTION("""COMPUTED_VALUE"""),1.75)</f>
        <v>1.75</v>
      </c>
      <c r="E301" s="4" t="str">
        <f>IFERROR(__xludf.DUMMYFUNCTION("""COMPUTED_VALUE"""),"Neto G.C.: 1,75 € (a partir de 1 uds.)")</f>
        <v>Neto G.C.: 1,75 € (a partir de 1 uds.)</v>
      </c>
    </row>
    <row r="302">
      <c r="A302" s="4" t="str">
        <f>IFERROR(__xludf.DUMMYFUNCTION("""COMPUTED_VALUE"""),"0310P")</f>
        <v>0310P</v>
      </c>
      <c r="B302" s="4" t="str">
        <f>IFERROR(__xludf.DUMMYFUNCTION("""COMPUTED_VALUE"""),"Cartel PVC 21x29 PROHIBIDA LA ENTRADA CON")</f>
        <v>Cartel PVC 21x29 PROHIBIDA LA ENTRADA CON</v>
      </c>
      <c r="C302" s="4">
        <f>IFERROR(__xludf.DUMMYFUNCTION("""COMPUTED_VALUE"""),1.6)</f>
        <v>1.6</v>
      </c>
      <c r="D302" s="4">
        <f>IFERROR(__xludf.DUMMYFUNCTION("""COMPUTED_VALUE"""),1.2)</f>
        <v>1.2</v>
      </c>
      <c r="E302" s="4" t="str">
        <f>IFERROR(__xludf.DUMMYFUNCTION("""COMPUTED_VALUE"""),"Neto G.C.: 1,20 € (a partir de 1 uds.)")</f>
        <v>Neto G.C.: 1,20 € (a partir de 1 uds.)</v>
      </c>
    </row>
    <row r="303">
      <c r="A303" s="4" t="str">
        <f>IFERROR(__xludf.DUMMYFUNCTION("""COMPUTED_VALUE"""),"311")</f>
        <v>311</v>
      </c>
      <c r="B303" s="4" t="str">
        <f>IFERROR(__xludf.DUMMYFUNCTION("""COMPUTED_VALUE"""),"Cartel PVC 40x30 Peligro zona de carga y descarga")</f>
        <v>Cartel PVC 40x30 Peligro zona de carga y descarga</v>
      </c>
      <c r="C303" s="4">
        <f>IFERROR(__xludf.DUMMYFUNCTION("""COMPUTED_VALUE"""),2.48)</f>
        <v>2.48</v>
      </c>
      <c r="D303" s="4">
        <f>IFERROR(__xludf.DUMMYFUNCTION("""COMPUTED_VALUE"""),1.75)</f>
        <v>1.75</v>
      </c>
      <c r="E303" s="4" t="str">
        <f>IFERROR(__xludf.DUMMYFUNCTION("""COMPUTED_VALUE"""),"Neto G.C.: 1,75 € (a partir de 1 uds.)")</f>
        <v>Neto G.C.: 1,75 € (a partir de 1 uds.)</v>
      </c>
    </row>
    <row r="304">
      <c r="A304" s="4" t="str">
        <f>IFERROR(__xludf.DUMMYFUNCTION("""COMPUTED_VALUE"""),"0311P")</f>
        <v>0311P</v>
      </c>
      <c r="B304" s="4" t="str">
        <f>IFERROR(__xludf.DUMMYFUNCTION("""COMPUTED_VALUE"""),"Cartel PVC 21x29 PELIGRO ZONA CARGA Y DESCARGA")</f>
        <v>Cartel PVC 21x29 PELIGRO ZONA CARGA Y DESCARGA</v>
      </c>
      <c r="C304" s="4">
        <f>IFERROR(__xludf.DUMMYFUNCTION("""COMPUTED_VALUE"""),1.6)</f>
        <v>1.6</v>
      </c>
      <c r="D304" s="4">
        <f>IFERROR(__xludf.DUMMYFUNCTION("""COMPUTED_VALUE"""),1.2)</f>
        <v>1.2</v>
      </c>
      <c r="E304" s="4" t="str">
        <f>IFERROR(__xludf.DUMMYFUNCTION("""COMPUTED_VALUE"""),"Neto G.C.: 1,20 € (a partir de 1 uds.)")</f>
        <v>Neto G.C.: 1,20 € (a partir de 1 uds.)</v>
      </c>
    </row>
    <row r="305">
      <c r="A305" s="4" t="str">
        <f>IFERROR(__xludf.DUMMYFUNCTION("""COMPUTED_VALUE"""),"312")</f>
        <v>312</v>
      </c>
      <c r="B305" s="4" t="str">
        <f>IFERROR(__xludf.DUMMYFUNCTION("""COMPUTED_VALUE"""),"Cartel PVC 40x30 Baja Temperatura")</f>
        <v>Cartel PVC 40x30 Baja Temperatura</v>
      </c>
      <c r="C305" s="4">
        <f>IFERROR(__xludf.DUMMYFUNCTION("""COMPUTED_VALUE"""),2.48)</f>
        <v>2.48</v>
      </c>
      <c r="D305" s="4">
        <f>IFERROR(__xludf.DUMMYFUNCTION("""COMPUTED_VALUE"""),1.75)</f>
        <v>1.75</v>
      </c>
      <c r="E305" s="4" t="str">
        <f>IFERROR(__xludf.DUMMYFUNCTION("""COMPUTED_VALUE"""),"Neto G.C.: 1,75 € (a partir de 1 uds.)")</f>
        <v>Neto G.C.: 1,75 € (a partir de 1 uds.)</v>
      </c>
    </row>
    <row r="306">
      <c r="A306" s="4" t="str">
        <f>IFERROR(__xludf.DUMMYFUNCTION("""COMPUTED_VALUE"""),"0312P")</f>
        <v>0312P</v>
      </c>
      <c r="B306" s="4" t="str">
        <f>IFERROR(__xludf.DUMMYFUNCTION("""COMPUTED_VALUE"""),"Cartel PVC 21x29 ATENCION BAJA TEMPERATURA")</f>
        <v>Cartel PVC 21x29 ATENCION BAJA TEMPERATURA</v>
      </c>
      <c r="C306" s="4">
        <f>IFERROR(__xludf.DUMMYFUNCTION("""COMPUTED_VALUE"""),1.6)</f>
        <v>1.6</v>
      </c>
      <c r="D306" s="4">
        <f>IFERROR(__xludf.DUMMYFUNCTION("""COMPUTED_VALUE"""),1.2)</f>
        <v>1.2</v>
      </c>
      <c r="E306" s="4" t="str">
        <f>IFERROR(__xludf.DUMMYFUNCTION("""COMPUTED_VALUE"""),"Neto G.C.: 1,20 € (a partir de 1 uds.)")</f>
        <v>Neto G.C.: 1,20 € (a partir de 1 uds.)</v>
      </c>
    </row>
    <row r="307">
      <c r="A307" s="4" t="str">
        <f>IFERROR(__xludf.DUMMYFUNCTION("""COMPUTED_VALUE"""),"313")</f>
        <v>313</v>
      </c>
      <c r="B307" s="4" t="str">
        <f>IFERROR(__xludf.DUMMYFUNCTION("""COMPUTED_VALUE"""),"Cartel PVC 40x30 Peligro Alta Presion")</f>
        <v>Cartel PVC 40x30 Peligro Alta Presion</v>
      </c>
      <c r="C307" s="4">
        <f>IFERROR(__xludf.DUMMYFUNCTION("""COMPUTED_VALUE"""),2.48)</f>
        <v>2.48</v>
      </c>
      <c r="D307" s="4">
        <f>IFERROR(__xludf.DUMMYFUNCTION("""COMPUTED_VALUE"""),1.75)</f>
        <v>1.75</v>
      </c>
      <c r="E307" s="4" t="str">
        <f>IFERROR(__xludf.DUMMYFUNCTION("""COMPUTED_VALUE"""),"Neto G.C.: 1,75 € (a partir de 1 uds.)")</f>
        <v>Neto G.C.: 1,75 € (a partir de 1 uds.)</v>
      </c>
    </row>
    <row r="308">
      <c r="A308" s="4" t="str">
        <f>IFERROR(__xludf.DUMMYFUNCTION("""COMPUTED_VALUE"""),"0313P")</f>
        <v>0313P</v>
      </c>
      <c r="B308" s="4" t="str">
        <f>IFERROR(__xludf.DUMMYFUNCTION("""COMPUTED_VALUE"""),"Cartel PVC 21x29 PELIGRO ALTA PRESION")</f>
        <v>Cartel PVC 21x29 PELIGRO ALTA PRESION</v>
      </c>
      <c r="C308" s="4">
        <f>IFERROR(__xludf.DUMMYFUNCTION("""COMPUTED_VALUE"""),1.6)</f>
        <v>1.6</v>
      </c>
      <c r="D308" s="4">
        <f>IFERROR(__xludf.DUMMYFUNCTION("""COMPUTED_VALUE"""),1.2)</f>
        <v>1.2</v>
      </c>
      <c r="E308" s="4" t="str">
        <f>IFERROR(__xludf.DUMMYFUNCTION("""COMPUTED_VALUE"""),"Neto G.C.: 1,20 € (a partir de 1 uds.)")</f>
        <v>Neto G.C.: 1,20 € (a partir de 1 uds.)</v>
      </c>
    </row>
    <row r="309">
      <c r="A309" s="4" t="str">
        <f>IFERROR(__xludf.DUMMYFUNCTION("""COMPUTED_VALUE"""),"314")</f>
        <v>314</v>
      </c>
      <c r="B309" s="4" t="str">
        <f>IFERROR(__xludf.DUMMYFUNCTION("""COMPUTED_VALUE"""),"Cartel PVC 40x30 Peligro Suelo fragil")</f>
        <v>Cartel PVC 40x30 Peligro Suelo fragil</v>
      </c>
      <c r="C309" s="4">
        <f>IFERROR(__xludf.DUMMYFUNCTION("""COMPUTED_VALUE"""),2.48)</f>
        <v>2.48</v>
      </c>
      <c r="D309" s="4">
        <f>IFERROR(__xludf.DUMMYFUNCTION("""COMPUTED_VALUE"""),1.75)</f>
        <v>1.75</v>
      </c>
      <c r="E309" s="4" t="str">
        <f>IFERROR(__xludf.DUMMYFUNCTION("""COMPUTED_VALUE"""),"Neto G.C.: 1,75 € (a partir de 1 uds.)")</f>
        <v>Neto G.C.: 1,75 € (a partir de 1 uds.)</v>
      </c>
    </row>
    <row r="310">
      <c r="A310" s="4" t="str">
        <f>IFERROR(__xludf.DUMMYFUNCTION("""COMPUTED_VALUE"""),"0314P")</f>
        <v>0314P</v>
      </c>
      <c r="B310" s="4" t="str">
        <f>IFERROR(__xludf.DUMMYFUNCTION("""COMPUTED_VALUE"""),"Cartel PVC 21x29 ATENCION SUELO FRAGIL")</f>
        <v>Cartel PVC 21x29 ATENCION SUELO FRAGIL</v>
      </c>
      <c r="C310" s="4">
        <f>IFERROR(__xludf.DUMMYFUNCTION("""COMPUTED_VALUE"""),1.6)</f>
        <v>1.6</v>
      </c>
      <c r="D310" s="4">
        <f>IFERROR(__xludf.DUMMYFUNCTION("""COMPUTED_VALUE"""),1.2)</f>
        <v>1.2</v>
      </c>
      <c r="E310" s="4" t="str">
        <f>IFERROR(__xludf.DUMMYFUNCTION("""COMPUTED_VALUE"""),"Neto G.C.: 1,20 € (a partir de 1 uds.)")</f>
        <v>Neto G.C.: 1,20 € (a partir de 1 uds.)</v>
      </c>
    </row>
    <row r="311">
      <c r="A311" s="4" t="str">
        <f>IFERROR(__xludf.DUMMYFUNCTION("""COMPUTED_VALUE"""),"315")</f>
        <v>315</v>
      </c>
      <c r="B311" s="4" t="str">
        <f>IFERROR(__xludf.DUMMYFUNCTION("""COMPUTED_VALUE"""),"Cartel PVC 40x30 Atencion Suelo Resbaladizo")</f>
        <v>Cartel PVC 40x30 Atencion Suelo Resbaladizo</v>
      </c>
      <c r="C311" s="4">
        <f>IFERROR(__xludf.DUMMYFUNCTION("""COMPUTED_VALUE"""),2.48)</f>
        <v>2.48</v>
      </c>
      <c r="D311" s="4">
        <f>IFERROR(__xludf.DUMMYFUNCTION("""COMPUTED_VALUE"""),1.75)</f>
        <v>1.75</v>
      </c>
      <c r="E311" s="4" t="str">
        <f>IFERROR(__xludf.DUMMYFUNCTION("""COMPUTED_VALUE"""),"Neto G.C.: 1,75 € (a partir de 1 uds.)")</f>
        <v>Neto G.C.: 1,75 € (a partir de 1 uds.)</v>
      </c>
    </row>
    <row r="312">
      <c r="A312" s="4" t="str">
        <f>IFERROR(__xludf.DUMMYFUNCTION("""COMPUTED_VALUE"""),"0315P")</f>
        <v>0315P</v>
      </c>
      <c r="B312" s="4" t="str">
        <f>IFERROR(__xludf.DUMMYFUNCTION("""COMPUTED_VALUE"""),"Cartel PVC 21x29 ATENCION SUELO RESBALADIZO")</f>
        <v>Cartel PVC 21x29 ATENCION SUELO RESBALADIZO</v>
      </c>
      <c r="C312" s="4">
        <f>IFERROR(__xludf.DUMMYFUNCTION("""COMPUTED_VALUE"""),1.6)</f>
        <v>1.6</v>
      </c>
      <c r="D312" s="4">
        <f>IFERROR(__xludf.DUMMYFUNCTION("""COMPUTED_VALUE"""),1.2)</f>
        <v>1.2</v>
      </c>
      <c r="E312" s="4" t="str">
        <f>IFERROR(__xludf.DUMMYFUNCTION("""COMPUTED_VALUE"""),"Neto G.C.: 1,20 € (a partir de 1 uds.)")</f>
        <v>Neto G.C.: 1,20 € (a partir de 1 uds.)</v>
      </c>
    </row>
    <row r="313">
      <c r="A313" s="4" t="str">
        <f>IFERROR(__xludf.DUMMYFUNCTION("""COMPUTED_VALUE"""),"316")</f>
        <v>316</v>
      </c>
      <c r="B313" s="4" t="str">
        <f>IFERROR(__xludf.DUMMYFUNCTION("""COMPUTED_VALUE"""),"Cartel PVC 40x30 Solo Personal Autorizado")</f>
        <v>Cartel PVC 40x30 Solo Personal Autorizado</v>
      </c>
      <c r="C313" s="4">
        <f>IFERROR(__xludf.DUMMYFUNCTION("""COMPUTED_VALUE"""),2.48)</f>
        <v>2.48</v>
      </c>
      <c r="D313" s="4">
        <f>IFERROR(__xludf.DUMMYFUNCTION("""COMPUTED_VALUE"""),1.75)</f>
        <v>1.75</v>
      </c>
      <c r="E313" s="4" t="str">
        <f>IFERROR(__xludf.DUMMYFUNCTION("""COMPUTED_VALUE"""),"Neto G.C.: 1,75 € (a partir de 1 uds.)")</f>
        <v>Neto G.C.: 1,75 € (a partir de 1 uds.)</v>
      </c>
    </row>
    <row r="314">
      <c r="A314" s="4" t="str">
        <f>IFERROR(__xludf.DUMMYFUNCTION("""COMPUTED_VALUE"""),"0316P")</f>
        <v>0316P</v>
      </c>
      <c r="B314" s="4" t="str">
        <f>IFERROR(__xludf.DUMMYFUNCTION("""COMPUTED_VALUE"""),"Cartel PVC 21x29 SOLO PERSONAL AUTORIZADO")</f>
        <v>Cartel PVC 21x29 SOLO PERSONAL AUTORIZADO</v>
      </c>
      <c r="C314" s="4">
        <f>IFERROR(__xludf.DUMMYFUNCTION("""COMPUTED_VALUE"""),1.6)</f>
        <v>1.6</v>
      </c>
      <c r="D314" s="4">
        <f>IFERROR(__xludf.DUMMYFUNCTION("""COMPUTED_VALUE"""),1.2)</f>
        <v>1.2</v>
      </c>
      <c r="E314" s="4" t="str">
        <f>IFERROR(__xludf.DUMMYFUNCTION("""COMPUTED_VALUE"""),"Neto G.C.: 1,20 € (a partir de 1 uds.)")</f>
        <v>Neto G.C.: 1,20 € (a partir de 1 uds.)</v>
      </c>
    </row>
    <row r="315">
      <c r="A315" s="4" t="str">
        <f>IFERROR(__xludf.DUMMYFUNCTION("""COMPUTED_VALUE"""),"317")</f>
        <v>317</v>
      </c>
      <c r="B315" s="4" t="str">
        <f>IFERROR(__xludf.DUMMYFUNCTION("""COMPUTED_VALUE"""),"Cartel PVC 40x30 Prohibido paso con bicicleta")</f>
        <v>Cartel PVC 40x30 Prohibido paso con bicicleta</v>
      </c>
      <c r="C315" s="4">
        <f>IFERROR(__xludf.DUMMYFUNCTION("""COMPUTED_VALUE"""),2.48)</f>
        <v>2.48</v>
      </c>
      <c r="D315" s="4">
        <f>IFERROR(__xludf.DUMMYFUNCTION("""COMPUTED_VALUE"""),1.75)</f>
        <v>1.75</v>
      </c>
      <c r="E315" s="4" t="str">
        <f>IFERROR(__xludf.DUMMYFUNCTION("""COMPUTED_VALUE"""),"Neto G.C.: 1,75 € (a partir de 1 uds.)")</f>
        <v>Neto G.C.: 1,75 € (a partir de 1 uds.)</v>
      </c>
    </row>
    <row r="316">
      <c r="A316" s="4" t="str">
        <f>IFERROR(__xludf.DUMMYFUNCTION("""COMPUTED_VALUE"""),"0317P")</f>
        <v>0317P</v>
      </c>
      <c r="B316" s="4" t="str">
        <f>IFERROR(__xludf.DUMMYFUNCTION("""COMPUTED_VALUE"""),"Cartel PVC 21x29 PROHIBIDO EL PASO CON BICICLETA")</f>
        <v>Cartel PVC 21x29 PROHIBIDO EL PASO CON BICICLETA</v>
      </c>
      <c r="C316" s="4">
        <f>IFERROR(__xludf.DUMMYFUNCTION("""COMPUTED_VALUE"""),1.6)</f>
        <v>1.6</v>
      </c>
      <c r="D316" s="4">
        <f>IFERROR(__xludf.DUMMYFUNCTION("""COMPUTED_VALUE"""),1.2)</f>
        <v>1.2</v>
      </c>
      <c r="E316" s="4" t="str">
        <f>IFERROR(__xludf.DUMMYFUNCTION("""COMPUTED_VALUE"""),"Neto G.C.: 1,20 € (a partir de 1 uds.)")</f>
        <v>Neto G.C.: 1,20 € (a partir de 1 uds.)</v>
      </c>
    </row>
    <row r="317">
      <c r="A317" s="4" t="str">
        <f>IFERROR(__xludf.DUMMYFUNCTION("""COMPUTED_VALUE"""),"318")</f>
        <v>318</v>
      </c>
      <c r="B317" s="4" t="str">
        <f>IFERROR(__xludf.DUMMYFUNCTION("""COMPUTED_VALUE"""),"Cartel PVC 40x30 Prohib. Uso de Moviles")</f>
        <v>Cartel PVC 40x30 Prohib. Uso de Moviles</v>
      </c>
      <c r="C317" s="4">
        <f>IFERROR(__xludf.DUMMYFUNCTION("""COMPUTED_VALUE"""),2.48)</f>
        <v>2.48</v>
      </c>
      <c r="D317" s="4">
        <f>IFERROR(__xludf.DUMMYFUNCTION("""COMPUTED_VALUE"""),1.75)</f>
        <v>1.75</v>
      </c>
      <c r="E317" s="4" t="str">
        <f>IFERROR(__xludf.DUMMYFUNCTION("""COMPUTED_VALUE"""),"Neto G.C.: 1,75 € (a partir de 1 uds.)")</f>
        <v>Neto G.C.: 1,75 € (a partir de 1 uds.)</v>
      </c>
    </row>
    <row r="318">
      <c r="A318" s="4" t="str">
        <f>IFERROR(__xludf.DUMMYFUNCTION("""COMPUTED_VALUE"""),"0318P")</f>
        <v>0318P</v>
      </c>
      <c r="B318" s="4" t="str">
        <f>IFERROR(__xludf.DUMMYFUNCTION("""COMPUTED_VALUE"""),"Cartel PVC 21x29 PROHIBIDO EL USO TELEFONOS")</f>
        <v>Cartel PVC 21x29 PROHIBIDO EL USO TELEFONOS</v>
      </c>
      <c r="C318" s="4">
        <f>IFERROR(__xludf.DUMMYFUNCTION("""COMPUTED_VALUE"""),1.6)</f>
        <v>1.6</v>
      </c>
      <c r="D318" s="4">
        <f>IFERROR(__xludf.DUMMYFUNCTION("""COMPUTED_VALUE"""),1.2)</f>
        <v>1.2</v>
      </c>
      <c r="E318" s="4" t="str">
        <f>IFERROR(__xludf.DUMMYFUNCTION("""COMPUTED_VALUE"""),"Neto G.C.: 1,20 € (a partir de 1 uds.)")</f>
        <v>Neto G.C.: 1,20 € (a partir de 1 uds.)</v>
      </c>
    </row>
    <row r="319">
      <c r="A319" s="4" t="str">
        <f>IFERROR(__xludf.DUMMYFUNCTION("""COMPUTED_VALUE"""),"319")</f>
        <v>319</v>
      </c>
      <c r="B319" s="4" t="str">
        <f>IFERROR(__xludf.DUMMYFUNCTION("""COMPUTED_VALUE"""),"Cartel PVC 40x30 Fotolum. Hidrante")</f>
        <v>Cartel PVC 40x30 Fotolum. Hidrante</v>
      </c>
      <c r="C319" s="4">
        <f>IFERROR(__xludf.DUMMYFUNCTION("""COMPUTED_VALUE"""),3.45)</f>
        <v>3.45</v>
      </c>
      <c r="D319" s="4">
        <f>IFERROR(__xludf.DUMMYFUNCTION("""COMPUTED_VALUE"""),3.2)</f>
        <v>3.2</v>
      </c>
      <c r="E319" s="4" t="str">
        <f>IFERROR(__xludf.DUMMYFUNCTION("""COMPUTED_VALUE"""),"Neto G.C.: 3,20 € (a partir de 1 uds.)")</f>
        <v>Neto G.C.: 3,20 € (a partir de 1 uds.)</v>
      </c>
    </row>
    <row r="320">
      <c r="A320" s="4" t="str">
        <f>IFERROR(__xludf.DUMMYFUNCTION("""COMPUTED_VALUE"""),"0319A")</f>
        <v>0319A</v>
      </c>
      <c r="B320" s="4" t="str">
        <f>IFERROR(__xludf.DUMMYFUNCTION("""COMPUTED_VALUE"""),"Cartel PVC 32x16 Fotolum. Salida emergencia dcha abajo")</f>
        <v>Cartel PVC 32x16 Fotolum. Salida emergencia dcha abajo</v>
      </c>
      <c r="C320" s="4">
        <f>IFERROR(__xludf.DUMMYFUNCTION("""COMPUTED_VALUE"""),2.25)</f>
        <v>2.25</v>
      </c>
      <c r="D320" s="4"/>
      <c r="E320" s="4" t="str">
        <f>IFERROR(__xludf.DUMMYFUNCTION("""COMPUTED_VALUE"""),"Sin precio neto G.C.")</f>
        <v>Sin precio neto G.C.</v>
      </c>
    </row>
    <row r="321">
      <c r="A321" s="4" t="str">
        <f>IFERROR(__xludf.DUMMYFUNCTION("""COMPUTED_VALUE"""),"0319AA")</f>
        <v>0319AA</v>
      </c>
      <c r="B321" s="4" t="str">
        <f>IFERROR(__xludf.DUMMYFUNCTION("""COMPUTED_VALUE"""),"Cartel PVC 32x16 Fotolum. Salida emergencia dcha abajo")</f>
        <v>Cartel PVC 32x16 Fotolum. Salida emergencia dcha abajo</v>
      </c>
      <c r="C321" s="4">
        <f>IFERROR(__xludf.DUMMYFUNCTION("""COMPUTED_VALUE"""),2.25)</f>
        <v>2.25</v>
      </c>
      <c r="D321" s="4"/>
      <c r="E321" s="4" t="str">
        <f>IFERROR(__xludf.DUMMYFUNCTION("""COMPUTED_VALUE"""),"Sin precio neto G.C.")</f>
        <v>Sin precio neto G.C.</v>
      </c>
    </row>
    <row r="322">
      <c r="A322" s="4" t="str">
        <f>IFERROR(__xludf.DUMMYFUNCTION("""COMPUTED_VALUE"""),"0319B")</f>
        <v>0319B</v>
      </c>
      <c r="B322" s="4" t="str">
        <f>IFERROR(__xludf.DUMMYFUNCTION("""COMPUTED_VALUE"""),"Cartel PVC 64x32 Fotolum. Salida emergencia dcha abajo")</f>
        <v>Cartel PVC 64x32 Fotolum. Salida emergencia dcha abajo</v>
      </c>
      <c r="C322" s="4">
        <f>IFERROR(__xludf.DUMMYFUNCTION("""COMPUTED_VALUE"""),4.48)</f>
        <v>4.48</v>
      </c>
      <c r="D322" s="4"/>
      <c r="E322" s="4" t="str">
        <f>IFERROR(__xludf.DUMMYFUNCTION("""COMPUTED_VALUE"""),"Sin precio neto G.C.")</f>
        <v>Sin precio neto G.C.</v>
      </c>
    </row>
    <row r="323">
      <c r="A323" s="4" t="str">
        <f>IFERROR(__xludf.DUMMYFUNCTION("""COMPUTED_VALUE"""),"0319BA")</f>
        <v>0319BA</v>
      </c>
      <c r="B323" s="4" t="str">
        <f>IFERROR(__xludf.DUMMYFUNCTION("""COMPUTED_VALUE"""),"Cartel PVC 64x32 Fotolum. Salida emergencia dcha abajo")</f>
        <v>Cartel PVC 64x32 Fotolum. Salida emergencia dcha abajo</v>
      </c>
      <c r="C323" s="4">
        <f>IFERROR(__xludf.DUMMYFUNCTION("""COMPUTED_VALUE"""),4.48)</f>
        <v>4.48</v>
      </c>
      <c r="D323" s="4"/>
      <c r="E323" s="4" t="str">
        <f>IFERROR(__xludf.DUMMYFUNCTION("""COMPUTED_VALUE"""),"Sin precio neto G.C.")</f>
        <v>Sin precio neto G.C.</v>
      </c>
    </row>
    <row r="324">
      <c r="A324" s="4" t="str">
        <f>IFERROR(__xludf.DUMMYFUNCTION("""COMPUTED_VALUE"""),"0319C")</f>
        <v>0319C</v>
      </c>
      <c r="B324" s="4" t="str">
        <f>IFERROR(__xludf.DUMMYFUNCTION("""COMPUTED_VALUE"""),"Cartel PVC 96x48 Fotolum. Salida emergencia dcha abajo")</f>
        <v>Cartel PVC 96x48 Fotolum. Salida emergencia dcha abajo</v>
      </c>
      <c r="C324" s="4">
        <f>IFERROR(__xludf.DUMMYFUNCTION("""COMPUTED_VALUE"""),8.96)</f>
        <v>8.96</v>
      </c>
      <c r="D324" s="4"/>
      <c r="E324" s="4" t="str">
        <f>IFERROR(__xludf.DUMMYFUNCTION("""COMPUTED_VALUE"""),"Sin precio neto G.C.")</f>
        <v>Sin precio neto G.C.</v>
      </c>
    </row>
    <row r="325">
      <c r="A325" s="4" t="str">
        <f>IFERROR(__xludf.DUMMYFUNCTION("""COMPUTED_VALUE"""),"0319CA")</f>
        <v>0319CA</v>
      </c>
      <c r="B325" s="4" t="str">
        <f>IFERROR(__xludf.DUMMYFUNCTION("""COMPUTED_VALUE"""),"Cartel PVC 96x48 Fotolum. Salida emergencia dcha abajo")</f>
        <v>Cartel PVC 96x48 Fotolum. Salida emergencia dcha abajo</v>
      </c>
      <c r="C325" s="4">
        <f>IFERROR(__xludf.DUMMYFUNCTION("""COMPUTED_VALUE"""),8.96)</f>
        <v>8.96</v>
      </c>
      <c r="D325" s="4"/>
      <c r="E325" s="4" t="str">
        <f>IFERROR(__xludf.DUMMYFUNCTION("""COMPUTED_VALUE"""),"Sin precio neto G.C.")</f>
        <v>Sin precio neto G.C.</v>
      </c>
    </row>
    <row r="326">
      <c r="A326" s="4" t="str">
        <f>IFERROR(__xludf.DUMMYFUNCTION("""COMPUTED_VALUE"""),"320")</f>
        <v>320</v>
      </c>
      <c r="B326" s="4" t="str">
        <f>IFERROR(__xludf.DUMMYFUNCTION("""COMPUTED_VALUE"""),"Cartel PVC 21x30 Fotolum. Salida escalera arriba izq.")</f>
        <v>Cartel PVC 21x30 Fotolum. Salida escalera arriba izq.</v>
      </c>
      <c r="C326" s="4">
        <f>IFERROR(__xludf.DUMMYFUNCTION("""COMPUTED_VALUE"""),2.6)</f>
        <v>2.6</v>
      </c>
      <c r="D326" s="4">
        <f>IFERROR(__xludf.DUMMYFUNCTION("""COMPUTED_VALUE"""),2.1)</f>
        <v>2.1</v>
      </c>
      <c r="E326" s="4" t="str">
        <f>IFERROR(__xludf.DUMMYFUNCTION("""COMPUTED_VALUE"""),"Neto G.C.: 2,10 € (a partir de 1 uds.)")</f>
        <v>Neto G.C.: 2,10 € (a partir de 1 uds.)</v>
      </c>
    </row>
    <row r="327">
      <c r="A327" s="4" t="str">
        <f>IFERROR(__xludf.DUMMYFUNCTION("""COMPUTED_VALUE"""),"0320A")</f>
        <v>0320A</v>
      </c>
      <c r="B327" s="4" t="str">
        <f>IFERROR(__xludf.DUMMYFUNCTION("""COMPUTED_VALUE"""),"Cartel PVC 32x16 Fotolum. Salida emergencia arriba izq")</f>
        <v>Cartel PVC 32x16 Fotolum. Salida emergencia arriba izq</v>
      </c>
      <c r="C327" s="4">
        <f>IFERROR(__xludf.DUMMYFUNCTION("""COMPUTED_VALUE"""),2.25)</f>
        <v>2.25</v>
      </c>
      <c r="D327" s="4"/>
      <c r="E327" s="4" t="str">
        <f>IFERROR(__xludf.DUMMYFUNCTION("""COMPUTED_VALUE"""),"Sin precio neto G.C.")</f>
        <v>Sin precio neto G.C.</v>
      </c>
    </row>
    <row r="328">
      <c r="A328" s="4" t="str">
        <f>IFERROR(__xludf.DUMMYFUNCTION("""COMPUTED_VALUE"""),"0320AA")</f>
        <v>0320AA</v>
      </c>
      <c r="B328" s="4" t="str">
        <f>IFERROR(__xludf.DUMMYFUNCTION("""COMPUTED_VALUE"""),"Cartel PVC 32x16 Fotolum. Salida emergencia arriba izq Minus")</f>
        <v>Cartel PVC 32x16 Fotolum. Salida emergencia arriba izq Minus</v>
      </c>
      <c r="C328" s="4">
        <f>IFERROR(__xludf.DUMMYFUNCTION("""COMPUTED_VALUE"""),2.25)</f>
        <v>2.25</v>
      </c>
      <c r="D328" s="4"/>
      <c r="E328" s="4" t="str">
        <f>IFERROR(__xludf.DUMMYFUNCTION("""COMPUTED_VALUE"""),"Sin precio neto G.C.")</f>
        <v>Sin precio neto G.C.</v>
      </c>
    </row>
    <row r="329">
      <c r="A329" s="4" t="str">
        <f>IFERROR(__xludf.DUMMYFUNCTION("""COMPUTED_VALUE"""),"0320B")</f>
        <v>0320B</v>
      </c>
      <c r="B329" s="4" t="str">
        <f>IFERROR(__xludf.DUMMYFUNCTION("""COMPUTED_VALUE"""),"Cartel PVC 64x32 Fotolum. Salida emergencia arriba izq")</f>
        <v>Cartel PVC 64x32 Fotolum. Salida emergencia arriba izq</v>
      </c>
      <c r="C329" s="4">
        <f>IFERROR(__xludf.DUMMYFUNCTION("""COMPUTED_VALUE"""),4.48)</f>
        <v>4.48</v>
      </c>
      <c r="D329" s="4"/>
      <c r="E329" s="4" t="str">
        <f>IFERROR(__xludf.DUMMYFUNCTION("""COMPUTED_VALUE"""),"Sin precio neto G.C.")</f>
        <v>Sin precio neto G.C.</v>
      </c>
    </row>
    <row r="330">
      <c r="A330" s="4" t="str">
        <f>IFERROR(__xludf.DUMMYFUNCTION("""COMPUTED_VALUE"""),"0320BA")</f>
        <v>0320BA</v>
      </c>
      <c r="B330" s="4" t="str">
        <f>IFERROR(__xludf.DUMMYFUNCTION("""COMPUTED_VALUE"""),"Cartel PVC 64x32 Fotolum. Salida emergencia arriba izq Minus")</f>
        <v>Cartel PVC 64x32 Fotolum. Salida emergencia arriba izq Minus</v>
      </c>
      <c r="C330" s="4">
        <f>IFERROR(__xludf.DUMMYFUNCTION("""COMPUTED_VALUE"""),4.48)</f>
        <v>4.48</v>
      </c>
      <c r="D330" s="4"/>
      <c r="E330" s="4" t="str">
        <f>IFERROR(__xludf.DUMMYFUNCTION("""COMPUTED_VALUE"""),"Sin precio neto G.C.")</f>
        <v>Sin precio neto G.C.</v>
      </c>
    </row>
    <row r="331">
      <c r="A331" s="4" t="str">
        <f>IFERROR(__xludf.DUMMYFUNCTION("""COMPUTED_VALUE"""),"0320C")</f>
        <v>0320C</v>
      </c>
      <c r="B331" s="4" t="str">
        <f>IFERROR(__xludf.DUMMYFUNCTION("""COMPUTED_VALUE"""),"Cartel PVC 96x48 Fotolum. Salida emergencia arriba izq")</f>
        <v>Cartel PVC 96x48 Fotolum. Salida emergencia arriba izq</v>
      </c>
      <c r="C331" s="4">
        <f>IFERROR(__xludf.DUMMYFUNCTION("""COMPUTED_VALUE"""),8.96)</f>
        <v>8.96</v>
      </c>
      <c r="D331" s="4"/>
      <c r="E331" s="4" t="str">
        <f>IFERROR(__xludf.DUMMYFUNCTION("""COMPUTED_VALUE"""),"Sin precio neto G.C.")</f>
        <v>Sin precio neto G.C.</v>
      </c>
    </row>
    <row r="332">
      <c r="A332" s="4" t="str">
        <f>IFERROR(__xludf.DUMMYFUNCTION("""COMPUTED_VALUE"""),"0320CA")</f>
        <v>0320CA</v>
      </c>
      <c r="B332" s="4" t="str">
        <f>IFERROR(__xludf.DUMMYFUNCTION("""COMPUTED_VALUE"""),"Cartel PVC 96x48 Fotolum. Salida emergencia arriba izq Minus")</f>
        <v>Cartel PVC 96x48 Fotolum. Salida emergencia arriba izq Minus</v>
      </c>
      <c r="C332" s="4">
        <f>IFERROR(__xludf.DUMMYFUNCTION("""COMPUTED_VALUE"""),8.96)</f>
        <v>8.96</v>
      </c>
      <c r="D332" s="4"/>
      <c r="E332" s="4" t="str">
        <f>IFERROR(__xludf.DUMMYFUNCTION("""COMPUTED_VALUE"""),"Sin precio neto G.C.")</f>
        <v>Sin precio neto G.C.</v>
      </c>
    </row>
    <row r="333">
      <c r="A333" s="4" t="str">
        <f>IFERROR(__xludf.DUMMYFUNCTION("""COMPUTED_VALUE"""),"321")</f>
        <v>321</v>
      </c>
      <c r="B333" s="4" t="str">
        <f>IFERROR(__xludf.DUMMYFUNCTION("""COMPUTED_VALUE"""),"Cartel PVC 21x30 Fotolum.Salida escalera abajo izq.")</f>
        <v>Cartel PVC 21x30 Fotolum.Salida escalera abajo izq.</v>
      </c>
      <c r="C333" s="4">
        <f>IFERROR(__xludf.DUMMYFUNCTION("""COMPUTED_VALUE"""),2.6)</f>
        <v>2.6</v>
      </c>
      <c r="D333" s="4">
        <f>IFERROR(__xludf.DUMMYFUNCTION("""COMPUTED_VALUE"""),2.1)</f>
        <v>2.1</v>
      </c>
      <c r="E333" s="4" t="str">
        <f>IFERROR(__xludf.DUMMYFUNCTION("""COMPUTED_VALUE"""),"Neto G.C.: 2,10 € (a partir de 1 uds.)")</f>
        <v>Neto G.C.: 2,10 € (a partir de 1 uds.)</v>
      </c>
    </row>
    <row r="334">
      <c r="A334" s="4" t="str">
        <f>IFERROR(__xludf.DUMMYFUNCTION("""COMPUTED_VALUE"""),"0321A")</f>
        <v>0321A</v>
      </c>
      <c r="B334" s="4" t="str">
        <f>IFERROR(__xludf.DUMMYFUNCTION("""COMPUTED_VALUE"""),"Cartel PVC 32x16 Fotolum. Salida emergencia abajo izq")</f>
        <v>Cartel PVC 32x16 Fotolum. Salida emergencia abajo izq</v>
      </c>
      <c r="C334" s="4">
        <f>IFERROR(__xludf.DUMMYFUNCTION("""COMPUTED_VALUE"""),2.25)</f>
        <v>2.25</v>
      </c>
      <c r="D334" s="4"/>
      <c r="E334" s="4" t="str">
        <f>IFERROR(__xludf.DUMMYFUNCTION("""COMPUTED_VALUE"""),"Sin precio neto G.C.")</f>
        <v>Sin precio neto G.C.</v>
      </c>
    </row>
    <row r="335">
      <c r="A335" s="4" t="str">
        <f>IFERROR(__xludf.DUMMYFUNCTION("""COMPUTED_VALUE"""),"0321AA")</f>
        <v>0321AA</v>
      </c>
      <c r="B335" s="4" t="str">
        <f>IFERROR(__xludf.DUMMYFUNCTION("""COMPUTED_VALUE"""),"Cartel PVC 32x16 Fotolum. Salida emergencia abajo izq Minus")</f>
        <v>Cartel PVC 32x16 Fotolum. Salida emergencia abajo izq Minus</v>
      </c>
      <c r="C335" s="4">
        <f>IFERROR(__xludf.DUMMYFUNCTION("""COMPUTED_VALUE"""),2.25)</f>
        <v>2.25</v>
      </c>
      <c r="D335" s="4"/>
      <c r="E335" s="4" t="str">
        <f>IFERROR(__xludf.DUMMYFUNCTION("""COMPUTED_VALUE"""),"Sin precio neto G.C.")</f>
        <v>Sin precio neto G.C.</v>
      </c>
    </row>
    <row r="336">
      <c r="A336" s="4" t="str">
        <f>IFERROR(__xludf.DUMMYFUNCTION("""COMPUTED_VALUE"""),"0321B")</f>
        <v>0321B</v>
      </c>
      <c r="B336" s="4" t="str">
        <f>IFERROR(__xludf.DUMMYFUNCTION("""COMPUTED_VALUE"""),"Cartel PVC 64x32 Fotolum. Salida emergencia abajo izq")</f>
        <v>Cartel PVC 64x32 Fotolum. Salida emergencia abajo izq</v>
      </c>
      <c r="C336" s="4">
        <f>IFERROR(__xludf.DUMMYFUNCTION("""COMPUTED_VALUE"""),4.48)</f>
        <v>4.48</v>
      </c>
      <c r="D336" s="4"/>
      <c r="E336" s="4" t="str">
        <f>IFERROR(__xludf.DUMMYFUNCTION("""COMPUTED_VALUE"""),"Sin precio neto G.C.")</f>
        <v>Sin precio neto G.C.</v>
      </c>
    </row>
    <row r="337">
      <c r="A337" s="4" t="str">
        <f>IFERROR(__xludf.DUMMYFUNCTION("""COMPUTED_VALUE"""),"0321BA")</f>
        <v>0321BA</v>
      </c>
      <c r="B337" s="4" t="str">
        <f>IFERROR(__xludf.DUMMYFUNCTION("""COMPUTED_VALUE"""),"Cartel PVC 64x32 Fotolum. Salida emergencia abajo izq Minus")</f>
        <v>Cartel PVC 64x32 Fotolum. Salida emergencia abajo izq Minus</v>
      </c>
      <c r="C337" s="4">
        <f>IFERROR(__xludf.DUMMYFUNCTION("""COMPUTED_VALUE"""),4.48)</f>
        <v>4.48</v>
      </c>
      <c r="D337" s="4"/>
      <c r="E337" s="4" t="str">
        <f>IFERROR(__xludf.DUMMYFUNCTION("""COMPUTED_VALUE"""),"Sin precio neto G.C.")</f>
        <v>Sin precio neto G.C.</v>
      </c>
    </row>
    <row r="338">
      <c r="A338" s="4" t="str">
        <f>IFERROR(__xludf.DUMMYFUNCTION("""COMPUTED_VALUE"""),"0321C")</f>
        <v>0321C</v>
      </c>
      <c r="B338" s="4" t="str">
        <f>IFERROR(__xludf.DUMMYFUNCTION("""COMPUTED_VALUE"""),"Cartel PVC 96x48 Fotolum. Salida emergencia abajo izq")</f>
        <v>Cartel PVC 96x48 Fotolum. Salida emergencia abajo izq</v>
      </c>
      <c r="C338" s="4">
        <f>IFERROR(__xludf.DUMMYFUNCTION("""COMPUTED_VALUE"""),8.96)</f>
        <v>8.96</v>
      </c>
      <c r="D338" s="4"/>
      <c r="E338" s="4" t="str">
        <f>IFERROR(__xludf.DUMMYFUNCTION("""COMPUTED_VALUE"""),"Sin precio neto G.C.")</f>
        <v>Sin precio neto G.C.</v>
      </c>
    </row>
    <row r="339">
      <c r="A339" s="4" t="str">
        <f>IFERROR(__xludf.DUMMYFUNCTION("""COMPUTED_VALUE"""),"0321CA")</f>
        <v>0321CA</v>
      </c>
      <c r="B339" s="4" t="str">
        <f>IFERROR(__xludf.DUMMYFUNCTION("""COMPUTED_VALUE"""),"Cartel PVC 96x48 Fotolum. Salida emergencia abajo izq Minus")</f>
        <v>Cartel PVC 96x48 Fotolum. Salida emergencia abajo izq Minus</v>
      </c>
      <c r="C339" s="4">
        <f>IFERROR(__xludf.DUMMYFUNCTION("""COMPUTED_VALUE"""),8.96)</f>
        <v>8.96</v>
      </c>
      <c r="D339" s="4"/>
      <c r="E339" s="4" t="str">
        <f>IFERROR(__xludf.DUMMYFUNCTION("""COMPUTED_VALUE"""),"Sin precio neto G.C.")</f>
        <v>Sin precio neto G.C.</v>
      </c>
    </row>
    <row r="340">
      <c r="A340" s="4" t="str">
        <f>IFERROR(__xludf.DUMMYFUNCTION("""COMPUTED_VALUE"""),"322")</f>
        <v>322</v>
      </c>
      <c r="B340" s="4" t="str">
        <f>IFERROR(__xludf.DUMMYFUNCTION("""COMPUTED_VALUE"""),"Cartel PVC 21x30 Fotolum. Salida escalera arriba dcha.")</f>
        <v>Cartel PVC 21x30 Fotolum. Salida escalera arriba dcha.</v>
      </c>
      <c r="C340" s="4">
        <f>IFERROR(__xludf.DUMMYFUNCTION("""COMPUTED_VALUE"""),2.6)</f>
        <v>2.6</v>
      </c>
      <c r="D340" s="4">
        <f>IFERROR(__xludf.DUMMYFUNCTION("""COMPUTED_VALUE"""),2.1)</f>
        <v>2.1</v>
      </c>
      <c r="E340" s="4" t="str">
        <f>IFERROR(__xludf.DUMMYFUNCTION("""COMPUTED_VALUE"""),"Neto G.C.: 2,10 € (a partir de 1 uds.)")</f>
        <v>Neto G.C.: 2,10 € (a partir de 1 uds.)</v>
      </c>
    </row>
    <row r="341">
      <c r="A341" s="4" t="str">
        <f>IFERROR(__xludf.DUMMYFUNCTION("""COMPUTED_VALUE"""),"0322A")</f>
        <v>0322A</v>
      </c>
      <c r="B341" s="4" t="str">
        <f>IFERROR(__xludf.DUMMYFUNCTION("""COMPUTED_VALUE"""),"Cartel PVC 32x16 Fotolum. Salida emergencia arriba dcha.")</f>
        <v>Cartel PVC 32x16 Fotolum. Salida emergencia arriba dcha.</v>
      </c>
      <c r="C341" s="4">
        <f>IFERROR(__xludf.DUMMYFUNCTION("""COMPUTED_VALUE"""),2.25)</f>
        <v>2.25</v>
      </c>
      <c r="D341" s="4"/>
      <c r="E341" s="4" t="str">
        <f>IFERROR(__xludf.DUMMYFUNCTION("""COMPUTED_VALUE"""),"Sin precio neto G.C.")</f>
        <v>Sin precio neto G.C.</v>
      </c>
    </row>
    <row r="342">
      <c r="A342" s="4" t="str">
        <f>IFERROR(__xludf.DUMMYFUNCTION("""COMPUTED_VALUE"""),"0322AA")</f>
        <v>0322AA</v>
      </c>
      <c r="B342" s="4" t="str">
        <f>IFERROR(__xludf.DUMMYFUNCTION("""COMPUTED_VALUE"""),"Cartel PVC 32x16 Fotolum. Salida emergencia arriba dcha.")</f>
        <v>Cartel PVC 32x16 Fotolum. Salida emergencia arriba dcha.</v>
      </c>
      <c r="C342" s="4">
        <f>IFERROR(__xludf.DUMMYFUNCTION("""COMPUTED_VALUE"""),2.25)</f>
        <v>2.25</v>
      </c>
      <c r="D342" s="4"/>
      <c r="E342" s="4" t="str">
        <f>IFERROR(__xludf.DUMMYFUNCTION("""COMPUTED_VALUE"""),"Sin precio neto G.C.")</f>
        <v>Sin precio neto G.C.</v>
      </c>
    </row>
    <row r="343">
      <c r="A343" s="4" t="str">
        <f>IFERROR(__xludf.DUMMYFUNCTION("""COMPUTED_VALUE"""),"0322B")</f>
        <v>0322B</v>
      </c>
      <c r="B343" s="4" t="str">
        <f>IFERROR(__xludf.DUMMYFUNCTION("""COMPUTED_VALUE"""),"Cartel PVC 64x32 Fotolum. Salida emergencia arriba dcha.")</f>
        <v>Cartel PVC 64x32 Fotolum. Salida emergencia arriba dcha.</v>
      </c>
      <c r="C343" s="4">
        <f>IFERROR(__xludf.DUMMYFUNCTION("""COMPUTED_VALUE"""),4.48)</f>
        <v>4.48</v>
      </c>
      <c r="D343" s="4"/>
      <c r="E343" s="4" t="str">
        <f>IFERROR(__xludf.DUMMYFUNCTION("""COMPUTED_VALUE"""),"Sin precio neto G.C.")</f>
        <v>Sin precio neto G.C.</v>
      </c>
    </row>
    <row r="344">
      <c r="A344" s="4" t="str">
        <f>IFERROR(__xludf.DUMMYFUNCTION("""COMPUTED_VALUE"""),"0322BA")</f>
        <v>0322BA</v>
      </c>
      <c r="B344" s="4" t="str">
        <f>IFERROR(__xludf.DUMMYFUNCTION("""COMPUTED_VALUE"""),"Cartel PVC 64x32 Fotolum. Salida emergencia arriba")</f>
        <v>Cartel PVC 64x32 Fotolum. Salida emergencia arriba</v>
      </c>
      <c r="C344" s="4">
        <f>IFERROR(__xludf.DUMMYFUNCTION("""COMPUTED_VALUE"""),4.48)</f>
        <v>4.48</v>
      </c>
      <c r="D344" s="4"/>
      <c r="E344" s="4" t="str">
        <f>IFERROR(__xludf.DUMMYFUNCTION("""COMPUTED_VALUE"""),"Sin precio neto G.C.")</f>
        <v>Sin precio neto G.C.</v>
      </c>
    </row>
    <row r="345">
      <c r="A345" s="4" t="str">
        <f>IFERROR(__xludf.DUMMYFUNCTION("""COMPUTED_VALUE"""),"0322C")</f>
        <v>0322C</v>
      </c>
      <c r="B345" s="4" t="str">
        <f>IFERROR(__xludf.DUMMYFUNCTION("""COMPUTED_VALUE"""),"Cartel PVC 96x48 Fotolum. Salida emergencia arriba dcha.")</f>
        <v>Cartel PVC 96x48 Fotolum. Salida emergencia arriba dcha.</v>
      </c>
      <c r="C345" s="4">
        <f>IFERROR(__xludf.DUMMYFUNCTION("""COMPUTED_VALUE"""),8.96)</f>
        <v>8.96</v>
      </c>
      <c r="D345" s="4"/>
      <c r="E345" s="4" t="str">
        <f>IFERROR(__xludf.DUMMYFUNCTION("""COMPUTED_VALUE"""),"Sin precio neto G.C.")</f>
        <v>Sin precio neto G.C.</v>
      </c>
    </row>
    <row r="346">
      <c r="A346" s="4" t="str">
        <f>IFERROR(__xludf.DUMMYFUNCTION("""COMPUTED_VALUE"""),"0322CA")</f>
        <v>0322CA</v>
      </c>
      <c r="B346" s="4" t="str">
        <f>IFERROR(__xludf.DUMMYFUNCTION("""COMPUTED_VALUE"""),"Cartel PVC 96x48 Fotolum. Salida emergencia arriba dcha.")</f>
        <v>Cartel PVC 96x48 Fotolum. Salida emergencia arriba dcha.</v>
      </c>
      <c r="C346" s="4">
        <f>IFERROR(__xludf.DUMMYFUNCTION("""COMPUTED_VALUE"""),8.96)</f>
        <v>8.96</v>
      </c>
      <c r="D346" s="4"/>
      <c r="E346" s="4" t="str">
        <f>IFERROR(__xludf.DUMMYFUNCTION("""COMPUTED_VALUE"""),"Sin precio neto G.C.")</f>
        <v>Sin precio neto G.C.</v>
      </c>
    </row>
    <row r="347">
      <c r="A347" s="4" t="str">
        <f>IFERROR(__xludf.DUMMYFUNCTION("""COMPUTED_VALUE"""),"323")</f>
        <v>323</v>
      </c>
      <c r="B347" s="4" t="str">
        <f>IFERROR(__xludf.DUMMYFUNCTION("""COMPUTED_VALUE"""),"Cartel PVC 21x30 Fotolum. Salida escalera abajo dcha")</f>
        <v>Cartel PVC 21x30 Fotolum. Salida escalera abajo dcha</v>
      </c>
      <c r="C347" s="4">
        <f>IFERROR(__xludf.DUMMYFUNCTION("""COMPUTED_VALUE"""),2.6)</f>
        <v>2.6</v>
      </c>
      <c r="D347" s="4">
        <f>IFERROR(__xludf.DUMMYFUNCTION("""COMPUTED_VALUE"""),2.1)</f>
        <v>2.1</v>
      </c>
      <c r="E347" s="4" t="str">
        <f>IFERROR(__xludf.DUMMYFUNCTION("""COMPUTED_VALUE"""),"Neto G.C.: 2,10 € (a partir de 1 uds.)")</f>
        <v>Neto G.C.: 2,10 € (a partir de 1 uds.)</v>
      </c>
    </row>
    <row r="348">
      <c r="A348" s="4" t="str">
        <f>IFERROR(__xludf.DUMMYFUNCTION("""COMPUTED_VALUE"""),"324")</f>
        <v>324</v>
      </c>
      <c r="B348" s="4" t="str">
        <f>IFERROR(__xludf.DUMMYFUNCTION("""COMPUTED_VALUE"""),"Cartel PVC 21x30 Fotolum. Salida puerta dcha")</f>
        <v>Cartel PVC 21x30 Fotolum. Salida puerta dcha</v>
      </c>
      <c r="C348" s="4">
        <f>IFERROR(__xludf.DUMMYFUNCTION("""COMPUTED_VALUE"""),2.6)</f>
        <v>2.6</v>
      </c>
      <c r="D348" s="4">
        <f>IFERROR(__xludf.DUMMYFUNCTION("""COMPUTED_VALUE"""),2.1)</f>
        <v>2.1</v>
      </c>
      <c r="E348" s="4" t="str">
        <f>IFERROR(__xludf.DUMMYFUNCTION("""COMPUTED_VALUE"""),"Neto G.C.: 2,10 € (a partir de 1 uds.)")</f>
        <v>Neto G.C.: 2,10 € (a partir de 1 uds.)</v>
      </c>
    </row>
    <row r="349">
      <c r="A349" s="4" t="str">
        <f>IFERROR(__xludf.DUMMYFUNCTION("""COMPUTED_VALUE"""),"0324A")</f>
        <v>0324A</v>
      </c>
      <c r="B349" s="4" t="str">
        <f>IFERROR(__xludf.DUMMYFUNCTION("""COMPUTED_VALUE"""),"Cartel PVC 32x16 Fotolum. Salida de emergencia Pta. Derecha")</f>
        <v>Cartel PVC 32x16 Fotolum. Salida de emergencia Pta. Derecha</v>
      </c>
      <c r="C349" s="4">
        <f>IFERROR(__xludf.DUMMYFUNCTION("""COMPUTED_VALUE"""),2.25)</f>
        <v>2.25</v>
      </c>
      <c r="D349" s="4"/>
      <c r="E349" s="4" t="str">
        <f>IFERROR(__xludf.DUMMYFUNCTION("""COMPUTED_VALUE"""),"Sin precio neto G.C.")</f>
        <v>Sin precio neto G.C.</v>
      </c>
    </row>
    <row r="350">
      <c r="A350" s="4" t="str">
        <f>IFERROR(__xludf.DUMMYFUNCTION("""COMPUTED_VALUE"""),"0324AA")</f>
        <v>0324AA</v>
      </c>
      <c r="B350" s="4" t="str">
        <f>IFERROR(__xludf.DUMMYFUNCTION("""COMPUTED_VALUE"""),"Cartel PVC 32x16 Fotolum. Salida de emergencia Pta. Derecha")</f>
        <v>Cartel PVC 32x16 Fotolum. Salida de emergencia Pta. Derecha</v>
      </c>
      <c r="C350" s="4">
        <f>IFERROR(__xludf.DUMMYFUNCTION("""COMPUTED_VALUE"""),2.25)</f>
        <v>2.25</v>
      </c>
      <c r="D350" s="4"/>
      <c r="E350" s="4" t="str">
        <f>IFERROR(__xludf.DUMMYFUNCTION("""COMPUTED_VALUE"""),"Sin precio neto G.C.")</f>
        <v>Sin precio neto G.C.</v>
      </c>
    </row>
    <row r="351">
      <c r="A351" s="4" t="str">
        <f>IFERROR(__xludf.DUMMYFUNCTION("""COMPUTED_VALUE"""),"0324B")</f>
        <v>0324B</v>
      </c>
      <c r="B351" s="4" t="str">
        <f>IFERROR(__xludf.DUMMYFUNCTION("""COMPUTED_VALUE"""),"Cartel PVC 64x32 Fotolum. Salida de emergencia Pta. Derecha")</f>
        <v>Cartel PVC 64x32 Fotolum. Salida de emergencia Pta. Derecha</v>
      </c>
      <c r="C351" s="4">
        <f>IFERROR(__xludf.DUMMYFUNCTION("""COMPUTED_VALUE"""),4.48)</f>
        <v>4.48</v>
      </c>
      <c r="D351" s="4"/>
      <c r="E351" s="4" t="str">
        <f>IFERROR(__xludf.DUMMYFUNCTION("""COMPUTED_VALUE"""),"Sin precio neto G.C.")</f>
        <v>Sin precio neto G.C.</v>
      </c>
    </row>
    <row r="352">
      <c r="A352" s="4" t="str">
        <f>IFERROR(__xludf.DUMMYFUNCTION("""COMPUTED_VALUE"""),"0324BA")</f>
        <v>0324BA</v>
      </c>
      <c r="B352" s="4" t="str">
        <f>IFERROR(__xludf.DUMMYFUNCTION("""COMPUTED_VALUE"""),"Cartel PVC 64x32 Fotolum. Salida de emergencia Pta. Derecha")</f>
        <v>Cartel PVC 64x32 Fotolum. Salida de emergencia Pta. Derecha</v>
      </c>
      <c r="C352" s="4">
        <f>IFERROR(__xludf.DUMMYFUNCTION("""COMPUTED_VALUE"""),4.48)</f>
        <v>4.48</v>
      </c>
      <c r="D352" s="4"/>
      <c r="E352" s="4" t="str">
        <f>IFERROR(__xludf.DUMMYFUNCTION("""COMPUTED_VALUE"""),"Sin precio neto G.C.")</f>
        <v>Sin precio neto G.C.</v>
      </c>
    </row>
    <row r="353">
      <c r="A353" s="4" t="str">
        <f>IFERROR(__xludf.DUMMYFUNCTION("""COMPUTED_VALUE"""),"0324C")</f>
        <v>0324C</v>
      </c>
      <c r="B353" s="4" t="str">
        <f>IFERROR(__xludf.DUMMYFUNCTION("""COMPUTED_VALUE"""),"Cartel PVC 96x48 Fotolum. Salida de emergencia Pta. Derecha")</f>
        <v>Cartel PVC 96x48 Fotolum. Salida de emergencia Pta. Derecha</v>
      </c>
      <c r="C353" s="4">
        <f>IFERROR(__xludf.DUMMYFUNCTION("""COMPUTED_VALUE"""),8.96)</f>
        <v>8.96</v>
      </c>
      <c r="D353" s="4"/>
      <c r="E353" s="4" t="str">
        <f>IFERROR(__xludf.DUMMYFUNCTION("""COMPUTED_VALUE"""),"Sin precio neto G.C.")</f>
        <v>Sin precio neto G.C.</v>
      </c>
    </row>
    <row r="354">
      <c r="A354" s="4" t="str">
        <f>IFERROR(__xludf.DUMMYFUNCTION("""COMPUTED_VALUE"""),"0324CA")</f>
        <v>0324CA</v>
      </c>
      <c r="B354" s="4" t="str">
        <f>IFERROR(__xludf.DUMMYFUNCTION("""COMPUTED_VALUE"""),"Cartel PVC 96x48 Fotolum. Salida de emergencia Pta. Derecha")</f>
        <v>Cartel PVC 96x48 Fotolum. Salida de emergencia Pta. Derecha</v>
      </c>
      <c r="C354" s="4">
        <f>IFERROR(__xludf.DUMMYFUNCTION("""COMPUTED_VALUE"""),8.96)</f>
        <v>8.96</v>
      </c>
      <c r="D354" s="4"/>
      <c r="E354" s="4" t="str">
        <f>IFERROR(__xludf.DUMMYFUNCTION("""COMPUTED_VALUE"""),"Sin precio neto G.C.")</f>
        <v>Sin precio neto G.C.</v>
      </c>
    </row>
    <row r="355">
      <c r="A355" s="4" t="str">
        <f>IFERROR(__xludf.DUMMYFUNCTION("""COMPUTED_VALUE"""),"325")</f>
        <v>325</v>
      </c>
      <c r="B355" s="4" t="str">
        <f>IFERROR(__xludf.DUMMYFUNCTION("""COMPUTED_VALUE"""),"Cartel PVC 21x30 Fotolum. Salida puerta izq.")</f>
        <v>Cartel PVC 21x30 Fotolum. Salida puerta izq.</v>
      </c>
      <c r="C355" s="4">
        <f>IFERROR(__xludf.DUMMYFUNCTION("""COMPUTED_VALUE"""),2.6)</f>
        <v>2.6</v>
      </c>
      <c r="D355" s="4">
        <f>IFERROR(__xludf.DUMMYFUNCTION("""COMPUTED_VALUE"""),2.1)</f>
        <v>2.1</v>
      </c>
      <c r="E355" s="4" t="str">
        <f>IFERROR(__xludf.DUMMYFUNCTION("""COMPUTED_VALUE"""),"Neto G.C.: 2,10 € (a partir de 1 uds.)")</f>
        <v>Neto G.C.: 2,10 € (a partir de 1 uds.)</v>
      </c>
    </row>
    <row r="356">
      <c r="A356" s="4" t="str">
        <f>IFERROR(__xludf.DUMMYFUNCTION("""COMPUTED_VALUE"""),"0325A")</f>
        <v>0325A</v>
      </c>
      <c r="B356" s="4" t="str">
        <f>IFERROR(__xludf.DUMMYFUNCTION("""COMPUTED_VALUE"""),"Cartel PVC 32x16 Fotolum. Salida de emergencia Pta.")</f>
        <v>Cartel PVC 32x16 Fotolum. Salida de emergencia Pta.</v>
      </c>
      <c r="C356" s="4">
        <f>IFERROR(__xludf.DUMMYFUNCTION("""COMPUTED_VALUE"""),2.25)</f>
        <v>2.25</v>
      </c>
      <c r="D356" s="4"/>
      <c r="E356" s="4" t="str">
        <f>IFERROR(__xludf.DUMMYFUNCTION("""COMPUTED_VALUE"""),"Sin precio neto G.C.")</f>
        <v>Sin precio neto G.C.</v>
      </c>
    </row>
    <row r="357">
      <c r="A357" s="4" t="str">
        <f>IFERROR(__xludf.DUMMYFUNCTION("""COMPUTED_VALUE"""),"0325AA")</f>
        <v>0325AA</v>
      </c>
      <c r="B357" s="4" t="str">
        <f>IFERROR(__xludf.DUMMYFUNCTION("""COMPUTED_VALUE"""),"Cartel PVC 32x16 Fotolum. Salida de emergencia puerta izq.")</f>
        <v>Cartel PVC 32x16 Fotolum. Salida de emergencia puerta izq.</v>
      </c>
      <c r="C357" s="4">
        <f>IFERROR(__xludf.DUMMYFUNCTION("""COMPUTED_VALUE"""),2.25)</f>
        <v>2.25</v>
      </c>
      <c r="D357" s="4"/>
      <c r="E357" s="4" t="str">
        <f>IFERROR(__xludf.DUMMYFUNCTION("""COMPUTED_VALUE"""),"Sin precio neto G.C.")</f>
        <v>Sin precio neto G.C.</v>
      </c>
    </row>
    <row r="358">
      <c r="A358" s="4" t="str">
        <f>IFERROR(__xludf.DUMMYFUNCTION("""COMPUTED_VALUE"""),"0325B")</f>
        <v>0325B</v>
      </c>
      <c r="B358" s="4" t="str">
        <f>IFERROR(__xludf.DUMMYFUNCTION("""COMPUTED_VALUE"""),"Cartel PVC 64x32 Fotolum. Salida de emergencia Pta.")</f>
        <v>Cartel PVC 64x32 Fotolum. Salida de emergencia Pta.</v>
      </c>
      <c r="C358" s="4">
        <f>IFERROR(__xludf.DUMMYFUNCTION("""COMPUTED_VALUE"""),4.48)</f>
        <v>4.48</v>
      </c>
      <c r="D358" s="4"/>
      <c r="E358" s="4" t="str">
        <f>IFERROR(__xludf.DUMMYFUNCTION("""COMPUTED_VALUE"""),"Sin precio neto G.C.")</f>
        <v>Sin precio neto G.C.</v>
      </c>
    </row>
    <row r="359">
      <c r="A359" s="4" t="str">
        <f>IFERROR(__xludf.DUMMYFUNCTION("""COMPUTED_VALUE"""),"0325BA")</f>
        <v>0325BA</v>
      </c>
      <c r="B359" s="4" t="str">
        <f>IFERROR(__xludf.DUMMYFUNCTION("""COMPUTED_VALUE"""),"Cartel PVC 64x32 Fotolum. Salida de emergencia Pta. Izq.")</f>
        <v>Cartel PVC 64x32 Fotolum. Salida de emergencia Pta. Izq.</v>
      </c>
      <c r="C359" s="4">
        <f>IFERROR(__xludf.DUMMYFUNCTION("""COMPUTED_VALUE"""),4.48)</f>
        <v>4.48</v>
      </c>
      <c r="D359" s="4"/>
      <c r="E359" s="4" t="str">
        <f>IFERROR(__xludf.DUMMYFUNCTION("""COMPUTED_VALUE"""),"Sin precio neto G.C.")</f>
        <v>Sin precio neto G.C.</v>
      </c>
    </row>
    <row r="360">
      <c r="A360" s="4" t="str">
        <f>IFERROR(__xludf.DUMMYFUNCTION("""COMPUTED_VALUE"""),"0325C")</f>
        <v>0325C</v>
      </c>
      <c r="B360" s="4" t="str">
        <f>IFERROR(__xludf.DUMMYFUNCTION("""COMPUTED_VALUE"""),"Cartel PVC 96x48 Fotolum. Salida de emergencia Pta.")</f>
        <v>Cartel PVC 96x48 Fotolum. Salida de emergencia Pta.</v>
      </c>
      <c r="C360" s="4">
        <f>IFERROR(__xludf.DUMMYFUNCTION("""COMPUTED_VALUE"""),8.96)</f>
        <v>8.96</v>
      </c>
      <c r="D360" s="4"/>
      <c r="E360" s="4" t="str">
        <f>IFERROR(__xludf.DUMMYFUNCTION("""COMPUTED_VALUE"""),"Sin precio neto G.C.")</f>
        <v>Sin precio neto G.C.</v>
      </c>
    </row>
    <row r="361">
      <c r="A361" s="4" t="str">
        <f>IFERROR(__xludf.DUMMYFUNCTION("""COMPUTED_VALUE"""),"0325CA")</f>
        <v>0325CA</v>
      </c>
      <c r="B361" s="4" t="str">
        <f>IFERROR(__xludf.DUMMYFUNCTION("""COMPUTED_VALUE"""),"Cartel PVC 96x48 Fotolum. Salida de emergencia Pta. Izq")</f>
        <v>Cartel PVC 96x48 Fotolum. Salida de emergencia Pta. Izq</v>
      </c>
      <c r="C361" s="4">
        <f>IFERROR(__xludf.DUMMYFUNCTION("""COMPUTED_VALUE"""),8.96)</f>
        <v>8.96</v>
      </c>
      <c r="D361" s="4"/>
      <c r="E361" s="4" t="str">
        <f>IFERROR(__xludf.DUMMYFUNCTION("""COMPUTED_VALUE"""),"Sin precio neto G.C.")</f>
        <v>Sin precio neto G.C.</v>
      </c>
    </row>
    <row r="362">
      <c r="A362" s="4" t="str">
        <f>IFERROR(__xludf.DUMMYFUNCTION("""COMPUTED_VALUE"""),"326")</f>
        <v>326</v>
      </c>
      <c r="B362" s="4" t="str">
        <f>IFERROR(__xludf.DUMMYFUNCTION("""COMPUTED_VALUE"""),"Cartel PVC 21x30 Fotolum. Salida puerta abajo izq.")</f>
        <v>Cartel PVC 21x30 Fotolum. Salida puerta abajo izq.</v>
      </c>
      <c r="C362" s="4">
        <f>IFERROR(__xludf.DUMMYFUNCTION("""COMPUTED_VALUE"""),2.6)</f>
        <v>2.6</v>
      </c>
      <c r="D362" s="4">
        <f>IFERROR(__xludf.DUMMYFUNCTION("""COMPUTED_VALUE"""),2.1)</f>
        <v>2.1</v>
      </c>
      <c r="E362" s="4" t="str">
        <f>IFERROR(__xludf.DUMMYFUNCTION("""COMPUTED_VALUE"""),"Neto G.C.: 2,10 € (a partir de 1 uds.)")</f>
        <v>Neto G.C.: 2,10 € (a partir de 1 uds.)</v>
      </c>
    </row>
    <row r="363">
      <c r="A363" s="4" t="str">
        <f>IFERROR(__xludf.DUMMYFUNCTION("""COMPUTED_VALUE"""),"0326A")</f>
        <v>0326A</v>
      </c>
      <c r="B363" s="4" t="str">
        <f>IFERROR(__xludf.DUMMYFUNCTION("""COMPUTED_VALUE"""),"Cartel PVC 32x16 Fotolum. Salida de emergencia Pta. Abajo")</f>
        <v>Cartel PVC 32x16 Fotolum. Salida de emergencia Pta. Abajo</v>
      </c>
      <c r="C363" s="4">
        <f>IFERROR(__xludf.DUMMYFUNCTION("""COMPUTED_VALUE"""),2.25)</f>
        <v>2.25</v>
      </c>
      <c r="D363" s="4"/>
      <c r="E363" s="4" t="str">
        <f>IFERROR(__xludf.DUMMYFUNCTION("""COMPUTED_VALUE"""),"Sin precio neto G.C.")</f>
        <v>Sin precio neto G.C.</v>
      </c>
    </row>
    <row r="364">
      <c r="A364" s="4" t="str">
        <f>IFERROR(__xludf.DUMMYFUNCTION("""COMPUTED_VALUE"""),"0326AA")</f>
        <v>0326AA</v>
      </c>
      <c r="B364" s="4" t="str">
        <f>IFERROR(__xludf.DUMMYFUNCTION("""COMPUTED_VALUE"""),"Cartel PVC 32x16 Fotolum. Salida de emergencia Pta. Abajo")</f>
        <v>Cartel PVC 32x16 Fotolum. Salida de emergencia Pta. Abajo</v>
      </c>
      <c r="C364" s="4">
        <f>IFERROR(__xludf.DUMMYFUNCTION("""COMPUTED_VALUE"""),2.25)</f>
        <v>2.25</v>
      </c>
      <c r="D364" s="4"/>
      <c r="E364" s="4" t="str">
        <f>IFERROR(__xludf.DUMMYFUNCTION("""COMPUTED_VALUE"""),"Sin precio neto G.C.")</f>
        <v>Sin precio neto G.C.</v>
      </c>
    </row>
    <row r="365">
      <c r="A365" s="4" t="str">
        <f>IFERROR(__xludf.DUMMYFUNCTION("""COMPUTED_VALUE"""),"0326B")</f>
        <v>0326B</v>
      </c>
      <c r="B365" s="4" t="str">
        <f>IFERROR(__xludf.DUMMYFUNCTION("""COMPUTED_VALUE"""),"Cartel PVC 64x32 Fotolum. Salida de emergencia Pta. Abajo")</f>
        <v>Cartel PVC 64x32 Fotolum. Salida de emergencia Pta. Abajo</v>
      </c>
      <c r="C365" s="4">
        <f>IFERROR(__xludf.DUMMYFUNCTION("""COMPUTED_VALUE"""),4.48)</f>
        <v>4.48</v>
      </c>
      <c r="D365" s="4"/>
      <c r="E365" s="4" t="str">
        <f>IFERROR(__xludf.DUMMYFUNCTION("""COMPUTED_VALUE"""),"Sin precio neto G.C.")</f>
        <v>Sin precio neto G.C.</v>
      </c>
    </row>
    <row r="366">
      <c r="A366" s="4" t="str">
        <f>IFERROR(__xludf.DUMMYFUNCTION("""COMPUTED_VALUE"""),"0326BA")</f>
        <v>0326BA</v>
      </c>
      <c r="B366" s="4" t="str">
        <f>IFERROR(__xludf.DUMMYFUNCTION("""COMPUTED_VALUE"""),"Cartel PVC 64x32 Fotolum. Salida de emergencia Pta. Abajo")</f>
        <v>Cartel PVC 64x32 Fotolum. Salida de emergencia Pta. Abajo</v>
      </c>
      <c r="C366" s="4">
        <f>IFERROR(__xludf.DUMMYFUNCTION("""COMPUTED_VALUE"""),4.48)</f>
        <v>4.48</v>
      </c>
      <c r="D366" s="4"/>
      <c r="E366" s="4" t="str">
        <f>IFERROR(__xludf.DUMMYFUNCTION("""COMPUTED_VALUE"""),"Sin precio neto G.C.")</f>
        <v>Sin precio neto G.C.</v>
      </c>
    </row>
    <row r="367">
      <c r="A367" s="4" t="str">
        <f>IFERROR(__xludf.DUMMYFUNCTION("""COMPUTED_VALUE"""),"0326C")</f>
        <v>0326C</v>
      </c>
      <c r="B367" s="4" t="str">
        <f>IFERROR(__xludf.DUMMYFUNCTION("""COMPUTED_VALUE"""),"Cartel PVC 96x48 Fotolum. Salida de emergencia Pta. Abajo")</f>
        <v>Cartel PVC 96x48 Fotolum. Salida de emergencia Pta. Abajo</v>
      </c>
      <c r="C367" s="4">
        <f>IFERROR(__xludf.DUMMYFUNCTION("""COMPUTED_VALUE"""),8.96)</f>
        <v>8.96</v>
      </c>
      <c r="D367" s="4"/>
      <c r="E367" s="4" t="str">
        <f>IFERROR(__xludf.DUMMYFUNCTION("""COMPUTED_VALUE"""),"Sin precio neto G.C.")</f>
        <v>Sin precio neto G.C.</v>
      </c>
    </row>
    <row r="368">
      <c r="A368" s="4" t="str">
        <f>IFERROR(__xludf.DUMMYFUNCTION("""COMPUTED_VALUE"""),"0326CA")</f>
        <v>0326CA</v>
      </c>
      <c r="B368" s="4" t="str">
        <f>IFERROR(__xludf.DUMMYFUNCTION("""COMPUTED_VALUE"""),"Cartel PVC 96x48 Fotolum. Salida de emergencia Pta. Abajo")</f>
        <v>Cartel PVC 96x48 Fotolum. Salida de emergencia Pta. Abajo</v>
      </c>
      <c r="C368" s="4">
        <f>IFERROR(__xludf.DUMMYFUNCTION("""COMPUTED_VALUE"""),8.96)</f>
        <v>8.96</v>
      </c>
      <c r="D368" s="4"/>
      <c r="E368" s="4" t="str">
        <f>IFERROR(__xludf.DUMMYFUNCTION("""COMPUTED_VALUE"""),"Sin precio neto G.C.")</f>
        <v>Sin precio neto G.C.</v>
      </c>
    </row>
    <row r="369">
      <c r="A369" s="4" t="str">
        <f>IFERROR(__xludf.DUMMYFUNCTION("""COMPUTED_VALUE"""),"327")</f>
        <v>327</v>
      </c>
      <c r="B369" s="4" t="str">
        <f>IFERROR(__xludf.DUMMYFUNCTION("""COMPUTED_VALUE"""),"Cartel PVC 21x30 Fotolum.puerta abajo dcha")</f>
        <v>Cartel PVC 21x30 Fotolum.puerta abajo dcha</v>
      </c>
      <c r="C369" s="4">
        <f>IFERROR(__xludf.DUMMYFUNCTION("""COMPUTED_VALUE"""),2.6)</f>
        <v>2.6</v>
      </c>
      <c r="D369" s="4">
        <f>IFERROR(__xludf.DUMMYFUNCTION("""COMPUTED_VALUE"""),2.1)</f>
        <v>2.1</v>
      </c>
      <c r="E369" s="4" t="str">
        <f>IFERROR(__xludf.DUMMYFUNCTION("""COMPUTED_VALUE"""),"Neto G.C.: 2,10 € (a partir de 1 uds.)")</f>
        <v>Neto G.C.: 2,10 € (a partir de 1 uds.)</v>
      </c>
    </row>
    <row r="370">
      <c r="A370" s="4" t="str">
        <f>IFERROR(__xludf.DUMMYFUNCTION("""COMPUTED_VALUE"""),"0327A")</f>
        <v>0327A</v>
      </c>
      <c r="B370" s="4" t="str">
        <f>IFERROR(__xludf.DUMMYFUNCTION("""COMPUTED_VALUE"""),"Cartel PVC 32x16 Fotolum. Salida de emergencia Pta. Abajo")</f>
        <v>Cartel PVC 32x16 Fotolum. Salida de emergencia Pta. Abajo</v>
      </c>
      <c r="C370" s="4">
        <f>IFERROR(__xludf.DUMMYFUNCTION("""COMPUTED_VALUE"""),2.25)</f>
        <v>2.25</v>
      </c>
      <c r="D370" s="4"/>
      <c r="E370" s="4" t="str">
        <f>IFERROR(__xludf.DUMMYFUNCTION("""COMPUTED_VALUE"""),"Sin precio neto G.C.")</f>
        <v>Sin precio neto G.C.</v>
      </c>
    </row>
    <row r="371">
      <c r="A371" s="4" t="str">
        <f>IFERROR(__xludf.DUMMYFUNCTION("""COMPUTED_VALUE"""),"0327AA")</f>
        <v>0327AA</v>
      </c>
      <c r="B371" s="4" t="str">
        <f>IFERROR(__xludf.DUMMYFUNCTION("""COMPUTED_VALUE"""),"Cartel PVC 32x16 Fotolum. Salida de emergencia Pta. Abajo")</f>
        <v>Cartel PVC 32x16 Fotolum. Salida de emergencia Pta. Abajo</v>
      </c>
      <c r="C371" s="4">
        <f>IFERROR(__xludf.DUMMYFUNCTION("""COMPUTED_VALUE"""),2.25)</f>
        <v>2.25</v>
      </c>
      <c r="D371" s="4"/>
      <c r="E371" s="4" t="str">
        <f>IFERROR(__xludf.DUMMYFUNCTION("""COMPUTED_VALUE"""),"Sin precio neto G.C.")</f>
        <v>Sin precio neto G.C.</v>
      </c>
    </row>
    <row r="372">
      <c r="A372" s="4" t="str">
        <f>IFERROR(__xludf.DUMMYFUNCTION("""COMPUTED_VALUE"""),"0327B")</f>
        <v>0327B</v>
      </c>
      <c r="B372" s="4" t="str">
        <f>IFERROR(__xludf.DUMMYFUNCTION("""COMPUTED_VALUE"""),"Cartel PVC 64x32 Fotolum. Salida de emergencia Pta. Abajo")</f>
        <v>Cartel PVC 64x32 Fotolum. Salida de emergencia Pta. Abajo</v>
      </c>
      <c r="C372" s="4">
        <f>IFERROR(__xludf.DUMMYFUNCTION("""COMPUTED_VALUE"""),4.48)</f>
        <v>4.48</v>
      </c>
      <c r="D372" s="4"/>
      <c r="E372" s="4" t="str">
        <f>IFERROR(__xludf.DUMMYFUNCTION("""COMPUTED_VALUE"""),"Sin precio neto G.C.")</f>
        <v>Sin precio neto G.C.</v>
      </c>
    </row>
    <row r="373">
      <c r="A373" s="4" t="str">
        <f>IFERROR(__xludf.DUMMYFUNCTION("""COMPUTED_VALUE"""),"0327BA")</f>
        <v>0327BA</v>
      </c>
      <c r="B373" s="4" t="str">
        <f>IFERROR(__xludf.DUMMYFUNCTION("""COMPUTED_VALUE"""),"Cartel PVC 64x32 Fotolum. Salida de emergencia Pta. Abajo")</f>
        <v>Cartel PVC 64x32 Fotolum. Salida de emergencia Pta. Abajo</v>
      </c>
      <c r="C373" s="4">
        <f>IFERROR(__xludf.DUMMYFUNCTION("""COMPUTED_VALUE"""),4.48)</f>
        <v>4.48</v>
      </c>
      <c r="D373" s="4"/>
      <c r="E373" s="4" t="str">
        <f>IFERROR(__xludf.DUMMYFUNCTION("""COMPUTED_VALUE"""),"Sin precio neto G.C.")</f>
        <v>Sin precio neto G.C.</v>
      </c>
    </row>
    <row r="374">
      <c r="A374" s="4" t="str">
        <f>IFERROR(__xludf.DUMMYFUNCTION("""COMPUTED_VALUE"""),"0327C")</f>
        <v>0327C</v>
      </c>
      <c r="B374" s="4" t="str">
        <f>IFERROR(__xludf.DUMMYFUNCTION("""COMPUTED_VALUE"""),"Cartel PVC 96x48 Fotolum. Salida de emergencia Pta. Abajo")</f>
        <v>Cartel PVC 96x48 Fotolum. Salida de emergencia Pta. Abajo</v>
      </c>
      <c r="C374" s="4">
        <f>IFERROR(__xludf.DUMMYFUNCTION("""COMPUTED_VALUE"""),8.96)</f>
        <v>8.96</v>
      </c>
      <c r="D374" s="4"/>
      <c r="E374" s="4" t="str">
        <f>IFERROR(__xludf.DUMMYFUNCTION("""COMPUTED_VALUE"""),"Sin precio neto G.C.")</f>
        <v>Sin precio neto G.C.</v>
      </c>
    </row>
    <row r="375">
      <c r="A375" s="4" t="str">
        <f>IFERROR(__xludf.DUMMYFUNCTION("""COMPUTED_VALUE"""),"0327CA")</f>
        <v>0327CA</v>
      </c>
      <c r="B375" s="4" t="str">
        <f>IFERROR(__xludf.DUMMYFUNCTION("""COMPUTED_VALUE"""),"Cartel PVC 96x48 Fotolum. Salida de emergencia Pta. Abajo")</f>
        <v>Cartel PVC 96x48 Fotolum. Salida de emergencia Pta. Abajo</v>
      </c>
      <c r="C375" s="4">
        <f>IFERROR(__xludf.DUMMYFUNCTION("""COMPUTED_VALUE"""),8.96)</f>
        <v>8.96</v>
      </c>
      <c r="D375" s="4"/>
      <c r="E375" s="4" t="str">
        <f>IFERROR(__xludf.DUMMYFUNCTION("""COMPUTED_VALUE"""),"Sin precio neto G.C.")</f>
        <v>Sin precio neto G.C.</v>
      </c>
    </row>
    <row r="376">
      <c r="A376" s="4" t="str">
        <f>IFERROR(__xludf.DUMMYFUNCTION("""COMPUTED_VALUE"""),"328")</f>
        <v>328</v>
      </c>
      <c r="B376" s="4" t="str">
        <f>IFERROR(__xludf.DUMMYFUNCTION("""COMPUTED_VALUE"""),"Cartel PVC 21x30 Fotolum. Aseos hombres")</f>
        <v>Cartel PVC 21x30 Fotolum. Aseos hombres</v>
      </c>
      <c r="C376" s="4">
        <f>IFERROR(__xludf.DUMMYFUNCTION("""COMPUTED_VALUE"""),2.6)</f>
        <v>2.6</v>
      </c>
      <c r="D376" s="4">
        <f>IFERROR(__xludf.DUMMYFUNCTION("""COMPUTED_VALUE"""),2.1)</f>
        <v>2.1</v>
      </c>
      <c r="E376" s="4" t="str">
        <f>IFERROR(__xludf.DUMMYFUNCTION("""COMPUTED_VALUE"""),"Neto G.C.: 2,10 € (a partir de 1 uds.)")</f>
        <v>Neto G.C.: 2,10 € (a partir de 1 uds.)</v>
      </c>
    </row>
    <row r="377">
      <c r="A377" s="4" t="str">
        <f>IFERROR(__xludf.DUMMYFUNCTION("""COMPUTED_VALUE"""),"0328A")</f>
        <v>0328A</v>
      </c>
      <c r="B377" s="4" t="str">
        <f>IFERROR(__xludf.DUMMYFUNCTION("""COMPUTED_VALUE"""),"Cartel PVC 21x30 Fotolum. Aseos masculino")</f>
        <v>Cartel PVC 21x30 Fotolum. Aseos masculino</v>
      </c>
      <c r="C377" s="4">
        <f>IFERROR(__xludf.DUMMYFUNCTION("""COMPUTED_VALUE"""),2.52)</f>
        <v>2.52</v>
      </c>
      <c r="D377" s="4">
        <f>IFERROR(__xludf.DUMMYFUNCTION("""COMPUTED_VALUE"""),2.1)</f>
        <v>2.1</v>
      </c>
      <c r="E377" s="4" t="str">
        <f>IFERROR(__xludf.DUMMYFUNCTION("""COMPUTED_VALUE"""),"Neto G.C.: 2,10 € (a partir de 1 uds.)")</f>
        <v>Neto G.C.: 2,10 € (a partir de 1 uds.)</v>
      </c>
    </row>
    <row r="378">
      <c r="A378" s="4" t="str">
        <f>IFERROR(__xludf.DUMMYFUNCTION("""COMPUTED_VALUE"""),"0328B")</f>
        <v>0328B</v>
      </c>
      <c r="B378" s="4" t="str">
        <f>IFERROR(__xludf.DUMMYFUNCTION("""COMPUTED_VALUE"""),"Cartel PVC 40x30 Fotolum. Aseos Masculino")</f>
        <v>Cartel PVC 40x30 Fotolum. Aseos Masculino</v>
      </c>
      <c r="C378" s="4">
        <f>IFERROR(__xludf.DUMMYFUNCTION("""COMPUTED_VALUE"""),3.1)</f>
        <v>3.1</v>
      </c>
      <c r="D378" s="4">
        <f>IFERROR(__xludf.DUMMYFUNCTION("""COMPUTED_VALUE"""),3.2)</f>
        <v>3.2</v>
      </c>
      <c r="E378" s="4" t="str">
        <f>IFERROR(__xludf.DUMMYFUNCTION("""COMPUTED_VALUE"""),"Neto G.C.: 3,20 € (a partir de 1 uds.)")</f>
        <v>Neto G.C.: 3,20 € (a partir de 1 uds.)</v>
      </c>
    </row>
    <row r="379">
      <c r="A379" s="4" t="str">
        <f>IFERROR(__xludf.DUMMYFUNCTION("""COMPUTED_VALUE"""),"329")</f>
        <v>329</v>
      </c>
      <c r="B379" s="4" t="str">
        <f>IFERROR(__xludf.DUMMYFUNCTION("""COMPUTED_VALUE"""),"Cartel PVC 21x30 Fotolum. Aseos mujeres")</f>
        <v>Cartel PVC 21x30 Fotolum. Aseos mujeres</v>
      </c>
      <c r="C379" s="4">
        <f>IFERROR(__xludf.DUMMYFUNCTION("""COMPUTED_VALUE"""),2.6)</f>
        <v>2.6</v>
      </c>
      <c r="D379" s="4">
        <f>IFERROR(__xludf.DUMMYFUNCTION("""COMPUTED_VALUE"""),2.1)</f>
        <v>2.1</v>
      </c>
      <c r="E379" s="4" t="str">
        <f>IFERROR(__xludf.DUMMYFUNCTION("""COMPUTED_VALUE"""),"Neto G.C.: 2,10 € (a partir de 1 uds.)")</f>
        <v>Neto G.C.: 2,10 € (a partir de 1 uds.)</v>
      </c>
    </row>
    <row r="380">
      <c r="A380" s="4" t="str">
        <f>IFERROR(__xludf.DUMMYFUNCTION("""COMPUTED_VALUE"""),"0329A")</f>
        <v>0329A</v>
      </c>
      <c r="B380" s="4" t="str">
        <f>IFERROR(__xludf.DUMMYFUNCTION("""COMPUTED_VALUE"""),"Cartel PVC 21x30 Fotolum. Aseos femenino")</f>
        <v>Cartel PVC 21x30 Fotolum. Aseos femenino</v>
      </c>
      <c r="C380" s="4">
        <f>IFERROR(__xludf.DUMMYFUNCTION("""COMPUTED_VALUE"""),2.52)</f>
        <v>2.52</v>
      </c>
      <c r="D380" s="4">
        <f>IFERROR(__xludf.DUMMYFUNCTION("""COMPUTED_VALUE"""),2.1)</f>
        <v>2.1</v>
      </c>
      <c r="E380" s="4" t="str">
        <f>IFERROR(__xludf.DUMMYFUNCTION("""COMPUTED_VALUE"""),"Neto G.C.: 2,10 € (a partir de 1 uds.)")</f>
        <v>Neto G.C.: 2,10 € (a partir de 1 uds.)</v>
      </c>
    </row>
    <row r="381">
      <c r="A381" s="4" t="str">
        <f>IFERROR(__xludf.DUMMYFUNCTION("""COMPUTED_VALUE"""),"0329B")</f>
        <v>0329B</v>
      </c>
      <c r="B381" s="4" t="str">
        <f>IFERROR(__xludf.DUMMYFUNCTION("""COMPUTED_VALUE"""),"Cartel PVC 40x30 Fotolum. Aseos femenino")</f>
        <v>Cartel PVC 40x30 Fotolum. Aseos femenino</v>
      </c>
      <c r="C381" s="4">
        <f>IFERROR(__xludf.DUMMYFUNCTION("""COMPUTED_VALUE"""),3.1)</f>
        <v>3.1</v>
      </c>
      <c r="D381" s="4">
        <f>IFERROR(__xludf.DUMMYFUNCTION("""COMPUTED_VALUE"""),3.2)</f>
        <v>3.2</v>
      </c>
      <c r="E381" s="4" t="str">
        <f>IFERROR(__xludf.DUMMYFUNCTION("""COMPUTED_VALUE"""),"Neto G.C.: 3,20 € (a partir de 1 uds.)")</f>
        <v>Neto G.C.: 3,20 € (a partir de 1 uds.)</v>
      </c>
    </row>
    <row r="382">
      <c r="A382" s="4" t="str">
        <f>IFERROR(__xludf.DUMMYFUNCTION("""COMPUTED_VALUE"""),"330")</f>
        <v>330</v>
      </c>
      <c r="B382" s="4" t="str">
        <f>IFERROR(__xludf.DUMMYFUNCTION("""COMPUTED_VALUE"""),"Cartel PVC 21x30 Fotolum. Mujeres/Hombres")</f>
        <v>Cartel PVC 21x30 Fotolum. Mujeres/Hombres</v>
      </c>
      <c r="C382" s="4">
        <f>IFERROR(__xludf.DUMMYFUNCTION("""COMPUTED_VALUE"""),2.6)</f>
        <v>2.6</v>
      </c>
      <c r="D382" s="4">
        <f>IFERROR(__xludf.DUMMYFUNCTION("""COMPUTED_VALUE"""),2.1)</f>
        <v>2.1</v>
      </c>
      <c r="E382" s="4" t="str">
        <f>IFERROR(__xludf.DUMMYFUNCTION("""COMPUTED_VALUE"""),"Neto G.C.: 2,10 € (a partir de 1 uds.)")</f>
        <v>Neto G.C.: 2,10 € (a partir de 1 uds.)</v>
      </c>
    </row>
    <row r="383">
      <c r="A383" s="4" t="str">
        <f>IFERROR(__xludf.DUMMYFUNCTION("""COMPUTED_VALUE"""),"0330A")</f>
        <v>0330A</v>
      </c>
      <c r="B383" s="4" t="str">
        <f>IFERROR(__xludf.DUMMYFUNCTION("""COMPUTED_VALUE"""),"Cartel PVC 21x30 Fotolum. Aseos mixtos")</f>
        <v>Cartel PVC 21x30 Fotolum. Aseos mixtos</v>
      </c>
      <c r="C383" s="4">
        <f>IFERROR(__xludf.DUMMYFUNCTION("""COMPUTED_VALUE"""),2.52)</f>
        <v>2.52</v>
      </c>
      <c r="D383" s="4">
        <f>IFERROR(__xludf.DUMMYFUNCTION("""COMPUTED_VALUE"""),2.1)</f>
        <v>2.1</v>
      </c>
      <c r="E383" s="4" t="str">
        <f>IFERROR(__xludf.DUMMYFUNCTION("""COMPUTED_VALUE"""),"Neto G.C.: 2,10 € (a partir de 1 uds.)")</f>
        <v>Neto G.C.: 2,10 € (a partir de 1 uds.)</v>
      </c>
    </row>
    <row r="384">
      <c r="A384" s="4" t="str">
        <f>IFERROR(__xludf.DUMMYFUNCTION("""COMPUTED_VALUE"""),"0330B")</f>
        <v>0330B</v>
      </c>
      <c r="B384" s="4" t="str">
        <f>IFERROR(__xludf.DUMMYFUNCTION("""COMPUTED_VALUE"""),"Cartel PVC 40x30 Fotolum. Aseos mixtos")</f>
        <v>Cartel PVC 40x30 Fotolum. Aseos mixtos</v>
      </c>
      <c r="C384" s="4">
        <f>IFERROR(__xludf.DUMMYFUNCTION("""COMPUTED_VALUE"""),3.1)</f>
        <v>3.1</v>
      </c>
      <c r="D384" s="4">
        <f>IFERROR(__xludf.DUMMYFUNCTION("""COMPUTED_VALUE"""),3.2)</f>
        <v>3.2</v>
      </c>
      <c r="E384" s="4" t="str">
        <f>IFERROR(__xludf.DUMMYFUNCTION("""COMPUTED_VALUE"""),"Neto G.C.: 3,20 € (a partir de 1 uds.)")</f>
        <v>Neto G.C.: 3,20 € (a partir de 1 uds.)</v>
      </c>
    </row>
    <row r="385">
      <c r="A385" s="4" t="str">
        <f>IFERROR(__xludf.DUMMYFUNCTION("""COMPUTED_VALUE"""),"331")</f>
        <v>331</v>
      </c>
      <c r="B385" s="4" t="str">
        <f>IFERROR(__xludf.DUMMYFUNCTION("""COMPUTED_VALUE"""),"Cartel PVC 21x29 Fotolum. HIDRANTE")</f>
        <v>Cartel PVC 21x29 Fotolum. HIDRANTE</v>
      </c>
      <c r="C385" s="4">
        <f>IFERROR(__xludf.DUMMYFUNCTION("""COMPUTED_VALUE"""),2.6)</f>
        <v>2.6</v>
      </c>
      <c r="D385" s="4">
        <f>IFERROR(__xludf.DUMMYFUNCTION("""COMPUTED_VALUE"""),2.1)</f>
        <v>2.1</v>
      </c>
      <c r="E385" s="4" t="str">
        <f>IFERROR(__xludf.DUMMYFUNCTION("""COMPUTED_VALUE"""),"Neto G.C.: 2,10 € (a partir de 1 uds.)")</f>
        <v>Neto G.C.: 2,10 € (a partir de 1 uds.)</v>
      </c>
    </row>
    <row r="386">
      <c r="A386" s="4" t="str">
        <f>IFERROR(__xludf.DUMMYFUNCTION("""COMPUTED_VALUE"""),"332")</f>
        <v>332</v>
      </c>
      <c r="B386" s="4" t="str">
        <f>IFERROR(__xludf.DUMMYFUNCTION("""COMPUTED_VALUE"""),"Cartel PVC 21x30 Fotolum. Salida Emerg. puerta dcha")</f>
        <v>Cartel PVC 21x30 Fotolum. Salida Emerg. puerta dcha</v>
      </c>
      <c r="C386" s="4">
        <f>IFERROR(__xludf.DUMMYFUNCTION("""COMPUTED_VALUE"""),2.6)</f>
        <v>2.6</v>
      </c>
      <c r="D386" s="4">
        <f>IFERROR(__xludf.DUMMYFUNCTION("""COMPUTED_VALUE"""),2.1)</f>
        <v>2.1</v>
      </c>
      <c r="E386" s="4" t="str">
        <f>IFERROR(__xludf.DUMMYFUNCTION("""COMPUTED_VALUE"""),"Neto G.C.: 2,10 € (a partir de 1 uds.)")</f>
        <v>Neto G.C.: 2,10 € (a partir de 1 uds.)</v>
      </c>
    </row>
    <row r="387">
      <c r="A387" s="4" t="str">
        <f>IFERROR(__xludf.DUMMYFUNCTION("""COMPUTED_VALUE"""),"333")</f>
        <v>333</v>
      </c>
      <c r="B387" s="4" t="str">
        <f>IFERROR(__xludf.DUMMYFUNCTION("""COMPUTED_VALUE"""),"Cartel PVC 21x30 Fotolum. Salida Emerg. puerta abajo dcha.")</f>
        <v>Cartel PVC 21x30 Fotolum. Salida Emerg. puerta abajo dcha.</v>
      </c>
      <c r="C387" s="4">
        <f>IFERROR(__xludf.DUMMYFUNCTION("""COMPUTED_VALUE"""),2.6)</f>
        <v>2.6</v>
      </c>
      <c r="D387" s="4">
        <f>IFERROR(__xludf.DUMMYFUNCTION("""COMPUTED_VALUE"""),2.1)</f>
        <v>2.1</v>
      </c>
      <c r="E387" s="4" t="str">
        <f>IFERROR(__xludf.DUMMYFUNCTION("""COMPUTED_VALUE"""),"Neto G.C.: 2,10 € (a partir de 1 uds.)")</f>
        <v>Neto G.C.: 2,10 € (a partir de 1 uds.)</v>
      </c>
    </row>
    <row r="388">
      <c r="A388" s="4" t="str">
        <f>IFERROR(__xludf.DUMMYFUNCTION("""COMPUTED_VALUE"""),"334")</f>
        <v>334</v>
      </c>
      <c r="B388" s="4" t="str">
        <f>IFERROR(__xludf.DUMMYFUNCTION("""COMPUTED_VALUE"""),"Cartel PVC 21x30 Fotolum. Salida Emerg. puerta izq.")</f>
        <v>Cartel PVC 21x30 Fotolum. Salida Emerg. puerta izq.</v>
      </c>
      <c r="C388" s="4">
        <f>IFERROR(__xludf.DUMMYFUNCTION("""COMPUTED_VALUE"""),2.6)</f>
        <v>2.6</v>
      </c>
      <c r="D388" s="4">
        <f>IFERROR(__xludf.DUMMYFUNCTION("""COMPUTED_VALUE"""),2.1)</f>
        <v>2.1</v>
      </c>
      <c r="E388" s="4" t="str">
        <f>IFERROR(__xludf.DUMMYFUNCTION("""COMPUTED_VALUE"""),"Neto G.C.: 2,10 € (a partir de 1 uds.)")</f>
        <v>Neto G.C.: 2,10 € (a partir de 1 uds.)</v>
      </c>
    </row>
    <row r="389">
      <c r="A389" s="4" t="str">
        <f>IFERROR(__xludf.DUMMYFUNCTION("""COMPUTED_VALUE"""),"335")</f>
        <v>335</v>
      </c>
      <c r="B389" s="4" t="str">
        <f>IFERROR(__xludf.DUMMYFUNCTION("""COMPUTED_VALUE"""),"Cartel PVC 21x30 Fotolum. Salida Emerg. puerta abajo izq.")</f>
        <v>Cartel PVC 21x30 Fotolum. Salida Emerg. puerta abajo izq.</v>
      </c>
      <c r="C389" s="4">
        <f>IFERROR(__xludf.DUMMYFUNCTION("""COMPUTED_VALUE"""),2.6)</f>
        <v>2.6</v>
      </c>
      <c r="D389" s="4">
        <f>IFERROR(__xludf.DUMMYFUNCTION("""COMPUTED_VALUE"""),2.1)</f>
        <v>2.1</v>
      </c>
      <c r="E389" s="4" t="str">
        <f>IFERROR(__xludf.DUMMYFUNCTION("""COMPUTED_VALUE"""),"Neto G.C.: 2,10 € (a partir de 1 uds.)")</f>
        <v>Neto G.C.: 2,10 € (a partir de 1 uds.)</v>
      </c>
    </row>
    <row r="390">
      <c r="A390" s="4" t="str">
        <f>IFERROR(__xludf.DUMMYFUNCTION("""COMPUTED_VALUE"""),"336")</f>
        <v>336</v>
      </c>
      <c r="B390" s="4" t="str">
        <f>IFERROR(__xludf.DUMMYFUNCTION("""COMPUTED_VALUE"""),"Cartel PVC 21x30 Fotolum. Salida Emerg. escalera abajo izq.")</f>
        <v>Cartel PVC 21x30 Fotolum. Salida Emerg. escalera abajo izq.</v>
      </c>
      <c r="C390" s="4">
        <f>IFERROR(__xludf.DUMMYFUNCTION("""COMPUTED_VALUE"""),2.6)</f>
        <v>2.6</v>
      </c>
      <c r="D390" s="4">
        <f>IFERROR(__xludf.DUMMYFUNCTION("""COMPUTED_VALUE"""),2.1)</f>
        <v>2.1</v>
      </c>
      <c r="E390" s="4" t="str">
        <f>IFERROR(__xludf.DUMMYFUNCTION("""COMPUTED_VALUE"""),"Neto G.C.: 2,10 € (a partir de 1 uds.)")</f>
        <v>Neto G.C.: 2,10 € (a partir de 1 uds.)</v>
      </c>
    </row>
    <row r="391">
      <c r="A391" s="4" t="str">
        <f>IFERROR(__xludf.DUMMYFUNCTION("""COMPUTED_VALUE"""),"0336A")</f>
        <v>0336A</v>
      </c>
      <c r="B391" s="4" t="str">
        <f>IFERROR(__xludf.DUMMYFUNCTION("""COMPUTED_VALUE"""),"Cartel PVC 32x16 Fotolum. Escal. de emergencia izq abajo")</f>
        <v>Cartel PVC 32x16 Fotolum. Escal. de emergencia izq abajo</v>
      </c>
      <c r="C391" s="4">
        <f>IFERROR(__xludf.DUMMYFUNCTION("""COMPUTED_VALUE"""),2.25)</f>
        <v>2.25</v>
      </c>
      <c r="D391" s="4"/>
      <c r="E391" s="4" t="str">
        <f>IFERROR(__xludf.DUMMYFUNCTION("""COMPUTED_VALUE"""),"Sin precio neto G.C.")</f>
        <v>Sin precio neto G.C.</v>
      </c>
    </row>
    <row r="392">
      <c r="A392" s="4" t="str">
        <f>IFERROR(__xludf.DUMMYFUNCTION("""COMPUTED_VALUE"""),"0336B")</f>
        <v>0336B</v>
      </c>
      <c r="B392" s="4" t="str">
        <f>IFERROR(__xludf.DUMMYFUNCTION("""COMPUTED_VALUE"""),"Cartel PVC 64x32 Fotolum. Escal. de emergencia izq abajo")</f>
        <v>Cartel PVC 64x32 Fotolum. Escal. de emergencia izq abajo</v>
      </c>
      <c r="C392" s="4">
        <f>IFERROR(__xludf.DUMMYFUNCTION("""COMPUTED_VALUE"""),4.48)</f>
        <v>4.48</v>
      </c>
      <c r="D392" s="4"/>
      <c r="E392" s="4" t="str">
        <f>IFERROR(__xludf.DUMMYFUNCTION("""COMPUTED_VALUE"""),"Sin precio neto G.C.")</f>
        <v>Sin precio neto G.C.</v>
      </c>
    </row>
    <row r="393">
      <c r="A393" s="4" t="str">
        <f>IFERROR(__xludf.DUMMYFUNCTION("""COMPUTED_VALUE"""),"337")</f>
        <v>337</v>
      </c>
      <c r="B393" s="4" t="str">
        <f>IFERROR(__xludf.DUMMYFUNCTION("""COMPUTED_VALUE"""),"Cartel PVC 21x30 Fotolum. Salida Emerg.escalera arriba dcha.")</f>
        <v>Cartel PVC 21x30 Fotolum. Salida Emerg.escalera arriba dcha.</v>
      </c>
      <c r="C393" s="4">
        <f>IFERROR(__xludf.DUMMYFUNCTION("""COMPUTED_VALUE"""),2.6)</f>
        <v>2.6</v>
      </c>
      <c r="D393" s="4">
        <f>IFERROR(__xludf.DUMMYFUNCTION("""COMPUTED_VALUE"""),2.1)</f>
        <v>2.1</v>
      </c>
      <c r="E393" s="4" t="str">
        <f>IFERROR(__xludf.DUMMYFUNCTION("""COMPUTED_VALUE"""),"Neto G.C.: 2,10 € (a partir de 1 uds.)")</f>
        <v>Neto G.C.: 2,10 € (a partir de 1 uds.)</v>
      </c>
    </row>
    <row r="394">
      <c r="A394" s="4" t="str">
        <f>IFERROR(__xludf.DUMMYFUNCTION("""COMPUTED_VALUE"""),"0337A")</f>
        <v>0337A</v>
      </c>
      <c r="B394" s="4" t="str">
        <f>IFERROR(__xludf.DUMMYFUNCTION("""COMPUTED_VALUE"""),"Cartel PVC 32x16 Fotolum. Escal. de emergencia dcha arriba")</f>
        <v>Cartel PVC 32x16 Fotolum. Escal. de emergencia dcha arriba</v>
      </c>
      <c r="C394" s="4">
        <f>IFERROR(__xludf.DUMMYFUNCTION("""COMPUTED_VALUE"""),2.25)</f>
        <v>2.25</v>
      </c>
      <c r="D394" s="4"/>
      <c r="E394" s="4" t="str">
        <f>IFERROR(__xludf.DUMMYFUNCTION("""COMPUTED_VALUE"""),"Sin precio neto G.C.")</f>
        <v>Sin precio neto G.C.</v>
      </c>
    </row>
    <row r="395">
      <c r="A395" s="4" t="str">
        <f>IFERROR(__xludf.DUMMYFUNCTION("""COMPUTED_VALUE"""),"0337B")</f>
        <v>0337B</v>
      </c>
      <c r="B395" s="4" t="str">
        <f>IFERROR(__xludf.DUMMYFUNCTION("""COMPUTED_VALUE"""),"Cartel PVC 64x32 Fotolum. Escal. de emergencia dcha arriba")</f>
        <v>Cartel PVC 64x32 Fotolum. Escal. de emergencia dcha arriba</v>
      </c>
      <c r="C395" s="4">
        <f>IFERROR(__xludf.DUMMYFUNCTION("""COMPUTED_VALUE"""),4.48)</f>
        <v>4.48</v>
      </c>
      <c r="D395" s="4"/>
      <c r="E395" s="4" t="str">
        <f>IFERROR(__xludf.DUMMYFUNCTION("""COMPUTED_VALUE"""),"Sin precio neto G.C.")</f>
        <v>Sin precio neto G.C.</v>
      </c>
    </row>
    <row r="396">
      <c r="A396" s="4" t="str">
        <f>IFERROR(__xludf.DUMMYFUNCTION("""COMPUTED_VALUE"""),"0337C")</f>
        <v>0337C</v>
      </c>
      <c r="B396" s="4" t="str">
        <f>IFERROR(__xludf.DUMMYFUNCTION("""COMPUTED_VALUE"""),"Cartel PVC 96x48 Fotolum. Escal. de emergencia dcha arriba")</f>
        <v>Cartel PVC 96x48 Fotolum. Escal. de emergencia dcha arriba</v>
      </c>
      <c r="C396" s="4">
        <f>IFERROR(__xludf.DUMMYFUNCTION("""COMPUTED_VALUE"""),8.96)</f>
        <v>8.96</v>
      </c>
      <c r="D396" s="4"/>
      <c r="E396" s="4" t="str">
        <f>IFERROR(__xludf.DUMMYFUNCTION("""COMPUTED_VALUE"""),"Sin precio neto G.C.")</f>
        <v>Sin precio neto G.C.</v>
      </c>
    </row>
    <row r="397">
      <c r="A397" s="4" t="str">
        <f>IFERROR(__xludf.DUMMYFUNCTION("""COMPUTED_VALUE"""),"338")</f>
        <v>338</v>
      </c>
      <c r="B397" s="4" t="str">
        <f>IFERROR(__xludf.DUMMYFUNCTION("""COMPUTED_VALUE"""),"Cartel PVC 21x30 Fotolum. Salida Emerg. escalera abajo dcha")</f>
        <v>Cartel PVC 21x30 Fotolum. Salida Emerg. escalera abajo dcha</v>
      </c>
      <c r="C397" s="4">
        <f>IFERROR(__xludf.DUMMYFUNCTION("""COMPUTED_VALUE"""),2.6)</f>
        <v>2.6</v>
      </c>
      <c r="D397" s="4">
        <f>IFERROR(__xludf.DUMMYFUNCTION("""COMPUTED_VALUE"""),2.1)</f>
        <v>2.1</v>
      </c>
      <c r="E397" s="4" t="str">
        <f>IFERROR(__xludf.DUMMYFUNCTION("""COMPUTED_VALUE"""),"Neto G.C.: 2,10 € (a partir de 1 uds.)")</f>
        <v>Neto G.C.: 2,10 € (a partir de 1 uds.)</v>
      </c>
    </row>
    <row r="398">
      <c r="A398" s="4" t="str">
        <f>IFERROR(__xludf.DUMMYFUNCTION("""COMPUTED_VALUE"""),"0338A")</f>
        <v>0338A</v>
      </c>
      <c r="B398" s="4" t="str">
        <f>IFERROR(__xludf.DUMMYFUNCTION("""COMPUTED_VALUE"""),"Cartel PVC 32x16 Fotolum. Escal. de emergencia dcha abajo")</f>
        <v>Cartel PVC 32x16 Fotolum. Escal. de emergencia dcha abajo</v>
      </c>
      <c r="C398" s="4">
        <f>IFERROR(__xludf.DUMMYFUNCTION("""COMPUTED_VALUE"""),2.25)</f>
        <v>2.25</v>
      </c>
      <c r="D398" s="4"/>
      <c r="E398" s="4" t="str">
        <f>IFERROR(__xludf.DUMMYFUNCTION("""COMPUTED_VALUE"""),"Sin precio neto G.C.")</f>
        <v>Sin precio neto G.C.</v>
      </c>
    </row>
    <row r="399">
      <c r="A399" s="4" t="str">
        <f>IFERROR(__xludf.DUMMYFUNCTION("""COMPUTED_VALUE"""),"0338B")</f>
        <v>0338B</v>
      </c>
      <c r="B399" s="4" t="str">
        <f>IFERROR(__xludf.DUMMYFUNCTION("""COMPUTED_VALUE"""),"Cartel PVC 64x32 Fotolum. Escal. de emergencia dcha abajo")</f>
        <v>Cartel PVC 64x32 Fotolum. Escal. de emergencia dcha abajo</v>
      </c>
      <c r="C399" s="4">
        <f>IFERROR(__xludf.DUMMYFUNCTION("""COMPUTED_VALUE"""),4.48)</f>
        <v>4.48</v>
      </c>
      <c r="D399" s="4"/>
      <c r="E399" s="4" t="str">
        <f>IFERROR(__xludf.DUMMYFUNCTION("""COMPUTED_VALUE"""),"Sin precio neto G.C.")</f>
        <v>Sin precio neto G.C.</v>
      </c>
    </row>
    <row r="400">
      <c r="A400" s="4" t="str">
        <f>IFERROR(__xludf.DUMMYFUNCTION("""COMPUTED_VALUE"""),"339")</f>
        <v>339</v>
      </c>
      <c r="B400" s="4" t="str">
        <f>IFERROR(__xludf.DUMMYFUNCTION("""COMPUTED_VALUE"""),"Cartel PVC 21x30 Fotolum. Salida Emerg. escalera arriba izq.")</f>
        <v>Cartel PVC 21x30 Fotolum. Salida Emerg. escalera arriba izq.</v>
      </c>
      <c r="C400" s="4">
        <f>IFERROR(__xludf.DUMMYFUNCTION("""COMPUTED_VALUE"""),2.6)</f>
        <v>2.6</v>
      </c>
      <c r="D400" s="4">
        <f>IFERROR(__xludf.DUMMYFUNCTION("""COMPUTED_VALUE"""),2.1)</f>
        <v>2.1</v>
      </c>
      <c r="E400" s="4" t="str">
        <f>IFERROR(__xludf.DUMMYFUNCTION("""COMPUTED_VALUE"""),"Neto G.C.: 2,10 € (a partir de 1 uds.)")</f>
        <v>Neto G.C.: 2,10 € (a partir de 1 uds.)</v>
      </c>
    </row>
    <row r="401">
      <c r="A401" s="4" t="str">
        <f>IFERROR(__xludf.DUMMYFUNCTION("""COMPUTED_VALUE"""),"0339A")</f>
        <v>0339A</v>
      </c>
      <c r="B401" s="4" t="str">
        <f>IFERROR(__xludf.DUMMYFUNCTION("""COMPUTED_VALUE"""),"Cartel PVC 32x16 Fotolum. Escal. de emergencia izq arriba")</f>
        <v>Cartel PVC 32x16 Fotolum. Escal. de emergencia izq arriba</v>
      </c>
      <c r="C401" s="4">
        <f>IFERROR(__xludf.DUMMYFUNCTION("""COMPUTED_VALUE"""),2.25)</f>
        <v>2.25</v>
      </c>
      <c r="D401" s="4"/>
      <c r="E401" s="4" t="str">
        <f>IFERROR(__xludf.DUMMYFUNCTION("""COMPUTED_VALUE"""),"Sin precio neto G.C.")</f>
        <v>Sin precio neto G.C.</v>
      </c>
    </row>
    <row r="402">
      <c r="A402" s="4" t="str">
        <f>IFERROR(__xludf.DUMMYFUNCTION("""COMPUTED_VALUE"""),"0339B")</f>
        <v>0339B</v>
      </c>
      <c r="B402" s="4" t="str">
        <f>IFERROR(__xludf.DUMMYFUNCTION("""COMPUTED_VALUE"""),"Cartel PVC 64x32 Fotolum. Escal. de emergencia izq arriba")</f>
        <v>Cartel PVC 64x32 Fotolum. Escal. de emergencia izq arriba</v>
      </c>
      <c r="C402" s="4">
        <f>IFERROR(__xludf.DUMMYFUNCTION("""COMPUTED_VALUE"""),4.48)</f>
        <v>4.48</v>
      </c>
      <c r="D402" s="4"/>
      <c r="E402" s="4" t="str">
        <f>IFERROR(__xludf.DUMMYFUNCTION("""COMPUTED_VALUE"""),"Sin precio neto G.C.")</f>
        <v>Sin precio neto G.C.</v>
      </c>
    </row>
    <row r="403">
      <c r="A403" s="4" t="str">
        <f>IFERROR(__xludf.DUMMYFUNCTION("""COMPUTED_VALUE"""),"0339C")</f>
        <v>0339C</v>
      </c>
      <c r="B403" s="4" t="str">
        <f>IFERROR(__xludf.DUMMYFUNCTION("""COMPUTED_VALUE"""),"Cartel PVC 96x48 Fotolum. Escal. de emergencia izq arriba")</f>
        <v>Cartel PVC 96x48 Fotolum. Escal. de emergencia izq arriba</v>
      </c>
      <c r="C403" s="4">
        <f>IFERROR(__xludf.DUMMYFUNCTION("""COMPUTED_VALUE"""),8.96)</f>
        <v>8.96</v>
      </c>
      <c r="D403" s="4"/>
      <c r="E403" s="4" t="str">
        <f>IFERROR(__xludf.DUMMYFUNCTION("""COMPUTED_VALUE"""),"Sin precio neto G.C.")</f>
        <v>Sin precio neto G.C.</v>
      </c>
    </row>
    <row r="404">
      <c r="A404" s="4" t="str">
        <f>IFERROR(__xludf.DUMMYFUNCTION("""COMPUTED_VALUE"""),"340")</f>
        <v>340</v>
      </c>
      <c r="B404" s="4" t="str">
        <f>IFERROR(__xludf.DUMMYFUNCTION("""COMPUTED_VALUE"""),"Cartel PVC 40x30 Fotolum. SALIDA")</f>
        <v>Cartel PVC 40x30 Fotolum. SALIDA</v>
      </c>
      <c r="C404" s="4">
        <f>IFERROR(__xludf.DUMMYFUNCTION("""COMPUTED_VALUE"""),3.35)</f>
        <v>3.35</v>
      </c>
      <c r="D404" s="4">
        <f>IFERROR(__xludf.DUMMYFUNCTION("""COMPUTED_VALUE"""),3.2)</f>
        <v>3.2</v>
      </c>
      <c r="E404" s="4" t="str">
        <f>IFERROR(__xludf.DUMMYFUNCTION("""COMPUTED_VALUE"""),"Neto G.C.: 3,20 € (a partir de 1 uds.)")</f>
        <v>Neto G.C.: 3,20 € (a partir de 1 uds.)</v>
      </c>
    </row>
    <row r="405">
      <c r="A405" s="4" t="str">
        <f>IFERROR(__xludf.DUMMYFUNCTION("""COMPUTED_VALUE"""),"342")</f>
        <v>342</v>
      </c>
      <c r="B405" s="4" t="str">
        <f>IFERROR(__xludf.DUMMYFUNCTION("""COMPUTED_VALUE"""),"Cartel PVC 40x60 Riesgo de Incendio")</f>
        <v>Cartel PVC 40x60 Riesgo de Incendio</v>
      </c>
      <c r="C405" s="4">
        <f>IFERROR(__xludf.DUMMYFUNCTION("""COMPUTED_VALUE"""),4.75)</f>
        <v>4.75</v>
      </c>
      <c r="D405" s="4"/>
      <c r="E405" s="4" t="str">
        <f>IFERROR(__xludf.DUMMYFUNCTION("""COMPUTED_VALUE"""),"Sin precio neto G.C.")</f>
        <v>Sin precio neto G.C.</v>
      </c>
    </row>
    <row r="406">
      <c r="A406" s="4" t="str">
        <f>IFERROR(__xludf.DUMMYFUNCTION("""COMPUTED_VALUE"""),"343")</f>
        <v>343</v>
      </c>
      <c r="B406" s="4" t="str">
        <f>IFERROR(__xludf.DUMMYFUNCTION("""COMPUTED_VALUE"""),"Cartel PVC 21x30 Fotolum. Extintor")</f>
        <v>Cartel PVC 21x30 Fotolum. Extintor</v>
      </c>
      <c r="C406" s="4">
        <f>IFERROR(__xludf.DUMMYFUNCTION("""COMPUTED_VALUE"""),2.6)</f>
        <v>2.6</v>
      </c>
      <c r="D406" s="4">
        <f>IFERROR(__xludf.DUMMYFUNCTION("""COMPUTED_VALUE"""),2.1)</f>
        <v>2.1</v>
      </c>
      <c r="E406" s="4" t="str">
        <f>IFERROR(__xludf.DUMMYFUNCTION("""COMPUTED_VALUE"""),"Neto G.C.: 2,10 € (a partir de 1 uds.)")</f>
        <v>Neto G.C.: 2,10 € (a partir de 1 uds.)</v>
      </c>
    </row>
    <row r="407">
      <c r="A407" s="4" t="str">
        <f>IFERROR(__xludf.DUMMYFUNCTION("""COMPUTED_VALUE"""),"0343A")</f>
        <v>0343A</v>
      </c>
      <c r="B407" s="4" t="str">
        <f>IFERROR(__xludf.DUMMYFUNCTION("""COMPUTED_VALUE"""),"Cartel PVC 21x30 Fotolum. Extintor")</f>
        <v>Cartel PVC 21x30 Fotolum. Extintor</v>
      </c>
      <c r="C407" s="4">
        <f>IFERROR(__xludf.DUMMYFUNCTION("""COMPUTED_VALUE"""),2.52)</f>
        <v>2.52</v>
      </c>
      <c r="D407" s="4">
        <f>IFERROR(__xludf.DUMMYFUNCTION("""COMPUTED_VALUE"""),2.1)</f>
        <v>2.1</v>
      </c>
      <c r="E407" s="4" t="str">
        <f>IFERROR(__xludf.DUMMYFUNCTION("""COMPUTED_VALUE"""),"Neto G.C.: 2,10 € (a partir de 1 uds.)")</f>
        <v>Neto G.C.: 2,10 € (a partir de 1 uds.)</v>
      </c>
    </row>
    <row r="408">
      <c r="A408" s="4" t="str">
        <f>IFERROR(__xludf.DUMMYFUNCTION("""COMPUTED_VALUE"""),"0343B")</f>
        <v>0343B</v>
      </c>
      <c r="B408" s="4" t="str">
        <f>IFERROR(__xludf.DUMMYFUNCTION("""COMPUTED_VALUE"""),"Cartel PVC 40x30 Fotolum. Extintor")</f>
        <v>Cartel PVC 40x30 Fotolum. Extintor</v>
      </c>
      <c r="C408" s="4">
        <f>IFERROR(__xludf.DUMMYFUNCTION("""COMPUTED_VALUE"""),3.1)</f>
        <v>3.1</v>
      </c>
      <c r="D408" s="4">
        <f>IFERROR(__xludf.DUMMYFUNCTION("""COMPUTED_VALUE"""),3.2)</f>
        <v>3.2</v>
      </c>
      <c r="E408" s="4" t="str">
        <f>IFERROR(__xludf.DUMMYFUNCTION("""COMPUTED_VALUE"""),"Neto G.C.: 3,20 € (a partir de 1 uds.)")</f>
        <v>Neto G.C.: 3,20 € (a partir de 1 uds.)</v>
      </c>
    </row>
    <row r="409">
      <c r="A409" s="4" t="str">
        <f>IFERROR(__xludf.DUMMYFUNCTION("""COMPUTED_VALUE"""),"0343CO")</f>
        <v>0343CO</v>
      </c>
      <c r="B409" s="4" t="str">
        <f>IFERROR(__xludf.DUMMYFUNCTION("""COMPUTED_VALUE"""),"Cartel PVC 21x30 Fotolum. Extintor Co2")</f>
        <v>Cartel PVC 21x30 Fotolum. Extintor Co2</v>
      </c>
      <c r="C409" s="4">
        <f>IFERROR(__xludf.DUMMYFUNCTION("""COMPUTED_VALUE"""),2.6)</f>
        <v>2.6</v>
      </c>
      <c r="D409" s="4">
        <f>IFERROR(__xludf.DUMMYFUNCTION("""COMPUTED_VALUE"""),2.1)</f>
        <v>2.1</v>
      </c>
      <c r="E409" s="4" t="str">
        <f>IFERROR(__xludf.DUMMYFUNCTION("""COMPUTED_VALUE"""),"Neto G.C.: 2,10 € (a partir de 1 uds.)")</f>
        <v>Neto G.C.: 2,10 € (a partir de 1 uds.)</v>
      </c>
    </row>
    <row r="410">
      <c r="A410" s="4" t="str">
        <f>IFERROR(__xludf.DUMMYFUNCTION("""COMPUTED_VALUE"""),"344")</f>
        <v>344</v>
      </c>
      <c r="B410" s="4" t="str">
        <f>IFERROR(__xludf.DUMMYFUNCTION("""COMPUTED_VALUE"""),"Cartel PVC 21x30 Fotolum. Salida")</f>
        <v>Cartel PVC 21x30 Fotolum. Salida</v>
      </c>
      <c r="C410" s="4">
        <f>IFERROR(__xludf.DUMMYFUNCTION("""COMPUTED_VALUE"""),2.6)</f>
        <v>2.6</v>
      </c>
      <c r="D410" s="4">
        <f>IFERROR(__xludf.DUMMYFUNCTION("""COMPUTED_VALUE"""),2.1)</f>
        <v>2.1</v>
      </c>
      <c r="E410" s="4" t="str">
        <f>IFERROR(__xludf.DUMMYFUNCTION("""COMPUTED_VALUE"""),"Neto G.C.: 2,10 € (a partir de 1 uds.)")</f>
        <v>Neto G.C.: 2,10 € (a partir de 1 uds.)</v>
      </c>
    </row>
    <row r="411">
      <c r="A411" s="4" t="str">
        <f>IFERROR(__xludf.DUMMYFUNCTION("""COMPUTED_VALUE"""),"0344A")</f>
        <v>0344A</v>
      </c>
      <c r="B411" s="4" t="str">
        <f>IFERROR(__xludf.DUMMYFUNCTION("""COMPUTED_VALUE"""),"Cartel PVC 32x16 Fotolum. Salida")</f>
        <v>Cartel PVC 32x16 Fotolum. Salida</v>
      </c>
      <c r="C411" s="4">
        <f>IFERROR(__xludf.DUMMYFUNCTION("""COMPUTED_VALUE"""),2.25)</f>
        <v>2.25</v>
      </c>
      <c r="D411" s="4"/>
      <c r="E411" s="4" t="str">
        <f>IFERROR(__xludf.DUMMYFUNCTION("""COMPUTED_VALUE"""),"Sin precio neto G.C.")</f>
        <v>Sin precio neto G.C.</v>
      </c>
    </row>
    <row r="412">
      <c r="A412" s="4" t="str">
        <f>IFERROR(__xludf.DUMMYFUNCTION("""COMPUTED_VALUE"""),"0344B")</f>
        <v>0344B</v>
      </c>
      <c r="B412" s="4" t="str">
        <f>IFERROR(__xludf.DUMMYFUNCTION("""COMPUTED_VALUE"""),"Cartel PVC 64x32 Fotolum. Salida")</f>
        <v>Cartel PVC 64x32 Fotolum. Salida</v>
      </c>
      <c r="C412" s="4">
        <f>IFERROR(__xludf.DUMMYFUNCTION("""COMPUTED_VALUE"""),4.48)</f>
        <v>4.48</v>
      </c>
      <c r="D412" s="4"/>
      <c r="E412" s="4" t="str">
        <f>IFERROR(__xludf.DUMMYFUNCTION("""COMPUTED_VALUE"""),"Sin precio neto G.C.")</f>
        <v>Sin precio neto G.C.</v>
      </c>
    </row>
    <row r="413">
      <c r="A413" s="4" t="str">
        <f>IFERROR(__xludf.DUMMYFUNCTION("""COMPUTED_VALUE"""),"345")</f>
        <v>345</v>
      </c>
      <c r="B413" s="4" t="str">
        <f>IFERROR(__xludf.DUMMYFUNCTION("""COMPUTED_VALUE"""),"Señal PVC 21x29 Fotolum. avisador sonoro")</f>
        <v>Señal PVC 21x29 Fotolum. avisador sonoro</v>
      </c>
      <c r="C413" s="4">
        <f>IFERROR(__xludf.DUMMYFUNCTION("""COMPUTED_VALUE"""),2.6)</f>
        <v>2.6</v>
      </c>
      <c r="D413" s="4">
        <f>IFERROR(__xludf.DUMMYFUNCTION("""COMPUTED_VALUE"""),2.1)</f>
        <v>2.1</v>
      </c>
      <c r="E413" s="4" t="str">
        <f>IFERROR(__xludf.DUMMYFUNCTION("""COMPUTED_VALUE"""),"Neto G.C.: 2,10 € (a partir de 1 uds.)")</f>
        <v>Neto G.C.: 2,10 € (a partir de 1 uds.)</v>
      </c>
    </row>
    <row r="414">
      <c r="A414" s="4" t="str">
        <f>IFERROR(__xludf.DUMMYFUNCTION("""COMPUTED_VALUE"""),"346")</f>
        <v>346</v>
      </c>
      <c r="B414" s="4" t="str">
        <f>IFERROR(__xludf.DUMMYFUNCTION("""COMPUTED_VALUE"""),"Cartel PVC 21x30 Fotolum. Extintor dcha")</f>
        <v>Cartel PVC 21x30 Fotolum. Extintor dcha</v>
      </c>
      <c r="C414" s="4">
        <f>IFERROR(__xludf.DUMMYFUNCTION("""COMPUTED_VALUE"""),2.6)</f>
        <v>2.6</v>
      </c>
      <c r="D414" s="4">
        <f>IFERROR(__xludf.DUMMYFUNCTION("""COMPUTED_VALUE"""),2.1)</f>
        <v>2.1</v>
      </c>
      <c r="E414" s="4" t="str">
        <f>IFERROR(__xludf.DUMMYFUNCTION("""COMPUTED_VALUE"""),"Neto G.C.: 2,10 € (a partir de 1 uds.)")</f>
        <v>Neto G.C.: 2,10 € (a partir de 1 uds.)</v>
      </c>
    </row>
    <row r="415">
      <c r="A415" s="4" t="str">
        <f>IFERROR(__xludf.DUMMYFUNCTION("""COMPUTED_VALUE"""),"0346A")</f>
        <v>0346A</v>
      </c>
      <c r="B415" s="4" t="str">
        <f>IFERROR(__xludf.DUMMYFUNCTION("""COMPUTED_VALUE"""),"Cartel PVC 32x16 Fotolum. Extintor derecha")</f>
        <v>Cartel PVC 32x16 Fotolum. Extintor derecha</v>
      </c>
      <c r="C415" s="4">
        <f>IFERROR(__xludf.DUMMYFUNCTION("""COMPUTED_VALUE"""),2.25)</f>
        <v>2.25</v>
      </c>
      <c r="D415" s="4"/>
      <c r="E415" s="4" t="str">
        <f>IFERROR(__xludf.DUMMYFUNCTION("""COMPUTED_VALUE"""),"Sin precio neto G.C.")</f>
        <v>Sin precio neto G.C.</v>
      </c>
    </row>
    <row r="416">
      <c r="A416" s="4" t="str">
        <f>IFERROR(__xludf.DUMMYFUNCTION("""COMPUTED_VALUE"""),"0346B")</f>
        <v>0346B</v>
      </c>
      <c r="B416" s="4" t="str">
        <f>IFERROR(__xludf.DUMMYFUNCTION("""COMPUTED_VALUE"""),"Cartel PVC 64x32 Fotolum. Extintor derecha")</f>
        <v>Cartel PVC 64x32 Fotolum. Extintor derecha</v>
      </c>
      <c r="C416" s="4">
        <f>IFERROR(__xludf.DUMMYFUNCTION("""COMPUTED_VALUE"""),4.48)</f>
        <v>4.48</v>
      </c>
      <c r="D416" s="4"/>
      <c r="E416" s="4" t="str">
        <f>IFERROR(__xludf.DUMMYFUNCTION("""COMPUTED_VALUE"""),"Sin precio neto G.C.")</f>
        <v>Sin precio neto G.C.</v>
      </c>
    </row>
    <row r="417">
      <c r="A417" s="4" t="str">
        <f>IFERROR(__xludf.DUMMYFUNCTION("""COMPUTED_VALUE"""),"0346C")</f>
        <v>0346C</v>
      </c>
      <c r="B417" s="4" t="str">
        <f>IFERROR(__xludf.DUMMYFUNCTION("""COMPUTED_VALUE"""),"Cartel PVC 96x48 Fotolum. Extintor derecha")</f>
        <v>Cartel PVC 96x48 Fotolum. Extintor derecha</v>
      </c>
      <c r="C417" s="4">
        <f>IFERROR(__xludf.DUMMYFUNCTION("""COMPUTED_VALUE"""),8.96)</f>
        <v>8.96</v>
      </c>
      <c r="D417" s="4"/>
      <c r="E417" s="4" t="str">
        <f>IFERROR(__xludf.DUMMYFUNCTION("""COMPUTED_VALUE"""),"Sin precio neto G.C.")</f>
        <v>Sin precio neto G.C.</v>
      </c>
    </row>
    <row r="418">
      <c r="A418" s="4" t="str">
        <f>IFERROR(__xludf.DUMMYFUNCTION("""COMPUTED_VALUE"""),"347")</f>
        <v>347</v>
      </c>
      <c r="B418" s="4" t="str">
        <f>IFERROR(__xludf.DUMMYFUNCTION("""COMPUTED_VALUE"""),"Cartel PVC 21x30 Fotolum. Extintor Izq.")</f>
        <v>Cartel PVC 21x30 Fotolum. Extintor Izq.</v>
      </c>
      <c r="C418" s="4">
        <f>IFERROR(__xludf.DUMMYFUNCTION("""COMPUTED_VALUE"""),2.6)</f>
        <v>2.6</v>
      </c>
      <c r="D418" s="4">
        <f>IFERROR(__xludf.DUMMYFUNCTION("""COMPUTED_VALUE"""),2.1)</f>
        <v>2.1</v>
      </c>
      <c r="E418" s="4" t="str">
        <f>IFERROR(__xludf.DUMMYFUNCTION("""COMPUTED_VALUE"""),"Neto G.C.: 2,10 € (a partir de 1 uds.)")</f>
        <v>Neto G.C.: 2,10 € (a partir de 1 uds.)</v>
      </c>
    </row>
    <row r="419">
      <c r="A419" s="4" t="str">
        <f>IFERROR(__xludf.DUMMYFUNCTION("""COMPUTED_VALUE"""),"0347A")</f>
        <v>0347A</v>
      </c>
      <c r="B419" s="4" t="str">
        <f>IFERROR(__xludf.DUMMYFUNCTION("""COMPUTED_VALUE"""),"Cartel PVC 32x16 Fotolum. Extintor izquierda")</f>
        <v>Cartel PVC 32x16 Fotolum. Extintor izquierda</v>
      </c>
      <c r="C419" s="4">
        <f>IFERROR(__xludf.DUMMYFUNCTION("""COMPUTED_VALUE"""),2.25)</f>
        <v>2.25</v>
      </c>
      <c r="D419" s="4"/>
      <c r="E419" s="4" t="str">
        <f>IFERROR(__xludf.DUMMYFUNCTION("""COMPUTED_VALUE"""),"Sin precio neto G.C.")</f>
        <v>Sin precio neto G.C.</v>
      </c>
    </row>
    <row r="420">
      <c r="A420" s="4" t="str">
        <f>IFERROR(__xludf.DUMMYFUNCTION("""COMPUTED_VALUE"""),"0347B")</f>
        <v>0347B</v>
      </c>
      <c r="B420" s="4" t="str">
        <f>IFERROR(__xludf.DUMMYFUNCTION("""COMPUTED_VALUE"""),"Cartel PVC 64x32 Fotolum. Extintor izquierda")</f>
        <v>Cartel PVC 64x32 Fotolum. Extintor izquierda</v>
      </c>
      <c r="C420" s="4">
        <f>IFERROR(__xludf.DUMMYFUNCTION("""COMPUTED_VALUE"""),4.48)</f>
        <v>4.48</v>
      </c>
      <c r="D420" s="4"/>
      <c r="E420" s="4" t="str">
        <f>IFERROR(__xludf.DUMMYFUNCTION("""COMPUTED_VALUE"""),"Sin precio neto G.C.")</f>
        <v>Sin precio neto G.C.</v>
      </c>
    </row>
    <row r="421">
      <c r="A421" s="4" t="str">
        <f>IFERROR(__xludf.DUMMYFUNCTION("""COMPUTED_VALUE"""),"0347C")</f>
        <v>0347C</v>
      </c>
      <c r="B421" s="4" t="str">
        <f>IFERROR(__xludf.DUMMYFUNCTION("""COMPUTED_VALUE"""),"Cartel PVC 96x48 Fotolum. Extintor izquierda")</f>
        <v>Cartel PVC 96x48 Fotolum. Extintor izquierda</v>
      </c>
      <c r="C421" s="4">
        <f>IFERROR(__xludf.DUMMYFUNCTION("""COMPUTED_VALUE"""),8.96)</f>
        <v>8.96</v>
      </c>
      <c r="D421" s="4"/>
      <c r="E421" s="4" t="str">
        <f>IFERROR(__xludf.DUMMYFUNCTION("""COMPUTED_VALUE"""),"Sin precio neto G.C.")</f>
        <v>Sin precio neto G.C.</v>
      </c>
    </row>
    <row r="422">
      <c r="A422" s="4" t="str">
        <f>IFERROR(__xludf.DUMMYFUNCTION("""COMPUTED_VALUE"""),"348")</f>
        <v>348</v>
      </c>
      <c r="B422" s="4" t="str">
        <f>IFERROR(__xludf.DUMMYFUNCTION("""COMPUTED_VALUE"""),"Cartel PVC 15x15 Fotolum. Pulsador de Alarma")</f>
        <v>Cartel PVC 15x15 Fotolum. Pulsador de Alarma</v>
      </c>
      <c r="C422" s="4">
        <f>IFERROR(__xludf.DUMMYFUNCTION("""COMPUTED_VALUE"""),1.68)</f>
        <v>1.68</v>
      </c>
      <c r="D422" s="4"/>
      <c r="E422" s="4" t="str">
        <f>IFERROR(__xludf.DUMMYFUNCTION("""COMPUTED_VALUE"""),"Sin precio neto G.C.")</f>
        <v>Sin precio neto G.C.</v>
      </c>
    </row>
    <row r="423">
      <c r="A423" s="4" t="str">
        <f>IFERROR(__xludf.DUMMYFUNCTION("""COMPUTED_VALUE"""),"349")</f>
        <v>349</v>
      </c>
      <c r="B423" s="4" t="str">
        <f>IFERROR(__xludf.DUMMYFUNCTION("""COMPUTED_VALUE"""),"Cartel PVC 21x30 Fotolum. Boca Incendios")</f>
        <v>Cartel PVC 21x30 Fotolum. Boca Incendios</v>
      </c>
      <c r="C423" s="4">
        <f>IFERROR(__xludf.DUMMYFUNCTION("""COMPUTED_VALUE"""),2.6)</f>
        <v>2.6</v>
      </c>
      <c r="D423" s="4">
        <f>IFERROR(__xludf.DUMMYFUNCTION("""COMPUTED_VALUE"""),2.1)</f>
        <v>2.1</v>
      </c>
      <c r="E423" s="4" t="str">
        <f>IFERROR(__xludf.DUMMYFUNCTION("""COMPUTED_VALUE"""),"Neto G.C.: 2,10 € (a partir de 1 uds.)")</f>
        <v>Neto G.C.: 2,10 € (a partir de 1 uds.)</v>
      </c>
    </row>
    <row r="424">
      <c r="A424" s="4" t="str">
        <f>IFERROR(__xludf.DUMMYFUNCTION("""COMPUTED_VALUE"""),"0349A")</f>
        <v>0349A</v>
      </c>
      <c r="B424" s="4" t="str">
        <f>IFERROR(__xludf.DUMMYFUNCTION("""COMPUTED_VALUE"""),"Cartel PVC 21x30 Fotolum. Boca de incendio")</f>
        <v>Cartel PVC 21x30 Fotolum. Boca de incendio</v>
      </c>
      <c r="C424" s="4">
        <f>IFERROR(__xludf.DUMMYFUNCTION("""COMPUTED_VALUE"""),2.52)</f>
        <v>2.52</v>
      </c>
      <c r="D424" s="4">
        <f>IFERROR(__xludf.DUMMYFUNCTION("""COMPUTED_VALUE"""),2.1)</f>
        <v>2.1</v>
      </c>
      <c r="E424" s="4" t="str">
        <f>IFERROR(__xludf.DUMMYFUNCTION("""COMPUTED_VALUE"""),"Neto G.C.: 2,10 € (a partir de 1 uds.)")</f>
        <v>Neto G.C.: 2,10 € (a partir de 1 uds.)</v>
      </c>
    </row>
    <row r="425">
      <c r="A425" s="4" t="str">
        <f>IFERROR(__xludf.DUMMYFUNCTION("""COMPUTED_VALUE"""),"0349B")</f>
        <v>0349B</v>
      </c>
      <c r="B425" s="4" t="str">
        <f>IFERROR(__xludf.DUMMYFUNCTION("""COMPUTED_VALUE"""),"Cartel PVC 40x30 Fotolum. Boca de incendio")</f>
        <v>Cartel PVC 40x30 Fotolum. Boca de incendio</v>
      </c>
      <c r="C425" s="4">
        <f>IFERROR(__xludf.DUMMYFUNCTION("""COMPUTED_VALUE"""),3.1)</f>
        <v>3.1</v>
      </c>
      <c r="D425" s="4">
        <f>IFERROR(__xludf.DUMMYFUNCTION("""COMPUTED_VALUE"""),3.2)</f>
        <v>3.2</v>
      </c>
      <c r="E425" s="4" t="str">
        <f>IFERROR(__xludf.DUMMYFUNCTION("""COMPUTED_VALUE"""),"Neto G.C.: 3,20 € (a partir de 1 uds.)")</f>
        <v>Neto G.C.: 3,20 € (a partir de 1 uds.)</v>
      </c>
    </row>
    <row r="426">
      <c r="A426" s="4" t="str">
        <f>IFERROR(__xludf.DUMMYFUNCTION("""COMPUTED_VALUE"""),"350")</f>
        <v>350</v>
      </c>
      <c r="B426" s="4" t="str">
        <f>IFERROR(__xludf.DUMMYFUNCTION("""COMPUTED_VALUE"""),"Cartel PVC 21x30 Fotolum. Boca Incendios dcha")</f>
        <v>Cartel PVC 21x30 Fotolum. Boca Incendios dcha</v>
      </c>
      <c r="C426" s="4">
        <f>IFERROR(__xludf.DUMMYFUNCTION("""COMPUTED_VALUE"""),2.6)</f>
        <v>2.6</v>
      </c>
      <c r="D426" s="4">
        <f>IFERROR(__xludf.DUMMYFUNCTION("""COMPUTED_VALUE"""),2.1)</f>
        <v>2.1</v>
      </c>
      <c r="E426" s="4" t="str">
        <f>IFERROR(__xludf.DUMMYFUNCTION("""COMPUTED_VALUE"""),"Neto G.C.: 2,10 € (a partir de 1 uds.)")</f>
        <v>Neto G.C.: 2,10 € (a partir de 1 uds.)</v>
      </c>
    </row>
    <row r="427">
      <c r="A427" s="4" t="str">
        <f>IFERROR(__xludf.DUMMYFUNCTION("""COMPUTED_VALUE"""),"0350A")</f>
        <v>0350A</v>
      </c>
      <c r="B427" s="4" t="str">
        <f>IFERROR(__xludf.DUMMYFUNCTION("""COMPUTED_VALUE"""),"Cartel PVC 32x16 Fotolum. Boca Incendios dcha")</f>
        <v>Cartel PVC 32x16 Fotolum. Boca Incendios dcha</v>
      </c>
      <c r="C427" s="4">
        <f>IFERROR(__xludf.DUMMYFUNCTION("""COMPUTED_VALUE"""),1.99)</f>
        <v>1.99</v>
      </c>
      <c r="D427" s="4"/>
      <c r="E427" s="4" t="str">
        <f>IFERROR(__xludf.DUMMYFUNCTION("""COMPUTED_VALUE"""),"Sin precio neto G.C.")</f>
        <v>Sin precio neto G.C.</v>
      </c>
    </row>
    <row r="428">
      <c r="A428" s="4" t="str">
        <f>IFERROR(__xludf.DUMMYFUNCTION("""COMPUTED_VALUE"""),"0350B")</f>
        <v>0350B</v>
      </c>
      <c r="B428" s="4" t="str">
        <f>IFERROR(__xludf.DUMMYFUNCTION("""COMPUTED_VALUE"""),"Cartel PVC 64x32 Fotolum. Boca Incendios dcha")</f>
        <v>Cartel PVC 64x32 Fotolum. Boca Incendios dcha</v>
      </c>
      <c r="C428" s="4">
        <f>IFERROR(__xludf.DUMMYFUNCTION("""COMPUTED_VALUE"""),4.48)</f>
        <v>4.48</v>
      </c>
      <c r="D428" s="4"/>
      <c r="E428" s="4" t="str">
        <f>IFERROR(__xludf.DUMMYFUNCTION("""COMPUTED_VALUE"""),"Sin precio neto G.C.")</f>
        <v>Sin precio neto G.C.</v>
      </c>
    </row>
    <row r="429">
      <c r="A429" s="4" t="str">
        <f>IFERROR(__xludf.DUMMYFUNCTION("""COMPUTED_VALUE"""),"0350C")</f>
        <v>0350C</v>
      </c>
      <c r="B429" s="4" t="str">
        <f>IFERROR(__xludf.DUMMYFUNCTION("""COMPUTED_VALUE"""),"Cartel PVC 96x48 Fotolum. Boca Incendios dcha")</f>
        <v>Cartel PVC 96x48 Fotolum. Boca Incendios dcha</v>
      </c>
      <c r="C429" s="4">
        <f>IFERROR(__xludf.DUMMYFUNCTION("""COMPUTED_VALUE"""),8.96)</f>
        <v>8.96</v>
      </c>
      <c r="D429" s="4"/>
      <c r="E429" s="4" t="str">
        <f>IFERROR(__xludf.DUMMYFUNCTION("""COMPUTED_VALUE"""),"Sin precio neto G.C.")</f>
        <v>Sin precio neto G.C.</v>
      </c>
    </row>
    <row r="430">
      <c r="A430" s="4" t="str">
        <f>IFERROR(__xludf.DUMMYFUNCTION("""COMPUTED_VALUE"""),"351")</f>
        <v>351</v>
      </c>
      <c r="B430" s="4" t="str">
        <f>IFERROR(__xludf.DUMMYFUNCTION("""COMPUTED_VALUE"""),"Cartel PVC 21x30 Fotolum. Boca Incendios Izq.")</f>
        <v>Cartel PVC 21x30 Fotolum. Boca Incendios Izq.</v>
      </c>
      <c r="C430" s="4">
        <f>IFERROR(__xludf.DUMMYFUNCTION("""COMPUTED_VALUE"""),2.6)</f>
        <v>2.6</v>
      </c>
      <c r="D430" s="4">
        <f>IFERROR(__xludf.DUMMYFUNCTION("""COMPUTED_VALUE"""),2.1)</f>
        <v>2.1</v>
      </c>
      <c r="E430" s="4" t="str">
        <f>IFERROR(__xludf.DUMMYFUNCTION("""COMPUTED_VALUE"""),"Neto G.C.: 2,10 € (a partir de 1 uds.)")</f>
        <v>Neto G.C.: 2,10 € (a partir de 1 uds.)</v>
      </c>
    </row>
    <row r="431">
      <c r="A431" s="4" t="str">
        <f>IFERROR(__xludf.DUMMYFUNCTION("""COMPUTED_VALUE"""),"0351A")</f>
        <v>0351A</v>
      </c>
      <c r="B431" s="4" t="str">
        <f>IFERROR(__xludf.DUMMYFUNCTION("""COMPUTED_VALUE"""),"Cartel PVC 32x16 Fotolum. Boca Incendios izq")</f>
        <v>Cartel PVC 32x16 Fotolum. Boca Incendios izq</v>
      </c>
      <c r="C431" s="4">
        <f>IFERROR(__xludf.DUMMYFUNCTION("""COMPUTED_VALUE"""),2.25)</f>
        <v>2.25</v>
      </c>
      <c r="D431" s="4"/>
      <c r="E431" s="4" t="str">
        <f>IFERROR(__xludf.DUMMYFUNCTION("""COMPUTED_VALUE"""),"Sin precio neto G.C.")</f>
        <v>Sin precio neto G.C.</v>
      </c>
    </row>
    <row r="432">
      <c r="A432" s="4" t="str">
        <f>IFERROR(__xludf.DUMMYFUNCTION("""COMPUTED_VALUE"""),"0351B")</f>
        <v>0351B</v>
      </c>
      <c r="B432" s="4" t="str">
        <f>IFERROR(__xludf.DUMMYFUNCTION("""COMPUTED_VALUE"""),"Cartel PVC 64x32 Fotolum. Boca Incendios izq")</f>
        <v>Cartel PVC 64x32 Fotolum. Boca Incendios izq</v>
      </c>
      <c r="C432" s="4">
        <f>IFERROR(__xludf.DUMMYFUNCTION("""COMPUTED_VALUE"""),4.48)</f>
        <v>4.48</v>
      </c>
      <c r="D432" s="4"/>
      <c r="E432" s="4" t="str">
        <f>IFERROR(__xludf.DUMMYFUNCTION("""COMPUTED_VALUE"""),"Sin precio neto G.C.")</f>
        <v>Sin precio neto G.C.</v>
      </c>
    </row>
    <row r="433">
      <c r="A433" s="4" t="str">
        <f>IFERROR(__xludf.DUMMYFUNCTION("""COMPUTED_VALUE"""),"0351C")</f>
        <v>0351C</v>
      </c>
      <c r="B433" s="4" t="str">
        <f>IFERROR(__xludf.DUMMYFUNCTION("""COMPUTED_VALUE"""),"Cartel PVC 96x48 Fotolum. Boca Incendios izq")</f>
        <v>Cartel PVC 96x48 Fotolum. Boca Incendios izq</v>
      </c>
      <c r="C433" s="4">
        <f>IFERROR(__xludf.DUMMYFUNCTION("""COMPUTED_VALUE"""),8.96)</f>
        <v>8.96</v>
      </c>
      <c r="D433" s="4"/>
      <c r="E433" s="4" t="str">
        <f>IFERROR(__xludf.DUMMYFUNCTION("""COMPUTED_VALUE"""),"Sin precio neto G.C.")</f>
        <v>Sin precio neto G.C.</v>
      </c>
    </row>
    <row r="434">
      <c r="A434" s="4" t="str">
        <f>IFERROR(__xludf.DUMMYFUNCTION("""COMPUTED_VALUE"""),"352")</f>
        <v>352</v>
      </c>
      <c r="B434" s="4" t="str">
        <f>IFERROR(__xludf.DUMMYFUNCTION("""COMPUTED_VALUE"""),"Cartel PVC 21x21 Fotolum. Manguera")</f>
        <v>Cartel PVC 21x21 Fotolum. Manguera</v>
      </c>
      <c r="C434" s="4">
        <f>IFERROR(__xludf.DUMMYFUNCTION("""COMPUTED_VALUE"""),2.31)</f>
        <v>2.31</v>
      </c>
      <c r="D434" s="4"/>
      <c r="E434" s="4" t="str">
        <f>IFERROR(__xludf.DUMMYFUNCTION("""COMPUTED_VALUE"""),"Sin precio neto G.C.")</f>
        <v>Sin precio neto G.C.</v>
      </c>
    </row>
    <row r="435">
      <c r="A435" s="4" t="str">
        <f>IFERROR(__xludf.DUMMYFUNCTION("""COMPUTED_VALUE"""),"353")</f>
        <v>353</v>
      </c>
      <c r="B435" s="4" t="str">
        <f>IFERROR(__xludf.DUMMYFUNCTION("""COMPUTED_VALUE"""),"Cartel PVC 21x21 Fotolum. Extintor")</f>
        <v>Cartel PVC 21x21 Fotolum. Extintor</v>
      </c>
      <c r="C435" s="4">
        <f>IFERROR(__xludf.DUMMYFUNCTION("""COMPUTED_VALUE"""),2.31)</f>
        <v>2.31</v>
      </c>
      <c r="D435" s="4"/>
      <c r="E435" s="4" t="str">
        <f>IFERROR(__xludf.DUMMYFUNCTION("""COMPUTED_VALUE"""),"Sin precio neto G.C.")</f>
        <v>Sin precio neto G.C.</v>
      </c>
    </row>
    <row r="436">
      <c r="A436" s="4" t="str">
        <f>IFERROR(__xludf.DUMMYFUNCTION("""COMPUTED_VALUE"""),"0353A")</f>
        <v>0353A</v>
      </c>
      <c r="B436" s="4" t="str">
        <f>IFERROR(__xludf.DUMMYFUNCTION("""COMPUTED_VALUE"""),"Cartel PVC 21x21 Fotolum. Extintor")</f>
        <v>Cartel PVC 21x21 Fotolum. Extintor</v>
      </c>
      <c r="C436" s="4">
        <f>IFERROR(__xludf.DUMMYFUNCTION("""COMPUTED_VALUE"""),2.31)</f>
        <v>2.31</v>
      </c>
      <c r="D436" s="4"/>
      <c r="E436" s="4" t="str">
        <f>IFERROR(__xludf.DUMMYFUNCTION("""COMPUTED_VALUE"""),"Sin precio neto G.C.")</f>
        <v>Sin precio neto G.C.</v>
      </c>
    </row>
    <row r="437">
      <c r="A437" s="4" t="str">
        <f>IFERROR(__xludf.DUMMYFUNCTION("""COMPUTED_VALUE"""),"0353B")</f>
        <v>0353B</v>
      </c>
      <c r="B437" s="4" t="str">
        <f>IFERROR(__xludf.DUMMYFUNCTION("""COMPUTED_VALUE"""),"Cartel PVC 42x42 Fotolum. Extintor")</f>
        <v>Cartel PVC 42x42 Fotolum. Extintor</v>
      </c>
      <c r="C437" s="4">
        <f>IFERROR(__xludf.DUMMYFUNCTION("""COMPUTED_VALUE"""),3.9)</f>
        <v>3.9</v>
      </c>
      <c r="D437" s="4"/>
      <c r="E437" s="4" t="str">
        <f>IFERROR(__xludf.DUMMYFUNCTION("""COMPUTED_VALUE"""),"Sin precio neto G.C.")</f>
        <v>Sin precio neto G.C.</v>
      </c>
    </row>
    <row r="438">
      <c r="A438" s="4" t="str">
        <f>IFERROR(__xludf.DUMMYFUNCTION("""COMPUTED_VALUE"""),"0353C")</f>
        <v>0353C</v>
      </c>
      <c r="B438" s="4" t="str">
        <f>IFERROR(__xludf.DUMMYFUNCTION("""COMPUTED_VALUE"""),"Cartel PVC 63x63 Fotolum. Extintor")</f>
        <v>Cartel PVC 63x63 Fotolum. Extintor</v>
      </c>
      <c r="C438" s="4">
        <f>IFERROR(__xludf.DUMMYFUNCTION("""COMPUTED_VALUE"""),6.25)</f>
        <v>6.25</v>
      </c>
      <c r="D438" s="4"/>
      <c r="E438" s="4" t="str">
        <f>IFERROR(__xludf.DUMMYFUNCTION("""COMPUTED_VALUE"""),"Sin precio neto G.C.")</f>
        <v>Sin precio neto G.C.</v>
      </c>
    </row>
    <row r="439">
      <c r="A439" s="4" t="str">
        <f>IFERROR(__xludf.DUMMYFUNCTION("""COMPUTED_VALUE"""),"354")</f>
        <v>354</v>
      </c>
      <c r="B439" s="4" t="str">
        <f>IFERROR(__xludf.DUMMYFUNCTION("""COMPUTED_VALUE"""),"Cartel PVC 21x15 Fotolum. Flecha Salida")</f>
        <v>Cartel PVC 21x15 Fotolum. Flecha Salida</v>
      </c>
      <c r="C439" s="4">
        <f>IFERROR(__xludf.DUMMYFUNCTION("""COMPUTED_VALUE"""),1.68)</f>
        <v>1.68</v>
      </c>
      <c r="D439" s="4"/>
      <c r="E439" s="4" t="str">
        <f>IFERROR(__xludf.DUMMYFUNCTION("""COMPUTED_VALUE"""),"Sin precio neto G.C.")</f>
        <v>Sin precio neto G.C.</v>
      </c>
    </row>
    <row r="440">
      <c r="A440" s="4" t="str">
        <f>IFERROR(__xludf.DUMMYFUNCTION("""COMPUTED_VALUE"""),"0354A")</f>
        <v>0354A</v>
      </c>
      <c r="B440" s="4" t="str">
        <f>IFERROR(__xludf.DUMMYFUNCTION("""COMPUTED_VALUE"""),"Cartel PVC 21x21 Fotolum. Manguera contra incendios")</f>
        <v>Cartel PVC 21x21 Fotolum. Manguera contra incendios</v>
      </c>
      <c r="C440" s="4">
        <f>IFERROR(__xludf.DUMMYFUNCTION("""COMPUTED_VALUE"""),2.31)</f>
        <v>2.31</v>
      </c>
      <c r="D440" s="4"/>
      <c r="E440" s="4" t="str">
        <f>IFERROR(__xludf.DUMMYFUNCTION("""COMPUTED_VALUE"""),"Sin precio neto G.C.")</f>
        <v>Sin precio neto G.C.</v>
      </c>
    </row>
    <row r="441">
      <c r="A441" s="4" t="str">
        <f>IFERROR(__xludf.DUMMYFUNCTION("""COMPUTED_VALUE"""),"0354B")</f>
        <v>0354B</v>
      </c>
      <c r="B441" s="4" t="str">
        <f>IFERROR(__xludf.DUMMYFUNCTION("""COMPUTED_VALUE"""),"Cartel PVC 42x42 Fotolum. Manguera contra incendios")</f>
        <v>Cartel PVC 42x42 Fotolum. Manguera contra incendios</v>
      </c>
      <c r="C441" s="4">
        <f>IFERROR(__xludf.DUMMYFUNCTION("""COMPUTED_VALUE"""),3.9)</f>
        <v>3.9</v>
      </c>
      <c r="D441" s="4"/>
      <c r="E441" s="4" t="str">
        <f>IFERROR(__xludf.DUMMYFUNCTION("""COMPUTED_VALUE"""),"Sin precio neto G.C.")</f>
        <v>Sin precio neto G.C.</v>
      </c>
    </row>
    <row r="442">
      <c r="A442" s="4" t="str">
        <f>IFERROR(__xludf.DUMMYFUNCTION("""COMPUTED_VALUE"""),"0354C")</f>
        <v>0354C</v>
      </c>
      <c r="B442" s="4" t="str">
        <f>IFERROR(__xludf.DUMMYFUNCTION("""COMPUTED_VALUE"""),"Cartel PVC 63x63 Fotolum. Manguera contra incendios")</f>
        <v>Cartel PVC 63x63 Fotolum. Manguera contra incendios</v>
      </c>
      <c r="C442" s="4">
        <f>IFERROR(__xludf.DUMMYFUNCTION("""COMPUTED_VALUE"""),6.25)</f>
        <v>6.25</v>
      </c>
      <c r="D442" s="4"/>
      <c r="E442" s="4" t="str">
        <f>IFERROR(__xludf.DUMMYFUNCTION("""COMPUTED_VALUE"""),"Sin precio neto G.C.")</f>
        <v>Sin precio neto G.C.</v>
      </c>
    </row>
    <row r="443">
      <c r="A443" s="4" t="str">
        <f>IFERROR(__xludf.DUMMYFUNCTION("""COMPUTED_VALUE"""),"355")</f>
        <v>355</v>
      </c>
      <c r="B443" s="4" t="str">
        <f>IFERROR(__xludf.DUMMYFUNCTION("""COMPUTED_VALUE"""),"Cartel PVC 21x30 Fotolum. Botiquin")</f>
        <v>Cartel PVC 21x30 Fotolum. Botiquin</v>
      </c>
      <c r="C443" s="4">
        <f>IFERROR(__xludf.DUMMYFUNCTION("""COMPUTED_VALUE"""),2.6)</f>
        <v>2.6</v>
      </c>
      <c r="D443" s="4">
        <f>IFERROR(__xludf.DUMMYFUNCTION("""COMPUTED_VALUE"""),2.1)</f>
        <v>2.1</v>
      </c>
      <c r="E443" s="4" t="str">
        <f>IFERROR(__xludf.DUMMYFUNCTION("""COMPUTED_VALUE"""),"Neto G.C.: 2,10 € (a partir de 1 uds.)")</f>
        <v>Neto G.C.: 2,10 € (a partir de 1 uds.)</v>
      </c>
    </row>
    <row r="444">
      <c r="A444" s="4" t="str">
        <f>IFERROR(__xludf.DUMMYFUNCTION("""COMPUTED_VALUE"""),"0355A")</f>
        <v>0355A</v>
      </c>
      <c r="B444" s="4" t="str">
        <f>IFERROR(__xludf.DUMMYFUNCTION("""COMPUTED_VALUE"""),"Cartel PVC 21x30 Fotolum. Botiquín")</f>
        <v>Cartel PVC 21x30 Fotolum. Botiquín</v>
      </c>
      <c r="C444" s="4">
        <f>IFERROR(__xludf.DUMMYFUNCTION("""COMPUTED_VALUE"""),2.52)</f>
        <v>2.52</v>
      </c>
      <c r="D444" s="4">
        <f>IFERROR(__xludf.DUMMYFUNCTION("""COMPUTED_VALUE"""),2.1)</f>
        <v>2.1</v>
      </c>
      <c r="E444" s="4" t="str">
        <f>IFERROR(__xludf.DUMMYFUNCTION("""COMPUTED_VALUE"""),"Neto G.C.: 2,10 € (a partir de 1 uds.)")</f>
        <v>Neto G.C.: 2,10 € (a partir de 1 uds.)</v>
      </c>
    </row>
    <row r="445">
      <c r="A445" s="4" t="str">
        <f>IFERROR(__xludf.DUMMYFUNCTION("""COMPUTED_VALUE"""),"0355B")</f>
        <v>0355B</v>
      </c>
      <c r="B445" s="4" t="str">
        <f>IFERROR(__xludf.DUMMYFUNCTION("""COMPUTED_VALUE"""),"Cartel PVC 40x30 Fotolum. Botiquín")</f>
        <v>Cartel PVC 40x30 Fotolum. Botiquín</v>
      </c>
      <c r="C445" s="4">
        <f>IFERROR(__xludf.DUMMYFUNCTION("""COMPUTED_VALUE"""),3.1)</f>
        <v>3.1</v>
      </c>
      <c r="D445" s="4">
        <f>IFERROR(__xludf.DUMMYFUNCTION("""COMPUTED_VALUE"""),3.2)</f>
        <v>3.2</v>
      </c>
      <c r="E445" s="4" t="str">
        <f>IFERROR(__xludf.DUMMYFUNCTION("""COMPUTED_VALUE"""),"Neto G.C.: 3,20 € (a partir de 1 uds.)")</f>
        <v>Neto G.C.: 3,20 € (a partir de 1 uds.)</v>
      </c>
    </row>
    <row r="446">
      <c r="A446" s="4" t="str">
        <f>IFERROR(__xludf.DUMMYFUNCTION("""COMPUTED_VALUE"""),"356")</f>
        <v>356</v>
      </c>
      <c r="B446" s="4" t="str">
        <f>IFERROR(__xludf.DUMMYFUNCTION("""COMPUTED_VALUE"""),"Cartel PVC 21x30 Fotolum. Agua Potable")</f>
        <v>Cartel PVC 21x30 Fotolum. Agua Potable</v>
      </c>
      <c r="C446" s="4">
        <f>IFERROR(__xludf.DUMMYFUNCTION("""COMPUTED_VALUE"""),2.6)</f>
        <v>2.6</v>
      </c>
      <c r="D446" s="4">
        <f>IFERROR(__xludf.DUMMYFUNCTION("""COMPUTED_VALUE"""),2.1)</f>
        <v>2.1</v>
      </c>
      <c r="E446" s="4" t="str">
        <f>IFERROR(__xludf.DUMMYFUNCTION("""COMPUTED_VALUE"""),"Neto G.C.: 2,10 € (a partir de 1 uds.)")</f>
        <v>Neto G.C.: 2,10 € (a partir de 1 uds.)</v>
      </c>
    </row>
    <row r="447">
      <c r="A447" s="4" t="str">
        <f>IFERROR(__xludf.DUMMYFUNCTION("""COMPUTED_VALUE"""),"0356A")</f>
        <v>0356A</v>
      </c>
      <c r="B447" s="4" t="str">
        <f>IFERROR(__xludf.DUMMYFUNCTION("""COMPUTED_VALUE"""),"Cartel PVC 21x30 Fotolum. Agua potable")</f>
        <v>Cartel PVC 21x30 Fotolum. Agua potable</v>
      </c>
      <c r="C447" s="4">
        <f>IFERROR(__xludf.DUMMYFUNCTION("""COMPUTED_VALUE"""),2.52)</f>
        <v>2.52</v>
      </c>
      <c r="D447" s="4">
        <f>IFERROR(__xludf.DUMMYFUNCTION("""COMPUTED_VALUE"""),2.1)</f>
        <v>2.1</v>
      </c>
      <c r="E447" s="4" t="str">
        <f>IFERROR(__xludf.DUMMYFUNCTION("""COMPUTED_VALUE"""),"Neto G.C.: 2,10 € (a partir de 1 uds.)")</f>
        <v>Neto G.C.: 2,10 € (a partir de 1 uds.)</v>
      </c>
    </row>
    <row r="448">
      <c r="A448" s="4" t="str">
        <f>IFERROR(__xludf.DUMMYFUNCTION("""COMPUTED_VALUE"""),"0356B")</f>
        <v>0356B</v>
      </c>
      <c r="B448" s="4" t="str">
        <f>IFERROR(__xludf.DUMMYFUNCTION("""COMPUTED_VALUE"""),"Cartel PVC 40x30 Fotolum. Agua potable")</f>
        <v>Cartel PVC 40x30 Fotolum. Agua potable</v>
      </c>
      <c r="C448" s="4">
        <f>IFERROR(__xludf.DUMMYFUNCTION("""COMPUTED_VALUE"""),3.1)</f>
        <v>3.1</v>
      </c>
      <c r="D448" s="4">
        <f>IFERROR(__xludf.DUMMYFUNCTION("""COMPUTED_VALUE"""),3.2)</f>
        <v>3.2</v>
      </c>
      <c r="E448" s="4" t="str">
        <f>IFERROR(__xludf.DUMMYFUNCTION("""COMPUTED_VALUE"""),"Neto G.C.: 3,20 € (a partir de 1 uds.)")</f>
        <v>Neto G.C.: 3,20 € (a partir de 1 uds.)</v>
      </c>
    </row>
    <row r="449">
      <c r="A449" s="4" t="str">
        <f>IFERROR(__xludf.DUMMYFUNCTION("""COMPUTED_VALUE"""),"357")</f>
        <v>357</v>
      </c>
      <c r="B449" s="4" t="str">
        <f>IFERROR(__xludf.DUMMYFUNCTION("""COMPUTED_VALUE"""),"Cartel PVC 21x30 Fotolum. Almacen")</f>
        <v>Cartel PVC 21x30 Fotolum. Almacen</v>
      </c>
      <c r="C449" s="4">
        <f>IFERROR(__xludf.DUMMYFUNCTION("""COMPUTED_VALUE"""),2.6)</f>
        <v>2.6</v>
      </c>
      <c r="D449" s="4">
        <f>IFERROR(__xludf.DUMMYFUNCTION("""COMPUTED_VALUE"""),2.1)</f>
        <v>2.1</v>
      </c>
      <c r="E449" s="4" t="str">
        <f>IFERROR(__xludf.DUMMYFUNCTION("""COMPUTED_VALUE"""),"Neto G.C.: 2,10 € (a partir de 1 uds.)")</f>
        <v>Neto G.C.: 2,10 € (a partir de 1 uds.)</v>
      </c>
    </row>
    <row r="450">
      <c r="A450" s="4" t="str">
        <f>IFERROR(__xludf.DUMMYFUNCTION("""COMPUTED_VALUE"""),"0357A")</f>
        <v>0357A</v>
      </c>
      <c r="B450" s="4" t="str">
        <f>IFERROR(__xludf.DUMMYFUNCTION("""COMPUTED_VALUE"""),"Cartel PVC 21x30 Fotolum. Almacén")</f>
        <v>Cartel PVC 21x30 Fotolum. Almacén</v>
      </c>
      <c r="C450" s="4">
        <f>IFERROR(__xludf.DUMMYFUNCTION("""COMPUTED_VALUE"""),2.52)</f>
        <v>2.52</v>
      </c>
      <c r="D450" s="4">
        <f>IFERROR(__xludf.DUMMYFUNCTION("""COMPUTED_VALUE"""),2.1)</f>
        <v>2.1</v>
      </c>
      <c r="E450" s="4" t="str">
        <f>IFERROR(__xludf.DUMMYFUNCTION("""COMPUTED_VALUE"""),"Neto G.C.: 2,10 € (a partir de 1 uds.)")</f>
        <v>Neto G.C.: 2,10 € (a partir de 1 uds.)</v>
      </c>
    </row>
    <row r="451">
      <c r="A451" s="4" t="str">
        <f>IFERROR(__xludf.DUMMYFUNCTION("""COMPUTED_VALUE"""),"0357B")</f>
        <v>0357B</v>
      </c>
      <c r="B451" s="4" t="str">
        <f>IFERROR(__xludf.DUMMYFUNCTION("""COMPUTED_VALUE"""),"Cartel PVC40x30 Fotolum. Almacén")</f>
        <v>Cartel PVC40x30 Fotolum. Almacén</v>
      </c>
      <c r="C451" s="4">
        <f>IFERROR(__xludf.DUMMYFUNCTION("""COMPUTED_VALUE"""),3.1)</f>
        <v>3.1</v>
      </c>
      <c r="D451" s="4">
        <f>IFERROR(__xludf.DUMMYFUNCTION("""COMPUTED_VALUE"""),3.2)</f>
        <v>3.2</v>
      </c>
      <c r="E451" s="4" t="str">
        <f>IFERROR(__xludf.DUMMYFUNCTION("""COMPUTED_VALUE"""),"Neto G.C.: 3,20 € (a partir de 1 uds.)")</f>
        <v>Neto G.C.: 3,20 € (a partir de 1 uds.)</v>
      </c>
    </row>
    <row r="452">
      <c r="A452" s="4" t="str">
        <f>IFERROR(__xludf.DUMMYFUNCTION("""COMPUTED_VALUE"""),"358")</f>
        <v>358</v>
      </c>
      <c r="B452" s="4" t="str">
        <f>IFERROR(__xludf.DUMMYFUNCTION("""COMPUTED_VALUE"""),"Cartel PVC 21x30 Fotolum. Telefono Emergencia")</f>
        <v>Cartel PVC 21x30 Fotolum. Telefono Emergencia</v>
      </c>
      <c r="C452" s="4">
        <f>IFERROR(__xludf.DUMMYFUNCTION("""COMPUTED_VALUE"""),2.6)</f>
        <v>2.6</v>
      </c>
      <c r="D452" s="4">
        <f>IFERROR(__xludf.DUMMYFUNCTION("""COMPUTED_VALUE"""),2.1)</f>
        <v>2.1</v>
      </c>
      <c r="E452" s="4" t="str">
        <f>IFERROR(__xludf.DUMMYFUNCTION("""COMPUTED_VALUE"""),"Neto G.C.: 2,10 € (a partir de 1 uds.)")</f>
        <v>Neto G.C.: 2,10 € (a partir de 1 uds.)</v>
      </c>
    </row>
    <row r="453">
      <c r="A453" s="4" t="str">
        <f>IFERROR(__xludf.DUMMYFUNCTION("""COMPUTED_VALUE"""),"0358A")</f>
        <v>0358A</v>
      </c>
      <c r="B453" s="4" t="str">
        <f>IFERROR(__xludf.DUMMYFUNCTION("""COMPUTED_VALUE"""),"Cartel PVC 21x30 Fotolum. Teléfono de emergencia")</f>
        <v>Cartel PVC 21x30 Fotolum. Teléfono de emergencia</v>
      </c>
      <c r="C453" s="4">
        <f>IFERROR(__xludf.DUMMYFUNCTION("""COMPUTED_VALUE"""),2.52)</f>
        <v>2.52</v>
      </c>
      <c r="D453" s="4">
        <f>IFERROR(__xludf.DUMMYFUNCTION("""COMPUTED_VALUE"""),2.1)</f>
        <v>2.1</v>
      </c>
      <c r="E453" s="4" t="str">
        <f>IFERROR(__xludf.DUMMYFUNCTION("""COMPUTED_VALUE"""),"Neto G.C.: 2,10 € (a partir de 1 uds.)")</f>
        <v>Neto G.C.: 2,10 € (a partir de 1 uds.)</v>
      </c>
    </row>
    <row r="454">
      <c r="A454" s="4" t="str">
        <f>IFERROR(__xludf.DUMMYFUNCTION("""COMPUTED_VALUE"""),"0358B")</f>
        <v>0358B</v>
      </c>
      <c r="B454" s="4" t="str">
        <f>IFERROR(__xludf.DUMMYFUNCTION("""COMPUTED_VALUE"""),"Cartel PVC 40x30 Fotolum. Teléfono de emergencia")</f>
        <v>Cartel PVC 40x30 Fotolum. Teléfono de emergencia</v>
      </c>
      <c r="C454" s="4">
        <f>IFERROR(__xludf.DUMMYFUNCTION("""COMPUTED_VALUE"""),3.1)</f>
        <v>3.1</v>
      </c>
      <c r="D454" s="4">
        <f>IFERROR(__xludf.DUMMYFUNCTION("""COMPUTED_VALUE"""),3.2)</f>
        <v>3.2</v>
      </c>
      <c r="E454" s="4" t="str">
        <f>IFERROR(__xludf.DUMMYFUNCTION("""COMPUTED_VALUE"""),"Neto G.C.: 3,20 € (a partir de 1 uds.)")</f>
        <v>Neto G.C.: 3,20 € (a partir de 1 uds.)</v>
      </c>
    </row>
    <row r="455">
      <c r="A455" s="4" t="str">
        <f>IFERROR(__xludf.DUMMYFUNCTION("""COMPUTED_VALUE"""),"359")</f>
        <v>359</v>
      </c>
      <c r="B455" s="4" t="str">
        <f>IFERROR(__xludf.DUMMYFUNCTION("""COMPUTED_VALUE"""),"Cartel PVC 21x30 Fotolum. Equipo Prim. Auxilios")</f>
        <v>Cartel PVC 21x30 Fotolum. Equipo Prim. Auxilios</v>
      </c>
      <c r="C455" s="4">
        <f>IFERROR(__xludf.DUMMYFUNCTION("""COMPUTED_VALUE"""),2.6)</f>
        <v>2.6</v>
      </c>
      <c r="D455" s="4">
        <f>IFERROR(__xludf.DUMMYFUNCTION("""COMPUTED_VALUE"""),2.1)</f>
        <v>2.1</v>
      </c>
      <c r="E455" s="4" t="str">
        <f>IFERROR(__xludf.DUMMYFUNCTION("""COMPUTED_VALUE"""),"Neto G.C.: 2,10 € (a partir de 1 uds.)")</f>
        <v>Neto G.C.: 2,10 € (a partir de 1 uds.)</v>
      </c>
    </row>
    <row r="456">
      <c r="A456" s="4" t="str">
        <f>IFERROR(__xludf.DUMMYFUNCTION("""COMPUTED_VALUE"""),"0359A")</f>
        <v>0359A</v>
      </c>
      <c r="B456" s="4" t="str">
        <f>IFERROR(__xludf.DUMMYFUNCTION("""COMPUTED_VALUE"""),"Cartel PVC 21x30 Fotolum. Equipo primeros auxilios")</f>
        <v>Cartel PVC 21x30 Fotolum. Equipo primeros auxilios</v>
      </c>
      <c r="C456" s="4">
        <f>IFERROR(__xludf.DUMMYFUNCTION("""COMPUTED_VALUE"""),2.52)</f>
        <v>2.52</v>
      </c>
      <c r="D456" s="4">
        <f>IFERROR(__xludf.DUMMYFUNCTION("""COMPUTED_VALUE"""),2.1)</f>
        <v>2.1</v>
      </c>
      <c r="E456" s="4" t="str">
        <f>IFERROR(__xludf.DUMMYFUNCTION("""COMPUTED_VALUE"""),"Neto G.C.: 2,10 € (a partir de 1 uds.)")</f>
        <v>Neto G.C.: 2,10 € (a partir de 1 uds.)</v>
      </c>
    </row>
    <row r="457">
      <c r="A457" s="4" t="str">
        <f>IFERROR(__xludf.DUMMYFUNCTION("""COMPUTED_VALUE"""),"0359B")</f>
        <v>0359B</v>
      </c>
      <c r="B457" s="4" t="str">
        <f>IFERROR(__xludf.DUMMYFUNCTION("""COMPUTED_VALUE"""),"Cartel PVC 40x30 Fotolum. Equipo primeros auxilios")</f>
        <v>Cartel PVC 40x30 Fotolum. Equipo primeros auxilios</v>
      </c>
      <c r="C457" s="4">
        <f>IFERROR(__xludf.DUMMYFUNCTION("""COMPUTED_VALUE"""),3.1)</f>
        <v>3.1</v>
      </c>
      <c r="D457" s="4">
        <f>IFERROR(__xludf.DUMMYFUNCTION("""COMPUTED_VALUE"""),3.2)</f>
        <v>3.2</v>
      </c>
      <c r="E457" s="4" t="str">
        <f>IFERROR(__xludf.DUMMYFUNCTION("""COMPUTED_VALUE"""),"Neto G.C.: 3,20 € (a partir de 1 uds.)")</f>
        <v>Neto G.C.: 3,20 € (a partir de 1 uds.)</v>
      </c>
    </row>
    <row r="458">
      <c r="A458" s="4" t="str">
        <f>IFERROR(__xludf.DUMMYFUNCTION("""COMPUTED_VALUE"""),"360")</f>
        <v>360</v>
      </c>
      <c r="B458" s="4" t="str">
        <f>IFERROR(__xludf.DUMMYFUNCTION("""COMPUTED_VALUE"""),"Cartel PVC 40x30 Peatón cruce por la otra acera")</f>
        <v>Cartel PVC 40x30 Peatón cruce por la otra acera</v>
      </c>
      <c r="C458" s="4">
        <f>IFERROR(__xludf.DUMMYFUNCTION("""COMPUTED_VALUE"""),2.48)</f>
        <v>2.48</v>
      </c>
      <c r="D458" s="4">
        <f>IFERROR(__xludf.DUMMYFUNCTION("""COMPUTED_VALUE"""),1.75)</f>
        <v>1.75</v>
      </c>
      <c r="E458" s="4" t="str">
        <f>IFERROR(__xludf.DUMMYFUNCTION("""COMPUTED_VALUE"""),"Neto G.C.: 1,75 € (a partir de 1 uds.)")</f>
        <v>Neto G.C.: 1,75 € (a partir de 1 uds.)</v>
      </c>
    </row>
    <row r="459">
      <c r="A459" s="4" t="str">
        <f>IFERROR(__xludf.DUMMYFUNCTION("""COMPUTED_VALUE"""),"361")</f>
        <v>361</v>
      </c>
      <c r="B459" s="4" t="str">
        <f>IFERROR(__xludf.DUMMYFUNCTION("""COMPUTED_VALUE"""),"Cartel PVC 40x30 Obras en ejecucion. Perdonen las molestias")</f>
        <v>Cartel PVC 40x30 Obras en ejecucion. Perdonen las molestias</v>
      </c>
      <c r="C459" s="4">
        <f>IFERROR(__xludf.DUMMYFUNCTION("""COMPUTED_VALUE"""),2.48)</f>
        <v>2.48</v>
      </c>
      <c r="D459" s="4">
        <f>IFERROR(__xludf.DUMMYFUNCTION("""COMPUTED_VALUE"""),1.75)</f>
        <v>1.75</v>
      </c>
      <c r="E459" s="4" t="str">
        <f>IFERROR(__xludf.DUMMYFUNCTION("""COMPUTED_VALUE"""),"Neto G.C.: 1,75 € (a partir de 1 uds.)")</f>
        <v>Neto G.C.: 1,75 € (a partir de 1 uds.)</v>
      </c>
    </row>
    <row r="460">
      <c r="A460" s="4" t="str">
        <f>IFERROR(__xludf.DUMMYFUNCTION("""COMPUTED_VALUE"""),"362")</f>
        <v>362</v>
      </c>
      <c r="B460" s="4" t="str">
        <f>IFERROR(__xludf.DUMMYFUNCTION("""COMPUTED_VALUE"""),"Cartel PVC 21x30 Fotolum. Punto Reunion")</f>
        <v>Cartel PVC 21x30 Fotolum. Punto Reunion</v>
      </c>
      <c r="C460" s="4">
        <f>IFERROR(__xludf.DUMMYFUNCTION("""COMPUTED_VALUE"""),2.6)</f>
        <v>2.6</v>
      </c>
      <c r="D460" s="4">
        <f>IFERROR(__xludf.DUMMYFUNCTION("""COMPUTED_VALUE"""),2.1)</f>
        <v>2.1</v>
      </c>
      <c r="E460" s="4" t="str">
        <f>IFERROR(__xludf.DUMMYFUNCTION("""COMPUTED_VALUE"""),"Neto G.C.: 2,10 € (a partir de 1 uds.)")</f>
        <v>Neto G.C.: 2,10 € (a partir de 1 uds.)</v>
      </c>
    </row>
    <row r="461">
      <c r="A461" s="4" t="str">
        <f>IFERROR(__xludf.DUMMYFUNCTION("""COMPUTED_VALUE"""),"0362A")</f>
        <v>0362A</v>
      </c>
      <c r="B461" s="4" t="str">
        <f>IFERROR(__xludf.DUMMYFUNCTION("""COMPUTED_VALUE"""),"Cartel PVC 21x30 Fotolum. Punto de Reunión")</f>
        <v>Cartel PVC 21x30 Fotolum. Punto de Reunión</v>
      </c>
      <c r="C461" s="4">
        <f>IFERROR(__xludf.DUMMYFUNCTION("""COMPUTED_VALUE"""),2.52)</f>
        <v>2.52</v>
      </c>
      <c r="D461" s="4">
        <f>IFERROR(__xludf.DUMMYFUNCTION("""COMPUTED_VALUE"""),2.1)</f>
        <v>2.1</v>
      </c>
      <c r="E461" s="4" t="str">
        <f>IFERROR(__xludf.DUMMYFUNCTION("""COMPUTED_VALUE"""),"Neto G.C.: 2,10 € (a partir de 1 uds.)")</f>
        <v>Neto G.C.: 2,10 € (a partir de 1 uds.)</v>
      </c>
    </row>
    <row r="462">
      <c r="A462" s="4" t="str">
        <f>IFERROR(__xludf.DUMMYFUNCTION("""COMPUTED_VALUE"""),"0362B")</f>
        <v>0362B</v>
      </c>
      <c r="B462" s="4" t="str">
        <f>IFERROR(__xludf.DUMMYFUNCTION("""COMPUTED_VALUE"""),"Cartel PVC 40x30 Fotolum. Punto de reunión")</f>
        <v>Cartel PVC 40x30 Fotolum. Punto de reunión</v>
      </c>
      <c r="C462" s="4">
        <f>IFERROR(__xludf.DUMMYFUNCTION("""COMPUTED_VALUE"""),3.1)</f>
        <v>3.1</v>
      </c>
      <c r="D462" s="4">
        <f>IFERROR(__xludf.DUMMYFUNCTION("""COMPUTED_VALUE"""),3.2)</f>
        <v>3.2</v>
      </c>
      <c r="E462" s="4" t="str">
        <f>IFERROR(__xludf.DUMMYFUNCTION("""COMPUTED_VALUE"""),"Neto G.C.: 3,20 € (a partir de 1 uds.)")</f>
        <v>Neto G.C.: 3,20 € (a partir de 1 uds.)</v>
      </c>
    </row>
    <row r="463">
      <c r="A463" s="4" t="str">
        <f>IFERROR(__xludf.DUMMYFUNCTION("""COMPUTED_VALUE"""),"363")</f>
        <v>363</v>
      </c>
      <c r="B463" s="4" t="str">
        <f>IFERROR(__xludf.DUMMYFUNCTION("""COMPUTED_VALUE"""),"Cartel PVC 40x30 Atencion salida de camiones")</f>
        <v>Cartel PVC 40x30 Atencion salida de camiones</v>
      </c>
      <c r="C463" s="4">
        <f>IFERROR(__xludf.DUMMYFUNCTION("""COMPUTED_VALUE"""),2.48)</f>
        <v>2.48</v>
      </c>
      <c r="D463" s="4">
        <f>IFERROR(__xludf.DUMMYFUNCTION("""COMPUTED_VALUE"""),1.75)</f>
        <v>1.75</v>
      </c>
      <c r="E463" s="4" t="str">
        <f>IFERROR(__xludf.DUMMYFUNCTION("""COMPUTED_VALUE"""),"Neto G.C.: 1,75 € (a partir de 1 uds.)")</f>
        <v>Neto G.C.: 1,75 € (a partir de 1 uds.)</v>
      </c>
    </row>
    <row r="464">
      <c r="A464" s="4" t="str">
        <f>IFERROR(__xludf.DUMMYFUNCTION("""COMPUTED_VALUE"""),"364")</f>
        <v>364</v>
      </c>
      <c r="B464" s="4" t="str">
        <f>IFERROR(__xludf.DUMMYFUNCTION("""COMPUTED_VALUE"""),"Cartel PVC 21x30 Fotolum. Camilla de Socorro")</f>
        <v>Cartel PVC 21x30 Fotolum. Camilla de Socorro</v>
      </c>
      <c r="C464" s="4">
        <f>IFERROR(__xludf.DUMMYFUNCTION("""COMPUTED_VALUE"""),2.6)</f>
        <v>2.6</v>
      </c>
      <c r="D464" s="4">
        <f>IFERROR(__xludf.DUMMYFUNCTION("""COMPUTED_VALUE"""),2.1)</f>
        <v>2.1</v>
      </c>
      <c r="E464" s="4" t="str">
        <f>IFERROR(__xludf.DUMMYFUNCTION("""COMPUTED_VALUE"""),"Neto G.C.: 2,10 € (a partir de 1 uds.)")</f>
        <v>Neto G.C.: 2,10 € (a partir de 1 uds.)</v>
      </c>
    </row>
    <row r="465">
      <c r="A465" s="4" t="str">
        <f>IFERROR(__xludf.DUMMYFUNCTION("""COMPUTED_VALUE"""),"0364A")</f>
        <v>0364A</v>
      </c>
      <c r="B465" s="4" t="str">
        <f>IFERROR(__xludf.DUMMYFUNCTION("""COMPUTED_VALUE"""),"Cartel PVC 21x30 Fotolum. Camilla de socorro")</f>
        <v>Cartel PVC 21x30 Fotolum. Camilla de socorro</v>
      </c>
      <c r="C465" s="4">
        <f>IFERROR(__xludf.DUMMYFUNCTION("""COMPUTED_VALUE"""),2.52)</f>
        <v>2.52</v>
      </c>
      <c r="D465" s="4">
        <f>IFERROR(__xludf.DUMMYFUNCTION("""COMPUTED_VALUE"""),2.1)</f>
        <v>2.1</v>
      </c>
      <c r="E465" s="4" t="str">
        <f>IFERROR(__xludf.DUMMYFUNCTION("""COMPUTED_VALUE"""),"Neto G.C.: 2,10 € (a partir de 1 uds.)")</f>
        <v>Neto G.C.: 2,10 € (a partir de 1 uds.)</v>
      </c>
    </row>
    <row r="466">
      <c r="A466" s="4" t="str">
        <f>IFERROR(__xludf.DUMMYFUNCTION("""COMPUTED_VALUE"""),"0364B")</f>
        <v>0364B</v>
      </c>
      <c r="B466" s="4" t="str">
        <f>IFERROR(__xludf.DUMMYFUNCTION("""COMPUTED_VALUE"""),"Cartel PVC 40x30 Fotolum. Camilla de socorro")</f>
        <v>Cartel PVC 40x30 Fotolum. Camilla de socorro</v>
      </c>
      <c r="C466" s="4">
        <f>IFERROR(__xludf.DUMMYFUNCTION("""COMPUTED_VALUE"""),3.1)</f>
        <v>3.1</v>
      </c>
      <c r="D466" s="4">
        <f>IFERROR(__xludf.DUMMYFUNCTION("""COMPUTED_VALUE"""),3.2)</f>
        <v>3.2</v>
      </c>
      <c r="E466" s="4" t="str">
        <f>IFERROR(__xludf.DUMMYFUNCTION("""COMPUTED_VALUE"""),"Neto G.C.: 3,20 € (a partir de 1 uds.)")</f>
        <v>Neto G.C.: 3,20 € (a partir de 1 uds.)</v>
      </c>
    </row>
    <row r="467">
      <c r="A467" s="4" t="str">
        <f>IFERROR(__xludf.DUMMYFUNCTION("""COMPUTED_VALUE"""),"365")</f>
        <v>365</v>
      </c>
      <c r="B467" s="4" t="str">
        <f>IFERROR(__xludf.DUMMYFUNCTION("""COMPUTED_VALUE"""),"Cartel PVC 21x30 Fotolum. Pulsar en caso de Emergencia")</f>
        <v>Cartel PVC 21x30 Fotolum. Pulsar en caso de Emergencia</v>
      </c>
      <c r="C467" s="4">
        <f>IFERROR(__xludf.DUMMYFUNCTION("""COMPUTED_VALUE"""),2.6)</f>
        <v>2.6</v>
      </c>
      <c r="D467" s="4">
        <f>IFERROR(__xludf.DUMMYFUNCTION("""COMPUTED_VALUE"""),2.1)</f>
        <v>2.1</v>
      </c>
      <c r="E467" s="4" t="str">
        <f>IFERROR(__xludf.DUMMYFUNCTION("""COMPUTED_VALUE"""),"Neto G.C.: 2,10 € (a partir de 1 uds.)")</f>
        <v>Neto G.C.: 2,10 € (a partir de 1 uds.)</v>
      </c>
    </row>
    <row r="468">
      <c r="A468" s="4" t="str">
        <f>IFERROR(__xludf.DUMMYFUNCTION("""COMPUTED_VALUE"""),"366")</f>
        <v>366</v>
      </c>
      <c r="B468" s="4" t="str">
        <f>IFERROR(__xludf.DUMMYFUNCTION("""COMPUTED_VALUE"""),"Cartel PVC 21x30 Fotolum. Empujar barra para salir")</f>
        <v>Cartel PVC 21x30 Fotolum. Empujar barra para salir</v>
      </c>
      <c r="C468" s="4">
        <f>IFERROR(__xludf.DUMMYFUNCTION("""COMPUTED_VALUE"""),2.6)</f>
        <v>2.6</v>
      </c>
      <c r="D468" s="4">
        <f>IFERROR(__xludf.DUMMYFUNCTION("""COMPUTED_VALUE"""),2.1)</f>
        <v>2.1</v>
      </c>
      <c r="E468" s="4" t="str">
        <f>IFERROR(__xludf.DUMMYFUNCTION("""COMPUTED_VALUE"""),"Neto G.C.: 2,10 € (a partir de 1 uds.)")</f>
        <v>Neto G.C.: 2,10 € (a partir de 1 uds.)</v>
      </c>
    </row>
    <row r="469">
      <c r="A469" s="4" t="str">
        <f>IFERROR(__xludf.DUMMYFUNCTION("""COMPUTED_VALUE"""),"0366A")</f>
        <v>0366A</v>
      </c>
      <c r="B469" s="4" t="str">
        <f>IFERROR(__xludf.DUMMYFUNCTION("""COMPUTED_VALUE"""),"Cartel PVC 21x30 Fotolum. Empujar barra para salir")</f>
        <v>Cartel PVC 21x30 Fotolum. Empujar barra para salir</v>
      </c>
      <c r="C469" s="4">
        <f>IFERROR(__xludf.DUMMYFUNCTION("""COMPUTED_VALUE"""),2.52)</f>
        <v>2.52</v>
      </c>
      <c r="D469" s="4">
        <f>IFERROR(__xludf.DUMMYFUNCTION("""COMPUTED_VALUE"""),2.1)</f>
        <v>2.1</v>
      </c>
      <c r="E469" s="4" t="str">
        <f>IFERROR(__xludf.DUMMYFUNCTION("""COMPUTED_VALUE"""),"Neto G.C.: 2,10 € (a partir de 1 uds.)")</f>
        <v>Neto G.C.: 2,10 € (a partir de 1 uds.)</v>
      </c>
    </row>
    <row r="470">
      <c r="A470" s="4" t="str">
        <f>IFERROR(__xludf.DUMMYFUNCTION("""COMPUTED_VALUE"""),"0366B")</f>
        <v>0366B</v>
      </c>
      <c r="B470" s="4" t="str">
        <f>IFERROR(__xludf.DUMMYFUNCTION("""COMPUTED_VALUE"""),"Cartel PVC 40x30 Fotolum. Empujar barra para salir")</f>
        <v>Cartel PVC 40x30 Fotolum. Empujar barra para salir</v>
      </c>
      <c r="C470" s="4">
        <f>IFERROR(__xludf.DUMMYFUNCTION("""COMPUTED_VALUE"""),3.1)</f>
        <v>3.1</v>
      </c>
      <c r="D470" s="4">
        <f>IFERROR(__xludf.DUMMYFUNCTION("""COMPUTED_VALUE"""),3.2)</f>
        <v>3.2</v>
      </c>
      <c r="E470" s="4" t="str">
        <f>IFERROR(__xludf.DUMMYFUNCTION("""COMPUTED_VALUE"""),"Neto G.C.: 3,20 € (a partir de 1 uds.)")</f>
        <v>Neto G.C.: 3,20 € (a partir de 1 uds.)</v>
      </c>
    </row>
    <row r="471">
      <c r="A471" s="4" t="str">
        <f>IFERROR(__xludf.DUMMYFUNCTION("""COMPUTED_VALUE"""),"367")</f>
        <v>367</v>
      </c>
      <c r="B471" s="4" t="str">
        <f>IFERROR(__xludf.DUMMYFUNCTION("""COMPUTED_VALUE"""),"Cartel PVC 21x30 Fotolum. Salida de Emergencia")</f>
        <v>Cartel PVC 21x30 Fotolum. Salida de Emergencia</v>
      </c>
      <c r="C471" s="4">
        <f>IFERROR(__xludf.DUMMYFUNCTION("""COMPUTED_VALUE"""),2.6)</f>
        <v>2.6</v>
      </c>
      <c r="D471" s="4">
        <f>IFERROR(__xludf.DUMMYFUNCTION("""COMPUTED_VALUE"""),2.1)</f>
        <v>2.1</v>
      </c>
      <c r="E471" s="4" t="str">
        <f>IFERROR(__xludf.DUMMYFUNCTION("""COMPUTED_VALUE"""),"Neto G.C.: 2,10 € (a partir de 1 uds.)")</f>
        <v>Neto G.C.: 2,10 € (a partir de 1 uds.)</v>
      </c>
    </row>
    <row r="472">
      <c r="A472" s="4" t="str">
        <f>IFERROR(__xludf.DUMMYFUNCTION("""COMPUTED_VALUE"""),"0367A")</f>
        <v>0367A</v>
      </c>
      <c r="B472" s="4" t="str">
        <f>IFERROR(__xludf.DUMMYFUNCTION("""COMPUTED_VALUE"""),"Cartel PVC 32x16 Fotolum. Salida de emergenca")</f>
        <v>Cartel PVC 32x16 Fotolum. Salida de emergenca</v>
      </c>
      <c r="C472" s="4">
        <f>IFERROR(__xludf.DUMMYFUNCTION("""COMPUTED_VALUE"""),2.25)</f>
        <v>2.25</v>
      </c>
      <c r="D472" s="4"/>
      <c r="E472" s="4" t="str">
        <f>IFERROR(__xludf.DUMMYFUNCTION("""COMPUTED_VALUE"""),"Sin precio neto G.C.")</f>
        <v>Sin precio neto G.C.</v>
      </c>
    </row>
    <row r="473">
      <c r="A473" s="4" t="str">
        <f>IFERROR(__xludf.DUMMYFUNCTION("""COMPUTED_VALUE"""),"0367AA")</f>
        <v>0367AA</v>
      </c>
      <c r="B473" s="4" t="str">
        <f>IFERROR(__xludf.DUMMYFUNCTION("""COMPUTED_VALUE"""),"Cartel PVC 21x21 Fotolum.Minusválidos")</f>
        <v>Cartel PVC 21x21 Fotolum.Minusválidos</v>
      </c>
      <c r="C473" s="4">
        <f>IFERROR(__xludf.DUMMYFUNCTION("""COMPUTED_VALUE"""),2.31)</f>
        <v>2.31</v>
      </c>
      <c r="D473" s="4"/>
      <c r="E473" s="4" t="str">
        <f>IFERROR(__xludf.DUMMYFUNCTION("""COMPUTED_VALUE"""),"Sin precio neto G.C.")</f>
        <v>Sin precio neto G.C.</v>
      </c>
    </row>
    <row r="474">
      <c r="A474" s="4" t="str">
        <f>IFERROR(__xludf.DUMMYFUNCTION("""COMPUTED_VALUE"""),"0367BA")</f>
        <v>0367BA</v>
      </c>
      <c r="B474" s="4" t="str">
        <f>IFERROR(__xludf.DUMMYFUNCTION("""COMPUTED_VALUE"""),"Cartel PVC 42x42 Fotolum.Minusválidos")</f>
        <v>Cartel PVC 42x42 Fotolum.Minusválidos</v>
      </c>
      <c r="C474" s="4">
        <f>IFERROR(__xludf.DUMMYFUNCTION("""COMPUTED_VALUE"""),3.9)</f>
        <v>3.9</v>
      </c>
      <c r="D474" s="4"/>
      <c r="E474" s="4" t="str">
        <f>IFERROR(__xludf.DUMMYFUNCTION("""COMPUTED_VALUE"""),"Sin precio neto G.C.")</f>
        <v>Sin precio neto G.C.</v>
      </c>
    </row>
    <row r="475">
      <c r="A475" s="4" t="str">
        <f>IFERROR(__xludf.DUMMYFUNCTION("""COMPUTED_VALUE"""),"0367CA")</f>
        <v>0367CA</v>
      </c>
      <c r="B475" s="4" t="str">
        <f>IFERROR(__xludf.DUMMYFUNCTION("""COMPUTED_VALUE"""),"Cartel PVC 63x63 Fotolum.Minusválidos")</f>
        <v>Cartel PVC 63x63 Fotolum.Minusválidos</v>
      </c>
      <c r="C475" s="4">
        <f>IFERROR(__xludf.DUMMYFUNCTION("""COMPUTED_VALUE"""),6.25)</f>
        <v>6.25</v>
      </c>
      <c r="D475" s="4"/>
      <c r="E475" s="4" t="str">
        <f>IFERROR(__xludf.DUMMYFUNCTION("""COMPUTED_VALUE"""),"Sin precio neto G.C.")</f>
        <v>Sin precio neto G.C.</v>
      </c>
    </row>
    <row r="476">
      <c r="A476" s="4" t="str">
        <f>IFERROR(__xludf.DUMMYFUNCTION("""COMPUTED_VALUE"""),"368")</f>
        <v>368</v>
      </c>
      <c r="B476" s="4" t="str">
        <f>IFERROR(__xludf.DUMMYFUNCTION("""COMPUTED_VALUE"""),"Cartel PVC 21x29 AVISO POLICIA")</f>
        <v>Cartel PVC 21x29 AVISO POLICIA</v>
      </c>
      <c r="C476" s="4">
        <f>IFERROR(__xludf.DUMMYFUNCTION("""COMPUTED_VALUE"""),1.6)</f>
        <v>1.6</v>
      </c>
      <c r="D476" s="4">
        <f>IFERROR(__xludf.DUMMYFUNCTION("""COMPUTED_VALUE"""),1.2)</f>
        <v>1.2</v>
      </c>
      <c r="E476" s="4" t="str">
        <f>IFERROR(__xludf.DUMMYFUNCTION("""COMPUTED_VALUE"""),"Neto G.C.: 1,20 € (a partir de 1 uds.)")</f>
        <v>Neto G.C.: 1,20 € (a partir de 1 uds.)</v>
      </c>
    </row>
    <row r="477">
      <c r="A477" s="4" t="str">
        <f>IFERROR(__xludf.DUMMYFUNCTION("""COMPUTED_VALUE"""),"369")</f>
        <v>369</v>
      </c>
      <c r="B477" s="4" t="str">
        <f>IFERROR(__xludf.DUMMYFUNCTION("""COMPUTED_VALUE"""),"Cartel PVC 21x29 Zona video vigilada")</f>
        <v>Cartel PVC 21x29 Zona video vigilada</v>
      </c>
      <c r="C477" s="4">
        <f>IFERROR(__xludf.DUMMYFUNCTION("""COMPUTED_VALUE"""),1.6)</f>
        <v>1.6</v>
      </c>
      <c r="D477" s="4">
        <f>IFERROR(__xludf.DUMMYFUNCTION("""COMPUTED_VALUE"""),1.2)</f>
        <v>1.2</v>
      </c>
      <c r="E477" s="4" t="str">
        <f>IFERROR(__xludf.DUMMYFUNCTION("""COMPUTED_VALUE"""),"Neto G.C.: 1,20 € (a partir de 1 uds.)")</f>
        <v>Neto G.C.: 1,20 € (a partir de 1 uds.)</v>
      </c>
    </row>
    <row r="478">
      <c r="A478" s="4" t="str">
        <f>IFERROR(__xludf.DUMMYFUNCTION("""COMPUTED_VALUE"""),"370")</f>
        <v>370</v>
      </c>
      <c r="B478" s="4" t="str">
        <f>IFERROR(__xludf.DUMMYFUNCTION("""COMPUTED_VALUE"""),"Cartel PVC 40x30 Prohib. Beber y Comer")</f>
        <v>Cartel PVC 40x30 Prohib. Beber y Comer</v>
      </c>
      <c r="C478" s="4">
        <f>IFERROR(__xludf.DUMMYFUNCTION("""COMPUTED_VALUE"""),2.48)</f>
        <v>2.48</v>
      </c>
      <c r="D478" s="4">
        <f>IFERROR(__xludf.DUMMYFUNCTION("""COMPUTED_VALUE"""),1.75)</f>
        <v>1.75</v>
      </c>
      <c r="E478" s="4" t="str">
        <f>IFERROR(__xludf.DUMMYFUNCTION("""COMPUTED_VALUE"""),"Neto G.C.: 1,75 € (a partir de 1 uds.)")</f>
        <v>Neto G.C.: 1,75 € (a partir de 1 uds.)</v>
      </c>
    </row>
    <row r="479">
      <c r="A479" s="4" t="str">
        <f>IFERROR(__xludf.DUMMYFUNCTION("""COMPUTED_VALUE"""),"0370P")</f>
        <v>0370P</v>
      </c>
      <c r="B479" s="4" t="str">
        <f>IFERROR(__xludf.DUMMYFUNCTION("""COMPUTED_VALUE"""),"Cartel PVC 21x29 PROHIBIDO BEBER Y COMER")</f>
        <v>Cartel PVC 21x29 PROHIBIDO BEBER Y COMER</v>
      </c>
      <c r="C479" s="4">
        <f>IFERROR(__xludf.DUMMYFUNCTION("""COMPUTED_VALUE"""),1.6)</f>
        <v>1.6</v>
      </c>
      <c r="D479" s="4">
        <f>IFERROR(__xludf.DUMMYFUNCTION("""COMPUTED_VALUE"""),1.2)</f>
        <v>1.2</v>
      </c>
      <c r="E479" s="4" t="str">
        <f>IFERROR(__xludf.DUMMYFUNCTION("""COMPUTED_VALUE"""),"Neto G.C.: 1,20 € (a partir de 1 uds.)")</f>
        <v>Neto G.C.: 1,20 € (a partir de 1 uds.)</v>
      </c>
    </row>
    <row r="480">
      <c r="A480" s="4" t="str">
        <f>IFERROR(__xludf.DUMMYFUNCTION("""COMPUTED_VALUE"""),"371")</f>
        <v>371</v>
      </c>
      <c r="B480" s="4" t="str">
        <f>IFERROR(__xludf.DUMMYFUNCTION("""COMPUTED_VALUE"""),"Cartel PVC 40x30 Peligro Gases Compr.")</f>
        <v>Cartel PVC 40x30 Peligro Gases Compr.</v>
      </c>
      <c r="C480" s="4">
        <f>IFERROR(__xludf.DUMMYFUNCTION("""COMPUTED_VALUE"""),2.48)</f>
        <v>2.48</v>
      </c>
      <c r="D480" s="4">
        <f>IFERROR(__xludf.DUMMYFUNCTION("""COMPUTED_VALUE"""),1.75)</f>
        <v>1.75</v>
      </c>
      <c r="E480" s="4" t="str">
        <f>IFERROR(__xludf.DUMMYFUNCTION("""COMPUTED_VALUE"""),"Neto G.C.: 1,75 € (a partir de 1 uds.)")</f>
        <v>Neto G.C.: 1,75 € (a partir de 1 uds.)</v>
      </c>
    </row>
    <row r="481">
      <c r="A481" s="4" t="str">
        <f>IFERROR(__xludf.DUMMYFUNCTION("""COMPUTED_VALUE"""),"0371P")</f>
        <v>0371P</v>
      </c>
      <c r="B481" s="4" t="str">
        <f>IFERROR(__xludf.DUMMYFUNCTION("""COMPUTED_VALUE"""),"Cartel PVC 21x29 PELIGRO GASES COMPRIMIDOS")</f>
        <v>Cartel PVC 21x29 PELIGRO GASES COMPRIMIDOS</v>
      </c>
      <c r="C481" s="4">
        <f>IFERROR(__xludf.DUMMYFUNCTION("""COMPUTED_VALUE"""),1.6)</f>
        <v>1.6</v>
      </c>
      <c r="D481" s="4">
        <f>IFERROR(__xludf.DUMMYFUNCTION("""COMPUTED_VALUE"""),1.2)</f>
        <v>1.2</v>
      </c>
      <c r="E481" s="4" t="str">
        <f>IFERROR(__xludf.DUMMYFUNCTION("""COMPUTED_VALUE"""),"Neto G.C.: 1,20 € (a partir de 1 uds.)")</f>
        <v>Neto G.C.: 1,20 € (a partir de 1 uds.)</v>
      </c>
    </row>
    <row r="482">
      <c r="A482" s="4" t="str">
        <f>IFERROR(__xludf.DUMMYFUNCTION("""COMPUTED_VALUE"""),"372")</f>
        <v>372</v>
      </c>
      <c r="B482" s="4" t="str">
        <f>IFERROR(__xludf.DUMMYFUNCTION("""COMPUTED_VALUE"""),"Cartel PVC 40x30 Peligro Andamio Incom")</f>
        <v>Cartel PVC 40x30 Peligro Andamio Incom</v>
      </c>
      <c r="C482" s="4">
        <f>IFERROR(__xludf.DUMMYFUNCTION("""COMPUTED_VALUE"""),2.48)</f>
        <v>2.48</v>
      </c>
      <c r="D482" s="4">
        <f>IFERROR(__xludf.DUMMYFUNCTION("""COMPUTED_VALUE"""),1.75)</f>
        <v>1.75</v>
      </c>
      <c r="E482" s="4" t="str">
        <f>IFERROR(__xludf.DUMMYFUNCTION("""COMPUTED_VALUE"""),"Neto G.C.: 1,75 € (a partir de 1 uds.)")</f>
        <v>Neto G.C.: 1,75 € (a partir de 1 uds.)</v>
      </c>
    </row>
    <row r="483">
      <c r="A483" s="4" t="str">
        <f>IFERROR(__xludf.DUMMYFUNCTION("""COMPUTED_VALUE"""),"0372P")</f>
        <v>0372P</v>
      </c>
      <c r="B483" s="4" t="str">
        <f>IFERROR(__xludf.DUMMYFUNCTION("""COMPUTED_VALUE"""),"Cartel PVC 21x29 PELIGRO ANDAMIAJE INCOMPLETO")</f>
        <v>Cartel PVC 21x29 PELIGRO ANDAMIAJE INCOMPLETO</v>
      </c>
      <c r="C483" s="4">
        <f>IFERROR(__xludf.DUMMYFUNCTION("""COMPUTED_VALUE"""),1.6)</f>
        <v>1.6</v>
      </c>
      <c r="D483" s="4">
        <f>IFERROR(__xludf.DUMMYFUNCTION("""COMPUTED_VALUE"""),1.2)</f>
        <v>1.2</v>
      </c>
      <c r="E483" s="4" t="str">
        <f>IFERROR(__xludf.DUMMYFUNCTION("""COMPUTED_VALUE"""),"Neto G.C.: 1,20 € (a partir de 1 uds.)")</f>
        <v>Neto G.C.: 1,20 € (a partir de 1 uds.)</v>
      </c>
    </row>
    <row r="484">
      <c r="A484" s="4" t="str">
        <f>IFERROR(__xludf.DUMMYFUNCTION("""COMPUTED_VALUE"""),"373")</f>
        <v>373</v>
      </c>
      <c r="B484" s="4" t="str">
        <f>IFERROR(__xludf.DUMMYFUNCTION("""COMPUTED_VALUE"""),"Cartel PVC 40x30 Peligro Escalon")</f>
        <v>Cartel PVC 40x30 Peligro Escalon</v>
      </c>
      <c r="C484" s="4">
        <f>IFERROR(__xludf.DUMMYFUNCTION("""COMPUTED_VALUE"""),2.48)</f>
        <v>2.48</v>
      </c>
      <c r="D484" s="4">
        <f>IFERROR(__xludf.DUMMYFUNCTION("""COMPUTED_VALUE"""),1.75)</f>
        <v>1.75</v>
      </c>
      <c r="E484" s="4" t="str">
        <f>IFERROR(__xludf.DUMMYFUNCTION("""COMPUTED_VALUE"""),"Neto G.C.: 1,75 € (a partir de 1 uds.)")</f>
        <v>Neto G.C.: 1,75 € (a partir de 1 uds.)</v>
      </c>
    </row>
    <row r="485">
      <c r="A485" s="4" t="str">
        <f>IFERROR(__xludf.DUMMYFUNCTION("""COMPUTED_VALUE"""),"0373P")</f>
        <v>0373P</v>
      </c>
      <c r="B485" s="4" t="str">
        <f>IFERROR(__xludf.DUMMYFUNCTION("""COMPUTED_VALUE"""),"Cartel PVC 21x29 PELIGRO CUIDADO CON ESCALON")</f>
        <v>Cartel PVC 21x29 PELIGRO CUIDADO CON ESCALON</v>
      </c>
      <c r="C485" s="4">
        <f>IFERROR(__xludf.DUMMYFUNCTION("""COMPUTED_VALUE"""),1.6)</f>
        <v>1.6</v>
      </c>
      <c r="D485" s="4">
        <f>IFERROR(__xludf.DUMMYFUNCTION("""COMPUTED_VALUE"""),1.2)</f>
        <v>1.2</v>
      </c>
      <c r="E485" s="4" t="str">
        <f>IFERROR(__xludf.DUMMYFUNCTION("""COMPUTED_VALUE"""),"Neto G.C.: 1,20 € (a partir de 1 uds.)")</f>
        <v>Neto G.C.: 1,20 € (a partir de 1 uds.)</v>
      </c>
    </row>
    <row r="486">
      <c r="A486" s="4" t="str">
        <f>IFERROR(__xludf.DUMMYFUNCTION("""COMPUTED_VALUE"""),"374")</f>
        <v>374</v>
      </c>
      <c r="B486" s="4" t="str">
        <f>IFERROR(__xludf.DUMMYFUNCTION("""COMPUTED_VALUE"""),"Cartel PVC 40x30 Prohibido el Paso")</f>
        <v>Cartel PVC 40x30 Prohibido el Paso</v>
      </c>
      <c r="C486" s="4">
        <f>IFERROR(__xludf.DUMMYFUNCTION("""COMPUTED_VALUE"""),2.48)</f>
        <v>2.48</v>
      </c>
      <c r="D486" s="4">
        <f>IFERROR(__xludf.DUMMYFUNCTION("""COMPUTED_VALUE"""),1.75)</f>
        <v>1.75</v>
      </c>
      <c r="E486" s="4" t="str">
        <f>IFERROR(__xludf.DUMMYFUNCTION("""COMPUTED_VALUE"""),"Neto G.C.: 1,75 € (a partir de 1 uds.)")</f>
        <v>Neto G.C.: 1,75 € (a partir de 1 uds.)</v>
      </c>
    </row>
    <row r="487">
      <c r="A487" s="4" t="str">
        <f>IFERROR(__xludf.DUMMYFUNCTION("""COMPUTED_VALUE"""),"0374P")</f>
        <v>0374P</v>
      </c>
      <c r="B487" s="4" t="str">
        <f>IFERROR(__xludf.DUMMYFUNCTION("""COMPUTED_VALUE"""),"Cartel PVC 21x29 PROHIBIDO EL PASO")</f>
        <v>Cartel PVC 21x29 PROHIBIDO EL PASO</v>
      </c>
      <c r="C487" s="4">
        <f>IFERROR(__xludf.DUMMYFUNCTION("""COMPUTED_VALUE"""),1.6)</f>
        <v>1.6</v>
      </c>
      <c r="D487" s="4">
        <f>IFERROR(__xludf.DUMMYFUNCTION("""COMPUTED_VALUE"""),1.2)</f>
        <v>1.2</v>
      </c>
      <c r="E487" s="4" t="str">
        <f>IFERROR(__xludf.DUMMYFUNCTION("""COMPUTED_VALUE"""),"Neto G.C.: 1,20 € (a partir de 1 uds.)")</f>
        <v>Neto G.C.: 1,20 € (a partir de 1 uds.)</v>
      </c>
    </row>
    <row r="488">
      <c r="A488" s="4" t="str">
        <f>IFERROR(__xludf.DUMMYFUNCTION("""COMPUTED_VALUE"""),"375")</f>
        <v>375</v>
      </c>
      <c r="B488" s="4" t="str">
        <f>IFERROR(__xludf.DUMMYFUNCTION("""COMPUTED_VALUE"""),"Cartel PVC 40x30 Peligro de Incendio")</f>
        <v>Cartel PVC 40x30 Peligro de Incendio</v>
      </c>
      <c r="C488" s="4">
        <f>IFERROR(__xludf.DUMMYFUNCTION("""COMPUTED_VALUE"""),2.48)</f>
        <v>2.48</v>
      </c>
      <c r="D488" s="4">
        <f>IFERROR(__xludf.DUMMYFUNCTION("""COMPUTED_VALUE"""),1.75)</f>
        <v>1.75</v>
      </c>
      <c r="E488" s="4" t="str">
        <f>IFERROR(__xludf.DUMMYFUNCTION("""COMPUTED_VALUE"""),"Neto G.C.: 1,75 € (a partir de 1 uds.)")</f>
        <v>Neto G.C.: 1,75 € (a partir de 1 uds.)</v>
      </c>
    </row>
    <row r="489">
      <c r="A489" s="4" t="str">
        <f>IFERROR(__xludf.DUMMYFUNCTION("""COMPUTED_VALUE"""),"0375P")</f>
        <v>0375P</v>
      </c>
      <c r="B489" s="4" t="str">
        <f>IFERROR(__xludf.DUMMYFUNCTION("""COMPUTED_VALUE"""),"Cartel PVC 21x29 PELIGRO DE INCENDIO")</f>
        <v>Cartel PVC 21x29 PELIGRO DE INCENDIO</v>
      </c>
      <c r="C489" s="4">
        <f>IFERROR(__xludf.DUMMYFUNCTION("""COMPUTED_VALUE"""),1.6)</f>
        <v>1.6</v>
      </c>
      <c r="D489" s="4">
        <f>IFERROR(__xludf.DUMMYFUNCTION("""COMPUTED_VALUE"""),1.2)</f>
        <v>1.2</v>
      </c>
      <c r="E489" s="4" t="str">
        <f>IFERROR(__xludf.DUMMYFUNCTION("""COMPUTED_VALUE"""),"Neto G.C.: 1,20 € (a partir de 1 uds.)")</f>
        <v>Neto G.C.: 1,20 € (a partir de 1 uds.)</v>
      </c>
    </row>
    <row r="490">
      <c r="A490" s="4" t="str">
        <f>IFERROR(__xludf.DUMMYFUNCTION("""COMPUTED_VALUE"""),"376")</f>
        <v>376</v>
      </c>
      <c r="B490" s="4" t="str">
        <f>IFERROR(__xludf.DUMMYFUNCTION("""COMPUTED_VALUE"""),"Cartel PVC 40x30 Peligro Zona de Obras")</f>
        <v>Cartel PVC 40x30 Peligro Zona de Obras</v>
      </c>
      <c r="C490" s="4">
        <f>IFERROR(__xludf.DUMMYFUNCTION("""COMPUTED_VALUE"""),2.48)</f>
        <v>2.48</v>
      </c>
      <c r="D490" s="4">
        <f>IFERROR(__xludf.DUMMYFUNCTION("""COMPUTED_VALUE"""),1.75)</f>
        <v>1.75</v>
      </c>
      <c r="E490" s="4" t="str">
        <f>IFERROR(__xludf.DUMMYFUNCTION("""COMPUTED_VALUE"""),"Neto G.C.: 1,75 € (a partir de 1 uds.)")</f>
        <v>Neto G.C.: 1,75 € (a partir de 1 uds.)</v>
      </c>
    </row>
    <row r="491">
      <c r="A491" s="4" t="str">
        <f>IFERROR(__xludf.DUMMYFUNCTION("""COMPUTED_VALUE"""),"0376P")</f>
        <v>0376P</v>
      </c>
      <c r="B491" s="4" t="str">
        <f>IFERROR(__xludf.DUMMYFUNCTION("""COMPUTED_VALUE"""),"Cartel PVC 21x29 PELIGRO ZONA DE OBRAS")</f>
        <v>Cartel PVC 21x29 PELIGRO ZONA DE OBRAS</v>
      </c>
      <c r="C491" s="4">
        <f>IFERROR(__xludf.DUMMYFUNCTION("""COMPUTED_VALUE"""),1.6)</f>
        <v>1.6</v>
      </c>
      <c r="D491" s="4">
        <f>IFERROR(__xludf.DUMMYFUNCTION("""COMPUTED_VALUE"""),1.2)</f>
        <v>1.2</v>
      </c>
      <c r="E491" s="4" t="str">
        <f>IFERROR(__xludf.DUMMYFUNCTION("""COMPUTED_VALUE"""),"Neto G.C.: 1,20 € (a partir de 1 uds.)")</f>
        <v>Neto G.C.: 1,20 € (a partir de 1 uds.)</v>
      </c>
    </row>
    <row r="492">
      <c r="A492" s="4" t="str">
        <f>IFERROR(__xludf.DUMMYFUNCTION("""COMPUTED_VALUE"""),"377")</f>
        <v>377</v>
      </c>
      <c r="B492" s="4" t="str">
        <f>IFERROR(__xludf.DUMMYFUNCTION("""COMPUTED_VALUE"""),"Cartel PVC 40x30 Uso de minusvalidos")</f>
        <v>Cartel PVC 40x30 Uso de minusvalidos</v>
      </c>
      <c r="C492" s="4">
        <f>IFERROR(__xludf.DUMMYFUNCTION("""COMPUTED_VALUE"""),2.48)</f>
        <v>2.48</v>
      </c>
      <c r="D492" s="4">
        <f>IFERROR(__xludf.DUMMYFUNCTION("""COMPUTED_VALUE"""),1.75)</f>
        <v>1.75</v>
      </c>
      <c r="E492" s="4" t="str">
        <f>IFERROR(__xludf.DUMMYFUNCTION("""COMPUTED_VALUE"""),"Neto G.C.: 1,75 € (a partir de 1 uds.)")</f>
        <v>Neto G.C.: 1,75 € (a partir de 1 uds.)</v>
      </c>
    </row>
    <row r="493">
      <c r="A493" s="4" t="str">
        <f>IFERROR(__xludf.DUMMYFUNCTION("""COMPUTED_VALUE"""),"0377P")</f>
        <v>0377P</v>
      </c>
      <c r="B493" s="4" t="str">
        <f>IFERROR(__xludf.DUMMYFUNCTION("""COMPUTED_VALUE"""),"Cartel PVC 21x29 USO DE MINUSVALIDOS")</f>
        <v>Cartel PVC 21x29 USO DE MINUSVALIDOS</v>
      </c>
      <c r="C493" s="4">
        <f>IFERROR(__xludf.DUMMYFUNCTION("""COMPUTED_VALUE"""),1.6)</f>
        <v>1.6</v>
      </c>
      <c r="D493" s="4">
        <f>IFERROR(__xludf.DUMMYFUNCTION("""COMPUTED_VALUE"""),1.2)</f>
        <v>1.2</v>
      </c>
      <c r="E493" s="4" t="str">
        <f>IFERROR(__xludf.DUMMYFUNCTION("""COMPUTED_VALUE"""),"Neto G.C.: 1,20 € (a partir de 1 uds.)")</f>
        <v>Neto G.C.: 1,20 € (a partir de 1 uds.)</v>
      </c>
    </row>
    <row r="494">
      <c r="A494" s="4" t="str">
        <f>IFERROR(__xludf.DUMMYFUNCTION("""COMPUTED_VALUE"""),"378")</f>
        <v>378</v>
      </c>
      <c r="B494" s="4" t="str">
        <f>IFERROR(__xludf.DUMMYFUNCTION("""COMPUTED_VALUE"""),"Cartel PVC 40x30 Direccion obligatoria derecha")</f>
        <v>Cartel PVC 40x30 Direccion obligatoria derecha</v>
      </c>
      <c r="C494" s="4">
        <f>IFERROR(__xludf.DUMMYFUNCTION("""COMPUTED_VALUE"""),2.48)</f>
        <v>2.48</v>
      </c>
      <c r="D494" s="4">
        <f>IFERROR(__xludf.DUMMYFUNCTION("""COMPUTED_VALUE"""),1.75)</f>
        <v>1.75</v>
      </c>
      <c r="E494" s="4" t="str">
        <f>IFERROR(__xludf.DUMMYFUNCTION("""COMPUTED_VALUE"""),"Neto G.C.: 1,75 € (a partir de 1 uds.)")</f>
        <v>Neto G.C.: 1,75 € (a partir de 1 uds.)</v>
      </c>
    </row>
    <row r="495">
      <c r="A495" s="4" t="str">
        <f>IFERROR(__xludf.DUMMYFUNCTION("""COMPUTED_VALUE"""),"0378P")</f>
        <v>0378P</v>
      </c>
      <c r="B495" s="4" t="str">
        <f>IFERROR(__xludf.DUMMYFUNCTION("""COMPUTED_VALUE"""),"Cartel PVC 21x29 DIRECCION OBLIGATORIA DERECHA")</f>
        <v>Cartel PVC 21x29 DIRECCION OBLIGATORIA DERECHA</v>
      </c>
      <c r="C495" s="4">
        <f>IFERROR(__xludf.DUMMYFUNCTION("""COMPUTED_VALUE"""),1.6)</f>
        <v>1.6</v>
      </c>
      <c r="D495" s="4">
        <f>IFERROR(__xludf.DUMMYFUNCTION("""COMPUTED_VALUE"""),1.2)</f>
        <v>1.2</v>
      </c>
      <c r="E495" s="4" t="str">
        <f>IFERROR(__xludf.DUMMYFUNCTION("""COMPUTED_VALUE"""),"Neto G.C.: 1,20 € (a partir de 1 uds.)")</f>
        <v>Neto G.C.: 1,20 € (a partir de 1 uds.)</v>
      </c>
    </row>
    <row r="496">
      <c r="A496" s="4" t="str">
        <f>IFERROR(__xludf.DUMMYFUNCTION("""COMPUTED_VALUE"""),"379")</f>
        <v>379</v>
      </c>
      <c r="B496" s="4" t="str">
        <f>IFERROR(__xludf.DUMMYFUNCTION("""COMPUTED_VALUE"""),"Cartel PVC 40x30 Direccion obligatoria izquierda")</f>
        <v>Cartel PVC 40x30 Direccion obligatoria izquierda</v>
      </c>
      <c r="C496" s="4">
        <f>IFERROR(__xludf.DUMMYFUNCTION("""COMPUTED_VALUE"""),2.48)</f>
        <v>2.48</v>
      </c>
      <c r="D496" s="4">
        <f>IFERROR(__xludf.DUMMYFUNCTION("""COMPUTED_VALUE"""),1.75)</f>
        <v>1.75</v>
      </c>
      <c r="E496" s="4" t="str">
        <f>IFERROR(__xludf.DUMMYFUNCTION("""COMPUTED_VALUE"""),"Neto G.C.: 1,75 € (a partir de 1 uds.)")</f>
        <v>Neto G.C.: 1,75 € (a partir de 1 uds.)</v>
      </c>
    </row>
    <row r="497">
      <c r="A497" s="4" t="str">
        <f>IFERROR(__xludf.DUMMYFUNCTION("""COMPUTED_VALUE"""),"0379P")</f>
        <v>0379P</v>
      </c>
      <c r="B497" s="4" t="str">
        <f>IFERROR(__xludf.DUMMYFUNCTION("""COMPUTED_VALUE"""),"Cartel PVC 21x29 DIRECCION OBLIGATORIA IZQUIERDA")</f>
        <v>Cartel PVC 21x29 DIRECCION OBLIGATORIA IZQUIERDA</v>
      </c>
      <c r="C497" s="4">
        <f>IFERROR(__xludf.DUMMYFUNCTION("""COMPUTED_VALUE"""),1.6)</f>
        <v>1.6</v>
      </c>
      <c r="D497" s="4">
        <f>IFERROR(__xludf.DUMMYFUNCTION("""COMPUTED_VALUE"""),1.2)</f>
        <v>1.2</v>
      </c>
      <c r="E497" s="4" t="str">
        <f>IFERROR(__xludf.DUMMYFUNCTION("""COMPUTED_VALUE"""),"Neto G.C.: 1,20 € (a partir de 1 uds.)")</f>
        <v>Neto G.C.: 1,20 € (a partir de 1 uds.)</v>
      </c>
    </row>
    <row r="498">
      <c r="A498" s="4" t="str">
        <f>IFERROR(__xludf.DUMMYFUNCTION("""COMPUTED_VALUE"""),"380")</f>
        <v>380</v>
      </c>
      <c r="B498" s="4" t="str">
        <f>IFERROR(__xludf.DUMMYFUNCTION("""COMPUTED_VALUE"""),"Cartel PVC 40x30 Es obligatorio el uso de Mandil")</f>
        <v>Cartel PVC 40x30 Es obligatorio el uso de Mandil</v>
      </c>
      <c r="C498" s="4">
        <f>IFERROR(__xludf.DUMMYFUNCTION("""COMPUTED_VALUE"""),2.48)</f>
        <v>2.48</v>
      </c>
      <c r="D498" s="4">
        <f>IFERROR(__xludf.DUMMYFUNCTION("""COMPUTED_VALUE"""),1.75)</f>
        <v>1.75</v>
      </c>
      <c r="E498" s="4" t="str">
        <f>IFERROR(__xludf.DUMMYFUNCTION("""COMPUTED_VALUE"""),"Neto G.C.: 1,75 € (a partir de 1 uds.)")</f>
        <v>Neto G.C.: 1,75 € (a partir de 1 uds.)</v>
      </c>
    </row>
    <row r="499">
      <c r="A499" s="4" t="str">
        <f>IFERROR(__xludf.DUMMYFUNCTION("""COMPUTED_VALUE"""),"0380P")</f>
        <v>0380P</v>
      </c>
      <c r="B499" s="4" t="str">
        <f>IFERROR(__xludf.DUMMYFUNCTION("""COMPUTED_VALUE"""),"Cartel PVC 21x29 OBLIGATORIO EL USO DE MANDIL")</f>
        <v>Cartel PVC 21x29 OBLIGATORIO EL USO DE MANDIL</v>
      </c>
      <c r="C499" s="4">
        <f>IFERROR(__xludf.DUMMYFUNCTION("""COMPUTED_VALUE"""),1.6)</f>
        <v>1.6</v>
      </c>
      <c r="D499" s="4">
        <f>IFERROR(__xludf.DUMMYFUNCTION("""COMPUTED_VALUE"""),1.2)</f>
        <v>1.2</v>
      </c>
      <c r="E499" s="4" t="str">
        <f>IFERROR(__xludf.DUMMYFUNCTION("""COMPUTED_VALUE"""),"Neto G.C.: 1,20 € (a partir de 1 uds.)")</f>
        <v>Neto G.C.: 1,20 € (a partir de 1 uds.)</v>
      </c>
    </row>
    <row r="500">
      <c r="A500" s="4" t="str">
        <f>IFERROR(__xludf.DUMMYFUNCTION("""COMPUTED_VALUE"""),"381")</f>
        <v>381</v>
      </c>
      <c r="B500" s="4" t="str">
        <f>IFERROR(__xludf.DUMMYFUNCTION("""COMPUTED_VALUE"""),"Cartel PVC 40x30 Estrechamiento de calzada")</f>
        <v>Cartel PVC 40x30 Estrechamiento de calzada</v>
      </c>
      <c r="C500" s="4">
        <f>IFERROR(__xludf.DUMMYFUNCTION("""COMPUTED_VALUE"""),2.48)</f>
        <v>2.48</v>
      </c>
      <c r="D500" s="4">
        <f>IFERROR(__xludf.DUMMYFUNCTION("""COMPUTED_VALUE"""),1.75)</f>
        <v>1.75</v>
      </c>
      <c r="E500" s="4" t="str">
        <f>IFERROR(__xludf.DUMMYFUNCTION("""COMPUTED_VALUE"""),"Neto G.C.: 1,75 € (a partir de 1 uds.)")</f>
        <v>Neto G.C.: 1,75 € (a partir de 1 uds.)</v>
      </c>
    </row>
    <row r="501">
      <c r="A501" s="4" t="str">
        <f>IFERROR(__xludf.DUMMYFUNCTION("""COMPUTED_VALUE"""),"0381P")</f>
        <v>0381P</v>
      </c>
      <c r="B501" s="4" t="str">
        <f>IFERROR(__xludf.DUMMYFUNCTION("""COMPUTED_VALUE"""),"Cartel PVC 21x29 ESTRECHAMIENTO CALZADA CENTRAL")</f>
        <v>Cartel PVC 21x29 ESTRECHAMIENTO CALZADA CENTRAL</v>
      </c>
      <c r="C501" s="4">
        <f>IFERROR(__xludf.DUMMYFUNCTION("""COMPUTED_VALUE"""),1.6)</f>
        <v>1.6</v>
      </c>
      <c r="D501" s="4">
        <f>IFERROR(__xludf.DUMMYFUNCTION("""COMPUTED_VALUE"""),1.2)</f>
        <v>1.2</v>
      </c>
      <c r="E501" s="4" t="str">
        <f>IFERROR(__xludf.DUMMYFUNCTION("""COMPUTED_VALUE"""),"Neto G.C.: 1,20 € (a partir de 1 uds.)")</f>
        <v>Neto G.C.: 1,20 € (a partir de 1 uds.)</v>
      </c>
    </row>
    <row r="502">
      <c r="A502" s="4" t="str">
        <f>IFERROR(__xludf.DUMMYFUNCTION("""COMPUTED_VALUE"""),"382")</f>
        <v>382</v>
      </c>
      <c r="B502" s="4" t="str">
        <f>IFERROR(__xludf.DUMMYFUNCTION("""COMPUTED_VALUE"""),"Cartel PVC 40x30 Estrechamiento calzada por la derecha")</f>
        <v>Cartel PVC 40x30 Estrechamiento calzada por la derecha</v>
      </c>
      <c r="C502" s="4">
        <f>IFERROR(__xludf.DUMMYFUNCTION("""COMPUTED_VALUE"""),2.48)</f>
        <v>2.48</v>
      </c>
      <c r="D502" s="4">
        <f>IFERROR(__xludf.DUMMYFUNCTION("""COMPUTED_VALUE"""),1.75)</f>
        <v>1.75</v>
      </c>
      <c r="E502" s="4" t="str">
        <f>IFERROR(__xludf.DUMMYFUNCTION("""COMPUTED_VALUE"""),"Neto G.C.: 1,75 € (a partir de 1 uds.)")</f>
        <v>Neto G.C.: 1,75 € (a partir de 1 uds.)</v>
      </c>
    </row>
    <row r="503">
      <c r="A503" s="4" t="str">
        <f>IFERROR(__xludf.DUMMYFUNCTION("""COMPUTED_VALUE"""),"0382P")</f>
        <v>0382P</v>
      </c>
      <c r="B503" s="4" t="str">
        <f>IFERROR(__xludf.DUMMYFUNCTION("""COMPUTED_VALUE"""),"Cartel PVC 21x29 ESTRECHAMIENTO CALZADA POR DCHA")</f>
        <v>Cartel PVC 21x29 ESTRECHAMIENTO CALZADA POR DCHA</v>
      </c>
      <c r="C503" s="4">
        <f>IFERROR(__xludf.DUMMYFUNCTION("""COMPUTED_VALUE"""),1.6)</f>
        <v>1.6</v>
      </c>
      <c r="D503" s="4">
        <f>IFERROR(__xludf.DUMMYFUNCTION("""COMPUTED_VALUE"""),1.2)</f>
        <v>1.2</v>
      </c>
      <c r="E503" s="4" t="str">
        <f>IFERROR(__xludf.DUMMYFUNCTION("""COMPUTED_VALUE"""),"Neto G.C.: 1,20 € (a partir de 1 uds.)")</f>
        <v>Neto G.C.: 1,20 € (a partir de 1 uds.)</v>
      </c>
    </row>
    <row r="504">
      <c r="A504" s="4" t="str">
        <f>IFERROR(__xludf.DUMMYFUNCTION("""COMPUTED_VALUE"""),"383")</f>
        <v>383</v>
      </c>
      <c r="B504" s="4" t="str">
        <f>IFERROR(__xludf.DUMMYFUNCTION("""COMPUTED_VALUE"""),"Cartel PVC 40x30 Estrechamiento calzada por la izq.")</f>
        <v>Cartel PVC 40x30 Estrechamiento calzada por la izq.</v>
      </c>
      <c r="C504" s="4">
        <f>IFERROR(__xludf.DUMMYFUNCTION("""COMPUTED_VALUE"""),2.48)</f>
        <v>2.48</v>
      </c>
      <c r="D504" s="4">
        <f>IFERROR(__xludf.DUMMYFUNCTION("""COMPUTED_VALUE"""),1.75)</f>
        <v>1.75</v>
      </c>
      <c r="E504" s="4" t="str">
        <f>IFERROR(__xludf.DUMMYFUNCTION("""COMPUTED_VALUE"""),"Neto G.C.: 1,75 € (a partir de 1 uds.)")</f>
        <v>Neto G.C.: 1,75 € (a partir de 1 uds.)</v>
      </c>
    </row>
    <row r="505">
      <c r="A505" s="4" t="str">
        <f>IFERROR(__xludf.DUMMYFUNCTION("""COMPUTED_VALUE"""),"0383P")</f>
        <v>0383P</v>
      </c>
      <c r="B505" s="4" t="str">
        <f>IFERROR(__xludf.DUMMYFUNCTION("""COMPUTED_VALUE"""),"Cartel PVC 21x29 ESTRECHAMIENTO CALZADA POR IZQ.")</f>
        <v>Cartel PVC 21x29 ESTRECHAMIENTO CALZADA POR IZQ.</v>
      </c>
      <c r="C505" s="4">
        <f>IFERROR(__xludf.DUMMYFUNCTION("""COMPUTED_VALUE"""),1.6)</f>
        <v>1.6</v>
      </c>
      <c r="D505" s="4">
        <f>IFERROR(__xludf.DUMMYFUNCTION("""COMPUTED_VALUE"""),1.2)</f>
        <v>1.2</v>
      </c>
      <c r="E505" s="4" t="str">
        <f>IFERROR(__xludf.DUMMYFUNCTION("""COMPUTED_VALUE"""),"Neto G.C.: 1,20 € (a partir de 1 uds.)")</f>
        <v>Neto G.C.: 1,20 € (a partir de 1 uds.)</v>
      </c>
    </row>
    <row r="506">
      <c r="A506" s="4" t="str">
        <f>IFERROR(__xludf.DUMMYFUNCTION("""COMPUTED_VALUE"""),"384")</f>
        <v>384</v>
      </c>
      <c r="B506" s="4" t="str">
        <f>IFERROR(__xludf.DUMMYFUNCTION("""COMPUTED_VALUE"""),"Cartel PVC 40x30 Peligro cable suspendido")</f>
        <v>Cartel PVC 40x30 Peligro cable suspendido</v>
      </c>
      <c r="C506" s="4">
        <f>IFERROR(__xludf.DUMMYFUNCTION("""COMPUTED_VALUE"""),2.48)</f>
        <v>2.48</v>
      </c>
      <c r="D506" s="4">
        <f>IFERROR(__xludf.DUMMYFUNCTION("""COMPUTED_VALUE"""),1.75)</f>
        <v>1.75</v>
      </c>
      <c r="E506" s="4" t="str">
        <f>IFERROR(__xludf.DUMMYFUNCTION("""COMPUTED_VALUE"""),"Neto G.C.: 1,75 € (a partir de 1 uds.)")</f>
        <v>Neto G.C.: 1,75 € (a partir de 1 uds.)</v>
      </c>
    </row>
    <row r="507">
      <c r="A507" s="4" t="str">
        <f>IFERROR(__xludf.DUMMYFUNCTION("""COMPUTED_VALUE"""),"0384P")</f>
        <v>0384P</v>
      </c>
      <c r="B507" s="4" t="str">
        <f>IFERROR(__xludf.DUMMYFUNCTION("""COMPUTED_VALUE"""),"Cartel PVC 21x29 PELIGRO CABLE SUSPENDIDO")</f>
        <v>Cartel PVC 21x29 PELIGRO CABLE SUSPENDIDO</v>
      </c>
      <c r="C507" s="4">
        <f>IFERROR(__xludf.DUMMYFUNCTION("""COMPUTED_VALUE"""),1.6)</f>
        <v>1.6</v>
      </c>
      <c r="D507" s="4">
        <f>IFERROR(__xludf.DUMMYFUNCTION("""COMPUTED_VALUE"""),1.2)</f>
        <v>1.2</v>
      </c>
      <c r="E507" s="4" t="str">
        <f>IFERROR(__xludf.DUMMYFUNCTION("""COMPUTED_VALUE"""),"Neto G.C.: 1,20 € (a partir de 1 uds.)")</f>
        <v>Neto G.C.: 1,20 € (a partir de 1 uds.)</v>
      </c>
    </row>
    <row r="508">
      <c r="A508" s="4" t="str">
        <f>IFERROR(__xludf.DUMMYFUNCTION("""COMPUTED_VALUE"""),"385")</f>
        <v>385</v>
      </c>
      <c r="B508" s="4" t="str">
        <f>IFERROR(__xludf.DUMMYFUNCTION("""COMPUTED_VALUE"""),"Cartel PVC 40x30 Caida al mismo nivel")</f>
        <v>Cartel PVC 40x30 Caida al mismo nivel</v>
      </c>
      <c r="C508" s="4">
        <f>IFERROR(__xludf.DUMMYFUNCTION("""COMPUTED_VALUE"""),2.48)</f>
        <v>2.48</v>
      </c>
      <c r="D508" s="4">
        <f>IFERROR(__xludf.DUMMYFUNCTION("""COMPUTED_VALUE"""),1.75)</f>
        <v>1.75</v>
      </c>
      <c r="E508" s="4" t="str">
        <f>IFERROR(__xludf.DUMMYFUNCTION("""COMPUTED_VALUE"""),"Neto G.C.: 1,75 € (a partir de 1 uds.)")</f>
        <v>Neto G.C.: 1,75 € (a partir de 1 uds.)</v>
      </c>
    </row>
    <row r="509">
      <c r="A509" s="4" t="str">
        <f>IFERROR(__xludf.DUMMYFUNCTION("""COMPUTED_VALUE"""),"0385P")</f>
        <v>0385P</v>
      </c>
      <c r="B509" s="4" t="str">
        <f>IFERROR(__xludf.DUMMYFUNCTION("""COMPUTED_VALUE"""),"Cartel PVC 21x29 CAIDA AL MISMO NIVEL")</f>
        <v>Cartel PVC 21x29 CAIDA AL MISMO NIVEL</v>
      </c>
      <c r="C509" s="4">
        <f>IFERROR(__xludf.DUMMYFUNCTION("""COMPUTED_VALUE"""),1.6)</f>
        <v>1.6</v>
      </c>
      <c r="D509" s="4">
        <f>IFERROR(__xludf.DUMMYFUNCTION("""COMPUTED_VALUE"""),1.2)</f>
        <v>1.2</v>
      </c>
      <c r="E509" s="4" t="str">
        <f>IFERROR(__xludf.DUMMYFUNCTION("""COMPUTED_VALUE"""),"Neto G.C.: 1,20 € (a partir de 1 uds.)")</f>
        <v>Neto G.C.: 1,20 € (a partir de 1 uds.)</v>
      </c>
    </row>
    <row r="510">
      <c r="A510" s="4" t="str">
        <f>IFERROR(__xludf.DUMMYFUNCTION("""COMPUTED_VALUE"""),"386")</f>
        <v>386</v>
      </c>
      <c r="B510" s="4" t="str">
        <f>IFERROR(__xludf.DUMMYFUNCTION("""COMPUTED_VALUE"""),"Cartel PVC 40x30 Peligro Amianto")</f>
        <v>Cartel PVC 40x30 Peligro Amianto</v>
      </c>
      <c r="C510" s="4">
        <f>IFERROR(__xludf.DUMMYFUNCTION("""COMPUTED_VALUE"""),2.48)</f>
        <v>2.48</v>
      </c>
      <c r="D510" s="4">
        <f>IFERROR(__xludf.DUMMYFUNCTION("""COMPUTED_VALUE"""),1.75)</f>
        <v>1.75</v>
      </c>
      <c r="E510" s="4" t="str">
        <f>IFERROR(__xludf.DUMMYFUNCTION("""COMPUTED_VALUE"""),"Neto G.C.: 1,75 € (a partir de 1 uds.)")</f>
        <v>Neto G.C.: 1,75 € (a partir de 1 uds.)</v>
      </c>
    </row>
    <row r="511">
      <c r="A511" s="4" t="str">
        <f>IFERROR(__xludf.DUMMYFUNCTION("""COMPUTED_VALUE"""),"0386P")</f>
        <v>0386P</v>
      </c>
      <c r="B511" s="4" t="str">
        <f>IFERROR(__xludf.DUMMYFUNCTION("""COMPUTED_VALUE"""),"Cartel PVC 21x29 PELIGRO AMIANTO")</f>
        <v>Cartel PVC 21x29 PELIGRO AMIANTO</v>
      </c>
      <c r="C511" s="4">
        <f>IFERROR(__xludf.DUMMYFUNCTION("""COMPUTED_VALUE"""),1.6)</f>
        <v>1.6</v>
      </c>
      <c r="D511" s="4">
        <f>IFERROR(__xludf.DUMMYFUNCTION("""COMPUTED_VALUE"""),1.2)</f>
        <v>1.2</v>
      </c>
      <c r="E511" s="4" t="str">
        <f>IFERROR(__xludf.DUMMYFUNCTION("""COMPUTED_VALUE"""),"Neto G.C.: 1,20 € (a partir de 1 uds.)")</f>
        <v>Neto G.C.: 1,20 € (a partir de 1 uds.)</v>
      </c>
    </row>
    <row r="512">
      <c r="A512" s="4" t="str">
        <f>IFERROR(__xludf.DUMMYFUNCTION("""COMPUTED_VALUE"""),"387")</f>
        <v>387</v>
      </c>
      <c r="B512" s="4" t="str">
        <f>IFERROR(__xludf.DUMMYFUNCTION("""COMPUTED_VALUE"""),"Cartel PVC 40x30 Uso obligatorio de luces de cruce")</f>
        <v>Cartel PVC 40x30 Uso obligatorio de luces de cruce</v>
      </c>
      <c r="C512" s="4">
        <f>IFERROR(__xludf.DUMMYFUNCTION("""COMPUTED_VALUE"""),2.48)</f>
        <v>2.48</v>
      </c>
      <c r="D512" s="4">
        <f>IFERROR(__xludf.DUMMYFUNCTION("""COMPUTED_VALUE"""),1.75)</f>
        <v>1.75</v>
      </c>
      <c r="E512" s="4" t="str">
        <f>IFERROR(__xludf.DUMMYFUNCTION("""COMPUTED_VALUE"""),"Neto G.C.: 1,75 € (a partir de 1 uds.)")</f>
        <v>Neto G.C.: 1,75 € (a partir de 1 uds.)</v>
      </c>
    </row>
    <row r="513">
      <c r="A513" s="4" t="str">
        <f>IFERROR(__xludf.DUMMYFUNCTION("""COMPUTED_VALUE"""),"0387P")</f>
        <v>0387P</v>
      </c>
      <c r="B513" s="4" t="str">
        <f>IFERROR(__xludf.DUMMYFUNCTION("""COMPUTED_VALUE"""),"Cartel PVC 21X29 OBLIGATORIO USO DE LUCES DE")</f>
        <v>Cartel PVC 21X29 OBLIGATORIO USO DE LUCES DE</v>
      </c>
      <c r="C513" s="4">
        <f>IFERROR(__xludf.DUMMYFUNCTION("""COMPUTED_VALUE"""),1.6)</f>
        <v>1.6</v>
      </c>
      <c r="D513" s="4">
        <f>IFERROR(__xludf.DUMMYFUNCTION("""COMPUTED_VALUE"""),1.2)</f>
        <v>1.2</v>
      </c>
      <c r="E513" s="4" t="str">
        <f>IFERROR(__xludf.DUMMYFUNCTION("""COMPUTED_VALUE"""),"Neto G.C.: 1,20 € (a partir de 1 uds.)")</f>
        <v>Neto G.C.: 1,20 € (a partir de 1 uds.)</v>
      </c>
    </row>
    <row r="514">
      <c r="A514" s="4" t="str">
        <f>IFERROR(__xludf.DUMMYFUNCTION("""COMPUTED_VALUE"""),"388")</f>
        <v>388</v>
      </c>
      <c r="B514" s="4" t="str">
        <f>IFERROR(__xludf.DUMMYFUNCTION("""COMPUTED_VALUE"""),"Cartel PVC 40x30 Uso obligatorio de chaleco alta visibilidad")</f>
        <v>Cartel PVC 40x30 Uso obligatorio de chaleco alta visibilidad</v>
      </c>
      <c r="C514" s="4">
        <f>IFERROR(__xludf.DUMMYFUNCTION("""COMPUTED_VALUE"""),2.48)</f>
        <v>2.48</v>
      </c>
      <c r="D514" s="4">
        <f>IFERROR(__xludf.DUMMYFUNCTION("""COMPUTED_VALUE"""),1.75)</f>
        <v>1.75</v>
      </c>
      <c r="E514" s="4" t="str">
        <f>IFERROR(__xludf.DUMMYFUNCTION("""COMPUTED_VALUE"""),"Neto G.C.: 1,75 € (a partir de 1 uds.)")</f>
        <v>Neto G.C.: 1,75 € (a partir de 1 uds.)</v>
      </c>
    </row>
    <row r="515">
      <c r="A515" s="4" t="str">
        <f>IFERROR(__xludf.DUMMYFUNCTION("""COMPUTED_VALUE"""),"0388P")</f>
        <v>0388P</v>
      </c>
      <c r="B515" s="4" t="str">
        <f>IFERROR(__xludf.DUMMYFUNCTION("""COMPUTED_VALUE"""),"Cartel PVC 21x29 OBLIGATORIO EL USO CHALECO ALTA")</f>
        <v>Cartel PVC 21x29 OBLIGATORIO EL USO CHALECO ALTA</v>
      </c>
      <c r="C515" s="4">
        <f>IFERROR(__xludf.DUMMYFUNCTION("""COMPUTED_VALUE"""),1.6)</f>
        <v>1.6</v>
      </c>
      <c r="D515" s="4">
        <f>IFERROR(__xludf.DUMMYFUNCTION("""COMPUTED_VALUE"""),1.2)</f>
        <v>1.2</v>
      </c>
      <c r="E515" s="4" t="str">
        <f>IFERROR(__xludf.DUMMYFUNCTION("""COMPUTED_VALUE"""),"Neto G.C.: 1,20 € (a partir de 1 uds.)")</f>
        <v>Neto G.C.: 1,20 € (a partir de 1 uds.)</v>
      </c>
    </row>
    <row r="516">
      <c r="A516" s="4" t="str">
        <f>IFERROR(__xludf.DUMMYFUNCTION("""COMPUTED_VALUE"""),"389")</f>
        <v>389</v>
      </c>
      <c r="B516" s="4" t="str">
        <f>IFERROR(__xludf.DUMMYFUNCTION("""COMPUTED_VALUE"""),"Cartel 50x70 cm c/ojales CALLE CORTADA POR OBRAS (o")</f>
        <v>Cartel 50x70 cm c/ojales CALLE CORTADA POR OBRAS (o</v>
      </c>
      <c r="C516" s="4">
        <f>IFERROR(__xludf.DUMMYFUNCTION("""COMPUTED_VALUE"""),9.97)</f>
        <v>9.97</v>
      </c>
      <c r="D516" s="4"/>
      <c r="E516" s="4" t="str">
        <f>IFERROR(__xludf.DUMMYFUNCTION("""COMPUTED_VALUE"""),"Sin precio neto G.C.")</f>
        <v>Sin precio neto G.C.</v>
      </c>
    </row>
    <row r="517">
      <c r="A517" s="4" t="str">
        <f>IFERROR(__xludf.DUMMYFUNCTION("""COMPUTED_VALUE"""),"390")</f>
        <v>390</v>
      </c>
      <c r="B517" s="4" t="str">
        <f>IFERROR(__xludf.DUMMYFUNCTION("""COMPUTED_VALUE"""),"Cartel PVC 50x70 Combinado")</f>
        <v>Cartel PVC 50x70 Combinado</v>
      </c>
      <c r="C517" s="4">
        <f>IFERROR(__xludf.DUMMYFUNCTION("""COMPUTED_VALUE"""),5.45)</f>
        <v>5.45</v>
      </c>
      <c r="D517" s="4">
        <f>IFERROR(__xludf.DUMMYFUNCTION("""COMPUTED_VALUE"""),4.8)</f>
        <v>4.8</v>
      </c>
      <c r="E517" s="4" t="str">
        <f>IFERROR(__xludf.DUMMYFUNCTION("""COMPUTED_VALUE"""),"Neto G.C.: 4,80 € (a partir de 50 uds.)")</f>
        <v>Neto G.C.: 4,80 € (a partir de 50 uds.)</v>
      </c>
    </row>
    <row r="518">
      <c r="A518" s="4" t="str">
        <f>IFERROR(__xludf.DUMMYFUNCTION("""COMPUTED_VALUE"""),"0390PA")</f>
        <v>0390PA</v>
      </c>
      <c r="B518" s="4" t="str">
        <f>IFERROR(__xludf.DUMMYFUNCTION("""COMPUTED_VALUE"""),"Cartel Poliet. 50x70 PROHIBIDO APARCAR CON HORARIO")</f>
        <v>Cartel Poliet. 50x70 PROHIBIDO APARCAR CON HORARIO</v>
      </c>
      <c r="C518" s="4">
        <f>IFERROR(__xludf.DUMMYFUNCTION("""COMPUTED_VALUE"""),7.0)</f>
        <v>7</v>
      </c>
      <c r="D518" s="4"/>
      <c r="E518" s="4" t="str">
        <f>IFERROR(__xludf.DUMMYFUNCTION("""COMPUTED_VALUE"""),"Sin precio neto G.C.")</f>
        <v>Sin precio neto G.C.</v>
      </c>
    </row>
    <row r="519">
      <c r="A519" s="4" t="str">
        <f>IFERROR(__xludf.DUMMYFUNCTION("""COMPUTED_VALUE"""),"391")</f>
        <v>391</v>
      </c>
      <c r="B519" s="4" t="str">
        <f>IFERROR(__xludf.DUMMYFUNCTION("""COMPUTED_VALUE"""),"Señal PVC suelo plegable")</f>
        <v>Señal PVC suelo plegable</v>
      </c>
      <c r="C519" s="4">
        <f>IFERROR(__xludf.DUMMYFUNCTION("""COMPUTED_VALUE"""),5.95)</f>
        <v>5.95</v>
      </c>
      <c r="D519" s="4">
        <f>IFERROR(__xludf.DUMMYFUNCTION("""COMPUTED_VALUE"""),5.5)</f>
        <v>5.5</v>
      </c>
      <c r="E519" s="4" t="str">
        <f>IFERROR(__xludf.DUMMYFUNCTION("""COMPUTED_VALUE"""),"Neto G.C.: 5,50 € (a partir de 10 uds.)")</f>
        <v>Neto G.C.: 5,50 € (a partir de 10 uds.)</v>
      </c>
    </row>
    <row r="520">
      <c r="A520" s="4" t="str">
        <f>IFERROR(__xludf.DUMMYFUNCTION("""COMPUTED_VALUE"""),"0391P")</f>
        <v>0391P</v>
      </c>
      <c r="B520" s="4" t="str">
        <f>IFERROR(__xludf.DUMMYFUNCTION("""COMPUTED_VALUE"""),"Caballete plegable amarillo señalizacion personalizado")</f>
        <v>Caballete plegable amarillo señalizacion personalizado</v>
      </c>
      <c r="C520" s="4">
        <f>IFERROR(__xludf.DUMMYFUNCTION("""COMPUTED_VALUE"""),9.0)</f>
        <v>9</v>
      </c>
      <c r="D520" s="4"/>
      <c r="E520" s="4" t="str">
        <f>IFERROR(__xludf.DUMMYFUNCTION("""COMPUTED_VALUE"""),"Sin precio neto G.C.")</f>
        <v>Sin precio neto G.C.</v>
      </c>
    </row>
    <row r="521">
      <c r="A521" s="4" t="str">
        <f>IFERROR(__xludf.DUMMYFUNCTION("""COMPUTED_VALUE"""),"392")</f>
        <v>392</v>
      </c>
      <c r="B521" s="4" t="str">
        <f>IFERROR(__xludf.DUMMYFUNCTION("""COMPUTED_VALUE"""),"Cartel PVC 40x30 Limite vel. 10")</f>
        <v>Cartel PVC 40x30 Limite vel. 10</v>
      </c>
      <c r="C521" s="4">
        <f>IFERROR(__xludf.DUMMYFUNCTION("""COMPUTED_VALUE"""),2.48)</f>
        <v>2.48</v>
      </c>
      <c r="D521" s="4">
        <f>IFERROR(__xludf.DUMMYFUNCTION("""COMPUTED_VALUE"""),1.75)</f>
        <v>1.75</v>
      </c>
      <c r="E521" s="4" t="str">
        <f>IFERROR(__xludf.DUMMYFUNCTION("""COMPUTED_VALUE"""),"Neto G.C.: 1,75 € (a partir de 1 uds.)")</f>
        <v>Neto G.C.: 1,75 € (a partir de 1 uds.)</v>
      </c>
    </row>
    <row r="522">
      <c r="A522" s="4" t="str">
        <f>IFERROR(__xludf.DUMMYFUNCTION("""COMPUTED_VALUE"""),"0392P")</f>
        <v>0392P</v>
      </c>
      <c r="B522" s="4" t="str">
        <f>IFERROR(__xludf.DUMMYFUNCTION("""COMPUTED_VALUE"""),"Cartel PVC 21x29 VELOCIDAD MAXIMA 10")</f>
        <v>Cartel PVC 21x29 VELOCIDAD MAXIMA 10</v>
      </c>
      <c r="C522" s="4">
        <f>IFERROR(__xludf.DUMMYFUNCTION("""COMPUTED_VALUE"""),1.6)</f>
        <v>1.6</v>
      </c>
      <c r="D522" s="4">
        <f>IFERROR(__xludf.DUMMYFUNCTION("""COMPUTED_VALUE"""),1.2)</f>
        <v>1.2</v>
      </c>
      <c r="E522" s="4" t="str">
        <f>IFERROR(__xludf.DUMMYFUNCTION("""COMPUTED_VALUE"""),"Neto G.C.: 1,20 € (a partir de 1 uds.)")</f>
        <v>Neto G.C.: 1,20 € (a partir de 1 uds.)</v>
      </c>
    </row>
    <row r="523">
      <c r="A523" s="4" t="str">
        <f>IFERROR(__xludf.DUMMYFUNCTION("""COMPUTED_VALUE"""),"393")</f>
        <v>393</v>
      </c>
      <c r="B523" s="4" t="str">
        <f>IFERROR(__xludf.DUMMYFUNCTION("""COMPUTED_VALUE"""),"Cartel PVC 40x30 Limite vel. 20")</f>
        <v>Cartel PVC 40x30 Limite vel. 20</v>
      </c>
      <c r="C523" s="4">
        <f>IFERROR(__xludf.DUMMYFUNCTION("""COMPUTED_VALUE"""),2.48)</f>
        <v>2.48</v>
      </c>
      <c r="D523" s="4">
        <f>IFERROR(__xludf.DUMMYFUNCTION("""COMPUTED_VALUE"""),1.75)</f>
        <v>1.75</v>
      </c>
      <c r="E523" s="4" t="str">
        <f>IFERROR(__xludf.DUMMYFUNCTION("""COMPUTED_VALUE"""),"Neto G.C.: 1,75 € (a partir de 1 uds.)")</f>
        <v>Neto G.C.: 1,75 € (a partir de 1 uds.)</v>
      </c>
    </row>
    <row r="524">
      <c r="A524" s="4" t="str">
        <f>IFERROR(__xludf.DUMMYFUNCTION("""COMPUTED_VALUE"""),"0393P")</f>
        <v>0393P</v>
      </c>
      <c r="B524" s="4" t="str">
        <f>IFERROR(__xludf.DUMMYFUNCTION("""COMPUTED_VALUE"""),"Cartel PVC 21x29 VELOCIDAD MAXIMA 20")</f>
        <v>Cartel PVC 21x29 VELOCIDAD MAXIMA 20</v>
      </c>
      <c r="C524" s="4">
        <f>IFERROR(__xludf.DUMMYFUNCTION("""COMPUTED_VALUE"""),1.6)</f>
        <v>1.6</v>
      </c>
      <c r="D524" s="4">
        <f>IFERROR(__xludf.DUMMYFUNCTION("""COMPUTED_VALUE"""),1.2)</f>
        <v>1.2</v>
      </c>
      <c r="E524" s="4" t="str">
        <f>IFERROR(__xludf.DUMMYFUNCTION("""COMPUTED_VALUE"""),"Neto G.C.: 1,20 € (a partir de 1 uds.)")</f>
        <v>Neto G.C.: 1,20 € (a partir de 1 uds.)</v>
      </c>
    </row>
    <row r="525">
      <c r="A525" s="4" t="str">
        <f>IFERROR(__xludf.DUMMYFUNCTION("""COMPUTED_VALUE"""),"394")</f>
        <v>394</v>
      </c>
      <c r="B525" s="4" t="str">
        <f>IFERROR(__xludf.DUMMYFUNCTION("""COMPUTED_VALUE"""),"Cartel PVC 40x30 Limite vel. 30")</f>
        <v>Cartel PVC 40x30 Limite vel. 30</v>
      </c>
      <c r="C525" s="4">
        <f>IFERROR(__xludf.DUMMYFUNCTION("""COMPUTED_VALUE"""),2.48)</f>
        <v>2.48</v>
      </c>
      <c r="D525" s="4">
        <f>IFERROR(__xludf.DUMMYFUNCTION("""COMPUTED_VALUE"""),1.75)</f>
        <v>1.75</v>
      </c>
      <c r="E525" s="4" t="str">
        <f>IFERROR(__xludf.DUMMYFUNCTION("""COMPUTED_VALUE"""),"Neto G.C.: 1,75 € (a partir de 1 uds.)")</f>
        <v>Neto G.C.: 1,75 € (a partir de 1 uds.)</v>
      </c>
    </row>
    <row r="526">
      <c r="A526" s="4" t="str">
        <f>IFERROR(__xludf.DUMMYFUNCTION("""COMPUTED_VALUE"""),"0394P")</f>
        <v>0394P</v>
      </c>
      <c r="B526" s="4" t="str">
        <f>IFERROR(__xludf.DUMMYFUNCTION("""COMPUTED_VALUE"""),"Cartel PVC 21x29 VELOCIDAD MAXIMA 30")</f>
        <v>Cartel PVC 21x29 VELOCIDAD MAXIMA 30</v>
      </c>
      <c r="C526" s="4">
        <f>IFERROR(__xludf.DUMMYFUNCTION("""COMPUTED_VALUE"""),1.6)</f>
        <v>1.6</v>
      </c>
      <c r="D526" s="4">
        <f>IFERROR(__xludf.DUMMYFUNCTION("""COMPUTED_VALUE"""),1.2)</f>
        <v>1.2</v>
      </c>
      <c r="E526" s="4" t="str">
        <f>IFERROR(__xludf.DUMMYFUNCTION("""COMPUTED_VALUE"""),"Neto G.C.: 1,20 € (a partir de 1 uds.)")</f>
        <v>Neto G.C.: 1,20 € (a partir de 1 uds.)</v>
      </c>
    </row>
    <row r="527">
      <c r="A527" s="4" t="str">
        <f>IFERROR(__xludf.DUMMYFUNCTION("""COMPUTED_VALUE"""),"395")</f>
        <v>395</v>
      </c>
      <c r="B527" s="4" t="str">
        <f>IFERROR(__xludf.DUMMYFUNCTION("""COMPUTED_VALUE"""),"Cartel PVC 40x30 Limite vel. 40")</f>
        <v>Cartel PVC 40x30 Limite vel. 40</v>
      </c>
      <c r="C527" s="4">
        <f>IFERROR(__xludf.DUMMYFUNCTION("""COMPUTED_VALUE"""),2.48)</f>
        <v>2.48</v>
      </c>
      <c r="D527" s="4">
        <f>IFERROR(__xludf.DUMMYFUNCTION("""COMPUTED_VALUE"""),1.75)</f>
        <v>1.75</v>
      </c>
      <c r="E527" s="4" t="str">
        <f>IFERROR(__xludf.DUMMYFUNCTION("""COMPUTED_VALUE"""),"Neto G.C.: 1,75 € (a partir de 1 uds.)")</f>
        <v>Neto G.C.: 1,75 € (a partir de 1 uds.)</v>
      </c>
    </row>
    <row r="528">
      <c r="A528" s="4" t="str">
        <f>IFERROR(__xludf.DUMMYFUNCTION("""COMPUTED_VALUE"""),"0395P")</f>
        <v>0395P</v>
      </c>
      <c r="B528" s="4" t="str">
        <f>IFERROR(__xludf.DUMMYFUNCTION("""COMPUTED_VALUE"""),"Cartel PVC 21x29 VELOCIDAD MAXIMA 40")</f>
        <v>Cartel PVC 21x29 VELOCIDAD MAXIMA 40</v>
      </c>
      <c r="C528" s="4">
        <f>IFERROR(__xludf.DUMMYFUNCTION("""COMPUTED_VALUE"""),1.6)</f>
        <v>1.6</v>
      </c>
      <c r="D528" s="4">
        <f>IFERROR(__xludf.DUMMYFUNCTION("""COMPUTED_VALUE"""),1.2)</f>
        <v>1.2</v>
      </c>
      <c r="E528" s="4" t="str">
        <f>IFERROR(__xludf.DUMMYFUNCTION("""COMPUTED_VALUE"""),"Neto G.C.: 1,20 € (a partir de 1 uds.)")</f>
        <v>Neto G.C.: 1,20 € (a partir de 1 uds.)</v>
      </c>
    </row>
    <row r="529">
      <c r="A529" s="4" t="str">
        <f>IFERROR(__xludf.DUMMYFUNCTION("""COMPUTED_VALUE"""),"396")</f>
        <v>396</v>
      </c>
      <c r="B529" s="4" t="str">
        <f>IFERROR(__xludf.DUMMYFUNCTION("""COMPUTED_VALUE"""),"Cartel PVC 21x29 Fotolum. Columna movil extinción")</f>
        <v>Cartel PVC 21x29 Fotolum. Columna movil extinción</v>
      </c>
      <c r="C529" s="4">
        <f>IFERROR(__xludf.DUMMYFUNCTION("""COMPUTED_VALUE"""),2.6)</f>
        <v>2.6</v>
      </c>
      <c r="D529" s="4">
        <f>IFERROR(__xludf.DUMMYFUNCTION("""COMPUTED_VALUE"""),2.1)</f>
        <v>2.1</v>
      </c>
      <c r="E529" s="4" t="str">
        <f>IFERROR(__xludf.DUMMYFUNCTION("""COMPUTED_VALUE"""),"Neto G.C.: 2,10 € (a partir de 1 uds.)")</f>
        <v>Neto G.C.: 2,10 € (a partir de 1 uds.)</v>
      </c>
    </row>
    <row r="530">
      <c r="A530" s="4" t="str">
        <f>IFERROR(__xludf.DUMMYFUNCTION("""COMPUTED_VALUE"""),"0396A")</f>
        <v>0396A</v>
      </c>
      <c r="B530" s="4" t="str">
        <f>IFERROR(__xludf.DUMMYFUNCTION("""COMPUTED_VALUE"""),"Cartel PVC 21x30 Fotolum. Carro extintor")</f>
        <v>Cartel PVC 21x30 Fotolum. Carro extintor</v>
      </c>
      <c r="C530" s="4">
        <f>IFERROR(__xludf.DUMMYFUNCTION("""COMPUTED_VALUE"""),2.52)</f>
        <v>2.52</v>
      </c>
      <c r="D530" s="4">
        <f>IFERROR(__xludf.DUMMYFUNCTION("""COMPUTED_VALUE"""),2.1)</f>
        <v>2.1</v>
      </c>
      <c r="E530" s="4" t="str">
        <f>IFERROR(__xludf.DUMMYFUNCTION("""COMPUTED_VALUE"""),"Neto G.C.: 2,10 € (a partir de 1 uds.)")</f>
        <v>Neto G.C.: 2,10 € (a partir de 1 uds.)</v>
      </c>
    </row>
    <row r="531">
      <c r="A531" s="4" t="str">
        <f>IFERROR(__xludf.DUMMYFUNCTION("""COMPUTED_VALUE"""),"0396B")</f>
        <v>0396B</v>
      </c>
      <c r="B531" s="4" t="str">
        <f>IFERROR(__xludf.DUMMYFUNCTION("""COMPUTED_VALUE"""),"Cartel PVC 40x30 Fotolum. Carro extintor")</f>
        <v>Cartel PVC 40x30 Fotolum. Carro extintor</v>
      </c>
      <c r="C531" s="4">
        <f>IFERROR(__xludf.DUMMYFUNCTION("""COMPUTED_VALUE"""),3.1)</f>
        <v>3.1</v>
      </c>
      <c r="D531" s="4">
        <f>IFERROR(__xludf.DUMMYFUNCTION("""COMPUTED_VALUE"""),3.2)</f>
        <v>3.2</v>
      </c>
      <c r="E531" s="4" t="str">
        <f>IFERROR(__xludf.DUMMYFUNCTION("""COMPUTED_VALUE"""),"Neto G.C.: 3,20 € (a partir de 1 uds.)")</f>
        <v>Neto G.C.: 3,20 € (a partir de 1 uds.)</v>
      </c>
    </row>
    <row r="532">
      <c r="A532" s="4" t="str">
        <f>IFERROR(__xludf.DUMMYFUNCTION("""COMPUTED_VALUE"""),"397")</f>
        <v>397</v>
      </c>
      <c r="B532" s="4" t="str">
        <f>IFERROR(__xludf.DUMMYFUNCTION("""COMPUTED_VALUE"""),"Cartel PVC 21x29 Fotolum. Sin salida")</f>
        <v>Cartel PVC 21x29 Fotolum. Sin salida</v>
      </c>
      <c r="C532" s="4">
        <f>IFERROR(__xludf.DUMMYFUNCTION("""COMPUTED_VALUE"""),2.6)</f>
        <v>2.6</v>
      </c>
      <c r="D532" s="4">
        <f>IFERROR(__xludf.DUMMYFUNCTION("""COMPUTED_VALUE"""),2.1)</f>
        <v>2.1</v>
      </c>
      <c r="E532" s="4" t="str">
        <f>IFERROR(__xludf.DUMMYFUNCTION("""COMPUTED_VALUE"""),"Neto G.C.: 2,10 € (a partir de 1 uds.)")</f>
        <v>Neto G.C.: 2,10 € (a partir de 1 uds.)</v>
      </c>
    </row>
    <row r="533">
      <c r="A533" s="4" t="str">
        <f>IFERROR(__xludf.DUMMYFUNCTION("""COMPUTED_VALUE"""),"0397A")</f>
        <v>0397A</v>
      </c>
      <c r="B533" s="4" t="str">
        <f>IFERROR(__xludf.DUMMYFUNCTION("""COMPUTED_VALUE"""),"Cartel PVC 32x16 Fotolum. Sin Salida")</f>
        <v>Cartel PVC 32x16 Fotolum. Sin Salida</v>
      </c>
      <c r="C533" s="4">
        <f>IFERROR(__xludf.DUMMYFUNCTION("""COMPUTED_VALUE"""),2.25)</f>
        <v>2.25</v>
      </c>
      <c r="D533" s="4"/>
      <c r="E533" s="4" t="str">
        <f>IFERROR(__xludf.DUMMYFUNCTION("""COMPUTED_VALUE"""),"Sin precio neto G.C.")</f>
        <v>Sin precio neto G.C.</v>
      </c>
    </row>
    <row r="534">
      <c r="A534" s="4" t="str">
        <f>IFERROR(__xludf.DUMMYFUNCTION("""COMPUTED_VALUE"""),"0397B")</f>
        <v>0397B</v>
      </c>
      <c r="B534" s="4" t="str">
        <f>IFERROR(__xludf.DUMMYFUNCTION("""COMPUTED_VALUE"""),"Cartel PVC 64x32 Fotolum. Sin Salida")</f>
        <v>Cartel PVC 64x32 Fotolum. Sin Salida</v>
      </c>
      <c r="C534" s="4">
        <f>IFERROR(__xludf.DUMMYFUNCTION("""COMPUTED_VALUE"""),4.48)</f>
        <v>4.48</v>
      </c>
      <c r="D534" s="4"/>
      <c r="E534" s="4" t="str">
        <f>IFERROR(__xludf.DUMMYFUNCTION("""COMPUTED_VALUE"""),"Sin precio neto G.C.")</f>
        <v>Sin precio neto G.C.</v>
      </c>
    </row>
    <row r="535">
      <c r="A535" s="4" t="str">
        <f>IFERROR(__xludf.DUMMYFUNCTION("""COMPUTED_VALUE"""),"0397C")</f>
        <v>0397C</v>
      </c>
      <c r="B535" s="4" t="str">
        <f>IFERROR(__xludf.DUMMYFUNCTION("""COMPUTED_VALUE"""),"Cartel PVC 96x48 Fotolum. Sin Salida")</f>
        <v>Cartel PVC 96x48 Fotolum. Sin Salida</v>
      </c>
      <c r="C535" s="4">
        <f>IFERROR(__xludf.DUMMYFUNCTION("""COMPUTED_VALUE"""),8.99)</f>
        <v>8.99</v>
      </c>
      <c r="D535" s="4"/>
      <c r="E535" s="4" t="str">
        <f>IFERROR(__xludf.DUMMYFUNCTION("""COMPUTED_VALUE"""),"Sin precio neto G.C.")</f>
        <v>Sin precio neto G.C.</v>
      </c>
    </row>
    <row r="536">
      <c r="A536" s="4" t="str">
        <f>IFERROR(__xludf.DUMMYFUNCTION("""COMPUTED_VALUE"""),"398")</f>
        <v>398</v>
      </c>
      <c r="B536" s="4" t="str">
        <f>IFERROR(__xludf.DUMMYFUNCTION("""COMPUTED_VALUE"""),"Cartel PVC 21x29 Fotolum. Flecha")</f>
        <v>Cartel PVC 21x29 Fotolum. Flecha</v>
      </c>
      <c r="C536" s="4">
        <f>IFERROR(__xludf.DUMMYFUNCTION("""COMPUTED_VALUE"""),2.6)</f>
        <v>2.6</v>
      </c>
      <c r="D536" s="4">
        <f>IFERROR(__xludf.DUMMYFUNCTION("""COMPUTED_VALUE"""),2.1)</f>
        <v>2.1</v>
      </c>
      <c r="E536" s="4" t="str">
        <f>IFERROR(__xludf.DUMMYFUNCTION("""COMPUTED_VALUE"""),"Neto G.C.: 2,10 € (a partir de 1 uds.)")</f>
        <v>Neto G.C.: 2,10 € (a partir de 1 uds.)</v>
      </c>
    </row>
    <row r="537">
      <c r="A537" s="4" t="str">
        <f>IFERROR(__xludf.DUMMYFUNCTION("""COMPUTED_VALUE"""),"0398DA")</f>
        <v>0398DA</v>
      </c>
      <c r="B537" s="4" t="str">
        <f>IFERROR(__xludf.DUMMYFUNCTION("""COMPUTED_VALUE"""),"Cartel PVC 32x16 Fotolum. Flecha derecha")</f>
        <v>Cartel PVC 32x16 Fotolum. Flecha derecha</v>
      </c>
      <c r="C537" s="4">
        <f>IFERROR(__xludf.DUMMYFUNCTION("""COMPUTED_VALUE"""),2.25)</f>
        <v>2.25</v>
      </c>
      <c r="D537" s="4"/>
      <c r="E537" s="4" t="str">
        <f>IFERROR(__xludf.DUMMYFUNCTION("""COMPUTED_VALUE"""),"Sin precio neto G.C.")</f>
        <v>Sin precio neto G.C.</v>
      </c>
    </row>
    <row r="538">
      <c r="A538" s="4" t="str">
        <f>IFERROR(__xludf.DUMMYFUNCTION("""COMPUTED_VALUE"""),"0398DB")</f>
        <v>0398DB</v>
      </c>
      <c r="B538" s="4" t="str">
        <f>IFERROR(__xludf.DUMMYFUNCTION("""COMPUTED_VALUE"""),"Cartel PVC 64x32 Fotolum. Flecha derecha")</f>
        <v>Cartel PVC 64x32 Fotolum. Flecha derecha</v>
      </c>
      <c r="C538" s="4">
        <f>IFERROR(__xludf.DUMMYFUNCTION("""COMPUTED_VALUE"""),4.48)</f>
        <v>4.48</v>
      </c>
      <c r="D538" s="4"/>
      <c r="E538" s="4" t="str">
        <f>IFERROR(__xludf.DUMMYFUNCTION("""COMPUTED_VALUE"""),"Sin precio neto G.C.")</f>
        <v>Sin precio neto G.C.</v>
      </c>
    </row>
    <row r="539">
      <c r="A539" s="4" t="str">
        <f>IFERROR(__xludf.DUMMYFUNCTION("""COMPUTED_VALUE"""),"0398DC")</f>
        <v>0398DC</v>
      </c>
      <c r="B539" s="4" t="str">
        <f>IFERROR(__xludf.DUMMYFUNCTION("""COMPUTED_VALUE"""),"Cartel PVC 96x48 Fotolum. Flecha derecha")</f>
        <v>Cartel PVC 96x48 Fotolum. Flecha derecha</v>
      </c>
      <c r="C539" s="4">
        <f>IFERROR(__xludf.DUMMYFUNCTION("""COMPUTED_VALUE"""),8.96)</f>
        <v>8.96</v>
      </c>
      <c r="D539" s="4"/>
      <c r="E539" s="4" t="str">
        <f>IFERROR(__xludf.DUMMYFUNCTION("""COMPUTED_VALUE"""),"Sin precio neto G.C.")</f>
        <v>Sin precio neto G.C.</v>
      </c>
    </row>
    <row r="540">
      <c r="A540" s="4" t="str">
        <f>IFERROR(__xludf.DUMMYFUNCTION("""COMPUTED_VALUE"""),"0398IA")</f>
        <v>0398IA</v>
      </c>
      <c r="B540" s="4" t="str">
        <f>IFERROR(__xludf.DUMMYFUNCTION("""COMPUTED_VALUE"""),"Cartel PVC 32x16 Fotolum. Flecha izquierda")</f>
        <v>Cartel PVC 32x16 Fotolum. Flecha izquierda</v>
      </c>
      <c r="C540" s="4">
        <f>IFERROR(__xludf.DUMMYFUNCTION("""COMPUTED_VALUE"""),2.25)</f>
        <v>2.25</v>
      </c>
      <c r="D540" s="4"/>
      <c r="E540" s="4" t="str">
        <f>IFERROR(__xludf.DUMMYFUNCTION("""COMPUTED_VALUE"""),"Sin precio neto G.C.")</f>
        <v>Sin precio neto G.C.</v>
      </c>
    </row>
    <row r="541">
      <c r="A541" s="4" t="str">
        <f>IFERROR(__xludf.DUMMYFUNCTION("""COMPUTED_VALUE"""),"0398IB")</f>
        <v>0398IB</v>
      </c>
      <c r="B541" s="4" t="str">
        <f>IFERROR(__xludf.DUMMYFUNCTION("""COMPUTED_VALUE"""),"Cartel PVC 64x32 Fotolum. Flecha derecha")</f>
        <v>Cartel PVC 64x32 Fotolum. Flecha derecha</v>
      </c>
      <c r="C541" s="4">
        <f>IFERROR(__xludf.DUMMYFUNCTION("""COMPUTED_VALUE"""),4.48)</f>
        <v>4.48</v>
      </c>
      <c r="D541" s="4"/>
      <c r="E541" s="4" t="str">
        <f>IFERROR(__xludf.DUMMYFUNCTION("""COMPUTED_VALUE"""),"Sin precio neto G.C.")</f>
        <v>Sin precio neto G.C.</v>
      </c>
    </row>
    <row r="542">
      <c r="A542" s="4" t="str">
        <f>IFERROR(__xludf.DUMMYFUNCTION("""COMPUTED_VALUE"""),"0398IC")</f>
        <v>0398IC</v>
      </c>
      <c r="B542" s="4" t="str">
        <f>IFERROR(__xludf.DUMMYFUNCTION("""COMPUTED_VALUE"""),"Cartel PVC 96x48 Fotolum. Flecha derecha")</f>
        <v>Cartel PVC 96x48 Fotolum. Flecha derecha</v>
      </c>
      <c r="C542" s="4">
        <f>IFERROR(__xludf.DUMMYFUNCTION("""COMPUTED_VALUE"""),8.96)</f>
        <v>8.96</v>
      </c>
      <c r="D542" s="4"/>
      <c r="E542" s="4" t="str">
        <f>IFERROR(__xludf.DUMMYFUNCTION("""COMPUTED_VALUE"""),"Sin precio neto G.C.")</f>
        <v>Sin precio neto G.C.</v>
      </c>
    </row>
    <row r="543">
      <c r="A543" s="4" t="str">
        <f>IFERROR(__xludf.DUMMYFUNCTION("""COMPUTED_VALUE"""),"399")</f>
        <v>399</v>
      </c>
      <c r="B543" s="4" t="str">
        <f>IFERROR(__xludf.DUMMYFUNCTION("""COMPUTED_VALUE"""),"Cartel PVC 40x30 Calle cortada por obra")</f>
        <v>Cartel PVC 40x30 Calle cortada por obra</v>
      </c>
      <c r="C543" s="4">
        <f>IFERROR(__xludf.DUMMYFUNCTION("""COMPUTED_VALUE"""),2.48)</f>
        <v>2.48</v>
      </c>
      <c r="D543" s="4">
        <f>IFERROR(__xludf.DUMMYFUNCTION("""COMPUTED_VALUE"""),1.75)</f>
        <v>1.75</v>
      </c>
      <c r="E543" s="4" t="str">
        <f>IFERROR(__xludf.DUMMYFUNCTION("""COMPUTED_VALUE"""),"Neto G.C.: 1,75 € (a partir de 1 uds.)")</f>
        <v>Neto G.C.: 1,75 € (a partir de 1 uds.)</v>
      </c>
    </row>
    <row r="544">
      <c r="A544" s="4" t="str">
        <f>IFERROR(__xludf.DUMMYFUNCTION("""COMPUTED_VALUE"""),"400")</f>
        <v>400</v>
      </c>
      <c r="B544" s="4" t="str">
        <f>IFERROR(__xludf.DUMMYFUNCTION("""COMPUTED_VALUE"""),"Bolsa negra perforada cubre señales trafico")</f>
        <v>Bolsa negra perforada cubre señales trafico</v>
      </c>
      <c r="C544" s="4">
        <f>IFERROR(__xludf.DUMMYFUNCTION("""COMPUTED_VALUE"""),1.7)</f>
        <v>1.7</v>
      </c>
      <c r="D544" s="4">
        <f>IFERROR(__xludf.DUMMYFUNCTION("""COMPUTED_VALUE"""),1.0)</f>
        <v>1</v>
      </c>
      <c r="E544" s="4" t="str">
        <f>IFERROR(__xludf.DUMMYFUNCTION("""COMPUTED_VALUE"""),"Neto G.C.: 1,00 € (a partir de 25 uds.)")</f>
        <v>Neto G.C.: 1,00 € (a partir de 25 uds.)</v>
      </c>
    </row>
    <row r="545">
      <c r="A545" s="4" t="str">
        <f>IFERROR(__xludf.DUMMYFUNCTION("""COMPUTED_VALUE"""),"401")</f>
        <v>401</v>
      </c>
      <c r="B545" s="4" t="str">
        <f>IFERROR(__xludf.DUMMYFUNCTION("""COMPUTED_VALUE"""),"Se¤al Bolsa de plastico nº1 DIRECION PROHIB.")</f>
        <v>Se¤al Bolsa de plastico nº1 DIRECION PROHIB.</v>
      </c>
      <c r="C545" s="4">
        <f>IFERROR(__xludf.DUMMYFUNCTION("""COMPUTED_VALUE"""),1.7)</f>
        <v>1.7</v>
      </c>
      <c r="D545" s="4">
        <f>IFERROR(__xludf.DUMMYFUNCTION("""COMPUTED_VALUE"""),1.0)</f>
        <v>1</v>
      </c>
      <c r="E545" s="4" t="str">
        <f>IFERROR(__xludf.DUMMYFUNCTION("""COMPUTED_VALUE"""),"Neto G.C.: 1,00 € (a partir de 25 uds.)")</f>
        <v>Neto G.C.: 1,00 € (a partir de 25 uds.)</v>
      </c>
    </row>
    <row r="546">
      <c r="A546" s="4" t="str">
        <f>IFERROR(__xludf.DUMMYFUNCTION("""COMPUTED_VALUE"""),"402")</f>
        <v>402</v>
      </c>
      <c r="B546" s="4" t="str">
        <f>IFERROR(__xludf.DUMMYFUNCTION("""COMPUTED_VALUE"""),"Señal Bolsa de plastico nº 2 STOP")</f>
        <v>Señal Bolsa de plastico nº 2 STOP</v>
      </c>
      <c r="C546" s="4">
        <f>IFERROR(__xludf.DUMMYFUNCTION("""COMPUTED_VALUE"""),1.7)</f>
        <v>1.7</v>
      </c>
      <c r="D546" s="4">
        <f>IFERROR(__xludf.DUMMYFUNCTION("""COMPUTED_VALUE"""),1.0)</f>
        <v>1</v>
      </c>
      <c r="E546" s="4" t="str">
        <f>IFERROR(__xludf.DUMMYFUNCTION("""COMPUTED_VALUE"""),"Neto G.C.: 1,00 € (a partir de 25 uds.)")</f>
        <v>Neto G.C.: 1,00 € (a partir de 25 uds.)</v>
      </c>
    </row>
    <row r="547">
      <c r="A547" s="4" t="str">
        <f>IFERROR(__xludf.DUMMYFUNCTION("""COMPUTED_VALUE"""),"403")</f>
        <v>403</v>
      </c>
      <c r="B547" s="4" t="str">
        <f>IFERROR(__xludf.DUMMYFUNCTION("""COMPUTED_VALUE"""),"Señal Bolsa de plastico nº 3 DIR. OBL. DERECHA")</f>
        <v>Señal Bolsa de plastico nº 3 DIR. OBL. DERECHA</v>
      </c>
      <c r="C547" s="4">
        <f>IFERROR(__xludf.DUMMYFUNCTION("""COMPUTED_VALUE"""),1.7)</f>
        <v>1.7</v>
      </c>
      <c r="D547" s="4">
        <f>IFERROR(__xludf.DUMMYFUNCTION("""COMPUTED_VALUE"""),1.0)</f>
        <v>1</v>
      </c>
      <c r="E547" s="4" t="str">
        <f>IFERROR(__xludf.DUMMYFUNCTION("""COMPUTED_VALUE"""),"Neto G.C.: 1,00 € (a partir de 25 uds.)")</f>
        <v>Neto G.C.: 1,00 € (a partir de 25 uds.)</v>
      </c>
    </row>
    <row r="548">
      <c r="A548" s="4" t="str">
        <f>IFERROR(__xludf.DUMMYFUNCTION("""COMPUTED_VALUE"""),"404")</f>
        <v>404</v>
      </c>
      <c r="B548" s="4" t="str">
        <f>IFERROR(__xludf.DUMMYFUNCTION("""COMPUTED_VALUE"""),"Señal Bolsa de plastico nº 4 PELIGRO INDEF")</f>
        <v>Señal Bolsa de plastico nº 4 PELIGRO INDEF</v>
      </c>
      <c r="C548" s="4">
        <f>IFERROR(__xludf.DUMMYFUNCTION("""COMPUTED_VALUE"""),1.7)</f>
        <v>1.7</v>
      </c>
      <c r="D548" s="4">
        <f>IFERROR(__xludf.DUMMYFUNCTION("""COMPUTED_VALUE"""),1.0)</f>
        <v>1</v>
      </c>
      <c r="E548" s="4" t="str">
        <f>IFERROR(__xludf.DUMMYFUNCTION("""COMPUTED_VALUE"""),"Neto G.C.: 1,00 € (a partir de 25 uds.)")</f>
        <v>Neto G.C.: 1,00 € (a partir de 25 uds.)</v>
      </c>
    </row>
    <row r="549">
      <c r="A549" s="4" t="str">
        <f>IFERROR(__xludf.DUMMYFUNCTION("""COMPUTED_VALUE"""),"405")</f>
        <v>405</v>
      </c>
      <c r="B549" s="4" t="str">
        <f>IFERROR(__xludf.DUMMYFUNCTION("""COMPUTED_VALUE"""),"Señal Bolsa de plastico nº 5 OBRAS")</f>
        <v>Señal Bolsa de plastico nº 5 OBRAS</v>
      </c>
      <c r="C549" s="4">
        <f>IFERROR(__xludf.DUMMYFUNCTION("""COMPUTED_VALUE"""),1.7)</f>
        <v>1.7</v>
      </c>
      <c r="D549" s="4">
        <f>IFERROR(__xludf.DUMMYFUNCTION("""COMPUTED_VALUE"""),1.0)</f>
        <v>1</v>
      </c>
      <c r="E549" s="4" t="str">
        <f>IFERROR(__xludf.DUMMYFUNCTION("""COMPUTED_VALUE"""),"Neto G.C.: 1,00 € (a partir de 25 uds.)")</f>
        <v>Neto G.C.: 1,00 € (a partir de 25 uds.)</v>
      </c>
    </row>
    <row r="550">
      <c r="A550" s="4" t="str">
        <f>IFERROR(__xludf.DUMMYFUNCTION("""COMPUTED_VALUE"""),"406")</f>
        <v>406</v>
      </c>
      <c r="B550" s="4" t="str">
        <f>IFERROR(__xludf.DUMMYFUNCTION("""COMPUTED_VALUE"""),"Señal Bolsa de plastico nº 6 VEL. 40")</f>
        <v>Señal Bolsa de plastico nº 6 VEL. 40</v>
      </c>
      <c r="C550" s="4">
        <f>IFERROR(__xludf.DUMMYFUNCTION("""COMPUTED_VALUE"""),1.7)</f>
        <v>1.7</v>
      </c>
      <c r="D550" s="4">
        <f>IFERROR(__xludf.DUMMYFUNCTION("""COMPUTED_VALUE"""),1.0)</f>
        <v>1</v>
      </c>
      <c r="E550" s="4" t="str">
        <f>IFERROR(__xludf.DUMMYFUNCTION("""COMPUTED_VALUE"""),"Neto G.C.: 1,00 € (a partir de 25 uds.)")</f>
        <v>Neto G.C.: 1,00 € (a partir de 25 uds.)</v>
      </c>
    </row>
    <row r="551">
      <c r="A551" s="4" t="str">
        <f>IFERROR(__xludf.DUMMYFUNCTION("""COMPUTED_VALUE"""),"407")</f>
        <v>407</v>
      </c>
      <c r="B551" s="4" t="str">
        <f>IFERROR(__xludf.DUMMYFUNCTION("""COMPUTED_VALUE"""),"Señal Bolsa de plastico nº 7 VEL. 60")</f>
        <v>Señal Bolsa de plastico nº 7 VEL. 60</v>
      </c>
      <c r="C551" s="4">
        <f>IFERROR(__xludf.DUMMYFUNCTION("""COMPUTED_VALUE"""),1.7)</f>
        <v>1.7</v>
      </c>
      <c r="D551" s="4">
        <f>IFERROR(__xludf.DUMMYFUNCTION("""COMPUTED_VALUE"""),1.0)</f>
        <v>1</v>
      </c>
      <c r="E551" s="4" t="str">
        <f>IFERROR(__xludf.DUMMYFUNCTION("""COMPUTED_VALUE"""),"Neto G.C.: 1,00 € (a partir de 25 uds.)")</f>
        <v>Neto G.C.: 1,00 € (a partir de 25 uds.)</v>
      </c>
    </row>
    <row r="552">
      <c r="A552" s="4" t="str">
        <f>IFERROR(__xludf.DUMMYFUNCTION("""COMPUTED_VALUE"""),"408")</f>
        <v>408</v>
      </c>
      <c r="B552" s="4" t="str">
        <f>IFERROR(__xludf.DUMMYFUNCTION("""COMPUTED_VALUE"""),"Señal Bolsa de plastico nº 8 ESTRECH")</f>
        <v>Señal Bolsa de plastico nº 8 ESTRECH</v>
      </c>
      <c r="C552" s="4">
        <f>IFERROR(__xludf.DUMMYFUNCTION("""COMPUTED_VALUE"""),1.7)</f>
        <v>1.7</v>
      </c>
      <c r="D552" s="4">
        <f>IFERROR(__xludf.DUMMYFUNCTION("""COMPUTED_VALUE"""),1.0)</f>
        <v>1</v>
      </c>
      <c r="E552" s="4" t="str">
        <f>IFERROR(__xludf.DUMMYFUNCTION("""COMPUTED_VALUE"""),"Neto G.C.: 1,00 € (a partir de 25 uds.)")</f>
        <v>Neto G.C.: 1,00 € (a partir de 25 uds.)</v>
      </c>
    </row>
    <row r="553">
      <c r="A553" s="4" t="str">
        <f>IFERROR(__xludf.DUMMYFUNCTION("""COMPUTED_VALUE"""),"409")</f>
        <v>409</v>
      </c>
      <c r="B553" s="4" t="str">
        <f>IFERROR(__xludf.DUMMYFUNCTION("""COMPUTED_VALUE"""),"Señal Bolsa de plastico nº 9 PROHIB ADELANT")</f>
        <v>Señal Bolsa de plastico nº 9 PROHIB ADELANT</v>
      </c>
      <c r="C553" s="4">
        <f>IFERROR(__xludf.DUMMYFUNCTION("""COMPUTED_VALUE"""),1.7)</f>
        <v>1.7</v>
      </c>
      <c r="D553" s="4">
        <f>IFERROR(__xludf.DUMMYFUNCTION("""COMPUTED_VALUE"""),1.0)</f>
        <v>1</v>
      </c>
      <c r="E553" s="4" t="str">
        <f>IFERROR(__xludf.DUMMYFUNCTION("""COMPUTED_VALUE"""),"Neto G.C.: 1,00 € (a partir de 25 uds.)")</f>
        <v>Neto G.C.: 1,00 € (a partir de 25 uds.)</v>
      </c>
    </row>
    <row r="554">
      <c r="A554" s="4" t="str">
        <f>IFERROR(__xludf.DUMMYFUNCTION("""COMPUTED_VALUE"""),"410")</f>
        <v>410</v>
      </c>
      <c r="B554" s="4" t="str">
        <f>IFERROR(__xludf.DUMMYFUNCTION("""COMPUTED_VALUE"""),"Señal Bolsa de plastico nº 10 PRIORIDAD")</f>
        <v>Señal Bolsa de plastico nº 10 PRIORIDAD</v>
      </c>
      <c r="C554" s="4">
        <f>IFERROR(__xludf.DUMMYFUNCTION("""COMPUTED_VALUE"""),1.7)</f>
        <v>1.7</v>
      </c>
      <c r="D554" s="4">
        <f>IFERROR(__xludf.DUMMYFUNCTION("""COMPUTED_VALUE"""),1.0)</f>
        <v>1</v>
      </c>
      <c r="E554" s="4" t="str">
        <f>IFERROR(__xludf.DUMMYFUNCTION("""COMPUTED_VALUE"""),"Neto G.C.: 1,00 € (a partir de 25 uds.)")</f>
        <v>Neto G.C.: 1,00 € (a partir de 25 uds.)</v>
      </c>
    </row>
    <row r="555">
      <c r="A555" s="4" t="str">
        <f>IFERROR(__xludf.DUMMYFUNCTION("""COMPUTED_VALUE"""),"411")</f>
        <v>411</v>
      </c>
      <c r="B555" s="4" t="str">
        <f>IFERROR(__xludf.DUMMYFUNCTION("""COMPUTED_VALUE"""),"Señal Bolsa de plastico nº 11 PROHIB. APARCAR")</f>
        <v>Señal Bolsa de plastico nº 11 PROHIB. APARCAR</v>
      </c>
      <c r="C555" s="4">
        <f>IFERROR(__xludf.DUMMYFUNCTION("""COMPUTED_VALUE"""),1.7)</f>
        <v>1.7</v>
      </c>
      <c r="D555" s="4">
        <f>IFERROR(__xludf.DUMMYFUNCTION("""COMPUTED_VALUE"""),1.0)</f>
        <v>1</v>
      </c>
      <c r="E555" s="4" t="str">
        <f>IFERROR(__xludf.DUMMYFUNCTION("""COMPUTED_VALUE"""),"Neto G.C.: 1,00 € (a partir de 25 uds.)")</f>
        <v>Neto G.C.: 1,00 € (a partir de 25 uds.)</v>
      </c>
    </row>
    <row r="556">
      <c r="A556" s="4" t="str">
        <f>IFERROR(__xludf.DUMMYFUNCTION("""COMPUTED_VALUE"""),"412")</f>
        <v>412</v>
      </c>
      <c r="B556" s="4" t="str">
        <f>IFERROR(__xludf.DUMMYFUNCTION("""COMPUTED_VALUE"""),"Señal Bolsa de plastico nº 12 ESCALON LATERAL")</f>
        <v>Señal Bolsa de plastico nº 12 ESCALON LATERAL</v>
      </c>
      <c r="C556" s="4">
        <f>IFERROR(__xludf.DUMMYFUNCTION("""COMPUTED_VALUE"""),1.7)</f>
        <v>1.7</v>
      </c>
      <c r="D556" s="4">
        <f>IFERROR(__xludf.DUMMYFUNCTION("""COMPUTED_VALUE"""),1.0)</f>
        <v>1</v>
      </c>
      <c r="E556" s="4" t="str">
        <f>IFERROR(__xludf.DUMMYFUNCTION("""COMPUTED_VALUE"""),"Neto G.C.: 1,00 € (a partir de 25 uds.)")</f>
        <v>Neto G.C.: 1,00 € (a partir de 25 uds.)</v>
      </c>
    </row>
    <row r="557">
      <c r="A557" s="4" t="str">
        <f>IFERROR(__xludf.DUMMYFUNCTION("""COMPUTED_VALUE"""),"413")</f>
        <v>413</v>
      </c>
      <c r="B557" s="4" t="str">
        <f>IFERROR(__xludf.DUMMYFUNCTION("""COMPUTED_VALUE"""),"Señal Bolsa de plastico nº 13 SUELO RESVALADIZO")</f>
        <v>Señal Bolsa de plastico nº 13 SUELO RESVALADIZO</v>
      </c>
      <c r="C557" s="4">
        <f>IFERROR(__xludf.DUMMYFUNCTION("""COMPUTED_VALUE"""),1.7)</f>
        <v>1.7</v>
      </c>
      <c r="D557" s="4">
        <f>IFERROR(__xludf.DUMMYFUNCTION("""COMPUTED_VALUE"""),1.0)</f>
        <v>1</v>
      </c>
      <c r="E557" s="4" t="str">
        <f>IFERROR(__xludf.DUMMYFUNCTION("""COMPUTED_VALUE"""),"Neto G.C.: 1,00 € (a partir de 25 uds.)")</f>
        <v>Neto G.C.: 1,00 € (a partir de 25 uds.)</v>
      </c>
    </row>
    <row r="558">
      <c r="A558" s="4" t="str">
        <f>IFERROR(__xludf.DUMMYFUNCTION("""COMPUTED_VALUE"""),"414")</f>
        <v>414</v>
      </c>
      <c r="B558" s="4" t="str">
        <f>IFERROR(__xludf.DUMMYFUNCTION("""COMPUTED_VALUE"""),"Señal Bolsa de plastico nº 14 VEL 20")</f>
        <v>Señal Bolsa de plastico nº 14 VEL 20</v>
      </c>
      <c r="C558" s="4">
        <f>IFERROR(__xludf.DUMMYFUNCTION("""COMPUTED_VALUE"""),1.7)</f>
        <v>1.7</v>
      </c>
      <c r="D558" s="4">
        <f>IFERROR(__xludf.DUMMYFUNCTION("""COMPUTED_VALUE"""),1.0)</f>
        <v>1</v>
      </c>
      <c r="E558" s="4" t="str">
        <f>IFERROR(__xludf.DUMMYFUNCTION("""COMPUTED_VALUE"""),"Neto G.C.: 1,00 € (a partir de 25 uds.)")</f>
        <v>Neto G.C.: 1,00 € (a partir de 25 uds.)</v>
      </c>
    </row>
    <row r="559">
      <c r="A559" s="4" t="str">
        <f>IFERROR(__xludf.DUMMYFUNCTION("""COMPUTED_VALUE"""),"415")</f>
        <v>415</v>
      </c>
      <c r="B559" s="4" t="str">
        <f>IFERROR(__xludf.DUMMYFUNCTION("""COMPUTED_VALUE"""),"Señal Bolsa de plastico nº 15 PELIGRO CAMIONES")</f>
        <v>Señal Bolsa de plastico nº 15 PELIGRO CAMIONES</v>
      </c>
      <c r="C559" s="4">
        <f>IFERROR(__xludf.DUMMYFUNCTION("""COMPUTED_VALUE"""),1.7)</f>
        <v>1.7</v>
      </c>
      <c r="D559" s="4">
        <f>IFERROR(__xludf.DUMMYFUNCTION("""COMPUTED_VALUE"""),1.0)</f>
        <v>1</v>
      </c>
      <c r="E559" s="4" t="str">
        <f>IFERROR(__xludf.DUMMYFUNCTION("""COMPUTED_VALUE"""),"Neto G.C.: 1,00 € (a partir de 25 uds.)")</f>
        <v>Neto G.C.: 1,00 € (a partir de 25 uds.)</v>
      </c>
    </row>
    <row r="560">
      <c r="A560" s="4" t="str">
        <f>IFERROR(__xludf.DUMMYFUNCTION("""COMPUTED_VALUE"""),"416")</f>
        <v>416</v>
      </c>
      <c r="B560" s="4" t="str">
        <f>IFERROR(__xludf.DUMMYFUNCTION("""COMPUTED_VALUE"""),"Señal Bolsa de plastico nº 16 SALIDA CAMIONES")</f>
        <v>Señal Bolsa de plastico nº 16 SALIDA CAMIONES</v>
      </c>
      <c r="C560" s="4">
        <f>IFERROR(__xludf.DUMMYFUNCTION("""COMPUTED_VALUE"""),1.7)</f>
        <v>1.7</v>
      </c>
      <c r="D560" s="4">
        <f>IFERROR(__xludf.DUMMYFUNCTION("""COMPUTED_VALUE"""),1.0)</f>
        <v>1</v>
      </c>
      <c r="E560" s="4" t="str">
        <f>IFERROR(__xludf.DUMMYFUNCTION("""COMPUTED_VALUE"""),"Neto G.C.: 1,00 € (a partir de 25 uds.)")</f>
        <v>Neto G.C.: 1,00 € (a partir de 25 uds.)</v>
      </c>
    </row>
    <row r="561">
      <c r="A561" s="4" t="str">
        <f>IFERROR(__xludf.DUMMYFUNCTION("""COMPUTED_VALUE"""),"417")</f>
        <v>417</v>
      </c>
      <c r="B561" s="4" t="str">
        <f>IFERROR(__xludf.DUMMYFUNCTION("""COMPUTED_VALUE"""),"Señal Bolsa de plastico nº 17 CALLE CORTADA")</f>
        <v>Señal Bolsa de plastico nº 17 CALLE CORTADA</v>
      </c>
      <c r="C561" s="4">
        <f>IFERROR(__xludf.DUMMYFUNCTION("""COMPUTED_VALUE"""),1.7)</f>
        <v>1.7</v>
      </c>
      <c r="D561" s="4">
        <f>IFERROR(__xludf.DUMMYFUNCTION("""COMPUTED_VALUE"""),1.0)</f>
        <v>1</v>
      </c>
      <c r="E561" s="4" t="str">
        <f>IFERROR(__xludf.DUMMYFUNCTION("""COMPUTED_VALUE"""),"Neto G.C.: 1,00 € (a partir de 25 uds.)")</f>
        <v>Neto G.C.: 1,00 € (a partir de 25 uds.)</v>
      </c>
    </row>
    <row r="562">
      <c r="A562" s="4" t="str">
        <f>IFERROR(__xludf.DUMMYFUNCTION("""COMPUTED_VALUE"""),"418")</f>
        <v>418</v>
      </c>
      <c r="B562" s="4" t="str">
        <f>IFERROR(__xludf.DUMMYFUNCTION("""COMPUTED_VALUE"""),"Señal Bolsa de plastico nº 18 VEL 30")</f>
        <v>Señal Bolsa de plastico nº 18 VEL 30</v>
      </c>
      <c r="C562" s="4">
        <f>IFERROR(__xludf.DUMMYFUNCTION("""COMPUTED_VALUE"""),1.7)</f>
        <v>1.7</v>
      </c>
      <c r="D562" s="4">
        <f>IFERROR(__xludf.DUMMYFUNCTION("""COMPUTED_VALUE"""),1.0)</f>
        <v>1</v>
      </c>
      <c r="E562" s="4" t="str">
        <f>IFERROR(__xludf.DUMMYFUNCTION("""COMPUTED_VALUE"""),"Neto G.C.: 1,00 € (a partir de 25 uds.)")</f>
        <v>Neto G.C.: 1,00 € (a partir de 25 uds.)</v>
      </c>
    </row>
    <row r="563">
      <c r="A563" s="4" t="str">
        <f>IFERROR(__xludf.DUMMYFUNCTION("""COMPUTED_VALUE"""),"419")</f>
        <v>419</v>
      </c>
      <c r="B563" s="4" t="str">
        <f>IFERROR(__xludf.DUMMYFUNCTION("""COMPUTED_VALUE"""),"Señal Bolsa de plastico nº 19 DESPRENDIMIENTO")</f>
        <v>Señal Bolsa de plastico nº 19 DESPRENDIMIENTO</v>
      </c>
      <c r="C563" s="4">
        <f>IFERROR(__xludf.DUMMYFUNCTION("""COMPUTED_VALUE"""),1.7)</f>
        <v>1.7</v>
      </c>
      <c r="D563" s="4">
        <f>IFERROR(__xludf.DUMMYFUNCTION("""COMPUTED_VALUE"""),1.0)</f>
        <v>1</v>
      </c>
      <c r="E563" s="4" t="str">
        <f>IFERROR(__xludf.DUMMYFUNCTION("""COMPUTED_VALUE"""),"Neto G.C.: 1,00 € (a partir de 25 uds.)")</f>
        <v>Neto G.C.: 1,00 € (a partir de 25 uds.)</v>
      </c>
    </row>
    <row r="564">
      <c r="A564" s="4" t="str">
        <f>IFERROR(__xludf.DUMMYFUNCTION("""COMPUTED_VALUE"""),"420")</f>
        <v>420</v>
      </c>
      <c r="B564" s="4" t="str">
        <f>IFERROR(__xludf.DUMMYFUNCTION("""COMPUTED_VALUE"""),"Señal Bolsa de plastico nº 20 ACERA EN OBRAS")</f>
        <v>Señal Bolsa de plastico nº 20 ACERA EN OBRAS</v>
      </c>
      <c r="C564" s="4">
        <f>IFERROR(__xludf.DUMMYFUNCTION("""COMPUTED_VALUE"""),1.7)</f>
        <v>1.7</v>
      </c>
      <c r="D564" s="4">
        <f>IFERROR(__xludf.DUMMYFUNCTION("""COMPUTED_VALUE"""),1.0)</f>
        <v>1</v>
      </c>
      <c r="E564" s="4" t="str">
        <f>IFERROR(__xludf.DUMMYFUNCTION("""COMPUTED_VALUE"""),"Neto G.C.: 1,00 € (a partir de 25 uds.)")</f>
        <v>Neto G.C.: 1,00 € (a partir de 25 uds.)</v>
      </c>
    </row>
    <row r="565">
      <c r="A565" s="4" t="str">
        <f>IFERROR(__xludf.DUMMYFUNCTION("""COMPUTED_VALUE"""),"421")</f>
        <v>421</v>
      </c>
      <c r="B565" s="4" t="str">
        <f>IFERROR(__xludf.DUMMYFUNCTION("""COMPUTED_VALUE"""),"Señal Bolsa de plastico nº 21 ESTRECH. IZQ.")</f>
        <v>Señal Bolsa de plastico nº 21 ESTRECH. IZQ.</v>
      </c>
      <c r="C565" s="4">
        <f>IFERROR(__xludf.DUMMYFUNCTION("""COMPUTED_VALUE"""),1.7)</f>
        <v>1.7</v>
      </c>
      <c r="D565" s="4">
        <f>IFERROR(__xludf.DUMMYFUNCTION("""COMPUTED_VALUE"""),1.0)</f>
        <v>1</v>
      </c>
      <c r="E565" s="4" t="str">
        <f>IFERROR(__xludf.DUMMYFUNCTION("""COMPUTED_VALUE"""),"Neto G.C.: 1,00 € (a partir de 25 uds.)")</f>
        <v>Neto G.C.: 1,00 € (a partir de 25 uds.)</v>
      </c>
    </row>
    <row r="566">
      <c r="A566" s="4" t="str">
        <f>IFERROR(__xludf.DUMMYFUNCTION("""COMPUTED_VALUE"""),"422")</f>
        <v>422</v>
      </c>
      <c r="B566" s="4" t="str">
        <f>IFERROR(__xludf.DUMMYFUNCTION("""COMPUTED_VALUE"""),"Señal Bolsa de plastico nº 22 ESTRECH. DERECHA")</f>
        <v>Señal Bolsa de plastico nº 22 ESTRECH. DERECHA</v>
      </c>
      <c r="C566" s="4">
        <f>IFERROR(__xludf.DUMMYFUNCTION("""COMPUTED_VALUE"""),1.7)</f>
        <v>1.7</v>
      </c>
      <c r="D566" s="4">
        <f>IFERROR(__xludf.DUMMYFUNCTION("""COMPUTED_VALUE"""),1.0)</f>
        <v>1</v>
      </c>
      <c r="E566" s="4" t="str">
        <f>IFERROR(__xludf.DUMMYFUNCTION("""COMPUTED_VALUE"""),"Neto G.C.: 1,00 € (a partir de 25 uds.)")</f>
        <v>Neto G.C.: 1,00 € (a partir de 25 uds.)</v>
      </c>
    </row>
    <row r="567">
      <c r="A567" s="4" t="str">
        <f>IFERROR(__xludf.DUMMYFUNCTION("""COMPUTED_VALUE"""),"423")</f>
        <v>423</v>
      </c>
      <c r="B567" s="4" t="str">
        <f>IFERROR(__xludf.DUMMYFUNCTION("""COMPUTED_VALUE"""),"Señal Bolsa de plastico nº 23 VEL 10")</f>
        <v>Señal Bolsa de plastico nº 23 VEL 10</v>
      </c>
      <c r="C567" s="4">
        <f>IFERROR(__xludf.DUMMYFUNCTION("""COMPUTED_VALUE"""),1.7)</f>
        <v>1.7</v>
      </c>
      <c r="D567" s="4">
        <f>IFERROR(__xludf.DUMMYFUNCTION("""COMPUTED_VALUE"""),1.0)</f>
        <v>1</v>
      </c>
      <c r="E567" s="4" t="str">
        <f>IFERROR(__xludf.DUMMYFUNCTION("""COMPUTED_VALUE"""),"Neto G.C.: 1,00 € (a partir de 25 uds.)")</f>
        <v>Neto G.C.: 1,00 € (a partir de 25 uds.)</v>
      </c>
    </row>
    <row r="568">
      <c r="A568" s="4" t="str">
        <f>IFERROR(__xludf.DUMMYFUNCTION("""COMPUTED_VALUE"""),"424")</f>
        <v>424</v>
      </c>
      <c r="B568" s="4" t="str">
        <f>IFERROR(__xludf.DUMMYFUNCTION("""COMPUTED_VALUE"""),"Señal Bolsa de plastico nº 24 VEL. 50")</f>
        <v>Señal Bolsa de plastico nº 24 VEL. 50</v>
      </c>
      <c r="C568" s="4">
        <f>IFERROR(__xludf.DUMMYFUNCTION("""COMPUTED_VALUE"""),1.7)</f>
        <v>1.7</v>
      </c>
      <c r="D568" s="4">
        <f>IFERROR(__xludf.DUMMYFUNCTION("""COMPUTED_VALUE"""),1.0)</f>
        <v>1</v>
      </c>
      <c r="E568" s="4" t="str">
        <f>IFERROR(__xludf.DUMMYFUNCTION("""COMPUTED_VALUE"""),"Neto G.C.: 1,00 € (a partir de 25 uds.)")</f>
        <v>Neto G.C.: 1,00 € (a partir de 25 uds.)</v>
      </c>
    </row>
    <row r="569">
      <c r="A569" s="4" t="str">
        <f>IFERROR(__xludf.DUMMYFUNCTION("""COMPUTED_VALUE"""),"425")</f>
        <v>425</v>
      </c>
      <c r="B569" s="4" t="str">
        <f>IFERROR(__xludf.DUMMYFUNCTION("""COMPUTED_VALUE"""),"Señal Bolsa de plastico nº 25 RESALTO")</f>
        <v>Señal Bolsa de plastico nº 25 RESALTO</v>
      </c>
      <c r="C569" s="4">
        <f>IFERROR(__xludf.DUMMYFUNCTION("""COMPUTED_VALUE"""),1.7)</f>
        <v>1.7</v>
      </c>
      <c r="D569" s="4">
        <f>IFERROR(__xludf.DUMMYFUNCTION("""COMPUTED_VALUE"""),1.0)</f>
        <v>1</v>
      </c>
      <c r="E569" s="4" t="str">
        <f>IFERROR(__xludf.DUMMYFUNCTION("""COMPUTED_VALUE"""),"Neto G.C.: 1,00 € (a partir de 25 uds.)")</f>
        <v>Neto G.C.: 1,00 € (a partir de 25 uds.)</v>
      </c>
    </row>
    <row r="570">
      <c r="A570" s="4" t="str">
        <f>IFERROR(__xludf.DUMMYFUNCTION("""COMPUTED_VALUE"""),"426")</f>
        <v>426</v>
      </c>
      <c r="B570" s="4" t="str">
        <f>IFERROR(__xludf.DUMMYFUNCTION("""COMPUTED_VALUE"""),"Señal Bolsa de plastico nº 26 CAMINO CORTADO")</f>
        <v>Señal Bolsa de plastico nº 26 CAMINO CORTADO</v>
      </c>
      <c r="C570" s="4">
        <f>IFERROR(__xludf.DUMMYFUNCTION("""COMPUTED_VALUE"""),1.7)</f>
        <v>1.7</v>
      </c>
      <c r="D570" s="4">
        <f>IFERROR(__xludf.DUMMYFUNCTION("""COMPUTED_VALUE"""),1.0)</f>
        <v>1</v>
      </c>
      <c r="E570" s="4" t="str">
        <f>IFERROR(__xludf.DUMMYFUNCTION("""COMPUTED_VALUE"""),"Neto G.C.: 1,00 € (a partir de 25 uds.)")</f>
        <v>Neto G.C.: 1,00 € (a partir de 25 uds.)</v>
      </c>
    </row>
    <row r="571">
      <c r="A571" s="4" t="str">
        <f>IFERROR(__xludf.DUMMYFUNCTION("""COMPUTED_VALUE"""),"427")</f>
        <v>427</v>
      </c>
      <c r="B571" s="4" t="str">
        <f>IFERROR(__xludf.DUMMYFUNCTION("""COMPUTED_VALUE"""),"Señal Bolsa de plastico nº 27 DIR. OBLI. IZQ.")</f>
        <v>Señal Bolsa de plastico nº 27 DIR. OBLI. IZQ.</v>
      </c>
      <c r="C571" s="4">
        <f>IFERROR(__xludf.DUMMYFUNCTION("""COMPUTED_VALUE"""),1.7)</f>
        <v>1.7</v>
      </c>
      <c r="D571" s="4">
        <f>IFERROR(__xludf.DUMMYFUNCTION("""COMPUTED_VALUE"""),1.0)</f>
        <v>1</v>
      </c>
      <c r="E571" s="4" t="str">
        <f>IFERROR(__xludf.DUMMYFUNCTION("""COMPUTED_VALUE"""),"Neto G.C.: 1,00 € (a partir de 25 uds.)")</f>
        <v>Neto G.C.: 1,00 € (a partir de 25 uds.)</v>
      </c>
    </row>
    <row r="572">
      <c r="A572" s="4" t="str">
        <f>IFERROR(__xludf.DUMMYFUNCTION("""COMPUTED_VALUE"""),"428")</f>
        <v>428</v>
      </c>
      <c r="B572" s="4" t="str">
        <f>IFERROR(__xludf.DUMMYFUNCTION("""COMPUTED_VALUE"""),"Señal Bolsa de plastico nº 28 CEDA EL PASO")</f>
        <v>Señal Bolsa de plastico nº 28 CEDA EL PASO</v>
      </c>
      <c r="C572" s="4">
        <f>IFERROR(__xludf.DUMMYFUNCTION("""COMPUTED_VALUE"""),1.7)</f>
        <v>1.7</v>
      </c>
      <c r="D572" s="4">
        <f>IFERROR(__xludf.DUMMYFUNCTION("""COMPUTED_VALUE"""),1.0)</f>
        <v>1</v>
      </c>
      <c r="E572" s="4" t="str">
        <f>IFERROR(__xludf.DUMMYFUNCTION("""COMPUTED_VALUE"""),"Neto G.C.: 1,00 € (a partir de 25 uds.)")</f>
        <v>Neto G.C.: 1,00 € (a partir de 25 uds.)</v>
      </c>
    </row>
    <row r="573">
      <c r="A573" s="4" t="str">
        <f>IFERROR(__xludf.DUMMYFUNCTION("""COMPUTED_VALUE"""),"429")</f>
        <v>429</v>
      </c>
      <c r="B573" s="4" t="str">
        <f>IFERROR(__xludf.DUMMYFUNCTION("""COMPUTED_VALUE"""),"Señal Bolsa de plastico nº 29 CEDA EL PASO C / TEXTO")</f>
        <v>Señal Bolsa de plastico nº 29 CEDA EL PASO C / TEXTO</v>
      </c>
      <c r="C573" s="4">
        <f>IFERROR(__xludf.DUMMYFUNCTION("""COMPUTED_VALUE"""),1.7)</f>
        <v>1.7</v>
      </c>
      <c r="D573" s="4">
        <f>IFERROR(__xludf.DUMMYFUNCTION("""COMPUTED_VALUE"""),1.0)</f>
        <v>1</v>
      </c>
      <c r="E573" s="4" t="str">
        <f>IFERROR(__xludf.DUMMYFUNCTION("""COMPUTED_VALUE"""),"Neto G.C.: 1,00 € (a partir de 25 uds.)")</f>
        <v>Neto G.C.: 1,00 € (a partir de 25 uds.)</v>
      </c>
    </row>
    <row r="574">
      <c r="A574" s="4" t="str">
        <f>IFERROR(__xludf.DUMMYFUNCTION("""COMPUTED_VALUE"""),"430")</f>
        <v>430</v>
      </c>
      <c r="B574" s="4" t="str">
        <f>IFERROR(__xludf.DUMMYFUNCTION("""COMPUTED_VALUE"""),"Señal Bolsa de plastico nº 30 CONTROL POLICIAL")</f>
        <v>Señal Bolsa de plastico nº 30 CONTROL POLICIAL</v>
      </c>
      <c r="C574" s="4">
        <f>IFERROR(__xludf.DUMMYFUNCTION("""COMPUTED_VALUE"""),1.7)</f>
        <v>1.7</v>
      </c>
      <c r="D574" s="4">
        <f>IFERROR(__xludf.DUMMYFUNCTION("""COMPUTED_VALUE"""),1.0)</f>
        <v>1</v>
      </c>
      <c r="E574" s="4" t="str">
        <f>IFERROR(__xludf.DUMMYFUNCTION("""COMPUTED_VALUE"""),"Neto G.C.: 1,00 € (a partir de 25 uds.)")</f>
        <v>Neto G.C.: 1,00 € (a partir de 25 uds.)</v>
      </c>
    </row>
    <row r="575">
      <c r="A575" s="4" t="str">
        <f>IFERROR(__xludf.DUMMYFUNCTION("""COMPUTED_VALUE"""),"431")</f>
        <v>431</v>
      </c>
      <c r="B575" s="4" t="str">
        <f>IFERROR(__xludf.DUMMYFUNCTION("""COMPUTED_VALUE"""),"Señal Bolsa de plastico nº 31 TRABAJOS FORESTALES")</f>
        <v>Señal Bolsa de plastico nº 31 TRABAJOS FORESTALES</v>
      </c>
      <c r="C575" s="4">
        <f>IFERROR(__xludf.DUMMYFUNCTION("""COMPUTED_VALUE"""),1.7)</f>
        <v>1.7</v>
      </c>
      <c r="D575" s="4">
        <f>IFERROR(__xludf.DUMMYFUNCTION("""COMPUTED_VALUE"""),1.0)</f>
        <v>1</v>
      </c>
      <c r="E575" s="4" t="str">
        <f>IFERROR(__xludf.DUMMYFUNCTION("""COMPUTED_VALUE"""),"Neto G.C.: 1,00 € (a partir de 25 uds.)")</f>
        <v>Neto G.C.: 1,00 € (a partir de 25 uds.)</v>
      </c>
    </row>
    <row r="576">
      <c r="A576" s="4" t="str">
        <f>IFERROR(__xludf.DUMMYFUNCTION("""COMPUTED_VALUE"""),"432")</f>
        <v>432</v>
      </c>
      <c r="B576" s="4" t="str">
        <f>IFERROR(__xludf.DUMMYFUNCTION("""COMPUTED_VALUE"""),"Señal Bolsa de plastico nº 32 LUZ OBLIGATORIA")</f>
        <v>Señal Bolsa de plastico nº 32 LUZ OBLIGATORIA</v>
      </c>
      <c r="C576" s="4">
        <f>IFERROR(__xludf.DUMMYFUNCTION("""COMPUTED_VALUE"""),1.7)</f>
        <v>1.7</v>
      </c>
      <c r="D576" s="4">
        <f>IFERROR(__xludf.DUMMYFUNCTION("""COMPUTED_VALUE"""),1.0)</f>
        <v>1</v>
      </c>
      <c r="E576" s="4" t="str">
        <f>IFERROR(__xludf.DUMMYFUNCTION("""COMPUTED_VALUE"""),"Neto G.C.: 1,00 € (a partir de 25 uds.)")</f>
        <v>Neto G.C.: 1,00 € (a partir de 25 uds.)</v>
      </c>
    </row>
    <row r="577">
      <c r="A577" s="4" t="str">
        <f>IFERROR(__xludf.DUMMYFUNCTION("""COMPUTED_VALUE"""),"0450A")</f>
        <v>0450A</v>
      </c>
      <c r="B577" s="4" t="str">
        <f>IFERROR(__xludf.DUMMYFUNCTION("""COMPUTED_VALUE"""),"Plantilla señalizacion para suelo 50x50 cm")</f>
        <v>Plantilla señalizacion para suelo 50x50 cm</v>
      </c>
      <c r="C577" s="4">
        <f>IFERROR(__xludf.DUMMYFUNCTION("""COMPUTED_VALUE"""),32.75)</f>
        <v>32.75</v>
      </c>
      <c r="D577" s="4"/>
      <c r="E577" s="4" t="str">
        <f>IFERROR(__xludf.DUMMYFUNCTION("""COMPUTED_VALUE"""),"Sin precio neto G.C.")</f>
        <v>Sin precio neto G.C.</v>
      </c>
    </row>
    <row r="578">
      <c r="A578" s="4" t="str">
        <f>IFERROR(__xludf.DUMMYFUNCTION("""COMPUTED_VALUE"""),"0450B")</f>
        <v>0450B</v>
      </c>
      <c r="B578" s="4" t="str">
        <f>IFERROR(__xludf.DUMMYFUNCTION("""COMPUTED_VALUE"""),"Plantilla señalizacion para suelo 100 x 70 cm")</f>
        <v>Plantilla señalizacion para suelo 100 x 70 cm</v>
      </c>
      <c r="C578" s="4">
        <f>IFERROR(__xludf.DUMMYFUNCTION("""COMPUTED_VALUE"""),47.52)</f>
        <v>47.52</v>
      </c>
      <c r="D578" s="4"/>
      <c r="E578" s="4" t="str">
        <f>IFERROR(__xludf.DUMMYFUNCTION("""COMPUTED_VALUE"""),"Sin precio neto G.C.")</f>
        <v>Sin precio neto G.C.</v>
      </c>
    </row>
    <row r="579">
      <c r="A579" s="4" t="str">
        <f>IFERROR(__xludf.DUMMYFUNCTION("""COMPUTED_VALUE"""),"0450E")</f>
        <v>0450E</v>
      </c>
      <c r="B579" s="4" t="str">
        <f>IFERROR(__xludf.DUMMYFUNCTION("""COMPUTED_VALUE"""),"Plantilla 60x60 cm carga coche eléctrico")</f>
        <v>Plantilla 60x60 cm carga coche eléctrico</v>
      </c>
      <c r="C579" s="4">
        <f>IFERROR(__xludf.DUMMYFUNCTION("""COMPUTED_VALUE"""),35.15)</f>
        <v>35.15</v>
      </c>
      <c r="D579" s="4"/>
      <c r="E579" s="4" t="str">
        <f>IFERROR(__xludf.DUMMYFUNCTION("""COMPUTED_VALUE"""),"Sin precio neto G.C.")</f>
        <v>Sin precio neto G.C.</v>
      </c>
    </row>
    <row r="580">
      <c r="A580" s="4" t="str">
        <f>IFERROR(__xludf.DUMMYFUNCTION("""COMPUTED_VALUE"""),"561")</f>
        <v>561</v>
      </c>
      <c r="B580" s="4" t="str">
        <f>IFERROR(__xludf.DUMMYFUNCTION("""COMPUTED_VALUE"""),"Bolardo composite cuadrado Abatible 70 cm c/llave")</f>
        <v>Bolardo composite cuadrado Abatible 70 cm c/llave</v>
      </c>
      <c r="C580" s="4">
        <f>IFERROR(__xludf.DUMMYFUNCTION("""COMPUTED_VALUE"""),32.75)</f>
        <v>32.75</v>
      </c>
      <c r="D580" s="4"/>
      <c r="E580" s="4" t="str">
        <f>IFERROR(__xludf.DUMMYFUNCTION("""COMPUTED_VALUE"""),"Sin precio neto G.C.")</f>
        <v>Sin precio neto G.C.</v>
      </c>
    </row>
    <row r="581">
      <c r="A581" s="4" t="str">
        <f>IFERROR(__xludf.DUMMYFUNCTION("""COMPUTED_VALUE"""),"562")</f>
        <v>562</v>
      </c>
      <c r="B581" s="4" t="str">
        <f>IFERROR(__xludf.DUMMYFUNCTION("""COMPUTED_VALUE"""),"Bolardo Composite Redondo Abatible 70 cm c/ llave")</f>
        <v>Bolardo Composite Redondo Abatible 70 cm c/ llave</v>
      </c>
      <c r="C581" s="4">
        <f>IFERROR(__xludf.DUMMYFUNCTION("""COMPUTED_VALUE"""),37.25)</f>
        <v>37.25</v>
      </c>
      <c r="D581" s="4"/>
      <c r="E581" s="4" t="str">
        <f>IFERROR(__xludf.DUMMYFUNCTION("""COMPUTED_VALUE"""),"Sin precio neto G.C.")</f>
        <v>Sin precio neto G.C.</v>
      </c>
    </row>
    <row r="582">
      <c r="A582" s="4" t="str">
        <f>IFERROR(__xludf.DUMMYFUNCTION("""COMPUTED_VALUE"""),"563")</f>
        <v>563</v>
      </c>
      <c r="B582" s="4" t="str">
        <f>IFERROR(__xludf.DUMMYFUNCTION("""COMPUTED_VALUE"""),"Tensa Cono 9 Mts A/N")</f>
        <v>Tensa Cono 9 Mts A/N</v>
      </c>
      <c r="C582" s="4">
        <f>IFERROR(__xludf.DUMMYFUNCTION("""COMPUTED_VALUE"""),34.5)</f>
        <v>34.5</v>
      </c>
      <c r="D582" s="4">
        <f>IFERROR(__xludf.DUMMYFUNCTION("""COMPUTED_VALUE"""),26.0)</f>
        <v>26</v>
      </c>
      <c r="E582" s="4" t="str">
        <f>IFERROR(__xludf.DUMMYFUNCTION("""COMPUTED_VALUE"""),"Neto G.C.: 26,00 € (a partir de 10 uds.)")</f>
        <v>Neto G.C.: 26,00 € (a partir de 10 uds.)</v>
      </c>
    </row>
    <row r="583">
      <c r="A583" s="4" t="str">
        <f>IFERROR(__xludf.DUMMYFUNCTION("""COMPUTED_VALUE"""),"564")</f>
        <v>564</v>
      </c>
      <c r="B583" s="4" t="str">
        <f>IFERROR(__xludf.DUMMYFUNCTION("""COMPUTED_VALUE"""),"Tensa Cono 9 Mts R/B")</f>
        <v>Tensa Cono 9 Mts R/B</v>
      </c>
      <c r="C583" s="4">
        <f>IFERROR(__xludf.DUMMYFUNCTION("""COMPUTED_VALUE"""),34.5)</f>
        <v>34.5</v>
      </c>
      <c r="D583" s="4">
        <f>IFERROR(__xludf.DUMMYFUNCTION("""COMPUTED_VALUE"""),26.0)</f>
        <v>26</v>
      </c>
      <c r="E583" s="4" t="str">
        <f>IFERROR(__xludf.DUMMYFUNCTION("""COMPUTED_VALUE"""),"Neto G.C.: 26,00 € (a partir de 10 uds.)")</f>
        <v>Neto G.C.: 26,00 € (a partir de 10 uds.)</v>
      </c>
    </row>
    <row r="584">
      <c r="A584" s="4" t="str">
        <f>IFERROR(__xludf.DUMMYFUNCTION("""COMPUTED_VALUE"""),"565")</f>
        <v>565</v>
      </c>
      <c r="B584" s="4" t="str">
        <f>IFERROR(__xludf.DUMMYFUNCTION("""COMPUTED_VALUE"""),"Tensa Cono 3 Mts R/B")</f>
        <v>Tensa Cono 3 Mts R/B</v>
      </c>
      <c r="C584" s="4">
        <f>IFERROR(__xludf.DUMMYFUNCTION("""COMPUTED_VALUE"""),16.0)</f>
        <v>16</v>
      </c>
      <c r="D584" s="4">
        <f>IFERROR(__xludf.DUMMYFUNCTION("""COMPUTED_VALUE"""),16.0)</f>
        <v>16</v>
      </c>
      <c r="E584" s="4" t="str">
        <f>IFERROR(__xludf.DUMMYFUNCTION("""COMPUTED_VALUE"""),"Neto G.C.: 16,00 € (a partir de 10 uds.)")</f>
        <v>Neto G.C.: 16,00 € (a partir de 10 uds.)</v>
      </c>
    </row>
    <row r="585">
      <c r="A585" s="4" t="str">
        <f>IFERROR(__xludf.DUMMYFUNCTION("""COMPUTED_VALUE"""),"566")</f>
        <v>566</v>
      </c>
      <c r="B585" s="4" t="str">
        <f>IFERROR(__xludf.DUMMYFUNCTION("""COMPUTED_VALUE"""),"Tensa Cono 3 Mts A/N")</f>
        <v>Tensa Cono 3 Mts A/N</v>
      </c>
      <c r="C585" s="4">
        <f>IFERROR(__xludf.DUMMYFUNCTION("""COMPUTED_VALUE"""),16.0)</f>
        <v>16</v>
      </c>
      <c r="D585" s="4">
        <f>IFERROR(__xludf.DUMMYFUNCTION("""COMPUTED_VALUE"""),16.0)</f>
        <v>16</v>
      </c>
      <c r="E585" s="4" t="str">
        <f>IFERROR(__xludf.DUMMYFUNCTION("""COMPUTED_VALUE"""),"Neto G.C.: 16,00 € (a partir de 10 uds.)")</f>
        <v>Neto G.C.: 16,00 € (a partir de 10 uds.)</v>
      </c>
    </row>
    <row r="586">
      <c r="A586" s="4" t="str">
        <f>IFERROR(__xludf.DUMMYFUNCTION("""COMPUTED_VALUE"""),"568")</f>
        <v>568</v>
      </c>
      <c r="B586" s="4" t="str">
        <f>IFERROR(__xludf.DUMMYFUNCTION("""COMPUTED_VALUE"""),"Hito vertice divergente 1200x1300")</f>
        <v>Hito vertice divergente 1200x1300</v>
      </c>
      <c r="C586" s="4">
        <f>IFERROR(__xludf.DUMMYFUNCTION("""COMPUTED_VALUE"""),393.75)</f>
        <v>393.75</v>
      </c>
      <c r="D586" s="4"/>
      <c r="E586" s="4" t="str">
        <f>IFERROR(__xludf.DUMMYFUNCTION("""COMPUTED_VALUE"""),"Sin precio neto G.C.")</f>
        <v>Sin precio neto G.C.</v>
      </c>
    </row>
    <row r="587">
      <c r="A587" s="4" t="str">
        <f>IFERROR(__xludf.DUMMYFUNCTION("""COMPUTED_VALUE"""),"569")</f>
        <v>569</v>
      </c>
      <c r="B587" s="4" t="str">
        <f>IFERROR(__xludf.DUMMYFUNCTION("""COMPUTED_VALUE"""),"Bolardo Acero 100 cm x 8 cm diámetro fijo")</f>
        <v>Bolardo Acero 100 cm x 8 cm diámetro fijo</v>
      </c>
      <c r="C587" s="4">
        <f>IFERROR(__xludf.DUMMYFUNCTION("""COMPUTED_VALUE"""),33.6)</f>
        <v>33.6</v>
      </c>
      <c r="D587" s="4"/>
      <c r="E587" s="4" t="str">
        <f>IFERROR(__xludf.DUMMYFUNCTION("""COMPUTED_VALUE"""),"Sin precio neto G.C.")</f>
        <v>Sin precio neto G.C.</v>
      </c>
    </row>
    <row r="588">
      <c r="A588" s="4" t="str">
        <f>IFERROR(__xludf.DUMMYFUNCTION("""COMPUTED_VALUE"""),"0569/PLATO")</f>
        <v>0569/PLATO</v>
      </c>
      <c r="B588" s="4" t="str">
        <f>IFERROR(__xludf.DUMMYFUNCTION("""COMPUTED_VALUE"""),"Bolardo Acero 100 cm x 8 cm diam. c/plato")</f>
        <v>Bolardo Acero 100 cm x 8 cm diam. c/plato</v>
      </c>
      <c r="C588" s="4">
        <f>IFERROR(__xludf.DUMMYFUNCTION("""COMPUTED_VALUE"""),56.7)</f>
        <v>56.7</v>
      </c>
      <c r="D588" s="4"/>
      <c r="E588" s="4" t="str">
        <f>IFERROR(__xludf.DUMMYFUNCTION("""COMPUTED_VALUE"""),"Sin precio neto G.C.")</f>
        <v>Sin precio neto G.C.</v>
      </c>
    </row>
    <row r="589">
      <c r="A589" s="4" t="str">
        <f>IFERROR(__xludf.DUMMYFUNCTION("""COMPUTED_VALUE"""),"0569A")</f>
        <v>0569A</v>
      </c>
      <c r="B589" s="4" t="str">
        <f>IFERROR(__xludf.DUMMYFUNCTION("""COMPUTED_VALUE"""),"Bolardo Acero 100 cm x 8 cm diámetro extraíble")</f>
        <v>Bolardo Acero 100 cm x 8 cm diámetro extraíble</v>
      </c>
      <c r="C589" s="4">
        <f>IFERROR(__xludf.DUMMYFUNCTION("""COMPUTED_VALUE"""),39.9)</f>
        <v>39.9</v>
      </c>
      <c r="D589" s="4"/>
      <c r="E589" s="4" t="str">
        <f>IFERROR(__xludf.DUMMYFUNCTION("""COMPUTED_VALUE"""),"Sin precio neto G.C.")</f>
        <v>Sin precio neto G.C.</v>
      </c>
    </row>
    <row r="590">
      <c r="A590" s="4" t="str">
        <f>IFERROR(__xludf.DUMMYFUNCTION("""COMPUTED_VALUE"""),"0569E")</f>
        <v>0569E</v>
      </c>
      <c r="B590" s="4" t="str">
        <f>IFERROR(__xludf.DUMMYFUNCTION("""COMPUTED_VALUE"""),"Base-enganche bolardo Acero")</f>
        <v>Base-enganche bolardo Acero</v>
      </c>
      <c r="C590" s="4">
        <f>IFERROR(__xludf.DUMMYFUNCTION("""COMPUTED_VALUE"""),59.0)</f>
        <v>59</v>
      </c>
      <c r="D590" s="4"/>
      <c r="E590" s="4" t="str">
        <f>IFERROR(__xludf.DUMMYFUNCTION("""COMPUTED_VALUE"""),"Sin precio neto G.C.")</f>
        <v>Sin precio neto G.C.</v>
      </c>
    </row>
    <row r="591">
      <c r="A591" s="4" t="str">
        <f>IFERROR(__xludf.DUMMYFUNCTION("""COMPUTED_VALUE"""),"0569LL")</f>
        <v>0569LL</v>
      </c>
      <c r="B591" s="4" t="str">
        <f>IFERROR(__xludf.DUMMYFUNCTION("""COMPUTED_VALUE"""),"Llave para enganche bolardo Acero")</f>
        <v>Llave para enganche bolardo Acero</v>
      </c>
      <c r="C591" s="4">
        <f>IFERROR(__xludf.DUMMYFUNCTION("""COMPUTED_VALUE"""),6.3)</f>
        <v>6.3</v>
      </c>
      <c r="D591" s="4"/>
      <c r="E591" s="4" t="str">
        <f>IFERROR(__xludf.DUMMYFUNCTION("""COMPUTED_VALUE"""),"Sin precio neto G.C.")</f>
        <v>Sin precio neto G.C.</v>
      </c>
    </row>
    <row r="592">
      <c r="A592" s="4" t="str">
        <f>IFERROR(__xludf.DUMMYFUNCTION("""COMPUTED_VALUE"""),"570")</f>
        <v>570</v>
      </c>
      <c r="B592" s="4" t="str">
        <f>IFERROR(__xludf.DUMMYFUNCTION("""COMPUTED_VALUE"""),"LLave para colocacion HIto H75")</f>
        <v>LLave para colocacion HIto H75</v>
      </c>
      <c r="C592" s="4">
        <f>IFERROR(__xludf.DUMMYFUNCTION("""COMPUTED_VALUE"""),16.95)</f>
        <v>16.95</v>
      </c>
      <c r="D592" s="4"/>
      <c r="E592" s="4" t="str">
        <f>IFERROR(__xludf.DUMMYFUNCTION("""COMPUTED_VALUE"""),"Sin precio neto G.C.")</f>
        <v>Sin precio neto G.C.</v>
      </c>
    </row>
    <row r="593">
      <c r="A593" s="4" t="str">
        <f>IFERROR(__xludf.DUMMYFUNCTION("""COMPUTED_VALUE"""),"571")</f>
        <v>571</v>
      </c>
      <c r="B593" s="4" t="str">
        <f>IFERROR(__xludf.DUMMYFUNCTION("""COMPUTED_VALUE"""),"Hito 75 cm c/base basculante Mod. B Verde")</f>
        <v>Hito 75 cm c/base basculante Mod. B Verde</v>
      </c>
      <c r="C593" s="4">
        <f>IFERROR(__xludf.DUMMYFUNCTION("""COMPUTED_VALUE"""),26.0)</f>
        <v>26</v>
      </c>
      <c r="D593" s="4"/>
      <c r="E593" s="4" t="str">
        <f>IFERROR(__xludf.DUMMYFUNCTION("""COMPUTED_VALUE"""),"Sin precio neto G.C.")</f>
        <v>Sin precio neto G.C.</v>
      </c>
    </row>
    <row r="594">
      <c r="A594" s="4" t="str">
        <f>IFERROR(__xludf.DUMMYFUNCTION("""COMPUTED_VALUE"""),"0571A")</f>
        <v>0571A</v>
      </c>
      <c r="B594" s="4" t="str">
        <f>IFERROR(__xludf.DUMMYFUNCTION("""COMPUTED_VALUE"""),"Hito 75 cm c/base basculante Mod. B Azul")</f>
        <v>Hito 75 cm c/base basculante Mod. B Azul</v>
      </c>
      <c r="C594" s="4">
        <f>IFERROR(__xludf.DUMMYFUNCTION("""COMPUTED_VALUE"""),26.0)</f>
        <v>26</v>
      </c>
      <c r="D594" s="4"/>
      <c r="E594" s="4" t="str">
        <f>IFERROR(__xludf.DUMMYFUNCTION("""COMPUTED_VALUE"""),"Sin precio neto G.C.")</f>
        <v>Sin precio neto G.C.</v>
      </c>
    </row>
    <row r="595">
      <c r="A595" s="4" t="str">
        <f>IFERROR(__xludf.DUMMYFUNCTION("""COMPUTED_VALUE"""),"574")</f>
        <v>574</v>
      </c>
      <c r="B595" s="4" t="str">
        <f>IFERROR(__xludf.DUMMYFUNCTION("""COMPUTED_VALUE"""),"Hito H-75 Polietileno azul Mod. A")</f>
        <v>Hito H-75 Polietileno azul Mod. A</v>
      </c>
      <c r="C595" s="4">
        <f>IFERROR(__xludf.DUMMYFUNCTION("""COMPUTED_VALUE"""),16.95)</f>
        <v>16.95</v>
      </c>
      <c r="D595" s="4">
        <f>IFERROR(__xludf.DUMMYFUNCTION("""COMPUTED_VALUE"""),14.0)</f>
        <v>14</v>
      </c>
      <c r="E595" s="4" t="str">
        <f>IFERROR(__xludf.DUMMYFUNCTION("""COMPUTED_VALUE"""),"Neto G.C.: 14,00 € (a partir de 12 uds.)")</f>
        <v>Neto G.C.: 14,00 € (a partir de 12 uds.)</v>
      </c>
    </row>
    <row r="596">
      <c r="A596" s="4" t="str">
        <f>IFERROR(__xludf.DUMMYFUNCTION("""COMPUTED_VALUE"""),"0574P")</f>
        <v>0574P</v>
      </c>
      <c r="B596" s="4" t="str">
        <f>IFERROR(__xludf.DUMMYFUNCTION("""COMPUTED_VALUE"""),"Hito H-50 Polietileno azul Mod. A")</f>
        <v>Hito H-50 Polietileno azul Mod. A</v>
      </c>
      <c r="C596" s="4">
        <f>IFERROR(__xludf.DUMMYFUNCTION("""COMPUTED_VALUE"""),13.75)</f>
        <v>13.75</v>
      </c>
      <c r="D596" s="4"/>
      <c r="E596" s="4" t="str">
        <f>IFERROR(__xludf.DUMMYFUNCTION("""COMPUTED_VALUE"""),"Sin precio neto G.C.")</f>
        <v>Sin precio neto G.C.</v>
      </c>
    </row>
    <row r="597">
      <c r="A597" s="4" t="str">
        <f>IFERROR(__xludf.DUMMYFUNCTION("""COMPUTED_VALUE"""),"0575A")</f>
        <v>0575A</v>
      </c>
      <c r="B597" s="4" t="str">
        <f>IFERROR(__xludf.DUMMYFUNCTION("""COMPUTED_VALUE"""),"Bandera señalizacion Mod. Basic Amarillo")</f>
        <v>Bandera señalizacion Mod. Basic Amarillo</v>
      </c>
      <c r="C597" s="4">
        <f>IFERROR(__xludf.DUMMYFUNCTION("""COMPUTED_VALUE"""),4.9)</f>
        <v>4.9</v>
      </c>
      <c r="D597" s="4"/>
      <c r="E597" s="4" t="str">
        <f>IFERROR(__xludf.DUMMYFUNCTION("""COMPUTED_VALUE"""),"Sin precio neto G.C.")</f>
        <v>Sin precio neto G.C.</v>
      </c>
    </row>
    <row r="598">
      <c r="A598" s="4" t="str">
        <f>IFERROR(__xludf.DUMMYFUNCTION("""COMPUTED_VALUE"""),"0575R")</f>
        <v>0575R</v>
      </c>
      <c r="B598" s="4" t="str">
        <f>IFERROR(__xludf.DUMMYFUNCTION("""COMPUTED_VALUE"""),"Bandera señalizacion Mod. Basic Rojo")</f>
        <v>Bandera señalizacion Mod. Basic Rojo</v>
      </c>
      <c r="C598" s="4">
        <f>IFERROR(__xludf.DUMMYFUNCTION("""COMPUTED_VALUE"""),4.9)</f>
        <v>4.9</v>
      </c>
      <c r="D598" s="4"/>
      <c r="E598" s="4" t="str">
        <f>IFERROR(__xludf.DUMMYFUNCTION("""COMPUTED_VALUE"""),"Sin precio neto G.C.")</f>
        <v>Sin precio neto G.C.</v>
      </c>
    </row>
    <row r="599">
      <c r="A599" s="4" t="str">
        <f>IFERROR(__xludf.DUMMYFUNCTION("""COMPUTED_VALUE"""),"0575V")</f>
        <v>0575V</v>
      </c>
      <c r="B599" s="4" t="str">
        <f>IFERROR(__xludf.DUMMYFUNCTION("""COMPUTED_VALUE"""),"Bandera señalizacion Mod. Basic Verde")</f>
        <v>Bandera señalizacion Mod. Basic Verde</v>
      </c>
      <c r="C599" s="4">
        <f>IFERROR(__xludf.DUMMYFUNCTION("""COMPUTED_VALUE"""),4.9)</f>
        <v>4.9</v>
      </c>
      <c r="D599" s="4"/>
      <c r="E599" s="4" t="str">
        <f>IFERROR(__xludf.DUMMYFUNCTION("""COMPUTED_VALUE"""),"Sin precio neto G.C.")</f>
        <v>Sin precio neto G.C.</v>
      </c>
    </row>
    <row r="600">
      <c r="A600" s="4" t="str">
        <f>IFERROR(__xludf.DUMMYFUNCTION("""COMPUTED_VALUE"""),"0575Z")</f>
        <v>0575Z</v>
      </c>
      <c r="B600" s="4" t="str">
        <f>IFERROR(__xludf.DUMMYFUNCTION("""COMPUTED_VALUE"""),"Bandera señalizacion Mod. Basic Azul")</f>
        <v>Bandera señalizacion Mod. Basic Azul</v>
      </c>
      <c r="C600" s="4">
        <f>IFERROR(__xludf.DUMMYFUNCTION("""COMPUTED_VALUE"""),4.9)</f>
        <v>4.9</v>
      </c>
      <c r="D600" s="4"/>
      <c r="E600" s="4" t="str">
        <f>IFERROR(__xludf.DUMMYFUNCTION("""COMPUTED_VALUE"""),"Sin precio neto G.C.")</f>
        <v>Sin precio neto G.C.</v>
      </c>
    </row>
    <row r="601">
      <c r="A601" s="4" t="str">
        <f>IFERROR(__xludf.DUMMYFUNCTION("""COMPUTED_VALUE"""),"576")</f>
        <v>576</v>
      </c>
      <c r="B601" s="4" t="str">
        <f>IFERROR(__xludf.DUMMYFUNCTION("""COMPUTED_VALUE"""),"Hito H-75 fijo Polietileno verde Mod. A")</f>
        <v>Hito H-75 fijo Polietileno verde Mod. A</v>
      </c>
      <c r="C601" s="4">
        <f>IFERROR(__xludf.DUMMYFUNCTION("""COMPUTED_VALUE"""),16.95)</f>
        <v>16.95</v>
      </c>
      <c r="D601" s="4">
        <f>IFERROR(__xludf.DUMMYFUNCTION("""COMPUTED_VALUE"""),14.0)</f>
        <v>14</v>
      </c>
      <c r="E601" s="4" t="str">
        <f>IFERROR(__xludf.DUMMYFUNCTION("""COMPUTED_VALUE"""),"Neto G.C.: 14,00 € (a partir de 12 uds.)")</f>
        <v>Neto G.C.: 14,00 € (a partir de 12 uds.)</v>
      </c>
    </row>
    <row r="602">
      <c r="A602" s="4" t="str">
        <f>IFERROR(__xludf.DUMMYFUNCTION("""COMPUTED_VALUE"""),"0576P")</f>
        <v>0576P</v>
      </c>
      <c r="B602" s="4" t="str">
        <f>IFERROR(__xludf.DUMMYFUNCTION("""COMPUTED_VALUE"""),"Hito H-50 fijo Polietileno verde Mod. A")</f>
        <v>Hito H-50 fijo Polietileno verde Mod. A</v>
      </c>
      <c r="C602" s="4">
        <f>IFERROR(__xludf.DUMMYFUNCTION("""COMPUTED_VALUE"""),13.75)</f>
        <v>13.75</v>
      </c>
      <c r="D602" s="4"/>
      <c r="E602" s="4" t="str">
        <f>IFERROR(__xludf.DUMMYFUNCTION("""COMPUTED_VALUE"""),"Sin precio neto G.C.")</f>
        <v>Sin precio neto G.C.</v>
      </c>
    </row>
    <row r="603">
      <c r="A603" s="4" t="str">
        <f>IFERROR(__xludf.DUMMYFUNCTION("""COMPUTED_VALUE"""),"0576T")</f>
        <v>0576T</v>
      </c>
      <c r="B603" s="4" t="str">
        <f>IFERROR(__xludf.DUMMYFUNCTION("""COMPUTED_VALUE"""),"Tornillo con casquillo para H-75")</f>
        <v>Tornillo con casquillo para H-75</v>
      </c>
      <c r="C603" s="4">
        <f>IFERROR(__xludf.DUMMYFUNCTION("""COMPUTED_VALUE"""),2.15)</f>
        <v>2.15</v>
      </c>
      <c r="D603" s="4"/>
      <c r="E603" s="4" t="str">
        <f>IFERROR(__xludf.DUMMYFUNCTION("""COMPUTED_VALUE"""),"Sin precio neto G.C.")</f>
        <v>Sin precio neto G.C.</v>
      </c>
    </row>
    <row r="604">
      <c r="A604" s="4" t="str">
        <f>IFERROR(__xludf.DUMMYFUNCTION("""COMPUTED_VALUE"""),"577")</f>
        <v>577</v>
      </c>
      <c r="B604" s="4" t="str">
        <f>IFERROR(__xludf.DUMMYFUNCTION("""COMPUTED_VALUE"""),"Señal Obra con mango STOP-PASO")</f>
        <v>Señal Obra con mango STOP-PASO</v>
      </c>
      <c r="C604" s="4">
        <f>IFERROR(__xludf.DUMMYFUNCTION("""COMPUTED_VALUE"""),4.9)</f>
        <v>4.9</v>
      </c>
      <c r="D604" s="4">
        <f>IFERROR(__xludf.DUMMYFUNCTION("""COMPUTED_VALUE"""),4.5)</f>
        <v>4.5</v>
      </c>
      <c r="E604" s="4" t="str">
        <f>IFERROR(__xludf.DUMMYFUNCTION("""COMPUTED_VALUE"""),"Neto G.C.: 4,50 € (a partir de 50 uds.)")</f>
        <v>Neto G.C.: 4,50 € (a partir de 50 uds.)</v>
      </c>
    </row>
    <row r="605">
      <c r="A605" s="4" t="str">
        <f>IFERROR(__xludf.DUMMYFUNCTION("""COMPUTED_VALUE"""),"0577A")</f>
        <v>0577A</v>
      </c>
      <c r="B605" s="4" t="str">
        <f>IFERROR(__xludf.DUMMYFUNCTION("""COMPUTED_VALUE"""),"Señal Stop/Paso con Mango Reforzada aluminio")</f>
        <v>Señal Stop/Paso con Mango Reforzada aluminio</v>
      </c>
      <c r="C605" s="4">
        <f>IFERROR(__xludf.DUMMYFUNCTION("""COMPUTED_VALUE"""),9.0)</f>
        <v>9</v>
      </c>
      <c r="D605" s="4"/>
      <c r="E605" s="4" t="str">
        <f>IFERROR(__xludf.DUMMYFUNCTION("""COMPUTED_VALUE"""),"Sin precio neto G.C.")</f>
        <v>Sin precio neto G.C.</v>
      </c>
    </row>
    <row r="606">
      <c r="A606" s="4" t="str">
        <f>IFERROR(__xludf.DUMMYFUNCTION("""COMPUTED_VALUE"""),"0577B")</f>
        <v>0577B</v>
      </c>
      <c r="B606" s="4" t="str">
        <f>IFERROR(__xludf.DUMMYFUNCTION("""COMPUTED_VALUE"""),"Señal Obra con mango STOP-PASO 1.5 m")</f>
        <v>Señal Obra con mango STOP-PASO 1.5 m</v>
      </c>
      <c r="C606" s="4">
        <f>IFERROR(__xludf.DUMMYFUNCTION("""COMPUTED_VALUE"""),7.75)</f>
        <v>7.75</v>
      </c>
      <c r="D606" s="4"/>
      <c r="E606" s="4" t="str">
        <f>IFERROR(__xludf.DUMMYFUNCTION("""COMPUTED_VALUE"""),"Sin precio neto G.C.")</f>
        <v>Sin precio neto G.C.</v>
      </c>
    </row>
    <row r="607">
      <c r="A607" s="4" t="str">
        <f>IFERROR(__xludf.DUMMYFUNCTION("""COMPUTED_VALUE"""),"578")</f>
        <v>578</v>
      </c>
      <c r="B607" s="4" t="str">
        <f>IFERROR(__xludf.DUMMYFUNCTION("""COMPUTED_VALUE"""),"Soporte metálica para señal bolsa")</f>
        <v>Soporte metálica para señal bolsa</v>
      </c>
      <c r="C607" s="4">
        <f>IFERROR(__xludf.DUMMYFUNCTION("""COMPUTED_VALUE"""),15.75)</f>
        <v>15.75</v>
      </c>
      <c r="D607" s="4">
        <f>IFERROR(__xludf.DUMMYFUNCTION("""COMPUTED_VALUE"""),14.0)</f>
        <v>14</v>
      </c>
      <c r="E607" s="4" t="str">
        <f>IFERROR(__xludf.DUMMYFUNCTION("""COMPUTED_VALUE"""),"Neto G.C.: 14,00 € (a partir de 2 uds.)")</f>
        <v>Neto G.C.: 14,00 € (a partir de 2 uds.)</v>
      </c>
    </row>
    <row r="608">
      <c r="A608" s="4" t="str">
        <f>IFERROR(__xludf.DUMMYFUNCTION("""COMPUTED_VALUE"""),"0579A")</f>
        <v>0579A</v>
      </c>
      <c r="B608" s="4" t="str">
        <f>IFERROR(__xludf.DUMMYFUNCTION("""COMPUTED_VALUE"""),"Pilona extraible PVC-EVA 810 mm Amarilla")</f>
        <v>Pilona extraible PVC-EVA 810 mm Amarilla</v>
      </c>
      <c r="C608" s="4">
        <f>IFERROR(__xludf.DUMMYFUNCTION("""COMPUTED_VALUE"""),46.0)</f>
        <v>46</v>
      </c>
      <c r="D608" s="4"/>
      <c r="E608" s="4" t="str">
        <f>IFERROR(__xludf.DUMMYFUNCTION("""COMPUTED_VALUE"""),"Sin precio neto G.C.")</f>
        <v>Sin precio neto G.C.</v>
      </c>
    </row>
    <row r="609">
      <c r="A609" s="4" t="str">
        <f>IFERROR(__xludf.DUMMYFUNCTION("""COMPUTED_VALUE"""),"0579B")</f>
        <v>0579B</v>
      </c>
      <c r="B609" s="4" t="str">
        <f>IFERROR(__xludf.DUMMYFUNCTION("""COMPUTED_VALUE"""),"Sistema extraible para pilona 0579")</f>
        <v>Sistema extraible para pilona 0579</v>
      </c>
      <c r="C609" s="4">
        <f>IFERROR(__xludf.DUMMYFUNCTION("""COMPUTED_VALUE"""),35.63)</f>
        <v>35.63</v>
      </c>
      <c r="D609" s="4"/>
      <c r="E609" s="4" t="str">
        <f>IFERROR(__xludf.DUMMYFUNCTION("""COMPUTED_VALUE"""),"Sin precio neto G.C.")</f>
        <v>Sin precio neto G.C.</v>
      </c>
    </row>
    <row r="610">
      <c r="A610" s="4" t="str">
        <f>IFERROR(__xludf.DUMMYFUNCTION("""COMPUTED_VALUE"""),"0579LL")</f>
        <v>0579LL</v>
      </c>
      <c r="B610" s="4" t="str">
        <f>IFERROR(__xludf.DUMMYFUNCTION("""COMPUTED_VALUE"""),"Llave para pilona extraible 0579")</f>
        <v>Llave para pilona extraible 0579</v>
      </c>
      <c r="C610" s="4">
        <f>IFERROR(__xludf.DUMMYFUNCTION("""COMPUTED_VALUE"""),8.0)</f>
        <v>8</v>
      </c>
      <c r="D610" s="4"/>
      <c r="E610" s="4" t="str">
        <f>IFERROR(__xludf.DUMMYFUNCTION("""COMPUTED_VALUE"""),"Sin precio neto G.C.")</f>
        <v>Sin precio neto G.C.</v>
      </c>
    </row>
    <row r="611">
      <c r="A611" s="4" t="str">
        <f>IFERROR(__xludf.DUMMYFUNCTION("""COMPUTED_VALUE"""),"0579N")</f>
        <v>0579N</v>
      </c>
      <c r="B611" s="4" t="str">
        <f>IFERROR(__xludf.DUMMYFUNCTION("""COMPUTED_VALUE"""),"Pilona Extraíble PVC-EVA 810 mm Negro")</f>
        <v>Pilona Extraíble PVC-EVA 810 mm Negro</v>
      </c>
      <c r="C611" s="4">
        <f>IFERROR(__xludf.DUMMYFUNCTION("""COMPUTED_VALUE"""),46.0)</f>
        <v>46</v>
      </c>
      <c r="D611" s="4"/>
      <c r="E611" s="4" t="str">
        <f>IFERROR(__xludf.DUMMYFUNCTION("""COMPUTED_VALUE"""),"Sin precio neto G.C.")</f>
        <v>Sin precio neto G.C.</v>
      </c>
    </row>
    <row r="612">
      <c r="A612" s="4" t="str">
        <f>IFERROR(__xludf.DUMMYFUNCTION("""COMPUTED_VALUE"""),"0579R")</f>
        <v>0579R</v>
      </c>
      <c r="B612" s="4" t="str">
        <f>IFERROR(__xludf.DUMMYFUNCTION("""COMPUTED_VALUE"""),"Pilona extraible PVC-EVA 810 mm Rojo")</f>
        <v>Pilona extraible PVC-EVA 810 mm Rojo</v>
      </c>
      <c r="C612" s="4">
        <f>IFERROR(__xludf.DUMMYFUNCTION("""COMPUTED_VALUE"""),46.0)</f>
        <v>46</v>
      </c>
      <c r="D612" s="4"/>
      <c r="E612" s="4" t="str">
        <f>IFERROR(__xludf.DUMMYFUNCTION("""COMPUTED_VALUE"""),"Sin precio neto G.C.")</f>
        <v>Sin precio neto G.C.</v>
      </c>
    </row>
    <row r="613">
      <c r="A613" s="4" t="str">
        <f>IFERROR(__xludf.DUMMYFUNCTION("""COMPUTED_VALUE"""),"0579V")</f>
        <v>0579V</v>
      </c>
      <c r="B613" s="4" t="str">
        <f>IFERROR(__xludf.DUMMYFUNCTION("""COMPUTED_VALUE"""),"Pilona extraible PVC-EVA 810 mm Verde")</f>
        <v>Pilona extraible PVC-EVA 810 mm Verde</v>
      </c>
      <c r="C613" s="4">
        <f>IFERROR(__xludf.DUMMYFUNCTION("""COMPUTED_VALUE"""),46.0)</f>
        <v>46</v>
      </c>
      <c r="D613" s="4"/>
      <c r="E613" s="4" t="str">
        <f>IFERROR(__xludf.DUMMYFUNCTION("""COMPUTED_VALUE"""),"Sin precio neto G.C.")</f>
        <v>Sin precio neto G.C.</v>
      </c>
    </row>
    <row r="614">
      <c r="A614" s="4" t="str">
        <f>IFERROR(__xludf.DUMMYFUNCTION("""COMPUTED_VALUE"""),"0579Z")</f>
        <v>0579Z</v>
      </c>
      <c r="B614" s="4" t="str">
        <f>IFERROR(__xludf.DUMMYFUNCTION("""COMPUTED_VALUE"""),"Pilona extraible PVC-EVA 810 mm Azul")</f>
        <v>Pilona extraible PVC-EVA 810 mm Azul</v>
      </c>
      <c r="C614" s="4">
        <f>IFERROR(__xludf.DUMMYFUNCTION("""COMPUTED_VALUE"""),46.0)</f>
        <v>46</v>
      </c>
      <c r="D614" s="4"/>
      <c r="E614" s="4" t="str">
        <f>IFERROR(__xludf.DUMMYFUNCTION("""COMPUTED_VALUE"""),"Sin precio neto G.C.")</f>
        <v>Sin precio neto G.C.</v>
      </c>
    </row>
    <row r="615">
      <c r="A615" s="4" t="str">
        <f>IFERROR(__xludf.DUMMYFUNCTION("""COMPUTED_VALUE"""),"0580A")</f>
        <v>0580A</v>
      </c>
      <c r="B615" s="4" t="str">
        <f>IFERROR(__xludf.DUMMYFUNCTION("""COMPUTED_VALUE"""),"Pilona fija PVC-EVA 810 mm Amarillo con peana")</f>
        <v>Pilona fija PVC-EVA 810 mm Amarillo con peana</v>
      </c>
      <c r="C615" s="4">
        <f>IFERROR(__xludf.DUMMYFUNCTION("""COMPUTED_VALUE"""),47.0)</f>
        <v>47</v>
      </c>
      <c r="D615" s="4"/>
      <c r="E615" s="4" t="str">
        <f>IFERROR(__xludf.DUMMYFUNCTION("""COMPUTED_VALUE"""),"Sin precio neto G.C.")</f>
        <v>Sin precio neto G.C.</v>
      </c>
    </row>
    <row r="616">
      <c r="A616" s="4" t="str">
        <f>IFERROR(__xludf.DUMMYFUNCTION("""COMPUTED_VALUE"""),"0580N")</f>
        <v>0580N</v>
      </c>
      <c r="B616" s="4" t="str">
        <f>IFERROR(__xludf.DUMMYFUNCTION("""COMPUTED_VALUE"""),"Pilona fija PVC-EVA 810 mm Negro con peana")</f>
        <v>Pilona fija PVC-EVA 810 mm Negro con peana</v>
      </c>
      <c r="C616" s="4">
        <f>IFERROR(__xludf.DUMMYFUNCTION("""COMPUTED_VALUE"""),47.0)</f>
        <v>47</v>
      </c>
      <c r="D616" s="4"/>
      <c r="E616" s="4" t="str">
        <f>IFERROR(__xludf.DUMMYFUNCTION("""COMPUTED_VALUE"""),"Sin precio neto G.C.")</f>
        <v>Sin precio neto G.C.</v>
      </c>
    </row>
    <row r="617">
      <c r="A617" s="4" t="str">
        <f>IFERROR(__xludf.DUMMYFUNCTION("""COMPUTED_VALUE"""),"0580R")</f>
        <v>0580R</v>
      </c>
      <c r="B617" s="4" t="str">
        <f>IFERROR(__xludf.DUMMYFUNCTION("""COMPUTED_VALUE"""),"Pilona fija PVC-EVA 810 mm Rojo con peana")</f>
        <v>Pilona fija PVC-EVA 810 mm Rojo con peana</v>
      </c>
      <c r="C617" s="4">
        <f>IFERROR(__xludf.DUMMYFUNCTION("""COMPUTED_VALUE"""),47.0)</f>
        <v>47</v>
      </c>
      <c r="D617" s="4"/>
      <c r="E617" s="4" t="str">
        <f>IFERROR(__xludf.DUMMYFUNCTION("""COMPUTED_VALUE"""),"Sin precio neto G.C.")</f>
        <v>Sin precio neto G.C.</v>
      </c>
    </row>
    <row r="618">
      <c r="A618" s="4" t="str">
        <f>IFERROR(__xludf.DUMMYFUNCTION("""COMPUTED_VALUE"""),"0580V")</f>
        <v>0580V</v>
      </c>
      <c r="B618" s="4" t="str">
        <f>IFERROR(__xludf.DUMMYFUNCTION("""COMPUTED_VALUE"""),"Pilona fija PVC-EVA 810 mm Verde con peana")</f>
        <v>Pilona fija PVC-EVA 810 mm Verde con peana</v>
      </c>
      <c r="C618" s="4">
        <f>IFERROR(__xludf.DUMMYFUNCTION("""COMPUTED_VALUE"""),47.0)</f>
        <v>47</v>
      </c>
      <c r="D618" s="4"/>
      <c r="E618" s="4" t="str">
        <f>IFERROR(__xludf.DUMMYFUNCTION("""COMPUTED_VALUE"""),"Sin precio neto G.C.")</f>
        <v>Sin precio neto G.C.</v>
      </c>
    </row>
    <row r="619">
      <c r="A619" s="4" t="str">
        <f>IFERROR(__xludf.DUMMYFUNCTION("""COMPUTED_VALUE"""),"0580Z")</f>
        <v>0580Z</v>
      </c>
      <c r="B619" s="4" t="str">
        <f>IFERROR(__xludf.DUMMYFUNCTION("""COMPUTED_VALUE"""),"Pilona fija PVC-EVA 810 mm Azul con peana")</f>
        <v>Pilona fija PVC-EVA 810 mm Azul con peana</v>
      </c>
      <c r="C619" s="4">
        <f>IFERROR(__xludf.DUMMYFUNCTION("""COMPUTED_VALUE"""),47.0)</f>
        <v>47</v>
      </c>
      <c r="D619" s="4"/>
      <c r="E619" s="4" t="str">
        <f>IFERROR(__xludf.DUMMYFUNCTION("""COMPUTED_VALUE"""),"Sin precio neto G.C.")</f>
        <v>Sin precio neto G.C.</v>
      </c>
    </row>
    <row r="620">
      <c r="A620" s="4" t="str">
        <f>IFERROR(__xludf.DUMMYFUNCTION("""COMPUTED_VALUE"""),"581")</f>
        <v>581</v>
      </c>
      <c r="B620" s="4" t="str">
        <f>IFERROR(__xludf.DUMMYFUNCTION("""COMPUTED_VALUE"""),"Hito 100 cm PVC blando Naranja Mod.J")</f>
        <v>Hito 100 cm PVC blando Naranja Mod.J</v>
      </c>
      <c r="C620" s="4">
        <f>IFERROR(__xludf.DUMMYFUNCTION("""COMPUTED_VALUE"""),22.1)</f>
        <v>22.1</v>
      </c>
      <c r="D620" s="4"/>
      <c r="E620" s="4" t="str">
        <f>IFERROR(__xludf.DUMMYFUNCTION("""COMPUTED_VALUE"""),"Sin precio neto G.C.")</f>
        <v>Sin precio neto G.C.</v>
      </c>
    </row>
    <row r="621">
      <c r="A621" s="4" t="str">
        <f>IFERROR(__xludf.DUMMYFUNCTION("""COMPUTED_VALUE"""),"0581A")</f>
        <v>0581A</v>
      </c>
      <c r="B621" s="4" t="str">
        <f>IFERROR(__xludf.DUMMYFUNCTION("""COMPUTED_VALUE"""),"Hito 100 cm PVC blando Azul Mod.J")</f>
        <v>Hito 100 cm PVC blando Azul Mod.J</v>
      </c>
      <c r="C621" s="4">
        <f>IFERROR(__xludf.DUMMYFUNCTION("""COMPUTED_VALUE"""),22.1)</f>
        <v>22.1</v>
      </c>
      <c r="D621" s="4"/>
      <c r="E621" s="4" t="str">
        <f>IFERROR(__xludf.DUMMYFUNCTION("""COMPUTED_VALUE"""),"Sin precio neto G.C.")</f>
        <v>Sin precio neto G.C.</v>
      </c>
    </row>
    <row r="622">
      <c r="A622" s="4" t="str">
        <f>IFERROR(__xludf.DUMMYFUNCTION("""COMPUTED_VALUE"""),"0581AM")</f>
        <v>0581AM</v>
      </c>
      <c r="B622" s="4" t="str">
        <f>IFERROR(__xludf.DUMMYFUNCTION("""COMPUTED_VALUE"""),"Hito 100 cm PVC blando Amarillo Mod.J")</f>
        <v>Hito 100 cm PVC blando Amarillo Mod.J</v>
      </c>
      <c r="C622" s="4">
        <f>IFERROR(__xludf.DUMMYFUNCTION("""COMPUTED_VALUE"""),22.1)</f>
        <v>22.1</v>
      </c>
      <c r="D622" s="4"/>
      <c r="E622" s="4" t="str">
        <f>IFERROR(__xludf.DUMMYFUNCTION("""COMPUTED_VALUE"""),"Sin precio neto G.C.")</f>
        <v>Sin precio neto G.C.</v>
      </c>
    </row>
    <row r="623">
      <c r="A623" s="4" t="str">
        <f>IFERROR(__xludf.DUMMYFUNCTION("""COMPUTED_VALUE"""),"0581B")</f>
        <v>0581B</v>
      </c>
      <c r="B623" s="4" t="str">
        <f>IFERROR(__xludf.DUMMYFUNCTION("""COMPUTED_VALUE"""),"Hito 100 cm PVC blando Blanco Mod.J")</f>
        <v>Hito 100 cm PVC blando Blanco Mod.J</v>
      </c>
      <c r="C623" s="4">
        <f>IFERROR(__xludf.DUMMYFUNCTION("""COMPUTED_VALUE"""),22.1)</f>
        <v>22.1</v>
      </c>
      <c r="D623" s="4"/>
      <c r="E623" s="4" t="str">
        <f>IFERROR(__xludf.DUMMYFUNCTION("""COMPUTED_VALUE"""),"Sin precio neto G.C.")</f>
        <v>Sin precio neto G.C.</v>
      </c>
    </row>
    <row r="624">
      <c r="A624" s="4" t="str">
        <f>IFERROR(__xludf.DUMMYFUNCTION("""COMPUTED_VALUE"""),"0581NE")</f>
        <v>0581NE</v>
      </c>
      <c r="B624" s="4" t="str">
        <f>IFERROR(__xludf.DUMMYFUNCTION("""COMPUTED_VALUE"""),"Hito 100 cm PVC blando Negro Mod.J")</f>
        <v>Hito 100 cm PVC blando Negro Mod.J</v>
      </c>
      <c r="C624" s="4">
        <f>IFERROR(__xludf.DUMMYFUNCTION("""COMPUTED_VALUE"""),22.1)</f>
        <v>22.1</v>
      </c>
      <c r="D624" s="4"/>
      <c r="E624" s="4" t="str">
        <f>IFERROR(__xludf.DUMMYFUNCTION("""COMPUTED_VALUE"""),"Sin precio neto G.C.")</f>
        <v>Sin precio neto G.C.</v>
      </c>
    </row>
    <row r="625">
      <c r="A625" s="4" t="str">
        <f>IFERROR(__xludf.DUMMYFUNCTION("""COMPUTED_VALUE"""),"0581R")</f>
        <v>0581R</v>
      </c>
      <c r="B625" s="4" t="str">
        <f>IFERROR(__xludf.DUMMYFUNCTION("""COMPUTED_VALUE"""),"Hito 100 cm PVC blando Rojo Mod.J")</f>
        <v>Hito 100 cm PVC blando Rojo Mod.J</v>
      </c>
      <c r="C625" s="4">
        <f>IFERROR(__xludf.DUMMYFUNCTION("""COMPUTED_VALUE"""),22.1)</f>
        <v>22.1</v>
      </c>
      <c r="D625" s="4"/>
      <c r="E625" s="4" t="str">
        <f>IFERROR(__xludf.DUMMYFUNCTION("""COMPUTED_VALUE"""),"Sin precio neto G.C.")</f>
        <v>Sin precio neto G.C.</v>
      </c>
    </row>
    <row r="626">
      <c r="A626" s="4" t="str">
        <f>IFERROR(__xludf.DUMMYFUNCTION("""COMPUTED_VALUE"""),"0581V")</f>
        <v>0581V</v>
      </c>
      <c r="B626" s="4" t="str">
        <f>IFERROR(__xludf.DUMMYFUNCTION("""COMPUTED_VALUE"""),"Hito 100 cm PVC blando Verde Mod.J")</f>
        <v>Hito 100 cm PVC blando Verde Mod.J</v>
      </c>
      <c r="C626" s="4">
        <f>IFERROR(__xludf.DUMMYFUNCTION("""COMPUTED_VALUE"""),22.1)</f>
        <v>22.1</v>
      </c>
      <c r="D626" s="4"/>
      <c r="E626" s="4" t="str">
        <f>IFERROR(__xludf.DUMMYFUNCTION("""COMPUTED_VALUE"""),"Sin precio neto G.C.")</f>
        <v>Sin precio neto G.C.</v>
      </c>
    </row>
    <row r="627">
      <c r="A627" s="4" t="str">
        <f>IFERROR(__xludf.DUMMYFUNCTION("""COMPUTED_VALUE"""),"582")</f>
        <v>582</v>
      </c>
      <c r="B627" s="4" t="str">
        <f>IFERROR(__xludf.DUMMYFUNCTION("""COMPUTED_VALUE"""),"Hito H-75 flexible E.V.A. verde Mod. C Plus")</f>
        <v>Hito H-75 flexible E.V.A. verde Mod. C Plus</v>
      </c>
      <c r="C627" s="4">
        <f>IFERROR(__xludf.DUMMYFUNCTION("""COMPUTED_VALUE"""),22.25)</f>
        <v>22.25</v>
      </c>
      <c r="D627" s="4">
        <f>IFERROR(__xludf.DUMMYFUNCTION("""COMPUTED_VALUE"""),16.0)</f>
        <v>16</v>
      </c>
      <c r="E627" s="4" t="str">
        <f>IFERROR(__xludf.DUMMYFUNCTION("""COMPUTED_VALUE"""),"Neto G.C.: 16,00 € (a partir de 12 uds.)")</f>
        <v>Neto G.C.: 16,00 € (a partir de 12 uds.)</v>
      </c>
    </row>
    <row r="628">
      <c r="A628" s="4" t="str">
        <f>IFERROR(__xludf.DUMMYFUNCTION("""COMPUTED_VALUE"""),"0582P")</f>
        <v>0582P</v>
      </c>
      <c r="B628" s="4" t="str">
        <f>IFERROR(__xludf.DUMMYFUNCTION("""COMPUTED_VALUE"""),"Hito H-50 flexible E.V.A. verde Mod. C Plus")</f>
        <v>Hito H-50 flexible E.V.A. verde Mod. C Plus</v>
      </c>
      <c r="C628" s="4">
        <f>IFERROR(__xludf.DUMMYFUNCTION("""COMPUTED_VALUE"""),16.25)</f>
        <v>16.25</v>
      </c>
      <c r="D628" s="4"/>
      <c r="E628" s="4" t="str">
        <f>IFERROR(__xludf.DUMMYFUNCTION("""COMPUTED_VALUE"""),"Sin precio neto G.C.")</f>
        <v>Sin precio neto G.C.</v>
      </c>
    </row>
    <row r="629">
      <c r="A629" s="4" t="str">
        <f>IFERROR(__xludf.DUMMYFUNCTION("""COMPUTED_VALUE"""),"583")</f>
        <v>583</v>
      </c>
      <c r="B629" s="4" t="str">
        <f>IFERROR(__xludf.DUMMYFUNCTION("""COMPUTED_VALUE"""),"Hito H-75 flexible E.V.A. azul Mod. C Plus")</f>
        <v>Hito H-75 flexible E.V.A. azul Mod. C Plus</v>
      </c>
      <c r="C629" s="4">
        <f>IFERROR(__xludf.DUMMYFUNCTION("""COMPUTED_VALUE"""),22.25)</f>
        <v>22.25</v>
      </c>
      <c r="D629" s="4">
        <f>IFERROR(__xludf.DUMMYFUNCTION("""COMPUTED_VALUE"""),16.0)</f>
        <v>16</v>
      </c>
      <c r="E629" s="4" t="str">
        <f>IFERROR(__xludf.DUMMYFUNCTION("""COMPUTED_VALUE"""),"Neto G.C.: 16,00 € (a partir de 12 uds.)")</f>
        <v>Neto G.C.: 16,00 € (a partir de 12 uds.)</v>
      </c>
    </row>
    <row r="630">
      <c r="A630" s="4" t="str">
        <f>IFERROR(__xludf.DUMMYFUNCTION("""COMPUTED_VALUE"""),"0583P")</f>
        <v>0583P</v>
      </c>
      <c r="B630" s="4" t="str">
        <f>IFERROR(__xludf.DUMMYFUNCTION("""COMPUTED_VALUE"""),"Hito H-50 flexible E.V.A. azul Mod. C Plus")</f>
        <v>Hito H-50 flexible E.V.A. azul Mod. C Plus</v>
      </c>
      <c r="C630" s="4">
        <f>IFERROR(__xludf.DUMMYFUNCTION("""COMPUTED_VALUE"""),16.25)</f>
        <v>16.25</v>
      </c>
      <c r="D630" s="4"/>
      <c r="E630" s="4" t="str">
        <f>IFERROR(__xludf.DUMMYFUNCTION("""COMPUTED_VALUE"""),"Sin precio neto G.C.")</f>
        <v>Sin precio neto G.C.</v>
      </c>
    </row>
    <row r="631">
      <c r="A631" s="4" t="str">
        <f>IFERROR(__xludf.DUMMYFUNCTION("""COMPUTED_VALUE"""),"584")</f>
        <v>584</v>
      </c>
      <c r="B631" s="4" t="str">
        <f>IFERROR(__xludf.DUMMYFUNCTION("""COMPUTED_VALUE"""),"Hito H-75 flexible E.V.A. rojo Mod. C Plus")</f>
        <v>Hito H-75 flexible E.V.A. rojo Mod. C Plus</v>
      </c>
      <c r="C631" s="4">
        <f>IFERROR(__xludf.DUMMYFUNCTION("""COMPUTED_VALUE"""),22.25)</f>
        <v>22.25</v>
      </c>
      <c r="D631" s="4">
        <f>IFERROR(__xludf.DUMMYFUNCTION("""COMPUTED_VALUE"""),16.0)</f>
        <v>16</v>
      </c>
      <c r="E631" s="4" t="str">
        <f>IFERROR(__xludf.DUMMYFUNCTION("""COMPUTED_VALUE"""),"Neto G.C.: 16,00 € (a partir de 12 uds.)")</f>
        <v>Neto G.C.: 16,00 € (a partir de 12 uds.)</v>
      </c>
    </row>
    <row r="632">
      <c r="A632" s="4" t="str">
        <f>IFERROR(__xludf.DUMMYFUNCTION("""COMPUTED_VALUE"""),"0584P")</f>
        <v>0584P</v>
      </c>
      <c r="B632" s="4" t="str">
        <f>IFERROR(__xludf.DUMMYFUNCTION("""COMPUTED_VALUE"""),"Hito H-50 flexible E.V.A. rojo Mod. C Plus")</f>
        <v>Hito H-50 flexible E.V.A. rojo Mod. C Plus</v>
      </c>
      <c r="C632" s="4">
        <f>IFERROR(__xludf.DUMMYFUNCTION("""COMPUTED_VALUE"""),16.25)</f>
        <v>16.25</v>
      </c>
      <c r="D632" s="4"/>
      <c r="E632" s="4" t="str">
        <f>IFERROR(__xludf.DUMMYFUNCTION("""COMPUTED_VALUE"""),"Sin precio neto G.C.")</f>
        <v>Sin precio neto G.C.</v>
      </c>
    </row>
    <row r="633">
      <c r="A633" s="4" t="str">
        <f>IFERROR(__xludf.DUMMYFUNCTION("""COMPUTED_VALUE"""),"585")</f>
        <v>585</v>
      </c>
      <c r="B633" s="4" t="str">
        <f>IFERROR(__xludf.DUMMYFUNCTION("""COMPUTED_VALUE"""),"Hito H-75 flexible E.V.A. amarillo Mod. C plus")</f>
        <v>Hito H-75 flexible E.V.A. amarillo Mod. C plus</v>
      </c>
      <c r="C633" s="4">
        <f>IFERROR(__xludf.DUMMYFUNCTION("""COMPUTED_VALUE"""),22.05)</f>
        <v>22.05</v>
      </c>
      <c r="D633" s="4">
        <f>IFERROR(__xludf.DUMMYFUNCTION("""COMPUTED_VALUE"""),16.0)</f>
        <v>16</v>
      </c>
      <c r="E633" s="4" t="str">
        <f>IFERROR(__xludf.DUMMYFUNCTION("""COMPUTED_VALUE"""),"Neto G.C.: 16,00 € (a partir de 12 uds.)")</f>
        <v>Neto G.C.: 16,00 € (a partir de 12 uds.)</v>
      </c>
    </row>
    <row r="634">
      <c r="A634" s="4" t="str">
        <f>IFERROR(__xludf.DUMMYFUNCTION("""COMPUTED_VALUE"""),"0585P")</f>
        <v>0585P</v>
      </c>
      <c r="B634" s="4" t="str">
        <f>IFERROR(__xludf.DUMMYFUNCTION("""COMPUTED_VALUE"""),"Hito H-50 flexible E.V.A. amarillo Mod. C Plus")</f>
        <v>Hito H-50 flexible E.V.A. amarillo Mod. C Plus</v>
      </c>
      <c r="C634" s="4">
        <f>IFERROR(__xludf.DUMMYFUNCTION("""COMPUTED_VALUE"""),16.25)</f>
        <v>16.25</v>
      </c>
      <c r="D634" s="4"/>
      <c r="E634" s="4" t="str">
        <f>IFERROR(__xludf.DUMMYFUNCTION("""COMPUTED_VALUE"""),"Sin precio neto G.C.")</f>
        <v>Sin precio neto G.C.</v>
      </c>
    </row>
    <row r="635">
      <c r="A635" s="4" t="str">
        <f>IFERROR(__xludf.DUMMYFUNCTION("""COMPUTED_VALUE"""),"586")</f>
        <v>586</v>
      </c>
      <c r="B635" s="4" t="str">
        <f>IFERROR(__xludf.DUMMYFUNCTION("""COMPUTED_VALUE"""),"Hito H-75 fijo Polietileno rojo Mod. A")</f>
        <v>Hito H-75 fijo Polietileno rojo Mod. A</v>
      </c>
      <c r="C635" s="4">
        <f>IFERROR(__xludf.DUMMYFUNCTION("""COMPUTED_VALUE"""),16.95)</f>
        <v>16.95</v>
      </c>
      <c r="D635" s="4">
        <f>IFERROR(__xludf.DUMMYFUNCTION("""COMPUTED_VALUE"""),14.0)</f>
        <v>14</v>
      </c>
      <c r="E635" s="4" t="str">
        <f>IFERROR(__xludf.DUMMYFUNCTION("""COMPUTED_VALUE"""),"Neto G.C.: 14,00 € (a partir de 12 uds.)")</f>
        <v>Neto G.C.: 14,00 € (a partir de 12 uds.)</v>
      </c>
    </row>
    <row r="636">
      <c r="A636" s="4" t="str">
        <f>IFERROR(__xludf.DUMMYFUNCTION("""COMPUTED_VALUE"""),"0586P")</f>
        <v>0586P</v>
      </c>
      <c r="B636" s="4" t="str">
        <f>IFERROR(__xludf.DUMMYFUNCTION("""COMPUTED_VALUE"""),"Hito H-50 fijo Polietilieno rojo Mod. A")</f>
        <v>Hito H-50 fijo Polietilieno rojo Mod. A</v>
      </c>
      <c r="C636" s="4">
        <f>IFERROR(__xludf.DUMMYFUNCTION("""COMPUTED_VALUE"""),13.75)</f>
        <v>13.75</v>
      </c>
      <c r="D636" s="4"/>
      <c r="E636" s="4" t="str">
        <f>IFERROR(__xludf.DUMMYFUNCTION("""COMPUTED_VALUE"""),"Sin precio neto G.C.")</f>
        <v>Sin precio neto G.C.</v>
      </c>
    </row>
    <row r="637">
      <c r="A637" s="4" t="str">
        <f>IFERROR(__xludf.DUMMYFUNCTION("""COMPUTED_VALUE"""),"587")</f>
        <v>587</v>
      </c>
      <c r="B637" s="4" t="str">
        <f>IFERROR(__xludf.DUMMYFUNCTION("""COMPUTED_VALUE"""),"Hito H-75 fijo Polietileno amarillo Mod. A")</f>
        <v>Hito H-75 fijo Polietileno amarillo Mod. A</v>
      </c>
      <c r="C637" s="4">
        <f>IFERROR(__xludf.DUMMYFUNCTION("""COMPUTED_VALUE"""),16.95)</f>
        <v>16.95</v>
      </c>
      <c r="D637" s="4">
        <f>IFERROR(__xludf.DUMMYFUNCTION("""COMPUTED_VALUE"""),14.0)</f>
        <v>14</v>
      </c>
      <c r="E637" s="4" t="str">
        <f>IFERROR(__xludf.DUMMYFUNCTION("""COMPUTED_VALUE"""),"Neto G.C.: 14,00 € (a partir de 12 uds.)")</f>
        <v>Neto G.C.: 14,00 € (a partir de 12 uds.)</v>
      </c>
    </row>
    <row r="638">
      <c r="A638" s="4" t="str">
        <f>IFERROR(__xludf.DUMMYFUNCTION("""COMPUTED_VALUE"""),"0587P")</f>
        <v>0587P</v>
      </c>
      <c r="B638" s="4" t="str">
        <f>IFERROR(__xludf.DUMMYFUNCTION("""COMPUTED_VALUE"""),"Hito H-50 Polietileno amarillo Mod. A")</f>
        <v>Hito H-50 Polietileno amarillo Mod. A</v>
      </c>
      <c r="C638" s="4">
        <f>IFERROR(__xludf.DUMMYFUNCTION("""COMPUTED_VALUE"""),13.75)</f>
        <v>13.75</v>
      </c>
      <c r="D638" s="4"/>
      <c r="E638" s="4" t="str">
        <f>IFERROR(__xludf.DUMMYFUNCTION("""COMPUTED_VALUE"""),"Sin precio neto G.C.")</f>
        <v>Sin precio neto G.C.</v>
      </c>
    </row>
    <row r="639">
      <c r="A639" s="4" t="str">
        <f>IFERROR(__xludf.DUMMYFUNCTION("""COMPUTED_VALUE"""),"588")</f>
        <v>588</v>
      </c>
      <c r="B639" s="4" t="str">
        <f>IFERROR(__xludf.DUMMYFUNCTION("""COMPUTED_VALUE"""),"Hito 75 cm PVC blando Naranja Mod. E")</f>
        <v>Hito 75 cm PVC blando Naranja Mod. E</v>
      </c>
      <c r="C639" s="4">
        <f>IFERROR(__xludf.DUMMYFUNCTION("""COMPUTED_VALUE"""),13.75)</f>
        <v>13.75</v>
      </c>
      <c r="D639" s="4">
        <f>IFERROR(__xludf.DUMMYFUNCTION("""COMPUTED_VALUE"""),12.0)</f>
        <v>12</v>
      </c>
      <c r="E639" s="4" t="str">
        <f>IFERROR(__xludf.DUMMYFUNCTION("""COMPUTED_VALUE"""),"Neto G.C.: 12,00 € (a partir de 8 uds.)")</f>
        <v>Neto G.C.: 12,00 € (a partir de 8 uds.)</v>
      </c>
    </row>
    <row r="640">
      <c r="A640" s="4" t="str">
        <f>IFERROR(__xludf.DUMMYFUNCTION("""COMPUTED_VALUE"""),"0588A")</f>
        <v>0588A</v>
      </c>
      <c r="B640" s="4" t="str">
        <f>IFERROR(__xludf.DUMMYFUNCTION("""COMPUTED_VALUE"""),"Hito 75 cm PVC blando Azul Mod. E")</f>
        <v>Hito 75 cm PVC blando Azul Mod. E</v>
      </c>
      <c r="C640" s="4">
        <f>IFERROR(__xludf.DUMMYFUNCTION("""COMPUTED_VALUE"""),13.75)</f>
        <v>13.75</v>
      </c>
      <c r="D640" s="4">
        <f>IFERROR(__xludf.DUMMYFUNCTION("""COMPUTED_VALUE"""),12.0)</f>
        <v>12</v>
      </c>
      <c r="E640" s="4" t="str">
        <f>IFERROR(__xludf.DUMMYFUNCTION("""COMPUTED_VALUE"""),"Neto G.C.: 12,00 € (a partir de 8 uds.)")</f>
        <v>Neto G.C.: 12,00 € (a partir de 8 uds.)</v>
      </c>
    </row>
    <row r="641">
      <c r="A641" s="4" t="str">
        <f>IFERROR(__xludf.DUMMYFUNCTION("""COMPUTED_VALUE"""),"0588AM")</f>
        <v>0588AM</v>
      </c>
      <c r="B641" s="4" t="str">
        <f>IFERROR(__xludf.DUMMYFUNCTION("""COMPUTED_VALUE"""),"Hito 75 cm PVC blando Amarillo Mod. E")</f>
        <v>Hito 75 cm PVC blando Amarillo Mod. E</v>
      </c>
      <c r="C641" s="4">
        <f>IFERROR(__xludf.DUMMYFUNCTION("""COMPUTED_VALUE"""),13.75)</f>
        <v>13.75</v>
      </c>
      <c r="D641" s="4">
        <f>IFERROR(__xludf.DUMMYFUNCTION("""COMPUTED_VALUE"""),12.0)</f>
        <v>12</v>
      </c>
      <c r="E641" s="4" t="str">
        <f>IFERROR(__xludf.DUMMYFUNCTION("""COMPUTED_VALUE"""),"Neto G.C.: 12,00 € (a partir de 8 uds.)")</f>
        <v>Neto G.C.: 12,00 € (a partir de 8 uds.)</v>
      </c>
    </row>
    <row r="642">
      <c r="A642" s="4" t="str">
        <f>IFERROR(__xludf.DUMMYFUNCTION("""COMPUTED_VALUE"""),"0588B")</f>
        <v>0588B</v>
      </c>
      <c r="B642" s="4" t="str">
        <f>IFERROR(__xludf.DUMMYFUNCTION("""COMPUTED_VALUE"""),"HIto 75 cm PVC blando Blanco Mod. E")</f>
        <v>HIto 75 cm PVC blando Blanco Mod. E</v>
      </c>
      <c r="C642" s="4">
        <f>IFERROR(__xludf.DUMMYFUNCTION("""COMPUTED_VALUE"""),13.75)</f>
        <v>13.75</v>
      </c>
      <c r="D642" s="4">
        <f>IFERROR(__xludf.DUMMYFUNCTION("""COMPUTED_VALUE"""),12.0)</f>
        <v>12</v>
      </c>
      <c r="E642" s="4" t="str">
        <f>IFERROR(__xludf.DUMMYFUNCTION("""COMPUTED_VALUE"""),"Neto G.C.: 12,00 € (a partir de 8 uds.)")</f>
        <v>Neto G.C.: 12,00 € (a partir de 8 uds.)</v>
      </c>
    </row>
    <row r="643">
      <c r="A643" s="4" t="str">
        <f>IFERROR(__xludf.DUMMYFUNCTION("""COMPUTED_VALUE"""),"0588NE")</f>
        <v>0588NE</v>
      </c>
      <c r="B643" s="4" t="str">
        <f>IFERROR(__xludf.DUMMYFUNCTION("""COMPUTED_VALUE"""),"Hito 75 cm PVC blando Negro Mod. E")</f>
        <v>Hito 75 cm PVC blando Negro Mod. E</v>
      </c>
      <c r="C643" s="4">
        <f>IFERROR(__xludf.DUMMYFUNCTION("""COMPUTED_VALUE"""),13.75)</f>
        <v>13.75</v>
      </c>
      <c r="D643" s="4">
        <f>IFERROR(__xludf.DUMMYFUNCTION("""COMPUTED_VALUE"""),12.0)</f>
        <v>12</v>
      </c>
      <c r="E643" s="4" t="str">
        <f>IFERROR(__xludf.DUMMYFUNCTION("""COMPUTED_VALUE"""),"Neto G.C.: 12,00 € (a partir de 8 uds.)")</f>
        <v>Neto G.C.: 12,00 € (a partir de 8 uds.)</v>
      </c>
    </row>
    <row r="644">
      <c r="A644" s="4" t="str">
        <f>IFERROR(__xludf.DUMMYFUNCTION("""COMPUTED_VALUE"""),"0588R")</f>
        <v>0588R</v>
      </c>
      <c r="B644" s="4" t="str">
        <f>IFERROR(__xludf.DUMMYFUNCTION("""COMPUTED_VALUE"""),"Hito 75 cm PVC blando Rojo Mod. E")</f>
        <v>Hito 75 cm PVC blando Rojo Mod. E</v>
      </c>
      <c r="C644" s="4">
        <f>IFERROR(__xludf.DUMMYFUNCTION("""COMPUTED_VALUE"""),13.75)</f>
        <v>13.75</v>
      </c>
      <c r="D644" s="4">
        <f>IFERROR(__xludf.DUMMYFUNCTION("""COMPUTED_VALUE"""),12.0)</f>
        <v>12</v>
      </c>
      <c r="E644" s="4" t="str">
        <f>IFERROR(__xludf.DUMMYFUNCTION("""COMPUTED_VALUE"""),"Neto G.C.: 12,00 € (a partir de 8 uds.)")</f>
        <v>Neto G.C.: 12,00 € (a partir de 8 uds.)</v>
      </c>
    </row>
    <row r="645">
      <c r="A645" s="4" t="str">
        <f>IFERROR(__xludf.DUMMYFUNCTION("""COMPUTED_VALUE"""),"0588V")</f>
        <v>0588V</v>
      </c>
      <c r="B645" s="4" t="str">
        <f>IFERROR(__xludf.DUMMYFUNCTION("""COMPUTED_VALUE"""),"Hito 75 cm PVC blando Verde Mod. E")</f>
        <v>Hito 75 cm PVC blando Verde Mod. E</v>
      </c>
      <c r="C645" s="4">
        <f>IFERROR(__xludf.DUMMYFUNCTION("""COMPUTED_VALUE"""),13.75)</f>
        <v>13.75</v>
      </c>
      <c r="D645" s="4">
        <f>IFERROR(__xludf.DUMMYFUNCTION("""COMPUTED_VALUE"""),12.0)</f>
        <v>12</v>
      </c>
      <c r="E645" s="4" t="str">
        <f>IFERROR(__xludf.DUMMYFUNCTION("""COMPUTED_VALUE"""),"Neto G.C.: 12,00 € (a partir de 8 uds.)")</f>
        <v>Neto G.C.: 12,00 € (a partir de 8 uds.)</v>
      </c>
    </row>
    <row r="646">
      <c r="A646" s="4" t="str">
        <f>IFERROR(__xludf.DUMMYFUNCTION("""COMPUTED_VALUE"""),"589")</f>
        <v>589</v>
      </c>
      <c r="B646" s="4" t="str">
        <f>IFERROR(__xludf.DUMMYFUNCTION("""COMPUTED_VALUE"""),"Hito 45 cm PVC blando Naranja Mod. F")</f>
        <v>Hito 45 cm PVC blando Naranja Mod. F</v>
      </c>
      <c r="C646" s="4">
        <f>IFERROR(__xludf.DUMMYFUNCTION("""COMPUTED_VALUE"""),8.25)</f>
        <v>8.25</v>
      </c>
      <c r="D646" s="4"/>
      <c r="E646" s="4" t="str">
        <f>IFERROR(__xludf.DUMMYFUNCTION("""COMPUTED_VALUE"""),"Sin precio neto G.C.")</f>
        <v>Sin precio neto G.C.</v>
      </c>
    </row>
    <row r="647">
      <c r="A647" s="4" t="str">
        <f>IFERROR(__xludf.DUMMYFUNCTION("""COMPUTED_VALUE"""),"590")</f>
        <v>590</v>
      </c>
      <c r="B647" s="4" t="str">
        <f>IFERROR(__xludf.DUMMYFUNCTION("""COMPUTED_VALUE"""),"Captafaros flexible p/muro doble lente blanco/amarillo")</f>
        <v>Captafaros flexible p/muro doble lente blanco/amarillo</v>
      </c>
      <c r="C647" s="4">
        <f>IFERROR(__xludf.DUMMYFUNCTION("""COMPUTED_VALUE"""),4.7)</f>
        <v>4.7</v>
      </c>
      <c r="D647" s="4"/>
      <c r="E647" s="4" t="str">
        <f>IFERROR(__xludf.DUMMYFUNCTION("""COMPUTED_VALUE"""),"Sin precio neto G.C.")</f>
        <v>Sin precio neto G.C.</v>
      </c>
    </row>
    <row r="648">
      <c r="A648" s="4" t="str">
        <f>IFERROR(__xludf.DUMMYFUNCTION("""COMPUTED_VALUE"""),"591")</f>
        <v>591</v>
      </c>
      <c r="B648" s="4" t="str">
        <f>IFERROR(__xludf.DUMMYFUNCTION("""COMPUTED_VALUE"""),"Captafaros doble lente blanco/amarillo 3M")</f>
        <v>Captafaros doble lente blanco/amarillo 3M</v>
      </c>
      <c r="C648" s="4">
        <f>IFERROR(__xludf.DUMMYFUNCTION("""COMPUTED_VALUE"""),3.1)</f>
        <v>3.1</v>
      </c>
      <c r="D648" s="4"/>
      <c r="E648" s="4" t="str">
        <f>IFERROR(__xludf.DUMMYFUNCTION("""COMPUTED_VALUE"""),"Sin precio neto G.C.")</f>
        <v>Sin precio neto G.C.</v>
      </c>
    </row>
    <row r="649">
      <c r="A649" s="4" t="str">
        <f>IFERROR(__xludf.DUMMYFUNCTION("""COMPUTED_VALUE"""),"0591A")</f>
        <v>0591A</v>
      </c>
      <c r="B649" s="4" t="str">
        <f>IFERROR(__xludf.DUMMYFUNCTION("""COMPUTED_VALUE"""),"Captafaros doble lente Blanco/Amarillo Autoadhesivo 3M")</f>
        <v>Captafaros doble lente Blanco/Amarillo Autoadhesivo 3M</v>
      </c>
      <c r="C649" s="4">
        <f>IFERROR(__xludf.DUMMYFUNCTION("""COMPUTED_VALUE"""),4.4)</f>
        <v>4.4</v>
      </c>
      <c r="D649" s="4"/>
      <c r="E649" s="4" t="str">
        <f>IFERROR(__xludf.DUMMYFUNCTION("""COMPUTED_VALUE"""),"Sin precio neto G.C.")</f>
        <v>Sin precio neto G.C.</v>
      </c>
    </row>
    <row r="650">
      <c r="A650" s="4" t="str">
        <f>IFERROR(__xludf.DUMMYFUNCTION("""COMPUTED_VALUE"""),"0591B")</f>
        <v>0591B</v>
      </c>
      <c r="B650" s="4" t="str">
        <f>IFERROR(__xludf.DUMMYFUNCTION("""COMPUTED_VALUE"""),"Captafaros doble lente Blanco/blanco 3M")</f>
        <v>Captafaros doble lente Blanco/blanco 3M</v>
      </c>
      <c r="C650" s="4">
        <f>IFERROR(__xludf.DUMMYFUNCTION("""COMPUTED_VALUE"""),3.1)</f>
        <v>3.1</v>
      </c>
      <c r="D650" s="4"/>
      <c r="E650" s="4" t="str">
        <f>IFERROR(__xludf.DUMMYFUNCTION("""COMPUTED_VALUE"""),"Sin precio neto G.C.")</f>
        <v>Sin precio neto G.C.</v>
      </c>
    </row>
    <row r="651">
      <c r="A651" s="4" t="str">
        <f>IFERROR(__xludf.DUMMYFUNCTION("""COMPUTED_VALUE"""),"0591BA")</f>
        <v>0591BA</v>
      </c>
      <c r="B651" s="4" t="str">
        <f>IFERROR(__xludf.DUMMYFUNCTION("""COMPUTED_VALUE"""),"Captafaros doble lente Blanco/Blanco Autoadhesivo 3M")</f>
        <v>Captafaros doble lente Blanco/Blanco Autoadhesivo 3M</v>
      </c>
      <c r="C651" s="4">
        <f>IFERROR(__xludf.DUMMYFUNCTION("""COMPUTED_VALUE"""),4.4)</f>
        <v>4.4</v>
      </c>
      <c r="D651" s="4"/>
      <c r="E651" s="4" t="str">
        <f>IFERROR(__xludf.DUMMYFUNCTION("""COMPUTED_VALUE"""),"Sin precio neto G.C.")</f>
        <v>Sin precio neto G.C.</v>
      </c>
    </row>
    <row r="652">
      <c r="A652" s="4" t="str">
        <f>IFERROR(__xludf.DUMMYFUNCTION("""COMPUTED_VALUE"""),"0592/A")</f>
        <v>0592/A</v>
      </c>
      <c r="B652" s="4" t="str">
        <f>IFERROR(__xludf.DUMMYFUNCTION("""COMPUTED_VALUE"""),"Delineador de Barrera LDS Amarillo 86x15,3 cm")</f>
        <v>Delineador de Barrera LDS Amarillo 86x15,3 cm</v>
      </c>
      <c r="C652" s="4">
        <f>IFERROR(__xludf.DUMMYFUNCTION("""COMPUTED_VALUE"""),19.95)</f>
        <v>19.95</v>
      </c>
      <c r="D652" s="4"/>
      <c r="E652" s="4" t="str">
        <f>IFERROR(__xludf.DUMMYFUNCTION("""COMPUTED_VALUE"""),"Sin precio neto G.C.")</f>
        <v>Sin precio neto G.C.</v>
      </c>
    </row>
    <row r="653">
      <c r="A653" s="4" t="str">
        <f>IFERROR(__xludf.DUMMYFUNCTION("""COMPUTED_VALUE"""),"0592/B")</f>
        <v>0592/B</v>
      </c>
      <c r="B653" s="4" t="str">
        <f>IFERROR(__xludf.DUMMYFUNCTION("""COMPUTED_VALUE"""),"Delineador de Barrera LDS Blanco 86x15,3 cm")</f>
        <v>Delineador de Barrera LDS Blanco 86x15,3 cm</v>
      </c>
      <c r="C653" s="4">
        <f>IFERROR(__xludf.DUMMYFUNCTION("""COMPUTED_VALUE"""),19.95)</f>
        <v>19.95</v>
      </c>
      <c r="D653" s="4"/>
      <c r="E653" s="4" t="str">
        <f>IFERROR(__xludf.DUMMYFUNCTION("""COMPUTED_VALUE"""),"Sin precio neto G.C.")</f>
        <v>Sin precio neto G.C.</v>
      </c>
    </row>
    <row r="654">
      <c r="A654" s="4" t="str">
        <f>IFERROR(__xludf.DUMMYFUNCTION("""COMPUTED_VALUE"""),"0592/R")</f>
        <v>0592/R</v>
      </c>
      <c r="B654" s="4" t="str">
        <f>IFERROR(__xludf.DUMMYFUNCTION("""COMPUTED_VALUE"""),"Delineador de Barrera LDS Rojo 86x15,3 cm")</f>
        <v>Delineador de Barrera LDS Rojo 86x15,3 cm</v>
      </c>
      <c r="C654" s="4">
        <f>IFERROR(__xludf.DUMMYFUNCTION("""COMPUTED_VALUE"""),19.95)</f>
        <v>19.95</v>
      </c>
      <c r="D654" s="4"/>
      <c r="E654" s="4" t="str">
        <f>IFERROR(__xludf.DUMMYFUNCTION("""COMPUTED_VALUE"""),"Sin precio neto G.C.")</f>
        <v>Sin precio neto G.C.</v>
      </c>
    </row>
    <row r="655">
      <c r="A655" s="4" t="str">
        <f>IFERROR(__xludf.DUMMYFUNCTION("""COMPUTED_VALUE"""),"593")</f>
        <v>593</v>
      </c>
      <c r="B655" s="4" t="str">
        <f>IFERROR(__xludf.DUMMYFUNCTION("""COMPUTED_VALUE"""),"Hito Basculante Flexible 75 cm Mod. G + base")</f>
        <v>Hito Basculante Flexible 75 cm Mod. G + base</v>
      </c>
      <c r="C655" s="4">
        <f>IFERROR(__xludf.DUMMYFUNCTION("""COMPUTED_VALUE"""),24.85)</f>
        <v>24.85</v>
      </c>
      <c r="D655" s="4"/>
      <c r="E655" s="4" t="str">
        <f>IFERROR(__xludf.DUMMYFUNCTION("""COMPUTED_VALUE"""),"Sin precio neto G.C.")</f>
        <v>Sin precio neto G.C.</v>
      </c>
    </row>
    <row r="656">
      <c r="A656" s="4" t="str">
        <f>IFERROR(__xludf.DUMMYFUNCTION("""COMPUTED_VALUE"""),"594")</f>
        <v>594</v>
      </c>
      <c r="B656" s="4" t="str">
        <f>IFERROR(__xludf.DUMMYFUNCTION("""COMPUTED_VALUE"""),"Panel señal. vertical R/B reflectante 2 caras")</f>
        <v>Panel señal. vertical R/B reflectante 2 caras</v>
      </c>
      <c r="C656" s="4">
        <f>IFERROR(__xludf.DUMMYFUNCTION("""COMPUTED_VALUE"""),18.25)</f>
        <v>18.25</v>
      </c>
      <c r="D656" s="4"/>
      <c r="E656" s="4" t="str">
        <f>IFERROR(__xludf.DUMMYFUNCTION("""COMPUTED_VALUE"""),"Sin precio neto G.C.")</f>
        <v>Sin precio neto G.C.</v>
      </c>
    </row>
    <row r="657">
      <c r="A657" s="4" t="str">
        <f>IFERROR(__xludf.DUMMYFUNCTION("""COMPUTED_VALUE"""),"595")</f>
        <v>595</v>
      </c>
      <c r="B657" s="4" t="str">
        <f>IFERROR(__xludf.DUMMYFUNCTION("""COMPUTED_VALUE"""),"Conjunto manga viento + poste y rótula")</f>
        <v>Conjunto manga viento + poste y rótula</v>
      </c>
      <c r="C657" s="4">
        <f>IFERROR(__xludf.DUMMYFUNCTION("""COMPUTED_VALUE"""),934.5)</f>
        <v>934.5</v>
      </c>
      <c r="D657" s="4"/>
      <c r="E657" s="4" t="str">
        <f>IFERROR(__xludf.DUMMYFUNCTION("""COMPUTED_VALUE"""),"Sin precio neto G.C.")</f>
        <v>Sin precio neto G.C.</v>
      </c>
    </row>
    <row r="658">
      <c r="A658" s="4" t="str">
        <f>IFERROR(__xludf.DUMMYFUNCTION("""COMPUTED_VALUE"""),"596")</f>
        <v>596</v>
      </c>
      <c r="B658" s="4" t="str">
        <f>IFERROR(__xludf.DUMMYFUNCTION("""COMPUTED_VALUE"""),"Mástil Manga viento c/ rótula 400cm x 8cm diam x 2mm")</f>
        <v>Mástil Manga viento c/ rótula 400cm x 8cm diam x 2mm</v>
      </c>
      <c r="C658" s="4">
        <f>IFERROR(__xludf.DUMMYFUNCTION("""COMPUTED_VALUE"""),472.5)</f>
        <v>472.5</v>
      </c>
      <c r="D658" s="4"/>
      <c r="E658" s="4" t="str">
        <f>IFERROR(__xludf.DUMMYFUNCTION("""COMPUTED_VALUE"""),"Sin precio neto G.C.")</f>
        <v>Sin precio neto G.C.</v>
      </c>
    </row>
    <row r="659">
      <c r="A659" s="4" t="str">
        <f>IFERROR(__xludf.DUMMYFUNCTION("""COMPUTED_VALUE"""),"597")</f>
        <v>597</v>
      </c>
      <c r="B659" s="4" t="str">
        <f>IFERROR(__xludf.DUMMYFUNCTION("""COMPUTED_VALUE"""),"Manga de viento c/aro 400x150mm L.1600mm")</f>
        <v>Manga de viento c/aro 400x150mm L.1600mm</v>
      </c>
      <c r="C659" s="4">
        <f>IFERROR(__xludf.DUMMYFUNCTION("""COMPUTED_VALUE"""),294.0)</f>
        <v>294</v>
      </c>
      <c r="D659" s="4"/>
      <c r="E659" s="4" t="str">
        <f>IFERROR(__xludf.DUMMYFUNCTION("""COMPUTED_VALUE"""),"Sin precio neto G.C.")</f>
        <v>Sin precio neto G.C.</v>
      </c>
    </row>
    <row r="660">
      <c r="A660" s="4" t="str">
        <f>IFERROR(__xludf.DUMMYFUNCTION("""COMPUTED_VALUE"""),"598")</f>
        <v>598</v>
      </c>
      <c r="B660" s="4" t="str">
        <f>IFERROR(__xludf.DUMMYFUNCTION("""COMPUTED_VALUE"""),"Rótula para manga viento")</f>
        <v>Rótula para manga viento</v>
      </c>
      <c r="C660" s="4">
        <f>IFERROR(__xludf.DUMMYFUNCTION("""COMPUTED_VALUE"""),99.75)</f>
        <v>99.75</v>
      </c>
      <c r="D660" s="4"/>
      <c r="E660" s="4" t="str">
        <f>IFERROR(__xludf.DUMMYFUNCTION("""COMPUTED_VALUE"""),"Sin precio neto G.C.")</f>
        <v>Sin precio neto G.C.</v>
      </c>
    </row>
    <row r="661">
      <c r="A661" s="4" t="str">
        <f>IFERROR(__xludf.DUMMYFUNCTION("""COMPUTED_VALUE"""),"600")</f>
        <v>600</v>
      </c>
      <c r="B661" s="4" t="str">
        <f>IFERROR(__xludf.DUMMYFUNCTION("""COMPUTED_VALUE"""),"Señal metalica TP-3")</f>
        <v>Señal metalica TP-3</v>
      </c>
      <c r="C661" s="4">
        <f>IFERROR(__xludf.DUMMYFUNCTION("""COMPUTED_VALUE"""),11.25)</f>
        <v>11.25</v>
      </c>
      <c r="D661" s="4">
        <f>IFERROR(__xludf.DUMMYFUNCTION("""COMPUTED_VALUE"""),7.5)</f>
        <v>7.5</v>
      </c>
      <c r="E661" s="4" t="str">
        <f>IFERROR(__xludf.DUMMYFUNCTION("""COMPUTED_VALUE"""),"Neto G.C.: 7,50 € (a partir de 1 uds.)")</f>
        <v>Neto G.C.: 7,50 € (a partir de 1 uds.)</v>
      </c>
    </row>
    <row r="662">
      <c r="A662" s="4" t="str">
        <f>IFERROR(__xludf.DUMMYFUNCTION("""COMPUTED_VALUE"""),"0600D")</f>
        <v>0600D</v>
      </c>
      <c r="B662" s="4" t="str">
        <f>IFERROR(__xludf.DUMMYFUNCTION("""COMPUTED_VALUE"""),"Señal metalica P-3")</f>
        <v>Señal metalica P-3</v>
      </c>
      <c r="C662" s="4">
        <f>IFERROR(__xludf.DUMMYFUNCTION("""COMPUTED_VALUE"""),11.25)</f>
        <v>11.25</v>
      </c>
      <c r="D662" s="4">
        <f>IFERROR(__xludf.DUMMYFUNCTION("""COMPUTED_VALUE"""),7.5)</f>
        <v>7.5</v>
      </c>
      <c r="E662" s="4" t="str">
        <f>IFERROR(__xludf.DUMMYFUNCTION("""COMPUTED_VALUE"""),"Neto G.C.: 7,50 € (a partir de 1 uds.)")</f>
        <v>Neto G.C.: 7,50 € (a partir de 1 uds.)</v>
      </c>
    </row>
    <row r="663">
      <c r="A663" s="4" t="str">
        <f>IFERROR(__xludf.DUMMYFUNCTION("""COMPUTED_VALUE"""),"601")</f>
        <v>601</v>
      </c>
      <c r="B663" s="4" t="str">
        <f>IFERROR(__xludf.DUMMYFUNCTION("""COMPUTED_VALUE"""),"Señal metalica TP-13a")</f>
        <v>Señal metalica TP-13a</v>
      </c>
      <c r="C663" s="4">
        <f>IFERROR(__xludf.DUMMYFUNCTION("""COMPUTED_VALUE"""),11.25)</f>
        <v>11.25</v>
      </c>
      <c r="D663" s="4">
        <f>IFERROR(__xludf.DUMMYFUNCTION("""COMPUTED_VALUE"""),7.5)</f>
        <v>7.5</v>
      </c>
      <c r="E663" s="4" t="str">
        <f>IFERROR(__xludf.DUMMYFUNCTION("""COMPUTED_VALUE"""),"Neto G.C.: 7,50 € (a partir de 1 uds.)")</f>
        <v>Neto G.C.: 7,50 € (a partir de 1 uds.)</v>
      </c>
    </row>
    <row r="664">
      <c r="A664" s="4" t="str">
        <f>IFERROR(__xludf.DUMMYFUNCTION("""COMPUTED_VALUE"""),"0601D")</f>
        <v>0601D</v>
      </c>
      <c r="B664" s="4" t="str">
        <f>IFERROR(__xludf.DUMMYFUNCTION("""COMPUTED_VALUE"""),"Señal metalica P-13a")</f>
        <v>Señal metalica P-13a</v>
      </c>
      <c r="C664" s="4">
        <f>IFERROR(__xludf.DUMMYFUNCTION("""COMPUTED_VALUE"""),11.25)</f>
        <v>11.25</v>
      </c>
      <c r="D664" s="4">
        <f>IFERROR(__xludf.DUMMYFUNCTION("""COMPUTED_VALUE"""),7.5)</f>
        <v>7.5</v>
      </c>
      <c r="E664" s="4" t="str">
        <f>IFERROR(__xludf.DUMMYFUNCTION("""COMPUTED_VALUE"""),"Neto G.C.: 7,50 € (a partir de 1 uds.)")</f>
        <v>Neto G.C.: 7,50 € (a partir de 1 uds.)</v>
      </c>
    </row>
    <row r="665">
      <c r="A665" s="4" t="str">
        <f>IFERROR(__xludf.DUMMYFUNCTION("""COMPUTED_VALUE"""),"602")</f>
        <v>602</v>
      </c>
      <c r="B665" s="4" t="str">
        <f>IFERROR(__xludf.DUMMYFUNCTION("""COMPUTED_VALUE"""),"Señal metalica TP-13b")</f>
        <v>Señal metalica TP-13b</v>
      </c>
      <c r="C665" s="4">
        <f>IFERROR(__xludf.DUMMYFUNCTION("""COMPUTED_VALUE"""),11.25)</f>
        <v>11.25</v>
      </c>
      <c r="D665" s="4">
        <f>IFERROR(__xludf.DUMMYFUNCTION("""COMPUTED_VALUE"""),7.5)</f>
        <v>7.5</v>
      </c>
      <c r="E665" s="4" t="str">
        <f>IFERROR(__xludf.DUMMYFUNCTION("""COMPUTED_VALUE"""),"Neto G.C.: 7,50 € (a partir de 1 uds.)")</f>
        <v>Neto G.C.: 7,50 € (a partir de 1 uds.)</v>
      </c>
    </row>
    <row r="666">
      <c r="A666" s="4" t="str">
        <f>IFERROR(__xludf.DUMMYFUNCTION("""COMPUTED_VALUE"""),"0602D")</f>
        <v>0602D</v>
      </c>
      <c r="B666" s="4" t="str">
        <f>IFERROR(__xludf.DUMMYFUNCTION("""COMPUTED_VALUE"""),"Señal metalica P-13b")</f>
        <v>Señal metalica P-13b</v>
      </c>
      <c r="C666" s="4">
        <f>IFERROR(__xludf.DUMMYFUNCTION("""COMPUTED_VALUE"""),11.25)</f>
        <v>11.25</v>
      </c>
      <c r="D666" s="4">
        <f>IFERROR(__xludf.DUMMYFUNCTION("""COMPUTED_VALUE"""),7.5)</f>
        <v>7.5</v>
      </c>
      <c r="E666" s="4" t="str">
        <f>IFERROR(__xludf.DUMMYFUNCTION("""COMPUTED_VALUE"""),"Neto G.C.: 7,50 € (a partir de 1 uds.)")</f>
        <v>Neto G.C.: 7,50 € (a partir de 1 uds.)</v>
      </c>
    </row>
    <row r="667">
      <c r="A667" s="4" t="str">
        <f>IFERROR(__xludf.DUMMYFUNCTION("""COMPUTED_VALUE"""),"603")</f>
        <v>603</v>
      </c>
      <c r="B667" s="4" t="str">
        <f>IFERROR(__xludf.DUMMYFUNCTION("""COMPUTED_VALUE"""),"Señal metalica TP-14a")</f>
        <v>Señal metalica TP-14a</v>
      </c>
      <c r="C667" s="4">
        <f>IFERROR(__xludf.DUMMYFUNCTION("""COMPUTED_VALUE"""),11.25)</f>
        <v>11.25</v>
      </c>
      <c r="D667" s="4">
        <f>IFERROR(__xludf.DUMMYFUNCTION("""COMPUTED_VALUE"""),7.5)</f>
        <v>7.5</v>
      </c>
      <c r="E667" s="4" t="str">
        <f>IFERROR(__xludf.DUMMYFUNCTION("""COMPUTED_VALUE"""),"Neto G.C.: 7,50 € (a partir de 1 uds.)")</f>
        <v>Neto G.C.: 7,50 € (a partir de 1 uds.)</v>
      </c>
    </row>
    <row r="668">
      <c r="A668" s="4" t="str">
        <f>IFERROR(__xludf.DUMMYFUNCTION("""COMPUTED_VALUE"""),"0603D")</f>
        <v>0603D</v>
      </c>
      <c r="B668" s="4" t="str">
        <f>IFERROR(__xludf.DUMMYFUNCTION("""COMPUTED_VALUE"""),"Señal metalica P-14a")</f>
        <v>Señal metalica P-14a</v>
      </c>
      <c r="C668" s="4">
        <f>IFERROR(__xludf.DUMMYFUNCTION("""COMPUTED_VALUE"""),11.25)</f>
        <v>11.25</v>
      </c>
      <c r="D668" s="4">
        <f>IFERROR(__xludf.DUMMYFUNCTION("""COMPUTED_VALUE"""),7.5)</f>
        <v>7.5</v>
      </c>
      <c r="E668" s="4" t="str">
        <f>IFERROR(__xludf.DUMMYFUNCTION("""COMPUTED_VALUE"""),"Neto G.C.: 7,50 € (a partir de 1 uds.)")</f>
        <v>Neto G.C.: 7,50 € (a partir de 1 uds.)</v>
      </c>
    </row>
    <row r="669">
      <c r="A669" s="4" t="str">
        <f>IFERROR(__xludf.DUMMYFUNCTION("""COMPUTED_VALUE"""),"604")</f>
        <v>604</v>
      </c>
      <c r="B669" s="4" t="str">
        <f>IFERROR(__xludf.DUMMYFUNCTION("""COMPUTED_VALUE"""),"Señal metalica TP-14b")</f>
        <v>Señal metalica TP-14b</v>
      </c>
      <c r="C669" s="4">
        <f>IFERROR(__xludf.DUMMYFUNCTION("""COMPUTED_VALUE"""),11.25)</f>
        <v>11.25</v>
      </c>
      <c r="D669" s="4">
        <f>IFERROR(__xludf.DUMMYFUNCTION("""COMPUTED_VALUE"""),7.5)</f>
        <v>7.5</v>
      </c>
      <c r="E669" s="4" t="str">
        <f>IFERROR(__xludf.DUMMYFUNCTION("""COMPUTED_VALUE"""),"Neto G.C.: 7,50 € (a partir de 1 uds.)")</f>
        <v>Neto G.C.: 7,50 € (a partir de 1 uds.)</v>
      </c>
    </row>
    <row r="670">
      <c r="A670" s="4" t="str">
        <f>IFERROR(__xludf.DUMMYFUNCTION("""COMPUTED_VALUE"""),"0604D")</f>
        <v>0604D</v>
      </c>
      <c r="B670" s="4" t="str">
        <f>IFERROR(__xludf.DUMMYFUNCTION("""COMPUTED_VALUE"""),"Señal metalica P-14b")</f>
        <v>Señal metalica P-14b</v>
      </c>
      <c r="C670" s="4">
        <f>IFERROR(__xludf.DUMMYFUNCTION("""COMPUTED_VALUE"""),11.25)</f>
        <v>11.25</v>
      </c>
      <c r="D670" s="4">
        <f>IFERROR(__xludf.DUMMYFUNCTION("""COMPUTED_VALUE"""),7.5)</f>
        <v>7.5</v>
      </c>
      <c r="E670" s="4" t="str">
        <f>IFERROR(__xludf.DUMMYFUNCTION("""COMPUTED_VALUE"""),"Neto G.C.: 7,50 € (a partir de 1 uds.)")</f>
        <v>Neto G.C.: 7,50 € (a partir de 1 uds.)</v>
      </c>
    </row>
    <row r="671">
      <c r="A671" s="4" t="str">
        <f>IFERROR(__xludf.DUMMYFUNCTION("""COMPUTED_VALUE"""),"605")</f>
        <v>605</v>
      </c>
      <c r="B671" s="4" t="str">
        <f>IFERROR(__xludf.DUMMYFUNCTION("""COMPUTED_VALUE"""),"Señal metalica TP-15")</f>
        <v>Señal metalica TP-15</v>
      </c>
      <c r="C671" s="4">
        <f>IFERROR(__xludf.DUMMYFUNCTION("""COMPUTED_VALUE"""),11.25)</f>
        <v>11.25</v>
      </c>
      <c r="D671" s="4">
        <f>IFERROR(__xludf.DUMMYFUNCTION("""COMPUTED_VALUE"""),7.5)</f>
        <v>7.5</v>
      </c>
      <c r="E671" s="4" t="str">
        <f>IFERROR(__xludf.DUMMYFUNCTION("""COMPUTED_VALUE"""),"Neto G.C.: 7,50 € (a partir de 1 uds.)")</f>
        <v>Neto G.C.: 7,50 € (a partir de 1 uds.)</v>
      </c>
    </row>
    <row r="672">
      <c r="A672" s="4" t="str">
        <f>IFERROR(__xludf.DUMMYFUNCTION("""COMPUTED_VALUE"""),"0605D")</f>
        <v>0605D</v>
      </c>
      <c r="B672" s="4" t="str">
        <f>IFERROR(__xludf.DUMMYFUNCTION("""COMPUTED_VALUE"""),"Señal metalica P-15")</f>
        <v>Señal metalica P-15</v>
      </c>
      <c r="C672" s="4">
        <f>IFERROR(__xludf.DUMMYFUNCTION("""COMPUTED_VALUE"""),11.25)</f>
        <v>11.25</v>
      </c>
      <c r="D672" s="4">
        <f>IFERROR(__xludf.DUMMYFUNCTION("""COMPUTED_VALUE"""),7.5)</f>
        <v>7.5</v>
      </c>
      <c r="E672" s="4" t="str">
        <f>IFERROR(__xludf.DUMMYFUNCTION("""COMPUTED_VALUE"""),"Neto G.C.: 7,50 € (a partir de 1 uds.)")</f>
        <v>Neto G.C.: 7,50 € (a partir de 1 uds.)</v>
      </c>
    </row>
    <row r="673">
      <c r="A673" s="4" t="str">
        <f>IFERROR(__xludf.DUMMYFUNCTION("""COMPUTED_VALUE"""),"606")</f>
        <v>606</v>
      </c>
      <c r="B673" s="4" t="str">
        <f>IFERROR(__xludf.DUMMYFUNCTION("""COMPUTED_VALUE"""),"Señal metalica TP-15a")</f>
        <v>Señal metalica TP-15a</v>
      </c>
      <c r="C673" s="4">
        <f>IFERROR(__xludf.DUMMYFUNCTION("""COMPUTED_VALUE"""),11.25)</f>
        <v>11.25</v>
      </c>
      <c r="D673" s="4">
        <f>IFERROR(__xludf.DUMMYFUNCTION("""COMPUTED_VALUE"""),7.5)</f>
        <v>7.5</v>
      </c>
      <c r="E673" s="4" t="str">
        <f>IFERROR(__xludf.DUMMYFUNCTION("""COMPUTED_VALUE"""),"Neto G.C.: 7,50 € (a partir de 1 uds.)")</f>
        <v>Neto G.C.: 7,50 € (a partir de 1 uds.)</v>
      </c>
    </row>
    <row r="674">
      <c r="A674" s="4" t="str">
        <f>IFERROR(__xludf.DUMMYFUNCTION("""COMPUTED_VALUE"""),"0606D")</f>
        <v>0606D</v>
      </c>
      <c r="B674" s="4" t="str">
        <f>IFERROR(__xludf.DUMMYFUNCTION("""COMPUTED_VALUE"""),"Señal metalica P-15a")</f>
        <v>Señal metalica P-15a</v>
      </c>
      <c r="C674" s="4">
        <f>IFERROR(__xludf.DUMMYFUNCTION("""COMPUTED_VALUE"""),11.25)</f>
        <v>11.25</v>
      </c>
      <c r="D674" s="4">
        <f>IFERROR(__xludf.DUMMYFUNCTION("""COMPUTED_VALUE"""),7.5)</f>
        <v>7.5</v>
      </c>
      <c r="E674" s="4" t="str">
        <f>IFERROR(__xludf.DUMMYFUNCTION("""COMPUTED_VALUE"""),"Neto G.C.: 7,50 € (a partir de 1 uds.)")</f>
        <v>Neto G.C.: 7,50 € (a partir de 1 uds.)</v>
      </c>
    </row>
    <row r="675">
      <c r="A675" s="4" t="str">
        <f>IFERROR(__xludf.DUMMYFUNCTION("""COMPUTED_VALUE"""),"607")</f>
        <v>607</v>
      </c>
      <c r="B675" s="4" t="str">
        <f>IFERROR(__xludf.DUMMYFUNCTION("""COMPUTED_VALUE"""),"Señal metalica TP-15b")</f>
        <v>Señal metalica TP-15b</v>
      </c>
      <c r="C675" s="4">
        <f>IFERROR(__xludf.DUMMYFUNCTION("""COMPUTED_VALUE"""),11.25)</f>
        <v>11.25</v>
      </c>
      <c r="D675" s="4">
        <f>IFERROR(__xludf.DUMMYFUNCTION("""COMPUTED_VALUE"""),7.5)</f>
        <v>7.5</v>
      </c>
      <c r="E675" s="4" t="str">
        <f>IFERROR(__xludf.DUMMYFUNCTION("""COMPUTED_VALUE"""),"Neto G.C.: 7,50 € (a partir de 1 uds.)")</f>
        <v>Neto G.C.: 7,50 € (a partir de 1 uds.)</v>
      </c>
    </row>
    <row r="676">
      <c r="A676" s="4" t="str">
        <f>IFERROR(__xludf.DUMMYFUNCTION("""COMPUTED_VALUE"""),"0607D")</f>
        <v>0607D</v>
      </c>
      <c r="B676" s="4" t="str">
        <f>IFERROR(__xludf.DUMMYFUNCTION("""COMPUTED_VALUE"""),"Señal metalica P-15b")</f>
        <v>Señal metalica P-15b</v>
      </c>
      <c r="C676" s="4">
        <f>IFERROR(__xludf.DUMMYFUNCTION("""COMPUTED_VALUE"""),11.25)</f>
        <v>11.25</v>
      </c>
      <c r="D676" s="4">
        <f>IFERROR(__xludf.DUMMYFUNCTION("""COMPUTED_VALUE"""),7.5)</f>
        <v>7.5</v>
      </c>
      <c r="E676" s="4" t="str">
        <f>IFERROR(__xludf.DUMMYFUNCTION("""COMPUTED_VALUE"""),"Neto G.C.: 7,50 € (a partir de 1 uds.)")</f>
        <v>Neto G.C.: 7,50 € (a partir de 1 uds.)</v>
      </c>
    </row>
    <row r="677">
      <c r="A677" s="4" t="str">
        <f>IFERROR(__xludf.DUMMYFUNCTION("""COMPUTED_VALUE"""),"608")</f>
        <v>608</v>
      </c>
      <c r="B677" s="4" t="str">
        <f>IFERROR(__xludf.DUMMYFUNCTION("""COMPUTED_VALUE"""),"Señal metalica TP-17")</f>
        <v>Señal metalica TP-17</v>
      </c>
      <c r="C677" s="4">
        <f>IFERROR(__xludf.DUMMYFUNCTION("""COMPUTED_VALUE"""),11.25)</f>
        <v>11.25</v>
      </c>
      <c r="D677" s="4">
        <f>IFERROR(__xludf.DUMMYFUNCTION("""COMPUTED_VALUE"""),7.5)</f>
        <v>7.5</v>
      </c>
      <c r="E677" s="4" t="str">
        <f>IFERROR(__xludf.DUMMYFUNCTION("""COMPUTED_VALUE"""),"Neto G.C.: 7,50 € (a partir de 1 uds.)")</f>
        <v>Neto G.C.: 7,50 € (a partir de 1 uds.)</v>
      </c>
    </row>
    <row r="678">
      <c r="A678" s="4" t="str">
        <f>IFERROR(__xludf.DUMMYFUNCTION("""COMPUTED_VALUE"""),"0608D")</f>
        <v>0608D</v>
      </c>
      <c r="B678" s="4" t="str">
        <f>IFERROR(__xludf.DUMMYFUNCTION("""COMPUTED_VALUE"""),"Señal metalica P-17")</f>
        <v>Señal metalica P-17</v>
      </c>
      <c r="C678" s="4">
        <f>IFERROR(__xludf.DUMMYFUNCTION("""COMPUTED_VALUE"""),11.25)</f>
        <v>11.25</v>
      </c>
      <c r="D678" s="4">
        <f>IFERROR(__xludf.DUMMYFUNCTION("""COMPUTED_VALUE"""),7.5)</f>
        <v>7.5</v>
      </c>
      <c r="E678" s="4" t="str">
        <f>IFERROR(__xludf.DUMMYFUNCTION("""COMPUTED_VALUE"""),"Neto G.C.: 7,50 € (a partir de 1 uds.)")</f>
        <v>Neto G.C.: 7,50 € (a partir de 1 uds.)</v>
      </c>
    </row>
    <row r="679">
      <c r="A679" s="4" t="str">
        <f>IFERROR(__xludf.DUMMYFUNCTION("""COMPUTED_VALUE"""),"609")</f>
        <v>609</v>
      </c>
      <c r="B679" s="4" t="str">
        <f>IFERROR(__xludf.DUMMYFUNCTION("""COMPUTED_VALUE"""),"Señal metalica TP-17b")</f>
        <v>Señal metalica TP-17b</v>
      </c>
      <c r="C679" s="4">
        <f>IFERROR(__xludf.DUMMYFUNCTION("""COMPUTED_VALUE"""),11.25)</f>
        <v>11.25</v>
      </c>
      <c r="D679" s="4">
        <f>IFERROR(__xludf.DUMMYFUNCTION("""COMPUTED_VALUE"""),7.5)</f>
        <v>7.5</v>
      </c>
      <c r="E679" s="4" t="str">
        <f>IFERROR(__xludf.DUMMYFUNCTION("""COMPUTED_VALUE"""),"Neto G.C.: 7,50 € (a partir de 1 uds.)")</f>
        <v>Neto G.C.: 7,50 € (a partir de 1 uds.)</v>
      </c>
    </row>
    <row r="680">
      <c r="A680" s="4" t="str">
        <f>IFERROR(__xludf.DUMMYFUNCTION("""COMPUTED_VALUE"""),"0609D")</f>
        <v>0609D</v>
      </c>
      <c r="B680" s="4" t="str">
        <f>IFERROR(__xludf.DUMMYFUNCTION("""COMPUTED_VALUE"""),"Señal metalica P-17b")</f>
        <v>Señal metalica P-17b</v>
      </c>
      <c r="C680" s="4">
        <f>IFERROR(__xludf.DUMMYFUNCTION("""COMPUTED_VALUE"""),11.25)</f>
        <v>11.25</v>
      </c>
      <c r="D680" s="4">
        <f>IFERROR(__xludf.DUMMYFUNCTION("""COMPUTED_VALUE"""),7.5)</f>
        <v>7.5</v>
      </c>
      <c r="E680" s="4" t="str">
        <f>IFERROR(__xludf.DUMMYFUNCTION("""COMPUTED_VALUE"""),"Neto G.C.: 7,50 € (a partir de 1 uds.)")</f>
        <v>Neto G.C.: 7,50 € (a partir de 1 uds.)</v>
      </c>
    </row>
    <row r="681">
      <c r="A681" s="4" t="str">
        <f>IFERROR(__xludf.DUMMYFUNCTION("""COMPUTED_VALUE"""),"610")</f>
        <v>610</v>
      </c>
      <c r="B681" s="4" t="str">
        <f>IFERROR(__xludf.DUMMYFUNCTION("""COMPUTED_VALUE"""),"Señal metalica TP-17a")</f>
        <v>Señal metalica TP-17a</v>
      </c>
      <c r="C681" s="4">
        <f>IFERROR(__xludf.DUMMYFUNCTION("""COMPUTED_VALUE"""),11.25)</f>
        <v>11.25</v>
      </c>
      <c r="D681" s="4">
        <f>IFERROR(__xludf.DUMMYFUNCTION("""COMPUTED_VALUE"""),7.5)</f>
        <v>7.5</v>
      </c>
      <c r="E681" s="4" t="str">
        <f>IFERROR(__xludf.DUMMYFUNCTION("""COMPUTED_VALUE"""),"Neto G.C.: 7,50 € (a partir de 1 uds.)")</f>
        <v>Neto G.C.: 7,50 € (a partir de 1 uds.)</v>
      </c>
    </row>
    <row r="682">
      <c r="A682" s="4" t="str">
        <f>IFERROR(__xludf.DUMMYFUNCTION("""COMPUTED_VALUE"""),"0610D")</f>
        <v>0610D</v>
      </c>
      <c r="B682" s="4" t="str">
        <f>IFERROR(__xludf.DUMMYFUNCTION("""COMPUTED_VALUE"""),"Señal metalica P-17a")</f>
        <v>Señal metalica P-17a</v>
      </c>
      <c r="C682" s="4">
        <f>IFERROR(__xludf.DUMMYFUNCTION("""COMPUTED_VALUE"""),11.25)</f>
        <v>11.25</v>
      </c>
      <c r="D682" s="4">
        <f>IFERROR(__xludf.DUMMYFUNCTION("""COMPUTED_VALUE"""),7.5)</f>
        <v>7.5</v>
      </c>
      <c r="E682" s="4" t="str">
        <f>IFERROR(__xludf.DUMMYFUNCTION("""COMPUTED_VALUE"""),"Neto G.C.: 7,50 € (a partir de 1 uds.)")</f>
        <v>Neto G.C.: 7,50 € (a partir de 1 uds.)</v>
      </c>
    </row>
    <row r="683">
      <c r="A683" s="4" t="str">
        <f>IFERROR(__xludf.DUMMYFUNCTION("""COMPUTED_VALUE"""),"611")</f>
        <v>611</v>
      </c>
      <c r="B683" s="4" t="str">
        <f>IFERROR(__xludf.DUMMYFUNCTION("""COMPUTED_VALUE"""),"Señal metalica TP-18")</f>
        <v>Señal metalica TP-18</v>
      </c>
      <c r="C683" s="4">
        <f>IFERROR(__xludf.DUMMYFUNCTION("""COMPUTED_VALUE"""),11.25)</f>
        <v>11.25</v>
      </c>
      <c r="D683" s="4">
        <f>IFERROR(__xludf.DUMMYFUNCTION("""COMPUTED_VALUE"""),7.5)</f>
        <v>7.5</v>
      </c>
      <c r="E683" s="4" t="str">
        <f>IFERROR(__xludf.DUMMYFUNCTION("""COMPUTED_VALUE"""),"Neto G.C.: 7,50 € (a partir de 1 uds.)")</f>
        <v>Neto G.C.: 7,50 € (a partir de 1 uds.)</v>
      </c>
    </row>
    <row r="684">
      <c r="A684" s="4" t="str">
        <f>IFERROR(__xludf.DUMMYFUNCTION("""COMPUTED_VALUE"""),"0611D")</f>
        <v>0611D</v>
      </c>
      <c r="B684" s="4" t="str">
        <f>IFERROR(__xludf.DUMMYFUNCTION("""COMPUTED_VALUE"""),"Señal metalica P-18")</f>
        <v>Señal metalica P-18</v>
      </c>
      <c r="C684" s="4">
        <f>IFERROR(__xludf.DUMMYFUNCTION("""COMPUTED_VALUE"""),11.25)</f>
        <v>11.25</v>
      </c>
      <c r="D684" s="4">
        <f>IFERROR(__xludf.DUMMYFUNCTION("""COMPUTED_VALUE"""),7.5)</f>
        <v>7.5</v>
      </c>
      <c r="E684" s="4" t="str">
        <f>IFERROR(__xludf.DUMMYFUNCTION("""COMPUTED_VALUE"""),"Neto G.C.: 7,50 € (a partir de 1 uds.)")</f>
        <v>Neto G.C.: 7,50 € (a partir de 1 uds.)</v>
      </c>
    </row>
    <row r="685">
      <c r="A685" s="4" t="str">
        <f>IFERROR(__xludf.DUMMYFUNCTION("""COMPUTED_VALUE"""),"612")</f>
        <v>612</v>
      </c>
      <c r="B685" s="4" t="str">
        <f>IFERROR(__xludf.DUMMYFUNCTION("""COMPUTED_VALUE"""),"Señal metalica TP-19")</f>
        <v>Señal metalica TP-19</v>
      </c>
      <c r="C685" s="4">
        <f>IFERROR(__xludf.DUMMYFUNCTION("""COMPUTED_VALUE"""),11.25)</f>
        <v>11.25</v>
      </c>
      <c r="D685" s="4">
        <f>IFERROR(__xludf.DUMMYFUNCTION("""COMPUTED_VALUE"""),7.5)</f>
        <v>7.5</v>
      </c>
      <c r="E685" s="4" t="str">
        <f>IFERROR(__xludf.DUMMYFUNCTION("""COMPUTED_VALUE"""),"Neto G.C.: 7,50 € (a partir de 1 uds.)")</f>
        <v>Neto G.C.: 7,50 € (a partir de 1 uds.)</v>
      </c>
    </row>
    <row r="686">
      <c r="A686" s="4" t="str">
        <f>IFERROR(__xludf.DUMMYFUNCTION("""COMPUTED_VALUE"""),"0612D")</f>
        <v>0612D</v>
      </c>
      <c r="B686" s="4" t="str">
        <f>IFERROR(__xludf.DUMMYFUNCTION("""COMPUTED_VALUE"""),"Señal metalica P-19")</f>
        <v>Señal metalica P-19</v>
      </c>
      <c r="C686" s="4">
        <f>IFERROR(__xludf.DUMMYFUNCTION("""COMPUTED_VALUE"""),11.25)</f>
        <v>11.25</v>
      </c>
      <c r="D686" s="4">
        <f>IFERROR(__xludf.DUMMYFUNCTION("""COMPUTED_VALUE"""),7.5)</f>
        <v>7.5</v>
      </c>
      <c r="E686" s="4" t="str">
        <f>IFERROR(__xludf.DUMMYFUNCTION("""COMPUTED_VALUE"""),"Neto G.C.: 7,50 € (a partir de 1 uds.)")</f>
        <v>Neto G.C.: 7,50 € (a partir de 1 uds.)</v>
      </c>
    </row>
    <row r="687">
      <c r="A687" s="4" t="str">
        <f>IFERROR(__xludf.DUMMYFUNCTION("""COMPUTED_VALUE"""),"613")</f>
        <v>613</v>
      </c>
      <c r="B687" s="4" t="str">
        <f>IFERROR(__xludf.DUMMYFUNCTION("""COMPUTED_VALUE"""),"Señal metalica TP-25")</f>
        <v>Señal metalica TP-25</v>
      </c>
      <c r="C687" s="4">
        <f>IFERROR(__xludf.DUMMYFUNCTION("""COMPUTED_VALUE"""),11.25)</f>
        <v>11.25</v>
      </c>
      <c r="D687" s="4">
        <f>IFERROR(__xludf.DUMMYFUNCTION("""COMPUTED_VALUE"""),7.5)</f>
        <v>7.5</v>
      </c>
      <c r="E687" s="4" t="str">
        <f>IFERROR(__xludf.DUMMYFUNCTION("""COMPUTED_VALUE"""),"Neto G.C.: 7,50 € (a partir de 1 uds.)")</f>
        <v>Neto G.C.: 7,50 € (a partir de 1 uds.)</v>
      </c>
    </row>
    <row r="688">
      <c r="A688" s="4" t="str">
        <f>IFERROR(__xludf.DUMMYFUNCTION("""COMPUTED_VALUE"""),"0613D")</f>
        <v>0613D</v>
      </c>
      <c r="B688" s="4" t="str">
        <f>IFERROR(__xludf.DUMMYFUNCTION("""COMPUTED_VALUE"""),"Señal metalica P-25")</f>
        <v>Señal metalica P-25</v>
      </c>
      <c r="C688" s="4">
        <f>IFERROR(__xludf.DUMMYFUNCTION("""COMPUTED_VALUE"""),11.25)</f>
        <v>11.25</v>
      </c>
      <c r="D688" s="4">
        <f>IFERROR(__xludf.DUMMYFUNCTION("""COMPUTED_VALUE"""),7.5)</f>
        <v>7.5</v>
      </c>
      <c r="E688" s="4" t="str">
        <f>IFERROR(__xludf.DUMMYFUNCTION("""COMPUTED_VALUE"""),"Neto G.C.: 7,50 € (a partir de 1 uds.)")</f>
        <v>Neto G.C.: 7,50 € (a partir de 1 uds.)</v>
      </c>
    </row>
    <row r="689">
      <c r="A689" s="4" t="str">
        <f>IFERROR(__xludf.DUMMYFUNCTION("""COMPUTED_VALUE"""),"614")</f>
        <v>614</v>
      </c>
      <c r="B689" s="4" t="str">
        <f>IFERROR(__xludf.DUMMYFUNCTION("""COMPUTED_VALUE"""),"Señal metalica TP-26")</f>
        <v>Señal metalica TP-26</v>
      </c>
      <c r="C689" s="4">
        <f>IFERROR(__xludf.DUMMYFUNCTION("""COMPUTED_VALUE"""),11.25)</f>
        <v>11.25</v>
      </c>
      <c r="D689" s="4">
        <f>IFERROR(__xludf.DUMMYFUNCTION("""COMPUTED_VALUE"""),7.5)</f>
        <v>7.5</v>
      </c>
      <c r="E689" s="4" t="str">
        <f>IFERROR(__xludf.DUMMYFUNCTION("""COMPUTED_VALUE"""),"Neto G.C.: 7,50 € (a partir de 1 uds.)")</f>
        <v>Neto G.C.: 7,50 € (a partir de 1 uds.)</v>
      </c>
    </row>
    <row r="690">
      <c r="A690" s="4" t="str">
        <f>IFERROR(__xludf.DUMMYFUNCTION("""COMPUTED_VALUE"""),"0614D")</f>
        <v>0614D</v>
      </c>
      <c r="B690" s="4" t="str">
        <f>IFERROR(__xludf.DUMMYFUNCTION("""COMPUTED_VALUE"""),"Señal metalica P-26")</f>
        <v>Señal metalica P-26</v>
      </c>
      <c r="C690" s="4">
        <f>IFERROR(__xludf.DUMMYFUNCTION("""COMPUTED_VALUE"""),11.25)</f>
        <v>11.25</v>
      </c>
      <c r="D690" s="4">
        <f>IFERROR(__xludf.DUMMYFUNCTION("""COMPUTED_VALUE"""),7.5)</f>
        <v>7.5</v>
      </c>
      <c r="E690" s="4" t="str">
        <f>IFERROR(__xludf.DUMMYFUNCTION("""COMPUTED_VALUE"""),"Neto G.C.: 7,50 € (a partir de 1 uds.)")</f>
        <v>Neto G.C.: 7,50 € (a partir de 1 uds.)</v>
      </c>
    </row>
    <row r="691">
      <c r="A691" s="4" t="str">
        <f>IFERROR(__xludf.DUMMYFUNCTION("""COMPUTED_VALUE"""),"615")</f>
        <v>615</v>
      </c>
      <c r="B691" s="4" t="str">
        <f>IFERROR(__xludf.DUMMYFUNCTION("""COMPUTED_VALUE"""),"Señal metalica TP-28")</f>
        <v>Señal metalica TP-28</v>
      </c>
      <c r="C691" s="4">
        <f>IFERROR(__xludf.DUMMYFUNCTION("""COMPUTED_VALUE"""),11.25)</f>
        <v>11.25</v>
      </c>
      <c r="D691" s="4">
        <f>IFERROR(__xludf.DUMMYFUNCTION("""COMPUTED_VALUE"""),7.5)</f>
        <v>7.5</v>
      </c>
      <c r="E691" s="4" t="str">
        <f>IFERROR(__xludf.DUMMYFUNCTION("""COMPUTED_VALUE"""),"Neto G.C.: 7,50 € (a partir de 1 uds.)")</f>
        <v>Neto G.C.: 7,50 € (a partir de 1 uds.)</v>
      </c>
    </row>
    <row r="692">
      <c r="A692" s="4" t="str">
        <f>IFERROR(__xludf.DUMMYFUNCTION("""COMPUTED_VALUE"""),"0615D")</f>
        <v>0615D</v>
      </c>
      <c r="B692" s="4" t="str">
        <f>IFERROR(__xludf.DUMMYFUNCTION("""COMPUTED_VALUE"""),"Señal metalica P-28")</f>
        <v>Señal metalica P-28</v>
      </c>
      <c r="C692" s="4">
        <f>IFERROR(__xludf.DUMMYFUNCTION("""COMPUTED_VALUE"""),11.25)</f>
        <v>11.25</v>
      </c>
      <c r="D692" s="4">
        <f>IFERROR(__xludf.DUMMYFUNCTION("""COMPUTED_VALUE"""),7.5)</f>
        <v>7.5</v>
      </c>
      <c r="E692" s="4" t="str">
        <f>IFERROR(__xludf.DUMMYFUNCTION("""COMPUTED_VALUE"""),"Neto G.C.: 7,50 € (a partir de 1 uds.)")</f>
        <v>Neto G.C.: 7,50 € (a partir de 1 uds.)</v>
      </c>
    </row>
    <row r="693">
      <c r="A693" s="4" t="str">
        <f>IFERROR(__xludf.DUMMYFUNCTION("""COMPUTED_VALUE"""),"616")</f>
        <v>616</v>
      </c>
      <c r="B693" s="4" t="str">
        <f>IFERROR(__xludf.DUMMYFUNCTION("""COMPUTED_VALUE"""),"Señal metalica TP-30")</f>
        <v>Señal metalica TP-30</v>
      </c>
      <c r="C693" s="4">
        <f>IFERROR(__xludf.DUMMYFUNCTION("""COMPUTED_VALUE"""),11.25)</f>
        <v>11.25</v>
      </c>
      <c r="D693" s="4">
        <f>IFERROR(__xludf.DUMMYFUNCTION("""COMPUTED_VALUE"""),7.5)</f>
        <v>7.5</v>
      </c>
      <c r="E693" s="4" t="str">
        <f>IFERROR(__xludf.DUMMYFUNCTION("""COMPUTED_VALUE"""),"Neto G.C.: 7,50 € (a partir de 1 uds.)")</f>
        <v>Neto G.C.: 7,50 € (a partir de 1 uds.)</v>
      </c>
    </row>
    <row r="694">
      <c r="A694" s="4" t="str">
        <f>IFERROR(__xludf.DUMMYFUNCTION("""COMPUTED_VALUE"""),"0616B")</f>
        <v>0616B</v>
      </c>
      <c r="B694" s="4" t="str">
        <f>IFERROR(__xludf.DUMMYFUNCTION("""COMPUTED_VALUE"""),"Cartel PVC 42x42 Fotolum. Salida emergencia derecha")</f>
        <v>Cartel PVC 42x42 Fotolum. Salida emergencia derecha</v>
      </c>
      <c r="C694" s="4">
        <f>IFERROR(__xludf.DUMMYFUNCTION("""COMPUTED_VALUE"""),3.9)</f>
        <v>3.9</v>
      </c>
      <c r="D694" s="4"/>
      <c r="E694" s="4" t="str">
        <f>IFERROR(__xludf.DUMMYFUNCTION("""COMPUTED_VALUE"""),"Sin precio neto G.C.")</f>
        <v>Sin precio neto G.C.</v>
      </c>
    </row>
    <row r="695">
      <c r="A695" s="4" t="str">
        <f>IFERROR(__xludf.DUMMYFUNCTION("""COMPUTED_VALUE"""),"0616C")</f>
        <v>0616C</v>
      </c>
      <c r="B695" s="4" t="str">
        <f>IFERROR(__xludf.DUMMYFUNCTION("""COMPUTED_VALUE"""),"Cartel PVC 63x63 Fotolum. Salida emergencia derecha")</f>
        <v>Cartel PVC 63x63 Fotolum. Salida emergencia derecha</v>
      </c>
      <c r="C695" s="4">
        <f>IFERROR(__xludf.DUMMYFUNCTION("""COMPUTED_VALUE"""),6.25)</f>
        <v>6.25</v>
      </c>
      <c r="D695" s="4"/>
      <c r="E695" s="4" t="str">
        <f>IFERROR(__xludf.DUMMYFUNCTION("""COMPUTED_VALUE"""),"Sin precio neto G.C.")</f>
        <v>Sin precio neto G.C.</v>
      </c>
    </row>
    <row r="696">
      <c r="A696" s="4" t="str">
        <f>IFERROR(__xludf.DUMMYFUNCTION("""COMPUTED_VALUE"""),"0616D")</f>
        <v>0616D</v>
      </c>
      <c r="B696" s="4" t="str">
        <f>IFERROR(__xludf.DUMMYFUNCTION("""COMPUTED_VALUE"""),"Señal metalica P-30")</f>
        <v>Señal metalica P-30</v>
      </c>
      <c r="C696" s="4">
        <f>IFERROR(__xludf.DUMMYFUNCTION("""COMPUTED_VALUE"""),11.25)</f>
        <v>11.25</v>
      </c>
      <c r="D696" s="4">
        <f>IFERROR(__xludf.DUMMYFUNCTION("""COMPUTED_VALUE"""),7.5)</f>
        <v>7.5</v>
      </c>
      <c r="E696" s="4" t="str">
        <f>IFERROR(__xludf.DUMMYFUNCTION("""COMPUTED_VALUE"""),"Neto G.C.: 7,50 € (a partir de 1 uds.)")</f>
        <v>Neto G.C.: 7,50 € (a partir de 1 uds.)</v>
      </c>
    </row>
    <row r="697">
      <c r="A697" s="4" t="str">
        <f>IFERROR(__xludf.DUMMYFUNCTION("""COMPUTED_VALUE"""),"617")</f>
        <v>617</v>
      </c>
      <c r="B697" s="4" t="str">
        <f>IFERROR(__xludf.DUMMYFUNCTION("""COMPUTED_VALUE"""),"Señal metalica TP-50")</f>
        <v>Señal metalica TP-50</v>
      </c>
      <c r="C697" s="4">
        <f>IFERROR(__xludf.DUMMYFUNCTION("""COMPUTED_VALUE"""),11.25)</f>
        <v>11.25</v>
      </c>
      <c r="D697" s="4">
        <f>IFERROR(__xludf.DUMMYFUNCTION("""COMPUTED_VALUE"""),7.5)</f>
        <v>7.5</v>
      </c>
      <c r="E697" s="4" t="str">
        <f>IFERROR(__xludf.DUMMYFUNCTION("""COMPUTED_VALUE"""),"Neto G.C.: 7,50 € (a partir de 1 uds.)")</f>
        <v>Neto G.C.: 7,50 € (a partir de 1 uds.)</v>
      </c>
    </row>
    <row r="698">
      <c r="A698" s="4" t="str">
        <f>IFERROR(__xludf.DUMMYFUNCTION("""COMPUTED_VALUE"""),"0617D")</f>
        <v>0617D</v>
      </c>
      <c r="B698" s="4" t="str">
        <f>IFERROR(__xludf.DUMMYFUNCTION("""COMPUTED_VALUE"""),"Señal metalica P-50")</f>
        <v>Señal metalica P-50</v>
      </c>
      <c r="C698" s="4">
        <f>IFERROR(__xludf.DUMMYFUNCTION("""COMPUTED_VALUE"""),11.25)</f>
        <v>11.25</v>
      </c>
      <c r="D698" s="4">
        <f>IFERROR(__xludf.DUMMYFUNCTION("""COMPUTED_VALUE"""),7.5)</f>
        <v>7.5</v>
      </c>
      <c r="E698" s="4" t="str">
        <f>IFERROR(__xludf.DUMMYFUNCTION("""COMPUTED_VALUE"""),"Neto G.C.: 7,50 € (a partir de 1 uds.)")</f>
        <v>Neto G.C.: 7,50 € (a partir de 1 uds.)</v>
      </c>
    </row>
    <row r="699">
      <c r="A699" s="4" t="str">
        <f>IFERROR(__xludf.DUMMYFUNCTION("""COMPUTED_VALUE"""),"619")</f>
        <v>619</v>
      </c>
      <c r="B699" s="4" t="str">
        <f>IFERROR(__xludf.DUMMYFUNCTION("""COMPUTED_VALUE"""),"Señal metalica TP-4")</f>
        <v>Señal metalica TP-4</v>
      </c>
      <c r="C699" s="4">
        <f>IFERROR(__xludf.DUMMYFUNCTION("""COMPUTED_VALUE"""),11.25)</f>
        <v>11.25</v>
      </c>
      <c r="D699" s="4">
        <f>IFERROR(__xludf.DUMMYFUNCTION("""COMPUTED_VALUE"""),7.5)</f>
        <v>7.5</v>
      </c>
      <c r="E699" s="4" t="str">
        <f>IFERROR(__xludf.DUMMYFUNCTION("""COMPUTED_VALUE"""),"Neto G.C.: 7,50 € (a partir de 1 uds.)")</f>
        <v>Neto G.C.: 7,50 € (a partir de 1 uds.)</v>
      </c>
    </row>
    <row r="700">
      <c r="A700" s="4" t="str">
        <f>IFERROR(__xludf.DUMMYFUNCTION("""COMPUTED_VALUE"""),"0619D")</f>
        <v>0619D</v>
      </c>
      <c r="B700" s="4" t="str">
        <f>IFERROR(__xludf.DUMMYFUNCTION("""COMPUTED_VALUE"""),"Señal metalica P-4")</f>
        <v>Señal metalica P-4</v>
      </c>
      <c r="C700" s="4">
        <f>IFERROR(__xludf.DUMMYFUNCTION("""COMPUTED_VALUE"""),11.25)</f>
        <v>11.25</v>
      </c>
      <c r="D700" s="4">
        <f>IFERROR(__xludf.DUMMYFUNCTION("""COMPUTED_VALUE"""),7.5)</f>
        <v>7.5</v>
      </c>
      <c r="E700" s="4" t="str">
        <f>IFERROR(__xludf.DUMMYFUNCTION("""COMPUTED_VALUE"""),"Neto G.C.: 7,50 € (a partir de 1 uds.)")</f>
        <v>Neto G.C.: 7,50 € (a partir de 1 uds.)</v>
      </c>
    </row>
    <row r="701">
      <c r="A701" s="4" t="str">
        <f>IFERROR(__xludf.DUMMYFUNCTION("""COMPUTED_VALUE"""),"620")</f>
        <v>620</v>
      </c>
      <c r="B701" s="4" t="str">
        <f>IFERROR(__xludf.DUMMYFUNCTION("""COMPUTED_VALUE"""),"Señal metalica TR-1")</f>
        <v>Señal metalica TR-1</v>
      </c>
      <c r="C701" s="4">
        <f>IFERROR(__xludf.DUMMYFUNCTION("""COMPUTED_VALUE"""),11.25)</f>
        <v>11.25</v>
      </c>
      <c r="D701" s="4">
        <f>IFERROR(__xludf.DUMMYFUNCTION("""COMPUTED_VALUE"""),7.5)</f>
        <v>7.5</v>
      </c>
      <c r="E701" s="4" t="str">
        <f>IFERROR(__xludf.DUMMYFUNCTION("""COMPUTED_VALUE"""),"Neto G.C.: 7,50 € (a partir de 1 uds.)")</f>
        <v>Neto G.C.: 7,50 € (a partir de 1 uds.)</v>
      </c>
    </row>
    <row r="702">
      <c r="A702" s="4" t="str">
        <f>IFERROR(__xludf.DUMMYFUNCTION("""COMPUTED_VALUE"""),"0620D")</f>
        <v>0620D</v>
      </c>
      <c r="B702" s="4" t="str">
        <f>IFERROR(__xludf.DUMMYFUNCTION("""COMPUTED_VALUE"""),"Señal metalica R-1")</f>
        <v>Señal metalica R-1</v>
      </c>
      <c r="C702" s="4">
        <f>IFERROR(__xludf.DUMMYFUNCTION("""COMPUTED_VALUE"""),11.25)</f>
        <v>11.25</v>
      </c>
      <c r="D702" s="4">
        <f>IFERROR(__xludf.DUMMYFUNCTION("""COMPUTED_VALUE"""),7.5)</f>
        <v>7.5</v>
      </c>
      <c r="E702" s="4" t="str">
        <f>IFERROR(__xludf.DUMMYFUNCTION("""COMPUTED_VALUE"""),"Neto G.C.: 7,50 € (a partir de 1 uds.)")</f>
        <v>Neto G.C.: 7,50 € (a partir de 1 uds.)</v>
      </c>
    </row>
    <row r="703">
      <c r="A703" s="4" t="str">
        <f>IFERROR(__xludf.DUMMYFUNCTION("""COMPUTED_VALUE"""),"624")</f>
        <v>624</v>
      </c>
      <c r="B703" s="4" t="str">
        <f>IFERROR(__xludf.DUMMYFUNCTION("""COMPUTED_VALUE"""),"Señal metalica Minusvalidos M-1")</f>
        <v>Señal metalica Minusvalidos M-1</v>
      </c>
      <c r="C703" s="4">
        <f>IFERROR(__xludf.DUMMYFUNCTION("""COMPUTED_VALUE"""),11.25)</f>
        <v>11.25</v>
      </c>
      <c r="D703" s="4">
        <f>IFERROR(__xludf.DUMMYFUNCTION("""COMPUTED_VALUE"""),7.5)</f>
        <v>7.5</v>
      </c>
      <c r="E703" s="4" t="str">
        <f>IFERROR(__xludf.DUMMYFUNCTION("""COMPUTED_VALUE"""),"Neto G.C.: 7,50 € (a partir de 1 uds.)")</f>
        <v>Neto G.C.: 7,50 € (a partir de 1 uds.)</v>
      </c>
    </row>
    <row r="704">
      <c r="A704" s="4" t="str">
        <f>IFERROR(__xludf.DUMMYFUNCTION("""COMPUTED_VALUE"""),"625")</f>
        <v>625</v>
      </c>
      <c r="B704" s="4" t="str">
        <f>IFERROR(__xludf.DUMMYFUNCTION("""COMPUTED_VALUE"""),"Señal metalica S-13")</f>
        <v>Señal metalica S-13</v>
      </c>
      <c r="C704" s="4">
        <f>IFERROR(__xludf.DUMMYFUNCTION("""COMPUTED_VALUE"""),11.25)</f>
        <v>11.25</v>
      </c>
      <c r="D704" s="4">
        <f>IFERROR(__xludf.DUMMYFUNCTION("""COMPUTED_VALUE"""),7.5)</f>
        <v>7.5</v>
      </c>
      <c r="E704" s="4" t="str">
        <f>IFERROR(__xludf.DUMMYFUNCTION("""COMPUTED_VALUE"""),"Neto G.C.: 7,50 € (a partir de 1 uds.)")</f>
        <v>Neto G.C.: 7,50 € (a partir de 1 uds.)</v>
      </c>
    </row>
    <row r="705">
      <c r="A705" s="4" t="str">
        <f>IFERROR(__xludf.DUMMYFUNCTION("""COMPUTED_VALUE"""),"628")</f>
        <v>628</v>
      </c>
      <c r="B705" s="4" t="str">
        <f>IFERROR(__xludf.DUMMYFUNCTION("""COMPUTED_VALUE"""),"Señal metalica R-402")</f>
        <v>Señal metalica R-402</v>
      </c>
      <c r="C705" s="4">
        <f>IFERROR(__xludf.DUMMYFUNCTION("""COMPUTED_VALUE"""),11.25)</f>
        <v>11.25</v>
      </c>
      <c r="D705" s="4">
        <f>IFERROR(__xludf.DUMMYFUNCTION("""COMPUTED_VALUE"""),7.5)</f>
        <v>7.5</v>
      </c>
      <c r="E705" s="4" t="str">
        <f>IFERROR(__xludf.DUMMYFUNCTION("""COMPUTED_VALUE"""),"Neto G.C.: 7,50 € (a partir de 1 uds.)")</f>
        <v>Neto G.C.: 7,50 € (a partir de 1 uds.)</v>
      </c>
    </row>
    <row r="706">
      <c r="A706" s="4" t="str">
        <f>IFERROR(__xludf.DUMMYFUNCTION("""COMPUTED_VALUE"""),"629")</f>
        <v>629</v>
      </c>
      <c r="B706" s="4" t="str">
        <f>IFERROR(__xludf.DUMMYFUNCTION("""COMPUTED_VALUE"""),"Señal metalica TR-100")</f>
        <v>Señal metalica TR-100</v>
      </c>
      <c r="C706" s="4">
        <f>IFERROR(__xludf.DUMMYFUNCTION("""COMPUTED_VALUE"""),11.25)</f>
        <v>11.25</v>
      </c>
      <c r="D706" s="4">
        <f>IFERROR(__xludf.DUMMYFUNCTION("""COMPUTED_VALUE"""),7.5)</f>
        <v>7.5</v>
      </c>
      <c r="E706" s="4" t="str">
        <f>IFERROR(__xludf.DUMMYFUNCTION("""COMPUTED_VALUE"""),"Neto G.C.: 7,50 € (a partir de 1 uds.)")</f>
        <v>Neto G.C.: 7,50 € (a partir de 1 uds.)</v>
      </c>
    </row>
    <row r="707">
      <c r="A707" s="4" t="str">
        <f>IFERROR(__xludf.DUMMYFUNCTION("""COMPUTED_VALUE"""),"0629D")</f>
        <v>0629D</v>
      </c>
      <c r="B707" s="4" t="str">
        <f>IFERROR(__xludf.DUMMYFUNCTION("""COMPUTED_VALUE"""),"Señal metalica R-100")</f>
        <v>Señal metalica R-100</v>
      </c>
      <c r="C707" s="4">
        <f>IFERROR(__xludf.DUMMYFUNCTION("""COMPUTED_VALUE"""),11.25)</f>
        <v>11.25</v>
      </c>
      <c r="D707" s="4">
        <f>IFERROR(__xludf.DUMMYFUNCTION("""COMPUTED_VALUE"""),7.5)</f>
        <v>7.5</v>
      </c>
      <c r="E707" s="4" t="str">
        <f>IFERROR(__xludf.DUMMYFUNCTION("""COMPUTED_VALUE"""),"Neto G.C.: 7,50 € (a partir de 1 uds.)")</f>
        <v>Neto G.C.: 7,50 € (a partir de 1 uds.)</v>
      </c>
    </row>
    <row r="708">
      <c r="A708" s="4" t="str">
        <f>IFERROR(__xludf.DUMMYFUNCTION("""COMPUTED_VALUE"""),"630")</f>
        <v>630</v>
      </c>
      <c r="B708" s="4" t="str">
        <f>IFERROR(__xludf.DUMMYFUNCTION("""COMPUTED_VALUE"""),"Señal metalica TR-305")</f>
        <v>Señal metalica TR-305</v>
      </c>
      <c r="C708" s="4">
        <f>IFERROR(__xludf.DUMMYFUNCTION("""COMPUTED_VALUE"""),11.25)</f>
        <v>11.25</v>
      </c>
      <c r="D708" s="4">
        <f>IFERROR(__xludf.DUMMYFUNCTION("""COMPUTED_VALUE"""),7.5)</f>
        <v>7.5</v>
      </c>
      <c r="E708" s="4" t="str">
        <f>IFERROR(__xludf.DUMMYFUNCTION("""COMPUTED_VALUE"""),"Neto G.C.: 7,50 € (a partir de 1 uds.)")</f>
        <v>Neto G.C.: 7,50 € (a partir de 1 uds.)</v>
      </c>
    </row>
    <row r="709">
      <c r="A709" s="4" t="str">
        <f>IFERROR(__xludf.DUMMYFUNCTION("""COMPUTED_VALUE"""),"0630D")</f>
        <v>0630D</v>
      </c>
      <c r="B709" s="4" t="str">
        <f>IFERROR(__xludf.DUMMYFUNCTION("""COMPUTED_VALUE"""),"Señal metalica R-305")</f>
        <v>Señal metalica R-305</v>
      </c>
      <c r="C709" s="4">
        <f>IFERROR(__xludf.DUMMYFUNCTION("""COMPUTED_VALUE"""),11.25)</f>
        <v>11.25</v>
      </c>
      <c r="D709" s="4">
        <f>IFERROR(__xludf.DUMMYFUNCTION("""COMPUTED_VALUE"""),7.5)</f>
        <v>7.5</v>
      </c>
      <c r="E709" s="4" t="str">
        <f>IFERROR(__xludf.DUMMYFUNCTION("""COMPUTED_VALUE"""),"Neto G.C.: 7,50 € (a partir de 1 uds.)")</f>
        <v>Neto G.C.: 7,50 € (a partir de 1 uds.)</v>
      </c>
    </row>
    <row r="710">
      <c r="A710" s="4" t="str">
        <f>IFERROR(__xludf.DUMMYFUNCTION("""COMPUTED_VALUE"""),"641")</f>
        <v>641</v>
      </c>
      <c r="B710" s="4" t="str">
        <f>IFERROR(__xludf.DUMMYFUNCTION("""COMPUTED_VALUE"""),"Señal metalica TR-101")</f>
        <v>Señal metalica TR-101</v>
      </c>
      <c r="C710" s="4">
        <f>IFERROR(__xludf.DUMMYFUNCTION("""COMPUTED_VALUE"""),11.25)</f>
        <v>11.25</v>
      </c>
      <c r="D710" s="4">
        <f>IFERROR(__xludf.DUMMYFUNCTION("""COMPUTED_VALUE"""),7.5)</f>
        <v>7.5</v>
      </c>
      <c r="E710" s="4" t="str">
        <f>IFERROR(__xludf.DUMMYFUNCTION("""COMPUTED_VALUE"""),"Neto G.C.: 7,50 € (a partir de 1 uds.)")</f>
        <v>Neto G.C.: 7,50 € (a partir de 1 uds.)</v>
      </c>
    </row>
    <row r="711">
      <c r="A711" s="4" t="str">
        <f>IFERROR(__xludf.DUMMYFUNCTION("""COMPUTED_VALUE"""),"642")</f>
        <v>642</v>
      </c>
      <c r="B711" s="4" t="str">
        <f>IFERROR(__xludf.DUMMYFUNCTION("""COMPUTED_VALUE"""),"Señal metalica TR-106")</f>
        <v>Señal metalica TR-106</v>
      </c>
      <c r="C711" s="4">
        <f>IFERROR(__xludf.DUMMYFUNCTION("""COMPUTED_VALUE"""),11.25)</f>
        <v>11.25</v>
      </c>
      <c r="D711" s="4">
        <f>IFERROR(__xludf.DUMMYFUNCTION("""COMPUTED_VALUE"""),7.5)</f>
        <v>7.5</v>
      </c>
      <c r="E711" s="4" t="str">
        <f>IFERROR(__xludf.DUMMYFUNCTION("""COMPUTED_VALUE"""),"Neto G.C.: 7,50 € (a partir de 1 uds.)")</f>
        <v>Neto G.C.: 7,50 € (a partir de 1 uds.)</v>
      </c>
    </row>
    <row r="712">
      <c r="A712" s="4" t="str">
        <f>IFERROR(__xludf.DUMMYFUNCTION("""COMPUTED_VALUE"""),"0642D")</f>
        <v>0642D</v>
      </c>
      <c r="B712" s="4" t="str">
        <f>IFERROR(__xludf.DUMMYFUNCTION("""COMPUTED_VALUE"""),"Señal metalica R-106")</f>
        <v>Señal metalica R-106</v>
      </c>
      <c r="C712" s="4">
        <f>IFERROR(__xludf.DUMMYFUNCTION("""COMPUTED_VALUE"""),11.25)</f>
        <v>11.25</v>
      </c>
      <c r="D712" s="4">
        <f>IFERROR(__xludf.DUMMYFUNCTION("""COMPUTED_VALUE"""),7.5)</f>
        <v>7.5</v>
      </c>
      <c r="E712" s="4" t="str">
        <f>IFERROR(__xludf.DUMMYFUNCTION("""COMPUTED_VALUE"""),"Neto G.C.: 7,50 € (a partir de 1 uds.)")</f>
        <v>Neto G.C.: 7,50 € (a partir de 1 uds.)</v>
      </c>
    </row>
    <row r="713">
      <c r="A713" s="4" t="str">
        <f>IFERROR(__xludf.DUMMYFUNCTION("""COMPUTED_VALUE"""),"643")</f>
        <v>643</v>
      </c>
      <c r="B713" s="4" t="str">
        <f>IFERROR(__xludf.DUMMYFUNCTION("""COMPUTED_VALUE"""),"Señal metalica TR-201")</f>
        <v>Señal metalica TR-201</v>
      </c>
      <c r="C713" s="4">
        <f>IFERROR(__xludf.DUMMYFUNCTION("""COMPUTED_VALUE"""),11.25)</f>
        <v>11.25</v>
      </c>
      <c r="D713" s="4">
        <f>IFERROR(__xludf.DUMMYFUNCTION("""COMPUTED_VALUE"""),7.5)</f>
        <v>7.5</v>
      </c>
      <c r="E713" s="4" t="str">
        <f>IFERROR(__xludf.DUMMYFUNCTION("""COMPUTED_VALUE"""),"Neto G.C.: 7,50 € (a partir de 1 uds.)")</f>
        <v>Neto G.C.: 7,50 € (a partir de 1 uds.)</v>
      </c>
    </row>
    <row r="714">
      <c r="A714" s="4" t="str">
        <f>IFERROR(__xludf.DUMMYFUNCTION("""COMPUTED_VALUE"""),"0643D")</f>
        <v>0643D</v>
      </c>
      <c r="B714" s="4" t="str">
        <f>IFERROR(__xludf.DUMMYFUNCTION("""COMPUTED_VALUE"""),"Señal metalica R-201")</f>
        <v>Señal metalica R-201</v>
      </c>
      <c r="C714" s="4">
        <f>IFERROR(__xludf.DUMMYFUNCTION("""COMPUTED_VALUE"""),11.25)</f>
        <v>11.25</v>
      </c>
      <c r="D714" s="4">
        <f>IFERROR(__xludf.DUMMYFUNCTION("""COMPUTED_VALUE"""),7.5)</f>
        <v>7.5</v>
      </c>
      <c r="E714" s="4" t="str">
        <f>IFERROR(__xludf.DUMMYFUNCTION("""COMPUTED_VALUE"""),"Neto G.C.: 7,50 € (a partir de 1 uds.)")</f>
        <v>Neto G.C.: 7,50 € (a partir de 1 uds.)</v>
      </c>
    </row>
    <row r="715">
      <c r="A715" s="4" t="str">
        <f>IFERROR(__xludf.DUMMYFUNCTION("""COMPUTED_VALUE"""),"644")</f>
        <v>644</v>
      </c>
      <c r="B715" s="4" t="str">
        <f>IFERROR(__xludf.DUMMYFUNCTION("""COMPUTED_VALUE"""),"Señal metalica TR-204")</f>
        <v>Señal metalica TR-204</v>
      </c>
      <c r="C715" s="4">
        <f>IFERROR(__xludf.DUMMYFUNCTION("""COMPUTED_VALUE"""),11.25)</f>
        <v>11.25</v>
      </c>
      <c r="D715" s="4">
        <f>IFERROR(__xludf.DUMMYFUNCTION("""COMPUTED_VALUE"""),7.5)</f>
        <v>7.5</v>
      </c>
      <c r="E715" s="4" t="str">
        <f>IFERROR(__xludf.DUMMYFUNCTION("""COMPUTED_VALUE"""),"Neto G.C.: 7,50 € (a partir de 1 uds.)")</f>
        <v>Neto G.C.: 7,50 € (a partir de 1 uds.)</v>
      </c>
    </row>
    <row r="716">
      <c r="A716" s="4" t="str">
        <f>IFERROR(__xludf.DUMMYFUNCTION("""COMPUTED_VALUE"""),"0644D")</f>
        <v>0644D</v>
      </c>
      <c r="B716" s="4" t="str">
        <f>IFERROR(__xludf.DUMMYFUNCTION("""COMPUTED_VALUE"""),"Señal metalica R-204")</f>
        <v>Señal metalica R-204</v>
      </c>
      <c r="C716" s="4">
        <f>IFERROR(__xludf.DUMMYFUNCTION("""COMPUTED_VALUE"""),11.25)</f>
        <v>11.25</v>
      </c>
      <c r="D716" s="4">
        <f>IFERROR(__xludf.DUMMYFUNCTION("""COMPUTED_VALUE"""),7.5)</f>
        <v>7.5</v>
      </c>
      <c r="E716" s="4" t="str">
        <f>IFERROR(__xludf.DUMMYFUNCTION("""COMPUTED_VALUE"""),"Neto G.C.: 7,50 € (a partir de 1 uds.)")</f>
        <v>Neto G.C.: 7,50 € (a partir de 1 uds.)</v>
      </c>
    </row>
    <row r="717">
      <c r="A717" s="4" t="str">
        <f>IFERROR(__xludf.DUMMYFUNCTION("""COMPUTED_VALUE"""),"645")</f>
        <v>645</v>
      </c>
      <c r="B717" s="4" t="str">
        <f>IFERROR(__xludf.DUMMYFUNCTION("""COMPUTED_VALUE"""),"Señal metalica TR-205")</f>
        <v>Señal metalica TR-205</v>
      </c>
      <c r="C717" s="4">
        <f>IFERROR(__xludf.DUMMYFUNCTION("""COMPUTED_VALUE"""),11.25)</f>
        <v>11.25</v>
      </c>
      <c r="D717" s="4">
        <f>IFERROR(__xludf.DUMMYFUNCTION("""COMPUTED_VALUE"""),7.5)</f>
        <v>7.5</v>
      </c>
      <c r="E717" s="4" t="str">
        <f>IFERROR(__xludf.DUMMYFUNCTION("""COMPUTED_VALUE"""),"Neto G.C.: 7,50 € (a partir de 1 uds.)")</f>
        <v>Neto G.C.: 7,50 € (a partir de 1 uds.)</v>
      </c>
    </row>
    <row r="718">
      <c r="A718" s="4" t="str">
        <f>IFERROR(__xludf.DUMMYFUNCTION("""COMPUTED_VALUE"""),"0645D")</f>
        <v>0645D</v>
      </c>
      <c r="B718" s="4" t="str">
        <f>IFERROR(__xludf.DUMMYFUNCTION("""COMPUTED_VALUE"""),"Señal metalica R-205")</f>
        <v>Señal metalica R-205</v>
      </c>
      <c r="C718" s="4">
        <f>IFERROR(__xludf.DUMMYFUNCTION("""COMPUTED_VALUE"""),11.25)</f>
        <v>11.25</v>
      </c>
      <c r="D718" s="4">
        <f>IFERROR(__xludf.DUMMYFUNCTION("""COMPUTED_VALUE"""),7.5)</f>
        <v>7.5</v>
      </c>
      <c r="E718" s="4" t="str">
        <f>IFERROR(__xludf.DUMMYFUNCTION("""COMPUTED_VALUE"""),"Neto G.C.: 7,50 € (a partir de 1 uds.)")</f>
        <v>Neto G.C.: 7,50 € (a partir de 1 uds.)</v>
      </c>
    </row>
    <row r="719">
      <c r="A719" s="4" t="str">
        <f>IFERROR(__xludf.DUMMYFUNCTION("""COMPUTED_VALUE"""),"647")</f>
        <v>647</v>
      </c>
      <c r="B719" s="4" t="str">
        <f>IFERROR(__xludf.DUMMYFUNCTION("""COMPUTED_VALUE"""),"Señal metalica TR-303")</f>
        <v>Señal metalica TR-303</v>
      </c>
      <c r="C719" s="4">
        <f>IFERROR(__xludf.DUMMYFUNCTION("""COMPUTED_VALUE"""),11.25)</f>
        <v>11.25</v>
      </c>
      <c r="D719" s="4">
        <f>IFERROR(__xludf.DUMMYFUNCTION("""COMPUTED_VALUE"""),7.5)</f>
        <v>7.5</v>
      </c>
      <c r="E719" s="4" t="str">
        <f>IFERROR(__xludf.DUMMYFUNCTION("""COMPUTED_VALUE"""),"Neto G.C.: 7,50 € (a partir de 1 uds.)")</f>
        <v>Neto G.C.: 7,50 € (a partir de 1 uds.)</v>
      </c>
    </row>
    <row r="720">
      <c r="A720" s="4" t="str">
        <f>IFERROR(__xludf.DUMMYFUNCTION("""COMPUTED_VALUE"""),"0647D")</f>
        <v>0647D</v>
      </c>
      <c r="B720" s="4" t="str">
        <f>IFERROR(__xludf.DUMMYFUNCTION("""COMPUTED_VALUE"""),"Señal metalica R-303")</f>
        <v>Señal metalica R-303</v>
      </c>
      <c r="C720" s="4">
        <f>IFERROR(__xludf.DUMMYFUNCTION("""COMPUTED_VALUE"""),11.25)</f>
        <v>11.25</v>
      </c>
      <c r="D720" s="4">
        <f>IFERROR(__xludf.DUMMYFUNCTION("""COMPUTED_VALUE"""),7.5)</f>
        <v>7.5</v>
      </c>
      <c r="E720" s="4" t="str">
        <f>IFERROR(__xludf.DUMMYFUNCTION("""COMPUTED_VALUE"""),"Neto G.C.: 7,50 € (a partir de 1 uds.)")</f>
        <v>Neto G.C.: 7,50 € (a partir de 1 uds.)</v>
      </c>
    </row>
    <row r="721">
      <c r="A721" s="4" t="str">
        <f>IFERROR(__xludf.DUMMYFUNCTION("""COMPUTED_VALUE"""),"648")</f>
        <v>648</v>
      </c>
      <c r="B721" s="4" t="str">
        <f>IFERROR(__xludf.DUMMYFUNCTION("""COMPUTED_VALUE"""),"Señal metalica TR-301/20")</f>
        <v>Señal metalica TR-301/20</v>
      </c>
      <c r="C721" s="4">
        <f>IFERROR(__xludf.DUMMYFUNCTION("""COMPUTED_VALUE"""),11.25)</f>
        <v>11.25</v>
      </c>
      <c r="D721" s="4">
        <f>IFERROR(__xludf.DUMMYFUNCTION("""COMPUTED_VALUE"""),7.5)</f>
        <v>7.5</v>
      </c>
      <c r="E721" s="4" t="str">
        <f>IFERROR(__xludf.DUMMYFUNCTION("""COMPUTED_VALUE"""),"Neto G.C.: 7,50 € (a partir de 1 uds.)")</f>
        <v>Neto G.C.: 7,50 € (a partir de 1 uds.)</v>
      </c>
    </row>
    <row r="722">
      <c r="A722" s="4" t="str">
        <f>IFERROR(__xludf.DUMMYFUNCTION("""COMPUTED_VALUE"""),"0648D")</f>
        <v>0648D</v>
      </c>
      <c r="B722" s="4" t="str">
        <f>IFERROR(__xludf.DUMMYFUNCTION("""COMPUTED_VALUE"""),"Señal metalica R-301/20")</f>
        <v>Señal metalica R-301/20</v>
      </c>
      <c r="C722" s="4">
        <f>IFERROR(__xludf.DUMMYFUNCTION("""COMPUTED_VALUE"""),11.25)</f>
        <v>11.25</v>
      </c>
      <c r="D722" s="4">
        <f>IFERROR(__xludf.DUMMYFUNCTION("""COMPUTED_VALUE"""),7.5)</f>
        <v>7.5</v>
      </c>
      <c r="E722" s="4" t="str">
        <f>IFERROR(__xludf.DUMMYFUNCTION("""COMPUTED_VALUE"""),"Neto G.C.: 7,50 € (a partir de 1 uds.)")</f>
        <v>Neto G.C.: 7,50 € (a partir de 1 uds.)</v>
      </c>
    </row>
    <row r="723">
      <c r="A723" s="4" t="str">
        <f>IFERROR(__xludf.DUMMYFUNCTION("""COMPUTED_VALUE"""),"649")</f>
        <v>649</v>
      </c>
      <c r="B723" s="4" t="str">
        <f>IFERROR(__xludf.DUMMYFUNCTION("""COMPUTED_VALUE"""),"Señal metalica TR-301/30")</f>
        <v>Señal metalica TR-301/30</v>
      </c>
      <c r="C723" s="4">
        <f>IFERROR(__xludf.DUMMYFUNCTION("""COMPUTED_VALUE"""),11.25)</f>
        <v>11.25</v>
      </c>
      <c r="D723" s="4">
        <f>IFERROR(__xludf.DUMMYFUNCTION("""COMPUTED_VALUE"""),7.5)</f>
        <v>7.5</v>
      </c>
      <c r="E723" s="4" t="str">
        <f>IFERROR(__xludf.DUMMYFUNCTION("""COMPUTED_VALUE"""),"Neto G.C.: 7,50 € (a partir de 1 uds.)")</f>
        <v>Neto G.C.: 7,50 € (a partir de 1 uds.)</v>
      </c>
    </row>
    <row r="724">
      <c r="A724" s="4" t="str">
        <f>IFERROR(__xludf.DUMMYFUNCTION("""COMPUTED_VALUE"""),"0649D")</f>
        <v>0649D</v>
      </c>
      <c r="B724" s="4" t="str">
        <f>IFERROR(__xludf.DUMMYFUNCTION("""COMPUTED_VALUE"""),"Señal metalica R-301/30")</f>
        <v>Señal metalica R-301/30</v>
      </c>
      <c r="C724" s="4">
        <f>IFERROR(__xludf.DUMMYFUNCTION("""COMPUTED_VALUE"""),11.25)</f>
        <v>11.25</v>
      </c>
      <c r="D724" s="4">
        <f>IFERROR(__xludf.DUMMYFUNCTION("""COMPUTED_VALUE"""),7.5)</f>
        <v>7.5</v>
      </c>
      <c r="E724" s="4" t="str">
        <f>IFERROR(__xludf.DUMMYFUNCTION("""COMPUTED_VALUE"""),"Neto G.C.: 7,50 € (a partir de 1 uds.)")</f>
        <v>Neto G.C.: 7,50 € (a partir de 1 uds.)</v>
      </c>
    </row>
    <row r="725">
      <c r="A725" s="4" t="str">
        <f>IFERROR(__xludf.DUMMYFUNCTION("""COMPUTED_VALUE"""),"650")</f>
        <v>650</v>
      </c>
      <c r="B725" s="4" t="str">
        <f>IFERROR(__xludf.DUMMYFUNCTION("""COMPUTED_VALUE"""),"Señal metalica TR-301/40")</f>
        <v>Señal metalica TR-301/40</v>
      </c>
      <c r="C725" s="4">
        <f>IFERROR(__xludf.DUMMYFUNCTION("""COMPUTED_VALUE"""),11.25)</f>
        <v>11.25</v>
      </c>
      <c r="D725" s="4">
        <f>IFERROR(__xludf.DUMMYFUNCTION("""COMPUTED_VALUE"""),7.5)</f>
        <v>7.5</v>
      </c>
      <c r="E725" s="4" t="str">
        <f>IFERROR(__xludf.DUMMYFUNCTION("""COMPUTED_VALUE"""),"Neto G.C.: 7,50 € (a partir de 1 uds.)")</f>
        <v>Neto G.C.: 7,50 € (a partir de 1 uds.)</v>
      </c>
    </row>
    <row r="726">
      <c r="A726" s="4" t="str">
        <f>IFERROR(__xludf.DUMMYFUNCTION("""COMPUTED_VALUE"""),"0650D")</f>
        <v>0650D</v>
      </c>
      <c r="B726" s="4" t="str">
        <f>IFERROR(__xludf.DUMMYFUNCTION("""COMPUTED_VALUE"""),"Señal metalica R301/40")</f>
        <v>Señal metalica R301/40</v>
      </c>
      <c r="C726" s="4">
        <f>IFERROR(__xludf.DUMMYFUNCTION("""COMPUTED_VALUE"""),11.25)</f>
        <v>11.25</v>
      </c>
      <c r="D726" s="4">
        <f>IFERROR(__xludf.DUMMYFUNCTION("""COMPUTED_VALUE"""),7.5)</f>
        <v>7.5</v>
      </c>
      <c r="E726" s="4" t="str">
        <f>IFERROR(__xludf.DUMMYFUNCTION("""COMPUTED_VALUE"""),"Neto G.C.: 7,50 € (a partir de 1 uds.)")</f>
        <v>Neto G.C.: 7,50 € (a partir de 1 uds.)</v>
      </c>
    </row>
    <row r="727">
      <c r="A727" s="4" t="str">
        <f>IFERROR(__xludf.DUMMYFUNCTION("""COMPUTED_VALUE"""),"651")</f>
        <v>651</v>
      </c>
      <c r="B727" s="4" t="str">
        <f>IFERROR(__xludf.DUMMYFUNCTION("""COMPUTED_VALUE"""),"Señal metalica TR-301/50")</f>
        <v>Señal metalica TR-301/50</v>
      </c>
      <c r="C727" s="4">
        <f>IFERROR(__xludf.DUMMYFUNCTION("""COMPUTED_VALUE"""),11.25)</f>
        <v>11.25</v>
      </c>
      <c r="D727" s="4">
        <f>IFERROR(__xludf.DUMMYFUNCTION("""COMPUTED_VALUE"""),7.5)</f>
        <v>7.5</v>
      </c>
      <c r="E727" s="4" t="str">
        <f>IFERROR(__xludf.DUMMYFUNCTION("""COMPUTED_VALUE"""),"Neto G.C.: 7,50 € (a partir de 1 uds.)")</f>
        <v>Neto G.C.: 7,50 € (a partir de 1 uds.)</v>
      </c>
    </row>
    <row r="728">
      <c r="A728" s="4" t="str">
        <f>IFERROR(__xludf.DUMMYFUNCTION("""COMPUTED_VALUE"""),"0651D")</f>
        <v>0651D</v>
      </c>
      <c r="B728" s="4" t="str">
        <f>IFERROR(__xludf.DUMMYFUNCTION("""COMPUTED_VALUE"""),"Señal metalica R-301/50")</f>
        <v>Señal metalica R-301/50</v>
      </c>
      <c r="C728" s="4">
        <f>IFERROR(__xludf.DUMMYFUNCTION("""COMPUTED_VALUE"""),11.25)</f>
        <v>11.25</v>
      </c>
      <c r="D728" s="4">
        <f>IFERROR(__xludf.DUMMYFUNCTION("""COMPUTED_VALUE"""),7.5)</f>
        <v>7.5</v>
      </c>
      <c r="E728" s="4" t="str">
        <f>IFERROR(__xludf.DUMMYFUNCTION("""COMPUTED_VALUE"""),"Neto G.C.: 7,50 € (a partir de 1 uds.)")</f>
        <v>Neto G.C.: 7,50 € (a partir de 1 uds.)</v>
      </c>
    </row>
    <row r="729">
      <c r="A729" s="4" t="str">
        <f>IFERROR(__xludf.DUMMYFUNCTION("""COMPUTED_VALUE"""),"652")</f>
        <v>652</v>
      </c>
      <c r="B729" s="4" t="str">
        <f>IFERROR(__xludf.DUMMYFUNCTION("""COMPUTED_VALUE"""),"Señal metalica TR-301/60")</f>
        <v>Señal metalica TR-301/60</v>
      </c>
      <c r="C729" s="4">
        <f>IFERROR(__xludf.DUMMYFUNCTION("""COMPUTED_VALUE"""),11.25)</f>
        <v>11.25</v>
      </c>
      <c r="D729" s="4">
        <f>IFERROR(__xludf.DUMMYFUNCTION("""COMPUTED_VALUE"""),7.5)</f>
        <v>7.5</v>
      </c>
      <c r="E729" s="4" t="str">
        <f>IFERROR(__xludf.DUMMYFUNCTION("""COMPUTED_VALUE"""),"Neto G.C.: 7,50 € (a partir de 1 uds.)")</f>
        <v>Neto G.C.: 7,50 € (a partir de 1 uds.)</v>
      </c>
    </row>
    <row r="730">
      <c r="A730" s="4" t="str">
        <f>IFERROR(__xludf.DUMMYFUNCTION("""COMPUTED_VALUE"""),"0652D")</f>
        <v>0652D</v>
      </c>
      <c r="B730" s="4" t="str">
        <f>IFERROR(__xludf.DUMMYFUNCTION("""COMPUTED_VALUE"""),"Señal metalica R-301/60")</f>
        <v>Señal metalica R-301/60</v>
      </c>
      <c r="C730" s="4">
        <f>IFERROR(__xludf.DUMMYFUNCTION("""COMPUTED_VALUE"""),11.25)</f>
        <v>11.25</v>
      </c>
      <c r="D730" s="4">
        <f>IFERROR(__xludf.DUMMYFUNCTION("""COMPUTED_VALUE"""),7.5)</f>
        <v>7.5</v>
      </c>
      <c r="E730" s="4" t="str">
        <f>IFERROR(__xludf.DUMMYFUNCTION("""COMPUTED_VALUE"""),"Neto G.C.: 7,50 € (a partir de 1 uds.)")</f>
        <v>Neto G.C.: 7,50 € (a partir de 1 uds.)</v>
      </c>
    </row>
    <row r="731">
      <c r="A731" s="4" t="str">
        <f>IFERROR(__xludf.DUMMYFUNCTION("""COMPUTED_VALUE"""),"653")</f>
        <v>653</v>
      </c>
      <c r="B731" s="4" t="str">
        <f>IFERROR(__xludf.DUMMYFUNCTION("""COMPUTED_VALUE"""),"Señal metalica R-307")</f>
        <v>Señal metalica R-307</v>
      </c>
      <c r="C731" s="4">
        <f>IFERROR(__xludf.DUMMYFUNCTION("""COMPUTED_VALUE"""),11.25)</f>
        <v>11.25</v>
      </c>
      <c r="D731" s="4">
        <f>IFERROR(__xludf.DUMMYFUNCTION("""COMPUTED_VALUE"""),7.5)</f>
        <v>7.5</v>
      </c>
      <c r="E731" s="4" t="str">
        <f>IFERROR(__xludf.DUMMYFUNCTION("""COMPUTED_VALUE"""),"Neto G.C.: 7,50 € (a partir de 1 uds.)")</f>
        <v>Neto G.C.: 7,50 € (a partir de 1 uds.)</v>
      </c>
    </row>
    <row r="732">
      <c r="A732" s="4" t="str">
        <f>IFERROR(__xludf.DUMMYFUNCTION("""COMPUTED_VALUE"""),"654")</f>
        <v>654</v>
      </c>
      <c r="B732" s="4" t="str">
        <f>IFERROR(__xludf.DUMMYFUNCTION("""COMPUTED_VALUE"""),"Señal metalica TR-301/10")</f>
        <v>Señal metalica TR-301/10</v>
      </c>
      <c r="C732" s="4">
        <f>IFERROR(__xludf.DUMMYFUNCTION("""COMPUTED_VALUE"""),11.25)</f>
        <v>11.25</v>
      </c>
      <c r="D732" s="4">
        <f>IFERROR(__xludf.DUMMYFUNCTION("""COMPUTED_VALUE"""),7.5)</f>
        <v>7.5</v>
      </c>
      <c r="E732" s="4" t="str">
        <f>IFERROR(__xludf.DUMMYFUNCTION("""COMPUTED_VALUE"""),"Neto G.C.: 7,50 € (a partir de 1 uds.)")</f>
        <v>Neto G.C.: 7,50 € (a partir de 1 uds.)</v>
      </c>
    </row>
    <row r="733">
      <c r="A733" s="4" t="str">
        <f>IFERROR(__xludf.DUMMYFUNCTION("""COMPUTED_VALUE"""),"655")</f>
        <v>655</v>
      </c>
      <c r="B733" s="4" t="str">
        <f>IFERROR(__xludf.DUMMYFUNCTION("""COMPUTED_VALUE"""),"Señal metalica Minusvalidos M-2")</f>
        <v>Señal metalica Minusvalidos M-2</v>
      </c>
      <c r="C733" s="4">
        <f>IFERROR(__xludf.DUMMYFUNCTION("""COMPUTED_VALUE"""),11.25)</f>
        <v>11.25</v>
      </c>
      <c r="D733" s="4">
        <f>IFERROR(__xludf.DUMMYFUNCTION("""COMPUTED_VALUE"""),7.5)</f>
        <v>7.5</v>
      </c>
      <c r="E733" s="4" t="str">
        <f>IFERROR(__xludf.DUMMYFUNCTION("""COMPUTED_VALUE"""),"Neto G.C.: 7,50 € (a partir de 1 uds.)")</f>
        <v>Neto G.C.: 7,50 € (a partir de 1 uds.)</v>
      </c>
    </row>
    <row r="734">
      <c r="A734" s="4" t="str">
        <f>IFERROR(__xludf.DUMMYFUNCTION("""COMPUTED_VALUE"""),"656")</f>
        <v>656</v>
      </c>
      <c r="B734" s="4" t="str">
        <f>IFERROR(__xludf.DUMMYFUNCTION("""COMPUTED_VALUE"""),"Señal metalica TR-302")</f>
        <v>Señal metalica TR-302</v>
      </c>
      <c r="C734" s="4">
        <f>IFERROR(__xludf.DUMMYFUNCTION("""COMPUTED_VALUE"""),11.25)</f>
        <v>11.25</v>
      </c>
      <c r="D734" s="4">
        <f>IFERROR(__xludf.DUMMYFUNCTION("""COMPUTED_VALUE"""),7.5)</f>
        <v>7.5</v>
      </c>
      <c r="E734" s="4" t="str">
        <f>IFERROR(__xludf.DUMMYFUNCTION("""COMPUTED_VALUE"""),"Neto G.C.: 7,50 € (a partir de 1 uds.)")</f>
        <v>Neto G.C.: 7,50 € (a partir de 1 uds.)</v>
      </c>
    </row>
    <row r="735">
      <c r="A735" s="4" t="str">
        <f>IFERROR(__xludf.DUMMYFUNCTION("""COMPUTED_VALUE"""),"0656D")</f>
        <v>0656D</v>
      </c>
      <c r="B735" s="4" t="str">
        <f>IFERROR(__xludf.DUMMYFUNCTION("""COMPUTED_VALUE"""),"Señal metalica R-302")</f>
        <v>Señal metalica R-302</v>
      </c>
      <c r="C735" s="4">
        <f>IFERROR(__xludf.DUMMYFUNCTION("""COMPUTED_VALUE"""),11.25)</f>
        <v>11.25</v>
      </c>
      <c r="D735" s="4">
        <f>IFERROR(__xludf.DUMMYFUNCTION("""COMPUTED_VALUE"""),7.5)</f>
        <v>7.5</v>
      </c>
      <c r="E735" s="4" t="str">
        <f>IFERROR(__xludf.DUMMYFUNCTION("""COMPUTED_VALUE"""),"Neto G.C.: 7,50 € (a partir de 1 uds.)")</f>
        <v>Neto G.C.: 7,50 € (a partir de 1 uds.)</v>
      </c>
    </row>
    <row r="736">
      <c r="A736" s="4" t="str">
        <f>IFERROR(__xludf.DUMMYFUNCTION("""COMPUTED_VALUE"""),"657")</f>
        <v>657</v>
      </c>
      <c r="B736" s="4" t="str">
        <f>IFERROR(__xludf.DUMMYFUNCTION("""COMPUTED_VALUE"""),"Señal metalica TR-306")</f>
        <v>Señal metalica TR-306</v>
      </c>
      <c r="C736" s="4">
        <f>IFERROR(__xludf.DUMMYFUNCTION("""COMPUTED_VALUE"""),11.25)</f>
        <v>11.25</v>
      </c>
      <c r="D736" s="4">
        <f>IFERROR(__xludf.DUMMYFUNCTION("""COMPUTED_VALUE"""),7.5)</f>
        <v>7.5</v>
      </c>
      <c r="E736" s="4" t="str">
        <f>IFERROR(__xludf.DUMMYFUNCTION("""COMPUTED_VALUE"""),"Neto G.C.: 7,50 € (a partir de 1 uds.)")</f>
        <v>Neto G.C.: 7,50 € (a partir de 1 uds.)</v>
      </c>
    </row>
    <row r="737">
      <c r="A737" s="4" t="str">
        <f>IFERROR(__xludf.DUMMYFUNCTION("""COMPUTED_VALUE"""),"0657D")</f>
        <v>0657D</v>
      </c>
      <c r="B737" s="4" t="str">
        <f>IFERROR(__xludf.DUMMYFUNCTION("""COMPUTED_VALUE"""),"Señal metalica R-306")</f>
        <v>Señal metalica R-306</v>
      </c>
      <c r="C737" s="4">
        <f>IFERROR(__xludf.DUMMYFUNCTION("""COMPUTED_VALUE"""),11.25)</f>
        <v>11.25</v>
      </c>
      <c r="D737" s="4">
        <f>IFERROR(__xludf.DUMMYFUNCTION("""COMPUTED_VALUE"""),7.5)</f>
        <v>7.5</v>
      </c>
      <c r="E737" s="4" t="str">
        <f>IFERROR(__xludf.DUMMYFUNCTION("""COMPUTED_VALUE"""),"Neto G.C.: 7,50 € (a partir de 1 uds.)")</f>
        <v>Neto G.C.: 7,50 € (a partir de 1 uds.)</v>
      </c>
    </row>
    <row r="738">
      <c r="A738" s="4" t="str">
        <f>IFERROR(__xludf.DUMMYFUNCTION("""COMPUTED_VALUE"""),"658")</f>
        <v>658</v>
      </c>
      <c r="B738" s="4" t="str">
        <f>IFERROR(__xludf.DUMMYFUNCTION("""COMPUTED_VALUE"""),"Soporte pared 60 mm para señal MOPU")</f>
        <v>Soporte pared 60 mm para señal MOPU</v>
      </c>
      <c r="C738" s="4">
        <f>IFERROR(__xludf.DUMMYFUNCTION("""COMPUTED_VALUE"""),17.0)</f>
        <v>17</v>
      </c>
      <c r="D738" s="4"/>
      <c r="E738" s="4" t="str">
        <f>IFERROR(__xludf.DUMMYFUNCTION("""COMPUTED_VALUE"""),"Sin precio neto G.C.")</f>
        <v>Sin precio neto G.C.</v>
      </c>
    </row>
    <row r="739">
      <c r="A739" s="4" t="str">
        <f>IFERROR(__xludf.DUMMYFUNCTION("""COMPUTED_VALUE"""),"661")</f>
        <v>661</v>
      </c>
      <c r="B739" s="4" t="str">
        <f>IFERROR(__xludf.DUMMYFUNCTION("""COMPUTED_VALUE"""),"Señal metalica R2 Stop")</f>
        <v>Señal metalica R2 Stop</v>
      </c>
      <c r="C739" s="4">
        <f>IFERROR(__xludf.DUMMYFUNCTION("""COMPUTED_VALUE"""),11.25)</f>
        <v>11.25</v>
      </c>
      <c r="D739" s="4">
        <f>IFERROR(__xludf.DUMMYFUNCTION("""COMPUTED_VALUE"""),7.5)</f>
        <v>7.5</v>
      </c>
      <c r="E739" s="4" t="str">
        <f>IFERROR(__xludf.DUMMYFUNCTION("""COMPUTED_VALUE"""),"Neto G.C.: 7,50 € (a partir de 1 uds.)")</f>
        <v>Neto G.C.: 7,50 € (a partir de 1 uds.)</v>
      </c>
    </row>
    <row r="740">
      <c r="A740" s="4" t="str">
        <f>IFERROR(__xludf.DUMMYFUNCTION("""COMPUTED_VALUE"""),"0661V")</f>
        <v>0661V</v>
      </c>
      <c r="B740" s="4" t="str">
        <f>IFERROR(__xludf.DUMMYFUNCTION("""COMPUTED_VALUE"""),"Vinilo adhesivo suelo STOP 40 cm")</f>
        <v>Vinilo adhesivo suelo STOP 40 cm</v>
      </c>
      <c r="C740" s="4">
        <f>IFERROR(__xludf.DUMMYFUNCTION("""COMPUTED_VALUE"""),6.15)</f>
        <v>6.15</v>
      </c>
      <c r="D740" s="4"/>
      <c r="E740" s="4" t="str">
        <f>IFERROR(__xludf.DUMMYFUNCTION("""COMPUTED_VALUE"""),"Sin precio neto G.C.")</f>
        <v>Sin precio neto G.C.</v>
      </c>
    </row>
    <row r="741">
      <c r="A741" s="4" t="str">
        <f>IFERROR(__xludf.DUMMYFUNCTION("""COMPUTED_VALUE"""),"662")</f>
        <v>662</v>
      </c>
      <c r="B741" s="4" t="str">
        <f>IFERROR(__xludf.DUMMYFUNCTION("""COMPUTED_VALUE"""),"Señal metalica R-308")</f>
        <v>Señal metalica R-308</v>
      </c>
      <c r="C741" s="4">
        <f>IFERROR(__xludf.DUMMYFUNCTION("""COMPUTED_VALUE"""),11.25)</f>
        <v>11.25</v>
      </c>
      <c r="D741" s="4">
        <f>IFERROR(__xludf.DUMMYFUNCTION("""COMPUTED_VALUE"""),7.5)</f>
        <v>7.5</v>
      </c>
      <c r="E741" s="4" t="str">
        <f>IFERROR(__xludf.DUMMYFUNCTION("""COMPUTED_VALUE"""),"Neto G.C.: 7,50 € (a partir de 1 uds.)")</f>
        <v>Neto G.C.: 7,50 € (a partir de 1 uds.)</v>
      </c>
    </row>
    <row r="742">
      <c r="A742" s="4" t="str">
        <f>IFERROR(__xludf.DUMMYFUNCTION("""COMPUTED_VALUE"""),"663")</f>
        <v>663</v>
      </c>
      <c r="B742" s="4" t="str">
        <f>IFERROR(__xludf.DUMMYFUNCTION("""COMPUTED_VALUE"""),"Señal metalica TR-400a")</f>
        <v>Señal metalica TR-400a</v>
      </c>
      <c r="C742" s="4">
        <f>IFERROR(__xludf.DUMMYFUNCTION("""COMPUTED_VALUE"""),11.25)</f>
        <v>11.25</v>
      </c>
      <c r="D742" s="4">
        <f>IFERROR(__xludf.DUMMYFUNCTION("""COMPUTED_VALUE"""),7.5)</f>
        <v>7.5</v>
      </c>
      <c r="E742" s="4" t="str">
        <f>IFERROR(__xludf.DUMMYFUNCTION("""COMPUTED_VALUE"""),"Neto G.C.: 7,50 € (a partir de 1 uds.)")</f>
        <v>Neto G.C.: 7,50 € (a partir de 1 uds.)</v>
      </c>
    </row>
    <row r="743">
      <c r="A743" s="4" t="str">
        <f>IFERROR(__xludf.DUMMYFUNCTION("""COMPUTED_VALUE"""),"664")</f>
        <v>664</v>
      </c>
      <c r="B743" s="4" t="str">
        <f>IFERROR(__xludf.DUMMYFUNCTION("""COMPUTED_VALUE"""),"Señal metalica R-400a")</f>
        <v>Señal metalica R-400a</v>
      </c>
      <c r="C743" s="4">
        <f>IFERROR(__xludf.DUMMYFUNCTION("""COMPUTED_VALUE"""),11.25)</f>
        <v>11.25</v>
      </c>
      <c r="D743" s="4">
        <f>IFERROR(__xludf.DUMMYFUNCTION("""COMPUTED_VALUE"""),7.5)</f>
        <v>7.5</v>
      </c>
      <c r="E743" s="4" t="str">
        <f>IFERROR(__xludf.DUMMYFUNCTION("""COMPUTED_VALUE"""),"Neto G.C.: 7,50 € (a partir de 1 uds.)")</f>
        <v>Neto G.C.: 7,50 € (a partir de 1 uds.)</v>
      </c>
    </row>
    <row r="744">
      <c r="A744" s="4" t="str">
        <f>IFERROR(__xludf.DUMMYFUNCTION("""COMPUTED_VALUE"""),"0664V")</f>
        <v>0664V</v>
      </c>
      <c r="B744" s="4" t="str">
        <f>IFERROR(__xludf.DUMMYFUNCTION("""COMPUTED_VALUE"""),"Vinilo adhesivo suelo Dirección oblig. 40cm")</f>
        <v>Vinilo adhesivo suelo Dirección oblig. 40cm</v>
      </c>
      <c r="C744" s="4">
        <f>IFERROR(__xludf.DUMMYFUNCTION("""COMPUTED_VALUE"""),6.15)</f>
        <v>6.15</v>
      </c>
      <c r="D744" s="4"/>
      <c r="E744" s="4" t="str">
        <f>IFERROR(__xludf.DUMMYFUNCTION("""COMPUTED_VALUE"""),"Sin precio neto G.C.")</f>
        <v>Sin precio neto G.C.</v>
      </c>
    </row>
    <row r="745">
      <c r="A745" s="4" t="str">
        <f>IFERROR(__xludf.DUMMYFUNCTION("""COMPUTED_VALUE"""),"665")</f>
        <v>665</v>
      </c>
      <c r="B745" s="4" t="str">
        <f>IFERROR(__xludf.DUMMYFUNCTION("""COMPUTED_VALUE"""),"Señal metalica S-17 Parking")</f>
        <v>Señal metalica S-17 Parking</v>
      </c>
      <c r="C745" s="4">
        <f>IFERROR(__xludf.DUMMYFUNCTION("""COMPUTED_VALUE"""),11.25)</f>
        <v>11.25</v>
      </c>
      <c r="D745" s="4">
        <f>IFERROR(__xludf.DUMMYFUNCTION("""COMPUTED_VALUE"""),7.5)</f>
        <v>7.5</v>
      </c>
      <c r="E745" s="4" t="str">
        <f>IFERROR(__xludf.DUMMYFUNCTION("""COMPUTED_VALUE"""),"Neto G.C.: 7,50 € (a partir de 1 uds.)")</f>
        <v>Neto G.C.: 7,50 € (a partir de 1 uds.)</v>
      </c>
    </row>
    <row r="746">
      <c r="A746" s="4" t="str">
        <f>IFERROR(__xludf.DUMMYFUNCTION("""COMPUTED_VALUE"""),"666")</f>
        <v>666</v>
      </c>
      <c r="B746" s="4" t="str">
        <f>IFERROR(__xludf.DUMMYFUNCTION("""COMPUTED_VALUE"""),"Señal metalica S-15a Calle Cortada")</f>
        <v>Señal metalica S-15a Calle Cortada</v>
      </c>
      <c r="C746" s="4">
        <f>IFERROR(__xludf.DUMMYFUNCTION("""COMPUTED_VALUE"""),11.25)</f>
        <v>11.25</v>
      </c>
      <c r="D746" s="4">
        <f>IFERROR(__xludf.DUMMYFUNCTION("""COMPUTED_VALUE"""),7.5)</f>
        <v>7.5</v>
      </c>
      <c r="E746" s="4" t="str">
        <f>IFERROR(__xludf.DUMMYFUNCTION("""COMPUTED_VALUE"""),"Neto G.C.: 7,50 € (a partir de 1 uds.)")</f>
        <v>Neto G.C.: 7,50 € (a partir de 1 uds.)</v>
      </c>
    </row>
    <row r="747">
      <c r="A747" s="4" t="str">
        <f>IFERROR(__xludf.DUMMYFUNCTION("""COMPUTED_VALUE"""),"667")</f>
        <v>667</v>
      </c>
      <c r="B747" s="4" t="str">
        <f>IFERROR(__xludf.DUMMYFUNCTION("""COMPUTED_VALUE"""),"Placa carga Sobresaliente V20 50x50")</f>
        <v>Placa carga Sobresaliente V20 50x50</v>
      </c>
      <c r="C747" s="4">
        <f>IFERROR(__xludf.DUMMYFUNCTION("""COMPUTED_VALUE"""),19.5)</f>
        <v>19.5</v>
      </c>
      <c r="D747" s="4">
        <f>IFERROR(__xludf.DUMMYFUNCTION("""COMPUTED_VALUE"""),17.8)</f>
        <v>17.8</v>
      </c>
      <c r="E747" s="4" t="str">
        <f>IFERROR(__xludf.DUMMYFUNCTION("""COMPUTED_VALUE"""),"Neto G.C.: 17,80 € (a partir de 10 uds.)")</f>
        <v>Neto G.C.: 17,80 € (a partir de 10 uds.)</v>
      </c>
    </row>
    <row r="748">
      <c r="A748" s="4" t="str">
        <f>IFERROR(__xludf.DUMMYFUNCTION("""COMPUTED_VALUE"""),"668")</f>
        <v>668</v>
      </c>
      <c r="B748" s="4" t="str">
        <f>IFERROR(__xludf.DUMMYFUNCTION("""COMPUTED_VALUE"""),"Señal metalica R-101")</f>
        <v>Señal metalica R-101</v>
      </c>
      <c r="C748" s="4">
        <f>IFERROR(__xludf.DUMMYFUNCTION("""COMPUTED_VALUE"""),11.25)</f>
        <v>11.25</v>
      </c>
      <c r="D748" s="4">
        <f>IFERROR(__xludf.DUMMYFUNCTION("""COMPUTED_VALUE"""),7.5)</f>
        <v>7.5</v>
      </c>
      <c r="E748" s="4" t="str">
        <f>IFERROR(__xludf.DUMMYFUNCTION("""COMPUTED_VALUE"""),"Neto G.C.: 7,50 € (a partir de 1 uds.)")</f>
        <v>Neto G.C.: 7,50 € (a partir de 1 uds.)</v>
      </c>
    </row>
    <row r="749">
      <c r="A749" s="4" t="str">
        <f>IFERROR(__xludf.DUMMYFUNCTION("""COMPUTED_VALUE"""),"670")</f>
        <v>670</v>
      </c>
      <c r="B749" s="4" t="str">
        <f>IFERROR(__xludf.DUMMYFUNCTION("""COMPUTED_VALUE"""),"Señal metalica TR-5")</f>
        <v>Señal metalica TR-5</v>
      </c>
      <c r="C749" s="4">
        <f>IFERROR(__xludf.DUMMYFUNCTION("""COMPUTED_VALUE"""),11.25)</f>
        <v>11.25</v>
      </c>
      <c r="D749" s="4">
        <f>IFERROR(__xludf.DUMMYFUNCTION("""COMPUTED_VALUE"""),7.5)</f>
        <v>7.5</v>
      </c>
      <c r="E749" s="4" t="str">
        <f>IFERROR(__xludf.DUMMYFUNCTION("""COMPUTED_VALUE"""),"Neto G.C.: 7,50 € (a partir de 1 uds.)")</f>
        <v>Neto G.C.: 7,50 € (a partir de 1 uds.)</v>
      </c>
    </row>
    <row r="750">
      <c r="A750" s="4" t="str">
        <f>IFERROR(__xludf.DUMMYFUNCTION("""COMPUTED_VALUE"""),"0670D")</f>
        <v>0670D</v>
      </c>
      <c r="B750" s="4" t="str">
        <f>IFERROR(__xludf.DUMMYFUNCTION("""COMPUTED_VALUE"""),"Señal metalica R-5")</f>
        <v>Señal metalica R-5</v>
      </c>
      <c r="C750" s="4">
        <f>IFERROR(__xludf.DUMMYFUNCTION("""COMPUTED_VALUE"""),11.25)</f>
        <v>11.25</v>
      </c>
      <c r="D750" s="4">
        <f>IFERROR(__xludf.DUMMYFUNCTION("""COMPUTED_VALUE"""),7.5)</f>
        <v>7.5</v>
      </c>
      <c r="E750" s="4" t="str">
        <f>IFERROR(__xludf.DUMMYFUNCTION("""COMPUTED_VALUE"""),"Neto G.C.: 7,50 € (a partir de 1 uds.)")</f>
        <v>Neto G.C.: 7,50 € (a partir de 1 uds.)</v>
      </c>
    </row>
    <row r="751">
      <c r="A751" s="4" t="str">
        <f>IFERROR(__xludf.DUMMYFUNCTION("""COMPUTED_VALUE"""),"671")</f>
        <v>671</v>
      </c>
      <c r="B751" s="4" t="str">
        <f>IFERROR(__xludf.DUMMYFUNCTION("""COMPUTED_VALUE"""),"Señal metalica TR-500")</f>
        <v>Señal metalica TR-500</v>
      </c>
      <c r="C751" s="4">
        <f>IFERROR(__xludf.DUMMYFUNCTION("""COMPUTED_VALUE"""),11.25)</f>
        <v>11.25</v>
      </c>
      <c r="D751" s="4">
        <f>IFERROR(__xludf.DUMMYFUNCTION("""COMPUTED_VALUE"""),7.5)</f>
        <v>7.5</v>
      </c>
      <c r="E751" s="4" t="str">
        <f>IFERROR(__xludf.DUMMYFUNCTION("""COMPUTED_VALUE"""),"Neto G.C.: 7,50 € (a partir de 1 uds.)")</f>
        <v>Neto G.C.: 7,50 € (a partir de 1 uds.)</v>
      </c>
    </row>
    <row r="752">
      <c r="A752" s="4" t="str">
        <f>IFERROR(__xludf.DUMMYFUNCTION("""COMPUTED_VALUE"""),"0671D")</f>
        <v>0671D</v>
      </c>
      <c r="B752" s="4" t="str">
        <f>IFERROR(__xludf.DUMMYFUNCTION("""COMPUTED_VALUE"""),"Señal metalica R-500")</f>
        <v>Señal metalica R-500</v>
      </c>
      <c r="C752" s="4">
        <f>IFERROR(__xludf.DUMMYFUNCTION("""COMPUTED_VALUE"""),11.25)</f>
        <v>11.25</v>
      </c>
      <c r="D752" s="4">
        <f>IFERROR(__xludf.DUMMYFUNCTION("""COMPUTED_VALUE"""),7.5)</f>
        <v>7.5</v>
      </c>
      <c r="E752" s="4" t="str">
        <f>IFERROR(__xludf.DUMMYFUNCTION("""COMPUTED_VALUE"""),"Neto G.C.: 7,50 € (a partir de 1 uds.)")</f>
        <v>Neto G.C.: 7,50 € (a partir de 1 uds.)</v>
      </c>
    </row>
    <row r="753">
      <c r="A753" s="4" t="str">
        <f>IFERROR(__xludf.DUMMYFUNCTION("""COMPUTED_VALUE"""),"672")</f>
        <v>672</v>
      </c>
      <c r="B753" s="4" t="str">
        <f>IFERROR(__xludf.DUMMYFUNCTION("""COMPUTED_VALUE"""),"Señal metalica TR-502")</f>
        <v>Señal metalica TR-502</v>
      </c>
      <c r="C753" s="4">
        <f>IFERROR(__xludf.DUMMYFUNCTION("""COMPUTED_VALUE"""),11.25)</f>
        <v>11.25</v>
      </c>
      <c r="D753" s="4">
        <f>IFERROR(__xludf.DUMMYFUNCTION("""COMPUTED_VALUE"""),7.5)</f>
        <v>7.5</v>
      </c>
      <c r="E753" s="4" t="str">
        <f>IFERROR(__xludf.DUMMYFUNCTION("""COMPUTED_VALUE"""),"Neto G.C.: 7,50 € (a partir de 1 uds.)")</f>
        <v>Neto G.C.: 7,50 € (a partir de 1 uds.)</v>
      </c>
    </row>
    <row r="754">
      <c r="A754" s="4" t="str">
        <f>IFERROR(__xludf.DUMMYFUNCTION("""COMPUTED_VALUE"""),"0672D")</f>
        <v>0672D</v>
      </c>
      <c r="B754" s="4" t="str">
        <f>IFERROR(__xludf.DUMMYFUNCTION("""COMPUTED_VALUE"""),"Señal metalica R-502")</f>
        <v>Señal metalica R-502</v>
      </c>
      <c r="C754" s="4">
        <f>IFERROR(__xludf.DUMMYFUNCTION("""COMPUTED_VALUE"""),11.25)</f>
        <v>11.25</v>
      </c>
      <c r="D754" s="4">
        <f>IFERROR(__xludf.DUMMYFUNCTION("""COMPUTED_VALUE"""),7.5)</f>
        <v>7.5</v>
      </c>
      <c r="E754" s="4" t="str">
        <f>IFERROR(__xludf.DUMMYFUNCTION("""COMPUTED_VALUE"""),"Neto G.C.: 7,50 € (a partir de 1 uds.)")</f>
        <v>Neto G.C.: 7,50 € (a partir de 1 uds.)</v>
      </c>
    </row>
    <row r="755">
      <c r="A755" s="4" t="str">
        <f>IFERROR(__xludf.DUMMYFUNCTION("""COMPUTED_VALUE"""),"673")</f>
        <v>673</v>
      </c>
      <c r="B755" s="4" t="str">
        <f>IFERROR(__xludf.DUMMYFUNCTION("""COMPUTED_VALUE"""),"Señal metalica P-20")</f>
        <v>Señal metalica P-20</v>
      </c>
      <c r="C755" s="4">
        <f>IFERROR(__xludf.DUMMYFUNCTION("""COMPUTED_VALUE"""),11.25)</f>
        <v>11.25</v>
      </c>
      <c r="D755" s="4">
        <f>IFERROR(__xludf.DUMMYFUNCTION("""COMPUTED_VALUE"""),7.5)</f>
        <v>7.5</v>
      </c>
      <c r="E755" s="4" t="str">
        <f>IFERROR(__xludf.DUMMYFUNCTION("""COMPUTED_VALUE"""),"Neto G.C.: 7,50 € (a partir de 1 uds.)")</f>
        <v>Neto G.C.: 7,50 € (a partir de 1 uds.)</v>
      </c>
    </row>
    <row r="756">
      <c r="A756" s="4" t="str">
        <f>IFERROR(__xludf.DUMMYFUNCTION("""COMPUTED_VALUE"""),"0673D")</f>
        <v>0673D</v>
      </c>
      <c r="B756" s="4" t="str">
        <f>IFERROR(__xludf.DUMMYFUNCTION("""COMPUTED_VALUE"""),"Señal metalica P-20")</f>
        <v>Señal metalica P-20</v>
      </c>
      <c r="C756" s="4">
        <f>IFERROR(__xludf.DUMMYFUNCTION("""COMPUTED_VALUE"""),11.25)</f>
        <v>11.25</v>
      </c>
      <c r="D756" s="4">
        <f>IFERROR(__xludf.DUMMYFUNCTION("""COMPUTED_VALUE"""),7.5)</f>
        <v>7.5</v>
      </c>
      <c r="E756" s="4" t="str">
        <f>IFERROR(__xludf.DUMMYFUNCTION("""COMPUTED_VALUE"""),"Neto G.C.: 7,50 € (a partir de 1 uds.)")</f>
        <v>Neto G.C.: 7,50 € (a partir de 1 uds.)</v>
      </c>
    </row>
    <row r="757">
      <c r="A757" s="4" t="str">
        <f>IFERROR(__xludf.DUMMYFUNCTION("""COMPUTED_VALUE"""),"674")</f>
        <v>674</v>
      </c>
      <c r="B757" s="4" t="str">
        <f>IFERROR(__xludf.DUMMYFUNCTION("""COMPUTED_VALUE"""),"Señal metalica TR-503")</f>
        <v>Señal metalica TR-503</v>
      </c>
      <c r="C757" s="4">
        <f>IFERROR(__xludf.DUMMYFUNCTION("""COMPUTED_VALUE"""),11.25)</f>
        <v>11.25</v>
      </c>
      <c r="D757" s="4">
        <f>IFERROR(__xludf.DUMMYFUNCTION("""COMPUTED_VALUE"""),7.5)</f>
        <v>7.5</v>
      </c>
      <c r="E757" s="4" t="str">
        <f>IFERROR(__xludf.DUMMYFUNCTION("""COMPUTED_VALUE"""),"Neto G.C.: 7,50 € (a partir de 1 uds.)")</f>
        <v>Neto G.C.: 7,50 € (a partir de 1 uds.)</v>
      </c>
    </row>
    <row r="758">
      <c r="A758" s="4" t="str">
        <f>IFERROR(__xludf.DUMMYFUNCTION("""COMPUTED_VALUE"""),"0674D")</f>
        <v>0674D</v>
      </c>
      <c r="B758" s="4" t="str">
        <f>IFERROR(__xludf.DUMMYFUNCTION("""COMPUTED_VALUE"""),"Señal metalica R-503")</f>
        <v>Señal metalica R-503</v>
      </c>
      <c r="C758" s="4">
        <f>IFERROR(__xludf.DUMMYFUNCTION("""COMPUTED_VALUE"""),11.25)</f>
        <v>11.25</v>
      </c>
      <c r="D758" s="4">
        <f>IFERROR(__xludf.DUMMYFUNCTION("""COMPUTED_VALUE"""),7.5)</f>
        <v>7.5</v>
      </c>
      <c r="E758" s="4" t="str">
        <f>IFERROR(__xludf.DUMMYFUNCTION("""COMPUTED_VALUE"""),"Neto G.C.: 7,50 € (a partir de 1 uds.)")</f>
        <v>Neto G.C.: 7,50 € (a partir de 1 uds.)</v>
      </c>
    </row>
    <row r="759">
      <c r="A759" s="4" t="str">
        <f>IFERROR(__xludf.DUMMYFUNCTION("""COMPUTED_VALUE"""),"0674E")</f>
        <v>0674E</v>
      </c>
      <c r="B759" s="4" t="str">
        <f>IFERROR(__xludf.DUMMYFUNCTION("""COMPUTED_VALUE"""),"Señal 50 cm económica recarga eléctrica")</f>
        <v>Señal 50 cm económica recarga eléctrica</v>
      </c>
      <c r="C759" s="4">
        <f>IFERROR(__xludf.DUMMYFUNCTION("""COMPUTED_VALUE"""),11.25)</f>
        <v>11.25</v>
      </c>
      <c r="D759" s="4">
        <f>IFERROR(__xludf.DUMMYFUNCTION("""COMPUTED_VALUE"""),7.5)</f>
        <v>7.5</v>
      </c>
      <c r="E759" s="4" t="str">
        <f>IFERROR(__xludf.DUMMYFUNCTION("""COMPUTED_VALUE"""),"Neto G.C.: 7,50 € (a partir de 1 uds.)")</f>
        <v>Neto G.C.: 7,50 € (a partir de 1 uds.)</v>
      </c>
    </row>
    <row r="760">
      <c r="A760" s="4" t="str">
        <f>IFERROR(__xludf.DUMMYFUNCTION("""COMPUTED_VALUE"""),"0674P")</f>
        <v>0674P</v>
      </c>
      <c r="B760" s="4" t="str">
        <f>IFERROR(__xludf.DUMMYFUNCTION("""COMPUTED_VALUE"""),"Señal metálica económica ALTO POLICIA")</f>
        <v>Señal metálica económica ALTO POLICIA</v>
      </c>
      <c r="C760" s="4">
        <f>IFERROR(__xludf.DUMMYFUNCTION("""COMPUTED_VALUE"""),11.25)</f>
        <v>11.25</v>
      </c>
      <c r="D760" s="4">
        <f>IFERROR(__xludf.DUMMYFUNCTION("""COMPUTED_VALUE"""),7.5)</f>
        <v>7.5</v>
      </c>
      <c r="E760" s="4" t="str">
        <f>IFERROR(__xludf.DUMMYFUNCTION("""COMPUTED_VALUE"""),"Neto G.C.: 7,50 € (a partir de 1 uds.)")</f>
        <v>Neto G.C.: 7,50 € (a partir de 1 uds.)</v>
      </c>
    </row>
    <row r="761">
      <c r="A761" s="4" t="str">
        <f>IFERROR(__xludf.DUMMYFUNCTION("""COMPUTED_VALUE"""),"675")</f>
        <v>675</v>
      </c>
      <c r="B761" s="4" t="str">
        <f>IFERROR(__xludf.DUMMYFUNCTION("""COMPUTED_VALUE"""),"Tripode tubular naranja señal metalica mod. A")</f>
        <v>Tripode tubular naranja señal metalica mod. A</v>
      </c>
      <c r="C761" s="4">
        <f>IFERROR(__xludf.DUMMYFUNCTION("""COMPUTED_VALUE"""),11.75)</f>
        <v>11.75</v>
      </c>
      <c r="D761" s="4">
        <f>IFERROR(__xludf.DUMMYFUNCTION("""COMPUTED_VALUE"""),7.5)</f>
        <v>7.5</v>
      </c>
      <c r="E761" s="4" t="str">
        <f>IFERROR(__xludf.DUMMYFUNCTION("""COMPUTED_VALUE"""),"Neto G.C.: 7,50 € (a partir de 10 uds.)")</f>
        <v>Neto G.C.: 7,50 € (a partir de 10 uds.)</v>
      </c>
    </row>
    <row r="762">
      <c r="A762" s="4" t="str">
        <f>IFERROR(__xludf.DUMMYFUNCTION("""COMPUTED_VALUE"""),"0676/10")</f>
        <v>0676/10</v>
      </c>
      <c r="B762" s="4" t="str">
        <f>IFERROR(__xludf.DUMMYFUNCTION("""COMPUTED_VALUE"""),"Tubo 80x40 para señal metalica 1 metro")</f>
        <v>Tubo 80x40 para señal metalica 1 metro</v>
      </c>
      <c r="C762" s="4">
        <f>IFERROR(__xludf.DUMMYFUNCTION("""COMPUTED_VALUE"""),11.5)</f>
        <v>11.5</v>
      </c>
      <c r="D762" s="4"/>
      <c r="E762" s="4" t="str">
        <f>IFERROR(__xludf.DUMMYFUNCTION("""COMPUTED_VALUE"""),"Sin precio neto G.C.")</f>
        <v>Sin precio neto G.C.</v>
      </c>
    </row>
    <row r="763">
      <c r="A763" s="4" t="str">
        <f>IFERROR(__xludf.DUMMYFUNCTION("""COMPUTED_VALUE"""),"0676/15")</f>
        <v>0676/15</v>
      </c>
      <c r="B763" s="4" t="str">
        <f>IFERROR(__xludf.DUMMYFUNCTION("""COMPUTED_VALUE"""),"bo 80x40 para señal metalica 1,5 metros")</f>
        <v>bo 80x40 para señal metalica 1,5 metros</v>
      </c>
      <c r="C763" s="4">
        <f>IFERROR(__xludf.DUMMYFUNCTION("""COMPUTED_VALUE"""),16.5)</f>
        <v>16.5</v>
      </c>
      <c r="D763" s="4"/>
      <c r="E763" s="4" t="str">
        <f>IFERROR(__xludf.DUMMYFUNCTION("""COMPUTED_VALUE"""),"Sin precio neto G.C.")</f>
        <v>Sin precio neto G.C.</v>
      </c>
    </row>
    <row r="764">
      <c r="A764" s="4" t="str">
        <f>IFERROR(__xludf.DUMMYFUNCTION("""COMPUTED_VALUE"""),"0676/20")</f>
        <v>0676/20</v>
      </c>
      <c r="B764" s="4" t="str">
        <f>IFERROR(__xludf.DUMMYFUNCTION("""COMPUTED_VALUE"""),"Tubo 80x40 para señal metalica 2 metros")</f>
        <v>Tubo 80x40 para señal metalica 2 metros</v>
      </c>
      <c r="C764" s="4">
        <f>IFERROR(__xludf.DUMMYFUNCTION("""COMPUTED_VALUE"""),22.0)</f>
        <v>22</v>
      </c>
      <c r="D764" s="4"/>
      <c r="E764" s="4" t="str">
        <f>IFERROR(__xludf.DUMMYFUNCTION("""COMPUTED_VALUE"""),"Sin precio neto G.C.")</f>
        <v>Sin precio neto G.C.</v>
      </c>
    </row>
    <row r="765">
      <c r="A765" s="4" t="str">
        <f>IFERROR(__xludf.DUMMYFUNCTION("""COMPUTED_VALUE"""),"0676/25")</f>
        <v>0676/25</v>
      </c>
      <c r="B765" s="4" t="str">
        <f>IFERROR(__xludf.DUMMYFUNCTION("""COMPUTED_VALUE"""),"Tubo 80x40 para señal metalica 2,5 metros")</f>
        <v>Tubo 80x40 para señal metalica 2,5 metros</v>
      </c>
      <c r="C765" s="4">
        <f>IFERROR(__xludf.DUMMYFUNCTION("""COMPUTED_VALUE"""),28.0)</f>
        <v>28</v>
      </c>
      <c r="D765" s="4"/>
      <c r="E765" s="4" t="str">
        <f>IFERROR(__xludf.DUMMYFUNCTION("""COMPUTED_VALUE"""),"Sin precio neto G.C.")</f>
        <v>Sin precio neto G.C.</v>
      </c>
    </row>
    <row r="766">
      <c r="A766" s="4" t="str">
        <f>IFERROR(__xludf.DUMMYFUNCTION("""COMPUTED_VALUE"""),"0676/30")</f>
        <v>0676/30</v>
      </c>
      <c r="B766" s="4" t="str">
        <f>IFERROR(__xludf.DUMMYFUNCTION("""COMPUTED_VALUE"""),"Tubo 80x40 para señal metalica 3 metros")</f>
        <v>Tubo 80x40 para señal metalica 3 metros</v>
      </c>
      <c r="C766" s="4">
        <f>IFERROR(__xludf.DUMMYFUNCTION("""COMPUTED_VALUE"""),36.0)</f>
        <v>36</v>
      </c>
      <c r="D766" s="4"/>
      <c r="E766" s="4" t="str">
        <f>IFERROR(__xludf.DUMMYFUNCTION("""COMPUTED_VALUE"""),"Sin precio neto G.C.")</f>
        <v>Sin precio neto G.C.</v>
      </c>
    </row>
    <row r="767">
      <c r="A767" s="4" t="str">
        <f>IFERROR(__xludf.DUMMYFUNCTION("""COMPUTED_VALUE"""),"0676/35")</f>
        <v>0676/35</v>
      </c>
      <c r="B767" s="4" t="str">
        <f>IFERROR(__xludf.DUMMYFUNCTION("""COMPUTED_VALUE"""),"Tubo 80x40 para señal metalica 3,5 metros")</f>
        <v>Tubo 80x40 para señal metalica 3,5 metros</v>
      </c>
      <c r="C767" s="4">
        <f>IFERROR(__xludf.DUMMYFUNCTION("""COMPUTED_VALUE"""),39.0)</f>
        <v>39</v>
      </c>
      <c r="D767" s="4"/>
      <c r="E767" s="4" t="str">
        <f>IFERROR(__xludf.DUMMYFUNCTION("""COMPUTED_VALUE"""),"Sin precio neto G.C.")</f>
        <v>Sin precio neto G.C.</v>
      </c>
    </row>
    <row r="768">
      <c r="A768" s="4" t="str">
        <f>IFERROR(__xludf.DUMMYFUNCTION("""COMPUTED_VALUE"""),"0676/40")</f>
        <v>0676/40</v>
      </c>
      <c r="B768" s="4" t="str">
        <f>IFERROR(__xludf.DUMMYFUNCTION("""COMPUTED_VALUE"""),"Tubo 80x40 para señal metalica 4 metros")</f>
        <v>Tubo 80x40 para señal metalica 4 metros</v>
      </c>
      <c r="C768" s="4">
        <f>IFERROR(__xludf.DUMMYFUNCTION("""COMPUTED_VALUE"""),41.5)</f>
        <v>41.5</v>
      </c>
      <c r="D768" s="4"/>
      <c r="E768" s="4" t="str">
        <f>IFERROR(__xludf.DUMMYFUNCTION("""COMPUTED_VALUE"""),"Sin precio neto G.C.")</f>
        <v>Sin precio neto G.C.</v>
      </c>
    </row>
    <row r="769">
      <c r="A769" s="4" t="str">
        <f>IFERROR(__xludf.DUMMYFUNCTION("""COMPUTED_VALUE"""),"0676/AL")</f>
        <v>0676/AL</v>
      </c>
      <c r="B769" s="4" t="str">
        <f>IFERROR(__xludf.DUMMYFUNCTION("""COMPUTED_VALUE"""),"Poste aluminio 3.5 m 76 mm pintado")</f>
        <v>Poste aluminio 3.5 m 76 mm pintado</v>
      </c>
      <c r="C769" s="4">
        <f>IFERROR(__xludf.DUMMYFUNCTION("""COMPUTED_VALUE"""),105.0)</f>
        <v>105</v>
      </c>
      <c r="D769" s="4"/>
      <c r="E769" s="4" t="str">
        <f>IFERROR(__xludf.DUMMYFUNCTION("""COMPUTED_VALUE"""),"Sin precio neto G.C.")</f>
        <v>Sin precio neto G.C.</v>
      </c>
    </row>
    <row r="770">
      <c r="A770" s="4" t="str">
        <f>IFERROR(__xludf.DUMMYFUNCTION("""COMPUTED_VALUE"""),"0676F")</f>
        <v>0676F</v>
      </c>
      <c r="B770" s="4" t="str">
        <f>IFERROR(__xludf.DUMMYFUNCTION("""COMPUTED_VALUE"""),"Poste 80x40 mm 3 m en forma de F")</f>
        <v>Poste 80x40 mm 3 m en forma de F</v>
      </c>
      <c r="C770" s="4">
        <f>IFERROR(__xludf.DUMMYFUNCTION("""COMPUTED_VALUE"""),49.0)</f>
        <v>49</v>
      </c>
      <c r="D770" s="4"/>
      <c r="E770" s="4" t="str">
        <f>IFERROR(__xludf.DUMMYFUNCTION("""COMPUTED_VALUE"""),"Sin precio neto G.C.")</f>
        <v>Sin precio neto G.C.</v>
      </c>
    </row>
    <row r="771">
      <c r="A771" s="4" t="str">
        <f>IFERROR(__xludf.DUMMYFUNCTION("""COMPUTED_VALUE"""),"677")</f>
        <v>677</v>
      </c>
      <c r="B771" s="4" t="str">
        <f>IFERROR(__xludf.DUMMYFUNCTION("""COMPUTED_VALUE"""),"Cruceta tubo para señales metalicas")</f>
        <v>Cruceta tubo para señales metalicas</v>
      </c>
      <c r="C771" s="4">
        <f>IFERROR(__xludf.DUMMYFUNCTION("""COMPUTED_VALUE"""),17.3)</f>
        <v>17.3</v>
      </c>
      <c r="D771" s="4"/>
      <c r="E771" s="4" t="str">
        <f>IFERROR(__xludf.DUMMYFUNCTION("""COMPUTED_VALUE"""),"Sin precio neto G.C.")</f>
        <v>Sin precio neto G.C.</v>
      </c>
    </row>
    <row r="772">
      <c r="A772" s="4" t="str">
        <f>IFERROR(__xludf.DUMMYFUNCTION("""COMPUTED_VALUE"""),"678")</f>
        <v>678</v>
      </c>
      <c r="B772" s="4" t="str">
        <f>IFERROR(__xludf.DUMMYFUNCTION("""COMPUTED_VALUE"""),"Señal metalica R- 6 Prioridad")</f>
        <v>Señal metalica R- 6 Prioridad</v>
      </c>
      <c r="C772" s="4">
        <f>IFERROR(__xludf.DUMMYFUNCTION("""COMPUTED_VALUE"""),11.25)</f>
        <v>11.25</v>
      </c>
      <c r="D772" s="4">
        <f>IFERROR(__xludf.DUMMYFUNCTION("""COMPUTED_VALUE"""),7.5)</f>
        <v>7.5</v>
      </c>
      <c r="E772" s="4" t="str">
        <f>IFERROR(__xludf.DUMMYFUNCTION("""COMPUTED_VALUE"""),"Neto G.C.: 7,50 € (a partir de 1 uds.)")</f>
        <v>Neto G.C.: 7,50 € (a partir de 1 uds.)</v>
      </c>
    </row>
    <row r="773">
      <c r="A773" s="4" t="str">
        <f>IFERROR(__xludf.DUMMYFUNCTION("""COMPUTED_VALUE"""),"679")</f>
        <v>679</v>
      </c>
      <c r="B773" s="4" t="str">
        <f>IFERROR(__xludf.DUMMYFUNCTION("""COMPUTED_VALUE"""),"Placa econ. informat. 20x40 cm f.amarillo")</f>
        <v>Placa econ. informat. 20x40 cm f.amarillo</v>
      </c>
      <c r="C773" s="4">
        <f>IFERROR(__xludf.DUMMYFUNCTION("""COMPUTED_VALUE"""),11.25)</f>
        <v>11.25</v>
      </c>
      <c r="D773" s="4">
        <f>IFERROR(__xludf.DUMMYFUNCTION("""COMPUTED_VALUE"""),7.5)</f>
        <v>7.5</v>
      </c>
      <c r="E773" s="4" t="str">
        <f>IFERROR(__xludf.DUMMYFUNCTION("""COMPUTED_VALUE"""),"Neto G.C.: 7,50 € (a partir de 1 uds.)")</f>
        <v>Neto G.C.: 7,50 € (a partir de 1 uds.)</v>
      </c>
    </row>
    <row r="774">
      <c r="A774" s="4" t="str">
        <f>IFERROR(__xludf.DUMMYFUNCTION("""COMPUTED_VALUE"""),"680")</f>
        <v>680</v>
      </c>
      <c r="B774" s="4" t="str">
        <f>IFERROR(__xludf.DUMMYFUNCTION("""COMPUTED_VALUE"""),"Placa informativa 40x20 blanca")</f>
        <v>Placa informativa 40x20 blanca</v>
      </c>
      <c r="C774" s="4">
        <f>IFERROR(__xludf.DUMMYFUNCTION("""COMPUTED_VALUE"""),11.25)</f>
        <v>11.25</v>
      </c>
      <c r="D774" s="4">
        <f>IFERROR(__xludf.DUMMYFUNCTION("""COMPUTED_VALUE"""),7.5)</f>
        <v>7.5</v>
      </c>
      <c r="E774" s="4" t="str">
        <f>IFERROR(__xludf.DUMMYFUNCTION("""COMPUTED_VALUE"""),"Neto G.C.: 7,50 € (a partir de 1 uds.)")</f>
        <v>Neto G.C.: 7,50 € (a partir de 1 uds.)</v>
      </c>
    </row>
    <row r="775">
      <c r="A775" s="4" t="str">
        <f>IFERROR(__xludf.DUMMYFUNCTION("""COMPUTED_VALUE"""),"0681/A")</f>
        <v>0681/A</v>
      </c>
      <c r="B775" s="4" t="str">
        <f>IFERROR(__xludf.DUMMYFUNCTION("""COMPUTED_VALUE"""),"Horquilla protector peatones 120x40 cm Galva")</f>
        <v>Horquilla protector peatones 120x40 cm Galva</v>
      </c>
      <c r="C775" s="4">
        <f>IFERROR(__xludf.DUMMYFUNCTION("""COMPUTED_VALUE"""),42.4)</f>
        <v>42.4</v>
      </c>
      <c r="D775" s="4"/>
      <c r="E775" s="4" t="str">
        <f>IFERROR(__xludf.DUMMYFUNCTION("""COMPUTED_VALUE"""),"Sin precio neto G.C.")</f>
        <v>Sin precio neto G.C.</v>
      </c>
    </row>
    <row r="776">
      <c r="A776" s="4" t="str">
        <f>IFERROR(__xludf.DUMMYFUNCTION("""COMPUTED_VALUE"""),"0681/A/PLATO")</f>
        <v>0681/A/PLATO</v>
      </c>
      <c r="B776" s="4" t="str">
        <f>IFERROR(__xludf.DUMMYFUNCTION("""COMPUTED_VALUE"""),"Horquilla protector peatones 120x40 cm Galva. c/plato")</f>
        <v>Horquilla protector peatones 120x40 cm Galva. c/plato</v>
      </c>
      <c r="C776" s="4">
        <f>IFERROR(__xludf.DUMMYFUNCTION("""COMPUTED_VALUE"""),52.8)</f>
        <v>52.8</v>
      </c>
      <c r="D776" s="4"/>
      <c r="E776" s="4" t="str">
        <f>IFERROR(__xludf.DUMMYFUNCTION("""COMPUTED_VALUE"""),"Sin precio neto G.C.")</f>
        <v>Sin precio neto G.C.</v>
      </c>
    </row>
    <row r="777">
      <c r="A777" s="4" t="str">
        <f>IFERROR(__xludf.DUMMYFUNCTION("""COMPUTED_VALUE"""),"0681/B")</f>
        <v>0681/B</v>
      </c>
      <c r="B777" s="4" t="str">
        <f>IFERROR(__xludf.DUMMYFUNCTION("""COMPUTED_VALUE"""),"Horquilla protector peatones 90x40 cm Galva")</f>
        <v>Horquilla protector peatones 90x40 cm Galva</v>
      </c>
      <c r="C777" s="4">
        <f>IFERROR(__xludf.DUMMYFUNCTION("""COMPUTED_VALUE"""),38.85)</f>
        <v>38.85</v>
      </c>
      <c r="D777" s="4"/>
      <c r="E777" s="4" t="str">
        <f>IFERROR(__xludf.DUMMYFUNCTION("""COMPUTED_VALUE"""),"Sin precio neto G.C.")</f>
        <v>Sin precio neto G.C.</v>
      </c>
    </row>
    <row r="778">
      <c r="A778" s="4" t="str">
        <f>IFERROR(__xludf.DUMMYFUNCTION("""COMPUTED_VALUE"""),"0681/B/PLATO")</f>
        <v>0681/B/PLATO</v>
      </c>
      <c r="B778" s="4" t="str">
        <f>IFERROR(__xludf.DUMMYFUNCTION("""COMPUTED_VALUE"""),"Horquilla protector peatones 90x40 cm Galva c/plato")</f>
        <v>Horquilla protector peatones 90x40 cm Galva c/plato</v>
      </c>
      <c r="C778" s="4">
        <f>IFERROR(__xludf.DUMMYFUNCTION("""COMPUTED_VALUE"""),61.95)</f>
        <v>61.95</v>
      </c>
      <c r="D778" s="4"/>
      <c r="E778" s="4" t="str">
        <f>IFERROR(__xludf.DUMMYFUNCTION("""COMPUTED_VALUE"""),"Sin precio neto G.C.")</f>
        <v>Sin precio neto G.C.</v>
      </c>
    </row>
    <row r="779">
      <c r="A779" s="4" t="str">
        <f>IFERROR(__xludf.DUMMYFUNCTION("""COMPUTED_VALUE"""),"0681/LA")</f>
        <v>0681/LA</v>
      </c>
      <c r="B779" s="4" t="str">
        <f>IFERROR(__xludf.DUMMYFUNCTION("""COMPUTED_VALUE"""),"Horquilla protector peatones 120x40 cm Amarilla")</f>
        <v>Horquilla protector peatones 120x40 cm Amarilla</v>
      </c>
      <c r="C779" s="4">
        <f>IFERROR(__xludf.DUMMYFUNCTION("""COMPUTED_VALUE"""),48.45)</f>
        <v>48.45</v>
      </c>
      <c r="D779" s="4"/>
      <c r="E779" s="4" t="str">
        <f>IFERROR(__xludf.DUMMYFUNCTION("""COMPUTED_VALUE"""),"Sin precio neto G.C.")</f>
        <v>Sin precio neto G.C.</v>
      </c>
    </row>
    <row r="780">
      <c r="A780" s="4" t="str">
        <f>IFERROR(__xludf.DUMMYFUNCTION("""COMPUTED_VALUE"""),"0681/LA/PLATO")</f>
        <v>0681/LA/PLATO</v>
      </c>
      <c r="B780" s="4" t="str">
        <f>IFERROR(__xludf.DUMMYFUNCTION("""COMPUTED_VALUE"""),"Horquilla protector peatones 120x40 cm Amar. c/plato")</f>
        <v>Horquilla protector peatones 120x40 cm Amar. c/plato</v>
      </c>
      <c r="C780" s="4">
        <f>IFERROR(__xludf.DUMMYFUNCTION("""COMPUTED_VALUE"""),51.45)</f>
        <v>51.45</v>
      </c>
      <c r="D780" s="4"/>
      <c r="E780" s="4" t="str">
        <f>IFERROR(__xludf.DUMMYFUNCTION("""COMPUTED_VALUE"""),"Sin precio neto G.C.")</f>
        <v>Sin precio neto G.C.</v>
      </c>
    </row>
    <row r="781">
      <c r="A781" s="4" t="str">
        <f>IFERROR(__xludf.DUMMYFUNCTION("""COMPUTED_VALUE"""),"0681/LB")</f>
        <v>0681/LB</v>
      </c>
      <c r="B781" s="4" t="str">
        <f>IFERROR(__xludf.DUMMYFUNCTION("""COMPUTED_VALUE"""),"Horquilla protector peqtones 90x40 cm Amarilla")</f>
        <v>Horquilla protector peqtones 90x40 cm Amarilla</v>
      </c>
      <c r="C781" s="4">
        <f>IFERROR(__xludf.DUMMYFUNCTION("""COMPUTED_VALUE"""),45.36)</f>
        <v>45.36</v>
      </c>
      <c r="D781" s="4"/>
      <c r="E781" s="4" t="str">
        <f>IFERROR(__xludf.DUMMYFUNCTION("""COMPUTED_VALUE"""),"Sin precio neto G.C.")</f>
        <v>Sin precio neto G.C.</v>
      </c>
    </row>
    <row r="782">
      <c r="A782" s="4" t="str">
        <f>IFERROR(__xludf.DUMMYFUNCTION("""COMPUTED_VALUE"""),"0681/LB/PLATO")</f>
        <v>0681/LB/PLATO</v>
      </c>
      <c r="B782" s="4" t="str">
        <f>IFERROR(__xludf.DUMMYFUNCTION("""COMPUTED_VALUE"""),"Horquilla protector peatones 90x40 cm Amar.c/plato")</f>
        <v>Horquilla protector peatones 90x40 cm Amar.c/plato</v>
      </c>
      <c r="C782" s="4">
        <f>IFERROR(__xludf.DUMMYFUNCTION("""COMPUTED_VALUE"""),52.73)</f>
        <v>52.73</v>
      </c>
      <c r="D782" s="4"/>
      <c r="E782" s="4" t="str">
        <f>IFERROR(__xludf.DUMMYFUNCTION("""COMPUTED_VALUE"""),"Sin precio neto G.C.")</f>
        <v>Sin precio neto G.C.</v>
      </c>
    </row>
    <row r="783">
      <c r="A783" s="4" t="str">
        <f>IFERROR(__xludf.DUMMYFUNCTION("""COMPUTED_VALUE"""),"682")</f>
        <v>682</v>
      </c>
      <c r="B783" s="4" t="str">
        <f>IFERROR(__xludf.DUMMYFUNCTION("""COMPUTED_VALUE"""),"Vado Permanente Aluminio 40x30")</f>
        <v>Vado Permanente Aluminio 40x30</v>
      </c>
      <c r="C783" s="4">
        <f>IFERROR(__xludf.DUMMYFUNCTION("""COMPUTED_VALUE"""),8.4)</f>
        <v>8.4</v>
      </c>
      <c r="D783" s="4"/>
      <c r="E783" s="4" t="str">
        <f>IFERROR(__xludf.DUMMYFUNCTION("""COMPUTED_VALUE"""),"Sin precio neto G.C.")</f>
        <v>Sin precio neto G.C.</v>
      </c>
    </row>
    <row r="784">
      <c r="A784" s="4" t="str">
        <f>IFERROR(__xludf.DUMMYFUNCTION("""COMPUTED_VALUE"""),"0682P")</f>
        <v>0682P</v>
      </c>
      <c r="B784" s="4" t="str">
        <f>IFERROR(__xludf.DUMMYFUNCTION("""COMPUTED_VALUE"""),"Vado permanente 40x30 aluminio personalizado")</f>
        <v>Vado permanente 40x30 aluminio personalizado</v>
      </c>
      <c r="C784" s="4">
        <f>IFERROR(__xludf.DUMMYFUNCTION("""COMPUTED_VALUE"""),12.0)</f>
        <v>12</v>
      </c>
      <c r="D784" s="4"/>
      <c r="E784" s="4" t="str">
        <f>IFERROR(__xludf.DUMMYFUNCTION("""COMPUTED_VALUE"""),"Sin precio neto G.C.")</f>
        <v>Sin precio neto G.C.</v>
      </c>
    </row>
    <row r="785">
      <c r="A785" s="4" t="str">
        <f>IFERROR(__xludf.DUMMYFUNCTION("""COMPUTED_VALUE"""),"683")</f>
        <v>683</v>
      </c>
      <c r="B785" s="4" t="str">
        <f>IFERROR(__xludf.DUMMYFUNCTION("""COMPUTED_VALUE"""),"Horquilla protector contenedor basura Galva")</f>
        <v>Horquilla protector contenedor basura Galva</v>
      </c>
      <c r="C785" s="4">
        <f>IFERROR(__xludf.DUMMYFUNCTION("""COMPUTED_VALUE"""),134.3)</f>
        <v>134.3</v>
      </c>
      <c r="D785" s="4"/>
      <c r="E785" s="4" t="str">
        <f>IFERROR(__xludf.DUMMYFUNCTION("""COMPUTED_VALUE"""),"Sin precio neto G.C.")</f>
        <v>Sin precio neto G.C.</v>
      </c>
    </row>
    <row r="786">
      <c r="A786" s="4" t="str">
        <f>IFERROR(__xludf.DUMMYFUNCTION("""COMPUTED_VALUE"""),"0683/B")</f>
        <v>0683/B</v>
      </c>
      <c r="B786" s="4" t="str">
        <f>IFERROR(__xludf.DUMMYFUNCTION("""COMPUTED_VALUE"""),"Isleta hormigon con protector direccional Vados")</f>
        <v>Isleta hormigon con protector direccional Vados</v>
      </c>
      <c r="C786" s="4">
        <f>IFERROR(__xludf.DUMMYFUNCTION("""COMPUTED_VALUE"""),460.0)</f>
        <v>460</v>
      </c>
      <c r="D786" s="4"/>
      <c r="E786" s="4" t="str">
        <f>IFERROR(__xludf.DUMMYFUNCTION("""COMPUTED_VALUE"""),"Sin precio neto G.C.")</f>
        <v>Sin precio neto G.C.</v>
      </c>
    </row>
    <row r="787">
      <c r="A787" s="4" t="str">
        <f>IFERROR(__xludf.DUMMYFUNCTION("""COMPUTED_VALUE"""),"0683/BS")</f>
        <v>0683/BS</v>
      </c>
      <c r="B787" s="4" t="str">
        <f>IFERROR(__xludf.DUMMYFUNCTION("""COMPUTED_VALUE"""),"Juego 2 angulos sujecion suelo Isleta Vados")</f>
        <v>Juego 2 angulos sujecion suelo Isleta Vados</v>
      </c>
      <c r="C787" s="4">
        <f>IFERROR(__xludf.DUMMYFUNCTION("""COMPUTED_VALUE"""),33.3)</f>
        <v>33.3</v>
      </c>
      <c r="D787" s="4"/>
      <c r="E787" s="4" t="str">
        <f>IFERROR(__xludf.DUMMYFUNCTION("""COMPUTED_VALUE"""),"Sin precio neto G.C.")</f>
        <v>Sin precio neto G.C.</v>
      </c>
    </row>
    <row r="788">
      <c r="A788" s="4" t="str">
        <f>IFERROR(__xludf.DUMMYFUNCTION("""COMPUTED_VALUE"""),"0683D")</f>
        <v>0683D</v>
      </c>
      <c r="B788" s="4" t="str">
        <f>IFERROR(__xludf.DUMMYFUNCTION("""COMPUTED_VALUE"""),"Protector contenedor basura flecha dcha Galv.")</f>
        <v>Protector contenedor basura flecha dcha Galv.</v>
      </c>
      <c r="C788" s="4">
        <f>IFERROR(__xludf.DUMMYFUNCTION("""COMPUTED_VALUE"""),78.225)</f>
        <v>78.225</v>
      </c>
      <c r="D788" s="4"/>
      <c r="E788" s="4" t="str">
        <f>IFERROR(__xludf.DUMMYFUNCTION("""COMPUTED_VALUE"""),"Sin precio neto G.C.")</f>
        <v>Sin precio neto G.C.</v>
      </c>
    </row>
    <row r="789">
      <c r="A789" s="4" t="str">
        <f>IFERROR(__xludf.DUMMYFUNCTION("""COMPUTED_VALUE"""),"0683D/PLATO")</f>
        <v>0683D/PLATO</v>
      </c>
      <c r="B789" s="4" t="str">
        <f>IFERROR(__xludf.DUMMYFUNCTION("""COMPUTED_VALUE"""),"Protector contenedor basura flecha Dcha. Galva. c/plato")</f>
        <v>Protector contenedor basura flecha Dcha. Galva. c/plato</v>
      </c>
      <c r="C789" s="4">
        <f>IFERROR(__xludf.DUMMYFUNCTION("""COMPUTED_VALUE"""),89.775)</f>
        <v>89.775</v>
      </c>
      <c r="D789" s="4"/>
      <c r="E789" s="4" t="str">
        <f>IFERROR(__xludf.DUMMYFUNCTION("""COMPUTED_VALUE"""),"Sin precio neto G.C.")</f>
        <v>Sin precio neto G.C.</v>
      </c>
    </row>
    <row r="790">
      <c r="A790" s="4" t="str">
        <f>IFERROR(__xludf.DUMMYFUNCTION("""COMPUTED_VALUE"""),"0683I")</f>
        <v>0683I</v>
      </c>
      <c r="B790" s="4" t="str">
        <f>IFERROR(__xludf.DUMMYFUNCTION("""COMPUTED_VALUE"""),"Protector contenedor basura flecha izq. Galva.")</f>
        <v>Protector contenedor basura flecha izq. Galva.</v>
      </c>
      <c r="C790" s="4">
        <f>IFERROR(__xludf.DUMMYFUNCTION("""COMPUTED_VALUE"""),78.225)</f>
        <v>78.225</v>
      </c>
      <c r="D790" s="4"/>
      <c r="E790" s="4" t="str">
        <f>IFERROR(__xludf.DUMMYFUNCTION("""COMPUTED_VALUE"""),"Sin precio neto G.C.")</f>
        <v>Sin precio neto G.C.</v>
      </c>
    </row>
    <row r="791">
      <c r="A791" s="4" t="str">
        <f>IFERROR(__xludf.DUMMYFUNCTION("""COMPUTED_VALUE"""),"0683I/PLATO")</f>
        <v>0683I/PLATO</v>
      </c>
      <c r="B791" s="4" t="str">
        <f>IFERROR(__xludf.DUMMYFUNCTION("""COMPUTED_VALUE"""),"Protector contendor basura flecha Izq.Galva. c/ plato")</f>
        <v>Protector contendor basura flecha Izq.Galva. c/ plato</v>
      </c>
      <c r="C791" s="4">
        <f>IFERROR(__xludf.DUMMYFUNCTION("""COMPUTED_VALUE"""),75.0)</f>
        <v>75</v>
      </c>
      <c r="D791" s="4"/>
      <c r="E791" s="4" t="str">
        <f>IFERROR(__xludf.DUMMYFUNCTION("""COMPUTED_VALUE"""),"Sin precio neto G.C.")</f>
        <v>Sin precio neto G.C.</v>
      </c>
    </row>
    <row r="792">
      <c r="A792" s="4" t="str">
        <f>IFERROR(__xludf.DUMMYFUNCTION("""COMPUTED_VALUE"""),"687")</f>
        <v>687</v>
      </c>
      <c r="B792" s="4" t="str">
        <f>IFERROR(__xludf.DUMMYFUNCTION("""COMPUTED_VALUE"""),"Placa econ. informat. 55x35 cm f.amarillo")</f>
        <v>Placa econ. informat. 55x35 cm f.amarillo</v>
      </c>
      <c r="C792" s="4">
        <f>IFERROR(__xludf.DUMMYFUNCTION("""COMPUTED_VALUE"""),16.8)</f>
        <v>16.8</v>
      </c>
      <c r="D792" s="4"/>
      <c r="E792" s="4" t="str">
        <f>IFERROR(__xludf.DUMMYFUNCTION("""COMPUTED_VALUE"""),"Sin precio neto G.C.")</f>
        <v>Sin precio neto G.C.</v>
      </c>
    </row>
    <row r="793">
      <c r="A793" s="4" t="str">
        <f>IFERROR(__xludf.DUMMYFUNCTION("""COMPUTED_VALUE"""),"688")</f>
        <v>688</v>
      </c>
      <c r="B793" s="4" t="str">
        <f>IFERROR(__xludf.DUMMYFUNCTION("""COMPUTED_VALUE"""),"Placa econ. informat. 55x35 cm f.blanco")</f>
        <v>Placa econ. informat. 55x35 cm f.blanco</v>
      </c>
      <c r="C793" s="4">
        <f>IFERROR(__xludf.DUMMYFUNCTION("""COMPUTED_VALUE"""),16.8)</f>
        <v>16.8</v>
      </c>
      <c r="D793" s="4"/>
      <c r="E793" s="4" t="str">
        <f>IFERROR(__xludf.DUMMYFUNCTION("""COMPUTED_VALUE"""),"Sin precio neto G.C.")</f>
        <v>Sin precio neto G.C.</v>
      </c>
    </row>
    <row r="794">
      <c r="A794" s="4" t="str">
        <f>IFERROR(__xludf.DUMMYFUNCTION("""COMPUTED_VALUE"""),"690")</f>
        <v>690</v>
      </c>
      <c r="B794" s="4" t="str">
        <f>IFERROR(__xludf.DUMMYFUNCTION("""COMPUTED_VALUE"""),"Base caucho multiperfil")</f>
        <v>Base caucho multiperfil</v>
      </c>
      <c r="C794" s="4">
        <f>IFERROR(__xludf.DUMMYFUNCTION("""COMPUTED_VALUE"""),17.0)</f>
        <v>17</v>
      </c>
      <c r="D794" s="4"/>
      <c r="E794" s="4" t="str">
        <f>IFERROR(__xludf.DUMMYFUNCTION("""COMPUTED_VALUE"""),"Sin precio neto G.C.")</f>
        <v>Sin precio neto G.C.</v>
      </c>
    </row>
    <row r="795">
      <c r="A795" s="4" t="str">
        <f>IFERROR(__xludf.DUMMYFUNCTION("""COMPUTED_VALUE"""),"0690B")</f>
        <v>0690B</v>
      </c>
      <c r="B795" s="4" t="str">
        <f>IFERROR(__xludf.DUMMYFUNCTION("""COMPUTED_VALUE"""),"Base multiperfil para valla y señales 18 kg")</f>
        <v>Base multiperfil para valla y señales 18 kg</v>
      </c>
      <c r="C795" s="4">
        <f>IFERROR(__xludf.DUMMYFUNCTION("""COMPUTED_VALUE"""),14.5)</f>
        <v>14.5</v>
      </c>
      <c r="D795" s="4">
        <f>IFERROR(__xludf.DUMMYFUNCTION("""COMPUTED_VALUE"""),11.5)</f>
        <v>11.5</v>
      </c>
      <c r="E795" s="4" t="str">
        <f>IFERROR(__xludf.DUMMYFUNCTION("""COMPUTED_VALUE"""),"Neto G.C.: 11,50 € (a partir de 40 uds.)")</f>
        <v>Neto G.C.: 11,50 € (a partir de 40 uds.)</v>
      </c>
    </row>
    <row r="796">
      <c r="A796" s="4" t="str">
        <f>IFERROR(__xludf.DUMMYFUNCTION("""COMPUTED_VALUE"""),"0690D")</f>
        <v>0690D</v>
      </c>
      <c r="B796" s="4" t="str">
        <f>IFERROR(__xludf.DUMMYFUNCTION("""COMPUTED_VALUE"""),"Base de caucho multiperfil mod D")</f>
        <v>Base de caucho multiperfil mod D</v>
      </c>
      <c r="C796" s="4">
        <f>IFERROR(__xludf.DUMMYFUNCTION("""COMPUTED_VALUE"""),13.0)</f>
        <v>13</v>
      </c>
      <c r="D796" s="4">
        <f>IFERROR(__xludf.DUMMYFUNCTION("""COMPUTED_VALUE"""),11.5)</f>
        <v>11.5</v>
      </c>
      <c r="E796" s="4" t="str">
        <f>IFERROR(__xludf.DUMMYFUNCTION("""COMPUTED_VALUE"""),"Neto G.C.: 11,50 € (a partir de 40 uds.)")</f>
        <v>Neto G.C.: 11,50 € (a partir de 40 uds.)</v>
      </c>
    </row>
    <row r="797">
      <c r="A797" s="4" t="str">
        <f>IFERROR(__xludf.DUMMYFUNCTION("""COMPUTED_VALUE"""),"0690S")</f>
        <v>0690S</v>
      </c>
      <c r="B797" s="4" t="str">
        <f>IFERROR(__xludf.DUMMYFUNCTION("""COMPUTED_VALUE"""),"Base caucho para panel secuencial")</f>
        <v>Base caucho para panel secuencial</v>
      </c>
      <c r="C797" s="4">
        <f>IFERROR(__xludf.DUMMYFUNCTION("""COMPUTED_VALUE"""),19.25)</f>
        <v>19.25</v>
      </c>
      <c r="D797" s="4"/>
      <c r="E797" s="4" t="str">
        <f>IFERROR(__xludf.DUMMYFUNCTION("""COMPUTED_VALUE"""),"Sin precio neto G.C.")</f>
        <v>Sin precio neto G.C.</v>
      </c>
    </row>
    <row r="798">
      <c r="A798" s="4" t="str">
        <f>IFERROR(__xludf.DUMMYFUNCTION("""COMPUTED_VALUE"""),"692")</f>
        <v>692</v>
      </c>
      <c r="B798" s="4" t="str">
        <f>IFERROR(__xludf.DUMMYFUNCTION("""COMPUTED_VALUE"""),"Poste aluminio 3 mtros señ. urbana Diam 60")</f>
        <v>Poste aluminio 3 mtros señ. urbana Diam 60</v>
      </c>
      <c r="C798" s="4">
        <f>IFERROR(__xludf.DUMMYFUNCTION("""COMPUTED_VALUE"""),55.0)</f>
        <v>55</v>
      </c>
      <c r="D798" s="4"/>
      <c r="E798" s="4" t="str">
        <f>IFERROR(__xludf.DUMMYFUNCTION("""COMPUTED_VALUE"""),"Sin precio neto G.C.")</f>
        <v>Sin precio neto G.C.</v>
      </c>
    </row>
    <row r="799">
      <c r="A799" s="4" t="str">
        <f>IFERROR(__xludf.DUMMYFUNCTION("""COMPUTED_VALUE"""),"0692E")</f>
        <v>0692E</v>
      </c>
      <c r="B799" s="4" t="str">
        <f>IFERROR(__xludf.DUMMYFUNCTION("""COMPUTED_VALUE"""),"Abrazadera poste aluminio 60 mm estriado")</f>
        <v>Abrazadera poste aluminio 60 mm estriado</v>
      </c>
      <c r="C799" s="4">
        <f>IFERROR(__xludf.DUMMYFUNCTION("""COMPUTED_VALUE"""),1.5)</f>
        <v>1.5</v>
      </c>
      <c r="D799" s="4"/>
      <c r="E799" s="4" t="str">
        <f>IFERROR(__xludf.DUMMYFUNCTION("""COMPUTED_VALUE"""),"Sin precio neto G.C.")</f>
        <v>Sin precio neto G.C.</v>
      </c>
    </row>
    <row r="800">
      <c r="A800" s="4" t="str">
        <f>IFERROR(__xludf.DUMMYFUNCTION("""COMPUTED_VALUE"""),"693")</f>
        <v>693</v>
      </c>
      <c r="B800" s="4" t="str">
        <f>IFERROR(__xludf.DUMMYFUNCTION("""COMPUTED_VALUE"""),"Tripode Tubular señal metalica mod. C")</f>
        <v>Tripode Tubular señal metalica mod. C</v>
      </c>
      <c r="C800" s="4">
        <f>IFERROR(__xludf.DUMMYFUNCTION("""COMPUTED_VALUE"""),21.0)</f>
        <v>21</v>
      </c>
      <c r="D800" s="4"/>
      <c r="E800" s="4" t="str">
        <f>IFERROR(__xludf.DUMMYFUNCTION("""COMPUTED_VALUE"""),"Sin precio neto G.C.")</f>
        <v>Sin precio neto G.C.</v>
      </c>
    </row>
    <row r="801">
      <c r="A801" s="4" t="str">
        <f>IFERROR(__xludf.DUMMYFUNCTION("""COMPUTED_VALUE"""),"694")</f>
        <v>694</v>
      </c>
      <c r="B801" s="4" t="str">
        <f>IFERROR(__xludf.DUMMYFUNCTION("""COMPUTED_VALUE"""),"Poste redondo diam. 50 galvan. 3 mt para espejo 4100")</f>
        <v>Poste redondo diam. 50 galvan. 3 mt para espejo 4100</v>
      </c>
      <c r="C801" s="4">
        <f>IFERROR(__xludf.DUMMYFUNCTION("""COMPUTED_VALUE"""),28.3)</f>
        <v>28.3</v>
      </c>
      <c r="D801" s="4"/>
      <c r="E801" s="4" t="str">
        <f>IFERROR(__xludf.DUMMYFUNCTION("""COMPUTED_VALUE"""),"Sin precio neto G.C.")</f>
        <v>Sin precio neto G.C.</v>
      </c>
    </row>
    <row r="802">
      <c r="A802" s="4" t="str">
        <f>IFERROR(__xludf.DUMMYFUNCTION("""COMPUTED_VALUE"""),"0694/G")</f>
        <v>0694/G</v>
      </c>
      <c r="B802" s="4" t="str">
        <f>IFERROR(__xludf.DUMMYFUNCTION("""COMPUTED_VALUE"""),"Poste redondo diam. 80 galvan. 3 mt para espejo 4101")</f>
        <v>Poste redondo diam. 80 galvan. 3 mt para espejo 4101</v>
      </c>
      <c r="C802" s="4">
        <f>IFERROR(__xludf.DUMMYFUNCTION("""COMPUTED_VALUE"""),40.95)</f>
        <v>40.95</v>
      </c>
      <c r="D802" s="4"/>
      <c r="E802" s="4" t="str">
        <f>IFERROR(__xludf.DUMMYFUNCTION("""COMPUTED_VALUE"""),"Sin precio neto G.C.")</f>
        <v>Sin precio neto G.C.</v>
      </c>
    </row>
    <row r="803">
      <c r="A803" s="4" t="str">
        <f>IFERROR(__xludf.DUMMYFUNCTION("""COMPUTED_VALUE"""),"0694/M")</f>
        <v>0694/M</v>
      </c>
      <c r="B803" s="4" t="str">
        <f>IFERROR(__xludf.DUMMYFUNCTION("""COMPUTED_VALUE"""),"Poste redondo diam. 60 galva. 3 mt. p/espejos")</f>
        <v>Poste redondo diam. 60 galva. 3 mt. p/espejos</v>
      </c>
      <c r="C803" s="4">
        <f>IFERROR(__xludf.DUMMYFUNCTION("""COMPUTED_VALUE"""),33.0)</f>
        <v>33</v>
      </c>
      <c r="D803" s="4"/>
      <c r="E803" s="4" t="str">
        <f>IFERROR(__xludf.DUMMYFUNCTION("""COMPUTED_VALUE"""),"Sin precio neto G.C.")</f>
        <v>Sin precio neto G.C.</v>
      </c>
    </row>
    <row r="804">
      <c r="A804" s="4" t="str">
        <f>IFERROR(__xludf.DUMMYFUNCTION("""COMPUTED_VALUE"""),"0694D")</f>
        <v>0694D</v>
      </c>
      <c r="B804" s="4" t="str">
        <f>IFERROR(__xludf.DUMMYFUNCTION("""COMPUTED_VALUE"""),"Poste galva doblado 3 m circular 60 mm")</f>
        <v>Poste galva doblado 3 m circular 60 mm</v>
      </c>
      <c r="C804" s="4">
        <f>IFERROR(__xludf.DUMMYFUNCTION("""COMPUTED_VALUE"""),34.0)</f>
        <v>34</v>
      </c>
      <c r="D804" s="4"/>
      <c r="E804" s="4" t="str">
        <f>IFERROR(__xludf.DUMMYFUNCTION("""COMPUTED_VALUE"""),"Sin precio neto G.C.")</f>
        <v>Sin precio neto G.C.</v>
      </c>
    </row>
    <row r="805">
      <c r="A805" s="4" t="str">
        <f>IFERROR(__xludf.DUMMYFUNCTION("""COMPUTED_VALUE"""),"0694E")</f>
        <v>0694E</v>
      </c>
      <c r="B805" s="4" t="str">
        <f>IFERROR(__xludf.DUMMYFUNCTION("""COMPUTED_VALUE"""),"Poste tubular 60 mm para cartelería vinilada")</f>
        <v>Poste tubular 60 mm para cartelería vinilada</v>
      </c>
      <c r="C805" s="4">
        <f>IFERROR(__xludf.DUMMYFUNCTION("""COMPUTED_VALUE"""),74.0)</f>
        <v>74</v>
      </c>
      <c r="D805" s="4"/>
      <c r="E805" s="4" t="str">
        <f>IFERROR(__xludf.DUMMYFUNCTION("""COMPUTED_VALUE"""),"Sin precio neto G.C.")</f>
        <v>Sin precio neto G.C.</v>
      </c>
    </row>
    <row r="806">
      <c r="A806" s="4" t="str">
        <f>IFERROR(__xludf.DUMMYFUNCTION("""COMPUTED_VALUE"""),"695")</f>
        <v>695</v>
      </c>
      <c r="B806" s="4" t="str">
        <f>IFERROR(__xludf.DUMMYFUNCTION("""COMPUTED_VALUE"""),"Tripode angular señal metalica mod. B")</f>
        <v>Tripode angular señal metalica mod. B</v>
      </c>
      <c r="C806" s="4">
        <f>IFERROR(__xludf.DUMMYFUNCTION("""COMPUTED_VALUE"""),12.25)</f>
        <v>12.25</v>
      </c>
      <c r="D806" s="4">
        <f>IFERROR(__xludf.DUMMYFUNCTION("""COMPUTED_VALUE"""),8.9)</f>
        <v>8.9</v>
      </c>
      <c r="E806" s="4" t="str">
        <f>IFERROR(__xludf.DUMMYFUNCTION("""COMPUTED_VALUE"""),"Neto G.C.: 8,90 € (a partir de 10 uds.)")</f>
        <v>Neto G.C.: 8,90 € (a partir de 10 uds.)</v>
      </c>
    </row>
    <row r="807">
      <c r="A807" s="4" t="str">
        <f>IFERROR(__xludf.DUMMYFUNCTION("""COMPUTED_VALUE"""),"696")</f>
        <v>696</v>
      </c>
      <c r="B807" s="4" t="str">
        <f>IFERROR(__xludf.DUMMYFUNCTION("""COMPUTED_VALUE"""),"Tripode gigante señal metálica")</f>
        <v>Tripode gigante señal metálica</v>
      </c>
      <c r="C807" s="4">
        <f>IFERROR(__xludf.DUMMYFUNCTION("""COMPUTED_VALUE"""),41.05)</f>
        <v>41.05</v>
      </c>
      <c r="D807" s="4"/>
      <c r="E807" s="4" t="str">
        <f>IFERROR(__xludf.DUMMYFUNCTION("""COMPUTED_VALUE"""),"Sin precio neto G.C.")</f>
        <v>Sin precio neto G.C.</v>
      </c>
    </row>
    <row r="808">
      <c r="A808" s="4" t="str">
        <f>IFERROR(__xludf.DUMMYFUNCTION("""COMPUTED_VALUE"""),"697")</f>
        <v>697</v>
      </c>
      <c r="B808" s="4" t="str">
        <f>IFERROR(__xludf.DUMMYFUNCTION("""COMPUTED_VALUE"""),"Soporte pared p/ espejo 60 cm Mod. Basic")</f>
        <v>Soporte pared p/ espejo 60 cm Mod. Basic</v>
      </c>
      <c r="C808" s="4">
        <f>IFERROR(__xludf.DUMMYFUNCTION("""COMPUTED_VALUE"""),13.4)</f>
        <v>13.4</v>
      </c>
      <c r="D808" s="4"/>
      <c r="E808" s="4" t="str">
        <f>IFERROR(__xludf.DUMMYFUNCTION("""COMPUTED_VALUE"""),"Sin precio neto G.C.")</f>
        <v>Sin precio neto G.C.</v>
      </c>
    </row>
    <row r="809">
      <c r="A809" s="4" t="str">
        <f>IFERROR(__xludf.DUMMYFUNCTION("""COMPUTED_VALUE"""),"0697/M")</f>
        <v>0697/M</v>
      </c>
      <c r="B809" s="4" t="str">
        <f>IFERROR(__xludf.DUMMYFUNCTION("""COMPUTED_VALUE"""),"Soporte pared para espejo Giotto-Rafaello-Icaro")</f>
        <v>Soporte pared para espejo Giotto-Rafaello-Icaro</v>
      </c>
      <c r="C809" s="4">
        <f>IFERROR(__xludf.DUMMYFUNCTION("""COMPUTED_VALUE"""),13.9)</f>
        <v>13.9</v>
      </c>
      <c r="D809" s="4"/>
      <c r="E809" s="4" t="str">
        <f>IFERROR(__xludf.DUMMYFUNCTION("""COMPUTED_VALUE"""),"Sin precio neto G.C.")</f>
        <v>Sin precio neto G.C.</v>
      </c>
    </row>
    <row r="810">
      <c r="A810" s="4" t="str">
        <f>IFERROR(__xludf.DUMMYFUNCTION("""COMPUTED_VALUE"""),"0697G")</f>
        <v>0697G</v>
      </c>
      <c r="B810" s="4" t="str">
        <f>IFERROR(__xludf.DUMMYFUNCTION("""COMPUTED_VALUE"""),"Soporte pared p/ espejo 80 cm Mod. Basic")</f>
        <v>Soporte pared p/ espejo 80 cm Mod. Basic</v>
      </c>
      <c r="C810" s="4">
        <f>IFERROR(__xludf.DUMMYFUNCTION("""COMPUTED_VALUE"""),16.25)</f>
        <v>16.25</v>
      </c>
      <c r="D810" s="4"/>
      <c r="E810" s="4" t="str">
        <f>IFERROR(__xludf.DUMMYFUNCTION("""COMPUTED_VALUE"""),"Sin precio neto G.C.")</f>
        <v>Sin precio neto G.C.</v>
      </c>
    </row>
    <row r="811">
      <c r="A811" s="4" t="str">
        <f>IFERROR(__xludf.DUMMYFUNCTION("""COMPUTED_VALUE"""),"698")</f>
        <v>698</v>
      </c>
      <c r="B811" s="4" t="str">
        <f>IFERROR(__xludf.DUMMYFUNCTION("""COMPUTED_VALUE"""),"Soporte pared señal metalica")</f>
        <v>Soporte pared señal metalica</v>
      </c>
      <c r="C811" s="4">
        <f>IFERROR(__xludf.DUMMYFUNCTION("""COMPUTED_VALUE"""),17.4)</f>
        <v>17.4</v>
      </c>
      <c r="D811" s="4"/>
      <c r="E811" s="4" t="str">
        <f>IFERROR(__xludf.DUMMYFUNCTION("""COMPUTED_VALUE"""),"Sin precio neto G.C.")</f>
        <v>Sin precio neto G.C.</v>
      </c>
    </row>
    <row r="812">
      <c r="A812" s="4" t="str">
        <f>IFERROR(__xludf.DUMMYFUNCTION("""COMPUTED_VALUE"""),"699")</f>
        <v>699</v>
      </c>
      <c r="B812" s="4" t="str">
        <f>IFERROR(__xludf.DUMMYFUNCTION("""COMPUTED_VALUE"""),"Señal economica reflex")</f>
        <v>Señal economica reflex</v>
      </c>
      <c r="C812" s="4">
        <f>IFERROR(__xludf.DUMMYFUNCTION("""COMPUTED_VALUE"""),14.5)</f>
        <v>14.5</v>
      </c>
      <c r="D812" s="4"/>
      <c r="E812" s="4" t="str">
        <f>IFERROR(__xludf.DUMMYFUNCTION("""COMPUTED_VALUE"""),"Sin precio neto G.C.")</f>
        <v>Sin precio neto G.C.</v>
      </c>
    </row>
    <row r="813">
      <c r="A813" s="4" t="str">
        <f>IFERROR(__xludf.DUMMYFUNCTION("""COMPUTED_VALUE"""),"701")</f>
        <v>701</v>
      </c>
      <c r="B813" s="4" t="str">
        <f>IFERROR(__xludf.DUMMYFUNCTION("""COMPUTED_VALUE"""),"Conjunto señalización tubular aparcar con soporte y plesilla")</f>
        <v>Conjunto señalización tubular aparcar con soporte y plesilla</v>
      </c>
      <c r="C813" s="4">
        <f>IFERROR(__xludf.DUMMYFUNCTION("""COMPUTED_VALUE"""),79.0)</f>
        <v>79</v>
      </c>
      <c r="D813" s="4"/>
      <c r="E813" s="4" t="str">
        <f>IFERROR(__xludf.DUMMYFUNCTION("""COMPUTED_VALUE"""),"Sin precio neto G.C.")</f>
        <v>Sin precio neto G.C.</v>
      </c>
    </row>
    <row r="814">
      <c r="A814" s="4" t="str">
        <f>IFERROR(__xludf.DUMMYFUNCTION("""COMPUTED_VALUE"""),"0701/01")</f>
        <v>0701/01</v>
      </c>
      <c r="B814" s="4" t="str">
        <f>IFERROR(__xludf.DUMMYFUNCTION("""COMPUTED_VALUE"""),"Protector esquina acero 45cm lado x 100 cm altura tubo de")</f>
        <v>Protector esquina acero 45cm lado x 100 cm altura tubo de</v>
      </c>
      <c r="C814" s="4">
        <f>IFERROR(__xludf.DUMMYFUNCTION("""COMPUTED_VALUE"""),149.6)</f>
        <v>149.6</v>
      </c>
      <c r="D814" s="4"/>
      <c r="E814" s="4" t="str">
        <f>IFERROR(__xludf.DUMMYFUNCTION("""COMPUTED_VALUE"""),"Sin precio neto G.C.")</f>
        <v>Sin precio neto G.C.</v>
      </c>
    </row>
    <row r="815">
      <c r="A815" s="4" t="str">
        <f>IFERROR(__xludf.DUMMYFUNCTION("""COMPUTED_VALUE"""),"0701/03")</f>
        <v>0701/03</v>
      </c>
      <c r="B815" s="4" t="str">
        <f>IFERROR(__xludf.DUMMYFUNCTION("""COMPUTED_VALUE"""),"Protector esquina acero 100 cm lado x 100 cm altura tubo de")</f>
        <v>Protector esquina acero 100 cm lado x 100 cm altura tubo de</v>
      </c>
      <c r="C815" s="4">
        <f>IFERROR(__xludf.DUMMYFUNCTION("""COMPUTED_VALUE"""),220.5)</f>
        <v>220.5</v>
      </c>
      <c r="D815" s="4"/>
      <c r="E815" s="4" t="str">
        <f>IFERROR(__xludf.DUMMYFUNCTION("""COMPUTED_VALUE"""),"Sin precio neto G.C.")</f>
        <v>Sin precio neto G.C.</v>
      </c>
    </row>
    <row r="816">
      <c r="A816" s="4" t="str">
        <f>IFERROR(__xludf.DUMMYFUNCTION("""COMPUTED_VALUE"""),"0702/01")</f>
        <v>0702/01</v>
      </c>
      <c r="B816" s="4" t="str">
        <f>IFERROR(__xludf.DUMMYFUNCTION("""COMPUTED_VALUE"""),"Barrera protectora 100 cm largo x 100 cm altura tubo de 50x2")</f>
        <v>Barrera protectora 100 cm largo x 100 cm altura tubo de 50x2</v>
      </c>
      <c r="C816" s="4">
        <f>IFERROR(__xludf.DUMMYFUNCTION("""COMPUTED_VALUE"""),126.0)</f>
        <v>126</v>
      </c>
      <c r="D816" s="4"/>
      <c r="E816" s="4" t="str">
        <f>IFERROR(__xludf.DUMMYFUNCTION("""COMPUTED_VALUE"""),"Sin precio neto G.C.")</f>
        <v>Sin precio neto G.C.</v>
      </c>
    </row>
    <row r="817">
      <c r="A817" s="4" t="str">
        <f>IFERROR(__xludf.DUMMYFUNCTION("""COMPUTED_VALUE"""),"0702/02")</f>
        <v>0702/02</v>
      </c>
      <c r="B817" s="4" t="str">
        <f>IFERROR(__xludf.DUMMYFUNCTION("""COMPUTED_VALUE"""),"Barrera protectora 100 cm largo x 100 cm altura tubo de 50x3")</f>
        <v>Barrera protectora 100 cm largo x 100 cm altura tubo de 50x3</v>
      </c>
      <c r="C817" s="4">
        <f>IFERROR(__xludf.DUMMYFUNCTION("""COMPUTED_VALUE"""),137.55)</f>
        <v>137.55</v>
      </c>
      <c r="D817" s="4"/>
      <c r="E817" s="4" t="str">
        <f>IFERROR(__xludf.DUMMYFUNCTION("""COMPUTED_VALUE"""),"Sin precio neto G.C.")</f>
        <v>Sin precio neto G.C.</v>
      </c>
    </row>
    <row r="818">
      <c r="A818" s="4" t="str">
        <f>IFERROR(__xludf.DUMMYFUNCTION("""COMPUTED_VALUE"""),"0702/03")</f>
        <v>0702/03</v>
      </c>
      <c r="B818" s="4" t="str">
        <f>IFERROR(__xludf.DUMMYFUNCTION("""COMPUTED_VALUE"""),"Barrera protectora 100 cm largo x 100 cm altura tubo de")</f>
        <v>Barrera protectora 100 cm largo x 100 cm altura tubo de</v>
      </c>
      <c r="C818" s="4">
        <f>IFERROR(__xludf.DUMMYFUNCTION("""COMPUTED_VALUE"""),141.75)</f>
        <v>141.75</v>
      </c>
      <c r="D818" s="4"/>
      <c r="E818" s="4" t="str">
        <f>IFERROR(__xludf.DUMMYFUNCTION("""COMPUTED_VALUE"""),"Sin precio neto G.C.")</f>
        <v>Sin precio neto G.C.</v>
      </c>
    </row>
    <row r="819">
      <c r="A819" s="4" t="str">
        <f>IFERROR(__xludf.DUMMYFUNCTION("""COMPUTED_VALUE"""),"0702/04")</f>
        <v>0702/04</v>
      </c>
      <c r="B819" s="4" t="str">
        <f>IFERROR(__xludf.DUMMYFUNCTION("""COMPUTED_VALUE"""),"Barrera protectora 100 cm largo x 100 cm altura tubo de")</f>
        <v>Barrera protectora 100 cm largo x 100 cm altura tubo de</v>
      </c>
      <c r="C819" s="4">
        <f>IFERROR(__xludf.DUMMYFUNCTION("""COMPUTED_VALUE"""),170.625)</f>
        <v>170.625</v>
      </c>
      <c r="D819" s="4"/>
      <c r="E819" s="4" t="str">
        <f>IFERROR(__xludf.DUMMYFUNCTION("""COMPUTED_VALUE"""),"Sin precio neto G.C.")</f>
        <v>Sin precio neto G.C.</v>
      </c>
    </row>
    <row r="820">
      <c r="A820" s="4" t="str">
        <f>IFERROR(__xludf.DUMMYFUNCTION("""COMPUTED_VALUE"""),"0702/05")</f>
        <v>0702/05</v>
      </c>
      <c r="B820" s="4" t="str">
        <f>IFERROR(__xludf.DUMMYFUNCTION("""COMPUTED_VALUE"""),"Barrera protectora 200 cm largo x 100 cm altura tubo de")</f>
        <v>Barrera protectora 200 cm largo x 100 cm altura tubo de</v>
      </c>
      <c r="C820" s="4">
        <f>IFERROR(__xludf.DUMMYFUNCTION("""COMPUTED_VALUE"""),173.25)</f>
        <v>173.25</v>
      </c>
      <c r="D820" s="4"/>
      <c r="E820" s="4" t="str">
        <f>IFERROR(__xludf.DUMMYFUNCTION("""COMPUTED_VALUE"""),"Sin precio neto G.C.")</f>
        <v>Sin precio neto G.C.</v>
      </c>
    </row>
    <row r="821">
      <c r="A821" s="4" t="str">
        <f>IFERROR(__xludf.DUMMYFUNCTION("""COMPUTED_VALUE"""),"0702/06")</f>
        <v>0702/06</v>
      </c>
      <c r="B821" s="4" t="str">
        <f>IFERROR(__xludf.DUMMYFUNCTION("""COMPUTED_VALUE"""),"Barrera protectora 200 cm largo x 100 cm altura tubo 50x3mm")</f>
        <v>Barrera protectora 200 cm largo x 100 cm altura tubo 50x3mm</v>
      </c>
      <c r="C821" s="4">
        <f>IFERROR(__xludf.DUMMYFUNCTION("""COMPUTED_VALUE"""),223.125)</f>
        <v>223.125</v>
      </c>
      <c r="D821" s="4"/>
      <c r="E821" s="4" t="str">
        <f>IFERROR(__xludf.DUMMYFUNCTION("""COMPUTED_VALUE"""),"Sin precio neto G.C.")</f>
        <v>Sin precio neto G.C.</v>
      </c>
    </row>
    <row r="822">
      <c r="A822" s="4" t="str">
        <f>IFERROR(__xludf.DUMMYFUNCTION("""COMPUTED_VALUE"""),"0702/07")</f>
        <v>0702/07</v>
      </c>
      <c r="B822" s="4" t="str">
        <f>IFERROR(__xludf.DUMMYFUNCTION("""COMPUTED_VALUE"""),"Barrera protectora 200 cm largo x 100 cm altura tubo de")</f>
        <v>Barrera protectora 200 cm largo x 100 cm altura tubo de</v>
      </c>
      <c r="C822" s="4">
        <f>IFERROR(__xludf.DUMMYFUNCTION("""COMPUTED_VALUE"""),175.875)</f>
        <v>175.875</v>
      </c>
      <c r="D822" s="4"/>
      <c r="E822" s="4" t="str">
        <f>IFERROR(__xludf.DUMMYFUNCTION("""COMPUTED_VALUE"""),"Sin precio neto G.C.")</f>
        <v>Sin precio neto G.C.</v>
      </c>
    </row>
    <row r="823">
      <c r="A823" s="4" t="str">
        <f>IFERROR(__xludf.DUMMYFUNCTION("""COMPUTED_VALUE"""),"0702/08")</f>
        <v>0702/08</v>
      </c>
      <c r="B823" s="4" t="str">
        <f>IFERROR(__xludf.DUMMYFUNCTION("""COMPUTED_VALUE"""),"Barrera protectora 200 cm largo x 100 cm altura tubo de")</f>
        <v>Barrera protectora 200 cm largo x 100 cm altura tubo de</v>
      </c>
      <c r="C823" s="4">
        <f>IFERROR(__xludf.DUMMYFUNCTION("""COMPUTED_VALUE"""),236.25)</f>
        <v>236.25</v>
      </c>
      <c r="D823" s="4"/>
      <c r="E823" s="4" t="str">
        <f>IFERROR(__xludf.DUMMYFUNCTION("""COMPUTED_VALUE"""),"Sin precio neto G.C.")</f>
        <v>Sin precio neto G.C.</v>
      </c>
    </row>
    <row r="824">
      <c r="A824" s="4" t="str">
        <f>IFERROR(__xludf.DUMMYFUNCTION("""COMPUTED_VALUE"""),"0703/01")</f>
        <v>0703/01</v>
      </c>
      <c r="B824" s="4" t="str">
        <f>IFERROR(__xludf.DUMMYFUNCTION("""COMPUTED_VALUE"""),"Barrera protectora reforzada 100 cm largo x 100 cm altura tubo")</f>
        <v>Barrera protectora reforzada 100 cm largo x 100 cm altura tubo</v>
      </c>
      <c r="C824" s="4">
        <f>IFERROR(__xludf.DUMMYFUNCTION("""COMPUTED_VALUE"""),183.75)</f>
        <v>183.75</v>
      </c>
      <c r="D824" s="4"/>
      <c r="E824" s="4" t="str">
        <f>IFERROR(__xludf.DUMMYFUNCTION("""COMPUTED_VALUE"""),"Sin precio neto G.C.")</f>
        <v>Sin precio neto G.C.</v>
      </c>
    </row>
    <row r="825">
      <c r="A825" s="4" t="str">
        <f>IFERROR(__xludf.DUMMYFUNCTION("""COMPUTED_VALUE"""),"0703/02")</f>
        <v>0703/02</v>
      </c>
      <c r="B825" s="4" t="str">
        <f>IFERROR(__xludf.DUMMYFUNCTION("""COMPUTED_VALUE"""),"Barrera protectora reforzada 100 cm largo x 100 cm altura tubo")</f>
        <v>Barrera protectora reforzada 100 cm largo x 100 cm altura tubo</v>
      </c>
      <c r="C825" s="4">
        <f>IFERROR(__xludf.DUMMYFUNCTION("""COMPUTED_VALUE"""),147.0)</f>
        <v>147</v>
      </c>
      <c r="D825" s="4"/>
      <c r="E825" s="4" t="str">
        <f>IFERROR(__xludf.DUMMYFUNCTION("""COMPUTED_VALUE"""),"Sin precio neto G.C.")</f>
        <v>Sin precio neto G.C.</v>
      </c>
    </row>
    <row r="826">
      <c r="A826" s="4" t="str">
        <f>IFERROR(__xludf.DUMMYFUNCTION("""COMPUTED_VALUE"""),"0703/03")</f>
        <v>0703/03</v>
      </c>
      <c r="B826" s="4" t="str">
        <f>IFERROR(__xludf.DUMMYFUNCTION("""COMPUTED_VALUE"""),"Barrera protectora reforzada 100 cm largo x 100 cm altura tubo")</f>
        <v>Barrera protectora reforzada 100 cm largo x 100 cm altura tubo</v>
      </c>
      <c r="C826" s="4">
        <f>IFERROR(__xludf.DUMMYFUNCTION("""COMPUTED_VALUE"""),136.5)</f>
        <v>136.5</v>
      </c>
      <c r="D826" s="4"/>
      <c r="E826" s="4" t="str">
        <f>IFERROR(__xludf.DUMMYFUNCTION("""COMPUTED_VALUE"""),"Sin precio neto G.C.")</f>
        <v>Sin precio neto G.C.</v>
      </c>
    </row>
    <row r="827">
      <c r="A827" s="4" t="str">
        <f>IFERROR(__xludf.DUMMYFUNCTION("""COMPUTED_VALUE"""),"0703/04")</f>
        <v>0703/04</v>
      </c>
      <c r="B827" s="4" t="str">
        <f>IFERROR(__xludf.DUMMYFUNCTION("""COMPUTED_VALUE"""),"Barrera protectora reforzada 100 cm largo x 100 cm altura tubo")</f>
        <v>Barrera protectora reforzada 100 cm largo x 100 cm altura tubo</v>
      </c>
      <c r="C827" s="4">
        <f>IFERROR(__xludf.DUMMYFUNCTION("""COMPUTED_VALUE"""),183.75)</f>
        <v>183.75</v>
      </c>
      <c r="D827" s="4"/>
      <c r="E827" s="4" t="str">
        <f>IFERROR(__xludf.DUMMYFUNCTION("""COMPUTED_VALUE"""),"Sin precio neto G.C.")</f>
        <v>Sin precio neto G.C.</v>
      </c>
    </row>
    <row r="828">
      <c r="A828" s="4" t="str">
        <f>IFERROR(__xludf.DUMMYFUNCTION("""COMPUTED_VALUE"""),"0703/05")</f>
        <v>0703/05</v>
      </c>
      <c r="B828" s="4" t="str">
        <f>IFERROR(__xludf.DUMMYFUNCTION("""COMPUTED_VALUE"""),"Barrera protectora reforzada 200 cm largo x 100 cm altura tubo")</f>
        <v>Barrera protectora reforzada 200 cm largo x 100 cm altura tubo</v>
      </c>
      <c r="C828" s="4">
        <f>IFERROR(__xludf.DUMMYFUNCTION("""COMPUTED_VALUE"""),196.875)</f>
        <v>196.875</v>
      </c>
      <c r="D828" s="4"/>
      <c r="E828" s="4" t="str">
        <f>IFERROR(__xludf.DUMMYFUNCTION("""COMPUTED_VALUE"""),"Sin precio neto G.C.")</f>
        <v>Sin precio neto G.C.</v>
      </c>
    </row>
    <row r="829">
      <c r="A829" s="4" t="str">
        <f>IFERROR(__xludf.DUMMYFUNCTION("""COMPUTED_VALUE"""),"0703/06")</f>
        <v>0703/06</v>
      </c>
      <c r="B829" s="4" t="str">
        <f>IFERROR(__xludf.DUMMYFUNCTION("""COMPUTED_VALUE"""),"Barrera protectora reforzada 200 cm largo x 100 cm altura tubo")</f>
        <v>Barrera protectora reforzada 200 cm largo x 100 cm altura tubo</v>
      </c>
      <c r="C829" s="4">
        <f>IFERROR(__xludf.DUMMYFUNCTION("""COMPUTED_VALUE"""),223.125)</f>
        <v>223.125</v>
      </c>
      <c r="D829" s="4"/>
      <c r="E829" s="4" t="str">
        <f>IFERROR(__xludf.DUMMYFUNCTION("""COMPUTED_VALUE"""),"Sin precio neto G.C.")</f>
        <v>Sin precio neto G.C.</v>
      </c>
    </row>
    <row r="830">
      <c r="A830" s="4" t="str">
        <f>IFERROR(__xludf.DUMMYFUNCTION("""COMPUTED_VALUE"""),"0703/07")</f>
        <v>0703/07</v>
      </c>
      <c r="B830" s="4" t="str">
        <f>IFERROR(__xludf.DUMMYFUNCTION("""COMPUTED_VALUE"""),"Barrera protectora reforzada 200 cm largo x 100 cm altura tubo")</f>
        <v>Barrera protectora reforzada 200 cm largo x 100 cm altura tubo</v>
      </c>
      <c r="C830" s="4">
        <f>IFERROR(__xludf.DUMMYFUNCTION("""COMPUTED_VALUE"""),196.875)</f>
        <v>196.875</v>
      </c>
      <c r="D830" s="4"/>
      <c r="E830" s="4" t="str">
        <f>IFERROR(__xludf.DUMMYFUNCTION("""COMPUTED_VALUE"""),"Sin precio neto G.C.")</f>
        <v>Sin precio neto G.C.</v>
      </c>
    </row>
    <row r="831">
      <c r="A831" s="4" t="str">
        <f>IFERROR(__xludf.DUMMYFUNCTION("""COMPUTED_VALUE"""),"0703/08")</f>
        <v>0703/08</v>
      </c>
      <c r="B831" s="4" t="str">
        <f>IFERROR(__xludf.DUMMYFUNCTION("""COMPUTED_VALUE"""),"Barrera protectora reforzada 200 cm largo x 100 cm altiura tubo")</f>
        <v>Barrera protectora reforzada 200 cm largo x 100 cm altiura tubo</v>
      </c>
      <c r="C831" s="4">
        <f>IFERROR(__xludf.DUMMYFUNCTION("""COMPUTED_VALUE"""),246.75)</f>
        <v>246.75</v>
      </c>
      <c r="D831" s="4"/>
      <c r="E831" s="4" t="str">
        <f>IFERROR(__xludf.DUMMYFUNCTION("""COMPUTED_VALUE"""),"Sin precio neto G.C.")</f>
        <v>Sin precio neto G.C.</v>
      </c>
    </row>
    <row r="832">
      <c r="A832" s="4" t="str">
        <f>IFERROR(__xludf.DUMMYFUNCTION("""COMPUTED_VALUE"""),"0704/01")</f>
        <v>0704/01</v>
      </c>
      <c r="B832" s="4" t="str">
        <f>IFERROR(__xludf.DUMMYFUNCTION("""COMPUTED_VALUE"""),"Bolardo acero N/A 100 cm altura tubo 60x2mm")</f>
        <v>Bolardo acero N/A 100 cm altura tubo 60x2mm</v>
      </c>
      <c r="C832" s="4">
        <f>IFERROR(__xludf.DUMMYFUNCTION("""COMPUTED_VALUE"""),63.0)</f>
        <v>63</v>
      </c>
      <c r="D832" s="4"/>
      <c r="E832" s="4" t="str">
        <f>IFERROR(__xludf.DUMMYFUNCTION("""COMPUTED_VALUE"""),"Sin precio neto G.C.")</f>
        <v>Sin precio neto G.C.</v>
      </c>
    </row>
    <row r="833">
      <c r="A833" s="4" t="str">
        <f>IFERROR(__xludf.DUMMYFUNCTION("""COMPUTED_VALUE"""),"0704/02")</f>
        <v>0704/02</v>
      </c>
      <c r="B833" s="4" t="str">
        <f>IFERROR(__xludf.DUMMYFUNCTION("""COMPUTED_VALUE"""),"Bolardo acero N/A 100 cm altura tubo de 80x2mm")</f>
        <v>Bolardo acero N/A 100 cm altura tubo de 80x2mm</v>
      </c>
      <c r="C833" s="4">
        <f>IFERROR(__xludf.DUMMYFUNCTION("""COMPUTED_VALUE"""),78.75)</f>
        <v>78.75</v>
      </c>
      <c r="D833" s="4"/>
      <c r="E833" s="4" t="str">
        <f>IFERROR(__xludf.DUMMYFUNCTION("""COMPUTED_VALUE"""),"Sin precio neto G.C.")</f>
        <v>Sin precio neto G.C.</v>
      </c>
    </row>
    <row r="834">
      <c r="A834" s="4" t="str">
        <f>IFERROR(__xludf.DUMMYFUNCTION("""COMPUTED_VALUE"""),"0705/01")</f>
        <v>0705/01</v>
      </c>
      <c r="B834" s="4" t="str">
        <f>IFERROR(__xludf.DUMMYFUNCTION("""COMPUTED_VALUE"""),"Zocalo proteccion 200 cm largo x 6,6 cm altura tubo de")</f>
        <v>Zocalo proteccion 200 cm largo x 6,6 cm altura tubo de</v>
      </c>
      <c r="C834" s="4">
        <f>IFERROR(__xludf.DUMMYFUNCTION("""COMPUTED_VALUE"""),99.75)</f>
        <v>99.75</v>
      </c>
      <c r="D834" s="4"/>
      <c r="E834" s="4" t="str">
        <f>IFERROR(__xludf.DUMMYFUNCTION("""COMPUTED_VALUE"""),"Sin precio neto G.C.")</f>
        <v>Sin precio neto G.C.</v>
      </c>
    </row>
    <row r="835">
      <c r="A835" s="4" t="str">
        <f>IFERROR(__xludf.DUMMYFUNCTION("""COMPUTED_VALUE"""),"0705/02")</f>
        <v>0705/02</v>
      </c>
      <c r="B835" s="4" t="str">
        <f>IFERROR(__xludf.DUMMYFUNCTION("""COMPUTED_VALUE"""),"Zocalo proteccion 200 cm largo x 8,6 cm altura tubo de")</f>
        <v>Zocalo proteccion 200 cm largo x 8,6 cm altura tubo de</v>
      </c>
      <c r="C835" s="4">
        <f>IFERROR(__xludf.DUMMYFUNCTION("""COMPUTED_VALUE"""),118.125)</f>
        <v>118.125</v>
      </c>
      <c r="D835" s="4"/>
      <c r="E835" s="4" t="str">
        <f>IFERROR(__xludf.DUMMYFUNCTION("""COMPUTED_VALUE"""),"Sin precio neto G.C.")</f>
        <v>Sin precio neto G.C.</v>
      </c>
    </row>
    <row r="836">
      <c r="A836" s="4" t="str">
        <f>IFERROR(__xludf.DUMMYFUNCTION("""COMPUTED_VALUE"""),"706")</f>
        <v>706</v>
      </c>
      <c r="B836" s="4" t="str">
        <f>IFERROR(__xludf.DUMMYFUNCTION("""COMPUTED_VALUE"""),"Placa Taller 50x50 cm personalizable")</f>
        <v>Placa Taller 50x50 cm personalizable</v>
      </c>
      <c r="C836" s="4">
        <f>IFERROR(__xludf.DUMMYFUNCTION("""COMPUTED_VALUE"""),11.25)</f>
        <v>11.25</v>
      </c>
      <c r="D836" s="4"/>
      <c r="E836" s="4" t="str">
        <f>IFERROR(__xludf.DUMMYFUNCTION("""COMPUTED_VALUE"""),"Sin precio neto G.C.")</f>
        <v>Sin precio neto G.C.</v>
      </c>
    </row>
    <row r="837">
      <c r="A837" s="4" t="str">
        <f>IFERROR(__xludf.DUMMYFUNCTION("""COMPUTED_VALUE"""),"708")</f>
        <v>708</v>
      </c>
      <c r="B837" s="4" t="str">
        <f>IFERROR(__xludf.DUMMYFUNCTION("""COMPUTED_VALUE"""),"Conjunto prohibido aparcar + trípode con plesilla")</f>
        <v>Conjunto prohibido aparcar + trípode con plesilla</v>
      </c>
      <c r="C837" s="4">
        <f>IFERROR(__xludf.DUMMYFUNCTION("""COMPUTED_VALUE"""),31.0)</f>
        <v>31</v>
      </c>
      <c r="D837" s="4"/>
      <c r="E837" s="4" t="str">
        <f>IFERROR(__xludf.DUMMYFUNCTION("""COMPUTED_VALUE"""),"Sin precio neto G.C.")</f>
        <v>Sin precio neto G.C.</v>
      </c>
    </row>
    <row r="838">
      <c r="A838" s="4" t="str">
        <f>IFERROR(__xludf.DUMMYFUNCTION("""COMPUTED_VALUE"""),"710")</f>
        <v>710</v>
      </c>
      <c r="B838" s="4" t="str">
        <f>IFERROR(__xludf.DUMMYFUNCTION("""COMPUTED_VALUE"""),"Placa mercancias peligrosas fija 40x30 troquelada")</f>
        <v>Placa mercancias peligrosas fija 40x30 troquelada</v>
      </c>
      <c r="C838" s="4">
        <f>IFERROR(__xludf.DUMMYFUNCTION("""COMPUTED_VALUE"""),32.9)</f>
        <v>32.9</v>
      </c>
      <c r="D838" s="4"/>
      <c r="E838" s="4" t="str">
        <f>IFERROR(__xludf.DUMMYFUNCTION("""COMPUTED_VALUE"""),"Sin precio neto G.C.")</f>
        <v>Sin precio neto G.C.</v>
      </c>
    </row>
    <row r="839">
      <c r="A839" s="4" t="str">
        <f>IFERROR(__xludf.DUMMYFUNCTION("""COMPUTED_VALUE"""),"0710T")</f>
        <v>0710T</v>
      </c>
      <c r="B839" s="4" t="str">
        <f>IFERROR(__xludf.DUMMYFUNCTION("""COMPUTED_VALUE"""),"Placa mercancia peligrosa plegable sin troquelar 40x30")</f>
        <v>Placa mercancia peligrosa plegable sin troquelar 40x30</v>
      </c>
      <c r="C839" s="4">
        <f>IFERROR(__xludf.DUMMYFUNCTION("""COMPUTED_VALUE"""),22.1)</f>
        <v>22.1</v>
      </c>
      <c r="D839" s="4"/>
      <c r="E839" s="4" t="str">
        <f>IFERROR(__xludf.DUMMYFUNCTION("""COMPUTED_VALUE"""),"Sin precio neto G.C.")</f>
        <v>Sin precio neto G.C.</v>
      </c>
    </row>
    <row r="840">
      <c r="A840" s="4" t="str">
        <f>IFERROR(__xludf.DUMMYFUNCTION("""COMPUTED_VALUE"""),"711")</f>
        <v>711</v>
      </c>
      <c r="B840" s="4" t="str">
        <f>IFERROR(__xludf.DUMMYFUNCTION("""COMPUTED_VALUE"""),"Disco nacional 20 cm diám Limitacion Velocidad alumin, Reflex")</f>
        <v>Disco nacional 20 cm diám Limitacion Velocidad alumin, Reflex</v>
      </c>
      <c r="C840" s="4">
        <f>IFERROR(__xludf.DUMMYFUNCTION("""COMPUTED_VALUE"""),8.0)</f>
        <v>8</v>
      </c>
      <c r="D840" s="4"/>
      <c r="E840" s="4" t="str">
        <f>IFERROR(__xludf.DUMMYFUNCTION("""COMPUTED_VALUE"""),"Sin precio neto G.C.")</f>
        <v>Sin precio neto G.C.</v>
      </c>
    </row>
    <row r="841">
      <c r="A841" s="4" t="str">
        <f>IFERROR(__xludf.DUMMYFUNCTION("""COMPUTED_VALUE"""),"0711/20")</f>
        <v>0711/20</v>
      </c>
      <c r="B841" s="4" t="str">
        <f>IFERROR(__xludf.DUMMYFUNCTION("""COMPUTED_VALUE"""),"Disco alum. diam.20cm Lim Velocidad 20 Reflex 2")</f>
        <v>Disco alum. diam.20cm Lim Velocidad 20 Reflex 2</v>
      </c>
      <c r="C841" s="4">
        <f>IFERROR(__xludf.DUMMYFUNCTION("""COMPUTED_VALUE"""),7.875)</f>
        <v>7.875</v>
      </c>
      <c r="D841" s="4"/>
      <c r="E841" s="4" t="str">
        <f>IFERROR(__xludf.DUMMYFUNCTION("""COMPUTED_VALUE"""),"Sin precio neto G.C.")</f>
        <v>Sin precio neto G.C.</v>
      </c>
    </row>
    <row r="842">
      <c r="A842" s="4" t="str">
        <f>IFERROR(__xludf.DUMMYFUNCTION("""COMPUTED_VALUE"""),"0711/25")</f>
        <v>0711/25</v>
      </c>
      <c r="B842" s="4" t="str">
        <f>IFERROR(__xludf.DUMMYFUNCTION("""COMPUTED_VALUE"""),"Disco alum. diam.20cm Lim Velocidad 25 Reflex 2")</f>
        <v>Disco alum. diam.20cm Lim Velocidad 25 Reflex 2</v>
      </c>
      <c r="C842" s="4">
        <f>IFERROR(__xludf.DUMMYFUNCTION("""COMPUTED_VALUE"""),7.875)</f>
        <v>7.875</v>
      </c>
      <c r="D842" s="4"/>
      <c r="E842" s="4" t="str">
        <f>IFERROR(__xludf.DUMMYFUNCTION("""COMPUTED_VALUE"""),"Sin precio neto G.C.")</f>
        <v>Sin precio neto G.C.</v>
      </c>
    </row>
    <row r="843">
      <c r="A843" s="4" t="str">
        <f>IFERROR(__xludf.DUMMYFUNCTION("""COMPUTED_VALUE"""),"0711/30")</f>
        <v>0711/30</v>
      </c>
      <c r="B843" s="4" t="str">
        <f>IFERROR(__xludf.DUMMYFUNCTION("""COMPUTED_VALUE"""),"Disco alum. diam.20cm Lim Velocidad 30 Reflex 2")</f>
        <v>Disco alum. diam.20cm Lim Velocidad 30 Reflex 2</v>
      </c>
      <c r="C843" s="4">
        <f>IFERROR(__xludf.DUMMYFUNCTION("""COMPUTED_VALUE"""),7.875)</f>
        <v>7.875</v>
      </c>
      <c r="D843" s="4"/>
      <c r="E843" s="4" t="str">
        <f>IFERROR(__xludf.DUMMYFUNCTION("""COMPUTED_VALUE"""),"Sin precio neto G.C.")</f>
        <v>Sin precio neto G.C.</v>
      </c>
    </row>
    <row r="844">
      <c r="A844" s="4" t="str">
        <f>IFERROR(__xludf.DUMMYFUNCTION("""COMPUTED_VALUE"""),"0711/35")</f>
        <v>0711/35</v>
      </c>
      <c r="B844" s="4" t="str">
        <f>IFERROR(__xludf.DUMMYFUNCTION("""COMPUTED_VALUE"""),"Disco alum. diam.20cm Lim Velocidad 35 Reflex 2")</f>
        <v>Disco alum. diam.20cm Lim Velocidad 35 Reflex 2</v>
      </c>
      <c r="C844" s="4">
        <f>IFERROR(__xludf.DUMMYFUNCTION("""COMPUTED_VALUE"""),7.875)</f>
        <v>7.875</v>
      </c>
      <c r="D844" s="4"/>
      <c r="E844" s="4" t="str">
        <f>IFERROR(__xludf.DUMMYFUNCTION("""COMPUTED_VALUE"""),"Sin precio neto G.C.")</f>
        <v>Sin precio neto G.C.</v>
      </c>
    </row>
    <row r="845">
      <c r="A845" s="4" t="str">
        <f>IFERROR(__xludf.DUMMYFUNCTION("""COMPUTED_VALUE"""),"0711/40")</f>
        <v>0711/40</v>
      </c>
      <c r="B845" s="4" t="str">
        <f>IFERROR(__xludf.DUMMYFUNCTION("""COMPUTED_VALUE"""),"Disco alum. diam.20cm Lim Velocidad 40 Reflex 2")</f>
        <v>Disco alum. diam.20cm Lim Velocidad 40 Reflex 2</v>
      </c>
      <c r="C845" s="4">
        <f>IFERROR(__xludf.DUMMYFUNCTION("""COMPUTED_VALUE"""),7.875)</f>
        <v>7.875</v>
      </c>
      <c r="D845" s="4"/>
      <c r="E845" s="4" t="str">
        <f>IFERROR(__xludf.DUMMYFUNCTION("""COMPUTED_VALUE"""),"Sin precio neto G.C.")</f>
        <v>Sin precio neto G.C.</v>
      </c>
    </row>
    <row r="846">
      <c r="A846" s="4" t="str">
        <f>IFERROR(__xludf.DUMMYFUNCTION("""COMPUTED_VALUE"""),"0711/45")</f>
        <v>0711/45</v>
      </c>
      <c r="B846" s="4" t="str">
        <f>IFERROR(__xludf.DUMMYFUNCTION("""COMPUTED_VALUE"""),"Disco alum. diam.20cm Lim Velocidad 45 Reflex 2")</f>
        <v>Disco alum. diam.20cm Lim Velocidad 45 Reflex 2</v>
      </c>
      <c r="C846" s="4">
        <f>IFERROR(__xludf.DUMMYFUNCTION("""COMPUTED_VALUE"""),7.875)</f>
        <v>7.875</v>
      </c>
      <c r="D846" s="4"/>
      <c r="E846" s="4" t="str">
        <f>IFERROR(__xludf.DUMMYFUNCTION("""COMPUTED_VALUE"""),"Sin precio neto G.C.")</f>
        <v>Sin precio neto G.C.</v>
      </c>
    </row>
    <row r="847">
      <c r="A847" s="4" t="str">
        <f>IFERROR(__xludf.DUMMYFUNCTION("""COMPUTED_VALUE"""),"712")</f>
        <v>712</v>
      </c>
      <c r="B847" s="4" t="str">
        <f>IFERROR(__xludf.DUMMYFUNCTION("""COMPUTED_VALUE"""),"Placa Servicio Público 75x150 mm aluminiro Reflex 2")</f>
        <v>Placa Servicio Público 75x150 mm aluminiro Reflex 2</v>
      </c>
      <c r="C847" s="4">
        <f>IFERROR(__xludf.DUMMYFUNCTION("""COMPUTED_VALUE"""),4.25)</f>
        <v>4.25</v>
      </c>
      <c r="D847" s="4"/>
      <c r="E847" s="4" t="str">
        <f>IFERROR(__xludf.DUMMYFUNCTION("""COMPUTED_VALUE"""),"Sin precio neto G.C.")</f>
        <v>Sin precio neto G.C.</v>
      </c>
    </row>
    <row r="848">
      <c r="A848" s="4" t="str">
        <f>IFERROR(__xludf.DUMMYFUNCTION("""COMPUTED_VALUE"""),"713")</f>
        <v>713</v>
      </c>
      <c r="B848" s="4" t="str">
        <f>IFERROR(__xludf.DUMMYFUNCTION("""COMPUTED_VALUE"""),"Placa Servicio Público 120x225 mm aluminio Reflex N2")</f>
        <v>Placa Servicio Público 120x225 mm aluminio Reflex N2</v>
      </c>
      <c r="C848" s="4">
        <f>IFERROR(__xludf.DUMMYFUNCTION("""COMPUTED_VALUE"""),6.75)</f>
        <v>6.75</v>
      </c>
      <c r="D848" s="4"/>
      <c r="E848" s="4" t="str">
        <f>IFERROR(__xludf.DUMMYFUNCTION("""COMPUTED_VALUE"""),"Sin precio neto G.C.")</f>
        <v>Sin precio neto G.C.</v>
      </c>
    </row>
    <row r="849">
      <c r="A849" s="4" t="str">
        <f>IFERROR(__xludf.DUMMYFUNCTION("""COMPUTED_VALUE"""),"714")</f>
        <v>714</v>
      </c>
      <c r="B849" s="4" t="str">
        <f>IFERROR(__xludf.DUMMYFUNCTION("""COMPUTED_VALUE"""),"Señal Transporte Animales Vivos aluminio 30x22 cm")</f>
        <v>Señal Transporte Animales Vivos aluminio 30x22 cm</v>
      </c>
      <c r="C849" s="4">
        <f>IFERROR(__xludf.DUMMYFUNCTION("""COMPUTED_VALUE"""),7.75)</f>
        <v>7.75</v>
      </c>
      <c r="D849" s="4"/>
      <c r="E849" s="4" t="str">
        <f>IFERROR(__xludf.DUMMYFUNCTION("""COMPUTED_VALUE"""),"Sin precio neto G.C.")</f>
        <v>Sin precio neto G.C.</v>
      </c>
    </row>
    <row r="850">
      <c r="A850" s="4" t="str">
        <f>IFERROR(__xludf.DUMMYFUNCTION("""COMPUTED_VALUE"""),"715")</f>
        <v>715</v>
      </c>
      <c r="B850" s="4" t="str">
        <f>IFERROR(__xludf.DUMMYFUNCTION("""COMPUTED_VALUE"""),"Señal adhesiva de TARA P.M.A. 130x330 mm")</f>
        <v>Señal adhesiva de TARA P.M.A. 130x330 mm</v>
      </c>
      <c r="C850" s="4">
        <f>IFERROR(__xludf.DUMMYFUNCTION("""COMPUTED_VALUE"""),2.0)</f>
        <v>2</v>
      </c>
      <c r="D850" s="4"/>
      <c r="E850" s="4" t="str">
        <f>IFERROR(__xludf.DUMMYFUNCTION("""COMPUTED_VALUE"""),"Sin precio neto G.C.")</f>
        <v>Sin precio neto G.C.</v>
      </c>
    </row>
    <row r="851">
      <c r="A851" s="4" t="str">
        <f>IFERROR(__xludf.DUMMYFUNCTION("""COMPUTED_VALUE"""),"716")</f>
        <v>716</v>
      </c>
      <c r="B851" s="4" t="str">
        <f>IFERROR(__xludf.DUMMYFUNCTION("""COMPUTED_VALUE"""),"Placa Vehículo Lento 365 mm de lado aluminio Reflex N2")</f>
        <v>Placa Vehículo Lento 365 mm de lado aluminio Reflex N2</v>
      </c>
      <c r="C851" s="4">
        <f>IFERROR(__xludf.DUMMYFUNCTION("""COMPUTED_VALUE"""),21.0)</f>
        <v>21</v>
      </c>
      <c r="D851" s="4"/>
      <c r="E851" s="4" t="str">
        <f>IFERROR(__xludf.DUMMYFUNCTION("""COMPUTED_VALUE"""),"Sin precio neto G.C.")</f>
        <v>Sin precio neto G.C.</v>
      </c>
    </row>
    <row r="852">
      <c r="A852" s="4" t="str">
        <f>IFERROR(__xludf.DUMMYFUNCTION("""COMPUTED_VALUE"""),"717")</f>
        <v>717</v>
      </c>
      <c r="B852" s="4" t="str">
        <f>IFERROR(__xludf.DUMMYFUNCTION("""COMPUTED_VALUE"""),"Placa R-70 corta 565x200mm vehic. largo (juego2 pzas)")</f>
        <v>Placa R-70 corta 565x200mm vehic. largo (juego2 pzas)</v>
      </c>
      <c r="C852" s="4">
        <f>IFERROR(__xludf.DUMMYFUNCTION("""COMPUTED_VALUE"""),34.0)</f>
        <v>34</v>
      </c>
      <c r="D852" s="4"/>
      <c r="E852" s="4" t="str">
        <f>IFERROR(__xludf.DUMMYFUNCTION("""COMPUTED_VALUE"""),"Sin precio neto G.C.")</f>
        <v>Sin precio neto G.C.</v>
      </c>
    </row>
    <row r="853">
      <c r="A853" s="4" t="str">
        <f>IFERROR(__xludf.DUMMYFUNCTION("""COMPUTED_VALUE"""),"0717/L")</f>
        <v>0717/L</v>
      </c>
      <c r="B853" s="4" t="str">
        <f>IFERROR(__xludf.DUMMYFUNCTION("""COMPUTED_VALUE"""),"Placa 1130x200mm vehículo Largo Reflex N2 Homol. Europea")</f>
        <v>Placa 1130x200mm vehículo Largo Reflex N2 Homol. Europea</v>
      </c>
      <c r="C853" s="4">
        <f>IFERROR(__xludf.DUMMYFUNCTION("""COMPUTED_VALUE"""),28.0)</f>
        <v>28</v>
      </c>
      <c r="D853" s="4"/>
      <c r="E853" s="4" t="str">
        <f>IFERROR(__xludf.DUMMYFUNCTION("""COMPUTED_VALUE"""),"Sin precio neto G.C.")</f>
        <v>Sin precio neto G.C.</v>
      </c>
    </row>
    <row r="854">
      <c r="A854" s="4" t="str">
        <f>IFERROR(__xludf.DUMMYFUNCTION("""COMPUTED_VALUE"""),"719")</f>
        <v>719</v>
      </c>
      <c r="B854" s="4" t="str">
        <f>IFERROR(__xludf.DUMMYFUNCTION("""COMPUTED_VALUE"""),"Placa 1ª categ COTO PRIVADO DE CAZA + matric. Troquel.")</f>
        <v>Placa 1ª categ COTO PRIVADO DE CAZA + matric. Troquel.</v>
      </c>
      <c r="C854" s="4">
        <f>IFERROR(__xludf.DUMMYFUNCTION("""COMPUTED_VALUE"""),11.0)</f>
        <v>11</v>
      </c>
      <c r="D854" s="4"/>
      <c r="E854" s="4" t="str">
        <f>IFERROR(__xludf.DUMMYFUNCTION("""COMPUTED_VALUE"""),"Sin precio neto G.C.")</f>
        <v>Sin precio neto G.C.</v>
      </c>
    </row>
    <row r="855">
      <c r="A855" s="4" t="str">
        <f>IFERROR(__xludf.DUMMYFUNCTION("""COMPUTED_VALUE"""),"720")</f>
        <v>720</v>
      </c>
      <c r="B855" s="4" t="str">
        <f>IFERROR(__xludf.DUMMYFUNCTION("""COMPUTED_VALUE"""),"Placa 2ª categ. COTO DE CAZA 30X20 cm")</f>
        <v>Placa 2ª categ. COTO DE CAZA 30X20 cm</v>
      </c>
      <c r="C855" s="4">
        <f>IFERROR(__xludf.DUMMYFUNCTION("""COMPUTED_VALUE"""),6.0)</f>
        <v>6</v>
      </c>
      <c r="D855" s="4"/>
      <c r="E855" s="4" t="str">
        <f>IFERROR(__xludf.DUMMYFUNCTION("""COMPUTED_VALUE"""),"Sin precio neto G.C.")</f>
        <v>Sin precio neto G.C.</v>
      </c>
    </row>
    <row r="856">
      <c r="A856" s="4" t="str">
        <f>IFERROR(__xludf.DUMMYFUNCTION("""COMPUTED_VALUE"""),"721")</f>
        <v>721</v>
      </c>
      <c r="B856" s="4" t="str">
        <f>IFERROR(__xludf.DUMMYFUNCTION("""COMPUTED_VALUE"""),"Placa Nº puerta aluminio 19x14cm azul")</f>
        <v>Placa Nº puerta aluminio 19x14cm azul</v>
      </c>
      <c r="C856" s="4">
        <f>IFERROR(__xludf.DUMMYFUNCTION("""COMPUTED_VALUE"""),4.0)</f>
        <v>4</v>
      </c>
      <c r="D856" s="4"/>
      <c r="E856" s="4" t="str">
        <f>IFERROR(__xludf.DUMMYFUNCTION("""COMPUTED_VALUE"""),"Sin precio neto G.C.")</f>
        <v>Sin precio neto G.C.</v>
      </c>
    </row>
    <row r="857">
      <c r="A857" s="4" t="str">
        <f>IFERROR(__xludf.DUMMYFUNCTION("""COMPUTED_VALUE"""),"722")</f>
        <v>722</v>
      </c>
      <c r="B857" s="4" t="str">
        <f>IFERROR(__xludf.DUMMYFUNCTION("""COMPUTED_VALUE"""),"Placa V-10 transporte escolar 20x20 Reflex 2 Homologada")</f>
        <v>Placa V-10 transporte escolar 20x20 Reflex 2 Homologada</v>
      </c>
      <c r="C857" s="4">
        <f>IFERROR(__xludf.DUMMYFUNCTION("""COMPUTED_VALUE"""),10.6)</f>
        <v>10.6</v>
      </c>
      <c r="D857" s="4"/>
      <c r="E857" s="4" t="str">
        <f>IFERROR(__xludf.DUMMYFUNCTION("""COMPUTED_VALUE"""),"Sin precio neto G.C.")</f>
        <v>Sin precio neto G.C.</v>
      </c>
    </row>
    <row r="858">
      <c r="A858" s="4" t="str">
        <f>IFERROR(__xludf.DUMMYFUNCTION("""COMPUTED_VALUE"""),"726")</f>
        <v>726</v>
      </c>
      <c r="B858" s="4" t="str">
        <f>IFERROR(__xludf.DUMMYFUNCTION("""COMPUTED_VALUE"""),"Bocina neumática a mano")</f>
        <v>Bocina neumática a mano</v>
      </c>
      <c r="C858" s="4">
        <f>IFERROR(__xludf.DUMMYFUNCTION("""COMPUTED_VALUE"""),21.0)</f>
        <v>21</v>
      </c>
      <c r="D858" s="4"/>
      <c r="E858" s="4" t="str">
        <f>IFERROR(__xludf.DUMMYFUNCTION("""COMPUTED_VALUE"""),"Sin precio neto G.C.")</f>
        <v>Sin precio neto G.C.</v>
      </c>
    </row>
    <row r="859">
      <c r="A859" s="4" t="str">
        <f>IFERROR(__xludf.DUMMYFUNCTION("""COMPUTED_VALUE"""),"727")</f>
        <v>727</v>
      </c>
      <c r="B859" s="4" t="str">
        <f>IFERROR(__xludf.DUMMYFUNCTION("""COMPUTED_VALUE"""),"Pinzas más cable para batería 400 Ah")</f>
        <v>Pinzas más cable para batería 400 Ah</v>
      </c>
      <c r="C859" s="4">
        <f>IFERROR(__xludf.DUMMYFUNCTION("""COMPUTED_VALUE"""),17.0)</f>
        <v>17</v>
      </c>
      <c r="D859" s="4"/>
      <c r="E859" s="4" t="str">
        <f>IFERROR(__xludf.DUMMYFUNCTION("""COMPUTED_VALUE"""),"Sin precio neto G.C.")</f>
        <v>Sin precio neto G.C.</v>
      </c>
    </row>
    <row r="860">
      <c r="A860" s="4" t="str">
        <f>IFERROR(__xludf.DUMMYFUNCTION("""COMPUTED_VALUE"""),"728")</f>
        <v>728</v>
      </c>
      <c r="B860" s="4" t="str">
        <f>IFERROR(__xludf.DUMMYFUNCTION("""COMPUTED_VALUE"""),"Reductor tensión 24 a 12 v")</f>
        <v>Reductor tensión 24 a 12 v</v>
      </c>
      <c r="C860" s="4">
        <f>IFERROR(__xludf.DUMMYFUNCTION("""COMPUTED_VALUE"""),141.25)</f>
        <v>141.25</v>
      </c>
      <c r="D860" s="4"/>
      <c r="E860" s="4" t="str">
        <f>IFERROR(__xludf.DUMMYFUNCTION("""COMPUTED_VALUE"""),"Sin precio neto G.C.")</f>
        <v>Sin precio neto G.C.</v>
      </c>
    </row>
    <row r="861">
      <c r="A861" s="4" t="str">
        <f>IFERROR(__xludf.DUMMYFUNCTION("""COMPUTED_VALUE"""),"730")</f>
        <v>730</v>
      </c>
      <c r="B861" s="4" t="str">
        <f>IFERROR(__xludf.DUMMYFUNCTION("""COMPUTED_VALUE"""),"Pinza negra - 80 Ah")</f>
        <v>Pinza negra - 80 Ah</v>
      </c>
      <c r="C861" s="4">
        <f>IFERROR(__xludf.DUMMYFUNCTION("""COMPUTED_VALUE"""),1.9)</f>
        <v>1.9</v>
      </c>
      <c r="D861" s="4"/>
      <c r="E861" s="4" t="str">
        <f>IFERROR(__xludf.DUMMYFUNCTION("""COMPUTED_VALUE"""),"Sin precio neto G.C.")</f>
        <v>Sin precio neto G.C.</v>
      </c>
    </row>
    <row r="862">
      <c r="A862" s="4" t="str">
        <f>IFERROR(__xludf.DUMMYFUNCTION("""COMPUTED_VALUE"""),"731")</f>
        <v>731</v>
      </c>
      <c r="B862" s="4" t="str">
        <f>IFERROR(__xludf.DUMMYFUNCTION("""COMPUTED_VALUE"""),"Pinza Roja + 80 Ah")</f>
        <v>Pinza Roja + 80 Ah</v>
      </c>
      <c r="C862" s="4">
        <f>IFERROR(__xludf.DUMMYFUNCTION("""COMPUTED_VALUE"""),1.9)</f>
        <v>1.9</v>
      </c>
      <c r="D862" s="4"/>
      <c r="E862" s="4" t="str">
        <f>IFERROR(__xludf.DUMMYFUNCTION("""COMPUTED_VALUE"""),"Sin precio neto G.C.")</f>
        <v>Sin precio neto G.C.</v>
      </c>
    </row>
    <row r="863">
      <c r="A863" s="4" t="str">
        <f>IFERROR(__xludf.DUMMYFUNCTION("""COMPUTED_VALUE"""),"732")</f>
        <v>732</v>
      </c>
      <c r="B863" s="4" t="str">
        <f>IFERROR(__xludf.DUMMYFUNCTION("""COMPUTED_VALUE"""),"Pinza Negra - 500 Ah")</f>
        <v>Pinza Negra - 500 Ah</v>
      </c>
      <c r="C863" s="4">
        <f>IFERROR(__xludf.DUMMYFUNCTION("""COMPUTED_VALUE"""),14.5)</f>
        <v>14.5</v>
      </c>
      <c r="D863" s="4"/>
      <c r="E863" s="4" t="str">
        <f>IFERROR(__xludf.DUMMYFUNCTION("""COMPUTED_VALUE"""),"Sin precio neto G.C.")</f>
        <v>Sin precio neto G.C.</v>
      </c>
    </row>
    <row r="864">
      <c r="A864" s="4" t="str">
        <f>IFERROR(__xludf.DUMMYFUNCTION("""COMPUTED_VALUE"""),"733")</f>
        <v>733</v>
      </c>
      <c r="B864" s="4" t="str">
        <f>IFERROR(__xludf.DUMMYFUNCTION("""COMPUTED_VALUE"""),"Pinza Roja + 500 Ah")</f>
        <v>Pinza Roja + 500 Ah</v>
      </c>
      <c r="C864" s="4">
        <f>IFERROR(__xludf.DUMMYFUNCTION("""COMPUTED_VALUE"""),14.5)</f>
        <v>14.5</v>
      </c>
      <c r="D864" s="4"/>
      <c r="E864" s="4" t="str">
        <f>IFERROR(__xludf.DUMMYFUNCTION("""COMPUTED_VALUE"""),"Sin precio neto G.C.")</f>
        <v>Sin precio neto G.C.</v>
      </c>
    </row>
    <row r="865">
      <c r="A865" s="4" t="str">
        <f>IFERROR(__xludf.DUMMYFUNCTION("""COMPUTED_VALUE"""),"750")</f>
        <v>750</v>
      </c>
      <c r="B865" s="4" t="str">
        <f>IFERROR(__xludf.DUMMYFUNCTION("""COMPUTED_VALUE"""),"Señal plástica 60 cm reflectante triangular para conos")</f>
        <v>Señal plástica 60 cm reflectante triangular para conos</v>
      </c>
      <c r="C865" s="4">
        <f>IFERROR(__xludf.DUMMYFUNCTION("""COMPUTED_VALUE"""),14.95)</f>
        <v>14.95</v>
      </c>
      <c r="D865" s="4"/>
      <c r="E865" s="4" t="str">
        <f>IFERROR(__xludf.DUMMYFUNCTION("""COMPUTED_VALUE"""),"Sin precio neto G.C.")</f>
        <v>Sin precio neto G.C.</v>
      </c>
    </row>
    <row r="866">
      <c r="A866" s="4" t="str">
        <f>IFERROR(__xludf.DUMMYFUNCTION("""COMPUTED_VALUE"""),"751")</f>
        <v>751</v>
      </c>
      <c r="B866" s="4" t="str">
        <f>IFERROR(__xludf.DUMMYFUNCTION("""COMPUTED_VALUE"""),"Señal plástica 60x30 cm reflectante rectangular para conos")</f>
        <v>Señal plástica 60x30 cm reflectante rectangular para conos</v>
      </c>
      <c r="C866" s="4">
        <f>IFERROR(__xludf.DUMMYFUNCTION("""COMPUTED_VALUE"""),14.95)</f>
        <v>14.95</v>
      </c>
      <c r="D866" s="4"/>
      <c r="E866" s="4" t="str">
        <f>IFERROR(__xludf.DUMMYFUNCTION("""COMPUTED_VALUE"""),"Sin precio neto G.C.")</f>
        <v>Sin precio neto G.C.</v>
      </c>
    </row>
    <row r="867">
      <c r="A867" s="4" t="str">
        <f>IFERROR(__xludf.DUMMYFUNCTION("""COMPUTED_VALUE"""),"752")</f>
        <v>752</v>
      </c>
      <c r="B867" s="4" t="str">
        <f>IFERROR(__xludf.DUMMYFUNCTION("""COMPUTED_VALUE"""),"Señal plástica 60 cm reflectante circular para conos")</f>
        <v>Señal plástica 60 cm reflectante circular para conos</v>
      </c>
      <c r="C867" s="4">
        <f>IFERROR(__xludf.DUMMYFUNCTION("""COMPUTED_VALUE"""),14.95)</f>
        <v>14.95</v>
      </c>
      <c r="D867" s="4"/>
      <c r="E867" s="4" t="str">
        <f>IFERROR(__xludf.DUMMYFUNCTION("""COMPUTED_VALUE"""),"Sin precio neto G.C.")</f>
        <v>Sin precio neto G.C.</v>
      </c>
    </row>
    <row r="868">
      <c r="A868" s="4" t="str">
        <f>IFERROR(__xludf.DUMMYFUNCTION("""COMPUTED_VALUE"""),"753")</f>
        <v>753</v>
      </c>
      <c r="B868" s="4" t="str">
        <f>IFERROR(__xludf.DUMMYFUNCTION("""COMPUTED_VALUE"""),"Señal personalizada con soporte pared 40x30 cm")</f>
        <v>Señal personalizada con soporte pared 40x30 cm</v>
      </c>
      <c r="C868" s="4">
        <f>IFERROR(__xludf.DUMMYFUNCTION("""COMPUTED_VALUE"""),19.0)</f>
        <v>19</v>
      </c>
      <c r="D868" s="4"/>
      <c r="E868" s="4" t="str">
        <f>IFERROR(__xludf.DUMMYFUNCTION("""COMPUTED_VALUE"""),"Sin precio neto G.C.")</f>
        <v>Sin precio neto G.C.</v>
      </c>
    </row>
    <row r="869">
      <c r="A869" s="4" t="str">
        <f>IFERROR(__xludf.DUMMYFUNCTION("""COMPUTED_VALUE"""),"754")</f>
        <v>754</v>
      </c>
      <c r="B869" s="4" t="str">
        <f>IFERROR(__xludf.DUMMYFUNCTION("""COMPUTED_VALUE"""),"Señal personalizada c/soporte suelo 40x60 cm 3 caras")</f>
        <v>Señal personalizada c/soporte suelo 40x60 cm 3 caras</v>
      </c>
      <c r="C869" s="4">
        <f>IFERROR(__xludf.DUMMYFUNCTION("""COMPUTED_VALUE"""),96.0)</f>
        <v>96</v>
      </c>
      <c r="D869" s="4"/>
      <c r="E869" s="4" t="str">
        <f>IFERROR(__xludf.DUMMYFUNCTION("""COMPUTED_VALUE"""),"Sin precio neto G.C.")</f>
        <v>Sin precio neto G.C.</v>
      </c>
    </row>
    <row r="870">
      <c r="A870" s="4" t="str">
        <f>IFERROR(__xludf.DUMMYFUNCTION("""COMPUTED_VALUE"""),"765")</f>
        <v>765</v>
      </c>
      <c r="B870" s="4" t="str">
        <f>IFERROR(__xludf.DUMMYFUNCTION("""COMPUTED_VALUE"""),"Aparca Patinetes galvanizado 10p 1 cara")</f>
        <v>Aparca Patinetes galvanizado 10p 1 cara</v>
      </c>
      <c r="C870" s="4">
        <f>IFERROR(__xludf.DUMMYFUNCTION("""COMPUTED_VALUE"""),137.6)</f>
        <v>137.6</v>
      </c>
      <c r="D870" s="4"/>
      <c r="E870" s="4" t="str">
        <f>IFERROR(__xludf.DUMMYFUNCTION("""COMPUTED_VALUE"""),"Sin precio neto G.C.")</f>
        <v>Sin precio neto G.C.</v>
      </c>
    </row>
    <row r="871">
      <c r="A871" s="4" t="str">
        <f>IFERROR(__xludf.DUMMYFUNCTION("""COMPUTED_VALUE"""),"766")</f>
        <v>766</v>
      </c>
      <c r="B871" s="4" t="str">
        <f>IFERROR(__xludf.DUMMYFUNCTION("""COMPUTED_VALUE"""),"Aparca Patinetes galvanizado 20p 2 caras")</f>
        <v>Aparca Patinetes galvanizado 20p 2 caras</v>
      </c>
      <c r="C871" s="4">
        <f>IFERROR(__xludf.DUMMYFUNCTION("""COMPUTED_VALUE"""),210.25)</f>
        <v>210.25</v>
      </c>
      <c r="D871" s="4"/>
      <c r="E871" s="4" t="str">
        <f>IFERROR(__xludf.DUMMYFUNCTION("""COMPUTED_VALUE"""),"Sin precio neto G.C.")</f>
        <v>Sin precio neto G.C.</v>
      </c>
    </row>
    <row r="872">
      <c r="A872" s="4" t="str">
        <f>IFERROR(__xludf.DUMMYFUNCTION("""COMPUTED_VALUE"""),"768")</f>
        <v>768</v>
      </c>
      <c r="B872" s="4" t="str">
        <f>IFERROR(__xludf.DUMMYFUNCTION("""COMPUTED_VALUE"""),"Aparca Bicis atornillable pared 1p")</f>
        <v>Aparca Bicis atornillable pared 1p</v>
      </c>
      <c r="C872" s="4">
        <f>IFERROR(__xludf.DUMMYFUNCTION("""COMPUTED_VALUE"""),26.0)</f>
        <v>26</v>
      </c>
      <c r="D872" s="4"/>
      <c r="E872" s="4" t="str">
        <f>IFERROR(__xludf.DUMMYFUNCTION("""COMPUTED_VALUE"""),"Sin precio neto G.C.")</f>
        <v>Sin precio neto G.C.</v>
      </c>
    </row>
    <row r="873">
      <c r="A873" s="4" t="str">
        <f>IFERROR(__xludf.DUMMYFUNCTION("""COMPUTED_VALUE"""),"769")</f>
        <v>769</v>
      </c>
      <c r="B873" s="4" t="str">
        <f>IFERROR(__xludf.DUMMYFUNCTION("""COMPUTED_VALUE"""),"Aparca Bicis atornillable pared 2p")</f>
        <v>Aparca Bicis atornillable pared 2p</v>
      </c>
      <c r="C873" s="4">
        <f>IFERROR(__xludf.DUMMYFUNCTION("""COMPUTED_VALUE"""),44.0)</f>
        <v>44</v>
      </c>
      <c r="D873" s="4"/>
      <c r="E873" s="4" t="str">
        <f>IFERROR(__xludf.DUMMYFUNCTION("""COMPUTED_VALUE"""),"Sin precio neto G.C.")</f>
        <v>Sin precio neto G.C.</v>
      </c>
    </row>
    <row r="874">
      <c r="A874" s="4" t="str">
        <f>IFERROR(__xludf.DUMMYFUNCTION("""COMPUTED_VALUE"""),"770")</f>
        <v>770</v>
      </c>
      <c r="B874" s="4" t="str">
        <f>IFERROR(__xludf.DUMMYFUNCTION("""COMPUTED_VALUE"""),"Aparca Bicis atornillable pared 5p")</f>
        <v>Aparca Bicis atornillable pared 5p</v>
      </c>
      <c r="C874" s="4">
        <f>IFERROR(__xludf.DUMMYFUNCTION("""COMPUTED_VALUE"""),92.0)</f>
        <v>92</v>
      </c>
      <c r="D874" s="4"/>
      <c r="E874" s="4" t="str">
        <f>IFERROR(__xludf.DUMMYFUNCTION("""COMPUTED_VALUE"""),"Sin precio neto G.C.")</f>
        <v>Sin precio neto G.C.</v>
      </c>
    </row>
    <row r="875">
      <c r="A875" s="4" t="str">
        <f>IFERROR(__xludf.DUMMYFUNCTION("""COMPUTED_VALUE"""),"771")</f>
        <v>771</v>
      </c>
      <c r="B875" s="4" t="str">
        <f>IFERROR(__xludf.DUMMYFUNCTION("""COMPUTED_VALUE"""),"Pie soporte atornillable 80x40 mm")</f>
        <v>Pie soporte atornillable 80x40 mm</v>
      </c>
      <c r="C875" s="4">
        <f>IFERROR(__xludf.DUMMYFUNCTION("""COMPUTED_VALUE"""),29.0)</f>
        <v>29</v>
      </c>
      <c r="D875" s="4"/>
      <c r="E875" s="4" t="str">
        <f>IFERROR(__xludf.DUMMYFUNCTION("""COMPUTED_VALUE"""),"Sin precio neto G.C.")</f>
        <v>Sin precio neto G.C.</v>
      </c>
    </row>
    <row r="876">
      <c r="A876" s="4" t="str">
        <f>IFERROR(__xludf.DUMMYFUNCTION("""COMPUTED_VALUE"""),"772")</f>
        <v>772</v>
      </c>
      <c r="B876" s="4" t="str">
        <f>IFERROR(__xludf.DUMMYFUNCTION("""COMPUTED_VALUE"""),"Pie soporte atornillable cuadrado 40 mm")</f>
        <v>Pie soporte atornillable cuadrado 40 mm</v>
      </c>
      <c r="C876" s="4">
        <f>IFERROR(__xludf.DUMMYFUNCTION("""COMPUTED_VALUE"""),29.0)</f>
        <v>29</v>
      </c>
      <c r="D876" s="4"/>
      <c r="E876" s="4" t="str">
        <f>IFERROR(__xludf.DUMMYFUNCTION("""COMPUTED_VALUE"""),"Sin precio neto G.C.")</f>
        <v>Sin precio neto G.C.</v>
      </c>
    </row>
    <row r="877">
      <c r="A877" s="4" t="str">
        <f>IFERROR(__xludf.DUMMYFUNCTION("""COMPUTED_VALUE"""),"773")</f>
        <v>773</v>
      </c>
      <c r="B877" s="4" t="str">
        <f>IFERROR(__xludf.DUMMYFUNCTION("""COMPUTED_VALUE"""),"Pie soporte atornillable 50 mm circular")</f>
        <v>Pie soporte atornillable 50 mm circular</v>
      </c>
      <c r="C877" s="4">
        <f>IFERROR(__xludf.DUMMYFUNCTION("""COMPUTED_VALUE"""),29.0)</f>
        <v>29</v>
      </c>
      <c r="D877" s="4"/>
      <c r="E877" s="4" t="str">
        <f>IFERROR(__xludf.DUMMYFUNCTION("""COMPUTED_VALUE"""),"Sin precio neto G.C.")</f>
        <v>Sin precio neto G.C.</v>
      </c>
    </row>
    <row r="878">
      <c r="A878" s="4" t="str">
        <f>IFERROR(__xludf.DUMMYFUNCTION("""COMPUTED_VALUE"""),"774")</f>
        <v>774</v>
      </c>
      <c r="B878" s="4" t="str">
        <f>IFERROR(__xludf.DUMMYFUNCTION("""COMPUTED_VALUE"""),"Pie soporte atornillable 60 mm circular")</f>
        <v>Pie soporte atornillable 60 mm circular</v>
      </c>
      <c r="C878" s="4">
        <f>IFERROR(__xludf.DUMMYFUNCTION("""COMPUTED_VALUE"""),30.0)</f>
        <v>30</v>
      </c>
      <c r="D878" s="4"/>
      <c r="E878" s="4" t="str">
        <f>IFERROR(__xludf.DUMMYFUNCTION("""COMPUTED_VALUE"""),"Sin precio neto G.C.")</f>
        <v>Sin precio neto G.C.</v>
      </c>
    </row>
    <row r="879">
      <c r="A879" s="4" t="str">
        <f>IFERROR(__xludf.DUMMYFUNCTION("""COMPUTED_VALUE"""),"775")</f>
        <v>775</v>
      </c>
      <c r="B879" s="4" t="str">
        <f>IFERROR(__xludf.DUMMYFUNCTION("""COMPUTED_VALUE"""),"Pie soporte atornillable 70 mm circular")</f>
        <v>Pie soporte atornillable 70 mm circular</v>
      </c>
      <c r="C879" s="4">
        <f>IFERROR(__xludf.DUMMYFUNCTION("""COMPUTED_VALUE"""),31.0)</f>
        <v>31</v>
      </c>
      <c r="D879" s="4"/>
      <c r="E879" s="4" t="str">
        <f>IFERROR(__xludf.DUMMYFUNCTION("""COMPUTED_VALUE"""),"Sin precio neto G.C.")</f>
        <v>Sin precio neto G.C.</v>
      </c>
    </row>
    <row r="880">
      <c r="A880" s="4" t="str">
        <f>IFERROR(__xludf.DUMMYFUNCTION("""COMPUTED_VALUE"""),"776")</f>
        <v>776</v>
      </c>
      <c r="B880" s="4" t="str">
        <f>IFERROR(__xludf.DUMMYFUNCTION("""COMPUTED_VALUE"""),"Poste 40x40x1.5 mm galva 1.5 m")</f>
        <v>Poste 40x40x1.5 mm galva 1.5 m</v>
      </c>
      <c r="C880" s="4">
        <f>IFERROR(__xludf.DUMMYFUNCTION("""COMPUTED_VALUE"""),11.0)</f>
        <v>11</v>
      </c>
      <c r="D880" s="4"/>
      <c r="E880" s="4" t="str">
        <f>IFERROR(__xludf.DUMMYFUNCTION("""COMPUTED_VALUE"""),"Sin precio neto G.C.")</f>
        <v>Sin precio neto G.C.</v>
      </c>
    </row>
    <row r="881">
      <c r="A881" s="4" t="str">
        <f>IFERROR(__xludf.DUMMYFUNCTION("""COMPUTED_VALUE"""),"777")</f>
        <v>777</v>
      </c>
      <c r="B881" s="4" t="str">
        <f>IFERROR(__xludf.DUMMYFUNCTION("""COMPUTED_VALUE"""),"Cruceta para poste 40x40 mm")</f>
        <v>Cruceta para poste 40x40 mm</v>
      </c>
      <c r="C881" s="4">
        <f>IFERROR(__xludf.DUMMYFUNCTION("""COMPUTED_VALUE"""),10.8)</f>
        <v>10.8</v>
      </c>
      <c r="D881" s="4"/>
      <c r="E881" s="4" t="str">
        <f>IFERROR(__xludf.DUMMYFUNCTION("""COMPUTED_VALUE"""),"Sin precio neto G.C.")</f>
        <v>Sin precio neto G.C.</v>
      </c>
    </row>
    <row r="882">
      <c r="A882" s="4" t="str">
        <f>IFERROR(__xludf.DUMMYFUNCTION("""COMPUTED_VALUE"""),"778")</f>
        <v>778</v>
      </c>
      <c r="B882" s="4" t="str">
        <f>IFERROR(__xludf.DUMMYFUNCTION("""COMPUTED_VALUE"""),"Aparca Patinetes gavanizado 10p 2 caras")</f>
        <v>Aparca Patinetes gavanizado 10p 2 caras</v>
      </c>
      <c r="C882" s="4">
        <f>IFERROR(__xludf.DUMMYFUNCTION("""COMPUTED_VALUE"""),192.5)</f>
        <v>192.5</v>
      </c>
      <c r="D882" s="4"/>
      <c r="E882" s="4" t="str">
        <f>IFERROR(__xludf.DUMMYFUNCTION("""COMPUTED_VALUE"""),"Sin precio neto G.C.")</f>
        <v>Sin precio neto G.C.</v>
      </c>
    </row>
    <row r="883">
      <c r="A883" s="4" t="str">
        <f>IFERROR(__xludf.DUMMYFUNCTION("""COMPUTED_VALUE"""),"779")</f>
        <v>779</v>
      </c>
      <c r="B883" s="4" t="str">
        <f>IFERROR(__xludf.DUMMYFUNCTION("""COMPUTED_VALUE"""),"Aparca Patinetes galvanizado 5p 1 cara")</f>
        <v>Aparca Patinetes galvanizado 5p 1 cara</v>
      </c>
      <c r="C883" s="4">
        <f>IFERROR(__xludf.DUMMYFUNCTION("""COMPUTED_VALUE"""),126.4)</f>
        <v>126.4</v>
      </c>
      <c r="D883" s="4"/>
      <c r="E883" s="4" t="str">
        <f>IFERROR(__xludf.DUMMYFUNCTION("""COMPUTED_VALUE"""),"Sin precio neto G.C.")</f>
        <v>Sin precio neto G.C.</v>
      </c>
    </row>
    <row r="884">
      <c r="A884" s="4" t="str">
        <f>IFERROR(__xludf.DUMMYFUNCTION("""COMPUTED_VALUE"""),"780")</f>
        <v>780</v>
      </c>
      <c r="B884" s="4" t="str">
        <f>IFERROR(__xludf.DUMMYFUNCTION("""COMPUTED_VALUE"""),"Tope estantería metálica mod. A")</f>
        <v>Tope estantería metálica mod. A</v>
      </c>
      <c r="C884" s="4">
        <f>IFERROR(__xludf.DUMMYFUNCTION("""COMPUTED_VALUE"""),18.0)</f>
        <v>18</v>
      </c>
      <c r="D884" s="4"/>
      <c r="E884" s="4" t="str">
        <f>IFERROR(__xludf.DUMMYFUNCTION("""COMPUTED_VALUE"""),"Sin precio neto G.C.")</f>
        <v>Sin precio neto G.C.</v>
      </c>
    </row>
    <row r="885">
      <c r="A885" s="4" t="str">
        <f>IFERROR(__xludf.DUMMYFUNCTION("""COMPUTED_VALUE"""),"781")</f>
        <v>781</v>
      </c>
      <c r="B885" s="4" t="str">
        <f>IFERROR(__xludf.DUMMYFUNCTION("""COMPUTED_VALUE"""),"Tope estantería metálica mod. B")</f>
        <v>Tope estantería metálica mod. B</v>
      </c>
      <c r="C885" s="4">
        <f>IFERROR(__xludf.DUMMYFUNCTION("""COMPUTED_VALUE"""),22.5)</f>
        <v>22.5</v>
      </c>
      <c r="D885" s="4"/>
      <c r="E885" s="4" t="str">
        <f>IFERROR(__xludf.DUMMYFUNCTION("""COMPUTED_VALUE"""),"Sin precio neto G.C.")</f>
        <v>Sin precio neto G.C.</v>
      </c>
    </row>
    <row r="886">
      <c r="A886" s="4" t="str">
        <f>IFERROR(__xludf.DUMMYFUNCTION("""COMPUTED_VALUE"""),"782")</f>
        <v>782</v>
      </c>
      <c r="B886" s="4" t="str">
        <f>IFERROR(__xludf.DUMMYFUNCTION("""COMPUTED_VALUE"""),"Film manual transparente Rec. Eco 500/1,35/23MY (600-150)")</f>
        <v>Film manual transparente Rec. Eco 500/1,35/23MY (600-150)</v>
      </c>
      <c r="C886" s="4">
        <f>IFERROR(__xludf.DUMMYFUNCTION("""COMPUTED_VALUE"""),3.4)</f>
        <v>3.4</v>
      </c>
      <c r="D886" s="4"/>
      <c r="E886" s="4" t="str">
        <f>IFERROR(__xludf.DUMMYFUNCTION("""COMPUTED_VALUE"""),"Sin precio neto G.C.")</f>
        <v>Sin precio neto G.C.</v>
      </c>
    </row>
    <row r="887">
      <c r="A887" s="4" t="str">
        <f>IFERROR(__xludf.DUMMYFUNCTION("""COMPUTED_VALUE"""),"783")</f>
        <v>783</v>
      </c>
      <c r="B887" s="4" t="str">
        <f>IFERROR(__xludf.DUMMYFUNCTION("""COMPUTED_VALUE"""),"Film manual negro Opaco Rec. Eco 500/1,35/23MY (600-150)")</f>
        <v>Film manual negro Opaco Rec. Eco 500/1,35/23MY (600-150)</v>
      </c>
      <c r="C887" s="4">
        <f>IFERROR(__xludf.DUMMYFUNCTION("""COMPUTED_VALUE"""),3.9)</f>
        <v>3.9</v>
      </c>
      <c r="D887" s="4"/>
      <c r="E887" s="4" t="str">
        <f>IFERROR(__xludf.DUMMYFUNCTION("""COMPUTED_VALUE"""),"Sin precio neto G.C.")</f>
        <v>Sin precio neto G.C.</v>
      </c>
    </row>
    <row r="888">
      <c r="A888" s="4" t="str">
        <f>IFERROR(__xludf.DUMMYFUNCTION("""COMPUTED_VALUE"""),"784")</f>
        <v>784</v>
      </c>
      <c r="B888" s="4" t="str">
        <f>IFERROR(__xludf.DUMMYFUNCTION("""COMPUTED_VALUE"""),"Cinta adhesiva 125m PPAC Transp 48 mm")</f>
        <v>Cinta adhesiva 125m PPAC Transp 48 mm</v>
      </c>
      <c r="C888" s="4">
        <f>IFERROR(__xludf.DUMMYFUNCTION("""COMPUTED_VALUE"""),1.2)</f>
        <v>1.2</v>
      </c>
      <c r="D888" s="4"/>
      <c r="E888" s="4" t="str">
        <f>IFERROR(__xludf.DUMMYFUNCTION("""COMPUTED_VALUE"""),"Sin precio neto G.C.")</f>
        <v>Sin precio neto G.C.</v>
      </c>
    </row>
    <row r="889">
      <c r="A889" s="4" t="str">
        <f>IFERROR(__xludf.DUMMYFUNCTION("""COMPUTED_VALUE"""),"800")</f>
        <v>800</v>
      </c>
      <c r="B889" s="4" t="str">
        <f>IFERROR(__xludf.DUMMYFUNCTION("""COMPUTED_VALUE"""),"Adhesivo 100 mm Materias y objetos explosivos A")</f>
        <v>Adhesivo 100 mm Materias y objetos explosivos A</v>
      </c>
      <c r="C889" s="4">
        <f>IFERROR(__xludf.DUMMYFUNCTION("""COMPUTED_VALUE"""),0.6)</f>
        <v>0.6</v>
      </c>
      <c r="D889" s="4"/>
      <c r="E889" s="4" t="str">
        <f>IFERROR(__xludf.DUMMYFUNCTION("""COMPUTED_VALUE"""),"Sin precio neto G.C.")</f>
        <v>Sin precio neto G.C.</v>
      </c>
    </row>
    <row r="890">
      <c r="A890" s="4" t="str">
        <f>IFERROR(__xludf.DUMMYFUNCTION("""COMPUTED_VALUE"""),"0800A")</f>
        <v>0800A</v>
      </c>
      <c r="B890" s="4" t="str">
        <f>IFERROR(__xludf.DUMMYFUNCTION("""COMPUTED_VALUE"""),"Adhesivo 300 mm Materias y objetos explosivos A")</f>
        <v>Adhesivo 300 mm Materias y objetos explosivos A</v>
      </c>
      <c r="C890" s="4">
        <f>IFERROR(__xludf.DUMMYFUNCTION("""COMPUTED_VALUE"""),1.6)</f>
        <v>1.6</v>
      </c>
      <c r="D890" s="4"/>
      <c r="E890" s="4" t="str">
        <f>IFERROR(__xludf.DUMMYFUNCTION("""COMPUTED_VALUE"""),"Sin precio neto G.C.")</f>
        <v>Sin precio neto G.C.</v>
      </c>
    </row>
    <row r="891">
      <c r="A891" s="4" t="str">
        <f>IFERROR(__xludf.DUMMYFUNCTION("""COMPUTED_VALUE"""),"801")</f>
        <v>801</v>
      </c>
      <c r="B891" s="4" t="str">
        <f>IFERROR(__xludf.DUMMYFUNCTION("""COMPUTED_VALUE"""),"Adhesivo 100 mm Materias y objetos explosivos 1.4")</f>
        <v>Adhesivo 100 mm Materias y objetos explosivos 1.4</v>
      </c>
      <c r="C891" s="4">
        <f>IFERROR(__xludf.DUMMYFUNCTION("""COMPUTED_VALUE"""),0.6)</f>
        <v>0.6</v>
      </c>
      <c r="D891" s="4"/>
      <c r="E891" s="4" t="str">
        <f>IFERROR(__xludf.DUMMYFUNCTION("""COMPUTED_VALUE"""),"Sin precio neto G.C.")</f>
        <v>Sin precio neto G.C.</v>
      </c>
    </row>
    <row r="892">
      <c r="A892" s="4" t="str">
        <f>IFERROR(__xludf.DUMMYFUNCTION("""COMPUTED_VALUE"""),"0801A")</f>
        <v>0801A</v>
      </c>
      <c r="B892" s="4" t="str">
        <f>IFERROR(__xludf.DUMMYFUNCTION("""COMPUTED_VALUE"""),"Adhesivo 300 mm Materias y objetos explosivos 1.4")</f>
        <v>Adhesivo 300 mm Materias y objetos explosivos 1.4</v>
      </c>
      <c r="C892" s="4">
        <f>IFERROR(__xludf.DUMMYFUNCTION("""COMPUTED_VALUE"""),1.6)</f>
        <v>1.6</v>
      </c>
      <c r="D892" s="4"/>
      <c r="E892" s="4" t="str">
        <f>IFERROR(__xludf.DUMMYFUNCTION("""COMPUTED_VALUE"""),"Sin precio neto G.C.")</f>
        <v>Sin precio neto G.C.</v>
      </c>
    </row>
    <row r="893">
      <c r="A893" s="4" t="str">
        <f>IFERROR(__xludf.DUMMYFUNCTION("""COMPUTED_VALUE"""),"802")</f>
        <v>802</v>
      </c>
      <c r="B893" s="4" t="str">
        <f>IFERROR(__xludf.DUMMYFUNCTION("""COMPUTED_VALUE"""),"Adhesivo 100 mm Materias y objetos explosivos 1.5")</f>
        <v>Adhesivo 100 mm Materias y objetos explosivos 1.5</v>
      </c>
      <c r="C893" s="4">
        <f>IFERROR(__xludf.DUMMYFUNCTION("""COMPUTED_VALUE"""),0.6)</f>
        <v>0.6</v>
      </c>
      <c r="D893" s="4"/>
      <c r="E893" s="4" t="str">
        <f>IFERROR(__xludf.DUMMYFUNCTION("""COMPUTED_VALUE"""),"Sin precio neto G.C.")</f>
        <v>Sin precio neto G.C.</v>
      </c>
    </row>
    <row r="894">
      <c r="A894" s="4" t="str">
        <f>IFERROR(__xludf.DUMMYFUNCTION("""COMPUTED_VALUE"""),"0802A")</f>
        <v>0802A</v>
      </c>
      <c r="B894" s="4" t="str">
        <f>IFERROR(__xludf.DUMMYFUNCTION("""COMPUTED_VALUE"""),"Adhesivo 300 mm Materias y objetos explosivos 1.5")</f>
        <v>Adhesivo 300 mm Materias y objetos explosivos 1.5</v>
      </c>
      <c r="C894" s="4">
        <f>IFERROR(__xludf.DUMMYFUNCTION("""COMPUTED_VALUE"""),1.6)</f>
        <v>1.6</v>
      </c>
      <c r="D894" s="4"/>
      <c r="E894" s="4" t="str">
        <f>IFERROR(__xludf.DUMMYFUNCTION("""COMPUTED_VALUE"""),"Sin precio neto G.C.")</f>
        <v>Sin precio neto G.C.</v>
      </c>
    </row>
    <row r="895">
      <c r="A895" s="4" t="str">
        <f>IFERROR(__xludf.DUMMYFUNCTION("""COMPUTED_VALUE"""),"803")</f>
        <v>803</v>
      </c>
      <c r="B895" s="4" t="str">
        <f>IFERROR(__xludf.DUMMYFUNCTION("""COMPUTED_VALUE"""),"Adhesivo 100 mm Materias y objetos explosivos 1.6")</f>
        <v>Adhesivo 100 mm Materias y objetos explosivos 1.6</v>
      </c>
      <c r="C895" s="4">
        <f>IFERROR(__xludf.DUMMYFUNCTION("""COMPUTED_VALUE"""),0.6)</f>
        <v>0.6</v>
      </c>
      <c r="D895" s="4"/>
      <c r="E895" s="4" t="str">
        <f>IFERROR(__xludf.DUMMYFUNCTION("""COMPUTED_VALUE"""),"Sin precio neto G.C.")</f>
        <v>Sin precio neto G.C.</v>
      </c>
    </row>
    <row r="896">
      <c r="A896" s="4" t="str">
        <f>IFERROR(__xludf.DUMMYFUNCTION("""COMPUTED_VALUE"""),"0803A")</f>
        <v>0803A</v>
      </c>
      <c r="B896" s="4" t="str">
        <f>IFERROR(__xludf.DUMMYFUNCTION("""COMPUTED_VALUE"""),"Adhesivo 300 mm Materias y objetos explosivos 1.6")</f>
        <v>Adhesivo 300 mm Materias y objetos explosivos 1.6</v>
      </c>
      <c r="C896" s="4">
        <f>IFERROR(__xludf.DUMMYFUNCTION("""COMPUTED_VALUE"""),1.6)</f>
        <v>1.6</v>
      </c>
      <c r="D896" s="4"/>
      <c r="E896" s="4" t="str">
        <f>IFERROR(__xludf.DUMMYFUNCTION("""COMPUTED_VALUE"""),"Sin precio neto G.C.")</f>
        <v>Sin precio neto G.C.</v>
      </c>
    </row>
    <row r="897">
      <c r="A897" s="4" t="str">
        <f>IFERROR(__xludf.DUMMYFUNCTION("""COMPUTED_VALUE"""),"805")</f>
        <v>805</v>
      </c>
      <c r="B897" s="4" t="str">
        <f>IFERROR(__xludf.DUMMYFUNCTION("""COMPUTED_VALUE"""),"Adhesivo 100 mm Gases Tóxicos")</f>
        <v>Adhesivo 100 mm Gases Tóxicos</v>
      </c>
      <c r="C897" s="4">
        <f>IFERROR(__xludf.DUMMYFUNCTION("""COMPUTED_VALUE"""),0.6)</f>
        <v>0.6</v>
      </c>
      <c r="D897" s="4"/>
      <c r="E897" s="4" t="str">
        <f>IFERROR(__xludf.DUMMYFUNCTION("""COMPUTED_VALUE"""),"Sin precio neto G.C.")</f>
        <v>Sin precio neto G.C.</v>
      </c>
    </row>
    <row r="898">
      <c r="A898" s="4" t="str">
        <f>IFERROR(__xludf.DUMMYFUNCTION("""COMPUTED_VALUE"""),"0805A")</f>
        <v>0805A</v>
      </c>
      <c r="B898" s="4" t="str">
        <f>IFERROR(__xludf.DUMMYFUNCTION("""COMPUTED_VALUE"""),"Adhesivo 300 mm Gases Tóxicos")</f>
        <v>Adhesivo 300 mm Gases Tóxicos</v>
      </c>
      <c r="C898" s="4">
        <f>IFERROR(__xludf.DUMMYFUNCTION("""COMPUTED_VALUE"""),1.6)</f>
        <v>1.6</v>
      </c>
      <c r="D898" s="4"/>
      <c r="E898" s="4" t="str">
        <f>IFERROR(__xludf.DUMMYFUNCTION("""COMPUTED_VALUE"""),"Sin precio neto G.C.")</f>
        <v>Sin precio neto G.C.</v>
      </c>
    </row>
    <row r="899">
      <c r="A899" s="4" t="str">
        <f>IFERROR(__xludf.DUMMYFUNCTION("""COMPUTED_VALUE"""),"806")</f>
        <v>806</v>
      </c>
      <c r="B899" s="4" t="str">
        <f>IFERROR(__xludf.DUMMYFUNCTION("""COMPUTED_VALUE"""),"Adhesivo 100 mm gases inflamables A")</f>
        <v>Adhesivo 100 mm gases inflamables A</v>
      </c>
      <c r="C899" s="4">
        <f>IFERROR(__xludf.DUMMYFUNCTION("""COMPUTED_VALUE"""),0.6)</f>
        <v>0.6</v>
      </c>
      <c r="D899" s="4"/>
      <c r="E899" s="4" t="str">
        <f>IFERROR(__xludf.DUMMYFUNCTION("""COMPUTED_VALUE"""),"Sin precio neto G.C.")</f>
        <v>Sin precio neto G.C.</v>
      </c>
    </row>
    <row r="900">
      <c r="A900" s="4" t="str">
        <f>IFERROR(__xludf.DUMMYFUNCTION("""COMPUTED_VALUE"""),"0806A")</f>
        <v>0806A</v>
      </c>
      <c r="B900" s="4" t="str">
        <f>IFERROR(__xludf.DUMMYFUNCTION("""COMPUTED_VALUE"""),"Adhesivo 300 mm gases inflamables A")</f>
        <v>Adhesivo 300 mm gases inflamables A</v>
      </c>
      <c r="C900" s="4">
        <f>IFERROR(__xludf.DUMMYFUNCTION("""COMPUTED_VALUE"""),1.6)</f>
        <v>1.6</v>
      </c>
      <c r="D900" s="4"/>
      <c r="E900" s="4" t="str">
        <f>IFERROR(__xludf.DUMMYFUNCTION("""COMPUTED_VALUE"""),"Sin precio neto G.C.")</f>
        <v>Sin precio neto G.C.</v>
      </c>
    </row>
    <row r="901">
      <c r="A901" s="4" t="str">
        <f>IFERROR(__xludf.DUMMYFUNCTION("""COMPUTED_VALUE"""),"807")</f>
        <v>807</v>
      </c>
      <c r="B901" s="4" t="str">
        <f>IFERROR(__xludf.DUMMYFUNCTION("""COMPUTED_VALUE"""),"Adhesivo 100 mm gases inflamables B")</f>
        <v>Adhesivo 100 mm gases inflamables B</v>
      </c>
      <c r="C901" s="4">
        <f>IFERROR(__xludf.DUMMYFUNCTION("""COMPUTED_VALUE"""),0.6)</f>
        <v>0.6</v>
      </c>
      <c r="D901" s="4"/>
      <c r="E901" s="4" t="str">
        <f>IFERROR(__xludf.DUMMYFUNCTION("""COMPUTED_VALUE"""),"Sin precio neto G.C.")</f>
        <v>Sin precio neto G.C.</v>
      </c>
    </row>
    <row r="902">
      <c r="A902" s="4" t="str">
        <f>IFERROR(__xludf.DUMMYFUNCTION("""COMPUTED_VALUE"""),"0807A")</f>
        <v>0807A</v>
      </c>
      <c r="B902" s="4" t="str">
        <f>IFERROR(__xludf.DUMMYFUNCTION("""COMPUTED_VALUE"""),"Adhesivo 300 mm gases inflamables B")</f>
        <v>Adhesivo 300 mm gases inflamables B</v>
      </c>
      <c r="C902" s="4">
        <f>IFERROR(__xludf.DUMMYFUNCTION("""COMPUTED_VALUE"""),1.6)</f>
        <v>1.6</v>
      </c>
      <c r="D902" s="4"/>
      <c r="E902" s="4" t="str">
        <f>IFERROR(__xludf.DUMMYFUNCTION("""COMPUTED_VALUE"""),"Sin precio neto G.C.")</f>
        <v>Sin precio neto G.C.</v>
      </c>
    </row>
    <row r="903">
      <c r="A903" s="4" t="str">
        <f>IFERROR(__xludf.DUMMYFUNCTION("""COMPUTED_VALUE"""),"808")</f>
        <v>808</v>
      </c>
      <c r="B903" s="4" t="str">
        <f>IFERROR(__xludf.DUMMYFUNCTION("""COMPUTED_VALUE"""),"Adhesivo 100 mm gases no inflamables A")</f>
        <v>Adhesivo 100 mm gases no inflamables A</v>
      </c>
      <c r="C903" s="4">
        <f>IFERROR(__xludf.DUMMYFUNCTION("""COMPUTED_VALUE"""),0.6)</f>
        <v>0.6</v>
      </c>
      <c r="D903" s="4"/>
      <c r="E903" s="4" t="str">
        <f>IFERROR(__xludf.DUMMYFUNCTION("""COMPUTED_VALUE"""),"Sin precio neto G.C.")</f>
        <v>Sin precio neto G.C.</v>
      </c>
    </row>
    <row r="904">
      <c r="A904" s="4" t="str">
        <f>IFERROR(__xludf.DUMMYFUNCTION("""COMPUTED_VALUE"""),"0808A")</f>
        <v>0808A</v>
      </c>
      <c r="B904" s="4" t="str">
        <f>IFERROR(__xludf.DUMMYFUNCTION("""COMPUTED_VALUE"""),"Adhesivo 300 mm gases no inflamables A")</f>
        <v>Adhesivo 300 mm gases no inflamables A</v>
      </c>
      <c r="C904" s="4">
        <f>IFERROR(__xludf.DUMMYFUNCTION("""COMPUTED_VALUE"""),1.6)</f>
        <v>1.6</v>
      </c>
      <c r="D904" s="4"/>
      <c r="E904" s="4" t="str">
        <f>IFERROR(__xludf.DUMMYFUNCTION("""COMPUTED_VALUE"""),"Sin precio neto G.C.")</f>
        <v>Sin precio neto G.C.</v>
      </c>
    </row>
    <row r="905">
      <c r="A905" s="4" t="str">
        <f>IFERROR(__xludf.DUMMYFUNCTION("""COMPUTED_VALUE"""),"809")</f>
        <v>809</v>
      </c>
      <c r="B905" s="4" t="str">
        <f>IFERROR(__xludf.DUMMYFUNCTION("""COMPUTED_VALUE"""),"Adhesivo 100 mm gases no inflamables B")</f>
        <v>Adhesivo 100 mm gases no inflamables B</v>
      </c>
      <c r="C905" s="4">
        <f>IFERROR(__xludf.DUMMYFUNCTION("""COMPUTED_VALUE"""),0.6)</f>
        <v>0.6</v>
      </c>
      <c r="D905" s="4"/>
      <c r="E905" s="4" t="str">
        <f>IFERROR(__xludf.DUMMYFUNCTION("""COMPUTED_VALUE"""),"Sin precio neto G.C.")</f>
        <v>Sin precio neto G.C.</v>
      </c>
    </row>
    <row r="906">
      <c r="A906" s="4" t="str">
        <f>IFERROR(__xludf.DUMMYFUNCTION("""COMPUTED_VALUE"""),"0809A")</f>
        <v>0809A</v>
      </c>
      <c r="B906" s="4" t="str">
        <f>IFERROR(__xludf.DUMMYFUNCTION("""COMPUTED_VALUE"""),"Adhesivo 300 mm gases no inflamables B")</f>
        <v>Adhesivo 300 mm gases no inflamables B</v>
      </c>
      <c r="C906" s="4">
        <f>IFERROR(__xludf.DUMMYFUNCTION("""COMPUTED_VALUE"""),1.6)</f>
        <v>1.6</v>
      </c>
      <c r="D906" s="4"/>
      <c r="E906" s="4" t="str">
        <f>IFERROR(__xludf.DUMMYFUNCTION("""COMPUTED_VALUE"""),"Sin precio neto G.C.")</f>
        <v>Sin precio neto G.C.</v>
      </c>
    </row>
    <row r="907">
      <c r="A907" s="4" t="str">
        <f>IFERROR(__xludf.DUMMYFUNCTION("""COMPUTED_VALUE"""),"810")</f>
        <v>810</v>
      </c>
      <c r="B907" s="4" t="str">
        <f>IFERROR(__xludf.DUMMYFUNCTION("""COMPUTED_VALUE"""),"Lona 100x70 cm multicartel c/ ojales")</f>
        <v>Lona 100x70 cm multicartel c/ ojales</v>
      </c>
      <c r="C907" s="4">
        <f>IFERROR(__xludf.DUMMYFUNCTION("""COMPUTED_VALUE"""),14.7)</f>
        <v>14.7</v>
      </c>
      <c r="D907" s="4"/>
      <c r="E907" s="4" t="str">
        <f>IFERROR(__xludf.DUMMYFUNCTION("""COMPUTED_VALUE"""),"Sin precio neto G.C.")</f>
        <v>Sin precio neto G.C.</v>
      </c>
    </row>
    <row r="908">
      <c r="A908" s="4" t="str">
        <f>IFERROR(__xludf.DUMMYFUNCTION("""COMPUTED_VALUE"""),"811")</f>
        <v>811</v>
      </c>
      <c r="B908" s="4" t="str">
        <f>IFERROR(__xludf.DUMMYFUNCTION("""COMPUTED_VALUE"""),"Lona 50x70 cm multicartel c/ ojales")</f>
        <v>Lona 50x70 cm multicartel c/ ojales</v>
      </c>
      <c r="C908" s="4">
        <f>IFERROR(__xludf.DUMMYFUNCTION("""COMPUTED_VALUE"""),8.4)</f>
        <v>8.4</v>
      </c>
      <c r="D908" s="4"/>
      <c r="E908" s="4" t="str">
        <f>IFERROR(__xludf.DUMMYFUNCTION("""COMPUTED_VALUE"""),"Sin precio neto G.C.")</f>
        <v>Sin precio neto G.C.</v>
      </c>
    </row>
    <row r="909">
      <c r="A909" s="4" t="str">
        <f>IFERROR(__xludf.DUMMYFUNCTION("""COMPUTED_VALUE"""),"812")</f>
        <v>812</v>
      </c>
      <c r="B909" s="4" t="str">
        <f>IFERROR(__xludf.DUMMYFUNCTION("""COMPUTED_VALUE"""),"Adhesivo 100 mm líquidos inflamables A")</f>
        <v>Adhesivo 100 mm líquidos inflamables A</v>
      </c>
      <c r="C909" s="4">
        <f>IFERROR(__xludf.DUMMYFUNCTION("""COMPUTED_VALUE"""),0.6)</f>
        <v>0.6</v>
      </c>
      <c r="D909" s="4"/>
      <c r="E909" s="4" t="str">
        <f>IFERROR(__xludf.DUMMYFUNCTION("""COMPUTED_VALUE"""),"Sin precio neto G.C.")</f>
        <v>Sin precio neto G.C.</v>
      </c>
    </row>
    <row r="910">
      <c r="A910" s="4" t="str">
        <f>IFERROR(__xludf.DUMMYFUNCTION("""COMPUTED_VALUE"""),"0812A")</f>
        <v>0812A</v>
      </c>
      <c r="B910" s="4" t="str">
        <f>IFERROR(__xludf.DUMMYFUNCTION("""COMPUTED_VALUE"""),"Adhesivo 300 mm líquidos inflamables A")</f>
        <v>Adhesivo 300 mm líquidos inflamables A</v>
      </c>
      <c r="C910" s="4">
        <f>IFERROR(__xludf.DUMMYFUNCTION("""COMPUTED_VALUE"""),1.6)</f>
        <v>1.6</v>
      </c>
      <c r="D910" s="4"/>
      <c r="E910" s="4" t="str">
        <f>IFERROR(__xludf.DUMMYFUNCTION("""COMPUTED_VALUE"""),"Sin precio neto G.C.")</f>
        <v>Sin precio neto G.C.</v>
      </c>
    </row>
    <row r="911">
      <c r="A911" s="4" t="str">
        <f>IFERROR(__xludf.DUMMYFUNCTION("""COMPUTED_VALUE"""),"813")</f>
        <v>813</v>
      </c>
      <c r="B911" s="4" t="str">
        <f>IFERROR(__xludf.DUMMYFUNCTION("""COMPUTED_VALUE"""),"Adhesivo 100 mm líquidos inflamables B")</f>
        <v>Adhesivo 100 mm líquidos inflamables B</v>
      </c>
      <c r="C911" s="4">
        <f>IFERROR(__xludf.DUMMYFUNCTION("""COMPUTED_VALUE"""),0.6)</f>
        <v>0.6</v>
      </c>
      <c r="D911" s="4"/>
      <c r="E911" s="4" t="str">
        <f>IFERROR(__xludf.DUMMYFUNCTION("""COMPUTED_VALUE"""),"Sin precio neto G.C.")</f>
        <v>Sin precio neto G.C.</v>
      </c>
    </row>
    <row r="912">
      <c r="A912" s="4" t="str">
        <f>IFERROR(__xludf.DUMMYFUNCTION("""COMPUTED_VALUE"""),"0813A")</f>
        <v>0813A</v>
      </c>
      <c r="B912" s="4" t="str">
        <f>IFERROR(__xludf.DUMMYFUNCTION("""COMPUTED_VALUE"""),"Adhesivo 300 mm líquidos inflamables B")</f>
        <v>Adhesivo 300 mm líquidos inflamables B</v>
      </c>
      <c r="C912" s="4">
        <f>IFERROR(__xludf.DUMMYFUNCTION("""COMPUTED_VALUE"""),1.6)</f>
        <v>1.6</v>
      </c>
      <c r="D912" s="4"/>
      <c r="E912" s="4" t="str">
        <f>IFERROR(__xludf.DUMMYFUNCTION("""COMPUTED_VALUE"""),"Sin precio neto G.C.")</f>
        <v>Sin precio neto G.C.</v>
      </c>
    </row>
    <row r="913">
      <c r="A913" s="4" t="str">
        <f>IFERROR(__xludf.DUMMYFUNCTION("""COMPUTED_VALUE"""),"814")</f>
        <v>814</v>
      </c>
      <c r="B913" s="4" t="str">
        <f>IFERROR(__xludf.DUMMYFUNCTION("""COMPUTED_VALUE"""),"Adhesivo 100 mm mat. sólidas inflamables")</f>
        <v>Adhesivo 100 mm mat. sólidas inflamables</v>
      </c>
      <c r="C913" s="4">
        <f>IFERROR(__xludf.DUMMYFUNCTION("""COMPUTED_VALUE"""),0.6)</f>
        <v>0.6</v>
      </c>
      <c r="D913" s="4"/>
      <c r="E913" s="4" t="str">
        <f>IFERROR(__xludf.DUMMYFUNCTION("""COMPUTED_VALUE"""),"Sin precio neto G.C.")</f>
        <v>Sin precio neto G.C.</v>
      </c>
    </row>
    <row r="914">
      <c r="A914" s="4" t="str">
        <f>IFERROR(__xludf.DUMMYFUNCTION("""COMPUTED_VALUE"""),"0814A")</f>
        <v>0814A</v>
      </c>
      <c r="B914" s="4" t="str">
        <f>IFERROR(__xludf.DUMMYFUNCTION("""COMPUTED_VALUE"""),"Adhesivo 300 mm mat. sólidas inflamables")</f>
        <v>Adhesivo 300 mm mat. sólidas inflamables</v>
      </c>
      <c r="C914" s="4">
        <f>IFERROR(__xludf.DUMMYFUNCTION("""COMPUTED_VALUE"""),1.6)</f>
        <v>1.6</v>
      </c>
      <c r="D914" s="4"/>
      <c r="E914" s="4" t="str">
        <f>IFERROR(__xludf.DUMMYFUNCTION("""COMPUTED_VALUE"""),"Sin precio neto G.C.")</f>
        <v>Sin precio neto G.C.</v>
      </c>
    </row>
    <row r="915">
      <c r="A915" s="4" t="str">
        <f>IFERROR(__xludf.DUMMYFUNCTION("""COMPUTED_VALUE"""),"815")</f>
        <v>815</v>
      </c>
      <c r="B915" s="4" t="str">
        <f>IFERROR(__xludf.DUMMYFUNCTION("""COMPUTED_VALUE"""),"Adhesivo 100 mm materias expontáneamente inflamables")</f>
        <v>Adhesivo 100 mm materias expontáneamente inflamables</v>
      </c>
      <c r="C915" s="4">
        <f>IFERROR(__xludf.DUMMYFUNCTION("""COMPUTED_VALUE"""),0.6)</f>
        <v>0.6</v>
      </c>
      <c r="D915" s="4"/>
      <c r="E915" s="4" t="str">
        <f>IFERROR(__xludf.DUMMYFUNCTION("""COMPUTED_VALUE"""),"Sin precio neto G.C.")</f>
        <v>Sin precio neto G.C.</v>
      </c>
    </row>
    <row r="916">
      <c r="A916" s="4" t="str">
        <f>IFERROR(__xludf.DUMMYFUNCTION("""COMPUTED_VALUE"""),"0815A")</f>
        <v>0815A</v>
      </c>
      <c r="B916" s="4" t="str">
        <f>IFERROR(__xludf.DUMMYFUNCTION("""COMPUTED_VALUE"""),"Adhesivo 300 mm materias expontáneamente inflamables")</f>
        <v>Adhesivo 300 mm materias expontáneamente inflamables</v>
      </c>
      <c r="C916" s="4">
        <f>IFERROR(__xludf.DUMMYFUNCTION("""COMPUTED_VALUE"""),1.6)</f>
        <v>1.6</v>
      </c>
      <c r="D916" s="4"/>
      <c r="E916" s="4" t="str">
        <f>IFERROR(__xludf.DUMMYFUNCTION("""COMPUTED_VALUE"""),"Sin precio neto G.C.")</f>
        <v>Sin precio neto G.C.</v>
      </c>
    </row>
    <row r="917">
      <c r="A917" s="4" t="str">
        <f>IFERROR(__xludf.DUMMYFUNCTION("""COMPUTED_VALUE"""),"816")</f>
        <v>816</v>
      </c>
      <c r="B917" s="4" t="str">
        <f>IFERROR(__xludf.DUMMYFUNCTION("""COMPUTED_VALUE"""),"Adhesivo 100 mm materias contacto agua gases inflamables A")</f>
        <v>Adhesivo 100 mm materias contacto agua gases inflamables A</v>
      </c>
      <c r="C917" s="4">
        <f>IFERROR(__xludf.DUMMYFUNCTION("""COMPUTED_VALUE"""),0.6)</f>
        <v>0.6</v>
      </c>
      <c r="D917" s="4"/>
      <c r="E917" s="4" t="str">
        <f>IFERROR(__xludf.DUMMYFUNCTION("""COMPUTED_VALUE"""),"Sin precio neto G.C.")</f>
        <v>Sin precio neto G.C.</v>
      </c>
    </row>
    <row r="918">
      <c r="A918" s="4" t="str">
        <f>IFERROR(__xludf.DUMMYFUNCTION("""COMPUTED_VALUE"""),"0816A")</f>
        <v>0816A</v>
      </c>
      <c r="B918" s="4" t="str">
        <f>IFERROR(__xludf.DUMMYFUNCTION("""COMPUTED_VALUE"""),"Adhesivo 300 mm materias contacto agua gases inflamables A")</f>
        <v>Adhesivo 300 mm materias contacto agua gases inflamables A</v>
      </c>
      <c r="C918" s="4">
        <f>IFERROR(__xludf.DUMMYFUNCTION("""COMPUTED_VALUE"""),1.6)</f>
        <v>1.6</v>
      </c>
      <c r="D918" s="4"/>
      <c r="E918" s="4" t="str">
        <f>IFERROR(__xludf.DUMMYFUNCTION("""COMPUTED_VALUE"""),"Sin precio neto G.C.")</f>
        <v>Sin precio neto G.C.</v>
      </c>
    </row>
    <row r="919">
      <c r="A919" s="4" t="str">
        <f>IFERROR(__xludf.DUMMYFUNCTION("""COMPUTED_VALUE"""),"817")</f>
        <v>817</v>
      </c>
      <c r="B919" s="4" t="str">
        <f>IFERROR(__xludf.DUMMYFUNCTION("""COMPUTED_VALUE"""),"Adhesivo 100 mm materias contacto agua gases inflamables B")</f>
        <v>Adhesivo 100 mm materias contacto agua gases inflamables B</v>
      </c>
      <c r="C919" s="4">
        <f>IFERROR(__xludf.DUMMYFUNCTION("""COMPUTED_VALUE"""),0.6)</f>
        <v>0.6</v>
      </c>
      <c r="D919" s="4"/>
      <c r="E919" s="4" t="str">
        <f>IFERROR(__xludf.DUMMYFUNCTION("""COMPUTED_VALUE"""),"Sin precio neto G.C.")</f>
        <v>Sin precio neto G.C.</v>
      </c>
    </row>
    <row r="920">
      <c r="A920" s="4" t="str">
        <f>IFERROR(__xludf.DUMMYFUNCTION("""COMPUTED_VALUE"""),"0817A")</f>
        <v>0817A</v>
      </c>
      <c r="B920" s="4" t="str">
        <f>IFERROR(__xludf.DUMMYFUNCTION("""COMPUTED_VALUE"""),"Adhesivo 300 mm materias contacto agua gases inflamables B")</f>
        <v>Adhesivo 300 mm materias contacto agua gases inflamables B</v>
      </c>
      <c r="C920" s="4">
        <f>IFERROR(__xludf.DUMMYFUNCTION("""COMPUTED_VALUE"""),1.6)</f>
        <v>1.6</v>
      </c>
      <c r="D920" s="4"/>
      <c r="E920" s="4" t="str">
        <f>IFERROR(__xludf.DUMMYFUNCTION("""COMPUTED_VALUE"""),"Sin precio neto G.C.")</f>
        <v>Sin precio neto G.C.</v>
      </c>
    </row>
    <row r="921">
      <c r="A921" s="4" t="str">
        <f>IFERROR(__xludf.DUMMYFUNCTION("""COMPUTED_VALUE"""),"818")</f>
        <v>818</v>
      </c>
      <c r="B921" s="4" t="str">
        <f>IFERROR(__xludf.DUMMYFUNCTION("""COMPUTED_VALUE"""),"Adhesivo 100 mm materias comburentes")</f>
        <v>Adhesivo 100 mm materias comburentes</v>
      </c>
      <c r="C921" s="4">
        <f>IFERROR(__xludf.DUMMYFUNCTION("""COMPUTED_VALUE"""),0.6)</f>
        <v>0.6</v>
      </c>
      <c r="D921" s="4"/>
      <c r="E921" s="4" t="str">
        <f>IFERROR(__xludf.DUMMYFUNCTION("""COMPUTED_VALUE"""),"Sin precio neto G.C.")</f>
        <v>Sin precio neto G.C.</v>
      </c>
    </row>
    <row r="922">
      <c r="A922" s="4" t="str">
        <f>IFERROR(__xludf.DUMMYFUNCTION("""COMPUTED_VALUE"""),"0818A")</f>
        <v>0818A</v>
      </c>
      <c r="B922" s="4" t="str">
        <f>IFERROR(__xludf.DUMMYFUNCTION("""COMPUTED_VALUE"""),"Adhesivo 300 mm materias comburentes")</f>
        <v>Adhesivo 300 mm materias comburentes</v>
      </c>
      <c r="C922" s="4">
        <f>IFERROR(__xludf.DUMMYFUNCTION("""COMPUTED_VALUE"""),1.6)</f>
        <v>1.6</v>
      </c>
      <c r="D922" s="4"/>
      <c r="E922" s="4" t="str">
        <f>IFERROR(__xludf.DUMMYFUNCTION("""COMPUTED_VALUE"""),"Sin precio neto G.C.")</f>
        <v>Sin precio neto G.C.</v>
      </c>
    </row>
    <row r="923">
      <c r="A923" s="4" t="str">
        <f>IFERROR(__xludf.DUMMYFUNCTION("""COMPUTED_VALUE"""),"819")</f>
        <v>819</v>
      </c>
      <c r="B923" s="4" t="str">
        <f>IFERROR(__xludf.DUMMYFUNCTION("""COMPUTED_VALUE"""),"Adhesivo 100 mm peróxidos orgánicos")</f>
        <v>Adhesivo 100 mm peróxidos orgánicos</v>
      </c>
      <c r="C923" s="4">
        <f>IFERROR(__xludf.DUMMYFUNCTION("""COMPUTED_VALUE"""),0.6)</f>
        <v>0.6</v>
      </c>
      <c r="D923" s="4"/>
      <c r="E923" s="4" t="str">
        <f>IFERROR(__xludf.DUMMYFUNCTION("""COMPUTED_VALUE"""),"Sin precio neto G.C.")</f>
        <v>Sin precio neto G.C.</v>
      </c>
    </row>
    <row r="924">
      <c r="A924" s="4" t="str">
        <f>IFERROR(__xludf.DUMMYFUNCTION("""COMPUTED_VALUE"""),"0819A")</f>
        <v>0819A</v>
      </c>
      <c r="B924" s="4" t="str">
        <f>IFERROR(__xludf.DUMMYFUNCTION("""COMPUTED_VALUE"""),"Adhesivo 300 mm peróxidos orgánicos")</f>
        <v>Adhesivo 300 mm peróxidos orgánicos</v>
      </c>
      <c r="C924" s="4">
        <f>IFERROR(__xludf.DUMMYFUNCTION("""COMPUTED_VALUE"""),1.6)</f>
        <v>1.6</v>
      </c>
      <c r="D924" s="4"/>
      <c r="E924" s="4" t="str">
        <f>IFERROR(__xludf.DUMMYFUNCTION("""COMPUTED_VALUE"""),"Sin precio neto G.C.")</f>
        <v>Sin precio neto G.C.</v>
      </c>
    </row>
    <row r="925">
      <c r="A925" s="4" t="str">
        <f>IFERROR(__xludf.DUMMYFUNCTION("""COMPUTED_VALUE"""),"822")</f>
        <v>822</v>
      </c>
      <c r="B925" s="4" t="str">
        <f>IFERROR(__xludf.DUMMYFUNCTION("""COMPUTED_VALUE"""),"Adhesivo 100 mm Materias Tóxicas")</f>
        <v>Adhesivo 100 mm Materias Tóxicas</v>
      </c>
      <c r="C925" s="4">
        <f>IFERROR(__xludf.DUMMYFUNCTION("""COMPUTED_VALUE"""),0.6)</f>
        <v>0.6</v>
      </c>
      <c r="D925" s="4"/>
      <c r="E925" s="4" t="str">
        <f>IFERROR(__xludf.DUMMYFUNCTION("""COMPUTED_VALUE"""),"Sin precio neto G.C.")</f>
        <v>Sin precio neto G.C.</v>
      </c>
    </row>
    <row r="926">
      <c r="A926" s="4" t="str">
        <f>IFERROR(__xludf.DUMMYFUNCTION("""COMPUTED_VALUE"""),"0822A")</f>
        <v>0822A</v>
      </c>
      <c r="B926" s="4" t="str">
        <f>IFERROR(__xludf.DUMMYFUNCTION("""COMPUTED_VALUE"""),"Adhesivo 100 mm Materias Tóxicas")</f>
        <v>Adhesivo 100 mm Materias Tóxicas</v>
      </c>
      <c r="C926" s="4">
        <f>IFERROR(__xludf.DUMMYFUNCTION("""COMPUTED_VALUE"""),1.6)</f>
        <v>1.6</v>
      </c>
      <c r="D926" s="4"/>
      <c r="E926" s="4" t="str">
        <f>IFERROR(__xludf.DUMMYFUNCTION("""COMPUTED_VALUE"""),"Sin precio neto G.C.")</f>
        <v>Sin precio neto G.C.</v>
      </c>
    </row>
    <row r="927">
      <c r="A927" s="4" t="str">
        <f>IFERROR(__xludf.DUMMYFUNCTION("""COMPUTED_VALUE"""),"823")</f>
        <v>823</v>
      </c>
      <c r="B927" s="4" t="str">
        <f>IFERROR(__xludf.DUMMYFUNCTION("""COMPUTED_VALUE"""),"Adhesivo 100 mm Materias infecciosas")</f>
        <v>Adhesivo 100 mm Materias infecciosas</v>
      </c>
      <c r="C927" s="4">
        <f>IFERROR(__xludf.DUMMYFUNCTION("""COMPUTED_VALUE"""),0.6)</f>
        <v>0.6</v>
      </c>
      <c r="D927" s="4"/>
      <c r="E927" s="4" t="str">
        <f>IFERROR(__xludf.DUMMYFUNCTION("""COMPUTED_VALUE"""),"Sin precio neto G.C.")</f>
        <v>Sin precio neto G.C.</v>
      </c>
    </row>
    <row r="928">
      <c r="A928" s="4" t="str">
        <f>IFERROR(__xludf.DUMMYFUNCTION("""COMPUTED_VALUE"""),"0823A")</f>
        <v>0823A</v>
      </c>
      <c r="B928" s="4" t="str">
        <f>IFERROR(__xludf.DUMMYFUNCTION("""COMPUTED_VALUE"""),"Adhesivo 300 mm Materias infecciosas")</f>
        <v>Adhesivo 300 mm Materias infecciosas</v>
      </c>
      <c r="C928" s="4">
        <f>IFERROR(__xludf.DUMMYFUNCTION("""COMPUTED_VALUE"""),1.6)</f>
        <v>1.6</v>
      </c>
      <c r="D928" s="4"/>
      <c r="E928" s="4" t="str">
        <f>IFERROR(__xludf.DUMMYFUNCTION("""COMPUTED_VALUE"""),"Sin precio neto G.C.")</f>
        <v>Sin precio neto G.C.</v>
      </c>
    </row>
    <row r="929">
      <c r="A929" s="4" t="str">
        <f>IFERROR(__xludf.DUMMYFUNCTION("""COMPUTED_VALUE"""),"824")</f>
        <v>824</v>
      </c>
      <c r="B929" s="4" t="str">
        <f>IFERROR(__xludf.DUMMYFUNCTION("""COMPUTED_VALUE"""),"Adhesivo 100 mm Materias radiactivas I")</f>
        <v>Adhesivo 100 mm Materias radiactivas I</v>
      </c>
      <c r="C929" s="4">
        <f>IFERROR(__xludf.DUMMYFUNCTION("""COMPUTED_VALUE"""),0.6)</f>
        <v>0.6</v>
      </c>
      <c r="D929" s="4"/>
      <c r="E929" s="4" t="str">
        <f>IFERROR(__xludf.DUMMYFUNCTION("""COMPUTED_VALUE"""),"Sin precio neto G.C.")</f>
        <v>Sin precio neto G.C.</v>
      </c>
    </row>
    <row r="930">
      <c r="A930" s="4" t="str">
        <f>IFERROR(__xludf.DUMMYFUNCTION("""COMPUTED_VALUE"""),"0824A")</f>
        <v>0824A</v>
      </c>
      <c r="B930" s="4" t="str">
        <f>IFERROR(__xludf.DUMMYFUNCTION("""COMPUTED_VALUE"""),"Adhesivo 300 mm Materias radiactivas I")</f>
        <v>Adhesivo 300 mm Materias radiactivas I</v>
      </c>
      <c r="C930" s="4">
        <f>IFERROR(__xludf.DUMMYFUNCTION("""COMPUTED_VALUE"""),1.6)</f>
        <v>1.6</v>
      </c>
      <c r="D930" s="4"/>
      <c r="E930" s="4" t="str">
        <f>IFERROR(__xludf.DUMMYFUNCTION("""COMPUTED_VALUE"""),"Sin precio neto G.C.")</f>
        <v>Sin precio neto G.C.</v>
      </c>
    </row>
    <row r="931">
      <c r="A931" s="4" t="str">
        <f>IFERROR(__xludf.DUMMYFUNCTION("""COMPUTED_VALUE"""),"825")</f>
        <v>825</v>
      </c>
      <c r="B931" s="4" t="str">
        <f>IFERROR(__xludf.DUMMYFUNCTION("""COMPUTED_VALUE"""),"Adhesivo 100 mm Materias radiactivas II")</f>
        <v>Adhesivo 100 mm Materias radiactivas II</v>
      </c>
      <c r="C931" s="4">
        <f>IFERROR(__xludf.DUMMYFUNCTION("""COMPUTED_VALUE"""),0.6)</f>
        <v>0.6</v>
      </c>
      <c r="D931" s="4"/>
      <c r="E931" s="4" t="str">
        <f>IFERROR(__xludf.DUMMYFUNCTION("""COMPUTED_VALUE"""),"Sin precio neto G.C.")</f>
        <v>Sin precio neto G.C.</v>
      </c>
    </row>
    <row r="932">
      <c r="A932" s="4" t="str">
        <f>IFERROR(__xludf.DUMMYFUNCTION("""COMPUTED_VALUE"""),"0825A")</f>
        <v>0825A</v>
      </c>
      <c r="B932" s="4" t="str">
        <f>IFERROR(__xludf.DUMMYFUNCTION("""COMPUTED_VALUE"""),"Adhesivo 300 mm Materias radiactivas II")</f>
        <v>Adhesivo 300 mm Materias radiactivas II</v>
      </c>
      <c r="C932" s="4">
        <f>IFERROR(__xludf.DUMMYFUNCTION("""COMPUTED_VALUE"""),1.6)</f>
        <v>1.6</v>
      </c>
      <c r="D932" s="4"/>
      <c r="E932" s="4" t="str">
        <f>IFERROR(__xludf.DUMMYFUNCTION("""COMPUTED_VALUE"""),"Sin precio neto G.C.")</f>
        <v>Sin precio neto G.C.</v>
      </c>
    </row>
    <row r="933">
      <c r="A933" s="4" t="str">
        <f>IFERROR(__xludf.DUMMYFUNCTION("""COMPUTED_VALUE"""),"826")</f>
        <v>826</v>
      </c>
      <c r="B933" s="4" t="str">
        <f>IFERROR(__xludf.DUMMYFUNCTION("""COMPUTED_VALUE"""),"Adhesivo 100 mm Materias radiactivas III")</f>
        <v>Adhesivo 100 mm Materias radiactivas III</v>
      </c>
      <c r="C933" s="4">
        <f>IFERROR(__xludf.DUMMYFUNCTION("""COMPUTED_VALUE"""),0.6)</f>
        <v>0.6</v>
      </c>
      <c r="D933" s="4"/>
      <c r="E933" s="4" t="str">
        <f>IFERROR(__xludf.DUMMYFUNCTION("""COMPUTED_VALUE"""),"Sin precio neto G.C.")</f>
        <v>Sin precio neto G.C.</v>
      </c>
    </row>
    <row r="934">
      <c r="A934" s="4" t="str">
        <f>IFERROR(__xludf.DUMMYFUNCTION("""COMPUTED_VALUE"""),"0826A")</f>
        <v>0826A</v>
      </c>
      <c r="B934" s="4" t="str">
        <f>IFERROR(__xludf.DUMMYFUNCTION("""COMPUTED_VALUE"""),"Adhesivo 300 mm Materias radiactivas III")</f>
        <v>Adhesivo 300 mm Materias radiactivas III</v>
      </c>
      <c r="C934" s="4">
        <f>IFERROR(__xludf.DUMMYFUNCTION("""COMPUTED_VALUE"""),1.6)</f>
        <v>1.6</v>
      </c>
      <c r="D934" s="4"/>
      <c r="E934" s="4" t="str">
        <f>IFERROR(__xludf.DUMMYFUNCTION("""COMPUTED_VALUE"""),"Sin precio neto G.C.")</f>
        <v>Sin precio neto G.C.</v>
      </c>
    </row>
    <row r="935">
      <c r="A935" s="4" t="str">
        <f>IFERROR(__xludf.DUMMYFUNCTION("""COMPUTED_VALUE"""),"827")</f>
        <v>827</v>
      </c>
      <c r="B935" s="4" t="str">
        <f>IFERROR(__xludf.DUMMYFUNCTION("""COMPUTED_VALUE"""),"Adhesivo 100 mm Materias fisionables")</f>
        <v>Adhesivo 100 mm Materias fisionables</v>
      </c>
      <c r="C935" s="4">
        <f>IFERROR(__xludf.DUMMYFUNCTION("""COMPUTED_VALUE"""),0.6)</f>
        <v>0.6</v>
      </c>
      <c r="D935" s="4"/>
      <c r="E935" s="4" t="str">
        <f>IFERROR(__xludf.DUMMYFUNCTION("""COMPUTED_VALUE"""),"Sin precio neto G.C.")</f>
        <v>Sin precio neto G.C.</v>
      </c>
    </row>
    <row r="936">
      <c r="A936" s="4" t="str">
        <f>IFERROR(__xludf.DUMMYFUNCTION("""COMPUTED_VALUE"""),"0827A")</f>
        <v>0827A</v>
      </c>
      <c r="B936" s="4" t="str">
        <f>IFERROR(__xludf.DUMMYFUNCTION("""COMPUTED_VALUE"""),"Adhesivo 300 mm Materias fisionables")</f>
        <v>Adhesivo 300 mm Materias fisionables</v>
      </c>
      <c r="C936" s="4">
        <f>IFERROR(__xludf.DUMMYFUNCTION("""COMPUTED_VALUE"""),1.6)</f>
        <v>1.6</v>
      </c>
      <c r="D936" s="4"/>
      <c r="E936" s="4" t="str">
        <f>IFERROR(__xludf.DUMMYFUNCTION("""COMPUTED_VALUE"""),"Sin precio neto G.C.")</f>
        <v>Sin precio neto G.C.</v>
      </c>
    </row>
    <row r="937">
      <c r="A937" s="4" t="str">
        <f>IFERROR(__xludf.DUMMYFUNCTION("""COMPUTED_VALUE"""),"828")</f>
        <v>828</v>
      </c>
      <c r="B937" s="4" t="str">
        <f>IFERROR(__xludf.DUMMYFUNCTION("""COMPUTED_VALUE"""),"Adhesivo 100 mm Materias corrosivas")</f>
        <v>Adhesivo 100 mm Materias corrosivas</v>
      </c>
      <c r="C937" s="4">
        <f>IFERROR(__xludf.DUMMYFUNCTION("""COMPUTED_VALUE"""),0.6)</f>
        <v>0.6</v>
      </c>
      <c r="D937" s="4"/>
      <c r="E937" s="4" t="str">
        <f>IFERROR(__xludf.DUMMYFUNCTION("""COMPUTED_VALUE"""),"Sin precio neto G.C.")</f>
        <v>Sin precio neto G.C.</v>
      </c>
    </row>
    <row r="938">
      <c r="A938" s="4" t="str">
        <f>IFERROR(__xludf.DUMMYFUNCTION("""COMPUTED_VALUE"""),"0828A")</f>
        <v>0828A</v>
      </c>
      <c r="B938" s="4" t="str">
        <f>IFERROR(__xludf.DUMMYFUNCTION("""COMPUTED_VALUE"""),"Adhesivo 300 mm Materias corrosivas")</f>
        <v>Adhesivo 300 mm Materias corrosivas</v>
      </c>
      <c r="C938" s="4">
        <f>IFERROR(__xludf.DUMMYFUNCTION("""COMPUTED_VALUE"""),1.6)</f>
        <v>1.6</v>
      </c>
      <c r="D938" s="4"/>
      <c r="E938" s="4" t="str">
        <f>IFERROR(__xludf.DUMMYFUNCTION("""COMPUTED_VALUE"""),"Sin precio neto G.C.")</f>
        <v>Sin precio neto G.C.</v>
      </c>
    </row>
    <row r="939">
      <c r="A939" s="4" t="str">
        <f>IFERROR(__xludf.DUMMYFUNCTION("""COMPUTED_VALUE"""),"829")</f>
        <v>829</v>
      </c>
      <c r="B939" s="4" t="str">
        <f>IFERROR(__xludf.DUMMYFUNCTION("""COMPUTED_VALUE"""),"Adhesivo 100 mm Materias y objetos peligrosos diversos")</f>
        <v>Adhesivo 100 mm Materias y objetos peligrosos diversos</v>
      </c>
      <c r="C939" s="4">
        <f>IFERROR(__xludf.DUMMYFUNCTION("""COMPUTED_VALUE"""),0.6)</f>
        <v>0.6</v>
      </c>
      <c r="D939" s="4"/>
      <c r="E939" s="4" t="str">
        <f>IFERROR(__xludf.DUMMYFUNCTION("""COMPUTED_VALUE"""),"Sin precio neto G.C.")</f>
        <v>Sin precio neto G.C.</v>
      </c>
    </row>
    <row r="940">
      <c r="A940" s="4" t="str">
        <f>IFERROR(__xludf.DUMMYFUNCTION("""COMPUTED_VALUE"""),"0829A")</f>
        <v>0829A</v>
      </c>
      <c r="B940" s="4" t="str">
        <f>IFERROR(__xludf.DUMMYFUNCTION("""COMPUTED_VALUE"""),"Adhesivo 300 mm Materias y objetos peligrosos divesas")</f>
        <v>Adhesivo 300 mm Materias y objetos peligrosos divesas</v>
      </c>
      <c r="C940" s="4">
        <f>IFERROR(__xludf.DUMMYFUNCTION("""COMPUTED_VALUE"""),1.6)</f>
        <v>1.6</v>
      </c>
      <c r="D940" s="4"/>
      <c r="E940" s="4" t="str">
        <f>IFERROR(__xludf.DUMMYFUNCTION("""COMPUTED_VALUE"""),"Sin precio neto G.C.")</f>
        <v>Sin precio neto G.C.</v>
      </c>
    </row>
    <row r="941">
      <c r="A941" s="4" t="str">
        <f>IFERROR(__xludf.DUMMYFUNCTION("""COMPUTED_VALUE"""),"830")</f>
        <v>830</v>
      </c>
      <c r="B941" s="4" t="str">
        <f>IFERROR(__xludf.DUMMYFUNCTION("""COMPUTED_VALUE"""),"Adhesivo 100 mm Materias peligrosas para el medio ambiente")</f>
        <v>Adhesivo 100 mm Materias peligrosas para el medio ambiente</v>
      </c>
      <c r="C941" s="4">
        <f>IFERROR(__xludf.DUMMYFUNCTION("""COMPUTED_VALUE"""),0.6)</f>
        <v>0.6</v>
      </c>
      <c r="D941" s="4"/>
      <c r="E941" s="4" t="str">
        <f>IFERROR(__xludf.DUMMYFUNCTION("""COMPUTED_VALUE"""),"Sin precio neto G.C.")</f>
        <v>Sin precio neto G.C.</v>
      </c>
    </row>
    <row r="942">
      <c r="A942" s="4" t="str">
        <f>IFERROR(__xludf.DUMMYFUNCTION("""COMPUTED_VALUE"""),"0830A")</f>
        <v>0830A</v>
      </c>
      <c r="B942" s="4" t="str">
        <f>IFERROR(__xludf.DUMMYFUNCTION("""COMPUTED_VALUE"""),"Adhesivo 300 mm Materias peligrosas para el medio ambiente")</f>
        <v>Adhesivo 300 mm Materias peligrosas para el medio ambiente</v>
      </c>
      <c r="C942" s="4">
        <f>IFERROR(__xludf.DUMMYFUNCTION("""COMPUTED_VALUE"""),1.6)</f>
        <v>1.6</v>
      </c>
      <c r="D942" s="4"/>
      <c r="E942" s="4" t="str">
        <f>IFERROR(__xludf.DUMMYFUNCTION("""COMPUTED_VALUE"""),"Sin precio neto G.C.")</f>
        <v>Sin precio neto G.C.</v>
      </c>
    </row>
    <row r="943">
      <c r="A943" s="4" t="str">
        <f>IFERROR(__xludf.DUMMYFUNCTION("""COMPUTED_VALUE"""),"831")</f>
        <v>831</v>
      </c>
      <c r="B943" s="4" t="str">
        <f>IFERROR(__xludf.DUMMYFUNCTION("""COMPUTED_VALUE"""),"Adhesivo 100 mm Orientación del bulto")</f>
        <v>Adhesivo 100 mm Orientación del bulto</v>
      </c>
      <c r="C943" s="4">
        <f>IFERROR(__xludf.DUMMYFUNCTION("""COMPUTED_VALUE"""),0.6)</f>
        <v>0.6</v>
      </c>
      <c r="D943" s="4"/>
      <c r="E943" s="4" t="str">
        <f>IFERROR(__xludf.DUMMYFUNCTION("""COMPUTED_VALUE"""),"Sin precio neto G.C.")</f>
        <v>Sin precio neto G.C.</v>
      </c>
    </row>
    <row r="944">
      <c r="A944" s="4" t="str">
        <f>IFERROR(__xludf.DUMMYFUNCTION("""COMPUTED_VALUE"""),"0831A")</f>
        <v>0831A</v>
      </c>
      <c r="B944" s="4" t="str">
        <f>IFERROR(__xludf.DUMMYFUNCTION("""COMPUTED_VALUE"""),"Adhesivo 300 mm Orientación del bulto")</f>
        <v>Adhesivo 300 mm Orientación del bulto</v>
      </c>
      <c r="C944" s="4">
        <f>IFERROR(__xludf.DUMMYFUNCTION("""COMPUTED_VALUE"""),1.6)</f>
        <v>1.6</v>
      </c>
      <c r="D944" s="4"/>
      <c r="E944" s="4" t="str">
        <f>IFERROR(__xludf.DUMMYFUNCTION("""COMPUTED_VALUE"""),"Sin precio neto G.C.")</f>
        <v>Sin precio neto G.C.</v>
      </c>
    </row>
    <row r="945">
      <c r="A945" s="4" t="str">
        <f>IFERROR(__xludf.DUMMYFUNCTION("""COMPUTED_VALUE"""),"832")</f>
        <v>832</v>
      </c>
      <c r="B945" s="4" t="str">
        <f>IFERROR(__xludf.DUMMYFUNCTION("""COMPUTED_VALUE"""),"Adhesivo 100 mm productos químicos explosivos")</f>
        <v>Adhesivo 100 mm productos químicos explosivos</v>
      </c>
      <c r="C945" s="4">
        <f>IFERROR(__xludf.DUMMYFUNCTION("""COMPUTED_VALUE"""),0.6)</f>
        <v>0.6</v>
      </c>
      <c r="D945" s="4"/>
      <c r="E945" s="4" t="str">
        <f>IFERROR(__xludf.DUMMYFUNCTION("""COMPUTED_VALUE"""),"Sin precio neto G.C.")</f>
        <v>Sin precio neto G.C.</v>
      </c>
    </row>
    <row r="946">
      <c r="A946" s="4" t="str">
        <f>IFERROR(__xludf.DUMMYFUNCTION("""COMPUTED_VALUE"""),"0832A")</f>
        <v>0832A</v>
      </c>
      <c r="B946" s="4" t="str">
        <f>IFERROR(__xludf.DUMMYFUNCTION("""COMPUTED_VALUE"""),"Adhesivo 300 mm productos químicos explosivos")</f>
        <v>Adhesivo 300 mm productos químicos explosivos</v>
      </c>
      <c r="C946" s="4">
        <f>IFERROR(__xludf.DUMMYFUNCTION("""COMPUTED_VALUE"""),1.6)</f>
        <v>1.6</v>
      </c>
      <c r="D946" s="4"/>
      <c r="E946" s="4" t="str">
        <f>IFERROR(__xludf.DUMMYFUNCTION("""COMPUTED_VALUE"""),"Sin precio neto G.C.")</f>
        <v>Sin precio neto G.C.</v>
      </c>
    </row>
    <row r="947">
      <c r="A947" s="4" t="str">
        <f>IFERROR(__xludf.DUMMYFUNCTION("""COMPUTED_VALUE"""),"833")</f>
        <v>833</v>
      </c>
      <c r="B947" s="4" t="str">
        <f>IFERROR(__xludf.DUMMYFUNCTION("""COMPUTED_VALUE"""),"Adhesivo 100 mm productos químicos inflamables")</f>
        <v>Adhesivo 100 mm productos químicos inflamables</v>
      </c>
      <c r="C947" s="4">
        <f>IFERROR(__xludf.DUMMYFUNCTION("""COMPUTED_VALUE"""),0.6)</f>
        <v>0.6</v>
      </c>
      <c r="D947" s="4"/>
      <c r="E947" s="4" t="str">
        <f>IFERROR(__xludf.DUMMYFUNCTION("""COMPUTED_VALUE"""),"Sin precio neto G.C.")</f>
        <v>Sin precio neto G.C.</v>
      </c>
    </row>
    <row r="948">
      <c r="A948" s="4" t="str">
        <f>IFERROR(__xludf.DUMMYFUNCTION("""COMPUTED_VALUE"""),"0833A")</f>
        <v>0833A</v>
      </c>
      <c r="B948" s="4" t="str">
        <f>IFERROR(__xludf.DUMMYFUNCTION("""COMPUTED_VALUE"""),"Adhesivo 300 mm productos químicos inflamables")</f>
        <v>Adhesivo 300 mm productos químicos inflamables</v>
      </c>
      <c r="C948" s="4">
        <f>IFERROR(__xludf.DUMMYFUNCTION("""COMPUTED_VALUE"""),1.6)</f>
        <v>1.6</v>
      </c>
      <c r="D948" s="4"/>
      <c r="E948" s="4" t="str">
        <f>IFERROR(__xludf.DUMMYFUNCTION("""COMPUTED_VALUE"""),"Sin precio neto G.C.")</f>
        <v>Sin precio neto G.C.</v>
      </c>
    </row>
    <row r="949">
      <c r="A949" s="4" t="str">
        <f>IFERROR(__xludf.DUMMYFUNCTION("""COMPUTED_VALUE"""),"834")</f>
        <v>834</v>
      </c>
      <c r="B949" s="4" t="str">
        <f>IFERROR(__xludf.DUMMYFUNCTION("""COMPUTED_VALUE"""),"Adhesivo 100 mm productos químicos comburentes")</f>
        <v>Adhesivo 100 mm productos químicos comburentes</v>
      </c>
      <c r="C949" s="4">
        <f>IFERROR(__xludf.DUMMYFUNCTION("""COMPUTED_VALUE"""),0.6)</f>
        <v>0.6</v>
      </c>
      <c r="D949" s="4"/>
      <c r="E949" s="4" t="str">
        <f>IFERROR(__xludf.DUMMYFUNCTION("""COMPUTED_VALUE"""),"Sin precio neto G.C.")</f>
        <v>Sin precio neto G.C.</v>
      </c>
    </row>
    <row r="950">
      <c r="A950" s="4" t="str">
        <f>IFERROR(__xludf.DUMMYFUNCTION("""COMPUTED_VALUE"""),"0834A")</f>
        <v>0834A</v>
      </c>
      <c r="B950" s="4" t="str">
        <f>IFERROR(__xludf.DUMMYFUNCTION("""COMPUTED_VALUE"""),"Adhesivo 300 mm productos químicos comburentes")</f>
        <v>Adhesivo 300 mm productos químicos comburentes</v>
      </c>
      <c r="C950" s="4">
        <f>IFERROR(__xludf.DUMMYFUNCTION("""COMPUTED_VALUE"""),1.6)</f>
        <v>1.6</v>
      </c>
      <c r="D950" s="4"/>
      <c r="E950" s="4" t="str">
        <f>IFERROR(__xludf.DUMMYFUNCTION("""COMPUTED_VALUE"""),"Sin precio neto G.C.")</f>
        <v>Sin precio neto G.C.</v>
      </c>
    </row>
    <row r="951">
      <c r="A951" s="4" t="str">
        <f>IFERROR(__xludf.DUMMYFUNCTION("""COMPUTED_VALUE"""),"835")</f>
        <v>835</v>
      </c>
      <c r="B951" s="4" t="str">
        <f>IFERROR(__xludf.DUMMYFUNCTION("""COMPUTED_VALUE"""),"Adhesivo 100 mm productos químicos gas a presión")</f>
        <v>Adhesivo 100 mm productos químicos gas a presión</v>
      </c>
      <c r="C951" s="4">
        <f>IFERROR(__xludf.DUMMYFUNCTION("""COMPUTED_VALUE"""),0.6)</f>
        <v>0.6</v>
      </c>
      <c r="D951" s="4"/>
      <c r="E951" s="4" t="str">
        <f>IFERROR(__xludf.DUMMYFUNCTION("""COMPUTED_VALUE"""),"Sin precio neto G.C.")</f>
        <v>Sin precio neto G.C.</v>
      </c>
    </row>
    <row r="952">
      <c r="A952" s="4" t="str">
        <f>IFERROR(__xludf.DUMMYFUNCTION("""COMPUTED_VALUE"""),"0835A")</f>
        <v>0835A</v>
      </c>
      <c r="B952" s="4" t="str">
        <f>IFERROR(__xludf.DUMMYFUNCTION("""COMPUTED_VALUE"""),"Adhesivo 300 mm productos químicos gas a presión")</f>
        <v>Adhesivo 300 mm productos químicos gas a presión</v>
      </c>
      <c r="C952" s="4">
        <f>IFERROR(__xludf.DUMMYFUNCTION("""COMPUTED_VALUE"""),1.6)</f>
        <v>1.6</v>
      </c>
      <c r="D952" s="4"/>
      <c r="E952" s="4" t="str">
        <f>IFERROR(__xludf.DUMMYFUNCTION("""COMPUTED_VALUE"""),"Sin precio neto G.C.")</f>
        <v>Sin precio neto G.C.</v>
      </c>
    </row>
    <row r="953">
      <c r="A953" s="4" t="str">
        <f>IFERROR(__xludf.DUMMYFUNCTION("""COMPUTED_VALUE"""),"836")</f>
        <v>836</v>
      </c>
      <c r="B953" s="4" t="str">
        <f>IFERROR(__xludf.DUMMYFUNCTION("""COMPUTED_VALUE"""),"Adhesivo 100 mm productos químicos toxicidad aguda")</f>
        <v>Adhesivo 100 mm productos químicos toxicidad aguda</v>
      </c>
      <c r="C953" s="4">
        <f>IFERROR(__xludf.DUMMYFUNCTION("""COMPUTED_VALUE"""),0.6)</f>
        <v>0.6</v>
      </c>
      <c r="D953" s="4"/>
      <c r="E953" s="4" t="str">
        <f>IFERROR(__xludf.DUMMYFUNCTION("""COMPUTED_VALUE"""),"Sin precio neto G.C.")</f>
        <v>Sin precio neto G.C.</v>
      </c>
    </row>
    <row r="954">
      <c r="A954" s="4" t="str">
        <f>IFERROR(__xludf.DUMMYFUNCTION("""COMPUTED_VALUE"""),"0836A")</f>
        <v>0836A</v>
      </c>
      <c r="B954" s="4" t="str">
        <f>IFERROR(__xludf.DUMMYFUNCTION("""COMPUTED_VALUE"""),"Adhesivo 300 mm productos químicos Toxicidad aguda")</f>
        <v>Adhesivo 300 mm productos químicos Toxicidad aguda</v>
      </c>
      <c r="C954" s="4">
        <f>IFERROR(__xludf.DUMMYFUNCTION("""COMPUTED_VALUE"""),1.6)</f>
        <v>1.6</v>
      </c>
      <c r="D954" s="4"/>
      <c r="E954" s="4" t="str">
        <f>IFERROR(__xludf.DUMMYFUNCTION("""COMPUTED_VALUE"""),"Sin precio neto G.C.")</f>
        <v>Sin precio neto G.C.</v>
      </c>
    </row>
    <row r="955">
      <c r="A955" s="4" t="str">
        <f>IFERROR(__xludf.DUMMYFUNCTION("""COMPUTED_VALUE"""),"837")</f>
        <v>837</v>
      </c>
      <c r="B955" s="4" t="str">
        <f>IFERROR(__xludf.DUMMYFUNCTION("""COMPUTED_VALUE"""),"Adhesivo 100 mm productos químicos corrosivos")</f>
        <v>Adhesivo 100 mm productos químicos corrosivos</v>
      </c>
      <c r="C955" s="4">
        <f>IFERROR(__xludf.DUMMYFUNCTION("""COMPUTED_VALUE"""),0.6)</f>
        <v>0.6</v>
      </c>
      <c r="D955" s="4"/>
      <c r="E955" s="4" t="str">
        <f>IFERROR(__xludf.DUMMYFUNCTION("""COMPUTED_VALUE"""),"Sin precio neto G.C.")</f>
        <v>Sin precio neto G.C.</v>
      </c>
    </row>
    <row r="956">
      <c r="A956" s="4" t="str">
        <f>IFERROR(__xludf.DUMMYFUNCTION("""COMPUTED_VALUE"""),"0837A")</f>
        <v>0837A</v>
      </c>
      <c r="B956" s="4" t="str">
        <f>IFERROR(__xludf.DUMMYFUNCTION("""COMPUTED_VALUE"""),"Adhesivo 300 mm productos químicos corrosivos")</f>
        <v>Adhesivo 300 mm productos químicos corrosivos</v>
      </c>
      <c r="C956" s="4">
        <f>IFERROR(__xludf.DUMMYFUNCTION("""COMPUTED_VALUE"""),1.6)</f>
        <v>1.6</v>
      </c>
      <c r="D956" s="4"/>
      <c r="E956" s="4" t="str">
        <f>IFERROR(__xludf.DUMMYFUNCTION("""COMPUTED_VALUE"""),"Sin precio neto G.C.")</f>
        <v>Sin precio neto G.C.</v>
      </c>
    </row>
    <row r="957">
      <c r="A957" s="4" t="str">
        <f>IFERROR(__xludf.DUMMYFUNCTION("""COMPUTED_VALUE"""),"838")</f>
        <v>838</v>
      </c>
      <c r="B957" s="4" t="str">
        <f>IFERROR(__xludf.DUMMYFUNCTION("""COMPUTED_VALUE"""),"Adhesivo 100 mm productos químicos peligro grave para la")</f>
        <v>Adhesivo 100 mm productos químicos peligro grave para la</v>
      </c>
      <c r="C957" s="4">
        <f>IFERROR(__xludf.DUMMYFUNCTION("""COMPUTED_VALUE"""),0.6)</f>
        <v>0.6</v>
      </c>
      <c r="D957" s="4"/>
      <c r="E957" s="4" t="str">
        <f>IFERROR(__xludf.DUMMYFUNCTION("""COMPUTED_VALUE"""),"Sin precio neto G.C.")</f>
        <v>Sin precio neto G.C.</v>
      </c>
    </row>
    <row r="958">
      <c r="A958" s="4" t="str">
        <f>IFERROR(__xludf.DUMMYFUNCTION("""COMPUTED_VALUE"""),"0838A")</f>
        <v>0838A</v>
      </c>
      <c r="B958" s="4" t="str">
        <f>IFERROR(__xludf.DUMMYFUNCTION("""COMPUTED_VALUE"""),"Adhesivo 300 mm productos químicos peligro grave para la")</f>
        <v>Adhesivo 300 mm productos químicos peligro grave para la</v>
      </c>
      <c r="C958" s="4">
        <f>IFERROR(__xludf.DUMMYFUNCTION("""COMPUTED_VALUE"""),1.6)</f>
        <v>1.6</v>
      </c>
      <c r="D958" s="4"/>
      <c r="E958" s="4" t="str">
        <f>IFERROR(__xludf.DUMMYFUNCTION("""COMPUTED_VALUE"""),"Sin precio neto G.C.")</f>
        <v>Sin precio neto G.C.</v>
      </c>
    </row>
    <row r="959">
      <c r="A959" s="4" t="str">
        <f>IFERROR(__xludf.DUMMYFUNCTION("""COMPUTED_VALUE"""),"839")</f>
        <v>839</v>
      </c>
      <c r="B959" s="4" t="str">
        <f>IFERROR(__xludf.DUMMYFUNCTION("""COMPUTED_VALUE"""),"Adhesivo 100 mm productos químicos peligro para la salud")</f>
        <v>Adhesivo 100 mm productos químicos peligro para la salud</v>
      </c>
      <c r="C959" s="4">
        <f>IFERROR(__xludf.DUMMYFUNCTION("""COMPUTED_VALUE"""),0.6)</f>
        <v>0.6</v>
      </c>
      <c r="D959" s="4"/>
      <c r="E959" s="4" t="str">
        <f>IFERROR(__xludf.DUMMYFUNCTION("""COMPUTED_VALUE"""),"Sin precio neto G.C.")</f>
        <v>Sin precio neto G.C.</v>
      </c>
    </row>
    <row r="960">
      <c r="A960" s="4" t="str">
        <f>IFERROR(__xludf.DUMMYFUNCTION("""COMPUTED_VALUE"""),"0839A")</f>
        <v>0839A</v>
      </c>
      <c r="B960" s="4" t="str">
        <f>IFERROR(__xludf.DUMMYFUNCTION("""COMPUTED_VALUE"""),"Adhesivo 300 mm productos químicos peligro para la salud")</f>
        <v>Adhesivo 300 mm productos químicos peligro para la salud</v>
      </c>
      <c r="C960" s="4">
        <f>IFERROR(__xludf.DUMMYFUNCTION("""COMPUTED_VALUE"""),1.6)</f>
        <v>1.6</v>
      </c>
      <c r="D960" s="4"/>
      <c r="E960" s="4" t="str">
        <f>IFERROR(__xludf.DUMMYFUNCTION("""COMPUTED_VALUE"""),"Sin precio neto G.C.")</f>
        <v>Sin precio neto G.C.</v>
      </c>
    </row>
    <row r="961">
      <c r="A961" s="4" t="str">
        <f>IFERROR(__xludf.DUMMYFUNCTION("""COMPUTED_VALUE"""),"840")</f>
        <v>840</v>
      </c>
      <c r="B961" s="4" t="str">
        <f>IFERROR(__xludf.DUMMYFUNCTION("""COMPUTED_VALUE"""),"Adhesivo 100 mm productos químicos peligro para el medio")</f>
        <v>Adhesivo 100 mm productos químicos peligro para el medio</v>
      </c>
      <c r="C961" s="4">
        <f>IFERROR(__xludf.DUMMYFUNCTION("""COMPUTED_VALUE"""),0.6)</f>
        <v>0.6</v>
      </c>
      <c r="D961" s="4"/>
      <c r="E961" s="4" t="str">
        <f>IFERROR(__xludf.DUMMYFUNCTION("""COMPUTED_VALUE"""),"Sin precio neto G.C.")</f>
        <v>Sin precio neto G.C.</v>
      </c>
    </row>
    <row r="962">
      <c r="A962" s="4" t="str">
        <f>IFERROR(__xludf.DUMMYFUNCTION("""COMPUTED_VALUE"""),"0840A")</f>
        <v>0840A</v>
      </c>
      <c r="B962" s="4" t="str">
        <f>IFERROR(__xludf.DUMMYFUNCTION("""COMPUTED_VALUE"""),"Adhesivo 300 mm productos químicos peligro para el medio")</f>
        <v>Adhesivo 300 mm productos químicos peligro para el medio</v>
      </c>
      <c r="C962" s="4">
        <f>IFERROR(__xludf.DUMMYFUNCTION("""COMPUTED_VALUE"""),1.6)</f>
        <v>1.6</v>
      </c>
      <c r="D962" s="4"/>
      <c r="E962" s="4" t="str">
        <f>IFERROR(__xludf.DUMMYFUNCTION("""COMPUTED_VALUE"""),"Sin precio neto G.C.")</f>
        <v>Sin precio neto G.C.</v>
      </c>
    </row>
    <row r="963">
      <c r="A963" s="4" t="str">
        <f>IFERROR(__xludf.DUMMYFUNCTION("""COMPUTED_VALUE"""),"841")</f>
        <v>841</v>
      </c>
      <c r="B963" s="4" t="str">
        <f>IFERROR(__xludf.DUMMYFUNCTION("""COMPUTED_VALUE"""),"Adhesivo información general aparcamiento 200x60 mm")</f>
        <v>Adhesivo información general aparcamiento 200x60 mm</v>
      </c>
      <c r="C963" s="4">
        <f>IFERROR(__xludf.DUMMYFUNCTION("""COMPUTED_VALUE"""),1.1)</f>
        <v>1.1</v>
      </c>
      <c r="D963" s="4"/>
      <c r="E963" s="4" t="str">
        <f>IFERROR(__xludf.DUMMYFUNCTION("""COMPUTED_VALUE"""),"Sin precio neto G.C.")</f>
        <v>Sin precio neto G.C.</v>
      </c>
    </row>
    <row r="964">
      <c r="A964" s="4" t="str">
        <f>IFERROR(__xludf.DUMMYFUNCTION("""COMPUTED_VALUE"""),"0841A")</f>
        <v>0841A</v>
      </c>
      <c r="B964" s="4" t="str">
        <f>IFERROR(__xludf.DUMMYFUNCTION("""COMPUTED_VALUE"""),"Adhesivo información general aparcamiento 300x100 mm")</f>
        <v>Adhesivo información general aparcamiento 300x100 mm</v>
      </c>
      <c r="C964" s="4">
        <f>IFERROR(__xludf.DUMMYFUNCTION("""COMPUTED_VALUE"""),1.6)</f>
        <v>1.6</v>
      </c>
      <c r="D964" s="4"/>
      <c r="E964" s="4" t="str">
        <f>IFERROR(__xludf.DUMMYFUNCTION("""COMPUTED_VALUE"""),"Sin precio neto G.C.")</f>
        <v>Sin precio neto G.C.</v>
      </c>
    </row>
    <row r="965">
      <c r="A965" s="4" t="str">
        <f>IFERROR(__xludf.DUMMYFUNCTION("""COMPUTED_VALUE"""),"0841C")</f>
        <v>0841C</v>
      </c>
      <c r="B965" s="4" t="str">
        <f>IFERROR(__xludf.DUMMYFUNCTION("""COMPUTED_VALUE"""),"Cartel PVC información general aparcamiento 300x100 mm")</f>
        <v>Cartel PVC información general aparcamiento 300x100 mm</v>
      </c>
      <c r="C965" s="4">
        <f>IFERROR(__xludf.DUMMYFUNCTION("""COMPUTED_VALUE"""),1.85)</f>
        <v>1.85</v>
      </c>
      <c r="D965" s="4"/>
      <c r="E965" s="4" t="str">
        <f>IFERROR(__xludf.DUMMYFUNCTION("""COMPUTED_VALUE"""),"Sin precio neto G.C.")</f>
        <v>Sin precio neto G.C.</v>
      </c>
    </row>
    <row r="966">
      <c r="A966" s="4" t="str">
        <f>IFERROR(__xludf.DUMMYFUNCTION("""COMPUTED_VALUE"""),"842")</f>
        <v>842</v>
      </c>
      <c r="B966" s="4" t="str">
        <f>IFERROR(__xludf.DUMMYFUNCTION("""COMPUTED_VALUE"""),"Adhesivo información general aseos minusváldos 200x60 mm")</f>
        <v>Adhesivo información general aseos minusváldos 200x60 mm</v>
      </c>
      <c r="C966" s="4">
        <f>IFERROR(__xludf.DUMMYFUNCTION("""COMPUTED_VALUE"""),1.1)</f>
        <v>1.1</v>
      </c>
      <c r="D966" s="4"/>
      <c r="E966" s="4" t="str">
        <f>IFERROR(__xludf.DUMMYFUNCTION("""COMPUTED_VALUE"""),"Sin precio neto G.C.")</f>
        <v>Sin precio neto G.C.</v>
      </c>
    </row>
    <row r="967">
      <c r="A967" s="4" t="str">
        <f>IFERROR(__xludf.DUMMYFUNCTION("""COMPUTED_VALUE"""),"0842A")</f>
        <v>0842A</v>
      </c>
      <c r="B967" s="4" t="str">
        <f>IFERROR(__xludf.DUMMYFUNCTION("""COMPUTED_VALUE"""),"Adhesivo información general aseos minusválidos 300x100")</f>
        <v>Adhesivo información general aseos minusválidos 300x100</v>
      </c>
      <c r="C967" s="4">
        <f>IFERROR(__xludf.DUMMYFUNCTION("""COMPUTED_VALUE"""),1.6)</f>
        <v>1.6</v>
      </c>
      <c r="D967" s="4"/>
      <c r="E967" s="4" t="str">
        <f>IFERROR(__xludf.DUMMYFUNCTION("""COMPUTED_VALUE"""),"Sin precio neto G.C.")</f>
        <v>Sin precio neto G.C.</v>
      </c>
    </row>
    <row r="968">
      <c r="A968" s="4" t="str">
        <f>IFERROR(__xludf.DUMMYFUNCTION("""COMPUTED_VALUE"""),"0842C")</f>
        <v>0842C</v>
      </c>
      <c r="B968" s="4" t="str">
        <f>IFERROR(__xludf.DUMMYFUNCTION("""COMPUTED_VALUE"""),"Cartel PVC información general aseos minusválidos 300x100")</f>
        <v>Cartel PVC información general aseos minusválidos 300x100</v>
      </c>
      <c r="C968" s="4">
        <f>IFERROR(__xludf.DUMMYFUNCTION("""COMPUTED_VALUE"""),1.85)</f>
        <v>1.85</v>
      </c>
      <c r="D968" s="4"/>
      <c r="E968" s="4" t="str">
        <f>IFERROR(__xludf.DUMMYFUNCTION("""COMPUTED_VALUE"""),"Sin precio neto G.C.")</f>
        <v>Sin precio neto G.C.</v>
      </c>
    </row>
    <row r="969">
      <c r="A969" s="4" t="str">
        <f>IFERROR(__xludf.DUMMYFUNCTION("""COMPUTED_VALUE"""),"843")</f>
        <v>843</v>
      </c>
      <c r="B969" s="4" t="str">
        <f>IFERROR(__xludf.DUMMYFUNCTION("""COMPUTED_VALUE"""),"Adhesivo información general aseos masculino 200x60 mm")</f>
        <v>Adhesivo información general aseos masculino 200x60 mm</v>
      </c>
      <c r="C969" s="4">
        <f>IFERROR(__xludf.DUMMYFUNCTION("""COMPUTED_VALUE"""),1.1)</f>
        <v>1.1</v>
      </c>
      <c r="D969" s="4"/>
      <c r="E969" s="4" t="str">
        <f>IFERROR(__xludf.DUMMYFUNCTION("""COMPUTED_VALUE"""),"Sin precio neto G.C.")</f>
        <v>Sin precio neto G.C.</v>
      </c>
    </row>
    <row r="970">
      <c r="A970" s="4" t="str">
        <f>IFERROR(__xludf.DUMMYFUNCTION("""COMPUTED_VALUE"""),"0843A")</f>
        <v>0843A</v>
      </c>
      <c r="B970" s="4" t="str">
        <f>IFERROR(__xludf.DUMMYFUNCTION("""COMPUTED_VALUE"""),"Adhesivo información general aseos masculino 300x100 mm")</f>
        <v>Adhesivo información general aseos masculino 300x100 mm</v>
      </c>
      <c r="C970" s="4">
        <f>IFERROR(__xludf.DUMMYFUNCTION("""COMPUTED_VALUE"""),1.6)</f>
        <v>1.6</v>
      </c>
      <c r="D970" s="4"/>
      <c r="E970" s="4" t="str">
        <f>IFERROR(__xludf.DUMMYFUNCTION("""COMPUTED_VALUE"""),"Sin precio neto G.C.")</f>
        <v>Sin precio neto G.C.</v>
      </c>
    </row>
    <row r="971">
      <c r="A971" s="4" t="str">
        <f>IFERROR(__xludf.DUMMYFUNCTION("""COMPUTED_VALUE"""),"0843C")</f>
        <v>0843C</v>
      </c>
      <c r="B971" s="4" t="str">
        <f>IFERROR(__xludf.DUMMYFUNCTION("""COMPUTED_VALUE"""),"Cartel PVC información general aseos masculino 300x100 mm")</f>
        <v>Cartel PVC información general aseos masculino 300x100 mm</v>
      </c>
      <c r="C971" s="4">
        <f>IFERROR(__xludf.DUMMYFUNCTION("""COMPUTED_VALUE"""),1.85)</f>
        <v>1.85</v>
      </c>
      <c r="D971" s="4"/>
      <c r="E971" s="4" t="str">
        <f>IFERROR(__xludf.DUMMYFUNCTION("""COMPUTED_VALUE"""),"Sin precio neto G.C.")</f>
        <v>Sin precio neto G.C.</v>
      </c>
    </row>
    <row r="972">
      <c r="A972" s="4" t="str">
        <f>IFERROR(__xludf.DUMMYFUNCTION("""COMPUTED_VALUE"""),"845")</f>
        <v>845</v>
      </c>
      <c r="B972" s="4" t="str">
        <f>IFERROR(__xludf.DUMMYFUNCTION("""COMPUTED_VALUE"""),"Adhesivo información general aseos mixtos 200x60 mm")</f>
        <v>Adhesivo información general aseos mixtos 200x60 mm</v>
      </c>
      <c r="C972" s="4">
        <f>IFERROR(__xludf.DUMMYFUNCTION("""COMPUTED_VALUE"""),1.1)</f>
        <v>1.1</v>
      </c>
      <c r="D972" s="4"/>
      <c r="E972" s="4" t="str">
        <f>IFERROR(__xludf.DUMMYFUNCTION("""COMPUTED_VALUE"""),"Sin precio neto G.C.")</f>
        <v>Sin precio neto G.C.</v>
      </c>
    </row>
    <row r="973">
      <c r="A973" s="4" t="str">
        <f>IFERROR(__xludf.DUMMYFUNCTION("""COMPUTED_VALUE"""),"0845A")</f>
        <v>0845A</v>
      </c>
      <c r="B973" s="4" t="str">
        <f>IFERROR(__xludf.DUMMYFUNCTION("""COMPUTED_VALUE"""),"Adhesivo información general aseos mixtos 300x100 mm")</f>
        <v>Adhesivo información general aseos mixtos 300x100 mm</v>
      </c>
      <c r="C973" s="4">
        <f>IFERROR(__xludf.DUMMYFUNCTION("""COMPUTED_VALUE"""),1.6)</f>
        <v>1.6</v>
      </c>
      <c r="D973" s="4"/>
      <c r="E973" s="4" t="str">
        <f>IFERROR(__xludf.DUMMYFUNCTION("""COMPUTED_VALUE"""),"Sin precio neto G.C.")</f>
        <v>Sin precio neto G.C.</v>
      </c>
    </row>
    <row r="974">
      <c r="A974" s="4" t="str">
        <f>IFERROR(__xludf.DUMMYFUNCTION("""COMPUTED_VALUE"""),"0845C")</f>
        <v>0845C</v>
      </c>
      <c r="B974" s="4" t="str">
        <f>IFERROR(__xludf.DUMMYFUNCTION("""COMPUTED_VALUE"""),"Cartel PVC información general asos mixtos 300x100 mm")</f>
        <v>Cartel PVC información general asos mixtos 300x100 mm</v>
      </c>
      <c r="C974" s="4">
        <f>IFERROR(__xludf.DUMMYFUNCTION("""COMPUTED_VALUE"""),1.85)</f>
        <v>1.85</v>
      </c>
      <c r="D974" s="4"/>
      <c r="E974" s="4" t="str">
        <f>IFERROR(__xludf.DUMMYFUNCTION("""COMPUTED_VALUE"""),"Sin precio neto G.C.")</f>
        <v>Sin precio neto G.C.</v>
      </c>
    </row>
    <row r="975">
      <c r="A975" s="4" t="str">
        <f>IFERROR(__xludf.DUMMYFUNCTION("""COMPUTED_VALUE"""),"846")</f>
        <v>846</v>
      </c>
      <c r="B975" s="4" t="str">
        <f>IFERROR(__xludf.DUMMYFUNCTION("""COMPUTED_VALUE"""),"Adhesivo información general aseos femenino 200x60 mm")</f>
        <v>Adhesivo información general aseos femenino 200x60 mm</v>
      </c>
      <c r="C975" s="4">
        <f>IFERROR(__xludf.DUMMYFUNCTION("""COMPUTED_VALUE"""),1.1)</f>
        <v>1.1</v>
      </c>
      <c r="D975" s="4"/>
      <c r="E975" s="4" t="str">
        <f>IFERROR(__xludf.DUMMYFUNCTION("""COMPUTED_VALUE"""),"Sin precio neto G.C.")</f>
        <v>Sin precio neto G.C.</v>
      </c>
    </row>
    <row r="976">
      <c r="A976" s="4" t="str">
        <f>IFERROR(__xludf.DUMMYFUNCTION("""COMPUTED_VALUE"""),"0846A")</f>
        <v>0846A</v>
      </c>
      <c r="B976" s="4" t="str">
        <f>IFERROR(__xludf.DUMMYFUNCTION("""COMPUTED_VALUE"""),"Adhesivo información general aseos femeninio 300x100 mm")</f>
        <v>Adhesivo información general aseos femeninio 300x100 mm</v>
      </c>
      <c r="C976" s="4">
        <f>IFERROR(__xludf.DUMMYFUNCTION("""COMPUTED_VALUE"""),1.6)</f>
        <v>1.6</v>
      </c>
      <c r="D976" s="4"/>
      <c r="E976" s="4" t="str">
        <f>IFERROR(__xludf.DUMMYFUNCTION("""COMPUTED_VALUE"""),"Sin precio neto G.C.")</f>
        <v>Sin precio neto G.C.</v>
      </c>
    </row>
    <row r="977">
      <c r="A977" s="4" t="str">
        <f>IFERROR(__xludf.DUMMYFUNCTION("""COMPUTED_VALUE"""),"0846C")</f>
        <v>0846C</v>
      </c>
      <c r="B977" s="4" t="str">
        <f>IFERROR(__xludf.DUMMYFUNCTION("""COMPUTED_VALUE"""),"Cartel PVC informacion general Aseos femenino 300x100 mm")</f>
        <v>Cartel PVC informacion general Aseos femenino 300x100 mm</v>
      </c>
      <c r="C977" s="4">
        <f>IFERROR(__xludf.DUMMYFUNCTION("""COMPUTED_VALUE"""),1.85)</f>
        <v>1.85</v>
      </c>
      <c r="D977" s="4"/>
      <c r="E977" s="4" t="str">
        <f>IFERROR(__xludf.DUMMYFUNCTION("""COMPUTED_VALUE"""),"Sin precio neto G.C.")</f>
        <v>Sin precio neto G.C.</v>
      </c>
    </row>
    <row r="978">
      <c r="A978" s="4" t="str">
        <f>IFERROR(__xludf.DUMMYFUNCTION("""COMPUTED_VALUE"""),"847")</f>
        <v>847</v>
      </c>
      <c r="B978" s="4" t="str">
        <f>IFERROR(__xludf.DUMMYFUNCTION("""COMPUTED_VALUE"""),"Adhesivo información general vestuario mixto 200x60 mm")</f>
        <v>Adhesivo información general vestuario mixto 200x60 mm</v>
      </c>
      <c r="C978" s="4">
        <f>IFERROR(__xludf.DUMMYFUNCTION("""COMPUTED_VALUE"""),1.1)</f>
        <v>1.1</v>
      </c>
      <c r="D978" s="4"/>
      <c r="E978" s="4" t="str">
        <f>IFERROR(__xludf.DUMMYFUNCTION("""COMPUTED_VALUE"""),"Sin precio neto G.C.")</f>
        <v>Sin precio neto G.C.</v>
      </c>
    </row>
    <row r="979">
      <c r="A979" s="4" t="str">
        <f>IFERROR(__xludf.DUMMYFUNCTION("""COMPUTED_VALUE"""),"0847A")</f>
        <v>0847A</v>
      </c>
      <c r="B979" s="4" t="str">
        <f>IFERROR(__xludf.DUMMYFUNCTION("""COMPUTED_VALUE"""),"Adhesivo información general vestuario mixto 300x100 mm")</f>
        <v>Adhesivo información general vestuario mixto 300x100 mm</v>
      </c>
      <c r="C979" s="4">
        <f>IFERROR(__xludf.DUMMYFUNCTION("""COMPUTED_VALUE"""),1.6)</f>
        <v>1.6</v>
      </c>
      <c r="D979" s="4"/>
      <c r="E979" s="4" t="str">
        <f>IFERROR(__xludf.DUMMYFUNCTION("""COMPUTED_VALUE"""),"Sin precio neto G.C.")</f>
        <v>Sin precio neto G.C.</v>
      </c>
    </row>
    <row r="980">
      <c r="A980" s="4" t="str">
        <f>IFERROR(__xludf.DUMMYFUNCTION("""COMPUTED_VALUE"""),"0847C")</f>
        <v>0847C</v>
      </c>
      <c r="B980" s="4" t="str">
        <f>IFERROR(__xludf.DUMMYFUNCTION("""COMPUTED_VALUE"""),"Cartel PVC información general vestuarios mixtos 300x100 mm")</f>
        <v>Cartel PVC información general vestuarios mixtos 300x100 mm</v>
      </c>
      <c r="C980" s="4">
        <f>IFERROR(__xludf.DUMMYFUNCTION("""COMPUTED_VALUE"""),1.85)</f>
        <v>1.85</v>
      </c>
      <c r="D980" s="4"/>
      <c r="E980" s="4" t="str">
        <f>IFERROR(__xludf.DUMMYFUNCTION("""COMPUTED_VALUE"""),"Sin precio neto G.C.")</f>
        <v>Sin precio neto G.C.</v>
      </c>
    </row>
    <row r="981">
      <c r="A981" s="4" t="str">
        <f>IFERROR(__xludf.DUMMYFUNCTION("""COMPUTED_VALUE"""),"848")</f>
        <v>848</v>
      </c>
      <c r="B981" s="4" t="str">
        <f>IFERROR(__xludf.DUMMYFUNCTION("""COMPUTED_VALUE"""),"Adhesivo información general vestuario femenino 200x60 mm")</f>
        <v>Adhesivo información general vestuario femenino 200x60 mm</v>
      </c>
      <c r="C981" s="4">
        <f>IFERROR(__xludf.DUMMYFUNCTION("""COMPUTED_VALUE"""),1.1)</f>
        <v>1.1</v>
      </c>
      <c r="D981" s="4"/>
      <c r="E981" s="4" t="str">
        <f>IFERROR(__xludf.DUMMYFUNCTION("""COMPUTED_VALUE"""),"Sin precio neto G.C.")</f>
        <v>Sin precio neto G.C.</v>
      </c>
    </row>
    <row r="982">
      <c r="A982" s="4" t="str">
        <f>IFERROR(__xludf.DUMMYFUNCTION("""COMPUTED_VALUE"""),"0848A")</f>
        <v>0848A</v>
      </c>
      <c r="B982" s="4" t="str">
        <f>IFERROR(__xludf.DUMMYFUNCTION("""COMPUTED_VALUE"""),"Adhesivo información general vestuario femenino 300x100 mm")</f>
        <v>Adhesivo información general vestuario femenino 300x100 mm</v>
      </c>
      <c r="C982" s="4">
        <f>IFERROR(__xludf.DUMMYFUNCTION("""COMPUTED_VALUE"""),1.6)</f>
        <v>1.6</v>
      </c>
      <c r="D982" s="4"/>
      <c r="E982" s="4" t="str">
        <f>IFERROR(__xludf.DUMMYFUNCTION("""COMPUTED_VALUE"""),"Sin precio neto G.C.")</f>
        <v>Sin precio neto G.C.</v>
      </c>
    </row>
    <row r="983">
      <c r="A983" s="4" t="str">
        <f>IFERROR(__xludf.DUMMYFUNCTION("""COMPUTED_VALUE"""),"0848C")</f>
        <v>0848C</v>
      </c>
      <c r="B983" s="4" t="str">
        <f>IFERROR(__xludf.DUMMYFUNCTION("""COMPUTED_VALUE"""),"Cartel PVC información general vestuario femenino 300x100")</f>
        <v>Cartel PVC información general vestuario femenino 300x100</v>
      </c>
      <c r="C983" s="4">
        <f>IFERROR(__xludf.DUMMYFUNCTION("""COMPUTED_VALUE"""),1.85)</f>
        <v>1.85</v>
      </c>
      <c r="D983" s="4"/>
      <c r="E983" s="4" t="str">
        <f>IFERROR(__xludf.DUMMYFUNCTION("""COMPUTED_VALUE"""),"Sin precio neto G.C.")</f>
        <v>Sin precio neto G.C.</v>
      </c>
    </row>
    <row r="984">
      <c r="A984" s="4" t="str">
        <f>IFERROR(__xludf.DUMMYFUNCTION("""COMPUTED_VALUE"""),"849")</f>
        <v>849</v>
      </c>
      <c r="B984" s="4" t="str">
        <f>IFERROR(__xludf.DUMMYFUNCTION("""COMPUTED_VALUE"""),"Adhesivo información general vestuario masculino 200x60 mm")</f>
        <v>Adhesivo información general vestuario masculino 200x60 mm</v>
      </c>
      <c r="C984" s="4">
        <f>IFERROR(__xludf.DUMMYFUNCTION("""COMPUTED_VALUE"""),1.1)</f>
        <v>1.1</v>
      </c>
      <c r="D984" s="4"/>
      <c r="E984" s="4" t="str">
        <f>IFERROR(__xludf.DUMMYFUNCTION("""COMPUTED_VALUE"""),"Sin precio neto G.C.")</f>
        <v>Sin precio neto G.C.</v>
      </c>
    </row>
    <row r="985">
      <c r="A985" s="4" t="str">
        <f>IFERROR(__xludf.DUMMYFUNCTION("""COMPUTED_VALUE"""),"0849A")</f>
        <v>0849A</v>
      </c>
      <c r="B985" s="4" t="str">
        <f>IFERROR(__xludf.DUMMYFUNCTION("""COMPUTED_VALUE"""),"Adhesivo información general vestuario masculino 300x100")</f>
        <v>Adhesivo información general vestuario masculino 300x100</v>
      </c>
      <c r="C985" s="4">
        <f>IFERROR(__xludf.DUMMYFUNCTION("""COMPUTED_VALUE"""),1.6)</f>
        <v>1.6</v>
      </c>
      <c r="D985" s="4"/>
      <c r="E985" s="4" t="str">
        <f>IFERROR(__xludf.DUMMYFUNCTION("""COMPUTED_VALUE"""),"Sin precio neto G.C.")</f>
        <v>Sin precio neto G.C.</v>
      </c>
    </row>
    <row r="986">
      <c r="A986" s="4" t="str">
        <f>IFERROR(__xludf.DUMMYFUNCTION("""COMPUTED_VALUE"""),"0849C")</f>
        <v>0849C</v>
      </c>
      <c r="B986" s="4" t="str">
        <f>IFERROR(__xludf.DUMMYFUNCTION("""COMPUTED_VALUE"""),"Cartel PVC información general vestuario masculino 300x100")</f>
        <v>Cartel PVC información general vestuario masculino 300x100</v>
      </c>
      <c r="C986" s="4">
        <f>IFERROR(__xludf.DUMMYFUNCTION("""COMPUTED_VALUE"""),1.85)</f>
        <v>1.85</v>
      </c>
      <c r="D986" s="4"/>
      <c r="E986" s="4" t="str">
        <f>IFERROR(__xludf.DUMMYFUNCTION("""COMPUTED_VALUE"""),"Sin precio neto G.C.")</f>
        <v>Sin precio neto G.C.</v>
      </c>
    </row>
    <row r="987">
      <c r="A987" s="4" t="str">
        <f>IFERROR(__xludf.DUMMYFUNCTION("""COMPUTED_VALUE"""),"850")</f>
        <v>850</v>
      </c>
      <c r="B987" s="4" t="str">
        <f>IFERROR(__xludf.DUMMYFUNCTION("""COMPUTED_VALUE"""),"Adhesivo información general información 200x60 mm")</f>
        <v>Adhesivo información general información 200x60 mm</v>
      </c>
      <c r="C987" s="4">
        <f>IFERROR(__xludf.DUMMYFUNCTION("""COMPUTED_VALUE"""),1.1)</f>
        <v>1.1</v>
      </c>
      <c r="D987" s="4"/>
      <c r="E987" s="4" t="str">
        <f>IFERROR(__xludf.DUMMYFUNCTION("""COMPUTED_VALUE"""),"Sin precio neto G.C.")</f>
        <v>Sin precio neto G.C.</v>
      </c>
    </row>
    <row r="988">
      <c r="A988" s="4" t="str">
        <f>IFERROR(__xludf.DUMMYFUNCTION("""COMPUTED_VALUE"""),"0850A")</f>
        <v>0850A</v>
      </c>
      <c r="B988" s="4" t="str">
        <f>IFERROR(__xludf.DUMMYFUNCTION("""COMPUTED_VALUE"""),"Adhesivo información general información 300x100 mm")</f>
        <v>Adhesivo información general información 300x100 mm</v>
      </c>
      <c r="C988" s="4">
        <f>IFERROR(__xludf.DUMMYFUNCTION("""COMPUTED_VALUE"""),1.6)</f>
        <v>1.6</v>
      </c>
      <c r="D988" s="4"/>
      <c r="E988" s="4" t="str">
        <f>IFERROR(__xludf.DUMMYFUNCTION("""COMPUTED_VALUE"""),"Sin precio neto G.C.")</f>
        <v>Sin precio neto G.C.</v>
      </c>
    </row>
    <row r="989">
      <c r="A989" s="4" t="str">
        <f>IFERROR(__xludf.DUMMYFUNCTION("""COMPUTED_VALUE"""),"0850C")</f>
        <v>0850C</v>
      </c>
      <c r="B989" s="4" t="str">
        <f>IFERROR(__xludf.DUMMYFUNCTION("""COMPUTED_VALUE"""),"Cartel PVC información general información 300x100 mm")</f>
        <v>Cartel PVC información general información 300x100 mm</v>
      </c>
      <c r="C989" s="4">
        <f>IFERROR(__xludf.DUMMYFUNCTION("""COMPUTED_VALUE"""),1.85)</f>
        <v>1.85</v>
      </c>
      <c r="D989" s="4"/>
      <c r="E989" s="4" t="str">
        <f>IFERROR(__xludf.DUMMYFUNCTION("""COMPUTED_VALUE"""),"Sin precio neto G.C.")</f>
        <v>Sin precio neto G.C.</v>
      </c>
    </row>
    <row r="990">
      <c r="A990" s="4" t="str">
        <f>IFERROR(__xludf.DUMMYFUNCTION("""COMPUTED_VALUE"""),"851")</f>
        <v>851</v>
      </c>
      <c r="B990" s="4" t="str">
        <f>IFERROR(__xludf.DUMMYFUNCTION("""COMPUTED_VALUE"""),"Adhesivo información general teléfono 200x60 mm")</f>
        <v>Adhesivo información general teléfono 200x60 mm</v>
      </c>
      <c r="C990" s="4">
        <f>IFERROR(__xludf.DUMMYFUNCTION("""COMPUTED_VALUE"""),1.1)</f>
        <v>1.1</v>
      </c>
      <c r="D990" s="4"/>
      <c r="E990" s="4" t="str">
        <f>IFERROR(__xludf.DUMMYFUNCTION("""COMPUTED_VALUE"""),"Sin precio neto G.C.")</f>
        <v>Sin precio neto G.C.</v>
      </c>
    </row>
    <row r="991">
      <c r="A991" s="4" t="str">
        <f>IFERROR(__xludf.DUMMYFUNCTION("""COMPUTED_VALUE"""),"0851A")</f>
        <v>0851A</v>
      </c>
      <c r="B991" s="4" t="str">
        <f>IFERROR(__xludf.DUMMYFUNCTION("""COMPUTED_VALUE"""),"Adhesivo información general teléfono 300x100 mm")</f>
        <v>Adhesivo información general teléfono 300x100 mm</v>
      </c>
      <c r="C991" s="4">
        <f>IFERROR(__xludf.DUMMYFUNCTION("""COMPUTED_VALUE"""),1.6)</f>
        <v>1.6</v>
      </c>
      <c r="D991" s="4"/>
      <c r="E991" s="4" t="str">
        <f>IFERROR(__xludf.DUMMYFUNCTION("""COMPUTED_VALUE"""),"Sin precio neto G.C.")</f>
        <v>Sin precio neto G.C.</v>
      </c>
    </row>
    <row r="992">
      <c r="A992" s="4" t="str">
        <f>IFERROR(__xludf.DUMMYFUNCTION("""COMPUTED_VALUE"""),"0851C")</f>
        <v>0851C</v>
      </c>
      <c r="B992" s="4" t="str">
        <f>IFERROR(__xludf.DUMMYFUNCTION("""COMPUTED_VALUE"""),"Cartel PVC información general teléfono 300x100 mm")</f>
        <v>Cartel PVC información general teléfono 300x100 mm</v>
      </c>
      <c r="C992" s="4">
        <f>IFERROR(__xludf.DUMMYFUNCTION("""COMPUTED_VALUE"""),1.85)</f>
        <v>1.85</v>
      </c>
      <c r="D992" s="4"/>
      <c r="E992" s="4" t="str">
        <f>IFERROR(__xludf.DUMMYFUNCTION("""COMPUTED_VALUE"""),"Sin precio neto G.C.")</f>
        <v>Sin precio neto G.C.</v>
      </c>
    </row>
    <row r="993">
      <c r="A993" s="4" t="str">
        <f>IFERROR(__xludf.DUMMYFUNCTION("""COMPUTED_VALUE"""),"852")</f>
        <v>852</v>
      </c>
      <c r="B993" s="4" t="str">
        <f>IFERROR(__xludf.DUMMYFUNCTION("""COMPUTED_VALUE"""),"Adhesivo información general guardarropa 200x60 mm")</f>
        <v>Adhesivo información general guardarropa 200x60 mm</v>
      </c>
      <c r="C993" s="4">
        <f>IFERROR(__xludf.DUMMYFUNCTION("""COMPUTED_VALUE"""),1.1)</f>
        <v>1.1</v>
      </c>
      <c r="D993" s="4"/>
      <c r="E993" s="4" t="str">
        <f>IFERROR(__xludf.DUMMYFUNCTION("""COMPUTED_VALUE"""),"Sin precio neto G.C.")</f>
        <v>Sin precio neto G.C.</v>
      </c>
    </row>
    <row r="994">
      <c r="A994" s="4" t="str">
        <f>IFERROR(__xludf.DUMMYFUNCTION("""COMPUTED_VALUE"""),"0852A")</f>
        <v>0852A</v>
      </c>
      <c r="B994" s="4" t="str">
        <f>IFERROR(__xludf.DUMMYFUNCTION("""COMPUTED_VALUE"""),"Adhesivo información general guardarropa 300x100 mm")</f>
        <v>Adhesivo información general guardarropa 300x100 mm</v>
      </c>
      <c r="C994" s="4">
        <f>IFERROR(__xludf.DUMMYFUNCTION("""COMPUTED_VALUE"""),1.6)</f>
        <v>1.6</v>
      </c>
      <c r="D994" s="4"/>
      <c r="E994" s="4" t="str">
        <f>IFERROR(__xludf.DUMMYFUNCTION("""COMPUTED_VALUE"""),"Sin precio neto G.C.")</f>
        <v>Sin precio neto G.C.</v>
      </c>
    </row>
    <row r="995">
      <c r="A995" s="4" t="str">
        <f>IFERROR(__xludf.DUMMYFUNCTION("""COMPUTED_VALUE"""),"0852C")</f>
        <v>0852C</v>
      </c>
      <c r="B995" s="4" t="str">
        <f>IFERROR(__xludf.DUMMYFUNCTION("""COMPUTED_VALUE"""),"Cartel PVC información general Guardarropa 300x100 mm")</f>
        <v>Cartel PVC información general Guardarropa 300x100 mm</v>
      </c>
      <c r="C995" s="4">
        <f>IFERROR(__xludf.DUMMYFUNCTION("""COMPUTED_VALUE"""),1.85)</f>
        <v>1.85</v>
      </c>
      <c r="D995" s="4"/>
      <c r="E995" s="4" t="str">
        <f>IFERROR(__xludf.DUMMYFUNCTION("""COMPUTED_VALUE"""),"Sin precio neto G.C.")</f>
        <v>Sin precio neto G.C.</v>
      </c>
    </row>
    <row r="996">
      <c r="A996" s="4" t="str">
        <f>IFERROR(__xludf.DUMMYFUNCTION("""COMPUTED_VALUE"""),"853")</f>
        <v>853</v>
      </c>
      <c r="B996" s="4" t="str">
        <f>IFERROR(__xludf.DUMMYFUNCTION("""COMPUTED_VALUE"""),"Adhesivo información general restaurante 200x60 mm")</f>
        <v>Adhesivo información general restaurante 200x60 mm</v>
      </c>
      <c r="C996" s="4">
        <f>IFERROR(__xludf.DUMMYFUNCTION("""COMPUTED_VALUE"""),1.1)</f>
        <v>1.1</v>
      </c>
      <c r="D996" s="4"/>
      <c r="E996" s="4" t="str">
        <f>IFERROR(__xludf.DUMMYFUNCTION("""COMPUTED_VALUE"""),"Sin precio neto G.C.")</f>
        <v>Sin precio neto G.C.</v>
      </c>
    </row>
    <row r="997">
      <c r="A997" s="4" t="str">
        <f>IFERROR(__xludf.DUMMYFUNCTION("""COMPUTED_VALUE"""),"0853A")</f>
        <v>0853A</v>
      </c>
      <c r="B997" s="4" t="str">
        <f>IFERROR(__xludf.DUMMYFUNCTION("""COMPUTED_VALUE"""),"Adhesivo información general restaurante 300x100 mm")</f>
        <v>Adhesivo información general restaurante 300x100 mm</v>
      </c>
      <c r="C997" s="4">
        <f>IFERROR(__xludf.DUMMYFUNCTION("""COMPUTED_VALUE"""),1.6)</f>
        <v>1.6</v>
      </c>
      <c r="D997" s="4"/>
      <c r="E997" s="4" t="str">
        <f>IFERROR(__xludf.DUMMYFUNCTION("""COMPUTED_VALUE"""),"Sin precio neto G.C.")</f>
        <v>Sin precio neto G.C.</v>
      </c>
    </row>
    <row r="998">
      <c r="A998" s="4" t="str">
        <f>IFERROR(__xludf.DUMMYFUNCTION("""COMPUTED_VALUE"""),"0853C")</f>
        <v>0853C</v>
      </c>
      <c r="B998" s="4" t="str">
        <f>IFERROR(__xludf.DUMMYFUNCTION("""COMPUTED_VALUE"""),"Cartel PVC información general restaurantes 300x100 mm")</f>
        <v>Cartel PVC información general restaurantes 300x100 mm</v>
      </c>
      <c r="C998" s="4">
        <f>IFERROR(__xludf.DUMMYFUNCTION("""COMPUTED_VALUE"""),1.85)</f>
        <v>1.85</v>
      </c>
      <c r="D998" s="4"/>
      <c r="E998" s="4" t="str">
        <f>IFERROR(__xludf.DUMMYFUNCTION("""COMPUTED_VALUE"""),"Sin precio neto G.C.")</f>
        <v>Sin precio neto G.C.</v>
      </c>
    </row>
    <row r="999">
      <c r="A999" s="4" t="str">
        <f>IFERROR(__xludf.DUMMYFUNCTION("""COMPUTED_VALUE"""),"854")</f>
        <v>854</v>
      </c>
      <c r="B999" s="4" t="str">
        <f>IFERROR(__xludf.DUMMYFUNCTION("""COMPUTED_VALUE"""),"Adhesivo información general cuarto limpieza 200x60 mm")</f>
        <v>Adhesivo información general cuarto limpieza 200x60 mm</v>
      </c>
      <c r="C999" s="4">
        <f>IFERROR(__xludf.DUMMYFUNCTION("""COMPUTED_VALUE"""),1.1)</f>
        <v>1.1</v>
      </c>
      <c r="D999" s="4"/>
      <c r="E999" s="4" t="str">
        <f>IFERROR(__xludf.DUMMYFUNCTION("""COMPUTED_VALUE"""),"Sin precio neto G.C.")</f>
        <v>Sin precio neto G.C.</v>
      </c>
    </row>
    <row r="1000">
      <c r="A1000" s="4" t="str">
        <f>IFERROR(__xludf.DUMMYFUNCTION("""COMPUTED_VALUE"""),"0854A")</f>
        <v>0854A</v>
      </c>
      <c r="B1000" s="4" t="str">
        <f>IFERROR(__xludf.DUMMYFUNCTION("""COMPUTED_VALUE"""),"Adhesivo información general cuarto limpieza 300x100 mm")</f>
        <v>Adhesivo información general cuarto limpieza 300x100 mm</v>
      </c>
      <c r="C1000" s="4">
        <f>IFERROR(__xludf.DUMMYFUNCTION("""COMPUTED_VALUE"""),1.6)</f>
        <v>1.6</v>
      </c>
      <c r="D1000" s="4"/>
      <c r="E1000" s="4" t="str">
        <f>IFERROR(__xludf.DUMMYFUNCTION("""COMPUTED_VALUE"""),"Sin precio neto G.C.")</f>
        <v>Sin precio neto G.C.</v>
      </c>
    </row>
    <row r="1001">
      <c r="A1001" s="4" t="str">
        <f>IFERROR(__xludf.DUMMYFUNCTION("""COMPUTED_VALUE"""),"0854C")</f>
        <v>0854C</v>
      </c>
      <c r="B1001" s="4" t="str">
        <f>IFERROR(__xludf.DUMMYFUNCTION("""COMPUTED_VALUE"""),"Cartel PVC información general cuarto limpieza 300x100 mm")</f>
        <v>Cartel PVC información general cuarto limpieza 300x100 mm</v>
      </c>
      <c r="C1001" s="4">
        <f>IFERROR(__xludf.DUMMYFUNCTION("""COMPUTED_VALUE"""),1.85)</f>
        <v>1.85</v>
      </c>
      <c r="D1001" s="4"/>
      <c r="E1001" s="4" t="str">
        <f>IFERROR(__xludf.DUMMYFUNCTION("""COMPUTED_VALUE"""),"Sin precio neto G.C.")</f>
        <v>Sin precio neto G.C.</v>
      </c>
    </row>
    <row r="1002">
      <c r="A1002" s="4" t="str">
        <f>IFERROR(__xludf.DUMMYFUNCTION("""COMPUTED_VALUE"""),"855")</f>
        <v>855</v>
      </c>
      <c r="B1002" s="4" t="str">
        <f>IFERROR(__xludf.DUMMYFUNCTION("""COMPUTED_VALUE"""),"Adhesivo información general almacen 200x60 mm")</f>
        <v>Adhesivo información general almacen 200x60 mm</v>
      </c>
      <c r="C1002" s="4">
        <f>IFERROR(__xludf.DUMMYFUNCTION("""COMPUTED_VALUE"""),1.1)</f>
        <v>1.1</v>
      </c>
      <c r="D1002" s="4"/>
      <c r="E1002" s="4" t="str">
        <f>IFERROR(__xludf.DUMMYFUNCTION("""COMPUTED_VALUE"""),"Sin precio neto G.C.")</f>
        <v>Sin precio neto G.C.</v>
      </c>
    </row>
    <row r="1003">
      <c r="A1003" s="4" t="str">
        <f>IFERROR(__xludf.DUMMYFUNCTION("""COMPUTED_VALUE"""),"0855A")</f>
        <v>0855A</v>
      </c>
      <c r="B1003" s="4" t="str">
        <f>IFERROR(__xludf.DUMMYFUNCTION("""COMPUTED_VALUE"""),"Adhesivo información general almacen 300x100 mm")</f>
        <v>Adhesivo información general almacen 300x100 mm</v>
      </c>
      <c r="C1003" s="4">
        <f>IFERROR(__xludf.DUMMYFUNCTION("""COMPUTED_VALUE"""),1.6)</f>
        <v>1.6</v>
      </c>
      <c r="D1003" s="4"/>
      <c r="E1003" s="4" t="str">
        <f>IFERROR(__xludf.DUMMYFUNCTION("""COMPUTED_VALUE"""),"Sin precio neto G.C.")</f>
        <v>Sin precio neto G.C.</v>
      </c>
    </row>
    <row r="1004">
      <c r="A1004" s="4" t="str">
        <f>IFERROR(__xludf.DUMMYFUNCTION("""COMPUTED_VALUE"""),"0855C")</f>
        <v>0855C</v>
      </c>
      <c r="B1004" s="4" t="str">
        <f>IFERROR(__xludf.DUMMYFUNCTION("""COMPUTED_VALUE"""),"Cartel PVC información general almacén 300x100 mm")</f>
        <v>Cartel PVC información general almacén 300x100 mm</v>
      </c>
      <c r="C1004" s="4">
        <f>IFERROR(__xludf.DUMMYFUNCTION("""COMPUTED_VALUE"""),1.85)</f>
        <v>1.85</v>
      </c>
      <c r="D1004" s="4"/>
      <c r="E1004" s="4" t="str">
        <f>IFERROR(__xludf.DUMMYFUNCTION("""COMPUTED_VALUE"""),"Sin precio neto G.C.")</f>
        <v>Sin precio neto G.C.</v>
      </c>
    </row>
    <row r="1005">
      <c r="A1005" s="4" t="str">
        <f>IFERROR(__xludf.DUMMYFUNCTION("""COMPUTED_VALUE"""),"856")</f>
        <v>856</v>
      </c>
      <c r="B1005" s="4" t="str">
        <f>IFERROR(__xludf.DUMMYFUNCTION("""COMPUTED_VALUE"""),"Adhesivo información general oficina 200x60 mm")</f>
        <v>Adhesivo información general oficina 200x60 mm</v>
      </c>
      <c r="C1005" s="4">
        <f>IFERROR(__xludf.DUMMYFUNCTION("""COMPUTED_VALUE"""),1.1)</f>
        <v>1.1</v>
      </c>
      <c r="D1005" s="4"/>
      <c r="E1005" s="4" t="str">
        <f>IFERROR(__xludf.DUMMYFUNCTION("""COMPUTED_VALUE"""),"Sin precio neto G.C.")</f>
        <v>Sin precio neto G.C.</v>
      </c>
    </row>
    <row r="1006">
      <c r="A1006" s="4" t="str">
        <f>IFERROR(__xludf.DUMMYFUNCTION("""COMPUTED_VALUE"""),"0856A")</f>
        <v>0856A</v>
      </c>
      <c r="B1006" s="4" t="str">
        <f>IFERROR(__xludf.DUMMYFUNCTION("""COMPUTED_VALUE"""),"Adhesivo información general oficina 300x100 mm")</f>
        <v>Adhesivo información general oficina 300x100 mm</v>
      </c>
      <c r="C1006" s="4">
        <f>IFERROR(__xludf.DUMMYFUNCTION("""COMPUTED_VALUE"""),1.6)</f>
        <v>1.6</v>
      </c>
      <c r="D1006" s="4"/>
      <c r="E1006" s="4" t="str">
        <f>IFERROR(__xludf.DUMMYFUNCTION("""COMPUTED_VALUE"""),"Sin precio neto G.C.")</f>
        <v>Sin precio neto G.C.</v>
      </c>
    </row>
    <row r="1007">
      <c r="A1007" s="4" t="str">
        <f>IFERROR(__xludf.DUMMYFUNCTION("""COMPUTED_VALUE"""),"0856C")</f>
        <v>0856C</v>
      </c>
      <c r="B1007" s="4" t="str">
        <f>IFERROR(__xludf.DUMMYFUNCTION("""COMPUTED_VALUE"""),"Cartel PVC información general oficina 300x100 mm")</f>
        <v>Cartel PVC información general oficina 300x100 mm</v>
      </c>
      <c r="C1007" s="4">
        <f>IFERROR(__xludf.DUMMYFUNCTION("""COMPUTED_VALUE"""),1.85)</f>
        <v>1.85</v>
      </c>
      <c r="D1007" s="4"/>
      <c r="E1007" s="4" t="str">
        <f>IFERROR(__xludf.DUMMYFUNCTION("""COMPUTED_VALUE"""),"Sin precio neto G.C.")</f>
        <v>Sin precio neto G.C.</v>
      </c>
    </row>
    <row r="1008">
      <c r="A1008" s="4" t="str">
        <f>IFERROR(__xludf.DUMMYFUNCTION("""COMPUTED_VALUE"""),"857")</f>
        <v>857</v>
      </c>
      <c r="B1008" s="4" t="str">
        <f>IFERROR(__xludf.DUMMYFUNCTION("""COMPUTED_VALUE"""),"Adhesivo información general entrada 200x60mm")</f>
        <v>Adhesivo información general entrada 200x60mm</v>
      </c>
      <c r="C1008" s="4">
        <f>IFERROR(__xludf.DUMMYFUNCTION("""COMPUTED_VALUE"""),1.1)</f>
        <v>1.1</v>
      </c>
      <c r="D1008" s="4"/>
      <c r="E1008" s="4" t="str">
        <f>IFERROR(__xludf.DUMMYFUNCTION("""COMPUTED_VALUE"""),"Sin precio neto G.C.")</f>
        <v>Sin precio neto G.C.</v>
      </c>
    </row>
    <row r="1009">
      <c r="A1009" s="4" t="str">
        <f>IFERROR(__xludf.DUMMYFUNCTION("""COMPUTED_VALUE"""),"0857A")</f>
        <v>0857A</v>
      </c>
      <c r="B1009" s="4" t="str">
        <f>IFERROR(__xludf.DUMMYFUNCTION("""COMPUTED_VALUE"""),"Adhesivo información general entrada 300x100mm")</f>
        <v>Adhesivo información general entrada 300x100mm</v>
      </c>
      <c r="C1009" s="4">
        <f>IFERROR(__xludf.DUMMYFUNCTION("""COMPUTED_VALUE"""),1.6)</f>
        <v>1.6</v>
      </c>
      <c r="D1009" s="4"/>
      <c r="E1009" s="4" t="str">
        <f>IFERROR(__xludf.DUMMYFUNCTION("""COMPUTED_VALUE"""),"Sin precio neto G.C.")</f>
        <v>Sin precio neto G.C.</v>
      </c>
    </row>
    <row r="1010">
      <c r="A1010" s="4" t="str">
        <f>IFERROR(__xludf.DUMMYFUNCTION("""COMPUTED_VALUE"""),"0857C")</f>
        <v>0857C</v>
      </c>
      <c r="B1010" s="4" t="str">
        <f>IFERROR(__xludf.DUMMYFUNCTION("""COMPUTED_VALUE"""),"Cartel PVC información general entrada 300x100 mm")</f>
        <v>Cartel PVC información general entrada 300x100 mm</v>
      </c>
      <c r="C1010" s="4">
        <f>IFERROR(__xludf.DUMMYFUNCTION("""COMPUTED_VALUE"""),1.85)</f>
        <v>1.85</v>
      </c>
      <c r="D1010" s="4"/>
      <c r="E1010" s="4" t="str">
        <f>IFERROR(__xludf.DUMMYFUNCTION("""COMPUTED_VALUE"""),"Sin precio neto G.C.")</f>
        <v>Sin precio neto G.C.</v>
      </c>
    </row>
    <row r="1011">
      <c r="A1011" s="4" t="str">
        <f>IFERROR(__xludf.DUMMYFUNCTION("""COMPUTED_VALUE"""),"858")</f>
        <v>858</v>
      </c>
      <c r="B1011" s="4" t="str">
        <f>IFERROR(__xludf.DUMMYFUNCTION("""COMPUTED_VALUE"""),"Adhesivo información general cierre la puerta 200x60 mm")</f>
        <v>Adhesivo información general cierre la puerta 200x60 mm</v>
      </c>
      <c r="C1011" s="4">
        <f>IFERROR(__xludf.DUMMYFUNCTION("""COMPUTED_VALUE"""),1.1)</f>
        <v>1.1</v>
      </c>
      <c r="D1011" s="4"/>
      <c r="E1011" s="4" t="str">
        <f>IFERROR(__xludf.DUMMYFUNCTION("""COMPUTED_VALUE"""),"Sin precio neto G.C.")</f>
        <v>Sin precio neto G.C.</v>
      </c>
    </row>
    <row r="1012">
      <c r="A1012" s="4" t="str">
        <f>IFERROR(__xludf.DUMMYFUNCTION("""COMPUTED_VALUE"""),"0858A")</f>
        <v>0858A</v>
      </c>
      <c r="B1012" s="4" t="str">
        <f>IFERROR(__xludf.DUMMYFUNCTION("""COMPUTED_VALUE"""),"Adhesivo información general cierre la puerta 300x100 mm")</f>
        <v>Adhesivo información general cierre la puerta 300x100 mm</v>
      </c>
      <c r="C1012" s="4">
        <f>IFERROR(__xludf.DUMMYFUNCTION("""COMPUTED_VALUE"""),1.6)</f>
        <v>1.6</v>
      </c>
      <c r="D1012" s="4"/>
      <c r="E1012" s="4" t="str">
        <f>IFERROR(__xludf.DUMMYFUNCTION("""COMPUTED_VALUE"""),"Sin precio neto G.C.")</f>
        <v>Sin precio neto G.C.</v>
      </c>
    </row>
    <row r="1013">
      <c r="A1013" s="4" t="str">
        <f>IFERROR(__xludf.DUMMYFUNCTION("""COMPUTED_VALUE"""),"0858C")</f>
        <v>0858C</v>
      </c>
      <c r="B1013" s="4" t="str">
        <f>IFERROR(__xludf.DUMMYFUNCTION("""COMPUTED_VALUE"""),"Cartel PVC información general cierre la puerta 300x100 mm")</f>
        <v>Cartel PVC información general cierre la puerta 300x100 mm</v>
      </c>
      <c r="C1013" s="4">
        <f>IFERROR(__xludf.DUMMYFUNCTION("""COMPUTED_VALUE"""),1.85)</f>
        <v>1.85</v>
      </c>
      <c r="D1013" s="4"/>
      <c r="E1013" s="4" t="str">
        <f>IFERROR(__xludf.DUMMYFUNCTION("""COMPUTED_VALUE"""),"Sin precio neto G.C.")</f>
        <v>Sin precio neto G.C.</v>
      </c>
    </row>
    <row r="1014">
      <c r="A1014" s="4" t="str">
        <f>IFERROR(__xludf.DUMMYFUNCTION("""COMPUTED_VALUE"""),"859")</f>
        <v>859</v>
      </c>
      <c r="B1014" s="4" t="str">
        <f>IFERROR(__xludf.DUMMYFUNCTION("""COMPUTED_VALUE"""),"Adhesivo información general empujar 200x60 mm")</f>
        <v>Adhesivo información general empujar 200x60 mm</v>
      </c>
      <c r="C1014" s="4">
        <f>IFERROR(__xludf.DUMMYFUNCTION("""COMPUTED_VALUE"""),1.1)</f>
        <v>1.1</v>
      </c>
      <c r="D1014" s="4"/>
      <c r="E1014" s="4" t="str">
        <f>IFERROR(__xludf.DUMMYFUNCTION("""COMPUTED_VALUE"""),"Sin precio neto G.C.")</f>
        <v>Sin precio neto G.C.</v>
      </c>
    </row>
    <row r="1015">
      <c r="A1015" s="4" t="str">
        <f>IFERROR(__xludf.DUMMYFUNCTION("""COMPUTED_VALUE"""),"0859A")</f>
        <v>0859A</v>
      </c>
      <c r="B1015" s="4" t="str">
        <f>IFERROR(__xludf.DUMMYFUNCTION("""COMPUTED_VALUE"""),"Adhesivo información general empujar 300x100 mm")</f>
        <v>Adhesivo información general empujar 300x100 mm</v>
      </c>
      <c r="C1015" s="4">
        <f>IFERROR(__xludf.DUMMYFUNCTION("""COMPUTED_VALUE"""),1.6)</f>
        <v>1.6</v>
      </c>
      <c r="D1015" s="4"/>
      <c r="E1015" s="4" t="str">
        <f>IFERROR(__xludf.DUMMYFUNCTION("""COMPUTED_VALUE"""),"Sin precio neto G.C.")</f>
        <v>Sin precio neto G.C.</v>
      </c>
    </row>
    <row r="1016">
      <c r="A1016" s="4" t="str">
        <f>IFERROR(__xludf.DUMMYFUNCTION("""COMPUTED_VALUE"""),"0859C")</f>
        <v>0859C</v>
      </c>
      <c r="B1016" s="4" t="str">
        <f>IFERROR(__xludf.DUMMYFUNCTION("""COMPUTED_VALUE"""),"Cartel PVC información general empujar 300x100 mm")</f>
        <v>Cartel PVC información general empujar 300x100 mm</v>
      </c>
      <c r="C1016" s="4">
        <f>IFERROR(__xludf.DUMMYFUNCTION("""COMPUTED_VALUE"""),1.85)</f>
        <v>1.85</v>
      </c>
      <c r="D1016" s="4"/>
      <c r="E1016" s="4" t="str">
        <f>IFERROR(__xludf.DUMMYFUNCTION("""COMPUTED_VALUE"""),"Sin precio neto G.C.")</f>
        <v>Sin precio neto G.C.</v>
      </c>
    </row>
    <row r="1017">
      <c r="A1017" s="4" t="str">
        <f>IFERROR(__xludf.DUMMYFUNCTION("""COMPUTED_VALUE"""),"860")</f>
        <v>860</v>
      </c>
      <c r="B1017" s="4" t="str">
        <f>IFERROR(__xludf.DUMMYFUNCTION("""COMPUTED_VALUE"""),"Adhesivo información general tirar 200x60 mm")</f>
        <v>Adhesivo información general tirar 200x60 mm</v>
      </c>
      <c r="C1017" s="4">
        <f>IFERROR(__xludf.DUMMYFUNCTION("""COMPUTED_VALUE"""),1.1)</f>
        <v>1.1</v>
      </c>
      <c r="D1017" s="4"/>
      <c r="E1017" s="4" t="str">
        <f>IFERROR(__xludf.DUMMYFUNCTION("""COMPUTED_VALUE"""),"Sin precio neto G.C.")</f>
        <v>Sin precio neto G.C.</v>
      </c>
    </row>
    <row r="1018">
      <c r="A1018" s="4" t="str">
        <f>IFERROR(__xludf.DUMMYFUNCTION("""COMPUTED_VALUE"""),"0860A")</f>
        <v>0860A</v>
      </c>
      <c r="B1018" s="4" t="str">
        <f>IFERROR(__xludf.DUMMYFUNCTION("""COMPUTED_VALUE"""),"Adhesivo información general tirar 300x100 mm")</f>
        <v>Adhesivo información general tirar 300x100 mm</v>
      </c>
      <c r="C1018" s="4">
        <f>IFERROR(__xludf.DUMMYFUNCTION("""COMPUTED_VALUE"""),1.6)</f>
        <v>1.6</v>
      </c>
      <c r="D1018" s="4"/>
      <c r="E1018" s="4" t="str">
        <f>IFERROR(__xludf.DUMMYFUNCTION("""COMPUTED_VALUE"""),"Sin precio neto G.C.")</f>
        <v>Sin precio neto G.C.</v>
      </c>
    </row>
    <row r="1019">
      <c r="A1019" s="4" t="str">
        <f>IFERROR(__xludf.DUMMYFUNCTION("""COMPUTED_VALUE"""),"0860C")</f>
        <v>0860C</v>
      </c>
      <c r="B1019" s="4" t="str">
        <f>IFERROR(__xludf.DUMMYFUNCTION("""COMPUTED_VALUE"""),"Cartel PVC información general tirar 300x100 mm")</f>
        <v>Cartel PVC información general tirar 300x100 mm</v>
      </c>
      <c r="C1019" s="4">
        <f>IFERROR(__xludf.DUMMYFUNCTION("""COMPUTED_VALUE"""),1.85)</f>
        <v>1.85</v>
      </c>
      <c r="D1019" s="4"/>
      <c r="E1019" s="4" t="str">
        <f>IFERROR(__xludf.DUMMYFUNCTION("""COMPUTED_VALUE"""),"Sin precio neto G.C.")</f>
        <v>Sin precio neto G.C.</v>
      </c>
    </row>
    <row r="1020">
      <c r="A1020" s="4" t="str">
        <f>IFERROR(__xludf.DUMMYFUNCTION("""COMPUTED_VALUE"""),"861")</f>
        <v>861</v>
      </c>
      <c r="B1020" s="4" t="str">
        <f>IFERROR(__xludf.DUMMYFUNCTION("""COMPUTED_VALUE"""),"Cartel PVC 40x30 reciclado vidrio")</f>
        <v>Cartel PVC 40x30 reciclado vidrio</v>
      </c>
      <c r="C1020" s="4">
        <f>IFERROR(__xludf.DUMMYFUNCTION("""COMPUTED_VALUE"""),2.48)</f>
        <v>2.48</v>
      </c>
      <c r="D1020" s="4">
        <f>IFERROR(__xludf.DUMMYFUNCTION("""COMPUTED_VALUE"""),1.75)</f>
        <v>1.75</v>
      </c>
      <c r="E1020" s="4" t="str">
        <f>IFERROR(__xludf.DUMMYFUNCTION("""COMPUTED_VALUE"""),"Neto G.C.: 1,75 € (a partir de 1 uds.)")</f>
        <v>Neto G.C.: 1,75 € (a partir de 1 uds.)</v>
      </c>
    </row>
    <row r="1021">
      <c r="A1021" s="4" t="str">
        <f>IFERROR(__xludf.DUMMYFUNCTION("""COMPUTED_VALUE"""),"0861A")</f>
        <v>0861A</v>
      </c>
      <c r="B1021" s="4" t="str">
        <f>IFERROR(__xludf.DUMMYFUNCTION("""COMPUTED_VALUE"""),"Adhesivo PVC 21x29 reciclado vidrio")</f>
        <v>Adhesivo PVC 21x29 reciclado vidrio</v>
      </c>
      <c r="C1021" s="4">
        <f>IFERROR(__xludf.DUMMYFUNCTION("""COMPUTED_VALUE"""),1.25)</f>
        <v>1.25</v>
      </c>
      <c r="D1021" s="4"/>
      <c r="E1021" s="4" t="str">
        <f>IFERROR(__xludf.DUMMYFUNCTION("""COMPUTED_VALUE"""),"Sin precio neto G.C.")</f>
        <v>Sin precio neto G.C.</v>
      </c>
    </row>
    <row r="1022">
      <c r="A1022" s="4" t="str">
        <f>IFERROR(__xludf.DUMMYFUNCTION("""COMPUTED_VALUE"""),"0861P")</f>
        <v>0861P</v>
      </c>
      <c r="B1022" s="4" t="str">
        <f>IFERROR(__xludf.DUMMYFUNCTION("""COMPUTED_VALUE"""),"Cartel PVC 21x29 reciclado vidrio")</f>
        <v>Cartel PVC 21x29 reciclado vidrio</v>
      </c>
      <c r="C1022" s="4">
        <f>IFERROR(__xludf.DUMMYFUNCTION("""COMPUTED_VALUE"""),1.6)</f>
        <v>1.6</v>
      </c>
      <c r="D1022" s="4">
        <f>IFERROR(__xludf.DUMMYFUNCTION("""COMPUTED_VALUE"""),1.2)</f>
        <v>1.2</v>
      </c>
      <c r="E1022" s="4" t="str">
        <f>IFERROR(__xludf.DUMMYFUNCTION("""COMPUTED_VALUE"""),"Neto G.C.: 1,20 € (a partir de 1 uds.)")</f>
        <v>Neto G.C.: 1,20 € (a partir de 1 uds.)</v>
      </c>
    </row>
    <row r="1023">
      <c r="A1023" s="4" t="str">
        <f>IFERROR(__xludf.DUMMYFUNCTION("""COMPUTED_VALUE"""),"862")</f>
        <v>862</v>
      </c>
      <c r="B1023" s="4" t="str">
        <f>IFERROR(__xludf.DUMMYFUNCTION("""COMPUTED_VALUE"""),"Cartel PVC 40x30 reciclado plástico")</f>
        <v>Cartel PVC 40x30 reciclado plástico</v>
      </c>
      <c r="C1023" s="4">
        <f>IFERROR(__xludf.DUMMYFUNCTION("""COMPUTED_VALUE"""),2.48)</f>
        <v>2.48</v>
      </c>
      <c r="D1023" s="4">
        <f>IFERROR(__xludf.DUMMYFUNCTION("""COMPUTED_VALUE"""),1.75)</f>
        <v>1.75</v>
      </c>
      <c r="E1023" s="4" t="str">
        <f>IFERROR(__xludf.DUMMYFUNCTION("""COMPUTED_VALUE"""),"Neto G.C.: 1,75 € (a partir de 1 uds.)")</f>
        <v>Neto G.C.: 1,75 € (a partir de 1 uds.)</v>
      </c>
    </row>
    <row r="1024">
      <c r="A1024" s="4" t="str">
        <f>IFERROR(__xludf.DUMMYFUNCTION("""COMPUTED_VALUE"""),"0862A")</f>
        <v>0862A</v>
      </c>
      <c r="B1024" s="4" t="str">
        <f>IFERROR(__xludf.DUMMYFUNCTION("""COMPUTED_VALUE"""),"Adhesivo PVC 21x29 reciclado plástico")</f>
        <v>Adhesivo PVC 21x29 reciclado plástico</v>
      </c>
      <c r="C1024" s="4">
        <f>IFERROR(__xludf.DUMMYFUNCTION("""COMPUTED_VALUE"""),1.25)</f>
        <v>1.25</v>
      </c>
      <c r="D1024" s="4"/>
      <c r="E1024" s="4" t="str">
        <f>IFERROR(__xludf.DUMMYFUNCTION("""COMPUTED_VALUE"""),"Sin precio neto G.C.")</f>
        <v>Sin precio neto G.C.</v>
      </c>
    </row>
    <row r="1025">
      <c r="A1025" s="4" t="str">
        <f>IFERROR(__xludf.DUMMYFUNCTION("""COMPUTED_VALUE"""),"0862P")</f>
        <v>0862P</v>
      </c>
      <c r="B1025" s="4" t="str">
        <f>IFERROR(__xludf.DUMMYFUNCTION("""COMPUTED_VALUE"""),"Cartel PVC 21x29 reciclado plástico")</f>
        <v>Cartel PVC 21x29 reciclado plástico</v>
      </c>
      <c r="C1025" s="4">
        <f>IFERROR(__xludf.DUMMYFUNCTION("""COMPUTED_VALUE"""),1.6)</f>
        <v>1.6</v>
      </c>
      <c r="D1025" s="4">
        <f>IFERROR(__xludf.DUMMYFUNCTION("""COMPUTED_VALUE"""),1.2)</f>
        <v>1.2</v>
      </c>
      <c r="E1025" s="4" t="str">
        <f>IFERROR(__xludf.DUMMYFUNCTION("""COMPUTED_VALUE"""),"Neto G.C.: 1,20 € (a partir de 1 uds.)")</f>
        <v>Neto G.C.: 1,20 € (a partir de 1 uds.)</v>
      </c>
    </row>
    <row r="1026">
      <c r="A1026" s="4" t="str">
        <f>IFERROR(__xludf.DUMMYFUNCTION("""COMPUTED_VALUE"""),"863")</f>
        <v>863</v>
      </c>
      <c r="B1026" s="4" t="str">
        <f>IFERROR(__xludf.DUMMYFUNCTION("""COMPUTED_VALUE"""),"Cartel PVC 40x30 reciclado metal")</f>
        <v>Cartel PVC 40x30 reciclado metal</v>
      </c>
      <c r="C1026" s="4">
        <f>IFERROR(__xludf.DUMMYFUNCTION("""COMPUTED_VALUE"""),2.48)</f>
        <v>2.48</v>
      </c>
      <c r="D1026" s="4">
        <f>IFERROR(__xludf.DUMMYFUNCTION("""COMPUTED_VALUE"""),1.75)</f>
        <v>1.75</v>
      </c>
      <c r="E1026" s="4" t="str">
        <f>IFERROR(__xludf.DUMMYFUNCTION("""COMPUTED_VALUE"""),"Neto G.C.: 1,75 € (a partir de 1 uds.)")</f>
        <v>Neto G.C.: 1,75 € (a partir de 1 uds.)</v>
      </c>
    </row>
    <row r="1027">
      <c r="A1027" s="4" t="str">
        <f>IFERROR(__xludf.DUMMYFUNCTION("""COMPUTED_VALUE"""),"0863A")</f>
        <v>0863A</v>
      </c>
      <c r="B1027" s="4" t="str">
        <f>IFERROR(__xludf.DUMMYFUNCTION("""COMPUTED_VALUE"""),"Adhesivo PVC 21x29 reciclado metal")</f>
        <v>Adhesivo PVC 21x29 reciclado metal</v>
      </c>
      <c r="C1027" s="4">
        <f>IFERROR(__xludf.DUMMYFUNCTION("""COMPUTED_VALUE"""),1.25)</f>
        <v>1.25</v>
      </c>
      <c r="D1027" s="4"/>
      <c r="E1027" s="4" t="str">
        <f>IFERROR(__xludf.DUMMYFUNCTION("""COMPUTED_VALUE"""),"Sin precio neto G.C.")</f>
        <v>Sin precio neto G.C.</v>
      </c>
    </row>
    <row r="1028">
      <c r="A1028" s="4" t="str">
        <f>IFERROR(__xludf.DUMMYFUNCTION("""COMPUTED_VALUE"""),"0863P")</f>
        <v>0863P</v>
      </c>
      <c r="B1028" s="4" t="str">
        <f>IFERROR(__xludf.DUMMYFUNCTION("""COMPUTED_VALUE"""),"Cartel PVC 21x29 reciclado metal")</f>
        <v>Cartel PVC 21x29 reciclado metal</v>
      </c>
      <c r="C1028" s="4">
        <f>IFERROR(__xludf.DUMMYFUNCTION("""COMPUTED_VALUE"""),1.6)</f>
        <v>1.6</v>
      </c>
      <c r="D1028" s="4">
        <f>IFERROR(__xludf.DUMMYFUNCTION("""COMPUTED_VALUE"""),1.2)</f>
        <v>1.2</v>
      </c>
      <c r="E1028" s="4" t="str">
        <f>IFERROR(__xludf.DUMMYFUNCTION("""COMPUTED_VALUE"""),"Neto G.C.: 1,20 € (a partir de 1 uds.)")</f>
        <v>Neto G.C.: 1,20 € (a partir de 1 uds.)</v>
      </c>
    </row>
    <row r="1029">
      <c r="A1029" s="4" t="str">
        <f>IFERROR(__xludf.DUMMYFUNCTION("""COMPUTED_VALUE"""),"864")</f>
        <v>864</v>
      </c>
      <c r="B1029" s="4" t="str">
        <f>IFERROR(__xludf.DUMMYFUNCTION("""COMPUTED_VALUE"""),"Cartel PVC 40x30 reciclado madera")</f>
        <v>Cartel PVC 40x30 reciclado madera</v>
      </c>
      <c r="C1029" s="4">
        <f>IFERROR(__xludf.DUMMYFUNCTION("""COMPUTED_VALUE"""),2.48)</f>
        <v>2.48</v>
      </c>
      <c r="D1029" s="4">
        <f>IFERROR(__xludf.DUMMYFUNCTION("""COMPUTED_VALUE"""),1.75)</f>
        <v>1.75</v>
      </c>
      <c r="E1029" s="4" t="str">
        <f>IFERROR(__xludf.DUMMYFUNCTION("""COMPUTED_VALUE"""),"Neto G.C.: 1,75 € (a partir de 1 uds.)")</f>
        <v>Neto G.C.: 1,75 € (a partir de 1 uds.)</v>
      </c>
    </row>
    <row r="1030">
      <c r="A1030" s="4" t="str">
        <f>IFERROR(__xludf.DUMMYFUNCTION("""COMPUTED_VALUE"""),"0864A")</f>
        <v>0864A</v>
      </c>
      <c r="B1030" s="4" t="str">
        <f>IFERROR(__xludf.DUMMYFUNCTION("""COMPUTED_VALUE"""),"Adhesivo PVC 21x29 reciclado madera")</f>
        <v>Adhesivo PVC 21x29 reciclado madera</v>
      </c>
      <c r="C1030" s="4">
        <f>IFERROR(__xludf.DUMMYFUNCTION("""COMPUTED_VALUE"""),1.25)</f>
        <v>1.25</v>
      </c>
      <c r="D1030" s="4"/>
      <c r="E1030" s="4" t="str">
        <f>IFERROR(__xludf.DUMMYFUNCTION("""COMPUTED_VALUE"""),"Sin precio neto G.C.")</f>
        <v>Sin precio neto G.C.</v>
      </c>
    </row>
    <row r="1031">
      <c r="A1031" s="4" t="str">
        <f>IFERROR(__xludf.DUMMYFUNCTION("""COMPUTED_VALUE"""),"0864P")</f>
        <v>0864P</v>
      </c>
      <c r="B1031" s="4" t="str">
        <f>IFERROR(__xludf.DUMMYFUNCTION("""COMPUTED_VALUE"""),"Cartel PVC 21x29 reciclado madera")</f>
        <v>Cartel PVC 21x29 reciclado madera</v>
      </c>
      <c r="C1031" s="4">
        <f>IFERROR(__xludf.DUMMYFUNCTION("""COMPUTED_VALUE"""),1.6)</f>
        <v>1.6</v>
      </c>
      <c r="D1031" s="4">
        <f>IFERROR(__xludf.DUMMYFUNCTION("""COMPUTED_VALUE"""),1.2)</f>
        <v>1.2</v>
      </c>
      <c r="E1031" s="4" t="str">
        <f>IFERROR(__xludf.DUMMYFUNCTION("""COMPUTED_VALUE"""),"Neto G.C.: 1,20 € (a partir de 1 uds.)")</f>
        <v>Neto G.C.: 1,20 € (a partir de 1 uds.)</v>
      </c>
    </row>
    <row r="1032">
      <c r="A1032" s="4" t="str">
        <f>IFERROR(__xludf.DUMMYFUNCTION("""COMPUTED_VALUE"""),"865")</f>
        <v>865</v>
      </c>
      <c r="B1032" s="4" t="str">
        <f>IFERROR(__xludf.DUMMYFUNCTION("""COMPUTED_VALUE"""),"Cartel PVC 40x30 reciclado aluminio")</f>
        <v>Cartel PVC 40x30 reciclado aluminio</v>
      </c>
      <c r="C1032" s="4">
        <f>IFERROR(__xludf.DUMMYFUNCTION("""COMPUTED_VALUE"""),2.48)</f>
        <v>2.48</v>
      </c>
      <c r="D1032" s="4">
        <f>IFERROR(__xludf.DUMMYFUNCTION("""COMPUTED_VALUE"""),1.75)</f>
        <v>1.75</v>
      </c>
      <c r="E1032" s="4" t="str">
        <f>IFERROR(__xludf.DUMMYFUNCTION("""COMPUTED_VALUE"""),"Neto G.C.: 1,75 € (a partir de 1 uds.)")</f>
        <v>Neto G.C.: 1,75 € (a partir de 1 uds.)</v>
      </c>
    </row>
    <row r="1033">
      <c r="A1033" s="4" t="str">
        <f>IFERROR(__xludf.DUMMYFUNCTION("""COMPUTED_VALUE"""),"0865A")</f>
        <v>0865A</v>
      </c>
      <c r="B1033" s="4" t="str">
        <f>IFERROR(__xludf.DUMMYFUNCTION("""COMPUTED_VALUE"""),"Adhesivo PVC 21x29 reciclado aluminio")</f>
        <v>Adhesivo PVC 21x29 reciclado aluminio</v>
      </c>
      <c r="C1033" s="4">
        <f>IFERROR(__xludf.DUMMYFUNCTION("""COMPUTED_VALUE"""),1.25)</f>
        <v>1.25</v>
      </c>
      <c r="D1033" s="4"/>
      <c r="E1033" s="4" t="str">
        <f>IFERROR(__xludf.DUMMYFUNCTION("""COMPUTED_VALUE"""),"Sin precio neto G.C.")</f>
        <v>Sin precio neto G.C.</v>
      </c>
    </row>
    <row r="1034">
      <c r="A1034" s="4" t="str">
        <f>IFERROR(__xludf.DUMMYFUNCTION("""COMPUTED_VALUE"""),"0865P")</f>
        <v>0865P</v>
      </c>
      <c r="B1034" s="4" t="str">
        <f>IFERROR(__xludf.DUMMYFUNCTION("""COMPUTED_VALUE"""),"Cartel PVC 21x29 reciclado aluminio")</f>
        <v>Cartel PVC 21x29 reciclado aluminio</v>
      </c>
      <c r="C1034" s="4">
        <f>IFERROR(__xludf.DUMMYFUNCTION("""COMPUTED_VALUE"""),1.6)</f>
        <v>1.6</v>
      </c>
      <c r="D1034" s="4">
        <f>IFERROR(__xludf.DUMMYFUNCTION("""COMPUTED_VALUE"""),1.2)</f>
        <v>1.2</v>
      </c>
      <c r="E1034" s="4" t="str">
        <f>IFERROR(__xludf.DUMMYFUNCTION("""COMPUTED_VALUE"""),"Neto G.C.: 1,20 € (a partir de 1 uds.)")</f>
        <v>Neto G.C.: 1,20 € (a partir de 1 uds.)</v>
      </c>
    </row>
    <row r="1035">
      <c r="A1035" s="4" t="str">
        <f>IFERROR(__xludf.DUMMYFUNCTION("""COMPUTED_VALUE"""),"866")</f>
        <v>866</v>
      </c>
      <c r="B1035" s="4" t="str">
        <f>IFERROR(__xludf.DUMMYFUNCTION("""COMPUTED_VALUE"""),"Cartel PVC 40x30 reciclado papel")</f>
        <v>Cartel PVC 40x30 reciclado papel</v>
      </c>
      <c r="C1035" s="4">
        <f>IFERROR(__xludf.DUMMYFUNCTION("""COMPUTED_VALUE"""),2.48)</f>
        <v>2.48</v>
      </c>
      <c r="D1035" s="4">
        <f>IFERROR(__xludf.DUMMYFUNCTION("""COMPUTED_VALUE"""),1.75)</f>
        <v>1.75</v>
      </c>
      <c r="E1035" s="4" t="str">
        <f>IFERROR(__xludf.DUMMYFUNCTION("""COMPUTED_VALUE"""),"Neto G.C.: 1,75 € (a partir de 1 uds.)")</f>
        <v>Neto G.C.: 1,75 € (a partir de 1 uds.)</v>
      </c>
    </row>
    <row r="1036">
      <c r="A1036" s="4" t="str">
        <f>IFERROR(__xludf.DUMMYFUNCTION("""COMPUTED_VALUE"""),"0866A")</f>
        <v>0866A</v>
      </c>
      <c r="B1036" s="4" t="str">
        <f>IFERROR(__xludf.DUMMYFUNCTION("""COMPUTED_VALUE"""),"Adhesivo PVC 21x29 reciclado papel")</f>
        <v>Adhesivo PVC 21x29 reciclado papel</v>
      </c>
      <c r="C1036" s="4">
        <f>IFERROR(__xludf.DUMMYFUNCTION("""COMPUTED_VALUE"""),1.25)</f>
        <v>1.25</v>
      </c>
      <c r="D1036" s="4"/>
      <c r="E1036" s="4" t="str">
        <f>IFERROR(__xludf.DUMMYFUNCTION("""COMPUTED_VALUE"""),"Sin precio neto G.C.")</f>
        <v>Sin precio neto G.C.</v>
      </c>
    </row>
    <row r="1037">
      <c r="A1037" s="4" t="str">
        <f>IFERROR(__xludf.DUMMYFUNCTION("""COMPUTED_VALUE"""),"0866P")</f>
        <v>0866P</v>
      </c>
      <c r="B1037" s="4" t="str">
        <f>IFERROR(__xludf.DUMMYFUNCTION("""COMPUTED_VALUE"""),"Cartel PVC 21x29 reciclado papel")</f>
        <v>Cartel PVC 21x29 reciclado papel</v>
      </c>
      <c r="C1037" s="4">
        <f>IFERROR(__xludf.DUMMYFUNCTION("""COMPUTED_VALUE"""),1.6)</f>
        <v>1.6</v>
      </c>
      <c r="D1037" s="4">
        <f>IFERROR(__xludf.DUMMYFUNCTION("""COMPUTED_VALUE"""),1.2)</f>
        <v>1.2</v>
      </c>
      <c r="E1037" s="4" t="str">
        <f>IFERROR(__xludf.DUMMYFUNCTION("""COMPUTED_VALUE"""),"Neto G.C.: 1,20 € (a partir de 1 uds.)")</f>
        <v>Neto G.C.: 1,20 € (a partir de 1 uds.)</v>
      </c>
    </row>
    <row r="1038">
      <c r="A1038" s="4" t="str">
        <f>IFERROR(__xludf.DUMMYFUNCTION("""COMPUTED_VALUE"""),"867")</f>
        <v>867</v>
      </c>
      <c r="B1038" s="4" t="str">
        <f>IFERROR(__xludf.DUMMYFUNCTION("""COMPUTED_VALUE"""),"Cartel PVC 40x30 reciclado envases")</f>
        <v>Cartel PVC 40x30 reciclado envases</v>
      </c>
      <c r="C1038" s="4">
        <f>IFERROR(__xludf.DUMMYFUNCTION("""COMPUTED_VALUE"""),2.48)</f>
        <v>2.48</v>
      </c>
      <c r="D1038" s="4">
        <f>IFERROR(__xludf.DUMMYFUNCTION("""COMPUTED_VALUE"""),1.75)</f>
        <v>1.75</v>
      </c>
      <c r="E1038" s="4" t="str">
        <f>IFERROR(__xludf.DUMMYFUNCTION("""COMPUTED_VALUE"""),"Neto G.C.: 1,75 € (a partir de 1 uds.)")</f>
        <v>Neto G.C.: 1,75 € (a partir de 1 uds.)</v>
      </c>
    </row>
    <row r="1039">
      <c r="A1039" s="4" t="str">
        <f>IFERROR(__xludf.DUMMYFUNCTION("""COMPUTED_VALUE"""),"0867A")</f>
        <v>0867A</v>
      </c>
      <c r="B1039" s="4" t="str">
        <f>IFERROR(__xludf.DUMMYFUNCTION("""COMPUTED_VALUE"""),"Adhesivo PVC 21x29 reciclado envases")</f>
        <v>Adhesivo PVC 21x29 reciclado envases</v>
      </c>
      <c r="C1039" s="4">
        <f>IFERROR(__xludf.DUMMYFUNCTION("""COMPUTED_VALUE"""),1.25)</f>
        <v>1.25</v>
      </c>
      <c r="D1039" s="4"/>
      <c r="E1039" s="4" t="str">
        <f>IFERROR(__xludf.DUMMYFUNCTION("""COMPUTED_VALUE"""),"Sin precio neto G.C.")</f>
        <v>Sin precio neto G.C.</v>
      </c>
    </row>
    <row r="1040">
      <c r="A1040" s="4" t="str">
        <f>IFERROR(__xludf.DUMMYFUNCTION("""COMPUTED_VALUE"""),"0867P")</f>
        <v>0867P</v>
      </c>
      <c r="B1040" s="4" t="str">
        <f>IFERROR(__xludf.DUMMYFUNCTION("""COMPUTED_VALUE"""),"Cartel PVC 21x29 reciclado envases")</f>
        <v>Cartel PVC 21x29 reciclado envases</v>
      </c>
      <c r="C1040" s="4">
        <f>IFERROR(__xludf.DUMMYFUNCTION("""COMPUTED_VALUE"""),1.6)</f>
        <v>1.6</v>
      </c>
      <c r="D1040" s="4">
        <f>IFERROR(__xludf.DUMMYFUNCTION("""COMPUTED_VALUE"""),1.2)</f>
        <v>1.2</v>
      </c>
      <c r="E1040" s="4" t="str">
        <f>IFERROR(__xludf.DUMMYFUNCTION("""COMPUTED_VALUE"""),"Neto G.C.: 1,20 € (a partir de 1 uds.)")</f>
        <v>Neto G.C.: 1,20 € (a partir de 1 uds.)</v>
      </c>
    </row>
    <row r="1041">
      <c r="A1041" s="4" t="str">
        <f>IFERROR(__xludf.DUMMYFUNCTION("""COMPUTED_VALUE"""),"868")</f>
        <v>868</v>
      </c>
      <c r="B1041" s="4" t="str">
        <f>IFERROR(__xludf.DUMMYFUNCTION("""COMPUTED_VALUE"""),"Cartel PVC 40x30 reciclado latas")</f>
        <v>Cartel PVC 40x30 reciclado latas</v>
      </c>
      <c r="C1041" s="4">
        <f>IFERROR(__xludf.DUMMYFUNCTION("""COMPUTED_VALUE"""),2.48)</f>
        <v>2.48</v>
      </c>
      <c r="D1041" s="4">
        <f>IFERROR(__xludf.DUMMYFUNCTION("""COMPUTED_VALUE"""),1.75)</f>
        <v>1.75</v>
      </c>
      <c r="E1041" s="4" t="str">
        <f>IFERROR(__xludf.DUMMYFUNCTION("""COMPUTED_VALUE"""),"Neto G.C.: 1,75 € (a partir de 1 uds.)")</f>
        <v>Neto G.C.: 1,75 € (a partir de 1 uds.)</v>
      </c>
    </row>
    <row r="1042">
      <c r="A1042" s="4" t="str">
        <f>IFERROR(__xludf.DUMMYFUNCTION("""COMPUTED_VALUE"""),"0868A")</f>
        <v>0868A</v>
      </c>
      <c r="B1042" s="4" t="str">
        <f>IFERROR(__xludf.DUMMYFUNCTION("""COMPUTED_VALUE"""),"Adhesivo PVC 21x29 reciclado latas")</f>
        <v>Adhesivo PVC 21x29 reciclado latas</v>
      </c>
      <c r="C1042" s="4">
        <f>IFERROR(__xludf.DUMMYFUNCTION("""COMPUTED_VALUE"""),1.25)</f>
        <v>1.25</v>
      </c>
      <c r="D1042" s="4"/>
      <c r="E1042" s="4" t="str">
        <f>IFERROR(__xludf.DUMMYFUNCTION("""COMPUTED_VALUE"""),"Sin precio neto G.C.")</f>
        <v>Sin precio neto G.C.</v>
      </c>
    </row>
    <row r="1043">
      <c r="A1043" s="4" t="str">
        <f>IFERROR(__xludf.DUMMYFUNCTION("""COMPUTED_VALUE"""),"0868P")</f>
        <v>0868P</v>
      </c>
      <c r="B1043" s="4" t="str">
        <f>IFERROR(__xludf.DUMMYFUNCTION("""COMPUTED_VALUE"""),"Cartel PVC 21x29 reciclado latas")</f>
        <v>Cartel PVC 21x29 reciclado latas</v>
      </c>
      <c r="C1043" s="4">
        <f>IFERROR(__xludf.DUMMYFUNCTION("""COMPUTED_VALUE"""),1.6)</f>
        <v>1.6</v>
      </c>
      <c r="D1043" s="4">
        <f>IFERROR(__xludf.DUMMYFUNCTION("""COMPUTED_VALUE"""),1.2)</f>
        <v>1.2</v>
      </c>
      <c r="E1043" s="4" t="str">
        <f>IFERROR(__xludf.DUMMYFUNCTION("""COMPUTED_VALUE"""),"Neto G.C.: 1,20 € (a partir de 1 uds.)")</f>
        <v>Neto G.C.: 1,20 € (a partir de 1 uds.)</v>
      </c>
    </row>
    <row r="1044">
      <c r="A1044" s="4" t="str">
        <f>IFERROR(__xludf.DUMMYFUNCTION("""COMPUTED_VALUE"""),"869")</f>
        <v>869</v>
      </c>
      <c r="B1044" s="4" t="str">
        <f>IFERROR(__xludf.DUMMYFUNCTION("""COMPUTED_VALUE"""),"Cartel PVC 40x30 reciclado chatarra")</f>
        <v>Cartel PVC 40x30 reciclado chatarra</v>
      </c>
      <c r="C1044" s="4">
        <f>IFERROR(__xludf.DUMMYFUNCTION("""COMPUTED_VALUE"""),2.48)</f>
        <v>2.48</v>
      </c>
      <c r="D1044" s="4">
        <f>IFERROR(__xludf.DUMMYFUNCTION("""COMPUTED_VALUE"""),1.75)</f>
        <v>1.75</v>
      </c>
      <c r="E1044" s="4" t="str">
        <f>IFERROR(__xludf.DUMMYFUNCTION("""COMPUTED_VALUE"""),"Neto G.C.: 1,75 € (a partir de 1 uds.)")</f>
        <v>Neto G.C.: 1,75 € (a partir de 1 uds.)</v>
      </c>
    </row>
    <row r="1045">
      <c r="A1045" s="4" t="str">
        <f>IFERROR(__xludf.DUMMYFUNCTION("""COMPUTED_VALUE"""),"0869A")</f>
        <v>0869A</v>
      </c>
      <c r="B1045" s="4" t="str">
        <f>IFERROR(__xludf.DUMMYFUNCTION("""COMPUTED_VALUE"""),"Adhesivo PVC 21x29 reciclado chatarra")</f>
        <v>Adhesivo PVC 21x29 reciclado chatarra</v>
      </c>
      <c r="C1045" s="4">
        <f>IFERROR(__xludf.DUMMYFUNCTION("""COMPUTED_VALUE"""),1.25)</f>
        <v>1.25</v>
      </c>
      <c r="D1045" s="4"/>
      <c r="E1045" s="4" t="str">
        <f>IFERROR(__xludf.DUMMYFUNCTION("""COMPUTED_VALUE"""),"Sin precio neto G.C.")</f>
        <v>Sin precio neto G.C.</v>
      </c>
    </row>
    <row r="1046">
      <c r="A1046" s="4" t="str">
        <f>IFERROR(__xludf.DUMMYFUNCTION("""COMPUTED_VALUE"""),"0869P")</f>
        <v>0869P</v>
      </c>
      <c r="B1046" s="4" t="str">
        <f>IFERROR(__xludf.DUMMYFUNCTION("""COMPUTED_VALUE"""),"Cartel PVC 21x29 reciclado chatarra")</f>
        <v>Cartel PVC 21x29 reciclado chatarra</v>
      </c>
      <c r="C1046" s="4">
        <f>IFERROR(__xludf.DUMMYFUNCTION("""COMPUTED_VALUE"""),1.6)</f>
        <v>1.6</v>
      </c>
      <c r="D1046" s="4">
        <f>IFERROR(__xludf.DUMMYFUNCTION("""COMPUTED_VALUE"""),1.2)</f>
        <v>1.2</v>
      </c>
      <c r="E1046" s="4" t="str">
        <f>IFERROR(__xludf.DUMMYFUNCTION("""COMPUTED_VALUE"""),"Neto G.C.: 1,20 € (a partir de 1 uds.)")</f>
        <v>Neto G.C.: 1,20 € (a partir de 1 uds.)</v>
      </c>
    </row>
    <row r="1047">
      <c r="A1047" s="4" t="str">
        <f>IFERROR(__xludf.DUMMYFUNCTION("""COMPUTED_VALUE"""),"870")</f>
        <v>870</v>
      </c>
      <c r="B1047" s="4" t="str">
        <f>IFERROR(__xludf.DUMMYFUNCTION("""COMPUTED_VALUE"""),"Cartel PVC 40x30 reciclado basura")</f>
        <v>Cartel PVC 40x30 reciclado basura</v>
      </c>
      <c r="C1047" s="4">
        <f>IFERROR(__xludf.DUMMYFUNCTION("""COMPUTED_VALUE"""),2.48)</f>
        <v>2.48</v>
      </c>
      <c r="D1047" s="4">
        <f>IFERROR(__xludf.DUMMYFUNCTION("""COMPUTED_VALUE"""),1.75)</f>
        <v>1.75</v>
      </c>
      <c r="E1047" s="4" t="str">
        <f>IFERROR(__xludf.DUMMYFUNCTION("""COMPUTED_VALUE"""),"Neto G.C.: 1,75 € (a partir de 1 uds.)")</f>
        <v>Neto G.C.: 1,75 € (a partir de 1 uds.)</v>
      </c>
    </row>
    <row r="1048">
      <c r="A1048" s="4" t="str">
        <f>IFERROR(__xludf.DUMMYFUNCTION("""COMPUTED_VALUE"""),"0870A")</f>
        <v>0870A</v>
      </c>
      <c r="B1048" s="4" t="str">
        <f>IFERROR(__xludf.DUMMYFUNCTION("""COMPUTED_VALUE"""),"Adhesivo PVC 21x29 reciclado basura")</f>
        <v>Adhesivo PVC 21x29 reciclado basura</v>
      </c>
      <c r="C1048" s="4">
        <f>IFERROR(__xludf.DUMMYFUNCTION("""COMPUTED_VALUE"""),1.25)</f>
        <v>1.25</v>
      </c>
      <c r="D1048" s="4"/>
      <c r="E1048" s="4" t="str">
        <f>IFERROR(__xludf.DUMMYFUNCTION("""COMPUTED_VALUE"""),"Sin precio neto G.C.")</f>
        <v>Sin precio neto G.C.</v>
      </c>
    </row>
    <row r="1049">
      <c r="A1049" s="4" t="str">
        <f>IFERROR(__xludf.DUMMYFUNCTION("""COMPUTED_VALUE"""),"0870P")</f>
        <v>0870P</v>
      </c>
      <c r="B1049" s="4" t="str">
        <f>IFERROR(__xludf.DUMMYFUNCTION("""COMPUTED_VALUE"""),"Cartel PVC 21x29 reciclado basura")</f>
        <v>Cartel PVC 21x29 reciclado basura</v>
      </c>
      <c r="C1049" s="4">
        <f>IFERROR(__xludf.DUMMYFUNCTION("""COMPUTED_VALUE"""),1.6)</f>
        <v>1.6</v>
      </c>
      <c r="D1049" s="4">
        <f>IFERROR(__xludf.DUMMYFUNCTION("""COMPUTED_VALUE"""),1.2)</f>
        <v>1.2</v>
      </c>
      <c r="E1049" s="4" t="str">
        <f>IFERROR(__xludf.DUMMYFUNCTION("""COMPUTED_VALUE"""),"Neto G.C.: 1,20 € (a partir de 1 uds.)")</f>
        <v>Neto G.C.: 1,20 € (a partir de 1 uds.)</v>
      </c>
    </row>
    <row r="1050">
      <c r="A1050" s="4" t="str">
        <f>IFERROR(__xludf.DUMMYFUNCTION("""COMPUTED_VALUE"""),"871")</f>
        <v>871</v>
      </c>
      <c r="B1050" s="4" t="str">
        <f>IFERROR(__xludf.DUMMYFUNCTION("""COMPUTED_VALUE"""),"Cartel PVC 40x30 cm zona controlada, riesgo de irradiación")</f>
        <v>Cartel PVC 40x30 cm zona controlada, riesgo de irradiación</v>
      </c>
      <c r="C1050" s="4">
        <f>IFERROR(__xludf.DUMMYFUNCTION("""COMPUTED_VALUE"""),2.48)</f>
        <v>2.48</v>
      </c>
      <c r="D1050" s="4">
        <f>IFERROR(__xludf.DUMMYFUNCTION("""COMPUTED_VALUE"""),1.75)</f>
        <v>1.75</v>
      </c>
      <c r="E1050" s="4" t="str">
        <f>IFERROR(__xludf.DUMMYFUNCTION("""COMPUTED_VALUE"""),"Neto G.C.: 1,75 € (a partir de 1 uds.)")</f>
        <v>Neto G.C.: 1,75 € (a partir de 1 uds.)</v>
      </c>
    </row>
    <row r="1051">
      <c r="A1051" s="4" t="str">
        <f>IFERROR(__xludf.DUMMYFUNCTION("""COMPUTED_VALUE"""),"0871A")</f>
        <v>0871A</v>
      </c>
      <c r="B1051" s="4" t="str">
        <f>IFERROR(__xludf.DUMMYFUNCTION("""COMPUTED_VALUE"""),"Adhesivo PVC 21x29 cm zona controlada, riesgo de irradiación")</f>
        <v>Adhesivo PVC 21x29 cm zona controlada, riesgo de irradiación</v>
      </c>
      <c r="C1051" s="4">
        <f>IFERROR(__xludf.DUMMYFUNCTION("""COMPUTED_VALUE"""),1.25)</f>
        <v>1.25</v>
      </c>
      <c r="D1051" s="4"/>
      <c r="E1051" s="4" t="str">
        <f>IFERROR(__xludf.DUMMYFUNCTION("""COMPUTED_VALUE"""),"Sin precio neto G.C.")</f>
        <v>Sin precio neto G.C.</v>
      </c>
    </row>
    <row r="1052">
      <c r="A1052" s="4" t="str">
        <f>IFERROR(__xludf.DUMMYFUNCTION("""COMPUTED_VALUE"""),"0871P")</f>
        <v>0871P</v>
      </c>
      <c r="B1052" s="4" t="str">
        <f>IFERROR(__xludf.DUMMYFUNCTION("""COMPUTED_VALUE"""),"Cartel PVC 21x29 cm zona controlada, riesgo de irradiación")</f>
        <v>Cartel PVC 21x29 cm zona controlada, riesgo de irradiación</v>
      </c>
      <c r="C1052" s="4">
        <f>IFERROR(__xludf.DUMMYFUNCTION("""COMPUTED_VALUE"""),1.6)</f>
        <v>1.6</v>
      </c>
      <c r="D1052" s="4">
        <f>IFERROR(__xludf.DUMMYFUNCTION("""COMPUTED_VALUE"""),1.2)</f>
        <v>1.2</v>
      </c>
      <c r="E1052" s="4" t="str">
        <f>IFERROR(__xludf.DUMMYFUNCTION("""COMPUTED_VALUE"""),"Neto G.C.: 1,20 € (a partir de 1 uds.)")</f>
        <v>Neto G.C.: 1,20 € (a partir de 1 uds.)</v>
      </c>
    </row>
    <row r="1053">
      <c r="A1053" s="4" t="str">
        <f>IFERROR(__xludf.DUMMYFUNCTION("""COMPUTED_VALUE"""),"872")</f>
        <v>872</v>
      </c>
      <c r="B1053" s="4" t="str">
        <f>IFERROR(__xludf.DUMMYFUNCTION("""COMPUTED_VALUE"""),"Cartel PVC 40x30 cm zona controlada, riesgo de")</f>
        <v>Cartel PVC 40x30 cm zona controlada, riesgo de</v>
      </c>
      <c r="C1053" s="4">
        <f>IFERROR(__xludf.DUMMYFUNCTION("""COMPUTED_VALUE"""),2.48)</f>
        <v>2.48</v>
      </c>
      <c r="D1053" s="4">
        <f>IFERROR(__xludf.DUMMYFUNCTION("""COMPUTED_VALUE"""),1.75)</f>
        <v>1.75</v>
      </c>
      <c r="E1053" s="4" t="str">
        <f>IFERROR(__xludf.DUMMYFUNCTION("""COMPUTED_VALUE"""),"Neto G.C.: 1,75 € (a partir de 1 uds.)")</f>
        <v>Neto G.C.: 1,75 € (a partir de 1 uds.)</v>
      </c>
    </row>
    <row r="1054">
      <c r="A1054" s="4" t="str">
        <f>IFERROR(__xludf.DUMMYFUNCTION("""COMPUTED_VALUE"""),"0872A")</f>
        <v>0872A</v>
      </c>
      <c r="B1054" s="4" t="str">
        <f>IFERROR(__xludf.DUMMYFUNCTION("""COMPUTED_VALUE"""),"Adhesivo PVC 21x29 cm zona controlada, riesgo de")</f>
        <v>Adhesivo PVC 21x29 cm zona controlada, riesgo de</v>
      </c>
      <c r="C1054" s="4">
        <f>IFERROR(__xludf.DUMMYFUNCTION("""COMPUTED_VALUE"""),1.25)</f>
        <v>1.25</v>
      </c>
      <c r="D1054" s="4"/>
      <c r="E1054" s="4" t="str">
        <f>IFERROR(__xludf.DUMMYFUNCTION("""COMPUTED_VALUE"""),"Sin precio neto G.C.")</f>
        <v>Sin precio neto G.C.</v>
      </c>
    </row>
    <row r="1055">
      <c r="A1055" s="4" t="str">
        <f>IFERROR(__xludf.DUMMYFUNCTION("""COMPUTED_VALUE"""),"0872P")</f>
        <v>0872P</v>
      </c>
      <c r="B1055" s="4" t="str">
        <f>IFERROR(__xludf.DUMMYFUNCTION("""COMPUTED_VALUE"""),"Cartel PVC 21x29 cm zona controlada, riesgo de")</f>
        <v>Cartel PVC 21x29 cm zona controlada, riesgo de</v>
      </c>
      <c r="C1055" s="4">
        <f>IFERROR(__xludf.DUMMYFUNCTION("""COMPUTED_VALUE"""),1.6)</f>
        <v>1.6</v>
      </c>
      <c r="D1055" s="4">
        <f>IFERROR(__xludf.DUMMYFUNCTION("""COMPUTED_VALUE"""),1.2)</f>
        <v>1.2</v>
      </c>
      <c r="E1055" s="4" t="str">
        <f>IFERROR(__xludf.DUMMYFUNCTION("""COMPUTED_VALUE"""),"Neto G.C.: 1,20 € (a partir de 1 uds.)")</f>
        <v>Neto G.C.: 1,20 € (a partir de 1 uds.)</v>
      </c>
    </row>
    <row r="1056">
      <c r="A1056" s="4" t="str">
        <f>IFERROR(__xludf.DUMMYFUNCTION("""COMPUTED_VALUE"""),"873")</f>
        <v>873</v>
      </c>
      <c r="B1056" s="4" t="str">
        <f>IFERROR(__xludf.DUMMYFUNCTION("""COMPUTED_VALUE"""),"Cartel PVC 40x30 cm zona controlada, riesgo de cont. e irrad.")</f>
        <v>Cartel PVC 40x30 cm zona controlada, riesgo de cont. e irrad.</v>
      </c>
      <c r="C1056" s="4">
        <f>IFERROR(__xludf.DUMMYFUNCTION("""COMPUTED_VALUE"""),2.48)</f>
        <v>2.48</v>
      </c>
      <c r="D1056" s="4">
        <f>IFERROR(__xludf.DUMMYFUNCTION("""COMPUTED_VALUE"""),1.75)</f>
        <v>1.75</v>
      </c>
      <c r="E1056" s="4" t="str">
        <f>IFERROR(__xludf.DUMMYFUNCTION("""COMPUTED_VALUE"""),"Neto G.C.: 1,75 € (a partir de 1 uds.)")</f>
        <v>Neto G.C.: 1,75 € (a partir de 1 uds.)</v>
      </c>
    </row>
    <row r="1057">
      <c r="A1057" s="4" t="str">
        <f>IFERROR(__xludf.DUMMYFUNCTION("""COMPUTED_VALUE"""),"0873A")</f>
        <v>0873A</v>
      </c>
      <c r="B1057" s="4" t="str">
        <f>IFERROR(__xludf.DUMMYFUNCTION("""COMPUTED_VALUE"""),"Adhesivo PVC 21x29 cm zona controlada, riesgo de cont. e")</f>
        <v>Adhesivo PVC 21x29 cm zona controlada, riesgo de cont. e</v>
      </c>
      <c r="C1057" s="4">
        <f>IFERROR(__xludf.DUMMYFUNCTION("""COMPUTED_VALUE"""),1.25)</f>
        <v>1.25</v>
      </c>
      <c r="D1057" s="4"/>
      <c r="E1057" s="4" t="str">
        <f>IFERROR(__xludf.DUMMYFUNCTION("""COMPUTED_VALUE"""),"Sin precio neto G.C.")</f>
        <v>Sin precio neto G.C.</v>
      </c>
    </row>
    <row r="1058">
      <c r="A1058" s="4" t="str">
        <f>IFERROR(__xludf.DUMMYFUNCTION("""COMPUTED_VALUE"""),"0873P")</f>
        <v>0873P</v>
      </c>
      <c r="B1058" s="4" t="str">
        <f>IFERROR(__xludf.DUMMYFUNCTION("""COMPUTED_VALUE"""),"zona controlada, riesgo de cont. e irrad.")</f>
        <v>zona controlada, riesgo de cont. e irrad.</v>
      </c>
      <c r="C1058" s="4">
        <f>IFERROR(__xludf.DUMMYFUNCTION("""COMPUTED_VALUE"""),1.25)</f>
        <v>1.25</v>
      </c>
      <c r="D1058" s="4"/>
      <c r="E1058" s="4" t="str">
        <f>IFERROR(__xludf.DUMMYFUNCTION("""COMPUTED_VALUE"""),"Sin precio neto G.C.")</f>
        <v>Sin precio neto G.C.</v>
      </c>
    </row>
    <row r="1059">
      <c r="A1059" s="4" t="str">
        <f>IFERROR(__xludf.DUMMYFUNCTION("""COMPUTED_VALUE"""),"874")</f>
        <v>874</v>
      </c>
      <c r="B1059" s="4" t="str">
        <f>IFERROR(__xludf.DUMMYFUNCTION("""COMPUTED_VALUE"""),"Cartel PVC 40x30 cm zona perm. limitada, riesgo de")</f>
        <v>Cartel PVC 40x30 cm zona perm. limitada, riesgo de</v>
      </c>
      <c r="C1059" s="4">
        <f>IFERROR(__xludf.DUMMYFUNCTION("""COMPUTED_VALUE"""),2.48)</f>
        <v>2.48</v>
      </c>
      <c r="D1059" s="4">
        <f>IFERROR(__xludf.DUMMYFUNCTION("""COMPUTED_VALUE"""),1.8)</f>
        <v>1.8</v>
      </c>
      <c r="E1059" s="4" t="str">
        <f>IFERROR(__xludf.DUMMYFUNCTION("""COMPUTED_VALUE"""),"Neto G.C.: 1,80 € (a partir de 1 uds.)")</f>
        <v>Neto G.C.: 1,80 € (a partir de 1 uds.)</v>
      </c>
    </row>
    <row r="1060">
      <c r="A1060" s="4" t="str">
        <f>IFERROR(__xludf.DUMMYFUNCTION("""COMPUTED_VALUE"""),"0874A")</f>
        <v>0874A</v>
      </c>
      <c r="B1060" s="4" t="str">
        <f>IFERROR(__xludf.DUMMYFUNCTION("""COMPUTED_VALUE"""),"Adhesivo PVC 21x29 cm zona zona perm. limitada, riesgo de")</f>
        <v>Adhesivo PVC 21x29 cm zona zona perm. limitada, riesgo de</v>
      </c>
      <c r="C1060" s="4">
        <f>IFERROR(__xludf.DUMMYFUNCTION("""COMPUTED_VALUE"""),1.25)</f>
        <v>1.25</v>
      </c>
      <c r="D1060" s="4"/>
      <c r="E1060" s="4" t="str">
        <f>IFERROR(__xludf.DUMMYFUNCTION("""COMPUTED_VALUE"""),"Sin precio neto G.C.")</f>
        <v>Sin precio neto G.C.</v>
      </c>
    </row>
    <row r="1061">
      <c r="A1061" s="4" t="str">
        <f>IFERROR(__xludf.DUMMYFUNCTION("""COMPUTED_VALUE"""),"0874P")</f>
        <v>0874P</v>
      </c>
      <c r="B1061" s="4" t="str">
        <f>IFERROR(__xludf.DUMMYFUNCTION("""COMPUTED_VALUE"""),"Cartel PVC 21x29 cm zona perm. limitada, riesgo de")</f>
        <v>Cartel PVC 21x29 cm zona perm. limitada, riesgo de</v>
      </c>
      <c r="C1061" s="4">
        <f>IFERROR(__xludf.DUMMYFUNCTION("""COMPUTED_VALUE"""),1.6)</f>
        <v>1.6</v>
      </c>
      <c r="D1061" s="4">
        <f>IFERROR(__xludf.DUMMYFUNCTION("""COMPUTED_VALUE"""),1.2)</f>
        <v>1.2</v>
      </c>
      <c r="E1061" s="4" t="str">
        <f>IFERROR(__xludf.DUMMYFUNCTION("""COMPUTED_VALUE"""),"Neto G.C.: 1,20 € (a partir de 1 uds.)")</f>
        <v>Neto G.C.: 1,20 € (a partir de 1 uds.)</v>
      </c>
    </row>
    <row r="1062">
      <c r="A1062" s="4" t="str">
        <f>IFERROR(__xludf.DUMMYFUNCTION("""COMPUTED_VALUE"""),"875")</f>
        <v>875</v>
      </c>
      <c r="B1062" s="4" t="str">
        <f>IFERROR(__xludf.DUMMYFUNCTION("""COMPUTED_VALUE"""),"Cartel PVC 40x30 cm zona perm. limitada, riesgo de")</f>
        <v>Cartel PVC 40x30 cm zona perm. limitada, riesgo de</v>
      </c>
      <c r="C1062" s="4">
        <f>IFERROR(__xludf.DUMMYFUNCTION("""COMPUTED_VALUE"""),2.48)</f>
        <v>2.48</v>
      </c>
      <c r="D1062" s="4">
        <f>IFERROR(__xludf.DUMMYFUNCTION("""COMPUTED_VALUE"""),1.75)</f>
        <v>1.75</v>
      </c>
      <c r="E1062" s="4" t="str">
        <f>IFERROR(__xludf.DUMMYFUNCTION("""COMPUTED_VALUE"""),"Neto G.C.: 1,75 € (a partir de 1 uds.)")</f>
        <v>Neto G.C.: 1,75 € (a partir de 1 uds.)</v>
      </c>
    </row>
    <row r="1063">
      <c r="A1063" s="4" t="str">
        <f>IFERROR(__xludf.DUMMYFUNCTION("""COMPUTED_VALUE"""),"0875A")</f>
        <v>0875A</v>
      </c>
      <c r="B1063" s="4" t="str">
        <f>IFERROR(__xludf.DUMMYFUNCTION("""COMPUTED_VALUE"""),"Adhesivo PVC 21x29 cm zona zona perm. limitada, riesgo de")</f>
        <v>Adhesivo PVC 21x29 cm zona zona perm. limitada, riesgo de</v>
      </c>
      <c r="C1063" s="4">
        <f>IFERROR(__xludf.DUMMYFUNCTION("""COMPUTED_VALUE"""),1.25)</f>
        <v>1.25</v>
      </c>
      <c r="D1063" s="4"/>
      <c r="E1063" s="4" t="str">
        <f>IFERROR(__xludf.DUMMYFUNCTION("""COMPUTED_VALUE"""),"Sin precio neto G.C.")</f>
        <v>Sin precio neto G.C.</v>
      </c>
    </row>
    <row r="1064">
      <c r="A1064" s="4" t="str">
        <f>IFERROR(__xludf.DUMMYFUNCTION("""COMPUTED_VALUE"""),"0875P")</f>
        <v>0875P</v>
      </c>
      <c r="B1064" s="4" t="str">
        <f>IFERROR(__xludf.DUMMYFUNCTION("""COMPUTED_VALUE"""),"Cartel PVC 21x29 cm zona perm. limitada, riesgo de")</f>
        <v>Cartel PVC 21x29 cm zona perm. limitada, riesgo de</v>
      </c>
      <c r="C1064" s="4">
        <f>IFERROR(__xludf.DUMMYFUNCTION("""COMPUTED_VALUE"""),1.6)</f>
        <v>1.6</v>
      </c>
      <c r="D1064" s="4">
        <f>IFERROR(__xludf.DUMMYFUNCTION("""COMPUTED_VALUE"""),1.2)</f>
        <v>1.2</v>
      </c>
      <c r="E1064" s="4" t="str">
        <f>IFERROR(__xludf.DUMMYFUNCTION("""COMPUTED_VALUE"""),"Neto G.C.: 1,20 € (a partir de 1 uds.)")</f>
        <v>Neto G.C.: 1,20 € (a partir de 1 uds.)</v>
      </c>
    </row>
    <row r="1065">
      <c r="A1065" s="4" t="str">
        <f>IFERROR(__xludf.DUMMYFUNCTION("""COMPUTED_VALUE"""),"876")</f>
        <v>876</v>
      </c>
      <c r="B1065" s="4" t="str">
        <f>IFERROR(__xludf.DUMMYFUNCTION("""COMPUTED_VALUE"""),"Cartel PVC 40x30 cm zona perm. limitada, riesgo de cont. e")</f>
        <v>Cartel PVC 40x30 cm zona perm. limitada, riesgo de cont. e</v>
      </c>
      <c r="C1065" s="4">
        <f>IFERROR(__xludf.DUMMYFUNCTION("""COMPUTED_VALUE"""),2.48)</f>
        <v>2.48</v>
      </c>
      <c r="D1065" s="4">
        <f>IFERROR(__xludf.DUMMYFUNCTION("""COMPUTED_VALUE"""),1.75)</f>
        <v>1.75</v>
      </c>
      <c r="E1065" s="4" t="str">
        <f>IFERROR(__xludf.DUMMYFUNCTION("""COMPUTED_VALUE"""),"Neto G.C.: 1,75 € (a partir de 1 uds.)")</f>
        <v>Neto G.C.: 1,75 € (a partir de 1 uds.)</v>
      </c>
    </row>
    <row r="1066">
      <c r="A1066" s="4" t="str">
        <f>IFERROR(__xludf.DUMMYFUNCTION("""COMPUTED_VALUE"""),"0876A")</f>
        <v>0876A</v>
      </c>
      <c r="B1066" s="4" t="str">
        <f>IFERROR(__xludf.DUMMYFUNCTION("""COMPUTED_VALUE"""),"Adhesivo PVC 21x29 cm zona zona perm. limitada, riesgo cont.")</f>
        <v>Adhesivo PVC 21x29 cm zona zona perm. limitada, riesgo cont.</v>
      </c>
      <c r="C1066" s="4">
        <f>IFERROR(__xludf.DUMMYFUNCTION("""COMPUTED_VALUE"""),1.25)</f>
        <v>1.25</v>
      </c>
      <c r="D1066" s="4"/>
      <c r="E1066" s="4" t="str">
        <f>IFERROR(__xludf.DUMMYFUNCTION("""COMPUTED_VALUE"""),"Sin precio neto G.C.")</f>
        <v>Sin precio neto G.C.</v>
      </c>
    </row>
    <row r="1067">
      <c r="A1067" s="4" t="str">
        <f>IFERROR(__xludf.DUMMYFUNCTION("""COMPUTED_VALUE"""),"0876P")</f>
        <v>0876P</v>
      </c>
      <c r="B1067" s="4" t="str">
        <f>IFERROR(__xludf.DUMMYFUNCTION("""COMPUTED_VALUE"""),"Cartel PVC 21x29 cm zona perm. limitada, riesgo de cont. e")</f>
        <v>Cartel PVC 21x29 cm zona perm. limitada, riesgo de cont. e</v>
      </c>
      <c r="C1067" s="4">
        <f>IFERROR(__xludf.DUMMYFUNCTION("""COMPUTED_VALUE"""),1.6)</f>
        <v>1.6</v>
      </c>
      <c r="D1067" s="4">
        <f>IFERROR(__xludf.DUMMYFUNCTION("""COMPUTED_VALUE"""),1.2)</f>
        <v>1.2</v>
      </c>
      <c r="E1067" s="4" t="str">
        <f>IFERROR(__xludf.DUMMYFUNCTION("""COMPUTED_VALUE"""),"Neto G.C.: 1,20 € (a partir de 1 uds.)")</f>
        <v>Neto G.C.: 1,20 € (a partir de 1 uds.)</v>
      </c>
    </row>
    <row r="1068">
      <c r="A1068" s="4" t="str">
        <f>IFERROR(__xludf.DUMMYFUNCTION("""COMPUTED_VALUE"""),"877")</f>
        <v>877</v>
      </c>
      <c r="B1068" s="4" t="str">
        <f>IFERROR(__xludf.DUMMYFUNCTION("""COMPUTED_VALUE"""),"Cartel PVC 40x30 cm zona acceso prohibido, riesgo de")</f>
        <v>Cartel PVC 40x30 cm zona acceso prohibido, riesgo de</v>
      </c>
      <c r="C1068" s="4">
        <f>IFERROR(__xludf.DUMMYFUNCTION("""COMPUTED_VALUE"""),2.48)</f>
        <v>2.48</v>
      </c>
      <c r="D1068" s="4">
        <f>IFERROR(__xludf.DUMMYFUNCTION("""COMPUTED_VALUE"""),1.75)</f>
        <v>1.75</v>
      </c>
      <c r="E1068" s="4" t="str">
        <f>IFERROR(__xludf.DUMMYFUNCTION("""COMPUTED_VALUE"""),"Neto G.C.: 1,75 € (a partir de 1 uds.)")</f>
        <v>Neto G.C.: 1,75 € (a partir de 1 uds.)</v>
      </c>
    </row>
    <row r="1069">
      <c r="A1069" s="4" t="str">
        <f>IFERROR(__xludf.DUMMYFUNCTION("""COMPUTED_VALUE"""),"0877A")</f>
        <v>0877A</v>
      </c>
      <c r="B1069" s="4" t="str">
        <f>IFERROR(__xludf.DUMMYFUNCTION("""COMPUTED_VALUE"""),"Adhesivo PVC 21x29 cm zona acceso prohibido, riesgo de")</f>
        <v>Adhesivo PVC 21x29 cm zona acceso prohibido, riesgo de</v>
      </c>
      <c r="C1069" s="4">
        <f>IFERROR(__xludf.DUMMYFUNCTION("""COMPUTED_VALUE"""),1.25)</f>
        <v>1.25</v>
      </c>
      <c r="D1069" s="4"/>
      <c r="E1069" s="4" t="str">
        <f>IFERROR(__xludf.DUMMYFUNCTION("""COMPUTED_VALUE"""),"Sin precio neto G.C.")</f>
        <v>Sin precio neto G.C.</v>
      </c>
    </row>
    <row r="1070">
      <c r="A1070" s="4" t="str">
        <f>IFERROR(__xludf.DUMMYFUNCTION("""COMPUTED_VALUE"""),"0877P")</f>
        <v>0877P</v>
      </c>
      <c r="B1070" s="4" t="str">
        <f>IFERROR(__xludf.DUMMYFUNCTION("""COMPUTED_VALUE"""),"Cartel PVC 21x29 cm zona acceso prohibido, riesgo de")</f>
        <v>Cartel PVC 21x29 cm zona acceso prohibido, riesgo de</v>
      </c>
      <c r="C1070" s="4">
        <f>IFERROR(__xludf.DUMMYFUNCTION("""COMPUTED_VALUE"""),1.6)</f>
        <v>1.6</v>
      </c>
      <c r="D1070" s="4">
        <f>IFERROR(__xludf.DUMMYFUNCTION("""COMPUTED_VALUE"""),1.2)</f>
        <v>1.2</v>
      </c>
      <c r="E1070" s="4" t="str">
        <f>IFERROR(__xludf.DUMMYFUNCTION("""COMPUTED_VALUE"""),"Neto G.C.: 1,20 € (a partir de 1 uds.)")</f>
        <v>Neto G.C.: 1,20 € (a partir de 1 uds.)</v>
      </c>
    </row>
    <row r="1071">
      <c r="A1071" s="4" t="str">
        <f>IFERROR(__xludf.DUMMYFUNCTION("""COMPUTED_VALUE"""),"878")</f>
        <v>878</v>
      </c>
      <c r="B1071" s="4" t="str">
        <f>IFERROR(__xludf.DUMMYFUNCTION("""COMPUTED_VALUE"""),"Cartel PVC 40x30 cm zona acceso prohibido, riesgo de")</f>
        <v>Cartel PVC 40x30 cm zona acceso prohibido, riesgo de</v>
      </c>
      <c r="C1071" s="4">
        <f>IFERROR(__xludf.DUMMYFUNCTION("""COMPUTED_VALUE"""),2.48)</f>
        <v>2.48</v>
      </c>
      <c r="D1071" s="4">
        <f>IFERROR(__xludf.DUMMYFUNCTION("""COMPUTED_VALUE"""),1.75)</f>
        <v>1.75</v>
      </c>
      <c r="E1071" s="4" t="str">
        <f>IFERROR(__xludf.DUMMYFUNCTION("""COMPUTED_VALUE"""),"Neto G.C.: 1,75 € (a partir de 1 uds.)")</f>
        <v>Neto G.C.: 1,75 € (a partir de 1 uds.)</v>
      </c>
    </row>
    <row r="1072">
      <c r="A1072" s="4" t="str">
        <f>IFERROR(__xludf.DUMMYFUNCTION("""COMPUTED_VALUE"""),"0878A")</f>
        <v>0878A</v>
      </c>
      <c r="B1072" s="4" t="str">
        <f>IFERROR(__xludf.DUMMYFUNCTION("""COMPUTED_VALUE"""),"Adhesivo PVC 21x29 cm zona acceso prohibido, riesgo de")</f>
        <v>Adhesivo PVC 21x29 cm zona acceso prohibido, riesgo de</v>
      </c>
      <c r="C1072" s="4">
        <f>IFERROR(__xludf.DUMMYFUNCTION("""COMPUTED_VALUE"""),1.25)</f>
        <v>1.25</v>
      </c>
      <c r="D1072" s="4"/>
      <c r="E1072" s="4" t="str">
        <f>IFERROR(__xludf.DUMMYFUNCTION("""COMPUTED_VALUE"""),"Sin precio neto G.C.")</f>
        <v>Sin precio neto G.C.</v>
      </c>
    </row>
    <row r="1073">
      <c r="A1073" s="4" t="str">
        <f>IFERROR(__xludf.DUMMYFUNCTION("""COMPUTED_VALUE"""),"0878P")</f>
        <v>0878P</v>
      </c>
      <c r="B1073" s="4" t="str">
        <f>IFERROR(__xludf.DUMMYFUNCTION("""COMPUTED_VALUE"""),"Cartel PVC 21x29 cm zona acceso prohibido, riesgo de")</f>
        <v>Cartel PVC 21x29 cm zona acceso prohibido, riesgo de</v>
      </c>
      <c r="C1073" s="4">
        <f>IFERROR(__xludf.DUMMYFUNCTION("""COMPUTED_VALUE"""),1.6)</f>
        <v>1.6</v>
      </c>
      <c r="D1073" s="4">
        <f>IFERROR(__xludf.DUMMYFUNCTION("""COMPUTED_VALUE"""),1.2)</f>
        <v>1.2</v>
      </c>
      <c r="E1073" s="4" t="str">
        <f>IFERROR(__xludf.DUMMYFUNCTION("""COMPUTED_VALUE"""),"Neto G.C.: 1,20 € (a partir de 1 uds.)")</f>
        <v>Neto G.C.: 1,20 € (a partir de 1 uds.)</v>
      </c>
    </row>
    <row r="1074">
      <c r="A1074" s="4" t="str">
        <f>IFERROR(__xludf.DUMMYFUNCTION("""COMPUTED_VALUE"""),"879")</f>
        <v>879</v>
      </c>
      <c r="B1074" s="4" t="str">
        <f>IFERROR(__xludf.DUMMYFUNCTION("""COMPUTED_VALUE"""),"Cartel PVC 40x30 cm zona acceso prohibido, riesgo de cont. e")</f>
        <v>Cartel PVC 40x30 cm zona acceso prohibido, riesgo de cont. e</v>
      </c>
      <c r="C1074" s="4">
        <f>IFERROR(__xludf.DUMMYFUNCTION("""COMPUTED_VALUE"""),2.48)</f>
        <v>2.48</v>
      </c>
      <c r="D1074" s="4">
        <f>IFERROR(__xludf.DUMMYFUNCTION("""COMPUTED_VALUE"""),1.75)</f>
        <v>1.75</v>
      </c>
      <c r="E1074" s="4" t="str">
        <f>IFERROR(__xludf.DUMMYFUNCTION("""COMPUTED_VALUE"""),"Neto G.C.: 1,75 € (a partir de 1 uds.)")</f>
        <v>Neto G.C.: 1,75 € (a partir de 1 uds.)</v>
      </c>
    </row>
    <row r="1075">
      <c r="A1075" s="4" t="str">
        <f>IFERROR(__xludf.DUMMYFUNCTION("""COMPUTED_VALUE"""),"0879A")</f>
        <v>0879A</v>
      </c>
      <c r="B1075" s="4" t="str">
        <f>IFERROR(__xludf.DUMMYFUNCTION("""COMPUTED_VALUE"""),"Adhesivo PVC 21x29 cm zona acceso prohibido, riesgo de")</f>
        <v>Adhesivo PVC 21x29 cm zona acceso prohibido, riesgo de</v>
      </c>
      <c r="C1075" s="4">
        <f>IFERROR(__xludf.DUMMYFUNCTION("""COMPUTED_VALUE"""),1.25)</f>
        <v>1.25</v>
      </c>
      <c r="D1075" s="4"/>
      <c r="E1075" s="4" t="str">
        <f>IFERROR(__xludf.DUMMYFUNCTION("""COMPUTED_VALUE"""),"Sin precio neto G.C.")</f>
        <v>Sin precio neto G.C.</v>
      </c>
    </row>
    <row r="1076">
      <c r="A1076" s="4" t="str">
        <f>IFERROR(__xludf.DUMMYFUNCTION("""COMPUTED_VALUE"""),"0879P")</f>
        <v>0879P</v>
      </c>
      <c r="B1076" s="4" t="str">
        <f>IFERROR(__xludf.DUMMYFUNCTION("""COMPUTED_VALUE"""),"Cartel PVC 21x29 cm zona acceso prohibido, riesgo de cont. e")</f>
        <v>Cartel PVC 21x29 cm zona acceso prohibido, riesgo de cont. e</v>
      </c>
      <c r="C1076" s="4">
        <f>IFERROR(__xludf.DUMMYFUNCTION("""COMPUTED_VALUE"""),1.6)</f>
        <v>1.6</v>
      </c>
      <c r="D1076" s="4">
        <f>IFERROR(__xludf.DUMMYFUNCTION("""COMPUTED_VALUE"""),1.2)</f>
        <v>1.2</v>
      </c>
      <c r="E1076" s="4" t="str">
        <f>IFERROR(__xludf.DUMMYFUNCTION("""COMPUTED_VALUE"""),"Neto G.C.: 1,20 € (a partir de 1 uds.)")</f>
        <v>Neto G.C.: 1,20 € (a partir de 1 uds.)</v>
      </c>
    </row>
    <row r="1077">
      <c r="A1077" s="4" t="str">
        <f>IFERROR(__xludf.DUMMYFUNCTION("""COMPUTED_VALUE"""),"880")</f>
        <v>880</v>
      </c>
      <c r="B1077" s="4" t="str">
        <f>IFERROR(__xludf.DUMMYFUNCTION("""COMPUTED_VALUE"""),"Cartel PVC 40x30 cm zona vigilada, riesgo de irradiación")</f>
        <v>Cartel PVC 40x30 cm zona vigilada, riesgo de irradiación</v>
      </c>
      <c r="C1077" s="4">
        <f>IFERROR(__xludf.DUMMYFUNCTION("""COMPUTED_VALUE"""),2.48)</f>
        <v>2.48</v>
      </c>
      <c r="D1077" s="4">
        <f>IFERROR(__xludf.DUMMYFUNCTION("""COMPUTED_VALUE"""),1.75)</f>
        <v>1.75</v>
      </c>
      <c r="E1077" s="4" t="str">
        <f>IFERROR(__xludf.DUMMYFUNCTION("""COMPUTED_VALUE"""),"Neto G.C.: 1,75 € (a partir de 1 uds.)")</f>
        <v>Neto G.C.: 1,75 € (a partir de 1 uds.)</v>
      </c>
    </row>
    <row r="1078">
      <c r="A1078" s="4" t="str">
        <f>IFERROR(__xludf.DUMMYFUNCTION("""COMPUTED_VALUE"""),"0880A")</f>
        <v>0880A</v>
      </c>
      <c r="B1078" s="4" t="str">
        <f>IFERROR(__xludf.DUMMYFUNCTION("""COMPUTED_VALUE"""),"Adhesivo PVC 21x29 cm zona vigilada, riesgo de irradiación")</f>
        <v>Adhesivo PVC 21x29 cm zona vigilada, riesgo de irradiación</v>
      </c>
      <c r="C1078" s="4">
        <f>IFERROR(__xludf.DUMMYFUNCTION("""COMPUTED_VALUE"""),1.25)</f>
        <v>1.25</v>
      </c>
      <c r="D1078" s="4"/>
      <c r="E1078" s="4" t="str">
        <f>IFERROR(__xludf.DUMMYFUNCTION("""COMPUTED_VALUE"""),"Sin precio neto G.C.")</f>
        <v>Sin precio neto G.C.</v>
      </c>
    </row>
    <row r="1079">
      <c r="A1079" s="4" t="str">
        <f>IFERROR(__xludf.DUMMYFUNCTION("""COMPUTED_VALUE"""),"0880P")</f>
        <v>0880P</v>
      </c>
      <c r="B1079" s="4" t="str">
        <f>IFERROR(__xludf.DUMMYFUNCTION("""COMPUTED_VALUE"""),"Cartel PVC 21x29 cm zona vigilada, riesgo de irradiación")</f>
        <v>Cartel PVC 21x29 cm zona vigilada, riesgo de irradiación</v>
      </c>
      <c r="C1079" s="4">
        <f>IFERROR(__xludf.DUMMYFUNCTION("""COMPUTED_VALUE"""),1.6)</f>
        <v>1.6</v>
      </c>
      <c r="D1079" s="4">
        <f>IFERROR(__xludf.DUMMYFUNCTION("""COMPUTED_VALUE"""),1.2)</f>
        <v>1.2</v>
      </c>
      <c r="E1079" s="4" t="str">
        <f>IFERROR(__xludf.DUMMYFUNCTION("""COMPUTED_VALUE"""),"Neto G.C.: 1,20 € (a partir de 1 uds.)")</f>
        <v>Neto G.C.: 1,20 € (a partir de 1 uds.)</v>
      </c>
    </row>
    <row r="1080">
      <c r="A1080" s="4" t="str">
        <f>IFERROR(__xludf.DUMMYFUNCTION("""COMPUTED_VALUE"""),"881")</f>
        <v>881</v>
      </c>
      <c r="B1080" s="4" t="str">
        <f>IFERROR(__xludf.DUMMYFUNCTION("""COMPUTED_VALUE"""),"Cartel PVC 40x30 cm zona vigilada, riesgo de contaminación")</f>
        <v>Cartel PVC 40x30 cm zona vigilada, riesgo de contaminación</v>
      </c>
      <c r="C1080" s="4">
        <f>IFERROR(__xludf.DUMMYFUNCTION("""COMPUTED_VALUE"""),2.48)</f>
        <v>2.48</v>
      </c>
      <c r="D1080" s="4">
        <f>IFERROR(__xludf.DUMMYFUNCTION("""COMPUTED_VALUE"""),1.75)</f>
        <v>1.75</v>
      </c>
      <c r="E1080" s="4" t="str">
        <f>IFERROR(__xludf.DUMMYFUNCTION("""COMPUTED_VALUE"""),"Neto G.C.: 1,75 € (a partir de 1 uds.)")</f>
        <v>Neto G.C.: 1,75 € (a partir de 1 uds.)</v>
      </c>
    </row>
    <row r="1081">
      <c r="A1081" s="4" t="str">
        <f>IFERROR(__xludf.DUMMYFUNCTION("""COMPUTED_VALUE"""),"0881A")</f>
        <v>0881A</v>
      </c>
      <c r="B1081" s="4" t="str">
        <f>IFERROR(__xludf.DUMMYFUNCTION("""COMPUTED_VALUE"""),"Adhesivo PVC 21x29 cm zona vigilada, riesgo de")</f>
        <v>Adhesivo PVC 21x29 cm zona vigilada, riesgo de</v>
      </c>
      <c r="C1081" s="4">
        <f>IFERROR(__xludf.DUMMYFUNCTION("""COMPUTED_VALUE"""),1.25)</f>
        <v>1.25</v>
      </c>
      <c r="D1081" s="4"/>
      <c r="E1081" s="4" t="str">
        <f>IFERROR(__xludf.DUMMYFUNCTION("""COMPUTED_VALUE"""),"Sin precio neto G.C.")</f>
        <v>Sin precio neto G.C.</v>
      </c>
    </row>
    <row r="1082">
      <c r="A1082" s="4" t="str">
        <f>IFERROR(__xludf.DUMMYFUNCTION("""COMPUTED_VALUE"""),"0881P")</f>
        <v>0881P</v>
      </c>
      <c r="B1082" s="4" t="str">
        <f>IFERROR(__xludf.DUMMYFUNCTION("""COMPUTED_VALUE"""),"Cartel PVC 21x29 cm zona vigilada, riesgo de contaminación")</f>
        <v>Cartel PVC 21x29 cm zona vigilada, riesgo de contaminación</v>
      </c>
      <c r="C1082" s="4">
        <f>IFERROR(__xludf.DUMMYFUNCTION("""COMPUTED_VALUE"""),1.47)</f>
        <v>1.47</v>
      </c>
      <c r="D1082" s="4">
        <f>IFERROR(__xludf.DUMMYFUNCTION("""COMPUTED_VALUE"""),1.2)</f>
        <v>1.2</v>
      </c>
      <c r="E1082" s="4" t="str">
        <f>IFERROR(__xludf.DUMMYFUNCTION("""COMPUTED_VALUE"""),"Neto G.C.: 1,20 € (a partir de 1 uds.)")</f>
        <v>Neto G.C.: 1,20 € (a partir de 1 uds.)</v>
      </c>
    </row>
    <row r="1083">
      <c r="A1083" s="4" t="str">
        <f>IFERROR(__xludf.DUMMYFUNCTION("""COMPUTED_VALUE"""),"882")</f>
        <v>882</v>
      </c>
      <c r="B1083" s="4" t="str">
        <f>IFERROR(__xludf.DUMMYFUNCTION("""COMPUTED_VALUE"""),"Cartel PVC 40x30 cm zona vigilada, riesgo de cont. e irrad.")</f>
        <v>Cartel PVC 40x30 cm zona vigilada, riesgo de cont. e irrad.</v>
      </c>
      <c r="C1083" s="4">
        <f>IFERROR(__xludf.DUMMYFUNCTION("""COMPUTED_VALUE"""),2.48)</f>
        <v>2.48</v>
      </c>
      <c r="D1083" s="4">
        <f>IFERROR(__xludf.DUMMYFUNCTION("""COMPUTED_VALUE"""),1.75)</f>
        <v>1.75</v>
      </c>
      <c r="E1083" s="4" t="str">
        <f>IFERROR(__xludf.DUMMYFUNCTION("""COMPUTED_VALUE"""),"Neto G.C.: 1,75 € (a partir de 1 uds.)")</f>
        <v>Neto G.C.: 1,75 € (a partir de 1 uds.)</v>
      </c>
    </row>
    <row r="1084">
      <c r="A1084" s="4" t="str">
        <f>IFERROR(__xludf.DUMMYFUNCTION("""COMPUTED_VALUE"""),"0882A")</f>
        <v>0882A</v>
      </c>
      <c r="B1084" s="4" t="str">
        <f>IFERROR(__xludf.DUMMYFUNCTION("""COMPUTED_VALUE"""),"Adhesivo PVC 21x29 cm zona vigilada, riesgo de cont. e irrad.")</f>
        <v>Adhesivo PVC 21x29 cm zona vigilada, riesgo de cont. e irrad.</v>
      </c>
      <c r="C1084" s="4">
        <f>IFERROR(__xludf.DUMMYFUNCTION("""COMPUTED_VALUE"""),1.25)</f>
        <v>1.25</v>
      </c>
      <c r="D1084" s="4"/>
      <c r="E1084" s="4" t="str">
        <f>IFERROR(__xludf.DUMMYFUNCTION("""COMPUTED_VALUE"""),"Sin precio neto G.C.")</f>
        <v>Sin precio neto G.C.</v>
      </c>
    </row>
    <row r="1085">
      <c r="A1085" s="4" t="str">
        <f>IFERROR(__xludf.DUMMYFUNCTION("""COMPUTED_VALUE"""),"0882P")</f>
        <v>0882P</v>
      </c>
      <c r="B1085" s="4" t="str">
        <f>IFERROR(__xludf.DUMMYFUNCTION("""COMPUTED_VALUE"""),"Cartel PVC 21x29 cm zona vigilada, riesgo de cont. e irrad.")</f>
        <v>Cartel PVC 21x29 cm zona vigilada, riesgo de cont. e irrad.</v>
      </c>
      <c r="C1085" s="4">
        <f>IFERROR(__xludf.DUMMYFUNCTION("""COMPUTED_VALUE"""),1.6)</f>
        <v>1.6</v>
      </c>
      <c r="D1085" s="4">
        <f>IFERROR(__xludf.DUMMYFUNCTION("""COMPUTED_VALUE"""),1.2)</f>
        <v>1.2</v>
      </c>
      <c r="E1085" s="4" t="str">
        <f>IFERROR(__xludf.DUMMYFUNCTION("""COMPUTED_VALUE"""),"Neto G.C.: 1,20 € (a partir de 1 uds.)")</f>
        <v>Neto G.C.: 1,20 € (a partir de 1 uds.)</v>
      </c>
    </row>
    <row r="1086">
      <c r="A1086" s="4" t="str">
        <f>IFERROR(__xludf.DUMMYFUNCTION("""COMPUTED_VALUE"""),"883")</f>
        <v>883</v>
      </c>
      <c r="B1086" s="4" t="str">
        <f>IFERROR(__xludf.DUMMYFUNCTION("""COMPUTED_VALUE"""),"Adhesivo PVC Grupo 0 Oxígeno 100x25 mm")</f>
        <v>Adhesivo PVC Grupo 0 Oxígeno 100x25 mm</v>
      </c>
      <c r="C1086" s="4">
        <f>IFERROR(__xludf.DUMMYFUNCTION("""COMPUTED_VALUE"""),1.0)</f>
        <v>1</v>
      </c>
      <c r="D1086" s="4"/>
      <c r="E1086" s="4" t="str">
        <f>IFERROR(__xludf.DUMMYFUNCTION("""COMPUTED_VALUE"""),"Sin precio neto G.C.")</f>
        <v>Sin precio neto G.C.</v>
      </c>
    </row>
    <row r="1087">
      <c r="A1087" s="4" t="str">
        <f>IFERROR(__xludf.DUMMYFUNCTION("""COMPUTED_VALUE"""),"0883A")</f>
        <v>0883A</v>
      </c>
      <c r="B1087" s="4" t="str">
        <f>IFERROR(__xludf.DUMMYFUNCTION("""COMPUTED_VALUE"""),"Adhesivo PVC Grupo 0 Oxígeno 200x50 mm")</f>
        <v>Adhesivo PVC Grupo 0 Oxígeno 200x50 mm</v>
      </c>
      <c r="C1087" s="4">
        <f>IFERROR(__xludf.DUMMYFUNCTION("""COMPUTED_VALUE"""),1.5)</f>
        <v>1.5</v>
      </c>
      <c r="D1087" s="4"/>
      <c r="E1087" s="4" t="str">
        <f>IFERROR(__xludf.DUMMYFUNCTION("""COMPUTED_VALUE"""),"Sin precio neto G.C.")</f>
        <v>Sin precio neto G.C.</v>
      </c>
    </row>
    <row r="1088">
      <c r="A1088" s="4" t="str">
        <f>IFERROR(__xludf.DUMMYFUNCTION("""COMPUTED_VALUE"""),"0883B")</f>
        <v>0883B</v>
      </c>
      <c r="B1088" s="4" t="str">
        <f>IFERROR(__xludf.DUMMYFUNCTION("""COMPUTED_VALUE"""),"Adhesivo PVC Grupo 0 Oxígeno 400x100 mm")</f>
        <v>Adhesivo PVC Grupo 0 Oxígeno 400x100 mm</v>
      </c>
      <c r="C1088" s="4">
        <f>IFERROR(__xludf.DUMMYFUNCTION("""COMPUTED_VALUE"""),2.0)</f>
        <v>2</v>
      </c>
      <c r="D1088" s="4"/>
      <c r="E1088" s="4" t="str">
        <f>IFERROR(__xludf.DUMMYFUNCTION("""COMPUTED_VALUE"""),"Sin precio neto G.C.")</f>
        <v>Sin precio neto G.C.</v>
      </c>
    </row>
    <row r="1089">
      <c r="A1089" s="4" t="str">
        <f>IFERROR(__xludf.DUMMYFUNCTION("""COMPUTED_VALUE"""),"884")</f>
        <v>884</v>
      </c>
      <c r="B1089" s="4" t="str">
        <f>IFERROR(__xludf.DUMMYFUNCTION("""COMPUTED_VALUE"""),"Adhesivo PVC Grupo 1 Agua 100x25 mm (todas las variantes)")</f>
        <v>Adhesivo PVC Grupo 1 Agua 100x25 mm (todas las variantes)</v>
      </c>
      <c r="C1089" s="4">
        <f>IFERROR(__xludf.DUMMYFUNCTION("""COMPUTED_VALUE"""),1.0)</f>
        <v>1</v>
      </c>
      <c r="D1089" s="4"/>
      <c r="E1089" s="4" t="str">
        <f>IFERROR(__xludf.DUMMYFUNCTION("""COMPUTED_VALUE"""),"Sin precio neto G.C.")</f>
        <v>Sin precio neto G.C.</v>
      </c>
    </row>
    <row r="1090">
      <c r="A1090" s="4" t="str">
        <f>IFERROR(__xludf.DUMMYFUNCTION("""COMPUTED_VALUE"""),"0884A")</f>
        <v>0884A</v>
      </c>
      <c r="B1090" s="4" t="str">
        <f>IFERROR(__xludf.DUMMYFUNCTION("""COMPUTED_VALUE"""),"Adhesivo PVC Grupo 1 Agua 200x50 mm (todas las variantes)")</f>
        <v>Adhesivo PVC Grupo 1 Agua 200x50 mm (todas las variantes)</v>
      </c>
      <c r="C1090" s="4">
        <f>IFERROR(__xludf.DUMMYFUNCTION("""COMPUTED_VALUE"""),1.5)</f>
        <v>1.5</v>
      </c>
      <c r="D1090" s="4"/>
      <c r="E1090" s="4" t="str">
        <f>IFERROR(__xludf.DUMMYFUNCTION("""COMPUTED_VALUE"""),"Sin precio neto G.C.")</f>
        <v>Sin precio neto G.C.</v>
      </c>
    </row>
    <row r="1091">
      <c r="A1091" s="4" t="str">
        <f>IFERROR(__xludf.DUMMYFUNCTION("""COMPUTED_VALUE"""),"0884B")</f>
        <v>0884B</v>
      </c>
      <c r="B1091" s="4" t="str">
        <f>IFERROR(__xludf.DUMMYFUNCTION("""COMPUTED_VALUE"""),"Adhesivo PVC Grupo 1 Agua 400x100 mm (todas las")</f>
        <v>Adhesivo PVC Grupo 1 Agua 400x100 mm (todas las</v>
      </c>
      <c r="C1091" s="4">
        <f>IFERROR(__xludf.DUMMYFUNCTION("""COMPUTED_VALUE"""),2.0)</f>
        <v>2</v>
      </c>
      <c r="D1091" s="4"/>
      <c r="E1091" s="4" t="str">
        <f>IFERROR(__xludf.DUMMYFUNCTION("""COMPUTED_VALUE"""),"Sin precio neto G.C.")</f>
        <v>Sin precio neto G.C.</v>
      </c>
    </row>
    <row r="1092">
      <c r="A1092" s="4" t="str">
        <f>IFERROR(__xludf.DUMMYFUNCTION("""COMPUTED_VALUE"""),"885")</f>
        <v>885</v>
      </c>
      <c r="B1092" s="4" t="str">
        <f>IFERROR(__xludf.DUMMYFUNCTION("""COMPUTED_VALUE"""),"Adhesivo PVC Grupo 2 Vapor de agua 100x25 mm (todas las")</f>
        <v>Adhesivo PVC Grupo 2 Vapor de agua 100x25 mm (todas las</v>
      </c>
      <c r="C1092" s="4">
        <f>IFERROR(__xludf.DUMMYFUNCTION("""COMPUTED_VALUE"""),1.0)</f>
        <v>1</v>
      </c>
      <c r="D1092" s="4"/>
      <c r="E1092" s="4" t="str">
        <f>IFERROR(__xludf.DUMMYFUNCTION("""COMPUTED_VALUE"""),"Sin precio neto G.C.")</f>
        <v>Sin precio neto G.C.</v>
      </c>
    </row>
    <row r="1093">
      <c r="A1093" s="4" t="str">
        <f>IFERROR(__xludf.DUMMYFUNCTION("""COMPUTED_VALUE"""),"0885A")</f>
        <v>0885A</v>
      </c>
      <c r="B1093" s="4" t="str">
        <f>IFERROR(__xludf.DUMMYFUNCTION("""COMPUTED_VALUE"""),"Adhesivo PVC Grupo 2 Vapor de agua 200x50 mm (todas las")</f>
        <v>Adhesivo PVC Grupo 2 Vapor de agua 200x50 mm (todas las</v>
      </c>
      <c r="C1093" s="4">
        <f>IFERROR(__xludf.DUMMYFUNCTION("""COMPUTED_VALUE"""),1.5)</f>
        <v>1.5</v>
      </c>
      <c r="D1093" s="4"/>
      <c r="E1093" s="4" t="str">
        <f>IFERROR(__xludf.DUMMYFUNCTION("""COMPUTED_VALUE"""),"Sin precio neto G.C.")</f>
        <v>Sin precio neto G.C.</v>
      </c>
    </row>
    <row r="1094">
      <c r="A1094" s="4" t="str">
        <f>IFERROR(__xludf.DUMMYFUNCTION("""COMPUTED_VALUE"""),"0885B")</f>
        <v>0885B</v>
      </c>
      <c r="B1094" s="4" t="str">
        <f>IFERROR(__xludf.DUMMYFUNCTION("""COMPUTED_VALUE"""),"Adhesivo PVC Grupo 2 Vapor de agua 400x100 mm (todas las")</f>
        <v>Adhesivo PVC Grupo 2 Vapor de agua 400x100 mm (todas las</v>
      </c>
      <c r="C1094" s="4">
        <f>IFERROR(__xludf.DUMMYFUNCTION("""COMPUTED_VALUE"""),2.0)</f>
        <v>2</v>
      </c>
      <c r="D1094" s="4"/>
      <c r="E1094" s="4" t="str">
        <f>IFERROR(__xludf.DUMMYFUNCTION("""COMPUTED_VALUE"""),"Sin precio neto G.C.")</f>
        <v>Sin precio neto G.C.</v>
      </c>
    </row>
    <row r="1095">
      <c r="A1095" s="4" t="str">
        <f>IFERROR(__xludf.DUMMYFUNCTION("""COMPUTED_VALUE"""),"886")</f>
        <v>886</v>
      </c>
      <c r="B1095" s="4" t="str">
        <f>IFERROR(__xludf.DUMMYFUNCTION("""COMPUTED_VALUE"""),"Adhesivo PVC Grupo 3 Aire 100x25 mm (todas las variantes)")</f>
        <v>Adhesivo PVC Grupo 3 Aire 100x25 mm (todas las variantes)</v>
      </c>
      <c r="C1095" s="4">
        <f>IFERROR(__xludf.DUMMYFUNCTION("""COMPUTED_VALUE"""),1.0)</f>
        <v>1</v>
      </c>
      <c r="D1095" s="4"/>
      <c r="E1095" s="4" t="str">
        <f>IFERROR(__xludf.DUMMYFUNCTION("""COMPUTED_VALUE"""),"Sin precio neto G.C.")</f>
        <v>Sin precio neto G.C.</v>
      </c>
    </row>
    <row r="1096">
      <c r="A1096" s="4" t="str">
        <f>IFERROR(__xludf.DUMMYFUNCTION("""COMPUTED_VALUE"""),"0886A")</f>
        <v>0886A</v>
      </c>
      <c r="B1096" s="4" t="str">
        <f>IFERROR(__xludf.DUMMYFUNCTION("""COMPUTED_VALUE"""),"Adhesivo PVC Grupo 3 Aire 200x50 mm (todas las variantes)")</f>
        <v>Adhesivo PVC Grupo 3 Aire 200x50 mm (todas las variantes)</v>
      </c>
      <c r="C1096" s="4">
        <f>IFERROR(__xludf.DUMMYFUNCTION("""COMPUTED_VALUE"""),2.0)</f>
        <v>2</v>
      </c>
      <c r="D1096" s="4"/>
      <c r="E1096" s="4" t="str">
        <f>IFERROR(__xludf.DUMMYFUNCTION("""COMPUTED_VALUE"""),"Sin precio neto G.C.")</f>
        <v>Sin precio neto G.C.</v>
      </c>
    </row>
    <row r="1097">
      <c r="A1097" s="4" t="str">
        <f>IFERROR(__xludf.DUMMYFUNCTION("""COMPUTED_VALUE"""),"0886B")</f>
        <v>0886B</v>
      </c>
      <c r="B1097" s="4" t="str">
        <f>IFERROR(__xludf.DUMMYFUNCTION("""COMPUTED_VALUE"""),"Adhesivo PVC Grupo 3 Aire 400x100 mm (todas las variantes)")</f>
        <v>Adhesivo PVC Grupo 3 Aire 400x100 mm (todas las variantes)</v>
      </c>
      <c r="C1097" s="4">
        <f>IFERROR(__xludf.DUMMYFUNCTION("""COMPUTED_VALUE"""),1.5)</f>
        <v>1.5</v>
      </c>
      <c r="D1097" s="4"/>
      <c r="E1097" s="4" t="str">
        <f>IFERROR(__xludf.DUMMYFUNCTION("""COMPUTED_VALUE"""),"Sin precio neto G.C.")</f>
        <v>Sin precio neto G.C.</v>
      </c>
    </row>
    <row r="1098">
      <c r="A1098" s="4" t="str">
        <f>IFERROR(__xludf.DUMMYFUNCTION("""COMPUTED_VALUE"""),"887")</f>
        <v>887</v>
      </c>
      <c r="B1098" s="4" t="str">
        <f>IFERROR(__xludf.DUMMYFUNCTION("""COMPUTED_VALUE"""),"Adhesivo PVC Grupo 4 Gases combustibles 100x25 mm (todas")</f>
        <v>Adhesivo PVC Grupo 4 Gases combustibles 100x25 mm (todas</v>
      </c>
      <c r="C1098" s="4">
        <f>IFERROR(__xludf.DUMMYFUNCTION("""COMPUTED_VALUE"""),1.0)</f>
        <v>1</v>
      </c>
      <c r="D1098" s="4"/>
      <c r="E1098" s="4" t="str">
        <f>IFERROR(__xludf.DUMMYFUNCTION("""COMPUTED_VALUE"""),"Sin precio neto G.C.")</f>
        <v>Sin precio neto G.C.</v>
      </c>
    </row>
    <row r="1099">
      <c r="A1099" s="4" t="str">
        <f>IFERROR(__xludf.DUMMYFUNCTION("""COMPUTED_VALUE"""),"0887A")</f>
        <v>0887A</v>
      </c>
      <c r="B1099" s="4" t="str">
        <f>IFERROR(__xludf.DUMMYFUNCTION("""COMPUTED_VALUE"""),"Adhesivo PVC Grupo 4 Gases combustibles 200x50 mm (todas")</f>
        <v>Adhesivo PVC Grupo 4 Gases combustibles 200x50 mm (todas</v>
      </c>
      <c r="C1099" s="4">
        <f>IFERROR(__xludf.DUMMYFUNCTION("""COMPUTED_VALUE"""),1.5)</f>
        <v>1.5</v>
      </c>
      <c r="D1099" s="4"/>
      <c r="E1099" s="4" t="str">
        <f>IFERROR(__xludf.DUMMYFUNCTION("""COMPUTED_VALUE"""),"Sin precio neto G.C.")</f>
        <v>Sin precio neto G.C.</v>
      </c>
    </row>
    <row r="1100">
      <c r="A1100" s="4" t="str">
        <f>IFERROR(__xludf.DUMMYFUNCTION("""COMPUTED_VALUE"""),"0887B")</f>
        <v>0887B</v>
      </c>
      <c r="B1100" s="4" t="str">
        <f>IFERROR(__xludf.DUMMYFUNCTION("""COMPUTED_VALUE"""),"Adhesivo PVC Grupo 4 Gases combustibles 400x100 mm")</f>
        <v>Adhesivo PVC Grupo 4 Gases combustibles 400x100 mm</v>
      </c>
      <c r="C1100" s="4">
        <f>IFERROR(__xludf.DUMMYFUNCTION("""COMPUTED_VALUE"""),2.0)</f>
        <v>2</v>
      </c>
      <c r="D1100" s="4"/>
      <c r="E1100" s="4" t="str">
        <f>IFERROR(__xludf.DUMMYFUNCTION("""COMPUTED_VALUE"""),"Sin precio neto G.C.")</f>
        <v>Sin precio neto G.C.</v>
      </c>
    </row>
    <row r="1101">
      <c r="A1101" s="4" t="str">
        <f>IFERROR(__xludf.DUMMYFUNCTION("""COMPUTED_VALUE"""),"888")</f>
        <v>888</v>
      </c>
      <c r="B1101" s="4" t="str">
        <f>IFERROR(__xludf.DUMMYFUNCTION("""COMPUTED_VALUE"""),"Adhesivo PVC Grupo 4 Gases combustibles 100x25 mm B")</f>
        <v>Adhesivo PVC Grupo 4 Gases combustibles 100x25 mm B</v>
      </c>
      <c r="C1101" s="4">
        <f>IFERROR(__xludf.DUMMYFUNCTION("""COMPUTED_VALUE"""),1.0)</f>
        <v>1</v>
      </c>
      <c r="D1101" s="4"/>
      <c r="E1101" s="4" t="str">
        <f>IFERROR(__xludf.DUMMYFUNCTION("""COMPUTED_VALUE"""),"Sin precio neto G.C.")</f>
        <v>Sin precio neto G.C.</v>
      </c>
    </row>
    <row r="1102">
      <c r="A1102" s="4" t="str">
        <f>IFERROR(__xludf.DUMMYFUNCTION("""COMPUTED_VALUE"""),"0888A")</f>
        <v>0888A</v>
      </c>
      <c r="B1102" s="4" t="str">
        <f>IFERROR(__xludf.DUMMYFUNCTION("""COMPUTED_VALUE"""),"Adhesivo PVC Grupo 4 Gases combustibles 200x50 mm")</f>
        <v>Adhesivo PVC Grupo 4 Gases combustibles 200x50 mm</v>
      </c>
      <c r="C1102" s="4">
        <f>IFERROR(__xludf.DUMMYFUNCTION("""COMPUTED_VALUE"""),1.5)</f>
        <v>1.5</v>
      </c>
      <c r="D1102" s="4"/>
      <c r="E1102" s="4" t="str">
        <f>IFERROR(__xludf.DUMMYFUNCTION("""COMPUTED_VALUE"""),"Sin precio neto G.C.")</f>
        <v>Sin precio neto G.C.</v>
      </c>
    </row>
    <row r="1103">
      <c r="A1103" s="4" t="str">
        <f>IFERROR(__xludf.DUMMYFUNCTION("""COMPUTED_VALUE"""),"0888B")</f>
        <v>0888B</v>
      </c>
      <c r="B1103" s="4" t="str">
        <f>IFERROR(__xludf.DUMMYFUNCTION("""COMPUTED_VALUE"""),"Adhesivo PVC Grupo 4 Gases combustibles 400x100 mm")</f>
        <v>Adhesivo PVC Grupo 4 Gases combustibles 400x100 mm</v>
      </c>
      <c r="C1103" s="4">
        <f>IFERROR(__xludf.DUMMYFUNCTION("""COMPUTED_VALUE"""),2.0)</f>
        <v>2</v>
      </c>
      <c r="D1103" s="4"/>
      <c r="E1103" s="4" t="str">
        <f>IFERROR(__xludf.DUMMYFUNCTION("""COMPUTED_VALUE"""),"Sin precio neto G.C.")</f>
        <v>Sin precio neto G.C.</v>
      </c>
    </row>
    <row r="1104">
      <c r="A1104" s="4" t="str">
        <f>IFERROR(__xludf.DUMMYFUNCTION("""COMPUTED_VALUE"""),"889")</f>
        <v>889</v>
      </c>
      <c r="B1104" s="4" t="str">
        <f>IFERROR(__xludf.DUMMYFUNCTION("""COMPUTED_VALUE"""),"Adhesivo PVC Grupo 5 Gases no combustibles 100x25 mm")</f>
        <v>Adhesivo PVC Grupo 5 Gases no combustibles 100x25 mm</v>
      </c>
      <c r="C1104" s="4">
        <f>IFERROR(__xludf.DUMMYFUNCTION("""COMPUTED_VALUE"""),1.0)</f>
        <v>1</v>
      </c>
      <c r="D1104" s="4"/>
      <c r="E1104" s="4" t="str">
        <f>IFERROR(__xludf.DUMMYFUNCTION("""COMPUTED_VALUE"""),"Sin precio neto G.C.")</f>
        <v>Sin precio neto G.C.</v>
      </c>
    </row>
    <row r="1105">
      <c r="A1105" s="4" t="str">
        <f>IFERROR(__xludf.DUMMYFUNCTION("""COMPUTED_VALUE"""),"0889A")</f>
        <v>0889A</v>
      </c>
      <c r="B1105" s="4" t="str">
        <f>IFERROR(__xludf.DUMMYFUNCTION("""COMPUTED_VALUE"""),"Adhesivo PVC Grupo 5 Gases no combustibles 200x50 mm")</f>
        <v>Adhesivo PVC Grupo 5 Gases no combustibles 200x50 mm</v>
      </c>
      <c r="C1105" s="4">
        <f>IFERROR(__xludf.DUMMYFUNCTION("""COMPUTED_VALUE"""),1.5)</f>
        <v>1.5</v>
      </c>
      <c r="D1105" s="4"/>
      <c r="E1105" s="4" t="str">
        <f>IFERROR(__xludf.DUMMYFUNCTION("""COMPUTED_VALUE"""),"Sin precio neto G.C.")</f>
        <v>Sin precio neto G.C.</v>
      </c>
    </row>
    <row r="1106">
      <c r="A1106" s="4" t="str">
        <f>IFERROR(__xludf.DUMMYFUNCTION("""COMPUTED_VALUE"""),"0889B")</f>
        <v>0889B</v>
      </c>
      <c r="B1106" s="4" t="str">
        <f>IFERROR(__xludf.DUMMYFUNCTION("""COMPUTED_VALUE"""),"Adhesivo PVC Grupo 5 Gases no combustibles 400x100 mm")</f>
        <v>Adhesivo PVC Grupo 5 Gases no combustibles 400x100 mm</v>
      </c>
      <c r="C1106" s="4">
        <f>IFERROR(__xludf.DUMMYFUNCTION("""COMPUTED_VALUE"""),2.0)</f>
        <v>2</v>
      </c>
      <c r="D1106" s="4"/>
      <c r="E1106" s="4" t="str">
        <f>IFERROR(__xludf.DUMMYFUNCTION("""COMPUTED_VALUE"""),"Sin precio neto G.C.")</f>
        <v>Sin precio neto G.C.</v>
      </c>
    </row>
    <row r="1107">
      <c r="A1107" s="4" t="str">
        <f>IFERROR(__xludf.DUMMYFUNCTION("""COMPUTED_VALUE"""),"890")</f>
        <v>890</v>
      </c>
      <c r="B1107" s="4" t="str">
        <f>IFERROR(__xludf.DUMMYFUNCTION("""COMPUTED_VALUE"""),"Adhesivo PVC Grupo 5 Gases no combustibles 100x25 mm")</f>
        <v>Adhesivo PVC Grupo 5 Gases no combustibles 100x25 mm</v>
      </c>
      <c r="C1107" s="4">
        <f>IFERROR(__xludf.DUMMYFUNCTION("""COMPUTED_VALUE"""),1.0)</f>
        <v>1</v>
      </c>
      <c r="D1107" s="4"/>
      <c r="E1107" s="4" t="str">
        <f>IFERROR(__xludf.DUMMYFUNCTION("""COMPUTED_VALUE"""),"Sin precio neto G.C.")</f>
        <v>Sin precio neto G.C.</v>
      </c>
    </row>
    <row r="1108">
      <c r="A1108" s="4" t="str">
        <f>IFERROR(__xludf.DUMMYFUNCTION("""COMPUTED_VALUE"""),"0890A")</f>
        <v>0890A</v>
      </c>
      <c r="B1108" s="4" t="str">
        <f>IFERROR(__xludf.DUMMYFUNCTION("""COMPUTED_VALUE"""),"Adhesivo PVC Grupo 5 Gases no combustibles 200x50 mm")</f>
        <v>Adhesivo PVC Grupo 5 Gases no combustibles 200x50 mm</v>
      </c>
      <c r="C1108" s="4">
        <f>IFERROR(__xludf.DUMMYFUNCTION("""COMPUTED_VALUE"""),1.5)</f>
        <v>1.5</v>
      </c>
      <c r="D1108" s="4"/>
      <c r="E1108" s="4" t="str">
        <f>IFERROR(__xludf.DUMMYFUNCTION("""COMPUTED_VALUE"""),"Sin precio neto G.C.")</f>
        <v>Sin precio neto G.C.</v>
      </c>
    </row>
    <row r="1109">
      <c r="A1109" s="4" t="str">
        <f>IFERROR(__xludf.DUMMYFUNCTION("""COMPUTED_VALUE"""),"0890B")</f>
        <v>0890B</v>
      </c>
      <c r="B1109" s="4" t="str">
        <f>IFERROR(__xludf.DUMMYFUNCTION("""COMPUTED_VALUE"""),"Adhesivo PVC Grupo 5 Gases no combustibles 400x100 mm")</f>
        <v>Adhesivo PVC Grupo 5 Gases no combustibles 400x100 mm</v>
      </c>
      <c r="C1109" s="4">
        <f>IFERROR(__xludf.DUMMYFUNCTION("""COMPUTED_VALUE"""),2.0)</f>
        <v>2</v>
      </c>
      <c r="D1109" s="4"/>
      <c r="E1109" s="4" t="str">
        <f>IFERROR(__xludf.DUMMYFUNCTION("""COMPUTED_VALUE"""),"Sin precio neto G.C.")</f>
        <v>Sin precio neto G.C.</v>
      </c>
    </row>
    <row r="1110">
      <c r="A1110" s="4" t="str">
        <f>IFERROR(__xludf.DUMMYFUNCTION("""COMPUTED_VALUE"""),"891")</f>
        <v>891</v>
      </c>
      <c r="B1110" s="4" t="str">
        <f>IFERROR(__xludf.DUMMYFUNCTION("""COMPUTED_VALUE"""),"Adhesivo PVC Grupo 6 Ácidos 100x25 mm (todas las")</f>
        <v>Adhesivo PVC Grupo 6 Ácidos 100x25 mm (todas las</v>
      </c>
      <c r="C1110" s="4">
        <f>IFERROR(__xludf.DUMMYFUNCTION("""COMPUTED_VALUE"""),1.0)</f>
        <v>1</v>
      </c>
      <c r="D1110" s="4"/>
      <c r="E1110" s="4" t="str">
        <f>IFERROR(__xludf.DUMMYFUNCTION("""COMPUTED_VALUE"""),"Sin precio neto G.C.")</f>
        <v>Sin precio neto G.C.</v>
      </c>
    </row>
    <row r="1111">
      <c r="A1111" s="4" t="str">
        <f>IFERROR(__xludf.DUMMYFUNCTION("""COMPUTED_VALUE"""),"0891A")</f>
        <v>0891A</v>
      </c>
      <c r="B1111" s="4" t="str">
        <f>IFERROR(__xludf.DUMMYFUNCTION("""COMPUTED_VALUE"""),"Adhesivo PVC Grupo 6 Ácidos 200x50 mm (todas las")</f>
        <v>Adhesivo PVC Grupo 6 Ácidos 200x50 mm (todas las</v>
      </c>
      <c r="C1111" s="4">
        <f>IFERROR(__xludf.DUMMYFUNCTION("""COMPUTED_VALUE"""),1.5)</f>
        <v>1.5</v>
      </c>
      <c r="D1111" s="4"/>
      <c r="E1111" s="4" t="str">
        <f>IFERROR(__xludf.DUMMYFUNCTION("""COMPUTED_VALUE"""),"Sin precio neto G.C.")</f>
        <v>Sin precio neto G.C.</v>
      </c>
    </row>
    <row r="1112">
      <c r="A1112" s="4" t="str">
        <f>IFERROR(__xludf.DUMMYFUNCTION("""COMPUTED_VALUE"""),"0891B")</f>
        <v>0891B</v>
      </c>
      <c r="B1112" s="4" t="str">
        <f>IFERROR(__xludf.DUMMYFUNCTION("""COMPUTED_VALUE"""),"Adhesivo PVC Grupo 6 Ácidos 400x100 mm (todas las")</f>
        <v>Adhesivo PVC Grupo 6 Ácidos 400x100 mm (todas las</v>
      </c>
      <c r="C1112" s="4">
        <f>IFERROR(__xludf.DUMMYFUNCTION("""COMPUTED_VALUE"""),2.0)</f>
        <v>2</v>
      </c>
      <c r="D1112" s="4"/>
      <c r="E1112" s="4" t="str">
        <f>IFERROR(__xludf.DUMMYFUNCTION("""COMPUTED_VALUE"""),"Sin precio neto G.C.")</f>
        <v>Sin precio neto G.C.</v>
      </c>
    </row>
    <row r="1113">
      <c r="A1113" s="4" t="str">
        <f>IFERROR(__xludf.DUMMYFUNCTION("""COMPUTED_VALUE"""),"892")</f>
        <v>892</v>
      </c>
      <c r="B1113" s="4" t="str">
        <f>IFERROR(__xludf.DUMMYFUNCTION("""COMPUTED_VALUE"""),"Adhesivo PVC Grupo 7 Lejías 100x25 mm (todas las variantes)")</f>
        <v>Adhesivo PVC Grupo 7 Lejías 100x25 mm (todas las variantes)</v>
      </c>
      <c r="C1113" s="4">
        <f>IFERROR(__xludf.DUMMYFUNCTION("""COMPUTED_VALUE"""),1.0)</f>
        <v>1</v>
      </c>
      <c r="D1113" s="4"/>
      <c r="E1113" s="4" t="str">
        <f>IFERROR(__xludf.DUMMYFUNCTION("""COMPUTED_VALUE"""),"Sin precio neto G.C.")</f>
        <v>Sin precio neto G.C.</v>
      </c>
    </row>
    <row r="1114">
      <c r="A1114" s="4" t="str">
        <f>IFERROR(__xludf.DUMMYFUNCTION("""COMPUTED_VALUE"""),"0892A")</f>
        <v>0892A</v>
      </c>
      <c r="B1114" s="4" t="str">
        <f>IFERROR(__xludf.DUMMYFUNCTION("""COMPUTED_VALUE"""),"Adhesivo PVC Grupo 7 Lejías 200x50 mm (todas las")</f>
        <v>Adhesivo PVC Grupo 7 Lejías 200x50 mm (todas las</v>
      </c>
      <c r="C1114" s="4">
        <f>IFERROR(__xludf.DUMMYFUNCTION("""COMPUTED_VALUE"""),1.5)</f>
        <v>1.5</v>
      </c>
      <c r="D1114" s="4"/>
      <c r="E1114" s="4" t="str">
        <f>IFERROR(__xludf.DUMMYFUNCTION("""COMPUTED_VALUE"""),"Sin precio neto G.C.")</f>
        <v>Sin precio neto G.C.</v>
      </c>
    </row>
    <row r="1115">
      <c r="A1115" s="4" t="str">
        <f>IFERROR(__xludf.DUMMYFUNCTION("""COMPUTED_VALUE"""),"0892B")</f>
        <v>0892B</v>
      </c>
      <c r="B1115" s="4" t="str">
        <f>IFERROR(__xludf.DUMMYFUNCTION("""COMPUTED_VALUE"""),"Adhesivo PVC Grupo 7 Lejías 400x100 mm (todas las")</f>
        <v>Adhesivo PVC Grupo 7 Lejías 400x100 mm (todas las</v>
      </c>
      <c r="C1115" s="4">
        <f>IFERROR(__xludf.DUMMYFUNCTION("""COMPUTED_VALUE"""),2.0)</f>
        <v>2</v>
      </c>
      <c r="D1115" s="4"/>
      <c r="E1115" s="4" t="str">
        <f>IFERROR(__xludf.DUMMYFUNCTION("""COMPUTED_VALUE"""),"Sin precio neto G.C.")</f>
        <v>Sin precio neto G.C.</v>
      </c>
    </row>
    <row r="1116">
      <c r="A1116" s="4" t="str">
        <f>IFERROR(__xludf.DUMMYFUNCTION("""COMPUTED_VALUE"""),"893")</f>
        <v>893</v>
      </c>
      <c r="B1116" s="4" t="str">
        <f>IFERROR(__xludf.DUMMYFUNCTION("""COMPUTED_VALUE"""),"Adhesivo PVC Grupo 8 Líquidos combustibles 100x25 mm")</f>
        <v>Adhesivo PVC Grupo 8 Líquidos combustibles 100x25 mm</v>
      </c>
      <c r="C1116" s="4">
        <f>IFERROR(__xludf.DUMMYFUNCTION("""COMPUTED_VALUE"""),1.0)</f>
        <v>1</v>
      </c>
      <c r="D1116" s="4"/>
      <c r="E1116" s="4" t="str">
        <f>IFERROR(__xludf.DUMMYFUNCTION("""COMPUTED_VALUE"""),"Sin precio neto G.C.")</f>
        <v>Sin precio neto G.C.</v>
      </c>
    </row>
    <row r="1117">
      <c r="A1117" s="4" t="str">
        <f>IFERROR(__xludf.DUMMYFUNCTION("""COMPUTED_VALUE"""),"0893A")</f>
        <v>0893A</v>
      </c>
      <c r="B1117" s="4" t="str">
        <f>IFERROR(__xludf.DUMMYFUNCTION("""COMPUTED_VALUE"""),"Adhesivo PVC Grupo 8 Líquidos combustibles 200x50 mm")</f>
        <v>Adhesivo PVC Grupo 8 Líquidos combustibles 200x50 mm</v>
      </c>
      <c r="C1117" s="4">
        <f>IFERROR(__xludf.DUMMYFUNCTION("""COMPUTED_VALUE"""),1.5)</f>
        <v>1.5</v>
      </c>
      <c r="D1117" s="4"/>
      <c r="E1117" s="4" t="str">
        <f>IFERROR(__xludf.DUMMYFUNCTION("""COMPUTED_VALUE"""),"Sin precio neto G.C.")</f>
        <v>Sin precio neto G.C.</v>
      </c>
    </row>
    <row r="1118">
      <c r="A1118" s="4" t="str">
        <f>IFERROR(__xludf.DUMMYFUNCTION("""COMPUTED_VALUE"""),"0893B")</f>
        <v>0893B</v>
      </c>
      <c r="B1118" s="4" t="str">
        <f>IFERROR(__xludf.DUMMYFUNCTION("""COMPUTED_VALUE"""),"Adhesivo PVC Grupo 8 Líquidos combustibles 400x100 mm")</f>
        <v>Adhesivo PVC Grupo 8 Líquidos combustibles 400x100 mm</v>
      </c>
      <c r="C1118" s="4">
        <f>IFERROR(__xludf.DUMMYFUNCTION("""COMPUTED_VALUE"""),2.0)</f>
        <v>2</v>
      </c>
      <c r="D1118" s="4"/>
      <c r="E1118" s="4" t="str">
        <f>IFERROR(__xludf.DUMMYFUNCTION("""COMPUTED_VALUE"""),"Sin precio neto G.C.")</f>
        <v>Sin precio neto G.C.</v>
      </c>
    </row>
    <row r="1119">
      <c r="A1119" s="4" t="str">
        <f>IFERROR(__xludf.DUMMYFUNCTION("""COMPUTED_VALUE"""),"894")</f>
        <v>894</v>
      </c>
      <c r="B1119" s="4" t="str">
        <f>IFERROR(__xludf.DUMMYFUNCTION("""COMPUTED_VALUE"""),"Adhesivo PVC Grupo 8 Líquidos combustibles 100x25 mm B")</f>
        <v>Adhesivo PVC Grupo 8 Líquidos combustibles 100x25 mm B</v>
      </c>
      <c r="C1119" s="4">
        <f>IFERROR(__xludf.DUMMYFUNCTION("""COMPUTED_VALUE"""),1.0)</f>
        <v>1</v>
      </c>
      <c r="D1119" s="4"/>
      <c r="E1119" s="4" t="str">
        <f>IFERROR(__xludf.DUMMYFUNCTION("""COMPUTED_VALUE"""),"Sin precio neto G.C.")</f>
        <v>Sin precio neto G.C.</v>
      </c>
    </row>
    <row r="1120">
      <c r="A1120" s="4" t="str">
        <f>IFERROR(__xludf.DUMMYFUNCTION("""COMPUTED_VALUE"""),"0894A")</f>
        <v>0894A</v>
      </c>
      <c r="B1120" s="4" t="str">
        <f>IFERROR(__xludf.DUMMYFUNCTION("""COMPUTED_VALUE"""),"Adhesivo PVC Grupo 8 Líquidos combustibles 200x50 mm B")</f>
        <v>Adhesivo PVC Grupo 8 Líquidos combustibles 200x50 mm B</v>
      </c>
      <c r="C1120" s="4">
        <f>IFERROR(__xludf.DUMMYFUNCTION("""COMPUTED_VALUE"""),1.5)</f>
        <v>1.5</v>
      </c>
      <c r="D1120" s="4"/>
      <c r="E1120" s="4" t="str">
        <f>IFERROR(__xludf.DUMMYFUNCTION("""COMPUTED_VALUE"""),"Sin precio neto G.C.")</f>
        <v>Sin precio neto G.C.</v>
      </c>
    </row>
    <row r="1121">
      <c r="A1121" s="4" t="str">
        <f>IFERROR(__xludf.DUMMYFUNCTION("""COMPUTED_VALUE"""),"0894B")</f>
        <v>0894B</v>
      </c>
      <c r="B1121" s="4" t="str">
        <f>IFERROR(__xludf.DUMMYFUNCTION("""COMPUTED_VALUE"""),"Adhesivo PVC Grupo 8 Líquidos combustibles 400x100 mm")</f>
        <v>Adhesivo PVC Grupo 8 Líquidos combustibles 400x100 mm</v>
      </c>
      <c r="C1121" s="4">
        <f>IFERROR(__xludf.DUMMYFUNCTION("""COMPUTED_VALUE"""),2.0)</f>
        <v>2</v>
      </c>
      <c r="D1121" s="4"/>
      <c r="E1121" s="4" t="str">
        <f>IFERROR(__xludf.DUMMYFUNCTION("""COMPUTED_VALUE"""),"Sin precio neto G.C.")</f>
        <v>Sin precio neto G.C.</v>
      </c>
    </row>
    <row r="1122">
      <c r="A1122" s="4" t="str">
        <f>IFERROR(__xludf.DUMMYFUNCTION("""COMPUTED_VALUE"""),"895")</f>
        <v>895</v>
      </c>
      <c r="B1122" s="4" t="str">
        <f>IFERROR(__xludf.DUMMYFUNCTION("""COMPUTED_VALUE"""),"Adhesivo PVC Grupo 9 Líquidos no combustibles 100x25 mm")</f>
        <v>Adhesivo PVC Grupo 9 Líquidos no combustibles 100x25 mm</v>
      </c>
      <c r="C1122" s="4">
        <f>IFERROR(__xludf.DUMMYFUNCTION("""COMPUTED_VALUE"""),1.0)</f>
        <v>1</v>
      </c>
      <c r="D1122" s="4"/>
      <c r="E1122" s="4" t="str">
        <f>IFERROR(__xludf.DUMMYFUNCTION("""COMPUTED_VALUE"""),"Sin precio neto G.C.")</f>
        <v>Sin precio neto G.C.</v>
      </c>
    </row>
    <row r="1123">
      <c r="A1123" s="4" t="str">
        <f>IFERROR(__xludf.DUMMYFUNCTION("""COMPUTED_VALUE"""),"0895A")</f>
        <v>0895A</v>
      </c>
      <c r="B1123" s="4" t="str">
        <f>IFERROR(__xludf.DUMMYFUNCTION("""COMPUTED_VALUE"""),"Adhesivo PVC Grupo 9 Líquidos no combustibles 200x50 mm")</f>
        <v>Adhesivo PVC Grupo 9 Líquidos no combustibles 200x50 mm</v>
      </c>
      <c r="C1123" s="4">
        <f>IFERROR(__xludf.DUMMYFUNCTION("""COMPUTED_VALUE"""),1.5)</f>
        <v>1.5</v>
      </c>
      <c r="D1123" s="4"/>
      <c r="E1123" s="4" t="str">
        <f>IFERROR(__xludf.DUMMYFUNCTION("""COMPUTED_VALUE"""),"Sin precio neto G.C.")</f>
        <v>Sin precio neto G.C.</v>
      </c>
    </row>
    <row r="1124">
      <c r="A1124" s="4" t="str">
        <f>IFERROR(__xludf.DUMMYFUNCTION("""COMPUTED_VALUE"""),"0895B")</f>
        <v>0895B</v>
      </c>
      <c r="B1124" s="4" t="str">
        <f>IFERROR(__xludf.DUMMYFUNCTION("""COMPUTED_VALUE"""),"Adhesivo PVC Grupo 9 Líquidos no combustibles 400x100 mm")</f>
        <v>Adhesivo PVC Grupo 9 Líquidos no combustibles 400x100 mm</v>
      </c>
      <c r="C1124" s="4">
        <f>IFERROR(__xludf.DUMMYFUNCTION("""COMPUTED_VALUE"""),2.0)</f>
        <v>2</v>
      </c>
      <c r="D1124" s="4"/>
      <c r="E1124" s="4" t="str">
        <f>IFERROR(__xludf.DUMMYFUNCTION("""COMPUTED_VALUE"""),"Sin precio neto G.C.")</f>
        <v>Sin precio neto G.C.</v>
      </c>
    </row>
    <row r="1125">
      <c r="A1125" s="4" t="str">
        <f>IFERROR(__xludf.DUMMYFUNCTION("""COMPUTED_VALUE"""),"896")</f>
        <v>896</v>
      </c>
      <c r="B1125" s="4" t="str">
        <f>IFERROR(__xludf.DUMMYFUNCTION("""COMPUTED_VALUE"""),"Adhesivo PVC Grupo 9 Líquidos no combustibles 100x25 mm")</f>
        <v>Adhesivo PVC Grupo 9 Líquidos no combustibles 100x25 mm</v>
      </c>
      <c r="C1125" s="4">
        <f>IFERROR(__xludf.DUMMYFUNCTION("""COMPUTED_VALUE"""),1.0)</f>
        <v>1</v>
      </c>
      <c r="D1125" s="4"/>
      <c r="E1125" s="4" t="str">
        <f>IFERROR(__xludf.DUMMYFUNCTION("""COMPUTED_VALUE"""),"Sin precio neto G.C.")</f>
        <v>Sin precio neto G.C.</v>
      </c>
    </row>
    <row r="1126">
      <c r="A1126" s="4" t="str">
        <f>IFERROR(__xludf.DUMMYFUNCTION("""COMPUTED_VALUE"""),"0896A")</f>
        <v>0896A</v>
      </c>
      <c r="B1126" s="4" t="str">
        <f>IFERROR(__xludf.DUMMYFUNCTION("""COMPUTED_VALUE"""),"Adhesivo PVC Grupo 9 Líquidos no combustibles 200x50 mm")</f>
        <v>Adhesivo PVC Grupo 9 Líquidos no combustibles 200x50 mm</v>
      </c>
      <c r="C1126" s="4">
        <f>IFERROR(__xludf.DUMMYFUNCTION("""COMPUTED_VALUE"""),2.0)</f>
        <v>2</v>
      </c>
      <c r="D1126" s="4"/>
      <c r="E1126" s="4" t="str">
        <f>IFERROR(__xludf.DUMMYFUNCTION("""COMPUTED_VALUE"""),"Sin precio neto G.C.")</f>
        <v>Sin precio neto G.C.</v>
      </c>
    </row>
    <row r="1127">
      <c r="A1127" s="4" t="str">
        <f>IFERROR(__xludf.DUMMYFUNCTION("""COMPUTED_VALUE"""),"0896B")</f>
        <v>0896B</v>
      </c>
      <c r="B1127" s="4" t="str">
        <f>IFERROR(__xludf.DUMMYFUNCTION("""COMPUTED_VALUE"""),"Adhesivo PVC Grupo 9 Líquidos no combustibles 400x100 mm")</f>
        <v>Adhesivo PVC Grupo 9 Líquidos no combustibles 400x100 mm</v>
      </c>
      <c r="C1127" s="4">
        <f>IFERROR(__xludf.DUMMYFUNCTION("""COMPUTED_VALUE"""),2.0)</f>
        <v>2</v>
      </c>
      <c r="D1127" s="4"/>
      <c r="E1127" s="4" t="str">
        <f>IFERROR(__xludf.DUMMYFUNCTION("""COMPUTED_VALUE"""),"Sin precio neto G.C.")</f>
        <v>Sin precio neto G.C.</v>
      </c>
    </row>
    <row r="1128">
      <c r="A1128" s="4" t="str">
        <f>IFERROR(__xludf.DUMMYFUNCTION("""COMPUTED_VALUE"""),"1028/A/BAT")</f>
        <v>1028/A/BAT</v>
      </c>
      <c r="B1128" s="4" t="str">
        <f>IFERROR(__xludf.DUMMYFUNCTION("""COMPUTED_VALUE"""),"Baliza Powerflare azul c/cargador a 220v y 12 v")</f>
        <v>Baliza Powerflare azul c/cargador a 220v y 12 v</v>
      </c>
      <c r="C1128" s="4">
        <f>IFERROR(__xludf.DUMMYFUNCTION("""COMPUTED_VALUE"""),15.75)</f>
        <v>15.75</v>
      </c>
      <c r="D1128" s="4"/>
      <c r="E1128" s="4" t="str">
        <f>IFERROR(__xludf.DUMMYFUNCTION("""COMPUTED_VALUE"""),"Sin precio neto G.C.")</f>
        <v>Sin precio neto G.C.</v>
      </c>
    </row>
    <row r="1129">
      <c r="A1129" s="4" t="str">
        <f>IFERROR(__xludf.DUMMYFUNCTION("""COMPUTED_VALUE"""),"1028/AZUL")</f>
        <v>1028/AZUL</v>
      </c>
      <c r="B1129" s="4" t="str">
        <f>IFERROR(__xludf.DUMMYFUNCTION("""COMPUTED_VALUE"""),"Baliza powerflare azul ( repuesto )")</f>
        <v>Baliza powerflare azul ( repuesto )</v>
      </c>
      <c r="C1129" s="4">
        <f>IFERROR(__xludf.DUMMYFUNCTION("""COMPUTED_VALUE"""),9.45)</f>
        <v>9.45</v>
      </c>
      <c r="D1129" s="4"/>
      <c r="E1129" s="4" t="str">
        <f>IFERROR(__xludf.DUMMYFUNCTION("""COMPUTED_VALUE"""),"Sin precio neto G.C.")</f>
        <v>Sin precio neto G.C.</v>
      </c>
    </row>
    <row r="1130">
      <c r="A1130" s="4" t="str">
        <f>IFERROR(__xludf.DUMMYFUNCTION("""COMPUTED_VALUE"""),"1028/N/BAT")</f>
        <v>1028/N/BAT</v>
      </c>
      <c r="B1130" s="4" t="str">
        <f>IFERROR(__xludf.DUMMYFUNCTION("""COMPUTED_VALUE"""),"Baliza Powerflare naranja c/cargador a 220v y 12 v")</f>
        <v>Baliza Powerflare naranja c/cargador a 220v y 12 v</v>
      </c>
      <c r="C1130" s="4">
        <f>IFERROR(__xludf.DUMMYFUNCTION("""COMPUTED_VALUE"""),15.75)</f>
        <v>15.75</v>
      </c>
      <c r="D1130" s="4"/>
      <c r="E1130" s="4" t="str">
        <f>IFERROR(__xludf.DUMMYFUNCTION("""COMPUTED_VALUE"""),"Sin precio neto G.C.")</f>
        <v>Sin precio neto G.C.</v>
      </c>
    </row>
    <row r="1131">
      <c r="A1131" s="4" t="str">
        <f>IFERROR(__xludf.DUMMYFUNCTION("""COMPUTED_VALUE"""),"1028/NARANJA")</f>
        <v>1028/NARANJA</v>
      </c>
      <c r="B1131" s="4" t="str">
        <f>IFERROR(__xludf.DUMMYFUNCTION("""COMPUTED_VALUE"""),"Baliza powerflare naranja ( repuesto )")</f>
        <v>Baliza powerflare naranja ( repuesto )</v>
      </c>
      <c r="C1131" s="4">
        <f>IFERROR(__xludf.DUMMYFUNCTION("""COMPUTED_VALUE"""),9.45)</f>
        <v>9.45</v>
      </c>
      <c r="D1131" s="4"/>
      <c r="E1131" s="4" t="str">
        <f>IFERROR(__xludf.DUMMYFUNCTION("""COMPUTED_VALUE"""),"Sin precio neto G.C.")</f>
        <v>Sin precio neto G.C.</v>
      </c>
    </row>
    <row r="1132">
      <c r="A1132" s="4" t="str">
        <f>IFERROR(__xludf.DUMMYFUNCTION("""COMPUTED_VALUE"""),"1029")</f>
        <v>1029</v>
      </c>
      <c r="B1132" s="4" t="str">
        <f>IFERROR(__xludf.DUMMYFUNCTION("""COMPUTED_VALUE"""),"Maletín 6 uds baliza NARANJA led powerflare con cargador")</f>
        <v>Maletín 6 uds baliza NARANJA led powerflare con cargador</v>
      </c>
      <c r="C1132" s="4">
        <f>IFERROR(__xludf.DUMMYFUNCTION("""COMPUTED_VALUE"""),99.5)</f>
        <v>99.5</v>
      </c>
      <c r="D1132" s="4"/>
      <c r="E1132" s="4" t="str">
        <f>IFERROR(__xludf.DUMMYFUNCTION("""COMPUTED_VALUE"""),"Sin precio neto G.C.")</f>
        <v>Sin precio neto G.C.</v>
      </c>
    </row>
    <row r="1133">
      <c r="A1133" s="4" t="str">
        <f>IFERROR(__xludf.DUMMYFUNCTION("""COMPUTED_VALUE"""),"1029A")</f>
        <v>1029A</v>
      </c>
      <c r="B1133" s="4" t="str">
        <f>IFERROR(__xludf.DUMMYFUNCTION("""COMPUTED_VALUE"""),"Maletín 6 uds baliza AMARILLO led powerflare con cargador")</f>
        <v>Maletín 6 uds baliza AMARILLO led powerflare con cargador</v>
      </c>
      <c r="C1133" s="4">
        <f>IFERROR(__xludf.DUMMYFUNCTION("""COMPUTED_VALUE"""),99.5)</f>
        <v>99.5</v>
      </c>
      <c r="D1133" s="4"/>
      <c r="E1133" s="4" t="str">
        <f>IFERROR(__xludf.DUMMYFUNCTION("""COMPUTED_VALUE"""),"Sin precio neto G.C.")</f>
        <v>Sin precio neto G.C.</v>
      </c>
    </row>
    <row r="1134">
      <c r="A1134" s="4" t="str">
        <f>IFERROR(__xludf.DUMMYFUNCTION("""COMPUTED_VALUE"""),"1029Z")</f>
        <v>1029Z</v>
      </c>
      <c r="B1134" s="4" t="str">
        <f>IFERROR(__xludf.DUMMYFUNCTION("""COMPUTED_VALUE"""),"Maletín 6 uds baliza AZUL led powerflare con cargador")</f>
        <v>Maletín 6 uds baliza AZUL led powerflare con cargador</v>
      </c>
      <c r="C1134" s="4">
        <f>IFERROR(__xludf.DUMMYFUNCTION("""COMPUTED_VALUE"""),99.5)</f>
        <v>99.5</v>
      </c>
      <c r="D1134" s="4"/>
      <c r="E1134" s="4" t="str">
        <f>IFERROR(__xludf.DUMMYFUNCTION("""COMPUTED_VALUE"""),"Sin precio neto G.C.")</f>
        <v>Sin precio neto G.C.</v>
      </c>
    </row>
    <row r="1135">
      <c r="A1135" s="4" t="str">
        <f>IFERROR(__xludf.DUMMYFUNCTION("""COMPUTED_VALUE"""),"1030")</f>
        <v>1030</v>
      </c>
      <c r="B1135" s="4" t="str">
        <f>IFERROR(__xludf.DUMMYFUNCTION("""COMPUTED_VALUE"""),"Baliza LED azul intermitente")</f>
        <v>Baliza LED azul intermitente</v>
      </c>
      <c r="C1135" s="4">
        <f>IFERROR(__xludf.DUMMYFUNCTION("""COMPUTED_VALUE"""),6.4)</f>
        <v>6.4</v>
      </c>
      <c r="D1135" s="4"/>
      <c r="E1135" s="4" t="str">
        <f>IFERROR(__xludf.DUMMYFUNCTION("""COMPUTED_VALUE"""),"Sin precio neto G.C.")</f>
        <v>Sin precio neto G.C.</v>
      </c>
    </row>
    <row r="1136">
      <c r="A1136" s="4" t="str">
        <f>IFERROR(__xludf.DUMMYFUNCTION("""COMPUTED_VALUE"""),"1032")</f>
        <v>1032</v>
      </c>
      <c r="B1136" s="4" t="str">
        <f>IFERROR(__xludf.DUMMYFUNCTION("""COMPUTED_VALUE"""),"Baliza Señalizacion intermitente para 1 bateria")</f>
        <v>Baliza Señalizacion intermitente para 1 bateria</v>
      </c>
      <c r="C1136" s="4">
        <f>IFERROR(__xludf.DUMMYFUNCTION("""COMPUTED_VALUE"""),5.05)</f>
        <v>5.05</v>
      </c>
      <c r="D1136" s="4"/>
      <c r="E1136" s="4" t="str">
        <f>IFERROR(__xludf.DUMMYFUNCTION("""COMPUTED_VALUE"""),"Sin precio neto G.C.")</f>
        <v>Sin precio neto G.C.</v>
      </c>
    </row>
    <row r="1137">
      <c r="A1137" s="4" t="str">
        <f>IFERROR(__xludf.DUMMYFUNCTION("""COMPUTED_VALUE"""),"1033")</f>
        <v>1033</v>
      </c>
      <c r="B1137" s="4" t="str">
        <f>IFERROR(__xludf.DUMMYFUNCTION("""COMPUTED_VALUE"""),"Baliza Señalización Plus intermitente 2 baterías")</f>
        <v>Baliza Señalización Plus intermitente 2 baterías</v>
      </c>
      <c r="C1137" s="4">
        <f>IFERROR(__xludf.DUMMYFUNCTION("""COMPUTED_VALUE"""),6.97)</f>
        <v>6.97</v>
      </c>
      <c r="D1137" s="4">
        <f>IFERROR(__xludf.DUMMYFUNCTION("""COMPUTED_VALUE"""),5.5)</f>
        <v>5.5</v>
      </c>
      <c r="E1137" s="4" t="str">
        <f>IFERROR(__xludf.DUMMYFUNCTION("""COMPUTED_VALUE"""),"Neto G.C.: 5,50 € (a partir de 12 uds.)")</f>
        <v>Neto G.C.: 5,50 € (a partir de 12 uds.)</v>
      </c>
    </row>
    <row r="1138">
      <c r="A1138" s="4" t="str">
        <f>IFERROR(__xludf.DUMMYFUNCTION("""COMPUTED_VALUE"""),"1033/B")</f>
        <v>1033/B</v>
      </c>
      <c r="B1138" s="4" t="str">
        <f>IFERROR(__xludf.DUMMYFUNCTION("""COMPUTED_VALUE"""),"Baliza Señalizacion Basic intermitente 2 baterias")</f>
        <v>Baliza Señalizacion Basic intermitente 2 baterias</v>
      </c>
      <c r="C1138" s="4">
        <f>IFERROR(__xludf.DUMMYFUNCTION("""COMPUTED_VALUE"""),5.9)</f>
        <v>5.9</v>
      </c>
      <c r="D1138" s="4">
        <f>IFERROR(__xludf.DUMMYFUNCTION("""COMPUTED_VALUE"""),4.8)</f>
        <v>4.8</v>
      </c>
      <c r="E1138" s="4" t="str">
        <f>IFERROR(__xludf.DUMMYFUNCTION("""COMPUTED_VALUE"""),"Neto G.C.: 4,80 € (a partir de 12 uds.)")</f>
        <v>Neto G.C.: 4,80 € (a partir de 12 uds.)</v>
      </c>
    </row>
    <row r="1139">
      <c r="A1139" s="4" t="str">
        <f>IFERROR(__xludf.DUMMYFUNCTION("""COMPUTED_VALUE"""),"1033E")</f>
        <v>1033E</v>
      </c>
      <c r="B1139" s="4" t="str">
        <f>IFERROR(__xludf.DUMMYFUNCTION("""COMPUTED_VALUE"""),"Baliza intermitente Euroflash naranja")</f>
        <v>Baliza intermitente Euroflash naranja</v>
      </c>
      <c r="C1139" s="4">
        <f>IFERROR(__xludf.DUMMYFUNCTION("""COMPUTED_VALUE"""),7.25)</f>
        <v>7.25</v>
      </c>
      <c r="D1139" s="4"/>
      <c r="E1139" s="4" t="str">
        <f>IFERROR(__xludf.DUMMYFUNCTION("""COMPUTED_VALUE"""),"Sin precio neto G.C.")</f>
        <v>Sin precio neto G.C.</v>
      </c>
    </row>
    <row r="1140">
      <c r="A1140" s="4" t="str">
        <f>IFERROR(__xludf.DUMMYFUNCTION("""COMPUTED_VALUE"""),"1033V")</f>
        <v>1033V</v>
      </c>
      <c r="B1140" s="4" t="str">
        <f>IFERROR(__xludf.DUMMYFUNCTION("""COMPUTED_VALUE"""),"Baliza Señalización Plus intermitente 2 baterías VERDE")</f>
        <v>Baliza Señalización Plus intermitente 2 baterías VERDE</v>
      </c>
      <c r="C1140" s="4">
        <f>IFERROR(__xludf.DUMMYFUNCTION("""COMPUTED_VALUE"""),6.95)</f>
        <v>6.95</v>
      </c>
      <c r="D1140" s="4"/>
      <c r="E1140" s="4" t="str">
        <f>IFERROR(__xludf.DUMMYFUNCTION("""COMPUTED_VALUE"""),"Sin precio neto G.C.")</f>
        <v>Sin precio neto G.C.</v>
      </c>
    </row>
    <row r="1141">
      <c r="A1141" s="4" t="str">
        <f>IFERROR(__xludf.DUMMYFUNCTION("""COMPUTED_VALUE"""),"1034")</f>
        <v>1034</v>
      </c>
      <c r="B1141" s="4" t="str">
        <f>IFERROR(__xludf.DUMMYFUNCTION("""COMPUTED_VALUE"""),"Bateria baliza 6V 4R25 7 Ah. Alta Capacidad")</f>
        <v>Bateria baliza 6V 4R25 7 Ah. Alta Capacidad</v>
      </c>
      <c r="C1141" s="4">
        <f>IFERROR(__xludf.DUMMYFUNCTION("""COMPUTED_VALUE"""),1.89)</f>
        <v>1.89</v>
      </c>
      <c r="D1141" s="4">
        <f>IFERROR(__xludf.DUMMYFUNCTION("""COMPUTED_VALUE"""),1.35)</f>
        <v>1.35</v>
      </c>
      <c r="E1141" s="4" t="str">
        <f>IFERROR(__xludf.DUMMYFUNCTION("""COMPUTED_VALUE"""),"Neto G.C.: 1,35 € (a partir de 24 uds.)")</f>
        <v>Neto G.C.: 1,35 € (a partir de 24 uds.)</v>
      </c>
    </row>
    <row r="1142">
      <c r="A1142" s="4" t="str">
        <f>IFERROR(__xludf.DUMMYFUNCTION("""COMPUTED_VALUE"""),"1034G")</f>
        <v>1034G</v>
      </c>
      <c r="B1142" s="4" t="str">
        <f>IFERROR(__xludf.DUMMYFUNCTION("""COMPUTED_VALUE"""),"Bateria baliza 6v 25 Ah")</f>
        <v>Bateria baliza 6v 25 Ah</v>
      </c>
      <c r="C1142" s="4">
        <f>IFERROR(__xludf.DUMMYFUNCTION("""COMPUTED_VALUE"""),10.5)</f>
        <v>10.5</v>
      </c>
      <c r="D1142" s="4"/>
      <c r="E1142" s="4" t="str">
        <f>IFERROR(__xludf.DUMMYFUNCTION("""COMPUTED_VALUE"""),"Sin precio neto G.C.")</f>
        <v>Sin precio neto G.C.</v>
      </c>
    </row>
    <row r="1143">
      <c r="A1143" s="4" t="str">
        <f>IFERROR(__xludf.DUMMYFUNCTION("""COMPUTED_VALUE"""),"1035")</f>
        <v>1035</v>
      </c>
      <c r="B1143" s="4" t="str">
        <f>IFERROR(__xludf.DUMMYFUNCTION("""COMPUTED_VALUE"""),"Baliza Señalizacion flash-Led doble cara")</f>
        <v>Baliza Señalizacion flash-Led doble cara</v>
      </c>
      <c r="C1143" s="4">
        <f>IFERROR(__xludf.DUMMYFUNCTION("""COMPUTED_VALUE"""),22.25)</f>
        <v>22.25</v>
      </c>
      <c r="D1143" s="4"/>
      <c r="E1143" s="4" t="str">
        <f>IFERROR(__xludf.DUMMYFUNCTION("""COMPUTED_VALUE"""),"Sin precio neto G.C.")</f>
        <v>Sin precio neto G.C.</v>
      </c>
    </row>
    <row r="1144">
      <c r="A1144" s="4" t="str">
        <f>IFERROR(__xludf.DUMMYFUNCTION("""COMPUTED_VALUE"""),"1036")</f>
        <v>1036</v>
      </c>
      <c r="B1144" s="4" t="str">
        <f>IFERROR(__xludf.DUMMYFUNCTION("""COMPUTED_VALUE"""),"Baliza Señalización luz roja VEGA")</f>
        <v>Baliza Señalización luz roja VEGA</v>
      </c>
      <c r="C1144" s="4">
        <f>IFERROR(__xludf.DUMMYFUNCTION("""COMPUTED_VALUE"""),8.0)</f>
        <v>8</v>
      </c>
      <c r="D1144" s="4"/>
      <c r="E1144" s="4" t="str">
        <f>IFERROR(__xludf.DUMMYFUNCTION("""COMPUTED_VALUE"""),"Sin precio neto G.C.")</f>
        <v>Sin precio neto G.C.</v>
      </c>
    </row>
    <row r="1145">
      <c r="A1145" s="4" t="str">
        <f>IFERROR(__xludf.DUMMYFUNCTION("""COMPUTED_VALUE"""),"1037")</f>
        <v>1037</v>
      </c>
      <c r="B1145" s="4" t="str">
        <f>IFERROR(__xludf.DUMMYFUNCTION("""COMPUTED_VALUE"""),"Baliza Señalizacion solar")</f>
        <v>Baliza Señalizacion solar</v>
      </c>
      <c r="C1145" s="4">
        <f>IFERROR(__xludf.DUMMYFUNCTION("""COMPUTED_VALUE"""),14.9)</f>
        <v>14.9</v>
      </c>
      <c r="D1145" s="4"/>
      <c r="E1145" s="4" t="str">
        <f>IFERROR(__xludf.DUMMYFUNCTION("""COMPUTED_VALUE"""),"Sin precio neto G.C.")</f>
        <v>Sin precio neto G.C.</v>
      </c>
    </row>
    <row r="1146">
      <c r="A1146" s="4" t="str">
        <f>IFERROR(__xludf.DUMMYFUNCTION("""COMPUTED_VALUE"""),"1122B")</f>
        <v>1122B</v>
      </c>
      <c r="B1146" s="4" t="str">
        <f>IFERROR(__xludf.DUMMYFUNCTION("""COMPUTED_VALUE"""),"Barrera mediana HOG600 Blanca 560x1130x400 mm")</f>
        <v>Barrera mediana HOG600 Blanca 560x1130x400 mm</v>
      </c>
      <c r="C1146" s="4">
        <f>IFERROR(__xludf.DUMMYFUNCTION("""COMPUTED_VALUE"""),46.0)</f>
        <v>46</v>
      </c>
      <c r="D1146" s="4"/>
      <c r="E1146" s="4" t="str">
        <f>IFERROR(__xludf.DUMMYFUNCTION("""COMPUTED_VALUE"""),"Sin precio neto G.C.")</f>
        <v>Sin precio neto G.C.</v>
      </c>
    </row>
    <row r="1147">
      <c r="A1147" s="4" t="str">
        <f>IFERROR(__xludf.DUMMYFUNCTION("""COMPUTED_VALUE"""),"1122R")</f>
        <v>1122R</v>
      </c>
      <c r="B1147" s="4" t="str">
        <f>IFERROR(__xludf.DUMMYFUNCTION("""COMPUTED_VALUE"""),"Barrera mediana HOG600 Roja 560x1130x400 mm")</f>
        <v>Barrera mediana HOG600 Roja 560x1130x400 mm</v>
      </c>
      <c r="C1147" s="4">
        <f>IFERROR(__xludf.DUMMYFUNCTION("""COMPUTED_VALUE"""),46.0)</f>
        <v>46</v>
      </c>
      <c r="D1147" s="4"/>
      <c r="E1147" s="4" t="str">
        <f>IFERROR(__xludf.DUMMYFUNCTION("""COMPUTED_VALUE"""),"Sin precio neto G.C.")</f>
        <v>Sin precio neto G.C.</v>
      </c>
    </row>
    <row r="1148">
      <c r="A1148" s="4" t="str">
        <f>IFERROR(__xludf.DUMMYFUNCTION("""COMPUTED_VALUE"""),"1123")</f>
        <v>1123</v>
      </c>
      <c r="B1148" s="4" t="str">
        <f>IFERROR(__xludf.DUMMYFUNCTION("""COMPUTED_VALUE"""),"Mts. Cadena plástico 10 m/m R/B")</f>
        <v>Mts. Cadena plástico 10 m/m R/B</v>
      </c>
      <c r="C1148" s="4">
        <f>IFERROR(__xludf.DUMMYFUNCTION("""COMPUTED_VALUE"""),1.05)</f>
        <v>1.05</v>
      </c>
      <c r="D1148" s="4"/>
      <c r="E1148" s="4" t="str">
        <f>IFERROR(__xludf.DUMMYFUNCTION("""COMPUTED_VALUE"""),"Sin precio neto G.C.")</f>
        <v>Sin precio neto G.C.</v>
      </c>
    </row>
    <row r="1149">
      <c r="A1149" s="4" t="str">
        <f>IFERROR(__xludf.DUMMYFUNCTION("""COMPUTED_VALUE"""),"1124")</f>
        <v>1124</v>
      </c>
      <c r="B1149" s="4" t="str">
        <f>IFERROR(__xludf.DUMMYFUNCTION("""COMPUTED_VALUE"""),"Mts. Cadena plástico 10 m/m N/A")</f>
        <v>Mts. Cadena plástico 10 m/m N/A</v>
      </c>
      <c r="C1149" s="4">
        <f>IFERROR(__xludf.DUMMYFUNCTION("""COMPUTED_VALUE"""),1.05)</f>
        <v>1.05</v>
      </c>
      <c r="D1149" s="4"/>
      <c r="E1149" s="4" t="str">
        <f>IFERROR(__xludf.DUMMYFUNCTION("""COMPUTED_VALUE"""),"Sin precio neto G.C.")</f>
        <v>Sin precio neto G.C.</v>
      </c>
    </row>
    <row r="1150">
      <c r="A1150" s="4" t="str">
        <f>IFERROR(__xludf.DUMMYFUNCTION("""COMPUTED_VALUE"""),"1125")</f>
        <v>1125</v>
      </c>
      <c r="B1150" s="4" t="str">
        <f>IFERROR(__xludf.DUMMYFUNCTION("""COMPUTED_VALUE"""),"Poste señaliz. 1 m Rojo/Blanco p/cadena plastica")</f>
        <v>Poste señaliz. 1 m Rojo/Blanco p/cadena plastica</v>
      </c>
      <c r="C1150" s="4">
        <f>IFERROR(__xludf.DUMMYFUNCTION("""COMPUTED_VALUE"""),6.45)</f>
        <v>6.45</v>
      </c>
      <c r="D1150" s="4">
        <f>IFERROR(__xludf.DUMMYFUNCTION("""COMPUTED_VALUE"""),5.25)</f>
        <v>5.25</v>
      </c>
      <c r="E1150" s="4" t="str">
        <f>IFERROR(__xludf.DUMMYFUNCTION("""COMPUTED_VALUE"""),"Neto G.C.: 5,25 € (a partir de 10 uds.)")</f>
        <v>Neto G.C.: 5,25 € (a partir de 10 uds.)</v>
      </c>
    </row>
    <row r="1151">
      <c r="A1151" s="4" t="str">
        <f>IFERROR(__xludf.DUMMYFUNCTION("""COMPUTED_VALUE"""),"1125AN")</f>
        <v>1125AN</v>
      </c>
      <c r="B1151" s="4" t="str">
        <f>IFERROR(__xludf.DUMMYFUNCTION("""COMPUTED_VALUE"""),"Poste señaliz. 1 m Amarillo/negro p/cadena plastica")</f>
        <v>Poste señaliz. 1 m Amarillo/negro p/cadena plastica</v>
      </c>
      <c r="C1151" s="4">
        <f>IFERROR(__xludf.DUMMYFUNCTION("""COMPUTED_VALUE"""),6.45)</f>
        <v>6.45</v>
      </c>
      <c r="D1151" s="4">
        <f>IFERROR(__xludf.DUMMYFUNCTION("""COMPUTED_VALUE"""),5.25)</f>
        <v>5.25</v>
      </c>
      <c r="E1151" s="4" t="str">
        <f>IFERROR(__xludf.DUMMYFUNCTION("""COMPUTED_VALUE"""),"Neto G.C.: 5,25 € (a partir de 10 uds.)")</f>
        <v>Neto G.C.: 5,25 € (a partir de 10 uds.)</v>
      </c>
    </row>
    <row r="1152">
      <c r="A1152" s="4" t="str">
        <f>IFERROR(__xludf.DUMMYFUNCTION("""COMPUTED_VALUE"""),"1125BZ")</f>
        <v>1125BZ</v>
      </c>
      <c r="B1152" s="4" t="str">
        <f>IFERROR(__xludf.DUMMYFUNCTION("""COMPUTED_VALUE"""),"Poste señaliz. 1 m Azul/Blanco p/cadena plastica")</f>
        <v>Poste señaliz. 1 m Azul/Blanco p/cadena plastica</v>
      </c>
      <c r="C1152" s="4">
        <f>IFERROR(__xludf.DUMMYFUNCTION("""COMPUTED_VALUE"""),6.45)</f>
        <v>6.45</v>
      </c>
      <c r="D1152" s="4">
        <f>IFERROR(__xludf.DUMMYFUNCTION("""COMPUTED_VALUE"""),5.25)</f>
        <v>5.25</v>
      </c>
      <c r="E1152" s="4" t="str">
        <f>IFERROR(__xludf.DUMMYFUNCTION("""COMPUTED_VALUE"""),"Neto G.C.: 5,25 € (a partir de 10 uds.)")</f>
        <v>Neto G.C.: 5,25 € (a partir de 10 uds.)</v>
      </c>
    </row>
    <row r="1153">
      <c r="A1153" s="4" t="str">
        <f>IFERROR(__xludf.DUMMYFUNCTION("""COMPUTED_VALUE"""),"1125VB")</f>
        <v>1125VB</v>
      </c>
      <c r="B1153" s="4" t="str">
        <f>IFERROR(__xludf.DUMMYFUNCTION("""COMPUTED_VALUE"""),"Poste señaliz. 1 m Verde/Blanco p/cadena plastica")</f>
        <v>Poste señaliz. 1 m Verde/Blanco p/cadena plastica</v>
      </c>
      <c r="C1153" s="4">
        <f>IFERROR(__xludf.DUMMYFUNCTION("""COMPUTED_VALUE"""),6.45)</f>
        <v>6.45</v>
      </c>
      <c r="D1153" s="4">
        <f>IFERROR(__xludf.DUMMYFUNCTION("""COMPUTED_VALUE"""),5.25)</f>
        <v>5.25</v>
      </c>
      <c r="E1153" s="4" t="str">
        <f>IFERROR(__xludf.DUMMYFUNCTION("""COMPUTED_VALUE"""),"Neto G.C.: 5,25 € (a partir de 10 uds.)")</f>
        <v>Neto G.C.: 5,25 € (a partir de 10 uds.)</v>
      </c>
    </row>
    <row r="1154">
      <c r="A1154" s="4" t="str">
        <f>IFERROR(__xludf.DUMMYFUNCTION("""COMPUTED_VALUE"""),"1126")</f>
        <v>1126</v>
      </c>
      <c r="B1154" s="4" t="str">
        <f>IFERROR(__xludf.DUMMYFUNCTION("""COMPUTED_VALUE"""),"Mts. Cadena Plástico 5.5 m/m R/B")</f>
        <v>Mts. Cadena Plástico 5.5 m/m R/B</v>
      </c>
      <c r="C1154" s="4">
        <f>IFERROR(__xludf.DUMMYFUNCTION("""COMPUTED_VALUE"""),0.65)</f>
        <v>0.65</v>
      </c>
      <c r="D1154" s="4">
        <f>IFERROR(__xludf.DUMMYFUNCTION("""COMPUTED_VALUE"""),0.48)</f>
        <v>0.48</v>
      </c>
      <c r="E1154" s="4" t="str">
        <f>IFERROR(__xludf.DUMMYFUNCTION("""COMPUTED_VALUE"""),"Neto G.C.: 0,48 € (a partir de 200 uds.)")</f>
        <v>Neto G.C.: 0,48 € (a partir de 200 uds.)</v>
      </c>
    </row>
    <row r="1155">
      <c r="A1155" s="4" t="str">
        <f>IFERROR(__xludf.DUMMYFUNCTION("""COMPUTED_VALUE"""),"1126B")</f>
        <v>1126B</v>
      </c>
      <c r="B1155" s="4" t="str">
        <f>IFERROR(__xludf.DUMMYFUNCTION("""COMPUTED_VALUE"""),"Mts. cadena Plástico 5.5 mm Blanca")</f>
        <v>Mts. cadena Plástico 5.5 mm Blanca</v>
      </c>
      <c r="C1155" s="4">
        <f>IFERROR(__xludf.DUMMYFUNCTION("""COMPUTED_VALUE"""),0.65)</f>
        <v>0.65</v>
      </c>
      <c r="D1155" s="4">
        <f>IFERROR(__xludf.DUMMYFUNCTION("""COMPUTED_VALUE"""),0.48)</f>
        <v>0.48</v>
      </c>
      <c r="E1155" s="4" t="str">
        <f>IFERROR(__xludf.DUMMYFUNCTION("""COMPUTED_VALUE"""),"Neto G.C.: 0,48 € (a partir de 200 uds.)")</f>
        <v>Neto G.C.: 0,48 € (a partir de 200 uds.)</v>
      </c>
    </row>
    <row r="1156">
      <c r="A1156" s="4" t="str">
        <f>IFERROR(__xludf.DUMMYFUNCTION("""COMPUTED_VALUE"""),"1126BZ")</f>
        <v>1126BZ</v>
      </c>
      <c r="B1156" s="4" t="str">
        <f>IFERROR(__xludf.DUMMYFUNCTION("""COMPUTED_VALUE"""),"Mts. Cadena Plástico 5.5 m/m B/Z")</f>
        <v>Mts. Cadena Plástico 5.5 m/m B/Z</v>
      </c>
      <c r="C1156" s="4">
        <f>IFERROR(__xludf.DUMMYFUNCTION("""COMPUTED_VALUE"""),0.65)</f>
        <v>0.65</v>
      </c>
      <c r="D1156" s="4">
        <f>IFERROR(__xludf.DUMMYFUNCTION("""COMPUTED_VALUE"""),0.48)</f>
        <v>0.48</v>
      </c>
      <c r="E1156" s="4" t="str">
        <f>IFERROR(__xludf.DUMMYFUNCTION("""COMPUTED_VALUE"""),"Neto G.C.: 0,48 € (a partir de 200 uds.)")</f>
        <v>Neto G.C.: 0,48 € (a partir de 200 uds.)</v>
      </c>
    </row>
    <row r="1157">
      <c r="A1157" s="4" t="str">
        <f>IFERROR(__xludf.DUMMYFUNCTION("""COMPUTED_VALUE"""),"1126M3")</f>
        <v>1126M3</v>
      </c>
      <c r="B1157" s="4" t="str">
        <f>IFERROR(__xludf.DUMMYFUNCTION("""COMPUTED_VALUE"""),"Rollo 165 m cadena metálica señalización cincada 3 mm")</f>
        <v>Rollo 165 m cadena metálica señalización cincada 3 mm</v>
      </c>
      <c r="C1157" s="4">
        <f>IFERROR(__xludf.DUMMYFUNCTION("""COMPUTED_VALUE"""),118.125)</f>
        <v>118.125</v>
      </c>
      <c r="D1157" s="4"/>
      <c r="E1157" s="4" t="str">
        <f>IFERROR(__xludf.DUMMYFUNCTION("""COMPUTED_VALUE"""),"Sin precio neto G.C.")</f>
        <v>Sin precio neto G.C.</v>
      </c>
    </row>
    <row r="1158">
      <c r="A1158" s="4" t="str">
        <f>IFERROR(__xludf.DUMMYFUNCTION("""COMPUTED_VALUE"""),"1126M6")</f>
        <v>1126M6</v>
      </c>
      <c r="B1158" s="4" t="str">
        <f>IFERROR(__xludf.DUMMYFUNCTION("""COMPUTED_VALUE"""),"Rollo 38 m cadena metálica señalización cincada 6 mm")</f>
        <v>Rollo 38 m cadena metálica señalización cincada 6 mm</v>
      </c>
      <c r="C1158" s="4">
        <f>IFERROR(__xludf.DUMMYFUNCTION("""COMPUTED_VALUE"""),99.0)</f>
        <v>99</v>
      </c>
      <c r="D1158" s="4"/>
      <c r="E1158" s="4" t="str">
        <f>IFERROR(__xludf.DUMMYFUNCTION("""COMPUTED_VALUE"""),"Sin precio neto G.C.")</f>
        <v>Sin precio neto G.C.</v>
      </c>
    </row>
    <row r="1159">
      <c r="A1159" s="4" t="str">
        <f>IFERROR(__xludf.DUMMYFUNCTION("""COMPUTED_VALUE"""),"1126M8")</f>
        <v>1126M8</v>
      </c>
      <c r="B1159" s="4" t="str">
        <f>IFERROR(__xludf.DUMMYFUNCTION("""COMPUTED_VALUE"""),"Rollo 21 m cadena metálica señalización cincada 8 mm")</f>
        <v>Rollo 21 m cadena metálica señalización cincada 8 mm</v>
      </c>
      <c r="C1159" s="4">
        <f>IFERROR(__xludf.DUMMYFUNCTION("""COMPUTED_VALUE"""),92.5)</f>
        <v>92.5</v>
      </c>
      <c r="D1159" s="4"/>
      <c r="E1159" s="4" t="str">
        <f>IFERROR(__xludf.DUMMYFUNCTION("""COMPUTED_VALUE"""),"Sin precio neto G.C.")</f>
        <v>Sin precio neto G.C.</v>
      </c>
    </row>
    <row r="1160">
      <c r="A1160" s="4" t="str">
        <f>IFERROR(__xludf.DUMMYFUNCTION("""COMPUTED_VALUE"""),"1126MNA")</f>
        <v>1126MNA</v>
      </c>
      <c r="B1160" s="4" t="str">
        <f>IFERROR(__xludf.DUMMYFUNCTION("""COMPUTED_VALUE"""),"Rollo 25 m cadena metálica Señalización pintada")</f>
        <v>Rollo 25 m cadena metálica Señalización pintada</v>
      </c>
      <c r="C1160" s="4">
        <f>IFERROR(__xludf.DUMMYFUNCTION("""COMPUTED_VALUE"""),90.0)</f>
        <v>90</v>
      </c>
      <c r="D1160" s="4"/>
      <c r="E1160" s="4" t="str">
        <f>IFERROR(__xludf.DUMMYFUNCTION("""COMPUTED_VALUE"""),"Sin precio neto G.C.")</f>
        <v>Sin precio neto G.C.</v>
      </c>
    </row>
    <row r="1161">
      <c r="A1161" s="4" t="str">
        <f>IFERROR(__xludf.DUMMYFUNCTION("""COMPUTED_VALUE"""),"1126MRB")</f>
        <v>1126MRB</v>
      </c>
      <c r="B1161" s="4" t="str">
        <f>IFERROR(__xludf.DUMMYFUNCTION("""COMPUTED_VALUE"""),"Rollo 25 m cadena metálica Señalización pintada")</f>
        <v>Rollo 25 m cadena metálica Señalización pintada</v>
      </c>
      <c r="C1161" s="4">
        <f>IFERROR(__xludf.DUMMYFUNCTION("""COMPUTED_VALUE"""),90.0)</f>
        <v>90</v>
      </c>
      <c r="D1161" s="4"/>
      <c r="E1161" s="4" t="str">
        <f>IFERROR(__xludf.DUMMYFUNCTION("""COMPUTED_VALUE"""),"Sin precio neto G.C.")</f>
        <v>Sin precio neto G.C.</v>
      </c>
    </row>
    <row r="1162">
      <c r="A1162" s="4" t="str">
        <f>IFERROR(__xludf.DUMMYFUNCTION("""COMPUTED_VALUE"""),"1126V")</f>
        <v>1126V</v>
      </c>
      <c r="B1162" s="4" t="str">
        <f>IFERROR(__xludf.DUMMYFUNCTION("""COMPUTED_VALUE"""),"Mts. Cadena Plástico 5.5 mm Verde")</f>
        <v>Mts. Cadena Plástico 5.5 mm Verde</v>
      </c>
      <c r="C1162" s="4">
        <f>IFERROR(__xludf.DUMMYFUNCTION("""COMPUTED_VALUE"""),0.65)</f>
        <v>0.65</v>
      </c>
      <c r="D1162" s="4">
        <f>IFERROR(__xludf.DUMMYFUNCTION("""COMPUTED_VALUE"""),0.48)</f>
        <v>0.48</v>
      </c>
      <c r="E1162" s="4" t="str">
        <f>IFERROR(__xludf.DUMMYFUNCTION("""COMPUTED_VALUE"""),"Neto G.C.: 0,48 € (a partir de 200 uds.)")</f>
        <v>Neto G.C.: 0,48 € (a partir de 200 uds.)</v>
      </c>
    </row>
    <row r="1163">
      <c r="A1163" s="4" t="str">
        <f>IFERROR(__xludf.DUMMYFUNCTION("""COMPUTED_VALUE"""),"1126VB")</f>
        <v>1126VB</v>
      </c>
      <c r="B1163" s="4" t="str">
        <f>IFERROR(__xludf.DUMMYFUNCTION("""COMPUTED_VALUE"""),"Mts. Cadena Plástico 5.5 mm V/B")</f>
        <v>Mts. Cadena Plástico 5.5 mm V/B</v>
      </c>
      <c r="C1163" s="4">
        <f>IFERROR(__xludf.DUMMYFUNCTION("""COMPUTED_VALUE"""),0.65)</f>
        <v>0.65</v>
      </c>
      <c r="D1163" s="4">
        <f>IFERROR(__xludf.DUMMYFUNCTION("""COMPUTED_VALUE"""),0.48)</f>
        <v>0.48</v>
      </c>
      <c r="E1163" s="4" t="str">
        <f>IFERROR(__xludf.DUMMYFUNCTION("""COMPUTED_VALUE"""),"Neto G.C.: 0,48 € (a partir de 200 uds.)")</f>
        <v>Neto G.C.: 0,48 € (a partir de 200 uds.)</v>
      </c>
    </row>
    <row r="1164">
      <c r="A1164" s="4" t="str">
        <f>IFERROR(__xludf.DUMMYFUNCTION("""COMPUTED_VALUE"""),"1127")</f>
        <v>1127</v>
      </c>
      <c r="B1164" s="4" t="str">
        <f>IFERROR(__xludf.DUMMYFUNCTION("""COMPUTED_VALUE"""),"Mts. Cadena plastico 7.5 mm R/B")</f>
        <v>Mts. Cadena plastico 7.5 mm R/B</v>
      </c>
      <c r="C1164" s="4">
        <f>IFERROR(__xludf.DUMMYFUNCTION("""COMPUTED_VALUE"""),0.78)</f>
        <v>0.78</v>
      </c>
      <c r="D1164" s="4">
        <f>IFERROR(__xludf.DUMMYFUNCTION("""COMPUTED_VALUE"""),0.56)</f>
        <v>0.56</v>
      </c>
      <c r="E1164" s="4" t="str">
        <f>IFERROR(__xludf.DUMMYFUNCTION("""COMPUTED_VALUE"""),"Neto G.C.: 0,56 € (a partir de 100 uds.)")</f>
        <v>Neto G.C.: 0,56 € (a partir de 100 uds.)</v>
      </c>
    </row>
    <row r="1165">
      <c r="A1165" s="4" t="str">
        <f>IFERROR(__xludf.DUMMYFUNCTION("""COMPUTED_VALUE"""),"1127B")</f>
        <v>1127B</v>
      </c>
      <c r="B1165" s="4" t="str">
        <f>IFERROR(__xludf.DUMMYFUNCTION("""COMPUTED_VALUE"""),"Mts. cadena Plástico 7.5 mm Blanca")</f>
        <v>Mts. cadena Plástico 7.5 mm Blanca</v>
      </c>
      <c r="C1165" s="4">
        <f>IFERROR(__xludf.DUMMYFUNCTION("""COMPUTED_VALUE"""),0.78)</f>
        <v>0.78</v>
      </c>
      <c r="D1165" s="4">
        <f>IFERROR(__xludf.DUMMYFUNCTION("""COMPUTED_VALUE"""),0.56)</f>
        <v>0.56</v>
      </c>
      <c r="E1165" s="4" t="str">
        <f>IFERROR(__xludf.DUMMYFUNCTION("""COMPUTED_VALUE"""),"Neto G.C.: 0,56 € (a partir de 100 uds.)")</f>
        <v>Neto G.C.: 0,56 € (a partir de 100 uds.)</v>
      </c>
    </row>
    <row r="1166">
      <c r="A1166" s="4" t="str">
        <f>IFERROR(__xludf.DUMMYFUNCTION("""COMPUTED_VALUE"""),"1127BZ")</f>
        <v>1127BZ</v>
      </c>
      <c r="B1166" s="4" t="str">
        <f>IFERROR(__xludf.DUMMYFUNCTION("""COMPUTED_VALUE"""),"Mts. Cadena Plástico 7.5 mm B/Z")</f>
        <v>Mts. Cadena Plástico 7.5 mm B/Z</v>
      </c>
      <c r="C1166" s="4">
        <f>IFERROR(__xludf.DUMMYFUNCTION("""COMPUTED_VALUE"""),0.78)</f>
        <v>0.78</v>
      </c>
      <c r="D1166" s="4">
        <f>IFERROR(__xludf.DUMMYFUNCTION("""COMPUTED_VALUE"""),0.56)</f>
        <v>0.56</v>
      </c>
      <c r="E1166" s="4" t="str">
        <f>IFERROR(__xludf.DUMMYFUNCTION("""COMPUTED_VALUE"""),"Neto G.C.: 0,56 € (a partir de 100 uds.)")</f>
        <v>Neto G.C.: 0,56 € (a partir de 100 uds.)</v>
      </c>
    </row>
    <row r="1167">
      <c r="A1167" s="4" t="str">
        <f>IFERROR(__xludf.DUMMYFUNCTION("""COMPUTED_VALUE"""),"1127V")</f>
        <v>1127V</v>
      </c>
      <c r="B1167" s="4" t="str">
        <f>IFERROR(__xludf.DUMMYFUNCTION("""COMPUTED_VALUE"""),"Mts. cadena Plástico 7.5 mm Verde")</f>
        <v>Mts. cadena Plástico 7.5 mm Verde</v>
      </c>
      <c r="C1167" s="4">
        <f>IFERROR(__xludf.DUMMYFUNCTION("""COMPUTED_VALUE"""),0.78)</f>
        <v>0.78</v>
      </c>
      <c r="D1167" s="4">
        <f>IFERROR(__xludf.DUMMYFUNCTION("""COMPUTED_VALUE"""),0.56)</f>
        <v>0.56</v>
      </c>
      <c r="E1167" s="4" t="str">
        <f>IFERROR(__xludf.DUMMYFUNCTION("""COMPUTED_VALUE"""),"Neto G.C.: 0,56 € (a partir de 100 uds.)")</f>
        <v>Neto G.C.: 0,56 € (a partir de 100 uds.)</v>
      </c>
    </row>
    <row r="1168">
      <c r="A1168" s="4" t="str">
        <f>IFERROR(__xludf.DUMMYFUNCTION("""COMPUTED_VALUE"""),"1127VB")</f>
        <v>1127VB</v>
      </c>
      <c r="B1168" s="4" t="str">
        <f>IFERROR(__xludf.DUMMYFUNCTION("""COMPUTED_VALUE"""),"Mts. Cadena Plástico 7.5 mm V/B")</f>
        <v>Mts. Cadena Plástico 7.5 mm V/B</v>
      </c>
      <c r="C1168" s="4">
        <f>IFERROR(__xludf.DUMMYFUNCTION("""COMPUTED_VALUE"""),0.78)</f>
        <v>0.78</v>
      </c>
      <c r="D1168" s="4">
        <f>IFERROR(__xludf.DUMMYFUNCTION("""COMPUTED_VALUE"""),0.56)</f>
        <v>0.56</v>
      </c>
      <c r="E1168" s="4" t="str">
        <f>IFERROR(__xludf.DUMMYFUNCTION("""COMPUTED_VALUE"""),"Neto G.C.: 0,56 € (a partir de 100 uds.)")</f>
        <v>Neto G.C.: 0,56 € (a partir de 100 uds.)</v>
      </c>
    </row>
    <row r="1169">
      <c r="A1169" s="4" t="str">
        <f>IFERROR(__xludf.DUMMYFUNCTION("""COMPUTED_VALUE"""),"1128")</f>
        <v>1128</v>
      </c>
      <c r="B1169" s="4" t="str">
        <f>IFERROR(__xludf.DUMMYFUNCTION("""COMPUTED_VALUE"""),"Mts. Cadena plastico 5.5mm N/A")</f>
        <v>Mts. Cadena plastico 5.5mm N/A</v>
      </c>
      <c r="C1169" s="4">
        <f>IFERROR(__xludf.DUMMYFUNCTION("""COMPUTED_VALUE"""),0.65)</f>
        <v>0.65</v>
      </c>
      <c r="D1169" s="4">
        <f>IFERROR(__xludf.DUMMYFUNCTION("""COMPUTED_VALUE"""),0.48)</f>
        <v>0.48</v>
      </c>
      <c r="E1169" s="4" t="str">
        <f>IFERROR(__xludf.DUMMYFUNCTION("""COMPUTED_VALUE"""),"Neto G.C.: 0,48 € (a partir de 200 uds.)")</f>
        <v>Neto G.C.: 0,48 € (a partir de 200 uds.)</v>
      </c>
    </row>
    <row r="1170">
      <c r="A1170" s="4" t="str">
        <f>IFERROR(__xludf.DUMMYFUNCTION("""COMPUTED_VALUE"""),"1129")</f>
        <v>1129</v>
      </c>
      <c r="B1170" s="4" t="str">
        <f>IFERROR(__xludf.DUMMYFUNCTION("""COMPUTED_VALUE"""),"Mts. Cadena plastico 7.5 mm N/A")</f>
        <v>Mts. Cadena plastico 7.5 mm N/A</v>
      </c>
      <c r="C1170" s="4">
        <f>IFERROR(__xludf.DUMMYFUNCTION("""COMPUTED_VALUE"""),0.78)</f>
        <v>0.78</v>
      </c>
      <c r="D1170" s="4">
        <f>IFERROR(__xludf.DUMMYFUNCTION("""COMPUTED_VALUE"""),0.56)</f>
        <v>0.56</v>
      </c>
      <c r="E1170" s="4" t="str">
        <f>IFERROR(__xludf.DUMMYFUNCTION("""COMPUTED_VALUE"""),"Neto G.C.: 0,56 € (a partir de 100 uds.)")</f>
        <v>Neto G.C.: 0,56 € (a partir de 100 uds.)</v>
      </c>
    </row>
    <row r="1171">
      <c r="A1171" s="4" t="str">
        <f>IFERROR(__xludf.DUMMYFUNCTION("""COMPUTED_VALUE"""),"1132")</f>
        <v>1132</v>
      </c>
      <c r="B1171" s="4" t="str">
        <f>IFERROR(__xludf.DUMMYFUNCTION("""COMPUTED_VALUE"""),"Poste plata con cinturón retráctil rojo 2 m")</f>
        <v>Poste plata con cinturón retráctil rojo 2 m</v>
      </c>
      <c r="C1171" s="4">
        <f>IFERROR(__xludf.DUMMYFUNCTION("""COMPUTED_VALUE"""),24.0)</f>
        <v>24</v>
      </c>
      <c r="D1171" s="4"/>
      <c r="E1171" s="4" t="str">
        <f>IFERROR(__xludf.DUMMYFUNCTION("""COMPUTED_VALUE"""),"Sin precio neto G.C.")</f>
        <v>Sin precio neto G.C.</v>
      </c>
    </row>
    <row r="1172">
      <c r="A1172" s="4" t="str">
        <f>IFERROR(__xludf.DUMMYFUNCTION("""COMPUTED_VALUE"""),"11325M")</f>
        <v>11325M</v>
      </c>
      <c r="B1172" s="4" t="str">
        <f>IFERROR(__xludf.DUMMYFUNCTION("""COMPUTED_VALUE"""),"Poste plata con cinturón retráctil rojo 5 m")</f>
        <v>Poste plata con cinturón retráctil rojo 5 m</v>
      </c>
      <c r="C1172" s="4">
        <f>IFERROR(__xludf.DUMMYFUNCTION("""COMPUTED_VALUE"""),31.0)</f>
        <v>31</v>
      </c>
      <c r="D1172" s="4"/>
      <c r="E1172" s="4" t="str">
        <f>IFERROR(__xludf.DUMMYFUNCTION("""COMPUTED_VALUE"""),"Sin precio neto G.C.")</f>
        <v>Sin precio neto G.C.</v>
      </c>
    </row>
    <row r="1173">
      <c r="A1173" s="4" t="str">
        <f>IFERROR(__xludf.DUMMYFUNCTION("""COMPUTED_VALUE"""),"1132A")</f>
        <v>1132A</v>
      </c>
      <c r="B1173" s="4" t="str">
        <f>IFERROR(__xludf.DUMMYFUNCTION("""COMPUTED_VALUE"""),"Poste plata con cinturón retráctil azul 2 m")</f>
        <v>Poste plata con cinturón retráctil azul 2 m</v>
      </c>
      <c r="C1173" s="4">
        <f>IFERROR(__xludf.DUMMYFUNCTION("""COMPUTED_VALUE"""),24.0)</f>
        <v>24</v>
      </c>
      <c r="D1173" s="4"/>
      <c r="E1173" s="4" t="str">
        <f>IFERROR(__xludf.DUMMYFUNCTION("""COMPUTED_VALUE"""),"Sin precio neto G.C.")</f>
        <v>Sin precio neto G.C.</v>
      </c>
    </row>
    <row r="1174">
      <c r="A1174" s="4" t="str">
        <f>IFERROR(__xludf.DUMMYFUNCTION("""COMPUTED_VALUE"""),"1132A5M")</f>
        <v>1132A5M</v>
      </c>
      <c r="B1174" s="4" t="str">
        <f>IFERROR(__xludf.DUMMYFUNCTION("""COMPUTED_VALUE"""),"Poste plata con cinturón retráctil azul 5 m")</f>
        <v>Poste plata con cinturón retráctil azul 5 m</v>
      </c>
      <c r="C1174" s="4">
        <f>IFERROR(__xludf.DUMMYFUNCTION("""COMPUTED_VALUE"""),31.0)</f>
        <v>31</v>
      </c>
      <c r="D1174" s="4"/>
      <c r="E1174" s="4" t="str">
        <f>IFERROR(__xludf.DUMMYFUNCTION("""COMPUTED_VALUE"""),"Sin precio neto G.C.")</f>
        <v>Sin precio neto G.C.</v>
      </c>
    </row>
    <row r="1175">
      <c r="A1175" s="4" t="str">
        <f>IFERROR(__xludf.DUMMYFUNCTION("""COMPUTED_VALUE"""),"1132N")</f>
        <v>1132N</v>
      </c>
      <c r="B1175" s="4" t="str">
        <f>IFERROR(__xludf.DUMMYFUNCTION("""COMPUTED_VALUE"""),"Poste plata con cinturón retráctil negro 2 m")</f>
        <v>Poste plata con cinturón retráctil negro 2 m</v>
      </c>
      <c r="C1175" s="4">
        <f>IFERROR(__xludf.DUMMYFUNCTION("""COMPUTED_VALUE"""),24.0)</f>
        <v>24</v>
      </c>
      <c r="D1175" s="4"/>
      <c r="E1175" s="4" t="str">
        <f>IFERROR(__xludf.DUMMYFUNCTION("""COMPUTED_VALUE"""),"Sin precio neto G.C.")</f>
        <v>Sin precio neto G.C.</v>
      </c>
    </row>
    <row r="1176">
      <c r="A1176" s="4" t="str">
        <f>IFERROR(__xludf.DUMMYFUNCTION("""COMPUTED_VALUE"""),"1132N5M")</f>
        <v>1132N5M</v>
      </c>
      <c r="B1176" s="4" t="str">
        <f>IFERROR(__xludf.DUMMYFUNCTION("""COMPUTED_VALUE"""),"Poste plata con cinturón retráctil negro 5 m")</f>
        <v>Poste plata con cinturón retráctil negro 5 m</v>
      </c>
      <c r="C1176" s="4">
        <f>IFERROR(__xludf.DUMMYFUNCTION("""COMPUTED_VALUE"""),31.0)</f>
        <v>31</v>
      </c>
      <c r="D1176" s="4"/>
      <c r="E1176" s="4" t="str">
        <f>IFERROR(__xludf.DUMMYFUNCTION("""COMPUTED_VALUE"""),"Sin precio neto G.C.")</f>
        <v>Sin precio neto G.C.</v>
      </c>
    </row>
    <row r="1177">
      <c r="A1177" s="4" t="str">
        <f>IFERROR(__xludf.DUMMYFUNCTION("""COMPUTED_VALUE"""),"1133")</f>
        <v>1133</v>
      </c>
      <c r="B1177" s="4" t="str">
        <f>IFERROR(__xludf.DUMMYFUNCTION("""COMPUTED_VALUE"""),"Cinturón Retráctil Pared rojo 2 m")</f>
        <v>Cinturón Retráctil Pared rojo 2 m</v>
      </c>
      <c r="C1177" s="4">
        <f>IFERROR(__xludf.DUMMYFUNCTION("""COMPUTED_VALUE"""),16.95)</f>
        <v>16.95</v>
      </c>
      <c r="D1177" s="4"/>
      <c r="E1177" s="4" t="str">
        <f>IFERROR(__xludf.DUMMYFUNCTION("""COMPUTED_VALUE"""),"Sin precio neto G.C.")</f>
        <v>Sin precio neto G.C.</v>
      </c>
    </row>
    <row r="1178">
      <c r="A1178" s="4" t="str">
        <f>IFERROR(__xludf.DUMMYFUNCTION("""COMPUTED_VALUE"""),"11335M")</f>
        <v>11335M</v>
      </c>
      <c r="B1178" s="4" t="str">
        <f>IFERROR(__xludf.DUMMYFUNCTION("""COMPUTED_VALUE"""),"Cinturón Retráctil Pared rojo 5 m")</f>
        <v>Cinturón Retráctil Pared rojo 5 m</v>
      </c>
      <c r="C1178" s="4">
        <f>IFERROR(__xludf.DUMMYFUNCTION("""COMPUTED_VALUE"""),29.0)</f>
        <v>29</v>
      </c>
      <c r="D1178" s="4"/>
      <c r="E1178" s="4" t="str">
        <f>IFERROR(__xludf.DUMMYFUNCTION("""COMPUTED_VALUE"""),"Sin precio neto G.C.")</f>
        <v>Sin precio neto G.C.</v>
      </c>
    </row>
    <row r="1179">
      <c r="A1179" s="4" t="str">
        <f>IFERROR(__xludf.DUMMYFUNCTION("""COMPUTED_VALUE"""),"1133A")</f>
        <v>1133A</v>
      </c>
      <c r="B1179" s="4" t="str">
        <f>IFERROR(__xludf.DUMMYFUNCTION("""COMPUTED_VALUE"""),"Enganche pared para cinturón retráctil")</f>
        <v>Enganche pared para cinturón retráctil</v>
      </c>
      <c r="C1179" s="4">
        <f>IFERROR(__xludf.DUMMYFUNCTION("""COMPUTED_VALUE"""),1.5)</f>
        <v>1.5</v>
      </c>
      <c r="D1179" s="4"/>
      <c r="E1179" s="4" t="str">
        <f>IFERROR(__xludf.DUMMYFUNCTION("""COMPUTED_VALUE"""),"Sin precio neto G.C.")</f>
        <v>Sin precio neto G.C.</v>
      </c>
    </row>
    <row r="1180">
      <c r="A1180" s="4" t="str">
        <f>IFERROR(__xludf.DUMMYFUNCTION("""COMPUTED_VALUE"""),"1133A5M")</f>
        <v>1133A5M</v>
      </c>
      <c r="B1180" s="4" t="str">
        <f>IFERROR(__xludf.DUMMYFUNCTION("""COMPUTED_VALUE"""),"Cinturón Retráctil Pared azul 5 m")</f>
        <v>Cinturón Retráctil Pared azul 5 m</v>
      </c>
      <c r="C1180" s="4">
        <f>IFERROR(__xludf.DUMMYFUNCTION("""COMPUTED_VALUE"""),29.0)</f>
        <v>29</v>
      </c>
      <c r="D1180" s="4"/>
      <c r="E1180" s="4" t="str">
        <f>IFERROR(__xludf.DUMMYFUNCTION("""COMPUTED_VALUE"""),"Sin precio neto G.C.")</f>
        <v>Sin precio neto G.C.</v>
      </c>
    </row>
    <row r="1181">
      <c r="A1181" s="4" t="str">
        <f>IFERROR(__xludf.DUMMYFUNCTION("""COMPUTED_VALUE"""),"1133N")</f>
        <v>1133N</v>
      </c>
      <c r="B1181" s="4" t="str">
        <f>IFERROR(__xludf.DUMMYFUNCTION("""COMPUTED_VALUE"""),"Cinturón Retráctil Pared negro 2m")</f>
        <v>Cinturón Retráctil Pared negro 2m</v>
      </c>
      <c r="C1181" s="4">
        <f>IFERROR(__xludf.DUMMYFUNCTION("""COMPUTED_VALUE"""),16.95)</f>
        <v>16.95</v>
      </c>
      <c r="D1181" s="4"/>
      <c r="E1181" s="4" t="str">
        <f>IFERROR(__xludf.DUMMYFUNCTION("""COMPUTED_VALUE"""),"Sin precio neto G.C.")</f>
        <v>Sin precio neto G.C.</v>
      </c>
    </row>
    <row r="1182">
      <c r="A1182" s="4" t="str">
        <f>IFERROR(__xludf.DUMMYFUNCTION("""COMPUTED_VALUE"""),"1133N5M")</f>
        <v>1133N5M</v>
      </c>
      <c r="B1182" s="4" t="str">
        <f>IFERROR(__xludf.DUMMYFUNCTION("""COMPUTED_VALUE"""),"Cinturón Retráctil Pared negro 5 m")</f>
        <v>Cinturón Retráctil Pared negro 5 m</v>
      </c>
      <c r="C1182" s="4">
        <f>IFERROR(__xludf.DUMMYFUNCTION("""COMPUTED_VALUE"""),29.0)</f>
        <v>29</v>
      </c>
      <c r="D1182" s="4"/>
      <c r="E1182" s="4" t="str">
        <f>IFERROR(__xludf.DUMMYFUNCTION("""COMPUTED_VALUE"""),"Sin precio neto G.C.")</f>
        <v>Sin precio neto G.C.</v>
      </c>
    </row>
    <row r="1183">
      <c r="A1183" s="4" t="str">
        <f>IFERROR(__xludf.DUMMYFUNCTION("""COMPUTED_VALUE"""),"1134")</f>
        <v>1134</v>
      </c>
      <c r="B1183" s="4" t="str">
        <f>IFERROR(__xludf.DUMMYFUNCTION("""COMPUTED_VALUE"""),"Poste Negro con cinturón retráctil rojo 2 m")</f>
        <v>Poste Negro con cinturón retráctil rojo 2 m</v>
      </c>
      <c r="C1183" s="4">
        <f>IFERROR(__xludf.DUMMYFUNCTION("""COMPUTED_VALUE"""),24.5)</f>
        <v>24.5</v>
      </c>
      <c r="D1183" s="4"/>
      <c r="E1183" s="4" t="str">
        <f>IFERROR(__xludf.DUMMYFUNCTION("""COMPUTED_VALUE"""),"Sin precio neto G.C.")</f>
        <v>Sin precio neto G.C.</v>
      </c>
    </row>
    <row r="1184">
      <c r="A1184" s="4" t="str">
        <f>IFERROR(__xludf.DUMMYFUNCTION("""COMPUTED_VALUE"""),"1134A")</f>
        <v>1134A</v>
      </c>
      <c r="B1184" s="4" t="str">
        <f>IFERROR(__xludf.DUMMYFUNCTION("""COMPUTED_VALUE"""),"Poste Negro con cinturón retráctil azul 2 m")</f>
        <v>Poste Negro con cinturón retráctil azul 2 m</v>
      </c>
      <c r="C1184" s="4">
        <f>IFERROR(__xludf.DUMMYFUNCTION("""COMPUTED_VALUE"""),24.0)</f>
        <v>24</v>
      </c>
      <c r="D1184" s="4"/>
      <c r="E1184" s="4" t="str">
        <f>IFERROR(__xludf.DUMMYFUNCTION("""COMPUTED_VALUE"""),"Sin precio neto G.C.")</f>
        <v>Sin precio neto G.C.</v>
      </c>
    </row>
    <row r="1185">
      <c r="A1185" s="4" t="str">
        <f>IFERROR(__xludf.DUMMYFUNCTION("""COMPUTED_VALUE"""),"1134N")</f>
        <v>1134N</v>
      </c>
      <c r="B1185" s="4" t="str">
        <f>IFERROR(__xludf.DUMMYFUNCTION("""COMPUTED_VALUE"""),"Poste negro con cinturón retráctil negro 2 m")</f>
        <v>Poste negro con cinturón retráctil negro 2 m</v>
      </c>
      <c r="C1185" s="4">
        <f>IFERROR(__xludf.DUMMYFUNCTION("""COMPUTED_VALUE"""),24.0)</f>
        <v>24</v>
      </c>
      <c r="D1185" s="4"/>
      <c r="E1185" s="4" t="str">
        <f>IFERROR(__xludf.DUMMYFUNCTION("""COMPUTED_VALUE"""),"Sin precio neto G.C.")</f>
        <v>Sin precio neto G.C.</v>
      </c>
    </row>
    <row r="1186">
      <c r="A1186" s="4" t="str">
        <f>IFERROR(__xludf.DUMMYFUNCTION("""COMPUTED_VALUE"""),"1134NA")</f>
        <v>1134NA</v>
      </c>
      <c r="B1186" s="4" t="str">
        <f>IFERROR(__xludf.DUMMYFUNCTION("""COMPUTED_VALUE"""),"Poste negro con cinturón retráctil negro/amarillo 5 m")</f>
        <v>Poste negro con cinturón retráctil negro/amarillo 5 m</v>
      </c>
      <c r="C1186" s="4">
        <f>IFERROR(__xludf.DUMMYFUNCTION("""COMPUTED_VALUE"""),24.0)</f>
        <v>24</v>
      </c>
      <c r="D1186" s="4"/>
      <c r="E1186" s="4" t="str">
        <f>IFERROR(__xludf.DUMMYFUNCTION("""COMPUTED_VALUE"""),"Sin precio neto G.C.")</f>
        <v>Sin precio neto G.C.</v>
      </c>
    </row>
    <row r="1187">
      <c r="A1187" s="4" t="str">
        <f>IFERROR(__xludf.DUMMYFUNCTION("""COMPUTED_VALUE"""),"1134RB")</f>
        <v>1134RB</v>
      </c>
      <c r="B1187" s="4" t="str">
        <f>IFERROR(__xludf.DUMMYFUNCTION("""COMPUTED_VALUE"""),"Poste negro con cinturón retráctil rojo/blanco 5 m")</f>
        <v>Poste negro con cinturón retráctil rojo/blanco 5 m</v>
      </c>
      <c r="C1187" s="4">
        <f>IFERROR(__xludf.DUMMYFUNCTION("""COMPUTED_VALUE"""),24.0)</f>
        <v>24</v>
      </c>
      <c r="D1187" s="4"/>
      <c r="E1187" s="4" t="str">
        <f>IFERROR(__xludf.DUMMYFUNCTION("""COMPUTED_VALUE"""),"Sin precio neto G.C.")</f>
        <v>Sin precio neto G.C.</v>
      </c>
    </row>
    <row r="1188">
      <c r="A1188" s="4" t="str">
        <f>IFERROR(__xludf.DUMMYFUNCTION("""COMPUTED_VALUE"""),"1135")</f>
        <v>1135</v>
      </c>
      <c r="B1188" s="4" t="str">
        <f>IFERROR(__xludf.DUMMYFUNCTION("""COMPUTED_VALUE"""),"Cinturón retractil pared azul 2 m")</f>
        <v>Cinturón retractil pared azul 2 m</v>
      </c>
      <c r="C1188" s="4">
        <f>IFERROR(__xludf.DUMMYFUNCTION("""COMPUTED_VALUE"""),16.95)</f>
        <v>16.95</v>
      </c>
      <c r="D1188" s="4"/>
      <c r="E1188" s="4" t="str">
        <f>IFERROR(__xludf.DUMMYFUNCTION("""COMPUTED_VALUE"""),"Sin precio neto G.C.")</f>
        <v>Sin precio neto G.C.</v>
      </c>
    </row>
    <row r="1189">
      <c r="A1189" s="4" t="str">
        <f>IFERROR(__xludf.DUMMYFUNCTION("""COMPUTED_VALUE"""),"1136")</f>
        <v>1136</v>
      </c>
      <c r="B1189" s="4" t="str">
        <f>IFERROR(__xludf.DUMMYFUNCTION("""COMPUTED_VALUE"""),"Poste R/B para cadena con base hexagonal pesada")</f>
        <v>Poste R/B para cadena con base hexagonal pesada</v>
      </c>
      <c r="C1189" s="4">
        <f>IFERROR(__xludf.DUMMYFUNCTION("""COMPUTED_VALUE"""),9.45)</f>
        <v>9.45</v>
      </c>
      <c r="D1189" s="4"/>
      <c r="E1189" s="4" t="str">
        <f>IFERROR(__xludf.DUMMYFUNCTION("""COMPUTED_VALUE"""),"Sin precio neto G.C.")</f>
        <v>Sin precio neto G.C.</v>
      </c>
    </row>
    <row r="1190">
      <c r="A1190" s="4" t="str">
        <f>IFERROR(__xludf.DUMMYFUNCTION("""COMPUTED_VALUE"""),"1138")</f>
        <v>1138</v>
      </c>
      <c r="B1190" s="4" t="str">
        <f>IFERROR(__xludf.DUMMYFUNCTION("""COMPUTED_VALUE"""),"Poste señaliz. R/B p/cadena plastica base caucho 3 kg")</f>
        <v>Poste señaliz. R/B p/cadena plastica base caucho 3 kg</v>
      </c>
      <c r="C1190" s="4">
        <f>IFERROR(__xludf.DUMMYFUNCTION("""COMPUTED_VALUE"""),7.75)</f>
        <v>7.75</v>
      </c>
      <c r="D1190" s="4"/>
      <c r="E1190" s="4" t="str">
        <f>IFERROR(__xludf.DUMMYFUNCTION("""COMPUTED_VALUE"""),"Sin precio neto G.C.")</f>
        <v>Sin precio neto G.C.</v>
      </c>
    </row>
    <row r="1191">
      <c r="A1191" s="4" t="str">
        <f>IFERROR(__xludf.DUMMYFUNCTION("""COMPUTED_VALUE"""),"1139")</f>
        <v>1139</v>
      </c>
      <c r="B1191" s="4" t="str">
        <f>IFERROR(__xludf.DUMMYFUNCTION("""COMPUTED_VALUE"""),"Poste señaliz. N/A p/cadena plastica base caucho 3 kg")</f>
        <v>Poste señaliz. N/A p/cadena plastica base caucho 3 kg</v>
      </c>
      <c r="C1191" s="4">
        <f>IFERROR(__xludf.DUMMYFUNCTION("""COMPUTED_VALUE"""),7.75)</f>
        <v>7.75</v>
      </c>
      <c r="D1191" s="4"/>
      <c r="E1191" s="4" t="str">
        <f>IFERROR(__xludf.DUMMYFUNCTION("""COMPUTED_VALUE"""),"Sin precio neto G.C.")</f>
        <v>Sin precio neto G.C.</v>
      </c>
    </row>
    <row r="1192">
      <c r="A1192" s="4" t="str">
        <f>IFERROR(__xludf.DUMMYFUNCTION("""COMPUTED_VALUE"""),"1520")</f>
        <v>1520</v>
      </c>
      <c r="B1192" s="4" t="str">
        <f>IFERROR(__xludf.DUMMYFUNCTION("""COMPUTED_VALUE"""),"Cinta Creppe 48 mm x 45 m")</f>
        <v>Cinta Creppe 48 mm x 45 m</v>
      </c>
      <c r="C1192" s="4">
        <f>IFERROR(__xludf.DUMMYFUNCTION("""COMPUTED_VALUE"""),1.45)</f>
        <v>1.45</v>
      </c>
      <c r="D1192" s="4"/>
      <c r="E1192" s="4" t="str">
        <f>IFERROR(__xludf.DUMMYFUNCTION("""COMPUTED_VALUE"""),"Sin precio neto G.C.")</f>
        <v>Sin precio neto G.C.</v>
      </c>
    </row>
    <row r="1193">
      <c r="A1193" s="4" t="str">
        <f>IFERROR(__xludf.DUMMYFUNCTION("""COMPUTED_VALUE"""),"1522")</f>
        <v>1522</v>
      </c>
      <c r="B1193" s="4" t="str">
        <f>IFERROR(__xludf.DUMMYFUNCTION("""COMPUTED_VALUE"""),"Cinta Creppe Azul 48 mm x 45 m")</f>
        <v>Cinta Creppe Azul 48 mm x 45 m</v>
      </c>
      <c r="C1193" s="4">
        <f>IFERROR(__xludf.DUMMYFUNCTION("""COMPUTED_VALUE"""),1.75)</f>
        <v>1.75</v>
      </c>
      <c r="D1193" s="4"/>
      <c r="E1193" s="4" t="str">
        <f>IFERROR(__xludf.DUMMYFUNCTION("""COMPUTED_VALUE"""),"Sin precio neto G.C.")</f>
        <v>Sin precio neto G.C.</v>
      </c>
    </row>
    <row r="1194">
      <c r="A1194" s="4" t="str">
        <f>IFERROR(__xludf.DUMMYFUNCTION("""COMPUTED_VALUE"""),"1523")</f>
        <v>1523</v>
      </c>
      <c r="B1194" s="4" t="str">
        <f>IFERROR(__xludf.DUMMYFUNCTION("""COMPUTED_VALUE"""),"Cinta Creppe Exteriores Azul 48 mm x 45 m")</f>
        <v>Cinta Creppe Exteriores Azul 48 mm x 45 m</v>
      </c>
      <c r="C1194" s="4">
        <f>IFERROR(__xludf.DUMMYFUNCTION("""COMPUTED_VALUE"""),5.2)</f>
        <v>5.2</v>
      </c>
      <c r="D1194" s="4"/>
      <c r="E1194" s="4" t="str">
        <f>IFERROR(__xludf.DUMMYFUNCTION("""COMPUTED_VALUE"""),"Sin precio neto G.C.")</f>
        <v>Sin precio neto G.C.</v>
      </c>
    </row>
    <row r="1195">
      <c r="A1195" s="4" t="str">
        <f>IFERROR(__xludf.DUMMYFUNCTION("""COMPUTED_VALUE"""),"1524")</f>
        <v>1524</v>
      </c>
      <c r="B1195" s="4" t="str">
        <f>IFERROR(__xludf.DUMMYFUNCTION("""COMPUTED_VALUE"""),"Cinta Aluminio 30 my 50 mm x 10 m")</f>
        <v>Cinta Aluminio 30 my 50 mm x 10 m</v>
      </c>
      <c r="C1195" s="4">
        <f>IFERROR(__xludf.DUMMYFUNCTION("""COMPUTED_VALUE"""),0.95)</f>
        <v>0.95</v>
      </c>
      <c r="D1195" s="4"/>
      <c r="E1195" s="4" t="str">
        <f>IFERROR(__xludf.DUMMYFUNCTION("""COMPUTED_VALUE"""),"Sin precio neto G.C.")</f>
        <v>Sin precio neto G.C.</v>
      </c>
    </row>
    <row r="1196">
      <c r="A1196" s="4" t="str">
        <f>IFERROR(__xludf.DUMMYFUNCTION("""COMPUTED_VALUE"""),"1525")</f>
        <v>1525</v>
      </c>
      <c r="B1196" s="4" t="str">
        <f>IFERROR(__xludf.DUMMYFUNCTION("""COMPUTED_VALUE"""),"Cinta Aluminio 30 my 50 mm x 45 m")</f>
        <v>Cinta Aluminio 30 my 50 mm x 45 m</v>
      </c>
      <c r="C1196" s="4">
        <f>IFERROR(__xludf.DUMMYFUNCTION("""COMPUTED_VALUE"""),4.25)</f>
        <v>4.25</v>
      </c>
      <c r="D1196" s="4"/>
      <c r="E1196" s="4" t="str">
        <f>IFERROR(__xludf.DUMMYFUNCTION("""COMPUTED_VALUE"""),"Sin precio neto G.C.")</f>
        <v>Sin precio neto G.C.</v>
      </c>
    </row>
    <row r="1197">
      <c r="A1197" s="4" t="str">
        <f>IFERROR(__xludf.DUMMYFUNCTION("""COMPUTED_VALUE"""),"1536")</f>
        <v>1536</v>
      </c>
      <c r="B1197" s="4" t="str">
        <f>IFERROR(__xludf.DUMMYFUNCTION("""COMPUTED_VALUE"""),"Rollo cinta marcaje temporal Amarilla 3M 75 m x 12 cm")</f>
        <v>Rollo cinta marcaje temporal Amarilla 3M 75 m x 12 cm</v>
      </c>
      <c r="C1197" s="4">
        <f>IFERROR(__xludf.DUMMYFUNCTION("""COMPUTED_VALUE"""),456.75)</f>
        <v>456.75</v>
      </c>
      <c r="D1197" s="4"/>
      <c r="E1197" s="4" t="str">
        <f>IFERROR(__xludf.DUMMYFUNCTION("""COMPUTED_VALUE"""),"Sin precio neto G.C.")</f>
        <v>Sin precio neto G.C.</v>
      </c>
    </row>
    <row r="1198">
      <c r="A1198" s="4" t="str">
        <f>IFERROR(__xludf.DUMMYFUNCTION("""COMPUTED_VALUE"""),"1537")</f>
        <v>1537</v>
      </c>
      <c r="B1198" s="4" t="str">
        <f>IFERROR(__xludf.DUMMYFUNCTION("""COMPUTED_VALUE"""),"Rollo cinta enmascarar Negra 3M 109 m x 15 cm")</f>
        <v>Rollo cinta enmascarar Negra 3M 109 m x 15 cm</v>
      </c>
      <c r="C1198" s="4">
        <f>IFERROR(__xludf.DUMMYFUNCTION("""COMPUTED_VALUE"""),417.375)</f>
        <v>417.375</v>
      </c>
      <c r="D1198" s="4"/>
      <c r="E1198" s="4" t="str">
        <f>IFERROR(__xludf.DUMMYFUNCTION("""COMPUTED_VALUE"""),"Sin precio neto G.C.")</f>
        <v>Sin precio neto G.C.</v>
      </c>
    </row>
    <row r="1199">
      <c r="A1199" s="4" t="str">
        <f>IFERROR(__xludf.DUMMYFUNCTION("""COMPUTED_VALUE"""),"1538")</f>
        <v>1538</v>
      </c>
      <c r="B1199" s="4" t="str">
        <f>IFERROR(__xludf.DUMMYFUNCTION("""COMPUTED_VALUE"""),"Rollo cinta antidelizante luminiscente 2,5 cm x 18,30 mt")</f>
        <v>Rollo cinta antidelizante luminiscente 2,5 cm x 18,30 mt</v>
      </c>
      <c r="C1199" s="4">
        <f>IFERROR(__xludf.DUMMYFUNCTION("""COMPUTED_VALUE"""),47.0)</f>
        <v>47</v>
      </c>
      <c r="D1199" s="4"/>
      <c r="E1199" s="4" t="str">
        <f>IFERROR(__xludf.DUMMYFUNCTION("""COMPUTED_VALUE"""),"Sin precio neto G.C.")</f>
        <v>Sin precio neto G.C.</v>
      </c>
    </row>
    <row r="1200">
      <c r="A1200" s="4" t="str">
        <f>IFERROR(__xludf.DUMMYFUNCTION("""COMPUTED_VALUE"""),"1539")</f>
        <v>1539</v>
      </c>
      <c r="B1200" s="4" t="str">
        <f>IFERROR(__xludf.DUMMYFUNCTION("""COMPUTED_VALUE"""),"Rollo Cinta 10cm x 200 m bomberos Roja/blanca")</f>
        <v>Rollo Cinta 10cm x 200 m bomberos Roja/blanca</v>
      </c>
      <c r="C1200" s="4">
        <f>IFERROR(__xludf.DUMMYFUNCTION("""COMPUTED_VALUE"""),8.25)</f>
        <v>8.25</v>
      </c>
      <c r="D1200" s="4"/>
      <c r="E1200" s="4" t="str">
        <f>IFERROR(__xludf.DUMMYFUNCTION("""COMPUTED_VALUE"""),"Sin precio neto G.C.")</f>
        <v>Sin precio neto G.C.</v>
      </c>
    </row>
    <row r="1201">
      <c r="A1201" s="4" t="str">
        <f>IFERROR(__xludf.DUMMYFUNCTION("""COMPUTED_VALUE"""),"1540")</f>
        <v>1540</v>
      </c>
      <c r="B1201" s="4" t="str">
        <f>IFERROR(__xludf.DUMMYFUNCTION("""COMPUTED_VALUE"""),"Rollo cinta antideslizante negra 5cm x 18 mt")</f>
        <v>Rollo cinta antideslizante negra 5cm x 18 mt</v>
      </c>
      <c r="C1201" s="4">
        <f>IFERROR(__xludf.DUMMYFUNCTION("""COMPUTED_VALUE"""),14.25)</f>
        <v>14.25</v>
      </c>
      <c r="D1201" s="4">
        <f>IFERROR(__xludf.DUMMYFUNCTION("""COMPUTED_VALUE"""),11.0)</f>
        <v>11</v>
      </c>
      <c r="E1201" s="4" t="str">
        <f>IFERROR(__xludf.DUMMYFUNCTION("""COMPUTED_VALUE"""),"Neto G.C.: 11,00 € (a partir de 24 uds.)")</f>
        <v>Neto G.C.: 11,00 € (a partir de 24 uds.)</v>
      </c>
    </row>
    <row r="1202">
      <c r="A1202" s="4" t="str">
        <f>IFERROR(__xludf.DUMMYFUNCTION("""COMPUTED_VALUE"""),"1541")</f>
        <v>1541</v>
      </c>
      <c r="B1202" s="4" t="str">
        <f>IFERROR(__xludf.DUMMYFUNCTION("""COMPUTED_VALUE"""),"Rollo cinta antideslizante N/A 5 cm x 18 mt")</f>
        <v>Rollo cinta antideslizante N/A 5 cm x 18 mt</v>
      </c>
      <c r="C1202" s="4">
        <f>IFERROR(__xludf.DUMMYFUNCTION("""COMPUTED_VALUE"""),14.25)</f>
        <v>14.25</v>
      </c>
      <c r="D1202" s="4">
        <f>IFERROR(__xludf.DUMMYFUNCTION("""COMPUTED_VALUE"""),11.0)</f>
        <v>11</v>
      </c>
      <c r="E1202" s="4" t="str">
        <f>IFERROR(__xludf.DUMMYFUNCTION("""COMPUTED_VALUE"""),"Neto G.C.: 11,00 € (a partir de 24 uds.)")</f>
        <v>Neto G.C.: 11,00 € (a partir de 24 uds.)</v>
      </c>
    </row>
    <row r="1203">
      <c r="A1203" s="4" t="str">
        <f>IFERROR(__xludf.DUMMYFUNCTION("""COMPUTED_VALUE"""),"1542")</f>
        <v>1542</v>
      </c>
      <c r="B1203" s="4" t="str">
        <f>IFERROR(__xludf.DUMMYFUNCTION("""COMPUTED_VALUE"""),"Rollo cinta antideslizante R/B 5 cm x 18 mt")</f>
        <v>Rollo cinta antideslizante R/B 5 cm x 18 mt</v>
      </c>
      <c r="C1203" s="4">
        <f>IFERROR(__xludf.DUMMYFUNCTION("""COMPUTED_VALUE"""),14.25)</f>
        <v>14.25</v>
      </c>
      <c r="D1203" s="4">
        <f>IFERROR(__xludf.DUMMYFUNCTION("""COMPUTED_VALUE"""),11.0)</f>
        <v>11</v>
      </c>
      <c r="E1203" s="4" t="str">
        <f>IFERROR(__xludf.DUMMYFUNCTION("""COMPUTED_VALUE"""),"Neto G.C.: 11,00 € (a partir de 24 uds.)")</f>
        <v>Neto G.C.: 11,00 € (a partir de 24 uds.)</v>
      </c>
    </row>
    <row r="1204">
      <c r="A1204" s="4" t="str">
        <f>IFERROR(__xludf.DUMMYFUNCTION("""COMPUTED_VALUE"""),"1547")</f>
        <v>1547</v>
      </c>
      <c r="B1204" s="4" t="str">
        <f>IFERROR(__xludf.DUMMYFUNCTION("""COMPUTED_VALUE"""),"Rollo cinta Blanca 55mm x50 metros DG983-10 ECE 104")</f>
        <v>Rollo cinta Blanca 55mm x50 metros DG983-10 ECE 104</v>
      </c>
      <c r="C1204" s="4">
        <f>IFERROR(__xludf.DUMMYFUNCTION("""COMPUTED_VALUE"""),127.05)</f>
        <v>127.05</v>
      </c>
      <c r="D1204" s="4"/>
      <c r="E1204" s="4" t="str">
        <f>IFERROR(__xludf.DUMMYFUNCTION("""COMPUTED_VALUE"""),"Sin precio neto G.C.")</f>
        <v>Sin precio neto G.C.</v>
      </c>
    </row>
    <row r="1205">
      <c r="A1205" s="4" t="str">
        <f>IFERROR(__xludf.DUMMYFUNCTION("""COMPUTED_VALUE"""),"1547F")</f>
        <v>1547F</v>
      </c>
      <c r="B1205" s="4" t="str">
        <f>IFERROR(__xludf.DUMMYFUNCTION("""COMPUTED_VALUE"""),"Rollo cinta Blanca 51mm x50 metros DG997-10S")</f>
        <v>Rollo cinta Blanca 51mm x50 metros DG997-10S</v>
      </c>
      <c r="C1205" s="4">
        <f>IFERROR(__xludf.DUMMYFUNCTION("""COMPUTED_VALUE"""),127.05)</f>
        <v>127.05</v>
      </c>
      <c r="D1205" s="4"/>
      <c r="E1205" s="4" t="str">
        <f>IFERROR(__xludf.DUMMYFUNCTION("""COMPUTED_VALUE"""),"Sin precio neto G.C.")</f>
        <v>Sin precio neto G.C.</v>
      </c>
    </row>
    <row r="1206">
      <c r="A1206" s="4" t="str">
        <f>IFERROR(__xludf.DUMMYFUNCTION("""COMPUTED_VALUE"""),"1548")</f>
        <v>1548</v>
      </c>
      <c r="B1206" s="4" t="str">
        <f>IFERROR(__xludf.DUMMYFUNCTION("""COMPUTED_VALUE"""),"Rollo cinta Rojo 55mm x50metros DG983-72 ECE 1R/CTN")</f>
        <v>Rollo cinta Rojo 55mm x50metros DG983-72 ECE 1R/CTN</v>
      </c>
      <c r="C1206" s="4">
        <f>IFERROR(__xludf.DUMMYFUNCTION("""COMPUTED_VALUE"""),127.05)</f>
        <v>127.05</v>
      </c>
      <c r="D1206" s="4"/>
      <c r="E1206" s="4" t="str">
        <f>IFERROR(__xludf.DUMMYFUNCTION("""COMPUTED_VALUE"""),"Sin precio neto G.C.")</f>
        <v>Sin precio neto G.C.</v>
      </c>
    </row>
    <row r="1207">
      <c r="A1207" s="4" t="str">
        <f>IFERROR(__xludf.DUMMYFUNCTION("""COMPUTED_VALUE"""),"1548F")</f>
        <v>1548F</v>
      </c>
      <c r="B1207" s="4" t="str">
        <f>IFERROR(__xludf.DUMMYFUNCTION("""COMPUTED_VALUE"""),"Rollo cinta Rojo 51mmx 50 metros DG997-72S")</f>
        <v>Rollo cinta Rojo 51mmx 50 metros DG997-72S</v>
      </c>
      <c r="C1207" s="4">
        <f>IFERROR(__xludf.DUMMYFUNCTION("""COMPUTED_VALUE"""),127.05)</f>
        <v>127.05</v>
      </c>
      <c r="D1207" s="4"/>
      <c r="E1207" s="4" t="str">
        <f>IFERROR(__xludf.DUMMYFUNCTION("""COMPUTED_VALUE"""),"Sin precio neto G.C.")</f>
        <v>Sin precio neto G.C.</v>
      </c>
    </row>
    <row r="1208">
      <c r="A1208" s="4" t="str">
        <f>IFERROR(__xludf.DUMMYFUNCTION("""COMPUTED_VALUE"""),"1549")</f>
        <v>1549</v>
      </c>
      <c r="B1208" s="4" t="str">
        <f>IFERROR(__xludf.DUMMYFUNCTION("""COMPUTED_VALUE"""),"Rollo cinta amarilla 55MM x50metros DG983-71 ECE 104")</f>
        <v>Rollo cinta amarilla 55MM x50metros DG983-71 ECE 104</v>
      </c>
      <c r="C1208" s="4">
        <f>IFERROR(__xludf.DUMMYFUNCTION("""COMPUTED_VALUE"""),127.05)</f>
        <v>127.05</v>
      </c>
      <c r="D1208" s="4"/>
      <c r="E1208" s="4" t="str">
        <f>IFERROR(__xludf.DUMMYFUNCTION("""COMPUTED_VALUE"""),"Sin precio neto G.C.")</f>
        <v>Sin precio neto G.C.</v>
      </c>
    </row>
    <row r="1209">
      <c r="A1209" s="4" t="str">
        <f>IFERROR(__xludf.DUMMYFUNCTION("""COMPUTED_VALUE"""),"1549F")</f>
        <v>1549F</v>
      </c>
      <c r="B1209" s="4" t="str">
        <f>IFERROR(__xludf.DUMMYFUNCTION("""COMPUTED_VALUE"""),"Rollo cinta Amarilla 51mm x50 metros DG997-71S")</f>
        <v>Rollo cinta Amarilla 51mm x50 metros DG997-71S</v>
      </c>
      <c r="C1209" s="4">
        <f>IFERROR(__xludf.DUMMYFUNCTION("""COMPUTED_VALUE"""),127.05)</f>
        <v>127.05</v>
      </c>
      <c r="D1209" s="4"/>
      <c r="E1209" s="4" t="str">
        <f>IFERROR(__xludf.DUMMYFUNCTION("""COMPUTED_VALUE"""),"Sin precio neto G.C.")</f>
        <v>Sin precio neto G.C.</v>
      </c>
    </row>
    <row r="1210">
      <c r="A1210" s="4" t="str">
        <f>IFERROR(__xludf.DUMMYFUNCTION("""COMPUTED_VALUE"""),"1550")</f>
        <v>1550</v>
      </c>
      <c r="B1210" s="4" t="str">
        <f>IFERROR(__xludf.DUMMYFUNCTION("""COMPUTED_VALUE"""),"Rollo cinta reflectante adhesiva blanca 5 cm x 46 metros")</f>
        <v>Rollo cinta reflectante adhesiva blanca 5 cm x 46 metros</v>
      </c>
      <c r="C1210" s="4">
        <f>IFERROR(__xludf.DUMMYFUNCTION("""COMPUTED_VALUE"""),14.9)</f>
        <v>14.9</v>
      </c>
      <c r="D1210" s="4">
        <f>IFERROR(__xludf.DUMMYFUNCTION("""COMPUTED_VALUE"""),12.5)</f>
        <v>12.5</v>
      </c>
      <c r="E1210" s="4" t="str">
        <f>IFERROR(__xludf.DUMMYFUNCTION("""COMPUTED_VALUE"""),"Neto G.C.: 12,50 € (a partir de 12 uds.)")</f>
        <v>Neto G.C.: 12,50 € (a partir de 12 uds.)</v>
      </c>
    </row>
    <row r="1211">
      <c r="A1211" s="4" t="str">
        <f>IFERROR(__xludf.DUMMYFUNCTION("""COMPUTED_VALUE"""),"1551")</f>
        <v>1551</v>
      </c>
      <c r="B1211" s="4" t="str">
        <f>IFERROR(__xludf.DUMMYFUNCTION("""COMPUTED_VALUE"""),"Rollo (2 unid izq-dcha)señal. vehiculos V-2 9 mtros x 14,1 cm")</f>
        <v>Rollo (2 unid izq-dcha)señal. vehiculos V-2 9 mtros x 14,1 cm</v>
      </c>
      <c r="C1211" s="4">
        <f>IFERROR(__xludf.DUMMYFUNCTION("""COMPUTED_VALUE"""),170.625)</f>
        <v>170.625</v>
      </c>
      <c r="D1211" s="4"/>
      <c r="E1211" s="4" t="str">
        <f>IFERROR(__xludf.DUMMYFUNCTION("""COMPUTED_VALUE"""),"Sin precio neto G.C.")</f>
        <v>Sin precio neto G.C.</v>
      </c>
    </row>
    <row r="1212">
      <c r="A1212" s="4" t="str">
        <f>IFERROR(__xludf.DUMMYFUNCTION("""COMPUTED_VALUE"""),"1554")</f>
        <v>1554</v>
      </c>
      <c r="B1212" s="4" t="str">
        <f>IFERROR(__xludf.DUMMYFUNCTION("""COMPUTED_VALUE"""),"Rollo cinta luminiscente adhesiva 5 cm x 25 metros")</f>
        <v>Rollo cinta luminiscente adhesiva 5 cm x 25 metros</v>
      </c>
      <c r="C1212" s="4">
        <f>IFERROR(__xludf.DUMMYFUNCTION("""COMPUTED_VALUE"""),91.0)</f>
        <v>91</v>
      </c>
      <c r="D1212" s="4"/>
      <c r="E1212" s="4" t="str">
        <f>IFERROR(__xludf.DUMMYFUNCTION("""COMPUTED_VALUE"""),"Sin precio neto G.C.")</f>
        <v>Sin precio neto G.C.</v>
      </c>
    </row>
    <row r="1213">
      <c r="A1213" s="4" t="str">
        <f>IFERROR(__xludf.DUMMYFUNCTION("""COMPUTED_VALUE"""),"1555")</f>
        <v>1555</v>
      </c>
      <c r="B1213" s="4" t="str">
        <f>IFERROR(__xludf.DUMMYFUNCTION("""COMPUTED_VALUE"""),"Rollo cinta reflectante adhesiva R/B 5 cm x 45 metros")</f>
        <v>Rollo cinta reflectante adhesiva R/B 5 cm x 45 metros</v>
      </c>
      <c r="C1213" s="4">
        <f>IFERROR(__xludf.DUMMYFUNCTION("""COMPUTED_VALUE"""),14.9)</f>
        <v>14.9</v>
      </c>
      <c r="D1213" s="4">
        <f>IFERROR(__xludf.DUMMYFUNCTION("""COMPUTED_VALUE"""),12.5)</f>
        <v>12.5</v>
      </c>
      <c r="E1213" s="4" t="str">
        <f>IFERROR(__xludf.DUMMYFUNCTION("""COMPUTED_VALUE"""),"Neto G.C.: 12,50 € (a partir de 12 uds.)")</f>
        <v>Neto G.C.: 12,50 € (a partir de 12 uds.)</v>
      </c>
    </row>
    <row r="1214">
      <c r="A1214" s="4" t="str">
        <f>IFERROR(__xludf.DUMMYFUNCTION("""COMPUTED_VALUE"""),"1556")</f>
        <v>1556</v>
      </c>
      <c r="B1214" s="4" t="str">
        <f>IFERROR(__xludf.DUMMYFUNCTION("""COMPUTED_VALUE"""),"Rollo cinta reflectante adhesiva N/A 5 cm x 45 metros")</f>
        <v>Rollo cinta reflectante adhesiva N/A 5 cm x 45 metros</v>
      </c>
      <c r="C1214" s="4">
        <f>IFERROR(__xludf.DUMMYFUNCTION("""COMPUTED_VALUE"""),14.9)</f>
        <v>14.9</v>
      </c>
      <c r="D1214" s="4">
        <f>IFERROR(__xludf.DUMMYFUNCTION("""COMPUTED_VALUE"""),12.5)</f>
        <v>12.5</v>
      </c>
      <c r="E1214" s="4" t="str">
        <f>IFERROR(__xludf.DUMMYFUNCTION("""COMPUTED_VALUE"""),"Neto G.C.: 12,50 € (a partir de 12 uds.)")</f>
        <v>Neto G.C.: 12,50 € (a partir de 12 uds.)</v>
      </c>
    </row>
    <row r="1215">
      <c r="A1215" s="4" t="str">
        <f>IFERROR(__xludf.DUMMYFUNCTION("""COMPUTED_VALUE"""),"1557")</f>
        <v>1557</v>
      </c>
      <c r="B1215" s="4" t="str">
        <f>IFERROR(__xludf.DUMMYFUNCTION("""COMPUTED_VALUE"""),"Rollo Cinta 10 cm reflectante adhesiva R/B 45 metros")</f>
        <v>Rollo Cinta 10 cm reflectante adhesiva R/B 45 metros</v>
      </c>
      <c r="C1215" s="4">
        <f>IFERROR(__xludf.DUMMYFUNCTION("""COMPUTED_VALUE"""),27.3)</f>
        <v>27.3</v>
      </c>
      <c r="D1215" s="4">
        <f>IFERROR(__xludf.DUMMYFUNCTION("""COMPUTED_VALUE"""),21.0)</f>
        <v>21</v>
      </c>
      <c r="E1215" s="4" t="str">
        <f>IFERROR(__xludf.DUMMYFUNCTION("""COMPUTED_VALUE"""),"Neto G.C.: 21,00 € (a partir de 12 uds.)")</f>
        <v>Neto G.C.: 21,00 € (a partir de 12 uds.)</v>
      </c>
    </row>
    <row r="1216">
      <c r="A1216" s="4" t="str">
        <f>IFERROR(__xludf.DUMMYFUNCTION("""COMPUTED_VALUE"""),"1558")</f>
        <v>1558</v>
      </c>
      <c r="B1216" s="4" t="str">
        <f>IFERROR(__xludf.DUMMYFUNCTION("""COMPUTED_VALUE"""),"Rollo cinta 10 cm reflectante adhesiva N/A 45 metros")</f>
        <v>Rollo cinta 10 cm reflectante adhesiva N/A 45 metros</v>
      </c>
      <c r="C1216" s="4">
        <f>IFERROR(__xludf.DUMMYFUNCTION("""COMPUTED_VALUE"""),27.3)</f>
        <v>27.3</v>
      </c>
      <c r="D1216" s="4">
        <f>IFERROR(__xludf.DUMMYFUNCTION("""COMPUTED_VALUE"""),21.0)</f>
        <v>21</v>
      </c>
      <c r="E1216" s="4" t="str">
        <f>IFERROR(__xludf.DUMMYFUNCTION("""COMPUTED_VALUE"""),"Neto G.C.: 21,00 € (a partir de 12 uds.)")</f>
        <v>Neto G.C.: 21,00 € (a partir de 12 uds.)</v>
      </c>
    </row>
    <row r="1217">
      <c r="A1217" s="4" t="str">
        <f>IFERROR(__xludf.DUMMYFUNCTION("""COMPUTED_VALUE"""),"1559A")</f>
        <v>1559A</v>
      </c>
      <c r="B1217" s="4" t="str">
        <f>IFERROR(__xludf.DUMMYFUNCTION("""COMPUTED_VALUE"""),"Rollo Cinta Adhesiva personalizada 1 color 5cm x132 mts")</f>
        <v>Rollo Cinta Adhesiva personalizada 1 color 5cm x132 mts</v>
      </c>
      <c r="C1217" s="4">
        <f>IFERROR(__xludf.DUMMYFUNCTION("""COMPUTED_VALUE"""),2.95)</f>
        <v>2.95</v>
      </c>
      <c r="D1217" s="4"/>
      <c r="E1217" s="4" t="str">
        <f>IFERROR(__xludf.DUMMYFUNCTION("""COMPUTED_VALUE"""),"Sin precio neto G.C.")</f>
        <v>Sin precio neto G.C.</v>
      </c>
    </row>
    <row r="1218">
      <c r="A1218" s="4" t="str">
        <f>IFERROR(__xludf.DUMMYFUNCTION("""COMPUTED_VALUE"""),"1559B")</f>
        <v>1559B</v>
      </c>
      <c r="B1218" s="4" t="str">
        <f>IFERROR(__xludf.DUMMYFUNCTION("""COMPUTED_VALUE"""),"Rollo Cinta Adhesiva personalizada 2 colores 5cm x132 mts")</f>
        <v>Rollo Cinta Adhesiva personalizada 2 colores 5cm x132 mts</v>
      </c>
      <c r="C1218" s="4">
        <f>IFERROR(__xludf.DUMMYFUNCTION("""COMPUTED_VALUE"""),3.2)</f>
        <v>3.2</v>
      </c>
      <c r="D1218" s="4"/>
      <c r="E1218" s="4" t="str">
        <f>IFERROR(__xludf.DUMMYFUNCTION("""COMPUTED_VALUE"""),"Sin precio neto G.C.")</f>
        <v>Sin precio neto G.C.</v>
      </c>
    </row>
    <row r="1219">
      <c r="A1219" s="4" t="str">
        <f>IFERROR(__xludf.DUMMYFUNCTION("""COMPUTED_VALUE"""),"1559C")</f>
        <v>1559C</v>
      </c>
      <c r="B1219" s="4" t="str">
        <f>IFERROR(__xludf.DUMMYFUNCTION("""COMPUTED_VALUE"""),"Rollo Cinta Adhesiva personalizada 3 colores 5cm x132 mts")</f>
        <v>Rollo Cinta Adhesiva personalizada 3 colores 5cm x132 mts</v>
      </c>
      <c r="C1219" s="4">
        <f>IFERROR(__xludf.DUMMYFUNCTION("""COMPUTED_VALUE"""),3.7)</f>
        <v>3.7</v>
      </c>
      <c r="D1219" s="4"/>
      <c r="E1219" s="4" t="str">
        <f>IFERROR(__xludf.DUMMYFUNCTION("""COMPUTED_VALUE"""),"Sin precio neto G.C.")</f>
        <v>Sin precio neto G.C.</v>
      </c>
    </row>
    <row r="1220">
      <c r="A1220" s="4" t="str">
        <f>IFERROR(__xludf.DUMMYFUNCTION("""COMPUTED_VALUE"""),"1561A")</f>
        <v>1561A</v>
      </c>
      <c r="B1220" s="4" t="str">
        <f>IFERROR(__xludf.DUMMYFUNCTION("""COMPUTED_VALUE"""),"Cinta adhesiva 50 mm x 132 m Amarillo")</f>
        <v>Cinta adhesiva 50 mm x 132 m Amarillo</v>
      </c>
      <c r="C1220" s="4">
        <f>IFERROR(__xludf.DUMMYFUNCTION("""COMPUTED_VALUE"""),3.4)</f>
        <v>3.4</v>
      </c>
      <c r="D1220" s="4"/>
      <c r="E1220" s="4" t="str">
        <f>IFERROR(__xludf.DUMMYFUNCTION("""COMPUTED_VALUE"""),"Sin precio neto G.C.")</f>
        <v>Sin precio neto G.C.</v>
      </c>
    </row>
    <row r="1221">
      <c r="A1221" s="4" t="str">
        <f>IFERROR(__xludf.DUMMYFUNCTION("""COMPUTED_VALUE"""),"1561B")</f>
        <v>1561B</v>
      </c>
      <c r="B1221" s="4" t="str">
        <f>IFERROR(__xludf.DUMMYFUNCTION("""COMPUTED_VALUE"""),"Cinta adhesiva 50 mm x 132 m Blanco")</f>
        <v>Cinta adhesiva 50 mm x 132 m Blanco</v>
      </c>
      <c r="C1221" s="4">
        <f>IFERROR(__xludf.DUMMYFUNCTION("""COMPUTED_VALUE"""),3.4)</f>
        <v>3.4</v>
      </c>
      <c r="D1221" s="4"/>
      <c r="E1221" s="4" t="str">
        <f>IFERROR(__xludf.DUMMYFUNCTION("""COMPUTED_VALUE"""),"Sin precio neto G.C.")</f>
        <v>Sin precio neto G.C.</v>
      </c>
    </row>
    <row r="1222">
      <c r="A1222" s="4" t="str">
        <f>IFERROR(__xludf.DUMMYFUNCTION("""COMPUTED_VALUE"""),"1561N")</f>
        <v>1561N</v>
      </c>
      <c r="B1222" s="4" t="str">
        <f>IFERROR(__xludf.DUMMYFUNCTION("""COMPUTED_VALUE"""),"Cinta adhesiva 50 mm x 132 m Negro")</f>
        <v>Cinta adhesiva 50 mm x 132 m Negro</v>
      </c>
      <c r="C1222" s="4">
        <f>IFERROR(__xludf.DUMMYFUNCTION("""COMPUTED_VALUE"""),3.4)</f>
        <v>3.4</v>
      </c>
      <c r="D1222" s="4"/>
      <c r="E1222" s="4" t="str">
        <f>IFERROR(__xludf.DUMMYFUNCTION("""COMPUTED_VALUE"""),"Sin precio neto G.C.")</f>
        <v>Sin precio neto G.C.</v>
      </c>
    </row>
    <row r="1223">
      <c r="A1223" s="4" t="str">
        <f>IFERROR(__xludf.DUMMYFUNCTION("""COMPUTED_VALUE"""),"1561R")</f>
        <v>1561R</v>
      </c>
      <c r="B1223" s="4" t="str">
        <f>IFERROR(__xludf.DUMMYFUNCTION("""COMPUTED_VALUE"""),"Cinta adhesiva 50 mm x 132 m Rojo")</f>
        <v>Cinta adhesiva 50 mm x 132 m Rojo</v>
      </c>
      <c r="C1223" s="4">
        <f>IFERROR(__xludf.DUMMYFUNCTION("""COMPUTED_VALUE"""),3.4)</f>
        <v>3.4</v>
      </c>
      <c r="D1223" s="4"/>
      <c r="E1223" s="4" t="str">
        <f>IFERROR(__xludf.DUMMYFUNCTION("""COMPUTED_VALUE"""),"Sin precio neto G.C.")</f>
        <v>Sin precio neto G.C.</v>
      </c>
    </row>
    <row r="1224">
      <c r="A1224" s="4" t="str">
        <f>IFERROR(__xludf.DUMMYFUNCTION("""COMPUTED_VALUE"""),"1561V")</f>
        <v>1561V</v>
      </c>
      <c r="B1224" s="4" t="str">
        <f>IFERROR(__xludf.DUMMYFUNCTION("""COMPUTED_VALUE"""),"Cinta adhesiva 50 mm x 132 m Verde")</f>
        <v>Cinta adhesiva 50 mm x 132 m Verde</v>
      </c>
      <c r="C1224" s="4">
        <f>IFERROR(__xludf.DUMMYFUNCTION("""COMPUTED_VALUE"""),3.4)</f>
        <v>3.4</v>
      </c>
      <c r="D1224" s="4"/>
      <c r="E1224" s="4" t="str">
        <f>IFERROR(__xludf.DUMMYFUNCTION("""COMPUTED_VALUE"""),"Sin precio neto G.C.")</f>
        <v>Sin precio neto G.C.</v>
      </c>
    </row>
    <row r="1225">
      <c r="A1225" s="4" t="str">
        <f>IFERROR(__xludf.DUMMYFUNCTION("""COMPUTED_VALUE"""),"1561Z")</f>
        <v>1561Z</v>
      </c>
      <c r="B1225" s="4" t="str">
        <f>IFERROR(__xludf.DUMMYFUNCTION("""COMPUTED_VALUE"""),"Cinta adhesiva 50 mm x 132 m Azul")</f>
        <v>Cinta adhesiva 50 mm x 132 m Azul</v>
      </c>
      <c r="C1225" s="4">
        <f>IFERROR(__xludf.DUMMYFUNCTION("""COMPUTED_VALUE"""),3.4)</f>
        <v>3.4</v>
      </c>
      <c r="D1225" s="4"/>
      <c r="E1225" s="4" t="str">
        <f>IFERROR(__xludf.DUMMYFUNCTION("""COMPUTED_VALUE"""),"Sin precio neto G.C.")</f>
        <v>Sin precio neto G.C.</v>
      </c>
    </row>
    <row r="1226">
      <c r="A1226" s="4" t="str">
        <f>IFERROR(__xludf.DUMMYFUNCTION("""COMPUTED_VALUE"""),"1562")</f>
        <v>1562</v>
      </c>
      <c r="B1226" s="4" t="str">
        <f>IFERROR(__xludf.DUMMYFUNCTION("""COMPUTED_VALUE"""),"Rollo Cinta Señal. N/A 10cm x 200m. G300 2 caras")</f>
        <v>Rollo Cinta Señal. N/A 10cm x 200m. G300 2 caras</v>
      </c>
      <c r="C1226" s="4">
        <f>IFERROR(__xludf.DUMMYFUNCTION("""COMPUTED_VALUE"""),7.25)</f>
        <v>7.25</v>
      </c>
      <c r="D1226" s="4">
        <f>IFERROR(__xludf.DUMMYFUNCTION("""COMPUTED_VALUE"""),5.5)</f>
        <v>5.5</v>
      </c>
      <c r="E1226" s="4" t="str">
        <f>IFERROR(__xludf.DUMMYFUNCTION("""COMPUTED_VALUE"""),"Neto G.C.: 5,50 € (a partir de 20 uds.)")</f>
        <v>Neto G.C.: 5,50 € (a partir de 20 uds.)</v>
      </c>
    </row>
    <row r="1227">
      <c r="A1227" s="4" t="str">
        <f>IFERROR(__xludf.DUMMYFUNCTION("""COMPUTED_VALUE"""),"1563")</f>
        <v>1563</v>
      </c>
      <c r="B1227" s="4" t="str">
        <f>IFERROR(__xludf.DUMMYFUNCTION("""COMPUTED_VALUE"""),"Rollo Cinta Adhesiva N/A 5cm x132 mts")</f>
        <v>Rollo Cinta Adhesiva N/A 5cm x132 mts</v>
      </c>
      <c r="C1227" s="4">
        <f>IFERROR(__xludf.DUMMYFUNCTION("""COMPUTED_VALUE"""),3.9)</f>
        <v>3.9</v>
      </c>
      <c r="D1227" s="4"/>
      <c r="E1227" s="4" t="str">
        <f>IFERROR(__xludf.DUMMYFUNCTION("""COMPUTED_VALUE"""),"Sin precio neto G.C.")</f>
        <v>Sin precio neto G.C.</v>
      </c>
    </row>
    <row r="1228">
      <c r="A1228" s="4" t="str">
        <f>IFERROR(__xludf.DUMMYFUNCTION("""COMPUTED_VALUE"""),"1564")</f>
        <v>1564</v>
      </c>
      <c r="B1228" s="4" t="str">
        <f>IFERROR(__xludf.DUMMYFUNCTION("""COMPUTED_VALUE"""),"Rollo Cinta Adhesiva B/R 5cm x132 mts")</f>
        <v>Rollo Cinta Adhesiva B/R 5cm x132 mts</v>
      </c>
      <c r="C1228" s="4">
        <f>IFERROR(__xludf.DUMMYFUNCTION("""COMPUTED_VALUE"""),3.9)</f>
        <v>3.9</v>
      </c>
      <c r="D1228" s="4"/>
      <c r="E1228" s="4" t="str">
        <f>IFERROR(__xludf.DUMMYFUNCTION("""COMPUTED_VALUE"""),"Sin precio neto G.C.")</f>
        <v>Sin precio neto G.C.</v>
      </c>
    </row>
    <row r="1229">
      <c r="A1229" s="4" t="str">
        <f>IFERROR(__xludf.DUMMYFUNCTION("""COMPUTED_VALUE"""),"1565")</f>
        <v>1565</v>
      </c>
      <c r="B1229" s="4" t="str">
        <f>IFERROR(__xludf.DUMMYFUNCTION("""COMPUTED_VALUE"""),"Rollo cinta Señal. R/B 10cm X 200m. plata")</f>
        <v>Rollo cinta Señal. R/B 10cm X 200m. plata</v>
      </c>
      <c r="C1229" s="4">
        <f>IFERROR(__xludf.DUMMYFUNCTION("""COMPUTED_VALUE"""),9.2)</f>
        <v>9.2</v>
      </c>
      <c r="D1229" s="4"/>
      <c r="E1229" s="4" t="str">
        <f>IFERROR(__xludf.DUMMYFUNCTION("""COMPUTED_VALUE"""),"Sin precio neto G.C.")</f>
        <v>Sin precio neto G.C.</v>
      </c>
    </row>
    <row r="1230">
      <c r="A1230" s="4" t="str">
        <f>IFERROR(__xludf.DUMMYFUNCTION("""COMPUTED_VALUE"""),"1566")</f>
        <v>1566</v>
      </c>
      <c r="B1230" s="4" t="str">
        <f>IFERROR(__xludf.DUMMYFUNCTION("""COMPUTED_VALUE"""),"Rollo cinta Señal. R/B10cmx200m. c/caja G400")</f>
        <v>Rollo cinta Señal. R/B10cmx200m. c/caja G400</v>
      </c>
      <c r="C1230" s="4">
        <f>IFERROR(__xludf.DUMMYFUNCTION("""COMPUTED_VALUE"""),7.88)</f>
        <v>7.88</v>
      </c>
      <c r="D1230" s="4"/>
      <c r="E1230" s="4" t="str">
        <f>IFERROR(__xludf.DUMMYFUNCTION("""COMPUTED_VALUE"""),"Sin precio neto G.C.")</f>
        <v>Sin precio neto G.C.</v>
      </c>
    </row>
    <row r="1231">
      <c r="A1231" s="4" t="str">
        <f>IFERROR(__xludf.DUMMYFUNCTION("""COMPUTED_VALUE"""),"1567")</f>
        <v>1567</v>
      </c>
      <c r="B1231" s="4" t="str">
        <f>IFERROR(__xludf.DUMMYFUNCTION("""COMPUTED_VALUE"""),"Rollo cinta R/B 10cm x 200m. G400")</f>
        <v>Rollo cinta R/B 10cm x 200m. G400</v>
      </c>
      <c r="C1231" s="4">
        <f>IFERROR(__xludf.DUMMYFUNCTION("""COMPUTED_VALUE"""),8.25)</f>
        <v>8.25</v>
      </c>
      <c r="D1231" s="4"/>
      <c r="E1231" s="4" t="str">
        <f>IFERROR(__xludf.DUMMYFUNCTION("""COMPUTED_VALUE"""),"Sin precio neto G.C.")</f>
        <v>Sin precio neto G.C.</v>
      </c>
    </row>
    <row r="1232">
      <c r="A1232" s="4" t="str">
        <f>IFERROR(__xludf.DUMMYFUNCTION("""COMPUTED_VALUE"""),"1568")</f>
        <v>1568</v>
      </c>
      <c r="B1232" s="4" t="str">
        <f>IFERROR(__xludf.DUMMYFUNCTION("""COMPUTED_VALUE"""),"Rollo cinta Señal. R/B 7cm x 200m. c/caja")</f>
        <v>Rollo cinta Señal. R/B 7cm x 200m. c/caja</v>
      </c>
      <c r="C1232" s="4">
        <f>IFERROR(__xludf.DUMMYFUNCTION("""COMPUTED_VALUE"""),2.25)</f>
        <v>2.25</v>
      </c>
      <c r="D1232" s="4"/>
      <c r="E1232" s="4" t="str">
        <f>IFERROR(__xludf.DUMMYFUNCTION("""COMPUTED_VALUE"""),"Sin precio neto G.C.")</f>
        <v>Sin precio neto G.C.</v>
      </c>
    </row>
    <row r="1233">
      <c r="A1233" s="4" t="str">
        <f>IFERROR(__xludf.DUMMYFUNCTION("""COMPUTED_VALUE"""),"1569")</f>
        <v>1569</v>
      </c>
      <c r="B1233" s="4" t="str">
        <f>IFERROR(__xludf.DUMMYFUNCTION("""COMPUTED_VALUE"""),"Rollo cinta R/B 10cm x 200m. c/caja G300")</f>
        <v>Rollo cinta R/B 10cm x 200m. c/caja G300</v>
      </c>
      <c r="C1233" s="4">
        <f>IFERROR(__xludf.DUMMYFUNCTION("""COMPUTED_VALUE"""),8.1)</f>
        <v>8.1</v>
      </c>
      <c r="D1233" s="4"/>
      <c r="E1233" s="4" t="str">
        <f>IFERROR(__xludf.DUMMYFUNCTION("""COMPUTED_VALUE"""),"Sin precio neto G.C.")</f>
        <v>Sin precio neto G.C.</v>
      </c>
    </row>
    <row r="1234">
      <c r="A1234" s="4" t="str">
        <f>IFERROR(__xludf.DUMMYFUNCTION("""COMPUTED_VALUE"""),"1570")</f>
        <v>1570</v>
      </c>
      <c r="B1234" s="4" t="str">
        <f>IFERROR(__xludf.DUMMYFUNCTION("""COMPUTED_VALUE"""),"Rollo cinta Señal.R-B 10cm x 200m. G300 2 caras")</f>
        <v>Rollo cinta Señal.R-B 10cm x 200m. G300 2 caras</v>
      </c>
      <c r="C1234" s="4">
        <f>IFERROR(__xludf.DUMMYFUNCTION("""COMPUTED_VALUE"""),7.25)</f>
        <v>7.25</v>
      </c>
      <c r="D1234" s="4">
        <f>IFERROR(__xludf.DUMMYFUNCTION("""COMPUTED_VALUE"""),5.5)</f>
        <v>5.5</v>
      </c>
      <c r="E1234" s="4" t="str">
        <f>IFERROR(__xludf.DUMMYFUNCTION("""COMPUTED_VALUE"""),"Neto G.C.: 5,50 € (a partir de 20 uds.)")</f>
        <v>Neto G.C.: 5,50 € (a partir de 20 uds.)</v>
      </c>
    </row>
    <row r="1235">
      <c r="A1235" s="4" t="str">
        <f>IFERROR(__xludf.DUMMYFUNCTION("""COMPUTED_VALUE"""),"1570V")</f>
        <v>1570V</v>
      </c>
      <c r="B1235" s="4" t="str">
        <f>IFERROR(__xludf.DUMMYFUNCTION("""COMPUTED_VALUE"""),"Rollo cinta Señal.V/B 10cm x 200 m G300 2 caras")</f>
        <v>Rollo cinta Señal.V/B 10cm x 200 m G300 2 caras</v>
      </c>
      <c r="C1235" s="4">
        <f>IFERROR(__xludf.DUMMYFUNCTION("""COMPUTED_VALUE"""),7.25)</f>
        <v>7.25</v>
      </c>
      <c r="D1235" s="4">
        <f>IFERROR(__xludf.DUMMYFUNCTION("""COMPUTED_VALUE"""),5.5)</f>
        <v>5.5</v>
      </c>
      <c r="E1235" s="4" t="str">
        <f>IFERROR(__xludf.DUMMYFUNCTION("""COMPUTED_VALUE"""),"Neto G.C.: 5,50 € (a partir de 20 uds.)")</f>
        <v>Neto G.C.: 5,50 € (a partir de 20 uds.)</v>
      </c>
    </row>
    <row r="1236">
      <c r="A1236" s="4" t="str">
        <f>IFERROR(__xludf.DUMMYFUNCTION("""COMPUTED_VALUE"""),"1570Z")</f>
        <v>1570Z</v>
      </c>
      <c r="B1236" s="4" t="str">
        <f>IFERROR(__xludf.DUMMYFUNCTION("""COMPUTED_VALUE"""),"Rollo cinta Señal. B/A 10 cm x 200m. G300 2 caras")</f>
        <v>Rollo cinta Señal. B/A 10 cm x 200m. G300 2 caras</v>
      </c>
      <c r="C1236" s="4">
        <f>IFERROR(__xludf.DUMMYFUNCTION("""COMPUTED_VALUE"""),7.25)</f>
        <v>7.25</v>
      </c>
      <c r="D1236" s="4">
        <f>IFERROR(__xludf.DUMMYFUNCTION("""COMPUTED_VALUE"""),5.5)</f>
        <v>5.5</v>
      </c>
      <c r="E1236" s="4" t="str">
        <f>IFERROR(__xludf.DUMMYFUNCTION("""COMPUTED_VALUE"""),"Neto G.C.: 5,50 € (a partir de 20 uds.)")</f>
        <v>Neto G.C.: 5,50 € (a partir de 20 uds.)</v>
      </c>
    </row>
    <row r="1237">
      <c r="A1237" s="4" t="str">
        <f>IFERROR(__xludf.DUMMYFUNCTION("""COMPUTED_VALUE"""),"1571")</f>
        <v>1571</v>
      </c>
      <c r="B1237" s="4" t="str">
        <f>IFERROR(__xludf.DUMMYFUNCTION("""COMPUTED_VALUE"""),"Rollo cinta Señal. 7cm x 200m. s/caja")</f>
        <v>Rollo cinta Señal. 7cm x 200m. s/caja</v>
      </c>
      <c r="C1237" s="4">
        <f>IFERROR(__xludf.DUMMYFUNCTION("""COMPUTED_VALUE"""),1.99)</f>
        <v>1.99</v>
      </c>
      <c r="D1237" s="4">
        <f>IFERROR(__xludf.DUMMYFUNCTION("""COMPUTED_VALUE"""),1.8)</f>
        <v>1.8</v>
      </c>
      <c r="E1237" s="4" t="str">
        <f>IFERROR(__xludf.DUMMYFUNCTION("""COMPUTED_VALUE"""),"Neto G.C.: 1,80 € (a partir de 24 uds.)")</f>
        <v>Neto G.C.: 1,80 € (a partir de 24 uds.)</v>
      </c>
    </row>
    <row r="1238">
      <c r="A1238" s="4" t="str">
        <f>IFERROR(__xludf.DUMMYFUNCTION("""COMPUTED_VALUE"""),"1572")</f>
        <v>1572</v>
      </c>
      <c r="B1238" s="4" t="str">
        <f>IFERROR(__xludf.DUMMYFUNCTION("""COMPUTED_VALUE"""),"Rollo cinta Señal. 15cm x 200m. TELECOMUNICACIONES")</f>
        <v>Rollo cinta Señal. 15cm x 200m. TELECOMUNICACIONES</v>
      </c>
      <c r="C1238" s="4">
        <f>IFERROR(__xludf.DUMMYFUNCTION("""COMPUTED_VALUE"""),11.95)</f>
        <v>11.95</v>
      </c>
      <c r="D1238" s="4">
        <f>IFERROR(__xludf.DUMMYFUNCTION("""COMPUTED_VALUE"""),9.6)</f>
        <v>9.6</v>
      </c>
      <c r="E1238" s="4" t="str">
        <f>IFERROR(__xludf.DUMMYFUNCTION("""COMPUTED_VALUE"""),"Neto G.C.: 9,60 € (a partir de 12 uds.)")</f>
        <v>Neto G.C.: 9,60 € (a partir de 12 uds.)</v>
      </c>
    </row>
    <row r="1239">
      <c r="A1239" s="4" t="str">
        <f>IFERROR(__xludf.DUMMYFUNCTION("""COMPUTED_VALUE"""),"1572M")</f>
        <v>1572M</v>
      </c>
      <c r="B1239" s="4" t="str">
        <f>IFERROR(__xludf.DUMMYFUNCTION("""COMPUTED_VALUE"""),"Malla verde señalización telecomunicaciones 33 cm x 200 m")</f>
        <v>Malla verde señalización telecomunicaciones 33 cm x 200 m</v>
      </c>
      <c r="C1239" s="4">
        <f>IFERROR(__xludf.DUMMYFUNCTION("""COMPUTED_VALUE"""),33.0)</f>
        <v>33</v>
      </c>
      <c r="D1239" s="4"/>
      <c r="E1239" s="4" t="str">
        <f>IFERROR(__xludf.DUMMYFUNCTION("""COMPUTED_VALUE"""),"Sin precio neto G.C.")</f>
        <v>Sin precio neto G.C.</v>
      </c>
    </row>
    <row r="1240">
      <c r="A1240" s="4" t="str">
        <f>IFERROR(__xludf.DUMMYFUNCTION("""COMPUTED_VALUE"""),"1573")</f>
        <v>1573</v>
      </c>
      <c r="B1240" s="4" t="str">
        <f>IFERROR(__xludf.DUMMYFUNCTION("""COMPUTED_VALUE"""),"Rollo cinta Señal. 15cm x 200m. AGUA")</f>
        <v>Rollo cinta Señal. 15cm x 200m. AGUA</v>
      </c>
      <c r="C1240" s="4">
        <f>IFERROR(__xludf.DUMMYFUNCTION("""COMPUTED_VALUE"""),11.95)</f>
        <v>11.95</v>
      </c>
      <c r="D1240" s="4">
        <f>IFERROR(__xludf.DUMMYFUNCTION("""COMPUTED_VALUE"""),9.6)</f>
        <v>9.6</v>
      </c>
      <c r="E1240" s="4" t="str">
        <f>IFERROR(__xludf.DUMMYFUNCTION("""COMPUTED_VALUE"""),"Neto G.C.: 9,60 € (a partir de 12 uds.)")</f>
        <v>Neto G.C.: 9,60 € (a partir de 12 uds.)</v>
      </c>
    </row>
    <row r="1241">
      <c r="A1241" s="4" t="str">
        <f>IFERROR(__xludf.DUMMYFUNCTION("""COMPUTED_VALUE"""),"1573M")</f>
        <v>1573M</v>
      </c>
      <c r="B1241" s="4" t="str">
        <f>IFERROR(__xludf.DUMMYFUNCTION("""COMPUTED_VALUE"""),"Malla azul señalización agua 33 cm x 200 m")</f>
        <v>Malla azul señalización agua 33 cm x 200 m</v>
      </c>
      <c r="C1241" s="4">
        <f>IFERROR(__xludf.DUMMYFUNCTION("""COMPUTED_VALUE"""),33.0)</f>
        <v>33</v>
      </c>
      <c r="D1241" s="4"/>
      <c r="E1241" s="4" t="str">
        <f>IFERROR(__xludf.DUMMYFUNCTION("""COMPUTED_VALUE"""),"Sin precio neto G.C.")</f>
        <v>Sin precio neto G.C.</v>
      </c>
    </row>
    <row r="1242">
      <c r="A1242" s="4" t="str">
        <f>IFERROR(__xludf.DUMMYFUNCTION("""COMPUTED_VALUE"""),"1574")</f>
        <v>1574</v>
      </c>
      <c r="B1242" s="4" t="str">
        <f>IFERROR(__xludf.DUMMYFUNCTION("""COMPUTED_VALUE"""),"Rollo cinta Señal. 15cm x 200m. GAS")</f>
        <v>Rollo cinta Señal. 15cm x 200m. GAS</v>
      </c>
      <c r="C1242" s="4">
        <f>IFERROR(__xludf.DUMMYFUNCTION("""COMPUTED_VALUE"""),11.95)</f>
        <v>11.95</v>
      </c>
      <c r="D1242" s="4">
        <f>IFERROR(__xludf.DUMMYFUNCTION("""COMPUTED_VALUE"""),9.6)</f>
        <v>9.6</v>
      </c>
      <c r="E1242" s="4" t="str">
        <f>IFERROR(__xludf.DUMMYFUNCTION("""COMPUTED_VALUE"""),"Neto G.C.: 9,60 € (a partir de 12 uds.)")</f>
        <v>Neto G.C.: 9,60 € (a partir de 12 uds.)</v>
      </c>
    </row>
    <row r="1243">
      <c r="A1243" s="4" t="str">
        <f>IFERROR(__xludf.DUMMYFUNCTION("""COMPUTED_VALUE"""),"1574M")</f>
        <v>1574M</v>
      </c>
      <c r="B1243" s="4" t="str">
        <f>IFERROR(__xludf.DUMMYFUNCTION("""COMPUTED_VALUE"""),"Malla amarilla señalización gas 33 cm x 200 m")</f>
        <v>Malla amarilla señalización gas 33 cm x 200 m</v>
      </c>
      <c r="C1243" s="4">
        <f>IFERROR(__xludf.DUMMYFUNCTION("""COMPUTED_VALUE"""),33.0)</f>
        <v>33</v>
      </c>
      <c r="D1243" s="4"/>
      <c r="E1243" s="4" t="str">
        <f>IFERROR(__xludf.DUMMYFUNCTION("""COMPUTED_VALUE"""),"Sin precio neto G.C.")</f>
        <v>Sin precio neto G.C.</v>
      </c>
    </row>
    <row r="1244">
      <c r="A1244" s="4" t="str">
        <f>IFERROR(__xludf.DUMMYFUNCTION("""COMPUTED_VALUE"""),"1575")</f>
        <v>1575</v>
      </c>
      <c r="B1244" s="4" t="str">
        <f>IFERROR(__xludf.DUMMYFUNCTION("""COMPUTED_VALUE"""),"Rollo cinta Señal. 15cm x 200m. ELECTRI")</f>
        <v>Rollo cinta Señal. 15cm x 200m. ELECTRI</v>
      </c>
      <c r="C1244" s="4">
        <f>IFERROR(__xludf.DUMMYFUNCTION("""COMPUTED_VALUE"""),11.95)</f>
        <v>11.95</v>
      </c>
      <c r="D1244" s="4">
        <f>IFERROR(__xludf.DUMMYFUNCTION("""COMPUTED_VALUE"""),9.6)</f>
        <v>9.6</v>
      </c>
      <c r="E1244" s="4" t="str">
        <f>IFERROR(__xludf.DUMMYFUNCTION("""COMPUTED_VALUE"""),"Neto G.C.: 9,60 € (a partir de 12 uds.)")</f>
        <v>Neto G.C.: 9,60 € (a partir de 12 uds.)</v>
      </c>
    </row>
    <row r="1245">
      <c r="A1245" s="4" t="str">
        <f>IFERROR(__xludf.DUMMYFUNCTION("""COMPUTED_VALUE"""),"1575M")</f>
        <v>1575M</v>
      </c>
      <c r="B1245" s="4" t="str">
        <f>IFERROR(__xludf.DUMMYFUNCTION("""COMPUTED_VALUE"""),"Malla roja señalización electricidad 33 cm x 200 m")</f>
        <v>Malla roja señalización electricidad 33 cm x 200 m</v>
      </c>
      <c r="C1245" s="4">
        <f>IFERROR(__xludf.DUMMYFUNCTION("""COMPUTED_VALUE"""),33.0)</f>
        <v>33</v>
      </c>
      <c r="D1245" s="4"/>
      <c r="E1245" s="4" t="str">
        <f>IFERROR(__xludf.DUMMYFUNCTION("""COMPUTED_VALUE"""),"Sin precio neto G.C.")</f>
        <v>Sin precio neto G.C.</v>
      </c>
    </row>
    <row r="1246">
      <c r="A1246" s="4" t="str">
        <f>IFERROR(__xludf.DUMMYFUNCTION("""COMPUTED_VALUE"""),"1575P")</f>
        <v>1575P</v>
      </c>
      <c r="B1246" s="4" t="str">
        <f>IFERROR(__xludf.DUMMYFUNCTION("""COMPUTED_VALUE"""),"Placa señalización eléctrica 1000x250x2.5")</f>
        <v>Placa señalización eléctrica 1000x250x2.5</v>
      </c>
      <c r="C1246" s="4">
        <f>IFERROR(__xludf.DUMMYFUNCTION("""COMPUTED_VALUE"""),1.5)</f>
        <v>1.5</v>
      </c>
      <c r="D1246" s="4"/>
      <c r="E1246" s="4" t="str">
        <f>IFERROR(__xludf.DUMMYFUNCTION("""COMPUTED_VALUE"""),"Sin precio neto G.C.")</f>
        <v>Sin precio neto G.C.</v>
      </c>
    </row>
    <row r="1247">
      <c r="A1247" s="4" t="str">
        <f>IFERROR(__xludf.DUMMYFUNCTION("""COMPUTED_VALUE"""),"1576")</f>
        <v>1576</v>
      </c>
      <c r="B1247" s="4" t="str">
        <f>IFERROR(__xludf.DUMMYFUNCTION("""COMPUTED_VALUE"""),"Rollo cinta Señal. 10cm x 200m. POLICIA")</f>
        <v>Rollo cinta Señal. 10cm x 200m. POLICIA</v>
      </c>
      <c r="C1247" s="4">
        <f>IFERROR(__xludf.DUMMYFUNCTION("""COMPUTED_VALUE"""),8.8)</f>
        <v>8.8</v>
      </c>
      <c r="D1247" s="4"/>
      <c r="E1247" s="4" t="str">
        <f>IFERROR(__xludf.DUMMYFUNCTION("""COMPUTED_VALUE"""),"Sin precio neto G.C.")</f>
        <v>Sin precio neto G.C.</v>
      </c>
    </row>
    <row r="1248">
      <c r="A1248" s="4" t="str">
        <f>IFERROR(__xludf.DUMMYFUNCTION("""COMPUTED_VALUE"""),"1577")</f>
        <v>1577</v>
      </c>
      <c r="B1248" s="4" t="str">
        <f>IFERROR(__xludf.DUMMYFUNCTION("""COMPUTED_VALUE"""),"Rollo cinta adhesiva amarilla suelo marcacion temporal")</f>
        <v>Rollo cinta adhesiva amarilla suelo marcacion temporal</v>
      </c>
      <c r="C1248" s="4">
        <f>IFERROR(__xludf.DUMMYFUNCTION("""COMPUTED_VALUE"""),112.5)</f>
        <v>112.5</v>
      </c>
      <c r="D1248" s="4"/>
      <c r="E1248" s="4" t="str">
        <f>IFERROR(__xludf.DUMMYFUNCTION("""COMPUTED_VALUE"""),"Sin precio neto G.C.")</f>
        <v>Sin precio neto G.C.</v>
      </c>
    </row>
    <row r="1249">
      <c r="A1249" s="4" t="str">
        <f>IFERROR(__xludf.DUMMYFUNCTION("""COMPUTED_VALUE"""),"1577K")</f>
        <v>1577K</v>
      </c>
      <c r="B1249" s="4" t="str">
        <f>IFERROR(__xludf.DUMMYFUNCTION("""COMPUTED_VALUE"""),"Rollo cinta adhesiva negra suelo marcacion temporal")</f>
        <v>Rollo cinta adhesiva negra suelo marcacion temporal</v>
      </c>
      <c r="C1249" s="4">
        <f>IFERROR(__xludf.DUMMYFUNCTION("""COMPUTED_VALUE"""),112.5)</f>
        <v>112.5</v>
      </c>
      <c r="D1249" s="4"/>
      <c r="E1249" s="4" t="str">
        <f>IFERROR(__xludf.DUMMYFUNCTION("""COMPUTED_VALUE"""),"Sin precio neto G.C.")</f>
        <v>Sin precio neto G.C.</v>
      </c>
    </row>
    <row r="1250">
      <c r="A1250" s="4" t="str">
        <f>IFERROR(__xludf.DUMMYFUNCTION("""COMPUTED_VALUE"""),"1577W")</f>
        <v>1577W</v>
      </c>
      <c r="B1250" s="4" t="str">
        <f>IFERROR(__xludf.DUMMYFUNCTION("""COMPUTED_VALUE"""),"Rollo cinta adhesiva blanca suelo marcacion temporal")</f>
        <v>Rollo cinta adhesiva blanca suelo marcacion temporal</v>
      </c>
      <c r="C1250" s="4">
        <f>IFERROR(__xludf.DUMMYFUNCTION("""COMPUTED_VALUE"""),112.5)</f>
        <v>112.5</v>
      </c>
      <c r="D1250" s="4"/>
      <c r="E1250" s="4" t="str">
        <f>IFERROR(__xludf.DUMMYFUNCTION("""COMPUTED_VALUE"""),"Sin precio neto G.C.")</f>
        <v>Sin precio neto G.C.</v>
      </c>
    </row>
    <row r="1251">
      <c r="A1251" s="4" t="str">
        <f>IFERROR(__xludf.DUMMYFUNCTION("""COMPUTED_VALUE"""),"1578")</f>
        <v>1578</v>
      </c>
      <c r="B1251" s="4" t="str">
        <f>IFERROR(__xludf.DUMMYFUNCTION("""COMPUTED_VALUE"""),"Rollo cinta Señal.N/A 10cm x200m c/caja G400")</f>
        <v>Rollo cinta Señal.N/A 10cm x200m c/caja G400</v>
      </c>
      <c r="C1251" s="4">
        <f>IFERROR(__xludf.DUMMYFUNCTION("""COMPUTED_VALUE"""),8.82)</f>
        <v>8.82</v>
      </c>
      <c r="D1251" s="4"/>
      <c r="E1251" s="4" t="str">
        <f>IFERROR(__xludf.DUMMYFUNCTION("""COMPUTED_VALUE"""),"Sin precio neto G.C.")</f>
        <v>Sin precio neto G.C.</v>
      </c>
    </row>
    <row r="1252">
      <c r="A1252" s="4" t="str">
        <f>IFERROR(__xludf.DUMMYFUNCTION("""COMPUTED_VALUE"""),"1579")</f>
        <v>1579</v>
      </c>
      <c r="B1252" s="4" t="str">
        <f>IFERROR(__xludf.DUMMYFUNCTION("""COMPUTED_VALUE"""),"Rollo cinta Señal. N/A 10cm. x 200m. G400")</f>
        <v>Rollo cinta Señal. N/A 10cm. x 200m. G400</v>
      </c>
      <c r="C1252" s="4">
        <f>IFERROR(__xludf.DUMMYFUNCTION("""COMPUTED_VALUE"""),8.25)</f>
        <v>8.25</v>
      </c>
      <c r="D1252" s="4"/>
      <c r="E1252" s="4" t="str">
        <f>IFERROR(__xludf.DUMMYFUNCTION("""COMPUTED_VALUE"""),"Sin precio neto G.C.")</f>
        <v>Sin precio neto G.C.</v>
      </c>
    </row>
    <row r="1253">
      <c r="A1253" s="4" t="str">
        <f>IFERROR(__xludf.DUMMYFUNCTION("""COMPUTED_VALUE"""),"1580")</f>
        <v>1580</v>
      </c>
      <c r="B1253" s="4" t="str">
        <f>IFERROR(__xludf.DUMMYFUNCTION("""COMPUTED_VALUE"""),"Mts. Banderola Quitamiedos c/reflec")</f>
        <v>Mts. Banderola Quitamiedos c/reflec</v>
      </c>
      <c r="C1253" s="4">
        <f>IFERROR(__xludf.DUMMYFUNCTION("""COMPUTED_VALUE"""),0.68)</f>
        <v>0.68</v>
      </c>
      <c r="D1253" s="4"/>
      <c r="E1253" s="4" t="str">
        <f>IFERROR(__xludf.DUMMYFUNCTION("""COMPUTED_VALUE"""),"Sin precio neto G.C.")</f>
        <v>Sin precio neto G.C.</v>
      </c>
    </row>
    <row r="1254">
      <c r="A1254" s="4" t="str">
        <f>IFERROR(__xludf.DUMMYFUNCTION("""COMPUTED_VALUE"""),"1581")</f>
        <v>1581</v>
      </c>
      <c r="B1254" s="4" t="str">
        <f>IFERROR(__xludf.DUMMYFUNCTION("""COMPUTED_VALUE"""),"Mts. Banderola Quitamiedos s/reflectante")</f>
        <v>Mts. Banderola Quitamiedos s/reflectante</v>
      </c>
      <c r="C1254" s="4">
        <f>IFERROR(__xludf.DUMMYFUNCTION("""COMPUTED_VALUE"""),0.34)</f>
        <v>0.34</v>
      </c>
      <c r="D1254" s="4"/>
      <c r="E1254" s="4" t="str">
        <f>IFERROR(__xludf.DUMMYFUNCTION("""COMPUTED_VALUE"""),"Sin precio neto G.C.")</f>
        <v>Sin precio neto G.C.</v>
      </c>
    </row>
    <row r="1255">
      <c r="A1255" s="4" t="str">
        <f>IFERROR(__xludf.DUMMYFUNCTION("""COMPUTED_VALUE"""),"1582")</f>
        <v>1582</v>
      </c>
      <c r="B1255" s="4" t="str">
        <f>IFERROR(__xludf.DUMMYFUNCTION("""COMPUTED_VALUE"""),"Rollos cinta Señal. 10cm x 200m. PROTECCION CIVIL")</f>
        <v>Rollos cinta Señal. 10cm x 200m. PROTECCION CIVIL</v>
      </c>
      <c r="C1255" s="4">
        <f>IFERROR(__xludf.DUMMYFUNCTION("""COMPUTED_VALUE"""),8.25)</f>
        <v>8.25</v>
      </c>
      <c r="D1255" s="4"/>
      <c r="E1255" s="4" t="str">
        <f>IFERROR(__xludf.DUMMYFUNCTION("""COMPUTED_VALUE"""),"Sin precio neto G.C.")</f>
        <v>Sin precio neto G.C.</v>
      </c>
    </row>
    <row r="1256">
      <c r="A1256" s="4" t="str">
        <f>IFERROR(__xludf.DUMMYFUNCTION("""COMPUTED_VALUE"""),"1583")</f>
        <v>1583</v>
      </c>
      <c r="B1256" s="4" t="str">
        <f>IFERROR(__xludf.DUMMYFUNCTION("""COMPUTED_VALUE"""),"Rollo cinta Señal.N/A 10cm x 200m. G300 AMIANTO")</f>
        <v>Rollo cinta Señal.N/A 10cm x 200m. G300 AMIANTO</v>
      </c>
      <c r="C1256" s="4">
        <f>IFERROR(__xludf.DUMMYFUNCTION("""COMPUTED_VALUE"""),6.95)</f>
        <v>6.95</v>
      </c>
      <c r="D1256" s="4"/>
      <c r="E1256" s="4" t="str">
        <f>IFERROR(__xludf.DUMMYFUNCTION("""COMPUTED_VALUE"""),"Sin precio neto G.C.")</f>
        <v>Sin precio neto G.C.</v>
      </c>
    </row>
    <row r="1257">
      <c r="A1257" s="4" t="str">
        <f>IFERROR(__xludf.DUMMYFUNCTION("""COMPUTED_VALUE"""),"1585")</f>
        <v>1585</v>
      </c>
      <c r="B1257" s="4" t="str">
        <f>IFERROR(__xludf.DUMMYFUNCTION("""COMPUTED_VALUE"""),"Rollo cinta Señal. 10cm x 200m. NARANJA")</f>
        <v>Rollo cinta Señal. 10cm x 200m. NARANJA</v>
      </c>
      <c r="C1257" s="4">
        <f>IFERROR(__xludf.DUMMYFUNCTION("""COMPUTED_VALUE"""),7.25)</f>
        <v>7.25</v>
      </c>
      <c r="D1257" s="4"/>
      <c r="E1257" s="4" t="str">
        <f>IFERROR(__xludf.DUMMYFUNCTION("""COMPUTED_VALUE"""),"Sin precio neto G.C.")</f>
        <v>Sin precio neto G.C.</v>
      </c>
    </row>
    <row r="1258">
      <c r="A1258" s="4" t="str">
        <f>IFERROR(__xludf.DUMMYFUNCTION("""COMPUTED_VALUE"""),"1586")</f>
        <v>1586</v>
      </c>
      <c r="B1258" s="4" t="str">
        <f>IFERROR(__xludf.DUMMYFUNCTION("""COMPUTED_VALUE"""),"Rollo cinta Señal. 10cm x 200m. VERDE")</f>
        <v>Rollo cinta Señal. 10cm x 200m. VERDE</v>
      </c>
      <c r="C1258" s="4">
        <f>IFERROR(__xludf.DUMMYFUNCTION("""COMPUTED_VALUE"""),7.25)</f>
        <v>7.25</v>
      </c>
      <c r="D1258" s="4"/>
      <c r="E1258" s="4" t="str">
        <f>IFERROR(__xludf.DUMMYFUNCTION("""COMPUTED_VALUE"""),"Sin precio neto G.C.")</f>
        <v>Sin precio neto G.C.</v>
      </c>
    </row>
    <row r="1259">
      <c r="A1259" s="4" t="str">
        <f>IFERROR(__xludf.DUMMYFUNCTION("""COMPUTED_VALUE"""),"1587")</f>
        <v>1587</v>
      </c>
      <c r="B1259" s="4" t="str">
        <f>IFERROR(__xludf.DUMMYFUNCTION("""COMPUTED_VALUE"""),"Rollo cinta Señal. 10cm x 200m. AZUL")</f>
        <v>Rollo cinta Señal. 10cm x 200m. AZUL</v>
      </c>
      <c r="C1259" s="4">
        <f>IFERROR(__xludf.DUMMYFUNCTION("""COMPUTED_VALUE"""),7.25)</f>
        <v>7.25</v>
      </c>
      <c r="D1259" s="4"/>
      <c r="E1259" s="4" t="str">
        <f>IFERROR(__xludf.DUMMYFUNCTION("""COMPUTED_VALUE"""),"Sin precio neto G.C.")</f>
        <v>Sin precio neto G.C.</v>
      </c>
    </row>
    <row r="1260">
      <c r="A1260" s="4" t="str">
        <f>IFERROR(__xludf.DUMMYFUNCTION("""COMPUTED_VALUE"""),"1588")</f>
        <v>1588</v>
      </c>
      <c r="B1260" s="4" t="str">
        <f>IFERROR(__xludf.DUMMYFUNCTION("""COMPUTED_VALUE"""),"Rollo cinta Señal. 10cm x 200m. AMARILLO")</f>
        <v>Rollo cinta Señal. 10cm x 200m. AMARILLO</v>
      </c>
      <c r="C1260" s="4">
        <f>IFERROR(__xludf.DUMMYFUNCTION("""COMPUTED_VALUE"""),7.25)</f>
        <v>7.25</v>
      </c>
      <c r="D1260" s="4"/>
      <c r="E1260" s="4" t="str">
        <f>IFERROR(__xludf.DUMMYFUNCTION("""COMPUTED_VALUE"""),"Sin precio neto G.C.")</f>
        <v>Sin precio neto G.C.</v>
      </c>
    </row>
    <row r="1261">
      <c r="A1261" s="4" t="str">
        <f>IFERROR(__xludf.DUMMYFUNCTION("""COMPUTED_VALUE"""),"1590")</f>
        <v>1590</v>
      </c>
      <c r="B1261" s="4" t="str">
        <f>IFERROR(__xludf.DUMMYFUNCTION("""COMPUTED_VALUE"""),"Vinilo adhesivo suelo ESPERE SU TURNO 40 cm")</f>
        <v>Vinilo adhesivo suelo ESPERE SU TURNO 40 cm</v>
      </c>
      <c r="C1261" s="4">
        <f>IFERROR(__xludf.DUMMYFUNCTION("""COMPUTED_VALUE"""),6.15)</f>
        <v>6.15</v>
      </c>
      <c r="D1261" s="4"/>
      <c r="E1261" s="4" t="str">
        <f>IFERROR(__xludf.DUMMYFUNCTION("""COMPUTED_VALUE"""),"Sin precio neto G.C.")</f>
        <v>Sin precio neto G.C.</v>
      </c>
    </row>
    <row r="1262">
      <c r="A1262" s="4" t="str">
        <f>IFERROR(__xludf.DUMMYFUNCTION("""COMPUTED_VALUE"""),"1591")</f>
        <v>1591</v>
      </c>
      <c r="B1262" s="4" t="str">
        <f>IFERROR(__xludf.DUMMYFUNCTION("""COMPUTED_VALUE"""),"Vinilo adhesivo suelo Paso oblig. carretillas 40 cm")</f>
        <v>Vinilo adhesivo suelo Paso oblig. carretillas 40 cm</v>
      </c>
      <c r="C1262" s="4">
        <f>IFERROR(__xludf.DUMMYFUNCTION("""COMPUTED_VALUE"""),6.15)</f>
        <v>6.15</v>
      </c>
      <c r="D1262" s="4"/>
      <c r="E1262" s="4" t="str">
        <f>IFERROR(__xludf.DUMMYFUNCTION("""COMPUTED_VALUE"""),"Sin precio neto G.C.")</f>
        <v>Sin precio neto G.C.</v>
      </c>
    </row>
    <row r="1263">
      <c r="A1263" s="4" t="str">
        <f>IFERROR(__xludf.DUMMYFUNCTION("""COMPUTED_VALUE"""),"1592")</f>
        <v>1592</v>
      </c>
      <c r="B1263" s="4" t="str">
        <f>IFERROR(__xludf.DUMMYFUNCTION("""COMPUTED_VALUE"""),"Vinilo adhesivo suelo Peligro Paso de carretilla 40 cm")</f>
        <v>Vinilo adhesivo suelo Peligro Paso de carretilla 40 cm</v>
      </c>
      <c r="C1263" s="4">
        <f>IFERROR(__xludf.DUMMYFUNCTION("""COMPUTED_VALUE"""),6.15)</f>
        <v>6.15</v>
      </c>
      <c r="D1263" s="4"/>
      <c r="E1263" s="4" t="str">
        <f>IFERROR(__xludf.DUMMYFUNCTION("""COMPUTED_VALUE"""),"Sin precio neto G.C.")</f>
        <v>Sin precio neto G.C.</v>
      </c>
    </row>
    <row r="1264">
      <c r="A1264" s="4" t="str">
        <f>IFERROR(__xludf.DUMMYFUNCTION("""COMPUTED_VALUE"""),"1593")</f>
        <v>1593</v>
      </c>
      <c r="B1264" s="4" t="str">
        <f>IFERROR(__xludf.DUMMYFUNCTION("""COMPUTED_VALUE"""),"Vinilo adhesivo suelo Peligro suelo Resbaladizo 40 cm")</f>
        <v>Vinilo adhesivo suelo Peligro suelo Resbaladizo 40 cm</v>
      </c>
      <c r="C1264" s="4">
        <f>IFERROR(__xludf.DUMMYFUNCTION("""COMPUTED_VALUE"""),6.15)</f>
        <v>6.15</v>
      </c>
      <c r="D1264" s="4"/>
      <c r="E1264" s="4" t="str">
        <f>IFERROR(__xludf.DUMMYFUNCTION("""COMPUTED_VALUE"""),"Sin precio neto G.C.")</f>
        <v>Sin precio neto G.C.</v>
      </c>
    </row>
    <row r="1265">
      <c r="A1265" s="4" t="str">
        <f>IFERROR(__xludf.DUMMYFUNCTION("""COMPUTED_VALUE"""),"1594")</f>
        <v>1594</v>
      </c>
      <c r="B1265" s="4" t="str">
        <f>IFERROR(__xludf.DUMMYFUNCTION("""COMPUTED_VALUE"""),"Rollo Cinta 15 cm x 200 m Aguas residuales")</f>
        <v>Rollo Cinta 15 cm x 200 m Aguas residuales</v>
      </c>
      <c r="C1265" s="4">
        <f>IFERROR(__xludf.DUMMYFUNCTION("""COMPUTED_VALUE"""),11.95)</f>
        <v>11.95</v>
      </c>
      <c r="D1265" s="4"/>
      <c r="E1265" s="4" t="str">
        <f>IFERROR(__xludf.DUMMYFUNCTION("""COMPUTED_VALUE"""),"Sin precio neto G.C.")</f>
        <v>Sin precio neto G.C.</v>
      </c>
    </row>
    <row r="1266">
      <c r="A1266" s="4" t="str">
        <f>IFERROR(__xludf.DUMMYFUNCTION("""COMPUTED_VALUE"""),"1600")</f>
        <v>1600</v>
      </c>
      <c r="B1266" s="4" t="str">
        <f>IFERROR(__xludf.DUMMYFUNCTION("""COMPUTED_VALUE"""),"Camisa reflec. N.2 cono 50 cm OXFORD")</f>
        <v>Camisa reflec. N.2 cono 50 cm OXFORD</v>
      </c>
      <c r="C1266" s="4">
        <f>IFERROR(__xludf.DUMMYFUNCTION("""COMPUTED_VALUE"""),3.42)</f>
        <v>3.42</v>
      </c>
      <c r="D1266" s="4"/>
      <c r="E1266" s="4" t="str">
        <f>IFERROR(__xludf.DUMMYFUNCTION("""COMPUTED_VALUE"""),"Sin precio neto G.C.")</f>
        <v>Sin precio neto G.C.</v>
      </c>
    </row>
    <row r="1267">
      <c r="A1267" s="4" t="str">
        <f>IFERROR(__xludf.DUMMYFUNCTION("""COMPUTED_VALUE"""),"1601")</f>
        <v>1601</v>
      </c>
      <c r="B1267" s="4" t="str">
        <f>IFERROR(__xludf.DUMMYFUNCTION("""COMPUTED_VALUE"""),"Camisa reflec. N.2 cono 75 cm OXFORD")</f>
        <v>Camisa reflec. N.2 cono 75 cm OXFORD</v>
      </c>
      <c r="C1267" s="4">
        <f>IFERROR(__xludf.DUMMYFUNCTION("""COMPUTED_VALUE"""),3.8)</f>
        <v>3.8</v>
      </c>
      <c r="D1267" s="4"/>
      <c r="E1267" s="4" t="str">
        <f>IFERROR(__xludf.DUMMYFUNCTION("""COMPUTED_VALUE"""),"Sin precio neto G.C.")</f>
        <v>Sin precio neto G.C.</v>
      </c>
    </row>
    <row r="1268">
      <c r="A1268" s="4" t="str">
        <f>IFERROR(__xludf.DUMMYFUNCTION("""COMPUTED_VALUE"""),"1604AN")</f>
        <v>1604AN</v>
      </c>
      <c r="B1268" s="4" t="str">
        <f>IFERROR(__xludf.DUMMYFUNCTION("""COMPUTED_VALUE"""),"Barra señaliz. Negra/Amarilla extensible para cono")</f>
        <v>Barra señaliz. Negra/Amarilla extensible para cono</v>
      </c>
      <c r="C1268" s="4">
        <f>IFERROR(__xludf.DUMMYFUNCTION("""COMPUTED_VALUE"""),8.4)</f>
        <v>8.4</v>
      </c>
      <c r="D1268" s="4"/>
      <c r="E1268" s="4" t="str">
        <f>IFERROR(__xludf.DUMMYFUNCTION("""COMPUTED_VALUE"""),"Sin precio neto G.C.")</f>
        <v>Sin precio neto G.C.</v>
      </c>
    </row>
    <row r="1269">
      <c r="A1269" s="4" t="str">
        <f>IFERROR(__xludf.DUMMYFUNCTION("""COMPUTED_VALUE"""),"1604RB")</f>
        <v>1604RB</v>
      </c>
      <c r="B1269" s="4" t="str">
        <f>IFERROR(__xludf.DUMMYFUNCTION("""COMPUTED_VALUE"""),"Barra señaliz. Roja/Blanca extensible para cono")</f>
        <v>Barra señaliz. Roja/Blanca extensible para cono</v>
      </c>
      <c r="C1269" s="4">
        <f>IFERROR(__xludf.DUMMYFUNCTION("""COMPUTED_VALUE"""),8.4)</f>
        <v>8.4</v>
      </c>
      <c r="D1269" s="4"/>
      <c r="E1269" s="4" t="str">
        <f>IFERROR(__xludf.DUMMYFUNCTION("""COMPUTED_VALUE"""),"Sin precio neto G.C.")</f>
        <v>Sin precio neto G.C.</v>
      </c>
    </row>
    <row r="1270">
      <c r="A1270" s="4" t="str">
        <f>IFERROR(__xludf.DUMMYFUNCTION("""COMPUTED_VALUE"""),"1617")</f>
        <v>1617</v>
      </c>
      <c r="B1270" s="4" t="str">
        <f>IFERROR(__xludf.DUMMYFUNCTION("""COMPUTED_VALUE"""),"Juego huellas adhesivas 27x10 cm pisable verde")</f>
        <v>Juego huellas adhesivas 27x10 cm pisable verde</v>
      </c>
      <c r="C1270" s="4">
        <f>IFERROR(__xludf.DUMMYFUNCTION("""COMPUTED_VALUE"""),3.15)</f>
        <v>3.15</v>
      </c>
      <c r="D1270" s="4"/>
      <c r="E1270" s="4" t="str">
        <f>IFERROR(__xludf.DUMMYFUNCTION("""COMPUTED_VALUE"""),"Sin precio neto G.C.")</f>
        <v>Sin precio neto G.C.</v>
      </c>
    </row>
    <row r="1271">
      <c r="A1271" s="4" t="str">
        <f>IFERROR(__xludf.DUMMYFUNCTION("""COMPUTED_VALUE"""),"1618")</f>
        <v>1618</v>
      </c>
      <c r="B1271" s="4" t="str">
        <f>IFERROR(__xludf.DUMMYFUNCTION("""COMPUTED_VALUE"""),"Juego huellas adhesivas 27x10 cm pisable rojo")</f>
        <v>Juego huellas adhesivas 27x10 cm pisable rojo</v>
      </c>
      <c r="C1271" s="4">
        <f>IFERROR(__xludf.DUMMYFUNCTION("""COMPUTED_VALUE"""),3.15)</f>
        <v>3.15</v>
      </c>
      <c r="D1271" s="4"/>
      <c r="E1271" s="4" t="str">
        <f>IFERROR(__xludf.DUMMYFUNCTION("""COMPUTED_VALUE"""),"Sin precio neto G.C.")</f>
        <v>Sin precio neto G.C.</v>
      </c>
    </row>
    <row r="1272">
      <c r="A1272" s="4" t="str">
        <f>IFERROR(__xludf.DUMMYFUNCTION("""COMPUTED_VALUE"""),"1619")</f>
        <v>1619</v>
      </c>
      <c r="B1272" s="4" t="str">
        <f>IFERROR(__xludf.DUMMYFUNCTION("""COMPUTED_VALUE"""),"Juego huellas adhesivas 27z10 cm pisable negro")</f>
        <v>Juego huellas adhesivas 27z10 cm pisable negro</v>
      </c>
      <c r="C1272" s="4">
        <f>IFERROR(__xludf.DUMMYFUNCTION("""COMPUTED_VALUE"""),3.15)</f>
        <v>3.15</v>
      </c>
      <c r="D1272" s="4"/>
      <c r="E1272" s="4" t="str">
        <f>IFERROR(__xludf.DUMMYFUNCTION("""COMPUTED_VALUE"""),"Sin precio neto G.C.")</f>
        <v>Sin precio neto G.C.</v>
      </c>
    </row>
    <row r="1273">
      <c r="A1273" s="4" t="str">
        <f>IFERROR(__xludf.DUMMYFUNCTION("""COMPUTED_VALUE"""),"1620")</f>
        <v>1620</v>
      </c>
      <c r="B1273" s="4" t="str">
        <f>IFERROR(__xludf.DUMMYFUNCTION("""COMPUTED_VALUE"""),"Juego 2 Flechas adhesivas 29x8 pisable Verde")</f>
        <v>Juego 2 Flechas adhesivas 29x8 pisable Verde</v>
      </c>
      <c r="C1273" s="4">
        <f>IFERROR(__xludf.DUMMYFUNCTION("""COMPUTED_VALUE"""),3.15)</f>
        <v>3.15</v>
      </c>
      <c r="D1273" s="4"/>
      <c r="E1273" s="4" t="str">
        <f>IFERROR(__xludf.DUMMYFUNCTION("""COMPUTED_VALUE"""),"Sin precio neto G.C.")</f>
        <v>Sin precio neto G.C.</v>
      </c>
    </row>
    <row r="1274">
      <c r="A1274" s="4" t="str">
        <f>IFERROR(__xludf.DUMMYFUNCTION("""COMPUTED_VALUE"""),"1621")</f>
        <v>1621</v>
      </c>
      <c r="B1274" s="4" t="str">
        <f>IFERROR(__xludf.DUMMYFUNCTION("""COMPUTED_VALUE"""),"Juego2 Flechas adhesivas 29x8 pisable Rojo")</f>
        <v>Juego2 Flechas adhesivas 29x8 pisable Rojo</v>
      </c>
      <c r="C1274" s="4">
        <f>IFERROR(__xludf.DUMMYFUNCTION("""COMPUTED_VALUE"""),3.15)</f>
        <v>3.15</v>
      </c>
      <c r="D1274" s="4"/>
      <c r="E1274" s="4" t="str">
        <f>IFERROR(__xludf.DUMMYFUNCTION("""COMPUTED_VALUE"""),"Sin precio neto G.C.")</f>
        <v>Sin precio neto G.C.</v>
      </c>
    </row>
    <row r="1275">
      <c r="A1275" s="4" t="str">
        <f>IFERROR(__xludf.DUMMYFUNCTION("""COMPUTED_VALUE"""),"1622")</f>
        <v>1622</v>
      </c>
      <c r="B1275" s="4" t="str">
        <f>IFERROR(__xludf.DUMMYFUNCTION("""COMPUTED_VALUE"""),"Adhesivo 21x29 Uso desinfectante")</f>
        <v>Adhesivo 21x29 Uso desinfectante</v>
      </c>
      <c r="C1275" s="4">
        <f>IFERROR(__xludf.DUMMYFUNCTION("""COMPUTED_VALUE"""),1.365)</f>
        <v>1.365</v>
      </c>
      <c r="D1275" s="4"/>
      <c r="E1275" s="4" t="str">
        <f>IFERROR(__xludf.DUMMYFUNCTION("""COMPUTED_VALUE"""),"Sin precio neto G.C.")</f>
        <v>Sin precio neto G.C.</v>
      </c>
    </row>
    <row r="1276">
      <c r="A1276" s="4" t="str">
        <f>IFERROR(__xludf.DUMMYFUNCTION("""COMPUTED_VALUE"""),"1623")</f>
        <v>1623</v>
      </c>
      <c r="B1276" s="4" t="str">
        <f>IFERROR(__xludf.DUMMYFUNCTION("""COMPUTED_VALUE"""),"Cartel PVC 21x29 cm USO DESINFECTANTE")</f>
        <v>Cartel PVC 21x29 cm USO DESINFECTANTE</v>
      </c>
      <c r="C1276" s="4">
        <f>IFERROR(__xludf.DUMMYFUNCTION("""COMPUTED_VALUE"""),1.6)</f>
        <v>1.6</v>
      </c>
      <c r="D1276" s="4">
        <f>IFERROR(__xludf.DUMMYFUNCTION("""COMPUTED_VALUE"""),1.2)</f>
        <v>1.2</v>
      </c>
      <c r="E1276" s="4" t="str">
        <f>IFERROR(__xludf.DUMMYFUNCTION("""COMPUTED_VALUE"""),"Neto G.C.: 1,20 € (a partir de 1 uds.)")</f>
        <v>Neto G.C.: 1,20 € (a partir de 1 uds.)</v>
      </c>
    </row>
    <row r="1277">
      <c r="A1277" s="4" t="str">
        <f>IFERROR(__xludf.DUMMYFUNCTION("""COMPUTED_VALUE"""),"1625")</f>
        <v>1625</v>
      </c>
      <c r="B1277" s="4" t="str">
        <f>IFERROR(__xludf.DUMMYFUNCTION("""COMPUTED_VALUE"""),"Juego huellas adhesivas suelo 27x10 cm Amarillo")</f>
        <v>Juego huellas adhesivas suelo 27x10 cm Amarillo</v>
      </c>
      <c r="C1277" s="4">
        <f>IFERROR(__xludf.DUMMYFUNCTION("""COMPUTED_VALUE"""),4.2)</f>
        <v>4.2</v>
      </c>
      <c r="D1277" s="4"/>
      <c r="E1277" s="4" t="str">
        <f>IFERROR(__xludf.DUMMYFUNCTION("""COMPUTED_VALUE"""),"Sin precio neto G.C.")</f>
        <v>Sin precio neto G.C.</v>
      </c>
    </row>
    <row r="1278">
      <c r="A1278" s="4" t="str">
        <f>IFERROR(__xludf.DUMMYFUNCTION("""COMPUTED_VALUE"""),"1626")</f>
        <v>1626</v>
      </c>
      <c r="B1278" s="4" t="str">
        <f>IFERROR(__xludf.DUMMYFUNCTION("""COMPUTED_VALUE"""),"Juego huellas adhesivas suelo 27x10 cm Basic")</f>
        <v>Juego huellas adhesivas suelo 27x10 cm Basic</v>
      </c>
      <c r="C1278" s="4">
        <f>IFERROR(__xludf.DUMMYFUNCTION("""COMPUTED_VALUE"""),4.2)</f>
        <v>4.2</v>
      </c>
      <c r="D1278" s="4"/>
      <c r="E1278" s="4" t="str">
        <f>IFERROR(__xludf.DUMMYFUNCTION("""COMPUTED_VALUE"""),"Sin precio neto G.C.")</f>
        <v>Sin precio neto G.C.</v>
      </c>
    </row>
    <row r="1279">
      <c r="A1279" s="4" t="str">
        <f>IFERROR(__xludf.DUMMYFUNCTION("""COMPUTED_VALUE"""),"1627")</f>
        <v>1627</v>
      </c>
      <c r="B1279" s="4" t="str">
        <f>IFERROR(__xludf.DUMMYFUNCTION("""COMPUTED_VALUE"""),"Kit Adhesivos flechas y tiras suelo")</f>
        <v>Kit Adhesivos flechas y tiras suelo</v>
      </c>
      <c r="C1279" s="4">
        <f>IFERROR(__xludf.DUMMYFUNCTION("""COMPUTED_VALUE"""),20.7)</f>
        <v>20.7</v>
      </c>
      <c r="D1279" s="4"/>
      <c r="E1279" s="4" t="str">
        <f>IFERROR(__xludf.DUMMYFUNCTION("""COMPUTED_VALUE"""),"Sin precio neto G.C.")</f>
        <v>Sin precio neto G.C.</v>
      </c>
    </row>
    <row r="1280">
      <c r="A1280" s="4" t="str">
        <f>IFERROR(__xludf.DUMMYFUNCTION("""COMPUTED_VALUE"""),"1629")</f>
        <v>1629</v>
      </c>
      <c r="B1280" s="4" t="str">
        <f>IFERROR(__xludf.DUMMYFUNCTION("""COMPUTED_VALUE"""),"Cinta antideslizante N/A DISTANCIA SEGURIDAD 10x100 cm")</f>
        <v>Cinta antideslizante N/A DISTANCIA SEGURIDAD 10x100 cm</v>
      </c>
      <c r="C1280" s="4">
        <f>IFERROR(__xludf.DUMMYFUNCTION("""COMPUTED_VALUE"""),4.99)</f>
        <v>4.99</v>
      </c>
      <c r="D1280" s="4"/>
      <c r="E1280" s="4" t="str">
        <f>IFERROR(__xludf.DUMMYFUNCTION("""COMPUTED_VALUE"""),"Sin precio neto G.C.")</f>
        <v>Sin precio neto G.C.</v>
      </c>
    </row>
    <row r="1281">
      <c r="A1281" s="4" t="str">
        <f>IFERROR(__xludf.DUMMYFUNCTION("""COMPUTED_VALUE"""),"1630")</f>
        <v>1630</v>
      </c>
      <c r="B1281" s="4" t="str">
        <f>IFERROR(__xludf.DUMMYFUNCTION("""COMPUTED_VALUE"""),"Cinta antideslizante Blanca ESPERE SU TURNO 10x100 cm")</f>
        <v>Cinta antideslizante Blanca ESPERE SU TURNO 10x100 cm</v>
      </c>
      <c r="C1281" s="4">
        <f>IFERROR(__xludf.DUMMYFUNCTION("""COMPUTED_VALUE"""),4.99)</f>
        <v>4.99</v>
      </c>
      <c r="D1281" s="4"/>
      <c r="E1281" s="4" t="str">
        <f>IFERROR(__xludf.DUMMYFUNCTION("""COMPUTED_VALUE"""),"Sin precio neto G.C.")</f>
        <v>Sin precio neto G.C.</v>
      </c>
    </row>
    <row r="1282">
      <c r="A1282" s="4" t="str">
        <f>IFERROR(__xludf.DUMMYFUNCTION("""COMPUTED_VALUE"""),"1631")</f>
        <v>1631</v>
      </c>
      <c r="B1282" s="4" t="str">
        <f>IFERROR(__xludf.DUMMYFUNCTION("""COMPUTED_VALUE"""),"Cono plegable Reflect 55cm")</f>
        <v>Cono plegable Reflect 55cm</v>
      </c>
      <c r="C1282" s="4">
        <f>IFERROR(__xludf.DUMMYFUNCTION("""COMPUTED_VALUE"""),12.25)</f>
        <v>12.25</v>
      </c>
      <c r="D1282" s="4"/>
      <c r="E1282" s="4" t="str">
        <f>IFERROR(__xludf.DUMMYFUNCTION("""COMPUTED_VALUE"""),"Sin precio neto G.C.")</f>
        <v>Sin precio neto G.C.</v>
      </c>
    </row>
    <row r="1283">
      <c r="A1283" s="4" t="str">
        <f>IFERROR(__xludf.DUMMYFUNCTION("""COMPUTED_VALUE"""),"1632")</f>
        <v>1632</v>
      </c>
      <c r="B1283" s="4" t="str">
        <f>IFERROR(__xludf.DUMMYFUNCTION("""COMPUTED_VALUE"""),"Cone extender")</f>
        <v>Cone extender</v>
      </c>
      <c r="C1283" s="4">
        <f>IFERROR(__xludf.DUMMYFUNCTION("""COMPUTED_VALUE"""),4.75)</f>
        <v>4.75</v>
      </c>
      <c r="D1283" s="4"/>
      <c r="E1283" s="4" t="str">
        <f>IFERROR(__xludf.DUMMYFUNCTION("""COMPUTED_VALUE"""),"Sin precio neto G.C.")</f>
        <v>Sin precio neto G.C.</v>
      </c>
    </row>
    <row r="1284">
      <c r="A1284" s="4" t="str">
        <f>IFERROR(__xludf.DUMMYFUNCTION("""COMPUTED_VALUE"""),"1633")</f>
        <v>1633</v>
      </c>
      <c r="B1284" s="4" t="str">
        <f>IFERROR(__xludf.DUMMYFUNCTION("""COMPUTED_VALUE"""),"Cono Señal. 50 cm Amarillo No Aparcar")</f>
        <v>Cono Señal. 50 cm Amarillo No Aparcar</v>
      </c>
      <c r="C1284" s="4">
        <f>IFERROR(__xludf.DUMMYFUNCTION("""COMPUTED_VALUE"""),8.4)</f>
        <v>8.4</v>
      </c>
      <c r="D1284" s="4"/>
      <c r="E1284" s="4" t="str">
        <f>IFERROR(__xludf.DUMMYFUNCTION("""COMPUTED_VALUE"""),"Sin precio neto G.C.")</f>
        <v>Sin precio neto G.C.</v>
      </c>
    </row>
    <row r="1285">
      <c r="A1285" s="4" t="str">
        <f>IFERROR(__xludf.DUMMYFUNCTION("""COMPUTED_VALUE"""),"1634")</f>
        <v>1634</v>
      </c>
      <c r="B1285" s="4" t="str">
        <f>IFERROR(__xludf.DUMMYFUNCTION("""COMPUTED_VALUE"""),"Tetrapodo 50 cm de señalizacion")</f>
        <v>Tetrapodo 50 cm de señalizacion</v>
      </c>
      <c r="C1285" s="4">
        <f>IFERROR(__xludf.DUMMYFUNCTION("""COMPUTED_VALUE"""),19.25)</f>
        <v>19.25</v>
      </c>
      <c r="D1285" s="4"/>
      <c r="E1285" s="4" t="str">
        <f>IFERROR(__xludf.DUMMYFUNCTION("""COMPUTED_VALUE"""),"Sin precio neto G.C.")</f>
        <v>Sin precio neto G.C.</v>
      </c>
    </row>
    <row r="1286">
      <c r="A1286" s="4" t="str">
        <f>IFERROR(__xludf.DUMMYFUNCTION("""COMPUTED_VALUE"""),"1635")</f>
        <v>1635</v>
      </c>
      <c r="B1286" s="4" t="str">
        <f>IFERROR(__xludf.DUMMYFUNCTION("""COMPUTED_VALUE"""),"Cono Señalizacion 32 cm. Flurescent")</f>
        <v>Cono Señalizacion 32 cm. Flurescent</v>
      </c>
      <c r="C1286" s="4">
        <f>IFERROR(__xludf.DUMMYFUNCTION("""COMPUTED_VALUE"""),4.2)</f>
        <v>4.2</v>
      </c>
      <c r="D1286" s="4">
        <f>IFERROR(__xludf.DUMMYFUNCTION("""COMPUTED_VALUE"""),3.2)</f>
        <v>3.2</v>
      </c>
      <c r="E1286" s="4" t="str">
        <f>IFERROR(__xludf.DUMMYFUNCTION("""COMPUTED_VALUE"""),"Neto G.C.: 3,20 € (a partir de 20 uds.)")</f>
        <v>Neto G.C.: 3,20 € (a partir de 20 uds.)</v>
      </c>
    </row>
    <row r="1287">
      <c r="A1287" s="4" t="str">
        <f>IFERROR(__xludf.DUMMYFUNCTION("""COMPUTED_VALUE"""),"1636")</f>
        <v>1636</v>
      </c>
      <c r="B1287" s="4" t="str">
        <f>IFERROR(__xludf.DUMMYFUNCTION("""COMPUTED_VALUE"""),"Cono Señaliz. 50 cm fluor.bandas reflectantes")</f>
        <v>Cono Señaliz. 50 cm fluor.bandas reflectantes</v>
      </c>
      <c r="C1287" s="4">
        <f>IFERROR(__xludf.DUMMYFUNCTION("""COMPUTED_VALUE"""),4.92)</f>
        <v>4.92</v>
      </c>
      <c r="D1287" s="4">
        <f>IFERROR(__xludf.DUMMYFUNCTION("""COMPUTED_VALUE"""),4.4)</f>
        <v>4.4</v>
      </c>
      <c r="E1287" s="4" t="str">
        <f>IFERROR(__xludf.DUMMYFUNCTION("""COMPUTED_VALUE"""),"Neto G.C.: 4,40 € (a partir de 20 uds.)")</f>
        <v>Neto G.C.: 4,40 € (a partir de 20 uds.)</v>
      </c>
    </row>
    <row r="1288">
      <c r="A1288" s="4" t="str">
        <f>IFERROR(__xludf.DUMMYFUNCTION("""COMPUTED_VALUE"""),"1636AZUL")</f>
        <v>1636AZUL</v>
      </c>
      <c r="B1288" s="4" t="str">
        <f>IFERROR(__xludf.DUMMYFUNCTION("""COMPUTED_VALUE"""),"Cono Señaliz. 50 cm Azul bandas reflectantes")</f>
        <v>Cono Señaliz. 50 cm Azul bandas reflectantes</v>
      </c>
      <c r="C1288" s="4">
        <f>IFERROR(__xludf.DUMMYFUNCTION("""COMPUTED_VALUE"""),4.9)</f>
        <v>4.9</v>
      </c>
      <c r="D1288" s="4">
        <f>IFERROR(__xludf.DUMMYFUNCTION("""COMPUTED_VALUE"""),4.4)</f>
        <v>4.4</v>
      </c>
      <c r="E1288" s="4" t="str">
        <f>IFERROR(__xludf.DUMMYFUNCTION("""COMPUTED_VALUE"""),"Neto G.C.: 4,40 € (a partir de 20 uds.)")</f>
        <v>Neto G.C.: 4,40 € (a partir de 20 uds.)</v>
      </c>
    </row>
    <row r="1289">
      <c r="A1289" s="4" t="str">
        <f>IFERROR(__xludf.DUMMYFUNCTION("""COMPUTED_VALUE"""),"1637")</f>
        <v>1637</v>
      </c>
      <c r="B1289" s="4" t="str">
        <f>IFERROR(__xludf.DUMMYFUNCTION("""COMPUTED_VALUE"""),"Cono señaliz. 50 cm camisas réflex pvc Blando Bicolor")</f>
        <v>Cono señaliz. 50 cm camisas réflex pvc Blando Bicolor</v>
      </c>
      <c r="C1289" s="4">
        <f>IFERROR(__xludf.DUMMYFUNCTION("""COMPUTED_VALUE"""),5.25)</f>
        <v>5.25</v>
      </c>
      <c r="D1289" s="4">
        <f>IFERROR(__xludf.DUMMYFUNCTION("""COMPUTED_VALUE"""),4.4)</f>
        <v>4.4</v>
      </c>
      <c r="E1289" s="4" t="str">
        <f>IFERROR(__xludf.DUMMYFUNCTION("""COMPUTED_VALUE"""),"Neto G.C.: 4,40 € (a partir de 20 uds.)")</f>
        <v>Neto G.C.: 4,40 € (a partir de 20 uds.)</v>
      </c>
    </row>
    <row r="1290">
      <c r="A1290" s="4" t="str">
        <f>IFERROR(__xludf.DUMMYFUNCTION("""COMPUTED_VALUE"""),"1638")</f>
        <v>1638</v>
      </c>
      <c r="B1290" s="4" t="str">
        <f>IFERROR(__xludf.DUMMYFUNCTION("""COMPUTED_VALUE"""),"Cono Señaliz. 50 cm. camisa reflec.2 P. CVT")</f>
        <v>Cono Señaliz. 50 cm. camisa reflec.2 P. CVT</v>
      </c>
      <c r="C1290" s="4">
        <f>IFERROR(__xludf.DUMMYFUNCTION("""COMPUTED_VALUE"""),4.9)</f>
        <v>4.9</v>
      </c>
      <c r="D1290" s="4">
        <f>IFERROR(__xludf.DUMMYFUNCTION("""COMPUTED_VALUE"""),3.25)</f>
        <v>3.25</v>
      </c>
      <c r="E1290" s="4" t="str">
        <f>IFERROR(__xludf.DUMMYFUNCTION("""COMPUTED_VALUE"""),"Neto G.C.: 3,25 € (a partir de 10 uds.)")</f>
        <v>Neto G.C.: 3,25 € (a partir de 10 uds.)</v>
      </c>
    </row>
    <row r="1291">
      <c r="A1291" s="4" t="str">
        <f>IFERROR(__xludf.DUMMYFUNCTION("""COMPUTED_VALUE"""),"1640")</f>
        <v>1640</v>
      </c>
      <c r="B1291" s="4" t="str">
        <f>IFERROR(__xludf.DUMMYFUNCTION("""COMPUTED_VALUE"""),"Cono Señaliz.75 cm. camisa reflec.2p. CVT Plus")</f>
        <v>Cono Señaliz.75 cm. camisa reflec.2p. CVT Plus</v>
      </c>
      <c r="C1291" s="4">
        <f>IFERROR(__xludf.DUMMYFUNCTION("""COMPUTED_VALUE"""),7.2)</f>
        <v>7.2</v>
      </c>
      <c r="D1291" s="4"/>
      <c r="E1291" s="4" t="str">
        <f>IFERROR(__xludf.DUMMYFUNCTION("""COMPUTED_VALUE"""),"Sin precio neto G.C.")</f>
        <v>Sin precio neto G.C.</v>
      </c>
    </row>
    <row r="1292">
      <c r="A1292" s="4" t="str">
        <f>IFERROR(__xludf.DUMMYFUNCTION("""COMPUTED_VALUE"""),"1640B")</f>
        <v>1640B</v>
      </c>
      <c r="B1292" s="4" t="str">
        <f>IFERROR(__xludf.DUMMYFUNCTION("""COMPUTED_VALUE"""),"Cono Señaizl. 75 cm.camisa reflect.2p. CVT Basic")</f>
        <v>Cono Señaizl. 75 cm.camisa reflect.2p. CVT Basic</v>
      </c>
      <c r="C1292" s="4">
        <f>IFERROR(__xludf.DUMMYFUNCTION("""COMPUTED_VALUE"""),6.4)</f>
        <v>6.4</v>
      </c>
      <c r="D1292" s="4">
        <f>IFERROR(__xludf.DUMMYFUNCTION("""COMPUTED_VALUE"""),4.75)</f>
        <v>4.75</v>
      </c>
      <c r="E1292" s="4" t="str">
        <f>IFERROR(__xludf.DUMMYFUNCTION("""COMPUTED_VALUE"""),"Neto G.C.: 4,75 € (a partir de 10 uds.)")</f>
        <v>Neto G.C.: 4,75 € (a partir de 10 uds.)</v>
      </c>
    </row>
    <row r="1293">
      <c r="A1293" s="4" t="str">
        <f>IFERROR(__xludf.DUMMYFUNCTION("""COMPUTED_VALUE"""),"1645")</f>
        <v>1645</v>
      </c>
      <c r="B1293" s="4" t="str">
        <f>IFERROR(__xludf.DUMMYFUNCTION("""COMPUTED_VALUE"""),"Cono Señaliz. 100 cm camisa reflec.2 P.MELBA")</f>
        <v>Cono Señaliz. 100 cm camisa reflec.2 P.MELBA</v>
      </c>
      <c r="C1293" s="4">
        <f>IFERROR(__xludf.DUMMYFUNCTION("""COMPUTED_VALUE"""),17.9)</f>
        <v>17.9</v>
      </c>
      <c r="D1293" s="4"/>
      <c r="E1293" s="4" t="str">
        <f>IFERROR(__xludf.DUMMYFUNCTION("""COMPUTED_VALUE"""),"Sin precio neto G.C.")</f>
        <v>Sin precio neto G.C.</v>
      </c>
    </row>
    <row r="1294">
      <c r="A1294" s="4" t="str">
        <f>IFERROR(__xludf.DUMMYFUNCTION("""COMPUTED_VALUE"""),"1646")</f>
        <v>1646</v>
      </c>
      <c r="B1294" s="4" t="str">
        <f>IFERROR(__xludf.DUMMYFUNCTION("""COMPUTED_VALUE"""),"Cono 80cm PVC blando Reflect. MOD B")</f>
        <v>Cono 80cm PVC blando Reflect. MOD B</v>
      </c>
      <c r="C1294" s="4">
        <f>IFERROR(__xludf.DUMMYFUNCTION("""COMPUTED_VALUE"""),9.97)</f>
        <v>9.97</v>
      </c>
      <c r="D1294" s="4"/>
      <c r="E1294" s="4" t="str">
        <f>IFERROR(__xludf.DUMMYFUNCTION("""COMPUTED_VALUE"""),"Sin precio neto G.C.")</f>
        <v>Sin precio neto G.C.</v>
      </c>
    </row>
    <row r="1295">
      <c r="A1295" s="4" t="str">
        <f>IFERROR(__xludf.DUMMYFUNCTION("""COMPUTED_VALUE"""),"1646A")</f>
        <v>1646A</v>
      </c>
      <c r="B1295" s="4" t="str">
        <f>IFERROR(__xludf.DUMMYFUNCTION("""COMPUTED_VALUE"""),"Cono 80 cm PVC blando Reflect. Mod B AMARILLO")</f>
        <v>Cono 80 cm PVC blando Reflect. Mod B AMARILLO</v>
      </c>
      <c r="C1295" s="4">
        <f>IFERROR(__xludf.DUMMYFUNCTION("""COMPUTED_VALUE"""),9.97)</f>
        <v>9.97</v>
      </c>
      <c r="D1295" s="4"/>
      <c r="E1295" s="4" t="str">
        <f>IFERROR(__xludf.DUMMYFUNCTION("""COMPUTED_VALUE"""),"Sin precio neto G.C.")</f>
        <v>Sin precio neto G.C.</v>
      </c>
    </row>
    <row r="1296">
      <c r="A1296" s="4" t="str">
        <f>IFERROR(__xludf.DUMMYFUNCTION("""COMPUTED_VALUE"""),"1646V")</f>
        <v>1646V</v>
      </c>
      <c r="B1296" s="4" t="str">
        <f>IFERROR(__xludf.DUMMYFUNCTION("""COMPUTED_VALUE"""),"Cono 80 cm PVC blando Reflect. Mod B VERDE")</f>
        <v>Cono 80 cm PVC blando Reflect. Mod B VERDE</v>
      </c>
      <c r="C1296" s="4">
        <f>IFERROR(__xludf.DUMMYFUNCTION("""COMPUTED_VALUE"""),9.975)</f>
        <v>9.975</v>
      </c>
      <c r="D1296" s="4"/>
      <c r="E1296" s="4" t="str">
        <f>IFERROR(__xludf.DUMMYFUNCTION("""COMPUTED_VALUE"""),"Sin precio neto G.C.")</f>
        <v>Sin precio neto G.C.</v>
      </c>
    </row>
    <row r="1297">
      <c r="A1297" s="4" t="str">
        <f>IFERROR(__xludf.DUMMYFUNCTION("""COMPUTED_VALUE"""),"1646Z")</f>
        <v>1646Z</v>
      </c>
      <c r="B1297" s="4" t="str">
        <f>IFERROR(__xludf.DUMMYFUNCTION("""COMPUTED_VALUE"""),"Cono 80 cm PVC blando Reflect. Mod B AZUL")</f>
        <v>Cono 80 cm PVC blando Reflect. Mod B AZUL</v>
      </c>
      <c r="C1297" s="4">
        <f>IFERROR(__xludf.DUMMYFUNCTION("""COMPUTED_VALUE"""),9.975)</f>
        <v>9.975</v>
      </c>
      <c r="D1297" s="4"/>
      <c r="E1297" s="4" t="str">
        <f>IFERROR(__xludf.DUMMYFUNCTION("""COMPUTED_VALUE"""),"Sin precio neto G.C.")</f>
        <v>Sin precio neto G.C.</v>
      </c>
    </row>
    <row r="1298">
      <c r="A1298" s="4" t="str">
        <f>IFERROR(__xludf.DUMMYFUNCTION("""COMPUTED_VALUE"""),"1647")</f>
        <v>1647</v>
      </c>
      <c r="B1298" s="4" t="str">
        <f>IFERROR(__xludf.DUMMYFUNCTION("""COMPUTED_VALUE"""),"Cono 54cm PVC blando Reflect. MOD B")</f>
        <v>Cono 54cm PVC blando Reflect. MOD B</v>
      </c>
      <c r="C1298" s="4">
        <f>IFERROR(__xludf.DUMMYFUNCTION("""COMPUTED_VALUE"""),8.1)</f>
        <v>8.1</v>
      </c>
      <c r="D1298" s="4"/>
      <c r="E1298" s="4" t="str">
        <f>IFERROR(__xludf.DUMMYFUNCTION("""COMPUTED_VALUE"""),"Sin precio neto G.C.")</f>
        <v>Sin precio neto G.C.</v>
      </c>
    </row>
    <row r="1299">
      <c r="A1299" s="4" t="str">
        <f>IFERROR(__xludf.DUMMYFUNCTION("""COMPUTED_VALUE"""),"1647A")</f>
        <v>1647A</v>
      </c>
      <c r="B1299" s="4" t="str">
        <f>IFERROR(__xludf.DUMMYFUNCTION("""COMPUTED_VALUE"""),"Cono 54 cm PVC blando Reflect. Mod B AMARILLO")</f>
        <v>Cono 54 cm PVC blando Reflect. Mod B AMARILLO</v>
      </c>
      <c r="C1299" s="4">
        <f>IFERROR(__xludf.DUMMYFUNCTION("""COMPUTED_VALUE"""),8.1)</f>
        <v>8.1</v>
      </c>
      <c r="D1299" s="4"/>
      <c r="E1299" s="4" t="str">
        <f>IFERROR(__xludf.DUMMYFUNCTION("""COMPUTED_VALUE"""),"Sin precio neto G.C.")</f>
        <v>Sin precio neto G.C.</v>
      </c>
    </row>
    <row r="1300">
      <c r="A1300" s="4" t="str">
        <f>IFERROR(__xludf.DUMMYFUNCTION("""COMPUTED_VALUE"""),"1647RO")</f>
        <v>1647RO</v>
      </c>
      <c r="B1300" s="4" t="str">
        <f>IFERROR(__xludf.DUMMYFUNCTION("""COMPUTED_VALUE"""),"Cono 54 cm PVC blando Reflect. Mod B ROSA")</f>
        <v>Cono 54 cm PVC blando Reflect. Mod B ROSA</v>
      </c>
      <c r="C1300" s="4">
        <f>IFERROR(__xludf.DUMMYFUNCTION("""COMPUTED_VALUE"""),8.1)</f>
        <v>8.1</v>
      </c>
      <c r="D1300" s="4"/>
      <c r="E1300" s="4" t="str">
        <f>IFERROR(__xludf.DUMMYFUNCTION("""COMPUTED_VALUE"""),"Sin precio neto G.C.")</f>
        <v>Sin precio neto G.C.</v>
      </c>
    </row>
    <row r="1301">
      <c r="A1301" s="4" t="str">
        <f>IFERROR(__xludf.DUMMYFUNCTION("""COMPUTED_VALUE"""),"1647V")</f>
        <v>1647V</v>
      </c>
      <c r="B1301" s="4" t="str">
        <f>IFERROR(__xludf.DUMMYFUNCTION("""COMPUTED_VALUE"""),"Cono 54 cm PVC blando Reflect. Mod B VERDE")</f>
        <v>Cono 54 cm PVC blando Reflect. Mod B VERDE</v>
      </c>
      <c r="C1301" s="4">
        <f>IFERROR(__xludf.DUMMYFUNCTION("""COMPUTED_VALUE"""),8.1)</f>
        <v>8.1</v>
      </c>
      <c r="D1301" s="4"/>
      <c r="E1301" s="4" t="str">
        <f>IFERROR(__xludf.DUMMYFUNCTION("""COMPUTED_VALUE"""),"Sin precio neto G.C.")</f>
        <v>Sin precio neto G.C.</v>
      </c>
    </row>
    <row r="1302">
      <c r="A1302" s="4" t="str">
        <f>IFERROR(__xludf.DUMMYFUNCTION("""COMPUTED_VALUE"""),"1647Z")</f>
        <v>1647Z</v>
      </c>
      <c r="B1302" s="4" t="str">
        <f>IFERROR(__xludf.DUMMYFUNCTION("""COMPUTED_VALUE"""),"Cono 54 cm PVC blando Reflect. Mod B AZUL")</f>
        <v>Cono 54 cm PVC blando Reflect. Mod B AZUL</v>
      </c>
      <c r="C1302" s="4">
        <f>IFERROR(__xludf.DUMMYFUNCTION("""COMPUTED_VALUE"""),8.1)</f>
        <v>8.1</v>
      </c>
      <c r="D1302" s="4"/>
      <c r="E1302" s="4" t="str">
        <f>IFERROR(__xludf.DUMMYFUNCTION("""COMPUTED_VALUE"""),"Sin precio neto G.C.")</f>
        <v>Sin precio neto G.C.</v>
      </c>
    </row>
    <row r="1303">
      <c r="A1303" s="4" t="str">
        <f>IFERROR(__xludf.DUMMYFUNCTION("""COMPUTED_VALUE"""),"1648")</f>
        <v>1648</v>
      </c>
      <c r="B1303" s="4" t="str">
        <f>IFERROR(__xludf.DUMMYFUNCTION("""COMPUTED_VALUE"""),"Cono 80cm PVC blando Reflect. MOD B Naranja Plus")</f>
        <v>Cono 80cm PVC blando Reflect. MOD B Naranja Plus</v>
      </c>
      <c r="C1303" s="4">
        <f>IFERROR(__xludf.DUMMYFUNCTION("""COMPUTED_VALUE"""),24.25)</f>
        <v>24.25</v>
      </c>
      <c r="D1303" s="4"/>
      <c r="E1303" s="4" t="str">
        <f>IFERROR(__xludf.DUMMYFUNCTION("""COMPUTED_VALUE"""),"Sin precio neto G.C.")</f>
        <v>Sin precio neto G.C.</v>
      </c>
    </row>
    <row r="1304">
      <c r="A1304" s="4" t="str">
        <f>IFERROR(__xludf.DUMMYFUNCTION("""COMPUTED_VALUE"""),"1650")</f>
        <v>1650</v>
      </c>
      <c r="B1304" s="4" t="str">
        <f>IFERROR(__xludf.DUMMYFUNCTION("""COMPUTED_VALUE"""),"Cono 1 pza 50 cm 2 bandas Reflect. Melba")</f>
        <v>Cono 1 pza 50 cm 2 bandas Reflect. Melba</v>
      </c>
      <c r="C1304" s="4">
        <f>IFERROR(__xludf.DUMMYFUNCTION("""COMPUTED_VALUE"""),6.22)</f>
        <v>6.22</v>
      </c>
      <c r="D1304" s="4">
        <f>IFERROR(__xludf.DUMMYFUNCTION("""COMPUTED_VALUE"""),5.25)</f>
        <v>5.25</v>
      </c>
      <c r="E1304" s="4" t="str">
        <f>IFERROR(__xludf.DUMMYFUNCTION("""COMPUTED_VALUE"""),"Neto G.C.: 5,25 € (a partir de 400 uds.)")</f>
        <v>Neto G.C.: 5,25 € (a partir de 400 uds.)</v>
      </c>
    </row>
    <row r="1305">
      <c r="A1305" s="4" t="str">
        <f>IFERROR(__xludf.DUMMYFUNCTION("""COMPUTED_VALUE"""),"1651")</f>
        <v>1651</v>
      </c>
      <c r="B1305" s="4" t="str">
        <f>IFERROR(__xludf.DUMMYFUNCTION("""COMPUTED_VALUE"""),"Cono 1 pza 75 cm 2 bandas Reflect. Melba")</f>
        <v>Cono 1 pza 75 cm 2 bandas Reflect. Melba</v>
      </c>
      <c r="C1305" s="4">
        <f>IFERROR(__xludf.DUMMYFUNCTION("""COMPUTED_VALUE"""),8.18)</f>
        <v>8.18</v>
      </c>
      <c r="D1305" s="4">
        <f>IFERROR(__xludf.DUMMYFUNCTION("""COMPUTED_VALUE"""),7.25)</f>
        <v>7.25</v>
      </c>
      <c r="E1305" s="4" t="str">
        <f>IFERROR(__xludf.DUMMYFUNCTION("""COMPUTED_VALUE"""),"Neto G.C.: 7,25 € (a partir de 200 uds.)")</f>
        <v>Neto G.C.: 7,25 € (a partir de 200 uds.)</v>
      </c>
    </row>
    <row r="1306">
      <c r="A1306" s="4" t="str">
        <f>IFERROR(__xludf.DUMMYFUNCTION("""COMPUTED_VALUE"""),"1652")</f>
        <v>1652</v>
      </c>
      <c r="B1306" s="4" t="str">
        <f>IFERROR(__xludf.DUMMYFUNCTION("""COMPUTED_VALUE"""),"Cono 2 pza 75 cm 2 bandas Reflect. Melba STARLITE")</f>
        <v>Cono 2 pza 75 cm 2 bandas Reflect. Melba STARLITE</v>
      </c>
      <c r="C1306" s="4">
        <f>IFERROR(__xludf.DUMMYFUNCTION("""COMPUTED_VALUE"""),9.975)</f>
        <v>9.975</v>
      </c>
      <c r="D1306" s="4"/>
      <c r="E1306" s="4" t="str">
        <f>IFERROR(__xludf.DUMMYFUNCTION("""COMPUTED_VALUE"""),"Sin precio neto G.C.")</f>
        <v>Sin precio neto G.C.</v>
      </c>
    </row>
    <row r="1307">
      <c r="A1307" s="4" t="str">
        <f>IFERROR(__xludf.DUMMYFUNCTION("""COMPUTED_VALUE"""),"1653")</f>
        <v>1653</v>
      </c>
      <c r="B1307" s="4" t="str">
        <f>IFERROR(__xludf.DUMMYFUNCTION("""COMPUTED_VALUE"""),"Cono 2 pza 50 cm 1 banda Reflect. Melba BIG FOOT")</f>
        <v>Cono 2 pza 50 cm 1 banda Reflect. Melba BIG FOOT</v>
      </c>
      <c r="C1307" s="4">
        <f>IFERROR(__xludf.DUMMYFUNCTION("""COMPUTED_VALUE"""),8.25)</f>
        <v>8.25</v>
      </c>
      <c r="D1307" s="4"/>
      <c r="E1307" s="4" t="str">
        <f>IFERROR(__xludf.DUMMYFUNCTION("""COMPUTED_VALUE"""),"Sin precio neto G.C.")</f>
        <v>Sin precio neto G.C.</v>
      </c>
    </row>
    <row r="1308">
      <c r="A1308" s="4" t="str">
        <f>IFERROR(__xludf.DUMMYFUNCTION("""COMPUTED_VALUE"""),"1654")</f>
        <v>1654</v>
      </c>
      <c r="B1308" s="4" t="str">
        <f>IFERROR(__xludf.DUMMYFUNCTION("""COMPUTED_VALUE"""),"Cono 2 pza 75 cm 1 banda Reflect. Melba BIG FOOT")</f>
        <v>Cono 2 pza 75 cm 1 banda Reflect. Melba BIG FOOT</v>
      </c>
      <c r="C1308" s="4">
        <f>IFERROR(__xludf.DUMMYFUNCTION("""COMPUTED_VALUE"""),11.25)</f>
        <v>11.25</v>
      </c>
      <c r="D1308" s="4"/>
      <c r="E1308" s="4" t="str">
        <f>IFERROR(__xludf.DUMMYFUNCTION("""COMPUTED_VALUE"""),"Sin precio neto G.C.")</f>
        <v>Sin precio neto G.C.</v>
      </c>
    </row>
    <row r="1309">
      <c r="A1309" s="4" t="str">
        <f>IFERROR(__xludf.DUMMYFUNCTION("""COMPUTED_VALUE"""),"1655")</f>
        <v>1655</v>
      </c>
      <c r="B1309" s="4" t="str">
        <f>IFERROR(__xludf.DUMMYFUNCTION("""COMPUTED_VALUE"""),"Cono 2 pza 100 cm 1 banda Reflect. Melba BIG FOOT")</f>
        <v>Cono 2 pza 100 cm 1 banda Reflect. Melba BIG FOOT</v>
      </c>
      <c r="C1309" s="4">
        <f>IFERROR(__xludf.DUMMYFUNCTION("""COMPUTED_VALUE"""),17.25)</f>
        <v>17.25</v>
      </c>
      <c r="D1309" s="4"/>
      <c r="E1309" s="4" t="str">
        <f>IFERROR(__xludf.DUMMYFUNCTION("""COMPUTED_VALUE"""),"Sin precio neto G.C.")</f>
        <v>Sin precio neto G.C.</v>
      </c>
    </row>
    <row r="1310">
      <c r="A1310" s="4" t="str">
        <f>IFERROR(__xludf.DUMMYFUNCTION("""COMPUTED_VALUE"""),"1672")</f>
        <v>1672</v>
      </c>
      <c r="B1310" s="4" t="str">
        <f>IFERROR(__xludf.DUMMYFUNCTION("""COMPUTED_VALUE"""),"Pareja semaforos portatiles desmontables Leds mod. B")</f>
        <v>Pareja semaforos portatiles desmontables Leds mod. B</v>
      </c>
      <c r="C1310" s="4">
        <f>IFERROR(__xludf.DUMMYFUNCTION("""COMPUTED_VALUE"""),1600.0)</f>
        <v>1600</v>
      </c>
      <c r="D1310" s="4">
        <f>IFERROR(__xludf.DUMMYFUNCTION("""COMPUTED_VALUE"""),1400.0)</f>
        <v>1400</v>
      </c>
      <c r="E1310" s="4" t="str">
        <f>IFERROR(__xludf.DUMMYFUNCTION("""COMPUTED_VALUE"""),"Neto G.C.: 1400,00 € (a partir de 1 uds.)")</f>
        <v>Neto G.C.: 1400,00 € (a partir de 1 uds.)</v>
      </c>
    </row>
    <row r="1311">
      <c r="A1311" s="4" t="str">
        <f>IFERROR(__xludf.DUMMYFUNCTION("""COMPUTED_VALUE"""),"1673")</f>
        <v>1673</v>
      </c>
      <c r="B1311" s="4" t="str">
        <f>IFERROR(__xludf.DUMMYFUNCTION("""COMPUTED_VALUE"""),"Pareja semaforos portatiles desmont. Led c/ contador de")</f>
        <v>Pareja semaforos portatiles desmont. Led c/ contador de</v>
      </c>
      <c r="C1311" s="4">
        <f>IFERROR(__xludf.DUMMYFUNCTION("""COMPUTED_VALUE"""),1700.0)</f>
        <v>1700</v>
      </c>
      <c r="D1311" s="4"/>
      <c r="E1311" s="4" t="str">
        <f>IFERROR(__xludf.DUMMYFUNCTION("""COMPUTED_VALUE"""),"Sin precio neto G.C.")</f>
        <v>Sin precio neto G.C.</v>
      </c>
    </row>
    <row r="1312">
      <c r="A1312" s="4" t="str">
        <f>IFERROR(__xludf.DUMMYFUNCTION("""COMPUTED_VALUE"""),"1673C")</f>
        <v>1673C</v>
      </c>
      <c r="B1312" s="4" t="str">
        <f>IFERROR(__xludf.DUMMYFUNCTION("""COMPUTED_VALUE"""),"Juego de centralitas semaforos Mod.D")</f>
        <v>Juego de centralitas semaforos Mod.D</v>
      </c>
      <c r="C1312" s="4">
        <f>IFERROR(__xludf.DUMMYFUNCTION("""COMPUTED_VALUE"""),340.0)</f>
        <v>340</v>
      </c>
      <c r="D1312" s="4"/>
      <c r="E1312" s="4" t="str">
        <f>IFERROR(__xludf.DUMMYFUNCTION("""COMPUTED_VALUE"""),"Sin precio neto G.C.")</f>
        <v>Sin precio neto G.C.</v>
      </c>
    </row>
    <row r="1313">
      <c r="A1313" s="4" t="str">
        <f>IFERROR(__xludf.DUMMYFUNCTION("""COMPUTED_VALUE"""),"1674")</f>
        <v>1674</v>
      </c>
      <c r="B1313" s="4" t="str">
        <f>IFERROR(__xludf.DUMMYFUNCTION("""COMPUTED_VALUE"""),"Pareja semaforos portatiles plegables Led mod. C")</f>
        <v>Pareja semaforos portatiles plegables Led mod. C</v>
      </c>
      <c r="C1313" s="4">
        <f>IFERROR(__xludf.DUMMYFUNCTION("""COMPUTED_VALUE"""),1750.0)</f>
        <v>1750</v>
      </c>
      <c r="D1313" s="4">
        <f>IFERROR(__xludf.DUMMYFUNCTION("""COMPUTED_VALUE"""),1450.0)</f>
        <v>1450</v>
      </c>
      <c r="E1313" s="4" t="str">
        <f>IFERROR(__xludf.DUMMYFUNCTION("""COMPUTED_VALUE"""),"Neto G.C.: 1450,00 € (a partir de 1 uds.)")</f>
        <v>Neto G.C.: 1450,00 € (a partir de 1 uds.)</v>
      </c>
    </row>
    <row r="1314">
      <c r="A1314" s="4" t="str">
        <f>IFERROR(__xludf.DUMMYFUNCTION("""COMPUTED_VALUE"""),"1674/LP")</f>
        <v>1674/LP</v>
      </c>
      <c r="B1314" s="4" t="str">
        <f>IFERROR(__xludf.DUMMYFUNCTION("""COMPUTED_VALUE"""),"Lente plastico semaforo B - C 430126008")</f>
        <v>Lente plastico semaforo B - C 430126008</v>
      </c>
      <c r="C1314" s="4">
        <f>IFERROR(__xludf.DUMMYFUNCTION("""COMPUTED_VALUE"""),34.4)</f>
        <v>34.4</v>
      </c>
      <c r="D1314" s="4"/>
      <c r="E1314" s="4" t="str">
        <f>IFERROR(__xludf.DUMMYFUNCTION("""COMPUTED_VALUE"""),"Sin precio neto G.C.")</f>
        <v>Sin precio neto G.C.</v>
      </c>
    </row>
    <row r="1315">
      <c r="A1315" s="4" t="str">
        <f>IFERROR(__xludf.DUMMYFUNCTION("""COMPUTED_VALUE"""),"1674/PA")</f>
        <v>1674/PA</v>
      </c>
      <c r="B1315" s="4" t="str">
        <f>IFERROR(__xludf.DUMMYFUNCTION("""COMPUTED_VALUE"""),"Panel Led amarillo semaforo B - C 430208019")</f>
        <v>Panel Led amarillo semaforo B - C 430208019</v>
      </c>
      <c r="C1315" s="4">
        <f>IFERROR(__xludf.DUMMYFUNCTION("""COMPUTED_VALUE"""),111.45)</f>
        <v>111.45</v>
      </c>
      <c r="D1315" s="4"/>
      <c r="E1315" s="4" t="str">
        <f>IFERROR(__xludf.DUMMYFUNCTION("""COMPUTED_VALUE"""),"Sin precio neto G.C.")</f>
        <v>Sin precio neto G.C.</v>
      </c>
    </row>
    <row r="1316">
      <c r="A1316" s="4" t="str">
        <f>IFERROR(__xludf.DUMMYFUNCTION("""COMPUTED_VALUE"""),"1674/PR")</f>
        <v>1674/PR</v>
      </c>
      <c r="B1316" s="4" t="str">
        <f>IFERROR(__xludf.DUMMYFUNCTION("""COMPUTED_VALUE"""),"Panel Led rojo semaforos B - C 430208020")</f>
        <v>Panel Led rojo semaforos B - C 430208020</v>
      </c>
      <c r="C1316" s="4">
        <f>IFERROR(__xludf.DUMMYFUNCTION("""COMPUTED_VALUE"""),111.45)</f>
        <v>111.45</v>
      </c>
      <c r="D1316" s="4"/>
      <c r="E1316" s="4" t="str">
        <f>IFERROR(__xludf.DUMMYFUNCTION("""COMPUTED_VALUE"""),"Sin precio neto G.C.")</f>
        <v>Sin precio neto G.C.</v>
      </c>
    </row>
    <row r="1317">
      <c r="A1317" s="4" t="str">
        <f>IFERROR(__xludf.DUMMYFUNCTION("""COMPUTED_VALUE"""),"1674/PV")</f>
        <v>1674/PV</v>
      </c>
      <c r="B1317" s="4" t="str">
        <f>IFERROR(__xludf.DUMMYFUNCTION("""COMPUTED_VALUE"""),"Panel Led verde semaforos B - C 430208018")</f>
        <v>Panel Led verde semaforos B - C 430208018</v>
      </c>
      <c r="C1317" s="4">
        <f>IFERROR(__xludf.DUMMYFUNCTION("""COMPUTED_VALUE"""),111.45)</f>
        <v>111.45</v>
      </c>
      <c r="D1317" s="4"/>
      <c r="E1317" s="4" t="str">
        <f>IFERROR(__xludf.DUMMYFUNCTION("""COMPUTED_VALUE"""),"Sin precio neto G.C.")</f>
        <v>Sin precio neto G.C.</v>
      </c>
    </row>
    <row r="1318">
      <c r="A1318" s="4" t="str">
        <f>IFERROR(__xludf.DUMMYFUNCTION("""COMPUTED_VALUE"""),"1674/V")</f>
        <v>1674/V</v>
      </c>
      <c r="B1318" s="4" t="str">
        <f>IFERROR(__xludf.DUMMYFUNCTION("""COMPUTED_VALUE"""),"Visera amarilla semaforo B - C 430126009")</f>
        <v>Visera amarilla semaforo B - C 430126009</v>
      </c>
      <c r="C1318" s="4">
        <f>IFERROR(__xludf.DUMMYFUNCTION("""COMPUTED_VALUE"""),27.1)</f>
        <v>27.1</v>
      </c>
      <c r="D1318" s="4"/>
      <c r="E1318" s="4" t="str">
        <f>IFERROR(__xludf.DUMMYFUNCTION("""COMPUTED_VALUE"""),"Sin precio neto G.C.")</f>
        <v>Sin precio neto G.C.</v>
      </c>
    </row>
    <row r="1319">
      <c r="A1319" s="4" t="str">
        <f>IFERROR(__xludf.DUMMYFUNCTION("""COMPUTED_VALUE"""),"1674C")</f>
        <v>1674C</v>
      </c>
      <c r="B1319" s="4" t="str">
        <f>IFERROR(__xludf.DUMMYFUNCTION("""COMPUTED_VALUE"""),"Cabeza semáforo3 luces 431231016")</f>
        <v>Cabeza semáforo3 luces 431231016</v>
      </c>
      <c r="C1319" s="4">
        <f>IFERROR(__xludf.DUMMYFUNCTION("""COMPUTED_VALUE"""),390.0)</f>
        <v>390</v>
      </c>
      <c r="D1319" s="4"/>
      <c r="E1319" s="4" t="str">
        <f>IFERROR(__xludf.DUMMYFUNCTION("""COMPUTED_VALUE"""),"Sin precio neto G.C.")</f>
        <v>Sin precio neto G.C.</v>
      </c>
    </row>
    <row r="1320">
      <c r="A1320" s="4" t="str">
        <f>IFERROR(__xludf.DUMMYFUNCTION("""COMPUTED_VALUE"""),"1674D")</f>
        <v>1674D</v>
      </c>
      <c r="B1320" s="4" t="str">
        <f>IFERROR(__xludf.DUMMYFUNCTION("""COMPUTED_VALUE"""),"Recambio pie semáforo 400900000")</f>
        <v>Recambio pie semáforo 400900000</v>
      </c>
      <c r="C1320" s="4">
        <f>IFERROR(__xludf.DUMMYFUNCTION("""COMPUTED_VALUE"""),35.0)</f>
        <v>35</v>
      </c>
      <c r="D1320" s="4"/>
      <c r="E1320" s="4" t="str">
        <f>IFERROR(__xludf.DUMMYFUNCTION("""COMPUTED_VALUE"""),"Sin precio neto G.C.")</f>
        <v>Sin precio neto G.C.</v>
      </c>
    </row>
    <row r="1321">
      <c r="A1321" s="4" t="str">
        <f>IFERROR(__xludf.DUMMYFUNCTION("""COMPUTED_VALUE"""),"1674E")</f>
        <v>1674E</v>
      </c>
      <c r="B1321" s="4" t="str">
        <f>IFERROR(__xludf.DUMMYFUNCTION("""COMPUTED_VALUE"""),"Recambio poste enganche base semáforo 250303006")</f>
        <v>Recambio poste enganche base semáforo 250303006</v>
      </c>
      <c r="C1321" s="4">
        <f>IFERROR(__xludf.DUMMYFUNCTION("""COMPUTED_VALUE"""),70.0)</f>
        <v>70</v>
      </c>
      <c r="D1321" s="4"/>
      <c r="E1321" s="4" t="str">
        <f>IFERROR(__xludf.DUMMYFUNCTION("""COMPUTED_VALUE"""),"Sin precio neto G.C.")</f>
        <v>Sin precio neto G.C.</v>
      </c>
    </row>
    <row r="1322">
      <c r="A1322" s="4" t="str">
        <f>IFERROR(__xludf.DUMMYFUNCTION("""COMPUTED_VALUE"""),"1674F")</f>
        <v>1674F</v>
      </c>
      <c r="B1322" s="4" t="str">
        <f>IFERROR(__xludf.DUMMYFUNCTION("""COMPUTED_VALUE"""),"Recambio rueda semáforo 409000006")</f>
        <v>Recambio rueda semáforo 409000006</v>
      </c>
      <c r="C1322" s="4">
        <f>IFERROR(__xludf.DUMMYFUNCTION("""COMPUTED_VALUE"""),27.0)</f>
        <v>27</v>
      </c>
      <c r="D1322" s="4"/>
      <c r="E1322" s="4" t="str">
        <f>IFERROR(__xludf.DUMMYFUNCTION("""COMPUTED_VALUE"""),"Sin precio neto G.C.")</f>
        <v>Sin precio neto G.C.</v>
      </c>
    </row>
    <row r="1323">
      <c r="A1323" s="4" t="str">
        <f>IFERROR(__xludf.DUMMYFUNCTION("""COMPUTED_VALUE"""),"1674G")</f>
        <v>1674G</v>
      </c>
      <c r="B1323" s="4" t="str">
        <f>IFERROR(__xludf.DUMMYFUNCTION("""COMPUTED_VALUE"""),"Pasador de seguridad semáforo 251636400")</f>
        <v>Pasador de seguridad semáforo 251636400</v>
      </c>
      <c r="C1323" s="4">
        <f>IFERROR(__xludf.DUMMYFUNCTION("""COMPUTED_VALUE"""),6.4)</f>
        <v>6.4</v>
      </c>
      <c r="D1323" s="4"/>
      <c r="E1323" s="4" t="str">
        <f>IFERROR(__xludf.DUMMYFUNCTION("""COMPUTED_VALUE"""),"Sin precio neto G.C.")</f>
        <v>Sin precio neto G.C.</v>
      </c>
    </row>
    <row r="1324">
      <c r="A1324" s="4" t="str">
        <f>IFERROR(__xludf.DUMMYFUNCTION("""COMPUTED_VALUE"""),"1674H")</f>
        <v>1674H</v>
      </c>
      <c r="B1324" s="4" t="str">
        <f>IFERROR(__xludf.DUMMYFUNCTION("""COMPUTED_VALUE"""),"Recambio cierre semáforo 1674")</f>
        <v>Recambio cierre semáforo 1674</v>
      </c>
      <c r="C1324" s="4">
        <f>IFERROR(__xludf.DUMMYFUNCTION("""COMPUTED_VALUE"""),24.0)</f>
        <v>24</v>
      </c>
      <c r="D1324" s="4"/>
      <c r="E1324" s="4" t="str">
        <f>IFERROR(__xludf.DUMMYFUNCTION("""COMPUTED_VALUE"""),"Sin precio neto G.C.")</f>
        <v>Sin precio neto G.C.</v>
      </c>
    </row>
    <row r="1325">
      <c r="A1325" s="4" t="str">
        <f>IFERROR(__xludf.DUMMYFUNCTION("""COMPUTED_VALUE"""),"1674K")</f>
        <v>1674K</v>
      </c>
      <c r="B1325" s="4" t="str">
        <f>IFERROR(__xludf.DUMMYFUNCTION("""COMPUTED_VALUE"""),"Kit solar 50w alimentación semáforos")</f>
        <v>Kit solar 50w alimentación semáforos</v>
      </c>
      <c r="C1325" s="4">
        <f>IFERROR(__xludf.DUMMYFUNCTION("""COMPUTED_VALUE"""),1050.0)</f>
        <v>1050</v>
      </c>
      <c r="D1325" s="4"/>
      <c r="E1325" s="4" t="str">
        <f>IFERROR(__xludf.DUMMYFUNCTION("""COMPUTED_VALUE"""),"Sin precio neto G.C.")</f>
        <v>Sin precio neto G.C.</v>
      </c>
    </row>
    <row r="1326">
      <c r="A1326" s="4" t="str">
        <f>IFERROR(__xludf.DUMMYFUNCTION("""COMPUTED_VALUE"""),"1674Z")</f>
        <v>1674Z</v>
      </c>
      <c r="B1326" s="4" t="str">
        <f>IFERROR(__xludf.DUMMYFUNCTION("""COMPUTED_VALUE"""),"Conexión semáforos batería")</f>
        <v>Conexión semáforos batería</v>
      </c>
      <c r="C1326" s="4">
        <f>IFERROR(__xludf.DUMMYFUNCTION("""COMPUTED_VALUE"""),18.0)</f>
        <v>18</v>
      </c>
      <c r="D1326" s="4"/>
      <c r="E1326" s="4" t="str">
        <f>IFERROR(__xludf.DUMMYFUNCTION("""COMPUTED_VALUE"""),"Sin precio neto G.C.")</f>
        <v>Sin precio neto G.C.</v>
      </c>
    </row>
    <row r="1327">
      <c r="A1327" s="4" t="str">
        <f>IFERROR(__xludf.DUMMYFUNCTION("""COMPUTED_VALUE"""),"1676")</f>
        <v>1676</v>
      </c>
      <c r="B1327" s="4" t="str">
        <f>IFERROR(__xludf.DUMMYFUNCTION("""COMPUTED_VALUE"""),"Secuencial 5 luces Inalambricas rafiofrecuencia")</f>
        <v>Secuencial 5 luces Inalambricas rafiofrecuencia</v>
      </c>
      <c r="C1327" s="4">
        <f>IFERROR(__xludf.DUMMYFUNCTION("""COMPUTED_VALUE"""),734.475)</f>
        <v>734.475</v>
      </c>
      <c r="D1327" s="4"/>
      <c r="E1327" s="4" t="str">
        <f>IFERROR(__xludf.DUMMYFUNCTION("""COMPUTED_VALUE"""),"Sin precio neto G.C.")</f>
        <v>Sin precio neto G.C.</v>
      </c>
    </row>
    <row r="1328">
      <c r="A1328" s="4" t="str">
        <f>IFERROR(__xludf.DUMMYFUNCTION("""COMPUTED_VALUE"""),"1676/BAL")</f>
        <v>1676/BAL</v>
      </c>
      <c r="B1328" s="4" t="str">
        <f>IFERROR(__xludf.DUMMYFUNCTION("""COMPUTED_VALUE"""),"Baliza secuencia radiofrecuencia")</f>
        <v>Baliza secuencia radiofrecuencia</v>
      </c>
      <c r="C1328" s="4">
        <f>IFERROR(__xludf.DUMMYFUNCTION("""COMPUTED_VALUE"""),141.75)</f>
        <v>141.75</v>
      </c>
      <c r="D1328" s="4"/>
      <c r="E1328" s="4" t="str">
        <f>IFERROR(__xludf.DUMMYFUNCTION("""COMPUTED_VALUE"""),"Sin precio neto G.C.")</f>
        <v>Sin precio neto G.C.</v>
      </c>
    </row>
    <row r="1329">
      <c r="A1329" s="4" t="str">
        <f>IFERROR(__xludf.DUMMYFUNCTION("""COMPUTED_VALUE"""),"1676/LEN")</f>
        <v>1676/LEN</v>
      </c>
      <c r="B1329" s="4" t="str">
        <f>IFERROR(__xludf.DUMMYFUNCTION("""COMPUTED_VALUE"""),"Lente delantera baliza radiofrecuencia")</f>
        <v>Lente delantera baliza radiofrecuencia</v>
      </c>
      <c r="C1329" s="4">
        <f>IFERROR(__xludf.DUMMYFUNCTION("""COMPUTED_VALUE"""),7.875)</f>
        <v>7.875</v>
      </c>
      <c r="D1329" s="4"/>
      <c r="E1329" s="4" t="str">
        <f>IFERROR(__xludf.DUMMYFUNCTION("""COMPUTED_VALUE"""),"Sin precio neto G.C.")</f>
        <v>Sin precio neto G.C.</v>
      </c>
    </row>
    <row r="1330">
      <c r="A1330" s="4" t="str">
        <f>IFERROR(__xludf.DUMMYFUNCTION("""COMPUTED_VALUE"""),"1677")</f>
        <v>1677</v>
      </c>
      <c r="B1330" s="4" t="str">
        <f>IFERROR(__xludf.DUMMYFUNCTION("""COMPUTED_VALUE"""),"Secuencial completo 5 elementos inalambricos por")</f>
        <v>Secuencial completo 5 elementos inalambricos por</v>
      </c>
      <c r="C1330" s="4">
        <f>IFERROR(__xludf.DUMMYFUNCTION("""COMPUTED_VALUE"""),1075.0)</f>
        <v>1075</v>
      </c>
      <c r="D1330" s="4"/>
      <c r="E1330" s="4" t="str">
        <f>IFERROR(__xludf.DUMMYFUNCTION("""COMPUTED_VALUE"""),"Sin precio neto G.C.")</f>
        <v>Sin precio neto G.C.</v>
      </c>
    </row>
    <row r="1331">
      <c r="A1331" s="4" t="str">
        <f>IFERROR(__xludf.DUMMYFUNCTION("""COMPUTED_VALUE"""),"1678")</f>
        <v>1678</v>
      </c>
      <c r="B1331" s="4" t="str">
        <f>IFERROR(__xludf.DUMMYFUNCTION("""COMPUTED_VALUE"""),"Abanderado electromecanico")</f>
        <v>Abanderado electromecanico</v>
      </c>
      <c r="C1331" s="4">
        <f>IFERROR(__xludf.DUMMYFUNCTION("""COMPUTED_VALUE"""),850.0)</f>
        <v>850</v>
      </c>
      <c r="D1331" s="4"/>
      <c r="E1331" s="4" t="str">
        <f>IFERROR(__xludf.DUMMYFUNCTION("""COMPUTED_VALUE"""),"Sin precio neto G.C.")</f>
        <v>Sin precio neto G.C.</v>
      </c>
    </row>
    <row r="1332">
      <c r="A1332" s="4" t="str">
        <f>IFERROR(__xludf.DUMMYFUNCTION("""COMPUTED_VALUE"""),"1679")</f>
        <v>1679</v>
      </c>
      <c r="B1332" s="4" t="str">
        <f>IFERROR(__xludf.DUMMYFUNCTION("""COMPUTED_VALUE"""),"Juego centralitas electronicas semaforo mod. B y C")</f>
        <v>Juego centralitas electronicas semaforo mod. B y C</v>
      </c>
      <c r="C1332" s="4">
        <f>IFERROR(__xludf.DUMMYFUNCTION("""COMPUTED_VALUE"""),340.0)</f>
        <v>340</v>
      </c>
      <c r="D1332" s="4"/>
      <c r="E1332" s="4" t="str">
        <f>IFERROR(__xludf.DUMMYFUNCTION("""COMPUTED_VALUE"""),"Sin precio neto G.C.")</f>
        <v>Sin precio neto G.C.</v>
      </c>
    </row>
    <row r="1333">
      <c r="A1333" s="4" t="str">
        <f>IFERROR(__xludf.DUMMYFUNCTION("""COMPUTED_VALUE"""),"1682")</f>
        <v>1682</v>
      </c>
      <c r="B1333" s="4" t="str">
        <f>IFERROR(__xludf.DUMMYFUNCTION("""COMPUTED_VALUE"""),"Rotativo Halog.55 W 12V Mod. Plus (iman+ ventosa)")</f>
        <v>Rotativo Halog.55 W 12V Mod. Plus (iman+ ventosa)</v>
      </c>
      <c r="C1333" s="4">
        <f>IFERROR(__xludf.DUMMYFUNCTION("""COMPUTED_VALUE"""),36.83)</f>
        <v>36.83</v>
      </c>
      <c r="D1333" s="4"/>
      <c r="E1333" s="4" t="str">
        <f>IFERROR(__xludf.DUMMYFUNCTION("""COMPUTED_VALUE"""),"Sin precio neto G.C.")</f>
        <v>Sin precio neto G.C.</v>
      </c>
    </row>
    <row r="1334">
      <c r="A1334" s="4" t="str">
        <f>IFERROR(__xludf.DUMMYFUNCTION("""COMPUTED_VALUE"""),"1682/ALARG")</f>
        <v>1682/ALARG</v>
      </c>
      <c r="B1334" s="4" t="str">
        <f>IFERROR(__xludf.DUMMYFUNCTION("""COMPUTED_VALUE"""),"Cable rizado alargadera para Rotativo Mod. Plus")</f>
        <v>Cable rizado alargadera para Rotativo Mod. Plus</v>
      </c>
      <c r="C1334" s="4">
        <f>IFERROR(__xludf.DUMMYFUNCTION("""COMPUTED_VALUE"""),9.0)</f>
        <v>9</v>
      </c>
      <c r="D1334" s="4"/>
      <c r="E1334" s="4" t="str">
        <f>IFERROR(__xludf.DUMMYFUNCTION("""COMPUTED_VALUE"""),"Sin precio neto G.C.")</f>
        <v>Sin precio neto G.C.</v>
      </c>
    </row>
    <row r="1335">
      <c r="A1335" s="4" t="str">
        <f>IFERROR(__xludf.DUMMYFUNCTION("""COMPUTED_VALUE"""),"1683")</f>
        <v>1683</v>
      </c>
      <c r="B1335" s="4" t="str">
        <f>IFERROR(__xludf.DUMMYFUNCTION("""COMPUTED_VALUE"""),"Juego 3 focos Leds 10 cm para señal metalica")</f>
        <v>Juego 3 focos Leds 10 cm para señal metalica</v>
      </c>
      <c r="C1335" s="4">
        <f>IFERROR(__xludf.DUMMYFUNCTION("""COMPUTED_VALUE"""),295.17)</f>
        <v>295.17</v>
      </c>
      <c r="D1335" s="4"/>
      <c r="E1335" s="4" t="str">
        <f>IFERROR(__xludf.DUMMYFUNCTION("""COMPUTED_VALUE"""),"Sin precio neto G.C.")</f>
        <v>Sin precio neto G.C.</v>
      </c>
    </row>
    <row r="1336">
      <c r="A1336" s="4" t="str">
        <f>IFERROR(__xludf.DUMMYFUNCTION("""COMPUTED_VALUE"""),"1684")</f>
        <v>1684</v>
      </c>
      <c r="B1336" s="4" t="str">
        <f>IFERROR(__xludf.DUMMYFUNCTION("""COMPUTED_VALUE"""),"Rotativo Halogeno magnet. Mod. BASIC")</f>
        <v>Rotativo Halogeno magnet. Mod. BASIC</v>
      </c>
      <c r="C1336" s="4">
        <f>IFERROR(__xludf.DUMMYFUNCTION("""COMPUTED_VALUE"""),14.0)</f>
        <v>14</v>
      </c>
      <c r="D1336" s="4"/>
      <c r="E1336" s="4" t="str">
        <f>IFERROR(__xludf.DUMMYFUNCTION("""COMPUTED_VALUE"""),"Sin precio neto G.C.")</f>
        <v>Sin precio neto G.C.</v>
      </c>
    </row>
    <row r="1337">
      <c r="A1337" s="4" t="str">
        <f>IFERROR(__xludf.DUMMYFUNCTION("""COMPUTED_VALUE"""),"1686")</f>
        <v>1686</v>
      </c>
      <c r="B1337" s="4" t="str">
        <f>IFERROR(__xludf.DUMMYFUNCTION("""COMPUTED_VALUE"""),"Conjunto Panel R/B + base caucho")</f>
        <v>Conjunto Panel R/B + base caucho</v>
      </c>
      <c r="C1337" s="4">
        <f>IFERROR(__xludf.DUMMYFUNCTION("""COMPUTED_VALUE"""),41.0)</f>
        <v>41</v>
      </c>
      <c r="D1337" s="4"/>
      <c r="E1337" s="4" t="str">
        <f>IFERROR(__xludf.DUMMYFUNCTION("""COMPUTED_VALUE"""),"Sin precio neto G.C.")</f>
        <v>Sin precio neto G.C.</v>
      </c>
    </row>
    <row r="1338">
      <c r="A1338" s="4" t="str">
        <f>IFERROR(__xludf.DUMMYFUNCTION("""COMPUTED_VALUE"""),"1687")</f>
        <v>1687</v>
      </c>
      <c r="B1338" s="4" t="str">
        <f>IFERROR(__xludf.DUMMYFUNCTION("""COMPUTED_VALUE"""),"Rotativo fijo carretilla elevadora 21W 12V A/214")</f>
        <v>Rotativo fijo carretilla elevadora 21W 12V A/214</v>
      </c>
      <c r="C1338" s="4">
        <f>IFERROR(__xludf.DUMMYFUNCTION("""COMPUTED_VALUE"""),26.25)</f>
        <v>26.25</v>
      </c>
      <c r="D1338" s="4"/>
      <c r="E1338" s="4" t="str">
        <f>IFERROR(__xludf.DUMMYFUNCTION("""COMPUTED_VALUE"""),"Sin precio neto G.C.")</f>
        <v>Sin precio neto G.C.</v>
      </c>
    </row>
    <row r="1339">
      <c r="A1339" s="4" t="str">
        <f>IFERROR(__xludf.DUMMYFUNCTION("""COMPUTED_VALUE"""),"1688")</f>
        <v>1688</v>
      </c>
      <c r="B1339" s="4" t="str">
        <f>IFERROR(__xludf.DUMMYFUNCTION("""COMPUTED_VALUE"""),"Panel conjunto 5 Leds para vehículos")</f>
        <v>Panel conjunto 5 Leds para vehículos</v>
      </c>
      <c r="C1339" s="4">
        <f>IFERROR(__xludf.DUMMYFUNCTION("""COMPUTED_VALUE"""),907.2)</f>
        <v>907.2</v>
      </c>
      <c r="D1339" s="4"/>
      <c r="E1339" s="4" t="str">
        <f>IFERROR(__xludf.DUMMYFUNCTION("""COMPUTED_VALUE"""),"Sin precio neto G.C.")</f>
        <v>Sin precio neto G.C.</v>
      </c>
    </row>
    <row r="1340">
      <c r="A1340" s="4" t="str">
        <f>IFERROR(__xludf.DUMMYFUNCTION("""COMPUTED_VALUE"""),"1689")</f>
        <v>1689</v>
      </c>
      <c r="B1340" s="4" t="str">
        <f>IFERROR(__xludf.DUMMYFUNCTION("""COMPUTED_VALUE"""),"Linterna Super-led Basic 12/220v 3 W+ cono amarillo")</f>
        <v>Linterna Super-led Basic 12/220v 3 W+ cono amarillo</v>
      </c>
      <c r="C1340" s="4">
        <f>IFERROR(__xludf.DUMMYFUNCTION("""COMPUTED_VALUE"""),26.0)</f>
        <v>26</v>
      </c>
      <c r="D1340" s="4">
        <f>IFERROR(__xludf.DUMMYFUNCTION("""COMPUTED_VALUE"""),22.0)</f>
        <v>22</v>
      </c>
      <c r="E1340" s="4" t="str">
        <f>IFERROR(__xludf.DUMMYFUNCTION("""COMPUTED_VALUE"""),"Neto G.C.: 22,00 € (a partir de 20 uds.)")</f>
        <v>Neto G.C.: 22,00 € (a partir de 20 uds.)</v>
      </c>
    </row>
    <row r="1341">
      <c r="A1341" s="4" t="str">
        <f>IFERROR(__xludf.DUMMYFUNCTION("""COMPUTED_VALUE"""),"1689B")</f>
        <v>1689B</v>
      </c>
      <c r="B1341" s="4" t="str">
        <f>IFERROR(__xludf.DUMMYFUNCTION("""COMPUTED_VALUE"""),"Batería para Linterna recargable Superled Basic")</f>
        <v>Batería para Linterna recargable Superled Basic</v>
      </c>
      <c r="C1341" s="4">
        <f>IFERROR(__xludf.DUMMYFUNCTION("""COMPUTED_VALUE"""),7.0)</f>
        <v>7</v>
      </c>
      <c r="D1341" s="4"/>
      <c r="E1341" s="4" t="str">
        <f>IFERROR(__xludf.DUMMYFUNCTION("""COMPUTED_VALUE"""),"Sin precio neto G.C.")</f>
        <v>Sin precio neto G.C.</v>
      </c>
    </row>
    <row r="1342">
      <c r="A1342" s="4" t="str">
        <f>IFERROR(__xludf.DUMMYFUNCTION("""COMPUTED_VALUE"""),"1689C")</f>
        <v>1689C</v>
      </c>
      <c r="B1342" s="4" t="str">
        <f>IFERROR(__xludf.DUMMYFUNCTION("""COMPUTED_VALUE"""),"Cono para linterna recargable Superled Basic")</f>
        <v>Cono para linterna recargable Superled Basic</v>
      </c>
      <c r="C1342" s="4">
        <f>IFERROR(__xludf.DUMMYFUNCTION("""COMPUTED_VALUE"""),6.0)</f>
        <v>6</v>
      </c>
      <c r="D1342" s="4"/>
      <c r="E1342" s="4" t="str">
        <f>IFERROR(__xludf.DUMMYFUNCTION("""COMPUTED_VALUE"""),"Sin precio neto G.C.")</f>
        <v>Sin precio neto G.C.</v>
      </c>
    </row>
    <row r="1343">
      <c r="A1343" s="4" t="str">
        <f>IFERROR(__xludf.DUMMYFUNCTION("""COMPUTED_VALUE"""),"1690")</f>
        <v>1690</v>
      </c>
      <c r="B1343" s="4" t="str">
        <f>IFERROR(__xludf.DUMMYFUNCTION("""COMPUTED_VALUE"""),"Linterna Super-led Polilux 12-220v 3W")</f>
        <v>Linterna Super-led Polilux 12-220v 3W</v>
      </c>
      <c r="C1343" s="4">
        <f>IFERROR(__xludf.DUMMYFUNCTION("""COMPUTED_VALUE"""),249.9)</f>
        <v>249.9</v>
      </c>
      <c r="D1343" s="4"/>
      <c r="E1343" s="4" t="str">
        <f>IFERROR(__xludf.DUMMYFUNCTION("""COMPUTED_VALUE"""),"Sin precio neto G.C.")</f>
        <v>Sin precio neto G.C.</v>
      </c>
    </row>
    <row r="1344">
      <c r="A1344" s="4" t="str">
        <f>IFERROR(__xludf.DUMMYFUNCTION("""COMPUTED_VALUE"""),"1691")</f>
        <v>1691</v>
      </c>
      <c r="B1344" s="4" t="str">
        <f>IFERROR(__xludf.DUMMYFUNCTION("""COMPUTED_VALUE"""),"Paleta difusora Stop-Paso p/linterna profesional")</f>
        <v>Paleta difusora Stop-Paso p/linterna profesional</v>
      </c>
      <c r="C1344" s="4">
        <f>IFERROR(__xludf.DUMMYFUNCTION("""COMPUTED_VALUE"""),34.65)</f>
        <v>34.65</v>
      </c>
      <c r="D1344" s="4"/>
      <c r="E1344" s="4" t="str">
        <f>IFERROR(__xludf.DUMMYFUNCTION("""COMPUTED_VALUE"""),"Sin precio neto G.C.")</f>
        <v>Sin precio neto G.C.</v>
      </c>
    </row>
    <row r="1345">
      <c r="A1345" s="4" t="str">
        <f>IFERROR(__xludf.DUMMYFUNCTION("""COMPUTED_VALUE"""),"1692")</f>
        <v>1692</v>
      </c>
      <c r="B1345" s="4" t="str">
        <f>IFERROR(__xludf.DUMMYFUNCTION("""COMPUTED_VALUE"""),"Cono amarillo señalizacion p/linterna profesional")</f>
        <v>Cono amarillo señalizacion p/linterna profesional</v>
      </c>
      <c r="C1345" s="4">
        <f>IFERROR(__xludf.DUMMYFUNCTION("""COMPUTED_VALUE"""),6.825)</f>
        <v>6.825</v>
      </c>
      <c r="D1345" s="4"/>
      <c r="E1345" s="4" t="str">
        <f>IFERROR(__xludf.DUMMYFUNCTION("""COMPUTED_VALUE"""),"Sin precio neto G.C.")</f>
        <v>Sin precio neto G.C.</v>
      </c>
    </row>
    <row r="1346">
      <c r="A1346" s="4" t="str">
        <f>IFERROR(__xludf.DUMMYFUNCTION("""COMPUTED_VALUE"""),"1693")</f>
        <v>1693</v>
      </c>
      <c r="B1346" s="4" t="str">
        <f>IFERROR(__xludf.DUMMYFUNCTION("""COMPUTED_VALUE"""),"Avisador acústico para carretilla 97 db")</f>
        <v>Avisador acústico para carretilla 97 db</v>
      </c>
      <c r="C1346" s="4">
        <f>IFERROR(__xludf.DUMMYFUNCTION("""COMPUTED_VALUE"""),26.25)</f>
        <v>26.25</v>
      </c>
      <c r="D1346" s="4"/>
      <c r="E1346" s="4" t="str">
        <f>IFERROR(__xludf.DUMMYFUNCTION("""COMPUTED_VALUE"""),"Sin precio neto G.C.")</f>
        <v>Sin precio neto G.C.</v>
      </c>
    </row>
    <row r="1347">
      <c r="A1347" s="4" t="str">
        <f>IFERROR(__xludf.DUMMYFUNCTION("""COMPUTED_VALUE"""),"1694")</f>
        <v>1694</v>
      </c>
      <c r="B1347" s="4" t="str">
        <f>IFERROR(__xludf.DUMMYFUNCTION("""COMPUTED_VALUE"""),"Rotativo Led 12V base magnetica + ventosa")</f>
        <v>Rotativo Led 12V base magnetica + ventosa</v>
      </c>
      <c r="C1347" s="4">
        <f>IFERROR(__xludf.DUMMYFUNCTION("""COMPUTED_VALUE"""),50.4)</f>
        <v>50.4</v>
      </c>
      <c r="D1347" s="4"/>
      <c r="E1347" s="4" t="str">
        <f>IFERROR(__xludf.DUMMYFUNCTION("""COMPUTED_VALUE"""),"Sin precio neto G.C.")</f>
        <v>Sin precio neto G.C.</v>
      </c>
    </row>
    <row r="1348">
      <c r="A1348" s="4" t="str">
        <f>IFERROR(__xludf.DUMMYFUNCTION("""COMPUTED_VALUE"""),"1697")</f>
        <v>1697</v>
      </c>
      <c r="B1348" s="4" t="str">
        <f>IFERROR(__xludf.DUMMYFUNCTION("""COMPUTED_VALUE"""),"Baston luminoso LED ambar")</f>
        <v>Baston luminoso LED ambar</v>
      </c>
      <c r="C1348" s="4">
        <f>IFERROR(__xludf.DUMMYFUNCTION("""COMPUTED_VALUE"""),7.75)</f>
        <v>7.75</v>
      </c>
      <c r="D1348" s="4">
        <f>IFERROR(__xludf.DUMMYFUNCTION("""COMPUTED_VALUE"""),4.5)</f>
        <v>4.5</v>
      </c>
      <c r="E1348" s="4" t="str">
        <f>IFERROR(__xludf.DUMMYFUNCTION("""COMPUTED_VALUE"""),"Neto G.C.: 4,50 € (a partir de 50 uds.)")</f>
        <v>Neto G.C.: 4,50 € (a partir de 50 uds.)</v>
      </c>
    </row>
    <row r="1349">
      <c r="A1349" s="4" t="str">
        <f>IFERROR(__xludf.DUMMYFUNCTION("""COMPUTED_VALUE"""),"1700")</f>
        <v>1700</v>
      </c>
      <c r="B1349" s="4" t="str">
        <f>IFERROR(__xludf.DUMMYFUNCTION("""COMPUTED_VALUE"""),"Panel direccional 60x60 8 focos Led 100 mm")</f>
        <v>Panel direccional 60x60 8 focos Led 100 mm</v>
      </c>
      <c r="C1349" s="4">
        <f>IFERROR(__xludf.DUMMYFUNCTION("""COMPUTED_VALUE"""),517.65)</f>
        <v>517.65</v>
      </c>
      <c r="D1349" s="4"/>
      <c r="E1349" s="4" t="str">
        <f>IFERROR(__xludf.DUMMYFUNCTION("""COMPUTED_VALUE"""),"Sin precio neto G.C.")</f>
        <v>Sin precio neto G.C.</v>
      </c>
    </row>
    <row r="1350">
      <c r="A1350" s="4" t="str">
        <f>IFERROR(__xludf.DUMMYFUNCTION("""COMPUTED_VALUE"""),"1701")</f>
        <v>1701</v>
      </c>
      <c r="B1350" s="4" t="str">
        <f>IFERROR(__xludf.DUMMYFUNCTION("""COMPUTED_VALUE"""),"Panel direccional 90x90 8 Focos Led 200 mm")</f>
        <v>Panel direccional 90x90 8 Focos Led 200 mm</v>
      </c>
      <c r="C1350" s="4">
        <f>IFERROR(__xludf.DUMMYFUNCTION("""COMPUTED_VALUE"""),787.5)</f>
        <v>787.5</v>
      </c>
      <c r="D1350" s="4"/>
      <c r="E1350" s="4" t="str">
        <f>IFERROR(__xludf.DUMMYFUNCTION("""COMPUTED_VALUE"""),"Sin precio neto G.C.")</f>
        <v>Sin precio neto G.C.</v>
      </c>
    </row>
    <row r="1351">
      <c r="A1351" s="4" t="str">
        <f>IFERROR(__xludf.DUMMYFUNCTION("""COMPUTED_VALUE"""),"1900")</f>
        <v>1900</v>
      </c>
      <c r="B1351" s="4" t="str">
        <f>IFERROR(__xludf.DUMMYFUNCTION("""COMPUTED_VALUE"""),"Reductor veloc. proteccion cables 90x50x5cm")</f>
        <v>Reductor veloc. proteccion cables 90x50x5cm</v>
      </c>
      <c r="C1351" s="4">
        <f>IFERROR(__xludf.DUMMYFUNCTION("""COMPUTED_VALUE"""),45.0)</f>
        <v>45</v>
      </c>
      <c r="D1351" s="4"/>
      <c r="E1351" s="4" t="str">
        <f>IFERROR(__xludf.DUMMYFUNCTION("""COMPUTED_VALUE"""),"Sin precio neto G.C.")</f>
        <v>Sin precio neto G.C.</v>
      </c>
    </row>
    <row r="1352">
      <c r="A1352" s="4" t="str">
        <f>IFERROR(__xludf.DUMMYFUNCTION("""COMPUTED_VALUE"""),"1900B")</f>
        <v>1900B</v>
      </c>
      <c r="B1352" s="4" t="str">
        <f>IFERROR(__xludf.DUMMYFUNCTION("""COMPUTED_VALUE"""),"Reductor veloc. proteccion cables 90x25x4,5 cm")</f>
        <v>Reductor veloc. proteccion cables 90x25x4,5 cm</v>
      </c>
      <c r="C1352" s="4">
        <f>IFERROR(__xludf.DUMMYFUNCTION("""COMPUTED_VALUE"""),40.5)</f>
        <v>40.5</v>
      </c>
      <c r="D1352" s="4"/>
      <c r="E1352" s="4" t="str">
        <f>IFERROR(__xludf.DUMMYFUNCTION("""COMPUTED_VALUE"""),"Sin precio neto G.C.")</f>
        <v>Sin precio neto G.C.</v>
      </c>
    </row>
    <row r="1353">
      <c r="A1353" s="4" t="str">
        <f>IFERROR(__xludf.DUMMYFUNCTION("""COMPUTED_VALUE"""),"1900C")</f>
        <v>1900C</v>
      </c>
      <c r="B1353" s="4" t="str">
        <f>IFERROR(__xludf.DUMMYFUNCTION("""COMPUTED_VALUE"""),"Rampa proteccion cables 30x82x8,5 cm")</f>
        <v>Rampa proteccion cables 30x82x8,5 cm</v>
      </c>
      <c r="C1353" s="4">
        <f>IFERROR(__xludf.DUMMYFUNCTION("""COMPUTED_VALUE"""),41.75)</f>
        <v>41.75</v>
      </c>
      <c r="D1353" s="4"/>
      <c r="E1353" s="4" t="str">
        <f>IFERROR(__xludf.DUMMYFUNCTION("""COMPUTED_VALUE"""),"Sin precio neto G.C.")</f>
        <v>Sin precio neto G.C.</v>
      </c>
    </row>
    <row r="1354">
      <c r="A1354" s="4" t="str">
        <f>IFERROR(__xludf.DUMMYFUNCTION("""COMPUTED_VALUE"""),"1900D")</f>
        <v>1900D</v>
      </c>
      <c r="B1354" s="4" t="str">
        <f>IFERROR(__xludf.DUMMYFUNCTION("""COMPUTED_VALUE"""),"Reductor Pasacables MOD D")</f>
        <v>Reductor Pasacables MOD D</v>
      </c>
      <c r="C1354" s="4">
        <f>IFERROR(__xludf.DUMMYFUNCTION("""COMPUTED_VALUE"""),39.5)</f>
        <v>39.5</v>
      </c>
      <c r="D1354" s="4"/>
      <c r="E1354" s="4" t="str">
        <f>IFERROR(__xludf.DUMMYFUNCTION("""COMPUTED_VALUE"""),"Sin precio neto G.C.")</f>
        <v>Sin precio neto G.C.</v>
      </c>
    </row>
    <row r="1355">
      <c r="A1355" s="4" t="str">
        <f>IFERROR(__xludf.DUMMYFUNCTION("""COMPUTED_VALUE"""),"1901H")</f>
        <v>1901H</v>
      </c>
      <c r="B1355" s="4" t="str">
        <f>IFERROR(__xludf.DUMMYFUNCTION("""COMPUTED_VALUE"""),"Extremo reductor velocidad 25x50x3 cm Mod B H")</f>
        <v>Extremo reductor velocidad 25x50x3 cm Mod B H</v>
      </c>
      <c r="C1355" s="4">
        <f>IFERROR(__xludf.DUMMYFUNCTION("""COMPUTED_VALUE"""),15.0)</f>
        <v>15</v>
      </c>
      <c r="D1355" s="4"/>
      <c r="E1355" s="4" t="str">
        <f>IFERROR(__xludf.DUMMYFUNCTION("""COMPUTED_VALUE"""),"Sin precio neto G.C.")</f>
        <v>Sin precio neto G.C.</v>
      </c>
    </row>
    <row r="1356">
      <c r="A1356" s="4" t="str">
        <f>IFERROR(__xludf.DUMMYFUNCTION("""COMPUTED_VALUE"""),"1901M")</f>
        <v>1901M</v>
      </c>
      <c r="B1356" s="4" t="str">
        <f>IFERROR(__xludf.DUMMYFUNCTION("""COMPUTED_VALUE"""),"Extremo reductor velocidad 25x50x3 cm Mod B M")</f>
        <v>Extremo reductor velocidad 25x50x3 cm Mod B M</v>
      </c>
      <c r="C1356" s="4">
        <f>IFERROR(__xludf.DUMMYFUNCTION("""COMPUTED_VALUE"""),15.0)</f>
        <v>15</v>
      </c>
      <c r="D1356" s="4"/>
      <c r="E1356" s="4" t="str">
        <f>IFERROR(__xludf.DUMMYFUNCTION("""COMPUTED_VALUE"""),"Sin precio neto G.C.")</f>
        <v>Sin precio neto G.C.</v>
      </c>
    </row>
    <row r="1357">
      <c r="A1357" s="4" t="str">
        <f>IFERROR(__xludf.DUMMYFUNCTION("""COMPUTED_VALUE"""),"1902")</f>
        <v>1902</v>
      </c>
      <c r="B1357" s="4" t="str">
        <f>IFERROR(__xludf.DUMMYFUNCTION("""COMPUTED_VALUE"""),"Reductor Velocidad 50x50x3 cm. Mod. B")</f>
        <v>Reductor Velocidad 50x50x3 cm. Mod. B</v>
      </c>
      <c r="C1357" s="4">
        <f>IFERROR(__xludf.DUMMYFUNCTION("""COMPUTED_VALUE"""),25.18)</f>
        <v>25.18</v>
      </c>
      <c r="D1357" s="4"/>
      <c r="E1357" s="4" t="str">
        <f>IFERROR(__xludf.DUMMYFUNCTION("""COMPUTED_VALUE"""),"Sin precio neto G.C.")</f>
        <v>Sin precio neto G.C.</v>
      </c>
    </row>
    <row r="1358">
      <c r="A1358" s="4" t="str">
        <f>IFERROR(__xludf.DUMMYFUNCTION("""COMPUTED_VALUE"""),"1903")</f>
        <v>1903</v>
      </c>
      <c r="B1358" s="4" t="str">
        <f>IFERROR(__xludf.DUMMYFUNCTION("""COMPUTED_VALUE"""),"Reductor Velocidad 50x60x5 cm. Mod. A")</f>
        <v>Reductor Velocidad 50x60x5 cm. Mod. A</v>
      </c>
      <c r="C1358" s="4">
        <f>IFERROR(__xludf.DUMMYFUNCTION("""COMPUTED_VALUE"""),25.9)</f>
        <v>25.9</v>
      </c>
      <c r="D1358" s="4"/>
      <c r="E1358" s="4" t="str">
        <f>IFERROR(__xludf.DUMMYFUNCTION("""COMPUTED_VALUE"""),"Sin precio neto G.C.")</f>
        <v>Sin precio neto G.C.</v>
      </c>
    </row>
    <row r="1359">
      <c r="A1359" s="4" t="str">
        <f>IFERROR(__xludf.DUMMYFUNCTION("""COMPUTED_VALUE"""),"1903B")</f>
        <v>1903B</v>
      </c>
      <c r="B1359" s="4" t="str">
        <f>IFERROR(__xludf.DUMMYFUNCTION("""COMPUTED_VALUE"""),"Reductor Velocidad 50x60x3 cm. Mod. A")</f>
        <v>Reductor Velocidad 50x60x3 cm. Mod. A</v>
      </c>
      <c r="C1359" s="4">
        <f>IFERROR(__xludf.DUMMYFUNCTION("""COMPUTED_VALUE"""),16.0)</f>
        <v>16</v>
      </c>
      <c r="D1359" s="4"/>
      <c r="E1359" s="4" t="str">
        <f>IFERROR(__xludf.DUMMYFUNCTION("""COMPUTED_VALUE"""),"Sin precio neto G.C.")</f>
        <v>Sin precio neto G.C.</v>
      </c>
    </row>
    <row r="1360">
      <c r="A1360" s="4" t="str">
        <f>IFERROR(__xludf.DUMMYFUNCTION("""COMPUTED_VALUE"""),"1904")</f>
        <v>1904</v>
      </c>
      <c r="B1360" s="4" t="str">
        <f>IFERROR(__xludf.DUMMYFUNCTION("""COMPUTED_VALUE"""),"Extremo Reductor velocidad 25x60x5 cm Mod. A")</f>
        <v>Extremo Reductor velocidad 25x60x5 cm Mod. A</v>
      </c>
      <c r="C1360" s="4">
        <f>IFERROR(__xludf.DUMMYFUNCTION("""COMPUTED_VALUE"""),16.95)</f>
        <v>16.95</v>
      </c>
      <c r="D1360" s="4"/>
      <c r="E1360" s="4" t="str">
        <f>IFERROR(__xludf.DUMMYFUNCTION("""COMPUTED_VALUE"""),"Sin precio neto G.C.")</f>
        <v>Sin precio neto G.C.</v>
      </c>
    </row>
    <row r="1361">
      <c r="A1361" s="4" t="str">
        <f>IFERROR(__xludf.DUMMYFUNCTION("""COMPUTED_VALUE"""),"1904B")</f>
        <v>1904B</v>
      </c>
      <c r="B1361" s="4" t="str">
        <f>IFERROR(__xludf.DUMMYFUNCTION("""COMPUTED_VALUE"""),"Extremo reductor Velocidad 50x60x3 cm. Mod. A")</f>
        <v>Extremo reductor Velocidad 50x60x3 cm. Mod. A</v>
      </c>
      <c r="C1361" s="4">
        <f>IFERROR(__xludf.DUMMYFUNCTION("""COMPUTED_VALUE"""),11.25)</f>
        <v>11.25</v>
      </c>
      <c r="D1361" s="4"/>
      <c r="E1361" s="4" t="str">
        <f>IFERROR(__xludf.DUMMYFUNCTION("""COMPUTED_VALUE"""),"Sin precio neto G.C.")</f>
        <v>Sin precio neto G.C.</v>
      </c>
    </row>
    <row r="1362">
      <c r="A1362" s="4" t="str">
        <f>IFERROR(__xludf.DUMMYFUNCTION("""COMPUTED_VALUE"""),"1908")</f>
        <v>1908</v>
      </c>
      <c r="B1362" s="4" t="str">
        <f>IFERROR(__xludf.DUMMYFUNCTION("""COMPUTED_VALUE"""),"Reductor Velocidad 50x50x5 cm Mod. B")</f>
        <v>Reductor Velocidad 50x50x5 cm Mod. B</v>
      </c>
      <c r="C1362" s="4">
        <f>IFERROR(__xludf.DUMMYFUNCTION("""COMPUTED_VALUE"""),34.75)</f>
        <v>34.75</v>
      </c>
      <c r="D1362" s="4"/>
      <c r="E1362" s="4" t="str">
        <f>IFERROR(__xludf.DUMMYFUNCTION("""COMPUTED_VALUE"""),"Sin precio neto G.C.")</f>
        <v>Sin precio neto G.C.</v>
      </c>
    </row>
    <row r="1363">
      <c r="A1363" s="4" t="str">
        <f>IFERROR(__xludf.DUMMYFUNCTION("""COMPUTED_VALUE"""),"1909H")</f>
        <v>1909H</v>
      </c>
      <c r="B1363" s="4" t="str">
        <f>IFERROR(__xludf.DUMMYFUNCTION("""COMPUTED_VALUE"""),"Extremo reductor velocidad 25x50x5 cm Mod. B H")</f>
        <v>Extremo reductor velocidad 25x50x5 cm Mod. B H</v>
      </c>
      <c r="C1363" s="4">
        <f>IFERROR(__xludf.DUMMYFUNCTION("""COMPUTED_VALUE"""),19.95)</f>
        <v>19.95</v>
      </c>
      <c r="D1363" s="4"/>
      <c r="E1363" s="4" t="str">
        <f>IFERROR(__xludf.DUMMYFUNCTION("""COMPUTED_VALUE"""),"Sin precio neto G.C.")</f>
        <v>Sin precio neto G.C.</v>
      </c>
    </row>
    <row r="1364">
      <c r="A1364" s="4" t="str">
        <f>IFERROR(__xludf.DUMMYFUNCTION("""COMPUTED_VALUE"""),"1909M")</f>
        <v>1909M</v>
      </c>
      <c r="B1364" s="4" t="str">
        <f>IFERROR(__xludf.DUMMYFUNCTION("""COMPUTED_VALUE"""),"Extremo reductor velocidad 25x50x5 cm Mod. B M")</f>
        <v>Extremo reductor velocidad 25x50x5 cm Mod. B M</v>
      </c>
      <c r="C1364" s="4">
        <f>IFERROR(__xludf.DUMMYFUNCTION("""COMPUTED_VALUE"""),19.95)</f>
        <v>19.95</v>
      </c>
      <c r="D1364" s="4"/>
      <c r="E1364" s="4" t="str">
        <f>IFERROR(__xludf.DUMMYFUNCTION("""COMPUTED_VALUE"""),"Sin precio neto G.C.")</f>
        <v>Sin precio neto G.C.</v>
      </c>
    </row>
    <row r="1365">
      <c r="A1365" s="4" t="str">
        <f>IFERROR(__xludf.DUMMYFUNCTION("""COMPUTED_VALUE"""),"1910")</f>
        <v>1910</v>
      </c>
      <c r="B1365" s="4" t="str">
        <f>IFERROR(__xludf.DUMMYFUNCTION("""COMPUTED_VALUE"""),"Reductor velocidad - salva cables 50x60x5")</f>
        <v>Reductor velocidad - salva cables 50x60x5</v>
      </c>
      <c r="C1365" s="4">
        <f>IFERROR(__xludf.DUMMYFUNCTION("""COMPUTED_VALUE"""),43.75)</f>
        <v>43.75</v>
      </c>
      <c r="D1365" s="4"/>
      <c r="E1365" s="4" t="str">
        <f>IFERROR(__xludf.DUMMYFUNCTION("""COMPUTED_VALUE"""),"Sin precio neto G.C.")</f>
        <v>Sin precio neto G.C.</v>
      </c>
    </row>
    <row r="1366">
      <c r="A1366" s="4" t="str">
        <f>IFERROR(__xludf.DUMMYFUNCTION("""COMPUTED_VALUE"""),"1912")</f>
        <v>1912</v>
      </c>
      <c r="B1366" s="4" t="str">
        <f>IFERROR(__xludf.DUMMYFUNCTION("""COMPUTED_VALUE"""),"Reductor Lenticular 22x4")</f>
        <v>Reductor Lenticular 22x4</v>
      </c>
      <c r="C1366" s="4">
        <f>IFERROR(__xludf.DUMMYFUNCTION("""COMPUTED_VALUE"""),7.6)</f>
        <v>7.6</v>
      </c>
      <c r="D1366" s="4"/>
      <c r="E1366" s="4" t="str">
        <f>IFERROR(__xludf.DUMMYFUNCTION("""COMPUTED_VALUE"""),"Sin precio neto G.C.")</f>
        <v>Sin precio neto G.C.</v>
      </c>
    </row>
    <row r="1367">
      <c r="A1367" s="4" t="str">
        <f>IFERROR(__xludf.DUMMYFUNCTION("""COMPUTED_VALUE"""),"1913/A")</f>
        <v>1913/A</v>
      </c>
      <c r="B1367" s="4" t="str">
        <f>IFERROR(__xludf.DUMMYFUNCTION("""COMPUTED_VALUE"""),"Separador Amarillo carril- bici 1 mt x 15 cm ancho x 5 cm alto")</f>
        <v>Separador Amarillo carril- bici 1 mt x 15 cm ancho x 5 cm alto</v>
      </c>
      <c r="C1367" s="4">
        <f>IFERROR(__xludf.DUMMYFUNCTION("""COMPUTED_VALUE"""),18.0)</f>
        <v>18</v>
      </c>
      <c r="D1367" s="4">
        <f>IFERROR(__xludf.DUMMYFUNCTION("""COMPUTED_VALUE"""),15.0)</f>
        <v>15</v>
      </c>
      <c r="E1367" s="4" t="str">
        <f>IFERROR(__xludf.DUMMYFUNCTION("""COMPUTED_VALUE"""),"Neto G.C.: 15,00 € (a partir de 1 uds.)")</f>
        <v>Neto G.C.: 15,00 € (a partir de 1 uds.)</v>
      </c>
    </row>
    <row r="1368">
      <c r="A1368" s="4" t="str">
        <f>IFERROR(__xludf.DUMMYFUNCTION("""COMPUTED_VALUE"""),"1913/N")</f>
        <v>1913/N</v>
      </c>
      <c r="B1368" s="4" t="str">
        <f>IFERROR(__xludf.DUMMYFUNCTION("""COMPUTED_VALUE"""),"Separador Negro carril-bici 1 mt x 15 cm ancho x 5 cm alto")</f>
        <v>Separador Negro carril-bici 1 mt x 15 cm ancho x 5 cm alto</v>
      </c>
      <c r="C1368" s="4">
        <f>IFERROR(__xludf.DUMMYFUNCTION("""COMPUTED_VALUE"""),18.0)</f>
        <v>18</v>
      </c>
      <c r="D1368" s="4">
        <f>IFERROR(__xludf.DUMMYFUNCTION("""COMPUTED_VALUE"""),15.0)</f>
        <v>15</v>
      </c>
      <c r="E1368" s="4" t="str">
        <f>IFERROR(__xludf.DUMMYFUNCTION("""COMPUTED_VALUE"""),"Neto G.C.: 15,00 € (a partir de 1 uds.)")</f>
        <v>Neto G.C.: 15,00 € (a partir de 1 uds.)</v>
      </c>
    </row>
    <row r="1369">
      <c r="A1369" s="4" t="str">
        <f>IFERROR(__xludf.DUMMYFUNCTION("""COMPUTED_VALUE"""),"1913/R")</f>
        <v>1913/R</v>
      </c>
      <c r="B1369" s="4" t="str">
        <f>IFERROR(__xludf.DUMMYFUNCTION("""COMPUTED_VALUE"""),"Separador Rojo carril-bici 1 mt x 15 cm ancho x 5 cm alto")</f>
        <v>Separador Rojo carril-bici 1 mt x 15 cm ancho x 5 cm alto</v>
      </c>
      <c r="C1369" s="4">
        <f>IFERROR(__xludf.DUMMYFUNCTION("""COMPUTED_VALUE"""),18.0)</f>
        <v>18</v>
      </c>
      <c r="D1369" s="4">
        <f>IFERROR(__xludf.DUMMYFUNCTION("""COMPUTED_VALUE"""),15.0)</f>
        <v>15</v>
      </c>
      <c r="E1369" s="4" t="str">
        <f>IFERROR(__xludf.DUMMYFUNCTION("""COMPUTED_VALUE"""),"Neto G.C.: 15,00 € (a partir de 1 uds.)")</f>
        <v>Neto G.C.: 15,00 € (a partir de 1 uds.)</v>
      </c>
    </row>
    <row r="1370">
      <c r="A1370" s="4" t="str">
        <f>IFERROR(__xludf.DUMMYFUNCTION("""COMPUTED_VALUE"""),"1914")</f>
        <v>1914</v>
      </c>
      <c r="B1370" s="4" t="str">
        <f>IFERROR(__xludf.DUMMYFUNCTION("""COMPUTED_VALUE"""),"Separador carril-bici 77,5 x 16,6 x 9 cm CVT")</f>
        <v>Separador carril-bici 77,5 x 16,6 x 9 cm CVT</v>
      </c>
      <c r="C1370" s="4">
        <f>IFERROR(__xludf.DUMMYFUNCTION("""COMPUTED_VALUE"""),14.6)</f>
        <v>14.6</v>
      </c>
      <c r="D1370" s="4"/>
      <c r="E1370" s="4" t="str">
        <f>IFERROR(__xludf.DUMMYFUNCTION("""COMPUTED_VALUE"""),"Sin precio neto G.C.")</f>
        <v>Sin precio neto G.C.</v>
      </c>
    </row>
    <row r="1371">
      <c r="A1371" s="4" t="str">
        <f>IFERROR(__xludf.DUMMYFUNCTION("""COMPUTED_VALUE"""),"1915")</f>
        <v>1915</v>
      </c>
      <c r="B1371" s="4" t="str">
        <f>IFERROR(__xludf.DUMMYFUNCTION("""COMPUTED_VALUE"""),"Valla extensible PVC 2,50 metros N/A")</f>
        <v>Valla extensible PVC 2,50 metros N/A</v>
      </c>
      <c r="C1371" s="4">
        <f>IFERROR(__xludf.DUMMYFUNCTION("""COMPUTED_VALUE"""),66.0)</f>
        <v>66</v>
      </c>
      <c r="D1371" s="4"/>
      <c r="E1371" s="4" t="str">
        <f>IFERROR(__xludf.DUMMYFUNCTION("""COMPUTED_VALUE"""),"Sin precio neto G.C.")</f>
        <v>Sin precio neto G.C.</v>
      </c>
    </row>
    <row r="1372">
      <c r="A1372" s="4" t="str">
        <f>IFERROR(__xludf.DUMMYFUNCTION("""COMPUTED_VALUE"""),"1915/R")</f>
        <v>1915/R</v>
      </c>
      <c r="B1372" s="4" t="str">
        <f>IFERROR(__xludf.DUMMYFUNCTION("""COMPUTED_VALUE"""),"Valla extensible PVC R/B")</f>
        <v>Valla extensible PVC R/B</v>
      </c>
      <c r="C1372" s="4">
        <f>IFERROR(__xludf.DUMMYFUNCTION("""COMPUTED_VALUE"""),79.1)</f>
        <v>79.1</v>
      </c>
      <c r="D1372" s="4"/>
      <c r="E1372" s="4" t="str">
        <f>IFERROR(__xludf.DUMMYFUNCTION("""COMPUTED_VALUE"""),"Sin precio neto G.C.")</f>
        <v>Sin precio neto G.C.</v>
      </c>
    </row>
    <row r="1373">
      <c r="A1373" s="4" t="str">
        <f>IFERROR(__xludf.DUMMYFUNCTION("""COMPUTED_VALUE"""),"1915M")</f>
        <v>1915M</v>
      </c>
      <c r="B1373" s="4" t="str">
        <f>IFERROR(__xludf.DUMMYFUNCTION("""COMPUTED_VALUE"""),"Utility Barrier 4 pts. 750 mm")</f>
        <v>Utility Barrier 4 pts. 750 mm</v>
      </c>
      <c r="C1373" s="4">
        <f>IFERROR(__xludf.DUMMYFUNCTION("""COMPUTED_VALUE"""),110.0)</f>
        <v>110</v>
      </c>
      <c r="D1373" s="4"/>
      <c r="E1373" s="4" t="str">
        <f>IFERROR(__xludf.DUMMYFUNCTION("""COMPUTED_VALUE"""),"Sin precio neto G.C.")</f>
        <v>Sin precio neto G.C.</v>
      </c>
    </row>
    <row r="1374">
      <c r="A1374" s="4" t="str">
        <f>IFERROR(__xludf.DUMMYFUNCTION("""COMPUTED_VALUE"""),"1916")</f>
        <v>1916</v>
      </c>
      <c r="B1374" s="4" t="str">
        <f>IFERROR(__xludf.DUMMYFUNCTION("""COMPUTED_VALUE"""),"Reductor velocidad 50x50x4,5 MOD C")</f>
        <v>Reductor velocidad 50x50x4,5 MOD C</v>
      </c>
      <c r="C1374" s="4">
        <f>IFERROR(__xludf.DUMMYFUNCTION("""COMPUTED_VALUE"""),19.45)</f>
        <v>19.45</v>
      </c>
      <c r="D1374" s="4">
        <f>IFERROR(__xludf.DUMMYFUNCTION("""COMPUTED_VALUE"""),17.0)</f>
        <v>17</v>
      </c>
      <c r="E1374" s="4" t="str">
        <f>IFERROR(__xludf.DUMMYFUNCTION("""COMPUTED_VALUE"""),"Neto G.C.: 17,00 € (a partir de 1 uds.)")</f>
        <v>Neto G.C.: 17,00 € (a partir de 1 uds.)</v>
      </c>
    </row>
    <row r="1375">
      <c r="A1375" s="4" t="str">
        <f>IFERROR(__xludf.DUMMYFUNCTION("""COMPUTED_VALUE"""),"1917")</f>
        <v>1917</v>
      </c>
      <c r="B1375" s="4" t="str">
        <f>IFERROR(__xludf.DUMMYFUNCTION("""COMPUTED_VALUE"""),"Extremo reductor velocidad 50x25x4,5 MOD C")</f>
        <v>Extremo reductor velocidad 50x25x4,5 MOD C</v>
      </c>
      <c r="C1375" s="4">
        <f>IFERROR(__xludf.DUMMYFUNCTION("""COMPUTED_VALUE"""),12.25)</f>
        <v>12.25</v>
      </c>
      <c r="D1375" s="4">
        <f>IFERROR(__xludf.DUMMYFUNCTION("""COMPUTED_VALUE"""),10.0)</f>
        <v>10</v>
      </c>
      <c r="E1375" s="4" t="str">
        <f>IFERROR(__xludf.DUMMYFUNCTION("""COMPUTED_VALUE"""),"Neto G.C.: 10,00 € (a partir de 1 uds.)")</f>
        <v>Neto G.C.: 10,00 € (a partir de 1 uds.)</v>
      </c>
    </row>
    <row r="1376">
      <c r="A1376" s="4" t="str">
        <f>IFERROR(__xludf.DUMMYFUNCTION("""COMPUTED_VALUE"""),"1919")</f>
        <v>1919</v>
      </c>
      <c r="B1376" s="4" t="str">
        <f>IFERROR(__xludf.DUMMYFUNCTION("""COMPUTED_VALUE"""),"Valla alcantarillado 4 ptas Plastico Naranja")</f>
        <v>Valla alcantarillado 4 ptas Plastico Naranja</v>
      </c>
      <c r="C1376" s="4">
        <f>IFERROR(__xludf.DUMMYFUNCTION("""COMPUTED_VALUE"""),99.5)</f>
        <v>99.5</v>
      </c>
      <c r="D1376" s="4"/>
      <c r="E1376" s="4" t="str">
        <f>IFERROR(__xludf.DUMMYFUNCTION("""COMPUTED_VALUE"""),"Sin precio neto G.C.")</f>
        <v>Sin precio neto G.C.</v>
      </c>
    </row>
    <row r="1377">
      <c r="A1377" s="4" t="str">
        <f>IFERROR(__xludf.DUMMYFUNCTION("""COMPUTED_VALUE"""),"1924A")</f>
        <v>1924A</v>
      </c>
      <c r="B1377" s="4" t="str">
        <f>IFERROR(__xludf.DUMMYFUNCTION("""COMPUTED_VALUE"""),"Valla señal. Gate Barrier 2 mtros Amarilla")</f>
        <v>Valla señal. Gate Barrier 2 mtros Amarilla</v>
      </c>
      <c r="C1377" s="4">
        <f>IFERROR(__xludf.DUMMYFUNCTION("""COMPUTED_VALUE"""),56.0)</f>
        <v>56</v>
      </c>
      <c r="D1377" s="4">
        <f>IFERROR(__xludf.DUMMYFUNCTION("""COMPUTED_VALUE"""),49.5)</f>
        <v>49.5</v>
      </c>
      <c r="E1377" s="4" t="str">
        <f>IFERROR(__xludf.DUMMYFUNCTION("""COMPUTED_VALUE"""),"Neto G.C.: 49,50 € (a partir de 40 uds.)")</f>
        <v>Neto G.C.: 49,50 € (a partir de 40 uds.)</v>
      </c>
    </row>
    <row r="1378">
      <c r="A1378" s="4" t="str">
        <f>IFERROR(__xludf.DUMMYFUNCTION("""COMPUTED_VALUE"""),"1924B")</f>
        <v>1924B</v>
      </c>
      <c r="B1378" s="4" t="str">
        <f>IFERROR(__xludf.DUMMYFUNCTION("""COMPUTED_VALUE"""),"Valla señal. Gate Barrier 2 mtros Blanco")</f>
        <v>Valla señal. Gate Barrier 2 mtros Blanco</v>
      </c>
      <c r="C1378" s="4">
        <f>IFERROR(__xludf.DUMMYFUNCTION("""COMPUTED_VALUE"""),56.0)</f>
        <v>56</v>
      </c>
      <c r="D1378" s="4">
        <f>IFERROR(__xludf.DUMMYFUNCTION("""COMPUTED_VALUE"""),49.5)</f>
        <v>49.5</v>
      </c>
      <c r="E1378" s="4" t="str">
        <f>IFERROR(__xludf.DUMMYFUNCTION("""COMPUTED_VALUE"""),"Neto G.C.: 49,50 € (a partir de 40 uds.)")</f>
        <v>Neto G.C.: 49,50 € (a partir de 40 uds.)</v>
      </c>
    </row>
    <row r="1379">
      <c r="A1379" s="4" t="str">
        <f>IFERROR(__xludf.DUMMYFUNCTION("""COMPUTED_VALUE"""),"1924N")</f>
        <v>1924N</v>
      </c>
      <c r="B1379" s="4" t="str">
        <f>IFERROR(__xludf.DUMMYFUNCTION("""COMPUTED_VALUE"""),"Valla señal. Gate Barrier 2 mtros Naranja")</f>
        <v>Valla señal. Gate Barrier 2 mtros Naranja</v>
      </c>
      <c r="C1379" s="4">
        <f>IFERROR(__xludf.DUMMYFUNCTION("""COMPUTED_VALUE"""),56.0)</f>
        <v>56</v>
      </c>
      <c r="D1379" s="4">
        <f>IFERROR(__xludf.DUMMYFUNCTION("""COMPUTED_VALUE"""),49.5)</f>
        <v>49.5</v>
      </c>
      <c r="E1379" s="4" t="str">
        <f>IFERROR(__xludf.DUMMYFUNCTION("""COMPUTED_VALUE"""),"Neto G.C.: 49,50 € (a partir de 40 uds.)")</f>
        <v>Neto G.C.: 49,50 € (a partir de 40 uds.)</v>
      </c>
    </row>
    <row r="1380">
      <c r="A1380" s="4" t="str">
        <f>IFERROR(__xludf.DUMMYFUNCTION("""COMPUTED_VALUE"""),"1924R")</f>
        <v>1924R</v>
      </c>
      <c r="B1380" s="4" t="str">
        <f>IFERROR(__xludf.DUMMYFUNCTION("""COMPUTED_VALUE"""),"Valla Señal. Gate Barrier 2 mtros. Roja")</f>
        <v>Valla Señal. Gate Barrier 2 mtros. Roja</v>
      </c>
      <c r="C1380" s="4">
        <f>IFERROR(__xludf.DUMMYFUNCTION("""COMPUTED_VALUE"""),56.0)</f>
        <v>56</v>
      </c>
      <c r="D1380" s="4">
        <f>IFERROR(__xludf.DUMMYFUNCTION("""COMPUTED_VALUE"""),49.5)</f>
        <v>49.5</v>
      </c>
      <c r="E1380" s="4" t="str">
        <f>IFERROR(__xludf.DUMMYFUNCTION("""COMPUTED_VALUE"""),"Neto G.C.: 49,50 € (a partir de 40 uds.)")</f>
        <v>Neto G.C.: 49,50 € (a partir de 40 uds.)</v>
      </c>
    </row>
    <row r="1381">
      <c r="A1381" s="4" t="str">
        <f>IFERROR(__xludf.DUMMYFUNCTION("""COMPUTED_VALUE"""),"1924V")</f>
        <v>1924V</v>
      </c>
      <c r="B1381" s="4" t="str">
        <f>IFERROR(__xludf.DUMMYFUNCTION("""COMPUTED_VALUE"""),"Valla señal. Gate Barrier 2 mtros Verde")</f>
        <v>Valla señal. Gate Barrier 2 mtros Verde</v>
      </c>
      <c r="C1381" s="4">
        <f>IFERROR(__xludf.DUMMYFUNCTION("""COMPUTED_VALUE"""),56.0)</f>
        <v>56</v>
      </c>
      <c r="D1381" s="4">
        <f>IFERROR(__xludf.DUMMYFUNCTION("""COMPUTED_VALUE"""),49.5)</f>
        <v>49.5</v>
      </c>
      <c r="E1381" s="4" t="str">
        <f>IFERROR(__xludf.DUMMYFUNCTION("""COMPUTED_VALUE"""),"Neto G.C.: 49,50 € (a partir de 40 uds.)")</f>
        <v>Neto G.C.: 49,50 € (a partir de 40 uds.)</v>
      </c>
    </row>
    <row r="1382">
      <c r="A1382" s="4" t="str">
        <f>IFERROR(__xludf.DUMMYFUNCTION("""COMPUTED_VALUE"""),"1924Z")</f>
        <v>1924Z</v>
      </c>
      <c r="B1382" s="4" t="str">
        <f>IFERROR(__xludf.DUMMYFUNCTION("""COMPUTED_VALUE"""),"Valla señal. Gate Barrier 2 mtros Azul")</f>
        <v>Valla señal. Gate Barrier 2 mtros Azul</v>
      </c>
      <c r="C1382" s="4">
        <f>IFERROR(__xludf.DUMMYFUNCTION("""COMPUTED_VALUE"""),56.0)</f>
        <v>56</v>
      </c>
      <c r="D1382" s="4">
        <f>IFERROR(__xludf.DUMMYFUNCTION("""COMPUTED_VALUE"""),49.5)</f>
        <v>49.5</v>
      </c>
      <c r="E1382" s="4" t="str">
        <f>IFERROR(__xludf.DUMMYFUNCTION("""COMPUTED_VALUE"""),"Neto G.C.: 49,50 € (a partir de 40 uds.)")</f>
        <v>Neto G.C.: 49,50 € (a partir de 40 uds.)</v>
      </c>
    </row>
    <row r="1383">
      <c r="A1383" s="4" t="str">
        <f>IFERROR(__xludf.DUMMYFUNCTION("""COMPUTED_VALUE"""),"1925")</f>
        <v>1925</v>
      </c>
      <c r="B1383" s="4" t="str">
        <f>IFERROR(__xludf.DUMMYFUNCTION("""COMPUTED_VALUE"""),"Placa salva-zanjas 120x80 Mod. Basic")</f>
        <v>Placa salva-zanjas 120x80 Mod. Basic</v>
      </c>
      <c r="C1383" s="4">
        <f>IFERROR(__xludf.DUMMYFUNCTION("""COMPUTED_VALUE"""),79.0)</f>
        <v>79</v>
      </c>
      <c r="D1383" s="4"/>
      <c r="E1383" s="4" t="str">
        <f>IFERROR(__xludf.DUMMYFUNCTION("""COMPUTED_VALUE"""),"Sin precio neto G.C.")</f>
        <v>Sin precio neto G.C.</v>
      </c>
    </row>
    <row r="1384">
      <c r="A1384" s="4" t="str">
        <f>IFERROR(__xludf.DUMMYFUNCTION("""COMPUTED_VALUE"""),"1925B")</f>
        <v>1925B</v>
      </c>
      <c r="B1384" s="4" t="str">
        <f>IFERROR(__xludf.DUMMYFUNCTION("""COMPUTED_VALUE"""),"Placa salva-zanjas 120 x 80 antideslizante")</f>
        <v>Placa salva-zanjas 120 x 80 antideslizante</v>
      </c>
      <c r="C1384" s="4">
        <f>IFERROR(__xludf.DUMMYFUNCTION("""COMPUTED_VALUE"""),84.0)</f>
        <v>84</v>
      </c>
      <c r="D1384" s="4"/>
      <c r="E1384" s="4" t="str">
        <f>IFERROR(__xludf.DUMMYFUNCTION("""COMPUTED_VALUE"""),"Sin precio neto G.C.")</f>
        <v>Sin precio neto G.C.</v>
      </c>
    </row>
    <row r="1385">
      <c r="A1385" s="4" t="str">
        <f>IFERROR(__xludf.DUMMYFUNCTION("""COMPUTED_VALUE"""),"1925C")</f>
        <v>1925C</v>
      </c>
      <c r="B1385" s="4" t="str">
        <f>IFERROR(__xludf.DUMMYFUNCTION("""COMPUTED_VALUE"""),"Placa salva-zanjas 120x160 antideslizante")</f>
        <v>Placa salva-zanjas 120x160 antideslizante</v>
      </c>
      <c r="C1385" s="4">
        <f>IFERROR(__xludf.DUMMYFUNCTION("""COMPUTED_VALUE"""),199.0)</f>
        <v>199</v>
      </c>
      <c r="D1385" s="4"/>
      <c r="E1385" s="4" t="str">
        <f>IFERROR(__xludf.DUMMYFUNCTION("""COMPUTED_VALUE"""),"Sin precio neto G.C.")</f>
        <v>Sin precio neto G.C.</v>
      </c>
    </row>
    <row r="1386">
      <c r="A1386" s="4" t="str">
        <f>IFERROR(__xludf.DUMMYFUNCTION("""COMPUTED_VALUE"""),"1927A")</f>
        <v>1927A</v>
      </c>
      <c r="B1386" s="4" t="str">
        <f>IFERROR(__xludf.DUMMYFUNCTION("""COMPUTED_VALUE"""),"Valla señal. Gate Barrier 1 mt. Amarilla publicitaria")</f>
        <v>Valla señal. Gate Barrier 1 mt. Amarilla publicitaria</v>
      </c>
      <c r="C1386" s="4">
        <f>IFERROR(__xludf.DUMMYFUNCTION("""COMPUTED_VALUE"""),37.5)</f>
        <v>37.5</v>
      </c>
      <c r="D1386" s="4"/>
      <c r="E1386" s="4" t="str">
        <f>IFERROR(__xludf.DUMMYFUNCTION("""COMPUTED_VALUE"""),"Sin precio neto G.C.")</f>
        <v>Sin precio neto G.C.</v>
      </c>
    </row>
    <row r="1387">
      <c r="A1387" s="4" t="str">
        <f>IFERROR(__xludf.DUMMYFUNCTION("""COMPUTED_VALUE"""),"1927B")</f>
        <v>1927B</v>
      </c>
      <c r="B1387" s="4" t="str">
        <f>IFERROR(__xludf.DUMMYFUNCTION("""COMPUTED_VALUE"""),"Valla señal. Gate Barrier 1 mt. Blanca publicitaria")</f>
        <v>Valla señal. Gate Barrier 1 mt. Blanca publicitaria</v>
      </c>
      <c r="C1387" s="4">
        <f>IFERROR(__xludf.DUMMYFUNCTION("""COMPUTED_VALUE"""),37.5)</f>
        <v>37.5</v>
      </c>
      <c r="D1387" s="4"/>
      <c r="E1387" s="4" t="str">
        <f>IFERROR(__xludf.DUMMYFUNCTION("""COMPUTED_VALUE"""),"Sin precio neto G.C.")</f>
        <v>Sin precio neto G.C.</v>
      </c>
    </row>
    <row r="1388">
      <c r="A1388" s="4" t="str">
        <f>IFERROR(__xludf.DUMMYFUNCTION("""COMPUTED_VALUE"""),"1927N")</f>
        <v>1927N</v>
      </c>
      <c r="B1388" s="4" t="str">
        <f>IFERROR(__xludf.DUMMYFUNCTION("""COMPUTED_VALUE"""),"Valla señal. Gate Barrier 1 mt. Naranja publicitaria")</f>
        <v>Valla señal. Gate Barrier 1 mt. Naranja publicitaria</v>
      </c>
      <c r="C1388" s="4">
        <f>IFERROR(__xludf.DUMMYFUNCTION("""COMPUTED_VALUE"""),37.5)</f>
        <v>37.5</v>
      </c>
      <c r="D1388" s="4"/>
      <c r="E1388" s="4" t="str">
        <f>IFERROR(__xludf.DUMMYFUNCTION("""COMPUTED_VALUE"""),"Sin precio neto G.C.")</f>
        <v>Sin precio neto G.C.</v>
      </c>
    </row>
    <row r="1389">
      <c r="A1389" s="4" t="str">
        <f>IFERROR(__xludf.DUMMYFUNCTION("""COMPUTED_VALUE"""),"1927Z")</f>
        <v>1927Z</v>
      </c>
      <c r="B1389" s="4" t="str">
        <f>IFERROR(__xludf.DUMMYFUNCTION("""COMPUTED_VALUE"""),"Valla señal. Gate Barrier 1 mt. Azul publicitaria")</f>
        <v>Valla señal. Gate Barrier 1 mt. Azul publicitaria</v>
      </c>
      <c r="C1389" s="4">
        <f>IFERROR(__xludf.DUMMYFUNCTION("""COMPUTED_VALUE"""),37.5)</f>
        <v>37.5</v>
      </c>
      <c r="D1389" s="4"/>
      <c r="E1389" s="4" t="str">
        <f>IFERROR(__xludf.DUMMYFUNCTION("""COMPUTED_VALUE"""),"Sin precio neto G.C.")</f>
        <v>Sin precio neto G.C.</v>
      </c>
    </row>
    <row r="1390">
      <c r="A1390" s="4" t="str">
        <f>IFERROR(__xludf.DUMMYFUNCTION("""COMPUTED_VALUE"""),"1928A")</f>
        <v>1928A</v>
      </c>
      <c r="B1390" s="4" t="str">
        <f>IFERROR(__xludf.DUMMYFUNCTION("""COMPUTED_VALUE"""),"Valla GateBarrier Slim 2x1 Amarilla")</f>
        <v>Valla GateBarrier Slim 2x1 Amarilla</v>
      </c>
      <c r="C1390" s="4">
        <f>IFERROR(__xludf.DUMMYFUNCTION("""COMPUTED_VALUE"""),54.0)</f>
        <v>54</v>
      </c>
      <c r="D1390" s="4"/>
      <c r="E1390" s="4" t="str">
        <f>IFERROR(__xludf.DUMMYFUNCTION("""COMPUTED_VALUE"""),"Sin precio neto G.C.")</f>
        <v>Sin precio neto G.C.</v>
      </c>
    </row>
    <row r="1391">
      <c r="A1391" s="4" t="str">
        <f>IFERROR(__xludf.DUMMYFUNCTION("""COMPUTED_VALUE"""),"1929A")</f>
        <v>1929A</v>
      </c>
      <c r="B1391" s="4" t="str">
        <f>IFERROR(__xludf.DUMMYFUNCTION("""COMPUTED_VALUE"""),"Valla 1 mt Gate barrier amarilla")</f>
        <v>Valla 1 mt Gate barrier amarilla</v>
      </c>
      <c r="C1391" s="4">
        <f>IFERROR(__xludf.DUMMYFUNCTION("""COMPUTED_VALUE"""),41.0)</f>
        <v>41</v>
      </c>
      <c r="D1391" s="4">
        <f>IFERROR(__xludf.DUMMYFUNCTION("""COMPUTED_VALUE"""),38.0)</f>
        <v>38</v>
      </c>
      <c r="E1391" s="4" t="str">
        <f>IFERROR(__xludf.DUMMYFUNCTION("""COMPUTED_VALUE"""),"Neto G.C.: 38,00 € (a partir de 40 uds.)")</f>
        <v>Neto G.C.: 38,00 € (a partir de 40 uds.)</v>
      </c>
    </row>
    <row r="1392">
      <c r="A1392" s="4" t="str">
        <f>IFERROR(__xludf.DUMMYFUNCTION("""COMPUTED_VALUE"""),"1929B")</f>
        <v>1929B</v>
      </c>
      <c r="B1392" s="4" t="str">
        <f>IFERROR(__xludf.DUMMYFUNCTION("""COMPUTED_VALUE"""),"Valla 1 mt Gate Barrier Blanca")</f>
        <v>Valla 1 mt Gate Barrier Blanca</v>
      </c>
      <c r="C1392" s="4">
        <f>IFERROR(__xludf.DUMMYFUNCTION("""COMPUTED_VALUE"""),41.0)</f>
        <v>41</v>
      </c>
      <c r="D1392" s="4">
        <f>IFERROR(__xludf.DUMMYFUNCTION("""COMPUTED_VALUE"""),38.0)</f>
        <v>38</v>
      </c>
      <c r="E1392" s="4" t="str">
        <f>IFERROR(__xludf.DUMMYFUNCTION("""COMPUTED_VALUE"""),"Neto G.C.: 38,00 € (a partir de 40 uds.)")</f>
        <v>Neto G.C.: 38,00 € (a partir de 40 uds.)</v>
      </c>
    </row>
    <row r="1393">
      <c r="A1393" s="4" t="str">
        <f>IFERROR(__xludf.DUMMYFUNCTION("""COMPUTED_VALUE"""),"1929N")</f>
        <v>1929N</v>
      </c>
      <c r="B1393" s="4" t="str">
        <f>IFERROR(__xludf.DUMMYFUNCTION("""COMPUTED_VALUE"""),"Valla 1 mt Gate barrier Naranja")</f>
        <v>Valla 1 mt Gate barrier Naranja</v>
      </c>
      <c r="C1393" s="4">
        <f>IFERROR(__xludf.DUMMYFUNCTION("""COMPUTED_VALUE"""),41.0)</f>
        <v>41</v>
      </c>
      <c r="D1393" s="4">
        <f>IFERROR(__xludf.DUMMYFUNCTION("""COMPUTED_VALUE"""),38.0)</f>
        <v>38</v>
      </c>
      <c r="E1393" s="4" t="str">
        <f>IFERROR(__xludf.DUMMYFUNCTION("""COMPUTED_VALUE"""),"Neto G.C.: 38,00 € (a partir de 40 uds.)")</f>
        <v>Neto G.C.: 38,00 € (a partir de 40 uds.)</v>
      </c>
    </row>
    <row r="1394">
      <c r="A1394" s="4" t="str">
        <f>IFERROR(__xludf.DUMMYFUNCTION("""COMPUTED_VALUE"""),"1929Z")</f>
        <v>1929Z</v>
      </c>
      <c r="B1394" s="4" t="str">
        <f>IFERROR(__xludf.DUMMYFUNCTION("""COMPUTED_VALUE"""),"Valla 1 mt Gate barrier azul")</f>
        <v>Valla 1 mt Gate barrier azul</v>
      </c>
      <c r="C1394" s="4">
        <f>IFERROR(__xludf.DUMMYFUNCTION("""COMPUTED_VALUE"""),41.0)</f>
        <v>41</v>
      </c>
      <c r="D1394" s="4">
        <f>IFERROR(__xludf.DUMMYFUNCTION("""COMPUTED_VALUE"""),38.0)</f>
        <v>38</v>
      </c>
      <c r="E1394" s="4" t="str">
        <f>IFERROR(__xludf.DUMMYFUNCTION("""COMPUTED_VALUE"""),"Neto G.C.: 38,00 € (a partir de 40 uds.)")</f>
        <v>Neto G.C.: 38,00 € (a partir de 40 uds.)</v>
      </c>
    </row>
    <row r="1395">
      <c r="A1395" s="4" t="str">
        <f>IFERROR(__xludf.DUMMYFUNCTION("""COMPUTED_VALUE"""),"1931")</f>
        <v>1931</v>
      </c>
      <c r="B1395" s="4" t="str">
        <f>IFERROR(__xludf.DUMMYFUNCTION("""COMPUTED_VALUE"""),"Reductor Velocidad 50x44x5 cm Mod. D negro")</f>
        <v>Reductor Velocidad 50x44x5 cm Mod. D negro</v>
      </c>
      <c r="C1395" s="4">
        <f>IFERROR(__xludf.DUMMYFUNCTION("""COMPUTED_VALUE"""),24.25)</f>
        <v>24.25</v>
      </c>
      <c r="D1395" s="4"/>
      <c r="E1395" s="4" t="str">
        <f>IFERROR(__xludf.DUMMYFUNCTION("""COMPUTED_VALUE"""),"Sin precio neto G.C.")</f>
        <v>Sin precio neto G.C.</v>
      </c>
    </row>
    <row r="1396">
      <c r="A1396" s="4" t="str">
        <f>IFERROR(__xludf.DUMMYFUNCTION("""COMPUTED_VALUE"""),"1932")</f>
        <v>1932</v>
      </c>
      <c r="B1396" s="4" t="str">
        <f>IFERROR(__xludf.DUMMYFUNCTION("""COMPUTED_VALUE"""),"Reductor Velocidad 50x44X5cm Mod. D Amarillo")</f>
        <v>Reductor Velocidad 50x44X5cm Mod. D Amarillo</v>
      </c>
      <c r="C1396" s="4">
        <f>IFERROR(__xludf.DUMMYFUNCTION("""COMPUTED_VALUE"""),24.25)</f>
        <v>24.25</v>
      </c>
      <c r="D1396" s="4"/>
      <c r="E1396" s="4" t="str">
        <f>IFERROR(__xludf.DUMMYFUNCTION("""COMPUTED_VALUE"""),"Sin precio neto G.C.")</f>
        <v>Sin precio neto G.C.</v>
      </c>
    </row>
    <row r="1397">
      <c r="A1397" s="4" t="str">
        <f>IFERROR(__xludf.DUMMYFUNCTION("""COMPUTED_VALUE"""),"1933")</f>
        <v>1933</v>
      </c>
      <c r="B1397" s="4" t="str">
        <f>IFERROR(__xludf.DUMMYFUNCTION("""COMPUTED_VALUE"""),"Extremo reductor velocidad 21x42.5x5 cm Mod. D Negro")</f>
        <v>Extremo reductor velocidad 21x42.5x5 cm Mod. D Negro</v>
      </c>
      <c r="C1397" s="4">
        <f>IFERROR(__xludf.DUMMYFUNCTION("""COMPUTED_VALUE"""),16.25)</f>
        <v>16.25</v>
      </c>
      <c r="D1397" s="4"/>
      <c r="E1397" s="4" t="str">
        <f>IFERROR(__xludf.DUMMYFUNCTION("""COMPUTED_VALUE"""),"Sin precio neto G.C.")</f>
        <v>Sin precio neto G.C.</v>
      </c>
    </row>
    <row r="1398">
      <c r="A1398" s="4" t="str">
        <f>IFERROR(__xludf.DUMMYFUNCTION("""COMPUTED_VALUE"""),"1934")</f>
        <v>1934</v>
      </c>
      <c r="B1398" s="4" t="str">
        <f>IFERROR(__xludf.DUMMYFUNCTION("""COMPUTED_VALUE"""),"Extremo reductor velocidad 21x42.5x5 cm Mod. D Amarillo")</f>
        <v>Extremo reductor velocidad 21x42.5x5 cm Mod. D Amarillo</v>
      </c>
      <c r="C1398" s="4">
        <f>IFERROR(__xludf.DUMMYFUNCTION("""COMPUTED_VALUE"""),16.25)</f>
        <v>16.25</v>
      </c>
      <c r="D1398" s="4"/>
      <c r="E1398" s="4" t="str">
        <f>IFERROR(__xludf.DUMMYFUNCTION("""COMPUTED_VALUE"""),"Sin precio neto G.C.")</f>
        <v>Sin precio neto G.C.</v>
      </c>
    </row>
    <row r="1399">
      <c r="A1399" s="4" t="str">
        <f>IFERROR(__xludf.DUMMYFUNCTION("""COMPUTED_VALUE"""),"1937")</f>
        <v>1937</v>
      </c>
      <c r="B1399" s="4" t="str">
        <f>IFERROR(__xludf.DUMMYFUNCTION("""COMPUTED_VALUE"""),"Valla Señal. Olimpic Barrier 2 m Naranja")</f>
        <v>Valla Señal. Olimpic Barrier 2 m Naranja</v>
      </c>
      <c r="C1399" s="4">
        <f>IFERROR(__xludf.DUMMYFUNCTION("""COMPUTED_VALUE"""),72.5)</f>
        <v>72.5</v>
      </c>
      <c r="D1399" s="4"/>
      <c r="E1399" s="4" t="str">
        <f>IFERROR(__xludf.DUMMYFUNCTION("""COMPUTED_VALUE"""),"Sin precio neto G.C.")</f>
        <v>Sin precio neto G.C.</v>
      </c>
    </row>
    <row r="1400">
      <c r="A1400" s="4" t="str">
        <f>IFERROR(__xludf.DUMMYFUNCTION("""COMPUTED_VALUE"""),"1938")</f>
        <v>1938</v>
      </c>
      <c r="B1400" s="4" t="str">
        <f>IFERROR(__xludf.DUMMYFUNCTION("""COMPUTED_VALUE"""),"Valla Señal. Wonderwall Naranja COMPLETO 1000x1140x500")</f>
        <v>Valla Señal. Wonderwall Naranja COMPLETO 1000x1140x500</v>
      </c>
      <c r="C1400" s="4">
        <f>IFERROR(__xludf.DUMMYFUNCTION("""COMPUTED_VALUE"""),74.0)</f>
        <v>74</v>
      </c>
      <c r="D1400" s="4"/>
      <c r="E1400" s="4" t="str">
        <f>IFERROR(__xludf.DUMMYFUNCTION("""COMPUTED_VALUE"""),"Sin precio neto G.C.")</f>
        <v>Sin precio neto G.C.</v>
      </c>
    </row>
    <row r="1401">
      <c r="A1401" s="4" t="str">
        <f>IFERROR(__xludf.DUMMYFUNCTION("""COMPUTED_VALUE"""),"1938B")</f>
        <v>1938B</v>
      </c>
      <c r="B1401" s="4" t="str">
        <f>IFERROR(__xludf.DUMMYFUNCTION("""COMPUTED_VALUE"""),"Valla Señal. Wonderwall Naranja BASE")</f>
        <v>Valla Señal. Wonderwall Naranja BASE</v>
      </c>
      <c r="C1401" s="4">
        <f>IFERROR(__xludf.DUMMYFUNCTION("""COMPUTED_VALUE"""),22.5)</f>
        <v>22.5</v>
      </c>
      <c r="D1401" s="4"/>
      <c r="E1401" s="4" t="str">
        <f>IFERROR(__xludf.DUMMYFUNCTION("""COMPUTED_VALUE"""),"Sin precio neto G.C.")</f>
        <v>Sin precio neto G.C.</v>
      </c>
    </row>
    <row r="1402">
      <c r="A1402" s="4" t="str">
        <f>IFERROR(__xludf.DUMMYFUNCTION("""COMPUTED_VALUE"""),"1938T")</f>
        <v>1938T</v>
      </c>
      <c r="B1402" s="4" t="str">
        <f>IFERROR(__xludf.DUMMYFUNCTION("""COMPUTED_VALUE"""),"Valla Señal. Wonderwall Naranja TOP")</f>
        <v>Valla Señal. Wonderwall Naranja TOP</v>
      </c>
      <c r="C1402" s="4">
        <f>IFERROR(__xludf.DUMMYFUNCTION("""COMPUTED_VALUE"""),49.0)</f>
        <v>49</v>
      </c>
      <c r="D1402" s="4"/>
      <c r="E1402" s="4" t="str">
        <f>IFERROR(__xludf.DUMMYFUNCTION("""COMPUTED_VALUE"""),"Sin precio neto G.C.")</f>
        <v>Sin precio neto G.C.</v>
      </c>
    </row>
    <row r="1403">
      <c r="A1403" s="4" t="str">
        <f>IFERROR(__xludf.DUMMYFUNCTION("""COMPUTED_VALUE"""),"1939B")</f>
        <v>1939B</v>
      </c>
      <c r="B1403" s="4" t="str">
        <f>IFERROR(__xludf.DUMMYFUNCTION("""COMPUTED_VALUE"""),"Barrera mediana Budda Barrier 800x1040x280 Blanca")</f>
        <v>Barrera mediana Budda Barrier 800x1040x280 Blanca</v>
      </c>
      <c r="C1403" s="4">
        <f>IFERROR(__xludf.DUMMYFUNCTION("""COMPUTED_VALUE"""),56.0)</f>
        <v>56</v>
      </c>
      <c r="D1403" s="4"/>
      <c r="E1403" s="4" t="str">
        <f>IFERROR(__xludf.DUMMYFUNCTION("""COMPUTED_VALUE"""),"Sin precio neto G.C.")</f>
        <v>Sin precio neto G.C.</v>
      </c>
    </row>
    <row r="1404">
      <c r="A1404" s="4" t="str">
        <f>IFERROR(__xludf.DUMMYFUNCTION("""COMPUTED_VALUE"""),"1939R")</f>
        <v>1939R</v>
      </c>
      <c r="B1404" s="4" t="str">
        <f>IFERROR(__xludf.DUMMYFUNCTION("""COMPUTED_VALUE"""),"Barrera mediana Budda Barrier 800x1040x280 Roja")</f>
        <v>Barrera mediana Budda Barrier 800x1040x280 Roja</v>
      </c>
      <c r="C1404" s="4">
        <f>IFERROR(__xludf.DUMMYFUNCTION("""COMPUTED_VALUE"""),56.0)</f>
        <v>56</v>
      </c>
      <c r="D1404" s="4"/>
      <c r="E1404" s="4" t="str">
        <f>IFERROR(__xludf.DUMMYFUNCTION("""COMPUTED_VALUE"""),"Sin precio neto G.C.")</f>
        <v>Sin precio neto G.C.</v>
      </c>
    </row>
    <row r="1405">
      <c r="A1405" s="4" t="str">
        <f>IFERROR(__xludf.DUMMYFUNCTION("""COMPUTED_VALUE"""),"1940B")</f>
        <v>1940B</v>
      </c>
      <c r="B1405" s="4" t="str">
        <f>IFERROR(__xludf.DUMMYFUNCTION("""COMPUTED_VALUE"""),"Mini Double top Valla 1115x535 mm blanca")</f>
        <v>Mini Double top Valla 1115x535 mm blanca</v>
      </c>
      <c r="C1405" s="4">
        <f>IFERROR(__xludf.DUMMYFUNCTION("""COMPUTED_VALUE"""),44.0)</f>
        <v>44</v>
      </c>
      <c r="D1405" s="4"/>
      <c r="E1405" s="4" t="str">
        <f>IFERROR(__xludf.DUMMYFUNCTION("""COMPUTED_VALUE"""),"Sin precio neto G.C.")</f>
        <v>Sin precio neto G.C.</v>
      </c>
    </row>
    <row r="1406">
      <c r="A1406" s="4" t="str">
        <f>IFERROR(__xludf.DUMMYFUNCTION("""COMPUTED_VALUE"""),"1940R")</f>
        <v>1940R</v>
      </c>
      <c r="B1406" s="4" t="str">
        <f>IFERROR(__xludf.DUMMYFUNCTION("""COMPUTED_VALUE"""),"Mini Double top Valla 1115x535 mm roja")</f>
        <v>Mini Double top Valla 1115x535 mm roja</v>
      </c>
      <c r="C1406" s="4">
        <f>IFERROR(__xludf.DUMMYFUNCTION("""COMPUTED_VALUE"""),44.0)</f>
        <v>44</v>
      </c>
      <c r="D1406" s="4"/>
      <c r="E1406" s="4" t="str">
        <f>IFERROR(__xludf.DUMMYFUNCTION("""COMPUTED_VALUE"""),"Sin precio neto G.C.")</f>
        <v>Sin precio neto G.C.</v>
      </c>
    </row>
    <row r="1407">
      <c r="A1407" s="4" t="str">
        <f>IFERROR(__xludf.DUMMYFUNCTION("""COMPUTED_VALUE"""),"1941B")</f>
        <v>1941B</v>
      </c>
      <c r="B1407" s="4" t="str">
        <f>IFERROR(__xludf.DUMMYFUNCTION("""COMPUTED_VALUE"""),"Double top Valla 1115x1000 mm blanca")</f>
        <v>Double top Valla 1115x1000 mm blanca</v>
      </c>
      <c r="C1407" s="4">
        <f>IFERROR(__xludf.DUMMYFUNCTION("""COMPUTED_VALUE"""),47.0)</f>
        <v>47</v>
      </c>
      <c r="D1407" s="4"/>
      <c r="E1407" s="4" t="str">
        <f>IFERROR(__xludf.DUMMYFUNCTION("""COMPUTED_VALUE"""),"Sin precio neto G.C.")</f>
        <v>Sin precio neto G.C.</v>
      </c>
    </row>
    <row r="1408">
      <c r="A1408" s="4" t="str">
        <f>IFERROR(__xludf.DUMMYFUNCTION("""COMPUTED_VALUE"""),"1941R")</f>
        <v>1941R</v>
      </c>
      <c r="B1408" s="4" t="str">
        <f>IFERROR(__xludf.DUMMYFUNCTION("""COMPUTED_VALUE"""),"Double top Valla 1115x1000 mm roja")</f>
        <v>Double top Valla 1115x1000 mm roja</v>
      </c>
      <c r="C1408" s="4">
        <f>IFERROR(__xludf.DUMMYFUNCTION("""COMPUTED_VALUE"""),47.0)</f>
        <v>47</v>
      </c>
      <c r="D1408" s="4"/>
      <c r="E1408" s="4" t="str">
        <f>IFERROR(__xludf.DUMMYFUNCTION("""COMPUTED_VALUE"""),"Sin precio neto G.C.")</f>
        <v>Sin precio neto G.C.</v>
      </c>
    </row>
    <row r="1409">
      <c r="A1409" s="4" t="str">
        <f>IFERROR(__xludf.DUMMYFUNCTION("""COMPUTED_VALUE"""),"1942A")</f>
        <v>1942A</v>
      </c>
      <c r="B1409" s="4" t="str">
        <f>IFERROR(__xludf.DUMMYFUNCTION("""COMPUTED_VALUE"""),"Valla señal.Slim Gate Barrier 2 mtros Amarilla")</f>
        <v>Valla señal.Slim Gate Barrier 2 mtros Amarilla</v>
      </c>
      <c r="C1409" s="4">
        <f>IFERROR(__xludf.DUMMYFUNCTION("""COMPUTED_VALUE"""),53.0)</f>
        <v>53</v>
      </c>
      <c r="D1409" s="4"/>
      <c r="E1409" s="4" t="str">
        <f>IFERROR(__xludf.DUMMYFUNCTION("""COMPUTED_VALUE"""),"Sin precio neto G.C.")</f>
        <v>Sin precio neto G.C.</v>
      </c>
    </row>
    <row r="1410">
      <c r="A1410" s="4" t="str">
        <f>IFERROR(__xludf.DUMMYFUNCTION("""COMPUTED_VALUE"""),"1942B")</f>
        <v>1942B</v>
      </c>
      <c r="B1410" s="4" t="str">
        <f>IFERROR(__xludf.DUMMYFUNCTION("""COMPUTED_VALUE"""),"Valla señal.Slim Gate Barrier 2 mtros Blanco")</f>
        <v>Valla señal.Slim Gate Barrier 2 mtros Blanco</v>
      </c>
      <c r="C1410" s="4">
        <f>IFERROR(__xludf.DUMMYFUNCTION("""COMPUTED_VALUE"""),53.0)</f>
        <v>53</v>
      </c>
      <c r="D1410" s="4"/>
      <c r="E1410" s="4" t="str">
        <f>IFERROR(__xludf.DUMMYFUNCTION("""COMPUTED_VALUE"""),"Sin precio neto G.C.")</f>
        <v>Sin precio neto G.C.</v>
      </c>
    </row>
    <row r="1411">
      <c r="A1411" s="4" t="str">
        <f>IFERROR(__xludf.DUMMYFUNCTION("""COMPUTED_VALUE"""),"1942N")</f>
        <v>1942N</v>
      </c>
      <c r="B1411" s="4" t="str">
        <f>IFERROR(__xludf.DUMMYFUNCTION("""COMPUTED_VALUE"""),"Valla señal.Slim Gate Barrier 2 mtros Naranja")</f>
        <v>Valla señal.Slim Gate Barrier 2 mtros Naranja</v>
      </c>
      <c r="C1411" s="4">
        <f>IFERROR(__xludf.DUMMYFUNCTION("""COMPUTED_VALUE"""),53.0)</f>
        <v>53</v>
      </c>
      <c r="D1411" s="4"/>
      <c r="E1411" s="4" t="str">
        <f>IFERROR(__xludf.DUMMYFUNCTION("""COMPUTED_VALUE"""),"Sin precio neto G.C.")</f>
        <v>Sin precio neto G.C.</v>
      </c>
    </row>
    <row r="1412">
      <c r="A1412" s="4" t="str">
        <f>IFERROR(__xludf.DUMMYFUNCTION("""COMPUTED_VALUE"""),"1942Z")</f>
        <v>1942Z</v>
      </c>
      <c r="B1412" s="4" t="str">
        <f>IFERROR(__xludf.DUMMYFUNCTION("""COMPUTED_VALUE"""),"Valla señal.Slim Gate Barrier 2 mtros Azul")</f>
        <v>Valla señal.Slim Gate Barrier 2 mtros Azul</v>
      </c>
      <c r="C1412" s="4">
        <f>IFERROR(__xludf.DUMMYFUNCTION("""COMPUTED_VALUE"""),53.0)</f>
        <v>53</v>
      </c>
      <c r="D1412" s="4"/>
      <c r="E1412" s="4" t="str">
        <f>IFERROR(__xludf.DUMMYFUNCTION("""COMPUTED_VALUE"""),"Sin precio neto G.C.")</f>
        <v>Sin precio neto G.C.</v>
      </c>
    </row>
    <row r="1413">
      <c r="A1413" s="4" t="str">
        <f>IFERROR(__xludf.DUMMYFUNCTION("""COMPUTED_VALUE"""),"2025")</f>
        <v>2025</v>
      </c>
      <c r="B1413" s="4" t="str">
        <f>IFERROR(__xludf.DUMMYFUNCTION("""COMPUTED_VALUE"""),"Desinfectante fungicida-bactericida 5 litros")</f>
        <v>Desinfectante fungicida-bactericida 5 litros</v>
      </c>
      <c r="C1413" s="4">
        <f>IFERROR(__xludf.DUMMYFUNCTION("""COMPUTED_VALUE"""),19.95)</f>
        <v>19.95</v>
      </c>
      <c r="D1413" s="4"/>
      <c r="E1413" s="4" t="str">
        <f>IFERROR(__xludf.DUMMYFUNCTION("""COMPUTED_VALUE"""),"Sin precio neto G.C.")</f>
        <v>Sin precio neto G.C.</v>
      </c>
    </row>
    <row r="1414">
      <c r="A1414" s="4" t="str">
        <f>IFERROR(__xludf.DUMMYFUNCTION("""COMPUTED_VALUE"""),"2031")</f>
        <v>2031</v>
      </c>
      <c r="B1414" s="4" t="str">
        <f>IFERROR(__xludf.DUMMYFUNCTION("""COMPUTED_VALUE"""),"Tiralíneas grande Rolycord GM 100m x 1.5mm")</f>
        <v>Tiralíneas grande Rolycord GM 100m x 1.5mm</v>
      </c>
      <c r="C1414" s="4">
        <f>IFERROR(__xludf.DUMMYFUNCTION("""COMPUTED_VALUE"""),9.0)</f>
        <v>9</v>
      </c>
      <c r="D1414" s="4"/>
      <c r="E1414" s="4" t="str">
        <f>IFERROR(__xludf.DUMMYFUNCTION("""COMPUTED_VALUE"""),"Sin precio neto G.C.")</f>
        <v>Sin precio neto G.C.</v>
      </c>
    </row>
    <row r="1415">
      <c r="A1415" s="4" t="str">
        <f>IFERROR(__xludf.DUMMYFUNCTION("""COMPUTED_VALUE"""),"2032")</f>
        <v>2032</v>
      </c>
      <c r="B1415" s="4" t="str">
        <f>IFERROR(__xludf.DUMMYFUNCTION("""COMPUTED_VALUE"""),"Tiralíneas Pequeño Rolycord 60m x 2 mmº")</f>
        <v>Tiralíneas Pequeño Rolycord 60m x 2 mmº</v>
      </c>
      <c r="C1415" s="4">
        <f>IFERROR(__xludf.DUMMYFUNCTION("""COMPUTED_VALUE"""),8.0)</f>
        <v>8</v>
      </c>
      <c r="D1415" s="4"/>
      <c r="E1415" s="4" t="str">
        <f>IFERROR(__xludf.DUMMYFUNCTION("""COMPUTED_VALUE"""),"Sin precio neto G.C.")</f>
        <v>Sin precio neto G.C.</v>
      </c>
    </row>
    <row r="1416">
      <c r="A1416" s="4" t="str">
        <f>IFERROR(__xludf.DUMMYFUNCTION("""COMPUTED_VALUE"""),"2033")</f>
        <v>2033</v>
      </c>
      <c r="B1416" s="4" t="str">
        <f>IFERROR(__xludf.DUMMYFUNCTION("""COMPUTED_VALUE"""),"Lápiz bicolor Dúo Marker Rojo/azul (Display 100 uds)")</f>
        <v>Lápiz bicolor Dúo Marker Rojo/azul (Display 100 uds)</v>
      </c>
      <c r="C1416" s="4">
        <f>IFERROR(__xludf.DUMMYFUNCTION("""COMPUTED_VALUE"""),41.0)</f>
        <v>41</v>
      </c>
      <c r="D1416" s="4"/>
      <c r="E1416" s="4" t="str">
        <f>IFERROR(__xludf.DUMMYFUNCTION("""COMPUTED_VALUE"""),"Sin precio neto G.C.")</f>
        <v>Sin precio neto G.C.</v>
      </c>
    </row>
    <row r="1417">
      <c r="A1417" s="4" t="str">
        <f>IFERROR(__xludf.DUMMYFUNCTION("""COMPUTED_VALUE"""),"2034A")</f>
        <v>2034A</v>
      </c>
      <c r="B1417" s="4" t="str">
        <f>IFERROR(__xludf.DUMMYFUNCTION("""COMPUTED_VALUE"""),"Tiza hexagonal 120 x12 mm Amarillo (12 uds)")</f>
        <v>Tiza hexagonal 120 x12 mm Amarillo (12 uds)</v>
      </c>
      <c r="C1417" s="4">
        <f>IFERROR(__xludf.DUMMYFUNCTION("""COMPUTED_VALUE"""),4.95)</f>
        <v>4.95</v>
      </c>
      <c r="D1417" s="4"/>
      <c r="E1417" s="4" t="str">
        <f>IFERROR(__xludf.DUMMYFUNCTION("""COMPUTED_VALUE"""),"Sin precio neto G.C.")</f>
        <v>Sin precio neto G.C.</v>
      </c>
    </row>
    <row r="1418">
      <c r="A1418" s="4" t="str">
        <f>IFERROR(__xludf.DUMMYFUNCTION("""COMPUTED_VALUE"""),"2034B")</f>
        <v>2034B</v>
      </c>
      <c r="B1418" s="4" t="str">
        <f>IFERROR(__xludf.DUMMYFUNCTION("""COMPUTED_VALUE"""),"Tiza hexagonal 120 x12 mm blanco (12 uds)")</f>
        <v>Tiza hexagonal 120 x12 mm blanco (12 uds)</v>
      </c>
      <c r="C1418" s="4">
        <f>IFERROR(__xludf.DUMMYFUNCTION("""COMPUTED_VALUE"""),4.95)</f>
        <v>4.95</v>
      </c>
      <c r="D1418" s="4"/>
      <c r="E1418" s="4" t="str">
        <f>IFERROR(__xludf.DUMMYFUNCTION("""COMPUTED_VALUE"""),"Sin precio neto G.C.")</f>
        <v>Sin precio neto G.C.</v>
      </c>
    </row>
    <row r="1419">
      <c r="A1419" s="4" t="str">
        <f>IFERROR(__xludf.DUMMYFUNCTION("""COMPUTED_VALUE"""),"2034N")</f>
        <v>2034N</v>
      </c>
      <c r="B1419" s="4" t="str">
        <f>IFERROR(__xludf.DUMMYFUNCTION("""COMPUTED_VALUE"""),"Tiza hexagonal 120 x12 mm Negro (12 uds)")</f>
        <v>Tiza hexagonal 120 x12 mm Negro (12 uds)</v>
      </c>
      <c r="C1419" s="4">
        <f>IFERROR(__xludf.DUMMYFUNCTION("""COMPUTED_VALUE"""),4.95)</f>
        <v>4.95</v>
      </c>
      <c r="D1419" s="4"/>
      <c r="E1419" s="4" t="str">
        <f>IFERROR(__xludf.DUMMYFUNCTION("""COMPUTED_VALUE"""),"Sin precio neto G.C.")</f>
        <v>Sin precio neto G.C.</v>
      </c>
    </row>
    <row r="1420">
      <c r="A1420" s="4" t="str">
        <f>IFERROR(__xludf.DUMMYFUNCTION("""COMPUTED_VALUE"""),"2034R")</f>
        <v>2034R</v>
      </c>
      <c r="B1420" s="4" t="str">
        <f>IFERROR(__xludf.DUMMYFUNCTION("""COMPUTED_VALUE"""),"Tiza hexagonal 120 x12 mm Rojo (12 uds)")</f>
        <v>Tiza hexagonal 120 x12 mm Rojo (12 uds)</v>
      </c>
      <c r="C1420" s="4">
        <f>IFERROR(__xludf.DUMMYFUNCTION("""COMPUTED_VALUE"""),4.95)</f>
        <v>4.95</v>
      </c>
      <c r="D1420" s="4"/>
      <c r="E1420" s="4" t="str">
        <f>IFERROR(__xludf.DUMMYFUNCTION("""COMPUTED_VALUE"""),"Sin precio neto G.C.")</f>
        <v>Sin precio neto G.C.</v>
      </c>
    </row>
    <row r="1421">
      <c r="A1421" s="4" t="str">
        <f>IFERROR(__xludf.DUMMYFUNCTION("""COMPUTED_VALUE"""),"2034V")</f>
        <v>2034V</v>
      </c>
      <c r="B1421" s="4" t="str">
        <f>IFERROR(__xludf.DUMMYFUNCTION("""COMPUTED_VALUE"""),"Tiza hexagonal 120 x12 mm Verde (12 uds)")</f>
        <v>Tiza hexagonal 120 x12 mm Verde (12 uds)</v>
      </c>
      <c r="C1421" s="4">
        <f>IFERROR(__xludf.DUMMYFUNCTION("""COMPUTED_VALUE"""),4.95)</f>
        <v>4.95</v>
      </c>
      <c r="D1421" s="4"/>
      <c r="E1421" s="4" t="str">
        <f>IFERROR(__xludf.DUMMYFUNCTION("""COMPUTED_VALUE"""),"Sin precio neto G.C.")</f>
        <v>Sin precio neto G.C.</v>
      </c>
    </row>
    <row r="1422">
      <c r="A1422" s="4" t="str">
        <f>IFERROR(__xludf.DUMMYFUNCTION("""COMPUTED_VALUE"""),"2034Z")</f>
        <v>2034Z</v>
      </c>
      <c r="B1422" s="4" t="str">
        <f>IFERROR(__xludf.DUMMYFUNCTION("""COMPUTED_VALUE"""),"Tiza hexagonal 120 x12 mm Azul (12 uds)")</f>
        <v>Tiza hexagonal 120 x12 mm Azul (12 uds)</v>
      </c>
      <c r="C1422" s="4">
        <f>IFERROR(__xludf.DUMMYFUNCTION("""COMPUTED_VALUE"""),4.95)</f>
        <v>4.95</v>
      </c>
      <c r="D1422" s="4"/>
      <c r="E1422" s="4" t="str">
        <f>IFERROR(__xludf.DUMMYFUNCTION("""COMPUTED_VALUE"""),"Sin precio neto G.C.")</f>
        <v>Sin precio neto G.C.</v>
      </c>
    </row>
    <row r="1423">
      <c r="A1423" s="4" t="str">
        <f>IFERROR(__xludf.DUMMYFUNCTION("""COMPUTED_VALUE"""),"2035")</f>
        <v>2035</v>
      </c>
      <c r="B1423" s="4" t="str">
        <f>IFERROR(__xludf.DUMMYFUNCTION("""COMPUTED_VALUE"""),"Caja Lapiceros carpintero 180 (144 unid)")</f>
        <v>Caja Lapiceros carpintero 180 (144 unid)</v>
      </c>
      <c r="C1423" s="4">
        <f>IFERROR(__xludf.DUMMYFUNCTION("""COMPUTED_VALUE"""),9.2)</f>
        <v>9.2</v>
      </c>
      <c r="D1423" s="4"/>
      <c r="E1423" s="4" t="str">
        <f>IFERROR(__xludf.DUMMYFUNCTION("""COMPUTED_VALUE"""),"Sin precio neto G.C.")</f>
        <v>Sin precio neto G.C.</v>
      </c>
    </row>
    <row r="1424">
      <c r="A1424" s="4" t="str">
        <f>IFERROR(__xludf.DUMMYFUNCTION("""COMPUTED_VALUE"""),"2036")</f>
        <v>2036</v>
      </c>
      <c r="B1424" s="4" t="str">
        <f>IFERROR(__xludf.DUMMYFUNCTION("""COMPUTED_VALUE"""),"Lapiz Recargable Metalico")</f>
        <v>Lapiz Recargable Metalico</v>
      </c>
      <c r="C1424" s="4">
        <f>IFERROR(__xludf.DUMMYFUNCTION("""COMPUTED_VALUE"""),3.6)</f>
        <v>3.6</v>
      </c>
      <c r="D1424" s="4"/>
      <c r="E1424" s="4" t="str">
        <f>IFERROR(__xludf.DUMMYFUNCTION("""COMPUTED_VALUE"""),"Sin precio neto G.C.")</f>
        <v>Sin precio neto G.C.</v>
      </c>
    </row>
    <row r="1425">
      <c r="A1425" s="4" t="str">
        <f>IFERROR(__xludf.DUMMYFUNCTION("""COMPUTED_VALUE"""),"2036E")</f>
        <v>2036E</v>
      </c>
      <c r="B1425" s="4" t="str">
        <f>IFERROR(__xludf.DUMMYFUNCTION("""COMPUTED_VALUE"""),"Caja lápiz carpintero Mod. Europe (100 uds)")</f>
        <v>Caja lápiz carpintero Mod. Europe (100 uds)</v>
      </c>
      <c r="C1425" s="4">
        <f>IFERROR(__xludf.DUMMYFUNCTION("""COMPUTED_VALUE"""),49.0)</f>
        <v>49</v>
      </c>
      <c r="D1425" s="4"/>
      <c r="E1425" s="4" t="str">
        <f>IFERROR(__xludf.DUMMYFUNCTION("""COMPUTED_VALUE"""),"Sin precio neto G.C.")</f>
        <v>Sin precio neto G.C.</v>
      </c>
    </row>
    <row r="1426">
      <c r="A1426" s="4" t="str">
        <f>IFERROR(__xludf.DUMMYFUNCTION("""COMPUTED_VALUE"""),"2037")</f>
        <v>2037</v>
      </c>
      <c r="B1426" s="4" t="str">
        <f>IFERROR(__xludf.DUMMYFUNCTION("""COMPUTED_VALUE"""),"Recambio Lapiz Metalico (50 und)")</f>
        <v>Recambio Lapiz Metalico (50 und)</v>
      </c>
      <c r="C1426" s="4">
        <f>IFERROR(__xludf.DUMMYFUNCTION("""COMPUTED_VALUE"""),2.365)</f>
        <v>2.365</v>
      </c>
      <c r="D1426" s="4"/>
      <c r="E1426" s="4" t="str">
        <f>IFERROR(__xludf.DUMMYFUNCTION("""COMPUTED_VALUE"""),"Sin precio neto G.C.")</f>
        <v>Sin precio neto G.C.</v>
      </c>
    </row>
    <row r="1427">
      <c r="A1427" s="4" t="str">
        <f>IFERROR(__xludf.DUMMYFUNCTION("""COMPUTED_VALUE"""),"2038")</f>
        <v>2038</v>
      </c>
      <c r="B1427" s="4" t="str">
        <f>IFERROR(__xludf.DUMMYFUNCTION("""COMPUTED_VALUE"""),"Tirolesa")</f>
        <v>Tirolesa</v>
      </c>
      <c r="C1427" s="4">
        <f>IFERROR(__xludf.DUMMYFUNCTION("""COMPUTED_VALUE"""),13.25)</f>
        <v>13.25</v>
      </c>
      <c r="D1427" s="4"/>
      <c r="E1427" s="4" t="str">
        <f>IFERROR(__xludf.DUMMYFUNCTION("""COMPUTED_VALUE"""),"Sin precio neto G.C.")</f>
        <v>Sin precio neto G.C.</v>
      </c>
    </row>
    <row r="1428">
      <c r="A1428" s="4" t="str">
        <f>IFERROR(__xludf.DUMMYFUNCTION("""COMPUTED_VALUE"""),"2039")</f>
        <v>2039</v>
      </c>
      <c r="B1428" s="4" t="str">
        <f>IFERROR(__xludf.DUMMYFUNCTION("""COMPUTED_VALUE"""),"Octometro nueva generacion con mochila de transporte")</f>
        <v>Octometro nueva generacion con mochila de transporte</v>
      </c>
      <c r="C1428" s="4">
        <f>IFERROR(__xludf.DUMMYFUNCTION("""COMPUTED_VALUE"""),24.65)</f>
        <v>24.65</v>
      </c>
      <c r="D1428" s="4"/>
      <c r="E1428" s="4" t="str">
        <f>IFERROR(__xludf.DUMMYFUNCTION("""COMPUTED_VALUE"""),"Sin precio neto G.C.")</f>
        <v>Sin precio neto G.C.</v>
      </c>
    </row>
    <row r="1429">
      <c r="A1429" s="4" t="str">
        <f>IFERROR(__xludf.DUMMYFUNCTION("""COMPUTED_VALUE"""),"2040")</f>
        <v>2040</v>
      </c>
      <c r="B1429" s="4" t="str">
        <f>IFERROR(__xludf.DUMMYFUNCTION("""COMPUTED_VALUE"""),"Bolsa encofrador polipiel 21x21 1 bolsillo")</f>
        <v>Bolsa encofrador polipiel 21x21 1 bolsillo</v>
      </c>
      <c r="C1429" s="4">
        <f>IFERROR(__xludf.DUMMYFUNCTION("""COMPUTED_VALUE"""),6.45)</f>
        <v>6.45</v>
      </c>
      <c r="D1429" s="4"/>
      <c r="E1429" s="4" t="str">
        <f>IFERROR(__xludf.DUMMYFUNCTION("""COMPUTED_VALUE"""),"Sin precio neto G.C.")</f>
        <v>Sin precio neto G.C.</v>
      </c>
    </row>
    <row r="1430">
      <c r="A1430" s="4" t="str">
        <f>IFERROR(__xludf.DUMMYFUNCTION("""COMPUTED_VALUE"""),"2041")</f>
        <v>2041</v>
      </c>
      <c r="B1430" s="4" t="str">
        <f>IFERROR(__xludf.DUMMYFUNCTION("""COMPUTED_VALUE"""),"Display 12 tiralineas 15 m (línea eco) + 12 botes azulete 60 gr")</f>
        <v>Display 12 tiralineas 15 m (línea eco) + 12 botes azulete 60 gr</v>
      </c>
      <c r="C1430" s="4">
        <f>IFERROR(__xludf.DUMMYFUNCTION("""COMPUTED_VALUE"""),49.0)</f>
        <v>49</v>
      </c>
      <c r="D1430" s="4"/>
      <c r="E1430" s="4" t="str">
        <f>IFERROR(__xludf.DUMMYFUNCTION("""COMPUTED_VALUE"""),"Sin precio neto G.C.")</f>
        <v>Sin precio neto G.C.</v>
      </c>
    </row>
    <row r="1431">
      <c r="A1431" s="4" t="str">
        <f>IFERROR(__xludf.DUMMYFUNCTION("""COMPUTED_VALUE"""),"2042")</f>
        <v>2042</v>
      </c>
      <c r="B1431" s="4" t="str">
        <f>IFERROR(__xludf.DUMMYFUNCTION("""COMPUTED_VALUE"""),"Display 3 tiralíneas 50 m y 3 botes azulete 1 kg")</f>
        <v>Display 3 tiralíneas 50 m y 3 botes azulete 1 kg</v>
      </c>
      <c r="C1431" s="4">
        <f>IFERROR(__xludf.DUMMYFUNCTION("""COMPUTED_VALUE"""),80.0)</f>
        <v>80</v>
      </c>
      <c r="D1431" s="4"/>
      <c r="E1431" s="4" t="str">
        <f>IFERROR(__xludf.DUMMYFUNCTION("""COMPUTED_VALUE"""),"Sin precio neto G.C.")</f>
        <v>Sin precio neto G.C.</v>
      </c>
    </row>
    <row r="1432">
      <c r="A1432" s="4" t="str">
        <f>IFERROR(__xludf.DUMMYFUNCTION("""COMPUTED_VALUE"""),"2046")</f>
        <v>2046</v>
      </c>
      <c r="B1432" s="4" t="str">
        <f>IFERROR(__xludf.DUMMYFUNCTION("""COMPUTED_VALUE"""),"Tiralíneas Prático 30 mts con botella azulete")</f>
        <v>Tiralíneas Prático 30 mts con botella azulete</v>
      </c>
      <c r="C1432" s="4">
        <f>IFERROR(__xludf.DUMMYFUNCTION("""COMPUTED_VALUE"""),4.0)</f>
        <v>4</v>
      </c>
      <c r="D1432" s="4"/>
      <c r="E1432" s="4" t="str">
        <f>IFERROR(__xludf.DUMMYFUNCTION("""COMPUTED_VALUE"""),"Sin precio neto G.C.")</f>
        <v>Sin precio neto G.C.</v>
      </c>
    </row>
    <row r="1433">
      <c r="A1433" s="4" t="str">
        <f>IFERROR(__xludf.DUMMYFUNCTION("""COMPUTED_VALUE"""),"2047")</f>
        <v>2047</v>
      </c>
      <c r="B1433" s="4" t="str">
        <f>IFERROR(__xludf.DUMMYFUNCTION("""COMPUTED_VALUE"""),"Aplicador cinta balizamiento")</f>
        <v>Aplicador cinta balizamiento</v>
      </c>
      <c r="C1433" s="4">
        <f>IFERROR(__xludf.DUMMYFUNCTION("""COMPUTED_VALUE"""),3.0)</f>
        <v>3</v>
      </c>
      <c r="D1433" s="4"/>
      <c r="E1433" s="4" t="str">
        <f>IFERROR(__xludf.DUMMYFUNCTION("""COMPUTED_VALUE"""),"Sin precio neto G.C.")</f>
        <v>Sin precio neto G.C.</v>
      </c>
    </row>
    <row r="1434">
      <c r="A1434" s="4" t="str">
        <f>IFERROR(__xludf.DUMMYFUNCTION("""COMPUTED_VALUE"""),"2050")</f>
        <v>2050</v>
      </c>
      <c r="B1434" s="4" t="str">
        <f>IFERROR(__xludf.DUMMYFUNCTION("""COMPUTED_VALUE"""),"Toldo polietileno 2x3 verde 120 gr.")</f>
        <v>Toldo polietileno 2x3 verde 120 gr.</v>
      </c>
      <c r="C1434" s="4">
        <f>IFERROR(__xludf.DUMMYFUNCTION("""COMPUTED_VALUE"""),3.95)</f>
        <v>3.95</v>
      </c>
      <c r="D1434" s="4">
        <f>IFERROR(__xludf.DUMMYFUNCTION("""COMPUTED_VALUE"""),3.05)</f>
        <v>3.05</v>
      </c>
      <c r="E1434" s="4" t="str">
        <f>IFERROR(__xludf.DUMMYFUNCTION("""COMPUTED_VALUE"""),"Neto G.C.: 3,05 € (a partir de 30 uds.)")</f>
        <v>Neto G.C.: 3,05 € (a partir de 30 uds.)</v>
      </c>
    </row>
    <row r="1435">
      <c r="A1435" s="4" t="str">
        <f>IFERROR(__xludf.DUMMYFUNCTION("""COMPUTED_VALUE"""),"2051")</f>
        <v>2051</v>
      </c>
      <c r="B1435" s="4" t="str">
        <f>IFERROR(__xludf.DUMMYFUNCTION("""COMPUTED_VALUE"""),"Toldo polietileno 3x4 verde 120 gr.")</f>
        <v>Toldo polietileno 3x4 verde 120 gr.</v>
      </c>
      <c r="C1435" s="4">
        <f>IFERROR(__xludf.DUMMYFUNCTION("""COMPUTED_VALUE"""),7.75)</f>
        <v>7.75</v>
      </c>
      <c r="D1435" s="4">
        <f>IFERROR(__xludf.DUMMYFUNCTION("""COMPUTED_VALUE"""),6.2)</f>
        <v>6.2</v>
      </c>
      <c r="E1435" s="4" t="str">
        <f>IFERROR(__xludf.DUMMYFUNCTION("""COMPUTED_VALUE"""),"Neto G.C.: 6,20 € (a partir de 15 uds.)")</f>
        <v>Neto G.C.: 6,20 € (a partir de 15 uds.)</v>
      </c>
    </row>
    <row r="1436">
      <c r="A1436" s="4" t="str">
        <f>IFERROR(__xludf.DUMMYFUNCTION("""COMPUTED_VALUE"""),"2052")</f>
        <v>2052</v>
      </c>
      <c r="B1436" s="4" t="str">
        <f>IFERROR(__xludf.DUMMYFUNCTION("""COMPUTED_VALUE"""),"Toldo polietileno 4x6 verde 120 gr.")</f>
        <v>Toldo polietileno 4x6 verde 120 gr.</v>
      </c>
      <c r="C1436" s="4">
        <f>IFERROR(__xludf.DUMMYFUNCTION("""COMPUTED_VALUE"""),13.9)</f>
        <v>13.9</v>
      </c>
      <c r="D1436" s="4">
        <f>IFERROR(__xludf.DUMMYFUNCTION("""COMPUTED_VALUE"""),11.5)</f>
        <v>11.5</v>
      </c>
      <c r="E1436" s="4" t="str">
        <f>IFERROR(__xludf.DUMMYFUNCTION("""COMPUTED_VALUE"""),"Neto G.C.: 11,50 € (a partir de 8 uds.)")</f>
        <v>Neto G.C.: 11,50 € (a partir de 8 uds.)</v>
      </c>
    </row>
    <row r="1437">
      <c r="A1437" s="4" t="str">
        <f>IFERROR(__xludf.DUMMYFUNCTION("""COMPUTED_VALUE"""),"2053")</f>
        <v>2053</v>
      </c>
      <c r="B1437" s="4" t="str">
        <f>IFERROR(__xludf.DUMMYFUNCTION("""COMPUTED_VALUE"""),"Toldo polietileno 5x8 verde 120 gr.")</f>
        <v>Toldo polietileno 5x8 verde 120 gr.</v>
      </c>
      <c r="C1437" s="4">
        <f>IFERROR(__xludf.DUMMYFUNCTION("""COMPUTED_VALUE"""),24.5)</f>
        <v>24.5</v>
      </c>
      <c r="D1437" s="4">
        <f>IFERROR(__xludf.DUMMYFUNCTION("""COMPUTED_VALUE"""),17.5)</f>
        <v>17.5</v>
      </c>
      <c r="E1437" s="4" t="str">
        <f>IFERROR(__xludf.DUMMYFUNCTION("""COMPUTED_VALUE"""),"Neto G.C.: 17,50 € (a partir de 5 uds.)")</f>
        <v>Neto G.C.: 17,50 € (a partir de 5 uds.)</v>
      </c>
    </row>
    <row r="1438">
      <c r="A1438" s="4" t="str">
        <f>IFERROR(__xludf.DUMMYFUNCTION("""COMPUTED_VALUE"""),"2054")</f>
        <v>2054</v>
      </c>
      <c r="B1438" s="4" t="str">
        <f>IFERROR(__xludf.DUMMYFUNCTION("""COMPUTED_VALUE"""),"Toldo polietileno 6x10 verde 120 gr.")</f>
        <v>Toldo polietileno 6x10 verde 120 gr.</v>
      </c>
      <c r="C1438" s="4">
        <f>IFERROR(__xludf.DUMMYFUNCTION("""COMPUTED_VALUE"""),32.5)</f>
        <v>32.5</v>
      </c>
      <c r="D1438" s="4">
        <f>IFERROR(__xludf.DUMMYFUNCTION("""COMPUTED_VALUE"""),26.5)</f>
        <v>26.5</v>
      </c>
      <c r="E1438" s="4" t="str">
        <f>IFERROR(__xludf.DUMMYFUNCTION("""COMPUTED_VALUE"""),"Neto G.C.: 26,50 € (a partir de 3 uds.)")</f>
        <v>Neto G.C.: 26,50 € (a partir de 3 uds.)</v>
      </c>
    </row>
    <row r="1439">
      <c r="A1439" s="4" t="str">
        <f>IFERROR(__xludf.DUMMYFUNCTION("""COMPUTED_VALUE"""),"2058")</f>
        <v>2058</v>
      </c>
      <c r="B1439" s="4" t="str">
        <f>IFERROR(__xludf.DUMMYFUNCTION("""COMPUTED_VALUE"""),"Toldo polietileno 3x5 azul 80 gr")</f>
        <v>Toldo polietileno 3x5 azul 80 gr</v>
      </c>
      <c r="C1439" s="4">
        <f>IFERROR(__xludf.DUMMYFUNCTION("""COMPUTED_VALUE"""),6.2)</f>
        <v>6.2</v>
      </c>
      <c r="D1439" s="4">
        <f>IFERROR(__xludf.DUMMYFUNCTION("""COMPUTED_VALUE"""),5.3)</f>
        <v>5.3</v>
      </c>
      <c r="E1439" s="4" t="str">
        <f>IFERROR(__xludf.DUMMYFUNCTION("""COMPUTED_VALUE"""),"Neto G.C.: 5,30 € (a partir de 20 uds.)")</f>
        <v>Neto G.C.: 5,30 € (a partir de 20 uds.)</v>
      </c>
    </row>
    <row r="1440">
      <c r="A1440" s="4" t="str">
        <f>IFERROR(__xludf.DUMMYFUNCTION("""COMPUTED_VALUE"""),"2059")</f>
        <v>2059</v>
      </c>
      <c r="B1440" s="4" t="str">
        <f>IFERROR(__xludf.DUMMYFUNCTION("""COMPUTED_VALUE"""),"Toldo polietileno 4x5 azul 80 gr")</f>
        <v>Toldo polietileno 4x5 azul 80 gr</v>
      </c>
      <c r="C1440" s="4">
        <f>IFERROR(__xludf.DUMMYFUNCTION("""COMPUTED_VALUE"""),10.5)</f>
        <v>10.5</v>
      </c>
      <c r="D1440" s="4">
        <f>IFERROR(__xludf.DUMMYFUNCTION("""COMPUTED_VALUE"""),7.5)</f>
        <v>7.5</v>
      </c>
      <c r="E1440" s="4" t="str">
        <f>IFERROR(__xludf.DUMMYFUNCTION("""COMPUTED_VALUE"""),"Neto G.C.: 7,50 € (a partir de 10 uds.)")</f>
        <v>Neto G.C.: 7,50 € (a partir de 10 uds.)</v>
      </c>
    </row>
    <row r="1441">
      <c r="A1441" s="4" t="str">
        <f>IFERROR(__xludf.DUMMYFUNCTION("""COMPUTED_VALUE"""),"2060")</f>
        <v>2060</v>
      </c>
      <c r="B1441" s="4" t="str">
        <f>IFERROR(__xludf.DUMMYFUNCTION("""COMPUTED_VALUE"""),"Toldo polietileno 2x3 azul 80 gr.")</f>
        <v>Toldo polietileno 2x3 azul 80 gr.</v>
      </c>
      <c r="C1441" s="4">
        <f>IFERROR(__xludf.DUMMYFUNCTION("""COMPUTED_VALUE"""),2.8)</f>
        <v>2.8</v>
      </c>
      <c r="D1441" s="4">
        <f>IFERROR(__xludf.DUMMYFUNCTION("""COMPUTED_VALUE"""),2.4)</f>
        <v>2.4</v>
      </c>
      <c r="E1441" s="4" t="str">
        <f>IFERROR(__xludf.DUMMYFUNCTION("""COMPUTED_VALUE"""),"Neto G.C.: 2,40 € (a partir de 40 uds.)")</f>
        <v>Neto G.C.: 2,40 € (a partir de 40 uds.)</v>
      </c>
    </row>
    <row r="1442">
      <c r="A1442" s="4" t="str">
        <f>IFERROR(__xludf.DUMMYFUNCTION("""COMPUTED_VALUE"""),"2061")</f>
        <v>2061</v>
      </c>
      <c r="B1442" s="4" t="str">
        <f>IFERROR(__xludf.DUMMYFUNCTION("""COMPUTED_VALUE"""),"Toldo polietileno 3x4 azul 80 gr.")</f>
        <v>Toldo polietileno 3x4 azul 80 gr.</v>
      </c>
      <c r="C1442" s="4">
        <f>IFERROR(__xludf.DUMMYFUNCTION("""COMPUTED_VALUE"""),4.85)</f>
        <v>4.85</v>
      </c>
      <c r="D1442" s="4">
        <f>IFERROR(__xludf.DUMMYFUNCTION("""COMPUTED_VALUE"""),5.1)</f>
        <v>5.1</v>
      </c>
      <c r="E1442" s="4" t="str">
        <f>IFERROR(__xludf.DUMMYFUNCTION("""COMPUTED_VALUE"""),"Neto G.C.: 5,10 € (a partir de 20 uds.)")</f>
        <v>Neto G.C.: 5,10 € (a partir de 20 uds.)</v>
      </c>
    </row>
    <row r="1443">
      <c r="A1443" s="4" t="str">
        <f>IFERROR(__xludf.DUMMYFUNCTION("""COMPUTED_VALUE"""),"2062")</f>
        <v>2062</v>
      </c>
      <c r="B1443" s="4" t="str">
        <f>IFERROR(__xludf.DUMMYFUNCTION("""COMPUTED_VALUE"""),"Toldo polietileno 4x6 azul 80 gr")</f>
        <v>Toldo polietileno 4x6 azul 80 gr</v>
      </c>
      <c r="C1443" s="4">
        <f>IFERROR(__xludf.DUMMYFUNCTION("""COMPUTED_VALUE"""),11.3)</f>
        <v>11.3</v>
      </c>
      <c r="D1443" s="4">
        <f>IFERROR(__xludf.DUMMYFUNCTION("""COMPUTED_VALUE"""),8.6)</f>
        <v>8.6</v>
      </c>
      <c r="E1443" s="4" t="str">
        <f>IFERROR(__xludf.DUMMYFUNCTION("""COMPUTED_VALUE"""),"Neto G.C.: 8,60 € (a partir de 10 uds.)")</f>
        <v>Neto G.C.: 8,60 € (a partir de 10 uds.)</v>
      </c>
    </row>
    <row r="1444">
      <c r="A1444" s="4" t="str">
        <f>IFERROR(__xludf.DUMMYFUNCTION("""COMPUTED_VALUE"""),"2063")</f>
        <v>2063</v>
      </c>
      <c r="B1444" s="4" t="str">
        <f>IFERROR(__xludf.DUMMYFUNCTION("""COMPUTED_VALUE"""),"Toldo polietileno 5x8 azul 80 gr.")</f>
        <v>Toldo polietileno 5x8 azul 80 gr.</v>
      </c>
      <c r="C1444" s="4">
        <f>IFERROR(__xludf.DUMMYFUNCTION("""COMPUTED_VALUE"""),16.95)</f>
        <v>16.95</v>
      </c>
      <c r="D1444" s="4">
        <f>IFERROR(__xludf.DUMMYFUNCTION("""COMPUTED_VALUE"""),13.5)</f>
        <v>13.5</v>
      </c>
      <c r="E1444" s="4" t="str">
        <f>IFERROR(__xludf.DUMMYFUNCTION("""COMPUTED_VALUE"""),"Neto G.C.: 13,50 € (a partir de 6 uds.)")</f>
        <v>Neto G.C.: 13,50 € (a partir de 6 uds.)</v>
      </c>
    </row>
    <row r="1445">
      <c r="A1445" s="4" t="str">
        <f>IFERROR(__xludf.DUMMYFUNCTION("""COMPUTED_VALUE"""),"2064")</f>
        <v>2064</v>
      </c>
      <c r="B1445" s="4" t="str">
        <f>IFERROR(__xludf.DUMMYFUNCTION("""COMPUTED_VALUE"""),"Toldo polietileno 6x10 azul 80 gr.")</f>
        <v>Toldo polietileno 6x10 azul 80 gr.</v>
      </c>
      <c r="C1445" s="4">
        <f>IFERROR(__xludf.DUMMYFUNCTION("""COMPUTED_VALUE"""),23.5)</f>
        <v>23.5</v>
      </c>
      <c r="D1445" s="4">
        <f>IFERROR(__xludf.DUMMYFUNCTION("""COMPUTED_VALUE"""),19.5)</f>
        <v>19.5</v>
      </c>
      <c r="E1445" s="4" t="str">
        <f>IFERROR(__xludf.DUMMYFUNCTION("""COMPUTED_VALUE"""),"Neto G.C.: 19,50 € (a partir de 4 uds.)")</f>
        <v>Neto G.C.: 19,50 € (a partir de 4 uds.)</v>
      </c>
    </row>
    <row r="1446">
      <c r="A1446" s="4" t="str">
        <f>IFERROR(__xludf.DUMMYFUNCTION("""COMPUTED_VALUE"""),"2065")</f>
        <v>2065</v>
      </c>
      <c r="B1446" s="4" t="str">
        <f>IFERROR(__xludf.DUMMYFUNCTION("""COMPUTED_VALUE"""),"Toldo polietileno 8x12 azul 80 gr.")</f>
        <v>Toldo polietileno 8x12 azul 80 gr.</v>
      </c>
      <c r="C1446" s="4">
        <f>IFERROR(__xludf.DUMMYFUNCTION("""COMPUTED_VALUE"""),30.1)</f>
        <v>30.1</v>
      </c>
      <c r="D1446" s="4">
        <f>IFERROR(__xludf.DUMMYFUNCTION("""COMPUTED_VALUE"""),32.5)</f>
        <v>32.5</v>
      </c>
      <c r="E1446" s="4" t="str">
        <f>IFERROR(__xludf.DUMMYFUNCTION("""COMPUTED_VALUE"""),"Neto G.C.: 32,50 € (a partir de 2 uds.)")</f>
        <v>Neto G.C.: 32,50 € (a partir de 2 uds.)</v>
      </c>
    </row>
    <row r="1447">
      <c r="A1447" s="4" t="str">
        <f>IFERROR(__xludf.DUMMYFUNCTION("""COMPUTED_VALUE"""),"2066")</f>
        <v>2066</v>
      </c>
      <c r="B1447" s="4" t="str">
        <f>IFERROR(__xludf.DUMMYFUNCTION("""COMPUTED_VALUE"""),"Toldo polietileno 10x15 azul 80 gr.")</f>
        <v>Toldo polietileno 10x15 azul 80 gr.</v>
      </c>
      <c r="C1447" s="4">
        <f>IFERROR(__xludf.DUMMYFUNCTION("""COMPUTED_VALUE"""),42.0)</f>
        <v>42</v>
      </c>
      <c r="D1447" s="4">
        <f>IFERROR(__xludf.DUMMYFUNCTION("""COMPUTED_VALUE"""),38.5)</f>
        <v>38.5</v>
      </c>
      <c r="E1447" s="4" t="str">
        <f>IFERROR(__xludf.DUMMYFUNCTION("""COMPUTED_VALUE"""),"Neto G.C.: 38,50 € (a partir de 1 uds.)")</f>
        <v>Neto G.C.: 38,50 € (a partir de 1 uds.)</v>
      </c>
    </row>
    <row r="1448">
      <c r="A1448" s="4" t="str">
        <f>IFERROR(__xludf.DUMMYFUNCTION("""COMPUTED_VALUE"""),"2101")</f>
        <v>2101</v>
      </c>
      <c r="B1448" s="4" t="str">
        <f>IFERROR(__xludf.DUMMYFUNCTION("""COMPUTED_VALUE"""),"Baliza solar amarilla para cono")</f>
        <v>Baliza solar amarilla para cono</v>
      </c>
      <c r="C1448" s="4">
        <f>IFERROR(__xludf.DUMMYFUNCTION("""COMPUTED_VALUE"""),19.95)</f>
        <v>19.95</v>
      </c>
      <c r="D1448" s="4"/>
      <c r="E1448" s="4" t="str">
        <f>IFERROR(__xludf.DUMMYFUNCTION("""COMPUTED_VALUE"""),"Sin precio neto G.C.")</f>
        <v>Sin precio neto G.C.</v>
      </c>
    </row>
    <row r="1449">
      <c r="A1449" s="4" t="str">
        <f>IFERROR(__xludf.DUMMYFUNCTION("""COMPUTED_VALUE"""),"2102")</f>
        <v>2102</v>
      </c>
      <c r="B1449" s="4" t="str">
        <f>IFERROR(__xludf.DUMMYFUNCTION("""COMPUTED_VALUE"""),"Baliza Solar Roja para cono")</f>
        <v>Baliza Solar Roja para cono</v>
      </c>
      <c r="C1449" s="4">
        <f>IFERROR(__xludf.DUMMYFUNCTION("""COMPUTED_VALUE"""),19.95)</f>
        <v>19.95</v>
      </c>
      <c r="D1449" s="4"/>
      <c r="E1449" s="4" t="str">
        <f>IFERROR(__xludf.DUMMYFUNCTION("""COMPUTED_VALUE"""),"Sin precio neto G.C.")</f>
        <v>Sin precio neto G.C.</v>
      </c>
    </row>
    <row r="1450">
      <c r="A1450" s="4" t="str">
        <f>IFERROR(__xludf.DUMMYFUNCTION("""COMPUTED_VALUE"""),"2134")</f>
        <v>2134</v>
      </c>
      <c r="B1450" s="4" t="str">
        <f>IFERROR(__xludf.DUMMYFUNCTION("""COMPUTED_VALUE"""),"Tope parking Mod D 183 cm")</f>
        <v>Tope parking Mod D 183 cm</v>
      </c>
      <c r="C1450" s="4">
        <f>IFERROR(__xludf.DUMMYFUNCTION("""COMPUTED_VALUE"""),35.09)</f>
        <v>35.09</v>
      </c>
      <c r="D1450" s="4"/>
      <c r="E1450" s="4" t="str">
        <f>IFERROR(__xludf.DUMMYFUNCTION("""COMPUTED_VALUE"""),"Sin precio neto G.C.")</f>
        <v>Sin precio neto G.C.</v>
      </c>
    </row>
    <row r="1451">
      <c r="A1451" s="4" t="str">
        <f>IFERROR(__xludf.DUMMYFUNCTION("""COMPUTED_VALUE"""),"2151")</f>
        <v>2151</v>
      </c>
      <c r="B1451" s="4" t="str">
        <f>IFERROR(__xludf.DUMMYFUNCTION("""COMPUTED_VALUE"""),"Separador Carril 75 cm + base")</f>
        <v>Separador Carril 75 cm + base</v>
      </c>
      <c r="C1451" s="4">
        <f>IFERROR(__xludf.DUMMYFUNCTION("""COMPUTED_VALUE"""),31.0)</f>
        <v>31</v>
      </c>
      <c r="D1451" s="4"/>
      <c r="E1451" s="4" t="str">
        <f>IFERROR(__xludf.DUMMYFUNCTION("""COMPUTED_VALUE"""),"Sin precio neto G.C.")</f>
        <v>Sin precio neto G.C.</v>
      </c>
    </row>
    <row r="1452">
      <c r="A1452" s="4" t="str">
        <f>IFERROR(__xludf.DUMMYFUNCTION("""COMPUTED_VALUE"""),"2234")</f>
        <v>2234</v>
      </c>
      <c r="B1452" s="4" t="str">
        <f>IFERROR(__xludf.DUMMYFUNCTION("""COMPUTED_VALUE"""),"Botella azulete 1Kg. Extra")</f>
        <v>Botella azulete 1Kg. Extra</v>
      </c>
      <c r="C1452" s="4">
        <f>IFERROR(__xludf.DUMMYFUNCTION("""COMPUTED_VALUE"""),4.35)</f>
        <v>4.35</v>
      </c>
      <c r="D1452" s="4"/>
      <c r="E1452" s="4" t="str">
        <f>IFERROR(__xludf.DUMMYFUNCTION("""COMPUTED_VALUE"""),"Sin precio neto G.C.")</f>
        <v>Sin precio neto G.C.</v>
      </c>
    </row>
    <row r="1453">
      <c r="A1453" s="4" t="str">
        <f>IFERROR(__xludf.DUMMYFUNCTION("""COMPUTED_VALUE"""),"2235")</f>
        <v>2235</v>
      </c>
      <c r="B1453" s="4" t="str">
        <f>IFERROR(__xludf.DUMMYFUNCTION("""COMPUTED_VALUE"""),"Botella azulete 1Kg. Super Extra")</f>
        <v>Botella azulete 1Kg. Super Extra</v>
      </c>
      <c r="C1453" s="4">
        <f>IFERROR(__xludf.DUMMYFUNCTION("""COMPUTED_VALUE"""),5.7)</f>
        <v>5.7</v>
      </c>
      <c r="D1453" s="4"/>
      <c r="E1453" s="4" t="str">
        <f>IFERROR(__xludf.DUMMYFUNCTION("""COMPUTED_VALUE"""),"Sin precio neto G.C.")</f>
        <v>Sin precio neto G.C.</v>
      </c>
    </row>
    <row r="1454">
      <c r="A1454" s="4" t="str">
        <f>IFERROR(__xludf.DUMMYFUNCTION("""COMPUTED_VALUE"""),"2236")</f>
        <v>2236</v>
      </c>
      <c r="B1454" s="4" t="str">
        <f>IFERROR(__xludf.DUMMYFUNCTION("""COMPUTED_VALUE"""),"Botella 200 gr. polvo fluo verde")</f>
        <v>Botella 200 gr. polvo fluo verde</v>
      </c>
      <c r="C1454" s="4">
        <f>IFERROR(__xludf.DUMMYFUNCTION("""COMPUTED_VALUE"""),3.8)</f>
        <v>3.8</v>
      </c>
      <c r="D1454" s="4"/>
      <c r="E1454" s="4" t="str">
        <f>IFERROR(__xludf.DUMMYFUNCTION("""COMPUTED_VALUE"""),"Sin precio neto G.C.")</f>
        <v>Sin precio neto G.C.</v>
      </c>
    </row>
    <row r="1455">
      <c r="A1455" s="4" t="str">
        <f>IFERROR(__xludf.DUMMYFUNCTION("""COMPUTED_VALUE"""),"2237")</f>
        <v>2237</v>
      </c>
      <c r="B1455" s="4" t="str">
        <f>IFERROR(__xludf.DUMMYFUNCTION("""COMPUTED_VALUE"""),"Botella 200 gr. polvo fluo naranja")</f>
        <v>Botella 200 gr. polvo fluo naranja</v>
      </c>
      <c r="C1455" s="4">
        <f>IFERROR(__xludf.DUMMYFUNCTION("""COMPUTED_VALUE"""),3.8)</f>
        <v>3.8</v>
      </c>
      <c r="D1455" s="4"/>
      <c r="E1455" s="4" t="str">
        <f>IFERROR(__xludf.DUMMYFUNCTION("""COMPUTED_VALUE"""),"Sin precio neto G.C.")</f>
        <v>Sin precio neto G.C.</v>
      </c>
    </row>
    <row r="1456">
      <c r="A1456" s="4" t="str">
        <f>IFERROR(__xludf.DUMMYFUNCTION("""COMPUTED_VALUE"""),"2238")</f>
        <v>2238</v>
      </c>
      <c r="B1456" s="4" t="str">
        <f>IFERROR(__xludf.DUMMYFUNCTION("""COMPUTED_VALUE"""),"Azulete Gaviota caja 1 Kg")</f>
        <v>Azulete Gaviota caja 1 Kg</v>
      </c>
      <c r="C1456" s="4">
        <f>IFERROR(__xludf.DUMMYFUNCTION("""COMPUTED_VALUE"""),16.0)</f>
        <v>16</v>
      </c>
      <c r="D1456" s="4"/>
      <c r="E1456" s="4" t="str">
        <f>IFERROR(__xludf.DUMMYFUNCTION("""COMPUTED_VALUE"""),"Sin precio neto G.C.")</f>
        <v>Sin precio neto G.C.</v>
      </c>
    </row>
    <row r="1457">
      <c r="A1457" s="4" t="str">
        <f>IFERROR(__xludf.DUMMYFUNCTION("""COMPUTED_VALUE"""),"2240")</f>
        <v>2240</v>
      </c>
      <c r="B1457" s="4" t="str">
        <f>IFERROR(__xludf.DUMMYFUNCTION("""COMPUTED_VALUE"""),"Tiralíneas Gigante 50 Mts.")</f>
        <v>Tiralíneas Gigante 50 Mts.</v>
      </c>
      <c r="C1457" s="4">
        <f>IFERROR(__xludf.DUMMYFUNCTION("""COMPUTED_VALUE"""),33.25)</f>
        <v>33.25</v>
      </c>
      <c r="D1457" s="4"/>
      <c r="E1457" s="4" t="str">
        <f>IFERROR(__xludf.DUMMYFUNCTION("""COMPUTED_VALUE"""),"Sin precio neto G.C.")</f>
        <v>Sin precio neto G.C.</v>
      </c>
    </row>
    <row r="1458">
      <c r="A1458" s="4" t="str">
        <f>IFERROR(__xludf.DUMMYFUNCTION("""COMPUTED_VALUE"""),"2241")</f>
        <v>2241</v>
      </c>
      <c r="B1458" s="4" t="str">
        <f>IFERROR(__xludf.DUMMYFUNCTION("""COMPUTED_VALUE"""),"Tiralíneas plastico 30 mt + botella polvo 100 gr")</f>
        <v>Tiralíneas plastico 30 mt + botella polvo 100 gr</v>
      </c>
      <c r="C1458" s="4">
        <f>IFERROR(__xludf.DUMMYFUNCTION("""COMPUTED_VALUE"""),3.25)</f>
        <v>3.25</v>
      </c>
      <c r="D1458" s="4"/>
      <c r="E1458" s="4" t="str">
        <f>IFERROR(__xludf.DUMMYFUNCTION("""COMPUTED_VALUE"""),"Sin precio neto G.C.")</f>
        <v>Sin precio neto G.C.</v>
      </c>
    </row>
    <row r="1459">
      <c r="A1459" s="4" t="str">
        <f>IFERROR(__xludf.DUMMYFUNCTION("""COMPUTED_VALUE"""),"2242")</f>
        <v>2242</v>
      </c>
      <c r="B1459" s="4" t="str">
        <f>IFERROR(__xludf.DUMMYFUNCTION("""COMPUTED_VALUE"""),"Tiralíneas aluminio 30 Mts")</f>
        <v>Tiralíneas aluminio 30 Mts</v>
      </c>
      <c r="C1459" s="4">
        <f>IFERROR(__xludf.DUMMYFUNCTION("""COMPUTED_VALUE"""),3.6)</f>
        <v>3.6</v>
      </c>
      <c r="D1459" s="4"/>
      <c r="E1459" s="4" t="str">
        <f>IFERROR(__xludf.DUMMYFUNCTION("""COMPUTED_VALUE"""),"Sin precio neto G.C.")</f>
        <v>Sin precio neto G.C.</v>
      </c>
    </row>
    <row r="1460">
      <c r="A1460" s="4" t="str">
        <f>IFERROR(__xludf.DUMMYFUNCTION("""COMPUTED_VALUE"""),"2244")</f>
        <v>2244</v>
      </c>
      <c r="B1460" s="4" t="str">
        <f>IFERROR(__xludf.DUMMYFUNCTION("""COMPUTED_VALUE"""),"Expositor 12 tiralineas Normo 30 metros + 12 botes polvo 100")</f>
        <v>Expositor 12 tiralineas Normo 30 metros + 12 botes polvo 100</v>
      </c>
      <c r="C1460" s="4">
        <f>IFERROR(__xludf.DUMMYFUNCTION("""COMPUTED_VALUE"""),49.4)</f>
        <v>49.4</v>
      </c>
      <c r="D1460" s="4"/>
      <c r="E1460" s="4" t="str">
        <f>IFERROR(__xludf.DUMMYFUNCTION("""COMPUTED_VALUE"""),"Sin precio neto G.C.")</f>
        <v>Sin precio neto G.C.</v>
      </c>
    </row>
    <row r="1461">
      <c r="A1461" s="4" t="str">
        <f>IFERROR(__xludf.DUMMYFUNCTION("""COMPUTED_VALUE"""),"2245")</f>
        <v>2245</v>
      </c>
      <c r="B1461" s="4" t="str">
        <f>IFERROR(__xludf.DUMMYFUNCTION("""COMPUTED_VALUE"""),"Tiralineas Magnum 50 metros")</f>
        <v>Tiralineas Magnum 50 metros</v>
      </c>
      <c r="C1461" s="4">
        <f>IFERROR(__xludf.DUMMYFUNCTION("""COMPUTED_VALUE"""),33.6)</f>
        <v>33.6</v>
      </c>
      <c r="D1461" s="4"/>
      <c r="E1461" s="4" t="str">
        <f>IFERROR(__xludf.DUMMYFUNCTION("""COMPUTED_VALUE"""),"Sin precio neto G.C.")</f>
        <v>Sin precio neto G.C.</v>
      </c>
    </row>
    <row r="1462">
      <c r="A1462" s="4" t="str">
        <f>IFERROR(__xludf.DUMMYFUNCTION("""COMPUTED_VALUE"""),"2413")</f>
        <v>2413</v>
      </c>
      <c r="B1462" s="4" t="str">
        <f>IFERROR(__xludf.DUMMYFUNCTION("""COMPUTED_VALUE"""),"Frotas esponja naranja g. GRUESO 280x140x20 (024PA)")</f>
        <v>Frotas esponja naranja g. GRUESO 280x140x20 (024PA)</v>
      </c>
      <c r="C1462" s="4">
        <f>IFERROR(__xludf.DUMMYFUNCTION("""COMPUTED_VALUE"""),6.5)</f>
        <v>6.5</v>
      </c>
      <c r="D1462" s="4"/>
      <c r="E1462" s="4" t="str">
        <f>IFERROR(__xludf.DUMMYFUNCTION("""COMPUTED_VALUE"""),"Sin precio neto G.C.")</f>
        <v>Sin precio neto G.C.</v>
      </c>
    </row>
    <row r="1463">
      <c r="A1463" s="4" t="str">
        <f>IFERROR(__xludf.DUMMYFUNCTION("""COMPUTED_VALUE"""),"2414")</f>
        <v>2414</v>
      </c>
      <c r="B1463" s="4" t="str">
        <f>IFERROR(__xludf.DUMMYFUNCTION("""COMPUTED_VALUE"""),"Frotas esponja Azul 280x140x14 grano FINO (024PB)")</f>
        <v>Frotas esponja Azul 280x140x14 grano FINO (024PB)</v>
      </c>
      <c r="C1463" s="4">
        <f>IFERROR(__xludf.DUMMYFUNCTION("""COMPUTED_VALUE"""),5.95)</f>
        <v>5.95</v>
      </c>
      <c r="D1463" s="4"/>
      <c r="E1463" s="4" t="str">
        <f>IFERROR(__xludf.DUMMYFUNCTION("""COMPUTED_VALUE"""),"Sin precio neto G.C.")</f>
        <v>Sin precio neto G.C.</v>
      </c>
    </row>
    <row r="1464">
      <c r="A1464" s="4" t="str">
        <f>IFERROR(__xludf.DUMMYFUNCTION("""COMPUTED_VALUE"""),"2507")</f>
        <v>2507</v>
      </c>
      <c r="B1464" s="4" t="str">
        <f>IFERROR(__xludf.DUMMYFUNCTION("""COMPUTED_VALUE"""),"Hito flexible Naranja 30 cm")</f>
        <v>Hito flexible Naranja 30 cm</v>
      </c>
      <c r="C1464" s="4">
        <f>IFERROR(__xludf.DUMMYFUNCTION("""COMPUTED_VALUE"""),7.9)</f>
        <v>7.9</v>
      </c>
      <c r="D1464" s="4"/>
      <c r="E1464" s="4" t="str">
        <f>IFERROR(__xludf.DUMMYFUNCTION("""COMPUTED_VALUE"""),"Sin precio neto G.C.")</f>
        <v>Sin precio neto G.C.</v>
      </c>
    </row>
    <row r="1465">
      <c r="A1465" s="4" t="str">
        <f>IFERROR(__xludf.DUMMYFUNCTION("""COMPUTED_VALUE"""),"2518")</f>
        <v>2518</v>
      </c>
      <c r="B1465" s="4" t="str">
        <f>IFERROR(__xludf.DUMMYFUNCTION("""COMPUTED_VALUE"""),"Hito flexible Naranja 100 cm")</f>
        <v>Hito flexible Naranja 100 cm</v>
      </c>
      <c r="C1465" s="4">
        <f>IFERROR(__xludf.DUMMYFUNCTION("""COMPUTED_VALUE"""),16.0)</f>
        <v>16</v>
      </c>
      <c r="D1465" s="4"/>
      <c r="E1465" s="4" t="str">
        <f>IFERROR(__xludf.DUMMYFUNCTION("""COMPUTED_VALUE"""),"Sin precio neto G.C.")</f>
        <v>Sin precio neto G.C.</v>
      </c>
    </row>
    <row r="1466">
      <c r="A1466" s="4" t="str">
        <f>IFERROR(__xludf.DUMMYFUNCTION("""COMPUTED_VALUE"""),"2519")</f>
        <v>2519</v>
      </c>
      <c r="B1466" s="4" t="str">
        <f>IFERROR(__xludf.DUMMYFUNCTION("""COMPUTED_VALUE"""),"Frotas esponja naranja grano medio 22x14 (018A)")</f>
        <v>Frotas esponja naranja grano medio 22x14 (018A)</v>
      </c>
      <c r="C1466" s="4">
        <f>IFERROR(__xludf.DUMMYFUNCTION("""COMPUTED_VALUE"""),4.9)</f>
        <v>4.9</v>
      </c>
      <c r="D1466" s="4"/>
      <c r="E1466" s="4" t="str">
        <f>IFERROR(__xludf.DUMMYFUNCTION("""COMPUTED_VALUE"""),"Sin precio neto G.C.")</f>
        <v>Sin precio neto G.C.</v>
      </c>
    </row>
    <row r="1467">
      <c r="A1467" s="4" t="str">
        <f>IFERROR(__xludf.DUMMYFUNCTION("""COMPUTED_VALUE"""),"2520")</f>
        <v>2520</v>
      </c>
      <c r="B1467" s="4" t="str">
        <f>IFERROR(__xludf.DUMMYFUNCTION("""COMPUTED_VALUE"""),"Frotas esponja azul grano fino 22x14 (018B)")</f>
        <v>Frotas esponja azul grano fino 22x14 (018B)</v>
      </c>
      <c r="C1467" s="4">
        <f>IFERROR(__xludf.DUMMYFUNCTION("""COMPUTED_VALUE"""),4.9)</f>
        <v>4.9</v>
      </c>
      <c r="D1467" s="4"/>
      <c r="E1467" s="4" t="str">
        <f>IFERROR(__xludf.DUMMYFUNCTION("""COMPUTED_VALUE"""),"Sin precio neto G.C.")</f>
        <v>Sin precio neto G.C.</v>
      </c>
    </row>
    <row r="1468">
      <c r="A1468" s="4" t="str">
        <f>IFERROR(__xludf.DUMMYFUNCTION("""COMPUTED_VALUE"""),"2530")</f>
        <v>2530</v>
      </c>
      <c r="B1468" s="4" t="str">
        <f>IFERROR(__xludf.DUMMYFUNCTION("""COMPUTED_VALUE"""),"Juego rodilleras alicatador")</f>
        <v>Juego rodilleras alicatador</v>
      </c>
      <c r="C1468" s="4">
        <f>IFERROR(__xludf.DUMMYFUNCTION("""COMPUTED_VALUE"""),4.8)</f>
        <v>4.8</v>
      </c>
      <c r="D1468" s="4"/>
      <c r="E1468" s="4" t="str">
        <f>IFERROR(__xludf.DUMMYFUNCTION("""COMPUTED_VALUE"""),"Sin precio neto G.C.")</f>
        <v>Sin precio neto G.C.</v>
      </c>
    </row>
    <row r="1469">
      <c r="A1469" s="4" t="str">
        <f>IFERROR(__xludf.DUMMYFUNCTION("""COMPUTED_VALUE"""),"2575Z")</f>
        <v>2575Z</v>
      </c>
      <c r="B1469" s="4" t="str">
        <f>IFERROR(__xludf.DUMMYFUNCTION("""COMPUTED_VALUE"""),"Rollo cuerda azul trazadora de 100 mts")</f>
        <v>Rollo cuerda azul trazadora de 100 mts</v>
      </c>
      <c r="C1469" s="4">
        <f>IFERROR(__xludf.DUMMYFUNCTION("""COMPUTED_VALUE"""),2.62)</f>
        <v>2.62</v>
      </c>
      <c r="D1469" s="4"/>
      <c r="E1469" s="4" t="str">
        <f>IFERROR(__xludf.DUMMYFUNCTION("""COMPUTED_VALUE"""),"Sin precio neto G.C.")</f>
        <v>Sin precio neto G.C.</v>
      </c>
    </row>
    <row r="1470">
      <c r="A1470" s="4" t="str">
        <f>IFERROR(__xludf.DUMMYFUNCTION("""COMPUTED_VALUE"""),"2601")</f>
        <v>2601</v>
      </c>
      <c r="B1470" s="4" t="str">
        <f>IFERROR(__xludf.DUMMYFUNCTION("""COMPUTED_VALUE"""),"Hito Direccion Obligatoria 85 cm")</f>
        <v>Hito Direccion Obligatoria 85 cm</v>
      </c>
      <c r="C1470" s="4">
        <f>IFERROR(__xludf.DUMMYFUNCTION("""COMPUTED_VALUE"""),22.75)</f>
        <v>22.75</v>
      </c>
      <c r="D1470" s="4"/>
      <c r="E1470" s="4" t="str">
        <f>IFERROR(__xludf.DUMMYFUNCTION("""COMPUTED_VALUE"""),"Sin precio neto G.C.")</f>
        <v>Sin precio neto G.C.</v>
      </c>
    </row>
    <row r="1471">
      <c r="A1471" s="4" t="str">
        <f>IFERROR(__xludf.DUMMYFUNCTION("""COMPUTED_VALUE"""),"2601P")</f>
        <v>2601P</v>
      </c>
      <c r="B1471" s="4" t="str">
        <f>IFERROR(__xludf.DUMMYFUNCTION("""COMPUTED_VALUE"""),"Hito flexible personalizable")</f>
        <v>Hito flexible personalizable</v>
      </c>
      <c r="C1471" s="4">
        <f>IFERROR(__xludf.DUMMYFUNCTION("""COMPUTED_VALUE"""),24.25)</f>
        <v>24.25</v>
      </c>
      <c r="D1471" s="4"/>
      <c r="E1471" s="4" t="str">
        <f>IFERROR(__xludf.DUMMYFUNCTION("""COMPUTED_VALUE"""),"Sin precio neto G.C.")</f>
        <v>Sin precio neto G.C.</v>
      </c>
    </row>
    <row r="1472">
      <c r="A1472" s="4" t="str">
        <f>IFERROR(__xludf.DUMMYFUNCTION("""COMPUTED_VALUE"""),"2674")</f>
        <v>2674</v>
      </c>
      <c r="B1472" s="4" t="str">
        <f>IFERROR(__xludf.DUMMYFUNCTION("""COMPUTED_VALUE"""),"Rollo cuerda blanca trazadora de 50 mts")</f>
        <v>Rollo cuerda blanca trazadora de 50 mts</v>
      </c>
      <c r="C1472" s="4">
        <f>IFERROR(__xludf.DUMMYFUNCTION("""COMPUTED_VALUE"""),1.27)</f>
        <v>1.27</v>
      </c>
      <c r="D1472" s="4"/>
      <c r="E1472" s="4" t="str">
        <f>IFERROR(__xludf.DUMMYFUNCTION("""COMPUTED_VALUE"""),"Sin precio neto G.C.")</f>
        <v>Sin precio neto G.C.</v>
      </c>
    </row>
    <row r="1473">
      <c r="A1473" s="4" t="str">
        <f>IFERROR(__xludf.DUMMYFUNCTION("""COMPUTED_VALUE"""),"2674Z")</f>
        <v>2674Z</v>
      </c>
      <c r="B1473" s="4" t="str">
        <f>IFERROR(__xludf.DUMMYFUNCTION("""COMPUTED_VALUE"""),"Rollo cuerda azul trazadora de 50 mts")</f>
        <v>Rollo cuerda azul trazadora de 50 mts</v>
      </c>
      <c r="C1473" s="4">
        <f>IFERROR(__xludf.DUMMYFUNCTION("""COMPUTED_VALUE"""),1.27)</f>
        <v>1.27</v>
      </c>
      <c r="D1473" s="4"/>
      <c r="E1473" s="4" t="str">
        <f>IFERROR(__xludf.DUMMYFUNCTION("""COMPUTED_VALUE"""),"Sin precio neto G.C.")</f>
        <v>Sin precio neto G.C.</v>
      </c>
    </row>
    <row r="1474">
      <c r="A1474" s="4" t="str">
        <f>IFERROR(__xludf.DUMMYFUNCTION("""COMPUTED_VALUE"""),"2675")</f>
        <v>2675</v>
      </c>
      <c r="B1474" s="4" t="str">
        <f>IFERROR(__xludf.DUMMYFUNCTION("""COMPUTED_VALUE"""),"Rollo cuerda blanca trazadora de 100 mts.")</f>
        <v>Rollo cuerda blanca trazadora de 100 mts.</v>
      </c>
      <c r="C1474" s="4">
        <f>IFERROR(__xludf.DUMMYFUNCTION("""COMPUTED_VALUE"""),2.62)</f>
        <v>2.62</v>
      </c>
      <c r="D1474" s="4"/>
      <c r="E1474" s="4" t="str">
        <f>IFERROR(__xludf.DUMMYFUNCTION("""COMPUTED_VALUE"""),"Sin precio neto G.C.")</f>
        <v>Sin precio neto G.C.</v>
      </c>
    </row>
    <row r="1475">
      <c r="A1475" s="4" t="str">
        <f>IFERROR(__xludf.DUMMYFUNCTION("""COMPUTED_VALUE"""),"2675Z")</f>
        <v>2675Z</v>
      </c>
      <c r="B1475" s="4" t="str">
        <f>IFERROR(__xludf.DUMMYFUNCTION("""COMPUTED_VALUE"""),"Rollo cuerda azul trazadora de 100 mts")</f>
        <v>Rollo cuerda azul trazadora de 100 mts</v>
      </c>
      <c r="C1475" s="4">
        <f>IFERROR(__xludf.DUMMYFUNCTION("""COMPUTED_VALUE"""),2.62)</f>
        <v>2.62</v>
      </c>
      <c r="D1475" s="4"/>
      <c r="E1475" s="4" t="str">
        <f>IFERROR(__xludf.DUMMYFUNCTION("""COMPUTED_VALUE"""),"Sin precio neto G.C.")</f>
        <v>Sin precio neto G.C.</v>
      </c>
    </row>
    <row r="1476">
      <c r="A1476" s="4" t="str">
        <f>IFERROR(__xludf.DUMMYFUNCTION("""COMPUTED_VALUE"""),"2676")</f>
        <v>2676</v>
      </c>
      <c r="B1476" s="4" t="str">
        <f>IFERROR(__xludf.DUMMYFUNCTION("""COMPUTED_VALUE"""),"Rollo cuerda blanca trazadora de 200 mts.")</f>
        <v>Rollo cuerda blanca trazadora de 200 mts.</v>
      </c>
      <c r="C1476" s="4">
        <f>IFERROR(__xludf.DUMMYFUNCTION("""COMPUTED_VALUE"""),4.6)</f>
        <v>4.6</v>
      </c>
      <c r="D1476" s="4"/>
      <c r="E1476" s="4" t="str">
        <f>IFERROR(__xludf.DUMMYFUNCTION("""COMPUTED_VALUE"""),"Sin precio neto G.C.")</f>
        <v>Sin precio neto G.C.</v>
      </c>
    </row>
    <row r="1477">
      <c r="A1477" s="4" t="str">
        <f>IFERROR(__xludf.DUMMYFUNCTION("""COMPUTED_VALUE"""),"2676Z")</f>
        <v>2676Z</v>
      </c>
      <c r="B1477" s="4" t="str">
        <f>IFERROR(__xludf.DUMMYFUNCTION("""COMPUTED_VALUE"""),"Rollo cuerda azul trazadora de 200 mts.")</f>
        <v>Rollo cuerda azul trazadora de 200 mts.</v>
      </c>
      <c r="C1477" s="4">
        <f>IFERROR(__xludf.DUMMYFUNCTION("""COMPUTED_VALUE"""),4.6)</f>
        <v>4.6</v>
      </c>
      <c r="D1477" s="4"/>
      <c r="E1477" s="4" t="str">
        <f>IFERROR(__xludf.DUMMYFUNCTION("""COMPUTED_VALUE"""),"Sin precio neto G.C.")</f>
        <v>Sin precio neto G.C.</v>
      </c>
    </row>
    <row r="1478">
      <c r="A1478" s="4" t="str">
        <f>IFERROR(__xludf.DUMMYFUNCTION("""COMPUTED_VALUE"""),"2677")</f>
        <v>2677</v>
      </c>
      <c r="B1478" s="4" t="str">
        <f>IFERROR(__xludf.DUMMYFUNCTION("""COMPUTED_VALUE"""),"Rollo cuerda blanca trazadora de 500 mts.")</f>
        <v>Rollo cuerda blanca trazadora de 500 mts.</v>
      </c>
      <c r="C1478" s="4">
        <f>IFERROR(__xludf.DUMMYFUNCTION("""COMPUTED_VALUE"""),12.62)</f>
        <v>12.62</v>
      </c>
      <c r="D1478" s="4"/>
      <c r="E1478" s="4" t="str">
        <f>IFERROR(__xludf.DUMMYFUNCTION("""COMPUTED_VALUE"""),"Sin precio neto G.C.")</f>
        <v>Sin precio neto G.C.</v>
      </c>
    </row>
    <row r="1479">
      <c r="A1479" s="4" t="str">
        <f>IFERROR(__xludf.DUMMYFUNCTION("""COMPUTED_VALUE"""),"2677Z")</f>
        <v>2677Z</v>
      </c>
      <c r="B1479" s="4" t="str">
        <f>IFERROR(__xludf.DUMMYFUNCTION("""COMPUTED_VALUE"""),"Rollo cuerda azul trazadora de 500 mts.")</f>
        <v>Rollo cuerda azul trazadora de 500 mts.</v>
      </c>
      <c r="C1479" s="4">
        <f>IFERROR(__xludf.DUMMYFUNCTION("""COMPUTED_VALUE"""),12.62)</f>
        <v>12.62</v>
      </c>
      <c r="D1479" s="4"/>
      <c r="E1479" s="4" t="str">
        <f>IFERROR(__xludf.DUMMYFUNCTION("""COMPUTED_VALUE"""),"Sin precio neto G.C.")</f>
        <v>Sin precio neto G.C.</v>
      </c>
    </row>
    <row r="1480">
      <c r="A1480" s="4" t="str">
        <f>IFERROR(__xludf.DUMMYFUNCTION("""COMPUTED_VALUE"""),"2700")</f>
        <v>2700</v>
      </c>
      <c r="B1480" s="4" t="str">
        <f>IFERROR(__xludf.DUMMYFUNCTION("""COMPUTED_VALUE"""),"Caldereta obra 15 L.")</f>
        <v>Caldereta obra 15 L.</v>
      </c>
      <c r="C1480" s="4">
        <f>IFERROR(__xludf.DUMMYFUNCTION("""COMPUTED_VALUE"""),2.52)</f>
        <v>2.52</v>
      </c>
      <c r="D1480" s="4">
        <f>IFERROR(__xludf.DUMMYFUNCTION("""COMPUTED_VALUE"""),1.95)</f>
        <v>1.95</v>
      </c>
      <c r="E1480" s="4" t="str">
        <f>IFERROR(__xludf.DUMMYFUNCTION("""COMPUTED_VALUE"""),"Neto G.C.: 1,95 € (a partir de 15 uds.)")</f>
        <v>Neto G.C.: 1,95 € (a partir de 15 uds.)</v>
      </c>
    </row>
    <row r="1481">
      <c r="A1481" s="4" t="str">
        <f>IFERROR(__xludf.DUMMYFUNCTION("""COMPUTED_VALUE"""),"2701")</f>
        <v>2701</v>
      </c>
      <c r="B1481" s="4" t="str">
        <f>IFERROR(__xludf.DUMMYFUNCTION("""COMPUTED_VALUE"""),"Cubeta pintura azul 16 con rejilla")</f>
        <v>Cubeta pintura azul 16 con rejilla</v>
      </c>
      <c r="C1481" s="4">
        <f>IFERROR(__xludf.DUMMYFUNCTION("""COMPUTED_VALUE"""),3.1)</f>
        <v>3.1</v>
      </c>
      <c r="D1481" s="4"/>
      <c r="E1481" s="4" t="str">
        <f>IFERROR(__xludf.DUMMYFUNCTION("""COMPUTED_VALUE"""),"Sin precio neto G.C.")</f>
        <v>Sin precio neto G.C.</v>
      </c>
    </row>
    <row r="1482">
      <c r="A1482" s="4" t="str">
        <f>IFERROR(__xludf.DUMMYFUNCTION("""COMPUTED_VALUE"""),"2701R")</f>
        <v>2701R</v>
      </c>
      <c r="B1482" s="4" t="str">
        <f>IFERROR(__xludf.DUMMYFUNCTION("""COMPUTED_VALUE"""),"Rejilla para cubeta pintura 16")</f>
        <v>Rejilla para cubeta pintura 16</v>
      </c>
      <c r="C1482" s="4">
        <f>IFERROR(__xludf.DUMMYFUNCTION("""COMPUTED_VALUE"""),0.6)</f>
        <v>0.6</v>
      </c>
      <c r="D1482" s="4"/>
      <c r="E1482" s="4" t="str">
        <f>IFERROR(__xludf.DUMMYFUNCTION("""COMPUTED_VALUE"""),"Sin precio neto G.C.")</f>
        <v>Sin precio neto G.C.</v>
      </c>
    </row>
    <row r="1483">
      <c r="A1483" s="4" t="str">
        <f>IFERROR(__xludf.DUMMYFUNCTION("""COMPUTED_VALUE"""),"270222B")</f>
        <v>270222B</v>
      </c>
      <c r="B1483" s="4" t="str">
        <f>IFERROR(__xludf.DUMMYFUNCTION("""COMPUTED_VALUE"""),"Capazo de goma 22 l Blanco")</f>
        <v>Capazo de goma 22 l Blanco</v>
      </c>
      <c r="C1483" s="4">
        <f>IFERROR(__xludf.DUMMYFUNCTION("""COMPUTED_VALUE"""),1.95)</f>
        <v>1.95</v>
      </c>
      <c r="D1483" s="4">
        <f>IFERROR(__xludf.DUMMYFUNCTION("""COMPUTED_VALUE"""),1.9)</f>
        <v>1.9</v>
      </c>
      <c r="E1483" s="4" t="str">
        <f>IFERROR(__xludf.DUMMYFUNCTION("""COMPUTED_VALUE"""),"Neto G.C.: 1,90 € (a partir de 12 uds.)")</f>
        <v>Neto G.C.: 1,90 € (a partir de 12 uds.)</v>
      </c>
    </row>
    <row r="1484">
      <c r="A1484" s="4" t="str">
        <f>IFERROR(__xludf.DUMMYFUNCTION("""COMPUTED_VALUE"""),"270222N")</f>
        <v>270222N</v>
      </c>
      <c r="B1484" s="4" t="str">
        <f>IFERROR(__xludf.DUMMYFUNCTION("""COMPUTED_VALUE"""),"Capazo de goma 22 l Negro")</f>
        <v>Capazo de goma 22 l Negro</v>
      </c>
      <c r="C1484" s="4">
        <f>IFERROR(__xludf.DUMMYFUNCTION("""COMPUTED_VALUE"""),1.95)</f>
        <v>1.95</v>
      </c>
      <c r="D1484" s="4">
        <f>IFERROR(__xludf.DUMMYFUNCTION("""COMPUTED_VALUE"""),1.9)</f>
        <v>1.9</v>
      </c>
      <c r="E1484" s="4" t="str">
        <f>IFERROR(__xludf.DUMMYFUNCTION("""COMPUTED_VALUE"""),"Neto G.C.: 1,90 € (a partir de 12 uds.)")</f>
        <v>Neto G.C.: 1,90 € (a partir de 12 uds.)</v>
      </c>
    </row>
    <row r="1485">
      <c r="A1485" s="4" t="str">
        <f>IFERROR(__xludf.DUMMYFUNCTION("""COMPUTED_VALUE"""),"270222R")</f>
        <v>270222R</v>
      </c>
      <c r="B1485" s="4" t="str">
        <f>IFERROR(__xludf.DUMMYFUNCTION("""COMPUTED_VALUE"""),"Capazo de goma 22 l Rojo")</f>
        <v>Capazo de goma 22 l Rojo</v>
      </c>
      <c r="C1485" s="4">
        <f>IFERROR(__xludf.DUMMYFUNCTION("""COMPUTED_VALUE"""),1.95)</f>
        <v>1.95</v>
      </c>
      <c r="D1485" s="4">
        <f>IFERROR(__xludf.DUMMYFUNCTION("""COMPUTED_VALUE"""),1.9)</f>
        <v>1.9</v>
      </c>
      <c r="E1485" s="4" t="str">
        <f>IFERROR(__xludf.DUMMYFUNCTION("""COMPUTED_VALUE"""),"Neto G.C.: 1,90 € (a partir de 12 uds.)")</f>
        <v>Neto G.C.: 1,90 € (a partir de 12 uds.)</v>
      </c>
    </row>
    <row r="1486">
      <c r="A1486" s="4" t="str">
        <f>IFERROR(__xludf.DUMMYFUNCTION("""COMPUTED_VALUE"""),"270242B")</f>
        <v>270242B</v>
      </c>
      <c r="B1486" s="4" t="str">
        <f>IFERROR(__xludf.DUMMYFUNCTION("""COMPUTED_VALUE"""),"Capazo de goma 42 l Blanco")</f>
        <v>Capazo de goma 42 l Blanco</v>
      </c>
      <c r="C1486" s="4">
        <f>IFERROR(__xludf.DUMMYFUNCTION("""COMPUTED_VALUE"""),2.45)</f>
        <v>2.45</v>
      </c>
      <c r="D1486" s="4">
        <f>IFERROR(__xludf.DUMMYFUNCTION("""COMPUTED_VALUE"""),1.9)</f>
        <v>1.9</v>
      </c>
      <c r="E1486" s="4" t="str">
        <f>IFERROR(__xludf.DUMMYFUNCTION("""COMPUTED_VALUE"""),"Neto G.C.: 1,90 € (a partir de 12 uds.)")</f>
        <v>Neto G.C.: 1,90 € (a partir de 12 uds.)</v>
      </c>
    </row>
    <row r="1487">
      <c r="A1487" s="4" t="str">
        <f>IFERROR(__xludf.DUMMYFUNCTION("""COMPUTED_VALUE"""),"270242N")</f>
        <v>270242N</v>
      </c>
      <c r="B1487" s="4" t="str">
        <f>IFERROR(__xludf.DUMMYFUNCTION("""COMPUTED_VALUE"""),"Capazo de goma 42 l Negro")</f>
        <v>Capazo de goma 42 l Negro</v>
      </c>
      <c r="C1487" s="4">
        <f>IFERROR(__xludf.DUMMYFUNCTION("""COMPUTED_VALUE"""),2.45)</f>
        <v>2.45</v>
      </c>
      <c r="D1487" s="4">
        <f>IFERROR(__xludf.DUMMYFUNCTION("""COMPUTED_VALUE"""),1.9)</f>
        <v>1.9</v>
      </c>
      <c r="E1487" s="4" t="str">
        <f>IFERROR(__xludf.DUMMYFUNCTION("""COMPUTED_VALUE"""),"Neto G.C.: 1,90 € (a partir de 12 uds.)")</f>
        <v>Neto G.C.: 1,90 € (a partir de 12 uds.)</v>
      </c>
    </row>
    <row r="1488">
      <c r="A1488" s="4" t="str">
        <f>IFERROR(__xludf.DUMMYFUNCTION("""COMPUTED_VALUE"""),"270242R")</f>
        <v>270242R</v>
      </c>
      <c r="B1488" s="4" t="str">
        <f>IFERROR(__xludf.DUMMYFUNCTION("""COMPUTED_VALUE"""),"Capazo de goma 42 l Rojo")</f>
        <v>Capazo de goma 42 l Rojo</v>
      </c>
      <c r="C1488" s="4">
        <f>IFERROR(__xludf.DUMMYFUNCTION("""COMPUTED_VALUE"""),2.45)</f>
        <v>2.45</v>
      </c>
      <c r="D1488" s="4">
        <f>IFERROR(__xludf.DUMMYFUNCTION("""COMPUTED_VALUE"""),1.9)</f>
        <v>1.9</v>
      </c>
      <c r="E1488" s="4" t="str">
        <f>IFERROR(__xludf.DUMMYFUNCTION("""COMPUTED_VALUE"""),"Neto G.C.: 1,90 € (a partir de 12 uds.)")</f>
        <v>Neto G.C.: 1,90 € (a partir de 12 uds.)</v>
      </c>
    </row>
    <row r="1489">
      <c r="A1489" s="4" t="str">
        <f>IFERROR(__xludf.DUMMYFUNCTION("""COMPUTED_VALUE"""),"270255B")</f>
        <v>270255B</v>
      </c>
      <c r="B1489" s="4" t="str">
        <f>IFERROR(__xludf.DUMMYFUNCTION("""COMPUTED_VALUE"""),"Capazo de goma 55 l Blanco")</f>
        <v>Capazo de goma 55 l Blanco</v>
      </c>
      <c r="C1489" s="4">
        <f>IFERROR(__xludf.DUMMYFUNCTION("""COMPUTED_VALUE"""),4.35)</f>
        <v>4.35</v>
      </c>
      <c r="D1489" s="4">
        <f>IFERROR(__xludf.DUMMYFUNCTION("""COMPUTED_VALUE"""),1.9)</f>
        <v>1.9</v>
      </c>
      <c r="E1489" s="4" t="str">
        <f>IFERROR(__xludf.DUMMYFUNCTION("""COMPUTED_VALUE"""),"Neto G.C.: 1,90 € (a partir de 12 uds.)")</f>
        <v>Neto G.C.: 1,90 € (a partir de 12 uds.)</v>
      </c>
    </row>
    <row r="1490">
      <c r="A1490" s="4" t="str">
        <f>IFERROR(__xludf.DUMMYFUNCTION("""COMPUTED_VALUE"""),"270255N")</f>
        <v>270255N</v>
      </c>
      <c r="B1490" s="4" t="str">
        <f>IFERROR(__xludf.DUMMYFUNCTION("""COMPUTED_VALUE"""),"Capazo de goma 55 l Negro")</f>
        <v>Capazo de goma 55 l Negro</v>
      </c>
      <c r="C1490" s="4">
        <f>IFERROR(__xludf.DUMMYFUNCTION("""COMPUTED_VALUE"""),4.35)</f>
        <v>4.35</v>
      </c>
      <c r="D1490" s="4">
        <f>IFERROR(__xludf.DUMMYFUNCTION("""COMPUTED_VALUE"""),1.9)</f>
        <v>1.9</v>
      </c>
      <c r="E1490" s="4" t="str">
        <f>IFERROR(__xludf.DUMMYFUNCTION("""COMPUTED_VALUE"""),"Neto G.C.: 1,90 € (a partir de 12 uds.)")</f>
        <v>Neto G.C.: 1,90 € (a partir de 12 uds.)</v>
      </c>
    </row>
    <row r="1491">
      <c r="A1491" s="4" t="str">
        <f>IFERROR(__xludf.DUMMYFUNCTION("""COMPUTED_VALUE"""),"270255R")</f>
        <v>270255R</v>
      </c>
      <c r="B1491" s="4" t="str">
        <f>IFERROR(__xludf.DUMMYFUNCTION("""COMPUTED_VALUE"""),"Capazo de goma 55 l Rojo")</f>
        <v>Capazo de goma 55 l Rojo</v>
      </c>
      <c r="C1491" s="4">
        <f>IFERROR(__xludf.DUMMYFUNCTION("""COMPUTED_VALUE"""),4.35)</f>
        <v>4.35</v>
      </c>
      <c r="D1491" s="4">
        <f>IFERROR(__xludf.DUMMYFUNCTION("""COMPUTED_VALUE"""),1.9)</f>
        <v>1.9</v>
      </c>
      <c r="E1491" s="4" t="str">
        <f>IFERROR(__xludf.DUMMYFUNCTION("""COMPUTED_VALUE"""),"Neto G.C.: 1,90 € (a partir de 12 uds.)")</f>
        <v>Neto G.C.: 1,90 € (a partir de 12 uds.)</v>
      </c>
    </row>
    <row r="1492">
      <c r="A1492" s="4" t="str">
        <f>IFERROR(__xludf.DUMMYFUNCTION("""COMPUTED_VALUE"""),"2703")</f>
        <v>2703</v>
      </c>
      <c r="B1492" s="4" t="str">
        <f>IFERROR(__xludf.DUMMYFUNCTION("""COMPUTED_VALUE"""),"Cubre cable portatil 1 metro Mod. A")</f>
        <v>Cubre cable portatil 1 metro Mod. A</v>
      </c>
      <c r="C1492" s="4">
        <f>IFERROR(__xludf.DUMMYFUNCTION("""COMPUTED_VALUE"""),13.25)</f>
        <v>13.25</v>
      </c>
      <c r="D1492" s="4"/>
      <c r="E1492" s="4" t="str">
        <f>IFERROR(__xludf.DUMMYFUNCTION("""COMPUTED_VALUE"""),"Sin precio neto G.C.")</f>
        <v>Sin precio neto G.C.</v>
      </c>
    </row>
    <row r="1493">
      <c r="A1493" s="4" t="str">
        <f>IFERROR(__xludf.DUMMYFUNCTION("""COMPUTED_VALUE"""),"2704")</f>
        <v>2704</v>
      </c>
      <c r="B1493" s="4" t="str">
        <f>IFERROR(__xludf.DUMMYFUNCTION("""COMPUTED_VALUE"""),"Cubre cable portatil 1 metro Mod. B")</f>
        <v>Cubre cable portatil 1 metro Mod. B</v>
      </c>
      <c r="C1493" s="4">
        <f>IFERROR(__xludf.DUMMYFUNCTION("""COMPUTED_VALUE"""),24.25)</f>
        <v>24.25</v>
      </c>
      <c r="D1493" s="4"/>
      <c r="E1493" s="4" t="str">
        <f>IFERROR(__xludf.DUMMYFUNCTION("""COMPUTED_VALUE"""),"Sin precio neto G.C.")</f>
        <v>Sin precio neto G.C.</v>
      </c>
    </row>
    <row r="1494">
      <c r="A1494" s="4" t="str">
        <f>IFERROR(__xludf.DUMMYFUNCTION("""COMPUTED_VALUE"""),"2705")</f>
        <v>2705</v>
      </c>
      <c r="B1494" s="4" t="str">
        <f>IFERROR(__xludf.DUMMYFUNCTION("""COMPUTED_VALUE"""),"Cubre cable portatil 9 metros Mod. C")</f>
        <v>Cubre cable portatil 9 metros Mod. C</v>
      </c>
      <c r="C1494" s="4">
        <f>IFERROR(__xludf.DUMMYFUNCTION("""COMPUTED_VALUE"""),38.0)</f>
        <v>38</v>
      </c>
      <c r="D1494" s="4"/>
      <c r="E1494" s="4" t="str">
        <f>IFERROR(__xludf.DUMMYFUNCTION("""COMPUTED_VALUE"""),"Sin precio neto G.C.")</f>
        <v>Sin precio neto G.C.</v>
      </c>
    </row>
    <row r="1495">
      <c r="A1495" s="4" t="str">
        <f>IFERROR(__xludf.DUMMYFUNCTION("""COMPUTED_VALUE"""),"2706")</f>
        <v>2706</v>
      </c>
      <c r="B1495" s="4" t="str">
        <f>IFERROR(__xludf.DUMMYFUNCTION("""COMPUTED_VALUE"""),"Cubo 12 L Reciclado")</f>
        <v>Cubo 12 L Reciclado</v>
      </c>
      <c r="C1495" s="4">
        <f>IFERROR(__xludf.DUMMYFUNCTION("""COMPUTED_VALUE"""),1.04)</f>
        <v>1.04</v>
      </c>
      <c r="D1495" s="4"/>
      <c r="E1495" s="4" t="str">
        <f>IFERROR(__xludf.DUMMYFUNCTION("""COMPUTED_VALUE"""),"Sin precio neto G.C.")</f>
        <v>Sin precio neto G.C.</v>
      </c>
    </row>
    <row r="1496">
      <c r="A1496" s="4" t="str">
        <f>IFERROR(__xludf.DUMMYFUNCTION("""COMPUTED_VALUE"""),"2707")</f>
        <v>2707</v>
      </c>
      <c r="B1496" s="4" t="str">
        <f>IFERROR(__xludf.DUMMYFUNCTION("""COMPUTED_VALUE"""),"Cubo 6 L Reciclado")</f>
        <v>Cubo 6 L Reciclado</v>
      </c>
      <c r="C1496" s="4">
        <f>IFERROR(__xludf.DUMMYFUNCTION("""COMPUTED_VALUE"""),0.8)</f>
        <v>0.8</v>
      </c>
      <c r="D1496" s="4"/>
      <c r="E1496" s="4" t="str">
        <f>IFERROR(__xludf.DUMMYFUNCTION("""COMPUTED_VALUE"""),"Sin precio neto G.C.")</f>
        <v>Sin precio neto G.C.</v>
      </c>
    </row>
    <row r="1497">
      <c r="A1497" s="4" t="str">
        <f>IFERROR(__xludf.DUMMYFUNCTION("""COMPUTED_VALUE"""),"2708")</f>
        <v>2708</v>
      </c>
      <c r="B1497" s="4" t="str">
        <f>IFERROR(__xludf.DUMMYFUNCTION("""COMPUTED_VALUE"""),"Cubo 8 L Reciclado")</f>
        <v>Cubo 8 L Reciclado</v>
      </c>
      <c r="C1497" s="4">
        <f>IFERROR(__xludf.DUMMYFUNCTION("""COMPUTED_VALUE"""),0.85)</f>
        <v>0.85</v>
      </c>
      <c r="D1497" s="4"/>
      <c r="E1497" s="4" t="str">
        <f>IFERROR(__xludf.DUMMYFUNCTION("""COMPUTED_VALUE"""),"Sin precio neto G.C.")</f>
        <v>Sin precio neto G.C.</v>
      </c>
    </row>
    <row r="1498">
      <c r="A1498" s="4" t="str">
        <f>IFERROR(__xludf.DUMMYFUNCTION("""COMPUTED_VALUE"""),"2709")</f>
        <v>2709</v>
      </c>
      <c r="B1498" s="4" t="str">
        <f>IFERROR(__xludf.DUMMYFUNCTION("""COMPUTED_VALUE"""),"Embudo para Combustible Flexible")</f>
        <v>Embudo para Combustible Flexible</v>
      </c>
      <c r="C1498" s="4">
        <f>IFERROR(__xludf.DUMMYFUNCTION("""COMPUTED_VALUE"""),1.63)</f>
        <v>1.63</v>
      </c>
      <c r="D1498" s="4"/>
      <c r="E1498" s="4" t="str">
        <f>IFERROR(__xludf.DUMMYFUNCTION("""COMPUTED_VALUE"""),"Sin precio neto G.C.")</f>
        <v>Sin precio neto G.C.</v>
      </c>
    </row>
    <row r="1499">
      <c r="A1499" s="4" t="str">
        <f>IFERROR(__xludf.DUMMYFUNCTION("""COMPUTED_VALUE"""),"2710")</f>
        <v>2710</v>
      </c>
      <c r="B1499" s="4" t="str">
        <f>IFERROR(__xludf.DUMMYFUNCTION("""COMPUTED_VALUE"""),"Esponja abrasiva Lija Grado Alto Set 3")</f>
        <v>Esponja abrasiva Lija Grado Alto Set 3</v>
      </c>
      <c r="C1499" s="4">
        <f>IFERROR(__xludf.DUMMYFUNCTION("""COMPUTED_VALUE"""),1.75)</f>
        <v>1.75</v>
      </c>
      <c r="D1499" s="4"/>
      <c r="E1499" s="4" t="str">
        <f>IFERROR(__xludf.DUMMYFUNCTION("""COMPUTED_VALUE"""),"Sin precio neto G.C.")</f>
        <v>Sin precio neto G.C.</v>
      </c>
    </row>
    <row r="1500">
      <c r="A1500" s="4" t="str">
        <f>IFERROR(__xludf.DUMMYFUNCTION("""COMPUTED_VALUE"""),"2711")</f>
        <v>2711</v>
      </c>
      <c r="B1500" s="4" t="str">
        <f>IFERROR(__xludf.DUMMYFUNCTION("""COMPUTED_VALUE"""),"Esponja Abrasiva Lija Brado Bajo Set 3")</f>
        <v>Esponja Abrasiva Lija Brado Bajo Set 3</v>
      </c>
      <c r="C1500" s="4">
        <f>IFERROR(__xludf.DUMMYFUNCTION("""COMPUTED_VALUE"""),1.75)</f>
        <v>1.75</v>
      </c>
      <c r="D1500" s="4"/>
      <c r="E1500" s="4" t="str">
        <f>IFERROR(__xludf.DUMMYFUNCTION("""COMPUTED_VALUE"""),"Sin precio neto G.C.")</f>
        <v>Sin precio neto G.C.</v>
      </c>
    </row>
    <row r="1501">
      <c r="A1501" s="4" t="str">
        <f>IFERROR(__xludf.DUMMYFUNCTION("""COMPUTED_VALUE"""),"2712")</f>
        <v>2712</v>
      </c>
      <c r="B1501" s="4" t="str">
        <f>IFERROR(__xludf.DUMMYFUNCTION("""COMPUTED_VALUE"""),"Esponja Abrasiva Lija Grado Medio Set 3")</f>
        <v>Esponja Abrasiva Lija Grado Medio Set 3</v>
      </c>
      <c r="C1501" s="4">
        <f>IFERROR(__xludf.DUMMYFUNCTION("""COMPUTED_VALUE"""),1.75)</f>
        <v>1.75</v>
      </c>
      <c r="D1501" s="4"/>
      <c r="E1501" s="4" t="str">
        <f>IFERROR(__xludf.DUMMYFUNCTION("""COMPUTED_VALUE"""),"Sin precio neto G.C.")</f>
        <v>Sin precio neto G.C.</v>
      </c>
    </row>
    <row r="1502">
      <c r="A1502" s="4" t="str">
        <f>IFERROR(__xludf.DUMMYFUNCTION("""COMPUTED_VALUE"""),"2713")</f>
        <v>2713</v>
      </c>
      <c r="B1502" s="4" t="str">
        <f>IFERROR(__xludf.DUMMYFUNCTION("""COMPUTED_VALUE"""),"Esponja Abrasiva Lija Set 3")</f>
        <v>Esponja Abrasiva Lija Set 3</v>
      </c>
      <c r="C1502" s="4">
        <f>IFERROR(__xludf.DUMMYFUNCTION("""COMPUTED_VALUE"""),1.75)</f>
        <v>1.75</v>
      </c>
      <c r="D1502" s="4"/>
      <c r="E1502" s="4" t="str">
        <f>IFERROR(__xludf.DUMMYFUNCTION("""COMPUTED_VALUE"""),"Sin precio neto G.C.")</f>
        <v>Sin precio neto G.C.</v>
      </c>
    </row>
    <row r="1503">
      <c r="A1503" s="4" t="str">
        <f>IFERROR(__xludf.DUMMYFUNCTION("""COMPUTED_VALUE"""),"2714")</f>
        <v>2714</v>
      </c>
      <c r="B1503" s="4" t="str">
        <f>IFERROR(__xludf.DUMMYFUNCTION("""COMPUTED_VALUE"""),"Garrafa Apta contacto Alimentario 20 L")</f>
        <v>Garrafa Apta contacto Alimentario 20 L</v>
      </c>
      <c r="C1503" s="4">
        <f>IFERROR(__xludf.DUMMYFUNCTION("""COMPUTED_VALUE"""),9.25)</f>
        <v>9.25</v>
      </c>
      <c r="D1503" s="4"/>
      <c r="E1503" s="4" t="str">
        <f>IFERROR(__xludf.DUMMYFUNCTION("""COMPUTED_VALUE"""),"Sin precio neto G.C.")</f>
        <v>Sin precio neto G.C.</v>
      </c>
    </row>
    <row r="1504">
      <c r="A1504" s="4" t="str">
        <f>IFERROR(__xludf.DUMMYFUNCTION("""COMPUTED_VALUE"""),"2715")</f>
        <v>2715</v>
      </c>
      <c r="B1504" s="4" t="str">
        <f>IFERROR(__xludf.DUMMYFUNCTION("""COMPUTED_VALUE"""),"Paño microfibra profesional 35x40 cm Gris")</f>
        <v>Paño microfibra profesional 35x40 cm Gris</v>
      </c>
      <c r="C1504" s="4">
        <f>IFERROR(__xludf.DUMMYFUNCTION("""COMPUTED_VALUE"""),0.47)</f>
        <v>0.47</v>
      </c>
      <c r="D1504" s="4"/>
      <c r="E1504" s="4" t="str">
        <f>IFERROR(__xludf.DUMMYFUNCTION("""COMPUTED_VALUE"""),"Sin precio neto G.C.")</f>
        <v>Sin precio neto G.C.</v>
      </c>
    </row>
    <row r="1505">
      <c r="A1505" s="4" t="str">
        <f>IFERROR(__xludf.DUMMYFUNCTION("""COMPUTED_VALUE"""),"2716")</f>
        <v>2716</v>
      </c>
      <c r="B1505" s="4" t="str">
        <f>IFERROR(__xludf.DUMMYFUNCTION("""COMPUTED_VALUE"""),"Rollo Fibra abrasiva 15 CM X 6 M")</f>
        <v>Rollo Fibra abrasiva 15 CM X 6 M</v>
      </c>
      <c r="C1505" s="4">
        <f>IFERROR(__xludf.DUMMYFUNCTION("""COMPUTED_VALUE"""),8.75)</f>
        <v>8.75</v>
      </c>
      <c r="D1505" s="4"/>
      <c r="E1505" s="4" t="str">
        <f>IFERROR(__xludf.DUMMYFUNCTION("""COMPUTED_VALUE"""),"Sin precio neto G.C.")</f>
        <v>Sin precio neto G.C.</v>
      </c>
    </row>
    <row r="1506">
      <c r="A1506" s="4" t="str">
        <f>IFERROR(__xludf.DUMMYFUNCTION("""COMPUTED_VALUE"""),"2785")</f>
        <v>2785</v>
      </c>
      <c r="B1506" s="4" t="str">
        <f>IFERROR(__xludf.DUMMYFUNCTION("""COMPUTED_VALUE"""),"Rodillo de marcar de 180")</f>
        <v>Rodillo de marcar de 180</v>
      </c>
      <c r="C1506" s="4">
        <f>IFERROR(__xludf.DUMMYFUNCTION("""COMPUTED_VALUE"""),77.0)</f>
        <v>77</v>
      </c>
      <c r="D1506" s="4"/>
      <c r="E1506" s="4" t="str">
        <f>IFERROR(__xludf.DUMMYFUNCTION("""COMPUTED_VALUE"""),"Sin precio neto G.C.")</f>
        <v>Sin precio neto G.C.</v>
      </c>
    </row>
    <row r="1507">
      <c r="A1507" s="4" t="str">
        <f>IFERROR(__xludf.DUMMYFUNCTION("""COMPUTED_VALUE"""),"2800")</f>
        <v>2800</v>
      </c>
      <c r="B1507" s="4" t="str">
        <f>IFERROR(__xludf.DUMMYFUNCTION("""COMPUTED_VALUE"""),"Señal complementaria TPU Triangular 380 mm Reflex 1")</f>
        <v>Señal complementaria TPU Triangular 380 mm Reflex 1</v>
      </c>
      <c r="C1507" s="4">
        <f>IFERROR(__xludf.DUMMYFUNCTION("""COMPUTED_VALUE"""),9.0)</f>
        <v>9</v>
      </c>
      <c r="D1507" s="4"/>
      <c r="E1507" s="4" t="str">
        <f>IFERROR(__xludf.DUMMYFUNCTION("""COMPUTED_VALUE"""),"Sin precio neto G.C.")</f>
        <v>Sin precio neto G.C.</v>
      </c>
    </row>
    <row r="1508">
      <c r="A1508" s="4" t="str">
        <f>IFERROR(__xludf.DUMMYFUNCTION("""COMPUTED_VALUE"""),"2900")</f>
        <v>2900</v>
      </c>
      <c r="B1508" s="4" t="str">
        <f>IFERROR(__xludf.DUMMYFUNCTION("""COMPUTED_VALUE"""),"Señal complementaria TPU circular 285 mm Reflex 1")</f>
        <v>Señal complementaria TPU circular 285 mm Reflex 1</v>
      </c>
      <c r="C1508" s="4">
        <f>IFERROR(__xludf.DUMMYFUNCTION("""COMPUTED_VALUE"""),9.0)</f>
        <v>9</v>
      </c>
      <c r="D1508" s="4"/>
      <c r="E1508" s="4" t="str">
        <f>IFERROR(__xludf.DUMMYFUNCTION("""COMPUTED_VALUE"""),"Sin precio neto G.C.")</f>
        <v>Sin precio neto G.C.</v>
      </c>
    </row>
    <row r="1509">
      <c r="A1509" s="4" t="str">
        <f>IFERROR(__xludf.DUMMYFUNCTION("""COMPUTED_VALUE"""),"2901")</f>
        <v>2901</v>
      </c>
      <c r="B1509" s="4" t="str">
        <f>IFERROR(__xludf.DUMMYFUNCTION("""COMPUTED_VALUE"""),"Clavo yesero 250")</f>
        <v>Clavo yesero 250</v>
      </c>
      <c r="C1509" s="4">
        <f>IFERROR(__xludf.DUMMYFUNCTION("""COMPUTED_VALUE"""),1.45)</f>
        <v>1.45</v>
      </c>
      <c r="D1509" s="4"/>
      <c r="E1509" s="4" t="str">
        <f>IFERROR(__xludf.DUMMYFUNCTION("""COMPUTED_VALUE"""),"Sin precio neto G.C.")</f>
        <v>Sin precio neto G.C.</v>
      </c>
    </row>
    <row r="1510">
      <c r="A1510" s="4" t="str">
        <f>IFERROR(__xludf.DUMMYFUNCTION("""COMPUTED_VALUE"""),"2969")</f>
        <v>2969</v>
      </c>
      <c r="B1510" s="4" t="str">
        <f>IFERROR(__xludf.DUMMYFUNCTION("""COMPUTED_VALUE"""),"Mezclador b/viscosidad 80 m/m")</f>
        <v>Mezclador b/viscosidad 80 m/m</v>
      </c>
      <c r="C1510" s="4">
        <f>IFERROR(__xludf.DUMMYFUNCTION("""COMPUTED_VALUE"""),1.9)</f>
        <v>1.9</v>
      </c>
      <c r="D1510" s="4"/>
      <c r="E1510" s="4" t="str">
        <f>IFERROR(__xludf.DUMMYFUNCTION("""COMPUTED_VALUE"""),"Sin precio neto G.C.")</f>
        <v>Sin precio neto G.C.</v>
      </c>
    </row>
    <row r="1511">
      <c r="A1511" s="4" t="str">
        <f>IFERROR(__xludf.DUMMYFUNCTION("""COMPUTED_VALUE"""),"2971")</f>
        <v>2971</v>
      </c>
      <c r="B1511" s="4" t="str">
        <f>IFERROR(__xludf.DUMMYFUNCTION("""COMPUTED_VALUE"""),"Mezclador pintura de 100 m/m")</f>
        <v>Mezclador pintura de 100 m/m</v>
      </c>
      <c r="C1511" s="4">
        <f>IFERROR(__xludf.DUMMYFUNCTION("""COMPUTED_VALUE"""),2.2)</f>
        <v>2.2</v>
      </c>
      <c r="D1511" s="4"/>
      <c r="E1511" s="4" t="str">
        <f>IFERROR(__xludf.DUMMYFUNCTION("""COMPUTED_VALUE"""),"Sin precio neto G.C.")</f>
        <v>Sin precio neto G.C.</v>
      </c>
    </row>
    <row r="1512">
      <c r="A1512" s="4" t="str">
        <f>IFERROR(__xludf.DUMMYFUNCTION("""COMPUTED_VALUE"""),"3015")</f>
        <v>3015</v>
      </c>
      <c r="B1512" s="4" t="str">
        <f>IFERROR(__xludf.DUMMYFUNCTION("""COMPUTED_VALUE"""),"Distanciador cuña 0-7 (200 unid)")</f>
        <v>Distanciador cuña 0-7 (200 unid)</v>
      </c>
      <c r="C1512" s="4">
        <f>IFERROR(__xludf.DUMMYFUNCTION("""COMPUTED_VALUE"""),1.4)</f>
        <v>1.4</v>
      </c>
      <c r="D1512" s="4"/>
      <c r="E1512" s="4" t="str">
        <f>IFERROR(__xludf.DUMMYFUNCTION("""COMPUTED_VALUE"""),"Sin precio neto G.C.")</f>
        <v>Sin precio neto G.C.</v>
      </c>
    </row>
    <row r="1513">
      <c r="A1513" s="4" t="str">
        <f>IFERROR(__xludf.DUMMYFUNCTION("""COMPUTED_VALUE"""),"3030")</f>
        <v>3030</v>
      </c>
      <c r="B1513" s="4" t="str">
        <f>IFERROR(__xludf.DUMMYFUNCTION("""COMPUTED_VALUE"""),"Separador CONDOR 20 m/m (1000 Unid)")</f>
        <v>Separador CONDOR 20 m/m (1000 Unid)</v>
      </c>
      <c r="C1513" s="4">
        <f>IFERROR(__xludf.DUMMYFUNCTION("""COMPUTED_VALUE"""),29.35)</f>
        <v>29.35</v>
      </c>
      <c r="D1513" s="4"/>
      <c r="E1513" s="4" t="str">
        <f>IFERROR(__xludf.DUMMYFUNCTION("""COMPUTED_VALUE"""),"Sin precio neto G.C.")</f>
        <v>Sin precio neto G.C.</v>
      </c>
    </row>
    <row r="1514">
      <c r="A1514" s="4" t="str">
        <f>IFERROR(__xludf.DUMMYFUNCTION("""COMPUTED_VALUE"""),"3031")</f>
        <v>3031</v>
      </c>
      <c r="B1514" s="4" t="str">
        <f>IFERROR(__xludf.DUMMYFUNCTION("""COMPUTED_VALUE"""),"Separador CONDOR 40 m/m (500 Unid)")</f>
        <v>Separador CONDOR 40 m/m (500 Unid)</v>
      </c>
      <c r="C1514" s="4">
        <f>IFERROR(__xludf.DUMMYFUNCTION("""COMPUTED_VALUE"""),26.2)</f>
        <v>26.2</v>
      </c>
      <c r="D1514" s="4"/>
      <c r="E1514" s="4" t="str">
        <f>IFERROR(__xludf.DUMMYFUNCTION("""COMPUTED_VALUE"""),"Sin precio neto G.C.")</f>
        <v>Sin precio neto G.C.</v>
      </c>
    </row>
    <row r="1515">
      <c r="A1515" s="4" t="str">
        <f>IFERROR(__xludf.DUMMYFUNCTION("""COMPUTED_VALUE"""),"3032")</f>
        <v>3032</v>
      </c>
      <c r="B1515" s="4" t="str">
        <f>IFERROR(__xludf.DUMMYFUNCTION("""COMPUTED_VALUE"""),"Separador Universal (1000 Unid)")</f>
        <v>Separador Universal (1000 Unid)</v>
      </c>
      <c r="C1515" s="4">
        <f>IFERROR(__xludf.DUMMYFUNCTION("""COMPUTED_VALUE"""),41.8)</f>
        <v>41.8</v>
      </c>
      <c r="D1515" s="4"/>
      <c r="E1515" s="4" t="str">
        <f>IFERROR(__xludf.DUMMYFUNCTION("""COMPUTED_VALUE"""),"Sin precio neto G.C.")</f>
        <v>Sin precio neto G.C.</v>
      </c>
    </row>
    <row r="1516">
      <c r="A1516" s="4" t="str">
        <f>IFERROR(__xludf.DUMMYFUNCTION("""COMPUTED_VALUE"""),"3033")</f>
        <v>3033</v>
      </c>
      <c r="B1516" s="4" t="str">
        <f>IFERROR(__xludf.DUMMYFUNCTION("""COMPUTED_VALUE"""),"Cono c/tapa para Guardacuerpos")</f>
        <v>Cono c/tapa para Guardacuerpos</v>
      </c>
      <c r="C1516" s="4">
        <f>IFERROR(__xludf.DUMMYFUNCTION("""COMPUTED_VALUE"""),0.13)</f>
        <v>0.13</v>
      </c>
      <c r="D1516" s="4">
        <f>IFERROR(__xludf.DUMMYFUNCTION("""COMPUTED_VALUE"""),0.11)</f>
        <v>0.11</v>
      </c>
      <c r="E1516" s="4" t="str">
        <f>IFERROR(__xludf.DUMMYFUNCTION("""COMPUTED_VALUE"""),"Neto G.C.: 0,11 € (a partir de 200 uds.)")</f>
        <v>Neto G.C.: 0,11 € (a partir de 200 uds.)</v>
      </c>
    </row>
    <row r="1517">
      <c r="A1517" s="4" t="str">
        <f>IFERROR(__xludf.DUMMYFUNCTION("""COMPUTED_VALUE"""),"3034")</f>
        <v>3034</v>
      </c>
      <c r="B1517" s="4" t="str">
        <f>IFERROR(__xludf.DUMMYFUNCTION("""COMPUTED_VALUE"""),"Base guardacuerpos cuadr.35x40 (150 und)")</f>
        <v>Base guardacuerpos cuadr.35x40 (150 und)</v>
      </c>
      <c r="C1517" s="4">
        <f>IFERROR(__xludf.DUMMYFUNCTION("""COMPUTED_VALUE"""),33.35)</f>
        <v>33.35</v>
      </c>
      <c r="D1517" s="4"/>
      <c r="E1517" s="4" t="str">
        <f>IFERROR(__xludf.DUMMYFUNCTION("""COMPUTED_VALUE"""),"Sin precio neto G.C.")</f>
        <v>Sin precio neto G.C.</v>
      </c>
    </row>
    <row r="1518">
      <c r="A1518" s="4" t="str">
        <f>IFERROR(__xludf.DUMMYFUNCTION("""COMPUTED_VALUE"""),"3035")</f>
        <v>3035</v>
      </c>
      <c r="B1518" s="4" t="str">
        <f>IFERROR(__xludf.DUMMYFUNCTION("""COMPUTED_VALUE"""),"Separador CONDOR 30 m/m (1000 Unid)")</f>
        <v>Separador CONDOR 30 m/m (1000 Unid)</v>
      </c>
      <c r="C1518" s="4">
        <f>IFERROR(__xludf.DUMMYFUNCTION("""COMPUTED_VALUE"""),37.25)</f>
        <v>37.25</v>
      </c>
      <c r="D1518" s="4"/>
      <c r="E1518" s="4" t="str">
        <f>IFERROR(__xludf.DUMMYFUNCTION("""COMPUTED_VALUE"""),"Sin precio neto G.C.")</f>
        <v>Sin precio neto G.C.</v>
      </c>
    </row>
    <row r="1519">
      <c r="A1519" s="4" t="str">
        <f>IFERROR(__xludf.DUMMYFUNCTION("""COMPUTED_VALUE"""),"3036")</f>
        <v>3036</v>
      </c>
      <c r="B1519" s="4" t="str">
        <f>IFERROR(__xludf.DUMMYFUNCTION("""COMPUTED_VALUE"""),"Base horca-pescante 60x40 ( 114 unid)")</f>
        <v>Base horca-pescante 60x40 ( 114 unid)</v>
      </c>
      <c r="C1519" s="4">
        <f>IFERROR(__xludf.DUMMYFUNCTION("""COMPUTED_VALUE"""),119.85)</f>
        <v>119.85</v>
      </c>
      <c r="D1519" s="4"/>
      <c r="E1519" s="4" t="str">
        <f>IFERROR(__xludf.DUMMYFUNCTION("""COMPUTED_VALUE"""),"Sin precio neto G.C.")</f>
        <v>Sin precio neto G.C.</v>
      </c>
    </row>
    <row r="1520">
      <c r="A1520" s="4" t="str">
        <f>IFERROR(__xludf.DUMMYFUNCTION("""COMPUTED_VALUE"""),"3037")</f>
        <v>3037</v>
      </c>
      <c r="B1520" s="4" t="str">
        <f>IFERROR(__xludf.DUMMYFUNCTION("""COMPUTED_VALUE"""),"Base horca-pescante 60x60 ( 45 unid)")</f>
        <v>Base horca-pescante 60x60 ( 45 unid)</v>
      </c>
      <c r="C1520" s="4">
        <f>IFERROR(__xludf.DUMMYFUNCTION("""COMPUTED_VALUE"""),44.0)</f>
        <v>44</v>
      </c>
      <c r="D1520" s="4">
        <f>IFERROR(__xludf.DUMMYFUNCTION("""COMPUTED_VALUE"""),36.0)</f>
        <v>36</v>
      </c>
      <c r="E1520" s="4" t="str">
        <f>IFERROR(__xludf.DUMMYFUNCTION("""COMPUTED_VALUE"""),"Neto G.C.: 36,00 € (a partir de 1 uds.)")</f>
        <v>Neto G.C.: 36,00 € (a partir de 1 uds.)</v>
      </c>
    </row>
    <row r="1521">
      <c r="A1521" s="4" t="str">
        <f>IFERROR(__xludf.DUMMYFUNCTION("""COMPUTED_VALUE"""),"3038")</f>
        <v>3038</v>
      </c>
      <c r="B1521" s="4" t="str">
        <f>IFERROR(__xludf.DUMMYFUNCTION("""COMPUTED_VALUE"""),"Separador CONDOR 50 m/m (500 Unid )")</f>
        <v>Separador CONDOR 50 m/m (500 Unid )</v>
      </c>
      <c r="C1521" s="4">
        <f>IFERROR(__xludf.DUMMYFUNCTION("""COMPUTED_VALUE"""),39.375)</f>
        <v>39.375</v>
      </c>
      <c r="D1521" s="4"/>
      <c r="E1521" s="4" t="str">
        <f>IFERROR(__xludf.DUMMYFUNCTION("""COMPUTED_VALUE"""),"Sin precio neto G.C.")</f>
        <v>Sin precio neto G.C.</v>
      </c>
    </row>
    <row r="1522">
      <c r="A1522" s="4" t="str">
        <f>IFERROR(__xludf.DUMMYFUNCTION("""COMPUTED_VALUE"""),"3039")</f>
        <v>3039</v>
      </c>
      <c r="B1522" s="4" t="str">
        <f>IFERROR(__xludf.DUMMYFUNCTION("""COMPUTED_VALUE"""),"Seta protectora Varilla 12-20")</f>
        <v>Seta protectora Varilla 12-20</v>
      </c>
      <c r="C1522" s="4">
        <f>IFERROR(__xludf.DUMMYFUNCTION("""COMPUTED_VALUE"""),0.07)</f>
        <v>0.07</v>
      </c>
      <c r="D1522" s="4">
        <f>IFERROR(__xludf.DUMMYFUNCTION("""COMPUTED_VALUE"""),0.06)</f>
        <v>0.06</v>
      </c>
      <c r="E1522" s="4" t="str">
        <f>IFERROR(__xludf.DUMMYFUNCTION("""COMPUTED_VALUE"""),"Neto G.C.: 0,06 € (a partir de 100 uds.)")</f>
        <v>Neto G.C.: 0,06 € (a partir de 100 uds.)</v>
      </c>
    </row>
    <row r="1523">
      <c r="A1523" s="4" t="str">
        <f>IFERROR(__xludf.DUMMYFUNCTION("""COMPUTED_VALUE"""),"3041")</f>
        <v>3041</v>
      </c>
      <c r="B1523" s="4" t="str">
        <f>IFERROR(__xludf.DUMMYFUNCTION("""COMPUTED_VALUE"""),"Seta protect. cuadrada 35x40 ( 100 unid )")</f>
        <v>Seta protect. cuadrada 35x40 ( 100 unid )</v>
      </c>
      <c r="C1523" s="4">
        <f>IFERROR(__xludf.DUMMYFUNCTION("""COMPUTED_VALUE"""),12.8)</f>
        <v>12.8</v>
      </c>
      <c r="D1523" s="4"/>
      <c r="E1523" s="4" t="str">
        <f>IFERROR(__xludf.DUMMYFUNCTION("""COMPUTED_VALUE"""),"Sin precio neto G.C.")</f>
        <v>Sin precio neto G.C.</v>
      </c>
    </row>
    <row r="1524">
      <c r="A1524" s="4" t="str">
        <f>IFERROR(__xludf.DUMMYFUNCTION("""COMPUTED_VALUE"""),"3042")</f>
        <v>3042</v>
      </c>
      <c r="B1524" s="4" t="str">
        <f>IFERROR(__xludf.DUMMYFUNCTION("""COMPUTED_VALUE"""),"Setón protector varilla 24-40 ( 200 unid )")</f>
        <v>Setón protector varilla 24-40 ( 200 unid )</v>
      </c>
      <c r="C1524" s="4">
        <f>IFERROR(__xludf.DUMMYFUNCTION("""COMPUTED_VALUE"""),33.5)</f>
        <v>33.5</v>
      </c>
      <c r="D1524" s="4">
        <f>IFERROR(__xludf.DUMMYFUNCTION("""COMPUTED_VALUE"""),32.0)</f>
        <v>32</v>
      </c>
      <c r="E1524" s="4" t="str">
        <f>IFERROR(__xludf.DUMMYFUNCTION("""COMPUTED_VALUE"""),"Neto G.C.: 32,00 € (a partir de 1 uds.)")</f>
        <v>Neto G.C.: 32,00 € (a partir de 1 uds.)</v>
      </c>
    </row>
    <row r="1525">
      <c r="A1525" s="4" t="str">
        <f>IFERROR(__xludf.DUMMYFUNCTION("""COMPUTED_VALUE"""),"3043")</f>
        <v>3043</v>
      </c>
      <c r="B1525" s="4" t="str">
        <f>IFERROR(__xludf.DUMMYFUNCTION("""COMPUTED_VALUE"""),"Seta protectora c/ refuerzo interior (100 unid)")</f>
        <v>Seta protectora c/ refuerzo interior (100 unid)</v>
      </c>
      <c r="C1525" s="4">
        <f>IFERROR(__xludf.DUMMYFUNCTION("""COMPUTED_VALUE"""),19.95)</f>
        <v>19.95</v>
      </c>
      <c r="D1525" s="4"/>
      <c r="E1525" s="4" t="str">
        <f>IFERROR(__xludf.DUMMYFUNCTION("""COMPUTED_VALUE"""),"Sin precio neto G.C.")</f>
        <v>Sin precio neto G.C.</v>
      </c>
    </row>
    <row r="1526">
      <c r="A1526" s="4" t="str">
        <f>IFERROR(__xludf.DUMMYFUNCTION("""COMPUTED_VALUE"""),"3100")</f>
        <v>3100</v>
      </c>
      <c r="B1526" s="4" t="str">
        <f>IFERROR(__xludf.DUMMYFUNCTION("""COMPUTED_VALUE"""),"Junta de dilatación 4 cm M.Lineal")</f>
        <v>Junta de dilatación 4 cm M.Lineal</v>
      </c>
      <c r="C1526" s="4">
        <f>IFERROR(__xludf.DUMMYFUNCTION("""COMPUTED_VALUE"""),0.88)</f>
        <v>0.88</v>
      </c>
      <c r="D1526" s="4"/>
      <c r="E1526" s="4" t="str">
        <f>IFERROR(__xludf.DUMMYFUNCTION("""COMPUTED_VALUE"""),"Sin precio neto G.C.")</f>
        <v>Sin precio neto G.C.</v>
      </c>
    </row>
    <row r="1527">
      <c r="A1527" s="4" t="str">
        <f>IFERROR(__xludf.DUMMYFUNCTION("""COMPUTED_VALUE"""),"3101")</f>
        <v>3101</v>
      </c>
      <c r="B1527" s="4" t="str">
        <f>IFERROR(__xludf.DUMMYFUNCTION("""COMPUTED_VALUE"""),"Junta de dilatación 8 cm M.Lineal")</f>
        <v>Junta de dilatación 8 cm M.Lineal</v>
      </c>
      <c r="C1527" s="4">
        <f>IFERROR(__xludf.DUMMYFUNCTION("""COMPUTED_VALUE"""),1.2)</f>
        <v>1.2</v>
      </c>
      <c r="D1527" s="4"/>
      <c r="E1527" s="4" t="str">
        <f>IFERROR(__xludf.DUMMYFUNCTION("""COMPUTED_VALUE"""),"Sin precio neto G.C.")</f>
        <v>Sin precio neto G.C.</v>
      </c>
    </row>
    <row r="1528">
      <c r="A1528" s="4" t="str">
        <f>IFERROR(__xludf.DUMMYFUNCTION("""COMPUTED_VALUE"""),"3102")</f>
        <v>3102</v>
      </c>
      <c r="B1528" s="4" t="str">
        <f>IFERROR(__xludf.DUMMYFUNCTION("""COMPUTED_VALUE"""),"Conexión para cadena y cinta poste ref 1136")</f>
        <v>Conexión para cadena y cinta poste ref 1136</v>
      </c>
      <c r="C1528" s="4">
        <f>IFERROR(__xludf.DUMMYFUNCTION("""COMPUTED_VALUE"""),1.4)</f>
        <v>1.4</v>
      </c>
      <c r="D1528" s="4"/>
      <c r="E1528" s="4" t="str">
        <f>IFERROR(__xludf.DUMMYFUNCTION("""COMPUTED_VALUE"""),"Sin precio neto G.C.")</f>
        <v>Sin precio neto G.C.</v>
      </c>
    </row>
    <row r="1529">
      <c r="A1529" s="4" t="str">
        <f>IFERROR(__xludf.DUMMYFUNCTION("""COMPUTED_VALUE"""),"3103")</f>
        <v>3103</v>
      </c>
      <c r="B1529" s="4" t="str">
        <f>IFERROR(__xludf.DUMMYFUNCTION("""COMPUTED_VALUE"""),"Conexion para hito 0588 a señales TPU")</f>
        <v>Conexion para hito 0588 a señales TPU</v>
      </c>
      <c r="C1529" s="4">
        <f>IFERROR(__xludf.DUMMYFUNCTION("""COMPUTED_VALUE"""),3.0)</f>
        <v>3</v>
      </c>
      <c r="D1529" s="4"/>
      <c r="E1529" s="4" t="str">
        <f>IFERROR(__xludf.DUMMYFUNCTION("""COMPUTED_VALUE"""),"Sin precio neto G.C.")</f>
        <v>Sin precio neto G.C.</v>
      </c>
    </row>
    <row r="1530">
      <c r="A1530" s="4" t="str">
        <f>IFERROR(__xludf.DUMMYFUNCTION("""COMPUTED_VALUE"""),"3105")</f>
        <v>3105</v>
      </c>
      <c r="B1530" s="4" t="str">
        <f>IFERROR(__xludf.DUMMYFUNCTION("""COMPUTED_VALUE"""),"Tornillo y taco para reductor velocidad")</f>
        <v>Tornillo y taco para reductor velocidad</v>
      </c>
      <c r="C1530" s="4">
        <f>IFERROR(__xludf.DUMMYFUNCTION("""COMPUTED_VALUE"""),0.47)</f>
        <v>0.47</v>
      </c>
      <c r="D1530" s="4"/>
      <c r="E1530" s="4" t="str">
        <f>IFERROR(__xludf.DUMMYFUNCTION("""COMPUTED_VALUE"""),"Sin precio neto G.C.")</f>
        <v>Sin precio neto G.C.</v>
      </c>
    </row>
    <row r="1531">
      <c r="A1531" s="4" t="str">
        <f>IFERROR(__xludf.DUMMYFUNCTION("""COMPUTED_VALUE"""),"3112")</f>
        <v>3112</v>
      </c>
      <c r="B1531" s="4" t="str">
        <f>IFERROR(__xludf.DUMMYFUNCTION("""COMPUTED_VALUE"""),"Conexión para conos")</f>
        <v>Conexión para conos</v>
      </c>
      <c r="C1531" s="4">
        <f>IFERROR(__xludf.DUMMYFUNCTION("""COMPUTED_VALUE"""),6.0)</f>
        <v>6</v>
      </c>
      <c r="D1531" s="4"/>
      <c r="E1531" s="4" t="str">
        <f>IFERROR(__xludf.DUMMYFUNCTION("""COMPUTED_VALUE"""),"Sin precio neto G.C.")</f>
        <v>Sin precio neto G.C.</v>
      </c>
    </row>
    <row r="1532">
      <c r="A1532" s="4" t="str">
        <f>IFERROR(__xludf.DUMMYFUNCTION("""COMPUTED_VALUE"""),"3250")</f>
        <v>3250</v>
      </c>
      <c r="B1532" s="4" t="str">
        <f>IFERROR(__xludf.DUMMYFUNCTION("""COMPUTED_VALUE"""),"Mts. Guardavivo yeso")</f>
        <v>Mts. Guardavivo yeso</v>
      </c>
      <c r="C1532" s="4">
        <f>IFERROR(__xludf.DUMMYFUNCTION("""COMPUTED_VALUE"""),0.41)</f>
        <v>0.41</v>
      </c>
      <c r="D1532" s="4"/>
      <c r="E1532" s="4" t="str">
        <f>IFERROR(__xludf.DUMMYFUNCTION("""COMPUTED_VALUE"""),"Sin precio neto G.C.")</f>
        <v>Sin precio neto G.C.</v>
      </c>
    </row>
    <row r="1533">
      <c r="A1533" s="4" t="str">
        <f>IFERROR(__xludf.DUMMYFUNCTION("""COMPUTED_VALUE"""),"3251")</f>
        <v>3251</v>
      </c>
      <c r="B1533" s="4" t="str">
        <f>IFERROR(__xludf.DUMMYFUNCTION("""COMPUTED_VALUE"""),"Mts. Guardacantos c/blanco")</f>
        <v>Mts. Guardacantos c/blanco</v>
      </c>
      <c r="C1533" s="4">
        <f>IFERROR(__xludf.DUMMYFUNCTION("""COMPUTED_VALUE"""),0.43)</f>
        <v>0.43</v>
      </c>
      <c r="D1533" s="4"/>
      <c r="E1533" s="4" t="str">
        <f>IFERROR(__xludf.DUMMYFUNCTION("""COMPUTED_VALUE"""),"Sin precio neto G.C.")</f>
        <v>Sin precio neto G.C.</v>
      </c>
    </row>
    <row r="1534">
      <c r="A1534" s="4" t="str">
        <f>IFERROR(__xludf.DUMMYFUNCTION("""COMPUTED_VALUE"""),"3252")</f>
        <v>3252</v>
      </c>
      <c r="B1534" s="4" t="str">
        <f>IFERROR(__xludf.DUMMYFUNCTION("""COMPUTED_VALUE"""),"Mts. Guardacantos c/ marfil")</f>
        <v>Mts. Guardacantos c/ marfil</v>
      </c>
      <c r="C1534" s="4">
        <f>IFERROR(__xludf.DUMMYFUNCTION("""COMPUTED_VALUE"""),0.43)</f>
        <v>0.43</v>
      </c>
      <c r="D1534" s="4"/>
      <c r="E1534" s="4" t="str">
        <f>IFERROR(__xludf.DUMMYFUNCTION("""COMPUTED_VALUE"""),"Sin precio neto G.C.")</f>
        <v>Sin precio neto G.C.</v>
      </c>
    </row>
    <row r="1535">
      <c r="A1535" s="4" t="str">
        <f>IFERROR(__xludf.DUMMYFUNCTION("""COMPUTED_VALUE"""),"3253")</f>
        <v>3253</v>
      </c>
      <c r="B1535" s="4" t="str">
        <f>IFERROR(__xludf.DUMMYFUNCTION("""COMPUTED_VALUE"""),"Mts. Guardacantos c/gris")</f>
        <v>Mts. Guardacantos c/gris</v>
      </c>
      <c r="C1535" s="4">
        <f>IFERROR(__xludf.DUMMYFUNCTION("""COMPUTED_VALUE"""),0.43)</f>
        <v>0.43</v>
      </c>
      <c r="D1535" s="4"/>
      <c r="E1535" s="4" t="str">
        <f>IFERROR(__xludf.DUMMYFUNCTION("""COMPUTED_VALUE"""),"Sin precio neto G.C.")</f>
        <v>Sin precio neto G.C.</v>
      </c>
    </row>
    <row r="1536">
      <c r="A1536" s="4" t="str">
        <f>IFERROR(__xludf.DUMMYFUNCTION("""COMPUTED_VALUE"""),"3254")</f>
        <v>3254</v>
      </c>
      <c r="B1536" s="4" t="str">
        <f>IFERROR(__xludf.DUMMYFUNCTION("""COMPUTED_VALUE"""),"Mts. Junquillo PVC para monocapa")</f>
        <v>Mts. Junquillo PVC para monocapa</v>
      </c>
      <c r="C1536" s="4">
        <f>IFERROR(__xludf.DUMMYFUNCTION("""COMPUTED_VALUE"""),0.33)</f>
        <v>0.33</v>
      </c>
      <c r="D1536" s="4"/>
      <c r="E1536" s="4" t="str">
        <f>IFERROR(__xludf.DUMMYFUNCTION("""COMPUTED_VALUE"""),"Sin precio neto G.C.")</f>
        <v>Sin precio neto G.C.</v>
      </c>
    </row>
    <row r="1537">
      <c r="A1537" s="4" t="str">
        <f>IFERROR(__xludf.DUMMYFUNCTION("""COMPUTED_VALUE"""),"3256")</f>
        <v>3256</v>
      </c>
      <c r="B1537" s="4" t="str">
        <f>IFERROR(__xludf.DUMMYFUNCTION("""COMPUTED_VALUE"""),"Mts. Guardavivo monocapa punta fina")</f>
        <v>Mts. Guardavivo monocapa punta fina</v>
      </c>
      <c r="C1537" s="4">
        <f>IFERROR(__xludf.DUMMYFUNCTION("""COMPUTED_VALUE"""),0.38)</f>
        <v>0.38</v>
      </c>
      <c r="D1537" s="4"/>
      <c r="E1537" s="4" t="str">
        <f>IFERROR(__xludf.DUMMYFUNCTION("""COMPUTED_VALUE"""),"Sin precio neto G.C.")</f>
        <v>Sin precio neto G.C.</v>
      </c>
    </row>
    <row r="1538">
      <c r="A1538" s="4" t="str">
        <f>IFERROR(__xludf.DUMMYFUNCTION("""COMPUTED_VALUE"""),"3300")</f>
        <v>3300</v>
      </c>
      <c r="B1538" s="4" t="str">
        <f>IFERROR(__xludf.DUMMYFUNCTION("""COMPUTED_VALUE"""),"Mt.Tubo encofrado 22/26- ( En 3 mts)")</f>
        <v>Mt.Tubo encofrado 22/26- ( En 3 mts)</v>
      </c>
      <c r="C1538" s="4">
        <f>IFERROR(__xludf.DUMMYFUNCTION("""COMPUTED_VALUE"""),0.45)</f>
        <v>0.45</v>
      </c>
      <c r="D1538" s="4">
        <f>IFERROR(__xludf.DUMMYFUNCTION("""COMPUTED_VALUE"""),0.39)</f>
        <v>0.39</v>
      </c>
      <c r="E1538" s="4" t="str">
        <f>IFERROR(__xludf.DUMMYFUNCTION("""COMPUTED_VALUE"""),"Neto G.C.: 0,39 € (a partir de 75 uds.)")</f>
        <v>Neto G.C.: 0,39 € (a partir de 75 uds.)</v>
      </c>
    </row>
    <row r="1539">
      <c r="A1539" s="4" t="str">
        <f>IFERROR(__xludf.DUMMYFUNCTION("""COMPUTED_VALUE"""),"3301")</f>
        <v>3301</v>
      </c>
      <c r="B1539" s="4" t="str">
        <f>IFERROR(__xludf.DUMMYFUNCTION("""COMPUTED_VALUE"""),"Mt.Tubo encofrado 22/26 -( En 2 mts)")</f>
        <v>Mt.Tubo encofrado 22/26 -( En 2 mts)</v>
      </c>
      <c r="C1539" s="4">
        <f>IFERROR(__xludf.DUMMYFUNCTION("""COMPUTED_VALUE"""),0.45)</f>
        <v>0.45</v>
      </c>
      <c r="D1539" s="4">
        <f>IFERROR(__xludf.DUMMYFUNCTION("""COMPUTED_VALUE"""),0.39)</f>
        <v>0.39</v>
      </c>
      <c r="E1539" s="4" t="str">
        <f>IFERROR(__xludf.DUMMYFUNCTION("""COMPUTED_VALUE"""),"Neto G.C.: 0,39 € (a partir de 50 uds.)")</f>
        <v>Neto G.C.: 0,39 € (a partir de 50 uds.)</v>
      </c>
    </row>
    <row r="1540">
      <c r="A1540" s="4" t="str">
        <f>IFERROR(__xludf.DUMMYFUNCTION("""COMPUTED_VALUE"""),"3302")</f>
        <v>3302</v>
      </c>
      <c r="B1540" s="4" t="str">
        <f>IFERROR(__xludf.DUMMYFUNCTION("""COMPUTED_VALUE"""),"Mt Tubo encofrado 26/30- ( En 2 mts)")</f>
        <v>Mt Tubo encofrado 26/30- ( En 2 mts)</v>
      </c>
      <c r="C1540" s="4">
        <f>IFERROR(__xludf.DUMMYFUNCTION("""COMPUTED_VALUE"""),0.55)</f>
        <v>0.55</v>
      </c>
      <c r="D1540" s="4">
        <f>IFERROR(__xludf.DUMMYFUNCTION("""COMPUTED_VALUE"""),0.49)</f>
        <v>0.49</v>
      </c>
      <c r="E1540" s="4" t="str">
        <f>IFERROR(__xludf.DUMMYFUNCTION("""COMPUTED_VALUE"""),"Neto G.C.: 0,49 € (a partir de 40 uds.)")</f>
        <v>Neto G.C.: 0,49 € (a partir de 40 uds.)</v>
      </c>
    </row>
    <row r="1541">
      <c r="A1541" s="4" t="str">
        <f>IFERROR(__xludf.DUMMYFUNCTION("""COMPUTED_VALUE"""),"3303")</f>
        <v>3303</v>
      </c>
      <c r="B1541" s="4" t="str">
        <f>IFERROR(__xludf.DUMMYFUNCTION("""COMPUTED_VALUE"""),"Mts. Berengeno Pequeño 27,2mm Base x 20mm Alt.")</f>
        <v>Mts. Berengeno Pequeño 27,2mm Base x 20mm Alt.</v>
      </c>
      <c r="C1541" s="4">
        <f>IFERROR(__xludf.DUMMYFUNCTION("""COMPUTED_VALUE"""),0.41)</f>
        <v>0.41</v>
      </c>
      <c r="D1541" s="4">
        <f>IFERROR(__xludf.DUMMYFUNCTION("""COMPUTED_VALUE"""),0.38)</f>
        <v>0.38</v>
      </c>
      <c r="E1541" s="4" t="str">
        <f>IFERROR(__xludf.DUMMYFUNCTION("""COMPUTED_VALUE"""),"Neto G.C.: 0,38 € (a partir de 125 uds.)")</f>
        <v>Neto G.C.: 0,38 € (a partir de 125 uds.)</v>
      </c>
    </row>
    <row r="1542">
      <c r="A1542" s="4" t="str">
        <f>IFERROR(__xludf.DUMMYFUNCTION("""COMPUTED_VALUE"""),"3304")</f>
        <v>3304</v>
      </c>
      <c r="B1542" s="4" t="str">
        <f>IFERROR(__xludf.DUMMYFUNCTION("""COMPUTED_VALUE"""),"Mts. Berengeno Mediano 34mm Base x 25mm Alt.")</f>
        <v>Mts. Berengeno Mediano 34mm Base x 25mm Alt.</v>
      </c>
      <c r="C1542" s="4">
        <f>IFERROR(__xludf.DUMMYFUNCTION("""COMPUTED_VALUE"""),0.53)</f>
        <v>0.53</v>
      </c>
      <c r="D1542" s="4">
        <f>IFERROR(__xludf.DUMMYFUNCTION("""COMPUTED_VALUE"""),0.42)</f>
        <v>0.42</v>
      </c>
      <c r="E1542" s="4" t="str">
        <f>IFERROR(__xludf.DUMMYFUNCTION("""COMPUTED_VALUE"""),"Neto G.C.: 0,42 € (a partir de 125 uds.)")</f>
        <v>Neto G.C.: 0,42 € (a partir de 125 uds.)</v>
      </c>
    </row>
    <row r="1543">
      <c r="A1543" s="4" t="str">
        <f>IFERROR(__xludf.DUMMYFUNCTION("""COMPUTED_VALUE"""),"3305")</f>
        <v>3305</v>
      </c>
      <c r="B1543" s="4" t="str">
        <f>IFERROR(__xludf.DUMMYFUNCTION("""COMPUTED_VALUE"""),"Mts. Berengeno Grande 41mm Base x 30mm Alt,")</f>
        <v>Mts. Berengeno Grande 41mm Base x 30mm Alt,</v>
      </c>
      <c r="C1543" s="4">
        <f>IFERROR(__xludf.DUMMYFUNCTION("""COMPUTED_VALUE"""),0.59)</f>
        <v>0.59</v>
      </c>
      <c r="D1543" s="4">
        <f>IFERROR(__xludf.DUMMYFUNCTION("""COMPUTED_VALUE"""),0.52)</f>
        <v>0.52</v>
      </c>
      <c r="E1543" s="4" t="str">
        <f>IFERROR(__xludf.DUMMYFUNCTION("""COMPUTED_VALUE"""),"Neto G.C.: 0,52 € (a partir de 125 uds.)")</f>
        <v>Neto G.C.: 0,52 € (a partir de 125 uds.)</v>
      </c>
    </row>
    <row r="1544">
      <c r="A1544" s="4" t="str">
        <f>IFERROR(__xludf.DUMMYFUNCTION("""COMPUTED_VALUE"""),"3306")</f>
        <v>3306</v>
      </c>
      <c r="B1544" s="4" t="str">
        <f>IFERROR(__xludf.DUMMYFUNCTION("""COMPUTED_VALUE"""),"Tubo ETUBAX 20 cm")</f>
        <v>Tubo ETUBAX 20 cm</v>
      </c>
      <c r="C1544" s="4">
        <f>IFERROR(__xludf.DUMMYFUNCTION("""COMPUTED_VALUE"""),0.29)</f>
        <v>0.29</v>
      </c>
      <c r="D1544" s="4">
        <f>IFERROR(__xludf.DUMMYFUNCTION("""COMPUTED_VALUE"""),0.24)</f>
        <v>0.24</v>
      </c>
      <c r="E1544" s="4" t="str">
        <f>IFERROR(__xludf.DUMMYFUNCTION("""COMPUTED_VALUE"""),"Neto G.C.: 0,24 € (a partir de 50 uds.)")</f>
        <v>Neto G.C.: 0,24 € (a partir de 50 uds.)</v>
      </c>
    </row>
    <row r="1545">
      <c r="A1545" s="4" t="str">
        <f>IFERROR(__xludf.DUMMYFUNCTION("""COMPUTED_VALUE"""),"3307")</f>
        <v>3307</v>
      </c>
      <c r="B1545" s="4" t="str">
        <f>IFERROR(__xludf.DUMMYFUNCTION("""COMPUTED_VALUE"""),"Tubo ETUBAX 25 cm")</f>
        <v>Tubo ETUBAX 25 cm</v>
      </c>
      <c r="C1545" s="4">
        <f>IFERROR(__xludf.DUMMYFUNCTION("""COMPUTED_VALUE"""),0.31)</f>
        <v>0.31</v>
      </c>
      <c r="D1545" s="4">
        <f>IFERROR(__xludf.DUMMYFUNCTION("""COMPUTED_VALUE"""),0.26)</f>
        <v>0.26</v>
      </c>
      <c r="E1545" s="4" t="str">
        <f>IFERROR(__xludf.DUMMYFUNCTION("""COMPUTED_VALUE"""),"Neto G.C.: 0,26 € (a partir de 50 uds.)")</f>
        <v>Neto G.C.: 0,26 € (a partir de 50 uds.)</v>
      </c>
    </row>
    <row r="1546">
      <c r="A1546" s="4" t="str">
        <f>IFERROR(__xludf.DUMMYFUNCTION("""COMPUTED_VALUE"""),"3308")</f>
        <v>3308</v>
      </c>
      <c r="B1546" s="4" t="str">
        <f>IFERROR(__xludf.DUMMYFUNCTION("""COMPUTED_VALUE"""),"Tubo ETUBAX 30 cm")</f>
        <v>Tubo ETUBAX 30 cm</v>
      </c>
      <c r="C1546" s="4">
        <f>IFERROR(__xludf.DUMMYFUNCTION("""COMPUTED_VALUE"""),0.38)</f>
        <v>0.38</v>
      </c>
      <c r="D1546" s="4">
        <f>IFERROR(__xludf.DUMMYFUNCTION("""COMPUTED_VALUE"""),0.28)</f>
        <v>0.28</v>
      </c>
      <c r="E1546" s="4" t="str">
        <f>IFERROR(__xludf.DUMMYFUNCTION("""COMPUTED_VALUE"""),"Neto G.C.: 0,28 € (a partir de 50 uds.)")</f>
        <v>Neto G.C.: 0,28 € (a partir de 50 uds.)</v>
      </c>
    </row>
    <row r="1547">
      <c r="A1547" s="4" t="str">
        <f>IFERROR(__xludf.DUMMYFUNCTION("""COMPUTED_VALUE"""),"3309")</f>
        <v>3309</v>
      </c>
      <c r="B1547" s="4" t="str">
        <f>IFERROR(__xludf.DUMMYFUNCTION("""COMPUTED_VALUE"""),"Tubo ETUBAX 35 cm")</f>
        <v>Tubo ETUBAX 35 cm</v>
      </c>
      <c r="C1547" s="4">
        <f>IFERROR(__xludf.DUMMYFUNCTION("""COMPUTED_VALUE"""),0.38)</f>
        <v>0.38</v>
      </c>
      <c r="D1547" s="4">
        <f>IFERROR(__xludf.DUMMYFUNCTION("""COMPUTED_VALUE"""),0.32)</f>
        <v>0.32</v>
      </c>
      <c r="E1547" s="4" t="str">
        <f>IFERROR(__xludf.DUMMYFUNCTION("""COMPUTED_VALUE"""),"Neto G.C.: 0,32 € (a partir de 50 uds.)")</f>
        <v>Neto G.C.: 0,32 € (a partir de 50 uds.)</v>
      </c>
    </row>
    <row r="1548">
      <c r="A1548" s="4" t="str">
        <f>IFERROR(__xludf.DUMMYFUNCTION("""COMPUTED_VALUE"""),"3310")</f>
        <v>3310</v>
      </c>
      <c r="B1548" s="4" t="str">
        <f>IFERROR(__xludf.DUMMYFUNCTION("""COMPUTED_VALUE"""),"Tubo ETUBAX 40 cm")</f>
        <v>Tubo ETUBAX 40 cm</v>
      </c>
      <c r="C1548" s="4">
        <f>IFERROR(__xludf.DUMMYFUNCTION("""COMPUTED_VALUE"""),0.46)</f>
        <v>0.46</v>
      </c>
      <c r="D1548" s="4">
        <f>IFERROR(__xludf.DUMMYFUNCTION("""COMPUTED_VALUE"""),0.39)</f>
        <v>0.39</v>
      </c>
      <c r="E1548" s="4" t="str">
        <f>IFERROR(__xludf.DUMMYFUNCTION("""COMPUTED_VALUE"""),"Neto G.C.: 0,39 € (a partir de 50 uds.)")</f>
        <v>Neto G.C.: 0,39 € (a partir de 50 uds.)</v>
      </c>
    </row>
    <row r="1549">
      <c r="A1549" s="4" t="str">
        <f>IFERROR(__xludf.DUMMYFUNCTION("""COMPUTED_VALUE"""),"3315")</f>
        <v>3315</v>
      </c>
      <c r="B1549" s="4" t="str">
        <f>IFERROR(__xludf.DUMMYFUNCTION("""COMPUTED_VALUE"""),"Mts. Berengeno Mini 17,2mm Base x 12,5 mm Alt.")</f>
        <v>Mts. Berengeno Mini 17,2mm Base x 12,5 mm Alt.</v>
      </c>
      <c r="C1549" s="4">
        <f>IFERROR(__xludf.DUMMYFUNCTION("""COMPUTED_VALUE"""),0.33)</f>
        <v>0.33</v>
      </c>
      <c r="D1549" s="4"/>
      <c r="E1549" s="4" t="str">
        <f>IFERROR(__xludf.DUMMYFUNCTION("""COMPUTED_VALUE"""),"Sin precio neto G.C.")</f>
        <v>Sin precio neto G.C.</v>
      </c>
    </row>
    <row r="1550">
      <c r="A1550" s="4" t="str">
        <f>IFERROR(__xludf.DUMMYFUNCTION("""COMPUTED_VALUE"""),"3370")</f>
        <v>3370</v>
      </c>
      <c r="B1550" s="4" t="str">
        <f>IFERROR(__xludf.DUMMYFUNCTION("""COMPUTED_VALUE"""),"Separador rueda 25 m/m (1000 Unid)")</f>
        <v>Separador rueda 25 m/m (1000 Unid)</v>
      </c>
      <c r="C1550" s="4">
        <f>IFERROR(__xludf.DUMMYFUNCTION("""COMPUTED_VALUE"""),27.9)</f>
        <v>27.9</v>
      </c>
      <c r="D1550" s="4">
        <f>IFERROR(__xludf.DUMMYFUNCTION("""COMPUTED_VALUE"""),23.8)</f>
        <v>23.8</v>
      </c>
      <c r="E1550" s="4" t="str">
        <f>IFERROR(__xludf.DUMMYFUNCTION("""COMPUTED_VALUE"""),"Neto G.C.: 23,80 € (a partir de 1 uds.)")</f>
        <v>Neto G.C.: 23,80 € (a partir de 1 uds.)</v>
      </c>
    </row>
    <row r="1551">
      <c r="A1551" s="4" t="str">
        <f>IFERROR(__xludf.DUMMYFUNCTION("""COMPUTED_VALUE"""),"3371")</f>
        <v>3371</v>
      </c>
      <c r="B1551" s="4" t="str">
        <f>IFERROR(__xludf.DUMMYFUNCTION("""COMPUTED_VALUE"""),"Separador rueda 30 m/m (1000 Unid)")</f>
        <v>Separador rueda 30 m/m (1000 Unid)</v>
      </c>
      <c r="C1551" s="4">
        <f>IFERROR(__xludf.DUMMYFUNCTION("""COMPUTED_VALUE"""),29.95)</f>
        <v>29.95</v>
      </c>
      <c r="D1551" s="4">
        <f>IFERROR(__xludf.DUMMYFUNCTION("""COMPUTED_VALUE"""),25.5)</f>
        <v>25.5</v>
      </c>
      <c r="E1551" s="4" t="str">
        <f>IFERROR(__xludf.DUMMYFUNCTION("""COMPUTED_VALUE"""),"Neto G.C.: 25,50 € (a partir de 1 uds.)")</f>
        <v>Neto G.C.: 25,50 € (a partir de 1 uds.)</v>
      </c>
    </row>
    <row r="1552">
      <c r="A1552" s="4" t="str">
        <f>IFERROR(__xludf.DUMMYFUNCTION("""COMPUTED_VALUE"""),"3372")</f>
        <v>3372</v>
      </c>
      <c r="B1552" s="4" t="str">
        <f>IFERROR(__xludf.DUMMYFUNCTION("""COMPUTED_VALUE"""),"Separador rueda 35 m/m (500 Unid)")</f>
        <v>Separador rueda 35 m/m (500 Unid)</v>
      </c>
      <c r="C1552" s="4">
        <f>IFERROR(__xludf.DUMMYFUNCTION("""COMPUTED_VALUE"""),23.5)</f>
        <v>23.5</v>
      </c>
      <c r="D1552" s="4">
        <f>IFERROR(__xludf.DUMMYFUNCTION("""COMPUTED_VALUE"""),22.0)</f>
        <v>22</v>
      </c>
      <c r="E1552" s="4" t="str">
        <f>IFERROR(__xludf.DUMMYFUNCTION("""COMPUTED_VALUE"""),"Neto G.C.: 22,00 € (a partir de 1 uds.)")</f>
        <v>Neto G.C.: 22,00 € (a partir de 1 uds.)</v>
      </c>
    </row>
    <row r="1553">
      <c r="A1553" s="4" t="str">
        <f>IFERROR(__xludf.DUMMYFUNCTION("""COMPUTED_VALUE"""),"3373")</f>
        <v>3373</v>
      </c>
      <c r="B1553" s="4" t="str">
        <f>IFERROR(__xludf.DUMMYFUNCTION("""COMPUTED_VALUE"""),"Separador rueda 40 m/m (500 Unid)")</f>
        <v>Separador rueda 40 m/m (500 Unid)</v>
      </c>
      <c r="C1553" s="4">
        <f>IFERROR(__xludf.DUMMYFUNCTION("""COMPUTED_VALUE"""),29.25)</f>
        <v>29.25</v>
      </c>
      <c r="D1553" s="4">
        <f>IFERROR(__xludf.DUMMYFUNCTION("""COMPUTED_VALUE"""),24.0)</f>
        <v>24</v>
      </c>
      <c r="E1553" s="4" t="str">
        <f>IFERROR(__xludf.DUMMYFUNCTION("""COMPUTED_VALUE"""),"Neto G.C.: 24,00 € (a partir de 1 uds.)")</f>
        <v>Neto G.C.: 24,00 € (a partir de 1 uds.)</v>
      </c>
    </row>
    <row r="1554">
      <c r="A1554" s="4" t="str">
        <f>IFERROR(__xludf.DUMMYFUNCTION("""COMPUTED_VALUE"""),"3374")</f>
        <v>3374</v>
      </c>
      <c r="B1554" s="4" t="str">
        <f>IFERROR(__xludf.DUMMYFUNCTION("""COMPUTED_VALUE"""),"Separador rueda 50 m/m (250 Unid)")</f>
        <v>Separador rueda 50 m/m (250 Unid)</v>
      </c>
      <c r="C1554" s="4">
        <f>IFERROR(__xludf.DUMMYFUNCTION("""COMPUTED_VALUE"""),26.75)</f>
        <v>26.75</v>
      </c>
      <c r="D1554" s="4">
        <f>IFERROR(__xludf.DUMMYFUNCTION("""COMPUTED_VALUE"""),23.5)</f>
        <v>23.5</v>
      </c>
      <c r="E1554" s="4" t="str">
        <f>IFERROR(__xludf.DUMMYFUNCTION("""COMPUTED_VALUE"""),"Neto G.C.: 23,50 € (a partir de 1 uds.)")</f>
        <v>Neto G.C.: 23,50 € (a partir de 1 uds.)</v>
      </c>
    </row>
    <row r="1555">
      <c r="A1555" s="4" t="str">
        <f>IFERROR(__xludf.DUMMYFUNCTION("""COMPUTED_VALUE"""),"3376")</f>
        <v>3376</v>
      </c>
      <c r="B1555" s="4" t="str">
        <f>IFERROR(__xludf.DUMMYFUNCTION("""COMPUTED_VALUE"""),"Separador rueda 70 m/m ( 150 unid )")</f>
        <v>Separador rueda 70 m/m ( 150 unid )</v>
      </c>
      <c r="C1555" s="4">
        <f>IFERROR(__xludf.DUMMYFUNCTION("""COMPUTED_VALUE"""),27.75)</f>
        <v>27.75</v>
      </c>
      <c r="D1555" s="4">
        <f>IFERROR(__xludf.DUMMYFUNCTION("""COMPUTED_VALUE"""),23.0)</f>
        <v>23</v>
      </c>
      <c r="E1555" s="4" t="str">
        <f>IFERROR(__xludf.DUMMYFUNCTION("""COMPUTED_VALUE"""),"Neto G.C.: 23,00 € (a partir de 1 uds.)")</f>
        <v>Neto G.C.: 23,00 € (a partir de 1 uds.)</v>
      </c>
    </row>
    <row r="1556">
      <c r="A1556" s="4" t="str">
        <f>IFERROR(__xludf.DUMMYFUNCTION("""COMPUTED_VALUE"""),"3390")</f>
        <v>3390</v>
      </c>
      <c r="B1556" s="4" t="str">
        <f>IFERROR(__xludf.DUMMYFUNCTION("""COMPUTED_VALUE"""),"Cono standard tubo de 26 mm (1000 unid )")</f>
        <v>Cono standard tubo de 26 mm (1000 unid )</v>
      </c>
      <c r="C1556" s="4">
        <f>IFERROR(__xludf.DUMMYFUNCTION("""COMPUTED_VALUE"""),55.08)</f>
        <v>55.08</v>
      </c>
      <c r="D1556" s="4"/>
      <c r="E1556" s="4" t="str">
        <f>IFERROR(__xludf.DUMMYFUNCTION("""COMPUTED_VALUE"""),"Sin precio neto G.C.")</f>
        <v>Sin precio neto G.C.</v>
      </c>
    </row>
    <row r="1557">
      <c r="A1557" s="4" t="str">
        <f>IFERROR(__xludf.DUMMYFUNCTION("""COMPUTED_VALUE"""),"3391")</f>
        <v>3391</v>
      </c>
      <c r="B1557" s="4" t="str">
        <f>IFERROR(__xludf.DUMMYFUNCTION("""COMPUTED_VALUE"""),"Cono para tubo 22/26 bolsa 1000 uds")</f>
        <v>Cono para tubo 22/26 bolsa 1000 uds</v>
      </c>
      <c r="C1557" s="4">
        <f>IFERROR(__xludf.DUMMYFUNCTION("""COMPUTED_VALUE"""),18.0)</f>
        <v>18</v>
      </c>
      <c r="D1557" s="4">
        <f>IFERROR(__xludf.DUMMYFUNCTION("""COMPUTED_VALUE"""),15.5)</f>
        <v>15.5</v>
      </c>
      <c r="E1557" s="4" t="str">
        <f>IFERROR(__xludf.DUMMYFUNCTION("""COMPUTED_VALUE"""),"Neto G.C.: 15,50 € (a partir de 1 uds.)")</f>
        <v>Neto G.C.: 15,50 € (a partir de 1 uds.)</v>
      </c>
    </row>
    <row r="1558">
      <c r="A1558" s="4" t="str">
        <f>IFERROR(__xludf.DUMMYFUNCTION("""COMPUTED_VALUE"""),"3392")</f>
        <v>3392</v>
      </c>
      <c r="B1558" s="4" t="str">
        <f>IFERROR(__xludf.DUMMYFUNCTION("""COMPUTED_VALUE"""),"Cono liso para tubo 22 mm ( 500 unid )")</f>
        <v>Cono liso para tubo 22 mm ( 500 unid )</v>
      </c>
      <c r="C1558" s="4">
        <f>IFERROR(__xludf.DUMMYFUNCTION("""COMPUTED_VALUE"""),14.15)</f>
        <v>14.15</v>
      </c>
      <c r="D1558" s="4"/>
      <c r="E1558" s="4" t="str">
        <f>IFERROR(__xludf.DUMMYFUNCTION("""COMPUTED_VALUE"""),"Sin precio neto G.C.")</f>
        <v>Sin precio neto G.C.</v>
      </c>
    </row>
    <row r="1559">
      <c r="A1559" s="4" t="str">
        <f>IFERROR(__xludf.DUMMYFUNCTION("""COMPUTED_VALUE"""),"3393")</f>
        <v>3393</v>
      </c>
      <c r="B1559" s="4" t="str">
        <f>IFERROR(__xludf.DUMMYFUNCTION("""COMPUTED_VALUE"""),"Tapón para cono liso (500 und)")</f>
        <v>Tapón para cono liso (500 und)</v>
      </c>
      <c r="C1559" s="4">
        <f>IFERROR(__xludf.DUMMYFUNCTION("""COMPUTED_VALUE"""),10.5)</f>
        <v>10.5</v>
      </c>
      <c r="D1559" s="4"/>
      <c r="E1559" s="4" t="str">
        <f>IFERROR(__xludf.DUMMYFUNCTION("""COMPUTED_VALUE"""),"Sin precio neto G.C.")</f>
        <v>Sin precio neto G.C.</v>
      </c>
    </row>
    <row r="1560">
      <c r="A1560" s="4" t="str">
        <f>IFERROR(__xludf.DUMMYFUNCTION("""COMPUTED_VALUE"""),"3394")</f>
        <v>3394</v>
      </c>
      <c r="B1560" s="4" t="str">
        <f>IFERROR(__xludf.DUMMYFUNCTION("""COMPUTED_VALUE"""),"Tapon estanco 4 aletas tubo 22 (500 unid)")</f>
        <v>Tapon estanco 4 aletas tubo 22 (500 unid)</v>
      </c>
      <c r="C1560" s="4">
        <f>IFERROR(__xludf.DUMMYFUNCTION("""COMPUTED_VALUE"""),17.3)</f>
        <v>17.3</v>
      </c>
      <c r="D1560" s="4">
        <f>IFERROR(__xludf.DUMMYFUNCTION("""COMPUTED_VALUE"""),14.5)</f>
        <v>14.5</v>
      </c>
      <c r="E1560" s="4" t="str">
        <f>IFERROR(__xludf.DUMMYFUNCTION("""COMPUTED_VALUE"""),"Neto G.C.: 14,50 € (a partir de 1 uds.)")</f>
        <v>Neto G.C.: 14,50 € (a partir de 1 uds.)</v>
      </c>
    </row>
    <row r="1561">
      <c r="A1561" s="4" t="str">
        <f>IFERROR(__xludf.DUMMYFUNCTION("""COMPUTED_VALUE"""),"3396")</f>
        <v>3396</v>
      </c>
      <c r="B1561" s="4" t="str">
        <f>IFERROR(__xludf.DUMMYFUNCTION("""COMPUTED_VALUE"""),"Tapón standard tubo 22 m/m (1000 Uni)")</f>
        <v>Tapón standard tubo 22 m/m (1000 Uni)</v>
      </c>
      <c r="C1561" s="4">
        <f>IFERROR(__xludf.DUMMYFUNCTION("""COMPUTED_VALUE"""),14.15)</f>
        <v>14.15</v>
      </c>
      <c r="D1561" s="4">
        <f>IFERROR(__xludf.DUMMYFUNCTION("""COMPUTED_VALUE"""),12.5)</f>
        <v>12.5</v>
      </c>
      <c r="E1561" s="4" t="str">
        <f>IFERROR(__xludf.DUMMYFUNCTION("""COMPUTED_VALUE"""),"Neto G.C.: 12,50 € (a partir de 1 uds.)")</f>
        <v>Neto G.C.: 12,50 € (a partir de 1 uds.)</v>
      </c>
    </row>
    <row r="1562">
      <c r="A1562" s="4" t="str">
        <f>IFERROR(__xludf.DUMMYFUNCTION("""COMPUTED_VALUE"""),"3397")</f>
        <v>3397</v>
      </c>
      <c r="B1562" s="4" t="str">
        <f>IFERROR(__xludf.DUMMYFUNCTION("""COMPUTED_VALUE"""),"Tapón standard tubo 26 m/m 1000 unid)")</f>
        <v>Tapón standard tubo 26 m/m 1000 unid)</v>
      </c>
      <c r="C1562" s="4">
        <f>IFERROR(__xludf.DUMMYFUNCTION("""COMPUTED_VALUE"""),33.6)</f>
        <v>33.6</v>
      </c>
      <c r="D1562" s="4"/>
      <c r="E1562" s="4" t="str">
        <f>IFERROR(__xludf.DUMMYFUNCTION("""COMPUTED_VALUE"""),"Sin precio neto G.C.")</f>
        <v>Sin precio neto G.C.</v>
      </c>
    </row>
    <row r="1563">
      <c r="A1563" s="4" t="str">
        <f>IFERROR(__xludf.DUMMYFUNCTION("""COMPUTED_VALUE"""),"4004")</f>
        <v>4004</v>
      </c>
      <c r="B1563" s="4" t="str">
        <f>IFERROR(__xludf.DUMMYFUNCTION("""COMPUTED_VALUE"""),"Mts. cuerda CERVINO 4 m/m")</f>
        <v>Mts. cuerda CERVINO 4 m/m</v>
      </c>
      <c r="C1563" s="4">
        <f>IFERROR(__xludf.DUMMYFUNCTION("""COMPUTED_VALUE"""),0.14)</f>
        <v>0.14</v>
      </c>
      <c r="D1563" s="4"/>
      <c r="E1563" s="4" t="str">
        <f>IFERROR(__xludf.DUMMYFUNCTION("""COMPUTED_VALUE"""),"Sin precio neto G.C.")</f>
        <v>Sin precio neto G.C.</v>
      </c>
    </row>
    <row r="1564">
      <c r="A1564" s="4" t="str">
        <f>IFERROR(__xludf.DUMMYFUNCTION("""COMPUTED_VALUE"""),"4006")</f>
        <v>4006</v>
      </c>
      <c r="B1564" s="4" t="str">
        <f>IFERROR(__xludf.DUMMYFUNCTION("""COMPUTED_VALUE"""),"Mts. cuerda CERVINO 6 m/m")</f>
        <v>Mts. cuerda CERVINO 6 m/m</v>
      </c>
      <c r="C1564" s="4">
        <f>IFERROR(__xludf.DUMMYFUNCTION("""COMPUTED_VALUE"""),0.19)</f>
        <v>0.19</v>
      </c>
      <c r="D1564" s="4"/>
      <c r="E1564" s="4" t="str">
        <f>IFERROR(__xludf.DUMMYFUNCTION("""COMPUTED_VALUE"""),"Sin precio neto G.C.")</f>
        <v>Sin precio neto G.C.</v>
      </c>
    </row>
    <row r="1565">
      <c r="A1565" s="4" t="str">
        <f>IFERROR(__xludf.DUMMYFUNCTION("""COMPUTED_VALUE"""),"4008")</f>
        <v>4008</v>
      </c>
      <c r="B1565" s="4" t="str">
        <f>IFERROR(__xludf.DUMMYFUNCTION("""COMPUTED_VALUE"""),"Mts. cuerda CERVINO 8 m/m")</f>
        <v>Mts. cuerda CERVINO 8 m/m</v>
      </c>
      <c r="C1565" s="4">
        <f>IFERROR(__xludf.DUMMYFUNCTION("""COMPUTED_VALUE"""),0.25)</f>
        <v>0.25</v>
      </c>
      <c r="D1565" s="4"/>
      <c r="E1565" s="4" t="str">
        <f>IFERROR(__xludf.DUMMYFUNCTION("""COMPUTED_VALUE"""),"Sin precio neto G.C.")</f>
        <v>Sin precio neto G.C.</v>
      </c>
    </row>
    <row r="1566">
      <c r="A1566" s="4" t="str">
        <f>IFERROR(__xludf.DUMMYFUNCTION("""COMPUTED_VALUE"""),"4010")</f>
        <v>4010</v>
      </c>
      <c r="B1566" s="4" t="str">
        <f>IFERROR(__xludf.DUMMYFUNCTION("""COMPUTED_VALUE"""),"Mts. cuerda CERVINO 10 m/m")</f>
        <v>Mts. cuerda CERVINO 10 m/m</v>
      </c>
      <c r="C1566" s="4">
        <f>IFERROR(__xludf.DUMMYFUNCTION("""COMPUTED_VALUE"""),0.41)</f>
        <v>0.41</v>
      </c>
      <c r="D1566" s="4"/>
      <c r="E1566" s="4" t="str">
        <f>IFERROR(__xludf.DUMMYFUNCTION("""COMPUTED_VALUE"""),"Sin precio neto G.C.")</f>
        <v>Sin precio neto G.C.</v>
      </c>
    </row>
    <row r="1567">
      <c r="A1567" s="4" t="str">
        <f>IFERROR(__xludf.DUMMYFUNCTION("""COMPUTED_VALUE"""),"4012")</f>
        <v>4012</v>
      </c>
      <c r="B1567" s="4" t="str">
        <f>IFERROR(__xludf.DUMMYFUNCTION("""COMPUTED_VALUE"""),"Mts. cuerda CERVINO 12 m/m")</f>
        <v>Mts. cuerda CERVINO 12 m/m</v>
      </c>
      <c r="C1567" s="4">
        <f>IFERROR(__xludf.DUMMYFUNCTION("""COMPUTED_VALUE"""),0.66)</f>
        <v>0.66</v>
      </c>
      <c r="D1567" s="4"/>
      <c r="E1567" s="4" t="str">
        <f>IFERROR(__xludf.DUMMYFUNCTION("""COMPUTED_VALUE"""),"Sin precio neto G.C.")</f>
        <v>Sin precio neto G.C.</v>
      </c>
    </row>
    <row r="1568">
      <c r="A1568" s="4" t="str">
        <f>IFERROR(__xludf.DUMMYFUNCTION("""COMPUTED_VALUE"""),"4014")</f>
        <v>4014</v>
      </c>
      <c r="B1568" s="4" t="str">
        <f>IFERROR(__xludf.DUMMYFUNCTION("""COMPUTED_VALUE"""),"Mts. cuerda CERVINO 14 m/m")</f>
        <v>Mts. cuerda CERVINO 14 m/m</v>
      </c>
      <c r="C1568" s="4">
        <f>IFERROR(__xludf.DUMMYFUNCTION("""COMPUTED_VALUE"""),0.72)</f>
        <v>0.72</v>
      </c>
      <c r="D1568" s="4"/>
      <c r="E1568" s="4" t="str">
        <f>IFERROR(__xludf.DUMMYFUNCTION("""COMPUTED_VALUE"""),"Sin precio neto G.C.")</f>
        <v>Sin precio neto G.C.</v>
      </c>
    </row>
    <row r="1569">
      <c r="A1569" s="4" t="str">
        <f>IFERROR(__xludf.DUMMYFUNCTION("""COMPUTED_VALUE"""),"4016")</f>
        <v>4016</v>
      </c>
      <c r="B1569" s="4" t="str">
        <f>IFERROR(__xludf.DUMMYFUNCTION("""COMPUTED_VALUE"""),"Mts. cuerda CERVINO 16 m/m")</f>
        <v>Mts. cuerda CERVINO 16 m/m</v>
      </c>
      <c r="C1569" s="4">
        <f>IFERROR(__xludf.DUMMYFUNCTION("""COMPUTED_VALUE"""),0.88)</f>
        <v>0.88</v>
      </c>
      <c r="D1569" s="4"/>
      <c r="E1569" s="4" t="str">
        <f>IFERROR(__xludf.DUMMYFUNCTION("""COMPUTED_VALUE"""),"Sin precio neto G.C.")</f>
        <v>Sin precio neto G.C.</v>
      </c>
    </row>
    <row r="1570">
      <c r="A1570" s="4" t="str">
        <f>IFERROR(__xludf.DUMMYFUNCTION("""COMPUTED_VALUE"""),"4018")</f>
        <v>4018</v>
      </c>
      <c r="B1570" s="4" t="str">
        <f>IFERROR(__xludf.DUMMYFUNCTION("""COMPUTED_VALUE"""),"Mts. cuerda CERVINO 18 m/m")</f>
        <v>Mts. cuerda CERVINO 18 m/m</v>
      </c>
      <c r="C1570" s="4">
        <f>IFERROR(__xludf.DUMMYFUNCTION("""COMPUTED_VALUE"""),1.12)</f>
        <v>1.12</v>
      </c>
      <c r="D1570" s="4"/>
      <c r="E1570" s="4" t="str">
        <f>IFERROR(__xludf.DUMMYFUNCTION("""COMPUTED_VALUE"""),"Sin precio neto G.C.")</f>
        <v>Sin precio neto G.C.</v>
      </c>
    </row>
    <row r="1571">
      <c r="A1571" s="4" t="str">
        <f>IFERROR(__xludf.DUMMYFUNCTION("""COMPUTED_VALUE"""),"4020")</f>
        <v>4020</v>
      </c>
      <c r="B1571" s="4" t="str">
        <f>IFERROR(__xludf.DUMMYFUNCTION("""COMPUTED_VALUE"""),"Mts. cuerda CERVINO 20 m/m")</f>
        <v>Mts. cuerda CERVINO 20 m/m</v>
      </c>
      <c r="C1571" s="4">
        <f>IFERROR(__xludf.DUMMYFUNCTION("""COMPUTED_VALUE"""),1.45)</f>
        <v>1.45</v>
      </c>
      <c r="D1571" s="4"/>
      <c r="E1571" s="4" t="str">
        <f>IFERROR(__xludf.DUMMYFUNCTION("""COMPUTED_VALUE"""),"Sin precio neto G.C.")</f>
        <v>Sin precio neto G.C.</v>
      </c>
    </row>
    <row r="1572">
      <c r="A1572" s="4" t="str">
        <f>IFERROR(__xludf.DUMMYFUNCTION("""COMPUTED_VALUE"""),"4050")</f>
        <v>4050</v>
      </c>
      <c r="B1572" s="4" t="str">
        <f>IFERROR(__xludf.DUMMYFUNCTION("""COMPUTED_VALUE"""),"Señal complementaria TPU rectanagular 440x360 mm Reflex")</f>
        <v>Señal complementaria TPU rectanagular 440x360 mm Reflex</v>
      </c>
      <c r="C1572" s="4">
        <f>IFERROR(__xludf.DUMMYFUNCTION("""COMPUTED_VALUE"""),9.0)</f>
        <v>9</v>
      </c>
      <c r="D1572" s="4"/>
      <c r="E1572" s="4" t="str">
        <f>IFERROR(__xludf.DUMMYFUNCTION("""COMPUTED_VALUE"""),"Sin precio neto G.C.")</f>
        <v>Sin precio neto G.C.</v>
      </c>
    </row>
    <row r="1573">
      <c r="A1573" s="4" t="str">
        <f>IFERROR(__xludf.DUMMYFUNCTION("""COMPUTED_VALUE"""),"4080")</f>
        <v>4080</v>
      </c>
      <c r="B1573" s="4" t="str">
        <f>IFERROR(__xludf.DUMMYFUNCTION("""COMPUTED_VALUE"""),"Tope parking 59 L x 12 Anc. x 10 Alt. Mod. B")</f>
        <v>Tope parking 59 L x 12 Anc. x 10 Alt. Mod. B</v>
      </c>
      <c r="C1573" s="4">
        <f>IFERROR(__xludf.DUMMYFUNCTION("""COMPUTED_VALUE"""),9.75)</f>
        <v>9.75</v>
      </c>
      <c r="D1573" s="4"/>
      <c r="E1573" s="4" t="str">
        <f>IFERROR(__xludf.DUMMYFUNCTION("""COMPUTED_VALUE"""),"Sin precio neto G.C.")</f>
        <v>Sin precio neto G.C.</v>
      </c>
    </row>
    <row r="1574">
      <c r="A1574" s="4" t="str">
        <f>IFERROR(__xludf.DUMMYFUNCTION("""COMPUTED_VALUE"""),"4081")</f>
        <v>4081</v>
      </c>
      <c r="B1574" s="4" t="str">
        <f>IFERROR(__xludf.DUMMYFUNCTION("""COMPUTED_VALUE"""),"Tope parking 55 L x 14,5 Anc x 15 Alt. Mod. C")</f>
        <v>Tope parking 55 L x 14,5 Anc x 15 Alt. Mod. C</v>
      </c>
      <c r="C1574" s="4">
        <f>IFERROR(__xludf.DUMMYFUNCTION("""COMPUTED_VALUE"""),14.35)</f>
        <v>14.35</v>
      </c>
      <c r="D1574" s="4"/>
      <c r="E1574" s="4" t="str">
        <f>IFERROR(__xludf.DUMMYFUNCTION("""COMPUTED_VALUE"""),"Sin precio neto G.C.")</f>
        <v>Sin precio neto G.C.</v>
      </c>
    </row>
    <row r="1575">
      <c r="A1575" s="4" t="str">
        <f>IFERROR(__xludf.DUMMYFUNCTION("""COMPUTED_VALUE"""),"4090C")</f>
        <v>4090C</v>
      </c>
      <c r="B1575" s="4" t="str">
        <f>IFERROR(__xludf.DUMMYFUNCTION("""COMPUTED_VALUE"""),"Aparcabicis modulo central 2 bicicletas")</f>
        <v>Aparcabicis modulo central 2 bicicletas</v>
      </c>
      <c r="C1575" s="4">
        <f>IFERROR(__xludf.DUMMYFUNCTION("""COMPUTED_VALUE"""),49.875)</f>
        <v>49.875</v>
      </c>
      <c r="D1575" s="4"/>
      <c r="E1575" s="4" t="str">
        <f>IFERROR(__xludf.DUMMYFUNCTION("""COMPUTED_VALUE"""),"Sin precio neto G.C.")</f>
        <v>Sin precio neto G.C.</v>
      </c>
    </row>
    <row r="1576">
      <c r="A1576" s="4" t="str">
        <f>IFERROR(__xludf.DUMMYFUNCTION("""COMPUTED_VALUE"""),"4090E")</f>
        <v>4090E</v>
      </c>
      <c r="B1576" s="4" t="str">
        <f>IFERROR(__xludf.DUMMYFUNCTION("""COMPUTED_VALUE"""),"Aparcabicis modulo extremo 2 bicicletas")</f>
        <v>Aparcabicis modulo extremo 2 bicicletas</v>
      </c>
      <c r="C1576" s="4">
        <f>IFERROR(__xludf.DUMMYFUNCTION("""COMPUTED_VALUE"""),49.875)</f>
        <v>49.875</v>
      </c>
      <c r="D1576" s="4"/>
      <c r="E1576" s="4" t="str">
        <f>IFERROR(__xludf.DUMMYFUNCTION("""COMPUTED_VALUE"""),"Sin precio neto G.C.")</f>
        <v>Sin precio neto G.C.</v>
      </c>
    </row>
    <row r="1577">
      <c r="A1577" s="4" t="str">
        <f>IFERROR(__xludf.DUMMYFUNCTION("""COMPUTED_VALUE"""),"4090U")</f>
        <v>4090U</v>
      </c>
      <c r="B1577" s="4" t="str">
        <f>IFERROR(__xludf.DUMMYFUNCTION("""COMPUTED_VALUE"""),"Aparcabicis unión modulos")</f>
        <v>Aparcabicis unión modulos</v>
      </c>
      <c r="C1577" s="4">
        <f>IFERROR(__xludf.DUMMYFUNCTION("""COMPUTED_VALUE"""),4.75)</f>
        <v>4.75</v>
      </c>
      <c r="D1577" s="4"/>
      <c r="E1577" s="4" t="str">
        <f>IFERROR(__xludf.DUMMYFUNCTION("""COMPUTED_VALUE"""),"Sin precio neto G.C.")</f>
        <v>Sin precio neto G.C.</v>
      </c>
    </row>
    <row r="1578">
      <c r="A1578" s="4" t="str">
        <f>IFERROR(__xludf.DUMMYFUNCTION("""COMPUTED_VALUE"""),"4098")</f>
        <v>4098</v>
      </c>
      <c r="B1578" s="4" t="str">
        <f>IFERROR(__xludf.DUMMYFUNCTION("""COMPUTED_VALUE"""),"Cepo parking Mod. A 49,5 cm x 49,5 cm x 9 cm con llave")</f>
        <v>Cepo parking Mod. A 49,5 cm x 49,5 cm x 9 cm con llave</v>
      </c>
      <c r="C1578" s="4">
        <f>IFERROR(__xludf.DUMMYFUNCTION("""COMPUTED_VALUE"""),38.63)</f>
        <v>38.63</v>
      </c>
      <c r="D1578" s="4"/>
      <c r="E1578" s="4" t="str">
        <f>IFERROR(__xludf.DUMMYFUNCTION("""COMPUTED_VALUE"""),"Sin precio neto G.C.")</f>
        <v>Sin precio neto G.C.</v>
      </c>
    </row>
    <row r="1579">
      <c r="A1579" s="4" t="str">
        <f>IFERROR(__xludf.DUMMYFUNCTION("""COMPUTED_VALUE"""),"4099")</f>
        <v>4099</v>
      </c>
      <c r="B1579" s="4" t="str">
        <f>IFERROR(__xludf.DUMMYFUNCTION("""COMPUTED_VALUE"""),"Cepo parking Mod. B 76 cm x 47 cm c/candado")</f>
        <v>Cepo parking Mod. B 76 cm x 47 cm c/candado</v>
      </c>
      <c r="C1579" s="4">
        <f>IFERROR(__xludf.DUMMYFUNCTION("""COMPUTED_VALUE"""),22.0)</f>
        <v>22</v>
      </c>
      <c r="D1579" s="4">
        <f>IFERROR(__xludf.DUMMYFUNCTION("""COMPUTED_VALUE"""),18.0)</f>
        <v>18</v>
      </c>
      <c r="E1579" s="4" t="str">
        <f>IFERROR(__xludf.DUMMYFUNCTION("""COMPUTED_VALUE"""),"Neto G.C.: 18,00 € (a partir de 1 uds.)")</f>
        <v>Neto G.C.: 18,00 € (a partir de 1 uds.)</v>
      </c>
    </row>
    <row r="1580">
      <c r="A1580" s="4" t="str">
        <f>IFERROR(__xludf.DUMMYFUNCTION("""COMPUTED_VALUE"""),"4100")</f>
        <v>4100</v>
      </c>
      <c r="B1580" s="4" t="str">
        <f>IFERROR(__xludf.DUMMYFUNCTION("""COMPUTED_VALUE"""),"Espejo trafico 600 mm Mod. Basic c/ visera")</f>
        <v>Espejo trafico 600 mm Mod. Basic c/ visera</v>
      </c>
      <c r="C1580" s="4">
        <f>IFERROR(__xludf.DUMMYFUNCTION("""COMPUTED_VALUE"""),34.5)</f>
        <v>34.5</v>
      </c>
      <c r="D1580" s="4">
        <f>IFERROR(__xludf.DUMMYFUNCTION("""COMPUTED_VALUE"""),29.0)</f>
        <v>29</v>
      </c>
      <c r="E1580" s="4" t="str">
        <f>IFERROR(__xludf.DUMMYFUNCTION("""COMPUTED_VALUE"""),"Neto G.C.: 29,00 € (a partir de 5 uds.)")</f>
        <v>Neto G.C.: 29,00 € (a partir de 5 uds.)</v>
      </c>
    </row>
    <row r="1581">
      <c r="A1581" s="4" t="str">
        <f>IFERROR(__xludf.DUMMYFUNCTION("""COMPUTED_VALUE"""),"4101")</f>
        <v>4101</v>
      </c>
      <c r="B1581" s="4" t="str">
        <f>IFERROR(__xludf.DUMMYFUNCTION("""COMPUTED_VALUE"""),"Espejo Trafico 800 mm Mod. Basic c visera")</f>
        <v>Espejo Trafico 800 mm Mod. Basic c visera</v>
      </c>
      <c r="C1581" s="4">
        <f>IFERROR(__xludf.DUMMYFUNCTION("""COMPUTED_VALUE"""),63.0)</f>
        <v>63</v>
      </c>
      <c r="D1581" s="4">
        <f>IFERROR(__xludf.DUMMYFUNCTION("""COMPUTED_VALUE"""),39.0)</f>
        <v>39</v>
      </c>
      <c r="E1581" s="4" t="str">
        <f>IFERROR(__xludf.DUMMYFUNCTION("""COMPUTED_VALUE"""),"Neto G.C.: 39,00 € (a partir de 5 uds.)")</f>
        <v>Neto G.C.: 39,00 € (a partir de 5 uds.)</v>
      </c>
    </row>
    <row r="1582">
      <c r="A1582" s="4" t="str">
        <f>IFERROR(__xludf.DUMMYFUNCTION("""COMPUTED_VALUE"""),"4103")</f>
        <v>4103</v>
      </c>
      <c r="B1582" s="4" t="str">
        <f>IFERROR(__xludf.DUMMYFUNCTION("""COMPUTED_VALUE"""),"Esquinera proteccion columna 80 cm mod. B")</f>
        <v>Esquinera proteccion columna 80 cm mod. B</v>
      </c>
      <c r="C1582" s="4">
        <f>IFERROR(__xludf.DUMMYFUNCTION("""COMPUTED_VALUE"""),4.4)</f>
        <v>4.4</v>
      </c>
      <c r="D1582" s="4"/>
      <c r="E1582" s="4" t="str">
        <f>IFERROR(__xludf.DUMMYFUNCTION("""COMPUTED_VALUE"""),"Sin precio neto G.C.")</f>
        <v>Sin precio neto G.C.</v>
      </c>
    </row>
    <row r="1583">
      <c r="A1583" s="4" t="str">
        <f>IFERROR(__xludf.DUMMYFUNCTION("""COMPUTED_VALUE"""),"4104")</f>
        <v>4104</v>
      </c>
      <c r="B1583" s="4" t="str">
        <f>IFERROR(__xludf.DUMMYFUNCTION("""COMPUTED_VALUE"""),"Tope parking 55 x 15 Anc. x 10 Alt Mod. A")</f>
        <v>Tope parking 55 x 15 Anc. x 10 Alt Mod. A</v>
      </c>
      <c r="C1583" s="4">
        <f>IFERROR(__xludf.DUMMYFUNCTION("""COMPUTED_VALUE"""),9.6)</f>
        <v>9.6</v>
      </c>
      <c r="D1583" s="4"/>
      <c r="E1583" s="4" t="str">
        <f>IFERROR(__xludf.DUMMYFUNCTION("""COMPUTED_VALUE"""),"Sin precio neto G.C.")</f>
        <v>Sin precio neto G.C.</v>
      </c>
    </row>
    <row r="1584">
      <c r="A1584" s="4" t="str">
        <f>IFERROR(__xludf.DUMMYFUNCTION("""COMPUTED_VALUE"""),"4105")</f>
        <v>4105</v>
      </c>
      <c r="B1584" s="4" t="str">
        <f>IFERROR(__xludf.DUMMYFUNCTION("""COMPUTED_VALUE"""),"Esquinera proteccion columna 80 cm mod. A")</f>
        <v>Esquinera proteccion columna 80 cm mod. A</v>
      </c>
      <c r="C1584" s="4">
        <f>IFERROR(__xludf.DUMMYFUNCTION("""COMPUTED_VALUE"""),7.75)</f>
        <v>7.75</v>
      </c>
      <c r="D1584" s="4"/>
      <c r="E1584" s="4" t="str">
        <f>IFERROR(__xludf.DUMMYFUNCTION("""COMPUTED_VALUE"""),"Sin precio neto G.C.")</f>
        <v>Sin precio neto G.C.</v>
      </c>
    </row>
    <row r="1585">
      <c r="A1585" s="4" t="str">
        <f>IFERROR(__xludf.DUMMYFUNCTION("""COMPUTED_VALUE"""),"4106")</f>
        <v>4106</v>
      </c>
      <c r="B1585" s="4" t="str">
        <f>IFERROR(__xludf.DUMMYFUNCTION("""COMPUTED_VALUE"""),"Mts.cuerda certif.poliest.Alta Tenacidad 6 m/m")</f>
        <v>Mts.cuerda certif.poliest.Alta Tenacidad 6 m/m</v>
      </c>
      <c r="C1585" s="4">
        <f>IFERROR(__xludf.DUMMYFUNCTION("""COMPUTED_VALUE"""),0.24)</f>
        <v>0.24</v>
      </c>
      <c r="D1585" s="4"/>
      <c r="E1585" s="4" t="str">
        <f>IFERROR(__xludf.DUMMYFUNCTION("""COMPUTED_VALUE"""),"Sin precio neto G.C.")</f>
        <v>Sin precio neto G.C.</v>
      </c>
    </row>
    <row r="1586">
      <c r="A1586" s="4" t="str">
        <f>IFERROR(__xludf.DUMMYFUNCTION("""COMPUTED_VALUE"""),"4108")</f>
        <v>4108</v>
      </c>
      <c r="B1586" s="4" t="str">
        <f>IFERROR(__xludf.DUMMYFUNCTION("""COMPUTED_VALUE"""),"Mts.cuerda certif.poliest.Alta Tenacidad 8 m/m")</f>
        <v>Mts.cuerda certif.poliest.Alta Tenacidad 8 m/m</v>
      </c>
      <c r="C1586" s="4">
        <f>IFERROR(__xludf.DUMMYFUNCTION("""COMPUTED_VALUE"""),0.43)</f>
        <v>0.43</v>
      </c>
      <c r="D1586" s="4"/>
      <c r="E1586" s="4" t="str">
        <f>IFERROR(__xludf.DUMMYFUNCTION("""COMPUTED_VALUE"""),"Sin precio neto G.C.")</f>
        <v>Sin precio neto G.C.</v>
      </c>
    </row>
    <row r="1587">
      <c r="A1587" s="4" t="str">
        <f>IFERROR(__xludf.DUMMYFUNCTION("""COMPUTED_VALUE"""),"4110")</f>
        <v>4110</v>
      </c>
      <c r="B1587" s="4" t="str">
        <f>IFERROR(__xludf.DUMMYFUNCTION("""COMPUTED_VALUE"""),"Mts.cuerda certif.poliest.Alta Tenacidad 10 m/m")</f>
        <v>Mts.cuerda certif.poliest.Alta Tenacidad 10 m/m</v>
      </c>
      <c r="C1587" s="4">
        <f>IFERROR(__xludf.DUMMYFUNCTION("""COMPUTED_VALUE"""),0.56)</f>
        <v>0.56</v>
      </c>
      <c r="D1587" s="4"/>
      <c r="E1587" s="4" t="str">
        <f>IFERROR(__xludf.DUMMYFUNCTION("""COMPUTED_VALUE"""),"Sin precio neto G.C.")</f>
        <v>Sin precio neto G.C.</v>
      </c>
    </row>
    <row r="1588">
      <c r="A1588" s="4" t="str">
        <f>IFERROR(__xludf.DUMMYFUNCTION("""COMPUTED_VALUE"""),"4112")</f>
        <v>4112</v>
      </c>
      <c r="B1588" s="4" t="str">
        <f>IFERROR(__xludf.DUMMYFUNCTION("""COMPUTED_VALUE"""),"Mts.cuerda Certif.poliest.Alta Tenacidad 12 m/m")</f>
        <v>Mts.cuerda Certif.poliest.Alta Tenacidad 12 m/m</v>
      </c>
      <c r="C1588" s="4">
        <f>IFERROR(__xludf.DUMMYFUNCTION("""COMPUTED_VALUE"""),0.88)</f>
        <v>0.88</v>
      </c>
      <c r="D1588" s="4"/>
      <c r="E1588" s="4" t="str">
        <f>IFERROR(__xludf.DUMMYFUNCTION("""COMPUTED_VALUE"""),"Sin precio neto G.C.")</f>
        <v>Sin precio neto G.C.</v>
      </c>
    </row>
    <row r="1589">
      <c r="A1589" s="4" t="str">
        <f>IFERROR(__xludf.DUMMYFUNCTION("""COMPUTED_VALUE"""),"4114")</f>
        <v>4114</v>
      </c>
      <c r="B1589" s="4" t="str">
        <f>IFERROR(__xludf.DUMMYFUNCTION("""COMPUTED_VALUE"""),"Mts.cuerda Certif.poliest.Alta Tenacidad 14 m/m")</f>
        <v>Mts.cuerda Certif.poliest.Alta Tenacidad 14 m/m</v>
      </c>
      <c r="C1589" s="4">
        <f>IFERROR(__xludf.DUMMYFUNCTION("""COMPUTED_VALUE"""),1.16)</f>
        <v>1.16</v>
      </c>
      <c r="D1589" s="4"/>
      <c r="E1589" s="4" t="str">
        <f>IFERROR(__xludf.DUMMYFUNCTION("""COMPUTED_VALUE"""),"Sin precio neto G.C.")</f>
        <v>Sin precio neto G.C.</v>
      </c>
    </row>
    <row r="1590">
      <c r="A1590" s="4" t="str">
        <f>IFERROR(__xludf.DUMMYFUNCTION("""COMPUTED_VALUE"""),"4116")</f>
        <v>4116</v>
      </c>
      <c r="B1590" s="4" t="str">
        <f>IFERROR(__xludf.DUMMYFUNCTION("""COMPUTED_VALUE"""),"Mts.cuerda Certif.poliest.Alta Tenacidad 16 m/m")</f>
        <v>Mts.cuerda Certif.poliest.Alta Tenacidad 16 m/m</v>
      </c>
      <c r="C1590" s="4">
        <f>IFERROR(__xludf.DUMMYFUNCTION("""COMPUTED_VALUE"""),1.36)</f>
        <v>1.36</v>
      </c>
      <c r="D1590" s="4"/>
      <c r="E1590" s="4" t="str">
        <f>IFERROR(__xludf.DUMMYFUNCTION("""COMPUTED_VALUE"""),"Sin precio neto G.C.")</f>
        <v>Sin precio neto G.C.</v>
      </c>
    </row>
    <row r="1591">
      <c r="A1591" s="4" t="str">
        <f>IFERROR(__xludf.DUMMYFUNCTION("""COMPUTED_VALUE"""),"4118")</f>
        <v>4118</v>
      </c>
      <c r="B1591" s="4" t="str">
        <f>IFERROR(__xludf.DUMMYFUNCTION("""COMPUTED_VALUE"""),"Mts.cuerda Certif.poliest.Alta Tenacidad 18 m/m")</f>
        <v>Mts.cuerda Certif.poliest.Alta Tenacidad 18 m/m</v>
      </c>
      <c r="C1591" s="4">
        <f>IFERROR(__xludf.DUMMYFUNCTION("""COMPUTED_VALUE"""),1.78)</f>
        <v>1.78</v>
      </c>
      <c r="D1591" s="4"/>
      <c r="E1591" s="4" t="str">
        <f>IFERROR(__xludf.DUMMYFUNCTION("""COMPUTED_VALUE"""),"Sin precio neto G.C.")</f>
        <v>Sin precio neto G.C.</v>
      </c>
    </row>
    <row r="1592">
      <c r="A1592" s="4" t="str">
        <f>IFERROR(__xludf.DUMMYFUNCTION("""COMPUTED_VALUE"""),"4125")</f>
        <v>4125</v>
      </c>
      <c r="B1592" s="4" t="str">
        <f>IFERROR(__xludf.DUMMYFUNCTION("""COMPUTED_VALUE"""),"Bolsa tapa señales 95x110 agujereada")</f>
        <v>Bolsa tapa señales 95x110 agujereada</v>
      </c>
      <c r="C1592" s="4">
        <f>IFERROR(__xludf.DUMMYFUNCTION("""COMPUTED_VALUE"""),3.0)</f>
        <v>3</v>
      </c>
      <c r="D1592" s="4"/>
      <c r="E1592" s="4" t="str">
        <f>IFERROR(__xludf.DUMMYFUNCTION("""COMPUTED_VALUE"""),"Sin precio neto G.C.")</f>
        <v>Sin precio neto G.C.</v>
      </c>
    </row>
    <row r="1593">
      <c r="A1593" s="4" t="str">
        <f>IFERROR(__xludf.DUMMYFUNCTION("""COMPUTED_VALUE"""),"4150")</f>
        <v>4150</v>
      </c>
      <c r="B1593" s="4" t="str">
        <f>IFERROR(__xludf.DUMMYFUNCTION("""COMPUTED_VALUE"""),"Espejo 60 cm Mod. Icaro")</f>
        <v>Espejo 60 cm Mod. Icaro</v>
      </c>
      <c r="C1593" s="4">
        <f>IFERROR(__xludf.DUMMYFUNCTION("""COMPUTED_VALUE"""),54.5)</f>
        <v>54.5</v>
      </c>
      <c r="D1593" s="4"/>
      <c r="E1593" s="4" t="str">
        <f>IFERROR(__xludf.DUMMYFUNCTION("""COMPUTED_VALUE"""),"Sin precio neto G.C.")</f>
        <v>Sin precio neto G.C.</v>
      </c>
    </row>
    <row r="1594">
      <c r="A1594" s="4" t="str">
        <f>IFERROR(__xludf.DUMMYFUNCTION("""COMPUTED_VALUE"""),"4151")</f>
        <v>4151</v>
      </c>
      <c r="B1594" s="4" t="str">
        <f>IFERROR(__xludf.DUMMYFUNCTION("""COMPUTED_VALUE"""),"Espejo 80 cm Mod. Icaro")</f>
        <v>Espejo 80 cm Mod. Icaro</v>
      </c>
      <c r="C1594" s="4">
        <f>IFERROR(__xludf.DUMMYFUNCTION("""COMPUTED_VALUE"""),87.0)</f>
        <v>87</v>
      </c>
      <c r="D1594" s="4"/>
      <c r="E1594" s="4" t="str">
        <f>IFERROR(__xludf.DUMMYFUNCTION("""COMPUTED_VALUE"""),"Sin precio neto G.C.")</f>
        <v>Sin precio neto G.C.</v>
      </c>
    </row>
    <row r="1595">
      <c r="A1595" s="4" t="str">
        <f>IFERROR(__xludf.DUMMYFUNCTION("""COMPUTED_VALUE"""),"4180")</f>
        <v>4180</v>
      </c>
      <c r="B1595" s="4" t="str">
        <f>IFERROR(__xludf.DUMMYFUNCTION("""COMPUTED_VALUE"""),"Protector parking FOAM R/B columna 30x25x1,5 cm")</f>
        <v>Protector parking FOAM R/B columna 30x25x1,5 cm</v>
      </c>
      <c r="C1595" s="4">
        <f>IFERROR(__xludf.DUMMYFUNCTION("""COMPUTED_VALUE"""),3.4)</f>
        <v>3.4</v>
      </c>
      <c r="D1595" s="4"/>
      <c r="E1595" s="4" t="str">
        <f>IFERROR(__xludf.DUMMYFUNCTION("""COMPUTED_VALUE"""),"Sin precio neto G.C.")</f>
        <v>Sin precio neto G.C.</v>
      </c>
    </row>
    <row r="1596">
      <c r="A1596" s="4" t="str">
        <f>IFERROR(__xludf.DUMMYFUNCTION("""COMPUTED_VALUE"""),"4181")</f>
        <v>4181</v>
      </c>
      <c r="B1596" s="4" t="str">
        <f>IFERROR(__xludf.DUMMYFUNCTION("""COMPUTED_VALUE"""),"Protector parking FOAM N/A columna 30X25X1,5 cm")</f>
        <v>Protector parking FOAM N/A columna 30X25X1,5 cm</v>
      </c>
      <c r="C1596" s="4">
        <f>IFERROR(__xludf.DUMMYFUNCTION("""COMPUTED_VALUE"""),3.4)</f>
        <v>3.4</v>
      </c>
      <c r="D1596" s="4"/>
      <c r="E1596" s="4" t="str">
        <f>IFERROR(__xludf.DUMMYFUNCTION("""COMPUTED_VALUE"""),"Sin precio neto G.C.")</f>
        <v>Sin precio neto G.C.</v>
      </c>
    </row>
    <row r="1597">
      <c r="A1597" s="4" t="str">
        <f>IFERROR(__xludf.DUMMYFUNCTION("""COMPUTED_VALUE"""),"4182")</f>
        <v>4182</v>
      </c>
      <c r="B1597" s="4" t="str">
        <f>IFERROR(__xludf.DUMMYFUNCTION("""COMPUTED_VALUE"""),"Protector parking FOAM R/B columna 100x200x1,5 cm")</f>
        <v>Protector parking FOAM R/B columna 100x200x1,5 cm</v>
      </c>
      <c r="C1597" s="4">
        <f>IFERROR(__xludf.DUMMYFUNCTION("""COMPUTED_VALUE"""),39.0)</f>
        <v>39</v>
      </c>
      <c r="D1597" s="4"/>
      <c r="E1597" s="4" t="str">
        <f>IFERROR(__xludf.DUMMYFUNCTION("""COMPUTED_VALUE"""),"Sin precio neto G.C.")</f>
        <v>Sin precio neto G.C.</v>
      </c>
    </row>
    <row r="1598">
      <c r="A1598" s="4" t="str">
        <f>IFERROR(__xludf.DUMMYFUNCTION("""COMPUTED_VALUE"""),"4183")</f>
        <v>4183</v>
      </c>
      <c r="B1598" s="4" t="str">
        <f>IFERROR(__xludf.DUMMYFUNCTION("""COMPUTED_VALUE"""),"Protector parking FOAM N/A columna 100x200x1,5 cm")</f>
        <v>Protector parking FOAM N/A columna 100x200x1,5 cm</v>
      </c>
      <c r="C1598" s="4">
        <f>IFERROR(__xludf.DUMMYFUNCTION("""COMPUTED_VALUE"""),39.0)</f>
        <v>39</v>
      </c>
      <c r="D1598" s="4"/>
      <c r="E1598" s="4" t="str">
        <f>IFERROR(__xludf.DUMMYFUNCTION("""COMPUTED_VALUE"""),"Sin precio neto G.C.")</f>
        <v>Sin precio neto G.C.</v>
      </c>
    </row>
    <row r="1599">
      <c r="A1599" s="4" t="str">
        <f>IFERROR(__xludf.DUMMYFUNCTION("""COMPUTED_VALUE"""),"4184")</f>
        <v>4184</v>
      </c>
      <c r="B1599" s="4" t="str">
        <f>IFERROR(__xludf.DUMMYFUNCTION("""COMPUTED_VALUE"""),"Protector parking FOAM R/B plano 24x18x4cm")</f>
        <v>Protector parking FOAM R/B plano 24x18x4cm</v>
      </c>
      <c r="C1599" s="4">
        <f>IFERROR(__xludf.DUMMYFUNCTION("""COMPUTED_VALUE"""),3.45)</f>
        <v>3.45</v>
      </c>
      <c r="D1599" s="4"/>
      <c r="E1599" s="4" t="str">
        <f>IFERROR(__xludf.DUMMYFUNCTION("""COMPUTED_VALUE"""),"Sin precio neto G.C.")</f>
        <v>Sin precio neto G.C.</v>
      </c>
    </row>
    <row r="1600">
      <c r="A1600" s="4" t="str">
        <f>IFERROR(__xludf.DUMMYFUNCTION("""COMPUTED_VALUE"""),"4185")</f>
        <v>4185</v>
      </c>
      <c r="B1600" s="4" t="str">
        <f>IFERROR(__xludf.DUMMYFUNCTION("""COMPUTED_VALUE"""),"Protector parking FOAM N/A plano 24x18x4cm")</f>
        <v>Protector parking FOAM N/A plano 24x18x4cm</v>
      </c>
      <c r="C1600" s="4">
        <f>IFERROR(__xludf.DUMMYFUNCTION("""COMPUTED_VALUE"""),3.45)</f>
        <v>3.45</v>
      </c>
      <c r="D1600" s="4"/>
      <c r="E1600" s="4" t="str">
        <f>IFERROR(__xludf.DUMMYFUNCTION("""COMPUTED_VALUE"""),"Sin precio neto G.C.")</f>
        <v>Sin precio neto G.C.</v>
      </c>
    </row>
    <row r="1601">
      <c r="A1601" s="4" t="str">
        <f>IFERROR(__xludf.DUMMYFUNCTION("""COMPUTED_VALUE"""),"4186")</f>
        <v>4186</v>
      </c>
      <c r="B1601" s="4" t="str">
        <f>IFERROR(__xludf.DUMMYFUNCTION("""COMPUTED_VALUE"""),"Protector parking FOAM R/B esquina 50x(15+15)x1,5 cm")</f>
        <v>Protector parking FOAM R/B esquina 50x(15+15)x1,5 cm</v>
      </c>
      <c r="C1601" s="4">
        <f>IFERROR(__xludf.DUMMYFUNCTION("""COMPUTED_VALUE"""),5.75)</f>
        <v>5.75</v>
      </c>
      <c r="D1601" s="4"/>
      <c r="E1601" s="4" t="str">
        <f>IFERROR(__xludf.DUMMYFUNCTION("""COMPUTED_VALUE"""),"Sin precio neto G.C.")</f>
        <v>Sin precio neto G.C.</v>
      </c>
    </row>
    <row r="1602">
      <c r="A1602" s="4" t="str">
        <f>IFERROR(__xludf.DUMMYFUNCTION("""COMPUTED_VALUE"""),"4187")</f>
        <v>4187</v>
      </c>
      <c r="B1602" s="4" t="str">
        <f>IFERROR(__xludf.DUMMYFUNCTION("""COMPUTED_VALUE"""),"Protector parking FOAM N/A esquina 50x(15+15)x1,5 cm")</f>
        <v>Protector parking FOAM N/A esquina 50x(15+15)x1,5 cm</v>
      </c>
      <c r="C1602" s="4">
        <f>IFERROR(__xludf.DUMMYFUNCTION("""COMPUTED_VALUE"""),5.75)</f>
        <v>5.75</v>
      </c>
      <c r="D1602" s="4"/>
      <c r="E1602" s="4" t="str">
        <f>IFERROR(__xludf.DUMMYFUNCTION("""COMPUTED_VALUE"""),"Sin precio neto G.C.")</f>
        <v>Sin precio neto G.C.</v>
      </c>
    </row>
    <row r="1603">
      <c r="A1603" s="4" t="str">
        <f>IFERROR(__xludf.DUMMYFUNCTION("""COMPUTED_VALUE"""),"4188")</f>
        <v>4188</v>
      </c>
      <c r="B1603" s="4" t="str">
        <f>IFERROR(__xludf.DUMMYFUNCTION("""COMPUTED_VALUE"""),"Protector parking FOAM R/B plano 50X10X1,5cm")</f>
        <v>Protector parking FOAM R/B plano 50X10X1,5cm</v>
      </c>
      <c r="C1603" s="4">
        <f>IFERROR(__xludf.DUMMYFUNCTION("""COMPUTED_VALUE"""),2.2)</f>
        <v>2.2</v>
      </c>
      <c r="D1603" s="4"/>
      <c r="E1603" s="4" t="str">
        <f>IFERROR(__xludf.DUMMYFUNCTION("""COMPUTED_VALUE"""),"Sin precio neto G.C.")</f>
        <v>Sin precio neto G.C.</v>
      </c>
    </row>
    <row r="1604">
      <c r="A1604" s="4" t="str">
        <f>IFERROR(__xludf.DUMMYFUNCTION("""COMPUTED_VALUE"""),"4189")</f>
        <v>4189</v>
      </c>
      <c r="B1604" s="4" t="str">
        <f>IFERROR(__xludf.DUMMYFUNCTION("""COMPUTED_VALUE"""),"Protector parking FOAM N/A plano 50x10x1,5cm")</f>
        <v>Protector parking FOAM N/A plano 50x10x1,5cm</v>
      </c>
      <c r="C1604" s="4">
        <f>IFERROR(__xludf.DUMMYFUNCTION("""COMPUTED_VALUE"""),2.2)</f>
        <v>2.2</v>
      </c>
      <c r="D1604" s="4"/>
      <c r="E1604" s="4" t="str">
        <f>IFERROR(__xludf.DUMMYFUNCTION("""COMPUTED_VALUE"""),"Sin precio neto G.C.")</f>
        <v>Sin precio neto G.C.</v>
      </c>
    </row>
    <row r="1605">
      <c r="A1605" s="4" t="str">
        <f>IFERROR(__xludf.DUMMYFUNCTION("""COMPUTED_VALUE"""),"4190")</f>
        <v>4190</v>
      </c>
      <c r="B1605" s="4" t="str">
        <f>IFERROR(__xludf.DUMMYFUNCTION("""COMPUTED_VALUE"""),"Protector parking FOAM R/B plano 50x25x2,5cm")</f>
        <v>Protector parking FOAM R/B plano 50x25x2,5cm</v>
      </c>
      <c r="C1605" s="4">
        <f>IFERROR(__xludf.DUMMYFUNCTION("""COMPUTED_VALUE"""),4.9)</f>
        <v>4.9</v>
      </c>
      <c r="D1605" s="4"/>
      <c r="E1605" s="4" t="str">
        <f>IFERROR(__xludf.DUMMYFUNCTION("""COMPUTED_VALUE"""),"Sin precio neto G.C.")</f>
        <v>Sin precio neto G.C.</v>
      </c>
    </row>
    <row r="1606">
      <c r="A1606" s="4" t="str">
        <f>IFERROR(__xludf.DUMMYFUNCTION("""COMPUTED_VALUE"""),"4191")</f>
        <v>4191</v>
      </c>
      <c r="B1606" s="4" t="str">
        <f>IFERROR(__xludf.DUMMYFUNCTION("""COMPUTED_VALUE"""),"Protector parking FOAM N/A plano 50x25x2,5cm")</f>
        <v>Protector parking FOAM N/A plano 50x25x2,5cm</v>
      </c>
      <c r="C1606" s="4">
        <f>IFERROR(__xludf.DUMMYFUNCTION("""COMPUTED_VALUE"""),4.9)</f>
        <v>4.9</v>
      </c>
      <c r="D1606" s="4"/>
      <c r="E1606" s="4" t="str">
        <f>IFERROR(__xludf.DUMMYFUNCTION("""COMPUTED_VALUE"""),"Sin precio neto G.C.")</f>
        <v>Sin precio neto G.C.</v>
      </c>
    </row>
    <row r="1607">
      <c r="A1607" s="4" t="str">
        <f>IFERROR(__xludf.DUMMYFUNCTION("""COMPUTED_VALUE"""),"4192")</f>
        <v>4192</v>
      </c>
      <c r="B1607" s="4" t="str">
        <f>IFERROR(__xludf.DUMMYFUNCTION("""COMPUTED_VALUE"""),"Protector parking FOAM R/B plano 30x20x1,5 cm")</f>
        <v>Protector parking FOAM R/B plano 30x20x1,5 cm</v>
      </c>
      <c r="C1607" s="4">
        <f>IFERROR(__xludf.DUMMYFUNCTION("""COMPUTED_VALUE"""),3.75)</f>
        <v>3.75</v>
      </c>
      <c r="D1607" s="4"/>
      <c r="E1607" s="4" t="str">
        <f>IFERROR(__xludf.DUMMYFUNCTION("""COMPUTED_VALUE"""),"Sin precio neto G.C.")</f>
        <v>Sin precio neto G.C.</v>
      </c>
    </row>
    <row r="1608">
      <c r="A1608" s="4" t="str">
        <f>IFERROR(__xludf.DUMMYFUNCTION("""COMPUTED_VALUE"""),"4193")</f>
        <v>4193</v>
      </c>
      <c r="B1608" s="4" t="str">
        <f>IFERROR(__xludf.DUMMYFUNCTION("""COMPUTED_VALUE"""),"Protector parking FOAM N/A plano 30x20x1,5 cm")</f>
        <v>Protector parking FOAM N/A plano 30x20x1,5 cm</v>
      </c>
      <c r="C1608" s="4">
        <f>IFERROR(__xludf.DUMMYFUNCTION("""COMPUTED_VALUE"""),3.75)</f>
        <v>3.75</v>
      </c>
      <c r="D1608" s="4"/>
      <c r="E1608" s="4" t="str">
        <f>IFERROR(__xludf.DUMMYFUNCTION("""COMPUTED_VALUE"""),"Sin precio neto G.C.")</f>
        <v>Sin precio neto G.C.</v>
      </c>
    </row>
    <row r="1609">
      <c r="A1609" s="4" t="str">
        <f>IFERROR(__xludf.DUMMYFUNCTION("""COMPUTED_VALUE"""),"4194")</f>
        <v>4194</v>
      </c>
      <c r="B1609" s="4" t="str">
        <f>IFERROR(__xludf.DUMMYFUNCTION("""COMPUTED_VALUE"""),"Protector Antigolpes PVC 15x3 cm (5 metros )")</f>
        <v>Protector Antigolpes PVC 15x3 cm (5 metros )</v>
      </c>
      <c r="C1609" s="4">
        <f>IFERROR(__xludf.DUMMYFUNCTION("""COMPUTED_VALUE"""),37.0)</f>
        <v>37</v>
      </c>
      <c r="D1609" s="4"/>
      <c r="E1609" s="4" t="str">
        <f>IFERROR(__xludf.DUMMYFUNCTION("""COMPUTED_VALUE"""),"Sin precio neto G.C.")</f>
        <v>Sin precio neto G.C.</v>
      </c>
    </row>
    <row r="1610">
      <c r="A1610" s="4" t="str">
        <f>IFERROR(__xludf.DUMMYFUNCTION("""COMPUTED_VALUE"""),"4200")</f>
        <v>4200</v>
      </c>
      <c r="B1610" s="4" t="str">
        <f>IFERROR(__xludf.DUMMYFUNCTION("""COMPUTED_VALUE"""),"Esq. protec.N/A 100 cm anti-golpe Foam Mod A")</f>
        <v>Esq. protec.N/A 100 cm anti-golpe Foam Mod A</v>
      </c>
      <c r="C1610" s="4">
        <f>IFERROR(__xludf.DUMMYFUNCTION("""COMPUTED_VALUE"""),14.9)</f>
        <v>14.9</v>
      </c>
      <c r="D1610" s="4">
        <f>IFERROR(__xludf.DUMMYFUNCTION("""COMPUTED_VALUE"""),12.5)</f>
        <v>12.5</v>
      </c>
      <c r="E1610" s="4" t="str">
        <f>IFERROR(__xludf.DUMMYFUNCTION("""COMPUTED_VALUE"""),"Neto G.C.: 12,50 € (a partir de 10 uds.)")</f>
        <v>Neto G.C.: 12,50 € (a partir de 10 uds.)</v>
      </c>
    </row>
    <row r="1611">
      <c r="A1611" s="4" t="str">
        <f>IFERROR(__xludf.DUMMYFUNCTION("""COMPUTED_VALUE"""),"4200B")</f>
        <v>4200B</v>
      </c>
      <c r="B1611" s="4" t="str">
        <f>IFERROR(__xludf.DUMMYFUNCTION("""COMPUTED_VALUE"""),"Esq. protec.N/A 100 cm anti-golpe Foam Mod B")</f>
        <v>Esq. protec.N/A 100 cm anti-golpe Foam Mod B</v>
      </c>
      <c r="C1611" s="4">
        <f>IFERROR(__xludf.DUMMYFUNCTION("""COMPUTED_VALUE"""),14.9)</f>
        <v>14.9</v>
      </c>
      <c r="D1611" s="4">
        <f>IFERROR(__xludf.DUMMYFUNCTION("""COMPUTED_VALUE"""),12.5)</f>
        <v>12.5</v>
      </c>
      <c r="E1611" s="4" t="str">
        <f>IFERROR(__xludf.DUMMYFUNCTION("""COMPUTED_VALUE"""),"Neto G.C.: 12,50 € (a partir de 10 uds.)")</f>
        <v>Neto G.C.: 12,50 € (a partir de 10 uds.)</v>
      </c>
    </row>
    <row r="1612">
      <c r="A1612" s="4" t="str">
        <f>IFERROR(__xludf.DUMMYFUNCTION("""COMPUTED_VALUE"""),"4200C")</f>
        <v>4200C</v>
      </c>
      <c r="B1612" s="4" t="str">
        <f>IFERROR(__xludf.DUMMYFUNCTION("""COMPUTED_VALUE"""),"Esq. protec.N/A 100 cm anti-golpe Foam Mod C")</f>
        <v>Esq. protec.N/A 100 cm anti-golpe Foam Mod C</v>
      </c>
      <c r="C1612" s="4">
        <f>IFERROR(__xludf.DUMMYFUNCTION("""COMPUTED_VALUE"""),14.9)</f>
        <v>14.9</v>
      </c>
      <c r="D1612" s="4">
        <f>IFERROR(__xludf.DUMMYFUNCTION("""COMPUTED_VALUE"""),12.5)</f>
        <v>12.5</v>
      </c>
      <c r="E1612" s="4" t="str">
        <f>IFERROR(__xludf.DUMMYFUNCTION("""COMPUTED_VALUE"""),"Neto G.C.: 12,50 € (a partir de 10 uds.)")</f>
        <v>Neto G.C.: 12,50 € (a partir de 10 uds.)</v>
      </c>
    </row>
    <row r="1613">
      <c r="A1613" s="4" t="str">
        <f>IFERROR(__xludf.DUMMYFUNCTION("""COMPUTED_VALUE"""),"4200D")</f>
        <v>4200D</v>
      </c>
      <c r="B1613" s="4" t="str">
        <f>IFERROR(__xludf.DUMMYFUNCTION("""COMPUTED_VALUE"""),"Esq. protec.N/A 100 cm anti-golpe Foam Mod D")</f>
        <v>Esq. protec.N/A 100 cm anti-golpe Foam Mod D</v>
      </c>
      <c r="C1613" s="4">
        <f>IFERROR(__xludf.DUMMYFUNCTION("""COMPUTED_VALUE"""),14.9)</f>
        <v>14.9</v>
      </c>
      <c r="D1613" s="4">
        <f>IFERROR(__xludf.DUMMYFUNCTION("""COMPUTED_VALUE"""),12.5)</f>
        <v>12.5</v>
      </c>
      <c r="E1613" s="4" t="str">
        <f>IFERROR(__xludf.DUMMYFUNCTION("""COMPUTED_VALUE"""),"Neto G.C.: 12,50 € (a partir de 10 uds.)")</f>
        <v>Neto G.C.: 12,50 € (a partir de 10 uds.)</v>
      </c>
    </row>
    <row r="1614">
      <c r="A1614" s="4" t="str">
        <f>IFERROR(__xludf.DUMMYFUNCTION("""COMPUTED_VALUE"""),"4200E")</f>
        <v>4200E</v>
      </c>
      <c r="B1614" s="4" t="str">
        <f>IFERROR(__xludf.DUMMYFUNCTION("""COMPUTED_VALUE"""),"Esq. protec.N/A 100 cm anti-golpe Foam Mod E")</f>
        <v>Esq. protec.N/A 100 cm anti-golpe Foam Mod E</v>
      </c>
      <c r="C1614" s="4">
        <f>IFERROR(__xludf.DUMMYFUNCTION("""COMPUTED_VALUE"""),14.9)</f>
        <v>14.9</v>
      </c>
      <c r="D1614" s="4">
        <f>IFERROR(__xludf.DUMMYFUNCTION("""COMPUTED_VALUE"""),12.5)</f>
        <v>12.5</v>
      </c>
      <c r="E1614" s="4" t="str">
        <f>IFERROR(__xludf.DUMMYFUNCTION("""COMPUTED_VALUE"""),"Neto G.C.: 12,50 € (a partir de 10 uds.)")</f>
        <v>Neto G.C.: 12,50 € (a partir de 10 uds.)</v>
      </c>
    </row>
    <row r="1615">
      <c r="A1615" s="4" t="str">
        <f>IFERROR(__xludf.DUMMYFUNCTION("""COMPUTED_VALUE"""),"4200F")</f>
        <v>4200F</v>
      </c>
      <c r="B1615" s="4" t="str">
        <f>IFERROR(__xludf.DUMMYFUNCTION("""COMPUTED_VALUE"""),"Esq. protec.N/A 100 cm anti-golpe Foam Mod. F")</f>
        <v>Esq. protec.N/A 100 cm anti-golpe Foam Mod. F</v>
      </c>
      <c r="C1615" s="4">
        <f>IFERROR(__xludf.DUMMYFUNCTION("""COMPUTED_VALUE"""),14.9)</f>
        <v>14.9</v>
      </c>
      <c r="D1615" s="4">
        <f>IFERROR(__xludf.DUMMYFUNCTION("""COMPUTED_VALUE"""),12.5)</f>
        <v>12.5</v>
      </c>
      <c r="E1615" s="4" t="str">
        <f>IFERROR(__xludf.DUMMYFUNCTION("""COMPUTED_VALUE"""),"Neto G.C.: 12,50 € (a partir de 10 uds.)")</f>
        <v>Neto G.C.: 12,50 € (a partir de 10 uds.)</v>
      </c>
    </row>
    <row r="1616">
      <c r="A1616" s="4" t="str">
        <f>IFERROR(__xludf.DUMMYFUNCTION("""COMPUTED_VALUE"""),"4200G")</f>
        <v>4200G</v>
      </c>
      <c r="B1616" s="4" t="str">
        <f>IFERROR(__xludf.DUMMYFUNCTION("""COMPUTED_VALUE"""),"Esq. protec.N/A 100 cm anti-golpe Foam Mod. G")</f>
        <v>Esq. protec.N/A 100 cm anti-golpe Foam Mod. G</v>
      </c>
      <c r="C1616" s="4">
        <f>IFERROR(__xludf.DUMMYFUNCTION("""COMPUTED_VALUE"""),14.9)</f>
        <v>14.9</v>
      </c>
      <c r="D1616" s="4">
        <f>IFERROR(__xludf.DUMMYFUNCTION("""COMPUTED_VALUE"""),12.5)</f>
        <v>12.5</v>
      </c>
      <c r="E1616" s="4" t="str">
        <f>IFERROR(__xludf.DUMMYFUNCTION("""COMPUTED_VALUE"""),"Neto G.C.: 12,50 € (a partir de 10 uds.)")</f>
        <v>Neto G.C.: 12,50 € (a partir de 10 uds.)</v>
      </c>
    </row>
    <row r="1617">
      <c r="A1617" s="4" t="str">
        <f>IFERROR(__xludf.DUMMYFUNCTION("""COMPUTED_VALUE"""),"4201")</f>
        <v>4201</v>
      </c>
      <c r="B1617" s="4" t="str">
        <f>IFERROR(__xludf.DUMMYFUNCTION("""COMPUTED_VALUE"""),"Esq. protec.B/R 100 cm anti-golpe Foam Mod. A")</f>
        <v>Esq. protec.B/R 100 cm anti-golpe Foam Mod. A</v>
      </c>
      <c r="C1617" s="4">
        <f>IFERROR(__xludf.DUMMYFUNCTION("""COMPUTED_VALUE"""),14.9)</f>
        <v>14.9</v>
      </c>
      <c r="D1617" s="4">
        <f>IFERROR(__xludf.DUMMYFUNCTION("""COMPUTED_VALUE"""),12.5)</f>
        <v>12.5</v>
      </c>
      <c r="E1617" s="4" t="str">
        <f>IFERROR(__xludf.DUMMYFUNCTION("""COMPUTED_VALUE"""),"Neto G.C.: 12,50 € (a partir de 10 uds.)")</f>
        <v>Neto G.C.: 12,50 € (a partir de 10 uds.)</v>
      </c>
    </row>
    <row r="1618">
      <c r="A1618" s="4" t="str">
        <f>IFERROR(__xludf.DUMMYFUNCTION("""COMPUTED_VALUE"""),"4204")</f>
        <v>4204</v>
      </c>
      <c r="B1618" s="4" t="str">
        <f>IFERROR(__xludf.DUMMYFUNCTION("""COMPUTED_VALUE"""),"Espejo Convexo 40 cm Interior Tolomeo")</f>
        <v>Espejo Convexo 40 cm Interior Tolomeo</v>
      </c>
      <c r="C1618" s="4">
        <f>IFERROR(__xludf.DUMMYFUNCTION("""COMPUTED_VALUE"""),41.0)</f>
        <v>41</v>
      </c>
      <c r="D1618" s="4"/>
      <c r="E1618" s="4" t="str">
        <f>IFERROR(__xludf.DUMMYFUNCTION("""COMPUTED_VALUE"""),"Sin precio neto G.C.")</f>
        <v>Sin precio neto G.C.</v>
      </c>
    </row>
    <row r="1619">
      <c r="A1619" s="4" t="str">
        <f>IFERROR(__xludf.DUMMYFUNCTION("""COMPUTED_VALUE"""),"4206")</f>
        <v>4206</v>
      </c>
      <c r="B1619" s="4" t="str">
        <f>IFERROR(__xludf.DUMMYFUNCTION("""COMPUTED_VALUE"""),"Espejo Convexo 60 cm Interior Tolomeo")</f>
        <v>Espejo Convexo 60 cm Interior Tolomeo</v>
      </c>
      <c r="C1619" s="4">
        <f>IFERROR(__xludf.DUMMYFUNCTION("""COMPUTED_VALUE"""),54.0)</f>
        <v>54</v>
      </c>
      <c r="D1619" s="4"/>
      <c r="E1619" s="4" t="str">
        <f>IFERROR(__xludf.DUMMYFUNCTION("""COMPUTED_VALUE"""),"Sin precio neto G.C.")</f>
        <v>Sin precio neto G.C.</v>
      </c>
    </row>
    <row r="1620">
      <c r="A1620" s="4" t="str">
        <f>IFERROR(__xludf.DUMMYFUNCTION("""COMPUTED_VALUE"""),"4208")</f>
        <v>4208</v>
      </c>
      <c r="B1620" s="4" t="str">
        <f>IFERROR(__xludf.DUMMYFUNCTION("""COMPUTED_VALUE"""),"Espejo Convexo 80 cm Interior Tolomeo")</f>
        <v>Espejo Convexo 80 cm Interior Tolomeo</v>
      </c>
      <c r="C1620" s="4">
        <f>IFERROR(__xludf.DUMMYFUNCTION("""COMPUTED_VALUE"""),97.0)</f>
        <v>97</v>
      </c>
      <c r="D1620" s="4"/>
      <c r="E1620" s="4" t="str">
        <f>IFERROR(__xludf.DUMMYFUNCTION("""COMPUTED_VALUE"""),"Sin precio neto G.C.")</f>
        <v>Sin precio neto G.C.</v>
      </c>
    </row>
    <row r="1621">
      <c r="A1621" s="4" t="str">
        <f>IFERROR(__xludf.DUMMYFUNCTION("""COMPUTED_VALUE"""),"4209")</f>
        <v>4209</v>
      </c>
      <c r="B1621" s="4" t="str">
        <f>IFERROR(__xludf.DUMMYFUNCTION("""COMPUTED_VALUE"""),"Espejo Convexo 90 cm Interior Tolomeo")</f>
        <v>Espejo Convexo 90 cm Interior Tolomeo</v>
      </c>
      <c r="C1621" s="4">
        <f>IFERROR(__xludf.DUMMYFUNCTION("""COMPUTED_VALUE"""),102.5)</f>
        <v>102.5</v>
      </c>
      <c r="D1621" s="4"/>
      <c r="E1621" s="4" t="str">
        <f>IFERROR(__xludf.DUMMYFUNCTION("""COMPUTED_VALUE"""),"Sin precio neto G.C.")</f>
        <v>Sin precio neto G.C.</v>
      </c>
    </row>
    <row r="1622">
      <c r="A1622" s="4" t="str">
        <f>IFERROR(__xludf.DUMMYFUNCTION("""COMPUTED_VALUE"""),"4210")</f>
        <v>4210</v>
      </c>
      <c r="B1622" s="4" t="str">
        <f>IFERROR(__xludf.DUMMYFUNCTION("""COMPUTED_VALUE"""),"Espejo Convexo 40x60 Interior Leonardo")</f>
        <v>Espejo Convexo 40x60 Interior Leonardo</v>
      </c>
      <c r="C1622" s="4">
        <f>IFERROR(__xludf.DUMMYFUNCTION("""COMPUTED_VALUE"""),59.0)</f>
        <v>59</v>
      </c>
      <c r="D1622" s="4"/>
      <c r="E1622" s="4" t="str">
        <f>IFERROR(__xludf.DUMMYFUNCTION("""COMPUTED_VALUE"""),"Sin precio neto G.C.")</f>
        <v>Sin precio neto G.C.</v>
      </c>
    </row>
    <row r="1623">
      <c r="A1623" s="4" t="str">
        <f>IFERROR(__xludf.DUMMYFUNCTION("""COMPUTED_VALUE"""),"4211")</f>
        <v>4211</v>
      </c>
      <c r="B1623" s="4" t="str">
        <f>IFERROR(__xludf.DUMMYFUNCTION("""COMPUTED_VALUE"""),"Espejo convexo 60x80 Interior Leonardo")</f>
        <v>Espejo convexo 60x80 Interior Leonardo</v>
      </c>
      <c r="C1623" s="4">
        <f>IFERROR(__xludf.DUMMYFUNCTION("""COMPUTED_VALUE"""),100.5)</f>
        <v>100.5</v>
      </c>
      <c r="D1623" s="4"/>
      <c r="E1623" s="4" t="str">
        <f>IFERROR(__xludf.DUMMYFUNCTION("""COMPUTED_VALUE"""),"Sin precio neto G.C.")</f>
        <v>Sin precio neto G.C.</v>
      </c>
    </row>
    <row r="1624">
      <c r="A1624" s="4" t="str">
        <f>IFERROR(__xludf.DUMMYFUNCTION("""COMPUTED_VALUE"""),"4213")</f>
        <v>4213</v>
      </c>
      <c r="B1624" s="4" t="str">
        <f>IFERROR(__xludf.DUMMYFUNCTION("""COMPUTED_VALUE"""),"Espejo Hemisférico 360º 60 cm Michelangello")</f>
        <v>Espejo Hemisférico 360º 60 cm Michelangello</v>
      </c>
      <c r="C1624" s="4">
        <f>IFERROR(__xludf.DUMMYFUNCTION("""COMPUTED_VALUE"""),42.0)</f>
        <v>42</v>
      </c>
      <c r="D1624" s="4"/>
      <c r="E1624" s="4" t="str">
        <f>IFERROR(__xludf.DUMMYFUNCTION("""COMPUTED_VALUE"""),"Sin precio neto G.C.")</f>
        <v>Sin precio neto G.C.</v>
      </c>
    </row>
    <row r="1625">
      <c r="A1625" s="4" t="str">
        <f>IFERROR(__xludf.DUMMYFUNCTION("""COMPUTED_VALUE"""),"4215")</f>
        <v>4215</v>
      </c>
      <c r="B1625" s="4" t="str">
        <f>IFERROR(__xludf.DUMMYFUNCTION("""COMPUTED_VALUE"""),"Espejo Hemisférico 360º 90 cm Michelangello")</f>
        <v>Espejo Hemisférico 360º 90 cm Michelangello</v>
      </c>
      <c r="C1625" s="4">
        <f>IFERROR(__xludf.DUMMYFUNCTION("""COMPUTED_VALUE"""),82.0)</f>
        <v>82</v>
      </c>
      <c r="D1625" s="4"/>
      <c r="E1625" s="4" t="str">
        <f>IFERROR(__xludf.DUMMYFUNCTION("""COMPUTED_VALUE"""),"Sin precio neto G.C.")</f>
        <v>Sin precio neto G.C.</v>
      </c>
    </row>
    <row r="1626">
      <c r="A1626" s="4" t="str">
        <f>IFERROR(__xludf.DUMMYFUNCTION("""COMPUTED_VALUE"""),"4221")</f>
        <v>4221</v>
      </c>
      <c r="B1626" s="4" t="str">
        <f>IFERROR(__xludf.DUMMYFUNCTION("""COMPUTED_VALUE"""),"Espejo Convexo 60 cm Exterior Giotto")</f>
        <v>Espejo Convexo 60 cm Exterior Giotto</v>
      </c>
      <c r="C1626" s="4">
        <f>IFERROR(__xludf.DUMMYFUNCTION("""COMPUTED_VALUE"""),96.0)</f>
        <v>96</v>
      </c>
      <c r="D1626" s="4"/>
      <c r="E1626" s="4" t="str">
        <f>IFERROR(__xludf.DUMMYFUNCTION("""COMPUTED_VALUE"""),"Sin precio neto G.C.")</f>
        <v>Sin precio neto G.C.</v>
      </c>
    </row>
    <row r="1627">
      <c r="A1627" s="4" t="str">
        <f>IFERROR(__xludf.DUMMYFUNCTION("""COMPUTED_VALUE"""),"4223")</f>
        <v>4223</v>
      </c>
      <c r="B1627" s="4" t="str">
        <f>IFERROR(__xludf.DUMMYFUNCTION("""COMPUTED_VALUE"""),"Espejo Convexo 80 cm Exterior Giotto")</f>
        <v>Espejo Convexo 80 cm Exterior Giotto</v>
      </c>
      <c r="C1627" s="4">
        <f>IFERROR(__xludf.DUMMYFUNCTION("""COMPUTED_VALUE"""),152.0)</f>
        <v>152</v>
      </c>
      <c r="D1627" s="4"/>
      <c r="E1627" s="4" t="str">
        <f>IFERROR(__xludf.DUMMYFUNCTION("""COMPUTED_VALUE"""),"Sin precio neto G.C.")</f>
        <v>Sin precio neto G.C.</v>
      </c>
    </row>
    <row r="1628">
      <c r="A1628" s="4" t="str">
        <f>IFERROR(__xludf.DUMMYFUNCTION("""COMPUTED_VALUE"""),"4227")</f>
        <v>4227</v>
      </c>
      <c r="B1628" s="4" t="str">
        <f>IFERROR(__xludf.DUMMYFUNCTION("""COMPUTED_VALUE"""),"Espejo Convexo 40x60 cm Exterior Rafaello")</f>
        <v>Espejo Convexo 40x60 cm Exterior Rafaello</v>
      </c>
      <c r="C1628" s="4">
        <f>IFERROR(__xludf.DUMMYFUNCTION("""COMPUTED_VALUE"""),124.0)</f>
        <v>124</v>
      </c>
      <c r="D1628" s="4"/>
      <c r="E1628" s="4" t="str">
        <f>IFERROR(__xludf.DUMMYFUNCTION("""COMPUTED_VALUE"""),"Sin precio neto G.C.")</f>
        <v>Sin precio neto G.C.</v>
      </c>
    </row>
    <row r="1629">
      <c r="A1629" s="4" t="str">
        <f>IFERROR(__xludf.DUMMYFUNCTION("""COMPUTED_VALUE"""),"4228")</f>
        <v>4228</v>
      </c>
      <c r="B1629" s="4" t="str">
        <f>IFERROR(__xludf.DUMMYFUNCTION("""COMPUTED_VALUE"""),"Espejo Convexo 60x80 cm Exterior Rafaello")</f>
        <v>Espejo Convexo 60x80 cm Exterior Rafaello</v>
      </c>
      <c r="C1629" s="4">
        <f>IFERROR(__xludf.DUMMYFUNCTION("""COMPUTED_VALUE"""),160.0)</f>
        <v>160</v>
      </c>
      <c r="D1629" s="4"/>
      <c r="E1629" s="4" t="str">
        <f>IFERROR(__xludf.DUMMYFUNCTION("""COMPUTED_VALUE"""),"Sin precio neto G.C.")</f>
        <v>Sin precio neto G.C.</v>
      </c>
    </row>
    <row r="1630">
      <c r="A1630" s="4" t="str">
        <f>IFERROR(__xludf.DUMMYFUNCTION("""COMPUTED_VALUE"""),"4230")</f>
        <v>4230</v>
      </c>
      <c r="B1630" s="4" t="str">
        <f>IFERROR(__xludf.DUMMYFUNCTION("""COMPUTED_VALUE"""),"Espejo Convexo acero exterior 320 MM")</f>
        <v>Espejo Convexo acero exterior 320 MM</v>
      </c>
      <c r="C1630" s="4">
        <f>IFERROR(__xludf.DUMMYFUNCTION("""COMPUTED_VALUE"""),95.0)</f>
        <v>95</v>
      </c>
      <c r="D1630" s="4"/>
      <c r="E1630" s="4" t="str">
        <f>IFERROR(__xludf.DUMMYFUNCTION("""COMPUTED_VALUE"""),"Sin precio neto G.C.")</f>
        <v>Sin precio neto G.C.</v>
      </c>
    </row>
    <row r="1631">
      <c r="A1631" s="4" t="str">
        <f>IFERROR(__xludf.DUMMYFUNCTION("""COMPUTED_VALUE"""),"4231")</f>
        <v>4231</v>
      </c>
      <c r="B1631" s="4" t="str">
        <f>IFERROR(__xludf.DUMMYFUNCTION("""COMPUTED_VALUE"""),"Espejo Convexo Acero Exterior 490 mm")</f>
        <v>Espejo Convexo Acero Exterior 490 mm</v>
      </c>
      <c r="C1631" s="4">
        <f>IFERROR(__xludf.DUMMYFUNCTION("""COMPUTED_VALUE"""),125.0)</f>
        <v>125</v>
      </c>
      <c r="D1631" s="4"/>
      <c r="E1631" s="4" t="str">
        <f>IFERROR(__xludf.DUMMYFUNCTION("""COMPUTED_VALUE"""),"Sin precio neto G.C.")</f>
        <v>Sin precio neto G.C.</v>
      </c>
    </row>
    <row r="1632">
      <c r="A1632" s="4" t="str">
        <f>IFERROR(__xludf.DUMMYFUNCTION("""COMPUTED_VALUE"""),"4232")</f>
        <v>4232</v>
      </c>
      <c r="B1632" s="4" t="str">
        <f>IFERROR(__xludf.DUMMYFUNCTION("""COMPUTED_VALUE"""),"Espejo Convexo Acero Exterior 600 mm")</f>
        <v>Espejo Convexo Acero Exterior 600 mm</v>
      </c>
      <c r="C1632" s="4">
        <f>IFERROR(__xludf.DUMMYFUNCTION("""COMPUTED_VALUE"""),179.0)</f>
        <v>179</v>
      </c>
      <c r="D1632" s="4"/>
      <c r="E1632" s="4" t="str">
        <f>IFERROR(__xludf.DUMMYFUNCTION("""COMPUTED_VALUE"""),"Sin precio neto G.C.")</f>
        <v>Sin precio neto G.C.</v>
      </c>
    </row>
    <row r="1633">
      <c r="A1633" s="4" t="str">
        <f>IFERROR(__xludf.DUMMYFUNCTION("""COMPUTED_VALUE"""),"4233")</f>
        <v>4233</v>
      </c>
      <c r="B1633" s="4" t="str">
        <f>IFERROR(__xludf.DUMMYFUNCTION("""COMPUTED_VALUE"""),"Espejo Convexo Acero Exterior 800 mm")</f>
        <v>Espejo Convexo Acero Exterior 800 mm</v>
      </c>
      <c r="C1633" s="4">
        <f>IFERROR(__xludf.DUMMYFUNCTION("""COMPUTED_VALUE"""),230.0)</f>
        <v>230</v>
      </c>
      <c r="D1633" s="4"/>
      <c r="E1633" s="4" t="str">
        <f>IFERROR(__xludf.DUMMYFUNCTION("""COMPUTED_VALUE"""),"Sin precio neto G.C.")</f>
        <v>Sin precio neto G.C.</v>
      </c>
    </row>
    <row r="1634">
      <c r="A1634" s="4" t="str">
        <f>IFERROR(__xludf.DUMMYFUNCTION("""COMPUTED_VALUE"""),"4234")</f>
        <v>4234</v>
      </c>
      <c r="B1634" s="4" t="str">
        <f>IFERROR(__xludf.DUMMYFUNCTION("""COMPUTED_VALUE"""),"Espejo Convexo Acero Exterior 450x600 mm")</f>
        <v>Espejo Convexo Acero Exterior 450x600 mm</v>
      </c>
      <c r="C1634" s="4">
        <f>IFERROR(__xludf.DUMMYFUNCTION("""COMPUTED_VALUE"""),157.5)</f>
        <v>157.5</v>
      </c>
      <c r="D1634" s="4"/>
      <c r="E1634" s="4" t="str">
        <f>IFERROR(__xludf.DUMMYFUNCTION("""COMPUTED_VALUE"""),"Sin precio neto G.C.")</f>
        <v>Sin precio neto G.C.</v>
      </c>
    </row>
    <row r="1635">
      <c r="A1635" s="4" t="str">
        <f>IFERROR(__xludf.DUMMYFUNCTION("""COMPUTED_VALUE"""),"4235")</f>
        <v>4235</v>
      </c>
      <c r="B1635" s="4" t="str">
        <f>IFERROR(__xludf.DUMMYFUNCTION("""COMPUTED_VALUE"""),"Espejo Convexo Acero Interior 490 mm")</f>
        <v>Espejo Convexo Acero Interior 490 mm</v>
      </c>
      <c r="C1635" s="4">
        <f>IFERROR(__xludf.DUMMYFUNCTION("""COMPUTED_VALUE"""),120.0)</f>
        <v>120</v>
      </c>
      <c r="D1635" s="4"/>
      <c r="E1635" s="4" t="str">
        <f>IFERROR(__xludf.DUMMYFUNCTION("""COMPUTED_VALUE"""),"Sin precio neto G.C.")</f>
        <v>Sin precio neto G.C.</v>
      </c>
    </row>
    <row r="1636">
      <c r="A1636" s="4" t="str">
        <f>IFERROR(__xludf.DUMMYFUNCTION("""COMPUTED_VALUE"""),"4250")</f>
        <v>4250</v>
      </c>
      <c r="B1636" s="4" t="str">
        <f>IFERROR(__xludf.DUMMYFUNCTION("""COMPUTED_VALUE"""),"Tope muelle carga - parking 90x10x10 cm")</f>
        <v>Tope muelle carga - parking 90x10x10 cm</v>
      </c>
      <c r="C1636" s="4">
        <f>IFERROR(__xludf.DUMMYFUNCTION("""COMPUTED_VALUE"""),22.0)</f>
        <v>22</v>
      </c>
      <c r="D1636" s="4"/>
      <c r="E1636" s="4" t="str">
        <f>IFERROR(__xludf.DUMMYFUNCTION("""COMPUTED_VALUE"""),"Sin precio neto G.C.")</f>
        <v>Sin precio neto G.C.</v>
      </c>
    </row>
    <row r="1637">
      <c r="A1637" s="4" t="str">
        <f>IFERROR(__xludf.DUMMYFUNCTION("""COMPUTED_VALUE"""),"4300")</f>
        <v>4300</v>
      </c>
      <c r="B1637" s="4" t="str">
        <f>IFERROR(__xludf.DUMMYFUNCTION("""COMPUTED_VALUE"""),"Big Bag 850x850x900 1000kg. 5:1")</f>
        <v>Big Bag 850x850x900 1000kg. 5:1</v>
      </c>
      <c r="C1637" s="4">
        <f>IFERROR(__xludf.DUMMYFUNCTION("""COMPUTED_VALUE"""),3.95)</f>
        <v>3.95</v>
      </c>
      <c r="D1637" s="4"/>
      <c r="E1637" s="4" t="str">
        <f>IFERROR(__xludf.DUMMYFUNCTION("""COMPUTED_VALUE"""),"Sin precio neto G.C.")</f>
        <v>Sin precio neto G.C.</v>
      </c>
    </row>
    <row r="1638">
      <c r="A1638" s="4" t="str">
        <f>IFERROR(__xludf.DUMMYFUNCTION("""COMPUTED_VALUE"""),"4301")</f>
        <v>4301</v>
      </c>
      <c r="B1638" s="4" t="str">
        <f>IFERROR(__xludf.DUMMYFUNCTION("""COMPUTED_VALUE"""),"Big Bag 850x850x900 c/ valvula descarga")</f>
        <v>Big Bag 850x850x900 c/ valvula descarga</v>
      </c>
      <c r="C1638" s="4">
        <f>IFERROR(__xludf.DUMMYFUNCTION("""COMPUTED_VALUE"""),4.6)</f>
        <v>4.6</v>
      </c>
      <c r="D1638" s="4"/>
      <c r="E1638" s="4" t="str">
        <f>IFERROR(__xludf.DUMMYFUNCTION("""COMPUTED_VALUE"""),"Sin precio neto G.C.")</f>
        <v>Sin precio neto G.C.</v>
      </c>
    </row>
    <row r="1639">
      <c r="A1639" s="4" t="str">
        <f>IFERROR(__xludf.DUMMYFUNCTION("""COMPUTED_VALUE"""),"4302")</f>
        <v>4302</v>
      </c>
      <c r="B1639" s="4" t="str">
        <f>IFERROR(__xludf.DUMMYFUNCTION("""COMPUTED_VALUE"""),"Big Bag 900x900x1200 MM FDC/FP ADR")</f>
        <v>Big Bag 900x900x1200 MM FDC/FP ADR</v>
      </c>
      <c r="C1639" s="4">
        <f>IFERROR(__xludf.DUMMYFUNCTION("""COMPUTED_VALUE"""),11.25)</f>
        <v>11.25</v>
      </c>
      <c r="D1639" s="4"/>
      <c r="E1639" s="4" t="str">
        <f>IFERROR(__xludf.DUMMYFUNCTION("""COMPUTED_VALUE"""),"Sin precio neto G.C.")</f>
        <v>Sin precio neto G.C.</v>
      </c>
    </row>
    <row r="1640">
      <c r="A1640" s="4" t="str">
        <f>IFERROR(__xludf.DUMMYFUNCTION("""COMPUTED_VALUE"""),"4303")</f>
        <v>4303</v>
      </c>
      <c r="B1640" s="4" t="str">
        <f>IFERROR(__xludf.DUMMYFUNCTION("""COMPUTED_VALUE"""),"Big Bag 900x900x1200 c/tapa")</f>
        <v>Big Bag 900x900x1200 c/tapa</v>
      </c>
      <c r="C1640" s="4">
        <f>IFERROR(__xludf.DUMMYFUNCTION("""COMPUTED_VALUE"""),7.0)</f>
        <v>7</v>
      </c>
      <c r="D1640" s="4"/>
      <c r="E1640" s="4" t="str">
        <f>IFERROR(__xludf.DUMMYFUNCTION("""COMPUTED_VALUE"""),"Sin precio neto G.C.")</f>
        <v>Sin precio neto G.C.</v>
      </c>
    </row>
    <row r="1641">
      <c r="A1641" s="4" t="str">
        <f>IFERROR(__xludf.DUMMYFUNCTION("""COMPUTED_VALUE"""),"4304")</f>
        <v>4304</v>
      </c>
      <c r="B1641" s="4" t="str">
        <f>IFERROR(__xludf.DUMMYFUNCTION("""COMPUTED_VALUE"""),"Saco de rafia para escombros 55cmx85cm carga 25 Kg")</f>
        <v>Saco de rafia para escombros 55cmx85cm carga 25 Kg</v>
      </c>
      <c r="C1641" s="4">
        <f>IFERROR(__xludf.DUMMYFUNCTION("""COMPUTED_VALUE"""),0.26)</f>
        <v>0.26</v>
      </c>
      <c r="D1641" s="4"/>
      <c r="E1641" s="4" t="str">
        <f>IFERROR(__xludf.DUMMYFUNCTION("""COMPUTED_VALUE"""),"Sin precio neto G.C.")</f>
        <v>Sin precio neto G.C.</v>
      </c>
    </row>
    <row r="1642">
      <c r="A1642" s="4" t="str">
        <f>IFERROR(__xludf.DUMMYFUNCTION("""COMPUTED_VALUE"""),"4305")</f>
        <v>4305</v>
      </c>
      <c r="B1642" s="4" t="str">
        <f>IFERROR(__xludf.DUMMYFUNCTION("""COMPUTED_VALUE"""),"Paquete 10 unid. saco plastico escombros 55x75")</f>
        <v>Paquete 10 unid. saco plastico escombros 55x75</v>
      </c>
      <c r="C1642" s="4">
        <f>IFERROR(__xludf.DUMMYFUNCTION("""COMPUTED_VALUE"""),4.47)</f>
        <v>4.47</v>
      </c>
      <c r="D1642" s="4"/>
      <c r="E1642" s="4" t="str">
        <f>IFERROR(__xludf.DUMMYFUNCTION("""COMPUTED_VALUE"""),"Sin precio neto G.C.")</f>
        <v>Sin precio neto G.C.</v>
      </c>
    </row>
    <row r="1643">
      <c r="A1643" s="4" t="str">
        <f>IFERROR(__xludf.DUMMYFUNCTION("""COMPUTED_VALUE"""),"4690")</f>
        <v>4690</v>
      </c>
      <c r="B1643" s="4" t="str">
        <f>IFERROR(__xludf.DUMMYFUNCTION("""COMPUTED_VALUE"""),"Chaleco Reflect. amarillo")</f>
        <v>Chaleco Reflect. amarillo</v>
      </c>
      <c r="C1643" s="4">
        <f>IFERROR(__xludf.DUMMYFUNCTION("""COMPUTED_VALUE"""),1.95)</f>
        <v>1.95</v>
      </c>
      <c r="D1643" s="4"/>
      <c r="E1643" s="4" t="str">
        <f>IFERROR(__xludf.DUMMYFUNCTION("""COMPUTED_VALUE"""),"Sin precio neto G.C.")</f>
        <v>Sin precio neto G.C.</v>
      </c>
    </row>
    <row r="1644">
      <c r="A1644" s="4" t="str">
        <f>IFERROR(__xludf.DUMMYFUNCTION("""COMPUTED_VALUE"""),"4691")</f>
        <v>4691</v>
      </c>
      <c r="B1644" s="4" t="str">
        <f>IFERROR(__xludf.DUMMYFUNCTION("""COMPUTED_VALUE"""),"Chaleco Reflect. naranja")</f>
        <v>Chaleco Reflect. naranja</v>
      </c>
      <c r="C1644" s="4">
        <f>IFERROR(__xludf.DUMMYFUNCTION("""COMPUTED_VALUE"""),1.95)</f>
        <v>1.95</v>
      </c>
      <c r="D1644" s="4"/>
      <c r="E1644" s="4" t="str">
        <f>IFERROR(__xludf.DUMMYFUNCTION("""COMPUTED_VALUE"""),"Sin precio neto G.C.")</f>
        <v>Sin precio neto G.C.</v>
      </c>
    </row>
    <row r="1645">
      <c r="A1645" s="4" t="str">
        <f>IFERROR(__xludf.DUMMYFUNCTION("""COMPUTED_VALUE"""),"4692")</f>
        <v>4692</v>
      </c>
      <c r="B1645" s="4" t="str">
        <f>IFERROR(__xludf.DUMMYFUNCTION("""COMPUTED_VALUE"""),"Chaleco Reflect. rejilla verano amarillo NO HOMOLOGADOS")</f>
        <v>Chaleco Reflect. rejilla verano amarillo NO HOMOLOGADOS</v>
      </c>
      <c r="C1645" s="4">
        <f>IFERROR(__xludf.DUMMYFUNCTION("""COMPUTED_VALUE"""),2.7)</f>
        <v>2.7</v>
      </c>
      <c r="D1645" s="4"/>
      <c r="E1645" s="4" t="str">
        <f>IFERROR(__xludf.DUMMYFUNCTION("""COMPUTED_VALUE"""),"Sin precio neto G.C.")</f>
        <v>Sin precio neto G.C.</v>
      </c>
    </row>
    <row r="1646">
      <c r="A1646" s="4" t="str">
        <f>IFERROR(__xludf.DUMMYFUNCTION("""COMPUTED_VALUE"""),"4695")</f>
        <v>4695</v>
      </c>
      <c r="B1646" s="4" t="str">
        <f>IFERROR(__xludf.DUMMYFUNCTION("""COMPUTED_VALUE"""),"Tirantes reflectantes amarillos NO HOMOLOGADOS")</f>
        <v>Tirantes reflectantes amarillos NO HOMOLOGADOS</v>
      </c>
      <c r="C1646" s="4">
        <f>IFERROR(__xludf.DUMMYFUNCTION("""COMPUTED_VALUE"""),2.2)</f>
        <v>2.2</v>
      </c>
      <c r="D1646" s="4"/>
      <c r="E1646" s="4" t="str">
        <f>IFERROR(__xludf.DUMMYFUNCTION("""COMPUTED_VALUE"""),"Sin precio neto G.C.")</f>
        <v>Sin precio neto G.C.</v>
      </c>
    </row>
    <row r="1647">
      <c r="A1647" s="4" t="str">
        <f>IFERROR(__xludf.DUMMYFUNCTION("""COMPUTED_VALUE"""),"4696")</f>
        <v>4696</v>
      </c>
      <c r="B1647" s="4" t="str">
        <f>IFERROR(__xludf.DUMMYFUNCTION("""COMPUTED_VALUE"""),"Tirantes reflectantes naranja NO HOMOLOGADOS")</f>
        <v>Tirantes reflectantes naranja NO HOMOLOGADOS</v>
      </c>
      <c r="C1647" s="4">
        <f>IFERROR(__xludf.DUMMYFUNCTION("""COMPUTED_VALUE"""),2.2)</f>
        <v>2.2</v>
      </c>
      <c r="D1647" s="4"/>
      <c r="E1647" s="4" t="str">
        <f>IFERROR(__xludf.DUMMYFUNCTION("""COMPUTED_VALUE"""),"Sin precio neto G.C.")</f>
        <v>Sin precio neto G.C.</v>
      </c>
    </row>
    <row r="1648">
      <c r="A1648" s="4" t="str">
        <f>IFERROR(__xludf.DUMMYFUNCTION("""COMPUTED_VALUE"""),"4700")</f>
        <v>4700</v>
      </c>
      <c r="B1648" s="4" t="str">
        <f>IFERROR(__xludf.DUMMYFUNCTION("""COMPUTED_VALUE"""),"Rollo Malla Protec Naranja (1x50mts.) 80 gr.")</f>
        <v>Rollo Malla Protec Naranja (1x50mts.) 80 gr.</v>
      </c>
      <c r="C1648" s="4">
        <f>IFERROR(__xludf.DUMMYFUNCTION("""COMPUTED_VALUE"""),18.4)</f>
        <v>18.4</v>
      </c>
      <c r="D1648" s="4">
        <f>IFERROR(__xludf.DUMMYFUNCTION("""COMPUTED_VALUE"""),14.4)</f>
        <v>14.4</v>
      </c>
      <c r="E1648" s="4" t="str">
        <f>IFERROR(__xludf.DUMMYFUNCTION("""COMPUTED_VALUE"""),"Neto G.C.: 14,40 € (a partir de 96 uds.)")</f>
        <v>Neto G.C.: 14,40 € (a partir de 96 uds.)</v>
      </c>
    </row>
    <row r="1649">
      <c r="A1649" s="4" t="str">
        <f>IFERROR(__xludf.DUMMYFUNCTION("""COMPUTED_VALUE"""),"4700A")</f>
        <v>4700A</v>
      </c>
      <c r="B1649" s="4" t="str">
        <f>IFERROR(__xludf.DUMMYFUNCTION("""COMPUTED_VALUE"""),"Rollo malla Protec Amarilla (1x50 m) 80 gr")</f>
        <v>Rollo malla Protec Amarilla (1x50 m) 80 gr</v>
      </c>
      <c r="C1649" s="4">
        <f>IFERROR(__xludf.DUMMYFUNCTION("""COMPUTED_VALUE"""),17.325)</f>
        <v>17.325</v>
      </c>
      <c r="D1649" s="4"/>
      <c r="E1649" s="4" t="str">
        <f>IFERROR(__xludf.DUMMYFUNCTION("""COMPUTED_VALUE"""),"Sin precio neto G.C.")</f>
        <v>Sin precio neto G.C.</v>
      </c>
    </row>
    <row r="1650">
      <c r="A1650" s="4" t="str">
        <f>IFERROR(__xludf.DUMMYFUNCTION("""COMPUTED_VALUE"""),"4700S")</f>
        <v>4700S</v>
      </c>
      <c r="B1650" s="4" t="str">
        <f>IFERROR(__xludf.DUMMYFUNCTION("""COMPUTED_VALUE"""),"Sistema sujeción para mallas y cinta varilla")</f>
        <v>Sistema sujeción para mallas y cinta varilla</v>
      </c>
      <c r="C1650" s="4">
        <f>IFERROR(__xludf.DUMMYFUNCTION("""COMPUTED_VALUE"""),1.25)</f>
        <v>1.25</v>
      </c>
      <c r="D1650" s="4"/>
      <c r="E1650" s="4" t="str">
        <f>IFERROR(__xludf.DUMMYFUNCTION("""COMPUTED_VALUE"""),"Sin precio neto G.C.")</f>
        <v>Sin precio neto G.C.</v>
      </c>
    </row>
    <row r="1651">
      <c r="A1651" s="4" t="str">
        <f>IFERROR(__xludf.DUMMYFUNCTION("""COMPUTED_VALUE"""),"4700V")</f>
        <v>4700V</v>
      </c>
      <c r="B1651" s="4" t="str">
        <f>IFERROR(__xludf.DUMMYFUNCTION("""COMPUTED_VALUE"""),"Rollo Malla Protec verde (1x50 m) 80 gr")</f>
        <v>Rollo Malla Protec verde (1x50 m) 80 gr</v>
      </c>
      <c r="C1651" s="4">
        <f>IFERROR(__xludf.DUMMYFUNCTION("""COMPUTED_VALUE"""),17.325)</f>
        <v>17.325</v>
      </c>
      <c r="D1651" s="4"/>
      <c r="E1651" s="4" t="str">
        <f>IFERROR(__xludf.DUMMYFUNCTION("""COMPUTED_VALUE"""),"Sin precio neto G.C.")</f>
        <v>Sin precio neto G.C.</v>
      </c>
    </row>
    <row r="1652">
      <c r="A1652" s="4" t="str">
        <f>IFERROR(__xludf.DUMMYFUNCTION("""COMPUTED_VALUE"""),"4700Z")</f>
        <v>4700Z</v>
      </c>
      <c r="B1652" s="4" t="str">
        <f>IFERROR(__xludf.DUMMYFUNCTION("""COMPUTED_VALUE"""),"Rollo malla Protec Azul (1x50 m) 80 gr")</f>
        <v>Rollo malla Protec Azul (1x50 m) 80 gr</v>
      </c>
      <c r="C1652" s="4">
        <f>IFERROR(__xludf.DUMMYFUNCTION("""COMPUTED_VALUE"""),17.325)</f>
        <v>17.325</v>
      </c>
      <c r="D1652" s="4"/>
      <c r="E1652" s="4" t="str">
        <f>IFERROR(__xludf.DUMMYFUNCTION("""COMPUTED_VALUE"""),"Sin precio neto G.C.")</f>
        <v>Sin precio neto G.C.</v>
      </c>
    </row>
    <row r="1653">
      <c r="A1653" s="4" t="str">
        <f>IFERROR(__xludf.DUMMYFUNCTION("""COMPUTED_VALUE"""),"4701")</f>
        <v>4701</v>
      </c>
      <c r="B1653" s="4" t="str">
        <f>IFERROR(__xludf.DUMMYFUNCTION("""COMPUTED_VALUE"""),"Rollo Malla Protec Naranja (1X50mts.) 100 gr.")</f>
        <v>Rollo Malla Protec Naranja (1X50mts.) 100 gr.</v>
      </c>
      <c r="C1653" s="4">
        <f>IFERROR(__xludf.DUMMYFUNCTION("""COMPUTED_VALUE"""),18.9)</f>
        <v>18.9</v>
      </c>
      <c r="D1653" s="4"/>
      <c r="E1653" s="4" t="str">
        <f>IFERROR(__xludf.DUMMYFUNCTION("""COMPUTED_VALUE"""),"Sin precio neto G.C.")</f>
        <v>Sin precio neto G.C.</v>
      </c>
    </row>
    <row r="1654">
      <c r="A1654" s="4" t="str">
        <f>IFERROR(__xludf.DUMMYFUNCTION("""COMPUTED_VALUE"""),"4702")</f>
        <v>4702</v>
      </c>
      <c r="B1654" s="4" t="str">
        <f>IFERROR(__xludf.DUMMYFUNCTION("""COMPUTED_VALUE"""),"Rollo malla fibra de vidrio Mortero-Reboco azul 1x50 m")</f>
        <v>Rollo malla fibra de vidrio Mortero-Reboco azul 1x50 m</v>
      </c>
      <c r="C1654" s="4">
        <f>IFERROR(__xludf.DUMMYFUNCTION("""COMPUTED_VALUE"""),21.0)</f>
        <v>21</v>
      </c>
      <c r="D1654" s="4"/>
      <c r="E1654" s="4" t="str">
        <f>IFERROR(__xludf.DUMMYFUNCTION("""COMPUTED_VALUE"""),"Sin precio neto G.C.")</f>
        <v>Sin precio neto G.C.</v>
      </c>
    </row>
    <row r="1655">
      <c r="A1655" s="4" t="str">
        <f>IFERROR(__xludf.DUMMYFUNCTION("""COMPUTED_VALUE"""),"4703")</f>
        <v>4703</v>
      </c>
      <c r="B1655" s="4" t="str">
        <f>IFERROR(__xludf.DUMMYFUNCTION("""COMPUTED_VALUE"""),"Rollo malla fibra de vidrio Yeso Blanca 1x50 m")</f>
        <v>Rollo malla fibra de vidrio Yeso Blanca 1x50 m</v>
      </c>
      <c r="C1655" s="4">
        <f>IFERROR(__xludf.DUMMYFUNCTION("""COMPUTED_VALUE"""),21.0)</f>
        <v>21</v>
      </c>
      <c r="D1655" s="4"/>
      <c r="E1655" s="4" t="str">
        <f>IFERROR(__xludf.DUMMYFUNCTION("""COMPUTED_VALUE"""),"Sin precio neto G.C.")</f>
        <v>Sin precio neto G.C.</v>
      </c>
    </row>
    <row r="1656">
      <c r="A1656" s="4" t="str">
        <f>IFERROR(__xludf.DUMMYFUNCTION("""COMPUTED_VALUE"""),"4704")</f>
        <v>4704</v>
      </c>
      <c r="B1656" s="4" t="str">
        <f>IFERROR(__xludf.DUMMYFUNCTION("""COMPUTED_VALUE"""),"Rollo Malla fibra de vidrio Blanca pintura 1x50 m")</f>
        <v>Rollo Malla fibra de vidrio Blanca pintura 1x50 m</v>
      </c>
      <c r="C1656" s="4">
        <f>IFERROR(__xludf.DUMMYFUNCTION("""COMPUTED_VALUE"""),21.0)</f>
        <v>21</v>
      </c>
      <c r="D1656" s="4"/>
      <c r="E1656" s="4" t="str">
        <f>IFERROR(__xludf.DUMMYFUNCTION("""COMPUTED_VALUE"""),"Sin precio neto G.C.")</f>
        <v>Sin precio neto G.C.</v>
      </c>
    </row>
    <row r="1657">
      <c r="A1657" s="4" t="str">
        <f>IFERROR(__xludf.DUMMYFUNCTION("""COMPUTED_VALUE"""),"4720")</f>
        <v>4720</v>
      </c>
      <c r="B1657" s="4" t="str">
        <f>IFERROR(__xludf.DUMMYFUNCTION("""COMPUTED_VALUE"""),"Mubo PVC señal. c/reflec. 1 mt")</f>
        <v>Mubo PVC señal. c/reflec. 1 mt</v>
      </c>
      <c r="C1657" s="4">
        <f>IFERROR(__xludf.DUMMYFUNCTION("""COMPUTED_VALUE"""),0.8)</f>
        <v>0.8</v>
      </c>
      <c r="D1657" s="4">
        <f>IFERROR(__xludf.DUMMYFUNCTION("""COMPUTED_VALUE"""),0.75)</f>
        <v>0.75</v>
      </c>
      <c r="E1657" s="4" t="str">
        <f>IFERROR(__xludf.DUMMYFUNCTION("""COMPUTED_VALUE"""),"Neto G.C.: 0,75 € (a partir de 25 uds.)")</f>
        <v>Neto G.C.: 0,75 € (a partir de 25 uds.)</v>
      </c>
    </row>
    <row r="1658">
      <c r="A1658" s="4" t="str">
        <f>IFERROR(__xludf.DUMMYFUNCTION("""COMPUTED_VALUE"""),"4730")</f>
        <v>4730</v>
      </c>
      <c r="B1658" s="4" t="str">
        <f>IFERROR(__xludf.DUMMYFUNCTION("""COMPUTED_VALUE"""),"Estaca madera 30x30x30")</f>
        <v>Estaca madera 30x30x30</v>
      </c>
      <c r="C1658" s="4">
        <f>IFERROR(__xludf.DUMMYFUNCTION("""COMPUTED_VALUE"""),0.4)</f>
        <v>0.4</v>
      </c>
      <c r="D1658" s="4"/>
      <c r="E1658" s="4" t="str">
        <f>IFERROR(__xludf.DUMMYFUNCTION("""COMPUTED_VALUE"""),"Sin precio neto G.C.")</f>
        <v>Sin precio neto G.C.</v>
      </c>
    </row>
    <row r="1659">
      <c r="A1659" s="4" t="str">
        <f>IFERROR(__xludf.DUMMYFUNCTION("""COMPUTED_VALUE"""),"4735")</f>
        <v>4735</v>
      </c>
      <c r="B1659" s="4" t="str">
        <f>IFERROR(__xludf.DUMMYFUNCTION("""COMPUTED_VALUE"""),"Estaca madera 30x30x35")</f>
        <v>Estaca madera 30x30x35</v>
      </c>
      <c r="C1659" s="4">
        <f>IFERROR(__xludf.DUMMYFUNCTION("""COMPUTED_VALUE"""),0.42)</f>
        <v>0.42</v>
      </c>
      <c r="D1659" s="4"/>
      <c r="E1659" s="4" t="str">
        <f>IFERROR(__xludf.DUMMYFUNCTION("""COMPUTED_VALUE"""),"Sin precio neto G.C.")</f>
        <v>Sin precio neto G.C.</v>
      </c>
    </row>
    <row r="1660">
      <c r="A1660" s="4" t="str">
        <f>IFERROR(__xludf.DUMMYFUNCTION("""COMPUTED_VALUE"""),"4740")</f>
        <v>4740</v>
      </c>
      <c r="B1660" s="4" t="str">
        <f>IFERROR(__xludf.DUMMYFUNCTION("""COMPUTED_VALUE"""),"Estaca madera 30x30x40")</f>
        <v>Estaca madera 30x30x40</v>
      </c>
      <c r="C1660" s="4">
        <f>IFERROR(__xludf.DUMMYFUNCTION("""COMPUTED_VALUE"""),0.4)</f>
        <v>0.4</v>
      </c>
      <c r="D1660" s="4"/>
      <c r="E1660" s="4" t="str">
        <f>IFERROR(__xludf.DUMMYFUNCTION("""COMPUTED_VALUE"""),"Sin precio neto G.C.")</f>
        <v>Sin precio neto G.C.</v>
      </c>
    </row>
    <row r="1661">
      <c r="A1661" s="4" t="str">
        <f>IFERROR(__xludf.DUMMYFUNCTION("""COMPUTED_VALUE"""),"4750")</f>
        <v>4750</v>
      </c>
      <c r="B1661" s="4" t="str">
        <f>IFERROR(__xludf.DUMMYFUNCTION("""COMPUTED_VALUE"""),"Estaca madera 30x30x50")</f>
        <v>Estaca madera 30x30x50</v>
      </c>
      <c r="C1661" s="4">
        <f>IFERROR(__xludf.DUMMYFUNCTION("""COMPUTED_VALUE"""),0.47)</f>
        <v>0.47</v>
      </c>
      <c r="D1661" s="4"/>
      <c r="E1661" s="4" t="str">
        <f>IFERROR(__xludf.DUMMYFUNCTION("""COMPUTED_VALUE"""),"Sin precio neto G.C.")</f>
        <v>Sin precio neto G.C.</v>
      </c>
    </row>
    <row r="1662">
      <c r="A1662" s="4" t="str">
        <f>IFERROR(__xludf.DUMMYFUNCTION("""COMPUTED_VALUE"""),"4760")</f>
        <v>4760</v>
      </c>
      <c r="B1662" s="4" t="str">
        <f>IFERROR(__xludf.DUMMYFUNCTION("""COMPUTED_VALUE"""),"Estaca madera 30x30x60")</f>
        <v>Estaca madera 30x30x60</v>
      </c>
      <c r="C1662" s="4">
        <f>IFERROR(__xludf.DUMMYFUNCTION("""COMPUTED_VALUE"""),0.57)</f>
        <v>0.57</v>
      </c>
      <c r="D1662" s="4"/>
      <c r="E1662" s="4" t="str">
        <f>IFERROR(__xludf.DUMMYFUNCTION("""COMPUTED_VALUE"""),"Sin precio neto G.C.")</f>
        <v>Sin precio neto G.C.</v>
      </c>
    </row>
    <row r="1663">
      <c r="A1663" s="4" t="str">
        <f>IFERROR(__xludf.DUMMYFUNCTION("""COMPUTED_VALUE"""),"4770")</f>
        <v>4770</v>
      </c>
      <c r="B1663" s="4" t="str">
        <f>IFERROR(__xludf.DUMMYFUNCTION("""COMPUTED_VALUE"""),"Estaca madera 30x30x70")</f>
        <v>Estaca madera 30x30x70</v>
      </c>
      <c r="C1663" s="4">
        <f>IFERROR(__xludf.DUMMYFUNCTION("""COMPUTED_VALUE"""),0.67)</f>
        <v>0.67</v>
      </c>
      <c r="D1663" s="4"/>
      <c r="E1663" s="4" t="str">
        <f>IFERROR(__xludf.DUMMYFUNCTION("""COMPUTED_VALUE"""),"Sin precio neto G.C.")</f>
        <v>Sin precio neto G.C.</v>
      </c>
    </row>
    <row r="1664">
      <c r="A1664" s="4" t="str">
        <f>IFERROR(__xludf.DUMMYFUNCTION("""COMPUTED_VALUE"""),"4780")</f>
        <v>4780</v>
      </c>
      <c r="B1664" s="4" t="str">
        <f>IFERROR(__xludf.DUMMYFUNCTION("""COMPUTED_VALUE"""),"Ecopate 300")</f>
        <v>Ecopate 300</v>
      </c>
      <c r="C1664" s="4">
        <f>IFERROR(__xludf.DUMMYFUNCTION("""COMPUTED_VALUE"""),5.35)</f>
        <v>5.35</v>
      </c>
      <c r="D1664" s="4">
        <f>IFERROR(__xludf.DUMMYFUNCTION("""COMPUTED_VALUE"""),4.85)</f>
        <v>4.85</v>
      </c>
      <c r="E1664" s="4" t="str">
        <f>IFERROR(__xludf.DUMMYFUNCTION("""COMPUTED_VALUE"""),"Neto G.C.: 4,85 € (a partir de 40 uds.)")</f>
        <v>Neto G.C.: 4,85 € (a partir de 40 uds.)</v>
      </c>
    </row>
    <row r="1665">
      <c r="A1665" s="4" t="str">
        <f>IFERROR(__xludf.DUMMYFUNCTION("""COMPUTED_VALUE"""),"4799")</f>
        <v>4799</v>
      </c>
      <c r="B1665" s="4" t="str">
        <f>IFERROR(__xludf.DUMMYFUNCTION("""COMPUTED_VALUE"""),"Estaca madera 30x30x100")</f>
        <v>Estaca madera 30x30x100</v>
      </c>
      <c r="C1665" s="4">
        <f>IFERROR(__xludf.DUMMYFUNCTION("""COMPUTED_VALUE"""),0.94)</f>
        <v>0.94</v>
      </c>
      <c r="D1665" s="4"/>
      <c r="E1665" s="4" t="str">
        <f>IFERROR(__xludf.DUMMYFUNCTION("""COMPUTED_VALUE"""),"Sin precio neto G.C.")</f>
        <v>Sin precio neto G.C.</v>
      </c>
    </row>
    <row r="1666">
      <c r="A1666" s="4" t="str">
        <f>IFERROR(__xludf.DUMMYFUNCTION("""COMPUTED_VALUE"""),"4887")</f>
        <v>4887</v>
      </c>
      <c r="B1666" s="4" t="str">
        <f>IFERROR(__xludf.DUMMYFUNCTION("""COMPUTED_VALUE"""),"Mtro.cuadrado malla proteccion andamio Standard")</f>
        <v>Mtro.cuadrado malla proteccion andamio Standard</v>
      </c>
      <c r="C1666" s="4">
        <f>IFERROR(__xludf.DUMMYFUNCTION("""COMPUTED_VALUE"""),0.61)</f>
        <v>0.61</v>
      </c>
      <c r="D1666" s="4"/>
      <c r="E1666" s="4" t="str">
        <f>IFERROR(__xludf.DUMMYFUNCTION("""COMPUTED_VALUE"""),"Sin precio neto G.C.")</f>
        <v>Sin precio neto G.C.</v>
      </c>
    </row>
    <row r="1667">
      <c r="A1667" s="4" t="str">
        <f>IFERROR(__xludf.DUMMYFUNCTION("""COMPUTED_VALUE"""),"4888")</f>
        <v>4888</v>
      </c>
      <c r="B1667" s="4" t="str">
        <f>IFERROR(__xludf.DUMMYFUNCTION("""COMPUTED_VALUE"""),"Mtro.cuadrado malla proteccion andamio Extra")</f>
        <v>Mtro.cuadrado malla proteccion andamio Extra</v>
      </c>
      <c r="C1667" s="4">
        <f>IFERROR(__xludf.DUMMYFUNCTION("""COMPUTED_VALUE"""),0.68)</f>
        <v>0.68</v>
      </c>
      <c r="D1667" s="4"/>
      <c r="E1667" s="4" t="str">
        <f>IFERROR(__xludf.DUMMYFUNCTION("""COMPUTED_VALUE"""),"Sin precio neto G.C.")</f>
        <v>Sin precio neto G.C.</v>
      </c>
    </row>
    <row r="1668">
      <c r="A1668" s="4" t="str">
        <f>IFERROR(__xludf.DUMMYFUNCTION("""COMPUTED_VALUE"""),"4888C")</f>
        <v>4888C</v>
      </c>
      <c r="B1668" s="4" t="str">
        <f>IFERROR(__xludf.DUMMYFUNCTION("""COMPUTED_VALUE"""),"Conector grapa para malla ojales y poste cadena (50 uds)")</f>
        <v>Conector grapa para malla ojales y poste cadena (50 uds)</v>
      </c>
      <c r="C1668" s="4">
        <f>IFERROR(__xludf.DUMMYFUNCTION("""COMPUTED_VALUE"""),6.0)</f>
        <v>6</v>
      </c>
      <c r="D1668" s="4"/>
      <c r="E1668" s="4" t="str">
        <f>IFERROR(__xludf.DUMMYFUNCTION("""COMPUTED_VALUE"""),"Sin precio neto G.C.")</f>
        <v>Sin precio neto G.C.</v>
      </c>
    </row>
    <row r="1669">
      <c r="A1669" s="4" t="str">
        <f>IFERROR(__xludf.DUMMYFUNCTION("""COMPUTED_VALUE"""),"4888G")</f>
        <v>4888G</v>
      </c>
      <c r="B1669" s="4" t="str">
        <f>IFERROR(__xludf.DUMMYFUNCTION("""COMPUTED_VALUE"""),"Grapa 35x40 mm para malla (50 uds)")</f>
        <v>Grapa 35x40 mm para malla (50 uds)</v>
      </c>
      <c r="C1669" s="4">
        <f>IFERROR(__xludf.DUMMYFUNCTION("""COMPUTED_VALUE"""),4.0)</f>
        <v>4</v>
      </c>
      <c r="D1669" s="4"/>
      <c r="E1669" s="4" t="str">
        <f>IFERROR(__xludf.DUMMYFUNCTION("""COMPUTED_VALUE"""),"Sin precio neto G.C.")</f>
        <v>Sin precio neto G.C.</v>
      </c>
    </row>
    <row r="1670">
      <c r="A1670" s="4" t="str">
        <f>IFERROR(__xludf.DUMMYFUNCTION("""COMPUTED_VALUE"""),"4890")</f>
        <v>4890</v>
      </c>
      <c r="B1670" s="4" t="str">
        <f>IFERROR(__xludf.DUMMYFUNCTION("""COMPUTED_VALUE"""),"Malla sombreo/ocultacion 70% (x M2)")</f>
        <v>Malla sombreo/ocultacion 70% (x M2)</v>
      </c>
      <c r="C1670" s="4">
        <f>IFERROR(__xludf.DUMMYFUNCTION("""COMPUTED_VALUE"""),0.545)</f>
        <v>0.545</v>
      </c>
      <c r="D1670" s="4"/>
      <c r="E1670" s="4" t="str">
        <f>IFERROR(__xludf.DUMMYFUNCTION("""COMPUTED_VALUE"""),"Sin precio neto G.C.")</f>
        <v>Sin precio neto G.C.</v>
      </c>
    </row>
    <row r="1671">
      <c r="A1671" s="4" t="str">
        <f>IFERROR(__xludf.DUMMYFUNCTION("""COMPUTED_VALUE"""),"4891")</f>
        <v>4891</v>
      </c>
      <c r="B1671" s="4" t="str">
        <f>IFERROR(__xludf.DUMMYFUNCTION("""COMPUTED_VALUE"""),"Malla sombreo/ocultacion 80% (x M2)")</f>
        <v>Malla sombreo/ocultacion 80% (x M2)</v>
      </c>
      <c r="C1671" s="4">
        <f>IFERROR(__xludf.DUMMYFUNCTION("""COMPUTED_VALUE"""),0.95)</f>
        <v>0.95</v>
      </c>
      <c r="D1671" s="4"/>
      <c r="E1671" s="4" t="str">
        <f>IFERROR(__xludf.DUMMYFUNCTION("""COMPUTED_VALUE"""),"Sin precio neto G.C.")</f>
        <v>Sin precio neto G.C.</v>
      </c>
    </row>
    <row r="1672">
      <c r="A1672" s="4" t="str">
        <f>IFERROR(__xludf.DUMMYFUNCTION("""COMPUTED_VALUE"""),"4892")</f>
        <v>4892</v>
      </c>
      <c r="B1672" s="4" t="str">
        <f>IFERROR(__xludf.DUMMYFUNCTION("""COMPUTED_VALUE"""),"Malla sombreo/ocultacion 90% (x M2)")</f>
        <v>Malla sombreo/ocultacion 90% (x M2)</v>
      </c>
      <c r="C1672" s="4">
        <f>IFERROR(__xludf.DUMMYFUNCTION("""COMPUTED_VALUE"""),1.04)</f>
        <v>1.04</v>
      </c>
      <c r="D1672" s="4"/>
      <c r="E1672" s="4" t="str">
        <f>IFERROR(__xludf.DUMMYFUNCTION("""COMPUTED_VALUE"""),"Sin precio neto G.C.")</f>
        <v>Sin precio neto G.C.</v>
      </c>
    </row>
    <row r="1673">
      <c r="A1673" s="4" t="str">
        <f>IFERROR(__xludf.DUMMYFUNCTION("""COMPUTED_VALUE"""),"4893")</f>
        <v>4893</v>
      </c>
      <c r="B1673" s="4" t="str">
        <f>IFERROR(__xludf.DUMMYFUNCTION("""COMPUTED_VALUE"""),"Malla/Tejido suelo antihierba negro/verde (x M2)")</f>
        <v>Malla/Tejido suelo antihierba negro/verde (x M2)</v>
      </c>
      <c r="C1673" s="4">
        <f>IFERROR(__xludf.DUMMYFUNCTION("""COMPUTED_VALUE"""),0.76)</f>
        <v>0.76</v>
      </c>
      <c r="D1673" s="4"/>
      <c r="E1673" s="4" t="str">
        <f>IFERROR(__xludf.DUMMYFUNCTION("""COMPUTED_VALUE"""),"Sin precio neto G.C.")</f>
        <v>Sin precio neto G.C.</v>
      </c>
    </row>
    <row r="1674">
      <c r="A1674" s="4" t="str">
        <f>IFERROR(__xludf.DUMMYFUNCTION("""COMPUTED_VALUE"""),"4894")</f>
        <v>4894</v>
      </c>
      <c r="B1674" s="4" t="str">
        <f>IFERROR(__xludf.DUMMYFUNCTION("""COMPUTED_VALUE"""),"Malla ocultacion negra/franjas 75% 3,50x1,90 blister")</f>
        <v>Malla ocultacion negra/franjas 75% 3,50x1,90 blister</v>
      </c>
      <c r="C1674" s="4">
        <f>IFERROR(__xludf.DUMMYFUNCTION("""COMPUTED_VALUE"""),5.31)</f>
        <v>5.31</v>
      </c>
      <c r="D1674" s="4"/>
      <c r="E1674" s="4" t="str">
        <f>IFERROR(__xludf.DUMMYFUNCTION("""COMPUTED_VALUE"""),"Sin precio neto G.C.")</f>
        <v>Sin precio neto G.C.</v>
      </c>
    </row>
    <row r="1675">
      <c r="A1675" s="4" t="str">
        <f>IFERROR(__xludf.DUMMYFUNCTION("""COMPUTED_VALUE"""),"4895/A")</f>
        <v>4895/A</v>
      </c>
      <c r="B1675" s="4" t="str">
        <f>IFERROR(__xludf.DUMMYFUNCTION("""COMPUTED_VALUE"""),"Malla señal. monofilamento 1x100 mts Amarilla")</f>
        <v>Malla señal. monofilamento 1x100 mts Amarilla</v>
      </c>
      <c r="C1675" s="4">
        <f>IFERROR(__xludf.DUMMYFUNCTION("""COMPUTED_VALUE"""),50.4)</f>
        <v>50.4</v>
      </c>
      <c r="D1675" s="4"/>
      <c r="E1675" s="4" t="str">
        <f>IFERROR(__xludf.DUMMYFUNCTION("""COMPUTED_VALUE"""),"Sin precio neto G.C.")</f>
        <v>Sin precio neto G.C.</v>
      </c>
    </row>
    <row r="1676">
      <c r="A1676" s="4" t="str">
        <f>IFERROR(__xludf.DUMMYFUNCTION("""COMPUTED_VALUE"""),"4895/R")</f>
        <v>4895/R</v>
      </c>
      <c r="B1676" s="4" t="str">
        <f>IFERROR(__xludf.DUMMYFUNCTION("""COMPUTED_VALUE"""),"Malla señal. monofilamento 1x100 mts Rojo")</f>
        <v>Malla señal. monofilamento 1x100 mts Rojo</v>
      </c>
      <c r="C1676" s="4">
        <f>IFERROR(__xludf.DUMMYFUNCTION("""COMPUTED_VALUE"""),50.4)</f>
        <v>50.4</v>
      </c>
      <c r="D1676" s="4"/>
      <c r="E1676" s="4" t="str">
        <f>IFERROR(__xludf.DUMMYFUNCTION("""COMPUTED_VALUE"""),"Sin precio neto G.C.")</f>
        <v>Sin precio neto G.C.</v>
      </c>
    </row>
    <row r="1677">
      <c r="A1677" s="4" t="str">
        <f>IFERROR(__xludf.DUMMYFUNCTION("""COMPUTED_VALUE"""),"4897")</f>
        <v>4897</v>
      </c>
      <c r="B1677" s="4" t="str">
        <f>IFERROR(__xludf.DUMMYFUNCTION("""COMPUTED_VALUE"""),"Malla sombreo/ocultacion 70% manto a medida (x M2)")</f>
        <v>Malla sombreo/ocultacion 70% manto a medida (x M2)</v>
      </c>
      <c r="C1677" s="4">
        <f>IFERROR(__xludf.DUMMYFUNCTION("""COMPUTED_VALUE"""),0.61)</f>
        <v>0.61</v>
      </c>
      <c r="D1677" s="4"/>
      <c r="E1677" s="4" t="str">
        <f>IFERROR(__xludf.DUMMYFUNCTION("""COMPUTED_VALUE"""),"Sin precio neto G.C.")</f>
        <v>Sin precio neto G.C.</v>
      </c>
    </row>
    <row r="1678">
      <c r="A1678" s="4" t="str">
        <f>IFERROR(__xludf.DUMMYFUNCTION("""COMPUTED_VALUE"""),"4898")</f>
        <v>4898</v>
      </c>
      <c r="B1678" s="4" t="str">
        <f>IFERROR(__xludf.DUMMYFUNCTION("""COMPUTED_VALUE"""),"Malla sombreo/ocultacion 80% manto a medida (x M2)")</f>
        <v>Malla sombreo/ocultacion 80% manto a medida (x M2)</v>
      </c>
      <c r="C1678" s="4">
        <f>IFERROR(__xludf.DUMMYFUNCTION("""COMPUTED_VALUE"""),0.89)</f>
        <v>0.89</v>
      </c>
      <c r="D1678" s="4"/>
      <c r="E1678" s="4" t="str">
        <f>IFERROR(__xludf.DUMMYFUNCTION("""COMPUTED_VALUE"""),"Sin precio neto G.C.")</f>
        <v>Sin precio neto G.C.</v>
      </c>
    </row>
    <row r="1679">
      <c r="A1679" s="4" t="str">
        <f>IFERROR(__xludf.DUMMYFUNCTION("""COMPUTED_VALUE"""),"4899")</f>
        <v>4899</v>
      </c>
      <c r="B1679" s="4" t="str">
        <f>IFERROR(__xludf.DUMMYFUNCTION("""COMPUTED_VALUE"""),"Malla sombreo/ocultacion 90% manto a medida (x M2)")</f>
        <v>Malla sombreo/ocultacion 90% manto a medida (x M2)</v>
      </c>
      <c r="C1679" s="4">
        <f>IFERROR(__xludf.DUMMYFUNCTION("""COMPUTED_VALUE"""),0.945)</f>
        <v>0.945</v>
      </c>
      <c r="D1679" s="4"/>
      <c r="E1679" s="4" t="str">
        <f>IFERROR(__xludf.DUMMYFUNCTION("""COMPUTED_VALUE"""),"Sin precio neto G.C.")</f>
        <v>Sin precio neto G.C.</v>
      </c>
    </row>
    <row r="1680">
      <c r="A1680" s="4" t="str">
        <f>IFERROR(__xludf.DUMMYFUNCTION("""COMPUTED_VALUE"""),"5100")</f>
        <v>5100</v>
      </c>
      <c r="B1680" s="4" t="str">
        <f>IFERROR(__xludf.DUMMYFUNCTION("""COMPUTED_VALUE"""),"Gafas protección G-1")</f>
        <v>Gafas protección G-1</v>
      </c>
      <c r="C1680" s="4">
        <f>IFERROR(__xludf.DUMMYFUNCTION("""COMPUTED_VALUE"""),1.14)</f>
        <v>1.14</v>
      </c>
      <c r="D1680" s="4"/>
      <c r="E1680" s="4" t="str">
        <f>IFERROR(__xludf.DUMMYFUNCTION("""COMPUTED_VALUE"""),"Sin precio neto G.C.")</f>
        <v>Sin precio neto G.C.</v>
      </c>
    </row>
    <row r="1681">
      <c r="A1681" s="4" t="str">
        <f>IFERROR(__xludf.DUMMYFUNCTION("""COMPUTED_VALUE"""),"5101")</f>
        <v>5101</v>
      </c>
      <c r="B1681" s="4" t="str">
        <f>IFERROR(__xludf.DUMMYFUNCTION("""COMPUTED_VALUE"""),"Gafas protección G-2")</f>
        <v>Gafas protección G-2</v>
      </c>
      <c r="C1681" s="4">
        <f>IFERROR(__xludf.DUMMYFUNCTION("""COMPUTED_VALUE"""),0.8)</f>
        <v>0.8</v>
      </c>
      <c r="D1681" s="4"/>
      <c r="E1681" s="4" t="str">
        <f>IFERROR(__xludf.DUMMYFUNCTION("""COMPUTED_VALUE"""),"Sin precio neto G.C.")</f>
        <v>Sin precio neto G.C.</v>
      </c>
    </row>
    <row r="1682">
      <c r="A1682" s="4" t="str">
        <f>IFERROR(__xludf.DUMMYFUNCTION("""COMPUTED_VALUE"""),"5102")</f>
        <v>5102</v>
      </c>
      <c r="B1682" s="4" t="str">
        <f>IFERROR(__xludf.DUMMYFUNCTION("""COMPUTED_VALUE"""),"Gafas protección G-3")</f>
        <v>Gafas protección G-3</v>
      </c>
      <c r="C1682" s="4">
        <f>IFERROR(__xludf.DUMMYFUNCTION("""COMPUTED_VALUE"""),1.38)</f>
        <v>1.38</v>
      </c>
      <c r="D1682" s="4"/>
      <c r="E1682" s="4" t="str">
        <f>IFERROR(__xludf.DUMMYFUNCTION("""COMPUTED_VALUE"""),"Sin precio neto G.C.")</f>
        <v>Sin precio neto G.C.</v>
      </c>
    </row>
    <row r="1683">
      <c r="A1683" s="4" t="str">
        <f>IFERROR(__xludf.DUMMYFUNCTION("""COMPUTED_VALUE"""),"5105")</f>
        <v>5105</v>
      </c>
      <c r="B1683" s="4" t="str">
        <f>IFERROR(__xludf.DUMMYFUNCTION("""COMPUTED_VALUE"""),"Pantalla protectora facial fija Basic")</f>
        <v>Pantalla protectora facial fija Basic</v>
      </c>
      <c r="C1683" s="4">
        <f>IFERROR(__xludf.DUMMYFUNCTION("""COMPUTED_VALUE"""),2.1)</f>
        <v>2.1</v>
      </c>
      <c r="D1683" s="4"/>
      <c r="E1683" s="4" t="str">
        <f>IFERROR(__xludf.DUMMYFUNCTION("""COMPUTED_VALUE"""),"Sin precio neto G.C.")</f>
        <v>Sin precio neto G.C.</v>
      </c>
    </row>
    <row r="1684">
      <c r="A1684" s="4" t="str">
        <f>IFERROR(__xludf.DUMMYFUNCTION("""COMPUTED_VALUE"""),"5200")</f>
        <v>5200</v>
      </c>
      <c r="B1684" s="4" t="str">
        <f>IFERROR(__xludf.DUMMYFUNCTION("""COMPUTED_VALUE"""),"Tapones proteccion auditiva c/ cordón")</f>
        <v>Tapones proteccion auditiva c/ cordón</v>
      </c>
      <c r="C1684" s="4">
        <f>IFERROR(__xludf.DUMMYFUNCTION("""COMPUTED_VALUE"""),0.23)</f>
        <v>0.23</v>
      </c>
      <c r="D1684" s="4"/>
      <c r="E1684" s="4" t="str">
        <f>IFERROR(__xludf.DUMMYFUNCTION("""COMPUTED_VALUE"""),"Sin precio neto G.C.")</f>
        <v>Sin precio neto G.C.</v>
      </c>
    </row>
    <row r="1685">
      <c r="A1685" s="4" t="str">
        <f>IFERROR(__xludf.DUMMYFUNCTION("""COMPUTED_VALUE"""),"5201")</f>
        <v>5201</v>
      </c>
      <c r="B1685" s="4" t="str">
        <f>IFERROR(__xludf.DUMMYFUNCTION("""COMPUTED_VALUE"""),"Cascos proteccion auditiva mod. A")</f>
        <v>Cascos proteccion auditiva mod. A</v>
      </c>
      <c r="C1685" s="4">
        <f>IFERROR(__xludf.DUMMYFUNCTION("""COMPUTED_VALUE"""),2.53)</f>
        <v>2.53</v>
      </c>
      <c r="D1685" s="4"/>
      <c r="E1685" s="4" t="str">
        <f>IFERROR(__xludf.DUMMYFUNCTION("""COMPUTED_VALUE"""),"Sin precio neto G.C.")</f>
        <v>Sin precio neto G.C.</v>
      </c>
    </row>
    <row r="1686">
      <c r="A1686" s="4" t="str">
        <f>IFERROR(__xludf.DUMMYFUNCTION("""COMPUTED_VALUE"""),"5300L")</f>
        <v>5300L</v>
      </c>
      <c r="B1686" s="4" t="str">
        <f>IFERROR(__xludf.DUMMYFUNCTION("""COMPUTED_VALUE"""),"Faja elastica proteccion lumbar Talla L")</f>
        <v>Faja elastica proteccion lumbar Talla L</v>
      </c>
      <c r="C1686" s="4">
        <f>IFERROR(__xludf.DUMMYFUNCTION("""COMPUTED_VALUE"""),7.9)</f>
        <v>7.9</v>
      </c>
      <c r="D1686" s="4"/>
      <c r="E1686" s="4" t="str">
        <f>IFERROR(__xludf.DUMMYFUNCTION("""COMPUTED_VALUE"""),"Sin precio neto G.C.")</f>
        <v>Sin precio neto G.C.</v>
      </c>
    </row>
    <row r="1687">
      <c r="A1687" s="4" t="str">
        <f>IFERROR(__xludf.DUMMYFUNCTION("""COMPUTED_VALUE"""),"5300XL")</f>
        <v>5300XL</v>
      </c>
      <c r="B1687" s="4" t="str">
        <f>IFERROR(__xludf.DUMMYFUNCTION("""COMPUTED_VALUE"""),"Faja elastica proteccion lumbar Talla XL")</f>
        <v>Faja elastica proteccion lumbar Talla XL</v>
      </c>
      <c r="C1687" s="4">
        <f>IFERROR(__xludf.DUMMYFUNCTION("""COMPUTED_VALUE"""),7.9)</f>
        <v>7.9</v>
      </c>
      <c r="D1687" s="4"/>
      <c r="E1687" s="4" t="str">
        <f>IFERROR(__xludf.DUMMYFUNCTION("""COMPUTED_VALUE"""),"Sin precio neto G.C.")</f>
        <v>Sin precio neto G.C.</v>
      </c>
    </row>
    <row r="1688">
      <c r="A1688" s="4" t="str">
        <f>IFERROR(__xludf.DUMMYFUNCTION("""COMPUTED_VALUE"""),"5300XXL")</f>
        <v>5300XXL</v>
      </c>
      <c r="B1688" s="4" t="str">
        <f>IFERROR(__xludf.DUMMYFUNCTION("""COMPUTED_VALUE"""),"Faja elastica proteccion lumbar Talla XXL")</f>
        <v>Faja elastica proteccion lumbar Talla XXL</v>
      </c>
      <c r="C1688" s="4">
        <f>IFERROR(__xludf.DUMMYFUNCTION("""COMPUTED_VALUE"""),7.9)</f>
        <v>7.9</v>
      </c>
      <c r="D1688" s="4"/>
      <c r="E1688" s="4" t="str">
        <f>IFERROR(__xludf.DUMMYFUNCTION("""COMPUTED_VALUE"""),"Sin precio neto G.C.")</f>
        <v>Sin precio neto G.C.</v>
      </c>
    </row>
    <row r="1689">
      <c r="A1689" s="4" t="str">
        <f>IFERROR(__xludf.DUMMYFUNCTION("""COMPUTED_VALUE"""),"7000")</f>
        <v>7000</v>
      </c>
      <c r="B1689" s="4" t="str">
        <f>IFERROR(__xludf.DUMMYFUNCTION("""COMPUTED_VALUE"""),"Spray fluo 500 ml S MARK rojo")</f>
        <v>Spray fluo 500 ml S MARK rojo</v>
      </c>
      <c r="C1689" s="4">
        <f>IFERROR(__xludf.DUMMYFUNCTION("""COMPUTED_VALUE"""),4.7)</f>
        <v>4.7</v>
      </c>
      <c r="D1689" s="4"/>
      <c r="E1689" s="4" t="str">
        <f>IFERROR(__xludf.DUMMYFUNCTION("""COMPUTED_VALUE"""),"Sin precio neto G.C.")</f>
        <v>Sin precio neto G.C.</v>
      </c>
    </row>
    <row r="1690">
      <c r="A1690" s="4" t="str">
        <f>IFERROR(__xludf.DUMMYFUNCTION("""COMPUTED_VALUE"""),"7001")</f>
        <v>7001</v>
      </c>
      <c r="B1690" s="4" t="str">
        <f>IFERROR(__xludf.DUMMYFUNCTION("""COMPUTED_VALUE"""),"Spray fluo 500 ml S MARK azul")</f>
        <v>Spray fluo 500 ml S MARK azul</v>
      </c>
      <c r="C1690" s="4">
        <f>IFERROR(__xludf.DUMMYFUNCTION("""COMPUTED_VALUE"""),4.7)</f>
        <v>4.7</v>
      </c>
      <c r="D1690" s="4"/>
      <c r="E1690" s="4" t="str">
        <f>IFERROR(__xludf.DUMMYFUNCTION("""COMPUTED_VALUE"""),"Sin precio neto G.C.")</f>
        <v>Sin precio neto G.C.</v>
      </c>
    </row>
    <row r="1691">
      <c r="A1691" s="4" t="str">
        <f>IFERROR(__xludf.DUMMYFUNCTION("""COMPUTED_VALUE"""),"7002")</f>
        <v>7002</v>
      </c>
      <c r="B1691" s="4" t="str">
        <f>IFERROR(__xludf.DUMMYFUNCTION("""COMPUTED_VALUE"""),"Spray fluo 500 ml S MARK amarillo")</f>
        <v>Spray fluo 500 ml S MARK amarillo</v>
      </c>
      <c r="C1691" s="4">
        <f>IFERROR(__xludf.DUMMYFUNCTION("""COMPUTED_VALUE"""),4.7)</f>
        <v>4.7</v>
      </c>
      <c r="D1691" s="4"/>
      <c r="E1691" s="4" t="str">
        <f>IFERROR(__xludf.DUMMYFUNCTION("""COMPUTED_VALUE"""),"Sin precio neto G.C.")</f>
        <v>Sin precio neto G.C.</v>
      </c>
    </row>
    <row r="1692">
      <c r="A1692" s="4" t="str">
        <f>IFERROR(__xludf.DUMMYFUNCTION("""COMPUTED_VALUE"""),"7003")</f>
        <v>7003</v>
      </c>
      <c r="B1692" s="4" t="str">
        <f>IFERROR(__xludf.DUMMYFUNCTION("""COMPUTED_VALUE"""),"Spray fluo 500 ml S MARK verde")</f>
        <v>Spray fluo 500 ml S MARK verde</v>
      </c>
      <c r="C1692" s="4">
        <f>IFERROR(__xludf.DUMMYFUNCTION("""COMPUTED_VALUE"""),4.7)</f>
        <v>4.7</v>
      </c>
      <c r="D1692" s="4"/>
      <c r="E1692" s="4" t="str">
        <f>IFERROR(__xludf.DUMMYFUNCTION("""COMPUTED_VALUE"""),"Sin precio neto G.C.")</f>
        <v>Sin precio neto G.C.</v>
      </c>
    </row>
    <row r="1693">
      <c r="A1693" s="4" t="str">
        <f>IFERROR(__xludf.DUMMYFUNCTION("""COMPUTED_VALUE"""),"7003A")</f>
        <v>7003A</v>
      </c>
      <c r="B1693" s="4" t="str">
        <f>IFERROR(__xludf.DUMMYFUNCTION("""COMPUTED_VALUE"""),"Loseta/superficie para guía peatonal Mod A")</f>
        <v>Loseta/superficie para guía peatonal Mod A</v>
      </c>
      <c r="C1693" s="4">
        <f>IFERROR(__xludf.DUMMYFUNCTION("""COMPUTED_VALUE"""),9.4)</f>
        <v>9.4</v>
      </c>
      <c r="D1693" s="4"/>
      <c r="E1693" s="4" t="str">
        <f>IFERROR(__xludf.DUMMYFUNCTION("""COMPUTED_VALUE"""),"Sin precio neto G.C.")</f>
        <v>Sin precio neto G.C.</v>
      </c>
    </row>
    <row r="1694">
      <c r="A1694" s="4" t="str">
        <f>IFERROR(__xludf.DUMMYFUNCTION("""COMPUTED_VALUE"""),"7004")</f>
        <v>7004</v>
      </c>
      <c r="B1694" s="4" t="str">
        <f>IFERROR(__xludf.DUMMYFUNCTION("""COMPUTED_VALUE"""),"Spray fluo 500 ml S MARK rosa")</f>
        <v>Spray fluo 500 ml S MARK rosa</v>
      </c>
      <c r="C1694" s="4">
        <f>IFERROR(__xludf.DUMMYFUNCTION("""COMPUTED_VALUE"""),4.7)</f>
        <v>4.7</v>
      </c>
      <c r="D1694" s="4"/>
      <c r="E1694" s="4" t="str">
        <f>IFERROR(__xludf.DUMMYFUNCTION("""COMPUTED_VALUE"""),"Sin precio neto G.C.")</f>
        <v>Sin precio neto G.C.</v>
      </c>
    </row>
    <row r="1695">
      <c r="A1695" s="4" t="str">
        <f>IFERROR(__xludf.DUMMYFUNCTION("""COMPUTED_VALUE"""),"7004B")</f>
        <v>7004B</v>
      </c>
      <c r="B1695" s="4" t="str">
        <f>IFERROR(__xludf.DUMMYFUNCTION("""COMPUTED_VALUE"""),"Loseta/superficie para guía peatonal Mod B")</f>
        <v>Loseta/superficie para guía peatonal Mod B</v>
      </c>
      <c r="C1695" s="4">
        <f>IFERROR(__xludf.DUMMYFUNCTION("""COMPUTED_VALUE"""),9.4)</f>
        <v>9.4</v>
      </c>
      <c r="D1695" s="4"/>
      <c r="E1695" s="4" t="str">
        <f>IFERROR(__xludf.DUMMYFUNCTION("""COMPUTED_VALUE"""),"Sin precio neto G.C.")</f>
        <v>Sin precio neto G.C.</v>
      </c>
    </row>
    <row r="1696">
      <c r="A1696" s="4" t="str">
        <f>IFERROR(__xludf.DUMMYFUNCTION("""COMPUTED_VALUE"""),"7005")</f>
        <v>7005</v>
      </c>
      <c r="B1696" s="4" t="str">
        <f>IFERROR(__xludf.DUMMYFUNCTION("""COMPUTED_VALUE"""),"Spray fluo 500 ml S MARK naranja")</f>
        <v>Spray fluo 500 ml S MARK naranja</v>
      </c>
      <c r="C1696" s="4">
        <f>IFERROR(__xludf.DUMMYFUNCTION("""COMPUTED_VALUE"""),4.7)</f>
        <v>4.7</v>
      </c>
      <c r="D1696" s="4"/>
      <c r="E1696" s="4" t="str">
        <f>IFERROR(__xludf.DUMMYFUNCTION("""COMPUTED_VALUE"""),"Sin precio neto G.C.")</f>
        <v>Sin precio neto G.C.</v>
      </c>
    </row>
    <row r="1697">
      <c r="A1697" s="4" t="str">
        <f>IFERROR(__xludf.DUMMYFUNCTION("""COMPUTED_VALUE"""),"7010")</f>
        <v>7010</v>
      </c>
      <c r="B1697" s="4" t="str">
        <f>IFERROR(__xludf.DUMMYFUNCTION("""COMPUTED_VALUE"""),"Spray Fluo 360º 500 ml IDEAL rojo")</f>
        <v>Spray Fluo 360º 500 ml IDEAL rojo</v>
      </c>
      <c r="C1697" s="4">
        <f>IFERROR(__xludf.DUMMYFUNCTION("""COMPUTED_VALUE"""),4.97)</f>
        <v>4.97</v>
      </c>
      <c r="D1697" s="4"/>
      <c r="E1697" s="4" t="str">
        <f>IFERROR(__xludf.DUMMYFUNCTION("""COMPUTED_VALUE"""),"Sin precio neto G.C.")</f>
        <v>Sin precio neto G.C.</v>
      </c>
    </row>
    <row r="1698">
      <c r="A1698" s="4" t="str">
        <f>IFERROR(__xludf.DUMMYFUNCTION("""COMPUTED_VALUE"""),"7011")</f>
        <v>7011</v>
      </c>
      <c r="B1698" s="4" t="str">
        <f>IFERROR(__xludf.DUMMYFUNCTION("""COMPUTED_VALUE"""),"Spray Fluo 360º 500 ml IDEAL azul")</f>
        <v>Spray Fluo 360º 500 ml IDEAL azul</v>
      </c>
      <c r="C1698" s="4">
        <f>IFERROR(__xludf.DUMMYFUNCTION("""COMPUTED_VALUE"""),4.97)</f>
        <v>4.97</v>
      </c>
      <c r="D1698" s="4"/>
      <c r="E1698" s="4" t="str">
        <f>IFERROR(__xludf.DUMMYFUNCTION("""COMPUTED_VALUE"""),"Sin precio neto G.C.")</f>
        <v>Sin precio neto G.C.</v>
      </c>
    </row>
    <row r="1699">
      <c r="A1699" s="4" t="str">
        <f>IFERROR(__xludf.DUMMYFUNCTION("""COMPUTED_VALUE"""),"7012")</f>
        <v>7012</v>
      </c>
      <c r="B1699" s="4" t="str">
        <f>IFERROR(__xludf.DUMMYFUNCTION("""COMPUTED_VALUE"""),"Spray Fluo 360º 500 ml IDEAL amarillo")</f>
        <v>Spray Fluo 360º 500 ml IDEAL amarillo</v>
      </c>
      <c r="C1699" s="4">
        <f>IFERROR(__xludf.DUMMYFUNCTION("""COMPUTED_VALUE"""),4.97)</f>
        <v>4.97</v>
      </c>
      <c r="D1699" s="4"/>
      <c r="E1699" s="4" t="str">
        <f>IFERROR(__xludf.DUMMYFUNCTION("""COMPUTED_VALUE"""),"Sin precio neto G.C.")</f>
        <v>Sin precio neto G.C.</v>
      </c>
    </row>
    <row r="1700">
      <c r="A1700" s="4" t="str">
        <f>IFERROR(__xludf.DUMMYFUNCTION("""COMPUTED_VALUE"""),"7014")</f>
        <v>7014</v>
      </c>
      <c r="B1700" s="4" t="str">
        <f>IFERROR(__xludf.DUMMYFUNCTION("""COMPUTED_VALUE"""),"Spray Fluo 360º 500 ml IDEAL rosa")</f>
        <v>Spray Fluo 360º 500 ml IDEAL rosa</v>
      </c>
      <c r="C1700" s="4">
        <f>IFERROR(__xludf.DUMMYFUNCTION("""COMPUTED_VALUE"""),4.97)</f>
        <v>4.97</v>
      </c>
      <c r="D1700" s="4"/>
      <c r="E1700" s="4" t="str">
        <f>IFERROR(__xludf.DUMMYFUNCTION("""COMPUTED_VALUE"""),"Sin precio neto G.C.")</f>
        <v>Sin precio neto G.C.</v>
      </c>
    </row>
    <row r="1701">
      <c r="A1701" s="4" t="str">
        <f>IFERROR(__xludf.DUMMYFUNCTION("""COMPUTED_VALUE"""),"7020")</f>
        <v>7020</v>
      </c>
      <c r="B1701" s="4" t="str">
        <f>IFERROR(__xludf.DUMMYFUNCTION("""COMPUTED_VALUE"""),"Spray 500 ml Line Marker Blanco")</f>
        <v>Spray 500 ml Line Marker Blanco</v>
      </c>
      <c r="C1701" s="4">
        <f>IFERROR(__xludf.DUMMYFUNCTION("""COMPUTED_VALUE"""),7.615)</f>
        <v>7.615</v>
      </c>
      <c r="D1701" s="4"/>
      <c r="E1701" s="4" t="str">
        <f>IFERROR(__xludf.DUMMYFUNCTION("""COMPUTED_VALUE"""),"Sin precio neto G.C.")</f>
        <v>Sin precio neto G.C.</v>
      </c>
    </row>
    <row r="1702">
      <c r="A1702" s="4" t="str">
        <f>IFERROR(__xludf.DUMMYFUNCTION("""COMPUTED_VALUE"""),"7022")</f>
        <v>7022</v>
      </c>
      <c r="B1702" s="4" t="str">
        <f>IFERROR(__xludf.DUMMYFUNCTION("""COMPUTED_VALUE"""),"Spray 500 ml Line Marker Amarillo")</f>
        <v>Spray 500 ml Line Marker Amarillo</v>
      </c>
      <c r="C1702" s="4">
        <f>IFERROR(__xludf.DUMMYFUNCTION("""COMPUTED_VALUE"""),7.615)</f>
        <v>7.615</v>
      </c>
      <c r="D1702" s="4"/>
      <c r="E1702" s="4" t="str">
        <f>IFERROR(__xludf.DUMMYFUNCTION("""COMPUTED_VALUE"""),"Sin precio neto G.C.")</f>
        <v>Sin precio neto G.C.</v>
      </c>
    </row>
    <row r="1703">
      <c r="A1703" s="4" t="str">
        <f>IFERROR(__xludf.DUMMYFUNCTION("""COMPUTED_VALUE"""),"7025")</f>
        <v>7025</v>
      </c>
      <c r="B1703" s="4" t="str">
        <f>IFERROR(__xludf.DUMMYFUNCTION("""COMPUTED_VALUE"""),"Spray Pintura Luminiscente 400 ml")</f>
        <v>Spray Pintura Luminiscente 400 ml</v>
      </c>
      <c r="C1703" s="4">
        <f>IFERROR(__xludf.DUMMYFUNCTION("""COMPUTED_VALUE"""),18.375)</f>
        <v>18.375</v>
      </c>
      <c r="D1703" s="4"/>
      <c r="E1703" s="4" t="str">
        <f>IFERROR(__xludf.DUMMYFUNCTION("""COMPUTED_VALUE"""),"Sin precio neto G.C.")</f>
        <v>Sin precio neto G.C.</v>
      </c>
    </row>
    <row r="1704">
      <c r="A1704" s="4" t="str">
        <f>IFERROR(__xludf.DUMMYFUNCTION("""COMPUTED_VALUE"""),"80135N1")</f>
        <v>80135N1</v>
      </c>
      <c r="B1704" s="4" t="str">
        <f>IFERROR(__xludf.DUMMYFUNCTION("""COMPUTED_VALUE"""),"Triangulo MOPU TP 135 cm Reflex I")</f>
        <v>Triangulo MOPU TP 135 cm Reflex I</v>
      </c>
      <c r="C1704" s="4">
        <f>IFERROR(__xludf.DUMMYFUNCTION("""COMPUTED_VALUE"""),81.06)</f>
        <v>81.06</v>
      </c>
      <c r="D1704" s="4"/>
      <c r="E1704" s="4" t="str">
        <f>IFERROR(__xludf.DUMMYFUNCTION("""COMPUTED_VALUE"""),"Sin precio neto G.C.")</f>
        <v>Sin precio neto G.C.</v>
      </c>
    </row>
    <row r="1705">
      <c r="A1705" s="4" t="str">
        <f>IFERROR(__xludf.DUMMYFUNCTION("""COMPUTED_VALUE"""),"80135N2")</f>
        <v>80135N2</v>
      </c>
      <c r="B1705" s="4" t="str">
        <f>IFERROR(__xludf.DUMMYFUNCTION("""COMPUTED_VALUE"""),"Triangulo MOPU TD 135 cm Reflex II")</f>
        <v>Triangulo MOPU TD 135 cm Reflex II</v>
      </c>
      <c r="C1705" s="4">
        <f>IFERROR(__xludf.DUMMYFUNCTION("""COMPUTED_VALUE"""),117.39)</f>
        <v>117.39</v>
      </c>
      <c r="D1705" s="4"/>
      <c r="E1705" s="4" t="str">
        <f>IFERROR(__xludf.DUMMYFUNCTION("""COMPUTED_VALUE"""),"Sin precio neto G.C.")</f>
        <v>Sin precio neto G.C.</v>
      </c>
    </row>
    <row r="1706">
      <c r="A1706" s="4" t="str">
        <f>IFERROR(__xludf.DUMMYFUNCTION("""COMPUTED_VALUE"""),"80135N3")</f>
        <v>80135N3</v>
      </c>
      <c r="B1706" s="4" t="str">
        <f>IFERROR(__xludf.DUMMYFUNCTION("""COMPUTED_VALUE"""),"Triangulo MOPU TD 135 cm Reflex III")</f>
        <v>Triangulo MOPU TD 135 cm Reflex III</v>
      </c>
      <c r="C1706" s="4">
        <f>IFERROR(__xludf.DUMMYFUNCTION("""COMPUTED_VALUE"""),156.4)</f>
        <v>156.4</v>
      </c>
      <c r="D1706" s="4"/>
      <c r="E1706" s="4" t="str">
        <f>IFERROR(__xludf.DUMMYFUNCTION("""COMPUTED_VALUE"""),"Sin precio neto G.C.")</f>
        <v>Sin precio neto G.C.</v>
      </c>
    </row>
    <row r="1707">
      <c r="A1707" s="4" t="str">
        <f>IFERROR(__xludf.DUMMYFUNCTION("""COMPUTED_VALUE"""),"80175N1")</f>
        <v>80175N1</v>
      </c>
      <c r="B1707" s="4" t="str">
        <f>IFERROR(__xludf.DUMMYFUNCTION("""COMPUTED_VALUE"""),"Triangulo MOPU TD 175 cm Reflex I")</f>
        <v>Triangulo MOPU TD 175 cm Reflex I</v>
      </c>
      <c r="C1707" s="4">
        <f>IFERROR(__xludf.DUMMYFUNCTION("""COMPUTED_VALUE"""),178.76)</f>
        <v>178.76</v>
      </c>
      <c r="D1707" s="4"/>
      <c r="E1707" s="4" t="str">
        <f>IFERROR(__xludf.DUMMYFUNCTION("""COMPUTED_VALUE"""),"Sin precio neto G.C.")</f>
        <v>Sin precio neto G.C.</v>
      </c>
    </row>
    <row r="1708">
      <c r="A1708" s="4" t="str">
        <f>IFERROR(__xludf.DUMMYFUNCTION("""COMPUTED_VALUE"""),"80175N2")</f>
        <v>80175N2</v>
      </c>
      <c r="B1708" s="4" t="str">
        <f>IFERROR(__xludf.DUMMYFUNCTION("""COMPUTED_VALUE"""),"Triangulo MOPU TD 175 cm Reflex II")</f>
        <v>Triangulo MOPU TD 175 cm Reflex II</v>
      </c>
      <c r="C1708" s="4">
        <f>IFERROR(__xludf.DUMMYFUNCTION("""COMPUTED_VALUE"""),224.66)</f>
        <v>224.66</v>
      </c>
      <c r="D1708" s="4"/>
      <c r="E1708" s="4" t="str">
        <f>IFERROR(__xludf.DUMMYFUNCTION("""COMPUTED_VALUE"""),"Sin precio neto G.C.")</f>
        <v>Sin precio neto G.C.</v>
      </c>
    </row>
    <row r="1709">
      <c r="A1709" s="4" t="str">
        <f>IFERROR(__xludf.DUMMYFUNCTION("""COMPUTED_VALUE"""),"80175N3")</f>
        <v>80175N3</v>
      </c>
      <c r="B1709" s="4" t="str">
        <f>IFERROR(__xludf.DUMMYFUNCTION("""COMPUTED_VALUE"""),"Triangulo MOPU TD 175 cm Reflex III")</f>
        <v>Triangulo MOPU TD 175 cm Reflex III</v>
      </c>
      <c r="C1709" s="4">
        <f>IFERROR(__xludf.DUMMYFUNCTION("""COMPUTED_VALUE"""),286.88)</f>
        <v>286.88</v>
      </c>
      <c r="D1709" s="4"/>
      <c r="E1709" s="4" t="str">
        <f>IFERROR(__xludf.DUMMYFUNCTION("""COMPUTED_VALUE"""),"Sin precio neto G.C.")</f>
        <v>Sin precio neto G.C.</v>
      </c>
    </row>
    <row r="1710">
      <c r="A1710" s="4" t="str">
        <f>IFERROR(__xludf.DUMMYFUNCTION("""COMPUTED_VALUE"""),"8070N1")</f>
        <v>8070N1</v>
      </c>
      <c r="B1710" s="4" t="str">
        <f>IFERROR(__xludf.DUMMYFUNCTION("""COMPUTED_VALUE"""),"Triangulo MOPU TP 70 cm Reflex I")</f>
        <v>Triangulo MOPU TP 70 cm Reflex I</v>
      </c>
      <c r="C1710" s="4">
        <f>IFERROR(__xludf.DUMMYFUNCTION("""COMPUTED_VALUE"""),24.0)</f>
        <v>24</v>
      </c>
      <c r="D1710" s="4">
        <f>IFERROR(__xludf.DUMMYFUNCTION("""COMPUTED_VALUE"""),21.5)</f>
        <v>21.5</v>
      </c>
      <c r="E1710" s="4" t="str">
        <f>IFERROR(__xludf.DUMMYFUNCTION("""COMPUTED_VALUE"""),"Neto G.C.: 21,50 € (a partir de 1 uds.)")</f>
        <v>Neto G.C.: 21,50 € (a partir de 1 uds.)</v>
      </c>
    </row>
    <row r="1711">
      <c r="A1711" s="4" t="str">
        <f>IFERROR(__xludf.DUMMYFUNCTION("""COMPUTED_VALUE"""),"8070N2")</f>
        <v>8070N2</v>
      </c>
      <c r="B1711" s="4" t="str">
        <f>IFERROR(__xludf.DUMMYFUNCTION("""COMPUTED_VALUE"""),"Triangulo MOPU TP 70 cm Reflex II")</f>
        <v>Triangulo MOPU TP 70 cm Reflex II</v>
      </c>
      <c r="C1711" s="4">
        <f>IFERROR(__xludf.DUMMYFUNCTION("""COMPUTED_VALUE"""),31.0)</f>
        <v>31</v>
      </c>
      <c r="D1711" s="4"/>
      <c r="E1711" s="4" t="str">
        <f>IFERROR(__xludf.DUMMYFUNCTION("""COMPUTED_VALUE"""),"Sin precio neto G.C.")</f>
        <v>Sin precio neto G.C.</v>
      </c>
    </row>
    <row r="1712">
      <c r="A1712" s="4" t="str">
        <f>IFERROR(__xludf.DUMMYFUNCTION("""COMPUTED_VALUE"""),"8070N3")</f>
        <v>8070N3</v>
      </c>
      <c r="B1712" s="4" t="str">
        <f>IFERROR(__xludf.DUMMYFUNCTION("""COMPUTED_VALUE"""),"Triangulo MOPU TP 70 cm Reflex III")</f>
        <v>Triangulo MOPU TP 70 cm Reflex III</v>
      </c>
      <c r="C1712" s="4">
        <f>IFERROR(__xludf.DUMMYFUNCTION("""COMPUTED_VALUE"""),49.98)</f>
        <v>49.98</v>
      </c>
      <c r="D1712" s="4"/>
      <c r="E1712" s="4" t="str">
        <f>IFERROR(__xludf.DUMMYFUNCTION("""COMPUTED_VALUE"""),"Sin precio neto G.C.")</f>
        <v>Sin precio neto G.C.</v>
      </c>
    </row>
    <row r="1713">
      <c r="A1713" s="4" t="str">
        <f>IFERROR(__xludf.DUMMYFUNCTION("""COMPUTED_VALUE"""),"8090N1")</f>
        <v>8090N1</v>
      </c>
      <c r="B1713" s="4" t="str">
        <f>IFERROR(__xludf.DUMMYFUNCTION("""COMPUTED_VALUE"""),"Triangulo MOPU TP 90 cm Reflex I")</f>
        <v>Triangulo MOPU TP 90 cm Reflex I</v>
      </c>
      <c r="C1713" s="4">
        <f>IFERROR(__xludf.DUMMYFUNCTION("""COMPUTED_VALUE"""),44.25)</f>
        <v>44.25</v>
      </c>
      <c r="D1713" s="4">
        <f>IFERROR(__xludf.DUMMYFUNCTION("""COMPUTED_VALUE"""),31.8)</f>
        <v>31.8</v>
      </c>
      <c r="E1713" s="4" t="str">
        <f>IFERROR(__xludf.DUMMYFUNCTION("""COMPUTED_VALUE"""),"Neto G.C.: 31,80 € (a partir de 1 uds.)")</f>
        <v>Neto G.C.: 31,80 € (a partir de 1 uds.)</v>
      </c>
    </row>
    <row r="1714">
      <c r="A1714" s="4" t="str">
        <f>IFERROR(__xludf.DUMMYFUNCTION("""COMPUTED_VALUE"""),"8090N2")</f>
        <v>8090N2</v>
      </c>
      <c r="B1714" s="4" t="str">
        <f>IFERROR(__xludf.DUMMYFUNCTION("""COMPUTED_VALUE"""),"Triangulo MOPU TP 90 cm Reflex II")</f>
        <v>Triangulo MOPU TP 90 cm Reflex II</v>
      </c>
      <c r="C1714" s="4">
        <f>IFERROR(__xludf.DUMMYFUNCTION("""COMPUTED_VALUE"""),56.95)</f>
        <v>56.95</v>
      </c>
      <c r="D1714" s="4"/>
      <c r="E1714" s="4" t="str">
        <f>IFERROR(__xludf.DUMMYFUNCTION("""COMPUTED_VALUE"""),"Sin precio neto G.C.")</f>
        <v>Sin precio neto G.C.</v>
      </c>
    </row>
    <row r="1715">
      <c r="A1715" s="4" t="str">
        <f>IFERROR(__xludf.DUMMYFUNCTION("""COMPUTED_VALUE"""),"8090N3")</f>
        <v>8090N3</v>
      </c>
      <c r="B1715" s="4" t="str">
        <f>IFERROR(__xludf.DUMMYFUNCTION("""COMPUTED_VALUE"""),"Triangulo MOPU TP 90 cm Reflex III")</f>
        <v>Triangulo MOPU TP 90 cm Reflex III</v>
      </c>
      <c r="C1715" s="4">
        <f>IFERROR(__xludf.DUMMYFUNCTION("""COMPUTED_VALUE"""),79.22)</f>
        <v>79.22</v>
      </c>
      <c r="D1715" s="4"/>
      <c r="E1715" s="4" t="str">
        <f>IFERROR(__xludf.DUMMYFUNCTION("""COMPUTED_VALUE"""),"Sin precio neto G.C.")</f>
        <v>Sin precio neto G.C.</v>
      </c>
    </row>
    <row r="1716">
      <c r="A1716" s="4" t="str">
        <f>IFERROR(__xludf.DUMMYFUNCTION("""COMPUTED_VALUE"""),"81120N1")</f>
        <v>81120N1</v>
      </c>
      <c r="B1716" s="4" t="str">
        <f>IFERROR(__xludf.DUMMYFUNCTION("""COMPUTED_VALUE"""),"Disco MOPU TR 120 cm Reflex I")</f>
        <v>Disco MOPU TR 120 cm Reflex I</v>
      </c>
      <c r="C1716" s="4">
        <f>IFERROR(__xludf.DUMMYFUNCTION("""COMPUTED_VALUE"""),147.39)</f>
        <v>147.39</v>
      </c>
      <c r="D1716" s="4"/>
      <c r="E1716" s="4" t="str">
        <f>IFERROR(__xludf.DUMMYFUNCTION("""COMPUTED_VALUE"""),"Sin precio neto G.C.")</f>
        <v>Sin precio neto G.C.</v>
      </c>
    </row>
    <row r="1717">
      <c r="A1717" s="4" t="str">
        <f>IFERROR(__xludf.DUMMYFUNCTION("""COMPUTED_VALUE"""),"81120N2")</f>
        <v>81120N2</v>
      </c>
      <c r="B1717" s="4" t="str">
        <f>IFERROR(__xludf.DUMMYFUNCTION("""COMPUTED_VALUE"""),"Disco MOPU TR 120 cm Reflex II")</f>
        <v>Disco MOPU TR 120 cm Reflex II</v>
      </c>
      <c r="C1717" s="4">
        <f>IFERROR(__xludf.DUMMYFUNCTION("""COMPUTED_VALUE"""),202.56)</f>
        <v>202.56</v>
      </c>
      <c r="D1717" s="4"/>
      <c r="E1717" s="4" t="str">
        <f>IFERROR(__xludf.DUMMYFUNCTION("""COMPUTED_VALUE"""),"Sin precio neto G.C.")</f>
        <v>Sin precio neto G.C.</v>
      </c>
    </row>
    <row r="1718">
      <c r="A1718" s="4" t="str">
        <f>IFERROR(__xludf.DUMMYFUNCTION("""COMPUTED_VALUE"""),"81120N3")</f>
        <v>81120N3</v>
      </c>
      <c r="B1718" s="4" t="str">
        <f>IFERROR(__xludf.DUMMYFUNCTION("""COMPUTED_VALUE"""),"Disco MOPU TR 120 cm Reflex III")</f>
        <v>Disco MOPU TR 120 cm Reflex III</v>
      </c>
      <c r="C1718" s="4">
        <f>IFERROR(__xludf.DUMMYFUNCTION("""COMPUTED_VALUE"""),260.78)</f>
        <v>260.78</v>
      </c>
      <c r="D1718" s="4"/>
      <c r="E1718" s="4" t="str">
        <f>IFERROR(__xludf.DUMMYFUNCTION("""COMPUTED_VALUE"""),"Sin precio neto G.C.")</f>
        <v>Sin precio neto G.C.</v>
      </c>
    </row>
    <row r="1719">
      <c r="A1719" s="4" t="str">
        <f>IFERROR(__xludf.DUMMYFUNCTION("""COMPUTED_VALUE"""),"8160N1")</f>
        <v>8160N1</v>
      </c>
      <c r="B1719" s="4" t="str">
        <f>IFERROR(__xludf.DUMMYFUNCTION("""COMPUTED_VALUE"""),"Disco MOPU TR 60 cm Reflex I")</f>
        <v>Disco MOPU TR 60 cm Reflex I</v>
      </c>
      <c r="C1719" s="4">
        <f>IFERROR(__xludf.DUMMYFUNCTION("""COMPUTED_VALUE"""),24.75)</f>
        <v>24.75</v>
      </c>
      <c r="D1719" s="4">
        <f>IFERROR(__xludf.DUMMYFUNCTION("""COMPUTED_VALUE"""),23.5)</f>
        <v>23.5</v>
      </c>
      <c r="E1719" s="4" t="str">
        <f>IFERROR(__xludf.DUMMYFUNCTION("""COMPUTED_VALUE"""),"Neto G.C.: 23,50 € (a partir de 1 uds.)")</f>
        <v>Neto G.C.: 23,50 € (a partir de 1 uds.)</v>
      </c>
    </row>
    <row r="1720">
      <c r="A1720" s="4" t="str">
        <f>IFERROR(__xludf.DUMMYFUNCTION("""COMPUTED_VALUE"""),"8160N2")</f>
        <v>8160N2</v>
      </c>
      <c r="B1720" s="4" t="str">
        <f>IFERROR(__xludf.DUMMYFUNCTION("""COMPUTED_VALUE"""),"Disco MOPU TR 60 cm Reflex II")</f>
        <v>Disco MOPU TR 60 cm Reflex II</v>
      </c>
      <c r="C1720" s="4">
        <f>IFERROR(__xludf.DUMMYFUNCTION("""COMPUTED_VALUE"""),31.4)</f>
        <v>31.4</v>
      </c>
      <c r="D1720" s="4"/>
      <c r="E1720" s="4" t="str">
        <f>IFERROR(__xludf.DUMMYFUNCTION("""COMPUTED_VALUE"""),"Sin precio neto G.C.")</f>
        <v>Sin precio neto G.C.</v>
      </c>
    </row>
    <row r="1721">
      <c r="A1721" s="4" t="str">
        <f>IFERROR(__xludf.DUMMYFUNCTION("""COMPUTED_VALUE"""),"8160N3")</f>
        <v>8160N3</v>
      </c>
      <c r="B1721" s="4" t="str">
        <f>IFERROR(__xludf.DUMMYFUNCTION("""COMPUTED_VALUE"""),"Disco MOPU TR 60 cm Reflex III")</f>
        <v>Disco MOPU TR 60 cm Reflex III</v>
      </c>
      <c r="C1721" s="4">
        <f>IFERROR(__xludf.DUMMYFUNCTION("""COMPUTED_VALUE"""),67.52)</f>
        <v>67.52</v>
      </c>
      <c r="D1721" s="4"/>
      <c r="E1721" s="4" t="str">
        <f>IFERROR(__xludf.DUMMYFUNCTION("""COMPUTED_VALUE"""),"Sin precio neto G.C.")</f>
        <v>Sin precio neto G.C.</v>
      </c>
    </row>
    <row r="1722">
      <c r="A1722" s="4" t="str">
        <f>IFERROR(__xludf.DUMMYFUNCTION("""COMPUTED_VALUE"""),"8190N1")</f>
        <v>8190N1</v>
      </c>
      <c r="B1722" s="4" t="str">
        <f>IFERROR(__xludf.DUMMYFUNCTION("""COMPUTED_VALUE"""),"Disco MOPU TR 90 cm Reflex I")</f>
        <v>Disco MOPU TR 90 cm Reflex I</v>
      </c>
      <c r="C1722" s="4">
        <f>IFERROR(__xludf.DUMMYFUNCTION("""COMPUTED_VALUE"""),69.53)</f>
        <v>69.53</v>
      </c>
      <c r="D1722" s="4">
        <f>IFERROR(__xludf.DUMMYFUNCTION("""COMPUTED_VALUE"""),43.0)</f>
        <v>43</v>
      </c>
      <c r="E1722" s="4" t="str">
        <f>IFERROR(__xludf.DUMMYFUNCTION("""COMPUTED_VALUE"""),"Neto G.C.: 43,00 € (a partir de 1 uds.)")</f>
        <v>Neto G.C.: 43,00 € (a partir de 1 uds.)</v>
      </c>
    </row>
    <row r="1723">
      <c r="A1723" s="4" t="str">
        <f>IFERROR(__xludf.DUMMYFUNCTION("""COMPUTED_VALUE"""),"8190N2")</f>
        <v>8190N2</v>
      </c>
      <c r="B1723" s="4" t="str">
        <f>IFERROR(__xludf.DUMMYFUNCTION("""COMPUTED_VALUE"""),"Disco MOPU TR 90 cm Reflex II")</f>
        <v>Disco MOPU TR 90 cm Reflex II</v>
      </c>
      <c r="C1723" s="4">
        <f>IFERROR(__xludf.DUMMYFUNCTION("""COMPUTED_VALUE"""),104.0)</f>
        <v>104</v>
      </c>
      <c r="D1723" s="4"/>
      <c r="E1723" s="4" t="str">
        <f>IFERROR(__xludf.DUMMYFUNCTION("""COMPUTED_VALUE"""),"Sin precio neto G.C.")</f>
        <v>Sin precio neto G.C.</v>
      </c>
    </row>
    <row r="1724">
      <c r="A1724" s="4" t="str">
        <f>IFERROR(__xludf.DUMMYFUNCTION("""COMPUTED_VALUE"""),"8190N3")</f>
        <v>8190N3</v>
      </c>
      <c r="B1724" s="4" t="str">
        <f>IFERROR(__xludf.DUMMYFUNCTION("""COMPUTED_VALUE"""),"Disco MOPU TR 90 cm Reflex III")</f>
        <v>Disco MOPU TR 90 cm Reflex III</v>
      </c>
      <c r="C1724" s="4">
        <f>IFERROR(__xludf.DUMMYFUNCTION("""COMPUTED_VALUE"""),151.0)</f>
        <v>151</v>
      </c>
      <c r="D1724" s="4"/>
      <c r="E1724" s="4" t="str">
        <f>IFERROR(__xludf.DUMMYFUNCTION("""COMPUTED_VALUE"""),"Sin precio neto G.C.")</f>
        <v>Sin precio neto G.C.</v>
      </c>
    </row>
    <row r="1725">
      <c r="A1725" s="4" t="str">
        <f>IFERROR(__xludf.DUMMYFUNCTION("""COMPUTED_VALUE"""),"8201")</f>
        <v>8201</v>
      </c>
      <c r="B1725" s="4" t="str">
        <f>IFERROR(__xludf.DUMMYFUNCTION("""COMPUTED_VALUE"""),"Adhesivo 11x15 Extintor")</f>
        <v>Adhesivo 11x15 Extintor</v>
      </c>
      <c r="C1725" s="4">
        <f>IFERROR(__xludf.DUMMYFUNCTION("""COMPUTED_VALUE"""),0.55)</f>
        <v>0.55</v>
      </c>
      <c r="D1725" s="4">
        <f>IFERROR(__xludf.DUMMYFUNCTION("""COMPUTED_VALUE"""),0.5)</f>
        <v>0.5</v>
      </c>
      <c r="E1725" s="4" t="str">
        <f>IFERROR(__xludf.DUMMYFUNCTION("""COMPUTED_VALUE"""),"Neto G.C.: 0,50 € (a partir de 1 uds.)")</f>
        <v>Neto G.C.: 0,50 € (a partir de 1 uds.)</v>
      </c>
    </row>
    <row r="1726">
      <c r="A1726" s="4" t="str">
        <f>IFERROR(__xludf.DUMMYFUNCTION("""COMPUTED_VALUE"""),"8201/B")</f>
        <v>8201/B</v>
      </c>
      <c r="B1726" s="4" t="str">
        <f>IFERROR(__xludf.DUMMYFUNCTION("""COMPUTED_VALUE"""),"Blister 10 unid. Adhesivo 11x15 Extintor")</f>
        <v>Blister 10 unid. Adhesivo 11x15 Extintor</v>
      </c>
      <c r="C1726" s="4">
        <f>IFERROR(__xludf.DUMMYFUNCTION("""COMPUTED_VALUE"""),4.4)</f>
        <v>4.4</v>
      </c>
      <c r="D1726" s="4"/>
      <c r="E1726" s="4" t="str">
        <f>IFERROR(__xludf.DUMMYFUNCTION("""COMPUTED_VALUE"""),"Sin precio neto G.C.")</f>
        <v>Sin precio neto G.C.</v>
      </c>
    </row>
    <row r="1727">
      <c r="A1727" s="4" t="str">
        <f>IFERROR(__xludf.DUMMYFUNCTION("""COMPUTED_VALUE"""),"8210")</f>
        <v>8210</v>
      </c>
      <c r="B1727" s="4" t="str">
        <f>IFERROR(__xludf.DUMMYFUNCTION("""COMPUTED_VALUE"""),"Adhesivo 11x15 Riesgo electrico")</f>
        <v>Adhesivo 11x15 Riesgo electrico</v>
      </c>
      <c r="C1727" s="4">
        <f>IFERROR(__xludf.DUMMYFUNCTION("""COMPUTED_VALUE"""),0.55)</f>
        <v>0.55</v>
      </c>
      <c r="D1727" s="4">
        <f>IFERROR(__xludf.DUMMYFUNCTION("""COMPUTED_VALUE"""),0.5)</f>
        <v>0.5</v>
      </c>
      <c r="E1727" s="4" t="str">
        <f>IFERROR(__xludf.DUMMYFUNCTION("""COMPUTED_VALUE"""),"Neto G.C.: 0,50 € (a partir de 1 uds.)")</f>
        <v>Neto G.C.: 0,50 € (a partir de 1 uds.)</v>
      </c>
    </row>
    <row r="1728">
      <c r="A1728" s="4" t="str">
        <f>IFERROR(__xludf.DUMMYFUNCTION("""COMPUTED_VALUE"""),"8210/B")</f>
        <v>8210/B</v>
      </c>
      <c r="B1728" s="4" t="str">
        <f>IFERROR(__xludf.DUMMYFUNCTION("""COMPUTED_VALUE"""),"Blister 10 unid. Adhesivo 11x15 Riesgo electrico")</f>
        <v>Blister 10 unid. Adhesivo 11x15 Riesgo electrico</v>
      </c>
      <c r="C1728" s="4">
        <f>IFERROR(__xludf.DUMMYFUNCTION("""COMPUTED_VALUE"""),4.4)</f>
        <v>4.4</v>
      </c>
      <c r="D1728" s="4"/>
      <c r="E1728" s="4" t="str">
        <f>IFERROR(__xludf.DUMMYFUNCTION("""COMPUTED_VALUE"""),"Sin precio neto G.C.")</f>
        <v>Sin precio neto G.C.</v>
      </c>
    </row>
    <row r="1729">
      <c r="A1729" s="4" t="str">
        <f>IFERROR(__xludf.DUMMYFUNCTION("""COMPUTED_VALUE"""),"8216")</f>
        <v>8216</v>
      </c>
      <c r="B1729" s="4" t="str">
        <f>IFERROR(__xludf.DUMMYFUNCTION("""COMPUTED_VALUE"""),"Adhesivo 11x15 Materias comburentes")</f>
        <v>Adhesivo 11x15 Materias comburentes</v>
      </c>
      <c r="C1729" s="4">
        <f>IFERROR(__xludf.DUMMYFUNCTION("""COMPUTED_VALUE"""),0.55)</f>
        <v>0.55</v>
      </c>
      <c r="D1729" s="4">
        <f>IFERROR(__xludf.DUMMYFUNCTION("""COMPUTED_VALUE"""),0.5)</f>
        <v>0.5</v>
      </c>
      <c r="E1729" s="4" t="str">
        <f>IFERROR(__xludf.DUMMYFUNCTION("""COMPUTED_VALUE"""),"Neto G.C.: 0,50 € (a partir de 1 uds.)")</f>
        <v>Neto G.C.: 0,50 € (a partir de 1 uds.)</v>
      </c>
    </row>
    <row r="1730">
      <c r="A1730" s="4" t="str">
        <f>IFERROR(__xludf.DUMMYFUNCTION("""COMPUTED_VALUE"""),"8216/B")</f>
        <v>8216/B</v>
      </c>
      <c r="B1730" s="4" t="str">
        <f>IFERROR(__xludf.DUMMYFUNCTION("""COMPUTED_VALUE"""),"Blister 10 unid. Adhesivo 11x15 Materias comburentes")</f>
        <v>Blister 10 unid. Adhesivo 11x15 Materias comburentes</v>
      </c>
      <c r="C1730" s="4">
        <f>IFERROR(__xludf.DUMMYFUNCTION("""COMPUTED_VALUE"""),4.4)</f>
        <v>4.4</v>
      </c>
      <c r="D1730" s="4"/>
      <c r="E1730" s="4" t="str">
        <f>IFERROR(__xludf.DUMMYFUNCTION("""COMPUTED_VALUE"""),"Sin precio neto G.C.")</f>
        <v>Sin precio neto G.C.</v>
      </c>
    </row>
    <row r="1731">
      <c r="A1731" s="4" t="str">
        <f>IFERROR(__xludf.DUMMYFUNCTION("""COMPUTED_VALUE"""),"8218")</f>
        <v>8218</v>
      </c>
      <c r="B1731" s="4" t="str">
        <f>IFERROR(__xludf.DUMMYFUNCTION("""COMPUTED_VALUE"""),"Adhesivo 11x15 Campo Magnetico Intenso")</f>
        <v>Adhesivo 11x15 Campo Magnetico Intenso</v>
      </c>
      <c r="C1731" s="4">
        <f>IFERROR(__xludf.DUMMYFUNCTION("""COMPUTED_VALUE"""),0.55)</f>
        <v>0.55</v>
      </c>
      <c r="D1731" s="4">
        <f>IFERROR(__xludf.DUMMYFUNCTION("""COMPUTED_VALUE"""),0.5)</f>
        <v>0.5</v>
      </c>
      <c r="E1731" s="4" t="str">
        <f>IFERROR(__xludf.DUMMYFUNCTION("""COMPUTED_VALUE"""),"Neto G.C.: 0,50 € (a partir de 1 uds.)")</f>
        <v>Neto G.C.: 0,50 € (a partir de 1 uds.)</v>
      </c>
    </row>
    <row r="1732">
      <c r="A1732" s="4" t="str">
        <f>IFERROR(__xludf.DUMMYFUNCTION("""COMPUTED_VALUE"""),"8218/B")</f>
        <v>8218/B</v>
      </c>
      <c r="B1732" s="4" t="str">
        <f>IFERROR(__xludf.DUMMYFUNCTION("""COMPUTED_VALUE"""),"Blister 10 unid. Adhesivo 11x15 Campo Magnetico Intenso")</f>
        <v>Blister 10 unid. Adhesivo 11x15 Campo Magnetico Intenso</v>
      </c>
      <c r="C1732" s="4">
        <f>IFERROR(__xludf.DUMMYFUNCTION("""COMPUTED_VALUE"""),4.4)</f>
        <v>4.4</v>
      </c>
      <c r="D1732" s="4"/>
      <c r="E1732" s="4" t="str">
        <f>IFERROR(__xludf.DUMMYFUNCTION("""COMPUTED_VALUE"""),"Sin precio neto G.C.")</f>
        <v>Sin precio neto G.C.</v>
      </c>
    </row>
    <row r="1733">
      <c r="A1733" s="4" t="str">
        <f>IFERROR(__xludf.DUMMYFUNCTION("""COMPUTED_VALUE"""),"8219")</f>
        <v>8219</v>
      </c>
      <c r="B1733" s="4" t="str">
        <f>IFERROR(__xludf.DUMMYFUNCTION("""COMPUTED_VALUE"""),"Adhesivo 11x15 Materias Inflamables")</f>
        <v>Adhesivo 11x15 Materias Inflamables</v>
      </c>
      <c r="C1733" s="4">
        <f>IFERROR(__xludf.DUMMYFUNCTION("""COMPUTED_VALUE"""),0.55)</f>
        <v>0.55</v>
      </c>
      <c r="D1733" s="4">
        <f>IFERROR(__xludf.DUMMYFUNCTION("""COMPUTED_VALUE"""),0.5)</f>
        <v>0.5</v>
      </c>
      <c r="E1733" s="4" t="str">
        <f>IFERROR(__xludf.DUMMYFUNCTION("""COMPUTED_VALUE"""),"Neto G.C.: 0,50 € (a partir de 1 uds.)")</f>
        <v>Neto G.C.: 0,50 € (a partir de 1 uds.)</v>
      </c>
    </row>
    <row r="1734">
      <c r="A1734" s="4" t="str">
        <f>IFERROR(__xludf.DUMMYFUNCTION("""COMPUTED_VALUE"""),"8219/B")</f>
        <v>8219/B</v>
      </c>
      <c r="B1734" s="4" t="str">
        <f>IFERROR(__xludf.DUMMYFUNCTION("""COMPUTED_VALUE"""),"Blister 10 unid. Adhesivo 11x15 Materias inflamables")</f>
        <v>Blister 10 unid. Adhesivo 11x15 Materias inflamables</v>
      </c>
      <c r="C1734" s="4">
        <f>IFERROR(__xludf.DUMMYFUNCTION("""COMPUTED_VALUE"""),4.4)</f>
        <v>4.4</v>
      </c>
      <c r="D1734" s="4"/>
      <c r="E1734" s="4" t="str">
        <f>IFERROR(__xludf.DUMMYFUNCTION("""COMPUTED_VALUE"""),"Sin precio neto G.C.")</f>
        <v>Sin precio neto G.C.</v>
      </c>
    </row>
    <row r="1735">
      <c r="A1735" s="4" t="str">
        <f>IFERROR(__xludf.DUMMYFUNCTION("""COMPUTED_VALUE"""),"8220")</f>
        <v>8220</v>
      </c>
      <c r="B1735" s="4" t="str">
        <f>IFERROR(__xludf.DUMMYFUNCTION("""COMPUTED_VALUE"""),"Adhesivo 11x15 Uso oblig. casco")</f>
        <v>Adhesivo 11x15 Uso oblig. casco</v>
      </c>
      <c r="C1735" s="4">
        <f>IFERROR(__xludf.DUMMYFUNCTION("""COMPUTED_VALUE"""),0.55)</f>
        <v>0.55</v>
      </c>
      <c r="D1735" s="4">
        <f>IFERROR(__xludf.DUMMYFUNCTION("""COMPUTED_VALUE"""),0.5)</f>
        <v>0.5</v>
      </c>
      <c r="E1735" s="4" t="str">
        <f>IFERROR(__xludf.DUMMYFUNCTION("""COMPUTED_VALUE"""),"Neto G.C.: 0,50 € (a partir de 1 uds.)")</f>
        <v>Neto G.C.: 0,50 € (a partir de 1 uds.)</v>
      </c>
    </row>
    <row r="1736">
      <c r="A1736" s="4" t="str">
        <f>IFERROR(__xludf.DUMMYFUNCTION("""COMPUTED_VALUE"""),"8220/B")</f>
        <v>8220/B</v>
      </c>
      <c r="B1736" s="4" t="str">
        <f>IFERROR(__xludf.DUMMYFUNCTION("""COMPUTED_VALUE"""),"Blister 10 unid. Adhesivo 11x15 Uso oblig. casco")</f>
        <v>Blister 10 unid. Adhesivo 11x15 Uso oblig. casco</v>
      </c>
      <c r="C1736" s="4">
        <f>IFERROR(__xludf.DUMMYFUNCTION("""COMPUTED_VALUE"""),4.4)</f>
        <v>4.4</v>
      </c>
      <c r="D1736" s="4"/>
      <c r="E1736" s="4" t="str">
        <f>IFERROR(__xludf.DUMMYFUNCTION("""COMPUTED_VALUE"""),"Sin precio neto G.C.")</f>
        <v>Sin precio neto G.C.</v>
      </c>
    </row>
    <row r="1737">
      <c r="A1737" s="4" t="str">
        <f>IFERROR(__xludf.DUMMYFUNCTION("""COMPUTED_VALUE"""),"8221")</f>
        <v>8221</v>
      </c>
      <c r="B1737" s="4" t="str">
        <f>IFERROR(__xludf.DUMMYFUNCTION("""COMPUTED_VALUE"""),"Adhesivo 11x15 Uso Oblig. botas")</f>
        <v>Adhesivo 11x15 Uso Oblig. botas</v>
      </c>
      <c r="C1737" s="4">
        <f>IFERROR(__xludf.DUMMYFUNCTION("""COMPUTED_VALUE"""),0.55)</f>
        <v>0.55</v>
      </c>
      <c r="D1737" s="4">
        <f>IFERROR(__xludf.DUMMYFUNCTION("""COMPUTED_VALUE"""),0.5)</f>
        <v>0.5</v>
      </c>
      <c r="E1737" s="4" t="str">
        <f>IFERROR(__xludf.DUMMYFUNCTION("""COMPUTED_VALUE"""),"Neto G.C.: 0,50 € (a partir de 1 uds.)")</f>
        <v>Neto G.C.: 0,50 € (a partir de 1 uds.)</v>
      </c>
    </row>
    <row r="1738">
      <c r="A1738" s="4" t="str">
        <f>IFERROR(__xludf.DUMMYFUNCTION("""COMPUTED_VALUE"""),"8221/B")</f>
        <v>8221/B</v>
      </c>
      <c r="B1738" s="4" t="str">
        <f>IFERROR(__xludf.DUMMYFUNCTION("""COMPUTED_VALUE"""),"Blister 10 unid. Adhesivo 11x15 Uso oblig. botas")</f>
        <v>Blister 10 unid. Adhesivo 11x15 Uso oblig. botas</v>
      </c>
      <c r="C1738" s="4">
        <f>IFERROR(__xludf.DUMMYFUNCTION("""COMPUTED_VALUE"""),4.4)</f>
        <v>4.4</v>
      </c>
      <c r="D1738" s="4"/>
      <c r="E1738" s="4" t="str">
        <f>IFERROR(__xludf.DUMMYFUNCTION("""COMPUTED_VALUE"""),"Sin precio neto G.C.")</f>
        <v>Sin precio neto G.C.</v>
      </c>
    </row>
    <row r="1739">
      <c r="A1739" s="4" t="str">
        <f>IFERROR(__xludf.DUMMYFUNCTION("""COMPUTED_VALUE"""),"8222")</f>
        <v>8222</v>
      </c>
      <c r="B1739" s="4" t="str">
        <f>IFERROR(__xludf.DUMMYFUNCTION("""COMPUTED_VALUE"""),"Adhesivo 11x15 Uso oblig Guantes")</f>
        <v>Adhesivo 11x15 Uso oblig Guantes</v>
      </c>
      <c r="C1739" s="4">
        <f>IFERROR(__xludf.DUMMYFUNCTION("""COMPUTED_VALUE"""),0.55)</f>
        <v>0.55</v>
      </c>
      <c r="D1739" s="4">
        <f>IFERROR(__xludf.DUMMYFUNCTION("""COMPUTED_VALUE"""),0.5)</f>
        <v>0.5</v>
      </c>
      <c r="E1739" s="4" t="str">
        <f>IFERROR(__xludf.DUMMYFUNCTION("""COMPUTED_VALUE"""),"Neto G.C.: 0,50 € (a partir de 1 uds.)")</f>
        <v>Neto G.C.: 0,50 € (a partir de 1 uds.)</v>
      </c>
    </row>
    <row r="1740">
      <c r="A1740" s="4" t="str">
        <f>IFERROR(__xludf.DUMMYFUNCTION("""COMPUTED_VALUE"""),"8222/B")</f>
        <v>8222/B</v>
      </c>
      <c r="B1740" s="4" t="str">
        <f>IFERROR(__xludf.DUMMYFUNCTION("""COMPUTED_VALUE"""),"Blister 10 unid. Adhesivo 11x15 Uso oblig. guantes")</f>
        <v>Blister 10 unid. Adhesivo 11x15 Uso oblig. guantes</v>
      </c>
      <c r="C1740" s="4">
        <f>IFERROR(__xludf.DUMMYFUNCTION("""COMPUTED_VALUE"""),4.4)</f>
        <v>4.4</v>
      </c>
      <c r="D1740" s="4"/>
      <c r="E1740" s="4" t="str">
        <f>IFERROR(__xludf.DUMMYFUNCTION("""COMPUTED_VALUE"""),"Sin precio neto G.C.")</f>
        <v>Sin precio neto G.C.</v>
      </c>
    </row>
    <row r="1741">
      <c r="A1741" s="4" t="str">
        <f>IFERROR(__xludf.DUMMYFUNCTION("""COMPUTED_VALUE"""),"8223")</f>
        <v>8223</v>
      </c>
      <c r="B1741" s="4" t="str">
        <f>IFERROR(__xludf.DUMMYFUNCTION("""COMPUTED_VALUE"""),"Adhesivo 11x15 Uso oblig. prot. acustica")</f>
        <v>Adhesivo 11x15 Uso oblig. prot. acustica</v>
      </c>
      <c r="C1741" s="4">
        <f>IFERROR(__xludf.DUMMYFUNCTION("""COMPUTED_VALUE"""),0.55)</f>
        <v>0.55</v>
      </c>
      <c r="D1741" s="4">
        <f>IFERROR(__xludf.DUMMYFUNCTION("""COMPUTED_VALUE"""),0.5)</f>
        <v>0.5</v>
      </c>
      <c r="E1741" s="4" t="str">
        <f>IFERROR(__xludf.DUMMYFUNCTION("""COMPUTED_VALUE"""),"Neto G.C.: 0,50 € (a partir de 1 uds.)")</f>
        <v>Neto G.C.: 0,50 € (a partir de 1 uds.)</v>
      </c>
    </row>
    <row r="1742">
      <c r="A1742" s="4" t="str">
        <f>IFERROR(__xludf.DUMMYFUNCTION("""COMPUTED_VALUE"""),"8223/B")</f>
        <v>8223/B</v>
      </c>
      <c r="B1742" s="4" t="str">
        <f>IFERROR(__xludf.DUMMYFUNCTION("""COMPUTED_VALUE"""),"Blister 10 unid. Adhesivo 11x15 Uso oblig.protec.acustica")</f>
        <v>Blister 10 unid. Adhesivo 11x15 Uso oblig.protec.acustica</v>
      </c>
      <c r="C1742" s="4">
        <f>IFERROR(__xludf.DUMMYFUNCTION("""COMPUTED_VALUE"""),4.4)</f>
        <v>4.4</v>
      </c>
      <c r="D1742" s="4"/>
      <c r="E1742" s="4" t="str">
        <f>IFERROR(__xludf.DUMMYFUNCTION("""COMPUTED_VALUE"""),"Sin precio neto G.C.")</f>
        <v>Sin precio neto G.C.</v>
      </c>
    </row>
    <row r="1743">
      <c r="A1743" s="4" t="str">
        <f>IFERROR(__xludf.DUMMYFUNCTION("""COMPUTED_VALUE"""),"8226")</f>
        <v>8226</v>
      </c>
      <c r="B1743" s="4" t="str">
        <f>IFERROR(__xludf.DUMMYFUNCTION("""COMPUTED_VALUE"""),"Adhesivo 11x15 Uso oblig Gafas")</f>
        <v>Adhesivo 11x15 Uso oblig Gafas</v>
      </c>
      <c r="C1743" s="4">
        <f>IFERROR(__xludf.DUMMYFUNCTION("""COMPUTED_VALUE"""),0.55)</f>
        <v>0.55</v>
      </c>
      <c r="D1743" s="4">
        <f>IFERROR(__xludf.DUMMYFUNCTION("""COMPUTED_VALUE"""),0.5)</f>
        <v>0.5</v>
      </c>
      <c r="E1743" s="4" t="str">
        <f>IFERROR(__xludf.DUMMYFUNCTION("""COMPUTED_VALUE"""),"Neto G.C.: 0,50 € (a partir de 1 uds.)")</f>
        <v>Neto G.C.: 0,50 € (a partir de 1 uds.)</v>
      </c>
    </row>
    <row r="1744">
      <c r="A1744" s="4" t="str">
        <f>IFERROR(__xludf.DUMMYFUNCTION("""COMPUTED_VALUE"""),"8226/B")</f>
        <v>8226/B</v>
      </c>
      <c r="B1744" s="4" t="str">
        <f>IFERROR(__xludf.DUMMYFUNCTION("""COMPUTED_VALUE"""),"Blister 10 unid. Adhesivo 11x15 Uso obligatorio Gafas")</f>
        <v>Blister 10 unid. Adhesivo 11x15 Uso obligatorio Gafas</v>
      </c>
      <c r="C1744" s="4">
        <f>IFERROR(__xludf.DUMMYFUNCTION("""COMPUTED_VALUE"""),4.4)</f>
        <v>4.4</v>
      </c>
      <c r="D1744" s="4"/>
      <c r="E1744" s="4" t="str">
        <f>IFERROR(__xludf.DUMMYFUNCTION("""COMPUTED_VALUE"""),"Sin precio neto G.C.")</f>
        <v>Sin precio neto G.C.</v>
      </c>
    </row>
    <row r="1745">
      <c r="A1745" s="4" t="str">
        <f>IFERROR(__xludf.DUMMYFUNCTION("""COMPUTED_VALUE"""),"8227")</f>
        <v>8227</v>
      </c>
      <c r="B1745" s="4" t="str">
        <f>IFERROR(__xludf.DUMMYFUNCTION("""COMPUTED_VALUE"""),"Adhesivo 11x 15 Uso oblig. arnes segur.")</f>
        <v>Adhesivo 11x 15 Uso oblig. arnes segur.</v>
      </c>
      <c r="C1745" s="4">
        <f>IFERROR(__xludf.DUMMYFUNCTION("""COMPUTED_VALUE"""),0.55)</f>
        <v>0.55</v>
      </c>
      <c r="D1745" s="4">
        <f>IFERROR(__xludf.DUMMYFUNCTION("""COMPUTED_VALUE"""),0.5)</f>
        <v>0.5</v>
      </c>
      <c r="E1745" s="4" t="str">
        <f>IFERROR(__xludf.DUMMYFUNCTION("""COMPUTED_VALUE"""),"Neto G.C.: 0,50 € (a partir de 1 uds.)")</f>
        <v>Neto G.C.: 0,50 € (a partir de 1 uds.)</v>
      </c>
    </row>
    <row r="1746">
      <c r="A1746" s="4" t="str">
        <f>IFERROR(__xludf.DUMMYFUNCTION("""COMPUTED_VALUE"""),"8227/B")</f>
        <v>8227/B</v>
      </c>
      <c r="B1746" s="4" t="str">
        <f>IFERROR(__xludf.DUMMYFUNCTION("""COMPUTED_VALUE"""),"Blister 10 und. Adhesivo 11x15 Uso oblig. arnes seguridad")</f>
        <v>Blister 10 und. Adhesivo 11x15 Uso oblig. arnes seguridad</v>
      </c>
      <c r="C1746" s="4">
        <f>IFERROR(__xludf.DUMMYFUNCTION("""COMPUTED_VALUE"""),4.4)</f>
        <v>4.4</v>
      </c>
      <c r="D1746" s="4"/>
      <c r="E1746" s="4" t="str">
        <f>IFERROR(__xludf.DUMMYFUNCTION("""COMPUTED_VALUE"""),"Sin precio neto G.C.")</f>
        <v>Sin precio neto G.C.</v>
      </c>
    </row>
    <row r="1747">
      <c r="A1747" s="4" t="str">
        <f>IFERROR(__xludf.DUMMYFUNCTION("""COMPUTED_VALUE"""),"8230")</f>
        <v>8230</v>
      </c>
      <c r="B1747" s="4" t="str">
        <f>IFERROR(__xludf.DUMMYFUNCTION("""COMPUTED_VALUE"""),"Adhesivo 11x 15 Prohibido Fumar")</f>
        <v>Adhesivo 11x 15 Prohibido Fumar</v>
      </c>
      <c r="C1747" s="4">
        <f>IFERROR(__xludf.DUMMYFUNCTION("""COMPUTED_VALUE"""),0.55)</f>
        <v>0.55</v>
      </c>
      <c r="D1747" s="4">
        <f>IFERROR(__xludf.DUMMYFUNCTION("""COMPUTED_VALUE"""),0.5)</f>
        <v>0.5</v>
      </c>
      <c r="E1747" s="4" t="str">
        <f>IFERROR(__xludf.DUMMYFUNCTION("""COMPUTED_VALUE"""),"Neto G.C.: 0,50 € (a partir de 1 uds.)")</f>
        <v>Neto G.C.: 0,50 € (a partir de 1 uds.)</v>
      </c>
    </row>
    <row r="1748">
      <c r="A1748" s="4" t="str">
        <f>IFERROR(__xludf.DUMMYFUNCTION("""COMPUTED_VALUE"""),"8230/B")</f>
        <v>8230/B</v>
      </c>
      <c r="B1748" s="4" t="str">
        <f>IFERROR(__xludf.DUMMYFUNCTION("""COMPUTED_VALUE"""),"Blister 10 unid. Adhesivo 11x15 Prohibido Fumar")</f>
        <v>Blister 10 unid. Adhesivo 11x15 Prohibido Fumar</v>
      </c>
      <c r="C1748" s="4">
        <f>IFERROR(__xludf.DUMMYFUNCTION("""COMPUTED_VALUE"""),4.4)</f>
        <v>4.4</v>
      </c>
      <c r="D1748" s="4"/>
      <c r="E1748" s="4" t="str">
        <f>IFERROR(__xludf.DUMMYFUNCTION("""COMPUTED_VALUE"""),"Sin precio neto G.C.")</f>
        <v>Sin precio neto G.C.</v>
      </c>
    </row>
    <row r="1749">
      <c r="A1749" s="4" t="str">
        <f>IFERROR(__xludf.DUMMYFUNCTION("""COMPUTED_VALUE"""),"8232")</f>
        <v>8232</v>
      </c>
      <c r="B1749" s="4" t="str">
        <f>IFERROR(__xludf.DUMMYFUNCTION("""COMPUTED_VALUE"""),"Adhesivo 11x15 Prohibido pasar sin casco")</f>
        <v>Adhesivo 11x15 Prohibido pasar sin casco</v>
      </c>
      <c r="C1749" s="4">
        <f>IFERROR(__xludf.DUMMYFUNCTION("""COMPUTED_VALUE"""),0.55)</f>
        <v>0.55</v>
      </c>
      <c r="D1749" s="4">
        <f>IFERROR(__xludf.DUMMYFUNCTION("""COMPUTED_VALUE"""),0.5)</f>
        <v>0.5</v>
      </c>
      <c r="E1749" s="4" t="str">
        <f>IFERROR(__xludf.DUMMYFUNCTION("""COMPUTED_VALUE"""),"Neto G.C.: 0,50 € (a partir de 1 uds.)")</f>
        <v>Neto G.C.: 0,50 € (a partir de 1 uds.)</v>
      </c>
    </row>
    <row r="1750">
      <c r="A1750" s="4" t="str">
        <f>IFERROR(__xludf.DUMMYFUNCTION("""COMPUTED_VALUE"""),"8232/B")</f>
        <v>8232/B</v>
      </c>
      <c r="B1750" s="4" t="str">
        <f>IFERROR(__xludf.DUMMYFUNCTION("""COMPUTED_VALUE"""),"Blister 10 unid. Adhesivo 11x15 Prohibido pasar sin casco")</f>
        <v>Blister 10 unid. Adhesivo 11x15 Prohibido pasar sin casco</v>
      </c>
      <c r="C1750" s="4">
        <f>IFERROR(__xludf.DUMMYFUNCTION("""COMPUTED_VALUE"""),4.4)</f>
        <v>4.4</v>
      </c>
      <c r="D1750" s="4"/>
      <c r="E1750" s="4" t="str">
        <f>IFERROR(__xludf.DUMMYFUNCTION("""COMPUTED_VALUE"""),"Sin precio neto G.C.")</f>
        <v>Sin precio neto G.C.</v>
      </c>
    </row>
    <row r="1751">
      <c r="A1751" s="4" t="str">
        <f>IFERROR(__xludf.DUMMYFUNCTION("""COMPUTED_VALUE"""),"8238")</f>
        <v>8238</v>
      </c>
      <c r="B1751" s="4" t="str">
        <f>IFERROR(__xludf.DUMMYFUNCTION("""COMPUTED_VALUE"""),"Adhesivo 11x15 Atencion puesta a tierra")</f>
        <v>Adhesivo 11x15 Atencion puesta a tierra</v>
      </c>
      <c r="C1751" s="4">
        <f>IFERROR(__xludf.DUMMYFUNCTION("""COMPUTED_VALUE"""),0.55)</f>
        <v>0.55</v>
      </c>
      <c r="D1751" s="4">
        <f>IFERROR(__xludf.DUMMYFUNCTION("""COMPUTED_VALUE"""),0.5)</f>
        <v>0.5</v>
      </c>
      <c r="E1751" s="4" t="str">
        <f>IFERROR(__xludf.DUMMYFUNCTION("""COMPUTED_VALUE"""),"Neto G.C.: 0,50 € (a partir de 1 uds.)")</f>
        <v>Neto G.C.: 0,50 € (a partir de 1 uds.)</v>
      </c>
    </row>
    <row r="1752">
      <c r="A1752" s="4" t="str">
        <f>IFERROR(__xludf.DUMMYFUNCTION("""COMPUTED_VALUE"""),"8238/B")</f>
        <v>8238/B</v>
      </c>
      <c r="B1752" s="4" t="str">
        <f>IFERROR(__xludf.DUMMYFUNCTION("""COMPUTED_VALUE"""),"Blister 10 unid .Adhesivo 11x15 Atencion puesta a tierra")</f>
        <v>Blister 10 unid .Adhesivo 11x15 Atencion puesta a tierra</v>
      </c>
      <c r="C1752" s="4">
        <f>IFERROR(__xludf.DUMMYFUNCTION("""COMPUTED_VALUE"""),4.4)</f>
        <v>4.4</v>
      </c>
      <c r="D1752" s="4"/>
      <c r="E1752" s="4" t="str">
        <f>IFERROR(__xludf.DUMMYFUNCTION("""COMPUTED_VALUE"""),"Sin precio neto G.C.")</f>
        <v>Sin precio neto G.C.</v>
      </c>
    </row>
    <row r="1753">
      <c r="A1753" s="4" t="str">
        <f>IFERROR(__xludf.DUMMYFUNCTION("""COMPUTED_VALUE"""),"8250")</f>
        <v>8250</v>
      </c>
      <c r="B1753" s="4" t="str">
        <f>IFERROR(__xludf.DUMMYFUNCTION("""COMPUTED_VALUE"""),"Adhesivo 11x15 Peligro")</f>
        <v>Adhesivo 11x15 Peligro</v>
      </c>
      <c r="C1753" s="4">
        <f>IFERROR(__xludf.DUMMYFUNCTION("""COMPUTED_VALUE"""),0.55)</f>
        <v>0.55</v>
      </c>
      <c r="D1753" s="4">
        <f>IFERROR(__xludf.DUMMYFUNCTION("""COMPUTED_VALUE"""),0.5)</f>
        <v>0.5</v>
      </c>
      <c r="E1753" s="4" t="str">
        <f>IFERROR(__xludf.DUMMYFUNCTION("""COMPUTED_VALUE"""),"Neto G.C.: 0,50 € (a partir de 1 uds.)")</f>
        <v>Neto G.C.: 0,50 € (a partir de 1 uds.)</v>
      </c>
    </row>
    <row r="1754">
      <c r="A1754" s="4" t="str">
        <f>IFERROR(__xludf.DUMMYFUNCTION("""COMPUTED_VALUE"""),"8250/B")</f>
        <v>8250/B</v>
      </c>
      <c r="B1754" s="4" t="str">
        <f>IFERROR(__xludf.DUMMYFUNCTION("""COMPUTED_VALUE"""),"Blister 10 unid. Adhesivo 11x15 Peligro")</f>
        <v>Blister 10 unid. Adhesivo 11x15 Peligro</v>
      </c>
      <c r="C1754" s="4">
        <f>IFERROR(__xludf.DUMMYFUNCTION("""COMPUTED_VALUE"""),4.4)</f>
        <v>4.4</v>
      </c>
      <c r="D1754" s="4"/>
      <c r="E1754" s="4" t="str">
        <f>IFERROR(__xludf.DUMMYFUNCTION("""COMPUTED_VALUE"""),"Sin precio neto G.C.")</f>
        <v>Sin precio neto G.C.</v>
      </c>
    </row>
    <row r="1755">
      <c r="A1755" s="4" t="str">
        <f>IFERROR(__xludf.DUMMYFUNCTION("""COMPUTED_VALUE"""),"8252")</f>
        <v>8252</v>
      </c>
      <c r="B1755" s="4" t="str">
        <f>IFERROR(__xludf.DUMMYFUNCTION("""COMPUTED_VALUE"""),"Adhesivo 11x15 Riesgo de atrapamiento")</f>
        <v>Adhesivo 11x15 Riesgo de atrapamiento</v>
      </c>
      <c r="C1755" s="4">
        <f>IFERROR(__xludf.DUMMYFUNCTION("""COMPUTED_VALUE"""),0.55)</f>
        <v>0.55</v>
      </c>
      <c r="D1755" s="4">
        <f>IFERROR(__xludf.DUMMYFUNCTION("""COMPUTED_VALUE"""),0.5)</f>
        <v>0.5</v>
      </c>
      <c r="E1755" s="4" t="str">
        <f>IFERROR(__xludf.DUMMYFUNCTION("""COMPUTED_VALUE"""),"Neto G.C.: 0,50 € (a partir de 1 uds.)")</f>
        <v>Neto G.C.: 0,50 € (a partir de 1 uds.)</v>
      </c>
    </row>
    <row r="1756">
      <c r="A1756" s="4" t="str">
        <f>IFERROR(__xludf.DUMMYFUNCTION("""COMPUTED_VALUE"""),"8252/B")</f>
        <v>8252/B</v>
      </c>
      <c r="B1756" s="4" t="str">
        <f>IFERROR(__xludf.DUMMYFUNCTION("""COMPUTED_VALUE"""),"Blister 10 unid. Adhesivo 11x15 Riesgo de atrapamiento")</f>
        <v>Blister 10 unid. Adhesivo 11x15 Riesgo de atrapamiento</v>
      </c>
      <c r="C1756" s="4">
        <f>IFERROR(__xludf.DUMMYFUNCTION("""COMPUTED_VALUE"""),4.4)</f>
        <v>4.4</v>
      </c>
      <c r="D1756" s="4"/>
      <c r="E1756" s="4" t="str">
        <f>IFERROR(__xludf.DUMMYFUNCTION("""COMPUTED_VALUE"""),"Sin precio neto G.C.")</f>
        <v>Sin precio neto G.C.</v>
      </c>
    </row>
    <row r="1757">
      <c r="A1757" s="4" t="str">
        <f>IFERROR(__xludf.DUMMYFUNCTION("""COMPUTED_VALUE"""),"8253")</f>
        <v>8253</v>
      </c>
      <c r="B1757" s="4" t="str">
        <f>IFERROR(__xludf.DUMMYFUNCTION("""COMPUTED_VALUE"""),"Adhesivo 11x15 Proh. paso toda person ajena empresa")</f>
        <v>Adhesivo 11x15 Proh. paso toda person ajena empresa</v>
      </c>
      <c r="C1757" s="4">
        <f>IFERROR(__xludf.DUMMYFUNCTION("""COMPUTED_VALUE"""),0.55)</f>
        <v>0.55</v>
      </c>
      <c r="D1757" s="4">
        <f>IFERROR(__xludf.DUMMYFUNCTION("""COMPUTED_VALUE"""),0.5)</f>
        <v>0.5</v>
      </c>
      <c r="E1757" s="4" t="str">
        <f>IFERROR(__xludf.DUMMYFUNCTION("""COMPUTED_VALUE"""),"Neto G.C.: 0,50 € (a partir de 1 uds.)")</f>
        <v>Neto G.C.: 0,50 € (a partir de 1 uds.)</v>
      </c>
    </row>
    <row r="1758">
      <c r="A1758" s="4" t="str">
        <f>IFERROR(__xludf.DUMMYFUNCTION("""COMPUTED_VALUE"""),"8253/B")</f>
        <v>8253/B</v>
      </c>
      <c r="B1758" s="4" t="str">
        <f>IFERROR(__xludf.DUMMYFUNCTION("""COMPUTED_VALUE"""),"Blister 10 unid. Adehsivo 11x15 Proh. paso toda persona ajena")</f>
        <v>Blister 10 unid. Adehsivo 11x15 Proh. paso toda persona ajena</v>
      </c>
      <c r="C1758" s="4">
        <f>IFERROR(__xludf.DUMMYFUNCTION("""COMPUTED_VALUE"""),4.4)</f>
        <v>4.4</v>
      </c>
      <c r="D1758" s="4"/>
      <c r="E1758" s="4" t="str">
        <f>IFERROR(__xludf.DUMMYFUNCTION("""COMPUTED_VALUE"""),"Sin precio neto G.C.")</f>
        <v>Sin precio neto G.C.</v>
      </c>
    </row>
    <row r="1759">
      <c r="A1759" s="4" t="str">
        <f>IFERROR(__xludf.DUMMYFUNCTION("""COMPUTED_VALUE"""),"8256")</f>
        <v>8256</v>
      </c>
      <c r="B1759" s="4" t="str">
        <f>IFERROR(__xludf.DUMMYFUNCTION("""COMPUTED_VALUE"""),"Adhesivo 11x15 Botiquin")</f>
        <v>Adhesivo 11x15 Botiquin</v>
      </c>
      <c r="C1759" s="4">
        <f>IFERROR(__xludf.DUMMYFUNCTION("""COMPUTED_VALUE"""),0.55)</f>
        <v>0.55</v>
      </c>
      <c r="D1759" s="4">
        <f>IFERROR(__xludf.DUMMYFUNCTION("""COMPUTED_VALUE"""),0.5)</f>
        <v>0.5</v>
      </c>
      <c r="E1759" s="4" t="str">
        <f>IFERROR(__xludf.DUMMYFUNCTION("""COMPUTED_VALUE"""),"Neto G.C.: 0,50 € (a partir de 1 uds.)")</f>
        <v>Neto G.C.: 0,50 € (a partir de 1 uds.)</v>
      </c>
    </row>
    <row r="1760">
      <c r="A1760" s="4" t="str">
        <f>IFERROR(__xludf.DUMMYFUNCTION("""COMPUTED_VALUE"""),"8256/B")</f>
        <v>8256/B</v>
      </c>
      <c r="B1760" s="4" t="str">
        <f>IFERROR(__xludf.DUMMYFUNCTION("""COMPUTED_VALUE"""),"Blister 10 unid. adhesivo 11x15 Botiquin")</f>
        <v>Blister 10 unid. adhesivo 11x15 Botiquin</v>
      </c>
      <c r="C1760" s="4">
        <f>IFERROR(__xludf.DUMMYFUNCTION("""COMPUTED_VALUE"""),4.4)</f>
        <v>4.4</v>
      </c>
      <c r="D1760" s="4"/>
      <c r="E1760" s="4" t="str">
        <f>IFERROR(__xludf.DUMMYFUNCTION("""COMPUTED_VALUE"""),"Sin precio neto G.C.")</f>
        <v>Sin precio neto G.C.</v>
      </c>
    </row>
    <row r="1761">
      <c r="A1761" s="4" t="str">
        <f>IFERROR(__xludf.DUMMYFUNCTION("""COMPUTED_VALUE"""),"8275")</f>
        <v>8275</v>
      </c>
      <c r="B1761" s="4" t="str">
        <f>IFERROR(__xludf.DUMMYFUNCTION("""COMPUTED_VALUE"""),"Adhesivo 11x15 Proh. repar.personal no autorizado")</f>
        <v>Adhesivo 11x15 Proh. repar.personal no autorizado</v>
      </c>
      <c r="C1761" s="4">
        <f>IFERROR(__xludf.DUMMYFUNCTION("""COMPUTED_VALUE"""),0.55)</f>
        <v>0.55</v>
      </c>
      <c r="D1761" s="4">
        <f>IFERROR(__xludf.DUMMYFUNCTION("""COMPUTED_VALUE"""),0.5)</f>
        <v>0.5</v>
      </c>
      <c r="E1761" s="4" t="str">
        <f>IFERROR(__xludf.DUMMYFUNCTION("""COMPUTED_VALUE"""),"Neto G.C.: 0,50 € (a partir de 1 uds.)")</f>
        <v>Neto G.C.: 0,50 € (a partir de 1 uds.)</v>
      </c>
    </row>
    <row r="1762">
      <c r="A1762" s="4" t="str">
        <f>IFERROR(__xludf.DUMMYFUNCTION("""COMPUTED_VALUE"""),"8275/B")</f>
        <v>8275/B</v>
      </c>
      <c r="B1762" s="4" t="str">
        <f>IFERROR(__xludf.DUMMYFUNCTION("""COMPUTED_VALUE"""),"Blister 10 unid. Adhesivo 11x15 Proh. repar.personal no")</f>
        <v>Blister 10 unid. Adhesivo 11x15 Proh. repar.personal no</v>
      </c>
      <c r="C1762" s="4">
        <f>IFERROR(__xludf.DUMMYFUNCTION("""COMPUTED_VALUE"""),4.4)</f>
        <v>4.4</v>
      </c>
      <c r="D1762" s="4"/>
      <c r="E1762" s="4" t="str">
        <f>IFERROR(__xludf.DUMMYFUNCTION("""COMPUTED_VALUE"""),"Sin precio neto G.C.")</f>
        <v>Sin precio neto G.C.</v>
      </c>
    </row>
    <row r="1763">
      <c r="A1763" s="4" t="str">
        <f>IFERROR(__xludf.DUMMYFUNCTION("""COMPUTED_VALUE"""),"8281")</f>
        <v>8281</v>
      </c>
      <c r="B1763" s="4" t="str">
        <f>IFERROR(__xludf.DUMMYFUNCTION("""COMPUTED_VALUE"""),"Adhesivo 11x15 Agua no potable")</f>
        <v>Adhesivo 11x15 Agua no potable</v>
      </c>
      <c r="C1763" s="4">
        <f>IFERROR(__xludf.DUMMYFUNCTION("""COMPUTED_VALUE"""),0.55)</f>
        <v>0.55</v>
      </c>
      <c r="D1763" s="4">
        <f>IFERROR(__xludf.DUMMYFUNCTION("""COMPUTED_VALUE"""),0.5)</f>
        <v>0.5</v>
      </c>
      <c r="E1763" s="4" t="str">
        <f>IFERROR(__xludf.DUMMYFUNCTION("""COMPUTED_VALUE"""),"Neto G.C.: 0,50 € (a partir de 1 uds.)")</f>
        <v>Neto G.C.: 0,50 € (a partir de 1 uds.)</v>
      </c>
    </row>
    <row r="1764">
      <c r="A1764" s="4" t="str">
        <f>IFERROR(__xludf.DUMMYFUNCTION("""COMPUTED_VALUE"""),"8281/B")</f>
        <v>8281/B</v>
      </c>
      <c r="B1764" s="4" t="str">
        <f>IFERROR(__xludf.DUMMYFUNCTION("""COMPUTED_VALUE"""),"Blister 10 unid. Adhesivo 11x15 Agua no potable")</f>
        <v>Blister 10 unid. Adhesivo 11x15 Agua no potable</v>
      </c>
      <c r="C1764" s="4">
        <f>IFERROR(__xludf.DUMMYFUNCTION("""COMPUTED_VALUE"""),4.4)</f>
        <v>4.4</v>
      </c>
      <c r="D1764" s="4"/>
      <c r="E1764" s="4" t="str">
        <f>IFERROR(__xludf.DUMMYFUNCTION("""COMPUTED_VALUE"""),"Sin precio neto G.C.")</f>
        <v>Sin precio neto G.C.</v>
      </c>
    </row>
    <row r="1765">
      <c r="A1765" s="4" t="str">
        <f>IFERROR(__xludf.DUMMYFUNCTION("""COMPUTED_VALUE"""),"8283")</f>
        <v>8283</v>
      </c>
      <c r="B1765" s="4" t="str">
        <f>IFERROR(__xludf.DUMMYFUNCTION("""COMPUTED_VALUE"""),"Adhesivo 10x15 Uso obligatorio de mascara")</f>
        <v>Adhesivo 10x15 Uso obligatorio de mascara</v>
      </c>
      <c r="C1765" s="4">
        <f>IFERROR(__xludf.DUMMYFUNCTION("""COMPUTED_VALUE"""),0.55)</f>
        <v>0.55</v>
      </c>
      <c r="D1765" s="4">
        <f>IFERROR(__xludf.DUMMYFUNCTION("""COMPUTED_VALUE"""),0.5)</f>
        <v>0.5</v>
      </c>
      <c r="E1765" s="4" t="str">
        <f>IFERROR(__xludf.DUMMYFUNCTION("""COMPUTED_VALUE"""),"Neto G.C.: 0,50 € (a partir de 1 uds.)")</f>
        <v>Neto G.C.: 0,50 € (a partir de 1 uds.)</v>
      </c>
    </row>
    <row r="1766">
      <c r="A1766" s="4" t="str">
        <f>IFERROR(__xludf.DUMMYFUNCTION("""COMPUTED_VALUE"""),"8283/B")</f>
        <v>8283/B</v>
      </c>
      <c r="B1766" s="4" t="str">
        <f>IFERROR(__xludf.DUMMYFUNCTION("""COMPUTED_VALUE"""),"Blister 10 unid. Adhesivo 11x15 Uso obligatorio mascara")</f>
        <v>Blister 10 unid. Adhesivo 11x15 Uso obligatorio mascara</v>
      </c>
      <c r="C1766" s="4">
        <f>IFERROR(__xludf.DUMMYFUNCTION("""COMPUTED_VALUE"""),4.4)</f>
        <v>4.4</v>
      </c>
      <c r="D1766" s="4"/>
      <c r="E1766" s="4" t="str">
        <f>IFERROR(__xludf.DUMMYFUNCTION("""COMPUTED_VALUE"""),"Sin precio neto G.C.")</f>
        <v>Sin precio neto G.C.</v>
      </c>
    </row>
    <row r="1767">
      <c r="A1767" s="4" t="str">
        <f>IFERROR(__xludf.DUMMYFUNCTION("""COMPUTED_VALUE"""),"8290")</f>
        <v>8290</v>
      </c>
      <c r="B1767" s="4" t="str">
        <f>IFERROR(__xludf.DUMMYFUNCTION("""COMPUTED_VALUE"""),"Adhesivo 11x15 Peligro alta tension")</f>
        <v>Adhesivo 11x15 Peligro alta tension</v>
      </c>
      <c r="C1767" s="4">
        <f>IFERROR(__xludf.DUMMYFUNCTION("""COMPUTED_VALUE"""),0.55)</f>
        <v>0.55</v>
      </c>
      <c r="D1767" s="4">
        <f>IFERROR(__xludf.DUMMYFUNCTION("""COMPUTED_VALUE"""),0.5)</f>
        <v>0.5</v>
      </c>
      <c r="E1767" s="4" t="str">
        <f>IFERROR(__xludf.DUMMYFUNCTION("""COMPUTED_VALUE"""),"Neto G.C.: 0,50 € (a partir de 1 uds.)")</f>
        <v>Neto G.C.: 0,50 € (a partir de 1 uds.)</v>
      </c>
    </row>
    <row r="1768">
      <c r="A1768" s="4" t="str">
        <f>IFERROR(__xludf.DUMMYFUNCTION("""COMPUTED_VALUE"""),"8290/B")</f>
        <v>8290/B</v>
      </c>
      <c r="B1768" s="4" t="str">
        <f>IFERROR(__xludf.DUMMYFUNCTION("""COMPUTED_VALUE"""),"Blister 10 unid. Adhesivo 11x15 Peligro Alta Tension")</f>
        <v>Blister 10 unid. Adhesivo 11x15 Peligro Alta Tension</v>
      </c>
      <c r="C1768" s="4">
        <f>IFERROR(__xludf.DUMMYFUNCTION("""COMPUTED_VALUE"""),4.4)</f>
        <v>4.4</v>
      </c>
      <c r="D1768" s="4"/>
      <c r="E1768" s="4" t="str">
        <f>IFERROR(__xludf.DUMMYFUNCTION("""COMPUTED_VALUE"""),"Sin precio neto G.C.")</f>
        <v>Sin precio neto G.C.</v>
      </c>
    </row>
    <row r="1769">
      <c r="A1769" s="4" t="str">
        <f>IFERROR(__xludf.DUMMYFUNCTION("""COMPUTED_VALUE"""),"8291")</f>
        <v>8291</v>
      </c>
      <c r="B1769" s="4" t="str">
        <f>IFERROR(__xludf.DUMMYFUNCTION("""COMPUTED_VALUE"""),"Adhesivo 11x15 Peligro no maniobrar pers.no autor.")</f>
        <v>Adhesivo 11x15 Peligro no maniobrar pers.no autor.</v>
      </c>
      <c r="C1769" s="4">
        <f>IFERROR(__xludf.DUMMYFUNCTION("""COMPUTED_VALUE"""),0.55)</f>
        <v>0.55</v>
      </c>
      <c r="D1769" s="4">
        <f>IFERROR(__xludf.DUMMYFUNCTION("""COMPUTED_VALUE"""),0.5)</f>
        <v>0.5</v>
      </c>
      <c r="E1769" s="4" t="str">
        <f>IFERROR(__xludf.DUMMYFUNCTION("""COMPUTED_VALUE"""),"Neto G.C.: 0,50 € (a partir de 1 uds.)")</f>
        <v>Neto G.C.: 0,50 € (a partir de 1 uds.)</v>
      </c>
    </row>
    <row r="1770">
      <c r="A1770" s="4" t="str">
        <f>IFERROR(__xludf.DUMMYFUNCTION("""COMPUTED_VALUE"""),"8291/B")</f>
        <v>8291/B</v>
      </c>
      <c r="B1770" s="4" t="str">
        <f>IFERROR(__xludf.DUMMYFUNCTION("""COMPUTED_VALUE"""),"Blister 10 unid. Adhesivo 11x15 Peligro no maniobrar pers. no")</f>
        <v>Blister 10 unid. Adhesivo 11x15 Peligro no maniobrar pers. no</v>
      </c>
      <c r="C1770" s="4">
        <f>IFERROR(__xludf.DUMMYFUNCTION("""COMPUTED_VALUE"""),4.4)</f>
        <v>4.4</v>
      </c>
      <c r="D1770" s="4"/>
      <c r="E1770" s="4" t="str">
        <f>IFERROR(__xludf.DUMMYFUNCTION("""COMPUTED_VALUE"""),"Sin precio neto G.C.")</f>
        <v>Sin precio neto G.C.</v>
      </c>
    </row>
    <row r="1771">
      <c r="A1771" s="4" t="str">
        <f>IFERROR(__xludf.DUMMYFUNCTION("""COMPUTED_VALUE"""),"83120N1")</f>
        <v>83120N1</v>
      </c>
      <c r="B1771" s="4" t="str">
        <f>IFERROR(__xludf.DUMMYFUNCTION("""COMPUTED_VALUE"""),"Cuadrado MOPU TS 120x120 cm Reflex I")</f>
        <v>Cuadrado MOPU TS 120x120 cm Reflex I</v>
      </c>
      <c r="C1771" s="4">
        <f>IFERROR(__xludf.DUMMYFUNCTION("""COMPUTED_VALUE"""),143.14)</f>
        <v>143.14</v>
      </c>
      <c r="D1771" s="4"/>
      <c r="E1771" s="4" t="str">
        <f>IFERROR(__xludf.DUMMYFUNCTION("""COMPUTED_VALUE"""),"Sin precio neto G.C.")</f>
        <v>Sin precio neto G.C.</v>
      </c>
    </row>
    <row r="1772">
      <c r="A1772" s="4" t="str">
        <f>IFERROR(__xludf.DUMMYFUNCTION("""COMPUTED_VALUE"""),"83120N2")</f>
        <v>83120N2</v>
      </c>
      <c r="B1772" s="4" t="str">
        <f>IFERROR(__xludf.DUMMYFUNCTION("""COMPUTED_VALUE"""),"Cuadrado MOPU TS 120x120 cm Reflex II")</f>
        <v>Cuadrado MOPU TS 120x120 cm Reflex II</v>
      </c>
      <c r="C1772" s="4">
        <f>IFERROR(__xludf.DUMMYFUNCTION("""COMPUTED_VALUE"""),200.6)</f>
        <v>200.6</v>
      </c>
      <c r="D1772" s="4"/>
      <c r="E1772" s="4" t="str">
        <f>IFERROR(__xludf.DUMMYFUNCTION("""COMPUTED_VALUE"""),"Sin precio neto G.C.")</f>
        <v>Sin precio neto G.C.</v>
      </c>
    </row>
    <row r="1773">
      <c r="A1773" s="4" t="str">
        <f>IFERROR(__xludf.DUMMYFUNCTION("""COMPUTED_VALUE"""),"83120N3")</f>
        <v>83120N3</v>
      </c>
      <c r="B1773" s="4" t="str">
        <f>IFERROR(__xludf.DUMMYFUNCTION("""COMPUTED_VALUE"""),"Cuadrado MOPU TS 120x120 cm Reflex III")</f>
        <v>Cuadrado MOPU TS 120x120 cm Reflex III</v>
      </c>
      <c r="C1773" s="4">
        <f>IFERROR(__xludf.DUMMYFUNCTION("""COMPUTED_VALUE"""),305.49)</f>
        <v>305.49</v>
      </c>
      <c r="D1773" s="4"/>
      <c r="E1773" s="4" t="str">
        <f>IFERROR(__xludf.DUMMYFUNCTION("""COMPUTED_VALUE"""),"Sin precio neto G.C.")</f>
        <v>Sin precio neto G.C.</v>
      </c>
    </row>
    <row r="1774">
      <c r="A1774" s="4" t="str">
        <f>IFERROR(__xludf.DUMMYFUNCTION("""COMPUTED_VALUE"""),"8340N1")</f>
        <v>8340N1</v>
      </c>
      <c r="B1774" s="4" t="str">
        <f>IFERROR(__xludf.DUMMYFUNCTION("""COMPUTED_VALUE"""),"Cuadrado MOPU TS 40x40 cm Reflex I")</f>
        <v>Cuadrado MOPU TS 40x40 cm Reflex I</v>
      </c>
      <c r="C1774" s="4">
        <f>IFERROR(__xludf.DUMMYFUNCTION("""COMPUTED_VALUE"""),31.0)</f>
        <v>31</v>
      </c>
      <c r="D1774" s="4"/>
      <c r="E1774" s="4" t="str">
        <f>IFERROR(__xludf.DUMMYFUNCTION("""COMPUTED_VALUE"""),"Sin precio neto G.C.")</f>
        <v>Sin precio neto G.C.</v>
      </c>
    </row>
    <row r="1775">
      <c r="A1775" s="4" t="str">
        <f>IFERROR(__xludf.DUMMYFUNCTION("""COMPUTED_VALUE"""),"8340N2")</f>
        <v>8340N2</v>
      </c>
      <c r="B1775" s="4" t="str">
        <f>IFERROR(__xludf.DUMMYFUNCTION("""COMPUTED_VALUE"""),"Cuadrado MOPU TS 40x40 cm Reflex II")</f>
        <v>Cuadrado MOPU TS 40x40 cm Reflex II</v>
      </c>
      <c r="C1775" s="4">
        <f>IFERROR(__xludf.DUMMYFUNCTION("""COMPUTED_VALUE"""),36.0)</f>
        <v>36</v>
      </c>
      <c r="D1775" s="4"/>
      <c r="E1775" s="4" t="str">
        <f>IFERROR(__xludf.DUMMYFUNCTION("""COMPUTED_VALUE"""),"Sin precio neto G.C.")</f>
        <v>Sin precio neto G.C.</v>
      </c>
    </row>
    <row r="1776">
      <c r="A1776" s="4" t="str">
        <f>IFERROR(__xludf.DUMMYFUNCTION("""COMPUTED_VALUE"""),"8340N3")</f>
        <v>8340N3</v>
      </c>
      <c r="B1776" s="4" t="str">
        <f>IFERROR(__xludf.DUMMYFUNCTION("""COMPUTED_VALUE"""),"Cuadrado MOPU TS 40x40 cm Reflex III")</f>
        <v>Cuadrado MOPU TS 40x40 cm Reflex III</v>
      </c>
      <c r="C1776" s="4">
        <f>IFERROR(__xludf.DUMMYFUNCTION("""COMPUTED_VALUE"""),54.0)</f>
        <v>54</v>
      </c>
      <c r="D1776" s="4"/>
      <c r="E1776" s="4" t="str">
        <f>IFERROR(__xludf.DUMMYFUNCTION("""COMPUTED_VALUE"""),"Sin precio neto G.C.")</f>
        <v>Sin precio neto G.C.</v>
      </c>
    </row>
    <row r="1777">
      <c r="A1777" s="4" t="str">
        <f>IFERROR(__xludf.DUMMYFUNCTION("""COMPUTED_VALUE"""),"8360N1")</f>
        <v>8360N1</v>
      </c>
      <c r="B1777" s="4" t="str">
        <f>IFERROR(__xludf.DUMMYFUNCTION("""COMPUTED_VALUE"""),"Cuadrado MOPU TS 60x60 cm Reflex I")</f>
        <v>Cuadrado MOPU TS 60x60 cm Reflex I</v>
      </c>
      <c r="C1777" s="4">
        <f>IFERROR(__xludf.DUMMYFUNCTION("""COMPUTED_VALUE"""),27.0)</f>
        <v>27</v>
      </c>
      <c r="D1777" s="4"/>
      <c r="E1777" s="4" t="str">
        <f>IFERROR(__xludf.DUMMYFUNCTION("""COMPUTED_VALUE"""),"Sin precio neto G.C.")</f>
        <v>Sin precio neto G.C.</v>
      </c>
    </row>
    <row r="1778">
      <c r="A1778" s="4" t="str">
        <f>IFERROR(__xludf.DUMMYFUNCTION("""COMPUTED_VALUE"""),"8360N2")</f>
        <v>8360N2</v>
      </c>
      <c r="B1778" s="4" t="str">
        <f>IFERROR(__xludf.DUMMYFUNCTION("""COMPUTED_VALUE"""),"Cuadrado MOPU TS 60x60 cm Reflex II")</f>
        <v>Cuadrado MOPU TS 60x60 cm Reflex II</v>
      </c>
      <c r="C1778" s="4">
        <f>IFERROR(__xludf.DUMMYFUNCTION("""COMPUTED_VALUE"""),44.25)</f>
        <v>44.25</v>
      </c>
      <c r="D1778" s="4"/>
      <c r="E1778" s="4" t="str">
        <f>IFERROR(__xludf.DUMMYFUNCTION("""COMPUTED_VALUE"""),"Sin precio neto G.C.")</f>
        <v>Sin precio neto G.C.</v>
      </c>
    </row>
    <row r="1779">
      <c r="A1779" s="4" t="str">
        <f>IFERROR(__xludf.DUMMYFUNCTION("""COMPUTED_VALUE"""),"8360N3")</f>
        <v>8360N3</v>
      </c>
      <c r="B1779" s="4" t="str">
        <f>IFERROR(__xludf.DUMMYFUNCTION("""COMPUTED_VALUE"""),"Cuadrado MOPU TS 60x60 cm Reflex III")</f>
        <v>Cuadrado MOPU TS 60x60 cm Reflex III</v>
      </c>
      <c r="C1779" s="4">
        <f>IFERROR(__xludf.DUMMYFUNCTION("""COMPUTED_VALUE"""),72.75)</f>
        <v>72.75</v>
      </c>
      <c r="D1779" s="4"/>
      <c r="E1779" s="4" t="str">
        <f>IFERROR(__xludf.DUMMYFUNCTION("""COMPUTED_VALUE"""),"Sin precio neto G.C.")</f>
        <v>Sin precio neto G.C.</v>
      </c>
    </row>
    <row r="1780">
      <c r="A1780" s="4" t="str">
        <f>IFERROR(__xludf.DUMMYFUNCTION("""COMPUTED_VALUE"""),"8374")</f>
        <v>8374</v>
      </c>
      <c r="B1780" s="4" t="str">
        <f>IFERROR(__xludf.DUMMYFUNCTION("""COMPUTED_VALUE"""),"Adhesivo 11x15 Riesgo de proyeccion de particulas")</f>
        <v>Adhesivo 11x15 Riesgo de proyeccion de particulas</v>
      </c>
      <c r="C1780" s="4">
        <f>IFERROR(__xludf.DUMMYFUNCTION("""COMPUTED_VALUE"""),0.55)</f>
        <v>0.55</v>
      </c>
      <c r="D1780" s="4">
        <f>IFERROR(__xludf.DUMMYFUNCTION("""COMPUTED_VALUE"""),0.5)</f>
        <v>0.5</v>
      </c>
      <c r="E1780" s="4" t="str">
        <f>IFERROR(__xludf.DUMMYFUNCTION("""COMPUTED_VALUE"""),"Neto G.C.: 0,50 € (a partir de 1 uds.)")</f>
        <v>Neto G.C.: 0,50 € (a partir de 1 uds.)</v>
      </c>
    </row>
    <row r="1781">
      <c r="A1781" s="4" t="str">
        <f>IFERROR(__xludf.DUMMYFUNCTION("""COMPUTED_VALUE"""),"8375")</f>
        <v>8375</v>
      </c>
      <c r="B1781" s="4" t="str">
        <f>IFERROR(__xludf.DUMMYFUNCTION("""COMPUTED_VALUE"""),"Adhesivo 11x15 Peligro de incendio")</f>
        <v>Adhesivo 11x15 Peligro de incendio</v>
      </c>
      <c r="C1781" s="4">
        <f>IFERROR(__xludf.DUMMYFUNCTION("""COMPUTED_VALUE"""),0.55)</f>
        <v>0.55</v>
      </c>
      <c r="D1781" s="4">
        <f>IFERROR(__xludf.DUMMYFUNCTION("""COMPUTED_VALUE"""),0.5)</f>
        <v>0.5</v>
      </c>
      <c r="E1781" s="4" t="str">
        <f>IFERROR(__xludf.DUMMYFUNCTION("""COMPUTED_VALUE"""),"Neto G.C.: 0,50 € (a partir de 1 uds.)")</f>
        <v>Neto G.C.: 0,50 € (a partir de 1 uds.)</v>
      </c>
    </row>
    <row r="1782">
      <c r="A1782" s="4" t="str">
        <f>IFERROR(__xludf.DUMMYFUNCTION("""COMPUTED_VALUE"""),"8381")</f>
        <v>8381</v>
      </c>
      <c r="B1782" s="4" t="str">
        <f>IFERROR(__xludf.DUMMYFUNCTION("""COMPUTED_VALUE"""),"Adhesivo 11x15 Riesgo contacto térmico")</f>
        <v>Adhesivo 11x15 Riesgo contacto térmico</v>
      </c>
      <c r="C1782" s="4">
        <f>IFERROR(__xludf.DUMMYFUNCTION("""COMPUTED_VALUE"""),0.55)</f>
        <v>0.55</v>
      </c>
      <c r="D1782" s="4">
        <f>IFERROR(__xludf.DUMMYFUNCTION("""COMPUTED_VALUE"""),0.5)</f>
        <v>0.5</v>
      </c>
      <c r="E1782" s="4" t="str">
        <f>IFERROR(__xludf.DUMMYFUNCTION("""COMPUTED_VALUE"""),"Neto G.C.: 0,50 € (a partir de 1 uds.)")</f>
        <v>Neto G.C.: 0,50 € (a partir de 1 uds.)</v>
      </c>
    </row>
    <row r="1783">
      <c r="A1783" s="4" t="str">
        <f>IFERROR(__xludf.DUMMYFUNCTION("""COMPUTED_VALUE"""),"8382")</f>
        <v>8382</v>
      </c>
      <c r="B1783" s="4" t="str">
        <f>IFERROR(__xludf.DUMMYFUNCTION("""COMPUTED_VALUE"""),"Adhesivo 11x15 Riesgo de corte")</f>
        <v>Adhesivo 11x15 Riesgo de corte</v>
      </c>
      <c r="C1783" s="4">
        <f>IFERROR(__xludf.DUMMYFUNCTION("""COMPUTED_VALUE"""),0.55)</f>
        <v>0.55</v>
      </c>
      <c r="D1783" s="4">
        <f>IFERROR(__xludf.DUMMYFUNCTION("""COMPUTED_VALUE"""),0.5)</f>
        <v>0.5</v>
      </c>
      <c r="E1783" s="4" t="str">
        <f>IFERROR(__xludf.DUMMYFUNCTION("""COMPUTED_VALUE"""),"Neto G.C.: 0,50 € (a partir de 1 uds.)")</f>
        <v>Neto G.C.: 0,50 € (a partir de 1 uds.)</v>
      </c>
    </row>
    <row r="1784">
      <c r="A1784" s="4" t="str">
        <f>IFERROR(__xludf.DUMMYFUNCTION("""COMPUTED_VALUE"""),"8384")</f>
        <v>8384</v>
      </c>
      <c r="B1784" s="4" t="str">
        <f>IFERROR(__xludf.DUMMYFUNCTION("""COMPUTED_VALUE"""),"Adhesivo 10x15 Uso obligatorio equipo autonomo")</f>
        <v>Adhesivo 10x15 Uso obligatorio equipo autonomo</v>
      </c>
      <c r="C1784" s="4">
        <f>IFERROR(__xludf.DUMMYFUNCTION("""COMPUTED_VALUE"""),0.55)</f>
        <v>0.55</v>
      </c>
      <c r="D1784" s="4">
        <f>IFERROR(__xludf.DUMMYFUNCTION("""COMPUTED_VALUE"""),0.5)</f>
        <v>0.5</v>
      </c>
      <c r="E1784" s="4" t="str">
        <f>IFERROR(__xludf.DUMMYFUNCTION("""COMPUTED_VALUE"""),"Neto G.C.: 0,50 € (a partir de 1 uds.)")</f>
        <v>Neto G.C.: 0,50 € (a partir de 1 uds.)</v>
      </c>
    </row>
    <row r="1785">
      <c r="A1785" s="4" t="str">
        <f>IFERROR(__xludf.DUMMYFUNCTION("""COMPUTED_VALUE"""),"8385")</f>
        <v>8385</v>
      </c>
      <c r="B1785" s="4" t="str">
        <f>IFERROR(__xludf.DUMMYFUNCTION("""COMPUTED_VALUE"""),"Adhesivo 10x15 peligro temperatura elevada")</f>
        <v>Adhesivo 10x15 peligro temperatura elevada</v>
      </c>
      <c r="C1785" s="4">
        <f>IFERROR(__xludf.DUMMYFUNCTION("""COMPUTED_VALUE"""),0.55)</f>
        <v>0.55</v>
      </c>
      <c r="D1785" s="4">
        <f>IFERROR(__xludf.DUMMYFUNCTION("""COMPUTED_VALUE"""),0.5)</f>
        <v>0.5</v>
      </c>
      <c r="E1785" s="4" t="str">
        <f>IFERROR(__xludf.DUMMYFUNCTION("""COMPUTED_VALUE"""),"Neto G.C.: 0,50 € (a partir de 1 uds.)")</f>
        <v>Neto G.C.: 0,50 € (a partir de 1 uds.)</v>
      </c>
    </row>
    <row r="1786">
      <c r="A1786" s="4" t="str">
        <f>IFERROR(__xludf.DUMMYFUNCTION("""COMPUTED_VALUE"""),"8385/B")</f>
        <v>8385/B</v>
      </c>
      <c r="B1786" s="4" t="str">
        <f>IFERROR(__xludf.DUMMYFUNCTION("""COMPUTED_VALUE"""),"Blístes 10 unid. Ahesivo 11x15 Temperatura Elevada")</f>
        <v>Blístes 10 unid. Ahesivo 11x15 Temperatura Elevada</v>
      </c>
      <c r="C1786" s="4">
        <f>IFERROR(__xludf.DUMMYFUNCTION("""COMPUTED_VALUE"""),4.4)</f>
        <v>4.4</v>
      </c>
      <c r="D1786" s="4"/>
      <c r="E1786" s="4" t="str">
        <f>IFERROR(__xludf.DUMMYFUNCTION("""COMPUTED_VALUE"""),"Sin precio neto G.C.")</f>
        <v>Sin precio neto G.C.</v>
      </c>
    </row>
    <row r="1787">
      <c r="A1787" s="4" t="str">
        <f>IFERROR(__xludf.DUMMYFUNCTION("""COMPUTED_VALUE"""),"8390N1")</f>
        <v>8390N1</v>
      </c>
      <c r="B1787" s="4" t="str">
        <f>IFERROR(__xludf.DUMMYFUNCTION("""COMPUTED_VALUE"""),"Cuadrado MOPU TS 90x90 cm Reflex I")</f>
        <v>Cuadrado MOPU TS 90x90 cm Reflex I</v>
      </c>
      <c r="C1787" s="4">
        <f>IFERROR(__xludf.DUMMYFUNCTION("""COMPUTED_VALUE"""),95.0)</f>
        <v>95</v>
      </c>
      <c r="D1787" s="4">
        <f>IFERROR(__xludf.DUMMYFUNCTION("""COMPUTED_VALUE"""),62.0)</f>
        <v>62</v>
      </c>
      <c r="E1787" s="4" t="str">
        <f>IFERROR(__xludf.DUMMYFUNCTION("""COMPUTED_VALUE"""),"Neto G.C.: 62,00 € (a partir de 1 uds.)")</f>
        <v>Neto G.C.: 62,00 € (a partir de 1 uds.)</v>
      </c>
    </row>
    <row r="1788">
      <c r="A1788" s="4" t="str">
        <f>IFERROR(__xludf.DUMMYFUNCTION("""COMPUTED_VALUE"""),"8390N2")</f>
        <v>8390N2</v>
      </c>
      <c r="B1788" s="4" t="str">
        <f>IFERROR(__xludf.DUMMYFUNCTION("""COMPUTED_VALUE"""),"Cuadrado MOPU TS 90x90 cm Reflex II")</f>
        <v>Cuadrado MOPU TS 90x90 cm Reflex II</v>
      </c>
      <c r="C1788" s="4">
        <f>IFERROR(__xludf.DUMMYFUNCTION("""COMPUTED_VALUE"""),130.35)</f>
        <v>130.35</v>
      </c>
      <c r="D1788" s="4"/>
      <c r="E1788" s="4" t="str">
        <f>IFERROR(__xludf.DUMMYFUNCTION("""COMPUTED_VALUE"""),"Sin precio neto G.C.")</f>
        <v>Sin precio neto G.C.</v>
      </c>
    </row>
    <row r="1789">
      <c r="A1789" s="4" t="str">
        <f>IFERROR(__xludf.DUMMYFUNCTION("""COMPUTED_VALUE"""),"8390N3")</f>
        <v>8390N3</v>
      </c>
      <c r="B1789" s="4" t="str">
        <f>IFERROR(__xludf.DUMMYFUNCTION("""COMPUTED_VALUE"""),"Cuadrado MOPU TS 90x90 cm Reflex III")</f>
        <v>Cuadrado MOPU TS 90x90 cm Reflex III</v>
      </c>
      <c r="C1789" s="4">
        <f>IFERROR(__xludf.DUMMYFUNCTION("""COMPUTED_VALUE"""),157.17)</f>
        <v>157.17</v>
      </c>
      <c r="D1789" s="4"/>
      <c r="E1789" s="4" t="str">
        <f>IFERROR(__xludf.DUMMYFUNCTION("""COMPUTED_VALUE"""),"Sin precio neto G.C.")</f>
        <v>Sin precio neto G.C.</v>
      </c>
    </row>
    <row r="1790">
      <c r="A1790" s="4" t="str">
        <f>IFERROR(__xludf.DUMMYFUNCTION("""COMPUTED_VALUE"""),"8399")</f>
        <v>8399</v>
      </c>
      <c r="B1790" s="4" t="str">
        <f>IFERROR(__xludf.DUMMYFUNCTION("""COMPUTED_VALUE"""),"Adhesivo Agles Morts 17x25 cm")</f>
        <v>Adhesivo Agles Morts 17x25 cm</v>
      </c>
      <c r="C1790" s="4">
        <f>IFERROR(__xludf.DUMMYFUNCTION("""COMPUTED_VALUE"""),6.0)</f>
        <v>6</v>
      </c>
      <c r="D1790" s="4"/>
      <c r="E1790" s="4" t="str">
        <f>IFERROR(__xludf.DUMMYFUNCTION("""COMPUTED_VALUE"""),"Sin precio neto G.C.")</f>
        <v>Sin precio neto G.C.</v>
      </c>
    </row>
    <row r="1791">
      <c r="A1791" s="4" t="str">
        <f>IFERROR(__xludf.DUMMYFUNCTION("""COMPUTED_VALUE"""),"844060N1")</f>
        <v>844060N1</v>
      </c>
      <c r="B1791" s="4" t="str">
        <f>IFERROR(__xludf.DUMMYFUNCTION("""COMPUTED_VALUE"""),"Rectangulo MOPU TS 40x60 cm Reflex I")</f>
        <v>Rectangulo MOPU TS 40x60 cm Reflex I</v>
      </c>
      <c r="C1791" s="4">
        <f>IFERROR(__xludf.DUMMYFUNCTION("""COMPUTED_VALUE"""),36.5)</f>
        <v>36.5</v>
      </c>
      <c r="D1791" s="4"/>
      <c r="E1791" s="4" t="str">
        <f>IFERROR(__xludf.DUMMYFUNCTION("""COMPUTED_VALUE"""),"Sin precio neto G.C.")</f>
        <v>Sin precio neto G.C.</v>
      </c>
    </row>
    <row r="1792">
      <c r="A1792" s="4" t="str">
        <f>IFERROR(__xludf.DUMMYFUNCTION("""COMPUTED_VALUE"""),"844060N2")</f>
        <v>844060N2</v>
      </c>
      <c r="B1792" s="4" t="str">
        <f>IFERROR(__xludf.DUMMYFUNCTION("""COMPUTED_VALUE"""),"Rectangulo MOPU TS 40X60 cm Reflex II")</f>
        <v>Rectangulo MOPU TS 40X60 cm Reflex II</v>
      </c>
      <c r="C1792" s="4">
        <f>IFERROR(__xludf.DUMMYFUNCTION("""COMPUTED_VALUE"""),42.0)</f>
        <v>42</v>
      </c>
      <c r="D1792" s="4"/>
      <c r="E1792" s="4" t="str">
        <f>IFERROR(__xludf.DUMMYFUNCTION("""COMPUTED_VALUE"""),"Sin precio neto G.C.")</f>
        <v>Sin precio neto G.C.</v>
      </c>
    </row>
    <row r="1793">
      <c r="A1793" s="4" t="str">
        <f>IFERROR(__xludf.DUMMYFUNCTION("""COMPUTED_VALUE"""),"844060N3")</f>
        <v>844060N3</v>
      </c>
      <c r="B1793" s="4" t="str">
        <f>IFERROR(__xludf.DUMMYFUNCTION("""COMPUTED_VALUE"""),"Rectangulo MOPU TS 40X60 cm Reflex III")</f>
        <v>Rectangulo MOPU TS 40X60 cm Reflex III</v>
      </c>
      <c r="C1793" s="4">
        <f>IFERROR(__xludf.DUMMYFUNCTION("""COMPUTED_VALUE"""),62.5)</f>
        <v>62.5</v>
      </c>
      <c r="D1793" s="4"/>
      <c r="E1793" s="4" t="str">
        <f>IFERROR(__xludf.DUMMYFUNCTION("""COMPUTED_VALUE"""),"Sin precio neto G.C.")</f>
        <v>Sin precio neto G.C.</v>
      </c>
    </row>
    <row r="1794">
      <c r="A1794" s="4" t="str">
        <f>IFERROR(__xludf.DUMMYFUNCTION("""COMPUTED_VALUE"""),"8460120N1")</f>
        <v>8460120N1</v>
      </c>
      <c r="B1794" s="4" t="str">
        <f>IFERROR(__xludf.DUMMYFUNCTION("""COMPUTED_VALUE"""),"Rectangulo MOPU TS 60x120 cm Reflex I")</f>
        <v>Rectangulo MOPU TS 60x120 cm Reflex I</v>
      </c>
      <c r="C1794" s="4">
        <f>IFERROR(__xludf.DUMMYFUNCTION("""COMPUTED_VALUE"""),110.25)</f>
        <v>110.25</v>
      </c>
      <c r="D1794" s="4"/>
      <c r="E1794" s="4" t="str">
        <f>IFERROR(__xludf.DUMMYFUNCTION("""COMPUTED_VALUE"""),"Sin precio neto G.C.")</f>
        <v>Sin precio neto G.C.</v>
      </c>
    </row>
    <row r="1795">
      <c r="A1795" s="4" t="str">
        <f>IFERROR(__xludf.DUMMYFUNCTION("""COMPUTED_VALUE"""),"8460120N2")</f>
        <v>8460120N2</v>
      </c>
      <c r="B1795" s="4" t="str">
        <f>IFERROR(__xludf.DUMMYFUNCTION("""COMPUTED_VALUE"""),"Rectangulo MOPU TS 60x120 cm Reflex II")</f>
        <v>Rectangulo MOPU TS 60x120 cm Reflex II</v>
      </c>
      <c r="C1795" s="4">
        <f>IFERROR(__xludf.DUMMYFUNCTION("""COMPUTED_VALUE"""),112.0)</f>
        <v>112</v>
      </c>
      <c r="D1795" s="4"/>
      <c r="E1795" s="4" t="str">
        <f>IFERROR(__xludf.DUMMYFUNCTION("""COMPUTED_VALUE"""),"Sin precio neto G.C.")</f>
        <v>Sin precio neto G.C.</v>
      </c>
    </row>
    <row r="1796">
      <c r="A1796" s="4" t="str">
        <f>IFERROR(__xludf.DUMMYFUNCTION("""COMPUTED_VALUE"""),"8460120N3")</f>
        <v>8460120N3</v>
      </c>
      <c r="B1796" s="4" t="str">
        <f>IFERROR(__xludf.DUMMYFUNCTION("""COMPUTED_VALUE"""),"Rectangulo MOPU TS 60x120 cm Reflex III")</f>
        <v>Rectangulo MOPU TS 60x120 cm Reflex III</v>
      </c>
      <c r="C1796" s="4">
        <f>IFERROR(__xludf.DUMMYFUNCTION("""COMPUTED_VALUE"""),164.0)</f>
        <v>164</v>
      </c>
      <c r="D1796" s="4"/>
      <c r="E1796" s="4" t="str">
        <f>IFERROR(__xludf.DUMMYFUNCTION("""COMPUTED_VALUE"""),"Sin precio neto G.C.")</f>
        <v>Sin precio neto G.C.</v>
      </c>
    </row>
    <row r="1797">
      <c r="A1797" s="4" t="str">
        <f>IFERROR(__xludf.DUMMYFUNCTION("""COMPUTED_VALUE"""),"846090N1")</f>
        <v>846090N1</v>
      </c>
      <c r="B1797" s="4" t="str">
        <f>IFERROR(__xludf.DUMMYFUNCTION("""COMPUTED_VALUE"""),"Rectangulo MOPU TS 60x90 cm Reflex I")</f>
        <v>Rectangulo MOPU TS 60x90 cm Reflex I</v>
      </c>
      <c r="C1797" s="4">
        <f>IFERROR(__xludf.DUMMYFUNCTION("""COMPUTED_VALUE"""),44.0)</f>
        <v>44</v>
      </c>
      <c r="D1797" s="4"/>
      <c r="E1797" s="4" t="str">
        <f>IFERROR(__xludf.DUMMYFUNCTION("""COMPUTED_VALUE"""),"Sin precio neto G.C.")</f>
        <v>Sin precio neto G.C.</v>
      </c>
    </row>
    <row r="1798">
      <c r="A1798" s="4" t="str">
        <f>IFERROR(__xludf.DUMMYFUNCTION("""COMPUTED_VALUE"""),"846090N2")</f>
        <v>846090N2</v>
      </c>
      <c r="B1798" s="4" t="str">
        <f>IFERROR(__xludf.DUMMYFUNCTION("""COMPUTED_VALUE"""),"Rectangulo MOPU TS 60x90 cm Reflex II")</f>
        <v>Rectangulo MOPU TS 60x90 cm Reflex II</v>
      </c>
      <c r="C1798" s="4">
        <f>IFERROR(__xludf.DUMMYFUNCTION("""COMPUTED_VALUE"""),88.05)</f>
        <v>88.05</v>
      </c>
      <c r="D1798" s="4"/>
      <c r="E1798" s="4" t="str">
        <f>IFERROR(__xludf.DUMMYFUNCTION("""COMPUTED_VALUE"""),"Sin precio neto G.C.")</f>
        <v>Sin precio neto G.C.</v>
      </c>
    </row>
    <row r="1799">
      <c r="A1799" s="4" t="str">
        <f>IFERROR(__xludf.DUMMYFUNCTION("""COMPUTED_VALUE"""),"846090N3")</f>
        <v>846090N3</v>
      </c>
      <c r="B1799" s="4" t="str">
        <f>IFERROR(__xludf.DUMMYFUNCTION("""COMPUTED_VALUE"""),"Rectangulo MOPU TS 60x90 cm Reflex III")</f>
        <v>Rectangulo MOPU TS 60x90 cm Reflex III</v>
      </c>
      <c r="C1799" s="4">
        <f>IFERROR(__xludf.DUMMYFUNCTION("""COMPUTED_VALUE"""),115.64)</f>
        <v>115.64</v>
      </c>
      <c r="D1799" s="4"/>
      <c r="E1799" s="4" t="str">
        <f>IFERROR(__xludf.DUMMYFUNCTION("""COMPUTED_VALUE"""),"Sin precio neto G.C.")</f>
        <v>Sin precio neto G.C.</v>
      </c>
    </row>
    <row r="1800">
      <c r="A1800" s="4" t="str">
        <f>IFERROR(__xludf.DUMMYFUNCTION("""COMPUTED_VALUE"""),"8490135N1")</f>
        <v>8490135N1</v>
      </c>
      <c r="B1800" s="4" t="str">
        <f>IFERROR(__xludf.DUMMYFUNCTION("""COMPUTED_VALUE"""),"Rectangulo MOPU TS 90x135 cm Reflex I")</f>
        <v>Rectangulo MOPU TS 90x135 cm Reflex I</v>
      </c>
      <c r="C1800" s="4">
        <f>IFERROR(__xludf.DUMMYFUNCTION("""COMPUTED_VALUE"""),115.6)</f>
        <v>115.6</v>
      </c>
      <c r="D1800" s="4"/>
      <c r="E1800" s="4" t="str">
        <f>IFERROR(__xludf.DUMMYFUNCTION("""COMPUTED_VALUE"""),"Sin precio neto G.C.")</f>
        <v>Sin precio neto G.C.</v>
      </c>
    </row>
    <row r="1801">
      <c r="A1801" s="4" t="str">
        <f>IFERROR(__xludf.DUMMYFUNCTION("""COMPUTED_VALUE"""),"8490135N2")</f>
        <v>8490135N2</v>
      </c>
      <c r="B1801" s="4" t="str">
        <f>IFERROR(__xludf.DUMMYFUNCTION("""COMPUTED_VALUE"""),"Rectangulo MOPU TS 90x135 cm Reflex II")</f>
        <v>Rectangulo MOPU TS 90x135 cm Reflex II</v>
      </c>
      <c r="C1801" s="4">
        <f>IFERROR(__xludf.DUMMYFUNCTION("""COMPUTED_VALUE"""),190.78)</f>
        <v>190.78</v>
      </c>
      <c r="D1801" s="4"/>
      <c r="E1801" s="4" t="str">
        <f>IFERROR(__xludf.DUMMYFUNCTION("""COMPUTED_VALUE"""),"Sin precio neto G.C.")</f>
        <v>Sin precio neto G.C.</v>
      </c>
    </row>
    <row r="1802">
      <c r="A1802" s="4" t="str">
        <f>IFERROR(__xludf.DUMMYFUNCTION("""COMPUTED_VALUE"""),"8490135N3")</f>
        <v>8490135N3</v>
      </c>
      <c r="B1802" s="4" t="str">
        <f>IFERROR(__xludf.DUMMYFUNCTION("""COMPUTED_VALUE"""),"Rectangulo MOPU TS 90x135 cm Reflex III")</f>
        <v>Rectangulo MOPU TS 90x135 cm Reflex III</v>
      </c>
      <c r="C1802" s="4">
        <f>IFERROR(__xludf.DUMMYFUNCTION("""COMPUTED_VALUE"""),257.89)</f>
        <v>257.89</v>
      </c>
      <c r="D1802" s="4"/>
      <c r="E1802" s="4" t="str">
        <f>IFERROR(__xludf.DUMMYFUNCTION("""COMPUTED_VALUE"""),"Sin precio neto G.C.")</f>
        <v>Sin precio neto G.C.</v>
      </c>
    </row>
    <row r="1803">
      <c r="A1803" s="4" t="str">
        <f>IFERROR(__xludf.DUMMYFUNCTION("""COMPUTED_VALUE"""),"8500N")</f>
        <v>8500N</v>
      </c>
      <c r="B1803" s="4" t="str">
        <f>IFERROR(__xludf.DUMMYFUNCTION("""COMPUTED_VALUE"""),"Señal 30 cm metálica Triangular Normal")</f>
        <v>Señal 30 cm metálica Triangular Normal</v>
      </c>
      <c r="C1803" s="4">
        <f>IFERROR(__xludf.DUMMYFUNCTION("""COMPUTED_VALUE"""),8.25)</f>
        <v>8.25</v>
      </c>
      <c r="D1803" s="4"/>
      <c r="E1803" s="4" t="str">
        <f>IFERROR(__xludf.DUMMYFUNCTION("""COMPUTED_VALUE"""),"Sin precio neto G.C.")</f>
        <v>Sin precio neto G.C.</v>
      </c>
    </row>
    <row r="1804">
      <c r="A1804" s="4" t="str">
        <f>IFERROR(__xludf.DUMMYFUNCTION("""COMPUTED_VALUE"""),"8500N1")</f>
        <v>8500N1</v>
      </c>
      <c r="B1804" s="4" t="str">
        <f>IFERROR(__xludf.DUMMYFUNCTION("""COMPUTED_VALUE"""),"Señal 30 cm metálica Triangular Nivel 1")</f>
        <v>Señal 30 cm metálica Triangular Nivel 1</v>
      </c>
      <c r="C1804" s="4">
        <f>IFERROR(__xludf.DUMMYFUNCTION("""COMPUTED_VALUE"""),9.25)</f>
        <v>9.25</v>
      </c>
      <c r="D1804" s="4"/>
      <c r="E1804" s="4" t="str">
        <f>IFERROR(__xludf.DUMMYFUNCTION("""COMPUTED_VALUE"""),"Sin precio neto G.C.")</f>
        <v>Sin precio neto G.C.</v>
      </c>
    </row>
    <row r="1805">
      <c r="A1805" s="4" t="str">
        <f>IFERROR(__xludf.DUMMYFUNCTION("""COMPUTED_VALUE"""),"854020N1")</f>
        <v>854020N1</v>
      </c>
      <c r="B1805" s="4" t="str">
        <f>IFERROR(__xludf.DUMMYFUNCTION("""COMPUTED_VALUE"""),"Cajetin MOPU TS 40x20 cm Reflex I")</f>
        <v>Cajetin MOPU TS 40x20 cm Reflex I</v>
      </c>
      <c r="C1805" s="4">
        <f>IFERROR(__xludf.DUMMYFUNCTION("""COMPUTED_VALUE"""),15.84)</f>
        <v>15.84</v>
      </c>
      <c r="D1805" s="4"/>
      <c r="E1805" s="4" t="str">
        <f>IFERROR(__xludf.DUMMYFUNCTION("""COMPUTED_VALUE"""),"Sin precio neto G.C.")</f>
        <v>Sin precio neto G.C.</v>
      </c>
    </row>
    <row r="1806">
      <c r="A1806" s="4" t="str">
        <f>IFERROR(__xludf.DUMMYFUNCTION("""COMPUTED_VALUE"""),"854020N2")</f>
        <v>854020N2</v>
      </c>
      <c r="B1806" s="4" t="str">
        <f>IFERROR(__xludf.DUMMYFUNCTION("""COMPUTED_VALUE"""),"Cajetin MOPU TS 40x20 cm Reflex II")</f>
        <v>Cajetin MOPU TS 40x20 cm Reflex II</v>
      </c>
      <c r="C1806" s="4">
        <f>IFERROR(__xludf.DUMMYFUNCTION("""COMPUTED_VALUE"""),23.0)</f>
        <v>23</v>
      </c>
      <c r="D1806" s="4"/>
      <c r="E1806" s="4" t="str">
        <f>IFERROR(__xludf.DUMMYFUNCTION("""COMPUTED_VALUE"""),"Sin precio neto G.C.")</f>
        <v>Sin precio neto G.C.</v>
      </c>
    </row>
    <row r="1807">
      <c r="A1807" s="4" t="str">
        <f>IFERROR(__xludf.DUMMYFUNCTION("""COMPUTED_VALUE"""),"854020N3")</f>
        <v>854020N3</v>
      </c>
      <c r="B1807" s="4" t="str">
        <f>IFERROR(__xludf.DUMMYFUNCTION("""COMPUTED_VALUE"""),"Cajetin MOPU TS 40x20 cm Reflex III")</f>
        <v>Cajetin MOPU TS 40x20 cm Reflex III</v>
      </c>
      <c r="C1807" s="4">
        <f>IFERROR(__xludf.DUMMYFUNCTION("""COMPUTED_VALUE"""),28.32)</f>
        <v>28.32</v>
      </c>
      <c r="D1807" s="4"/>
      <c r="E1807" s="4" t="str">
        <f>IFERROR(__xludf.DUMMYFUNCTION("""COMPUTED_VALUE"""),"Sin precio neto G.C.")</f>
        <v>Sin precio neto G.C.</v>
      </c>
    </row>
    <row r="1808">
      <c r="A1808" s="4" t="str">
        <f>IFERROR(__xludf.DUMMYFUNCTION("""COMPUTED_VALUE"""),"856020N1")</f>
        <v>856020N1</v>
      </c>
      <c r="B1808" s="4" t="str">
        <f>IFERROR(__xludf.DUMMYFUNCTION("""COMPUTED_VALUE"""),"Cajetin MOPU TS 60x20 cm Reflex I")</f>
        <v>Cajetin MOPU TS 60x20 cm Reflex I</v>
      </c>
      <c r="C1808" s="4">
        <f>IFERROR(__xludf.DUMMYFUNCTION("""COMPUTED_VALUE"""),21.0)</f>
        <v>21</v>
      </c>
      <c r="D1808" s="4"/>
      <c r="E1808" s="4" t="str">
        <f>IFERROR(__xludf.DUMMYFUNCTION("""COMPUTED_VALUE"""),"Sin precio neto G.C.")</f>
        <v>Sin precio neto G.C.</v>
      </c>
    </row>
    <row r="1809">
      <c r="A1809" s="4" t="str">
        <f>IFERROR(__xludf.DUMMYFUNCTION("""COMPUTED_VALUE"""),"856030N1")</f>
        <v>856030N1</v>
      </c>
      <c r="B1809" s="4" t="str">
        <f>IFERROR(__xludf.DUMMYFUNCTION("""COMPUTED_VALUE"""),"Cajetin MOPU TS 60x30 cm Reflex I")</f>
        <v>Cajetin MOPU TS 60x30 cm Reflex I</v>
      </c>
      <c r="C1809" s="4">
        <f>IFERROR(__xludf.DUMMYFUNCTION("""COMPUTED_VALUE"""),21.25)</f>
        <v>21.25</v>
      </c>
      <c r="D1809" s="4"/>
      <c r="E1809" s="4" t="str">
        <f>IFERROR(__xludf.DUMMYFUNCTION("""COMPUTED_VALUE"""),"Sin precio neto G.C.")</f>
        <v>Sin precio neto G.C.</v>
      </c>
    </row>
    <row r="1810">
      <c r="A1810" s="4" t="str">
        <f>IFERROR(__xludf.DUMMYFUNCTION("""COMPUTED_VALUE"""),"856030N2")</f>
        <v>856030N2</v>
      </c>
      <c r="B1810" s="4" t="str">
        <f>IFERROR(__xludf.DUMMYFUNCTION("""COMPUTED_VALUE"""),"Cajetin MOPU TS 60x30 cm Reflex II")</f>
        <v>Cajetin MOPU TS 60x30 cm Reflex II</v>
      </c>
      <c r="C1810" s="4">
        <f>IFERROR(__xludf.DUMMYFUNCTION("""COMPUTED_VALUE"""),36.53)</f>
        <v>36.53</v>
      </c>
      <c r="D1810" s="4"/>
      <c r="E1810" s="4" t="str">
        <f>IFERROR(__xludf.DUMMYFUNCTION("""COMPUTED_VALUE"""),"Sin precio neto G.C.")</f>
        <v>Sin precio neto G.C.</v>
      </c>
    </row>
    <row r="1811">
      <c r="A1811" s="4" t="str">
        <f>IFERROR(__xludf.DUMMYFUNCTION("""COMPUTED_VALUE"""),"856030N3")</f>
        <v>856030N3</v>
      </c>
      <c r="B1811" s="4" t="str">
        <f>IFERROR(__xludf.DUMMYFUNCTION("""COMPUTED_VALUE"""),"Cajetin MOPU TS 60x30 cm Reflex III")</f>
        <v>Cajetin MOPU TS 60x30 cm Reflex III</v>
      </c>
      <c r="C1811" s="4">
        <f>IFERROR(__xludf.DUMMYFUNCTION("""COMPUTED_VALUE"""),46.25)</f>
        <v>46.25</v>
      </c>
      <c r="D1811" s="4"/>
      <c r="E1811" s="4" t="str">
        <f>IFERROR(__xludf.DUMMYFUNCTION("""COMPUTED_VALUE"""),"Sin precio neto G.C.")</f>
        <v>Sin precio neto G.C.</v>
      </c>
    </row>
    <row r="1812">
      <c r="A1812" s="4" t="str">
        <f>IFERROR(__xludf.DUMMYFUNCTION("""COMPUTED_VALUE"""),"8600N")</f>
        <v>8600N</v>
      </c>
      <c r="B1812" s="4" t="str">
        <f>IFERROR(__xludf.DUMMYFUNCTION("""COMPUTED_VALUE"""),"Señal 30 cm metálica Circular Normal")</f>
        <v>Señal 30 cm metálica Circular Normal</v>
      </c>
      <c r="C1812" s="4">
        <f>IFERROR(__xludf.DUMMYFUNCTION("""COMPUTED_VALUE"""),8.25)</f>
        <v>8.25</v>
      </c>
      <c r="D1812" s="4"/>
      <c r="E1812" s="4" t="str">
        <f>IFERROR(__xludf.DUMMYFUNCTION("""COMPUTED_VALUE"""),"Sin precio neto G.C.")</f>
        <v>Sin precio neto G.C.</v>
      </c>
    </row>
    <row r="1813">
      <c r="A1813" s="4" t="str">
        <f>IFERROR(__xludf.DUMMYFUNCTION("""COMPUTED_VALUE"""),"8600N1")</f>
        <v>8600N1</v>
      </c>
      <c r="B1813" s="4" t="str">
        <f>IFERROR(__xludf.DUMMYFUNCTION("""COMPUTED_VALUE"""),"Señal 30 cm metálica Circular Nivel 1")</f>
        <v>Señal 30 cm metálica Circular Nivel 1</v>
      </c>
      <c r="C1813" s="4">
        <f>IFERROR(__xludf.DUMMYFUNCTION("""COMPUTED_VALUE"""),9.25)</f>
        <v>9.25</v>
      </c>
      <c r="D1813" s="4"/>
      <c r="E1813" s="4" t="str">
        <f>IFERROR(__xludf.DUMMYFUNCTION("""COMPUTED_VALUE"""),"Sin precio neto G.C.")</f>
        <v>Sin precio neto G.C.</v>
      </c>
    </row>
    <row r="1814">
      <c r="A1814" s="4" t="str">
        <f>IFERROR(__xludf.DUMMYFUNCTION("""COMPUTED_VALUE"""),"8700N")</f>
        <v>8700N</v>
      </c>
      <c r="B1814" s="4" t="str">
        <f>IFERROR(__xludf.DUMMYFUNCTION("""COMPUTED_VALUE"""),"Señal 30 cm metálica Cuadrado Normal")</f>
        <v>Señal 30 cm metálica Cuadrado Normal</v>
      </c>
      <c r="C1814" s="4">
        <f>IFERROR(__xludf.DUMMYFUNCTION("""COMPUTED_VALUE"""),8.25)</f>
        <v>8.25</v>
      </c>
      <c r="D1814" s="4"/>
      <c r="E1814" s="4" t="str">
        <f>IFERROR(__xludf.DUMMYFUNCTION("""COMPUTED_VALUE"""),"Sin precio neto G.C.")</f>
        <v>Sin precio neto G.C.</v>
      </c>
    </row>
    <row r="1815">
      <c r="A1815" s="4" t="str">
        <f>IFERROR(__xludf.DUMMYFUNCTION("""COMPUTED_VALUE"""),"8700N1")</f>
        <v>8700N1</v>
      </c>
      <c r="B1815" s="4" t="str">
        <f>IFERROR(__xludf.DUMMYFUNCTION("""COMPUTED_VALUE"""),"Señal 30 cm metálica Rectangular Nivel 1")</f>
        <v>Señal 30 cm metálica Rectangular Nivel 1</v>
      </c>
      <c r="C1815" s="4">
        <f>IFERROR(__xludf.DUMMYFUNCTION("""COMPUTED_VALUE"""),9.25)</f>
        <v>9.25</v>
      </c>
      <c r="D1815" s="4"/>
      <c r="E1815" s="4" t="str">
        <f>IFERROR(__xludf.DUMMYFUNCTION("""COMPUTED_VALUE"""),"Sin precio neto G.C.")</f>
        <v>Sin precio neto G.C.</v>
      </c>
    </row>
    <row r="1816">
      <c r="A1816" s="4" t="str">
        <f>IFERROR(__xludf.DUMMYFUNCTION("""COMPUTED_VALUE"""),"8716545N1")</f>
        <v>8716545N1</v>
      </c>
      <c r="B1816" s="4" t="str">
        <f>IFERROR(__xludf.DUMMYFUNCTION("""COMPUTED_VALUE"""),"Panel direccional estrecho R/B TB-2 165x45 cm Reflex I")</f>
        <v>Panel direccional estrecho R/B TB-2 165x45 cm Reflex I</v>
      </c>
      <c r="C1816" s="4">
        <f>IFERROR(__xludf.DUMMYFUNCTION("""COMPUTED_VALUE"""),74.67)</f>
        <v>74.67</v>
      </c>
      <c r="D1816" s="4"/>
      <c r="E1816" s="4" t="str">
        <f>IFERROR(__xludf.DUMMYFUNCTION("""COMPUTED_VALUE"""),"Sin precio neto G.C.")</f>
        <v>Sin precio neto G.C.</v>
      </c>
    </row>
    <row r="1817">
      <c r="A1817" s="4" t="str">
        <f>IFERROR(__xludf.DUMMYFUNCTION("""COMPUTED_VALUE"""),"8716545N2")</f>
        <v>8716545N2</v>
      </c>
      <c r="B1817" s="4" t="str">
        <f>IFERROR(__xludf.DUMMYFUNCTION("""COMPUTED_VALUE"""),"Panel direccional estrecho R/B TB-2 165x45 cm Reflex II")</f>
        <v>Panel direccional estrecho R/B TB-2 165x45 cm Reflex II</v>
      </c>
      <c r="C1817" s="4">
        <f>IFERROR(__xludf.DUMMYFUNCTION("""COMPUTED_VALUE"""),89.75)</f>
        <v>89.75</v>
      </c>
      <c r="D1817" s="4"/>
      <c r="E1817" s="4" t="str">
        <f>IFERROR(__xludf.DUMMYFUNCTION("""COMPUTED_VALUE"""),"Sin precio neto G.C.")</f>
        <v>Sin precio neto G.C.</v>
      </c>
    </row>
    <row r="1818">
      <c r="A1818" s="4" t="str">
        <f>IFERROR(__xludf.DUMMYFUNCTION("""COMPUTED_VALUE"""),"8716545N3")</f>
        <v>8716545N3</v>
      </c>
      <c r="B1818" s="4" t="str">
        <f>IFERROR(__xludf.DUMMYFUNCTION("""COMPUTED_VALUE"""),"Panle direccional estrecho R/B TB-2 165x45 cm Reflex III")</f>
        <v>Panle direccional estrecho R/B TB-2 165x45 cm Reflex III</v>
      </c>
      <c r="C1818" s="4">
        <f>IFERROR(__xludf.DUMMYFUNCTION("""COMPUTED_VALUE"""),124.68)</f>
        <v>124.68</v>
      </c>
      <c r="D1818" s="4"/>
      <c r="E1818" s="4" t="str">
        <f>IFERROR(__xludf.DUMMYFUNCTION("""COMPUTED_VALUE"""),"Sin precio neto G.C.")</f>
        <v>Sin precio neto G.C.</v>
      </c>
    </row>
    <row r="1819">
      <c r="A1819" s="4" t="str">
        <f>IFERROR(__xludf.DUMMYFUNCTION("""COMPUTED_VALUE"""),"8719595N1")</f>
        <v>8719595N1</v>
      </c>
      <c r="B1819" s="4" t="str">
        <f>IFERROR(__xludf.DUMMYFUNCTION("""COMPUTED_VALUE"""),"Panel direccional alto R/B TB-1 195x95 cm Reflex I")</f>
        <v>Panel direccional alto R/B TB-1 195x95 cm Reflex I</v>
      </c>
      <c r="C1819" s="4">
        <f>IFERROR(__xludf.DUMMYFUNCTION("""COMPUTED_VALUE"""),206.85)</f>
        <v>206.85</v>
      </c>
      <c r="D1819" s="4"/>
      <c r="E1819" s="4" t="str">
        <f>IFERROR(__xludf.DUMMYFUNCTION("""COMPUTED_VALUE"""),"Sin precio neto G.C.")</f>
        <v>Sin precio neto G.C.</v>
      </c>
    </row>
    <row r="1820">
      <c r="A1820" s="4" t="str">
        <f>IFERROR(__xludf.DUMMYFUNCTION("""COMPUTED_VALUE"""),"8719595N2")</f>
        <v>8719595N2</v>
      </c>
      <c r="B1820" s="4" t="str">
        <f>IFERROR(__xludf.DUMMYFUNCTION("""COMPUTED_VALUE"""),"Panel direccional alto R/B TB-1 195x95 cm Reflex II")</f>
        <v>Panel direccional alto R/B TB-1 195x95 cm Reflex II</v>
      </c>
      <c r="C1820" s="4">
        <f>IFERROR(__xludf.DUMMYFUNCTION("""COMPUTED_VALUE"""),241.0)</f>
        <v>241</v>
      </c>
      <c r="D1820" s="4"/>
      <c r="E1820" s="4" t="str">
        <f>IFERROR(__xludf.DUMMYFUNCTION("""COMPUTED_VALUE"""),"Sin precio neto G.C.")</f>
        <v>Sin precio neto G.C.</v>
      </c>
    </row>
    <row r="1821">
      <c r="A1821" s="4" t="str">
        <f>IFERROR(__xludf.DUMMYFUNCTION("""COMPUTED_VALUE"""),"8719595N3")</f>
        <v>8719595N3</v>
      </c>
      <c r="B1821" s="4" t="str">
        <f>IFERROR(__xludf.DUMMYFUNCTION("""COMPUTED_VALUE"""),"Panel direccional alto R/B TB-1 195x95 cm Reflex III")</f>
        <v>Panel direccional alto R/B TB-1 195x95 cm Reflex III</v>
      </c>
      <c r="C1821" s="4">
        <f>IFERROR(__xludf.DUMMYFUNCTION("""COMPUTED_VALUE"""),320.45)</f>
        <v>320.45</v>
      </c>
      <c r="D1821" s="4"/>
      <c r="E1821" s="4" t="str">
        <f>IFERROR(__xludf.DUMMYFUNCTION("""COMPUTED_VALUE"""),"Sin precio neto G.C.")</f>
        <v>Sin precio neto G.C.</v>
      </c>
    </row>
    <row r="1822">
      <c r="A1822" s="4" t="str">
        <f>IFERROR(__xludf.DUMMYFUNCTION("""COMPUTED_VALUE"""),"878040N1")</f>
        <v>878040N1</v>
      </c>
      <c r="B1822" s="4" t="str">
        <f>IFERROR(__xludf.DUMMYFUNCTION("""COMPUTED_VALUE"""),"Panel direccional estrecho R/B TB-2 80x40 cm Reflex I")</f>
        <v>Panel direccional estrecho R/B TB-2 80x40 cm Reflex I</v>
      </c>
      <c r="C1822" s="4">
        <f>IFERROR(__xludf.DUMMYFUNCTION("""COMPUTED_VALUE"""),43.0)</f>
        <v>43</v>
      </c>
      <c r="D1822" s="4"/>
      <c r="E1822" s="4" t="str">
        <f>IFERROR(__xludf.DUMMYFUNCTION("""COMPUTED_VALUE"""),"Sin precio neto G.C.")</f>
        <v>Sin precio neto G.C.</v>
      </c>
    </row>
    <row r="1823">
      <c r="A1823" s="4" t="str">
        <f>IFERROR(__xludf.DUMMYFUNCTION("""COMPUTED_VALUE"""),"878040N2")</f>
        <v>878040N2</v>
      </c>
      <c r="B1823" s="4" t="str">
        <f>IFERROR(__xludf.DUMMYFUNCTION("""COMPUTED_VALUE"""),"Panel direccional estrecho R/B TB-2 80x40 cm Reflex II")</f>
        <v>Panel direccional estrecho R/B TB-2 80x40 cm Reflex II</v>
      </c>
      <c r="C1823" s="4">
        <f>IFERROR(__xludf.DUMMYFUNCTION("""COMPUTED_VALUE"""),66.2)</f>
        <v>66.2</v>
      </c>
      <c r="D1823" s="4"/>
      <c r="E1823" s="4" t="str">
        <f>IFERROR(__xludf.DUMMYFUNCTION("""COMPUTED_VALUE"""),"Sin precio neto G.C.")</f>
        <v>Sin precio neto G.C.</v>
      </c>
    </row>
    <row r="1824">
      <c r="A1824" s="4" t="str">
        <f>IFERROR(__xludf.DUMMYFUNCTION("""COMPUTED_VALUE"""),"878040N3")</f>
        <v>878040N3</v>
      </c>
      <c r="B1824" s="4" t="str">
        <f>IFERROR(__xludf.DUMMYFUNCTION("""COMPUTED_VALUE"""),"Panel direccional estrecho R/B TB-2 80x40 cm Reflex III")</f>
        <v>Panel direccional estrecho R/B TB-2 80x40 cm Reflex III</v>
      </c>
      <c r="C1824" s="4">
        <f>IFERROR(__xludf.DUMMYFUNCTION("""COMPUTED_VALUE"""),81.4)</f>
        <v>81.4</v>
      </c>
      <c r="D1824" s="4"/>
      <c r="E1824" s="4" t="str">
        <f>IFERROR(__xludf.DUMMYFUNCTION("""COMPUTED_VALUE"""),"Sin precio neto G.C.")</f>
        <v>Sin precio neto G.C.</v>
      </c>
    </row>
    <row r="1825">
      <c r="A1825" s="4" t="str">
        <f>IFERROR(__xludf.DUMMYFUNCTION("""COMPUTED_VALUE"""),"8800N")</f>
        <v>8800N</v>
      </c>
      <c r="B1825" s="4" t="str">
        <f>IFERROR(__xludf.DUMMYFUNCTION("""COMPUTED_VALUE"""),"Señal 30 cm metálica STOP Normal")</f>
        <v>Señal 30 cm metálica STOP Normal</v>
      </c>
      <c r="C1825" s="4">
        <f>IFERROR(__xludf.DUMMYFUNCTION("""COMPUTED_VALUE"""),8.25)</f>
        <v>8.25</v>
      </c>
      <c r="D1825" s="4"/>
      <c r="E1825" s="4" t="str">
        <f>IFERROR(__xludf.DUMMYFUNCTION("""COMPUTED_VALUE"""),"Sin precio neto G.C.")</f>
        <v>Sin precio neto G.C.</v>
      </c>
    </row>
    <row r="1826">
      <c r="A1826" s="4" t="str">
        <f>IFERROR(__xludf.DUMMYFUNCTION("""COMPUTED_VALUE"""),"8800N1")</f>
        <v>8800N1</v>
      </c>
      <c r="B1826" s="4" t="str">
        <f>IFERROR(__xludf.DUMMYFUNCTION("""COMPUTED_VALUE"""),"Señal 30 cm metálica STOP Nivel 1")</f>
        <v>Señal 30 cm metálica STOP Nivel 1</v>
      </c>
      <c r="C1826" s="4">
        <f>IFERROR(__xludf.DUMMYFUNCTION("""COMPUTED_VALUE"""),9.25)</f>
        <v>9.25</v>
      </c>
      <c r="D1826" s="4"/>
      <c r="E1826" s="4" t="str">
        <f>IFERROR(__xludf.DUMMYFUNCTION("""COMPUTED_VALUE"""),"Sin precio neto G.C.")</f>
        <v>Sin precio neto G.C.</v>
      </c>
    </row>
    <row r="1827">
      <c r="A1827" s="4" t="str">
        <f>IFERROR(__xludf.DUMMYFUNCTION("""COMPUTED_VALUE"""),"88140251")</f>
        <v>88140251</v>
      </c>
      <c r="B1827" s="4" t="str">
        <f>IFERROR(__xludf.DUMMYFUNCTION("""COMPUTED_VALUE"""),"Valla movil para obras TB-5")</f>
        <v>Valla movil para obras TB-5</v>
      </c>
      <c r="C1827" s="4">
        <f>IFERROR(__xludf.DUMMYFUNCTION("""COMPUTED_VALUE"""),80.95)</f>
        <v>80.95</v>
      </c>
      <c r="D1827" s="4"/>
      <c r="E1827" s="4" t="str">
        <f>IFERROR(__xludf.DUMMYFUNCTION("""COMPUTED_VALUE"""),"Sin precio neto G.C.")</f>
        <v>Sin precio neto G.C.</v>
      </c>
    </row>
    <row r="1828">
      <c r="A1828" s="4" t="str">
        <f>IFERROR(__xludf.DUMMYFUNCTION("""COMPUTED_VALUE"""),"8819560N1")</f>
        <v>8819560N1</v>
      </c>
      <c r="B1828" s="4" t="str">
        <f>IFERROR(__xludf.DUMMYFUNCTION("""COMPUTED_VALUE"""),"Panel Hastial 195x60 cm Reflex I 50%")</f>
        <v>Panel Hastial 195x60 cm Reflex I 50%</v>
      </c>
      <c r="C1828" s="4">
        <f>IFERROR(__xludf.DUMMYFUNCTION("""COMPUTED_VALUE"""),134.0)</f>
        <v>134</v>
      </c>
      <c r="D1828" s="4"/>
      <c r="E1828" s="4" t="str">
        <f>IFERROR(__xludf.DUMMYFUNCTION("""COMPUTED_VALUE"""),"Sin precio neto G.C.")</f>
        <v>Sin precio neto G.C.</v>
      </c>
    </row>
    <row r="1829">
      <c r="A1829" s="4" t="str">
        <f>IFERROR(__xludf.DUMMYFUNCTION("""COMPUTED_VALUE"""),"883010N1")</f>
        <v>883010N1</v>
      </c>
      <c r="B1829" s="4" t="str">
        <f>IFERROR(__xludf.DUMMYFUNCTION("""COMPUTED_VALUE"""),"Piqueta 30x10 cm TB-7 NI")</f>
        <v>Piqueta 30x10 cm TB-7 NI</v>
      </c>
      <c r="C1829" s="4">
        <f>IFERROR(__xludf.DUMMYFUNCTION("""COMPUTED_VALUE"""),11.75)</f>
        <v>11.75</v>
      </c>
      <c r="D1829" s="4"/>
      <c r="E1829" s="4" t="str">
        <f>IFERROR(__xludf.DUMMYFUNCTION("""COMPUTED_VALUE"""),"Sin precio neto G.C.")</f>
        <v>Sin precio neto G.C.</v>
      </c>
    </row>
    <row r="1830">
      <c r="A1830" s="4" t="str">
        <f>IFERROR(__xludf.DUMMYFUNCTION("""COMPUTED_VALUE"""),"884030N1")</f>
        <v>884030N1</v>
      </c>
      <c r="B1830" s="4" t="str">
        <f>IFERROR(__xludf.DUMMYFUNCTION("""COMPUTED_VALUE"""),"Plac 40x30 cm Escalon Lateral c/piqueta Reflex")</f>
        <v>Plac 40x30 cm Escalon Lateral c/piqueta Reflex</v>
      </c>
      <c r="C1830" s="4">
        <f>IFERROR(__xludf.DUMMYFUNCTION("""COMPUTED_VALUE"""),24.3)</f>
        <v>24.3</v>
      </c>
      <c r="D1830" s="4"/>
      <c r="E1830" s="4" t="str">
        <f>IFERROR(__xludf.DUMMYFUNCTION("""COMPUTED_VALUE"""),"Sin precio neto G.C.")</f>
        <v>Sin precio neto G.C.</v>
      </c>
    </row>
    <row r="1831">
      <c r="A1831" s="4" t="str">
        <f>IFERROR(__xludf.DUMMYFUNCTION("""COMPUTED_VALUE"""),"8840N1")</f>
        <v>8840N1</v>
      </c>
      <c r="B1831" s="4" t="str">
        <f>IFERROR(__xludf.DUMMYFUNCTION("""COMPUTED_VALUE"""),"Piqueta 40 cm de jalonamiento TB-11 Reflex")</f>
        <v>Piqueta 40 cm de jalonamiento TB-11 Reflex</v>
      </c>
      <c r="C1831" s="4">
        <f>IFERROR(__xludf.DUMMYFUNCTION("""COMPUTED_VALUE"""),8.8)</f>
        <v>8.8</v>
      </c>
      <c r="D1831" s="4"/>
      <c r="E1831" s="4" t="str">
        <f>IFERROR(__xludf.DUMMYFUNCTION("""COMPUTED_VALUE"""),"Sin precio neto G.C.")</f>
        <v>Sin precio neto G.C.</v>
      </c>
    </row>
    <row r="1832">
      <c r="A1832" s="4" t="str">
        <f>IFERROR(__xludf.DUMMYFUNCTION("""COMPUTED_VALUE"""),"887015DN1")</f>
        <v>887015DN1</v>
      </c>
      <c r="B1832" s="4" t="str">
        <f>IFERROR(__xludf.DUMMYFUNCTION("""COMPUTED_VALUE"""),"Baliza de señalizacion obra TB-8 NI Derecha")</f>
        <v>Baliza de señalizacion obra TB-8 NI Derecha</v>
      </c>
      <c r="C1832" s="4">
        <f>IFERROR(__xludf.DUMMYFUNCTION("""COMPUTED_VALUE"""),39.25)</f>
        <v>39.25</v>
      </c>
      <c r="D1832" s="4"/>
      <c r="E1832" s="4" t="str">
        <f>IFERROR(__xludf.DUMMYFUNCTION("""COMPUTED_VALUE"""),"Sin precio neto G.C.")</f>
        <v>Sin precio neto G.C.</v>
      </c>
    </row>
    <row r="1833">
      <c r="A1833" s="4" t="str">
        <f>IFERROR(__xludf.DUMMYFUNCTION("""COMPUTED_VALUE"""),"887015IN1")</f>
        <v>887015IN1</v>
      </c>
      <c r="B1833" s="4" t="str">
        <f>IFERROR(__xludf.DUMMYFUNCTION("""COMPUTED_VALUE"""),"Baliza de señalizacion obra TB-9 NI Izquierda")</f>
        <v>Baliza de señalizacion obra TB-9 NI Izquierda</v>
      </c>
      <c r="C1833" s="4">
        <f>IFERROR(__xludf.DUMMYFUNCTION("""COMPUTED_VALUE"""),39.25)</f>
        <v>39.25</v>
      </c>
      <c r="D1833" s="4"/>
      <c r="E1833" s="4" t="str">
        <f>IFERROR(__xludf.DUMMYFUNCTION("""COMPUTED_VALUE"""),"Sin precio neto G.C.")</f>
        <v>Sin precio neto G.C.</v>
      </c>
    </row>
    <row r="1834">
      <c r="A1834" s="4" t="str">
        <f>IFERROR(__xludf.DUMMYFUNCTION("""COMPUTED_VALUE"""),"889530N1")</f>
        <v>889530N1</v>
      </c>
      <c r="B1834" s="4" t="str">
        <f>IFERROR(__xludf.DUMMYFUNCTION("""COMPUTED_VALUE"""),"Panel Hastial 95x30 cm Reflex I 50%")</f>
        <v>Panel Hastial 95x30 cm Reflex I 50%</v>
      </c>
      <c r="C1834" s="4">
        <f>IFERROR(__xludf.DUMMYFUNCTION("""COMPUTED_VALUE"""),58.0)</f>
        <v>58</v>
      </c>
      <c r="D1834" s="4"/>
      <c r="E1834" s="4" t="str">
        <f>IFERROR(__xludf.DUMMYFUNCTION("""COMPUTED_VALUE"""),"Sin precio neto G.C.")</f>
        <v>Sin precio neto G.C.</v>
      </c>
    </row>
    <row r="1835">
      <c r="A1835" s="4" t="str">
        <f>IFERROR(__xludf.DUMMYFUNCTION("""COMPUTED_VALUE"""),"889530N2")</f>
        <v>889530N2</v>
      </c>
      <c r="B1835" s="4" t="str">
        <f>IFERROR(__xludf.DUMMYFUNCTION("""COMPUTED_VALUE"""),"Panel Hastial 95x30 cm Reflex II 50%")</f>
        <v>Panel Hastial 95x30 cm Reflex II 50%</v>
      </c>
      <c r="C1835" s="4">
        <f>IFERROR(__xludf.DUMMYFUNCTION("""COMPUTED_VALUE"""),69.0)</f>
        <v>69</v>
      </c>
      <c r="D1835" s="4"/>
      <c r="E1835" s="4" t="str">
        <f>IFERROR(__xludf.DUMMYFUNCTION("""COMPUTED_VALUE"""),"Sin precio neto G.C.")</f>
        <v>Sin precio neto G.C.</v>
      </c>
    </row>
    <row r="1836">
      <c r="A1836" s="4" t="str">
        <f>IFERROR(__xludf.DUMMYFUNCTION("""COMPUTED_VALUE"""),"9000")</f>
        <v>9000</v>
      </c>
      <c r="B1836" s="4" t="str">
        <f>IFERROR(__xludf.DUMMYFUNCTION("""COMPUTED_VALUE"""),"Reductor velocidad 60x50x4.5 cm Mod. G")</f>
        <v>Reductor velocidad 60x50x4.5 cm Mod. G</v>
      </c>
      <c r="C1836" s="4">
        <f>IFERROR(__xludf.DUMMYFUNCTION("""COMPUTED_VALUE"""),21.25)</f>
        <v>21.25</v>
      </c>
      <c r="D1836" s="4"/>
      <c r="E1836" s="4" t="str">
        <f>IFERROR(__xludf.DUMMYFUNCTION("""COMPUTED_VALUE"""),"Sin precio neto G.C.")</f>
        <v>Sin precio neto G.C.</v>
      </c>
    </row>
    <row r="1837">
      <c r="A1837" s="4" t="str">
        <f>IFERROR(__xludf.DUMMYFUNCTION("""COMPUTED_VALUE"""),"9001")</f>
        <v>9001</v>
      </c>
      <c r="B1837" s="4" t="str">
        <f>IFERROR(__xludf.DUMMYFUNCTION("""COMPUTED_VALUE"""),"Extremo reductor veloc. 60x25x4,5 cm Mod. G")</f>
        <v>Extremo reductor veloc. 60x25x4,5 cm Mod. G</v>
      </c>
      <c r="C1837" s="4">
        <f>IFERROR(__xludf.DUMMYFUNCTION("""COMPUTED_VALUE"""),13.75)</f>
        <v>13.75</v>
      </c>
      <c r="D1837" s="4"/>
      <c r="E1837" s="4" t="str">
        <f>IFERROR(__xludf.DUMMYFUNCTION("""COMPUTED_VALUE"""),"Sin precio neto G.C.")</f>
        <v>Sin precio neto G.C.</v>
      </c>
    </row>
    <row r="1838">
      <c r="A1838" s="4" t="str">
        <f>IFERROR(__xludf.DUMMYFUNCTION("""COMPUTED_VALUE"""),"9004")</f>
        <v>9004</v>
      </c>
      <c r="B1838" s="4" t="str">
        <f>IFERROR(__xludf.DUMMYFUNCTION("""COMPUTED_VALUE"""),"Reductor velocidad 40x50x4.5 cm Mod. F")</f>
        <v>Reductor velocidad 40x50x4.5 cm Mod. F</v>
      </c>
      <c r="C1838" s="4">
        <f>IFERROR(__xludf.DUMMYFUNCTION("""COMPUTED_VALUE"""),18.35)</f>
        <v>18.35</v>
      </c>
      <c r="D1838" s="4"/>
      <c r="E1838" s="4" t="str">
        <f>IFERROR(__xludf.DUMMYFUNCTION("""COMPUTED_VALUE"""),"Sin precio neto G.C.")</f>
        <v>Sin precio neto G.C.</v>
      </c>
    </row>
    <row r="1839">
      <c r="A1839" s="4" t="str">
        <f>IFERROR(__xludf.DUMMYFUNCTION("""COMPUTED_VALUE"""),"9005")</f>
        <v>9005</v>
      </c>
      <c r="B1839" s="4" t="str">
        <f>IFERROR(__xludf.DUMMYFUNCTION("""COMPUTED_VALUE"""),"Extremo reductor veloc. 40x25x4.5 cm Mod. F")</f>
        <v>Extremo reductor veloc. 40x25x4.5 cm Mod. F</v>
      </c>
      <c r="C1839" s="4">
        <f>IFERROR(__xludf.DUMMYFUNCTION("""COMPUTED_VALUE"""),12.75)</f>
        <v>12.75</v>
      </c>
      <c r="D1839" s="4"/>
      <c r="E1839" s="4" t="str">
        <f>IFERROR(__xludf.DUMMYFUNCTION("""COMPUTED_VALUE"""),"Sin precio neto G.C.")</f>
        <v>Sin precio neto G.C.</v>
      </c>
    </row>
    <row r="1840">
      <c r="A1840" s="4" t="str">
        <f>IFERROR(__xludf.DUMMYFUNCTION("""COMPUTED_VALUE"""),"9006")</f>
        <v>9006</v>
      </c>
      <c r="B1840" s="4" t="str">
        <f>IFERROR(__xludf.DUMMYFUNCTION("""COMPUTED_VALUE"""),"Reductor velocidad 30x33x4 cm Mod. E")</f>
        <v>Reductor velocidad 30x33x4 cm Mod. E</v>
      </c>
      <c r="C1840" s="4">
        <f>IFERROR(__xludf.DUMMYFUNCTION("""COMPUTED_VALUE"""),14.65)</f>
        <v>14.65</v>
      </c>
      <c r="D1840" s="4"/>
      <c r="E1840" s="4" t="str">
        <f>IFERROR(__xludf.DUMMYFUNCTION("""COMPUTED_VALUE"""),"Sin precio neto G.C.")</f>
        <v>Sin precio neto G.C.</v>
      </c>
    </row>
    <row r="1841">
      <c r="A1841" s="4" t="str">
        <f>IFERROR(__xludf.DUMMYFUNCTION("""COMPUTED_VALUE"""),"9007")</f>
        <v>9007</v>
      </c>
      <c r="B1841" s="4" t="str">
        <f>IFERROR(__xludf.DUMMYFUNCTION("""COMPUTED_VALUE"""),"Extremo reductor velocid. 30x15x4 cm Mod. E")</f>
        <v>Extremo reductor velocid. 30x15x4 cm Mod. E</v>
      </c>
      <c r="C1841" s="4">
        <f>IFERROR(__xludf.DUMMYFUNCTION("""COMPUTED_VALUE"""),9.4)</f>
        <v>9.4</v>
      </c>
      <c r="D1841" s="4"/>
      <c r="E1841" s="4" t="str">
        <f>IFERROR(__xludf.DUMMYFUNCTION("""COMPUTED_VALUE"""),"Sin precio neto G.C.")</f>
        <v>Sin precio neto G.C.</v>
      </c>
    </row>
    <row r="1842">
      <c r="A1842" s="4" t="str">
        <f>IFERROR(__xludf.DUMMYFUNCTION("""COMPUTED_VALUE"""),"9008")</f>
        <v>9008</v>
      </c>
      <c r="B1842" s="4" t="str">
        <f>IFERROR(__xludf.DUMMYFUNCTION("""COMPUTED_VALUE"""),"Reductor velocidad 90x50x5 cm Mod. H")</f>
        <v>Reductor velocidad 90x50x5 cm Mod. H</v>
      </c>
      <c r="C1842" s="4">
        <f>IFERROR(__xludf.DUMMYFUNCTION("""COMPUTED_VALUE"""),37.7)</f>
        <v>37.7</v>
      </c>
      <c r="D1842" s="4"/>
      <c r="E1842" s="4" t="str">
        <f>IFERROR(__xludf.DUMMYFUNCTION("""COMPUTED_VALUE"""),"Sin precio neto G.C.")</f>
        <v>Sin precio neto G.C.</v>
      </c>
    </row>
    <row r="1843">
      <c r="A1843" s="4" t="str">
        <f>IFERROR(__xludf.DUMMYFUNCTION("""COMPUTED_VALUE"""),"9009")</f>
        <v>9009</v>
      </c>
      <c r="B1843" s="4" t="str">
        <f>IFERROR(__xludf.DUMMYFUNCTION("""COMPUTED_VALUE"""),"Extremo reductor veloc. 90x25x5 cm Mod. H")</f>
        <v>Extremo reductor veloc. 90x25x5 cm Mod. H</v>
      </c>
      <c r="C1843" s="4">
        <f>IFERROR(__xludf.DUMMYFUNCTION("""COMPUTED_VALUE"""),21.25)</f>
        <v>21.25</v>
      </c>
      <c r="D1843" s="4"/>
      <c r="E1843" s="4" t="str">
        <f>IFERROR(__xludf.DUMMYFUNCTION("""COMPUTED_VALUE"""),"Sin precio neto G.C.")</f>
        <v>Sin precio neto G.C.</v>
      </c>
    </row>
    <row r="1844">
      <c r="A1844" s="4" t="str">
        <f>IFERROR(__xludf.DUMMYFUNCTION("""COMPUTED_VALUE"""),"9010")</f>
        <v>9010</v>
      </c>
      <c r="B1844" s="4" t="str">
        <f>IFERROR(__xludf.DUMMYFUNCTION("""COMPUTED_VALUE"""),"Reductor velocidad High impact Amarillo")</f>
        <v>Reductor velocidad High impact Amarillo</v>
      </c>
      <c r="C1844" s="4">
        <f>IFERROR(__xludf.DUMMYFUNCTION("""COMPUTED_VALUE"""),14.0)</f>
        <v>14</v>
      </c>
      <c r="D1844" s="4"/>
      <c r="E1844" s="4" t="str">
        <f>IFERROR(__xludf.DUMMYFUNCTION("""COMPUTED_VALUE"""),"Sin precio neto G.C.")</f>
        <v>Sin precio neto G.C.</v>
      </c>
    </row>
    <row r="1845">
      <c r="A1845" s="4" t="str">
        <f>IFERROR(__xludf.DUMMYFUNCTION("""COMPUTED_VALUE"""),"9011")</f>
        <v>9011</v>
      </c>
      <c r="B1845" s="4" t="str">
        <f>IFERROR(__xludf.DUMMYFUNCTION("""COMPUTED_VALUE"""),"Reductor velocidad High impact Negro")</f>
        <v>Reductor velocidad High impact Negro</v>
      </c>
      <c r="C1845" s="4">
        <f>IFERROR(__xludf.DUMMYFUNCTION("""COMPUTED_VALUE"""),14.0)</f>
        <v>14</v>
      </c>
      <c r="D1845" s="4"/>
      <c r="E1845" s="4" t="str">
        <f>IFERROR(__xludf.DUMMYFUNCTION("""COMPUTED_VALUE"""),"Sin precio neto G.C.")</f>
        <v>Sin precio neto G.C.</v>
      </c>
    </row>
    <row r="1846">
      <c r="A1846" s="4" t="str">
        <f>IFERROR(__xludf.DUMMYFUNCTION("""COMPUTED_VALUE"""),"9012")</f>
        <v>9012</v>
      </c>
      <c r="B1846" s="4" t="str">
        <f>IFERROR(__xludf.DUMMYFUNCTION("""COMPUTED_VALUE"""),"Extremo reductor velocidad High Impact amarillo")</f>
        <v>Extremo reductor velocidad High Impact amarillo</v>
      </c>
      <c r="C1846" s="4">
        <f>IFERROR(__xludf.DUMMYFUNCTION("""COMPUTED_VALUE"""),4.5)</f>
        <v>4.5</v>
      </c>
      <c r="D1846" s="4"/>
      <c r="E1846" s="4" t="str">
        <f>IFERROR(__xludf.DUMMYFUNCTION("""COMPUTED_VALUE"""),"Sin precio neto G.C.")</f>
        <v>Sin precio neto G.C.</v>
      </c>
    </row>
    <row r="1847">
      <c r="A1847" s="4" t="str">
        <f>IFERROR(__xludf.DUMMYFUNCTION("""COMPUTED_VALUE"""),"9013")</f>
        <v>9013</v>
      </c>
      <c r="B1847" s="4" t="str">
        <f>IFERROR(__xludf.DUMMYFUNCTION("""COMPUTED_VALUE"""),"Extremo reductor velocidad High Impact negro")</f>
        <v>Extremo reductor velocidad High Impact negro</v>
      </c>
      <c r="C1847" s="4">
        <f>IFERROR(__xludf.DUMMYFUNCTION("""COMPUTED_VALUE"""),4.5)</f>
        <v>4.5</v>
      </c>
      <c r="D1847" s="4"/>
      <c r="E1847" s="4" t="str">
        <f>IFERROR(__xludf.DUMMYFUNCTION("""COMPUTED_VALUE"""),"Sin precio neto G.C.")</f>
        <v>Sin precio neto G.C.</v>
      </c>
    </row>
    <row r="1848">
      <c r="A1848" s="4" t="str">
        <f>IFERROR(__xludf.DUMMYFUNCTION("""COMPUTED_VALUE"""),"90135N")</f>
        <v>90135N</v>
      </c>
      <c r="B1848" s="4" t="str">
        <f>IFERROR(__xludf.DUMMYFUNCTION("""COMPUTED_VALUE"""),"Señal MOPU T.D. 135 cm N")</f>
        <v>Señal MOPU T.D. 135 cm N</v>
      </c>
      <c r="C1848" s="4">
        <f>IFERROR(__xludf.DUMMYFUNCTION("""COMPUTED_VALUE"""),90.03)</f>
        <v>90.03</v>
      </c>
      <c r="D1848" s="4"/>
      <c r="E1848" s="4" t="str">
        <f>IFERROR(__xludf.DUMMYFUNCTION("""COMPUTED_VALUE"""),"Sin precio neto G.C.")</f>
        <v>Sin precio neto G.C.</v>
      </c>
    </row>
    <row r="1849">
      <c r="A1849" s="4" t="str">
        <f>IFERROR(__xludf.DUMMYFUNCTION("""COMPUTED_VALUE"""),"90135N1")</f>
        <v>90135N1</v>
      </c>
      <c r="B1849" s="4" t="str">
        <f>IFERROR(__xludf.DUMMYFUNCTION("""COMPUTED_VALUE"""),"Señal MOPU T.D. 135 cm NI")</f>
        <v>Señal MOPU T.D. 135 cm NI</v>
      </c>
      <c r="C1849" s="4">
        <f>IFERROR(__xludf.DUMMYFUNCTION("""COMPUTED_VALUE"""),99.09)</f>
        <v>99.09</v>
      </c>
      <c r="D1849" s="4"/>
      <c r="E1849" s="4" t="str">
        <f>IFERROR(__xludf.DUMMYFUNCTION("""COMPUTED_VALUE"""),"Sin precio neto G.C.")</f>
        <v>Sin precio neto G.C.</v>
      </c>
    </row>
    <row r="1850">
      <c r="A1850" s="4" t="str">
        <f>IFERROR(__xludf.DUMMYFUNCTION("""COMPUTED_VALUE"""),"90135N2")</f>
        <v>90135N2</v>
      </c>
      <c r="B1850" s="4" t="str">
        <f>IFERROR(__xludf.DUMMYFUNCTION("""COMPUTED_VALUE"""),"Señal MOPU T.D. 135 cm NII")</f>
        <v>Señal MOPU T.D. 135 cm NII</v>
      </c>
      <c r="C1850" s="4">
        <f>IFERROR(__xludf.DUMMYFUNCTION("""COMPUTED_VALUE"""),132.79)</f>
        <v>132.79</v>
      </c>
      <c r="D1850" s="4"/>
      <c r="E1850" s="4" t="str">
        <f>IFERROR(__xludf.DUMMYFUNCTION("""COMPUTED_VALUE"""),"Sin precio neto G.C.")</f>
        <v>Sin precio neto G.C.</v>
      </c>
    </row>
    <row r="1851">
      <c r="A1851" s="4" t="str">
        <f>IFERROR(__xludf.DUMMYFUNCTION("""COMPUTED_VALUE"""),"90135N3")</f>
        <v>90135N3</v>
      </c>
      <c r="B1851" s="4" t="str">
        <f>IFERROR(__xludf.DUMMYFUNCTION("""COMPUTED_VALUE"""),"Señal MOPU T.D. 135 cm NIII")</f>
        <v>Señal MOPU T.D. 135 cm NIII</v>
      </c>
      <c r="C1851" s="4">
        <f>IFERROR(__xludf.DUMMYFUNCTION("""COMPUTED_VALUE"""),175.95)</f>
        <v>175.95</v>
      </c>
      <c r="D1851" s="4"/>
      <c r="E1851" s="4" t="str">
        <f>IFERROR(__xludf.DUMMYFUNCTION("""COMPUTED_VALUE"""),"Sin precio neto G.C.")</f>
        <v>Sin precio neto G.C.</v>
      </c>
    </row>
    <row r="1852">
      <c r="A1852" s="4" t="str">
        <f>IFERROR(__xludf.DUMMYFUNCTION("""COMPUTED_VALUE"""),"9014")</f>
        <v>9014</v>
      </c>
      <c r="B1852" s="4" t="str">
        <f>IFERROR(__xludf.DUMMYFUNCTION("""COMPUTED_VALUE"""),"Reductor velocidad High impact Amarillo pasacables")</f>
        <v>Reductor velocidad High impact Amarillo pasacables</v>
      </c>
      <c r="C1852" s="4">
        <f>IFERROR(__xludf.DUMMYFUNCTION("""COMPUTED_VALUE"""),13.0)</f>
        <v>13</v>
      </c>
      <c r="D1852" s="4"/>
      <c r="E1852" s="4" t="str">
        <f>IFERROR(__xludf.DUMMYFUNCTION("""COMPUTED_VALUE"""),"Sin precio neto G.C.")</f>
        <v>Sin precio neto G.C.</v>
      </c>
    </row>
    <row r="1853">
      <c r="A1853" s="4" t="str">
        <f>IFERROR(__xludf.DUMMYFUNCTION("""COMPUTED_VALUE"""),"9015")</f>
        <v>9015</v>
      </c>
      <c r="B1853" s="4" t="str">
        <f>IFERROR(__xludf.DUMMYFUNCTION("""COMPUTED_VALUE"""),"Reductor velocidad High impact Negro pasacables")</f>
        <v>Reductor velocidad High impact Negro pasacables</v>
      </c>
      <c r="C1853" s="4">
        <f>IFERROR(__xludf.DUMMYFUNCTION("""COMPUTED_VALUE"""),13.0)</f>
        <v>13</v>
      </c>
      <c r="D1853" s="4"/>
      <c r="E1853" s="4" t="str">
        <f>IFERROR(__xludf.DUMMYFUNCTION("""COMPUTED_VALUE"""),"Sin precio neto G.C.")</f>
        <v>Sin precio neto G.C.</v>
      </c>
    </row>
    <row r="1854">
      <c r="A1854" s="4" t="str">
        <f>IFERROR(__xludf.DUMMYFUNCTION("""COMPUTED_VALUE"""),"9016")</f>
        <v>9016</v>
      </c>
      <c r="B1854" s="4" t="str">
        <f>IFERROR(__xludf.DUMMYFUNCTION("""COMPUTED_VALUE"""),"Reductor velocidad Ovaglint 200x120x28 mm")</f>
        <v>Reductor velocidad Ovaglint 200x120x28 mm</v>
      </c>
      <c r="C1854" s="4">
        <f>IFERROR(__xludf.DUMMYFUNCTION("""COMPUTED_VALUE"""),4.5)</f>
        <v>4.5</v>
      </c>
      <c r="D1854" s="4"/>
      <c r="E1854" s="4" t="str">
        <f>IFERROR(__xludf.DUMMYFUNCTION("""COMPUTED_VALUE"""),"Sin precio neto G.C.")</f>
        <v>Sin precio neto G.C.</v>
      </c>
    </row>
    <row r="1855">
      <c r="A1855" s="4" t="str">
        <f>IFERROR(__xludf.DUMMYFUNCTION("""COMPUTED_VALUE"""),"90175N1")</f>
        <v>90175N1</v>
      </c>
      <c r="B1855" s="4" t="str">
        <f>IFERROR(__xludf.DUMMYFUNCTION("""COMPUTED_VALUE"""),"Señal MOPU T.D. 175 cm NI")</f>
        <v>Señal MOPU T.D. 175 cm NI</v>
      </c>
      <c r="C1855" s="4">
        <f>IFERROR(__xludf.DUMMYFUNCTION("""COMPUTED_VALUE"""),195.16)</f>
        <v>195.16</v>
      </c>
      <c r="D1855" s="4"/>
      <c r="E1855" s="4" t="str">
        <f>IFERROR(__xludf.DUMMYFUNCTION("""COMPUTED_VALUE"""),"Sin precio neto G.C.")</f>
        <v>Sin precio neto G.C.</v>
      </c>
    </row>
    <row r="1856">
      <c r="A1856" s="4" t="str">
        <f>IFERROR(__xludf.DUMMYFUNCTION("""COMPUTED_VALUE"""),"90175N2")</f>
        <v>90175N2</v>
      </c>
      <c r="B1856" s="4" t="str">
        <f>IFERROR(__xludf.DUMMYFUNCTION("""COMPUTED_VALUE"""),"Señal MOPU T.D. 175 cm NII")</f>
        <v>Señal MOPU T.D. 175 cm NII</v>
      </c>
      <c r="C1856" s="4">
        <f>IFERROR(__xludf.DUMMYFUNCTION("""COMPUTED_VALUE"""),218.63)</f>
        <v>218.63</v>
      </c>
      <c r="D1856" s="4"/>
      <c r="E1856" s="4" t="str">
        <f>IFERROR(__xludf.DUMMYFUNCTION("""COMPUTED_VALUE"""),"Sin precio neto G.C.")</f>
        <v>Sin precio neto G.C.</v>
      </c>
    </row>
    <row r="1857">
      <c r="A1857" s="4" t="str">
        <f>IFERROR(__xludf.DUMMYFUNCTION("""COMPUTED_VALUE"""),"90175N3")</f>
        <v>90175N3</v>
      </c>
      <c r="B1857" s="4" t="str">
        <f>IFERROR(__xludf.DUMMYFUNCTION("""COMPUTED_VALUE"""),"Señal MOPU T.D. 175 cm NIII")</f>
        <v>Señal MOPU T.D. 175 cm NIII</v>
      </c>
      <c r="C1857" s="4">
        <f>IFERROR(__xludf.DUMMYFUNCTION("""COMPUTED_VALUE"""),313.99)</f>
        <v>313.99</v>
      </c>
      <c r="D1857" s="4"/>
      <c r="E1857" s="4" t="str">
        <f>IFERROR(__xludf.DUMMYFUNCTION("""COMPUTED_VALUE"""),"Sin precio neto G.C.")</f>
        <v>Sin precio neto G.C.</v>
      </c>
    </row>
    <row r="1858">
      <c r="A1858" s="4" t="str">
        <f>IFERROR(__xludf.DUMMYFUNCTION("""COMPUTED_VALUE"""),"9070N")</f>
        <v>9070N</v>
      </c>
      <c r="B1858" s="4" t="str">
        <f>IFERROR(__xludf.DUMMYFUNCTION("""COMPUTED_VALUE"""),"Señal MOPU T.D. 70 cm N")</f>
        <v>Señal MOPU T.D. 70 cm N</v>
      </c>
      <c r="C1858" s="4">
        <f>IFERROR(__xludf.DUMMYFUNCTION("""COMPUTED_VALUE"""),28.96)</f>
        <v>28.96</v>
      </c>
      <c r="D1858" s="4"/>
      <c r="E1858" s="4" t="str">
        <f>IFERROR(__xludf.DUMMYFUNCTION("""COMPUTED_VALUE"""),"Sin precio neto G.C.")</f>
        <v>Sin precio neto G.C.</v>
      </c>
    </row>
    <row r="1859">
      <c r="A1859" s="4" t="str">
        <f>IFERROR(__xludf.DUMMYFUNCTION("""COMPUTED_VALUE"""),"9070N1")</f>
        <v>9070N1</v>
      </c>
      <c r="B1859" s="4" t="str">
        <f>IFERROR(__xludf.DUMMYFUNCTION("""COMPUTED_VALUE"""),"Señal MOPU T.D. 70 cm NI")</f>
        <v>Señal MOPU T.D. 70 cm NI</v>
      </c>
      <c r="C1859" s="4">
        <f>IFERROR(__xludf.DUMMYFUNCTION("""COMPUTED_VALUE"""),36.06)</f>
        <v>36.06</v>
      </c>
      <c r="D1859" s="4"/>
      <c r="E1859" s="4" t="str">
        <f>IFERROR(__xludf.DUMMYFUNCTION("""COMPUTED_VALUE"""),"Sin precio neto G.C.")</f>
        <v>Sin precio neto G.C.</v>
      </c>
    </row>
    <row r="1860">
      <c r="A1860" s="4" t="str">
        <f>IFERROR(__xludf.DUMMYFUNCTION("""COMPUTED_VALUE"""),"9070N2")</f>
        <v>9070N2</v>
      </c>
      <c r="B1860" s="4" t="str">
        <f>IFERROR(__xludf.DUMMYFUNCTION("""COMPUTED_VALUE"""),"Señal MOPU T.D. 70 cm NII")</f>
        <v>Señal MOPU T.D. 70 cm NII</v>
      </c>
      <c r="C1860" s="4">
        <f>IFERROR(__xludf.DUMMYFUNCTION("""COMPUTED_VALUE"""),45.07)</f>
        <v>45.07</v>
      </c>
      <c r="D1860" s="4"/>
      <c r="E1860" s="4" t="str">
        <f>IFERROR(__xludf.DUMMYFUNCTION("""COMPUTED_VALUE"""),"Sin precio neto G.C.")</f>
        <v>Sin precio neto G.C.</v>
      </c>
    </row>
    <row r="1861">
      <c r="A1861" s="4" t="str">
        <f>IFERROR(__xludf.DUMMYFUNCTION("""COMPUTED_VALUE"""),"9070N3")</f>
        <v>9070N3</v>
      </c>
      <c r="B1861" s="4" t="str">
        <f>IFERROR(__xludf.DUMMYFUNCTION("""COMPUTED_VALUE"""),"Señal MOPU T.D. 70 cm NIII")</f>
        <v>Señal MOPU T.D. 70 cm NIII</v>
      </c>
      <c r="C1861" s="4">
        <f>IFERROR(__xludf.DUMMYFUNCTION("""COMPUTED_VALUE"""),59.4)</f>
        <v>59.4</v>
      </c>
      <c r="D1861" s="4"/>
      <c r="E1861" s="4" t="str">
        <f>IFERROR(__xludf.DUMMYFUNCTION("""COMPUTED_VALUE"""),"Sin precio neto G.C.")</f>
        <v>Sin precio neto G.C.</v>
      </c>
    </row>
    <row r="1862">
      <c r="A1862" s="4" t="str">
        <f>IFERROR(__xludf.DUMMYFUNCTION("""COMPUTED_VALUE"""),"9090N")</f>
        <v>9090N</v>
      </c>
      <c r="B1862" s="4" t="str">
        <f>IFERROR(__xludf.DUMMYFUNCTION("""COMPUTED_VALUE"""),"Señal MOPU T.D. 90 cm N")</f>
        <v>Señal MOPU T.D. 90 cm N</v>
      </c>
      <c r="C1862" s="4">
        <f>IFERROR(__xludf.DUMMYFUNCTION("""COMPUTED_VALUE"""),41.66)</f>
        <v>41.66</v>
      </c>
      <c r="D1862" s="4"/>
      <c r="E1862" s="4" t="str">
        <f>IFERROR(__xludf.DUMMYFUNCTION("""COMPUTED_VALUE"""),"Sin precio neto G.C.")</f>
        <v>Sin precio neto G.C.</v>
      </c>
    </row>
    <row r="1863">
      <c r="A1863" s="4" t="str">
        <f>IFERROR(__xludf.DUMMYFUNCTION("""COMPUTED_VALUE"""),"9090N1")</f>
        <v>9090N1</v>
      </c>
      <c r="B1863" s="4" t="str">
        <f>IFERROR(__xludf.DUMMYFUNCTION("""COMPUTED_VALUE"""),"Señal MOPU T.D. 90 cm NI")</f>
        <v>Señal MOPU T.D. 90 cm NI</v>
      </c>
      <c r="C1863" s="4">
        <f>IFERROR(__xludf.DUMMYFUNCTION("""COMPUTED_VALUE"""),50.9)</f>
        <v>50.9</v>
      </c>
      <c r="D1863" s="4"/>
      <c r="E1863" s="4" t="str">
        <f>IFERROR(__xludf.DUMMYFUNCTION("""COMPUTED_VALUE"""),"Sin precio neto G.C.")</f>
        <v>Sin precio neto G.C.</v>
      </c>
    </row>
    <row r="1864">
      <c r="A1864" s="4" t="str">
        <f>IFERROR(__xludf.DUMMYFUNCTION("""COMPUTED_VALUE"""),"9090N2")</f>
        <v>9090N2</v>
      </c>
      <c r="B1864" s="4" t="str">
        <f>IFERROR(__xludf.DUMMYFUNCTION("""COMPUTED_VALUE"""),"Señal MOPU T.D. 90 cm NII")</f>
        <v>Señal MOPU T.D. 90 cm NII</v>
      </c>
      <c r="C1864" s="4">
        <f>IFERROR(__xludf.DUMMYFUNCTION("""COMPUTED_VALUE"""),66.33)</f>
        <v>66.33</v>
      </c>
      <c r="D1864" s="4"/>
      <c r="E1864" s="4" t="str">
        <f>IFERROR(__xludf.DUMMYFUNCTION("""COMPUTED_VALUE"""),"Sin precio neto G.C.")</f>
        <v>Sin precio neto G.C.</v>
      </c>
    </row>
    <row r="1865">
      <c r="A1865" s="4" t="str">
        <f>IFERROR(__xludf.DUMMYFUNCTION("""COMPUTED_VALUE"""),"9090N3")</f>
        <v>9090N3</v>
      </c>
      <c r="B1865" s="4" t="str">
        <f>IFERROR(__xludf.DUMMYFUNCTION("""COMPUTED_VALUE"""),"Señal MOPU T.D. 90 cm NIII")</f>
        <v>Señal MOPU T.D. 90 cm NIII</v>
      </c>
      <c r="C1865" s="4">
        <f>IFERROR(__xludf.DUMMYFUNCTION("""COMPUTED_VALUE"""),88.14)</f>
        <v>88.14</v>
      </c>
      <c r="D1865" s="4"/>
      <c r="E1865" s="4" t="str">
        <f>IFERROR(__xludf.DUMMYFUNCTION("""COMPUTED_VALUE"""),"Sin precio neto G.C.")</f>
        <v>Sin precio neto G.C.</v>
      </c>
    </row>
    <row r="1866">
      <c r="A1866" s="4" t="str">
        <f>IFERROR(__xludf.DUMMYFUNCTION("""COMPUTED_VALUE"""),"91120N")</f>
        <v>91120N</v>
      </c>
      <c r="B1866" s="4" t="str">
        <f>IFERROR(__xludf.DUMMYFUNCTION("""COMPUTED_VALUE"""),"Señal MOPU R.D. 120cm N")</f>
        <v>Señal MOPU R.D. 120cm N</v>
      </c>
      <c r="C1866" s="4">
        <f>IFERROR(__xludf.DUMMYFUNCTION("""COMPUTED_VALUE"""),131.25)</f>
        <v>131.25</v>
      </c>
      <c r="D1866" s="4"/>
      <c r="E1866" s="4" t="str">
        <f>IFERROR(__xludf.DUMMYFUNCTION("""COMPUTED_VALUE"""),"Sin precio neto G.C.")</f>
        <v>Sin precio neto G.C.</v>
      </c>
    </row>
    <row r="1867">
      <c r="A1867" s="4" t="str">
        <f>IFERROR(__xludf.DUMMYFUNCTION("""COMPUTED_VALUE"""),"91120N1")</f>
        <v>91120N1</v>
      </c>
      <c r="B1867" s="4" t="str">
        <f>IFERROR(__xludf.DUMMYFUNCTION("""COMPUTED_VALUE"""),"Señal MOPU R.D. 120cm NI")</f>
        <v>Señal MOPU R.D. 120cm NI</v>
      </c>
      <c r="C1867" s="4">
        <f>IFERROR(__xludf.DUMMYFUNCTION("""COMPUTED_VALUE"""),164.52)</f>
        <v>164.52</v>
      </c>
      <c r="D1867" s="4"/>
      <c r="E1867" s="4" t="str">
        <f>IFERROR(__xludf.DUMMYFUNCTION("""COMPUTED_VALUE"""),"Sin precio neto G.C.")</f>
        <v>Sin precio neto G.C.</v>
      </c>
    </row>
    <row r="1868">
      <c r="A1868" s="4" t="str">
        <f>IFERROR(__xludf.DUMMYFUNCTION("""COMPUTED_VALUE"""),"91120N2")</f>
        <v>91120N2</v>
      </c>
      <c r="B1868" s="4" t="str">
        <f>IFERROR(__xludf.DUMMYFUNCTION("""COMPUTED_VALUE"""),"Señal MOPU R.D. 120 cm NII")</f>
        <v>Señal MOPU R.D. 120 cm NII</v>
      </c>
      <c r="C1868" s="4">
        <f>IFERROR(__xludf.DUMMYFUNCTION("""COMPUTED_VALUE"""),194.48)</f>
        <v>194.48</v>
      </c>
      <c r="D1868" s="4"/>
      <c r="E1868" s="4" t="str">
        <f>IFERROR(__xludf.DUMMYFUNCTION("""COMPUTED_VALUE"""),"Sin precio neto G.C.")</f>
        <v>Sin precio neto G.C.</v>
      </c>
    </row>
    <row r="1869">
      <c r="A1869" s="4" t="str">
        <f>IFERROR(__xludf.DUMMYFUNCTION("""COMPUTED_VALUE"""),"91120N3")</f>
        <v>91120N3</v>
      </c>
      <c r="B1869" s="4" t="str">
        <f>IFERROR(__xludf.DUMMYFUNCTION("""COMPUTED_VALUE"""),"Señal MOPU R.D. 120 cm NIII")</f>
        <v>Señal MOPU R.D. 120 cm NIII</v>
      </c>
      <c r="C1869" s="4">
        <f>IFERROR(__xludf.DUMMYFUNCTION("""COMPUTED_VALUE"""),289.76)</f>
        <v>289.76</v>
      </c>
      <c r="D1869" s="4"/>
      <c r="E1869" s="4" t="str">
        <f>IFERROR(__xludf.DUMMYFUNCTION("""COMPUTED_VALUE"""),"Sin precio neto G.C.")</f>
        <v>Sin precio neto G.C.</v>
      </c>
    </row>
    <row r="1870">
      <c r="A1870" s="4" t="str">
        <f>IFERROR(__xludf.DUMMYFUNCTION("""COMPUTED_VALUE"""),"9160N")</f>
        <v>9160N</v>
      </c>
      <c r="B1870" s="4" t="str">
        <f>IFERROR(__xludf.DUMMYFUNCTION("""COMPUTED_VALUE"""),"Señal MOPU R.D. 60 cm N")</f>
        <v>Señal MOPU R.D. 60 cm N</v>
      </c>
      <c r="C1870" s="4">
        <f>IFERROR(__xludf.DUMMYFUNCTION("""COMPUTED_VALUE"""),35.98)</f>
        <v>35.98</v>
      </c>
      <c r="D1870" s="4"/>
      <c r="E1870" s="4" t="str">
        <f>IFERROR(__xludf.DUMMYFUNCTION("""COMPUTED_VALUE"""),"Sin precio neto G.C.")</f>
        <v>Sin precio neto G.C.</v>
      </c>
    </row>
    <row r="1871">
      <c r="A1871" s="4" t="str">
        <f>IFERROR(__xludf.DUMMYFUNCTION("""COMPUTED_VALUE"""),"9160N1")</f>
        <v>9160N1</v>
      </c>
      <c r="B1871" s="4" t="str">
        <f>IFERROR(__xludf.DUMMYFUNCTION("""COMPUTED_VALUE"""),"Señal MOPU R.D. 60 cm NI")</f>
        <v>Señal MOPU R.D. 60 cm NI</v>
      </c>
      <c r="C1871" s="4">
        <f>IFERROR(__xludf.DUMMYFUNCTION("""COMPUTED_VALUE"""),41.48)</f>
        <v>41.48</v>
      </c>
      <c r="D1871" s="4"/>
      <c r="E1871" s="4" t="str">
        <f>IFERROR(__xludf.DUMMYFUNCTION("""COMPUTED_VALUE"""),"Sin precio neto G.C.")</f>
        <v>Sin precio neto G.C.</v>
      </c>
    </row>
    <row r="1872">
      <c r="A1872" s="4" t="str">
        <f>IFERROR(__xludf.DUMMYFUNCTION("""COMPUTED_VALUE"""),"9160N2")</f>
        <v>9160N2</v>
      </c>
      <c r="B1872" s="4" t="str">
        <f>IFERROR(__xludf.DUMMYFUNCTION("""COMPUTED_VALUE"""),"Señal MOPU R.D. 60 cm NII")</f>
        <v>Señal MOPU R.D. 60 cm NII</v>
      </c>
      <c r="C1872" s="4">
        <f>IFERROR(__xludf.DUMMYFUNCTION("""COMPUTED_VALUE"""),59.26)</f>
        <v>59.26</v>
      </c>
      <c r="D1872" s="4"/>
      <c r="E1872" s="4" t="str">
        <f>IFERROR(__xludf.DUMMYFUNCTION("""COMPUTED_VALUE"""),"Sin precio neto G.C.")</f>
        <v>Sin precio neto G.C.</v>
      </c>
    </row>
    <row r="1873">
      <c r="A1873" s="4" t="str">
        <f>IFERROR(__xludf.DUMMYFUNCTION("""COMPUTED_VALUE"""),"9160N3")</f>
        <v>9160N3</v>
      </c>
      <c r="B1873" s="4" t="str">
        <f>IFERROR(__xludf.DUMMYFUNCTION("""COMPUTED_VALUE"""),"Señal MOPU R.D, 60 cm NIII")</f>
        <v>Señal MOPU R.D, 60 cm NIII</v>
      </c>
      <c r="C1873" s="4">
        <f>IFERROR(__xludf.DUMMYFUNCTION("""COMPUTED_VALUE"""),80.94)</f>
        <v>80.94</v>
      </c>
      <c r="D1873" s="4"/>
      <c r="E1873" s="4" t="str">
        <f>IFERROR(__xludf.DUMMYFUNCTION("""COMPUTED_VALUE"""),"Sin precio neto G.C.")</f>
        <v>Sin precio neto G.C.</v>
      </c>
    </row>
    <row r="1874">
      <c r="A1874" s="4" t="str">
        <f>IFERROR(__xludf.DUMMYFUNCTION("""COMPUTED_VALUE"""),"9160NE")</f>
        <v>9160NE</v>
      </c>
      <c r="B1874" s="4" t="str">
        <f>IFERROR(__xludf.DUMMYFUNCTION("""COMPUTED_VALUE"""),"Señal cuadrada 60 cm Normal recarga eléctrica")</f>
        <v>Señal cuadrada 60 cm Normal recarga eléctrica</v>
      </c>
      <c r="C1874" s="4">
        <f>IFERROR(__xludf.DUMMYFUNCTION("""COMPUTED_VALUE"""),31.0)</f>
        <v>31</v>
      </c>
      <c r="D1874" s="4"/>
      <c r="E1874" s="4" t="str">
        <f>IFERROR(__xludf.DUMMYFUNCTION("""COMPUTED_VALUE"""),"Sin precio neto G.C.")</f>
        <v>Sin precio neto G.C.</v>
      </c>
    </row>
    <row r="1875">
      <c r="A1875" s="4" t="str">
        <f>IFERROR(__xludf.DUMMYFUNCTION("""COMPUTED_VALUE"""),"9190N")</f>
        <v>9190N</v>
      </c>
      <c r="B1875" s="4" t="str">
        <f>IFERROR(__xludf.DUMMYFUNCTION("""COMPUTED_VALUE"""),"Señal MOPU R.D. 90 cm N")</f>
        <v>Señal MOPU R.D. 90 cm N</v>
      </c>
      <c r="C1875" s="4">
        <f>IFERROR(__xludf.DUMMYFUNCTION("""COMPUTED_VALUE"""),79.11)</f>
        <v>79.11</v>
      </c>
      <c r="D1875" s="4"/>
      <c r="E1875" s="4" t="str">
        <f>IFERROR(__xludf.DUMMYFUNCTION("""COMPUTED_VALUE"""),"Sin precio neto G.C.")</f>
        <v>Sin precio neto G.C.</v>
      </c>
    </row>
    <row r="1876">
      <c r="A1876" s="4" t="str">
        <f>IFERROR(__xludf.DUMMYFUNCTION("""COMPUTED_VALUE"""),"9190N1")</f>
        <v>9190N1</v>
      </c>
      <c r="B1876" s="4" t="str">
        <f>IFERROR(__xludf.DUMMYFUNCTION("""COMPUTED_VALUE"""),"Señal MOPU R.D. 90 cm NI")</f>
        <v>Señal MOPU R.D. 90 cm NI</v>
      </c>
      <c r="C1876" s="4">
        <f>IFERROR(__xludf.DUMMYFUNCTION("""COMPUTED_VALUE"""),87.52)</f>
        <v>87.52</v>
      </c>
      <c r="D1876" s="4"/>
      <c r="E1876" s="4" t="str">
        <f>IFERROR(__xludf.DUMMYFUNCTION("""COMPUTED_VALUE"""),"Sin precio neto G.C.")</f>
        <v>Sin precio neto G.C.</v>
      </c>
    </row>
    <row r="1877">
      <c r="A1877" s="4" t="str">
        <f>IFERROR(__xludf.DUMMYFUNCTION("""COMPUTED_VALUE"""),"9190N2")</f>
        <v>9190N2</v>
      </c>
      <c r="B1877" s="4" t="str">
        <f>IFERROR(__xludf.DUMMYFUNCTION("""COMPUTED_VALUE"""),"Señal MOPU R.D. 90 cm NII")</f>
        <v>Señal MOPU R.D. 90 cm NII</v>
      </c>
      <c r="C1877" s="4">
        <f>IFERROR(__xludf.DUMMYFUNCTION("""COMPUTED_VALUE"""),114.17)</f>
        <v>114.17</v>
      </c>
      <c r="D1877" s="4"/>
      <c r="E1877" s="4" t="str">
        <f>IFERROR(__xludf.DUMMYFUNCTION("""COMPUTED_VALUE"""),"Sin precio neto G.C.")</f>
        <v>Sin precio neto G.C.</v>
      </c>
    </row>
    <row r="1878">
      <c r="A1878" s="4" t="str">
        <f>IFERROR(__xludf.DUMMYFUNCTION("""COMPUTED_VALUE"""),"9190N3")</f>
        <v>9190N3</v>
      </c>
      <c r="B1878" s="4" t="str">
        <f>IFERROR(__xludf.DUMMYFUNCTION("""COMPUTED_VALUE"""),"Señal MOPU R.D. 90 cm NIII")</f>
        <v>Señal MOPU R.D. 90 cm NIII</v>
      </c>
      <c r="C1878" s="4">
        <f>IFERROR(__xludf.DUMMYFUNCTION("""COMPUTED_VALUE"""),172.51)</f>
        <v>172.51</v>
      </c>
      <c r="D1878" s="4"/>
      <c r="E1878" s="4" t="str">
        <f>IFERROR(__xludf.DUMMYFUNCTION("""COMPUTED_VALUE"""),"Sin precio neto G.C.")</f>
        <v>Sin precio neto G.C.</v>
      </c>
    </row>
    <row r="1879">
      <c r="A1879" s="4" t="str">
        <f>IFERROR(__xludf.DUMMYFUNCTION("""COMPUTED_VALUE"""),"9210")</f>
        <v>9210</v>
      </c>
      <c r="B1879" s="4" t="str">
        <f>IFERROR(__xludf.DUMMYFUNCTION("""COMPUTED_VALUE"""),"Pack 10 uds adhesivos 10x15 riesgo electrico")</f>
        <v>Pack 10 uds adhesivos 10x15 riesgo electrico</v>
      </c>
      <c r="C1879" s="4">
        <f>IFERROR(__xludf.DUMMYFUNCTION("""COMPUTED_VALUE"""),4.2)</f>
        <v>4.2</v>
      </c>
      <c r="D1879" s="4"/>
      <c r="E1879" s="4" t="str">
        <f>IFERROR(__xludf.DUMMYFUNCTION("""COMPUTED_VALUE"""),"Sin precio neto G.C.")</f>
        <v>Sin precio neto G.C.</v>
      </c>
    </row>
    <row r="1880">
      <c r="A1880" s="4" t="str">
        <f>IFERROR(__xludf.DUMMYFUNCTION("""COMPUTED_VALUE"""),"925170N2")</f>
        <v>925170N2</v>
      </c>
      <c r="B1880" s="4" t="str">
        <f>IFERROR(__xludf.DUMMYFUNCTION("""COMPUTED_VALUE"""),"Señal MOPU informativa 25x170 cm Reflex II")</f>
        <v>Señal MOPU informativa 25x170 cm Reflex II</v>
      </c>
      <c r="C1880" s="4">
        <f>IFERROR(__xludf.DUMMYFUNCTION("""COMPUTED_VALUE"""),104.4)</f>
        <v>104.4</v>
      </c>
      <c r="D1880" s="4"/>
      <c r="E1880" s="4" t="str">
        <f>IFERROR(__xludf.DUMMYFUNCTION("""COMPUTED_VALUE"""),"Sin precio neto G.C.")</f>
        <v>Sin precio neto G.C.</v>
      </c>
    </row>
    <row r="1881">
      <c r="A1881" s="4" t="str">
        <f>IFERROR(__xludf.DUMMYFUNCTION("""COMPUTED_VALUE"""),"9260N")</f>
        <v>9260N</v>
      </c>
      <c r="B1881" s="4" t="str">
        <f>IFERROR(__xludf.DUMMYFUNCTION("""COMPUTED_VALUE"""),"Señal MOPU R2 60 cm N")</f>
        <v>Señal MOPU R2 60 cm N</v>
      </c>
      <c r="C1881" s="4">
        <f>IFERROR(__xludf.DUMMYFUNCTION("""COMPUTED_VALUE"""),31.95)</f>
        <v>31.95</v>
      </c>
      <c r="D1881" s="4"/>
      <c r="E1881" s="4" t="str">
        <f>IFERROR(__xludf.DUMMYFUNCTION("""COMPUTED_VALUE"""),"Sin precio neto G.C.")</f>
        <v>Sin precio neto G.C.</v>
      </c>
    </row>
    <row r="1882">
      <c r="A1882" s="4" t="str">
        <f>IFERROR(__xludf.DUMMYFUNCTION("""COMPUTED_VALUE"""),"9260N1")</f>
        <v>9260N1</v>
      </c>
      <c r="B1882" s="4" t="str">
        <f>IFERROR(__xludf.DUMMYFUNCTION("""COMPUTED_VALUE"""),"Señal MOPU R2 60 cm NI")</f>
        <v>Señal MOPU R2 60 cm NI</v>
      </c>
      <c r="C1882" s="4">
        <f>IFERROR(__xludf.DUMMYFUNCTION("""COMPUTED_VALUE"""),43.45)</f>
        <v>43.45</v>
      </c>
      <c r="D1882" s="4"/>
      <c r="E1882" s="4" t="str">
        <f>IFERROR(__xludf.DUMMYFUNCTION("""COMPUTED_VALUE"""),"Sin precio neto G.C.")</f>
        <v>Sin precio neto G.C.</v>
      </c>
    </row>
    <row r="1883">
      <c r="A1883" s="4" t="str">
        <f>IFERROR(__xludf.DUMMYFUNCTION("""COMPUTED_VALUE"""),"9260N2")</f>
        <v>9260N2</v>
      </c>
      <c r="B1883" s="4" t="str">
        <f>IFERROR(__xludf.DUMMYFUNCTION("""COMPUTED_VALUE"""),"Señal MOPU R2 60 cm NII")</f>
        <v>Señal MOPU R2 60 cm NII</v>
      </c>
      <c r="C1883" s="4">
        <f>IFERROR(__xludf.DUMMYFUNCTION("""COMPUTED_VALUE"""),62.2)</f>
        <v>62.2</v>
      </c>
      <c r="D1883" s="4"/>
      <c r="E1883" s="4" t="str">
        <f>IFERROR(__xludf.DUMMYFUNCTION("""COMPUTED_VALUE"""),"Sin precio neto G.C.")</f>
        <v>Sin precio neto G.C.</v>
      </c>
    </row>
    <row r="1884">
      <c r="A1884" s="4" t="str">
        <f>IFERROR(__xludf.DUMMYFUNCTION("""COMPUTED_VALUE"""),"9260N3")</f>
        <v>9260N3</v>
      </c>
      <c r="B1884" s="4" t="str">
        <f>IFERROR(__xludf.DUMMYFUNCTION("""COMPUTED_VALUE"""),"Señal MOPU R2 60 cm NIII")</f>
        <v>Señal MOPU R2 60 cm NIII</v>
      </c>
      <c r="C1884" s="4">
        <f>IFERROR(__xludf.DUMMYFUNCTION("""COMPUTED_VALUE"""),76.47)</f>
        <v>76.47</v>
      </c>
      <c r="D1884" s="4"/>
      <c r="E1884" s="4" t="str">
        <f>IFERROR(__xludf.DUMMYFUNCTION("""COMPUTED_VALUE"""),"Sin precio neto G.C.")</f>
        <v>Sin precio neto G.C.</v>
      </c>
    </row>
    <row r="1885">
      <c r="A1885" s="4" t="str">
        <f>IFERROR(__xludf.DUMMYFUNCTION("""COMPUTED_VALUE"""),"9290N")</f>
        <v>9290N</v>
      </c>
      <c r="B1885" s="4" t="str">
        <f>IFERROR(__xludf.DUMMYFUNCTION("""COMPUTED_VALUE"""),"Señal MOPU R2 90 cm N")</f>
        <v>Señal MOPU R2 90 cm N</v>
      </c>
      <c r="C1885" s="4">
        <f>IFERROR(__xludf.DUMMYFUNCTION("""COMPUTED_VALUE"""),69.22)</f>
        <v>69.22</v>
      </c>
      <c r="D1885" s="4"/>
      <c r="E1885" s="4" t="str">
        <f>IFERROR(__xludf.DUMMYFUNCTION("""COMPUTED_VALUE"""),"Sin precio neto G.C.")</f>
        <v>Sin precio neto G.C.</v>
      </c>
    </row>
    <row r="1886">
      <c r="A1886" s="4" t="str">
        <f>IFERROR(__xludf.DUMMYFUNCTION("""COMPUTED_VALUE"""),"9290N1")</f>
        <v>9290N1</v>
      </c>
      <c r="B1886" s="4" t="str">
        <f>IFERROR(__xludf.DUMMYFUNCTION("""COMPUTED_VALUE"""),"Señal MOPU R2 90 cm NI")</f>
        <v>Señal MOPU R2 90 cm NI</v>
      </c>
      <c r="C1886" s="4">
        <f>IFERROR(__xludf.DUMMYFUNCTION("""COMPUTED_VALUE"""),84.1)</f>
        <v>84.1</v>
      </c>
      <c r="D1886" s="4"/>
      <c r="E1886" s="4" t="str">
        <f>IFERROR(__xludf.DUMMYFUNCTION("""COMPUTED_VALUE"""),"Sin precio neto G.C.")</f>
        <v>Sin precio neto G.C.</v>
      </c>
    </row>
    <row r="1887">
      <c r="A1887" s="4" t="str">
        <f>IFERROR(__xludf.DUMMYFUNCTION("""COMPUTED_VALUE"""),"9290N2")</f>
        <v>9290N2</v>
      </c>
      <c r="B1887" s="4" t="str">
        <f>IFERROR(__xludf.DUMMYFUNCTION("""COMPUTED_VALUE"""),"Señal MOPU R2 90 cm NII")</f>
        <v>Señal MOPU R2 90 cm NII</v>
      </c>
      <c r="C1887" s="4">
        <f>IFERROR(__xludf.DUMMYFUNCTION("""COMPUTED_VALUE"""),122.57)</f>
        <v>122.57</v>
      </c>
      <c r="D1887" s="4"/>
      <c r="E1887" s="4" t="str">
        <f>IFERROR(__xludf.DUMMYFUNCTION("""COMPUTED_VALUE"""),"Sin precio neto G.C.")</f>
        <v>Sin precio neto G.C.</v>
      </c>
    </row>
    <row r="1888">
      <c r="A1888" s="4" t="str">
        <f>IFERROR(__xludf.DUMMYFUNCTION("""COMPUTED_VALUE"""),"9290N3")</f>
        <v>9290N3</v>
      </c>
      <c r="B1888" s="4" t="str">
        <f>IFERROR(__xludf.DUMMYFUNCTION("""COMPUTED_VALUE"""),"Señal MOPU R2 90 cm NIII")</f>
        <v>Señal MOPU R2 90 cm NIII</v>
      </c>
      <c r="C1888" s="4">
        <f>IFERROR(__xludf.DUMMYFUNCTION("""COMPUTED_VALUE"""),163.19)</f>
        <v>163.19</v>
      </c>
      <c r="D1888" s="4"/>
      <c r="E1888" s="4" t="str">
        <f>IFERROR(__xludf.DUMMYFUNCTION("""COMPUTED_VALUE"""),"Sin precio neto G.C.")</f>
        <v>Sin precio neto G.C.</v>
      </c>
    </row>
    <row r="1889">
      <c r="A1889" s="4" t="str">
        <f>IFERROR(__xludf.DUMMYFUNCTION("""COMPUTED_VALUE"""),"9340N")</f>
        <v>9340N</v>
      </c>
      <c r="B1889" s="4" t="str">
        <f>IFERROR(__xludf.DUMMYFUNCTION("""COMPUTED_VALUE"""),"Señal MOPU C.D. 40x40cm N")</f>
        <v>Señal MOPU C.D. 40x40cm N</v>
      </c>
      <c r="C1889" s="4">
        <f>IFERROR(__xludf.DUMMYFUNCTION("""COMPUTED_VALUE"""),23.52)</f>
        <v>23.52</v>
      </c>
      <c r="D1889" s="4"/>
      <c r="E1889" s="4" t="str">
        <f>IFERROR(__xludf.DUMMYFUNCTION("""COMPUTED_VALUE"""),"Sin precio neto G.C.")</f>
        <v>Sin precio neto G.C.</v>
      </c>
    </row>
    <row r="1890">
      <c r="A1890" s="4" t="str">
        <f>IFERROR(__xludf.DUMMYFUNCTION("""COMPUTED_VALUE"""),"9340N1")</f>
        <v>9340N1</v>
      </c>
      <c r="B1890" s="4" t="str">
        <f>IFERROR(__xludf.DUMMYFUNCTION("""COMPUTED_VALUE"""),"Señal MOPU C.D, 40x40cm NI")</f>
        <v>Señal MOPU C.D, 40x40cm NI</v>
      </c>
      <c r="C1890" s="4">
        <f>IFERROR(__xludf.DUMMYFUNCTION("""COMPUTED_VALUE"""),26.79)</f>
        <v>26.79</v>
      </c>
      <c r="D1890" s="4"/>
      <c r="E1890" s="4" t="str">
        <f>IFERROR(__xludf.DUMMYFUNCTION("""COMPUTED_VALUE"""),"Sin precio neto G.C.")</f>
        <v>Sin precio neto G.C.</v>
      </c>
    </row>
    <row r="1891">
      <c r="A1891" s="4" t="str">
        <f>IFERROR(__xludf.DUMMYFUNCTION("""COMPUTED_VALUE"""),"9340N2")</f>
        <v>9340N2</v>
      </c>
      <c r="B1891" s="4" t="str">
        <f>IFERROR(__xludf.DUMMYFUNCTION("""COMPUTED_VALUE"""),"Señal MOPU C.D. 40x40cm NII")</f>
        <v>Señal MOPU C.D. 40x40cm NII</v>
      </c>
      <c r="C1891" s="4">
        <f>IFERROR(__xludf.DUMMYFUNCTION("""COMPUTED_VALUE"""),37.48)</f>
        <v>37.48</v>
      </c>
      <c r="D1891" s="4"/>
      <c r="E1891" s="4" t="str">
        <f>IFERROR(__xludf.DUMMYFUNCTION("""COMPUTED_VALUE"""),"Sin precio neto G.C.")</f>
        <v>Sin precio neto G.C.</v>
      </c>
    </row>
    <row r="1892">
      <c r="A1892" s="4" t="str">
        <f>IFERROR(__xludf.DUMMYFUNCTION("""COMPUTED_VALUE"""),"9340N3")</f>
        <v>9340N3</v>
      </c>
      <c r="B1892" s="4" t="str">
        <f>IFERROR(__xludf.DUMMYFUNCTION("""COMPUTED_VALUE"""),"Señal MOPU C.D. 40x40 cm NIII")</f>
        <v>Señal MOPU C.D. 40x40 cm NIII</v>
      </c>
      <c r="C1892" s="4">
        <f>IFERROR(__xludf.DUMMYFUNCTION("""COMPUTED_VALUE"""),56.19)</f>
        <v>56.19</v>
      </c>
      <c r="D1892" s="4"/>
      <c r="E1892" s="4" t="str">
        <f>IFERROR(__xludf.DUMMYFUNCTION("""COMPUTED_VALUE"""),"Sin precio neto G.C.")</f>
        <v>Sin precio neto G.C.</v>
      </c>
    </row>
    <row r="1893">
      <c r="A1893" s="4" t="str">
        <f>IFERROR(__xludf.DUMMYFUNCTION("""COMPUTED_VALUE"""),"9360N")</f>
        <v>9360N</v>
      </c>
      <c r="B1893" s="4" t="str">
        <f>IFERROR(__xludf.DUMMYFUNCTION("""COMPUTED_VALUE"""),"Señal MOPU C.D. 60x60cm N")</f>
        <v>Señal MOPU C.D. 60x60cm N</v>
      </c>
      <c r="C1893" s="4">
        <f>IFERROR(__xludf.DUMMYFUNCTION("""COMPUTED_VALUE"""),31.25)</f>
        <v>31.25</v>
      </c>
      <c r="D1893" s="4"/>
      <c r="E1893" s="4" t="str">
        <f>IFERROR(__xludf.DUMMYFUNCTION("""COMPUTED_VALUE"""),"Sin precio neto G.C.")</f>
        <v>Sin precio neto G.C.</v>
      </c>
    </row>
    <row r="1894">
      <c r="A1894" s="4" t="str">
        <f>IFERROR(__xludf.DUMMYFUNCTION("""COMPUTED_VALUE"""),"9360N1")</f>
        <v>9360N1</v>
      </c>
      <c r="B1894" s="4" t="str">
        <f>IFERROR(__xludf.DUMMYFUNCTION("""COMPUTED_VALUE"""),"Señal MOPU C.D. 60x60cm NI")</f>
        <v>Señal MOPU C.D. 60x60cm NI</v>
      </c>
      <c r="C1894" s="4">
        <f>IFERROR(__xludf.DUMMYFUNCTION("""COMPUTED_VALUE"""),41.25)</f>
        <v>41.25</v>
      </c>
      <c r="D1894" s="4"/>
      <c r="E1894" s="4" t="str">
        <f>IFERROR(__xludf.DUMMYFUNCTION("""COMPUTED_VALUE"""),"Sin precio neto G.C.")</f>
        <v>Sin precio neto G.C.</v>
      </c>
    </row>
    <row r="1895">
      <c r="A1895" s="4" t="str">
        <f>IFERROR(__xludf.DUMMYFUNCTION("""COMPUTED_VALUE"""),"9360N2")</f>
        <v>9360N2</v>
      </c>
      <c r="B1895" s="4" t="str">
        <f>IFERROR(__xludf.DUMMYFUNCTION("""COMPUTED_VALUE"""),"Señal MOPU C.D. 60x60cm NII")</f>
        <v>Señal MOPU C.D. 60x60cm NII</v>
      </c>
      <c r="C1895" s="4">
        <f>IFERROR(__xludf.DUMMYFUNCTION("""COMPUTED_VALUE"""),49.25)</f>
        <v>49.25</v>
      </c>
      <c r="D1895" s="4"/>
      <c r="E1895" s="4" t="str">
        <f>IFERROR(__xludf.DUMMYFUNCTION("""COMPUTED_VALUE"""),"Sin precio neto G.C.")</f>
        <v>Sin precio neto G.C.</v>
      </c>
    </row>
    <row r="1896">
      <c r="A1896" s="4" t="str">
        <f>IFERROR(__xludf.DUMMYFUNCTION("""COMPUTED_VALUE"""),"9360N3")</f>
        <v>9360N3</v>
      </c>
      <c r="B1896" s="4" t="str">
        <f>IFERROR(__xludf.DUMMYFUNCTION("""COMPUTED_VALUE"""),"Señal MOPU C.D. 60x60cm NIII")</f>
        <v>Señal MOPU C.D. 60x60cm NIII</v>
      </c>
      <c r="C1896" s="4">
        <f>IFERROR(__xludf.DUMMYFUNCTION("""COMPUTED_VALUE"""),82.5)</f>
        <v>82.5</v>
      </c>
      <c r="D1896" s="4"/>
      <c r="E1896" s="4" t="str">
        <f>IFERROR(__xludf.DUMMYFUNCTION("""COMPUTED_VALUE"""),"Sin precio neto G.C.")</f>
        <v>Sin precio neto G.C.</v>
      </c>
    </row>
    <row r="1897">
      <c r="A1897" s="4" t="str">
        <f>IFERROR(__xludf.DUMMYFUNCTION("""COMPUTED_VALUE"""),"9390N")</f>
        <v>9390N</v>
      </c>
      <c r="B1897" s="4" t="str">
        <f>IFERROR(__xludf.DUMMYFUNCTION("""COMPUTED_VALUE"""),"Señal MOPU C.D. 90x90 cm N")</f>
        <v>Señal MOPU C.D. 90x90 cm N</v>
      </c>
      <c r="C1897" s="4">
        <f>IFERROR(__xludf.DUMMYFUNCTION("""COMPUTED_VALUE"""),69.25)</f>
        <v>69.25</v>
      </c>
      <c r="D1897" s="4"/>
      <c r="E1897" s="4" t="str">
        <f>IFERROR(__xludf.DUMMYFUNCTION("""COMPUTED_VALUE"""),"Sin precio neto G.C.")</f>
        <v>Sin precio neto G.C.</v>
      </c>
    </row>
    <row r="1898">
      <c r="A1898" s="4" t="str">
        <f>IFERROR(__xludf.DUMMYFUNCTION("""COMPUTED_VALUE"""),"9390N1")</f>
        <v>9390N1</v>
      </c>
      <c r="B1898" s="4" t="str">
        <f>IFERROR(__xludf.DUMMYFUNCTION("""COMPUTED_VALUE"""),"Señal MOPU C.D. 90x90 cm NI")</f>
        <v>Señal MOPU C.D. 90x90 cm NI</v>
      </c>
      <c r="C1898" s="4">
        <f>IFERROR(__xludf.DUMMYFUNCTION("""COMPUTED_VALUE"""),94.01)</f>
        <v>94.01</v>
      </c>
      <c r="D1898" s="4"/>
      <c r="E1898" s="4" t="str">
        <f>IFERROR(__xludf.DUMMYFUNCTION("""COMPUTED_VALUE"""),"Sin precio neto G.C.")</f>
        <v>Sin precio neto G.C.</v>
      </c>
    </row>
    <row r="1899">
      <c r="A1899" s="4" t="str">
        <f>IFERROR(__xludf.DUMMYFUNCTION("""COMPUTED_VALUE"""),"9390N2")</f>
        <v>9390N2</v>
      </c>
      <c r="B1899" s="4" t="str">
        <f>IFERROR(__xludf.DUMMYFUNCTION("""COMPUTED_VALUE"""),"Señal MOPU C.D. 90x90 cm NII")</f>
        <v>Señal MOPU C.D. 90x90 cm NII</v>
      </c>
      <c r="C1899" s="4">
        <f>IFERROR(__xludf.DUMMYFUNCTION("""COMPUTED_VALUE"""),136.82)</f>
        <v>136.82</v>
      </c>
      <c r="D1899" s="4"/>
      <c r="E1899" s="4" t="str">
        <f>IFERROR(__xludf.DUMMYFUNCTION("""COMPUTED_VALUE"""),"Sin precio neto G.C.")</f>
        <v>Sin precio neto G.C.</v>
      </c>
    </row>
    <row r="1900">
      <c r="A1900" s="4" t="str">
        <f>IFERROR(__xludf.DUMMYFUNCTION("""COMPUTED_VALUE"""),"9390N3")</f>
        <v>9390N3</v>
      </c>
      <c r="B1900" s="4" t="str">
        <f>IFERROR(__xludf.DUMMYFUNCTION("""COMPUTED_VALUE"""),"Señal MOPU C.D. 90x90 cm NIII")</f>
        <v>Señal MOPU C.D. 90x90 cm NIII</v>
      </c>
      <c r="C1900" s="4">
        <f>IFERROR(__xludf.DUMMYFUNCTION("""COMPUTED_VALUE"""),188.72)</f>
        <v>188.72</v>
      </c>
      <c r="D1900" s="4"/>
      <c r="E1900" s="4" t="str">
        <f>IFERROR(__xludf.DUMMYFUNCTION("""COMPUTED_VALUE"""),"Sin precio neto G.C.")</f>
        <v>Sin precio neto G.C.</v>
      </c>
    </row>
    <row r="1901">
      <c r="A1901" s="4" t="str">
        <f>IFERROR(__xludf.DUMMYFUNCTION("""COMPUTED_VALUE"""),"94120180N1")</f>
        <v>94120180N1</v>
      </c>
      <c r="B1901" s="4" t="str">
        <f>IFERROR(__xludf.DUMMYFUNCTION("""COMPUTED_VALUE"""),"Rectangulo MOPU 120x180 cm Reflex I")</f>
        <v>Rectangulo MOPU 120x180 cm Reflex I</v>
      </c>
      <c r="C1901" s="4">
        <f>IFERROR(__xludf.DUMMYFUNCTION("""COMPUTED_VALUE"""),218.25)</f>
        <v>218.25</v>
      </c>
      <c r="D1901" s="4"/>
      <c r="E1901" s="4" t="str">
        <f>IFERROR(__xludf.DUMMYFUNCTION("""COMPUTED_VALUE"""),"Sin precio neto G.C.")</f>
        <v>Sin precio neto G.C.</v>
      </c>
    </row>
    <row r="1902">
      <c r="A1902" s="4" t="str">
        <f>IFERROR(__xludf.DUMMYFUNCTION("""COMPUTED_VALUE"""),"94120180N2")</f>
        <v>94120180N2</v>
      </c>
      <c r="B1902" s="4" t="str">
        <f>IFERROR(__xludf.DUMMYFUNCTION("""COMPUTED_VALUE"""),"Rectangulo MOPU 120x180 cm Reflex II")</f>
        <v>Rectangulo MOPU 120x180 cm Reflex II</v>
      </c>
      <c r="C1902" s="4">
        <f>IFERROR(__xludf.DUMMYFUNCTION("""COMPUTED_VALUE"""),297.5)</f>
        <v>297.5</v>
      </c>
      <c r="D1902" s="4"/>
      <c r="E1902" s="4" t="str">
        <f>IFERROR(__xludf.DUMMYFUNCTION("""COMPUTED_VALUE"""),"Sin precio neto G.C.")</f>
        <v>Sin precio neto G.C.</v>
      </c>
    </row>
    <row r="1903">
      <c r="A1903" s="4" t="str">
        <f>IFERROR(__xludf.DUMMYFUNCTION("""COMPUTED_VALUE"""),"94120180N3")</f>
        <v>94120180N3</v>
      </c>
      <c r="B1903" s="4" t="str">
        <f>IFERROR(__xludf.DUMMYFUNCTION("""COMPUTED_VALUE"""),"Rectangulo MOPU 120x180 cm Reflex III")</f>
        <v>Rectangulo MOPU 120x180 cm Reflex III</v>
      </c>
      <c r="C1903" s="4">
        <f>IFERROR(__xludf.DUMMYFUNCTION("""COMPUTED_VALUE"""),427.5)</f>
        <v>427.5</v>
      </c>
      <c r="D1903" s="4"/>
      <c r="E1903" s="4" t="str">
        <f>IFERROR(__xludf.DUMMYFUNCTION("""COMPUTED_VALUE"""),"Sin precio neto G.C.")</f>
        <v>Sin precio neto G.C.</v>
      </c>
    </row>
    <row r="1904">
      <c r="A1904" s="4" t="str">
        <f>IFERROR(__xludf.DUMMYFUNCTION("""COMPUTED_VALUE"""),"94120210N1")</f>
        <v>94120210N1</v>
      </c>
      <c r="B1904" s="4" t="str">
        <f>IFERROR(__xludf.DUMMYFUNCTION("""COMPUTED_VALUE"""),"Rectangulo MOPU 120x210 cm Reflex I")</f>
        <v>Rectangulo MOPU 120x210 cm Reflex I</v>
      </c>
      <c r="C1904" s="4">
        <f>IFERROR(__xludf.DUMMYFUNCTION("""COMPUTED_VALUE"""),290.3)</f>
        <v>290.3</v>
      </c>
      <c r="D1904" s="4"/>
      <c r="E1904" s="4" t="str">
        <f>IFERROR(__xludf.DUMMYFUNCTION("""COMPUTED_VALUE"""),"Sin precio neto G.C.")</f>
        <v>Sin precio neto G.C.</v>
      </c>
    </row>
    <row r="1905">
      <c r="A1905" s="4" t="str">
        <f>IFERROR(__xludf.DUMMYFUNCTION("""COMPUTED_VALUE"""),"94120210N2")</f>
        <v>94120210N2</v>
      </c>
      <c r="B1905" s="4" t="str">
        <f>IFERROR(__xludf.DUMMYFUNCTION("""COMPUTED_VALUE"""),"Rectangulo MOPU 120x210 cm Reflex II")</f>
        <v>Rectangulo MOPU 120x210 cm Reflex II</v>
      </c>
      <c r="C1905" s="4">
        <f>IFERROR(__xludf.DUMMYFUNCTION("""COMPUTED_VALUE"""),440.0)</f>
        <v>440</v>
      </c>
      <c r="D1905" s="4"/>
      <c r="E1905" s="4" t="str">
        <f>IFERROR(__xludf.DUMMYFUNCTION("""COMPUTED_VALUE"""),"Sin precio neto G.C.")</f>
        <v>Sin precio neto G.C.</v>
      </c>
    </row>
    <row r="1906">
      <c r="A1906" s="4" t="str">
        <f>IFERROR(__xludf.DUMMYFUNCTION("""COMPUTED_VALUE"""),"94120210N3")</f>
        <v>94120210N3</v>
      </c>
      <c r="B1906" s="4" t="str">
        <f>IFERROR(__xludf.DUMMYFUNCTION("""COMPUTED_VALUE"""),"Rectangulo MOPU 120x210 cm Reflex III")</f>
        <v>Rectangulo MOPU 120x210 cm Reflex III</v>
      </c>
      <c r="C1906" s="4">
        <f>IFERROR(__xludf.DUMMYFUNCTION("""COMPUTED_VALUE"""),610.0)</f>
        <v>610</v>
      </c>
      <c r="D1906" s="4"/>
      <c r="E1906" s="4" t="str">
        <f>IFERROR(__xludf.DUMMYFUNCTION("""COMPUTED_VALUE"""),"Sin precio neto G.C.")</f>
        <v>Sin precio neto G.C.</v>
      </c>
    </row>
    <row r="1907">
      <c r="A1907" s="4" t="str">
        <f>IFERROR(__xludf.DUMMYFUNCTION("""COMPUTED_VALUE"""),"944060N")</f>
        <v>944060N</v>
      </c>
      <c r="B1907" s="4" t="str">
        <f>IFERROR(__xludf.DUMMYFUNCTION("""COMPUTED_VALUE"""),"Rectangulo MOPU 40x60 cm Normal")</f>
        <v>Rectangulo MOPU 40x60 cm Normal</v>
      </c>
      <c r="C1907" s="4">
        <f>IFERROR(__xludf.DUMMYFUNCTION("""COMPUTED_VALUE"""),33.0)</f>
        <v>33</v>
      </c>
      <c r="D1907" s="4"/>
      <c r="E1907" s="4" t="str">
        <f>IFERROR(__xludf.DUMMYFUNCTION("""COMPUTED_VALUE"""),"Sin precio neto G.C.")</f>
        <v>Sin precio neto G.C.</v>
      </c>
    </row>
    <row r="1908">
      <c r="A1908" s="4" t="str">
        <f>IFERROR(__xludf.DUMMYFUNCTION("""COMPUTED_VALUE"""),"944060N1")</f>
        <v>944060N1</v>
      </c>
      <c r="B1908" s="4" t="str">
        <f>IFERROR(__xludf.DUMMYFUNCTION("""COMPUTED_VALUE"""),"Rectangulo MOPU 40x60 cm Reflex I")</f>
        <v>Rectangulo MOPU 40x60 cm Reflex I</v>
      </c>
      <c r="C1908" s="4">
        <f>IFERROR(__xludf.DUMMYFUNCTION("""COMPUTED_VALUE"""),39.0)</f>
        <v>39</v>
      </c>
      <c r="D1908" s="4"/>
      <c r="E1908" s="4" t="str">
        <f>IFERROR(__xludf.DUMMYFUNCTION("""COMPUTED_VALUE"""),"Sin precio neto G.C.")</f>
        <v>Sin precio neto G.C.</v>
      </c>
    </row>
    <row r="1909">
      <c r="A1909" s="4" t="str">
        <f>IFERROR(__xludf.DUMMYFUNCTION("""COMPUTED_VALUE"""),"944060N2")</f>
        <v>944060N2</v>
      </c>
      <c r="B1909" s="4" t="str">
        <f>IFERROR(__xludf.DUMMYFUNCTION("""COMPUTED_VALUE"""),"Rectangulo MOPU 40x60 cm Reflex II")</f>
        <v>Rectangulo MOPU 40x60 cm Reflex II</v>
      </c>
      <c r="C1909" s="4">
        <f>IFERROR(__xludf.DUMMYFUNCTION("""COMPUTED_VALUE"""),43.0)</f>
        <v>43</v>
      </c>
      <c r="D1909" s="4"/>
      <c r="E1909" s="4" t="str">
        <f>IFERROR(__xludf.DUMMYFUNCTION("""COMPUTED_VALUE"""),"Sin precio neto G.C.")</f>
        <v>Sin precio neto G.C.</v>
      </c>
    </row>
    <row r="1910">
      <c r="A1910" s="4" t="str">
        <f>IFERROR(__xludf.DUMMYFUNCTION("""COMPUTED_VALUE"""),"944060N3")</f>
        <v>944060N3</v>
      </c>
      <c r="B1910" s="4" t="str">
        <f>IFERROR(__xludf.DUMMYFUNCTION("""COMPUTED_VALUE"""),"Rectangulo MOPU 40x60 cm Reflex III")</f>
        <v>Rectangulo MOPU 40x60 cm Reflex III</v>
      </c>
      <c r="C1910" s="4">
        <f>IFERROR(__xludf.DUMMYFUNCTION("""COMPUTED_VALUE"""),62.91)</f>
        <v>62.91</v>
      </c>
      <c r="D1910" s="4"/>
      <c r="E1910" s="4" t="str">
        <f>IFERROR(__xludf.DUMMYFUNCTION("""COMPUTED_VALUE"""),"Sin precio neto G.C.")</f>
        <v>Sin precio neto G.C.</v>
      </c>
    </row>
    <row r="1911">
      <c r="A1911" s="4" t="str">
        <f>IFERROR(__xludf.DUMMYFUNCTION("""COMPUTED_VALUE"""),"9460120N")</f>
        <v>9460120N</v>
      </c>
      <c r="B1911" s="4" t="str">
        <f>IFERROR(__xludf.DUMMYFUNCTION("""COMPUTED_VALUE"""),"Rectangulo MOPU 60x120 cm Normal")</f>
        <v>Rectangulo MOPU 60x120 cm Normal</v>
      </c>
      <c r="C1911" s="4">
        <f>IFERROR(__xludf.DUMMYFUNCTION("""COMPUTED_VALUE"""),84.0)</f>
        <v>84</v>
      </c>
      <c r="D1911" s="4"/>
      <c r="E1911" s="4" t="str">
        <f>IFERROR(__xludf.DUMMYFUNCTION("""COMPUTED_VALUE"""),"Sin precio neto G.C.")</f>
        <v>Sin precio neto G.C.</v>
      </c>
    </row>
    <row r="1912">
      <c r="A1912" s="4" t="str">
        <f>IFERROR(__xludf.DUMMYFUNCTION("""COMPUTED_VALUE"""),"9460120N1")</f>
        <v>9460120N1</v>
      </c>
      <c r="B1912" s="4" t="str">
        <f>IFERROR(__xludf.DUMMYFUNCTION("""COMPUTED_VALUE"""),"Rectangulo MOPU 60x120 cm Reflex I")</f>
        <v>Rectangulo MOPU 60x120 cm Reflex I</v>
      </c>
      <c r="C1912" s="4">
        <f>IFERROR(__xludf.DUMMYFUNCTION("""COMPUTED_VALUE"""),99.58)</f>
        <v>99.58</v>
      </c>
      <c r="D1912" s="4"/>
      <c r="E1912" s="4" t="str">
        <f>IFERROR(__xludf.DUMMYFUNCTION("""COMPUTED_VALUE"""),"Sin precio neto G.C.")</f>
        <v>Sin precio neto G.C.</v>
      </c>
    </row>
    <row r="1913">
      <c r="A1913" s="4" t="str">
        <f>IFERROR(__xludf.DUMMYFUNCTION("""COMPUTED_VALUE"""),"9460120N2")</f>
        <v>9460120N2</v>
      </c>
      <c r="B1913" s="4" t="str">
        <f>IFERROR(__xludf.DUMMYFUNCTION("""COMPUTED_VALUE"""),"Rectangulo MOPU 60x120 cm Reflex II")</f>
        <v>Rectangulo MOPU 60x120 cm Reflex II</v>
      </c>
      <c r="C1913" s="4">
        <f>IFERROR(__xludf.DUMMYFUNCTION("""COMPUTED_VALUE"""),131.04)</f>
        <v>131.04</v>
      </c>
      <c r="D1913" s="4"/>
      <c r="E1913" s="4" t="str">
        <f>IFERROR(__xludf.DUMMYFUNCTION("""COMPUTED_VALUE"""),"Sin precio neto G.C.")</f>
        <v>Sin precio neto G.C.</v>
      </c>
    </row>
    <row r="1914">
      <c r="A1914" s="4" t="str">
        <f>IFERROR(__xludf.DUMMYFUNCTION("""COMPUTED_VALUE"""),"9460120N3")</f>
        <v>9460120N3</v>
      </c>
      <c r="B1914" s="4" t="str">
        <f>IFERROR(__xludf.DUMMYFUNCTION("""COMPUTED_VALUE"""),"Rectangulo MOPU 60x120 cm Reflex III")</f>
        <v>Rectangulo MOPU 60x120 cm Reflex III</v>
      </c>
      <c r="C1914" s="4">
        <f>IFERROR(__xludf.DUMMYFUNCTION("""COMPUTED_VALUE"""),167.75)</f>
        <v>167.75</v>
      </c>
      <c r="D1914" s="4"/>
      <c r="E1914" s="4" t="str">
        <f>IFERROR(__xludf.DUMMYFUNCTION("""COMPUTED_VALUE"""),"Sin precio neto G.C.")</f>
        <v>Sin precio neto G.C.</v>
      </c>
    </row>
    <row r="1915">
      <c r="A1915" s="4" t="str">
        <f>IFERROR(__xludf.DUMMYFUNCTION("""COMPUTED_VALUE"""),"946090N")</f>
        <v>946090N</v>
      </c>
      <c r="B1915" s="4" t="str">
        <f>IFERROR(__xludf.DUMMYFUNCTION("""COMPUTED_VALUE"""),"Rectangulo MOPU 60x90 cm Normal")</f>
        <v>Rectangulo MOPU 60x90 cm Normal</v>
      </c>
      <c r="C1915" s="4">
        <f>IFERROR(__xludf.DUMMYFUNCTION("""COMPUTED_VALUE"""),65.74)</f>
        <v>65.74</v>
      </c>
      <c r="D1915" s="4"/>
      <c r="E1915" s="4" t="str">
        <f>IFERROR(__xludf.DUMMYFUNCTION("""COMPUTED_VALUE"""),"Sin precio neto G.C.")</f>
        <v>Sin precio neto G.C.</v>
      </c>
    </row>
    <row r="1916">
      <c r="A1916" s="4" t="str">
        <f>IFERROR(__xludf.DUMMYFUNCTION("""COMPUTED_VALUE"""),"946090N1")</f>
        <v>946090N1</v>
      </c>
      <c r="B1916" s="4" t="str">
        <f>IFERROR(__xludf.DUMMYFUNCTION("""COMPUTED_VALUE"""),"Rectangulo MOPU 60x90 cm Reflex I")</f>
        <v>Rectangulo MOPU 60x90 cm Reflex I</v>
      </c>
      <c r="C1916" s="4">
        <f>IFERROR(__xludf.DUMMYFUNCTION("""COMPUTED_VALUE"""),72.09)</f>
        <v>72.09</v>
      </c>
      <c r="D1916" s="4"/>
      <c r="E1916" s="4" t="str">
        <f>IFERROR(__xludf.DUMMYFUNCTION("""COMPUTED_VALUE"""),"Sin precio neto G.C.")</f>
        <v>Sin precio neto G.C.</v>
      </c>
    </row>
    <row r="1917">
      <c r="A1917" s="4" t="str">
        <f>IFERROR(__xludf.DUMMYFUNCTION("""COMPUTED_VALUE"""),"946090N2")</f>
        <v>946090N2</v>
      </c>
      <c r="B1917" s="4" t="str">
        <f>IFERROR(__xludf.DUMMYFUNCTION("""COMPUTED_VALUE"""),"Rectangulo MOPU 60x90 cm Reflex II")</f>
        <v>Rectangulo MOPU 60x90 cm Reflex II</v>
      </c>
      <c r="C1917" s="4">
        <f>IFERROR(__xludf.DUMMYFUNCTION("""COMPUTED_VALUE"""),100.91)</f>
        <v>100.91</v>
      </c>
      <c r="D1917" s="4"/>
      <c r="E1917" s="4" t="str">
        <f>IFERROR(__xludf.DUMMYFUNCTION("""COMPUTED_VALUE"""),"Sin precio neto G.C.")</f>
        <v>Sin precio neto G.C.</v>
      </c>
    </row>
    <row r="1918">
      <c r="A1918" s="4" t="str">
        <f>IFERROR(__xludf.DUMMYFUNCTION("""COMPUTED_VALUE"""),"946090N3")</f>
        <v>946090N3</v>
      </c>
      <c r="B1918" s="4" t="str">
        <f>IFERROR(__xludf.DUMMYFUNCTION("""COMPUTED_VALUE"""),"Rectangulo MOPU 60x90 cm Reflex III")</f>
        <v>Rectangulo MOPU 60x90 cm Reflex III</v>
      </c>
      <c r="C1918" s="4">
        <f>IFERROR(__xludf.DUMMYFUNCTION("""COMPUTED_VALUE"""),132.26)</f>
        <v>132.26</v>
      </c>
      <c r="D1918" s="4"/>
      <c r="E1918" s="4" t="str">
        <f>IFERROR(__xludf.DUMMYFUNCTION("""COMPUTED_VALUE"""),"Sin precio neto G.C.")</f>
        <v>Sin precio neto G.C.</v>
      </c>
    </row>
    <row r="1919">
      <c r="A1919" s="4" t="str">
        <f>IFERROR(__xludf.DUMMYFUNCTION("""COMPUTED_VALUE"""),"9490135N")</f>
        <v>9490135N</v>
      </c>
      <c r="B1919" s="4" t="str">
        <f>IFERROR(__xludf.DUMMYFUNCTION("""COMPUTED_VALUE"""),"Rectangulo MOPU 90x135 cm Normal")</f>
        <v>Rectangulo MOPU 90x135 cm Normal</v>
      </c>
      <c r="C1919" s="4">
        <f>IFERROR(__xludf.DUMMYFUNCTION("""COMPUTED_VALUE"""),115.96)</f>
        <v>115.96</v>
      </c>
      <c r="D1919" s="4"/>
      <c r="E1919" s="4" t="str">
        <f>IFERROR(__xludf.DUMMYFUNCTION("""COMPUTED_VALUE"""),"Sin precio neto G.C.")</f>
        <v>Sin precio neto G.C.</v>
      </c>
    </row>
    <row r="1920">
      <c r="A1920" s="4" t="str">
        <f>IFERROR(__xludf.DUMMYFUNCTION("""COMPUTED_VALUE"""),"9490135N1")</f>
        <v>9490135N1</v>
      </c>
      <c r="B1920" s="4" t="str">
        <f>IFERROR(__xludf.DUMMYFUNCTION("""COMPUTED_VALUE"""),"Rectangulo MOPU 90x135 cm Reflex I")</f>
        <v>Rectangulo MOPU 90x135 cm Reflex I</v>
      </c>
      <c r="C1920" s="4">
        <f>IFERROR(__xludf.DUMMYFUNCTION("""COMPUTED_VALUE"""),267.24)</f>
        <v>267.24</v>
      </c>
      <c r="D1920" s="4"/>
      <c r="E1920" s="4" t="str">
        <f>IFERROR(__xludf.DUMMYFUNCTION("""COMPUTED_VALUE"""),"Sin precio neto G.C.")</f>
        <v>Sin precio neto G.C.</v>
      </c>
    </row>
    <row r="1921">
      <c r="A1921" s="4" t="str">
        <f>IFERROR(__xludf.DUMMYFUNCTION("""COMPUTED_VALUE"""),"9490135N2")</f>
        <v>9490135N2</v>
      </c>
      <c r="B1921" s="4" t="str">
        <f>IFERROR(__xludf.DUMMYFUNCTION("""COMPUTED_VALUE"""),"Rectangulo MOPU 90x135 cm Reflex II")</f>
        <v>Rectangulo MOPU 90x135 cm Reflex II</v>
      </c>
      <c r="C1921" s="4">
        <f>IFERROR(__xludf.DUMMYFUNCTION("""COMPUTED_VALUE"""),202.5)</f>
        <v>202.5</v>
      </c>
      <c r="D1921" s="4"/>
      <c r="E1921" s="4" t="str">
        <f>IFERROR(__xludf.DUMMYFUNCTION("""COMPUTED_VALUE"""),"Sin precio neto G.C.")</f>
        <v>Sin precio neto G.C.</v>
      </c>
    </row>
    <row r="1922">
      <c r="A1922" s="4" t="str">
        <f>IFERROR(__xludf.DUMMYFUNCTION("""COMPUTED_VALUE"""),"9490135N3")</f>
        <v>9490135N3</v>
      </c>
      <c r="B1922" s="4" t="str">
        <f>IFERROR(__xludf.DUMMYFUNCTION("""COMPUTED_VALUE"""),"Rectangulo MOPU 90x135 cm Reflex III")</f>
        <v>Rectangulo MOPU 90x135 cm Reflex III</v>
      </c>
      <c r="C1922" s="4">
        <f>IFERROR(__xludf.DUMMYFUNCTION("""COMPUTED_VALUE"""),267.5)</f>
        <v>267.5</v>
      </c>
      <c r="D1922" s="4"/>
      <c r="E1922" s="4" t="str">
        <f>IFERROR(__xludf.DUMMYFUNCTION("""COMPUTED_VALUE"""),"Sin precio neto G.C.")</f>
        <v>Sin precio neto G.C.</v>
      </c>
    </row>
    <row r="1923">
      <c r="A1923" s="4" t="str">
        <f>IFERROR(__xludf.DUMMYFUNCTION("""COMPUTED_VALUE"""),"9500N")</f>
        <v>9500N</v>
      </c>
      <c r="B1923" s="4" t="str">
        <f>IFERROR(__xludf.DUMMYFUNCTION("""COMPUTED_VALUE"""),"Señal Aluminio Triangular 70 cm Normal")</f>
        <v>Señal Aluminio Triangular 70 cm Normal</v>
      </c>
      <c r="C1923" s="4">
        <f>IFERROR(__xludf.DUMMYFUNCTION("""COMPUTED_VALUE"""),27.0)</f>
        <v>27</v>
      </c>
      <c r="D1923" s="4"/>
      <c r="E1923" s="4" t="str">
        <f>IFERROR(__xludf.DUMMYFUNCTION("""COMPUTED_VALUE"""),"Sin precio neto G.C.")</f>
        <v>Sin precio neto G.C.</v>
      </c>
    </row>
    <row r="1924">
      <c r="A1924" s="4" t="str">
        <f>IFERROR(__xludf.DUMMYFUNCTION("""COMPUTED_VALUE"""),"9500N1")</f>
        <v>9500N1</v>
      </c>
      <c r="B1924" s="4" t="str">
        <f>IFERROR(__xludf.DUMMYFUNCTION("""COMPUTED_VALUE"""),"Señal Aluminio Triangular 70 cm Nivel 1")</f>
        <v>Señal Aluminio Triangular 70 cm Nivel 1</v>
      </c>
      <c r="C1924" s="4">
        <f>IFERROR(__xludf.DUMMYFUNCTION("""COMPUTED_VALUE"""),30.0)</f>
        <v>30</v>
      </c>
      <c r="D1924" s="4"/>
      <c r="E1924" s="4" t="str">
        <f>IFERROR(__xludf.DUMMYFUNCTION("""COMPUTED_VALUE"""),"Sin precio neto G.C.")</f>
        <v>Sin precio neto G.C.</v>
      </c>
    </row>
    <row r="1925">
      <c r="A1925" s="4" t="str">
        <f>IFERROR(__xludf.DUMMYFUNCTION("""COMPUTED_VALUE"""),"954020N")</f>
        <v>954020N</v>
      </c>
      <c r="B1925" s="4" t="str">
        <f>IFERROR(__xludf.DUMMYFUNCTION("""COMPUTED_VALUE"""),"Señal MOPU complementaria 40x20 cm Normal")</f>
        <v>Señal MOPU complementaria 40x20 cm Normal</v>
      </c>
      <c r="C1925" s="4">
        <f>IFERROR(__xludf.DUMMYFUNCTION("""COMPUTED_VALUE"""),19.0)</f>
        <v>19</v>
      </c>
      <c r="D1925" s="4"/>
      <c r="E1925" s="4" t="str">
        <f>IFERROR(__xludf.DUMMYFUNCTION("""COMPUTED_VALUE"""),"Sin precio neto G.C.")</f>
        <v>Sin precio neto G.C.</v>
      </c>
    </row>
    <row r="1926">
      <c r="A1926" s="4" t="str">
        <f>IFERROR(__xludf.DUMMYFUNCTION("""COMPUTED_VALUE"""),"954020N1")</f>
        <v>954020N1</v>
      </c>
      <c r="B1926" s="4" t="str">
        <f>IFERROR(__xludf.DUMMYFUNCTION("""COMPUTED_VALUE"""),"Señal MOPU complementaria 40x20 cm Reflex I")</f>
        <v>Señal MOPU complementaria 40x20 cm Reflex I</v>
      </c>
      <c r="C1926" s="4">
        <f>IFERROR(__xludf.DUMMYFUNCTION("""COMPUTED_VALUE"""),22.25)</f>
        <v>22.25</v>
      </c>
      <c r="D1926" s="4"/>
      <c r="E1926" s="4" t="str">
        <f>IFERROR(__xludf.DUMMYFUNCTION("""COMPUTED_VALUE"""),"Sin precio neto G.C.")</f>
        <v>Sin precio neto G.C.</v>
      </c>
    </row>
    <row r="1927">
      <c r="A1927" s="4" t="str">
        <f>IFERROR(__xludf.DUMMYFUNCTION("""COMPUTED_VALUE"""),"954020N2")</f>
        <v>954020N2</v>
      </c>
      <c r="B1927" s="4" t="str">
        <f>IFERROR(__xludf.DUMMYFUNCTION("""COMPUTED_VALUE"""),"Señal MOPU complementaria 40x20 cm Reflex II")</f>
        <v>Señal MOPU complementaria 40x20 cm Reflex II</v>
      </c>
      <c r="C1927" s="4">
        <f>IFERROR(__xludf.DUMMYFUNCTION("""COMPUTED_VALUE"""),27.25)</f>
        <v>27.25</v>
      </c>
      <c r="D1927" s="4"/>
      <c r="E1927" s="4" t="str">
        <f>IFERROR(__xludf.DUMMYFUNCTION("""COMPUTED_VALUE"""),"Sin precio neto G.C.")</f>
        <v>Sin precio neto G.C.</v>
      </c>
    </row>
    <row r="1928">
      <c r="A1928" s="4" t="str">
        <f>IFERROR(__xludf.DUMMYFUNCTION("""COMPUTED_VALUE"""),"954020N3")</f>
        <v>954020N3</v>
      </c>
      <c r="B1928" s="4" t="str">
        <f>IFERROR(__xludf.DUMMYFUNCTION("""COMPUTED_VALUE"""),"Señal MOPU complemenaria 40x20 cm Reflex III")</f>
        <v>Señal MOPU complemenaria 40x20 cm Reflex III</v>
      </c>
      <c r="C1928" s="4">
        <f>IFERROR(__xludf.DUMMYFUNCTION("""COMPUTED_VALUE"""),31.4)</f>
        <v>31.4</v>
      </c>
      <c r="D1928" s="4"/>
      <c r="E1928" s="4" t="str">
        <f>IFERROR(__xludf.DUMMYFUNCTION("""COMPUTED_VALUE"""),"Sin precio neto G.C.")</f>
        <v>Sin precio neto G.C.</v>
      </c>
    </row>
    <row r="1929">
      <c r="A1929" s="4" t="str">
        <f>IFERROR(__xludf.DUMMYFUNCTION("""COMPUTED_VALUE"""),"956020N")</f>
        <v>956020N</v>
      </c>
      <c r="B1929" s="4" t="str">
        <f>IFERROR(__xludf.DUMMYFUNCTION("""COMPUTED_VALUE"""),"Señal MOPU complementaria 60x20 cm Normal")</f>
        <v>Señal MOPU complementaria 60x20 cm Normal</v>
      </c>
      <c r="C1929" s="4">
        <f>IFERROR(__xludf.DUMMYFUNCTION("""COMPUTED_VALUE"""),23.4)</f>
        <v>23.4</v>
      </c>
      <c r="D1929" s="4"/>
      <c r="E1929" s="4" t="str">
        <f>IFERROR(__xludf.DUMMYFUNCTION("""COMPUTED_VALUE"""),"Sin precio neto G.C.")</f>
        <v>Sin precio neto G.C.</v>
      </c>
    </row>
    <row r="1930">
      <c r="A1930" s="4" t="str">
        <f>IFERROR(__xludf.DUMMYFUNCTION("""COMPUTED_VALUE"""),"956020N1")</f>
        <v>956020N1</v>
      </c>
      <c r="B1930" s="4" t="str">
        <f>IFERROR(__xludf.DUMMYFUNCTION("""COMPUTED_VALUE"""),"Señal MOPU complementaria 60x20 cm Reflex I")</f>
        <v>Señal MOPU complementaria 60x20 cm Reflex I</v>
      </c>
      <c r="C1930" s="4">
        <f>IFERROR(__xludf.DUMMYFUNCTION("""COMPUTED_VALUE"""),32.25)</f>
        <v>32.25</v>
      </c>
      <c r="D1930" s="4"/>
      <c r="E1930" s="4" t="str">
        <f>IFERROR(__xludf.DUMMYFUNCTION("""COMPUTED_VALUE"""),"Sin precio neto G.C.")</f>
        <v>Sin precio neto G.C.</v>
      </c>
    </row>
    <row r="1931">
      <c r="A1931" s="4" t="str">
        <f>IFERROR(__xludf.DUMMYFUNCTION("""COMPUTED_VALUE"""),"956020N2")</f>
        <v>956020N2</v>
      </c>
      <c r="B1931" s="4" t="str">
        <f>IFERROR(__xludf.DUMMYFUNCTION("""COMPUTED_VALUE"""),"Señal MOPU complementaria 60x20 cm Reflex II")</f>
        <v>Señal MOPU complementaria 60x20 cm Reflex II</v>
      </c>
      <c r="C1931" s="4">
        <f>IFERROR(__xludf.DUMMYFUNCTION("""COMPUTED_VALUE"""),35.0)</f>
        <v>35</v>
      </c>
      <c r="D1931" s="4"/>
      <c r="E1931" s="4" t="str">
        <f>IFERROR(__xludf.DUMMYFUNCTION("""COMPUTED_VALUE"""),"Sin precio neto G.C.")</f>
        <v>Sin precio neto G.C.</v>
      </c>
    </row>
    <row r="1932">
      <c r="A1932" s="4" t="str">
        <f>IFERROR(__xludf.DUMMYFUNCTION("""COMPUTED_VALUE"""),"956020N3")</f>
        <v>956020N3</v>
      </c>
      <c r="B1932" s="4" t="str">
        <f>IFERROR(__xludf.DUMMYFUNCTION("""COMPUTED_VALUE"""),"Señal MOPU complementaria 60x20 cm Reflex III")</f>
        <v>Señal MOPU complementaria 60x20 cm Reflex III</v>
      </c>
      <c r="C1932" s="4">
        <f>IFERROR(__xludf.DUMMYFUNCTION("""COMPUTED_VALUE"""),39.75)</f>
        <v>39.75</v>
      </c>
      <c r="D1932" s="4"/>
      <c r="E1932" s="4" t="str">
        <f>IFERROR(__xludf.DUMMYFUNCTION("""COMPUTED_VALUE"""),"Sin precio neto G.C.")</f>
        <v>Sin precio neto G.C.</v>
      </c>
    </row>
    <row r="1933">
      <c r="A1933" s="4" t="str">
        <f>IFERROR(__xludf.DUMMYFUNCTION("""COMPUTED_VALUE"""),"956030N")</f>
        <v>956030N</v>
      </c>
      <c r="B1933" s="4" t="str">
        <f>IFERROR(__xludf.DUMMYFUNCTION("""COMPUTED_VALUE"""),"Señal MOPU complementaria 60x30 cm Normal")</f>
        <v>Señal MOPU complementaria 60x30 cm Normal</v>
      </c>
      <c r="C1933" s="4">
        <f>IFERROR(__xludf.DUMMYFUNCTION("""COMPUTED_VALUE"""),29.25)</f>
        <v>29.25</v>
      </c>
      <c r="D1933" s="4"/>
      <c r="E1933" s="4" t="str">
        <f>IFERROR(__xludf.DUMMYFUNCTION("""COMPUTED_VALUE"""),"Sin precio neto G.C.")</f>
        <v>Sin precio neto G.C.</v>
      </c>
    </row>
    <row r="1934">
      <c r="A1934" s="4" t="str">
        <f>IFERROR(__xludf.DUMMYFUNCTION("""COMPUTED_VALUE"""),"956030N1")</f>
        <v>956030N1</v>
      </c>
      <c r="B1934" s="4" t="str">
        <f>IFERROR(__xludf.DUMMYFUNCTION("""COMPUTED_VALUE"""),"Señal MOPU complementaria 60x30 cm Reflex I")</f>
        <v>Señal MOPU complementaria 60x30 cm Reflex I</v>
      </c>
      <c r="C1934" s="4">
        <f>IFERROR(__xludf.DUMMYFUNCTION("""COMPUTED_VALUE"""),28.25)</f>
        <v>28.25</v>
      </c>
      <c r="D1934" s="4"/>
      <c r="E1934" s="4" t="str">
        <f>IFERROR(__xludf.DUMMYFUNCTION("""COMPUTED_VALUE"""),"Sin precio neto G.C.")</f>
        <v>Sin precio neto G.C.</v>
      </c>
    </row>
    <row r="1935">
      <c r="A1935" s="4" t="str">
        <f>IFERROR(__xludf.DUMMYFUNCTION("""COMPUTED_VALUE"""),"956030N2")</f>
        <v>956030N2</v>
      </c>
      <c r="B1935" s="4" t="str">
        <f>IFERROR(__xludf.DUMMYFUNCTION("""COMPUTED_VALUE"""),"Señal MOPU complementaria 60x30 cm Reflex II")</f>
        <v>Señal MOPU complementaria 60x30 cm Reflex II</v>
      </c>
      <c r="C1935" s="4">
        <f>IFERROR(__xludf.DUMMYFUNCTION("""COMPUTED_VALUE"""),39.4)</f>
        <v>39.4</v>
      </c>
      <c r="D1935" s="4"/>
      <c r="E1935" s="4" t="str">
        <f>IFERROR(__xludf.DUMMYFUNCTION("""COMPUTED_VALUE"""),"Sin precio neto G.C.")</f>
        <v>Sin precio neto G.C.</v>
      </c>
    </row>
    <row r="1936">
      <c r="A1936" s="4" t="str">
        <f>IFERROR(__xludf.DUMMYFUNCTION("""COMPUTED_VALUE"""),"956030N3")</f>
        <v>956030N3</v>
      </c>
      <c r="B1936" s="4" t="str">
        <f>IFERROR(__xludf.DUMMYFUNCTION("""COMPUTED_VALUE"""),"Señal MOPu complementaria 60x30 cm Reflex III")</f>
        <v>Señal MOPu complementaria 60x30 cm Reflex III</v>
      </c>
      <c r="C1936" s="4">
        <f>IFERROR(__xludf.DUMMYFUNCTION("""COMPUTED_VALUE"""),49.4)</f>
        <v>49.4</v>
      </c>
      <c r="D1936" s="4"/>
      <c r="E1936" s="4" t="str">
        <f>IFERROR(__xludf.DUMMYFUNCTION("""COMPUTED_VALUE"""),"Sin precio neto G.C.")</f>
        <v>Sin precio neto G.C.</v>
      </c>
    </row>
    <row r="1937">
      <c r="A1937" s="4" t="str">
        <f>IFERROR(__xludf.DUMMYFUNCTION("""COMPUTED_VALUE"""),"956040N")</f>
        <v>956040N</v>
      </c>
      <c r="B1937" s="4" t="str">
        <f>IFERROR(__xludf.DUMMYFUNCTION("""COMPUTED_VALUE"""),"Señal MOPU complementaria 60x40 cm Normal")</f>
        <v>Señal MOPU complementaria 60x40 cm Normal</v>
      </c>
      <c r="C1937" s="4">
        <f>IFERROR(__xludf.DUMMYFUNCTION("""COMPUTED_VALUE"""),39.2)</f>
        <v>39.2</v>
      </c>
      <c r="D1937" s="4"/>
      <c r="E1937" s="4" t="str">
        <f>IFERROR(__xludf.DUMMYFUNCTION("""COMPUTED_VALUE"""),"Sin precio neto G.C.")</f>
        <v>Sin precio neto G.C.</v>
      </c>
    </row>
    <row r="1938">
      <c r="A1938" s="4" t="str">
        <f>IFERROR(__xludf.DUMMYFUNCTION("""COMPUTED_VALUE"""),"956040N1")</f>
        <v>956040N1</v>
      </c>
      <c r="B1938" s="4" t="str">
        <f>IFERROR(__xludf.DUMMYFUNCTION("""COMPUTED_VALUE"""),"Señal MOPU complementaria 60x40 cm Reflex I")</f>
        <v>Señal MOPU complementaria 60x40 cm Reflex I</v>
      </c>
      <c r="C1938" s="4">
        <f>IFERROR(__xludf.DUMMYFUNCTION("""COMPUTED_VALUE"""),39.9)</f>
        <v>39.9</v>
      </c>
      <c r="D1938" s="4"/>
      <c r="E1938" s="4" t="str">
        <f>IFERROR(__xludf.DUMMYFUNCTION("""COMPUTED_VALUE"""),"Sin precio neto G.C.")</f>
        <v>Sin precio neto G.C.</v>
      </c>
    </row>
    <row r="1939">
      <c r="A1939" s="4" t="str">
        <f>IFERROR(__xludf.DUMMYFUNCTION("""COMPUTED_VALUE"""),"956040N2")</f>
        <v>956040N2</v>
      </c>
      <c r="B1939" s="4" t="str">
        <f>IFERROR(__xludf.DUMMYFUNCTION("""COMPUTED_VALUE"""),"Señal MOPU complementaria 60x40 cm Reflex II")</f>
        <v>Señal MOPU complementaria 60x40 cm Reflex II</v>
      </c>
      <c r="C1939" s="4">
        <f>IFERROR(__xludf.DUMMYFUNCTION("""COMPUTED_VALUE"""),42.25)</f>
        <v>42.25</v>
      </c>
      <c r="D1939" s="4"/>
      <c r="E1939" s="4" t="str">
        <f>IFERROR(__xludf.DUMMYFUNCTION("""COMPUTED_VALUE"""),"Sin precio neto G.C.")</f>
        <v>Sin precio neto G.C.</v>
      </c>
    </row>
    <row r="1940">
      <c r="A1940" s="4" t="str">
        <f>IFERROR(__xludf.DUMMYFUNCTION("""COMPUTED_VALUE"""),"956040N3")</f>
        <v>956040N3</v>
      </c>
      <c r="B1940" s="4" t="str">
        <f>IFERROR(__xludf.DUMMYFUNCTION("""COMPUTED_VALUE"""),"Señal MOPU complementaria 60x40 cm Reflex III")</f>
        <v>Señal MOPU complementaria 60x40 cm Reflex III</v>
      </c>
      <c r="C1940" s="4">
        <f>IFERROR(__xludf.DUMMYFUNCTION("""COMPUTED_VALUE"""),64.25)</f>
        <v>64.25</v>
      </c>
      <c r="D1940" s="4"/>
      <c r="E1940" s="4" t="str">
        <f>IFERROR(__xludf.DUMMYFUNCTION("""COMPUTED_VALUE"""),"Sin precio neto G.C.")</f>
        <v>Sin precio neto G.C.</v>
      </c>
    </row>
    <row r="1941">
      <c r="A1941" s="4" t="str">
        <f>IFERROR(__xludf.DUMMYFUNCTION("""COMPUTED_VALUE"""),"958040N")</f>
        <v>958040N</v>
      </c>
      <c r="B1941" s="4" t="str">
        <f>IFERROR(__xludf.DUMMYFUNCTION("""COMPUTED_VALUE"""),"Señal MOPU complementaria 80x40 Normal")</f>
        <v>Señal MOPU complementaria 80x40 Normal</v>
      </c>
      <c r="C1941" s="4">
        <f>IFERROR(__xludf.DUMMYFUNCTION("""COMPUTED_VALUE"""),34.75)</f>
        <v>34.75</v>
      </c>
      <c r="D1941" s="4"/>
      <c r="E1941" s="4" t="str">
        <f>IFERROR(__xludf.DUMMYFUNCTION("""COMPUTED_VALUE"""),"Sin precio neto G.C.")</f>
        <v>Sin precio neto G.C.</v>
      </c>
    </row>
    <row r="1942">
      <c r="A1942" s="4" t="str">
        <f>IFERROR(__xludf.DUMMYFUNCTION("""COMPUTED_VALUE"""),"958040N1")</f>
        <v>958040N1</v>
      </c>
      <c r="B1942" s="4" t="str">
        <f>IFERROR(__xludf.DUMMYFUNCTION("""COMPUTED_VALUE"""),"Señal MOPU complementaria 80x40 cm Reflex I")</f>
        <v>Señal MOPU complementaria 80x40 cm Reflex I</v>
      </c>
      <c r="C1942" s="4">
        <f>IFERROR(__xludf.DUMMYFUNCTION("""COMPUTED_VALUE"""),47.25)</f>
        <v>47.25</v>
      </c>
      <c r="D1942" s="4"/>
      <c r="E1942" s="4" t="str">
        <f>IFERROR(__xludf.DUMMYFUNCTION("""COMPUTED_VALUE"""),"Sin precio neto G.C.")</f>
        <v>Sin precio neto G.C.</v>
      </c>
    </row>
    <row r="1943">
      <c r="A1943" s="4" t="str">
        <f>IFERROR(__xludf.DUMMYFUNCTION("""COMPUTED_VALUE"""),"958040N2")</f>
        <v>958040N2</v>
      </c>
      <c r="B1943" s="4" t="str">
        <f>IFERROR(__xludf.DUMMYFUNCTION("""COMPUTED_VALUE"""),"Señal MOPU complementaria 80x40 cm Reflex II")</f>
        <v>Señal MOPU complementaria 80x40 cm Reflex II</v>
      </c>
      <c r="C1943" s="4">
        <f>IFERROR(__xludf.DUMMYFUNCTION("""COMPUTED_VALUE"""),59.25)</f>
        <v>59.25</v>
      </c>
      <c r="D1943" s="4"/>
      <c r="E1943" s="4" t="str">
        <f>IFERROR(__xludf.DUMMYFUNCTION("""COMPUTED_VALUE"""),"Sin precio neto G.C.")</f>
        <v>Sin precio neto G.C.</v>
      </c>
    </row>
    <row r="1944">
      <c r="A1944" s="4" t="str">
        <f>IFERROR(__xludf.DUMMYFUNCTION("""COMPUTED_VALUE"""),"958040N3")</f>
        <v>958040N3</v>
      </c>
      <c r="B1944" s="4" t="str">
        <f>IFERROR(__xludf.DUMMYFUNCTION("""COMPUTED_VALUE"""),"Señal MOPu complementaria 80x40 cm Reflex III")</f>
        <v>Señal MOPu complementaria 80x40 cm Reflex III</v>
      </c>
      <c r="C1944" s="4">
        <f>IFERROR(__xludf.DUMMYFUNCTION("""COMPUTED_VALUE"""),74.75)</f>
        <v>74.75</v>
      </c>
      <c r="D1944" s="4"/>
      <c r="E1944" s="4" t="str">
        <f>IFERROR(__xludf.DUMMYFUNCTION("""COMPUTED_VALUE"""),"Sin precio neto G.C.")</f>
        <v>Sin precio neto G.C.</v>
      </c>
    </row>
    <row r="1945">
      <c r="A1945" s="4" t="str">
        <f>IFERROR(__xludf.DUMMYFUNCTION("""COMPUTED_VALUE"""),"958520N")</f>
        <v>958520N</v>
      </c>
      <c r="B1945" s="4" t="str">
        <f>IFERROR(__xludf.DUMMYFUNCTION("""COMPUTED_VALUE"""),"Señal MOPU complementaria 85x20 Normal")</f>
        <v>Señal MOPU complementaria 85x20 Normal</v>
      </c>
      <c r="C1945" s="4">
        <f>IFERROR(__xludf.DUMMYFUNCTION("""COMPUTED_VALUE"""),34.4)</f>
        <v>34.4</v>
      </c>
      <c r="D1945" s="4"/>
      <c r="E1945" s="4" t="str">
        <f>IFERROR(__xludf.DUMMYFUNCTION("""COMPUTED_VALUE"""),"Sin precio neto G.C.")</f>
        <v>Sin precio neto G.C.</v>
      </c>
    </row>
    <row r="1946">
      <c r="A1946" s="4" t="str">
        <f>IFERROR(__xludf.DUMMYFUNCTION("""COMPUTED_VALUE"""),"958520N1")</f>
        <v>958520N1</v>
      </c>
      <c r="B1946" s="4" t="str">
        <f>IFERROR(__xludf.DUMMYFUNCTION("""COMPUTED_VALUE"""),"Señal MOPU complementaria 85x20 cm Reflex I")</f>
        <v>Señal MOPU complementaria 85x20 cm Reflex I</v>
      </c>
      <c r="C1946" s="4">
        <f>IFERROR(__xludf.DUMMYFUNCTION("""COMPUTED_VALUE"""),35.25)</f>
        <v>35.25</v>
      </c>
      <c r="D1946" s="4"/>
      <c r="E1946" s="4" t="str">
        <f>IFERROR(__xludf.DUMMYFUNCTION("""COMPUTED_VALUE"""),"Sin precio neto G.C.")</f>
        <v>Sin precio neto G.C.</v>
      </c>
    </row>
    <row r="1947">
      <c r="A1947" s="4" t="str">
        <f>IFERROR(__xludf.DUMMYFUNCTION("""COMPUTED_VALUE"""),"958520N2")</f>
        <v>958520N2</v>
      </c>
      <c r="B1947" s="4" t="str">
        <f>IFERROR(__xludf.DUMMYFUNCTION("""COMPUTED_VALUE"""),"Señal MOPU complementaria 85x20 cm Reflex II")</f>
        <v>Señal MOPU complementaria 85x20 cm Reflex II</v>
      </c>
      <c r="C1947" s="4">
        <f>IFERROR(__xludf.DUMMYFUNCTION("""COMPUTED_VALUE"""),49.9)</f>
        <v>49.9</v>
      </c>
      <c r="D1947" s="4"/>
      <c r="E1947" s="4" t="str">
        <f>IFERROR(__xludf.DUMMYFUNCTION("""COMPUTED_VALUE"""),"Sin precio neto G.C.")</f>
        <v>Sin precio neto G.C.</v>
      </c>
    </row>
    <row r="1948">
      <c r="A1948" s="4" t="str">
        <f>IFERROR(__xludf.DUMMYFUNCTION("""COMPUTED_VALUE"""),"958520N3")</f>
        <v>958520N3</v>
      </c>
      <c r="B1948" s="4" t="str">
        <f>IFERROR(__xludf.DUMMYFUNCTION("""COMPUTED_VALUE"""),"Señal MOPU complementaria 85x20 cm Reflex III")</f>
        <v>Señal MOPU complementaria 85x20 cm Reflex III</v>
      </c>
      <c r="C1948" s="4">
        <f>IFERROR(__xludf.DUMMYFUNCTION("""COMPUTED_VALUE"""),47.25)</f>
        <v>47.25</v>
      </c>
      <c r="D1948" s="4"/>
      <c r="E1948" s="4" t="str">
        <f>IFERROR(__xludf.DUMMYFUNCTION("""COMPUTED_VALUE"""),"Sin precio neto G.C.")</f>
        <v>Sin precio neto G.C.</v>
      </c>
    </row>
    <row r="1949">
      <c r="A1949" s="4" t="str">
        <f>IFERROR(__xludf.DUMMYFUNCTION("""COMPUTED_VALUE"""),"959030N")</f>
        <v>959030N</v>
      </c>
      <c r="B1949" s="4" t="str">
        <f>IFERROR(__xludf.DUMMYFUNCTION("""COMPUTED_VALUE"""),"Señal MOPU complementaria 90x30 cm Normal")</f>
        <v>Señal MOPU complementaria 90x30 cm Normal</v>
      </c>
      <c r="C1949" s="4">
        <f>IFERROR(__xludf.DUMMYFUNCTION("""COMPUTED_VALUE"""),40.75)</f>
        <v>40.75</v>
      </c>
      <c r="D1949" s="4"/>
      <c r="E1949" s="4" t="str">
        <f>IFERROR(__xludf.DUMMYFUNCTION("""COMPUTED_VALUE"""),"Sin precio neto G.C.")</f>
        <v>Sin precio neto G.C.</v>
      </c>
    </row>
    <row r="1950">
      <c r="A1950" s="4" t="str">
        <f>IFERROR(__xludf.DUMMYFUNCTION("""COMPUTED_VALUE"""),"959030N1")</f>
        <v>959030N1</v>
      </c>
      <c r="B1950" s="4" t="str">
        <f>IFERROR(__xludf.DUMMYFUNCTION("""COMPUTED_VALUE"""),"Señal MOPU complementario 90x30 cm Reflex I")</f>
        <v>Señal MOPU complementario 90x30 cm Reflex I</v>
      </c>
      <c r="C1950" s="4">
        <f>IFERROR(__xludf.DUMMYFUNCTION("""COMPUTED_VALUE"""),43.25)</f>
        <v>43.25</v>
      </c>
      <c r="D1950" s="4"/>
      <c r="E1950" s="4" t="str">
        <f>IFERROR(__xludf.DUMMYFUNCTION("""COMPUTED_VALUE"""),"Sin precio neto G.C.")</f>
        <v>Sin precio neto G.C.</v>
      </c>
    </row>
    <row r="1951">
      <c r="A1951" s="4" t="str">
        <f>IFERROR(__xludf.DUMMYFUNCTION("""COMPUTED_VALUE"""),"959030N2")</f>
        <v>959030N2</v>
      </c>
      <c r="B1951" s="4" t="str">
        <f>IFERROR(__xludf.DUMMYFUNCTION("""COMPUTED_VALUE"""),"Señal MOPU complementaria 90x30 cm Reflex II")</f>
        <v>Señal MOPU complementaria 90x30 cm Reflex II</v>
      </c>
      <c r="C1951" s="4">
        <f>IFERROR(__xludf.DUMMYFUNCTION("""COMPUTED_VALUE"""),57.3)</f>
        <v>57.3</v>
      </c>
      <c r="D1951" s="4"/>
      <c r="E1951" s="4" t="str">
        <f>IFERROR(__xludf.DUMMYFUNCTION("""COMPUTED_VALUE"""),"Sin precio neto G.C.")</f>
        <v>Sin precio neto G.C.</v>
      </c>
    </row>
    <row r="1952">
      <c r="A1952" s="4" t="str">
        <f>IFERROR(__xludf.DUMMYFUNCTION("""COMPUTED_VALUE"""),"959030N3")</f>
        <v>959030N3</v>
      </c>
      <c r="B1952" s="4" t="str">
        <f>IFERROR(__xludf.DUMMYFUNCTION("""COMPUTED_VALUE"""),"Señal MOPU complementaria 90x30 cm Reflex III")</f>
        <v>Señal MOPU complementaria 90x30 cm Reflex III</v>
      </c>
      <c r="C1952" s="4">
        <f>IFERROR(__xludf.DUMMYFUNCTION("""COMPUTED_VALUE"""),71.25)</f>
        <v>71.25</v>
      </c>
      <c r="D1952" s="4"/>
      <c r="E1952" s="4" t="str">
        <f>IFERROR(__xludf.DUMMYFUNCTION("""COMPUTED_VALUE"""),"Sin precio neto G.C.")</f>
        <v>Sin precio neto G.C.</v>
      </c>
    </row>
    <row r="1953">
      <c r="A1953" s="4" t="str">
        <f>IFERROR(__xludf.DUMMYFUNCTION("""COMPUTED_VALUE"""),"9600N")</f>
        <v>9600N</v>
      </c>
      <c r="B1953" s="4" t="str">
        <f>IFERROR(__xludf.DUMMYFUNCTION("""COMPUTED_VALUE"""),"Señal Aluminio Circular 60 cm Normal")</f>
        <v>Señal Aluminio Circular 60 cm Normal</v>
      </c>
      <c r="C1953" s="4">
        <f>IFERROR(__xludf.DUMMYFUNCTION("""COMPUTED_VALUE"""),28.0)</f>
        <v>28</v>
      </c>
      <c r="D1953" s="4"/>
      <c r="E1953" s="4" t="str">
        <f>IFERROR(__xludf.DUMMYFUNCTION("""COMPUTED_VALUE"""),"Sin precio neto G.C.")</f>
        <v>Sin precio neto G.C.</v>
      </c>
    </row>
    <row r="1954">
      <c r="A1954" s="4" t="str">
        <f>IFERROR(__xludf.DUMMYFUNCTION("""COMPUTED_VALUE"""),"9600N1")</f>
        <v>9600N1</v>
      </c>
      <c r="B1954" s="4" t="str">
        <f>IFERROR(__xludf.DUMMYFUNCTION("""COMPUTED_VALUE"""),"Señal Aluminio Circular 60 cm Nivel 1")</f>
        <v>Señal Aluminio Circular 60 cm Nivel 1</v>
      </c>
      <c r="C1954" s="4">
        <f>IFERROR(__xludf.DUMMYFUNCTION("""COMPUTED_VALUE"""),31.0)</f>
        <v>31</v>
      </c>
      <c r="D1954" s="4"/>
      <c r="E1954" s="4" t="str">
        <f>IFERROR(__xludf.DUMMYFUNCTION("""COMPUTED_VALUE"""),"Sin precio neto G.C.")</f>
        <v>Sin precio neto G.C.</v>
      </c>
    </row>
    <row r="1955">
      <c r="A1955" s="4" t="str">
        <f>IFERROR(__xludf.DUMMYFUNCTION("""COMPUTED_VALUE"""),"9625120N")</f>
        <v>9625120N</v>
      </c>
      <c r="B1955" s="4" t="str">
        <f>IFERROR(__xludf.DUMMYFUNCTION("""COMPUTED_VALUE"""),"Señal MOPU informativa 25x120 cm Normal")</f>
        <v>Señal MOPU informativa 25x120 cm Normal</v>
      </c>
      <c r="C1955" s="4">
        <f>IFERROR(__xludf.DUMMYFUNCTION("""COMPUTED_VALUE"""),65.38)</f>
        <v>65.38</v>
      </c>
      <c r="D1955" s="4"/>
      <c r="E1955" s="4" t="str">
        <f>IFERROR(__xludf.DUMMYFUNCTION("""COMPUTED_VALUE"""),"Sin precio neto G.C.")</f>
        <v>Sin precio neto G.C.</v>
      </c>
    </row>
    <row r="1956">
      <c r="A1956" s="4" t="str">
        <f>IFERROR(__xludf.DUMMYFUNCTION("""COMPUTED_VALUE"""),"9625120N1")</f>
        <v>9625120N1</v>
      </c>
      <c r="B1956" s="4" t="str">
        <f>IFERROR(__xludf.DUMMYFUNCTION("""COMPUTED_VALUE"""),"Señal MOPU informativa 25x120 cm Reflex I")</f>
        <v>Señal MOPU informativa 25x120 cm Reflex I</v>
      </c>
      <c r="C1956" s="4">
        <f>IFERROR(__xludf.DUMMYFUNCTION("""COMPUTED_VALUE"""),69.2)</f>
        <v>69.2</v>
      </c>
      <c r="D1956" s="4"/>
      <c r="E1956" s="4" t="str">
        <f>IFERROR(__xludf.DUMMYFUNCTION("""COMPUTED_VALUE"""),"Sin precio neto G.C.")</f>
        <v>Sin precio neto G.C.</v>
      </c>
    </row>
    <row r="1957">
      <c r="A1957" s="4" t="str">
        <f>IFERROR(__xludf.DUMMYFUNCTION("""COMPUTED_VALUE"""),"9625120N1F")</f>
        <v>9625120N1F</v>
      </c>
      <c r="B1957" s="4" t="str">
        <f>IFERROR(__xludf.DUMMYFUNCTION("""COMPUTED_VALUE"""),"Señal MOPU informativa 25x120 Nivel 1 Flechada")</f>
        <v>Señal MOPU informativa 25x120 Nivel 1 Flechada</v>
      </c>
      <c r="C1957" s="4">
        <f>IFERROR(__xludf.DUMMYFUNCTION("""COMPUTED_VALUE"""),68.35)</f>
        <v>68.35</v>
      </c>
      <c r="D1957" s="4"/>
      <c r="E1957" s="4" t="str">
        <f>IFERROR(__xludf.DUMMYFUNCTION("""COMPUTED_VALUE"""),"Sin precio neto G.C.")</f>
        <v>Sin precio neto G.C.</v>
      </c>
    </row>
    <row r="1958">
      <c r="A1958" s="4" t="str">
        <f>IFERROR(__xludf.DUMMYFUNCTION("""COMPUTED_VALUE"""),"9625120N2")</f>
        <v>9625120N2</v>
      </c>
      <c r="B1958" s="4" t="str">
        <f>IFERROR(__xludf.DUMMYFUNCTION("""COMPUTED_VALUE"""),"Señal MOPU informativa 25x120 cm Reflex II")</f>
        <v>Señal MOPU informativa 25x120 cm Reflex II</v>
      </c>
      <c r="C1958" s="4">
        <f>IFERROR(__xludf.DUMMYFUNCTION("""COMPUTED_VALUE"""),76.0)</f>
        <v>76</v>
      </c>
      <c r="D1958" s="4"/>
      <c r="E1958" s="4" t="str">
        <f>IFERROR(__xludf.DUMMYFUNCTION("""COMPUTED_VALUE"""),"Sin precio neto G.C.")</f>
        <v>Sin precio neto G.C.</v>
      </c>
    </row>
    <row r="1959">
      <c r="A1959" s="4" t="str">
        <f>IFERROR(__xludf.DUMMYFUNCTION("""COMPUTED_VALUE"""),"9625120N2F")</f>
        <v>9625120N2F</v>
      </c>
      <c r="B1959" s="4" t="str">
        <f>IFERROR(__xludf.DUMMYFUNCTION("""COMPUTED_VALUE"""),"Señal MOPU informativa 25x120 Nivel 2 Flechada")</f>
        <v>Señal MOPU informativa 25x120 Nivel 2 Flechada</v>
      </c>
      <c r="C1959" s="4">
        <f>IFERROR(__xludf.DUMMYFUNCTION("""COMPUTED_VALUE"""),76.2)</f>
        <v>76.2</v>
      </c>
      <c r="D1959" s="4"/>
      <c r="E1959" s="4" t="str">
        <f>IFERROR(__xludf.DUMMYFUNCTION("""COMPUTED_VALUE"""),"Sin precio neto G.C.")</f>
        <v>Sin precio neto G.C.</v>
      </c>
    </row>
    <row r="1960">
      <c r="A1960" s="4" t="str">
        <f>IFERROR(__xludf.DUMMYFUNCTION("""COMPUTED_VALUE"""),"9625120N3")</f>
        <v>9625120N3</v>
      </c>
      <c r="B1960" s="4" t="str">
        <f>IFERROR(__xludf.DUMMYFUNCTION("""COMPUTED_VALUE"""),"Señal MOPU informativa 25x120 cm Reflex III")</f>
        <v>Señal MOPU informativa 25x120 cm Reflex III</v>
      </c>
      <c r="C1960" s="4">
        <f>IFERROR(__xludf.DUMMYFUNCTION("""COMPUTED_VALUE"""),109.2)</f>
        <v>109.2</v>
      </c>
      <c r="D1960" s="4"/>
      <c r="E1960" s="4" t="str">
        <f>IFERROR(__xludf.DUMMYFUNCTION("""COMPUTED_VALUE"""),"Sin precio neto G.C.")</f>
        <v>Sin precio neto G.C.</v>
      </c>
    </row>
    <row r="1961">
      <c r="A1961" s="4" t="str">
        <f>IFERROR(__xludf.DUMMYFUNCTION("""COMPUTED_VALUE"""),"9625120N3F")</f>
        <v>9625120N3F</v>
      </c>
      <c r="B1961" s="4" t="str">
        <f>IFERROR(__xludf.DUMMYFUNCTION("""COMPUTED_VALUE"""),"Señal MOPU informativa 25x120 Nivel 3 Flechada")</f>
        <v>Señal MOPU informativa 25x120 Nivel 3 Flechada</v>
      </c>
      <c r="C1961" s="4">
        <f>IFERROR(__xludf.DUMMYFUNCTION("""COMPUTED_VALUE"""),110.2)</f>
        <v>110.2</v>
      </c>
      <c r="D1961" s="4"/>
      <c r="E1961" s="4" t="str">
        <f>IFERROR(__xludf.DUMMYFUNCTION("""COMPUTED_VALUE"""),"Sin precio neto G.C.")</f>
        <v>Sin precio neto G.C.</v>
      </c>
    </row>
    <row r="1962">
      <c r="A1962" s="4" t="str">
        <f>IFERROR(__xludf.DUMMYFUNCTION("""COMPUTED_VALUE"""),"9625120NF")</f>
        <v>9625120NF</v>
      </c>
      <c r="B1962" s="4" t="str">
        <f>IFERROR(__xludf.DUMMYFUNCTION("""COMPUTED_VALUE"""),"Señal MOPU informativa 25x120 Normal Flechada")</f>
        <v>Señal MOPU informativa 25x120 Normal Flechada</v>
      </c>
      <c r="C1962" s="4">
        <f>IFERROR(__xludf.DUMMYFUNCTION("""COMPUTED_VALUE"""),62.35)</f>
        <v>62.35</v>
      </c>
      <c r="D1962" s="4"/>
      <c r="E1962" s="4" t="str">
        <f>IFERROR(__xludf.DUMMYFUNCTION("""COMPUTED_VALUE"""),"Sin precio neto G.C.")</f>
        <v>Sin precio neto G.C.</v>
      </c>
    </row>
    <row r="1963">
      <c r="A1963" s="4" t="str">
        <f>IFERROR(__xludf.DUMMYFUNCTION("""COMPUTED_VALUE"""),"962570N")</f>
        <v>962570N</v>
      </c>
      <c r="B1963" s="4" t="str">
        <f>IFERROR(__xludf.DUMMYFUNCTION("""COMPUTED_VALUE"""),"Señal MOPU informativa 25x70 cm Normal")</f>
        <v>Señal MOPU informativa 25x70 cm Normal</v>
      </c>
      <c r="C1963" s="4">
        <f>IFERROR(__xludf.DUMMYFUNCTION("""COMPUTED_VALUE"""),37.0)</f>
        <v>37</v>
      </c>
      <c r="D1963" s="4"/>
      <c r="E1963" s="4" t="str">
        <f>IFERROR(__xludf.DUMMYFUNCTION("""COMPUTED_VALUE"""),"Sin precio neto G.C.")</f>
        <v>Sin precio neto G.C.</v>
      </c>
    </row>
    <row r="1964">
      <c r="A1964" s="4" t="str">
        <f>IFERROR(__xludf.DUMMYFUNCTION("""COMPUTED_VALUE"""),"962570N1")</f>
        <v>962570N1</v>
      </c>
      <c r="B1964" s="4" t="str">
        <f>IFERROR(__xludf.DUMMYFUNCTION("""COMPUTED_VALUE"""),"Señal MOPU informativa 25x70 cm Reflex I")</f>
        <v>Señal MOPU informativa 25x70 cm Reflex I</v>
      </c>
      <c r="C1964" s="4">
        <f>IFERROR(__xludf.DUMMYFUNCTION("""COMPUTED_VALUE"""),41.95)</f>
        <v>41.95</v>
      </c>
      <c r="D1964" s="4"/>
      <c r="E1964" s="4" t="str">
        <f>IFERROR(__xludf.DUMMYFUNCTION("""COMPUTED_VALUE"""),"Sin precio neto G.C.")</f>
        <v>Sin precio neto G.C.</v>
      </c>
    </row>
    <row r="1965">
      <c r="A1965" s="4" t="str">
        <f>IFERROR(__xludf.DUMMYFUNCTION("""COMPUTED_VALUE"""),"962570N1F")</f>
        <v>962570N1F</v>
      </c>
      <c r="B1965" s="4" t="str">
        <f>IFERROR(__xludf.DUMMYFUNCTION("""COMPUTED_VALUE"""),"Señal MOPU informativa 25x70 cm Nivel 1 Flechada")</f>
        <v>Señal MOPU informativa 25x70 cm Nivel 1 Flechada</v>
      </c>
      <c r="C1965" s="4">
        <f>IFERROR(__xludf.DUMMYFUNCTION("""COMPUTED_VALUE"""),41.95)</f>
        <v>41.95</v>
      </c>
      <c r="D1965" s="4"/>
      <c r="E1965" s="4" t="str">
        <f>IFERROR(__xludf.DUMMYFUNCTION("""COMPUTED_VALUE"""),"Sin precio neto G.C.")</f>
        <v>Sin precio neto G.C.</v>
      </c>
    </row>
    <row r="1966">
      <c r="A1966" s="4" t="str">
        <f>IFERROR(__xludf.DUMMYFUNCTION("""COMPUTED_VALUE"""),"962570N2")</f>
        <v>962570N2</v>
      </c>
      <c r="B1966" s="4" t="str">
        <f>IFERROR(__xludf.DUMMYFUNCTION("""COMPUTED_VALUE"""),"Señal MOPU informativa 25x70 cm Reflex II")</f>
        <v>Señal MOPU informativa 25x70 cm Reflex II</v>
      </c>
      <c r="C1966" s="4">
        <f>IFERROR(__xludf.DUMMYFUNCTION("""COMPUTED_VALUE"""),47.73)</f>
        <v>47.73</v>
      </c>
      <c r="D1966" s="4"/>
      <c r="E1966" s="4" t="str">
        <f>IFERROR(__xludf.DUMMYFUNCTION("""COMPUTED_VALUE"""),"Sin precio neto G.C.")</f>
        <v>Sin precio neto G.C.</v>
      </c>
    </row>
    <row r="1967">
      <c r="A1967" s="4" t="str">
        <f>IFERROR(__xludf.DUMMYFUNCTION("""COMPUTED_VALUE"""),"962570N2F")</f>
        <v>962570N2F</v>
      </c>
      <c r="B1967" s="4" t="str">
        <f>IFERROR(__xludf.DUMMYFUNCTION("""COMPUTED_VALUE"""),"Señal MOPU informativa 25x70 cm Nivel 2 Flechada")</f>
        <v>Señal MOPU informativa 25x70 cm Nivel 2 Flechada</v>
      </c>
      <c r="C1967" s="4">
        <f>IFERROR(__xludf.DUMMYFUNCTION("""COMPUTED_VALUE"""),47.73)</f>
        <v>47.73</v>
      </c>
      <c r="D1967" s="4"/>
      <c r="E1967" s="4" t="str">
        <f>IFERROR(__xludf.DUMMYFUNCTION("""COMPUTED_VALUE"""),"Sin precio neto G.C.")</f>
        <v>Sin precio neto G.C.</v>
      </c>
    </row>
    <row r="1968">
      <c r="A1968" s="4" t="str">
        <f>IFERROR(__xludf.DUMMYFUNCTION("""COMPUTED_VALUE"""),"962570N3")</f>
        <v>962570N3</v>
      </c>
      <c r="B1968" s="4" t="str">
        <f>IFERROR(__xludf.DUMMYFUNCTION("""COMPUTED_VALUE"""),"Señal MOPU informativa 25x70 cm Reflex III")</f>
        <v>Señal MOPU informativa 25x70 cm Reflex III</v>
      </c>
      <c r="C1968" s="4">
        <f>IFERROR(__xludf.DUMMYFUNCTION("""COMPUTED_VALUE"""),53.5)</f>
        <v>53.5</v>
      </c>
      <c r="D1968" s="4"/>
      <c r="E1968" s="4" t="str">
        <f>IFERROR(__xludf.DUMMYFUNCTION("""COMPUTED_VALUE"""),"Sin precio neto G.C.")</f>
        <v>Sin precio neto G.C.</v>
      </c>
    </row>
    <row r="1969">
      <c r="A1969" s="4" t="str">
        <f>IFERROR(__xludf.DUMMYFUNCTION("""COMPUTED_VALUE"""),"962570N3F")</f>
        <v>962570N3F</v>
      </c>
      <c r="B1969" s="4" t="str">
        <f>IFERROR(__xludf.DUMMYFUNCTION("""COMPUTED_VALUE"""),"Señal MOPU informativa 25x70 cm Nivel 3 Flechada")</f>
        <v>Señal MOPU informativa 25x70 cm Nivel 3 Flechada</v>
      </c>
      <c r="C1969" s="4">
        <f>IFERROR(__xludf.DUMMYFUNCTION("""COMPUTED_VALUE"""),54.0)</f>
        <v>54</v>
      </c>
      <c r="D1969" s="4"/>
      <c r="E1969" s="4" t="str">
        <f>IFERROR(__xludf.DUMMYFUNCTION("""COMPUTED_VALUE"""),"Sin precio neto G.C.")</f>
        <v>Sin precio neto G.C.</v>
      </c>
    </row>
    <row r="1970">
      <c r="A1970" s="4" t="str">
        <f>IFERROR(__xludf.DUMMYFUNCTION("""COMPUTED_VALUE"""),"962570NF")</f>
        <v>962570NF</v>
      </c>
      <c r="B1970" s="4" t="str">
        <f>IFERROR(__xludf.DUMMYFUNCTION("""COMPUTED_VALUE"""),"Señal MOPU informativa 25x70 cm Normal flechada")</f>
        <v>Señal MOPU informativa 25x70 cm Normal flechada</v>
      </c>
      <c r="C1970" s="4">
        <f>IFERROR(__xludf.DUMMYFUNCTION("""COMPUTED_VALUE"""),39.33)</f>
        <v>39.33</v>
      </c>
      <c r="D1970" s="4"/>
      <c r="E1970" s="4" t="str">
        <f>IFERROR(__xludf.DUMMYFUNCTION("""COMPUTED_VALUE"""),"Sin precio neto G.C.")</f>
        <v>Sin precio neto G.C.</v>
      </c>
    </row>
    <row r="1971">
      <c r="A1971" s="4" t="str">
        <f>IFERROR(__xludf.DUMMYFUNCTION("""COMPUTED_VALUE"""),"962595N")</f>
        <v>962595N</v>
      </c>
      <c r="B1971" s="4" t="str">
        <f>IFERROR(__xludf.DUMMYFUNCTION("""COMPUTED_VALUE"""),"Señal MOPU informativa 25x95 cm Normal")</f>
        <v>Señal MOPU informativa 25x95 cm Normal</v>
      </c>
      <c r="C1971" s="4">
        <f>IFERROR(__xludf.DUMMYFUNCTION("""COMPUTED_VALUE"""),40.38)</f>
        <v>40.38</v>
      </c>
      <c r="D1971" s="4"/>
      <c r="E1971" s="4" t="str">
        <f>IFERROR(__xludf.DUMMYFUNCTION("""COMPUTED_VALUE"""),"Sin precio neto G.C.")</f>
        <v>Sin precio neto G.C.</v>
      </c>
    </row>
    <row r="1972">
      <c r="A1972" s="4" t="str">
        <f>IFERROR(__xludf.DUMMYFUNCTION("""COMPUTED_VALUE"""),"962595N1")</f>
        <v>962595N1</v>
      </c>
      <c r="B1972" s="4" t="str">
        <f>IFERROR(__xludf.DUMMYFUNCTION("""COMPUTED_VALUE"""),"Señal MOPU informativa 25x95 cm Reflex I")</f>
        <v>Señal MOPU informativa 25x95 cm Reflex I</v>
      </c>
      <c r="C1972" s="4">
        <f>IFERROR(__xludf.DUMMYFUNCTION("""COMPUTED_VALUE"""),46.13)</f>
        <v>46.13</v>
      </c>
      <c r="D1972" s="4"/>
      <c r="E1972" s="4" t="str">
        <f>IFERROR(__xludf.DUMMYFUNCTION("""COMPUTED_VALUE"""),"Sin precio neto G.C.")</f>
        <v>Sin precio neto G.C.</v>
      </c>
    </row>
    <row r="1973">
      <c r="A1973" s="4" t="str">
        <f>IFERROR(__xludf.DUMMYFUNCTION("""COMPUTED_VALUE"""),"962595N3")</f>
        <v>962595N3</v>
      </c>
      <c r="B1973" s="4" t="str">
        <f>IFERROR(__xludf.DUMMYFUNCTION("""COMPUTED_VALUE"""),"Señal MOPU informativa 25x95 cm Reflex III")</f>
        <v>Señal MOPU informativa 25x95 cm Reflex III</v>
      </c>
      <c r="C1973" s="4">
        <f>IFERROR(__xludf.DUMMYFUNCTION("""COMPUTED_VALUE"""),62.85)</f>
        <v>62.85</v>
      </c>
      <c r="D1973" s="4"/>
      <c r="E1973" s="4" t="str">
        <f>IFERROR(__xludf.DUMMYFUNCTION("""COMPUTED_VALUE"""),"Sin precio neto G.C.")</f>
        <v>Sin precio neto G.C.</v>
      </c>
    </row>
    <row r="1974">
      <c r="A1974" s="4" t="str">
        <f>IFERROR(__xludf.DUMMYFUNCTION("""COMPUTED_VALUE"""),"9630120N")</f>
        <v>9630120N</v>
      </c>
      <c r="B1974" s="4" t="str">
        <f>IFERROR(__xludf.DUMMYFUNCTION("""COMPUTED_VALUE"""),"Señal MOPU informativa 30x120 cm Normal")</f>
        <v>Señal MOPU informativa 30x120 cm Normal</v>
      </c>
      <c r="C1974" s="4">
        <f>IFERROR(__xludf.DUMMYFUNCTION("""COMPUTED_VALUE"""),53.5)</f>
        <v>53.5</v>
      </c>
      <c r="D1974" s="4"/>
      <c r="E1974" s="4" t="str">
        <f>IFERROR(__xludf.DUMMYFUNCTION("""COMPUTED_VALUE"""),"Sin precio neto G.C.")</f>
        <v>Sin precio neto G.C.</v>
      </c>
    </row>
    <row r="1975">
      <c r="A1975" s="4" t="str">
        <f>IFERROR(__xludf.DUMMYFUNCTION("""COMPUTED_VALUE"""),"9630120N1")</f>
        <v>9630120N1</v>
      </c>
      <c r="B1975" s="4" t="str">
        <f>IFERROR(__xludf.DUMMYFUNCTION("""COMPUTED_VALUE"""),"Señal MOPU informativa 30x120 cm Reflex I")</f>
        <v>Señal MOPU informativa 30x120 cm Reflex I</v>
      </c>
      <c r="C1975" s="4">
        <f>IFERROR(__xludf.DUMMYFUNCTION("""COMPUTED_VALUE"""),67.9)</f>
        <v>67.9</v>
      </c>
      <c r="D1975" s="4"/>
      <c r="E1975" s="4" t="str">
        <f>IFERROR(__xludf.DUMMYFUNCTION("""COMPUTED_VALUE"""),"Sin precio neto G.C.")</f>
        <v>Sin precio neto G.C.</v>
      </c>
    </row>
    <row r="1976">
      <c r="A1976" s="4" t="str">
        <f>IFERROR(__xludf.DUMMYFUNCTION("""COMPUTED_VALUE"""),"9630145N")</f>
        <v>9630145N</v>
      </c>
      <c r="B1976" s="4" t="str">
        <f>IFERROR(__xludf.DUMMYFUNCTION("""COMPUTED_VALUE"""),"Señal MOPU informativa 30x145 cm Normal")</f>
        <v>Señal MOPU informativa 30x145 cm Normal</v>
      </c>
      <c r="C1976" s="4">
        <f>IFERROR(__xludf.DUMMYFUNCTION("""COMPUTED_VALUE"""),85.05)</f>
        <v>85.05</v>
      </c>
      <c r="D1976" s="4"/>
      <c r="E1976" s="4" t="str">
        <f>IFERROR(__xludf.DUMMYFUNCTION("""COMPUTED_VALUE"""),"Sin precio neto G.C.")</f>
        <v>Sin precio neto G.C.</v>
      </c>
    </row>
    <row r="1977">
      <c r="A1977" s="4" t="str">
        <f>IFERROR(__xludf.DUMMYFUNCTION("""COMPUTED_VALUE"""),"9630145N1")</f>
        <v>9630145N1</v>
      </c>
      <c r="B1977" s="4" t="str">
        <f>IFERROR(__xludf.DUMMYFUNCTION("""COMPUTED_VALUE"""),"Señal MOPU informativa 30x145 cm Reflex I")</f>
        <v>Señal MOPU informativa 30x145 cm Reflex I</v>
      </c>
      <c r="C1977" s="4">
        <f>IFERROR(__xludf.DUMMYFUNCTION("""COMPUTED_VALUE"""),80.5)</f>
        <v>80.5</v>
      </c>
      <c r="D1977" s="4"/>
      <c r="E1977" s="4" t="str">
        <f>IFERROR(__xludf.DUMMYFUNCTION("""COMPUTED_VALUE"""),"Sin precio neto G.C.")</f>
        <v>Sin precio neto G.C.</v>
      </c>
    </row>
    <row r="1978">
      <c r="A1978" s="4" t="str">
        <f>IFERROR(__xludf.DUMMYFUNCTION("""COMPUTED_VALUE"""),"9630145N1F")</f>
        <v>9630145N1F</v>
      </c>
      <c r="B1978" s="4" t="str">
        <f>IFERROR(__xludf.DUMMYFUNCTION("""COMPUTED_VALUE"""),"Señal informativa 30x145 cm Nivel 1 Flechada")</f>
        <v>Señal informativa 30x145 cm Nivel 1 Flechada</v>
      </c>
      <c r="C1978" s="4">
        <f>IFERROR(__xludf.DUMMYFUNCTION("""COMPUTED_VALUE"""),84.45)</f>
        <v>84.45</v>
      </c>
      <c r="D1978" s="4"/>
      <c r="E1978" s="4" t="str">
        <f>IFERROR(__xludf.DUMMYFUNCTION("""COMPUTED_VALUE"""),"Sin precio neto G.C.")</f>
        <v>Sin precio neto G.C.</v>
      </c>
    </row>
    <row r="1979">
      <c r="A1979" s="4" t="str">
        <f>IFERROR(__xludf.DUMMYFUNCTION("""COMPUTED_VALUE"""),"9630145N2")</f>
        <v>9630145N2</v>
      </c>
      <c r="B1979" s="4" t="str">
        <f>IFERROR(__xludf.DUMMYFUNCTION("""COMPUTED_VALUE"""),"Señal MOPU informativa 30x145 cm Reflex II")</f>
        <v>Señal MOPU informativa 30x145 cm Reflex II</v>
      </c>
      <c r="C1979" s="4">
        <f>IFERROR(__xludf.DUMMYFUNCTION("""COMPUTED_VALUE"""),102.5)</f>
        <v>102.5</v>
      </c>
      <c r="D1979" s="4"/>
      <c r="E1979" s="4" t="str">
        <f>IFERROR(__xludf.DUMMYFUNCTION("""COMPUTED_VALUE"""),"Sin precio neto G.C.")</f>
        <v>Sin precio neto G.C.</v>
      </c>
    </row>
    <row r="1980">
      <c r="A1980" s="4" t="str">
        <f>IFERROR(__xludf.DUMMYFUNCTION("""COMPUTED_VALUE"""),"9630145N2F")</f>
        <v>9630145N2F</v>
      </c>
      <c r="B1980" s="4" t="str">
        <f>IFERROR(__xludf.DUMMYFUNCTION("""COMPUTED_VALUE"""),"Señal informativa 30x145 cm Nivel 2 Flechada")</f>
        <v>Señal informativa 30x145 cm Nivel 2 Flechada</v>
      </c>
      <c r="C1980" s="4">
        <f>IFERROR(__xludf.DUMMYFUNCTION("""COMPUTED_VALUE"""),102.33)</f>
        <v>102.33</v>
      </c>
      <c r="D1980" s="4"/>
      <c r="E1980" s="4" t="str">
        <f>IFERROR(__xludf.DUMMYFUNCTION("""COMPUTED_VALUE"""),"Sin precio neto G.C.")</f>
        <v>Sin precio neto G.C.</v>
      </c>
    </row>
    <row r="1981">
      <c r="A1981" s="4" t="str">
        <f>IFERROR(__xludf.DUMMYFUNCTION("""COMPUTED_VALUE"""),"9630145N3")</f>
        <v>9630145N3</v>
      </c>
      <c r="B1981" s="4" t="str">
        <f>IFERROR(__xludf.DUMMYFUNCTION("""COMPUTED_VALUE"""),"Señal MOPu informativa 30x145 cm Reflex III")</f>
        <v>Señal MOPu informativa 30x145 cm Reflex III</v>
      </c>
      <c r="C1981" s="4">
        <f>IFERROR(__xludf.DUMMYFUNCTION("""COMPUTED_VALUE"""),106.0)</f>
        <v>106</v>
      </c>
      <c r="D1981" s="4"/>
      <c r="E1981" s="4" t="str">
        <f>IFERROR(__xludf.DUMMYFUNCTION("""COMPUTED_VALUE"""),"Sin precio neto G.C.")</f>
        <v>Sin precio neto G.C.</v>
      </c>
    </row>
    <row r="1982">
      <c r="A1982" s="4" t="str">
        <f>IFERROR(__xludf.DUMMYFUNCTION("""COMPUTED_VALUE"""),"9630145N3F")</f>
        <v>9630145N3F</v>
      </c>
      <c r="B1982" s="4" t="str">
        <f>IFERROR(__xludf.DUMMYFUNCTION("""COMPUTED_VALUE"""),"Señal informativa 30x145 cm Nivel 3 Flechada")</f>
        <v>Señal informativa 30x145 cm Nivel 3 Flechada</v>
      </c>
      <c r="C1982" s="4">
        <f>IFERROR(__xludf.DUMMYFUNCTION("""COMPUTED_VALUE"""),117.5)</f>
        <v>117.5</v>
      </c>
      <c r="D1982" s="4"/>
      <c r="E1982" s="4" t="str">
        <f>IFERROR(__xludf.DUMMYFUNCTION("""COMPUTED_VALUE"""),"Sin precio neto G.C.")</f>
        <v>Sin precio neto G.C.</v>
      </c>
    </row>
    <row r="1983">
      <c r="A1983" s="4" t="str">
        <f>IFERROR(__xludf.DUMMYFUNCTION("""COMPUTED_VALUE"""),"9630145NF")</f>
        <v>9630145NF</v>
      </c>
      <c r="B1983" s="4" t="str">
        <f>IFERROR(__xludf.DUMMYFUNCTION("""COMPUTED_VALUE"""),"Señal informativa 30x145 cm Normal Flechada")</f>
        <v>Señal informativa 30x145 cm Normal Flechada</v>
      </c>
      <c r="C1983" s="4">
        <f>IFERROR(__xludf.DUMMYFUNCTION("""COMPUTED_VALUE"""),69.15)</f>
        <v>69.15</v>
      </c>
      <c r="D1983" s="4"/>
      <c r="E1983" s="4" t="str">
        <f>IFERROR(__xludf.DUMMYFUNCTION("""COMPUTED_VALUE"""),"Sin precio neto G.C.")</f>
        <v>Sin precio neto G.C.</v>
      </c>
    </row>
    <row r="1984">
      <c r="A1984" s="4" t="str">
        <f>IFERROR(__xludf.DUMMYFUNCTION("""COMPUTED_VALUE"""),"963095N")</f>
        <v>963095N</v>
      </c>
      <c r="B1984" s="4" t="str">
        <f>IFERROR(__xludf.DUMMYFUNCTION("""COMPUTED_VALUE"""),"Señal MOPU informativa 30x95 cm Normal")</f>
        <v>Señal MOPU informativa 30x95 cm Normal</v>
      </c>
      <c r="C1984" s="4">
        <f>IFERROR(__xludf.DUMMYFUNCTION("""COMPUTED_VALUE"""),47.9)</f>
        <v>47.9</v>
      </c>
      <c r="D1984" s="4"/>
      <c r="E1984" s="4" t="str">
        <f>IFERROR(__xludf.DUMMYFUNCTION("""COMPUTED_VALUE"""),"Sin precio neto G.C.")</f>
        <v>Sin precio neto G.C.</v>
      </c>
    </row>
    <row r="1985">
      <c r="A1985" s="4" t="str">
        <f>IFERROR(__xludf.DUMMYFUNCTION("""COMPUTED_VALUE"""),"963095N1")</f>
        <v>963095N1</v>
      </c>
      <c r="B1985" s="4" t="str">
        <f>IFERROR(__xludf.DUMMYFUNCTION("""COMPUTED_VALUE"""),"Señal MOPU informativa 30x95 cm Reflex I")</f>
        <v>Señal MOPU informativa 30x95 cm Reflex I</v>
      </c>
      <c r="C1985" s="4">
        <f>IFERROR(__xludf.DUMMYFUNCTION("""COMPUTED_VALUE"""),52.9)</f>
        <v>52.9</v>
      </c>
      <c r="D1985" s="4"/>
      <c r="E1985" s="4" t="str">
        <f>IFERROR(__xludf.DUMMYFUNCTION("""COMPUTED_VALUE"""),"Sin precio neto G.C.")</f>
        <v>Sin precio neto G.C.</v>
      </c>
    </row>
    <row r="1986">
      <c r="A1986" s="4" t="str">
        <f>IFERROR(__xludf.DUMMYFUNCTION("""COMPUTED_VALUE"""),"963095N1F")</f>
        <v>963095N1F</v>
      </c>
      <c r="B1986" s="4" t="str">
        <f>IFERROR(__xludf.DUMMYFUNCTION("""COMPUTED_VALUE"""),"Señal MOPU informativa 30x95 Nivel 1 Flechada")</f>
        <v>Señal MOPU informativa 30x95 Nivel 1 Flechada</v>
      </c>
      <c r="C1986" s="4">
        <f>IFERROR(__xludf.DUMMYFUNCTION("""COMPUTED_VALUE"""),52.92)</f>
        <v>52.92</v>
      </c>
      <c r="D1986" s="4"/>
      <c r="E1986" s="4" t="str">
        <f>IFERROR(__xludf.DUMMYFUNCTION("""COMPUTED_VALUE"""),"Sin precio neto G.C.")</f>
        <v>Sin precio neto G.C.</v>
      </c>
    </row>
    <row r="1987">
      <c r="A1987" s="4" t="str">
        <f>IFERROR(__xludf.DUMMYFUNCTION("""COMPUTED_VALUE"""),"963095N2")</f>
        <v>963095N2</v>
      </c>
      <c r="B1987" s="4" t="str">
        <f>IFERROR(__xludf.DUMMYFUNCTION("""COMPUTED_VALUE"""),"Señal MOPU informativa 30x95 cm Reflex II")</f>
        <v>Señal MOPU informativa 30x95 cm Reflex II</v>
      </c>
      <c r="C1987" s="4">
        <f>IFERROR(__xludf.DUMMYFUNCTION("""COMPUTED_VALUE"""),59.325)</f>
        <v>59.325</v>
      </c>
      <c r="D1987" s="4"/>
      <c r="E1987" s="4" t="str">
        <f>IFERROR(__xludf.DUMMYFUNCTION("""COMPUTED_VALUE"""),"Sin precio neto G.C.")</f>
        <v>Sin precio neto G.C.</v>
      </c>
    </row>
    <row r="1988">
      <c r="A1988" s="4" t="str">
        <f>IFERROR(__xludf.DUMMYFUNCTION("""COMPUTED_VALUE"""),"963095N2F")</f>
        <v>963095N2F</v>
      </c>
      <c r="B1988" s="4" t="str">
        <f>IFERROR(__xludf.DUMMYFUNCTION("""COMPUTED_VALUE"""),"Señal MOPU informativa 30x95 Nivel 2 Flechada")</f>
        <v>Señal MOPU informativa 30x95 Nivel 2 Flechada</v>
      </c>
      <c r="C1988" s="4">
        <f>IFERROR(__xludf.DUMMYFUNCTION("""COMPUTED_VALUE"""),61.33)</f>
        <v>61.33</v>
      </c>
      <c r="D1988" s="4"/>
      <c r="E1988" s="4" t="str">
        <f>IFERROR(__xludf.DUMMYFUNCTION("""COMPUTED_VALUE"""),"Sin precio neto G.C.")</f>
        <v>Sin precio neto G.C.</v>
      </c>
    </row>
    <row r="1989">
      <c r="A1989" s="4" t="str">
        <f>IFERROR(__xludf.DUMMYFUNCTION("""COMPUTED_VALUE"""),"963095N3")</f>
        <v>963095N3</v>
      </c>
      <c r="B1989" s="4" t="str">
        <f>IFERROR(__xludf.DUMMYFUNCTION("""COMPUTED_VALUE"""),"Señal MOPU informativa 30x95 cm Reflex III")</f>
        <v>Señal MOPU informativa 30x95 cm Reflex III</v>
      </c>
      <c r="C1989" s="4">
        <f>IFERROR(__xludf.DUMMYFUNCTION("""COMPUTED_VALUE"""),64.0)</f>
        <v>64</v>
      </c>
      <c r="D1989" s="4"/>
      <c r="E1989" s="4" t="str">
        <f>IFERROR(__xludf.DUMMYFUNCTION("""COMPUTED_VALUE"""),"Sin precio neto G.C.")</f>
        <v>Sin precio neto G.C.</v>
      </c>
    </row>
    <row r="1990">
      <c r="A1990" s="4" t="str">
        <f>IFERROR(__xludf.DUMMYFUNCTION("""COMPUTED_VALUE"""),"963095N3F")</f>
        <v>963095N3F</v>
      </c>
      <c r="B1990" s="4" t="str">
        <f>IFERROR(__xludf.DUMMYFUNCTION("""COMPUTED_VALUE"""),"Señal MOPU informativa 30x95 Nivel 3 Flechada")</f>
        <v>Señal MOPU informativa 30x95 Nivel 3 Flechada</v>
      </c>
      <c r="C1990" s="4">
        <f>IFERROR(__xludf.DUMMYFUNCTION("""COMPUTED_VALUE"""),67.15)</f>
        <v>67.15</v>
      </c>
      <c r="D1990" s="4"/>
      <c r="E1990" s="4" t="str">
        <f>IFERROR(__xludf.DUMMYFUNCTION("""COMPUTED_VALUE"""),"Sin precio neto G.C.")</f>
        <v>Sin precio neto G.C.</v>
      </c>
    </row>
    <row r="1991">
      <c r="A1991" s="4" t="str">
        <f>IFERROR(__xludf.DUMMYFUNCTION("""COMPUTED_VALUE"""),"963095NF")</f>
        <v>963095NF</v>
      </c>
      <c r="B1991" s="4" t="str">
        <f>IFERROR(__xludf.DUMMYFUNCTION("""COMPUTED_VALUE"""),"Señal MOPU informativa 30x95 Normal Flechada")</f>
        <v>Señal MOPU informativa 30x95 Normal Flechada</v>
      </c>
      <c r="C1991" s="4">
        <f>IFERROR(__xludf.DUMMYFUNCTION("""COMPUTED_VALUE"""),47.15)</f>
        <v>47.15</v>
      </c>
      <c r="D1991" s="4"/>
      <c r="E1991" s="4" t="str">
        <f>IFERROR(__xludf.DUMMYFUNCTION("""COMPUTED_VALUE"""),"Sin precio neto G.C.")</f>
        <v>Sin precio neto G.C.</v>
      </c>
    </row>
    <row r="1992">
      <c r="A1992" s="4" t="str">
        <f>IFERROR(__xludf.DUMMYFUNCTION("""COMPUTED_VALUE"""),"9640120N")</f>
        <v>9640120N</v>
      </c>
      <c r="B1992" s="4" t="str">
        <f>IFERROR(__xludf.DUMMYFUNCTION("""COMPUTED_VALUE"""),"Señal MOPU informativa 40x120 cm Normal")</f>
        <v>Señal MOPU informativa 40x120 cm Normal</v>
      </c>
      <c r="C1992" s="4">
        <f>IFERROR(__xludf.DUMMYFUNCTION("""COMPUTED_VALUE"""),79.2)</f>
        <v>79.2</v>
      </c>
      <c r="D1992" s="4"/>
      <c r="E1992" s="4" t="str">
        <f>IFERROR(__xludf.DUMMYFUNCTION("""COMPUTED_VALUE"""),"Sin precio neto G.C.")</f>
        <v>Sin precio neto G.C.</v>
      </c>
    </row>
    <row r="1993">
      <c r="A1993" s="4" t="str">
        <f>IFERROR(__xludf.DUMMYFUNCTION("""COMPUTED_VALUE"""),"9640120N1")</f>
        <v>9640120N1</v>
      </c>
      <c r="B1993" s="4" t="str">
        <f>IFERROR(__xludf.DUMMYFUNCTION("""COMPUTED_VALUE"""),"Señal MOPU informativa 40x120 cm Reflex I")</f>
        <v>Señal MOPU informativa 40x120 cm Reflex I</v>
      </c>
      <c r="C1993" s="4">
        <f>IFERROR(__xludf.DUMMYFUNCTION("""COMPUTED_VALUE"""),73.0)</f>
        <v>73</v>
      </c>
      <c r="D1993" s="4"/>
      <c r="E1993" s="4" t="str">
        <f>IFERROR(__xludf.DUMMYFUNCTION("""COMPUTED_VALUE"""),"Sin precio neto G.C.")</f>
        <v>Sin precio neto G.C.</v>
      </c>
    </row>
    <row r="1994">
      <c r="A1994" s="4" t="str">
        <f>IFERROR(__xludf.DUMMYFUNCTION("""COMPUTED_VALUE"""),"9640120N1F")</f>
        <v>9640120N1F</v>
      </c>
      <c r="B1994" s="4" t="str">
        <f>IFERROR(__xludf.DUMMYFUNCTION("""COMPUTED_VALUE"""),"Señal MOPU informativa 40x120 cm Nivel 1 flechada")</f>
        <v>Señal MOPU informativa 40x120 cm Nivel 1 flechada</v>
      </c>
      <c r="C1994" s="4">
        <f>IFERROR(__xludf.DUMMYFUNCTION("""COMPUTED_VALUE"""),78.7)</f>
        <v>78.7</v>
      </c>
      <c r="D1994" s="4"/>
      <c r="E1994" s="4" t="str">
        <f>IFERROR(__xludf.DUMMYFUNCTION("""COMPUTED_VALUE"""),"Sin precio neto G.C.")</f>
        <v>Sin precio neto G.C.</v>
      </c>
    </row>
    <row r="1995">
      <c r="A1995" s="4" t="str">
        <f>IFERROR(__xludf.DUMMYFUNCTION("""COMPUTED_VALUE"""),"9640120N2")</f>
        <v>9640120N2</v>
      </c>
      <c r="B1995" s="4" t="str">
        <f>IFERROR(__xludf.DUMMYFUNCTION("""COMPUTED_VALUE"""),"Señal MOPU informativa 40x120 cm Reflex II")</f>
        <v>Señal MOPU informativa 40x120 cm Reflex II</v>
      </c>
      <c r="C1995" s="4">
        <f>IFERROR(__xludf.DUMMYFUNCTION("""COMPUTED_VALUE"""),87.5)</f>
        <v>87.5</v>
      </c>
      <c r="D1995" s="4"/>
      <c r="E1995" s="4" t="str">
        <f>IFERROR(__xludf.DUMMYFUNCTION("""COMPUTED_VALUE"""),"Sin precio neto G.C.")</f>
        <v>Sin precio neto G.C.</v>
      </c>
    </row>
    <row r="1996">
      <c r="A1996" s="4" t="str">
        <f>IFERROR(__xludf.DUMMYFUNCTION("""COMPUTED_VALUE"""),"9640120N2F")</f>
        <v>9640120N2F</v>
      </c>
      <c r="B1996" s="4" t="str">
        <f>IFERROR(__xludf.DUMMYFUNCTION("""COMPUTED_VALUE"""),"Señal MOPU informativa 40x120 cm Nivel 2 flechada")</f>
        <v>Señal MOPU informativa 40x120 cm Nivel 2 flechada</v>
      </c>
      <c r="C1996" s="4">
        <f>IFERROR(__xludf.DUMMYFUNCTION("""COMPUTED_VALUE"""),91.28)</f>
        <v>91.28</v>
      </c>
      <c r="D1996" s="4"/>
      <c r="E1996" s="4" t="str">
        <f>IFERROR(__xludf.DUMMYFUNCTION("""COMPUTED_VALUE"""),"Sin precio neto G.C.")</f>
        <v>Sin precio neto G.C.</v>
      </c>
    </row>
    <row r="1997">
      <c r="A1997" s="4" t="str">
        <f>IFERROR(__xludf.DUMMYFUNCTION("""COMPUTED_VALUE"""),"9640120N3")</f>
        <v>9640120N3</v>
      </c>
      <c r="B1997" s="4" t="str">
        <f>IFERROR(__xludf.DUMMYFUNCTION("""COMPUTED_VALUE"""),"Señal MOPU inforrmativa 40x120 cm Reflex III")</f>
        <v>Señal MOPU inforrmativa 40x120 cm Reflex III</v>
      </c>
      <c r="C1997" s="4">
        <f>IFERROR(__xludf.DUMMYFUNCTION("""COMPUTED_VALUE"""),121.0)</f>
        <v>121</v>
      </c>
      <c r="D1997" s="4"/>
      <c r="E1997" s="4" t="str">
        <f>IFERROR(__xludf.DUMMYFUNCTION("""COMPUTED_VALUE"""),"Sin precio neto G.C.")</f>
        <v>Sin precio neto G.C.</v>
      </c>
    </row>
    <row r="1998">
      <c r="A1998" s="4" t="str">
        <f>IFERROR(__xludf.DUMMYFUNCTION("""COMPUTED_VALUE"""),"9640120N3F")</f>
        <v>9640120N3F</v>
      </c>
      <c r="B1998" s="4" t="str">
        <f>IFERROR(__xludf.DUMMYFUNCTION("""COMPUTED_VALUE"""),"Señal MOPU informativa 40x120 cm Nivel 3 flechada")</f>
        <v>Señal MOPU informativa 40x120 cm Nivel 3 flechada</v>
      </c>
      <c r="C1998" s="4">
        <f>IFERROR(__xludf.DUMMYFUNCTION("""COMPUTED_VALUE"""),134.3)</f>
        <v>134.3</v>
      </c>
      <c r="D1998" s="4"/>
      <c r="E1998" s="4" t="str">
        <f>IFERROR(__xludf.DUMMYFUNCTION("""COMPUTED_VALUE"""),"Sin precio neto G.C.")</f>
        <v>Sin precio neto G.C.</v>
      </c>
    </row>
    <row r="1999">
      <c r="A1999" s="4" t="str">
        <f>IFERROR(__xludf.DUMMYFUNCTION("""COMPUTED_VALUE"""),"9640120NF")</f>
        <v>9640120NF</v>
      </c>
      <c r="B1999" s="4" t="str">
        <f>IFERROR(__xludf.DUMMYFUNCTION("""COMPUTED_VALUE"""),"Señal MOPU informativa 40x120 cm Normal Flechada")</f>
        <v>Señal MOPU informativa 40x120 cm Normal Flechada</v>
      </c>
      <c r="C1999" s="4">
        <f>IFERROR(__xludf.DUMMYFUNCTION("""COMPUTED_VALUE"""),69.2)</f>
        <v>69.2</v>
      </c>
      <c r="D1999" s="4"/>
      <c r="E1999" s="4" t="str">
        <f>IFERROR(__xludf.DUMMYFUNCTION("""COMPUTED_VALUE"""),"Sin precio neto G.C.")</f>
        <v>Sin precio neto G.C.</v>
      </c>
    </row>
    <row r="2000">
      <c r="A2000" s="4" t="str">
        <f>IFERROR(__xludf.DUMMYFUNCTION("""COMPUTED_VALUE"""),"9640170N1")</f>
        <v>9640170N1</v>
      </c>
      <c r="B2000" s="4" t="str">
        <f>IFERROR(__xludf.DUMMYFUNCTION("""COMPUTED_VALUE"""),"Señal MOPU complementaria 40x170 Nivel 1")</f>
        <v>Señal MOPU complementaria 40x170 Nivel 1</v>
      </c>
      <c r="C2000" s="4">
        <f>IFERROR(__xludf.DUMMYFUNCTION("""COMPUTED_VALUE"""),107.5)</f>
        <v>107.5</v>
      </c>
      <c r="D2000" s="4"/>
      <c r="E2000" s="4" t="str">
        <f>IFERROR(__xludf.DUMMYFUNCTION("""COMPUTED_VALUE"""),"Sin precio neto G.C.")</f>
        <v>Sin precio neto G.C.</v>
      </c>
    </row>
    <row r="2001">
      <c r="A2001" s="4" t="str">
        <f>IFERROR(__xludf.DUMMYFUNCTION("""COMPUTED_VALUE"""),"9640195N")</f>
        <v>9640195N</v>
      </c>
      <c r="B2001" s="4" t="str">
        <f>IFERROR(__xludf.DUMMYFUNCTION("""COMPUTED_VALUE"""),"Señal MOPU informativa 40x195 cm Normal")</f>
        <v>Señal MOPU informativa 40x195 cm Normal</v>
      </c>
      <c r="C2001" s="4">
        <f>IFERROR(__xludf.DUMMYFUNCTION("""COMPUTED_VALUE"""),114.2)</f>
        <v>114.2</v>
      </c>
      <c r="D2001" s="4"/>
      <c r="E2001" s="4" t="str">
        <f>IFERROR(__xludf.DUMMYFUNCTION("""COMPUTED_VALUE"""),"Sin precio neto G.C.")</f>
        <v>Sin precio neto G.C.</v>
      </c>
    </row>
    <row r="2002">
      <c r="A2002" s="4" t="str">
        <f>IFERROR(__xludf.DUMMYFUNCTION("""COMPUTED_VALUE"""),"9640195N1")</f>
        <v>9640195N1</v>
      </c>
      <c r="B2002" s="4" t="str">
        <f>IFERROR(__xludf.DUMMYFUNCTION("""COMPUTED_VALUE"""),"Señal MOPU informativa 40x195 cm Nivel 1")</f>
        <v>Señal MOPU informativa 40x195 cm Nivel 1</v>
      </c>
      <c r="C2002" s="4">
        <f>IFERROR(__xludf.DUMMYFUNCTION("""COMPUTED_VALUE"""),122.9)</f>
        <v>122.9</v>
      </c>
      <c r="D2002" s="4"/>
      <c r="E2002" s="4" t="str">
        <f>IFERROR(__xludf.DUMMYFUNCTION("""COMPUTED_VALUE"""),"Sin precio neto G.C.")</f>
        <v>Sin precio neto G.C.</v>
      </c>
    </row>
    <row r="2003">
      <c r="A2003" s="4" t="str">
        <f>IFERROR(__xludf.DUMMYFUNCTION("""COMPUTED_VALUE"""),"9640195N1F")</f>
        <v>9640195N1F</v>
      </c>
      <c r="B2003" s="4" t="str">
        <f>IFERROR(__xludf.DUMMYFUNCTION("""COMPUTED_VALUE"""),"Señal MOPU informativa 40x195 cm Nivel 1 Flechada")</f>
        <v>Señal MOPU informativa 40x195 cm Nivel 1 Flechada</v>
      </c>
      <c r="C2003" s="4">
        <f>IFERROR(__xludf.DUMMYFUNCTION("""COMPUTED_VALUE"""),122.9)</f>
        <v>122.9</v>
      </c>
      <c r="D2003" s="4"/>
      <c r="E2003" s="4" t="str">
        <f>IFERROR(__xludf.DUMMYFUNCTION("""COMPUTED_VALUE"""),"Sin precio neto G.C.")</f>
        <v>Sin precio neto G.C.</v>
      </c>
    </row>
    <row r="2004">
      <c r="A2004" s="4" t="str">
        <f>IFERROR(__xludf.DUMMYFUNCTION("""COMPUTED_VALUE"""),"9640195N2")</f>
        <v>9640195N2</v>
      </c>
      <c r="B2004" s="4" t="str">
        <f>IFERROR(__xludf.DUMMYFUNCTION("""COMPUTED_VALUE"""),"Señal MOPU informativa 40x195 cm Nivel 2")</f>
        <v>Señal MOPU informativa 40x195 cm Nivel 2</v>
      </c>
      <c r="C2004" s="4">
        <f>IFERROR(__xludf.DUMMYFUNCTION("""COMPUTED_VALUE"""),149.25)</f>
        <v>149.25</v>
      </c>
      <c r="D2004" s="4"/>
      <c r="E2004" s="4" t="str">
        <f>IFERROR(__xludf.DUMMYFUNCTION("""COMPUTED_VALUE"""),"Sin precio neto G.C.")</f>
        <v>Sin precio neto G.C.</v>
      </c>
    </row>
    <row r="2005">
      <c r="A2005" s="4" t="str">
        <f>IFERROR(__xludf.DUMMYFUNCTION("""COMPUTED_VALUE"""),"9640195N2F")</f>
        <v>9640195N2F</v>
      </c>
      <c r="B2005" s="4" t="str">
        <f>IFERROR(__xludf.DUMMYFUNCTION("""COMPUTED_VALUE"""),"Señal MOPU informativa 40x195 cm Nivel 2 flechada")</f>
        <v>Señal MOPU informativa 40x195 cm Nivel 2 flechada</v>
      </c>
      <c r="C2005" s="4">
        <f>IFERROR(__xludf.DUMMYFUNCTION("""COMPUTED_VALUE"""),149.25)</f>
        <v>149.25</v>
      </c>
      <c r="D2005" s="4"/>
      <c r="E2005" s="4" t="str">
        <f>IFERROR(__xludf.DUMMYFUNCTION("""COMPUTED_VALUE"""),"Sin precio neto G.C.")</f>
        <v>Sin precio neto G.C.</v>
      </c>
    </row>
    <row r="2006">
      <c r="A2006" s="4" t="str">
        <f>IFERROR(__xludf.DUMMYFUNCTION("""COMPUTED_VALUE"""),"9640195N3")</f>
        <v>9640195N3</v>
      </c>
      <c r="B2006" s="4" t="str">
        <f>IFERROR(__xludf.DUMMYFUNCTION("""COMPUTED_VALUE"""),"Señal MOPU informativa 40x195 cm Nivel 3")</f>
        <v>Señal MOPU informativa 40x195 cm Nivel 3</v>
      </c>
      <c r="C2006" s="4">
        <f>IFERROR(__xludf.DUMMYFUNCTION("""COMPUTED_VALUE"""),157.25)</f>
        <v>157.25</v>
      </c>
      <c r="D2006" s="4"/>
      <c r="E2006" s="4" t="str">
        <f>IFERROR(__xludf.DUMMYFUNCTION("""COMPUTED_VALUE"""),"Sin precio neto G.C.")</f>
        <v>Sin precio neto G.C.</v>
      </c>
    </row>
    <row r="2007">
      <c r="A2007" s="4" t="str">
        <f>IFERROR(__xludf.DUMMYFUNCTION("""COMPUTED_VALUE"""),"9640195N3F")</f>
        <v>9640195N3F</v>
      </c>
      <c r="B2007" s="4" t="str">
        <f>IFERROR(__xludf.DUMMYFUNCTION("""COMPUTED_VALUE"""),"Señal MOPU informativa 40x195 cm Nivel 3 Flechada")</f>
        <v>Señal MOPU informativa 40x195 cm Nivel 3 Flechada</v>
      </c>
      <c r="C2007" s="4">
        <f>IFERROR(__xludf.DUMMYFUNCTION("""COMPUTED_VALUE"""),157.25)</f>
        <v>157.25</v>
      </c>
      <c r="D2007" s="4"/>
      <c r="E2007" s="4" t="str">
        <f>IFERROR(__xludf.DUMMYFUNCTION("""COMPUTED_VALUE"""),"Sin precio neto G.C.")</f>
        <v>Sin precio neto G.C.</v>
      </c>
    </row>
    <row r="2008">
      <c r="A2008" s="4" t="str">
        <f>IFERROR(__xludf.DUMMYFUNCTION("""COMPUTED_VALUE"""),"9640195NF")</f>
        <v>9640195NF</v>
      </c>
      <c r="B2008" s="4" t="str">
        <f>IFERROR(__xludf.DUMMYFUNCTION("""COMPUTED_VALUE"""),"Señal MOPU informativa 40x195 cm Normal Flechada")</f>
        <v>Señal MOPU informativa 40x195 cm Normal Flechada</v>
      </c>
      <c r="C2008" s="4">
        <f>IFERROR(__xludf.DUMMYFUNCTION("""COMPUTED_VALUE"""),114.2)</f>
        <v>114.2</v>
      </c>
      <c r="D2008" s="4"/>
      <c r="E2008" s="4" t="str">
        <f>IFERROR(__xludf.DUMMYFUNCTION("""COMPUTED_VALUE"""),"Sin precio neto G.C.")</f>
        <v>Sin precio neto G.C.</v>
      </c>
    </row>
    <row r="2009">
      <c r="A2009" s="4" t="str">
        <f>IFERROR(__xludf.DUMMYFUNCTION("""COMPUTED_VALUE"""),"964595N")</f>
        <v>964595N</v>
      </c>
      <c r="B2009" s="4" t="str">
        <f>IFERROR(__xludf.DUMMYFUNCTION("""COMPUTED_VALUE"""),"Señal MOPU informativa 45x95 cm Normal")</f>
        <v>Señal MOPU informativa 45x95 cm Normal</v>
      </c>
      <c r="C2009" s="4">
        <f>IFERROR(__xludf.DUMMYFUNCTION("""COMPUTED_VALUE"""),65.225)</f>
        <v>65.225</v>
      </c>
      <c r="D2009" s="4"/>
      <c r="E2009" s="4" t="str">
        <f>IFERROR(__xludf.DUMMYFUNCTION("""COMPUTED_VALUE"""),"Sin precio neto G.C.")</f>
        <v>Sin precio neto G.C.</v>
      </c>
    </row>
    <row r="2010">
      <c r="A2010" s="4" t="str">
        <f>IFERROR(__xludf.DUMMYFUNCTION("""COMPUTED_VALUE"""),"964595N1")</f>
        <v>964595N1</v>
      </c>
      <c r="B2010" s="4" t="str">
        <f>IFERROR(__xludf.DUMMYFUNCTION("""COMPUTED_VALUE"""),"Señal MOPU informativa 45x95 cm Nivel 1")</f>
        <v>Señal MOPU informativa 45x95 cm Nivel 1</v>
      </c>
      <c r="C2010" s="4">
        <f>IFERROR(__xludf.DUMMYFUNCTION("""COMPUTED_VALUE"""),74.25)</f>
        <v>74.25</v>
      </c>
      <c r="D2010" s="4"/>
      <c r="E2010" s="4" t="str">
        <f>IFERROR(__xludf.DUMMYFUNCTION("""COMPUTED_VALUE"""),"Sin precio neto G.C.")</f>
        <v>Sin precio neto G.C.</v>
      </c>
    </row>
    <row r="2011">
      <c r="A2011" s="4" t="str">
        <f>IFERROR(__xludf.DUMMYFUNCTION("""COMPUTED_VALUE"""),"964595N1F")</f>
        <v>964595N1F</v>
      </c>
      <c r="B2011" s="4" t="str">
        <f>IFERROR(__xludf.DUMMYFUNCTION("""COMPUTED_VALUE"""),"Señal MOPU informativa 45x95 cm Nivel 1 Flechada")</f>
        <v>Señal MOPU informativa 45x95 cm Nivel 1 Flechada</v>
      </c>
      <c r="C2011" s="4">
        <f>IFERROR(__xludf.DUMMYFUNCTION("""COMPUTED_VALUE"""),74.25)</f>
        <v>74.25</v>
      </c>
      <c r="D2011" s="4"/>
      <c r="E2011" s="4" t="str">
        <f>IFERROR(__xludf.DUMMYFUNCTION("""COMPUTED_VALUE"""),"Sin precio neto G.C.")</f>
        <v>Sin precio neto G.C.</v>
      </c>
    </row>
    <row r="2012">
      <c r="A2012" s="4" t="str">
        <f>IFERROR(__xludf.DUMMYFUNCTION("""COMPUTED_VALUE"""),"964595N2")</f>
        <v>964595N2</v>
      </c>
      <c r="B2012" s="4" t="str">
        <f>IFERROR(__xludf.DUMMYFUNCTION("""COMPUTED_VALUE"""),"Señal MOPU informativa 45x95 cm Nivel 2")</f>
        <v>Señal MOPU informativa 45x95 cm Nivel 2</v>
      </c>
      <c r="C2012" s="4">
        <f>IFERROR(__xludf.DUMMYFUNCTION("""COMPUTED_VALUE"""),84.25)</f>
        <v>84.25</v>
      </c>
      <c r="D2012" s="4"/>
      <c r="E2012" s="4" t="str">
        <f>IFERROR(__xludf.DUMMYFUNCTION("""COMPUTED_VALUE"""),"Sin precio neto G.C.")</f>
        <v>Sin precio neto G.C.</v>
      </c>
    </row>
    <row r="2013">
      <c r="A2013" s="4" t="str">
        <f>IFERROR(__xludf.DUMMYFUNCTION("""COMPUTED_VALUE"""),"964595N2F")</f>
        <v>964595N2F</v>
      </c>
      <c r="B2013" s="4" t="str">
        <f>IFERROR(__xludf.DUMMYFUNCTION("""COMPUTED_VALUE"""),"Señal MOPU informativa 45x95 cm Nivel 2 Flechada")</f>
        <v>Señal MOPU informativa 45x95 cm Nivel 2 Flechada</v>
      </c>
      <c r="C2013" s="4">
        <f>IFERROR(__xludf.DUMMYFUNCTION("""COMPUTED_VALUE"""),84.25)</f>
        <v>84.25</v>
      </c>
      <c r="D2013" s="4"/>
      <c r="E2013" s="4" t="str">
        <f>IFERROR(__xludf.DUMMYFUNCTION("""COMPUTED_VALUE"""),"Sin precio neto G.C.")</f>
        <v>Sin precio neto G.C.</v>
      </c>
    </row>
    <row r="2014">
      <c r="A2014" s="4" t="str">
        <f>IFERROR(__xludf.DUMMYFUNCTION("""COMPUTED_VALUE"""),"964595N3")</f>
        <v>964595N3</v>
      </c>
      <c r="B2014" s="4" t="str">
        <f>IFERROR(__xludf.DUMMYFUNCTION("""COMPUTED_VALUE"""),"Señal MOPU informativa 45x95 cm Nivel 3")</f>
        <v>Señal MOPU informativa 45x95 cm Nivel 3</v>
      </c>
      <c r="C2014" s="4">
        <f>IFERROR(__xludf.DUMMYFUNCTION("""COMPUTED_VALUE"""),99.25)</f>
        <v>99.25</v>
      </c>
      <c r="D2014" s="4"/>
      <c r="E2014" s="4" t="str">
        <f>IFERROR(__xludf.DUMMYFUNCTION("""COMPUTED_VALUE"""),"Sin precio neto G.C.")</f>
        <v>Sin precio neto G.C.</v>
      </c>
    </row>
    <row r="2015">
      <c r="A2015" s="4" t="str">
        <f>IFERROR(__xludf.DUMMYFUNCTION("""COMPUTED_VALUE"""),"964595N3F")</f>
        <v>964595N3F</v>
      </c>
      <c r="B2015" s="4" t="str">
        <f>IFERROR(__xludf.DUMMYFUNCTION("""COMPUTED_VALUE"""),"Señal MOPU informativa 45x95 cm Nivel 2 Flechada")</f>
        <v>Señal MOPU informativa 45x95 cm Nivel 2 Flechada</v>
      </c>
      <c r="C2015" s="4">
        <f>IFERROR(__xludf.DUMMYFUNCTION("""COMPUTED_VALUE"""),99.25)</f>
        <v>99.25</v>
      </c>
      <c r="D2015" s="4"/>
      <c r="E2015" s="4" t="str">
        <f>IFERROR(__xludf.DUMMYFUNCTION("""COMPUTED_VALUE"""),"Sin precio neto G.C.")</f>
        <v>Sin precio neto G.C.</v>
      </c>
    </row>
    <row r="2016">
      <c r="A2016" s="4" t="str">
        <f>IFERROR(__xludf.DUMMYFUNCTION("""COMPUTED_VALUE"""),"964595NF")</f>
        <v>964595NF</v>
      </c>
      <c r="B2016" s="4" t="str">
        <f>IFERROR(__xludf.DUMMYFUNCTION("""COMPUTED_VALUE"""),"Señal MOPU informativa 45x95 cm Normal Flechada")</f>
        <v>Señal MOPU informativa 45x95 cm Normal Flechada</v>
      </c>
      <c r="C2016" s="4">
        <f>IFERROR(__xludf.DUMMYFUNCTION("""COMPUTED_VALUE"""),65.225)</f>
        <v>65.225</v>
      </c>
      <c r="D2016" s="4"/>
      <c r="E2016" s="4" t="str">
        <f>IFERROR(__xludf.DUMMYFUNCTION("""COMPUTED_VALUE"""),"Sin precio neto G.C.")</f>
        <v>Sin precio neto G.C.</v>
      </c>
    </row>
    <row r="2017">
      <c r="A2017" s="4" t="str">
        <f>IFERROR(__xludf.DUMMYFUNCTION("""COMPUTED_VALUE"""),"9655120N")</f>
        <v>9655120N</v>
      </c>
      <c r="B2017" s="4" t="str">
        <f>IFERROR(__xludf.DUMMYFUNCTION("""COMPUTED_VALUE"""),"Señal MOPU informativa 55x120 cm Normal")</f>
        <v>Señal MOPU informativa 55x120 cm Normal</v>
      </c>
      <c r="C2017" s="4">
        <f>IFERROR(__xludf.DUMMYFUNCTION("""COMPUTED_VALUE"""),71.0)</f>
        <v>71</v>
      </c>
      <c r="D2017" s="4"/>
      <c r="E2017" s="4" t="str">
        <f>IFERROR(__xludf.DUMMYFUNCTION("""COMPUTED_VALUE"""),"Sin precio neto G.C.")</f>
        <v>Sin precio neto G.C.</v>
      </c>
    </row>
    <row r="2018">
      <c r="A2018" s="4" t="str">
        <f>IFERROR(__xludf.DUMMYFUNCTION("""COMPUTED_VALUE"""),"9655120N1")</f>
        <v>9655120N1</v>
      </c>
      <c r="B2018" s="4" t="str">
        <f>IFERROR(__xludf.DUMMYFUNCTION("""COMPUTED_VALUE"""),"Señal MOPU informativa 55x120 cm Reflex I")</f>
        <v>Señal MOPU informativa 55x120 cm Reflex I</v>
      </c>
      <c r="C2018" s="4">
        <f>IFERROR(__xludf.DUMMYFUNCTION("""COMPUTED_VALUE"""),84.0)</f>
        <v>84</v>
      </c>
      <c r="D2018" s="4"/>
      <c r="E2018" s="4" t="str">
        <f>IFERROR(__xludf.DUMMYFUNCTION("""COMPUTED_VALUE"""),"Sin precio neto G.C.")</f>
        <v>Sin precio neto G.C.</v>
      </c>
    </row>
    <row r="2019">
      <c r="A2019" s="4" t="str">
        <f>IFERROR(__xludf.DUMMYFUNCTION("""COMPUTED_VALUE"""),"9655120N1F")</f>
        <v>9655120N1F</v>
      </c>
      <c r="B2019" s="4" t="str">
        <f>IFERROR(__xludf.DUMMYFUNCTION("""COMPUTED_VALUE"""),"Señal MOPU informativa 55x120 cm Nivel 1 Flechada")</f>
        <v>Señal MOPU informativa 55x120 cm Nivel 1 Flechada</v>
      </c>
      <c r="C2019" s="4">
        <f>IFERROR(__xludf.DUMMYFUNCTION("""COMPUTED_VALUE"""),91.875)</f>
        <v>91.875</v>
      </c>
      <c r="D2019" s="4"/>
      <c r="E2019" s="4" t="str">
        <f>IFERROR(__xludf.DUMMYFUNCTION("""COMPUTED_VALUE"""),"Sin precio neto G.C.")</f>
        <v>Sin precio neto G.C.</v>
      </c>
    </row>
    <row r="2020">
      <c r="A2020" s="4" t="str">
        <f>IFERROR(__xludf.DUMMYFUNCTION("""COMPUTED_VALUE"""),"9655120N2")</f>
        <v>9655120N2</v>
      </c>
      <c r="B2020" s="4" t="str">
        <f>IFERROR(__xludf.DUMMYFUNCTION("""COMPUTED_VALUE"""),"Señal MOPU informativa 55x120 cm Reflex II")</f>
        <v>Señal MOPU informativa 55x120 cm Reflex II</v>
      </c>
      <c r="C2020" s="4">
        <f>IFERROR(__xludf.DUMMYFUNCTION("""COMPUTED_VALUE"""),112.0)</f>
        <v>112</v>
      </c>
      <c r="D2020" s="4"/>
      <c r="E2020" s="4" t="str">
        <f>IFERROR(__xludf.DUMMYFUNCTION("""COMPUTED_VALUE"""),"Sin precio neto G.C.")</f>
        <v>Sin precio neto G.C.</v>
      </c>
    </row>
    <row r="2021">
      <c r="A2021" s="4" t="str">
        <f>IFERROR(__xludf.DUMMYFUNCTION("""COMPUTED_VALUE"""),"9655120N2F")</f>
        <v>9655120N2F</v>
      </c>
      <c r="B2021" s="4" t="str">
        <f>IFERROR(__xludf.DUMMYFUNCTION("""COMPUTED_VALUE"""),"Señal MOPU informativa 55x120 cm Nivel 2 Flechada")</f>
        <v>Señal MOPU informativa 55x120 cm Nivel 2 Flechada</v>
      </c>
      <c r="C2021" s="4">
        <f>IFERROR(__xludf.DUMMYFUNCTION("""COMPUTED_VALUE"""),122.85)</f>
        <v>122.85</v>
      </c>
      <c r="D2021" s="4"/>
      <c r="E2021" s="4" t="str">
        <f>IFERROR(__xludf.DUMMYFUNCTION("""COMPUTED_VALUE"""),"Sin precio neto G.C.")</f>
        <v>Sin precio neto G.C.</v>
      </c>
    </row>
    <row r="2022">
      <c r="A2022" s="4" t="str">
        <f>IFERROR(__xludf.DUMMYFUNCTION("""COMPUTED_VALUE"""),"9655120N3")</f>
        <v>9655120N3</v>
      </c>
      <c r="B2022" s="4" t="str">
        <f>IFERROR(__xludf.DUMMYFUNCTION("""COMPUTED_VALUE"""),"Señal MOPU informativa 55x120 cm Reflex NIII")</f>
        <v>Señal MOPU informativa 55x120 cm Reflex NIII</v>
      </c>
      <c r="C2022" s="4">
        <f>IFERROR(__xludf.DUMMYFUNCTION("""COMPUTED_VALUE"""),159.5)</f>
        <v>159.5</v>
      </c>
      <c r="D2022" s="4"/>
      <c r="E2022" s="4" t="str">
        <f>IFERROR(__xludf.DUMMYFUNCTION("""COMPUTED_VALUE"""),"Sin precio neto G.C.")</f>
        <v>Sin precio neto G.C.</v>
      </c>
    </row>
    <row r="2023">
      <c r="A2023" s="4" t="str">
        <f>IFERROR(__xludf.DUMMYFUNCTION("""COMPUTED_VALUE"""),"9655120N3F")</f>
        <v>9655120N3F</v>
      </c>
      <c r="B2023" s="4" t="str">
        <f>IFERROR(__xludf.DUMMYFUNCTION("""COMPUTED_VALUE"""),"Señal MOPU informativa 55x120 cm Nivel 3 flechada")</f>
        <v>Señal MOPU informativa 55x120 cm Nivel 3 flechada</v>
      </c>
      <c r="C2023" s="4">
        <f>IFERROR(__xludf.DUMMYFUNCTION("""COMPUTED_VALUE"""),176.4)</f>
        <v>176.4</v>
      </c>
      <c r="D2023" s="4"/>
      <c r="E2023" s="4" t="str">
        <f>IFERROR(__xludf.DUMMYFUNCTION("""COMPUTED_VALUE"""),"Sin precio neto G.C.")</f>
        <v>Sin precio neto G.C.</v>
      </c>
    </row>
    <row r="2024">
      <c r="A2024" s="4" t="str">
        <f>IFERROR(__xludf.DUMMYFUNCTION("""COMPUTED_VALUE"""),"9655120NF")</f>
        <v>9655120NF</v>
      </c>
      <c r="B2024" s="4" t="str">
        <f>IFERROR(__xludf.DUMMYFUNCTION("""COMPUTED_VALUE"""),"Señal MOPU informativa 55x120 cm Normal Flechada")</f>
        <v>Señal MOPU informativa 55x120 cm Normal Flechada</v>
      </c>
      <c r="C2024" s="4">
        <f>IFERROR(__xludf.DUMMYFUNCTION("""COMPUTED_VALUE"""),98.7)</f>
        <v>98.7</v>
      </c>
      <c r="D2024" s="4"/>
      <c r="E2024" s="4" t="str">
        <f>IFERROR(__xludf.DUMMYFUNCTION("""COMPUTED_VALUE"""),"Sin precio neto G.C.")</f>
        <v>Sin precio neto G.C.</v>
      </c>
    </row>
    <row r="2025">
      <c r="A2025" s="4" t="str">
        <f>IFERROR(__xludf.DUMMYFUNCTION("""COMPUTED_VALUE"""),"9655170N2")</f>
        <v>9655170N2</v>
      </c>
      <c r="B2025" s="4" t="str">
        <f>IFERROR(__xludf.DUMMYFUNCTION("""COMPUTED_VALUE"""),"Señal MOPU informativa 55x170 cm Reflex II")</f>
        <v>Señal MOPU informativa 55x170 cm Reflex II</v>
      </c>
      <c r="C2025" s="4">
        <f>IFERROR(__xludf.DUMMYFUNCTION("""COMPUTED_VALUE"""),307.125)</f>
        <v>307.125</v>
      </c>
      <c r="D2025" s="4"/>
      <c r="E2025" s="4" t="str">
        <f>IFERROR(__xludf.DUMMYFUNCTION("""COMPUTED_VALUE"""),"Sin precio neto G.C.")</f>
        <v>Sin precio neto G.C.</v>
      </c>
    </row>
    <row r="2026">
      <c r="A2026" s="4" t="str">
        <f>IFERROR(__xludf.DUMMYFUNCTION("""COMPUTED_VALUE"""),"965595N")</f>
        <v>965595N</v>
      </c>
      <c r="B2026" s="4" t="str">
        <f>IFERROR(__xludf.DUMMYFUNCTION("""COMPUTED_VALUE"""),"Señal MOPU informativa 55x95 cm Normal")</f>
        <v>Señal MOPU informativa 55x95 cm Normal</v>
      </c>
      <c r="C2026" s="4">
        <f>IFERROR(__xludf.DUMMYFUNCTION("""COMPUTED_VALUE"""),65.25)</f>
        <v>65.25</v>
      </c>
      <c r="D2026" s="4"/>
      <c r="E2026" s="4" t="str">
        <f>IFERROR(__xludf.DUMMYFUNCTION("""COMPUTED_VALUE"""),"Sin precio neto G.C.")</f>
        <v>Sin precio neto G.C.</v>
      </c>
    </row>
    <row r="2027">
      <c r="A2027" s="4" t="str">
        <f>IFERROR(__xludf.DUMMYFUNCTION("""COMPUTED_VALUE"""),"965595N1")</f>
        <v>965595N1</v>
      </c>
      <c r="B2027" s="4" t="str">
        <f>IFERROR(__xludf.DUMMYFUNCTION("""COMPUTED_VALUE"""),"Señal MOPU informativa 55x95 cm Reflex I")</f>
        <v>Señal MOPU informativa 55x95 cm Reflex I</v>
      </c>
      <c r="C2027" s="4">
        <f>IFERROR(__xludf.DUMMYFUNCTION("""COMPUTED_VALUE"""),60.0)</f>
        <v>60</v>
      </c>
      <c r="D2027" s="4"/>
      <c r="E2027" s="4" t="str">
        <f>IFERROR(__xludf.DUMMYFUNCTION("""COMPUTED_VALUE"""),"Sin precio neto G.C.")</f>
        <v>Sin precio neto G.C.</v>
      </c>
    </row>
    <row r="2028">
      <c r="A2028" s="4" t="str">
        <f>IFERROR(__xludf.DUMMYFUNCTION("""COMPUTED_VALUE"""),"965595N1F")</f>
        <v>965595N1F</v>
      </c>
      <c r="B2028" s="4" t="str">
        <f>IFERROR(__xludf.DUMMYFUNCTION("""COMPUTED_VALUE"""),"Señal MOPU informativa 55x95 cm Nivel 1 Flechada")</f>
        <v>Señal MOPU informativa 55x95 cm Nivel 1 Flechada</v>
      </c>
      <c r="C2028" s="4">
        <f>IFERROR(__xludf.DUMMYFUNCTION("""COMPUTED_VALUE"""),66.675)</f>
        <v>66.675</v>
      </c>
      <c r="D2028" s="4"/>
      <c r="E2028" s="4" t="str">
        <f>IFERROR(__xludf.DUMMYFUNCTION("""COMPUTED_VALUE"""),"Sin precio neto G.C.")</f>
        <v>Sin precio neto G.C.</v>
      </c>
    </row>
    <row r="2029">
      <c r="A2029" s="4" t="str">
        <f>IFERROR(__xludf.DUMMYFUNCTION("""COMPUTED_VALUE"""),"965595N2")</f>
        <v>965595N2</v>
      </c>
      <c r="B2029" s="4" t="str">
        <f>IFERROR(__xludf.DUMMYFUNCTION("""COMPUTED_VALUE"""),"Señal MOPU informativa 55X95 cm Reflex II")</f>
        <v>Señal MOPU informativa 55X95 cm Reflex II</v>
      </c>
      <c r="C2029" s="4">
        <f>IFERROR(__xludf.DUMMYFUNCTION("""COMPUTED_VALUE"""),77.0)</f>
        <v>77</v>
      </c>
      <c r="D2029" s="4"/>
      <c r="E2029" s="4" t="str">
        <f>IFERROR(__xludf.DUMMYFUNCTION("""COMPUTED_VALUE"""),"Sin precio neto G.C.")</f>
        <v>Sin precio neto G.C.</v>
      </c>
    </row>
    <row r="2030">
      <c r="A2030" s="4" t="str">
        <f>IFERROR(__xludf.DUMMYFUNCTION("""COMPUTED_VALUE"""),"965595N2F")</f>
        <v>965595N2F</v>
      </c>
      <c r="B2030" s="4" t="str">
        <f>IFERROR(__xludf.DUMMYFUNCTION("""COMPUTED_VALUE"""),"Señal MOPU informativa 55x95 cm Nivel 2 Flechada")</f>
        <v>Señal MOPU informativa 55x95 cm Nivel 2 Flechada</v>
      </c>
      <c r="C2030" s="4">
        <f>IFERROR(__xludf.DUMMYFUNCTION("""COMPUTED_VALUE"""),84.0)</f>
        <v>84</v>
      </c>
      <c r="D2030" s="4"/>
      <c r="E2030" s="4" t="str">
        <f>IFERROR(__xludf.DUMMYFUNCTION("""COMPUTED_VALUE"""),"Sin precio neto G.C.")</f>
        <v>Sin precio neto G.C.</v>
      </c>
    </row>
    <row r="2031">
      <c r="A2031" s="4" t="str">
        <f>IFERROR(__xludf.DUMMYFUNCTION("""COMPUTED_VALUE"""),"965595N3")</f>
        <v>965595N3</v>
      </c>
      <c r="B2031" s="4" t="str">
        <f>IFERROR(__xludf.DUMMYFUNCTION("""COMPUTED_VALUE"""),"Señal MOPU informativa 55x95 cm Reflex III")</f>
        <v>Señal MOPU informativa 55x95 cm Reflex III</v>
      </c>
      <c r="C2031" s="4">
        <f>IFERROR(__xludf.DUMMYFUNCTION("""COMPUTED_VALUE"""),144.5)</f>
        <v>144.5</v>
      </c>
      <c r="D2031" s="4"/>
      <c r="E2031" s="4" t="str">
        <f>IFERROR(__xludf.DUMMYFUNCTION("""COMPUTED_VALUE"""),"Sin precio neto G.C.")</f>
        <v>Sin precio neto G.C.</v>
      </c>
    </row>
    <row r="2032">
      <c r="A2032" s="4" t="str">
        <f>IFERROR(__xludf.DUMMYFUNCTION("""COMPUTED_VALUE"""),"965595N3F")</f>
        <v>965595N3F</v>
      </c>
      <c r="B2032" s="4" t="str">
        <f>IFERROR(__xludf.DUMMYFUNCTION("""COMPUTED_VALUE"""),"Señal MOPU informativa 55x95 cm Nivel 3 Flechada")</f>
        <v>Señal MOPU informativa 55x95 cm Nivel 3 Flechada</v>
      </c>
      <c r="C2032" s="4">
        <f>IFERROR(__xludf.DUMMYFUNCTION("""COMPUTED_VALUE"""),160.65)</f>
        <v>160.65</v>
      </c>
      <c r="D2032" s="4"/>
      <c r="E2032" s="4" t="str">
        <f>IFERROR(__xludf.DUMMYFUNCTION("""COMPUTED_VALUE"""),"Sin precio neto G.C.")</f>
        <v>Sin precio neto G.C.</v>
      </c>
    </row>
    <row r="2033">
      <c r="A2033" s="4" t="str">
        <f>IFERROR(__xludf.DUMMYFUNCTION("""COMPUTED_VALUE"""),"965595NF")</f>
        <v>965595NF</v>
      </c>
      <c r="B2033" s="4" t="str">
        <f>IFERROR(__xludf.DUMMYFUNCTION("""COMPUTED_VALUE"""),"Señal MOPU informativa 55x95 cm Normal Flechada")</f>
        <v>Señal MOPU informativa 55x95 cm Normal Flechada</v>
      </c>
      <c r="C2033" s="4">
        <f>IFERROR(__xludf.DUMMYFUNCTION("""COMPUTED_VALUE"""),60.375)</f>
        <v>60.375</v>
      </c>
      <c r="D2033" s="4"/>
      <c r="E2033" s="4" t="str">
        <f>IFERROR(__xludf.DUMMYFUNCTION("""COMPUTED_VALUE"""),"Sin precio neto G.C.")</f>
        <v>Sin precio neto G.C.</v>
      </c>
    </row>
    <row r="2034">
      <c r="A2034" s="4" t="str">
        <f>IFERROR(__xludf.DUMMYFUNCTION("""COMPUTED_VALUE"""),"9695145N")</f>
        <v>9695145N</v>
      </c>
      <c r="B2034" s="4" t="str">
        <f>IFERROR(__xludf.DUMMYFUNCTION("""COMPUTED_VALUE"""),"Señal MOPU informativa 95x145 cm Normal")</f>
        <v>Señal MOPU informativa 95x145 cm Normal</v>
      </c>
      <c r="C2034" s="4">
        <f>IFERROR(__xludf.DUMMYFUNCTION("""COMPUTED_VALUE"""),147.5)</f>
        <v>147.5</v>
      </c>
      <c r="D2034" s="4"/>
      <c r="E2034" s="4" t="str">
        <f>IFERROR(__xludf.DUMMYFUNCTION("""COMPUTED_VALUE"""),"Sin precio neto G.C.")</f>
        <v>Sin precio neto G.C.</v>
      </c>
    </row>
    <row r="2035">
      <c r="A2035" s="4" t="str">
        <f>IFERROR(__xludf.DUMMYFUNCTION("""COMPUTED_VALUE"""),"9700N")</f>
        <v>9700N</v>
      </c>
      <c r="B2035" s="4" t="str">
        <f>IFERROR(__xludf.DUMMYFUNCTION("""COMPUTED_VALUE"""),"Señal Aluminio Cuadrada 60 cm Normal")</f>
        <v>Señal Aluminio Cuadrada 60 cm Normal</v>
      </c>
      <c r="C2035" s="4">
        <f>IFERROR(__xludf.DUMMYFUNCTION("""COMPUTED_VALUE"""),31.0)</f>
        <v>31</v>
      </c>
      <c r="D2035" s="4"/>
      <c r="E2035" s="4" t="str">
        <f>IFERROR(__xludf.DUMMYFUNCTION("""COMPUTED_VALUE"""),"Sin precio neto G.C.")</f>
        <v>Sin precio neto G.C.</v>
      </c>
    </row>
    <row r="2036">
      <c r="A2036" s="4" t="str">
        <f>IFERROR(__xludf.DUMMYFUNCTION("""COMPUTED_VALUE"""),"9700N1")</f>
        <v>9700N1</v>
      </c>
      <c r="B2036" s="4" t="str">
        <f>IFERROR(__xludf.DUMMYFUNCTION("""COMPUTED_VALUE"""),"Señal Aluminio Cuadrada 60 cm Nivel 1")</f>
        <v>Señal Aluminio Cuadrada 60 cm Nivel 1</v>
      </c>
      <c r="C2036" s="4">
        <f>IFERROR(__xludf.DUMMYFUNCTION("""COMPUTED_VALUE"""),34.0)</f>
        <v>34</v>
      </c>
      <c r="D2036" s="4"/>
      <c r="E2036" s="4" t="str">
        <f>IFERROR(__xludf.DUMMYFUNCTION("""COMPUTED_VALUE"""),"Sin precio neto G.C.")</f>
        <v>Sin precio neto G.C.</v>
      </c>
    </row>
    <row r="2037">
      <c r="A2037" s="4" t="str">
        <f>IFERROR(__xludf.DUMMYFUNCTION("""COMPUTED_VALUE"""),"9716545N")</f>
        <v>9716545N</v>
      </c>
      <c r="B2037" s="4" t="str">
        <f>IFERROR(__xludf.DUMMYFUNCTION("""COMPUTED_VALUE"""),"Panel direccional A/B 165x45 cm Normal")</f>
        <v>Panel direccional A/B 165x45 cm Normal</v>
      </c>
      <c r="C2037" s="4">
        <f>IFERROR(__xludf.DUMMYFUNCTION("""COMPUTED_VALUE"""),74.0)</f>
        <v>74</v>
      </c>
      <c r="D2037" s="4"/>
      <c r="E2037" s="4" t="str">
        <f>IFERROR(__xludf.DUMMYFUNCTION("""COMPUTED_VALUE"""),"Sin precio neto G.C.")</f>
        <v>Sin precio neto G.C.</v>
      </c>
    </row>
    <row r="2038">
      <c r="A2038" s="4" t="str">
        <f>IFERROR(__xludf.DUMMYFUNCTION("""COMPUTED_VALUE"""),"9716545N1")</f>
        <v>9716545N1</v>
      </c>
      <c r="B2038" s="4" t="str">
        <f>IFERROR(__xludf.DUMMYFUNCTION("""COMPUTED_VALUE"""),"Panel direccional A/B 165x45 cm Reflex I")</f>
        <v>Panel direccional A/B 165x45 cm Reflex I</v>
      </c>
      <c r="C2038" s="4">
        <f>IFERROR(__xludf.DUMMYFUNCTION("""COMPUTED_VALUE"""),72.0)</f>
        <v>72</v>
      </c>
      <c r="D2038" s="4"/>
      <c r="E2038" s="4" t="str">
        <f>IFERROR(__xludf.DUMMYFUNCTION("""COMPUTED_VALUE"""),"Sin precio neto G.C.")</f>
        <v>Sin precio neto G.C.</v>
      </c>
    </row>
    <row r="2039">
      <c r="A2039" s="4" t="str">
        <f>IFERROR(__xludf.DUMMYFUNCTION("""COMPUTED_VALUE"""),"9716545N2")</f>
        <v>9716545N2</v>
      </c>
      <c r="B2039" s="4" t="str">
        <f>IFERROR(__xludf.DUMMYFUNCTION("""COMPUTED_VALUE"""),"Panel direccional A/B 165x45 cm Reflex II")</f>
        <v>Panel direccional A/B 165x45 cm Reflex II</v>
      </c>
      <c r="C2039" s="4">
        <f>IFERROR(__xludf.DUMMYFUNCTION("""COMPUTED_VALUE"""),106.0)</f>
        <v>106</v>
      </c>
      <c r="D2039" s="4"/>
      <c r="E2039" s="4" t="str">
        <f>IFERROR(__xludf.DUMMYFUNCTION("""COMPUTED_VALUE"""),"Sin precio neto G.C.")</f>
        <v>Sin precio neto G.C.</v>
      </c>
    </row>
    <row r="2040">
      <c r="A2040" s="4" t="str">
        <f>IFERROR(__xludf.DUMMYFUNCTION("""COMPUTED_VALUE"""),"9716545N3")</f>
        <v>9716545N3</v>
      </c>
      <c r="B2040" s="4" t="str">
        <f>IFERROR(__xludf.DUMMYFUNCTION("""COMPUTED_VALUE"""),"Panel direccional A/B 165x45 cm Reflex III")</f>
        <v>Panel direccional A/B 165x45 cm Reflex III</v>
      </c>
      <c r="C2040" s="4">
        <f>IFERROR(__xludf.DUMMYFUNCTION("""COMPUTED_VALUE"""),109.0)</f>
        <v>109</v>
      </c>
      <c r="D2040" s="4"/>
      <c r="E2040" s="4" t="str">
        <f>IFERROR(__xludf.DUMMYFUNCTION("""COMPUTED_VALUE"""),"Sin precio neto G.C.")</f>
        <v>Sin precio neto G.C.</v>
      </c>
    </row>
    <row r="2041">
      <c r="A2041" s="4" t="str">
        <f>IFERROR(__xludf.DUMMYFUNCTION("""COMPUTED_VALUE"""),"978040N")</f>
        <v>978040N</v>
      </c>
      <c r="B2041" s="4" t="str">
        <f>IFERROR(__xludf.DUMMYFUNCTION("""COMPUTED_VALUE"""),"Panel direccional A/B 80x40 cm Normal")</f>
        <v>Panel direccional A/B 80x40 cm Normal</v>
      </c>
      <c r="C2041" s="4">
        <f>IFERROR(__xludf.DUMMYFUNCTION("""COMPUTED_VALUE"""),31.0)</f>
        <v>31</v>
      </c>
      <c r="D2041" s="4"/>
      <c r="E2041" s="4" t="str">
        <f>IFERROR(__xludf.DUMMYFUNCTION("""COMPUTED_VALUE"""),"Sin precio neto G.C.")</f>
        <v>Sin precio neto G.C.</v>
      </c>
    </row>
    <row r="2042">
      <c r="A2042" s="4" t="str">
        <f>IFERROR(__xludf.DUMMYFUNCTION("""COMPUTED_VALUE"""),"978040N1")</f>
        <v>978040N1</v>
      </c>
      <c r="B2042" s="4" t="str">
        <f>IFERROR(__xludf.DUMMYFUNCTION("""COMPUTED_VALUE"""),"Panel direccional A/B 80x40 cm Reflex I")</f>
        <v>Panel direccional A/B 80x40 cm Reflex I</v>
      </c>
      <c r="C2042" s="4">
        <f>IFERROR(__xludf.DUMMYFUNCTION("""COMPUTED_VALUE"""),37.0)</f>
        <v>37</v>
      </c>
      <c r="D2042" s="4"/>
      <c r="E2042" s="4" t="str">
        <f>IFERROR(__xludf.DUMMYFUNCTION("""COMPUTED_VALUE"""),"Sin precio neto G.C.")</f>
        <v>Sin precio neto G.C.</v>
      </c>
    </row>
    <row r="2043">
      <c r="A2043" s="4" t="str">
        <f>IFERROR(__xludf.DUMMYFUNCTION("""COMPUTED_VALUE"""),"978040N2")</f>
        <v>978040N2</v>
      </c>
      <c r="B2043" s="4" t="str">
        <f>IFERROR(__xludf.DUMMYFUNCTION("""COMPUTED_VALUE"""),"Panel direccional A/B 80x40 cm Reflex II")</f>
        <v>Panel direccional A/B 80x40 cm Reflex II</v>
      </c>
      <c r="C2043" s="4">
        <f>IFERROR(__xludf.DUMMYFUNCTION("""COMPUTED_VALUE"""),42.0)</f>
        <v>42</v>
      </c>
      <c r="D2043" s="4"/>
      <c r="E2043" s="4" t="str">
        <f>IFERROR(__xludf.DUMMYFUNCTION("""COMPUTED_VALUE"""),"Sin precio neto G.C.")</f>
        <v>Sin precio neto G.C.</v>
      </c>
    </row>
    <row r="2044">
      <c r="A2044" s="4" t="str">
        <f>IFERROR(__xludf.DUMMYFUNCTION("""COMPUTED_VALUE"""),"978040N3")</f>
        <v>978040N3</v>
      </c>
      <c r="B2044" s="4" t="str">
        <f>IFERROR(__xludf.DUMMYFUNCTION("""COMPUTED_VALUE"""),"Panel direccional A/B 80x40 cm Reflex III")</f>
        <v>Panel direccional A/B 80x40 cm Reflex III</v>
      </c>
      <c r="C2044" s="4">
        <f>IFERROR(__xludf.DUMMYFUNCTION("""COMPUTED_VALUE"""),52.9)</f>
        <v>52.9</v>
      </c>
      <c r="D2044" s="4"/>
      <c r="E2044" s="4" t="str">
        <f>IFERROR(__xludf.DUMMYFUNCTION("""COMPUTED_VALUE"""),"Sin precio neto G.C.")</f>
        <v>Sin precio neto G.C.</v>
      </c>
    </row>
    <row r="2045">
      <c r="A2045" s="4" t="str">
        <f>IFERROR(__xludf.DUMMYFUNCTION("""COMPUTED_VALUE"""),"9800N")</f>
        <v>9800N</v>
      </c>
      <c r="B2045" s="4" t="str">
        <f>IFERROR(__xludf.DUMMYFUNCTION("""COMPUTED_VALUE"""),"Señal Aluminio Stop 60 cm Normal")</f>
        <v>Señal Aluminio Stop 60 cm Normal</v>
      </c>
      <c r="C2045" s="4">
        <f>IFERROR(__xludf.DUMMYFUNCTION("""COMPUTED_VALUE"""),31.0)</f>
        <v>31</v>
      </c>
      <c r="D2045" s="4"/>
      <c r="E2045" s="4" t="str">
        <f>IFERROR(__xludf.DUMMYFUNCTION("""COMPUTED_VALUE"""),"Sin precio neto G.C.")</f>
        <v>Sin precio neto G.C.</v>
      </c>
    </row>
    <row r="2046">
      <c r="A2046" s="4" t="str">
        <f>IFERROR(__xludf.DUMMYFUNCTION("""COMPUTED_VALUE"""),"9800N1")</f>
        <v>9800N1</v>
      </c>
      <c r="B2046" s="4" t="str">
        <f>IFERROR(__xludf.DUMMYFUNCTION("""COMPUTED_VALUE"""),"Señal Aluminio Stop 60 cm Nivel 1")</f>
        <v>Señal Aluminio Stop 60 cm Nivel 1</v>
      </c>
      <c r="C2046" s="4">
        <f>IFERROR(__xludf.DUMMYFUNCTION("""COMPUTED_VALUE"""),34.0)</f>
        <v>34</v>
      </c>
      <c r="D2046" s="4"/>
      <c r="E2046" s="4" t="str">
        <f>IFERROR(__xludf.DUMMYFUNCTION("""COMPUTED_VALUE"""),"Sin precio neto G.C.")</f>
        <v>Sin precio neto G.C.</v>
      </c>
    </row>
    <row r="2047">
      <c r="A2047" s="4" t="str">
        <f>IFERROR(__xludf.DUMMYFUNCTION("""COMPUTED_VALUE"""),"9900N")</f>
        <v>9900N</v>
      </c>
      <c r="B2047" s="4" t="str">
        <f>IFERROR(__xludf.DUMMYFUNCTION("""COMPUTED_VALUE"""),"Señal Aluminio Rectangular 60x30 cm Normal")</f>
        <v>Señal Aluminio Rectangular 60x30 cm Normal</v>
      </c>
      <c r="C2047" s="4">
        <f>IFERROR(__xludf.DUMMYFUNCTION("""COMPUTED_VALUE"""),17.0)</f>
        <v>17</v>
      </c>
      <c r="D2047" s="4"/>
      <c r="E2047" s="4" t="str">
        <f>IFERROR(__xludf.DUMMYFUNCTION("""COMPUTED_VALUE"""),"Sin precio neto G.C.")</f>
        <v>Sin precio neto G.C.</v>
      </c>
    </row>
    <row r="2048">
      <c r="A2048" s="4" t="str">
        <f>IFERROR(__xludf.DUMMYFUNCTION("""COMPUTED_VALUE"""),"9900N1")</f>
        <v>9900N1</v>
      </c>
      <c r="B2048" s="4" t="str">
        <f>IFERROR(__xludf.DUMMYFUNCTION("""COMPUTED_VALUE"""),"Señal Aluminio Rectangular 60x30 cm Nivel 1")</f>
        <v>Señal Aluminio Rectangular 60x30 cm Nivel 1</v>
      </c>
      <c r="C2048" s="4">
        <f>IFERROR(__xludf.DUMMYFUNCTION("""COMPUTED_VALUE"""),19.0)</f>
        <v>19</v>
      </c>
      <c r="D2048" s="4"/>
      <c r="E2048" s="4" t="str">
        <f>IFERROR(__xludf.DUMMYFUNCTION("""COMPUTED_VALUE"""),"Sin precio neto G.C.")</f>
        <v>Sin precio neto G.C.</v>
      </c>
    </row>
    <row r="2049">
      <c r="A2049" s="4" t="str">
        <f>IFERROR(__xludf.DUMMYFUNCTION("""COMPUTED_VALUE"""),"ABRAZADERA50-")</f>
        <v>ABRAZADERA50-</v>
      </c>
      <c r="B2049" s="4" t="str">
        <f>IFERROR(__xludf.DUMMYFUNCTION("""COMPUTED_VALUE"""),"Abrazadera completa para poste 50/60")</f>
        <v>Abrazadera completa para poste 50/60</v>
      </c>
      <c r="C2049" s="4">
        <f>IFERROR(__xludf.DUMMYFUNCTION("""COMPUTED_VALUE"""),4.75)</f>
        <v>4.75</v>
      </c>
      <c r="D2049" s="4"/>
      <c r="E2049" s="4" t="str">
        <f>IFERROR(__xludf.DUMMYFUNCTION("""COMPUTED_VALUE"""),"Sin precio neto G.C.")</f>
        <v>Sin precio neto G.C.</v>
      </c>
    </row>
    <row r="2050">
      <c r="A2050" s="4" t="str">
        <f>IFERROR(__xludf.DUMMYFUNCTION("""COMPUTED_VALUE"""),"ABRAZADERA80X")</f>
        <v>ABRAZADERA80X</v>
      </c>
      <c r="B2050" s="4" t="str">
        <f>IFERROR(__xludf.DUMMYFUNCTION("""COMPUTED_VALUE"""),"Abrazadera para poste de 80x40")</f>
        <v>Abrazadera para poste de 80x40</v>
      </c>
      <c r="C2050" s="4">
        <f>IFERROR(__xludf.DUMMYFUNCTION("""COMPUTED_VALUE"""),2.7)</f>
        <v>2.7</v>
      </c>
      <c r="D2050" s="4"/>
      <c r="E2050" s="4" t="str">
        <f>IFERROR(__xludf.DUMMYFUNCTION("""COMPUTED_VALUE"""),"Sin precio neto G.C.")</f>
        <v>Sin precio neto G.C.</v>
      </c>
    </row>
    <row r="2051">
      <c r="A2051" s="4" t="str">
        <f>IFERROR(__xludf.DUMMYFUNCTION("""COMPUTED_VALUE"""),"AL297105")</f>
        <v>AL297105</v>
      </c>
      <c r="B2051" s="4" t="str">
        <f>IFERROR(__xludf.DUMMYFUNCTION("""COMPUTED_VALUE"""),"Panel impreso aluminio 297x105 mm")</f>
        <v>Panel impreso aluminio 297x105 mm</v>
      </c>
      <c r="C2051" s="4">
        <f>IFERROR(__xludf.DUMMYFUNCTION("""COMPUTED_VALUE"""),2.15)</f>
        <v>2.15</v>
      </c>
      <c r="D2051" s="4"/>
      <c r="E2051" s="4" t="str">
        <f>IFERROR(__xludf.DUMMYFUNCTION("""COMPUTED_VALUE"""),"Sin precio neto G.C.")</f>
        <v>Sin precio neto G.C.</v>
      </c>
    </row>
    <row r="2052">
      <c r="A2052" s="4" t="str">
        <f>IFERROR(__xludf.DUMMYFUNCTION("""COMPUTED_VALUE"""),"AL320160")</f>
        <v>AL320160</v>
      </c>
      <c r="B2052" s="4" t="str">
        <f>IFERROR(__xludf.DUMMYFUNCTION("""COMPUTED_VALUE"""),"Panel impreso aluminio 320x160 mm")</f>
        <v>Panel impreso aluminio 320x160 mm</v>
      </c>
      <c r="C2052" s="4">
        <f>IFERROR(__xludf.DUMMYFUNCTION("""COMPUTED_VALUE"""),4.1)</f>
        <v>4.1</v>
      </c>
      <c r="D2052" s="4"/>
      <c r="E2052" s="4" t="str">
        <f>IFERROR(__xludf.DUMMYFUNCTION("""COMPUTED_VALUE"""),"Sin precio neto G.C.")</f>
        <v>Sin precio neto G.C.</v>
      </c>
    </row>
    <row r="2053">
      <c r="A2053" s="4" t="str">
        <f>IFERROR(__xludf.DUMMYFUNCTION("""COMPUTED_VALUE"""),"AL420320")</f>
        <v>AL420320</v>
      </c>
      <c r="B2053" s="4" t="str">
        <f>IFERROR(__xludf.DUMMYFUNCTION("""COMPUTED_VALUE"""),"Panel impreso aluminio 420x320 mm")</f>
        <v>Panel impreso aluminio 420x320 mm</v>
      </c>
      <c r="C2053" s="4">
        <f>IFERROR(__xludf.DUMMYFUNCTION("""COMPUTED_VALUE"""),10.76)</f>
        <v>10.76</v>
      </c>
      <c r="D2053" s="4"/>
      <c r="E2053" s="4" t="str">
        <f>IFERROR(__xludf.DUMMYFUNCTION("""COMPUTED_VALUE"""),"Sin precio neto G.C.")</f>
        <v>Sin precio neto G.C.</v>
      </c>
    </row>
    <row r="2054">
      <c r="A2054" s="4" t="str">
        <f>IFERROR(__xludf.DUMMYFUNCTION("""COMPUTED_VALUE"""),"AL630630")</f>
        <v>AL630630</v>
      </c>
      <c r="B2054" s="4" t="str">
        <f>IFERROR(__xludf.DUMMYFUNCTION("""COMPUTED_VALUE"""),"Panel impreso aluminio 630x630 mm")</f>
        <v>Panel impreso aluminio 630x630 mm</v>
      </c>
      <c r="C2054" s="4">
        <f>IFERROR(__xludf.DUMMYFUNCTION("""COMPUTED_VALUE"""),31.74)</f>
        <v>31.74</v>
      </c>
      <c r="D2054" s="4"/>
      <c r="E2054" s="4" t="str">
        <f>IFERROR(__xludf.DUMMYFUNCTION("""COMPUTED_VALUE"""),"Sin precio neto G.C.")</f>
        <v>Sin precio neto G.C.</v>
      </c>
    </row>
    <row r="2055">
      <c r="A2055" s="4" t="str">
        <f>IFERROR(__xludf.DUMMYFUNCTION("""COMPUTED_VALUE"""),"AL960480")</f>
        <v>AL960480</v>
      </c>
      <c r="B2055" s="4" t="str">
        <f>IFERROR(__xludf.DUMMYFUNCTION("""COMPUTED_VALUE"""),"Panel impreso aluminio 960x480")</f>
        <v>Panel impreso aluminio 960x480</v>
      </c>
      <c r="C2055" s="4">
        <f>IFERROR(__xludf.DUMMYFUNCTION("""COMPUTED_VALUE"""),37.4)</f>
        <v>37.4</v>
      </c>
      <c r="D2055" s="4"/>
      <c r="E2055" s="4" t="str">
        <f>IFERROR(__xludf.DUMMYFUNCTION("""COMPUTED_VALUE"""),"Sin precio neto G.C.")</f>
        <v>Sin precio neto G.C.</v>
      </c>
    </row>
    <row r="2056">
      <c r="A2056" s="4" t="str">
        <f>IFERROR(__xludf.DUMMYFUNCTION("""COMPUTED_VALUE"""),"ALA1")</f>
        <v>ALA1</v>
      </c>
      <c r="B2056" s="4" t="str">
        <f>IFERROR(__xludf.DUMMYFUNCTION("""COMPUTED_VALUE"""),"Panel impreso aluminio A1 (841x594 mm)")</f>
        <v>Panel impreso aluminio A1 (841x594 mm)</v>
      </c>
      <c r="C2056" s="4">
        <f>IFERROR(__xludf.DUMMYFUNCTION("""COMPUTED_VALUE"""),40.23)</f>
        <v>40.23</v>
      </c>
      <c r="D2056" s="4"/>
      <c r="E2056" s="4" t="str">
        <f>IFERROR(__xludf.DUMMYFUNCTION("""COMPUTED_VALUE"""),"Sin precio neto G.C.")</f>
        <v>Sin precio neto G.C.</v>
      </c>
    </row>
    <row r="2057">
      <c r="A2057" s="4" t="str">
        <f>IFERROR(__xludf.DUMMYFUNCTION("""COMPUTED_VALUE"""),"ALA2")</f>
        <v>ALA2</v>
      </c>
      <c r="B2057" s="4" t="str">
        <f>IFERROR(__xludf.DUMMYFUNCTION("""COMPUTED_VALUE"""),"Panel impreso aluminio A2 (594X420)")</f>
        <v>Panel impreso aluminio A2 (594X420)</v>
      </c>
      <c r="C2057" s="4">
        <f>IFERROR(__xludf.DUMMYFUNCTION("""COMPUTED_VALUE"""),2.115)</f>
        <v>2.115</v>
      </c>
      <c r="D2057" s="4"/>
      <c r="E2057" s="4" t="str">
        <f>IFERROR(__xludf.DUMMYFUNCTION("""COMPUTED_VALUE"""),"Sin precio neto G.C.")</f>
        <v>Sin precio neto G.C.</v>
      </c>
    </row>
    <row r="2058">
      <c r="A2058" s="4" t="str">
        <f>IFERROR(__xludf.DUMMYFUNCTION("""COMPUTED_VALUE"""),"ALA3")</f>
        <v>ALA3</v>
      </c>
      <c r="B2058" s="4" t="str">
        <f>IFERROR(__xludf.DUMMYFUNCTION("""COMPUTED_VALUE"""),"Panel impreso aluminio A3 (420X297 mm)")</f>
        <v>Panel impreso aluminio A3 (420X297 mm)</v>
      </c>
      <c r="C2058" s="4">
        <f>IFERROR(__xludf.DUMMYFUNCTION("""COMPUTED_VALUE"""),10.08)</f>
        <v>10.08</v>
      </c>
      <c r="D2058" s="4"/>
      <c r="E2058" s="4" t="str">
        <f>IFERROR(__xludf.DUMMYFUNCTION("""COMPUTED_VALUE"""),"Sin precio neto G.C.")</f>
        <v>Sin precio neto G.C.</v>
      </c>
    </row>
    <row r="2059">
      <c r="A2059" s="4" t="str">
        <f>IFERROR(__xludf.DUMMYFUNCTION("""COMPUTED_VALUE"""),"ALA4")</f>
        <v>ALA4</v>
      </c>
      <c r="B2059" s="4" t="str">
        <f>IFERROR(__xludf.DUMMYFUNCTION("""COMPUTED_VALUE"""),"Panel impreso aluminio A4 (297x210 mm)")</f>
        <v>Panel impreso aluminio A4 (297x210 mm)</v>
      </c>
      <c r="C2059" s="4">
        <f>IFERROR(__xludf.DUMMYFUNCTION("""COMPUTED_VALUE"""),5.04)</f>
        <v>5.04</v>
      </c>
      <c r="D2059" s="4"/>
      <c r="E2059" s="4" t="str">
        <f>IFERROR(__xludf.DUMMYFUNCTION("""COMPUTED_VALUE"""),"Sin precio neto G.C.")</f>
        <v>Sin precio neto G.C.</v>
      </c>
    </row>
    <row r="2060">
      <c r="A2060" s="4" t="str">
        <f>IFERROR(__xludf.DUMMYFUNCTION("""COMPUTED_VALUE"""),"ALA6")</f>
        <v>ALA6</v>
      </c>
      <c r="B2060" s="4" t="str">
        <f>IFERROR(__xludf.DUMMYFUNCTION("""COMPUTED_VALUE"""),"Panel impreso aluminio A6 (105x148 mm)")</f>
        <v>Panel impreso aluminio A6 (105x148 mm)</v>
      </c>
      <c r="C2060" s="4">
        <f>IFERROR(__xludf.DUMMYFUNCTION("""COMPUTED_VALUE"""),1.24)</f>
        <v>1.24</v>
      </c>
      <c r="D2060" s="4"/>
      <c r="E2060" s="4" t="str">
        <f>IFERROR(__xludf.DUMMYFUNCTION("""COMPUTED_VALUE"""),"Sin precio neto G.C.")</f>
        <v>Sin precio neto G.C.</v>
      </c>
    </row>
    <row r="2061">
      <c r="A2061" s="4" t="str">
        <f>IFERROR(__xludf.DUMMYFUNCTION("""COMPUTED_VALUE"""),"CBA3")</f>
        <v>CBA3</v>
      </c>
      <c r="B2061" s="4" t="str">
        <f>IFERROR(__xludf.DUMMYFUNCTION("""COMPUTED_VALUE"""),"Soporte cartel en banderola acero cartel 40x30 cm")</f>
        <v>Soporte cartel en banderola acero cartel 40x30 cm</v>
      </c>
      <c r="C2061" s="4">
        <f>IFERROR(__xludf.DUMMYFUNCTION("""COMPUTED_VALUE"""),3.4)</f>
        <v>3.4</v>
      </c>
      <c r="D2061" s="4"/>
      <c r="E2061" s="4" t="str">
        <f>IFERROR(__xludf.DUMMYFUNCTION("""COMPUTED_VALUE"""),"Sin precio neto G.C.")</f>
        <v>Sin precio neto G.C.</v>
      </c>
    </row>
    <row r="2062">
      <c r="A2062" s="4" t="str">
        <f>IFERROR(__xludf.DUMMYFUNCTION("""COMPUTED_VALUE"""),"CBA4")</f>
        <v>CBA4</v>
      </c>
      <c r="B2062" s="4" t="str">
        <f>IFERROR(__xludf.DUMMYFUNCTION("""COMPUTED_VALUE"""),"Soporte cartel en banderola acero cartel 21x29 cm")</f>
        <v>Soporte cartel en banderola acero cartel 21x29 cm</v>
      </c>
      <c r="C2062" s="4">
        <f>IFERROR(__xludf.DUMMYFUNCTION("""COMPUTED_VALUE"""),2.4)</f>
        <v>2.4</v>
      </c>
      <c r="D2062" s="4"/>
      <c r="E2062" s="4" t="str">
        <f>IFERROR(__xludf.DUMMYFUNCTION("""COMPUTED_VALUE"""),"Sin precio neto G.C.")</f>
        <v>Sin precio neto G.C.</v>
      </c>
    </row>
    <row r="2063">
      <c r="A2063" s="4" t="str">
        <f>IFERROR(__xludf.DUMMYFUNCTION("""COMPUTED_VALUE"""),"ESCRUADRA")</f>
        <v>ESCRUADRA</v>
      </c>
      <c r="B2063" s="4" t="str">
        <f>IFERROR(__xludf.DUMMYFUNCTION("""COMPUTED_VALUE"""),"Escuadra 9x8x1,8 cm. señal MOPU")</f>
        <v>Escuadra 9x8x1,8 cm. señal MOPU</v>
      </c>
      <c r="C2063" s="4">
        <f>IFERROR(__xludf.DUMMYFUNCTION("""COMPUTED_VALUE"""),2.25)</f>
        <v>2.25</v>
      </c>
      <c r="D2063" s="4"/>
      <c r="E2063" s="4" t="str">
        <f>IFERROR(__xludf.DUMMYFUNCTION("""COMPUTED_VALUE"""),"Sin precio neto G.C.")</f>
        <v>Sin precio neto G.C.</v>
      </c>
    </row>
    <row r="2064">
      <c r="A2064" s="4" t="str">
        <f>IFERROR(__xludf.DUMMYFUNCTION("""COMPUTED_VALUE"""),"ESCUADRA")</f>
        <v>ESCUADRA</v>
      </c>
      <c r="B2064" s="4" t="str">
        <f>IFERROR(__xludf.DUMMYFUNCTION("""COMPUTED_VALUE"""),"Escuadra 14x8x1,8 cm señal MOPU")</f>
        <v>Escuadra 14x8x1,8 cm señal MOPU</v>
      </c>
      <c r="C2064" s="4">
        <f>IFERROR(__xludf.DUMMYFUNCTION("""COMPUTED_VALUE"""),2.9)</f>
        <v>2.9</v>
      </c>
      <c r="D2064" s="4"/>
      <c r="E2064" s="4" t="str">
        <f>IFERROR(__xludf.DUMMYFUNCTION("""COMPUTED_VALUE"""),"Sin precio neto G.C.")</f>
        <v>Sin precio neto G.C.</v>
      </c>
    </row>
    <row r="2065">
      <c r="A2065" s="4" t="str">
        <f>IFERROR(__xludf.DUMMYFUNCTION("""COMPUTED_VALUE"""),"EXPOSIT SEÑAL")</f>
        <v>EXPOSIT SEÑAL</v>
      </c>
      <c r="B2065" s="4" t="str">
        <f>IFERROR(__xludf.DUMMYFUNCTION("""COMPUTED_VALUE"""),"Expositor Señalización SIN SEÑALES")</f>
        <v>Expositor Señalización SIN SEÑALES</v>
      </c>
      <c r="C2065" s="4">
        <f>IFERROR(__xludf.DUMMYFUNCTION("""COMPUTED_VALUE"""),250.0)</f>
        <v>250</v>
      </c>
      <c r="D2065" s="4">
        <f>IFERROR(__xludf.DUMMYFUNCTION("""COMPUTED_VALUE"""),150.0)</f>
        <v>150</v>
      </c>
      <c r="E2065" s="4" t="str">
        <f>IFERROR(__xludf.DUMMYFUNCTION("""COMPUTED_VALUE"""),"Neto G.C.: 150,00 € (a partir de 1 uds.)")</f>
        <v>Neto G.C.: 150,00 € (a partir de 1 uds.)</v>
      </c>
    </row>
    <row r="2066">
      <c r="A2066" s="4" t="str">
        <f>IFERROR(__xludf.DUMMYFUNCTION("""COMPUTED_VALUE"""),"EXPOSITOR")</f>
        <v>EXPOSITOR</v>
      </c>
      <c r="B2066" s="4" t="str">
        <f>IFERROR(__xludf.DUMMYFUNCTION("""COMPUTED_VALUE"""),"Expositor Señalización + Señales metálicas estándar")</f>
        <v>Expositor Señalización + Señales metálicas estándar</v>
      </c>
      <c r="C2066" s="4">
        <f>IFERROR(__xludf.DUMMYFUNCTION("""COMPUTED_VALUE"""),1200.0)</f>
        <v>1200</v>
      </c>
      <c r="D2066" s="4">
        <f>IFERROR(__xludf.DUMMYFUNCTION("""COMPUTED_VALUE"""),1000.0)</f>
        <v>1000</v>
      </c>
      <c r="E2066" s="4" t="str">
        <f>IFERROR(__xludf.DUMMYFUNCTION("""COMPUTED_VALUE"""),"Neto G.C.: 1000,00 € (a partir de 1 uds.)")</f>
        <v>Neto G.C.: 1000,00 € (a partir de 1 uds.)</v>
      </c>
    </row>
    <row r="2067">
      <c r="A2067" s="4" t="str">
        <f>IFERROR(__xludf.DUMMYFUNCTION("""COMPUTED_VALUE"""),"MCA1")</f>
        <v>MCA1</v>
      </c>
      <c r="B2067" s="4" t="str">
        <f>IFERROR(__xludf.DUMMYFUNCTION("""COMPUTED_VALUE"""),"Panel impreso Metacrilato colada 2 mm A1 (841x594 mm)")</f>
        <v>Panel impreso Metacrilato colada 2 mm A1 (841x594 mm)</v>
      </c>
      <c r="C2067" s="4">
        <f>IFERROR(__xludf.DUMMYFUNCTION("""COMPUTED_VALUE"""),32.52)</f>
        <v>32.52</v>
      </c>
      <c r="D2067" s="4"/>
      <c r="E2067" s="4" t="str">
        <f>IFERROR(__xludf.DUMMYFUNCTION("""COMPUTED_VALUE"""),"Sin precio neto G.C.")</f>
        <v>Sin precio neto G.C.</v>
      </c>
    </row>
    <row r="2068">
      <c r="A2068" s="4" t="str">
        <f>IFERROR(__xludf.DUMMYFUNCTION("""COMPUTED_VALUE"""),"MCA2")</f>
        <v>MCA2</v>
      </c>
      <c r="B2068" s="4" t="str">
        <f>IFERROR(__xludf.DUMMYFUNCTION("""COMPUTED_VALUE"""),"Panel impreso Metacrilato colada 2 mm A2 (594x420 mm)")</f>
        <v>Panel impreso Metacrilato colada 2 mm A2 (594x420 mm)</v>
      </c>
      <c r="C2068" s="4">
        <f>IFERROR(__xludf.DUMMYFUNCTION("""COMPUTED_VALUE"""),18.1)</f>
        <v>18.1</v>
      </c>
      <c r="D2068" s="4"/>
      <c r="E2068" s="4" t="str">
        <f>IFERROR(__xludf.DUMMYFUNCTION("""COMPUTED_VALUE"""),"Sin precio neto G.C.")</f>
        <v>Sin precio neto G.C.</v>
      </c>
    </row>
    <row r="2069">
      <c r="A2069" s="4" t="str">
        <f>IFERROR(__xludf.DUMMYFUNCTION("""COMPUTED_VALUE"""),"MCA3")</f>
        <v>MCA3</v>
      </c>
      <c r="B2069" s="4" t="str">
        <f>IFERROR(__xludf.DUMMYFUNCTION("""COMPUTED_VALUE"""),"Panel impreso Metacrilato colada 2 mm A3 (420x297 mm)")</f>
        <v>Panel impreso Metacrilato colada 2 mm A3 (420x297 mm)</v>
      </c>
      <c r="C2069" s="4">
        <f>IFERROR(__xludf.DUMMYFUNCTION("""COMPUTED_VALUE"""),11.88)</f>
        <v>11.88</v>
      </c>
      <c r="D2069" s="4"/>
      <c r="E2069" s="4" t="str">
        <f>IFERROR(__xludf.DUMMYFUNCTION("""COMPUTED_VALUE"""),"Sin precio neto G.C.")</f>
        <v>Sin precio neto G.C.</v>
      </c>
    </row>
    <row r="2070">
      <c r="A2070" s="4" t="str">
        <f>IFERROR(__xludf.DUMMYFUNCTION("""COMPUTED_VALUE"""),"MCA4")</f>
        <v>MCA4</v>
      </c>
      <c r="B2070" s="4" t="str">
        <f>IFERROR(__xludf.DUMMYFUNCTION("""COMPUTED_VALUE"""),"Panel impreso Metacrilato colada 2 mm A4 (210x297 mm)")</f>
        <v>Panel impreso Metacrilato colada 2 mm A4 (210x297 mm)</v>
      </c>
      <c r="C2070" s="4">
        <f>IFERROR(__xludf.DUMMYFUNCTION("""COMPUTED_VALUE"""),6.3)</f>
        <v>6.3</v>
      </c>
      <c r="D2070" s="4"/>
      <c r="E2070" s="4" t="str">
        <f>IFERROR(__xludf.DUMMYFUNCTION("""COMPUTED_VALUE"""),"Sin precio neto G.C.")</f>
        <v>Sin precio neto G.C.</v>
      </c>
    </row>
    <row r="2071">
      <c r="A2071" s="4" t="str">
        <f>IFERROR(__xludf.DUMMYFUNCTION("""COMPUTED_VALUE"""),"MCA5")</f>
        <v>MCA5</v>
      </c>
      <c r="B2071" s="4" t="str">
        <f>IFERROR(__xludf.DUMMYFUNCTION("""COMPUTED_VALUE"""),"Panel impreso Metacrilato colada 2 mm A5 (148x210 mm)")</f>
        <v>Panel impreso Metacrilato colada 2 mm A5 (148x210 mm)</v>
      </c>
      <c r="C2071" s="4">
        <f>IFERROR(__xludf.DUMMYFUNCTION("""COMPUTED_VALUE"""),3.4)</f>
        <v>3.4</v>
      </c>
      <c r="D2071" s="4"/>
      <c r="E2071" s="4" t="str">
        <f>IFERROR(__xludf.DUMMYFUNCTION("""COMPUTED_VALUE"""),"Sin precio neto G.C.")</f>
        <v>Sin precio neto G.C.</v>
      </c>
    </row>
    <row r="2072">
      <c r="A2072" s="4" t="str">
        <f>IFERROR(__xludf.DUMMYFUNCTION("""COMPUTED_VALUE"""),"MCA6")</f>
        <v>MCA6</v>
      </c>
      <c r="B2072" s="4" t="str">
        <f>IFERROR(__xludf.DUMMYFUNCTION("""COMPUTED_VALUE"""),"Panel impreso Metacrilato colada 2 mm A6 (148x105 mm)")</f>
        <v>Panel impreso Metacrilato colada 2 mm A6 (148x105 mm)</v>
      </c>
      <c r="C2072" s="4">
        <f>IFERROR(__xludf.DUMMYFUNCTION("""COMPUTED_VALUE"""),2.2)</f>
        <v>2.2</v>
      </c>
      <c r="D2072" s="4"/>
      <c r="E2072" s="4" t="str">
        <f>IFERROR(__xludf.DUMMYFUNCTION("""COMPUTED_VALUE"""),"Sin precio neto G.C.")</f>
        <v>Sin precio neto G.C.</v>
      </c>
    </row>
    <row r="2073">
      <c r="A2073" s="4" t="str">
        <f>IFERROR(__xludf.DUMMYFUNCTION("""COMPUTED_VALUE"""),"PASA1")</f>
        <v>PASA1</v>
      </c>
      <c r="B2073" s="4" t="str">
        <f>IFERROR(__xludf.DUMMYFUNCTION("""COMPUTED_VALUE"""),"Panel impreso Aluminio Sandwich 2mm/0.15 mm A1 (841x594")</f>
        <v>Panel impreso Aluminio Sandwich 2mm/0.15 mm A1 (841x594</v>
      </c>
      <c r="C2073" s="4">
        <f>IFERROR(__xludf.DUMMYFUNCTION("""COMPUTED_VALUE"""),29.55)</f>
        <v>29.55</v>
      </c>
      <c r="D2073" s="4"/>
      <c r="E2073" s="4" t="str">
        <f>IFERROR(__xludf.DUMMYFUNCTION("""COMPUTED_VALUE"""),"Sin precio neto G.C.")</f>
        <v>Sin precio neto G.C.</v>
      </c>
    </row>
    <row r="2074">
      <c r="A2074" s="4" t="str">
        <f>IFERROR(__xludf.DUMMYFUNCTION("""COMPUTED_VALUE"""),"PASA2")</f>
        <v>PASA2</v>
      </c>
      <c r="B2074" s="4" t="str">
        <f>IFERROR(__xludf.DUMMYFUNCTION("""COMPUTED_VALUE"""),"Panel impreso Aluminio Sandwich 2mm/0.15 mm A2 (594x420")</f>
        <v>Panel impreso Aluminio Sandwich 2mm/0.15 mm A2 (594x420</v>
      </c>
      <c r="C2074" s="4">
        <f>IFERROR(__xludf.DUMMYFUNCTION("""COMPUTED_VALUE"""),12.65)</f>
        <v>12.65</v>
      </c>
      <c r="D2074" s="4"/>
      <c r="E2074" s="4" t="str">
        <f>IFERROR(__xludf.DUMMYFUNCTION("""COMPUTED_VALUE"""),"Sin precio neto G.C.")</f>
        <v>Sin precio neto G.C.</v>
      </c>
    </row>
    <row r="2075">
      <c r="A2075" s="4" t="str">
        <f>IFERROR(__xludf.DUMMYFUNCTION("""COMPUTED_VALUE"""),"PASA3")</f>
        <v>PASA3</v>
      </c>
      <c r="B2075" s="4" t="str">
        <f>IFERROR(__xludf.DUMMYFUNCTION("""COMPUTED_VALUE"""),"Panel impreso Aluminio Sandwich 2mm/0.15 mm A3 (420x297")</f>
        <v>Panel impreso Aluminio Sandwich 2mm/0.15 mm A3 (420x297</v>
      </c>
      <c r="C2075" s="4">
        <f>IFERROR(__xludf.DUMMYFUNCTION("""COMPUTED_VALUE"""),5.075)</f>
        <v>5.075</v>
      </c>
      <c r="D2075" s="4"/>
      <c r="E2075" s="4" t="str">
        <f>IFERROR(__xludf.DUMMYFUNCTION("""COMPUTED_VALUE"""),"Sin precio neto G.C.")</f>
        <v>Sin precio neto G.C.</v>
      </c>
    </row>
    <row r="2076">
      <c r="A2076" s="4" t="str">
        <f>IFERROR(__xludf.DUMMYFUNCTION("""COMPUTED_VALUE"""),"PASA4")</f>
        <v>PASA4</v>
      </c>
      <c r="B2076" s="4" t="str">
        <f>IFERROR(__xludf.DUMMYFUNCTION("""COMPUTED_VALUE"""),"Panel impreso Aluminio Sandwich 2mm/0.15 mm A4 (297x210")</f>
        <v>Panel impreso Aluminio Sandwich 2mm/0.15 mm A4 (297x210</v>
      </c>
      <c r="C2076" s="4">
        <f>IFERROR(__xludf.DUMMYFUNCTION("""COMPUTED_VALUE"""),2.75)</f>
        <v>2.75</v>
      </c>
      <c r="D2076" s="4"/>
      <c r="E2076" s="4" t="str">
        <f>IFERROR(__xludf.DUMMYFUNCTION("""COMPUTED_VALUE"""),"Sin precio neto G.C.")</f>
        <v>Sin precio neto G.C.</v>
      </c>
    </row>
    <row r="2077">
      <c r="A2077" s="4" t="str">
        <f>IFERROR(__xludf.DUMMYFUNCTION("""COMPUTED_VALUE"""),"PASA5")</f>
        <v>PASA5</v>
      </c>
      <c r="B2077" s="4" t="str">
        <f>IFERROR(__xludf.DUMMYFUNCTION("""COMPUTED_VALUE"""),"Panel impreso Aluminio Sandwich 2mm/0.15 mm A5 (148x210")</f>
        <v>Panel impreso Aluminio Sandwich 2mm/0.15 mm A5 (148x210</v>
      </c>
      <c r="C2077" s="4">
        <f>IFERROR(__xludf.DUMMYFUNCTION("""COMPUTED_VALUE"""),1.4)</f>
        <v>1.4</v>
      </c>
      <c r="D2077" s="4"/>
      <c r="E2077" s="4" t="str">
        <f>IFERROR(__xludf.DUMMYFUNCTION("""COMPUTED_VALUE"""),"Sin precio neto G.C.")</f>
        <v>Sin precio neto G.C.</v>
      </c>
    </row>
    <row r="2078">
      <c r="A2078" s="4" t="str">
        <f>IFERROR(__xludf.DUMMYFUNCTION("""COMPUTED_VALUE"""),"PASA6")</f>
        <v>PASA6</v>
      </c>
      <c r="B2078" s="4" t="str">
        <f>IFERROR(__xludf.DUMMYFUNCTION("""COMPUTED_VALUE"""),"Panel impreso Aluminio Sandwich 2mm/0.15 mm A6 (105x148")</f>
        <v>Panel impreso Aluminio Sandwich 2mm/0.15 mm A6 (105x148</v>
      </c>
      <c r="C2078" s="4">
        <f>IFERROR(__xludf.DUMMYFUNCTION("""COMPUTED_VALUE"""),1.1)</f>
        <v>1.1</v>
      </c>
      <c r="D2078" s="4"/>
      <c r="E2078" s="4" t="str">
        <f>IFERROR(__xludf.DUMMYFUNCTION("""COMPUTED_VALUE"""),"Sin precio neto G.C.")</f>
        <v>Sin precio neto G.C.</v>
      </c>
    </row>
    <row r="2079">
      <c r="A2079" s="4" t="str">
        <f>IFERROR(__xludf.DUMMYFUNCTION("""COMPUTED_VALUE"""),"PCMA1")</f>
        <v>PCMA1</v>
      </c>
      <c r="B2079" s="4" t="str">
        <f>IFERROR(__xludf.DUMMYFUNCTION("""COMPUTED_VALUE"""),"Panel impreso PP Celular Microcanal 3 mm A1 (841x594 mm)")</f>
        <v>Panel impreso PP Celular Microcanal 3 mm A1 (841x594 mm)</v>
      </c>
      <c r="C2079" s="4">
        <f>IFERROR(__xludf.DUMMYFUNCTION("""COMPUTED_VALUE"""),9.38)</f>
        <v>9.38</v>
      </c>
      <c r="D2079" s="4"/>
      <c r="E2079" s="4" t="str">
        <f>IFERROR(__xludf.DUMMYFUNCTION("""COMPUTED_VALUE"""),"Sin precio neto G.C.")</f>
        <v>Sin precio neto G.C.</v>
      </c>
    </row>
    <row r="2080">
      <c r="A2080" s="4" t="str">
        <f>IFERROR(__xludf.DUMMYFUNCTION("""COMPUTED_VALUE"""),"PCMA2")</f>
        <v>PCMA2</v>
      </c>
      <c r="B2080" s="4" t="str">
        <f>IFERROR(__xludf.DUMMYFUNCTION("""COMPUTED_VALUE"""),"Panel impreso PP Celular Microcanal 3 mm A2 (594x420 mm)")</f>
        <v>Panel impreso PP Celular Microcanal 3 mm A2 (594x420 mm)</v>
      </c>
      <c r="C2080" s="4">
        <f>IFERROR(__xludf.DUMMYFUNCTION("""COMPUTED_VALUE"""),4.48)</f>
        <v>4.48</v>
      </c>
      <c r="D2080" s="4"/>
      <c r="E2080" s="4" t="str">
        <f>IFERROR(__xludf.DUMMYFUNCTION("""COMPUTED_VALUE"""),"Sin precio neto G.C.")</f>
        <v>Sin precio neto G.C.</v>
      </c>
    </row>
    <row r="2081">
      <c r="A2081" s="4" t="str">
        <f>IFERROR(__xludf.DUMMYFUNCTION("""COMPUTED_VALUE"""),"PCMA3")</f>
        <v>PCMA3</v>
      </c>
      <c r="B2081" s="4" t="str">
        <f>IFERROR(__xludf.DUMMYFUNCTION("""COMPUTED_VALUE"""),"Panel impreso PP Celular Microcanal 3 mm A3 (420x297 mm)")</f>
        <v>Panel impreso PP Celular Microcanal 3 mm A3 (420x297 mm)</v>
      </c>
      <c r="C2081" s="4">
        <f>IFERROR(__xludf.DUMMYFUNCTION("""COMPUTED_VALUE"""),2.44)</f>
        <v>2.44</v>
      </c>
      <c r="D2081" s="4"/>
      <c r="E2081" s="4" t="str">
        <f>IFERROR(__xludf.DUMMYFUNCTION("""COMPUTED_VALUE"""),"Sin precio neto G.C.")</f>
        <v>Sin precio neto G.C.</v>
      </c>
    </row>
    <row r="2082">
      <c r="A2082" s="4" t="str">
        <f>IFERROR(__xludf.DUMMYFUNCTION("""COMPUTED_VALUE"""),"PCMA4")</f>
        <v>PCMA4</v>
      </c>
      <c r="B2082" s="4" t="str">
        <f>IFERROR(__xludf.DUMMYFUNCTION("""COMPUTED_VALUE"""),"Panel impreso PP Celular Microcanal 3 mm A4 (297x210 mm)")</f>
        <v>Panel impreso PP Celular Microcanal 3 mm A4 (297x210 mm)</v>
      </c>
      <c r="C2082" s="4">
        <f>IFERROR(__xludf.DUMMYFUNCTION("""COMPUTED_VALUE"""),1.75)</f>
        <v>1.75</v>
      </c>
      <c r="D2082" s="4"/>
      <c r="E2082" s="4" t="str">
        <f>IFERROR(__xludf.DUMMYFUNCTION("""COMPUTED_VALUE"""),"Sin precio neto G.C.")</f>
        <v>Sin precio neto G.C.</v>
      </c>
    </row>
    <row r="2083">
      <c r="A2083" s="4" t="str">
        <f>IFERROR(__xludf.DUMMYFUNCTION("""COMPUTED_VALUE"""),"PCMA5")</f>
        <v>PCMA5</v>
      </c>
      <c r="B2083" s="4" t="str">
        <f>IFERROR(__xludf.DUMMYFUNCTION("""COMPUTED_VALUE"""),"Panel impreso PP Celular Microcanal 3 mm A5 (148x210 mm)")</f>
        <v>Panel impreso PP Celular Microcanal 3 mm A5 (148x210 mm)</v>
      </c>
      <c r="C2083" s="4">
        <f>IFERROR(__xludf.DUMMYFUNCTION("""COMPUTED_VALUE"""),1.25)</f>
        <v>1.25</v>
      </c>
      <c r="D2083" s="4"/>
      <c r="E2083" s="4" t="str">
        <f>IFERROR(__xludf.DUMMYFUNCTION("""COMPUTED_VALUE"""),"Sin precio neto G.C.")</f>
        <v>Sin precio neto G.C.</v>
      </c>
    </row>
    <row r="2084">
      <c r="A2084" s="4" t="str">
        <f>IFERROR(__xludf.DUMMYFUNCTION("""COMPUTED_VALUE"""),"PCMA6")</f>
        <v>PCMA6</v>
      </c>
      <c r="B2084" s="4" t="str">
        <f>IFERROR(__xludf.DUMMYFUNCTION("""COMPUTED_VALUE"""),"Panel impreso PP Celular Microcanal 3 mm A6 (105x148 mm)")</f>
        <v>Panel impreso PP Celular Microcanal 3 mm A6 (105x148 mm)</v>
      </c>
      <c r="C2084" s="4">
        <f>IFERROR(__xludf.DUMMYFUNCTION("""COMPUTED_VALUE"""),0.9)</f>
        <v>0.9</v>
      </c>
      <c r="D2084" s="4"/>
      <c r="E2084" s="4" t="str">
        <f>IFERROR(__xludf.DUMMYFUNCTION("""COMPUTED_VALUE"""),"Sin precio neto G.C.")</f>
        <v>Sin precio neto G.C.</v>
      </c>
    </row>
    <row r="2085">
      <c r="A2085" s="4" t="str">
        <f>IFERROR(__xludf.DUMMYFUNCTION("""COMPUTED_VALUE"""),"PIEVALLA")</f>
        <v>PIEVALLA</v>
      </c>
      <c r="B2085" s="4" t="str">
        <f>IFERROR(__xludf.DUMMYFUNCTION("""COMPUTED_VALUE"""),"Pie de valla Gate Barrier")</f>
        <v>Pie de valla Gate Barrier</v>
      </c>
      <c r="C2085" s="4">
        <f>IFERROR(__xludf.DUMMYFUNCTION("""COMPUTED_VALUE"""),9.75)</f>
        <v>9.75</v>
      </c>
      <c r="D2085" s="4"/>
      <c r="E2085" s="4" t="str">
        <f>IFERROR(__xludf.DUMMYFUNCTION("""COMPUTED_VALUE"""),"Sin precio neto G.C.")</f>
        <v>Sin precio neto G.C.</v>
      </c>
    </row>
    <row r="2086">
      <c r="A2086" s="4" t="str">
        <f>IFERROR(__xludf.DUMMYFUNCTION("""COMPUTED_VALUE"""),"PIEVALLAP")</f>
        <v>PIEVALLAP</v>
      </c>
      <c r="B2086" s="4" t="str">
        <f>IFERROR(__xludf.DUMMYFUNCTION("""COMPUTED_VALUE"""),"Pie Valla Gate Barrier Asimétrico")</f>
        <v>Pie Valla Gate Barrier Asimétrico</v>
      </c>
      <c r="C2086" s="4">
        <f>IFERROR(__xludf.DUMMYFUNCTION("""COMPUTED_VALUE"""),9.0)</f>
        <v>9</v>
      </c>
      <c r="D2086" s="4"/>
      <c r="E2086" s="4" t="str">
        <f>IFERROR(__xludf.DUMMYFUNCTION("""COMPUTED_VALUE"""),"Sin precio neto G.C.")</f>
        <v>Sin precio neto G.C.</v>
      </c>
    </row>
    <row r="2087">
      <c r="A2087" s="4" t="str">
        <f>IFERROR(__xludf.DUMMYFUNCTION("""COMPUTED_VALUE"""),"PVC10070FOTOL")</f>
        <v>PVC10070FOTOL</v>
      </c>
      <c r="B2087" s="4" t="str">
        <f>IFERROR(__xludf.DUMMYFUNCTION("""COMPUTED_VALUE"""),"Cartel PVC fotoluminiscente 100x70 cm")</f>
        <v>Cartel PVC fotoluminiscente 100x70 cm</v>
      </c>
      <c r="C2087" s="4">
        <f>IFERROR(__xludf.DUMMYFUNCTION("""COMPUTED_VALUE"""),24.0)</f>
        <v>24</v>
      </c>
      <c r="D2087" s="4"/>
      <c r="E2087" s="4" t="str">
        <f>IFERROR(__xludf.DUMMYFUNCTION("""COMPUTED_VALUE"""),"Sin precio neto G.C.")</f>
        <v>Sin precio neto G.C.</v>
      </c>
    </row>
    <row r="2088">
      <c r="A2088" s="4" t="str">
        <f>IFERROR(__xludf.DUMMYFUNCTION("""COMPUTED_VALUE"""),"PVCRA1")</f>
        <v>PVCRA1</v>
      </c>
      <c r="B2088" s="4" t="str">
        <f>IFERROR(__xludf.DUMMYFUNCTION("""COMPUTED_VALUE"""),"Panel impreso PVC Rígido espumado 3 mm A1 (841x594 mm)")</f>
        <v>Panel impreso PVC Rígido espumado 3 mm A1 (841x594 mm)</v>
      </c>
      <c r="C2088" s="4">
        <f>IFERROR(__xludf.DUMMYFUNCTION("""COMPUTED_VALUE"""),14.7)</f>
        <v>14.7</v>
      </c>
      <c r="D2088" s="4"/>
      <c r="E2088" s="4" t="str">
        <f>IFERROR(__xludf.DUMMYFUNCTION("""COMPUTED_VALUE"""),"Sin precio neto G.C.")</f>
        <v>Sin precio neto G.C.</v>
      </c>
    </row>
    <row r="2089">
      <c r="A2089" s="4" t="str">
        <f>IFERROR(__xludf.DUMMYFUNCTION("""COMPUTED_VALUE"""),"PVCRA2")</f>
        <v>PVCRA2</v>
      </c>
      <c r="B2089" s="4" t="str">
        <f>IFERROR(__xludf.DUMMYFUNCTION("""COMPUTED_VALUE"""),"Panel impreso PVC Rígido espumado 3 mm A2 (594X420 mm)")</f>
        <v>Panel impreso PVC Rígido espumado 3 mm A2 (594X420 mm)</v>
      </c>
      <c r="C2089" s="4">
        <f>IFERROR(__xludf.DUMMYFUNCTION("""COMPUTED_VALUE"""),8.6)</f>
        <v>8.6</v>
      </c>
      <c r="D2089" s="4"/>
      <c r="E2089" s="4" t="str">
        <f>IFERROR(__xludf.DUMMYFUNCTION("""COMPUTED_VALUE"""),"Sin precio neto G.C.")</f>
        <v>Sin precio neto G.C.</v>
      </c>
    </row>
    <row r="2090">
      <c r="A2090" s="4" t="str">
        <f>IFERROR(__xludf.DUMMYFUNCTION("""COMPUTED_VALUE"""),"PVCRA3")</f>
        <v>PVCRA3</v>
      </c>
      <c r="B2090" s="4" t="str">
        <f>IFERROR(__xludf.DUMMYFUNCTION("""COMPUTED_VALUE"""),"Panel impreso PVC Rígido espumado 3 mm A3 (420x297 mm)")</f>
        <v>Panel impreso PVC Rígido espumado 3 mm A3 (420x297 mm)</v>
      </c>
      <c r="C2090" s="4">
        <f>IFERROR(__xludf.DUMMYFUNCTION("""COMPUTED_VALUE"""),5.44)</f>
        <v>5.44</v>
      </c>
      <c r="D2090" s="4"/>
      <c r="E2090" s="4" t="str">
        <f>IFERROR(__xludf.DUMMYFUNCTION("""COMPUTED_VALUE"""),"Sin precio neto G.C.")</f>
        <v>Sin precio neto G.C.</v>
      </c>
    </row>
    <row r="2091">
      <c r="A2091" s="4" t="str">
        <f>IFERROR(__xludf.DUMMYFUNCTION("""COMPUTED_VALUE"""),"PVCRA4")</f>
        <v>PVCRA4</v>
      </c>
      <c r="B2091" s="4" t="str">
        <f>IFERROR(__xludf.DUMMYFUNCTION("""COMPUTED_VALUE"""),"Panel impreso PVC Rígido espumado 3 mm A4 (297x210 mm)")</f>
        <v>Panel impreso PVC Rígido espumado 3 mm A4 (297x210 mm)</v>
      </c>
      <c r="C2091" s="4">
        <f>IFERROR(__xludf.DUMMYFUNCTION("""COMPUTED_VALUE"""),3.75)</f>
        <v>3.75</v>
      </c>
      <c r="D2091" s="4"/>
      <c r="E2091" s="4" t="str">
        <f>IFERROR(__xludf.DUMMYFUNCTION("""COMPUTED_VALUE"""),"Sin precio neto G.C.")</f>
        <v>Sin precio neto G.C.</v>
      </c>
    </row>
    <row r="2092">
      <c r="A2092" s="4" t="str">
        <f>IFERROR(__xludf.DUMMYFUNCTION("""COMPUTED_VALUE"""),"PVCRA5")</f>
        <v>PVCRA5</v>
      </c>
      <c r="B2092" s="4" t="str">
        <f>IFERROR(__xludf.DUMMYFUNCTION("""COMPUTED_VALUE"""),"Panel impreso PVC Rígido espumado 3 mm A5 (148x210 mm)")</f>
        <v>Panel impreso PVC Rígido espumado 3 mm A5 (148x210 mm)</v>
      </c>
      <c r="C2092" s="4">
        <f>IFERROR(__xludf.DUMMYFUNCTION("""COMPUTED_VALUE"""),2.54)</f>
        <v>2.54</v>
      </c>
      <c r="D2092" s="4"/>
      <c r="E2092" s="4" t="str">
        <f>IFERROR(__xludf.DUMMYFUNCTION("""COMPUTED_VALUE"""),"Sin precio neto G.C.")</f>
        <v>Sin precio neto G.C.</v>
      </c>
    </row>
    <row r="2093">
      <c r="A2093" s="4" t="str">
        <f>IFERROR(__xludf.DUMMYFUNCTION("""COMPUTED_VALUE"""),"PVCRA6")</f>
        <v>PVCRA6</v>
      </c>
      <c r="B2093" s="4" t="str">
        <f>IFERROR(__xludf.DUMMYFUNCTION("""COMPUTED_VALUE"""),"Panel impreso PVC Rígido espumado 3 mm A6 (105x148 mm)")</f>
        <v>Panel impreso PVC Rígido espumado 3 mm A6 (105x148 mm)</v>
      </c>
      <c r="C2093" s="4">
        <f>IFERROR(__xludf.DUMMYFUNCTION("""COMPUTED_VALUE"""),1.3)</f>
        <v>1.3</v>
      </c>
      <c r="D2093" s="4"/>
      <c r="E2093" s="4" t="str">
        <f>IFERROR(__xludf.DUMMYFUNCTION("""COMPUTED_VALUE"""),"Sin precio neto G.C.")</f>
        <v>Sin precio neto G.C.</v>
      </c>
    </row>
    <row r="2094">
      <c r="A2094" s="4" t="str">
        <f>IFERROR(__xludf.DUMMYFUNCTION("""COMPUTED_VALUE"""),"S13LUM")</f>
        <v>S13LUM</v>
      </c>
      <c r="B2094" s="4" t="str">
        <f>IFERROR(__xludf.DUMMYFUNCTION("""COMPUTED_VALUE"""),"Señal aluminio Luminosa S13 60 cm")</f>
        <v>Señal aluminio Luminosa S13 60 cm</v>
      </c>
      <c r="C2094" s="4">
        <f>IFERROR(__xludf.DUMMYFUNCTION("""COMPUTED_VALUE"""),575.0)</f>
        <v>575</v>
      </c>
      <c r="D2094" s="4"/>
      <c r="E2094" s="4" t="str">
        <f>IFERROR(__xludf.DUMMYFUNCTION("""COMPUTED_VALUE"""),"Sin precio neto G.C.")</f>
        <v>Sin precio neto G.C.</v>
      </c>
    </row>
    <row r="2095">
      <c r="A2095" s="4" t="str">
        <f>IFERROR(__xludf.DUMMYFUNCTION("""COMPUTED_VALUE"""),"S13SOLAR")</f>
        <v>S13SOLAR</v>
      </c>
      <c r="B2095" s="4" t="str">
        <f>IFERROR(__xludf.DUMMYFUNCTION("""COMPUTED_VALUE"""),"Kit Solar 20 w para alimentación 5 ah/12 v")</f>
        <v>Kit Solar 20 w para alimentación 5 ah/12 v</v>
      </c>
      <c r="C2095" s="4">
        <f>IFERROR(__xludf.DUMMYFUNCTION("""COMPUTED_VALUE"""),390.0)</f>
        <v>390</v>
      </c>
      <c r="D2095" s="4"/>
      <c r="E2095" s="4" t="str">
        <f>IFERROR(__xludf.DUMMYFUNCTION("""COMPUTED_VALUE"""),"Sin precio neto G.C.")</f>
        <v>Sin precio neto G.C.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tr">
        <f>IFERROR(__xludf.DUMMYFUNCTION("QUERY('Hoja 1'!A:L, ""SELECT A, B, K WHERE A IS NOT NULL"", 1)"),"Referencia")</f>
        <v>Referencia</v>
      </c>
      <c r="B1" s="4" t="str">
        <f>IFERROR(__xludf.DUMMYFUNCTION("""COMPUTED_VALUE"""),"Descripcion")</f>
        <v>Descripcion</v>
      </c>
      <c r="C1" s="4" t="str">
        <f>IFERROR(__xludf.DUMMYFUNCTION("""COMPUTED_VALUE"""),"PRECIO_GRUPO3")</f>
        <v>PRECIO_GRUPO3</v>
      </c>
    </row>
    <row r="2">
      <c r="A2" s="4" t="str">
        <f>IFERROR(__xludf.DUMMYFUNCTION("""COMPUTED_VALUE"""),"101")</f>
        <v>101</v>
      </c>
      <c r="B2" s="4" t="str">
        <f>IFERROR(__xludf.DUMMYFUNCTION("""COMPUTED_VALUE"""),"Cartel PVC 21x29 Fotolum. SALIDA FLECHA IZQ.")</f>
        <v>Cartel PVC 21x29 Fotolum. SALIDA FLECHA IZQ.</v>
      </c>
      <c r="C2" s="4">
        <f>IFERROR(__xludf.DUMMYFUNCTION("""COMPUTED_VALUE"""),2.6)</f>
        <v>2.6</v>
      </c>
    </row>
    <row r="3">
      <c r="A3" s="4" t="str">
        <f>IFERROR(__xludf.DUMMYFUNCTION("""COMPUTED_VALUE"""),"0101A")</f>
        <v>0101A</v>
      </c>
      <c r="B3" s="4" t="str">
        <f>IFERROR(__xludf.DUMMYFUNCTION("""COMPUTED_VALUE"""),"Cartel PVC 32x16 Fotolum Salida flecha derecha")</f>
        <v>Cartel PVC 32x16 Fotolum Salida flecha derecha</v>
      </c>
      <c r="C3" s="4">
        <f>IFERROR(__xludf.DUMMYFUNCTION("""COMPUTED_VALUE"""),2.25)</f>
        <v>2.25</v>
      </c>
    </row>
    <row r="4">
      <c r="A4" s="4" t="str">
        <f>IFERROR(__xludf.DUMMYFUNCTION("""COMPUTED_VALUE"""),"0101B")</f>
        <v>0101B</v>
      </c>
      <c r="B4" s="4" t="str">
        <f>IFERROR(__xludf.DUMMYFUNCTION("""COMPUTED_VALUE"""),"Cartel PVC 64x32 Fotolum Salida flecha derecha")</f>
        <v>Cartel PVC 64x32 Fotolum Salida flecha derecha</v>
      </c>
      <c r="C4" s="4">
        <f>IFERROR(__xludf.DUMMYFUNCTION("""COMPUTED_VALUE"""),4.48)</f>
        <v>4.48</v>
      </c>
    </row>
    <row r="5">
      <c r="A5" s="4" t="str">
        <f>IFERROR(__xludf.DUMMYFUNCTION("""COMPUTED_VALUE"""),"0101C")</f>
        <v>0101C</v>
      </c>
      <c r="B5" s="4" t="str">
        <f>IFERROR(__xludf.DUMMYFUNCTION("""COMPUTED_VALUE"""),"Cartel PVC 96x48 Fotolum Salida flecha derecha")</f>
        <v>Cartel PVC 96x48 Fotolum Salida flecha derecha</v>
      </c>
      <c r="C5" s="4">
        <f>IFERROR(__xludf.DUMMYFUNCTION("""COMPUTED_VALUE"""),8.96)</f>
        <v>8.96</v>
      </c>
    </row>
    <row r="6">
      <c r="A6" s="4" t="str">
        <f>IFERROR(__xludf.DUMMYFUNCTION("""COMPUTED_VALUE"""),"102")</f>
        <v>102</v>
      </c>
      <c r="B6" s="4" t="str">
        <f>IFERROR(__xludf.DUMMYFUNCTION("""COMPUTED_VALUE"""),"Cartel PVC 21x29 Fotolum. SALIDA FLECHA IZQ.")</f>
        <v>Cartel PVC 21x29 Fotolum. SALIDA FLECHA IZQ.</v>
      </c>
      <c r="C6" s="4">
        <f>IFERROR(__xludf.DUMMYFUNCTION("""COMPUTED_VALUE"""),2.6)</f>
        <v>2.6</v>
      </c>
    </row>
    <row r="7">
      <c r="A7" s="4" t="str">
        <f>IFERROR(__xludf.DUMMYFUNCTION("""COMPUTED_VALUE"""),"0102A")</f>
        <v>0102A</v>
      </c>
      <c r="B7" s="4" t="str">
        <f>IFERROR(__xludf.DUMMYFUNCTION("""COMPUTED_VALUE"""),"Cartel PVC 32x16 Fotolum Salida flecha izquierda")</f>
        <v>Cartel PVC 32x16 Fotolum Salida flecha izquierda</v>
      </c>
      <c r="C7" s="4">
        <f>IFERROR(__xludf.DUMMYFUNCTION("""COMPUTED_VALUE"""),2.25)</f>
        <v>2.25</v>
      </c>
    </row>
    <row r="8">
      <c r="A8" s="4" t="str">
        <f>IFERROR(__xludf.DUMMYFUNCTION("""COMPUTED_VALUE"""),"0102B")</f>
        <v>0102B</v>
      </c>
      <c r="B8" s="4" t="str">
        <f>IFERROR(__xludf.DUMMYFUNCTION("""COMPUTED_VALUE"""),"Cartel PVC 64x32 Fotolum Salida flecha izquierda")</f>
        <v>Cartel PVC 64x32 Fotolum Salida flecha izquierda</v>
      </c>
      <c r="C8" s="4">
        <f>IFERROR(__xludf.DUMMYFUNCTION("""COMPUTED_VALUE"""),4.48)</f>
        <v>4.48</v>
      </c>
    </row>
    <row r="9">
      <c r="A9" s="4" t="str">
        <f>IFERROR(__xludf.DUMMYFUNCTION("""COMPUTED_VALUE"""),"0102C")</f>
        <v>0102C</v>
      </c>
      <c r="B9" s="4" t="str">
        <f>IFERROR(__xludf.DUMMYFUNCTION("""COMPUTED_VALUE"""),"Cartel PVC 96x48 Fotolum Salida flecha izquierda")</f>
        <v>Cartel PVC 96x48 Fotolum Salida flecha izquierda</v>
      </c>
      <c r="C9" s="4">
        <f>IFERROR(__xludf.DUMMYFUNCTION("""COMPUTED_VALUE"""),8.96)</f>
        <v>8.96</v>
      </c>
    </row>
    <row r="10">
      <c r="A10" s="4" t="str">
        <f>IFERROR(__xludf.DUMMYFUNCTION("""COMPUTED_VALUE"""),"103")</f>
        <v>103</v>
      </c>
      <c r="B10" s="4" t="str">
        <f>IFERROR(__xludf.DUMMYFUNCTION("""COMPUTED_VALUE"""),"Cartel PVC 21x29 Fotolum. SALIDA FLECHA FRONTAL")</f>
        <v>Cartel PVC 21x29 Fotolum. SALIDA FLECHA FRONTAL</v>
      </c>
      <c r="C10" s="4">
        <f>IFERROR(__xludf.DUMMYFUNCTION("""COMPUTED_VALUE"""),2.6)</f>
        <v>2.6</v>
      </c>
    </row>
    <row r="11">
      <c r="A11" s="4" t="str">
        <f>IFERROR(__xludf.DUMMYFUNCTION("""COMPUTED_VALUE"""),"0103A")</f>
        <v>0103A</v>
      </c>
      <c r="B11" s="4" t="str">
        <f>IFERROR(__xludf.DUMMYFUNCTION("""COMPUTED_VALUE"""),"Cartel PVC 32x16 Fotolum Salida flecha arriba")</f>
        <v>Cartel PVC 32x16 Fotolum Salida flecha arriba</v>
      </c>
      <c r="C11" s="4">
        <f>IFERROR(__xludf.DUMMYFUNCTION("""COMPUTED_VALUE"""),2.25)</f>
        <v>2.25</v>
      </c>
    </row>
    <row r="12">
      <c r="A12" s="4" t="str">
        <f>IFERROR(__xludf.DUMMYFUNCTION("""COMPUTED_VALUE"""),"0103B")</f>
        <v>0103B</v>
      </c>
      <c r="B12" s="4" t="str">
        <f>IFERROR(__xludf.DUMMYFUNCTION("""COMPUTED_VALUE"""),"Cartel PVC 64x32 Fotolum Salida flecha arriba")</f>
        <v>Cartel PVC 64x32 Fotolum Salida flecha arriba</v>
      </c>
      <c r="C12" s="4">
        <f>IFERROR(__xludf.DUMMYFUNCTION("""COMPUTED_VALUE"""),4.48)</f>
        <v>4.48</v>
      </c>
    </row>
    <row r="13">
      <c r="A13" s="4" t="str">
        <f>IFERROR(__xludf.DUMMYFUNCTION("""COMPUTED_VALUE"""),"0103C")</f>
        <v>0103C</v>
      </c>
      <c r="B13" s="4" t="str">
        <f>IFERROR(__xludf.DUMMYFUNCTION("""COMPUTED_VALUE"""),"Cartel PVC 96x48 Fotolum Salida flecha arriba")</f>
        <v>Cartel PVC 96x48 Fotolum Salida flecha arriba</v>
      </c>
      <c r="C13" s="4">
        <f>IFERROR(__xludf.DUMMYFUNCTION("""COMPUTED_VALUE"""),8.96)</f>
        <v>8.96</v>
      </c>
    </row>
    <row r="14">
      <c r="A14" s="4" t="str">
        <f>IFERROR(__xludf.DUMMYFUNCTION("""COMPUTED_VALUE"""),"104")</f>
        <v>104</v>
      </c>
      <c r="B14" s="4" t="str">
        <f>IFERROR(__xludf.DUMMYFUNCTION("""COMPUTED_VALUE"""),"Cartel PVC 21x29 Fotolum. SALIDA FLECHA ABAJO")</f>
        <v>Cartel PVC 21x29 Fotolum. SALIDA FLECHA ABAJO</v>
      </c>
      <c r="C14" s="4">
        <f>IFERROR(__xludf.DUMMYFUNCTION("""COMPUTED_VALUE"""),2.6)</f>
        <v>2.6</v>
      </c>
    </row>
    <row r="15">
      <c r="A15" s="4" t="str">
        <f>IFERROR(__xludf.DUMMYFUNCTION("""COMPUTED_VALUE"""),"0104A")</f>
        <v>0104A</v>
      </c>
      <c r="B15" s="4" t="str">
        <f>IFERROR(__xludf.DUMMYFUNCTION("""COMPUTED_VALUE"""),"Cartel PVC 32x16 Fotolum Salida flecha abajo")</f>
        <v>Cartel PVC 32x16 Fotolum Salida flecha abajo</v>
      </c>
      <c r="C15" s="4">
        <f>IFERROR(__xludf.DUMMYFUNCTION("""COMPUTED_VALUE"""),2.25)</f>
        <v>2.25</v>
      </c>
    </row>
    <row r="16">
      <c r="A16" s="4" t="str">
        <f>IFERROR(__xludf.DUMMYFUNCTION("""COMPUTED_VALUE"""),"0104B")</f>
        <v>0104B</v>
      </c>
      <c r="B16" s="4" t="str">
        <f>IFERROR(__xludf.DUMMYFUNCTION("""COMPUTED_VALUE"""),"Cartel PVC 64x32 Fotolum Salida flecha abajo")</f>
        <v>Cartel PVC 64x32 Fotolum Salida flecha abajo</v>
      </c>
      <c r="C16" s="4">
        <f>IFERROR(__xludf.DUMMYFUNCTION("""COMPUTED_VALUE"""),4.48)</f>
        <v>4.48</v>
      </c>
    </row>
    <row r="17">
      <c r="A17" s="4" t="str">
        <f>IFERROR(__xludf.DUMMYFUNCTION("""COMPUTED_VALUE"""),"0104C")</f>
        <v>0104C</v>
      </c>
      <c r="B17" s="4" t="str">
        <f>IFERROR(__xludf.DUMMYFUNCTION("""COMPUTED_VALUE"""),"Cartel PVC 96x48 Fotolum Salida flecha abajo")</f>
        <v>Cartel PVC 96x48 Fotolum Salida flecha abajo</v>
      </c>
      <c r="C17" s="4">
        <f>IFERROR(__xludf.DUMMYFUNCTION("""COMPUTED_VALUE"""),8.96)</f>
        <v>8.96</v>
      </c>
    </row>
    <row r="18">
      <c r="A18" s="4" t="str">
        <f>IFERROR(__xludf.DUMMYFUNCTION("""COMPUTED_VALUE"""),"105")</f>
        <v>105</v>
      </c>
      <c r="B18" s="4" t="str">
        <f>IFERROR(__xludf.DUMMYFUNCTION("""COMPUTED_VALUE"""),"Cartel PVC 21x29 Fotolum. SALIDA-EXIT")</f>
        <v>Cartel PVC 21x29 Fotolum. SALIDA-EXIT</v>
      </c>
      <c r="C18" s="4">
        <f>IFERROR(__xludf.DUMMYFUNCTION("""COMPUTED_VALUE"""),2.6)</f>
        <v>2.6</v>
      </c>
    </row>
    <row r="19">
      <c r="A19" s="4" t="str">
        <f>IFERROR(__xludf.DUMMYFUNCTION("""COMPUTED_VALUE"""),"0105A")</f>
        <v>0105A</v>
      </c>
      <c r="B19" s="4" t="str">
        <f>IFERROR(__xludf.DUMMYFUNCTION("""COMPUTED_VALUE"""),"Cartel PVC 32x16 Fotolum. Salida-Exit")</f>
        <v>Cartel PVC 32x16 Fotolum. Salida-Exit</v>
      </c>
      <c r="C19" s="4">
        <f>IFERROR(__xludf.DUMMYFUNCTION("""COMPUTED_VALUE"""),2.25)</f>
        <v>2.25</v>
      </c>
    </row>
    <row r="20">
      <c r="A20" s="4" t="str">
        <f>IFERROR(__xludf.DUMMYFUNCTION("""COMPUTED_VALUE"""),"0105B")</f>
        <v>0105B</v>
      </c>
      <c r="B20" s="4" t="str">
        <f>IFERROR(__xludf.DUMMYFUNCTION("""COMPUTED_VALUE"""),"Cartel PVC 64x32 Fotolum. Salida-Exit")</f>
        <v>Cartel PVC 64x32 Fotolum. Salida-Exit</v>
      </c>
      <c r="C20" s="4">
        <f>IFERROR(__xludf.DUMMYFUNCTION("""COMPUTED_VALUE"""),4.48)</f>
        <v>4.48</v>
      </c>
    </row>
    <row r="21">
      <c r="A21" s="4" t="str">
        <f>IFERROR(__xludf.DUMMYFUNCTION("""COMPUTED_VALUE"""),"0105C")</f>
        <v>0105C</v>
      </c>
      <c r="B21" s="4" t="str">
        <f>IFERROR(__xludf.DUMMYFUNCTION("""COMPUTED_VALUE"""),"Cartel PVC 96x48 Fotolum. Salida-Exit")</f>
        <v>Cartel PVC 96x48 Fotolum. Salida-Exit</v>
      </c>
      <c r="C21" s="4">
        <f>IFERROR(__xludf.DUMMYFUNCTION("""COMPUTED_VALUE"""),8.96)</f>
        <v>8.96</v>
      </c>
    </row>
    <row r="22">
      <c r="A22" s="4" t="str">
        <f>IFERROR(__xludf.DUMMYFUNCTION("""COMPUTED_VALUE"""),"106")</f>
        <v>106</v>
      </c>
      <c r="B22" s="4" t="str">
        <f>IFERROR(__xludf.DUMMYFUNCTION("""COMPUTED_VALUE"""),"Cartel PVC 21x29 Fotolum. SALIDA EMERG. FLECHA DCHA")</f>
        <v>Cartel PVC 21x29 Fotolum. SALIDA EMERG. FLECHA DCHA</v>
      </c>
      <c r="C22" s="4">
        <f>IFERROR(__xludf.DUMMYFUNCTION("""COMPUTED_VALUE"""),2.6)</f>
        <v>2.6</v>
      </c>
    </row>
    <row r="23">
      <c r="A23" s="4" t="str">
        <f>IFERROR(__xludf.DUMMYFUNCTION("""COMPUTED_VALUE"""),"0106A")</f>
        <v>0106A</v>
      </c>
      <c r="B23" s="4" t="str">
        <f>IFERROR(__xludf.DUMMYFUNCTION("""COMPUTED_VALUE"""),"Cartel PVC 32x16 Fotolum. Salida de emergencia + flecha")</f>
        <v>Cartel PVC 32x16 Fotolum. Salida de emergencia + flecha</v>
      </c>
      <c r="C23" s="4">
        <f>IFERROR(__xludf.DUMMYFUNCTION("""COMPUTED_VALUE"""),2.25)</f>
        <v>2.25</v>
      </c>
    </row>
    <row r="24">
      <c r="A24" s="4" t="str">
        <f>IFERROR(__xludf.DUMMYFUNCTION("""COMPUTED_VALUE"""),"0106B")</f>
        <v>0106B</v>
      </c>
      <c r="B24" s="4" t="str">
        <f>IFERROR(__xludf.DUMMYFUNCTION("""COMPUTED_VALUE"""),"Cartel PVC 64x32 Fotolum. Salida de emergencia + flecha")</f>
        <v>Cartel PVC 64x32 Fotolum. Salida de emergencia + flecha</v>
      </c>
      <c r="C24" s="4">
        <f>IFERROR(__xludf.DUMMYFUNCTION("""COMPUTED_VALUE"""),4.48)</f>
        <v>4.48</v>
      </c>
    </row>
    <row r="25">
      <c r="A25" s="4" t="str">
        <f>IFERROR(__xludf.DUMMYFUNCTION("""COMPUTED_VALUE"""),"0106C")</f>
        <v>0106C</v>
      </c>
      <c r="B25" s="4" t="str">
        <f>IFERROR(__xludf.DUMMYFUNCTION("""COMPUTED_VALUE"""),"Cartel PVC 96x48 Fotolum. Salida de emergencia + flecha")</f>
        <v>Cartel PVC 96x48 Fotolum. Salida de emergencia + flecha</v>
      </c>
      <c r="C25" s="4">
        <f>IFERROR(__xludf.DUMMYFUNCTION("""COMPUTED_VALUE"""),8.96)</f>
        <v>8.96</v>
      </c>
    </row>
    <row r="26">
      <c r="A26" s="4" t="str">
        <f>IFERROR(__xludf.DUMMYFUNCTION("""COMPUTED_VALUE"""),"107")</f>
        <v>107</v>
      </c>
      <c r="B26" s="4" t="str">
        <f>IFERROR(__xludf.DUMMYFUNCTION("""COMPUTED_VALUE"""),"Cartel PVC 21x29 Fotolum. SALIDA EMERG. FLECHA IZQ.")</f>
        <v>Cartel PVC 21x29 Fotolum. SALIDA EMERG. FLECHA IZQ.</v>
      </c>
      <c r="C26" s="4">
        <f>IFERROR(__xludf.DUMMYFUNCTION("""COMPUTED_VALUE"""),2.6)</f>
        <v>2.6</v>
      </c>
    </row>
    <row r="27">
      <c r="A27" s="4" t="str">
        <f>IFERROR(__xludf.DUMMYFUNCTION("""COMPUTED_VALUE"""),"0107A")</f>
        <v>0107A</v>
      </c>
      <c r="B27" s="4" t="str">
        <f>IFERROR(__xludf.DUMMYFUNCTION("""COMPUTED_VALUE"""),"Cartel PVC 32x16 Fotolum. Salida de emergencia + flecha izq")</f>
        <v>Cartel PVC 32x16 Fotolum. Salida de emergencia + flecha izq</v>
      </c>
      <c r="C27" s="4">
        <f>IFERROR(__xludf.DUMMYFUNCTION("""COMPUTED_VALUE"""),2.25)</f>
        <v>2.25</v>
      </c>
    </row>
    <row r="28">
      <c r="A28" s="4" t="str">
        <f>IFERROR(__xludf.DUMMYFUNCTION("""COMPUTED_VALUE"""),"0107B")</f>
        <v>0107B</v>
      </c>
      <c r="B28" s="4" t="str">
        <f>IFERROR(__xludf.DUMMYFUNCTION("""COMPUTED_VALUE"""),"Cartel PVC 64x32 Fotolum. Salida de emergencia + flecha izq")</f>
        <v>Cartel PVC 64x32 Fotolum. Salida de emergencia + flecha izq</v>
      </c>
      <c r="C28" s="4">
        <f>IFERROR(__xludf.DUMMYFUNCTION("""COMPUTED_VALUE"""),4.48)</f>
        <v>4.48</v>
      </c>
    </row>
    <row r="29">
      <c r="A29" s="4" t="str">
        <f>IFERROR(__xludf.DUMMYFUNCTION("""COMPUTED_VALUE"""),"0107C")</f>
        <v>0107C</v>
      </c>
      <c r="B29" s="4" t="str">
        <f>IFERROR(__xludf.DUMMYFUNCTION("""COMPUTED_VALUE"""),"Cartel PVC 96x48 Fotolum. Salida de emergencia + flecha izq")</f>
        <v>Cartel PVC 96x48 Fotolum. Salida de emergencia + flecha izq</v>
      </c>
      <c r="C29" s="4">
        <f>IFERROR(__xludf.DUMMYFUNCTION("""COMPUTED_VALUE"""),8.96)</f>
        <v>8.96</v>
      </c>
    </row>
    <row r="30">
      <c r="A30" s="4" t="str">
        <f>IFERROR(__xludf.DUMMYFUNCTION("""COMPUTED_VALUE"""),"108")</f>
        <v>108</v>
      </c>
      <c r="B30" s="4" t="str">
        <f>IFERROR(__xludf.DUMMYFUNCTION("""COMPUTED_VALUE"""),"Cartel PVC 21X29 Fotolum. ESCALERA EMERG. FLECHA")</f>
        <v>Cartel PVC 21X29 Fotolum. ESCALERA EMERG. FLECHA</v>
      </c>
      <c r="C30" s="4">
        <f>IFERROR(__xludf.DUMMYFUNCTION("""COMPUTED_VALUE"""),2.6)</f>
        <v>2.6</v>
      </c>
    </row>
    <row r="31">
      <c r="A31" s="4" t="str">
        <f>IFERROR(__xludf.DUMMYFUNCTION("""COMPUTED_VALUE"""),"0108A")</f>
        <v>0108A</v>
      </c>
      <c r="B31" s="4" t="str">
        <f>IFERROR(__xludf.DUMMYFUNCTION("""COMPUTED_VALUE"""),"Cartel PVC 32x16 Fotolum. Escal. de emergencia + flecha")</f>
        <v>Cartel PVC 32x16 Fotolum. Escal. de emergencia + flecha</v>
      </c>
      <c r="C31" s="4">
        <f>IFERROR(__xludf.DUMMYFUNCTION("""COMPUTED_VALUE"""),2.25)</f>
        <v>2.25</v>
      </c>
    </row>
    <row r="32">
      <c r="A32" s="4" t="str">
        <f>IFERROR(__xludf.DUMMYFUNCTION("""COMPUTED_VALUE"""),"0108B")</f>
        <v>0108B</v>
      </c>
      <c r="B32" s="4" t="str">
        <f>IFERROR(__xludf.DUMMYFUNCTION("""COMPUTED_VALUE"""),"Cartel PVC 64x32 Fotolum. Escal. de emergencia + flecha")</f>
        <v>Cartel PVC 64x32 Fotolum. Escal. de emergencia + flecha</v>
      </c>
      <c r="C32" s="4">
        <f>IFERROR(__xludf.DUMMYFUNCTION("""COMPUTED_VALUE"""),4.48)</f>
        <v>4.48</v>
      </c>
    </row>
    <row r="33">
      <c r="A33" s="4" t="str">
        <f>IFERROR(__xludf.DUMMYFUNCTION("""COMPUTED_VALUE"""),"0108C")</f>
        <v>0108C</v>
      </c>
      <c r="B33" s="4" t="str">
        <f>IFERROR(__xludf.DUMMYFUNCTION("""COMPUTED_VALUE"""),"Cartel PVC 96x48 Fotolum. Escal. de emergencia + flecha")</f>
        <v>Cartel PVC 96x48 Fotolum. Escal. de emergencia + flecha</v>
      </c>
      <c r="C33" s="4">
        <f>IFERROR(__xludf.DUMMYFUNCTION("""COMPUTED_VALUE"""),8.96)</f>
        <v>8.96</v>
      </c>
    </row>
    <row r="34">
      <c r="A34" s="4" t="str">
        <f>IFERROR(__xludf.DUMMYFUNCTION("""COMPUTED_VALUE"""),"109")</f>
        <v>109</v>
      </c>
      <c r="B34" s="4" t="str">
        <f>IFERROR(__xludf.DUMMYFUNCTION("""COMPUTED_VALUE"""),"Cartel PVC 21x29 Fotolum. ESCALERA EMERG. FLECHA")</f>
        <v>Cartel PVC 21x29 Fotolum. ESCALERA EMERG. FLECHA</v>
      </c>
      <c r="C34" s="4">
        <f>IFERROR(__xludf.DUMMYFUNCTION("""COMPUTED_VALUE"""),2.6)</f>
        <v>2.6</v>
      </c>
    </row>
    <row r="35">
      <c r="A35" s="4" t="str">
        <f>IFERROR(__xludf.DUMMYFUNCTION("""COMPUTED_VALUE"""),"0109A")</f>
        <v>0109A</v>
      </c>
      <c r="B35" s="4" t="str">
        <f>IFERROR(__xludf.DUMMYFUNCTION("""COMPUTED_VALUE"""),"Cartel PVC 32x16 Fotolum. Escal. de emergencia + flecha izq.")</f>
        <v>Cartel PVC 32x16 Fotolum. Escal. de emergencia + flecha izq.</v>
      </c>
      <c r="C35" s="4">
        <f>IFERROR(__xludf.DUMMYFUNCTION("""COMPUTED_VALUE"""),2.25)</f>
        <v>2.25</v>
      </c>
    </row>
    <row r="36">
      <c r="A36" s="4" t="str">
        <f>IFERROR(__xludf.DUMMYFUNCTION("""COMPUTED_VALUE"""),"0109B")</f>
        <v>0109B</v>
      </c>
      <c r="B36" s="4" t="str">
        <f>IFERROR(__xludf.DUMMYFUNCTION("""COMPUTED_VALUE"""),"Cartel PVC 64x32 Fotolum. Escal. de emergencia + flecha izq.")</f>
        <v>Cartel PVC 64x32 Fotolum. Escal. de emergencia + flecha izq.</v>
      </c>
      <c r="C36" s="4">
        <f>IFERROR(__xludf.DUMMYFUNCTION("""COMPUTED_VALUE"""),4.48)</f>
        <v>4.48</v>
      </c>
    </row>
    <row r="37">
      <c r="A37" s="4" t="str">
        <f>IFERROR(__xludf.DUMMYFUNCTION("""COMPUTED_VALUE"""),"0109C")</f>
        <v>0109C</v>
      </c>
      <c r="B37" s="4" t="str">
        <f>IFERROR(__xludf.DUMMYFUNCTION("""COMPUTED_VALUE"""),"Cartel PVC 96x48 Fotolum. Escal. de emergencia + flecha izq.")</f>
        <v>Cartel PVC 96x48 Fotolum. Escal. de emergencia + flecha izq.</v>
      </c>
      <c r="C37" s="4">
        <f>IFERROR(__xludf.DUMMYFUNCTION("""COMPUTED_VALUE"""),8.96)</f>
        <v>8.96</v>
      </c>
    </row>
    <row r="38">
      <c r="A38" s="4" t="str">
        <f>IFERROR(__xludf.DUMMYFUNCTION("""COMPUTED_VALUE"""),"110")</f>
        <v>110</v>
      </c>
      <c r="B38" s="4" t="str">
        <f>IFERROR(__xludf.DUMMYFUNCTION("""COMPUTED_VALUE"""),"Cartel PVC 21x29 Fotolum. No utilizar en caso de incendio")</f>
        <v>Cartel PVC 21x29 Fotolum. No utilizar en caso de incendio</v>
      </c>
      <c r="C38" s="4">
        <f>IFERROR(__xludf.DUMMYFUNCTION("""COMPUTED_VALUE"""),2.6)</f>
        <v>2.6</v>
      </c>
    </row>
    <row r="39">
      <c r="A39" s="4" t="str">
        <f>IFERROR(__xludf.DUMMYFUNCTION("""COMPUTED_VALUE"""),"0116V")</f>
        <v>0116V</v>
      </c>
      <c r="B39" s="4" t="str">
        <f>IFERROR(__xludf.DUMMYFUNCTION("""COMPUTED_VALUE"""),"Vinilo Adhesivo suelo Dir. Peatonal 40 cm")</f>
        <v>Vinilo Adhesivo suelo Dir. Peatonal 40 cm</v>
      </c>
      <c r="C39" s="4">
        <f>IFERROR(__xludf.DUMMYFUNCTION("""COMPUTED_VALUE"""),6.15)</f>
        <v>6.15</v>
      </c>
    </row>
    <row r="40">
      <c r="A40" s="4" t="str">
        <f>IFERROR(__xludf.DUMMYFUNCTION("""COMPUTED_VALUE"""),"0150A")</f>
        <v>0150A</v>
      </c>
      <c r="B40" s="4" t="str">
        <f>IFERROR(__xludf.DUMMYFUNCTION("""COMPUTED_VALUE"""),"Cartel PVC 21x21 Fotolum. Pulsador de alarma")</f>
        <v>Cartel PVC 21x21 Fotolum. Pulsador de alarma</v>
      </c>
      <c r="C40" s="4">
        <f>IFERROR(__xludf.DUMMYFUNCTION("""COMPUTED_VALUE"""),2.31)</f>
        <v>2.31</v>
      </c>
    </row>
    <row r="41">
      <c r="A41" s="4" t="str">
        <f>IFERROR(__xludf.DUMMYFUNCTION("""COMPUTED_VALUE"""),"0150B")</f>
        <v>0150B</v>
      </c>
      <c r="B41" s="4" t="str">
        <f>IFERROR(__xludf.DUMMYFUNCTION("""COMPUTED_VALUE"""),"Cartel PVC 42x42 Fotolum. Pulsador de alarma")</f>
        <v>Cartel PVC 42x42 Fotolum. Pulsador de alarma</v>
      </c>
      <c r="C41" s="4">
        <f>IFERROR(__xludf.DUMMYFUNCTION("""COMPUTED_VALUE"""),3.9)</f>
        <v>3.9</v>
      </c>
    </row>
    <row r="42">
      <c r="A42" s="4" t="str">
        <f>IFERROR(__xludf.DUMMYFUNCTION("""COMPUTED_VALUE"""),"0150C")</f>
        <v>0150C</v>
      </c>
      <c r="B42" s="4" t="str">
        <f>IFERROR(__xludf.DUMMYFUNCTION("""COMPUTED_VALUE"""),"Cartel PVC 63x63 Fotolum. Pulsador de alarma")</f>
        <v>Cartel PVC 63x63 Fotolum. Pulsador de alarma</v>
      </c>
      <c r="C42" s="4">
        <f>IFERROR(__xludf.DUMMYFUNCTION("""COMPUTED_VALUE"""),6.25)</f>
        <v>6.25</v>
      </c>
    </row>
    <row r="43">
      <c r="A43" s="4" t="str">
        <f>IFERROR(__xludf.DUMMYFUNCTION("""COMPUTED_VALUE"""),"151")</f>
        <v>151</v>
      </c>
      <c r="B43" s="4" t="str">
        <f>IFERROR(__xludf.DUMMYFUNCTION("""COMPUTED_VALUE"""),"Cartel PVC 21x21 Fotolum. EXTINTOR IZQUIERDA")</f>
        <v>Cartel PVC 21x21 Fotolum. EXTINTOR IZQUIERDA</v>
      </c>
      <c r="C43" s="4">
        <f>IFERROR(__xludf.DUMMYFUNCTION("""COMPUTED_VALUE"""),2.31)</f>
        <v>2.31</v>
      </c>
    </row>
    <row r="44">
      <c r="A44" s="4" t="str">
        <f>IFERROR(__xludf.DUMMYFUNCTION("""COMPUTED_VALUE"""),"0151A")</f>
        <v>0151A</v>
      </c>
      <c r="B44" s="4" t="str">
        <f>IFERROR(__xludf.DUMMYFUNCTION("""COMPUTED_VALUE"""),"Cartel PVC 21x21 Fotolum. Carro extintor")</f>
        <v>Cartel PVC 21x21 Fotolum. Carro extintor</v>
      </c>
      <c r="C44" s="4">
        <f>IFERROR(__xludf.DUMMYFUNCTION("""COMPUTED_VALUE"""),2.31)</f>
        <v>2.31</v>
      </c>
    </row>
    <row r="45">
      <c r="A45" s="4" t="str">
        <f>IFERROR(__xludf.DUMMYFUNCTION("""COMPUTED_VALUE"""),"0151B")</f>
        <v>0151B</v>
      </c>
      <c r="B45" s="4" t="str">
        <f>IFERROR(__xludf.DUMMYFUNCTION("""COMPUTED_VALUE"""),"Cartel PVC 42x42 Fotolum. Carro extintor")</f>
        <v>Cartel PVC 42x42 Fotolum. Carro extintor</v>
      </c>
      <c r="C45" s="4">
        <f>IFERROR(__xludf.DUMMYFUNCTION("""COMPUTED_VALUE"""),3.9)</f>
        <v>3.9</v>
      </c>
    </row>
    <row r="46">
      <c r="A46" s="4" t="str">
        <f>IFERROR(__xludf.DUMMYFUNCTION("""COMPUTED_VALUE"""),"0151C")</f>
        <v>0151C</v>
      </c>
      <c r="B46" s="4" t="str">
        <f>IFERROR(__xludf.DUMMYFUNCTION("""COMPUTED_VALUE"""),"Cartel PVC 63x63 Fotolum. Carro extintor")</f>
        <v>Cartel PVC 63x63 Fotolum. Carro extintor</v>
      </c>
      <c r="C46" s="4">
        <f>IFERROR(__xludf.DUMMYFUNCTION("""COMPUTED_VALUE"""),6.25)</f>
        <v>6.25</v>
      </c>
    </row>
    <row r="47">
      <c r="A47" s="4" t="str">
        <f>IFERROR(__xludf.DUMMYFUNCTION("""COMPUTED_VALUE"""),"152")</f>
        <v>152</v>
      </c>
      <c r="B47" s="4" t="str">
        <f>IFERROR(__xludf.DUMMYFUNCTION("""COMPUTED_VALUE"""),"Cartel PVC 21x21 Fotolum. EXTINTOR ABAJO")</f>
        <v>Cartel PVC 21x21 Fotolum. EXTINTOR ABAJO</v>
      </c>
      <c r="C47" s="4">
        <f>IFERROR(__xludf.DUMMYFUNCTION("""COMPUTED_VALUE"""),2.31)</f>
        <v>2.31</v>
      </c>
    </row>
    <row r="48">
      <c r="A48" s="4" t="str">
        <f>IFERROR(__xludf.DUMMYFUNCTION("""COMPUTED_VALUE"""),"0152A")</f>
        <v>0152A</v>
      </c>
      <c r="B48" s="4" t="str">
        <f>IFERROR(__xludf.DUMMYFUNCTION("""COMPUTED_VALUE"""),"Cartel PVC 21x21 Fotolum. Escalera")</f>
        <v>Cartel PVC 21x21 Fotolum. Escalera</v>
      </c>
      <c r="C48" s="4">
        <f>IFERROR(__xludf.DUMMYFUNCTION("""COMPUTED_VALUE"""),2.31)</f>
        <v>2.31</v>
      </c>
    </row>
    <row r="49">
      <c r="A49" s="4" t="str">
        <f>IFERROR(__xludf.DUMMYFUNCTION("""COMPUTED_VALUE"""),"0152B")</f>
        <v>0152B</v>
      </c>
      <c r="B49" s="4" t="str">
        <f>IFERROR(__xludf.DUMMYFUNCTION("""COMPUTED_VALUE"""),"Cartel PVC 42x42 Fotolum. Escalera")</f>
        <v>Cartel PVC 42x42 Fotolum. Escalera</v>
      </c>
      <c r="C49" s="4">
        <f>IFERROR(__xludf.DUMMYFUNCTION("""COMPUTED_VALUE"""),3.9)</f>
        <v>3.9</v>
      </c>
    </row>
    <row r="50">
      <c r="A50" s="4" t="str">
        <f>IFERROR(__xludf.DUMMYFUNCTION("""COMPUTED_VALUE"""),"0152C")</f>
        <v>0152C</v>
      </c>
      <c r="B50" s="4" t="str">
        <f>IFERROR(__xludf.DUMMYFUNCTION("""COMPUTED_VALUE"""),"Cartel PVC 63x63 Fotolum. Escalera")</f>
        <v>Cartel PVC 63x63 Fotolum. Escalera</v>
      </c>
      <c r="C50" s="4">
        <f>IFERROR(__xludf.DUMMYFUNCTION("""COMPUTED_VALUE"""),6.25)</f>
        <v>6.25</v>
      </c>
    </row>
    <row r="51">
      <c r="A51" s="4" t="str">
        <f>IFERROR(__xludf.DUMMYFUNCTION("""COMPUTED_VALUE"""),"153")</f>
        <v>153</v>
      </c>
      <c r="B51" s="4" t="str">
        <f>IFERROR(__xludf.DUMMYFUNCTION("""COMPUTED_VALUE"""),"Cartel PVC 21x21 Fotolum. PULSADOR")</f>
        <v>Cartel PVC 21x21 Fotolum. PULSADOR</v>
      </c>
      <c r="C51" s="4">
        <f>IFERROR(__xludf.DUMMYFUNCTION("""COMPUTED_VALUE"""),2.31)</f>
        <v>2.31</v>
      </c>
    </row>
    <row r="52">
      <c r="A52" s="4" t="str">
        <f>IFERROR(__xludf.DUMMYFUNCTION("""COMPUTED_VALUE"""),"0153A")</f>
        <v>0153A</v>
      </c>
      <c r="B52" s="4" t="str">
        <f>IFERROR(__xludf.DUMMYFUNCTION("""COMPUTED_VALUE"""),"Cartel PVC 21x21 Fotolum. Flecha abajo derecha")</f>
        <v>Cartel PVC 21x21 Fotolum. Flecha abajo derecha</v>
      </c>
      <c r="C52" s="4">
        <f>IFERROR(__xludf.DUMMYFUNCTION("""COMPUTED_VALUE"""),2.31)</f>
        <v>2.31</v>
      </c>
    </row>
    <row r="53">
      <c r="A53" s="4" t="str">
        <f>IFERROR(__xludf.DUMMYFUNCTION("""COMPUTED_VALUE"""),"0153B")</f>
        <v>0153B</v>
      </c>
      <c r="B53" s="4" t="str">
        <f>IFERROR(__xludf.DUMMYFUNCTION("""COMPUTED_VALUE"""),"Cartel PVC 42x42 Fotolum. Flecha abajo derecha")</f>
        <v>Cartel PVC 42x42 Fotolum. Flecha abajo derecha</v>
      </c>
      <c r="C53" s="4">
        <f>IFERROR(__xludf.DUMMYFUNCTION("""COMPUTED_VALUE"""),3.9)</f>
        <v>3.9</v>
      </c>
    </row>
    <row r="54">
      <c r="A54" s="4" t="str">
        <f>IFERROR(__xludf.DUMMYFUNCTION("""COMPUTED_VALUE"""),"0153C")</f>
        <v>0153C</v>
      </c>
      <c r="B54" s="4" t="str">
        <f>IFERROR(__xludf.DUMMYFUNCTION("""COMPUTED_VALUE"""),"Cartel PVC 63x63 Fotolum. Flecha abajo derecha")</f>
        <v>Cartel PVC 63x63 Fotolum. Flecha abajo derecha</v>
      </c>
      <c r="C54" s="4">
        <f>IFERROR(__xludf.DUMMYFUNCTION("""COMPUTED_VALUE"""),6.25)</f>
        <v>6.25</v>
      </c>
    </row>
    <row r="55">
      <c r="A55" s="4" t="str">
        <f>IFERROR(__xludf.DUMMYFUNCTION("""COMPUTED_VALUE"""),"154")</f>
        <v>154</v>
      </c>
      <c r="B55" s="4" t="str">
        <f>IFERROR(__xludf.DUMMYFUNCTION("""COMPUTED_VALUE"""),"Cartel PVC 21x21 Fotolum. PULSADOR IZQUIERDA")</f>
        <v>Cartel PVC 21x21 Fotolum. PULSADOR IZQUIERDA</v>
      </c>
      <c r="C55" s="4">
        <f>IFERROR(__xludf.DUMMYFUNCTION("""COMPUTED_VALUE"""),2.31)</f>
        <v>2.31</v>
      </c>
    </row>
    <row r="56">
      <c r="A56" s="4" t="str">
        <f>IFERROR(__xludf.DUMMYFUNCTION("""COMPUTED_VALUE"""),"0154A")</f>
        <v>0154A</v>
      </c>
      <c r="B56" s="4" t="str">
        <f>IFERROR(__xludf.DUMMYFUNCTION("""COMPUTED_VALUE"""),"Cartel PVC 21x21 Fotolum. Flecha abajo izquierda")</f>
        <v>Cartel PVC 21x21 Fotolum. Flecha abajo izquierda</v>
      </c>
      <c r="C56" s="4">
        <f>IFERROR(__xludf.DUMMYFUNCTION("""COMPUTED_VALUE"""),2.31)</f>
        <v>2.31</v>
      </c>
    </row>
    <row r="57">
      <c r="A57" s="4" t="str">
        <f>IFERROR(__xludf.DUMMYFUNCTION("""COMPUTED_VALUE"""),"0154B")</f>
        <v>0154B</v>
      </c>
      <c r="B57" s="4" t="str">
        <f>IFERROR(__xludf.DUMMYFUNCTION("""COMPUTED_VALUE"""),"Cartel PVC 42x42 Fotolum. Flecha abajo izquierda")</f>
        <v>Cartel PVC 42x42 Fotolum. Flecha abajo izquierda</v>
      </c>
      <c r="C57" s="4">
        <f>IFERROR(__xludf.DUMMYFUNCTION("""COMPUTED_VALUE"""),3.9)</f>
        <v>3.9</v>
      </c>
    </row>
    <row r="58">
      <c r="A58" s="4" t="str">
        <f>IFERROR(__xludf.DUMMYFUNCTION("""COMPUTED_VALUE"""),"0154C")</f>
        <v>0154C</v>
      </c>
      <c r="B58" s="4" t="str">
        <f>IFERROR(__xludf.DUMMYFUNCTION("""COMPUTED_VALUE"""),"Cartel PVC 21x21 Fotolum. Flecha abajo izquierda")</f>
        <v>Cartel PVC 21x21 Fotolum. Flecha abajo izquierda</v>
      </c>
      <c r="C58" s="4">
        <f>IFERROR(__xludf.DUMMYFUNCTION("""COMPUTED_VALUE"""),6.25)</f>
        <v>6.25</v>
      </c>
    </row>
    <row r="59">
      <c r="A59" s="4" t="str">
        <f>IFERROR(__xludf.DUMMYFUNCTION("""COMPUTED_VALUE"""),"155")</f>
        <v>155</v>
      </c>
      <c r="B59" s="4" t="str">
        <f>IFERROR(__xludf.DUMMYFUNCTION("""COMPUTED_VALUE"""),"Cartel PVC 21x21 Fotolum. PULSADOR DERECHA")</f>
        <v>Cartel PVC 21x21 Fotolum. PULSADOR DERECHA</v>
      </c>
      <c r="C59" s="4">
        <f>IFERROR(__xludf.DUMMYFUNCTION("""COMPUTED_VALUE"""),2.31)</f>
        <v>2.31</v>
      </c>
    </row>
    <row r="60">
      <c r="A60" s="4" t="str">
        <f>IFERROR(__xludf.DUMMYFUNCTION("""COMPUTED_VALUE"""),"160")</f>
        <v>160</v>
      </c>
      <c r="B60" s="4" t="str">
        <f>IFERROR(__xludf.DUMMYFUNCTION("""COMPUTED_VALUE"""),"Cartel PVC 21x21 Fotolum. PUERTA EMERGENCIA IZQ.")</f>
        <v>Cartel PVC 21x21 Fotolum. PUERTA EMERGENCIA IZQ.</v>
      </c>
      <c r="C60" s="4">
        <f>IFERROR(__xludf.DUMMYFUNCTION("""COMPUTED_VALUE"""),2.31)</f>
        <v>2.31</v>
      </c>
    </row>
    <row r="61">
      <c r="A61" s="4" t="str">
        <f>IFERROR(__xludf.DUMMYFUNCTION("""COMPUTED_VALUE"""),"0160A")</f>
        <v>0160A</v>
      </c>
      <c r="B61" s="4" t="str">
        <f>IFERROR(__xludf.DUMMYFUNCTION("""COMPUTED_VALUE"""),"Cartel PVC 21x21 Fotolum. Salida emergencia izquierda")</f>
        <v>Cartel PVC 21x21 Fotolum. Salida emergencia izquierda</v>
      </c>
      <c r="C61" s="4">
        <f>IFERROR(__xludf.DUMMYFUNCTION("""COMPUTED_VALUE"""),2.31)</f>
        <v>2.31</v>
      </c>
    </row>
    <row r="62">
      <c r="A62" s="4" t="str">
        <f>IFERROR(__xludf.DUMMYFUNCTION("""COMPUTED_VALUE"""),"0160B")</f>
        <v>0160B</v>
      </c>
      <c r="B62" s="4" t="str">
        <f>IFERROR(__xludf.DUMMYFUNCTION("""COMPUTED_VALUE"""),"Cartel PVC 42x42 Fotolum. Salida emergencia izquierda")</f>
        <v>Cartel PVC 42x42 Fotolum. Salida emergencia izquierda</v>
      </c>
      <c r="C62" s="4">
        <f>IFERROR(__xludf.DUMMYFUNCTION("""COMPUTED_VALUE"""),3.9)</f>
        <v>3.9</v>
      </c>
    </row>
    <row r="63">
      <c r="A63" s="4" t="str">
        <f>IFERROR(__xludf.DUMMYFUNCTION("""COMPUTED_VALUE"""),"0160C")</f>
        <v>0160C</v>
      </c>
      <c r="B63" s="4" t="str">
        <f>IFERROR(__xludf.DUMMYFUNCTION("""COMPUTED_VALUE"""),"Cartel PVC 63x63 Fotolum. Salida emergencia izquierda")</f>
        <v>Cartel PVC 63x63 Fotolum. Salida emergencia izquierda</v>
      </c>
      <c r="C63" s="4">
        <f>IFERROR(__xludf.DUMMYFUNCTION("""COMPUTED_VALUE"""),6.25)</f>
        <v>6.25</v>
      </c>
    </row>
    <row r="64">
      <c r="A64" s="4" t="str">
        <f>IFERROR(__xludf.DUMMYFUNCTION("""COMPUTED_VALUE"""),"161")</f>
        <v>161</v>
      </c>
      <c r="B64" s="4" t="str">
        <f>IFERROR(__xludf.DUMMYFUNCTION("""COMPUTED_VALUE"""),"Cartel PVC 21x21 Fotolum. PUERTA EMERGENCIA")</f>
        <v>Cartel PVC 21x21 Fotolum. PUERTA EMERGENCIA</v>
      </c>
      <c r="C64" s="4">
        <f>IFERROR(__xludf.DUMMYFUNCTION("""COMPUTED_VALUE"""),2.31)</f>
        <v>2.31</v>
      </c>
    </row>
    <row r="65">
      <c r="A65" s="4" t="str">
        <f>IFERROR(__xludf.DUMMYFUNCTION("""COMPUTED_VALUE"""),"0161A")</f>
        <v>0161A</v>
      </c>
      <c r="B65" s="4" t="str">
        <f>IFERROR(__xludf.DUMMYFUNCTION("""COMPUTED_VALUE"""),"Cartel PVC 21x21 Fotolum. Salida emergencia derecha")</f>
        <v>Cartel PVC 21x21 Fotolum. Salida emergencia derecha</v>
      </c>
      <c r="C65" s="4">
        <f>IFERROR(__xludf.DUMMYFUNCTION("""COMPUTED_VALUE"""),2.31)</f>
        <v>2.31</v>
      </c>
    </row>
    <row r="66">
      <c r="A66" s="4" t="str">
        <f>IFERROR(__xludf.DUMMYFUNCTION("""COMPUTED_VALUE"""),"0161B")</f>
        <v>0161B</v>
      </c>
      <c r="B66" s="4" t="str">
        <f>IFERROR(__xludf.DUMMYFUNCTION("""COMPUTED_VALUE"""),"Cartel PVC 42x42 Fotolum. Salida emergencia derecha")</f>
        <v>Cartel PVC 42x42 Fotolum. Salida emergencia derecha</v>
      </c>
      <c r="C66" s="4">
        <f>IFERROR(__xludf.DUMMYFUNCTION("""COMPUTED_VALUE"""),3.9)</f>
        <v>3.9</v>
      </c>
    </row>
    <row r="67">
      <c r="A67" s="4" t="str">
        <f>IFERROR(__xludf.DUMMYFUNCTION("""COMPUTED_VALUE"""),"0161C")</f>
        <v>0161C</v>
      </c>
      <c r="B67" s="4" t="str">
        <f>IFERROR(__xludf.DUMMYFUNCTION("""COMPUTED_VALUE"""),"Cartel PVC 63x63 Fotolum. Salida emergencia derecha")</f>
        <v>Cartel PVC 63x63 Fotolum. Salida emergencia derecha</v>
      </c>
      <c r="C67" s="4">
        <f>IFERROR(__xludf.DUMMYFUNCTION("""COMPUTED_VALUE"""),6.25)</f>
        <v>6.25</v>
      </c>
    </row>
    <row r="68">
      <c r="A68" s="4" t="str">
        <f>IFERROR(__xludf.DUMMYFUNCTION("""COMPUTED_VALUE"""),"162")</f>
        <v>162</v>
      </c>
      <c r="B68" s="4" t="str">
        <f>IFERROR(__xludf.DUMMYFUNCTION("""COMPUTED_VALUE"""),"Cartel PVC 21x21 Fotolum. PUERTA-ESCALERA EMERG. IZ")</f>
        <v>Cartel PVC 21x21 Fotolum. PUERTA-ESCALERA EMERG. IZ</v>
      </c>
      <c r="C68" s="4">
        <f>IFERROR(__xludf.DUMMYFUNCTION("""COMPUTED_VALUE"""),2.31)</f>
        <v>2.31</v>
      </c>
    </row>
    <row r="69">
      <c r="A69" s="4" t="str">
        <f>IFERROR(__xludf.DUMMYFUNCTION("""COMPUTED_VALUE"""),"0162A")</f>
        <v>0162A</v>
      </c>
      <c r="B69" s="4" t="str">
        <f>IFERROR(__xludf.DUMMYFUNCTION("""COMPUTED_VALUE"""),"Cartel PVC 21x21 Fotolum. flecha izquierda")</f>
        <v>Cartel PVC 21x21 Fotolum. flecha izquierda</v>
      </c>
      <c r="C69" s="4">
        <f>IFERROR(__xludf.DUMMYFUNCTION("""COMPUTED_VALUE"""),1.25)</f>
        <v>1.25</v>
      </c>
    </row>
    <row r="70">
      <c r="A70" s="4" t="str">
        <f>IFERROR(__xludf.DUMMYFUNCTION("""COMPUTED_VALUE"""),"0162B")</f>
        <v>0162B</v>
      </c>
      <c r="B70" s="4" t="str">
        <f>IFERROR(__xludf.DUMMYFUNCTION("""COMPUTED_VALUE"""),"Cartel PVC 42x42 Fotolum. flecha izquierda")</f>
        <v>Cartel PVC 42x42 Fotolum. flecha izquierda</v>
      </c>
      <c r="C70" s="4">
        <f>IFERROR(__xludf.DUMMYFUNCTION("""COMPUTED_VALUE"""),3.9)</f>
        <v>3.9</v>
      </c>
    </row>
    <row r="71">
      <c r="A71" s="4" t="str">
        <f>IFERROR(__xludf.DUMMYFUNCTION("""COMPUTED_VALUE"""),"0162C")</f>
        <v>0162C</v>
      </c>
      <c r="B71" s="4" t="str">
        <f>IFERROR(__xludf.DUMMYFUNCTION("""COMPUTED_VALUE"""),"Cartel PVC 63x63 Fotolum. flecha izquierda")</f>
        <v>Cartel PVC 63x63 Fotolum. flecha izquierda</v>
      </c>
      <c r="C71" s="4">
        <f>IFERROR(__xludf.DUMMYFUNCTION("""COMPUTED_VALUE"""),6.25)</f>
        <v>6.25</v>
      </c>
    </row>
    <row r="72">
      <c r="A72" s="4" t="str">
        <f>IFERROR(__xludf.DUMMYFUNCTION("""COMPUTED_VALUE"""),"163")</f>
        <v>163</v>
      </c>
      <c r="B72" s="4" t="str">
        <f>IFERROR(__xludf.DUMMYFUNCTION("""COMPUTED_VALUE"""),"Cartel PVC 21x21 Fotolum. PUERTA-ESCALERA EMERG.")</f>
        <v>Cartel PVC 21x21 Fotolum. PUERTA-ESCALERA EMERG.</v>
      </c>
      <c r="C72" s="4">
        <f>IFERROR(__xludf.DUMMYFUNCTION("""COMPUTED_VALUE"""),2.31)</f>
        <v>2.31</v>
      </c>
    </row>
    <row r="73">
      <c r="A73" s="4" t="str">
        <f>IFERROR(__xludf.DUMMYFUNCTION("""COMPUTED_VALUE"""),"0163A")</f>
        <v>0163A</v>
      </c>
      <c r="B73" s="4" t="str">
        <f>IFERROR(__xludf.DUMMYFUNCTION("""COMPUTED_VALUE"""),"Cartel PVC 21x21 Fotolum. flecha derecha")</f>
        <v>Cartel PVC 21x21 Fotolum. flecha derecha</v>
      </c>
      <c r="C73" s="4">
        <f>IFERROR(__xludf.DUMMYFUNCTION("""COMPUTED_VALUE"""),2.31)</f>
        <v>2.31</v>
      </c>
    </row>
    <row r="74">
      <c r="A74" s="4" t="str">
        <f>IFERROR(__xludf.DUMMYFUNCTION("""COMPUTED_VALUE"""),"0163B")</f>
        <v>0163B</v>
      </c>
      <c r="B74" s="4" t="str">
        <f>IFERROR(__xludf.DUMMYFUNCTION("""COMPUTED_VALUE"""),"Cartel PVC 42x42 Fotolum. flecha derecha")</f>
        <v>Cartel PVC 42x42 Fotolum. flecha derecha</v>
      </c>
      <c r="C74" s="4">
        <f>IFERROR(__xludf.DUMMYFUNCTION("""COMPUTED_VALUE"""),3.9)</f>
        <v>3.9</v>
      </c>
    </row>
    <row r="75">
      <c r="A75" s="4" t="str">
        <f>IFERROR(__xludf.DUMMYFUNCTION("""COMPUTED_VALUE"""),"0163C")</f>
        <v>0163C</v>
      </c>
      <c r="B75" s="4" t="str">
        <f>IFERROR(__xludf.DUMMYFUNCTION("""COMPUTED_VALUE"""),"Cartel PVC 63x63 Fotolum. flecha derecha")</f>
        <v>Cartel PVC 63x63 Fotolum. flecha derecha</v>
      </c>
      <c r="C75" s="4">
        <f>IFERROR(__xludf.DUMMYFUNCTION("""COMPUTED_VALUE"""),6.25)</f>
        <v>6.25</v>
      </c>
    </row>
    <row r="76">
      <c r="A76" s="4" t="str">
        <f>IFERROR(__xludf.DUMMYFUNCTION("""COMPUTED_VALUE"""),"164")</f>
        <v>164</v>
      </c>
      <c r="B76" s="4" t="str">
        <f>IFERROR(__xludf.DUMMYFUNCTION("""COMPUTED_VALUE"""),"Cartel PVC 21x21 Fotolum. EMPUJAR BARRA APERTURA")</f>
        <v>Cartel PVC 21x21 Fotolum. EMPUJAR BARRA APERTURA</v>
      </c>
      <c r="C76" s="4">
        <f>IFERROR(__xludf.DUMMYFUNCTION("""COMPUTED_VALUE"""),2.31)</f>
        <v>2.31</v>
      </c>
    </row>
    <row r="77">
      <c r="A77" s="4" t="str">
        <f>IFERROR(__xludf.DUMMYFUNCTION("""COMPUTED_VALUE"""),"165")</f>
        <v>165</v>
      </c>
      <c r="B77" s="4" t="str">
        <f>IFERROR(__xludf.DUMMYFUNCTION("""COMPUTED_VALUE"""),"Cartel PVC 21x21 Fotolum. FLECHA")</f>
        <v>Cartel PVC 21x21 Fotolum. FLECHA</v>
      </c>
      <c r="C77" s="4">
        <f>IFERROR(__xludf.DUMMYFUNCTION("""COMPUTED_VALUE"""),2.31)</f>
        <v>2.31</v>
      </c>
    </row>
    <row r="78">
      <c r="A78" s="4" t="str">
        <f>IFERROR(__xludf.DUMMYFUNCTION("""COMPUTED_VALUE"""),"175")</f>
        <v>175</v>
      </c>
      <c r="B78" s="4" t="str">
        <f>IFERROR(__xludf.DUMMYFUNCTION("""COMPUTED_VALUE"""),"Cartel PVC 30x10 Fotolum. SALIDA")</f>
        <v>Cartel PVC 30x10 Fotolum. SALIDA</v>
      </c>
      <c r="C78" s="4">
        <f>IFERROR(__xludf.DUMMYFUNCTION("""COMPUTED_VALUE"""),1.89)</f>
        <v>1.89</v>
      </c>
    </row>
    <row r="79">
      <c r="A79" s="4" t="str">
        <f>IFERROR(__xludf.DUMMYFUNCTION("""COMPUTED_VALUE"""),"176")</f>
        <v>176</v>
      </c>
      <c r="B79" s="4" t="str">
        <f>IFERROR(__xludf.DUMMYFUNCTION("""COMPUTED_VALUE"""),"Cartel PVC 30x10 Fotolum. SALIDA FLECHA DCHA")</f>
        <v>Cartel PVC 30x10 Fotolum. SALIDA FLECHA DCHA</v>
      </c>
      <c r="C79" s="4">
        <f>IFERROR(__xludf.DUMMYFUNCTION("""COMPUTED_VALUE"""),1.89)</f>
        <v>1.89</v>
      </c>
    </row>
    <row r="80">
      <c r="A80" s="4" t="str">
        <f>IFERROR(__xludf.DUMMYFUNCTION("""COMPUTED_VALUE"""),"177")</f>
        <v>177</v>
      </c>
      <c r="B80" s="4" t="str">
        <f>IFERROR(__xludf.DUMMYFUNCTION("""COMPUTED_VALUE"""),"Cartel PVC 30x10 Fotolum. SALIDA FLECHA IZQ.")</f>
        <v>Cartel PVC 30x10 Fotolum. SALIDA FLECHA IZQ.</v>
      </c>
      <c r="C80" s="4">
        <f>IFERROR(__xludf.DUMMYFUNCTION("""COMPUTED_VALUE"""),1.89)</f>
        <v>1.89</v>
      </c>
    </row>
    <row r="81">
      <c r="A81" s="4" t="str">
        <f>IFERROR(__xludf.DUMMYFUNCTION("""COMPUTED_VALUE"""),"178")</f>
        <v>178</v>
      </c>
      <c r="B81" s="4" t="str">
        <f>IFERROR(__xludf.DUMMYFUNCTION("""COMPUTED_VALUE"""),"Cartel PVC 30x10 Fotolum. SALIDA FLECHA ARRIBA")</f>
        <v>Cartel PVC 30x10 Fotolum. SALIDA FLECHA ARRIBA</v>
      </c>
      <c r="C81" s="4">
        <f>IFERROR(__xludf.DUMMYFUNCTION("""COMPUTED_VALUE"""),1.89)</f>
        <v>1.89</v>
      </c>
    </row>
    <row r="82">
      <c r="A82" s="4" t="str">
        <f>IFERROR(__xludf.DUMMYFUNCTION("""COMPUTED_VALUE"""),"179")</f>
        <v>179</v>
      </c>
      <c r="B82" s="4" t="str">
        <f>IFERROR(__xludf.DUMMYFUNCTION("""COMPUTED_VALUE"""),"Cartel PVC 30x10 Fotolum. SALIDA FLECHA ABAJO")</f>
        <v>Cartel PVC 30x10 Fotolum. SALIDA FLECHA ABAJO</v>
      </c>
      <c r="C82" s="4">
        <f>IFERROR(__xludf.DUMMYFUNCTION("""COMPUTED_VALUE"""),1.89)</f>
        <v>1.89</v>
      </c>
    </row>
    <row r="83">
      <c r="A83" s="4" t="str">
        <f>IFERROR(__xludf.DUMMYFUNCTION("""COMPUTED_VALUE"""),"180")</f>
        <v>180</v>
      </c>
      <c r="B83" s="4" t="str">
        <f>IFERROR(__xludf.DUMMYFUNCTION("""COMPUTED_VALUE"""),"Cartel PVC 30x10 Fotolum. SALIDA EMERGENCIA FLECHA")</f>
        <v>Cartel PVC 30x10 Fotolum. SALIDA EMERGENCIA FLECHA</v>
      </c>
      <c r="C83" s="4">
        <f>IFERROR(__xludf.DUMMYFUNCTION("""COMPUTED_VALUE"""),1.89)</f>
        <v>1.89</v>
      </c>
    </row>
    <row r="84">
      <c r="A84" s="4" t="str">
        <f>IFERROR(__xludf.DUMMYFUNCTION("""COMPUTED_VALUE"""),"181")</f>
        <v>181</v>
      </c>
      <c r="B84" s="4" t="str">
        <f>IFERROR(__xludf.DUMMYFUNCTION("""COMPUTED_VALUE"""),"Cartel PVC 30x10 Fotolum. SALIDA EMERGENCIA FLECHA")</f>
        <v>Cartel PVC 30x10 Fotolum. SALIDA EMERGENCIA FLECHA</v>
      </c>
      <c r="C84" s="4">
        <f>IFERROR(__xludf.DUMMYFUNCTION("""COMPUTED_VALUE"""),1.89)</f>
        <v>1.89</v>
      </c>
    </row>
    <row r="85">
      <c r="A85" s="4" t="str">
        <f>IFERROR(__xludf.DUMMYFUNCTION("""COMPUTED_VALUE"""),"182")</f>
        <v>182</v>
      </c>
      <c r="B85" s="4" t="str">
        <f>IFERROR(__xludf.DUMMYFUNCTION("""COMPUTED_VALUE"""),"Cartel PVC 30x10 Fotolum. FLECHA")</f>
        <v>Cartel PVC 30x10 Fotolum. FLECHA</v>
      </c>
      <c r="C85" s="4">
        <f>IFERROR(__xludf.DUMMYFUNCTION("""COMPUTED_VALUE"""),1.89)</f>
        <v>1.89</v>
      </c>
    </row>
    <row r="86">
      <c r="A86" s="4" t="str">
        <f>IFERROR(__xludf.DUMMYFUNCTION("""COMPUTED_VALUE"""),"183")</f>
        <v>183</v>
      </c>
      <c r="B86" s="4" t="str">
        <f>IFERROR(__xludf.DUMMYFUNCTION("""COMPUTED_VALUE"""),"Cartel PVC 30x10 Fotolum. SALIDA DE EMERGENCIA")</f>
        <v>Cartel PVC 30x10 Fotolum. SALIDA DE EMERGENCIA</v>
      </c>
      <c r="C86" s="4">
        <f>IFERROR(__xludf.DUMMYFUNCTION("""COMPUTED_VALUE"""),1.89)</f>
        <v>1.89</v>
      </c>
    </row>
    <row r="87">
      <c r="A87" s="4" t="str">
        <f>IFERROR(__xludf.DUMMYFUNCTION("""COMPUTED_VALUE"""),"184")</f>
        <v>184</v>
      </c>
      <c r="B87" s="4" t="str">
        <f>IFERROR(__xludf.DUMMYFUNCTION("""COMPUTED_VALUE"""),"Cartel PVC 650x105 mm SALIDA DE EMERGENCIA")</f>
        <v>Cartel PVC 650x105 mm SALIDA DE EMERGENCIA</v>
      </c>
      <c r="C87" s="4">
        <f>IFERROR(__xludf.DUMMYFUNCTION("""COMPUTED_VALUE"""),1.89)</f>
        <v>1.89</v>
      </c>
    </row>
    <row r="88">
      <c r="A88" s="4" t="str">
        <f>IFERROR(__xludf.DUMMYFUNCTION("""COMPUTED_VALUE"""),"199")</f>
        <v>199</v>
      </c>
      <c r="B88" s="4" t="str">
        <f>IFERROR(__xludf.DUMMYFUNCTION("""COMPUTED_VALUE"""),"Cartel PVC 21x29 Fotolum. DUCHA DE EMERGENCIA")</f>
        <v>Cartel PVC 21x29 Fotolum. DUCHA DE EMERGENCIA</v>
      </c>
      <c r="C88" s="4">
        <f>IFERROR(__xludf.DUMMYFUNCTION("""COMPUTED_VALUE"""),2.6)</f>
        <v>2.6</v>
      </c>
    </row>
    <row r="89">
      <c r="A89" s="4" t="str">
        <f>IFERROR(__xludf.DUMMYFUNCTION("""COMPUTED_VALUE"""),"0199A")</f>
        <v>0199A</v>
      </c>
      <c r="B89" s="4" t="str">
        <f>IFERROR(__xludf.DUMMYFUNCTION("""COMPUTED_VALUE"""),"Cartel PVC 21x30 Fotolum. ducha de emergencia")</f>
        <v>Cartel PVC 21x30 Fotolum. ducha de emergencia</v>
      </c>
      <c r="C89" s="4">
        <f>IFERROR(__xludf.DUMMYFUNCTION("""COMPUTED_VALUE"""),2.52)</f>
        <v>2.52</v>
      </c>
    </row>
    <row r="90">
      <c r="A90" s="4" t="str">
        <f>IFERROR(__xludf.DUMMYFUNCTION("""COMPUTED_VALUE"""),"0199B")</f>
        <v>0199B</v>
      </c>
      <c r="B90" s="4" t="str">
        <f>IFERROR(__xludf.DUMMYFUNCTION("""COMPUTED_VALUE"""),"Cartel PVC 40x30 Fotolum. ducha de emergencia")</f>
        <v>Cartel PVC 40x30 Fotolum. ducha de emergencia</v>
      </c>
      <c r="C90" s="4">
        <f>IFERROR(__xludf.DUMMYFUNCTION("""COMPUTED_VALUE"""),3.1)</f>
        <v>3.1</v>
      </c>
    </row>
    <row r="91">
      <c r="A91" s="4" t="str">
        <f>IFERROR(__xludf.DUMMYFUNCTION("""COMPUTED_VALUE"""),"0200/G")</f>
        <v>0200/G</v>
      </c>
      <c r="B91" s="4" t="str">
        <f>IFERROR(__xludf.DUMMYFUNCTION("""COMPUTED_VALUE"""),"Señal Poliprop. Amarillo 50x50 c/ollados + Pictograma")</f>
        <v>Señal Poliprop. Amarillo 50x50 c/ollados + Pictograma</v>
      </c>
      <c r="C91" s="4">
        <f>IFERROR(__xludf.DUMMYFUNCTION("""COMPUTED_VALUE"""),9.6)</f>
        <v>9.6</v>
      </c>
    </row>
    <row r="92">
      <c r="A92" s="4" t="str">
        <f>IFERROR(__xludf.DUMMYFUNCTION("""COMPUTED_VALUE"""),"0200S2130")</f>
        <v>0200S2130</v>
      </c>
      <c r="B92" s="4" t="str">
        <f>IFERROR(__xludf.DUMMYFUNCTION("""COMPUTED_VALUE"""),"Soperte Acero Inox para cartel 21x29 cm")</f>
        <v>Soperte Acero Inox para cartel 21x29 cm</v>
      </c>
      <c r="C92" s="4">
        <f>IFERROR(__xludf.DUMMYFUNCTION("""COMPUTED_VALUE"""),14.5)</f>
        <v>14.5</v>
      </c>
    </row>
    <row r="93">
      <c r="A93" s="4" t="str">
        <f>IFERROR(__xludf.DUMMYFUNCTION("""COMPUTED_VALUE"""),"0200S4030")</f>
        <v>0200S4030</v>
      </c>
      <c r="B93" s="4" t="str">
        <f>IFERROR(__xludf.DUMMYFUNCTION("""COMPUTED_VALUE"""),"Soporte Acero Inox para Cartel 40x30 cm")</f>
        <v>Soporte Acero Inox para Cartel 40x30 cm</v>
      </c>
      <c r="C93" s="4">
        <f>IFERROR(__xludf.DUMMYFUNCTION("""COMPUTED_VALUE"""),17.0)</f>
        <v>17</v>
      </c>
    </row>
    <row r="94">
      <c r="A94" s="4" t="str">
        <f>IFERROR(__xludf.DUMMYFUNCTION("""COMPUTED_VALUE"""),"201")</f>
        <v>201</v>
      </c>
      <c r="B94" s="4" t="str">
        <f>IFERROR(__xludf.DUMMYFUNCTION("""COMPUTED_VALUE"""),"Cartel PVC 40x30 Fotolum. EXTINTOR")</f>
        <v>Cartel PVC 40x30 Fotolum. EXTINTOR</v>
      </c>
      <c r="C94" s="4">
        <f>IFERROR(__xludf.DUMMYFUNCTION("""COMPUTED_VALUE"""),3.35)</f>
        <v>3.35</v>
      </c>
    </row>
    <row r="95">
      <c r="A95" s="4" t="str">
        <f>IFERROR(__xludf.DUMMYFUNCTION("""COMPUTED_VALUE"""),"202")</f>
        <v>202</v>
      </c>
      <c r="B95" s="4" t="str">
        <f>IFERROR(__xludf.DUMMYFUNCTION("""COMPUTED_VALUE"""),"Cartel PVC 21x30 Fotolum. Duchas emergencia derecha")</f>
        <v>Cartel PVC 21x30 Fotolum. Duchas emergencia derecha</v>
      </c>
      <c r="C95" s="4">
        <f>IFERROR(__xludf.DUMMYFUNCTION("""COMPUTED_VALUE"""),2.6)</f>
        <v>2.6</v>
      </c>
    </row>
    <row r="96">
      <c r="A96" s="4" t="str">
        <f>IFERROR(__xludf.DUMMYFUNCTION("""COMPUTED_VALUE"""),"203")</f>
        <v>203</v>
      </c>
      <c r="B96" s="4" t="str">
        <f>IFERROR(__xludf.DUMMYFUNCTION("""COMPUTED_VALUE"""),"Cartel PVC 21x30 Fotolum. Duchas emergencia izq.")</f>
        <v>Cartel PVC 21x30 Fotolum. Duchas emergencia izq.</v>
      </c>
      <c r="C96" s="4">
        <f>IFERROR(__xludf.DUMMYFUNCTION("""COMPUTED_VALUE"""),2.6)</f>
        <v>2.6</v>
      </c>
    </row>
    <row r="97">
      <c r="A97" s="4" t="str">
        <f>IFERROR(__xludf.DUMMYFUNCTION("""COMPUTED_VALUE"""),"0204A")</f>
        <v>0204A</v>
      </c>
      <c r="B97" s="4" t="str">
        <f>IFERROR(__xludf.DUMMYFUNCTION("""COMPUTED_VALUE"""),"Cartel PVC 21x30 Fotolum. Oficina")</f>
        <v>Cartel PVC 21x30 Fotolum. Oficina</v>
      </c>
      <c r="C97" s="4">
        <f>IFERROR(__xludf.DUMMYFUNCTION("""COMPUTED_VALUE"""),2.52)</f>
        <v>2.52</v>
      </c>
    </row>
    <row r="98">
      <c r="A98" s="4" t="str">
        <f>IFERROR(__xludf.DUMMYFUNCTION("""COMPUTED_VALUE"""),"0204B")</f>
        <v>0204B</v>
      </c>
      <c r="B98" s="4" t="str">
        <f>IFERROR(__xludf.DUMMYFUNCTION("""COMPUTED_VALUE"""),"Cartel PVC 40x30 Fotolum. Oficina")</f>
        <v>Cartel PVC 40x30 Fotolum. Oficina</v>
      </c>
      <c r="C98" s="4">
        <f>IFERROR(__xludf.DUMMYFUNCTION("""COMPUTED_VALUE"""),3.1)</f>
        <v>3.1</v>
      </c>
    </row>
    <row r="99">
      <c r="A99" s="4" t="str">
        <f>IFERROR(__xludf.DUMMYFUNCTION("""COMPUTED_VALUE"""),"0205A")</f>
        <v>0205A</v>
      </c>
      <c r="B99" s="4" t="str">
        <f>IFERROR(__xludf.DUMMYFUNCTION("""COMPUTED_VALUE"""),"Cartel PVC 21x30 Fotolum. Ducha")</f>
        <v>Cartel PVC 21x30 Fotolum. Ducha</v>
      </c>
      <c r="C99" s="4">
        <f>IFERROR(__xludf.DUMMYFUNCTION("""COMPUTED_VALUE"""),2.52)</f>
        <v>2.52</v>
      </c>
    </row>
    <row r="100">
      <c r="A100" s="4" t="str">
        <f>IFERROR(__xludf.DUMMYFUNCTION("""COMPUTED_VALUE"""),"0205B")</f>
        <v>0205B</v>
      </c>
      <c r="B100" s="4" t="str">
        <f>IFERROR(__xludf.DUMMYFUNCTION("""COMPUTED_VALUE"""),"Cartel PVC 40x30 Fotolum. Ducha")</f>
        <v>Cartel PVC 40x30 Fotolum. Ducha</v>
      </c>
      <c r="C100" s="4">
        <f>IFERROR(__xludf.DUMMYFUNCTION("""COMPUTED_VALUE"""),3.1)</f>
        <v>3.1</v>
      </c>
    </row>
    <row r="101">
      <c r="A101" s="4" t="str">
        <f>IFERROR(__xludf.DUMMYFUNCTION("""COMPUTED_VALUE"""),"206")</f>
        <v>206</v>
      </c>
      <c r="B101" s="4" t="str">
        <f>IFERROR(__xludf.DUMMYFUNCTION("""COMPUTED_VALUE"""),"Cartel PVC 21x30 Fotolum. Lavaojos emerg. derecha")</f>
        <v>Cartel PVC 21x30 Fotolum. Lavaojos emerg. derecha</v>
      </c>
      <c r="C101" s="4">
        <f>IFERROR(__xludf.DUMMYFUNCTION("""COMPUTED_VALUE"""),2.6)</f>
        <v>2.6</v>
      </c>
    </row>
    <row r="102">
      <c r="A102" s="4" t="str">
        <f>IFERROR(__xludf.DUMMYFUNCTION("""COMPUTED_VALUE"""),"0206A")</f>
        <v>0206A</v>
      </c>
      <c r="B102" s="4" t="str">
        <f>IFERROR(__xludf.DUMMYFUNCTION("""COMPUTED_VALUE"""),"Cartel PVC 21x30 Fotolum. Lavaojos de emergencia")</f>
        <v>Cartel PVC 21x30 Fotolum. Lavaojos de emergencia</v>
      </c>
      <c r="C102" s="4">
        <f>IFERROR(__xludf.DUMMYFUNCTION("""COMPUTED_VALUE"""),2.52)</f>
        <v>2.52</v>
      </c>
    </row>
    <row r="103">
      <c r="A103" s="4" t="str">
        <f>IFERROR(__xludf.DUMMYFUNCTION("""COMPUTED_VALUE"""),"0206B")</f>
        <v>0206B</v>
      </c>
      <c r="B103" s="4" t="str">
        <f>IFERROR(__xludf.DUMMYFUNCTION("""COMPUTED_VALUE"""),"Cartel PVC 40x30 Fotolum. Lavaojos de emergencia")</f>
        <v>Cartel PVC 40x30 Fotolum. Lavaojos de emergencia</v>
      </c>
      <c r="C103" s="4">
        <f>IFERROR(__xludf.DUMMYFUNCTION("""COMPUTED_VALUE"""),3.1)</f>
        <v>3.1</v>
      </c>
    </row>
    <row r="104">
      <c r="A104" s="4" t="str">
        <f>IFERROR(__xludf.DUMMYFUNCTION("""COMPUTED_VALUE"""),"207")</f>
        <v>207</v>
      </c>
      <c r="B104" s="4" t="str">
        <f>IFERROR(__xludf.DUMMYFUNCTION("""COMPUTED_VALUE"""),"Cartel PVC 21x30 Fotolum. Lavaojos emerg. izq.")</f>
        <v>Cartel PVC 21x30 Fotolum. Lavaojos emerg. izq.</v>
      </c>
      <c r="C104" s="4">
        <f>IFERROR(__xludf.DUMMYFUNCTION("""COMPUTED_VALUE"""),2.6)</f>
        <v>2.6</v>
      </c>
    </row>
    <row r="105">
      <c r="A105" s="4" t="str">
        <f>IFERROR(__xludf.DUMMYFUNCTION("""COMPUTED_VALUE"""),"0208A")</f>
        <v>0208A</v>
      </c>
      <c r="B105" s="4" t="str">
        <f>IFERROR(__xludf.DUMMYFUNCTION("""COMPUTED_VALUE"""),"Cartel PVC 21x30 Fotolum. Comedor")</f>
        <v>Cartel PVC 21x30 Fotolum. Comedor</v>
      </c>
      <c r="C105" s="4">
        <f>IFERROR(__xludf.DUMMYFUNCTION("""COMPUTED_VALUE"""),2.52)</f>
        <v>2.52</v>
      </c>
    </row>
    <row r="106">
      <c r="A106" s="4" t="str">
        <f>IFERROR(__xludf.DUMMYFUNCTION("""COMPUTED_VALUE"""),"0208B")</f>
        <v>0208B</v>
      </c>
      <c r="B106" s="4" t="str">
        <f>IFERROR(__xludf.DUMMYFUNCTION("""COMPUTED_VALUE"""),"Cartel PVC 40x30 Fotolum. Comedor")</f>
        <v>Cartel PVC 40x30 Fotolum. Comedor</v>
      </c>
      <c r="C106" s="4">
        <f>IFERROR(__xludf.DUMMYFUNCTION("""COMPUTED_VALUE"""),3.1)</f>
        <v>3.1</v>
      </c>
    </row>
    <row r="107">
      <c r="A107" s="4" t="str">
        <f>IFERROR(__xludf.DUMMYFUNCTION("""COMPUTED_VALUE"""),"0209A")</f>
        <v>0209A</v>
      </c>
      <c r="B107" s="4" t="str">
        <f>IFERROR(__xludf.DUMMYFUNCTION("""COMPUTED_VALUE"""),"Cartel PVC 21x30 Fotolum. Vestuario")</f>
        <v>Cartel PVC 21x30 Fotolum. Vestuario</v>
      </c>
      <c r="C107" s="4">
        <f>IFERROR(__xludf.DUMMYFUNCTION("""COMPUTED_VALUE"""),2.52)</f>
        <v>2.52</v>
      </c>
    </row>
    <row r="108">
      <c r="A108" s="4" t="str">
        <f>IFERROR(__xludf.DUMMYFUNCTION("""COMPUTED_VALUE"""),"0209B")</f>
        <v>0209B</v>
      </c>
      <c r="B108" s="4" t="str">
        <f>IFERROR(__xludf.DUMMYFUNCTION("""COMPUTED_VALUE"""),"Cartel PVC 40x30 Fotolum. Vestuario")</f>
        <v>Cartel PVC 40x30 Fotolum. Vestuario</v>
      </c>
      <c r="C108" s="4">
        <f>IFERROR(__xludf.DUMMYFUNCTION("""COMPUTED_VALUE"""),3.1)</f>
        <v>3.1</v>
      </c>
    </row>
    <row r="109">
      <c r="A109" s="4" t="str">
        <f>IFERROR(__xludf.DUMMYFUNCTION("""COMPUTED_VALUE"""),"210")</f>
        <v>210</v>
      </c>
      <c r="B109" s="4" t="str">
        <f>IFERROR(__xludf.DUMMYFUNCTION("""COMPUTED_VALUE"""),"Cartel PVC 40x30 Riesgo electrico")</f>
        <v>Cartel PVC 40x30 Riesgo electrico</v>
      </c>
      <c r="C109" s="4">
        <f>IFERROR(__xludf.DUMMYFUNCTION("""COMPUTED_VALUE"""),2.48)</f>
        <v>2.48</v>
      </c>
    </row>
    <row r="110">
      <c r="A110" s="4" t="str">
        <f>IFERROR(__xludf.DUMMYFUNCTION("""COMPUTED_VALUE"""),"0210P")</f>
        <v>0210P</v>
      </c>
      <c r="B110" s="4" t="str">
        <f>IFERROR(__xludf.DUMMYFUNCTION("""COMPUTED_VALUE"""),"Cartel PVC 21x29 RIESGO ELECTRICO")</f>
        <v>Cartel PVC 21x29 RIESGO ELECTRICO</v>
      </c>
      <c r="C110" s="4">
        <f>IFERROR(__xludf.DUMMYFUNCTION("""COMPUTED_VALUE"""),1.6)</f>
        <v>1.6</v>
      </c>
    </row>
    <row r="111">
      <c r="A111" s="4" t="str">
        <f>IFERROR(__xludf.DUMMYFUNCTION("""COMPUTED_VALUE"""),"211")</f>
        <v>211</v>
      </c>
      <c r="B111" s="4" t="str">
        <f>IFERROR(__xludf.DUMMYFUNCTION("""COMPUTED_VALUE"""),"Cartel PVC 40x30 Carga suspendida")</f>
        <v>Cartel PVC 40x30 Carga suspendida</v>
      </c>
      <c r="C111" s="4">
        <f>IFERROR(__xludf.DUMMYFUNCTION("""COMPUTED_VALUE"""),2.48)</f>
        <v>2.48</v>
      </c>
    </row>
    <row r="112">
      <c r="A112" s="4" t="str">
        <f>IFERROR(__xludf.DUMMYFUNCTION("""COMPUTED_VALUE"""),"0211P")</f>
        <v>0211P</v>
      </c>
      <c r="B112" s="4" t="str">
        <f>IFERROR(__xludf.DUMMYFUNCTION("""COMPUTED_VALUE"""),"Cartel PVC 21x29 RIESGO CARGA SUSPENDIDA")</f>
        <v>Cartel PVC 21x29 RIESGO CARGA SUSPENDIDA</v>
      </c>
      <c r="C112" s="4">
        <f>IFERROR(__xludf.DUMMYFUNCTION("""COMPUTED_VALUE"""),1.6)</f>
        <v>1.6</v>
      </c>
    </row>
    <row r="113">
      <c r="A113" s="4" t="str">
        <f>IFERROR(__xludf.DUMMYFUNCTION("""COMPUTED_VALUE"""),"212")</f>
        <v>212</v>
      </c>
      <c r="B113" s="4" t="str">
        <f>IFERROR(__xludf.DUMMYFUNCTION("""COMPUTED_VALUE"""),"Cartel PVC 40x30 Materias corrosivas")</f>
        <v>Cartel PVC 40x30 Materias corrosivas</v>
      </c>
      <c r="C113" s="4">
        <f>IFERROR(__xludf.DUMMYFUNCTION("""COMPUTED_VALUE"""),2.48)</f>
        <v>2.48</v>
      </c>
    </row>
    <row r="114">
      <c r="A114" s="4" t="str">
        <f>IFERROR(__xludf.DUMMYFUNCTION("""COMPUTED_VALUE"""),"0212P")</f>
        <v>0212P</v>
      </c>
      <c r="B114" s="4" t="str">
        <f>IFERROR(__xludf.DUMMYFUNCTION("""COMPUTED_VALUE"""),"Cartel PVC 21x29 RIESGO MATERIAS CORROSIVAS")</f>
        <v>Cartel PVC 21x29 RIESGO MATERIAS CORROSIVAS</v>
      </c>
      <c r="C114" s="4">
        <f>IFERROR(__xludf.DUMMYFUNCTION("""COMPUTED_VALUE"""),1.6)</f>
        <v>1.6</v>
      </c>
    </row>
    <row r="115">
      <c r="A115" s="4" t="str">
        <f>IFERROR(__xludf.DUMMYFUNCTION("""COMPUTED_VALUE"""),"213")</f>
        <v>213</v>
      </c>
      <c r="B115" s="4" t="str">
        <f>IFERROR(__xludf.DUMMYFUNCTION("""COMPUTED_VALUE"""),"Cartel PVC 40x30 Vehículo Manutención")</f>
        <v>Cartel PVC 40x30 Vehículo Manutención</v>
      </c>
      <c r="C115" s="4">
        <f>IFERROR(__xludf.DUMMYFUNCTION("""COMPUTED_VALUE"""),2.48)</f>
        <v>2.48</v>
      </c>
    </row>
    <row r="116">
      <c r="A116" s="4" t="str">
        <f>IFERROR(__xludf.DUMMYFUNCTION("""COMPUTED_VALUE"""),"0213P")</f>
        <v>0213P</v>
      </c>
      <c r="B116" s="4" t="str">
        <f>IFERROR(__xludf.DUMMYFUNCTION("""COMPUTED_VALUE"""),"Cartel PVC 21x29 VEHICULOS DE MANUTENCION")</f>
        <v>Cartel PVC 21x29 VEHICULOS DE MANUTENCION</v>
      </c>
      <c r="C116" s="4">
        <f>IFERROR(__xludf.DUMMYFUNCTION("""COMPUTED_VALUE"""),1.6)</f>
        <v>1.6</v>
      </c>
    </row>
    <row r="117">
      <c r="A117" s="4" t="str">
        <f>IFERROR(__xludf.DUMMYFUNCTION("""COMPUTED_VALUE"""),"214")</f>
        <v>214</v>
      </c>
      <c r="B117" s="4" t="str">
        <f>IFERROR(__xludf.DUMMYFUNCTION("""COMPUTED_VALUE"""),"Cartel PVC 40x30 Caida distinto nivel")</f>
        <v>Cartel PVC 40x30 Caida distinto nivel</v>
      </c>
      <c r="C117" s="4">
        <f>IFERROR(__xludf.DUMMYFUNCTION("""COMPUTED_VALUE"""),2.48)</f>
        <v>2.48</v>
      </c>
    </row>
    <row r="118">
      <c r="A118" s="4" t="str">
        <f>IFERROR(__xludf.DUMMYFUNCTION("""COMPUTED_VALUE"""),"0214P")</f>
        <v>0214P</v>
      </c>
      <c r="B118" s="4" t="str">
        <f>IFERROR(__xludf.DUMMYFUNCTION("""COMPUTED_VALUE"""),"Cartel PVC 21x29 CAIDA A DISTINTO NIVEL")</f>
        <v>Cartel PVC 21x29 CAIDA A DISTINTO NIVEL</v>
      </c>
      <c r="C118" s="4">
        <f>IFERROR(__xludf.DUMMYFUNCTION("""COMPUTED_VALUE"""),1.6)</f>
        <v>1.6</v>
      </c>
    </row>
    <row r="119">
      <c r="A119" s="4" t="str">
        <f>IFERROR(__xludf.DUMMYFUNCTION("""COMPUTED_VALUE"""),"215")</f>
        <v>215</v>
      </c>
      <c r="B119" s="4" t="str">
        <f>IFERROR(__xludf.DUMMYFUNCTION("""COMPUTED_VALUE"""),"Cartel PVC 40x30 Riesgo tropezar")</f>
        <v>Cartel PVC 40x30 Riesgo tropezar</v>
      </c>
      <c r="C119" s="4">
        <f>IFERROR(__xludf.DUMMYFUNCTION("""COMPUTED_VALUE"""),2.48)</f>
        <v>2.48</v>
      </c>
    </row>
    <row r="120">
      <c r="A120" s="4" t="str">
        <f>IFERROR(__xludf.DUMMYFUNCTION("""COMPUTED_VALUE"""),"0215P")</f>
        <v>0215P</v>
      </c>
      <c r="B120" s="4" t="str">
        <f>IFERROR(__xludf.DUMMYFUNCTION("""COMPUTED_VALUE"""),"Cartel PVC 21x29 RIESGO DE TROPEZAR")</f>
        <v>Cartel PVC 21x29 RIESGO DE TROPEZAR</v>
      </c>
      <c r="C120" s="4">
        <f>IFERROR(__xludf.DUMMYFUNCTION("""COMPUTED_VALUE"""),1.6)</f>
        <v>1.6</v>
      </c>
    </row>
    <row r="121">
      <c r="A121" s="4" t="str">
        <f>IFERROR(__xludf.DUMMYFUNCTION("""COMPUTED_VALUE"""),"216")</f>
        <v>216</v>
      </c>
      <c r="B121" s="4" t="str">
        <f>IFERROR(__xludf.DUMMYFUNCTION("""COMPUTED_VALUE"""),"Cartel PVC 40x30 Materias comburentes")</f>
        <v>Cartel PVC 40x30 Materias comburentes</v>
      </c>
      <c r="C121" s="4">
        <f>IFERROR(__xludf.DUMMYFUNCTION("""COMPUTED_VALUE"""),2.48)</f>
        <v>2.48</v>
      </c>
    </row>
    <row r="122">
      <c r="A122" s="4" t="str">
        <f>IFERROR(__xludf.DUMMYFUNCTION("""COMPUTED_VALUE"""),"0216P")</f>
        <v>0216P</v>
      </c>
      <c r="B122" s="4" t="str">
        <f>IFERROR(__xludf.DUMMYFUNCTION("""COMPUTED_VALUE"""),"Cartel PVC 21x29 MATERIAS COMBURENTES")</f>
        <v>Cartel PVC 21x29 MATERIAS COMBURENTES</v>
      </c>
      <c r="C122" s="4">
        <f>IFERROR(__xludf.DUMMYFUNCTION("""COMPUTED_VALUE"""),1.6)</f>
        <v>1.6</v>
      </c>
    </row>
    <row r="123">
      <c r="A123" s="4" t="str">
        <f>IFERROR(__xludf.DUMMYFUNCTION("""COMPUTED_VALUE"""),"217")</f>
        <v>217</v>
      </c>
      <c r="B123" s="4" t="str">
        <f>IFERROR(__xludf.DUMMYFUNCTION("""COMPUTED_VALUE"""),"Cartel PVC 40x30 Materias Toxicas")</f>
        <v>Cartel PVC 40x30 Materias Toxicas</v>
      </c>
      <c r="C123" s="4">
        <f>IFERROR(__xludf.DUMMYFUNCTION("""COMPUTED_VALUE"""),2.48)</f>
        <v>2.48</v>
      </c>
    </row>
    <row r="124">
      <c r="A124" s="4" t="str">
        <f>IFERROR(__xludf.DUMMYFUNCTION("""COMPUTED_VALUE"""),"0217P")</f>
        <v>0217P</v>
      </c>
      <c r="B124" s="4" t="str">
        <f>IFERROR(__xludf.DUMMYFUNCTION("""COMPUTED_VALUE"""),"Cartel PVC 21x29 MATERIAS TOXICAS")</f>
        <v>Cartel PVC 21x29 MATERIAS TOXICAS</v>
      </c>
      <c r="C124" s="4">
        <f>IFERROR(__xludf.DUMMYFUNCTION("""COMPUTED_VALUE"""),1.6)</f>
        <v>1.6</v>
      </c>
    </row>
    <row r="125">
      <c r="A125" s="4" t="str">
        <f>IFERROR(__xludf.DUMMYFUNCTION("""COMPUTED_VALUE"""),"218")</f>
        <v>218</v>
      </c>
      <c r="B125" s="4" t="str">
        <f>IFERROR(__xludf.DUMMYFUNCTION("""COMPUTED_VALUE"""),"Cartel PVC 40x30 Campo Magnetico")</f>
        <v>Cartel PVC 40x30 Campo Magnetico</v>
      </c>
      <c r="C125" s="4">
        <f>IFERROR(__xludf.DUMMYFUNCTION("""COMPUTED_VALUE"""),2.48)</f>
        <v>2.48</v>
      </c>
    </row>
    <row r="126">
      <c r="A126" s="4" t="str">
        <f>IFERROR(__xludf.DUMMYFUNCTION("""COMPUTED_VALUE"""),"0218P")</f>
        <v>0218P</v>
      </c>
      <c r="B126" s="4" t="str">
        <f>IFERROR(__xludf.DUMMYFUNCTION("""COMPUTED_VALUE"""),"Cartel PVC 21x29 CAMPO MAGNETICO INTENSO")</f>
        <v>Cartel PVC 21x29 CAMPO MAGNETICO INTENSO</v>
      </c>
      <c r="C126" s="4">
        <f>IFERROR(__xludf.DUMMYFUNCTION("""COMPUTED_VALUE"""),1.6)</f>
        <v>1.6</v>
      </c>
    </row>
    <row r="127">
      <c r="A127" s="4" t="str">
        <f>IFERROR(__xludf.DUMMYFUNCTION("""COMPUTED_VALUE"""),"219")</f>
        <v>219</v>
      </c>
      <c r="B127" s="4" t="str">
        <f>IFERROR(__xludf.DUMMYFUNCTION("""COMPUTED_VALUE"""),"Cartel PVC 40x30 Materias Inflamables")</f>
        <v>Cartel PVC 40x30 Materias Inflamables</v>
      </c>
      <c r="C127" s="4">
        <f>IFERROR(__xludf.DUMMYFUNCTION("""COMPUTED_VALUE"""),2.48)</f>
        <v>2.48</v>
      </c>
    </row>
    <row r="128">
      <c r="A128" s="4" t="str">
        <f>IFERROR(__xludf.DUMMYFUNCTION("""COMPUTED_VALUE"""),"0219P")</f>
        <v>0219P</v>
      </c>
      <c r="B128" s="4" t="str">
        <f>IFERROR(__xludf.DUMMYFUNCTION("""COMPUTED_VALUE"""),"Cartel PVC 21x29 MATERIAS INFLAMABLES")</f>
        <v>Cartel PVC 21x29 MATERIAS INFLAMABLES</v>
      </c>
      <c r="C128" s="4">
        <f>IFERROR(__xludf.DUMMYFUNCTION("""COMPUTED_VALUE"""),1.6)</f>
        <v>1.6</v>
      </c>
    </row>
    <row r="129">
      <c r="A129" s="4" t="str">
        <f>IFERROR(__xludf.DUMMYFUNCTION("""COMPUTED_VALUE"""),"220")</f>
        <v>220</v>
      </c>
      <c r="B129" s="4" t="str">
        <f>IFERROR(__xludf.DUMMYFUNCTION("""COMPUTED_VALUE"""),"Cartel PVC 40x30 OBLIG.USO CASC+")</f>
        <v>Cartel PVC 40x30 OBLIG.USO CASC+</v>
      </c>
      <c r="C129" s="4">
        <f>IFERROR(__xludf.DUMMYFUNCTION("""COMPUTED_VALUE"""),2.48)</f>
        <v>2.48</v>
      </c>
    </row>
    <row r="130">
      <c r="A130" s="4" t="str">
        <f>IFERROR(__xludf.DUMMYFUNCTION("""COMPUTED_VALUE"""),"0220P")</f>
        <v>0220P</v>
      </c>
      <c r="B130" s="4" t="str">
        <f>IFERROR(__xludf.DUMMYFUNCTION("""COMPUTED_VALUE"""),"Cartel PVC 21x29 USO OBLIGATORIO DEL CASCO")</f>
        <v>Cartel PVC 21x29 USO OBLIGATORIO DEL CASCO</v>
      </c>
      <c r="C130" s="4">
        <f>IFERROR(__xludf.DUMMYFUNCTION("""COMPUTED_VALUE"""),1.6)</f>
        <v>1.6</v>
      </c>
    </row>
    <row r="131">
      <c r="A131" s="4" t="str">
        <f>IFERROR(__xludf.DUMMYFUNCTION("""COMPUTED_VALUE"""),"221")</f>
        <v>221</v>
      </c>
      <c r="B131" s="4" t="str">
        <f>IFERROR(__xludf.DUMMYFUNCTION("""COMPUTED_VALUE"""),"Cartel PVC 40x30 OBLIG.USO BOTA+")</f>
        <v>Cartel PVC 40x30 OBLIG.USO BOTA+</v>
      </c>
      <c r="C131" s="4">
        <f>IFERROR(__xludf.DUMMYFUNCTION("""COMPUTED_VALUE"""),2.48)</f>
        <v>2.48</v>
      </c>
    </row>
    <row r="132">
      <c r="A132" s="4" t="str">
        <f>IFERROR(__xludf.DUMMYFUNCTION("""COMPUTED_VALUE"""),"0221P")</f>
        <v>0221P</v>
      </c>
      <c r="B132" s="4" t="str">
        <f>IFERROR(__xludf.DUMMYFUNCTION("""COMPUTED_VALUE"""),"Cartel PVC 21x29 USO OBLIGATORIO DE LAS BOTAS")</f>
        <v>Cartel PVC 21x29 USO OBLIGATORIO DE LAS BOTAS</v>
      </c>
      <c r="C132" s="4">
        <f>IFERROR(__xludf.DUMMYFUNCTION("""COMPUTED_VALUE"""),1.6)</f>
        <v>1.6</v>
      </c>
    </row>
    <row r="133">
      <c r="A133" s="4" t="str">
        <f>IFERROR(__xludf.DUMMYFUNCTION("""COMPUTED_VALUE"""),"222")</f>
        <v>222</v>
      </c>
      <c r="B133" s="4" t="str">
        <f>IFERROR(__xludf.DUMMYFUNCTION("""COMPUTED_VALUE"""),"Cartel PVC 40x30 OBLIG.USO GUAN+E")</f>
        <v>Cartel PVC 40x30 OBLIG.USO GUAN+E</v>
      </c>
      <c r="C133" s="4">
        <f>IFERROR(__xludf.DUMMYFUNCTION("""COMPUTED_VALUE"""),2.48)</f>
        <v>2.48</v>
      </c>
    </row>
    <row r="134">
      <c r="A134" s="4" t="str">
        <f>IFERROR(__xludf.DUMMYFUNCTION("""COMPUTED_VALUE"""),"0222P")</f>
        <v>0222P</v>
      </c>
      <c r="B134" s="4" t="str">
        <f>IFERROR(__xludf.DUMMYFUNCTION("""COMPUTED_VALUE"""),"Cartel PVC 21x29 USO OBLIGATORIO DE GUANTES")</f>
        <v>Cartel PVC 21x29 USO OBLIGATORIO DE GUANTES</v>
      </c>
      <c r="C134" s="4">
        <f>IFERROR(__xludf.DUMMYFUNCTION("""COMPUTED_VALUE"""),1.6)</f>
        <v>1.6</v>
      </c>
    </row>
    <row r="135">
      <c r="A135" s="4" t="str">
        <f>IFERROR(__xludf.DUMMYFUNCTION("""COMPUTED_VALUE"""),"223")</f>
        <v>223</v>
      </c>
      <c r="B135" s="4" t="str">
        <f>IFERROR(__xludf.DUMMYFUNCTION("""COMPUTED_VALUE"""),"Cartel PVC 40x30 OBLIG.PROT.ACU+T")</f>
        <v>Cartel PVC 40x30 OBLIG.PROT.ACU+T</v>
      </c>
      <c r="C135" s="4">
        <f>IFERROR(__xludf.DUMMYFUNCTION("""COMPUTED_VALUE"""),2.48)</f>
        <v>2.48</v>
      </c>
    </row>
    <row r="136">
      <c r="A136" s="4" t="str">
        <f>IFERROR(__xludf.DUMMYFUNCTION("""COMPUTED_VALUE"""),"0223P")</f>
        <v>0223P</v>
      </c>
      <c r="B136" s="4" t="str">
        <f>IFERROR(__xludf.DUMMYFUNCTION("""COMPUTED_VALUE"""),"Cartel PVC 21x29 USO OBLIGATORIO PROTECCION")</f>
        <v>Cartel PVC 21x29 USO OBLIGATORIO PROTECCION</v>
      </c>
      <c r="C136" s="4">
        <f>IFERROR(__xludf.DUMMYFUNCTION("""COMPUTED_VALUE"""),1.6)</f>
        <v>1.6</v>
      </c>
    </row>
    <row r="137">
      <c r="A137" s="4" t="str">
        <f>IFERROR(__xludf.DUMMYFUNCTION("""COMPUTED_VALUE"""),"224")</f>
        <v>224</v>
      </c>
      <c r="B137" s="4" t="str">
        <f>IFERROR(__xludf.DUMMYFUNCTION("""COMPUTED_VALUE"""),"Cartel PVC 40x30 OBLIG.USO MASC +")</f>
        <v>Cartel PVC 40x30 OBLIG.USO MASC +</v>
      </c>
      <c r="C137" s="4">
        <f>IFERROR(__xludf.DUMMYFUNCTION("""COMPUTED_VALUE"""),2.48)</f>
        <v>2.48</v>
      </c>
    </row>
    <row r="138">
      <c r="A138" s="4" t="str">
        <f>IFERROR(__xludf.DUMMYFUNCTION("""COMPUTED_VALUE"""),"0224P")</f>
        <v>0224P</v>
      </c>
      <c r="B138" s="4" t="str">
        <f>IFERROR(__xludf.DUMMYFUNCTION("""COMPUTED_VALUE"""),"Cartel PVC 21x29 OBLIGATORIO EL USO DE LA MASCARA")</f>
        <v>Cartel PVC 21x29 OBLIGATORIO EL USO DE LA MASCARA</v>
      </c>
      <c r="C138" s="4">
        <f>IFERROR(__xludf.DUMMYFUNCTION("""COMPUTED_VALUE"""),1.6)</f>
        <v>1.6</v>
      </c>
    </row>
    <row r="139">
      <c r="A139" s="4" t="str">
        <f>IFERROR(__xludf.DUMMYFUNCTION("""COMPUTED_VALUE"""),"225")</f>
        <v>225</v>
      </c>
      <c r="B139" s="4" t="str">
        <f>IFERROR(__xludf.DUMMYFUNCTION("""COMPUTED_VALUE"""),"Cartel PVC 40x30 OBLIG.PANT.PRO+E")</f>
        <v>Cartel PVC 40x30 OBLIG.PANT.PRO+E</v>
      </c>
      <c r="C139" s="4">
        <f>IFERROR(__xludf.DUMMYFUNCTION("""COMPUTED_VALUE"""),2.48)</f>
        <v>2.48</v>
      </c>
    </row>
    <row r="140">
      <c r="A140" s="4" t="str">
        <f>IFERROR(__xludf.DUMMYFUNCTION("""COMPUTED_VALUE"""),"0225P")</f>
        <v>0225P</v>
      </c>
      <c r="B140" s="4" t="str">
        <f>IFERROR(__xludf.DUMMYFUNCTION("""COMPUTED_VALUE"""),"Cartel PVC 21x29 OBLIGATORIO USO PANTALLA")</f>
        <v>Cartel PVC 21x29 OBLIGATORIO USO PANTALLA</v>
      </c>
      <c r="C140" s="4">
        <f>IFERROR(__xludf.DUMMYFUNCTION("""COMPUTED_VALUE"""),1.6)</f>
        <v>1.6</v>
      </c>
    </row>
    <row r="141">
      <c r="A141" s="4" t="str">
        <f>IFERROR(__xludf.DUMMYFUNCTION("""COMPUTED_VALUE"""),"226")</f>
        <v>226</v>
      </c>
      <c r="B141" s="4" t="str">
        <f>IFERROR(__xludf.DUMMYFUNCTION("""COMPUTED_VALUE"""),"Cartel PVC 40x30 OBLIG.GAFAS PROT")</f>
        <v>Cartel PVC 40x30 OBLIG.GAFAS PROT</v>
      </c>
      <c r="C141" s="4">
        <f>IFERROR(__xludf.DUMMYFUNCTION("""COMPUTED_VALUE"""),2.48)</f>
        <v>2.48</v>
      </c>
    </row>
    <row r="142">
      <c r="A142" s="4" t="str">
        <f>IFERROR(__xludf.DUMMYFUNCTION("""COMPUTED_VALUE"""),"0226P")</f>
        <v>0226P</v>
      </c>
      <c r="B142" s="4" t="str">
        <f>IFERROR(__xludf.DUMMYFUNCTION("""COMPUTED_VALUE"""),"Cartel PVC 21x29 OBLIGATORIO EL USO GAFAS")</f>
        <v>Cartel PVC 21x29 OBLIGATORIO EL USO GAFAS</v>
      </c>
      <c r="C142" s="4">
        <f>IFERROR(__xludf.DUMMYFUNCTION("""COMPUTED_VALUE"""),1.6)</f>
        <v>1.6</v>
      </c>
    </row>
    <row r="143">
      <c r="A143" s="4" t="str">
        <f>IFERROR(__xludf.DUMMYFUNCTION("""COMPUTED_VALUE"""),"227")</f>
        <v>227</v>
      </c>
      <c r="B143" s="4" t="str">
        <f>IFERROR(__xludf.DUMMYFUNCTION("""COMPUTED_VALUE"""),"Cartel PVC 40x30 OBLIG.ARNES SEGUR.")</f>
        <v>Cartel PVC 40x30 OBLIG.ARNES SEGUR.</v>
      </c>
      <c r="C143" s="4">
        <f>IFERROR(__xludf.DUMMYFUNCTION("""COMPUTED_VALUE"""),2.48)</f>
        <v>2.48</v>
      </c>
    </row>
    <row r="144">
      <c r="A144" s="4" t="str">
        <f>IFERROR(__xludf.DUMMYFUNCTION("""COMPUTED_VALUE"""),"0227P")</f>
        <v>0227P</v>
      </c>
      <c r="B144" s="4" t="str">
        <f>IFERROR(__xludf.DUMMYFUNCTION("""COMPUTED_VALUE"""),"Cartel PVC 21x29 OBLIGATORIO EL USO ARNES")</f>
        <v>Cartel PVC 21x29 OBLIGATORIO EL USO ARNES</v>
      </c>
      <c r="C144" s="4">
        <f>IFERROR(__xludf.DUMMYFUNCTION("""COMPUTED_VALUE"""),1.6)</f>
        <v>1.6</v>
      </c>
    </row>
    <row r="145">
      <c r="A145" s="4" t="str">
        <f>IFERROR(__xludf.DUMMYFUNCTION("""COMPUTED_VALUE"""),"228")</f>
        <v>228</v>
      </c>
      <c r="B145" s="4" t="str">
        <f>IFERROR(__xludf.DUMMYFUNCTION("""COMPUTED_VALUE"""),"Cartel PVC 40x30 PROTECION OBLIGAT.CUERPO")</f>
        <v>Cartel PVC 40x30 PROTECION OBLIGAT.CUERPO</v>
      </c>
      <c r="C145" s="4">
        <f>IFERROR(__xludf.DUMMYFUNCTION("""COMPUTED_VALUE"""),2.48)</f>
        <v>2.48</v>
      </c>
    </row>
    <row r="146">
      <c r="A146" s="4" t="str">
        <f>IFERROR(__xludf.DUMMYFUNCTION("""COMPUTED_VALUE"""),"0228P")</f>
        <v>0228P</v>
      </c>
      <c r="B146" s="4" t="str">
        <f>IFERROR(__xludf.DUMMYFUNCTION("""COMPUTED_VALUE"""),"Cartel PVC 21x29 USO PROTECCION OBLIGATORIA DEL")</f>
        <v>Cartel PVC 21x29 USO PROTECCION OBLIGATORIA DEL</v>
      </c>
      <c r="C146" s="4">
        <f>IFERROR(__xludf.DUMMYFUNCTION("""COMPUTED_VALUE"""),1.6)</f>
        <v>1.6</v>
      </c>
    </row>
    <row r="147">
      <c r="A147" s="4" t="str">
        <f>IFERROR(__xludf.DUMMYFUNCTION("""COMPUTED_VALUE"""),"229")</f>
        <v>229</v>
      </c>
      <c r="B147" s="4" t="str">
        <f>IFERROR(__xludf.DUMMYFUNCTION("""COMPUTED_VALUE"""),"Cartel PVC 40x30 Eliminar puntas")</f>
        <v>Cartel PVC 40x30 Eliminar puntas</v>
      </c>
      <c r="C147" s="4">
        <f>IFERROR(__xludf.DUMMYFUNCTION("""COMPUTED_VALUE"""),2.48)</f>
        <v>2.48</v>
      </c>
    </row>
    <row r="148">
      <c r="A148" s="4" t="str">
        <f>IFERROR(__xludf.DUMMYFUNCTION("""COMPUTED_VALUE"""),"0229P")</f>
        <v>0229P</v>
      </c>
      <c r="B148" s="4" t="str">
        <f>IFERROR(__xludf.DUMMYFUNCTION("""COMPUTED_VALUE"""),"Cartel PVC 21x29 OBLIGATORIO ELIMINAR LAS PUNTAS")</f>
        <v>Cartel PVC 21x29 OBLIGATORIO ELIMINAR LAS PUNTAS</v>
      </c>
      <c r="C148" s="4">
        <f>IFERROR(__xludf.DUMMYFUNCTION("""COMPUTED_VALUE"""),1.6)</f>
        <v>1.6</v>
      </c>
    </row>
    <row r="149">
      <c r="A149" s="4" t="str">
        <f>IFERROR(__xludf.DUMMYFUNCTION("""COMPUTED_VALUE"""),"230")</f>
        <v>230</v>
      </c>
      <c r="B149" s="4" t="str">
        <f>IFERROR(__xludf.DUMMYFUNCTION("""COMPUTED_VALUE"""),"Cartel PVC 40x30 PROHIBIDO FUMA+")</f>
        <v>Cartel PVC 40x30 PROHIBIDO FUMA+</v>
      </c>
      <c r="C149" s="4">
        <f>IFERROR(__xludf.DUMMYFUNCTION("""COMPUTED_VALUE"""),2.48)</f>
        <v>2.48</v>
      </c>
    </row>
    <row r="150">
      <c r="A150" s="4" t="str">
        <f>IFERROR(__xludf.DUMMYFUNCTION("""COMPUTED_VALUE"""),"0230P")</f>
        <v>0230P</v>
      </c>
      <c r="B150" s="4" t="str">
        <f>IFERROR(__xludf.DUMMYFUNCTION("""COMPUTED_VALUE"""),"Cartel 21X29 PROHIBIDO FUMAR")</f>
        <v>Cartel 21X29 PROHIBIDO FUMAR</v>
      </c>
      <c r="C150" s="4">
        <f>IFERROR(__xludf.DUMMYFUNCTION("""COMPUTED_VALUE"""),1.6)</f>
        <v>1.6</v>
      </c>
    </row>
    <row r="151">
      <c r="A151" s="4" t="str">
        <f>IFERROR(__xludf.DUMMYFUNCTION("""COMPUTED_VALUE"""),"231")</f>
        <v>231</v>
      </c>
      <c r="B151" s="4" t="str">
        <f>IFERROR(__xludf.DUMMYFUNCTION("""COMPUTED_VALUE"""),"Cartel PVC 40x30 PROHIBIDO PASO+")</f>
        <v>Cartel PVC 40x30 PROHIBIDO PASO+</v>
      </c>
      <c r="C151" s="4">
        <f>IFERROR(__xludf.DUMMYFUNCTION("""COMPUTED_VALUE"""),2.48)</f>
        <v>2.48</v>
      </c>
    </row>
    <row r="152">
      <c r="A152" s="4" t="str">
        <f>IFERROR(__xludf.DUMMYFUNCTION("""COMPUTED_VALUE"""),"0231P")</f>
        <v>0231P</v>
      </c>
      <c r="B152" s="4" t="str">
        <f>IFERROR(__xludf.DUMMYFUNCTION("""COMPUTED_VALUE"""),"Cartel PVC 21X29 PROHIBIDO PASO PERSONA AJENA")</f>
        <v>Cartel PVC 21X29 PROHIBIDO PASO PERSONA AJENA</v>
      </c>
      <c r="C152" s="4">
        <f>IFERROR(__xludf.DUMMYFUNCTION("""COMPUTED_VALUE"""),1.6)</f>
        <v>1.6</v>
      </c>
    </row>
    <row r="153">
      <c r="A153" s="4" t="str">
        <f>IFERROR(__xludf.DUMMYFUNCTION("""COMPUTED_VALUE"""),"232")</f>
        <v>232</v>
      </c>
      <c r="B153" s="4" t="str">
        <f>IFERROR(__xludf.DUMMYFUNCTION("""COMPUTED_VALUE"""),"Cartel PVC 40x30 Proh. pasar sin casco")</f>
        <v>Cartel PVC 40x30 Proh. pasar sin casco</v>
      </c>
      <c r="C153" s="4">
        <f>IFERROR(__xludf.DUMMYFUNCTION("""COMPUTED_VALUE"""),2.48)</f>
        <v>2.48</v>
      </c>
    </row>
    <row r="154">
      <c r="A154" s="4" t="str">
        <f>IFERROR(__xludf.DUMMYFUNCTION("""COMPUTED_VALUE"""),"0232P")</f>
        <v>0232P</v>
      </c>
      <c r="B154" s="4" t="str">
        <f>IFERROR(__xludf.DUMMYFUNCTION("""COMPUTED_VALUE"""),"Cartel PVC 21X29 PROHIBIDO PASAR SIN CASCO")</f>
        <v>Cartel PVC 21X29 PROHIBIDO PASAR SIN CASCO</v>
      </c>
      <c r="C154" s="4">
        <f>IFERROR(__xludf.DUMMYFUNCTION("""COMPUTED_VALUE"""),1.6)</f>
        <v>1.6</v>
      </c>
    </row>
    <row r="155">
      <c r="A155" s="4" t="str">
        <f>IFERROR(__xludf.DUMMYFUNCTION("""COMPUTED_VALUE"""),"233")</f>
        <v>233</v>
      </c>
      <c r="B155" s="4" t="str">
        <f>IFERROR(__xludf.DUMMYFUNCTION("""COMPUTED_VALUE"""),"Cartel PVC 40x30 Proh. Fumar y encender fuego")</f>
        <v>Cartel PVC 40x30 Proh. Fumar y encender fuego</v>
      </c>
      <c r="C155" s="4">
        <f>IFERROR(__xludf.DUMMYFUNCTION("""COMPUTED_VALUE"""),2.48)</f>
        <v>2.48</v>
      </c>
    </row>
    <row r="156">
      <c r="A156" s="4" t="str">
        <f>IFERROR(__xludf.DUMMYFUNCTION("""COMPUTED_VALUE"""),"0233P")</f>
        <v>0233P</v>
      </c>
      <c r="B156" s="4" t="str">
        <f>IFERROR(__xludf.DUMMYFUNCTION("""COMPUTED_VALUE"""),"Cartel PVC 21X29 PROHIBIDO FUMAR Y ENCENDER")</f>
        <v>Cartel PVC 21X29 PROHIBIDO FUMAR Y ENCENDER</v>
      </c>
      <c r="C156" s="4">
        <f>IFERROR(__xludf.DUMMYFUNCTION("""COMPUTED_VALUE"""),1.6)</f>
        <v>1.6</v>
      </c>
    </row>
    <row r="157">
      <c r="A157" s="4" t="str">
        <f>IFERROR(__xludf.DUMMYFUNCTION("""COMPUTED_VALUE"""),"234")</f>
        <v>234</v>
      </c>
      <c r="B157" s="4" t="str">
        <f>IFERROR(__xludf.DUMMYFUNCTION("""COMPUTED_VALUE"""),"Cartel PVC 40x30 Proh. Apagar con agua")</f>
        <v>Cartel PVC 40x30 Proh. Apagar con agua</v>
      </c>
      <c r="C157" s="4">
        <f>IFERROR(__xludf.DUMMYFUNCTION("""COMPUTED_VALUE"""),2.48)</f>
        <v>2.48</v>
      </c>
    </row>
    <row r="158">
      <c r="A158" s="4" t="str">
        <f>IFERROR(__xludf.DUMMYFUNCTION("""COMPUTED_VALUE"""),"0234P")</f>
        <v>0234P</v>
      </c>
      <c r="B158" s="4" t="str">
        <f>IFERROR(__xludf.DUMMYFUNCTION("""COMPUTED_VALUE"""),"Cartel PVC 21x29 PROHIBIDO APAGAR CON AGUA")</f>
        <v>Cartel PVC 21x29 PROHIBIDO APAGAR CON AGUA</v>
      </c>
      <c r="C158" s="4">
        <f>IFERROR(__xludf.DUMMYFUNCTION("""COMPUTED_VALUE"""),1.6)</f>
        <v>1.6</v>
      </c>
    </row>
    <row r="159">
      <c r="A159" s="4" t="str">
        <f>IFERROR(__xludf.DUMMYFUNCTION("""COMPUTED_VALUE"""),"235")</f>
        <v>235</v>
      </c>
      <c r="B159" s="4" t="str">
        <f>IFERROR(__xludf.DUMMYFUNCTION("""COMPUTED_VALUE"""),"Cartel PVC 40x30 Proh.a los vehculos manutención")</f>
        <v>Cartel PVC 40x30 Proh.a los vehculos manutención</v>
      </c>
      <c r="C159" s="4">
        <f>IFERROR(__xludf.DUMMYFUNCTION("""COMPUTED_VALUE"""),2.48)</f>
        <v>2.48</v>
      </c>
    </row>
    <row r="160">
      <c r="A160" s="4" t="str">
        <f>IFERROR(__xludf.DUMMYFUNCTION("""COMPUTED_VALUE"""),"0235P")</f>
        <v>0235P</v>
      </c>
      <c r="B160" s="4" t="str">
        <f>IFERROR(__xludf.DUMMYFUNCTION("""COMPUTED_VALUE"""),"Cartel PVC 21x29 PROHIBIDO A LOS VEHICULOS DE")</f>
        <v>Cartel PVC 21x29 PROHIBIDO A LOS VEHICULOS DE</v>
      </c>
      <c r="C160" s="4">
        <f>IFERROR(__xludf.DUMMYFUNCTION("""COMPUTED_VALUE"""),1.6)</f>
        <v>1.6</v>
      </c>
    </row>
    <row r="161">
      <c r="A161" s="4" t="str">
        <f>IFERROR(__xludf.DUMMYFUNCTION("""COMPUTED_VALUE"""),"236")</f>
        <v>236</v>
      </c>
      <c r="B161" s="4" t="str">
        <f>IFERROR(__xludf.DUMMYFUNCTION("""COMPUTED_VALUE"""),"Cartel PVC 40x30 Materias Explosivas")</f>
        <v>Cartel PVC 40x30 Materias Explosivas</v>
      </c>
      <c r="C161" s="4">
        <f>IFERROR(__xludf.DUMMYFUNCTION("""COMPUTED_VALUE"""),2.48)</f>
        <v>2.48</v>
      </c>
    </row>
    <row r="162">
      <c r="A162" s="4" t="str">
        <f>IFERROR(__xludf.DUMMYFUNCTION("""COMPUTED_VALUE"""),"0236P")</f>
        <v>0236P</v>
      </c>
      <c r="B162" s="4" t="str">
        <f>IFERROR(__xludf.DUMMYFUNCTION("""COMPUTED_VALUE"""),"Cartel PVC 21x29 MATERIAS EXPLOSIVAS")</f>
        <v>Cartel PVC 21x29 MATERIAS EXPLOSIVAS</v>
      </c>
      <c r="C162" s="4">
        <f>IFERROR(__xludf.DUMMYFUNCTION("""COMPUTED_VALUE"""),1.6)</f>
        <v>1.6</v>
      </c>
    </row>
    <row r="163">
      <c r="A163" s="4" t="str">
        <f>IFERROR(__xludf.DUMMYFUNCTION("""COMPUTED_VALUE"""),"237")</f>
        <v>237</v>
      </c>
      <c r="B163" s="4" t="str">
        <f>IFERROR(__xludf.DUMMYFUNCTION("""COMPUTED_VALUE"""),"Cartel PVC 40x30 Proh. uso personas")</f>
        <v>Cartel PVC 40x30 Proh. uso personas</v>
      </c>
      <c r="C163" s="4">
        <f>IFERROR(__xludf.DUMMYFUNCTION("""COMPUTED_VALUE"""),2.48)</f>
        <v>2.48</v>
      </c>
    </row>
    <row r="164">
      <c r="A164" s="4" t="str">
        <f>IFERROR(__xludf.DUMMYFUNCTION("""COMPUTED_VALUE"""),"0237P")</f>
        <v>0237P</v>
      </c>
      <c r="B164" s="4" t="str">
        <f>IFERROR(__xludf.DUMMYFUNCTION("""COMPUTED_VALUE"""),"Cartel PVC 21x29 PROHIBIDO EL USO A PERSONAS")</f>
        <v>Cartel PVC 21x29 PROHIBIDO EL USO A PERSONAS</v>
      </c>
      <c r="C164" s="4">
        <f>IFERROR(__xludf.DUMMYFUNCTION("""COMPUTED_VALUE"""),1.6)</f>
        <v>1.6</v>
      </c>
    </row>
    <row r="165">
      <c r="A165" s="4" t="str">
        <f>IFERROR(__xludf.DUMMYFUNCTION("""COMPUTED_VALUE"""),"238")</f>
        <v>238</v>
      </c>
      <c r="B165" s="4" t="str">
        <f>IFERROR(__xludf.DUMMYFUNCTION("""COMPUTED_VALUE"""),"Cartel PVC 40x30 Atencion puesta Tierra")</f>
        <v>Cartel PVC 40x30 Atencion puesta Tierra</v>
      </c>
      <c r="C165" s="4">
        <f>IFERROR(__xludf.DUMMYFUNCTION("""COMPUTED_VALUE"""),2.48)</f>
        <v>2.48</v>
      </c>
    </row>
    <row r="166">
      <c r="A166" s="4" t="str">
        <f>IFERROR(__xludf.DUMMYFUNCTION("""COMPUTED_VALUE"""),"0238P")</f>
        <v>0238P</v>
      </c>
      <c r="B166" s="4" t="str">
        <f>IFERROR(__xludf.DUMMYFUNCTION("""COMPUTED_VALUE"""),"Cartel PVC 21x29 ATENCION PUESTA A TIERRA")</f>
        <v>Cartel PVC 21x29 ATENCION PUESTA A TIERRA</v>
      </c>
      <c r="C166" s="4">
        <f>IFERROR(__xludf.DUMMYFUNCTION("""COMPUTED_VALUE"""),1.6)</f>
        <v>1.6</v>
      </c>
    </row>
    <row r="167">
      <c r="A167" s="4" t="str">
        <f>IFERROR(__xludf.DUMMYFUNCTION("""COMPUTED_VALUE"""),"239")</f>
        <v>239</v>
      </c>
      <c r="B167" s="4" t="str">
        <f>IFERROR(__xludf.DUMMYFUNCTION("""COMPUTED_VALUE"""),"Cartel PVC Espacio confinado 40x30 cm")</f>
        <v>Cartel PVC Espacio confinado 40x30 cm</v>
      </c>
      <c r="C167" s="4">
        <f>IFERROR(__xludf.DUMMYFUNCTION("""COMPUTED_VALUE"""),2.48)</f>
        <v>2.48</v>
      </c>
    </row>
    <row r="168">
      <c r="A168" s="4" t="str">
        <f>IFERROR(__xludf.DUMMYFUNCTION("""COMPUTED_VALUE"""),"0239P")</f>
        <v>0239P</v>
      </c>
      <c r="B168" s="4" t="str">
        <f>IFERROR(__xludf.DUMMYFUNCTION("""COMPUTED_VALUE"""),"Cartel PVC Espacio Confinado 21x29 cm")</f>
        <v>Cartel PVC Espacio Confinado 21x29 cm</v>
      </c>
      <c r="C168" s="4">
        <f>IFERROR(__xludf.DUMMYFUNCTION("""COMPUTED_VALUE"""),1.6)</f>
        <v>1.6</v>
      </c>
    </row>
    <row r="169">
      <c r="A169" s="4" t="str">
        <f>IFERROR(__xludf.DUMMYFUNCTION("""COMPUTED_VALUE"""),"240")</f>
        <v>240</v>
      </c>
      <c r="B169" s="4" t="str">
        <f>IFERROR(__xludf.DUMMYFUNCTION("""COMPUTED_VALUE"""),"Cartel PVC 40x30 Maquin.pesada en movim")</f>
        <v>Cartel PVC 40x30 Maquin.pesada en movim</v>
      </c>
      <c r="C169" s="4">
        <f>IFERROR(__xludf.DUMMYFUNCTION("""COMPUTED_VALUE"""),2.48)</f>
        <v>2.48</v>
      </c>
    </row>
    <row r="170">
      <c r="A170" s="4" t="str">
        <f>IFERROR(__xludf.DUMMYFUNCTION("""COMPUTED_VALUE"""),"0240P")</f>
        <v>0240P</v>
      </c>
      <c r="B170" s="4" t="str">
        <f>IFERROR(__xludf.DUMMYFUNCTION("""COMPUTED_VALUE"""),"Cartel PVC 21X29 MAQUINARIA PESADA EN MOVIMIENTO")</f>
        <v>Cartel PVC 21X29 MAQUINARIA PESADA EN MOVIMIENTO</v>
      </c>
      <c r="C170" s="4">
        <f>IFERROR(__xludf.DUMMYFUNCTION("""COMPUTED_VALUE"""),1.6)</f>
        <v>1.6</v>
      </c>
    </row>
    <row r="171">
      <c r="A171" s="4" t="str">
        <f>IFERROR(__xludf.DUMMYFUNCTION("""COMPUTED_VALUE"""),"241")</f>
        <v>241</v>
      </c>
      <c r="B171" s="4" t="str">
        <f>IFERROR(__xludf.DUMMYFUNCTION("""COMPUTED_VALUE"""),"Cartel PVC 40x30 Fluor ( Se Alquila ) c/ojales")</f>
        <v>Cartel PVC 40x30 Fluor ( Se Alquila ) c/ojales</v>
      </c>
      <c r="C171" s="4">
        <f>IFERROR(__xludf.DUMMYFUNCTION("""COMPUTED_VALUE"""),3.7)</f>
        <v>3.7</v>
      </c>
    </row>
    <row r="172">
      <c r="A172" s="4" t="str">
        <f>IFERROR(__xludf.DUMMYFUNCTION("""COMPUTED_VALUE"""),"242")</f>
        <v>242</v>
      </c>
      <c r="B172" s="4" t="str">
        <f>IFERROR(__xludf.DUMMYFUNCTION("""COMPUTED_VALUE"""),"Cartel PVC 40X30 Fluor ( Se Vende ) c/ojales")</f>
        <v>Cartel PVC 40X30 Fluor ( Se Vende ) c/ojales</v>
      </c>
      <c r="C172" s="4">
        <f>IFERROR(__xludf.DUMMYFUNCTION("""COMPUTED_VALUE"""),3.7)</f>
        <v>3.7</v>
      </c>
    </row>
    <row r="173">
      <c r="A173" s="4" t="str">
        <f>IFERROR(__xludf.DUMMYFUNCTION("""COMPUTED_VALUE"""),"243")</f>
        <v>243</v>
      </c>
      <c r="B173" s="4" t="str">
        <f>IFERROR(__xludf.DUMMYFUNCTION("""COMPUTED_VALUE"""),"Cartel PVC 21x29 Fotolum. Hidrante")</f>
        <v>Cartel PVC 21x29 Fotolum. Hidrante</v>
      </c>
      <c r="C173" s="4">
        <f>IFERROR(__xludf.DUMMYFUNCTION("""COMPUTED_VALUE"""),2.6)</f>
        <v>2.6</v>
      </c>
    </row>
    <row r="174">
      <c r="A174" s="4" t="str">
        <f>IFERROR(__xludf.DUMMYFUNCTION("""COMPUTED_VALUE"""),"0243A")</f>
        <v>0243A</v>
      </c>
      <c r="B174" s="4" t="str">
        <f>IFERROR(__xludf.DUMMYFUNCTION("""COMPUTED_VALUE"""),"Cartel PVC 21x30 Fotolum. Hidrante")</f>
        <v>Cartel PVC 21x30 Fotolum. Hidrante</v>
      </c>
      <c r="C174" s="4">
        <f>IFERROR(__xludf.DUMMYFUNCTION("""COMPUTED_VALUE"""),2.52)</f>
        <v>2.52</v>
      </c>
    </row>
    <row r="175">
      <c r="A175" s="4" t="str">
        <f>IFERROR(__xludf.DUMMYFUNCTION("""COMPUTED_VALUE"""),"0243B")</f>
        <v>0243B</v>
      </c>
      <c r="B175" s="4" t="str">
        <f>IFERROR(__xludf.DUMMYFUNCTION("""COMPUTED_VALUE"""),"Cartel PVC 40x30 Fotolum. Hidrante")</f>
        <v>Cartel PVC 40x30 Fotolum. Hidrante</v>
      </c>
      <c r="C175" s="4">
        <f>IFERROR(__xludf.DUMMYFUNCTION("""COMPUTED_VALUE"""),3.1)</f>
        <v>3.1</v>
      </c>
    </row>
    <row r="176">
      <c r="A176" s="4" t="str">
        <f>IFERROR(__xludf.DUMMYFUNCTION("""COMPUTED_VALUE"""),"244")</f>
        <v>244</v>
      </c>
      <c r="B176" s="4" t="str">
        <f>IFERROR(__xludf.DUMMYFUNCTION("""COMPUTED_VALUE"""),"Cartel PVC de 1x0.70 Combinado")</f>
        <v>Cartel PVC de 1x0.70 Combinado</v>
      </c>
      <c r="C176" s="4">
        <f>IFERROR(__xludf.DUMMYFUNCTION("""COMPUTED_VALUE"""),5.9)</f>
        <v>5.9</v>
      </c>
    </row>
    <row r="177">
      <c r="A177" s="4" t="str">
        <f>IFERROR(__xludf.DUMMYFUNCTION("""COMPUTED_VALUE"""),"247")</f>
        <v>247</v>
      </c>
      <c r="B177" s="4" t="str">
        <f>IFERROR(__xludf.DUMMYFUNCTION("""COMPUTED_VALUE"""),"Cartel PVC 40x30 (Salida Camiones)")</f>
        <v>Cartel PVC 40x30 (Salida Camiones)</v>
      </c>
      <c r="C177" s="4">
        <f>IFERROR(__xludf.DUMMYFUNCTION("""COMPUTED_VALUE"""),2.48)</f>
        <v>2.48</v>
      </c>
    </row>
    <row r="178">
      <c r="A178" s="4" t="str">
        <f>IFERROR(__xludf.DUMMYFUNCTION("""COMPUTED_VALUE"""),"0247P")</f>
        <v>0247P</v>
      </c>
      <c r="B178" s="4" t="str">
        <f>IFERROR(__xludf.DUMMYFUNCTION("""COMPUTED_VALUE"""),"Cartel PVC 21x29 SALIDA DE CAMIONES")</f>
        <v>Cartel PVC 21x29 SALIDA DE CAMIONES</v>
      </c>
      <c r="C178" s="4">
        <f>IFERROR(__xludf.DUMMYFUNCTION("""COMPUTED_VALUE"""),1.6)</f>
        <v>1.6</v>
      </c>
    </row>
    <row r="179">
      <c r="A179" s="4" t="str">
        <f>IFERROR(__xludf.DUMMYFUNCTION("""COMPUTED_VALUE"""),"248")</f>
        <v>248</v>
      </c>
      <c r="B179" s="4" t="str">
        <f>IFERROR(__xludf.DUMMYFUNCTION("""COMPUTED_VALUE"""),"Cartel PVC 40x30 (Prohibido Aparcar)")</f>
        <v>Cartel PVC 40x30 (Prohibido Aparcar)</v>
      </c>
      <c r="C179" s="4">
        <f>IFERROR(__xludf.DUMMYFUNCTION("""COMPUTED_VALUE"""),2.48)</f>
        <v>2.48</v>
      </c>
    </row>
    <row r="180">
      <c r="A180" s="4" t="str">
        <f>IFERROR(__xludf.DUMMYFUNCTION("""COMPUTED_VALUE"""),"0248P")</f>
        <v>0248P</v>
      </c>
      <c r="B180" s="4" t="str">
        <f>IFERROR(__xludf.DUMMYFUNCTION("""COMPUTED_VALUE"""),"Cartel PVC 21x29 PROHIBIDO APARCAR")</f>
        <v>Cartel PVC 21x29 PROHIBIDO APARCAR</v>
      </c>
      <c r="C180" s="4">
        <f>IFERROR(__xludf.DUMMYFUNCTION("""COMPUTED_VALUE"""),1.6)</f>
        <v>1.6</v>
      </c>
    </row>
    <row r="181">
      <c r="A181" s="4" t="str">
        <f>IFERROR(__xludf.DUMMYFUNCTION("""COMPUTED_VALUE"""),"249")</f>
        <v>249</v>
      </c>
      <c r="B181" s="4" t="str">
        <f>IFERROR(__xludf.DUMMYFUNCTION("""COMPUTED_VALUE"""),"Cartel PVC 40x30 STOP")</f>
        <v>Cartel PVC 40x30 STOP</v>
      </c>
      <c r="C181" s="4">
        <f>IFERROR(__xludf.DUMMYFUNCTION("""COMPUTED_VALUE"""),2.48)</f>
        <v>2.48</v>
      </c>
    </row>
    <row r="182">
      <c r="A182" s="4" t="str">
        <f>IFERROR(__xludf.DUMMYFUNCTION("""COMPUTED_VALUE"""),"0249P")</f>
        <v>0249P</v>
      </c>
      <c r="B182" s="4" t="str">
        <f>IFERROR(__xludf.DUMMYFUNCTION("""COMPUTED_VALUE"""),"Cartel PVC 21x29 STOP")</f>
        <v>Cartel PVC 21x29 STOP</v>
      </c>
      <c r="C182" s="4">
        <f>IFERROR(__xludf.DUMMYFUNCTION("""COMPUTED_VALUE"""),1.6)</f>
        <v>1.6</v>
      </c>
    </row>
    <row r="183">
      <c r="A183" s="4" t="str">
        <f>IFERROR(__xludf.DUMMYFUNCTION("""COMPUTED_VALUE"""),"250")</f>
        <v>250</v>
      </c>
      <c r="B183" s="4" t="str">
        <f>IFERROR(__xludf.DUMMYFUNCTION("""COMPUTED_VALUE"""),"Cartel PVC 40x30 (Peligro Indefinido)")</f>
        <v>Cartel PVC 40x30 (Peligro Indefinido)</v>
      </c>
      <c r="C183" s="4">
        <f>IFERROR(__xludf.DUMMYFUNCTION("""COMPUTED_VALUE"""),2.48)</f>
        <v>2.48</v>
      </c>
    </row>
    <row r="184">
      <c r="A184" s="4" t="str">
        <f>IFERROR(__xludf.DUMMYFUNCTION("""COMPUTED_VALUE"""),"0250P")</f>
        <v>0250P</v>
      </c>
      <c r="B184" s="4" t="str">
        <f>IFERROR(__xludf.DUMMYFUNCTION("""COMPUTED_VALUE"""),"Cartel PVC 21x29 PELIGRO")</f>
        <v>Cartel PVC 21x29 PELIGRO</v>
      </c>
      <c r="C184" s="4">
        <f>IFERROR(__xludf.DUMMYFUNCTION("""COMPUTED_VALUE"""),1.6)</f>
        <v>1.6</v>
      </c>
    </row>
    <row r="185">
      <c r="A185" s="4" t="str">
        <f>IFERROR(__xludf.DUMMYFUNCTION("""COMPUTED_VALUE"""),"251")</f>
        <v>251</v>
      </c>
      <c r="B185" s="4" t="str">
        <f>IFERROR(__xludf.DUMMYFUNCTION("""COMPUTED_VALUE"""),"Cartel PVC 40x30 (Vado Permanente)")</f>
        <v>Cartel PVC 40x30 (Vado Permanente)</v>
      </c>
      <c r="C185" s="4">
        <f>IFERROR(__xludf.DUMMYFUNCTION("""COMPUTED_VALUE"""),2.48)</f>
        <v>2.48</v>
      </c>
    </row>
    <row r="186">
      <c r="A186" s="4" t="str">
        <f>IFERROR(__xludf.DUMMYFUNCTION("""COMPUTED_VALUE"""),"0251P")</f>
        <v>0251P</v>
      </c>
      <c r="B186" s="4" t="str">
        <f>IFERROR(__xludf.DUMMYFUNCTION("""COMPUTED_VALUE"""),"Cartel PVC 21x29 VADO PERMANENTE")</f>
        <v>Cartel PVC 21x29 VADO PERMANENTE</v>
      </c>
      <c r="C186" s="4">
        <f>IFERROR(__xludf.DUMMYFUNCTION("""COMPUTED_VALUE"""),1.6)</f>
        <v>1.6</v>
      </c>
    </row>
    <row r="187">
      <c r="A187" s="4" t="str">
        <f>IFERROR(__xludf.DUMMYFUNCTION("""COMPUTED_VALUE"""),"252")</f>
        <v>252</v>
      </c>
      <c r="B187" s="4" t="str">
        <f>IFERROR(__xludf.DUMMYFUNCTION("""COMPUTED_VALUE"""),"Cartel PVC 40x30 (Riesgo Atrapamiento)")</f>
        <v>Cartel PVC 40x30 (Riesgo Atrapamiento)</v>
      </c>
      <c r="C187" s="4">
        <f>IFERROR(__xludf.DUMMYFUNCTION("""COMPUTED_VALUE"""),2.48)</f>
        <v>2.48</v>
      </c>
    </row>
    <row r="188">
      <c r="A188" s="4" t="str">
        <f>IFERROR(__xludf.DUMMYFUNCTION("""COMPUTED_VALUE"""),"0252P")</f>
        <v>0252P</v>
      </c>
      <c r="B188" s="4" t="str">
        <f>IFERROR(__xludf.DUMMYFUNCTION("""COMPUTED_VALUE"""),"Cartel PVC 21x29 ATENCION RIESGO DE ATRAPAMIENTO")</f>
        <v>Cartel PVC 21x29 ATENCION RIESGO DE ATRAPAMIENTO</v>
      </c>
      <c r="C188" s="4">
        <f>IFERROR(__xludf.DUMMYFUNCTION("""COMPUTED_VALUE"""),1.6)</f>
        <v>1.6</v>
      </c>
    </row>
    <row r="189">
      <c r="A189" s="4" t="str">
        <f>IFERROR(__xludf.DUMMYFUNCTION("""COMPUTED_VALUE"""),"253")</f>
        <v>253</v>
      </c>
      <c r="B189" s="4" t="str">
        <f>IFERROR(__xludf.DUMMYFUNCTION("""COMPUTED_VALUE"""),"Cartel PVC 40x30 (Proh. paso empresa)")</f>
        <v>Cartel PVC 40x30 (Proh. paso empresa)</v>
      </c>
      <c r="C189" s="4">
        <f>IFERROR(__xludf.DUMMYFUNCTION("""COMPUTED_VALUE"""),2.48)</f>
        <v>2.48</v>
      </c>
    </row>
    <row r="190">
      <c r="A190" s="4" t="str">
        <f>IFERROR(__xludf.DUMMYFUNCTION("""COMPUTED_VALUE"""),"0253P")</f>
        <v>0253P</v>
      </c>
      <c r="B190" s="4" t="str">
        <f>IFERROR(__xludf.DUMMYFUNCTION("""COMPUTED_VALUE"""),"Cartel PVC 21x29 PROHIBIDO PASO PERSONA AJENA")</f>
        <v>Cartel PVC 21x29 PROHIBIDO PASO PERSONA AJENA</v>
      </c>
      <c r="C190" s="4">
        <f>IFERROR(__xludf.DUMMYFUNCTION("""COMPUTED_VALUE"""),1.6)</f>
        <v>1.6</v>
      </c>
    </row>
    <row r="191">
      <c r="A191" s="4" t="str">
        <f>IFERROR(__xludf.DUMMYFUNCTION("""COMPUTED_VALUE"""),"255")</f>
        <v>255</v>
      </c>
      <c r="B191" s="4" t="str">
        <f>IFERROR(__xludf.DUMMYFUNCTION("""COMPUTED_VALUE"""),"Cartel PVC 40x30 (Temperatura elevada)")</f>
        <v>Cartel PVC 40x30 (Temperatura elevada)</v>
      </c>
      <c r="C191" s="4">
        <f>IFERROR(__xludf.DUMMYFUNCTION("""COMPUTED_VALUE"""),2.48)</f>
        <v>2.48</v>
      </c>
    </row>
    <row r="192">
      <c r="A192" s="4" t="str">
        <f>IFERROR(__xludf.DUMMYFUNCTION("""COMPUTED_VALUE"""),"0255P")</f>
        <v>0255P</v>
      </c>
      <c r="B192" s="4" t="str">
        <f>IFERROR(__xludf.DUMMYFUNCTION("""COMPUTED_VALUE"""),"Cartel PVC 21x29 TEMPERATURA ELEVADA")</f>
        <v>Cartel PVC 21x29 TEMPERATURA ELEVADA</v>
      </c>
      <c r="C192" s="4">
        <f>IFERROR(__xludf.DUMMYFUNCTION("""COMPUTED_VALUE"""),1.6)</f>
        <v>1.6</v>
      </c>
    </row>
    <row r="193">
      <c r="A193" s="4" t="str">
        <f>IFERROR(__xludf.DUMMYFUNCTION("""COMPUTED_VALUE"""),"256")</f>
        <v>256</v>
      </c>
      <c r="B193" s="4" t="str">
        <f>IFERROR(__xludf.DUMMYFUNCTION("""COMPUTED_VALUE"""),"Cartel PVC 40x30 Fotolum. Botiquin")</f>
        <v>Cartel PVC 40x30 Fotolum. Botiquin</v>
      </c>
      <c r="C193" s="4">
        <f>IFERROR(__xludf.DUMMYFUNCTION("""COMPUTED_VALUE"""),3.35)</f>
        <v>3.35</v>
      </c>
    </row>
    <row r="194">
      <c r="A194" s="4" t="str">
        <f>IFERROR(__xludf.DUMMYFUNCTION("""COMPUTED_VALUE"""),"257")</f>
        <v>257</v>
      </c>
      <c r="B194" s="4" t="str">
        <f>IFERROR(__xludf.DUMMYFUNCTION("""COMPUTED_VALUE"""),"Cartel PVC 40x30 (Riesgo desprendimiento)")</f>
        <v>Cartel PVC 40x30 (Riesgo desprendimiento)</v>
      </c>
      <c r="C194" s="4">
        <f>IFERROR(__xludf.DUMMYFUNCTION("""COMPUTED_VALUE"""),2.48)</f>
        <v>2.48</v>
      </c>
    </row>
    <row r="195">
      <c r="A195" s="4" t="str">
        <f>IFERROR(__xludf.DUMMYFUNCTION("""COMPUTED_VALUE"""),"0257P")</f>
        <v>0257P</v>
      </c>
      <c r="B195" s="4" t="str">
        <f>IFERROR(__xludf.DUMMYFUNCTION("""COMPUTED_VALUE"""),"Cartel PVC 21x29 RIESGO DESPRENDIMIENTOS")</f>
        <v>Cartel PVC 21x29 RIESGO DESPRENDIMIENTOS</v>
      </c>
      <c r="C195" s="4">
        <f>IFERROR(__xludf.DUMMYFUNCTION("""COMPUTED_VALUE"""),1.6)</f>
        <v>1.6</v>
      </c>
    </row>
    <row r="196">
      <c r="A196" s="4" t="str">
        <f>IFERROR(__xludf.DUMMYFUNCTION("""COMPUTED_VALUE"""),"0258A")</f>
        <v>0258A</v>
      </c>
      <c r="B196" s="4" t="str">
        <f>IFERROR(__xludf.DUMMYFUNCTION("""COMPUTED_VALUE"""),"Cartel PVC 21x30 Fotolum. Pulsador de Alarma")</f>
        <v>Cartel PVC 21x30 Fotolum. Pulsador de Alarma</v>
      </c>
      <c r="C196" s="4">
        <f>IFERROR(__xludf.DUMMYFUNCTION("""COMPUTED_VALUE"""),2.52)</f>
        <v>2.52</v>
      </c>
    </row>
    <row r="197">
      <c r="A197" s="4" t="str">
        <f>IFERROR(__xludf.DUMMYFUNCTION("""COMPUTED_VALUE"""),"0258B")</f>
        <v>0258B</v>
      </c>
      <c r="B197" s="4" t="str">
        <f>IFERROR(__xludf.DUMMYFUNCTION("""COMPUTED_VALUE"""),"Cartel PVC 40x30 Fotolum. Pulsador de Alarma")</f>
        <v>Cartel PVC 40x30 Fotolum. Pulsador de Alarma</v>
      </c>
      <c r="C197" s="4">
        <f>IFERROR(__xludf.DUMMYFUNCTION("""COMPUTED_VALUE"""),3.1)</f>
        <v>3.1</v>
      </c>
    </row>
    <row r="198">
      <c r="A198" s="4" t="str">
        <f>IFERROR(__xludf.DUMMYFUNCTION("""COMPUTED_VALUE"""),"259")</f>
        <v>259</v>
      </c>
      <c r="B198" s="4" t="str">
        <f>IFERROR(__xludf.DUMMYFUNCTION("""COMPUTED_VALUE"""),"Cartel PVC 40x30 Prohib. depositar materiales")</f>
        <v>Cartel PVC 40x30 Prohib. depositar materiales</v>
      </c>
      <c r="C198" s="4">
        <f>IFERROR(__xludf.DUMMYFUNCTION("""COMPUTED_VALUE"""),2.48)</f>
        <v>2.48</v>
      </c>
    </row>
    <row r="199">
      <c r="A199" s="4" t="str">
        <f>IFERROR(__xludf.DUMMYFUNCTION("""COMPUTED_VALUE"""),"0259P")</f>
        <v>0259P</v>
      </c>
      <c r="B199" s="4" t="str">
        <f>IFERROR(__xludf.DUMMYFUNCTION("""COMPUTED_VALUE"""),"Cartel PVC 21x29 PROHIBIDO DEPOSITAR MATERIALES")</f>
        <v>Cartel PVC 21x29 PROHIBIDO DEPOSITAR MATERIALES</v>
      </c>
      <c r="C199" s="4">
        <f>IFERROR(__xludf.DUMMYFUNCTION("""COMPUTED_VALUE"""),1.6)</f>
        <v>1.6</v>
      </c>
    </row>
    <row r="200">
      <c r="A200" s="4" t="str">
        <f>IFERROR(__xludf.DUMMYFUNCTION("""COMPUTED_VALUE"""),"260")</f>
        <v>260</v>
      </c>
      <c r="B200" s="4" t="str">
        <f>IFERROR(__xludf.DUMMYFUNCTION("""COMPUTED_VALUE"""),"Cartel PVC 40x30 Caida de Objetos")</f>
        <v>Cartel PVC 40x30 Caida de Objetos</v>
      </c>
      <c r="C200" s="4">
        <f>IFERROR(__xludf.DUMMYFUNCTION("""COMPUTED_VALUE"""),2.48)</f>
        <v>2.48</v>
      </c>
    </row>
    <row r="201">
      <c r="A201" s="4" t="str">
        <f>IFERROR(__xludf.DUMMYFUNCTION("""COMPUTED_VALUE"""),"0260P")</f>
        <v>0260P</v>
      </c>
      <c r="B201" s="4" t="str">
        <f>IFERROR(__xludf.DUMMYFUNCTION("""COMPUTED_VALUE"""),"Cartel PVC 21x29 PELIGRO CAIDA DE OBJETOS")</f>
        <v>Cartel PVC 21x29 PELIGRO CAIDA DE OBJETOS</v>
      </c>
      <c r="C201" s="4">
        <f>IFERROR(__xludf.DUMMYFUNCTION("""COMPUTED_VALUE"""),1.6)</f>
        <v>1.6</v>
      </c>
    </row>
    <row r="202">
      <c r="A202" s="4" t="str">
        <f>IFERROR(__xludf.DUMMYFUNCTION("""COMPUTED_VALUE"""),"261")</f>
        <v>261</v>
      </c>
      <c r="B202" s="4" t="str">
        <f>IFERROR(__xludf.DUMMYFUNCTION("""COMPUTED_VALUE"""),"Cartel PVC 40x30 Fotolum. Aseos Mujeres")</f>
        <v>Cartel PVC 40x30 Fotolum. Aseos Mujeres</v>
      </c>
      <c r="C202" s="4">
        <f>IFERROR(__xludf.DUMMYFUNCTION("""COMPUTED_VALUE"""),3.35)</f>
        <v>3.35</v>
      </c>
    </row>
    <row r="203">
      <c r="A203" s="4" t="str">
        <f>IFERROR(__xludf.DUMMYFUNCTION("""COMPUTED_VALUE"""),"262")</f>
        <v>262</v>
      </c>
      <c r="B203" s="4" t="str">
        <f>IFERROR(__xludf.DUMMYFUNCTION("""COMPUTED_VALUE"""),"Cartel PVC 40x30 Fotolum. Aseos hombres")</f>
        <v>Cartel PVC 40x30 Fotolum. Aseos hombres</v>
      </c>
      <c r="C203" s="4">
        <f>IFERROR(__xludf.DUMMYFUNCTION("""COMPUTED_VALUE"""),3.35)</f>
        <v>3.35</v>
      </c>
    </row>
    <row r="204">
      <c r="A204" s="4" t="str">
        <f>IFERROR(__xludf.DUMMYFUNCTION("""COMPUTED_VALUE"""),"263")</f>
        <v>263</v>
      </c>
      <c r="B204" s="4" t="str">
        <f>IFERROR(__xludf.DUMMYFUNCTION("""COMPUTED_VALUE"""),"Cartel PVC 40x30 Fotolum.Aseos Mixtos")</f>
        <v>Cartel PVC 40x30 Fotolum.Aseos Mixtos</v>
      </c>
      <c r="C204" s="4">
        <f>IFERROR(__xludf.DUMMYFUNCTION("""COMPUTED_VALUE"""),3.35)</f>
        <v>3.35</v>
      </c>
    </row>
    <row r="205">
      <c r="A205" s="4" t="str">
        <f>IFERROR(__xludf.DUMMYFUNCTION("""COMPUTED_VALUE"""),"264")</f>
        <v>264</v>
      </c>
      <c r="B205" s="4" t="str">
        <f>IFERROR(__xludf.DUMMYFUNCTION("""COMPUTED_VALUE"""),"Cartel PVC 40X30 Fotolum. Salida de Emergencia")</f>
        <v>Cartel PVC 40X30 Fotolum. Salida de Emergencia</v>
      </c>
      <c r="C205" s="4">
        <f>IFERROR(__xludf.DUMMYFUNCTION("""COMPUTED_VALUE"""),3.35)</f>
        <v>3.35</v>
      </c>
    </row>
    <row r="206">
      <c r="A206" s="4" t="str">
        <f>IFERROR(__xludf.DUMMYFUNCTION("""COMPUTED_VALUE"""),"265")</f>
        <v>265</v>
      </c>
      <c r="B206" s="4" t="str">
        <f>IFERROR(__xludf.DUMMYFUNCTION("""COMPUTED_VALUE"""),"Cartel PVC 40x30 Perro Peligroso")</f>
        <v>Cartel PVC 40x30 Perro Peligroso</v>
      </c>
      <c r="C206" s="4">
        <f>IFERROR(__xludf.DUMMYFUNCTION("""COMPUTED_VALUE"""),2.48)</f>
        <v>2.48</v>
      </c>
    </row>
    <row r="207">
      <c r="A207" s="4" t="str">
        <f>IFERROR(__xludf.DUMMYFUNCTION("""COMPUTED_VALUE"""),"0265P")</f>
        <v>0265P</v>
      </c>
      <c r="B207" s="4" t="str">
        <f>IFERROR(__xludf.DUMMYFUNCTION("""COMPUTED_VALUE"""),"Cartel PVC 21x29 PERRO PELIGROSO")</f>
        <v>Cartel PVC 21x29 PERRO PELIGROSO</v>
      </c>
      <c r="C207" s="4">
        <f>IFERROR(__xludf.DUMMYFUNCTION("""COMPUTED_VALUE"""),1.6)</f>
        <v>1.6</v>
      </c>
    </row>
    <row r="208">
      <c r="A208" s="4" t="str">
        <f>IFERROR(__xludf.DUMMYFUNCTION("""COMPUTED_VALUE"""),"266")</f>
        <v>266</v>
      </c>
      <c r="B208" s="4" t="str">
        <f>IFERROR(__xludf.DUMMYFUNCTION("""COMPUTED_VALUE"""),"Cartel PVC 40x30 Peligro zona minera")</f>
        <v>Cartel PVC 40x30 Peligro zona minera</v>
      </c>
      <c r="C208" s="4">
        <f>IFERROR(__xludf.DUMMYFUNCTION("""COMPUTED_VALUE"""),2.48)</f>
        <v>2.48</v>
      </c>
    </row>
    <row r="209">
      <c r="A209" s="4" t="str">
        <f>IFERROR(__xludf.DUMMYFUNCTION("""COMPUTED_VALUE"""),"0266P")</f>
        <v>0266P</v>
      </c>
      <c r="B209" s="4" t="str">
        <f>IFERROR(__xludf.DUMMYFUNCTION("""COMPUTED_VALUE"""),"Cartel PVC 21x29 PELIGRO ZONA MINERA")</f>
        <v>Cartel PVC 21x29 PELIGRO ZONA MINERA</v>
      </c>
      <c r="C209" s="4">
        <f>IFERROR(__xludf.DUMMYFUNCTION("""COMPUTED_VALUE"""),1.6)</f>
        <v>1.6</v>
      </c>
    </row>
    <row r="210">
      <c r="A210" s="4" t="str">
        <f>IFERROR(__xludf.DUMMYFUNCTION("""COMPUTED_VALUE"""),"267")</f>
        <v>267</v>
      </c>
      <c r="B210" s="4" t="str">
        <f>IFERROR(__xludf.DUMMYFUNCTION("""COMPUTED_VALUE"""),"Cartel PVC 40x30 Vehiculo Pesado")</f>
        <v>Cartel PVC 40x30 Vehiculo Pesado</v>
      </c>
      <c r="C210" s="4">
        <f>IFERROR(__xludf.DUMMYFUNCTION("""COMPUTED_VALUE"""),2.48)</f>
        <v>2.48</v>
      </c>
    </row>
    <row r="211">
      <c r="A211" s="4" t="str">
        <f>IFERROR(__xludf.DUMMYFUNCTION("""COMPUTED_VALUE"""),"0267P")</f>
        <v>0267P</v>
      </c>
      <c r="B211" s="4" t="str">
        <f>IFERROR(__xludf.DUMMYFUNCTION("""COMPUTED_VALUE"""),"Cartel PVC 21x29 VEHICULO PESADO")</f>
        <v>Cartel PVC 21x29 VEHICULO PESADO</v>
      </c>
      <c r="C211" s="4">
        <f>IFERROR(__xludf.DUMMYFUNCTION("""COMPUTED_VALUE"""),1.6)</f>
        <v>1.6</v>
      </c>
    </row>
    <row r="212">
      <c r="A212" s="4" t="str">
        <f>IFERROR(__xludf.DUMMYFUNCTION("""COMPUTED_VALUE"""),"268")</f>
        <v>268</v>
      </c>
      <c r="B212" s="4" t="str">
        <f>IFERROR(__xludf.DUMMYFUNCTION("""COMPUTED_VALUE"""),"Cartel PVC 40x30 Peligro Expulsion de Material")</f>
        <v>Cartel PVC 40x30 Peligro Expulsion de Material</v>
      </c>
      <c r="C212" s="4">
        <f>IFERROR(__xludf.DUMMYFUNCTION("""COMPUTED_VALUE"""),2.48)</f>
        <v>2.48</v>
      </c>
    </row>
    <row r="213">
      <c r="A213" s="4" t="str">
        <f>IFERROR(__xludf.DUMMYFUNCTION("""COMPUTED_VALUE"""),"0268P")</f>
        <v>0268P</v>
      </c>
      <c r="B213" s="4" t="str">
        <f>IFERROR(__xludf.DUMMYFUNCTION("""COMPUTED_VALUE"""),"Cartel PVC 21x29 PELIGRO EXPUL.MATERIAL")</f>
        <v>Cartel PVC 21x29 PELIGRO EXPUL.MATERIAL</v>
      </c>
      <c r="C213" s="4">
        <f>IFERROR(__xludf.DUMMYFUNCTION("""COMPUTED_VALUE"""),1.6)</f>
        <v>1.6</v>
      </c>
    </row>
    <row r="214">
      <c r="A214" s="4" t="str">
        <f>IFERROR(__xludf.DUMMYFUNCTION("""COMPUTED_VALUE"""),"269")</f>
        <v>269</v>
      </c>
      <c r="B214" s="4" t="str">
        <f>IFERROR(__xludf.DUMMYFUNCTION("""COMPUTED_VALUE"""),"Cartel PVC 40x30 Atencion Mecanismo Accionado a distancia")</f>
        <v>Cartel PVC 40x30 Atencion Mecanismo Accionado a distancia</v>
      </c>
      <c r="C214" s="4">
        <f>IFERROR(__xludf.DUMMYFUNCTION("""COMPUTED_VALUE"""),2.48)</f>
        <v>2.48</v>
      </c>
    </row>
    <row r="215">
      <c r="A215" s="4" t="str">
        <f>IFERROR(__xludf.DUMMYFUNCTION("""COMPUTED_VALUE"""),"0269P")</f>
        <v>0269P</v>
      </c>
      <c r="B215" s="4" t="str">
        <f>IFERROR(__xludf.DUMMYFUNCTION("""COMPUTED_VALUE"""),"Cartel PVC 21x29 ATENCION MECANISMO ACCION.")</f>
        <v>Cartel PVC 21x29 ATENCION MECANISMO ACCION.</v>
      </c>
      <c r="C215" s="4">
        <f>IFERROR(__xludf.DUMMYFUNCTION("""COMPUTED_VALUE"""),1.6)</f>
        <v>1.6</v>
      </c>
    </row>
    <row r="216">
      <c r="A216" s="4" t="str">
        <f>IFERROR(__xludf.DUMMYFUNCTION("""COMPUTED_VALUE"""),"270")</f>
        <v>270</v>
      </c>
      <c r="B216" s="4" t="str">
        <f>IFERROR(__xludf.DUMMYFUNCTION("""COMPUTED_VALUE"""),"Cartel PVC 40x30 Atencion Grua Accionada a distan.")</f>
        <v>Cartel PVC 40x30 Atencion Grua Accionada a distan.</v>
      </c>
      <c r="C216" s="4">
        <f>IFERROR(__xludf.DUMMYFUNCTION("""COMPUTED_VALUE"""),2.48)</f>
        <v>2.48</v>
      </c>
    </row>
    <row r="217">
      <c r="A217" s="4" t="str">
        <f>IFERROR(__xludf.DUMMYFUNCTION("""COMPUTED_VALUE"""),"0270P")</f>
        <v>0270P</v>
      </c>
      <c r="B217" s="4" t="str">
        <f>IFERROR(__xludf.DUMMYFUNCTION("""COMPUTED_VALUE"""),"Cartel PVC 21x29 ATENCION GRUA ACCIONADA A")</f>
        <v>Cartel PVC 21x29 ATENCION GRUA ACCIONADA A</v>
      </c>
      <c r="C217" s="4">
        <f>IFERROR(__xludf.DUMMYFUNCTION("""COMPUTED_VALUE"""),1.6)</f>
        <v>1.6</v>
      </c>
    </row>
    <row r="218">
      <c r="A218" s="4" t="str">
        <f>IFERROR(__xludf.DUMMYFUNCTION("""COMPUTED_VALUE"""),"271")</f>
        <v>271</v>
      </c>
      <c r="B218" s="4" t="str">
        <f>IFERROR(__xludf.DUMMYFUNCTION("""COMPUTED_VALUE"""),"Cartel PVC 40x30 EX 40x30 cm")</f>
        <v>Cartel PVC 40x30 EX 40x30 cm</v>
      </c>
      <c r="C218" s="4">
        <f>IFERROR(__xludf.DUMMYFUNCTION("""COMPUTED_VALUE"""),2.48)</f>
        <v>2.48</v>
      </c>
    </row>
    <row r="219">
      <c r="A219" s="4" t="str">
        <f>IFERROR(__xludf.DUMMYFUNCTION("""COMPUTED_VALUE"""),"0271P")</f>
        <v>0271P</v>
      </c>
      <c r="B219" s="4" t="str">
        <f>IFERROR(__xludf.DUMMYFUNCTION("""COMPUTED_VALUE"""),"Cartel PVC 21x29 EX 21x29 cm")</f>
        <v>Cartel PVC 21x29 EX 21x29 cm</v>
      </c>
      <c r="C219" s="4">
        <f>IFERROR(__xludf.DUMMYFUNCTION("""COMPUTED_VALUE"""),1.6)</f>
        <v>1.6</v>
      </c>
    </row>
    <row r="220">
      <c r="A220" s="4" t="str">
        <f>IFERROR(__xludf.DUMMYFUNCTION("""COMPUTED_VALUE"""),"272")</f>
        <v>272</v>
      </c>
      <c r="B220" s="4" t="str">
        <f>IFERROR(__xludf.DUMMYFUNCTION("""COMPUTED_VALUE"""),"Cartel PVC 40x30 Peligro Voladuras")</f>
        <v>Cartel PVC 40x30 Peligro Voladuras</v>
      </c>
      <c r="C220" s="4">
        <f>IFERROR(__xludf.DUMMYFUNCTION("""COMPUTED_VALUE"""),2.48)</f>
        <v>2.48</v>
      </c>
    </row>
    <row r="221">
      <c r="A221" s="4" t="str">
        <f>IFERROR(__xludf.DUMMYFUNCTION("""COMPUTED_VALUE"""),"0272P")</f>
        <v>0272P</v>
      </c>
      <c r="B221" s="4" t="str">
        <f>IFERROR(__xludf.DUMMYFUNCTION("""COMPUTED_VALUE"""),"Cartel PVC 21x29 PELIGRO VOLADURA")</f>
        <v>Cartel PVC 21x29 PELIGRO VOLADURA</v>
      </c>
      <c r="C221" s="4">
        <f>IFERROR(__xludf.DUMMYFUNCTION("""COMPUTED_VALUE"""),1.6)</f>
        <v>1.6</v>
      </c>
    </row>
    <row r="222">
      <c r="A222" s="4" t="str">
        <f>IFERROR(__xludf.DUMMYFUNCTION("""COMPUTED_VALUE"""),"273")</f>
        <v>273</v>
      </c>
      <c r="B222" s="4" t="str">
        <f>IFERROR(__xludf.DUMMYFUNCTION("""COMPUTED_VALUE"""),"Cartel PVC 40x30 Prohib. Manipular valvula")</f>
        <v>Cartel PVC 40x30 Prohib. Manipular valvula</v>
      </c>
      <c r="C222" s="4">
        <f>IFERROR(__xludf.DUMMYFUNCTION("""COMPUTED_VALUE"""),2.48)</f>
        <v>2.48</v>
      </c>
    </row>
    <row r="223">
      <c r="A223" s="4" t="str">
        <f>IFERROR(__xludf.DUMMYFUNCTION("""COMPUTED_VALUE"""),"0273P")</f>
        <v>0273P</v>
      </c>
      <c r="B223" s="4" t="str">
        <f>IFERROR(__xludf.DUMMYFUNCTION("""COMPUTED_VALUE"""),"Cartel PVC 21x29 PROHIBIDO MANIPULAR LA VALVULA")</f>
        <v>Cartel PVC 21x29 PROHIBIDO MANIPULAR LA VALVULA</v>
      </c>
      <c r="C223" s="4">
        <f>IFERROR(__xludf.DUMMYFUNCTION("""COMPUTED_VALUE"""),1.6)</f>
        <v>1.6</v>
      </c>
    </row>
    <row r="224">
      <c r="A224" s="4" t="str">
        <f>IFERROR(__xludf.DUMMYFUNCTION("""COMPUTED_VALUE"""),"274")</f>
        <v>274</v>
      </c>
      <c r="B224" s="4" t="str">
        <f>IFERROR(__xludf.DUMMYFUNCTION("""COMPUTED_VALUE"""),"Cartel PVC 40x30 Prohibido Engrasar en funcionamiento")</f>
        <v>Cartel PVC 40x30 Prohibido Engrasar en funcionamiento</v>
      </c>
      <c r="C224" s="4">
        <f>IFERROR(__xludf.DUMMYFUNCTION("""COMPUTED_VALUE"""),2.48)</f>
        <v>2.48</v>
      </c>
    </row>
    <row r="225">
      <c r="A225" s="4" t="str">
        <f>IFERROR(__xludf.DUMMYFUNCTION("""COMPUTED_VALUE"""),"0274P")</f>
        <v>0274P</v>
      </c>
      <c r="B225" s="4" t="str">
        <f>IFERROR(__xludf.DUMMYFUNCTION("""COMPUTED_VALUE"""),"Cartel PVC 21x29 PROHIBIDO ENGRASAR O REPARAR")</f>
        <v>Cartel PVC 21x29 PROHIBIDO ENGRASAR O REPARAR</v>
      </c>
      <c r="C225" s="4">
        <f>IFERROR(__xludf.DUMMYFUNCTION("""COMPUTED_VALUE"""),1.6)</f>
        <v>1.6</v>
      </c>
    </row>
    <row r="226">
      <c r="A226" s="4" t="str">
        <f>IFERROR(__xludf.DUMMYFUNCTION("""COMPUTED_VALUE"""),"275")</f>
        <v>275</v>
      </c>
      <c r="B226" s="4" t="str">
        <f>IFERROR(__xludf.DUMMYFUNCTION("""COMPUTED_VALUE"""),"Cartel PVC 40x30 Prohib. efectuar reparaciones pers. no")</f>
        <v>Cartel PVC 40x30 Prohib. efectuar reparaciones pers. no</v>
      </c>
      <c r="C226" s="4">
        <f>IFERROR(__xludf.DUMMYFUNCTION("""COMPUTED_VALUE"""),2.48)</f>
        <v>2.48</v>
      </c>
    </row>
    <row r="227">
      <c r="A227" s="4" t="str">
        <f>IFERROR(__xludf.DUMMYFUNCTION("""COMPUTED_VALUE"""),"0275P")</f>
        <v>0275P</v>
      </c>
      <c r="B227" s="4" t="str">
        <f>IFERROR(__xludf.DUMMYFUNCTION("""COMPUTED_VALUE"""),"Cartel PVC 21x29 PROHIBIDO REPARACIONES PERSONAL")</f>
        <v>Cartel PVC 21x29 PROHIBIDO REPARACIONES PERSONAL</v>
      </c>
      <c r="C227" s="4">
        <f>IFERROR(__xludf.DUMMYFUNCTION("""COMPUTED_VALUE"""),1.6)</f>
        <v>1.6</v>
      </c>
    </row>
    <row r="228">
      <c r="A228" s="4" t="str">
        <f>IFERROR(__xludf.DUMMYFUNCTION("""COMPUTED_VALUE"""),"276")</f>
        <v>276</v>
      </c>
      <c r="B228" s="4" t="str">
        <f>IFERROR(__xludf.DUMMYFUNCTION("""COMPUTED_VALUE"""),"Cartel PVC 40x30 Prohib. Manipular maquina en")</f>
        <v>Cartel PVC 40x30 Prohib. Manipular maquina en</v>
      </c>
      <c r="C228" s="4">
        <f>IFERROR(__xludf.DUMMYFUNCTION("""COMPUTED_VALUE"""),2.48)</f>
        <v>2.48</v>
      </c>
    </row>
    <row r="229">
      <c r="A229" s="4" t="str">
        <f>IFERROR(__xludf.DUMMYFUNCTION("""COMPUTED_VALUE"""),"0276P")</f>
        <v>0276P</v>
      </c>
      <c r="B229" s="4" t="str">
        <f>IFERROR(__xludf.DUMMYFUNCTION("""COMPUTED_VALUE"""),"Cartel PVC 21x29 PROHIBIDO MANIPULAR LA MAQUINA EN")</f>
        <v>Cartel PVC 21x29 PROHIBIDO MANIPULAR LA MAQUINA EN</v>
      </c>
      <c r="C229" s="4">
        <f>IFERROR(__xludf.DUMMYFUNCTION("""COMPUTED_VALUE"""),1.6)</f>
        <v>1.6</v>
      </c>
    </row>
    <row r="230">
      <c r="A230" s="4" t="str">
        <f>IFERROR(__xludf.DUMMYFUNCTION("""COMPUTED_VALUE"""),"277")</f>
        <v>277</v>
      </c>
      <c r="B230" s="4" t="str">
        <f>IFERROR(__xludf.DUMMYFUNCTION("""COMPUTED_VALUE"""),"Cartel PVC 40x30 Area de Ruido Peligroso")</f>
        <v>Cartel PVC 40x30 Area de Ruido Peligroso</v>
      </c>
      <c r="C230" s="4">
        <f>IFERROR(__xludf.DUMMYFUNCTION("""COMPUTED_VALUE"""),2.48)</f>
        <v>2.48</v>
      </c>
    </row>
    <row r="231">
      <c r="A231" s="4" t="str">
        <f>IFERROR(__xludf.DUMMYFUNCTION("""COMPUTED_VALUE"""),"0277P")</f>
        <v>0277P</v>
      </c>
      <c r="B231" s="4" t="str">
        <f>IFERROR(__xludf.DUMMYFUNCTION("""COMPUTED_VALUE"""),"Cartel PVC 21x29 ATENCION AREA RUIDO PELIGROSO")</f>
        <v>Cartel PVC 21x29 ATENCION AREA RUIDO PELIGROSO</v>
      </c>
      <c r="C231" s="4">
        <f>IFERROR(__xludf.DUMMYFUNCTION("""COMPUTED_VALUE"""),1.6)</f>
        <v>1.6</v>
      </c>
    </row>
    <row r="232">
      <c r="A232" s="4" t="str">
        <f>IFERROR(__xludf.DUMMYFUNCTION("""COMPUTED_VALUE"""),"278")</f>
        <v>278</v>
      </c>
      <c r="B232" s="4" t="str">
        <f>IFERROR(__xludf.DUMMYFUNCTION("""COMPUTED_VALUE"""),"Cartel PVC 40x30 Prohib. la entrada con perros")</f>
        <v>Cartel PVC 40x30 Prohib. la entrada con perros</v>
      </c>
      <c r="C232" s="4">
        <f>IFERROR(__xludf.DUMMYFUNCTION("""COMPUTED_VALUE"""),2.48)</f>
        <v>2.48</v>
      </c>
    </row>
    <row r="233">
      <c r="A233" s="4" t="str">
        <f>IFERROR(__xludf.DUMMYFUNCTION("""COMPUTED_VALUE"""),"0278P")</f>
        <v>0278P</v>
      </c>
      <c r="B233" s="4" t="str">
        <f>IFERROR(__xludf.DUMMYFUNCTION("""COMPUTED_VALUE"""),"Cartel PVC 21x29 PROHIBIDO LA ENTRADA CON PERROS")</f>
        <v>Cartel PVC 21x29 PROHIBIDO LA ENTRADA CON PERROS</v>
      </c>
      <c r="C233" s="4">
        <f>IFERROR(__xludf.DUMMYFUNCTION("""COMPUTED_VALUE"""),1.6)</f>
        <v>1.6</v>
      </c>
    </row>
    <row r="234">
      <c r="A234" s="4" t="str">
        <f>IFERROR(__xludf.DUMMYFUNCTION("""COMPUTED_VALUE"""),"279")</f>
        <v>279</v>
      </c>
      <c r="B234" s="4" t="str">
        <f>IFERROR(__xludf.DUMMYFUNCTION("""COMPUTED_VALUE"""),"Cartel PVC 40x30 Prohibido arrojar objetos")</f>
        <v>Cartel PVC 40x30 Prohibido arrojar objetos</v>
      </c>
      <c r="C234" s="4">
        <f>IFERROR(__xludf.DUMMYFUNCTION("""COMPUTED_VALUE"""),2.48)</f>
        <v>2.48</v>
      </c>
    </row>
    <row r="235">
      <c r="A235" s="4" t="str">
        <f>IFERROR(__xludf.DUMMYFUNCTION("""COMPUTED_VALUE"""),"0279P")</f>
        <v>0279P</v>
      </c>
      <c r="B235" s="4" t="str">
        <f>IFERROR(__xludf.DUMMYFUNCTION("""COMPUTED_VALUE"""),"Cartel PVC 21x29 PROHIBIDO ARROJAR OBJETOS AL")</f>
        <v>Cartel PVC 21x29 PROHIBIDO ARROJAR OBJETOS AL</v>
      </c>
      <c r="C235" s="4">
        <f>IFERROR(__xludf.DUMMYFUNCTION("""COMPUTED_VALUE"""),1.6)</f>
        <v>1.6</v>
      </c>
    </row>
    <row r="236">
      <c r="A236" s="4" t="str">
        <f>IFERROR(__xludf.DUMMYFUNCTION("""COMPUTED_VALUE"""),"280")</f>
        <v>280</v>
      </c>
      <c r="B236" s="4" t="str">
        <f>IFERROR(__xludf.DUMMYFUNCTION("""COMPUTED_VALUE"""),"Cartel PVC 40x30 Alto No Pasar")</f>
        <v>Cartel PVC 40x30 Alto No Pasar</v>
      </c>
      <c r="C236" s="4">
        <f>IFERROR(__xludf.DUMMYFUNCTION("""COMPUTED_VALUE"""),2.48)</f>
        <v>2.48</v>
      </c>
    </row>
    <row r="237">
      <c r="A237" s="4" t="str">
        <f>IFERROR(__xludf.DUMMYFUNCTION("""COMPUTED_VALUE"""),"0280P")</f>
        <v>0280P</v>
      </c>
      <c r="B237" s="4" t="str">
        <f>IFERROR(__xludf.DUMMYFUNCTION("""COMPUTED_VALUE"""),"Cartel PVC 21x29 ALTO NO PASAR")</f>
        <v>Cartel PVC 21x29 ALTO NO PASAR</v>
      </c>
      <c r="C237" s="4">
        <f>IFERROR(__xludf.DUMMYFUNCTION("""COMPUTED_VALUE"""),1.6)</f>
        <v>1.6</v>
      </c>
    </row>
    <row r="238">
      <c r="A238" s="4" t="str">
        <f>IFERROR(__xludf.DUMMYFUNCTION("""COMPUTED_VALUE"""),"281")</f>
        <v>281</v>
      </c>
      <c r="B238" s="4" t="str">
        <f>IFERROR(__xludf.DUMMYFUNCTION("""COMPUTED_VALUE"""),"Cartel PVC 40x30 Agua no Potable")</f>
        <v>Cartel PVC 40x30 Agua no Potable</v>
      </c>
      <c r="C238" s="4">
        <f>IFERROR(__xludf.DUMMYFUNCTION("""COMPUTED_VALUE"""),2.48)</f>
        <v>2.48</v>
      </c>
    </row>
    <row r="239">
      <c r="A239" s="4" t="str">
        <f>IFERROR(__xludf.DUMMYFUNCTION("""COMPUTED_VALUE"""),"0281P")</f>
        <v>0281P</v>
      </c>
      <c r="B239" s="4" t="str">
        <f>IFERROR(__xludf.DUMMYFUNCTION("""COMPUTED_VALUE"""),"Cartel PVC 21x29 AGUA NO POTABLE")</f>
        <v>Cartel PVC 21x29 AGUA NO POTABLE</v>
      </c>
      <c r="C239" s="4">
        <f>IFERROR(__xludf.DUMMYFUNCTION("""COMPUTED_VALUE"""),1.6)</f>
        <v>1.6</v>
      </c>
    </row>
    <row r="240">
      <c r="A240" s="4" t="str">
        <f>IFERROR(__xludf.DUMMYFUNCTION("""COMPUTED_VALUE"""),"282")</f>
        <v>282</v>
      </c>
      <c r="B240" s="4" t="str">
        <f>IFERROR(__xludf.DUMMYFUNCTION("""COMPUTED_VALUE"""),"Cartel PVC 40x30 Prohibido El Paso")</f>
        <v>Cartel PVC 40x30 Prohibido El Paso</v>
      </c>
      <c r="C240" s="4">
        <f>IFERROR(__xludf.DUMMYFUNCTION("""COMPUTED_VALUE"""),2.48)</f>
        <v>2.48</v>
      </c>
    </row>
    <row r="241">
      <c r="A241" s="4" t="str">
        <f>IFERROR(__xludf.DUMMYFUNCTION("""COMPUTED_VALUE"""),"0282P")</f>
        <v>0282P</v>
      </c>
      <c r="B241" s="4" t="str">
        <f>IFERROR(__xludf.DUMMYFUNCTION("""COMPUTED_VALUE"""),"Cartel PVC 21x29 PROHIBIDO EL PASO")</f>
        <v>Cartel PVC 21x29 PROHIBIDO EL PASO</v>
      </c>
      <c r="C241" s="4">
        <f>IFERROR(__xludf.DUMMYFUNCTION("""COMPUTED_VALUE"""),1.6)</f>
        <v>1.6</v>
      </c>
    </row>
    <row r="242">
      <c r="A242" s="4" t="str">
        <f>IFERROR(__xludf.DUMMYFUNCTION("""COMPUTED_VALUE"""),"283")</f>
        <v>283</v>
      </c>
      <c r="B242" s="4" t="str">
        <f>IFERROR(__xludf.DUMMYFUNCTION("""COMPUTED_VALUE"""),"Cartel PVC 40x30 Prohib. Transportar personas")</f>
        <v>Cartel PVC 40x30 Prohib. Transportar personas</v>
      </c>
      <c r="C242" s="4">
        <f>IFERROR(__xludf.DUMMYFUNCTION("""COMPUTED_VALUE"""),2.48)</f>
        <v>2.48</v>
      </c>
    </row>
    <row r="243">
      <c r="A243" s="4" t="str">
        <f>IFERROR(__xludf.DUMMYFUNCTION("""COMPUTED_VALUE"""),"0283P")</f>
        <v>0283P</v>
      </c>
      <c r="B243" s="4" t="str">
        <f>IFERROR(__xludf.DUMMYFUNCTION("""COMPUTED_VALUE"""),"Cartel PVC 21x29 PROHIBIDO TRANSPORTAR PERSONAS")</f>
        <v>Cartel PVC 21x29 PROHIBIDO TRANSPORTAR PERSONAS</v>
      </c>
      <c r="C243" s="4">
        <f>IFERROR(__xludf.DUMMYFUNCTION("""COMPUTED_VALUE"""),1.6)</f>
        <v>1.6</v>
      </c>
    </row>
    <row r="244">
      <c r="A244" s="4" t="str">
        <f>IFERROR(__xludf.DUMMYFUNCTION("""COMPUTED_VALUE"""),"284")</f>
        <v>284</v>
      </c>
      <c r="B244" s="4" t="str">
        <f>IFERROR(__xludf.DUMMYFUNCTION("""COMPUTED_VALUE"""),"Cartel PVC 40x30 Prohib. Situarse debajo de la carga")</f>
        <v>Cartel PVC 40x30 Prohib. Situarse debajo de la carga</v>
      </c>
      <c r="C244" s="4">
        <f>IFERROR(__xludf.DUMMYFUNCTION("""COMPUTED_VALUE"""),2.48)</f>
        <v>2.48</v>
      </c>
    </row>
    <row r="245">
      <c r="A245" s="4" t="str">
        <f>IFERROR(__xludf.DUMMYFUNCTION("""COMPUTED_VALUE"""),"0284P")</f>
        <v>0284P</v>
      </c>
      <c r="B245" s="4" t="str">
        <f>IFERROR(__xludf.DUMMYFUNCTION("""COMPUTED_VALUE"""),"Cartel PVC 21x29 PROHIBIDO SITUARSE DEBAJO DE LA")</f>
        <v>Cartel PVC 21x29 PROHIBIDO SITUARSE DEBAJO DE LA</v>
      </c>
      <c r="C245" s="4">
        <f>IFERROR(__xludf.DUMMYFUNCTION("""COMPUTED_VALUE"""),1.6)</f>
        <v>1.6</v>
      </c>
    </row>
    <row r="246">
      <c r="A246" s="4" t="str">
        <f>IFERROR(__xludf.DUMMYFUNCTION("""COMPUTED_VALUE"""),"285")</f>
        <v>285</v>
      </c>
      <c r="B246" s="4" t="str">
        <f>IFERROR(__xludf.DUMMYFUNCTION("""COMPUTED_VALUE"""),"Cartel PVC 40x30 No utilizar en caso de Emergencia")</f>
        <v>Cartel PVC 40x30 No utilizar en caso de Emergencia</v>
      </c>
      <c r="C246" s="4">
        <f>IFERROR(__xludf.DUMMYFUNCTION("""COMPUTED_VALUE"""),2.48)</f>
        <v>2.48</v>
      </c>
    </row>
    <row r="247">
      <c r="A247" s="4" t="str">
        <f>IFERROR(__xludf.DUMMYFUNCTION("""COMPUTED_VALUE"""),"0285P")</f>
        <v>0285P</v>
      </c>
      <c r="B247" s="4" t="str">
        <f>IFERROR(__xludf.DUMMYFUNCTION("""COMPUTED_VALUE"""),"Cartel PVC 21X29 NO UTILIZAR EN CASO DE EMERGENCIA")</f>
        <v>Cartel PVC 21X29 NO UTILIZAR EN CASO DE EMERGENCIA</v>
      </c>
      <c r="C247" s="4">
        <f>IFERROR(__xludf.DUMMYFUNCTION("""COMPUTED_VALUE"""),1.6)</f>
        <v>1.6</v>
      </c>
    </row>
    <row r="248">
      <c r="A248" s="4" t="str">
        <f>IFERROR(__xludf.DUMMYFUNCTION("""COMPUTED_VALUE"""),"286")</f>
        <v>286</v>
      </c>
      <c r="B248" s="4" t="str">
        <f>IFERROR(__xludf.DUMMYFUNCTION("""COMPUTED_VALUE"""),"Cartel PVC 40x30 No utilizar Incendio")</f>
        <v>Cartel PVC 40x30 No utilizar Incendio</v>
      </c>
      <c r="C248" s="4">
        <f>IFERROR(__xludf.DUMMYFUNCTION("""COMPUTED_VALUE"""),2.48)</f>
        <v>2.48</v>
      </c>
    </row>
    <row r="249">
      <c r="A249" s="4" t="str">
        <f>IFERROR(__xludf.DUMMYFUNCTION("""COMPUTED_VALUE"""),"0286P")</f>
        <v>0286P</v>
      </c>
      <c r="B249" s="4" t="str">
        <f>IFERROR(__xludf.DUMMYFUNCTION("""COMPUTED_VALUE"""),"Cartel PVC 21x29 NO UTILIZAR EN CASO DE INCENDIO")</f>
        <v>Cartel PVC 21x29 NO UTILIZAR EN CASO DE INCENDIO</v>
      </c>
      <c r="C249" s="4">
        <f>IFERROR(__xludf.DUMMYFUNCTION("""COMPUTED_VALUE"""),1.6)</f>
        <v>1.6</v>
      </c>
    </row>
    <row r="250">
      <c r="A250" s="4" t="str">
        <f>IFERROR(__xludf.DUMMYFUNCTION("""COMPUTED_VALUE"""),"287")</f>
        <v>287</v>
      </c>
      <c r="B250" s="4" t="str">
        <f>IFERROR(__xludf.DUMMYFUNCTION("""COMPUTED_VALUE"""),"Cartel PVC 40x30 Atencion Altura Baja")</f>
        <v>Cartel PVC 40x30 Atencion Altura Baja</v>
      </c>
      <c r="C250" s="4">
        <f>IFERROR(__xludf.DUMMYFUNCTION("""COMPUTED_VALUE"""),2.48)</f>
        <v>2.48</v>
      </c>
    </row>
    <row r="251">
      <c r="A251" s="4" t="str">
        <f>IFERROR(__xludf.DUMMYFUNCTION("""COMPUTED_VALUE"""),"0287P")</f>
        <v>0287P</v>
      </c>
      <c r="B251" s="4" t="str">
        <f>IFERROR(__xludf.DUMMYFUNCTION("""COMPUTED_VALUE"""),"Cartel PVC 21x29 ATENCION ALTURA BAJA")</f>
        <v>Cartel PVC 21x29 ATENCION ALTURA BAJA</v>
      </c>
      <c r="C251" s="4">
        <f>IFERROR(__xludf.DUMMYFUNCTION("""COMPUTED_VALUE"""),1.6)</f>
        <v>1.6</v>
      </c>
    </row>
    <row r="252">
      <c r="A252" s="4" t="str">
        <f>IFERROR(__xludf.DUMMYFUNCTION("""COMPUTED_VALUE"""),"288")</f>
        <v>288</v>
      </c>
      <c r="B252" s="4" t="str">
        <f>IFERROR(__xludf.DUMMYFUNCTION("""COMPUTED_VALUE"""),"Cartel PVC 40x30 Prohibido Accionar o maniobrar")</f>
        <v>Cartel PVC 40x30 Prohibido Accionar o maniobrar</v>
      </c>
      <c r="C252" s="4">
        <f>IFERROR(__xludf.DUMMYFUNCTION("""COMPUTED_VALUE"""),2.48)</f>
        <v>2.48</v>
      </c>
    </row>
    <row r="253">
      <c r="A253" s="4" t="str">
        <f>IFERROR(__xludf.DUMMYFUNCTION("""COMPUTED_VALUE"""),"0288P")</f>
        <v>0288P</v>
      </c>
      <c r="B253" s="4" t="str">
        <f>IFERROR(__xludf.DUMMYFUNCTION("""COMPUTED_VALUE"""),"Cartel PVC 21x29 PROHIBIDO ACCIONAR O MANIOBRAR")</f>
        <v>Cartel PVC 21x29 PROHIBIDO ACCIONAR O MANIOBRAR</v>
      </c>
      <c r="C253" s="4">
        <f>IFERROR(__xludf.DUMMYFUNCTION("""COMPUTED_VALUE"""),1.6)</f>
        <v>1.6</v>
      </c>
    </row>
    <row r="254">
      <c r="A254" s="4" t="str">
        <f>IFERROR(__xludf.DUMMYFUNCTION("""COMPUTED_VALUE"""),"289")</f>
        <v>289</v>
      </c>
      <c r="B254" s="4" t="str">
        <f>IFERROR(__xludf.DUMMYFUNCTION("""COMPUTED_VALUE"""),"Cartel PVC 40x30 Fotolum.Hacha contra Incendio")</f>
        <v>Cartel PVC 40x30 Fotolum.Hacha contra Incendio</v>
      </c>
      <c r="C254" s="4">
        <f>IFERROR(__xludf.DUMMYFUNCTION("""COMPUTED_VALUE"""),2.48)</f>
        <v>2.48</v>
      </c>
    </row>
    <row r="255">
      <c r="A255" s="4" t="str">
        <f>IFERROR(__xludf.DUMMYFUNCTION("""COMPUTED_VALUE"""),"0289A")</f>
        <v>0289A</v>
      </c>
      <c r="B255" s="4" t="str">
        <f>IFERROR(__xludf.DUMMYFUNCTION("""COMPUTED_VALUE"""),"Cartel PVC 32x16 Fotolum. No Exit")</f>
        <v>Cartel PVC 32x16 Fotolum. No Exit</v>
      </c>
      <c r="C255" s="4">
        <f>IFERROR(__xludf.DUMMYFUNCTION("""COMPUTED_VALUE"""),2.25)</f>
        <v>2.25</v>
      </c>
    </row>
    <row r="256">
      <c r="A256" s="4" t="str">
        <f>IFERROR(__xludf.DUMMYFUNCTION("""COMPUTED_VALUE"""),"0289B")</f>
        <v>0289B</v>
      </c>
      <c r="B256" s="4" t="str">
        <f>IFERROR(__xludf.DUMMYFUNCTION("""COMPUTED_VALUE"""),"Cartel PVC 64x32 Fotolum. No Exit")</f>
        <v>Cartel PVC 64x32 Fotolum. No Exit</v>
      </c>
      <c r="C256" s="4">
        <f>IFERROR(__xludf.DUMMYFUNCTION("""COMPUTED_VALUE"""),4.48)</f>
        <v>4.48</v>
      </c>
    </row>
    <row r="257">
      <c r="A257" s="4" t="str">
        <f>IFERROR(__xludf.DUMMYFUNCTION("""COMPUTED_VALUE"""),"0289C")</f>
        <v>0289C</v>
      </c>
      <c r="B257" s="4" t="str">
        <f>IFERROR(__xludf.DUMMYFUNCTION("""COMPUTED_VALUE"""),"Cartel PVC 96x48 Fotolum. No Exit")</f>
        <v>Cartel PVC 96x48 Fotolum. No Exit</v>
      </c>
      <c r="C257" s="4">
        <f>IFERROR(__xludf.DUMMYFUNCTION("""COMPUTED_VALUE"""),8.96)</f>
        <v>8.96</v>
      </c>
    </row>
    <row r="258">
      <c r="A258" s="4" t="str">
        <f>IFERROR(__xludf.DUMMYFUNCTION("""COMPUTED_VALUE"""),"290")</f>
        <v>290</v>
      </c>
      <c r="B258" s="4" t="str">
        <f>IFERROR(__xludf.DUMMYFUNCTION("""COMPUTED_VALUE"""),"Cartel PVC 40x30 Peligro Alta Tension")</f>
        <v>Cartel PVC 40x30 Peligro Alta Tension</v>
      </c>
      <c r="C258" s="4">
        <f>IFERROR(__xludf.DUMMYFUNCTION("""COMPUTED_VALUE"""),2.48)</f>
        <v>2.48</v>
      </c>
    </row>
    <row r="259">
      <c r="A259" s="4" t="str">
        <f>IFERROR(__xludf.DUMMYFUNCTION("""COMPUTED_VALUE"""),"0290P")</f>
        <v>0290P</v>
      </c>
      <c r="B259" s="4" t="str">
        <f>IFERROR(__xludf.DUMMYFUNCTION("""COMPUTED_VALUE"""),"Cartel PVC 21x29 PELIGRO ALTA TENSION")</f>
        <v>Cartel PVC 21x29 PELIGRO ALTA TENSION</v>
      </c>
      <c r="C259" s="4">
        <f>IFERROR(__xludf.DUMMYFUNCTION("""COMPUTED_VALUE"""),1.6)</f>
        <v>1.6</v>
      </c>
    </row>
    <row r="260">
      <c r="A260" s="4" t="str">
        <f>IFERROR(__xludf.DUMMYFUNCTION("""COMPUTED_VALUE"""),"291")</f>
        <v>291</v>
      </c>
      <c r="B260" s="4" t="str">
        <f>IFERROR(__xludf.DUMMYFUNCTION("""COMPUTED_VALUE"""),"Cartel PVC 40x30 Peligro no maniobrar")</f>
        <v>Cartel PVC 40x30 Peligro no maniobrar</v>
      </c>
      <c r="C260" s="4">
        <f>IFERROR(__xludf.DUMMYFUNCTION("""COMPUTED_VALUE"""),2.48)</f>
        <v>2.48</v>
      </c>
    </row>
    <row r="261">
      <c r="A261" s="4" t="str">
        <f>IFERROR(__xludf.DUMMYFUNCTION("""COMPUTED_VALUE"""),"0291P")</f>
        <v>0291P</v>
      </c>
      <c r="B261" s="4" t="str">
        <f>IFERROR(__xludf.DUMMYFUNCTION("""COMPUTED_VALUE"""),"Cartel PVC 21x29 PELIGRO NO MANIOBRAR. SOLO")</f>
        <v>Cartel PVC 21x29 PELIGRO NO MANIOBRAR. SOLO</v>
      </c>
      <c r="C261" s="4">
        <f>IFERROR(__xludf.DUMMYFUNCTION("""COMPUTED_VALUE"""),1.6)</f>
        <v>1.6</v>
      </c>
    </row>
    <row r="262">
      <c r="A262" s="4" t="str">
        <f>IFERROR(__xludf.DUMMYFUNCTION("""COMPUTED_VALUE"""),"292")</f>
        <v>292</v>
      </c>
      <c r="B262" s="4" t="str">
        <f>IFERROR(__xludf.DUMMYFUNCTION("""COMPUTED_VALUE"""),"Cartel PVC 40x30 No Tocar")</f>
        <v>Cartel PVC 40x30 No Tocar</v>
      </c>
      <c r="C262" s="4">
        <f>IFERROR(__xludf.DUMMYFUNCTION("""COMPUTED_VALUE"""),2.48)</f>
        <v>2.48</v>
      </c>
    </row>
    <row r="263">
      <c r="A263" s="4" t="str">
        <f>IFERROR(__xludf.DUMMYFUNCTION("""COMPUTED_VALUE"""),"0292P")</f>
        <v>0292P</v>
      </c>
      <c r="B263" s="4" t="str">
        <f>IFERROR(__xludf.DUMMYFUNCTION("""COMPUTED_VALUE"""),"Cartel PVC 21x29 NO TOCAR")</f>
        <v>Cartel PVC 21x29 NO TOCAR</v>
      </c>
      <c r="C263" s="4">
        <f>IFERROR(__xludf.DUMMYFUNCTION("""COMPUTED_VALUE"""),1.6)</f>
        <v>1.6</v>
      </c>
    </row>
    <row r="264">
      <c r="A264" s="4" t="str">
        <f>IFERROR(__xludf.DUMMYFUNCTION("""COMPUTED_VALUE"""),"293")</f>
        <v>293</v>
      </c>
      <c r="B264" s="4" t="str">
        <f>IFERROR(__xludf.DUMMYFUNCTION("""COMPUTED_VALUE"""),"Cartel PVC 40x30 Peligro Materias Radioactivas")</f>
        <v>Cartel PVC 40x30 Peligro Materias Radioactivas</v>
      </c>
      <c r="C264" s="4">
        <f>IFERROR(__xludf.DUMMYFUNCTION("""COMPUTED_VALUE"""),2.48)</f>
        <v>2.48</v>
      </c>
    </row>
    <row r="265">
      <c r="A265" s="4" t="str">
        <f>IFERROR(__xludf.DUMMYFUNCTION("""COMPUTED_VALUE"""),"0293P")</f>
        <v>0293P</v>
      </c>
      <c r="B265" s="4" t="str">
        <f>IFERROR(__xludf.DUMMYFUNCTION("""COMPUTED_VALUE"""),"Cartel PVC 21x29 PELIGRO MATERIAS RADIOACTIVAS")</f>
        <v>Cartel PVC 21x29 PELIGRO MATERIAS RADIOACTIVAS</v>
      </c>
      <c r="C265" s="4">
        <f>IFERROR(__xludf.DUMMYFUNCTION("""COMPUTED_VALUE"""),1.6)</f>
        <v>1.6</v>
      </c>
    </row>
    <row r="266">
      <c r="A266" s="4" t="str">
        <f>IFERROR(__xludf.DUMMYFUNCTION("""COMPUTED_VALUE"""),"294")</f>
        <v>294</v>
      </c>
      <c r="B266" s="4" t="str">
        <f>IFERROR(__xludf.DUMMYFUNCTION("""COMPUTED_VALUE"""),"Cartel PVC 40x30 Peligro Radiaciones Laser")</f>
        <v>Cartel PVC 40x30 Peligro Radiaciones Laser</v>
      </c>
      <c r="C266" s="4">
        <f>IFERROR(__xludf.DUMMYFUNCTION("""COMPUTED_VALUE"""),2.48)</f>
        <v>2.48</v>
      </c>
    </row>
    <row r="267">
      <c r="A267" s="4" t="str">
        <f>IFERROR(__xludf.DUMMYFUNCTION("""COMPUTED_VALUE"""),"0294P")</f>
        <v>0294P</v>
      </c>
      <c r="B267" s="4" t="str">
        <f>IFERROR(__xludf.DUMMYFUNCTION("""COMPUTED_VALUE"""),"Cartel PVC 21x29 PELIGRO RADIACIONES LASER")</f>
        <v>Cartel PVC 21x29 PELIGRO RADIACIONES LASER</v>
      </c>
      <c r="C267" s="4">
        <f>IFERROR(__xludf.DUMMYFUNCTION("""COMPUTED_VALUE"""),1.6)</f>
        <v>1.6</v>
      </c>
    </row>
    <row r="268">
      <c r="A268" s="4" t="str">
        <f>IFERROR(__xludf.DUMMYFUNCTION("""COMPUTED_VALUE"""),"295")</f>
        <v>295</v>
      </c>
      <c r="B268" s="4" t="str">
        <f>IFERROR(__xludf.DUMMYFUNCTION("""COMPUTED_VALUE"""),"Cartel PVC 40x30 Riesgo Biologico")</f>
        <v>Cartel PVC 40x30 Riesgo Biologico</v>
      </c>
      <c r="C268" s="4">
        <f>IFERROR(__xludf.DUMMYFUNCTION("""COMPUTED_VALUE"""),2.48)</f>
        <v>2.48</v>
      </c>
    </row>
    <row r="269">
      <c r="A269" s="4" t="str">
        <f>IFERROR(__xludf.DUMMYFUNCTION("""COMPUTED_VALUE"""),"0295P")</f>
        <v>0295P</v>
      </c>
      <c r="B269" s="4" t="str">
        <f>IFERROR(__xludf.DUMMYFUNCTION("""COMPUTED_VALUE"""),"Cartel PVC 21x29 PELIGRO RIESGO BIOLOGICO")</f>
        <v>Cartel PVC 21x29 PELIGRO RIESGO BIOLOGICO</v>
      </c>
      <c r="C269" s="4">
        <f>IFERROR(__xludf.DUMMYFUNCTION("""COMPUTED_VALUE"""),1.6)</f>
        <v>1.6</v>
      </c>
    </row>
    <row r="270">
      <c r="A270" s="4" t="str">
        <f>IFERROR(__xludf.DUMMYFUNCTION("""COMPUTED_VALUE"""),"296")</f>
        <v>296</v>
      </c>
      <c r="B270" s="4" t="str">
        <f>IFERROR(__xludf.DUMMYFUNCTION("""COMPUTED_VALUE"""),"Cartel PVC 40x30 Fotolum. Cubo uso en incendio")</f>
        <v>Cartel PVC 40x30 Fotolum. Cubo uso en incendio</v>
      </c>
      <c r="C270" s="4">
        <f>IFERROR(__xludf.DUMMYFUNCTION("""COMPUTED_VALUE"""),3.35)</f>
        <v>3.35</v>
      </c>
    </row>
    <row r="271">
      <c r="A271" s="4" t="str">
        <f>IFERROR(__xludf.DUMMYFUNCTION("""COMPUTED_VALUE"""),"0296A")</f>
        <v>0296A</v>
      </c>
      <c r="B271" s="4" t="str">
        <f>IFERROR(__xludf.DUMMYFUNCTION("""COMPUTED_VALUE"""),"Cartel PVC 32x16 Fotolum. Sin Salida")</f>
        <v>Cartel PVC 32x16 Fotolum. Sin Salida</v>
      </c>
      <c r="C271" s="4">
        <f>IFERROR(__xludf.DUMMYFUNCTION("""COMPUTED_VALUE"""),2.25)</f>
        <v>2.25</v>
      </c>
    </row>
    <row r="272">
      <c r="A272" s="4" t="str">
        <f>IFERROR(__xludf.DUMMYFUNCTION("""COMPUTED_VALUE"""),"0296B")</f>
        <v>0296B</v>
      </c>
      <c r="B272" s="4" t="str">
        <f>IFERROR(__xludf.DUMMYFUNCTION("""COMPUTED_VALUE"""),"Cartel PVC 64x32 Fotolum. Sin Salida")</f>
        <v>Cartel PVC 64x32 Fotolum. Sin Salida</v>
      </c>
      <c r="C272" s="4">
        <f>IFERROR(__xludf.DUMMYFUNCTION("""COMPUTED_VALUE"""),4.48)</f>
        <v>4.48</v>
      </c>
    </row>
    <row r="273">
      <c r="A273" s="4" t="str">
        <f>IFERROR(__xludf.DUMMYFUNCTION("""COMPUTED_VALUE"""),"0296C")</f>
        <v>0296C</v>
      </c>
      <c r="B273" s="4" t="str">
        <f>IFERROR(__xludf.DUMMYFUNCTION("""COMPUTED_VALUE"""),"Cartel PVC 96x48 Fotolum. Sin Salida")</f>
        <v>Cartel PVC 96x48 Fotolum. Sin Salida</v>
      </c>
      <c r="C273" s="4">
        <f>IFERROR(__xludf.DUMMYFUNCTION("""COMPUTED_VALUE"""),8.96)</f>
        <v>8.96</v>
      </c>
    </row>
    <row r="274">
      <c r="A274" s="4" t="str">
        <f>IFERROR(__xludf.DUMMYFUNCTION("""COMPUTED_VALUE"""),"297")</f>
        <v>297</v>
      </c>
      <c r="B274" s="4" t="str">
        <f>IFERROR(__xludf.DUMMYFUNCTION("""COMPUTED_VALUE"""),"Cartel PVC 40x30 Fotoum. Manguera contra Incendios")</f>
        <v>Cartel PVC 40x30 Fotoum. Manguera contra Incendios</v>
      </c>
      <c r="C274" s="4">
        <f>IFERROR(__xludf.DUMMYFUNCTION("""COMPUTED_VALUE"""),3.35)</f>
        <v>3.35</v>
      </c>
    </row>
    <row r="275">
      <c r="A275" s="4" t="str">
        <f>IFERROR(__xludf.DUMMYFUNCTION("""COMPUTED_VALUE"""),"298")</f>
        <v>298</v>
      </c>
      <c r="B275" s="4" t="str">
        <f>IFERROR(__xludf.DUMMYFUNCTION("""COMPUTED_VALUE"""),"Cartel PVC 21x29 Fotolum. Escalera incendio")</f>
        <v>Cartel PVC 21x29 Fotolum. Escalera incendio</v>
      </c>
      <c r="C275" s="4">
        <f>IFERROR(__xludf.DUMMYFUNCTION("""COMPUTED_VALUE"""),2.6)</f>
        <v>2.6</v>
      </c>
    </row>
    <row r="276">
      <c r="A276" s="4" t="str">
        <f>IFERROR(__xludf.DUMMYFUNCTION("""COMPUTED_VALUE"""),"0298A")</f>
        <v>0298A</v>
      </c>
      <c r="B276" s="4" t="str">
        <f>IFERROR(__xludf.DUMMYFUNCTION("""COMPUTED_VALUE"""),"Cartel PVC 21x30 Fotolum. Escalera de incendios")</f>
        <v>Cartel PVC 21x30 Fotolum. Escalera de incendios</v>
      </c>
      <c r="C276" s="4">
        <f>IFERROR(__xludf.DUMMYFUNCTION("""COMPUTED_VALUE"""),2.52)</f>
        <v>2.52</v>
      </c>
    </row>
    <row r="277">
      <c r="A277" s="4" t="str">
        <f>IFERROR(__xludf.DUMMYFUNCTION("""COMPUTED_VALUE"""),"0298B")</f>
        <v>0298B</v>
      </c>
      <c r="B277" s="4" t="str">
        <f>IFERROR(__xludf.DUMMYFUNCTION("""COMPUTED_VALUE"""),"Cartel PVC 40x30 Fotolum. Escalera de incendios")</f>
        <v>Cartel PVC 40x30 Fotolum. Escalera de incendios</v>
      </c>
      <c r="C277" s="4">
        <f>IFERROR(__xludf.DUMMYFUNCTION("""COMPUTED_VALUE"""),3.1)</f>
        <v>3.1</v>
      </c>
    </row>
    <row r="278">
      <c r="A278" s="4" t="str">
        <f>IFERROR(__xludf.DUMMYFUNCTION("""COMPUTED_VALUE"""),"299")</f>
        <v>299</v>
      </c>
      <c r="B278" s="4" t="str">
        <f>IFERROR(__xludf.DUMMYFUNCTION("""COMPUTED_VALUE"""),"Cartel PVC 40x30 Uso Oblig. de Protec. Lumbar")</f>
        <v>Cartel PVC 40x30 Uso Oblig. de Protec. Lumbar</v>
      </c>
      <c r="C278" s="4">
        <f>IFERROR(__xludf.DUMMYFUNCTION("""COMPUTED_VALUE"""),2.48)</f>
        <v>2.48</v>
      </c>
    </row>
    <row r="279">
      <c r="A279" s="4" t="str">
        <f>IFERROR(__xludf.DUMMYFUNCTION("""COMPUTED_VALUE"""),"0299P")</f>
        <v>0299P</v>
      </c>
      <c r="B279" s="4" t="str">
        <f>IFERROR(__xludf.DUMMYFUNCTION("""COMPUTED_VALUE"""),"Cartel PVC 21x29 OBLIGATORIO LA PROTECCION LUMBAR")</f>
        <v>Cartel PVC 21x29 OBLIGATORIO LA PROTECCION LUMBAR</v>
      </c>
      <c r="C279" s="4">
        <f>IFERROR(__xludf.DUMMYFUNCTION("""COMPUTED_VALUE"""),1.6)</f>
        <v>1.6</v>
      </c>
    </row>
    <row r="280">
      <c r="A280" s="4" t="str">
        <f>IFERROR(__xludf.DUMMYFUNCTION("""COMPUTED_VALUE"""),"300")</f>
        <v>300</v>
      </c>
      <c r="B280" s="4" t="str">
        <f>IFERROR(__xludf.DUMMYFUNCTION("""COMPUTED_VALUE"""),"Cartel PVC 40x30 Via oblig. peatones")</f>
        <v>Cartel PVC 40x30 Via oblig. peatones</v>
      </c>
      <c r="C280" s="4">
        <f>IFERROR(__xludf.DUMMYFUNCTION("""COMPUTED_VALUE"""),2.48)</f>
        <v>2.48</v>
      </c>
    </row>
    <row r="281">
      <c r="A281" s="4" t="str">
        <f>IFERROR(__xludf.DUMMYFUNCTION("""COMPUTED_VALUE"""),"0300P")</f>
        <v>0300P</v>
      </c>
      <c r="B281" s="4" t="str">
        <f>IFERROR(__xludf.DUMMYFUNCTION("""COMPUTED_VALUE"""),"Cartel PVC 21x29 VIA OBLIGATORIA PARA PEATONES")</f>
        <v>Cartel PVC 21x29 VIA OBLIGATORIA PARA PEATONES</v>
      </c>
      <c r="C281" s="4">
        <f>IFERROR(__xludf.DUMMYFUNCTION("""COMPUTED_VALUE"""),1.6)</f>
        <v>1.6</v>
      </c>
    </row>
    <row r="282">
      <c r="A282" s="4" t="str">
        <f>IFERROR(__xludf.DUMMYFUNCTION("""COMPUTED_VALUE"""),"301")</f>
        <v>301</v>
      </c>
      <c r="B282" s="4" t="str">
        <f>IFERROR(__xludf.DUMMYFUNCTION("""COMPUTED_VALUE"""),"Cartel PVC 40x30 Oblig. Protector")</f>
        <v>Cartel PVC 40x30 Oblig. Protector</v>
      </c>
      <c r="C282" s="4">
        <f>IFERROR(__xludf.DUMMYFUNCTION("""COMPUTED_VALUE"""),2.48)</f>
        <v>2.48</v>
      </c>
    </row>
    <row r="283">
      <c r="A283" s="4" t="str">
        <f>IFERROR(__xludf.DUMMYFUNCTION("""COMPUTED_VALUE"""),"0301P")</f>
        <v>0301P</v>
      </c>
      <c r="B283" s="4" t="str">
        <f>IFERROR(__xludf.DUMMYFUNCTION("""COMPUTED_VALUE"""),"Cartel PVC 21x29 USO OBLIGATORIO DE PROTECTOR")</f>
        <v>Cartel PVC 21x29 USO OBLIGATORIO DE PROTECTOR</v>
      </c>
      <c r="C283" s="4">
        <f>IFERROR(__xludf.DUMMYFUNCTION("""COMPUTED_VALUE"""),1.6)</f>
        <v>1.6</v>
      </c>
    </row>
    <row r="284">
      <c r="A284" s="4" t="str">
        <f>IFERROR(__xludf.DUMMYFUNCTION("""COMPUTED_VALUE"""),"302")</f>
        <v>302</v>
      </c>
      <c r="B284" s="4" t="str">
        <f>IFERROR(__xludf.DUMMYFUNCTION("""COMPUTED_VALUE"""),"Cartel PVC 40x30 Proh. paso a peatones")</f>
        <v>Cartel PVC 40x30 Proh. paso a peatones</v>
      </c>
      <c r="C284" s="4">
        <f>IFERROR(__xludf.DUMMYFUNCTION("""COMPUTED_VALUE"""),2.48)</f>
        <v>2.48</v>
      </c>
    </row>
    <row r="285">
      <c r="A285" s="4" t="str">
        <f>IFERROR(__xludf.DUMMYFUNCTION("""COMPUTED_VALUE"""),"0302P")</f>
        <v>0302P</v>
      </c>
      <c r="B285" s="4" t="str">
        <f>IFERROR(__xludf.DUMMYFUNCTION("""COMPUTED_VALUE"""),"Cartel PVC 21x29 PROHIBIDO PASAR A LOS PEATONES")</f>
        <v>Cartel PVC 21x29 PROHIBIDO PASAR A LOS PEATONES</v>
      </c>
      <c r="C285" s="4">
        <f>IFERROR(__xludf.DUMMYFUNCTION("""COMPUTED_VALUE"""),1.6)</f>
        <v>1.6</v>
      </c>
    </row>
    <row r="286">
      <c r="A286" s="4" t="str">
        <f>IFERROR(__xludf.DUMMYFUNCTION("""COMPUTED_VALUE"""),"303")</f>
        <v>303</v>
      </c>
      <c r="B286" s="4" t="str">
        <f>IFERROR(__xludf.DUMMYFUNCTION("""COMPUTED_VALUE"""),"Cartel PVC 40x30 Rampa personal autor.")</f>
        <v>Cartel PVC 40x30 Rampa personal autor.</v>
      </c>
      <c r="C286" s="4">
        <f>IFERROR(__xludf.DUMMYFUNCTION("""COMPUTED_VALUE"""),2.48)</f>
        <v>2.48</v>
      </c>
    </row>
    <row r="287">
      <c r="A287" s="4" t="str">
        <f>IFERROR(__xludf.DUMMYFUNCTION("""COMPUTED_VALUE"""),"0303B")</f>
        <v>0303B</v>
      </c>
      <c r="B287" s="4" t="str">
        <f>IFERROR(__xludf.DUMMYFUNCTION("""COMPUTED_VALUE"""),"Cartel PVC 21x29 USO OBLIGATORIO PROTECTOR")</f>
        <v>Cartel PVC 21x29 USO OBLIGATORIO PROTECTOR</v>
      </c>
      <c r="C287" s="4">
        <f>IFERROR(__xludf.DUMMYFUNCTION("""COMPUTED_VALUE"""),1.6)</f>
        <v>1.6</v>
      </c>
    </row>
    <row r="288">
      <c r="A288" s="4" t="str">
        <f>IFERROR(__xludf.DUMMYFUNCTION("""COMPUTED_VALUE"""),"0303P")</f>
        <v>0303P</v>
      </c>
      <c r="B288" s="4" t="str">
        <f>IFERROR(__xludf.DUMMYFUNCTION("""COMPUTED_VALUE"""),"Cartel PVC 21x29 RAMPA USO EXCLUSIVO PERSONAL")</f>
        <v>Cartel PVC 21x29 RAMPA USO EXCLUSIVO PERSONAL</v>
      </c>
      <c r="C288" s="4">
        <f>IFERROR(__xludf.DUMMYFUNCTION("""COMPUTED_VALUE"""),1.6)</f>
        <v>1.6</v>
      </c>
    </row>
    <row r="289">
      <c r="A289" s="4" t="str">
        <f>IFERROR(__xludf.DUMMYFUNCTION("""COMPUTED_VALUE"""),"304")</f>
        <v>304</v>
      </c>
      <c r="B289" s="4" t="str">
        <f>IFERROR(__xludf.DUMMYFUNCTION("""COMPUTED_VALUE"""),"Cartel PVC 40x30 Uso oblig. guantes electricos")</f>
        <v>Cartel PVC 40x30 Uso oblig. guantes electricos</v>
      </c>
      <c r="C289" s="4">
        <f>IFERROR(__xludf.DUMMYFUNCTION("""COMPUTED_VALUE"""),2.48)</f>
        <v>2.48</v>
      </c>
    </row>
    <row r="290">
      <c r="A290" s="4" t="str">
        <f>IFERROR(__xludf.DUMMYFUNCTION("""COMPUTED_VALUE"""),"0304P")</f>
        <v>0304P</v>
      </c>
      <c r="B290" s="4" t="str">
        <f>IFERROR(__xludf.DUMMYFUNCTION("""COMPUTED_VALUE"""),"Cartel PVC 21x29 USO OBLIGATORIO DE GUANTES")</f>
        <v>Cartel PVC 21x29 USO OBLIGATORIO DE GUANTES</v>
      </c>
      <c r="C290" s="4">
        <f>IFERROR(__xludf.DUMMYFUNCTION("""COMPUTED_VALUE"""),1.6)</f>
        <v>1.6</v>
      </c>
    </row>
    <row r="291">
      <c r="A291" s="4" t="str">
        <f>IFERROR(__xludf.DUMMYFUNCTION("""COMPUTED_VALUE"""),"305")</f>
        <v>305</v>
      </c>
      <c r="B291" s="4" t="str">
        <f>IFERROR(__xludf.DUMMYFUNCTION("""COMPUTED_VALUE"""),"Cartel PVC 40x30 Uso Oblig. calzado electrico")</f>
        <v>Cartel PVC 40x30 Uso Oblig. calzado electrico</v>
      </c>
      <c r="C291" s="4">
        <f>IFERROR(__xludf.DUMMYFUNCTION("""COMPUTED_VALUE"""),2.48)</f>
        <v>2.48</v>
      </c>
    </row>
    <row r="292">
      <c r="A292" s="4" t="str">
        <f>IFERROR(__xludf.DUMMYFUNCTION("""COMPUTED_VALUE"""),"0305P")</f>
        <v>0305P</v>
      </c>
      <c r="B292" s="4" t="str">
        <f>IFERROR(__xludf.DUMMYFUNCTION("""COMPUTED_VALUE"""),"Cartel PVC 21x29 USO OBLIGATORIO CALZADO")</f>
        <v>Cartel PVC 21x29 USO OBLIGATORIO CALZADO</v>
      </c>
      <c r="C292" s="4">
        <f>IFERROR(__xludf.DUMMYFUNCTION("""COMPUTED_VALUE"""),1.6)</f>
        <v>1.6</v>
      </c>
    </row>
    <row r="293">
      <c r="A293" s="4" t="str">
        <f>IFERROR(__xludf.DUMMYFUNCTION("""COMPUTED_VALUE"""),"306")</f>
        <v>306</v>
      </c>
      <c r="B293" s="4" t="str">
        <f>IFERROR(__xludf.DUMMYFUNCTION("""COMPUTED_VALUE"""),"Cartel PVC 40x30 Oblig. Lavarse las manos")</f>
        <v>Cartel PVC 40x30 Oblig. Lavarse las manos</v>
      </c>
      <c r="C293" s="4">
        <f>IFERROR(__xludf.DUMMYFUNCTION("""COMPUTED_VALUE"""),2.48)</f>
        <v>2.48</v>
      </c>
    </row>
    <row r="294">
      <c r="A294" s="4" t="str">
        <f>IFERROR(__xludf.DUMMYFUNCTION("""COMPUTED_VALUE"""),"0306P")</f>
        <v>0306P</v>
      </c>
      <c r="B294" s="4" t="str">
        <f>IFERROR(__xludf.DUMMYFUNCTION("""COMPUTED_VALUE"""),"Cartel PVC 21x29 OBLIGATORIO LAVARSE LAS MANOS")</f>
        <v>Cartel PVC 21x29 OBLIGATORIO LAVARSE LAS MANOS</v>
      </c>
      <c r="C294" s="4">
        <f>IFERROR(__xludf.DUMMYFUNCTION("""COMPUTED_VALUE"""),1.6)</f>
        <v>1.6</v>
      </c>
    </row>
    <row r="295">
      <c r="A295" s="4" t="str">
        <f>IFERROR(__xludf.DUMMYFUNCTION("""COMPUTED_VALUE"""),"307")</f>
        <v>307</v>
      </c>
      <c r="B295" s="4" t="str">
        <f>IFERROR(__xludf.DUMMYFUNCTION("""COMPUTED_VALUE"""),"Cartel PVC 40x30 Apilar Correctamente")</f>
        <v>Cartel PVC 40x30 Apilar Correctamente</v>
      </c>
      <c r="C295" s="4">
        <f>IFERROR(__xludf.DUMMYFUNCTION("""COMPUTED_VALUE"""),2.48)</f>
        <v>2.48</v>
      </c>
    </row>
    <row r="296">
      <c r="A296" s="4" t="str">
        <f>IFERROR(__xludf.DUMMYFUNCTION("""COMPUTED_VALUE"""),"0307P")</f>
        <v>0307P</v>
      </c>
      <c r="B296" s="4" t="str">
        <f>IFERROR(__xludf.DUMMYFUNCTION("""COMPUTED_VALUE"""),"Cartel PVC 21x29 APILAR CORRECTAMENTE")</f>
        <v>Cartel PVC 21x29 APILAR CORRECTAMENTE</v>
      </c>
      <c r="C296" s="4">
        <f>IFERROR(__xludf.DUMMYFUNCTION("""COMPUTED_VALUE"""),1.6)</f>
        <v>1.6</v>
      </c>
    </row>
    <row r="297">
      <c r="A297" s="4" t="str">
        <f>IFERROR(__xludf.DUMMYFUNCTION("""COMPUTED_VALUE"""),"308")</f>
        <v>308</v>
      </c>
      <c r="B297" s="4" t="str">
        <f>IFERROR(__xludf.DUMMYFUNCTION("""COMPUTED_VALUE"""),"Cartel PVC 40x30 Oblig. Protector Ajustable")</f>
        <v>Cartel PVC 40x30 Oblig. Protector Ajustable</v>
      </c>
      <c r="C297" s="4">
        <f>IFERROR(__xludf.DUMMYFUNCTION("""COMPUTED_VALUE"""),2.48)</f>
        <v>2.48</v>
      </c>
    </row>
    <row r="298">
      <c r="A298" s="4" t="str">
        <f>IFERROR(__xludf.DUMMYFUNCTION("""COMPUTED_VALUE"""),"0308P")</f>
        <v>0308P</v>
      </c>
      <c r="B298" s="4" t="str">
        <f>IFERROR(__xludf.DUMMYFUNCTION("""COMPUTED_VALUE"""),"Cartel PVC 21x29 Oblig. Protector Ajustable")</f>
        <v>Cartel PVC 21x29 Oblig. Protector Ajustable</v>
      </c>
      <c r="C298" s="4">
        <f>IFERROR(__xludf.DUMMYFUNCTION("""COMPUTED_VALUE"""),1.6)</f>
        <v>1.6</v>
      </c>
    </row>
    <row r="299">
      <c r="A299" s="4" t="str">
        <f>IFERROR(__xludf.DUMMYFUNCTION("""COMPUTED_VALUE"""),"309")</f>
        <v>309</v>
      </c>
      <c r="B299" s="4" t="str">
        <f>IFERROR(__xludf.DUMMYFUNCTION("""COMPUTED_VALUE"""),"Cartel PVC 40x30 Oblig. Protector Fijo")</f>
        <v>Cartel PVC 40x30 Oblig. Protector Fijo</v>
      </c>
      <c r="C299" s="4">
        <f>IFERROR(__xludf.DUMMYFUNCTION("""COMPUTED_VALUE"""),2.48)</f>
        <v>2.48</v>
      </c>
    </row>
    <row r="300">
      <c r="A300" s="4" t="str">
        <f>IFERROR(__xludf.DUMMYFUNCTION("""COMPUTED_VALUE"""),"0309P")</f>
        <v>0309P</v>
      </c>
      <c r="B300" s="4" t="str">
        <f>IFERROR(__xludf.DUMMYFUNCTION("""COMPUTED_VALUE"""),"Cartel PVC 21x29 USO OBLIGATORIO PROTECTOR FIJO")</f>
        <v>Cartel PVC 21x29 USO OBLIGATORIO PROTECTOR FIJO</v>
      </c>
      <c r="C300" s="4">
        <f>IFERROR(__xludf.DUMMYFUNCTION("""COMPUTED_VALUE"""),1.6)</f>
        <v>1.6</v>
      </c>
    </row>
    <row r="301">
      <c r="A301" s="4" t="str">
        <f>IFERROR(__xludf.DUMMYFUNCTION("""COMPUTED_VALUE"""),"310")</f>
        <v>310</v>
      </c>
      <c r="B301" s="4" t="str">
        <f>IFERROR(__xludf.DUMMYFUNCTION("""COMPUTED_VALUE"""),"Cartel PVC 40x30 Proh. la entrada con marcapasos")</f>
        <v>Cartel PVC 40x30 Proh. la entrada con marcapasos</v>
      </c>
      <c r="C301" s="4">
        <f>IFERROR(__xludf.DUMMYFUNCTION("""COMPUTED_VALUE"""),2.48)</f>
        <v>2.48</v>
      </c>
    </row>
    <row r="302">
      <c r="A302" s="4" t="str">
        <f>IFERROR(__xludf.DUMMYFUNCTION("""COMPUTED_VALUE"""),"0310P")</f>
        <v>0310P</v>
      </c>
      <c r="B302" s="4" t="str">
        <f>IFERROR(__xludf.DUMMYFUNCTION("""COMPUTED_VALUE"""),"Cartel PVC 21x29 PROHIBIDA LA ENTRADA CON")</f>
        <v>Cartel PVC 21x29 PROHIBIDA LA ENTRADA CON</v>
      </c>
      <c r="C302" s="4">
        <f>IFERROR(__xludf.DUMMYFUNCTION("""COMPUTED_VALUE"""),1.6)</f>
        <v>1.6</v>
      </c>
    </row>
    <row r="303">
      <c r="A303" s="4" t="str">
        <f>IFERROR(__xludf.DUMMYFUNCTION("""COMPUTED_VALUE"""),"311")</f>
        <v>311</v>
      </c>
      <c r="B303" s="4" t="str">
        <f>IFERROR(__xludf.DUMMYFUNCTION("""COMPUTED_VALUE"""),"Cartel PVC 40x30 Peligro zona de carga y descarga")</f>
        <v>Cartel PVC 40x30 Peligro zona de carga y descarga</v>
      </c>
      <c r="C303" s="4">
        <f>IFERROR(__xludf.DUMMYFUNCTION("""COMPUTED_VALUE"""),2.48)</f>
        <v>2.48</v>
      </c>
    </row>
    <row r="304">
      <c r="A304" s="4" t="str">
        <f>IFERROR(__xludf.DUMMYFUNCTION("""COMPUTED_VALUE"""),"0311P")</f>
        <v>0311P</v>
      </c>
      <c r="B304" s="4" t="str">
        <f>IFERROR(__xludf.DUMMYFUNCTION("""COMPUTED_VALUE"""),"Cartel PVC 21x29 PELIGRO ZONA CARGA Y DESCARGA")</f>
        <v>Cartel PVC 21x29 PELIGRO ZONA CARGA Y DESCARGA</v>
      </c>
      <c r="C304" s="4">
        <f>IFERROR(__xludf.DUMMYFUNCTION("""COMPUTED_VALUE"""),1.6)</f>
        <v>1.6</v>
      </c>
    </row>
    <row r="305">
      <c r="A305" s="4" t="str">
        <f>IFERROR(__xludf.DUMMYFUNCTION("""COMPUTED_VALUE"""),"312")</f>
        <v>312</v>
      </c>
      <c r="B305" s="4" t="str">
        <f>IFERROR(__xludf.DUMMYFUNCTION("""COMPUTED_VALUE"""),"Cartel PVC 40x30 Baja Temperatura")</f>
        <v>Cartel PVC 40x30 Baja Temperatura</v>
      </c>
      <c r="C305" s="4">
        <f>IFERROR(__xludf.DUMMYFUNCTION("""COMPUTED_VALUE"""),2.48)</f>
        <v>2.48</v>
      </c>
    </row>
    <row r="306">
      <c r="A306" s="4" t="str">
        <f>IFERROR(__xludf.DUMMYFUNCTION("""COMPUTED_VALUE"""),"0312P")</f>
        <v>0312P</v>
      </c>
      <c r="B306" s="4" t="str">
        <f>IFERROR(__xludf.DUMMYFUNCTION("""COMPUTED_VALUE"""),"Cartel PVC 21x29 ATENCION BAJA TEMPERATURA")</f>
        <v>Cartel PVC 21x29 ATENCION BAJA TEMPERATURA</v>
      </c>
      <c r="C306" s="4">
        <f>IFERROR(__xludf.DUMMYFUNCTION("""COMPUTED_VALUE"""),1.6)</f>
        <v>1.6</v>
      </c>
    </row>
    <row r="307">
      <c r="A307" s="4" t="str">
        <f>IFERROR(__xludf.DUMMYFUNCTION("""COMPUTED_VALUE"""),"313")</f>
        <v>313</v>
      </c>
      <c r="B307" s="4" t="str">
        <f>IFERROR(__xludf.DUMMYFUNCTION("""COMPUTED_VALUE"""),"Cartel PVC 40x30 Peligro Alta Presion")</f>
        <v>Cartel PVC 40x30 Peligro Alta Presion</v>
      </c>
      <c r="C307" s="4">
        <f>IFERROR(__xludf.DUMMYFUNCTION("""COMPUTED_VALUE"""),2.48)</f>
        <v>2.48</v>
      </c>
    </row>
    <row r="308">
      <c r="A308" s="4" t="str">
        <f>IFERROR(__xludf.DUMMYFUNCTION("""COMPUTED_VALUE"""),"0313P")</f>
        <v>0313P</v>
      </c>
      <c r="B308" s="4" t="str">
        <f>IFERROR(__xludf.DUMMYFUNCTION("""COMPUTED_VALUE"""),"Cartel PVC 21x29 PELIGRO ALTA PRESION")</f>
        <v>Cartel PVC 21x29 PELIGRO ALTA PRESION</v>
      </c>
      <c r="C308" s="4">
        <f>IFERROR(__xludf.DUMMYFUNCTION("""COMPUTED_VALUE"""),1.6)</f>
        <v>1.6</v>
      </c>
    </row>
    <row r="309">
      <c r="A309" s="4" t="str">
        <f>IFERROR(__xludf.DUMMYFUNCTION("""COMPUTED_VALUE"""),"314")</f>
        <v>314</v>
      </c>
      <c r="B309" s="4" t="str">
        <f>IFERROR(__xludf.DUMMYFUNCTION("""COMPUTED_VALUE"""),"Cartel PVC 40x30 Peligro Suelo fragil")</f>
        <v>Cartel PVC 40x30 Peligro Suelo fragil</v>
      </c>
      <c r="C309" s="4">
        <f>IFERROR(__xludf.DUMMYFUNCTION("""COMPUTED_VALUE"""),2.48)</f>
        <v>2.48</v>
      </c>
    </row>
    <row r="310">
      <c r="A310" s="4" t="str">
        <f>IFERROR(__xludf.DUMMYFUNCTION("""COMPUTED_VALUE"""),"0314P")</f>
        <v>0314P</v>
      </c>
      <c r="B310" s="4" t="str">
        <f>IFERROR(__xludf.DUMMYFUNCTION("""COMPUTED_VALUE"""),"Cartel PVC 21x29 ATENCION SUELO FRAGIL")</f>
        <v>Cartel PVC 21x29 ATENCION SUELO FRAGIL</v>
      </c>
      <c r="C310" s="4">
        <f>IFERROR(__xludf.DUMMYFUNCTION("""COMPUTED_VALUE"""),1.6)</f>
        <v>1.6</v>
      </c>
    </row>
    <row r="311">
      <c r="A311" s="4" t="str">
        <f>IFERROR(__xludf.DUMMYFUNCTION("""COMPUTED_VALUE"""),"315")</f>
        <v>315</v>
      </c>
      <c r="B311" s="4" t="str">
        <f>IFERROR(__xludf.DUMMYFUNCTION("""COMPUTED_VALUE"""),"Cartel PVC 40x30 Atencion Suelo Resbaladizo")</f>
        <v>Cartel PVC 40x30 Atencion Suelo Resbaladizo</v>
      </c>
      <c r="C311" s="4">
        <f>IFERROR(__xludf.DUMMYFUNCTION("""COMPUTED_VALUE"""),2.48)</f>
        <v>2.48</v>
      </c>
    </row>
    <row r="312">
      <c r="A312" s="4" t="str">
        <f>IFERROR(__xludf.DUMMYFUNCTION("""COMPUTED_VALUE"""),"0315P")</f>
        <v>0315P</v>
      </c>
      <c r="B312" s="4" t="str">
        <f>IFERROR(__xludf.DUMMYFUNCTION("""COMPUTED_VALUE"""),"Cartel PVC 21x29 ATENCION SUELO RESBALADIZO")</f>
        <v>Cartel PVC 21x29 ATENCION SUELO RESBALADIZO</v>
      </c>
      <c r="C312" s="4">
        <f>IFERROR(__xludf.DUMMYFUNCTION("""COMPUTED_VALUE"""),1.6)</f>
        <v>1.6</v>
      </c>
    </row>
    <row r="313">
      <c r="A313" s="4" t="str">
        <f>IFERROR(__xludf.DUMMYFUNCTION("""COMPUTED_VALUE"""),"316")</f>
        <v>316</v>
      </c>
      <c r="B313" s="4" t="str">
        <f>IFERROR(__xludf.DUMMYFUNCTION("""COMPUTED_VALUE"""),"Cartel PVC 40x30 Solo Personal Autorizado")</f>
        <v>Cartel PVC 40x30 Solo Personal Autorizado</v>
      </c>
      <c r="C313" s="4">
        <f>IFERROR(__xludf.DUMMYFUNCTION("""COMPUTED_VALUE"""),2.48)</f>
        <v>2.48</v>
      </c>
    </row>
    <row r="314">
      <c r="A314" s="4" t="str">
        <f>IFERROR(__xludf.DUMMYFUNCTION("""COMPUTED_VALUE"""),"0316P")</f>
        <v>0316P</v>
      </c>
      <c r="B314" s="4" t="str">
        <f>IFERROR(__xludf.DUMMYFUNCTION("""COMPUTED_VALUE"""),"Cartel PVC 21x29 SOLO PERSONAL AUTORIZADO")</f>
        <v>Cartel PVC 21x29 SOLO PERSONAL AUTORIZADO</v>
      </c>
      <c r="C314" s="4">
        <f>IFERROR(__xludf.DUMMYFUNCTION("""COMPUTED_VALUE"""),1.6)</f>
        <v>1.6</v>
      </c>
    </row>
    <row r="315">
      <c r="A315" s="4" t="str">
        <f>IFERROR(__xludf.DUMMYFUNCTION("""COMPUTED_VALUE"""),"317")</f>
        <v>317</v>
      </c>
      <c r="B315" s="4" t="str">
        <f>IFERROR(__xludf.DUMMYFUNCTION("""COMPUTED_VALUE"""),"Cartel PVC 40x30 Prohibido paso con bicicleta")</f>
        <v>Cartel PVC 40x30 Prohibido paso con bicicleta</v>
      </c>
      <c r="C315" s="4">
        <f>IFERROR(__xludf.DUMMYFUNCTION("""COMPUTED_VALUE"""),2.48)</f>
        <v>2.48</v>
      </c>
    </row>
    <row r="316">
      <c r="A316" s="4" t="str">
        <f>IFERROR(__xludf.DUMMYFUNCTION("""COMPUTED_VALUE"""),"0317P")</f>
        <v>0317P</v>
      </c>
      <c r="B316" s="4" t="str">
        <f>IFERROR(__xludf.DUMMYFUNCTION("""COMPUTED_VALUE"""),"Cartel PVC 21x29 PROHIBIDO EL PASO CON BICICLETA")</f>
        <v>Cartel PVC 21x29 PROHIBIDO EL PASO CON BICICLETA</v>
      </c>
      <c r="C316" s="4">
        <f>IFERROR(__xludf.DUMMYFUNCTION("""COMPUTED_VALUE"""),1.6)</f>
        <v>1.6</v>
      </c>
    </row>
    <row r="317">
      <c r="A317" s="4" t="str">
        <f>IFERROR(__xludf.DUMMYFUNCTION("""COMPUTED_VALUE"""),"318")</f>
        <v>318</v>
      </c>
      <c r="B317" s="4" t="str">
        <f>IFERROR(__xludf.DUMMYFUNCTION("""COMPUTED_VALUE"""),"Cartel PVC 40x30 Prohib. Uso de Moviles")</f>
        <v>Cartel PVC 40x30 Prohib. Uso de Moviles</v>
      </c>
      <c r="C317" s="4">
        <f>IFERROR(__xludf.DUMMYFUNCTION("""COMPUTED_VALUE"""),2.48)</f>
        <v>2.48</v>
      </c>
    </row>
    <row r="318">
      <c r="A318" s="4" t="str">
        <f>IFERROR(__xludf.DUMMYFUNCTION("""COMPUTED_VALUE"""),"0318P")</f>
        <v>0318P</v>
      </c>
      <c r="B318" s="4" t="str">
        <f>IFERROR(__xludf.DUMMYFUNCTION("""COMPUTED_VALUE"""),"Cartel PVC 21x29 PROHIBIDO EL USO TELEFONOS")</f>
        <v>Cartel PVC 21x29 PROHIBIDO EL USO TELEFONOS</v>
      </c>
      <c r="C318" s="4">
        <f>IFERROR(__xludf.DUMMYFUNCTION("""COMPUTED_VALUE"""),1.6)</f>
        <v>1.6</v>
      </c>
    </row>
    <row r="319">
      <c r="A319" s="4" t="str">
        <f>IFERROR(__xludf.DUMMYFUNCTION("""COMPUTED_VALUE"""),"319")</f>
        <v>319</v>
      </c>
      <c r="B319" s="4" t="str">
        <f>IFERROR(__xludf.DUMMYFUNCTION("""COMPUTED_VALUE"""),"Cartel PVC 40x30 Fotolum. Hidrante")</f>
        <v>Cartel PVC 40x30 Fotolum. Hidrante</v>
      </c>
      <c r="C319" s="4">
        <f>IFERROR(__xludf.DUMMYFUNCTION("""COMPUTED_VALUE"""),3.45)</f>
        <v>3.45</v>
      </c>
    </row>
    <row r="320">
      <c r="A320" s="4" t="str">
        <f>IFERROR(__xludf.DUMMYFUNCTION("""COMPUTED_VALUE"""),"0319A")</f>
        <v>0319A</v>
      </c>
      <c r="B320" s="4" t="str">
        <f>IFERROR(__xludf.DUMMYFUNCTION("""COMPUTED_VALUE"""),"Cartel PVC 32x16 Fotolum. Salida emergencia dcha abajo")</f>
        <v>Cartel PVC 32x16 Fotolum. Salida emergencia dcha abajo</v>
      </c>
      <c r="C320" s="4">
        <f>IFERROR(__xludf.DUMMYFUNCTION("""COMPUTED_VALUE"""),2.25)</f>
        <v>2.25</v>
      </c>
    </row>
    <row r="321">
      <c r="A321" s="4" t="str">
        <f>IFERROR(__xludf.DUMMYFUNCTION("""COMPUTED_VALUE"""),"0319AA")</f>
        <v>0319AA</v>
      </c>
      <c r="B321" s="4" t="str">
        <f>IFERROR(__xludf.DUMMYFUNCTION("""COMPUTED_VALUE"""),"Cartel PVC 32x16 Fotolum. Salida emergencia dcha abajo")</f>
        <v>Cartel PVC 32x16 Fotolum. Salida emergencia dcha abajo</v>
      </c>
      <c r="C321" s="4">
        <f>IFERROR(__xludf.DUMMYFUNCTION("""COMPUTED_VALUE"""),2.25)</f>
        <v>2.25</v>
      </c>
    </row>
    <row r="322">
      <c r="A322" s="4" t="str">
        <f>IFERROR(__xludf.DUMMYFUNCTION("""COMPUTED_VALUE"""),"0319B")</f>
        <v>0319B</v>
      </c>
      <c r="B322" s="4" t="str">
        <f>IFERROR(__xludf.DUMMYFUNCTION("""COMPUTED_VALUE"""),"Cartel PVC 64x32 Fotolum. Salida emergencia dcha abajo")</f>
        <v>Cartel PVC 64x32 Fotolum. Salida emergencia dcha abajo</v>
      </c>
      <c r="C322" s="4">
        <f>IFERROR(__xludf.DUMMYFUNCTION("""COMPUTED_VALUE"""),4.48)</f>
        <v>4.48</v>
      </c>
    </row>
    <row r="323">
      <c r="A323" s="4" t="str">
        <f>IFERROR(__xludf.DUMMYFUNCTION("""COMPUTED_VALUE"""),"0319BA")</f>
        <v>0319BA</v>
      </c>
      <c r="B323" s="4" t="str">
        <f>IFERROR(__xludf.DUMMYFUNCTION("""COMPUTED_VALUE"""),"Cartel PVC 64x32 Fotolum. Salida emergencia dcha abajo")</f>
        <v>Cartel PVC 64x32 Fotolum. Salida emergencia dcha abajo</v>
      </c>
      <c r="C323" s="4">
        <f>IFERROR(__xludf.DUMMYFUNCTION("""COMPUTED_VALUE"""),4.48)</f>
        <v>4.48</v>
      </c>
    </row>
    <row r="324">
      <c r="A324" s="4" t="str">
        <f>IFERROR(__xludf.DUMMYFUNCTION("""COMPUTED_VALUE"""),"0319C")</f>
        <v>0319C</v>
      </c>
      <c r="B324" s="4" t="str">
        <f>IFERROR(__xludf.DUMMYFUNCTION("""COMPUTED_VALUE"""),"Cartel PVC 96x48 Fotolum. Salida emergencia dcha abajo")</f>
        <v>Cartel PVC 96x48 Fotolum. Salida emergencia dcha abajo</v>
      </c>
      <c r="C324" s="4">
        <f>IFERROR(__xludf.DUMMYFUNCTION("""COMPUTED_VALUE"""),8.96)</f>
        <v>8.96</v>
      </c>
    </row>
    <row r="325">
      <c r="A325" s="4" t="str">
        <f>IFERROR(__xludf.DUMMYFUNCTION("""COMPUTED_VALUE"""),"0319CA")</f>
        <v>0319CA</v>
      </c>
      <c r="B325" s="4" t="str">
        <f>IFERROR(__xludf.DUMMYFUNCTION("""COMPUTED_VALUE"""),"Cartel PVC 96x48 Fotolum. Salida emergencia dcha abajo")</f>
        <v>Cartel PVC 96x48 Fotolum. Salida emergencia dcha abajo</v>
      </c>
      <c r="C325" s="4">
        <f>IFERROR(__xludf.DUMMYFUNCTION("""COMPUTED_VALUE"""),8.96)</f>
        <v>8.96</v>
      </c>
    </row>
    <row r="326">
      <c r="A326" s="4" t="str">
        <f>IFERROR(__xludf.DUMMYFUNCTION("""COMPUTED_VALUE"""),"320")</f>
        <v>320</v>
      </c>
      <c r="B326" s="4" t="str">
        <f>IFERROR(__xludf.DUMMYFUNCTION("""COMPUTED_VALUE"""),"Cartel PVC 21x30 Fotolum. Salida escalera arriba izq.")</f>
        <v>Cartel PVC 21x30 Fotolum. Salida escalera arriba izq.</v>
      </c>
      <c r="C326" s="4">
        <f>IFERROR(__xludf.DUMMYFUNCTION("""COMPUTED_VALUE"""),2.6)</f>
        <v>2.6</v>
      </c>
    </row>
    <row r="327">
      <c r="A327" s="4" t="str">
        <f>IFERROR(__xludf.DUMMYFUNCTION("""COMPUTED_VALUE"""),"0320A")</f>
        <v>0320A</v>
      </c>
      <c r="B327" s="4" t="str">
        <f>IFERROR(__xludf.DUMMYFUNCTION("""COMPUTED_VALUE"""),"Cartel PVC 32x16 Fotolum. Salida emergencia arriba izq")</f>
        <v>Cartel PVC 32x16 Fotolum. Salida emergencia arriba izq</v>
      </c>
      <c r="C327" s="4">
        <f>IFERROR(__xludf.DUMMYFUNCTION("""COMPUTED_VALUE"""),2.25)</f>
        <v>2.25</v>
      </c>
    </row>
    <row r="328">
      <c r="A328" s="4" t="str">
        <f>IFERROR(__xludf.DUMMYFUNCTION("""COMPUTED_VALUE"""),"0320AA")</f>
        <v>0320AA</v>
      </c>
      <c r="B328" s="4" t="str">
        <f>IFERROR(__xludf.DUMMYFUNCTION("""COMPUTED_VALUE"""),"Cartel PVC 32x16 Fotolum. Salida emergencia arriba izq Minus")</f>
        <v>Cartel PVC 32x16 Fotolum. Salida emergencia arriba izq Minus</v>
      </c>
      <c r="C328" s="4">
        <f>IFERROR(__xludf.DUMMYFUNCTION("""COMPUTED_VALUE"""),2.25)</f>
        <v>2.25</v>
      </c>
    </row>
    <row r="329">
      <c r="A329" s="4" t="str">
        <f>IFERROR(__xludf.DUMMYFUNCTION("""COMPUTED_VALUE"""),"0320B")</f>
        <v>0320B</v>
      </c>
      <c r="B329" s="4" t="str">
        <f>IFERROR(__xludf.DUMMYFUNCTION("""COMPUTED_VALUE"""),"Cartel PVC 64x32 Fotolum. Salida emergencia arriba izq")</f>
        <v>Cartel PVC 64x32 Fotolum. Salida emergencia arriba izq</v>
      </c>
      <c r="C329" s="4">
        <f>IFERROR(__xludf.DUMMYFUNCTION("""COMPUTED_VALUE"""),4.48)</f>
        <v>4.48</v>
      </c>
    </row>
    <row r="330">
      <c r="A330" s="4" t="str">
        <f>IFERROR(__xludf.DUMMYFUNCTION("""COMPUTED_VALUE"""),"0320BA")</f>
        <v>0320BA</v>
      </c>
      <c r="B330" s="4" t="str">
        <f>IFERROR(__xludf.DUMMYFUNCTION("""COMPUTED_VALUE"""),"Cartel PVC 64x32 Fotolum. Salida emergencia arriba izq Minus")</f>
        <v>Cartel PVC 64x32 Fotolum. Salida emergencia arriba izq Minus</v>
      </c>
      <c r="C330" s="4">
        <f>IFERROR(__xludf.DUMMYFUNCTION("""COMPUTED_VALUE"""),4.48)</f>
        <v>4.48</v>
      </c>
    </row>
    <row r="331">
      <c r="A331" s="4" t="str">
        <f>IFERROR(__xludf.DUMMYFUNCTION("""COMPUTED_VALUE"""),"0320C")</f>
        <v>0320C</v>
      </c>
      <c r="B331" s="4" t="str">
        <f>IFERROR(__xludf.DUMMYFUNCTION("""COMPUTED_VALUE"""),"Cartel PVC 96x48 Fotolum. Salida emergencia arriba izq")</f>
        <v>Cartel PVC 96x48 Fotolum. Salida emergencia arriba izq</v>
      </c>
      <c r="C331" s="4">
        <f>IFERROR(__xludf.DUMMYFUNCTION("""COMPUTED_VALUE"""),8.96)</f>
        <v>8.96</v>
      </c>
    </row>
    <row r="332">
      <c r="A332" s="4" t="str">
        <f>IFERROR(__xludf.DUMMYFUNCTION("""COMPUTED_VALUE"""),"0320CA")</f>
        <v>0320CA</v>
      </c>
      <c r="B332" s="4" t="str">
        <f>IFERROR(__xludf.DUMMYFUNCTION("""COMPUTED_VALUE"""),"Cartel PVC 96x48 Fotolum. Salida emergencia arriba izq Minus")</f>
        <v>Cartel PVC 96x48 Fotolum. Salida emergencia arriba izq Minus</v>
      </c>
      <c r="C332" s="4">
        <f>IFERROR(__xludf.DUMMYFUNCTION("""COMPUTED_VALUE"""),8.96)</f>
        <v>8.96</v>
      </c>
    </row>
    <row r="333">
      <c r="A333" s="4" t="str">
        <f>IFERROR(__xludf.DUMMYFUNCTION("""COMPUTED_VALUE"""),"321")</f>
        <v>321</v>
      </c>
      <c r="B333" s="4" t="str">
        <f>IFERROR(__xludf.DUMMYFUNCTION("""COMPUTED_VALUE"""),"Cartel PVC 21x30 Fotolum.Salida escalera abajo izq.")</f>
        <v>Cartel PVC 21x30 Fotolum.Salida escalera abajo izq.</v>
      </c>
      <c r="C333" s="4">
        <f>IFERROR(__xludf.DUMMYFUNCTION("""COMPUTED_VALUE"""),2.6)</f>
        <v>2.6</v>
      </c>
    </row>
    <row r="334">
      <c r="A334" s="4" t="str">
        <f>IFERROR(__xludf.DUMMYFUNCTION("""COMPUTED_VALUE"""),"0321A")</f>
        <v>0321A</v>
      </c>
      <c r="B334" s="4" t="str">
        <f>IFERROR(__xludf.DUMMYFUNCTION("""COMPUTED_VALUE"""),"Cartel PVC 32x16 Fotolum. Salida emergencia abajo izq")</f>
        <v>Cartel PVC 32x16 Fotolum. Salida emergencia abajo izq</v>
      </c>
      <c r="C334" s="4">
        <f>IFERROR(__xludf.DUMMYFUNCTION("""COMPUTED_VALUE"""),2.25)</f>
        <v>2.25</v>
      </c>
    </row>
    <row r="335">
      <c r="A335" s="4" t="str">
        <f>IFERROR(__xludf.DUMMYFUNCTION("""COMPUTED_VALUE"""),"0321AA")</f>
        <v>0321AA</v>
      </c>
      <c r="B335" s="4" t="str">
        <f>IFERROR(__xludf.DUMMYFUNCTION("""COMPUTED_VALUE"""),"Cartel PVC 32x16 Fotolum. Salida emergencia abajo izq Minus")</f>
        <v>Cartel PVC 32x16 Fotolum. Salida emergencia abajo izq Minus</v>
      </c>
      <c r="C335" s="4">
        <f>IFERROR(__xludf.DUMMYFUNCTION("""COMPUTED_VALUE"""),2.25)</f>
        <v>2.25</v>
      </c>
    </row>
    <row r="336">
      <c r="A336" s="4" t="str">
        <f>IFERROR(__xludf.DUMMYFUNCTION("""COMPUTED_VALUE"""),"0321B")</f>
        <v>0321B</v>
      </c>
      <c r="B336" s="4" t="str">
        <f>IFERROR(__xludf.DUMMYFUNCTION("""COMPUTED_VALUE"""),"Cartel PVC 64x32 Fotolum. Salida emergencia abajo izq")</f>
        <v>Cartel PVC 64x32 Fotolum. Salida emergencia abajo izq</v>
      </c>
      <c r="C336" s="4">
        <f>IFERROR(__xludf.DUMMYFUNCTION("""COMPUTED_VALUE"""),4.48)</f>
        <v>4.48</v>
      </c>
    </row>
    <row r="337">
      <c r="A337" s="4" t="str">
        <f>IFERROR(__xludf.DUMMYFUNCTION("""COMPUTED_VALUE"""),"0321BA")</f>
        <v>0321BA</v>
      </c>
      <c r="B337" s="4" t="str">
        <f>IFERROR(__xludf.DUMMYFUNCTION("""COMPUTED_VALUE"""),"Cartel PVC 64x32 Fotolum. Salida emergencia abajo izq Minus")</f>
        <v>Cartel PVC 64x32 Fotolum. Salida emergencia abajo izq Minus</v>
      </c>
      <c r="C337" s="4">
        <f>IFERROR(__xludf.DUMMYFUNCTION("""COMPUTED_VALUE"""),4.48)</f>
        <v>4.48</v>
      </c>
    </row>
    <row r="338">
      <c r="A338" s="4" t="str">
        <f>IFERROR(__xludf.DUMMYFUNCTION("""COMPUTED_VALUE"""),"0321C")</f>
        <v>0321C</v>
      </c>
      <c r="B338" s="4" t="str">
        <f>IFERROR(__xludf.DUMMYFUNCTION("""COMPUTED_VALUE"""),"Cartel PVC 96x48 Fotolum. Salida emergencia abajo izq")</f>
        <v>Cartel PVC 96x48 Fotolum. Salida emergencia abajo izq</v>
      </c>
      <c r="C338" s="4">
        <f>IFERROR(__xludf.DUMMYFUNCTION("""COMPUTED_VALUE"""),8.96)</f>
        <v>8.96</v>
      </c>
    </row>
    <row r="339">
      <c r="A339" s="4" t="str">
        <f>IFERROR(__xludf.DUMMYFUNCTION("""COMPUTED_VALUE"""),"0321CA")</f>
        <v>0321CA</v>
      </c>
      <c r="B339" s="4" t="str">
        <f>IFERROR(__xludf.DUMMYFUNCTION("""COMPUTED_VALUE"""),"Cartel PVC 96x48 Fotolum. Salida emergencia abajo izq Minus")</f>
        <v>Cartel PVC 96x48 Fotolum. Salida emergencia abajo izq Minus</v>
      </c>
      <c r="C339" s="4">
        <f>IFERROR(__xludf.DUMMYFUNCTION("""COMPUTED_VALUE"""),8.96)</f>
        <v>8.96</v>
      </c>
    </row>
    <row r="340">
      <c r="A340" s="4" t="str">
        <f>IFERROR(__xludf.DUMMYFUNCTION("""COMPUTED_VALUE"""),"322")</f>
        <v>322</v>
      </c>
      <c r="B340" s="4" t="str">
        <f>IFERROR(__xludf.DUMMYFUNCTION("""COMPUTED_VALUE"""),"Cartel PVC 21x30 Fotolum. Salida escalera arriba dcha.")</f>
        <v>Cartel PVC 21x30 Fotolum. Salida escalera arriba dcha.</v>
      </c>
      <c r="C340" s="4">
        <f>IFERROR(__xludf.DUMMYFUNCTION("""COMPUTED_VALUE"""),2.6)</f>
        <v>2.6</v>
      </c>
    </row>
    <row r="341">
      <c r="A341" s="4" t="str">
        <f>IFERROR(__xludf.DUMMYFUNCTION("""COMPUTED_VALUE"""),"0322A")</f>
        <v>0322A</v>
      </c>
      <c r="B341" s="4" t="str">
        <f>IFERROR(__xludf.DUMMYFUNCTION("""COMPUTED_VALUE"""),"Cartel PVC 32x16 Fotolum. Salida emergencia arriba dcha.")</f>
        <v>Cartel PVC 32x16 Fotolum. Salida emergencia arriba dcha.</v>
      </c>
      <c r="C341" s="4">
        <f>IFERROR(__xludf.DUMMYFUNCTION("""COMPUTED_VALUE"""),2.25)</f>
        <v>2.25</v>
      </c>
    </row>
    <row r="342">
      <c r="A342" s="4" t="str">
        <f>IFERROR(__xludf.DUMMYFUNCTION("""COMPUTED_VALUE"""),"0322AA")</f>
        <v>0322AA</v>
      </c>
      <c r="B342" s="4" t="str">
        <f>IFERROR(__xludf.DUMMYFUNCTION("""COMPUTED_VALUE"""),"Cartel PVC 32x16 Fotolum. Salida emergencia arriba dcha.")</f>
        <v>Cartel PVC 32x16 Fotolum. Salida emergencia arriba dcha.</v>
      </c>
      <c r="C342" s="4">
        <f>IFERROR(__xludf.DUMMYFUNCTION("""COMPUTED_VALUE"""),2.25)</f>
        <v>2.25</v>
      </c>
    </row>
    <row r="343">
      <c r="A343" s="4" t="str">
        <f>IFERROR(__xludf.DUMMYFUNCTION("""COMPUTED_VALUE"""),"0322B")</f>
        <v>0322B</v>
      </c>
      <c r="B343" s="4" t="str">
        <f>IFERROR(__xludf.DUMMYFUNCTION("""COMPUTED_VALUE"""),"Cartel PVC 64x32 Fotolum. Salida emergencia arriba dcha.")</f>
        <v>Cartel PVC 64x32 Fotolum. Salida emergencia arriba dcha.</v>
      </c>
      <c r="C343" s="4">
        <f>IFERROR(__xludf.DUMMYFUNCTION("""COMPUTED_VALUE"""),4.48)</f>
        <v>4.48</v>
      </c>
    </row>
    <row r="344">
      <c r="A344" s="4" t="str">
        <f>IFERROR(__xludf.DUMMYFUNCTION("""COMPUTED_VALUE"""),"0322BA")</f>
        <v>0322BA</v>
      </c>
      <c r="B344" s="4" t="str">
        <f>IFERROR(__xludf.DUMMYFUNCTION("""COMPUTED_VALUE"""),"Cartel PVC 64x32 Fotolum. Salida emergencia arriba")</f>
        <v>Cartel PVC 64x32 Fotolum. Salida emergencia arriba</v>
      </c>
      <c r="C344" s="4">
        <f>IFERROR(__xludf.DUMMYFUNCTION("""COMPUTED_VALUE"""),4.48)</f>
        <v>4.48</v>
      </c>
    </row>
    <row r="345">
      <c r="A345" s="4" t="str">
        <f>IFERROR(__xludf.DUMMYFUNCTION("""COMPUTED_VALUE"""),"0322C")</f>
        <v>0322C</v>
      </c>
      <c r="B345" s="4" t="str">
        <f>IFERROR(__xludf.DUMMYFUNCTION("""COMPUTED_VALUE"""),"Cartel PVC 96x48 Fotolum. Salida emergencia arriba dcha.")</f>
        <v>Cartel PVC 96x48 Fotolum. Salida emergencia arriba dcha.</v>
      </c>
      <c r="C345" s="4">
        <f>IFERROR(__xludf.DUMMYFUNCTION("""COMPUTED_VALUE"""),8.96)</f>
        <v>8.96</v>
      </c>
    </row>
    <row r="346">
      <c r="A346" s="4" t="str">
        <f>IFERROR(__xludf.DUMMYFUNCTION("""COMPUTED_VALUE"""),"0322CA")</f>
        <v>0322CA</v>
      </c>
      <c r="B346" s="4" t="str">
        <f>IFERROR(__xludf.DUMMYFUNCTION("""COMPUTED_VALUE"""),"Cartel PVC 96x48 Fotolum. Salida emergencia arriba dcha.")</f>
        <v>Cartel PVC 96x48 Fotolum. Salida emergencia arriba dcha.</v>
      </c>
      <c r="C346" s="4">
        <f>IFERROR(__xludf.DUMMYFUNCTION("""COMPUTED_VALUE"""),8.96)</f>
        <v>8.96</v>
      </c>
    </row>
    <row r="347">
      <c r="A347" s="4" t="str">
        <f>IFERROR(__xludf.DUMMYFUNCTION("""COMPUTED_VALUE"""),"323")</f>
        <v>323</v>
      </c>
      <c r="B347" s="4" t="str">
        <f>IFERROR(__xludf.DUMMYFUNCTION("""COMPUTED_VALUE"""),"Cartel PVC 21x30 Fotolum. Salida escalera abajo dcha")</f>
        <v>Cartel PVC 21x30 Fotolum. Salida escalera abajo dcha</v>
      </c>
      <c r="C347" s="4">
        <f>IFERROR(__xludf.DUMMYFUNCTION("""COMPUTED_VALUE"""),2.6)</f>
        <v>2.6</v>
      </c>
    </row>
    <row r="348">
      <c r="A348" s="4" t="str">
        <f>IFERROR(__xludf.DUMMYFUNCTION("""COMPUTED_VALUE"""),"324")</f>
        <v>324</v>
      </c>
      <c r="B348" s="4" t="str">
        <f>IFERROR(__xludf.DUMMYFUNCTION("""COMPUTED_VALUE"""),"Cartel PVC 21x30 Fotolum. Salida puerta dcha")</f>
        <v>Cartel PVC 21x30 Fotolum. Salida puerta dcha</v>
      </c>
      <c r="C348" s="4">
        <f>IFERROR(__xludf.DUMMYFUNCTION("""COMPUTED_VALUE"""),2.6)</f>
        <v>2.6</v>
      </c>
    </row>
    <row r="349">
      <c r="A349" s="4" t="str">
        <f>IFERROR(__xludf.DUMMYFUNCTION("""COMPUTED_VALUE"""),"0324A")</f>
        <v>0324A</v>
      </c>
      <c r="B349" s="4" t="str">
        <f>IFERROR(__xludf.DUMMYFUNCTION("""COMPUTED_VALUE"""),"Cartel PVC 32x16 Fotolum. Salida de emergencia Pta. Derecha")</f>
        <v>Cartel PVC 32x16 Fotolum. Salida de emergencia Pta. Derecha</v>
      </c>
      <c r="C349" s="4">
        <f>IFERROR(__xludf.DUMMYFUNCTION("""COMPUTED_VALUE"""),2.25)</f>
        <v>2.25</v>
      </c>
    </row>
    <row r="350">
      <c r="A350" s="4" t="str">
        <f>IFERROR(__xludf.DUMMYFUNCTION("""COMPUTED_VALUE"""),"0324AA")</f>
        <v>0324AA</v>
      </c>
      <c r="B350" s="4" t="str">
        <f>IFERROR(__xludf.DUMMYFUNCTION("""COMPUTED_VALUE"""),"Cartel PVC 32x16 Fotolum. Salida de emergencia Pta. Derecha")</f>
        <v>Cartel PVC 32x16 Fotolum. Salida de emergencia Pta. Derecha</v>
      </c>
      <c r="C350" s="4">
        <f>IFERROR(__xludf.DUMMYFUNCTION("""COMPUTED_VALUE"""),2.25)</f>
        <v>2.25</v>
      </c>
    </row>
    <row r="351">
      <c r="A351" s="4" t="str">
        <f>IFERROR(__xludf.DUMMYFUNCTION("""COMPUTED_VALUE"""),"0324B")</f>
        <v>0324B</v>
      </c>
      <c r="B351" s="4" t="str">
        <f>IFERROR(__xludf.DUMMYFUNCTION("""COMPUTED_VALUE"""),"Cartel PVC 64x32 Fotolum. Salida de emergencia Pta. Derecha")</f>
        <v>Cartel PVC 64x32 Fotolum. Salida de emergencia Pta. Derecha</v>
      </c>
      <c r="C351" s="4">
        <f>IFERROR(__xludf.DUMMYFUNCTION("""COMPUTED_VALUE"""),4.48)</f>
        <v>4.48</v>
      </c>
    </row>
    <row r="352">
      <c r="A352" s="4" t="str">
        <f>IFERROR(__xludf.DUMMYFUNCTION("""COMPUTED_VALUE"""),"0324BA")</f>
        <v>0324BA</v>
      </c>
      <c r="B352" s="4" t="str">
        <f>IFERROR(__xludf.DUMMYFUNCTION("""COMPUTED_VALUE"""),"Cartel PVC 64x32 Fotolum. Salida de emergencia Pta. Derecha")</f>
        <v>Cartel PVC 64x32 Fotolum. Salida de emergencia Pta. Derecha</v>
      </c>
      <c r="C352" s="4">
        <f>IFERROR(__xludf.DUMMYFUNCTION("""COMPUTED_VALUE"""),4.48)</f>
        <v>4.48</v>
      </c>
    </row>
    <row r="353">
      <c r="A353" s="4" t="str">
        <f>IFERROR(__xludf.DUMMYFUNCTION("""COMPUTED_VALUE"""),"0324C")</f>
        <v>0324C</v>
      </c>
      <c r="B353" s="4" t="str">
        <f>IFERROR(__xludf.DUMMYFUNCTION("""COMPUTED_VALUE"""),"Cartel PVC 96x48 Fotolum. Salida de emergencia Pta. Derecha")</f>
        <v>Cartel PVC 96x48 Fotolum. Salida de emergencia Pta. Derecha</v>
      </c>
      <c r="C353" s="4">
        <f>IFERROR(__xludf.DUMMYFUNCTION("""COMPUTED_VALUE"""),8.96)</f>
        <v>8.96</v>
      </c>
    </row>
    <row r="354">
      <c r="A354" s="4" t="str">
        <f>IFERROR(__xludf.DUMMYFUNCTION("""COMPUTED_VALUE"""),"0324CA")</f>
        <v>0324CA</v>
      </c>
      <c r="B354" s="4" t="str">
        <f>IFERROR(__xludf.DUMMYFUNCTION("""COMPUTED_VALUE"""),"Cartel PVC 96x48 Fotolum. Salida de emergencia Pta. Derecha")</f>
        <v>Cartel PVC 96x48 Fotolum. Salida de emergencia Pta. Derecha</v>
      </c>
      <c r="C354" s="4">
        <f>IFERROR(__xludf.DUMMYFUNCTION("""COMPUTED_VALUE"""),8.96)</f>
        <v>8.96</v>
      </c>
    </row>
    <row r="355">
      <c r="A355" s="4" t="str">
        <f>IFERROR(__xludf.DUMMYFUNCTION("""COMPUTED_VALUE"""),"325")</f>
        <v>325</v>
      </c>
      <c r="B355" s="4" t="str">
        <f>IFERROR(__xludf.DUMMYFUNCTION("""COMPUTED_VALUE"""),"Cartel PVC 21x30 Fotolum. Salida puerta izq.")</f>
        <v>Cartel PVC 21x30 Fotolum. Salida puerta izq.</v>
      </c>
      <c r="C355" s="4">
        <f>IFERROR(__xludf.DUMMYFUNCTION("""COMPUTED_VALUE"""),2.6)</f>
        <v>2.6</v>
      </c>
    </row>
    <row r="356">
      <c r="A356" s="4" t="str">
        <f>IFERROR(__xludf.DUMMYFUNCTION("""COMPUTED_VALUE"""),"0325A")</f>
        <v>0325A</v>
      </c>
      <c r="B356" s="4" t="str">
        <f>IFERROR(__xludf.DUMMYFUNCTION("""COMPUTED_VALUE"""),"Cartel PVC 32x16 Fotolum. Salida de emergencia Pta.")</f>
        <v>Cartel PVC 32x16 Fotolum. Salida de emergencia Pta.</v>
      </c>
      <c r="C356" s="4">
        <f>IFERROR(__xludf.DUMMYFUNCTION("""COMPUTED_VALUE"""),2.25)</f>
        <v>2.25</v>
      </c>
    </row>
    <row r="357">
      <c r="A357" s="4" t="str">
        <f>IFERROR(__xludf.DUMMYFUNCTION("""COMPUTED_VALUE"""),"0325AA")</f>
        <v>0325AA</v>
      </c>
      <c r="B357" s="4" t="str">
        <f>IFERROR(__xludf.DUMMYFUNCTION("""COMPUTED_VALUE"""),"Cartel PVC 32x16 Fotolum. Salida de emergencia puerta izq.")</f>
        <v>Cartel PVC 32x16 Fotolum. Salida de emergencia puerta izq.</v>
      </c>
      <c r="C357" s="4">
        <f>IFERROR(__xludf.DUMMYFUNCTION("""COMPUTED_VALUE"""),2.25)</f>
        <v>2.25</v>
      </c>
    </row>
    <row r="358">
      <c r="A358" s="4" t="str">
        <f>IFERROR(__xludf.DUMMYFUNCTION("""COMPUTED_VALUE"""),"0325B")</f>
        <v>0325B</v>
      </c>
      <c r="B358" s="4" t="str">
        <f>IFERROR(__xludf.DUMMYFUNCTION("""COMPUTED_VALUE"""),"Cartel PVC 64x32 Fotolum. Salida de emergencia Pta.")</f>
        <v>Cartel PVC 64x32 Fotolum. Salida de emergencia Pta.</v>
      </c>
      <c r="C358" s="4">
        <f>IFERROR(__xludf.DUMMYFUNCTION("""COMPUTED_VALUE"""),4.48)</f>
        <v>4.48</v>
      </c>
    </row>
    <row r="359">
      <c r="A359" s="4" t="str">
        <f>IFERROR(__xludf.DUMMYFUNCTION("""COMPUTED_VALUE"""),"0325BA")</f>
        <v>0325BA</v>
      </c>
      <c r="B359" s="4" t="str">
        <f>IFERROR(__xludf.DUMMYFUNCTION("""COMPUTED_VALUE"""),"Cartel PVC 64x32 Fotolum. Salida de emergencia Pta. Izq.")</f>
        <v>Cartel PVC 64x32 Fotolum. Salida de emergencia Pta. Izq.</v>
      </c>
      <c r="C359" s="4">
        <f>IFERROR(__xludf.DUMMYFUNCTION("""COMPUTED_VALUE"""),4.48)</f>
        <v>4.48</v>
      </c>
    </row>
    <row r="360">
      <c r="A360" s="4" t="str">
        <f>IFERROR(__xludf.DUMMYFUNCTION("""COMPUTED_VALUE"""),"0325C")</f>
        <v>0325C</v>
      </c>
      <c r="B360" s="4" t="str">
        <f>IFERROR(__xludf.DUMMYFUNCTION("""COMPUTED_VALUE"""),"Cartel PVC 96x48 Fotolum. Salida de emergencia Pta.")</f>
        <v>Cartel PVC 96x48 Fotolum. Salida de emergencia Pta.</v>
      </c>
      <c r="C360" s="4">
        <f>IFERROR(__xludf.DUMMYFUNCTION("""COMPUTED_VALUE"""),8.96)</f>
        <v>8.96</v>
      </c>
    </row>
    <row r="361">
      <c r="A361" s="4" t="str">
        <f>IFERROR(__xludf.DUMMYFUNCTION("""COMPUTED_VALUE"""),"0325CA")</f>
        <v>0325CA</v>
      </c>
      <c r="B361" s="4" t="str">
        <f>IFERROR(__xludf.DUMMYFUNCTION("""COMPUTED_VALUE"""),"Cartel PVC 96x48 Fotolum. Salida de emergencia Pta. Izq")</f>
        <v>Cartel PVC 96x48 Fotolum. Salida de emergencia Pta. Izq</v>
      </c>
      <c r="C361" s="4">
        <f>IFERROR(__xludf.DUMMYFUNCTION("""COMPUTED_VALUE"""),8.96)</f>
        <v>8.96</v>
      </c>
    </row>
    <row r="362">
      <c r="A362" s="4" t="str">
        <f>IFERROR(__xludf.DUMMYFUNCTION("""COMPUTED_VALUE"""),"326")</f>
        <v>326</v>
      </c>
      <c r="B362" s="4" t="str">
        <f>IFERROR(__xludf.DUMMYFUNCTION("""COMPUTED_VALUE"""),"Cartel PVC 21x30 Fotolum. Salida puerta abajo izq.")</f>
        <v>Cartel PVC 21x30 Fotolum. Salida puerta abajo izq.</v>
      </c>
      <c r="C362" s="4">
        <f>IFERROR(__xludf.DUMMYFUNCTION("""COMPUTED_VALUE"""),2.6)</f>
        <v>2.6</v>
      </c>
    </row>
    <row r="363">
      <c r="A363" s="4" t="str">
        <f>IFERROR(__xludf.DUMMYFUNCTION("""COMPUTED_VALUE"""),"0326A")</f>
        <v>0326A</v>
      </c>
      <c r="B363" s="4" t="str">
        <f>IFERROR(__xludf.DUMMYFUNCTION("""COMPUTED_VALUE"""),"Cartel PVC 32x16 Fotolum. Salida de emergencia Pta. Abajo")</f>
        <v>Cartel PVC 32x16 Fotolum. Salida de emergencia Pta. Abajo</v>
      </c>
      <c r="C363" s="4">
        <f>IFERROR(__xludf.DUMMYFUNCTION("""COMPUTED_VALUE"""),2.25)</f>
        <v>2.25</v>
      </c>
    </row>
    <row r="364">
      <c r="A364" s="4" t="str">
        <f>IFERROR(__xludf.DUMMYFUNCTION("""COMPUTED_VALUE"""),"0326AA")</f>
        <v>0326AA</v>
      </c>
      <c r="B364" s="4" t="str">
        <f>IFERROR(__xludf.DUMMYFUNCTION("""COMPUTED_VALUE"""),"Cartel PVC 32x16 Fotolum. Salida de emergencia Pta. Abajo")</f>
        <v>Cartel PVC 32x16 Fotolum. Salida de emergencia Pta. Abajo</v>
      </c>
      <c r="C364" s="4">
        <f>IFERROR(__xludf.DUMMYFUNCTION("""COMPUTED_VALUE"""),2.25)</f>
        <v>2.25</v>
      </c>
    </row>
    <row r="365">
      <c r="A365" s="4" t="str">
        <f>IFERROR(__xludf.DUMMYFUNCTION("""COMPUTED_VALUE"""),"0326B")</f>
        <v>0326B</v>
      </c>
      <c r="B365" s="4" t="str">
        <f>IFERROR(__xludf.DUMMYFUNCTION("""COMPUTED_VALUE"""),"Cartel PVC 64x32 Fotolum. Salida de emergencia Pta. Abajo")</f>
        <v>Cartel PVC 64x32 Fotolum. Salida de emergencia Pta. Abajo</v>
      </c>
      <c r="C365" s="4">
        <f>IFERROR(__xludf.DUMMYFUNCTION("""COMPUTED_VALUE"""),4.48)</f>
        <v>4.48</v>
      </c>
    </row>
    <row r="366">
      <c r="A366" s="4" t="str">
        <f>IFERROR(__xludf.DUMMYFUNCTION("""COMPUTED_VALUE"""),"0326BA")</f>
        <v>0326BA</v>
      </c>
      <c r="B366" s="4" t="str">
        <f>IFERROR(__xludf.DUMMYFUNCTION("""COMPUTED_VALUE"""),"Cartel PVC 64x32 Fotolum. Salida de emergencia Pta. Abajo")</f>
        <v>Cartel PVC 64x32 Fotolum. Salida de emergencia Pta. Abajo</v>
      </c>
      <c r="C366" s="4">
        <f>IFERROR(__xludf.DUMMYFUNCTION("""COMPUTED_VALUE"""),4.48)</f>
        <v>4.48</v>
      </c>
    </row>
    <row r="367">
      <c r="A367" s="4" t="str">
        <f>IFERROR(__xludf.DUMMYFUNCTION("""COMPUTED_VALUE"""),"0326C")</f>
        <v>0326C</v>
      </c>
      <c r="B367" s="4" t="str">
        <f>IFERROR(__xludf.DUMMYFUNCTION("""COMPUTED_VALUE"""),"Cartel PVC 96x48 Fotolum. Salida de emergencia Pta. Abajo")</f>
        <v>Cartel PVC 96x48 Fotolum. Salida de emergencia Pta. Abajo</v>
      </c>
      <c r="C367" s="4">
        <f>IFERROR(__xludf.DUMMYFUNCTION("""COMPUTED_VALUE"""),8.96)</f>
        <v>8.96</v>
      </c>
    </row>
    <row r="368">
      <c r="A368" s="4" t="str">
        <f>IFERROR(__xludf.DUMMYFUNCTION("""COMPUTED_VALUE"""),"0326CA")</f>
        <v>0326CA</v>
      </c>
      <c r="B368" s="4" t="str">
        <f>IFERROR(__xludf.DUMMYFUNCTION("""COMPUTED_VALUE"""),"Cartel PVC 96x48 Fotolum. Salida de emergencia Pta. Abajo")</f>
        <v>Cartel PVC 96x48 Fotolum. Salida de emergencia Pta. Abajo</v>
      </c>
      <c r="C368" s="4">
        <f>IFERROR(__xludf.DUMMYFUNCTION("""COMPUTED_VALUE"""),8.96)</f>
        <v>8.96</v>
      </c>
    </row>
    <row r="369">
      <c r="A369" s="4" t="str">
        <f>IFERROR(__xludf.DUMMYFUNCTION("""COMPUTED_VALUE"""),"327")</f>
        <v>327</v>
      </c>
      <c r="B369" s="4" t="str">
        <f>IFERROR(__xludf.DUMMYFUNCTION("""COMPUTED_VALUE"""),"Cartel PVC 21x30 Fotolum.puerta abajo dcha")</f>
        <v>Cartel PVC 21x30 Fotolum.puerta abajo dcha</v>
      </c>
      <c r="C369" s="4">
        <f>IFERROR(__xludf.DUMMYFUNCTION("""COMPUTED_VALUE"""),2.6)</f>
        <v>2.6</v>
      </c>
    </row>
    <row r="370">
      <c r="A370" s="4" t="str">
        <f>IFERROR(__xludf.DUMMYFUNCTION("""COMPUTED_VALUE"""),"0327A")</f>
        <v>0327A</v>
      </c>
      <c r="B370" s="4" t="str">
        <f>IFERROR(__xludf.DUMMYFUNCTION("""COMPUTED_VALUE"""),"Cartel PVC 32x16 Fotolum. Salida de emergencia Pta. Abajo")</f>
        <v>Cartel PVC 32x16 Fotolum. Salida de emergencia Pta. Abajo</v>
      </c>
      <c r="C370" s="4">
        <f>IFERROR(__xludf.DUMMYFUNCTION("""COMPUTED_VALUE"""),2.25)</f>
        <v>2.25</v>
      </c>
    </row>
    <row r="371">
      <c r="A371" s="4" t="str">
        <f>IFERROR(__xludf.DUMMYFUNCTION("""COMPUTED_VALUE"""),"0327AA")</f>
        <v>0327AA</v>
      </c>
      <c r="B371" s="4" t="str">
        <f>IFERROR(__xludf.DUMMYFUNCTION("""COMPUTED_VALUE"""),"Cartel PVC 32x16 Fotolum. Salida de emergencia Pta. Abajo")</f>
        <v>Cartel PVC 32x16 Fotolum. Salida de emergencia Pta. Abajo</v>
      </c>
      <c r="C371" s="4">
        <f>IFERROR(__xludf.DUMMYFUNCTION("""COMPUTED_VALUE"""),2.25)</f>
        <v>2.25</v>
      </c>
    </row>
    <row r="372">
      <c r="A372" s="4" t="str">
        <f>IFERROR(__xludf.DUMMYFUNCTION("""COMPUTED_VALUE"""),"0327B")</f>
        <v>0327B</v>
      </c>
      <c r="B372" s="4" t="str">
        <f>IFERROR(__xludf.DUMMYFUNCTION("""COMPUTED_VALUE"""),"Cartel PVC 64x32 Fotolum. Salida de emergencia Pta. Abajo")</f>
        <v>Cartel PVC 64x32 Fotolum. Salida de emergencia Pta. Abajo</v>
      </c>
      <c r="C372" s="4">
        <f>IFERROR(__xludf.DUMMYFUNCTION("""COMPUTED_VALUE"""),4.48)</f>
        <v>4.48</v>
      </c>
    </row>
    <row r="373">
      <c r="A373" s="4" t="str">
        <f>IFERROR(__xludf.DUMMYFUNCTION("""COMPUTED_VALUE"""),"0327BA")</f>
        <v>0327BA</v>
      </c>
      <c r="B373" s="4" t="str">
        <f>IFERROR(__xludf.DUMMYFUNCTION("""COMPUTED_VALUE"""),"Cartel PVC 64x32 Fotolum. Salida de emergencia Pta. Abajo")</f>
        <v>Cartel PVC 64x32 Fotolum. Salida de emergencia Pta. Abajo</v>
      </c>
      <c r="C373" s="4">
        <f>IFERROR(__xludf.DUMMYFUNCTION("""COMPUTED_VALUE"""),4.48)</f>
        <v>4.48</v>
      </c>
    </row>
    <row r="374">
      <c r="A374" s="4" t="str">
        <f>IFERROR(__xludf.DUMMYFUNCTION("""COMPUTED_VALUE"""),"0327C")</f>
        <v>0327C</v>
      </c>
      <c r="B374" s="4" t="str">
        <f>IFERROR(__xludf.DUMMYFUNCTION("""COMPUTED_VALUE"""),"Cartel PVC 96x48 Fotolum. Salida de emergencia Pta. Abajo")</f>
        <v>Cartel PVC 96x48 Fotolum. Salida de emergencia Pta. Abajo</v>
      </c>
      <c r="C374" s="4">
        <f>IFERROR(__xludf.DUMMYFUNCTION("""COMPUTED_VALUE"""),8.96)</f>
        <v>8.96</v>
      </c>
    </row>
    <row r="375">
      <c r="A375" s="4" t="str">
        <f>IFERROR(__xludf.DUMMYFUNCTION("""COMPUTED_VALUE"""),"0327CA")</f>
        <v>0327CA</v>
      </c>
      <c r="B375" s="4" t="str">
        <f>IFERROR(__xludf.DUMMYFUNCTION("""COMPUTED_VALUE"""),"Cartel PVC 96x48 Fotolum. Salida de emergencia Pta. Abajo")</f>
        <v>Cartel PVC 96x48 Fotolum. Salida de emergencia Pta. Abajo</v>
      </c>
      <c r="C375" s="4">
        <f>IFERROR(__xludf.DUMMYFUNCTION("""COMPUTED_VALUE"""),8.96)</f>
        <v>8.96</v>
      </c>
    </row>
    <row r="376">
      <c r="A376" s="4" t="str">
        <f>IFERROR(__xludf.DUMMYFUNCTION("""COMPUTED_VALUE"""),"328")</f>
        <v>328</v>
      </c>
      <c r="B376" s="4" t="str">
        <f>IFERROR(__xludf.DUMMYFUNCTION("""COMPUTED_VALUE"""),"Cartel PVC 21x30 Fotolum. Aseos hombres")</f>
        <v>Cartel PVC 21x30 Fotolum. Aseos hombres</v>
      </c>
      <c r="C376" s="4">
        <f>IFERROR(__xludf.DUMMYFUNCTION("""COMPUTED_VALUE"""),2.6)</f>
        <v>2.6</v>
      </c>
    </row>
    <row r="377">
      <c r="A377" s="4" t="str">
        <f>IFERROR(__xludf.DUMMYFUNCTION("""COMPUTED_VALUE"""),"0328A")</f>
        <v>0328A</v>
      </c>
      <c r="B377" s="4" t="str">
        <f>IFERROR(__xludf.DUMMYFUNCTION("""COMPUTED_VALUE"""),"Cartel PVC 21x30 Fotolum. Aseos masculino")</f>
        <v>Cartel PVC 21x30 Fotolum. Aseos masculino</v>
      </c>
      <c r="C377" s="4">
        <f>IFERROR(__xludf.DUMMYFUNCTION("""COMPUTED_VALUE"""),2.52)</f>
        <v>2.52</v>
      </c>
    </row>
    <row r="378">
      <c r="A378" s="4" t="str">
        <f>IFERROR(__xludf.DUMMYFUNCTION("""COMPUTED_VALUE"""),"0328B")</f>
        <v>0328B</v>
      </c>
      <c r="B378" s="4" t="str">
        <f>IFERROR(__xludf.DUMMYFUNCTION("""COMPUTED_VALUE"""),"Cartel PVC 40x30 Fotolum. Aseos Masculino")</f>
        <v>Cartel PVC 40x30 Fotolum. Aseos Masculino</v>
      </c>
      <c r="C378" s="4">
        <f>IFERROR(__xludf.DUMMYFUNCTION("""COMPUTED_VALUE"""),3.1)</f>
        <v>3.1</v>
      </c>
    </row>
    <row r="379">
      <c r="A379" s="4" t="str">
        <f>IFERROR(__xludf.DUMMYFUNCTION("""COMPUTED_VALUE"""),"329")</f>
        <v>329</v>
      </c>
      <c r="B379" s="4" t="str">
        <f>IFERROR(__xludf.DUMMYFUNCTION("""COMPUTED_VALUE"""),"Cartel PVC 21x30 Fotolum. Aseos mujeres")</f>
        <v>Cartel PVC 21x30 Fotolum. Aseos mujeres</v>
      </c>
      <c r="C379" s="4">
        <f>IFERROR(__xludf.DUMMYFUNCTION("""COMPUTED_VALUE"""),2.6)</f>
        <v>2.6</v>
      </c>
    </row>
    <row r="380">
      <c r="A380" s="4" t="str">
        <f>IFERROR(__xludf.DUMMYFUNCTION("""COMPUTED_VALUE"""),"0329A")</f>
        <v>0329A</v>
      </c>
      <c r="B380" s="4" t="str">
        <f>IFERROR(__xludf.DUMMYFUNCTION("""COMPUTED_VALUE"""),"Cartel PVC 21x30 Fotolum. Aseos femenino")</f>
        <v>Cartel PVC 21x30 Fotolum. Aseos femenino</v>
      </c>
      <c r="C380" s="4">
        <f>IFERROR(__xludf.DUMMYFUNCTION("""COMPUTED_VALUE"""),2.52)</f>
        <v>2.52</v>
      </c>
    </row>
    <row r="381">
      <c r="A381" s="4" t="str">
        <f>IFERROR(__xludf.DUMMYFUNCTION("""COMPUTED_VALUE"""),"0329B")</f>
        <v>0329B</v>
      </c>
      <c r="B381" s="4" t="str">
        <f>IFERROR(__xludf.DUMMYFUNCTION("""COMPUTED_VALUE"""),"Cartel PVC 40x30 Fotolum. Aseos femenino")</f>
        <v>Cartel PVC 40x30 Fotolum. Aseos femenino</v>
      </c>
      <c r="C381" s="4">
        <f>IFERROR(__xludf.DUMMYFUNCTION("""COMPUTED_VALUE"""),3.1)</f>
        <v>3.1</v>
      </c>
    </row>
    <row r="382">
      <c r="A382" s="4" t="str">
        <f>IFERROR(__xludf.DUMMYFUNCTION("""COMPUTED_VALUE"""),"330")</f>
        <v>330</v>
      </c>
      <c r="B382" s="4" t="str">
        <f>IFERROR(__xludf.DUMMYFUNCTION("""COMPUTED_VALUE"""),"Cartel PVC 21x30 Fotolum. Mujeres/Hombres")</f>
        <v>Cartel PVC 21x30 Fotolum. Mujeres/Hombres</v>
      </c>
      <c r="C382" s="4">
        <f>IFERROR(__xludf.DUMMYFUNCTION("""COMPUTED_VALUE"""),2.6)</f>
        <v>2.6</v>
      </c>
    </row>
    <row r="383">
      <c r="A383" s="4" t="str">
        <f>IFERROR(__xludf.DUMMYFUNCTION("""COMPUTED_VALUE"""),"0330A")</f>
        <v>0330A</v>
      </c>
      <c r="B383" s="4" t="str">
        <f>IFERROR(__xludf.DUMMYFUNCTION("""COMPUTED_VALUE"""),"Cartel PVC 21x30 Fotolum. Aseos mixtos")</f>
        <v>Cartel PVC 21x30 Fotolum. Aseos mixtos</v>
      </c>
      <c r="C383" s="4">
        <f>IFERROR(__xludf.DUMMYFUNCTION("""COMPUTED_VALUE"""),2.52)</f>
        <v>2.52</v>
      </c>
    </row>
    <row r="384">
      <c r="A384" s="4" t="str">
        <f>IFERROR(__xludf.DUMMYFUNCTION("""COMPUTED_VALUE"""),"0330B")</f>
        <v>0330B</v>
      </c>
      <c r="B384" s="4" t="str">
        <f>IFERROR(__xludf.DUMMYFUNCTION("""COMPUTED_VALUE"""),"Cartel PVC 40x30 Fotolum. Aseos mixtos")</f>
        <v>Cartel PVC 40x30 Fotolum. Aseos mixtos</v>
      </c>
      <c r="C384" s="4">
        <f>IFERROR(__xludf.DUMMYFUNCTION("""COMPUTED_VALUE"""),3.1)</f>
        <v>3.1</v>
      </c>
    </row>
    <row r="385">
      <c r="A385" s="4" t="str">
        <f>IFERROR(__xludf.DUMMYFUNCTION("""COMPUTED_VALUE"""),"331")</f>
        <v>331</v>
      </c>
      <c r="B385" s="4" t="str">
        <f>IFERROR(__xludf.DUMMYFUNCTION("""COMPUTED_VALUE"""),"Cartel PVC 21x29 Fotolum. HIDRANTE")</f>
        <v>Cartel PVC 21x29 Fotolum. HIDRANTE</v>
      </c>
      <c r="C385" s="4">
        <f>IFERROR(__xludf.DUMMYFUNCTION("""COMPUTED_VALUE"""),2.6)</f>
        <v>2.6</v>
      </c>
    </row>
    <row r="386">
      <c r="A386" s="4" t="str">
        <f>IFERROR(__xludf.DUMMYFUNCTION("""COMPUTED_VALUE"""),"332")</f>
        <v>332</v>
      </c>
      <c r="B386" s="4" t="str">
        <f>IFERROR(__xludf.DUMMYFUNCTION("""COMPUTED_VALUE"""),"Cartel PVC 21x30 Fotolum. Salida Emerg. puerta dcha")</f>
        <v>Cartel PVC 21x30 Fotolum. Salida Emerg. puerta dcha</v>
      </c>
      <c r="C386" s="4">
        <f>IFERROR(__xludf.DUMMYFUNCTION("""COMPUTED_VALUE"""),2.6)</f>
        <v>2.6</v>
      </c>
    </row>
    <row r="387">
      <c r="A387" s="4" t="str">
        <f>IFERROR(__xludf.DUMMYFUNCTION("""COMPUTED_VALUE"""),"333")</f>
        <v>333</v>
      </c>
      <c r="B387" s="4" t="str">
        <f>IFERROR(__xludf.DUMMYFUNCTION("""COMPUTED_VALUE"""),"Cartel PVC 21x30 Fotolum. Salida Emerg. puerta abajo dcha.")</f>
        <v>Cartel PVC 21x30 Fotolum. Salida Emerg. puerta abajo dcha.</v>
      </c>
      <c r="C387" s="4">
        <f>IFERROR(__xludf.DUMMYFUNCTION("""COMPUTED_VALUE"""),2.6)</f>
        <v>2.6</v>
      </c>
    </row>
    <row r="388">
      <c r="A388" s="4" t="str">
        <f>IFERROR(__xludf.DUMMYFUNCTION("""COMPUTED_VALUE"""),"334")</f>
        <v>334</v>
      </c>
      <c r="B388" s="4" t="str">
        <f>IFERROR(__xludf.DUMMYFUNCTION("""COMPUTED_VALUE"""),"Cartel PVC 21x30 Fotolum. Salida Emerg. puerta izq.")</f>
        <v>Cartel PVC 21x30 Fotolum. Salida Emerg. puerta izq.</v>
      </c>
      <c r="C388" s="4">
        <f>IFERROR(__xludf.DUMMYFUNCTION("""COMPUTED_VALUE"""),2.6)</f>
        <v>2.6</v>
      </c>
    </row>
    <row r="389">
      <c r="A389" s="4" t="str">
        <f>IFERROR(__xludf.DUMMYFUNCTION("""COMPUTED_VALUE"""),"335")</f>
        <v>335</v>
      </c>
      <c r="B389" s="4" t="str">
        <f>IFERROR(__xludf.DUMMYFUNCTION("""COMPUTED_VALUE"""),"Cartel PVC 21x30 Fotolum. Salida Emerg. puerta abajo izq.")</f>
        <v>Cartel PVC 21x30 Fotolum. Salida Emerg. puerta abajo izq.</v>
      </c>
      <c r="C389" s="4">
        <f>IFERROR(__xludf.DUMMYFUNCTION("""COMPUTED_VALUE"""),2.6)</f>
        <v>2.6</v>
      </c>
    </row>
    <row r="390">
      <c r="A390" s="4" t="str">
        <f>IFERROR(__xludf.DUMMYFUNCTION("""COMPUTED_VALUE"""),"336")</f>
        <v>336</v>
      </c>
      <c r="B390" s="4" t="str">
        <f>IFERROR(__xludf.DUMMYFUNCTION("""COMPUTED_VALUE"""),"Cartel PVC 21x30 Fotolum. Salida Emerg. escalera abajo izq.")</f>
        <v>Cartel PVC 21x30 Fotolum. Salida Emerg. escalera abajo izq.</v>
      </c>
      <c r="C390" s="4">
        <f>IFERROR(__xludf.DUMMYFUNCTION("""COMPUTED_VALUE"""),2.6)</f>
        <v>2.6</v>
      </c>
    </row>
    <row r="391">
      <c r="A391" s="4" t="str">
        <f>IFERROR(__xludf.DUMMYFUNCTION("""COMPUTED_VALUE"""),"0336A")</f>
        <v>0336A</v>
      </c>
      <c r="B391" s="4" t="str">
        <f>IFERROR(__xludf.DUMMYFUNCTION("""COMPUTED_VALUE"""),"Cartel PVC 32x16 Fotolum. Escal. de emergencia izq abajo")</f>
        <v>Cartel PVC 32x16 Fotolum. Escal. de emergencia izq abajo</v>
      </c>
      <c r="C391" s="4">
        <f>IFERROR(__xludf.DUMMYFUNCTION("""COMPUTED_VALUE"""),2.25)</f>
        <v>2.25</v>
      </c>
    </row>
    <row r="392">
      <c r="A392" s="4" t="str">
        <f>IFERROR(__xludf.DUMMYFUNCTION("""COMPUTED_VALUE"""),"0336B")</f>
        <v>0336B</v>
      </c>
      <c r="B392" s="4" t="str">
        <f>IFERROR(__xludf.DUMMYFUNCTION("""COMPUTED_VALUE"""),"Cartel PVC 64x32 Fotolum. Escal. de emergencia izq abajo")</f>
        <v>Cartel PVC 64x32 Fotolum. Escal. de emergencia izq abajo</v>
      </c>
      <c r="C392" s="4">
        <f>IFERROR(__xludf.DUMMYFUNCTION("""COMPUTED_VALUE"""),4.48)</f>
        <v>4.48</v>
      </c>
    </row>
    <row r="393">
      <c r="A393" s="4" t="str">
        <f>IFERROR(__xludf.DUMMYFUNCTION("""COMPUTED_VALUE"""),"337")</f>
        <v>337</v>
      </c>
      <c r="B393" s="4" t="str">
        <f>IFERROR(__xludf.DUMMYFUNCTION("""COMPUTED_VALUE"""),"Cartel PVC 21x30 Fotolum. Salida Emerg.escalera arriba dcha.")</f>
        <v>Cartel PVC 21x30 Fotolum. Salida Emerg.escalera arriba dcha.</v>
      </c>
      <c r="C393" s="4">
        <f>IFERROR(__xludf.DUMMYFUNCTION("""COMPUTED_VALUE"""),2.6)</f>
        <v>2.6</v>
      </c>
    </row>
    <row r="394">
      <c r="A394" s="4" t="str">
        <f>IFERROR(__xludf.DUMMYFUNCTION("""COMPUTED_VALUE"""),"0337A")</f>
        <v>0337A</v>
      </c>
      <c r="B394" s="4" t="str">
        <f>IFERROR(__xludf.DUMMYFUNCTION("""COMPUTED_VALUE"""),"Cartel PVC 32x16 Fotolum. Escal. de emergencia dcha arriba")</f>
        <v>Cartel PVC 32x16 Fotolum. Escal. de emergencia dcha arriba</v>
      </c>
      <c r="C394" s="4">
        <f>IFERROR(__xludf.DUMMYFUNCTION("""COMPUTED_VALUE"""),2.25)</f>
        <v>2.25</v>
      </c>
    </row>
    <row r="395">
      <c r="A395" s="4" t="str">
        <f>IFERROR(__xludf.DUMMYFUNCTION("""COMPUTED_VALUE"""),"0337B")</f>
        <v>0337B</v>
      </c>
      <c r="B395" s="4" t="str">
        <f>IFERROR(__xludf.DUMMYFUNCTION("""COMPUTED_VALUE"""),"Cartel PVC 64x32 Fotolum. Escal. de emergencia dcha arriba")</f>
        <v>Cartel PVC 64x32 Fotolum. Escal. de emergencia dcha arriba</v>
      </c>
      <c r="C395" s="4">
        <f>IFERROR(__xludf.DUMMYFUNCTION("""COMPUTED_VALUE"""),4.48)</f>
        <v>4.48</v>
      </c>
    </row>
    <row r="396">
      <c r="A396" s="4" t="str">
        <f>IFERROR(__xludf.DUMMYFUNCTION("""COMPUTED_VALUE"""),"0337C")</f>
        <v>0337C</v>
      </c>
      <c r="B396" s="4" t="str">
        <f>IFERROR(__xludf.DUMMYFUNCTION("""COMPUTED_VALUE"""),"Cartel PVC 96x48 Fotolum. Escal. de emergencia dcha arriba")</f>
        <v>Cartel PVC 96x48 Fotolum. Escal. de emergencia dcha arriba</v>
      </c>
      <c r="C396" s="4">
        <f>IFERROR(__xludf.DUMMYFUNCTION("""COMPUTED_VALUE"""),8.96)</f>
        <v>8.96</v>
      </c>
    </row>
    <row r="397">
      <c r="A397" s="4" t="str">
        <f>IFERROR(__xludf.DUMMYFUNCTION("""COMPUTED_VALUE"""),"338")</f>
        <v>338</v>
      </c>
      <c r="B397" s="4" t="str">
        <f>IFERROR(__xludf.DUMMYFUNCTION("""COMPUTED_VALUE"""),"Cartel PVC 21x30 Fotolum. Salida Emerg. escalera abajo dcha")</f>
        <v>Cartel PVC 21x30 Fotolum. Salida Emerg. escalera abajo dcha</v>
      </c>
      <c r="C397" s="4">
        <f>IFERROR(__xludf.DUMMYFUNCTION("""COMPUTED_VALUE"""),2.6)</f>
        <v>2.6</v>
      </c>
    </row>
    <row r="398">
      <c r="A398" s="4" t="str">
        <f>IFERROR(__xludf.DUMMYFUNCTION("""COMPUTED_VALUE"""),"0338A")</f>
        <v>0338A</v>
      </c>
      <c r="B398" s="4" t="str">
        <f>IFERROR(__xludf.DUMMYFUNCTION("""COMPUTED_VALUE"""),"Cartel PVC 32x16 Fotolum. Escal. de emergencia dcha abajo")</f>
        <v>Cartel PVC 32x16 Fotolum. Escal. de emergencia dcha abajo</v>
      </c>
      <c r="C398" s="4">
        <f>IFERROR(__xludf.DUMMYFUNCTION("""COMPUTED_VALUE"""),2.25)</f>
        <v>2.25</v>
      </c>
    </row>
    <row r="399">
      <c r="A399" s="4" t="str">
        <f>IFERROR(__xludf.DUMMYFUNCTION("""COMPUTED_VALUE"""),"0338B")</f>
        <v>0338B</v>
      </c>
      <c r="B399" s="4" t="str">
        <f>IFERROR(__xludf.DUMMYFUNCTION("""COMPUTED_VALUE"""),"Cartel PVC 64x32 Fotolum. Escal. de emergencia dcha abajo")</f>
        <v>Cartel PVC 64x32 Fotolum. Escal. de emergencia dcha abajo</v>
      </c>
      <c r="C399" s="4">
        <f>IFERROR(__xludf.DUMMYFUNCTION("""COMPUTED_VALUE"""),4.48)</f>
        <v>4.48</v>
      </c>
    </row>
    <row r="400">
      <c r="A400" s="4" t="str">
        <f>IFERROR(__xludf.DUMMYFUNCTION("""COMPUTED_VALUE"""),"339")</f>
        <v>339</v>
      </c>
      <c r="B400" s="4" t="str">
        <f>IFERROR(__xludf.DUMMYFUNCTION("""COMPUTED_VALUE"""),"Cartel PVC 21x30 Fotolum. Salida Emerg. escalera arriba izq.")</f>
        <v>Cartel PVC 21x30 Fotolum. Salida Emerg. escalera arriba izq.</v>
      </c>
      <c r="C400" s="4">
        <f>IFERROR(__xludf.DUMMYFUNCTION("""COMPUTED_VALUE"""),2.6)</f>
        <v>2.6</v>
      </c>
    </row>
    <row r="401">
      <c r="A401" s="4" t="str">
        <f>IFERROR(__xludf.DUMMYFUNCTION("""COMPUTED_VALUE"""),"0339A")</f>
        <v>0339A</v>
      </c>
      <c r="B401" s="4" t="str">
        <f>IFERROR(__xludf.DUMMYFUNCTION("""COMPUTED_VALUE"""),"Cartel PVC 32x16 Fotolum. Escal. de emergencia izq arriba")</f>
        <v>Cartel PVC 32x16 Fotolum. Escal. de emergencia izq arriba</v>
      </c>
      <c r="C401" s="4">
        <f>IFERROR(__xludf.DUMMYFUNCTION("""COMPUTED_VALUE"""),2.25)</f>
        <v>2.25</v>
      </c>
    </row>
    <row r="402">
      <c r="A402" s="4" t="str">
        <f>IFERROR(__xludf.DUMMYFUNCTION("""COMPUTED_VALUE"""),"0339B")</f>
        <v>0339B</v>
      </c>
      <c r="B402" s="4" t="str">
        <f>IFERROR(__xludf.DUMMYFUNCTION("""COMPUTED_VALUE"""),"Cartel PVC 64x32 Fotolum. Escal. de emergencia izq arriba")</f>
        <v>Cartel PVC 64x32 Fotolum. Escal. de emergencia izq arriba</v>
      </c>
      <c r="C402" s="4">
        <f>IFERROR(__xludf.DUMMYFUNCTION("""COMPUTED_VALUE"""),4.48)</f>
        <v>4.48</v>
      </c>
    </row>
    <row r="403">
      <c r="A403" s="4" t="str">
        <f>IFERROR(__xludf.DUMMYFUNCTION("""COMPUTED_VALUE"""),"0339C")</f>
        <v>0339C</v>
      </c>
      <c r="B403" s="4" t="str">
        <f>IFERROR(__xludf.DUMMYFUNCTION("""COMPUTED_VALUE"""),"Cartel PVC 96x48 Fotolum. Escal. de emergencia izq arriba")</f>
        <v>Cartel PVC 96x48 Fotolum. Escal. de emergencia izq arriba</v>
      </c>
      <c r="C403" s="4">
        <f>IFERROR(__xludf.DUMMYFUNCTION("""COMPUTED_VALUE"""),8.96)</f>
        <v>8.96</v>
      </c>
    </row>
    <row r="404">
      <c r="A404" s="4" t="str">
        <f>IFERROR(__xludf.DUMMYFUNCTION("""COMPUTED_VALUE"""),"340")</f>
        <v>340</v>
      </c>
      <c r="B404" s="4" t="str">
        <f>IFERROR(__xludf.DUMMYFUNCTION("""COMPUTED_VALUE"""),"Cartel PVC 40x30 Fotolum. SALIDA")</f>
        <v>Cartel PVC 40x30 Fotolum. SALIDA</v>
      </c>
      <c r="C404" s="4">
        <f>IFERROR(__xludf.DUMMYFUNCTION("""COMPUTED_VALUE"""),3.35)</f>
        <v>3.35</v>
      </c>
    </row>
    <row r="405">
      <c r="A405" s="4" t="str">
        <f>IFERROR(__xludf.DUMMYFUNCTION("""COMPUTED_VALUE"""),"342")</f>
        <v>342</v>
      </c>
      <c r="B405" s="4" t="str">
        <f>IFERROR(__xludf.DUMMYFUNCTION("""COMPUTED_VALUE"""),"Cartel PVC 40x60 Riesgo de Incendio")</f>
        <v>Cartel PVC 40x60 Riesgo de Incendio</v>
      </c>
      <c r="C405" s="4">
        <f>IFERROR(__xludf.DUMMYFUNCTION("""COMPUTED_VALUE"""),4.75)</f>
        <v>4.75</v>
      </c>
    </row>
    <row r="406">
      <c r="A406" s="4" t="str">
        <f>IFERROR(__xludf.DUMMYFUNCTION("""COMPUTED_VALUE"""),"343")</f>
        <v>343</v>
      </c>
      <c r="B406" s="4" t="str">
        <f>IFERROR(__xludf.DUMMYFUNCTION("""COMPUTED_VALUE"""),"Cartel PVC 21x30 Fotolum. Extintor")</f>
        <v>Cartel PVC 21x30 Fotolum. Extintor</v>
      </c>
      <c r="C406" s="4">
        <f>IFERROR(__xludf.DUMMYFUNCTION("""COMPUTED_VALUE"""),2.6)</f>
        <v>2.6</v>
      </c>
    </row>
    <row r="407">
      <c r="A407" s="4" t="str">
        <f>IFERROR(__xludf.DUMMYFUNCTION("""COMPUTED_VALUE"""),"0343A")</f>
        <v>0343A</v>
      </c>
      <c r="B407" s="4" t="str">
        <f>IFERROR(__xludf.DUMMYFUNCTION("""COMPUTED_VALUE"""),"Cartel PVC 21x30 Fotolum. Extintor")</f>
        <v>Cartel PVC 21x30 Fotolum. Extintor</v>
      </c>
      <c r="C407" s="4">
        <f>IFERROR(__xludf.DUMMYFUNCTION("""COMPUTED_VALUE"""),2.52)</f>
        <v>2.52</v>
      </c>
    </row>
    <row r="408">
      <c r="A408" s="4" t="str">
        <f>IFERROR(__xludf.DUMMYFUNCTION("""COMPUTED_VALUE"""),"0343B")</f>
        <v>0343B</v>
      </c>
      <c r="B408" s="4" t="str">
        <f>IFERROR(__xludf.DUMMYFUNCTION("""COMPUTED_VALUE"""),"Cartel PVC 40x30 Fotolum. Extintor")</f>
        <v>Cartel PVC 40x30 Fotolum. Extintor</v>
      </c>
      <c r="C408" s="4">
        <f>IFERROR(__xludf.DUMMYFUNCTION("""COMPUTED_VALUE"""),3.1)</f>
        <v>3.1</v>
      </c>
    </row>
    <row r="409">
      <c r="A409" s="4" t="str">
        <f>IFERROR(__xludf.DUMMYFUNCTION("""COMPUTED_VALUE"""),"0343CO")</f>
        <v>0343CO</v>
      </c>
      <c r="B409" s="4" t="str">
        <f>IFERROR(__xludf.DUMMYFUNCTION("""COMPUTED_VALUE"""),"Cartel PVC 21x30 Fotolum. Extintor Co2")</f>
        <v>Cartel PVC 21x30 Fotolum. Extintor Co2</v>
      </c>
      <c r="C409" s="4">
        <f>IFERROR(__xludf.DUMMYFUNCTION("""COMPUTED_VALUE"""),2.6)</f>
        <v>2.6</v>
      </c>
    </row>
    <row r="410">
      <c r="A410" s="4" t="str">
        <f>IFERROR(__xludf.DUMMYFUNCTION("""COMPUTED_VALUE"""),"344")</f>
        <v>344</v>
      </c>
      <c r="B410" s="4" t="str">
        <f>IFERROR(__xludf.DUMMYFUNCTION("""COMPUTED_VALUE"""),"Cartel PVC 21x30 Fotolum. Salida")</f>
        <v>Cartel PVC 21x30 Fotolum. Salida</v>
      </c>
      <c r="C410" s="4">
        <f>IFERROR(__xludf.DUMMYFUNCTION("""COMPUTED_VALUE"""),2.6)</f>
        <v>2.6</v>
      </c>
    </row>
    <row r="411">
      <c r="A411" s="4" t="str">
        <f>IFERROR(__xludf.DUMMYFUNCTION("""COMPUTED_VALUE"""),"0344A")</f>
        <v>0344A</v>
      </c>
      <c r="B411" s="4" t="str">
        <f>IFERROR(__xludf.DUMMYFUNCTION("""COMPUTED_VALUE"""),"Cartel PVC 32x16 Fotolum. Salida")</f>
        <v>Cartel PVC 32x16 Fotolum. Salida</v>
      </c>
      <c r="C411" s="4">
        <f>IFERROR(__xludf.DUMMYFUNCTION("""COMPUTED_VALUE"""),2.25)</f>
        <v>2.25</v>
      </c>
    </row>
    <row r="412">
      <c r="A412" s="4" t="str">
        <f>IFERROR(__xludf.DUMMYFUNCTION("""COMPUTED_VALUE"""),"0344B")</f>
        <v>0344B</v>
      </c>
      <c r="B412" s="4" t="str">
        <f>IFERROR(__xludf.DUMMYFUNCTION("""COMPUTED_VALUE"""),"Cartel PVC 64x32 Fotolum. Salida")</f>
        <v>Cartel PVC 64x32 Fotolum. Salida</v>
      </c>
      <c r="C412" s="4">
        <f>IFERROR(__xludf.DUMMYFUNCTION("""COMPUTED_VALUE"""),4.48)</f>
        <v>4.48</v>
      </c>
    </row>
    <row r="413">
      <c r="A413" s="4" t="str">
        <f>IFERROR(__xludf.DUMMYFUNCTION("""COMPUTED_VALUE"""),"345")</f>
        <v>345</v>
      </c>
      <c r="B413" s="4" t="str">
        <f>IFERROR(__xludf.DUMMYFUNCTION("""COMPUTED_VALUE"""),"Señal PVC 21x29 Fotolum. avisador sonoro")</f>
        <v>Señal PVC 21x29 Fotolum. avisador sonoro</v>
      </c>
      <c r="C413" s="4">
        <f>IFERROR(__xludf.DUMMYFUNCTION("""COMPUTED_VALUE"""),2.6)</f>
        <v>2.6</v>
      </c>
    </row>
    <row r="414">
      <c r="A414" s="4" t="str">
        <f>IFERROR(__xludf.DUMMYFUNCTION("""COMPUTED_VALUE"""),"346")</f>
        <v>346</v>
      </c>
      <c r="B414" s="4" t="str">
        <f>IFERROR(__xludf.DUMMYFUNCTION("""COMPUTED_VALUE"""),"Cartel PVC 21x30 Fotolum. Extintor dcha")</f>
        <v>Cartel PVC 21x30 Fotolum. Extintor dcha</v>
      </c>
      <c r="C414" s="4">
        <f>IFERROR(__xludf.DUMMYFUNCTION("""COMPUTED_VALUE"""),2.6)</f>
        <v>2.6</v>
      </c>
    </row>
    <row r="415">
      <c r="A415" s="4" t="str">
        <f>IFERROR(__xludf.DUMMYFUNCTION("""COMPUTED_VALUE"""),"0346A")</f>
        <v>0346A</v>
      </c>
      <c r="B415" s="4" t="str">
        <f>IFERROR(__xludf.DUMMYFUNCTION("""COMPUTED_VALUE"""),"Cartel PVC 32x16 Fotolum. Extintor derecha")</f>
        <v>Cartel PVC 32x16 Fotolum. Extintor derecha</v>
      </c>
      <c r="C415" s="4">
        <f>IFERROR(__xludf.DUMMYFUNCTION("""COMPUTED_VALUE"""),2.25)</f>
        <v>2.25</v>
      </c>
    </row>
    <row r="416">
      <c r="A416" s="4" t="str">
        <f>IFERROR(__xludf.DUMMYFUNCTION("""COMPUTED_VALUE"""),"0346B")</f>
        <v>0346B</v>
      </c>
      <c r="B416" s="4" t="str">
        <f>IFERROR(__xludf.DUMMYFUNCTION("""COMPUTED_VALUE"""),"Cartel PVC 64x32 Fotolum. Extintor derecha")</f>
        <v>Cartel PVC 64x32 Fotolum. Extintor derecha</v>
      </c>
      <c r="C416" s="4">
        <f>IFERROR(__xludf.DUMMYFUNCTION("""COMPUTED_VALUE"""),4.48)</f>
        <v>4.48</v>
      </c>
    </row>
    <row r="417">
      <c r="A417" s="4" t="str">
        <f>IFERROR(__xludf.DUMMYFUNCTION("""COMPUTED_VALUE"""),"0346C")</f>
        <v>0346C</v>
      </c>
      <c r="B417" s="4" t="str">
        <f>IFERROR(__xludf.DUMMYFUNCTION("""COMPUTED_VALUE"""),"Cartel PVC 96x48 Fotolum. Extintor derecha")</f>
        <v>Cartel PVC 96x48 Fotolum. Extintor derecha</v>
      </c>
      <c r="C417" s="4">
        <f>IFERROR(__xludf.DUMMYFUNCTION("""COMPUTED_VALUE"""),8.96)</f>
        <v>8.96</v>
      </c>
    </row>
    <row r="418">
      <c r="A418" s="4" t="str">
        <f>IFERROR(__xludf.DUMMYFUNCTION("""COMPUTED_VALUE"""),"347")</f>
        <v>347</v>
      </c>
      <c r="B418" s="4" t="str">
        <f>IFERROR(__xludf.DUMMYFUNCTION("""COMPUTED_VALUE"""),"Cartel PVC 21x30 Fotolum. Extintor Izq.")</f>
        <v>Cartel PVC 21x30 Fotolum. Extintor Izq.</v>
      </c>
      <c r="C418" s="4">
        <f>IFERROR(__xludf.DUMMYFUNCTION("""COMPUTED_VALUE"""),2.6)</f>
        <v>2.6</v>
      </c>
    </row>
    <row r="419">
      <c r="A419" s="4" t="str">
        <f>IFERROR(__xludf.DUMMYFUNCTION("""COMPUTED_VALUE"""),"0347A")</f>
        <v>0347A</v>
      </c>
      <c r="B419" s="4" t="str">
        <f>IFERROR(__xludf.DUMMYFUNCTION("""COMPUTED_VALUE"""),"Cartel PVC 32x16 Fotolum. Extintor izquierda")</f>
        <v>Cartel PVC 32x16 Fotolum. Extintor izquierda</v>
      </c>
      <c r="C419" s="4">
        <f>IFERROR(__xludf.DUMMYFUNCTION("""COMPUTED_VALUE"""),2.25)</f>
        <v>2.25</v>
      </c>
    </row>
    <row r="420">
      <c r="A420" s="4" t="str">
        <f>IFERROR(__xludf.DUMMYFUNCTION("""COMPUTED_VALUE"""),"0347B")</f>
        <v>0347B</v>
      </c>
      <c r="B420" s="4" t="str">
        <f>IFERROR(__xludf.DUMMYFUNCTION("""COMPUTED_VALUE"""),"Cartel PVC 64x32 Fotolum. Extintor izquierda")</f>
        <v>Cartel PVC 64x32 Fotolum. Extintor izquierda</v>
      </c>
      <c r="C420" s="4">
        <f>IFERROR(__xludf.DUMMYFUNCTION("""COMPUTED_VALUE"""),4.48)</f>
        <v>4.48</v>
      </c>
    </row>
    <row r="421">
      <c r="A421" s="4" t="str">
        <f>IFERROR(__xludf.DUMMYFUNCTION("""COMPUTED_VALUE"""),"0347C")</f>
        <v>0347C</v>
      </c>
      <c r="B421" s="4" t="str">
        <f>IFERROR(__xludf.DUMMYFUNCTION("""COMPUTED_VALUE"""),"Cartel PVC 96x48 Fotolum. Extintor izquierda")</f>
        <v>Cartel PVC 96x48 Fotolum. Extintor izquierda</v>
      </c>
      <c r="C421" s="4">
        <f>IFERROR(__xludf.DUMMYFUNCTION("""COMPUTED_VALUE"""),8.96)</f>
        <v>8.96</v>
      </c>
    </row>
    <row r="422">
      <c r="A422" s="4" t="str">
        <f>IFERROR(__xludf.DUMMYFUNCTION("""COMPUTED_VALUE"""),"348")</f>
        <v>348</v>
      </c>
      <c r="B422" s="4" t="str">
        <f>IFERROR(__xludf.DUMMYFUNCTION("""COMPUTED_VALUE"""),"Cartel PVC 15x15 Fotolum. Pulsador de Alarma")</f>
        <v>Cartel PVC 15x15 Fotolum. Pulsador de Alarma</v>
      </c>
      <c r="C422" s="4">
        <f>IFERROR(__xludf.DUMMYFUNCTION("""COMPUTED_VALUE"""),1.68)</f>
        <v>1.68</v>
      </c>
    </row>
    <row r="423">
      <c r="A423" s="4" t="str">
        <f>IFERROR(__xludf.DUMMYFUNCTION("""COMPUTED_VALUE"""),"349")</f>
        <v>349</v>
      </c>
      <c r="B423" s="4" t="str">
        <f>IFERROR(__xludf.DUMMYFUNCTION("""COMPUTED_VALUE"""),"Cartel PVC 21x30 Fotolum. Boca Incendios")</f>
        <v>Cartel PVC 21x30 Fotolum. Boca Incendios</v>
      </c>
      <c r="C423" s="4">
        <f>IFERROR(__xludf.DUMMYFUNCTION("""COMPUTED_VALUE"""),2.6)</f>
        <v>2.6</v>
      </c>
    </row>
    <row r="424">
      <c r="A424" s="4" t="str">
        <f>IFERROR(__xludf.DUMMYFUNCTION("""COMPUTED_VALUE"""),"0349A")</f>
        <v>0349A</v>
      </c>
      <c r="B424" s="4" t="str">
        <f>IFERROR(__xludf.DUMMYFUNCTION("""COMPUTED_VALUE"""),"Cartel PVC 21x30 Fotolum. Boca de incendio")</f>
        <v>Cartel PVC 21x30 Fotolum. Boca de incendio</v>
      </c>
      <c r="C424" s="4">
        <f>IFERROR(__xludf.DUMMYFUNCTION("""COMPUTED_VALUE"""),2.52)</f>
        <v>2.52</v>
      </c>
    </row>
    <row r="425">
      <c r="A425" s="4" t="str">
        <f>IFERROR(__xludf.DUMMYFUNCTION("""COMPUTED_VALUE"""),"0349B")</f>
        <v>0349B</v>
      </c>
      <c r="B425" s="4" t="str">
        <f>IFERROR(__xludf.DUMMYFUNCTION("""COMPUTED_VALUE"""),"Cartel PVC 40x30 Fotolum. Boca de incendio")</f>
        <v>Cartel PVC 40x30 Fotolum. Boca de incendio</v>
      </c>
      <c r="C425" s="4">
        <f>IFERROR(__xludf.DUMMYFUNCTION("""COMPUTED_VALUE"""),3.1)</f>
        <v>3.1</v>
      </c>
    </row>
    <row r="426">
      <c r="A426" s="4" t="str">
        <f>IFERROR(__xludf.DUMMYFUNCTION("""COMPUTED_VALUE"""),"350")</f>
        <v>350</v>
      </c>
      <c r="B426" s="4" t="str">
        <f>IFERROR(__xludf.DUMMYFUNCTION("""COMPUTED_VALUE"""),"Cartel PVC 21x30 Fotolum. Boca Incendios dcha")</f>
        <v>Cartel PVC 21x30 Fotolum. Boca Incendios dcha</v>
      </c>
      <c r="C426" s="4">
        <f>IFERROR(__xludf.DUMMYFUNCTION("""COMPUTED_VALUE"""),2.6)</f>
        <v>2.6</v>
      </c>
    </row>
    <row r="427">
      <c r="A427" s="4" t="str">
        <f>IFERROR(__xludf.DUMMYFUNCTION("""COMPUTED_VALUE"""),"0350A")</f>
        <v>0350A</v>
      </c>
      <c r="B427" s="4" t="str">
        <f>IFERROR(__xludf.DUMMYFUNCTION("""COMPUTED_VALUE"""),"Cartel PVC 32x16 Fotolum. Boca Incendios dcha")</f>
        <v>Cartel PVC 32x16 Fotolum. Boca Incendios dcha</v>
      </c>
      <c r="C427" s="4">
        <f>IFERROR(__xludf.DUMMYFUNCTION("""COMPUTED_VALUE"""),1.99)</f>
        <v>1.99</v>
      </c>
    </row>
    <row r="428">
      <c r="A428" s="4" t="str">
        <f>IFERROR(__xludf.DUMMYFUNCTION("""COMPUTED_VALUE"""),"0350B")</f>
        <v>0350B</v>
      </c>
      <c r="B428" s="4" t="str">
        <f>IFERROR(__xludf.DUMMYFUNCTION("""COMPUTED_VALUE"""),"Cartel PVC 64x32 Fotolum. Boca Incendios dcha")</f>
        <v>Cartel PVC 64x32 Fotolum. Boca Incendios dcha</v>
      </c>
      <c r="C428" s="4">
        <f>IFERROR(__xludf.DUMMYFUNCTION("""COMPUTED_VALUE"""),4.48)</f>
        <v>4.48</v>
      </c>
    </row>
    <row r="429">
      <c r="A429" s="4" t="str">
        <f>IFERROR(__xludf.DUMMYFUNCTION("""COMPUTED_VALUE"""),"0350C")</f>
        <v>0350C</v>
      </c>
      <c r="B429" s="4" t="str">
        <f>IFERROR(__xludf.DUMMYFUNCTION("""COMPUTED_VALUE"""),"Cartel PVC 96x48 Fotolum. Boca Incendios dcha")</f>
        <v>Cartel PVC 96x48 Fotolum. Boca Incendios dcha</v>
      </c>
      <c r="C429" s="4">
        <f>IFERROR(__xludf.DUMMYFUNCTION("""COMPUTED_VALUE"""),8.96)</f>
        <v>8.96</v>
      </c>
    </row>
    <row r="430">
      <c r="A430" s="4" t="str">
        <f>IFERROR(__xludf.DUMMYFUNCTION("""COMPUTED_VALUE"""),"351")</f>
        <v>351</v>
      </c>
      <c r="B430" s="4" t="str">
        <f>IFERROR(__xludf.DUMMYFUNCTION("""COMPUTED_VALUE"""),"Cartel PVC 21x30 Fotolum. Boca Incendios Izq.")</f>
        <v>Cartel PVC 21x30 Fotolum. Boca Incendios Izq.</v>
      </c>
      <c r="C430" s="4">
        <f>IFERROR(__xludf.DUMMYFUNCTION("""COMPUTED_VALUE"""),2.6)</f>
        <v>2.6</v>
      </c>
    </row>
    <row r="431">
      <c r="A431" s="4" t="str">
        <f>IFERROR(__xludf.DUMMYFUNCTION("""COMPUTED_VALUE"""),"0351A")</f>
        <v>0351A</v>
      </c>
      <c r="B431" s="4" t="str">
        <f>IFERROR(__xludf.DUMMYFUNCTION("""COMPUTED_VALUE"""),"Cartel PVC 32x16 Fotolum. Boca Incendios izq")</f>
        <v>Cartel PVC 32x16 Fotolum. Boca Incendios izq</v>
      </c>
      <c r="C431" s="4">
        <f>IFERROR(__xludf.DUMMYFUNCTION("""COMPUTED_VALUE"""),2.25)</f>
        <v>2.25</v>
      </c>
    </row>
    <row r="432">
      <c r="A432" s="4" t="str">
        <f>IFERROR(__xludf.DUMMYFUNCTION("""COMPUTED_VALUE"""),"0351B")</f>
        <v>0351B</v>
      </c>
      <c r="B432" s="4" t="str">
        <f>IFERROR(__xludf.DUMMYFUNCTION("""COMPUTED_VALUE"""),"Cartel PVC 64x32 Fotolum. Boca Incendios izq")</f>
        <v>Cartel PVC 64x32 Fotolum. Boca Incendios izq</v>
      </c>
      <c r="C432" s="4">
        <f>IFERROR(__xludf.DUMMYFUNCTION("""COMPUTED_VALUE"""),4.48)</f>
        <v>4.48</v>
      </c>
    </row>
    <row r="433">
      <c r="A433" s="4" t="str">
        <f>IFERROR(__xludf.DUMMYFUNCTION("""COMPUTED_VALUE"""),"0351C")</f>
        <v>0351C</v>
      </c>
      <c r="B433" s="4" t="str">
        <f>IFERROR(__xludf.DUMMYFUNCTION("""COMPUTED_VALUE"""),"Cartel PVC 96x48 Fotolum. Boca Incendios izq")</f>
        <v>Cartel PVC 96x48 Fotolum. Boca Incendios izq</v>
      </c>
      <c r="C433" s="4">
        <f>IFERROR(__xludf.DUMMYFUNCTION("""COMPUTED_VALUE"""),8.96)</f>
        <v>8.96</v>
      </c>
    </row>
    <row r="434">
      <c r="A434" s="4" t="str">
        <f>IFERROR(__xludf.DUMMYFUNCTION("""COMPUTED_VALUE"""),"352")</f>
        <v>352</v>
      </c>
      <c r="B434" s="4" t="str">
        <f>IFERROR(__xludf.DUMMYFUNCTION("""COMPUTED_VALUE"""),"Cartel PVC 21x21 Fotolum. Manguera")</f>
        <v>Cartel PVC 21x21 Fotolum. Manguera</v>
      </c>
      <c r="C434" s="4">
        <f>IFERROR(__xludf.DUMMYFUNCTION("""COMPUTED_VALUE"""),2.31)</f>
        <v>2.31</v>
      </c>
    </row>
    <row r="435">
      <c r="A435" s="4" t="str">
        <f>IFERROR(__xludf.DUMMYFUNCTION("""COMPUTED_VALUE"""),"353")</f>
        <v>353</v>
      </c>
      <c r="B435" s="4" t="str">
        <f>IFERROR(__xludf.DUMMYFUNCTION("""COMPUTED_VALUE"""),"Cartel PVC 21x21 Fotolum. Extintor")</f>
        <v>Cartel PVC 21x21 Fotolum. Extintor</v>
      </c>
      <c r="C435" s="4">
        <f>IFERROR(__xludf.DUMMYFUNCTION("""COMPUTED_VALUE"""),2.31)</f>
        <v>2.31</v>
      </c>
    </row>
    <row r="436">
      <c r="A436" s="4" t="str">
        <f>IFERROR(__xludf.DUMMYFUNCTION("""COMPUTED_VALUE"""),"0353A")</f>
        <v>0353A</v>
      </c>
      <c r="B436" s="4" t="str">
        <f>IFERROR(__xludf.DUMMYFUNCTION("""COMPUTED_VALUE"""),"Cartel PVC 21x21 Fotolum. Extintor")</f>
        <v>Cartel PVC 21x21 Fotolum. Extintor</v>
      </c>
      <c r="C436" s="4">
        <f>IFERROR(__xludf.DUMMYFUNCTION("""COMPUTED_VALUE"""),2.31)</f>
        <v>2.31</v>
      </c>
    </row>
    <row r="437">
      <c r="A437" s="4" t="str">
        <f>IFERROR(__xludf.DUMMYFUNCTION("""COMPUTED_VALUE"""),"0353B")</f>
        <v>0353B</v>
      </c>
      <c r="B437" s="4" t="str">
        <f>IFERROR(__xludf.DUMMYFUNCTION("""COMPUTED_VALUE"""),"Cartel PVC 42x42 Fotolum. Extintor")</f>
        <v>Cartel PVC 42x42 Fotolum. Extintor</v>
      </c>
      <c r="C437" s="4">
        <f>IFERROR(__xludf.DUMMYFUNCTION("""COMPUTED_VALUE"""),3.9)</f>
        <v>3.9</v>
      </c>
    </row>
    <row r="438">
      <c r="A438" s="4" t="str">
        <f>IFERROR(__xludf.DUMMYFUNCTION("""COMPUTED_VALUE"""),"0353C")</f>
        <v>0353C</v>
      </c>
      <c r="B438" s="4" t="str">
        <f>IFERROR(__xludf.DUMMYFUNCTION("""COMPUTED_VALUE"""),"Cartel PVC 63x63 Fotolum. Extintor")</f>
        <v>Cartel PVC 63x63 Fotolum. Extintor</v>
      </c>
      <c r="C438" s="4">
        <f>IFERROR(__xludf.DUMMYFUNCTION("""COMPUTED_VALUE"""),6.25)</f>
        <v>6.25</v>
      </c>
    </row>
    <row r="439">
      <c r="A439" s="4" t="str">
        <f>IFERROR(__xludf.DUMMYFUNCTION("""COMPUTED_VALUE"""),"354")</f>
        <v>354</v>
      </c>
      <c r="B439" s="4" t="str">
        <f>IFERROR(__xludf.DUMMYFUNCTION("""COMPUTED_VALUE"""),"Cartel PVC 21x15 Fotolum. Flecha Salida")</f>
        <v>Cartel PVC 21x15 Fotolum. Flecha Salida</v>
      </c>
      <c r="C439" s="4">
        <f>IFERROR(__xludf.DUMMYFUNCTION("""COMPUTED_VALUE"""),1.68)</f>
        <v>1.68</v>
      </c>
    </row>
    <row r="440">
      <c r="A440" s="4" t="str">
        <f>IFERROR(__xludf.DUMMYFUNCTION("""COMPUTED_VALUE"""),"0354A")</f>
        <v>0354A</v>
      </c>
      <c r="B440" s="4" t="str">
        <f>IFERROR(__xludf.DUMMYFUNCTION("""COMPUTED_VALUE"""),"Cartel PVC 21x21 Fotolum. Manguera contra incendios")</f>
        <v>Cartel PVC 21x21 Fotolum. Manguera contra incendios</v>
      </c>
      <c r="C440" s="4">
        <f>IFERROR(__xludf.DUMMYFUNCTION("""COMPUTED_VALUE"""),2.31)</f>
        <v>2.31</v>
      </c>
    </row>
    <row r="441">
      <c r="A441" s="4" t="str">
        <f>IFERROR(__xludf.DUMMYFUNCTION("""COMPUTED_VALUE"""),"0354B")</f>
        <v>0354B</v>
      </c>
      <c r="B441" s="4" t="str">
        <f>IFERROR(__xludf.DUMMYFUNCTION("""COMPUTED_VALUE"""),"Cartel PVC 42x42 Fotolum. Manguera contra incendios")</f>
        <v>Cartel PVC 42x42 Fotolum. Manguera contra incendios</v>
      </c>
      <c r="C441" s="4">
        <f>IFERROR(__xludf.DUMMYFUNCTION("""COMPUTED_VALUE"""),3.9)</f>
        <v>3.9</v>
      </c>
    </row>
    <row r="442">
      <c r="A442" s="4" t="str">
        <f>IFERROR(__xludf.DUMMYFUNCTION("""COMPUTED_VALUE"""),"0354C")</f>
        <v>0354C</v>
      </c>
      <c r="B442" s="4" t="str">
        <f>IFERROR(__xludf.DUMMYFUNCTION("""COMPUTED_VALUE"""),"Cartel PVC 63x63 Fotolum. Manguera contra incendios")</f>
        <v>Cartel PVC 63x63 Fotolum. Manguera contra incendios</v>
      </c>
      <c r="C442" s="4">
        <f>IFERROR(__xludf.DUMMYFUNCTION("""COMPUTED_VALUE"""),6.25)</f>
        <v>6.25</v>
      </c>
    </row>
    <row r="443">
      <c r="A443" s="4" t="str">
        <f>IFERROR(__xludf.DUMMYFUNCTION("""COMPUTED_VALUE"""),"355")</f>
        <v>355</v>
      </c>
      <c r="B443" s="4" t="str">
        <f>IFERROR(__xludf.DUMMYFUNCTION("""COMPUTED_VALUE"""),"Cartel PVC 21x30 Fotolum. Botiquin")</f>
        <v>Cartel PVC 21x30 Fotolum. Botiquin</v>
      </c>
      <c r="C443" s="4">
        <f>IFERROR(__xludf.DUMMYFUNCTION("""COMPUTED_VALUE"""),2.6)</f>
        <v>2.6</v>
      </c>
    </row>
    <row r="444">
      <c r="A444" s="4" t="str">
        <f>IFERROR(__xludf.DUMMYFUNCTION("""COMPUTED_VALUE"""),"0355A")</f>
        <v>0355A</v>
      </c>
      <c r="B444" s="4" t="str">
        <f>IFERROR(__xludf.DUMMYFUNCTION("""COMPUTED_VALUE"""),"Cartel PVC 21x30 Fotolum. Botiquín")</f>
        <v>Cartel PVC 21x30 Fotolum. Botiquín</v>
      </c>
      <c r="C444" s="4">
        <f>IFERROR(__xludf.DUMMYFUNCTION("""COMPUTED_VALUE"""),2.52)</f>
        <v>2.52</v>
      </c>
    </row>
    <row r="445">
      <c r="A445" s="4" t="str">
        <f>IFERROR(__xludf.DUMMYFUNCTION("""COMPUTED_VALUE"""),"0355B")</f>
        <v>0355B</v>
      </c>
      <c r="B445" s="4" t="str">
        <f>IFERROR(__xludf.DUMMYFUNCTION("""COMPUTED_VALUE"""),"Cartel PVC 40x30 Fotolum. Botiquín")</f>
        <v>Cartel PVC 40x30 Fotolum. Botiquín</v>
      </c>
      <c r="C445" s="4">
        <f>IFERROR(__xludf.DUMMYFUNCTION("""COMPUTED_VALUE"""),3.1)</f>
        <v>3.1</v>
      </c>
    </row>
    <row r="446">
      <c r="A446" s="4" t="str">
        <f>IFERROR(__xludf.DUMMYFUNCTION("""COMPUTED_VALUE"""),"356")</f>
        <v>356</v>
      </c>
      <c r="B446" s="4" t="str">
        <f>IFERROR(__xludf.DUMMYFUNCTION("""COMPUTED_VALUE"""),"Cartel PVC 21x30 Fotolum. Agua Potable")</f>
        <v>Cartel PVC 21x30 Fotolum. Agua Potable</v>
      </c>
      <c r="C446" s="4">
        <f>IFERROR(__xludf.DUMMYFUNCTION("""COMPUTED_VALUE"""),2.6)</f>
        <v>2.6</v>
      </c>
    </row>
    <row r="447">
      <c r="A447" s="4" t="str">
        <f>IFERROR(__xludf.DUMMYFUNCTION("""COMPUTED_VALUE"""),"0356A")</f>
        <v>0356A</v>
      </c>
      <c r="B447" s="4" t="str">
        <f>IFERROR(__xludf.DUMMYFUNCTION("""COMPUTED_VALUE"""),"Cartel PVC 21x30 Fotolum. Agua potable")</f>
        <v>Cartel PVC 21x30 Fotolum. Agua potable</v>
      </c>
      <c r="C447" s="4">
        <f>IFERROR(__xludf.DUMMYFUNCTION("""COMPUTED_VALUE"""),2.52)</f>
        <v>2.52</v>
      </c>
    </row>
    <row r="448">
      <c r="A448" s="4" t="str">
        <f>IFERROR(__xludf.DUMMYFUNCTION("""COMPUTED_VALUE"""),"0356B")</f>
        <v>0356B</v>
      </c>
      <c r="B448" s="4" t="str">
        <f>IFERROR(__xludf.DUMMYFUNCTION("""COMPUTED_VALUE"""),"Cartel PVC 40x30 Fotolum. Agua potable")</f>
        <v>Cartel PVC 40x30 Fotolum. Agua potable</v>
      </c>
      <c r="C448" s="4">
        <f>IFERROR(__xludf.DUMMYFUNCTION("""COMPUTED_VALUE"""),3.1)</f>
        <v>3.1</v>
      </c>
    </row>
    <row r="449">
      <c r="A449" s="4" t="str">
        <f>IFERROR(__xludf.DUMMYFUNCTION("""COMPUTED_VALUE"""),"357")</f>
        <v>357</v>
      </c>
      <c r="B449" s="4" t="str">
        <f>IFERROR(__xludf.DUMMYFUNCTION("""COMPUTED_VALUE"""),"Cartel PVC 21x30 Fotolum. Almacen")</f>
        <v>Cartel PVC 21x30 Fotolum. Almacen</v>
      </c>
      <c r="C449" s="4">
        <f>IFERROR(__xludf.DUMMYFUNCTION("""COMPUTED_VALUE"""),2.6)</f>
        <v>2.6</v>
      </c>
    </row>
    <row r="450">
      <c r="A450" s="4" t="str">
        <f>IFERROR(__xludf.DUMMYFUNCTION("""COMPUTED_VALUE"""),"0357A")</f>
        <v>0357A</v>
      </c>
      <c r="B450" s="4" t="str">
        <f>IFERROR(__xludf.DUMMYFUNCTION("""COMPUTED_VALUE"""),"Cartel PVC 21x30 Fotolum. Almacén")</f>
        <v>Cartel PVC 21x30 Fotolum. Almacén</v>
      </c>
      <c r="C450" s="4">
        <f>IFERROR(__xludf.DUMMYFUNCTION("""COMPUTED_VALUE"""),2.52)</f>
        <v>2.52</v>
      </c>
    </row>
    <row r="451">
      <c r="A451" s="4" t="str">
        <f>IFERROR(__xludf.DUMMYFUNCTION("""COMPUTED_VALUE"""),"0357B")</f>
        <v>0357B</v>
      </c>
      <c r="B451" s="4" t="str">
        <f>IFERROR(__xludf.DUMMYFUNCTION("""COMPUTED_VALUE"""),"Cartel PVC40x30 Fotolum. Almacén")</f>
        <v>Cartel PVC40x30 Fotolum. Almacén</v>
      </c>
      <c r="C451" s="4">
        <f>IFERROR(__xludf.DUMMYFUNCTION("""COMPUTED_VALUE"""),3.1)</f>
        <v>3.1</v>
      </c>
    </row>
    <row r="452">
      <c r="A452" s="4" t="str">
        <f>IFERROR(__xludf.DUMMYFUNCTION("""COMPUTED_VALUE"""),"358")</f>
        <v>358</v>
      </c>
      <c r="B452" s="4" t="str">
        <f>IFERROR(__xludf.DUMMYFUNCTION("""COMPUTED_VALUE"""),"Cartel PVC 21x30 Fotolum. Telefono Emergencia")</f>
        <v>Cartel PVC 21x30 Fotolum. Telefono Emergencia</v>
      </c>
      <c r="C452" s="4">
        <f>IFERROR(__xludf.DUMMYFUNCTION("""COMPUTED_VALUE"""),2.6)</f>
        <v>2.6</v>
      </c>
    </row>
    <row r="453">
      <c r="A453" s="4" t="str">
        <f>IFERROR(__xludf.DUMMYFUNCTION("""COMPUTED_VALUE"""),"0358A")</f>
        <v>0358A</v>
      </c>
      <c r="B453" s="4" t="str">
        <f>IFERROR(__xludf.DUMMYFUNCTION("""COMPUTED_VALUE"""),"Cartel PVC 21x30 Fotolum. Teléfono de emergencia")</f>
        <v>Cartel PVC 21x30 Fotolum. Teléfono de emergencia</v>
      </c>
      <c r="C453" s="4">
        <f>IFERROR(__xludf.DUMMYFUNCTION("""COMPUTED_VALUE"""),2.52)</f>
        <v>2.52</v>
      </c>
    </row>
    <row r="454">
      <c r="A454" s="4" t="str">
        <f>IFERROR(__xludf.DUMMYFUNCTION("""COMPUTED_VALUE"""),"0358B")</f>
        <v>0358B</v>
      </c>
      <c r="B454" s="4" t="str">
        <f>IFERROR(__xludf.DUMMYFUNCTION("""COMPUTED_VALUE"""),"Cartel PVC 40x30 Fotolum. Teléfono de emergencia")</f>
        <v>Cartel PVC 40x30 Fotolum. Teléfono de emergencia</v>
      </c>
      <c r="C454" s="4">
        <f>IFERROR(__xludf.DUMMYFUNCTION("""COMPUTED_VALUE"""),3.1)</f>
        <v>3.1</v>
      </c>
    </row>
    <row r="455">
      <c r="A455" s="4" t="str">
        <f>IFERROR(__xludf.DUMMYFUNCTION("""COMPUTED_VALUE"""),"359")</f>
        <v>359</v>
      </c>
      <c r="B455" s="4" t="str">
        <f>IFERROR(__xludf.DUMMYFUNCTION("""COMPUTED_VALUE"""),"Cartel PVC 21x30 Fotolum. Equipo Prim. Auxilios")</f>
        <v>Cartel PVC 21x30 Fotolum. Equipo Prim. Auxilios</v>
      </c>
      <c r="C455" s="4">
        <f>IFERROR(__xludf.DUMMYFUNCTION("""COMPUTED_VALUE"""),2.6)</f>
        <v>2.6</v>
      </c>
    </row>
    <row r="456">
      <c r="A456" s="4" t="str">
        <f>IFERROR(__xludf.DUMMYFUNCTION("""COMPUTED_VALUE"""),"0359A")</f>
        <v>0359A</v>
      </c>
      <c r="B456" s="4" t="str">
        <f>IFERROR(__xludf.DUMMYFUNCTION("""COMPUTED_VALUE"""),"Cartel PVC 21x30 Fotolum. Equipo primeros auxilios")</f>
        <v>Cartel PVC 21x30 Fotolum. Equipo primeros auxilios</v>
      </c>
      <c r="C456" s="4">
        <f>IFERROR(__xludf.DUMMYFUNCTION("""COMPUTED_VALUE"""),2.52)</f>
        <v>2.52</v>
      </c>
    </row>
    <row r="457">
      <c r="A457" s="4" t="str">
        <f>IFERROR(__xludf.DUMMYFUNCTION("""COMPUTED_VALUE"""),"0359B")</f>
        <v>0359B</v>
      </c>
      <c r="B457" s="4" t="str">
        <f>IFERROR(__xludf.DUMMYFUNCTION("""COMPUTED_VALUE"""),"Cartel PVC 40x30 Fotolum. Equipo primeros auxilios")</f>
        <v>Cartel PVC 40x30 Fotolum. Equipo primeros auxilios</v>
      </c>
      <c r="C457" s="4">
        <f>IFERROR(__xludf.DUMMYFUNCTION("""COMPUTED_VALUE"""),3.1)</f>
        <v>3.1</v>
      </c>
    </row>
    <row r="458">
      <c r="A458" s="4" t="str">
        <f>IFERROR(__xludf.DUMMYFUNCTION("""COMPUTED_VALUE"""),"360")</f>
        <v>360</v>
      </c>
      <c r="B458" s="4" t="str">
        <f>IFERROR(__xludf.DUMMYFUNCTION("""COMPUTED_VALUE"""),"Cartel PVC 40x30 Peatón cruce por la otra acera")</f>
        <v>Cartel PVC 40x30 Peatón cruce por la otra acera</v>
      </c>
      <c r="C458" s="4">
        <f>IFERROR(__xludf.DUMMYFUNCTION("""COMPUTED_VALUE"""),2.48)</f>
        <v>2.48</v>
      </c>
    </row>
    <row r="459">
      <c r="A459" s="4" t="str">
        <f>IFERROR(__xludf.DUMMYFUNCTION("""COMPUTED_VALUE"""),"361")</f>
        <v>361</v>
      </c>
      <c r="B459" s="4" t="str">
        <f>IFERROR(__xludf.DUMMYFUNCTION("""COMPUTED_VALUE"""),"Cartel PVC 40x30 Obras en ejecucion. Perdonen las molestias")</f>
        <v>Cartel PVC 40x30 Obras en ejecucion. Perdonen las molestias</v>
      </c>
      <c r="C459" s="4">
        <f>IFERROR(__xludf.DUMMYFUNCTION("""COMPUTED_VALUE"""),2.48)</f>
        <v>2.48</v>
      </c>
    </row>
    <row r="460">
      <c r="A460" s="4" t="str">
        <f>IFERROR(__xludf.DUMMYFUNCTION("""COMPUTED_VALUE"""),"362")</f>
        <v>362</v>
      </c>
      <c r="B460" s="4" t="str">
        <f>IFERROR(__xludf.DUMMYFUNCTION("""COMPUTED_VALUE"""),"Cartel PVC 21x30 Fotolum. Punto Reunion")</f>
        <v>Cartel PVC 21x30 Fotolum. Punto Reunion</v>
      </c>
      <c r="C460" s="4">
        <f>IFERROR(__xludf.DUMMYFUNCTION("""COMPUTED_VALUE"""),2.6)</f>
        <v>2.6</v>
      </c>
    </row>
    <row r="461">
      <c r="A461" s="4" t="str">
        <f>IFERROR(__xludf.DUMMYFUNCTION("""COMPUTED_VALUE"""),"0362A")</f>
        <v>0362A</v>
      </c>
      <c r="B461" s="4" t="str">
        <f>IFERROR(__xludf.DUMMYFUNCTION("""COMPUTED_VALUE"""),"Cartel PVC 21x30 Fotolum. Punto de Reunión")</f>
        <v>Cartel PVC 21x30 Fotolum. Punto de Reunión</v>
      </c>
      <c r="C461" s="4">
        <f>IFERROR(__xludf.DUMMYFUNCTION("""COMPUTED_VALUE"""),2.52)</f>
        <v>2.52</v>
      </c>
    </row>
    <row r="462">
      <c r="A462" s="4" t="str">
        <f>IFERROR(__xludf.DUMMYFUNCTION("""COMPUTED_VALUE"""),"0362B")</f>
        <v>0362B</v>
      </c>
      <c r="B462" s="4" t="str">
        <f>IFERROR(__xludf.DUMMYFUNCTION("""COMPUTED_VALUE"""),"Cartel PVC 40x30 Fotolum. Punto de reunión")</f>
        <v>Cartel PVC 40x30 Fotolum. Punto de reunión</v>
      </c>
      <c r="C462" s="4">
        <f>IFERROR(__xludf.DUMMYFUNCTION("""COMPUTED_VALUE"""),3.1)</f>
        <v>3.1</v>
      </c>
    </row>
    <row r="463">
      <c r="A463" s="4" t="str">
        <f>IFERROR(__xludf.DUMMYFUNCTION("""COMPUTED_VALUE"""),"363")</f>
        <v>363</v>
      </c>
      <c r="B463" s="4" t="str">
        <f>IFERROR(__xludf.DUMMYFUNCTION("""COMPUTED_VALUE"""),"Cartel PVC 40x30 Atencion salida de camiones")</f>
        <v>Cartel PVC 40x30 Atencion salida de camiones</v>
      </c>
      <c r="C463" s="4">
        <f>IFERROR(__xludf.DUMMYFUNCTION("""COMPUTED_VALUE"""),2.48)</f>
        <v>2.48</v>
      </c>
    </row>
    <row r="464">
      <c r="A464" s="4" t="str">
        <f>IFERROR(__xludf.DUMMYFUNCTION("""COMPUTED_VALUE"""),"364")</f>
        <v>364</v>
      </c>
      <c r="B464" s="4" t="str">
        <f>IFERROR(__xludf.DUMMYFUNCTION("""COMPUTED_VALUE"""),"Cartel PVC 21x30 Fotolum. Camilla de Socorro")</f>
        <v>Cartel PVC 21x30 Fotolum. Camilla de Socorro</v>
      </c>
      <c r="C464" s="4">
        <f>IFERROR(__xludf.DUMMYFUNCTION("""COMPUTED_VALUE"""),2.6)</f>
        <v>2.6</v>
      </c>
    </row>
    <row r="465">
      <c r="A465" s="4" t="str">
        <f>IFERROR(__xludf.DUMMYFUNCTION("""COMPUTED_VALUE"""),"0364A")</f>
        <v>0364A</v>
      </c>
      <c r="B465" s="4" t="str">
        <f>IFERROR(__xludf.DUMMYFUNCTION("""COMPUTED_VALUE"""),"Cartel PVC 21x30 Fotolum. Camilla de socorro")</f>
        <v>Cartel PVC 21x30 Fotolum. Camilla de socorro</v>
      </c>
      <c r="C465" s="4">
        <f>IFERROR(__xludf.DUMMYFUNCTION("""COMPUTED_VALUE"""),2.52)</f>
        <v>2.52</v>
      </c>
    </row>
    <row r="466">
      <c r="A466" s="4" t="str">
        <f>IFERROR(__xludf.DUMMYFUNCTION("""COMPUTED_VALUE"""),"0364B")</f>
        <v>0364B</v>
      </c>
      <c r="B466" s="4" t="str">
        <f>IFERROR(__xludf.DUMMYFUNCTION("""COMPUTED_VALUE"""),"Cartel PVC 40x30 Fotolum. Camilla de socorro")</f>
        <v>Cartel PVC 40x30 Fotolum. Camilla de socorro</v>
      </c>
      <c r="C466" s="4">
        <f>IFERROR(__xludf.DUMMYFUNCTION("""COMPUTED_VALUE"""),3.1)</f>
        <v>3.1</v>
      </c>
    </row>
    <row r="467">
      <c r="A467" s="4" t="str">
        <f>IFERROR(__xludf.DUMMYFUNCTION("""COMPUTED_VALUE"""),"365")</f>
        <v>365</v>
      </c>
      <c r="B467" s="4" t="str">
        <f>IFERROR(__xludf.DUMMYFUNCTION("""COMPUTED_VALUE"""),"Cartel PVC 21x30 Fotolum. Pulsar en caso de Emergencia")</f>
        <v>Cartel PVC 21x30 Fotolum. Pulsar en caso de Emergencia</v>
      </c>
      <c r="C467" s="4">
        <f>IFERROR(__xludf.DUMMYFUNCTION("""COMPUTED_VALUE"""),2.6)</f>
        <v>2.6</v>
      </c>
    </row>
    <row r="468">
      <c r="A468" s="4" t="str">
        <f>IFERROR(__xludf.DUMMYFUNCTION("""COMPUTED_VALUE"""),"366")</f>
        <v>366</v>
      </c>
      <c r="B468" s="4" t="str">
        <f>IFERROR(__xludf.DUMMYFUNCTION("""COMPUTED_VALUE"""),"Cartel PVC 21x30 Fotolum. Empujar barra para salir")</f>
        <v>Cartel PVC 21x30 Fotolum. Empujar barra para salir</v>
      </c>
      <c r="C468" s="4">
        <f>IFERROR(__xludf.DUMMYFUNCTION("""COMPUTED_VALUE"""),2.6)</f>
        <v>2.6</v>
      </c>
    </row>
    <row r="469">
      <c r="A469" s="4" t="str">
        <f>IFERROR(__xludf.DUMMYFUNCTION("""COMPUTED_VALUE"""),"0366A")</f>
        <v>0366A</v>
      </c>
      <c r="B469" s="4" t="str">
        <f>IFERROR(__xludf.DUMMYFUNCTION("""COMPUTED_VALUE"""),"Cartel PVC 21x30 Fotolum. Empujar barra para salir")</f>
        <v>Cartel PVC 21x30 Fotolum. Empujar barra para salir</v>
      </c>
      <c r="C469" s="4">
        <f>IFERROR(__xludf.DUMMYFUNCTION("""COMPUTED_VALUE"""),2.52)</f>
        <v>2.52</v>
      </c>
    </row>
    <row r="470">
      <c r="A470" s="4" t="str">
        <f>IFERROR(__xludf.DUMMYFUNCTION("""COMPUTED_VALUE"""),"0366B")</f>
        <v>0366B</v>
      </c>
      <c r="B470" s="4" t="str">
        <f>IFERROR(__xludf.DUMMYFUNCTION("""COMPUTED_VALUE"""),"Cartel PVC 40x30 Fotolum. Empujar barra para salir")</f>
        <v>Cartel PVC 40x30 Fotolum. Empujar barra para salir</v>
      </c>
      <c r="C470" s="4">
        <f>IFERROR(__xludf.DUMMYFUNCTION("""COMPUTED_VALUE"""),3.1)</f>
        <v>3.1</v>
      </c>
    </row>
    <row r="471">
      <c r="A471" s="4" t="str">
        <f>IFERROR(__xludf.DUMMYFUNCTION("""COMPUTED_VALUE"""),"367")</f>
        <v>367</v>
      </c>
      <c r="B471" s="4" t="str">
        <f>IFERROR(__xludf.DUMMYFUNCTION("""COMPUTED_VALUE"""),"Cartel PVC 21x30 Fotolum. Salida de Emergencia")</f>
        <v>Cartel PVC 21x30 Fotolum. Salida de Emergencia</v>
      </c>
      <c r="C471" s="4">
        <f>IFERROR(__xludf.DUMMYFUNCTION("""COMPUTED_VALUE"""),2.6)</f>
        <v>2.6</v>
      </c>
    </row>
    <row r="472">
      <c r="A472" s="4" t="str">
        <f>IFERROR(__xludf.DUMMYFUNCTION("""COMPUTED_VALUE"""),"0367A")</f>
        <v>0367A</v>
      </c>
      <c r="B472" s="4" t="str">
        <f>IFERROR(__xludf.DUMMYFUNCTION("""COMPUTED_VALUE"""),"Cartel PVC 32x16 Fotolum. Salida de emergenca")</f>
        <v>Cartel PVC 32x16 Fotolum. Salida de emergenca</v>
      </c>
      <c r="C472" s="4">
        <f>IFERROR(__xludf.DUMMYFUNCTION("""COMPUTED_VALUE"""),2.25)</f>
        <v>2.25</v>
      </c>
    </row>
    <row r="473">
      <c r="A473" s="4" t="str">
        <f>IFERROR(__xludf.DUMMYFUNCTION("""COMPUTED_VALUE"""),"0367AA")</f>
        <v>0367AA</v>
      </c>
      <c r="B473" s="4" t="str">
        <f>IFERROR(__xludf.DUMMYFUNCTION("""COMPUTED_VALUE"""),"Cartel PVC 21x21 Fotolum.Minusválidos")</f>
        <v>Cartel PVC 21x21 Fotolum.Minusválidos</v>
      </c>
      <c r="C473" s="4">
        <f>IFERROR(__xludf.DUMMYFUNCTION("""COMPUTED_VALUE"""),2.31)</f>
        <v>2.31</v>
      </c>
    </row>
    <row r="474">
      <c r="A474" s="4" t="str">
        <f>IFERROR(__xludf.DUMMYFUNCTION("""COMPUTED_VALUE"""),"0367BA")</f>
        <v>0367BA</v>
      </c>
      <c r="B474" s="4" t="str">
        <f>IFERROR(__xludf.DUMMYFUNCTION("""COMPUTED_VALUE"""),"Cartel PVC 42x42 Fotolum.Minusválidos")</f>
        <v>Cartel PVC 42x42 Fotolum.Minusválidos</v>
      </c>
      <c r="C474" s="4">
        <f>IFERROR(__xludf.DUMMYFUNCTION("""COMPUTED_VALUE"""),3.9)</f>
        <v>3.9</v>
      </c>
    </row>
    <row r="475">
      <c r="A475" s="4" t="str">
        <f>IFERROR(__xludf.DUMMYFUNCTION("""COMPUTED_VALUE"""),"0367CA")</f>
        <v>0367CA</v>
      </c>
      <c r="B475" s="4" t="str">
        <f>IFERROR(__xludf.DUMMYFUNCTION("""COMPUTED_VALUE"""),"Cartel PVC 63x63 Fotolum.Minusválidos")</f>
        <v>Cartel PVC 63x63 Fotolum.Minusválidos</v>
      </c>
      <c r="C475" s="4">
        <f>IFERROR(__xludf.DUMMYFUNCTION("""COMPUTED_VALUE"""),6.25)</f>
        <v>6.25</v>
      </c>
    </row>
    <row r="476">
      <c r="A476" s="4" t="str">
        <f>IFERROR(__xludf.DUMMYFUNCTION("""COMPUTED_VALUE"""),"368")</f>
        <v>368</v>
      </c>
      <c r="B476" s="4" t="str">
        <f>IFERROR(__xludf.DUMMYFUNCTION("""COMPUTED_VALUE"""),"Cartel PVC 21x29 AVISO POLICIA")</f>
        <v>Cartel PVC 21x29 AVISO POLICIA</v>
      </c>
      <c r="C476" s="4">
        <f>IFERROR(__xludf.DUMMYFUNCTION("""COMPUTED_VALUE"""),1.6)</f>
        <v>1.6</v>
      </c>
    </row>
    <row r="477">
      <c r="A477" s="4" t="str">
        <f>IFERROR(__xludf.DUMMYFUNCTION("""COMPUTED_VALUE"""),"369")</f>
        <v>369</v>
      </c>
      <c r="B477" s="4" t="str">
        <f>IFERROR(__xludf.DUMMYFUNCTION("""COMPUTED_VALUE"""),"Cartel PVC 21x29 Zona video vigilada")</f>
        <v>Cartel PVC 21x29 Zona video vigilada</v>
      </c>
      <c r="C477" s="4">
        <f>IFERROR(__xludf.DUMMYFUNCTION("""COMPUTED_VALUE"""),1.6)</f>
        <v>1.6</v>
      </c>
    </row>
    <row r="478">
      <c r="A478" s="4" t="str">
        <f>IFERROR(__xludf.DUMMYFUNCTION("""COMPUTED_VALUE"""),"370")</f>
        <v>370</v>
      </c>
      <c r="B478" s="4" t="str">
        <f>IFERROR(__xludf.DUMMYFUNCTION("""COMPUTED_VALUE"""),"Cartel PVC 40x30 Prohib. Beber y Comer")</f>
        <v>Cartel PVC 40x30 Prohib. Beber y Comer</v>
      </c>
      <c r="C478" s="4">
        <f>IFERROR(__xludf.DUMMYFUNCTION("""COMPUTED_VALUE"""),2.48)</f>
        <v>2.48</v>
      </c>
    </row>
    <row r="479">
      <c r="A479" s="4" t="str">
        <f>IFERROR(__xludf.DUMMYFUNCTION("""COMPUTED_VALUE"""),"0370P")</f>
        <v>0370P</v>
      </c>
      <c r="B479" s="4" t="str">
        <f>IFERROR(__xludf.DUMMYFUNCTION("""COMPUTED_VALUE"""),"Cartel PVC 21x29 PROHIBIDO BEBER Y COMER")</f>
        <v>Cartel PVC 21x29 PROHIBIDO BEBER Y COMER</v>
      </c>
      <c r="C479" s="4">
        <f>IFERROR(__xludf.DUMMYFUNCTION("""COMPUTED_VALUE"""),1.6)</f>
        <v>1.6</v>
      </c>
    </row>
    <row r="480">
      <c r="A480" s="4" t="str">
        <f>IFERROR(__xludf.DUMMYFUNCTION("""COMPUTED_VALUE"""),"371")</f>
        <v>371</v>
      </c>
      <c r="B480" s="4" t="str">
        <f>IFERROR(__xludf.DUMMYFUNCTION("""COMPUTED_VALUE"""),"Cartel PVC 40x30 Peligro Gases Compr.")</f>
        <v>Cartel PVC 40x30 Peligro Gases Compr.</v>
      </c>
      <c r="C480" s="4">
        <f>IFERROR(__xludf.DUMMYFUNCTION("""COMPUTED_VALUE"""),2.48)</f>
        <v>2.48</v>
      </c>
    </row>
    <row r="481">
      <c r="A481" s="4" t="str">
        <f>IFERROR(__xludf.DUMMYFUNCTION("""COMPUTED_VALUE"""),"0371P")</f>
        <v>0371P</v>
      </c>
      <c r="B481" s="4" t="str">
        <f>IFERROR(__xludf.DUMMYFUNCTION("""COMPUTED_VALUE"""),"Cartel PVC 21x29 PELIGRO GASES COMPRIMIDOS")</f>
        <v>Cartel PVC 21x29 PELIGRO GASES COMPRIMIDOS</v>
      </c>
      <c r="C481" s="4">
        <f>IFERROR(__xludf.DUMMYFUNCTION("""COMPUTED_VALUE"""),1.6)</f>
        <v>1.6</v>
      </c>
    </row>
    <row r="482">
      <c r="A482" s="4" t="str">
        <f>IFERROR(__xludf.DUMMYFUNCTION("""COMPUTED_VALUE"""),"372")</f>
        <v>372</v>
      </c>
      <c r="B482" s="4" t="str">
        <f>IFERROR(__xludf.DUMMYFUNCTION("""COMPUTED_VALUE"""),"Cartel PVC 40x30 Peligro Andamio Incom")</f>
        <v>Cartel PVC 40x30 Peligro Andamio Incom</v>
      </c>
      <c r="C482" s="4">
        <f>IFERROR(__xludf.DUMMYFUNCTION("""COMPUTED_VALUE"""),2.48)</f>
        <v>2.48</v>
      </c>
    </row>
    <row r="483">
      <c r="A483" s="4" t="str">
        <f>IFERROR(__xludf.DUMMYFUNCTION("""COMPUTED_VALUE"""),"0372P")</f>
        <v>0372P</v>
      </c>
      <c r="B483" s="4" t="str">
        <f>IFERROR(__xludf.DUMMYFUNCTION("""COMPUTED_VALUE"""),"Cartel PVC 21x29 PELIGRO ANDAMIAJE INCOMPLETO")</f>
        <v>Cartel PVC 21x29 PELIGRO ANDAMIAJE INCOMPLETO</v>
      </c>
      <c r="C483" s="4">
        <f>IFERROR(__xludf.DUMMYFUNCTION("""COMPUTED_VALUE"""),1.6)</f>
        <v>1.6</v>
      </c>
    </row>
    <row r="484">
      <c r="A484" s="4" t="str">
        <f>IFERROR(__xludf.DUMMYFUNCTION("""COMPUTED_VALUE"""),"373")</f>
        <v>373</v>
      </c>
      <c r="B484" s="4" t="str">
        <f>IFERROR(__xludf.DUMMYFUNCTION("""COMPUTED_VALUE"""),"Cartel PVC 40x30 Peligro Escalon")</f>
        <v>Cartel PVC 40x30 Peligro Escalon</v>
      </c>
      <c r="C484" s="4">
        <f>IFERROR(__xludf.DUMMYFUNCTION("""COMPUTED_VALUE"""),2.48)</f>
        <v>2.48</v>
      </c>
    </row>
    <row r="485">
      <c r="A485" s="4" t="str">
        <f>IFERROR(__xludf.DUMMYFUNCTION("""COMPUTED_VALUE"""),"0373P")</f>
        <v>0373P</v>
      </c>
      <c r="B485" s="4" t="str">
        <f>IFERROR(__xludf.DUMMYFUNCTION("""COMPUTED_VALUE"""),"Cartel PVC 21x29 PELIGRO CUIDADO CON ESCALON")</f>
        <v>Cartel PVC 21x29 PELIGRO CUIDADO CON ESCALON</v>
      </c>
      <c r="C485" s="4">
        <f>IFERROR(__xludf.DUMMYFUNCTION("""COMPUTED_VALUE"""),1.6)</f>
        <v>1.6</v>
      </c>
    </row>
    <row r="486">
      <c r="A486" s="4" t="str">
        <f>IFERROR(__xludf.DUMMYFUNCTION("""COMPUTED_VALUE"""),"374")</f>
        <v>374</v>
      </c>
      <c r="B486" s="4" t="str">
        <f>IFERROR(__xludf.DUMMYFUNCTION("""COMPUTED_VALUE"""),"Cartel PVC 40x30 Prohibido el Paso")</f>
        <v>Cartel PVC 40x30 Prohibido el Paso</v>
      </c>
      <c r="C486" s="4">
        <f>IFERROR(__xludf.DUMMYFUNCTION("""COMPUTED_VALUE"""),2.48)</f>
        <v>2.48</v>
      </c>
    </row>
    <row r="487">
      <c r="A487" s="4" t="str">
        <f>IFERROR(__xludf.DUMMYFUNCTION("""COMPUTED_VALUE"""),"0374P")</f>
        <v>0374P</v>
      </c>
      <c r="B487" s="4" t="str">
        <f>IFERROR(__xludf.DUMMYFUNCTION("""COMPUTED_VALUE"""),"Cartel PVC 21x29 PROHIBIDO EL PASO")</f>
        <v>Cartel PVC 21x29 PROHIBIDO EL PASO</v>
      </c>
      <c r="C487" s="4">
        <f>IFERROR(__xludf.DUMMYFUNCTION("""COMPUTED_VALUE"""),1.6)</f>
        <v>1.6</v>
      </c>
    </row>
    <row r="488">
      <c r="A488" s="4" t="str">
        <f>IFERROR(__xludf.DUMMYFUNCTION("""COMPUTED_VALUE"""),"375")</f>
        <v>375</v>
      </c>
      <c r="B488" s="4" t="str">
        <f>IFERROR(__xludf.DUMMYFUNCTION("""COMPUTED_VALUE"""),"Cartel PVC 40x30 Peligro de Incendio")</f>
        <v>Cartel PVC 40x30 Peligro de Incendio</v>
      </c>
      <c r="C488" s="4">
        <f>IFERROR(__xludf.DUMMYFUNCTION("""COMPUTED_VALUE"""),2.48)</f>
        <v>2.48</v>
      </c>
    </row>
    <row r="489">
      <c r="A489" s="4" t="str">
        <f>IFERROR(__xludf.DUMMYFUNCTION("""COMPUTED_VALUE"""),"0375P")</f>
        <v>0375P</v>
      </c>
      <c r="B489" s="4" t="str">
        <f>IFERROR(__xludf.DUMMYFUNCTION("""COMPUTED_VALUE"""),"Cartel PVC 21x29 PELIGRO DE INCENDIO")</f>
        <v>Cartel PVC 21x29 PELIGRO DE INCENDIO</v>
      </c>
      <c r="C489" s="4">
        <f>IFERROR(__xludf.DUMMYFUNCTION("""COMPUTED_VALUE"""),1.6)</f>
        <v>1.6</v>
      </c>
    </row>
    <row r="490">
      <c r="A490" s="4" t="str">
        <f>IFERROR(__xludf.DUMMYFUNCTION("""COMPUTED_VALUE"""),"376")</f>
        <v>376</v>
      </c>
      <c r="B490" s="4" t="str">
        <f>IFERROR(__xludf.DUMMYFUNCTION("""COMPUTED_VALUE"""),"Cartel PVC 40x30 Peligro Zona de Obras")</f>
        <v>Cartel PVC 40x30 Peligro Zona de Obras</v>
      </c>
      <c r="C490" s="4">
        <f>IFERROR(__xludf.DUMMYFUNCTION("""COMPUTED_VALUE"""),2.48)</f>
        <v>2.48</v>
      </c>
    </row>
    <row r="491">
      <c r="A491" s="4" t="str">
        <f>IFERROR(__xludf.DUMMYFUNCTION("""COMPUTED_VALUE"""),"0376P")</f>
        <v>0376P</v>
      </c>
      <c r="B491" s="4" t="str">
        <f>IFERROR(__xludf.DUMMYFUNCTION("""COMPUTED_VALUE"""),"Cartel PVC 21x29 PELIGRO ZONA DE OBRAS")</f>
        <v>Cartel PVC 21x29 PELIGRO ZONA DE OBRAS</v>
      </c>
      <c r="C491" s="4">
        <f>IFERROR(__xludf.DUMMYFUNCTION("""COMPUTED_VALUE"""),1.6)</f>
        <v>1.6</v>
      </c>
    </row>
    <row r="492">
      <c r="A492" s="4" t="str">
        <f>IFERROR(__xludf.DUMMYFUNCTION("""COMPUTED_VALUE"""),"377")</f>
        <v>377</v>
      </c>
      <c r="B492" s="4" t="str">
        <f>IFERROR(__xludf.DUMMYFUNCTION("""COMPUTED_VALUE"""),"Cartel PVC 40x30 Uso de minusvalidos")</f>
        <v>Cartel PVC 40x30 Uso de minusvalidos</v>
      </c>
      <c r="C492" s="4">
        <f>IFERROR(__xludf.DUMMYFUNCTION("""COMPUTED_VALUE"""),2.48)</f>
        <v>2.48</v>
      </c>
    </row>
    <row r="493">
      <c r="A493" s="4" t="str">
        <f>IFERROR(__xludf.DUMMYFUNCTION("""COMPUTED_VALUE"""),"0377P")</f>
        <v>0377P</v>
      </c>
      <c r="B493" s="4" t="str">
        <f>IFERROR(__xludf.DUMMYFUNCTION("""COMPUTED_VALUE"""),"Cartel PVC 21x29 USO DE MINUSVALIDOS")</f>
        <v>Cartel PVC 21x29 USO DE MINUSVALIDOS</v>
      </c>
      <c r="C493" s="4">
        <f>IFERROR(__xludf.DUMMYFUNCTION("""COMPUTED_VALUE"""),1.6)</f>
        <v>1.6</v>
      </c>
    </row>
    <row r="494">
      <c r="A494" s="4" t="str">
        <f>IFERROR(__xludf.DUMMYFUNCTION("""COMPUTED_VALUE"""),"378")</f>
        <v>378</v>
      </c>
      <c r="B494" s="4" t="str">
        <f>IFERROR(__xludf.DUMMYFUNCTION("""COMPUTED_VALUE"""),"Cartel PVC 40x30 Direccion obligatoria derecha")</f>
        <v>Cartel PVC 40x30 Direccion obligatoria derecha</v>
      </c>
      <c r="C494" s="4">
        <f>IFERROR(__xludf.DUMMYFUNCTION("""COMPUTED_VALUE"""),2.48)</f>
        <v>2.48</v>
      </c>
    </row>
    <row r="495">
      <c r="A495" s="4" t="str">
        <f>IFERROR(__xludf.DUMMYFUNCTION("""COMPUTED_VALUE"""),"0378P")</f>
        <v>0378P</v>
      </c>
      <c r="B495" s="4" t="str">
        <f>IFERROR(__xludf.DUMMYFUNCTION("""COMPUTED_VALUE"""),"Cartel PVC 21x29 DIRECCION OBLIGATORIA DERECHA")</f>
        <v>Cartel PVC 21x29 DIRECCION OBLIGATORIA DERECHA</v>
      </c>
      <c r="C495" s="4">
        <f>IFERROR(__xludf.DUMMYFUNCTION("""COMPUTED_VALUE"""),1.6)</f>
        <v>1.6</v>
      </c>
    </row>
    <row r="496">
      <c r="A496" s="4" t="str">
        <f>IFERROR(__xludf.DUMMYFUNCTION("""COMPUTED_VALUE"""),"379")</f>
        <v>379</v>
      </c>
      <c r="B496" s="4" t="str">
        <f>IFERROR(__xludf.DUMMYFUNCTION("""COMPUTED_VALUE"""),"Cartel PVC 40x30 Direccion obligatoria izquierda")</f>
        <v>Cartel PVC 40x30 Direccion obligatoria izquierda</v>
      </c>
      <c r="C496" s="4">
        <f>IFERROR(__xludf.DUMMYFUNCTION("""COMPUTED_VALUE"""),2.48)</f>
        <v>2.48</v>
      </c>
    </row>
    <row r="497">
      <c r="A497" s="4" t="str">
        <f>IFERROR(__xludf.DUMMYFUNCTION("""COMPUTED_VALUE"""),"0379P")</f>
        <v>0379P</v>
      </c>
      <c r="B497" s="4" t="str">
        <f>IFERROR(__xludf.DUMMYFUNCTION("""COMPUTED_VALUE"""),"Cartel PVC 21x29 DIRECCION OBLIGATORIA IZQUIERDA")</f>
        <v>Cartel PVC 21x29 DIRECCION OBLIGATORIA IZQUIERDA</v>
      </c>
      <c r="C497" s="4">
        <f>IFERROR(__xludf.DUMMYFUNCTION("""COMPUTED_VALUE"""),1.6)</f>
        <v>1.6</v>
      </c>
    </row>
    <row r="498">
      <c r="A498" s="4" t="str">
        <f>IFERROR(__xludf.DUMMYFUNCTION("""COMPUTED_VALUE"""),"380")</f>
        <v>380</v>
      </c>
      <c r="B498" s="4" t="str">
        <f>IFERROR(__xludf.DUMMYFUNCTION("""COMPUTED_VALUE"""),"Cartel PVC 40x30 Es obligatorio el uso de Mandil")</f>
        <v>Cartel PVC 40x30 Es obligatorio el uso de Mandil</v>
      </c>
      <c r="C498" s="4">
        <f>IFERROR(__xludf.DUMMYFUNCTION("""COMPUTED_VALUE"""),2.48)</f>
        <v>2.48</v>
      </c>
    </row>
    <row r="499">
      <c r="A499" s="4" t="str">
        <f>IFERROR(__xludf.DUMMYFUNCTION("""COMPUTED_VALUE"""),"0380P")</f>
        <v>0380P</v>
      </c>
      <c r="B499" s="4" t="str">
        <f>IFERROR(__xludf.DUMMYFUNCTION("""COMPUTED_VALUE"""),"Cartel PVC 21x29 OBLIGATORIO EL USO DE MANDIL")</f>
        <v>Cartel PVC 21x29 OBLIGATORIO EL USO DE MANDIL</v>
      </c>
      <c r="C499" s="4">
        <f>IFERROR(__xludf.DUMMYFUNCTION("""COMPUTED_VALUE"""),1.6)</f>
        <v>1.6</v>
      </c>
    </row>
    <row r="500">
      <c r="A500" s="4" t="str">
        <f>IFERROR(__xludf.DUMMYFUNCTION("""COMPUTED_VALUE"""),"381")</f>
        <v>381</v>
      </c>
      <c r="B500" s="4" t="str">
        <f>IFERROR(__xludf.DUMMYFUNCTION("""COMPUTED_VALUE"""),"Cartel PVC 40x30 Estrechamiento de calzada")</f>
        <v>Cartel PVC 40x30 Estrechamiento de calzada</v>
      </c>
      <c r="C500" s="4">
        <f>IFERROR(__xludf.DUMMYFUNCTION("""COMPUTED_VALUE"""),2.48)</f>
        <v>2.48</v>
      </c>
    </row>
    <row r="501">
      <c r="A501" s="4" t="str">
        <f>IFERROR(__xludf.DUMMYFUNCTION("""COMPUTED_VALUE"""),"0381P")</f>
        <v>0381P</v>
      </c>
      <c r="B501" s="4" t="str">
        <f>IFERROR(__xludf.DUMMYFUNCTION("""COMPUTED_VALUE"""),"Cartel PVC 21x29 ESTRECHAMIENTO CALZADA CENTRAL")</f>
        <v>Cartel PVC 21x29 ESTRECHAMIENTO CALZADA CENTRAL</v>
      </c>
      <c r="C501" s="4">
        <f>IFERROR(__xludf.DUMMYFUNCTION("""COMPUTED_VALUE"""),1.6)</f>
        <v>1.6</v>
      </c>
    </row>
    <row r="502">
      <c r="A502" s="4" t="str">
        <f>IFERROR(__xludf.DUMMYFUNCTION("""COMPUTED_VALUE"""),"382")</f>
        <v>382</v>
      </c>
      <c r="B502" s="4" t="str">
        <f>IFERROR(__xludf.DUMMYFUNCTION("""COMPUTED_VALUE"""),"Cartel PVC 40x30 Estrechamiento calzada por la derecha")</f>
        <v>Cartel PVC 40x30 Estrechamiento calzada por la derecha</v>
      </c>
      <c r="C502" s="4">
        <f>IFERROR(__xludf.DUMMYFUNCTION("""COMPUTED_VALUE"""),2.48)</f>
        <v>2.48</v>
      </c>
    </row>
    <row r="503">
      <c r="A503" s="4" t="str">
        <f>IFERROR(__xludf.DUMMYFUNCTION("""COMPUTED_VALUE"""),"0382P")</f>
        <v>0382P</v>
      </c>
      <c r="B503" s="4" t="str">
        <f>IFERROR(__xludf.DUMMYFUNCTION("""COMPUTED_VALUE"""),"Cartel PVC 21x29 ESTRECHAMIENTO CALZADA POR DCHA")</f>
        <v>Cartel PVC 21x29 ESTRECHAMIENTO CALZADA POR DCHA</v>
      </c>
      <c r="C503" s="4">
        <f>IFERROR(__xludf.DUMMYFUNCTION("""COMPUTED_VALUE"""),1.6)</f>
        <v>1.6</v>
      </c>
    </row>
    <row r="504">
      <c r="A504" s="4" t="str">
        <f>IFERROR(__xludf.DUMMYFUNCTION("""COMPUTED_VALUE"""),"383")</f>
        <v>383</v>
      </c>
      <c r="B504" s="4" t="str">
        <f>IFERROR(__xludf.DUMMYFUNCTION("""COMPUTED_VALUE"""),"Cartel PVC 40x30 Estrechamiento calzada por la izq.")</f>
        <v>Cartel PVC 40x30 Estrechamiento calzada por la izq.</v>
      </c>
      <c r="C504" s="4">
        <f>IFERROR(__xludf.DUMMYFUNCTION("""COMPUTED_VALUE"""),2.48)</f>
        <v>2.48</v>
      </c>
    </row>
    <row r="505">
      <c r="A505" s="4" t="str">
        <f>IFERROR(__xludf.DUMMYFUNCTION("""COMPUTED_VALUE"""),"0383P")</f>
        <v>0383P</v>
      </c>
      <c r="B505" s="4" t="str">
        <f>IFERROR(__xludf.DUMMYFUNCTION("""COMPUTED_VALUE"""),"Cartel PVC 21x29 ESTRECHAMIENTO CALZADA POR IZQ.")</f>
        <v>Cartel PVC 21x29 ESTRECHAMIENTO CALZADA POR IZQ.</v>
      </c>
      <c r="C505" s="4">
        <f>IFERROR(__xludf.DUMMYFUNCTION("""COMPUTED_VALUE"""),1.6)</f>
        <v>1.6</v>
      </c>
    </row>
    <row r="506">
      <c r="A506" s="4" t="str">
        <f>IFERROR(__xludf.DUMMYFUNCTION("""COMPUTED_VALUE"""),"384")</f>
        <v>384</v>
      </c>
      <c r="B506" s="4" t="str">
        <f>IFERROR(__xludf.DUMMYFUNCTION("""COMPUTED_VALUE"""),"Cartel PVC 40x30 Peligro cable suspendido")</f>
        <v>Cartel PVC 40x30 Peligro cable suspendido</v>
      </c>
      <c r="C506" s="4">
        <f>IFERROR(__xludf.DUMMYFUNCTION("""COMPUTED_VALUE"""),2.48)</f>
        <v>2.48</v>
      </c>
    </row>
    <row r="507">
      <c r="A507" s="4" t="str">
        <f>IFERROR(__xludf.DUMMYFUNCTION("""COMPUTED_VALUE"""),"0384P")</f>
        <v>0384P</v>
      </c>
      <c r="B507" s="4" t="str">
        <f>IFERROR(__xludf.DUMMYFUNCTION("""COMPUTED_VALUE"""),"Cartel PVC 21x29 PELIGRO CABLE SUSPENDIDO")</f>
        <v>Cartel PVC 21x29 PELIGRO CABLE SUSPENDIDO</v>
      </c>
      <c r="C507" s="4">
        <f>IFERROR(__xludf.DUMMYFUNCTION("""COMPUTED_VALUE"""),1.6)</f>
        <v>1.6</v>
      </c>
    </row>
    <row r="508">
      <c r="A508" s="4" t="str">
        <f>IFERROR(__xludf.DUMMYFUNCTION("""COMPUTED_VALUE"""),"385")</f>
        <v>385</v>
      </c>
      <c r="B508" s="4" t="str">
        <f>IFERROR(__xludf.DUMMYFUNCTION("""COMPUTED_VALUE"""),"Cartel PVC 40x30 Caida al mismo nivel")</f>
        <v>Cartel PVC 40x30 Caida al mismo nivel</v>
      </c>
      <c r="C508" s="4">
        <f>IFERROR(__xludf.DUMMYFUNCTION("""COMPUTED_VALUE"""),2.48)</f>
        <v>2.48</v>
      </c>
    </row>
    <row r="509">
      <c r="A509" s="4" t="str">
        <f>IFERROR(__xludf.DUMMYFUNCTION("""COMPUTED_VALUE"""),"0385P")</f>
        <v>0385P</v>
      </c>
      <c r="B509" s="4" t="str">
        <f>IFERROR(__xludf.DUMMYFUNCTION("""COMPUTED_VALUE"""),"Cartel PVC 21x29 CAIDA AL MISMO NIVEL")</f>
        <v>Cartel PVC 21x29 CAIDA AL MISMO NIVEL</v>
      </c>
      <c r="C509" s="4">
        <f>IFERROR(__xludf.DUMMYFUNCTION("""COMPUTED_VALUE"""),1.6)</f>
        <v>1.6</v>
      </c>
    </row>
    <row r="510">
      <c r="A510" s="4" t="str">
        <f>IFERROR(__xludf.DUMMYFUNCTION("""COMPUTED_VALUE"""),"386")</f>
        <v>386</v>
      </c>
      <c r="B510" s="4" t="str">
        <f>IFERROR(__xludf.DUMMYFUNCTION("""COMPUTED_VALUE"""),"Cartel PVC 40x30 Peligro Amianto")</f>
        <v>Cartel PVC 40x30 Peligro Amianto</v>
      </c>
      <c r="C510" s="4">
        <f>IFERROR(__xludf.DUMMYFUNCTION("""COMPUTED_VALUE"""),2.48)</f>
        <v>2.48</v>
      </c>
    </row>
    <row r="511">
      <c r="A511" s="4" t="str">
        <f>IFERROR(__xludf.DUMMYFUNCTION("""COMPUTED_VALUE"""),"0386P")</f>
        <v>0386P</v>
      </c>
      <c r="B511" s="4" t="str">
        <f>IFERROR(__xludf.DUMMYFUNCTION("""COMPUTED_VALUE"""),"Cartel PVC 21x29 PELIGRO AMIANTO")</f>
        <v>Cartel PVC 21x29 PELIGRO AMIANTO</v>
      </c>
      <c r="C511" s="4">
        <f>IFERROR(__xludf.DUMMYFUNCTION("""COMPUTED_VALUE"""),1.6)</f>
        <v>1.6</v>
      </c>
    </row>
    <row r="512">
      <c r="A512" s="4" t="str">
        <f>IFERROR(__xludf.DUMMYFUNCTION("""COMPUTED_VALUE"""),"387")</f>
        <v>387</v>
      </c>
      <c r="B512" s="4" t="str">
        <f>IFERROR(__xludf.DUMMYFUNCTION("""COMPUTED_VALUE"""),"Cartel PVC 40x30 Uso obligatorio de luces de cruce")</f>
        <v>Cartel PVC 40x30 Uso obligatorio de luces de cruce</v>
      </c>
      <c r="C512" s="4">
        <f>IFERROR(__xludf.DUMMYFUNCTION("""COMPUTED_VALUE"""),2.48)</f>
        <v>2.48</v>
      </c>
    </row>
    <row r="513">
      <c r="A513" s="4" t="str">
        <f>IFERROR(__xludf.DUMMYFUNCTION("""COMPUTED_VALUE"""),"0387P")</f>
        <v>0387P</v>
      </c>
      <c r="B513" s="4" t="str">
        <f>IFERROR(__xludf.DUMMYFUNCTION("""COMPUTED_VALUE"""),"Cartel PVC 21X29 OBLIGATORIO USO DE LUCES DE")</f>
        <v>Cartel PVC 21X29 OBLIGATORIO USO DE LUCES DE</v>
      </c>
      <c r="C513" s="4">
        <f>IFERROR(__xludf.DUMMYFUNCTION("""COMPUTED_VALUE"""),1.6)</f>
        <v>1.6</v>
      </c>
    </row>
    <row r="514">
      <c r="A514" s="4" t="str">
        <f>IFERROR(__xludf.DUMMYFUNCTION("""COMPUTED_VALUE"""),"388")</f>
        <v>388</v>
      </c>
      <c r="B514" s="4" t="str">
        <f>IFERROR(__xludf.DUMMYFUNCTION("""COMPUTED_VALUE"""),"Cartel PVC 40x30 Uso obligatorio de chaleco alta visibilidad")</f>
        <v>Cartel PVC 40x30 Uso obligatorio de chaleco alta visibilidad</v>
      </c>
      <c r="C514" s="4">
        <f>IFERROR(__xludf.DUMMYFUNCTION("""COMPUTED_VALUE"""),2.48)</f>
        <v>2.48</v>
      </c>
    </row>
    <row r="515">
      <c r="A515" s="4" t="str">
        <f>IFERROR(__xludf.DUMMYFUNCTION("""COMPUTED_VALUE"""),"0388P")</f>
        <v>0388P</v>
      </c>
      <c r="B515" s="4" t="str">
        <f>IFERROR(__xludf.DUMMYFUNCTION("""COMPUTED_VALUE"""),"Cartel PVC 21x29 OBLIGATORIO EL USO CHALECO ALTA")</f>
        <v>Cartel PVC 21x29 OBLIGATORIO EL USO CHALECO ALTA</v>
      </c>
      <c r="C515" s="4">
        <f>IFERROR(__xludf.DUMMYFUNCTION("""COMPUTED_VALUE"""),1.6)</f>
        <v>1.6</v>
      </c>
    </row>
    <row r="516">
      <c r="A516" s="4" t="str">
        <f>IFERROR(__xludf.DUMMYFUNCTION("""COMPUTED_VALUE"""),"389")</f>
        <v>389</v>
      </c>
      <c r="B516" s="4" t="str">
        <f>IFERROR(__xludf.DUMMYFUNCTION("""COMPUTED_VALUE"""),"Cartel 50x70 cm c/ojales CALLE CORTADA POR OBRAS (o")</f>
        <v>Cartel 50x70 cm c/ojales CALLE CORTADA POR OBRAS (o</v>
      </c>
      <c r="C516" s="4">
        <f>IFERROR(__xludf.DUMMYFUNCTION("""COMPUTED_VALUE"""),9.97)</f>
        <v>9.97</v>
      </c>
    </row>
    <row r="517">
      <c r="A517" s="4" t="str">
        <f>IFERROR(__xludf.DUMMYFUNCTION("""COMPUTED_VALUE"""),"390")</f>
        <v>390</v>
      </c>
      <c r="B517" s="4" t="str">
        <f>IFERROR(__xludf.DUMMYFUNCTION("""COMPUTED_VALUE"""),"Cartel PVC 50x70 Combinado")</f>
        <v>Cartel PVC 50x70 Combinado</v>
      </c>
      <c r="C517" s="4">
        <f>IFERROR(__xludf.DUMMYFUNCTION("""COMPUTED_VALUE"""),5.45)</f>
        <v>5.45</v>
      </c>
    </row>
    <row r="518">
      <c r="A518" s="4" t="str">
        <f>IFERROR(__xludf.DUMMYFUNCTION("""COMPUTED_VALUE"""),"0390PA")</f>
        <v>0390PA</v>
      </c>
      <c r="B518" s="4" t="str">
        <f>IFERROR(__xludf.DUMMYFUNCTION("""COMPUTED_VALUE"""),"Cartel Poliet. 50x70 PROHIBIDO APARCAR CON HORARIO")</f>
        <v>Cartel Poliet. 50x70 PROHIBIDO APARCAR CON HORARIO</v>
      </c>
      <c r="C518" s="4">
        <f>IFERROR(__xludf.DUMMYFUNCTION("""COMPUTED_VALUE"""),7.0)</f>
        <v>7</v>
      </c>
    </row>
    <row r="519">
      <c r="A519" s="4" t="str">
        <f>IFERROR(__xludf.DUMMYFUNCTION("""COMPUTED_VALUE"""),"391")</f>
        <v>391</v>
      </c>
      <c r="B519" s="4" t="str">
        <f>IFERROR(__xludf.DUMMYFUNCTION("""COMPUTED_VALUE"""),"Señal PVC suelo plegable")</f>
        <v>Señal PVC suelo plegable</v>
      </c>
      <c r="C519" s="4">
        <f>IFERROR(__xludf.DUMMYFUNCTION("""COMPUTED_VALUE"""),5.95)</f>
        <v>5.95</v>
      </c>
    </row>
    <row r="520">
      <c r="A520" s="4" t="str">
        <f>IFERROR(__xludf.DUMMYFUNCTION("""COMPUTED_VALUE"""),"0391P")</f>
        <v>0391P</v>
      </c>
      <c r="B520" s="4" t="str">
        <f>IFERROR(__xludf.DUMMYFUNCTION("""COMPUTED_VALUE"""),"Caballete plegable amarillo señalizacion personalizado")</f>
        <v>Caballete plegable amarillo señalizacion personalizado</v>
      </c>
      <c r="C520" s="4">
        <f>IFERROR(__xludf.DUMMYFUNCTION("""COMPUTED_VALUE"""),9.0)</f>
        <v>9</v>
      </c>
    </row>
    <row r="521">
      <c r="A521" s="4" t="str">
        <f>IFERROR(__xludf.DUMMYFUNCTION("""COMPUTED_VALUE"""),"392")</f>
        <v>392</v>
      </c>
      <c r="B521" s="4" t="str">
        <f>IFERROR(__xludf.DUMMYFUNCTION("""COMPUTED_VALUE"""),"Cartel PVC 40x30 Limite vel. 10")</f>
        <v>Cartel PVC 40x30 Limite vel. 10</v>
      </c>
      <c r="C521" s="4">
        <f>IFERROR(__xludf.DUMMYFUNCTION("""COMPUTED_VALUE"""),2.48)</f>
        <v>2.48</v>
      </c>
    </row>
    <row r="522">
      <c r="A522" s="4" t="str">
        <f>IFERROR(__xludf.DUMMYFUNCTION("""COMPUTED_VALUE"""),"0392P")</f>
        <v>0392P</v>
      </c>
      <c r="B522" s="4" t="str">
        <f>IFERROR(__xludf.DUMMYFUNCTION("""COMPUTED_VALUE"""),"Cartel PVC 21x29 VELOCIDAD MAXIMA 10")</f>
        <v>Cartel PVC 21x29 VELOCIDAD MAXIMA 10</v>
      </c>
      <c r="C522" s="4">
        <f>IFERROR(__xludf.DUMMYFUNCTION("""COMPUTED_VALUE"""),1.6)</f>
        <v>1.6</v>
      </c>
    </row>
    <row r="523">
      <c r="A523" s="4" t="str">
        <f>IFERROR(__xludf.DUMMYFUNCTION("""COMPUTED_VALUE"""),"393")</f>
        <v>393</v>
      </c>
      <c r="B523" s="4" t="str">
        <f>IFERROR(__xludf.DUMMYFUNCTION("""COMPUTED_VALUE"""),"Cartel PVC 40x30 Limite vel. 20")</f>
        <v>Cartel PVC 40x30 Limite vel. 20</v>
      </c>
      <c r="C523" s="4">
        <f>IFERROR(__xludf.DUMMYFUNCTION("""COMPUTED_VALUE"""),2.48)</f>
        <v>2.48</v>
      </c>
    </row>
    <row r="524">
      <c r="A524" s="4" t="str">
        <f>IFERROR(__xludf.DUMMYFUNCTION("""COMPUTED_VALUE"""),"0393P")</f>
        <v>0393P</v>
      </c>
      <c r="B524" s="4" t="str">
        <f>IFERROR(__xludf.DUMMYFUNCTION("""COMPUTED_VALUE"""),"Cartel PVC 21x29 VELOCIDAD MAXIMA 20")</f>
        <v>Cartel PVC 21x29 VELOCIDAD MAXIMA 20</v>
      </c>
      <c r="C524" s="4">
        <f>IFERROR(__xludf.DUMMYFUNCTION("""COMPUTED_VALUE"""),1.6)</f>
        <v>1.6</v>
      </c>
    </row>
    <row r="525">
      <c r="A525" s="4" t="str">
        <f>IFERROR(__xludf.DUMMYFUNCTION("""COMPUTED_VALUE"""),"394")</f>
        <v>394</v>
      </c>
      <c r="B525" s="4" t="str">
        <f>IFERROR(__xludf.DUMMYFUNCTION("""COMPUTED_VALUE"""),"Cartel PVC 40x30 Limite vel. 30")</f>
        <v>Cartel PVC 40x30 Limite vel. 30</v>
      </c>
      <c r="C525" s="4">
        <f>IFERROR(__xludf.DUMMYFUNCTION("""COMPUTED_VALUE"""),2.48)</f>
        <v>2.48</v>
      </c>
    </row>
    <row r="526">
      <c r="A526" s="4" t="str">
        <f>IFERROR(__xludf.DUMMYFUNCTION("""COMPUTED_VALUE"""),"0394P")</f>
        <v>0394P</v>
      </c>
      <c r="B526" s="4" t="str">
        <f>IFERROR(__xludf.DUMMYFUNCTION("""COMPUTED_VALUE"""),"Cartel PVC 21x29 VELOCIDAD MAXIMA 30")</f>
        <v>Cartel PVC 21x29 VELOCIDAD MAXIMA 30</v>
      </c>
      <c r="C526" s="4">
        <f>IFERROR(__xludf.DUMMYFUNCTION("""COMPUTED_VALUE"""),1.6)</f>
        <v>1.6</v>
      </c>
    </row>
    <row r="527">
      <c r="A527" s="4" t="str">
        <f>IFERROR(__xludf.DUMMYFUNCTION("""COMPUTED_VALUE"""),"395")</f>
        <v>395</v>
      </c>
      <c r="B527" s="4" t="str">
        <f>IFERROR(__xludf.DUMMYFUNCTION("""COMPUTED_VALUE"""),"Cartel PVC 40x30 Limite vel. 40")</f>
        <v>Cartel PVC 40x30 Limite vel. 40</v>
      </c>
      <c r="C527" s="4">
        <f>IFERROR(__xludf.DUMMYFUNCTION("""COMPUTED_VALUE"""),2.48)</f>
        <v>2.48</v>
      </c>
    </row>
    <row r="528">
      <c r="A528" s="4" t="str">
        <f>IFERROR(__xludf.DUMMYFUNCTION("""COMPUTED_VALUE"""),"0395P")</f>
        <v>0395P</v>
      </c>
      <c r="B528" s="4" t="str">
        <f>IFERROR(__xludf.DUMMYFUNCTION("""COMPUTED_VALUE"""),"Cartel PVC 21x29 VELOCIDAD MAXIMA 40")</f>
        <v>Cartel PVC 21x29 VELOCIDAD MAXIMA 40</v>
      </c>
      <c r="C528" s="4">
        <f>IFERROR(__xludf.DUMMYFUNCTION("""COMPUTED_VALUE"""),1.6)</f>
        <v>1.6</v>
      </c>
    </row>
    <row r="529">
      <c r="A529" s="4" t="str">
        <f>IFERROR(__xludf.DUMMYFUNCTION("""COMPUTED_VALUE"""),"396")</f>
        <v>396</v>
      </c>
      <c r="B529" s="4" t="str">
        <f>IFERROR(__xludf.DUMMYFUNCTION("""COMPUTED_VALUE"""),"Cartel PVC 21x29 Fotolum. Columna movil extinción")</f>
        <v>Cartel PVC 21x29 Fotolum. Columna movil extinción</v>
      </c>
      <c r="C529" s="4">
        <f>IFERROR(__xludf.DUMMYFUNCTION("""COMPUTED_VALUE"""),2.6)</f>
        <v>2.6</v>
      </c>
    </row>
    <row r="530">
      <c r="A530" s="4" t="str">
        <f>IFERROR(__xludf.DUMMYFUNCTION("""COMPUTED_VALUE"""),"0396A")</f>
        <v>0396A</v>
      </c>
      <c r="B530" s="4" t="str">
        <f>IFERROR(__xludf.DUMMYFUNCTION("""COMPUTED_VALUE"""),"Cartel PVC 21x30 Fotolum. Carro extintor")</f>
        <v>Cartel PVC 21x30 Fotolum. Carro extintor</v>
      </c>
      <c r="C530" s="4">
        <f>IFERROR(__xludf.DUMMYFUNCTION("""COMPUTED_VALUE"""),2.52)</f>
        <v>2.52</v>
      </c>
    </row>
    <row r="531">
      <c r="A531" s="4" t="str">
        <f>IFERROR(__xludf.DUMMYFUNCTION("""COMPUTED_VALUE"""),"0396B")</f>
        <v>0396B</v>
      </c>
      <c r="B531" s="4" t="str">
        <f>IFERROR(__xludf.DUMMYFUNCTION("""COMPUTED_VALUE"""),"Cartel PVC 40x30 Fotolum. Carro extintor")</f>
        <v>Cartel PVC 40x30 Fotolum. Carro extintor</v>
      </c>
      <c r="C531" s="4">
        <f>IFERROR(__xludf.DUMMYFUNCTION("""COMPUTED_VALUE"""),3.1)</f>
        <v>3.1</v>
      </c>
    </row>
    <row r="532">
      <c r="A532" s="4" t="str">
        <f>IFERROR(__xludf.DUMMYFUNCTION("""COMPUTED_VALUE"""),"397")</f>
        <v>397</v>
      </c>
      <c r="B532" s="4" t="str">
        <f>IFERROR(__xludf.DUMMYFUNCTION("""COMPUTED_VALUE"""),"Cartel PVC 21x29 Fotolum. Sin salida")</f>
        <v>Cartel PVC 21x29 Fotolum. Sin salida</v>
      </c>
      <c r="C532" s="4">
        <f>IFERROR(__xludf.DUMMYFUNCTION("""COMPUTED_VALUE"""),2.6)</f>
        <v>2.6</v>
      </c>
    </row>
    <row r="533">
      <c r="A533" s="4" t="str">
        <f>IFERROR(__xludf.DUMMYFUNCTION("""COMPUTED_VALUE"""),"0397A")</f>
        <v>0397A</v>
      </c>
      <c r="B533" s="4" t="str">
        <f>IFERROR(__xludf.DUMMYFUNCTION("""COMPUTED_VALUE"""),"Cartel PVC 32x16 Fotolum. Sin Salida")</f>
        <v>Cartel PVC 32x16 Fotolum. Sin Salida</v>
      </c>
      <c r="C533" s="4">
        <f>IFERROR(__xludf.DUMMYFUNCTION("""COMPUTED_VALUE"""),2.25)</f>
        <v>2.25</v>
      </c>
    </row>
    <row r="534">
      <c r="A534" s="4" t="str">
        <f>IFERROR(__xludf.DUMMYFUNCTION("""COMPUTED_VALUE"""),"0397B")</f>
        <v>0397B</v>
      </c>
      <c r="B534" s="4" t="str">
        <f>IFERROR(__xludf.DUMMYFUNCTION("""COMPUTED_VALUE"""),"Cartel PVC 64x32 Fotolum. Sin Salida")</f>
        <v>Cartel PVC 64x32 Fotolum. Sin Salida</v>
      </c>
      <c r="C534" s="4">
        <f>IFERROR(__xludf.DUMMYFUNCTION("""COMPUTED_VALUE"""),4.48)</f>
        <v>4.48</v>
      </c>
    </row>
    <row r="535">
      <c r="A535" s="4" t="str">
        <f>IFERROR(__xludf.DUMMYFUNCTION("""COMPUTED_VALUE"""),"0397C")</f>
        <v>0397C</v>
      </c>
      <c r="B535" s="4" t="str">
        <f>IFERROR(__xludf.DUMMYFUNCTION("""COMPUTED_VALUE"""),"Cartel PVC 96x48 Fotolum. Sin Salida")</f>
        <v>Cartel PVC 96x48 Fotolum. Sin Salida</v>
      </c>
      <c r="C535" s="4">
        <f>IFERROR(__xludf.DUMMYFUNCTION("""COMPUTED_VALUE"""),8.99)</f>
        <v>8.99</v>
      </c>
    </row>
    <row r="536">
      <c r="A536" s="4" t="str">
        <f>IFERROR(__xludf.DUMMYFUNCTION("""COMPUTED_VALUE"""),"398")</f>
        <v>398</v>
      </c>
      <c r="B536" s="4" t="str">
        <f>IFERROR(__xludf.DUMMYFUNCTION("""COMPUTED_VALUE"""),"Cartel PVC 21x29 Fotolum. Flecha")</f>
        <v>Cartel PVC 21x29 Fotolum. Flecha</v>
      </c>
      <c r="C536" s="4">
        <f>IFERROR(__xludf.DUMMYFUNCTION("""COMPUTED_VALUE"""),2.6)</f>
        <v>2.6</v>
      </c>
    </row>
    <row r="537">
      <c r="A537" s="4" t="str">
        <f>IFERROR(__xludf.DUMMYFUNCTION("""COMPUTED_VALUE"""),"0398DA")</f>
        <v>0398DA</v>
      </c>
      <c r="B537" s="4" t="str">
        <f>IFERROR(__xludf.DUMMYFUNCTION("""COMPUTED_VALUE"""),"Cartel PVC 32x16 Fotolum. Flecha derecha")</f>
        <v>Cartel PVC 32x16 Fotolum. Flecha derecha</v>
      </c>
      <c r="C537" s="4">
        <f>IFERROR(__xludf.DUMMYFUNCTION("""COMPUTED_VALUE"""),2.25)</f>
        <v>2.25</v>
      </c>
    </row>
    <row r="538">
      <c r="A538" s="4" t="str">
        <f>IFERROR(__xludf.DUMMYFUNCTION("""COMPUTED_VALUE"""),"0398DB")</f>
        <v>0398DB</v>
      </c>
      <c r="B538" s="4" t="str">
        <f>IFERROR(__xludf.DUMMYFUNCTION("""COMPUTED_VALUE"""),"Cartel PVC 64x32 Fotolum. Flecha derecha")</f>
        <v>Cartel PVC 64x32 Fotolum. Flecha derecha</v>
      </c>
      <c r="C538" s="4">
        <f>IFERROR(__xludf.DUMMYFUNCTION("""COMPUTED_VALUE"""),4.48)</f>
        <v>4.48</v>
      </c>
    </row>
    <row r="539">
      <c r="A539" s="4" t="str">
        <f>IFERROR(__xludf.DUMMYFUNCTION("""COMPUTED_VALUE"""),"0398DC")</f>
        <v>0398DC</v>
      </c>
      <c r="B539" s="4" t="str">
        <f>IFERROR(__xludf.DUMMYFUNCTION("""COMPUTED_VALUE"""),"Cartel PVC 96x48 Fotolum. Flecha derecha")</f>
        <v>Cartel PVC 96x48 Fotolum. Flecha derecha</v>
      </c>
      <c r="C539" s="4">
        <f>IFERROR(__xludf.DUMMYFUNCTION("""COMPUTED_VALUE"""),8.96)</f>
        <v>8.96</v>
      </c>
    </row>
    <row r="540">
      <c r="A540" s="4" t="str">
        <f>IFERROR(__xludf.DUMMYFUNCTION("""COMPUTED_VALUE"""),"0398IA")</f>
        <v>0398IA</v>
      </c>
      <c r="B540" s="4" t="str">
        <f>IFERROR(__xludf.DUMMYFUNCTION("""COMPUTED_VALUE"""),"Cartel PVC 32x16 Fotolum. Flecha izquierda")</f>
        <v>Cartel PVC 32x16 Fotolum. Flecha izquierda</v>
      </c>
      <c r="C540" s="4">
        <f>IFERROR(__xludf.DUMMYFUNCTION("""COMPUTED_VALUE"""),2.25)</f>
        <v>2.25</v>
      </c>
    </row>
    <row r="541">
      <c r="A541" s="4" t="str">
        <f>IFERROR(__xludf.DUMMYFUNCTION("""COMPUTED_VALUE"""),"0398IB")</f>
        <v>0398IB</v>
      </c>
      <c r="B541" s="4" t="str">
        <f>IFERROR(__xludf.DUMMYFUNCTION("""COMPUTED_VALUE"""),"Cartel PVC 64x32 Fotolum. Flecha derecha")</f>
        <v>Cartel PVC 64x32 Fotolum. Flecha derecha</v>
      </c>
      <c r="C541" s="4">
        <f>IFERROR(__xludf.DUMMYFUNCTION("""COMPUTED_VALUE"""),4.48)</f>
        <v>4.48</v>
      </c>
    </row>
    <row r="542">
      <c r="A542" s="4" t="str">
        <f>IFERROR(__xludf.DUMMYFUNCTION("""COMPUTED_VALUE"""),"0398IC")</f>
        <v>0398IC</v>
      </c>
      <c r="B542" s="4" t="str">
        <f>IFERROR(__xludf.DUMMYFUNCTION("""COMPUTED_VALUE"""),"Cartel PVC 96x48 Fotolum. Flecha derecha")</f>
        <v>Cartel PVC 96x48 Fotolum. Flecha derecha</v>
      </c>
      <c r="C542" s="4">
        <f>IFERROR(__xludf.DUMMYFUNCTION("""COMPUTED_VALUE"""),8.96)</f>
        <v>8.96</v>
      </c>
    </row>
    <row r="543">
      <c r="A543" s="4" t="str">
        <f>IFERROR(__xludf.DUMMYFUNCTION("""COMPUTED_VALUE"""),"399")</f>
        <v>399</v>
      </c>
      <c r="B543" s="4" t="str">
        <f>IFERROR(__xludf.DUMMYFUNCTION("""COMPUTED_VALUE"""),"Cartel PVC 40x30 Calle cortada por obra")</f>
        <v>Cartel PVC 40x30 Calle cortada por obra</v>
      </c>
      <c r="C543" s="4">
        <f>IFERROR(__xludf.DUMMYFUNCTION("""COMPUTED_VALUE"""),2.48)</f>
        <v>2.48</v>
      </c>
    </row>
    <row r="544">
      <c r="A544" s="4" t="str">
        <f>IFERROR(__xludf.DUMMYFUNCTION("""COMPUTED_VALUE"""),"400")</f>
        <v>400</v>
      </c>
      <c r="B544" s="4" t="str">
        <f>IFERROR(__xludf.DUMMYFUNCTION("""COMPUTED_VALUE"""),"Bolsa negra perforada cubre señales trafico")</f>
        <v>Bolsa negra perforada cubre señales trafico</v>
      </c>
      <c r="C544" s="4">
        <f>IFERROR(__xludf.DUMMYFUNCTION("""COMPUTED_VALUE"""),1.7)</f>
        <v>1.7</v>
      </c>
    </row>
    <row r="545">
      <c r="A545" s="4" t="str">
        <f>IFERROR(__xludf.DUMMYFUNCTION("""COMPUTED_VALUE"""),"401")</f>
        <v>401</v>
      </c>
      <c r="B545" s="4" t="str">
        <f>IFERROR(__xludf.DUMMYFUNCTION("""COMPUTED_VALUE"""),"Se¤al Bolsa de plastico nº1 DIRECION PROHIB.")</f>
        <v>Se¤al Bolsa de plastico nº1 DIRECION PROHIB.</v>
      </c>
      <c r="C545" s="4">
        <f>IFERROR(__xludf.DUMMYFUNCTION("""COMPUTED_VALUE"""),1.7)</f>
        <v>1.7</v>
      </c>
    </row>
    <row r="546">
      <c r="A546" s="4" t="str">
        <f>IFERROR(__xludf.DUMMYFUNCTION("""COMPUTED_VALUE"""),"402")</f>
        <v>402</v>
      </c>
      <c r="B546" s="4" t="str">
        <f>IFERROR(__xludf.DUMMYFUNCTION("""COMPUTED_VALUE"""),"Señal Bolsa de plastico nº 2 STOP")</f>
        <v>Señal Bolsa de plastico nº 2 STOP</v>
      </c>
      <c r="C546" s="4">
        <f>IFERROR(__xludf.DUMMYFUNCTION("""COMPUTED_VALUE"""),1.7)</f>
        <v>1.7</v>
      </c>
    </row>
    <row r="547">
      <c r="A547" s="4" t="str">
        <f>IFERROR(__xludf.DUMMYFUNCTION("""COMPUTED_VALUE"""),"403")</f>
        <v>403</v>
      </c>
      <c r="B547" s="4" t="str">
        <f>IFERROR(__xludf.DUMMYFUNCTION("""COMPUTED_VALUE"""),"Señal Bolsa de plastico nº 3 DIR. OBL. DERECHA")</f>
        <v>Señal Bolsa de plastico nº 3 DIR. OBL. DERECHA</v>
      </c>
      <c r="C547" s="4">
        <f>IFERROR(__xludf.DUMMYFUNCTION("""COMPUTED_VALUE"""),1.7)</f>
        <v>1.7</v>
      </c>
    </row>
    <row r="548">
      <c r="A548" s="4" t="str">
        <f>IFERROR(__xludf.DUMMYFUNCTION("""COMPUTED_VALUE"""),"404")</f>
        <v>404</v>
      </c>
      <c r="B548" s="4" t="str">
        <f>IFERROR(__xludf.DUMMYFUNCTION("""COMPUTED_VALUE"""),"Señal Bolsa de plastico nº 4 PELIGRO INDEF")</f>
        <v>Señal Bolsa de plastico nº 4 PELIGRO INDEF</v>
      </c>
      <c r="C548" s="4">
        <f>IFERROR(__xludf.DUMMYFUNCTION("""COMPUTED_VALUE"""),1.7)</f>
        <v>1.7</v>
      </c>
    </row>
    <row r="549">
      <c r="A549" s="4" t="str">
        <f>IFERROR(__xludf.DUMMYFUNCTION("""COMPUTED_VALUE"""),"405")</f>
        <v>405</v>
      </c>
      <c r="B549" s="4" t="str">
        <f>IFERROR(__xludf.DUMMYFUNCTION("""COMPUTED_VALUE"""),"Señal Bolsa de plastico nº 5 OBRAS")</f>
        <v>Señal Bolsa de plastico nº 5 OBRAS</v>
      </c>
      <c r="C549" s="4">
        <f>IFERROR(__xludf.DUMMYFUNCTION("""COMPUTED_VALUE"""),1.7)</f>
        <v>1.7</v>
      </c>
    </row>
    <row r="550">
      <c r="A550" s="4" t="str">
        <f>IFERROR(__xludf.DUMMYFUNCTION("""COMPUTED_VALUE"""),"406")</f>
        <v>406</v>
      </c>
      <c r="B550" s="4" t="str">
        <f>IFERROR(__xludf.DUMMYFUNCTION("""COMPUTED_VALUE"""),"Señal Bolsa de plastico nº 6 VEL. 40")</f>
        <v>Señal Bolsa de plastico nº 6 VEL. 40</v>
      </c>
      <c r="C550" s="4">
        <f>IFERROR(__xludf.DUMMYFUNCTION("""COMPUTED_VALUE"""),1.7)</f>
        <v>1.7</v>
      </c>
    </row>
    <row r="551">
      <c r="A551" s="4" t="str">
        <f>IFERROR(__xludf.DUMMYFUNCTION("""COMPUTED_VALUE"""),"407")</f>
        <v>407</v>
      </c>
      <c r="B551" s="4" t="str">
        <f>IFERROR(__xludf.DUMMYFUNCTION("""COMPUTED_VALUE"""),"Señal Bolsa de plastico nº 7 VEL. 60")</f>
        <v>Señal Bolsa de plastico nº 7 VEL. 60</v>
      </c>
      <c r="C551" s="4">
        <f>IFERROR(__xludf.DUMMYFUNCTION("""COMPUTED_VALUE"""),1.7)</f>
        <v>1.7</v>
      </c>
    </row>
    <row r="552">
      <c r="A552" s="4" t="str">
        <f>IFERROR(__xludf.DUMMYFUNCTION("""COMPUTED_VALUE"""),"408")</f>
        <v>408</v>
      </c>
      <c r="B552" s="4" t="str">
        <f>IFERROR(__xludf.DUMMYFUNCTION("""COMPUTED_VALUE"""),"Señal Bolsa de plastico nº 8 ESTRECH")</f>
        <v>Señal Bolsa de plastico nº 8 ESTRECH</v>
      </c>
      <c r="C552" s="4">
        <f>IFERROR(__xludf.DUMMYFUNCTION("""COMPUTED_VALUE"""),1.7)</f>
        <v>1.7</v>
      </c>
    </row>
    <row r="553">
      <c r="A553" s="4" t="str">
        <f>IFERROR(__xludf.DUMMYFUNCTION("""COMPUTED_VALUE"""),"409")</f>
        <v>409</v>
      </c>
      <c r="B553" s="4" t="str">
        <f>IFERROR(__xludf.DUMMYFUNCTION("""COMPUTED_VALUE"""),"Señal Bolsa de plastico nº 9 PROHIB ADELANT")</f>
        <v>Señal Bolsa de plastico nº 9 PROHIB ADELANT</v>
      </c>
      <c r="C553" s="4">
        <f>IFERROR(__xludf.DUMMYFUNCTION("""COMPUTED_VALUE"""),1.7)</f>
        <v>1.7</v>
      </c>
    </row>
    <row r="554">
      <c r="A554" s="4" t="str">
        <f>IFERROR(__xludf.DUMMYFUNCTION("""COMPUTED_VALUE"""),"410")</f>
        <v>410</v>
      </c>
      <c r="B554" s="4" t="str">
        <f>IFERROR(__xludf.DUMMYFUNCTION("""COMPUTED_VALUE"""),"Señal Bolsa de plastico nº 10 PRIORIDAD")</f>
        <v>Señal Bolsa de plastico nº 10 PRIORIDAD</v>
      </c>
      <c r="C554" s="4">
        <f>IFERROR(__xludf.DUMMYFUNCTION("""COMPUTED_VALUE"""),1.7)</f>
        <v>1.7</v>
      </c>
    </row>
    <row r="555">
      <c r="A555" s="4" t="str">
        <f>IFERROR(__xludf.DUMMYFUNCTION("""COMPUTED_VALUE"""),"411")</f>
        <v>411</v>
      </c>
      <c r="B555" s="4" t="str">
        <f>IFERROR(__xludf.DUMMYFUNCTION("""COMPUTED_VALUE"""),"Señal Bolsa de plastico nº 11 PROHIB. APARCAR")</f>
        <v>Señal Bolsa de plastico nº 11 PROHIB. APARCAR</v>
      </c>
      <c r="C555" s="4">
        <f>IFERROR(__xludf.DUMMYFUNCTION("""COMPUTED_VALUE"""),1.7)</f>
        <v>1.7</v>
      </c>
    </row>
    <row r="556">
      <c r="A556" s="4" t="str">
        <f>IFERROR(__xludf.DUMMYFUNCTION("""COMPUTED_VALUE"""),"412")</f>
        <v>412</v>
      </c>
      <c r="B556" s="4" t="str">
        <f>IFERROR(__xludf.DUMMYFUNCTION("""COMPUTED_VALUE"""),"Señal Bolsa de plastico nº 12 ESCALON LATERAL")</f>
        <v>Señal Bolsa de plastico nº 12 ESCALON LATERAL</v>
      </c>
      <c r="C556" s="4">
        <f>IFERROR(__xludf.DUMMYFUNCTION("""COMPUTED_VALUE"""),1.7)</f>
        <v>1.7</v>
      </c>
    </row>
    <row r="557">
      <c r="A557" s="4" t="str">
        <f>IFERROR(__xludf.DUMMYFUNCTION("""COMPUTED_VALUE"""),"413")</f>
        <v>413</v>
      </c>
      <c r="B557" s="4" t="str">
        <f>IFERROR(__xludf.DUMMYFUNCTION("""COMPUTED_VALUE"""),"Señal Bolsa de plastico nº 13 SUELO RESVALADIZO")</f>
        <v>Señal Bolsa de plastico nº 13 SUELO RESVALADIZO</v>
      </c>
      <c r="C557" s="4">
        <f>IFERROR(__xludf.DUMMYFUNCTION("""COMPUTED_VALUE"""),1.7)</f>
        <v>1.7</v>
      </c>
    </row>
    <row r="558">
      <c r="A558" s="4" t="str">
        <f>IFERROR(__xludf.DUMMYFUNCTION("""COMPUTED_VALUE"""),"414")</f>
        <v>414</v>
      </c>
      <c r="B558" s="4" t="str">
        <f>IFERROR(__xludf.DUMMYFUNCTION("""COMPUTED_VALUE"""),"Señal Bolsa de plastico nº 14 VEL 20")</f>
        <v>Señal Bolsa de plastico nº 14 VEL 20</v>
      </c>
      <c r="C558" s="4">
        <f>IFERROR(__xludf.DUMMYFUNCTION("""COMPUTED_VALUE"""),1.7)</f>
        <v>1.7</v>
      </c>
    </row>
    <row r="559">
      <c r="A559" s="4" t="str">
        <f>IFERROR(__xludf.DUMMYFUNCTION("""COMPUTED_VALUE"""),"415")</f>
        <v>415</v>
      </c>
      <c r="B559" s="4" t="str">
        <f>IFERROR(__xludf.DUMMYFUNCTION("""COMPUTED_VALUE"""),"Señal Bolsa de plastico nº 15 PELIGRO CAMIONES")</f>
        <v>Señal Bolsa de plastico nº 15 PELIGRO CAMIONES</v>
      </c>
      <c r="C559" s="4">
        <f>IFERROR(__xludf.DUMMYFUNCTION("""COMPUTED_VALUE"""),1.7)</f>
        <v>1.7</v>
      </c>
    </row>
    <row r="560">
      <c r="A560" s="4" t="str">
        <f>IFERROR(__xludf.DUMMYFUNCTION("""COMPUTED_VALUE"""),"416")</f>
        <v>416</v>
      </c>
      <c r="B560" s="4" t="str">
        <f>IFERROR(__xludf.DUMMYFUNCTION("""COMPUTED_VALUE"""),"Señal Bolsa de plastico nº 16 SALIDA CAMIONES")</f>
        <v>Señal Bolsa de plastico nº 16 SALIDA CAMIONES</v>
      </c>
      <c r="C560" s="4">
        <f>IFERROR(__xludf.DUMMYFUNCTION("""COMPUTED_VALUE"""),1.7)</f>
        <v>1.7</v>
      </c>
    </row>
    <row r="561">
      <c r="A561" s="4" t="str">
        <f>IFERROR(__xludf.DUMMYFUNCTION("""COMPUTED_VALUE"""),"417")</f>
        <v>417</v>
      </c>
      <c r="B561" s="4" t="str">
        <f>IFERROR(__xludf.DUMMYFUNCTION("""COMPUTED_VALUE"""),"Señal Bolsa de plastico nº 17 CALLE CORTADA")</f>
        <v>Señal Bolsa de plastico nº 17 CALLE CORTADA</v>
      </c>
      <c r="C561" s="4">
        <f>IFERROR(__xludf.DUMMYFUNCTION("""COMPUTED_VALUE"""),1.7)</f>
        <v>1.7</v>
      </c>
    </row>
    <row r="562">
      <c r="A562" s="4" t="str">
        <f>IFERROR(__xludf.DUMMYFUNCTION("""COMPUTED_VALUE"""),"418")</f>
        <v>418</v>
      </c>
      <c r="B562" s="4" t="str">
        <f>IFERROR(__xludf.DUMMYFUNCTION("""COMPUTED_VALUE"""),"Señal Bolsa de plastico nº 18 VEL 30")</f>
        <v>Señal Bolsa de plastico nº 18 VEL 30</v>
      </c>
      <c r="C562" s="4">
        <f>IFERROR(__xludf.DUMMYFUNCTION("""COMPUTED_VALUE"""),1.7)</f>
        <v>1.7</v>
      </c>
    </row>
    <row r="563">
      <c r="A563" s="4" t="str">
        <f>IFERROR(__xludf.DUMMYFUNCTION("""COMPUTED_VALUE"""),"419")</f>
        <v>419</v>
      </c>
      <c r="B563" s="4" t="str">
        <f>IFERROR(__xludf.DUMMYFUNCTION("""COMPUTED_VALUE"""),"Señal Bolsa de plastico nº 19 DESPRENDIMIENTO")</f>
        <v>Señal Bolsa de plastico nº 19 DESPRENDIMIENTO</v>
      </c>
      <c r="C563" s="4">
        <f>IFERROR(__xludf.DUMMYFUNCTION("""COMPUTED_VALUE"""),1.7)</f>
        <v>1.7</v>
      </c>
    </row>
    <row r="564">
      <c r="A564" s="4" t="str">
        <f>IFERROR(__xludf.DUMMYFUNCTION("""COMPUTED_VALUE"""),"420")</f>
        <v>420</v>
      </c>
      <c r="B564" s="4" t="str">
        <f>IFERROR(__xludf.DUMMYFUNCTION("""COMPUTED_VALUE"""),"Señal Bolsa de plastico nº 20 ACERA EN OBRAS")</f>
        <v>Señal Bolsa de plastico nº 20 ACERA EN OBRAS</v>
      </c>
      <c r="C564" s="4">
        <f>IFERROR(__xludf.DUMMYFUNCTION("""COMPUTED_VALUE"""),1.7)</f>
        <v>1.7</v>
      </c>
    </row>
    <row r="565">
      <c r="A565" s="4" t="str">
        <f>IFERROR(__xludf.DUMMYFUNCTION("""COMPUTED_VALUE"""),"421")</f>
        <v>421</v>
      </c>
      <c r="B565" s="4" t="str">
        <f>IFERROR(__xludf.DUMMYFUNCTION("""COMPUTED_VALUE"""),"Señal Bolsa de plastico nº 21 ESTRECH. IZQ.")</f>
        <v>Señal Bolsa de plastico nº 21 ESTRECH. IZQ.</v>
      </c>
      <c r="C565" s="4">
        <f>IFERROR(__xludf.DUMMYFUNCTION("""COMPUTED_VALUE"""),1.7)</f>
        <v>1.7</v>
      </c>
    </row>
    <row r="566">
      <c r="A566" s="4" t="str">
        <f>IFERROR(__xludf.DUMMYFUNCTION("""COMPUTED_VALUE"""),"422")</f>
        <v>422</v>
      </c>
      <c r="B566" s="4" t="str">
        <f>IFERROR(__xludf.DUMMYFUNCTION("""COMPUTED_VALUE"""),"Señal Bolsa de plastico nº 22 ESTRECH. DERECHA")</f>
        <v>Señal Bolsa de plastico nº 22 ESTRECH. DERECHA</v>
      </c>
      <c r="C566" s="4">
        <f>IFERROR(__xludf.DUMMYFUNCTION("""COMPUTED_VALUE"""),1.7)</f>
        <v>1.7</v>
      </c>
    </row>
    <row r="567">
      <c r="A567" s="4" t="str">
        <f>IFERROR(__xludf.DUMMYFUNCTION("""COMPUTED_VALUE"""),"423")</f>
        <v>423</v>
      </c>
      <c r="B567" s="4" t="str">
        <f>IFERROR(__xludf.DUMMYFUNCTION("""COMPUTED_VALUE"""),"Señal Bolsa de plastico nº 23 VEL 10")</f>
        <v>Señal Bolsa de plastico nº 23 VEL 10</v>
      </c>
      <c r="C567" s="4">
        <f>IFERROR(__xludf.DUMMYFUNCTION("""COMPUTED_VALUE"""),1.7)</f>
        <v>1.7</v>
      </c>
    </row>
    <row r="568">
      <c r="A568" s="4" t="str">
        <f>IFERROR(__xludf.DUMMYFUNCTION("""COMPUTED_VALUE"""),"424")</f>
        <v>424</v>
      </c>
      <c r="B568" s="4" t="str">
        <f>IFERROR(__xludf.DUMMYFUNCTION("""COMPUTED_VALUE"""),"Señal Bolsa de plastico nº 24 VEL. 50")</f>
        <v>Señal Bolsa de plastico nº 24 VEL. 50</v>
      </c>
      <c r="C568" s="4">
        <f>IFERROR(__xludf.DUMMYFUNCTION("""COMPUTED_VALUE"""),1.7)</f>
        <v>1.7</v>
      </c>
    </row>
    <row r="569">
      <c r="A569" s="4" t="str">
        <f>IFERROR(__xludf.DUMMYFUNCTION("""COMPUTED_VALUE"""),"425")</f>
        <v>425</v>
      </c>
      <c r="B569" s="4" t="str">
        <f>IFERROR(__xludf.DUMMYFUNCTION("""COMPUTED_VALUE"""),"Señal Bolsa de plastico nº 25 RESALTO")</f>
        <v>Señal Bolsa de plastico nº 25 RESALTO</v>
      </c>
      <c r="C569" s="4">
        <f>IFERROR(__xludf.DUMMYFUNCTION("""COMPUTED_VALUE"""),1.7)</f>
        <v>1.7</v>
      </c>
    </row>
    <row r="570">
      <c r="A570" s="4" t="str">
        <f>IFERROR(__xludf.DUMMYFUNCTION("""COMPUTED_VALUE"""),"426")</f>
        <v>426</v>
      </c>
      <c r="B570" s="4" t="str">
        <f>IFERROR(__xludf.DUMMYFUNCTION("""COMPUTED_VALUE"""),"Señal Bolsa de plastico nº 26 CAMINO CORTADO")</f>
        <v>Señal Bolsa de plastico nº 26 CAMINO CORTADO</v>
      </c>
      <c r="C570" s="4">
        <f>IFERROR(__xludf.DUMMYFUNCTION("""COMPUTED_VALUE"""),1.7)</f>
        <v>1.7</v>
      </c>
    </row>
    <row r="571">
      <c r="A571" s="4" t="str">
        <f>IFERROR(__xludf.DUMMYFUNCTION("""COMPUTED_VALUE"""),"427")</f>
        <v>427</v>
      </c>
      <c r="B571" s="4" t="str">
        <f>IFERROR(__xludf.DUMMYFUNCTION("""COMPUTED_VALUE"""),"Señal Bolsa de plastico nº 27 DIR. OBLI. IZQ.")</f>
        <v>Señal Bolsa de plastico nº 27 DIR. OBLI. IZQ.</v>
      </c>
      <c r="C571" s="4">
        <f>IFERROR(__xludf.DUMMYFUNCTION("""COMPUTED_VALUE"""),1.7)</f>
        <v>1.7</v>
      </c>
    </row>
    <row r="572">
      <c r="A572" s="4" t="str">
        <f>IFERROR(__xludf.DUMMYFUNCTION("""COMPUTED_VALUE"""),"428")</f>
        <v>428</v>
      </c>
      <c r="B572" s="4" t="str">
        <f>IFERROR(__xludf.DUMMYFUNCTION("""COMPUTED_VALUE"""),"Señal Bolsa de plastico nº 28 CEDA EL PASO")</f>
        <v>Señal Bolsa de plastico nº 28 CEDA EL PASO</v>
      </c>
      <c r="C572" s="4">
        <f>IFERROR(__xludf.DUMMYFUNCTION("""COMPUTED_VALUE"""),1.7)</f>
        <v>1.7</v>
      </c>
    </row>
    <row r="573">
      <c r="A573" s="4" t="str">
        <f>IFERROR(__xludf.DUMMYFUNCTION("""COMPUTED_VALUE"""),"429")</f>
        <v>429</v>
      </c>
      <c r="B573" s="4" t="str">
        <f>IFERROR(__xludf.DUMMYFUNCTION("""COMPUTED_VALUE"""),"Señal Bolsa de plastico nº 29 CEDA EL PASO C / TEXTO")</f>
        <v>Señal Bolsa de plastico nº 29 CEDA EL PASO C / TEXTO</v>
      </c>
      <c r="C573" s="4">
        <f>IFERROR(__xludf.DUMMYFUNCTION("""COMPUTED_VALUE"""),1.7)</f>
        <v>1.7</v>
      </c>
    </row>
    <row r="574">
      <c r="A574" s="4" t="str">
        <f>IFERROR(__xludf.DUMMYFUNCTION("""COMPUTED_VALUE"""),"430")</f>
        <v>430</v>
      </c>
      <c r="B574" s="4" t="str">
        <f>IFERROR(__xludf.DUMMYFUNCTION("""COMPUTED_VALUE"""),"Señal Bolsa de plastico nº 30 CONTROL POLICIAL")</f>
        <v>Señal Bolsa de plastico nº 30 CONTROL POLICIAL</v>
      </c>
      <c r="C574" s="4">
        <f>IFERROR(__xludf.DUMMYFUNCTION("""COMPUTED_VALUE"""),1.7)</f>
        <v>1.7</v>
      </c>
    </row>
    <row r="575">
      <c r="A575" s="4" t="str">
        <f>IFERROR(__xludf.DUMMYFUNCTION("""COMPUTED_VALUE"""),"431")</f>
        <v>431</v>
      </c>
      <c r="B575" s="4" t="str">
        <f>IFERROR(__xludf.DUMMYFUNCTION("""COMPUTED_VALUE"""),"Señal Bolsa de plastico nº 31 TRABAJOS FORESTALES")</f>
        <v>Señal Bolsa de plastico nº 31 TRABAJOS FORESTALES</v>
      </c>
      <c r="C575" s="4">
        <f>IFERROR(__xludf.DUMMYFUNCTION("""COMPUTED_VALUE"""),1.7)</f>
        <v>1.7</v>
      </c>
    </row>
    <row r="576">
      <c r="A576" s="4" t="str">
        <f>IFERROR(__xludf.DUMMYFUNCTION("""COMPUTED_VALUE"""),"432")</f>
        <v>432</v>
      </c>
      <c r="B576" s="4" t="str">
        <f>IFERROR(__xludf.DUMMYFUNCTION("""COMPUTED_VALUE"""),"Señal Bolsa de plastico nº 32 LUZ OBLIGATORIA")</f>
        <v>Señal Bolsa de plastico nº 32 LUZ OBLIGATORIA</v>
      </c>
      <c r="C576" s="4">
        <f>IFERROR(__xludf.DUMMYFUNCTION("""COMPUTED_VALUE"""),1.7)</f>
        <v>1.7</v>
      </c>
    </row>
    <row r="577">
      <c r="A577" s="4" t="str">
        <f>IFERROR(__xludf.DUMMYFUNCTION("""COMPUTED_VALUE"""),"0450A")</f>
        <v>0450A</v>
      </c>
      <c r="B577" s="4" t="str">
        <f>IFERROR(__xludf.DUMMYFUNCTION("""COMPUTED_VALUE"""),"Plantilla señalizacion para suelo 50x50 cm")</f>
        <v>Plantilla señalizacion para suelo 50x50 cm</v>
      </c>
      <c r="C577" s="4">
        <f>IFERROR(__xludf.DUMMYFUNCTION("""COMPUTED_VALUE"""),32.75)</f>
        <v>32.75</v>
      </c>
    </row>
    <row r="578">
      <c r="A578" s="4" t="str">
        <f>IFERROR(__xludf.DUMMYFUNCTION("""COMPUTED_VALUE"""),"0450B")</f>
        <v>0450B</v>
      </c>
      <c r="B578" s="4" t="str">
        <f>IFERROR(__xludf.DUMMYFUNCTION("""COMPUTED_VALUE"""),"Plantilla señalizacion para suelo 100 x 70 cm")</f>
        <v>Plantilla señalizacion para suelo 100 x 70 cm</v>
      </c>
      <c r="C578" s="4">
        <f>IFERROR(__xludf.DUMMYFUNCTION("""COMPUTED_VALUE"""),47.52)</f>
        <v>47.52</v>
      </c>
    </row>
    <row r="579">
      <c r="A579" s="4" t="str">
        <f>IFERROR(__xludf.DUMMYFUNCTION("""COMPUTED_VALUE"""),"0450E")</f>
        <v>0450E</v>
      </c>
      <c r="B579" s="4" t="str">
        <f>IFERROR(__xludf.DUMMYFUNCTION("""COMPUTED_VALUE"""),"Plantilla 60x60 cm carga coche eléctrico")</f>
        <v>Plantilla 60x60 cm carga coche eléctrico</v>
      </c>
      <c r="C579" s="4">
        <f>IFERROR(__xludf.DUMMYFUNCTION("""COMPUTED_VALUE"""),35.15)</f>
        <v>35.15</v>
      </c>
    </row>
    <row r="580">
      <c r="A580" s="4" t="str">
        <f>IFERROR(__xludf.DUMMYFUNCTION("""COMPUTED_VALUE"""),"561")</f>
        <v>561</v>
      </c>
      <c r="B580" s="4" t="str">
        <f>IFERROR(__xludf.DUMMYFUNCTION("""COMPUTED_VALUE"""),"Bolardo composite cuadrado Abatible 70 cm c/llave")</f>
        <v>Bolardo composite cuadrado Abatible 70 cm c/llave</v>
      </c>
      <c r="C580" s="4">
        <f>IFERROR(__xludf.DUMMYFUNCTION("""COMPUTED_VALUE"""),32.75)</f>
        <v>32.75</v>
      </c>
    </row>
    <row r="581">
      <c r="A581" s="4" t="str">
        <f>IFERROR(__xludf.DUMMYFUNCTION("""COMPUTED_VALUE"""),"562")</f>
        <v>562</v>
      </c>
      <c r="B581" s="4" t="str">
        <f>IFERROR(__xludf.DUMMYFUNCTION("""COMPUTED_VALUE"""),"Bolardo Composite Redondo Abatible 70 cm c/ llave")</f>
        <v>Bolardo Composite Redondo Abatible 70 cm c/ llave</v>
      </c>
      <c r="C581" s="4">
        <f>IFERROR(__xludf.DUMMYFUNCTION("""COMPUTED_VALUE"""),37.25)</f>
        <v>37.25</v>
      </c>
    </row>
    <row r="582">
      <c r="A582" s="4" t="str">
        <f>IFERROR(__xludf.DUMMYFUNCTION("""COMPUTED_VALUE"""),"563")</f>
        <v>563</v>
      </c>
      <c r="B582" s="4" t="str">
        <f>IFERROR(__xludf.DUMMYFUNCTION("""COMPUTED_VALUE"""),"Tensa Cono 9 Mts A/N")</f>
        <v>Tensa Cono 9 Mts A/N</v>
      </c>
      <c r="C582" s="4">
        <f>IFERROR(__xludf.DUMMYFUNCTION("""COMPUTED_VALUE"""),34.5)</f>
        <v>34.5</v>
      </c>
    </row>
    <row r="583">
      <c r="A583" s="4" t="str">
        <f>IFERROR(__xludf.DUMMYFUNCTION("""COMPUTED_VALUE"""),"564")</f>
        <v>564</v>
      </c>
      <c r="B583" s="4" t="str">
        <f>IFERROR(__xludf.DUMMYFUNCTION("""COMPUTED_VALUE"""),"Tensa Cono 9 Mts R/B")</f>
        <v>Tensa Cono 9 Mts R/B</v>
      </c>
      <c r="C583" s="4">
        <f>IFERROR(__xludf.DUMMYFUNCTION("""COMPUTED_VALUE"""),34.5)</f>
        <v>34.5</v>
      </c>
    </row>
    <row r="584">
      <c r="A584" s="4" t="str">
        <f>IFERROR(__xludf.DUMMYFUNCTION("""COMPUTED_VALUE"""),"565")</f>
        <v>565</v>
      </c>
      <c r="B584" s="4" t="str">
        <f>IFERROR(__xludf.DUMMYFUNCTION("""COMPUTED_VALUE"""),"Tensa Cono 3 Mts R/B")</f>
        <v>Tensa Cono 3 Mts R/B</v>
      </c>
      <c r="C584" s="4">
        <f>IFERROR(__xludf.DUMMYFUNCTION("""COMPUTED_VALUE"""),16.0)</f>
        <v>16</v>
      </c>
    </row>
    <row r="585">
      <c r="A585" s="4" t="str">
        <f>IFERROR(__xludf.DUMMYFUNCTION("""COMPUTED_VALUE"""),"566")</f>
        <v>566</v>
      </c>
      <c r="B585" s="4" t="str">
        <f>IFERROR(__xludf.DUMMYFUNCTION("""COMPUTED_VALUE"""),"Tensa Cono 3 Mts A/N")</f>
        <v>Tensa Cono 3 Mts A/N</v>
      </c>
      <c r="C585" s="4">
        <f>IFERROR(__xludf.DUMMYFUNCTION("""COMPUTED_VALUE"""),16.0)</f>
        <v>16</v>
      </c>
    </row>
    <row r="586">
      <c r="A586" s="4" t="str">
        <f>IFERROR(__xludf.DUMMYFUNCTION("""COMPUTED_VALUE"""),"568")</f>
        <v>568</v>
      </c>
      <c r="B586" s="4" t="str">
        <f>IFERROR(__xludf.DUMMYFUNCTION("""COMPUTED_VALUE"""),"Hito vertice divergente 1200x1300")</f>
        <v>Hito vertice divergente 1200x1300</v>
      </c>
      <c r="C586" s="4">
        <f>IFERROR(__xludf.DUMMYFUNCTION("""COMPUTED_VALUE"""),393.75)</f>
        <v>393.75</v>
      </c>
    </row>
    <row r="587">
      <c r="A587" s="4" t="str">
        <f>IFERROR(__xludf.DUMMYFUNCTION("""COMPUTED_VALUE"""),"569")</f>
        <v>569</v>
      </c>
      <c r="B587" s="4" t="str">
        <f>IFERROR(__xludf.DUMMYFUNCTION("""COMPUTED_VALUE"""),"Bolardo Acero 100 cm x 8 cm diámetro fijo")</f>
        <v>Bolardo Acero 100 cm x 8 cm diámetro fijo</v>
      </c>
      <c r="C587" s="4">
        <f>IFERROR(__xludf.DUMMYFUNCTION("""COMPUTED_VALUE"""),33.6)</f>
        <v>33.6</v>
      </c>
    </row>
    <row r="588">
      <c r="A588" s="4" t="str">
        <f>IFERROR(__xludf.DUMMYFUNCTION("""COMPUTED_VALUE"""),"0569/PLATO")</f>
        <v>0569/PLATO</v>
      </c>
      <c r="B588" s="4" t="str">
        <f>IFERROR(__xludf.DUMMYFUNCTION("""COMPUTED_VALUE"""),"Bolardo Acero 100 cm x 8 cm diam. c/plato")</f>
        <v>Bolardo Acero 100 cm x 8 cm diam. c/plato</v>
      </c>
      <c r="C588" s="4">
        <f>IFERROR(__xludf.DUMMYFUNCTION("""COMPUTED_VALUE"""),56.7)</f>
        <v>56.7</v>
      </c>
    </row>
    <row r="589">
      <c r="A589" s="4" t="str">
        <f>IFERROR(__xludf.DUMMYFUNCTION("""COMPUTED_VALUE"""),"0569A")</f>
        <v>0569A</v>
      </c>
      <c r="B589" s="4" t="str">
        <f>IFERROR(__xludf.DUMMYFUNCTION("""COMPUTED_VALUE"""),"Bolardo Acero 100 cm x 8 cm diámetro extraíble")</f>
        <v>Bolardo Acero 100 cm x 8 cm diámetro extraíble</v>
      </c>
      <c r="C589" s="4">
        <f>IFERROR(__xludf.DUMMYFUNCTION("""COMPUTED_VALUE"""),39.9)</f>
        <v>39.9</v>
      </c>
    </row>
    <row r="590">
      <c r="A590" s="4" t="str">
        <f>IFERROR(__xludf.DUMMYFUNCTION("""COMPUTED_VALUE"""),"0569E")</f>
        <v>0569E</v>
      </c>
      <c r="B590" s="4" t="str">
        <f>IFERROR(__xludf.DUMMYFUNCTION("""COMPUTED_VALUE"""),"Base-enganche bolardo Acero")</f>
        <v>Base-enganche bolardo Acero</v>
      </c>
      <c r="C590" s="4">
        <f>IFERROR(__xludf.DUMMYFUNCTION("""COMPUTED_VALUE"""),59.0)</f>
        <v>59</v>
      </c>
    </row>
    <row r="591">
      <c r="A591" s="4" t="str">
        <f>IFERROR(__xludf.DUMMYFUNCTION("""COMPUTED_VALUE"""),"0569LL")</f>
        <v>0569LL</v>
      </c>
      <c r="B591" s="4" t="str">
        <f>IFERROR(__xludf.DUMMYFUNCTION("""COMPUTED_VALUE"""),"Llave para enganche bolardo Acero")</f>
        <v>Llave para enganche bolardo Acero</v>
      </c>
      <c r="C591" s="4">
        <f>IFERROR(__xludf.DUMMYFUNCTION("""COMPUTED_VALUE"""),6.3)</f>
        <v>6.3</v>
      </c>
    </row>
    <row r="592">
      <c r="A592" s="4" t="str">
        <f>IFERROR(__xludf.DUMMYFUNCTION("""COMPUTED_VALUE"""),"570")</f>
        <v>570</v>
      </c>
      <c r="B592" s="4" t="str">
        <f>IFERROR(__xludf.DUMMYFUNCTION("""COMPUTED_VALUE"""),"LLave para colocacion HIto H75")</f>
        <v>LLave para colocacion HIto H75</v>
      </c>
      <c r="C592" s="4">
        <f>IFERROR(__xludf.DUMMYFUNCTION("""COMPUTED_VALUE"""),16.95)</f>
        <v>16.95</v>
      </c>
    </row>
    <row r="593">
      <c r="A593" s="4" t="str">
        <f>IFERROR(__xludf.DUMMYFUNCTION("""COMPUTED_VALUE"""),"571")</f>
        <v>571</v>
      </c>
      <c r="B593" s="4" t="str">
        <f>IFERROR(__xludf.DUMMYFUNCTION("""COMPUTED_VALUE"""),"Hito 75 cm c/base basculante Mod. B Verde")</f>
        <v>Hito 75 cm c/base basculante Mod. B Verde</v>
      </c>
      <c r="C593" s="4">
        <f>IFERROR(__xludf.DUMMYFUNCTION("""COMPUTED_VALUE"""),26.0)</f>
        <v>26</v>
      </c>
    </row>
    <row r="594">
      <c r="A594" s="4" t="str">
        <f>IFERROR(__xludf.DUMMYFUNCTION("""COMPUTED_VALUE"""),"0571A")</f>
        <v>0571A</v>
      </c>
      <c r="B594" s="4" t="str">
        <f>IFERROR(__xludf.DUMMYFUNCTION("""COMPUTED_VALUE"""),"Hito 75 cm c/base basculante Mod. B Azul")</f>
        <v>Hito 75 cm c/base basculante Mod. B Azul</v>
      </c>
      <c r="C594" s="4">
        <f>IFERROR(__xludf.DUMMYFUNCTION("""COMPUTED_VALUE"""),26.0)</f>
        <v>26</v>
      </c>
    </row>
    <row r="595">
      <c r="A595" s="4" t="str">
        <f>IFERROR(__xludf.DUMMYFUNCTION("""COMPUTED_VALUE"""),"574")</f>
        <v>574</v>
      </c>
      <c r="B595" s="4" t="str">
        <f>IFERROR(__xludf.DUMMYFUNCTION("""COMPUTED_VALUE"""),"Hito H-75 Polietileno azul Mod. A")</f>
        <v>Hito H-75 Polietileno azul Mod. A</v>
      </c>
      <c r="C595" s="4">
        <f>IFERROR(__xludf.DUMMYFUNCTION("""COMPUTED_VALUE"""),16.95)</f>
        <v>16.95</v>
      </c>
    </row>
    <row r="596">
      <c r="A596" s="4" t="str">
        <f>IFERROR(__xludf.DUMMYFUNCTION("""COMPUTED_VALUE"""),"0574P")</f>
        <v>0574P</v>
      </c>
      <c r="B596" s="4" t="str">
        <f>IFERROR(__xludf.DUMMYFUNCTION("""COMPUTED_VALUE"""),"Hito H-50 Polietileno azul Mod. A")</f>
        <v>Hito H-50 Polietileno azul Mod. A</v>
      </c>
      <c r="C596" s="4">
        <f>IFERROR(__xludf.DUMMYFUNCTION("""COMPUTED_VALUE"""),13.75)</f>
        <v>13.75</v>
      </c>
    </row>
    <row r="597">
      <c r="A597" s="4" t="str">
        <f>IFERROR(__xludf.DUMMYFUNCTION("""COMPUTED_VALUE"""),"0575A")</f>
        <v>0575A</v>
      </c>
      <c r="B597" s="4" t="str">
        <f>IFERROR(__xludf.DUMMYFUNCTION("""COMPUTED_VALUE"""),"Bandera señalizacion Mod. Basic Amarillo")</f>
        <v>Bandera señalizacion Mod. Basic Amarillo</v>
      </c>
      <c r="C597" s="4">
        <f>IFERROR(__xludf.DUMMYFUNCTION("""COMPUTED_VALUE"""),4.9)</f>
        <v>4.9</v>
      </c>
    </row>
    <row r="598">
      <c r="A598" s="4" t="str">
        <f>IFERROR(__xludf.DUMMYFUNCTION("""COMPUTED_VALUE"""),"0575R")</f>
        <v>0575R</v>
      </c>
      <c r="B598" s="4" t="str">
        <f>IFERROR(__xludf.DUMMYFUNCTION("""COMPUTED_VALUE"""),"Bandera señalizacion Mod. Basic Rojo")</f>
        <v>Bandera señalizacion Mod. Basic Rojo</v>
      </c>
      <c r="C598" s="4">
        <f>IFERROR(__xludf.DUMMYFUNCTION("""COMPUTED_VALUE"""),4.9)</f>
        <v>4.9</v>
      </c>
    </row>
    <row r="599">
      <c r="A599" s="4" t="str">
        <f>IFERROR(__xludf.DUMMYFUNCTION("""COMPUTED_VALUE"""),"0575V")</f>
        <v>0575V</v>
      </c>
      <c r="B599" s="4" t="str">
        <f>IFERROR(__xludf.DUMMYFUNCTION("""COMPUTED_VALUE"""),"Bandera señalizacion Mod. Basic Verde")</f>
        <v>Bandera señalizacion Mod. Basic Verde</v>
      </c>
      <c r="C599" s="4">
        <f>IFERROR(__xludf.DUMMYFUNCTION("""COMPUTED_VALUE"""),4.9)</f>
        <v>4.9</v>
      </c>
    </row>
    <row r="600">
      <c r="A600" s="4" t="str">
        <f>IFERROR(__xludf.DUMMYFUNCTION("""COMPUTED_VALUE"""),"0575Z")</f>
        <v>0575Z</v>
      </c>
      <c r="B600" s="4" t="str">
        <f>IFERROR(__xludf.DUMMYFUNCTION("""COMPUTED_VALUE"""),"Bandera señalizacion Mod. Basic Azul")</f>
        <v>Bandera señalizacion Mod. Basic Azul</v>
      </c>
      <c r="C600" s="4">
        <f>IFERROR(__xludf.DUMMYFUNCTION("""COMPUTED_VALUE"""),4.9)</f>
        <v>4.9</v>
      </c>
    </row>
    <row r="601">
      <c r="A601" s="4" t="str">
        <f>IFERROR(__xludf.DUMMYFUNCTION("""COMPUTED_VALUE"""),"576")</f>
        <v>576</v>
      </c>
      <c r="B601" s="4" t="str">
        <f>IFERROR(__xludf.DUMMYFUNCTION("""COMPUTED_VALUE"""),"Hito H-75 fijo Polietileno verde Mod. A")</f>
        <v>Hito H-75 fijo Polietileno verde Mod. A</v>
      </c>
      <c r="C601" s="4">
        <f>IFERROR(__xludf.DUMMYFUNCTION("""COMPUTED_VALUE"""),16.95)</f>
        <v>16.95</v>
      </c>
    </row>
    <row r="602">
      <c r="A602" s="4" t="str">
        <f>IFERROR(__xludf.DUMMYFUNCTION("""COMPUTED_VALUE"""),"0576P")</f>
        <v>0576P</v>
      </c>
      <c r="B602" s="4" t="str">
        <f>IFERROR(__xludf.DUMMYFUNCTION("""COMPUTED_VALUE"""),"Hito H-50 fijo Polietileno verde Mod. A")</f>
        <v>Hito H-50 fijo Polietileno verde Mod. A</v>
      </c>
      <c r="C602" s="4">
        <f>IFERROR(__xludf.DUMMYFUNCTION("""COMPUTED_VALUE"""),13.75)</f>
        <v>13.75</v>
      </c>
    </row>
    <row r="603">
      <c r="A603" s="4" t="str">
        <f>IFERROR(__xludf.DUMMYFUNCTION("""COMPUTED_VALUE"""),"0576T")</f>
        <v>0576T</v>
      </c>
      <c r="B603" s="4" t="str">
        <f>IFERROR(__xludf.DUMMYFUNCTION("""COMPUTED_VALUE"""),"Tornillo con casquillo para H-75")</f>
        <v>Tornillo con casquillo para H-75</v>
      </c>
      <c r="C603" s="4">
        <f>IFERROR(__xludf.DUMMYFUNCTION("""COMPUTED_VALUE"""),2.15)</f>
        <v>2.15</v>
      </c>
    </row>
    <row r="604">
      <c r="A604" s="4" t="str">
        <f>IFERROR(__xludf.DUMMYFUNCTION("""COMPUTED_VALUE"""),"577")</f>
        <v>577</v>
      </c>
      <c r="B604" s="4" t="str">
        <f>IFERROR(__xludf.DUMMYFUNCTION("""COMPUTED_VALUE"""),"Señal Obra con mango STOP-PASO")</f>
        <v>Señal Obra con mango STOP-PASO</v>
      </c>
      <c r="C604" s="4">
        <f>IFERROR(__xludf.DUMMYFUNCTION("""COMPUTED_VALUE"""),4.9)</f>
        <v>4.9</v>
      </c>
    </row>
    <row r="605">
      <c r="A605" s="4" t="str">
        <f>IFERROR(__xludf.DUMMYFUNCTION("""COMPUTED_VALUE"""),"0577A")</f>
        <v>0577A</v>
      </c>
      <c r="B605" s="4" t="str">
        <f>IFERROR(__xludf.DUMMYFUNCTION("""COMPUTED_VALUE"""),"Señal Stop/Paso con Mango Reforzada aluminio")</f>
        <v>Señal Stop/Paso con Mango Reforzada aluminio</v>
      </c>
      <c r="C605" s="4">
        <f>IFERROR(__xludf.DUMMYFUNCTION("""COMPUTED_VALUE"""),9.0)</f>
        <v>9</v>
      </c>
    </row>
    <row r="606">
      <c r="A606" s="4" t="str">
        <f>IFERROR(__xludf.DUMMYFUNCTION("""COMPUTED_VALUE"""),"0577B")</f>
        <v>0577B</v>
      </c>
      <c r="B606" s="4" t="str">
        <f>IFERROR(__xludf.DUMMYFUNCTION("""COMPUTED_VALUE"""),"Señal Obra con mango STOP-PASO 1.5 m")</f>
        <v>Señal Obra con mango STOP-PASO 1.5 m</v>
      </c>
      <c r="C606" s="4">
        <f>IFERROR(__xludf.DUMMYFUNCTION("""COMPUTED_VALUE"""),7.75)</f>
        <v>7.75</v>
      </c>
    </row>
    <row r="607">
      <c r="A607" s="4" t="str">
        <f>IFERROR(__xludf.DUMMYFUNCTION("""COMPUTED_VALUE"""),"578")</f>
        <v>578</v>
      </c>
      <c r="B607" s="4" t="str">
        <f>IFERROR(__xludf.DUMMYFUNCTION("""COMPUTED_VALUE"""),"Soporte metálica para señal bolsa")</f>
        <v>Soporte metálica para señal bolsa</v>
      </c>
      <c r="C607" s="4">
        <f>IFERROR(__xludf.DUMMYFUNCTION("""COMPUTED_VALUE"""),15.75)</f>
        <v>15.75</v>
      </c>
    </row>
    <row r="608">
      <c r="A608" s="4" t="str">
        <f>IFERROR(__xludf.DUMMYFUNCTION("""COMPUTED_VALUE"""),"0579A")</f>
        <v>0579A</v>
      </c>
      <c r="B608" s="4" t="str">
        <f>IFERROR(__xludf.DUMMYFUNCTION("""COMPUTED_VALUE"""),"Pilona extraible PVC-EVA 810 mm Amarilla")</f>
        <v>Pilona extraible PVC-EVA 810 mm Amarilla</v>
      </c>
      <c r="C608" s="4">
        <f>IFERROR(__xludf.DUMMYFUNCTION("""COMPUTED_VALUE"""),46.0)</f>
        <v>46</v>
      </c>
    </row>
    <row r="609">
      <c r="A609" s="4" t="str">
        <f>IFERROR(__xludf.DUMMYFUNCTION("""COMPUTED_VALUE"""),"0579B")</f>
        <v>0579B</v>
      </c>
      <c r="B609" s="4" t="str">
        <f>IFERROR(__xludf.DUMMYFUNCTION("""COMPUTED_VALUE"""),"Sistema extraible para pilona 0579")</f>
        <v>Sistema extraible para pilona 0579</v>
      </c>
      <c r="C609" s="4">
        <f>IFERROR(__xludf.DUMMYFUNCTION("""COMPUTED_VALUE"""),35.63)</f>
        <v>35.63</v>
      </c>
    </row>
    <row r="610">
      <c r="A610" s="4" t="str">
        <f>IFERROR(__xludf.DUMMYFUNCTION("""COMPUTED_VALUE"""),"0579LL")</f>
        <v>0579LL</v>
      </c>
      <c r="B610" s="4" t="str">
        <f>IFERROR(__xludf.DUMMYFUNCTION("""COMPUTED_VALUE"""),"Llave para pilona extraible 0579")</f>
        <v>Llave para pilona extraible 0579</v>
      </c>
      <c r="C610" s="4">
        <f>IFERROR(__xludf.DUMMYFUNCTION("""COMPUTED_VALUE"""),8.0)</f>
        <v>8</v>
      </c>
    </row>
    <row r="611">
      <c r="A611" s="4" t="str">
        <f>IFERROR(__xludf.DUMMYFUNCTION("""COMPUTED_VALUE"""),"0579N")</f>
        <v>0579N</v>
      </c>
      <c r="B611" s="4" t="str">
        <f>IFERROR(__xludf.DUMMYFUNCTION("""COMPUTED_VALUE"""),"Pilona Extraíble PVC-EVA 810 mm Negro")</f>
        <v>Pilona Extraíble PVC-EVA 810 mm Negro</v>
      </c>
      <c r="C611" s="4">
        <f>IFERROR(__xludf.DUMMYFUNCTION("""COMPUTED_VALUE"""),46.0)</f>
        <v>46</v>
      </c>
    </row>
    <row r="612">
      <c r="A612" s="4" t="str">
        <f>IFERROR(__xludf.DUMMYFUNCTION("""COMPUTED_VALUE"""),"0579R")</f>
        <v>0579R</v>
      </c>
      <c r="B612" s="4" t="str">
        <f>IFERROR(__xludf.DUMMYFUNCTION("""COMPUTED_VALUE"""),"Pilona extraible PVC-EVA 810 mm Rojo")</f>
        <v>Pilona extraible PVC-EVA 810 mm Rojo</v>
      </c>
      <c r="C612" s="4">
        <f>IFERROR(__xludf.DUMMYFUNCTION("""COMPUTED_VALUE"""),46.0)</f>
        <v>46</v>
      </c>
    </row>
    <row r="613">
      <c r="A613" s="4" t="str">
        <f>IFERROR(__xludf.DUMMYFUNCTION("""COMPUTED_VALUE"""),"0579V")</f>
        <v>0579V</v>
      </c>
      <c r="B613" s="4" t="str">
        <f>IFERROR(__xludf.DUMMYFUNCTION("""COMPUTED_VALUE"""),"Pilona extraible PVC-EVA 810 mm Verde")</f>
        <v>Pilona extraible PVC-EVA 810 mm Verde</v>
      </c>
      <c r="C613" s="4">
        <f>IFERROR(__xludf.DUMMYFUNCTION("""COMPUTED_VALUE"""),46.0)</f>
        <v>46</v>
      </c>
    </row>
    <row r="614">
      <c r="A614" s="4" t="str">
        <f>IFERROR(__xludf.DUMMYFUNCTION("""COMPUTED_VALUE"""),"0579Z")</f>
        <v>0579Z</v>
      </c>
      <c r="B614" s="4" t="str">
        <f>IFERROR(__xludf.DUMMYFUNCTION("""COMPUTED_VALUE"""),"Pilona extraible PVC-EVA 810 mm Azul")</f>
        <v>Pilona extraible PVC-EVA 810 mm Azul</v>
      </c>
      <c r="C614" s="4">
        <f>IFERROR(__xludf.DUMMYFUNCTION("""COMPUTED_VALUE"""),46.0)</f>
        <v>46</v>
      </c>
    </row>
    <row r="615">
      <c r="A615" s="4" t="str">
        <f>IFERROR(__xludf.DUMMYFUNCTION("""COMPUTED_VALUE"""),"0580A")</f>
        <v>0580A</v>
      </c>
      <c r="B615" s="4" t="str">
        <f>IFERROR(__xludf.DUMMYFUNCTION("""COMPUTED_VALUE"""),"Pilona fija PVC-EVA 810 mm Amarillo con peana")</f>
        <v>Pilona fija PVC-EVA 810 mm Amarillo con peana</v>
      </c>
      <c r="C615" s="4">
        <f>IFERROR(__xludf.DUMMYFUNCTION("""COMPUTED_VALUE"""),47.0)</f>
        <v>47</v>
      </c>
    </row>
    <row r="616">
      <c r="A616" s="4" t="str">
        <f>IFERROR(__xludf.DUMMYFUNCTION("""COMPUTED_VALUE"""),"0580N")</f>
        <v>0580N</v>
      </c>
      <c r="B616" s="4" t="str">
        <f>IFERROR(__xludf.DUMMYFUNCTION("""COMPUTED_VALUE"""),"Pilona fija PVC-EVA 810 mm Negro con peana")</f>
        <v>Pilona fija PVC-EVA 810 mm Negro con peana</v>
      </c>
      <c r="C616" s="4">
        <f>IFERROR(__xludf.DUMMYFUNCTION("""COMPUTED_VALUE"""),47.0)</f>
        <v>47</v>
      </c>
    </row>
    <row r="617">
      <c r="A617" s="4" t="str">
        <f>IFERROR(__xludf.DUMMYFUNCTION("""COMPUTED_VALUE"""),"0580R")</f>
        <v>0580R</v>
      </c>
      <c r="B617" s="4" t="str">
        <f>IFERROR(__xludf.DUMMYFUNCTION("""COMPUTED_VALUE"""),"Pilona fija PVC-EVA 810 mm Rojo con peana")</f>
        <v>Pilona fija PVC-EVA 810 mm Rojo con peana</v>
      </c>
      <c r="C617" s="4">
        <f>IFERROR(__xludf.DUMMYFUNCTION("""COMPUTED_VALUE"""),47.0)</f>
        <v>47</v>
      </c>
    </row>
    <row r="618">
      <c r="A618" s="4" t="str">
        <f>IFERROR(__xludf.DUMMYFUNCTION("""COMPUTED_VALUE"""),"0580V")</f>
        <v>0580V</v>
      </c>
      <c r="B618" s="4" t="str">
        <f>IFERROR(__xludf.DUMMYFUNCTION("""COMPUTED_VALUE"""),"Pilona fija PVC-EVA 810 mm Verde con peana")</f>
        <v>Pilona fija PVC-EVA 810 mm Verde con peana</v>
      </c>
      <c r="C618" s="4">
        <f>IFERROR(__xludf.DUMMYFUNCTION("""COMPUTED_VALUE"""),47.0)</f>
        <v>47</v>
      </c>
    </row>
    <row r="619">
      <c r="A619" s="4" t="str">
        <f>IFERROR(__xludf.DUMMYFUNCTION("""COMPUTED_VALUE"""),"0580Z")</f>
        <v>0580Z</v>
      </c>
      <c r="B619" s="4" t="str">
        <f>IFERROR(__xludf.DUMMYFUNCTION("""COMPUTED_VALUE"""),"Pilona fija PVC-EVA 810 mm Azul con peana")</f>
        <v>Pilona fija PVC-EVA 810 mm Azul con peana</v>
      </c>
      <c r="C619" s="4">
        <f>IFERROR(__xludf.DUMMYFUNCTION("""COMPUTED_VALUE"""),47.0)</f>
        <v>47</v>
      </c>
    </row>
    <row r="620">
      <c r="A620" s="4" t="str">
        <f>IFERROR(__xludf.DUMMYFUNCTION("""COMPUTED_VALUE"""),"581")</f>
        <v>581</v>
      </c>
      <c r="B620" s="4" t="str">
        <f>IFERROR(__xludf.DUMMYFUNCTION("""COMPUTED_VALUE"""),"Hito 100 cm PVC blando Naranja Mod.J")</f>
        <v>Hito 100 cm PVC blando Naranja Mod.J</v>
      </c>
      <c r="C620" s="4">
        <f>IFERROR(__xludf.DUMMYFUNCTION("""COMPUTED_VALUE"""),22.1)</f>
        <v>22.1</v>
      </c>
    </row>
    <row r="621">
      <c r="A621" s="4" t="str">
        <f>IFERROR(__xludf.DUMMYFUNCTION("""COMPUTED_VALUE"""),"0581A")</f>
        <v>0581A</v>
      </c>
      <c r="B621" s="4" t="str">
        <f>IFERROR(__xludf.DUMMYFUNCTION("""COMPUTED_VALUE"""),"Hito 100 cm PVC blando Azul Mod.J")</f>
        <v>Hito 100 cm PVC blando Azul Mod.J</v>
      </c>
      <c r="C621" s="4">
        <f>IFERROR(__xludf.DUMMYFUNCTION("""COMPUTED_VALUE"""),22.1)</f>
        <v>22.1</v>
      </c>
    </row>
    <row r="622">
      <c r="A622" s="4" t="str">
        <f>IFERROR(__xludf.DUMMYFUNCTION("""COMPUTED_VALUE"""),"0581AM")</f>
        <v>0581AM</v>
      </c>
      <c r="B622" s="4" t="str">
        <f>IFERROR(__xludf.DUMMYFUNCTION("""COMPUTED_VALUE"""),"Hito 100 cm PVC blando Amarillo Mod.J")</f>
        <v>Hito 100 cm PVC blando Amarillo Mod.J</v>
      </c>
      <c r="C622" s="4">
        <f>IFERROR(__xludf.DUMMYFUNCTION("""COMPUTED_VALUE"""),22.1)</f>
        <v>22.1</v>
      </c>
    </row>
    <row r="623">
      <c r="A623" s="4" t="str">
        <f>IFERROR(__xludf.DUMMYFUNCTION("""COMPUTED_VALUE"""),"0581B")</f>
        <v>0581B</v>
      </c>
      <c r="B623" s="4" t="str">
        <f>IFERROR(__xludf.DUMMYFUNCTION("""COMPUTED_VALUE"""),"Hito 100 cm PVC blando Blanco Mod.J")</f>
        <v>Hito 100 cm PVC blando Blanco Mod.J</v>
      </c>
      <c r="C623" s="4">
        <f>IFERROR(__xludf.DUMMYFUNCTION("""COMPUTED_VALUE"""),22.1)</f>
        <v>22.1</v>
      </c>
    </row>
    <row r="624">
      <c r="A624" s="4" t="str">
        <f>IFERROR(__xludf.DUMMYFUNCTION("""COMPUTED_VALUE"""),"0581NE")</f>
        <v>0581NE</v>
      </c>
      <c r="B624" s="4" t="str">
        <f>IFERROR(__xludf.DUMMYFUNCTION("""COMPUTED_VALUE"""),"Hito 100 cm PVC blando Negro Mod.J")</f>
        <v>Hito 100 cm PVC blando Negro Mod.J</v>
      </c>
      <c r="C624" s="4">
        <f>IFERROR(__xludf.DUMMYFUNCTION("""COMPUTED_VALUE"""),22.1)</f>
        <v>22.1</v>
      </c>
    </row>
    <row r="625">
      <c r="A625" s="4" t="str">
        <f>IFERROR(__xludf.DUMMYFUNCTION("""COMPUTED_VALUE"""),"0581R")</f>
        <v>0581R</v>
      </c>
      <c r="B625" s="4" t="str">
        <f>IFERROR(__xludf.DUMMYFUNCTION("""COMPUTED_VALUE"""),"Hito 100 cm PVC blando Rojo Mod.J")</f>
        <v>Hito 100 cm PVC blando Rojo Mod.J</v>
      </c>
      <c r="C625" s="4">
        <f>IFERROR(__xludf.DUMMYFUNCTION("""COMPUTED_VALUE"""),22.1)</f>
        <v>22.1</v>
      </c>
    </row>
    <row r="626">
      <c r="A626" s="4" t="str">
        <f>IFERROR(__xludf.DUMMYFUNCTION("""COMPUTED_VALUE"""),"0581V")</f>
        <v>0581V</v>
      </c>
      <c r="B626" s="4" t="str">
        <f>IFERROR(__xludf.DUMMYFUNCTION("""COMPUTED_VALUE"""),"Hito 100 cm PVC blando Verde Mod.J")</f>
        <v>Hito 100 cm PVC blando Verde Mod.J</v>
      </c>
      <c r="C626" s="4">
        <f>IFERROR(__xludf.DUMMYFUNCTION("""COMPUTED_VALUE"""),22.1)</f>
        <v>22.1</v>
      </c>
    </row>
    <row r="627">
      <c r="A627" s="4" t="str">
        <f>IFERROR(__xludf.DUMMYFUNCTION("""COMPUTED_VALUE"""),"582")</f>
        <v>582</v>
      </c>
      <c r="B627" s="4" t="str">
        <f>IFERROR(__xludf.DUMMYFUNCTION("""COMPUTED_VALUE"""),"Hito H-75 flexible E.V.A. verde Mod. C Plus")</f>
        <v>Hito H-75 flexible E.V.A. verde Mod. C Plus</v>
      </c>
      <c r="C627" s="4">
        <f>IFERROR(__xludf.DUMMYFUNCTION("""COMPUTED_VALUE"""),22.25)</f>
        <v>22.25</v>
      </c>
    </row>
    <row r="628">
      <c r="A628" s="4" t="str">
        <f>IFERROR(__xludf.DUMMYFUNCTION("""COMPUTED_VALUE"""),"0582P")</f>
        <v>0582P</v>
      </c>
      <c r="B628" s="4" t="str">
        <f>IFERROR(__xludf.DUMMYFUNCTION("""COMPUTED_VALUE"""),"Hito H-50 flexible E.V.A. verde Mod. C Plus")</f>
        <v>Hito H-50 flexible E.V.A. verde Mod. C Plus</v>
      </c>
      <c r="C628" s="4">
        <f>IFERROR(__xludf.DUMMYFUNCTION("""COMPUTED_VALUE"""),16.25)</f>
        <v>16.25</v>
      </c>
    </row>
    <row r="629">
      <c r="A629" s="4" t="str">
        <f>IFERROR(__xludf.DUMMYFUNCTION("""COMPUTED_VALUE"""),"583")</f>
        <v>583</v>
      </c>
      <c r="B629" s="4" t="str">
        <f>IFERROR(__xludf.DUMMYFUNCTION("""COMPUTED_VALUE"""),"Hito H-75 flexible E.V.A. azul Mod. C Plus")</f>
        <v>Hito H-75 flexible E.V.A. azul Mod. C Plus</v>
      </c>
      <c r="C629" s="4">
        <f>IFERROR(__xludf.DUMMYFUNCTION("""COMPUTED_VALUE"""),22.25)</f>
        <v>22.25</v>
      </c>
    </row>
    <row r="630">
      <c r="A630" s="4" t="str">
        <f>IFERROR(__xludf.DUMMYFUNCTION("""COMPUTED_VALUE"""),"0583P")</f>
        <v>0583P</v>
      </c>
      <c r="B630" s="4" t="str">
        <f>IFERROR(__xludf.DUMMYFUNCTION("""COMPUTED_VALUE"""),"Hito H-50 flexible E.V.A. azul Mod. C Plus")</f>
        <v>Hito H-50 flexible E.V.A. azul Mod. C Plus</v>
      </c>
      <c r="C630" s="4">
        <f>IFERROR(__xludf.DUMMYFUNCTION("""COMPUTED_VALUE"""),16.25)</f>
        <v>16.25</v>
      </c>
    </row>
    <row r="631">
      <c r="A631" s="4" t="str">
        <f>IFERROR(__xludf.DUMMYFUNCTION("""COMPUTED_VALUE"""),"584")</f>
        <v>584</v>
      </c>
      <c r="B631" s="4" t="str">
        <f>IFERROR(__xludf.DUMMYFUNCTION("""COMPUTED_VALUE"""),"Hito H-75 flexible E.V.A. rojo Mod. C Plus")</f>
        <v>Hito H-75 flexible E.V.A. rojo Mod. C Plus</v>
      </c>
      <c r="C631" s="4">
        <f>IFERROR(__xludf.DUMMYFUNCTION("""COMPUTED_VALUE"""),22.25)</f>
        <v>22.25</v>
      </c>
    </row>
    <row r="632">
      <c r="A632" s="4" t="str">
        <f>IFERROR(__xludf.DUMMYFUNCTION("""COMPUTED_VALUE"""),"0584P")</f>
        <v>0584P</v>
      </c>
      <c r="B632" s="4" t="str">
        <f>IFERROR(__xludf.DUMMYFUNCTION("""COMPUTED_VALUE"""),"Hito H-50 flexible E.V.A. rojo Mod. C Plus")</f>
        <v>Hito H-50 flexible E.V.A. rojo Mod. C Plus</v>
      </c>
      <c r="C632" s="4">
        <f>IFERROR(__xludf.DUMMYFUNCTION("""COMPUTED_VALUE"""),16.25)</f>
        <v>16.25</v>
      </c>
    </row>
    <row r="633">
      <c r="A633" s="4" t="str">
        <f>IFERROR(__xludf.DUMMYFUNCTION("""COMPUTED_VALUE"""),"585")</f>
        <v>585</v>
      </c>
      <c r="B633" s="4" t="str">
        <f>IFERROR(__xludf.DUMMYFUNCTION("""COMPUTED_VALUE"""),"Hito H-75 flexible E.V.A. amarillo Mod. C plus")</f>
        <v>Hito H-75 flexible E.V.A. amarillo Mod. C plus</v>
      </c>
      <c r="C633" s="4">
        <f>IFERROR(__xludf.DUMMYFUNCTION("""COMPUTED_VALUE"""),22.05)</f>
        <v>22.05</v>
      </c>
    </row>
    <row r="634">
      <c r="A634" s="4" t="str">
        <f>IFERROR(__xludf.DUMMYFUNCTION("""COMPUTED_VALUE"""),"0585P")</f>
        <v>0585P</v>
      </c>
      <c r="B634" s="4" t="str">
        <f>IFERROR(__xludf.DUMMYFUNCTION("""COMPUTED_VALUE"""),"Hito H-50 flexible E.V.A. amarillo Mod. C Plus")</f>
        <v>Hito H-50 flexible E.V.A. amarillo Mod. C Plus</v>
      </c>
      <c r="C634" s="4">
        <f>IFERROR(__xludf.DUMMYFUNCTION("""COMPUTED_VALUE"""),16.25)</f>
        <v>16.25</v>
      </c>
    </row>
    <row r="635">
      <c r="A635" s="4" t="str">
        <f>IFERROR(__xludf.DUMMYFUNCTION("""COMPUTED_VALUE"""),"586")</f>
        <v>586</v>
      </c>
      <c r="B635" s="4" t="str">
        <f>IFERROR(__xludf.DUMMYFUNCTION("""COMPUTED_VALUE"""),"Hito H-75 fijo Polietileno rojo Mod. A")</f>
        <v>Hito H-75 fijo Polietileno rojo Mod. A</v>
      </c>
      <c r="C635" s="4">
        <f>IFERROR(__xludf.DUMMYFUNCTION("""COMPUTED_VALUE"""),16.95)</f>
        <v>16.95</v>
      </c>
    </row>
    <row r="636">
      <c r="A636" s="4" t="str">
        <f>IFERROR(__xludf.DUMMYFUNCTION("""COMPUTED_VALUE"""),"0586P")</f>
        <v>0586P</v>
      </c>
      <c r="B636" s="4" t="str">
        <f>IFERROR(__xludf.DUMMYFUNCTION("""COMPUTED_VALUE"""),"Hito H-50 fijo Polietilieno rojo Mod. A")</f>
        <v>Hito H-50 fijo Polietilieno rojo Mod. A</v>
      </c>
      <c r="C636" s="4">
        <f>IFERROR(__xludf.DUMMYFUNCTION("""COMPUTED_VALUE"""),13.75)</f>
        <v>13.75</v>
      </c>
    </row>
    <row r="637">
      <c r="A637" s="4" t="str">
        <f>IFERROR(__xludf.DUMMYFUNCTION("""COMPUTED_VALUE"""),"587")</f>
        <v>587</v>
      </c>
      <c r="B637" s="4" t="str">
        <f>IFERROR(__xludf.DUMMYFUNCTION("""COMPUTED_VALUE"""),"Hito H-75 fijo Polietileno amarillo Mod. A")</f>
        <v>Hito H-75 fijo Polietileno amarillo Mod. A</v>
      </c>
      <c r="C637" s="4">
        <f>IFERROR(__xludf.DUMMYFUNCTION("""COMPUTED_VALUE"""),16.95)</f>
        <v>16.95</v>
      </c>
    </row>
    <row r="638">
      <c r="A638" s="4" t="str">
        <f>IFERROR(__xludf.DUMMYFUNCTION("""COMPUTED_VALUE"""),"0587P")</f>
        <v>0587P</v>
      </c>
      <c r="B638" s="4" t="str">
        <f>IFERROR(__xludf.DUMMYFUNCTION("""COMPUTED_VALUE"""),"Hito H-50 Polietileno amarillo Mod. A")</f>
        <v>Hito H-50 Polietileno amarillo Mod. A</v>
      </c>
      <c r="C638" s="4">
        <f>IFERROR(__xludf.DUMMYFUNCTION("""COMPUTED_VALUE"""),13.75)</f>
        <v>13.75</v>
      </c>
    </row>
    <row r="639">
      <c r="A639" s="4" t="str">
        <f>IFERROR(__xludf.DUMMYFUNCTION("""COMPUTED_VALUE"""),"588")</f>
        <v>588</v>
      </c>
      <c r="B639" s="4" t="str">
        <f>IFERROR(__xludf.DUMMYFUNCTION("""COMPUTED_VALUE"""),"Hito 75 cm PVC blando Naranja Mod. E")</f>
        <v>Hito 75 cm PVC blando Naranja Mod. E</v>
      </c>
      <c r="C639" s="4">
        <f>IFERROR(__xludf.DUMMYFUNCTION("""COMPUTED_VALUE"""),13.75)</f>
        <v>13.75</v>
      </c>
    </row>
    <row r="640">
      <c r="A640" s="4" t="str">
        <f>IFERROR(__xludf.DUMMYFUNCTION("""COMPUTED_VALUE"""),"0588A")</f>
        <v>0588A</v>
      </c>
      <c r="B640" s="4" t="str">
        <f>IFERROR(__xludf.DUMMYFUNCTION("""COMPUTED_VALUE"""),"Hito 75 cm PVC blando Azul Mod. E")</f>
        <v>Hito 75 cm PVC blando Azul Mod. E</v>
      </c>
      <c r="C640" s="4">
        <f>IFERROR(__xludf.DUMMYFUNCTION("""COMPUTED_VALUE"""),13.75)</f>
        <v>13.75</v>
      </c>
    </row>
    <row r="641">
      <c r="A641" s="4" t="str">
        <f>IFERROR(__xludf.DUMMYFUNCTION("""COMPUTED_VALUE"""),"0588AM")</f>
        <v>0588AM</v>
      </c>
      <c r="B641" s="4" t="str">
        <f>IFERROR(__xludf.DUMMYFUNCTION("""COMPUTED_VALUE"""),"Hito 75 cm PVC blando Amarillo Mod. E")</f>
        <v>Hito 75 cm PVC blando Amarillo Mod. E</v>
      </c>
      <c r="C641" s="4">
        <f>IFERROR(__xludf.DUMMYFUNCTION("""COMPUTED_VALUE"""),13.75)</f>
        <v>13.75</v>
      </c>
    </row>
    <row r="642">
      <c r="A642" s="4" t="str">
        <f>IFERROR(__xludf.DUMMYFUNCTION("""COMPUTED_VALUE"""),"0588B")</f>
        <v>0588B</v>
      </c>
      <c r="B642" s="4" t="str">
        <f>IFERROR(__xludf.DUMMYFUNCTION("""COMPUTED_VALUE"""),"HIto 75 cm PVC blando Blanco Mod. E")</f>
        <v>HIto 75 cm PVC blando Blanco Mod. E</v>
      </c>
      <c r="C642" s="4">
        <f>IFERROR(__xludf.DUMMYFUNCTION("""COMPUTED_VALUE"""),13.75)</f>
        <v>13.75</v>
      </c>
    </row>
    <row r="643">
      <c r="A643" s="4" t="str">
        <f>IFERROR(__xludf.DUMMYFUNCTION("""COMPUTED_VALUE"""),"0588NE")</f>
        <v>0588NE</v>
      </c>
      <c r="B643" s="4" t="str">
        <f>IFERROR(__xludf.DUMMYFUNCTION("""COMPUTED_VALUE"""),"Hito 75 cm PVC blando Negro Mod. E")</f>
        <v>Hito 75 cm PVC blando Negro Mod. E</v>
      </c>
      <c r="C643" s="4">
        <f>IFERROR(__xludf.DUMMYFUNCTION("""COMPUTED_VALUE"""),13.75)</f>
        <v>13.75</v>
      </c>
    </row>
    <row r="644">
      <c r="A644" s="4" t="str">
        <f>IFERROR(__xludf.DUMMYFUNCTION("""COMPUTED_VALUE"""),"0588R")</f>
        <v>0588R</v>
      </c>
      <c r="B644" s="4" t="str">
        <f>IFERROR(__xludf.DUMMYFUNCTION("""COMPUTED_VALUE"""),"Hito 75 cm PVC blando Rojo Mod. E")</f>
        <v>Hito 75 cm PVC blando Rojo Mod. E</v>
      </c>
      <c r="C644" s="4">
        <f>IFERROR(__xludf.DUMMYFUNCTION("""COMPUTED_VALUE"""),13.75)</f>
        <v>13.75</v>
      </c>
    </row>
    <row r="645">
      <c r="A645" s="4" t="str">
        <f>IFERROR(__xludf.DUMMYFUNCTION("""COMPUTED_VALUE"""),"0588V")</f>
        <v>0588V</v>
      </c>
      <c r="B645" s="4" t="str">
        <f>IFERROR(__xludf.DUMMYFUNCTION("""COMPUTED_VALUE"""),"Hito 75 cm PVC blando Verde Mod. E")</f>
        <v>Hito 75 cm PVC blando Verde Mod. E</v>
      </c>
      <c r="C645" s="4">
        <f>IFERROR(__xludf.DUMMYFUNCTION("""COMPUTED_VALUE"""),13.75)</f>
        <v>13.75</v>
      </c>
    </row>
    <row r="646">
      <c r="A646" s="4" t="str">
        <f>IFERROR(__xludf.DUMMYFUNCTION("""COMPUTED_VALUE"""),"589")</f>
        <v>589</v>
      </c>
      <c r="B646" s="4" t="str">
        <f>IFERROR(__xludf.DUMMYFUNCTION("""COMPUTED_VALUE"""),"Hito 45 cm PVC blando Naranja Mod. F")</f>
        <v>Hito 45 cm PVC blando Naranja Mod. F</v>
      </c>
      <c r="C646" s="4">
        <f>IFERROR(__xludf.DUMMYFUNCTION("""COMPUTED_VALUE"""),8.25)</f>
        <v>8.25</v>
      </c>
    </row>
    <row r="647">
      <c r="A647" s="4" t="str">
        <f>IFERROR(__xludf.DUMMYFUNCTION("""COMPUTED_VALUE"""),"590")</f>
        <v>590</v>
      </c>
      <c r="B647" s="4" t="str">
        <f>IFERROR(__xludf.DUMMYFUNCTION("""COMPUTED_VALUE"""),"Captafaros flexible p/muro doble lente blanco/amarillo")</f>
        <v>Captafaros flexible p/muro doble lente blanco/amarillo</v>
      </c>
      <c r="C647" s="4">
        <f>IFERROR(__xludf.DUMMYFUNCTION("""COMPUTED_VALUE"""),4.7)</f>
        <v>4.7</v>
      </c>
    </row>
    <row r="648">
      <c r="A648" s="4" t="str">
        <f>IFERROR(__xludf.DUMMYFUNCTION("""COMPUTED_VALUE"""),"591")</f>
        <v>591</v>
      </c>
      <c r="B648" s="4" t="str">
        <f>IFERROR(__xludf.DUMMYFUNCTION("""COMPUTED_VALUE"""),"Captafaros doble lente blanco/amarillo 3M")</f>
        <v>Captafaros doble lente blanco/amarillo 3M</v>
      </c>
      <c r="C648" s="4">
        <f>IFERROR(__xludf.DUMMYFUNCTION("""COMPUTED_VALUE"""),3.1)</f>
        <v>3.1</v>
      </c>
    </row>
    <row r="649">
      <c r="A649" s="4" t="str">
        <f>IFERROR(__xludf.DUMMYFUNCTION("""COMPUTED_VALUE"""),"0591A")</f>
        <v>0591A</v>
      </c>
      <c r="B649" s="4" t="str">
        <f>IFERROR(__xludf.DUMMYFUNCTION("""COMPUTED_VALUE"""),"Captafaros doble lente Blanco/Amarillo Autoadhesivo 3M")</f>
        <v>Captafaros doble lente Blanco/Amarillo Autoadhesivo 3M</v>
      </c>
      <c r="C649" s="4">
        <f>IFERROR(__xludf.DUMMYFUNCTION("""COMPUTED_VALUE"""),4.4)</f>
        <v>4.4</v>
      </c>
    </row>
    <row r="650">
      <c r="A650" s="4" t="str">
        <f>IFERROR(__xludf.DUMMYFUNCTION("""COMPUTED_VALUE"""),"0591B")</f>
        <v>0591B</v>
      </c>
      <c r="B650" s="4" t="str">
        <f>IFERROR(__xludf.DUMMYFUNCTION("""COMPUTED_VALUE"""),"Captafaros doble lente Blanco/blanco 3M")</f>
        <v>Captafaros doble lente Blanco/blanco 3M</v>
      </c>
      <c r="C650" s="4">
        <f>IFERROR(__xludf.DUMMYFUNCTION("""COMPUTED_VALUE"""),3.1)</f>
        <v>3.1</v>
      </c>
    </row>
    <row r="651">
      <c r="A651" s="4" t="str">
        <f>IFERROR(__xludf.DUMMYFUNCTION("""COMPUTED_VALUE"""),"0591BA")</f>
        <v>0591BA</v>
      </c>
      <c r="B651" s="4" t="str">
        <f>IFERROR(__xludf.DUMMYFUNCTION("""COMPUTED_VALUE"""),"Captafaros doble lente Blanco/Blanco Autoadhesivo 3M")</f>
        <v>Captafaros doble lente Blanco/Blanco Autoadhesivo 3M</v>
      </c>
      <c r="C651" s="4">
        <f>IFERROR(__xludf.DUMMYFUNCTION("""COMPUTED_VALUE"""),4.4)</f>
        <v>4.4</v>
      </c>
    </row>
    <row r="652">
      <c r="A652" s="4" t="str">
        <f>IFERROR(__xludf.DUMMYFUNCTION("""COMPUTED_VALUE"""),"0592/A")</f>
        <v>0592/A</v>
      </c>
      <c r="B652" s="4" t="str">
        <f>IFERROR(__xludf.DUMMYFUNCTION("""COMPUTED_VALUE"""),"Delineador de Barrera LDS Amarillo 86x15,3 cm")</f>
        <v>Delineador de Barrera LDS Amarillo 86x15,3 cm</v>
      </c>
      <c r="C652" s="4">
        <f>IFERROR(__xludf.DUMMYFUNCTION("""COMPUTED_VALUE"""),19.95)</f>
        <v>19.95</v>
      </c>
    </row>
    <row r="653">
      <c r="A653" s="4" t="str">
        <f>IFERROR(__xludf.DUMMYFUNCTION("""COMPUTED_VALUE"""),"0592/B")</f>
        <v>0592/B</v>
      </c>
      <c r="B653" s="4" t="str">
        <f>IFERROR(__xludf.DUMMYFUNCTION("""COMPUTED_VALUE"""),"Delineador de Barrera LDS Blanco 86x15,3 cm")</f>
        <v>Delineador de Barrera LDS Blanco 86x15,3 cm</v>
      </c>
      <c r="C653" s="4">
        <f>IFERROR(__xludf.DUMMYFUNCTION("""COMPUTED_VALUE"""),19.95)</f>
        <v>19.95</v>
      </c>
    </row>
    <row r="654">
      <c r="A654" s="4" t="str">
        <f>IFERROR(__xludf.DUMMYFUNCTION("""COMPUTED_VALUE"""),"0592/R")</f>
        <v>0592/R</v>
      </c>
      <c r="B654" s="4" t="str">
        <f>IFERROR(__xludf.DUMMYFUNCTION("""COMPUTED_VALUE"""),"Delineador de Barrera LDS Rojo 86x15,3 cm")</f>
        <v>Delineador de Barrera LDS Rojo 86x15,3 cm</v>
      </c>
      <c r="C654" s="4">
        <f>IFERROR(__xludf.DUMMYFUNCTION("""COMPUTED_VALUE"""),19.95)</f>
        <v>19.95</v>
      </c>
    </row>
    <row r="655">
      <c r="A655" s="4" t="str">
        <f>IFERROR(__xludf.DUMMYFUNCTION("""COMPUTED_VALUE"""),"593")</f>
        <v>593</v>
      </c>
      <c r="B655" s="4" t="str">
        <f>IFERROR(__xludf.DUMMYFUNCTION("""COMPUTED_VALUE"""),"Hito Basculante Flexible 75 cm Mod. G + base")</f>
        <v>Hito Basculante Flexible 75 cm Mod. G + base</v>
      </c>
      <c r="C655" s="4">
        <f>IFERROR(__xludf.DUMMYFUNCTION("""COMPUTED_VALUE"""),24.85)</f>
        <v>24.85</v>
      </c>
    </row>
    <row r="656">
      <c r="A656" s="4" t="str">
        <f>IFERROR(__xludf.DUMMYFUNCTION("""COMPUTED_VALUE"""),"594")</f>
        <v>594</v>
      </c>
      <c r="B656" s="4" t="str">
        <f>IFERROR(__xludf.DUMMYFUNCTION("""COMPUTED_VALUE"""),"Panel señal. vertical R/B reflectante 2 caras")</f>
        <v>Panel señal. vertical R/B reflectante 2 caras</v>
      </c>
      <c r="C656" s="4">
        <f>IFERROR(__xludf.DUMMYFUNCTION("""COMPUTED_VALUE"""),18.25)</f>
        <v>18.25</v>
      </c>
    </row>
    <row r="657">
      <c r="A657" s="4" t="str">
        <f>IFERROR(__xludf.DUMMYFUNCTION("""COMPUTED_VALUE"""),"595")</f>
        <v>595</v>
      </c>
      <c r="B657" s="4" t="str">
        <f>IFERROR(__xludf.DUMMYFUNCTION("""COMPUTED_VALUE"""),"Conjunto manga viento + poste y rótula")</f>
        <v>Conjunto manga viento + poste y rótula</v>
      </c>
      <c r="C657" s="4">
        <f>IFERROR(__xludf.DUMMYFUNCTION("""COMPUTED_VALUE"""),934.5)</f>
        <v>934.5</v>
      </c>
    </row>
    <row r="658">
      <c r="A658" s="4" t="str">
        <f>IFERROR(__xludf.DUMMYFUNCTION("""COMPUTED_VALUE"""),"596")</f>
        <v>596</v>
      </c>
      <c r="B658" s="4" t="str">
        <f>IFERROR(__xludf.DUMMYFUNCTION("""COMPUTED_VALUE"""),"Mástil Manga viento c/ rótula 400cm x 8cm diam x 2mm")</f>
        <v>Mástil Manga viento c/ rótula 400cm x 8cm diam x 2mm</v>
      </c>
      <c r="C658" s="4">
        <f>IFERROR(__xludf.DUMMYFUNCTION("""COMPUTED_VALUE"""),472.5)</f>
        <v>472.5</v>
      </c>
    </row>
    <row r="659">
      <c r="A659" s="4" t="str">
        <f>IFERROR(__xludf.DUMMYFUNCTION("""COMPUTED_VALUE"""),"597")</f>
        <v>597</v>
      </c>
      <c r="B659" s="4" t="str">
        <f>IFERROR(__xludf.DUMMYFUNCTION("""COMPUTED_VALUE"""),"Manga de viento c/aro 400x150mm L.1600mm")</f>
        <v>Manga de viento c/aro 400x150mm L.1600mm</v>
      </c>
      <c r="C659" s="4">
        <f>IFERROR(__xludf.DUMMYFUNCTION("""COMPUTED_VALUE"""),294.0)</f>
        <v>294</v>
      </c>
    </row>
    <row r="660">
      <c r="A660" s="4" t="str">
        <f>IFERROR(__xludf.DUMMYFUNCTION("""COMPUTED_VALUE"""),"598")</f>
        <v>598</v>
      </c>
      <c r="B660" s="4" t="str">
        <f>IFERROR(__xludf.DUMMYFUNCTION("""COMPUTED_VALUE"""),"Rótula para manga viento")</f>
        <v>Rótula para manga viento</v>
      </c>
      <c r="C660" s="4">
        <f>IFERROR(__xludf.DUMMYFUNCTION("""COMPUTED_VALUE"""),99.75)</f>
        <v>99.75</v>
      </c>
    </row>
    <row r="661">
      <c r="A661" s="4" t="str">
        <f>IFERROR(__xludf.DUMMYFUNCTION("""COMPUTED_VALUE"""),"600")</f>
        <v>600</v>
      </c>
      <c r="B661" s="4" t="str">
        <f>IFERROR(__xludf.DUMMYFUNCTION("""COMPUTED_VALUE"""),"Señal metalica TP-3")</f>
        <v>Señal metalica TP-3</v>
      </c>
      <c r="C661" s="4">
        <f>IFERROR(__xludf.DUMMYFUNCTION("""COMPUTED_VALUE"""),11.25)</f>
        <v>11.25</v>
      </c>
    </row>
    <row r="662">
      <c r="A662" s="4" t="str">
        <f>IFERROR(__xludf.DUMMYFUNCTION("""COMPUTED_VALUE"""),"0600D")</f>
        <v>0600D</v>
      </c>
      <c r="B662" s="4" t="str">
        <f>IFERROR(__xludf.DUMMYFUNCTION("""COMPUTED_VALUE"""),"Señal metalica P-3")</f>
        <v>Señal metalica P-3</v>
      </c>
      <c r="C662" s="4">
        <f>IFERROR(__xludf.DUMMYFUNCTION("""COMPUTED_VALUE"""),11.25)</f>
        <v>11.25</v>
      </c>
    </row>
    <row r="663">
      <c r="A663" s="4" t="str">
        <f>IFERROR(__xludf.DUMMYFUNCTION("""COMPUTED_VALUE"""),"601")</f>
        <v>601</v>
      </c>
      <c r="B663" s="4" t="str">
        <f>IFERROR(__xludf.DUMMYFUNCTION("""COMPUTED_VALUE"""),"Señal metalica TP-13a")</f>
        <v>Señal metalica TP-13a</v>
      </c>
      <c r="C663" s="4">
        <f>IFERROR(__xludf.DUMMYFUNCTION("""COMPUTED_VALUE"""),11.25)</f>
        <v>11.25</v>
      </c>
    </row>
    <row r="664">
      <c r="A664" s="4" t="str">
        <f>IFERROR(__xludf.DUMMYFUNCTION("""COMPUTED_VALUE"""),"0601D")</f>
        <v>0601D</v>
      </c>
      <c r="B664" s="4" t="str">
        <f>IFERROR(__xludf.DUMMYFUNCTION("""COMPUTED_VALUE"""),"Señal metalica P-13a")</f>
        <v>Señal metalica P-13a</v>
      </c>
      <c r="C664" s="4">
        <f>IFERROR(__xludf.DUMMYFUNCTION("""COMPUTED_VALUE"""),11.25)</f>
        <v>11.25</v>
      </c>
    </row>
    <row r="665">
      <c r="A665" s="4" t="str">
        <f>IFERROR(__xludf.DUMMYFUNCTION("""COMPUTED_VALUE"""),"602")</f>
        <v>602</v>
      </c>
      <c r="B665" s="4" t="str">
        <f>IFERROR(__xludf.DUMMYFUNCTION("""COMPUTED_VALUE"""),"Señal metalica TP-13b")</f>
        <v>Señal metalica TP-13b</v>
      </c>
      <c r="C665" s="4">
        <f>IFERROR(__xludf.DUMMYFUNCTION("""COMPUTED_VALUE"""),11.25)</f>
        <v>11.25</v>
      </c>
    </row>
    <row r="666">
      <c r="A666" s="4" t="str">
        <f>IFERROR(__xludf.DUMMYFUNCTION("""COMPUTED_VALUE"""),"0602D")</f>
        <v>0602D</v>
      </c>
      <c r="B666" s="4" t="str">
        <f>IFERROR(__xludf.DUMMYFUNCTION("""COMPUTED_VALUE"""),"Señal metalica P-13b")</f>
        <v>Señal metalica P-13b</v>
      </c>
      <c r="C666" s="4">
        <f>IFERROR(__xludf.DUMMYFUNCTION("""COMPUTED_VALUE"""),11.25)</f>
        <v>11.25</v>
      </c>
    </row>
    <row r="667">
      <c r="A667" s="4" t="str">
        <f>IFERROR(__xludf.DUMMYFUNCTION("""COMPUTED_VALUE"""),"603")</f>
        <v>603</v>
      </c>
      <c r="B667" s="4" t="str">
        <f>IFERROR(__xludf.DUMMYFUNCTION("""COMPUTED_VALUE"""),"Señal metalica TP-14a")</f>
        <v>Señal metalica TP-14a</v>
      </c>
      <c r="C667" s="4">
        <f>IFERROR(__xludf.DUMMYFUNCTION("""COMPUTED_VALUE"""),11.25)</f>
        <v>11.25</v>
      </c>
    </row>
    <row r="668">
      <c r="A668" s="4" t="str">
        <f>IFERROR(__xludf.DUMMYFUNCTION("""COMPUTED_VALUE"""),"0603D")</f>
        <v>0603D</v>
      </c>
      <c r="B668" s="4" t="str">
        <f>IFERROR(__xludf.DUMMYFUNCTION("""COMPUTED_VALUE"""),"Señal metalica P-14a")</f>
        <v>Señal metalica P-14a</v>
      </c>
      <c r="C668" s="4">
        <f>IFERROR(__xludf.DUMMYFUNCTION("""COMPUTED_VALUE"""),11.25)</f>
        <v>11.25</v>
      </c>
    </row>
    <row r="669">
      <c r="A669" s="4" t="str">
        <f>IFERROR(__xludf.DUMMYFUNCTION("""COMPUTED_VALUE"""),"604")</f>
        <v>604</v>
      </c>
      <c r="B669" s="4" t="str">
        <f>IFERROR(__xludf.DUMMYFUNCTION("""COMPUTED_VALUE"""),"Señal metalica TP-14b")</f>
        <v>Señal metalica TP-14b</v>
      </c>
      <c r="C669" s="4">
        <f>IFERROR(__xludf.DUMMYFUNCTION("""COMPUTED_VALUE"""),11.25)</f>
        <v>11.25</v>
      </c>
    </row>
    <row r="670">
      <c r="A670" s="4" t="str">
        <f>IFERROR(__xludf.DUMMYFUNCTION("""COMPUTED_VALUE"""),"0604D")</f>
        <v>0604D</v>
      </c>
      <c r="B670" s="4" t="str">
        <f>IFERROR(__xludf.DUMMYFUNCTION("""COMPUTED_VALUE"""),"Señal metalica P-14b")</f>
        <v>Señal metalica P-14b</v>
      </c>
      <c r="C670" s="4">
        <f>IFERROR(__xludf.DUMMYFUNCTION("""COMPUTED_VALUE"""),11.25)</f>
        <v>11.25</v>
      </c>
    </row>
    <row r="671">
      <c r="A671" s="4" t="str">
        <f>IFERROR(__xludf.DUMMYFUNCTION("""COMPUTED_VALUE"""),"605")</f>
        <v>605</v>
      </c>
      <c r="B671" s="4" t="str">
        <f>IFERROR(__xludf.DUMMYFUNCTION("""COMPUTED_VALUE"""),"Señal metalica TP-15")</f>
        <v>Señal metalica TP-15</v>
      </c>
      <c r="C671" s="4">
        <f>IFERROR(__xludf.DUMMYFUNCTION("""COMPUTED_VALUE"""),11.25)</f>
        <v>11.25</v>
      </c>
    </row>
    <row r="672">
      <c r="A672" s="4" t="str">
        <f>IFERROR(__xludf.DUMMYFUNCTION("""COMPUTED_VALUE"""),"0605D")</f>
        <v>0605D</v>
      </c>
      <c r="B672" s="4" t="str">
        <f>IFERROR(__xludf.DUMMYFUNCTION("""COMPUTED_VALUE"""),"Señal metalica P-15")</f>
        <v>Señal metalica P-15</v>
      </c>
      <c r="C672" s="4">
        <f>IFERROR(__xludf.DUMMYFUNCTION("""COMPUTED_VALUE"""),11.25)</f>
        <v>11.25</v>
      </c>
    </row>
    <row r="673">
      <c r="A673" s="4" t="str">
        <f>IFERROR(__xludf.DUMMYFUNCTION("""COMPUTED_VALUE"""),"606")</f>
        <v>606</v>
      </c>
      <c r="B673" s="4" t="str">
        <f>IFERROR(__xludf.DUMMYFUNCTION("""COMPUTED_VALUE"""),"Señal metalica TP-15a")</f>
        <v>Señal metalica TP-15a</v>
      </c>
      <c r="C673" s="4">
        <f>IFERROR(__xludf.DUMMYFUNCTION("""COMPUTED_VALUE"""),11.25)</f>
        <v>11.25</v>
      </c>
    </row>
    <row r="674">
      <c r="A674" s="4" t="str">
        <f>IFERROR(__xludf.DUMMYFUNCTION("""COMPUTED_VALUE"""),"0606D")</f>
        <v>0606D</v>
      </c>
      <c r="B674" s="4" t="str">
        <f>IFERROR(__xludf.DUMMYFUNCTION("""COMPUTED_VALUE"""),"Señal metalica P-15a")</f>
        <v>Señal metalica P-15a</v>
      </c>
      <c r="C674" s="4">
        <f>IFERROR(__xludf.DUMMYFUNCTION("""COMPUTED_VALUE"""),11.25)</f>
        <v>11.25</v>
      </c>
    </row>
    <row r="675">
      <c r="A675" s="4" t="str">
        <f>IFERROR(__xludf.DUMMYFUNCTION("""COMPUTED_VALUE"""),"607")</f>
        <v>607</v>
      </c>
      <c r="B675" s="4" t="str">
        <f>IFERROR(__xludf.DUMMYFUNCTION("""COMPUTED_VALUE"""),"Señal metalica TP-15b")</f>
        <v>Señal metalica TP-15b</v>
      </c>
      <c r="C675" s="4">
        <f>IFERROR(__xludf.DUMMYFUNCTION("""COMPUTED_VALUE"""),11.25)</f>
        <v>11.25</v>
      </c>
    </row>
    <row r="676">
      <c r="A676" s="4" t="str">
        <f>IFERROR(__xludf.DUMMYFUNCTION("""COMPUTED_VALUE"""),"0607D")</f>
        <v>0607D</v>
      </c>
      <c r="B676" s="4" t="str">
        <f>IFERROR(__xludf.DUMMYFUNCTION("""COMPUTED_VALUE"""),"Señal metalica P-15b")</f>
        <v>Señal metalica P-15b</v>
      </c>
      <c r="C676" s="4">
        <f>IFERROR(__xludf.DUMMYFUNCTION("""COMPUTED_VALUE"""),11.25)</f>
        <v>11.25</v>
      </c>
    </row>
    <row r="677">
      <c r="A677" s="4" t="str">
        <f>IFERROR(__xludf.DUMMYFUNCTION("""COMPUTED_VALUE"""),"608")</f>
        <v>608</v>
      </c>
      <c r="B677" s="4" t="str">
        <f>IFERROR(__xludf.DUMMYFUNCTION("""COMPUTED_VALUE"""),"Señal metalica TP-17")</f>
        <v>Señal metalica TP-17</v>
      </c>
      <c r="C677" s="4">
        <f>IFERROR(__xludf.DUMMYFUNCTION("""COMPUTED_VALUE"""),11.25)</f>
        <v>11.25</v>
      </c>
    </row>
    <row r="678">
      <c r="A678" s="4" t="str">
        <f>IFERROR(__xludf.DUMMYFUNCTION("""COMPUTED_VALUE"""),"0608D")</f>
        <v>0608D</v>
      </c>
      <c r="B678" s="4" t="str">
        <f>IFERROR(__xludf.DUMMYFUNCTION("""COMPUTED_VALUE"""),"Señal metalica P-17")</f>
        <v>Señal metalica P-17</v>
      </c>
      <c r="C678" s="4">
        <f>IFERROR(__xludf.DUMMYFUNCTION("""COMPUTED_VALUE"""),11.25)</f>
        <v>11.25</v>
      </c>
    </row>
    <row r="679">
      <c r="A679" s="4" t="str">
        <f>IFERROR(__xludf.DUMMYFUNCTION("""COMPUTED_VALUE"""),"609")</f>
        <v>609</v>
      </c>
      <c r="B679" s="4" t="str">
        <f>IFERROR(__xludf.DUMMYFUNCTION("""COMPUTED_VALUE"""),"Señal metalica TP-17b")</f>
        <v>Señal metalica TP-17b</v>
      </c>
      <c r="C679" s="4">
        <f>IFERROR(__xludf.DUMMYFUNCTION("""COMPUTED_VALUE"""),11.25)</f>
        <v>11.25</v>
      </c>
    </row>
    <row r="680">
      <c r="A680" s="4" t="str">
        <f>IFERROR(__xludf.DUMMYFUNCTION("""COMPUTED_VALUE"""),"0609D")</f>
        <v>0609D</v>
      </c>
      <c r="B680" s="4" t="str">
        <f>IFERROR(__xludf.DUMMYFUNCTION("""COMPUTED_VALUE"""),"Señal metalica P-17b")</f>
        <v>Señal metalica P-17b</v>
      </c>
      <c r="C680" s="4">
        <f>IFERROR(__xludf.DUMMYFUNCTION("""COMPUTED_VALUE"""),11.25)</f>
        <v>11.25</v>
      </c>
    </row>
    <row r="681">
      <c r="A681" s="4" t="str">
        <f>IFERROR(__xludf.DUMMYFUNCTION("""COMPUTED_VALUE"""),"610")</f>
        <v>610</v>
      </c>
      <c r="B681" s="4" t="str">
        <f>IFERROR(__xludf.DUMMYFUNCTION("""COMPUTED_VALUE"""),"Señal metalica TP-17a")</f>
        <v>Señal metalica TP-17a</v>
      </c>
      <c r="C681" s="4">
        <f>IFERROR(__xludf.DUMMYFUNCTION("""COMPUTED_VALUE"""),11.25)</f>
        <v>11.25</v>
      </c>
    </row>
    <row r="682">
      <c r="A682" s="4" t="str">
        <f>IFERROR(__xludf.DUMMYFUNCTION("""COMPUTED_VALUE"""),"0610D")</f>
        <v>0610D</v>
      </c>
      <c r="B682" s="4" t="str">
        <f>IFERROR(__xludf.DUMMYFUNCTION("""COMPUTED_VALUE"""),"Señal metalica P-17a")</f>
        <v>Señal metalica P-17a</v>
      </c>
      <c r="C682" s="4">
        <f>IFERROR(__xludf.DUMMYFUNCTION("""COMPUTED_VALUE"""),11.25)</f>
        <v>11.25</v>
      </c>
    </row>
    <row r="683">
      <c r="A683" s="4" t="str">
        <f>IFERROR(__xludf.DUMMYFUNCTION("""COMPUTED_VALUE"""),"611")</f>
        <v>611</v>
      </c>
      <c r="B683" s="4" t="str">
        <f>IFERROR(__xludf.DUMMYFUNCTION("""COMPUTED_VALUE"""),"Señal metalica TP-18")</f>
        <v>Señal metalica TP-18</v>
      </c>
      <c r="C683" s="4">
        <f>IFERROR(__xludf.DUMMYFUNCTION("""COMPUTED_VALUE"""),11.25)</f>
        <v>11.25</v>
      </c>
    </row>
    <row r="684">
      <c r="A684" s="4" t="str">
        <f>IFERROR(__xludf.DUMMYFUNCTION("""COMPUTED_VALUE"""),"0611D")</f>
        <v>0611D</v>
      </c>
      <c r="B684" s="4" t="str">
        <f>IFERROR(__xludf.DUMMYFUNCTION("""COMPUTED_VALUE"""),"Señal metalica P-18")</f>
        <v>Señal metalica P-18</v>
      </c>
      <c r="C684" s="4">
        <f>IFERROR(__xludf.DUMMYFUNCTION("""COMPUTED_VALUE"""),11.25)</f>
        <v>11.25</v>
      </c>
    </row>
    <row r="685">
      <c r="A685" s="4" t="str">
        <f>IFERROR(__xludf.DUMMYFUNCTION("""COMPUTED_VALUE"""),"612")</f>
        <v>612</v>
      </c>
      <c r="B685" s="4" t="str">
        <f>IFERROR(__xludf.DUMMYFUNCTION("""COMPUTED_VALUE"""),"Señal metalica TP-19")</f>
        <v>Señal metalica TP-19</v>
      </c>
      <c r="C685" s="4">
        <f>IFERROR(__xludf.DUMMYFUNCTION("""COMPUTED_VALUE"""),11.25)</f>
        <v>11.25</v>
      </c>
    </row>
    <row r="686">
      <c r="A686" s="4" t="str">
        <f>IFERROR(__xludf.DUMMYFUNCTION("""COMPUTED_VALUE"""),"0612D")</f>
        <v>0612D</v>
      </c>
      <c r="B686" s="4" t="str">
        <f>IFERROR(__xludf.DUMMYFUNCTION("""COMPUTED_VALUE"""),"Señal metalica P-19")</f>
        <v>Señal metalica P-19</v>
      </c>
      <c r="C686" s="4">
        <f>IFERROR(__xludf.DUMMYFUNCTION("""COMPUTED_VALUE"""),11.25)</f>
        <v>11.25</v>
      </c>
    </row>
    <row r="687">
      <c r="A687" s="4" t="str">
        <f>IFERROR(__xludf.DUMMYFUNCTION("""COMPUTED_VALUE"""),"613")</f>
        <v>613</v>
      </c>
      <c r="B687" s="4" t="str">
        <f>IFERROR(__xludf.DUMMYFUNCTION("""COMPUTED_VALUE"""),"Señal metalica TP-25")</f>
        <v>Señal metalica TP-25</v>
      </c>
      <c r="C687" s="4">
        <f>IFERROR(__xludf.DUMMYFUNCTION("""COMPUTED_VALUE"""),11.25)</f>
        <v>11.25</v>
      </c>
    </row>
    <row r="688">
      <c r="A688" s="4" t="str">
        <f>IFERROR(__xludf.DUMMYFUNCTION("""COMPUTED_VALUE"""),"0613D")</f>
        <v>0613D</v>
      </c>
      <c r="B688" s="4" t="str">
        <f>IFERROR(__xludf.DUMMYFUNCTION("""COMPUTED_VALUE"""),"Señal metalica P-25")</f>
        <v>Señal metalica P-25</v>
      </c>
      <c r="C688" s="4">
        <f>IFERROR(__xludf.DUMMYFUNCTION("""COMPUTED_VALUE"""),11.25)</f>
        <v>11.25</v>
      </c>
    </row>
    <row r="689">
      <c r="A689" s="4" t="str">
        <f>IFERROR(__xludf.DUMMYFUNCTION("""COMPUTED_VALUE"""),"614")</f>
        <v>614</v>
      </c>
      <c r="B689" s="4" t="str">
        <f>IFERROR(__xludf.DUMMYFUNCTION("""COMPUTED_VALUE"""),"Señal metalica TP-26")</f>
        <v>Señal metalica TP-26</v>
      </c>
      <c r="C689" s="4">
        <f>IFERROR(__xludf.DUMMYFUNCTION("""COMPUTED_VALUE"""),11.25)</f>
        <v>11.25</v>
      </c>
    </row>
    <row r="690">
      <c r="A690" s="4" t="str">
        <f>IFERROR(__xludf.DUMMYFUNCTION("""COMPUTED_VALUE"""),"0614D")</f>
        <v>0614D</v>
      </c>
      <c r="B690" s="4" t="str">
        <f>IFERROR(__xludf.DUMMYFUNCTION("""COMPUTED_VALUE"""),"Señal metalica P-26")</f>
        <v>Señal metalica P-26</v>
      </c>
      <c r="C690" s="4">
        <f>IFERROR(__xludf.DUMMYFUNCTION("""COMPUTED_VALUE"""),11.25)</f>
        <v>11.25</v>
      </c>
    </row>
    <row r="691">
      <c r="A691" s="4" t="str">
        <f>IFERROR(__xludf.DUMMYFUNCTION("""COMPUTED_VALUE"""),"615")</f>
        <v>615</v>
      </c>
      <c r="B691" s="4" t="str">
        <f>IFERROR(__xludf.DUMMYFUNCTION("""COMPUTED_VALUE"""),"Señal metalica TP-28")</f>
        <v>Señal metalica TP-28</v>
      </c>
      <c r="C691" s="4">
        <f>IFERROR(__xludf.DUMMYFUNCTION("""COMPUTED_VALUE"""),11.25)</f>
        <v>11.25</v>
      </c>
    </row>
    <row r="692">
      <c r="A692" s="4" t="str">
        <f>IFERROR(__xludf.DUMMYFUNCTION("""COMPUTED_VALUE"""),"0615D")</f>
        <v>0615D</v>
      </c>
      <c r="B692" s="4" t="str">
        <f>IFERROR(__xludf.DUMMYFUNCTION("""COMPUTED_VALUE"""),"Señal metalica P-28")</f>
        <v>Señal metalica P-28</v>
      </c>
      <c r="C692" s="4">
        <f>IFERROR(__xludf.DUMMYFUNCTION("""COMPUTED_VALUE"""),11.25)</f>
        <v>11.25</v>
      </c>
    </row>
    <row r="693">
      <c r="A693" s="4" t="str">
        <f>IFERROR(__xludf.DUMMYFUNCTION("""COMPUTED_VALUE"""),"616")</f>
        <v>616</v>
      </c>
      <c r="B693" s="4" t="str">
        <f>IFERROR(__xludf.DUMMYFUNCTION("""COMPUTED_VALUE"""),"Señal metalica TP-30")</f>
        <v>Señal metalica TP-30</v>
      </c>
      <c r="C693" s="4">
        <f>IFERROR(__xludf.DUMMYFUNCTION("""COMPUTED_VALUE"""),11.25)</f>
        <v>11.25</v>
      </c>
    </row>
    <row r="694">
      <c r="A694" s="4" t="str">
        <f>IFERROR(__xludf.DUMMYFUNCTION("""COMPUTED_VALUE"""),"0616B")</f>
        <v>0616B</v>
      </c>
      <c r="B694" s="4" t="str">
        <f>IFERROR(__xludf.DUMMYFUNCTION("""COMPUTED_VALUE"""),"Cartel PVC 42x42 Fotolum. Salida emergencia derecha")</f>
        <v>Cartel PVC 42x42 Fotolum. Salida emergencia derecha</v>
      </c>
      <c r="C694" s="4">
        <f>IFERROR(__xludf.DUMMYFUNCTION("""COMPUTED_VALUE"""),3.9)</f>
        <v>3.9</v>
      </c>
    </row>
    <row r="695">
      <c r="A695" s="4" t="str">
        <f>IFERROR(__xludf.DUMMYFUNCTION("""COMPUTED_VALUE"""),"0616C")</f>
        <v>0616C</v>
      </c>
      <c r="B695" s="4" t="str">
        <f>IFERROR(__xludf.DUMMYFUNCTION("""COMPUTED_VALUE"""),"Cartel PVC 63x63 Fotolum. Salida emergencia derecha")</f>
        <v>Cartel PVC 63x63 Fotolum. Salida emergencia derecha</v>
      </c>
      <c r="C695" s="4">
        <f>IFERROR(__xludf.DUMMYFUNCTION("""COMPUTED_VALUE"""),6.25)</f>
        <v>6.25</v>
      </c>
    </row>
    <row r="696">
      <c r="A696" s="4" t="str">
        <f>IFERROR(__xludf.DUMMYFUNCTION("""COMPUTED_VALUE"""),"0616D")</f>
        <v>0616D</v>
      </c>
      <c r="B696" s="4" t="str">
        <f>IFERROR(__xludf.DUMMYFUNCTION("""COMPUTED_VALUE"""),"Señal metalica P-30")</f>
        <v>Señal metalica P-30</v>
      </c>
      <c r="C696" s="4">
        <f>IFERROR(__xludf.DUMMYFUNCTION("""COMPUTED_VALUE"""),11.25)</f>
        <v>11.25</v>
      </c>
    </row>
    <row r="697">
      <c r="A697" s="4" t="str">
        <f>IFERROR(__xludf.DUMMYFUNCTION("""COMPUTED_VALUE"""),"617")</f>
        <v>617</v>
      </c>
      <c r="B697" s="4" t="str">
        <f>IFERROR(__xludf.DUMMYFUNCTION("""COMPUTED_VALUE"""),"Señal metalica TP-50")</f>
        <v>Señal metalica TP-50</v>
      </c>
      <c r="C697" s="4">
        <f>IFERROR(__xludf.DUMMYFUNCTION("""COMPUTED_VALUE"""),11.25)</f>
        <v>11.25</v>
      </c>
    </row>
    <row r="698">
      <c r="A698" s="4" t="str">
        <f>IFERROR(__xludf.DUMMYFUNCTION("""COMPUTED_VALUE"""),"0617D")</f>
        <v>0617D</v>
      </c>
      <c r="B698" s="4" t="str">
        <f>IFERROR(__xludf.DUMMYFUNCTION("""COMPUTED_VALUE"""),"Señal metalica P-50")</f>
        <v>Señal metalica P-50</v>
      </c>
      <c r="C698" s="4">
        <f>IFERROR(__xludf.DUMMYFUNCTION("""COMPUTED_VALUE"""),11.25)</f>
        <v>11.25</v>
      </c>
    </row>
    <row r="699">
      <c r="A699" s="4" t="str">
        <f>IFERROR(__xludf.DUMMYFUNCTION("""COMPUTED_VALUE"""),"619")</f>
        <v>619</v>
      </c>
      <c r="B699" s="4" t="str">
        <f>IFERROR(__xludf.DUMMYFUNCTION("""COMPUTED_VALUE"""),"Señal metalica TP-4")</f>
        <v>Señal metalica TP-4</v>
      </c>
      <c r="C699" s="4">
        <f>IFERROR(__xludf.DUMMYFUNCTION("""COMPUTED_VALUE"""),11.25)</f>
        <v>11.25</v>
      </c>
    </row>
    <row r="700">
      <c r="A700" s="4" t="str">
        <f>IFERROR(__xludf.DUMMYFUNCTION("""COMPUTED_VALUE"""),"0619D")</f>
        <v>0619D</v>
      </c>
      <c r="B700" s="4" t="str">
        <f>IFERROR(__xludf.DUMMYFUNCTION("""COMPUTED_VALUE"""),"Señal metalica P-4")</f>
        <v>Señal metalica P-4</v>
      </c>
      <c r="C700" s="4">
        <f>IFERROR(__xludf.DUMMYFUNCTION("""COMPUTED_VALUE"""),11.25)</f>
        <v>11.25</v>
      </c>
    </row>
    <row r="701">
      <c r="A701" s="4" t="str">
        <f>IFERROR(__xludf.DUMMYFUNCTION("""COMPUTED_VALUE"""),"620")</f>
        <v>620</v>
      </c>
      <c r="B701" s="4" t="str">
        <f>IFERROR(__xludf.DUMMYFUNCTION("""COMPUTED_VALUE"""),"Señal metalica TR-1")</f>
        <v>Señal metalica TR-1</v>
      </c>
      <c r="C701" s="4">
        <f>IFERROR(__xludf.DUMMYFUNCTION("""COMPUTED_VALUE"""),11.25)</f>
        <v>11.25</v>
      </c>
    </row>
    <row r="702">
      <c r="A702" s="4" t="str">
        <f>IFERROR(__xludf.DUMMYFUNCTION("""COMPUTED_VALUE"""),"0620D")</f>
        <v>0620D</v>
      </c>
      <c r="B702" s="4" t="str">
        <f>IFERROR(__xludf.DUMMYFUNCTION("""COMPUTED_VALUE"""),"Señal metalica R-1")</f>
        <v>Señal metalica R-1</v>
      </c>
      <c r="C702" s="4">
        <f>IFERROR(__xludf.DUMMYFUNCTION("""COMPUTED_VALUE"""),11.25)</f>
        <v>11.25</v>
      </c>
    </row>
    <row r="703">
      <c r="A703" s="4" t="str">
        <f>IFERROR(__xludf.DUMMYFUNCTION("""COMPUTED_VALUE"""),"624")</f>
        <v>624</v>
      </c>
      <c r="B703" s="4" t="str">
        <f>IFERROR(__xludf.DUMMYFUNCTION("""COMPUTED_VALUE"""),"Señal metalica Minusvalidos M-1")</f>
        <v>Señal metalica Minusvalidos M-1</v>
      </c>
      <c r="C703" s="4">
        <f>IFERROR(__xludf.DUMMYFUNCTION("""COMPUTED_VALUE"""),11.25)</f>
        <v>11.25</v>
      </c>
    </row>
    <row r="704">
      <c r="A704" s="4" t="str">
        <f>IFERROR(__xludf.DUMMYFUNCTION("""COMPUTED_VALUE"""),"625")</f>
        <v>625</v>
      </c>
      <c r="B704" s="4" t="str">
        <f>IFERROR(__xludf.DUMMYFUNCTION("""COMPUTED_VALUE"""),"Señal metalica S-13")</f>
        <v>Señal metalica S-13</v>
      </c>
      <c r="C704" s="4">
        <f>IFERROR(__xludf.DUMMYFUNCTION("""COMPUTED_VALUE"""),11.25)</f>
        <v>11.25</v>
      </c>
    </row>
    <row r="705">
      <c r="A705" s="4" t="str">
        <f>IFERROR(__xludf.DUMMYFUNCTION("""COMPUTED_VALUE"""),"628")</f>
        <v>628</v>
      </c>
      <c r="B705" s="4" t="str">
        <f>IFERROR(__xludf.DUMMYFUNCTION("""COMPUTED_VALUE"""),"Señal metalica R-402")</f>
        <v>Señal metalica R-402</v>
      </c>
      <c r="C705" s="4">
        <f>IFERROR(__xludf.DUMMYFUNCTION("""COMPUTED_VALUE"""),11.25)</f>
        <v>11.25</v>
      </c>
    </row>
    <row r="706">
      <c r="A706" s="4" t="str">
        <f>IFERROR(__xludf.DUMMYFUNCTION("""COMPUTED_VALUE"""),"629")</f>
        <v>629</v>
      </c>
      <c r="B706" s="4" t="str">
        <f>IFERROR(__xludf.DUMMYFUNCTION("""COMPUTED_VALUE"""),"Señal metalica TR-100")</f>
        <v>Señal metalica TR-100</v>
      </c>
      <c r="C706" s="4">
        <f>IFERROR(__xludf.DUMMYFUNCTION("""COMPUTED_VALUE"""),11.25)</f>
        <v>11.25</v>
      </c>
    </row>
    <row r="707">
      <c r="A707" s="4" t="str">
        <f>IFERROR(__xludf.DUMMYFUNCTION("""COMPUTED_VALUE"""),"0629D")</f>
        <v>0629D</v>
      </c>
      <c r="B707" s="4" t="str">
        <f>IFERROR(__xludf.DUMMYFUNCTION("""COMPUTED_VALUE"""),"Señal metalica R-100")</f>
        <v>Señal metalica R-100</v>
      </c>
      <c r="C707" s="4">
        <f>IFERROR(__xludf.DUMMYFUNCTION("""COMPUTED_VALUE"""),11.25)</f>
        <v>11.25</v>
      </c>
    </row>
    <row r="708">
      <c r="A708" s="4" t="str">
        <f>IFERROR(__xludf.DUMMYFUNCTION("""COMPUTED_VALUE"""),"630")</f>
        <v>630</v>
      </c>
      <c r="B708" s="4" t="str">
        <f>IFERROR(__xludf.DUMMYFUNCTION("""COMPUTED_VALUE"""),"Señal metalica TR-305")</f>
        <v>Señal metalica TR-305</v>
      </c>
      <c r="C708" s="4">
        <f>IFERROR(__xludf.DUMMYFUNCTION("""COMPUTED_VALUE"""),11.25)</f>
        <v>11.25</v>
      </c>
    </row>
    <row r="709">
      <c r="A709" s="4" t="str">
        <f>IFERROR(__xludf.DUMMYFUNCTION("""COMPUTED_VALUE"""),"0630D")</f>
        <v>0630D</v>
      </c>
      <c r="B709" s="4" t="str">
        <f>IFERROR(__xludf.DUMMYFUNCTION("""COMPUTED_VALUE"""),"Señal metalica R-305")</f>
        <v>Señal metalica R-305</v>
      </c>
      <c r="C709" s="4">
        <f>IFERROR(__xludf.DUMMYFUNCTION("""COMPUTED_VALUE"""),11.25)</f>
        <v>11.25</v>
      </c>
    </row>
    <row r="710">
      <c r="A710" s="4" t="str">
        <f>IFERROR(__xludf.DUMMYFUNCTION("""COMPUTED_VALUE"""),"641")</f>
        <v>641</v>
      </c>
      <c r="B710" s="4" t="str">
        <f>IFERROR(__xludf.DUMMYFUNCTION("""COMPUTED_VALUE"""),"Señal metalica TR-101")</f>
        <v>Señal metalica TR-101</v>
      </c>
      <c r="C710" s="4">
        <f>IFERROR(__xludf.DUMMYFUNCTION("""COMPUTED_VALUE"""),11.25)</f>
        <v>11.25</v>
      </c>
    </row>
    <row r="711">
      <c r="A711" s="4" t="str">
        <f>IFERROR(__xludf.DUMMYFUNCTION("""COMPUTED_VALUE"""),"642")</f>
        <v>642</v>
      </c>
      <c r="B711" s="4" t="str">
        <f>IFERROR(__xludf.DUMMYFUNCTION("""COMPUTED_VALUE"""),"Señal metalica TR-106")</f>
        <v>Señal metalica TR-106</v>
      </c>
      <c r="C711" s="4">
        <f>IFERROR(__xludf.DUMMYFUNCTION("""COMPUTED_VALUE"""),11.25)</f>
        <v>11.25</v>
      </c>
    </row>
    <row r="712">
      <c r="A712" s="4" t="str">
        <f>IFERROR(__xludf.DUMMYFUNCTION("""COMPUTED_VALUE"""),"0642D")</f>
        <v>0642D</v>
      </c>
      <c r="B712" s="4" t="str">
        <f>IFERROR(__xludf.DUMMYFUNCTION("""COMPUTED_VALUE"""),"Señal metalica R-106")</f>
        <v>Señal metalica R-106</v>
      </c>
      <c r="C712" s="4">
        <f>IFERROR(__xludf.DUMMYFUNCTION("""COMPUTED_VALUE"""),11.25)</f>
        <v>11.25</v>
      </c>
    </row>
    <row r="713">
      <c r="A713" s="4" t="str">
        <f>IFERROR(__xludf.DUMMYFUNCTION("""COMPUTED_VALUE"""),"643")</f>
        <v>643</v>
      </c>
      <c r="B713" s="4" t="str">
        <f>IFERROR(__xludf.DUMMYFUNCTION("""COMPUTED_VALUE"""),"Señal metalica TR-201")</f>
        <v>Señal metalica TR-201</v>
      </c>
      <c r="C713" s="4">
        <f>IFERROR(__xludf.DUMMYFUNCTION("""COMPUTED_VALUE"""),11.25)</f>
        <v>11.25</v>
      </c>
    </row>
    <row r="714">
      <c r="A714" s="4" t="str">
        <f>IFERROR(__xludf.DUMMYFUNCTION("""COMPUTED_VALUE"""),"0643D")</f>
        <v>0643D</v>
      </c>
      <c r="B714" s="4" t="str">
        <f>IFERROR(__xludf.DUMMYFUNCTION("""COMPUTED_VALUE"""),"Señal metalica R-201")</f>
        <v>Señal metalica R-201</v>
      </c>
      <c r="C714" s="4">
        <f>IFERROR(__xludf.DUMMYFUNCTION("""COMPUTED_VALUE"""),11.25)</f>
        <v>11.25</v>
      </c>
    </row>
    <row r="715">
      <c r="A715" s="4" t="str">
        <f>IFERROR(__xludf.DUMMYFUNCTION("""COMPUTED_VALUE"""),"644")</f>
        <v>644</v>
      </c>
      <c r="B715" s="4" t="str">
        <f>IFERROR(__xludf.DUMMYFUNCTION("""COMPUTED_VALUE"""),"Señal metalica TR-204")</f>
        <v>Señal metalica TR-204</v>
      </c>
      <c r="C715" s="4">
        <f>IFERROR(__xludf.DUMMYFUNCTION("""COMPUTED_VALUE"""),11.25)</f>
        <v>11.25</v>
      </c>
    </row>
    <row r="716">
      <c r="A716" s="4" t="str">
        <f>IFERROR(__xludf.DUMMYFUNCTION("""COMPUTED_VALUE"""),"0644D")</f>
        <v>0644D</v>
      </c>
      <c r="B716" s="4" t="str">
        <f>IFERROR(__xludf.DUMMYFUNCTION("""COMPUTED_VALUE"""),"Señal metalica R-204")</f>
        <v>Señal metalica R-204</v>
      </c>
      <c r="C716" s="4">
        <f>IFERROR(__xludf.DUMMYFUNCTION("""COMPUTED_VALUE"""),11.25)</f>
        <v>11.25</v>
      </c>
    </row>
    <row r="717">
      <c r="A717" s="4" t="str">
        <f>IFERROR(__xludf.DUMMYFUNCTION("""COMPUTED_VALUE"""),"645")</f>
        <v>645</v>
      </c>
      <c r="B717" s="4" t="str">
        <f>IFERROR(__xludf.DUMMYFUNCTION("""COMPUTED_VALUE"""),"Señal metalica TR-205")</f>
        <v>Señal metalica TR-205</v>
      </c>
      <c r="C717" s="4">
        <f>IFERROR(__xludf.DUMMYFUNCTION("""COMPUTED_VALUE"""),11.25)</f>
        <v>11.25</v>
      </c>
    </row>
    <row r="718">
      <c r="A718" s="4" t="str">
        <f>IFERROR(__xludf.DUMMYFUNCTION("""COMPUTED_VALUE"""),"0645D")</f>
        <v>0645D</v>
      </c>
      <c r="B718" s="4" t="str">
        <f>IFERROR(__xludf.DUMMYFUNCTION("""COMPUTED_VALUE"""),"Señal metalica R-205")</f>
        <v>Señal metalica R-205</v>
      </c>
      <c r="C718" s="4">
        <f>IFERROR(__xludf.DUMMYFUNCTION("""COMPUTED_VALUE"""),11.25)</f>
        <v>11.25</v>
      </c>
    </row>
    <row r="719">
      <c r="A719" s="4" t="str">
        <f>IFERROR(__xludf.DUMMYFUNCTION("""COMPUTED_VALUE"""),"647")</f>
        <v>647</v>
      </c>
      <c r="B719" s="4" t="str">
        <f>IFERROR(__xludf.DUMMYFUNCTION("""COMPUTED_VALUE"""),"Señal metalica TR-303")</f>
        <v>Señal metalica TR-303</v>
      </c>
      <c r="C719" s="4">
        <f>IFERROR(__xludf.DUMMYFUNCTION("""COMPUTED_VALUE"""),11.25)</f>
        <v>11.25</v>
      </c>
    </row>
    <row r="720">
      <c r="A720" s="4" t="str">
        <f>IFERROR(__xludf.DUMMYFUNCTION("""COMPUTED_VALUE"""),"0647D")</f>
        <v>0647D</v>
      </c>
      <c r="B720" s="4" t="str">
        <f>IFERROR(__xludf.DUMMYFUNCTION("""COMPUTED_VALUE"""),"Señal metalica R-303")</f>
        <v>Señal metalica R-303</v>
      </c>
      <c r="C720" s="4">
        <f>IFERROR(__xludf.DUMMYFUNCTION("""COMPUTED_VALUE"""),11.25)</f>
        <v>11.25</v>
      </c>
    </row>
    <row r="721">
      <c r="A721" s="4" t="str">
        <f>IFERROR(__xludf.DUMMYFUNCTION("""COMPUTED_VALUE"""),"648")</f>
        <v>648</v>
      </c>
      <c r="B721" s="4" t="str">
        <f>IFERROR(__xludf.DUMMYFUNCTION("""COMPUTED_VALUE"""),"Señal metalica TR-301/20")</f>
        <v>Señal metalica TR-301/20</v>
      </c>
      <c r="C721" s="4">
        <f>IFERROR(__xludf.DUMMYFUNCTION("""COMPUTED_VALUE"""),11.25)</f>
        <v>11.25</v>
      </c>
    </row>
    <row r="722">
      <c r="A722" s="4" t="str">
        <f>IFERROR(__xludf.DUMMYFUNCTION("""COMPUTED_VALUE"""),"0648D")</f>
        <v>0648D</v>
      </c>
      <c r="B722" s="4" t="str">
        <f>IFERROR(__xludf.DUMMYFUNCTION("""COMPUTED_VALUE"""),"Señal metalica R-301/20")</f>
        <v>Señal metalica R-301/20</v>
      </c>
      <c r="C722" s="4">
        <f>IFERROR(__xludf.DUMMYFUNCTION("""COMPUTED_VALUE"""),11.25)</f>
        <v>11.25</v>
      </c>
    </row>
    <row r="723">
      <c r="A723" s="4" t="str">
        <f>IFERROR(__xludf.DUMMYFUNCTION("""COMPUTED_VALUE"""),"649")</f>
        <v>649</v>
      </c>
      <c r="B723" s="4" t="str">
        <f>IFERROR(__xludf.DUMMYFUNCTION("""COMPUTED_VALUE"""),"Señal metalica TR-301/30")</f>
        <v>Señal metalica TR-301/30</v>
      </c>
      <c r="C723" s="4">
        <f>IFERROR(__xludf.DUMMYFUNCTION("""COMPUTED_VALUE"""),11.25)</f>
        <v>11.25</v>
      </c>
    </row>
    <row r="724">
      <c r="A724" s="4" t="str">
        <f>IFERROR(__xludf.DUMMYFUNCTION("""COMPUTED_VALUE"""),"0649D")</f>
        <v>0649D</v>
      </c>
      <c r="B724" s="4" t="str">
        <f>IFERROR(__xludf.DUMMYFUNCTION("""COMPUTED_VALUE"""),"Señal metalica R-301/30")</f>
        <v>Señal metalica R-301/30</v>
      </c>
      <c r="C724" s="4">
        <f>IFERROR(__xludf.DUMMYFUNCTION("""COMPUTED_VALUE"""),11.25)</f>
        <v>11.25</v>
      </c>
    </row>
    <row r="725">
      <c r="A725" s="4" t="str">
        <f>IFERROR(__xludf.DUMMYFUNCTION("""COMPUTED_VALUE"""),"650")</f>
        <v>650</v>
      </c>
      <c r="B725" s="4" t="str">
        <f>IFERROR(__xludf.DUMMYFUNCTION("""COMPUTED_VALUE"""),"Señal metalica TR-301/40")</f>
        <v>Señal metalica TR-301/40</v>
      </c>
      <c r="C725" s="4">
        <f>IFERROR(__xludf.DUMMYFUNCTION("""COMPUTED_VALUE"""),11.25)</f>
        <v>11.25</v>
      </c>
    </row>
    <row r="726">
      <c r="A726" s="4" t="str">
        <f>IFERROR(__xludf.DUMMYFUNCTION("""COMPUTED_VALUE"""),"0650D")</f>
        <v>0650D</v>
      </c>
      <c r="B726" s="4" t="str">
        <f>IFERROR(__xludf.DUMMYFUNCTION("""COMPUTED_VALUE"""),"Señal metalica R301/40")</f>
        <v>Señal metalica R301/40</v>
      </c>
      <c r="C726" s="4">
        <f>IFERROR(__xludf.DUMMYFUNCTION("""COMPUTED_VALUE"""),11.25)</f>
        <v>11.25</v>
      </c>
    </row>
    <row r="727">
      <c r="A727" s="4" t="str">
        <f>IFERROR(__xludf.DUMMYFUNCTION("""COMPUTED_VALUE"""),"651")</f>
        <v>651</v>
      </c>
      <c r="B727" s="4" t="str">
        <f>IFERROR(__xludf.DUMMYFUNCTION("""COMPUTED_VALUE"""),"Señal metalica TR-301/50")</f>
        <v>Señal metalica TR-301/50</v>
      </c>
      <c r="C727" s="4">
        <f>IFERROR(__xludf.DUMMYFUNCTION("""COMPUTED_VALUE"""),11.25)</f>
        <v>11.25</v>
      </c>
    </row>
    <row r="728">
      <c r="A728" s="4" t="str">
        <f>IFERROR(__xludf.DUMMYFUNCTION("""COMPUTED_VALUE"""),"0651D")</f>
        <v>0651D</v>
      </c>
      <c r="B728" s="4" t="str">
        <f>IFERROR(__xludf.DUMMYFUNCTION("""COMPUTED_VALUE"""),"Señal metalica R-301/50")</f>
        <v>Señal metalica R-301/50</v>
      </c>
      <c r="C728" s="4">
        <f>IFERROR(__xludf.DUMMYFUNCTION("""COMPUTED_VALUE"""),11.25)</f>
        <v>11.25</v>
      </c>
    </row>
    <row r="729">
      <c r="A729" s="4" t="str">
        <f>IFERROR(__xludf.DUMMYFUNCTION("""COMPUTED_VALUE"""),"652")</f>
        <v>652</v>
      </c>
      <c r="B729" s="4" t="str">
        <f>IFERROR(__xludf.DUMMYFUNCTION("""COMPUTED_VALUE"""),"Señal metalica TR-301/60")</f>
        <v>Señal metalica TR-301/60</v>
      </c>
      <c r="C729" s="4">
        <f>IFERROR(__xludf.DUMMYFUNCTION("""COMPUTED_VALUE"""),11.25)</f>
        <v>11.25</v>
      </c>
    </row>
    <row r="730">
      <c r="A730" s="4" t="str">
        <f>IFERROR(__xludf.DUMMYFUNCTION("""COMPUTED_VALUE"""),"0652D")</f>
        <v>0652D</v>
      </c>
      <c r="B730" s="4" t="str">
        <f>IFERROR(__xludf.DUMMYFUNCTION("""COMPUTED_VALUE"""),"Señal metalica R-301/60")</f>
        <v>Señal metalica R-301/60</v>
      </c>
      <c r="C730" s="4">
        <f>IFERROR(__xludf.DUMMYFUNCTION("""COMPUTED_VALUE"""),11.25)</f>
        <v>11.25</v>
      </c>
    </row>
    <row r="731">
      <c r="A731" s="4" t="str">
        <f>IFERROR(__xludf.DUMMYFUNCTION("""COMPUTED_VALUE"""),"653")</f>
        <v>653</v>
      </c>
      <c r="B731" s="4" t="str">
        <f>IFERROR(__xludf.DUMMYFUNCTION("""COMPUTED_VALUE"""),"Señal metalica R-307")</f>
        <v>Señal metalica R-307</v>
      </c>
      <c r="C731" s="4">
        <f>IFERROR(__xludf.DUMMYFUNCTION("""COMPUTED_VALUE"""),11.25)</f>
        <v>11.25</v>
      </c>
    </row>
    <row r="732">
      <c r="A732" s="4" t="str">
        <f>IFERROR(__xludf.DUMMYFUNCTION("""COMPUTED_VALUE"""),"654")</f>
        <v>654</v>
      </c>
      <c r="B732" s="4" t="str">
        <f>IFERROR(__xludf.DUMMYFUNCTION("""COMPUTED_VALUE"""),"Señal metalica TR-301/10")</f>
        <v>Señal metalica TR-301/10</v>
      </c>
      <c r="C732" s="4">
        <f>IFERROR(__xludf.DUMMYFUNCTION("""COMPUTED_VALUE"""),11.25)</f>
        <v>11.25</v>
      </c>
    </row>
    <row r="733">
      <c r="A733" s="4" t="str">
        <f>IFERROR(__xludf.DUMMYFUNCTION("""COMPUTED_VALUE"""),"655")</f>
        <v>655</v>
      </c>
      <c r="B733" s="4" t="str">
        <f>IFERROR(__xludf.DUMMYFUNCTION("""COMPUTED_VALUE"""),"Señal metalica Minusvalidos M-2")</f>
        <v>Señal metalica Minusvalidos M-2</v>
      </c>
      <c r="C733" s="4">
        <f>IFERROR(__xludf.DUMMYFUNCTION("""COMPUTED_VALUE"""),11.25)</f>
        <v>11.25</v>
      </c>
    </row>
    <row r="734">
      <c r="A734" s="4" t="str">
        <f>IFERROR(__xludf.DUMMYFUNCTION("""COMPUTED_VALUE"""),"656")</f>
        <v>656</v>
      </c>
      <c r="B734" s="4" t="str">
        <f>IFERROR(__xludf.DUMMYFUNCTION("""COMPUTED_VALUE"""),"Señal metalica TR-302")</f>
        <v>Señal metalica TR-302</v>
      </c>
      <c r="C734" s="4">
        <f>IFERROR(__xludf.DUMMYFUNCTION("""COMPUTED_VALUE"""),11.25)</f>
        <v>11.25</v>
      </c>
    </row>
    <row r="735">
      <c r="A735" s="4" t="str">
        <f>IFERROR(__xludf.DUMMYFUNCTION("""COMPUTED_VALUE"""),"0656D")</f>
        <v>0656D</v>
      </c>
      <c r="B735" s="4" t="str">
        <f>IFERROR(__xludf.DUMMYFUNCTION("""COMPUTED_VALUE"""),"Señal metalica R-302")</f>
        <v>Señal metalica R-302</v>
      </c>
      <c r="C735" s="4">
        <f>IFERROR(__xludf.DUMMYFUNCTION("""COMPUTED_VALUE"""),11.25)</f>
        <v>11.25</v>
      </c>
    </row>
    <row r="736">
      <c r="A736" s="4" t="str">
        <f>IFERROR(__xludf.DUMMYFUNCTION("""COMPUTED_VALUE"""),"657")</f>
        <v>657</v>
      </c>
      <c r="B736" s="4" t="str">
        <f>IFERROR(__xludf.DUMMYFUNCTION("""COMPUTED_VALUE"""),"Señal metalica TR-306")</f>
        <v>Señal metalica TR-306</v>
      </c>
      <c r="C736" s="4">
        <f>IFERROR(__xludf.DUMMYFUNCTION("""COMPUTED_VALUE"""),11.25)</f>
        <v>11.25</v>
      </c>
    </row>
    <row r="737">
      <c r="A737" s="4" t="str">
        <f>IFERROR(__xludf.DUMMYFUNCTION("""COMPUTED_VALUE"""),"0657D")</f>
        <v>0657D</v>
      </c>
      <c r="B737" s="4" t="str">
        <f>IFERROR(__xludf.DUMMYFUNCTION("""COMPUTED_VALUE"""),"Señal metalica R-306")</f>
        <v>Señal metalica R-306</v>
      </c>
      <c r="C737" s="4">
        <f>IFERROR(__xludf.DUMMYFUNCTION("""COMPUTED_VALUE"""),11.25)</f>
        <v>11.25</v>
      </c>
    </row>
    <row r="738">
      <c r="A738" s="4" t="str">
        <f>IFERROR(__xludf.DUMMYFUNCTION("""COMPUTED_VALUE"""),"658")</f>
        <v>658</v>
      </c>
      <c r="B738" s="4" t="str">
        <f>IFERROR(__xludf.DUMMYFUNCTION("""COMPUTED_VALUE"""),"Soporte pared 60 mm para señal MOPU")</f>
        <v>Soporte pared 60 mm para señal MOPU</v>
      </c>
      <c r="C738" s="4">
        <f>IFERROR(__xludf.DUMMYFUNCTION("""COMPUTED_VALUE"""),17.0)</f>
        <v>17</v>
      </c>
    </row>
    <row r="739">
      <c r="A739" s="4" t="str">
        <f>IFERROR(__xludf.DUMMYFUNCTION("""COMPUTED_VALUE"""),"661")</f>
        <v>661</v>
      </c>
      <c r="B739" s="4" t="str">
        <f>IFERROR(__xludf.DUMMYFUNCTION("""COMPUTED_VALUE"""),"Señal metalica R2 Stop")</f>
        <v>Señal metalica R2 Stop</v>
      </c>
      <c r="C739" s="4">
        <f>IFERROR(__xludf.DUMMYFUNCTION("""COMPUTED_VALUE"""),11.25)</f>
        <v>11.25</v>
      </c>
    </row>
    <row r="740">
      <c r="A740" s="4" t="str">
        <f>IFERROR(__xludf.DUMMYFUNCTION("""COMPUTED_VALUE"""),"0661V")</f>
        <v>0661V</v>
      </c>
      <c r="B740" s="4" t="str">
        <f>IFERROR(__xludf.DUMMYFUNCTION("""COMPUTED_VALUE"""),"Vinilo adhesivo suelo STOP 40 cm")</f>
        <v>Vinilo adhesivo suelo STOP 40 cm</v>
      </c>
      <c r="C740" s="4">
        <f>IFERROR(__xludf.DUMMYFUNCTION("""COMPUTED_VALUE"""),6.15)</f>
        <v>6.15</v>
      </c>
    </row>
    <row r="741">
      <c r="A741" s="4" t="str">
        <f>IFERROR(__xludf.DUMMYFUNCTION("""COMPUTED_VALUE"""),"662")</f>
        <v>662</v>
      </c>
      <c r="B741" s="4" t="str">
        <f>IFERROR(__xludf.DUMMYFUNCTION("""COMPUTED_VALUE"""),"Señal metalica R-308")</f>
        <v>Señal metalica R-308</v>
      </c>
      <c r="C741" s="4">
        <f>IFERROR(__xludf.DUMMYFUNCTION("""COMPUTED_VALUE"""),11.25)</f>
        <v>11.25</v>
      </c>
    </row>
    <row r="742">
      <c r="A742" s="4" t="str">
        <f>IFERROR(__xludf.DUMMYFUNCTION("""COMPUTED_VALUE"""),"663")</f>
        <v>663</v>
      </c>
      <c r="B742" s="4" t="str">
        <f>IFERROR(__xludf.DUMMYFUNCTION("""COMPUTED_VALUE"""),"Señal metalica TR-400a")</f>
        <v>Señal metalica TR-400a</v>
      </c>
      <c r="C742" s="4">
        <f>IFERROR(__xludf.DUMMYFUNCTION("""COMPUTED_VALUE"""),11.25)</f>
        <v>11.25</v>
      </c>
    </row>
    <row r="743">
      <c r="A743" s="4" t="str">
        <f>IFERROR(__xludf.DUMMYFUNCTION("""COMPUTED_VALUE"""),"664")</f>
        <v>664</v>
      </c>
      <c r="B743" s="4" t="str">
        <f>IFERROR(__xludf.DUMMYFUNCTION("""COMPUTED_VALUE"""),"Señal metalica R-400a")</f>
        <v>Señal metalica R-400a</v>
      </c>
      <c r="C743" s="4">
        <f>IFERROR(__xludf.DUMMYFUNCTION("""COMPUTED_VALUE"""),11.25)</f>
        <v>11.25</v>
      </c>
    </row>
    <row r="744">
      <c r="A744" s="4" t="str">
        <f>IFERROR(__xludf.DUMMYFUNCTION("""COMPUTED_VALUE"""),"0664V")</f>
        <v>0664V</v>
      </c>
      <c r="B744" s="4" t="str">
        <f>IFERROR(__xludf.DUMMYFUNCTION("""COMPUTED_VALUE"""),"Vinilo adhesivo suelo Dirección oblig. 40cm")</f>
        <v>Vinilo adhesivo suelo Dirección oblig. 40cm</v>
      </c>
      <c r="C744" s="4">
        <f>IFERROR(__xludf.DUMMYFUNCTION("""COMPUTED_VALUE"""),6.15)</f>
        <v>6.15</v>
      </c>
    </row>
    <row r="745">
      <c r="A745" s="4" t="str">
        <f>IFERROR(__xludf.DUMMYFUNCTION("""COMPUTED_VALUE"""),"665")</f>
        <v>665</v>
      </c>
      <c r="B745" s="4" t="str">
        <f>IFERROR(__xludf.DUMMYFUNCTION("""COMPUTED_VALUE"""),"Señal metalica S-17 Parking")</f>
        <v>Señal metalica S-17 Parking</v>
      </c>
      <c r="C745" s="4">
        <f>IFERROR(__xludf.DUMMYFUNCTION("""COMPUTED_VALUE"""),11.25)</f>
        <v>11.25</v>
      </c>
    </row>
    <row r="746">
      <c r="A746" s="4" t="str">
        <f>IFERROR(__xludf.DUMMYFUNCTION("""COMPUTED_VALUE"""),"666")</f>
        <v>666</v>
      </c>
      <c r="B746" s="4" t="str">
        <f>IFERROR(__xludf.DUMMYFUNCTION("""COMPUTED_VALUE"""),"Señal metalica S-15a Calle Cortada")</f>
        <v>Señal metalica S-15a Calle Cortada</v>
      </c>
      <c r="C746" s="4">
        <f>IFERROR(__xludf.DUMMYFUNCTION("""COMPUTED_VALUE"""),11.25)</f>
        <v>11.25</v>
      </c>
    </row>
    <row r="747">
      <c r="A747" s="4" t="str">
        <f>IFERROR(__xludf.DUMMYFUNCTION("""COMPUTED_VALUE"""),"667")</f>
        <v>667</v>
      </c>
      <c r="B747" s="4" t="str">
        <f>IFERROR(__xludf.DUMMYFUNCTION("""COMPUTED_VALUE"""),"Placa carga Sobresaliente V20 50x50")</f>
        <v>Placa carga Sobresaliente V20 50x50</v>
      </c>
      <c r="C747" s="4">
        <f>IFERROR(__xludf.DUMMYFUNCTION("""COMPUTED_VALUE"""),19.5)</f>
        <v>19.5</v>
      </c>
    </row>
    <row r="748">
      <c r="A748" s="4" t="str">
        <f>IFERROR(__xludf.DUMMYFUNCTION("""COMPUTED_VALUE"""),"668")</f>
        <v>668</v>
      </c>
      <c r="B748" s="4" t="str">
        <f>IFERROR(__xludf.DUMMYFUNCTION("""COMPUTED_VALUE"""),"Señal metalica R-101")</f>
        <v>Señal metalica R-101</v>
      </c>
      <c r="C748" s="4">
        <f>IFERROR(__xludf.DUMMYFUNCTION("""COMPUTED_VALUE"""),11.25)</f>
        <v>11.25</v>
      </c>
    </row>
    <row r="749">
      <c r="A749" s="4" t="str">
        <f>IFERROR(__xludf.DUMMYFUNCTION("""COMPUTED_VALUE"""),"670")</f>
        <v>670</v>
      </c>
      <c r="B749" s="4" t="str">
        <f>IFERROR(__xludf.DUMMYFUNCTION("""COMPUTED_VALUE"""),"Señal metalica TR-5")</f>
        <v>Señal metalica TR-5</v>
      </c>
      <c r="C749" s="4">
        <f>IFERROR(__xludf.DUMMYFUNCTION("""COMPUTED_VALUE"""),11.25)</f>
        <v>11.25</v>
      </c>
    </row>
    <row r="750">
      <c r="A750" s="4" t="str">
        <f>IFERROR(__xludf.DUMMYFUNCTION("""COMPUTED_VALUE"""),"0670D")</f>
        <v>0670D</v>
      </c>
      <c r="B750" s="4" t="str">
        <f>IFERROR(__xludf.DUMMYFUNCTION("""COMPUTED_VALUE"""),"Señal metalica R-5")</f>
        <v>Señal metalica R-5</v>
      </c>
      <c r="C750" s="4">
        <f>IFERROR(__xludf.DUMMYFUNCTION("""COMPUTED_VALUE"""),11.25)</f>
        <v>11.25</v>
      </c>
    </row>
    <row r="751">
      <c r="A751" s="4" t="str">
        <f>IFERROR(__xludf.DUMMYFUNCTION("""COMPUTED_VALUE"""),"671")</f>
        <v>671</v>
      </c>
      <c r="B751" s="4" t="str">
        <f>IFERROR(__xludf.DUMMYFUNCTION("""COMPUTED_VALUE"""),"Señal metalica TR-500")</f>
        <v>Señal metalica TR-500</v>
      </c>
      <c r="C751" s="4">
        <f>IFERROR(__xludf.DUMMYFUNCTION("""COMPUTED_VALUE"""),11.25)</f>
        <v>11.25</v>
      </c>
    </row>
    <row r="752">
      <c r="A752" s="4" t="str">
        <f>IFERROR(__xludf.DUMMYFUNCTION("""COMPUTED_VALUE"""),"0671D")</f>
        <v>0671D</v>
      </c>
      <c r="B752" s="4" t="str">
        <f>IFERROR(__xludf.DUMMYFUNCTION("""COMPUTED_VALUE"""),"Señal metalica R-500")</f>
        <v>Señal metalica R-500</v>
      </c>
      <c r="C752" s="4">
        <f>IFERROR(__xludf.DUMMYFUNCTION("""COMPUTED_VALUE"""),11.25)</f>
        <v>11.25</v>
      </c>
    </row>
    <row r="753">
      <c r="A753" s="4" t="str">
        <f>IFERROR(__xludf.DUMMYFUNCTION("""COMPUTED_VALUE"""),"672")</f>
        <v>672</v>
      </c>
      <c r="B753" s="4" t="str">
        <f>IFERROR(__xludf.DUMMYFUNCTION("""COMPUTED_VALUE"""),"Señal metalica TR-502")</f>
        <v>Señal metalica TR-502</v>
      </c>
      <c r="C753" s="4">
        <f>IFERROR(__xludf.DUMMYFUNCTION("""COMPUTED_VALUE"""),11.25)</f>
        <v>11.25</v>
      </c>
    </row>
    <row r="754">
      <c r="A754" s="4" t="str">
        <f>IFERROR(__xludf.DUMMYFUNCTION("""COMPUTED_VALUE"""),"0672D")</f>
        <v>0672D</v>
      </c>
      <c r="B754" s="4" t="str">
        <f>IFERROR(__xludf.DUMMYFUNCTION("""COMPUTED_VALUE"""),"Señal metalica R-502")</f>
        <v>Señal metalica R-502</v>
      </c>
      <c r="C754" s="4">
        <f>IFERROR(__xludf.DUMMYFUNCTION("""COMPUTED_VALUE"""),11.25)</f>
        <v>11.25</v>
      </c>
    </row>
    <row r="755">
      <c r="A755" s="4" t="str">
        <f>IFERROR(__xludf.DUMMYFUNCTION("""COMPUTED_VALUE"""),"673")</f>
        <v>673</v>
      </c>
      <c r="B755" s="4" t="str">
        <f>IFERROR(__xludf.DUMMYFUNCTION("""COMPUTED_VALUE"""),"Señal metalica P-20")</f>
        <v>Señal metalica P-20</v>
      </c>
      <c r="C755" s="4">
        <f>IFERROR(__xludf.DUMMYFUNCTION("""COMPUTED_VALUE"""),11.25)</f>
        <v>11.25</v>
      </c>
    </row>
    <row r="756">
      <c r="A756" s="4" t="str">
        <f>IFERROR(__xludf.DUMMYFUNCTION("""COMPUTED_VALUE"""),"0673D")</f>
        <v>0673D</v>
      </c>
      <c r="B756" s="4" t="str">
        <f>IFERROR(__xludf.DUMMYFUNCTION("""COMPUTED_VALUE"""),"Señal metalica P-20")</f>
        <v>Señal metalica P-20</v>
      </c>
      <c r="C756" s="4">
        <f>IFERROR(__xludf.DUMMYFUNCTION("""COMPUTED_VALUE"""),11.25)</f>
        <v>11.25</v>
      </c>
    </row>
    <row r="757">
      <c r="A757" s="4" t="str">
        <f>IFERROR(__xludf.DUMMYFUNCTION("""COMPUTED_VALUE"""),"674")</f>
        <v>674</v>
      </c>
      <c r="B757" s="4" t="str">
        <f>IFERROR(__xludf.DUMMYFUNCTION("""COMPUTED_VALUE"""),"Señal metalica TR-503")</f>
        <v>Señal metalica TR-503</v>
      </c>
      <c r="C757" s="4">
        <f>IFERROR(__xludf.DUMMYFUNCTION("""COMPUTED_VALUE"""),11.25)</f>
        <v>11.25</v>
      </c>
    </row>
    <row r="758">
      <c r="A758" s="4" t="str">
        <f>IFERROR(__xludf.DUMMYFUNCTION("""COMPUTED_VALUE"""),"0674D")</f>
        <v>0674D</v>
      </c>
      <c r="B758" s="4" t="str">
        <f>IFERROR(__xludf.DUMMYFUNCTION("""COMPUTED_VALUE"""),"Señal metalica R-503")</f>
        <v>Señal metalica R-503</v>
      </c>
      <c r="C758" s="4">
        <f>IFERROR(__xludf.DUMMYFUNCTION("""COMPUTED_VALUE"""),11.25)</f>
        <v>11.25</v>
      </c>
    </row>
    <row r="759">
      <c r="A759" s="4" t="str">
        <f>IFERROR(__xludf.DUMMYFUNCTION("""COMPUTED_VALUE"""),"0674E")</f>
        <v>0674E</v>
      </c>
      <c r="B759" s="4" t="str">
        <f>IFERROR(__xludf.DUMMYFUNCTION("""COMPUTED_VALUE"""),"Señal 50 cm económica recarga eléctrica")</f>
        <v>Señal 50 cm económica recarga eléctrica</v>
      </c>
      <c r="C759" s="4">
        <f>IFERROR(__xludf.DUMMYFUNCTION("""COMPUTED_VALUE"""),11.25)</f>
        <v>11.25</v>
      </c>
    </row>
    <row r="760">
      <c r="A760" s="4" t="str">
        <f>IFERROR(__xludf.DUMMYFUNCTION("""COMPUTED_VALUE"""),"0674P")</f>
        <v>0674P</v>
      </c>
      <c r="B760" s="4" t="str">
        <f>IFERROR(__xludf.DUMMYFUNCTION("""COMPUTED_VALUE"""),"Señal metálica económica ALTO POLICIA")</f>
        <v>Señal metálica económica ALTO POLICIA</v>
      </c>
      <c r="C760" s="4">
        <f>IFERROR(__xludf.DUMMYFUNCTION("""COMPUTED_VALUE"""),11.25)</f>
        <v>11.25</v>
      </c>
    </row>
    <row r="761">
      <c r="A761" s="4" t="str">
        <f>IFERROR(__xludf.DUMMYFUNCTION("""COMPUTED_VALUE"""),"675")</f>
        <v>675</v>
      </c>
      <c r="B761" s="4" t="str">
        <f>IFERROR(__xludf.DUMMYFUNCTION("""COMPUTED_VALUE"""),"Tripode tubular naranja señal metalica mod. A")</f>
        <v>Tripode tubular naranja señal metalica mod. A</v>
      </c>
      <c r="C761" s="4">
        <f>IFERROR(__xludf.DUMMYFUNCTION("""COMPUTED_VALUE"""),11.75)</f>
        <v>11.75</v>
      </c>
    </row>
    <row r="762">
      <c r="A762" s="4" t="str">
        <f>IFERROR(__xludf.DUMMYFUNCTION("""COMPUTED_VALUE"""),"0676/10")</f>
        <v>0676/10</v>
      </c>
      <c r="B762" s="4" t="str">
        <f>IFERROR(__xludf.DUMMYFUNCTION("""COMPUTED_VALUE"""),"Tubo 80x40 para señal metalica 1 metro")</f>
        <v>Tubo 80x40 para señal metalica 1 metro</v>
      </c>
      <c r="C762" s="4">
        <f>IFERROR(__xludf.DUMMYFUNCTION("""COMPUTED_VALUE"""),11.5)</f>
        <v>11.5</v>
      </c>
    </row>
    <row r="763">
      <c r="A763" s="4" t="str">
        <f>IFERROR(__xludf.DUMMYFUNCTION("""COMPUTED_VALUE"""),"0676/15")</f>
        <v>0676/15</v>
      </c>
      <c r="B763" s="4" t="str">
        <f>IFERROR(__xludf.DUMMYFUNCTION("""COMPUTED_VALUE"""),"bo 80x40 para señal metalica 1,5 metros")</f>
        <v>bo 80x40 para señal metalica 1,5 metros</v>
      </c>
      <c r="C763" s="4">
        <f>IFERROR(__xludf.DUMMYFUNCTION("""COMPUTED_VALUE"""),16.5)</f>
        <v>16.5</v>
      </c>
    </row>
    <row r="764">
      <c r="A764" s="4" t="str">
        <f>IFERROR(__xludf.DUMMYFUNCTION("""COMPUTED_VALUE"""),"0676/20")</f>
        <v>0676/20</v>
      </c>
      <c r="B764" s="4" t="str">
        <f>IFERROR(__xludf.DUMMYFUNCTION("""COMPUTED_VALUE"""),"Tubo 80x40 para señal metalica 2 metros")</f>
        <v>Tubo 80x40 para señal metalica 2 metros</v>
      </c>
      <c r="C764" s="4">
        <f>IFERROR(__xludf.DUMMYFUNCTION("""COMPUTED_VALUE"""),22.0)</f>
        <v>22</v>
      </c>
    </row>
    <row r="765">
      <c r="A765" s="4" t="str">
        <f>IFERROR(__xludf.DUMMYFUNCTION("""COMPUTED_VALUE"""),"0676/25")</f>
        <v>0676/25</v>
      </c>
      <c r="B765" s="4" t="str">
        <f>IFERROR(__xludf.DUMMYFUNCTION("""COMPUTED_VALUE"""),"Tubo 80x40 para señal metalica 2,5 metros")</f>
        <v>Tubo 80x40 para señal metalica 2,5 metros</v>
      </c>
      <c r="C765" s="4">
        <f>IFERROR(__xludf.DUMMYFUNCTION("""COMPUTED_VALUE"""),28.0)</f>
        <v>28</v>
      </c>
    </row>
    <row r="766">
      <c r="A766" s="4" t="str">
        <f>IFERROR(__xludf.DUMMYFUNCTION("""COMPUTED_VALUE"""),"0676/30")</f>
        <v>0676/30</v>
      </c>
      <c r="B766" s="4" t="str">
        <f>IFERROR(__xludf.DUMMYFUNCTION("""COMPUTED_VALUE"""),"Tubo 80x40 para señal metalica 3 metros")</f>
        <v>Tubo 80x40 para señal metalica 3 metros</v>
      </c>
      <c r="C766" s="4">
        <f>IFERROR(__xludf.DUMMYFUNCTION("""COMPUTED_VALUE"""),36.0)</f>
        <v>36</v>
      </c>
    </row>
    <row r="767">
      <c r="A767" s="4" t="str">
        <f>IFERROR(__xludf.DUMMYFUNCTION("""COMPUTED_VALUE"""),"0676/35")</f>
        <v>0676/35</v>
      </c>
      <c r="B767" s="4" t="str">
        <f>IFERROR(__xludf.DUMMYFUNCTION("""COMPUTED_VALUE"""),"Tubo 80x40 para señal metalica 3,5 metros")</f>
        <v>Tubo 80x40 para señal metalica 3,5 metros</v>
      </c>
      <c r="C767" s="4">
        <f>IFERROR(__xludf.DUMMYFUNCTION("""COMPUTED_VALUE"""),39.0)</f>
        <v>39</v>
      </c>
    </row>
    <row r="768">
      <c r="A768" s="4" t="str">
        <f>IFERROR(__xludf.DUMMYFUNCTION("""COMPUTED_VALUE"""),"0676/40")</f>
        <v>0676/40</v>
      </c>
      <c r="B768" s="4" t="str">
        <f>IFERROR(__xludf.DUMMYFUNCTION("""COMPUTED_VALUE"""),"Tubo 80x40 para señal metalica 4 metros")</f>
        <v>Tubo 80x40 para señal metalica 4 metros</v>
      </c>
      <c r="C768" s="4">
        <f>IFERROR(__xludf.DUMMYFUNCTION("""COMPUTED_VALUE"""),41.5)</f>
        <v>41.5</v>
      </c>
    </row>
    <row r="769">
      <c r="A769" s="4" t="str">
        <f>IFERROR(__xludf.DUMMYFUNCTION("""COMPUTED_VALUE"""),"0676/AL")</f>
        <v>0676/AL</v>
      </c>
      <c r="B769" s="4" t="str">
        <f>IFERROR(__xludf.DUMMYFUNCTION("""COMPUTED_VALUE"""),"Poste aluminio 3.5 m 76 mm pintado")</f>
        <v>Poste aluminio 3.5 m 76 mm pintado</v>
      </c>
      <c r="C769" s="4">
        <f>IFERROR(__xludf.DUMMYFUNCTION("""COMPUTED_VALUE"""),105.0)</f>
        <v>105</v>
      </c>
    </row>
    <row r="770">
      <c r="A770" s="4" t="str">
        <f>IFERROR(__xludf.DUMMYFUNCTION("""COMPUTED_VALUE"""),"0676F")</f>
        <v>0676F</v>
      </c>
      <c r="B770" s="4" t="str">
        <f>IFERROR(__xludf.DUMMYFUNCTION("""COMPUTED_VALUE"""),"Poste 80x40 mm 3 m en forma de F")</f>
        <v>Poste 80x40 mm 3 m en forma de F</v>
      </c>
      <c r="C770" s="4">
        <f>IFERROR(__xludf.DUMMYFUNCTION("""COMPUTED_VALUE"""),49.0)</f>
        <v>49</v>
      </c>
    </row>
    <row r="771">
      <c r="A771" s="4" t="str">
        <f>IFERROR(__xludf.DUMMYFUNCTION("""COMPUTED_VALUE"""),"677")</f>
        <v>677</v>
      </c>
      <c r="B771" s="4" t="str">
        <f>IFERROR(__xludf.DUMMYFUNCTION("""COMPUTED_VALUE"""),"Cruceta tubo para señales metalicas")</f>
        <v>Cruceta tubo para señales metalicas</v>
      </c>
      <c r="C771" s="4">
        <f>IFERROR(__xludf.DUMMYFUNCTION("""COMPUTED_VALUE"""),17.3)</f>
        <v>17.3</v>
      </c>
    </row>
    <row r="772">
      <c r="A772" s="4" t="str">
        <f>IFERROR(__xludf.DUMMYFUNCTION("""COMPUTED_VALUE"""),"678")</f>
        <v>678</v>
      </c>
      <c r="B772" s="4" t="str">
        <f>IFERROR(__xludf.DUMMYFUNCTION("""COMPUTED_VALUE"""),"Señal metalica R- 6 Prioridad")</f>
        <v>Señal metalica R- 6 Prioridad</v>
      </c>
      <c r="C772" s="4">
        <f>IFERROR(__xludf.DUMMYFUNCTION("""COMPUTED_VALUE"""),11.25)</f>
        <v>11.25</v>
      </c>
    </row>
    <row r="773">
      <c r="A773" s="4" t="str">
        <f>IFERROR(__xludf.DUMMYFUNCTION("""COMPUTED_VALUE"""),"679")</f>
        <v>679</v>
      </c>
      <c r="B773" s="4" t="str">
        <f>IFERROR(__xludf.DUMMYFUNCTION("""COMPUTED_VALUE"""),"Placa econ. informat. 20x40 cm f.amarillo")</f>
        <v>Placa econ. informat. 20x40 cm f.amarillo</v>
      </c>
      <c r="C773" s="4">
        <f>IFERROR(__xludf.DUMMYFUNCTION("""COMPUTED_VALUE"""),11.25)</f>
        <v>11.25</v>
      </c>
    </row>
    <row r="774">
      <c r="A774" s="4" t="str">
        <f>IFERROR(__xludf.DUMMYFUNCTION("""COMPUTED_VALUE"""),"680")</f>
        <v>680</v>
      </c>
      <c r="B774" s="4" t="str">
        <f>IFERROR(__xludf.DUMMYFUNCTION("""COMPUTED_VALUE"""),"Placa informativa 40x20 blanca")</f>
        <v>Placa informativa 40x20 blanca</v>
      </c>
      <c r="C774" s="4">
        <f>IFERROR(__xludf.DUMMYFUNCTION("""COMPUTED_VALUE"""),11.25)</f>
        <v>11.25</v>
      </c>
    </row>
    <row r="775">
      <c r="A775" s="4" t="str">
        <f>IFERROR(__xludf.DUMMYFUNCTION("""COMPUTED_VALUE"""),"0681/A")</f>
        <v>0681/A</v>
      </c>
      <c r="B775" s="4" t="str">
        <f>IFERROR(__xludf.DUMMYFUNCTION("""COMPUTED_VALUE"""),"Horquilla protector peatones 120x40 cm Galva")</f>
        <v>Horquilla protector peatones 120x40 cm Galva</v>
      </c>
      <c r="C775" s="4">
        <f>IFERROR(__xludf.DUMMYFUNCTION("""COMPUTED_VALUE"""),42.4)</f>
        <v>42.4</v>
      </c>
    </row>
    <row r="776">
      <c r="A776" s="4" t="str">
        <f>IFERROR(__xludf.DUMMYFUNCTION("""COMPUTED_VALUE"""),"0681/A/PLATO")</f>
        <v>0681/A/PLATO</v>
      </c>
      <c r="B776" s="4" t="str">
        <f>IFERROR(__xludf.DUMMYFUNCTION("""COMPUTED_VALUE"""),"Horquilla protector peatones 120x40 cm Galva. c/plato")</f>
        <v>Horquilla protector peatones 120x40 cm Galva. c/plato</v>
      </c>
      <c r="C776" s="4">
        <f>IFERROR(__xludf.DUMMYFUNCTION("""COMPUTED_VALUE"""),52.8)</f>
        <v>52.8</v>
      </c>
    </row>
    <row r="777">
      <c r="A777" s="4" t="str">
        <f>IFERROR(__xludf.DUMMYFUNCTION("""COMPUTED_VALUE"""),"0681/B")</f>
        <v>0681/B</v>
      </c>
      <c r="B777" s="4" t="str">
        <f>IFERROR(__xludf.DUMMYFUNCTION("""COMPUTED_VALUE"""),"Horquilla protector peatones 90x40 cm Galva")</f>
        <v>Horquilla protector peatones 90x40 cm Galva</v>
      </c>
      <c r="C777" s="4">
        <f>IFERROR(__xludf.DUMMYFUNCTION("""COMPUTED_VALUE"""),38.85)</f>
        <v>38.85</v>
      </c>
    </row>
    <row r="778">
      <c r="A778" s="4" t="str">
        <f>IFERROR(__xludf.DUMMYFUNCTION("""COMPUTED_VALUE"""),"0681/B/PLATO")</f>
        <v>0681/B/PLATO</v>
      </c>
      <c r="B778" s="4" t="str">
        <f>IFERROR(__xludf.DUMMYFUNCTION("""COMPUTED_VALUE"""),"Horquilla protector peatones 90x40 cm Galva c/plato")</f>
        <v>Horquilla protector peatones 90x40 cm Galva c/plato</v>
      </c>
      <c r="C778" s="4">
        <f>IFERROR(__xludf.DUMMYFUNCTION("""COMPUTED_VALUE"""),61.95)</f>
        <v>61.95</v>
      </c>
    </row>
    <row r="779">
      <c r="A779" s="4" t="str">
        <f>IFERROR(__xludf.DUMMYFUNCTION("""COMPUTED_VALUE"""),"0681/LA")</f>
        <v>0681/LA</v>
      </c>
      <c r="B779" s="4" t="str">
        <f>IFERROR(__xludf.DUMMYFUNCTION("""COMPUTED_VALUE"""),"Horquilla protector peatones 120x40 cm Amarilla")</f>
        <v>Horquilla protector peatones 120x40 cm Amarilla</v>
      </c>
      <c r="C779" s="4">
        <f>IFERROR(__xludf.DUMMYFUNCTION("""COMPUTED_VALUE"""),48.45)</f>
        <v>48.45</v>
      </c>
    </row>
    <row r="780">
      <c r="A780" s="4" t="str">
        <f>IFERROR(__xludf.DUMMYFUNCTION("""COMPUTED_VALUE"""),"0681/LA/PLATO")</f>
        <v>0681/LA/PLATO</v>
      </c>
      <c r="B780" s="4" t="str">
        <f>IFERROR(__xludf.DUMMYFUNCTION("""COMPUTED_VALUE"""),"Horquilla protector peatones 120x40 cm Amar. c/plato")</f>
        <v>Horquilla protector peatones 120x40 cm Amar. c/plato</v>
      </c>
      <c r="C780" s="4">
        <f>IFERROR(__xludf.DUMMYFUNCTION("""COMPUTED_VALUE"""),51.45)</f>
        <v>51.45</v>
      </c>
    </row>
    <row r="781">
      <c r="A781" s="4" t="str">
        <f>IFERROR(__xludf.DUMMYFUNCTION("""COMPUTED_VALUE"""),"0681/LB")</f>
        <v>0681/LB</v>
      </c>
      <c r="B781" s="4" t="str">
        <f>IFERROR(__xludf.DUMMYFUNCTION("""COMPUTED_VALUE"""),"Horquilla protector peqtones 90x40 cm Amarilla")</f>
        <v>Horquilla protector peqtones 90x40 cm Amarilla</v>
      </c>
      <c r="C781" s="4">
        <f>IFERROR(__xludf.DUMMYFUNCTION("""COMPUTED_VALUE"""),45.36)</f>
        <v>45.36</v>
      </c>
    </row>
    <row r="782">
      <c r="A782" s="4" t="str">
        <f>IFERROR(__xludf.DUMMYFUNCTION("""COMPUTED_VALUE"""),"0681/LB/PLATO")</f>
        <v>0681/LB/PLATO</v>
      </c>
      <c r="B782" s="4" t="str">
        <f>IFERROR(__xludf.DUMMYFUNCTION("""COMPUTED_VALUE"""),"Horquilla protector peatones 90x40 cm Amar.c/plato")</f>
        <v>Horquilla protector peatones 90x40 cm Amar.c/plato</v>
      </c>
      <c r="C782" s="4">
        <f>IFERROR(__xludf.DUMMYFUNCTION("""COMPUTED_VALUE"""),52.73)</f>
        <v>52.73</v>
      </c>
    </row>
    <row r="783">
      <c r="A783" s="4" t="str">
        <f>IFERROR(__xludf.DUMMYFUNCTION("""COMPUTED_VALUE"""),"682")</f>
        <v>682</v>
      </c>
      <c r="B783" s="4" t="str">
        <f>IFERROR(__xludf.DUMMYFUNCTION("""COMPUTED_VALUE"""),"Vado Permanente Aluminio 40x30")</f>
        <v>Vado Permanente Aluminio 40x30</v>
      </c>
      <c r="C783" s="4">
        <f>IFERROR(__xludf.DUMMYFUNCTION("""COMPUTED_VALUE"""),8.4)</f>
        <v>8.4</v>
      </c>
    </row>
    <row r="784">
      <c r="A784" s="4" t="str">
        <f>IFERROR(__xludf.DUMMYFUNCTION("""COMPUTED_VALUE"""),"0682P")</f>
        <v>0682P</v>
      </c>
      <c r="B784" s="4" t="str">
        <f>IFERROR(__xludf.DUMMYFUNCTION("""COMPUTED_VALUE"""),"Vado permanente 40x30 aluminio personalizado")</f>
        <v>Vado permanente 40x30 aluminio personalizado</v>
      </c>
      <c r="C784" s="4">
        <f>IFERROR(__xludf.DUMMYFUNCTION("""COMPUTED_VALUE"""),12.0)</f>
        <v>12</v>
      </c>
    </row>
    <row r="785">
      <c r="A785" s="4" t="str">
        <f>IFERROR(__xludf.DUMMYFUNCTION("""COMPUTED_VALUE"""),"683")</f>
        <v>683</v>
      </c>
      <c r="B785" s="4" t="str">
        <f>IFERROR(__xludf.DUMMYFUNCTION("""COMPUTED_VALUE"""),"Horquilla protector contenedor basura Galva")</f>
        <v>Horquilla protector contenedor basura Galva</v>
      </c>
      <c r="C785" s="4">
        <f>IFERROR(__xludf.DUMMYFUNCTION("""COMPUTED_VALUE"""),134.3)</f>
        <v>134.3</v>
      </c>
    </row>
    <row r="786">
      <c r="A786" s="4" t="str">
        <f>IFERROR(__xludf.DUMMYFUNCTION("""COMPUTED_VALUE"""),"0683/B")</f>
        <v>0683/B</v>
      </c>
      <c r="B786" s="4" t="str">
        <f>IFERROR(__xludf.DUMMYFUNCTION("""COMPUTED_VALUE"""),"Isleta hormigon con protector direccional Vados")</f>
        <v>Isleta hormigon con protector direccional Vados</v>
      </c>
      <c r="C786" s="4">
        <f>IFERROR(__xludf.DUMMYFUNCTION("""COMPUTED_VALUE"""),460.0)</f>
        <v>460</v>
      </c>
    </row>
    <row r="787">
      <c r="A787" s="4" t="str">
        <f>IFERROR(__xludf.DUMMYFUNCTION("""COMPUTED_VALUE"""),"0683/BS")</f>
        <v>0683/BS</v>
      </c>
      <c r="B787" s="4" t="str">
        <f>IFERROR(__xludf.DUMMYFUNCTION("""COMPUTED_VALUE"""),"Juego 2 angulos sujecion suelo Isleta Vados")</f>
        <v>Juego 2 angulos sujecion suelo Isleta Vados</v>
      </c>
      <c r="C787" s="4">
        <f>IFERROR(__xludf.DUMMYFUNCTION("""COMPUTED_VALUE"""),33.3)</f>
        <v>33.3</v>
      </c>
    </row>
    <row r="788">
      <c r="A788" s="4" t="str">
        <f>IFERROR(__xludf.DUMMYFUNCTION("""COMPUTED_VALUE"""),"0683D")</f>
        <v>0683D</v>
      </c>
      <c r="B788" s="4" t="str">
        <f>IFERROR(__xludf.DUMMYFUNCTION("""COMPUTED_VALUE"""),"Protector contenedor basura flecha dcha Galv.")</f>
        <v>Protector contenedor basura flecha dcha Galv.</v>
      </c>
      <c r="C788" s="4">
        <f>IFERROR(__xludf.DUMMYFUNCTION("""COMPUTED_VALUE"""),78.225)</f>
        <v>78.225</v>
      </c>
    </row>
    <row r="789">
      <c r="A789" s="4" t="str">
        <f>IFERROR(__xludf.DUMMYFUNCTION("""COMPUTED_VALUE"""),"0683D/PLATO")</f>
        <v>0683D/PLATO</v>
      </c>
      <c r="B789" s="4" t="str">
        <f>IFERROR(__xludf.DUMMYFUNCTION("""COMPUTED_VALUE"""),"Protector contenedor basura flecha Dcha. Galva. c/plato")</f>
        <v>Protector contenedor basura flecha Dcha. Galva. c/plato</v>
      </c>
      <c r="C789" s="4">
        <f>IFERROR(__xludf.DUMMYFUNCTION("""COMPUTED_VALUE"""),89.775)</f>
        <v>89.775</v>
      </c>
    </row>
    <row r="790">
      <c r="A790" s="4" t="str">
        <f>IFERROR(__xludf.DUMMYFUNCTION("""COMPUTED_VALUE"""),"0683I")</f>
        <v>0683I</v>
      </c>
      <c r="B790" s="4" t="str">
        <f>IFERROR(__xludf.DUMMYFUNCTION("""COMPUTED_VALUE"""),"Protector contenedor basura flecha izq. Galva.")</f>
        <v>Protector contenedor basura flecha izq. Galva.</v>
      </c>
      <c r="C790" s="4">
        <f>IFERROR(__xludf.DUMMYFUNCTION("""COMPUTED_VALUE"""),78.225)</f>
        <v>78.225</v>
      </c>
    </row>
    <row r="791">
      <c r="A791" s="4" t="str">
        <f>IFERROR(__xludf.DUMMYFUNCTION("""COMPUTED_VALUE"""),"0683I/PLATO")</f>
        <v>0683I/PLATO</v>
      </c>
      <c r="B791" s="4" t="str">
        <f>IFERROR(__xludf.DUMMYFUNCTION("""COMPUTED_VALUE"""),"Protector contendor basura flecha Izq.Galva. c/ plato")</f>
        <v>Protector contendor basura flecha Izq.Galva. c/ plato</v>
      </c>
      <c r="C791" s="4">
        <f>IFERROR(__xludf.DUMMYFUNCTION("""COMPUTED_VALUE"""),75.0)</f>
        <v>75</v>
      </c>
    </row>
    <row r="792">
      <c r="A792" s="4" t="str">
        <f>IFERROR(__xludf.DUMMYFUNCTION("""COMPUTED_VALUE"""),"687")</f>
        <v>687</v>
      </c>
      <c r="B792" s="4" t="str">
        <f>IFERROR(__xludf.DUMMYFUNCTION("""COMPUTED_VALUE"""),"Placa econ. informat. 55x35 cm f.amarillo")</f>
        <v>Placa econ. informat. 55x35 cm f.amarillo</v>
      </c>
      <c r="C792" s="4">
        <f>IFERROR(__xludf.DUMMYFUNCTION("""COMPUTED_VALUE"""),16.8)</f>
        <v>16.8</v>
      </c>
    </row>
    <row r="793">
      <c r="A793" s="4" t="str">
        <f>IFERROR(__xludf.DUMMYFUNCTION("""COMPUTED_VALUE"""),"688")</f>
        <v>688</v>
      </c>
      <c r="B793" s="4" t="str">
        <f>IFERROR(__xludf.DUMMYFUNCTION("""COMPUTED_VALUE"""),"Placa econ. informat. 55x35 cm f.blanco")</f>
        <v>Placa econ. informat. 55x35 cm f.blanco</v>
      </c>
      <c r="C793" s="4">
        <f>IFERROR(__xludf.DUMMYFUNCTION("""COMPUTED_VALUE"""),16.8)</f>
        <v>16.8</v>
      </c>
    </row>
    <row r="794">
      <c r="A794" s="4" t="str">
        <f>IFERROR(__xludf.DUMMYFUNCTION("""COMPUTED_VALUE"""),"690")</f>
        <v>690</v>
      </c>
      <c r="B794" s="4" t="str">
        <f>IFERROR(__xludf.DUMMYFUNCTION("""COMPUTED_VALUE"""),"Base caucho multiperfil")</f>
        <v>Base caucho multiperfil</v>
      </c>
      <c r="C794" s="4">
        <f>IFERROR(__xludf.DUMMYFUNCTION("""COMPUTED_VALUE"""),17.0)</f>
        <v>17</v>
      </c>
    </row>
    <row r="795">
      <c r="A795" s="4" t="str">
        <f>IFERROR(__xludf.DUMMYFUNCTION("""COMPUTED_VALUE"""),"0690B")</f>
        <v>0690B</v>
      </c>
      <c r="B795" s="4" t="str">
        <f>IFERROR(__xludf.DUMMYFUNCTION("""COMPUTED_VALUE"""),"Base multiperfil para valla y señales 18 kg")</f>
        <v>Base multiperfil para valla y señales 18 kg</v>
      </c>
      <c r="C795" s="4">
        <f>IFERROR(__xludf.DUMMYFUNCTION("""COMPUTED_VALUE"""),14.5)</f>
        <v>14.5</v>
      </c>
    </row>
    <row r="796">
      <c r="A796" s="4" t="str">
        <f>IFERROR(__xludf.DUMMYFUNCTION("""COMPUTED_VALUE"""),"0690D")</f>
        <v>0690D</v>
      </c>
      <c r="B796" s="4" t="str">
        <f>IFERROR(__xludf.DUMMYFUNCTION("""COMPUTED_VALUE"""),"Base de caucho multiperfil mod D")</f>
        <v>Base de caucho multiperfil mod D</v>
      </c>
      <c r="C796" s="4">
        <f>IFERROR(__xludf.DUMMYFUNCTION("""COMPUTED_VALUE"""),13.0)</f>
        <v>13</v>
      </c>
    </row>
    <row r="797">
      <c r="A797" s="4" t="str">
        <f>IFERROR(__xludf.DUMMYFUNCTION("""COMPUTED_VALUE"""),"0690S")</f>
        <v>0690S</v>
      </c>
      <c r="B797" s="4" t="str">
        <f>IFERROR(__xludf.DUMMYFUNCTION("""COMPUTED_VALUE"""),"Base caucho para panel secuencial")</f>
        <v>Base caucho para panel secuencial</v>
      </c>
      <c r="C797" s="4">
        <f>IFERROR(__xludf.DUMMYFUNCTION("""COMPUTED_VALUE"""),19.25)</f>
        <v>19.25</v>
      </c>
    </row>
    <row r="798">
      <c r="A798" s="4" t="str">
        <f>IFERROR(__xludf.DUMMYFUNCTION("""COMPUTED_VALUE"""),"692")</f>
        <v>692</v>
      </c>
      <c r="B798" s="4" t="str">
        <f>IFERROR(__xludf.DUMMYFUNCTION("""COMPUTED_VALUE"""),"Poste aluminio 3 mtros señ. urbana Diam 60")</f>
        <v>Poste aluminio 3 mtros señ. urbana Diam 60</v>
      </c>
      <c r="C798" s="4">
        <f>IFERROR(__xludf.DUMMYFUNCTION("""COMPUTED_VALUE"""),55.0)</f>
        <v>55</v>
      </c>
    </row>
    <row r="799">
      <c r="A799" s="4" t="str">
        <f>IFERROR(__xludf.DUMMYFUNCTION("""COMPUTED_VALUE"""),"0692E")</f>
        <v>0692E</v>
      </c>
      <c r="B799" s="4" t="str">
        <f>IFERROR(__xludf.DUMMYFUNCTION("""COMPUTED_VALUE"""),"Abrazadera poste aluminio 60 mm estriado")</f>
        <v>Abrazadera poste aluminio 60 mm estriado</v>
      </c>
      <c r="C799" s="4">
        <f>IFERROR(__xludf.DUMMYFUNCTION("""COMPUTED_VALUE"""),1.5)</f>
        <v>1.5</v>
      </c>
    </row>
    <row r="800">
      <c r="A800" s="4" t="str">
        <f>IFERROR(__xludf.DUMMYFUNCTION("""COMPUTED_VALUE"""),"693")</f>
        <v>693</v>
      </c>
      <c r="B800" s="4" t="str">
        <f>IFERROR(__xludf.DUMMYFUNCTION("""COMPUTED_VALUE"""),"Tripode Tubular señal metalica mod. C")</f>
        <v>Tripode Tubular señal metalica mod. C</v>
      </c>
      <c r="C800" s="4">
        <f>IFERROR(__xludf.DUMMYFUNCTION("""COMPUTED_VALUE"""),21.0)</f>
        <v>21</v>
      </c>
    </row>
    <row r="801">
      <c r="A801" s="4" t="str">
        <f>IFERROR(__xludf.DUMMYFUNCTION("""COMPUTED_VALUE"""),"694")</f>
        <v>694</v>
      </c>
      <c r="B801" s="4" t="str">
        <f>IFERROR(__xludf.DUMMYFUNCTION("""COMPUTED_VALUE"""),"Poste redondo diam. 50 galvan. 3 mt para espejo 4100")</f>
        <v>Poste redondo diam. 50 galvan. 3 mt para espejo 4100</v>
      </c>
      <c r="C801" s="4">
        <f>IFERROR(__xludf.DUMMYFUNCTION("""COMPUTED_VALUE"""),28.3)</f>
        <v>28.3</v>
      </c>
    </row>
    <row r="802">
      <c r="A802" s="4" t="str">
        <f>IFERROR(__xludf.DUMMYFUNCTION("""COMPUTED_VALUE"""),"0694/G")</f>
        <v>0694/G</v>
      </c>
      <c r="B802" s="4" t="str">
        <f>IFERROR(__xludf.DUMMYFUNCTION("""COMPUTED_VALUE"""),"Poste redondo diam. 80 galvan. 3 mt para espejo 4101")</f>
        <v>Poste redondo diam. 80 galvan. 3 mt para espejo 4101</v>
      </c>
      <c r="C802" s="4">
        <f>IFERROR(__xludf.DUMMYFUNCTION("""COMPUTED_VALUE"""),40.95)</f>
        <v>40.95</v>
      </c>
    </row>
    <row r="803">
      <c r="A803" s="4" t="str">
        <f>IFERROR(__xludf.DUMMYFUNCTION("""COMPUTED_VALUE"""),"0694/M")</f>
        <v>0694/M</v>
      </c>
      <c r="B803" s="4" t="str">
        <f>IFERROR(__xludf.DUMMYFUNCTION("""COMPUTED_VALUE"""),"Poste redondo diam. 60 galva. 3 mt. p/espejos")</f>
        <v>Poste redondo diam. 60 galva. 3 mt. p/espejos</v>
      </c>
      <c r="C803" s="4">
        <f>IFERROR(__xludf.DUMMYFUNCTION("""COMPUTED_VALUE"""),33.0)</f>
        <v>33</v>
      </c>
    </row>
    <row r="804">
      <c r="A804" s="4" t="str">
        <f>IFERROR(__xludf.DUMMYFUNCTION("""COMPUTED_VALUE"""),"0694D")</f>
        <v>0694D</v>
      </c>
      <c r="B804" s="4" t="str">
        <f>IFERROR(__xludf.DUMMYFUNCTION("""COMPUTED_VALUE"""),"Poste galva doblado 3 m circular 60 mm")</f>
        <v>Poste galva doblado 3 m circular 60 mm</v>
      </c>
      <c r="C804" s="4">
        <f>IFERROR(__xludf.DUMMYFUNCTION("""COMPUTED_VALUE"""),34.0)</f>
        <v>34</v>
      </c>
    </row>
    <row r="805">
      <c r="A805" s="4" t="str">
        <f>IFERROR(__xludf.DUMMYFUNCTION("""COMPUTED_VALUE"""),"0694E")</f>
        <v>0694E</v>
      </c>
      <c r="B805" s="4" t="str">
        <f>IFERROR(__xludf.DUMMYFUNCTION("""COMPUTED_VALUE"""),"Poste tubular 60 mm para cartelería vinilada")</f>
        <v>Poste tubular 60 mm para cartelería vinilada</v>
      </c>
      <c r="C805" s="4">
        <f>IFERROR(__xludf.DUMMYFUNCTION("""COMPUTED_VALUE"""),74.0)</f>
        <v>74</v>
      </c>
    </row>
    <row r="806">
      <c r="A806" s="4" t="str">
        <f>IFERROR(__xludf.DUMMYFUNCTION("""COMPUTED_VALUE"""),"695")</f>
        <v>695</v>
      </c>
      <c r="B806" s="4" t="str">
        <f>IFERROR(__xludf.DUMMYFUNCTION("""COMPUTED_VALUE"""),"Tripode angular señal metalica mod. B")</f>
        <v>Tripode angular señal metalica mod. B</v>
      </c>
      <c r="C806" s="4">
        <f>IFERROR(__xludf.DUMMYFUNCTION("""COMPUTED_VALUE"""),12.25)</f>
        <v>12.25</v>
      </c>
    </row>
    <row r="807">
      <c r="A807" s="4" t="str">
        <f>IFERROR(__xludf.DUMMYFUNCTION("""COMPUTED_VALUE"""),"696")</f>
        <v>696</v>
      </c>
      <c r="B807" s="4" t="str">
        <f>IFERROR(__xludf.DUMMYFUNCTION("""COMPUTED_VALUE"""),"Tripode gigante señal metálica")</f>
        <v>Tripode gigante señal metálica</v>
      </c>
      <c r="C807" s="4">
        <f>IFERROR(__xludf.DUMMYFUNCTION("""COMPUTED_VALUE"""),41.05)</f>
        <v>41.05</v>
      </c>
    </row>
    <row r="808">
      <c r="A808" s="4" t="str">
        <f>IFERROR(__xludf.DUMMYFUNCTION("""COMPUTED_VALUE"""),"697")</f>
        <v>697</v>
      </c>
      <c r="B808" s="4" t="str">
        <f>IFERROR(__xludf.DUMMYFUNCTION("""COMPUTED_VALUE"""),"Soporte pared p/ espejo 60 cm Mod. Basic")</f>
        <v>Soporte pared p/ espejo 60 cm Mod. Basic</v>
      </c>
      <c r="C808" s="4">
        <f>IFERROR(__xludf.DUMMYFUNCTION("""COMPUTED_VALUE"""),13.4)</f>
        <v>13.4</v>
      </c>
    </row>
    <row r="809">
      <c r="A809" s="4" t="str">
        <f>IFERROR(__xludf.DUMMYFUNCTION("""COMPUTED_VALUE"""),"0697/M")</f>
        <v>0697/M</v>
      </c>
      <c r="B809" s="4" t="str">
        <f>IFERROR(__xludf.DUMMYFUNCTION("""COMPUTED_VALUE"""),"Soporte pared para espejo Giotto-Rafaello-Icaro")</f>
        <v>Soporte pared para espejo Giotto-Rafaello-Icaro</v>
      </c>
      <c r="C809" s="4">
        <f>IFERROR(__xludf.DUMMYFUNCTION("""COMPUTED_VALUE"""),13.9)</f>
        <v>13.9</v>
      </c>
    </row>
    <row r="810">
      <c r="A810" s="4" t="str">
        <f>IFERROR(__xludf.DUMMYFUNCTION("""COMPUTED_VALUE"""),"0697G")</f>
        <v>0697G</v>
      </c>
      <c r="B810" s="4" t="str">
        <f>IFERROR(__xludf.DUMMYFUNCTION("""COMPUTED_VALUE"""),"Soporte pared p/ espejo 80 cm Mod. Basic")</f>
        <v>Soporte pared p/ espejo 80 cm Mod. Basic</v>
      </c>
      <c r="C810" s="4">
        <f>IFERROR(__xludf.DUMMYFUNCTION("""COMPUTED_VALUE"""),16.25)</f>
        <v>16.25</v>
      </c>
    </row>
    <row r="811">
      <c r="A811" s="4" t="str">
        <f>IFERROR(__xludf.DUMMYFUNCTION("""COMPUTED_VALUE"""),"698")</f>
        <v>698</v>
      </c>
      <c r="B811" s="4" t="str">
        <f>IFERROR(__xludf.DUMMYFUNCTION("""COMPUTED_VALUE"""),"Soporte pared señal metalica")</f>
        <v>Soporte pared señal metalica</v>
      </c>
      <c r="C811" s="4">
        <f>IFERROR(__xludf.DUMMYFUNCTION("""COMPUTED_VALUE"""),17.4)</f>
        <v>17.4</v>
      </c>
    </row>
    <row r="812">
      <c r="A812" s="4" t="str">
        <f>IFERROR(__xludf.DUMMYFUNCTION("""COMPUTED_VALUE"""),"699")</f>
        <v>699</v>
      </c>
      <c r="B812" s="4" t="str">
        <f>IFERROR(__xludf.DUMMYFUNCTION("""COMPUTED_VALUE"""),"Señal economica reflex")</f>
        <v>Señal economica reflex</v>
      </c>
      <c r="C812" s="4">
        <f>IFERROR(__xludf.DUMMYFUNCTION("""COMPUTED_VALUE"""),14.5)</f>
        <v>14.5</v>
      </c>
    </row>
    <row r="813">
      <c r="A813" s="4" t="str">
        <f>IFERROR(__xludf.DUMMYFUNCTION("""COMPUTED_VALUE"""),"701")</f>
        <v>701</v>
      </c>
      <c r="B813" s="4" t="str">
        <f>IFERROR(__xludf.DUMMYFUNCTION("""COMPUTED_VALUE"""),"Conjunto señalización tubular aparcar con soporte y plesilla")</f>
        <v>Conjunto señalización tubular aparcar con soporte y plesilla</v>
      </c>
      <c r="C813" s="4">
        <f>IFERROR(__xludf.DUMMYFUNCTION("""COMPUTED_VALUE"""),79.0)</f>
        <v>79</v>
      </c>
    </row>
    <row r="814">
      <c r="A814" s="4" t="str">
        <f>IFERROR(__xludf.DUMMYFUNCTION("""COMPUTED_VALUE"""),"0701/01")</f>
        <v>0701/01</v>
      </c>
      <c r="B814" s="4" t="str">
        <f>IFERROR(__xludf.DUMMYFUNCTION("""COMPUTED_VALUE"""),"Protector esquina acero 45cm lado x 100 cm altura tubo de")</f>
        <v>Protector esquina acero 45cm lado x 100 cm altura tubo de</v>
      </c>
      <c r="C814" s="4">
        <f>IFERROR(__xludf.DUMMYFUNCTION("""COMPUTED_VALUE"""),149.6)</f>
        <v>149.6</v>
      </c>
    </row>
    <row r="815">
      <c r="A815" s="4" t="str">
        <f>IFERROR(__xludf.DUMMYFUNCTION("""COMPUTED_VALUE"""),"0701/03")</f>
        <v>0701/03</v>
      </c>
      <c r="B815" s="4" t="str">
        <f>IFERROR(__xludf.DUMMYFUNCTION("""COMPUTED_VALUE"""),"Protector esquina acero 100 cm lado x 100 cm altura tubo de")</f>
        <v>Protector esquina acero 100 cm lado x 100 cm altura tubo de</v>
      </c>
      <c r="C815" s="4">
        <f>IFERROR(__xludf.DUMMYFUNCTION("""COMPUTED_VALUE"""),220.5)</f>
        <v>220.5</v>
      </c>
    </row>
    <row r="816">
      <c r="A816" s="4" t="str">
        <f>IFERROR(__xludf.DUMMYFUNCTION("""COMPUTED_VALUE"""),"0702/01")</f>
        <v>0702/01</v>
      </c>
      <c r="B816" s="4" t="str">
        <f>IFERROR(__xludf.DUMMYFUNCTION("""COMPUTED_VALUE"""),"Barrera protectora 100 cm largo x 100 cm altura tubo de 50x2")</f>
        <v>Barrera protectora 100 cm largo x 100 cm altura tubo de 50x2</v>
      </c>
      <c r="C816" s="4">
        <f>IFERROR(__xludf.DUMMYFUNCTION("""COMPUTED_VALUE"""),126.0)</f>
        <v>126</v>
      </c>
    </row>
    <row r="817">
      <c r="A817" s="4" t="str">
        <f>IFERROR(__xludf.DUMMYFUNCTION("""COMPUTED_VALUE"""),"0702/02")</f>
        <v>0702/02</v>
      </c>
      <c r="B817" s="4" t="str">
        <f>IFERROR(__xludf.DUMMYFUNCTION("""COMPUTED_VALUE"""),"Barrera protectora 100 cm largo x 100 cm altura tubo de 50x3")</f>
        <v>Barrera protectora 100 cm largo x 100 cm altura tubo de 50x3</v>
      </c>
      <c r="C817" s="4">
        <f>IFERROR(__xludf.DUMMYFUNCTION("""COMPUTED_VALUE"""),137.55)</f>
        <v>137.55</v>
      </c>
    </row>
    <row r="818">
      <c r="A818" s="4" t="str">
        <f>IFERROR(__xludf.DUMMYFUNCTION("""COMPUTED_VALUE"""),"0702/03")</f>
        <v>0702/03</v>
      </c>
      <c r="B818" s="4" t="str">
        <f>IFERROR(__xludf.DUMMYFUNCTION("""COMPUTED_VALUE"""),"Barrera protectora 100 cm largo x 100 cm altura tubo de")</f>
        <v>Barrera protectora 100 cm largo x 100 cm altura tubo de</v>
      </c>
      <c r="C818" s="4">
        <f>IFERROR(__xludf.DUMMYFUNCTION("""COMPUTED_VALUE"""),141.75)</f>
        <v>141.75</v>
      </c>
    </row>
    <row r="819">
      <c r="A819" s="4" t="str">
        <f>IFERROR(__xludf.DUMMYFUNCTION("""COMPUTED_VALUE"""),"0702/04")</f>
        <v>0702/04</v>
      </c>
      <c r="B819" s="4" t="str">
        <f>IFERROR(__xludf.DUMMYFUNCTION("""COMPUTED_VALUE"""),"Barrera protectora 100 cm largo x 100 cm altura tubo de")</f>
        <v>Barrera protectora 100 cm largo x 100 cm altura tubo de</v>
      </c>
      <c r="C819" s="4">
        <f>IFERROR(__xludf.DUMMYFUNCTION("""COMPUTED_VALUE"""),170.625)</f>
        <v>170.625</v>
      </c>
    </row>
    <row r="820">
      <c r="A820" s="4" t="str">
        <f>IFERROR(__xludf.DUMMYFUNCTION("""COMPUTED_VALUE"""),"0702/05")</f>
        <v>0702/05</v>
      </c>
      <c r="B820" s="4" t="str">
        <f>IFERROR(__xludf.DUMMYFUNCTION("""COMPUTED_VALUE"""),"Barrera protectora 200 cm largo x 100 cm altura tubo de")</f>
        <v>Barrera protectora 200 cm largo x 100 cm altura tubo de</v>
      </c>
      <c r="C820" s="4">
        <f>IFERROR(__xludf.DUMMYFUNCTION("""COMPUTED_VALUE"""),173.25)</f>
        <v>173.25</v>
      </c>
    </row>
    <row r="821">
      <c r="A821" s="4" t="str">
        <f>IFERROR(__xludf.DUMMYFUNCTION("""COMPUTED_VALUE"""),"0702/06")</f>
        <v>0702/06</v>
      </c>
      <c r="B821" s="4" t="str">
        <f>IFERROR(__xludf.DUMMYFUNCTION("""COMPUTED_VALUE"""),"Barrera protectora 200 cm largo x 100 cm altura tubo 50x3mm")</f>
        <v>Barrera protectora 200 cm largo x 100 cm altura tubo 50x3mm</v>
      </c>
      <c r="C821" s="4">
        <f>IFERROR(__xludf.DUMMYFUNCTION("""COMPUTED_VALUE"""),223.125)</f>
        <v>223.125</v>
      </c>
    </row>
    <row r="822">
      <c r="A822" s="4" t="str">
        <f>IFERROR(__xludf.DUMMYFUNCTION("""COMPUTED_VALUE"""),"0702/07")</f>
        <v>0702/07</v>
      </c>
      <c r="B822" s="4" t="str">
        <f>IFERROR(__xludf.DUMMYFUNCTION("""COMPUTED_VALUE"""),"Barrera protectora 200 cm largo x 100 cm altura tubo de")</f>
        <v>Barrera protectora 200 cm largo x 100 cm altura tubo de</v>
      </c>
      <c r="C822" s="4">
        <f>IFERROR(__xludf.DUMMYFUNCTION("""COMPUTED_VALUE"""),175.875)</f>
        <v>175.875</v>
      </c>
    </row>
    <row r="823">
      <c r="A823" s="4" t="str">
        <f>IFERROR(__xludf.DUMMYFUNCTION("""COMPUTED_VALUE"""),"0702/08")</f>
        <v>0702/08</v>
      </c>
      <c r="B823" s="4" t="str">
        <f>IFERROR(__xludf.DUMMYFUNCTION("""COMPUTED_VALUE"""),"Barrera protectora 200 cm largo x 100 cm altura tubo de")</f>
        <v>Barrera protectora 200 cm largo x 100 cm altura tubo de</v>
      </c>
      <c r="C823" s="4">
        <f>IFERROR(__xludf.DUMMYFUNCTION("""COMPUTED_VALUE"""),236.25)</f>
        <v>236.25</v>
      </c>
    </row>
    <row r="824">
      <c r="A824" s="4" t="str">
        <f>IFERROR(__xludf.DUMMYFUNCTION("""COMPUTED_VALUE"""),"0703/01")</f>
        <v>0703/01</v>
      </c>
      <c r="B824" s="4" t="str">
        <f>IFERROR(__xludf.DUMMYFUNCTION("""COMPUTED_VALUE"""),"Barrera protectora reforzada 100 cm largo x 100 cm altura tubo")</f>
        <v>Barrera protectora reforzada 100 cm largo x 100 cm altura tubo</v>
      </c>
      <c r="C824" s="4">
        <f>IFERROR(__xludf.DUMMYFUNCTION("""COMPUTED_VALUE"""),183.75)</f>
        <v>183.75</v>
      </c>
    </row>
    <row r="825">
      <c r="A825" s="4" t="str">
        <f>IFERROR(__xludf.DUMMYFUNCTION("""COMPUTED_VALUE"""),"0703/02")</f>
        <v>0703/02</v>
      </c>
      <c r="B825" s="4" t="str">
        <f>IFERROR(__xludf.DUMMYFUNCTION("""COMPUTED_VALUE"""),"Barrera protectora reforzada 100 cm largo x 100 cm altura tubo")</f>
        <v>Barrera protectora reforzada 100 cm largo x 100 cm altura tubo</v>
      </c>
      <c r="C825" s="4">
        <f>IFERROR(__xludf.DUMMYFUNCTION("""COMPUTED_VALUE"""),147.0)</f>
        <v>147</v>
      </c>
    </row>
    <row r="826">
      <c r="A826" s="4" t="str">
        <f>IFERROR(__xludf.DUMMYFUNCTION("""COMPUTED_VALUE"""),"0703/03")</f>
        <v>0703/03</v>
      </c>
      <c r="B826" s="4" t="str">
        <f>IFERROR(__xludf.DUMMYFUNCTION("""COMPUTED_VALUE"""),"Barrera protectora reforzada 100 cm largo x 100 cm altura tubo")</f>
        <v>Barrera protectora reforzada 100 cm largo x 100 cm altura tubo</v>
      </c>
      <c r="C826" s="4">
        <f>IFERROR(__xludf.DUMMYFUNCTION("""COMPUTED_VALUE"""),136.5)</f>
        <v>136.5</v>
      </c>
    </row>
    <row r="827">
      <c r="A827" s="4" t="str">
        <f>IFERROR(__xludf.DUMMYFUNCTION("""COMPUTED_VALUE"""),"0703/04")</f>
        <v>0703/04</v>
      </c>
      <c r="B827" s="4" t="str">
        <f>IFERROR(__xludf.DUMMYFUNCTION("""COMPUTED_VALUE"""),"Barrera protectora reforzada 100 cm largo x 100 cm altura tubo")</f>
        <v>Barrera protectora reforzada 100 cm largo x 100 cm altura tubo</v>
      </c>
      <c r="C827" s="4">
        <f>IFERROR(__xludf.DUMMYFUNCTION("""COMPUTED_VALUE"""),183.75)</f>
        <v>183.75</v>
      </c>
    </row>
    <row r="828">
      <c r="A828" s="4" t="str">
        <f>IFERROR(__xludf.DUMMYFUNCTION("""COMPUTED_VALUE"""),"0703/05")</f>
        <v>0703/05</v>
      </c>
      <c r="B828" s="4" t="str">
        <f>IFERROR(__xludf.DUMMYFUNCTION("""COMPUTED_VALUE"""),"Barrera protectora reforzada 200 cm largo x 100 cm altura tubo")</f>
        <v>Barrera protectora reforzada 200 cm largo x 100 cm altura tubo</v>
      </c>
      <c r="C828" s="4">
        <f>IFERROR(__xludf.DUMMYFUNCTION("""COMPUTED_VALUE"""),196.875)</f>
        <v>196.875</v>
      </c>
    </row>
    <row r="829">
      <c r="A829" s="4" t="str">
        <f>IFERROR(__xludf.DUMMYFUNCTION("""COMPUTED_VALUE"""),"0703/06")</f>
        <v>0703/06</v>
      </c>
      <c r="B829" s="4" t="str">
        <f>IFERROR(__xludf.DUMMYFUNCTION("""COMPUTED_VALUE"""),"Barrera protectora reforzada 200 cm largo x 100 cm altura tubo")</f>
        <v>Barrera protectora reforzada 200 cm largo x 100 cm altura tubo</v>
      </c>
      <c r="C829" s="4">
        <f>IFERROR(__xludf.DUMMYFUNCTION("""COMPUTED_VALUE"""),223.125)</f>
        <v>223.125</v>
      </c>
    </row>
    <row r="830">
      <c r="A830" s="4" t="str">
        <f>IFERROR(__xludf.DUMMYFUNCTION("""COMPUTED_VALUE"""),"0703/07")</f>
        <v>0703/07</v>
      </c>
      <c r="B830" s="4" t="str">
        <f>IFERROR(__xludf.DUMMYFUNCTION("""COMPUTED_VALUE"""),"Barrera protectora reforzada 200 cm largo x 100 cm altura tubo")</f>
        <v>Barrera protectora reforzada 200 cm largo x 100 cm altura tubo</v>
      </c>
      <c r="C830" s="4">
        <f>IFERROR(__xludf.DUMMYFUNCTION("""COMPUTED_VALUE"""),196.875)</f>
        <v>196.875</v>
      </c>
    </row>
    <row r="831">
      <c r="A831" s="4" t="str">
        <f>IFERROR(__xludf.DUMMYFUNCTION("""COMPUTED_VALUE"""),"0703/08")</f>
        <v>0703/08</v>
      </c>
      <c r="B831" s="4" t="str">
        <f>IFERROR(__xludf.DUMMYFUNCTION("""COMPUTED_VALUE"""),"Barrera protectora reforzada 200 cm largo x 100 cm altiura tubo")</f>
        <v>Barrera protectora reforzada 200 cm largo x 100 cm altiura tubo</v>
      </c>
      <c r="C831" s="4">
        <f>IFERROR(__xludf.DUMMYFUNCTION("""COMPUTED_VALUE"""),246.75)</f>
        <v>246.75</v>
      </c>
    </row>
    <row r="832">
      <c r="A832" s="4" t="str">
        <f>IFERROR(__xludf.DUMMYFUNCTION("""COMPUTED_VALUE"""),"0704/01")</f>
        <v>0704/01</v>
      </c>
      <c r="B832" s="4" t="str">
        <f>IFERROR(__xludf.DUMMYFUNCTION("""COMPUTED_VALUE"""),"Bolardo acero N/A 100 cm altura tubo 60x2mm")</f>
        <v>Bolardo acero N/A 100 cm altura tubo 60x2mm</v>
      </c>
      <c r="C832" s="4">
        <f>IFERROR(__xludf.DUMMYFUNCTION("""COMPUTED_VALUE"""),63.0)</f>
        <v>63</v>
      </c>
    </row>
    <row r="833">
      <c r="A833" s="4" t="str">
        <f>IFERROR(__xludf.DUMMYFUNCTION("""COMPUTED_VALUE"""),"0704/02")</f>
        <v>0704/02</v>
      </c>
      <c r="B833" s="4" t="str">
        <f>IFERROR(__xludf.DUMMYFUNCTION("""COMPUTED_VALUE"""),"Bolardo acero N/A 100 cm altura tubo de 80x2mm")</f>
        <v>Bolardo acero N/A 100 cm altura tubo de 80x2mm</v>
      </c>
      <c r="C833" s="4">
        <f>IFERROR(__xludf.DUMMYFUNCTION("""COMPUTED_VALUE"""),78.75)</f>
        <v>78.75</v>
      </c>
    </row>
    <row r="834">
      <c r="A834" s="4" t="str">
        <f>IFERROR(__xludf.DUMMYFUNCTION("""COMPUTED_VALUE"""),"0705/01")</f>
        <v>0705/01</v>
      </c>
      <c r="B834" s="4" t="str">
        <f>IFERROR(__xludf.DUMMYFUNCTION("""COMPUTED_VALUE"""),"Zocalo proteccion 200 cm largo x 6,6 cm altura tubo de")</f>
        <v>Zocalo proteccion 200 cm largo x 6,6 cm altura tubo de</v>
      </c>
      <c r="C834" s="4">
        <f>IFERROR(__xludf.DUMMYFUNCTION("""COMPUTED_VALUE"""),99.75)</f>
        <v>99.75</v>
      </c>
    </row>
    <row r="835">
      <c r="A835" s="4" t="str">
        <f>IFERROR(__xludf.DUMMYFUNCTION("""COMPUTED_VALUE"""),"0705/02")</f>
        <v>0705/02</v>
      </c>
      <c r="B835" s="4" t="str">
        <f>IFERROR(__xludf.DUMMYFUNCTION("""COMPUTED_VALUE"""),"Zocalo proteccion 200 cm largo x 8,6 cm altura tubo de")</f>
        <v>Zocalo proteccion 200 cm largo x 8,6 cm altura tubo de</v>
      </c>
      <c r="C835" s="4">
        <f>IFERROR(__xludf.DUMMYFUNCTION("""COMPUTED_VALUE"""),118.125)</f>
        <v>118.125</v>
      </c>
    </row>
    <row r="836">
      <c r="A836" s="4" t="str">
        <f>IFERROR(__xludf.DUMMYFUNCTION("""COMPUTED_VALUE"""),"706")</f>
        <v>706</v>
      </c>
      <c r="B836" s="4" t="str">
        <f>IFERROR(__xludf.DUMMYFUNCTION("""COMPUTED_VALUE"""),"Placa Taller 50x50 cm personalizable")</f>
        <v>Placa Taller 50x50 cm personalizable</v>
      </c>
      <c r="C836" s="4">
        <f>IFERROR(__xludf.DUMMYFUNCTION("""COMPUTED_VALUE"""),11.25)</f>
        <v>11.25</v>
      </c>
    </row>
    <row r="837">
      <c r="A837" s="4" t="str">
        <f>IFERROR(__xludf.DUMMYFUNCTION("""COMPUTED_VALUE"""),"708")</f>
        <v>708</v>
      </c>
      <c r="B837" s="4" t="str">
        <f>IFERROR(__xludf.DUMMYFUNCTION("""COMPUTED_VALUE"""),"Conjunto prohibido aparcar + trípode con plesilla")</f>
        <v>Conjunto prohibido aparcar + trípode con plesilla</v>
      </c>
      <c r="C837" s="4">
        <f>IFERROR(__xludf.DUMMYFUNCTION("""COMPUTED_VALUE"""),31.0)</f>
        <v>31</v>
      </c>
    </row>
    <row r="838">
      <c r="A838" s="4" t="str">
        <f>IFERROR(__xludf.DUMMYFUNCTION("""COMPUTED_VALUE"""),"710")</f>
        <v>710</v>
      </c>
      <c r="B838" s="4" t="str">
        <f>IFERROR(__xludf.DUMMYFUNCTION("""COMPUTED_VALUE"""),"Placa mercancias peligrosas fija 40x30 troquelada")</f>
        <v>Placa mercancias peligrosas fija 40x30 troquelada</v>
      </c>
      <c r="C838" s="4">
        <f>IFERROR(__xludf.DUMMYFUNCTION("""COMPUTED_VALUE"""),32.9)</f>
        <v>32.9</v>
      </c>
    </row>
    <row r="839">
      <c r="A839" s="4" t="str">
        <f>IFERROR(__xludf.DUMMYFUNCTION("""COMPUTED_VALUE"""),"0710T")</f>
        <v>0710T</v>
      </c>
      <c r="B839" s="4" t="str">
        <f>IFERROR(__xludf.DUMMYFUNCTION("""COMPUTED_VALUE"""),"Placa mercancia peligrosa plegable sin troquelar 40x30")</f>
        <v>Placa mercancia peligrosa plegable sin troquelar 40x30</v>
      </c>
      <c r="C839" s="4">
        <f>IFERROR(__xludf.DUMMYFUNCTION("""COMPUTED_VALUE"""),22.1)</f>
        <v>22.1</v>
      </c>
    </row>
    <row r="840">
      <c r="A840" s="4" t="str">
        <f>IFERROR(__xludf.DUMMYFUNCTION("""COMPUTED_VALUE"""),"711")</f>
        <v>711</v>
      </c>
      <c r="B840" s="4" t="str">
        <f>IFERROR(__xludf.DUMMYFUNCTION("""COMPUTED_VALUE"""),"Disco nacional 20 cm diám Limitacion Velocidad alumin, Reflex")</f>
        <v>Disco nacional 20 cm diám Limitacion Velocidad alumin, Reflex</v>
      </c>
      <c r="C840" s="4">
        <f>IFERROR(__xludf.DUMMYFUNCTION("""COMPUTED_VALUE"""),8.0)</f>
        <v>8</v>
      </c>
    </row>
    <row r="841">
      <c r="A841" s="4" t="str">
        <f>IFERROR(__xludf.DUMMYFUNCTION("""COMPUTED_VALUE"""),"0711/20")</f>
        <v>0711/20</v>
      </c>
      <c r="B841" s="4" t="str">
        <f>IFERROR(__xludf.DUMMYFUNCTION("""COMPUTED_VALUE"""),"Disco alum. diam.20cm Lim Velocidad 20 Reflex 2")</f>
        <v>Disco alum. diam.20cm Lim Velocidad 20 Reflex 2</v>
      </c>
      <c r="C841" s="4">
        <f>IFERROR(__xludf.DUMMYFUNCTION("""COMPUTED_VALUE"""),7.875)</f>
        <v>7.875</v>
      </c>
    </row>
    <row r="842">
      <c r="A842" s="4" t="str">
        <f>IFERROR(__xludf.DUMMYFUNCTION("""COMPUTED_VALUE"""),"0711/25")</f>
        <v>0711/25</v>
      </c>
      <c r="B842" s="4" t="str">
        <f>IFERROR(__xludf.DUMMYFUNCTION("""COMPUTED_VALUE"""),"Disco alum. diam.20cm Lim Velocidad 25 Reflex 2")</f>
        <v>Disco alum. diam.20cm Lim Velocidad 25 Reflex 2</v>
      </c>
      <c r="C842" s="4">
        <f>IFERROR(__xludf.DUMMYFUNCTION("""COMPUTED_VALUE"""),7.875)</f>
        <v>7.875</v>
      </c>
    </row>
    <row r="843">
      <c r="A843" s="4" t="str">
        <f>IFERROR(__xludf.DUMMYFUNCTION("""COMPUTED_VALUE"""),"0711/30")</f>
        <v>0711/30</v>
      </c>
      <c r="B843" s="4" t="str">
        <f>IFERROR(__xludf.DUMMYFUNCTION("""COMPUTED_VALUE"""),"Disco alum. diam.20cm Lim Velocidad 30 Reflex 2")</f>
        <v>Disco alum. diam.20cm Lim Velocidad 30 Reflex 2</v>
      </c>
      <c r="C843" s="4">
        <f>IFERROR(__xludf.DUMMYFUNCTION("""COMPUTED_VALUE"""),7.875)</f>
        <v>7.875</v>
      </c>
    </row>
    <row r="844">
      <c r="A844" s="4" t="str">
        <f>IFERROR(__xludf.DUMMYFUNCTION("""COMPUTED_VALUE"""),"0711/35")</f>
        <v>0711/35</v>
      </c>
      <c r="B844" s="4" t="str">
        <f>IFERROR(__xludf.DUMMYFUNCTION("""COMPUTED_VALUE"""),"Disco alum. diam.20cm Lim Velocidad 35 Reflex 2")</f>
        <v>Disco alum. diam.20cm Lim Velocidad 35 Reflex 2</v>
      </c>
      <c r="C844" s="4">
        <f>IFERROR(__xludf.DUMMYFUNCTION("""COMPUTED_VALUE"""),7.875)</f>
        <v>7.875</v>
      </c>
    </row>
    <row r="845">
      <c r="A845" s="4" t="str">
        <f>IFERROR(__xludf.DUMMYFUNCTION("""COMPUTED_VALUE"""),"0711/40")</f>
        <v>0711/40</v>
      </c>
      <c r="B845" s="4" t="str">
        <f>IFERROR(__xludf.DUMMYFUNCTION("""COMPUTED_VALUE"""),"Disco alum. diam.20cm Lim Velocidad 40 Reflex 2")</f>
        <v>Disco alum. diam.20cm Lim Velocidad 40 Reflex 2</v>
      </c>
      <c r="C845" s="4">
        <f>IFERROR(__xludf.DUMMYFUNCTION("""COMPUTED_VALUE"""),7.875)</f>
        <v>7.875</v>
      </c>
    </row>
    <row r="846">
      <c r="A846" s="4" t="str">
        <f>IFERROR(__xludf.DUMMYFUNCTION("""COMPUTED_VALUE"""),"0711/45")</f>
        <v>0711/45</v>
      </c>
      <c r="B846" s="4" t="str">
        <f>IFERROR(__xludf.DUMMYFUNCTION("""COMPUTED_VALUE"""),"Disco alum. diam.20cm Lim Velocidad 45 Reflex 2")</f>
        <v>Disco alum. diam.20cm Lim Velocidad 45 Reflex 2</v>
      </c>
      <c r="C846" s="4">
        <f>IFERROR(__xludf.DUMMYFUNCTION("""COMPUTED_VALUE"""),7.875)</f>
        <v>7.875</v>
      </c>
    </row>
    <row r="847">
      <c r="A847" s="4" t="str">
        <f>IFERROR(__xludf.DUMMYFUNCTION("""COMPUTED_VALUE"""),"712")</f>
        <v>712</v>
      </c>
      <c r="B847" s="4" t="str">
        <f>IFERROR(__xludf.DUMMYFUNCTION("""COMPUTED_VALUE"""),"Placa Servicio Público 75x150 mm aluminiro Reflex 2")</f>
        <v>Placa Servicio Público 75x150 mm aluminiro Reflex 2</v>
      </c>
      <c r="C847" s="4">
        <f>IFERROR(__xludf.DUMMYFUNCTION("""COMPUTED_VALUE"""),4.25)</f>
        <v>4.25</v>
      </c>
    </row>
    <row r="848">
      <c r="A848" s="4" t="str">
        <f>IFERROR(__xludf.DUMMYFUNCTION("""COMPUTED_VALUE"""),"713")</f>
        <v>713</v>
      </c>
      <c r="B848" s="4" t="str">
        <f>IFERROR(__xludf.DUMMYFUNCTION("""COMPUTED_VALUE"""),"Placa Servicio Público 120x225 mm aluminio Reflex N2")</f>
        <v>Placa Servicio Público 120x225 mm aluminio Reflex N2</v>
      </c>
      <c r="C848" s="4">
        <f>IFERROR(__xludf.DUMMYFUNCTION("""COMPUTED_VALUE"""),6.75)</f>
        <v>6.75</v>
      </c>
    </row>
    <row r="849">
      <c r="A849" s="4" t="str">
        <f>IFERROR(__xludf.DUMMYFUNCTION("""COMPUTED_VALUE"""),"714")</f>
        <v>714</v>
      </c>
      <c r="B849" s="4" t="str">
        <f>IFERROR(__xludf.DUMMYFUNCTION("""COMPUTED_VALUE"""),"Señal Transporte Animales Vivos aluminio 30x22 cm")</f>
        <v>Señal Transporte Animales Vivos aluminio 30x22 cm</v>
      </c>
      <c r="C849" s="4">
        <f>IFERROR(__xludf.DUMMYFUNCTION("""COMPUTED_VALUE"""),7.75)</f>
        <v>7.75</v>
      </c>
    </row>
    <row r="850">
      <c r="A850" s="4" t="str">
        <f>IFERROR(__xludf.DUMMYFUNCTION("""COMPUTED_VALUE"""),"715")</f>
        <v>715</v>
      </c>
      <c r="B850" s="4" t="str">
        <f>IFERROR(__xludf.DUMMYFUNCTION("""COMPUTED_VALUE"""),"Señal adhesiva de TARA P.M.A. 130x330 mm")</f>
        <v>Señal adhesiva de TARA P.M.A. 130x330 mm</v>
      </c>
      <c r="C850" s="4">
        <f>IFERROR(__xludf.DUMMYFUNCTION("""COMPUTED_VALUE"""),2.0)</f>
        <v>2</v>
      </c>
    </row>
    <row r="851">
      <c r="A851" s="4" t="str">
        <f>IFERROR(__xludf.DUMMYFUNCTION("""COMPUTED_VALUE"""),"716")</f>
        <v>716</v>
      </c>
      <c r="B851" s="4" t="str">
        <f>IFERROR(__xludf.DUMMYFUNCTION("""COMPUTED_VALUE"""),"Placa Vehículo Lento 365 mm de lado aluminio Reflex N2")</f>
        <v>Placa Vehículo Lento 365 mm de lado aluminio Reflex N2</v>
      </c>
      <c r="C851" s="4">
        <f>IFERROR(__xludf.DUMMYFUNCTION("""COMPUTED_VALUE"""),21.0)</f>
        <v>21</v>
      </c>
    </row>
    <row r="852">
      <c r="A852" s="4" t="str">
        <f>IFERROR(__xludf.DUMMYFUNCTION("""COMPUTED_VALUE"""),"717")</f>
        <v>717</v>
      </c>
      <c r="B852" s="4" t="str">
        <f>IFERROR(__xludf.DUMMYFUNCTION("""COMPUTED_VALUE"""),"Placa R-70 corta 565x200mm vehic. largo (juego2 pzas)")</f>
        <v>Placa R-70 corta 565x200mm vehic. largo (juego2 pzas)</v>
      </c>
      <c r="C852" s="4">
        <f>IFERROR(__xludf.DUMMYFUNCTION("""COMPUTED_VALUE"""),34.0)</f>
        <v>34</v>
      </c>
    </row>
    <row r="853">
      <c r="A853" s="4" t="str">
        <f>IFERROR(__xludf.DUMMYFUNCTION("""COMPUTED_VALUE"""),"0717/L")</f>
        <v>0717/L</v>
      </c>
      <c r="B853" s="4" t="str">
        <f>IFERROR(__xludf.DUMMYFUNCTION("""COMPUTED_VALUE"""),"Placa 1130x200mm vehículo Largo Reflex N2 Homol. Europea")</f>
        <v>Placa 1130x200mm vehículo Largo Reflex N2 Homol. Europea</v>
      </c>
      <c r="C853" s="4">
        <f>IFERROR(__xludf.DUMMYFUNCTION("""COMPUTED_VALUE"""),28.0)</f>
        <v>28</v>
      </c>
    </row>
    <row r="854">
      <c r="A854" s="4" t="str">
        <f>IFERROR(__xludf.DUMMYFUNCTION("""COMPUTED_VALUE"""),"719")</f>
        <v>719</v>
      </c>
      <c r="B854" s="4" t="str">
        <f>IFERROR(__xludf.DUMMYFUNCTION("""COMPUTED_VALUE"""),"Placa 1ª categ COTO PRIVADO DE CAZA + matric. Troquel.")</f>
        <v>Placa 1ª categ COTO PRIVADO DE CAZA + matric. Troquel.</v>
      </c>
      <c r="C854" s="4">
        <f>IFERROR(__xludf.DUMMYFUNCTION("""COMPUTED_VALUE"""),11.0)</f>
        <v>11</v>
      </c>
    </row>
    <row r="855">
      <c r="A855" s="4" t="str">
        <f>IFERROR(__xludf.DUMMYFUNCTION("""COMPUTED_VALUE"""),"720")</f>
        <v>720</v>
      </c>
      <c r="B855" s="4" t="str">
        <f>IFERROR(__xludf.DUMMYFUNCTION("""COMPUTED_VALUE"""),"Placa 2ª categ. COTO DE CAZA 30X20 cm")</f>
        <v>Placa 2ª categ. COTO DE CAZA 30X20 cm</v>
      </c>
      <c r="C855" s="4">
        <f>IFERROR(__xludf.DUMMYFUNCTION("""COMPUTED_VALUE"""),6.0)</f>
        <v>6</v>
      </c>
    </row>
    <row r="856">
      <c r="A856" s="4" t="str">
        <f>IFERROR(__xludf.DUMMYFUNCTION("""COMPUTED_VALUE"""),"721")</f>
        <v>721</v>
      </c>
      <c r="B856" s="4" t="str">
        <f>IFERROR(__xludf.DUMMYFUNCTION("""COMPUTED_VALUE"""),"Placa Nº puerta aluminio 19x14cm azul")</f>
        <v>Placa Nº puerta aluminio 19x14cm azul</v>
      </c>
      <c r="C856" s="4">
        <f>IFERROR(__xludf.DUMMYFUNCTION("""COMPUTED_VALUE"""),4.0)</f>
        <v>4</v>
      </c>
    </row>
    <row r="857">
      <c r="A857" s="4" t="str">
        <f>IFERROR(__xludf.DUMMYFUNCTION("""COMPUTED_VALUE"""),"722")</f>
        <v>722</v>
      </c>
      <c r="B857" s="4" t="str">
        <f>IFERROR(__xludf.DUMMYFUNCTION("""COMPUTED_VALUE"""),"Placa V-10 transporte escolar 20x20 Reflex 2 Homologada")</f>
        <v>Placa V-10 transporte escolar 20x20 Reflex 2 Homologada</v>
      </c>
      <c r="C857" s="4">
        <f>IFERROR(__xludf.DUMMYFUNCTION("""COMPUTED_VALUE"""),10.6)</f>
        <v>10.6</v>
      </c>
    </row>
    <row r="858">
      <c r="A858" s="4" t="str">
        <f>IFERROR(__xludf.DUMMYFUNCTION("""COMPUTED_VALUE"""),"726")</f>
        <v>726</v>
      </c>
      <c r="B858" s="4" t="str">
        <f>IFERROR(__xludf.DUMMYFUNCTION("""COMPUTED_VALUE"""),"Bocina neumática a mano")</f>
        <v>Bocina neumática a mano</v>
      </c>
      <c r="C858" s="4">
        <f>IFERROR(__xludf.DUMMYFUNCTION("""COMPUTED_VALUE"""),21.0)</f>
        <v>21</v>
      </c>
    </row>
    <row r="859">
      <c r="A859" s="4" t="str">
        <f>IFERROR(__xludf.DUMMYFUNCTION("""COMPUTED_VALUE"""),"727")</f>
        <v>727</v>
      </c>
      <c r="B859" s="4" t="str">
        <f>IFERROR(__xludf.DUMMYFUNCTION("""COMPUTED_VALUE"""),"Pinzas más cable para batería 400 Ah")</f>
        <v>Pinzas más cable para batería 400 Ah</v>
      </c>
      <c r="C859" s="4">
        <f>IFERROR(__xludf.DUMMYFUNCTION("""COMPUTED_VALUE"""),17.0)</f>
        <v>17</v>
      </c>
    </row>
    <row r="860">
      <c r="A860" s="4" t="str">
        <f>IFERROR(__xludf.DUMMYFUNCTION("""COMPUTED_VALUE"""),"728")</f>
        <v>728</v>
      </c>
      <c r="B860" s="4" t="str">
        <f>IFERROR(__xludf.DUMMYFUNCTION("""COMPUTED_VALUE"""),"Reductor tensión 24 a 12 v")</f>
        <v>Reductor tensión 24 a 12 v</v>
      </c>
      <c r="C860" s="4">
        <f>IFERROR(__xludf.DUMMYFUNCTION("""COMPUTED_VALUE"""),141.25)</f>
        <v>141.25</v>
      </c>
    </row>
    <row r="861">
      <c r="A861" s="4" t="str">
        <f>IFERROR(__xludf.DUMMYFUNCTION("""COMPUTED_VALUE"""),"730")</f>
        <v>730</v>
      </c>
      <c r="B861" s="4" t="str">
        <f>IFERROR(__xludf.DUMMYFUNCTION("""COMPUTED_VALUE"""),"Pinza negra - 80 Ah")</f>
        <v>Pinza negra - 80 Ah</v>
      </c>
      <c r="C861" s="4">
        <f>IFERROR(__xludf.DUMMYFUNCTION("""COMPUTED_VALUE"""),1.9)</f>
        <v>1.9</v>
      </c>
    </row>
    <row r="862">
      <c r="A862" s="4" t="str">
        <f>IFERROR(__xludf.DUMMYFUNCTION("""COMPUTED_VALUE"""),"731")</f>
        <v>731</v>
      </c>
      <c r="B862" s="4" t="str">
        <f>IFERROR(__xludf.DUMMYFUNCTION("""COMPUTED_VALUE"""),"Pinza Roja + 80 Ah")</f>
        <v>Pinza Roja + 80 Ah</v>
      </c>
      <c r="C862" s="4">
        <f>IFERROR(__xludf.DUMMYFUNCTION("""COMPUTED_VALUE"""),1.9)</f>
        <v>1.9</v>
      </c>
    </row>
    <row r="863">
      <c r="A863" s="4" t="str">
        <f>IFERROR(__xludf.DUMMYFUNCTION("""COMPUTED_VALUE"""),"732")</f>
        <v>732</v>
      </c>
      <c r="B863" s="4" t="str">
        <f>IFERROR(__xludf.DUMMYFUNCTION("""COMPUTED_VALUE"""),"Pinza Negra - 500 Ah")</f>
        <v>Pinza Negra - 500 Ah</v>
      </c>
      <c r="C863" s="4">
        <f>IFERROR(__xludf.DUMMYFUNCTION("""COMPUTED_VALUE"""),14.5)</f>
        <v>14.5</v>
      </c>
    </row>
    <row r="864">
      <c r="A864" s="4" t="str">
        <f>IFERROR(__xludf.DUMMYFUNCTION("""COMPUTED_VALUE"""),"733")</f>
        <v>733</v>
      </c>
      <c r="B864" s="4" t="str">
        <f>IFERROR(__xludf.DUMMYFUNCTION("""COMPUTED_VALUE"""),"Pinza Roja + 500 Ah")</f>
        <v>Pinza Roja + 500 Ah</v>
      </c>
      <c r="C864" s="4">
        <f>IFERROR(__xludf.DUMMYFUNCTION("""COMPUTED_VALUE"""),14.5)</f>
        <v>14.5</v>
      </c>
    </row>
    <row r="865">
      <c r="A865" s="4" t="str">
        <f>IFERROR(__xludf.DUMMYFUNCTION("""COMPUTED_VALUE"""),"750")</f>
        <v>750</v>
      </c>
      <c r="B865" s="4" t="str">
        <f>IFERROR(__xludf.DUMMYFUNCTION("""COMPUTED_VALUE"""),"Señal plástica 60 cm reflectante triangular para conos")</f>
        <v>Señal plástica 60 cm reflectante triangular para conos</v>
      </c>
      <c r="C865" s="4">
        <f>IFERROR(__xludf.DUMMYFUNCTION("""COMPUTED_VALUE"""),14.95)</f>
        <v>14.95</v>
      </c>
    </row>
    <row r="866">
      <c r="A866" s="4" t="str">
        <f>IFERROR(__xludf.DUMMYFUNCTION("""COMPUTED_VALUE"""),"751")</f>
        <v>751</v>
      </c>
      <c r="B866" s="4" t="str">
        <f>IFERROR(__xludf.DUMMYFUNCTION("""COMPUTED_VALUE"""),"Señal plástica 60x30 cm reflectante rectangular para conos")</f>
        <v>Señal plástica 60x30 cm reflectante rectangular para conos</v>
      </c>
      <c r="C866" s="4">
        <f>IFERROR(__xludf.DUMMYFUNCTION("""COMPUTED_VALUE"""),14.95)</f>
        <v>14.95</v>
      </c>
    </row>
    <row r="867">
      <c r="A867" s="4" t="str">
        <f>IFERROR(__xludf.DUMMYFUNCTION("""COMPUTED_VALUE"""),"752")</f>
        <v>752</v>
      </c>
      <c r="B867" s="4" t="str">
        <f>IFERROR(__xludf.DUMMYFUNCTION("""COMPUTED_VALUE"""),"Señal plástica 60 cm reflectante circular para conos")</f>
        <v>Señal plástica 60 cm reflectante circular para conos</v>
      </c>
      <c r="C867" s="4">
        <f>IFERROR(__xludf.DUMMYFUNCTION("""COMPUTED_VALUE"""),14.95)</f>
        <v>14.95</v>
      </c>
    </row>
    <row r="868">
      <c r="A868" s="4" t="str">
        <f>IFERROR(__xludf.DUMMYFUNCTION("""COMPUTED_VALUE"""),"753")</f>
        <v>753</v>
      </c>
      <c r="B868" s="4" t="str">
        <f>IFERROR(__xludf.DUMMYFUNCTION("""COMPUTED_VALUE"""),"Señal personalizada con soporte pared 40x30 cm")</f>
        <v>Señal personalizada con soporte pared 40x30 cm</v>
      </c>
      <c r="C868" s="4">
        <f>IFERROR(__xludf.DUMMYFUNCTION("""COMPUTED_VALUE"""),19.0)</f>
        <v>19</v>
      </c>
    </row>
    <row r="869">
      <c r="A869" s="4" t="str">
        <f>IFERROR(__xludf.DUMMYFUNCTION("""COMPUTED_VALUE"""),"754")</f>
        <v>754</v>
      </c>
      <c r="B869" s="4" t="str">
        <f>IFERROR(__xludf.DUMMYFUNCTION("""COMPUTED_VALUE"""),"Señal personalizada c/soporte suelo 40x60 cm 3 caras")</f>
        <v>Señal personalizada c/soporte suelo 40x60 cm 3 caras</v>
      </c>
      <c r="C869" s="4">
        <f>IFERROR(__xludf.DUMMYFUNCTION("""COMPUTED_VALUE"""),96.0)</f>
        <v>96</v>
      </c>
    </row>
    <row r="870">
      <c r="A870" s="4" t="str">
        <f>IFERROR(__xludf.DUMMYFUNCTION("""COMPUTED_VALUE"""),"765")</f>
        <v>765</v>
      </c>
      <c r="B870" s="4" t="str">
        <f>IFERROR(__xludf.DUMMYFUNCTION("""COMPUTED_VALUE"""),"Aparca Patinetes galvanizado 10p 1 cara")</f>
        <v>Aparca Patinetes galvanizado 10p 1 cara</v>
      </c>
      <c r="C870" s="4">
        <f>IFERROR(__xludf.DUMMYFUNCTION("""COMPUTED_VALUE"""),137.6)</f>
        <v>137.6</v>
      </c>
    </row>
    <row r="871">
      <c r="A871" s="4" t="str">
        <f>IFERROR(__xludf.DUMMYFUNCTION("""COMPUTED_VALUE"""),"766")</f>
        <v>766</v>
      </c>
      <c r="B871" s="4" t="str">
        <f>IFERROR(__xludf.DUMMYFUNCTION("""COMPUTED_VALUE"""),"Aparca Patinetes galvanizado 20p 2 caras")</f>
        <v>Aparca Patinetes galvanizado 20p 2 caras</v>
      </c>
      <c r="C871" s="4">
        <f>IFERROR(__xludf.DUMMYFUNCTION("""COMPUTED_VALUE"""),210.25)</f>
        <v>210.25</v>
      </c>
    </row>
    <row r="872">
      <c r="A872" s="4" t="str">
        <f>IFERROR(__xludf.DUMMYFUNCTION("""COMPUTED_VALUE"""),"768")</f>
        <v>768</v>
      </c>
      <c r="B872" s="4" t="str">
        <f>IFERROR(__xludf.DUMMYFUNCTION("""COMPUTED_VALUE"""),"Aparca Bicis atornillable pared 1p")</f>
        <v>Aparca Bicis atornillable pared 1p</v>
      </c>
      <c r="C872" s="4">
        <f>IFERROR(__xludf.DUMMYFUNCTION("""COMPUTED_VALUE"""),26.0)</f>
        <v>26</v>
      </c>
    </row>
    <row r="873">
      <c r="A873" s="4" t="str">
        <f>IFERROR(__xludf.DUMMYFUNCTION("""COMPUTED_VALUE"""),"769")</f>
        <v>769</v>
      </c>
      <c r="B873" s="4" t="str">
        <f>IFERROR(__xludf.DUMMYFUNCTION("""COMPUTED_VALUE"""),"Aparca Bicis atornillable pared 2p")</f>
        <v>Aparca Bicis atornillable pared 2p</v>
      </c>
      <c r="C873" s="4">
        <f>IFERROR(__xludf.DUMMYFUNCTION("""COMPUTED_VALUE"""),44.0)</f>
        <v>44</v>
      </c>
    </row>
    <row r="874">
      <c r="A874" s="4" t="str">
        <f>IFERROR(__xludf.DUMMYFUNCTION("""COMPUTED_VALUE"""),"770")</f>
        <v>770</v>
      </c>
      <c r="B874" s="4" t="str">
        <f>IFERROR(__xludf.DUMMYFUNCTION("""COMPUTED_VALUE"""),"Aparca Bicis atornillable pared 5p")</f>
        <v>Aparca Bicis atornillable pared 5p</v>
      </c>
      <c r="C874" s="4">
        <f>IFERROR(__xludf.DUMMYFUNCTION("""COMPUTED_VALUE"""),92.0)</f>
        <v>92</v>
      </c>
    </row>
    <row r="875">
      <c r="A875" s="4" t="str">
        <f>IFERROR(__xludf.DUMMYFUNCTION("""COMPUTED_VALUE"""),"771")</f>
        <v>771</v>
      </c>
      <c r="B875" s="4" t="str">
        <f>IFERROR(__xludf.DUMMYFUNCTION("""COMPUTED_VALUE"""),"Pie soporte atornillable 80x40 mm")</f>
        <v>Pie soporte atornillable 80x40 mm</v>
      </c>
      <c r="C875" s="4">
        <f>IFERROR(__xludf.DUMMYFUNCTION("""COMPUTED_VALUE"""),29.0)</f>
        <v>29</v>
      </c>
    </row>
    <row r="876">
      <c r="A876" s="4" t="str">
        <f>IFERROR(__xludf.DUMMYFUNCTION("""COMPUTED_VALUE"""),"772")</f>
        <v>772</v>
      </c>
      <c r="B876" s="4" t="str">
        <f>IFERROR(__xludf.DUMMYFUNCTION("""COMPUTED_VALUE"""),"Pie soporte atornillable cuadrado 40 mm")</f>
        <v>Pie soporte atornillable cuadrado 40 mm</v>
      </c>
      <c r="C876" s="4">
        <f>IFERROR(__xludf.DUMMYFUNCTION("""COMPUTED_VALUE"""),29.0)</f>
        <v>29</v>
      </c>
    </row>
    <row r="877">
      <c r="A877" s="4" t="str">
        <f>IFERROR(__xludf.DUMMYFUNCTION("""COMPUTED_VALUE"""),"773")</f>
        <v>773</v>
      </c>
      <c r="B877" s="4" t="str">
        <f>IFERROR(__xludf.DUMMYFUNCTION("""COMPUTED_VALUE"""),"Pie soporte atornillable 50 mm circular")</f>
        <v>Pie soporte atornillable 50 mm circular</v>
      </c>
      <c r="C877" s="4">
        <f>IFERROR(__xludf.DUMMYFUNCTION("""COMPUTED_VALUE"""),29.0)</f>
        <v>29</v>
      </c>
    </row>
    <row r="878">
      <c r="A878" s="4" t="str">
        <f>IFERROR(__xludf.DUMMYFUNCTION("""COMPUTED_VALUE"""),"774")</f>
        <v>774</v>
      </c>
      <c r="B878" s="4" t="str">
        <f>IFERROR(__xludf.DUMMYFUNCTION("""COMPUTED_VALUE"""),"Pie soporte atornillable 60 mm circular")</f>
        <v>Pie soporte atornillable 60 mm circular</v>
      </c>
      <c r="C878" s="4">
        <f>IFERROR(__xludf.DUMMYFUNCTION("""COMPUTED_VALUE"""),30.0)</f>
        <v>30</v>
      </c>
    </row>
    <row r="879">
      <c r="A879" s="4" t="str">
        <f>IFERROR(__xludf.DUMMYFUNCTION("""COMPUTED_VALUE"""),"775")</f>
        <v>775</v>
      </c>
      <c r="B879" s="4" t="str">
        <f>IFERROR(__xludf.DUMMYFUNCTION("""COMPUTED_VALUE"""),"Pie soporte atornillable 70 mm circular")</f>
        <v>Pie soporte atornillable 70 mm circular</v>
      </c>
      <c r="C879" s="4">
        <f>IFERROR(__xludf.DUMMYFUNCTION("""COMPUTED_VALUE"""),31.0)</f>
        <v>31</v>
      </c>
    </row>
    <row r="880">
      <c r="A880" s="4" t="str">
        <f>IFERROR(__xludf.DUMMYFUNCTION("""COMPUTED_VALUE"""),"776")</f>
        <v>776</v>
      </c>
      <c r="B880" s="4" t="str">
        <f>IFERROR(__xludf.DUMMYFUNCTION("""COMPUTED_VALUE"""),"Poste 40x40x1.5 mm galva 1.5 m")</f>
        <v>Poste 40x40x1.5 mm galva 1.5 m</v>
      </c>
      <c r="C880" s="4">
        <f>IFERROR(__xludf.DUMMYFUNCTION("""COMPUTED_VALUE"""),11.0)</f>
        <v>11</v>
      </c>
    </row>
    <row r="881">
      <c r="A881" s="4" t="str">
        <f>IFERROR(__xludf.DUMMYFUNCTION("""COMPUTED_VALUE"""),"777")</f>
        <v>777</v>
      </c>
      <c r="B881" s="4" t="str">
        <f>IFERROR(__xludf.DUMMYFUNCTION("""COMPUTED_VALUE"""),"Cruceta para poste 40x40 mm")</f>
        <v>Cruceta para poste 40x40 mm</v>
      </c>
      <c r="C881" s="4">
        <f>IFERROR(__xludf.DUMMYFUNCTION("""COMPUTED_VALUE"""),10.8)</f>
        <v>10.8</v>
      </c>
    </row>
    <row r="882">
      <c r="A882" s="4" t="str">
        <f>IFERROR(__xludf.DUMMYFUNCTION("""COMPUTED_VALUE"""),"778")</f>
        <v>778</v>
      </c>
      <c r="B882" s="4" t="str">
        <f>IFERROR(__xludf.DUMMYFUNCTION("""COMPUTED_VALUE"""),"Aparca Patinetes gavanizado 10p 2 caras")</f>
        <v>Aparca Patinetes gavanizado 10p 2 caras</v>
      </c>
      <c r="C882" s="4">
        <f>IFERROR(__xludf.DUMMYFUNCTION("""COMPUTED_VALUE"""),192.5)</f>
        <v>192.5</v>
      </c>
    </row>
    <row r="883">
      <c r="A883" s="4" t="str">
        <f>IFERROR(__xludf.DUMMYFUNCTION("""COMPUTED_VALUE"""),"779")</f>
        <v>779</v>
      </c>
      <c r="B883" s="4" t="str">
        <f>IFERROR(__xludf.DUMMYFUNCTION("""COMPUTED_VALUE"""),"Aparca Patinetes galvanizado 5p 1 cara")</f>
        <v>Aparca Patinetes galvanizado 5p 1 cara</v>
      </c>
      <c r="C883" s="4">
        <f>IFERROR(__xludf.DUMMYFUNCTION("""COMPUTED_VALUE"""),126.4)</f>
        <v>126.4</v>
      </c>
    </row>
    <row r="884">
      <c r="A884" s="4" t="str">
        <f>IFERROR(__xludf.DUMMYFUNCTION("""COMPUTED_VALUE"""),"780")</f>
        <v>780</v>
      </c>
      <c r="B884" s="4" t="str">
        <f>IFERROR(__xludf.DUMMYFUNCTION("""COMPUTED_VALUE"""),"Tope estantería metálica mod. A")</f>
        <v>Tope estantería metálica mod. A</v>
      </c>
      <c r="C884" s="4">
        <f>IFERROR(__xludf.DUMMYFUNCTION("""COMPUTED_VALUE"""),18.0)</f>
        <v>18</v>
      </c>
    </row>
    <row r="885">
      <c r="A885" s="4" t="str">
        <f>IFERROR(__xludf.DUMMYFUNCTION("""COMPUTED_VALUE"""),"781")</f>
        <v>781</v>
      </c>
      <c r="B885" s="4" t="str">
        <f>IFERROR(__xludf.DUMMYFUNCTION("""COMPUTED_VALUE"""),"Tope estantería metálica mod. B")</f>
        <v>Tope estantería metálica mod. B</v>
      </c>
      <c r="C885" s="4">
        <f>IFERROR(__xludf.DUMMYFUNCTION("""COMPUTED_VALUE"""),22.5)</f>
        <v>22.5</v>
      </c>
    </row>
    <row r="886">
      <c r="A886" s="4" t="str">
        <f>IFERROR(__xludf.DUMMYFUNCTION("""COMPUTED_VALUE"""),"782")</f>
        <v>782</v>
      </c>
      <c r="B886" s="4" t="str">
        <f>IFERROR(__xludf.DUMMYFUNCTION("""COMPUTED_VALUE"""),"Film manual transparente Rec. Eco 500/1,35/23MY (600-150)")</f>
        <v>Film manual transparente Rec. Eco 500/1,35/23MY (600-150)</v>
      </c>
      <c r="C886" s="4">
        <f>IFERROR(__xludf.DUMMYFUNCTION("""COMPUTED_VALUE"""),3.4)</f>
        <v>3.4</v>
      </c>
    </row>
    <row r="887">
      <c r="A887" s="4" t="str">
        <f>IFERROR(__xludf.DUMMYFUNCTION("""COMPUTED_VALUE"""),"783")</f>
        <v>783</v>
      </c>
      <c r="B887" s="4" t="str">
        <f>IFERROR(__xludf.DUMMYFUNCTION("""COMPUTED_VALUE"""),"Film manual negro Opaco Rec. Eco 500/1,35/23MY (600-150)")</f>
        <v>Film manual negro Opaco Rec. Eco 500/1,35/23MY (600-150)</v>
      </c>
      <c r="C887" s="4">
        <f>IFERROR(__xludf.DUMMYFUNCTION("""COMPUTED_VALUE"""),3.9)</f>
        <v>3.9</v>
      </c>
    </row>
    <row r="888">
      <c r="A888" s="4" t="str">
        <f>IFERROR(__xludf.DUMMYFUNCTION("""COMPUTED_VALUE"""),"784")</f>
        <v>784</v>
      </c>
      <c r="B888" s="4" t="str">
        <f>IFERROR(__xludf.DUMMYFUNCTION("""COMPUTED_VALUE"""),"Cinta adhesiva 125m PPAC Transp 48 mm")</f>
        <v>Cinta adhesiva 125m PPAC Transp 48 mm</v>
      </c>
      <c r="C888" s="4">
        <f>IFERROR(__xludf.DUMMYFUNCTION("""COMPUTED_VALUE"""),1.2)</f>
        <v>1.2</v>
      </c>
    </row>
    <row r="889">
      <c r="A889" s="4" t="str">
        <f>IFERROR(__xludf.DUMMYFUNCTION("""COMPUTED_VALUE"""),"800")</f>
        <v>800</v>
      </c>
      <c r="B889" s="4" t="str">
        <f>IFERROR(__xludf.DUMMYFUNCTION("""COMPUTED_VALUE"""),"Adhesivo 100 mm Materias y objetos explosivos A")</f>
        <v>Adhesivo 100 mm Materias y objetos explosivos A</v>
      </c>
      <c r="C889" s="4">
        <f>IFERROR(__xludf.DUMMYFUNCTION("""COMPUTED_VALUE"""),0.6)</f>
        <v>0.6</v>
      </c>
    </row>
    <row r="890">
      <c r="A890" s="4" t="str">
        <f>IFERROR(__xludf.DUMMYFUNCTION("""COMPUTED_VALUE"""),"0800A")</f>
        <v>0800A</v>
      </c>
      <c r="B890" s="4" t="str">
        <f>IFERROR(__xludf.DUMMYFUNCTION("""COMPUTED_VALUE"""),"Adhesivo 300 mm Materias y objetos explosivos A")</f>
        <v>Adhesivo 300 mm Materias y objetos explosivos A</v>
      </c>
      <c r="C890" s="4">
        <f>IFERROR(__xludf.DUMMYFUNCTION("""COMPUTED_VALUE"""),1.6)</f>
        <v>1.6</v>
      </c>
    </row>
    <row r="891">
      <c r="A891" s="4" t="str">
        <f>IFERROR(__xludf.DUMMYFUNCTION("""COMPUTED_VALUE"""),"801")</f>
        <v>801</v>
      </c>
      <c r="B891" s="4" t="str">
        <f>IFERROR(__xludf.DUMMYFUNCTION("""COMPUTED_VALUE"""),"Adhesivo 100 mm Materias y objetos explosivos 1.4")</f>
        <v>Adhesivo 100 mm Materias y objetos explosivos 1.4</v>
      </c>
      <c r="C891" s="4">
        <f>IFERROR(__xludf.DUMMYFUNCTION("""COMPUTED_VALUE"""),0.6)</f>
        <v>0.6</v>
      </c>
    </row>
    <row r="892">
      <c r="A892" s="4" t="str">
        <f>IFERROR(__xludf.DUMMYFUNCTION("""COMPUTED_VALUE"""),"0801A")</f>
        <v>0801A</v>
      </c>
      <c r="B892" s="4" t="str">
        <f>IFERROR(__xludf.DUMMYFUNCTION("""COMPUTED_VALUE"""),"Adhesivo 300 mm Materias y objetos explosivos 1.4")</f>
        <v>Adhesivo 300 mm Materias y objetos explosivos 1.4</v>
      </c>
      <c r="C892" s="4">
        <f>IFERROR(__xludf.DUMMYFUNCTION("""COMPUTED_VALUE"""),1.6)</f>
        <v>1.6</v>
      </c>
    </row>
    <row r="893">
      <c r="A893" s="4" t="str">
        <f>IFERROR(__xludf.DUMMYFUNCTION("""COMPUTED_VALUE"""),"802")</f>
        <v>802</v>
      </c>
      <c r="B893" s="4" t="str">
        <f>IFERROR(__xludf.DUMMYFUNCTION("""COMPUTED_VALUE"""),"Adhesivo 100 mm Materias y objetos explosivos 1.5")</f>
        <v>Adhesivo 100 mm Materias y objetos explosivos 1.5</v>
      </c>
      <c r="C893" s="4">
        <f>IFERROR(__xludf.DUMMYFUNCTION("""COMPUTED_VALUE"""),0.6)</f>
        <v>0.6</v>
      </c>
    </row>
    <row r="894">
      <c r="A894" s="4" t="str">
        <f>IFERROR(__xludf.DUMMYFUNCTION("""COMPUTED_VALUE"""),"0802A")</f>
        <v>0802A</v>
      </c>
      <c r="B894" s="4" t="str">
        <f>IFERROR(__xludf.DUMMYFUNCTION("""COMPUTED_VALUE"""),"Adhesivo 300 mm Materias y objetos explosivos 1.5")</f>
        <v>Adhesivo 300 mm Materias y objetos explosivos 1.5</v>
      </c>
      <c r="C894" s="4">
        <f>IFERROR(__xludf.DUMMYFUNCTION("""COMPUTED_VALUE"""),1.6)</f>
        <v>1.6</v>
      </c>
    </row>
    <row r="895">
      <c r="A895" s="4" t="str">
        <f>IFERROR(__xludf.DUMMYFUNCTION("""COMPUTED_VALUE"""),"803")</f>
        <v>803</v>
      </c>
      <c r="B895" s="4" t="str">
        <f>IFERROR(__xludf.DUMMYFUNCTION("""COMPUTED_VALUE"""),"Adhesivo 100 mm Materias y objetos explosivos 1.6")</f>
        <v>Adhesivo 100 mm Materias y objetos explosivos 1.6</v>
      </c>
      <c r="C895" s="4">
        <f>IFERROR(__xludf.DUMMYFUNCTION("""COMPUTED_VALUE"""),0.6)</f>
        <v>0.6</v>
      </c>
    </row>
    <row r="896">
      <c r="A896" s="4" t="str">
        <f>IFERROR(__xludf.DUMMYFUNCTION("""COMPUTED_VALUE"""),"0803A")</f>
        <v>0803A</v>
      </c>
      <c r="B896" s="4" t="str">
        <f>IFERROR(__xludf.DUMMYFUNCTION("""COMPUTED_VALUE"""),"Adhesivo 300 mm Materias y objetos explosivos 1.6")</f>
        <v>Adhesivo 300 mm Materias y objetos explosivos 1.6</v>
      </c>
      <c r="C896" s="4">
        <f>IFERROR(__xludf.DUMMYFUNCTION("""COMPUTED_VALUE"""),1.6)</f>
        <v>1.6</v>
      </c>
    </row>
    <row r="897">
      <c r="A897" s="4" t="str">
        <f>IFERROR(__xludf.DUMMYFUNCTION("""COMPUTED_VALUE"""),"805")</f>
        <v>805</v>
      </c>
      <c r="B897" s="4" t="str">
        <f>IFERROR(__xludf.DUMMYFUNCTION("""COMPUTED_VALUE"""),"Adhesivo 100 mm Gases Tóxicos")</f>
        <v>Adhesivo 100 mm Gases Tóxicos</v>
      </c>
      <c r="C897" s="4">
        <f>IFERROR(__xludf.DUMMYFUNCTION("""COMPUTED_VALUE"""),0.6)</f>
        <v>0.6</v>
      </c>
    </row>
    <row r="898">
      <c r="A898" s="4" t="str">
        <f>IFERROR(__xludf.DUMMYFUNCTION("""COMPUTED_VALUE"""),"0805A")</f>
        <v>0805A</v>
      </c>
      <c r="B898" s="4" t="str">
        <f>IFERROR(__xludf.DUMMYFUNCTION("""COMPUTED_VALUE"""),"Adhesivo 300 mm Gases Tóxicos")</f>
        <v>Adhesivo 300 mm Gases Tóxicos</v>
      </c>
      <c r="C898" s="4">
        <f>IFERROR(__xludf.DUMMYFUNCTION("""COMPUTED_VALUE"""),1.6)</f>
        <v>1.6</v>
      </c>
    </row>
    <row r="899">
      <c r="A899" s="4" t="str">
        <f>IFERROR(__xludf.DUMMYFUNCTION("""COMPUTED_VALUE"""),"806")</f>
        <v>806</v>
      </c>
      <c r="B899" s="4" t="str">
        <f>IFERROR(__xludf.DUMMYFUNCTION("""COMPUTED_VALUE"""),"Adhesivo 100 mm gases inflamables A")</f>
        <v>Adhesivo 100 mm gases inflamables A</v>
      </c>
      <c r="C899" s="4">
        <f>IFERROR(__xludf.DUMMYFUNCTION("""COMPUTED_VALUE"""),0.6)</f>
        <v>0.6</v>
      </c>
    </row>
    <row r="900">
      <c r="A900" s="4" t="str">
        <f>IFERROR(__xludf.DUMMYFUNCTION("""COMPUTED_VALUE"""),"0806A")</f>
        <v>0806A</v>
      </c>
      <c r="B900" s="4" t="str">
        <f>IFERROR(__xludf.DUMMYFUNCTION("""COMPUTED_VALUE"""),"Adhesivo 300 mm gases inflamables A")</f>
        <v>Adhesivo 300 mm gases inflamables A</v>
      </c>
      <c r="C900" s="4">
        <f>IFERROR(__xludf.DUMMYFUNCTION("""COMPUTED_VALUE"""),1.6)</f>
        <v>1.6</v>
      </c>
    </row>
    <row r="901">
      <c r="A901" s="4" t="str">
        <f>IFERROR(__xludf.DUMMYFUNCTION("""COMPUTED_VALUE"""),"807")</f>
        <v>807</v>
      </c>
      <c r="B901" s="4" t="str">
        <f>IFERROR(__xludf.DUMMYFUNCTION("""COMPUTED_VALUE"""),"Adhesivo 100 mm gases inflamables B")</f>
        <v>Adhesivo 100 mm gases inflamables B</v>
      </c>
      <c r="C901" s="4">
        <f>IFERROR(__xludf.DUMMYFUNCTION("""COMPUTED_VALUE"""),0.6)</f>
        <v>0.6</v>
      </c>
    </row>
    <row r="902">
      <c r="A902" s="4" t="str">
        <f>IFERROR(__xludf.DUMMYFUNCTION("""COMPUTED_VALUE"""),"0807A")</f>
        <v>0807A</v>
      </c>
      <c r="B902" s="4" t="str">
        <f>IFERROR(__xludf.DUMMYFUNCTION("""COMPUTED_VALUE"""),"Adhesivo 300 mm gases inflamables B")</f>
        <v>Adhesivo 300 mm gases inflamables B</v>
      </c>
      <c r="C902" s="4">
        <f>IFERROR(__xludf.DUMMYFUNCTION("""COMPUTED_VALUE"""),1.6)</f>
        <v>1.6</v>
      </c>
    </row>
    <row r="903">
      <c r="A903" s="4" t="str">
        <f>IFERROR(__xludf.DUMMYFUNCTION("""COMPUTED_VALUE"""),"808")</f>
        <v>808</v>
      </c>
      <c r="B903" s="4" t="str">
        <f>IFERROR(__xludf.DUMMYFUNCTION("""COMPUTED_VALUE"""),"Adhesivo 100 mm gases no inflamables A")</f>
        <v>Adhesivo 100 mm gases no inflamables A</v>
      </c>
      <c r="C903" s="4">
        <f>IFERROR(__xludf.DUMMYFUNCTION("""COMPUTED_VALUE"""),0.6)</f>
        <v>0.6</v>
      </c>
    </row>
    <row r="904">
      <c r="A904" s="4" t="str">
        <f>IFERROR(__xludf.DUMMYFUNCTION("""COMPUTED_VALUE"""),"0808A")</f>
        <v>0808A</v>
      </c>
      <c r="B904" s="4" t="str">
        <f>IFERROR(__xludf.DUMMYFUNCTION("""COMPUTED_VALUE"""),"Adhesivo 300 mm gases no inflamables A")</f>
        <v>Adhesivo 300 mm gases no inflamables A</v>
      </c>
      <c r="C904" s="4">
        <f>IFERROR(__xludf.DUMMYFUNCTION("""COMPUTED_VALUE"""),1.6)</f>
        <v>1.6</v>
      </c>
    </row>
    <row r="905">
      <c r="A905" s="4" t="str">
        <f>IFERROR(__xludf.DUMMYFUNCTION("""COMPUTED_VALUE"""),"809")</f>
        <v>809</v>
      </c>
      <c r="B905" s="4" t="str">
        <f>IFERROR(__xludf.DUMMYFUNCTION("""COMPUTED_VALUE"""),"Adhesivo 100 mm gases no inflamables B")</f>
        <v>Adhesivo 100 mm gases no inflamables B</v>
      </c>
      <c r="C905" s="4">
        <f>IFERROR(__xludf.DUMMYFUNCTION("""COMPUTED_VALUE"""),0.6)</f>
        <v>0.6</v>
      </c>
    </row>
    <row r="906">
      <c r="A906" s="4" t="str">
        <f>IFERROR(__xludf.DUMMYFUNCTION("""COMPUTED_VALUE"""),"0809A")</f>
        <v>0809A</v>
      </c>
      <c r="B906" s="4" t="str">
        <f>IFERROR(__xludf.DUMMYFUNCTION("""COMPUTED_VALUE"""),"Adhesivo 300 mm gases no inflamables B")</f>
        <v>Adhesivo 300 mm gases no inflamables B</v>
      </c>
      <c r="C906" s="4">
        <f>IFERROR(__xludf.DUMMYFUNCTION("""COMPUTED_VALUE"""),1.6)</f>
        <v>1.6</v>
      </c>
    </row>
    <row r="907">
      <c r="A907" s="4" t="str">
        <f>IFERROR(__xludf.DUMMYFUNCTION("""COMPUTED_VALUE"""),"810")</f>
        <v>810</v>
      </c>
      <c r="B907" s="4" t="str">
        <f>IFERROR(__xludf.DUMMYFUNCTION("""COMPUTED_VALUE"""),"Lona 100x70 cm multicartel c/ ojales")</f>
        <v>Lona 100x70 cm multicartel c/ ojales</v>
      </c>
      <c r="C907" s="4">
        <f>IFERROR(__xludf.DUMMYFUNCTION("""COMPUTED_VALUE"""),14.7)</f>
        <v>14.7</v>
      </c>
    </row>
    <row r="908">
      <c r="A908" s="4" t="str">
        <f>IFERROR(__xludf.DUMMYFUNCTION("""COMPUTED_VALUE"""),"811")</f>
        <v>811</v>
      </c>
      <c r="B908" s="4" t="str">
        <f>IFERROR(__xludf.DUMMYFUNCTION("""COMPUTED_VALUE"""),"Lona 50x70 cm multicartel c/ ojales")</f>
        <v>Lona 50x70 cm multicartel c/ ojales</v>
      </c>
      <c r="C908" s="4">
        <f>IFERROR(__xludf.DUMMYFUNCTION("""COMPUTED_VALUE"""),8.4)</f>
        <v>8.4</v>
      </c>
    </row>
    <row r="909">
      <c r="A909" s="4" t="str">
        <f>IFERROR(__xludf.DUMMYFUNCTION("""COMPUTED_VALUE"""),"812")</f>
        <v>812</v>
      </c>
      <c r="B909" s="4" t="str">
        <f>IFERROR(__xludf.DUMMYFUNCTION("""COMPUTED_VALUE"""),"Adhesivo 100 mm líquidos inflamables A")</f>
        <v>Adhesivo 100 mm líquidos inflamables A</v>
      </c>
      <c r="C909" s="4">
        <f>IFERROR(__xludf.DUMMYFUNCTION("""COMPUTED_VALUE"""),0.6)</f>
        <v>0.6</v>
      </c>
    </row>
    <row r="910">
      <c r="A910" s="4" t="str">
        <f>IFERROR(__xludf.DUMMYFUNCTION("""COMPUTED_VALUE"""),"0812A")</f>
        <v>0812A</v>
      </c>
      <c r="B910" s="4" t="str">
        <f>IFERROR(__xludf.DUMMYFUNCTION("""COMPUTED_VALUE"""),"Adhesivo 300 mm líquidos inflamables A")</f>
        <v>Adhesivo 300 mm líquidos inflamables A</v>
      </c>
      <c r="C910" s="4">
        <f>IFERROR(__xludf.DUMMYFUNCTION("""COMPUTED_VALUE"""),1.6)</f>
        <v>1.6</v>
      </c>
    </row>
    <row r="911">
      <c r="A911" s="4" t="str">
        <f>IFERROR(__xludf.DUMMYFUNCTION("""COMPUTED_VALUE"""),"813")</f>
        <v>813</v>
      </c>
      <c r="B911" s="4" t="str">
        <f>IFERROR(__xludf.DUMMYFUNCTION("""COMPUTED_VALUE"""),"Adhesivo 100 mm líquidos inflamables B")</f>
        <v>Adhesivo 100 mm líquidos inflamables B</v>
      </c>
      <c r="C911" s="4">
        <f>IFERROR(__xludf.DUMMYFUNCTION("""COMPUTED_VALUE"""),0.6)</f>
        <v>0.6</v>
      </c>
    </row>
    <row r="912">
      <c r="A912" s="4" t="str">
        <f>IFERROR(__xludf.DUMMYFUNCTION("""COMPUTED_VALUE"""),"0813A")</f>
        <v>0813A</v>
      </c>
      <c r="B912" s="4" t="str">
        <f>IFERROR(__xludf.DUMMYFUNCTION("""COMPUTED_VALUE"""),"Adhesivo 300 mm líquidos inflamables B")</f>
        <v>Adhesivo 300 mm líquidos inflamables B</v>
      </c>
      <c r="C912" s="4">
        <f>IFERROR(__xludf.DUMMYFUNCTION("""COMPUTED_VALUE"""),1.6)</f>
        <v>1.6</v>
      </c>
    </row>
    <row r="913">
      <c r="A913" s="4" t="str">
        <f>IFERROR(__xludf.DUMMYFUNCTION("""COMPUTED_VALUE"""),"814")</f>
        <v>814</v>
      </c>
      <c r="B913" s="4" t="str">
        <f>IFERROR(__xludf.DUMMYFUNCTION("""COMPUTED_VALUE"""),"Adhesivo 100 mm mat. sólidas inflamables")</f>
        <v>Adhesivo 100 mm mat. sólidas inflamables</v>
      </c>
      <c r="C913" s="4">
        <f>IFERROR(__xludf.DUMMYFUNCTION("""COMPUTED_VALUE"""),0.6)</f>
        <v>0.6</v>
      </c>
    </row>
    <row r="914">
      <c r="A914" s="4" t="str">
        <f>IFERROR(__xludf.DUMMYFUNCTION("""COMPUTED_VALUE"""),"0814A")</f>
        <v>0814A</v>
      </c>
      <c r="B914" s="4" t="str">
        <f>IFERROR(__xludf.DUMMYFUNCTION("""COMPUTED_VALUE"""),"Adhesivo 300 mm mat. sólidas inflamables")</f>
        <v>Adhesivo 300 mm mat. sólidas inflamables</v>
      </c>
      <c r="C914" s="4">
        <f>IFERROR(__xludf.DUMMYFUNCTION("""COMPUTED_VALUE"""),1.6)</f>
        <v>1.6</v>
      </c>
    </row>
    <row r="915">
      <c r="A915" s="4" t="str">
        <f>IFERROR(__xludf.DUMMYFUNCTION("""COMPUTED_VALUE"""),"815")</f>
        <v>815</v>
      </c>
      <c r="B915" s="4" t="str">
        <f>IFERROR(__xludf.DUMMYFUNCTION("""COMPUTED_VALUE"""),"Adhesivo 100 mm materias expontáneamente inflamables")</f>
        <v>Adhesivo 100 mm materias expontáneamente inflamables</v>
      </c>
      <c r="C915" s="4">
        <f>IFERROR(__xludf.DUMMYFUNCTION("""COMPUTED_VALUE"""),0.6)</f>
        <v>0.6</v>
      </c>
    </row>
    <row r="916">
      <c r="A916" s="4" t="str">
        <f>IFERROR(__xludf.DUMMYFUNCTION("""COMPUTED_VALUE"""),"0815A")</f>
        <v>0815A</v>
      </c>
      <c r="B916" s="4" t="str">
        <f>IFERROR(__xludf.DUMMYFUNCTION("""COMPUTED_VALUE"""),"Adhesivo 300 mm materias expontáneamente inflamables")</f>
        <v>Adhesivo 300 mm materias expontáneamente inflamables</v>
      </c>
      <c r="C916" s="4">
        <f>IFERROR(__xludf.DUMMYFUNCTION("""COMPUTED_VALUE"""),1.6)</f>
        <v>1.6</v>
      </c>
    </row>
    <row r="917">
      <c r="A917" s="4" t="str">
        <f>IFERROR(__xludf.DUMMYFUNCTION("""COMPUTED_VALUE"""),"816")</f>
        <v>816</v>
      </c>
      <c r="B917" s="4" t="str">
        <f>IFERROR(__xludf.DUMMYFUNCTION("""COMPUTED_VALUE"""),"Adhesivo 100 mm materias contacto agua gases inflamables A")</f>
        <v>Adhesivo 100 mm materias contacto agua gases inflamables A</v>
      </c>
      <c r="C917" s="4">
        <f>IFERROR(__xludf.DUMMYFUNCTION("""COMPUTED_VALUE"""),0.6)</f>
        <v>0.6</v>
      </c>
    </row>
    <row r="918">
      <c r="A918" s="4" t="str">
        <f>IFERROR(__xludf.DUMMYFUNCTION("""COMPUTED_VALUE"""),"0816A")</f>
        <v>0816A</v>
      </c>
      <c r="B918" s="4" t="str">
        <f>IFERROR(__xludf.DUMMYFUNCTION("""COMPUTED_VALUE"""),"Adhesivo 300 mm materias contacto agua gases inflamables A")</f>
        <v>Adhesivo 300 mm materias contacto agua gases inflamables A</v>
      </c>
      <c r="C918" s="4">
        <f>IFERROR(__xludf.DUMMYFUNCTION("""COMPUTED_VALUE"""),1.6)</f>
        <v>1.6</v>
      </c>
    </row>
    <row r="919">
      <c r="A919" s="4" t="str">
        <f>IFERROR(__xludf.DUMMYFUNCTION("""COMPUTED_VALUE"""),"817")</f>
        <v>817</v>
      </c>
      <c r="B919" s="4" t="str">
        <f>IFERROR(__xludf.DUMMYFUNCTION("""COMPUTED_VALUE"""),"Adhesivo 100 mm materias contacto agua gases inflamables B")</f>
        <v>Adhesivo 100 mm materias contacto agua gases inflamables B</v>
      </c>
      <c r="C919" s="4">
        <f>IFERROR(__xludf.DUMMYFUNCTION("""COMPUTED_VALUE"""),0.6)</f>
        <v>0.6</v>
      </c>
    </row>
    <row r="920">
      <c r="A920" s="4" t="str">
        <f>IFERROR(__xludf.DUMMYFUNCTION("""COMPUTED_VALUE"""),"0817A")</f>
        <v>0817A</v>
      </c>
      <c r="B920" s="4" t="str">
        <f>IFERROR(__xludf.DUMMYFUNCTION("""COMPUTED_VALUE"""),"Adhesivo 300 mm materias contacto agua gases inflamables B")</f>
        <v>Adhesivo 300 mm materias contacto agua gases inflamables B</v>
      </c>
      <c r="C920" s="4">
        <f>IFERROR(__xludf.DUMMYFUNCTION("""COMPUTED_VALUE"""),1.6)</f>
        <v>1.6</v>
      </c>
    </row>
    <row r="921">
      <c r="A921" s="4" t="str">
        <f>IFERROR(__xludf.DUMMYFUNCTION("""COMPUTED_VALUE"""),"818")</f>
        <v>818</v>
      </c>
      <c r="B921" s="4" t="str">
        <f>IFERROR(__xludf.DUMMYFUNCTION("""COMPUTED_VALUE"""),"Adhesivo 100 mm materias comburentes")</f>
        <v>Adhesivo 100 mm materias comburentes</v>
      </c>
      <c r="C921" s="4">
        <f>IFERROR(__xludf.DUMMYFUNCTION("""COMPUTED_VALUE"""),0.6)</f>
        <v>0.6</v>
      </c>
    </row>
    <row r="922">
      <c r="A922" s="4" t="str">
        <f>IFERROR(__xludf.DUMMYFUNCTION("""COMPUTED_VALUE"""),"0818A")</f>
        <v>0818A</v>
      </c>
      <c r="B922" s="4" t="str">
        <f>IFERROR(__xludf.DUMMYFUNCTION("""COMPUTED_VALUE"""),"Adhesivo 300 mm materias comburentes")</f>
        <v>Adhesivo 300 mm materias comburentes</v>
      </c>
      <c r="C922" s="4">
        <f>IFERROR(__xludf.DUMMYFUNCTION("""COMPUTED_VALUE"""),1.6)</f>
        <v>1.6</v>
      </c>
    </row>
    <row r="923">
      <c r="A923" s="4" t="str">
        <f>IFERROR(__xludf.DUMMYFUNCTION("""COMPUTED_VALUE"""),"819")</f>
        <v>819</v>
      </c>
      <c r="B923" s="4" t="str">
        <f>IFERROR(__xludf.DUMMYFUNCTION("""COMPUTED_VALUE"""),"Adhesivo 100 mm peróxidos orgánicos")</f>
        <v>Adhesivo 100 mm peróxidos orgánicos</v>
      </c>
      <c r="C923" s="4">
        <f>IFERROR(__xludf.DUMMYFUNCTION("""COMPUTED_VALUE"""),0.6)</f>
        <v>0.6</v>
      </c>
    </row>
    <row r="924">
      <c r="A924" s="4" t="str">
        <f>IFERROR(__xludf.DUMMYFUNCTION("""COMPUTED_VALUE"""),"0819A")</f>
        <v>0819A</v>
      </c>
      <c r="B924" s="4" t="str">
        <f>IFERROR(__xludf.DUMMYFUNCTION("""COMPUTED_VALUE"""),"Adhesivo 300 mm peróxidos orgánicos")</f>
        <v>Adhesivo 300 mm peróxidos orgánicos</v>
      </c>
      <c r="C924" s="4">
        <f>IFERROR(__xludf.DUMMYFUNCTION("""COMPUTED_VALUE"""),1.6)</f>
        <v>1.6</v>
      </c>
    </row>
    <row r="925">
      <c r="A925" s="4" t="str">
        <f>IFERROR(__xludf.DUMMYFUNCTION("""COMPUTED_VALUE"""),"822")</f>
        <v>822</v>
      </c>
      <c r="B925" s="4" t="str">
        <f>IFERROR(__xludf.DUMMYFUNCTION("""COMPUTED_VALUE"""),"Adhesivo 100 mm Materias Tóxicas")</f>
        <v>Adhesivo 100 mm Materias Tóxicas</v>
      </c>
      <c r="C925" s="4">
        <f>IFERROR(__xludf.DUMMYFUNCTION("""COMPUTED_VALUE"""),0.6)</f>
        <v>0.6</v>
      </c>
    </row>
    <row r="926">
      <c r="A926" s="4" t="str">
        <f>IFERROR(__xludf.DUMMYFUNCTION("""COMPUTED_VALUE"""),"0822A")</f>
        <v>0822A</v>
      </c>
      <c r="B926" s="4" t="str">
        <f>IFERROR(__xludf.DUMMYFUNCTION("""COMPUTED_VALUE"""),"Adhesivo 100 mm Materias Tóxicas")</f>
        <v>Adhesivo 100 mm Materias Tóxicas</v>
      </c>
      <c r="C926" s="4">
        <f>IFERROR(__xludf.DUMMYFUNCTION("""COMPUTED_VALUE"""),1.6)</f>
        <v>1.6</v>
      </c>
    </row>
    <row r="927">
      <c r="A927" s="4" t="str">
        <f>IFERROR(__xludf.DUMMYFUNCTION("""COMPUTED_VALUE"""),"823")</f>
        <v>823</v>
      </c>
      <c r="B927" s="4" t="str">
        <f>IFERROR(__xludf.DUMMYFUNCTION("""COMPUTED_VALUE"""),"Adhesivo 100 mm Materias infecciosas")</f>
        <v>Adhesivo 100 mm Materias infecciosas</v>
      </c>
      <c r="C927" s="4">
        <f>IFERROR(__xludf.DUMMYFUNCTION("""COMPUTED_VALUE"""),0.6)</f>
        <v>0.6</v>
      </c>
    </row>
    <row r="928">
      <c r="A928" s="4" t="str">
        <f>IFERROR(__xludf.DUMMYFUNCTION("""COMPUTED_VALUE"""),"0823A")</f>
        <v>0823A</v>
      </c>
      <c r="B928" s="4" t="str">
        <f>IFERROR(__xludf.DUMMYFUNCTION("""COMPUTED_VALUE"""),"Adhesivo 300 mm Materias infecciosas")</f>
        <v>Adhesivo 300 mm Materias infecciosas</v>
      </c>
      <c r="C928" s="4">
        <f>IFERROR(__xludf.DUMMYFUNCTION("""COMPUTED_VALUE"""),1.6)</f>
        <v>1.6</v>
      </c>
    </row>
    <row r="929">
      <c r="A929" s="4" t="str">
        <f>IFERROR(__xludf.DUMMYFUNCTION("""COMPUTED_VALUE"""),"824")</f>
        <v>824</v>
      </c>
      <c r="B929" s="4" t="str">
        <f>IFERROR(__xludf.DUMMYFUNCTION("""COMPUTED_VALUE"""),"Adhesivo 100 mm Materias radiactivas I")</f>
        <v>Adhesivo 100 mm Materias radiactivas I</v>
      </c>
      <c r="C929" s="4">
        <f>IFERROR(__xludf.DUMMYFUNCTION("""COMPUTED_VALUE"""),0.6)</f>
        <v>0.6</v>
      </c>
    </row>
    <row r="930">
      <c r="A930" s="4" t="str">
        <f>IFERROR(__xludf.DUMMYFUNCTION("""COMPUTED_VALUE"""),"0824A")</f>
        <v>0824A</v>
      </c>
      <c r="B930" s="4" t="str">
        <f>IFERROR(__xludf.DUMMYFUNCTION("""COMPUTED_VALUE"""),"Adhesivo 300 mm Materias radiactivas I")</f>
        <v>Adhesivo 300 mm Materias radiactivas I</v>
      </c>
      <c r="C930" s="4">
        <f>IFERROR(__xludf.DUMMYFUNCTION("""COMPUTED_VALUE"""),1.6)</f>
        <v>1.6</v>
      </c>
    </row>
    <row r="931">
      <c r="A931" s="4" t="str">
        <f>IFERROR(__xludf.DUMMYFUNCTION("""COMPUTED_VALUE"""),"825")</f>
        <v>825</v>
      </c>
      <c r="B931" s="4" t="str">
        <f>IFERROR(__xludf.DUMMYFUNCTION("""COMPUTED_VALUE"""),"Adhesivo 100 mm Materias radiactivas II")</f>
        <v>Adhesivo 100 mm Materias radiactivas II</v>
      </c>
      <c r="C931" s="4">
        <f>IFERROR(__xludf.DUMMYFUNCTION("""COMPUTED_VALUE"""),0.6)</f>
        <v>0.6</v>
      </c>
    </row>
    <row r="932">
      <c r="A932" s="4" t="str">
        <f>IFERROR(__xludf.DUMMYFUNCTION("""COMPUTED_VALUE"""),"0825A")</f>
        <v>0825A</v>
      </c>
      <c r="B932" s="4" t="str">
        <f>IFERROR(__xludf.DUMMYFUNCTION("""COMPUTED_VALUE"""),"Adhesivo 300 mm Materias radiactivas II")</f>
        <v>Adhesivo 300 mm Materias radiactivas II</v>
      </c>
      <c r="C932" s="4">
        <f>IFERROR(__xludf.DUMMYFUNCTION("""COMPUTED_VALUE"""),1.6)</f>
        <v>1.6</v>
      </c>
    </row>
    <row r="933">
      <c r="A933" s="4" t="str">
        <f>IFERROR(__xludf.DUMMYFUNCTION("""COMPUTED_VALUE"""),"826")</f>
        <v>826</v>
      </c>
      <c r="B933" s="4" t="str">
        <f>IFERROR(__xludf.DUMMYFUNCTION("""COMPUTED_VALUE"""),"Adhesivo 100 mm Materias radiactivas III")</f>
        <v>Adhesivo 100 mm Materias radiactivas III</v>
      </c>
      <c r="C933" s="4">
        <f>IFERROR(__xludf.DUMMYFUNCTION("""COMPUTED_VALUE"""),0.6)</f>
        <v>0.6</v>
      </c>
    </row>
    <row r="934">
      <c r="A934" s="4" t="str">
        <f>IFERROR(__xludf.DUMMYFUNCTION("""COMPUTED_VALUE"""),"0826A")</f>
        <v>0826A</v>
      </c>
      <c r="B934" s="4" t="str">
        <f>IFERROR(__xludf.DUMMYFUNCTION("""COMPUTED_VALUE"""),"Adhesivo 300 mm Materias radiactivas III")</f>
        <v>Adhesivo 300 mm Materias radiactivas III</v>
      </c>
      <c r="C934" s="4">
        <f>IFERROR(__xludf.DUMMYFUNCTION("""COMPUTED_VALUE"""),1.6)</f>
        <v>1.6</v>
      </c>
    </row>
    <row r="935">
      <c r="A935" s="4" t="str">
        <f>IFERROR(__xludf.DUMMYFUNCTION("""COMPUTED_VALUE"""),"827")</f>
        <v>827</v>
      </c>
      <c r="B935" s="4" t="str">
        <f>IFERROR(__xludf.DUMMYFUNCTION("""COMPUTED_VALUE"""),"Adhesivo 100 mm Materias fisionables")</f>
        <v>Adhesivo 100 mm Materias fisionables</v>
      </c>
      <c r="C935" s="4">
        <f>IFERROR(__xludf.DUMMYFUNCTION("""COMPUTED_VALUE"""),0.6)</f>
        <v>0.6</v>
      </c>
    </row>
    <row r="936">
      <c r="A936" s="4" t="str">
        <f>IFERROR(__xludf.DUMMYFUNCTION("""COMPUTED_VALUE"""),"0827A")</f>
        <v>0827A</v>
      </c>
      <c r="B936" s="4" t="str">
        <f>IFERROR(__xludf.DUMMYFUNCTION("""COMPUTED_VALUE"""),"Adhesivo 300 mm Materias fisionables")</f>
        <v>Adhesivo 300 mm Materias fisionables</v>
      </c>
      <c r="C936" s="4">
        <f>IFERROR(__xludf.DUMMYFUNCTION("""COMPUTED_VALUE"""),1.6)</f>
        <v>1.6</v>
      </c>
    </row>
    <row r="937">
      <c r="A937" s="4" t="str">
        <f>IFERROR(__xludf.DUMMYFUNCTION("""COMPUTED_VALUE"""),"828")</f>
        <v>828</v>
      </c>
      <c r="B937" s="4" t="str">
        <f>IFERROR(__xludf.DUMMYFUNCTION("""COMPUTED_VALUE"""),"Adhesivo 100 mm Materias corrosivas")</f>
        <v>Adhesivo 100 mm Materias corrosivas</v>
      </c>
      <c r="C937" s="4">
        <f>IFERROR(__xludf.DUMMYFUNCTION("""COMPUTED_VALUE"""),0.6)</f>
        <v>0.6</v>
      </c>
    </row>
    <row r="938">
      <c r="A938" s="4" t="str">
        <f>IFERROR(__xludf.DUMMYFUNCTION("""COMPUTED_VALUE"""),"0828A")</f>
        <v>0828A</v>
      </c>
      <c r="B938" s="4" t="str">
        <f>IFERROR(__xludf.DUMMYFUNCTION("""COMPUTED_VALUE"""),"Adhesivo 300 mm Materias corrosivas")</f>
        <v>Adhesivo 300 mm Materias corrosivas</v>
      </c>
      <c r="C938" s="4">
        <f>IFERROR(__xludf.DUMMYFUNCTION("""COMPUTED_VALUE"""),1.6)</f>
        <v>1.6</v>
      </c>
    </row>
    <row r="939">
      <c r="A939" s="4" t="str">
        <f>IFERROR(__xludf.DUMMYFUNCTION("""COMPUTED_VALUE"""),"829")</f>
        <v>829</v>
      </c>
      <c r="B939" s="4" t="str">
        <f>IFERROR(__xludf.DUMMYFUNCTION("""COMPUTED_VALUE"""),"Adhesivo 100 mm Materias y objetos peligrosos diversos")</f>
        <v>Adhesivo 100 mm Materias y objetos peligrosos diversos</v>
      </c>
      <c r="C939" s="4">
        <f>IFERROR(__xludf.DUMMYFUNCTION("""COMPUTED_VALUE"""),0.6)</f>
        <v>0.6</v>
      </c>
    </row>
    <row r="940">
      <c r="A940" s="4" t="str">
        <f>IFERROR(__xludf.DUMMYFUNCTION("""COMPUTED_VALUE"""),"0829A")</f>
        <v>0829A</v>
      </c>
      <c r="B940" s="4" t="str">
        <f>IFERROR(__xludf.DUMMYFUNCTION("""COMPUTED_VALUE"""),"Adhesivo 300 mm Materias y objetos peligrosos divesas")</f>
        <v>Adhesivo 300 mm Materias y objetos peligrosos divesas</v>
      </c>
      <c r="C940" s="4">
        <f>IFERROR(__xludf.DUMMYFUNCTION("""COMPUTED_VALUE"""),1.6)</f>
        <v>1.6</v>
      </c>
    </row>
    <row r="941">
      <c r="A941" s="4" t="str">
        <f>IFERROR(__xludf.DUMMYFUNCTION("""COMPUTED_VALUE"""),"830")</f>
        <v>830</v>
      </c>
      <c r="B941" s="4" t="str">
        <f>IFERROR(__xludf.DUMMYFUNCTION("""COMPUTED_VALUE"""),"Adhesivo 100 mm Materias peligrosas para el medio ambiente")</f>
        <v>Adhesivo 100 mm Materias peligrosas para el medio ambiente</v>
      </c>
      <c r="C941" s="4">
        <f>IFERROR(__xludf.DUMMYFUNCTION("""COMPUTED_VALUE"""),0.6)</f>
        <v>0.6</v>
      </c>
    </row>
    <row r="942">
      <c r="A942" s="4" t="str">
        <f>IFERROR(__xludf.DUMMYFUNCTION("""COMPUTED_VALUE"""),"0830A")</f>
        <v>0830A</v>
      </c>
      <c r="B942" s="4" t="str">
        <f>IFERROR(__xludf.DUMMYFUNCTION("""COMPUTED_VALUE"""),"Adhesivo 300 mm Materias peligrosas para el medio ambiente")</f>
        <v>Adhesivo 300 mm Materias peligrosas para el medio ambiente</v>
      </c>
      <c r="C942" s="4">
        <f>IFERROR(__xludf.DUMMYFUNCTION("""COMPUTED_VALUE"""),1.6)</f>
        <v>1.6</v>
      </c>
    </row>
    <row r="943">
      <c r="A943" s="4" t="str">
        <f>IFERROR(__xludf.DUMMYFUNCTION("""COMPUTED_VALUE"""),"831")</f>
        <v>831</v>
      </c>
      <c r="B943" s="4" t="str">
        <f>IFERROR(__xludf.DUMMYFUNCTION("""COMPUTED_VALUE"""),"Adhesivo 100 mm Orientación del bulto")</f>
        <v>Adhesivo 100 mm Orientación del bulto</v>
      </c>
      <c r="C943" s="4">
        <f>IFERROR(__xludf.DUMMYFUNCTION("""COMPUTED_VALUE"""),0.6)</f>
        <v>0.6</v>
      </c>
    </row>
    <row r="944">
      <c r="A944" s="4" t="str">
        <f>IFERROR(__xludf.DUMMYFUNCTION("""COMPUTED_VALUE"""),"0831A")</f>
        <v>0831A</v>
      </c>
      <c r="B944" s="4" t="str">
        <f>IFERROR(__xludf.DUMMYFUNCTION("""COMPUTED_VALUE"""),"Adhesivo 300 mm Orientación del bulto")</f>
        <v>Adhesivo 300 mm Orientación del bulto</v>
      </c>
      <c r="C944" s="4">
        <f>IFERROR(__xludf.DUMMYFUNCTION("""COMPUTED_VALUE"""),1.6)</f>
        <v>1.6</v>
      </c>
    </row>
    <row r="945">
      <c r="A945" s="4" t="str">
        <f>IFERROR(__xludf.DUMMYFUNCTION("""COMPUTED_VALUE"""),"832")</f>
        <v>832</v>
      </c>
      <c r="B945" s="4" t="str">
        <f>IFERROR(__xludf.DUMMYFUNCTION("""COMPUTED_VALUE"""),"Adhesivo 100 mm productos químicos explosivos")</f>
        <v>Adhesivo 100 mm productos químicos explosivos</v>
      </c>
      <c r="C945" s="4">
        <f>IFERROR(__xludf.DUMMYFUNCTION("""COMPUTED_VALUE"""),0.6)</f>
        <v>0.6</v>
      </c>
    </row>
    <row r="946">
      <c r="A946" s="4" t="str">
        <f>IFERROR(__xludf.DUMMYFUNCTION("""COMPUTED_VALUE"""),"0832A")</f>
        <v>0832A</v>
      </c>
      <c r="B946" s="4" t="str">
        <f>IFERROR(__xludf.DUMMYFUNCTION("""COMPUTED_VALUE"""),"Adhesivo 300 mm productos químicos explosivos")</f>
        <v>Adhesivo 300 mm productos químicos explosivos</v>
      </c>
      <c r="C946" s="4">
        <f>IFERROR(__xludf.DUMMYFUNCTION("""COMPUTED_VALUE"""),1.6)</f>
        <v>1.6</v>
      </c>
    </row>
    <row r="947">
      <c r="A947" s="4" t="str">
        <f>IFERROR(__xludf.DUMMYFUNCTION("""COMPUTED_VALUE"""),"833")</f>
        <v>833</v>
      </c>
      <c r="B947" s="4" t="str">
        <f>IFERROR(__xludf.DUMMYFUNCTION("""COMPUTED_VALUE"""),"Adhesivo 100 mm productos químicos inflamables")</f>
        <v>Adhesivo 100 mm productos químicos inflamables</v>
      </c>
      <c r="C947" s="4">
        <f>IFERROR(__xludf.DUMMYFUNCTION("""COMPUTED_VALUE"""),0.6)</f>
        <v>0.6</v>
      </c>
    </row>
    <row r="948">
      <c r="A948" s="4" t="str">
        <f>IFERROR(__xludf.DUMMYFUNCTION("""COMPUTED_VALUE"""),"0833A")</f>
        <v>0833A</v>
      </c>
      <c r="B948" s="4" t="str">
        <f>IFERROR(__xludf.DUMMYFUNCTION("""COMPUTED_VALUE"""),"Adhesivo 300 mm productos químicos inflamables")</f>
        <v>Adhesivo 300 mm productos químicos inflamables</v>
      </c>
      <c r="C948" s="4">
        <f>IFERROR(__xludf.DUMMYFUNCTION("""COMPUTED_VALUE"""),1.6)</f>
        <v>1.6</v>
      </c>
    </row>
    <row r="949">
      <c r="A949" s="4" t="str">
        <f>IFERROR(__xludf.DUMMYFUNCTION("""COMPUTED_VALUE"""),"834")</f>
        <v>834</v>
      </c>
      <c r="B949" s="4" t="str">
        <f>IFERROR(__xludf.DUMMYFUNCTION("""COMPUTED_VALUE"""),"Adhesivo 100 mm productos químicos comburentes")</f>
        <v>Adhesivo 100 mm productos químicos comburentes</v>
      </c>
      <c r="C949" s="4">
        <f>IFERROR(__xludf.DUMMYFUNCTION("""COMPUTED_VALUE"""),0.6)</f>
        <v>0.6</v>
      </c>
    </row>
    <row r="950">
      <c r="A950" s="4" t="str">
        <f>IFERROR(__xludf.DUMMYFUNCTION("""COMPUTED_VALUE"""),"0834A")</f>
        <v>0834A</v>
      </c>
      <c r="B950" s="4" t="str">
        <f>IFERROR(__xludf.DUMMYFUNCTION("""COMPUTED_VALUE"""),"Adhesivo 300 mm productos químicos comburentes")</f>
        <v>Adhesivo 300 mm productos químicos comburentes</v>
      </c>
      <c r="C950" s="4">
        <f>IFERROR(__xludf.DUMMYFUNCTION("""COMPUTED_VALUE"""),1.6)</f>
        <v>1.6</v>
      </c>
    </row>
    <row r="951">
      <c r="A951" s="4" t="str">
        <f>IFERROR(__xludf.DUMMYFUNCTION("""COMPUTED_VALUE"""),"835")</f>
        <v>835</v>
      </c>
      <c r="B951" s="4" t="str">
        <f>IFERROR(__xludf.DUMMYFUNCTION("""COMPUTED_VALUE"""),"Adhesivo 100 mm productos químicos gas a presión")</f>
        <v>Adhesivo 100 mm productos químicos gas a presión</v>
      </c>
      <c r="C951" s="4">
        <f>IFERROR(__xludf.DUMMYFUNCTION("""COMPUTED_VALUE"""),0.6)</f>
        <v>0.6</v>
      </c>
    </row>
    <row r="952">
      <c r="A952" s="4" t="str">
        <f>IFERROR(__xludf.DUMMYFUNCTION("""COMPUTED_VALUE"""),"0835A")</f>
        <v>0835A</v>
      </c>
      <c r="B952" s="4" t="str">
        <f>IFERROR(__xludf.DUMMYFUNCTION("""COMPUTED_VALUE"""),"Adhesivo 300 mm productos químicos gas a presión")</f>
        <v>Adhesivo 300 mm productos químicos gas a presión</v>
      </c>
      <c r="C952" s="4">
        <f>IFERROR(__xludf.DUMMYFUNCTION("""COMPUTED_VALUE"""),1.6)</f>
        <v>1.6</v>
      </c>
    </row>
    <row r="953">
      <c r="A953" s="4" t="str">
        <f>IFERROR(__xludf.DUMMYFUNCTION("""COMPUTED_VALUE"""),"836")</f>
        <v>836</v>
      </c>
      <c r="B953" s="4" t="str">
        <f>IFERROR(__xludf.DUMMYFUNCTION("""COMPUTED_VALUE"""),"Adhesivo 100 mm productos químicos toxicidad aguda")</f>
        <v>Adhesivo 100 mm productos químicos toxicidad aguda</v>
      </c>
      <c r="C953" s="4">
        <f>IFERROR(__xludf.DUMMYFUNCTION("""COMPUTED_VALUE"""),0.6)</f>
        <v>0.6</v>
      </c>
    </row>
    <row r="954">
      <c r="A954" s="4" t="str">
        <f>IFERROR(__xludf.DUMMYFUNCTION("""COMPUTED_VALUE"""),"0836A")</f>
        <v>0836A</v>
      </c>
      <c r="B954" s="4" t="str">
        <f>IFERROR(__xludf.DUMMYFUNCTION("""COMPUTED_VALUE"""),"Adhesivo 300 mm productos químicos Toxicidad aguda")</f>
        <v>Adhesivo 300 mm productos químicos Toxicidad aguda</v>
      </c>
      <c r="C954" s="4">
        <f>IFERROR(__xludf.DUMMYFUNCTION("""COMPUTED_VALUE"""),1.6)</f>
        <v>1.6</v>
      </c>
    </row>
    <row r="955">
      <c r="A955" s="4" t="str">
        <f>IFERROR(__xludf.DUMMYFUNCTION("""COMPUTED_VALUE"""),"837")</f>
        <v>837</v>
      </c>
      <c r="B955" s="4" t="str">
        <f>IFERROR(__xludf.DUMMYFUNCTION("""COMPUTED_VALUE"""),"Adhesivo 100 mm productos químicos corrosivos")</f>
        <v>Adhesivo 100 mm productos químicos corrosivos</v>
      </c>
      <c r="C955" s="4">
        <f>IFERROR(__xludf.DUMMYFUNCTION("""COMPUTED_VALUE"""),0.6)</f>
        <v>0.6</v>
      </c>
    </row>
    <row r="956">
      <c r="A956" s="4" t="str">
        <f>IFERROR(__xludf.DUMMYFUNCTION("""COMPUTED_VALUE"""),"0837A")</f>
        <v>0837A</v>
      </c>
      <c r="B956" s="4" t="str">
        <f>IFERROR(__xludf.DUMMYFUNCTION("""COMPUTED_VALUE"""),"Adhesivo 300 mm productos químicos corrosivos")</f>
        <v>Adhesivo 300 mm productos químicos corrosivos</v>
      </c>
      <c r="C956" s="4">
        <f>IFERROR(__xludf.DUMMYFUNCTION("""COMPUTED_VALUE"""),1.6)</f>
        <v>1.6</v>
      </c>
    </row>
    <row r="957">
      <c r="A957" s="4" t="str">
        <f>IFERROR(__xludf.DUMMYFUNCTION("""COMPUTED_VALUE"""),"838")</f>
        <v>838</v>
      </c>
      <c r="B957" s="4" t="str">
        <f>IFERROR(__xludf.DUMMYFUNCTION("""COMPUTED_VALUE"""),"Adhesivo 100 mm productos químicos peligro grave para la")</f>
        <v>Adhesivo 100 mm productos químicos peligro grave para la</v>
      </c>
      <c r="C957" s="4">
        <f>IFERROR(__xludf.DUMMYFUNCTION("""COMPUTED_VALUE"""),0.6)</f>
        <v>0.6</v>
      </c>
    </row>
    <row r="958">
      <c r="A958" s="4" t="str">
        <f>IFERROR(__xludf.DUMMYFUNCTION("""COMPUTED_VALUE"""),"0838A")</f>
        <v>0838A</v>
      </c>
      <c r="B958" s="4" t="str">
        <f>IFERROR(__xludf.DUMMYFUNCTION("""COMPUTED_VALUE"""),"Adhesivo 300 mm productos químicos peligro grave para la")</f>
        <v>Adhesivo 300 mm productos químicos peligro grave para la</v>
      </c>
      <c r="C958" s="4">
        <f>IFERROR(__xludf.DUMMYFUNCTION("""COMPUTED_VALUE"""),1.6)</f>
        <v>1.6</v>
      </c>
    </row>
    <row r="959">
      <c r="A959" s="4" t="str">
        <f>IFERROR(__xludf.DUMMYFUNCTION("""COMPUTED_VALUE"""),"839")</f>
        <v>839</v>
      </c>
      <c r="B959" s="4" t="str">
        <f>IFERROR(__xludf.DUMMYFUNCTION("""COMPUTED_VALUE"""),"Adhesivo 100 mm productos químicos peligro para la salud")</f>
        <v>Adhesivo 100 mm productos químicos peligro para la salud</v>
      </c>
      <c r="C959" s="4">
        <f>IFERROR(__xludf.DUMMYFUNCTION("""COMPUTED_VALUE"""),0.6)</f>
        <v>0.6</v>
      </c>
    </row>
    <row r="960">
      <c r="A960" s="4" t="str">
        <f>IFERROR(__xludf.DUMMYFUNCTION("""COMPUTED_VALUE"""),"0839A")</f>
        <v>0839A</v>
      </c>
      <c r="B960" s="4" t="str">
        <f>IFERROR(__xludf.DUMMYFUNCTION("""COMPUTED_VALUE"""),"Adhesivo 300 mm productos químicos peligro para la salud")</f>
        <v>Adhesivo 300 mm productos químicos peligro para la salud</v>
      </c>
      <c r="C960" s="4">
        <f>IFERROR(__xludf.DUMMYFUNCTION("""COMPUTED_VALUE"""),1.6)</f>
        <v>1.6</v>
      </c>
    </row>
    <row r="961">
      <c r="A961" s="4" t="str">
        <f>IFERROR(__xludf.DUMMYFUNCTION("""COMPUTED_VALUE"""),"840")</f>
        <v>840</v>
      </c>
      <c r="B961" s="4" t="str">
        <f>IFERROR(__xludf.DUMMYFUNCTION("""COMPUTED_VALUE"""),"Adhesivo 100 mm productos químicos peligro para el medio")</f>
        <v>Adhesivo 100 mm productos químicos peligro para el medio</v>
      </c>
      <c r="C961" s="4">
        <f>IFERROR(__xludf.DUMMYFUNCTION("""COMPUTED_VALUE"""),0.6)</f>
        <v>0.6</v>
      </c>
    </row>
    <row r="962">
      <c r="A962" s="4" t="str">
        <f>IFERROR(__xludf.DUMMYFUNCTION("""COMPUTED_VALUE"""),"0840A")</f>
        <v>0840A</v>
      </c>
      <c r="B962" s="4" t="str">
        <f>IFERROR(__xludf.DUMMYFUNCTION("""COMPUTED_VALUE"""),"Adhesivo 300 mm productos químicos peligro para el medio")</f>
        <v>Adhesivo 300 mm productos químicos peligro para el medio</v>
      </c>
      <c r="C962" s="4">
        <f>IFERROR(__xludf.DUMMYFUNCTION("""COMPUTED_VALUE"""),1.6)</f>
        <v>1.6</v>
      </c>
    </row>
    <row r="963">
      <c r="A963" s="4" t="str">
        <f>IFERROR(__xludf.DUMMYFUNCTION("""COMPUTED_VALUE"""),"841")</f>
        <v>841</v>
      </c>
      <c r="B963" s="4" t="str">
        <f>IFERROR(__xludf.DUMMYFUNCTION("""COMPUTED_VALUE"""),"Adhesivo información general aparcamiento 200x60 mm")</f>
        <v>Adhesivo información general aparcamiento 200x60 mm</v>
      </c>
      <c r="C963" s="4">
        <f>IFERROR(__xludf.DUMMYFUNCTION("""COMPUTED_VALUE"""),1.1)</f>
        <v>1.1</v>
      </c>
    </row>
    <row r="964">
      <c r="A964" s="4" t="str">
        <f>IFERROR(__xludf.DUMMYFUNCTION("""COMPUTED_VALUE"""),"0841A")</f>
        <v>0841A</v>
      </c>
      <c r="B964" s="4" t="str">
        <f>IFERROR(__xludf.DUMMYFUNCTION("""COMPUTED_VALUE"""),"Adhesivo información general aparcamiento 300x100 mm")</f>
        <v>Adhesivo información general aparcamiento 300x100 mm</v>
      </c>
      <c r="C964" s="4">
        <f>IFERROR(__xludf.DUMMYFUNCTION("""COMPUTED_VALUE"""),1.6)</f>
        <v>1.6</v>
      </c>
    </row>
    <row r="965">
      <c r="A965" s="4" t="str">
        <f>IFERROR(__xludf.DUMMYFUNCTION("""COMPUTED_VALUE"""),"0841C")</f>
        <v>0841C</v>
      </c>
      <c r="B965" s="4" t="str">
        <f>IFERROR(__xludf.DUMMYFUNCTION("""COMPUTED_VALUE"""),"Cartel PVC información general aparcamiento 300x100 mm")</f>
        <v>Cartel PVC información general aparcamiento 300x100 mm</v>
      </c>
      <c r="C965" s="4">
        <f>IFERROR(__xludf.DUMMYFUNCTION("""COMPUTED_VALUE"""),1.85)</f>
        <v>1.85</v>
      </c>
    </row>
    <row r="966">
      <c r="A966" s="4" t="str">
        <f>IFERROR(__xludf.DUMMYFUNCTION("""COMPUTED_VALUE"""),"842")</f>
        <v>842</v>
      </c>
      <c r="B966" s="4" t="str">
        <f>IFERROR(__xludf.DUMMYFUNCTION("""COMPUTED_VALUE"""),"Adhesivo información general aseos minusváldos 200x60 mm")</f>
        <v>Adhesivo información general aseos minusváldos 200x60 mm</v>
      </c>
      <c r="C966" s="4">
        <f>IFERROR(__xludf.DUMMYFUNCTION("""COMPUTED_VALUE"""),1.1)</f>
        <v>1.1</v>
      </c>
    </row>
    <row r="967">
      <c r="A967" s="4" t="str">
        <f>IFERROR(__xludf.DUMMYFUNCTION("""COMPUTED_VALUE"""),"0842A")</f>
        <v>0842A</v>
      </c>
      <c r="B967" s="4" t="str">
        <f>IFERROR(__xludf.DUMMYFUNCTION("""COMPUTED_VALUE"""),"Adhesivo información general aseos minusválidos 300x100")</f>
        <v>Adhesivo información general aseos minusválidos 300x100</v>
      </c>
      <c r="C967" s="4">
        <f>IFERROR(__xludf.DUMMYFUNCTION("""COMPUTED_VALUE"""),1.6)</f>
        <v>1.6</v>
      </c>
    </row>
    <row r="968">
      <c r="A968" s="4" t="str">
        <f>IFERROR(__xludf.DUMMYFUNCTION("""COMPUTED_VALUE"""),"0842C")</f>
        <v>0842C</v>
      </c>
      <c r="B968" s="4" t="str">
        <f>IFERROR(__xludf.DUMMYFUNCTION("""COMPUTED_VALUE"""),"Cartel PVC información general aseos minusválidos 300x100")</f>
        <v>Cartel PVC información general aseos minusválidos 300x100</v>
      </c>
      <c r="C968" s="4">
        <f>IFERROR(__xludf.DUMMYFUNCTION("""COMPUTED_VALUE"""),1.85)</f>
        <v>1.85</v>
      </c>
    </row>
    <row r="969">
      <c r="A969" s="4" t="str">
        <f>IFERROR(__xludf.DUMMYFUNCTION("""COMPUTED_VALUE"""),"843")</f>
        <v>843</v>
      </c>
      <c r="B969" s="4" t="str">
        <f>IFERROR(__xludf.DUMMYFUNCTION("""COMPUTED_VALUE"""),"Adhesivo información general aseos masculino 200x60 mm")</f>
        <v>Adhesivo información general aseos masculino 200x60 mm</v>
      </c>
      <c r="C969" s="4">
        <f>IFERROR(__xludf.DUMMYFUNCTION("""COMPUTED_VALUE"""),1.1)</f>
        <v>1.1</v>
      </c>
    </row>
    <row r="970">
      <c r="A970" s="4" t="str">
        <f>IFERROR(__xludf.DUMMYFUNCTION("""COMPUTED_VALUE"""),"0843A")</f>
        <v>0843A</v>
      </c>
      <c r="B970" s="4" t="str">
        <f>IFERROR(__xludf.DUMMYFUNCTION("""COMPUTED_VALUE"""),"Adhesivo información general aseos masculino 300x100 mm")</f>
        <v>Adhesivo información general aseos masculino 300x100 mm</v>
      </c>
      <c r="C970" s="4">
        <f>IFERROR(__xludf.DUMMYFUNCTION("""COMPUTED_VALUE"""),1.6)</f>
        <v>1.6</v>
      </c>
    </row>
    <row r="971">
      <c r="A971" s="4" t="str">
        <f>IFERROR(__xludf.DUMMYFUNCTION("""COMPUTED_VALUE"""),"0843C")</f>
        <v>0843C</v>
      </c>
      <c r="B971" s="4" t="str">
        <f>IFERROR(__xludf.DUMMYFUNCTION("""COMPUTED_VALUE"""),"Cartel PVC información general aseos masculino 300x100 mm")</f>
        <v>Cartel PVC información general aseos masculino 300x100 mm</v>
      </c>
      <c r="C971" s="4">
        <f>IFERROR(__xludf.DUMMYFUNCTION("""COMPUTED_VALUE"""),1.85)</f>
        <v>1.85</v>
      </c>
    </row>
    <row r="972">
      <c r="A972" s="4" t="str">
        <f>IFERROR(__xludf.DUMMYFUNCTION("""COMPUTED_VALUE"""),"845")</f>
        <v>845</v>
      </c>
      <c r="B972" s="4" t="str">
        <f>IFERROR(__xludf.DUMMYFUNCTION("""COMPUTED_VALUE"""),"Adhesivo información general aseos mixtos 200x60 mm")</f>
        <v>Adhesivo información general aseos mixtos 200x60 mm</v>
      </c>
      <c r="C972" s="4">
        <f>IFERROR(__xludf.DUMMYFUNCTION("""COMPUTED_VALUE"""),1.1)</f>
        <v>1.1</v>
      </c>
    </row>
    <row r="973">
      <c r="A973" s="4" t="str">
        <f>IFERROR(__xludf.DUMMYFUNCTION("""COMPUTED_VALUE"""),"0845A")</f>
        <v>0845A</v>
      </c>
      <c r="B973" s="4" t="str">
        <f>IFERROR(__xludf.DUMMYFUNCTION("""COMPUTED_VALUE"""),"Adhesivo información general aseos mixtos 300x100 mm")</f>
        <v>Adhesivo información general aseos mixtos 300x100 mm</v>
      </c>
      <c r="C973" s="4">
        <f>IFERROR(__xludf.DUMMYFUNCTION("""COMPUTED_VALUE"""),1.6)</f>
        <v>1.6</v>
      </c>
    </row>
    <row r="974">
      <c r="A974" s="4" t="str">
        <f>IFERROR(__xludf.DUMMYFUNCTION("""COMPUTED_VALUE"""),"0845C")</f>
        <v>0845C</v>
      </c>
      <c r="B974" s="4" t="str">
        <f>IFERROR(__xludf.DUMMYFUNCTION("""COMPUTED_VALUE"""),"Cartel PVC información general asos mixtos 300x100 mm")</f>
        <v>Cartel PVC información general asos mixtos 300x100 mm</v>
      </c>
      <c r="C974" s="4">
        <f>IFERROR(__xludf.DUMMYFUNCTION("""COMPUTED_VALUE"""),1.85)</f>
        <v>1.85</v>
      </c>
    </row>
    <row r="975">
      <c r="A975" s="4" t="str">
        <f>IFERROR(__xludf.DUMMYFUNCTION("""COMPUTED_VALUE"""),"846")</f>
        <v>846</v>
      </c>
      <c r="B975" s="4" t="str">
        <f>IFERROR(__xludf.DUMMYFUNCTION("""COMPUTED_VALUE"""),"Adhesivo información general aseos femenino 200x60 mm")</f>
        <v>Adhesivo información general aseos femenino 200x60 mm</v>
      </c>
      <c r="C975" s="4">
        <f>IFERROR(__xludf.DUMMYFUNCTION("""COMPUTED_VALUE"""),1.1)</f>
        <v>1.1</v>
      </c>
    </row>
    <row r="976">
      <c r="A976" s="4" t="str">
        <f>IFERROR(__xludf.DUMMYFUNCTION("""COMPUTED_VALUE"""),"0846A")</f>
        <v>0846A</v>
      </c>
      <c r="B976" s="4" t="str">
        <f>IFERROR(__xludf.DUMMYFUNCTION("""COMPUTED_VALUE"""),"Adhesivo información general aseos femeninio 300x100 mm")</f>
        <v>Adhesivo información general aseos femeninio 300x100 mm</v>
      </c>
      <c r="C976" s="4">
        <f>IFERROR(__xludf.DUMMYFUNCTION("""COMPUTED_VALUE"""),1.6)</f>
        <v>1.6</v>
      </c>
    </row>
    <row r="977">
      <c r="A977" s="4" t="str">
        <f>IFERROR(__xludf.DUMMYFUNCTION("""COMPUTED_VALUE"""),"0846C")</f>
        <v>0846C</v>
      </c>
      <c r="B977" s="4" t="str">
        <f>IFERROR(__xludf.DUMMYFUNCTION("""COMPUTED_VALUE"""),"Cartel PVC informacion general Aseos femenino 300x100 mm")</f>
        <v>Cartel PVC informacion general Aseos femenino 300x100 mm</v>
      </c>
      <c r="C977" s="4">
        <f>IFERROR(__xludf.DUMMYFUNCTION("""COMPUTED_VALUE"""),1.85)</f>
        <v>1.85</v>
      </c>
    </row>
    <row r="978">
      <c r="A978" s="4" t="str">
        <f>IFERROR(__xludf.DUMMYFUNCTION("""COMPUTED_VALUE"""),"847")</f>
        <v>847</v>
      </c>
      <c r="B978" s="4" t="str">
        <f>IFERROR(__xludf.DUMMYFUNCTION("""COMPUTED_VALUE"""),"Adhesivo información general vestuario mixto 200x60 mm")</f>
        <v>Adhesivo información general vestuario mixto 200x60 mm</v>
      </c>
      <c r="C978" s="4">
        <f>IFERROR(__xludf.DUMMYFUNCTION("""COMPUTED_VALUE"""),1.1)</f>
        <v>1.1</v>
      </c>
    </row>
    <row r="979">
      <c r="A979" s="4" t="str">
        <f>IFERROR(__xludf.DUMMYFUNCTION("""COMPUTED_VALUE"""),"0847A")</f>
        <v>0847A</v>
      </c>
      <c r="B979" s="4" t="str">
        <f>IFERROR(__xludf.DUMMYFUNCTION("""COMPUTED_VALUE"""),"Adhesivo información general vestuario mixto 300x100 mm")</f>
        <v>Adhesivo información general vestuario mixto 300x100 mm</v>
      </c>
      <c r="C979" s="4">
        <f>IFERROR(__xludf.DUMMYFUNCTION("""COMPUTED_VALUE"""),1.6)</f>
        <v>1.6</v>
      </c>
    </row>
    <row r="980">
      <c r="A980" s="4" t="str">
        <f>IFERROR(__xludf.DUMMYFUNCTION("""COMPUTED_VALUE"""),"0847C")</f>
        <v>0847C</v>
      </c>
      <c r="B980" s="4" t="str">
        <f>IFERROR(__xludf.DUMMYFUNCTION("""COMPUTED_VALUE"""),"Cartel PVC información general vestuarios mixtos 300x100 mm")</f>
        <v>Cartel PVC información general vestuarios mixtos 300x100 mm</v>
      </c>
      <c r="C980" s="4">
        <f>IFERROR(__xludf.DUMMYFUNCTION("""COMPUTED_VALUE"""),1.85)</f>
        <v>1.85</v>
      </c>
    </row>
    <row r="981">
      <c r="A981" s="4" t="str">
        <f>IFERROR(__xludf.DUMMYFUNCTION("""COMPUTED_VALUE"""),"848")</f>
        <v>848</v>
      </c>
      <c r="B981" s="4" t="str">
        <f>IFERROR(__xludf.DUMMYFUNCTION("""COMPUTED_VALUE"""),"Adhesivo información general vestuario femenino 200x60 mm")</f>
        <v>Adhesivo información general vestuario femenino 200x60 mm</v>
      </c>
      <c r="C981" s="4">
        <f>IFERROR(__xludf.DUMMYFUNCTION("""COMPUTED_VALUE"""),1.1)</f>
        <v>1.1</v>
      </c>
    </row>
    <row r="982">
      <c r="A982" s="4" t="str">
        <f>IFERROR(__xludf.DUMMYFUNCTION("""COMPUTED_VALUE"""),"0848A")</f>
        <v>0848A</v>
      </c>
      <c r="B982" s="4" t="str">
        <f>IFERROR(__xludf.DUMMYFUNCTION("""COMPUTED_VALUE"""),"Adhesivo información general vestuario femenino 300x100 mm")</f>
        <v>Adhesivo información general vestuario femenino 300x100 mm</v>
      </c>
      <c r="C982" s="4">
        <f>IFERROR(__xludf.DUMMYFUNCTION("""COMPUTED_VALUE"""),1.6)</f>
        <v>1.6</v>
      </c>
    </row>
    <row r="983">
      <c r="A983" s="4" t="str">
        <f>IFERROR(__xludf.DUMMYFUNCTION("""COMPUTED_VALUE"""),"0848C")</f>
        <v>0848C</v>
      </c>
      <c r="B983" s="4" t="str">
        <f>IFERROR(__xludf.DUMMYFUNCTION("""COMPUTED_VALUE"""),"Cartel PVC información general vestuario femenino 300x100")</f>
        <v>Cartel PVC información general vestuario femenino 300x100</v>
      </c>
      <c r="C983" s="4">
        <f>IFERROR(__xludf.DUMMYFUNCTION("""COMPUTED_VALUE"""),1.85)</f>
        <v>1.85</v>
      </c>
    </row>
    <row r="984">
      <c r="A984" s="4" t="str">
        <f>IFERROR(__xludf.DUMMYFUNCTION("""COMPUTED_VALUE"""),"849")</f>
        <v>849</v>
      </c>
      <c r="B984" s="4" t="str">
        <f>IFERROR(__xludf.DUMMYFUNCTION("""COMPUTED_VALUE"""),"Adhesivo información general vestuario masculino 200x60 mm")</f>
        <v>Adhesivo información general vestuario masculino 200x60 mm</v>
      </c>
      <c r="C984" s="4">
        <f>IFERROR(__xludf.DUMMYFUNCTION("""COMPUTED_VALUE"""),1.1)</f>
        <v>1.1</v>
      </c>
    </row>
    <row r="985">
      <c r="A985" s="4" t="str">
        <f>IFERROR(__xludf.DUMMYFUNCTION("""COMPUTED_VALUE"""),"0849A")</f>
        <v>0849A</v>
      </c>
      <c r="B985" s="4" t="str">
        <f>IFERROR(__xludf.DUMMYFUNCTION("""COMPUTED_VALUE"""),"Adhesivo información general vestuario masculino 300x100")</f>
        <v>Adhesivo información general vestuario masculino 300x100</v>
      </c>
      <c r="C985" s="4">
        <f>IFERROR(__xludf.DUMMYFUNCTION("""COMPUTED_VALUE"""),1.6)</f>
        <v>1.6</v>
      </c>
    </row>
    <row r="986">
      <c r="A986" s="4" t="str">
        <f>IFERROR(__xludf.DUMMYFUNCTION("""COMPUTED_VALUE"""),"0849C")</f>
        <v>0849C</v>
      </c>
      <c r="B986" s="4" t="str">
        <f>IFERROR(__xludf.DUMMYFUNCTION("""COMPUTED_VALUE"""),"Cartel PVC información general vestuario masculino 300x100")</f>
        <v>Cartel PVC información general vestuario masculino 300x100</v>
      </c>
      <c r="C986" s="4">
        <f>IFERROR(__xludf.DUMMYFUNCTION("""COMPUTED_VALUE"""),1.85)</f>
        <v>1.85</v>
      </c>
    </row>
    <row r="987">
      <c r="A987" s="4" t="str">
        <f>IFERROR(__xludf.DUMMYFUNCTION("""COMPUTED_VALUE"""),"850")</f>
        <v>850</v>
      </c>
      <c r="B987" s="4" t="str">
        <f>IFERROR(__xludf.DUMMYFUNCTION("""COMPUTED_VALUE"""),"Adhesivo información general información 200x60 mm")</f>
        <v>Adhesivo información general información 200x60 mm</v>
      </c>
      <c r="C987" s="4">
        <f>IFERROR(__xludf.DUMMYFUNCTION("""COMPUTED_VALUE"""),1.1)</f>
        <v>1.1</v>
      </c>
    </row>
    <row r="988">
      <c r="A988" s="4" t="str">
        <f>IFERROR(__xludf.DUMMYFUNCTION("""COMPUTED_VALUE"""),"0850A")</f>
        <v>0850A</v>
      </c>
      <c r="B988" s="4" t="str">
        <f>IFERROR(__xludf.DUMMYFUNCTION("""COMPUTED_VALUE"""),"Adhesivo información general información 300x100 mm")</f>
        <v>Adhesivo información general información 300x100 mm</v>
      </c>
      <c r="C988" s="4">
        <f>IFERROR(__xludf.DUMMYFUNCTION("""COMPUTED_VALUE"""),1.6)</f>
        <v>1.6</v>
      </c>
    </row>
    <row r="989">
      <c r="A989" s="4" t="str">
        <f>IFERROR(__xludf.DUMMYFUNCTION("""COMPUTED_VALUE"""),"0850C")</f>
        <v>0850C</v>
      </c>
      <c r="B989" s="4" t="str">
        <f>IFERROR(__xludf.DUMMYFUNCTION("""COMPUTED_VALUE"""),"Cartel PVC información general información 300x100 mm")</f>
        <v>Cartel PVC información general información 300x100 mm</v>
      </c>
      <c r="C989" s="4">
        <f>IFERROR(__xludf.DUMMYFUNCTION("""COMPUTED_VALUE"""),1.85)</f>
        <v>1.85</v>
      </c>
    </row>
    <row r="990">
      <c r="A990" s="4" t="str">
        <f>IFERROR(__xludf.DUMMYFUNCTION("""COMPUTED_VALUE"""),"851")</f>
        <v>851</v>
      </c>
      <c r="B990" s="4" t="str">
        <f>IFERROR(__xludf.DUMMYFUNCTION("""COMPUTED_VALUE"""),"Adhesivo información general teléfono 200x60 mm")</f>
        <v>Adhesivo información general teléfono 200x60 mm</v>
      </c>
      <c r="C990" s="4">
        <f>IFERROR(__xludf.DUMMYFUNCTION("""COMPUTED_VALUE"""),1.1)</f>
        <v>1.1</v>
      </c>
    </row>
    <row r="991">
      <c r="A991" s="4" t="str">
        <f>IFERROR(__xludf.DUMMYFUNCTION("""COMPUTED_VALUE"""),"0851A")</f>
        <v>0851A</v>
      </c>
      <c r="B991" s="4" t="str">
        <f>IFERROR(__xludf.DUMMYFUNCTION("""COMPUTED_VALUE"""),"Adhesivo información general teléfono 300x100 mm")</f>
        <v>Adhesivo información general teléfono 300x100 mm</v>
      </c>
      <c r="C991" s="4">
        <f>IFERROR(__xludf.DUMMYFUNCTION("""COMPUTED_VALUE"""),1.6)</f>
        <v>1.6</v>
      </c>
    </row>
    <row r="992">
      <c r="A992" s="4" t="str">
        <f>IFERROR(__xludf.DUMMYFUNCTION("""COMPUTED_VALUE"""),"0851C")</f>
        <v>0851C</v>
      </c>
      <c r="B992" s="4" t="str">
        <f>IFERROR(__xludf.DUMMYFUNCTION("""COMPUTED_VALUE"""),"Cartel PVC información general teléfono 300x100 mm")</f>
        <v>Cartel PVC información general teléfono 300x100 mm</v>
      </c>
      <c r="C992" s="4">
        <f>IFERROR(__xludf.DUMMYFUNCTION("""COMPUTED_VALUE"""),1.85)</f>
        <v>1.85</v>
      </c>
    </row>
    <row r="993">
      <c r="A993" s="4" t="str">
        <f>IFERROR(__xludf.DUMMYFUNCTION("""COMPUTED_VALUE"""),"852")</f>
        <v>852</v>
      </c>
      <c r="B993" s="4" t="str">
        <f>IFERROR(__xludf.DUMMYFUNCTION("""COMPUTED_VALUE"""),"Adhesivo información general guardarropa 200x60 mm")</f>
        <v>Adhesivo información general guardarropa 200x60 mm</v>
      </c>
      <c r="C993" s="4">
        <f>IFERROR(__xludf.DUMMYFUNCTION("""COMPUTED_VALUE"""),1.1)</f>
        <v>1.1</v>
      </c>
    </row>
    <row r="994">
      <c r="A994" s="4" t="str">
        <f>IFERROR(__xludf.DUMMYFUNCTION("""COMPUTED_VALUE"""),"0852A")</f>
        <v>0852A</v>
      </c>
      <c r="B994" s="4" t="str">
        <f>IFERROR(__xludf.DUMMYFUNCTION("""COMPUTED_VALUE"""),"Adhesivo información general guardarropa 300x100 mm")</f>
        <v>Adhesivo información general guardarropa 300x100 mm</v>
      </c>
      <c r="C994" s="4">
        <f>IFERROR(__xludf.DUMMYFUNCTION("""COMPUTED_VALUE"""),1.6)</f>
        <v>1.6</v>
      </c>
    </row>
    <row r="995">
      <c r="A995" s="4" t="str">
        <f>IFERROR(__xludf.DUMMYFUNCTION("""COMPUTED_VALUE"""),"0852C")</f>
        <v>0852C</v>
      </c>
      <c r="B995" s="4" t="str">
        <f>IFERROR(__xludf.DUMMYFUNCTION("""COMPUTED_VALUE"""),"Cartel PVC información general Guardarropa 300x100 mm")</f>
        <v>Cartel PVC información general Guardarropa 300x100 mm</v>
      </c>
      <c r="C995" s="4">
        <f>IFERROR(__xludf.DUMMYFUNCTION("""COMPUTED_VALUE"""),1.85)</f>
        <v>1.85</v>
      </c>
    </row>
    <row r="996">
      <c r="A996" s="4" t="str">
        <f>IFERROR(__xludf.DUMMYFUNCTION("""COMPUTED_VALUE"""),"853")</f>
        <v>853</v>
      </c>
      <c r="B996" s="4" t="str">
        <f>IFERROR(__xludf.DUMMYFUNCTION("""COMPUTED_VALUE"""),"Adhesivo información general restaurante 200x60 mm")</f>
        <v>Adhesivo información general restaurante 200x60 mm</v>
      </c>
      <c r="C996" s="4">
        <f>IFERROR(__xludf.DUMMYFUNCTION("""COMPUTED_VALUE"""),1.1)</f>
        <v>1.1</v>
      </c>
    </row>
    <row r="997">
      <c r="A997" s="4" t="str">
        <f>IFERROR(__xludf.DUMMYFUNCTION("""COMPUTED_VALUE"""),"0853A")</f>
        <v>0853A</v>
      </c>
      <c r="B997" s="4" t="str">
        <f>IFERROR(__xludf.DUMMYFUNCTION("""COMPUTED_VALUE"""),"Adhesivo información general restaurante 300x100 mm")</f>
        <v>Adhesivo información general restaurante 300x100 mm</v>
      </c>
      <c r="C997" s="4">
        <f>IFERROR(__xludf.DUMMYFUNCTION("""COMPUTED_VALUE"""),1.6)</f>
        <v>1.6</v>
      </c>
    </row>
    <row r="998">
      <c r="A998" s="4" t="str">
        <f>IFERROR(__xludf.DUMMYFUNCTION("""COMPUTED_VALUE"""),"0853C")</f>
        <v>0853C</v>
      </c>
      <c r="B998" s="4" t="str">
        <f>IFERROR(__xludf.DUMMYFUNCTION("""COMPUTED_VALUE"""),"Cartel PVC información general restaurantes 300x100 mm")</f>
        <v>Cartel PVC información general restaurantes 300x100 mm</v>
      </c>
      <c r="C998" s="4">
        <f>IFERROR(__xludf.DUMMYFUNCTION("""COMPUTED_VALUE"""),1.85)</f>
        <v>1.85</v>
      </c>
    </row>
    <row r="999">
      <c r="A999" s="4" t="str">
        <f>IFERROR(__xludf.DUMMYFUNCTION("""COMPUTED_VALUE"""),"854")</f>
        <v>854</v>
      </c>
      <c r="B999" s="4" t="str">
        <f>IFERROR(__xludf.DUMMYFUNCTION("""COMPUTED_VALUE"""),"Adhesivo información general cuarto limpieza 200x60 mm")</f>
        <v>Adhesivo información general cuarto limpieza 200x60 mm</v>
      </c>
      <c r="C999" s="4">
        <f>IFERROR(__xludf.DUMMYFUNCTION("""COMPUTED_VALUE"""),1.1)</f>
        <v>1.1</v>
      </c>
    </row>
    <row r="1000">
      <c r="A1000" s="4" t="str">
        <f>IFERROR(__xludf.DUMMYFUNCTION("""COMPUTED_VALUE"""),"0854A")</f>
        <v>0854A</v>
      </c>
      <c r="B1000" s="4" t="str">
        <f>IFERROR(__xludf.DUMMYFUNCTION("""COMPUTED_VALUE"""),"Adhesivo información general cuarto limpieza 300x100 mm")</f>
        <v>Adhesivo información general cuarto limpieza 300x100 mm</v>
      </c>
      <c r="C1000" s="4">
        <f>IFERROR(__xludf.DUMMYFUNCTION("""COMPUTED_VALUE"""),1.6)</f>
        <v>1.6</v>
      </c>
    </row>
    <row r="1001">
      <c r="A1001" s="4" t="str">
        <f>IFERROR(__xludf.DUMMYFUNCTION("""COMPUTED_VALUE"""),"0854C")</f>
        <v>0854C</v>
      </c>
      <c r="B1001" s="4" t="str">
        <f>IFERROR(__xludf.DUMMYFUNCTION("""COMPUTED_VALUE"""),"Cartel PVC información general cuarto limpieza 300x100 mm")</f>
        <v>Cartel PVC información general cuarto limpieza 300x100 mm</v>
      </c>
      <c r="C1001" s="4">
        <f>IFERROR(__xludf.DUMMYFUNCTION("""COMPUTED_VALUE"""),1.85)</f>
        <v>1.85</v>
      </c>
    </row>
    <row r="1002">
      <c r="A1002" s="4" t="str">
        <f>IFERROR(__xludf.DUMMYFUNCTION("""COMPUTED_VALUE"""),"855")</f>
        <v>855</v>
      </c>
      <c r="B1002" s="4" t="str">
        <f>IFERROR(__xludf.DUMMYFUNCTION("""COMPUTED_VALUE"""),"Adhesivo información general almacen 200x60 mm")</f>
        <v>Adhesivo información general almacen 200x60 mm</v>
      </c>
      <c r="C1002" s="4">
        <f>IFERROR(__xludf.DUMMYFUNCTION("""COMPUTED_VALUE"""),1.1)</f>
        <v>1.1</v>
      </c>
    </row>
    <row r="1003">
      <c r="A1003" s="4" t="str">
        <f>IFERROR(__xludf.DUMMYFUNCTION("""COMPUTED_VALUE"""),"0855A")</f>
        <v>0855A</v>
      </c>
      <c r="B1003" s="4" t="str">
        <f>IFERROR(__xludf.DUMMYFUNCTION("""COMPUTED_VALUE"""),"Adhesivo información general almacen 300x100 mm")</f>
        <v>Adhesivo información general almacen 300x100 mm</v>
      </c>
      <c r="C1003" s="4">
        <f>IFERROR(__xludf.DUMMYFUNCTION("""COMPUTED_VALUE"""),1.6)</f>
        <v>1.6</v>
      </c>
    </row>
    <row r="1004">
      <c r="A1004" s="4" t="str">
        <f>IFERROR(__xludf.DUMMYFUNCTION("""COMPUTED_VALUE"""),"0855C")</f>
        <v>0855C</v>
      </c>
      <c r="B1004" s="4" t="str">
        <f>IFERROR(__xludf.DUMMYFUNCTION("""COMPUTED_VALUE"""),"Cartel PVC información general almacén 300x100 mm")</f>
        <v>Cartel PVC información general almacén 300x100 mm</v>
      </c>
      <c r="C1004" s="4">
        <f>IFERROR(__xludf.DUMMYFUNCTION("""COMPUTED_VALUE"""),1.85)</f>
        <v>1.85</v>
      </c>
    </row>
    <row r="1005">
      <c r="A1005" s="4" t="str">
        <f>IFERROR(__xludf.DUMMYFUNCTION("""COMPUTED_VALUE"""),"856")</f>
        <v>856</v>
      </c>
      <c r="B1005" s="4" t="str">
        <f>IFERROR(__xludf.DUMMYFUNCTION("""COMPUTED_VALUE"""),"Adhesivo información general oficina 200x60 mm")</f>
        <v>Adhesivo información general oficina 200x60 mm</v>
      </c>
      <c r="C1005" s="4">
        <f>IFERROR(__xludf.DUMMYFUNCTION("""COMPUTED_VALUE"""),1.1)</f>
        <v>1.1</v>
      </c>
    </row>
    <row r="1006">
      <c r="A1006" s="4" t="str">
        <f>IFERROR(__xludf.DUMMYFUNCTION("""COMPUTED_VALUE"""),"0856A")</f>
        <v>0856A</v>
      </c>
      <c r="B1006" s="4" t="str">
        <f>IFERROR(__xludf.DUMMYFUNCTION("""COMPUTED_VALUE"""),"Adhesivo información general oficina 300x100 mm")</f>
        <v>Adhesivo información general oficina 300x100 mm</v>
      </c>
      <c r="C1006" s="4">
        <f>IFERROR(__xludf.DUMMYFUNCTION("""COMPUTED_VALUE"""),1.6)</f>
        <v>1.6</v>
      </c>
    </row>
    <row r="1007">
      <c r="A1007" s="4" t="str">
        <f>IFERROR(__xludf.DUMMYFUNCTION("""COMPUTED_VALUE"""),"0856C")</f>
        <v>0856C</v>
      </c>
      <c r="B1007" s="4" t="str">
        <f>IFERROR(__xludf.DUMMYFUNCTION("""COMPUTED_VALUE"""),"Cartel PVC información general oficina 300x100 mm")</f>
        <v>Cartel PVC información general oficina 300x100 mm</v>
      </c>
      <c r="C1007" s="4">
        <f>IFERROR(__xludf.DUMMYFUNCTION("""COMPUTED_VALUE"""),1.85)</f>
        <v>1.85</v>
      </c>
    </row>
    <row r="1008">
      <c r="A1008" s="4" t="str">
        <f>IFERROR(__xludf.DUMMYFUNCTION("""COMPUTED_VALUE"""),"857")</f>
        <v>857</v>
      </c>
      <c r="B1008" s="4" t="str">
        <f>IFERROR(__xludf.DUMMYFUNCTION("""COMPUTED_VALUE"""),"Adhesivo información general entrada 200x60mm")</f>
        <v>Adhesivo información general entrada 200x60mm</v>
      </c>
      <c r="C1008" s="4">
        <f>IFERROR(__xludf.DUMMYFUNCTION("""COMPUTED_VALUE"""),1.1)</f>
        <v>1.1</v>
      </c>
    </row>
    <row r="1009">
      <c r="A1009" s="4" t="str">
        <f>IFERROR(__xludf.DUMMYFUNCTION("""COMPUTED_VALUE"""),"0857A")</f>
        <v>0857A</v>
      </c>
      <c r="B1009" s="4" t="str">
        <f>IFERROR(__xludf.DUMMYFUNCTION("""COMPUTED_VALUE"""),"Adhesivo información general entrada 300x100mm")</f>
        <v>Adhesivo información general entrada 300x100mm</v>
      </c>
      <c r="C1009" s="4">
        <f>IFERROR(__xludf.DUMMYFUNCTION("""COMPUTED_VALUE"""),1.6)</f>
        <v>1.6</v>
      </c>
    </row>
    <row r="1010">
      <c r="A1010" s="4" t="str">
        <f>IFERROR(__xludf.DUMMYFUNCTION("""COMPUTED_VALUE"""),"0857C")</f>
        <v>0857C</v>
      </c>
      <c r="B1010" s="4" t="str">
        <f>IFERROR(__xludf.DUMMYFUNCTION("""COMPUTED_VALUE"""),"Cartel PVC información general entrada 300x100 mm")</f>
        <v>Cartel PVC información general entrada 300x100 mm</v>
      </c>
      <c r="C1010" s="4">
        <f>IFERROR(__xludf.DUMMYFUNCTION("""COMPUTED_VALUE"""),1.85)</f>
        <v>1.85</v>
      </c>
    </row>
    <row r="1011">
      <c r="A1011" s="4" t="str">
        <f>IFERROR(__xludf.DUMMYFUNCTION("""COMPUTED_VALUE"""),"858")</f>
        <v>858</v>
      </c>
      <c r="B1011" s="4" t="str">
        <f>IFERROR(__xludf.DUMMYFUNCTION("""COMPUTED_VALUE"""),"Adhesivo información general cierre la puerta 200x60 mm")</f>
        <v>Adhesivo información general cierre la puerta 200x60 mm</v>
      </c>
      <c r="C1011" s="4">
        <f>IFERROR(__xludf.DUMMYFUNCTION("""COMPUTED_VALUE"""),1.1)</f>
        <v>1.1</v>
      </c>
    </row>
    <row r="1012">
      <c r="A1012" s="4" t="str">
        <f>IFERROR(__xludf.DUMMYFUNCTION("""COMPUTED_VALUE"""),"0858A")</f>
        <v>0858A</v>
      </c>
      <c r="B1012" s="4" t="str">
        <f>IFERROR(__xludf.DUMMYFUNCTION("""COMPUTED_VALUE"""),"Adhesivo información general cierre la puerta 300x100 mm")</f>
        <v>Adhesivo información general cierre la puerta 300x100 mm</v>
      </c>
      <c r="C1012" s="4">
        <f>IFERROR(__xludf.DUMMYFUNCTION("""COMPUTED_VALUE"""),1.6)</f>
        <v>1.6</v>
      </c>
    </row>
    <row r="1013">
      <c r="A1013" s="4" t="str">
        <f>IFERROR(__xludf.DUMMYFUNCTION("""COMPUTED_VALUE"""),"0858C")</f>
        <v>0858C</v>
      </c>
      <c r="B1013" s="4" t="str">
        <f>IFERROR(__xludf.DUMMYFUNCTION("""COMPUTED_VALUE"""),"Cartel PVC información general cierre la puerta 300x100 mm")</f>
        <v>Cartel PVC información general cierre la puerta 300x100 mm</v>
      </c>
      <c r="C1013" s="4">
        <f>IFERROR(__xludf.DUMMYFUNCTION("""COMPUTED_VALUE"""),1.85)</f>
        <v>1.85</v>
      </c>
    </row>
    <row r="1014">
      <c r="A1014" s="4" t="str">
        <f>IFERROR(__xludf.DUMMYFUNCTION("""COMPUTED_VALUE"""),"859")</f>
        <v>859</v>
      </c>
      <c r="B1014" s="4" t="str">
        <f>IFERROR(__xludf.DUMMYFUNCTION("""COMPUTED_VALUE"""),"Adhesivo información general empujar 200x60 mm")</f>
        <v>Adhesivo información general empujar 200x60 mm</v>
      </c>
      <c r="C1014" s="4">
        <f>IFERROR(__xludf.DUMMYFUNCTION("""COMPUTED_VALUE"""),1.1)</f>
        <v>1.1</v>
      </c>
    </row>
    <row r="1015">
      <c r="A1015" s="4" t="str">
        <f>IFERROR(__xludf.DUMMYFUNCTION("""COMPUTED_VALUE"""),"0859A")</f>
        <v>0859A</v>
      </c>
      <c r="B1015" s="4" t="str">
        <f>IFERROR(__xludf.DUMMYFUNCTION("""COMPUTED_VALUE"""),"Adhesivo información general empujar 300x100 mm")</f>
        <v>Adhesivo información general empujar 300x100 mm</v>
      </c>
      <c r="C1015" s="4">
        <f>IFERROR(__xludf.DUMMYFUNCTION("""COMPUTED_VALUE"""),1.6)</f>
        <v>1.6</v>
      </c>
    </row>
    <row r="1016">
      <c r="A1016" s="4" t="str">
        <f>IFERROR(__xludf.DUMMYFUNCTION("""COMPUTED_VALUE"""),"0859C")</f>
        <v>0859C</v>
      </c>
      <c r="B1016" s="4" t="str">
        <f>IFERROR(__xludf.DUMMYFUNCTION("""COMPUTED_VALUE"""),"Cartel PVC información general empujar 300x100 mm")</f>
        <v>Cartel PVC información general empujar 300x100 mm</v>
      </c>
      <c r="C1016" s="4">
        <f>IFERROR(__xludf.DUMMYFUNCTION("""COMPUTED_VALUE"""),1.85)</f>
        <v>1.85</v>
      </c>
    </row>
    <row r="1017">
      <c r="A1017" s="4" t="str">
        <f>IFERROR(__xludf.DUMMYFUNCTION("""COMPUTED_VALUE"""),"860")</f>
        <v>860</v>
      </c>
      <c r="B1017" s="4" t="str">
        <f>IFERROR(__xludf.DUMMYFUNCTION("""COMPUTED_VALUE"""),"Adhesivo información general tirar 200x60 mm")</f>
        <v>Adhesivo información general tirar 200x60 mm</v>
      </c>
      <c r="C1017" s="4">
        <f>IFERROR(__xludf.DUMMYFUNCTION("""COMPUTED_VALUE"""),1.1)</f>
        <v>1.1</v>
      </c>
    </row>
    <row r="1018">
      <c r="A1018" s="4" t="str">
        <f>IFERROR(__xludf.DUMMYFUNCTION("""COMPUTED_VALUE"""),"0860A")</f>
        <v>0860A</v>
      </c>
      <c r="B1018" s="4" t="str">
        <f>IFERROR(__xludf.DUMMYFUNCTION("""COMPUTED_VALUE"""),"Adhesivo información general tirar 300x100 mm")</f>
        <v>Adhesivo información general tirar 300x100 mm</v>
      </c>
      <c r="C1018" s="4">
        <f>IFERROR(__xludf.DUMMYFUNCTION("""COMPUTED_VALUE"""),1.6)</f>
        <v>1.6</v>
      </c>
    </row>
    <row r="1019">
      <c r="A1019" s="4" t="str">
        <f>IFERROR(__xludf.DUMMYFUNCTION("""COMPUTED_VALUE"""),"0860C")</f>
        <v>0860C</v>
      </c>
      <c r="B1019" s="4" t="str">
        <f>IFERROR(__xludf.DUMMYFUNCTION("""COMPUTED_VALUE"""),"Cartel PVC información general tirar 300x100 mm")</f>
        <v>Cartel PVC información general tirar 300x100 mm</v>
      </c>
      <c r="C1019" s="4">
        <f>IFERROR(__xludf.DUMMYFUNCTION("""COMPUTED_VALUE"""),1.85)</f>
        <v>1.85</v>
      </c>
    </row>
    <row r="1020">
      <c r="A1020" s="4" t="str">
        <f>IFERROR(__xludf.DUMMYFUNCTION("""COMPUTED_VALUE"""),"861")</f>
        <v>861</v>
      </c>
      <c r="B1020" s="4" t="str">
        <f>IFERROR(__xludf.DUMMYFUNCTION("""COMPUTED_VALUE"""),"Cartel PVC 40x30 reciclado vidrio")</f>
        <v>Cartel PVC 40x30 reciclado vidrio</v>
      </c>
      <c r="C1020" s="4">
        <f>IFERROR(__xludf.DUMMYFUNCTION("""COMPUTED_VALUE"""),2.48)</f>
        <v>2.48</v>
      </c>
    </row>
    <row r="1021">
      <c r="A1021" s="4" t="str">
        <f>IFERROR(__xludf.DUMMYFUNCTION("""COMPUTED_VALUE"""),"0861A")</f>
        <v>0861A</v>
      </c>
      <c r="B1021" s="4" t="str">
        <f>IFERROR(__xludf.DUMMYFUNCTION("""COMPUTED_VALUE"""),"Adhesivo PVC 21x29 reciclado vidrio")</f>
        <v>Adhesivo PVC 21x29 reciclado vidrio</v>
      </c>
      <c r="C1021" s="4">
        <f>IFERROR(__xludf.DUMMYFUNCTION("""COMPUTED_VALUE"""),1.25)</f>
        <v>1.25</v>
      </c>
    </row>
    <row r="1022">
      <c r="A1022" s="4" t="str">
        <f>IFERROR(__xludf.DUMMYFUNCTION("""COMPUTED_VALUE"""),"0861P")</f>
        <v>0861P</v>
      </c>
      <c r="B1022" s="4" t="str">
        <f>IFERROR(__xludf.DUMMYFUNCTION("""COMPUTED_VALUE"""),"Cartel PVC 21x29 reciclado vidrio")</f>
        <v>Cartel PVC 21x29 reciclado vidrio</v>
      </c>
      <c r="C1022" s="4">
        <f>IFERROR(__xludf.DUMMYFUNCTION("""COMPUTED_VALUE"""),1.6)</f>
        <v>1.6</v>
      </c>
    </row>
    <row r="1023">
      <c r="A1023" s="4" t="str">
        <f>IFERROR(__xludf.DUMMYFUNCTION("""COMPUTED_VALUE"""),"862")</f>
        <v>862</v>
      </c>
      <c r="B1023" s="4" t="str">
        <f>IFERROR(__xludf.DUMMYFUNCTION("""COMPUTED_VALUE"""),"Cartel PVC 40x30 reciclado plástico")</f>
        <v>Cartel PVC 40x30 reciclado plástico</v>
      </c>
      <c r="C1023" s="4">
        <f>IFERROR(__xludf.DUMMYFUNCTION("""COMPUTED_VALUE"""),2.48)</f>
        <v>2.48</v>
      </c>
    </row>
    <row r="1024">
      <c r="A1024" s="4" t="str">
        <f>IFERROR(__xludf.DUMMYFUNCTION("""COMPUTED_VALUE"""),"0862A")</f>
        <v>0862A</v>
      </c>
      <c r="B1024" s="4" t="str">
        <f>IFERROR(__xludf.DUMMYFUNCTION("""COMPUTED_VALUE"""),"Adhesivo PVC 21x29 reciclado plástico")</f>
        <v>Adhesivo PVC 21x29 reciclado plástico</v>
      </c>
      <c r="C1024" s="4">
        <f>IFERROR(__xludf.DUMMYFUNCTION("""COMPUTED_VALUE"""),1.25)</f>
        <v>1.25</v>
      </c>
    </row>
    <row r="1025">
      <c r="A1025" s="4" t="str">
        <f>IFERROR(__xludf.DUMMYFUNCTION("""COMPUTED_VALUE"""),"0862P")</f>
        <v>0862P</v>
      </c>
      <c r="B1025" s="4" t="str">
        <f>IFERROR(__xludf.DUMMYFUNCTION("""COMPUTED_VALUE"""),"Cartel PVC 21x29 reciclado plástico")</f>
        <v>Cartel PVC 21x29 reciclado plástico</v>
      </c>
      <c r="C1025" s="4">
        <f>IFERROR(__xludf.DUMMYFUNCTION("""COMPUTED_VALUE"""),1.6)</f>
        <v>1.6</v>
      </c>
    </row>
    <row r="1026">
      <c r="A1026" s="4" t="str">
        <f>IFERROR(__xludf.DUMMYFUNCTION("""COMPUTED_VALUE"""),"863")</f>
        <v>863</v>
      </c>
      <c r="B1026" s="4" t="str">
        <f>IFERROR(__xludf.DUMMYFUNCTION("""COMPUTED_VALUE"""),"Cartel PVC 40x30 reciclado metal")</f>
        <v>Cartel PVC 40x30 reciclado metal</v>
      </c>
      <c r="C1026" s="4">
        <f>IFERROR(__xludf.DUMMYFUNCTION("""COMPUTED_VALUE"""),2.48)</f>
        <v>2.48</v>
      </c>
    </row>
    <row r="1027">
      <c r="A1027" s="4" t="str">
        <f>IFERROR(__xludf.DUMMYFUNCTION("""COMPUTED_VALUE"""),"0863A")</f>
        <v>0863A</v>
      </c>
      <c r="B1027" s="4" t="str">
        <f>IFERROR(__xludf.DUMMYFUNCTION("""COMPUTED_VALUE"""),"Adhesivo PVC 21x29 reciclado metal")</f>
        <v>Adhesivo PVC 21x29 reciclado metal</v>
      </c>
      <c r="C1027" s="4">
        <f>IFERROR(__xludf.DUMMYFUNCTION("""COMPUTED_VALUE"""),1.25)</f>
        <v>1.25</v>
      </c>
    </row>
    <row r="1028">
      <c r="A1028" s="4" t="str">
        <f>IFERROR(__xludf.DUMMYFUNCTION("""COMPUTED_VALUE"""),"0863P")</f>
        <v>0863P</v>
      </c>
      <c r="B1028" s="4" t="str">
        <f>IFERROR(__xludf.DUMMYFUNCTION("""COMPUTED_VALUE"""),"Cartel PVC 21x29 reciclado metal")</f>
        <v>Cartel PVC 21x29 reciclado metal</v>
      </c>
      <c r="C1028" s="4">
        <f>IFERROR(__xludf.DUMMYFUNCTION("""COMPUTED_VALUE"""),1.6)</f>
        <v>1.6</v>
      </c>
    </row>
    <row r="1029">
      <c r="A1029" s="4" t="str">
        <f>IFERROR(__xludf.DUMMYFUNCTION("""COMPUTED_VALUE"""),"864")</f>
        <v>864</v>
      </c>
      <c r="B1029" s="4" t="str">
        <f>IFERROR(__xludf.DUMMYFUNCTION("""COMPUTED_VALUE"""),"Cartel PVC 40x30 reciclado madera")</f>
        <v>Cartel PVC 40x30 reciclado madera</v>
      </c>
      <c r="C1029" s="4">
        <f>IFERROR(__xludf.DUMMYFUNCTION("""COMPUTED_VALUE"""),2.48)</f>
        <v>2.48</v>
      </c>
    </row>
    <row r="1030">
      <c r="A1030" s="4" t="str">
        <f>IFERROR(__xludf.DUMMYFUNCTION("""COMPUTED_VALUE"""),"0864A")</f>
        <v>0864A</v>
      </c>
      <c r="B1030" s="4" t="str">
        <f>IFERROR(__xludf.DUMMYFUNCTION("""COMPUTED_VALUE"""),"Adhesivo PVC 21x29 reciclado madera")</f>
        <v>Adhesivo PVC 21x29 reciclado madera</v>
      </c>
      <c r="C1030" s="4">
        <f>IFERROR(__xludf.DUMMYFUNCTION("""COMPUTED_VALUE"""),1.25)</f>
        <v>1.25</v>
      </c>
    </row>
    <row r="1031">
      <c r="A1031" s="4" t="str">
        <f>IFERROR(__xludf.DUMMYFUNCTION("""COMPUTED_VALUE"""),"0864P")</f>
        <v>0864P</v>
      </c>
      <c r="B1031" s="4" t="str">
        <f>IFERROR(__xludf.DUMMYFUNCTION("""COMPUTED_VALUE"""),"Cartel PVC 21x29 reciclado madera")</f>
        <v>Cartel PVC 21x29 reciclado madera</v>
      </c>
      <c r="C1031" s="4">
        <f>IFERROR(__xludf.DUMMYFUNCTION("""COMPUTED_VALUE"""),1.6)</f>
        <v>1.6</v>
      </c>
    </row>
    <row r="1032">
      <c r="A1032" s="4" t="str">
        <f>IFERROR(__xludf.DUMMYFUNCTION("""COMPUTED_VALUE"""),"865")</f>
        <v>865</v>
      </c>
      <c r="B1032" s="4" t="str">
        <f>IFERROR(__xludf.DUMMYFUNCTION("""COMPUTED_VALUE"""),"Cartel PVC 40x30 reciclado aluminio")</f>
        <v>Cartel PVC 40x30 reciclado aluminio</v>
      </c>
      <c r="C1032" s="4">
        <f>IFERROR(__xludf.DUMMYFUNCTION("""COMPUTED_VALUE"""),2.48)</f>
        <v>2.48</v>
      </c>
    </row>
    <row r="1033">
      <c r="A1033" s="4" t="str">
        <f>IFERROR(__xludf.DUMMYFUNCTION("""COMPUTED_VALUE"""),"0865A")</f>
        <v>0865A</v>
      </c>
      <c r="B1033" s="4" t="str">
        <f>IFERROR(__xludf.DUMMYFUNCTION("""COMPUTED_VALUE"""),"Adhesivo PVC 21x29 reciclado aluminio")</f>
        <v>Adhesivo PVC 21x29 reciclado aluminio</v>
      </c>
      <c r="C1033" s="4">
        <f>IFERROR(__xludf.DUMMYFUNCTION("""COMPUTED_VALUE"""),1.25)</f>
        <v>1.25</v>
      </c>
    </row>
    <row r="1034">
      <c r="A1034" s="4" t="str">
        <f>IFERROR(__xludf.DUMMYFUNCTION("""COMPUTED_VALUE"""),"0865P")</f>
        <v>0865P</v>
      </c>
      <c r="B1034" s="4" t="str">
        <f>IFERROR(__xludf.DUMMYFUNCTION("""COMPUTED_VALUE"""),"Cartel PVC 21x29 reciclado aluminio")</f>
        <v>Cartel PVC 21x29 reciclado aluminio</v>
      </c>
      <c r="C1034" s="4">
        <f>IFERROR(__xludf.DUMMYFUNCTION("""COMPUTED_VALUE"""),1.6)</f>
        <v>1.6</v>
      </c>
    </row>
    <row r="1035">
      <c r="A1035" s="4" t="str">
        <f>IFERROR(__xludf.DUMMYFUNCTION("""COMPUTED_VALUE"""),"866")</f>
        <v>866</v>
      </c>
      <c r="B1035" s="4" t="str">
        <f>IFERROR(__xludf.DUMMYFUNCTION("""COMPUTED_VALUE"""),"Cartel PVC 40x30 reciclado papel")</f>
        <v>Cartel PVC 40x30 reciclado papel</v>
      </c>
      <c r="C1035" s="4">
        <f>IFERROR(__xludf.DUMMYFUNCTION("""COMPUTED_VALUE"""),2.48)</f>
        <v>2.48</v>
      </c>
    </row>
    <row r="1036">
      <c r="A1036" s="4" t="str">
        <f>IFERROR(__xludf.DUMMYFUNCTION("""COMPUTED_VALUE"""),"0866A")</f>
        <v>0866A</v>
      </c>
      <c r="B1036" s="4" t="str">
        <f>IFERROR(__xludf.DUMMYFUNCTION("""COMPUTED_VALUE"""),"Adhesivo PVC 21x29 reciclado papel")</f>
        <v>Adhesivo PVC 21x29 reciclado papel</v>
      </c>
      <c r="C1036" s="4">
        <f>IFERROR(__xludf.DUMMYFUNCTION("""COMPUTED_VALUE"""),1.25)</f>
        <v>1.25</v>
      </c>
    </row>
    <row r="1037">
      <c r="A1037" s="4" t="str">
        <f>IFERROR(__xludf.DUMMYFUNCTION("""COMPUTED_VALUE"""),"0866P")</f>
        <v>0866P</v>
      </c>
      <c r="B1037" s="4" t="str">
        <f>IFERROR(__xludf.DUMMYFUNCTION("""COMPUTED_VALUE"""),"Cartel PVC 21x29 reciclado papel")</f>
        <v>Cartel PVC 21x29 reciclado papel</v>
      </c>
      <c r="C1037" s="4">
        <f>IFERROR(__xludf.DUMMYFUNCTION("""COMPUTED_VALUE"""),1.6)</f>
        <v>1.6</v>
      </c>
    </row>
    <row r="1038">
      <c r="A1038" s="4" t="str">
        <f>IFERROR(__xludf.DUMMYFUNCTION("""COMPUTED_VALUE"""),"867")</f>
        <v>867</v>
      </c>
      <c r="B1038" s="4" t="str">
        <f>IFERROR(__xludf.DUMMYFUNCTION("""COMPUTED_VALUE"""),"Cartel PVC 40x30 reciclado envases")</f>
        <v>Cartel PVC 40x30 reciclado envases</v>
      </c>
      <c r="C1038" s="4">
        <f>IFERROR(__xludf.DUMMYFUNCTION("""COMPUTED_VALUE"""),2.48)</f>
        <v>2.48</v>
      </c>
    </row>
    <row r="1039">
      <c r="A1039" s="4" t="str">
        <f>IFERROR(__xludf.DUMMYFUNCTION("""COMPUTED_VALUE"""),"0867A")</f>
        <v>0867A</v>
      </c>
      <c r="B1039" s="4" t="str">
        <f>IFERROR(__xludf.DUMMYFUNCTION("""COMPUTED_VALUE"""),"Adhesivo PVC 21x29 reciclado envases")</f>
        <v>Adhesivo PVC 21x29 reciclado envases</v>
      </c>
      <c r="C1039" s="4">
        <f>IFERROR(__xludf.DUMMYFUNCTION("""COMPUTED_VALUE"""),1.25)</f>
        <v>1.25</v>
      </c>
    </row>
    <row r="1040">
      <c r="A1040" s="4" t="str">
        <f>IFERROR(__xludf.DUMMYFUNCTION("""COMPUTED_VALUE"""),"0867P")</f>
        <v>0867P</v>
      </c>
      <c r="B1040" s="4" t="str">
        <f>IFERROR(__xludf.DUMMYFUNCTION("""COMPUTED_VALUE"""),"Cartel PVC 21x29 reciclado envases")</f>
        <v>Cartel PVC 21x29 reciclado envases</v>
      </c>
      <c r="C1040" s="4">
        <f>IFERROR(__xludf.DUMMYFUNCTION("""COMPUTED_VALUE"""),1.6)</f>
        <v>1.6</v>
      </c>
    </row>
    <row r="1041">
      <c r="A1041" s="4" t="str">
        <f>IFERROR(__xludf.DUMMYFUNCTION("""COMPUTED_VALUE"""),"868")</f>
        <v>868</v>
      </c>
      <c r="B1041" s="4" t="str">
        <f>IFERROR(__xludf.DUMMYFUNCTION("""COMPUTED_VALUE"""),"Cartel PVC 40x30 reciclado latas")</f>
        <v>Cartel PVC 40x30 reciclado latas</v>
      </c>
      <c r="C1041" s="4">
        <f>IFERROR(__xludf.DUMMYFUNCTION("""COMPUTED_VALUE"""),2.48)</f>
        <v>2.48</v>
      </c>
    </row>
    <row r="1042">
      <c r="A1042" s="4" t="str">
        <f>IFERROR(__xludf.DUMMYFUNCTION("""COMPUTED_VALUE"""),"0868A")</f>
        <v>0868A</v>
      </c>
      <c r="B1042" s="4" t="str">
        <f>IFERROR(__xludf.DUMMYFUNCTION("""COMPUTED_VALUE"""),"Adhesivo PVC 21x29 reciclado latas")</f>
        <v>Adhesivo PVC 21x29 reciclado latas</v>
      </c>
      <c r="C1042" s="4">
        <f>IFERROR(__xludf.DUMMYFUNCTION("""COMPUTED_VALUE"""),1.25)</f>
        <v>1.25</v>
      </c>
    </row>
    <row r="1043">
      <c r="A1043" s="4" t="str">
        <f>IFERROR(__xludf.DUMMYFUNCTION("""COMPUTED_VALUE"""),"0868P")</f>
        <v>0868P</v>
      </c>
      <c r="B1043" s="4" t="str">
        <f>IFERROR(__xludf.DUMMYFUNCTION("""COMPUTED_VALUE"""),"Cartel PVC 21x29 reciclado latas")</f>
        <v>Cartel PVC 21x29 reciclado latas</v>
      </c>
      <c r="C1043" s="4">
        <f>IFERROR(__xludf.DUMMYFUNCTION("""COMPUTED_VALUE"""),1.6)</f>
        <v>1.6</v>
      </c>
    </row>
    <row r="1044">
      <c r="A1044" s="4" t="str">
        <f>IFERROR(__xludf.DUMMYFUNCTION("""COMPUTED_VALUE"""),"869")</f>
        <v>869</v>
      </c>
      <c r="B1044" s="4" t="str">
        <f>IFERROR(__xludf.DUMMYFUNCTION("""COMPUTED_VALUE"""),"Cartel PVC 40x30 reciclado chatarra")</f>
        <v>Cartel PVC 40x30 reciclado chatarra</v>
      </c>
      <c r="C1044" s="4">
        <f>IFERROR(__xludf.DUMMYFUNCTION("""COMPUTED_VALUE"""),2.48)</f>
        <v>2.48</v>
      </c>
    </row>
    <row r="1045">
      <c r="A1045" s="4" t="str">
        <f>IFERROR(__xludf.DUMMYFUNCTION("""COMPUTED_VALUE"""),"0869A")</f>
        <v>0869A</v>
      </c>
      <c r="B1045" s="4" t="str">
        <f>IFERROR(__xludf.DUMMYFUNCTION("""COMPUTED_VALUE"""),"Adhesivo PVC 21x29 reciclado chatarra")</f>
        <v>Adhesivo PVC 21x29 reciclado chatarra</v>
      </c>
      <c r="C1045" s="4">
        <f>IFERROR(__xludf.DUMMYFUNCTION("""COMPUTED_VALUE"""),1.25)</f>
        <v>1.25</v>
      </c>
    </row>
    <row r="1046">
      <c r="A1046" s="4" t="str">
        <f>IFERROR(__xludf.DUMMYFUNCTION("""COMPUTED_VALUE"""),"0869P")</f>
        <v>0869P</v>
      </c>
      <c r="B1046" s="4" t="str">
        <f>IFERROR(__xludf.DUMMYFUNCTION("""COMPUTED_VALUE"""),"Cartel PVC 21x29 reciclado chatarra")</f>
        <v>Cartel PVC 21x29 reciclado chatarra</v>
      </c>
      <c r="C1046" s="4">
        <f>IFERROR(__xludf.DUMMYFUNCTION("""COMPUTED_VALUE"""),1.6)</f>
        <v>1.6</v>
      </c>
    </row>
    <row r="1047">
      <c r="A1047" s="4" t="str">
        <f>IFERROR(__xludf.DUMMYFUNCTION("""COMPUTED_VALUE"""),"870")</f>
        <v>870</v>
      </c>
      <c r="B1047" s="4" t="str">
        <f>IFERROR(__xludf.DUMMYFUNCTION("""COMPUTED_VALUE"""),"Cartel PVC 40x30 reciclado basura")</f>
        <v>Cartel PVC 40x30 reciclado basura</v>
      </c>
      <c r="C1047" s="4">
        <f>IFERROR(__xludf.DUMMYFUNCTION("""COMPUTED_VALUE"""),2.48)</f>
        <v>2.48</v>
      </c>
    </row>
    <row r="1048">
      <c r="A1048" s="4" t="str">
        <f>IFERROR(__xludf.DUMMYFUNCTION("""COMPUTED_VALUE"""),"0870A")</f>
        <v>0870A</v>
      </c>
      <c r="B1048" s="4" t="str">
        <f>IFERROR(__xludf.DUMMYFUNCTION("""COMPUTED_VALUE"""),"Adhesivo PVC 21x29 reciclado basura")</f>
        <v>Adhesivo PVC 21x29 reciclado basura</v>
      </c>
      <c r="C1048" s="4">
        <f>IFERROR(__xludf.DUMMYFUNCTION("""COMPUTED_VALUE"""),1.25)</f>
        <v>1.25</v>
      </c>
    </row>
    <row r="1049">
      <c r="A1049" s="4" t="str">
        <f>IFERROR(__xludf.DUMMYFUNCTION("""COMPUTED_VALUE"""),"0870P")</f>
        <v>0870P</v>
      </c>
      <c r="B1049" s="4" t="str">
        <f>IFERROR(__xludf.DUMMYFUNCTION("""COMPUTED_VALUE"""),"Cartel PVC 21x29 reciclado basura")</f>
        <v>Cartel PVC 21x29 reciclado basura</v>
      </c>
      <c r="C1049" s="4">
        <f>IFERROR(__xludf.DUMMYFUNCTION("""COMPUTED_VALUE"""),1.6)</f>
        <v>1.6</v>
      </c>
    </row>
    <row r="1050">
      <c r="A1050" s="4" t="str">
        <f>IFERROR(__xludf.DUMMYFUNCTION("""COMPUTED_VALUE"""),"871")</f>
        <v>871</v>
      </c>
      <c r="B1050" s="4" t="str">
        <f>IFERROR(__xludf.DUMMYFUNCTION("""COMPUTED_VALUE"""),"Cartel PVC 40x30 cm zona controlada, riesgo de irradiación")</f>
        <v>Cartel PVC 40x30 cm zona controlada, riesgo de irradiación</v>
      </c>
      <c r="C1050" s="4">
        <f>IFERROR(__xludf.DUMMYFUNCTION("""COMPUTED_VALUE"""),2.48)</f>
        <v>2.48</v>
      </c>
    </row>
    <row r="1051">
      <c r="A1051" s="4" t="str">
        <f>IFERROR(__xludf.DUMMYFUNCTION("""COMPUTED_VALUE"""),"0871A")</f>
        <v>0871A</v>
      </c>
      <c r="B1051" s="4" t="str">
        <f>IFERROR(__xludf.DUMMYFUNCTION("""COMPUTED_VALUE"""),"Adhesivo PVC 21x29 cm zona controlada, riesgo de irradiación")</f>
        <v>Adhesivo PVC 21x29 cm zona controlada, riesgo de irradiación</v>
      </c>
      <c r="C1051" s="4">
        <f>IFERROR(__xludf.DUMMYFUNCTION("""COMPUTED_VALUE"""),1.25)</f>
        <v>1.25</v>
      </c>
    </row>
    <row r="1052">
      <c r="A1052" s="4" t="str">
        <f>IFERROR(__xludf.DUMMYFUNCTION("""COMPUTED_VALUE"""),"0871P")</f>
        <v>0871P</v>
      </c>
      <c r="B1052" s="4" t="str">
        <f>IFERROR(__xludf.DUMMYFUNCTION("""COMPUTED_VALUE"""),"Cartel PVC 21x29 cm zona controlada, riesgo de irradiación")</f>
        <v>Cartel PVC 21x29 cm zona controlada, riesgo de irradiación</v>
      </c>
      <c r="C1052" s="4">
        <f>IFERROR(__xludf.DUMMYFUNCTION("""COMPUTED_VALUE"""),1.6)</f>
        <v>1.6</v>
      </c>
    </row>
    <row r="1053">
      <c r="A1053" s="4" t="str">
        <f>IFERROR(__xludf.DUMMYFUNCTION("""COMPUTED_VALUE"""),"872")</f>
        <v>872</v>
      </c>
      <c r="B1053" s="4" t="str">
        <f>IFERROR(__xludf.DUMMYFUNCTION("""COMPUTED_VALUE"""),"Cartel PVC 40x30 cm zona controlada, riesgo de")</f>
        <v>Cartel PVC 40x30 cm zona controlada, riesgo de</v>
      </c>
      <c r="C1053" s="4">
        <f>IFERROR(__xludf.DUMMYFUNCTION("""COMPUTED_VALUE"""),2.48)</f>
        <v>2.48</v>
      </c>
    </row>
    <row r="1054">
      <c r="A1054" s="4" t="str">
        <f>IFERROR(__xludf.DUMMYFUNCTION("""COMPUTED_VALUE"""),"0872A")</f>
        <v>0872A</v>
      </c>
      <c r="B1054" s="4" t="str">
        <f>IFERROR(__xludf.DUMMYFUNCTION("""COMPUTED_VALUE"""),"Adhesivo PVC 21x29 cm zona controlada, riesgo de")</f>
        <v>Adhesivo PVC 21x29 cm zona controlada, riesgo de</v>
      </c>
      <c r="C1054" s="4">
        <f>IFERROR(__xludf.DUMMYFUNCTION("""COMPUTED_VALUE"""),1.25)</f>
        <v>1.25</v>
      </c>
    </row>
    <row r="1055">
      <c r="A1055" s="4" t="str">
        <f>IFERROR(__xludf.DUMMYFUNCTION("""COMPUTED_VALUE"""),"0872P")</f>
        <v>0872P</v>
      </c>
      <c r="B1055" s="4" t="str">
        <f>IFERROR(__xludf.DUMMYFUNCTION("""COMPUTED_VALUE"""),"Cartel PVC 21x29 cm zona controlada, riesgo de")</f>
        <v>Cartel PVC 21x29 cm zona controlada, riesgo de</v>
      </c>
      <c r="C1055" s="4">
        <f>IFERROR(__xludf.DUMMYFUNCTION("""COMPUTED_VALUE"""),1.6)</f>
        <v>1.6</v>
      </c>
    </row>
    <row r="1056">
      <c r="A1056" s="4" t="str">
        <f>IFERROR(__xludf.DUMMYFUNCTION("""COMPUTED_VALUE"""),"873")</f>
        <v>873</v>
      </c>
      <c r="B1056" s="4" t="str">
        <f>IFERROR(__xludf.DUMMYFUNCTION("""COMPUTED_VALUE"""),"Cartel PVC 40x30 cm zona controlada, riesgo de cont. e irrad.")</f>
        <v>Cartel PVC 40x30 cm zona controlada, riesgo de cont. e irrad.</v>
      </c>
      <c r="C1056" s="4">
        <f>IFERROR(__xludf.DUMMYFUNCTION("""COMPUTED_VALUE"""),2.48)</f>
        <v>2.48</v>
      </c>
    </row>
    <row r="1057">
      <c r="A1057" s="4" t="str">
        <f>IFERROR(__xludf.DUMMYFUNCTION("""COMPUTED_VALUE"""),"0873A")</f>
        <v>0873A</v>
      </c>
      <c r="B1057" s="4" t="str">
        <f>IFERROR(__xludf.DUMMYFUNCTION("""COMPUTED_VALUE"""),"Adhesivo PVC 21x29 cm zona controlada, riesgo de cont. e")</f>
        <v>Adhesivo PVC 21x29 cm zona controlada, riesgo de cont. e</v>
      </c>
      <c r="C1057" s="4">
        <f>IFERROR(__xludf.DUMMYFUNCTION("""COMPUTED_VALUE"""),1.25)</f>
        <v>1.25</v>
      </c>
    </row>
    <row r="1058">
      <c r="A1058" s="4" t="str">
        <f>IFERROR(__xludf.DUMMYFUNCTION("""COMPUTED_VALUE"""),"0873P")</f>
        <v>0873P</v>
      </c>
      <c r="B1058" s="4" t="str">
        <f>IFERROR(__xludf.DUMMYFUNCTION("""COMPUTED_VALUE"""),"zona controlada, riesgo de cont. e irrad.")</f>
        <v>zona controlada, riesgo de cont. e irrad.</v>
      </c>
      <c r="C1058" s="4">
        <f>IFERROR(__xludf.DUMMYFUNCTION("""COMPUTED_VALUE"""),1.25)</f>
        <v>1.25</v>
      </c>
    </row>
    <row r="1059">
      <c r="A1059" s="4" t="str">
        <f>IFERROR(__xludf.DUMMYFUNCTION("""COMPUTED_VALUE"""),"874")</f>
        <v>874</v>
      </c>
      <c r="B1059" s="4" t="str">
        <f>IFERROR(__xludf.DUMMYFUNCTION("""COMPUTED_VALUE"""),"Cartel PVC 40x30 cm zona perm. limitada, riesgo de")</f>
        <v>Cartel PVC 40x30 cm zona perm. limitada, riesgo de</v>
      </c>
      <c r="C1059" s="4">
        <f>IFERROR(__xludf.DUMMYFUNCTION("""COMPUTED_VALUE"""),2.48)</f>
        <v>2.48</v>
      </c>
    </row>
    <row r="1060">
      <c r="A1060" s="4" t="str">
        <f>IFERROR(__xludf.DUMMYFUNCTION("""COMPUTED_VALUE"""),"0874A")</f>
        <v>0874A</v>
      </c>
      <c r="B1060" s="4" t="str">
        <f>IFERROR(__xludf.DUMMYFUNCTION("""COMPUTED_VALUE"""),"Adhesivo PVC 21x29 cm zona zona perm. limitada, riesgo de")</f>
        <v>Adhesivo PVC 21x29 cm zona zona perm. limitada, riesgo de</v>
      </c>
      <c r="C1060" s="4">
        <f>IFERROR(__xludf.DUMMYFUNCTION("""COMPUTED_VALUE"""),1.25)</f>
        <v>1.25</v>
      </c>
    </row>
    <row r="1061">
      <c r="A1061" s="4" t="str">
        <f>IFERROR(__xludf.DUMMYFUNCTION("""COMPUTED_VALUE"""),"0874P")</f>
        <v>0874P</v>
      </c>
      <c r="B1061" s="4" t="str">
        <f>IFERROR(__xludf.DUMMYFUNCTION("""COMPUTED_VALUE"""),"Cartel PVC 21x29 cm zona perm. limitada, riesgo de")</f>
        <v>Cartel PVC 21x29 cm zona perm. limitada, riesgo de</v>
      </c>
      <c r="C1061" s="4">
        <f>IFERROR(__xludf.DUMMYFUNCTION("""COMPUTED_VALUE"""),1.6)</f>
        <v>1.6</v>
      </c>
    </row>
    <row r="1062">
      <c r="A1062" s="4" t="str">
        <f>IFERROR(__xludf.DUMMYFUNCTION("""COMPUTED_VALUE"""),"875")</f>
        <v>875</v>
      </c>
      <c r="B1062" s="4" t="str">
        <f>IFERROR(__xludf.DUMMYFUNCTION("""COMPUTED_VALUE"""),"Cartel PVC 40x30 cm zona perm. limitada, riesgo de")</f>
        <v>Cartel PVC 40x30 cm zona perm. limitada, riesgo de</v>
      </c>
      <c r="C1062" s="4">
        <f>IFERROR(__xludf.DUMMYFUNCTION("""COMPUTED_VALUE"""),2.48)</f>
        <v>2.48</v>
      </c>
    </row>
    <row r="1063">
      <c r="A1063" s="4" t="str">
        <f>IFERROR(__xludf.DUMMYFUNCTION("""COMPUTED_VALUE"""),"0875A")</f>
        <v>0875A</v>
      </c>
      <c r="B1063" s="4" t="str">
        <f>IFERROR(__xludf.DUMMYFUNCTION("""COMPUTED_VALUE"""),"Adhesivo PVC 21x29 cm zona zona perm. limitada, riesgo de")</f>
        <v>Adhesivo PVC 21x29 cm zona zona perm. limitada, riesgo de</v>
      </c>
      <c r="C1063" s="4">
        <f>IFERROR(__xludf.DUMMYFUNCTION("""COMPUTED_VALUE"""),1.25)</f>
        <v>1.25</v>
      </c>
    </row>
    <row r="1064">
      <c r="A1064" s="4" t="str">
        <f>IFERROR(__xludf.DUMMYFUNCTION("""COMPUTED_VALUE"""),"0875P")</f>
        <v>0875P</v>
      </c>
      <c r="B1064" s="4" t="str">
        <f>IFERROR(__xludf.DUMMYFUNCTION("""COMPUTED_VALUE"""),"Cartel PVC 21x29 cm zona perm. limitada, riesgo de")</f>
        <v>Cartel PVC 21x29 cm zona perm. limitada, riesgo de</v>
      </c>
      <c r="C1064" s="4">
        <f>IFERROR(__xludf.DUMMYFUNCTION("""COMPUTED_VALUE"""),1.6)</f>
        <v>1.6</v>
      </c>
    </row>
    <row r="1065">
      <c r="A1065" s="4" t="str">
        <f>IFERROR(__xludf.DUMMYFUNCTION("""COMPUTED_VALUE"""),"876")</f>
        <v>876</v>
      </c>
      <c r="B1065" s="4" t="str">
        <f>IFERROR(__xludf.DUMMYFUNCTION("""COMPUTED_VALUE"""),"Cartel PVC 40x30 cm zona perm. limitada, riesgo de cont. e")</f>
        <v>Cartel PVC 40x30 cm zona perm. limitada, riesgo de cont. e</v>
      </c>
      <c r="C1065" s="4">
        <f>IFERROR(__xludf.DUMMYFUNCTION("""COMPUTED_VALUE"""),2.48)</f>
        <v>2.48</v>
      </c>
    </row>
    <row r="1066">
      <c r="A1066" s="4" t="str">
        <f>IFERROR(__xludf.DUMMYFUNCTION("""COMPUTED_VALUE"""),"0876A")</f>
        <v>0876A</v>
      </c>
      <c r="B1066" s="4" t="str">
        <f>IFERROR(__xludf.DUMMYFUNCTION("""COMPUTED_VALUE"""),"Adhesivo PVC 21x29 cm zona zona perm. limitada, riesgo cont.")</f>
        <v>Adhesivo PVC 21x29 cm zona zona perm. limitada, riesgo cont.</v>
      </c>
      <c r="C1066" s="4">
        <f>IFERROR(__xludf.DUMMYFUNCTION("""COMPUTED_VALUE"""),1.25)</f>
        <v>1.25</v>
      </c>
    </row>
    <row r="1067">
      <c r="A1067" s="4" t="str">
        <f>IFERROR(__xludf.DUMMYFUNCTION("""COMPUTED_VALUE"""),"0876P")</f>
        <v>0876P</v>
      </c>
      <c r="B1067" s="4" t="str">
        <f>IFERROR(__xludf.DUMMYFUNCTION("""COMPUTED_VALUE"""),"Cartel PVC 21x29 cm zona perm. limitada, riesgo de cont. e")</f>
        <v>Cartel PVC 21x29 cm zona perm. limitada, riesgo de cont. e</v>
      </c>
      <c r="C1067" s="4">
        <f>IFERROR(__xludf.DUMMYFUNCTION("""COMPUTED_VALUE"""),1.6)</f>
        <v>1.6</v>
      </c>
    </row>
    <row r="1068">
      <c r="A1068" s="4" t="str">
        <f>IFERROR(__xludf.DUMMYFUNCTION("""COMPUTED_VALUE"""),"877")</f>
        <v>877</v>
      </c>
      <c r="B1068" s="4" t="str">
        <f>IFERROR(__xludf.DUMMYFUNCTION("""COMPUTED_VALUE"""),"Cartel PVC 40x30 cm zona acceso prohibido, riesgo de")</f>
        <v>Cartel PVC 40x30 cm zona acceso prohibido, riesgo de</v>
      </c>
      <c r="C1068" s="4">
        <f>IFERROR(__xludf.DUMMYFUNCTION("""COMPUTED_VALUE"""),2.48)</f>
        <v>2.48</v>
      </c>
    </row>
    <row r="1069">
      <c r="A1069" s="4" t="str">
        <f>IFERROR(__xludf.DUMMYFUNCTION("""COMPUTED_VALUE"""),"0877A")</f>
        <v>0877A</v>
      </c>
      <c r="B1069" s="4" t="str">
        <f>IFERROR(__xludf.DUMMYFUNCTION("""COMPUTED_VALUE"""),"Adhesivo PVC 21x29 cm zona acceso prohibido, riesgo de")</f>
        <v>Adhesivo PVC 21x29 cm zona acceso prohibido, riesgo de</v>
      </c>
      <c r="C1069" s="4">
        <f>IFERROR(__xludf.DUMMYFUNCTION("""COMPUTED_VALUE"""),1.25)</f>
        <v>1.25</v>
      </c>
    </row>
    <row r="1070">
      <c r="A1070" s="4" t="str">
        <f>IFERROR(__xludf.DUMMYFUNCTION("""COMPUTED_VALUE"""),"0877P")</f>
        <v>0877P</v>
      </c>
      <c r="B1070" s="4" t="str">
        <f>IFERROR(__xludf.DUMMYFUNCTION("""COMPUTED_VALUE"""),"Cartel PVC 21x29 cm zona acceso prohibido, riesgo de")</f>
        <v>Cartel PVC 21x29 cm zona acceso prohibido, riesgo de</v>
      </c>
      <c r="C1070" s="4">
        <f>IFERROR(__xludf.DUMMYFUNCTION("""COMPUTED_VALUE"""),1.6)</f>
        <v>1.6</v>
      </c>
    </row>
    <row r="1071">
      <c r="A1071" s="4" t="str">
        <f>IFERROR(__xludf.DUMMYFUNCTION("""COMPUTED_VALUE"""),"878")</f>
        <v>878</v>
      </c>
      <c r="B1071" s="4" t="str">
        <f>IFERROR(__xludf.DUMMYFUNCTION("""COMPUTED_VALUE"""),"Cartel PVC 40x30 cm zona acceso prohibido, riesgo de")</f>
        <v>Cartel PVC 40x30 cm zona acceso prohibido, riesgo de</v>
      </c>
      <c r="C1071" s="4">
        <f>IFERROR(__xludf.DUMMYFUNCTION("""COMPUTED_VALUE"""),2.48)</f>
        <v>2.48</v>
      </c>
    </row>
    <row r="1072">
      <c r="A1072" s="4" t="str">
        <f>IFERROR(__xludf.DUMMYFUNCTION("""COMPUTED_VALUE"""),"0878A")</f>
        <v>0878A</v>
      </c>
      <c r="B1072" s="4" t="str">
        <f>IFERROR(__xludf.DUMMYFUNCTION("""COMPUTED_VALUE"""),"Adhesivo PVC 21x29 cm zona acceso prohibido, riesgo de")</f>
        <v>Adhesivo PVC 21x29 cm zona acceso prohibido, riesgo de</v>
      </c>
      <c r="C1072" s="4">
        <f>IFERROR(__xludf.DUMMYFUNCTION("""COMPUTED_VALUE"""),1.25)</f>
        <v>1.25</v>
      </c>
    </row>
    <row r="1073">
      <c r="A1073" s="4" t="str">
        <f>IFERROR(__xludf.DUMMYFUNCTION("""COMPUTED_VALUE"""),"0878P")</f>
        <v>0878P</v>
      </c>
      <c r="B1073" s="4" t="str">
        <f>IFERROR(__xludf.DUMMYFUNCTION("""COMPUTED_VALUE"""),"Cartel PVC 21x29 cm zona acceso prohibido, riesgo de")</f>
        <v>Cartel PVC 21x29 cm zona acceso prohibido, riesgo de</v>
      </c>
      <c r="C1073" s="4">
        <f>IFERROR(__xludf.DUMMYFUNCTION("""COMPUTED_VALUE"""),1.6)</f>
        <v>1.6</v>
      </c>
    </row>
    <row r="1074">
      <c r="A1074" s="4" t="str">
        <f>IFERROR(__xludf.DUMMYFUNCTION("""COMPUTED_VALUE"""),"879")</f>
        <v>879</v>
      </c>
      <c r="B1074" s="4" t="str">
        <f>IFERROR(__xludf.DUMMYFUNCTION("""COMPUTED_VALUE"""),"Cartel PVC 40x30 cm zona acceso prohibido, riesgo de cont. e")</f>
        <v>Cartel PVC 40x30 cm zona acceso prohibido, riesgo de cont. e</v>
      </c>
      <c r="C1074" s="4">
        <f>IFERROR(__xludf.DUMMYFUNCTION("""COMPUTED_VALUE"""),2.48)</f>
        <v>2.48</v>
      </c>
    </row>
    <row r="1075">
      <c r="A1075" s="4" t="str">
        <f>IFERROR(__xludf.DUMMYFUNCTION("""COMPUTED_VALUE"""),"0879A")</f>
        <v>0879A</v>
      </c>
      <c r="B1075" s="4" t="str">
        <f>IFERROR(__xludf.DUMMYFUNCTION("""COMPUTED_VALUE"""),"Adhesivo PVC 21x29 cm zona acceso prohibido, riesgo de")</f>
        <v>Adhesivo PVC 21x29 cm zona acceso prohibido, riesgo de</v>
      </c>
      <c r="C1075" s="4">
        <f>IFERROR(__xludf.DUMMYFUNCTION("""COMPUTED_VALUE"""),1.25)</f>
        <v>1.25</v>
      </c>
    </row>
    <row r="1076">
      <c r="A1076" s="4" t="str">
        <f>IFERROR(__xludf.DUMMYFUNCTION("""COMPUTED_VALUE"""),"0879P")</f>
        <v>0879P</v>
      </c>
      <c r="B1076" s="4" t="str">
        <f>IFERROR(__xludf.DUMMYFUNCTION("""COMPUTED_VALUE"""),"Cartel PVC 21x29 cm zona acceso prohibido, riesgo de cont. e")</f>
        <v>Cartel PVC 21x29 cm zona acceso prohibido, riesgo de cont. e</v>
      </c>
      <c r="C1076" s="4">
        <f>IFERROR(__xludf.DUMMYFUNCTION("""COMPUTED_VALUE"""),1.6)</f>
        <v>1.6</v>
      </c>
    </row>
    <row r="1077">
      <c r="A1077" s="4" t="str">
        <f>IFERROR(__xludf.DUMMYFUNCTION("""COMPUTED_VALUE"""),"880")</f>
        <v>880</v>
      </c>
      <c r="B1077" s="4" t="str">
        <f>IFERROR(__xludf.DUMMYFUNCTION("""COMPUTED_VALUE"""),"Cartel PVC 40x30 cm zona vigilada, riesgo de irradiación")</f>
        <v>Cartel PVC 40x30 cm zona vigilada, riesgo de irradiación</v>
      </c>
      <c r="C1077" s="4">
        <f>IFERROR(__xludf.DUMMYFUNCTION("""COMPUTED_VALUE"""),2.48)</f>
        <v>2.48</v>
      </c>
    </row>
    <row r="1078">
      <c r="A1078" s="4" t="str">
        <f>IFERROR(__xludf.DUMMYFUNCTION("""COMPUTED_VALUE"""),"0880A")</f>
        <v>0880A</v>
      </c>
      <c r="B1078" s="4" t="str">
        <f>IFERROR(__xludf.DUMMYFUNCTION("""COMPUTED_VALUE"""),"Adhesivo PVC 21x29 cm zona vigilada, riesgo de irradiación")</f>
        <v>Adhesivo PVC 21x29 cm zona vigilada, riesgo de irradiación</v>
      </c>
      <c r="C1078" s="4">
        <f>IFERROR(__xludf.DUMMYFUNCTION("""COMPUTED_VALUE"""),1.25)</f>
        <v>1.25</v>
      </c>
    </row>
    <row r="1079">
      <c r="A1079" s="4" t="str">
        <f>IFERROR(__xludf.DUMMYFUNCTION("""COMPUTED_VALUE"""),"0880P")</f>
        <v>0880P</v>
      </c>
      <c r="B1079" s="4" t="str">
        <f>IFERROR(__xludf.DUMMYFUNCTION("""COMPUTED_VALUE"""),"Cartel PVC 21x29 cm zona vigilada, riesgo de irradiación")</f>
        <v>Cartel PVC 21x29 cm zona vigilada, riesgo de irradiación</v>
      </c>
      <c r="C1079" s="4">
        <f>IFERROR(__xludf.DUMMYFUNCTION("""COMPUTED_VALUE"""),1.6)</f>
        <v>1.6</v>
      </c>
    </row>
    <row r="1080">
      <c r="A1080" s="4" t="str">
        <f>IFERROR(__xludf.DUMMYFUNCTION("""COMPUTED_VALUE"""),"881")</f>
        <v>881</v>
      </c>
      <c r="B1080" s="4" t="str">
        <f>IFERROR(__xludf.DUMMYFUNCTION("""COMPUTED_VALUE"""),"Cartel PVC 40x30 cm zona vigilada, riesgo de contaminación")</f>
        <v>Cartel PVC 40x30 cm zona vigilada, riesgo de contaminación</v>
      </c>
      <c r="C1080" s="4">
        <f>IFERROR(__xludf.DUMMYFUNCTION("""COMPUTED_VALUE"""),2.48)</f>
        <v>2.48</v>
      </c>
    </row>
    <row r="1081">
      <c r="A1081" s="4" t="str">
        <f>IFERROR(__xludf.DUMMYFUNCTION("""COMPUTED_VALUE"""),"0881A")</f>
        <v>0881A</v>
      </c>
      <c r="B1081" s="4" t="str">
        <f>IFERROR(__xludf.DUMMYFUNCTION("""COMPUTED_VALUE"""),"Adhesivo PVC 21x29 cm zona vigilada, riesgo de")</f>
        <v>Adhesivo PVC 21x29 cm zona vigilada, riesgo de</v>
      </c>
      <c r="C1081" s="4">
        <f>IFERROR(__xludf.DUMMYFUNCTION("""COMPUTED_VALUE"""),1.25)</f>
        <v>1.25</v>
      </c>
    </row>
    <row r="1082">
      <c r="A1082" s="4" t="str">
        <f>IFERROR(__xludf.DUMMYFUNCTION("""COMPUTED_VALUE"""),"0881P")</f>
        <v>0881P</v>
      </c>
      <c r="B1082" s="4" t="str">
        <f>IFERROR(__xludf.DUMMYFUNCTION("""COMPUTED_VALUE"""),"Cartel PVC 21x29 cm zona vigilada, riesgo de contaminación")</f>
        <v>Cartel PVC 21x29 cm zona vigilada, riesgo de contaminación</v>
      </c>
      <c r="C1082" s="4">
        <f>IFERROR(__xludf.DUMMYFUNCTION("""COMPUTED_VALUE"""),1.47)</f>
        <v>1.47</v>
      </c>
    </row>
    <row r="1083">
      <c r="A1083" s="4" t="str">
        <f>IFERROR(__xludf.DUMMYFUNCTION("""COMPUTED_VALUE"""),"882")</f>
        <v>882</v>
      </c>
      <c r="B1083" s="4" t="str">
        <f>IFERROR(__xludf.DUMMYFUNCTION("""COMPUTED_VALUE"""),"Cartel PVC 40x30 cm zona vigilada, riesgo de cont. e irrad.")</f>
        <v>Cartel PVC 40x30 cm zona vigilada, riesgo de cont. e irrad.</v>
      </c>
      <c r="C1083" s="4">
        <f>IFERROR(__xludf.DUMMYFUNCTION("""COMPUTED_VALUE"""),2.48)</f>
        <v>2.48</v>
      </c>
    </row>
    <row r="1084">
      <c r="A1084" s="4" t="str">
        <f>IFERROR(__xludf.DUMMYFUNCTION("""COMPUTED_VALUE"""),"0882A")</f>
        <v>0882A</v>
      </c>
      <c r="B1084" s="4" t="str">
        <f>IFERROR(__xludf.DUMMYFUNCTION("""COMPUTED_VALUE"""),"Adhesivo PVC 21x29 cm zona vigilada, riesgo de cont. e irrad.")</f>
        <v>Adhesivo PVC 21x29 cm zona vigilada, riesgo de cont. e irrad.</v>
      </c>
      <c r="C1084" s="4">
        <f>IFERROR(__xludf.DUMMYFUNCTION("""COMPUTED_VALUE"""),1.25)</f>
        <v>1.25</v>
      </c>
    </row>
    <row r="1085">
      <c r="A1085" s="4" t="str">
        <f>IFERROR(__xludf.DUMMYFUNCTION("""COMPUTED_VALUE"""),"0882P")</f>
        <v>0882P</v>
      </c>
      <c r="B1085" s="4" t="str">
        <f>IFERROR(__xludf.DUMMYFUNCTION("""COMPUTED_VALUE"""),"Cartel PVC 21x29 cm zona vigilada, riesgo de cont. e irrad.")</f>
        <v>Cartel PVC 21x29 cm zona vigilada, riesgo de cont. e irrad.</v>
      </c>
      <c r="C1085" s="4">
        <f>IFERROR(__xludf.DUMMYFUNCTION("""COMPUTED_VALUE"""),1.6)</f>
        <v>1.6</v>
      </c>
    </row>
    <row r="1086">
      <c r="A1086" s="4" t="str">
        <f>IFERROR(__xludf.DUMMYFUNCTION("""COMPUTED_VALUE"""),"883")</f>
        <v>883</v>
      </c>
      <c r="B1086" s="4" t="str">
        <f>IFERROR(__xludf.DUMMYFUNCTION("""COMPUTED_VALUE"""),"Adhesivo PVC Grupo 0 Oxígeno 100x25 mm")</f>
        <v>Adhesivo PVC Grupo 0 Oxígeno 100x25 mm</v>
      </c>
      <c r="C1086" s="4">
        <f>IFERROR(__xludf.DUMMYFUNCTION("""COMPUTED_VALUE"""),1.0)</f>
        <v>1</v>
      </c>
    </row>
    <row r="1087">
      <c r="A1087" s="4" t="str">
        <f>IFERROR(__xludf.DUMMYFUNCTION("""COMPUTED_VALUE"""),"0883A")</f>
        <v>0883A</v>
      </c>
      <c r="B1087" s="4" t="str">
        <f>IFERROR(__xludf.DUMMYFUNCTION("""COMPUTED_VALUE"""),"Adhesivo PVC Grupo 0 Oxígeno 200x50 mm")</f>
        <v>Adhesivo PVC Grupo 0 Oxígeno 200x50 mm</v>
      </c>
      <c r="C1087" s="4">
        <f>IFERROR(__xludf.DUMMYFUNCTION("""COMPUTED_VALUE"""),1.5)</f>
        <v>1.5</v>
      </c>
    </row>
    <row r="1088">
      <c r="A1088" s="4" t="str">
        <f>IFERROR(__xludf.DUMMYFUNCTION("""COMPUTED_VALUE"""),"0883B")</f>
        <v>0883B</v>
      </c>
      <c r="B1088" s="4" t="str">
        <f>IFERROR(__xludf.DUMMYFUNCTION("""COMPUTED_VALUE"""),"Adhesivo PVC Grupo 0 Oxígeno 400x100 mm")</f>
        <v>Adhesivo PVC Grupo 0 Oxígeno 400x100 mm</v>
      </c>
      <c r="C1088" s="4">
        <f>IFERROR(__xludf.DUMMYFUNCTION("""COMPUTED_VALUE"""),2.0)</f>
        <v>2</v>
      </c>
    </row>
    <row r="1089">
      <c r="A1089" s="4" t="str">
        <f>IFERROR(__xludf.DUMMYFUNCTION("""COMPUTED_VALUE"""),"884")</f>
        <v>884</v>
      </c>
      <c r="B1089" s="4" t="str">
        <f>IFERROR(__xludf.DUMMYFUNCTION("""COMPUTED_VALUE"""),"Adhesivo PVC Grupo 1 Agua 100x25 mm (todas las variantes)")</f>
        <v>Adhesivo PVC Grupo 1 Agua 100x25 mm (todas las variantes)</v>
      </c>
      <c r="C1089" s="4">
        <f>IFERROR(__xludf.DUMMYFUNCTION("""COMPUTED_VALUE"""),1.0)</f>
        <v>1</v>
      </c>
    </row>
    <row r="1090">
      <c r="A1090" s="4" t="str">
        <f>IFERROR(__xludf.DUMMYFUNCTION("""COMPUTED_VALUE"""),"0884A")</f>
        <v>0884A</v>
      </c>
      <c r="B1090" s="4" t="str">
        <f>IFERROR(__xludf.DUMMYFUNCTION("""COMPUTED_VALUE"""),"Adhesivo PVC Grupo 1 Agua 200x50 mm (todas las variantes)")</f>
        <v>Adhesivo PVC Grupo 1 Agua 200x50 mm (todas las variantes)</v>
      </c>
      <c r="C1090" s="4">
        <f>IFERROR(__xludf.DUMMYFUNCTION("""COMPUTED_VALUE"""),1.5)</f>
        <v>1.5</v>
      </c>
    </row>
    <row r="1091">
      <c r="A1091" s="4" t="str">
        <f>IFERROR(__xludf.DUMMYFUNCTION("""COMPUTED_VALUE"""),"0884B")</f>
        <v>0884B</v>
      </c>
      <c r="B1091" s="4" t="str">
        <f>IFERROR(__xludf.DUMMYFUNCTION("""COMPUTED_VALUE"""),"Adhesivo PVC Grupo 1 Agua 400x100 mm (todas las")</f>
        <v>Adhesivo PVC Grupo 1 Agua 400x100 mm (todas las</v>
      </c>
      <c r="C1091" s="4">
        <f>IFERROR(__xludf.DUMMYFUNCTION("""COMPUTED_VALUE"""),2.0)</f>
        <v>2</v>
      </c>
    </row>
    <row r="1092">
      <c r="A1092" s="4" t="str">
        <f>IFERROR(__xludf.DUMMYFUNCTION("""COMPUTED_VALUE"""),"885")</f>
        <v>885</v>
      </c>
      <c r="B1092" s="4" t="str">
        <f>IFERROR(__xludf.DUMMYFUNCTION("""COMPUTED_VALUE"""),"Adhesivo PVC Grupo 2 Vapor de agua 100x25 mm (todas las")</f>
        <v>Adhesivo PVC Grupo 2 Vapor de agua 100x25 mm (todas las</v>
      </c>
      <c r="C1092" s="4">
        <f>IFERROR(__xludf.DUMMYFUNCTION("""COMPUTED_VALUE"""),1.0)</f>
        <v>1</v>
      </c>
    </row>
    <row r="1093">
      <c r="A1093" s="4" t="str">
        <f>IFERROR(__xludf.DUMMYFUNCTION("""COMPUTED_VALUE"""),"0885A")</f>
        <v>0885A</v>
      </c>
      <c r="B1093" s="4" t="str">
        <f>IFERROR(__xludf.DUMMYFUNCTION("""COMPUTED_VALUE"""),"Adhesivo PVC Grupo 2 Vapor de agua 200x50 mm (todas las")</f>
        <v>Adhesivo PVC Grupo 2 Vapor de agua 200x50 mm (todas las</v>
      </c>
      <c r="C1093" s="4">
        <f>IFERROR(__xludf.DUMMYFUNCTION("""COMPUTED_VALUE"""),1.5)</f>
        <v>1.5</v>
      </c>
    </row>
    <row r="1094">
      <c r="A1094" s="4" t="str">
        <f>IFERROR(__xludf.DUMMYFUNCTION("""COMPUTED_VALUE"""),"0885B")</f>
        <v>0885B</v>
      </c>
      <c r="B1094" s="4" t="str">
        <f>IFERROR(__xludf.DUMMYFUNCTION("""COMPUTED_VALUE"""),"Adhesivo PVC Grupo 2 Vapor de agua 400x100 mm (todas las")</f>
        <v>Adhesivo PVC Grupo 2 Vapor de agua 400x100 mm (todas las</v>
      </c>
      <c r="C1094" s="4">
        <f>IFERROR(__xludf.DUMMYFUNCTION("""COMPUTED_VALUE"""),2.0)</f>
        <v>2</v>
      </c>
    </row>
    <row r="1095">
      <c r="A1095" s="4" t="str">
        <f>IFERROR(__xludf.DUMMYFUNCTION("""COMPUTED_VALUE"""),"886")</f>
        <v>886</v>
      </c>
      <c r="B1095" s="4" t="str">
        <f>IFERROR(__xludf.DUMMYFUNCTION("""COMPUTED_VALUE"""),"Adhesivo PVC Grupo 3 Aire 100x25 mm (todas las variantes)")</f>
        <v>Adhesivo PVC Grupo 3 Aire 100x25 mm (todas las variantes)</v>
      </c>
      <c r="C1095" s="4">
        <f>IFERROR(__xludf.DUMMYFUNCTION("""COMPUTED_VALUE"""),1.0)</f>
        <v>1</v>
      </c>
    </row>
    <row r="1096">
      <c r="A1096" s="4" t="str">
        <f>IFERROR(__xludf.DUMMYFUNCTION("""COMPUTED_VALUE"""),"0886A")</f>
        <v>0886A</v>
      </c>
      <c r="B1096" s="4" t="str">
        <f>IFERROR(__xludf.DUMMYFUNCTION("""COMPUTED_VALUE"""),"Adhesivo PVC Grupo 3 Aire 200x50 mm (todas las variantes)")</f>
        <v>Adhesivo PVC Grupo 3 Aire 200x50 mm (todas las variantes)</v>
      </c>
      <c r="C1096" s="4">
        <f>IFERROR(__xludf.DUMMYFUNCTION("""COMPUTED_VALUE"""),2.0)</f>
        <v>2</v>
      </c>
    </row>
    <row r="1097">
      <c r="A1097" s="4" t="str">
        <f>IFERROR(__xludf.DUMMYFUNCTION("""COMPUTED_VALUE"""),"0886B")</f>
        <v>0886B</v>
      </c>
      <c r="B1097" s="4" t="str">
        <f>IFERROR(__xludf.DUMMYFUNCTION("""COMPUTED_VALUE"""),"Adhesivo PVC Grupo 3 Aire 400x100 mm (todas las variantes)")</f>
        <v>Adhesivo PVC Grupo 3 Aire 400x100 mm (todas las variantes)</v>
      </c>
      <c r="C1097" s="4">
        <f>IFERROR(__xludf.DUMMYFUNCTION("""COMPUTED_VALUE"""),1.5)</f>
        <v>1.5</v>
      </c>
    </row>
    <row r="1098">
      <c r="A1098" s="4" t="str">
        <f>IFERROR(__xludf.DUMMYFUNCTION("""COMPUTED_VALUE"""),"887")</f>
        <v>887</v>
      </c>
      <c r="B1098" s="4" t="str">
        <f>IFERROR(__xludf.DUMMYFUNCTION("""COMPUTED_VALUE"""),"Adhesivo PVC Grupo 4 Gases combustibles 100x25 mm (todas")</f>
        <v>Adhesivo PVC Grupo 4 Gases combustibles 100x25 mm (todas</v>
      </c>
      <c r="C1098" s="4">
        <f>IFERROR(__xludf.DUMMYFUNCTION("""COMPUTED_VALUE"""),1.0)</f>
        <v>1</v>
      </c>
    </row>
    <row r="1099">
      <c r="A1099" s="4" t="str">
        <f>IFERROR(__xludf.DUMMYFUNCTION("""COMPUTED_VALUE"""),"0887A")</f>
        <v>0887A</v>
      </c>
      <c r="B1099" s="4" t="str">
        <f>IFERROR(__xludf.DUMMYFUNCTION("""COMPUTED_VALUE"""),"Adhesivo PVC Grupo 4 Gases combustibles 200x50 mm (todas")</f>
        <v>Adhesivo PVC Grupo 4 Gases combustibles 200x50 mm (todas</v>
      </c>
      <c r="C1099" s="4">
        <f>IFERROR(__xludf.DUMMYFUNCTION("""COMPUTED_VALUE"""),1.5)</f>
        <v>1.5</v>
      </c>
    </row>
    <row r="1100">
      <c r="A1100" s="4" t="str">
        <f>IFERROR(__xludf.DUMMYFUNCTION("""COMPUTED_VALUE"""),"0887B")</f>
        <v>0887B</v>
      </c>
      <c r="B1100" s="4" t="str">
        <f>IFERROR(__xludf.DUMMYFUNCTION("""COMPUTED_VALUE"""),"Adhesivo PVC Grupo 4 Gases combustibles 400x100 mm")</f>
        <v>Adhesivo PVC Grupo 4 Gases combustibles 400x100 mm</v>
      </c>
      <c r="C1100" s="4">
        <f>IFERROR(__xludf.DUMMYFUNCTION("""COMPUTED_VALUE"""),2.0)</f>
        <v>2</v>
      </c>
    </row>
    <row r="1101">
      <c r="A1101" s="4" t="str">
        <f>IFERROR(__xludf.DUMMYFUNCTION("""COMPUTED_VALUE"""),"888")</f>
        <v>888</v>
      </c>
      <c r="B1101" s="4" t="str">
        <f>IFERROR(__xludf.DUMMYFUNCTION("""COMPUTED_VALUE"""),"Adhesivo PVC Grupo 4 Gases combustibles 100x25 mm B")</f>
        <v>Adhesivo PVC Grupo 4 Gases combustibles 100x25 mm B</v>
      </c>
      <c r="C1101" s="4">
        <f>IFERROR(__xludf.DUMMYFUNCTION("""COMPUTED_VALUE"""),1.0)</f>
        <v>1</v>
      </c>
    </row>
    <row r="1102">
      <c r="A1102" s="4" t="str">
        <f>IFERROR(__xludf.DUMMYFUNCTION("""COMPUTED_VALUE"""),"0888A")</f>
        <v>0888A</v>
      </c>
      <c r="B1102" s="4" t="str">
        <f>IFERROR(__xludf.DUMMYFUNCTION("""COMPUTED_VALUE"""),"Adhesivo PVC Grupo 4 Gases combustibles 200x50 mm")</f>
        <v>Adhesivo PVC Grupo 4 Gases combustibles 200x50 mm</v>
      </c>
      <c r="C1102" s="4">
        <f>IFERROR(__xludf.DUMMYFUNCTION("""COMPUTED_VALUE"""),1.5)</f>
        <v>1.5</v>
      </c>
    </row>
    <row r="1103">
      <c r="A1103" s="4" t="str">
        <f>IFERROR(__xludf.DUMMYFUNCTION("""COMPUTED_VALUE"""),"0888B")</f>
        <v>0888B</v>
      </c>
      <c r="B1103" s="4" t="str">
        <f>IFERROR(__xludf.DUMMYFUNCTION("""COMPUTED_VALUE"""),"Adhesivo PVC Grupo 4 Gases combustibles 400x100 mm")</f>
        <v>Adhesivo PVC Grupo 4 Gases combustibles 400x100 mm</v>
      </c>
      <c r="C1103" s="4">
        <f>IFERROR(__xludf.DUMMYFUNCTION("""COMPUTED_VALUE"""),2.0)</f>
        <v>2</v>
      </c>
    </row>
    <row r="1104">
      <c r="A1104" s="4" t="str">
        <f>IFERROR(__xludf.DUMMYFUNCTION("""COMPUTED_VALUE"""),"889")</f>
        <v>889</v>
      </c>
      <c r="B1104" s="4" t="str">
        <f>IFERROR(__xludf.DUMMYFUNCTION("""COMPUTED_VALUE"""),"Adhesivo PVC Grupo 5 Gases no combustibles 100x25 mm")</f>
        <v>Adhesivo PVC Grupo 5 Gases no combustibles 100x25 mm</v>
      </c>
      <c r="C1104" s="4">
        <f>IFERROR(__xludf.DUMMYFUNCTION("""COMPUTED_VALUE"""),1.0)</f>
        <v>1</v>
      </c>
    </row>
    <row r="1105">
      <c r="A1105" s="4" t="str">
        <f>IFERROR(__xludf.DUMMYFUNCTION("""COMPUTED_VALUE"""),"0889A")</f>
        <v>0889A</v>
      </c>
      <c r="B1105" s="4" t="str">
        <f>IFERROR(__xludf.DUMMYFUNCTION("""COMPUTED_VALUE"""),"Adhesivo PVC Grupo 5 Gases no combustibles 200x50 mm")</f>
        <v>Adhesivo PVC Grupo 5 Gases no combustibles 200x50 mm</v>
      </c>
      <c r="C1105" s="4">
        <f>IFERROR(__xludf.DUMMYFUNCTION("""COMPUTED_VALUE"""),1.5)</f>
        <v>1.5</v>
      </c>
    </row>
    <row r="1106">
      <c r="A1106" s="4" t="str">
        <f>IFERROR(__xludf.DUMMYFUNCTION("""COMPUTED_VALUE"""),"0889B")</f>
        <v>0889B</v>
      </c>
      <c r="B1106" s="4" t="str">
        <f>IFERROR(__xludf.DUMMYFUNCTION("""COMPUTED_VALUE"""),"Adhesivo PVC Grupo 5 Gases no combustibles 400x100 mm")</f>
        <v>Adhesivo PVC Grupo 5 Gases no combustibles 400x100 mm</v>
      </c>
      <c r="C1106" s="4">
        <f>IFERROR(__xludf.DUMMYFUNCTION("""COMPUTED_VALUE"""),2.0)</f>
        <v>2</v>
      </c>
    </row>
    <row r="1107">
      <c r="A1107" s="4" t="str">
        <f>IFERROR(__xludf.DUMMYFUNCTION("""COMPUTED_VALUE"""),"890")</f>
        <v>890</v>
      </c>
      <c r="B1107" s="4" t="str">
        <f>IFERROR(__xludf.DUMMYFUNCTION("""COMPUTED_VALUE"""),"Adhesivo PVC Grupo 5 Gases no combustibles 100x25 mm")</f>
        <v>Adhesivo PVC Grupo 5 Gases no combustibles 100x25 mm</v>
      </c>
      <c r="C1107" s="4">
        <f>IFERROR(__xludf.DUMMYFUNCTION("""COMPUTED_VALUE"""),1.0)</f>
        <v>1</v>
      </c>
    </row>
    <row r="1108">
      <c r="A1108" s="4" t="str">
        <f>IFERROR(__xludf.DUMMYFUNCTION("""COMPUTED_VALUE"""),"0890A")</f>
        <v>0890A</v>
      </c>
      <c r="B1108" s="4" t="str">
        <f>IFERROR(__xludf.DUMMYFUNCTION("""COMPUTED_VALUE"""),"Adhesivo PVC Grupo 5 Gases no combustibles 200x50 mm")</f>
        <v>Adhesivo PVC Grupo 5 Gases no combustibles 200x50 mm</v>
      </c>
      <c r="C1108" s="4">
        <f>IFERROR(__xludf.DUMMYFUNCTION("""COMPUTED_VALUE"""),1.5)</f>
        <v>1.5</v>
      </c>
    </row>
    <row r="1109">
      <c r="A1109" s="4" t="str">
        <f>IFERROR(__xludf.DUMMYFUNCTION("""COMPUTED_VALUE"""),"0890B")</f>
        <v>0890B</v>
      </c>
      <c r="B1109" s="4" t="str">
        <f>IFERROR(__xludf.DUMMYFUNCTION("""COMPUTED_VALUE"""),"Adhesivo PVC Grupo 5 Gases no combustibles 400x100 mm")</f>
        <v>Adhesivo PVC Grupo 5 Gases no combustibles 400x100 mm</v>
      </c>
      <c r="C1109" s="4">
        <f>IFERROR(__xludf.DUMMYFUNCTION("""COMPUTED_VALUE"""),2.0)</f>
        <v>2</v>
      </c>
    </row>
    <row r="1110">
      <c r="A1110" s="4" t="str">
        <f>IFERROR(__xludf.DUMMYFUNCTION("""COMPUTED_VALUE"""),"891")</f>
        <v>891</v>
      </c>
      <c r="B1110" s="4" t="str">
        <f>IFERROR(__xludf.DUMMYFUNCTION("""COMPUTED_VALUE"""),"Adhesivo PVC Grupo 6 Ácidos 100x25 mm (todas las")</f>
        <v>Adhesivo PVC Grupo 6 Ácidos 100x25 mm (todas las</v>
      </c>
      <c r="C1110" s="4">
        <f>IFERROR(__xludf.DUMMYFUNCTION("""COMPUTED_VALUE"""),1.0)</f>
        <v>1</v>
      </c>
    </row>
    <row r="1111">
      <c r="A1111" s="4" t="str">
        <f>IFERROR(__xludf.DUMMYFUNCTION("""COMPUTED_VALUE"""),"0891A")</f>
        <v>0891A</v>
      </c>
      <c r="B1111" s="4" t="str">
        <f>IFERROR(__xludf.DUMMYFUNCTION("""COMPUTED_VALUE"""),"Adhesivo PVC Grupo 6 Ácidos 200x50 mm (todas las")</f>
        <v>Adhesivo PVC Grupo 6 Ácidos 200x50 mm (todas las</v>
      </c>
      <c r="C1111" s="4">
        <f>IFERROR(__xludf.DUMMYFUNCTION("""COMPUTED_VALUE"""),1.5)</f>
        <v>1.5</v>
      </c>
    </row>
    <row r="1112">
      <c r="A1112" s="4" t="str">
        <f>IFERROR(__xludf.DUMMYFUNCTION("""COMPUTED_VALUE"""),"0891B")</f>
        <v>0891B</v>
      </c>
      <c r="B1112" s="4" t="str">
        <f>IFERROR(__xludf.DUMMYFUNCTION("""COMPUTED_VALUE"""),"Adhesivo PVC Grupo 6 Ácidos 400x100 mm (todas las")</f>
        <v>Adhesivo PVC Grupo 6 Ácidos 400x100 mm (todas las</v>
      </c>
      <c r="C1112" s="4">
        <f>IFERROR(__xludf.DUMMYFUNCTION("""COMPUTED_VALUE"""),2.0)</f>
        <v>2</v>
      </c>
    </row>
    <row r="1113">
      <c r="A1113" s="4" t="str">
        <f>IFERROR(__xludf.DUMMYFUNCTION("""COMPUTED_VALUE"""),"892")</f>
        <v>892</v>
      </c>
      <c r="B1113" s="4" t="str">
        <f>IFERROR(__xludf.DUMMYFUNCTION("""COMPUTED_VALUE"""),"Adhesivo PVC Grupo 7 Lejías 100x25 mm (todas las variantes)")</f>
        <v>Adhesivo PVC Grupo 7 Lejías 100x25 mm (todas las variantes)</v>
      </c>
      <c r="C1113" s="4">
        <f>IFERROR(__xludf.DUMMYFUNCTION("""COMPUTED_VALUE"""),1.0)</f>
        <v>1</v>
      </c>
    </row>
    <row r="1114">
      <c r="A1114" s="4" t="str">
        <f>IFERROR(__xludf.DUMMYFUNCTION("""COMPUTED_VALUE"""),"0892A")</f>
        <v>0892A</v>
      </c>
      <c r="B1114" s="4" t="str">
        <f>IFERROR(__xludf.DUMMYFUNCTION("""COMPUTED_VALUE"""),"Adhesivo PVC Grupo 7 Lejías 200x50 mm (todas las")</f>
        <v>Adhesivo PVC Grupo 7 Lejías 200x50 mm (todas las</v>
      </c>
      <c r="C1114" s="4">
        <f>IFERROR(__xludf.DUMMYFUNCTION("""COMPUTED_VALUE"""),1.5)</f>
        <v>1.5</v>
      </c>
    </row>
    <row r="1115">
      <c r="A1115" s="4" t="str">
        <f>IFERROR(__xludf.DUMMYFUNCTION("""COMPUTED_VALUE"""),"0892B")</f>
        <v>0892B</v>
      </c>
      <c r="B1115" s="4" t="str">
        <f>IFERROR(__xludf.DUMMYFUNCTION("""COMPUTED_VALUE"""),"Adhesivo PVC Grupo 7 Lejías 400x100 mm (todas las")</f>
        <v>Adhesivo PVC Grupo 7 Lejías 400x100 mm (todas las</v>
      </c>
      <c r="C1115" s="4">
        <f>IFERROR(__xludf.DUMMYFUNCTION("""COMPUTED_VALUE"""),2.0)</f>
        <v>2</v>
      </c>
    </row>
    <row r="1116">
      <c r="A1116" s="4" t="str">
        <f>IFERROR(__xludf.DUMMYFUNCTION("""COMPUTED_VALUE"""),"893")</f>
        <v>893</v>
      </c>
      <c r="B1116" s="4" t="str">
        <f>IFERROR(__xludf.DUMMYFUNCTION("""COMPUTED_VALUE"""),"Adhesivo PVC Grupo 8 Líquidos combustibles 100x25 mm")</f>
        <v>Adhesivo PVC Grupo 8 Líquidos combustibles 100x25 mm</v>
      </c>
      <c r="C1116" s="4">
        <f>IFERROR(__xludf.DUMMYFUNCTION("""COMPUTED_VALUE"""),1.0)</f>
        <v>1</v>
      </c>
    </row>
    <row r="1117">
      <c r="A1117" s="4" t="str">
        <f>IFERROR(__xludf.DUMMYFUNCTION("""COMPUTED_VALUE"""),"0893A")</f>
        <v>0893A</v>
      </c>
      <c r="B1117" s="4" t="str">
        <f>IFERROR(__xludf.DUMMYFUNCTION("""COMPUTED_VALUE"""),"Adhesivo PVC Grupo 8 Líquidos combustibles 200x50 mm")</f>
        <v>Adhesivo PVC Grupo 8 Líquidos combustibles 200x50 mm</v>
      </c>
      <c r="C1117" s="4">
        <f>IFERROR(__xludf.DUMMYFUNCTION("""COMPUTED_VALUE"""),1.5)</f>
        <v>1.5</v>
      </c>
    </row>
    <row r="1118">
      <c r="A1118" s="4" t="str">
        <f>IFERROR(__xludf.DUMMYFUNCTION("""COMPUTED_VALUE"""),"0893B")</f>
        <v>0893B</v>
      </c>
      <c r="B1118" s="4" t="str">
        <f>IFERROR(__xludf.DUMMYFUNCTION("""COMPUTED_VALUE"""),"Adhesivo PVC Grupo 8 Líquidos combustibles 400x100 mm")</f>
        <v>Adhesivo PVC Grupo 8 Líquidos combustibles 400x100 mm</v>
      </c>
      <c r="C1118" s="4">
        <f>IFERROR(__xludf.DUMMYFUNCTION("""COMPUTED_VALUE"""),2.0)</f>
        <v>2</v>
      </c>
    </row>
    <row r="1119">
      <c r="A1119" s="4" t="str">
        <f>IFERROR(__xludf.DUMMYFUNCTION("""COMPUTED_VALUE"""),"894")</f>
        <v>894</v>
      </c>
      <c r="B1119" s="4" t="str">
        <f>IFERROR(__xludf.DUMMYFUNCTION("""COMPUTED_VALUE"""),"Adhesivo PVC Grupo 8 Líquidos combustibles 100x25 mm B")</f>
        <v>Adhesivo PVC Grupo 8 Líquidos combustibles 100x25 mm B</v>
      </c>
      <c r="C1119" s="4">
        <f>IFERROR(__xludf.DUMMYFUNCTION("""COMPUTED_VALUE"""),1.0)</f>
        <v>1</v>
      </c>
    </row>
    <row r="1120">
      <c r="A1120" s="4" t="str">
        <f>IFERROR(__xludf.DUMMYFUNCTION("""COMPUTED_VALUE"""),"0894A")</f>
        <v>0894A</v>
      </c>
      <c r="B1120" s="4" t="str">
        <f>IFERROR(__xludf.DUMMYFUNCTION("""COMPUTED_VALUE"""),"Adhesivo PVC Grupo 8 Líquidos combustibles 200x50 mm B")</f>
        <v>Adhesivo PVC Grupo 8 Líquidos combustibles 200x50 mm B</v>
      </c>
      <c r="C1120" s="4">
        <f>IFERROR(__xludf.DUMMYFUNCTION("""COMPUTED_VALUE"""),1.5)</f>
        <v>1.5</v>
      </c>
    </row>
    <row r="1121">
      <c r="A1121" s="4" t="str">
        <f>IFERROR(__xludf.DUMMYFUNCTION("""COMPUTED_VALUE"""),"0894B")</f>
        <v>0894B</v>
      </c>
      <c r="B1121" s="4" t="str">
        <f>IFERROR(__xludf.DUMMYFUNCTION("""COMPUTED_VALUE"""),"Adhesivo PVC Grupo 8 Líquidos combustibles 400x100 mm")</f>
        <v>Adhesivo PVC Grupo 8 Líquidos combustibles 400x100 mm</v>
      </c>
      <c r="C1121" s="4">
        <f>IFERROR(__xludf.DUMMYFUNCTION("""COMPUTED_VALUE"""),2.0)</f>
        <v>2</v>
      </c>
    </row>
    <row r="1122">
      <c r="A1122" s="4" t="str">
        <f>IFERROR(__xludf.DUMMYFUNCTION("""COMPUTED_VALUE"""),"895")</f>
        <v>895</v>
      </c>
      <c r="B1122" s="4" t="str">
        <f>IFERROR(__xludf.DUMMYFUNCTION("""COMPUTED_VALUE"""),"Adhesivo PVC Grupo 9 Líquidos no combustibles 100x25 mm")</f>
        <v>Adhesivo PVC Grupo 9 Líquidos no combustibles 100x25 mm</v>
      </c>
      <c r="C1122" s="4">
        <f>IFERROR(__xludf.DUMMYFUNCTION("""COMPUTED_VALUE"""),1.0)</f>
        <v>1</v>
      </c>
    </row>
    <row r="1123">
      <c r="A1123" s="4" t="str">
        <f>IFERROR(__xludf.DUMMYFUNCTION("""COMPUTED_VALUE"""),"0895A")</f>
        <v>0895A</v>
      </c>
      <c r="B1123" s="4" t="str">
        <f>IFERROR(__xludf.DUMMYFUNCTION("""COMPUTED_VALUE"""),"Adhesivo PVC Grupo 9 Líquidos no combustibles 200x50 mm")</f>
        <v>Adhesivo PVC Grupo 9 Líquidos no combustibles 200x50 mm</v>
      </c>
      <c r="C1123" s="4">
        <f>IFERROR(__xludf.DUMMYFUNCTION("""COMPUTED_VALUE"""),1.5)</f>
        <v>1.5</v>
      </c>
    </row>
    <row r="1124">
      <c r="A1124" s="4" t="str">
        <f>IFERROR(__xludf.DUMMYFUNCTION("""COMPUTED_VALUE"""),"0895B")</f>
        <v>0895B</v>
      </c>
      <c r="B1124" s="4" t="str">
        <f>IFERROR(__xludf.DUMMYFUNCTION("""COMPUTED_VALUE"""),"Adhesivo PVC Grupo 9 Líquidos no combustibles 400x100 mm")</f>
        <v>Adhesivo PVC Grupo 9 Líquidos no combustibles 400x100 mm</v>
      </c>
      <c r="C1124" s="4">
        <f>IFERROR(__xludf.DUMMYFUNCTION("""COMPUTED_VALUE"""),2.0)</f>
        <v>2</v>
      </c>
    </row>
    <row r="1125">
      <c r="A1125" s="4" t="str">
        <f>IFERROR(__xludf.DUMMYFUNCTION("""COMPUTED_VALUE"""),"896")</f>
        <v>896</v>
      </c>
      <c r="B1125" s="4" t="str">
        <f>IFERROR(__xludf.DUMMYFUNCTION("""COMPUTED_VALUE"""),"Adhesivo PVC Grupo 9 Líquidos no combustibles 100x25 mm")</f>
        <v>Adhesivo PVC Grupo 9 Líquidos no combustibles 100x25 mm</v>
      </c>
      <c r="C1125" s="4">
        <f>IFERROR(__xludf.DUMMYFUNCTION("""COMPUTED_VALUE"""),1.0)</f>
        <v>1</v>
      </c>
    </row>
    <row r="1126">
      <c r="A1126" s="4" t="str">
        <f>IFERROR(__xludf.DUMMYFUNCTION("""COMPUTED_VALUE"""),"0896A")</f>
        <v>0896A</v>
      </c>
      <c r="B1126" s="4" t="str">
        <f>IFERROR(__xludf.DUMMYFUNCTION("""COMPUTED_VALUE"""),"Adhesivo PVC Grupo 9 Líquidos no combustibles 200x50 mm")</f>
        <v>Adhesivo PVC Grupo 9 Líquidos no combustibles 200x50 mm</v>
      </c>
      <c r="C1126" s="4">
        <f>IFERROR(__xludf.DUMMYFUNCTION("""COMPUTED_VALUE"""),2.0)</f>
        <v>2</v>
      </c>
    </row>
    <row r="1127">
      <c r="A1127" s="4" t="str">
        <f>IFERROR(__xludf.DUMMYFUNCTION("""COMPUTED_VALUE"""),"0896B")</f>
        <v>0896B</v>
      </c>
      <c r="B1127" s="4" t="str">
        <f>IFERROR(__xludf.DUMMYFUNCTION("""COMPUTED_VALUE"""),"Adhesivo PVC Grupo 9 Líquidos no combustibles 400x100 mm")</f>
        <v>Adhesivo PVC Grupo 9 Líquidos no combustibles 400x100 mm</v>
      </c>
      <c r="C1127" s="4">
        <f>IFERROR(__xludf.DUMMYFUNCTION("""COMPUTED_VALUE"""),2.0)</f>
        <v>2</v>
      </c>
    </row>
    <row r="1128">
      <c r="A1128" s="4" t="str">
        <f>IFERROR(__xludf.DUMMYFUNCTION("""COMPUTED_VALUE"""),"1028/A/BAT")</f>
        <v>1028/A/BAT</v>
      </c>
      <c r="B1128" s="4" t="str">
        <f>IFERROR(__xludf.DUMMYFUNCTION("""COMPUTED_VALUE"""),"Baliza Powerflare azul c/cargador a 220v y 12 v")</f>
        <v>Baliza Powerflare azul c/cargador a 220v y 12 v</v>
      </c>
      <c r="C1128" s="4">
        <f>IFERROR(__xludf.DUMMYFUNCTION("""COMPUTED_VALUE"""),15.75)</f>
        <v>15.75</v>
      </c>
    </row>
    <row r="1129">
      <c r="A1129" s="4" t="str">
        <f>IFERROR(__xludf.DUMMYFUNCTION("""COMPUTED_VALUE"""),"1028/AZUL")</f>
        <v>1028/AZUL</v>
      </c>
      <c r="B1129" s="4" t="str">
        <f>IFERROR(__xludf.DUMMYFUNCTION("""COMPUTED_VALUE"""),"Baliza powerflare azul ( repuesto )")</f>
        <v>Baliza powerflare azul ( repuesto )</v>
      </c>
      <c r="C1129" s="4">
        <f>IFERROR(__xludf.DUMMYFUNCTION("""COMPUTED_VALUE"""),9.45)</f>
        <v>9.45</v>
      </c>
    </row>
    <row r="1130">
      <c r="A1130" s="4" t="str">
        <f>IFERROR(__xludf.DUMMYFUNCTION("""COMPUTED_VALUE"""),"1028/N/BAT")</f>
        <v>1028/N/BAT</v>
      </c>
      <c r="B1130" s="4" t="str">
        <f>IFERROR(__xludf.DUMMYFUNCTION("""COMPUTED_VALUE"""),"Baliza Powerflare naranja c/cargador a 220v y 12 v")</f>
        <v>Baliza Powerflare naranja c/cargador a 220v y 12 v</v>
      </c>
      <c r="C1130" s="4">
        <f>IFERROR(__xludf.DUMMYFUNCTION("""COMPUTED_VALUE"""),15.75)</f>
        <v>15.75</v>
      </c>
    </row>
    <row r="1131">
      <c r="A1131" s="4" t="str">
        <f>IFERROR(__xludf.DUMMYFUNCTION("""COMPUTED_VALUE"""),"1028/NARANJA")</f>
        <v>1028/NARANJA</v>
      </c>
      <c r="B1131" s="4" t="str">
        <f>IFERROR(__xludf.DUMMYFUNCTION("""COMPUTED_VALUE"""),"Baliza powerflare naranja ( repuesto )")</f>
        <v>Baliza powerflare naranja ( repuesto )</v>
      </c>
      <c r="C1131" s="4">
        <f>IFERROR(__xludf.DUMMYFUNCTION("""COMPUTED_VALUE"""),9.45)</f>
        <v>9.45</v>
      </c>
    </row>
    <row r="1132">
      <c r="A1132" s="4" t="str">
        <f>IFERROR(__xludf.DUMMYFUNCTION("""COMPUTED_VALUE"""),"1029")</f>
        <v>1029</v>
      </c>
      <c r="B1132" s="4" t="str">
        <f>IFERROR(__xludf.DUMMYFUNCTION("""COMPUTED_VALUE"""),"Maletín 6 uds baliza NARANJA led powerflare con cargador")</f>
        <v>Maletín 6 uds baliza NARANJA led powerflare con cargador</v>
      </c>
      <c r="C1132" s="4">
        <f>IFERROR(__xludf.DUMMYFUNCTION("""COMPUTED_VALUE"""),99.5)</f>
        <v>99.5</v>
      </c>
    </row>
    <row r="1133">
      <c r="A1133" s="4" t="str">
        <f>IFERROR(__xludf.DUMMYFUNCTION("""COMPUTED_VALUE"""),"1029A")</f>
        <v>1029A</v>
      </c>
      <c r="B1133" s="4" t="str">
        <f>IFERROR(__xludf.DUMMYFUNCTION("""COMPUTED_VALUE"""),"Maletín 6 uds baliza AMARILLO led powerflare con cargador")</f>
        <v>Maletín 6 uds baliza AMARILLO led powerflare con cargador</v>
      </c>
      <c r="C1133" s="4">
        <f>IFERROR(__xludf.DUMMYFUNCTION("""COMPUTED_VALUE"""),99.5)</f>
        <v>99.5</v>
      </c>
    </row>
    <row r="1134">
      <c r="A1134" s="4" t="str">
        <f>IFERROR(__xludf.DUMMYFUNCTION("""COMPUTED_VALUE"""),"1029Z")</f>
        <v>1029Z</v>
      </c>
      <c r="B1134" s="4" t="str">
        <f>IFERROR(__xludf.DUMMYFUNCTION("""COMPUTED_VALUE"""),"Maletín 6 uds baliza AZUL led powerflare con cargador")</f>
        <v>Maletín 6 uds baliza AZUL led powerflare con cargador</v>
      </c>
      <c r="C1134" s="4">
        <f>IFERROR(__xludf.DUMMYFUNCTION("""COMPUTED_VALUE"""),99.5)</f>
        <v>99.5</v>
      </c>
    </row>
    <row r="1135">
      <c r="A1135" s="4" t="str">
        <f>IFERROR(__xludf.DUMMYFUNCTION("""COMPUTED_VALUE"""),"1030")</f>
        <v>1030</v>
      </c>
      <c r="B1135" s="4" t="str">
        <f>IFERROR(__xludf.DUMMYFUNCTION("""COMPUTED_VALUE"""),"Baliza LED azul intermitente")</f>
        <v>Baliza LED azul intermitente</v>
      </c>
      <c r="C1135" s="4">
        <f>IFERROR(__xludf.DUMMYFUNCTION("""COMPUTED_VALUE"""),6.4)</f>
        <v>6.4</v>
      </c>
    </row>
    <row r="1136">
      <c r="A1136" s="4" t="str">
        <f>IFERROR(__xludf.DUMMYFUNCTION("""COMPUTED_VALUE"""),"1032")</f>
        <v>1032</v>
      </c>
      <c r="B1136" s="4" t="str">
        <f>IFERROR(__xludf.DUMMYFUNCTION("""COMPUTED_VALUE"""),"Baliza Señalizacion intermitente para 1 bateria")</f>
        <v>Baliza Señalizacion intermitente para 1 bateria</v>
      </c>
      <c r="C1136" s="4">
        <f>IFERROR(__xludf.DUMMYFUNCTION("""COMPUTED_VALUE"""),5.05)</f>
        <v>5.05</v>
      </c>
    </row>
    <row r="1137">
      <c r="A1137" s="4" t="str">
        <f>IFERROR(__xludf.DUMMYFUNCTION("""COMPUTED_VALUE"""),"1033")</f>
        <v>1033</v>
      </c>
      <c r="B1137" s="4" t="str">
        <f>IFERROR(__xludf.DUMMYFUNCTION("""COMPUTED_VALUE"""),"Baliza Señalización Plus intermitente 2 baterías")</f>
        <v>Baliza Señalización Plus intermitente 2 baterías</v>
      </c>
      <c r="C1137" s="4">
        <f>IFERROR(__xludf.DUMMYFUNCTION("""COMPUTED_VALUE"""),6.97)</f>
        <v>6.97</v>
      </c>
    </row>
    <row r="1138">
      <c r="A1138" s="4" t="str">
        <f>IFERROR(__xludf.DUMMYFUNCTION("""COMPUTED_VALUE"""),"1033/B")</f>
        <v>1033/B</v>
      </c>
      <c r="B1138" s="4" t="str">
        <f>IFERROR(__xludf.DUMMYFUNCTION("""COMPUTED_VALUE"""),"Baliza Señalizacion Basic intermitente 2 baterias")</f>
        <v>Baliza Señalizacion Basic intermitente 2 baterias</v>
      </c>
      <c r="C1138" s="4">
        <f>IFERROR(__xludf.DUMMYFUNCTION("""COMPUTED_VALUE"""),5.9)</f>
        <v>5.9</v>
      </c>
    </row>
    <row r="1139">
      <c r="A1139" s="4" t="str">
        <f>IFERROR(__xludf.DUMMYFUNCTION("""COMPUTED_VALUE"""),"1033E")</f>
        <v>1033E</v>
      </c>
      <c r="B1139" s="4" t="str">
        <f>IFERROR(__xludf.DUMMYFUNCTION("""COMPUTED_VALUE"""),"Baliza intermitente Euroflash naranja")</f>
        <v>Baliza intermitente Euroflash naranja</v>
      </c>
      <c r="C1139" s="4">
        <f>IFERROR(__xludf.DUMMYFUNCTION("""COMPUTED_VALUE"""),7.25)</f>
        <v>7.25</v>
      </c>
    </row>
    <row r="1140">
      <c r="A1140" s="4" t="str">
        <f>IFERROR(__xludf.DUMMYFUNCTION("""COMPUTED_VALUE"""),"1033V")</f>
        <v>1033V</v>
      </c>
      <c r="B1140" s="4" t="str">
        <f>IFERROR(__xludf.DUMMYFUNCTION("""COMPUTED_VALUE"""),"Baliza Señalización Plus intermitente 2 baterías VERDE")</f>
        <v>Baliza Señalización Plus intermitente 2 baterías VERDE</v>
      </c>
      <c r="C1140" s="4">
        <f>IFERROR(__xludf.DUMMYFUNCTION("""COMPUTED_VALUE"""),6.95)</f>
        <v>6.95</v>
      </c>
    </row>
    <row r="1141">
      <c r="A1141" s="4" t="str">
        <f>IFERROR(__xludf.DUMMYFUNCTION("""COMPUTED_VALUE"""),"1034")</f>
        <v>1034</v>
      </c>
      <c r="B1141" s="4" t="str">
        <f>IFERROR(__xludf.DUMMYFUNCTION("""COMPUTED_VALUE"""),"Bateria baliza 6V 4R25 7 Ah. Alta Capacidad")</f>
        <v>Bateria baliza 6V 4R25 7 Ah. Alta Capacidad</v>
      </c>
      <c r="C1141" s="4">
        <f>IFERROR(__xludf.DUMMYFUNCTION("""COMPUTED_VALUE"""),1.89)</f>
        <v>1.89</v>
      </c>
    </row>
    <row r="1142">
      <c r="A1142" s="4" t="str">
        <f>IFERROR(__xludf.DUMMYFUNCTION("""COMPUTED_VALUE"""),"1034G")</f>
        <v>1034G</v>
      </c>
      <c r="B1142" s="4" t="str">
        <f>IFERROR(__xludf.DUMMYFUNCTION("""COMPUTED_VALUE"""),"Bateria baliza 6v 25 Ah")</f>
        <v>Bateria baliza 6v 25 Ah</v>
      </c>
      <c r="C1142" s="4">
        <f>IFERROR(__xludf.DUMMYFUNCTION("""COMPUTED_VALUE"""),10.5)</f>
        <v>10.5</v>
      </c>
    </row>
    <row r="1143">
      <c r="A1143" s="4" t="str">
        <f>IFERROR(__xludf.DUMMYFUNCTION("""COMPUTED_VALUE"""),"1035")</f>
        <v>1035</v>
      </c>
      <c r="B1143" s="4" t="str">
        <f>IFERROR(__xludf.DUMMYFUNCTION("""COMPUTED_VALUE"""),"Baliza Señalizacion flash-Led doble cara")</f>
        <v>Baliza Señalizacion flash-Led doble cara</v>
      </c>
      <c r="C1143" s="4">
        <f>IFERROR(__xludf.DUMMYFUNCTION("""COMPUTED_VALUE"""),22.25)</f>
        <v>22.25</v>
      </c>
    </row>
    <row r="1144">
      <c r="A1144" s="4" t="str">
        <f>IFERROR(__xludf.DUMMYFUNCTION("""COMPUTED_VALUE"""),"1036")</f>
        <v>1036</v>
      </c>
      <c r="B1144" s="4" t="str">
        <f>IFERROR(__xludf.DUMMYFUNCTION("""COMPUTED_VALUE"""),"Baliza Señalización luz roja VEGA")</f>
        <v>Baliza Señalización luz roja VEGA</v>
      </c>
      <c r="C1144" s="4">
        <f>IFERROR(__xludf.DUMMYFUNCTION("""COMPUTED_VALUE"""),8.0)</f>
        <v>8</v>
      </c>
    </row>
    <row r="1145">
      <c r="A1145" s="4" t="str">
        <f>IFERROR(__xludf.DUMMYFUNCTION("""COMPUTED_VALUE"""),"1037")</f>
        <v>1037</v>
      </c>
      <c r="B1145" s="4" t="str">
        <f>IFERROR(__xludf.DUMMYFUNCTION("""COMPUTED_VALUE"""),"Baliza Señalizacion solar")</f>
        <v>Baliza Señalizacion solar</v>
      </c>
      <c r="C1145" s="4">
        <f>IFERROR(__xludf.DUMMYFUNCTION("""COMPUTED_VALUE"""),14.9)</f>
        <v>14.9</v>
      </c>
    </row>
    <row r="1146">
      <c r="A1146" s="4" t="str">
        <f>IFERROR(__xludf.DUMMYFUNCTION("""COMPUTED_VALUE"""),"1122B")</f>
        <v>1122B</v>
      </c>
      <c r="B1146" s="4" t="str">
        <f>IFERROR(__xludf.DUMMYFUNCTION("""COMPUTED_VALUE"""),"Barrera mediana HOG600 Blanca 560x1130x400 mm")</f>
        <v>Barrera mediana HOG600 Blanca 560x1130x400 mm</v>
      </c>
      <c r="C1146" s="4">
        <f>IFERROR(__xludf.DUMMYFUNCTION("""COMPUTED_VALUE"""),46.0)</f>
        <v>46</v>
      </c>
    </row>
    <row r="1147">
      <c r="A1147" s="4" t="str">
        <f>IFERROR(__xludf.DUMMYFUNCTION("""COMPUTED_VALUE"""),"1122R")</f>
        <v>1122R</v>
      </c>
      <c r="B1147" s="4" t="str">
        <f>IFERROR(__xludf.DUMMYFUNCTION("""COMPUTED_VALUE"""),"Barrera mediana HOG600 Roja 560x1130x400 mm")</f>
        <v>Barrera mediana HOG600 Roja 560x1130x400 mm</v>
      </c>
      <c r="C1147" s="4">
        <f>IFERROR(__xludf.DUMMYFUNCTION("""COMPUTED_VALUE"""),46.0)</f>
        <v>46</v>
      </c>
    </row>
    <row r="1148">
      <c r="A1148" s="4" t="str">
        <f>IFERROR(__xludf.DUMMYFUNCTION("""COMPUTED_VALUE"""),"1123")</f>
        <v>1123</v>
      </c>
      <c r="B1148" s="4" t="str">
        <f>IFERROR(__xludf.DUMMYFUNCTION("""COMPUTED_VALUE"""),"Mts. Cadena plástico 10 m/m R/B")</f>
        <v>Mts. Cadena plástico 10 m/m R/B</v>
      </c>
      <c r="C1148" s="4">
        <f>IFERROR(__xludf.DUMMYFUNCTION("""COMPUTED_VALUE"""),1.05)</f>
        <v>1.05</v>
      </c>
    </row>
    <row r="1149">
      <c r="A1149" s="4" t="str">
        <f>IFERROR(__xludf.DUMMYFUNCTION("""COMPUTED_VALUE"""),"1124")</f>
        <v>1124</v>
      </c>
      <c r="B1149" s="4" t="str">
        <f>IFERROR(__xludf.DUMMYFUNCTION("""COMPUTED_VALUE"""),"Mts. Cadena plástico 10 m/m N/A")</f>
        <v>Mts. Cadena plástico 10 m/m N/A</v>
      </c>
      <c r="C1149" s="4">
        <f>IFERROR(__xludf.DUMMYFUNCTION("""COMPUTED_VALUE"""),1.05)</f>
        <v>1.05</v>
      </c>
    </row>
    <row r="1150">
      <c r="A1150" s="4" t="str">
        <f>IFERROR(__xludf.DUMMYFUNCTION("""COMPUTED_VALUE"""),"1125")</f>
        <v>1125</v>
      </c>
      <c r="B1150" s="4" t="str">
        <f>IFERROR(__xludf.DUMMYFUNCTION("""COMPUTED_VALUE"""),"Poste señaliz. 1 m Rojo/Blanco p/cadena plastica")</f>
        <v>Poste señaliz. 1 m Rojo/Blanco p/cadena plastica</v>
      </c>
      <c r="C1150" s="4">
        <f>IFERROR(__xludf.DUMMYFUNCTION("""COMPUTED_VALUE"""),6.45)</f>
        <v>6.45</v>
      </c>
    </row>
    <row r="1151">
      <c r="A1151" s="4" t="str">
        <f>IFERROR(__xludf.DUMMYFUNCTION("""COMPUTED_VALUE"""),"1125AN")</f>
        <v>1125AN</v>
      </c>
      <c r="B1151" s="4" t="str">
        <f>IFERROR(__xludf.DUMMYFUNCTION("""COMPUTED_VALUE"""),"Poste señaliz. 1 m Amarillo/negro p/cadena plastica")</f>
        <v>Poste señaliz. 1 m Amarillo/negro p/cadena plastica</v>
      </c>
      <c r="C1151" s="4">
        <f>IFERROR(__xludf.DUMMYFUNCTION("""COMPUTED_VALUE"""),6.45)</f>
        <v>6.45</v>
      </c>
    </row>
    <row r="1152">
      <c r="A1152" s="4" t="str">
        <f>IFERROR(__xludf.DUMMYFUNCTION("""COMPUTED_VALUE"""),"1125BZ")</f>
        <v>1125BZ</v>
      </c>
      <c r="B1152" s="4" t="str">
        <f>IFERROR(__xludf.DUMMYFUNCTION("""COMPUTED_VALUE"""),"Poste señaliz. 1 m Azul/Blanco p/cadena plastica")</f>
        <v>Poste señaliz. 1 m Azul/Blanco p/cadena plastica</v>
      </c>
      <c r="C1152" s="4">
        <f>IFERROR(__xludf.DUMMYFUNCTION("""COMPUTED_VALUE"""),6.45)</f>
        <v>6.45</v>
      </c>
    </row>
    <row r="1153">
      <c r="A1153" s="4" t="str">
        <f>IFERROR(__xludf.DUMMYFUNCTION("""COMPUTED_VALUE"""),"1125VB")</f>
        <v>1125VB</v>
      </c>
      <c r="B1153" s="4" t="str">
        <f>IFERROR(__xludf.DUMMYFUNCTION("""COMPUTED_VALUE"""),"Poste señaliz. 1 m Verde/Blanco p/cadena plastica")</f>
        <v>Poste señaliz. 1 m Verde/Blanco p/cadena plastica</v>
      </c>
      <c r="C1153" s="4">
        <f>IFERROR(__xludf.DUMMYFUNCTION("""COMPUTED_VALUE"""),6.45)</f>
        <v>6.45</v>
      </c>
    </row>
    <row r="1154">
      <c r="A1154" s="4" t="str">
        <f>IFERROR(__xludf.DUMMYFUNCTION("""COMPUTED_VALUE"""),"1126")</f>
        <v>1126</v>
      </c>
      <c r="B1154" s="4" t="str">
        <f>IFERROR(__xludf.DUMMYFUNCTION("""COMPUTED_VALUE"""),"Mts. Cadena Plástico 5.5 m/m R/B")</f>
        <v>Mts. Cadena Plástico 5.5 m/m R/B</v>
      </c>
      <c r="C1154" s="4">
        <f>IFERROR(__xludf.DUMMYFUNCTION("""COMPUTED_VALUE"""),0.65)</f>
        <v>0.65</v>
      </c>
    </row>
    <row r="1155">
      <c r="A1155" s="4" t="str">
        <f>IFERROR(__xludf.DUMMYFUNCTION("""COMPUTED_VALUE"""),"1126B")</f>
        <v>1126B</v>
      </c>
      <c r="B1155" s="4" t="str">
        <f>IFERROR(__xludf.DUMMYFUNCTION("""COMPUTED_VALUE"""),"Mts. cadena Plástico 5.5 mm Blanca")</f>
        <v>Mts. cadena Plástico 5.5 mm Blanca</v>
      </c>
      <c r="C1155" s="4">
        <f>IFERROR(__xludf.DUMMYFUNCTION("""COMPUTED_VALUE"""),0.65)</f>
        <v>0.65</v>
      </c>
    </row>
    <row r="1156">
      <c r="A1156" s="4" t="str">
        <f>IFERROR(__xludf.DUMMYFUNCTION("""COMPUTED_VALUE"""),"1126BZ")</f>
        <v>1126BZ</v>
      </c>
      <c r="B1156" s="4" t="str">
        <f>IFERROR(__xludf.DUMMYFUNCTION("""COMPUTED_VALUE"""),"Mts. Cadena Plástico 5.5 m/m B/Z")</f>
        <v>Mts. Cadena Plástico 5.5 m/m B/Z</v>
      </c>
      <c r="C1156" s="4">
        <f>IFERROR(__xludf.DUMMYFUNCTION("""COMPUTED_VALUE"""),0.65)</f>
        <v>0.65</v>
      </c>
    </row>
    <row r="1157">
      <c r="A1157" s="4" t="str">
        <f>IFERROR(__xludf.DUMMYFUNCTION("""COMPUTED_VALUE"""),"1126M3")</f>
        <v>1126M3</v>
      </c>
      <c r="B1157" s="4" t="str">
        <f>IFERROR(__xludf.DUMMYFUNCTION("""COMPUTED_VALUE"""),"Rollo 165 m cadena metálica señalización cincada 3 mm")</f>
        <v>Rollo 165 m cadena metálica señalización cincada 3 mm</v>
      </c>
      <c r="C1157" s="4">
        <f>IFERROR(__xludf.DUMMYFUNCTION("""COMPUTED_VALUE"""),118.125)</f>
        <v>118.125</v>
      </c>
    </row>
    <row r="1158">
      <c r="A1158" s="4" t="str">
        <f>IFERROR(__xludf.DUMMYFUNCTION("""COMPUTED_VALUE"""),"1126M6")</f>
        <v>1126M6</v>
      </c>
      <c r="B1158" s="4" t="str">
        <f>IFERROR(__xludf.DUMMYFUNCTION("""COMPUTED_VALUE"""),"Rollo 38 m cadena metálica señalización cincada 6 mm")</f>
        <v>Rollo 38 m cadena metálica señalización cincada 6 mm</v>
      </c>
      <c r="C1158" s="4">
        <f>IFERROR(__xludf.DUMMYFUNCTION("""COMPUTED_VALUE"""),99.0)</f>
        <v>99</v>
      </c>
    </row>
    <row r="1159">
      <c r="A1159" s="4" t="str">
        <f>IFERROR(__xludf.DUMMYFUNCTION("""COMPUTED_VALUE"""),"1126M8")</f>
        <v>1126M8</v>
      </c>
      <c r="B1159" s="4" t="str">
        <f>IFERROR(__xludf.DUMMYFUNCTION("""COMPUTED_VALUE"""),"Rollo 21 m cadena metálica señalización cincada 8 mm")</f>
        <v>Rollo 21 m cadena metálica señalización cincada 8 mm</v>
      </c>
      <c r="C1159" s="4">
        <f>IFERROR(__xludf.DUMMYFUNCTION("""COMPUTED_VALUE"""),92.5)</f>
        <v>92.5</v>
      </c>
    </row>
    <row r="1160">
      <c r="A1160" s="4" t="str">
        <f>IFERROR(__xludf.DUMMYFUNCTION("""COMPUTED_VALUE"""),"1126MNA")</f>
        <v>1126MNA</v>
      </c>
      <c r="B1160" s="4" t="str">
        <f>IFERROR(__xludf.DUMMYFUNCTION("""COMPUTED_VALUE"""),"Rollo 25 m cadena metálica Señalización pintada")</f>
        <v>Rollo 25 m cadena metálica Señalización pintada</v>
      </c>
      <c r="C1160" s="4">
        <f>IFERROR(__xludf.DUMMYFUNCTION("""COMPUTED_VALUE"""),90.0)</f>
        <v>90</v>
      </c>
    </row>
    <row r="1161">
      <c r="A1161" s="4" t="str">
        <f>IFERROR(__xludf.DUMMYFUNCTION("""COMPUTED_VALUE"""),"1126MRB")</f>
        <v>1126MRB</v>
      </c>
      <c r="B1161" s="4" t="str">
        <f>IFERROR(__xludf.DUMMYFUNCTION("""COMPUTED_VALUE"""),"Rollo 25 m cadena metálica Señalización pintada")</f>
        <v>Rollo 25 m cadena metálica Señalización pintada</v>
      </c>
      <c r="C1161" s="4">
        <f>IFERROR(__xludf.DUMMYFUNCTION("""COMPUTED_VALUE"""),90.0)</f>
        <v>90</v>
      </c>
    </row>
    <row r="1162">
      <c r="A1162" s="4" t="str">
        <f>IFERROR(__xludf.DUMMYFUNCTION("""COMPUTED_VALUE"""),"1126V")</f>
        <v>1126V</v>
      </c>
      <c r="B1162" s="4" t="str">
        <f>IFERROR(__xludf.DUMMYFUNCTION("""COMPUTED_VALUE"""),"Mts. Cadena Plástico 5.5 mm Verde")</f>
        <v>Mts. Cadena Plástico 5.5 mm Verde</v>
      </c>
      <c r="C1162" s="4">
        <f>IFERROR(__xludf.DUMMYFUNCTION("""COMPUTED_VALUE"""),0.65)</f>
        <v>0.65</v>
      </c>
    </row>
    <row r="1163">
      <c r="A1163" s="4" t="str">
        <f>IFERROR(__xludf.DUMMYFUNCTION("""COMPUTED_VALUE"""),"1126VB")</f>
        <v>1126VB</v>
      </c>
      <c r="B1163" s="4" t="str">
        <f>IFERROR(__xludf.DUMMYFUNCTION("""COMPUTED_VALUE"""),"Mts. Cadena Plástico 5.5 mm V/B")</f>
        <v>Mts. Cadena Plástico 5.5 mm V/B</v>
      </c>
      <c r="C1163" s="4">
        <f>IFERROR(__xludf.DUMMYFUNCTION("""COMPUTED_VALUE"""),0.65)</f>
        <v>0.65</v>
      </c>
    </row>
    <row r="1164">
      <c r="A1164" s="4" t="str">
        <f>IFERROR(__xludf.DUMMYFUNCTION("""COMPUTED_VALUE"""),"1127")</f>
        <v>1127</v>
      </c>
      <c r="B1164" s="4" t="str">
        <f>IFERROR(__xludf.DUMMYFUNCTION("""COMPUTED_VALUE"""),"Mts. Cadena plastico 7.5 mm R/B")</f>
        <v>Mts. Cadena plastico 7.5 mm R/B</v>
      </c>
      <c r="C1164" s="4">
        <f>IFERROR(__xludf.DUMMYFUNCTION("""COMPUTED_VALUE"""),0.78)</f>
        <v>0.78</v>
      </c>
    </row>
    <row r="1165">
      <c r="A1165" s="4" t="str">
        <f>IFERROR(__xludf.DUMMYFUNCTION("""COMPUTED_VALUE"""),"1127B")</f>
        <v>1127B</v>
      </c>
      <c r="B1165" s="4" t="str">
        <f>IFERROR(__xludf.DUMMYFUNCTION("""COMPUTED_VALUE"""),"Mts. cadena Plástico 7.5 mm Blanca")</f>
        <v>Mts. cadena Plástico 7.5 mm Blanca</v>
      </c>
      <c r="C1165" s="4">
        <f>IFERROR(__xludf.DUMMYFUNCTION("""COMPUTED_VALUE"""),0.78)</f>
        <v>0.78</v>
      </c>
    </row>
    <row r="1166">
      <c r="A1166" s="4" t="str">
        <f>IFERROR(__xludf.DUMMYFUNCTION("""COMPUTED_VALUE"""),"1127BZ")</f>
        <v>1127BZ</v>
      </c>
      <c r="B1166" s="4" t="str">
        <f>IFERROR(__xludf.DUMMYFUNCTION("""COMPUTED_VALUE"""),"Mts. Cadena Plástico 7.5 mm B/Z")</f>
        <v>Mts. Cadena Plástico 7.5 mm B/Z</v>
      </c>
      <c r="C1166" s="4">
        <f>IFERROR(__xludf.DUMMYFUNCTION("""COMPUTED_VALUE"""),0.78)</f>
        <v>0.78</v>
      </c>
    </row>
    <row r="1167">
      <c r="A1167" s="4" t="str">
        <f>IFERROR(__xludf.DUMMYFUNCTION("""COMPUTED_VALUE"""),"1127V")</f>
        <v>1127V</v>
      </c>
      <c r="B1167" s="4" t="str">
        <f>IFERROR(__xludf.DUMMYFUNCTION("""COMPUTED_VALUE"""),"Mts. cadena Plástico 7.5 mm Verde")</f>
        <v>Mts. cadena Plástico 7.5 mm Verde</v>
      </c>
      <c r="C1167" s="4">
        <f>IFERROR(__xludf.DUMMYFUNCTION("""COMPUTED_VALUE"""),0.78)</f>
        <v>0.78</v>
      </c>
    </row>
    <row r="1168">
      <c r="A1168" s="4" t="str">
        <f>IFERROR(__xludf.DUMMYFUNCTION("""COMPUTED_VALUE"""),"1127VB")</f>
        <v>1127VB</v>
      </c>
      <c r="B1168" s="4" t="str">
        <f>IFERROR(__xludf.DUMMYFUNCTION("""COMPUTED_VALUE"""),"Mts. Cadena Plástico 7.5 mm V/B")</f>
        <v>Mts. Cadena Plástico 7.5 mm V/B</v>
      </c>
      <c r="C1168" s="4">
        <f>IFERROR(__xludf.DUMMYFUNCTION("""COMPUTED_VALUE"""),0.78)</f>
        <v>0.78</v>
      </c>
    </row>
    <row r="1169">
      <c r="A1169" s="4" t="str">
        <f>IFERROR(__xludf.DUMMYFUNCTION("""COMPUTED_VALUE"""),"1128")</f>
        <v>1128</v>
      </c>
      <c r="B1169" s="4" t="str">
        <f>IFERROR(__xludf.DUMMYFUNCTION("""COMPUTED_VALUE"""),"Mts. Cadena plastico 5.5mm N/A")</f>
        <v>Mts. Cadena plastico 5.5mm N/A</v>
      </c>
      <c r="C1169" s="4">
        <f>IFERROR(__xludf.DUMMYFUNCTION("""COMPUTED_VALUE"""),0.65)</f>
        <v>0.65</v>
      </c>
    </row>
    <row r="1170">
      <c r="A1170" s="4" t="str">
        <f>IFERROR(__xludf.DUMMYFUNCTION("""COMPUTED_VALUE"""),"1129")</f>
        <v>1129</v>
      </c>
      <c r="B1170" s="4" t="str">
        <f>IFERROR(__xludf.DUMMYFUNCTION("""COMPUTED_VALUE"""),"Mts. Cadena plastico 7.5 mm N/A")</f>
        <v>Mts. Cadena plastico 7.5 mm N/A</v>
      </c>
      <c r="C1170" s="4">
        <f>IFERROR(__xludf.DUMMYFUNCTION("""COMPUTED_VALUE"""),0.78)</f>
        <v>0.78</v>
      </c>
    </row>
    <row r="1171">
      <c r="A1171" s="4" t="str">
        <f>IFERROR(__xludf.DUMMYFUNCTION("""COMPUTED_VALUE"""),"1132")</f>
        <v>1132</v>
      </c>
      <c r="B1171" s="4" t="str">
        <f>IFERROR(__xludf.DUMMYFUNCTION("""COMPUTED_VALUE"""),"Poste plata con cinturón retráctil rojo 2 m")</f>
        <v>Poste plata con cinturón retráctil rojo 2 m</v>
      </c>
      <c r="C1171" s="4">
        <f>IFERROR(__xludf.DUMMYFUNCTION("""COMPUTED_VALUE"""),24.0)</f>
        <v>24</v>
      </c>
    </row>
    <row r="1172">
      <c r="A1172" s="4" t="str">
        <f>IFERROR(__xludf.DUMMYFUNCTION("""COMPUTED_VALUE"""),"11325M")</f>
        <v>11325M</v>
      </c>
      <c r="B1172" s="4" t="str">
        <f>IFERROR(__xludf.DUMMYFUNCTION("""COMPUTED_VALUE"""),"Poste plata con cinturón retráctil rojo 5 m")</f>
        <v>Poste plata con cinturón retráctil rojo 5 m</v>
      </c>
      <c r="C1172" s="4">
        <f>IFERROR(__xludf.DUMMYFUNCTION("""COMPUTED_VALUE"""),31.0)</f>
        <v>31</v>
      </c>
    </row>
    <row r="1173">
      <c r="A1173" s="4" t="str">
        <f>IFERROR(__xludf.DUMMYFUNCTION("""COMPUTED_VALUE"""),"1132A")</f>
        <v>1132A</v>
      </c>
      <c r="B1173" s="4" t="str">
        <f>IFERROR(__xludf.DUMMYFUNCTION("""COMPUTED_VALUE"""),"Poste plata con cinturón retráctil azul 2 m")</f>
        <v>Poste plata con cinturón retráctil azul 2 m</v>
      </c>
      <c r="C1173" s="4">
        <f>IFERROR(__xludf.DUMMYFUNCTION("""COMPUTED_VALUE"""),24.0)</f>
        <v>24</v>
      </c>
    </row>
    <row r="1174">
      <c r="A1174" s="4" t="str">
        <f>IFERROR(__xludf.DUMMYFUNCTION("""COMPUTED_VALUE"""),"1132A5M")</f>
        <v>1132A5M</v>
      </c>
      <c r="B1174" s="4" t="str">
        <f>IFERROR(__xludf.DUMMYFUNCTION("""COMPUTED_VALUE"""),"Poste plata con cinturón retráctil azul 5 m")</f>
        <v>Poste plata con cinturón retráctil azul 5 m</v>
      </c>
      <c r="C1174" s="4">
        <f>IFERROR(__xludf.DUMMYFUNCTION("""COMPUTED_VALUE"""),31.0)</f>
        <v>31</v>
      </c>
    </row>
    <row r="1175">
      <c r="A1175" s="4" t="str">
        <f>IFERROR(__xludf.DUMMYFUNCTION("""COMPUTED_VALUE"""),"1132N")</f>
        <v>1132N</v>
      </c>
      <c r="B1175" s="4" t="str">
        <f>IFERROR(__xludf.DUMMYFUNCTION("""COMPUTED_VALUE"""),"Poste plata con cinturón retráctil negro 2 m")</f>
        <v>Poste plata con cinturón retráctil negro 2 m</v>
      </c>
      <c r="C1175" s="4">
        <f>IFERROR(__xludf.DUMMYFUNCTION("""COMPUTED_VALUE"""),24.0)</f>
        <v>24</v>
      </c>
    </row>
    <row r="1176">
      <c r="A1176" s="4" t="str">
        <f>IFERROR(__xludf.DUMMYFUNCTION("""COMPUTED_VALUE"""),"1132N5M")</f>
        <v>1132N5M</v>
      </c>
      <c r="B1176" s="4" t="str">
        <f>IFERROR(__xludf.DUMMYFUNCTION("""COMPUTED_VALUE"""),"Poste plata con cinturón retráctil negro 5 m")</f>
        <v>Poste plata con cinturón retráctil negro 5 m</v>
      </c>
      <c r="C1176" s="4">
        <f>IFERROR(__xludf.DUMMYFUNCTION("""COMPUTED_VALUE"""),31.0)</f>
        <v>31</v>
      </c>
    </row>
    <row r="1177">
      <c r="A1177" s="4" t="str">
        <f>IFERROR(__xludf.DUMMYFUNCTION("""COMPUTED_VALUE"""),"1133")</f>
        <v>1133</v>
      </c>
      <c r="B1177" s="4" t="str">
        <f>IFERROR(__xludf.DUMMYFUNCTION("""COMPUTED_VALUE"""),"Cinturón Retráctil Pared rojo 2 m")</f>
        <v>Cinturón Retráctil Pared rojo 2 m</v>
      </c>
      <c r="C1177" s="4">
        <f>IFERROR(__xludf.DUMMYFUNCTION("""COMPUTED_VALUE"""),16.95)</f>
        <v>16.95</v>
      </c>
    </row>
    <row r="1178">
      <c r="A1178" s="4" t="str">
        <f>IFERROR(__xludf.DUMMYFUNCTION("""COMPUTED_VALUE"""),"11335M")</f>
        <v>11335M</v>
      </c>
      <c r="B1178" s="4" t="str">
        <f>IFERROR(__xludf.DUMMYFUNCTION("""COMPUTED_VALUE"""),"Cinturón Retráctil Pared rojo 5 m")</f>
        <v>Cinturón Retráctil Pared rojo 5 m</v>
      </c>
      <c r="C1178" s="4">
        <f>IFERROR(__xludf.DUMMYFUNCTION("""COMPUTED_VALUE"""),29.0)</f>
        <v>29</v>
      </c>
    </row>
    <row r="1179">
      <c r="A1179" s="4" t="str">
        <f>IFERROR(__xludf.DUMMYFUNCTION("""COMPUTED_VALUE"""),"1133A")</f>
        <v>1133A</v>
      </c>
      <c r="B1179" s="4" t="str">
        <f>IFERROR(__xludf.DUMMYFUNCTION("""COMPUTED_VALUE"""),"Enganche pared para cinturón retráctil")</f>
        <v>Enganche pared para cinturón retráctil</v>
      </c>
      <c r="C1179" s="4">
        <f>IFERROR(__xludf.DUMMYFUNCTION("""COMPUTED_VALUE"""),1.5)</f>
        <v>1.5</v>
      </c>
    </row>
    <row r="1180">
      <c r="A1180" s="4" t="str">
        <f>IFERROR(__xludf.DUMMYFUNCTION("""COMPUTED_VALUE"""),"1133A5M")</f>
        <v>1133A5M</v>
      </c>
      <c r="B1180" s="4" t="str">
        <f>IFERROR(__xludf.DUMMYFUNCTION("""COMPUTED_VALUE"""),"Cinturón Retráctil Pared azul 5 m")</f>
        <v>Cinturón Retráctil Pared azul 5 m</v>
      </c>
      <c r="C1180" s="4">
        <f>IFERROR(__xludf.DUMMYFUNCTION("""COMPUTED_VALUE"""),29.0)</f>
        <v>29</v>
      </c>
    </row>
    <row r="1181">
      <c r="A1181" s="4" t="str">
        <f>IFERROR(__xludf.DUMMYFUNCTION("""COMPUTED_VALUE"""),"1133N")</f>
        <v>1133N</v>
      </c>
      <c r="B1181" s="4" t="str">
        <f>IFERROR(__xludf.DUMMYFUNCTION("""COMPUTED_VALUE"""),"Cinturón Retráctil Pared negro 2m")</f>
        <v>Cinturón Retráctil Pared negro 2m</v>
      </c>
      <c r="C1181" s="4">
        <f>IFERROR(__xludf.DUMMYFUNCTION("""COMPUTED_VALUE"""),16.95)</f>
        <v>16.95</v>
      </c>
    </row>
    <row r="1182">
      <c r="A1182" s="4" t="str">
        <f>IFERROR(__xludf.DUMMYFUNCTION("""COMPUTED_VALUE"""),"1133N5M")</f>
        <v>1133N5M</v>
      </c>
      <c r="B1182" s="4" t="str">
        <f>IFERROR(__xludf.DUMMYFUNCTION("""COMPUTED_VALUE"""),"Cinturón Retráctil Pared negro 5 m")</f>
        <v>Cinturón Retráctil Pared negro 5 m</v>
      </c>
      <c r="C1182" s="4">
        <f>IFERROR(__xludf.DUMMYFUNCTION("""COMPUTED_VALUE"""),29.0)</f>
        <v>29</v>
      </c>
    </row>
    <row r="1183">
      <c r="A1183" s="4" t="str">
        <f>IFERROR(__xludf.DUMMYFUNCTION("""COMPUTED_VALUE"""),"1134")</f>
        <v>1134</v>
      </c>
      <c r="B1183" s="4" t="str">
        <f>IFERROR(__xludf.DUMMYFUNCTION("""COMPUTED_VALUE"""),"Poste Negro con cinturón retráctil rojo 2 m")</f>
        <v>Poste Negro con cinturón retráctil rojo 2 m</v>
      </c>
      <c r="C1183" s="4">
        <f>IFERROR(__xludf.DUMMYFUNCTION("""COMPUTED_VALUE"""),24.5)</f>
        <v>24.5</v>
      </c>
    </row>
    <row r="1184">
      <c r="A1184" s="4" t="str">
        <f>IFERROR(__xludf.DUMMYFUNCTION("""COMPUTED_VALUE"""),"1134A")</f>
        <v>1134A</v>
      </c>
      <c r="B1184" s="4" t="str">
        <f>IFERROR(__xludf.DUMMYFUNCTION("""COMPUTED_VALUE"""),"Poste Negro con cinturón retráctil azul 2 m")</f>
        <v>Poste Negro con cinturón retráctil azul 2 m</v>
      </c>
      <c r="C1184" s="4">
        <f>IFERROR(__xludf.DUMMYFUNCTION("""COMPUTED_VALUE"""),24.0)</f>
        <v>24</v>
      </c>
    </row>
    <row r="1185">
      <c r="A1185" s="4" t="str">
        <f>IFERROR(__xludf.DUMMYFUNCTION("""COMPUTED_VALUE"""),"1134N")</f>
        <v>1134N</v>
      </c>
      <c r="B1185" s="4" t="str">
        <f>IFERROR(__xludf.DUMMYFUNCTION("""COMPUTED_VALUE"""),"Poste negro con cinturón retráctil negro 2 m")</f>
        <v>Poste negro con cinturón retráctil negro 2 m</v>
      </c>
      <c r="C1185" s="4">
        <f>IFERROR(__xludf.DUMMYFUNCTION("""COMPUTED_VALUE"""),24.0)</f>
        <v>24</v>
      </c>
    </row>
    <row r="1186">
      <c r="A1186" s="4" t="str">
        <f>IFERROR(__xludf.DUMMYFUNCTION("""COMPUTED_VALUE"""),"1134NA")</f>
        <v>1134NA</v>
      </c>
      <c r="B1186" s="4" t="str">
        <f>IFERROR(__xludf.DUMMYFUNCTION("""COMPUTED_VALUE"""),"Poste negro con cinturón retráctil negro/amarillo 5 m")</f>
        <v>Poste negro con cinturón retráctil negro/amarillo 5 m</v>
      </c>
      <c r="C1186" s="4">
        <f>IFERROR(__xludf.DUMMYFUNCTION("""COMPUTED_VALUE"""),24.0)</f>
        <v>24</v>
      </c>
    </row>
    <row r="1187">
      <c r="A1187" s="4" t="str">
        <f>IFERROR(__xludf.DUMMYFUNCTION("""COMPUTED_VALUE"""),"1134RB")</f>
        <v>1134RB</v>
      </c>
      <c r="B1187" s="4" t="str">
        <f>IFERROR(__xludf.DUMMYFUNCTION("""COMPUTED_VALUE"""),"Poste negro con cinturón retráctil rojo/blanco 5 m")</f>
        <v>Poste negro con cinturón retráctil rojo/blanco 5 m</v>
      </c>
      <c r="C1187" s="4">
        <f>IFERROR(__xludf.DUMMYFUNCTION("""COMPUTED_VALUE"""),24.0)</f>
        <v>24</v>
      </c>
    </row>
    <row r="1188">
      <c r="A1188" s="4" t="str">
        <f>IFERROR(__xludf.DUMMYFUNCTION("""COMPUTED_VALUE"""),"1135")</f>
        <v>1135</v>
      </c>
      <c r="B1188" s="4" t="str">
        <f>IFERROR(__xludf.DUMMYFUNCTION("""COMPUTED_VALUE"""),"Cinturón retractil pared azul 2 m")</f>
        <v>Cinturón retractil pared azul 2 m</v>
      </c>
      <c r="C1188" s="4">
        <f>IFERROR(__xludf.DUMMYFUNCTION("""COMPUTED_VALUE"""),16.95)</f>
        <v>16.95</v>
      </c>
    </row>
    <row r="1189">
      <c r="A1189" s="4" t="str">
        <f>IFERROR(__xludf.DUMMYFUNCTION("""COMPUTED_VALUE"""),"1136")</f>
        <v>1136</v>
      </c>
      <c r="B1189" s="4" t="str">
        <f>IFERROR(__xludf.DUMMYFUNCTION("""COMPUTED_VALUE"""),"Poste R/B para cadena con base hexagonal pesada")</f>
        <v>Poste R/B para cadena con base hexagonal pesada</v>
      </c>
      <c r="C1189" s="4">
        <f>IFERROR(__xludf.DUMMYFUNCTION("""COMPUTED_VALUE"""),9.45)</f>
        <v>9.45</v>
      </c>
    </row>
    <row r="1190">
      <c r="A1190" s="4" t="str">
        <f>IFERROR(__xludf.DUMMYFUNCTION("""COMPUTED_VALUE"""),"1138")</f>
        <v>1138</v>
      </c>
      <c r="B1190" s="4" t="str">
        <f>IFERROR(__xludf.DUMMYFUNCTION("""COMPUTED_VALUE"""),"Poste señaliz. R/B p/cadena plastica base caucho 3 kg")</f>
        <v>Poste señaliz. R/B p/cadena plastica base caucho 3 kg</v>
      </c>
      <c r="C1190" s="4">
        <f>IFERROR(__xludf.DUMMYFUNCTION("""COMPUTED_VALUE"""),7.75)</f>
        <v>7.75</v>
      </c>
    </row>
    <row r="1191">
      <c r="A1191" s="4" t="str">
        <f>IFERROR(__xludf.DUMMYFUNCTION("""COMPUTED_VALUE"""),"1139")</f>
        <v>1139</v>
      </c>
      <c r="B1191" s="4" t="str">
        <f>IFERROR(__xludf.DUMMYFUNCTION("""COMPUTED_VALUE"""),"Poste señaliz. N/A p/cadena plastica base caucho 3 kg")</f>
        <v>Poste señaliz. N/A p/cadena plastica base caucho 3 kg</v>
      </c>
      <c r="C1191" s="4">
        <f>IFERROR(__xludf.DUMMYFUNCTION("""COMPUTED_VALUE"""),7.75)</f>
        <v>7.75</v>
      </c>
    </row>
    <row r="1192">
      <c r="A1192" s="4" t="str">
        <f>IFERROR(__xludf.DUMMYFUNCTION("""COMPUTED_VALUE"""),"1520")</f>
        <v>1520</v>
      </c>
      <c r="B1192" s="4" t="str">
        <f>IFERROR(__xludf.DUMMYFUNCTION("""COMPUTED_VALUE"""),"Cinta Creppe 48 mm x 45 m")</f>
        <v>Cinta Creppe 48 mm x 45 m</v>
      </c>
      <c r="C1192" s="4">
        <f>IFERROR(__xludf.DUMMYFUNCTION("""COMPUTED_VALUE"""),1.45)</f>
        <v>1.45</v>
      </c>
    </row>
    <row r="1193">
      <c r="A1193" s="4" t="str">
        <f>IFERROR(__xludf.DUMMYFUNCTION("""COMPUTED_VALUE"""),"1522")</f>
        <v>1522</v>
      </c>
      <c r="B1193" s="4" t="str">
        <f>IFERROR(__xludf.DUMMYFUNCTION("""COMPUTED_VALUE"""),"Cinta Creppe Azul 48 mm x 45 m")</f>
        <v>Cinta Creppe Azul 48 mm x 45 m</v>
      </c>
      <c r="C1193" s="4">
        <f>IFERROR(__xludf.DUMMYFUNCTION("""COMPUTED_VALUE"""),1.75)</f>
        <v>1.75</v>
      </c>
    </row>
    <row r="1194">
      <c r="A1194" s="4" t="str">
        <f>IFERROR(__xludf.DUMMYFUNCTION("""COMPUTED_VALUE"""),"1523")</f>
        <v>1523</v>
      </c>
      <c r="B1194" s="4" t="str">
        <f>IFERROR(__xludf.DUMMYFUNCTION("""COMPUTED_VALUE"""),"Cinta Creppe Exteriores Azul 48 mm x 45 m")</f>
        <v>Cinta Creppe Exteriores Azul 48 mm x 45 m</v>
      </c>
      <c r="C1194" s="4">
        <f>IFERROR(__xludf.DUMMYFUNCTION("""COMPUTED_VALUE"""),5.2)</f>
        <v>5.2</v>
      </c>
    </row>
    <row r="1195">
      <c r="A1195" s="4" t="str">
        <f>IFERROR(__xludf.DUMMYFUNCTION("""COMPUTED_VALUE"""),"1524")</f>
        <v>1524</v>
      </c>
      <c r="B1195" s="4" t="str">
        <f>IFERROR(__xludf.DUMMYFUNCTION("""COMPUTED_VALUE"""),"Cinta Aluminio 30 my 50 mm x 10 m")</f>
        <v>Cinta Aluminio 30 my 50 mm x 10 m</v>
      </c>
      <c r="C1195" s="4">
        <f>IFERROR(__xludf.DUMMYFUNCTION("""COMPUTED_VALUE"""),0.95)</f>
        <v>0.95</v>
      </c>
    </row>
    <row r="1196">
      <c r="A1196" s="4" t="str">
        <f>IFERROR(__xludf.DUMMYFUNCTION("""COMPUTED_VALUE"""),"1525")</f>
        <v>1525</v>
      </c>
      <c r="B1196" s="4" t="str">
        <f>IFERROR(__xludf.DUMMYFUNCTION("""COMPUTED_VALUE"""),"Cinta Aluminio 30 my 50 mm x 45 m")</f>
        <v>Cinta Aluminio 30 my 50 mm x 45 m</v>
      </c>
      <c r="C1196" s="4">
        <f>IFERROR(__xludf.DUMMYFUNCTION("""COMPUTED_VALUE"""),4.25)</f>
        <v>4.25</v>
      </c>
    </row>
    <row r="1197">
      <c r="A1197" s="4" t="str">
        <f>IFERROR(__xludf.DUMMYFUNCTION("""COMPUTED_VALUE"""),"1536")</f>
        <v>1536</v>
      </c>
      <c r="B1197" s="4" t="str">
        <f>IFERROR(__xludf.DUMMYFUNCTION("""COMPUTED_VALUE"""),"Rollo cinta marcaje temporal Amarilla 3M 75 m x 12 cm")</f>
        <v>Rollo cinta marcaje temporal Amarilla 3M 75 m x 12 cm</v>
      </c>
      <c r="C1197" s="4">
        <f>IFERROR(__xludf.DUMMYFUNCTION("""COMPUTED_VALUE"""),456.75)</f>
        <v>456.75</v>
      </c>
    </row>
    <row r="1198">
      <c r="A1198" s="4" t="str">
        <f>IFERROR(__xludf.DUMMYFUNCTION("""COMPUTED_VALUE"""),"1537")</f>
        <v>1537</v>
      </c>
      <c r="B1198" s="4" t="str">
        <f>IFERROR(__xludf.DUMMYFUNCTION("""COMPUTED_VALUE"""),"Rollo cinta enmascarar Negra 3M 109 m x 15 cm")</f>
        <v>Rollo cinta enmascarar Negra 3M 109 m x 15 cm</v>
      </c>
      <c r="C1198" s="4">
        <f>IFERROR(__xludf.DUMMYFUNCTION("""COMPUTED_VALUE"""),417.375)</f>
        <v>417.375</v>
      </c>
    </row>
    <row r="1199">
      <c r="A1199" s="4" t="str">
        <f>IFERROR(__xludf.DUMMYFUNCTION("""COMPUTED_VALUE"""),"1538")</f>
        <v>1538</v>
      </c>
      <c r="B1199" s="4" t="str">
        <f>IFERROR(__xludf.DUMMYFUNCTION("""COMPUTED_VALUE"""),"Rollo cinta antidelizante luminiscente 2,5 cm x 18,30 mt")</f>
        <v>Rollo cinta antidelizante luminiscente 2,5 cm x 18,30 mt</v>
      </c>
      <c r="C1199" s="4">
        <f>IFERROR(__xludf.DUMMYFUNCTION("""COMPUTED_VALUE"""),47.0)</f>
        <v>47</v>
      </c>
    </row>
    <row r="1200">
      <c r="A1200" s="4" t="str">
        <f>IFERROR(__xludf.DUMMYFUNCTION("""COMPUTED_VALUE"""),"1539")</f>
        <v>1539</v>
      </c>
      <c r="B1200" s="4" t="str">
        <f>IFERROR(__xludf.DUMMYFUNCTION("""COMPUTED_VALUE"""),"Rollo Cinta 10cm x 200 m bomberos Roja/blanca")</f>
        <v>Rollo Cinta 10cm x 200 m bomberos Roja/blanca</v>
      </c>
      <c r="C1200" s="4">
        <f>IFERROR(__xludf.DUMMYFUNCTION("""COMPUTED_VALUE"""),8.25)</f>
        <v>8.25</v>
      </c>
    </row>
    <row r="1201">
      <c r="A1201" s="4" t="str">
        <f>IFERROR(__xludf.DUMMYFUNCTION("""COMPUTED_VALUE"""),"1540")</f>
        <v>1540</v>
      </c>
      <c r="B1201" s="4" t="str">
        <f>IFERROR(__xludf.DUMMYFUNCTION("""COMPUTED_VALUE"""),"Rollo cinta antideslizante negra 5cm x 18 mt")</f>
        <v>Rollo cinta antideslizante negra 5cm x 18 mt</v>
      </c>
      <c r="C1201" s="4">
        <f>IFERROR(__xludf.DUMMYFUNCTION("""COMPUTED_VALUE"""),14.25)</f>
        <v>14.25</v>
      </c>
    </row>
    <row r="1202">
      <c r="A1202" s="4" t="str">
        <f>IFERROR(__xludf.DUMMYFUNCTION("""COMPUTED_VALUE"""),"1541")</f>
        <v>1541</v>
      </c>
      <c r="B1202" s="4" t="str">
        <f>IFERROR(__xludf.DUMMYFUNCTION("""COMPUTED_VALUE"""),"Rollo cinta antideslizante N/A 5 cm x 18 mt")</f>
        <v>Rollo cinta antideslizante N/A 5 cm x 18 mt</v>
      </c>
      <c r="C1202" s="4">
        <f>IFERROR(__xludf.DUMMYFUNCTION("""COMPUTED_VALUE"""),14.25)</f>
        <v>14.25</v>
      </c>
    </row>
    <row r="1203">
      <c r="A1203" s="4" t="str">
        <f>IFERROR(__xludf.DUMMYFUNCTION("""COMPUTED_VALUE"""),"1542")</f>
        <v>1542</v>
      </c>
      <c r="B1203" s="4" t="str">
        <f>IFERROR(__xludf.DUMMYFUNCTION("""COMPUTED_VALUE"""),"Rollo cinta antideslizante R/B 5 cm x 18 mt")</f>
        <v>Rollo cinta antideslizante R/B 5 cm x 18 mt</v>
      </c>
      <c r="C1203" s="4">
        <f>IFERROR(__xludf.DUMMYFUNCTION("""COMPUTED_VALUE"""),14.25)</f>
        <v>14.25</v>
      </c>
    </row>
    <row r="1204">
      <c r="A1204" s="4" t="str">
        <f>IFERROR(__xludf.DUMMYFUNCTION("""COMPUTED_VALUE"""),"1547")</f>
        <v>1547</v>
      </c>
      <c r="B1204" s="4" t="str">
        <f>IFERROR(__xludf.DUMMYFUNCTION("""COMPUTED_VALUE"""),"Rollo cinta Blanca 55mm x50 metros DG983-10 ECE 104")</f>
        <v>Rollo cinta Blanca 55mm x50 metros DG983-10 ECE 104</v>
      </c>
      <c r="C1204" s="4">
        <f>IFERROR(__xludf.DUMMYFUNCTION("""COMPUTED_VALUE"""),127.05)</f>
        <v>127.05</v>
      </c>
    </row>
    <row r="1205">
      <c r="A1205" s="4" t="str">
        <f>IFERROR(__xludf.DUMMYFUNCTION("""COMPUTED_VALUE"""),"1547F")</f>
        <v>1547F</v>
      </c>
      <c r="B1205" s="4" t="str">
        <f>IFERROR(__xludf.DUMMYFUNCTION("""COMPUTED_VALUE"""),"Rollo cinta Blanca 51mm x50 metros DG997-10S")</f>
        <v>Rollo cinta Blanca 51mm x50 metros DG997-10S</v>
      </c>
      <c r="C1205" s="4">
        <f>IFERROR(__xludf.DUMMYFUNCTION("""COMPUTED_VALUE"""),127.05)</f>
        <v>127.05</v>
      </c>
    </row>
    <row r="1206">
      <c r="A1206" s="4" t="str">
        <f>IFERROR(__xludf.DUMMYFUNCTION("""COMPUTED_VALUE"""),"1548")</f>
        <v>1548</v>
      </c>
      <c r="B1206" s="4" t="str">
        <f>IFERROR(__xludf.DUMMYFUNCTION("""COMPUTED_VALUE"""),"Rollo cinta Rojo 55mm x50metros DG983-72 ECE 1R/CTN")</f>
        <v>Rollo cinta Rojo 55mm x50metros DG983-72 ECE 1R/CTN</v>
      </c>
      <c r="C1206" s="4">
        <f>IFERROR(__xludf.DUMMYFUNCTION("""COMPUTED_VALUE"""),127.05)</f>
        <v>127.05</v>
      </c>
    </row>
    <row r="1207">
      <c r="A1207" s="4" t="str">
        <f>IFERROR(__xludf.DUMMYFUNCTION("""COMPUTED_VALUE"""),"1548F")</f>
        <v>1548F</v>
      </c>
      <c r="B1207" s="4" t="str">
        <f>IFERROR(__xludf.DUMMYFUNCTION("""COMPUTED_VALUE"""),"Rollo cinta Rojo 51mmx 50 metros DG997-72S")</f>
        <v>Rollo cinta Rojo 51mmx 50 metros DG997-72S</v>
      </c>
      <c r="C1207" s="4">
        <f>IFERROR(__xludf.DUMMYFUNCTION("""COMPUTED_VALUE"""),127.05)</f>
        <v>127.05</v>
      </c>
    </row>
    <row r="1208">
      <c r="A1208" s="4" t="str">
        <f>IFERROR(__xludf.DUMMYFUNCTION("""COMPUTED_VALUE"""),"1549")</f>
        <v>1549</v>
      </c>
      <c r="B1208" s="4" t="str">
        <f>IFERROR(__xludf.DUMMYFUNCTION("""COMPUTED_VALUE"""),"Rollo cinta amarilla 55MM x50metros DG983-71 ECE 104")</f>
        <v>Rollo cinta amarilla 55MM x50metros DG983-71 ECE 104</v>
      </c>
      <c r="C1208" s="4">
        <f>IFERROR(__xludf.DUMMYFUNCTION("""COMPUTED_VALUE"""),127.05)</f>
        <v>127.05</v>
      </c>
    </row>
    <row r="1209">
      <c r="A1209" s="4" t="str">
        <f>IFERROR(__xludf.DUMMYFUNCTION("""COMPUTED_VALUE"""),"1549F")</f>
        <v>1549F</v>
      </c>
      <c r="B1209" s="4" t="str">
        <f>IFERROR(__xludf.DUMMYFUNCTION("""COMPUTED_VALUE"""),"Rollo cinta Amarilla 51mm x50 metros DG997-71S")</f>
        <v>Rollo cinta Amarilla 51mm x50 metros DG997-71S</v>
      </c>
      <c r="C1209" s="4">
        <f>IFERROR(__xludf.DUMMYFUNCTION("""COMPUTED_VALUE"""),127.05)</f>
        <v>127.05</v>
      </c>
    </row>
    <row r="1210">
      <c r="A1210" s="4" t="str">
        <f>IFERROR(__xludf.DUMMYFUNCTION("""COMPUTED_VALUE"""),"1550")</f>
        <v>1550</v>
      </c>
      <c r="B1210" s="4" t="str">
        <f>IFERROR(__xludf.DUMMYFUNCTION("""COMPUTED_VALUE"""),"Rollo cinta reflectante adhesiva blanca 5 cm x 46 metros")</f>
        <v>Rollo cinta reflectante adhesiva blanca 5 cm x 46 metros</v>
      </c>
      <c r="C1210" s="4">
        <f>IFERROR(__xludf.DUMMYFUNCTION("""COMPUTED_VALUE"""),14.9)</f>
        <v>14.9</v>
      </c>
    </row>
    <row r="1211">
      <c r="A1211" s="4" t="str">
        <f>IFERROR(__xludf.DUMMYFUNCTION("""COMPUTED_VALUE"""),"1551")</f>
        <v>1551</v>
      </c>
      <c r="B1211" s="4" t="str">
        <f>IFERROR(__xludf.DUMMYFUNCTION("""COMPUTED_VALUE"""),"Rollo (2 unid izq-dcha)señal. vehiculos V-2 9 mtros x 14,1 cm")</f>
        <v>Rollo (2 unid izq-dcha)señal. vehiculos V-2 9 mtros x 14,1 cm</v>
      </c>
      <c r="C1211" s="4">
        <f>IFERROR(__xludf.DUMMYFUNCTION("""COMPUTED_VALUE"""),170.625)</f>
        <v>170.625</v>
      </c>
    </row>
    <row r="1212">
      <c r="A1212" s="4" t="str">
        <f>IFERROR(__xludf.DUMMYFUNCTION("""COMPUTED_VALUE"""),"1554")</f>
        <v>1554</v>
      </c>
      <c r="B1212" s="4" t="str">
        <f>IFERROR(__xludf.DUMMYFUNCTION("""COMPUTED_VALUE"""),"Rollo cinta luminiscente adhesiva 5 cm x 25 metros")</f>
        <v>Rollo cinta luminiscente adhesiva 5 cm x 25 metros</v>
      </c>
      <c r="C1212" s="4">
        <f>IFERROR(__xludf.DUMMYFUNCTION("""COMPUTED_VALUE"""),91.0)</f>
        <v>91</v>
      </c>
    </row>
    <row r="1213">
      <c r="A1213" s="4" t="str">
        <f>IFERROR(__xludf.DUMMYFUNCTION("""COMPUTED_VALUE"""),"1555")</f>
        <v>1555</v>
      </c>
      <c r="B1213" s="4" t="str">
        <f>IFERROR(__xludf.DUMMYFUNCTION("""COMPUTED_VALUE"""),"Rollo cinta reflectante adhesiva R/B 5 cm x 45 metros")</f>
        <v>Rollo cinta reflectante adhesiva R/B 5 cm x 45 metros</v>
      </c>
      <c r="C1213" s="4">
        <f>IFERROR(__xludf.DUMMYFUNCTION("""COMPUTED_VALUE"""),14.9)</f>
        <v>14.9</v>
      </c>
    </row>
    <row r="1214">
      <c r="A1214" s="4" t="str">
        <f>IFERROR(__xludf.DUMMYFUNCTION("""COMPUTED_VALUE"""),"1556")</f>
        <v>1556</v>
      </c>
      <c r="B1214" s="4" t="str">
        <f>IFERROR(__xludf.DUMMYFUNCTION("""COMPUTED_VALUE"""),"Rollo cinta reflectante adhesiva N/A 5 cm x 45 metros")</f>
        <v>Rollo cinta reflectante adhesiva N/A 5 cm x 45 metros</v>
      </c>
      <c r="C1214" s="4">
        <f>IFERROR(__xludf.DUMMYFUNCTION("""COMPUTED_VALUE"""),14.9)</f>
        <v>14.9</v>
      </c>
    </row>
    <row r="1215">
      <c r="A1215" s="4" t="str">
        <f>IFERROR(__xludf.DUMMYFUNCTION("""COMPUTED_VALUE"""),"1557")</f>
        <v>1557</v>
      </c>
      <c r="B1215" s="4" t="str">
        <f>IFERROR(__xludf.DUMMYFUNCTION("""COMPUTED_VALUE"""),"Rollo Cinta 10 cm reflectante adhesiva R/B 45 metros")</f>
        <v>Rollo Cinta 10 cm reflectante adhesiva R/B 45 metros</v>
      </c>
      <c r="C1215" s="4">
        <f>IFERROR(__xludf.DUMMYFUNCTION("""COMPUTED_VALUE"""),27.3)</f>
        <v>27.3</v>
      </c>
    </row>
    <row r="1216">
      <c r="A1216" s="4" t="str">
        <f>IFERROR(__xludf.DUMMYFUNCTION("""COMPUTED_VALUE"""),"1558")</f>
        <v>1558</v>
      </c>
      <c r="B1216" s="4" t="str">
        <f>IFERROR(__xludf.DUMMYFUNCTION("""COMPUTED_VALUE"""),"Rollo cinta 10 cm reflectante adhesiva N/A 45 metros")</f>
        <v>Rollo cinta 10 cm reflectante adhesiva N/A 45 metros</v>
      </c>
      <c r="C1216" s="4">
        <f>IFERROR(__xludf.DUMMYFUNCTION("""COMPUTED_VALUE"""),27.3)</f>
        <v>27.3</v>
      </c>
    </row>
    <row r="1217">
      <c r="A1217" s="4" t="str">
        <f>IFERROR(__xludf.DUMMYFUNCTION("""COMPUTED_VALUE"""),"1559A")</f>
        <v>1559A</v>
      </c>
      <c r="B1217" s="4" t="str">
        <f>IFERROR(__xludf.DUMMYFUNCTION("""COMPUTED_VALUE"""),"Rollo Cinta Adhesiva personalizada 1 color 5cm x132 mts")</f>
        <v>Rollo Cinta Adhesiva personalizada 1 color 5cm x132 mts</v>
      </c>
      <c r="C1217" s="4">
        <f>IFERROR(__xludf.DUMMYFUNCTION("""COMPUTED_VALUE"""),2.95)</f>
        <v>2.95</v>
      </c>
    </row>
    <row r="1218">
      <c r="A1218" s="4" t="str">
        <f>IFERROR(__xludf.DUMMYFUNCTION("""COMPUTED_VALUE"""),"1559B")</f>
        <v>1559B</v>
      </c>
      <c r="B1218" s="4" t="str">
        <f>IFERROR(__xludf.DUMMYFUNCTION("""COMPUTED_VALUE"""),"Rollo Cinta Adhesiva personalizada 2 colores 5cm x132 mts")</f>
        <v>Rollo Cinta Adhesiva personalizada 2 colores 5cm x132 mts</v>
      </c>
      <c r="C1218" s="4">
        <f>IFERROR(__xludf.DUMMYFUNCTION("""COMPUTED_VALUE"""),3.2)</f>
        <v>3.2</v>
      </c>
    </row>
    <row r="1219">
      <c r="A1219" s="4" t="str">
        <f>IFERROR(__xludf.DUMMYFUNCTION("""COMPUTED_VALUE"""),"1559C")</f>
        <v>1559C</v>
      </c>
      <c r="B1219" s="4" t="str">
        <f>IFERROR(__xludf.DUMMYFUNCTION("""COMPUTED_VALUE"""),"Rollo Cinta Adhesiva personalizada 3 colores 5cm x132 mts")</f>
        <v>Rollo Cinta Adhesiva personalizada 3 colores 5cm x132 mts</v>
      </c>
      <c r="C1219" s="4">
        <f>IFERROR(__xludf.DUMMYFUNCTION("""COMPUTED_VALUE"""),3.7)</f>
        <v>3.7</v>
      </c>
    </row>
    <row r="1220">
      <c r="A1220" s="4" t="str">
        <f>IFERROR(__xludf.DUMMYFUNCTION("""COMPUTED_VALUE"""),"1561A")</f>
        <v>1561A</v>
      </c>
      <c r="B1220" s="4" t="str">
        <f>IFERROR(__xludf.DUMMYFUNCTION("""COMPUTED_VALUE"""),"Cinta adhesiva 50 mm x 132 m Amarillo")</f>
        <v>Cinta adhesiva 50 mm x 132 m Amarillo</v>
      </c>
      <c r="C1220" s="4">
        <f>IFERROR(__xludf.DUMMYFUNCTION("""COMPUTED_VALUE"""),3.4)</f>
        <v>3.4</v>
      </c>
    </row>
    <row r="1221">
      <c r="A1221" s="4" t="str">
        <f>IFERROR(__xludf.DUMMYFUNCTION("""COMPUTED_VALUE"""),"1561B")</f>
        <v>1561B</v>
      </c>
      <c r="B1221" s="4" t="str">
        <f>IFERROR(__xludf.DUMMYFUNCTION("""COMPUTED_VALUE"""),"Cinta adhesiva 50 mm x 132 m Blanco")</f>
        <v>Cinta adhesiva 50 mm x 132 m Blanco</v>
      </c>
      <c r="C1221" s="4">
        <f>IFERROR(__xludf.DUMMYFUNCTION("""COMPUTED_VALUE"""),3.4)</f>
        <v>3.4</v>
      </c>
    </row>
    <row r="1222">
      <c r="A1222" s="4" t="str">
        <f>IFERROR(__xludf.DUMMYFUNCTION("""COMPUTED_VALUE"""),"1561N")</f>
        <v>1561N</v>
      </c>
      <c r="B1222" s="4" t="str">
        <f>IFERROR(__xludf.DUMMYFUNCTION("""COMPUTED_VALUE"""),"Cinta adhesiva 50 mm x 132 m Negro")</f>
        <v>Cinta adhesiva 50 mm x 132 m Negro</v>
      </c>
      <c r="C1222" s="4">
        <f>IFERROR(__xludf.DUMMYFUNCTION("""COMPUTED_VALUE"""),3.4)</f>
        <v>3.4</v>
      </c>
    </row>
    <row r="1223">
      <c r="A1223" s="4" t="str">
        <f>IFERROR(__xludf.DUMMYFUNCTION("""COMPUTED_VALUE"""),"1561R")</f>
        <v>1561R</v>
      </c>
      <c r="B1223" s="4" t="str">
        <f>IFERROR(__xludf.DUMMYFUNCTION("""COMPUTED_VALUE"""),"Cinta adhesiva 50 mm x 132 m Rojo")</f>
        <v>Cinta adhesiva 50 mm x 132 m Rojo</v>
      </c>
      <c r="C1223" s="4">
        <f>IFERROR(__xludf.DUMMYFUNCTION("""COMPUTED_VALUE"""),3.4)</f>
        <v>3.4</v>
      </c>
    </row>
    <row r="1224">
      <c r="A1224" s="4" t="str">
        <f>IFERROR(__xludf.DUMMYFUNCTION("""COMPUTED_VALUE"""),"1561V")</f>
        <v>1561V</v>
      </c>
      <c r="B1224" s="4" t="str">
        <f>IFERROR(__xludf.DUMMYFUNCTION("""COMPUTED_VALUE"""),"Cinta adhesiva 50 mm x 132 m Verde")</f>
        <v>Cinta adhesiva 50 mm x 132 m Verde</v>
      </c>
      <c r="C1224" s="4">
        <f>IFERROR(__xludf.DUMMYFUNCTION("""COMPUTED_VALUE"""),3.4)</f>
        <v>3.4</v>
      </c>
    </row>
    <row r="1225">
      <c r="A1225" s="4" t="str">
        <f>IFERROR(__xludf.DUMMYFUNCTION("""COMPUTED_VALUE"""),"1561Z")</f>
        <v>1561Z</v>
      </c>
      <c r="B1225" s="4" t="str">
        <f>IFERROR(__xludf.DUMMYFUNCTION("""COMPUTED_VALUE"""),"Cinta adhesiva 50 mm x 132 m Azul")</f>
        <v>Cinta adhesiva 50 mm x 132 m Azul</v>
      </c>
      <c r="C1225" s="4">
        <f>IFERROR(__xludf.DUMMYFUNCTION("""COMPUTED_VALUE"""),3.4)</f>
        <v>3.4</v>
      </c>
    </row>
    <row r="1226">
      <c r="A1226" s="4" t="str">
        <f>IFERROR(__xludf.DUMMYFUNCTION("""COMPUTED_VALUE"""),"1562")</f>
        <v>1562</v>
      </c>
      <c r="B1226" s="4" t="str">
        <f>IFERROR(__xludf.DUMMYFUNCTION("""COMPUTED_VALUE"""),"Rollo Cinta Señal. N/A 10cm x 200m. G300 2 caras")</f>
        <v>Rollo Cinta Señal. N/A 10cm x 200m. G300 2 caras</v>
      </c>
      <c r="C1226" s="4">
        <f>IFERROR(__xludf.DUMMYFUNCTION("""COMPUTED_VALUE"""),7.25)</f>
        <v>7.25</v>
      </c>
    </row>
    <row r="1227">
      <c r="A1227" s="4" t="str">
        <f>IFERROR(__xludf.DUMMYFUNCTION("""COMPUTED_VALUE"""),"1563")</f>
        <v>1563</v>
      </c>
      <c r="B1227" s="4" t="str">
        <f>IFERROR(__xludf.DUMMYFUNCTION("""COMPUTED_VALUE"""),"Rollo Cinta Adhesiva N/A 5cm x132 mts")</f>
        <v>Rollo Cinta Adhesiva N/A 5cm x132 mts</v>
      </c>
      <c r="C1227" s="4">
        <f>IFERROR(__xludf.DUMMYFUNCTION("""COMPUTED_VALUE"""),3.9)</f>
        <v>3.9</v>
      </c>
    </row>
    <row r="1228">
      <c r="A1228" s="4" t="str">
        <f>IFERROR(__xludf.DUMMYFUNCTION("""COMPUTED_VALUE"""),"1564")</f>
        <v>1564</v>
      </c>
      <c r="B1228" s="4" t="str">
        <f>IFERROR(__xludf.DUMMYFUNCTION("""COMPUTED_VALUE"""),"Rollo Cinta Adhesiva B/R 5cm x132 mts")</f>
        <v>Rollo Cinta Adhesiva B/R 5cm x132 mts</v>
      </c>
      <c r="C1228" s="4">
        <f>IFERROR(__xludf.DUMMYFUNCTION("""COMPUTED_VALUE"""),3.9)</f>
        <v>3.9</v>
      </c>
    </row>
    <row r="1229">
      <c r="A1229" s="4" t="str">
        <f>IFERROR(__xludf.DUMMYFUNCTION("""COMPUTED_VALUE"""),"1565")</f>
        <v>1565</v>
      </c>
      <c r="B1229" s="4" t="str">
        <f>IFERROR(__xludf.DUMMYFUNCTION("""COMPUTED_VALUE"""),"Rollo cinta Señal. R/B 10cm X 200m. plata")</f>
        <v>Rollo cinta Señal. R/B 10cm X 200m. plata</v>
      </c>
      <c r="C1229" s="4">
        <f>IFERROR(__xludf.DUMMYFUNCTION("""COMPUTED_VALUE"""),9.2)</f>
        <v>9.2</v>
      </c>
    </row>
    <row r="1230">
      <c r="A1230" s="4" t="str">
        <f>IFERROR(__xludf.DUMMYFUNCTION("""COMPUTED_VALUE"""),"1566")</f>
        <v>1566</v>
      </c>
      <c r="B1230" s="4" t="str">
        <f>IFERROR(__xludf.DUMMYFUNCTION("""COMPUTED_VALUE"""),"Rollo cinta Señal. R/B10cmx200m. c/caja G400")</f>
        <v>Rollo cinta Señal. R/B10cmx200m. c/caja G400</v>
      </c>
      <c r="C1230" s="4">
        <f>IFERROR(__xludf.DUMMYFUNCTION("""COMPUTED_VALUE"""),7.88)</f>
        <v>7.88</v>
      </c>
    </row>
    <row r="1231">
      <c r="A1231" s="4" t="str">
        <f>IFERROR(__xludf.DUMMYFUNCTION("""COMPUTED_VALUE"""),"1567")</f>
        <v>1567</v>
      </c>
      <c r="B1231" s="4" t="str">
        <f>IFERROR(__xludf.DUMMYFUNCTION("""COMPUTED_VALUE"""),"Rollo cinta R/B 10cm x 200m. G400")</f>
        <v>Rollo cinta R/B 10cm x 200m. G400</v>
      </c>
      <c r="C1231" s="4">
        <f>IFERROR(__xludf.DUMMYFUNCTION("""COMPUTED_VALUE"""),8.25)</f>
        <v>8.25</v>
      </c>
    </row>
    <row r="1232">
      <c r="A1232" s="4" t="str">
        <f>IFERROR(__xludf.DUMMYFUNCTION("""COMPUTED_VALUE"""),"1568")</f>
        <v>1568</v>
      </c>
      <c r="B1232" s="4" t="str">
        <f>IFERROR(__xludf.DUMMYFUNCTION("""COMPUTED_VALUE"""),"Rollo cinta Señal. R/B 7cm x 200m. c/caja")</f>
        <v>Rollo cinta Señal. R/B 7cm x 200m. c/caja</v>
      </c>
      <c r="C1232" s="4">
        <f>IFERROR(__xludf.DUMMYFUNCTION("""COMPUTED_VALUE"""),2.25)</f>
        <v>2.25</v>
      </c>
    </row>
    <row r="1233">
      <c r="A1233" s="4" t="str">
        <f>IFERROR(__xludf.DUMMYFUNCTION("""COMPUTED_VALUE"""),"1569")</f>
        <v>1569</v>
      </c>
      <c r="B1233" s="4" t="str">
        <f>IFERROR(__xludf.DUMMYFUNCTION("""COMPUTED_VALUE"""),"Rollo cinta R/B 10cm x 200m. c/caja G300")</f>
        <v>Rollo cinta R/B 10cm x 200m. c/caja G300</v>
      </c>
      <c r="C1233" s="4">
        <f>IFERROR(__xludf.DUMMYFUNCTION("""COMPUTED_VALUE"""),8.1)</f>
        <v>8.1</v>
      </c>
    </row>
    <row r="1234">
      <c r="A1234" s="4" t="str">
        <f>IFERROR(__xludf.DUMMYFUNCTION("""COMPUTED_VALUE"""),"1570")</f>
        <v>1570</v>
      </c>
      <c r="B1234" s="4" t="str">
        <f>IFERROR(__xludf.DUMMYFUNCTION("""COMPUTED_VALUE"""),"Rollo cinta Señal.R-B 10cm x 200m. G300 2 caras")</f>
        <v>Rollo cinta Señal.R-B 10cm x 200m. G300 2 caras</v>
      </c>
      <c r="C1234" s="4">
        <f>IFERROR(__xludf.DUMMYFUNCTION("""COMPUTED_VALUE"""),7.25)</f>
        <v>7.25</v>
      </c>
    </row>
    <row r="1235">
      <c r="A1235" s="4" t="str">
        <f>IFERROR(__xludf.DUMMYFUNCTION("""COMPUTED_VALUE"""),"1570V")</f>
        <v>1570V</v>
      </c>
      <c r="B1235" s="4" t="str">
        <f>IFERROR(__xludf.DUMMYFUNCTION("""COMPUTED_VALUE"""),"Rollo cinta Señal.V/B 10cm x 200 m G300 2 caras")</f>
        <v>Rollo cinta Señal.V/B 10cm x 200 m G300 2 caras</v>
      </c>
      <c r="C1235" s="4">
        <f>IFERROR(__xludf.DUMMYFUNCTION("""COMPUTED_VALUE"""),7.25)</f>
        <v>7.25</v>
      </c>
    </row>
    <row r="1236">
      <c r="A1236" s="4" t="str">
        <f>IFERROR(__xludf.DUMMYFUNCTION("""COMPUTED_VALUE"""),"1570Z")</f>
        <v>1570Z</v>
      </c>
      <c r="B1236" s="4" t="str">
        <f>IFERROR(__xludf.DUMMYFUNCTION("""COMPUTED_VALUE"""),"Rollo cinta Señal. B/A 10 cm x 200m. G300 2 caras")</f>
        <v>Rollo cinta Señal. B/A 10 cm x 200m. G300 2 caras</v>
      </c>
      <c r="C1236" s="4">
        <f>IFERROR(__xludf.DUMMYFUNCTION("""COMPUTED_VALUE"""),7.25)</f>
        <v>7.25</v>
      </c>
    </row>
    <row r="1237">
      <c r="A1237" s="4" t="str">
        <f>IFERROR(__xludf.DUMMYFUNCTION("""COMPUTED_VALUE"""),"1571")</f>
        <v>1571</v>
      </c>
      <c r="B1237" s="4" t="str">
        <f>IFERROR(__xludf.DUMMYFUNCTION("""COMPUTED_VALUE"""),"Rollo cinta Señal. 7cm x 200m. s/caja")</f>
        <v>Rollo cinta Señal. 7cm x 200m. s/caja</v>
      </c>
      <c r="C1237" s="4">
        <f>IFERROR(__xludf.DUMMYFUNCTION("""COMPUTED_VALUE"""),1.99)</f>
        <v>1.99</v>
      </c>
    </row>
    <row r="1238">
      <c r="A1238" s="4" t="str">
        <f>IFERROR(__xludf.DUMMYFUNCTION("""COMPUTED_VALUE"""),"1572")</f>
        <v>1572</v>
      </c>
      <c r="B1238" s="4" t="str">
        <f>IFERROR(__xludf.DUMMYFUNCTION("""COMPUTED_VALUE"""),"Rollo cinta Señal. 15cm x 200m. TELECOMUNICACIONES")</f>
        <v>Rollo cinta Señal. 15cm x 200m. TELECOMUNICACIONES</v>
      </c>
      <c r="C1238" s="4">
        <f>IFERROR(__xludf.DUMMYFUNCTION("""COMPUTED_VALUE"""),11.95)</f>
        <v>11.95</v>
      </c>
    </row>
    <row r="1239">
      <c r="A1239" s="4" t="str">
        <f>IFERROR(__xludf.DUMMYFUNCTION("""COMPUTED_VALUE"""),"1572M")</f>
        <v>1572M</v>
      </c>
      <c r="B1239" s="4" t="str">
        <f>IFERROR(__xludf.DUMMYFUNCTION("""COMPUTED_VALUE"""),"Malla verde señalización telecomunicaciones 33 cm x 200 m")</f>
        <v>Malla verde señalización telecomunicaciones 33 cm x 200 m</v>
      </c>
      <c r="C1239" s="4">
        <f>IFERROR(__xludf.DUMMYFUNCTION("""COMPUTED_VALUE"""),33.0)</f>
        <v>33</v>
      </c>
    </row>
    <row r="1240">
      <c r="A1240" s="4" t="str">
        <f>IFERROR(__xludf.DUMMYFUNCTION("""COMPUTED_VALUE"""),"1573")</f>
        <v>1573</v>
      </c>
      <c r="B1240" s="4" t="str">
        <f>IFERROR(__xludf.DUMMYFUNCTION("""COMPUTED_VALUE"""),"Rollo cinta Señal. 15cm x 200m. AGUA")</f>
        <v>Rollo cinta Señal. 15cm x 200m. AGUA</v>
      </c>
      <c r="C1240" s="4">
        <f>IFERROR(__xludf.DUMMYFUNCTION("""COMPUTED_VALUE"""),11.95)</f>
        <v>11.95</v>
      </c>
    </row>
    <row r="1241">
      <c r="A1241" s="4" t="str">
        <f>IFERROR(__xludf.DUMMYFUNCTION("""COMPUTED_VALUE"""),"1573M")</f>
        <v>1573M</v>
      </c>
      <c r="B1241" s="4" t="str">
        <f>IFERROR(__xludf.DUMMYFUNCTION("""COMPUTED_VALUE"""),"Malla azul señalización agua 33 cm x 200 m")</f>
        <v>Malla azul señalización agua 33 cm x 200 m</v>
      </c>
      <c r="C1241" s="4">
        <f>IFERROR(__xludf.DUMMYFUNCTION("""COMPUTED_VALUE"""),33.0)</f>
        <v>33</v>
      </c>
    </row>
    <row r="1242">
      <c r="A1242" s="4" t="str">
        <f>IFERROR(__xludf.DUMMYFUNCTION("""COMPUTED_VALUE"""),"1574")</f>
        <v>1574</v>
      </c>
      <c r="B1242" s="4" t="str">
        <f>IFERROR(__xludf.DUMMYFUNCTION("""COMPUTED_VALUE"""),"Rollo cinta Señal. 15cm x 200m. GAS")</f>
        <v>Rollo cinta Señal. 15cm x 200m. GAS</v>
      </c>
      <c r="C1242" s="4">
        <f>IFERROR(__xludf.DUMMYFUNCTION("""COMPUTED_VALUE"""),11.95)</f>
        <v>11.95</v>
      </c>
    </row>
    <row r="1243">
      <c r="A1243" s="4" t="str">
        <f>IFERROR(__xludf.DUMMYFUNCTION("""COMPUTED_VALUE"""),"1574M")</f>
        <v>1574M</v>
      </c>
      <c r="B1243" s="4" t="str">
        <f>IFERROR(__xludf.DUMMYFUNCTION("""COMPUTED_VALUE"""),"Malla amarilla señalización gas 33 cm x 200 m")</f>
        <v>Malla amarilla señalización gas 33 cm x 200 m</v>
      </c>
      <c r="C1243" s="4">
        <f>IFERROR(__xludf.DUMMYFUNCTION("""COMPUTED_VALUE"""),33.0)</f>
        <v>33</v>
      </c>
    </row>
    <row r="1244">
      <c r="A1244" s="4" t="str">
        <f>IFERROR(__xludf.DUMMYFUNCTION("""COMPUTED_VALUE"""),"1575")</f>
        <v>1575</v>
      </c>
      <c r="B1244" s="4" t="str">
        <f>IFERROR(__xludf.DUMMYFUNCTION("""COMPUTED_VALUE"""),"Rollo cinta Señal. 15cm x 200m. ELECTRI")</f>
        <v>Rollo cinta Señal. 15cm x 200m. ELECTRI</v>
      </c>
      <c r="C1244" s="4">
        <f>IFERROR(__xludf.DUMMYFUNCTION("""COMPUTED_VALUE"""),11.95)</f>
        <v>11.95</v>
      </c>
    </row>
    <row r="1245">
      <c r="A1245" s="4" t="str">
        <f>IFERROR(__xludf.DUMMYFUNCTION("""COMPUTED_VALUE"""),"1575M")</f>
        <v>1575M</v>
      </c>
      <c r="B1245" s="4" t="str">
        <f>IFERROR(__xludf.DUMMYFUNCTION("""COMPUTED_VALUE"""),"Malla roja señalización electricidad 33 cm x 200 m")</f>
        <v>Malla roja señalización electricidad 33 cm x 200 m</v>
      </c>
      <c r="C1245" s="4">
        <f>IFERROR(__xludf.DUMMYFUNCTION("""COMPUTED_VALUE"""),33.0)</f>
        <v>33</v>
      </c>
    </row>
    <row r="1246">
      <c r="A1246" s="4" t="str">
        <f>IFERROR(__xludf.DUMMYFUNCTION("""COMPUTED_VALUE"""),"1575P")</f>
        <v>1575P</v>
      </c>
      <c r="B1246" s="4" t="str">
        <f>IFERROR(__xludf.DUMMYFUNCTION("""COMPUTED_VALUE"""),"Placa señalización eléctrica 1000x250x2.5")</f>
        <v>Placa señalización eléctrica 1000x250x2.5</v>
      </c>
      <c r="C1246" s="4">
        <f>IFERROR(__xludf.DUMMYFUNCTION("""COMPUTED_VALUE"""),1.5)</f>
        <v>1.5</v>
      </c>
    </row>
    <row r="1247">
      <c r="A1247" s="4" t="str">
        <f>IFERROR(__xludf.DUMMYFUNCTION("""COMPUTED_VALUE"""),"1576")</f>
        <v>1576</v>
      </c>
      <c r="B1247" s="4" t="str">
        <f>IFERROR(__xludf.DUMMYFUNCTION("""COMPUTED_VALUE"""),"Rollo cinta Señal. 10cm x 200m. POLICIA")</f>
        <v>Rollo cinta Señal. 10cm x 200m. POLICIA</v>
      </c>
      <c r="C1247" s="4">
        <f>IFERROR(__xludf.DUMMYFUNCTION("""COMPUTED_VALUE"""),8.8)</f>
        <v>8.8</v>
      </c>
    </row>
    <row r="1248">
      <c r="A1248" s="4" t="str">
        <f>IFERROR(__xludf.DUMMYFUNCTION("""COMPUTED_VALUE"""),"1577")</f>
        <v>1577</v>
      </c>
      <c r="B1248" s="4" t="str">
        <f>IFERROR(__xludf.DUMMYFUNCTION("""COMPUTED_VALUE"""),"Rollo cinta adhesiva amarilla suelo marcacion temporal")</f>
        <v>Rollo cinta adhesiva amarilla suelo marcacion temporal</v>
      </c>
      <c r="C1248" s="4">
        <f>IFERROR(__xludf.DUMMYFUNCTION("""COMPUTED_VALUE"""),112.5)</f>
        <v>112.5</v>
      </c>
    </row>
    <row r="1249">
      <c r="A1249" s="4" t="str">
        <f>IFERROR(__xludf.DUMMYFUNCTION("""COMPUTED_VALUE"""),"1577K")</f>
        <v>1577K</v>
      </c>
      <c r="B1249" s="4" t="str">
        <f>IFERROR(__xludf.DUMMYFUNCTION("""COMPUTED_VALUE"""),"Rollo cinta adhesiva negra suelo marcacion temporal")</f>
        <v>Rollo cinta adhesiva negra suelo marcacion temporal</v>
      </c>
      <c r="C1249" s="4">
        <f>IFERROR(__xludf.DUMMYFUNCTION("""COMPUTED_VALUE"""),112.5)</f>
        <v>112.5</v>
      </c>
    </row>
    <row r="1250">
      <c r="A1250" s="4" t="str">
        <f>IFERROR(__xludf.DUMMYFUNCTION("""COMPUTED_VALUE"""),"1577W")</f>
        <v>1577W</v>
      </c>
      <c r="B1250" s="4" t="str">
        <f>IFERROR(__xludf.DUMMYFUNCTION("""COMPUTED_VALUE"""),"Rollo cinta adhesiva blanca suelo marcacion temporal")</f>
        <v>Rollo cinta adhesiva blanca suelo marcacion temporal</v>
      </c>
      <c r="C1250" s="4">
        <f>IFERROR(__xludf.DUMMYFUNCTION("""COMPUTED_VALUE"""),112.5)</f>
        <v>112.5</v>
      </c>
    </row>
    <row r="1251">
      <c r="A1251" s="4" t="str">
        <f>IFERROR(__xludf.DUMMYFUNCTION("""COMPUTED_VALUE"""),"1578")</f>
        <v>1578</v>
      </c>
      <c r="B1251" s="4" t="str">
        <f>IFERROR(__xludf.DUMMYFUNCTION("""COMPUTED_VALUE"""),"Rollo cinta Señal.N/A 10cm x200m c/caja G400")</f>
        <v>Rollo cinta Señal.N/A 10cm x200m c/caja G400</v>
      </c>
      <c r="C1251" s="4">
        <f>IFERROR(__xludf.DUMMYFUNCTION("""COMPUTED_VALUE"""),8.82)</f>
        <v>8.82</v>
      </c>
    </row>
    <row r="1252">
      <c r="A1252" s="4" t="str">
        <f>IFERROR(__xludf.DUMMYFUNCTION("""COMPUTED_VALUE"""),"1579")</f>
        <v>1579</v>
      </c>
      <c r="B1252" s="4" t="str">
        <f>IFERROR(__xludf.DUMMYFUNCTION("""COMPUTED_VALUE"""),"Rollo cinta Señal. N/A 10cm. x 200m. G400")</f>
        <v>Rollo cinta Señal. N/A 10cm. x 200m. G400</v>
      </c>
      <c r="C1252" s="4">
        <f>IFERROR(__xludf.DUMMYFUNCTION("""COMPUTED_VALUE"""),8.25)</f>
        <v>8.25</v>
      </c>
    </row>
    <row r="1253">
      <c r="A1253" s="4" t="str">
        <f>IFERROR(__xludf.DUMMYFUNCTION("""COMPUTED_VALUE"""),"1580")</f>
        <v>1580</v>
      </c>
      <c r="B1253" s="4" t="str">
        <f>IFERROR(__xludf.DUMMYFUNCTION("""COMPUTED_VALUE"""),"Mts. Banderola Quitamiedos c/reflec")</f>
        <v>Mts. Banderola Quitamiedos c/reflec</v>
      </c>
      <c r="C1253" s="4">
        <f>IFERROR(__xludf.DUMMYFUNCTION("""COMPUTED_VALUE"""),0.68)</f>
        <v>0.68</v>
      </c>
    </row>
    <row r="1254">
      <c r="A1254" s="4" t="str">
        <f>IFERROR(__xludf.DUMMYFUNCTION("""COMPUTED_VALUE"""),"1581")</f>
        <v>1581</v>
      </c>
      <c r="B1254" s="4" t="str">
        <f>IFERROR(__xludf.DUMMYFUNCTION("""COMPUTED_VALUE"""),"Mts. Banderola Quitamiedos s/reflectante")</f>
        <v>Mts. Banderola Quitamiedos s/reflectante</v>
      </c>
      <c r="C1254" s="4">
        <f>IFERROR(__xludf.DUMMYFUNCTION("""COMPUTED_VALUE"""),0.34)</f>
        <v>0.34</v>
      </c>
    </row>
    <row r="1255">
      <c r="A1255" s="4" t="str">
        <f>IFERROR(__xludf.DUMMYFUNCTION("""COMPUTED_VALUE"""),"1582")</f>
        <v>1582</v>
      </c>
      <c r="B1255" s="4" t="str">
        <f>IFERROR(__xludf.DUMMYFUNCTION("""COMPUTED_VALUE"""),"Rollos cinta Señal. 10cm x 200m. PROTECCION CIVIL")</f>
        <v>Rollos cinta Señal. 10cm x 200m. PROTECCION CIVIL</v>
      </c>
      <c r="C1255" s="4">
        <f>IFERROR(__xludf.DUMMYFUNCTION("""COMPUTED_VALUE"""),8.25)</f>
        <v>8.25</v>
      </c>
    </row>
    <row r="1256">
      <c r="A1256" s="4" t="str">
        <f>IFERROR(__xludf.DUMMYFUNCTION("""COMPUTED_VALUE"""),"1583")</f>
        <v>1583</v>
      </c>
      <c r="B1256" s="4" t="str">
        <f>IFERROR(__xludf.DUMMYFUNCTION("""COMPUTED_VALUE"""),"Rollo cinta Señal.N/A 10cm x 200m. G300 AMIANTO")</f>
        <v>Rollo cinta Señal.N/A 10cm x 200m. G300 AMIANTO</v>
      </c>
      <c r="C1256" s="4">
        <f>IFERROR(__xludf.DUMMYFUNCTION("""COMPUTED_VALUE"""),6.95)</f>
        <v>6.95</v>
      </c>
    </row>
    <row r="1257">
      <c r="A1257" s="4" t="str">
        <f>IFERROR(__xludf.DUMMYFUNCTION("""COMPUTED_VALUE"""),"1585")</f>
        <v>1585</v>
      </c>
      <c r="B1257" s="4" t="str">
        <f>IFERROR(__xludf.DUMMYFUNCTION("""COMPUTED_VALUE"""),"Rollo cinta Señal. 10cm x 200m. NARANJA")</f>
        <v>Rollo cinta Señal. 10cm x 200m. NARANJA</v>
      </c>
      <c r="C1257" s="4">
        <f>IFERROR(__xludf.DUMMYFUNCTION("""COMPUTED_VALUE"""),7.25)</f>
        <v>7.25</v>
      </c>
    </row>
    <row r="1258">
      <c r="A1258" s="4" t="str">
        <f>IFERROR(__xludf.DUMMYFUNCTION("""COMPUTED_VALUE"""),"1586")</f>
        <v>1586</v>
      </c>
      <c r="B1258" s="4" t="str">
        <f>IFERROR(__xludf.DUMMYFUNCTION("""COMPUTED_VALUE"""),"Rollo cinta Señal. 10cm x 200m. VERDE")</f>
        <v>Rollo cinta Señal. 10cm x 200m. VERDE</v>
      </c>
      <c r="C1258" s="4">
        <f>IFERROR(__xludf.DUMMYFUNCTION("""COMPUTED_VALUE"""),7.25)</f>
        <v>7.25</v>
      </c>
    </row>
    <row r="1259">
      <c r="A1259" s="4" t="str">
        <f>IFERROR(__xludf.DUMMYFUNCTION("""COMPUTED_VALUE"""),"1587")</f>
        <v>1587</v>
      </c>
      <c r="B1259" s="4" t="str">
        <f>IFERROR(__xludf.DUMMYFUNCTION("""COMPUTED_VALUE"""),"Rollo cinta Señal. 10cm x 200m. AZUL")</f>
        <v>Rollo cinta Señal. 10cm x 200m. AZUL</v>
      </c>
      <c r="C1259" s="4">
        <f>IFERROR(__xludf.DUMMYFUNCTION("""COMPUTED_VALUE"""),7.25)</f>
        <v>7.25</v>
      </c>
    </row>
    <row r="1260">
      <c r="A1260" s="4" t="str">
        <f>IFERROR(__xludf.DUMMYFUNCTION("""COMPUTED_VALUE"""),"1588")</f>
        <v>1588</v>
      </c>
      <c r="B1260" s="4" t="str">
        <f>IFERROR(__xludf.DUMMYFUNCTION("""COMPUTED_VALUE"""),"Rollo cinta Señal. 10cm x 200m. AMARILLO")</f>
        <v>Rollo cinta Señal. 10cm x 200m. AMARILLO</v>
      </c>
      <c r="C1260" s="4">
        <f>IFERROR(__xludf.DUMMYFUNCTION("""COMPUTED_VALUE"""),7.25)</f>
        <v>7.25</v>
      </c>
    </row>
    <row r="1261">
      <c r="A1261" s="4" t="str">
        <f>IFERROR(__xludf.DUMMYFUNCTION("""COMPUTED_VALUE"""),"1590")</f>
        <v>1590</v>
      </c>
      <c r="B1261" s="4" t="str">
        <f>IFERROR(__xludf.DUMMYFUNCTION("""COMPUTED_VALUE"""),"Vinilo adhesivo suelo ESPERE SU TURNO 40 cm")</f>
        <v>Vinilo adhesivo suelo ESPERE SU TURNO 40 cm</v>
      </c>
      <c r="C1261" s="4">
        <f>IFERROR(__xludf.DUMMYFUNCTION("""COMPUTED_VALUE"""),6.15)</f>
        <v>6.15</v>
      </c>
    </row>
    <row r="1262">
      <c r="A1262" s="4" t="str">
        <f>IFERROR(__xludf.DUMMYFUNCTION("""COMPUTED_VALUE"""),"1591")</f>
        <v>1591</v>
      </c>
      <c r="B1262" s="4" t="str">
        <f>IFERROR(__xludf.DUMMYFUNCTION("""COMPUTED_VALUE"""),"Vinilo adhesivo suelo Paso oblig. carretillas 40 cm")</f>
        <v>Vinilo adhesivo suelo Paso oblig. carretillas 40 cm</v>
      </c>
      <c r="C1262" s="4">
        <f>IFERROR(__xludf.DUMMYFUNCTION("""COMPUTED_VALUE"""),6.15)</f>
        <v>6.15</v>
      </c>
    </row>
    <row r="1263">
      <c r="A1263" s="4" t="str">
        <f>IFERROR(__xludf.DUMMYFUNCTION("""COMPUTED_VALUE"""),"1592")</f>
        <v>1592</v>
      </c>
      <c r="B1263" s="4" t="str">
        <f>IFERROR(__xludf.DUMMYFUNCTION("""COMPUTED_VALUE"""),"Vinilo adhesivo suelo Peligro Paso de carretilla 40 cm")</f>
        <v>Vinilo adhesivo suelo Peligro Paso de carretilla 40 cm</v>
      </c>
      <c r="C1263" s="4">
        <f>IFERROR(__xludf.DUMMYFUNCTION("""COMPUTED_VALUE"""),6.15)</f>
        <v>6.15</v>
      </c>
    </row>
    <row r="1264">
      <c r="A1264" s="4" t="str">
        <f>IFERROR(__xludf.DUMMYFUNCTION("""COMPUTED_VALUE"""),"1593")</f>
        <v>1593</v>
      </c>
      <c r="B1264" s="4" t="str">
        <f>IFERROR(__xludf.DUMMYFUNCTION("""COMPUTED_VALUE"""),"Vinilo adhesivo suelo Peligro suelo Resbaladizo 40 cm")</f>
        <v>Vinilo adhesivo suelo Peligro suelo Resbaladizo 40 cm</v>
      </c>
      <c r="C1264" s="4">
        <f>IFERROR(__xludf.DUMMYFUNCTION("""COMPUTED_VALUE"""),6.15)</f>
        <v>6.15</v>
      </c>
    </row>
    <row r="1265">
      <c r="A1265" s="4" t="str">
        <f>IFERROR(__xludf.DUMMYFUNCTION("""COMPUTED_VALUE"""),"1594")</f>
        <v>1594</v>
      </c>
      <c r="B1265" s="4" t="str">
        <f>IFERROR(__xludf.DUMMYFUNCTION("""COMPUTED_VALUE"""),"Rollo Cinta 15 cm x 200 m Aguas residuales")</f>
        <v>Rollo Cinta 15 cm x 200 m Aguas residuales</v>
      </c>
      <c r="C1265" s="4">
        <f>IFERROR(__xludf.DUMMYFUNCTION("""COMPUTED_VALUE"""),11.95)</f>
        <v>11.95</v>
      </c>
    </row>
    <row r="1266">
      <c r="A1266" s="4" t="str">
        <f>IFERROR(__xludf.DUMMYFUNCTION("""COMPUTED_VALUE"""),"1600")</f>
        <v>1600</v>
      </c>
      <c r="B1266" s="4" t="str">
        <f>IFERROR(__xludf.DUMMYFUNCTION("""COMPUTED_VALUE"""),"Camisa reflec. N.2 cono 50 cm OXFORD")</f>
        <v>Camisa reflec. N.2 cono 50 cm OXFORD</v>
      </c>
      <c r="C1266" s="4">
        <f>IFERROR(__xludf.DUMMYFUNCTION("""COMPUTED_VALUE"""),3.42)</f>
        <v>3.42</v>
      </c>
    </row>
    <row r="1267">
      <c r="A1267" s="4" t="str">
        <f>IFERROR(__xludf.DUMMYFUNCTION("""COMPUTED_VALUE"""),"1601")</f>
        <v>1601</v>
      </c>
      <c r="B1267" s="4" t="str">
        <f>IFERROR(__xludf.DUMMYFUNCTION("""COMPUTED_VALUE"""),"Camisa reflec. N.2 cono 75 cm OXFORD")</f>
        <v>Camisa reflec. N.2 cono 75 cm OXFORD</v>
      </c>
      <c r="C1267" s="4">
        <f>IFERROR(__xludf.DUMMYFUNCTION("""COMPUTED_VALUE"""),3.8)</f>
        <v>3.8</v>
      </c>
    </row>
    <row r="1268">
      <c r="A1268" s="4" t="str">
        <f>IFERROR(__xludf.DUMMYFUNCTION("""COMPUTED_VALUE"""),"1604AN")</f>
        <v>1604AN</v>
      </c>
      <c r="B1268" s="4" t="str">
        <f>IFERROR(__xludf.DUMMYFUNCTION("""COMPUTED_VALUE"""),"Barra señaliz. Negra/Amarilla extensible para cono")</f>
        <v>Barra señaliz. Negra/Amarilla extensible para cono</v>
      </c>
      <c r="C1268" s="4">
        <f>IFERROR(__xludf.DUMMYFUNCTION("""COMPUTED_VALUE"""),8.4)</f>
        <v>8.4</v>
      </c>
    </row>
    <row r="1269">
      <c r="A1269" s="4" t="str">
        <f>IFERROR(__xludf.DUMMYFUNCTION("""COMPUTED_VALUE"""),"1604RB")</f>
        <v>1604RB</v>
      </c>
      <c r="B1269" s="4" t="str">
        <f>IFERROR(__xludf.DUMMYFUNCTION("""COMPUTED_VALUE"""),"Barra señaliz. Roja/Blanca extensible para cono")</f>
        <v>Barra señaliz. Roja/Blanca extensible para cono</v>
      </c>
      <c r="C1269" s="4">
        <f>IFERROR(__xludf.DUMMYFUNCTION("""COMPUTED_VALUE"""),8.4)</f>
        <v>8.4</v>
      </c>
    </row>
    <row r="1270">
      <c r="A1270" s="4" t="str">
        <f>IFERROR(__xludf.DUMMYFUNCTION("""COMPUTED_VALUE"""),"1617")</f>
        <v>1617</v>
      </c>
      <c r="B1270" s="4" t="str">
        <f>IFERROR(__xludf.DUMMYFUNCTION("""COMPUTED_VALUE"""),"Juego huellas adhesivas 27x10 cm pisable verde")</f>
        <v>Juego huellas adhesivas 27x10 cm pisable verde</v>
      </c>
      <c r="C1270" s="4">
        <f>IFERROR(__xludf.DUMMYFUNCTION("""COMPUTED_VALUE"""),3.15)</f>
        <v>3.15</v>
      </c>
    </row>
    <row r="1271">
      <c r="A1271" s="4" t="str">
        <f>IFERROR(__xludf.DUMMYFUNCTION("""COMPUTED_VALUE"""),"1618")</f>
        <v>1618</v>
      </c>
      <c r="B1271" s="4" t="str">
        <f>IFERROR(__xludf.DUMMYFUNCTION("""COMPUTED_VALUE"""),"Juego huellas adhesivas 27x10 cm pisable rojo")</f>
        <v>Juego huellas adhesivas 27x10 cm pisable rojo</v>
      </c>
      <c r="C1271" s="4">
        <f>IFERROR(__xludf.DUMMYFUNCTION("""COMPUTED_VALUE"""),3.15)</f>
        <v>3.15</v>
      </c>
    </row>
    <row r="1272">
      <c r="A1272" s="4" t="str">
        <f>IFERROR(__xludf.DUMMYFUNCTION("""COMPUTED_VALUE"""),"1619")</f>
        <v>1619</v>
      </c>
      <c r="B1272" s="4" t="str">
        <f>IFERROR(__xludf.DUMMYFUNCTION("""COMPUTED_VALUE"""),"Juego huellas adhesivas 27z10 cm pisable negro")</f>
        <v>Juego huellas adhesivas 27z10 cm pisable negro</v>
      </c>
      <c r="C1272" s="4">
        <f>IFERROR(__xludf.DUMMYFUNCTION("""COMPUTED_VALUE"""),3.15)</f>
        <v>3.15</v>
      </c>
    </row>
    <row r="1273">
      <c r="A1273" s="4" t="str">
        <f>IFERROR(__xludf.DUMMYFUNCTION("""COMPUTED_VALUE"""),"1620")</f>
        <v>1620</v>
      </c>
      <c r="B1273" s="4" t="str">
        <f>IFERROR(__xludf.DUMMYFUNCTION("""COMPUTED_VALUE"""),"Juego 2 Flechas adhesivas 29x8 pisable Verde")</f>
        <v>Juego 2 Flechas adhesivas 29x8 pisable Verde</v>
      </c>
      <c r="C1273" s="4">
        <f>IFERROR(__xludf.DUMMYFUNCTION("""COMPUTED_VALUE"""),3.15)</f>
        <v>3.15</v>
      </c>
    </row>
    <row r="1274">
      <c r="A1274" s="4" t="str">
        <f>IFERROR(__xludf.DUMMYFUNCTION("""COMPUTED_VALUE"""),"1621")</f>
        <v>1621</v>
      </c>
      <c r="B1274" s="4" t="str">
        <f>IFERROR(__xludf.DUMMYFUNCTION("""COMPUTED_VALUE"""),"Juego2 Flechas adhesivas 29x8 pisable Rojo")</f>
        <v>Juego2 Flechas adhesivas 29x8 pisable Rojo</v>
      </c>
      <c r="C1274" s="4">
        <f>IFERROR(__xludf.DUMMYFUNCTION("""COMPUTED_VALUE"""),3.15)</f>
        <v>3.15</v>
      </c>
    </row>
    <row r="1275">
      <c r="A1275" s="4" t="str">
        <f>IFERROR(__xludf.DUMMYFUNCTION("""COMPUTED_VALUE"""),"1622")</f>
        <v>1622</v>
      </c>
      <c r="B1275" s="4" t="str">
        <f>IFERROR(__xludf.DUMMYFUNCTION("""COMPUTED_VALUE"""),"Adhesivo 21x29 Uso desinfectante")</f>
        <v>Adhesivo 21x29 Uso desinfectante</v>
      </c>
      <c r="C1275" s="4">
        <f>IFERROR(__xludf.DUMMYFUNCTION("""COMPUTED_VALUE"""),1.365)</f>
        <v>1.365</v>
      </c>
    </row>
    <row r="1276">
      <c r="A1276" s="4" t="str">
        <f>IFERROR(__xludf.DUMMYFUNCTION("""COMPUTED_VALUE"""),"1623")</f>
        <v>1623</v>
      </c>
      <c r="B1276" s="4" t="str">
        <f>IFERROR(__xludf.DUMMYFUNCTION("""COMPUTED_VALUE"""),"Cartel PVC 21x29 cm USO DESINFECTANTE")</f>
        <v>Cartel PVC 21x29 cm USO DESINFECTANTE</v>
      </c>
      <c r="C1276" s="4">
        <f>IFERROR(__xludf.DUMMYFUNCTION("""COMPUTED_VALUE"""),1.6)</f>
        <v>1.6</v>
      </c>
    </row>
    <row r="1277">
      <c r="A1277" s="4" t="str">
        <f>IFERROR(__xludf.DUMMYFUNCTION("""COMPUTED_VALUE"""),"1625")</f>
        <v>1625</v>
      </c>
      <c r="B1277" s="4" t="str">
        <f>IFERROR(__xludf.DUMMYFUNCTION("""COMPUTED_VALUE"""),"Juego huellas adhesivas suelo 27x10 cm Amarillo")</f>
        <v>Juego huellas adhesivas suelo 27x10 cm Amarillo</v>
      </c>
      <c r="C1277" s="4">
        <f>IFERROR(__xludf.DUMMYFUNCTION("""COMPUTED_VALUE"""),4.2)</f>
        <v>4.2</v>
      </c>
    </row>
    <row r="1278">
      <c r="A1278" s="4" t="str">
        <f>IFERROR(__xludf.DUMMYFUNCTION("""COMPUTED_VALUE"""),"1626")</f>
        <v>1626</v>
      </c>
      <c r="B1278" s="4" t="str">
        <f>IFERROR(__xludf.DUMMYFUNCTION("""COMPUTED_VALUE"""),"Juego huellas adhesivas suelo 27x10 cm Basic")</f>
        <v>Juego huellas adhesivas suelo 27x10 cm Basic</v>
      </c>
      <c r="C1278" s="4">
        <f>IFERROR(__xludf.DUMMYFUNCTION("""COMPUTED_VALUE"""),4.2)</f>
        <v>4.2</v>
      </c>
    </row>
    <row r="1279">
      <c r="A1279" s="4" t="str">
        <f>IFERROR(__xludf.DUMMYFUNCTION("""COMPUTED_VALUE"""),"1627")</f>
        <v>1627</v>
      </c>
      <c r="B1279" s="4" t="str">
        <f>IFERROR(__xludf.DUMMYFUNCTION("""COMPUTED_VALUE"""),"Kit Adhesivos flechas y tiras suelo")</f>
        <v>Kit Adhesivos flechas y tiras suelo</v>
      </c>
      <c r="C1279" s="4">
        <f>IFERROR(__xludf.DUMMYFUNCTION("""COMPUTED_VALUE"""),20.7)</f>
        <v>20.7</v>
      </c>
    </row>
    <row r="1280">
      <c r="A1280" s="4" t="str">
        <f>IFERROR(__xludf.DUMMYFUNCTION("""COMPUTED_VALUE"""),"1629")</f>
        <v>1629</v>
      </c>
      <c r="B1280" s="4" t="str">
        <f>IFERROR(__xludf.DUMMYFUNCTION("""COMPUTED_VALUE"""),"Cinta antideslizante N/A DISTANCIA SEGURIDAD 10x100 cm")</f>
        <v>Cinta antideslizante N/A DISTANCIA SEGURIDAD 10x100 cm</v>
      </c>
      <c r="C1280" s="4">
        <f>IFERROR(__xludf.DUMMYFUNCTION("""COMPUTED_VALUE"""),4.99)</f>
        <v>4.99</v>
      </c>
    </row>
    <row r="1281">
      <c r="A1281" s="4" t="str">
        <f>IFERROR(__xludf.DUMMYFUNCTION("""COMPUTED_VALUE"""),"1630")</f>
        <v>1630</v>
      </c>
      <c r="B1281" s="4" t="str">
        <f>IFERROR(__xludf.DUMMYFUNCTION("""COMPUTED_VALUE"""),"Cinta antideslizante Blanca ESPERE SU TURNO 10x100 cm")</f>
        <v>Cinta antideslizante Blanca ESPERE SU TURNO 10x100 cm</v>
      </c>
      <c r="C1281" s="4">
        <f>IFERROR(__xludf.DUMMYFUNCTION("""COMPUTED_VALUE"""),4.99)</f>
        <v>4.99</v>
      </c>
    </row>
    <row r="1282">
      <c r="A1282" s="4" t="str">
        <f>IFERROR(__xludf.DUMMYFUNCTION("""COMPUTED_VALUE"""),"1631")</f>
        <v>1631</v>
      </c>
      <c r="B1282" s="4" t="str">
        <f>IFERROR(__xludf.DUMMYFUNCTION("""COMPUTED_VALUE"""),"Cono plegable Reflect 55cm")</f>
        <v>Cono plegable Reflect 55cm</v>
      </c>
      <c r="C1282" s="4">
        <f>IFERROR(__xludf.DUMMYFUNCTION("""COMPUTED_VALUE"""),12.25)</f>
        <v>12.25</v>
      </c>
    </row>
    <row r="1283">
      <c r="A1283" s="4" t="str">
        <f>IFERROR(__xludf.DUMMYFUNCTION("""COMPUTED_VALUE"""),"1632")</f>
        <v>1632</v>
      </c>
      <c r="B1283" s="4" t="str">
        <f>IFERROR(__xludf.DUMMYFUNCTION("""COMPUTED_VALUE"""),"Cone extender")</f>
        <v>Cone extender</v>
      </c>
      <c r="C1283" s="4">
        <f>IFERROR(__xludf.DUMMYFUNCTION("""COMPUTED_VALUE"""),4.75)</f>
        <v>4.75</v>
      </c>
    </row>
    <row r="1284">
      <c r="A1284" s="4" t="str">
        <f>IFERROR(__xludf.DUMMYFUNCTION("""COMPUTED_VALUE"""),"1633")</f>
        <v>1633</v>
      </c>
      <c r="B1284" s="4" t="str">
        <f>IFERROR(__xludf.DUMMYFUNCTION("""COMPUTED_VALUE"""),"Cono Señal. 50 cm Amarillo No Aparcar")</f>
        <v>Cono Señal. 50 cm Amarillo No Aparcar</v>
      </c>
      <c r="C1284" s="4">
        <f>IFERROR(__xludf.DUMMYFUNCTION("""COMPUTED_VALUE"""),8.4)</f>
        <v>8.4</v>
      </c>
    </row>
    <row r="1285">
      <c r="A1285" s="4" t="str">
        <f>IFERROR(__xludf.DUMMYFUNCTION("""COMPUTED_VALUE"""),"1634")</f>
        <v>1634</v>
      </c>
      <c r="B1285" s="4" t="str">
        <f>IFERROR(__xludf.DUMMYFUNCTION("""COMPUTED_VALUE"""),"Tetrapodo 50 cm de señalizacion")</f>
        <v>Tetrapodo 50 cm de señalizacion</v>
      </c>
      <c r="C1285" s="4">
        <f>IFERROR(__xludf.DUMMYFUNCTION("""COMPUTED_VALUE"""),19.25)</f>
        <v>19.25</v>
      </c>
    </row>
    <row r="1286">
      <c r="A1286" s="4" t="str">
        <f>IFERROR(__xludf.DUMMYFUNCTION("""COMPUTED_VALUE"""),"1635")</f>
        <v>1635</v>
      </c>
      <c r="B1286" s="4" t="str">
        <f>IFERROR(__xludf.DUMMYFUNCTION("""COMPUTED_VALUE"""),"Cono Señalizacion 32 cm. Flurescent")</f>
        <v>Cono Señalizacion 32 cm. Flurescent</v>
      </c>
      <c r="C1286" s="4">
        <f>IFERROR(__xludf.DUMMYFUNCTION("""COMPUTED_VALUE"""),4.2)</f>
        <v>4.2</v>
      </c>
    </row>
    <row r="1287">
      <c r="A1287" s="4" t="str">
        <f>IFERROR(__xludf.DUMMYFUNCTION("""COMPUTED_VALUE"""),"1636")</f>
        <v>1636</v>
      </c>
      <c r="B1287" s="4" t="str">
        <f>IFERROR(__xludf.DUMMYFUNCTION("""COMPUTED_VALUE"""),"Cono Señaliz. 50 cm fluor.bandas reflectantes")</f>
        <v>Cono Señaliz. 50 cm fluor.bandas reflectantes</v>
      </c>
      <c r="C1287" s="4">
        <f>IFERROR(__xludf.DUMMYFUNCTION("""COMPUTED_VALUE"""),4.92)</f>
        <v>4.92</v>
      </c>
    </row>
    <row r="1288">
      <c r="A1288" s="4" t="str">
        <f>IFERROR(__xludf.DUMMYFUNCTION("""COMPUTED_VALUE"""),"1636AZUL")</f>
        <v>1636AZUL</v>
      </c>
      <c r="B1288" s="4" t="str">
        <f>IFERROR(__xludf.DUMMYFUNCTION("""COMPUTED_VALUE"""),"Cono Señaliz. 50 cm Azul bandas reflectantes")</f>
        <v>Cono Señaliz. 50 cm Azul bandas reflectantes</v>
      </c>
      <c r="C1288" s="4">
        <f>IFERROR(__xludf.DUMMYFUNCTION("""COMPUTED_VALUE"""),4.9)</f>
        <v>4.9</v>
      </c>
    </row>
    <row r="1289">
      <c r="A1289" s="4" t="str">
        <f>IFERROR(__xludf.DUMMYFUNCTION("""COMPUTED_VALUE"""),"1637")</f>
        <v>1637</v>
      </c>
      <c r="B1289" s="4" t="str">
        <f>IFERROR(__xludf.DUMMYFUNCTION("""COMPUTED_VALUE"""),"Cono señaliz. 50 cm camisas réflex pvc Blando Bicolor")</f>
        <v>Cono señaliz. 50 cm camisas réflex pvc Blando Bicolor</v>
      </c>
      <c r="C1289" s="4">
        <f>IFERROR(__xludf.DUMMYFUNCTION("""COMPUTED_VALUE"""),5.25)</f>
        <v>5.25</v>
      </c>
    </row>
    <row r="1290">
      <c r="A1290" s="4" t="str">
        <f>IFERROR(__xludf.DUMMYFUNCTION("""COMPUTED_VALUE"""),"1638")</f>
        <v>1638</v>
      </c>
      <c r="B1290" s="4" t="str">
        <f>IFERROR(__xludf.DUMMYFUNCTION("""COMPUTED_VALUE"""),"Cono Señaliz. 50 cm. camisa reflec.2 P. CVT")</f>
        <v>Cono Señaliz. 50 cm. camisa reflec.2 P. CVT</v>
      </c>
      <c r="C1290" s="4">
        <f>IFERROR(__xludf.DUMMYFUNCTION("""COMPUTED_VALUE"""),4.9)</f>
        <v>4.9</v>
      </c>
    </row>
    <row r="1291">
      <c r="A1291" s="4" t="str">
        <f>IFERROR(__xludf.DUMMYFUNCTION("""COMPUTED_VALUE"""),"1640")</f>
        <v>1640</v>
      </c>
      <c r="B1291" s="4" t="str">
        <f>IFERROR(__xludf.DUMMYFUNCTION("""COMPUTED_VALUE"""),"Cono Señaliz.75 cm. camisa reflec.2p. CVT Plus")</f>
        <v>Cono Señaliz.75 cm. camisa reflec.2p. CVT Plus</v>
      </c>
      <c r="C1291" s="4">
        <f>IFERROR(__xludf.DUMMYFUNCTION("""COMPUTED_VALUE"""),7.2)</f>
        <v>7.2</v>
      </c>
    </row>
    <row r="1292">
      <c r="A1292" s="4" t="str">
        <f>IFERROR(__xludf.DUMMYFUNCTION("""COMPUTED_VALUE"""),"1640B")</f>
        <v>1640B</v>
      </c>
      <c r="B1292" s="4" t="str">
        <f>IFERROR(__xludf.DUMMYFUNCTION("""COMPUTED_VALUE"""),"Cono Señaizl. 75 cm.camisa reflect.2p. CVT Basic")</f>
        <v>Cono Señaizl. 75 cm.camisa reflect.2p. CVT Basic</v>
      </c>
      <c r="C1292" s="4">
        <f>IFERROR(__xludf.DUMMYFUNCTION("""COMPUTED_VALUE"""),6.4)</f>
        <v>6.4</v>
      </c>
    </row>
    <row r="1293">
      <c r="A1293" s="4" t="str">
        <f>IFERROR(__xludf.DUMMYFUNCTION("""COMPUTED_VALUE"""),"1645")</f>
        <v>1645</v>
      </c>
      <c r="B1293" s="4" t="str">
        <f>IFERROR(__xludf.DUMMYFUNCTION("""COMPUTED_VALUE"""),"Cono Señaliz. 100 cm camisa reflec.2 P.MELBA")</f>
        <v>Cono Señaliz. 100 cm camisa reflec.2 P.MELBA</v>
      </c>
      <c r="C1293" s="4">
        <f>IFERROR(__xludf.DUMMYFUNCTION("""COMPUTED_VALUE"""),17.9)</f>
        <v>17.9</v>
      </c>
    </row>
    <row r="1294">
      <c r="A1294" s="4" t="str">
        <f>IFERROR(__xludf.DUMMYFUNCTION("""COMPUTED_VALUE"""),"1646")</f>
        <v>1646</v>
      </c>
      <c r="B1294" s="4" t="str">
        <f>IFERROR(__xludf.DUMMYFUNCTION("""COMPUTED_VALUE"""),"Cono 80cm PVC blando Reflect. MOD B")</f>
        <v>Cono 80cm PVC blando Reflect. MOD B</v>
      </c>
      <c r="C1294" s="4">
        <f>IFERROR(__xludf.DUMMYFUNCTION("""COMPUTED_VALUE"""),9.97)</f>
        <v>9.97</v>
      </c>
    </row>
    <row r="1295">
      <c r="A1295" s="4" t="str">
        <f>IFERROR(__xludf.DUMMYFUNCTION("""COMPUTED_VALUE"""),"1646A")</f>
        <v>1646A</v>
      </c>
      <c r="B1295" s="4" t="str">
        <f>IFERROR(__xludf.DUMMYFUNCTION("""COMPUTED_VALUE"""),"Cono 80 cm PVC blando Reflect. Mod B AMARILLO")</f>
        <v>Cono 80 cm PVC blando Reflect. Mod B AMARILLO</v>
      </c>
      <c r="C1295" s="4">
        <f>IFERROR(__xludf.DUMMYFUNCTION("""COMPUTED_VALUE"""),9.97)</f>
        <v>9.97</v>
      </c>
    </row>
    <row r="1296">
      <c r="A1296" s="4" t="str">
        <f>IFERROR(__xludf.DUMMYFUNCTION("""COMPUTED_VALUE"""),"1646V")</f>
        <v>1646V</v>
      </c>
      <c r="B1296" s="4" t="str">
        <f>IFERROR(__xludf.DUMMYFUNCTION("""COMPUTED_VALUE"""),"Cono 80 cm PVC blando Reflect. Mod B VERDE")</f>
        <v>Cono 80 cm PVC blando Reflect. Mod B VERDE</v>
      </c>
      <c r="C1296" s="4">
        <f>IFERROR(__xludf.DUMMYFUNCTION("""COMPUTED_VALUE"""),9.975)</f>
        <v>9.975</v>
      </c>
    </row>
    <row r="1297">
      <c r="A1297" s="4" t="str">
        <f>IFERROR(__xludf.DUMMYFUNCTION("""COMPUTED_VALUE"""),"1646Z")</f>
        <v>1646Z</v>
      </c>
      <c r="B1297" s="4" t="str">
        <f>IFERROR(__xludf.DUMMYFUNCTION("""COMPUTED_VALUE"""),"Cono 80 cm PVC blando Reflect. Mod B AZUL")</f>
        <v>Cono 80 cm PVC blando Reflect. Mod B AZUL</v>
      </c>
      <c r="C1297" s="4">
        <f>IFERROR(__xludf.DUMMYFUNCTION("""COMPUTED_VALUE"""),9.975)</f>
        <v>9.975</v>
      </c>
    </row>
    <row r="1298">
      <c r="A1298" s="4" t="str">
        <f>IFERROR(__xludf.DUMMYFUNCTION("""COMPUTED_VALUE"""),"1647")</f>
        <v>1647</v>
      </c>
      <c r="B1298" s="4" t="str">
        <f>IFERROR(__xludf.DUMMYFUNCTION("""COMPUTED_VALUE"""),"Cono 54cm PVC blando Reflect. MOD B")</f>
        <v>Cono 54cm PVC blando Reflect. MOD B</v>
      </c>
      <c r="C1298" s="4">
        <f>IFERROR(__xludf.DUMMYFUNCTION("""COMPUTED_VALUE"""),8.1)</f>
        <v>8.1</v>
      </c>
    </row>
    <row r="1299">
      <c r="A1299" s="4" t="str">
        <f>IFERROR(__xludf.DUMMYFUNCTION("""COMPUTED_VALUE"""),"1647A")</f>
        <v>1647A</v>
      </c>
      <c r="B1299" s="4" t="str">
        <f>IFERROR(__xludf.DUMMYFUNCTION("""COMPUTED_VALUE"""),"Cono 54 cm PVC blando Reflect. Mod B AMARILLO")</f>
        <v>Cono 54 cm PVC blando Reflect. Mod B AMARILLO</v>
      </c>
      <c r="C1299" s="4">
        <f>IFERROR(__xludf.DUMMYFUNCTION("""COMPUTED_VALUE"""),8.1)</f>
        <v>8.1</v>
      </c>
    </row>
    <row r="1300">
      <c r="A1300" s="4" t="str">
        <f>IFERROR(__xludf.DUMMYFUNCTION("""COMPUTED_VALUE"""),"1647RO")</f>
        <v>1647RO</v>
      </c>
      <c r="B1300" s="4" t="str">
        <f>IFERROR(__xludf.DUMMYFUNCTION("""COMPUTED_VALUE"""),"Cono 54 cm PVC blando Reflect. Mod B ROSA")</f>
        <v>Cono 54 cm PVC blando Reflect. Mod B ROSA</v>
      </c>
      <c r="C1300" s="4">
        <f>IFERROR(__xludf.DUMMYFUNCTION("""COMPUTED_VALUE"""),8.1)</f>
        <v>8.1</v>
      </c>
    </row>
    <row r="1301">
      <c r="A1301" s="4" t="str">
        <f>IFERROR(__xludf.DUMMYFUNCTION("""COMPUTED_VALUE"""),"1647V")</f>
        <v>1647V</v>
      </c>
      <c r="B1301" s="4" t="str">
        <f>IFERROR(__xludf.DUMMYFUNCTION("""COMPUTED_VALUE"""),"Cono 54 cm PVC blando Reflect. Mod B VERDE")</f>
        <v>Cono 54 cm PVC blando Reflect. Mod B VERDE</v>
      </c>
      <c r="C1301" s="4">
        <f>IFERROR(__xludf.DUMMYFUNCTION("""COMPUTED_VALUE"""),8.1)</f>
        <v>8.1</v>
      </c>
    </row>
    <row r="1302">
      <c r="A1302" s="4" t="str">
        <f>IFERROR(__xludf.DUMMYFUNCTION("""COMPUTED_VALUE"""),"1647Z")</f>
        <v>1647Z</v>
      </c>
      <c r="B1302" s="4" t="str">
        <f>IFERROR(__xludf.DUMMYFUNCTION("""COMPUTED_VALUE"""),"Cono 54 cm PVC blando Reflect. Mod B AZUL")</f>
        <v>Cono 54 cm PVC blando Reflect. Mod B AZUL</v>
      </c>
      <c r="C1302" s="4">
        <f>IFERROR(__xludf.DUMMYFUNCTION("""COMPUTED_VALUE"""),8.1)</f>
        <v>8.1</v>
      </c>
    </row>
    <row r="1303">
      <c r="A1303" s="4" t="str">
        <f>IFERROR(__xludf.DUMMYFUNCTION("""COMPUTED_VALUE"""),"1648")</f>
        <v>1648</v>
      </c>
      <c r="B1303" s="4" t="str">
        <f>IFERROR(__xludf.DUMMYFUNCTION("""COMPUTED_VALUE"""),"Cono 80cm PVC blando Reflect. MOD B Naranja Plus")</f>
        <v>Cono 80cm PVC blando Reflect. MOD B Naranja Plus</v>
      </c>
      <c r="C1303" s="4">
        <f>IFERROR(__xludf.DUMMYFUNCTION("""COMPUTED_VALUE"""),24.25)</f>
        <v>24.25</v>
      </c>
    </row>
    <row r="1304">
      <c r="A1304" s="4" t="str">
        <f>IFERROR(__xludf.DUMMYFUNCTION("""COMPUTED_VALUE"""),"1650")</f>
        <v>1650</v>
      </c>
      <c r="B1304" s="4" t="str">
        <f>IFERROR(__xludf.DUMMYFUNCTION("""COMPUTED_VALUE"""),"Cono 1 pza 50 cm 2 bandas Reflect. Melba")</f>
        <v>Cono 1 pza 50 cm 2 bandas Reflect. Melba</v>
      </c>
      <c r="C1304" s="4">
        <f>IFERROR(__xludf.DUMMYFUNCTION("""COMPUTED_VALUE"""),6.22)</f>
        <v>6.22</v>
      </c>
    </row>
    <row r="1305">
      <c r="A1305" s="4" t="str">
        <f>IFERROR(__xludf.DUMMYFUNCTION("""COMPUTED_VALUE"""),"1651")</f>
        <v>1651</v>
      </c>
      <c r="B1305" s="4" t="str">
        <f>IFERROR(__xludf.DUMMYFUNCTION("""COMPUTED_VALUE"""),"Cono 1 pza 75 cm 2 bandas Reflect. Melba")</f>
        <v>Cono 1 pza 75 cm 2 bandas Reflect. Melba</v>
      </c>
      <c r="C1305" s="4">
        <f>IFERROR(__xludf.DUMMYFUNCTION("""COMPUTED_VALUE"""),8.18)</f>
        <v>8.18</v>
      </c>
    </row>
    <row r="1306">
      <c r="A1306" s="4" t="str">
        <f>IFERROR(__xludf.DUMMYFUNCTION("""COMPUTED_VALUE"""),"1652")</f>
        <v>1652</v>
      </c>
      <c r="B1306" s="4" t="str">
        <f>IFERROR(__xludf.DUMMYFUNCTION("""COMPUTED_VALUE"""),"Cono 2 pza 75 cm 2 bandas Reflect. Melba STARLITE")</f>
        <v>Cono 2 pza 75 cm 2 bandas Reflect. Melba STARLITE</v>
      </c>
      <c r="C1306" s="4">
        <f>IFERROR(__xludf.DUMMYFUNCTION("""COMPUTED_VALUE"""),9.975)</f>
        <v>9.975</v>
      </c>
    </row>
    <row r="1307">
      <c r="A1307" s="4" t="str">
        <f>IFERROR(__xludf.DUMMYFUNCTION("""COMPUTED_VALUE"""),"1653")</f>
        <v>1653</v>
      </c>
      <c r="B1307" s="4" t="str">
        <f>IFERROR(__xludf.DUMMYFUNCTION("""COMPUTED_VALUE"""),"Cono 2 pza 50 cm 1 banda Reflect. Melba BIG FOOT")</f>
        <v>Cono 2 pza 50 cm 1 banda Reflect. Melba BIG FOOT</v>
      </c>
      <c r="C1307" s="4">
        <f>IFERROR(__xludf.DUMMYFUNCTION("""COMPUTED_VALUE"""),8.25)</f>
        <v>8.25</v>
      </c>
    </row>
    <row r="1308">
      <c r="A1308" s="4" t="str">
        <f>IFERROR(__xludf.DUMMYFUNCTION("""COMPUTED_VALUE"""),"1654")</f>
        <v>1654</v>
      </c>
      <c r="B1308" s="4" t="str">
        <f>IFERROR(__xludf.DUMMYFUNCTION("""COMPUTED_VALUE"""),"Cono 2 pza 75 cm 1 banda Reflect. Melba BIG FOOT")</f>
        <v>Cono 2 pza 75 cm 1 banda Reflect. Melba BIG FOOT</v>
      </c>
      <c r="C1308" s="4">
        <f>IFERROR(__xludf.DUMMYFUNCTION("""COMPUTED_VALUE"""),11.25)</f>
        <v>11.25</v>
      </c>
    </row>
    <row r="1309">
      <c r="A1309" s="4" t="str">
        <f>IFERROR(__xludf.DUMMYFUNCTION("""COMPUTED_VALUE"""),"1655")</f>
        <v>1655</v>
      </c>
      <c r="B1309" s="4" t="str">
        <f>IFERROR(__xludf.DUMMYFUNCTION("""COMPUTED_VALUE"""),"Cono 2 pza 100 cm 1 banda Reflect. Melba BIG FOOT")</f>
        <v>Cono 2 pza 100 cm 1 banda Reflect. Melba BIG FOOT</v>
      </c>
      <c r="C1309" s="4">
        <f>IFERROR(__xludf.DUMMYFUNCTION("""COMPUTED_VALUE"""),17.25)</f>
        <v>17.25</v>
      </c>
    </row>
    <row r="1310">
      <c r="A1310" s="4" t="str">
        <f>IFERROR(__xludf.DUMMYFUNCTION("""COMPUTED_VALUE"""),"1672")</f>
        <v>1672</v>
      </c>
      <c r="B1310" s="4" t="str">
        <f>IFERROR(__xludf.DUMMYFUNCTION("""COMPUTED_VALUE"""),"Pareja semaforos portatiles desmontables Leds mod. B")</f>
        <v>Pareja semaforos portatiles desmontables Leds mod. B</v>
      </c>
      <c r="C1310" s="4">
        <f>IFERROR(__xludf.DUMMYFUNCTION("""COMPUTED_VALUE"""),1600.0)</f>
        <v>1600</v>
      </c>
    </row>
    <row r="1311">
      <c r="A1311" s="4" t="str">
        <f>IFERROR(__xludf.DUMMYFUNCTION("""COMPUTED_VALUE"""),"1673")</f>
        <v>1673</v>
      </c>
      <c r="B1311" s="4" t="str">
        <f>IFERROR(__xludf.DUMMYFUNCTION("""COMPUTED_VALUE"""),"Pareja semaforos portatiles desmont. Led c/ contador de")</f>
        <v>Pareja semaforos portatiles desmont. Led c/ contador de</v>
      </c>
      <c r="C1311" s="4">
        <f>IFERROR(__xludf.DUMMYFUNCTION("""COMPUTED_VALUE"""),1700.0)</f>
        <v>1700</v>
      </c>
    </row>
    <row r="1312">
      <c r="A1312" s="4" t="str">
        <f>IFERROR(__xludf.DUMMYFUNCTION("""COMPUTED_VALUE"""),"1673C")</f>
        <v>1673C</v>
      </c>
      <c r="B1312" s="4" t="str">
        <f>IFERROR(__xludf.DUMMYFUNCTION("""COMPUTED_VALUE"""),"Juego de centralitas semaforos Mod.D")</f>
        <v>Juego de centralitas semaforos Mod.D</v>
      </c>
      <c r="C1312" s="4">
        <f>IFERROR(__xludf.DUMMYFUNCTION("""COMPUTED_VALUE"""),340.0)</f>
        <v>340</v>
      </c>
    </row>
    <row r="1313">
      <c r="A1313" s="4" t="str">
        <f>IFERROR(__xludf.DUMMYFUNCTION("""COMPUTED_VALUE"""),"1674")</f>
        <v>1674</v>
      </c>
      <c r="B1313" s="4" t="str">
        <f>IFERROR(__xludf.DUMMYFUNCTION("""COMPUTED_VALUE"""),"Pareja semaforos portatiles plegables Led mod. C")</f>
        <v>Pareja semaforos portatiles plegables Led mod. C</v>
      </c>
      <c r="C1313" s="4">
        <f>IFERROR(__xludf.DUMMYFUNCTION("""COMPUTED_VALUE"""),1750.0)</f>
        <v>1750</v>
      </c>
    </row>
    <row r="1314">
      <c r="A1314" s="4" t="str">
        <f>IFERROR(__xludf.DUMMYFUNCTION("""COMPUTED_VALUE"""),"1674/LP")</f>
        <v>1674/LP</v>
      </c>
      <c r="B1314" s="4" t="str">
        <f>IFERROR(__xludf.DUMMYFUNCTION("""COMPUTED_VALUE"""),"Lente plastico semaforo B - C 430126008")</f>
        <v>Lente plastico semaforo B - C 430126008</v>
      </c>
      <c r="C1314" s="4">
        <f>IFERROR(__xludf.DUMMYFUNCTION("""COMPUTED_VALUE"""),34.4)</f>
        <v>34.4</v>
      </c>
    </row>
    <row r="1315">
      <c r="A1315" s="4" t="str">
        <f>IFERROR(__xludf.DUMMYFUNCTION("""COMPUTED_VALUE"""),"1674/PA")</f>
        <v>1674/PA</v>
      </c>
      <c r="B1315" s="4" t="str">
        <f>IFERROR(__xludf.DUMMYFUNCTION("""COMPUTED_VALUE"""),"Panel Led amarillo semaforo B - C 430208019")</f>
        <v>Panel Led amarillo semaforo B - C 430208019</v>
      </c>
      <c r="C1315" s="4">
        <f>IFERROR(__xludf.DUMMYFUNCTION("""COMPUTED_VALUE"""),111.45)</f>
        <v>111.45</v>
      </c>
    </row>
    <row r="1316">
      <c r="A1316" s="4" t="str">
        <f>IFERROR(__xludf.DUMMYFUNCTION("""COMPUTED_VALUE"""),"1674/PR")</f>
        <v>1674/PR</v>
      </c>
      <c r="B1316" s="4" t="str">
        <f>IFERROR(__xludf.DUMMYFUNCTION("""COMPUTED_VALUE"""),"Panel Led rojo semaforos B - C 430208020")</f>
        <v>Panel Led rojo semaforos B - C 430208020</v>
      </c>
      <c r="C1316" s="4">
        <f>IFERROR(__xludf.DUMMYFUNCTION("""COMPUTED_VALUE"""),111.45)</f>
        <v>111.45</v>
      </c>
    </row>
    <row r="1317">
      <c r="A1317" s="4" t="str">
        <f>IFERROR(__xludf.DUMMYFUNCTION("""COMPUTED_VALUE"""),"1674/PV")</f>
        <v>1674/PV</v>
      </c>
      <c r="B1317" s="4" t="str">
        <f>IFERROR(__xludf.DUMMYFUNCTION("""COMPUTED_VALUE"""),"Panel Led verde semaforos B - C 430208018")</f>
        <v>Panel Led verde semaforos B - C 430208018</v>
      </c>
      <c r="C1317" s="4">
        <f>IFERROR(__xludf.DUMMYFUNCTION("""COMPUTED_VALUE"""),111.45)</f>
        <v>111.45</v>
      </c>
    </row>
    <row r="1318">
      <c r="A1318" s="4" t="str">
        <f>IFERROR(__xludf.DUMMYFUNCTION("""COMPUTED_VALUE"""),"1674/V")</f>
        <v>1674/V</v>
      </c>
      <c r="B1318" s="4" t="str">
        <f>IFERROR(__xludf.DUMMYFUNCTION("""COMPUTED_VALUE"""),"Visera amarilla semaforo B - C 430126009")</f>
        <v>Visera amarilla semaforo B - C 430126009</v>
      </c>
      <c r="C1318" s="4">
        <f>IFERROR(__xludf.DUMMYFUNCTION("""COMPUTED_VALUE"""),27.1)</f>
        <v>27.1</v>
      </c>
    </row>
    <row r="1319">
      <c r="A1319" s="4" t="str">
        <f>IFERROR(__xludf.DUMMYFUNCTION("""COMPUTED_VALUE"""),"1674C")</f>
        <v>1674C</v>
      </c>
      <c r="B1319" s="4" t="str">
        <f>IFERROR(__xludf.DUMMYFUNCTION("""COMPUTED_VALUE"""),"Cabeza semáforo3 luces 431231016")</f>
        <v>Cabeza semáforo3 luces 431231016</v>
      </c>
      <c r="C1319" s="4">
        <f>IFERROR(__xludf.DUMMYFUNCTION("""COMPUTED_VALUE"""),390.0)</f>
        <v>390</v>
      </c>
    </row>
    <row r="1320">
      <c r="A1320" s="4" t="str">
        <f>IFERROR(__xludf.DUMMYFUNCTION("""COMPUTED_VALUE"""),"1674D")</f>
        <v>1674D</v>
      </c>
      <c r="B1320" s="4" t="str">
        <f>IFERROR(__xludf.DUMMYFUNCTION("""COMPUTED_VALUE"""),"Recambio pie semáforo 400900000")</f>
        <v>Recambio pie semáforo 400900000</v>
      </c>
      <c r="C1320" s="4">
        <f>IFERROR(__xludf.DUMMYFUNCTION("""COMPUTED_VALUE"""),35.0)</f>
        <v>35</v>
      </c>
    </row>
    <row r="1321">
      <c r="A1321" s="4" t="str">
        <f>IFERROR(__xludf.DUMMYFUNCTION("""COMPUTED_VALUE"""),"1674E")</f>
        <v>1674E</v>
      </c>
      <c r="B1321" s="4" t="str">
        <f>IFERROR(__xludf.DUMMYFUNCTION("""COMPUTED_VALUE"""),"Recambio poste enganche base semáforo 250303006")</f>
        <v>Recambio poste enganche base semáforo 250303006</v>
      </c>
      <c r="C1321" s="4">
        <f>IFERROR(__xludf.DUMMYFUNCTION("""COMPUTED_VALUE"""),70.0)</f>
        <v>70</v>
      </c>
    </row>
    <row r="1322">
      <c r="A1322" s="4" t="str">
        <f>IFERROR(__xludf.DUMMYFUNCTION("""COMPUTED_VALUE"""),"1674F")</f>
        <v>1674F</v>
      </c>
      <c r="B1322" s="4" t="str">
        <f>IFERROR(__xludf.DUMMYFUNCTION("""COMPUTED_VALUE"""),"Recambio rueda semáforo 409000006")</f>
        <v>Recambio rueda semáforo 409000006</v>
      </c>
      <c r="C1322" s="4">
        <f>IFERROR(__xludf.DUMMYFUNCTION("""COMPUTED_VALUE"""),27.0)</f>
        <v>27</v>
      </c>
    </row>
    <row r="1323">
      <c r="A1323" s="4" t="str">
        <f>IFERROR(__xludf.DUMMYFUNCTION("""COMPUTED_VALUE"""),"1674G")</f>
        <v>1674G</v>
      </c>
      <c r="B1323" s="4" t="str">
        <f>IFERROR(__xludf.DUMMYFUNCTION("""COMPUTED_VALUE"""),"Pasador de seguridad semáforo 251636400")</f>
        <v>Pasador de seguridad semáforo 251636400</v>
      </c>
      <c r="C1323" s="4">
        <f>IFERROR(__xludf.DUMMYFUNCTION("""COMPUTED_VALUE"""),6.4)</f>
        <v>6.4</v>
      </c>
    </row>
    <row r="1324">
      <c r="A1324" s="4" t="str">
        <f>IFERROR(__xludf.DUMMYFUNCTION("""COMPUTED_VALUE"""),"1674H")</f>
        <v>1674H</v>
      </c>
      <c r="B1324" s="4" t="str">
        <f>IFERROR(__xludf.DUMMYFUNCTION("""COMPUTED_VALUE"""),"Recambio cierre semáforo 1674")</f>
        <v>Recambio cierre semáforo 1674</v>
      </c>
      <c r="C1324" s="4">
        <f>IFERROR(__xludf.DUMMYFUNCTION("""COMPUTED_VALUE"""),24.0)</f>
        <v>24</v>
      </c>
    </row>
    <row r="1325">
      <c r="A1325" s="4" t="str">
        <f>IFERROR(__xludf.DUMMYFUNCTION("""COMPUTED_VALUE"""),"1674K")</f>
        <v>1674K</v>
      </c>
      <c r="B1325" s="4" t="str">
        <f>IFERROR(__xludf.DUMMYFUNCTION("""COMPUTED_VALUE"""),"Kit solar 50w alimentación semáforos")</f>
        <v>Kit solar 50w alimentación semáforos</v>
      </c>
      <c r="C1325" s="4">
        <f>IFERROR(__xludf.DUMMYFUNCTION("""COMPUTED_VALUE"""),1050.0)</f>
        <v>1050</v>
      </c>
    </row>
    <row r="1326">
      <c r="A1326" s="4" t="str">
        <f>IFERROR(__xludf.DUMMYFUNCTION("""COMPUTED_VALUE"""),"1674Z")</f>
        <v>1674Z</v>
      </c>
      <c r="B1326" s="4" t="str">
        <f>IFERROR(__xludf.DUMMYFUNCTION("""COMPUTED_VALUE"""),"Conexión semáforos batería")</f>
        <v>Conexión semáforos batería</v>
      </c>
      <c r="C1326" s="4">
        <f>IFERROR(__xludf.DUMMYFUNCTION("""COMPUTED_VALUE"""),18.0)</f>
        <v>18</v>
      </c>
    </row>
    <row r="1327">
      <c r="A1327" s="4" t="str">
        <f>IFERROR(__xludf.DUMMYFUNCTION("""COMPUTED_VALUE"""),"1676")</f>
        <v>1676</v>
      </c>
      <c r="B1327" s="4" t="str">
        <f>IFERROR(__xludf.DUMMYFUNCTION("""COMPUTED_VALUE"""),"Secuencial 5 luces Inalambricas rafiofrecuencia")</f>
        <v>Secuencial 5 luces Inalambricas rafiofrecuencia</v>
      </c>
      <c r="C1327" s="4">
        <f>IFERROR(__xludf.DUMMYFUNCTION("""COMPUTED_VALUE"""),734.475)</f>
        <v>734.475</v>
      </c>
    </row>
    <row r="1328">
      <c r="A1328" s="4" t="str">
        <f>IFERROR(__xludf.DUMMYFUNCTION("""COMPUTED_VALUE"""),"1676/BAL")</f>
        <v>1676/BAL</v>
      </c>
      <c r="B1328" s="4" t="str">
        <f>IFERROR(__xludf.DUMMYFUNCTION("""COMPUTED_VALUE"""),"Baliza secuencia radiofrecuencia")</f>
        <v>Baliza secuencia radiofrecuencia</v>
      </c>
      <c r="C1328" s="4">
        <f>IFERROR(__xludf.DUMMYFUNCTION("""COMPUTED_VALUE"""),141.75)</f>
        <v>141.75</v>
      </c>
    </row>
    <row r="1329">
      <c r="A1329" s="4" t="str">
        <f>IFERROR(__xludf.DUMMYFUNCTION("""COMPUTED_VALUE"""),"1676/LEN")</f>
        <v>1676/LEN</v>
      </c>
      <c r="B1329" s="4" t="str">
        <f>IFERROR(__xludf.DUMMYFUNCTION("""COMPUTED_VALUE"""),"Lente delantera baliza radiofrecuencia")</f>
        <v>Lente delantera baliza radiofrecuencia</v>
      </c>
      <c r="C1329" s="4">
        <f>IFERROR(__xludf.DUMMYFUNCTION("""COMPUTED_VALUE"""),7.875)</f>
        <v>7.875</v>
      </c>
    </row>
    <row r="1330">
      <c r="A1330" s="4" t="str">
        <f>IFERROR(__xludf.DUMMYFUNCTION("""COMPUTED_VALUE"""),"1677")</f>
        <v>1677</v>
      </c>
      <c r="B1330" s="4" t="str">
        <f>IFERROR(__xludf.DUMMYFUNCTION("""COMPUTED_VALUE"""),"Secuencial completo 5 elementos inalambricos por")</f>
        <v>Secuencial completo 5 elementos inalambricos por</v>
      </c>
      <c r="C1330" s="4">
        <f>IFERROR(__xludf.DUMMYFUNCTION("""COMPUTED_VALUE"""),1075.0)</f>
        <v>1075</v>
      </c>
    </row>
    <row r="1331">
      <c r="A1331" s="4" t="str">
        <f>IFERROR(__xludf.DUMMYFUNCTION("""COMPUTED_VALUE"""),"1678")</f>
        <v>1678</v>
      </c>
      <c r="B1331" s="4" t="str">
        <f>IFERROR(__xludf.DUMMYFUNCTION("""COMPUTED_VALUE"""),"Abanderado electromecanico")</f>
        <v>Abanderado electromecanico</v>
      </c>
      <c r="C1331" s="4">
        <f>IFERROR(__xludf.DUMMYFUNCTION("""COMPUTED_VALUE"""),850.0)</f>
        <v>850</v>
      </c>
    </row>
    <row r="1332">
      <c r="A1332" s="4" t="str">
        <f>IFERROR(__xludf.DUMMYFUNCTION("""COMPUTED_VALUE"""),"1679")</f>
        <v>1679</v>
      </c>
      <c r="B1332" s="4" t="str">
        <f>IFERROR(__xludf.DUMMYFUNCTION("""COMPUTED_VALUE"""),"Juego centralitas electronicas semaforo mod. B y C")</f>
        <v>Juego centralitas electronicas semaforo mod. B y C</v>
      </c>
      <c r="C1332" s="4">
        <f>IFERROR(__xludf.DUMMYFUNCTION("""COMPUTED_VALUE"""),340.0)</f>
        <v>340</v>
      </c>
    </row>
    <row r="1333">
      <c r="A1333" s="4" t="str">
        <f>IFERROR(__xludf.DUMMYFUNCTION("""COMPUTED_VALUE"""),"1682")</f>
        <v>1682</v>
      </c>
      <c r="B1333" s="4" t="str">
        <f>IFERROR(__xludf.DUMMYFUNCTION("""COMPUTED_VALUE"""),"Rotativo Halog.55 W 12V Mod. Plus (iman+ ventosa)")</f>
        <v>Rotativo Halog.55 W 12V Mod. Plus (iman+ ventosa)</v>
      </c>
      <c r="C1333" s="4">
        <f>IFERROR(__xludf.DUMMYFUNCTION("""COMPUTED_VALUE"""),36.83)</f>
        <v>36.83</v>
      </c>
    </row>
    <row r="1334">
      <c r="A1334" s="4" t="str">
        <f>IFERROR(__xludf.DUMMYFUNCTION("""COMPUTED_VALUE"""),"1682/ALARG")</f>
        <v>1682/ALARG</v>
      </c>
      <c r="B1334" s="4" t="str">
        <f>IFERROR(__xludf.DUMMYFUNCTION("""COMPUTED_VALUE"""),"Cable rizado alargadera para Rotativo Mod. Plus")</f>
        <v>Cable rizado alargadera para Rotativo Mod. Plus</v>
      </c>
      <c r="C1334" s="4">
        <f>IFERROR(__xludf.DUMMYFUNCTION("""COMPUTED_VALUE"""),9.0)</f>
        <v>9</v>
      </c>
    </row>
    <row r="1335">
      <c r="A1335" s="4" t="str">
        <f>IFERROR(__xludf.DUMMYFUNCTION("""COMPUTED_VALUE"""),"1683")</f>
        <v>1683</v>
      </c>
      <c r="B1335" s="4" t="str">
        <f>IFERROR(__xludf.DUMMYFUNCTION("""COMPUTED_VALUE"""),"Juego 3 focos Leds 10 cm para señal metalica")</f>
        <v>Juego 3 focos Leds 10 cm para señal metalica</v>
      </c>
      <c r="C1335" s="4">
        <f>IFERROR(__xludf.DUMMYFUNCTION("""COMPUTED_VALUE"""),295.17)</f>
        <v>295.17</v>
      </c>
    </row>
    <row r="1336">
      <c r="A1336" s="4" t="str">
        <f>IFERROR(__xludf.DUMMYFUNCTION("""COMPUTED_VALUE"""),"1684")</f>
        <v>1684</v>
      </c>
      <c r="B1336" s="4" t="str">
        <f>IFERROR(__xludf.DUMMYFUNCTION("""COMPUTED_VALUE"""),"Rotativo Halogeno magnet. Mod. BASIC")</f>
        <v>Rotativo Halogeno magnet. Mod. BASIC</v>
      </c>
      <c r="C1336" s="4">
        <f>IFERROR(__xludf.DUMMYFUNCTION("""COMPUTED_VALUE"""),14.0)</f>
        <v>14</v>
      </c>
    </row>
    <row r="1337">
      <c r="A1337" s="4" t="str">
        <f>IFERROR(__xludf.DUMMYFUNCTION("""COMPUTED_VALUE"""),"1686")</f>
        <v>1686</v>
      </c>
      <c r="B1337" s="4" t="str">
        <f>IFERROR(__xludf.DUMMYFUNCTION("""COMPUTED_VALUE"""),"Conjunto Panel R/B + base caucho")</f>
        <v>Conjunto Panel R/B + base caucho</v>
      </c>
      <c r="C1337" s="4">
        <f>IFERROR(__xludf.DUMMYFUNCTION("""COMPUTED_VALUE"""),41.0)</f>
        <v>41</v>
      </c>
    </row>
    <row r="1338">
      <c r="A1338" s="4" t="str">
        <f>IFERROR(__xludf.DUMMYFUNCTION("""COMPUTED_VALUE"""),"1687")</f>
        <v>1687</v>
      </c>
      <c r="B1338" s="4" t="str">
        <f>IFERROR(__xludf.DUMMYFUNCTION("""COMPUTED_VALUE"""),"Rotativo fijo carretilla elevadora 21W 12V A/214")</f>
        <v>Rotativo fijo carretilla elevadora 21W 12V A/214</v>
      </c>
      <c r="C1338" s="4">
        <f>IFERROR(__xludf.DUMMYFUNCTION("""COMPUTED_VALUE"""),26.25)</f>
        <v>26.25</v>
      </c>
    </row>
    <row r="1339">
      <c r="A1339" s="4" t="str">
        <f>IFERROR(__xludf.DUMMYFUNCTION("""COMPUTED_VALUE"""),"1688")</f>
        <v>1688</v>
      </c>
      <c r="B1339" s="4" t="str">
        <f>IFERROR(__xludf.DUMMYFUNCTION("""COMPUTED_VALUE"""),"Panel conjunto 5 Leds para vehículos")</f>
        <v>Panel conjunto 5 Leds para vehículos</v>
      </c>
      <c r="C1339" s="4">
        <f>IFERROR(__xludf.DUMMYFUNCTION("""COMPUTED_VALUE"""),907.2)</f>
        <v>907.2</v>
      </c>
    </row>
    <row r="1340">
      <c r="A1340" s="4" t="str">
        <f>IFERROR(__xludf.DUMMYFUNCTION("""COMPUTED_VALUE"""),"1689")</f>
        <v>1689</v>
      </c>
      <c r="B1340" s="4" t="str">
        <f>IFERROR(__xludf.DUMMYFUNCTION("""COMPUTED_VALUE"""),"Linterna Super-led Basic 12/220v 3 W+ cono amarillo")</f>
        <v>Linterna Super-led Basic 12/220v 3 W+ cono amarillo</v>
      </c>
      <c r="C1340" s="4">
        <f>IFERROR(__xludf.DUMMYFUNCTION("""COMPUTED_VALUE"""),26.0)</f>
        <v>26</v>
      </c>
    </row>
    <row r="1341">
      <c r="A1341" s="4" t="str">
        <f>IFERROR(__xludf.DUMMYFUNCTION("""COMPUTED_VALUE"""),"1689B")</f>
        <v>1689B</v>
      </c>
      <c r="B1341" s="4" t="str">
        <f>IFERROR(__xludf.DUMMYFUNCTION("""COMPUTED_VALUE"""),"Batería para Linterna recargable Superled Basic")</f>
        <v>Batería para Linterna recargable Superled Basic</v>
      </c>
      <c r="C1341" s="4">
        <f>IFERROR(__xludf.DUMMYFUNCTION("""COMPUTED_VALUE"""),7.0)</f>
        <v>7</v>
      </c>
    </row>
    <row r="1342">
      <c r="A1342" s="4" t="str">
        <f>IFERROR(__xludf.DUMMYFUNCTION("""COMPUTED_VALUE"""),"1689C")</f>
        <v>1689C</v>
      </c>
      <c r="B1342" s="4" t="str">
        <f>IFERROR(__xludf.DUMMYFUNCTION("""COMPUTED_VALUE"""),"Cono para linterna recargable Superled Basic")</f>
        <v>Cono para linterna recargable Superled Basic</v>
      </c>
      <c r="C1342" s="4">
        <f>IFERROR(__xludf.DUMMYFUNCTION("""COMPUTED_VALUE"""),6.0)</f>
        <v>6</v>
      </c>
    </row>
    <row r="1343">
      <c r="A1343" s="4" t="str">
        <f>IFERROR(__xludf.DUMMYFUNCTION("""COMPUTED_VALUE"""),"1690")</f>
        <v>1690</v>
      </c>
      <c r="B1343" s="4" t="str">
        <f>IFERROR(__xludf.DUMMYFUNCTION("""COMPUTED_VALUE"""),"Linterna Super-led Polilux 12-220v 3W")</f>
        <v>Linterna Super-led Polilux 12-220v 3W</v>
      </c>
      <c r="C1343" s="4">
        <f>IFERROR(__xludf.DUMMYFUNCTION("""COMPUTED_VALUE"""),249.9)</f>
        <v>249.9</v>
      </c>
    </row>
    <row r="1344">
      <c r="A1344" s="4" t="str">
        <f>IFERROR(__xludf.DUMMYFUNCTION("""COMPUTED_VALUE"""),"1691")</f>
        <v>1691</v>
      </c>
      <c r="B1344" s="4" t="str">
        <f>IFERROR(__xludf.DUMMYFUNCTION("""COMPUTED_VALUE"""),"Paleta difusora Stop-Paso p/linterna profesional")</f>
        <v>Paleta difusora Stop-Paso p/linterna profesional</v>
      </c>
      <c r="C1344" s="4">
        <f>IFERROR(__xludf.DUMMYFUNCTION("""COMPUTED_VALUE"""),34.65)</f>
        <v>34.65</v>
      </c>
    </row>
    <row r="1345">
      <c r="A1345" s="4" t="str">
        <f>IFERROR(__xludf.DUMMYFUNCTION("""COMPUTED_VALUE"""),"1692")</f>
        <v>1692</v>
      </c>
      <c r="B1345" s="4" t="str">
        <f>IFERROR(__xludf.DUMMYFUNCTION("""COMPUTED_VALUE"""),"Cono amarillo señalizacion p/linterna profesional")</f>
        <v>Cono amarillo señalizacion p/linterna profesional</v>
      </c>
      <c r="C1345" s="4">
        <f>IFERROR(__xludf.DUMMYFUNCTION("""COMPUTED_VALUE"""),6.825)</f>
        <v>6.825</v>
      </c>
    </row>
    <row r="1346">
      <c r="A1346" s="4" t="str">
        <f>IFERROR(__xludf.DUMMYFUNCTION("""COMPUTED_VALUE"""),"1693")</f>
        <v>1693</v>
      </c>
      <c r="B1346" s="4" t="str">
        <f>IFERROR(__xludf.DUMMYFUNCTION("""COMPUTED_VALUE"""),"Avisador acústico para carretilla 97 db")</f>
        <v>Avisador acústico para carretilla 97 db</v>
      </c>
      <c r="C1346" s="4">
        <f>IFERROR(__xludf.DUMMYFUNCTION("""COMPUTED_VALUE"""),26.25)</f>
        <v>26.25</v>
      </c>
    </row>
    <row r="1347">
      <c r="A1347" s="4" t="str">
        <f>IFERROR(__xludf.DUMMYFUNCTION("""COMPUTED_VALUE"""),"1694")</f>
        <v>1694</v>
      </c>
      <c r="B1347" s="4" t="str">
        <f>IFERROR(__xludf.DUMMYFUNCTION("""COMPUTED_VALUE"""),"Rotativo Led 12V base magnetica + ventosa")</f>
        <v>Rotativo Led 12V base magnetica + ventosa</v>
      </c>
      <c r="C1347" s="4">
        <f>IFERROR(__xludf.DUMMYFUNCTION("""COMPUTED_VALUE"""),50.4)</f>
        <v>50.4</v>
      </c>
    </row>
    <row r="1348">
      <c r="A1348" s="4" t="str">
        <f>IFERROR(__xludf.DUMMYFUNCTION("""COMPUTED_VALUE"""),"1697")</f>
        <v>1697</v>
      </c>
      <c r="B1348" s="4" t="str">
        <f>IFERROR(__xludf.DUMMYFUNCTION("""COMPUTED_VALUE"""),"Baston luminoso LED ambar")</f>
        <v>Baston luminoso LED ambar</v>
      </c>
      <c r="C1348" s="4">
        <f>IFERROR(__xludf.DUMMYFUNCTION("""COMPUTED_VALUE"""),7.75)</f>
        <v>7.75</v>
      </c>
    </row>
    <row r="1349">
      <c r="A1349" s="4" t="str">
        <f>IFERROR(__xludf.DUMMYFUNCTION("""COMPUTED_VALUE"""),"1700")</f>
        <v>1700</v>
      </c>
      <c r="B1349" s="4" t="str">
        <f>IFERROR(__xludf.DUMMYFUNCTION("""COMPUTED_VALUE"""),"Panel direccional 60x60 8 focos Led 100 mm")</f>
        <v>Panel direccional 60x60 8 focos Led 100 mm</v>
      </c>
      <c r="C1349" s="4">
        <f>IFERROR(__xludf.DUMMYFUNCTION("""COMPUTED_VALUE"""),517.65)</f>
        <v>517.65</v>
      </c>
    </row>
    <row r="1350">
      <c r="A1350" s="4" t="str">
        <f>IFERROR(__xludf.DUMMYFUNCTION("""COMPUTED_VALUE"""),"1701")</f>
        <v>1701</v>
      </c>
      <c r="B1350" s="4" t="str">
        <f>IFERROR(__xludf.DUMMYFUNCTION("""COMPUTED_VALUE"""),"Panel direccional 90x90 8 Focos Led 200 mm")</f>
        <v>Panel direccional 90x90 8 Focos Led 200 mm</v>
      </c>
      <c r="C1350" s="4">
        <f>IFERROR(__xludf.DUMMYFUNCTION("""COMPUTED_VALUE"""),787.5)</f>
        <v>787.5</v>
      </c>
    </row>
    <row r="1351">
      <c r="A1351" s="4" t="str">
        <f>IFERROR(__xludf.DUMMYFUNCTION("""COMPUTED_VALUE"""),"1900")</f>
        <v>1900</v>
      </c>
      <c r="B1351" s="4" t="str">
        <f>IFERROR(__xludf.DUMMYFUNCTION("""COMPUTED_VALUE"""),"Reductor veloc. proteccion cables 90x50x5cm")</f>
        <v>Reductor veloc. proteccion cables 90x50x5cm</v>
      </c>
      <c r="C1351" s="4">
        <f>IFERROR(__xludf.DUMMYFUNCTION("""COMPUTED_VALUE"""),45.0)</f>
        <v>45</v>
      </c>
    </row>
    <row r="1352">
      <c r="A1352" s="4" t="str">
        <f>IFERROR(__xludf.DUMMYFUNCTION("""COMPUTED_VALUE"""),"1900B")</f>
        <v>1900B</v>
      </c>
      <c r="B1352" s="4" t="str">
        <f>IFERROR(__xludf.DUMMYFUNCTION("""COMPUTED_VALUE"""),"Reductor veloc. proteccion cables 90x25x4,5 cm")</f>
        <v>Reductor veloc. proteccion cables 90x25x4,5 cm</v>
      </c>
      <c r="C1352" s="4">
        <f>IFERROR(__xludf.DUMMYFUNCTION("""COMPUTED_VALUE"""),40.5)</f>
        <v>40.5</v>
      </c>
    </row>
    <row r="1353">
      <c r="A1353" s="4" t="str">
        <f>IFERROR(__xludf.DUMMYFUNCTION("""COMPUTED_VALUE"""),"1900C")</f>
        <v>1900C</v>
      </c>
      <c r="B1353" s="4" t="str">
        <f>IFERROR(__xludf.DUMMYFUNCTION("""COMPUTED_VALUE"""),"Rampa proteccion cables 30x82x8,5 cm")</f>
        <v>Rampa proteccion cables 30x82x8,5 cm</v>
      </c>
      <c r="C1353" s="4">
        <f>IFERROR(__xludf.DUMMYFUNCTION("""COMPUTED_VALUE"""),41.75)</f>
        <v>41.75</v>
      </c>
    </row>
    <row r="1354">
      <c r="A1354" s="4" t="str">
        <f>IFERROR(__xludf.DUMMYFUNCTION("""COMPUTED_VALUE"""),"1900D")</f>
        <v>1900D</v>
      </c>
      <c r="B1354" s="4" t="str">
        <f>IFERROR(__xludf.DUMMYFUNCTION("""COMPUTED_VALUE"""),"Reductor Pasacables MOD D")</f>
        <v>Reductor Pasacables MOD D</v>
      </c>
      <c r="C1354" s="4">
        <f>IFERROR(__xludf.DUMMYFUNCTION("""COMPUTED_VALUE"""),39.5)</f>
        <v>39.5</v>
      </c>
    </row>
    <row r="1355">
      <c r="A1355" s="4" t="str">
        <f>IFERROR(__xludf.DUMMYFUNCTION("""COMPUTED_VALUE"""),"1901H")</f>
        <v>1901H</v>
      </c>
      <c r="B1355" s="4" t="str">
        <f>IFERROR(__xludf.DUMMYFUNCTION("""COMPUTED_VALUE"""),"Extremo reductor velocidad 25x50x3 cm Mod B H")</f>
        <v>Extremo reductor velocidad 25x50x3 cm Mod B H</v>
      </c>
      <c r="C1355" s="4">
        <f>IFERROR(__xludf.DUMMYFUNCTION("""COMPUTED_VALUE"""),15.0)</f>
        <v>15</v>
      </c>
    </row>
    <row r="1356">
      <c r="A1356" s="4" t="str">
        <f>IFERROR(__xludf.DUMMYFUNCTION("""COMPUTED_VALUE"""),"1901M")</f>
        <v>1901M</v>
      </c>
      <c r="B1356" s="4" t="str">
        <f>IFERROR(__xludf.DUMMYFUNCTION("""COMPUTED_VALUE"""),"Extremo reductor velocidad 25x50x3 cm Mod B M")</f>
        <v>Extremo reductor velocidad 25x50x3 cm Mod B M</v>
      </c>
      <c r="C1356" s="4">
        <f>IFERROR(__xludf.DUMMYFUNCTION("""COMPUTED_VALUE"""),15.0)</f>
        <v>15</v>
      </c>
    </row>
    <row r="1357">
      <c r="A1357" s="4" t="str">
        <f>IFERROR(__xludf.DUMMYFUNCTION("""COMPUTED_VALUE"""),"1902")</f>
        <v>1902</v>
      </c>
      <c r="B1357" s="4" t="str">
        <f>IFERROR(__xludf.DUMMYFUNCTION("""COMPUTED_VALUE"""),"Reductor Velocidad 50x50x3 cm. Mod. B")</f>
        <v>Reductor Velocidad 50x50x3 cm. Mod. B</v>
      </c>
      <c r="C1357" s="4">
        <f>IFERROR(__xludf.DUMMYFUNCTION("""COMPUTED_VALUE"""),25.18)</f>
        <v>25.18</v>
      </c>
    </row>
    <row r="1358">
      <c r="A1358" s="4" t="str">
        <f>IFERROR(__xludf.DUMMYFUNCTION("""COMPUTED_VALUE"""),"1903")</f>
        <v>1903</v>
      </c>
      <c r="B1358" s="4" t="str">
        <f>IFERROR(__xludf.DUMMYFUNCTION("""COMPUTED_VALUE"""),"Reductor Velocidad 50x60x5 cm. Mod. A")</f>
        <v>Reductor Velocidad 50x60x5 cm. Mod. A</v>
      </c>
      <c r="C1358" s="4">
        <f>IFERROR(__xludf.DUMMYFUNCTION("""COMPUTED_VALUE"""),25.9)</f>
        <v>25.9</v>
      </c>
    </row>
    <row r="1359">
      <c r="A1359" s="4" t="str">
        <f>IFERROR(__xludf.DUMMYFUNCTION("""COMPUTED_VALUE"""),"1903B")</f>
        <v>1903B</v>
      </c>
      <c r="B1359" s="4" t="str">
        <f>IFERROR(__xludf.DUMMYFUNCTION("""COMPUTED_VALUE"""),"Reductor Velocidad 50x60x3 cm. Mod. A")</f>
        <v>Reductor Velocidad 50x60x3 cm. Mod. A</v>
      </c>
      <c r="C1359" s="4">
        <f>IFERROR(__xludf.DUMMYFUNCTION("""COMPUTED_VALUE"""),16.0)</f>
        <v>16</v>
      </c>
    </row>
    <row r="1360">
      <c r="A1360" s="4" t="str">
        <f>IFERROR(__xludf.DUMMYFUNCTION("""COMPUTED_VALUE"""),"1904")</f>
        <v>1904</v>
      </c>
      <c r="B1360" s="4" t="str">
        <f>IFERROR(__xludf.DUMMYFUNCTION("""COMPUTED_VALUE"""),"Extremo Reductor velocidad 25x60x5 cm Mod. A")</f>
        <v>Extremo Reductor velocidad 25x60x5 cm Mod. A</v>
      </c>
      <c r="C1360" s="4">
        <f>IFERROR(__xludf.DUMMYFUNCTION("""COMPUTED_VALUE"""),16.95)</f>
        <v>16.95</v>
      </c>
    </row>
    <row r="1361">
      <c r="A1361" s="4" t="str">
        <f>IFERROR(__xludf.DUMMYFUNCTION("""COMPUTED_VALUE"""),"1904B")</f>
        <v>1904B</v>
      </c>
      <c r="B1361" s="4" t="str">
        <f>IFERROR(__xludf.DUMMYFUNCTION("""COMPUTED_VALUE"""),"Extremo reductor Velocidad 50x60x3 cm. Mod. A")</f>
        <v>Extremo reductor Velocidad 50x60x3 cm. Mod. A</v>
      </c>
      <c r="C1361" s="4">
        <f>IFERROR(__xludf.DUMMYFUNCTION("""COMPUTED_VALUE"""),11.25)</f>
        <v>11.25</v>
      </c>
    </row>
    <row r="1362">
      <c r="A1362" s="4" t="str">
        <f>IFERROR(__xludf.DUMMYFUNCTION("""COMPUTED_VALUE"""),"1908")</f>
        <v>1908</v>
      </c>
      <c r="B1362" s="4" t="str">
        <f>IFERROR(__xludf.DUMMYFUNCTION("""COMPUTED_VALUE"""),"Reductor Velocidad 50x50x5 cm Mod. B")</f>
        <v>Reductor Velocidad 50x50x5 cm Mod. B</v>
      </c>
      <c r="C1362" s="4">
        <f>IFERROR(__xludf.DUMMYFUNCTION("""COMPUTED_VALUE"""),34.75)</f>
        <v>34.75</v>
      </c>
    </row>
    <row r="1363">
      <c r="A1363" s="4" t="str">
        <f>IFERROR(__xludf.DUMMYFUNCTION("""COMPUTED_VALUE"""),"1909H")</f>
        <v>1909H</v>
      </c>
      <c r="B1363" s="4" t="str">
        <f>IFERROR(__xludf.DUMMYFUNCTION("""COMPUTED_VALUE"""),"Extremo reductor velocidad 25x50x5 cm Mod. B H")</f>
        <v>Extremo reductor velocidad 25x50x5 cm Mod. B H</v>
      </c>
      <c r="C1363" s="4">
        <f>IFERROR(__xludf.DUMMYFUNCTION("""COMPUTED_VALUE"""),19.95)</f>
        <v>19.95</v>
      </c>
    </row>
    <row r="1364">
      <c r="A1364" s="4" t="str">
        <f>IFERROR(__xludf.DUMMYFUNCTION("""COMPUTED_VALUE"""),"1909M")</f>
        <v>1909M</v>
      </c>
      <c r="B1364" s="4" t="str">
        <f>IFERROR(__xludf.DUMMYFUNCTION("""COMPUTED_VALUE"""),"Extremo reductor velocidad 25x50x5 cm Mod. B M")</f>
        <v>Extremo reductor velocidad 25x50x5 cm Mod. B M</v>
      </c>
      <c r="C1364" s="4">
        <f>IFERROR(__xludf.DUMMYFUNCTION("""COMPUTED_VALUE"""),19.95)</f>
        <v>19.95</v>
      </c>
    </row>
    <row r="1365">
      <c r="A1365" s="4" t="str">
        <f>IFERROR(__xludf.DUMMYFUNCTION("""COMPUTED_VALUE"""),"1910")</f>
        <v>1910</v>
      </c>
      <c r="B1365" s="4" t="str">
        <f>IFERROR(__xludf.DUMMYFUNCTION("""COMPUTED_VALUE"""),"Reductor velocidad - salva cables 50x60x5")</f>
        <v>Reductor velocidad - salva cables 50x60x5</v>
      </c>
      <c r="C1365" s="4">
        <f>IFERROR(__xludf.DUMMYFUNCTION("""COMPUTED_VALUE"""),43.75)</f>
        <v>43.75</v>
      </c>
    </row>
    <row r="1366">
      <c r="A1366" s="4" t="str">
        <f>IFERROR(__xludf.DUMMYFUNCTION("""COMPUTED_VALUE"""),"1912")</f>
        <v>1912</v>
      </c>
      <c r="B1366" s="4" t="str">
        <f>IFERROR(__xludf.DUMMYFUNCTION("""COMPUTED_VALUE"""),"Reductor Lenticular 22x4")</f>
        <v>Reductor Lenticular 22x4</v>
      </c>
      <c r="C1366" s="4">
        <f>IFERROR(__xludf.DUMMYFUNCTION("""COMPUTED_VALUE"""),7.6)</f>
        <v>7.6</v>
      </c>
    </row>
    <row r="1367">
      <c r="A1367" s="4" t="str">
        <f>IFERROR(__xludf.DUMMYFUNCTION("""COMPUTED_VALUE"""),"1913/A")</f>
        <v>1913/A</v>
      </c>
      <c r="B1367" s="4" t="str">
        <f>IFERROR(__xludf.DUMMYFUNCTION("""COMPUTED_VALUE"""),"Separador Amarillo carril- bici 1 mt x 15 cm ancho x 5 cm alto")</f>
        <v>Separador Amarillo carril- bici 1 mt x 15 cm ancho x 5 cm alto</v>
      </c>
      <c r="C1367" s="4">
        <f>IFERROR(__xludf.DUMMYFUNCTION("""COMPUTED_VALUE"""),18.0)</f>
        <v>18</v>
      </c>
    </row>
    <row r="1368">
      <c r="A1368" s="4" t="str">
        <f>IFERROR(__xludf.DUMMYFUNCTION("""COMPUTED_VALUE"""),"1913/N")</f>
        <v>1913/N</v>
      </c>
      <c r="B1368" s="4" t="str">
        <f>IFERROR(__xludf.DUMMYFUNCTION("""COMPUTED_VALUE"""),"Separador Negro carril-bici 1 mt x 15 cm ancho x 5 cm alto")</f>
        <v>Separador Negro carril-bici 1 mt x 15 cm ancho x 5 cm alto</v>
      </c>
      <c r="C1368" s="4">
        <f>IFERROR(__xludf.DUMMYFUNCTION("""COMPUTED_VALUE"""),18.0)</f>
        <v>18</v>
      </c>
    </row>
    <row r="1369">
      <c r="A1369" s="4" t="str">
        <f>IFERROR(__xludf.DUMMYFUNCTION("""COMPUTED_VALUE"""),"1913/R")</f>
        <v>1913/R</v>
      </c>
      <c r="B1369" s="4" t="str">
        <f>IFERROR(__xludf.DUMMYFUNCTION("""COMPUTED_VALUE"""),"Separador Rojo carril-bici 1 mt x 15 cm ancho x 5 cm alto")</f>
        <v>Separador Rojo carril-bici 1 mt x 15 cm ancho x 5 cm alto</v>
      </c>
      <c r="C1369" s="4">
        <f>IFERROR(__xludf.DUMMYFUNCTION("""COMPUTED_VALUE"""),18.0)</f>
        <v>18</v>
      </c>
    </row>
    <row r="1370">
      <c r="A1370" s="4" t="str">
        <f>IFERROR(__xludf.DUMMYFUNCTION("""COMPUTED_VALUE"""),"1914")</f>
        <v>1914</v>
      </c>
      <c r="B1370" s="4" t="str">
        <f>IFERROR(__xludf.DUMMYFUNCTION("""COMPUTED_VALUE"""),"Separador carril-bici 77,5 x 16,6 x 9 cm CVT")</f>
        <v>Separador carril-bici 77,5 x 16,6 x 9 cm CVT</v>
      </c>
      <c r="C1370" s="4">
        <f>IFERROR(__xludf.DUMMYFUNCTION("""COMPUTED_VALUE"""),14.6)</f>
        <v>14.6</v>
      </c>
    </row>
    <row r="1371">
      <c r="A1371" s="4" t="str">
        <f>IFERROR(__xludf.DUMMYFUNCTION("""COMPUTED_VALUE"""),"1915")</f>
        <v>1915</v>
      </c>
      <c r="B1371" s="4" t="str">
        <f>IFERROR(__xludf.DUMMYFUNCTION("""COMPUTED_VALUE"""),"Valla extensible PVC 2,50 metros N/A")</f>
        <v>Valla extensible PVC 2,50 metros N/A</v>
      </c>
      <c r="C1371" s="4">
        <f>IFERROR(__xludf.DUMMYFUNCTION("""COMPUTED_VALUE"""),66.0)</f>
        <v>66</v>
      </c>
    </row>
    <row r="1372">
      <c r="A1372" s="4" t="str">
        <f>IFERROR(__xludf.DUMMYFUNCTION("""COMPUTED_VALUE"""),"1915/R")</f>
        <v>1915/R</v>
      </c>
      <c r="B1372" s="4" t="str">
        <f>IFERROR(__xludf.DUMMYFUNCTION("""COMPUTED_VALUE"""),"Valla extensible PVC R/B")</f>
        <v>Valla extensible PVC R/B</v>
      </c>
      <c r="C1372" s="4">
        <f>IFERROR(__xludf.DUMMYFUNCTION("""COMPUTED_VALUE"""),79.1)</f>
        <v>79.1</v>
      </c>
    </row>
    <row r="1373">
      <c r="A1373" s="4" t="str">
        <f>IFERROR(__xludf.DUMMYFUNCTION("""COMPUTED_VALUE"""),"1915M")</f>
        <v>1915M</v>
      </c>
      <c r="B1373" s="4" t="str">
        <f>IFERROR(__xludf.DUMMYFUNCTION("""COMPUTED_VALUE"""),"Utility Barrier 4 pts. 750 mm")</f>
        <v>Utility Barrier 4 pts. 750 mm</v>
      </c>
      <c r="C1373" s="4">
        <f>IFERROR(__xludf.DUMMYFUNCTION("""COMPUTED_VALUE"""),110.0)</f>
        <v>110</v>
      </c>
    </row>
    <row r="1374">
      <c r="A1374" s="4" t="str">
        <f>IFERROR(__xludf.DUMMYFUNCTION("""COMPUTED_VALUE"""),"1916")</f>
        <v>1916</v>
      </c>
      <c r="B1374" s="4" t="str">
        <f>IFERROR(__xludf.DUMMYFUNCTION("""COMPUTED_VALUE"""),"Reductor velocidad 50x50x4,5 MOD C")</f>
        <v>Reductor velocidad 50x50x4,5 MOD C</v>
      </c>
      <c r="C1374" s="4">
        <f>IFERROR(__xludf.DUMMYFUNCTION("""COMPUTED_VALUE"""),19.45)</f>
        <v>19.45</v>
      </c>
    </row>
    <row r="1375">
      <c r="A1375" s="4" t="str">
        <f>IFERROR(__xludf.DUMMYFUNCTION("""COMPUTED_VALUE"""),"1917")</f>
        <v>1917</v>
      </c>
      <c r="B1375" s="4" t="str">
        <f>IFERROR(__xludf.DUMMYFUNCTION("""COMPUTED_VALUE"""),"Extremo reductor velocidad 50x25x4,5 MOD C")</f>
        <v>Extremo reductor velocidad 50x25x4,5 MOD C</v>
      </c>
      <c r="C1375" s="4">
        <f>IFERROR(__xludf.DUMMYFUNCTION("""COMPUTED_VALUE"""),12.25)</f>
        <v>12.25</v>
      </c>
    </row>
    <row r="1376">
      <c r="A1376" s="4" t="str">
        <f>IFERROR(__xludf.DUMMYFUNCTION("""COMPUTED_VALUE"""),"1919")</f>
        <v>1919</v>
      </c>
      <c r="B1376" s="4" t="str">
        <f>IFERROR(__xludf.DUMMYFUNCTION("""COMPUTED_VALUE"""),"Valla alcantarillado 4 ptas Plastico Naranja")</f>
        <v>Valla alcantarillado 4 ptas Plastico Naranja</v>
      </c>
      <c r="C1376" s="4">
        <f>IFERROR(__xludf.DUMMYFUNCTION("""COMPUTED_VALUE"""),99.5)</f>
        <v>99.5</v>
      </c>
    </row>
    <row r="1377">
      <c r="A1377" s="4" t="str">
        <f>IFERROR(__xludf.DUMMYFUNCTION("""COMPUTED_VALUE"""),"1924A")</f>
        <v>1924A</v>
      </c>
      <c r="B1377" s="4" t="str">
        <f>IFERROR(__xludf.DUMMYFUNCTION("""COMPUTED_VALUE"""),"Valla señal. Gate Barrier 2 mtros Amarilla")</f>
        <v>Valla señal. Gate Barrier 2 mtros Amarilla</v>
      </c>
      <c r="C1377" s="4">
        <f>IFERROR(__xludf.DUMMYFUNCTION("""COMPUTED_VALUE"""),56.0)</f>
        <v>56</v>
      </c>
    </row>
    <row r="1378">
      <c r="A1378" s="4" t="str">
        <f>IFERROR(__xludf.DUMMYFUNCTION("""COMPUTED_VALUE"""),"1924B")</f>
        <v>1924B</v>
      </c>
      <c r="B1378" s="4" t="str">
        <f>IFERROR(__xludf.DUMMYFUNCTION("""COMPUTED_VALUE"""),"Valla señal. Gate Barrier 2 mtros Blanco")</f>
        <v>Valla señal. Gate Barrier 2 mtros Blanco</v>
      </c>
      <c r="C1378" s="4">
        <f>IFERROR(__xludf.DUMMYFUNCTION("""COMPUTED_VALUE"""),56.0)</f>
        <v>56</v>
      </c>
    </row>
    <row r="1379">
      <c r="A1379" s="4" t="str">
        <f>IFERROR(__xludf.DUMMYFUNCTION("""COMPUTED_VALUE"""),"1924N")</f>
        <v>1924N</v>
      </c>
      <c r="B1379" s="4" t="str">
        <f>IFERROR(__xludf.DUMMYFUNCTION("""COMPUTED_VALUE"""),"Valla señal. Gate Barrier 2 mtros Naranja")</f>
        <v>Valla señal. Gate Barrier 2 mtros Naranja</v>
      </c>
      <c r="C1379" s="4">
        <f>IFERROR(__xludf.DUMMYFUNCTION("""COMPUTED_VALUE"""),56.0)</f>
        <v>56</v>
      </c>
    </row>
    <row r="1380">
      <c r="A1380" s="4" t="str">
        <f>IFERROR(__xludf.DUMMYFUNCTION("""COMPUTED_VALUE"""),"1924R")</f>
        <v>1924R</v>
      </c>
      <c r="B1380" s="4" t="str">
        <f>IFERROR(__xludf.DUMMYFUNCTION("""COMPUTED_VALUE"""),"Valla Señal. Gate Barrier 2 mtros. Roja")</f>
        <v>Valla Señal. Gate Barrier 2 mtros. Roja</v>
      </c>
      <c r="C1380" s="4">
        <f>IFERROR(__xludf.DUMMYFUNCTION("""COMPUTED_VALUE"""),56.0)</f>
        <v>56</v>
      </c>
    </row>
    <row r="1381">
      <c r="A1381" s="4" t="str">
        <f>IFERROR(__xludf.DUMMYFUNCTION("""COMPUTED_VALUE"""),"1924V")</f>
        <v>1924V</v>
      </c>
      <c r="B1381" s="4" t="str">
        <f>IFERROR(__xludf.DUMMYFUNCTION("""COMPUTED_VALUE"""),"Valla señal. Gate Barrier 2 mtros Verde")</f>
        <v>Valla señal. Gate Barrier 2 mtros Verde</v>
      </c>
      <c r="C1381" s="4">
        <f>IFERROR(__xludf.DUMMYFUNCTION("""COMPUTED_VALUE"""),56.0)</f>
        <v>56</v>
      </c>
    </row>
    <row r="1382">
      <c r="A1382" s="4" t="str">
        <f>IFERROR(__xludf.DUMMYFUNCTION("""COMPUTED_VALUE"""),"1924Z")</f>
        <v>1924Z</v>
      </c>
      <c r="B1382" s="4" t="str">
        <f>IFERROR(__xludf.DUMMYFUNCTION("""COMPUTED_VALUE"""),"Valla señal. Gate Barrier 2 mtros Azul")</f>
        <v>Valla señal. Gate Barrier 2 mtros Azul</v>
      </c>
      <c r="C1382" s="4">
        <f>IFERROR(__xludf.DUMMYFUNCTION("""COMPUTED_VALUE"""),56.0)</f>
        <v>56</v>
      </c>
    </row>
    <row r="1383">
      <c r="A1383" s="4" t="str">
        <f>IFERROR(__xludf.DUMMYFUNCTION("""COMPUTED_VALUE"""),"1925")</f>
        <v>1925</v>
      </c>
      <c r="B1383" s="4" t="str">
        <f>IFERROR(__xludf.DUMMYFUNCTION("""COMPUTED_VALUE"""),"Placa salva-zanjas 120x80 Mod. Basic")</f>
        <v>Placa salva-zanjas 120x80 Mod. Basic</v>
      </c>
      <c r="C1383" s="4">
        <f>IFERROR(__xludf.DUMMYFUNCTION("""COMPUTED_VALUE"""),79.0)</f>
        <v>79</v>
      </c>
    </row>
    <row r="1384">
      <c r="A1384" s="4" t="str">
        <f>IFERROR(__xludf.DUMMYFUNCTION("""COMPUTED_VALUE"""),"1925B")</f>
        <v>1925B</v>
      </c>
      <c r="B1384" s="4" t="str">
        <f>IFERROR(__xludf.DUMMYFUNCTION("""COMPUTED_VALUE"""),"Placa salva-zanjas 120 x 80 antideslizante")</f>
        <v>Placa salva-zanjas 120 x 80 antideslizante</v>
      </c>
      <c r="C1384" s="4">
        <f>IFERROR(__xludf.DUMMYFUNCTION("""COMPUTED_VALUE"""),84.0)</f>
        <v>84</v>
      </c>
    </row>
    <row r="1385">
      <c r="A1385" s="4" t="str">
        <f>IFERROR(__xludf.DUMMYFUNCTION("""COMPUTED_VALUE"""),"1925C")</f>
        <v>1925C</v>
      </c>
      <c r="B1385" s="4" t="str">
        <f>IFERROR(__xludf.DUMMYFUNCTION("""COMPUTED_VALUE"""),"Placa salva-zanjas 120x160 antideslizante")</f>
        <v>Placa salva-zanjas 120x160 antideslizante</v>
      </c>
      <c r="C1385" s="4">
        <f>IFERROR(__xludf.DUMMYFUNCTION("""COMPUTED_VALUE"""),199.0)</f>
        <v>199</v>
      </c>
    </row>
    <row r="1386">
      <c r="A1386" s="4" t="str">
        <f>IFERROR(__xludf.DUMMYFUNCTION("""COMPUTED_VALUE"""),"1927A")</f>
        <v>1927A</v>
      </c>
      <c r="B1386" s="4" t="str">
        <f>IFERROR(__xludf.DUMMYFUNCTION("""COMPUTED_VALUE"""),"Valla señal. Gate Barrier 1 mt. Amarilla publicitaria")</f>
        <v>Valla señal. Gate Barrier 1 mt. Amarilla publicitaria</v>
      </c>
      <c r="C1386" s="4">
        <f>IFERROR(__xludf.DUMMYFUNCTION("""COMPUTED_VALUE"""),37.5)</f>
        <v>37.5</v>
      </c>
    </row>
    <row r="1387">
      <c r="A1387" s="4" t="str">
        <f>IFERROR(__xludf.DUMMYFUNCTION("""COMPUTED_VALUE"""),"1927B")</f>
        <v>1927B</v>
      </c>
      <c r="B1387" s="4" t="str">
        <f>IFERROR(__xludf.DUMMYFUNCTION("""COMPUTED_VALUE"""),"Valla señal. Gate Barrier 1 mt. Blanca publicitaria")</f>
        <v>Valla señal. Gate Barrier 1 mt. Blanca publicitaria</v>
      </c>
      <c r="C1387" s="4">
        <f>IFERROR(__xludf.DUMMYFUNCTION("""COMPUTED_VALUE"""),37.5)</f>
        <v>37.5</v>
      </c>
    </row>
    <row r="1388">
      <c r="A1388" s="4" t="str">
        <f>IFERROR(__xludf.DUMMYFUNCTION("""COMPUTED_VALUE"""),"1927N")</f>
        <v>1927N</v>
      </c>
      <c r="B1388" s="4" t="str">
        <f>IFERROR(__xludf.DUMMYFUNCTION("""COMPUTED_VALUE"""),"Valla señal. Gate Barrier 1 mt. Naranja publicitaria")</f>
        <v>Valla señal. Gate Barrier 1 mt. Naranja publicitaria</v>
      </c>
      <c r="C1388" s="4">
        <f>IFERROR(__xludf.DUMMYFUNCTION("""COMPUTED_VALUE"""),37.5)</f>
        <v>37.5</v>
      </c>
    </row>
    <row r="1389">
      <c r="A1389" s="4" t="str">
        <f>IFERROR(__xludf.DUMMYFUNCTION("""COMPUTED_VALUE"""),"1927Z")</f>
        <v>1927Z</v>
      </c>
      <c r="B1389" s="4" t="str">
        <f>IFERROR(__xludf.DUMMYFUNCTION("""COMPUTED_VALUE"""),"Valla señal. Gate Barrier 1 mt. Azul publicitaria")</f>
        <v>Valla señal. Gate Barrier 1 mt. Azul publicitaria</v>
      </c>
      <c r="C1389" s="4">
        <f>IFERROR(__xludf.DUMMYFUNCTION("""COMPUTED_VALUE"""),37.5)</f>
        <v>37.5</v>
      </c>
    </row>
    <row r="1390">
      <c r="A1390" s="4" t="str">
        <f>IFERROR(__xludf.DUMMYFUNCTION("""COMPUTED_VALUE"""),"1928A")</f>
        <v>1928A</v>
      </c>
      <c r="B1390" s="4" t="str">
        <f>IFERROR(__xludf.DUMMYFUNCTION("""COMPUTED_VALUE"""),"Valla GateBarrier Slim 2x1 Amarilla")</f>
        <v>Valla GateBarrier Slim 2x1 Amarilla</v>
      </c>
      <c r="C1390" s="4">
        <f>IFERROR(__xludf.DUMMYFUNCTION("""COMPUTED_VALUE"""),54.0)</f>
        <v>54</v>
      </c>
    </row>
    <row r="1391">
      <c r="A1391" s="4" t="str">
        <f>IFERROR(__xludf.DUMMYFUNCTION("""COMPUTED_VALUE"""),"1929A")</f>
        <v>1929A</v>
      </c>
      <c r="B1391" s="4" t="str">
        <f>IFERROR(__xludf.DUMMYFUNCTION("""COMPUTED_VALUE"""),"Valla 1 mt Gate barrier amarilla")</f>
        <v>Valla 1 mt Gate barrier amarilla</v>
      </c>
      <c r="C1391" s="4">
        <f>IFERROR(__xludf.DUMMYFUNCTION("""COMPUTED_VALUE"""),41.0)</f>
        <v>41</v>
      </c>
    </row>
    <row r="1392">
      <c r="A1392" s="4" t="str">
        <f>IFERROR(__xludf.DUMMYFUNCTION("""COMPUTED_VALUE"""),"1929B")</f>
        <v>1929B</v>
      </c>
      <c r="B1392" s="4" t="str">
        <f>IFERROR(__xludf.DUMMYFUNCTION("""COMPUTED_VALUE"""),"Valla 1 mt Gate Barrier Blanca")</f>
        <v>Valla 1 mt Gate Barrier Blanca</v>
      </c>
      <c r="C1392" s="4">
        <f>IFERROR(__xludf.DUMMYFUNCTION("""COMPUTED_VALUE"""),41.0)</f>
        <v>41</v>
      </c>
    </row>
    <row r="1393">
      <c r="A1393" s="4" t="str">
        <f>IFERROR(__xludf.DUMMYFUNCTION("""COMPUTED_VALUE"""),"1929N")</f>
        <v>1929N</v>
      </c>
      <c r="B1393" s="4" t="str">
        <f>IFERROR(__xludf.DUMMYFUNCTION("""COMPUTED_VALUE"""),"Valla 1 mt Gate barrier Naranja")</f>
        <v>Valla 1 mt Gate barrier Naranja</v>
      </c>
      <c r="C1393" s="4">
        <f>IFERROR(__xludf.DUMMYFUNCTION("""COMPUTED_VALUE"""),41.0)</f>
        <v>41</v>
      </c>
    </row>
    <row r="1394">
      <c r="A1394" s="4" t="str">
        <f>IFERROR(__xludf.DUMMYFUNCTION("""COMPUTED_VALUE"""),"1929Z")</f>
        <v>1929Z</v>
      </c>
      <c r="B1394" s="4" t="str">
        <f>IFERROR(__xludf.DUMMYFUNCTION("""COMPUTED_VALUE"""),"Valla 1 mt Gate barrier azul")</f>
        <v>Valla 1 mt Gate barrier azul</v>
      </c>
      <c r="C1394" s="4">
        <f>IFERROR(__xludf.DUMMYFUNCTION("""COMPUTED_VALUE"""),41.0)</f>
        <v>41</v>
      </c>
    </row>
    <row r="1395">
      <c r="A1395" s="4" t="str">
        <f>IFERROR(__xludf.DUMMYFUNCTION("""COMPUTED_VALUE"""),"1931")</f>
        <v>1931</v>
      </c>
      <c r="B1395" s="4" t="str">
        <f>IFERROR(__xludf.DUMMYFUNCTION("""COMPUTED_VALUE"""),"Reductor Velocidad 50x44x5 cm Mod. D negro")</f>
        <v>Reductor Velocidad 50x44x5 cm Mod. D negro</v>
      </c>
      <c r="C1395" s="4">
        <f>IFERROR(__xludf.DUMMYFUNCTION("""COMPUTED_VALUE"""),24.25)</f>
        <v>24.25</v>
      </c>
    </row>
    <row r="1396">
      <c r="A1396" s="4" t="str">
        <f>IFERROR(__xludf.DUMMYFUNCTION("""COMPUTED_VALUE"""),"1932")</f>
        <v>1932</v>
      </c>
      <c r="B1396" s="4" t="str">
        <f>IFERROR(__xludf.DUMMYFUNCTION("""COMPUTED_VALUE"""),"Reductor Velocidad 50x44X5cm Mod. D Amarillo")</f>
        <v>Reductor Velocidad 50x44X5cm Mod. D Amarillo</v>
      </c>
      <c r="C1396" s="4">
        <f>IFERROR(__xludf.DUMMYFUNCTION("""COMPUTED_VALUE"""),24.25)</f>
        <v>24.25</v>
      </c>
    </row>
    <row r="1397">
      <c r="A1397" s="4" t="str">
        <f>IFERROR(__xludf.DUMMYFUNCTION("""COMPUTED_VALUE"""),"1933")</f>
        <v>1933</v>
      </c>
      <c r="B1397" s="4" t="str">
        <f>IFERROR(__xludf.DUMMYFUNCTION("""COMPUTED_VALUE"""),"Extremo reductor velocidad 21x42.5x5 cm Mod. D Negro")</f>
        <v>Extremo reductor velocidad 21x42.5x5 cm Mod. D Negro</v>
      </c>
      <c r="C1397" s="4">
        <f>IFERROR(__xludf.DUMMYFUNCTION("""COMPUTED_VALUE"""),16.25)</f>
        <v>16.25</v>
      </c>
    </row>
    <row r="1398">
      <c r="A1398" s="4" t="str">
        <f>IFERROR(__xludf.DUMMYFUNCTION("""COMPUTED_VALUE"""),"1934")</f>
        <v>1934</v>
      </c>
      <c r="B1398" s="4" t="str">
        <f>IFERROR(__xludf.DUMMYFUNCTION("""COMPUTED_VALUE"""),"Extremo reductor velocidad 21x42.5x5 cm Mod. D Amarillo")</f>
        <v>Extremo reductor velocidad 21x42.5x5 cm Mod. D Amarillo</v>
      </c>
      <c r="C1398" s="4">
        <f>IFERROR(__xludf.DUMMYFUNCTION("""COMPUTED_VALUE"""),16.25)</f>
        <v>16.25</v>
      </c>
    </row>
    <row r="1399">
      <c r="A1399" s="4" t="str">
        <f>IFERROR(__xludf.DUMMYFUNCTION("""COMPUTED_VALUE"""),"1937")</f>
        <v>1937</v>
      </c>
      <c r="B1399" s="4" t="str">
        <f>IFERROR(__xludf.DUMMYFUNCTION("""COMPUTED_VALUE"""),"Valla Señal. Olimpic Barrier 2 m Naranja")</f>
        <v>Valla Señal. Olimpic Barrier 2 m Naranja</v>
      </c>
      <c r="C1399" s="4">
        <f>IFERROR(__xludf.DUMMYFUNCTION("""COMPUTED_VALUE"""),72.5)</f>
        <v>72.5</v>
      </c>
    </row>
    <row r="1400">
      <c r="A1400" s="4" t="str">
        <f>IFERROR(__xludf.DUMMYFUNCTION("""COMPUTED_VALUE"""),"1938")</f>
        <v>1938</v>
      </c>
      <c r="B1400" s="4" t="str">
        <f>IFERROR(__xludf.DUMMYFUNCTION("""COMPUTED_VALUE"""),"Valla Señal. Wonderwall Naranja COMPLETO 1000x1140x500")</f>
        <v>Valla Señal. Wonderwall Naranja COMPLETO 1000x1140x500</v>
      </c>
      <c r="C1400" s="4">
        <f>IFERROR(__xludf.DUMMYFUNCTION("""COMPUTED_VALUE"""),74.0)</f>
        <v>74</v>
      </c>
    </row>
    <row r="1401">
      <c r="A1401" s="4" t="str">
        <f>IFERROR(__xludf.DUMMYFUNCTION("""COMPUTED_VALUE"""),"1938B")</f>
        <v>1938B</v>
      </c>
      <c r="B1401" s="4" t="str">
        <f>IFERROR(__xludf.DUMMYFUNCTION("""COMPUTED_VALUE"""),"Valla Señal. Wonderwall Naranja BASE")</f>
        <v>Valla Señal. Wonderwall Naranja BASE</v>
      </c>
      <c r="C1401" s="4">
        <f>IFERROR(__xludf.DUMMYFUNCTION("""COMPUTED_VALUE"""),22.5)</f>
        <v>22.5</v>
      </c>
    </row>
    <row r="1402">
      <c r="A1402" s="4" t="str">
        <f>IFERROR(__xludf.DUMMYFUNCTION("""COMPUTED_VALUE"""),"1938T")</f>
        <v>1938T</v>
      </c>
      <c r="B1402" s="4" t="str">
        <f>IFERROR(__xludf.DUMMYFUNCTION("""COMPUTED_VALUE"""),"Valla Señal. Wonderwall Naranja TOP")</f>
        <v>Valla Señal. Wonderwall Naranja TOP</v>
      </c>
      <c r="C1402" s="4">
        <f>IFERROR(__xludf.DUMMYFUNCTION("""COMPUTED_VALUE"""),49.0)</f>
        <v>49</v>
      </c>
    </row>
    <row r="1403">
      <c r="A1403" s="4" t="str">
        <f>IFERROR(__xludf.DUMMYFUNCTION("""COMPUTED_VALUE"""),"1939B")</f>
        <v>1939B</v>
      </c>
      <c r="B1403" s="4" t="str">
        <f>IFERROR(__xludf.DUMMYFUNCTION("""COMPUTED_VALUE"""),"Barrera mediana Budda Barrier 800x1040x280 Blanca")</f>
        <v>Barrera mediana Budda Barrier 800x1040x280 Blanca</v>
      </c>
      <c r="C1403" s="4">
        <f>IFERROR(__xludf.DUMMYFUNCTION("""COMPUTED_VALUE"""),56.0)</f>
        <v>56</v>
      </c>
    </row>
    <row r="1404">
      <c r="A1404" s="4" t="str">
        <f>IFERROR(__xludf.DUMMYFUNCTION("""COMPUTED_VALUE"""),"1939R")</f>
        <v>1939R</v>
      </c>
      <c r="B1404" s="4" t="str">
        <f>IFERROR(__xludf.DUMMYFUNCTION("""COMPUTED_VALUE"""),"Barrera mediana Budda Barrier 800x1040x280 Roja")</f>
        <v>Barrera mediana Budda Barrier 800x1040x280 Roja</v>
      </c>
      <c r="C1404" s="4">
        <f>IFERROR(__xludf.DUMMYFUNCTION("""COMPUTED_VALUE"""),56.0)</f>
        <v>56</v>
      </c>
    </row>
    <row r="1405">
      <c r="A1405" s="4" t="str">
        <f>IFERROR(__xludf.DUMMYFUNCTION("""COMPUTED_VALUE"""),"1940B")</f>
        <v>1940B</v>
      </c>
      <c r="B1405" s="4" t="str">
        <f>IFERROR(__xludf.DUMMYFUNCTION("""COMPUTED_VALUE"""),"Mini Double top Valla 1115x535 mm blanca")</f>
        <v>Mini Double top Valla 1115x535 mm blanca</v>
      </c>
      <c r="C1405" s="4">
        <f>IFERROR(__xludf.DUMMYFUNCTION("""COMPUTED_VALUE"""),44.0)</f>
        <v>44</v>
      </c>
    </row>
    <row r="1406">
      <c r="A1406" s="4" t="str">
        <f>IFERROR(__xludf.DUMMYFUNCTION("""COMPUTED_VALUE"""),"1940R")</f>
        <v>1940R</v>
      </c>
      <c r="B1406" s="4" t="str">
        <f>IFERROR(__xludf.DUMMYFUNCTION("""COMPUTED_VALUE"""),"Mini Double top Valla 1115x535 mm roja")</f>
        <v>Mini Double top Valla 1115x535 mm roja</v>
      </c>
      <c r="C1406" s="4">
        <f>IFERROR(__xludf.DUMMYFUNCTION("""COMPUTED_VALUE"""),44.0)</f>
        <v>44</v>
      </c>
    </row>
    <row r="1407">
      <c r="A1407" s="4" t="str">
        <f>IFERROR(__xludf.DUMMYFUNCTION("""COMPUTED_VALUE"""),"1941B")</f>
        <v>1941B</v>
      </c>
      <c r="B1407" s="4" t="str">
        <f>IFERROR(__xludf.DUMMYFUNCTION("""COMPUTED_VALUE"""),"Double top Valla 1115x1000 mm blanca")</f>
        <v>Double top Valla 1115x1000 mm blanca</v>
      </c>
      <c r="C1407" s="4">
        <f>IFERROR(__xludf.DUMMYFUNCTION("""COMPUTED_VALUE"""),47.0)</f>
        <v>47</v>
      </c>
    </row>
    <row r="1408">
      <c r="A1408" s="4" t="str">
        <f>IFERROR(__xludf.DUMMYFUNCTION("""COMPUTED_VALUE"""),"1941R")</f>
        <v>1941R</v>
      </c>
      <c r="B1408" s="4" t="str">
        <f>IFERROR(__xludf.DUMMYFUNCTION("""COMPUTED_VALUE"""),"Double top Valla 1115x1000 mm roja")</f>
        <v>Double top Valla 1115x1000 mm roja</v>
      </c>
      <c r="C1408" s="4">
        <f>IFERROR(__xludf.DUMMYFUNCTION("""COMPUTED_VALUE"""),47.0)</f>
        <v>47</v>
      </c>
    </row>
    <row r="1409">
      <c r="A1409" s="4" t="str">
        <f>IFERROR(__xludf.DUMMYFUNCTION("""COMPUTED_VALUE"""),"1942A")</f>
        <v>1942A</v>
      </c>
      <c r="B1409" s="4" t="str">
        <f>IFERROR(__xludf.DUMMYFUNCTION("""COMPUTED_VALUE"""),"Valla señal.Slim Gate Barrier 2 mtros Amarilla")</f>
        <v>Valla señal.Slim Gate Barrier 2 mtros Amarilla</v>
      </c>
      <c r="C1409" s="4">
        <f>IFERROR(__xludf.DUMMYFUNCTION("""COMPUTED_VALUE"""),53.0)</f>
        <v>53</v>
      </c>
    </row>
    <row r="1410">
      <c r="A1410" s="4" t="str">
        <f>IFERROR(__xludf.DUMMYFUNCTION("""COMPUTED_VALUE"""),"1942B")</f>
        <v>1942B</v>
      </c>
      <c r="B1410" s="4" t="str">
        <f>IFERROR(__xludf.DUMMYFUNCTION("""COMPUTED_VALUE"""),"Valla señal.Slim Gate Barrier 2 mtros Blanco")</f>
        <v>Valla señal.Slim Gate Barrier 2 mtros Blanco</v>
      </c>
      <c r="C1410" s="4">
        <f>IFERROR(__xludf.DUMMYFUNCTION("""COMPUTED_VALUE"""),53.0)</f>
        <v>53</v>
      </c>
    </row>
    <row r="1411">
      <c r="A1411" s="4" t="str">
        <f>IFERROR(__xludf.DUMMYFUNCTION("""COMPUTED_VALUE"""),"1942N")</f>
        <v>1942N</v>
      </c>
      <c r="B1411" s="4" t="str">
        <f>IFERROR(__xludf.DUMMYFUNCTION("""COMPUTED_VALUE"""),"Valla señal.Slim Gate Barrier 2 mtros Naranja")</f>
        <v>Valla señal.Slim Gate Barrier 2 mtros Naranja</v>
      </c>
      <c r="C1411" s="4">
        <f>IFERROR(__xludf.DUMMYFUNCTION("""COMPUTED_VALUE"""),53.0)</f>
        <v>53</v>
      </c>
    </row>
    <row r="1412">
      <c r="A1412" s="4" t="str">
        <f>IFERROR(__xludf.DUMMYFUNCTION("""COMPUTED_VALUE"""),"1942Z")</f>
        <v>1942Z</v>
      </c>
      <c r="B1412" s="4" t="str">
        <f>IFERROR(__xludf.DUMMYFUNCTION("""COMPUTED_VALUE"""),"Valla señal.Slim Gate Barrier 2 mtros Azul")</f>
        <v>Valla señal.Slim Gate Barrier 2 mtros Azul</v>
      </c>
      <c r="C1412" s="4">
        <f>IFERROR(__xludf.DUMMYFUNCTION("""COMPUTED_VALUE"""),53.0)</f>
        <v>53</v>
      </c>
    </row>
    <row r="1413">
      <c r="A1413" s="4" t="str">
        <f>IFERROR(__xludf.DUMMYFUNCTION("""COMPUTED_VALUE"""),"2025")</f>
        <v>2025</v>
      </c>
      <c r="B1413" s="4" t="str">
        <f>IFERROR(__xludf.DUMMYFUNCTION("""COMPUTED_VALUE"""),"Desinfectante fungicida-bactericida 5 litros")</f>
        <v>Desinfectante fungicida-bactericida 5 litros</v>
      </c>
      <c r="C1413" s="4">
        <f>IFERROR(__xludf.DUMMYFUNCTION("""COMPUTED_VALUE"""),19.95)</f>
        <v>19.95</v>
      </c>
    </row>
    <row r="1414">
      <c r="A1414" s="4" t="str">
        <f>IFERROR(__xludf.DUMMYFUNCTION("""COMPUTED_VALUE"""),"2031")</f>
        <v>2031</v>
      </c>
      <c r="B1414" s="4" t="str">
        <f>IFERROR(__xludf.DUMMYFUNCTION("""COMPUTED_VALUE"""),"Tiralíneas grande Rolycord GM 100m x 1.5mm")</f>
        <v>Tiralíneas grande Rolycord GM 100m x 1.5mm</v>
      </c>
      <c r="C1414" s="4">
        <f>IFERROR(__xludf.DUMMYFUNCTION("""COMPUTED_VALUE"""),9.0)</f>
        <v>9</v>
      </c>
    </row>
    <row r="1415">
      <c r="A1415" s="4" t="str">
        <f>IFERROR(__xludf.DUMMYFUNCTION("""COMPUTED_VALUE"""),"2032")</f>
        <v>2032</v>
      </c>
      <c r="B1415" s="4" t="str">
        <f>IFERROR(__xludf.DUMMYFUNCTION("""COMPUTED_VALUE"""),"Tiralíneas Pequeño Rolycord 60m x 2 mmº")</f>
        <v>Tiralíneas Pequeño Rolycord 60m x 2 mmº</v>
      </c>
      <c r="C1415" s="4">
        <f>IFERROR(__xludf.DUMMYFUNCTION("""COMPUTED_VALUE"""),8.0)</f>
        <v>8</v>
      </c>
    </row>
    <row r="1416">
      <c r="A1416" s="4" t="str">
        <f>IFERROR(__xludf.DUMMYFUNCTION("""COMPUTED_VALUE"""),"2033")</f>
        <v>2033</v>
      </c>
      <c r="B1416" s="4" t="str">
        <f>IFERROR(__xludf.DUMMYFUNCTION("""COMPUTED_VALUE"""),"Lápiz bicolor Dúo Marker Rojo/azul (Display 100 uds)")</f>
        <v>Lápiz bicolor Dúo Marker Rojo/azul (Display 100 uds)</v>
      </c>
      <c r="C1416" s="4">
        <f>IFERROR(__xludf.DUMMYFUNCTION("""COMPUTED_VALUE"""),41.0)</f>
        <v>41</v>
      </c>
    </row>
    <row r="1417">
      <c r="A1417" s="4" t="str">
        <f>IFERROR(__xludf.DUMMYFUNCTION("""COMPUTED_VALUE"""),"2034A")</f>
        <v>2034A</v>
      </c>
      <c r="B1417" s="4" t="str">
        <f>IFERROR(__xludf.DUMMYFUNCTION("""COMPUTED_VALUE"""),"Tiza hexagonal 120 x12 mm Amarillo (12 uds)")</f>
        <v>Tiza hexagonal 120 x12 mm Amarillo (12 uds)</v>
      </c>
      <c r="C1417" s="4">
        <f>IFERROR(__xludf.DUMMYFUNCTION("""COMPUTED_VALUE"""),4.95)</f>
        <v>4.95</v>
      </c>
    </row>
    <row r="1418">
      <c r="A1418" s="4" t="str">
        <f>IFERROR(__xludf.DUMMYFUNCTION("""COMPUTED_VALUE"""),"2034B")</f>
        <v>2034B</v>
      </c>
      <c r="B1418" s="4" t="str">
        <f>IFERROR(__xludf.DUMMYFUNCTION("""COMPUTED_VALUE"""),"Tiza hexagonal 120 x12 mm blanco (12 uds)")</f>
        <v>Tiza hexagonal 120 x12 mm blanco (12 uds)</v>
      </c>
      <c r="C1418" s="4">
        <f>IFERROR(__xludf.DUMMYFUNCTION("""COMPUTED_VALUE"""),4.95)</f>
        <v>4.95</v>
      </c>
    </row>
    <row r="1419">
      <c r="A1419" s="4" t="str">
        <f>IFERROR(__xludf.DUMMYFUNCTION("""COMPUTED_VALUE"""),"2034N")</f>
        <v>2034N</v>
      </c>
      <c r="B1419" s="4" t="str">
        <f>IFERROR(__xludf.DUMMYFUNCTION("""COMPUTED_VALUE"""),"Tiza hexagonal 120 x12 mm Negro (12 uds)")</f>
        <v>Tiza hexagonal 120 x12 mm Negro (12 uds)</v>
      </c>
      <c r="C1419" s="4">
        <f>IFERROR(__xludf.DUMMYFUNCTION("""COMPUTED_VALUE"""),4.95)</f>
        <v>4.95</v>
      </c>
    </row>
    <row r="1420">
      <c r="A1420" s="4" t="str">
        <f>IFERROR(__xludf.DUMMYFUNCTION("""COMPUTED_VALUE"""),"2034R")</f>
        <v>2034R</v>
      </c>
      <c r="B1420" s="4" t="str">
        <f>IFERROR(__xludf.DUMMYFUNCTION("""COMPUTED_VALUE"""),"Tiza hexagonal 120 x12 mm Rojo (12 uds)")</f>
        <v>Tiza hexagonal 120 x12 mm Rojo (12 uds)</v>
      </c>
      <c r="C1420" s="4">
        <f>IFERROR(__xludf.DUMMYFUNCTION("""COMPUTED_VALUE"""),4.95)</f>
        <v>4.95</v>
      </c>
    </row>
    <row r="1421">
      <c r="A1421" s="4" t="str">
        <f>IFERROR(__xludf.DUMMYFUNCTION("""COMPUTED_VALUE"""),"2034V")</f>
        <v>2034V</v>
      </c>
      <c r="B1421" s="4" t="str">
        <f>IFERROR(__xludf.DUMMYFUNCTION("""COMPUTED_VALUE"""),"Tiza hexagonal 120 x12 mm Verde (12 uds)")</f>
        <v>Tiza hexagonal 120 x12 mm Verde (12 uds)</v>
      </c>
      <c r="C1421" s="4">
        <f>IFERROR(__xludf.DUMMYFUNCTION("""COMPUTED_VALUE"""),4.95)</f>
        <v>4.95</v>
      </c>
    </row>
    <row r="1422">
      <c r="A1422" s="4" t="str">
        <f>IFERROR(__xludf.DUMMYFUNCTION("""COMPUTED_VALUE"""),"2034Z")</f>
        <v>2034Z</v>
      </c>
      <c r="B1422" s="4" t="str">
        <f>IFERROR(__xludf.DUMMYFUNCTION("""COMPUTED_VALUE"""),"Tiza hexagonal 120 x12 mm Azul (12 uds)")</f>
        <v>Tiza hexagonal 120 x12 mm Azul (12 uds)</v>
      </c>
      <c r="C1422" s="4">
        <f>IFERROR(__xludf.DUMMYFUNCTION("""COMPUTED_VALUE"""),4.95)</f>
        <v>4.95</v>
      </c>
    </row>
    <row r="1423">
      <c r="A1423" s="4" t="str">
        <f>IFERROR(__xludf.DUMMYFUNCTION("""COMPUTED_VALUE"""),"2035")</f>
        <v>2035</v>
      </c>
      <c r="B1423" s="4" t="str">
        <f>IFERROR(__xludf.DUMMYFUNCTION("""COMPUTED_VALUE"""),"Caja Lapiceros carpintero 180 (144 unid)")</f>
        <v>Caja Lapiceros carpintero 180 (144 unid)</v>
      </c>
      <c r="C1423" s="4">
        <f>IFERROR(__xludf.DUMMYFUNCTION("""COMPUTED_VALUE"""),9.2)</f>
        <v>9.2</v>
      </c>
    </row>
    <row r="1424">
      <c r="A1424" s="4" t="str">
        <f>IFERROR(__xludf.DUMMYFUNCTION("""COMPUTED_VALUE"""),"2036")</f>
        <v>2036</v>
      </c>
      <c r="B1424" s="4" t="str">
        <f>IFERROR(__xludf.DUMMYFUNCTION("""COMPUTED_VALUE"""),"Lapiz Recargable Metalico")</f>
        <v>Lapiz Recargable Metalico</v>
      </c>
      <c r="C1424" s="4">
        <f>IFERROR(__xludf.DUMMYFUNCTION("""COMPUTED_VALUE"""),3.6)</f>
        <v>3.6</v>
      </c>
    </row>
    <row r="1425">
      <c r="A1425" s="4" t="str">
        <f>IFERROR(__xludf.DUMMYFUNCTION("""COMPUTED_VALUE"""),"2036E")</f>
        <v>2036E</v>
      </c>
      <c r="B1425" s="4" t="str">
        <f>IFERROR(__xludf.DUMMYFUNCTION("""COMPUTED_VALUE"""),"Caja lápiz carpintero Mod. Europe (100 uds)")</f>
        <v>Caja lápiz carpintero Mod. Europe (100 uds)</v>
      </c>
      <c r="C1425" s="4">
        <f>IFERROR(__xludf.DUMMYFUNCTION("""COMPUTED_VALUE"""),49.0)</f>
        <v>49</v>
      </c>
    </row>
    <row r="1426">
      <c r="A1426" s="4" t="str">
        <f>IFERROR(__xludf.DUMMYFUNCTION("""COMPUTED_VALUE"""),"2037")</f>
        <v>2037</v>
      </c>
      <c r="B1426" s="4" t="str">
        <f>IFERROR(__xludf.DUMMYFUNCTION("""COMPUTED_VALUE"""),"Recambio Lapiz Metalico (50 und)")</f>
        <v>Recambio Lapiz Metalico (50 und)</v>
      </c>
      <c r="C1426" s="4">
        <f>IFERROR(__xludf.DUMMYFUNCTION("""COMPUTED_VALUE"""),2.365)</f>
        <v>2.365</v>
      </c>
    </row>
    <row r="1427">
      <c r="A1427" s="4" t="str">
        <f>IFERROR(__xludf.DUMMYFUNCTION("""COMPUTED_VALUE"""),"2038")</f>
        <v>2038</v>
      </c>
      <c r="B1427" s="4" t="str">
        <f>IFERROR(__xludf.DUMMYFUNCTION("""COMPUTED_VALUE"""),"Tirolesa")</f>
        <v>Tirolesa</v>
      </c>
      <c r="C1427" s="4">
        <f>IFERROR(__xludf.DUMMYFUNCTION("""COMPUTED_VALUE"""),13.25)</f>
        <v>13.25</v>
      </c>
    </row>
    <row r="1428">
      <c r="A1428" s="4" t="str">
        <f>IFERROR(__xludf.DUMMYFUNCTION("""COMPUTED_VALUE"""),"2039")</f>
        <v>2039</v>
      </c>
      <c r="B1428" s="4" t="str">
        <f>IFERROR(__xludf.DUMMYFUNCTION("""COMPUTED_VALUE"""),"Octometro nueva generacion con mochila de transporte")</f>
        <v>Octometro nueva generacion con mochila de transporte</v>
      </c>
      <c r="C1428" s="4">
        <f>IFERROR(__xludf.DUMMYFUNCTION("""COMPUTED_VALUE"""),24.65)</f>
        <v>24.65</v>
      </c>
    </row>
    <row r="1429">
      <c r="A1429" s="4" t="str">
        <f>IFERROR(__xludf.DUMMYFUNCTION("""COMPUTED_VALUE"""),"2040")</f>
        <v>2040</v>
      </c>
      <c r="B1429" s="4" t="str">
        <f>IFERROR(__xludf.DUMMYFUNCTION("""COMPUTED_VALUE"""),"Bolsa encofrador polipiel 21x21 1 bolsillo")</f>
        <v>Bolsa encofrador polipiel 21x21 1 bolsillo</v>
      </c>
      <c r="C1429" s="4">
        <f>IFERROR(__xludf.DUMMYFUNCTION("""COMPUTED_VALUE"""),6.45)</f>
        <v>6.45</v>
      </c>
    </row>
    <row r="1430">
      <c r="A1430" s="4" t="str">
        <f>IFERROR(__xludf.DUMMYFUNCTION("""COMPUTED_VALUE"""),"2041")</f>
        <v>2041</v>
      </c>
      <c r="B1430" s="4" t="str">
        <f>IFERROR(__xludf.DUMMYFUNCTION("""COMPUTED_VALUE"""),"Display 12 tiralineas 15 m (línea eco) + 12 botes azulete 60 gr")</f>
        <v>Display 12 tiralineas 15 m (línea eco) + 12 botes azulete 60 gr</v>
      </c>
      <c r="C1430" s="4">
        <f>IFERROR(__xludf.DUMMYFUNCTION("""COMPUTED_VALUE"""),49.0)</f>
        <v>49</v>
      </c>
    </row>
    <row r="1431">
      <c r="A1431" s="4" t="str">
        <f>IFERROR(__xludf.DUMMYFUNCTION("""COMPUTED_VALUE"""),"2042")</f>
        <v>2042</v>
      </c>
      <c r="B1431" s="4" t="str">
        <f>IFERROR(__xludf.DUMMYFUNCTION("""COMPUTED_VALUE"""),"Display 3 tiralíneas 50 m y 3 botes azulete 1 kg")</f>
        <v>Display 3 tiralíneas 50 m y 3 botes azulete 1 kg</v>
      </c>
      <c r="C1431" s="4">
        <f>IFERROR(__xludf.DUMMYFUNCTION("""COMPUTED_VALUE"""),80.0)</f>
        <v>80</v>
      </c>
    </row>
    <row r="1432">
      <c r="A1432" s="4" t="str">
        <f>IFERROR(__xludf.DUMMYFUNCTION("""COMPUTED_VALUE"""),"2046")</f>
        <v>2046</v>
      </c>
      <c r="B1432" s="4" t="str">
        <f>IFERROR(__xludf.DUMMYFUNCTION("""COMPUTED_VALUE"""),"Tiralíneas Prático 30 mts con botella azulete")</f>
        <v>Tiralíneas Prático 30 mts con botella azulete</v>
      </c>
      <c r="C1432" s="4">
        <f>IFERROR(__xludf.DUMMYFUNCTION("""COMPUTED_VALUE"""),4.0)</f>
        <v>4</v>
      </c>
    </row>
    <row r="1433">
      <c r="A1433" s="4" t="str">
        <f>IFERROR(__xludf.DUMMYFUNCTION("""COMPUTED_VALUE"""),"2047")</f>
        <v>2047</v>
      </c>
      <c r="B1433" s="4" t="str">
        <f>IFERROR(__xludf.DUMMYFUNCTION("""COMPUTED_VALUE"""),"Aplicador cinta balizamiento")</f>
        <v>Aplicador cinta balizamiento</v>
      </c>
      <c r="C1433" s="4">
        <f>IFERROR(__xludf.DUMMYFUNCTION("""COMPUTED_VALUE"""),3.0)</f>
        <v>3</v>
      </c>
    </row>
    <row r="1434">
      <c r="A1434" s="4" t="str">
        <f>IFERROR(__xludf.DUMMYFUNCTION("""COMPUTED_VALUE"""),"2050")</f>
        <v>2050</v>
      </c>
      <c r="B1434" s="4" t="str">
        <f>IFERROR(__xludf.DUMMYFUNCTION("""COMPUTED_VALUE"""),"Toldo polietileno 2x3 verde 120 gr.")</f>
        <v>Toldo polietileno 2x3 verde 120 gr.</v>
      </c>
      <c r="C1434" s="4">
        <f>IFERROR(__xludf.DUMMYFUNCTION("""COMPUTED_VALUE"""),3.95)</f>
        <v>3.95</v>
      </c>
    </row>
    <row r="1435">
      <c r="A1435" s="4" t="str">
        <f>IFERROR(__xludf.DUMMYFUNCTION("""COMPUTED_VALUE"""),"2051")</f>
        <v>2051</v>
      </c>
      <c r="B1435" s="4" t="str">
        <f>IFERROR(__xludf.DUMMYFUNCTION("""COMPUTED_VALUE"""),"Toldo polietileno 3x4 verde 120 gr.")</f>
        <v>Toldo polietileno 3x4 verde 120 gr.</v>
      </c>
      <c r="C1435" s="4">
        <f>IFERROR(__xludf.DUMMYFUNCTION("""COMPUTED_VALUE"""),7.75)</f>
        <v>7.75</v>
      </c>
    </row>
    <row r="1436">
      <c r="A1436" s="4" t="str">
        <f>IFERROR(__xludf.DUMMYFUNCTION("""COMPUTED_VALUE"""),"2052")</f>
        <v>2052</v>
      </c>
      <c r="B1436" s="4" t="str">
        <f>IFERROR(__xludf.DUMMYFUNCTION("""COMPUTED_VALUE"""),"Toldo polietileno 4x6 verde 120 gr.")</f>
        <v>Toldo polietileno 4x6 verde 120 gr.</v>
      </c>
      <c r="C1436" s="4">
        <f>IFERROR(__xludf.DUMMYFUNCTION("""COMPUTED_VALUE"""),13.9)</f>
        <v>13.9</v>
      </c>
    </row>
    <row r="1437">
      <c r="A1437" s="4" t="str">
        <f>IFERROR(__xludf.DUMMYFUNCTION("""COMPUTED_VALUE"""),"2053")</f>
        <v>2053</v>
      </c>
      <c r="B1437" s="4" t="str">
        <f>IFERROR(__xludf.DUMMYFUNCTION("""COMPUTED_VALUE"""),"Toldo polietileno 5x8 verde 120 gr.")</f>
        <v>Toldo polietileno 5x8 verde 120 gr.</v>
      </c>
      <c r="C1437" s="4">
        <f>IFERROR(__xludf.DUMMYFUNCTION("""COMPUTED_VALUE"""),24.5)</f>
        <v>24.5</v>
      </c>
    </row>
    <row r="1438">
      <c r="A1438" s="4" t="str">
        <f>IFERROR(__xludf.DUMMYFUNCTION("""COMPUTED_VALUE"""),"2054")</f>
        <v>2054</v>
      </c>
      <c r="B1438" s="4" t="str">
        <f>IFERROR(__xludf.DUMMYFUNCTION("""COMPUTED_VALUE"""),"Toldo polietileno 6x10 verde 120 gr.")</f>
        <v>Toldo polietileno 6x10 verde 120 gr.</v>
      </c>
      <c r="C1438" s="4">
        <f>IFERROR(__xludf.DUMMYFUNCTION("""COMPUTED_VALUE"""),32.5)</f>
        <v>32.5</v>
      </c>
    </row>
    <row r="1439">
      <c r="A1439" s="4" t="str">
        <f>IFERROR(__xludf.DUMMYFUNCTION("""COMPUTED_VALUE"""),"2058")</f>
        <v>2058</v>
      </c>
      <c r="B1439" s="4" t="str">
        <f>IFERROR(__xludf.DUMMYFUNCTION("""COMPUTED_VALUE"""),"Toldo polietileno 3x5 azul 80 gr")</f>
        <v>Toldo polietileno 3x5 azul 80 gr</v>
      </c>
      <c r="C1439" s="4">
        <f>IFERROR(__xludf.DUMMYFUNCTION("""COMPUTED_VALUE"""),6.2)</f>
        <v>6.2</v>
      </c>
    </row>
    <row r="1440">
      <c r="A1440" s="4" t="str">
        <f>IFERROR(__xludf.DUMMYFUNCTION("""COMPUTED_VALUE"""),"2059")</f>
        <v>2059</v>
      </c>
      <c r="B1440" s="4" t="str">
        <f>IFERROR(__xludf.DUMMYFUNCTION("""COMPUTED_VALUE"""),"Toldo polietileno 4x5 azul 80 gr")</f>
        <v>Toldo polietileno 4x5 azul 80 gr</v>
      </c>
      <c r="C1440" s="4">
        <f>IFERROR(__xludf.DUMMYFUNCTION("""COMPUTED_VALUE"""),10.5)</f>
        <v>10.5</v>
      </c>
    </row>
    <row r="1441">
      <c r="A1441" s="4" t="str">
        <f>IFERROR(__xludf.DUMMYFUNCTION("""COMPUTED_VALUE"""),"2060")</f>
        <v>2060</v>
      </c>
      <c r="B1441" s="4" t="str">
        <f>IFERROR(__xludf.DUMMYFUNCTION("""COMPUTED_VALUE"""),"Toldo polietileno 2x3 azul 80 gr.")</f>
        <v>Toldo polietileno 2x3 azul 80 gr.</v>
      </c>
      <c r="C1441" s="4">
        <f>IFERROR(__xludf.DUMMYFUNCTION("""COMPUTED_VALUE"""),2.8)</f>
        <v>2.8</v>
      </c>
    </row>
    <row r="1442">
      <c r="A1442" s="4" t="str">
        <f>IFERROR(__xludf.DUMMYFUNCTION("""COMPUTED_VALUE"""),"2061")</f>
        <v>2061</v>
      </c>
      <c r="B1442" s="4" t="str">
        <f>IFERROR(__xludf.DUMMYFUNCTION("""COMPUTED_VALUE"""),"Toldo polietileno 3x4 azul 80 gr.")</f>
        <v>Toldo polietileno 3x4 azul 80 gr.</v>
      </c>
      <c r="C1442" s="4">
        <f>IFERROR(__xludf.DUMMYFUNCTION("""COMPUTED_VALUE"""),4.85)</f>
        <v>4.85</v>
      </c>
    </row>
    <row r="1443">
      <c r="A1443" s="4" t="str">
        <f>IFERROR(__xludf.DUMMYFUNCTION("""COMPUTED_VALUE"""),"2062")</f>
        <v>2062</v>
      </c>
      <c r="B1443" s="4" t="str">
        <f>IFERROR(__xludf.DUMMYFUNCTION("""COMPUTED_VALUE"""),"Toldo polietileno 4x6 azul 80 gr")</f>
        <v>Toldo polietileno 4x6 azul 80 gr</v>
      </c>
      <c r="C1443" s="4">
        <f>IFERROR(__xludf.DUMMYFUNCTION("""COMPUTED_VALUE"""),11.3)</f>
        <v>11.3</v>
      </c>
    </row>
    <row r="1444">
      <c r="A1444" s="4" t="str">
        <f>IFERROR(__xludf.DUMMYFUNCTION("""COMPUTED_VALUE"""),"2063")</f>
        <v>2063</v>
      </c>
      <c r="B1444" s="4" t="str">
        <f>IFERROR(__xludf.DUMMYFUNCTION("""COMPUTED_VALUE"""),"Toldo polietileno 5x8 azul 80 gr.")</f>
        <v>Toldo polietileno 5x8 azul 80 gr.</v>
      </c>
      <c r="C1444" s="4">
        <f>IFERROR(__xludf.DUMMYFUNCTION("""COMPUTED_VALUE"""),16.95)</f>
        <v>16.95</v>
      </c>
    </row>
    <row r="1445">
      <c r="A1445" s="4" t="str">
        <f>IFERROR(__xludf.DUMMYFUNCTION("""COMPUTED_VALUE"""),"2064")</f>
        <v>2064</v>
      </c>
      <c r="B1445" s="4" t="str">
        <f>IFERROR(__xludf.DUMMYFUNCTION("""COMPUTED_VALUE"""),"Toldo polietileno 6x10 azul 80 gr.")</f>
        <v>Toldo polietileno 6x10 azul 80 gr.</v>
      </c>
      <c r="C1445" s="4">
        <f>IFERROR(__xludf.DUMMYFUNCTION("""COMPUTED_VALUE"""),23.5)</f>
        <v>23.5</v>
      </c>
    </row>
    <row r="1446">
      <c r="A1446" s="4" t="str">
        <f>IFERROR(__xludf.DUMMYFUNCTION("""COMPUTED_VALUE"""),"2065")</f>
        <v>2065</v>
      </c>
      <c r="B1446" s="4" t="str">
        <f>IFERROR(__xludf.DUMMYFUNCTION("""COMPUTED_VALUE"""),"Toldo polietileno 8x12 azul 80 gr.")</f>
        <v>Toldo polietileno 8x12 azul 80 gr.</v>
      </c>
      <c r="C1446" s="4">
        <f>IFERROR(__xludf.DUMMYFUNCTION("""COMPUTED_VALUE"""),30.1)</f>
        <v>30.1</v>
      </c>
    </row>
    <row r="1447">
      <c r="A1447" s="4" t="str">
        <f>IFERROR(__xludf.DUMMYFUNCTION("""COMPUTED_VALUE"""),"2066")</f>
        <v>2066</v>
      </c>
      <c r="B1447" s="4" t="str">
        <f>IFERROR(__xludf.DUMMYFUNCTION("""COMPUTED_VALUE"""),"Toldo polietileno 10x15 azul 80 gr.")</f>
        <v>Toldo polietileno 10x15 azul 80 gr.</v>
      </c>
      <c r="C1447" s="4">
        <f>IFERROR(__xludf.DUMMYFUNCTION("""COMPUTED_VALUE"""),42.0)</f>
        <v>42</v>
      </c>
    </row>
    <row r="1448">
      <c r="A1448" s="4" t="str">
        <f>IFERROR(__xludf.DUMMYFUNCTION("""COMPUTED_VALUE"""),"2101")</f>
        <v>2101</v>
      </c>
      <c r="B1448" s="4" t="str">
        <f>IFERROR(__xludf.DUMMYFUNCTION("""COMPUTED_VALUE"""),"Baliza solar amarilla para cono")</f>
        <v>Baliza solar amarilla para cono</v>
      </c>
      <c r="C1448" s="4">
        <f>IFERROR(__xludf.DUMMYFUNCTION("""COMPUTED_VALUE"""),19.95)</f>
        <v>19.95</v>
      </c>
    </row>
    <row r="1449">
      <c r="A1449" s="4" t="str">
        <f>IFERROR(__xludf.DUMMYFUNCTION("""COMPUTED_VALUE"""),"2102")</f>
        <v>2102</v>
      </c>
      <c r="B1449" s="4" t="str">
        <f>IFERROR(__xludf.DUMMYFUNCTION("""COMPUTED_VALUE"""),"Baliza Solar Roja para cono")</f>
        <v>Baliza Solar Roja para cono</v>
      </c>
      <c r="C1449" s="4">
        <f>IFERROR(__xludf.DUMMYFUNCTION("""COMPUTED_VALUE"""),19.95)</f>
        <v>19.95</v>
      </c>
    </row>
    <row r="1450">
      <c r="A1450" s="4" t="str">
        <f>IFERROR(__xludf.DUMMYFUNCTION("""COMPUTED_VALUE"""),"2134")</f>
        <v>2134</v>
      </c>
      <c r="B1450" s="4" t="str">
        <f>IFERROR(__xludf.DUMMYFUNCTION("""COMPUTED_VALUE"""),"Tope parking Mod D 183 cm")</f>
        <v>Tope parking Mod D 183 cm</v>
      </c>
      <c r="C1450" s="4">
        <f>IFERROR(__xludf.DUMMYFUNCTION("""COMPUTED_VALUE"""),35.09)</f>
        <v>35.09</v>
      </c>
    </row>
    <row r="1451">
      <c r="A1451" s="4" t="str">
        <f>IFERROR(__xludf.DUMMYFUNCTION("""COMPUTED_VALUE"""),"2151")</f>
        <v>2151</v>
      </c>
      <c r="B1451" s="4" t="str">
        <f>IFERROR(__xludf.DUMMYFUNCTION("""COMPUTED_VALUE"""),"Separador Carril 75 cm + base")</f>
        <v>Separador Carril 75 cm + base</v>
      </c>
      <c r="C1451" s="4">
        <f>IFERROR(__xludf.DUMMYFUNCTION("""COMPUTED_VALUE"""),31.0)</f>
        <v>31</v>
      </c>
    </row>
    <row r="1452">
      <c r="A1452" s="4" t="str">
        <f>IFERROR(__xludf.DUMMYFUNCTION("""COMPUTED_VALUE"""),"2234")</f>
        <v>2234</v>
      </c>
      <c r="B1452" s="4" t="str">
        <f>IFERROR(__xludf.DUMMYFUNCTION("""COMPUTED_VALUE"""),"Botella azulete 1Kg. Extra")</f>
        <v>Botella azulete 1Kg. Extra</v>
      </c>
      <c r="C1452" s="4">
        <f>IFERROR(__xludf.DUMMYFUNCTION("""COMPUTED_VALUE"""),4.35)</f>
        <v>4.35</v>
      </c>
    </row>
    <row r="1453">
      <c r="A1453" s="4" t="str">
        <f>IFERROR(__xludf.DUMMYFUNCTION("""COMPUTED_VALUE"""),"2235")</f>
        <v>2235</v>
      </c>
      <c r="B1453" s="4" t="str">
        <f>IFERROR(__xludf.DUMMYFUNCTION("""COMPUTED_VALUE"""),"Botella azulete 1Kg. Super Extra")</f>
        <v>Botella azulete 1Kg. Super Extra</v>
      </c>
      <c r="C1453" s="4">
        <f>IFERROR(__xludf.DUMMYFUNCTION("""COMPUTED_VALUE"""),5.7)</f>
        <v>5.7</v>
      </c>
    </row>
    <row r="1454">
      <c r="A1454" s="4" t="str">
        <f>IFERROR(__xludf.DUMMYFUNCTION("""COMPUTED_VALUE"""),"2236")</f>
        <v>2236</v>
      </c>
      <c r="B1454" s="4" t="str">
        <f>IFERROR(__xludf.DUMMYFUNCTION("""COMPUTED_VALUE"""),"Botella 200 gr. polvo fluo verde")</f>
        <v>Botella 200 gr. polvo fluo verde</v>
      </c>
      <c r="C1454" s="4">
        <f>IFERROR(__xludf.DUMMYFUNCTION("""COMPUTED_VALUE"""),3.8)</f>
        <v>3.8</v>
      </c>
    </row>
    <row r="1455">
      <c r="A1455" s="4" t="str">
        <f>IFERROR(__xludf.DUMMYFUNCTION("""COMPUTED_VALUE"""),"2237")</f>
        <v>2237</v>
      </c>
      <c r="B1455" s="4" t="str">
        <f>IFERROR(__xludf.DUMMYFUNCTION("""COMPUTED_VALUE"""),"Botella 200 gr. polvo fluo naranja")</f>
        <v>Botella 200 gr. polvo fluo naranja</v>
      </c>
      <c r="C1455" s="4">
        <f>IFERROR(__xludf.DUMMYFUNCTION("""COMPUTED_VALUE"""),3.8)</f>
        <v>3.8</v>
      </c>
    </row>
    <row r="1456">
      <c r="A1456" s="4" t="str">
        <f>IFERROR(__xludf.DUMMYFUNCTION("""COMPUTED_VALUE"""),"2238")</f>
        <v>2238</v>
      </c>
      <c r="B1456" s="4" t="str">
        <f>IFERROR(__xludf.DUMMYFUNCTION("""COMPUTED_VALUE"""),"Azulete Gaviota caja 1 Kg")</f>
        <v>Azulete Gaviota caja 1 Kg</v>
      </c>
      <c r="C1456" s="4">
        <f>IFERROR(__xludf.DUMMYFUNCTION("""COMPUTED_VALUE"""),16.0)</f>
        <v>16</v>
      </c>
    </row>
    <row r="1457">
      <c r="A1457" s="4" t="str">
        <f>IFERROR(__xludf.DUMMYFUNCTION("""COMPUTED_VALUE"""),"2240")</f>
        <v>2240</v>
      </c>
      <c r="B1457" s="4" t="str">
        <f>IFERROR(__xludf.DUMMYFUNCTION("""COMPUTED_VALUE"""),"Tiralíneas Gigante 50 Mts.")</f>
        <v>Tiralíneas Gigante 50 Mts.</v>
      </c>
      <c r="C1457" s="4">
        <f>IFERROR(__xludf.DUMMYFUNCTION("""COMPUTED_VALUE"""),33.25)</f>
        <v>33.25</v>
      </c>
    </row>
    <row r="1458">
      <c r="A1458" s="4" t="str">
        <f>IFERROR(__xludf.DUMMYFUNCTION("""COMPUTED_VALUE"""),"2241")</f>
        <v>2241</v>
      </c>
      <c r="B1458" s="4" t="str">
        <f>IFERROR(__xludf.DUMMYFUNCTION("""COMPUTED_VALUE"""),"Tiralíneas plastico 30 mt + botella polvo 100 gr")</f>
        <v>Tiralíneas plastico 30 mt + botella polvo 100 gr</v>
      </c>
      <c r="C1458" s="4">
        <f>IFERROR(__xludf.DUMMYFUNCTION("""COMPUTED_VALUE"""),3.25)</f>
        <v>3.25</v>
      </c>
    </row>
    <row r="1459">
      <c r="A1459" s="4" t="str">
        <f>IFERROR(__xludf.DUMMYFUNCTION("""COMPUTED_VALUE"""),"2242")</f>
        <v>2242</v>
      </c>
      <c r="B1459" s="4" t="str">
        <f>IFERROR(__xludf.DUMMYFUNCTION("""COMPUTED_VALUE"""),"Tiralíneas aluminio 30 Mts")</f>
        <v>Tiralíneas aluminio 30 Mts</v>
      </c>
      <c r="C1459" s="4">
        <f>IFERROR(__xludf.DUMMYFUNCTION("""COMPUTED_VALUE"""),3.6)</f>
        <v>3.6</v>
      </c>
    </row>
    <row r="1460">
      <c r="A1460" s="4" t="str">
        <f>IFERROR(__xludf.DUMMYFUNCTION("""COMPUTED_VALUE"""),"2244")</f>
        <v>2244</v>
      </c>
      <c r="B1460" s="4" t="str">
        <f>IFERROR(__xludf.DUMMYFUNCTION("""COMPUTED_VALUE"""),"Expositor 12 tiralineas Normo 30 metros + 12 botes polvo 100")</f>
        <v>Expositor 12 tiralineas Normo 30 metros + 12 botes polvo 100</v>
      </c>
      <c r="C1460" s="4">
        <f>IFERROR(__xludf.DUMMYFUNCTION("""COMPUTED_VALUE"""),49.4)</f>
        <v>49.4</v>
      </c>
    </row>
    <row r="1461">
      <c r="A1461" s="4" t="str">
        <f>IFERROR(__xludf.DUMMYFUNCTION("""COMPUTED_VALUE"""),"2245")</f>
        <v>2245</v>
      </c>
      <c r="B1461" s="4" t="str">
        <f>IFERROR(__xludf.DUMMYFUNCTION("""COMPUTED_VALUE"""),"Tiralineas Magnum 50 metros")</f>
        <v>Tiralineas Magnum 50 metros</v>
      </c>
      <c r="C1461" s="4">
        <f>IFERROR(__xludf.DUMMYFUNCTION("""COMPUTED_VALUE"""),33.6)</f>
        <v>33.6</v>
      </c>
    </row>
    <row r="1462">
      <c r="A1462" s="4" t="str">
        <f>IFERROR(__xludf.DUMMYFUNCTION("""COMPUTED_VALUE"""),"2413")</f>
        <v>2413</v>
      </c>
      <c r="B1462" s="4" t="str">
        <f>IFERROR(__xludf.DUMMYFUNCTION("""COMPUTED_VALUE"""),"Frotas esponja naranja g. GRUESO 280x140x20 (024PA)")</f>
        <v>Frotas esponja naranja g. GRUESO 280x140x20 (024PA)</v>
      </c>
      <c r="C1462" s="4">
        <f>IFERROR(__xludf.DUMMYFUNCTION("""COMPUTED_VALUE"""),6.5)</f>
        <v>6.5</v>
      </c>
    </row>
    <row r="1463">
      <c r="A1463" s="4" t="str">
        <f>IFERROR(__xludf.DUMMYFUNCTION("""COMPUTED_VALUE"""),"2414")</f>
        <v>2414</v>
      </c>
      <c r="B1463" s="4" t="str">
        <f>IFERROR(__xludf.DUMMYFUNCTION("""COMPUTED_VALUE"""),"Frotas esponja Azul 280x140x14 grano FINO (024PB)")</f>
        <v>Frotas esponja Azul 280x140x14 grano FINO (024PB)</v>
      </c>
      <c r="C1463" s="4">
        <f>IFERROR(__xludf.DUMMYFUNCTION("""COMPUTED_VALUE"""),5.95)</f>
        <v>5.95</v>
      </c>
    </row>
    <row r="1464">
      <c r="A1464" s="4" t="str">
        <f>IFERROR(__xludf.DUMMYFUNCTION("""COMPUTED_VALUE"""),"2507")</f>
        <v>2507</v>
      </c>
      <c r="B1464" s="4" t="str">
        <f>IFERROR(__xludf.DUMMYFUNCTION("""COMPUTED_VALUE"""),"Hito flexible Naranja 30 cm")</f>
        <v>Hito flexible Naranja 30 cm</v>
      </c>
      <c r="C1464" s="4">
        <f>IFERROR(__xludf.DUMMYFUNCTION("""COMPUTED_VALUE"""),7.9)</f>
        <v>7.9</v>
      </c>
    </row>
    <row r="1465">
      <c r="A1465" s="4" t="str">
        <f>IFERROR(__xludf.DUMMYFUNCTION("""COMPUTED_VALUE"""),"2518")</f>
        <v>2518</v>
      </c>
      <c r="B1465" s="4" t="str">
        <f>IFERROR(__xludf.DUMMYFUNCTION("""COMPUTED_VALUE"""),"Hito flexible Naranja 100 cm")</f>
        <v>Hito flexible Naranja 100 cm</v>
      </c>
      <c r="C1465" s="4">
        <f>IFERROR(__xludf.DUMMYFUNCTION("""COMPUTED_VALUE"""),16.0)</f>
        <v>16</v>
      </c>
    </row>
    <row r="1466">
      <c r="A1466" s="4" t="str">
        <f>IFERROR(__xludf.DUMMYFUNCTION("""COMPUTED_VALUE"""),"2519")</f>
        <v>2519</v>
      </c>
      <c r="B1466" s="4" t="str">
        <f>IFERROR(__xludf.DUMMYFUNCTION("""COMPUTED_VALUE"""),"Frotas esponja naranja grano medio 22x14 (018A)")</f>
        <v>Frotas esponja naranja grano medio 22x14 (018A)</v>
      </c>
      <c r="C1466" s="4">
        <f>IFERROR(__xludf.DUMMYFUNCTION("""COMPUTED_VALUE"""),4.9)</f>
        <v>4.9</v>
      </c>
    </row>
    <row r="1467">
      <c r="A1467" s="4" t="str">
        <f>IFERROR(__xludf.DUMMYFUNCTION("""COMPUTED_VALUE"""),"2520")</f>
        <v>2520</v>
      </c>
      <c r="B1467" s="4" t="str">
        <f>IFERROR(__xludf.DUMMYFUNCTION("""COMPUTED_VALUE"""),"Frotas esponja azul grano fino 22x14 (018B)")</f>
        <v>Frotas esponja azul grano fino 22x14 (018B)</v>
      </c>
      <c r="C1467" s="4">
        <f>IFERROR(__xludf.DUMMYFUNCTION("""COMPUTED_VALUE"""),4.9)</f>
        <v>4.9</v>
      </c>
    </row>
    <row r="1468">
      <c r="A1468" s="4" t="str">
        <f>IFERROR(__xludf.DUMMYFUNCTION("""COMPUTED_VALUE"""),"2530")</f>
        <v>2530</v>
      </c>
      <c r="B1468" s="4" t="str">
        <f>IFERROR(__xludf.DUMMYFUNCTION("""COMPUTED_VALUE"""),"Juego rodilleras alicatador")</f>
        <v>Juego rodilleras alicatador</v>
      </c>
      <c r="C1468" s="4">
        <f>IFERROR(__xludf.DUMMYFUNCTION("""COMPUTED_VALUE"""),4.8)</f>
        <v>4.8</v>
      </c>
    </row>
    <row r="1469">
      <c r="A1469" s="4" t="str">
        <f>IFERROR(__xludf.DUMMYFUNCTION("""COMPUTED_VALUE"""),"2575Z")</f>
        <v>2575Z</v>
      </c>
      <c r="B1469" s="4" t="str">
        <f>IFERROR(__xludf.DUMMYFUNCTION("""COMPUTED_VALUE"""),"Rollo cuerda azul trazadora de 100 mts")</f>
        <v>Rollo cuerda azul trazadora de 100 mts</v>
      </c>
      <c r="C1469" s="4">
        <f>IFERROR(__xludf.DUMMYFUNCTION("""COMPUTED_VALUE"""),2.62)</f>
        <v>2.62</v>
      </c>
    </row>
    <row r="1470">
      <c r="A1470" s="4" t="str">
        <f>IFERROR(__xludf.DUMMYFUNCTION("""COMPUTED_VALUE"""),"2601")</f>
        <v>2601</v>
      </c>
      <c r="B1470" s="4" t="str">
        <f>IFERROR(__xludf.DUMMYFUNCTION("""COMPUTED_VALUE"""),"Hito Direccion Obligatoria 85 cm")</f>
        <v>Hito Direccion Obligatoria 85 cm</v>
      </c>
      <c r="C1470" s="4">
        <f>IFERROR(__xludf.DUMMYFUNCTION("""COMPUTED_VALUE"""),22.75)</f>
        <v>22.75</v>
      </c>
    </row>
    <row r="1471">
      <c r="A1471" s="4" t="str">
        <f>IFERROR(__xludf.DUMMYFUNCTION("""COMPUTED_VALUE"""),"2601P")</f>
        <v>2601P</v>
      </c>
      <c r="B1471" s="4" t="str">
        <f>IFERROR(__xludf.DUMMYFUNCTION("""COMPUTED_VALUE"""),"Hito flexible personalizable")</f>
        <v>Hito flexible personalizable</v>
      </c>
      <c r="C1471" s="4">
        <f>IFERROR(__xludf.DUMMYFUNCTION("""COMPUTED_VALUE"""),24.25)</f>
        <v>24.25</v>
      </c>
    </row>
    <row r="1472">
      <c r="A1472" s="4" t="str">
        <f>IFERROR(__xludf.DUMMYFUNCTION("""COMPUTED_VALUE"""),"2674")</f>
        <v>2674</v>
      </c>
      <c r="B1472" s="4" t="str">
        <f>IFERROR(__xludf.DUMMYFUNCTION("""COMPUTED_VALUE"""),"Rollo cuerda blanca trazadora de 50 mts")</f>
        <v>Rollo cuerda blanca trazadora de 50 mts</v>
      </c>
      <c r="C1472" s="4">
        <f>IFERROR(__xludf.DUMMYFUNCTION("""COMPUTED_VALUE"""),1.27)</f>
        <v>1.27</v>
      </c>
    </row>
    <row r="1473">
      <c r="A1473" s="4" t="str">
        <f>IFERROR(__xludf.DUMMYFUNCTION("""COMPUTED_VALUE"""),"2674Z")</f>
        <v>2674Z</v>
      </c>
      <c r="B1473" s="4" t="str">
        <f>IFERROR(__xludf.DUMMYFUNCTION("""COMPUTED_VALUE"""),"Rollo cuerda azul trazadora de 50 mts")</f>
        <v>Rollo cuerda azul trazadora de 50 mts</v>
      </c>
      <c r="C1473" s="4">
        <f>IFERROR(__xludf.DUMMYFUNCTION("""COMPUTED_VALUE"""),1.27)</f>
        <v>1.27</v>
      </c>
    </row>
    <row r="1474">
      <c r="A1474" s="4" t="str">
        <f>IFERROR(__xludf.DUMMYFUNCTION("""COMPUTED_VALUE"""),"2675")</f>
        <v>2675</v>
      </c>
      <c r="B1474" s="4" t="str">
        <f>IFERROR(__xludf.DUMMYFUNCTION("""COMPUTED_VALUE"""),"Rollo cuerda blanca trazadora de 100 mts.")</f>
        <v>Rollo cuerda blanca trazadora de 100 mts.</v>
      </c>
      <c r="C1474" s="4">
        <f>IFERROR(__xludf.DUMMYFUNCTION("""COMPUTED_VALUE"""),2.62)</f>
        <v>2.62</v>
      </c>
    </row>
    <row r="1475">
      <c r="A1475" s="4" t="str">
        <f>IFERROR(__xludf.DUMMYFUNCTION("""COMPUTED_VALUE"""),"2675Z")</f>
        <v>2675Z</v>
      </c>
      <c r="B1475" s="4" t="str">
        <f>IFERROR(__xludf.DUMMYFUNCTION("""COMPUTED_VALUE"""),"Rollo cuerda azul trazadora de 100 mts")</f>
        <v>Rollo cuerda azul trazadora de 100 mts</v>
      </c>
      <c r="C1475" s="4">
        <f>IFERROR(__xludf.DUMMYFUNCTION("""COMPUTED_VALUE"""),2.62)</f>
        <v>2.62</v>
      </c>
    </row>
    <row r="1476">
      <c r="A1476" s="4" t="str">
        <f>IFERROR(__xludf.DUMMYFUNCTION("""COMPUTED_VALUE"""),"2676")</f>
        <v>2676</v>
      </c>
      <c r="B1476" s="4" t="str">
        <f>IFERROR(__xludf.DUMMYFUNCTION("""COMPUTED_VALUE"""),"Rollo cuerda blanca trazadora de 200 mts.")</f>
        <v>Rollo cuerda blanca trazadora de 200 mts.</v>
      </c>
      <c r="C1476" s="4">
        <f>IFERROR(__xludf.DUMMYFUNCTION("""COMPUTED_VALUE"""),4.6)</f>
        <v>4.6</v>
      </c>
    </row>
    <row r="1477">
      <c r="A1477" s="4" t="str">
        <f>IFERROR(__xludf.DUMMYFUNCTION("""COMPUTED_VALUE"""),"2676Z")</f>
        <v>2676Z</v>
      </c>
      <c r="B1477" s="4" t="str">
        <f>IFERROR(__xludf.DUMMYFUNCTION("""COMPUTED_VALUE"""),"Rollo cuerda azul trazadora de 200 mts.")</f>
        <v>Rollo cuerda azul trazadora de 200 mts.</v>
      </c>
      <c r="C1477" s="4">
        <f>IFERROR(__xludf.DUMMYFUNCTION("""COMPUTED_VALUE"""),4.6)</f>
        <v>4.6</v>
      </c>
    </row>
    <row r="1478">
      <c r="A1478" s="4" t="str">
        <f>IFERROR(__xludf.DUMMYFUNCTION("""COMPUTED_VALUE"""),"2677")</f>
        <v>2677</v>
      </c>
      <c r="B1478" s="4" t="str">
        <f>IFERROR(__xludf.DUMMYFUNCTION("""COMPUTED_VALUE"""),"Rollo cuerda blanca trazadora de 500 mts.")</f>
        <v>Rollo cuerda blanca trazadora de 500 mts.</v>
      </c>
      <c r="C1478" s="4">
        <f>IFERROR(__xludf.DUMMYFUNCTION("""COMPUTED_VALUE"""),12.62)</f>
        <v>12.62</v>
      </c>
    </row>
    <row r="1479">
      <c r="A1479" s="4" t="str">
        <f>IFERROR(__xludf.DUMMYFUNCTION("""COMPUTED_VALUE"""),"2677Z")</f>
        <v>2677Z</v>
      </c>
      <c r="B1479" s="4" t="str">
        <f>IFERROR(__xludf.DUMMYFUNCTION("""COMPUTED_VALUE"""),"Rollo cuerda azul trazadora de 500 mts.")</f>
        <v>Rollo cuerda azul trazadora de 500 mts.</v>
      </c>
      <c r="C1479" s="4">
        <f>IFERROR(__xludf.DUMMYFUNCTION("""COMPUTED_VALUE"""),12.62)</f>
        <v>12.62</v>
      </c>
    </row>
    <row r="1480">
      <c r="A1480" s="4" t="str">
        <f>IFERROR(__xludf.DUMMYFUNCTION("""COMPUTED_VALUE"""),"2700")</f>
        <v>2700</v>
      </c>
      <c r="B1480" s="4" t="str">
        <f>IFERROR(__xludf.DUMMYFUNCTION("""COMPUTED_VALUE"""),"Caldereta obra 15 L.")</f>
        <v>Caldereta obra 15 L.</v>
      </c>
      <c r="C1480" s="4">
        <f>IFERROR(__xludf.DUMMYFUNCTION("""COMPUTED_VALUE"""),2.52)</f>
        <v>2.52</v>
      </c>
    </row>
    <row r="1481">
      <c r="A1481" s="4" t="str">
        <f>IFERROR(__xludf.DUMMYFUNCTION("""COMPUTED_VALUE"""),"2701")</f>
        <v>2701</v>
      </c>
      <c r="B1481" s="4" t="str">
        <f>IFERROR(__xludf.DUMMYFUNCTION("""COMPUTED_VALUE"""),"Cubeta pintura azul 16 con rejilla")</f>
        <v>Cubeta pintura azul 16 con rejilla</v>
      </c>
      <c r="C1481" s="4">
        <f>IFERROR(__xludf.DUMMYFUNCTION("""COMPUTED_VALUE"""),3.1)</f>
        <v>3.1</v>
      </c>
    </row>
    <row r="1482">
      <c r="A1482" s="4" t="str">
        <f>IFERROR(__xludf.DUMMYFUNCTION("""COMPUTED_VALUE"""),"2701R")</f>
        <v>2701R</v>
      </c>
      <c r="B1482" s="4" t="str">
        <f>IFERROR(__xludf.DUMMYFUNCTION("""COMPUTED_VALUE"""),"Rejilla para cubeta pintura 16")</f>
        <v>Rejilla para cubeta pintura 16</v>
      </c>
      <c r="C1482" s="4">
        <f>IFERROR(__xludf.DUMMYFUNCTION("""COMPUTED_VALUE"""),0.6)</f>
        <v>0.6</v>
      </c>
    </row>
    <row r="1483">
      <c r="A1483" s="4" t="str">
        <f>IFERROR(__xludf.DUMMYFUNCTION("""COMPUTED_VALUE"""),"270222B")</f>
        <v>270222B</v>
      </c>
      <c r="B1483" s="4" t="str">
        <f>IFERROR(__xludf.DUMMYFUNCTION("""COMPUTED_VALUE"""),"Capazo de goma 22 l Blanco")</f>
        <v>Capazo de goma 22 l Blanco</v>
      </c>
      <c r="C1483" s="4">
        <f>IFERROR(__xludf.DUMMYFUNCTION("""COMPUTED_VALUE"""),1.95)</f>
        <v>1.95</v>
      </c>
    </row>
    <row r="1484">
      <c r="A1484" s="4" t="str">
        <f>IFERROR(__xludf.DUMMYFUNCTION("""COMPUTED_VALUE"""),"270222N")</f>
        <v>270222N</v>
      </c>
      <c r="B1484" s="4" t="str">
        <f>IFERROR(__xludf.DUMMYFUNCTION("""COMPUTED_VALUE"""),"Capazo de goma 22 l Negro")</f>
        <v>Capazo de goma 22 l Negro</v>
      </c>
      <c r="C1484" s="4">
        <f>IFERROR(__xludf.DUMMYFUNCTION("""COMPUTED_VALUE"""),1.95)</f>
        <v>1.95</v>
      </c>
    </row>
    <row r="1485">
      <c r="A1485" s="4" t="str">
        <f>IFERROR(__xludf.DUMMYFUNCTION("""COMPUTED_VALUE"""),"270222R")</f>
        <v>270222R</v>
      </c>
      <c r="B1485" s="4" t="str">
        <f>IFERROR(__xludf.DUMMYFUNCTION("""COMPUTED_VALUE"""),"Capazo de goma 22 l Rojo")</f>
        <v>Capazo de goma 22 l Rojo</v>
      </c>
      <c r="C1485" s="4">
        <f>IFERROR(__xludf.DUMMYFUNCTION("""COMPUTED_VALUE"""),1.95)</f>
        <v>1.95</v>
      </c>
    </row>
    <row r="1486">
      <c r="A1486" s="4" t="str">
        <f>IFERROR(__xludf.DUMMYFUNCTION("""COMPUTED_VALUE"""),"270242B")</f>
        <v>270242B</v>
      </c>
      <c r="B1486" s="4" t="str">
        <f>IFERROR(__xludf.DUMMYFUNCTION("""COMPUTED_VALUE"""),"Capazo de goma 42 l Blanco")</f>
        <v>Capazo de goma 42 l Blanco</v>
      </c>
      <c r="C1486" s="4">
        <f>IFERROR(__xludf.DUMMYFUNCTION("""COMPUTED_VALUE"""),2.45)</f>
        <v>2.45</v>
      </c>
    </row>
    <row r="1487">
      <c r="A1487" s="4" t="str">
        <f>IFERROR(__xludf.DUMMYFUNCTION("""COMPUTED_VALUE"""),"270242N")</f>
        <v>270242N</v>
      </c>
      <c r="B1487" s="4" t="str">
        <f>IFERROR(__xludf.DUMMYFUNCTION("""COMPUTED_VALUE"""),"Capazo de goma 42 l Negro")</f>
        <v>Capazo de goma 42 l Negro</v>
      </c>
      <c r="C1487" s="4">
        <f>IFERROR(__xludf.DUMMYFUNCTION("""COMPUTED_VALUE"""),2.45)</f>
        <v>2.45</v>
      </c>
    </row>
    <row r="1488">
      <c r="A1488" s="4" t="str">
        <f>IFERROR(__xludf.DUMMYFUNCTION("""COMPUTED_VALUE"""),"270242R")</f>
        <v>270242R</v>
      </c>
      <c r="B1488" s="4" t="str">
        <f>IFERROR(__xludf.DUMMYFUNCTION("""COMPUTED_VALUE"""),"Capazo de goma 42 l Rojo")</f>
        <v>Capazo de goma 42 l Rojo</v>
      </c>
      <c r="C1488" s="4">
        <f>IFERROR(__xludf.DUMMYFUNCTION("""COMPUTED_VALUE"""),2.45)</f>
        <v>2.45</v>
      </c>
    </row>
    <row r="1489">
      <c r="A1489" s="4" t="str">
        <f>IFERROR(__xludf.DUMMYFUNCTION("""COMPUTED_VALUE"""),"270255B")</f>
        <v>270255B</v>
      </c>
      <c r="B1489" s="4" t="str">
        <f>IFERROR(__xludf.DUMMYFUNCTION("""COMPUTED_VALUE"""),"Capazo de goma 55 l Blanco")</f>
        <v>Capazo de goma 55 l Blanco</v>
      </c>
      <c r="C1489" s="4">
        <f>IFERROR(__xludf.DUMMYFUNCTION("""COMPUTED_VALUE"""),4.35)</f>
        <v>4.35</v>
      </c>
    </row>
    <row r="1490">
      <c r="A1490" s="4" t="str">
        <f>IFERROR(__xludf.DUMMYFUNCTION("""COMPUTED_VALUE"""),"270255N")</f>
        <v>270255N</v>
      </c>
      <c r="B1490" s="4" t="str">
        <f>IFERROR(__xludf.DUMMYFUNCTION("""COMPUTED_VALUE"""),"Capazo de goma 55 l Negro")</f>
        <v>Capazo de goma 55 l Negro</v>
      </c>
      <c r="C1490" s="4">
        <f>IFERROR(__xludf.DUMMYFUNCTION("""COMPUTED_VALUE"""),4.35)</f>
        <v>4.35</v>
      </c>
    </row>
    <row r="1491">
      <c r="A1491" s="4" t="str">
        <f>IFERROR(__xludf.DUMMYFUNCTION("""COMPUTED_VALUE"""),"270255R")</f>
        <v>270255R</v>
      </c>
      <c r="B1491" s="4" t="str">
        <f>IFERROR(__xludf.DUMMYFUNCTION("""COMPUTED_VALUE"""),"Capazo de goma 55 l Rojo")</f>
        <v>Capazo de goma 55 l Rojo</v>
      </c>
      <c r="C1491" s="4">
        <f>IFERROR(__xludf.DUMMYFUNCTION("""COMPUTED_VALUE"""),4.35)</f>
        <v>4.35</v>
      </c>
    </row>
    <row r="1492">
      <c r="A1492" s="4" t="str">
        <f>IFERROR(__xludf.DUMMYFUNCTION("""COMPUTED_VALUE"""),"2703")</f>
        <v>2703</v>
      </c>
      <c r="B1492" s="4" t="str">
        <f>IFERROR(__xludf.DUMMYFUNCTION("""COMPUTED_VALUE"""),"Cubre cable portatil 1 metro Mod. A")</f>
        <v>Cubre cable portatil 1 metro Mod. A</v>
      </c>
      <c r="C1492" s="4">
        <f>IFERROR(__xludf.DUMMYFUNCTION("""COMPUTED_VALUE"""),13.25)</f>
        <v>13.25</v>
      </c>
    </row>
    <row r="1493">
      <c r="A1493" s="4" t="str">
        <f>IFERROR(__xludf.DUMMYFUNCTION("""COMPUTED_VALUE"""),"2704")</f>
        <v>2704</v>
      </c>
      <c r="B1493" s="4" t="str">
        <f>IFERROR(__xludf.DUMMYFUNCTION("""COMPUTED_VALUE"""),"Cubre cable portatil 1 metro Mod. B")</f>
        <v>Cubre cable portatil 1 metro Mod. B</v>
      </c>
      <c r="C1493" s="4">
        <f>IFERROR(__xludf.DUMMYFUNCTION("""COMPUTED_VALUE"""),24.25)</f>
        <v>24.25</v>
      </c>
    </row>
    <row r="1494">
      <c r="A1494" s="4" t="str">
        <f>IFERROR(__xludf.DUMMYFUNCTION("""COMPUTED_VALUE"""),"2705")</f>
        <v>2705</v>
      </c>
      <c r="B1494" s="4" t="str">
        <f>IFERROR(__xludf.DUMMYFUNCTION("""COMPUTED_VALUE"""),"Cubre cable portatil 9 metros Mod. C")</f>
        <v>Cubre cable portatil 9 metros Mod. C</v>
      </c>
      <c r="C1494" s="4">
        <f>IFERROR(__xludf.DUMMYFUNCTION("""COMPUTED_VALUE"""),38.0)</f>
        <v>38</v>
      </c>
    </row>
    <row r="1495">
      <c r="A1495" s="4" t="str">
        <f>IFERROR(__xludf.DUMMYFUNCTION("""COMPUTED_VALUE"""),"2706")</f>
        <v>2706</v>
      </c>
      <c r="B1495" s="4" t="str">
        <f>IFERROR(__xludf.DUMMYFUNCTION("""COMPUTED_VALUE"""),"Cubo 12 L Reciclado")</f>
        <v>Cubo 12 L Reciclado</v>
      </c>
      <c r="C1495" s="4">
        <f>IFERROR(__xludf.DUMMYFUNCTION("""COMPUTED_VALUE"""),1.04)</f>
        <v>1.04</v>
      </c>
    </row>
    <row r="1496">
      <c r="A1496" s="4" t="str">
        <f>IFERROR(__xludf.DUMMYFUNCTION("""COMPUTED_VALUE"""),"2707")</f>
        <v>2707</v>
      </c>
      <c r="B1496" s="4" t="str">
        <f>IFERROR(__xludf.DUMMYFUNCTION("""COMPUTED_VALUE"""),"Cubo 6 L Reciclado")</f>
        <v>Cubo 6 L Reciclado</v>
      </c>
      <c r="C1496" s="4">
        <f>IFERROR(__xludf.DUMMYFUNCTION("""COMPUTED_VALUE"""),0.8)</f>
        <v>0.8</v>
      </c>
    </row>
    <row r="1497">
      <c r="A1497" s="4" t="str">
        <f>IFERROR(__xludf.DUMMYFUNCTION("""COMPUTED_VALUE"""),"2708")</f>
        <v>2708</v>
      </c>
      <c r="B1497" s="4" t="str">
        <f>IFERROR(__xludf.DUMMYFUNCTION("""COMPUTED_VALUE"""),"Cubo 8 L Reciclado")</f>
        <v>Cubo 8 L Reciclado</v>
      </c>
      <c r="C1497" s="4">
        <f>IFERROR(__xludf.DUMMYFUNCTION("""COMPUTED_VALUE"""),0.85)</f>
        <v>0.85</v>
      </c>
    </row>
    <row r="1498">
      <c r="A1498" s="4" t="str">
        <f>IFERROR(__xludf.DUMMYFUNCTION("""COMPUTED_VALUE"""),"2709")</f>
        <v>2709</v>
      </c>
      <c r="B1498" s="4" t="str">
        <f>IFERROR(__xludf.DUMMYFUNCTION("""COMPUTED_VALUE"""),"Embudo para Combustible Flexible")</f>
        <v>Embudo para Combustible Flexible</v>
      </c>
      <c r="C1498" s="4">
        <f>IFERROR(__xludf.DUMMYFUNCTION("""COMPUTED_VALUE"""),1.63)</f>
        <v>1.63</v>
      </c>
    </row>
    <row r="1499">
      <c r="A1499" s="4" t="str">
        <f>IFERROR(__xludf.DUMMYFUNCTION("""COMPUTED_VALUE"""),"2710")</f>
        <v>2710</v>
      </c>
      <c r="B1499" s="4" t="str">
        <f>IFERROR(__xludf.DUMMYFUNCTION("""COMPUTED_VALUE"""),"Esponja abrasiva Lija Grado Alto Set 3")</f>
        <v>Esponja abrasiva Lija Grado Alto Set 3</v>
      </c>
      <c r="C1499" s="4">
        <f>IFERROR(__xludf.DUMMYFUNCTION("""COMPUTED_VALUE"""),1.75)</f>
        <v>1.75</v>
      </c>
    </row>
    <row r="1500">
      <c r="A1500" s="4" t="str">
        <f>IFERROR(__xludf.DUMMYFUNCTION("""COMPUTED_VALUE"""),"2711")</f>
        <v>2711</v>
      </c>
      <c r="B1500" s="4" t="str">
        <f>IFERROR(__xludf.DUMMYFUNCTION("""COMPUTED_VALUE"""),"Esponja Abrasiva Lija Brado Bajo Set 3")</f>
        <v>Esponja Abrasiva Lija Brado Bajo Set 3</v>
      </c>
      <c r="C1500" s="4">
        <f>IFERROR(__xludf.DUMMYFUNCTION("""COMPUTED_VALUE"""),1.75)</f>
        <v>1.75</v>
      </c>
    </row>
    <row r="1501">
      <c r="A1501" s="4" t="str">
        <f>IFERROR(__xludf.DUMMYFUNCTION("""COMPUTED_VALUE"""),"2712")</f>
        <v>2712</v>
      </c>
      <c r="B1501" s="4" t="str">
        <f>IFERROR(__xludf.DUMMYFUNCTION("""COMPUTED_VALUE"""),"Esponja Abrasiva Lija Grado Medio Set 3")</f>
        <v>Esponja Abrasiva Lija Grado Medio Set 3</v>
      </c>
      <c r="C1501" s="4">
        <f>IFERROR(__xludf.DUMMYFUNCTION("""COMPUTED_VALUE"""),1.75)</f>
        <v>1.75</v>
      </c>
    </row>
    <row r="1502">
      <c r="A1502" s="4" t="str">
        <f>IFERROR(__xludf.DUMMYFUNCTION("""COMPUTED_VALUE"""),"2713")</f>
        <v>2713</v>
      </c>
      <c r="B1502" s="4" t="str">
        <f>IFERROR(__xludf.DUMMYFUNCTION("""COMPUTED_VALUE"""),"Esponja Abrasiva Lija Set 3")</f>
        <v>Esponja Abrasiva Lija Set 3</v>
      </c>
      <c r="C1502" s="4">
        <f>IFERROR(__xludf.DUMMYFUNCTION("""COMPUTED_VALUE"""),1.75)</f>
        <v>1.75</v>
      </c>
    </row>
    <row r="1503">
      <c r="A1503" s="4" t="str">
        <f>IFERROR(__xludf.DUMMYFUNCTION("""COMPUTED_VALUE"""),"2714")</f>
        <v>2714</v>
      </c>
      <c r="B1503" s="4" t="str">
        <f>IFERROR(__xludf.DUMMYFUNCTION("""COMPUTED_VALUE"""),"Garrafa Apta contacto Alimentario 20 L")</f>
        <v>Garrafa Apta contacto Alimentario 20 L</v>
      </c>
      <c r="C1503" s="4">
        <f>IFERROR(__xludf.DUMMYFUNCTION("""COMPUTED_VALUE"""),9.25)</f>
        <v>9.25</v>
      </c>
    </row>
    <row r="1504">
      <c r="A1504" s="4" t="str">
        <f>IFERROR(__xludf.DUMMYFUNCTION("""COMPUTED_VALUE"""),"2715")</f>
        <v>2715</v>
      </c>
      <c r="B1504" s="4" t="str">
        <f>IFERROR(__xludf.DUMMYFUNCTION("""COMPUTED_VALUE"""),"Paño microfibra profesional 35x40 cm Gris")</f>
        <v>Paño microfibra profesional 35x40 cm Gris</v>
      </c>
      <c r="C1504" s="4">
        <f>IFERROR(__xludf.DUMMYFUNCTION("""COMPUTED_VALUE"""),0.47)</f>
        <v>0.47</v>
      </c>
    </row>
    <row r="1505">
      <c r="A1505" s="4" t="str">
        <f>IFERROR(__xludf.DUMMYFUNCTION("""COMPUTED_VALUE"""),"2716")</f>
        <v>2716</v>
      </c>
      <c r="B1505" s="4" t="str">
        <f>IFERROR(__xludf.DUMMYFUNCTION("""COMPUTED_VALUE"""),"Rollo Fibra abrasiva 15 CM X 6 M")</f>
        <v>Rollo Fibra abrasiva 15 CM X 6 M</v>
      </c>
      <c r="C1505" s="4">
        <f>IFERROR(__xludf.DUMMYFUNCTION("""COMPUTED_VALUE"""),8.75)</f>
        <v>8.75</v>
      </c>
    </row>
    <row r="1506">
      <c r="A1506" s="4" t="str">
        <f>IFERROR(__xludf.DUMMYFUNCTION("""COMPUTED_VALUE"""),"2785")</f>
        <v>2785</v>
      </c>
      <c r="B1506" s="4" t="str">
        <f>IFERROR(__xludf.DUMMYFUNCTION("""COMPUTED_VALUE"""),"Rodillo de marcar de 180")</f>
        <v>Rodillo de marcar de 180</v>
      </c>
      <c r="C1506" s="4">
        <f>IFERROR(__xludf.DUMMYFUNCTION("""COMPUTED_VALUE"""),77.0)</f>
        <v>77</v>
      </c>
    </row>
    <row r="1507">
      <c r="A1507" s="4" t="str">
        <f>IFERROR(__xludf.DUMMYFUNCTION("""COMPUTED_VALUE"""),"2800")</f>
        <v>2800</v>
      </c>
      <c r="B1507" s="4" t="str">
        <f>IFERROR(__xludf.DUMMYFUNCTION("""COMPUTED_VALUE"""),"Señal complementaria TPU Triangular 380 mm Reflex 1")</f>
        <v>Señal complementaria TPU Triangular 380 mm Reflex 1</v>
      </c>
      <c r="C1507" s="4">
        <f>IFERROR(__xludf.DUMMYFUNCTION("""COMPUTED_VALUE"""),9.0)</f>
        <v>9</v>
      </c>
    </row>
    <row r="1508">
      <c r="A1508" s="4" t="str">
        <f>IFERROR(__xludf.DUMMYFUNCTION("""COMPUTED_VALUE"""),"2900")</f>
        <v>2900</v>
      </c>
      <c r="B1508" s="4" t="str">
        <f>IFERROR(__xludf.DUMMYFUNCTION("""COMPUTED_VALUE"""),"Señal complementaria TPU circular 285 mm Reflex 1")</f>
        <v>Señal complementaria TPU circular 285 mm Reflex 1</v>
      </c>
      <c r="C1508" s="4">
        <f>IFERROR(__xludf.DUMMYFUNCTION("""COMPUTED_VALUE"""),9.0)</f>
        <v>9</v>
      </c>
    </row>
    <row r="1509">
      <c r="A1509" s="4" t="str">
        <f>IFERROR(__xludf.DUMMYFUNCTION("""COMPUTED_VALUE"""),"2901")</f>
        <v>2901</v>
      </c>
      <c r="B1509" s="4" t="str">
        <f>IFERROR(__xludf.DUMMYFUNCTION("""COMPUTED_VALUE"""),"Clavo yesero 250")</f>
        <v>Clavo yesero 250</v>
      </c>
      <c r="C1509" s="4">
        <f>IFERROR(__xludf.DUMMYFUNCTION("""COMPUTED_VALUE"""),1.45)</f>
        <v>1.45</v>
      </c>
    </row>
    <row r="1510">
      <c r="A1510" s="4" t="str">
        <f>IFERROR(__xludf.DUMMYFUNCTION("""COMPUTED_VALUE"""),"2969")</f>
        <v>2969</v>
      </c>
      <c r="B1510" s="4" t="str">
        <f>IFERROR(__xludf.DUMMYFUNCTION("""COMPUTED_VALUE"""),"Mezclador b/viscosidad 80 m/m")</f>
        <v>Mezclador b/viscosidad 80 m/m</v>
      </c>
      <c r="C1510" s="4">
        <f>IFERROR(__xludf.DUMMYFUNCTION("""COMPUTED_VALUE"""),1.9)</f>
        <v>1.9</v>
      </c>
    </row>
    <row r="1511">
      <c r="A1511" s="4" t="str">
        <f>IFERROR(__xludf.DUMMYFUNCTION("""COMPUTED_VALUE"""),"2971")</f>
        <v>2971</v>
      </c>
      <c r="B1511" s="4" t="str">
        <f>IFERROR(__xludf.DUMMYFUNCTION("""COMPUTED_VALUE"""),"Mezclador pintura de 100 m/m")</f>
        <v>Mezclador pintura de 100 m/m</v>
      </c>
      <c r="C1511" s="4">
        <f>IFERROR(__xludf.DUMMYFUNCTION("""COMPUTED_VALUE"""),2.2)</f>
        <v>2.2</v>
      </c>
    </row>
    <row r="1512">
      <c r="A1512" s="4" t="str">
        <f>IFERROR(__xludf.DUMMYFUNCTION("""COMPUTED_VALUE"""),"3015")</f>
        <v>3015</v>
      </c>
      <c r="B1512" s="4" t="str">
        <f>IFERROR(__xludf.DUMMYFUNCTION("""COMPUTED_VALUE"""),"Distanciador cuña 0-7 (200 unid)")</f>
        <v>Distanciador cuña 0-7 (200 unid)</v>
      </c>
      <c r="C1512" s="4">
        <f>IFERROR(__xludf.DUMMYFUNCTION("""COMPUTED_VALUE"""),1.4)</f>
        <v>1.4</v>
      </c>
    </row>
    <row r="1513">
      <c r="A1513" s="4" t="str">
        <f>IFERROR(__xludf.DUMMYFUNCTION("""COMPUTED_VALUE"""),"3030")</f>
        <v>3030</v>
      </c>
      <c r="B1513" s="4" t="str">
        <f>IFERROR(__xludf.DUMMYFUNCTION("""COMPUTED_VALUE"""),"Separador CONDOR 20 m/m (1000 Unid)")</f>
        <v>Separador CONDOR 20 m/m (1000 Unid)</v>
      </c>
      <c r="C1513" s="4">
        <f>IFERROR(__xludf.DUMMYFUNCTION("""COMPUTED_VALUE"""),29.35)</f>
        <v>29.35</v>
      </c>
    </row>
    <row r="1514">
      <c r="A1514" s="4" t="str">
        <f>IFERROR(__xludf.DUMMYFUNCTION("""COMPUTED_VALUE"""),"3031")</f>
        <v>3031</v>
      </c>
      <c r="B1514" s="4" t="str">
        <f>IFERROR(__xludf.DUMMYFUNCTION("""COMPUTED_VALUE"""),"Separador CONDOR 40 m/m (500 Unid)")</f>
        <v>Separador CONDOR 40 m/m (500 Unid)</v>
      </c>
      <c r="C1514" s="4">
        <f>IFERROR(__xludf.DUMMYFUNCTION("""COMPUTED_VALUE"""),26.2)</f>
        <v>26.2</v>
      </c>
    </row>
    <row r="1515">
      <c r="A1515" s="4" t="str">
        <f>IFERROR(__xludf.DUMMYFUNCTION("""COMPUTED_VALUE"""),"3032")</f>
        <v>3032</v>
      </c>
      <c r="B1515" s="4" t="str">
        <f>IFERROR(__xludf.DUMMYFUNCTION("""COMPUTED_VALUE"""),"Separador Universal (1000 Unid)")</f>
        <v>Separador Universal (1000 Unid)</v>
      </c>
      <c r="C1515" s="4">
        <f>IFERROR(__xludf.DUMMYFUNCTION("""COMPUTED_VALUE"""),41.8)</f>
        <v>41.8</v>
      </c>
    </row>
    <row r="1516">
      <c r="A1516" s="4" t="str">
        <f>IFERROR(__xludf.DUMMYFUNCTION("""COMPUTED_VALUE"""),"3033")</f>
        <v>3033</v>
      </c>
      <c r="B1516" s="4" t="str">
        <f>IFERROR(__xludf.DUMMYFUNCTION("""COMPUTED_VALUE"""),"Cono c/tapa para Guardacuerpos")</f>
        <v>Cono c/tapa para Guardacuerpos</v>
      </c>
      <c r="C1516" s="4">
        <f>IFERROR(__xludf.DUMMYFUNCTION("""COMPUTED_VALUE"""),0.13)</f>
        <v>0.13</v>
      </c>
    </row>
    <row r="1517">
      <c r="A1517" s="4" t="str">
        <f>IFERROR(__xludf.DUMMYFUNCTION("""COMPUTED_VALUE"""),"3034")</f>
        <v>3034</v>
      </c>
      <c r="B1517" s="4" t="str">
        <f>IFERROR(__xludf.DUMMYFUNCTION("""COMPUTED_VALUE"""),"Base guardacuerpos cuadr.35x40 (150 und)")</f>
        <v>Base guardacuerpos cuadr.35x40 (150 und)</v>
      </c>
      <c r="C1517" s="4">
        <f>IFERROR(__xludf.DUMMYFUNCTION("""COMPUTED_VALUE"""),33.35)</f>
        <v>33.35</v>
      </c>
    </row>
    <row r="1518">
      <c r="A1518" s="4" t="str">
        <f>IFERROR(__xludf.DUMMYFUNCTION("""COMPUTED_VALUE"""),"3035")</f>
        <v>3035</v>
      </c>
      <c r="B1518" s="4" t="str">
        <f>IFERROR(__xludf.DUMMYFUNCTION("""COMPUTED_VALUE"""),"Separador CONDOR 30 m/m (1000 Unid)")</f>
        <v>Separador CONDOR 30 m/m (1000 Unid)</v>
      </c>
      <c r="C1518" s="4">
        <f>IFERROR(__xludf.DUMMYFUNCTION("""COMPUTED_VALUE"""),37.25)</f>
        <v>37.25</v>
      </c>
    </row>
    <row r="1519">
      <c r="A1519" s="4" t="str">
        <f>IFERROR(__xludf.DUMMYFUNCTION("""COMPUTED_VALUE"""),"3036")</f>
        <v>3036</v>
      </c>
      <c r="B1519" s="4" t="str">
        <f>IFERROR(__xludf.DUMMYFUNCTION("""COMPUTED_VALUE"""),"Base horca-pescante 60x40 ( 114 unid)")</f>
        <v>Base horca-pescante 60x40 ( 114 unid)</v>
      </c>
      <c r="C1519" s="4">
        <f>IFERROR(__xludf.DUMMYFUNCTION("""COMPUTED_VALUE"""),119.85)</f>
        <v>119.85</v>
      </c>
    </row>
    <row r="1520">
      <c r="A1520" s="4" t="str">
        <f>IFERROR(__xludf.DUMMYFUNCTION("""COMPUTED_VALUE"""),"3037")</f>
        <v>3037</v>
      </c>
      <c r="B1520" s="4" t="str">
        <f>IFERROR(__xludf.DUMMYFUNCTION("""COMPUTED_VALUE"""),"Base horca-pescante 60x60 ( 45 unid)")</f>
        <v>Base horca-pescante 60x60 ( 45 unid)</v>
      </c>
      <c r="C1520" s="4">
        <f>IFERROR(__xludf.DUMMYFUNCTION("""COMPUTED_VALUE"""),44.0)</f>
        <v>44</v>
      </c>
    </row>
    <row r="1521">
      <c r="A1521" s="4" t="str">
        <f>IFERROR(__xludf.DUMMYFUNCTION("""COMPUTED_VALUE"""),"3038")</f>
        <v>3038</v>
      </c>
      <c r="B1521" s="4" t="str">
        <f>IFERROR(__xludf.DUMMYFUNCTION("""COMPUTED_VALUE"""),"Separador CONDOR 50 m/m (500 Unid )")</f>
        <v>Separador CONDOR 50 m/m (500 Unid )</v>
      </c>
      <c r="C1521" s="4">
        <f>IFERROR(__xludf.DUMMYFUNCTION("""COMPUTED_VALUE"""),39.375)</f>
        <v>39.375</v>
      </c>
    </row>
    <row r="1522">
      <c r="A1522" s="4" t="str">
        <f>IFERROR(__xludf.DUMMYFUNCTION("""COMPUTED_VALUE"""),"3039")</f>
        <v>3039</v>
      </c>
      <c r="B1522" s="4" t="str">
        <f>IFERROR(__xludf.DUMMYFUNCTION("""COMPUTED_VALUE"""),"Seta protectora Varilla 12-20")</f>
        <v>Seta protectora Varilla 12-20</v>
      </c>
      <c r="C1522" s="4">
        <f>IFERROR(__xludf.DUMMYFUNCTION("""COMPUTED_VALUE"""),0.07)</f>
        <v>0.07</v>
      </c>
    </row>
    <row r="1523">
      <c r="A1523" s="4" t="str">
        <f>IFERROR(__xludf.DUMMYFUNCTION("""COMPUTED_VALUE"""),"3041")</f>
        <v>3041</v>
      </c>
      <c r="B1523" s="4" t="str">
        <f>IFERROR(__xludf.DUMMYFUNCTION("""COMPUTED_VALUE"""),"Seta protect. cuadrada 35x40 ( 100 unid )")</f>
        <v>Seta protect. cuadrada 35x40 ( 100 unid )</v>
      </c>
      <c r="C1523" s="4">
        <f>IFERROR(__xludf.DUMMYFUNCTION("""COMPUTED_VALUE"""),12.8)</f>
        <v>12.8</v>
      </c>
    </row>
    <row r="1524">
      <c r="A1524" s="4" t="str">
        <f>IFERROR(__xludf.DUMMYFUNCTION("""COMPUTED_VALUE"""),"3042")</f>
        <v>3042</v>
      </c>
      <c r="B1524" s="4" t="str">
        <f>IFERROR(__xludf.DUMMYFUNCTION("""COMPUTED_VALUE"""),"Setón protector varilla 24-40 ( 200 unid )")</f>
        <v>Setón protector varilla 24-40 ( 200 unid )</v>
      </c>
      <c r="C1524" s="4">
        <f>IFERROR(__xludf.DUMMYFUNCTION("""COMPUTED_VALUE"""),33.5)</f>
        <v>33.5</v>
      </c>
    </row>
    <row r="1525">
      <c r="A1525" s="4" t="str">
        <f>IFERROR(__xludf.DUMMYFUNCTION("""COMPUTED_VALUE"""),"3043")</f>
        <v>3043</v>
      </c>
      <c r="B1525" s="4" t="str">
        <f>IFERROR(__xludf.DUMMYFUNCTION("""COMPUTED_VALUE"""),"Seta protectora c/ refuerzo interior (100 unid)")</f>
        <v>Seta protectora c/ refuerzo interior (100 unid)</v>
      </c>
      <c r="C1525" s="4">
        <f>IFERROR(__xludf.DUMMYFUNCTION("""COMPUTED_VALUE"""),19.95)</f>
        <v>19.95</v>
      </c>
    </row>
    <row r="1526">
      <c r="A1526" s="4" t="str">
        <f>IFERROR(__xludf.DUMMYFUNCTION("""COMPUTED_VALUE"""),"3100")</f>
        <v>3100</v>
      </c>
      <c r="B1526" s="4" t="str">
        <f>IFERROR(__xludf.DUMMYFUNCTION("""COMPUTED_VALUE"""),"Junta de dilatación 4 cm M.Lineal")</f>
        <v>Junta de dilatación 4 cm M.Lineal</v>
      </c>
      <c r="C1526" s="4">
        <f>IFERROR(__xludf.DUMMYFUNCTION("""COMPUTED_VALUE"""),0.88)</f>
        <v>0.88</v>
      </c>
    </row>
    <row r="1527">
      <c r="A1527" s="4" t="str">
        <f>IFERROR(__xludf.DUMMYFUNCTION("""COMPUTED_VALUE"""),"3101")</f>
        <v>3101</v>
      </c>
      <c r="B1527" s="4" t="str">
        <f>IFERROR(__xludf.DUMMYFUNCTION("""COMPUTED_VALUE"""),"Junta de dilatación 8 cm M.Lineal")</f>
        <v>Junta de dilatación 8 cm M.Lineal</v>
      </c>
      <c r="C1527" s="4">
        <f>IFERROR(__xludf.DUMMYFUNCTION("""COMPUTED_VALUE"""),1.2)</f>
        <v>1.2</v>
      </c>
    </row>
    <row r="1528">
      <c r="A1528" s="4" t="str">
        <f>IFERROR(__xludf.DUMMYFUNCTION("""COMPUTED_VALUE"""),"3102")</f>
        <v>3102</v>
      </c>
      <c r="B1528" s="4" t="str">
        <f>IFERROR(__xludf.DUMMYFUNCTION("""COMPUTED_VALUE"""),"Conexión para cadena y cinta poste ref 1136")</f>
        <v>Conexión para cadena y cinta poste ref 1136</v>
      </c>
      <c r="C1528" s="4">
        <f>IFERROR(__xludf.DUMMYFUNCTION("""COMPUTED_VALUE"""),1.4)</f>
        <v>1.4</v>
      </c>
    </row>
    <row r="1529">
      <c r="A1529" s="4" t="str">
        <f>IFERROR(__xludf.DUMMYFUNCTION("""COMPUTED_VALUE"""),"3103")</f>
        <v>3103</v>
      </c>
      <c r="B1529" s="4" t="str">
        <f>IFERROR(__xludf.DUMMYFUNCTION("""COMPUTED_VALUE"""),"Conexion para hito 0588 a señales TPU")</f>
        <v>Conexion para hito 0588 a señales TPU</v>
      </c>
      <c r="C1529" s="4">
        <f>IFERROR(__xludf.DUMMYFUNCTION("""COMPUTED_VALUE"""),3.0)</f>
        <v>3</v>
      </c>
    </row>
    <row r="1530">
      <c r="A1530" s="4" t="str">
        <f>IFERROR(__xludf.DUMMYFUNCTION("""COMPUTED_VALUE"""),"3105")</f>
        <v>3105</v>
      </c>
      <c r="B1530" s="4" t="str">
        <f>IFERROR(__xludf.DUMMYFUNCTION("""COMPUTED_VALUE"""),"Tornillo y taco para reductor velocidad")</f>
        <v>Tornillo y taco para reductor velocidad</v>
      </c>
      <c r="C1530" s="4">
        <f>IFERROR(__xludf.DUMMYFUNCTION("""COMPUTED_VALUE"""),0.47)</f>
        <v>0.47</v>
      </c>
    </row>
    <row r="1531">
      <c r="A1531" s="4" t="str">
        <f>IFERROR(__xludf.DUMMYFUNCTION("""COMPUTED_VALUE"""),"3112")</f>
        <v>3112</v>
      </c>
      <c r="B1531" s="4" t="str">
        <f>IFERROR(__xludf.DUMMYFUNCTION("""COMPUTED_VALUE"""),"Conexión para conos")</f>
        <v>Conexión para conos</v>
      </c>
      <c r="C1531" s="4">
        <f>IFERROR(__xludf.DUMMYFUNCTION("""COMPUTED_VALUE"""),6.0)</f>
        <v>6</v>
      </c>
    </row>
    <row r="1532">
      <c r="A1532" s="4" t="str">
        <f>IFERROR(__xludf.DUMMYFUNCTION("""COMPUTED_VALUE"""),"3250")</f>
        <v>3250</v>
      </c>
      <c r="B1532" s="4" t="str">
        <f>IFERROR(__xludf.DUMMYFUNCTION("""COMPUTED_VALUE"""),"Mts. Guardavivo yeso")</f>
        <v>Mts. Guardavivo yeso</v>
      </c>
      <c r="C1532" s="4">
        <f>IFERROR(__xludf.DUMMYFUNCTION("""COMPUTED_VALUE"""),0.41)</f>
        <v>0.41</v>
      </c>
    </row>
    <row r="1533">
      <c r="A1533" s="4" t="str">
        <f>IFERROR(__xludf.DUMMYFUNCTION("""COMPUTED_VALUE"""),"3251")</f>
        <v>3251</v>
      </c>
      <c r="B1533" s="4" t="str">
        <f>IFERROR(__xludf.DUMMYFUNCTION("""COMPUTED_VALUE"""),"Mts. Guardacantos c/blanco")</f>
        <v>Mts. Guardacantos c/blanco</v>
      </c>
      <c r="C1533" s="4">
        <f>IFERROR(__xludf.DUMMYFUNCTION("""COMPUTED_VALUE"""),0.43)</f>
        <v>0.43</v>
      </c>
    </row>
    <row r="1534">
      <c r="A1534" s="4" t="str">
        <f>IFERROR(__xludf.DUMMYFUNCTION("""COMPUTED_VALUE"""),"3252")</f>
        <v>3252</v>
      </c>
      <c r="B1534" s="4" t="str">
        <f>IFERROR(__xludf.DUMMYFUNCTION("""COMPUTED_VALUE"""),"Mts. Guardacantos c/ marfil")</f>
        <v>Mts. Guardacantos c/ marfil</v>
      </c>
      <c r="C1534" s="4">
        <f>IFERROR(__xludf.DUMMYFUNCTION("""COMPUTED_VALUE"""),0.43)</f>
        <v>0.43</v>
      </c>
    </row>
    <row r="1535">
      <c r="A1535" s="4" t="str">
        <f>IFERROR(__xludf.DUMMYFUNCTION("""COMPUTED_VALUE"""),"3253")</f>
        <v>3253</v>
      </c>
      <c r="B1535" s="4" t="str">
        <f>IFERROR(__xludf.DUMMYFUNCTION("""COMPUTED_VALUE"""),"Mts. Guardacantos c/gris")</f>
        <v>Mts. Guardacantos c/gris</v>
      </c>
      <c r="C1535" s="4">
        <f>IFERROR(__xludf.DUMMYFUNCTION("""COMPUTED_VALUE"""),0.43)</f>
        <v>0.43</v>
      </c>
    </row>
    <row r="1536">
      <c r="A1536" s="4" t="str">
        <f>IFERROR(__xludf.DUMMYFUNCTION("""COMPUTED_VALUE"""),"3254")</f>
        <v>3254</v>
      </c>
      <c r="B1536" s="4" t="str">
        <f>IFERROR(__xludf.DUMMYFUNCTION("""COMPUTED_VALUE"""),"Mts. Junquillo PVC para monocapa")</f>
        <v>Mts. Junquillo PVC para monocapa</v>
      </c>
      <c r="C1536" s="4">
        <f>IFERROR(__xludf.DUMMYFUNCTION("""COMPUTED_VALUE"""),0.33)</f>
        <v>0.33</v>
      </c>
    </row>
    <row r="1537">
      <c r="A1537" s="4" t="str">
        <f>IFERROR(__xludf.DUMMYFUNCTION("""COMPUTED_VALUE"""),"3256")</f>
        <v>3256</v>
      </c>
      <c r="B1537" s="4" t="str">
        <f>IFERROR(__xludf.DUMMYFUNCTION("""COMPUTED_VALUE"""),"Mts. Guardavivo monocapa punta fina")</f>
        <v>Mts. Guardavivo monocapa punta fina</v>
      </c>
      <c r="C1537" s="4">
        <f>IFERROR(__xludf.DUMMYFUNCTION("""COMPUTED_VALUE"""),0.38)</f>
        <v>0.38</v>
      </c>
    </row>
    <row r="1538">
      <c r="A1538" s="4" t="str">
        <f>IFERROR(__xludf.DUMMYFUNCTION("""COMPUTED_VALUE"""),"3300")</f>
        <v>3300</v>
      </c>
      <c r="B1538" s="4" t="str">
        <f>IFERROR(__xludf.DUMMYFUNCTION("""COMPUTED_VALUE"""),"Mt.Tubo encofrado 22/26- ( En 3 mts)")</f>
        <v>Mt.Tubo encofrado 22/26- ( En 3 mts)</v>
      </c>
      <c r="C1538" s="4">
        <f>IFERROR(__xludf.DUMMYFUNCTION("""COMPUTED_VALUE"""),0.45)</f>
        <v>0.45</v>
      </c>
    </row>
    <row r="1539">
      <c r="A1539" s="4" t="str">
        <f>IFERROR(__xludf.DUMMYFUNCTION("""COMPUTED_VALUE"""),"3301")</f>
        <v>3301</v>
      </c>
      <c r="B1539" s="4" t="str">
        <f>IFERROR(__xludf.DUMMYFUNCTION("""COMPUTED_VALUE"""),"Mt.Tubo encofrado 22/26 -( En 2 mts)")</f>
        <v>Mt.Tubo encofrado 22/26 -( En 2 mts)</v>
      </c>
      <c r="C1539" s="4">
        <f>IFERROR(__xludf.DUMMYFUNCTION("""COMPUTED_VALUE"""),0.45)</f>
        <v>0.45</v>
      </c>
    </row>
    <row r="1540">
      <c r="A1540" s="4" t="str">
        <f>IFERROR(__xludf.DUMMYFUNCTION("""COMPUTED_VALUE"""),"3302")</f>
        <v>3302</v>
      </c>
      <c r="B1540" s="4" t="str">
        <f>IFERROR(__xludf.DUMMYFUNCTION("""COMPUTED_VALUE"""),"Mt Tubo encofrado 26/30- ( En 2 mts)")</f>
        <v>Mt Tubo encofrado 26/30- ( En 2 mts)</v>
      </c>
      <c r="C1540" s="4">
        <f>IFERROR(__xludf.DUMMYFUNCTION("""COMPUTED_VALUE"""),0.55)</f>
        <v>0.55</v>
      </c>
    </row>
    <row r="1541">
      <c r="A1541" s="4" t="str">
        <f>IFERROR(__xludf.DUMMYFUNCTION("""COMPUTED_VALUE"""),"3303")</f>
        <v>3303</v>
      </c>
      <c r="B1541" s="4" t="str">
        <f>IFERROR(__xludf.DUMMYFUNCTION("""COMPUTED_VALUE"""),"Mts. Berengeno Pequeño 27,2mm Base x 20mm Alt.")</f>
        <v>Mts. Berengeno Pequeño 27,2mm Base x 20mm Alt.</v>
      </c>
      <c r="C1541" s="4">
        <f>IFERROR(__xludf.DUMMYFUNCTION("""COMPUTED_VALUE"""),0.41)</f>
        <v>0.41</v>
      </c>
    </row>
    <row r="1542">
      <c r="A1542" s="4" t="str">
        <f>IFERROR(__xludf.DUMMYFUNCTION("""COMPUTED_VALUE"""),"3304")</f>
        <v>3304</v>
      </c>
      <c r="B1542" s="4" t="str">
        <f>IFERROR(__xludf.DUMMYFUNCTION("""COMPUTED_VALUE"""),"Mts. Berengeno Mediano 34mm Base x 25mm Alt.")</f>
        <v>Mts. Berengeno Mediano 34mm Base x 25mm Alt.</v>
      </c>
      <c r="C1542" s="4">
        <f>IFERROR(__xludf.DUMMYFUNCTION("""COMPUTED_VALUE"""),0.53)</f>
        <v>0.53</v>
      </c>
    </row>
    <row r="1543">
      <c r="A1543" s="4" t="str">
        <f>IFERROR(__xludf.DUMMYFUNCTION("""COMPUTED_VALUE"""),"3305")</f>
        <v>3305</v>
      </c>
      <c r="B1543" s="4" t="str">
        <f>IFERROR(__xludf.DUMMYFUNCTION("""COMPUTED_VALUE"""),"Mts. Berengeno Grande 41mm Base x 30mm Alt,")</f>
        <v>Mts. Berengeno Grande 41mm Base x 30mm Alt,</v>
      </c>
      <c r="C1543" s="4">
        <f>IFERROR(__xludf.DUMMYFUNCTION("""COMPUTED_VALUE"""),0.59)</f>
        <v>0.59</v>
      </c>
    </row>
    <row r="1544">
      <c r="A1544" s="4" t="str">
        <f>IFERROR(__xludf.DUMMYFUNCTION("""COMPUTED_VALUE"""),"3306")</f>
        <v>3306</v>
      </c>
      <c r="B1544" s="4" t="str">
        <f>IFERROR(__xludf.DUMMYFUNCTION("""COMPUTED_VALUE"""),"Tubo ETUBAX 20 cm")</f>
        <v>Tubo ETUBAX 20 cm</v>
      </c>
      <c r="C1544" s="4">
        <f>IFERROR(__xludf.DUMMYFUNCTION("""COMPUTED_VALUE"""),0.29)</f>
        <v>0.29</v>
      </c>
    </row>
    <row r="1545">
      <c r="A1545" s="4" t="str">
        <f>IFERROR(__xludf.DUMMYFUNCTION("""COMPUTED_VALUE"""),"3307")</f>
        <v>3307</v>
      </c>
      <c r="B1545" s="4" t="str">
        <f>IFERROR(__xludf.DUMMYFUNCTION("""COMPUTED_VALUE"""),"Tubo ETUBAX 25 cm")</f>
        <v>Tubo ETUBAX 25 cm</v>
      </c>
      <c r="C1545" s="4">
        <f>IFERROR(__xludf.DUMMYFUNCTION("""COMPUTED_VALUE"""),0.31)</f>
        <v>0.31</v>
      </c>
    </row>
    <row r="1546">
      <c r="A1546" s="4" t="str">
        <f>IFERROR(__xludf.DUMMYFUNCTION("""COMPUTED_VALUE"""),"3308")</f>
        <v>3308</v>
      </c>
      <c r="B1546" s="4" t="str">
        <f>IFERROR(__xludf.DUMMYFUNCTION("""COMPUTED_VALUE"""),"Tubo ETUBAX 30 cm")</f>
        <v>Tubo ETUBAX 30 cm</v>
      </c>
      <c r="C1546" s="4">
        <f>IFERROR(__xludf.DUMMYFUNCTION("""COMPUTED_VALUE"""),0.38)</f>
        <v>0.38</v>
      </c>
    </row>
    <row r="1547">
      <c r="A1547" s="4" t="str">
        <f>IFERROR(__xludf.DUMMYFUNCTION("""COMPUTED_VALUE"""),"3309")</f>
        <v>3309</v>
      </c>
      <c r="B1547" s="4" t="str">
        <f>IFERROR(__xludf.DUMMYFUNCTION("""COMPUTED_VALUE"""),"Tubo ETUBAX 35 cm")</f>
        <v>Tubo ETUBAX 35 cm</v>
      </c>
      <c r="C1547" s="4">
        <f>IFERROR(__xludf.DUMMYFUNCTION("""COMPUTED_VALUE"""),0.38)</f>
        <v>0.38</v>
      </c>
    </row>
    <row r="1548">
      <c r="A1548" s="4" t="str">
        <f>IFERROR(__xludf.DUMMYFUNCTION("""COMPUTED_VALUE"""),"3310")</f>
        <v>3310</v>
      </c>
      <c r="B1548" s="4" t="str">
        <f>IFERROR(__xludf.DUMMYFUNCTION("""COMPUTED_VALUE"""),"Tubo ETUBAX 40 cm")</f>
        <v>Tubo ETUBAX 40 cm</v>
      </c>
      <c r="C1548" s="4">
        <f>IFERROR(__xludf.DUMMYFUNCTION("""COMPUTED_VALUE"""),0.46)</f>
        <v>0.46</v>
      </c>
    </row>
    <row r="1549">
      <c r="A1549" s="4" t="str">
        <f>IFERROR(__xludf.DUMMYFUNCTION("""COMPUTED_VALUE"""),"3315")</f>
        <v>3315</v>
      </c>
      <c r="B1549" s="4" t="str">
        <f>IFERROR(__xludf.DUMMYFUNCTION("""COMPUTED_VALUE"""),"Mts. Berengeno Mini 17,2mm Base x 12,5 mm Alt.")</f>
        <v>Mts. Berengeno Mini 17,2mm Base x 12,5 mm Alt.</v>
      </c>
      <c r="C1549" s="4">
        <f>IFERROR(__xludf.DUMMYFUNCTION("""COMPUTED_VALUE"""),0.33)</f>
        <v>0.33</v>
      </c>
    </row>
    <row r="1550">
      <c r="A1550" s="4" t="str">
        <f>IFERROR(__xludf.DUMMYFUNCTION("""COMPUTED_VALUE"""),"3370")</f>
        <v>3370</v>
      </c>
      <c r="B1550" s="4" t="str">
        <f>IFERROR(__xludf.DUMMYFUNCTION("""COMPUTED_VALUE"""),"Separador rueda 25 m/m (1000 Unid)")</f>
        <v>Separador rueda 25 m/m (1000 Unid)</v>
      </c>
      <c r="C1550" s="4">
        <f>IFERROR(__xludf.DUMMYFUNCTION("""COMPUTED_VALUE"""),27.9)</f>
        <v>27.9</v>
      </c>
    </row>
    <row r="1551">
      <c r="A1551" s="4" t="str">
        <f>IFERROR(__xludf.DUMMYFUNCTION("""COMPUTED_VALUE"""),"3371")</f>
        <v>3371</v>
      </c>
      <c r="B1551" s="4" t="str">
        <f>IFERROR(__xludf.DUMMYFUNCTION("""COMPUTED_VALUE"""),"Separador rueda 30 m/m (1000 Unid)")</f>
        <v>Separador rueda 30 m/m (1000 Unid)</v>
      </c>
      <c r="C1551" s="4">
        <f>IFERROR(__xludf.DUMMYFUNCTION("""COMPUTED_VALUE"""),29.95)</f>
        <v>29.95</v>
      </c>
    </row>
    <row r="1552">
      <c r="A1552" s="4" t="str">
        <f>IFERROR(__xludf.DUMMYFUNCTION("""COMPUTED_VALUE"""),"3372")</f>
        <v>3372</v>
      </c>
      <c r="B1552" s="4" t="str">
        <f>IFERROR(__xludf.DUMMYFUNCTION("""COMPUTED_VALUE"""),"Separador rueda 35 m/m (500 Unid)")</f>
        <v>Separador rueda 35 m/m (500 Unid)</v>
      </c>
      <c r="C1552" s="4">
        <f>IFERROR(__xludf.DUMMYFUNCTION("""COMPUTED_VALUE"""),23.5)</f>
        <v>23.5</v>
      </c>
    </row>
    <row r="1553">
      <c r="A1553" s="4" t="str">
        <f>IFERROR(__xludf.DUMMYFUNCTION("""COMPUTED_VALUE"""),"3373")</f>
        <v>3373</v>
      </c>
      <c r="B1553" s="4" t="str">
        <f>IFERROR(__xludf.DUMMYFUNCTION("""COMPUTED_VALUE"""),"Separador rueda 40 m/m (500 Unid)")</f>
        <v>Separador rueda 40 m/m (500 Unid)</v>
      </c>
      <c r="C1553" s="4">
        <f>IFERROR(__xludf.DUMMYFUNCTION("""COMPUTED_VALUE"""),29.25)</f>
        <v>29.25</v>
      </c>
    </row>
    <row r="1554">
      <c r="A1554" s="4" t="str">
        <f>IFERROR(__xludf.DUMMYFUNCTION("""COMPUTED_VALUE"""),"3374")</f>
        <v>3374</v>
      </c>
      <c r="B1554" s="4" t="str">
        <f>IFERROR(__xludf.DUMMYFUNCTION("""COMPUTED_VALUE"""),"Separador rueda 50 m/m (250 Unid)")</f>
        <v>Separador rueda 50 m/m (250 Unid)</v>
      </c>
      <c r="C1554" s="4">
        <f>IFERROR(__xludf.DUMMYFUNCTION("""COMPUTED_VALUE"""),26.75)</f>
        <v>26.75</v>
      </c>
    </row>
    <row r="1555">
      <c r="A1555" s="4" t="str">
        <f>IFERROR(__xludf.DUMMYFUNCTION("""COMPUTED_VALUE"""),"3376")</f>
        <v>3376</v>
      </c>
      <c r="B1555" s="4" t="str">
        <f>IFERROR(__xludf.DUMMYFUNCTION("""COMPUTED_VALUE"""),"Separador rueda 70 m/m ( 150 unid )")</f>
        <v>Separador rueda 70 m/m ( 150 unid )</v>
      </c>
      <c r="C1555" s="4">
        <f>IFERROR(__xludf.DUMMYFUNCTION("""COMPUTED_VALUE"""),27.75)</f>
        <v>27.75</v>
      </c>
    </row>
    <row r="1556">
      <c r="A1556" s="4" t="str">
        <f>IFERROR(__xludf.DUMMYFUNCTION("""COMPUTED_VALUE"""),"3390")</f>
        <v>3390</v>
      </c>
      <c r="B1556" s="4" t="str">
        <f>IFERROR(__xludf.DUMMYFUNCTION("""COMPUTED_VALUE"""),"Cono standard tubo de 26 mm (1000 unid )")</f>
        <v>Cono standard tubo de 26 mm (1000 unid )</v>
      </c>
      <c r="C1556" s="4">
        <f>IFERROR(__xludf.DUMMYFUNCTION("""COMPUTED_VALUE"""),55.08)</f>
        <v>55.08</v>
      </c>
    </row>
    <row r="1557">
      <c r="A1557" s="4" t="str">
        <f>IFERROR(__xludf.DUMMYFUNCTION("""COMPUTED_VALUE"""),"3391")</f>
        <v>3391</v>
      </c>
      <c r="B1557" s="4" t="str">
        <f>IFERROR(__xludf.DUMMYFUNCTION("""COMPUTED_VALUE"""),"Cono para tubo 22/26 bolsa 1000 uds")</f>
        <v>Cono para tubo 22/26 bolsa 1000 uds</v>
      </c>
      <c r="C1557" s="4">
        <f>IFERROR(__xludf.DUMMYFUNCTION("""COMPUTED_VALUE"""),18.0)</f>
        <v>18</v>
      </c>
    </row>
    <row r="1558">
      <c r="A1558" s="4" t="str">
        <f>IFERROR(__xludf.DUMMYFUNCTION("""COMPUTED_VALUE"""),"3392")</f>
        <v>3392</v>
      </c>
      <c r="B1558" s="4" t="str">
        <f>IFERROR(__xludf.DUMMYFUNCTION("""COMPUTED_VALUE"""),"Cono liso para tubo 22 mm ( 500 unid )")</f>
        <v>Cono liso para tubo 22 mm ( 500 unid )</v>
      </c>
      <c r="C1558" s="4">
        <f>IFERROR(__xludf.DUMMYFUNCTION("""COMPUTED_VALUE"""),14.15)</f>
        <v>14.15</v>
      </c>
    </row>
    <row r="1559">
      <c r="A1559" s="4" t="str">
        <f>IFERROR(__xludf.DUMMYFUNCTION("""COMPUTED_VALUE"""),"3393")</f>
        <v>3393</v>
      </c>
      <c r="B1559" s="4" t="str">
        <f>IFERROR(__xludf.DUMMYFUNCTION("""COMPUTED_VALUE"""),"Tapón para cono liso (500 und)")</f>
        <v>Tapón para cono liso (500 und)</v>
      </c>
      <c r="C1559" s="4">
        <f>IFERROR(__xludf.DUMMYFUNCTION("""COMPUTED_VALUE"""),10.5)</f>
        <v>10.5</v>
      </c>
    </row>
    <row r="1560">
      <c r="A1560" s="4" t="str">
        <f>IFERROR(__xludf.DUMMYFUNCTION("""COMPUTED_VALUE"""),"3394")</f>
        <v>3394</v>
      </c>
      <c r="B1560" s="4" t="str">
        <f>IFERROR(__xludf.DUMMYFUNCTION("""COMPUTED_VALUE"""),"Tapon estanco 4 aletas tubo 22 (500 unid)")</f>
        <v>Tapon estanco 4 aletas tubo 22 (500 unid)</v>
      </c>
      <c r="C1560" s="4">
        <f>IFERROR(__xludf.DUMMYFUNCTION("""COMPUTED_VALUE"""),17.3)</f>
        <v>17.3</v>
      </c>
    </row>
    <row r="1561">
      <c r="A1561" s="4" t="str">
        <f>IFERROR(__xludf.DUMMYFUNCTION("""COMPUTED_VALUE"""),"3396")</f>
        <v>3396</v>
      </c>
      <c r="B1561" s="4" t="str">
        <f>IFERROR(__xludf.DUMMYFUNCTION("""COMPUTED_VALUE"""),"Tapón standard tubo 22 m/m (1000 Uni)")</f>
        <v>Tapón standard tubo 22 m/m (1000 Uni)</v>
      </c>
      <c r="C1561" s="4">
        <f>IFERROR(__xludf.DUMMYFUNCTION("""COMPUTED_VALUE"""),14.15)</f>
        <v>14.15</v>
      </c>
    </row>
    <row r="1562">
      <c r="A1562" s="4" t="str">
        <f>IFERROR(__xludf.DUMMYFUNCTION("""COMPUTED_VALUE"""),"3397")</f>
        <v>3397</v>
      </c>
      <c r="B1562" s="4" t="str">
        <f>IFERROR(__xludf.DUMMYFUNCTION("""COMPUTED_VALUE"""),"Tapón standard tubo 26 m/m 1000 unid)")</f>
        <v>Tapón standard tubo 26 m/m 1000 unid)</v>
      </c>
      <c r="C1562" s="4">
        <f>IFERROR(__xludf.DUMMYFUNCTION("""COMPUTED_VALUE"""),33.6)</f>
        <v>33.6</v>
      </c>
    </row>
    <row r="1563">
      <c r="A1563" s="4" t="str">
        <f>IFERROR(__xludf.DUMMYFUNCTION("""COMPUTED_VALUE"""),"4004")</f>
        <v>4004</v>
      </c>
      <c r="B1563" s="4" t="str">
        <f>IFERROR(__xludf.DUMMYFUNCTION("""COMPUTED_VALUE"""),"Mts. cuerda CERVINO 4 m/m")</f>
        <v>Mts. cuerda CERVINO 4 m/m</v>
      </c>
      <c r="C1563" s="4">
        <f>IFERROR(__xludf.DUMMYFUNCTION("""COMPUTED_VALUE"""),0.14)</f>
        <v>0.14</v>
      </c>
    </row>
    <row r="1564">
      <c r="A1564" s="4" t="str">
        <f>IFERROR(__xludf.DUMMYFUNCTION("""COMPUTED_VALUE"""),"4006")</f>
        <v>4006</v>
      </c>
      <c r="B1564" s="4" t="str">
        <f>IFERROR(__xludf.DUMMYFUNCTION("""COMPUTED_VALUE"""),"Mts. cuerda CERVINO 6 m/m")</f>
        <v>Mts. cuerda CERVINO 6 m/m</v>
      </c>
      <c r="C1564" s="4">
        <f>IFERROR(__xludf.DUMMYFUNCTION("""COMPUTED_VALUE"""),0.19)</f>
        <v>0.19</v>
      </c>
    </row>
    <row r="1565">
      <c r="A1565" s="4" t="str">
        <f>IFERROR(__xludf.DUMMYFUNCTION("""COMPUTED_VALUE"""),"4008")</f>
        <v>4008</v>
      </c>
      <c r="B1565" s="4" t="str">
        <f>IFERROR(__xludf.DUMMYFUNCTION("""COMPUTED_VALUE"""),"Mts. cuerda CERVINO 8 m/m")</f>
        <v>Mts. cuerda CERVINO 8 m/m</v>
      </c>
      <c r="C1565" s="4">
        <f>IFERROR(__xludf.DUMMYFUNCTION("""COMPUTED_VALUE"""),0.25)</f>
        <v>0.25</v>
      </c>
    </row>
    <row r="1566">
      <c r="A1566" s="4" t="str">
        <f>IFERROR(__xludf.DUMMYFUNCTION("""COMPUTED_VALUE"""),"4010")</f>
        <v>4010</v>
      </c>
      <c r="B1566" s="4" t="str">
        <f>IFERROR(__xludf.DUMMYFUNCTION("""COMPUTED_VALUE"""),"Mts. cuerda CERVINO 10 m/m")</f>
        <v>Mts. cuerda CERVINO 10 m/m</v>
      </c>
      <c r="C1566" s="4">
        <f>IFERROR(__xludf.DUMMYFUNCTION("""COMPUTED_VALUE"""),0.41)</f>
        <v>0.41</v>
      </c>
    </row>
    <row r="1567">
      <c r="A1567" s="4" t="str">
        <f>IFERROR(__xludf.DUMMYFUNCTION("""COMPUTED_VALUE"""),"4012")</f>
        <v>4012</v>
      </c>
      <c r="B1567" s="4" t="str">
        <f>IFERROR(__xludf.DUMMYFUNCTION("""COMPUTED_VALUE"""),"Mts. cuerda CERVINO 12 m/m")</f>
        <v>Mts. cuerda CERVINO 12 m/m</v>
      </c>
      <c r="C1567" s="4">
        <f>IFERROR(__xludf.DUMMYFUNCTION("""COMPUTED_VALUE"""),0.66)</f>
        <v>0.66</v>
      </c>
    </row>
    <row r="1568">
      <c r="A1568" s="4" t="str">
        <f>IFERROR(__xludf.DUMMYFUNCTION("""COMPUTED_VALUE"""),"4014")</f>
        <v>4014</v>
      </c>
      <c r="B1568" s="4" t="str">
        <f>IFERROR(__xludf.DUMMYFUNCTION("""COMPUTED_VALUE"""),"Mts. cuerda CERVINO 14 m/m")</f>
        <v>Mts. cuerda CERVINO 14 m/m</v>
      </c>
      <c r="C1568" s="4">
        <f>IFERROR(__xludf.DUMMYFUNCTION("""COMPUTED_VALUE"""),0.72)</f>
        <v>0.72</v>
      </c>
    </row>
    <row r="1569">
      <c r="A1569" s="4" t="str">
        <f>IFERROR(__xludf.DUMMYFUNCTION("""COMPUTED_VALUE"""),"4016")</f>
        <v>4016</v>
      </c>
      <c r="B1569" s="4" t="str">
        <f>IFERROR(__xludf.DUMMYFUNCTION("""COMPUTED_VALUE"""),"Mts. cuerda CERVINO 16 m/m")</f>
        <v>Mts. cuerda CERVINO 16 m/m</v>
      </c>
      <c r="C1569" s="4">
        <f>IFERROR(__xludf.DUMMYFUNCTION("""COMPUTED_VALUE"""),0.88)</f>
        <v>0.88</v>
      </c>
    </row>
    <row r="1570">
      <c r="A1570" s="4" t="str">
        <f>IFERROR(__xludf.DUMMYFUNCTION("""COMPUTED_VALUE"""),"4018")</f>
        <v>4018</v>
      </c>
      <c r="B1570" s="4" t="str">
        <f>IFERROR(__xludf.DUMMYFUNCTION("""COMPUTED_VALUE"""),"Mts. cuerda CERVINO 18 m/m")</f>
        <v>Mts. cuerda CERVINO 18 m/m</v>
      </c>
      <c r="C1570" s="4">
        <f>IFERROR(__xludf.DUMMYFUNCTION("""COMPUTED_VALUE"""),1.12)</f>
        <v>1.12</v>
      </c>
    </row>
    <row r="1571">
      <c r="A1571" s="4" t="str">
        <f>IFERROR(__xludf.DUMMYFUNCTION("""COMPUTED_VALUE"""),"4020")</f>
        <v>4020</v>
      </c>
      <c r="B1571" s="4" t="str">
        <f>IFERROR(__xludf.DUMMYFUNCTION("""COMPUTED_VALUE"""),"Mts. cuerda CERVINO 20 m/m")</f>
        <v>Mts. cuerda CERVINO 20 m/m</v>
      </c>
      <c r="C1571" s="4">
        <f>IFERROR(__xludf.DUMMYFUNCTION("""COMPUTED_VALUE"""),1.45)</f>
        <v>1.45</v>
      </c>
    </row>
    <row r="1572">
      <c r="A1572" s="4" t="str">
        <f>IFERROR(__xludf.DUMMYFUNCTION("""COMPUTED_VALUE"""),"4050")</f>
        <v>4050</v>
      </c>
      <c r="B1572" s="4" t="str">
        <f>IFERROR(__xludf.DUMMYFUNCTION("""COMPUTED_VALUE"""),"Señal complementaria TPU rectanagular 440x360 mm Reflex")</f>
        <v>Señal complementaria TPU rectanagular 440x360 mm Reflex</v>
      </c>
      <c r="C1572" s="4">
        <f>IFERROR(__xludf.DUMMYFUNCTION("""COMPUTED_VALUE"""),9.0)</f>
        <v>9</v>
      </c>
    </row>
    <row r="1573">
      <c r="A1573" s="4" t="str">
        <f>IFERROR(__xludf.DUMMYFUNCTION("""COMPUTED_VALUE"""),"4080")</f>
        <v>4080</v>
      </c>
      <c r="B1573" s="4" t="str">
        <f>IFERROR(__xludf.DUMMYFUNCTION("""COMPUTED_VALUE"""),"Tope parking 59 L x 12 Anc. x 10 Alt. Mod. B")</f>
        <v>Tope parking 59 L x 12 Anc. x 10 Alt. Mod. B</v>
      </c>
      <c r="C1573" s="4">
        <f>IFERROR(__xludf.DUMMYFUNCTION("""COMPUTED_VALUE"""),9.75)</f>
        <v>9.75</v>
      </c>
    </row>
    <row r="1574">
      <c r="A1574" s="4" t="str">
        <f>IFERROR(__xludf.DUMMYFUNCTION("""COMPUTED_VALUE"""),"4081")</f>
        <v>4081</v>
      </c>
      <c r="B1574" s="4" t="str">
        <f>IFERROR(__xludf.DUMMYFUNCTION("""COMPUTED_VALUE"""),"Tope parking 55 L x 14,5 Anc x 15 Alt. Mod. C")</f>
        <v>Tope parking 55 L x 14,5 Anc x 15 Alt. Mod. C</v>
      </c>
      <c r="C1574" s="4">
        <f>IFERROR(__xludf.DUMMYFUNCTION("""COMPUTED_VALUE"""),14.35)</f>
        <v>14.35</v>
      </c>
    </row>
    <row r="1575">
      <c r="A1575" s="4" t="str">
        <f>IFERROR(__xludf.DUMMYFUNCTION("""COMPUTED_VALUE"""),"4090C")</f>
        <v>4090C</v>
      </c>
      <c r="B1575" s="4" t="str">
        <f>IFERROR(__xludf.DUMMYFUNCTION("""COMPUTED_VALUE"""),"Aparcabicis modulo central 2 bicicletas")</f>
        <v>Aparcabicis modulo central 2 bicicletas</v>
      </c>
      <c r="C1575" s="4">
        <f>IFERROR(__xludf.DUMMYFUNCTION("""COMPUTED_VALUE"""),49.875)</f>
        <v>49.875</v>
      </c>
    </row>
    <row r="1576">
      <c r="A1576" s="4" t="str">
        <f>IFERROR(__xludf.DUMMYFUNCTION("""COMPUTED_VALUE"""),"4090E")</f>
        <v>4090E</v>
      </c>
      <c r="B1576" s="4" t="str">
        <f>IFERROR(__xludf.DUMMYFUNCTION("""COMPUTED_VALUE"""),"Aparcabicis modulo extremo 2 bicicletas")</f>
        <v>Aparcabicis modulo extremo 2 bicicletas</v>
      </c>
      <c r="C1576" s="4">
        <f>IFERROR(__xludf.DUMMYFUNCTION("""COMPUTED_VALUE"""),49.875)</f>
        <v>49.875</v>
      </c>
    </row>
    <row r="1577">
      <c r="A1577" s="4" t="str">
        <f>IFERROR(__xludf.DUMMYFUNCTION("""COMPUTED_VALUE"""),"4090U")</f>
        <v>4090U</v>
      </c>
      <c r="B1577" s="4" t="str">
        <f>IFERROR(__xludf.DUMMYFUNCTION("""COMPUTED_VALUE"""),"Aparcabicis unión modulos")</f>
        <v>Aparcabicis unión modulos</v>
      </c>
      <c r="C1577" s="4">
        <f>IFERROR(__xludf.DUMMYFUNCTION("""COMPUTED_VALUE"""),4.75)</f>
        <v>4.75</v>
      </c>
    </row>
    <row r="1578">
      <c r="A1578" s="4" t="str">
        <f>IFERROR(__xludf.DUMMYFUNCTION("""COMPUTED_VALUE"""),"4098")</f>
        <v>4098</v>
      </c>
      <c r="B1578" s="4" t="str">
        <f>IFERROR(__xludf.DUMMYFUNCTION("""COMPUTED_VALUE"""),"Cepo parking Mod. A 49,5 cm x 49,5 cm x 9 cm con llave")</f>
        <v>Cepo parking Mod. A 49,5 cm x 49,5 cm x 9 cm con llave</v>
      </c>
      <c r="C1578" s="4">
        <f>IFERROR(__xludf.DUMMYFUNCTION("""COMPUTED_VALUE"""),38.63)</f>
        <v>38.63</v>
      </c>
    </row>
    <row r="1579">
      <c r="A1579" s="4" t="str">
        <f>IFERROR(__xludf.DUMMYFUNCTION("""COMPUTED_VALUE"""),"4099")</f>
        <v>4099</v>
      </c>
      <c r="B1579" s="4" t="str">
        <f>IFERROR(__xludf.DUMMYFUNCTION("""COMPUTED_VALUE"""),"Cepo parking Mod. B 76 cm x 47 cm c/candado")</f>
        <v>Cepo parking Mod. B 76 cm x 47 cm c/candado</v>
      </c>
      <c r="C1579" s="4">
        <f>IFERROR(__xludf.DUMMYFUNCTION("""COMPUTED_VALUE"""),22.0)</f>
        <v>22</v>
      </c>
    </row>
    <row r="1580">
      <c r="A1580" s="4" t="str">
        <f>IFERROR(__xludf.DUMMYFUNCTION("""COMPUTED_VALUE"""),"4100")</f>
        <v>4100</v>
      </c>
      <c r="B1580" s="4" t="str">
        <f>IFERROR(__xludf.DUMMYFUNCTION("""COMPUTED_VALUE"""),"Espejo trafico 600 mm Mod. Basic c/ visera")</f>
        <v>Espejo trafico 600 mm Mod. Basic c/ visera</v>
      </c>
      <c r="C1580" s="4">
        <f>IFERROR(__xludf.DUMMYFUNCTION("""COMPUTED_VALUE"""),34.5)</f>
        <v>34.5</v>
      </c>
    </row>
    <row r="1581">
      <c r="A1581" s="4" t="str">
        <f>IFERROR(__xludf.DUMMYFUNCTION("""COMPUTED_VALUE"""),"4101")</f>
        <v>4101</v>
      </c>
      <c r="B1581" s="4" t="str">
        <f>IFERROR(__xludf.DUMMYFUNCTION("""COMPUTED_VALUE"""),"Espejo Trafico 800 mm Mod. Basic c visera")</f>
        <v>Espejo Trafico 800 mm Mod. Basic c visera</v>
      </c>
      <c r="C1581" s="4">
        <f>IFERROR(__xludf.DUMMYFUNCTION("""COMPUTED_VALUE"""),63.0)</f>
        <v>63</v>
      </c>
    </row>
    <row r="1582">
      <c r="A1582" s="4" t="str">
        <f>IFERROR(__xludf.DUMMYFUNCTION("""COMPUTED_VALUE"""),"4103")</f>
        <v>4103</v>
      </c>
      <c r="B1582" s="4" t="str">
        <f>IFERROR(__xludf.DUMMYFUNCTION("""COMPUTED_VALUE"""),"Esquinera proteccion columna 80 cm mod. B")</f>
        <v>Esquinera proteccion columna 80 cm mod. B</v>
      </c>
      <c r="C1582" s="4">
        <f>IFERROR(__xludf.DUMMYFUNCTION("""COMPUTED_VALUE"""),4.4)</f>
        <v>4.4</v>
      </c>
    </row>
    <row r="1583">
      <c r="A1583" s="4" t="str">
        <f>IFERROR(__xludf.DUMMYFUNCTION("""COMPUTED_VALUE"""),"4104")</f>
        <v>4104</v>
      </c>
      <c r="B1583" s="4" t="str">
        <f>IFERROR(__xludf.DUMMYFUNCTION("""COMPUTED_VALUE"""),"Tope parking 55 x 15 Anc. x 10 Alt Mod. A")</f>
        <v>Tope parking 55 x 15 Anc. x 10 Alt Mod. A</v>
      </c>
      <c r="C1583" s="4">
        <f>IFERROR(__xludf.DUMMYFUNCTION("""COMPUTED_VALUE"""),9.6)</f>
        <v>9.6</v>
      </c>
    </row>
    <row r="1584">
      <c r="A1584" s="4" t="str">
        <f>IFERROR(__xludf.DUMMYFUNCTION("""COMPUTED_VALUE"""),"4105")</f>
        <v>4105</v>
      </c>
      <c r="B1584" s="4" t="str">
        <f>IFERROR(__xludf.DUMMYFUNCTION("""COMPUTED_VALUE"""),"Esquinera proteccion columna 80 cm mod. A")</f>
        <v>Esquinera proteccion columna 80 cm mod. A</v>
      </c>
      <c r="C1584" s="4">
        <f>IFERROR(__xludf.DUMMYFUNCTION("""COMPUTED_VALUE"""),7.75)</f>
        <v>7.75</v>
      </c>
    </row>
    <row r="1585">
      <c r="A1585" s="4" t="str">
        <f>IFERROR(__xludf.DUMMYFUNCTION("""COMPUTED_VALUE"""),"4106")</f>
        <v>4106</v>
      </c>
      <c r="B1585" s="4" t="str">
        <f>IFERROR(__xludf.DUMMYFUNCTION("""COMPUTED_VALUE"""),"Mts.cuerda certif.poliest.Alta Tenacidad 6 m/m")</f>
        <v>Mts.cuerda certif.poliest.Alta Tenacidad 6 m/m</v>
      </c>
      <c r="C1585" s="4">
        <f>IFERROR(__xludf.DUMMYFUNCTION("""COMPUTED_VALUE"""),0.24)</f>
        <v>0.24</v>
      </c>
    </row>
    <row r="1586">
      <c r="A1586" s="4" t="str">
        <f>IFERROR(__xludf.DUMMYFUNCTION("""COMPUTED_VALUE"""),"4108")</f>
        <v>4108</v>
      </c>
      <c r="B1586" s="4" t="str">
        <f>IFERROR(__xludf.DUMMYFUNCTION("""COMPUTED_VALUE"""),"Mts.cuerda certif.poliest.Alta Tenacidad 8 m/m")</f>
        <v>Mts.cuerda certif.poliest.Alta Tenacidad 8 m/m</v>
      </c>
      <c r="C1586" s="4">
        <f>IFERROR(__xludf.DUMMYFUNCTION("""COMPUTED_VALUE"""),0.43)</f>
        <v>0.43</v>
      </c>
    </row>
    <row r="1587">
      <c r="A1587" s="4" t="str">
        <f>IFERROR(__xludf.DUMMYFUNCTION("""COMPUTED_VALUE"""),"4110")</f>
        <v>4110</v>
      </c>
      <c r="B1587" s="4" t="str">
        <f>IFERROR(__xludf.DUMMYFUNCTION("""COMPUTED_VALUE"""),"Mts.cuerda certif.poliest.Alta Tenacidad 10 m/m")</f>
        <v>Mts.cuerda certif.poliest.Alta Tenacidad 10 m/m</v>
      </c>
      <c r="C1587" s="4">
        <f>IFERROR(__xludf.DUMMYFUNCTION("""COMPUTED_VALUE"""),0.56)</f>
        <v>0.56</v>
      </c>
    </row>
    <row r="1588">
      <c r="A1588" s="4" t="str">
        <f>IFERROR(__xludf.DUMMYFUNCTION("""COMPUTED_VALUE"""),"4112")</f>
        <v>4112</v>
      </c>
      <c r="B1588" s="4" t="str">
        <f>IFERROR(__xludf.DUMMYFUNCTION("""COMPUTED_VALUE"""),"Mts.cuerda Certif.poliest.Alta Tenacidad 12 m/m")</f>
        <v>Mts.cuerda Certif.poliest.Alta Tenacidad 12 m/m</v>
      </c>
      <c r="C1588" s="4">
        <f>IFERROR(__xludf.DUMMYFUNCTION("""COMPUTED_VALUE"""),0.88)</f>
        <v>0.88</v>
      </c>
    </row>
    <row r="1589">
      <c r="A1589" s="4" t="str">
        <f>IFERROR(__xludf.DUMMYFUNCTION("""COMPUTED_VALUE"""),"4114")</f>
        <v>4114</v>
      </c>
      <c r="B1589" s="4" t="str">
        <f>IFERROR(__xludf.DUMMYFUNCTION("""COMPUTED_VALUE"""),"Mts.cuerda Certif.poliest.Alta Tenacidad 14 m/m")</f>
        <v>Mts.cuerda Certif.poliest.Alta Tenacidad 14 m/m</v>
      </c>
      <c r="C1589" s="4">
        <f>IFERROR(__xludf.DUMMYFUNCTION("""COMPUTED_VALUE"""),1.16)</f>
        <v>1.16</v>
      </c>
    </row>
    <row r="1590">
      <c r="A1590" s="4" t="str">
        <f>IFERROR(__xludf.DUMMYFUNCTION("""COMPUTED_VALUE"""),"4116")</f>
        <v>4116</v>
      </c>
      <c r="B1590" s="4" t="str">
        <f>IFERROR(__xludf.DUMMYFUNCTION("""COMPUTED_VALUE"""),"Mts.cuerda Certif.poliest.Alta Tenacidad 16 m/m")</f>
        <v>Mts.cuerda Certif.poliest.Alta Tenacidad 16 m/m</v>
      </c>
      <c r="C1590" s="4">
        <f>IFERROR(__xludf.DUMMYFUNCTION("""COMPUTED_VALUE"""),1.36)</f>
        <v>1.36</v>
      </c>
    </row>
    <row r="1591">
      <c r="A1591" s="4" t="str">
        <f>IFERROR(__xludf.DUMMYFUNCTION("""COMPUTED_VALUE"""),"4118")</f>
        <v>4118</v>
      </c>
      <c r="B1591" s="4" t="str">
        <f>IFERROR(__xludf.DUMMYFUNCTION("""COMPUTED_VALUE"""),"Mts.cuerda Certif.poliest.Alta Tenacidad 18 m/m")</f>
        <v>Mts.cuerda Certif.poliest.Alta Tenacidad 18 m/m</v>
      </c>
      <c r="C1591" s="4">
        <f>IFERROR(__xludf.DUMMYFUNCTION("""COMPUTED_VALUE"""),1.78)</f>
        <v>1.78</v>
      </c>
    </row>
    <row r="1592">
      <c r="A1592" s="4" t="str">
        <f>IFERROR(__xludf.DUMMYFUNCTION("""COMPUTED_VALUE"""),"4125")</f>
        <v>4125</v>
      </c>
      <c r="B1592" s="4" t="str">
        <f>IFERROR(__xludf.DUMMYFUNCTION("""COMPUTED_VALUE"""),"Bolsa tapa señales 95x110 agujereada")</f>
        <v>Bolsa tapa señales 95x110 agujereada</v>
      </c>
      <c r="C1592" s="4">
        <f>IFERROR(__xludf.DUMMYFUNCTION("""COMPUTED_VALUE"""),3.0)</f>
        <v>3</v>
      </c>
    </row>
    <row r="1593">
      <c r="A1593" s="4" t="str">
        <f>IFERROR(__xludf.DUMMYFUNCTION("""COMPUTED_VALUE"""),"4150")</f>
        <v>4150</v>
      </c>
      <c r="B1593" s="4" t="str">
        <f>IFERROR(__xludf.DUMMYFUNCTION("""COMPUTED_VALUE"""),"Espejo 60 cm Mod. Icaro")</f>
        <v>Espejo 60 cm Mod. Icaro</v>
      </c>
      <c r="C1593" s="4">
        <f>IFERROR(__xludf.DUMMYFUNCTION("""COMPUTED_VALUE"""),54.5)</f>
        <v>54.5</v>
      </c>
    </row>
    <row r="1594">
      <c r="A1594" s="4" t="str">
        <f>IFERROR(__xludf.DUMMYFUNCTION("""COMPUTED_VALUE"""),"4151")</f>
        <v>4151</v>
      </c>
      <c r="B1594" s="4" t="str">
        <f>IFERROR(__xludf.DUMMYFUNCTION("""COMPUTED_VALUE"""),"Espejo 80 cm Mod. Icaro")</f>
        <v>Espejo 80 cm Mod. Icaro</v>
      </c>
      <c r="C1594" s="4">
        <f>IFERROR(__xludf.DUMMYFUNCTION("""COMPUTED_VALUE"""),87.0)</f>
        <v>87</v>
      </c>
    </row>
    <row r="1595">
      <c r="A1595" s="4" t="str">
        <f>IFERROR(__xludf.DUMMYFUNCTION("""COMPUTED_VALUE"""),"4180")</f>
        <v>4180</v>
      </c>
      <c r="B1595" s="4" t="str">
        <f>IFERROR(__xludf.DUMMYFUNCTION("""COMPUTED_VALUE"""),"Protector parking FOAM R/B columna 30x25x1,5 cm")</f>
        <v>Protector parking FOAM R/B columna 30x25x1,5 cm</v>
      </c>
      <c r="C1595" s="4">
        <f>IFERROR(__xludf.DUMMYFUNCTION("""COMPUTED_VALUE"""),3.4)</f>
        <v>3.4</v>
      </c>
    </row>
    <row r="1596">
      <c r="A1596" s="4" t="str">
        <f>IFERROR(__xludf.DUMMYFUNCTION("""COMPUTED_VALUE"""),"4181")</f>
        <v>4181</v>
      </c>
      <c r="B1596" s="4" t="str">
        <f>IFERROR(__xludf.DUMMYFUNCTION("""COMPUTED_VALUE"""),"Protector parking FOAM N/A columna 30X25X1,5 cm")</f>
        <v>Protector parking FOAM N/A columna 30X25X1,5 cm</v>
      </c>
      <c r="C1596" s="4">
        <f>IFERROR(__xludf.DUMMYFUNCTION("""COMPUTED_VALUE"""),3.4)</f>
        <v>3.4</v>
      </c>
    </row>
    <row r="1597">
      <c r="A1597" s="4" t="str">
        <f>IFERROR(__xludf.DUMMYFUNCTION("""COMPUTED_VALUE"""),"4182")</f>
        <v>4182</v>
      </c>
      <c r="B1597" s="4" t="str">
        <f>IFERROR(__xludf.DUMMYFUNCTION("""COMPUTED_VALUE"""),"Protector parking FOAM R/B columna 100x200x1,5 cm")</f>
        <v>Protector parking FOAM R/B columna 100x200x1,5 cm</v>
      </c>
      <c r="C1597" s="4">
        <f>IFERROR(__xludf.DUMMYFUNCTION("""COMPUTED_VALUE"""),39.0)</f>
        <v>39</v>
      </c>
    </row>
    <row r="1598">
      <c r="A1598" s="4" t="str">
        <f>IFERROR(__xludf.DUMMYFUNCTION("""COMPUTED_VALUE"""),"4183")</f>
        <v>4183</v>
      </c>
      <c r="B1598" s="4" t="str">
        <f>IFERROR(__xludf.DUMMYFUNCTION("""COMPUTED_VALUE"""),"Protector parking FOAM N/A columna 100x200x1,5 cm")</f>
        <v>Protector parking FOAM N/A columna 100x200x1,5 cm</v>
      </c>
      <c r="C1598" s="4">
        <f>IFERROR(__xludf.DUMMYFUNCTION("""COMPUTED_VALUE"""),39.0)</f>
        <v>39</v>
      </c>
    </row>
    <row r="1599">
      <c r="A1599" s="4" t="str">
        <f>IFERROR(__xludf.DUMMYFUNCTION("""COMPUTED_VALUE"""),"4184")</f>
        <v>4184</v>
      </c>
      <c r="B1599" s="4" t="str">
        <f>IFERROR(__xludf.DUMMYFUNCTION("""COMPUTED_VALUE"""),"Protector parking FOAM R/B plano 24x18x4cm")</f>
        <v>Protector parking FOAM R/B plano 24x18x4cm</v>
      </c>
      <c r="C1599" s="4">
        <f>IFERROR(__xludf.DUMMYFUNCTION("""COMPUTED_VALUE"""),3.45)</f>
        <v>3.45</v>
      </c>
    </row>
    <row r="1600">
      <c r="A1600" s="4" t="str">
        <f>IFERROR(__xludf.DUMMYFUNCTION("""COMPUTED_VALUE"""),"4185")</f>
        <v>4185</v>
      </c>
      <c r="B1600" s="4" t="str">
        <f>IFERROR(__xludf.DUMMYFUNCTION("""COMPUTED_VALUE"""),"Protector parking FOAM N/A plano 24x18x4cm")</f>
        <v>Protector parking FOAM N/A plano 24x18x4cm</v>
      </c>
      <c r="C1600" s="4">
        <f>IFERROR(__xludf.DUMMYFUNCTION("""COMPUTED_VALUE"""),3.45)</f>
        <v>3.45</v>
      </c>
    </row>
    <row r="1601">
      <c r="A1601" s="4" t="str">
        <f>IFERROR(__xludf.DUMMYFUNCTION("""COMPUTED_VALUE"""),"4186")</f>
        <v>4186</v>
      </c>
      <c r="B1601" s="4" t="str">
        <f>IFERROR(__xludf.DUMMYFUNCTION("""COMPUTED_VALUE"""),"Protector parking FOAM R/B esquina 50x(15+15)x1,5 cm")</f>
        <v>Protector parking FOAM R/B esquina 50x(15+15)x1,5 cm</v>
      </c>
      <c r="C1601" s="4">
        <f>IFERROR(__xludf.DUMMYFUNCTION("""COMPUTED_VALUE"""),5.75)</f>
        <v>5.75</v>
      </c>
    </row>
    <row r="1602">
      <c r="A1602" s="4" t="str">
        <f>IFERROR(__xludf.DUMMYFUNCTION("""COMPUTED_VALUE"""),"4187")</f>
        <v>4187</v>
      </c>
      <c r="B1602" s="4" t="str">
        <f>IFERROR(__xludf.DUMMYFUNCTION("""COMPUTED_VALUE"""),"Protector parking FOAM N/A esquina 50x(15+15)x1,5 cm")</f>
        <v>Protector parking FOAM N/A esquina 50x(15+15)x1,5 cm</v>
      </c>
      <c r="C1602" s="4">
        <f>IFERROR(__xludf.DUMMYFUNCTION("""COMPUTED_VALUE"""),5.75)</f>
        <v>5.75</v>
      </c>
    </row>
    <row r="1603">
      <c r="A1603" s="4" t="str">
        <f>IFERROR(__xludf.DUMMYFUNCTION("""COMPUTED_VALUE"""),"4188")</f>
        <v>4188</v>
      </c>
      <c r="B1603" s="4" t="str">
        <f>IFERROR(__xludf.DUMMYFUNCTION("""COMPUTED_VALUE"""),"Protector parking FOAM R/B plano 50X10X1,5cm")</f>
        <v>Protector parking FOAM R/B plano 50X10X1,5cm</v>
      </c>
      <c r="C1603" s="4">
        <f>IFERROR(__xludf.DUMMYFUNCTION("""COMPUTED_VALUE"""),2.2)</f>
        <v>2.2</v>
      </c>
    </row>
    <row r="1604">
      <c r="A1604" s="4" t="str">
        <f>IFERROR(__xludf.DUMMYFUNCTION("""COMPUTED_VALUE"""),"4189")</f>
        <v>4189</v>
      </c>
      <c r="B1604" s="4" t="str">
        <f>IFERROR(__xludf.DUMMYFUNCTION("""COMPUTED_VALUE"""),"Protector parking FOAM N/A plano 50x10x1,5cm")</f>
        <v>Protector parking FOAM N/A plano 50x10x1,5cm</v>
      </c>
      <c r="C1604" s="4">
        <f>IFERROR(__xludf.DUMMYFUNCTION("""COMPUTED_VALUE"""),2.2)</f>
        <v>2.2</v>
      </c>
    </row>
    <row r="1605">
      <c r="A1605" s="4" t="str">
        <f>IFERROR(__xludf.DUMMYFUNCTION("""COMPUTED_VALUE"""),"4190")</f>
        <v>4190</v>
      </c>
      <c r="B1605" s="4" t="str">
        <f>IFERROR(__xludf.DUMMYFUNCTION("""COMPUTED_VALUE"""),"Protector parking FOAM R/B plano 50x25x2,5cm")</f>
        <v>Protector parking FOAM R/B plano 50x25x2,5cm</v>
      </c>
      <c r="C1605" s="4">
        <f>IFERROR(__xludf.DUMMYFUNCTION("""COMPUTED_VALUE"""),4.9)</f>
        <v>4.9</v>
      </c>
    </row>
    <row r="1606">
      <c r="A1606" s="4" t="str">
        <f>IFERROR(__xludf.DUMMYFUNCTION("""COMPUTED_VALUE"""),"4191")</f>
        <v>4191</v>
      </c>
      <c r="B1606" s="4" t="str">
        <f>IFERROR(__xludf.DUMMYFUNCTION("""COMPUTED_VALUE"""),"Protector parking FOAM N/A plano 50x25x2,5cm")</f>
        <v>Protector parking FOAM N/A plano 50x25x2,5cm</v>
      </c>
      <c r="C1606" s="4">
        <f>IFERROR(__xludf.DUMMYFUNCTION("""COMPUTED_VALUE"""),4.9)</f>
        <v>4.9</v>
      </c>
    </row>
    <row r="1607">
      <c r="A1607" s="4" t="str">
        <f>IFERROR(__xludf.DUMMYFUNCTION("""COMPUTED_VALUE"""),"4192")</f>
        <v>4192</v>
      </c>
      <c r="B1607" s="4" t="str">
        <f>IFERROR(__xludf.DUMMYFUNCTION("""COMPUTED_VALUE"""),"Protector parking FOAM R/B plano 30x20x1,5 cm")</f>
        <v>Protector parking FOAM R/B plano 30x20x1,5 cm</v>
      </c>
      <c r="C1607" s="4">
        <f>IFERROR(__xludf.DUMMYFUNCTION("""COMPUTED_VALUE"""),3.75)</f>
        <v>3.75</v>
      </c>
    </row>
    <row r="1608">
      <c r="A1608" s="4" t="str">
        <f>IFERROR(__xludf.DUMMYFUNCTION("""COMPUTED_VALUE"""),"4193")</f>
        <v>4193</v>
      </c>
      <c r="B1608" s="4" t="str">
        <f>IFERROR(__xludf.DUMMYFUNCTION("""COMPUTED_VALUE"""),"Protector parking FOAM N/A plano 30x20x1,5 cm")</f>
        <v>Protector parking FOAM N/A plano 30x20x1,5 cm</v>
      </c>
      <c r="C1608" s="4">
        <f>IFERROR(__xludf.DUMMYFUNCTION("""COMPUTED_VALUE"""),3.75)</f>
        <v>3.75</v>
      </c>
    </row>
    <row r="1609">
      <c r="A1609" s="4" t="str">
        <f>IFERROR(__xludf.DUMMYFUNCTION("""COMPUTED_VALUE"""),"4194")</f>
        <v>4194</v>
      </c>
      <c r="B1609" s="4" t="str">
        <f>IFERROR(__xludf.DUMMYFUNCTION("""COMPUTED_VALUE"""),"Protector Antigolpes PVC 15x3 cm (5 metros )")</f>
        <v>Protector Antigolpes PVC 15x3 cm (5 metros )</v>
      </c>
      <c r="C1609" s="4">
        <f>IFERROR(__xludf.DUMMYFUNCTION("""COMPUTED_VALUE"""),37.0)</f>
        <v>37</v>
      </c>
    </row>
    <row r="1610">
      <c r="A1610" s="4" t="str">
        <f>IFERROR(__xludf.DUMMYFUNCTION("""COMPUTED_VALUE"""),"4200")</f>
        <v>4200</v>
      </c>
      <c r="B1610" s="4" t="str">
        <f>IFERROR(__xludf.DUMMYFUNCTION("""COMPUTED_VALUE"""),"Esq. protec.N/A 100 cm anti-golpe Foam Mod A")</f>
        <v>Esq. protec.N/A 100 cm anti-golpe Foam Mod A</v>
      </c>
      <c r="C1610" s="4">
        <f>IFERROR(__xludf.DUMMYFUNCTION("""COMPUTED_VALUE"""),14.9)</f>
        <v>14.9</v>
      </c>
    </row>
    <row r="1611">
      <c r="A1611" s="4" t="str">
        <f>IFERROR(__xludf.DUMMYFUNCTION("""COMPUTED_VALUE"""),"4200B")</f>
        <v>4200B</v>
      </c>
      <c r="B1611" s="4" t="str">
        <f>IFERROR(__xludf.DUMMYFUNCTION("""COMPUTED_VALUE"""),"Esq. protec.N/A 100 cm anti-golpe Foam Mod B")</f>
        <v>Esq. protec.N/A 100 cm anti-golpe Foam Mod B</v>
      </c>
      <c r="C1611" s="4">
        <f>IFERROR(__xludf.DUMMYFUNCTION("""COMPUTED_VALUE"""),14.9)</f>
        <v>14.9</v>
      </c>
    </row>
    <row r="1612">
      <c r="A1612" s="4" t="str">
        <f>IFERROR(__xludf.DUMMYFUNCTION("""COMPUTED_VALUE"""),"4200C")</f>
        <v>4200C</v>
      </c>
      <c r="B1612" s="4" t="str">
        <f>IFERROR(__xludf.DUMMYFUNCTION("""COMPUTED_VALUE"""),"Esq. protec.N/A 100 cm anti-golpe Foam Mod C")</f>
        <v>Esq. protec.N/A 100 cm anti-golpe Foam Mod C</v>
      </c>
      <c r="C1612" s="4">
        <f>IFERROR(__xludf.DUMMYFUNCTION("""COMPUTED_VALUE"""),14.9)</f>
        <v>14.9</v>
      </c>
    </row>
    <row r="1613">
      <c r="A1613" s="4" t="str">
        <f>IFERROR(__xludf.DUMMYFUNCTION("""COMPUTED_VALUE"""),"4200D")</f>
        <v>4200D</v>
      </c>
      <c r="B1613" s="4" t="str">
        <f>IFERROR(__xludf.DUMMYFUNCTION("""COMPUTED_VALUE"""),"Esq. protec.N/A 100 cm anti-golpe Foam Mod D")</f>
        <v>Esq. protec.N/A 100 cm anti-golpe Foam Mod D</v>
      </c>
      <c r="C1613" s="4">
        <f>IFERROR(__xludf.DUMMYFUNCTION("""COMPUTED_VALUE"""),14.9)</f>
        <v>14.9</v>
      </c>
    </row>
    <row r="1614">
      <c r="A1614" s="4" t="str">
        <f>IFERROR(__xludf.DUMMYFUNCTION("""COMPUTED_VALUE"""),"4200E")</f>
        <v>4200E</v>
      </c>
      <c r="B1614" s="4" t="str">
        <f>IFERROR(__xludf.DUMMYFUNCTION("""COMPUTED_VALUE"""),"Esq. protec.N/A 100 cm anti-golpe Foam Mod E")</f>
        <v>Esq. protec.N/A 100 cm anti-golpe Foam Mod E</v>
      </c>
      <c r="C1614" s="4">
        <f>IFERROR(__xludf.DUMMYFUNCTION("""COMPUTED_VALUE"""),14.9)</f>
        <v>14.9</v>
      </c>
    </row>
    <row r="1615">
      <c r="A1615" s="4" t="str">
        <f>IFERROR(__xludf.DUMMYFUNCTION("""COMPUTED_VALUE"""),"4200F")</f>
        <v>4200F</v>
      </c>
      <c r="B1615" s="4" t="str">
        <f>IFERROR(__xludf.DUMMYFUNCTION("""COMPUTED_VALUE"""),"Esq. protec.N/A 100 cm anti-golpe Foam Mod. F")</f>
        <v>Esq. protec.N/A 100 cm anti-golpe Foam Mod. F</v>
      </c>
      <c r="C1615" s="4">
        <f>IFERROR(__xludf.DUMMYFUNCTION("""COMPUTED_VALUE"""),14.9)</f>
        <v>14.9</v>
      </c>
    </row>
    <row r="1616">
      <c r="A1616" s="4" t="str">
        <f>IFERROR(__xludf.DUMMYFUNCTION("""COMPUTED_VALUE"""),"4200G")</f>
        <v>4200G</v>
      </c>
      <c r="B1616" s="4" t="str">
        <f>IFERROR(__xludf.DUMMYFUNCTION("""COMPUTED_VALUE"""),"Esq. protec.N/A 100 cm anti-golpe Foam Mod. G")</f>
        <v>Esq. protec.N/A 100 cm anti-golpe Foam Mod. G</v>
      </c>
      <c r="C1616" s="4">
        <f>IFERROR(__xludf.DUMMYFUNCTION("""COMPUTED_VALUE"""),14.9)</f>
        <v>14.9</v>
      </c>
    </row>
    <row r="1617">
      <c r="A1617" s="4" t="str">
        <f>IFERROR(__xludf.DUMMYFUNCTION("""COMPUTED_VALUE"""),"4201")</f>
        <v>4201</v>
      </c>
      <c r="B1617" s="4" t="str">
        <f>IFERROR(__xludf.DUMMYFUNCTION("""COMPUTED_VALUE"""),"Esq. protec.B/R 100 cm anti-golpe Foam Mod. A")</f>
        <v>Esq. protec.B/R 100 cm anti-golpe Foam Mod. A</v>
      </c>
      <c r="C1617" s="4">
        <f>IFERROR(__xludf.DUMMYFUNCTION("""COMPUTED_VALUE"""),14.9)</f>
        <v>14.9</v>
      </c>
    </row>
    <row r="1618">
      <c r="A1618" s="4" t="str">
        <f>IFERROR(__xludf.DUMMYFUNCTION("""COMPUTED_VALUE"""),"4204")</f>
        <v>4204</v>
      </c>
      <c r="B1618" s="4" t="str">
        <f>IFERROR(__xludf.DUMMYFUNCTION("""COMPUTED_VALUE"""),"Espejo Convexo 40 cm Interior Tolomeo")</f>
        <v>Espejo Convexo 40 cm Interior Tolomeo</v>
      </c>
      <c r="C1618" s="4">
        <f>IFERROR(__xludf.DUMMYFUNCTION("""COMPUTED_VALUE"""),41.0)</f>
        <v>41</v>
      </c>
    </row>
    <row r="1619">
      <c r="A1619" s="4" t="str">
        <f>IFERROR(__xludf.DUMMYFUNCTION("""COMPUTED_VALUE"""),"4206")</f>
        <v>4206</v>
      </c>
      <c r="B1619" s="4" t="str">
        <f>IFERROR(__xludf.DUMMYFUNCTION("""COMPUTED_VALUE"""),"Espejo Convexo 60 cm Interior Tolomeo")</f>
        <v>Espejo Convexo 60 cm Interior Tolomeo</v>
      </c>
      <c r="C1619" s="4">
        <f>IFERROR(__xludf.DUMMYFUNCTION("""COMPUTED_VALUE"""),54.0)</f>
        <v>54</v>
      </c>
    </row>
    <row r="1620">
      <c r="A1620" s="4" t="str">
        <f>IFERROR(__xludf.DUMMYFUNCTION("""COMPUTED_VALUE"""),"4208")</f>
        <v>4208</v>
      </c>
      <c r="B1620" s="4" t="str">
        <f>IFERROR(__xludf.DUMMYFUNCTION("""COMPUTED_VALUE"""),"Espejo Convexo 80 cm Interior Tolomeo")</f>
        <v>Espejo Convexo 80 cm Interior Tolomeo</v>
      </c>
      <c r="C1620" s="4">
        <f>IFERROR(__xludf.DUMMYFUNCTION("""COMPUTED_VALUE"""),97.0)</f>
        <v>97</v>
      </c>
    </row>
    <row r="1621">
      <c r="A1621" s="4" t="str">
        <f>IFERROR(__xludf.DUMMYFUNCTION("""COMPUTED_VALUE"""),"4209")</f>
        <v>4209</v>
      </c>
      <c r="B1621" s="4" t="str">
        <f>IFERROR(__xludf.DUMMYFUNCTION("""COMPUTED_VALUE"""),"Espejo Convexo 90 cm Interior Tolomeo")</f>
        <v>Espejo Convexo 90 cm Interior Tolomeo</v>
      </c>
      <c r="C1621" s="4">
        <f>IFERROR(__xludf.DUMMYFUNCTION("""COMPUTED_VALUE"""),102.5)</f>
        <v>102.5</v>
      </c>
    </row>
    <row r="1622">
      <c r="A1622" s="4" t="str">
        <f>IFERROR(__xludf.DUMMYFUNCTION("""COMPUTED_VALUE"""),"4210")</f>
        <v>4210</v>
      </c>
      <c r="B1622" s="4" t="str">
        <f>IFERROR(__xludf.DUMMYFUNCTION("""COMPUTED_VALUE"""),"Espejo Convexo 40x60 Interior Leonardo")</f>
        <v>Espejo Convexo 40x60 Interior Leonardo</v>
      </c>
      <c r="C1622" s="4">
        <f>IFERROR(__xludf.DUMMYFUNCTION("""COMPUTED_VALUE"""),59.0)</f>
        <v>59</v>
      </c>
    </row>
    <row r="1623">
      <c r="A1623" s="4" t="str">
        <f>IFERROR(__xludf.DUMMYFUNCTION("""COMPUTED_VALUE"""),"4211")</f>
        <v>4211</v>
      </c>
      <c r="B1623" s="4" t="str">
        <f>IFERROR(__xludf.DUMMYFUNCTION("""COMPUTED_VALUE"""),"Espejo convexo 60x80 Interior Leonardo")</f>
        <v>Espejo convexo 60x80 Interior Leonardo</v>
      </c>
      <c r="C1623" s="4">
        <f>IFERROR(__xludf.DUMMYFUNCTION("""COMPUTED_VALUE"""),100.5)</f>
        <v>100.5</v>
      </c>
    </row>
    <row r="1624">
      <c r="A1624" s="4" t="str">
        <f>IFERROR(__xludf.DUMMYFUNCTION("""COMPUTED_VALUE"""),"4213")</f>
        <v>4213</v>
      </c>
      <c r="B1624" s="4" t="str">
        <f>IFERROR(__xludf.DUMMYFUNCTION("""COMPUTED_VALUE"""),"Espejo Hemisférico 360º 60 cm Michelangello")</f>
        <v>Espejo Hemisférico 360º 60 cm Michelangello</v>
      </c>
      <c r="C1624" s="4">
        <f>IFERROR(__xludf.DUMMYFUNCTION("""COMPUTED_VALUE"""),42.0)</f>
        <v>42</v>
      </c>
    </row>
    <row r="1625">
      <c r="A1625" s="4" t="str">
        <f>IFERROR(__xludf.DUMMYFUNCTION("""COMPUTED_VALUE"""),"4215")</f>
        <v>4215</v>
      </c>
      <c r="B1625" s="4" t="str">
        <f>IFERROR(__xludf.DUMMYFUNCTION("""COMPUTED_VALUE"""),"Espejo Hemisférico 360º 90 cm Michelangello")</f>
        <v>Espejo Hemisférico 360º 90 cm Michelangello</v>
      </c>
      <c r="C1625" s="4">
        <f>IFERROR(__xludf.DUMMYFUNCTION("""COMPUTED_VALUE"""),82.0)</f>
        <v>82</v>
      </c>
    </row>
    <row r="1626">
      <c r="A1626" s="4" t="str">
        <f>IFERROR(__xludf.DUMMYFUNCTION("""COMPUTED_VALUE"""),"4221")</f>
        <v>4221</v>
      </c>
      <c r="B1626" s="4" t="str">
        <f>IFERROR(__xludf.DUMMYFUNCTION("""COMPUTED_VALUE"""),"Espejo Convexo 60 cm Exterior Giotto")</f>
        <v>Espejo Convexo 60 cm Exterior Giotto</v>
      </c>
      <c r="C1626" s="4">
        <f>IFERROR(__xludf.DUMMYFUNCTION("""COMPUTED_VALUE"""),96.0)</f>
        <v>96</v>
      </c>
    </row>
    <row r="1627">
      <c r="A1627" s="4" t="str">
        <f>IFERROR(__xludf.DUMMYFUNCTION("""COMPUTED_VALUE"""),"4223")</f>
        <v>4223</v>
      </c>
      <c r="B1627" s="4" t="str">
        <f>IFERROR(__xludf.DUMMYFUNCTION("""COMPUTED_VALUE"""),"Espejo Convexo 80 cm Exterior Giotto")</f>
        <v>Espejo Convexo 80 cm Exterior Giotto</v>
      </c>
      <c r="C1627" s="4">
        <f>IFERROR(__xludf.DUMMYFUNCTION("""COMPUTED_VALUE"""),152.0)</f>
        <v>152</v>
      </c>
    </row>
    <row r="1628">
      <c r="A1628" s="4" t="str">
        <f>IFERROR(__xludf.DUMMYFUNCTION("""COMPUTED_VALUE"""),"4227")</f>
        <v>4227</v>
      </c>
      <c r="B1628" s="4" t="str">
        <f>IFERROR(__xludf.DUMMYFUNCTION("""COMPUTED_VALUE"""),"Espejo Convexo 40x60 cm Exterior Rafaello")</f>
        <v>Espejo Convexo 40x60 cm Exterior Rafaello</v>
      </c>
      <c r="C1628" s="4">
        <f>IFERROR(__xludf.DUMMYFUNCTION("""COMPUTED_VALUE"""),124.0)</f>
        <v>124</v>
      </c>
    </row>
    <row r="1629">
      <c r="A1629" s="4" t="str">
        <f>IFERROR(__xludf.DUMMYFUNCTION("""COMPUTED_VALUE"""),"4228")</f>
        <v>4228</v>
      </c>
      <c r="B1629" s="4" t="str">
        <f>IFERROR(__xludf.DUMMYFUNCTION("""COMPUTED_VALUE"""),"Espejo Convexo 60x80 cm Exterior Rafaello")</f>
        <v>Espejo Convexo 60x80 cm Exterior Rafaello</v>
      </c>
      <c r="C1629" s="4">
        <f>IFERROR(__xludf.DUMMYFUNCTION("""COMPUTED_VALUE"""),160.0)</f>
        <v>160</v>
      </c>
    </row>
    <row r="1630">
      <c r="A1630" s="4" t="str">
        <f>IFERROR(__xludf.DUMMYFUNCTION("""COMPUTED_VALUE"""),"4230")</f>
        <v>4230</v>
      </c>
      <c r="B1630" s="4" t="str">
        <f>IFERROR(__xludf.DUMMYFUNCTION("""COMPUTED_VALUE"""),"Espejo Convexo acero exterior 320 MM")</f>
        <v>Espejo Convexo acero exterior 320 MM</v>
      </c>
      <c r="C1630" s="4">
        <f>IFERROR(__xludf.DUMMYFUNCTION("""COMPUTED_VALUE"""),95.0)</f>
        <v>95</v>
      </c>
    </row>
    <row r="1631">
      <c r="A1631" s="4" t="str">
        <f>IFERROR(__xludf.DUMMYFUNCTION("""COMPUTED_VALUE"""),"4231")</f>
        <v>4231</v>
      </c>
      <c r="B1631" s="4" t="str">
        <f>IFERROR(__xludf.DUMMYFUNCTION("""COMPUTED_VALUE"""),"Espejo Convexo Acero Exterior 490 mm")</f>
        <v>Espejo Convexo Acero Exterior 490 mm</v>
      </c>
      <c r="C1631" s="4">
        <f>IFERROR(__xludf.DUMMYFUNCTION("""COMPUTED_VALUE"""),125.0)</f>
        <v>125</v>
      </c>
    </row>
    <row r="1632">
      <c r="A1632" s="4" t="str">
        <f>IFERROR(__xludf.DUMMYFUNCTION("""COMPUTED_VALUE"""),"4232")</f>
        <v>4232</v>
      </c>
      <c r="B1632" s="4" t="str">
        <f>IFERROR(__xludf.DUMMYFUNCTION("""COMPUTED_VALUE"""),"Espejo Convexo Acero Exterior 600 mm")</f>
        <v>Espejo Convexo Acero Exterior 600 mm</v>
      </c>
      <c r="C1632" s="4">
        <f>IFERROR(__xludf.DUMMYFUNCTION("""COMPUTED_VALUE"""),179.0)</f>
        <v>179</v>
      </c>
    </row>
    <row r="1633">
      <c r="A1633" s="4" t="str">
        <f>IFERROR(__xludf.DUMMYFUNCTION("""COMPUTED_VALUE"""),"4233")</f>
        <v>4233</v>
      </c>
      <c r="B1633" s="4" t="str">
        <f>IFERROR(__xludf.DUMMYFUNCTION("""COMPUTED_VALUE"""),"Espejo Convexo Acero Exterior 800 mm")</f>
        <v>Espejo Convexo Acero Exterior 800 mm</v>
      </c>
      <c r="C1633" s="4">
        <f>IFERROR(__xludf.DUMMYFUNCTION("""COMPUTED_VALUE"""),230.0)</f>
        <v>230</v>
      </c>
    </row>
    <row r="1634">
      <c r="A1634" s="4" t="str">
        <f>IFERROR(__xludf.DUMMYFUNCTION("""COMPUTED_VALUE"""),"4234")</f>
        <v>4234</v>
      </c>
      <c r="B1634" s="4" t="str">
        <f>IFERROR(__xludf.DUMMYFUNCTION("""COMPUTED_VALUE"""),"Espejo Convexo Acero Exterior 450x600 mm")</f>
        <v>Espejo Convexo Acero Exterior 450x600 mm</v>
      </c>
      <c r="C1634" s="4">
        <f>IFERROR(__xludf.DUMMYFUNCTION("""COMPUTED_VALUE"""),157.5)</f>
        <v>157.5</v>
      </c>
    </row>
    <row r="1635">
      <c r="A1635" s="4" t="str">
        <f>IFERROR(__xludf.DUMMYFUNCTION("""COMPUTED_VALUE"""),"4235")</f>
        <v>4235</v>
      </c>
      <c r="B1635" s="4" t="str">
        <f>IFERROR(__xludf.DUMMYFUNCTION("""COMPUTED_VALUE"""),"Espejo Convexo Acero Interior 490 mm")</f>
        <v>Espejo Convexo Acero Interior 490 mm</v>
      </c>
      <c r="C1635" s="4">
        <f>IFERROR(__xludf.DUMMYFUNCTION("""COMPUTED_VALUE"""),120.0)</f>
        <v>120</v>
      </c>
    </row>
    <row r="1636">
      <c r="A1636" s="4" t="str">
        <f>IFERROR(__xludf.DUMMYFUNCTION("""COMPUTED_VALUE"""),"4250")</f>
        <v>4250</v>
      </c>
      <c r="B1636" s="4" t="str">
        <f>IFERROR(__xludf.DUMMYFUNCTION("""COMPUTED_VALUE"""),"Tope muelle carga - parking 90x10x10 cm")</f>
        <v>Tope muelle carga - parking 90x10x10 cm</v>
      </c>
      <c r="C1636" s="4">
        <f>IFERROR(__xludf.DUMMYFUNCTION("""COMPUTED_VALUE"""),22.0)</f>
        <v>22</v>
      </c>
    </row>
    <row r="1637">
      <c r="A1637" s="4" t="str">
        <f>IFERROR(__xludf.DUMMYFUNCTION("""COMPUTED_VALUE"""),"4300")</f>
        <v>4300</v>
      </c>
      <c r="B1637" s="4" t="str">
        <f>IFERROR(__xludf.DUMMYFUNCTION("""COMPUTED_VALUE"""),"Big Bag 850x850x900 1000kg. 5:1")</f>
        <v>Big Bag 850x850x900 1000kg. 5:1</v>
      </c>
      <c r="C1637" s="4">
        <f>IFERROR(__xludf.DUMMYFUNCTION("""COMPUTED_VALUE"""),3.95)</f>
        <v>3.95</v>
      </c>
    </row>
    <row r="1638">
      <c r="A1638" s="4" t="str">
        <f>IFERROR(__xludf.DUMMYFUNCTION("""COMPUTED_VALUE"""),"4301")</f>
        <v>4301</v>
      </c>
      <c r="B1638" s="4" t="str">
        <f>IFERROR(__xludf.DUMMYFUNCTION("""COMPUTED_VALUE"""),"Big Bag 850x850x900 c/ valvula descarga")</f>
        <v>Big Bag 850x850x900 c/ valvula descarga</v>
      </c>
      <c r="C1638" s="4">
        <f>IFERROR(__xludf.DUMMYFUNCTION("""COMPUTED_VALUE"""),4.6)</f>
        <v>4.6</v>
      </c>
    </row>
    <row r="1639">
      <c r="A1639" s="4" t="str">
        <f>IFERROR(__xludf.DUMMYFUNCTION("""COMPUTED_VALUE"""),"4302")</f>
        <v>4302</v>
      </c>
      <c r="B1639" s="4" t="str">
        <f>IFERROR(__xludf.DUMMYFUNCTION("""COMPUTED_VALUE"""),"Big Bag 900x900x1200 MM FDC/FP ADR")</f>
        <v>Big Bag 900x900x1200 MM FDC/FP ADR</v>
      </c>
      <c r="C1639" s="4">
        <f>IFERROR(__xludf.DUMMYFUNCTION("""COMPUTED_VALUE"""),11.25)</f>
        <v>11.25</v>
      </c>
    </row>
    <row r="1640">
      <c r="A1640" s="4" t="str">
        <f>IFERROR(__xludf.DUMMYFUNCTION("""COMPUTED_VALUE"""),"4303")</f>
        <v>4303</v>
      </c>
      <c r="B1640" s="4" t="str">
        <f>IFERROR(__xludf.DUMMYFUNCTION("""COMPUTED_VALUE"""),"Big Bag 900x900x1200 c/tapa")</f>
        <v>Big Bag 900x900x1200 c/tapa</v>
      </c>
      <c r="C1640" s="4">
        <f>IFERROR(__xludf.DUMMYFUNCTION("""COMPUTED_VALUE"""),7.0)</f>
        <v>7</v>
      </c>
    </row>
    <row r="1641">
      <c r="A1641" s="4" t="str">
        <f>IFERROR(__xludf.DUMMYFUNCTION("""COMPUTED_VALUE"""),"4304")</f>
        <v>4304</v>
      </c>
      <c r="B1641" s="4" t="str">
        <f>IFERROR(__xludf.DUMMYFUNCTION("""COMPUTED_VALUE"""),"Saco de rafia para escombros 55cmx85cm carga 25 Kg")</f>
        <v>Saco de rafia para escombros 55cmx85cm carga 25 Kg</v>
      </c>
      <c r="C1641" s="4">
        <f>IFERROR(__xludf.DUMMYFUNCTION("""COMPUTED_VALUE"""),0.26)</f>
        <v>0.26</v>
      </c>
    </row>
    <row r="1642">
      <c r="A1642" s="4" t="str">
        <f>IFERROR(__xludf.DUMMYFUNCTION("""COMPUTED_VALUE"""),"4305")</f>
        <v>4305</v>
      </c>
      <c r="B1642" s="4" t="str">
        <f>IFERROR(__xludf.DUMMYFUNCTION("""COMPUTED_VALUE"""),"Paquete 10 unid. saco plastico escombros 55x75")</f>
        <v>Paquete 10 unid. saco plastico escombros 55x75</v>
      </c>
      <c r="C1642" s="4">
        <f>IFERROR(__xludf.DUMMYFUNCTION("""COMPUTED_VALUE"""),4.47)</f>
        <v>4.47</v>
      </c>
    </row>
    <row r="1643">
      <c r="A1643" s="4" t="str">
        <f>IFERROR(__xludf.DUMMYFUNCTION("""COMPUTED_VALUE"""),"4690")</f>
        <v>4690</v>
      </c>
      <c r="B1643" s="4" t="str">
        <f>IFERROR(__xludf.DUMMYFUNCTION("""COMPUTED_VALUE"""),"Chaleco Reflect. amarillo")</f>
        <v>Chaleco Reflect. amarillo</v>
      </c>
      <c r="C1643" s="4">
        <f>IFERROR(__xludf.DUMMYFUNCTION("""COMPUTED_VALUE"""),1.95)</f>
        <v>1.95</v>
      </c>
    </row>
    <row r="1644">
      <c r="A1644" s="4" t="str">
        <f>IFERROR(__xludf.DUMMYFUNCTION("""COMPUTED_VALUE"""),"4691")</f>
        <v>4691</v>
      </c>
      <c r="B1644" s="4" t="str">
        <f>IFERROR(__xludf.DUMMYFUNCTION("""COMPUTED_VALUE"""),"Chaleco Reflect. naranja")</f>
        <v>Chaleco Reflect. naranja</v>
      </c>
      <c r="C1644" s="4">
        <f>IFERROR(__xludf.DUMMYFUNCTION("""COMPUTED_VALUE"""),1.95)</f>
        <v>1.95</v>
      </c>
    </row>
    <row r="1645">
      <c r="A1645" s="4" t="str">
        <f>IFERROR(__xludf.DUMMYFUNCTION("""COMPUTED_VALUE"""),"4692")</f>
        <v>4692</v>
      </c>
      <c r="B1645" s="4" t="str">
        <f>IFERROR(__xludf.DUMMYFUNCTION("""COMPUTED_VALUE"""),"Chaleco Reflect. rejilla verano amarillo NO HOMOLOGADOS")</f>
        <v>Chaleco Reflect. rejilla verano amarillo NO HOMOLOGADOS</v>
      </c>
      <c r="C1645" s="4">
        <f>IFERROR(__xludf.DUMMYFUNCTION("""COMPUTED_VALUE"""),2.7)</f>
        <v>2.7</v>
      </c>
    </row>
    <row r="1646">
      <c r="A1646" s="4" t="str">
        <f>IFERROR(__xludf.DUMMYFUNCTION("""COMPUTED_VALUE"""),"4695")</f>
        <v>4695</v>
      </c>
      <c r="B1646" s="4" t="str">
        <f>IFERROR(__xludf.DUMMYFUNCTION("""COMPUTED_VALUE"""),"Tirantes reflectantes amarillos NO HOMOLOGADOS")</f>
        <v>Tirantes reflectantes amarillos NO HOMOLOGADOS</v>
      </c>
      <c r="C1646" s="4">
        <f>IFERROR(__xludf.DUMMYFUNCTION("""COMPUTED_VALUE"""),2.2)</f>
        <v>2.2</v>
      </c>
    </row>
    <row r="1647">
      <c r="A1647" s="4" t="str">
        <f>IFERROR(__xludf.DUMMYFUNCTION("""COMPUTED_VALUE"""),"4696")</f>
        <v>4696</v>
      </c>
      <c r="B1647" s="4" t="str">
        <f>IFERROR(__xludf.DUMMYFUNCTION("""COMPUTED_VALUE"""),"Tirantes reflectantes naranja NO HOMOLOGADOS")</f>
        <v>Tirantes reflectantes naranja NO HOMOLOGADOS</v>
      </c>
      <c r="C1647" s="4">
        <f>IFERROR(__xludf.DUMMYFUNCTION("""COMPUTED_VALUE"""),2.2)</f>
        <v>2.2</v>
      </c>
    </row>
    <row r="1648">
      <c r="A1648" s="4" t="str">
        <f>IFERROR(__xludf.DUMMYFUNCTION("""COMPUTED_VALUE"""),"4700")</f>
        <v>4700</v>
      </c>
      <c r="B1648" s="4" t="str">
        <f>IFERROR(__xludf.DUMMYFUNCTION("""COMPUTED_VALUE"""),"Rollo Malla Protec Naranja (1x50mts.) 80 gr.")</f>
        <v>Rollo Malla Protec Naranja (1x50mts.) 80 gr.</v>
      </c>
      <c r="C1648" s="4">
        <f>IFERROR(__xludf.DUMMYFUNCTION("""COMPUTED_VALUE"""),18.4)</f>
        <v>18.4</v>
      </c>
    </row>
    <row r="1649">
      <c r="A1649" s="4" t="str">
        <f>IFERROR(__xludf.DUMMYFUNCTION("""COMPUTED_VALUE"""),"4700A")</f>
        <v>4700A</v>
      </c>
      <c r="B1649" s="4" t="str">
        <f>IFERROR(__xludf.DUMMYFUNCTION("""COMPUTED_VALUE"""),"Rollo malla Protec Amarilla (1x50 m) 80 gr")</f>
        <v>Rollo malla Protec Amarilla (1x50 m) 80 gr</v>
      </c>
      <c r="C1649" s="4">
        <f>IFERROR(__xludf.DUMMYFUNCTION("""COMPUTED_VALUE"""),17.325)</f>
        <v>17.325</v>
      </c>
    </row>
    <row r="1650">
      <c r="A1650" s="4" t="str">
        <f>IFERROR(__xludf.DUMMYFUNCTION("""COMPUTED_VALUE"""),"4700S")</f>
        <v>4700S</v>
      </c>
      <c r="B1650" s="4" t="str">
        <f>IFERROR(__xludf.DUMMYFUNCTION("""COMPUTED_VALUE"""),"Sistema sujeción para mallas y cinta varilla")</f>
        <v>Sistema sujeción para mallas y cinta varilla</v>
      </c>
      <c r="C1650" s="4">
        <f>IFERROR(__xludf.DUMMYFUNCTION("""COMPUTED_VALUE"""),1.25)</f>
        <v>1.25</v>
      </c>
    </row>
    <row r="1651">
      <c r="A1651" s="4" t="str">
        <f>IFERROR(__xludf.DUMMYFUNCTION("""COMPUTED_VALUE"""),"4700V")</f>
        <v>4700V</v>
      </c>
      <c r="B1651" s="4" t="str">
        <f>IFERROR(__xludf.DUMMYFUNCTION("""COMPUTED_VALUE"""),"Rollo Malla Protec verde (1x50 m) 80 gr")</f>
        <v>Rollo Malla Protec verde (1x50 m) 80 gr</v>
      </c>
      <c r="C1651" s="4">
        <f>IFERROR(__xludf.DUMMYFUNCTION("""COMPUTED_VALUE"""),17.325)</f>
        <v>17.325</v>
      </c>
    </row>
    <row r="1652">
      <c r="A1652" s="4" t="str">
        <f>IFERROR(__xludf.DUMMYFUNCTION("""COMPUTED_VALUE"""),"4700Z")</f>
        <v>4700Z</v>
      </c>
      <c r="B1652" s="4" t="str">
        <f>IFERROR(__xludf.DUMMYFUNCTION("""COMPUTED_VALUE"""),"Rollo malla Protec Azul (1x50 m) 80 gr")</f>
        <v>Rollo malla Protec Azul (1x50 m) 80 gr</v>
      </c>
      <c r="C1652" s="4">
        <f>IFERROR(__xludf.DUMMYFUNCTION("""COMPUTED_VALUE"""),17.325)</f>
        <v>17.325</v>
      </c>
    </row>
    <row r="1653">
      <c r="A1653" s="4" t="str">
        <f>IFERROR(__xludf.DUMMYFUNCTION("""COMPUTED_VALUE"""),"4701")</f>
        <v>4701</v>
      </c>
      <c r="B1653" s="4" t="str">
        <f>IFERROR(__xludf.DUMMYFUNCTION("""COMPUTED_VALUE"""),"Rollo Malla Protec Naranja (1X50mts.) 100 gr.")</f>
        <v>Rollo Malla Protec Naranja (1X50mts.) 100 gr.</v>
      </c>
      <c r="C1653" s="4">
        <f>IFERROR(__xludf.DUMMYFUNCTION("""COMPUTED_VALUE"""),18.9)</f>
        <v>18.9</v>
      </c>
    </row>
    <row r="1654">
      <c r="A1654" s="4" t="str">
        <f>IFERROR(__xludf.DUMMYFUNCTION("""COMPUTED_VALUE"""),"4702")</f>
        <v>4702</v>
      </c>
      <c r="B1654" s="4" t="str">
        <f>IFERROR(__xludf.DUMMYFUNCTION("""COMPUTED_VALUE"""),"Rollo malla fibra de vidrio Mortero-Reboco azul 1x50 m")</f>
        <v>Rollo malla fibra de vidrio Mortero-Reboco azul 1x50 m</v>
      </c>
      <c r="C1654" s="4">
        <f>IFERROR(__xludf.DUMMYFUNCTION("""COMPUTED_VALUE"""),21.0)</f>
        <v>21</v>
      </c>
    </row>
    <row r="1655">
      <c r="A1655" s="4" t="str">
        <f>IFERROR(__xludf.DUMMYFUNCTION("""COMPUTED_VALUE"""),"4703")</f>
        <v>4703</v>
      </c>
      <c r="B1655" s="4" t="str">
        <f>IFERROR(__xludf.DUMMYFUNCTION("""COMPUTED_VALUE"""),"Rollo malla fibra de vidrio Yeso Blanca 1x50 m")</f>
        <v>Rollo malla fibra de vidrio Yeso Blanca 1x50 m</v>
      </c>
      <c r="C1655" s="4">
        <f>IFERROR(__xludf.DUMMYFUNCTION("""COMPUTED_VALUE"""),21.0)</f>
        <v>21</v>
      </c>
    </row>
    <row r="1656">
      <c r="A1656" s="4" t="str">
        <f>IFERROR(__xludf.DUMMYFUNCTION("""COMPUTED_VALUE"""),"4704")</f>
        <v>4704</v>
      </c>
      <c r="B1656" s="4" t="str">
        <f>IFERROR(__xludf.DUMMYFUNCTION("""COMPUTED_VALUE"""),"Rollo Malla fibra de vidrio Blanca pintura 1x50 m")</f>
        <v>Rollo Malla fibra de vidrio Blanca pintura 1x50 m</v>
      </c>
      <c r="C1656" s="4">
        <f>IFERROR(__xludf.DUMMYFUNCTION("""COMPUTED_VALUE"""),21.0)</f>
        <v>21</v>
      </c>
    </row>
    <row r="1657">
      <c r="A1657" s="4" t="str">
        <f>IFERROR(__xludf.DUMMYFUNCTION("""COMPUTED_VALUE"""),"4720")</f>
        <v>4720</v>
      </c>
      <c r="B1657" s="4" t="str">
        <f>IFERROR(__xludf.DUMMYFUNCTION("""COMPUTED_VALUE"""),"Mubo PVC señal. c/reflec. 1 mt")</f>
        <v>Mubo PVC señal. c/reflec. 1 mt</v>
      </c>
      <c r="C1657" s="4">
        <f>IFERROR(__xludf.DUMMYFUNCTION("""COMPUTED_VALUE"""),0.8)</f>
        <v>0.8</v>
      </c>
    </row>
    <row r="1658">
      <c r="A1658" s="4" t="str">
        <f>IFERROR(__xludf.DUMMYFUNCTION("""COMPUTED_VALUE"""),"4730")</f>
        <v>4730</v>
      </c>
      <c r="B1658" s="4" t="str">
        <f>IFERROR(__xludf.DUMMYFUNCTION("""COMPUTED_VALUE"""),"Estaca madera 30x30x30")</f>
        <v>Estaca madera 30x30x30</v>
      </c>
      <c r="C1658" s="4">
        <f>IFERROR(__xludf.DUMMYFUNCTION("""COMPUTED_VALUE"""),0.4)</f>
        <v>0.4</v>
      </c>
    </row>
    <row r="1659">
      <c r="A1659" s="4" t="str">
        <f>IFERROR(__xludf.DUMMYFUNCTION("""COMPUTED_VALUE"""),"4735")</f>
        <v>4735</v>
      </c>
      <c r="B1659" s="4" t="str">
        <f>IFERROR(__xludf.DUMMYFUNCTION("""COMPUTED_VALUE"""),"Estaca madera 30x30x35")</f>
        <v>Estaca madera 30x30x35</v>
      </c>
      <c r="C1659" s="4">
        <f>IFERROR(__xludf.DUMMYFUNCTION("""COMPUTED_VALUE"""),0.42)</f>
        <v>0.42</v>
      </c>
    </row>
    <row r="1660">
      <c r="A1660" s="4" t="str">
        <f>IFERROR(__xludf.DUMMYFUNCTION("""COMPUTED_VALUE"""),"4740")</f>
        <v>4740</v>
      </c>
      <c r="B1660" s="4" t="str">
        <f>IFERROR(__xludf.DUMMYFUNCTION("""COMPUTED_VALUE"""),"Estaca madera 30x30x40")</f>
        <v>Estaca madera 30x30x40</v>
      </c>
      <c r="C1660" s="4">
        <f>IFERROR(__xludf.DUMMYFUNCTION("""COMPUTED_VALUE"""),0.4)</f>
        <v>0.4</v>
      </c>
    </row>
    <row r="1661">
      <c r="A1661" s="4" t="str">
        <f>IFERROR(__xludf.DUMMYFUNCTION("""COMPUTED_VALUE"""),"4750")</f>
        <v>4750</v>
      </c>
      <c r="B1661" s="4" t="str">
        <f>IFERROR(__xludf.DUMMYFUNCTION("""COMPUTED_VALUE"""),"Estaca madera 30x30x50")</f>
        <v>Estaca madera 30x30x50</v>
      </c>
      <c r="C1661" s="4">
        <f>IFERROR(__xludf.DUMMYFUNCTION("""COMPUTED_VALUE"""),0.47)</f>
        <v>0.47</v>
      </c>
    </row>
    <row r="1662">
      <c r="A1662" s="4" t="str">
        <f>IFERROR(__xludf.DUMMYFUNCTION("""COMPUTED_VALUE"""),"4760")</f>
        <v>4760</v>
      </c>
      <c r="B1662" s="4" t="str">
        <f>IFERROR(__xludf.DUMMYFUNCTION("""COMPUTED_VALUE"""),"Estaca madera 30x30x60")</f>
        <v>Estaca madera 30x30x60</v>
      </c>
      <c r="C1662" s="4">
        <f>IFERROR(__xludf.DUMMYFUNCTION("""COMPUTED_VALUE"""),0.57)</f>
        <v>0.57</v>
      </c>
    </row>
    <row r="1663">
      <c r="A1663" s="4" t="str">
        <f>IFERROR(__xludf.DUMMYFUNCTION("""COMPUTED_VALUE"""),"4770")</f>
        <v>4770</v>
      </c>
      <c r="B1663" s="4" t="str">
        <f>IFERROR(__xludf.DUMMYFUNCTION("""COMPUTED_VALUE"""),"Estaca madera 30x30x70")</f>
        <v>Estaca madera 30x30x70</v>
      </c>
      <c r="C1663" s="4">
        <f>IFERROR(__xludf.DUMMYFUNCTION("""COMPUTED_VALUE"""),0.67)</f>
        <v>0.67</v>
      </c>
    </row>
    <row r="1664">
      <c r="A1664" s="4" t="str">
        <f>IFERROR(__xludf.DUMMYFUNCTION("""COMPUTED_VALUE"""),"4780")</f>
        <v>4780</v>
      </c>
      <c r="B1664" s="4" t="str">
        <f>IFERROR(__xludf.DUMMYFUNCTION("""COMPUTED_VALUE"""),"Ecopate 300")</f>
        <v>Ecopate 300</v>
      </c>
      <c r="C1664" s="4">
        <f>IFERROR(__xludf.DUMMYFUNCTION("""COMPUTED_VALUE"""),5.35)</f>
        <v>5.35</v>
      </c>
    </row>
    <row r="1665">
      <c r="A1665" s="4" t="str">
        <f>IFERROR(__xludf.DUMMYFUNCTION("""COMPUTED_VALUE"""),"4799")</f>
        <v>4799</v>
      </c>
      <c r="B1665" s="4" t="str">
        <f>IFERROR(__xludf.DUMMYFUNCTION("""COMPUTED_VALUE"""),"Estaca madera 30x30x100")</f>
        <v>Estaca madera 30x30x100</v>
      </c>
      <c r="C1665" s="4">
        <f>IFERROR(__xludf.DUMMYFUNCTION("""COMPUTED_VALUE"""),0.94)</f>
        <v>0.94</v>
      </c>
    </row>
    <row r="1666">
      <c r="A1666" s="4" t="str">
        <f>IFERROR(__xludf.DUMMYFUNCTION("""COMPUTED_VALUE"""),"4887")</f>
        <v>4887</v>
      </c>
      <c r="B1666" s="4" t="str">
        <f>IFERROR(__xludf.DUMMYFUNCTION("""COMPUTED_VALUE"""),"Mtro.cuadrado malla proteccion andamio Standard")</f>
        <v>Mtro.cuadrado malla proteccion andamio Standard</v>
      </c>
      <c r="C1666" s="4">
        <f>IFERROR(__xludf.DUMMYFUNCTION("""COMPUTED_VALUE"""),0.61)</f>
        <v>0.61</v>
      </c>
    </row>
    <row r="1667">
      <c r="A1667" s="4" t="str">
        <f>IFERROR(__xludf.DUMMYFUNCTION("""COMPUTED_VALUE"""),"4888")</f>
        <v>4888</v>
      </c>
      <c r="B1667" s="4" t="str">
        <f>IFERROR(__xludf.DUMMYFUNCTION("""COMPUTED_VALUE"""),"Mtro.cuadrado malla proteccion andamio Extra")</f>
        <v>Mtro.cuadrado malla proteccion andamio Extra</v>
      </c>
      <c r="C1667" s="4">
        <f>IFERROR(__xludf.DUMMYFUNCTION("""COMPUTED_VALUE"""),0.68)</f>
        <v>0.68</v>
      </c>
    </row>
    <row r="1668">
      <c r="A1668" s="4" t="str">
        <f>IFERROR(__xludf.DUMMYFUNCTION("""COMPUTED_VALUE"""),"4888C")</f>
        <v>4888C</v>
      </c>
      <c r="B1668" s="4" t="str">
        <f>IFERROR(__xludf.DUMMYFUNCTION("""COMPUTED_VALUE"""),"Conector grapa para malla ojales y poste cadena (50 uds)")</f>
        <v>Conector grapa para malla ojales y poste cadena (50 uds)</v>
      </c>
      <c r="C1668" s="4">
        <f>IFERROR(__xludf.DUMMYFUNCTION("""COMPUTED_VALUE"""),6.0)</f>
        <v>6</v>
      </c>
    </row>
    <row r="1669">
      <c r="A1669" s="4" t="str">
        <f>IFERROR(__xludf.DUMMYFUNCTION("""COMPUTED_VALUE"""),"4888G")</f>
        <v>4888G</v>
      </c>
      <c r="B1669" s="4" t="str">
        <f>IFERROR(__xludf.DUMMYFUNCTION("""COMPUTED_VALUE"""),"Grapa 35x40 mm para malla (50 uds)")</f>
        <v>Grapa 35x40 mm para malla (50 uds)</v>
      </c>
      <c r="C1669" s="4">
        <f>IFERROR(__xludf.DUMMYFUNCTION("""COMPUTED_VALUE"""),4.0)</f>
        <v>4</v>
      </c>
    </row>
    <row r="1670">
      <c r="A1670" s="4" t="str">
        <f>IFERROR(__xludf.DUMMYFUNCTION("""COMPUTED_VALUE"""),"4890")</f>
        <v>4890</v>
      </c>
      <c r="B1670" s="4" t="str">
        <f>IFERROR(__xludf.DUMMYFUNCTION("""COMPUTED_VALUE"""),"Malla sombreo/ocultacion 70% (x M2)")</f>
        <v>Malla sombreo/ocultacion 70% (x M2)</v>
      </c>
      <c r="C1670" s="4">
        <f>IFERROR(__xludf.DUMMYFUNCTION("""COMPUTED_VALUE"""),0.545)</f>
        <v>0.545</v>
      </c>
    </row>
    <row r="1671">
      <c r="A1671" s="4" t="str">
        <f>IFERROR(__xludf.DUMMYFUNCTION("""COMPUTED_VALUE"""),"4891")</f>
        <v>4891</v>
      </c>
      <c r="B1671" s="4" t="str">
        <f>IFERROR(__xludf.DUMMYFUNCTION("""COMPUTED_VALUE"""),"Malla sombreo/ocultacion 80% (x M2)")</f>
        <v>Malla sombreo/ocultacion 80% (x M2)</v>
      </c>
      <c r="C1671" s="4">
        <f>IFERROR(__xludf.DUMMYFUNCTION("""COMPUTED_VALUE"""),0.95)</f>
        <v>0.95</v>
      </c>
    </row>
    <row r="1672">
      <c r="A1672" s="4" t="str">
        <f>IFERROR(__xludf.DUMMYFUNCTION("""COMPUTED_VALUE"""),"4892")</f>
        <v>4892</v>
      </c>
      <c r="B1672" s="4" t="str">
        <f>IFERROR(__xludf.DUMMYFUNCTION("""COMPUTED_VALUE"""),"Malla sombreo/ocultacion 90% (x M2)")</f>
        <v>Malla sombreo/ocultacion 90% (x M2)</v>
      </c>
      <c r="C1672" s="4">
        <f>IFERROR(__xludf.DUMMYFUNCTION("""COMPUTED_VALUE"""),1.04)</f>
        <v>1.04</v>
      </c>
    </row>
    <row r="1673">
      <c r="A1673" s="4" t="str">
        <f>IFERROR(__xludf.DUMMYFUNCTION("""COMPUTED_VALUE"""),"4893")</f>
        <v>4893</v>
      </c>
      <c r="B1673" s="4" t="str">
        <f>IFERROR(__xludf.DUMMYFUNCTION("""COMPUTED_VALUE"""),"Malla/Tejido suelo antihierba negro/verde (x M2)")</f>
        <v>Malla/Tejido suelo antihierba negro/verde (x M2)</v>
      </c>
      <c r="C1673" s="4">
        <f>IFERROR(__xludf.DUMMYFUNCTION("""COMPUTED_VALUE"""),0.76)</f>
        <v>0.76</v>
      </c>
    </row>
    <row r="1674">
      <c r="A1674" s="4" t="str">
        <f>IFERROR(__xludf.DUMMYFUNCTION("""COMPUTED_VALUE"""),"4894")</f>
        <v>4894</v>
      </c>
      <c r="B1674" s="4" t="str">
        <f>IFERROR(__xludf.DUMMYFUNCTION("""COMPUTED_VALUE"""),"Malla ocultacion negra/franjas 75% 3,50x1,90 blister")</f>
        <v>Malla ocultacion negra/franjas 75% 3,50x1,90 blister</v>
      </c>
      <c r="C1674" s="4">
        <f>IFERROR(__xludf.DUMMYFUNCTION("""COMPUTED_VALUE"""),5.31)</f>
        <v>5.31</v>
      </c>
    </row>
    <row r="1675">
      <c r="A1675" s="4" t="str">
        <f>IFERROR(__xludf.DUMMYFUNCTION("""COMPUTED_VALUE"""),"4895/A")</f>
        <v>4895/A</v>
      </c>
      <c r="B1675" s="4" t="str">
        <f>IFERROR(__xludf.DUMMYFUNCTION("""COMPUTED_VALUE"""),"Malla señal. monofilamento 1x100 mts Amarilla")</f>
        <v>Malla señal. monofilamento 1x100 mts Amarilla</v>
      </c>
      <c r="C1675" s="4">
        <f>IFERROR(__xludf.DUMMYFUNCTION("""COMPUTED_VALUE"""),50.4)</f>
        <v>50.4</v>
      </c>
    </row>
    <row r="1676">
      <c r="A1676" s="4" t="str">
        <f>IFERROR(__xludf.DUMMYFUNCTION("""COMPUTED_VALUE"""),"4895/R")</f>
        <v>4895/R</v>
      </c>
      <c r="B1676" s="4" t="str">
        <f>IFERROR(__xludf.DUMMYFUNCTION("""COMPUTED_VALUE"""),"Malla señal. monofilamento 1x100 mts Rojo")</f>
        <v>Malla señal. monofilamento 1x100 mts Rojo</v>
      </c>
      <c r="C1676" s="4">
        <f>IFERROR(__xludf.DUMMYFUNCTION("""COMPUTED_VALUE"""),50.4)</f>
        <v>50.4</v>
      </c>
    </row>
    <row r="1677">
      <c r="A1677" s="4" t="str">
        <f>IFERROR(__xludf.DUMMYFUNCTION("""COMPUTED_VALUE"""),"4897")</f>
        <v>4897</v>
      </c>
      <c r="B1677" s="4" t="str">
        <f>IFERROR(__xludf.DUMMYFUNCTION("""COMPUTED_VALUE"""),"Malla sombreo/ocultacion 70% manto a medida (x M2)")</f>
        <v>Malla sombreo/ocultacion 70% manto a medida (x M2)</v>
      </c>
      <c r="C1677" s="4">
        <f>IFERROR(__xludf.DUMMYFUNCTION("""COMPUTED_VALUE"""),0.61)</f>
        <v>0.61</v>
      </c>
    </row>
    <row r="1678">
      <c r="A1678" s="4" t="str">
        <f>IFERROR(__xludf.DUMMYFUNCTION("""COMPUTED_VALUE"""),"4898")</f>
        <v>4898</v>
      </c>
      <c r="B1678" s="4" t="str">
        <f>IFERROR(__xludf.DUMMYFUNCTION("""COMPUTED_VALUE"""),"Malla sombreo/ocultacion 80% manto a medida (x M2)")</f>
        <v>Malla sombreo/ocultacion 80% manto a medida (x M2)</v>
      </c>
      <c r="C1678" s="4">
        <f>IFERROR(__xludf.DUMMYFUNCTION("""COMPUTED_VALUE"""),0.89)</f>
        <v>0.89</v>
      </c>
    </row>
    <row r="1679">
      <c r="A1679" s="4" t="str">
        <f>IFERROR(__xludf.DUMMYFUNCTION("""COMPUTED_VALUE"""),"4899")</f>
        <v>4899</v>
      </c>
      <c r="B1679" s="4" t="str">
        <f>IFERROR(__xludf.DUMMYFUNCTION("""COMPUTED_VALUE"""),"Malla sombreo/ocultacion 90% manto a medida (x M2)")</f>
        <v>Malla sombreo/ocultacion 90% manto a medida (x M2)</v>
      </c>
      <c r="C1679" s="4">
        <f>IFERROR(__xludf.DUMMYFUNCTION("""COMPUTED_VALUE"""),0.945)</f>
        <v>0.945</v>
      </c>
    </row>
    <row r="1680">
      <c r="A1680" s="4" t="str">
        <f>IFERROR(__xludf.DUMMYFUNCTION("""COMPUTED_VALUE"""),"5100")</f>
        <v>5100</v>
      </c>
      <c r="B1680" s="4" t="str">
        <f>IFERROR(__xludf.DUMMYFUNCTION("""COMPUTED_VALUE"""),"Gafas protección G-1")</f>
        <v>Gafas protección G-1</v>
      </c>
      <c r="C1680" s="4">
        <f>IFERROR(__xludf.DUMMYFUNCTION("""COMPUTED_VALUE"""),1.14)</f>
        <v>1.14</v>
      </c>
    </row>
    <row r="1681">
      <c r="A1681" s="4" t="str">
        <f>IFERROR(__xludf.DUMMYFUNCTION("""COMPUTED_VALUE"""),"5101")</f>
        <v>5101</v>
      </c>
      <c r="B1681" s="4" t="str">
        <f>IFERROR(__xludf.DUMMYFUNCTION("""COMPUTED_VALUE"""),"Gafas protección G-2")</f>
        <v>Gafas protección G-2</v>
      </c>
      <c r="C1681" s="4">
        <f>IFERROR(__xludf.DUMMYFUNCTION("""COMPUTED_VALUE"""),0.8)</f>
        <v>0.8</v>
      </c>
    </row>
    <row r="1682">
      <c r="A1682" s="4" t="str">
        <f>IFERROR(__xludf.DUMMYFUNCTION("""COMPUTED_VALUE"""),"5102")</f>
        <v>5102</v>
      </c>
      <c r="B1682" s="4" t="str">
        <f>IFERROR(__xludf.DUMMYFUNCTION("""COMPUTED_VALUE"""),"Gafas protección G-3")</f>
        <v>Gafas protección G-3</v>
      </c>
      <c r="C1682" s="4">
        <f>IFERROR(__xludf.DUMMYFUNCTION("""COMPUTED_VALUE"""),1.38)</f>
        <v>1.38</v>
      </c>
    </row>
    <row r="1683">
      <c r="A1683" s="4" t="str">
        <f>IFERROR(__xludf.DUMMYFUNCTION("""COMPUTED_VALUE"""),"5105")</f>
        <v>5105</v>
      </c>
      <c r="B1683" s="4" t="str">
        <f>IFERROR(__xludf.DUMMYFUNCTION("""COMPUTED_VALUE"""),"Pantalla protectora facial fija Basic")</f>
        <v>Pantalla protectora facial fija Basic</v>
      </c>
      <c r="C1683" s="4">
        <f>IFERROR(__xludf.DUMMYFUNCTION("""COMPUTED_VALUE"""),2.1)</f>
        <v>2.1</v>
      </c>
    </row>
    <row r="1684">
      <c r="A1684" s="4" t="str">
        <f>IFERROR(__xludf.DUMMYFUNCTION("""COMPUTED_VALUE"""),"5200")</f>
        <v>5200</v>
      </c>
      <c r="B1684" s="4" t="str">
        <f>IFERROR(__xludf.DUMMYFUNCTION("""COMPUTED_VALUE"""),"Tapones proteccion auditiva c/ cordón")</f>
        <v>Tapones proteccion auditiva c/ cordón</v>
      </c>
      <c r="C1684" s="4">
        <f>IFERROR(__xludf.DUMMYFUNCTION("""COMPUTED_VALUE"""),0.23)</f>
        <v>0.23</v>
      </c>
    </row>
    <row r="1685">
      <c r="A1685" s="4" t="str">
        <f>IFERROR(__xludf.DUMMYFUNCTION("""COMPUTED_VALUE"""),"5201")</f>
        <v>5201</v>
      </c>
      <c r="B1685" s="4" t="str">
        <f>IFERROR(__xludf.DUMMYFUNCTION("""COMPUTED_VALUE"""),"Cascos proteccion auditiva mod. A")</f>
        <v>Cascos proteccion auditiva mod. A</v>
      </c>
      <c r="C1685" s="4">
        <f>IFERROR(__xludf.DUMMYFUNCTION("""COMPUTED_VALUE"""),2.53)</f>
        <v>2.53</v>
      </c>
    </row>
    <row r="1686">
      <c r="A1686" s="4" t="str">
        <f>IFERROR(__xludf.DUMMYFUNCTION("""COMPUTED_VALUE"""),"5300L")</f>
        <v>5300L</v>
      </c>
      <c r="B1686" s="4" t="str">
        <f>IFERROR(__xludf.DUMMYFUNCTION("""COMPUTED_VALUE"""),"Faja elastica proteccion lumbar Talla L")</f>
        <v>Faja elastica proteccion lumbar Talla L</v>
      </c>
      <c r="C1686" s="4">
        <f>IFERROR(__xludf.DUMMYFUNCTION("""COMPUTED_VALUE"""),7.9)</f>
        <v>7.9</v>
      </c>
    </row>
    <row r="1687">
      <c r="A1687" s="4" t="str">
        <f>IFERROR(__xludf.DUMMYFUNCTION("""COMPUTED_VALUE"""),"5300XL")</f>
        <v>5300XL</v>
      </c>
      <c r="B1687" s="4" t="str">
        <f>IFERROR(__xludf.DUMMYFUNCTION("""COMPUTED_VALUE"""),"Faja elastica proteccion lumbar Talla XL")</f>
        <v>Faja elastica proteccion lumbar Talla XL</v>
      </c>
      <c r="C1687" s="4">
        <f>IFERROR(__xludf.DUMMYFUNCTION("""COMPUTED_VALUE"""),7.9)</f>
        <v>7.9</v>
      </c>
    </row>
    <row r="1688">
      <c r="A1688" s="4" t="str">
        <f>IFERROR(__xludf.DUMMYFUNCTION("""COMPUTED_VALUE"""),"5300XXL")</f>
        <v>5300XXL</v>
      </c>
      <c r="B1688" s="4" t="str">
        <f>IFERROR(__xludf.DUMMYFUNCTION("""COMPUTED_VALUE"""),"Faja elastica proteccion lumbar Talla XXL")</f>
        <v>Faja elastica proteccion lumbar Talla XXL</v>
      </c>
      <c r="C1688" s="4">
        <f>IFERROR(__xludf.DUMMYFUNCTION("""COMPUTED_VALUE"""),7.9)</f>
        <v>7.9</v>
      </c>
    </row>
    <row r="1689">
      <c r="A1689" s="4" t="str">
        <f>IFERROR(__xludf.DUMMYFUNCTION("""COMPUTED_VALUE"""),"7000")</f>
        <v>7000</v>
      </c>
      <c r="B1689" s="4" t="str">
        <f>IFERROR(__xludf.DUMMYFUNCTION("""COMPUTED_VALUE"""),"Spray fluo 500 ml S MARK rojo")</f>
        <v>Spray fluo 500 ml S MARK rojo</v>
      </c>
      <c r="C1689" s="4">
        <f>IFERROR(__xludf.DUMMYFUNCTION("""COMPUTED_VALUE"""),4.7)</f>
        <v>4.7</v>
      </c>
    </row>
    <row r="1690">
      <c r="A1690" s="4" t="str">
        <f>IFERROR(__xludf.DUMMYFUNCTION("""COMPUTED_VALUE"""),"7001")</f>
        <v>7001</v>
      </c>
      <c r="B1690" s="4" t="str">
        <f>IFERROR(__xludf.DUMMYFUNCTION("""COMPUTED_VALUE"""),"Spray fluo 500 ml S MARK azul")</f>
        <v>Spray fluo 500 ml S MARK azul</v>
      </c>
      <c r="C1690" s="4">
        <f>IFERROR(__xludf.DUMMYFUNCTION("""COMPUTED_VALUE"""),4.7)</f>
        <v>4.7</v>
      </c>
    </row>
    <row r="1691">
      <c r="A1691" s="4" t="str">
        <f>IFERROR(__xludf.DUMMYFUNCTION("""COMPUTED_VALUE"""),"7002")</f>
        <v>7002</v>
      </c>
      <c r="B1691" s="4" t="str">
        <f>IFERROR(__xludf.DUMMYFUNCTION("""COMPUTED_VALUE"""),"Spray fluo 500 ml S MARK amarillo")</f>
        <v>Spray fluo 500 ml S MARK amarillo</v>
      </c>
      <c r="C1691" s="4">
        <f>IFERROR(__xludf.DUMMYFUNCTION("""COMPUTED_VALUE"""),4.7)</f>
        <v>4.7</v>
      </c>
    </row>
    <row r="1692">
      <c r="A1692" s="4" t="str">
        <f>IFERROR(__xludf.DUMMYFUNCTION("""COMPUTED_VALUE"""),"7003")</f>
        <v>7003</v>
      </c>
      <c r="B1692" s="4" t="str">
        <f>IFERROR(__xludf.DUMMYFUNCTION("""COMPUTED_VALUE"""),"Spray fluo 500 ml S MARK verde")</f>
        <v>Spray fluo 500 ml S MARK verde</v>
      </c>
      <c r="C1692" s="4">
        <f>IFERROR(__xludf.DUMMYFUNCTION("""COMPUTED_VALUE"""),4.7)</f>
        <v>4.7</v>
      </c>
    </row>
    <row r="1693">
      <c r="A1693" s="4" t="str">
        <f>IFERROR(__xludf.DUMMYFUNCTION("""COMPUTED_VALUE"""),"7003A")</f>
        <v>7003A</v>
      </c>
      <c r="B1693" s="4" t="str">
        <f>IFERROR(__xludf.DUMMYFUNCTION("""COMPUTED_VALUE"""),"Loseta/superficie para guía peatonal Mod A")</f>
        <v>Loseta/superficie para guía peatonal Mod A</v>
      </c>
      <c r="C1693" s="4">
        <f>IFERROR(__xludf.DUMMYFUNCTION("""COMPUTED_VALUE"""),9.4)</f>
        <v>9.4</v>
      </c>
    </row>
    <row r="1694">
      <c r="A1694" s="4" t="str">
        <f>IFERROR(__xludf.DUMMYFUNCTION("""COMPUTED_VALUE"""),"7004")</f>
        <v>7004</v>
      </c>
      <c r="B1694" s="4" t="str">
        <f>IFERROR(__xludf.DUMMYFUNCTION("""COMPUTED_VALUE"""),"Spray fluo 500 ml S MARK rosa")</f>
        <v>Spray fluo 500 ml S MARK rosa</v>
      </c>
      <c r="C1694" s="4">
        <f>IFERROR(__xludf.DUMMYFUNCTION("""COMPUTED_VALUE"""),4.7)</f>
        <v>4.7</v>
      </c>
    </row>
    <row r="1695">
      <c r="A1695" s="4" t="str">
        <f>IFERROR(__xludf.DUMMYFUNCTION("""COMPUTED_VALUE"""),"7004B")</f>
        <v>7004B</v>
      </c>
      <c r="B1695" s="4" t="str">
        <f>IFERROR(__xludf.DUMMYFUNCTION("""COMPUTED_VALUE"""),"Loseta/superficie para guía peatonal Mod B")</f>
        <v>Loseta/superficie para guía peatonal Mod B</v>
      </c>
      <c r="C1695" s="4">
        <f>IFERROR(__xludf.DUMMYFUNCTION("""COMPUTED_VALUE"""),9.4)</f>
        <v>9.4</v>
      </c>
    </row>
    <row r="1696">
      <c r="A1696" s="4" t="str">
        <f>IFERROR(__xludf.DUMMYFUNCTION("""COMPUTED_VALUE"""),"7005")</f>
        <v>7005</v>
      </c>
      <c r="B1696" s="4" t="str">
        <f>IFERROR(__xludf.DUMMYFUNCTION("""COMPUTED_VALUE"""),"Spray fluo 500 ml S MARK naranja")</f>
        <v>Spray fluo 500 ml S MARK naranja</v>
      </c>
      <c r="C1696" s="4">
        <f>IFERROR(__xludf.DUMMYFUNCTION("""COMPUTED_VALUE"""),4.7)</f>
        <v>4.7</v>
      </c>
    </row>
    <row r="1697">
      <c r="A1697" s="4" t="str">
        <f>IFERROR(__xludf.DUMMYFUNCTION("""COMPUTED_VALUE"""),"7010")</f>
        <v>7010</v>
      </c>
      <c r="B1697" s="4" t="str">
        <f>IFERROR(__xludf.DUMMYFUNCTION("""COMPUTED_VALUE"""),"Spray Fluo 360º 500 ml IDEAL rojo")</f>
        <v>Spray Fluo 360º 500 ml IDEAL rojo</v>
      </c>
      <c r="C1697" s="4">
        <f>IFERROR(__xludf.DUMMYFUNCTION("""COMPUTED_VALUE"""),4.97)</f>
        <v>4.97</v>
      </c>
    </row>
    <row r="1698">
      <c r="A1698" s="4" t="str">
        <f>IFERROR(__xludf.DUMMYFUNCTION("""COMPUTED_VALUE"""),"7011")</f>
        <v>7011</v>
      </c>
      <c r="B1698" s="4" t="str">
        <f>IFERROR(__xludf.DUMMYFUNCTION("""COMPUTED_VALUE"""),"Spray Fluo 360º 500 ml IDEAL azul")</f>
        <v>Spray Fluo 360º 500 ml IDEAL azul</v>
      </c>
      <c r="C1698" s="4">
        <f>IFERROR(__xludf.DUMMYFUNCTION("""COMPUTED_VALUE"""),4.97)</f>
        <v>4.97</v>
      </c>
    </row>
    <row r="1699">
      <c r="A1699" s="4" t="str">
        <f>IFERROR(__xludf.DUMMYFUNCTION("""COMPUTED_VALUE"""),"7012")</f>
        <v>7012</v>
      </c>
      <c r="B1699" s="4" t="str">
        <f>IFERROR(__xludf.DUMMYFUNCTION("""COMPUTED_VALUE"""),"Spray Fluo 360º 500 ml IDEAL amarillo")</f>
        <v>Spray Fluo 360º 500 ml IDEAL amarillo</v>
      </c>
      <c r="C1699" s="4">
        <f>IFERROR(__xludf.DUMMYFUNCTION("""COMPUTED_VALUE"""),4.97)</f>
        <v>4.97</v>
      </c>
    </row>
    <row r="1700">
      <c r="A1700" s="4" t="str">
        <f>IFERROR(__xludf.DUMMYFUNCTION("""COMPUTED_VALUE"""),"7014")</f>
        <v>7014</v>
      </c>
      <c r="B1700" s="4" t="str">
        <f>IFERROR(__xludf.DUMMYFUNCTION("""COMPUTED_VALUE"""),"Spray Fluo 360º 500 ml IDEAL rosa")</f>
        <v>Spray Fluo 360º 500 ml IDEAL rosa</v>
      </c>
      <c r="C1700" s="4">
        <f>IFERROR(__xludf.DUMMYFUNCTION("""COMPUTED_VALUE"""),4.97)</f>
        <v>4.97</v>
      </c>
    </row>
    <row r="1701">
      <c r="A1701" s="4" t="str">
        <f>IFERROR(__xludf.DUMMYFUNCTION("""COMPUTED_VALUE"""),"7020")</f>
        <v>7020</v>
      </c>
      <c r="B1701" s="4" t="str">
        <f>IFERROR(__xludf.DUMMYFUNCTION("""COMPUTED_VALUE"""),"Spray 500 ml Line Marker Blanco")</f>
        <v>Spray 500 ml Line Marker Blanco</v>
      </c>
      <c r="C1701" s="4">
        <f>IFERROR(__xludf.DUMMYFUNCTION("""COMPUTED_VALUE"""),7.615)</f>
        <v>7.615</v>
      </c>
    </row>
    <row r="1702">
      <c r="A1702" s="4" t="str">
        <f>IFERROR(__xludf.DUMMYFUNCTION("""COMPUTED_VALUE"""),"7022")</f>
        <v>7022</v>
      </c>
      <c r="B1702" s="4" t="str">
        <f>IFERROR(__xludf.DUMMYFUNCTION("""COMPUTED_VALUE"""),"Spray 500 ml Line Marker Amarillo")</f>
        <v>Spray 500 ml Line Marker Amarillo</v>
      </c>
      <c r="C1702" s="4">
        <f>IFERROR(__xludf.DUMMYFUNCTION("""COMPUTED_VALUE"""),7.615)</f>
        <v>7.615</v>
      </c>
    </row>
    <row r="1703">
      <c r="A1703" s="4" t="str">
        <f>IFERROR(__xludf.DUMMYFUNCTION("""COMPUTED_VALUE"""),"7025")</f>
        <v>7025</v>
      </c>
      <c r="B1703" s="4" t="str">
        <f>IFERROR(__xludf.DUMMYFUNCTION("""COMPUTED_VALUE"""),"Spray Pintura Luminiscente 400 ml")</f>
        <v>Spray Pintura Luminiscente 400 ml</v>
      </c>
      <c r="C1703" s="4">
        <f>IFERROR(__xludf.DUMMYFUNCTION("""COMPUTED_VALUE"""),18.375)</f>
        <v>18.375</v>
      </c>
    </row>
    <row r="1704">
      <c r="A1704" s="4" t="str">
        <f>IFERROR(__xludf.DUMMYFUNCTION("""COMPUTED_VALUE"""),"80135N1")</f>
        <v>80135N1</v>
      </c>
      <c r="B1704" s="4" t="str">
        <f>IFERROR(__xludf.DUMMYFUNCTION("""COMPUTED_VALUE"""),"Triangulo MOPU TP 135 cm Reflex I")</f>
        <v>Triangulo MOPU TP 135 cm Reflex I</v>
      </c>
      <c r="C1704" s="4">
        <f>IFERROR(__xludf.DUMMYFUNCTION("""COMPUTED_VALUE"""),81.06)</f>
        <v>81.06</v>
      </c>
    </row>
    <row r="1705">
      <c r="A1705" s="4" t="str">
        <f>IFERROR(__xludf.DUMMYFUNCTION("""COMPUTED_VALUE"""),"80135N2")</f>
        <v>80135N2</v>
      </c>
      <c r="B1705" s="4" t="str">
        <f>IFERROR(__xludf.DUMMYFUNCTION("""COMPUTED_VALUE"""),"Triangulo MOPU TD 135 cm Reflex II")</f>
        <v>Triangulo MOPU TD 135 cm Reflex II</v>
      </c>
      <c r="C1705" s="4">
        <f>IFERROR(__xludf.DUMMYFUNCTION("""COMPUTED_VALUE"""),117.39)</f>
        <v>117.39</v>
      </c>
    </row>
    <row r="1706">
      <c r="A1706" s="4" t="str">
        <f>IFERROR(__xludf.DUMMYFUNCTION("""COMPUTED_VALUE"""),"80135N3")</f>
        <v>80135N3</v>
      </c>
      <c r="B1706" s="4" t="str">
        <f>IFERROR(__xludf.DUMMYFUNCTION("""COMPUTED_VALUE"""),"Triangulo MOPU TD 135 cm Reflex III")</f>
        <v>Triangulo MOPU TD 135 cm Reflex III</v>
      </c>
      <c r="C1706" s="4">
        <f>IFERROR(__xludf.DUMMYFUNCTION("""COMPUTED_VALUE"""),156.4)</f>
        <v>156.4</v>
      </c>
    </row>
    <row r="1707">
      <c r="A1707" s="4" t="str">
        <f>IFERROR(__xludf.DUMMYFUNCTION("""COMPUTED_VALUE"""),"80175N1")</f>
        <v>80175N1</v>
      </c>
      <c r="B1707" s="4" t="str">
        <f>IFERROR(__xludf.DUMMYFUNCTION("""COMPUTED_VALUE"""),"Triangulo MOPU TD 175 cm Reflex I")</f>
        <v>Triangulo MOPU TD 175 cm Reflex I</v>
      </c>
      <c r="C1707" s="4">
        <f>IFERROR(__xludf.DUMMYFUNCTION("""COMPUTED_VALUE"""),178.76)</f>
        <v>178.76</v>
      </c>
    </row>
    <row r="1708">
      <c r="A1708" s="4" t="str">
        <f>IFERROR(__xludf.DUMMYFUNCTION("""COMPUTED_VALUE"""),"80175N2")</f>
        <v>80175N2</v>
      </c>
      <c r="B1708" s="4" t="str">
        <f>IFERROR(__xludf.DUMMYFUNCTION("""COMPUTED_VALUE"""),"Triangulo MOPU TD 175 cm Reflex II")</f>
        <v>Triangulo MOPU TD 175 cm Reflex II</v>
      </c>
      <c r="C1708" s="4">
        <f>IFERROR(__xludf.DUMMYFUNCTION("""COMPUTED_VALUE"""),224.66)</f>
        <v>224.66</v>
      </c>
    </row>
    <row r="1709">
      <c r="A1709" s="4" t="str">
        <f>IFERROR(__xludf.DUMMYFUNCTION("""COMPUTED_VALUE"""),"80175N3")</f>
        <v>80175N3</v>
      </c>
      <c r="B1709" s="4" t="str">
        <f>IFERROR(__xludf.DUMMYFUNCTION("""COMPUTED_VALUE"""),"Triangulo MOPU TD 175 cm Reflex III")</f>
        <v>Triangulo MOPU TD 175 cm Reflex III</v>
      </c>
      <c r="C1709" s="4">
        <f>IFERROR(__xludf.DUMMYFUNCTION("""COMPUTED_VALUE"""),286.88)</f>
        <v>286.88</v>
      </c>
    </row>
    <row r="1710">
      <c r="A1710" s="4" t="str">
        <f>IFERROR(__xludf.DUMMYFUNCTION("""COMPUTED_VALUE"""),"8070N1")</f>
        <v>8070N1</v>
      </c>
      <c r="B1710" s="4" t="str">
        <f>IFERROR(__xludf.DUMMYFUNCTION("""COMPUTED_VALUE"""),"Triangulo MOPU TP 70 cm Reflex I")</f>
        <v>Triangulo MOPU TP 70 cm Reflex I</v>
      </c>
      <c r="C1710" s="4">
        <f>IFERROR(__xludf.DUMMYFUNCTION("""COMPUTED_VALUE"""),24.0)</f>
        <v>24</v>
      </c>
    </row>
    <row r="1711">
      <c r="A1711" s="4" t="str">
        <f>IFERROR(__xludf.DUMMYFUNCTION("""COMPUTED_VALUE"""),"8070N2")</f>
        <v>8070N2</v>
      </c>
      <c r="B1711" s="4" t="str">
        <f>IFERROR(__xludf.DUMMYFUNCTION("""COMPUTED_VALUE"""),"Triangulo MOPU TP 70 cm Reflex II")</f>
        <v>Triangulo MOPU TP 70 cm Reflex II</v>
      </c>
      <c r="C1711" s="4">
        <f>IFERROR(__xludf.DUMMYFUNCTION("""COMPUTED_VALUE"""),31.0)</f>
        <v>31</v>
      </c>
    </row>
    <row r="1712">
      <c r="A1712" s="4" t="str">
        <f>IFERROR(__xludf.DUMMYFUNCTION("""COMPUTED_VALUE"""),"8070N3")</f>
        <v>8070N3</v>
      </c>
      <c r="B1712" s="4" t="str">
        <f>IFERROR(__xludf.DUMMYFUNCTION("""COMPUTED_VALUE"""),"Triangulo MOPU TP 70 cm Reflex III")</f>
        <v>Triangulo MOPU TP 70 cm Reflex III</v>
      </c>
      <c r="C1712" s="4">
        <f>IFERROR(__xludf.DUMMYFUNCTION("""COMPUTED_VALUE"""),49.98)</f>
        <v>49.98</v>
      </c>
    </row>
    <row r="1713">
      <c r="A1713" s="4" t="str">
        <f>IFERROR(__xludf.DUMMYFUNCTION("""COMPUTED_VALUE"""),"8090N1")</f>
        <v>8090N1</v>
      </c>
      <c r="B1713" s="4" t="str">
        <f>IFERROR(__xludf.DUMMYFUNCTION("""COMPUTED_VALUE"""),"Triangulo MOPU TP 90 cm Reflex I")</f>
        <v>Triangulo MOPU TP 90 cm Reflex I</v>
      </c>
      <c r="C1713" s="4">
        <f>IFERROR(__xludf.DUMMYFUNCTION("""COMPUTED_VALUE"""),44.25)</f>
        <v>44.25</v>
      </c>
    </row>
    <row r="1714">
      <c r="A1714" s="4" t="str">
        <f>IFERROR(__xludf.DUMMYFUNCTION("""COMPUTED_VALUE"""),"8090N2")</f>
        <v>8090N2</v>
      </c>
      <c r="B1714" s="4" t="str">
        <f>IFERROR(__xludf.DUMMYFUNCTION("""COMPUTED_VALUE"""),"Triangulo MOPU TP 90 cm Reflex II")</f>
        <v>Triangulo MOPU TP 90 cm Reflex II</v>
      </c>
      <c r="C1714" s="4">
        <f>IFERROR(__xludf.DUMMYFUNCTION("""COMPUTED_VALUE"""),56.95)</f>
        <v>56.95</v>
      </c>
    </row>
    <row r="1715">
      <c r="A1715" s="4" t="str">
        <f>IFERROR(__xludf.DUMMYFUNCTION("""COMPUTED_VALUE"""),"8090N3")</f>
        <v>8090N3</v>
      </c>
      <c r="B1715" s="4" t="str">
        <f>IFERROR(__xludf.DUMMYFUNCTION("""COMPUTED_VALUE"""),"Triangulo MOPU TP 90 cm Reflex III")</f>
        <v>Triangulo MOPU TP 90 cm Reflex III</v>
      </c>
      <c r="C1715" s="4">
        <f>IFERROR(__xludf.DUMMYFUNCTION("""COMPUTED_VALUE"""),79.22)</f>
        <v>79.22</v>
      </c>
    </row>
    <row r="1716">
      <c r="A1716" s="4" t="str">
        <f>IFERROR(__xludf.DUMMYFUNCTION("""COMPUTED_VALUE"""),"81120N1")</f>
        <v>81120N1</v>
      </c>
      <c r="B1716" s="4" t="str">
        <f>IFERROR(__xludf.DUMMYFUNCTION("""COMPUTED_VALUE"""),"Disco MOPU TR 120 cm Reflex I")</f>
        <v>Disco MOPU TR 120 cm Reflex I</v>
      </c>
      <c r="C1716" s="4">
        <f>IFERROR(__xludf.DUMMYFUNCTION("""COMPUTED_VALUE"""),147.39)</f>
        <v>147.39</v>
      </c>
    </row>
    <row r="1717">
      <c r="A1717" s="4" t="str">
        <f>IFERROR(__xludf.DUMMYFUNCTION("""COMPUTED_VALUE"""),"81120N2")</f>
        <v>81120N2</v>
      </c>
      <c r="B1717" s="4" t="str">
        <f>IFERROR(__xludf.DUMMYFUNCTION("""COMPUTED_VALUE"""),"Disco MOPU TR 120 cm Reflex II")</f>
        <v>Disco MOPU TR 120 cm Reflex II</v>
      </c>
      <c r="C1717" s="4">
        <f>IFERROR(__xludf.DUMMYFUNCTION("""COMPUTED_VALUE"""),202.56)</f>
        <v>202.56</v>
      </c>
    </row>
    <row r="1718">
      <c r="A1718" s="4" t="str">
        <f>IFERROR(__xludf.DUMMYFUNCTION("""COMPUTED_VALUE"""),"81120N3")</f>
        <v>81120N3</v>
      </c>
      <c r="B1718" s="4" t="str">
        <f>IFERROR(__xludf.DUMMYFUNCTION("""COMPUTED_VALUE"""),"Disco MOPU TR 120 cm Reflex III")</f>
        <v>Disco MOPU TR 120 cm Reflex III</v>
      </c>
      <c r="C1718" s="4">
        <f>IFERROR(__xludf.DUMMYFUNCTION("""COMPUTED_VALUE"""),260.78)</f>
        <v>260.78</v>
      </c>
    </row>
    <row r="1719">
      <c r="A1719" s="4" t="str">
        <f>IFERROR(__xludf.DUMMYFUNCTION("""COMPUTED_VALUE"""),"8160N1")</f>
        <v>8160N1</v>
      </c>
      <c r="B1719" s="4" t="str">
        <f>IFERROR(__xludf.DUMMYFUNCTION("""COMPUTED_VALUE"""),"Disco MOPU TR 60 cm Reflex I")</f>
        <v>Disco MOPU TR 60 cm Reflex I</v>
      </c>
      <c r="C1719" s="4">
        <f>IFERROR(__xludf.DUMMYFUNCTION("""COMPUTED_VALUE"""),24.75)</f>
        <v>24.75</v>
      </c>
    </row>
    <row r="1720">
      <c r="A1720" s="4" t="str">
        <f>IFERROR(__xludf.DUMMYFUNCTION("""COMPUTED_VALUE"""),"8160N2")</f>
        <v>8160N2</v>
      </c>
      <c r="B1720" s="4" t="str">
        <f>IFERROR(__xludf.DUMMYFUNCTION("""COMPUTED_VALUE"""),"Disco MOPU TR 60 cm Reflex II")</f>
        <v>Disco MOPU TR 60 cm Reflex II</v>
      </c>
      <c r="C1720" s="4">
        <f>IFERROR(__xludf.DUMMYFUNCTION("""COMPUTED_VALUE"""),31.4)</f>
        <v>31.4</v>
      </c>
    </row>
    <row r="1721">
      <c r="A1721" s="4" t="str">
        <f>IFERROR(__xludf.DUMMYFUNCTION("""COMPUTED_VALUE"""),"8160N3")</f>
        <v>8160N3</v>
      </c>
      <c r="B1721" s="4" t="str">
        <f>IFERROR(__xludf.DUMMYFUNCTION("""COMPUTED_VALUE"""),"Disco MOPU TR 60 cm Reflex III")</f>
        <v>Disco MOPU TR 60 cm Reflex III</v>
      </c>
      <c r="C1721" s="4">
        <f>IFERROR(__xludf.DUMMYFUNCTION("""COMPUTED_VALUE"""),67.52)</f>
        <v>67.52</v>
      </c>
    </row>
    <row r="1722">
      <c r="A1722" s="4" t="str">
        <f>IFERROR(__xludf.DUMMYFUNCTION("""COMPUTED_VALUE"""),"8190N1")</f>
        <v>8190N1</v>
      </c>
      <c r="B1722" s="4" t="str">
        <f>IFERROR(__xludf.DUMMYFUNCTION("""COMPUTED_VALUE"""),"Disco MOPU TR 90 cm Reflex I")</f>
        <v>Disco MOPU TR 90 cm Reflex I</v>
      </c>
      <c r="C1722" s="4">
        <f>IFERROR(__xludf.DUMMYFUNCTION("""COMPUTED_VALUE"""),69.53)</f>
        <v>69.53</v>
      </c>
    </row>
    <row r="1723">
      <c r="A1723" s="4" t="str">
        <f>IFERROR(__xludf.DUMMYFUNCTION("""COMPUTED_VALUE"""),"8190N2")</f>
        <v>8190N2</v>
      </c>
      <c r="B1723" s="4" t="str">
        <f>IFERROR(__xludf.DUMMYFUNCTION("""COMPUTED_VALUE"""),"Disco MOPU TR 90 cm Reflex II")</f>
        <v>Disco MOPU TR 90 cm Reflex II</v>
      </c>
      <c r="C1723" s="4">
        <f>IFERROR(__xludf.DUMMYFUNCTION("""COMPUTED_VALUE"""),104.0)</f>
        <v>104</v>
      </c>
    </row>
    <row r="1724">
      <c r="A1724" s="4" t="str">
        <f>IFERROR(__xludf.DUMMYFUNCTION("""COMPUTED_VALUE"""),"8190N3")</f>
        <v>8190N3</v>
      </c>
      <c r="B1724" s="4" t="str">
        <f>IFERROR(__xludf.DUMMYFUNCTION("""COMPUTED_VALUE"""),"Disco MOPU TR 90 cm Reflex III")</f>
        <v>Disco MOPU TR 90 cm Reflex III</v>
      </c>
      <c r="C1724" s="4">
        <f>IFERROR(__xludf.DUMMYFUNCTION("""COMPUTED_VALUE"""),151.0)</f>
        <v>151</v>
      </c>
    </row>
    <row r="1725">
      <c r="A1725" s="4" t="str">
        <f>IFERROR(__xludf.DUMMYFUNCTION("""COMPUTED_VALUE"""),"8201")</f>
        <v>8201</v>
      </c>
      <c r="B1725" s="4" t="str">
        <f>IFERROR(__xludf.DUMMYFUNCTION("""COMPUTED_VALUE"""),"Adhesivo 11x15 Extintor")</f>
        <v>Adhesivo 11x15 Extintor</v>
      </c>
      <c r="C1725" s="4">
        <f>IFERROR(__xludf.DUMMYFUNCTION("""COMPUTED_VALUE"""),0.55)</f>
        <v>0.55</v>
      </c>
    </row>
    <row r="1726">
      <c r="A1726" s="4" t="str">
        <f>IFERROR(__xludf.DUMMYFUNCTION("""COMPUTED_VALUE"""),"8201/B")</f>
        <v>8201/B</v>
      </c>
      <c r="B1726" s="4" t="str">
        <f>IFERROR(__xludf.DUMMYFUNCTION("""COMPUTED_VALUE"""),"Blister 10 unid. Adhesivo 11x15 Extintor")</f>
        <v>Blister 10 unid. Adhesivo 11x15 Extintor</v>
      </c>
      <c r="C1726" s="4">
        <f>IFERROR(__xludf.DUMMYFUNCTION("""COMPUTED_VALUE"""),4.4)</f>
        <v>4.4</v>
      </c>
    </row>
    <row r="1727">
      <c r="A1727" s="4" t="str">
        <f>IFERROR(__xludf.DUMMYFUNCTION("""COMPUTED_VALUE"""),"8210")</f>
        <v>8210</v>
      </c>
      <c r="B1727" s="4" t="str">
        <f>IFERROR(__xludf.DUMMYFUNCTION("""COMPUTED_VALUE"""),"Adhesivo 11x15 Riesgo electrico")</f>
        <v>Adhesivo 11x15 Riesgo electrico</v>
      </c>
      <c r="C1727" s="4">
        <f>IFERROR(__xludf.DUMMYFUNCTION("""COMPUTED_VALUE"""),0.55)</f>
        <v>0.55</v>
      </c>
    </row>
    <row r="1728">
      <c r="A1728" s="4" t="str">
        <f>IFERROR(__xludf.DUMMYFUNCTION("""COMPUTED_VALUE"""),"8210/B")</f>
        <v>8210/B</v>
      </c>
      <c r="B1728" s="4" t="str">
        <f>IFERROR(__xludf.DUMMYFUNCTION("""COMPUTED_VALUE"""),"Blister 10 unid. Adhesivo 11x15 Riesgo electrico")</f>
        <v>Blister 10 unid. Adhesivo 11x15 Riesgo electrico</v>
      </c>
      <c r="C1728" s="4">
        <f>IFERROR(__xludf.DUMMYFUNCTION("""COMPUTED_VALUE"""),4.4)</f>
        <v>4.4</v>
      </c>
    </row>
    <row r="1729">
      <c r="A1729" s="4" t="str">
        <f>IFERROR(__xludf.DUMMYFUNCTION("""COMPUTED_VALUE"""),"8216")</f>
        <v>8216</v>
      </c>
      <c r="B1729" s="4" t="str">
        <f>IFERROR(__xludf.DUMMYFUNCTION("""COMPUTED_VALUE"""),"Adhesivo 11x15 Materias comburentes")</f>
        <v>Adhesivo 11x15 Materias comburentes</v>
      </c>
      <c r="C1729" s="4">
        <f>IFERROR(__xludf.DUMMYFUNCTION("""COMPUTED_VALUE"""),0.55)</f>
        <v>0.55</v>
      </c>
    </row>
    <row r="1730">
      <c r="A1730" s="4" t="str">
        <f>IFERROR(__xludf.DUMMYFUNCTION("""COMPUTED_VALUE"""),"8216/B")</f>
        <v>8216/B</v>
      </c>
      <c r="B1730" s="4" t="str">
        <f>IFERROR(__xludf.DUMMYFUNCTION("""COMPUTED_VALUE"""),"Blister 10 unid. Adhesivo 11x15 Materias comburentes")</f>
        <v>Blister 10 unid. Adhesivo 11x15 Materias comburentes</v>
      </c>
      <c r="C1730" s="4">
        <f>IFERROR(__xludf.DUMMYFUNCTION("""COMPUTED_VALUE"""),4.4)</f>
        <v>4.4</v>
      </c>
    </row>
    <row r="1731">
      <c r="A1731" s="4" t="str">
        <f>IFERROR(__xludf.DUMMYFUNCTION("""COMPUTED_VALUE"""),"8218")</f>
        <v>8218</v>
      </c>
      <c r="B1731" s="4" t="str">
        <f>IFERROR(__xludf.DUMMYFUNCTION("""COMPUTED_VALUE"""),"Adhesivo 11x15 Campo Magnetico Intenso")</f>
        <v>Adhesivo 11x15 Campo Magnetico Intenso</v>
      </c>
      <c r="C1731" s="4">
        <f>IFERROR(__xludf.DUMMYFUNCTION("""COMPUTED_VALUE"""),0.55)</f>
        <v>0.55</v>
      </c>
    </row>
    <row r="1732">
      <c r="A1732" s="4" t="str">
        <f>IFERROR(__xludf.DUMMYFUNCTION("""COMPUTED_VALUE"""),"8218/B")</f>
        <v>8218/B</v>
      </c>
      <c r="B1732" s="4" t="str">
        <f>IFERROR(__xludf.DUMMYFUNCTION("""COMPUTED_VALUE"""),"Blister 10 unid. Adhesivo 11x15 Campo Magnetico Intenso")</f>
        <v>Blister 10 unid. Adhesivo 11x15 Campo Magnetico Intenso</v>
      </c>
      <c r="C1732" s="4">
        <f>IFERROR(__xludf.DUMMYFUNCTION("""COMPUTED_VALUE"""),4.4)</f>
        <v>4.4</v>
      </c>
    </row>
    <row r="1733">
      <c r="A1733" s="4" t="str">
        <f>IFERROR(__xludf.DUMMYFUNCTION("""COMPUTED_VALUE"""),"8219")</f>
        <v>8219</v>
      </c>
      <c r="B1733" s="4" t="str">
        <f>IFERROR(__xludf.DUMMYFUNCTION("""COMPUTED_VALUE"""),"Adhesivo 11x15 Materias Inflamables")</f>
        <v>Adhesivo 11x15 Materias Inflamables</v>
      </c>
      <c r="C1733" s="4">
        <f>IFERROR(__xludf.DUMMYFUNCTION("""COMPUTED_VALUE"""),0.55)</f>
        <v>0.55</v>
      </c>
    </row>
    <row r="1734">
      <c r="A1734" s="4" t="str">
        <f>IFERROR(__xludf.DUMMYFUNCTION("""COMPUTED_VALUE"""),"8219/B")</f>
        <v>8219/B</v>
      </c>
      <c r="B1734" s="4" t="str">
        <f>IFERROR(__xludf.DUMMYFUNCTION("""COMPUTED_VALUE"""),"Blister 10 unid. Adhesivo 11x15 Materias inflamables")</f>
        <v>Blister 10 unid. Adhesivo 11x15 Materias inflamables</v>
      </c>
      <c r="C1734" s="4">
        <f>IFERROR(__xludf.DUMMYFUNCTION("""COMPUTED_VALUE"""),4.4)</f>
        <v>4.4</v>
      </c>
    </row>
    <row r="1735">
      <c r="A1735" s="4" t="str">
        <f>IFERROR(__xludf.DUMMYFUNCTION("""COMPUTED_VALUE"""),"8220")</f>
        <v>8220</v>
      </c>
      <c r="B1735" s="4" t="str">
        <f>IFERROR(__xludf.DUMMYFUNCTION("""COMPUTED_VALUE"""),"Adhesivo 11x15 Uso oblig. casco")</f>
        <v>Adhesivo 11x15 Uso oblig. casco</v>
      </c>
      <c r="C1735" s="4">
        <f>IFERROR(__xludf.DUMMYFUNCTION("""COMPUTED_VALUE"""),0.55)</f>
        <v>0.55</v>
      </c>
    </row>
    <row r="1736">
      <c r="A1736" s="4" t="str">
        <f>IFERROR(__xludf.DUMMYFUNCTION("""COMPUTED_VALUE"""),"8220/B")</f>
        <v>8220/B</v>
      </c>
      <c r="B1736" s="4" t="str">
        <f>IFERROR(__xludf.DUMMYFUNCTION("""COMPUTED_VALUE"""),"Blister 10 unid. Adhesivo 11x15 Uso oblig. casco")</f>
        <v>Blister 10 unid. Adhesivo 11x15 Uso oblig. casco</v>
      </c>
      <c r="C1736" s="4">
        <f>IFERROR(__xludf.DUMMYFUNCTION("""COMPUTED_VALUE"""),4.4)</f>
        <v>4.4</v>
      </c>
    </row>
    <row r="1737">
      <c r="A1737" s="4" t="str">
        <f>IFERROR(__xludf.DUMMYFUNCTION("""COMPUTED_VALUE"""),"8221")</f>
        <v>8221</v>
      </c>
      <c r="B1737" s="4" t="str">
        <f>IFERROR(__xludf.DUMMYFUNCTION("""COMPUTED_VALUE"""),"Adhesivo 11x15 Uso Oblig. botas")</f>
        <v>Adhesivo 11x15 Uso Oblig. botas</v>
      </c>
      <c r="C1737" s="4">
        <f>IFERROR(__xludf.DUMMYFUNCTION("""COMPUTED_VALUE"""),0.55)</f>
        <v>0.55</v>
      </c>
    </row>
    <row r="1738">
      <c r="A1738" s="4" t="str">
        <f>IFERROR(__xludf.DUMMYFUNCTION("""COMPUTED_VALUE"""),"8221/B")</f>
        <v>8221/B</v>
      </c>
      <c r="B1738" s="4" t="str">
        <f>IFERROR(__xludf.DUMMYFUNCTION("""COMPUTED_VALUE"""),"Blister 10 unid. Adhesivo 11x15 Uso oblig. botas")</f>
        <v>Blister 10 unid. Adhesivo 11x15 Uso oblig. botas</v>
      </c>
      <c r="C1738" s="4">
        <f>IFERROR(__xludf.DUMMYFUNCTION("""COMPUTED_VALUE"""),4.4)</f>
        <v>4.4</v>
      </c>
    </row>
    <row r="1739">
      <c r="A1739" s="4" t="str">
        <f>IFERROR(__xludf.DUMMYFUNCTION("""COMPUTED_VALUE"""),"8222")</f>
        <v>8222</v>
      </c>
      <c r="B1739" s="4" t="str">
        <f>IFERROR(__xludf.DUMMYFUNCTION("""COMPUTED_VALUE"""),"Adhesivo 11x15 Uso oblig Guantes")</f>
        <v>Adhesivo 11x15 Uso oblig Guantes</v>
      </c>
      <c r="C1739" s="4">
        <f>IFERROR(__xludf.DUMMYFUNCTION("""COMPUTED_VALUE"""),0.55)</f>
        <v>0.55</v>
      </c>
    </row>
    <row r="1740">
      <c r="A1740" s="4" t="str">
        <f>IFERROR(__xludf.DUMMYFUNCTION("""COMPUTED_VALUE"""),"8222/B")</f>
        <v>8222/B</v>
      </c>
      <c r="B1740" s="4" t="str">
        <f>IFERROR(__xludf.DUMMYFUNCTION("""COMPUTED_VALUE"""),"Blister 10 unid. Adhesivo 11x15 Uso oblig. guantes")</f>
        <v>Blister 10 unid. Adhesivo 11x15 Uso oblig. guantes</v>
      </c>
      <c r="C1740" s="4">
        <f>IFERROR(__xludf.DUMMYFUNCTION("""COMPUTED_VALUE"""),4.4)</f>
        <v>4.4</v>
      </c>
    </row>
    <row r="1741">
      <c r="A1741" s="4" t="str">
        <f>IFERROR(__xludf.DUMMYFUNCTION("""COMPUTED_VALUE"""),"8223")</f>
        <v>8223</v>
      </c>
      <c r="B1741" s="4" t="str">
        <f>IFERROR(__xludf.DUMMYFUNCTION("""COMPUTED_VALUE"""),"Adhesivo 11x15 Uso oblig. prot. acustica")</f>
        <v>Adhesivo 11x15 Uso oblig. prot. acustica</v>
      </c>
      <c r="C1741" s="4">
        <f>IFERROR(__xludf.DUMMYFUNCTION("""COMPUTED_VALUE"""),0.55)</f>
        <v>0.55</v>
      </c>
    </row>
    <row r="1742">
      <c r="A1742" s="4" t="str">
        <f>IFERROR(__xludf.DUMMYFUNCTION("""COMPUTED_VALUE"""),"8223/B")</f>
        <v>8223/B</v>
      </c>
      <c r="B1742" s="4" t="str">
        <f>IFERROR(__xludf.DUMMYFUNCTION("""COMPUTED_VALUE"""),"Blister 10 unid. Adhesivo 11x15 Uso oblig.protec.acustica")</f>
        <v>Blister 10 unid. Adhesivo 11x15 Uso oblig.protec.acustica</v>
      </c>
      <c r="C1742" s="4">
        <f>IFERROR(__xludf.DUMMYFUNCTION("""COMPUTED_VALUE"""),4.4)</f>
        <v>4.4</v>
      </c>
    </row>
    <row r="1743">
      <c r="A1743" s="4" t="str">
        <f>IFERROR(__xludf.DUMMYFUNCTION("""COMPUTED_VALUE"""),"8226")</f>
        <v>8226</v>
      </c>
      <c r="B1743" s="4" t="str">
        <f>IFERROR(__xludf.DUMMYFUNCTION("""COMPUTED_VALUE"""),"Adhesivo 11x15 Uso oblig Gafas")</f>
        <v>Adhesivo 11x15 Uso oblig Gafas</v>
      </c>
      <c r="C1743" s="4">
        <f>IFERROR(__xludf.DUMMYFUNCTION("""COMPUTED_VALUE"""),0.55)</f>
        <v>0.55</v>
      </c>
    </row>
    <row r="1744">
      <c r="A1744" s="4" t="str">
        <f>IFERROR(__xludf.DUMMYFUNCTION("""COMPUTED_VALUE"""),"8226/B")</f>
        <v>8226/B</v>
      </c>
      <c r="B1744" s="4" t="str">
        <f>IFERROR(__xludf.DUMMYFUNCTION("""COMPUTED_VALUE"""),"Blister 10 unid. Adhesivo 11x15 Uso obligatorio Gafas")</f>
        <v>Blister 10 unid. Adhesivo 11x15 Uso obligatorio Gafas</v>
      </c>
      <c r="C1744" s="4">
        <f>IFERROR(__xludf.DUMMYFUNCTION("""COMPUTED_VALUE"""),4.4)</f>
        <v>4.4</v>
      </c>
    </row>
    <row r="1745">
      <c r="A1745" s="4" t="str">
        <f>IFERROR(__xludf.DUMMYFUNCTION("""COMPUTED_VALUE"""),"8227")</f>
        <v>8227</v>
      </c>
      <c r="B1745" s="4" t="str">
        <f>IFERROR(__xludf.DUMMYFUNCTION("""COMPUTED_VALUE"""),"Adhesivo 11x 15 Uso oblig. arnes segur.")</f>
        <v>Adhesivo 11x 15 Uso oblig. arnes segur.</v>
      </c>
      <c r="C1745" s="4">
        <f>IFERROR(__xludf.DUMMYFUNCTION("""COMPUTED_VALUE"""),0.55)</f>
        <v>0.55</v>
      </c>
    </row>
    <row r="1746">
      <c r="A1746" s="4" t="str">
        <f>IFERROR(__xludf.DUMMYFUNCTION("""COMPUTED_VALUE"""),"8227/B")</f>
        <v>8227/B</v>
      </c>
      <c r="B1746" s="4" t="str">
        <f>IFERROR(__xludf.DUMMYFUNCTION("""COMPUTED_VALUE"""),"Blister 10 und. Adhesivo 11x15 Uso oblig. arnes seguridad")</f>
        <v>Blister 10 und. Adhesivo 11x15 Uso oblig. arnes seguridad</v>
      </c>
      <c r="C1746" s="4">
        <f>IFERROR(__xludf.DUMMYFUNCTION("""COMPUTED_VALUE"""),4.4)</f>
        <v>4.4</v>
      </c>
    </row>
    <row r="1747">
      <c r="A1747" s="4" t="str">
        <f>IFERROR(__xludf.DUMMYFUNCTION("""COMPUTED_VALUE"""),"8230")</f>
        <v>8230</v>
      </c>
      <c r="B1747" s="4" t="str">
        <f>IFERROR(__xludf.DUMMYFUNCTION("""COMPUTED_VALUE"""),"Adhesivo 11x 15 Prohibido Fumar")</f>
        <v>Adhesivo 11x 15 Prohibido Fumar</v>
      </c>
      <c r="C1747" s="4">
        <f>IFERROR(__xludf.DUMMYFUNCTION("""COMPUTED_VALUE"""),0.55)</f>
        <v>0.55</v>
      </c>
    </row>
    <row r="1748">
      <c r="A1748" s="4" t="str">
        <f>IFERROR(__xludf.DUMMYFUNCTION("""COMPUTED_VALUE"""),"8230/B")</f>
        <v>8230/B</v>
      </c>
      <c r="B1748" s="4" t="str">
        <f>IFERROR(__xludf.DUMMYFUNCTION("""COMPUTED_VALUE"""),"Blister 10 unid. Adhesivo 11x15 Prohibido Fumar")</f>
        <v>Blister 10 unid. Adhesivo 11x15 Prohibido Fumar</v>
      </c>
      <c r="C1748" s="4">
        <f>IFERROR(__xludf.DUMMYFUNCTION("""COMPUTED_VALUE"""),4.4)</f>
        <v>4.4</v>
      </c>
    </row>
    <row r="1749">
      <c r="A1749" s="4" t="str">
        <f>IFERROR(__xludf.DUMMYFUNCTION("""COMPUTED_VALUE"""),"8232")</f>
        <v>8232</v>
      </c>
      <c r="B1749" s="4" t="str">
        <f>IFERROR(__xludf.DUMMYFUNCTION("""COMPUTED_VALUE"""),"Adhesivo 11x15 Prohibido pasar sin casco")</f>
        <v>Adhesivo 11x15 Prohibido pasar sin casco</v>
      </c>
      <c r="C1749" s="4">
        <f>IFERROR(__xludf.DUMMYFUNCTION("""COMPUTED_VALUE"""),0.55)</f>
        <v>0.55</v>
      </c>
    </row>
    <row r="1750">
      <c r="A1750" s="4" t="str">
        <f>IFERROR(__xludf.DUMMYFUNCTION("""COMPUTED_VALUE"""),"8232/B")</f>
        <v>8232/B</v>
      </c>
      <c r="B1750" s="4" t="str">
        <f>IFERROR(__xludf.DUMMYFUNCTION("""COMPUTED_VALUE"""),"Blister 10 unid. Adhesivo 11x15 Prohibido pasar sin casco")</f>
        <v>Blister 10 unid. Adhesivo 11x15 Prohibido pasar sin casco</v>
      </c>
      <c r="C1750" s="4">
        <f>IFERROR(__xludf.DUMMYFUNCTION("""COMPUTED_VALUE"""),4.4)</f>
        <v>4.4</v>
      </c>
    </row>
    <row r="1751">
      <c r="A1751" s="4" t="str">
        <f>IFERROR(__xludf.DUMMYFUNCTION("""COMPUTED_VALUE"""),"8238")</f>
        <v>8238</v>
      </c>
      <c r="B1751" s="4" t="str">
        <f>IFERROR(__xludf.DUMMYFUNCTION("""COMPUTED_VALUE"""),"Adhesivo 11x15 Atencion puesta a tierra")</f>
        <v>Adhesivo 11x15 Atencion puesta a tierra</v>
      </c>
      <c r="C1751" s="4">
        <f>IFERROR(__xludf.DUMMYFUNCTION("""COMPUTED_VALUE"""),0.55)</f>
        <v>0.55</v>
      </c>
    </row>
    <row r="1752">
      <c r="A1752" s="4" t="str">
        <f>IFERROR(__xludf.DUMMYFUNCTION("""COMPUTED_VALUE"""),"8238/B")</f>
        <v>8238/B</v>
      </c>
      <c r="B1752" s="4" t="str">
        <f>IFERROR(__xludf.DUMMYFUNCTION("""COMPUTED_VALUE"""),"Blister 10 unid .Adhesivo 11x15 Atencion puesta a tierra")</f>
        <v>Blister 10 unid .Adhesivo 11x15 Atencion puesta a tierra</v>
      </c>
      <c r="C1752" s="4">
        <f>IFERROR(__xludf.DUMMYFUNCTION("""COMPUTED_VALUE"""),4.4)</f>
        <v>4.4</v>
      </c>
    </row>
    <row r="1753">
      <c r="A1753" s="4" t="str">
        <f>IFERROR(__xludf.DUMMYFUNCTION("""COMPUTED_VALUE"""),"8250")</f>
        <v>8250</v>
      </c>
      <c r="B1753" s="4" t="str">
        <f>IFERROR(__xludf.DUMMYFUNCTION("""COMPUTED_VALUE"""),"Adhesivo 11x15 Peligro")</f>
        <v>Adhesivo 11x15 Peligro</v>
      </c>
      <c r="C1753" s="4">
        <f>IFERROR(__xludf.DUMMYFUNCTION("""COMPUTED_VALUE"""),0.55)</f>
        <v>0.55</v>
      </c>
    </row>
    <row r="1754">
      <c r="A1754" s="4" t="str">
        <f>IFERROR(__xludf.DUMMYFUNCTION("""COMPUTED_VALUE"""),"8250/B")</f>
        <v>8250/B</v>
      </c>
      <c r="B1754" s="4" t="str">
        <f>IFERROR(__xludf.DUMMYFUNCTION("""COMPUTED_VALUE"""),"Blister 10 unid. Adhesivo 11x15 Peligro")</f>
        <v>Blister 10 unid. Adhesivo 11x15 Peligro</v>
      </c>
      <c r="C1754" s="4">
        <f>IFERROR(__xludf.DUMMYFUNCTION("""COMPUTED_VALUE"""),4.4)</f>
        <v>4.4</v>
      </c>
    </row>
    <row r="1755">
      <c r="A1755" s="4" t="str">
        <f>IFERROR(__xludf.DUMMYFUNCTION("""COMPUTED_VALUE"""),"8252")</f>
        <v>8252</v>
      </c>
      <c r="B1755" s="4" t="str">
        <f>IFERROR(__xludf.DUMMYFUNCTION("""COMPUTED_VALUE"""),"Adhesivo 11x15 Riesgo de atrapamiento")</f>
        <v>Adhesivo 11x15 Riesgo de atrapamiento</v>
      </c>
      <c r="C1755" s="4">
        <f>IFERROR(__xludf.DUMMYFUNCTION("""COMPUTED_VALUE"""),0.55)</f>
        <v>0.55</v>
      </c>
    </row>
    <row r="1756">
      <c r="A1756" s="4" t="str">
        <f>IFERROR(__xludf.DUMMYFUNCTION("""COMPUTED_VALUE"""),"8252/B")</f>
        <v>8252/B</v>
      </c>
      <c r="B1756" s="4" t="str">
        <f>IFERROR(__xludf.DUMMYFUNCTION("""COMPUTED_VALUE"""),"Blister 10 unid. Adhesivo 11x15 Riesgo de atrapamiento")</f>
        <v>Blister 10 unid. Adhesivo 11x15 Riesgo de atrapamiento</v>
      </c>
      <c r="C1756" s="4">
        <f>IFERROR(__xludf.DUMMYFUNCTION("""COMPUTED_VALUE"""),4.4)</f>
        <v>4.4</v>
      </c>
    </row>
    <row r="1757">
      <c r="A1757" s="4" t="str">
        <f>IFERROR(__xludf.DUMMYFUNCTION("""COMPUTED_VALUE"""),"8253")</f>
        <v>8253</v>
      </c>
      <c r="B1757" s="4" t="str">
        <f>IFERROR(__xludf.DUMMYFUNCTION("""COMPUTED_VALUE"""),"Adhesivo 11x15 Proh. paso toda person ajena empresa")</f>
        <v>Adhesivo 11x15 Proh. paso toda person ajena empresa</v>
      </c>
      <c r="C1757" s="4">
        <f>IFERROR(__xludf.DUMMYFUNCTION("""COMPUTED_VALUE"""),0.55)</f>
        <v>0.55</v>
      </c>
    </row>
    <row r="1758">
      <c r="A1758" s="4" t="str">
        <f>IFERROR(__xludf.DUMMYFUNCTION("""COMPUTED_VALUE"""),"8253/B")</f>
        <v>8253/B</v>
      </c>
      <c r="B1758" s="4" t="str">
        <f>IFERROR(__xludf.DUMMYFUNCTION("""COMPUTED_VALUE"""),"Blister 10 unid. Adehsivo 11x15 Proh. paso toda persona ajena")</f>
        <v>Blister 10 unid. Adehsivo 11x15 Proh. paso toda persona ajena</v>
      </c>
      <c r="C1758" s="4">
        <f>IFERROR(__xludf.DUMMYFUNCTION("""COMPUTED_VALUE"""),4.4)</f>
        <v>4.4</v>
      </c>
    </row>
    <row r="1759">
      <c r="A1759" s="4" t="str">
        <f>IFERROR(__xludf.DUMMYFUNCTION("""COMPUTED_VALUE"""),"8256")</f>
        <v>8256</v>
      </c>
      <c r="B1759" s="4" t="str">
        <f>IFERROR(__xludf.DUMMYFUNCTION("""COMPUTED_VALUE"""),"Adhesivo 11x15 Botiquin")</f>
        <v>Adhesivo 11x15 Botiquin</v>
      </c>
      <c r="C1759" s="4">
        <f>IFERROR(__xludf.DUMMYFUNCTION("""COMPUTED_VALUE"""),0.55)</f>
        <v>0.55</v>
      </c>
    </row>
    <row r="1760">
      <c r="A1760" s="4" t="str">
        <f>IFERROR(__xludf.DUMMYFUNCTION("""COMPUTED_VALUE"""),"8256/B")</f>
        <v>8256/B</v>
      </c>
      <c r="B1760" s="4" t="str">
        <f>IFERROR(__xludf.DUMMYFUNCTION("""COMPUTED_VALUE"""),"Blister 10 unid. adhesivo 11x15 Botiquin")</f>
        <v>Blister 10 unid. adhesivo 11x15 Botiquin</v>
      </c>
      <c r="C1760" s="4">
        <f>IFERROR(__xludf.DUMMYFUNCTION("""COMPUTED_VALUE"""),4.4)</f>
        <v>4.4</v>
      </c>
    </row>
    <row r="1761">
      <c r="A1761" s="4" t="str">
        <f>IFERROR(__xludf.DUMMYFUNCTION("""COMPUTED_VALUE"""),"8275")</f>
        <v>8275</v>
      </c>
      <c r="B1761" s="4" t="str">
        <f>IFERROR(__xludf.DUMMYFUNCTION("""COMPUTED_VALUE"""),"Adhesivo 11x15 Proh. repar.personal no autorizado")</f>
        <v>Adhesivo 11x15 Proh. repar.personal no autorizado</v>
      </c>
      <c r="C1761" s="4">
        <f>IFERROR(__xludf.DUMMYFUNCTION("""COMPUTED_VALUE"""),0.55)</f>
        <v>0.55</v>
      </c>
    </row>
    <row r="1762">
      <c r="A1762" s="4" t="str">
        <f>IFERROR(__xludf.DUMMYFUNCTION("""COMPUTED_VALUE"""),"8275/B")</f>
        <v>8275/B</v>
      </c>
      <c r="B1762" s="4" t="str">
        <f>IFERROR(__xludf.DUMMYFUNCTION("""COMPUTED_VALUE"""),"Blister 10 unid. Adhesivo 11x15 Proh. repar.personal no")</f>
        <v>Blister 10 unid. Adhesivo 11x15 Proh. repar.personal no</v>
      </c>
      <c r="C1762" s="4">
        <f>IFERROR(__xludf.DUMMYFUNCTION("""COMPUTED_VALUE"""),4.4)</f>
        <v>4.4</v>
      </c>
    </row>
    <row r="1763">
      <c r="A1763" s="4" t="str">
        <f>IFERROR(__xludf.DUMMYFUNCTION("""COMPUTED_VALUE"""),"8281")</f>
        <v>8281</v>
      </c>
      <c r="B1763" s="4" t="str">
        <f>IFERROR(__xludf.DUMMYFUNCTION("""COMPUTED_VALUE"""),"Adhesivo 11x15 Agua no potable")</f>
        <v>Adhesivo 11x15 Agua no potable</v>
      </c>
      <c r="C1763" s="4">
        <f>IFERROR(__xludf.DUMMYFUNCTION("""COMPUTED_VALUE"""),0.55)</f>
        <v>0.55</v>
      </c>
    </row>
    <row r="1764">
      <c r="A1764" s="4" t="str">
        <f>IFERROR(__xludf.DUMMYFUNCTION("""COMPUTED_VALUE"""),"8281/B")</f>
        <v>8281/B</v>
      </c>
      <c r="B1764" s="4" t="str">
        <f>IFERROR(__xludf.DUMMYFUNCTION("""COMPUTED_VALUE"""),"Blister 10 unid. Adhesivo 11x15 Agua no potable")</f>
        <v>Blister 10 unid. Adhesivo 11x15 Agua no potable</v>
      </c>
      <c r="C1764" s="4">
        <f>IFERROR(__xludf.DUMMYFUNCTION("""COMPUTED_VALUE"""),4.4)</f>
        <v>4.4</v>
      </c>
    </row>
    <row r="1765">
      <c r="A1765" s="4" t="str">
        <f>IFERROR(__xludf.DUMMYFUNCTION("""COMPUTED_VALUE"""),"8283")</f>
        <v>8283</v>
      </c>
      <c r="B1765" s="4" t="str">
        <f>IFERROR(__xludf.DUMMYFUNCTION("""COMPUTED_VALUE"""),"Adhesivo 10x15 Uso obligatorio de mascara")</f>
        <v>Adhesivo 10x15 Uso obligatorio de mascara</v>
      </c>
      <c r="C1765" s="4">
        <f>IFERROR(__xludf.DUMMYFUNCTION("""COMPUTED_VALUE"""),0.55)</f>
        <v>0.55</v>
      </c>
    </row>
    <row r="1766">
      <c r="A1766" s="4" t="str">
        <f>IFERROR(__xludf.DUMMYFUNCTION("""COMPUTED_VALUE"""),"8283/B")</f>
        <v>8283/B</v>
      </c>
      <c r="B1766" s="4" t="str">
        <f>IFERROR(__xludf.DUMMYFUNCTION("""COMPUTED_VALUE"""),"Blister 10 unid. Adhesivo 11x15 Uso obligatorio mascara")</f>
        <v>Blister 10 unid. Adhesivo 11x15 Uso obligatorio mascara</v>
      </c>
      <c r="C1766" s="4">
        <f>IFERROR(__xludf.DUMMYFUNCTION("""COMPUTED_VALUE"""),4.4)</f>
        <v>4.4</v>
      </c>
    </row>
    <row r="1767">
      <c r="A1767" s="4" t="str">
        <f>IFERROR(__xludf.DUMMYFUNCTION("""COMPUTED_VALUE"""),"8290")</f>
        <v>8290</v>
      </c>
      <c r="B1767" s="4" t="str">
        <f>IFERROR(__xludf.DUMMYFUNCTION("""COMPUTED_VALUE"""),"Adhesivo 11x15 Peligro alta tension")</f>
        <v>Adhesivo 11x15 Peligro alta tension</v>
      </c>
      <c r="C1767" s="4">
        <f>IFERROR(__xludf.DUMMYFUNCTION("""COMPUTED_VALUE"""),0.55)</f>
        <v>0.55</v>
      </c>
    </row>
    <row r="1768">
      <c r="A1768" s="4" t="str">
        <f>IFERROR(__xludf.DUMMYFUNCTION("""COMPUTED_VALUE"""),"8290/B")</f>
        <v>8290/B</v>
      </c>
      <c r="B1768" s="4" t="str">
        <f>IFERROR(__xludf.DUMMYFUNCTION("""COMPUTED_VALUE"""),"Blister 10 unid. Adhesivo 11x15 Peligro Alta Tension")</f>
        <v>Blister 10 unid. Adhesivo 11x15 Peligro Alta Tension</v>
      </c>
      <c r="C1768" s="4">
        <f>IFERROR(__xludf.DUMMYFUNCTION("""COMPUTED_VALUE"""),4.4)</f>
        <v>4.4</v>
      </c>
    </row>
    <row r="1769">
      <c r="A1769" s="4" t="str">
        <f>IFERROR(__xludf.DUMMYFUNCTION("""COMPUTED_VALUE"""),"8291")</f>
        <v>8291</v>
      </c>
      <c r="B1769" s="4" t="str">
        <f>IFERROR(__xludf.DUMMYFUNCTION("""COMPUTED_VALUE"""),"Adhesivo 11x15 Peligro no maniobrar pers.no autor.")</f>
        <v>Adhesivo 11x15 Peligro no maniobrar pers.no autor.</v>
      </c>
      <c r="C1769" s="4">
        <f>IFERROR(__xludf.DUMMYFUNCTION("""COMPUTED_VALUE"""),0.55)</f>
        <v>0.55</v>
      </c>
    </row>
    <row r="1770">
      <c r="A1770" s="4" t="str">
        <f>IFERROR(__xludf.DUMMYFUNCTION("""COMPUTED_VALUE"""),"8291/B")</f>
        <v>8291/B</v>
      </c>
      <c r="B1770" s="4" t="str">
        <f>IFERROR(__xludf.DUMMYFUNCTION("""COMPUTED_VALUE"""),"Blister 10 unid. Adhesivo 11x15 Peligro no maniobrar pers. no")</f>
        <v>Blister 10 unid. Adhesivo 11x15 Peligro no maniobrar pers. no</v>
      </c>
      <c r="C1770" s="4">
        <f>IFERROR(__xludf.DUMMYFUNCTION("""COMPUTED_VALUE"""),4.4)</f>
        <v>4.4</v>
      </c>
    </row>
    <row r="1771">
      <c r="A1771" s="4" t="str">
        <f>IFERROR(__xludf.DUMMYFUNCTION("""COMPUTED_VALUE"""),"83120N1")</f>
        <v>83120N1</v>
      </c>
      <c r="B1771" s="4" t="str">
        <f>IFERROR(__xludf.DUMMYFUNCTION("""COMPUTED_VALUE"""),"Cuadrado MOPU TS 120x120 cm Reflex I")</f>
        <v>Cuadrado MOPU TS 120x120 cm Reflex I</v>
      </c>
      <c r="C1771" s="4">
        <f>IFERROR(__xludf.DUMMYFUNCTION("""COMPUTED_VALUE"""),143.14)</f>
        <v>143.14</v>
      </c>
    </row>
    <row r="1772">
      <c r="A1772" s="4" t="str">
        <f>IFERROR(__xludf.DUMMYFUNCTION("""COMPUTED_VALUE"""),"83120N2")</f>
        <v>83120N2</v>
      </c>
      <c r="B1772" s="4" t="str">
        <f>IFERROR(__xludf.DUMMYFUNCTION("""COMPUTED_VALUE"""),"Cuadrado MOPU TS 120x120 cm Reflex II")</f>
        <v>Cuadrado MOPU TS 120x120 cm Reflex II</v>
      </c>
      <c r="C1772" s="4">
        <f>IFERROR(__xludf.DUMMYFUNCTION("""COMPUTED_VALUE"""),200.6)</f>
        <v>200.6</v>
      </c>
    </row>
    <row r="1773">
      <c r="A1773" s="4" t="str">
        <f>IFERROR(__xludf.DUMMYFUNCTION("""COMPUTED_VALUE"""),"83120N3")</f>
        <v>83120N3</v>
      </c>
      <c r="B1773" s="4" t="str">
        <f>IFERROR(__xludf.DUMMYFUNCTION("""COMPUTED_VALUE"""),"Cuadrado MOPU TS 120x120 cm Reflex III")</f>
        <v>Cuadrado MOPU TS 120x120 cm Reflex III</v>
      </c>
      <c r="C1773" s="4">
        <f>IFERROR(__xludf.DUMMYFUNCTION("""COMPUTED_VALUE"""),305.49)</f>
        <v>305.49</v>
      </c>
    </row>
    <row r="1774">
      <c r="A1774" s="4" t="str">
        <f>IFERROR(__xludf.DUMMYFUNCTION("""COMPUTED_VALUE"""),"8340N1")</f>
        <v>8340N1</v>
      </c>
      <c r="B1774" s="4" t="str">
        <f>IFERROR(__xludf.DUMMYFUNCTION("""COMPUTED_VALUE"""),"Cuadrado MOPU TS 40x40 cm Reflex I")</f>
        <v>Cuadrado MOPU TS 40x40 cm Reflex I</v>
      </c>
      <c r="C1774" s="4">
        <f>IFERROR(__xludf.DUMMYFUNCTION("""COMPUTED_VALUE"""),31.0)</f>
        <v>31</v>
      </c>
    </row>
    <row r="1775">
      <c r="A1775" s="4" t="str">
        <f>IFERROR(__xludf.DUMMYFUNCTION("""COMPUTED_VALUE"""),"8340N2")</f>
        <v>8340N2</v>
      </c>
      <c r="B1775" s="4" t="str">
        <f>IFERROR(__xludf.DUMMYFUNCTION("""COMPUTED_VALUE"""),"Cuadrado MOPU TS 40x40 cm Reflex II")</f>
        <v>Cuadrado MOPU TS 40x40 cm Reflex II</v>
      </c>
      <c r="C1775" s="4">
        <f>IFERROR(__xludf.DUMMYFUNCTION("""COMPUTED_VALUE"""),36.0)</f>
        <v>36</v>
      </c>
    </row>
    <row r="1776">
      <c r="A1776" s="4" t="str">
        <f>IFERROR(__xludf.DUMMYFUNCTION("""COMPUTED_VALUE"""),"8340N3")</f>
        <v>8340N3</v>
      </c>
      <c r="B1776" s="4" t="str">
        <f>IFERROR(__xludf.DUMMYFUNCTION("""COMPUTED_VALUE"""),"Cuadrado MOPU TS 40x40 cm Reflex III")</f>
        <v>Cuadrado MOPU TS 40x40 cm Reflex III</v>
      </c>
      <c r="C1776" s="4">
        <f>IFERROR(__xludf.DUMMYFUNCTION("""COMPUTED_VALUE"""),54.0)</f>
        <v>54</v>
      </c>
    </row>
    <row r="1777">
      <c r="A1777" s="4" t="str">
        <f>IFERROR(__xludf.DUMMYFUNCTION("""COMPUTED_VALUE"""),"8360N1")</f>
        <v>8360N1</v>
      </c>
      <c r="B1777" s="4" t="str">
        <f>IFERROR(__xludf.DUMMYFUNCTION("""COMPUTED_VALUE"""),"Cuadrado MOPU TS 60x60 cm Reflex I")</f>
        <v>Cuadrado MOPU TS 60x60 cm Reflex I</v>
      </c>
      <c r="C1777" s="4">
        <f>IFERROR(__xludf.DUMMYFUNCTION("""COMPUTED_VALUE"""),27.0)</f>
        <v>27</v>
      </c>
    </row>
    <row r="1778">
      <c r="A1778" s="4" t="str">
        <f>IFERROR(__xludf.DUMMYFUNCTION("""COMPUTED_VALUE"""),"8360N2")</f>
        <v>8360N2</v>
      </c>
      <c r="B1778" s="4" t="str">
        <f>IFERROR(__xludf.DUMMYFUNCTION("""COMPUTED_VALUE"""),"Cuadrado MOPU TS 60x60 cm Reflex II")</f>
        <v>Cuadrado MOPU TS 60x60 cm Reflex II</v>
      </c>
      <c r="C1778" s="4">
        <f>IFERROR(__xludf.DUMMYFUNCTION("""COMPUTED_VALUE"""),44.25)</f>
        <v>44.25</v>
      </c>
    </row>
    <row r="1779">
      <c r="A1779" s="4" t="str">
        <f>IFERROR(__xludf.DUMMYFUNCTION("""COMPUTED_VALUE"""),"8360N3")</f>
        <v>8360N3</v>
      </c>
      <c r="B1779" s="4" t="str">
        <f>IFERROR(__xludf.DUMMYFUNCTION("""COMPUTED_VALUE"""),"Cuadrado MOPU TS 60x60 cm Reflex III")</f>
        <v>Cuadrado MOPU TS 60x60 cm Reflex III</v>
      </c>
      <c r="C1779" s="4">
        <f>IFERROR(__xludf.DUMMYFUNCTION("""COMPUTED_VALUE"""),72.75)</f>
        <v>72.75</v>
      </c>
    </row>
    <row r="1780">
      <c r="A1780" s="4" t="str">
        <f>IFERROR(__xludf.DUMMYFUNCTION("""COMPUTED_VALUE"""),"8374")</f>
        <v>8374</v>
      </c>
      <c r="B1780" s="4" t="str">
        <f>IFERROR(__xludf.DUMMYFUNCTION("""COMPUTED_VALUE"""),"Adhesivo 11x15 Riesgo de proyeccion de particulas")</f>
        <v>Adhesivo 11x15 Riesgo de proyeccion de particulas</v>
      </c>
      <c r="C1780" s="4">
        <f>IFERROR(__xludf.DUMMYFUNCTION("""COMPUTED_VALUE"""),0.55)</f>
        <v>0.55</v>
      </c>
    </row>
    <row r="1781">
      <c r="A1781" s="4" t="str">
        <f>IFERROR(__xludf.DUMMYFUNCTION("""COMPUTED_VALUE"""),"8375")</f>
        <v>8375</v>
      </c>
      <c r="B1781" s="4" t="str">
        <f>IFERROR(__xludf.DUMMYFUNCTION("""COMPUTED_VALUE"""),"Adhesivo 11x15 Peligro de incendio")</f>
        <v>Adhesivo 11x15 Peligro de incendio</v>
      </c>
      <c r="C1781" s="4">
        <f>IFERROR(__xludf.DUMMYFUNCTION("""COMPUTED_VALUE"""),0.55)</f>
        <v>0.55</v>
      </c>
    </row>
    <row r="1782">
      <c r="A1782" s="4" t="str">
        <f>IFERROR(__xludf.DUMMYFUNCTION("""COMPUTED_VALUE"""),"8381")</f>
        <v>8381</v>
      </c>
      <c r="B1782" s="4" t="str">
        <f>IFERROR(__xludf.DUMMYFUNCTION("""COMPUTED_VALUE"""),"Adhesivo 11x15 Riesgo contacto térmico")</f>
        <v>Adhesivo 11x15 Riesgo contacto térmico</v>
      </c>
      <c r="C1782" s="4">
        <f>IFERROR(__xludf.DUMMYFUNCTION("""COMPUTED_VALUE"""),0.55)</f>
        <v>0.55</v>
      </c>
    </row>
    <row r="1783">
      <c r="A1783" s="4" t="str">
        <f>IFERROR(__xludf.DUMMYFUNCTION("""COMPUTED_VALUE"""),"8382")</f>
        <v>8382</v>
      </c>
      <c r="B1783" s="4" t="str">
        <f>IFERROR(__xludf.DUMMYFUNCTION("""COMPUTED_VALUE"""),"Adhesivo 11x15 Riesgo de corte")</f>
        <v>Adhesivo 11x15 Riesgo de corte</v>
      </c>
      <c r="C1783" s="4">
        <f>IFERROR(__xludf.DUMMYFUNCTION("""COMPUTED_VALUE"""),0.55)</f>
        <v>0.55</v>
      </c>
    </row>
    <row r="1784">
      <c r="A1784" s="4" t="str">
        <f>IFERROR(__xludf.DUMMYFUNCTION("""COMPUTED_VALUE"""),"8384")</f>
        <v>8384</v>
      </c>
      <c r="B1784" s="4" t="str">
        <f>IFERROR(__xludf.DUMMYFUNCTION("""COMPUTED_VALUE"""),"Adhesivo 10x15 Uso obligatorio equipo autonomo")</f>
        <v>Adhesivo 10x15 Uso obligatorio equipo autonomo</v>
      </c>
      <c r="C1784" s="4">
        <f>IFERROR(__xludf.DUMMYFUNCTION("""COMPUTED_VALUE"""),0.55)</f>
        <v>0.55</v>
      </c>
    </row>
    <row r="1785">
      <c r="A1785" s="4" t="str">
        <f>IFERROR(__xludf.DUMMYFUNCTION("""COMPUTED_VALUE"""),"8385")</f>
        <v>8385</v>
      </c>
      <c r="B1785" s="4" t="str">
        <f>IFERROR(__xludf.DUMMYFUNCTION("""COMPUTED_VALUE"""),"Adhesivo 10x15 peligro temperatura elevada")</f>
        <v>Adhesivo 10x15 peligro temperatura elevada</v>
      </c>
      <c r="C1785" s="4">
        <f>IFERROR(__xludf.DUMMYFUNCTION("""COMPUTED_VALUE"""),0.55)</f>
        <v>0.55</v>
      </c>
    </row>
    <row r="1786">
      <c r="A1786" s="4" t="str">
        <f>IFERROR(__xludf.DUMMYFUNCTION("""COMPUTED_VALUE"""),"8385/B")</f>
        <v>8385/B</v>
      </c>
      <c r="B1786" s="4" t="str">
        <f>IFERROR(__xludf.DUMMYFUNCTION("""COMPUTED_VALUE"""),"Blístes 10 unid. Ahesivo 11x15 Temperatura Elevada")</f>
        <v>Blístes 10 unid. Ahesivo 11x15 Temperatura Elevada</v>
      </c>
      <c r="C1786" s="4">
        <f>IFERROR(__xludf.DUMMYFUNCTION("""COMPUTED_VALUE"""),4.4)</f>
        <v>4.4</v>
      </c>
    </row>
    <row r="1787">
      <c r="A1787" s="4" t="str">
        <f>IFERROR(__xludf.DUMMYFUNCTION("""COMPUTED_VALUE"""),"8390N1")</f>
        <v>8390N1</v>
      </c>
      <c r="B1787" s="4" t="str">
        <f>IFERROR(__xludf.DUMMYFUNCTION("""COMPUTED_VALUE"""),"Cuadrado MOPU TS 90x90 cm Reflex I")</f>
        <v>Cuadrado MOPU TS 90x90 cm Reflex I</v>
      </c>
      <c r="C1787" s="4">
        <f>IFERROR(__xludf.DUMMYFUNCTION("""COMPUTED_VALUE"""),95.0)</f>
        <v>95</v>
      </c>
    </row>
    <row r="1788">
      <c r="A1788" s="4" t="str">
        <f>IFERROR(__xludf.DUMMYFUNCTION("""COMPUTED_VALUE"""),"8390N2")</f>
        <v>8390N2</v>
      </c>
      <c r="B1788" s="4" t="str">
        <f>IFERROR(__xludf.DUMMYFUNCTION("""COMPUTED_VALUE"""),"Cuadrado MOPU TS 90x90 cm Reflex II")</f>
        <v>Cuadrado MOPU TS 90x90 cm Reflex II</v>
      </c>
      <c r="C1788" s="4">
        <f>IFERROR(__xludf.DUMMYFUNCTION("""COMPUTED_VALUE"""),130.35)</f>
        <v>130.35</v>
      </c>
    </row>
    <row r="1789">
      <c r="A1789" s="4" t="str">
        <f>IFERROR(__xludf.DUMMYFUNCTION("""COMPUTED_VALUE"""),"8390N3")</f>
        <v>8390N3</v>
      </c>
      <c r="B1789" s="4" t="str">
        <f>IFERROR(__xludf.DUMMYFUNCTION("""COMPUTED_VALUE"""),"Cuadrado MOPU TS 90x90 cm Reflex III")</f>
        <v>Cuadrado MOPU TS 90x90 cm Reflex III</v>
      </c>
      <c r="C1789" s="4">
        <f>IFERROR(__xludf.DUMMYFUNCTION("""COMPUTED_VALUE"""),157.17)</f>
        <v>157.17</v>
      </c>
    </row>
    <row r="1790">
      <c r="A1790" s="4" t="str">
        <f>IFERROR(__xludf.DUMMYFUNCTION("""COMPUTED_VALUE"""),"8399")</f>
        <v>8399</v>
      </c>
      <c r="B1790" s="4" t="str">
        <f>IFERROR(__xludf.DUMMYFUNCTION("""COMPUTED_VALUE"""),"Adhesivo Agles Morts 17x25 cm")</f>
        <v>Adhesivo Agles Morts 17x25 cm</v>
      </c>
      <c r="C1790" s="4">
        <f>IFERROR(__xludf.DUMMYFUNCTION("""COMPUTED_VALUE"""),6.0)</f>
        <v>6</v>
      </c>
    </row>
    <row r="1791">
      <c r="A1791" s="4" t="str">
        <f>IFERROR(__xludf.DUMMYFUNCTION("""COMPUTED_VALUE"""),"844060N1")</f>
        <v>844060N1</v>
      </c>
      <c r="B1791" s="4" t="str">
        <f>IFERROR(__xludf.DUMMYFUNCTION("""COMPUTED_VALUE"""),"Rectangulo MOPU TS 40x60 cm Reflex I")</f>
        <v>Rectangulo MOPU TS 40x60 cm Reflex I</v>
      </c>
      <c r="C1791" s="4">
        <f>IFERROR(__xludf.DUMMYFUNCTION("""COMPUTED_VALUE"""),36.5)</f>
        <v>36.5</v>
      </c>
    </row>
    <row r="1792">
      <c r="A1792" s="4" t="str">
        <f>IFERROR(__xludf.DUMMYFUNCTION("""COMPUTED_VALUE"""),"844060N2")</f>
        <v>844060N2</v>
      </c>
      <c r="B1792" s="4" t="str">
        <f>IFERROR(__xludf.DUMMYFUNCTION("""COMPUTED_VALUE"""),"Rectangulo MOPU TS 40X60 cm Reflex II")</f>
        <v>Rectangulo MOPU TS 40X60 cm Reflex II</v>
      </c>
      <c r="C1792" s="4">
        <f>IFERROR(__xludf.DUMMYFUNCTION("""COMPUTED_VALUE"""),42.0)</f>
        <v>42</v>
      </c>
    </row>
    <row r="1793">
      <c r="A1793" s="4" t="str">
        <f>IFERROR(__xludf.DUMMYFUNCTION("""COMPUTED_VALUE"""),"844060N3")</f>
        <v>844060N3</v>
      </c>
      <c r="B1793" s="4" t="str">
        <f>IFERROR(__xludf.DUMMYFUNCTION("""COMPUTED_VALUE"""),"Rectangulo MOPU TS 40X60 cm Reflex III")</f>
        <v>Rectangulo MOPU TS 40X60 cm Reflex III</v>
      </c>
      <c r="C1793" s="4">
        <f>IFERROR(__xludf.DUMMYFUNCTION("""COMPUTED_VALUE"""),62.5)</f>
        <v>62.5</v>
      </c>
    </row>
    <row r="1794">
      <c r="A1794" s="4" t="str">
        <f>IFERROR(__xludf.DUMMYFUNCTION("""COMPUTED_VALUE"""),"8460120N1")</f>
        <v>8460120N1</v>
      </c>
      <c r="B1794" s="4" t="str">
        <f>IFERROR(__xludf.DUMMYFUNCTION("""COMPUTED_VALUE"""),"Rectangulo MOPU TS 60x120 cm Reflex I")</f>
        <v>Rectangulo MOPU TS 60x120 cm Reflex I</v>
      </c>
      <c r="C1794" s="4">
        <f>IFERROR(__xludf.DUMMYFUNCTION("""COMPUTED_VALUE"""),110.25)</f>
        <v>110.25</v>
      </c>
    </row>
    <row r="1795">
      <c r="A1795" s="4" t="str">
        <f>IFERROR(__xludf.DUMMYFUNCTION("""COMPUTED_VALUE"""),"8460120N2")</f>
        <v>8460120N2</v>
      </c>
      <c r="B1795" s="4" t="str">
        <f>IFERROR(__xludf.DUMMYFUNCTION("""COMPUTED_VALUE"""),"Rectangulo MOPU TS 60x120 cm Reflex II")</f>
        <v>Rectangulo MOPU TS 60x120 cm Reflex II</v>
      </c>
      <c r="C1795" s="4">
        <f>IFERROR(__xludf.DUMMYFUNCTION("""COMPUTED_VALUE"""),112.0)</f>
        <v>112</v>
      </c>
    </row>
    <row r="1796">
      <c r="A1796" s="4" t="str">
        <f>IFERROR(__xludf.DUMMYFUNCTION("""COMPUTED_VALUE"""),"8460120N3")</f>
        <v>8460120N3</v>
      </c>
      <c r="B1796" s="4" t="str">
        <f>IFERROR(__xludf.DUMMYFUNCTION("""COMPUTED_VALUE"""),"Rectangulo MOPU TS 60x120 cm Reflex III")</f>
        <v>Rectangulo MOPU TS 60x120 cm Reflex III</v>
      </c>
      <c r="C1796" s="4">
        <f>IFERROR(__xludf.DUMMYFUNCTION("""COMPUTED_VALUE"""),164.0)</f>
        <v>164</v>
      </c>
    </row>
    <row r="1797">
      <c r="A1797" s="4" t="str">
        <f>IFERROR(__xludf.DUMMYFUNCTION("""COMPUTED_VALUE"""),"846090N1")</f>
        <v>846090N1</v>
      </c>
      <c r="B1797" s="4" t="str">
        <f>IFERROR(__xludf.DUMMYFUNCTION("""COMPUTED_VALUE"""),"Rectangulo MOPU TS 60x90 cm Reflex I")</f>
        <v>Rectangulo MOPU TS 60x90 cm Reflex I</v>
      </c>
      <c r="C1797" s="4">
        <f>IFERROR(__xludf.DUMMYFUNCTION("""COMPUTED_VALUE"""),44.0)</f>
        <v>44</v>
      </c>
    </row>
    <row r="1798">
      <c r="A1798" s="4" t="str">
        <f>IFERROR(__xludf.DUMMYFUNCTION("""COMPUTED_VALUE"""),"846090N2")</f>
        <v>846090N2</v>
      </c>
      <c r="B1798" s="4" t="str">
        <f>IFERROR(__xludf.DUMMYFUNCTION("""COMPUTED_VALUE"""),"Rectangulo MOPU TS 60x90 cm Reflex II")</f>
        <v>Rectangulo MOPU TS 60x90 cm Reflex II</v>
      </c>
      <c r="C1798" s="4">
        <f>IFERROR(__xludf.DUMMYFUNCTION("""COMPUTED_VALUE"""),88.05)</f>
        <v>88.05</v>
      </c>
    </row>
    <row r="1799">
      <c r="A1799" s="4" t="str">
        <f>IFERROR(__xludf.DUMMYFUNCTION("""COMPUTED_VALUE"""),"846090N3")</f>
        <v>846090N3</v>
      </c>
      <c r="B1799" s="4" t="str">
        <f>IFERROR(__xludf.DUMMYFUNCTION("""COMPUTED_VALUE"""),"Rectangulo MOPU TS 60x90 cm Reflex III")</f>
        <v>Rectangulo MOPU TS 60x90 cm Reflex III</v>
      </c>
      <c r="C1799" s="4">
        <f>IFERROR(__xludf.DUMMYFUNCTION("""COMPUTED_VALUE"""),115.64)</f>
        <v>115.64</v>
      </c>
    </row>
    <row r="1800">
      <c r="A1800" s="4" t="str">
        <f>IFERROR(__xludf.DUMMYFUNCTION("""COMPUTED_VALUE"""),"8490135N1")</f>
        <v>8490135N1</v>
      </c>
      <c r="B1800" s="4" t="str">
        <f>IFERROR(__xludf.DUMMYFUNCTION("""COMPUTED_VALUE"""),"Rectangulo MOPU TS 90x135 cm Reflex I")</f>
        <v>Rectangulo MOPU TS 90x135 cm Reflex I</v>
      </c>
      <c r="C1800" s="4">
        <f>IFERROR(__xludf.DUMMYFUNCTION("""COMPUTED_VALUE"""),115.6)</f>
        <v>115.6</v>
      </c>
    </row>
    <row r="1801">
      <c r="A1801" s="4" t="str">
        <f>IFERROR(__xludf.DUMMYFUNCTION("""COMPUTED_VALUE"""),"8490135N2")</f>
        <v>8490135N2</v>
      </c>
      <c r="B1801" s="4" t="str">
        <f>IFERROR(__xludf.DUMMYFUNCTION("""COMPUTED_VALUE"""),"Rectangulo MOPU TS 90x135 cm Reflex II")</f>
        <v>Rectangulo MOPU TS 90x135 cm Reflex II</v>
      </c>
      <c r="C1801" s="4">
        <f>IFERROR(__xludf.DUMMYFUNCTION("""COMPUTED_VALUE"""),190.78)</f>
        <v>190.78</v>
      </c>
    </row>
    <row r="1802">
      <c r="A1802" s="4" t="str">
        <f>IFERROR(__xludf.DUMMYFUNCTION("""COMPUTED_VALUE"""),"8490135N3")</f>
        <v>8490135N3</v>
      </c>
      <c r="B1802" s="4" t="str">
        <f>IFERROR(__xludf.DUMMYFUNCTION("""COMPUTED_VALUE"""),"Rectangulo MOPU TS 90x135 cm Reflex III")</f>
        <v>Rectangulo MOPU TS 90x135 cm Reflex III</v>
      </c>
      <c r="C1802" s="4">
        <f>IFERROR(__xludf.DUMMYFUNCTION("""COMPUTED_VALUE"""),257.89)</f>
        <v>257.89</v>
      </c>
    </row>
    <row r="1803">
      <c r="A1803" s="4" t="str">
        <f>IFERROR(__xludf.DUMMYFUNCTION("""COMPUTED_VALUE"""),"8500N")</f>
        <v>8500N</v>
      </c>
      <c r="B1803" s="4" t="str">
        <f>IFERROR(__xludf.DUMMYFUNCTION("""COMPUTED_VALUE"""),"Señal 30 cm metálica Triangular Normal")</f>
        <v>Señal 30 cm metálica Triangular Normal</v>
      </c>
      <c r="C1803" s="4">
        <f>IFERROR(__xludf.DUMMYFUNCTION("""COMPUTED_VALUE"""),8.25)</f>
        <v>8.25</v>
      </c>
    </row>
    <row r="1804">
      <c r="A1804" s="4" t="str">
        <f>IFERROR(__xludf.DUMMYFUNCTION("""COMPUTED_VALUE"""),"8500N1")</f>
        <v>8500N1</v>
      </c>
      <c r="B1804" s="4" t="str">
        <f>IFERROR(__xludf.DUMMYFUNCTION("""COMPUTED_VALUE"""),"Señal 30 cm metálica Triangular Nivel 1")</f>
        <v>Señal 30 cm metálica Triangular Nivel 1</v>
      </c>
      <c r="C1804" s="4">
        <f>IFERROR(__xludf.DUMMYFUNCTION("""COMPUTED_VALUE"""),9.25)</f>
        <v>9.25</v>
      </c>
    </row>
    <row r="1805">
      <c r="A1805" s="4" t="str">
        <f>IFERROR(__xludf.DUMMYFUNCTION("""COMPUTED_VALUE"""),"854020N1")</f>
        <v>854020N1</v>
      </c>
      <c r="B1805" s="4" t="str">
        <f>IFERROR(__xludf.DUMMYFUNCTION("""COMPUTED_VALUE"""),"Cajetin MOPU TS 40x20 cm Reflex I")</f>
        <v>Cajetin MOPU TS 40x20 cm Reflex I</v>
      </c>
      <c r="C1805" s="4">
        <f>IFERROR(__xludf.DUMMYFUNCTION("""COMPUTED_VALUE"""),15.84)</f>
        <v>15.84</v>
      </c>
    </row>
    <row r="1806">
      <c r="A1806" s="4" t="str">
        <f>IFERROR(__xludf.DUMMYFUNCTION("""COMPUTED_VALUE"""),"854020N2")</f>
        <v>854020N2</v>
      </c>
      <c r="B1806" s="4" t="str">
        <f>IFERROR(__xludf.DUMMYFUNCTION("""COMPUTED_VALUE"""),"Cajetin MOPU TS 40x20 cm Reflex II")</f>
        <v>Cajetin MOPU TS 40x20 cm Reflex II</v>
      </c>
      <c r="C1806" s="4">
        <f>IFERROR(__xludf.DUMMYFUNCTION("""COMPUTED_VALUE"""),23.0)</f>
        <v>23</v>
      </c>
    </row>
    <row r="1807">
      <c r="A1807" s="4" t="str">
        <f>IFERROR(__xludf.DUMMYFUNCTION("""COMPUTED_VALUE"""),"854020N3")</f>
        <v>854020N3</v>
      </c>
      <c r="B1807" s="4" t="str">
        <f>IFERROR(__xludf.DUMMYFUNCTION("""COMPUTED_VALUE"""),"Cajetin MOPU TS 40x20 cm Reflex III")</f>
        <v>Cajetin MOPU TS 40x20 cm Reflex III</v>
      </c>
      <c r="C1807" s="4">
        <f>IFERROR(__xludf.DUMMYFUNCTION("""COMPUTED_VALUE"""),28.32)</f>
        <v>28.32</v>
      </c>
    </row>
    <row r="1808">
      <c r="A1808" s="4" t="str">
        <f>IFERROR(__xludf.DUMMYFUNCTION("""COMPUTED_VALUE"""),"856020N1")</f>
        <v>856020N1</v>
      </c>
      <c r="B1808" s="4" t="str">
        <f>IFERROR(__xludf.DUMMYFUNCTION("""COMPUTED_VALUE"""),"Cajetin MOPU TS 60x20 cm Reflex I")</f>
        <v>Cajetin MOPU TS 60x20 cm Reflex I</v>
      </c>
      <c r="C1808" s="4">
        <f>IFERROR(__xludf.DUMMYFUNCTION("""COMPUTED_VALUE"""),21.0)</f>
        <v>21</v>
      </c>
    </row>
    <row r="1809">
      <c r="A1809" s="4" t="str">
        <f>IFERROR(__xludf.DUMMYFUNCTION("""COMPUTED_VALUE"""),"856030N1")</f>
        <v>856030N1</v>
      </c>
      <c r="B1809" s="4" t="str">
        <f>IFERROR(__xludf.DUMMYFUNCTION("""COMPUTED_VALUE"""),"Cajetin MOPU TS 60x30 cm Reflex I")</f>
        <v>Cajetin MOPU TS 60x30 cm Reflex I</v>
      </c>
      <c r="C1809" s="4">
        <f>IFERROR(__xludf.DUMMYFUNCTION("""COMPUTED_VALUE"""),21.25)</f>
        <v>21.25</v>
      </c>
    </row>
    <row r="1810">
      <c r="A1810" s="4" t="str">
        <f>IFERROR(__xludf.DUMMYFUNCTION("""COMPUTED_VALUE"""),"856030N2")</f>
        <v>856030N2</v>
      </c>
      <c r="B1810" s="4" t="str">
        <f>IFERROR(__xludf.DUMMYFUNCTION("""COMPUTED_VALUE"""),"Cajetin MOPU TS 60x30 cm Reflex II")</f>
        <v>Cajetin MOPU TS 60x30 cm Reflex II</v>
      </c>
      <c r="C1810" s="4">
        <f>IFERROR(__xludf.DUMMYFUNCTION("""COMPUTED_VALUE"""),36.53)</f>
        <v>36.53</v>
      </c>
    </row>
    <row r="1811">
      <c r="A1811" s="4" t="str">
        <f>IFERROR(__xludf.DUMMYFUNCTION("""COMPUTED_VALUE"""),"856030N3")</f>
        <v>856030N3</v>
      </c>
      <c r="B1811" s="4" t="str">
        <f>IFERROR(__xludf.DUMMYFUNCTION("""COMPUTED_VALUE"""),"Cajetin MOPU TS 60x30 cm Reflex III")</f>
        <v>Cajetin MOPU TS 60x30 cm Reflex III</v>
      </c>
      <c r="C1811" s="4">
        <f>IFERROR(__xludf.DUMMYFUNCTION("""COMPUTED_VALUE"""),46.25)</f>
        <v>46.25</v>
      </c>
    </row>
    <row r="1812">
      <c r="A1812" s="4" t="str">
        <f>IFERROR(__xludf.DUMMYFUNCTION("""COMPUTED_VALUE"""),"8600N")</f>
        <v>8600N</v>
      </c>
      <c r="B1812" s="4" t="str">
        <f>IFERROR(__xludf.DUMMYFUNCTION("""COMPUTED_VALUE"""),"Señal 30 cm metálica Circular Normal")</f>
        <v>Señal 30 cm metálica Circular Normal</v>
      </c>
      <c r="C1812" s="4">
        <f>IFERROR(__xludf.DUMMYFUNCTION("""COMPUTED_VALUE"""),8.25)</f>
        <v>8.25</v>
      </c>
    </row>
    <row r="1813">
      <c r="A1813" s="4" t="str">
        <f>IFERROR(__xludf.DUMMYFUNCTION("""COMPUTED_VALUE"""),"8600N1")</f>
        <v>8600N1</v>
      </c>
      <c r="B1813" s="4" t="str">
        <f>IFERROR(__xludf.DUMMYFUNCTION("""COMPUTED_VALUE"""),"Señal 30 cm metálica Circular Nivel 1")</f>
        <v>Señal 30 cm metálica Circular Nivel 1</v>
      </c>
      <c r="C1813" s="4">
        <f>IFERROR(__xludf.DUMMYFUNCTION("""COMPUTED_VALUE"""),9.25)</f>
        <v>9.25</v>
      </c>
    </row>
    <row r="1814">
      <c r="A1814" s="4" t="str">
        <f>IFERROR(__xludf.DUMMYFUNCTION("""COMPUTED_VALUE"""),"8700N")</f>
        <v>8700N</v>
      </c>
      <c r="B1814" s="4" t="str">
        <f>IFERROR(__xludf.DUMMYFUNCTION("""COMPUTED_VALUE"""),"Señal 30 cm metálica Cuadrado Normal")</f>
        <v>Señal 30 cm metálica Cuadrado Normal</v>
      </c>
      <c r="C1814" s="4">
        <f>IFERROR(__xludf.DUMMYFUNCTION("""COMPUTED_VALUE"""),8.25)</f>
        <v>8.25</v>
      </c>
    </row>
    <row r="1815">
      <c r="A1815" s="4" t="str">
        <f>IFERROR(__xludf.DUMMYFUNCTION("""COMPUTED_VALUE"""),"8700N1")</f>
        <v>8700N1</v>
      </c>
      <c r="B1815" s="4" t="str">
        <f>IFERROR(__xludf.DUMMYFUNCTION("""COMPUTED_VALUE"""),"Señal 30 cm metálica Rectangular Nivel 1")</f>
        <v>Señal 30 cm metálica Rectangular Nivel 1</v>
      </c>
      <c r="C1815" s="4">
        <f>IFERROR(__xludf.DUMMYFUNCTION("""COMPUTED_VALUE"""),9.25)</f>
        <v>9.25</v>
      </c>
    </row>
    <row r="1816">
      <c r="A1816" s="4" t="str">
        <f>IFERROR(__xludf.DUMMYFUNCTION("""COMPUTED_VALUE"""),"8716545N1")</f>
        <v>8716545N1</v>
      </c>
      <c r="B1816" s="4" t="str">
        <f>IFERROR(__xludf.DUMMYFUNCTION("""COMPUTED_VALUE"""),"Panel direccional estrecho R/B TB-2 165x45 cm Reflex I")</f>
        <v>Panel direccional estrecho R/B TB-2 165x45 cm Reflex I</v>
      </c>
      <c r="C1816" s="4">
        <f>IFERROR(__xludf.DUMMYFUNCTION("""COMPUTED_VALUE"""),74.67)</f>
        <v>74.67</v>
      </c>
    </row>
    <row r="1817">
      <c r="A1817" s="4" t="str">
        <f>IFERROR(__xludf.DUMMYFUNCTION("""COMPUTED_VALUE"""),"8716545N2")</f>
        <v>8716545N2</v>
      </c>
      <c r="B1817" s="4" t="str">
        <f>IFERROR(__xludf.DUMMYFUNCTION("""COMPUTED_VALUE"""),"Panel direccional estrecho R/B TB-2 165x45 cm Reflex II")</f>
        <v>Panel direccional estrecho R/B TB-2 165x45 cm Reflex II</v>
      </c>
      <c r="C1817" s="4">
        <f>IFERROR(__xludf.DUMMYFUNCTION("""COMPUTED_VALUE"""),89.75)</f>
        <v>89.75</v>
      </c>
    </row>
    <row r="1818">
      <c r="A1818" s="4" t="str">
        <f>IFERROR(__xludf.DUMMYFUNCTION("""COMPUTED_VALUE"""),"8716545N3")</f>
        <v>8716545N3</v>
      </c>
      <c r="B1818" s="4" t="str">
        <f>IFERROR(__xludf.DUMMYFUNCTION("""COMPUTED_VALUE"""),"Panle direccional estrecho R/B TB-2 165x45 cm Reflex III")</f>
        <v>Panle direccional estrecho R/B TB-2 165x45 cm Reflex III</v>
      </c>
      <c r="C1818" s="4">
        <f>IFERROR(__xludf.DUMMYFUNCTION("""COMPUTED_VALUE"""),124.68)</f>
        <v>124.68</v>
      </c>
    </row>
    <row r="1819">
      <c r="A1819" s="4" t="str">
        <f>IFERROR(__xludf.DUMMYFUNCTION("""COMPUTED_VALUE"""),"8719595N1")</f>
        <v>8719595N1</v>
      </c>
      <c r="B1819" s="4" t="str">
        <f>IFERROR(__xludf.DUMMYFUNCTION("""COMPUTED_VALUE"""),"Panel direccional alto R/B TB-1 195x95 cm Reflex I")</f>
        <v>Panel direccional alto R/B TB-1 195x95 cm Reflex I</v>
      </c>
      <c r="C1819" s="4">
        <f>IFERROR(__xludf.DUMMYFUNCTION("""COMPUTED_VALUE"""),206.85)</f>
        <v>206.85</v>
      </c>
    </row>
    <row r="1820">
      <c r="A1820" s="4" t="str">
        <f>IFERROR(__xludf.DUMMYFUNCTION("""COMPUTED_VALUE"""),"8719595N2")</f>
        <v>8719595N2</v>
      </c>
      <c r="B1820" s="4" t="str">
        <f>IFERROR(__xludf.DUMMYFUNCTION("""COMPUTED_VALUE"""),"Panel direccional alto R/B TB-1 195x95 cm Reflex II")</f>
        <v>Panel direccional alto R/B TB-1 195x95 cm Reflex II</v>
      </c>
      <c r="C1820" s="4">
        <f>IFERROR(__xludf.DUMMYFUNCTION("""COMPUTED_VALUE"""),241.0)</f>
        <v>241</v>
      </c>
    </row>
    <row r="1821">
      <c r="A1821" s="4" t="str">
        <f>IFERROR(__xludf.DUMMYFUNCTION("""COMPUTED_VALUE"""),"8719595N3")</f>
        <v>8719595N3</v>
      </c>
      <c r="B1821" s="4" t="str">
        <f>IFERROR(__xludf.DUMMYFUNCTION("""COMPUTED_VALUE"""),"Panel direccional alto R/B TB-1 195x95 cm Reflex III")</f>
        <v>Panel direccional alto R/B TB-1 195x95 cm Reflex III</v>
      </c>
      <c r="C1821" s="4">
        <f>IFERROR(__xludf.DUMMYFUNCTION("""COMPUTED_VALUE"""),320.45)</f>
        <v>320.45</v>
      </c>
    </row>
    <row r="1822">
      <c r="A1822" s="4" t="str">
        <f>IFERROR(__xludf.DUMMYFUNCTION("""COMPUTED_VALUE"""),"878040N1")</f>
        <v>878040N1</v>
      </c>
      <c r="B1822" s="4" t="str">
        <f>IFERROR(__xludf.DUMMYFUNCTION("""COMPUTED_VALUE"""),"Panel direccional estrecho R/B TB-2 80x40 cm Reflex I")</f>
        <v>Panel direccional estrecho R/B TB-2 80x40 cm Reflex I</v>
      </c>
      <c r="C1822" s="4">
        <f>IFERROR(__xludf.DUMMYFUNCTION("""COMPUTED_VALUE"""),43.0)</f>
        <v>43</v>
      </c>
    </row>
    <row r="1823">
      <c r="A1823" s="4" t="str">
        <f>IFERROR(__xludf.DUMMYFUNCTION("""COMPUTED_VALUE"""),"878040N2")</f>
        <v>878040N2</v>
      </c>
      <c r="B1823" s="4" t="str">
        <f>IFERROR(__xludf.DUMMYFUNCTION("""COMPUTED_VALUE"""),"Panel direccional estrecho R/B TB-2 80x40 cm Reflex II")</f>
        <v>Panel direccional estrecho R/B TB-2 80x40 cm Reflex II</v>
      </c>
      <c r="C1823" s="4">
        <f>IFERROR(__xludf.DUMMYFUNCTION("""COMPUTED_VALUE"""),66.2)</f>
        <v>66.2</v>
      </c>
    </row>
    <row r="1824">
      <c r="A1824" s="4" t="str">
        <f>IFERROR(__xludf.DUMMYFUNCTION("""COMPUTED_VALUE"""),"878040N3")</f>
        <v>878040N3</v>
      </c>
      <c r="B1824" s="4" t="str">
        <f>IFERROR(__xludf.DUMMYFUNCTION("""COMPUTED_VALUE"""),"Panel direccional estrecho R/B TB-2 80x40 cm Reflex III")</f>
        <v>Panel direccional estrecho R/B TB-2 80x40 cm Reflex III</v>
      </c>
      <c r="C1824" s="4">
        <f>IFERROR(__xludf.DUMMYFUNCTION("""COMPUTED_VALUE"""),81.4)</f>
        <v>81.4</v>
      </c>
    </row>
    <row r="1825">
      <c r="A1825" s="4" t="str">
        <f>IFERROR(__xludf.DUMMYFUNCTION("""COMPUTED_VALUE"""),"8800N")</f>
        <v>8800N</v>
      </c>
      <c r="B1825" s="4" t="str">
        <f>IFERROR(__xludf.DUMMYFUNCTION("""COMPUTED_VALUE"""),"Señal 30 cm metálica STOP Normal")</f>
        <v>Señal 30 cm metálica STOP Normal</v>
      </c>
      <c r="C1825" s="4">
        <f>IFERROR(__xludf.DUMMYFUNCTION("""COMPUTED_VALUE"""),8.25)</f>
        <v>8.25</v>
      </c>
    </row>
    <row r="1826">
      <c r="A1826" s="4" t="str">
        <f>IFERROR(__xludf.DUMMYFUNCTION("""COMPUTED_VALUE"""),"8800N1")</f>
        <v>8800N1</v>
      </c>
      <c r="B1826" s="4" t="str">
        <f>IFERROR(__xludf.DUMMYFUNCTION("""COMPUTED_VALUE"""),"Señal 30 cm metálica STOP Nivel 1")</f>
        <v>Señal 30 cm metálica STOP Nivel 1</v>
      </c>
      <c r="C1826" s="4">
        <f>IFERROR(__xludf.DUMMYFUNCTION("""COMPUTED_VALUE"""),9.25)</f>
        <v>9.25</v>
      </c>
    </row>
    <row r="1827">
      <c r="A1827" s="4" t="str">
        <f>IFERROR(__xludf.DUMMYFUNCTION("""COMPUTED_VALUE"""),"88140251")</f>
        <v>88140251</v>
      </c>
      <c r="B1827" s="4" t="str">
        <f>IFERROR(__xludf.DUMMYFUNCTION("""COMPUTED_VALUE"""),"Valla movil para obras TB-5")</f>
        <v>Valla movil para obras TB-5</v>
      </c>
      <c r="C1827" s="4">
        <f>IFERROR(__xludf.DUMMYFUNCTION("""COMPUTED_VALUE"""),80.95)</f>
        <v>80.95</v>
      </c>
    </row>
    <row r="1828">
      <c r="A1828" s="4" t="str">
        <f>IFERROR(__xludf.DUMMYFUNCTION("""COMPUTED_VALUE"""),"8819560N1")</f>
        <v>8819560N1</v>
      </c>
      <c r="B1828" s="4" t="str">
        <f>IFERROR(__xludf.DUMMYFUNCTION("""COMPUTED_VALUE"""),"Panel Hastial 195x60 cm Reflex I 50%")</f>
        <v>Panel Hastial 195x60 cm Reflex I 50%</v>
      </c>
      <c r="C1828" s="4">
        <f>IFERROR(__xludf.DUMMYFUNCTION("""COMPUTED_VALUE"""),134.0)</f>
        <v>134</v>
      </c>
    </row>
    <row r="1829">
      <c r="A1829" s="4" t="str">
        <f>IFERROR(__xludf.DUMMYFUNCTION("""COMPUTED_VALUE"""),"883010N1")</f>
        <v>883010N1</v>
      </c>
      <c r="B1829" s="4" t="str">
        <f>IFERROR(__xludf.DUMMYFUNCTION("""COMPUTED_VALUE"""),"Piqueta 30x10 cm TB-7 NI")</f>
        <v>Piqueta 30x10 cm TB-7 NI</v>
      </c>
      <c r="C1829" s="4">
        <f>IFERROR(__xludf.DUMMYFUNCTION("""COMPUTED_VALUE"""),11.75)</f>
        <v>11.75</v>
      </c>
    </row>
    <row r="1830">
      <c r="A1830" s="4" t="str">
        <f>IFERROR(__xludf.DUMMYFUNCTION("""COMPUTED_VALUE"""),"884030N1")</f>
        <v>884030N1</v>
      </c>
      <c r="B1830" s="4" t="str">
        <f>IFERROR(__xludf.DUMMYFUNCTION("""COMPUTED_VALUE"""),"Plac 40x30 cm Escalon Lateral c/piqueta Reflex")</f>
        <v>Plac 40x30 cm Escalon Lateral c/piqueta Reflex</v>
      </c>
      <c r="C1830" s="4">
        <f>IFERROR(__xludf.DUMMYFUNCTION("""COMPUTED_VALUE"""),24.3)</f>
        <v>24.3</v>
      </c>
    </row>
    <row r="1831">
      <c r="A1831" s="4" t="str">
        <f>IFERROR(__xludf.DUMMYFUNCTION("""COMPUTED_VALUE"""),"8840N1")</f>
        <v>8840N1</v>
      </c>
      <c r="B1831" s="4" t="str">
        <f>IFERROR(__xludf.DUMMYFUNCTION("""COMPUTED_VALUE"""),"Piqueta 40 cm de jalonamiento TB-11 Reflex")</f>
        <v>Piqueta 40 cm de jalonamiento TB-11 Reflex</v>
      </c>
      <c r="C1831" s="4">
        <f>IFERROR(__xludf.DUMMYFUNCTION("""COMPUTED_VALUE"""),8.8)</f>
        <v>8.8</v>
      </c>
    </row>
    <row r="1832">
      <c r="A1832" s="4" t="str">
        <f>IFERROR(__xludf.DUMMYFUNCTION("""COMPUTED_VALUE"""),"887015DN1")</f>
        <v>887015DN1</v>
      </c>
      <c r="B1832" s="4" t="str">
        <f>IFERROR(__xludf.DUMMYFUNCTION("""COMPUTED_VALUE"""),"Baliza de señalizacion obra TB-8 NI Derecha")</f>
        <v>Baliza de señalizacion obra TB-8 NI Derecha</v>
      </c>
      <c r="C1832" s="4">
        <f>IFERROR(__xludf.DUMMYFUNCTION("""COMPUTED_VALUE"""),39.25)</f>
        <v>39.25</v>
      </c>
    </row>
    <row r="1833">
      <c r="A1833" s="4" t="str">
        <f>IFERROR(__xludf.DUMMYFUNCTION("""COMPUTED_VALUE"""),"887015IN1")</f>
        <v>887015IN1</v>
      </c>
      <c r="B1833" s="4" t="str">
        <f>IFERROR(__xludf.DUMMYFUNCTION("""COMPUTED_VALUE"""),"Baliza de señalizacion obra TB-9 NI Izquierda")</f>
        <v>Baliza de señalizacion obra TB-9 NI Izquierda</v>
      </c>
      <c r="C1833" s="4">
        <f>IFERROR(__xludf.DUMMYFUNCTION("""COMPUTED_VALUE"""),39.25)</f>
        <v>39.25</v>
      </c>
    </row>
    <row r="1834">
      <c r="A1834" s="4" t="str">
        <f>IFERROR(__xludf.DUMMYFUNCTION("""COMPUTED_VALUE"""),"889530N1")</f>
        <v>889530N1</v>
      </c>
      <c r="B1834" s="4" t="str">
        <f>IFERROR(__xludf.DUMMYFUNCTION("""COMPUTED_VALUE"""),"Panel Hastial 95x30 cm Reflex I 50%")</f>
        <v>Panel Hastial 95x30 cm Reflex I 50%</v>
      </c>
      <c r="C1834" s="4">
        <f>IFERROR(__xludf.DUMMYFUNCTION("""COMPUTED_VALUE"""),58.0)</f>
        <v>58</v>
      </c>
    </row>
    <row r="1835">
      <c r="A1835" s="4" t="str">
        <f>IFERROR(__xludf.DUMMYFUNCTION("""COMPUTED_VALUE"""),"889530N2")</f>
        <v>889530N2</v>
      </c>
      <c r="B1835" s="4" t="str">
        <f>IFERROR(__xludf.DUMMYFUNCTION("""COMPUTED_VALUE"""),"Panel Hastial 95x30 cm Reflex II 50%")</f>
        <v>Panel Hastial 95x30 cm Reflex II 50%</v>
      </c>
      <c r="C1835" s="4">
        <f>IFERROR(__xludf.DUMMYFUNCTION("""COMPUTED_VALUE"""),69.0)</f>
        <v>69</v>
      </c>
    </row>
    <row r="1836">
      <c r="A1836" s="4" t="str">
        <f>IFERROR(__xludf.DUMMYFUNCTION("""COMPUTED_VALUE"""),"9000")</f>
        <v>9000</v>
      </c>
      <c r="B1836" s="4" t="str">
        <f>IFERROR(__xludf.DUMMYFUNCTION("""COMPUTED_VALUE"""),"Reductor velocidad 60x50x4.5 cm Mod. G")</f>
        <v>Reductor velocidad 60x50x4.5 cm Mod. G</v>
      </c>
      <c r="C1836" s="4">
        <f>IFERROR(__xludf.DUMMYFUNCTION("""COMPUTED_VALUE"""),21.25)</f>
        <v>21.25</v>
      </c>
    </row>
    <row r="1837">
      <c r="A1837" s="4" t="str">
        <f>IFERROR(__xludf.DUMMYFUNCTION("""COMPUTED_VALUE"""),"9001")</f>
        <v>9001</v>
      </c>
      <c r="B1837" s="4" t="str">
        <f>IFERROR(__xludf.DUMMYFUNCTION("""COMPUTED_VALUE"""),"Extremo reductor veloc. 60x25x4,5 cm Mod. G")</f>
        <v>Extremo reductor veloc. 60x25x4,5 cm Mod. G</v>
      </c>
      <c r="C1837" s="4">
        <f>IFERROR(__xludf.DUMMYFUNCTION("""COMPUTED_VALUE"""),13.75)</f>
        <v>13.75</v>
      </c>
    </row>
    <row r="1838">
      <c r="A1838" s="4" t="str">
        <f>IFERROR(__xludf.DUMMYFUNCTION("""COMPUTED_VALUE"""),"9004")</f>
        <v>9004</v>
      </c>
      <c r="B1838" s="4" t="str">
        <f>IFERROR(__xludf.DUMMYFUNCTION("""COMPUTED_VALUE"""),"Reductor velocidad 40x50x4.5 cm Mod. F")</f>
        <v>Reductor velocidad 40x50x4.5 cm Mod. F</v>
      </c>
      <c r="C1838" s="4">
        <f>IFERROR(__xludf.DUMMYFUNCTION("""COMPUTED_VALUE"""),18.35)</f>
        <v>18.35</v>
      </c>
    </row>
    <row r="1839">
      <c r="A1839" s="4" t="str">
        <f>IFERROR(__xludf.DUMMYFUNCTION("""COMPUTED_VALUE"""),"9005")</f>
        <v>9005</v>
      </c>
      <c r="B1839" s="4" t="str">
        <f>IFERROR(__xludf.DUMMYFUNCTION("""COMPUTED_VALUE"""),"Extremo reductor veloc. 40x25x4.5 cm Mod. F")</f>
        <v>Extremo reductor veloc. 40x25x4.5 cm Mod. F</v>
      </c>
      <c r="C1839" s="4">
        <f>IFERROR(__xludf.DUMMYFUNCTION("""COMPUTED_VALUE"""),12.75)</f>
        <v>12.75</v>
      </c>
    </row>
    <row r="1840">
      <c r="A1840" s="4" t="str">
        <f>IFERROR(__xludf.DUMMYFUNCTION("""COMPUTED_VALUE"""),"9006")</f>
        <v>9006</v>
      </c>
      <c r="B1840" s="4" t="str">
        <f>IFERROR(__xludf.DUMMYFUNCTION("""COMPUTED_VALUE"""),"Reductor velocidad 30x33x4 cm Mod. E")</f>
        <v>Reductor velocidad 30x33x4 cm Mod. E</v>
      </c>
      <c r="C1840" s="4">
        <f>IFERROR(__xludf.DUMMYFUNCTION("""COMPUTED_VALUE"""),14.65)</f>
        <v>14.65</v>
      </c>
    </row>
    <row r="1841">
      <c r="A1841" s="4" t="str">
        <f>IFERROR(__xludf.DUMMYFUNCTION("""COMPUTED_VALUE"""),"9007")</f>
        <v>9007</v>
      </c>
      <c r="B1841" s="4" t="str">
        <f>IFERROR(__xludf.DUMMYFUNCTION("""COMPUTED_VALUE"""),"Extremo reductor velocid. 30x15x4 cm Mod. E")</f>
        <v>Extremo reductor velocid. 30x15x4 cm Mod. E</v>
      </c>
      <c r="C1841" s="4">
        <f>IFERROR(__xludf.DUMMYFUNCTION("""COMPUTED_VALUE"""),9.4)</f>
        <v>9.4</v>
      </c>
    </row>
    <row r="1842">
      <c r="A1842" s="4" t="str">
        <f>IFERROR(__xludf.DUMMYFUNCTION("""COMPUTED_VALUE"""),"9008")</f>
        <v>9008</v>
      </c>
      <c r="B1842" s="4" t="str">
        <f>IFERROR(__xludf.DUMMYFUNCTION("""COMPUTED_VALUE"""),"Reductor velocidad 90x50x5 cm Mod. H")</f>
        <v>Reductor velocidad 90x50x5 cm Mod. H</v>
      </c>
      <c r="C1842" s="4">
        <f>IFERROR(__xludf.DUMMYFUNCTION("""COMPUTED_VALUE"""),37.7)</f>
        <v>37.7</v>
      </c>
    </row>
    <row r="1843">
      <c r="A1843" s="4" t="str">
        <f>IFERROR(__xludf.DUMMYFUNCTION("""COMPUTED_VALUE"""),"9009")</f>
        <v>9009</v>
      </c>
      <c r="B1843" s="4" t="str">
        <f>IFERROR(__xludf.DUMMYFUNCTION("""COMPUTED_VALUE"""),"Extremo reductor veloc. 90x25x5 cm Mod. H")</f>
        <v>Extremo reductor veloc. 90x25x5 cm Mod. H</v>
      </c>
      <c r="C1843" s="4">
        <f>IFERROR(__xludf.DUMMYFUNCTION("""COMPUTED_VALUE"""),21.25)</f>
        <v>21.25</v>
      </c>
    </row>
    <row r="1844">
      <c r="A1844" s="4" t="str">
        <f>IFERROR(__xludf.DUMMYFUNCTION("""COMPUTED_VALUE"""),"9010")</f>
        <v>9010</v>
      </c>
      <c r="B1844" s="4" t="str">
        <f>IFERROR(__xludf.DUMMYFUNCTION("""COMPUTED_VALUE"""),"Reductor velocidad High impact Amarillo")</f>
        <v>Reductor velocidad High impact Amarillo</v>
      </c>
      <c r="C1844" s="4">
        <f>IFERROR(__xludf.DUMMYFUNCTION("""COMPUTED_VALUE"""),14.0)</f>
        <v>14</v>
      </c>
    </row>
    <row r="1845">
      <c r="A1845" s="4" t="str">
        <f>IFERROR(__xludf.DUMMYFUNCTION("""COMPUTED_VALUE"""),"9011")</f>
        <v>9011</v>
      </c>
      <c r="B1845" s="4" t="str">
        <f>IFERROR(__xludf.DUMMYFUNCTION("""COMPUTED_VALUE"""),"Reductor velocidad High impact Negro")</f>
        <v>Reductor velocidad High impact Negro</v>
      </c>
      <c r="C1845" s="4">
        <f>IFERROR(__xludf.DUMMYFUNCTION("""COMPUTED_VALUE"""),14.0)</f>
        <v>14</v>
      </c>
    </row>
    <row r="1846">
      <c r="A1846" s="4" t="str">
        <f>IFERROR(__xludf.DUMMYFUNCTION("""COMPUTED_VALUE"""),"9012")</f>
        <v>9012</v>
      </c>
      <c r="B1846" s="4" t="str">
        <f>IFERROR(__xludf.DUMMYFUNCTION("""COMPUTED_VALUE"""),"Extremo reductor velocidad High Impact amarillo")</f>
        <v>Extremo reductor velocidad High Impact amarillo</v>
      </c>
      <c r="C1846" s="4">
        <f>IFERROR(__xludf.DUMMYFUNCTION("""COMPUTED_VALUE"""),4.5)</f>
        <v>4.5</v>
      </c>
    </row>
    <row r="1847">
      <c r="A1847" s="4" t="str">
        <f>IFERROR(__xludf.DUMMYFUNCTION("""COMPUTED_VALUE"""),"9013")</f>
        <v>9013</v>
      </c>
      <c r="B1847" s="4" t="str">
        <f>IFERROR(__xludf.DUMMYFUNCTION("""COMPUTED_VALUE"""),"Extremo reductor velocidad High Impact negro")</f>
        <v>Extremo reductor velocidad High Impact negro</v>
      </c>
      <c r="C1847" s="4">
        <f>IFERROR(__xludf.DUMMYFUNCTION("""COMPUTED_VALUE"""),4.5)</f>
        <v>4.5</v>
      </c>
    </row>
    <row r="1848">
      <c r="A1848" s="4" t="str">
        <f>IFERROR(__xludf.DUMMYFUNCTION("""COMPUTED_VALUE"""),"90135N")</f>
        <v>90135N</v>
      </c>
      <c r="B1848" s="4" t="str">
        <f>IFERROR(__xludf.DUMMYFUNCTION("""COMPUTED_VALUE"""),"Señal MOPU T.D. 135 cm N")</f>
        <v>Señal MOPU T.D. 135 cm N</v>
      </c>
      <c r="C1848" s="4">
        <f>IFERROR(__xludf.DUMMYFUNCTION("""COMPUTED_VALUE"""),90.03)</f>
        <v>90.03</v>
      </c>
    </row>
    <row r="1849">
      <c r="A1849" s="4" t="str">
        <f>IFERROR(__xludf.DUMMYFUNCTION("""COMPUTED_VALUE"""),"90135N1")</f>
        <v>90135N1</v>
      </c>
      <c r="B1849" s="4" t="str">
        <f>IFERROR(__xludf.DUMMYFUNCTION("""COMPUTED_VALUE"""),"Señal MOPU T.D. 135 cm NI")</f>
        <v>Señal MOPU T.D. 135 cm NI</v>
      </c>
      <c r="C1849" s="4">
        <f>IFERROR(__xludf.DUMMYFUNCTION("""COMPUTED_VALUE"""),99.09)</f>
        <v>99.09</v>
      </c>
    </row>
    <row r="1850">
      <c r="A1850" s="4" t="str">
        <f>IFERROR(__xludf.DUMMYFUNCTION("""COMPUTED_VALUE"""),"90135N2")</f>
        <v>90135N2</v>
      </c>
      <c r="B1850" s="4" t="str">
        <f>IFERROR(__xludf.DUMMYFUNCTION("""COMPUTED_VALUE"""),"Señal MOPU T.D. 135 cm NII")</f>
        <v>Señal MOPU T.D. 135 cm NII</v>
      </c>
      <c r="C1850" s="4">
        <f>IFERROR(__xludf.DUMMYFUNCTION("""COMPUTED_VALUE"""),132.79)</f>
        <v>132.79</v>
      </c>
    </row>
    <row r="1851">
      <c r="A1851" s="4" t="str">
        <f>IFERROR(__xludf.DUMMYFUNCTION("""COMPUTED_VALUE"""),"90135N3")</f>
        <v>90135N3</v>
      </c>
      <c r="B1851" s="4" t="str">
        <f>IFERROR(__xludf.DUMMYFUNCTION("""COMPUTED_VALUE"""),"Señal MOPU T.D. 135 cm NIII")</f>
        <v>Señal MOPU T.D. 135 cm NIII</v>
      </c>
      <c r="C1851" s="4">
        <f>IFERROR(__xludf.DUMMYFUNCTION("""COMPUTED_VALUE"""),175.95)</f>
        <v>175.95</v>
      </c>
    </row>
    <row r="1852">
      <c r="A1852" s="4" t="str">
        <f>IFERROR(__xludf.DUMMYFUNCTION("""COMPUTED_VALUE"""),"9014")</f>
        <v>9014</v>
      </c>
      <c r="B1852" s="4" t="str">
        <f>IFERROR(__xludf.DUMMYFUNCTION("""COMPUTED_VALUE"""),"Reductor velocidad High impact Amarillo pasacables")</f>
        <v>Reductor velocidad High impact Amarillo pasacables</v>
      </c>
      <c r="C1852" s="4">
        <f>IFERROR(__xludf.DUMMYFUNCTION("""COMPUTED_VALUE"""),13.0)</f>
        <v>13</v>
      </c>
    </row>
    <row r="1853">
      <c r="A1853" s="4" t="str">
        <f>IFERROR(__xludf.DUMMYFUNCTION("""COMPUTED_VALUE"""),"9015")</f>
        <v>9015</v>
      </c>
      <c r="B1853" s="4" t="str">
        <f>IFERROR(__xludf.DUMMYFUNCTION("""COMPUTED_VALUE"""),"Reductor velocidad High impact Negro pasacables")</f>
        <v>Reductor velocidad High impact Negro pasacables</v>
      </c>
      <c r="C1853" s="4">
        <f>IFERROR(__xludf.DUMMYFUNCTION("""COMPUTED_VALUE"""),13.0)</f>
        <v>13</v>
      </c>
    </row>
    <row r="1854">
      <c r="A1854" s="4" t="str">
        <f>IFERROR(__xludf.DUMMYFUNCTION("""COMPUTED_VALUE"""),"9016")</f>
        <v>9016</v>
      </c>
      <c r="B1854" s="4" t="str">
        <f>IFERROR(__xludf.DUMMYFUNCTION("""COMPUTED_VALUE"""),"Reductor velocidad Ovaglint 200x120x28 mm")</f>
        <v>Reductor velocidad Ovaglint 200x120x28 mm</v>
      </c>
      <c r="C1854" s="4">
        <f>IFERROR(__xludf.DUMMYFUNCTION("""COMPUTED_VALUE"""),4.5)</f>
        <v>4.5</v>
      </c>
    </row>
    <row r="1855">
      <c r="A1855" s="4" t="str">
        <f>IFERROR(__xludf.DUMMYFUNCTION("""COMPUTED_VALUE"""),"90175N1")</f>
        <v>90175N1</v>
      </c>
      <c r="B1855" s="4" t="str">
        <f>IFERROR(__xludf.DUMMYFUNCTION("""COMPUTED_VALUE"""),"Señal MOPU T.D. 175 cm NI")</f>
        <v>Señal MOPU T.D. 175 cm NI</v>
      </c>
      <c r="C1855" s="4">
        <f>IFERROR(__xludf.DUMMYFUNCTION("""COMPUTED_VALUE"""),195.16)</f>
        <v>195.16</v>
      </c>
    </row>
    <row r="1856">
      <c r="A1856" s="4" t="str">
        <f>IFERROR(__xludf.DUMMYFUNCTION("""COMPUTED_VALUE"""),"90175N2")</f>
        <v>90175N2</v>
      </c>
      <c r="B1856" s="4" t="str">
        <f>IFERROR(__xludf.DUMMYFUNCTION("""COMPUTED_VALUE"""),"Señal MOPU T.D. 175 cm NII")</f>
        <v>Señal MOPU T.D. 175 cm NII</v>
      </c>
      <c r="C1856" s="4">
        <f>IFERROR(__xludf.DUMMYFUNCTION("""COMPUTED_VALUE"""),218.63)</f>
        <v>218.63</v>
      </c>
    </row>
    <row r="1857">
      <c r="A1857" s="4" t="str">
        <f>IFERROR(__xludf.DUMMYFUNCTION("""COMPUTED_VALUE"""),"90175N3")</f>
        <v>90175N3</v>
      </c>
      <c r="B1857" s="4" t="str">
        <f>IFERROR(__xludf.DUMMYFUNCTION("""COMPUTED_VALUE"""),"Señal MOPU T.D. 175 cm NIII")</f>
        <v>Señal MOPU T.D. 175 cm NIII</v>
      </c>
      <c r="C1857" s="4">
        <f>IFERROR(__xludf.DUMMYFUNCTION("""COMPUTED_VALUE"""),313.99)</f>
        <v>313.99</v>
      </c>
    </row>
    <row r="1858">
      <c r="A1858" s="4" t="str">
        <f>IFERROR(__xludf.DUMMYFUNCTION("""COMPUTED_VALUE"""),"9070N")</f>
        <v>9070N</v>
      </c>
      <c r="B1858" s="4" t="str">
        <f>IFERROR(__xludf.DUMMYFUNCTION("""COMPUTED_VALUE"""),"Señal MOPU T.D. 70 cm N")</f>
        <v>Señal MOPU T.D. 70 cm N</v>
      </c>
      <c r="C1858" s="4">
        <f>IFERROR(__xludf.DUMMYFUNCTION("""COMPUTED_VALUE"""),28.96)</f>
        <v>28.96</v>
      </c>
    </row>
    <row r="1859">
      <c r="A1859" s="4" t="str">
        <f>IFERROR(__xludf.DUMMYFUNCTION("""COMPUTED_VALUE"""),"9070N1")</f>
        <v>9070N1</v>
      </c>
      <c r="B1859" s="4" t="str">
        <f>IFERROR(__xludf.DUMMYFUNCTION("""COMPUTED_VALUE"""),"Señal MOPU T.D. 70 cm NI")</f>
        <v>Señal MOPU T.D. 70 cm NI</v>
      </c>
      <c r="C1859" s="4">
        <f>IFERROR(__xludf.DUMMYFUNCTION("""COMPUTED_VALUE"""),36.06)</f>
        <v>36.06</v>
      </c>
    </row>
    <row r="1860">
      <c r="A1860" s="4" t="str">
        <f>IFERROR(__xludf.DUMMYFUNCTION("""COMPUTED_VALUE"""),"9070N2")</f>
        <v>9070N2</v>
      </c>
      <c r="B1860" s="4" t="str">
        <f>IFERROR(__xludf.DUMMYFUNCTION("""COMPUTED_VALUE"""),"Señal MOPU T.D. 70 cm NII")</f>
        <v>Señal MOPU T.D. 70 cm NII</v>
      </c>
      <c r="C1860" s="4">
        <f>IFERROR(__xludf.DUMMYFUNCTION("""COMPUTED_VALUE"""),45.07)</f>
        <v>45.07</v>
      </c>
    </row>
    <row r="1861">
      <c r="A1861" s="4" t="str">
        <f>IFERROR(__xludf.DUMMYFUNCTION("""COMPUTED_VALUE"""),"9070N3")</f>
        <v>9070N3</v>
      </c>
      <c r="B1861" s="4" t="str">
        <f>IFERROR(__xludf.DUMMYFUNCTION("""COMPUTED_VALUE"""),"Señal MOPU T.D. 70 cm NIII")</f>
        <v>Señal MOPU T.D. 70 cm NIII</v>
      </c>
      <c r="C1861" s="4">
        <f>IFERROR(__xludf.DUMMYFUNCTION("""COMPUTED_VALUE"""),59.4)</f>
        <v>59.4</v>
      </c>
    </row>
    <row r="1862">
      <c r="A1862" s="4" t="str">
        <f>IFERROR(__xludf.DUMMYFUNCTION("""COMPUTED_VALUE"""),"9090N")</f>
        <v>9090N</v>
      </c>
      <c r="B1862" s="4" t="str">
        <f>IFERROR(__xludf.DUMMYFUNCTION("""COMPUTED_VALUE"""),"Señal MOPU T.D. 90 cm N")</f>
        <v>Señal MOPU T.D. 90 cm N</v>
      </c>
      <c r="C1862" s="4">
        <f>IFERROR(__xludf.DUMMYFUNCTION("""COMPUTED_VALUE"""),41.66)</f>
        <v>41.66</v>
      </c>
    </row>
    <row r="1863">
      <c r="A1863" s="4" t="str">
        <f>IFERROR(__xludf.DUMMYFUNCTION("""COMPUTED_VALUE"""),"9090N1")</f>
        <v>9090N1</v>
      </c>
      <c r="B1863" s="4" t="str">
        <f>IFERROR(__xludf.DUMMYFUNCTION("""COMPUTED_VALUE"""),"Señal MOPU T.D. 90 cm NI")</f>
        <v>Señal MOPU T.D. 90 cm NI</v>
      </c>
      <c r="C1863" s="4">
        <f>IFERROR(__xludf.DUMMYFUNCTION("""COMPUTED_VALUE"""),50.9)</f>
        <v>50.9</v>
      </c>
    </row>
    <row r="1864">
      <c r="A1864" s="4" t="str">
        <f>IFERROR(__xludf.DUMMYFUNCTION("""COMPUTED_VALUE"""),"9090N2")</f>
        <v>9090N2</v>
      </c>
      <c r="B1864" s="4" t="str">
        <f>IFERROR(__xludf.DUMMYFUNCTION("""COMPUTED_VALUE"""),"Señal MOPU T.D. 90 cm NII")</f>
        <v>Señal MOPU T.D. 90 cm NII</v>
      </c>
      <c r="C1864" s="4">
        <f>IFERROR(__xludf.DUMMYFUNCTION("""COMPUTED_VALUE"""),66.33)</f>
        <v>66.33</v>
      </c>
    </row>
    <row r="1865">
      <c r="A1865" s="4" t="str">
        <f>IFERROR(__xludf.DUMMYFUNCTION("""COMPUTED_VALUE"""),"9090N3")</f>
        <v>9090N3</v>
      </c>
      <c r="B1865" s="4" t="str">
        <f>IFERROR(__xludf.DUMMYFUNCTION("""COMPUTED_VALUE"""),"Señal MOPU T.D. 90 cm NIII")</f>
        <v>Señal MOPU T.D. 90 cm NIII</v>
      </c>
      <c r="C1865" s="4">
        <f>IFERROR(__xludf.DUMMYFUNCTION("""COMPUTED_VALUE"""),88.14)</f>
        <v>88.14</v>
      </c>
    </row>
    <row r="1866">
      <c r="A1866" s="4" t="str">
        <f>IFERROR(__xludf.DUMMYFUNCTION("""COMPUTED_VALUE"""),"91120N")</f>
        <v>91120N</v>
      </c>
      <c r="B1866" s="4" t="str">
        <f>IFERROR(__xludf.DUMMYFUNCTION("""COMPUTED_VALUE"""),"Señal MOPU R.D. 120cm N")</f>
        <v>Señal MOPU R.D. 120cm N</v>
      </c>
      <c r="C1866" s="4">
        <f>IFERROR(__xludf.DUMMYFUNCTION("""COMPUTED_VALUE"""),131.25)</f>
        <v>131.25</v>
      </c>
    </row>
    <row r="1867">
      <c r="A1867" s="4" t="str">
        <f>IFERROR(__xludf.DUMMYFUNCTION("""COMPUTED_VALUE"""),"91120N1")</f>
        <v>91120N1</v>
      </c>
      <c r="B1867" s="4" t="str">
        <f>IFERROR(__xludf.DUMMYFUNCTION("""COMPUTED_VALUE"""),"Señal MOPU R.D. 120cm NI")</f>
        <v>Señal MOPU R.D. 120cm NI</v>
      </c>
      <c r="C1867" s="4">
        <f>IFERROR(__xludf.DUMMYFUNCTION("""COMPUTED_VALUE"""),164.52)</f>
        <v>164.52</v>
      </c>
    </row>
    <row r="1868">
      <c r="A1868" s="4" t="str">
        <f>IFERROR(__xludf.DUMMYFUNCTION("""COMPUTED_VALUE"""),"91120N2")</f>
        <v>91120N2</v>
      </c>
      <c r="B1868" s="4" t="str">
        <f>IFERROR(__xludf.DUMMYFUNCTION("""COMPUTED_VALUE"""),"Señal MOPU R.D. 120 cm NII")</f>
        <v>Señal MOPU R.D. 120 cm NII</v>
      </c>
      <c r="C1868" s="4">
        <f>IFERROR(__xludf.DUMMYFUNCTION("""COMPUTED_VALUE"""),194.48)</f>
        <v>194.48</v>
      </c>
    </row>
    <row r="1869">
      <c r="A1869" s="4" t="str">
        <f>IFERROR(__xludf.DUMMYFUNCTION("""COMPUTED_VALUE"""),"91120N3")</f>
        <v>91120N3</v>
      </c>
      <c r="B1869" s="4" t="str">
        <f>IFERROR(__xludf.DUMMYFUNCTION("""COMPUTED_VALUE"""),"Señal MOPU R.D. 120 cm NIII")</f>
        <v>Señal MOPU R.D. 120 cm NIII</v>
      </c>
      <c r="C1869" s="4">
        <f>IFERROR(__xludf.DUMMYFUNCTION("""COMPUTED_VALUE"""),289.76)</f>
        <v>289.76</v>
      </c>
    </row>
    <row r="1870">
      <c r="A1870" s="4" t="str">
        <f>IFERROR(__xludf.DUMMYFUNCTION("""COMPUTED_VALUE"""),"9160N")</f>
        <v>9160N</v>
      </c>
      <c r="B1870" s="4" t="str">
        <f>IFERROR(__xludf.DUMMYFUNCTION("""COMPUTED_VALUE"""),"Señal MOPU R.D. 60 cm N")</f>
        <v>Señal MOPU R.D. 60 cm N</v>
      </c>
      <c r="C1870" s="4">
        <f>IFERROR(__xludf.DUMMYFUNCTION("""COMPUTED_VALUE"""),35.98)</f>
        <v>35.98</v>
      </c>
    </row>
    <row r="1871">
      <c r="A1871" s="4" t="str">
        <f>IFERROR(__xludf.DUMMYFUNCTION("""COMPUTED_VALUE"""),"9160N1")</f>
        <v>9160N1</v>
      </c>
      <c r="B1871" s="4" t="str">
        <f>IFERROR(__xludf.DUMMYFUNCTION("""COMPUTED_VALUE"""),"Señal MOPU R.D. 60 cm NI")</f>
        <v>Señal MOPU R.D. 60 cm NI</v>
      </c>
      <c r="C1871" s="4">
        <f>IFERROR(__xludf.DUMMYFUNCTION("""COMPUTED_VALUE"""),41.48)</f>
        <v>41.48</v>
      </c>
    </row>
    <row r="1872">
      <c r="A1872" s="4" t="str">
        <f>IFERROR(__xludf.DUMMYFUNCTION("""COMPUTED_VALUE"""),"9160N2")</f>
        <v>9160N2</v>
      </c>
      <c r="B1872" s="4" t="str">
        <f>IFERROR(__xludf.DUMMYFUNCTION("""COMPUTED_VALUE"""),"Señal MOPU R.D. 60 cm NII")</f>
        <v>Señal MOPU R.D. 60 cm NII</v>
      </c>
      <c r="C1872" s="4">
        <f>IFERROR(__xludf.DUMMYFUNCTION("""COMPUTED_VALUE"""),59.26)</f>
        <v>59.26</v>
      </c>
    </row>
    <row r="1873">
      <c r="A1873" s="4" t="str">
        <f>IFERROR(__xludf.DUMMYFUNCTION("""COMPUTED_VALUE"""),"9160N3")</f>
        <v>9160N3</v>
      </c>
      <c r="B1873" s="4" t="str">
        <f>IFERROR(__xludf.DUMMYFUNCTION("""COMPUTED_VALUE"""),"Señal MOPU R.D, 60 cm NIII")</f>
        <v>Señal MOPU R.D, 60 cm NIII</v>
      </c>
      <c r="C1873" s="4">
        <f>IFERROR(__xludf.DUMMYFUNCTION("""COMPUTED_VALUE"""),80.94)</f>
        <v>80.94</v>
      </c>
    </row>
    <row r="1874">
      <c r="A1874" s="4" t="str">
        <f>IFERROR(__xludf.DUMMYFUNCTION("""COMPUTED_VALUE"""),"9160NE")</f>
        <v>9160NE</v>
      </c>
      <c r="B1874" s="4" t="str">
        <f>IFERROR(__xludf.DUMMYFUNCTION("""COMPUTED_VALUE"""),"Señal cuadrada 60 cm Normal recarga eléctrica")</f>
        <v>Señal cuadrada 60 cm Normal recarga eléctrica</v>
      </c>
      <c r="C1874" s="4">
        <f>IFERROR(__xludf.DUMMYFUNCTION("""COMPUTED_VALUE"""),31.0)</f>
        <v>31</v>
      </c>
    </row>
    <row r="1875">
      <c r="A1875" s="4" t="str">
        <f>IFERROR(__xludf.DUMMYFUNCTION("""COMPUTED_VALUE"""),"9190N")</f>
        <v>9190N</v>
      </c>
      <c r="B1875" s="4" t="str">
        <f>IFERROR(__xludf.DUMMYFUNCTION("""COMPUTED_VALUE"""),"Señal MOPU R.D. 90 cm N")</f>
        <v>Señal MOPU R.D. 90 cm N</v>
      </c>
      <c r="C1875" s="4">
        <f>IFERROR(__xludf.DUMMYFUNCTION("""COMPUTED_VALUE"""),79.11)</f>
        <v>79.11</v>
      </c>
    </row>
    <row r="1876">
      <c r="A1876" s="4" t="str">
        <f>IFERROR(__xludf.DUMMYFUNCTION("""COMPUTED_VALUE"""),"9190N1")</f>
        <v>9190N1</v>
      </c>
      <c r="B1876" s="4" t="str">
        <f>IFERROR(__xludf.DUMMYFUNCTION("""COMPUTED_VALUE"""),"Señal MOPU R.D. 90 cm NI")</f>
        <v>Señal MOPU R.D. 90 cm NI</v>
      </c>
      <c r="C1876" s="4">
        <f>IFERROR(__xludf.DUMMYFUNCTION("""COMPUTED_VALUE"""),87.52)</f>
        <v>87.52</v>
      </c>
    </row>
    <row r="1877">
      <c r="A1877" s="4" t="str">
        <f>IFERROR(__xludf.DUMMYFUNCTION("""COMPUTED_VALUE"""),"9190N2")</f>
        <v>9190N2</v>
      </c>
      <c r="B1877" s="4" t="str">
        <f>IFERROR(__xludf.DUMMYFUNCTION("""COMPUTED_VALUE"""),"Señal MOPU R.D. 90 cm NII")</f>
        <v>Señal MOPU R.D. 90 cm NII</v>
      </c>
      <c r="C1877" s="4">
        <f>IFERROR(__xludf.DUMMYFUNCTION("""COMPUTED_VALUE"""),114.17)</f>
        <v>114.17</v>
      </c>
    </row>
    <row r="1878">
      <c r="A1878" s="4" t="str">
        <f>IFERROR(__xludf.DUMMYFUNCTION("""COMPUTED_VALUE"""),"9190N3")</f>
        <v>9190N3</v>
      </c>
      <c r="B1878" s="4" t="str">
        <f>IFERROR(__xludf.DUMMYFUNCTION("""COMPUTED_VALUE"""),"Señal MOPU R.D. 90 cm NIII")</f>
        <v>Señal MOPU R.D. 90 cm NIII</v>
      </c>
      <c r="C1878" s="4">
        <f>IFERROR(__xludf.DUMMYFUNCTION("""COMPUTED_VALUE"""),172.51)</f>
        <v>172.51</v>
      </c>
    </row>
    <row r="1879">
      <c r="A1879" s="4" t="str">
        <f>IFERROR(__xludf.DUMMYFUNCTION("""COMPUTED_VALUE"""),"9210")</f>
        <v>9210</v>
      </c>
      <c r="B1879" s="4" t="str">
        <f>IFERROR(__xludf.DUMMYFUNCTION("""COMPUTED_VALUE"""),"Pack 10 uds adhesivos 10x15 riesgo electrico")</f>
        <v>Pack 10 uds adhesivos 10x15 riesgo electrico</v>
      </c>
      <c r="C1879" s="4">
        <f>IFERROR(__xludf.DUMMYFUNCTION("""COMPUTED_VALUE"""),4.2)</f>
        <v>4.2</v>
      </c>
    </row>
    <row r="1880">
      <c r="A1880" s="4" t="str">
        <f>IFERROR(__xludf.DUMMYFUNCTION("""COMPUTED_VALUE"""),"925170N2")</f>
        <v>925170N2</v>
      </c>
      <c r="B1880" s="4" t="str">
        <f>IFERROR(__xludf.DUMMYFUNCTION("""COMPUTED_VALUE"""),"Señal MOPU informativa 25x170 cm Reflex II")</f>
        <v>Señal MOPU informativa 25x170 cm Reflex II</v>
      </c>
      <c r="C1880" s="4">
        <f>IFERROR(__xludf.DUMMYFUNCTION("""COMPUTED_VALUE"""),104.4)</f>
        <v>104.4</v>
      </c>
    </row>
    <row r="1881">
      <c r="A1881" s="4" t="str">
        <f>IFERROR(__xludf.DUMMYFUNCTION("""COMPUTED_VALUE"""),"9260N")</f>
        <v>9260N</v>
      </c>
      <c r="B1881" s="4" t="str">
        <f>IFERROR(__xludf.DUMMYFUNCTION("""COMPUTED_VALUE"""),"Señal MOPU R2 60 cm N")</f>
        <v>Señal MOPU R2 60 cm N</v>
      </c>
      <c r="C1881" s="4">
        <f>IFERROR(__xludf.DUMMYFUNCTION("""COMPUTED_VALUE"""),31.95)</f>
        <v>31.95</v>
      </c>
    </row>
    <row r="1882">
      <c r="A1882" s="4" t="str">
        <f>IFERROR(__xludf.DUMMYFUNCTION("""COMPUTED_VALUE"""),"9260N1")</f>
        <v>9260N1</v>
      </c>
      <c r="B1882" s="4" t="str">
        <f>IFERROR(__xludf.DUMMYFUNCTION("""COMPUTED_VALUE"""),"Señal MOPU R2 60 cm NI")</f>
        <v>Señal MOPU R2 60 cm NI</v>
      </c>
      <c r="C1882" s="4">
        <f>IFERROR(__xludf.DUMMYFUNCTION("""COMPUTED_VALUE"""),43.45)</f>
        <v>43.45</v>
      </c>
    </row>
    <row r="1883">
      <c r="A1883" s="4" t="str">
        <f>IFERROR(__xludf.DUMMYFUNCTION("""COMPUTED_VALUE"""),"9260N2")</f>
        <v>9260N2</v>
      </c>
      <c r="B1883" s="4" t="str">
        <f>IFERROR(__xludf.DUMMYFUNCTION("""COMPUTED_VALUE"""),"Señal MOPU R2 60 cm NII")</f>
        <v>Señal MOPU R2 60 cm NII</v>
      </c>
      <c r="C1883" s="4">
        <f>IFERROR(__xludf.DUMMYFUNCTION("""COMPUTED_VALUE"""),62.2)</f>
        <v>62.2</v>
      </c>
    </row>
    <row r="1884">
      <c r="A1884" s="4" t="str">
        <f>IFERROR(__xludf.DUMMYFUNCTION("""COMPUTED_VALUE"""),"9260N3")</f>
        <v>9260N3</v>
      </c>
      <c r="B1884" s="4" t="str">
        <f>IFERROR(__xludf.DUMMYFUNCTION("""COMPUTED_VALUE"""),"Señal MOPU R2 60 cm NIII")</f>
        <v>Señal MOPU R2 60 cm NIII</v>
      </c>
      <c r="C1884" s="4">
        <f>IFERROR(__xludf.DUMMYFUNCTION("""COMPUTED_VALUE"""),76.47)</f>
        <v>76.47</v>
      </c>
    </row>
    <row r="1885">
      <c r="A1885" s="4" t="str">
        <f>IFERROR(__xludf.DUMMYFUNCTION("""COMPUTED_VALUE"""),"9290N")</f>
        <v>9290N</v>
      </c>
      <c r="B1885" s="4" t="str">
        <f>IFERROR(__xludf.DUMMYFUNCTION("""COMPUTED_VALUE"""),"Señal MOPU R2 90 cm N")</f>
        <v>Señal MOPU R2 90 cm N</v>
      </c>
      <c r="C1885" s="4">
        <f>IFERROR(__xludf.DUMMYFUNCTION("""COMPUTED_VALUE"""),69.22)</f>
        <v>69.22</v>
      </c>
    </row>
    <row r="1886">
      <c r="A1886" s="4" t="str">
        <f>IFERROR(__xludf.DUMMYFUNCTION("""COMPUTED_VALUE"""),"9290N1")</f>
        <v>9290N1</v>
      </c>
      <c r="B1886" s="4" t="str">
        <f>IFERROR(__xludf.DUMMYFUNCTION("""COMPUTED_VALUE"""),"Señal MOPU R2 90 cm NI")</f>
        <v>Señal MOPU R2 90 cm NI</v>
      </c>
      <c r="C1886" s="4">
        <f>IFERROR(__xludf.DUMMYFUNCTION("""COMPUTED_VALUE"""),84.1)</f>
        <v>84.1</v>
      </c>
    </row>
    <row r="1887">
      <c r="A1887" s="4" t="str">
        <f>IFERROR(__xludf.DUMMYFUNCTION("""COMPUTED_VALUE"""),"9290N2")</f>
        <v>9290N2</v>
      </c>
      <c r="B1887" s="4" t="str">
        <f>IFERROR(__xludf.DUMMYFUNCTION("""COMPUTED_VALUE"""),"Señal MOPU R2 90 cm NII")</f>
        <v>Señal MOPU R2 90 cm NII</v>
      </c>
      <c r="C1887" s="4">
        <f>IFERROR(__xludf.DUMMYFUNCTION("""COMPUTED_VALUE"""),122.57)</f>
        <v>122.57</v>
      </c>
    </row>
    <row r="1888">
      <c r="A1888" s="4" t="str">
        <f>IFERROR(__xludf.DUMMYFUNCTION("""COMPUTED_VALUE"""),"9290N3")</f>
        <v>9290N3</v>
      </c>
      <c r="B1888" s="4" t="str">
        <f>IFERROR(__xludf.DUMMYFUNCTION("""COMPUTED_VALUE"""),"Señal MOPU R2 90 cm NIII")</f>
        <v>Señal MOPU R2 90 cm NIII</v>
      </c>
      <c r="C1888" s="4">
        <f>IFERROR(__xludf.DUMMYFUNCTION("""COMPUTED_VALUE"""),163.19)</f>
        <v>163.19</v>
      </c>
    </row>
    <row r="1889">
      <c r="A1889" s="4" t="str">
        <f>IFERROR(__xludf.DUMMYFUNCTION("""COMPUTED_VALUE"""),"9340N")</f>
        <v>9340N</v>
      </c>
      <c r="B1889" s="4" t="str">
        <f>IFERROR(__xludf.DUMMYFUNCTION("""COMPUTED_VALUE"""),"Señal MOPU C.D. 40x40cm N")</f>
        <v>Señal MOPU C.D. 40x40cm N</v>
      </c>
      <c r="C1889" s="4">
        <f>IFERROR(__xludf.DUMMYFUNCTION("""COMPUTED_VALUE"""),23.52)</f>
        <v>23.52</v>
      </c>
    </row>
    <row r="1890">
      <c r="A1890" s="4" t="str">
        <f>IFERROR(__xludf.DUMMYFUNCTION("""COMPUTED_VALUE"""),"9340N1")</f>
        <v>9340N1</v>
      </c>
      <c r="B1890" s="4" t="str">
        <f>IFERROR(__xludf.DUMMYFUNCTION("""COMPUTED_VALUE"""),"Señal MOPU C.D, 40x40cm NI")</f>
        <v>Señal MOPU C.D, 40x40cm NI</v>
      </c>
      <c r="C1890" s="4">
        <f>IFERROR(__xludf.DUMMYFUNCTION("""COMPUTED_VALUE"""),26.79)</f>
        <v>26.79</v>
      </c>
    </row>
    <row r="1891">
      <c r="A1891" s="4" t="str">
        <f>IFERROR(__xludf.DUMMYFUNCTION("""COMPUTED_VALUE"""),"9340N2")</f>
        <v>9340N2</v>
      </c>
      <c r="B1891" s="4" t="str">
        <f>IFERROR(__xludf.DUMMYFUNCTION("""COMPUTED_VALUE"""),"Señal MOPU C.D. 40x40cm NII")</f>
        <v>Señal MOPU C.D. 40x40cm NII</v>
      </c>
      <c r="C1891" s="4">
        <f>IFERROR(__xludf.DUMMYFUNCTION("""COMPUTED_VALUE"""),37.48)</f>
        <v>37.48</v>
      </c>
    </row>
    <row r="1892">
      <c r="A1892" s="4" t="str">
        <f>IFERROR(__xludf.DUMMYFUNCTION("""COMPUTED_VALUE"""),"9340N3")</f>
        <v>9340N3</v>
      </c>
      <c r="B1892" s="4" t="str">
        <f>IFERROR(__xludf.DUMMYFUNCTION("""COMPUTED_VALUE"""),"Señal MOPU C.D. 40x40 cm NIII")</f>
        <v>Señal MOPU C.D. 40x40 cm NIII</v>
      </c>
      <c r="C1892" s="4">
        <f>IFERROR(__xludf.DUMMYFUNCTION("""COMPUTED_VALUE"""),56.19)</f>
        <v>56.19</v>
      </c>
    </row>
    <row r="1893">
      <c r="A1893" s="4" t="str">
        <f>IFERROR(__xludf.DUMMYFUNCTION("""COMPUTED_VALUE"""),"9360N")</f>
        <v>9360N</v>
      </c>
      <c r="B1893" s="4" t="str">
        <f>IFERROR(__xludf.DUMMYFUNCTION("""COMPUTED_VALUE"""),"Señal MOPU C.D. 60x60cm N")</f>
        <v>Señal MOPU C.D. 60x60cm N</v>
      </c>
      <c r="C1893" s="4">
        <f>IFERROR(__xludf.DUMMYFUNCTION("""COMPUTED_VALUE"""),31.25)</f>
        <v>31.25</v>
      </c>
    </row>
    <row r="1894">
      <c r="A1894" s="4" t="str">
        <f>IFERROR(__xludf.DUMMYFUNCTION("""COMPUTED_VALUE"""),"9360N1")</f>
        <v>9360N1</v>
      </c>
      <c r="B1894" s="4" t="str">
        <f>IFERROR(__xludf.DUMMYFUNCTION("""COMPUTED_VALUE"""),"Señal MOPU C.D. 60x60cm NI")</f>
        <v>Señal MOPU C.D. 60x60cm NI</v>
      </c>
      <c r="C1894" s="4">
        <f>IFERROR(__xludf.DUMMYFUNCTION("""COMPUTED_VALUE"""),41.25)</f>
        <v>41.25</v>
      </c>
    </row>
    <row r="1895">
      <c r="A1895" s="4" t="str">
        <f>IFERROR(__xludf.DUMMYFUNCTION("""COMPUTED_VALUE"""),"9360N2")</f>
        <v>9360N2</v>
      </c>
      <c r="B1895" s="4" t="str">
        <f>IFERROR(__xludf.DUMMYFUNCTION("""COMPUTED_VALUE"""),"Señal MOPU C.D. 60x60cm NII")</f>
        <v>Señal MOPU C.D. 60x60cm NII</v>
      </c>
      <c r="C1895" s="4">
        <f>IFERROR(__xludf.DUMMYFUNCTION("""COMPUTED_VALUE"""),49.25)</f>
        <v>49.25</v>
      </c>
    </row>
    <row r="1896">
      <c r="A1896" s="4" t="str">
        <f>IFERROR(__xludf.DUMMYFUNCTION("""COMPUTED_VALUE"""),"9360N3")</f>
        <v>9360N3</v>
      </c>
      <c r="B1896" s="4" t="str">
        <f>IFERROR(__xludf.DUMMYFUNCTION("""COMPUTED_VALUE"""),"Señal MOPU C.D. 60x60cm NIII")</f>
        <v>Señal MOPU C.D. 60x60cm NIII</v>
      </c>
      <c r="C1896" s="4">
        <f>IFERROR(__xludf.DUMMYFUNCTION("""COMPUTED_VALUE"""),82.5)</f>
        <v>82.5</v>
      </c>
    </row>
    <row r="1897">
      <c r="A1897" s="4" t="str">
        <f>IFERROR(__xludf.DUMMYFUNCTION("""COMPUTED_VALUE"""),"9390N")</f>
        <v>9390N</v>
      </c>
      <c r="B1897" s="4" t="str">
        <f>IFERROR(__xludf.DUMMYFUNCTION("""COMPUTED_VALUE"""),"Señal MOPU C.D. 90x90 cm N")</f>
        <v>Señal MOPU C.D. 90x90 cm N</v>
      </c>
      <c r="C1897" s="4">
        <f>IFERROR(__xludf.DUMMYFUNCTION("""COMPUTED_VALUE"""),69.25)</f>
        <v>69.25</v>
      </c>
    </row>
    <row r="1898">
      <c r="A1898" s="4" t="str">
        <f>IFERROR(__xludf.DUMMYFUNCTION("""COMPUTED_VALUE"""),"9390N1")</f>
        <v>9390N1</v>
      </c>
      <c r="B1898" s="4" t="str">
        <f>IFERROR(__xludf.DUMMYFUNCTION("""COMPUTED_VALUE"""),"Señal MOPU C.D. 90x90 cm NI")</f>
        <v>Señal MOPU C.D. 90x90 cm NI</v>
      </c>
      <c r="C1898" s="4">
        <f>IFERROR(__xludf.DUMMYFUNCTION("""COMPUTED_VALUE"""),94.01)</f>
        <v>94.01</v>
      </c>
    </row>
    <row r="1899">
      <c r="A1899" s="4" t="str">
        <f>IFERROR(__xludf.DUMMYFUNCTION("""COMPUTED_VALUE"""),"9390N2")</f>
        <v>9390N2</v>
      </c>
      <c r="B1899" s="4" t="str">
        <f>IFERROR(__xludf.DUMMYFUNCTION("""COMPUTED_VALUE"""),"Señal MOPU C.D. 90x90 cm NII")</f>
        <v>Señal MOPU C.D. 90x90 cm NII</v>
      </c>
      <c r="C1899" s="4">
        <f>IFERROR(__xludf.DUMMYFUNCTION("""COMPUTED_VALUE"""),136.82)</f>
        <v>136.82</v>
      </c>
    </row>
    <row r="1900">
      <c r="A1900" s="4" t="str">
        <f>IFERROR(__xludf.DUMMYFUNCTION("""COMPUTED_VALUE"""),"9390N3")</f>
        <v>9390N3</v>
      </c>
      <c r="B1900" s="4" t="str">
        <f>IFERROR(__xludf.DUMMYFUNCTION("""COMPUTED_VALUE"""),"Señal MOPU C.D. 90x90 cm NIII")</f>
        <v>Señal MOPU C.D. 90x90 cm NIII</v>
      </c>
      <c r="C1900" s="4">
        <f>IFERROR(__xludf.DUMMYFUNCTION("""COMPUTED_VALUE"""),188.72)</f>
        <v>188.72</v>
      </c>
    </row>
    <row r="1901">
      <c r="A1901" s="4" t="str">
        <f>IFERROR(__xludf.DUMMYFUNCTION("""COMPUTED_VALUE"""),"94120180N1")</f>
        <v>94120180N1</v>
      </c>
      <c r="B1901" s="4" t="str">
        <f>IFERROR(__xludf.DUMMYFUNCTION("""COMPUTED_VALUE"""),"Rectangulo MOPU 120x180 cm Reflex I")</f>
        <v>Rectangulo MOPU 120x180 cm Reflex I</v>
      </c>
      <c r="C1901" s="4">
        <f>IFERROR(__xludf.DUMMYFUNCTION("""COMPUTED_VALUE"""),218.25)</f>
        <v>218.25</v>
      </c>
    </row>
    <row r="1902">
      <c r="A1902" s="4" t="str">
        <f>IFERROR(__xludf.DUMMYFUNCTION("""COMPUTED_VALUE"""),"94120180N2")</f>
        <v>94120180N2</v>
      </c>
      <c r="B1902" s="4" t="str">
        <f>IFERROR(__xludf.DUMMYFUNCTION("""COMPUTED_VALUE"""),"Rectangulo MOPU 120x180 cm Reflex II")</f>
        <v>Rectangulo MOPU 120x180 cm Reflex II</v>
      </c>
      <c r="C1902" s="4">
        <f>IFERROR(__xludf.DUMMYFUNCTION("""COMPUTED_VALUE"""),297.5)</f>
        <v>297.5</v>
      </c>
    </row>
    <row r="1903">
      <c r="A1903" s="4" t="str">
        <f>IFERROR(__xludf.DUMMYFUNCTION("""COMPUTED_VALUE"""),"94120180N3")</f>
        <v>94120180N3</v>
      </c>
      <c r="B1903" s="4" t="str">
        <f>IFERROR(__xludf.DUMMYFUNCTION("""COMPUTED_VALUE"""),"Rectangulo MOPU 120x180 cm Reflex III")</f>
        <v>Rectangulo MOPU 120x180 cm Reflex III</v>
      </c>
      <c r="C1903" s="4">
        <f>IFERROR(__xludf.DUMMYFUNCTION("""COMPUTED_VALUE"""),427.5)</f>
        <v>427.5</v>
      </c>
    </row>
    <row r="1904">
      <c r="A1904" s="4" t="str">
        <f>IFERROR(__xludf.DUMMYFUNCTION("""COMPUTED_VALUE"""),"94120210N1")</f>
        <v>94120210N1</v>
      </c>
      <c r="B1904" s="4" t="str">
        <f>IFERROR(__xludf.DUMMYFUNCTION("""COMPUTED_VALUE"""),"Rectangulo MOPU 120x210 cm Reflex I")</f>
        <v>Rectangulo MOPU 120x210 cm Reflex I</v>
      </c>
      <c r="C1904" s="4">
        <f>IFERROR(__xludf.DUMMYFUNCTION("""COMPUTED_VALUE"""),290.3)</f>
        <v>290.3</v>
      </c>
    </row>
    <row r="1905">
      <c r="A1905" s="4" t="str">
        <f>IFERROR(__xludf.DUMMYFUNCTION("""COMPUTED_VALUE"""),"94120210N2")</f>
        <v>94120210N2</v>
      </c>
      <c r="B1905" s="4" t="str">
        <f>IFERROR(__xludf.DUMMYFUNCTION("""COMPUTED_VALUE"""),"Rectangulo MOPU 120x210 cm Reflex II")</f>
        <v>Rectangulo MOPU 120x210 cm Reflex II</v>
      </c>
      <c r="C1905" s="4">
        <f>IFERROR(__xludf.DUMMYFUNCTION("""COMPUTED_VALUE"""),440.0)</f>
        <v>440</v>
      </c>
    </row>
    <row r="1906">
      <c r="A1906" s="4" t="str">
        <f>IFERROR(__xludf.DUMMYFUNCTION("""COMPUTED_VALUE"""),"94120210N3")</f>
        <v>94120210N3</v>
      </c>
      <c r="B1906" s="4" t="str">
        <f>IFERROR(__xludf.DUMMYFUNCTION("""COMPUTED_VALUE"""),"Rectangulo MOPU 120x210 cm Reflex III")</f>
        <v>Rectangulo MOPU 120x210 cm Reflex III</v>
      </c>
      <c r="C1906" s="4">
        <f>IFERROR(__xludf.DUMMYFUNCTION("""COMPUTED_VALUE"""),610.0)</f>
        <v>610</v>
      </c>
    </row>
    <row r="1907">
      <c r="A1907" s="4" t="str">
        <f>IFERROR(__xludf.DUMMYFUNCTION("""COMPUTED_VALUE"""),"944060N")</f>
        <v>944060N</v>
      </c>
      <c r="B1907" s="4" t="str">
        <f>IFERROR(__xludf.DUMMYFUNCTION("""COMPUTED_VALUE"""),"Rectangulo MOPU 40x60 cm Normal")</f>
        <v>Rectangulo MOPU 40x60 cm Normal</v>
      </c>
      <c r="C1907" s="4">
        <f>IFERROR(__xludf.DUMMYFUNCTION("""COMPUTED_VALUE"""),33.0)</f>
        <v>33</v>
      </c>
    </row>
    <row r="1908">
      <c r="A1908" s="4" t="str">
        <f>IFERROR(__xludf.DUMMYFUNCTION("""COMPUTED_VALUE"""),"944060N1")</f>
        <v>944060N1</v>
      </c>
      <c r="B1908" s="4" t="str">
        <f>IFERROR(__xludf.DUMMYFUNCTION("""COMPUTED_VALUE"""),"Rectangulo MOPU 40x60 cm Reflex I")</f>
        <v>Rectangulo MOPU 40x60 cm Reflex I</v>
      </c>
      <c r="C1908" s="4">
        <f>IFERROR(__xludf.DUMMYFUNCTION("""COMPUTED_VALUE"""),39.0)</f>
        <v>39</v>
      </c>
    </row>
    <row r="1909">
      <c r="A1909" s="4" t="str">
        <f>IFERROR(__xludf.DUMMYFUNCTION("""COMPUTED_VALUE"""),"944060N2")</f>
        <v>944060N2</v>
      </c>
      <c r="B1909" s="4" t="str">
        <f>IFERROR(__xludf.DUMMYFUNCTION("""COMPUTED_VALUE"""),"Rectangulo MOPU 40x60 cm Reflex II")</f>
        <v>Rectangulo MOPU 40x60 cm Reflex II</v>
      </c>
      <c r="C1909" s="4">
        <f>IFERROR(__xludf.DUMMYFUNCTION("""COMPUTED_VALUE"""),43.0)</f>
        <v>43</v>
      </c>
    </row>
    <row r="1910">
      <c r="A1910" s="4" t="str">
        <f>IFERROR(__xludf.DUMMYFUNCTION("""COMPUTED_VALUE"""),"944060N3")</f>
        <v>944060N3</v>
      </c>
      <c r="B1910" s="4" t="str">
        <f>IFERROR(__xludf.DUMMYFUNCTION("""COMPUTED_VALUE"""),"Rectangulo MOPU 40x60 cm Reflex III")</f>
        <v>Rectangulo MOPU 40x60 cm Reflex III</v>
      </c>
      <c r="C1910" s="4">
        <f>IFERROR(__xludf.DUMMYFUNCTION("""COMPUTED_VALUE"""),62.91)</f>
        <v>62.91</v>
      </c>
    </row>
    <row r="1911">
      <c r="A1911" s="4" t="str">
        <f>IFERROR(__xludf.DUMMYFUNCTION("""COMPUTED_VALUE"""),"9460120N")</f>
        <v>9460120N</v>
      </c>
      <c r="B1911" s="4" t="str">
        <f>IFERROR(__xludf.DUMMYFUNCTION("""COMPUTED_VALUE"""),"Rectangulo MOPU 60x120 cm Normal")</f>
        <v>Rectangulo MOPU 60x120 cm Normal</v>
      </c>
      <c r="C1911" s="4">
        <f>IFERROR(__xludf.DUMMYFUNCTION("""COMPUTED_VALUE"""),84.0)</f>
        <v>84</v>
      </c>
    </row>
    <row r="1912">
      <c r="A1912" s="4" t="str">
        <f>IFERROR(__xludf.DUMMYFUNCTION("""COMPUTED_VALUE"""),"9460120N1")</f>
        <v>9460120N1</v>
      </c>
      <c r="B1912" s="4" t="str">
        <f>IFERROR(__xludf.DUMMYFUNCTION("""COMPUTED_VALUE"""),"Rectangulo MOPU 60x120 cm Reflex I")</f>
        <v>Rectangulo MOPU 60x120 cm Reflex I</v>
      </c>
      <c r="C1912" s="4">
        <f>IFERROR(__xludf.DUMMYFUNCTION("""COMPUTED_VALUE"""),99.58)</f>
        <v>99.58</v>
      </c>
    </row>
    <row r="1913">
      <c r="A1913" s="4" t="str">
        <f>IFERROR(__xludf.DUMMYFUNCTION("""COMPUTED_VALUE"""),"9460120N2")</f>
        <v>9460120N2</v>
      </c>
      <c r="B1913" s="4" t="str">
        <f>IFERROR(__xludf.DUMMYFUNCTION("""COMPUTED_VALUE"""),"Rectangulo MOPU 60x120 cm Reflex II")</f>
        <v>Rectangulo MOPU 60x120 cm Reflex II</v>
      </c>
      <c r="C1913" s="4">
        <f>IFERROR(__xludf.DUMMYFUNCTION("""COMPUTED_VALUE"""),131.04)</f>
        <v>131.04</v>
      </c>
    </row>
    <row r="1914">
      <c r="A1914" s="4" t="str">
        <f>IFERROR(__xludf.DUMMYFUNCTION("""COMPUTED_VALUE"""),"9460120N3")</f>
        <v>9460120N3</v>
      </c>
      <c r="B1914" s="4" t="str">
        <f>IFERROR(__xludf.DUMMYFUNCTION("""COMPUTED_VALUE"""),"Rectangulo MOPU 60x120 cm Reflex III")</f>
        <v>Rectangulo MOPU 60x120 cm Reflex III</v>
      </c>
      <c r="C1914" s="4">
        <f>IFERROR(__xludf.DUMMYFUNCTION("""COMPUTED_VALUE"""),167.75)</f>
        <v>167.75</v>
      </c>
    </row>
    <row r="1915">
      <c r="A1915" s="4" t="str">
        <f>IFERROR(__xludf.DUMMYFUNCTION("""COMPUTED_VALUE"""),"946090N")</f>
        <v>946090N</v>
      </c>
      <c r="B1915" s="4" t="str">
        <f>IFERROR(__xludf.DUMMYFUNCTION("""COMPUTED_VALUE"""),"Rectangulo MOPU 60x90 cm Normal")</f>
        <v>Rectangulo MOPU 60x90 cm Normal</v>
      </c>
      <c r="C1915" s="4">
        <f>IFERROR(__xludf.DUMMYFUNCTION("""COMPUTED_VALUE"""),65.74)</f>
        <v>65.74</v>
      </c>
    </row>
    <row r="1916">
      <c r="A1916" s="4" t="str">
        <f>IFERROR(__xludf.DUMMYFUNCTION("""COMPUTED_VALUE"""),"946090N1")</f>
        <v>946090N1</v>
      </c>
      <c r="B1916" s="4" t="str">
        <f>IFERROR(__xludf.DUMMYFUNCTION("""COMPUTED_VALUE"""),"Rectangulo MOPU 60x90 cm Reflex I")</f>
        <v>Rectangulo MOPU 60x90 cm Reflex I</v>
      </c>
      <c r="C1916" s="4">
        <f>IFERROR(__xludf.DUMMYFUNCTION("""COMPUTED_VALUE"""),72.09)</f>
        <v>72.09</v>
      </c>
    </row>
    <row r="1917">
      <c r="A1917" s="4" t="str">
        <f>IFERROR(__xludf.DUMMYFUNCTION("""COMPUTED_VALUE"""),"946090N2")</f>
        <v>946090N2</v>
      </c>
      <c r="B1917" s="4" t="str">
        <f>IFERROR(__xludf.DUMMYFUNCTION("""COMPUTED_VALUE"""),"Rectangulo MOPU 60x90 cm Reflex II")</f>
        <v>Rectangulo MOPU 60x90 cm Reflex II</v>
      </c>
      <c r="C1917" s="4">
        <f>IFERROR(__xludf.DUMMYFUNCTION("""COMPUTED_VALUE"""),100.91)</f>
        <v>100.91</v>
      </c>
    </row>
    <row r="1918">
      <c r="A1918" s="4" t="str">
        <f>IFERROR(__xludf.DUMMYFUNCTION("""COMPUTED_VALUE"""),"946090N3")</f>
        <v>946090N3</v>
      </c>
      <c r="B1918" s="4" t="str">
        <f>IFERROR(__xludf.DUMMYFUNCTION("""COMPUTED_VALUE"""),"Rectangulo MOPU 60x90 cm Reflex III")</f>
        <v>Rectangulo MOPU 60x90 cm Reflex III</v>
      </c>
      <c r="C1918" s="4">
        <f>IFERROR(__xludf.DUMMYFUNCTION("""COMPUTED_VALUE"""),132.26)</f>
        <v>132.26</v>
      </c>
    </row>
    <row r="1919">
      <c r="A1919" s="4" t="str">
        <f>IFERROR(__xludf.DUMMYFUNCTION("""COMPUTED_VALUE"""),"9490135N")</f>
        <v>9490135N</v>
      </c>
      <c r="B1919" s="4" t="str">
        <f>IFERROR(__xludf.DUMMYFUNCTION("""COMPUTED_VALUE"""),"Rectangulo MOPU 90x135 cm Normal")</f>
        <v>Rectangulo MOPU 90x135 cm Normal</v>
      </c>
      <c r="C1919" s="4">
        <f>IFERROR(__xludf.DUMMYFUNCTION("""COMPUTED_VALUE"""),115.96)</f>
        <v>115.96</v>
      </c>
    </row>
    <row r="1920">
      <c r="A1920" s="4" t="str">
        <f>IFERROR(__xludf.DUMMYFUNCTION("""COMPUTED_VALUE"""),"9490135N1")</f>
        <v>9490135N1</v>
      </c>
      <c r="B1920" s="4" t="str">
        <f>IFERROR(__xludf.DUMMYFUNCTION("""COMPUTED_VALUE"""),"Rectangulo MOPU 90x135 cm Reflex I")</f>
        <v>Rectangulo MOPU 90x135 cm Reflex I</v>
      </c>
      <c r="C1920" s="4">
        <f>IFERROR(__xludf.DUMMYFUNCTION("""COMPUTED_VALUE"""),267.24)</f>
        <v>267.24</v>
      </c>
    </row>
    <row r="1921">
      <c r="A1921" s="4" t="str">
        <f>IFERROR(__xludf.DUMMYFUNCTION("""COMPUTED_VALUE"""),"9490135N2")</f>
        <v>9490135N2</v>
      </c>
      <c r="B1921" s="4" t="str">
        <f>IFERROR(__xludf.DUMMYFUNCTION("""COMPUTED_VALUE"""),"Rectangulo MOPU 90x135 cm Reflex II")</f>
        <v>Rectangulo MOPU 90x135 cm Reflex II</v>
      </c>
      <c r="C1921" s="4">
        <f>IFERROR(__xludf.DUMMYFUNCTION("""COMPUTED_VALUE"""),202.5)</f>
        <v>202.5</v>
      </c>
    </row>
    <row r="1922">
      <c r="A1922" s="4" t="str">
        <f>IFERROR(__xludf.DUMMYFUNCTION("""COMPUTED_VALUE"""),"9490135N3")</f>
        <v>9490135N3</v>
      </c>
      <c r="B1922" s="4" t="str">
        <f>IFERROR(__xludf.DUMMYFUNCTION("""COMPUTED_VALUE"""),"Rectangulo MOPU 90x135 cm Reflex III")</f>
        <v>Rectangulo MOPU 90x135 cm Reflex III</v>
      </c>
      <c r="C1922" s="4">
        <f>IFERROR(__xludf.DUMMYFUNCTION("""COMPUTED_VALUE"""),267.5)</f>
        <v>267.5</v>
      </c>
    </row>
    <row r="1923">
      <c r="A1923" s="4" t="str">
        <f>IFERROR(__xludf.DUMMYFUNCTION("""COMPUTED_VALUE"""),"9500N")</f>
        <v>9500N</v>
      </c>
      <c r="B1923" s="4" t="str">
        <f>IFERROR(__xludf.DUMMYFUNCTION("""COMPUTED_VALUE"""),"Señal Aluminio Triangular 70 cm Normal")</f>
        <v>Señal Aluminio Triangular 70 cm Normal</v>
      </c>
      <c r="C1923" s="4">
        <f>IFERROR(__xludf.DUMMYFUNCTION("""COMPUTED_VALUE"""),27.0)</f>
        <v>27</v>
      </c>
    </row>
    <row r="1924">
      <c r="A1924" s="4" t="str">
        <f>IFERROR(__xludf.DUMMYFUNCTION("""COMPUTED_VALUE"""),"9500N1")</f>
        <v>9500N1</v>
      </c>
      <c r="B1924" s="4" t="str">
        <f>IFERROR(__xludf.DUMMYFUNCTION("""COMPUTED_VALUE"""),"Señal Aluminio Triangular 70 cm Nivel 1")</f>
        <v>Señal Aluminio Triangular 70 cm Nivel 1</v>
      </c>
      <c r="C1924" s="4">
        <f>IFERROR(__xludf.DUMMYFUNCTION("""COMPUTED_VALUE"""),30.0)</f>
        <v>30</v>
      </c>
    </row>
    <row r="1925">
      <c r="A1925" s="4" t="str">
        <f>IFERROR(__xludf.DUMMYFUNCTION("""COMPUTED_VALUE"""),"954020N")</f>
        <v>954020N</v>
      </c>
      <c r="B1925" s="4" t="str">
        <f>IFERROR(__xludf.DUMMYFUNCTION("""COMPUTED_VALUE"""),"Señal MOPU complementaria 40x20 cm Normal")</f>
        <v>Señal MOPU complementaria 40x20 cm Normal</v>
      </c>
      <c r="C1925" s="4">
        <f>IFERROR(__xludf.DUMMYFUNCTION("""COMPUTED_VALUE"""),19.0)</f>
        <v>19</v>
      </c>
    </row>
    <row r="1926">
      <c r="A1926" s="4" t="str">
        <f>IFERROR(__xludf.DUMMYFUNCTION("""COMPUTED_VALUE"""),"954020N1")</f>
        <v>954020N1</v>
      </c>
      <c r="B1926" s="4" t="str">
        <f>IFERROR(__xludf.DUMMYFUNCTION("""COMPUTED_VALUE"""),"Señal MOPU complementaria 40x20 cm Reflex I")</f>
        <v>Señal MOPU complementaria 40x20 cm Reflex I</v>
      </c>
      <c r="C1926" s="4">
        <f>IFERROR(__xludf.DUMMYFUNCTION("""COMPUTED_VALUE"""),22.25)</f>
        <v>22.25</v>
      </c>
    </row>
    <row r="1927">
      <c r="A1927" s="4" t="str">
        <f>IFERROR(__xludf.DUMMYFUNCTION("""COMPUTED_VALUE"""),"954020N2")</f>
        <v>954020N2</v>
      </c>
      <c r="B1927" s="4" t="str">
        <f>IFERROR(__xludf.DUMMYFUNCTION("""COMPUTED_VALUE"""),"Señal MOPU complementaria 40x20 cm Reflex II")</f>
        <v>Señal MOPU complementaria 40x20 cm Reflex II</v>
      </c>
      <c r="C1927" s="4">
        <f>IFERROR(__xludf.DUMMYFUNCTION("""COMPUTED_VALUE"""),27.25)</f>
        <v>27.25</v>
      </c>
    </row>
    <row r="1928">
      <c r="A1928" s="4" t="str">
        <f>IFERROR(__xludf.DUMMYFUNCTION("""COMPUTED_VALUE"""),"954020N3")</f>
        <v>954020N3</v>
      </c>
      <c r="B1928" s="4" t="str">
        <f>IFERROR(__xludf.DUMMYFUNCTION("""COMPUTED_VALUE"""),"Señal MOPU complemenaria 40x20 cm Reflex III")</f>
        <v>Señal MOPU complemenaria 40x20 cm Reflex III</v>
      </c>
      <c r="C1928" s="4">
        <f>IFERROR(__xludf.DUMMYFUNCTION("""COMPUTED_VALUE"""),31.4)</f>
        <v>31.4</v>
      </c>
    </row>
    <row r="1929">
      <c r="A1929" s="4" t="str">
        <f>IFERROR(__xludf.DUMMYFUNCTION("""COMPUTED_VALUE"""),"956020N")</f>
        <v>956020N</v>
      </c>
      <c r="B1929" s="4" t="str">
        <f>IFERROR(__xludf.DUMMYFUNCTION("""COMPUTED_VALUE"""),"Señal MOPU complementaria 60x20 cm Normal")</f>
        <v>Señal MOPU complementaria 60x20 cm Normal</v>
      </c>
      <c r="C1929" s="4">
        <f>IFERROR(__xludf.DUMMYFUNCTION("""COMPUTED_VALUE"""),23.4)</f>
        <v>23.4</v>
      </c>
    </row>
    <row r="1930">
      <c r="A1930" s="4" t="str">
        <f>IFERROR(__xludf.DUMMYFUNCTION("""COMPUTED_VALUE"""),"956020N1")</f>
        <v>956020N1</v>
      </c>
      <c r="B1930" s="4" t="str">
        <f>IFERROR(__xludf.DUMMYFUNCTION("""COMPUTED_VALUE"""),"Señal MOPU complementaria 60x20 cm Reflex I")</f>
        <v>Señal MOPU complementaria 60x20 cm Reflex I</v>
      </c>
      <c r="C1930" s="4">
        <f>IFERROR(__xludf.DUMMYFUNCTION("""COMPUTED_VALUE"""),32.25)</f>
        <v>32.25</v>
      </c>
    </row>
    <row r="1931">
      <c r="A1931" s="4" t="str">
        <f>IFERROR(__xludf.DUMMYFUNCTION("""COMPUTED_VALUE"""),"956020N2")</f>
        <v>956020N2</v>
      </c>
      <c r="B1931" s="4" t="str">
        <f>IFERROR(__xludf.DUMMYFUNCTION("""COMPUTED_VALUE"""),"Señal MOPU complementaria 60x20 cm Reflex II")</f>
        <v>Señal MOPU complementaria 60x20 cm Reflex II</v>
      </c>
      <c r="C1931" s="4">
        <f>IFERROR(__xludf.DUMMYFUNCTION("""COMPUTED_VALUE"""),35.0)</f>
        <v>35</v>
      </c>
    </row>
    <row r="1932">
      <c r="A1932" s="4" t="str">
        <f>IFERROR(__xludf.DUMMYFUNCTION("""COMPUTED_VALUE"""),"956020N3")</f>
        <v>956020N3</v>
      </c>
      <c r="B1932" s="4" t="str">
        <f>IFERROR(__xludf.DUMMYFUNCTION("""COMPUTED_VALUE"""),"Señal MOPU complementaria 60x20 cm Reflex III")</f>
        <v>Señal MOPU complementaria 60x20 cm Reflex III</v>
      </c>
      <c r="C1932" s="4">
        <f>IFERROR(__xludf.DUMMYFUNCTION("""COMPUTED_VALUE"""),39.75)</f>
        <v>39.75</v>
      </c>
    </row>
    <row r="1933">
      <c r="A1933" s="4" t="str">
        <f>IFERROR(__xludf.DUMMYFUNCTION("""COMPUTED_VALUE"""),"956030N")</f>
        <v>956030N</v>
      </c>
      <c r="B1933" s="4" t="str">
        <f>IFERROR(__xludf.DUMMYFUNCTION("""COMPUTED_VALUE"""),"Señal MOPU complementaria 60x30 cm Normal")</f>
        <v>Señal MOPU complementaria 60x30 cm Normal</v>
      </c>
      <c r="C1933" s="4">
        <f>IFERROR(__xludf.DUMMYFUNCTION("""COMPUTED_VALUE"""),29.25)</f>
        <v>29.25</v>
      </c>
    </row>
    <row r="1934">
      <c r="A1934" s="4" t="str">
        <f>IFERROR(__xludf.DUMMYFUNCTION("""COMPUTED_VALUE"""),"956030N1")</f>
        <v>956030N1</v>
      </c>
      <c r="B1934" s="4" t="str">
        <f>IFERROR(__xludf.DUMMYFUNCTION("""COMPUTED_VALUE"""),"Señal MOPU complementaria 60x30 cm Reflex I")</f>
        <v>Señal MOPU complementaria 60x30 cm Reflex I</v>
      </c>
      <c r="C1934" s="4">
        <f>IFERROR(__xludf.DUMMYFUNCTION("""COMPUTED_VALUE"""),28.25)</f>
        <v>28.25</v>
      </c>
    </row>
    <row r="1935">
      <c r="A1935" s="4" t="str">
        <f>IFERROR(__xludf.DUMMYFUNCTION("""COMPUTED_VALUE"""),"956030N2")</f>
        <v>956030N2</v>
      </c>
      <c r="B1935" s="4" t="str">
        <f>IFERROR(__xludf.DUMMYFUNCTION("""COMPUTED_VALUE"""),"Señal MOPU complementaria 60x30 cm Reflex II")</f>
        <v>Señal MOPU complementaria 60x30 cm Reflex II</v>
      </c>
      <c r="C1935" s="4">
        <f>IFERROR(__xludf.DUMMYFUNCTION("""COMPUTED_VALUE"""),39.4)</f>
        <v>39.4</v>
      </c>
    </row>
    <row r="1936">
      <c r="A1936" s="4" t="str">
        <f>IFERROR(__xludf.DUMMYFUNCTION("""COMPUTED_VALUE"""),"956030N3")</f>
        <v>956030N3</v>
      </c>
      <c r="B1936" s="4" t="str">
        <f>IFERROR(__xludf.DUMMYFUNCTION("""COMPUTED_VALUE"""),"Señal MOPu complementaria 60x30 cm Reflex III")</f>
        <v>Señal MOPu complementaria 60x30 cm Reflex III</v>
      </c>
      <c r="C1936" s="4">
        <f>IFERROR(__xludf.DUMMYFUNCTION("""COMPUTED_VALUE"""),49.4)</f>
        <v>49.4</v>
      </c>
    </row>
    <row r="1937">
      <c r="A1937" s="4" t="str">
        <f>IFERROR(__xludf.DUMMYFUNCTION("""COMPUTED_VALUE"""),"956040N")</f>
        <v>956040N</v>
      </c>
      <c r="B1937" s="4" t="str">
        <f>IFERROR(__xludf.DUMMYFUNCTION("""COMPUTED_VALUE"""),"Señal MOPU complementaria 60x40 cm Normal")</f>
        <v>Señal MOPU complementaria 60x40 cm Normal</v>
      </c>
      <c r="C1937" s="4">
        <f>IFERROR(__xludf.DUMMYFUNCTION("""COMPUTED_VALUE"""),39.2)</f>
        <v>39.2</v>
      </c>
    </row>
    <row r="1938">
      <c r="A1938" s="4" t="str">
        <f>IFERROR(__xludf.DUMMYFUNCTION("""COMPUTED_VALUE"""),"956040N1")</f>
        <v>956040N1</v>
      </c>
      <c r="B1938" s="4" t="str">
        <f>IFERROR(__xludf.DUMMYFUNCTION("""COMPUTED_VALUE"""),"Señal MOPU complementaria 60x40 cm Reflex I")</f>
        <v>Señal MOPU complementaria 60x40 cm Reflex I</v>
      </c>
      <c r="C1938" s="4">
        <f>IFERROR(__xludf.DUMMYFUNCTION("""COMPUTED_VALUE"""),39.9)</f>
        <v>39.9</v>
      </c>
    </row>
    <row r="1939">
      <c r="A1939" s="4" t="str">
        <f>IFERROR(__xludf.DUMMYFUNCTION("""COMPUTED_VALUE"""),"956040N2")</f>
        <v>956040N2</v>
      </c>
      <c r="B1939" s="4" t="str">
        <f>IFERROR(__xludf.DUMMYFUNCTION("""COMPUTED_VALUE"""),"Señal MOPU complementaria 60x40 cm Reflex II")</f>
        <v>Señal MOPU complementaria 60x40 cm Reflex II</v>
      </c>
      <c r="C1939" s="4">
        <f>IFERROR(__xludf.DUMMYFUNCTION("""COMPUTED_VALUE"""),42.25)</f>
        <v>42.25</v>
      </c>
    </row>
    <row r="1940">
      <c r="A1940" s="4" t="str">
        <f>IFERROR(__xludf.DUMMYFUNCTION("""COMPUTED_VALUE"""),"956040N3")</f>
        <v>956040N3</v>
      </c>
      <c r="B1940" s="4" t="str">
        <f>IFERROR(__xludf.DUMMYFUNCTION("""COMPUTED_VALUE"""),"Señal MOPU complementaria 60x40 cm Reflex III")</f>
        <v>Señal MOPU complementaria 60x40 cm Reflex III</v>
      </c>
      <c r="C1940" s="4">
        <f>IFERROR(__xludf.DUMMYFUNCTION("""COMPUTED_VALUE"""),64.25)</f>
        <v>64.25</v>
      </c>
    </row>
    <row r="1941">
      <c r="A1941" s="4" t="str">
        <f>IFERROR(__xludf.DUMMYFUNCTION("""COMPUTED_VALUE"""),"958040N")</f>
        <v>958040N</v>
      </c>
      <c r="B1941" s="4" t="str">
        <f>IFERROR(__xludf.DUMMYFUNCTION("""COMPUTED_VALUE"""),"Señal MOPU complementaria 80x40 Normal")</f>
        <v>Señal MOPU complementaria 80x40 Normal</v>
      </c>
      <c r="C1941" s="4">
        <f>IFERROR(__xludf.DUMMYFUNCTION("""COMPUTED_VALUE"""),34.75)</f>
        <v>34.75</v>
      </c>
    </row>
    <row r="1942">
      <c r="A1942" s="4" t="str">
        <f>IFERROR(__xludf.DUMMYFUNCTION("""COMPUTED_VALUE"""),"958040N1")</f>
        <v>958040N1</v>
      </c>
      <c r="B1942" s="4" t="str">
        <f>IFERROR(__xludf.DUMMYFUNCTION("""COMPUTED_VALUE"""),"Señal MOPU complementaria 80x40 cm Reflex I")</f>
        <v>Señal MOPU complementaria 80x40 cm Reflex I</v>
      </c>
      <c r="C1942" s="4">
        <f>IFERROR(__xludf.DUMMYFUNCTION("""COMPUTED_VALUE"""),47.25)</f>
        <v>47.25</v>
      </c>
    </row>
    <row r="1943">
      <c r="A1943" s="4" t="str">
        <f>IFERROR(__xludf.DUMMYFUNCTION("""COMPUTED_VALUE"""),"958040N2")</f>
        <v>958040N2</v>
      </c>
      <c r="B1943" s="4" t="str">
        <f>IFERROR(__xludf.DUMMYFUNCTION("""COMPUTED_VALUE"""),"Señal MOPU complementaria 80x40 cm Reflex II")</f>
        <v>Señal MOPU complementaria 80x40 cm Reflex II</v>
      </c>
      <c r="C1943" s="4">
        <f>IFERROR(__xludf.DUMMYFUNCTION("""COMPUTED_VALUE"""),59.25)</f>
        <v>59.25</v>
      </c>
    </row>
    <row r="1944">
      <c r="A1944" s="4" t="str">
        <f>IFERROR(__xludf.DUMMYFUNCTION("""COMPUTED_VALUE"""),"958040N3")</f>
        <v>958040N3</v>
      </c>
      <c r="B1944" s="4" t="str">
        <f>IFERROR(__xludf.DUMMYFUNCTION("""COMPUTED_VALUE"""),"Señal MOPu complementaria 80x40 cm Reflex III")</f>
        <v>Señal MOPu complementaria 80x40 cm Reflex III</v>
      </c>
      <c r="C1944" s="4">
        <f>IFERROR(__xludf.DUMMYFUNCTION("""COMPUTED_VALUE"""),74.75)</f>
        <v>74.75</v>
      </c>
    </row>
    <row r="1945">
      <c r="A1945" s="4" t="str">
        <f>IFERROR(__xludf.DUMMYFUNCTION("""COMPUTED_VALUE"""),"958520N")</f>
        <v>958520N</v>
      </c>
      <c r="B1945" s="4" t="str">
        <f>IFERROR(__xludf.DUMMYFUNCTION("""COMPUTED_VALUE"""),"Señal MOPU complementaria 85x20 Normal")</f>
        <v>Señal MOPU complementaria 85x20 Normal</v>
      </c>
      <c r="C1945" s="4">
        <f>IFERROR(__xludf.DUMMYFUNCTION("""COMPUTED_VALUE"""),34.4)</f>
        <v>34.4</v>
      </c>
    </row>
    <row r="1946">
      <c r="A1946" s="4" t="str">
        <f>IFERROR(__xludf.DUMMYFUNCTION("""COMPUTED_VALUE"""),"958520N1")</f>
        <v>958520N1</v>
      </c>
      <c r="B1946" s="4" t="str">
        <f>IFERROR(__xludf.DUMMYFUNCTION("""COMPUTED_VALUE"""),"Señal MOPU complementaria 85x20 cm Reflex I")</f>
        <v>Señal MOPU complementaria 85x20 cm Reflex I</v>
      </c>
      <c r="C1946" s="4">
        <f>IFERROR(__xludf.DUMMYFUNCTION("""COMPUTED_VALUE"""),35.25)</f>
        <v>35.25</v>
      </c>
    </row>
    <row r="1947">
      <c r="A1947" s="4" t="str">
        <f>IFERROR(__xludf.DUMMYFUNCTION("""COMPUTED_VALUE"""),"958520N2")</f>
        <v>958520N2</v>
      </c>
      <c r="B1947" s="4" t="str">
        <f>IFERROR(__xludf.DUMMYFUNCTION("""COMPUTED_VALUE"""),"Señal MOPU complementaria 85x20 cm Reflex II")</f>
        <v>Señal MOPU complementaria 85x20 cm Reflex II</v>
      </c>
      <c r="C1947" s="4">
        <f>IFERROR(__xludf.DUMMYFUNCTION("""COMPUTED_VALUE"""),49.9)</f>
        <v>49.9</v>
      </c>
    </row>
    <row r="1948">
      <c r="A1948" s="4" t="str">
        <f>IFERROR(__xludf.DUMMYFUNCTION("""COMPUTED_VALUE"""),"958520N3")</f>
        <v>958520N3</v>
      </c>
      <c r="B1948" s="4" t="str">
        <f>IFERROR(__xludf.DUMMYFUNCTION("""COMPUTED_VALUE"""),"Señal MOPU complementaria 85x20 cm Reflex III")</f>
        <v>Señal MOPU complementaria 85x20 cm Reflex III</v>
      </c>
      <c r="C1948" s="4">
        <f>IFERROR(__xludf.DUMMYFUNCTION("""COMPUTED_VALUE"""),47.25)</f>
        <v>47.25</v>
      </c>
    </row>
    <row r="1949">
      <c r="A1949" s="4" t="str">
        <f>IFERROR(__xludf.DUMMYFUNCTION("""COMPUTED_VALUE"""),"959030N")</f>
        <v>959030N</v>
      </c>
      <c r="B1949" s="4" t="str">
        <f>IFERROR(__xludf.DUMMYFUNCTION("""COMPUTED_VALUE"""),"Señal MOPU complementaria 90x30 cm Normal")</f>
        <v>Señal MOPU complementaria 90x30 cm Normal</v>
      </c>
      <c r="C1949" s="4">
        <f>IFERROR(__xludf.DUMMYFUNCTION("""COMPUTED_VALUE"""),40.75)</f>
        <v>40.75</v>
      </c>
    </row>
    <row r="1950">
      <c r="A1950" s="4" t="str">
        <f>IFERROR(__xludf.DUMMYFUNCTION("""COMPUTED_VALUE"""),"959030N1")</f>
        <v>959030N1</v>
      </c>
      <c r="B1950" s="4" t="str">
        <f>IFERROR(__xludf.DUMMYFUNCTION("""COMPUTED_VALUE"""),"Señal MOPU complementario 90x30 cm Reflex I")</f>
        <v>Señal MOPU complementario 90x30 cm Reflex I</v>
      </c>
      <c r="C1950" s="4">
        <f>IFERROR(__xludf.DUMMYFUNCTION("""COMPUTED_VALUE"""),43.25)</f>
        <v>43.25</v>
      </c>
    </row>
    <row r="1951">
      <c r="A1951" s="4" t="str">
        <f>IFERROR(__xludf.DUMMYFUNCTION("""COMPUTED_VALUE"""),"959030N2")</f>
        <v>959030N2</v>
      </c>
      <c r="B1951" s="4" t="str">
        <f>IFERROR(__xludf.DUMMYFUNCTION("""COMPUTED_VALUE"""),"Señal MOPU complementaria 90x30 cm Reflex II")</f>
        <v>Señal MOPU complementaria 90x30 cm Reflex II</v>
      </c>
      <c r="C1951" s="4">
        <f>IFERROR(__xludf.DUMMYFUNCTION("""COMPUTED_VALUE"""),57.3)</f>
        <v>57.3</v>
      </c>
    </row>
    <row r="1952">
      <c r="A1952" s="4" t="str">
        <f>IFERROR(__xludf.DUMMYFUNCTION("""COMPUTED_VALUE"""),"959030N3")</f>
        <v>959030N3</v>
      </c>
      <c r="B1952" s="4" t="str">
        <f>IFERROR(__xludf.DUMMYFUNCTION("""COMPUTED_VALUE"""),"Señal MOPU complementaria 90x30 cm Reflex III")</f>
        <v>Señal MOPU complementaria 90x30 cm Reflex III</v>
      </c>
      <c r="C1952" s="4">
        <f>IFERROR(__xludf.DUMMYFUNCTION("""COMPUTED_VALUE"""),71.25)</f>
        <v>71.25</v>
      </c>
    </row>
    <row r="1953">
      <c r="A1953" s="4" t="str">
        <f>IFERROR(__xludf.DUMMYFUNCTION("""COMPUTED_VALUE"""),"9600N")</f>
        <v>9600N</v>
      </c>
      <c r="B1953" s="4" t="str">
        <f>IFERROR(__xludf.DUMMYFUNCTION("""COMPUTED_VALUE"""),"Señal Aluminio Circular 60 cm Normal")</f>
        <v>Señal Aluminio Circular 60 cm Normal</v>
      </c>
      <c r="C1953" s="4">
        <f>IFERROR(__xludf.DUMMYFUNCTION("""COMPUTED_VALUE"""),28.0)</f>
        <v>28</v>
      </c>
    </row>
    <row r="1954">
      <c r="A1954" s="4" t="str">
        <f>IFERROR(__xludf.DUMMYFUNCTION("""COMPUTED_VALUE"""),"9600N1")</f>
        <v>9600N1</v>
      </c>
      <c r="B1954" s="4" t="str">
        <f>IFERROR(__xludf.DUMMYFUNCTION("""COMPUTED_VALUE"""),"Señal Aluminio Circular 60 cm Nivel 1")</f>
        <v>Señal Aluminio Circular 60 cm Nivel 1</v>
      </c>
      <c r="C1954" s="4">
        <f>IFERROR(__xludf.DUMMYFUNCTION("""COMPUTED_VALUE"""),31.0)</f>
        <v>31</v>
      </c>
    </row>
    <row r="1955">
      <c r="A1955" s="4" t="str">
        <f>IFERROR(__xludf.DUMMYFUNCTION("""COMPUTED_VALUE"""),"9625120N")</f>
        <v>9625120N</v>
      </c>
      <c r="B1955" s="4" t="str">
        <f>IFERROR(__xludf.DUMMYFUNCTION("""COMPUTED_VALUE"""),"Señal MOPU informativa 25x120 cm Normal")</f>
        <v>Señal MOPU informativa 25x120 cm Normal</v>
      </c>
      <c r="C1955" s="4">
        <f>IFERROR(__xludf.DUMMYFUNCTION("""COMPUTED_VALUE"""),65.38)</f>
        <v>65.38</v>
      </c>
    </row>
    <row r="1956">
      <c r="A1956" s="4" t="str">
        <f>IFERROR(__xludf.DUMMYFUNCTION("""COMPUTED_VALUE"""),"9625120N1")</f>
        <v>9625120N1</v>
      </c>
      <c r="B1956" s="4" t="str">
        <f>IFERROR(__xludf.DUMMYFUNCTION("""COMPUTED_VALUE"""),"Señal MOPU informativa 25x120 cm Reflex I")</f>
        <v>Señal MOPU informativa 25x120 cm Reflex I</v>
      </c>
      <c r="C1956" s="4">
        <f>IFERROR(__xludf.DUMMYFUNCTION("""COMPUTED_VALUE"""),69.2)</f>
        <v>69.2</v>
      </c>
    </row>
    <row r="1957">
      <c r="A1957" s="4" t="str">
        <f>IFERROR(__xludf.DUMMYFUNCTION("""COMPUTED_VALUE"""),"9625120N1F")</f>
        <v>9625120N1F</v>
      </c>
      <c r="B1957" s="4" t="str">
        <f>IFERROR(__xludf.DUMMYFUNCTION("""COMPUTED_VALUE"""),"Señal MOPU informativa 25x120 Nivel 1 Flechada")</f>
        <v>Señal MOPU informativa 25x120 Nivel 1 Flechada</v>
      </c>
      <c r="C1957" s="4">
        <f>IFERROR(__xludf.DUMMYFUNCTION("""COMPUTED_VALUE"""),68.35)</f>
        <v>68.35</v>
      </c>
    </row>
    <row r="1958">
      <c r="A1958" s="4" t="str">
        <f>IFERROR(__xludf.DUMMYFUNCTION("""COMPUTED_VALUE"""),"9625120N2")</f>
        <v>9625120N2</v>
      </c>
      <c r="B1958" s="4" t="str">
        <f>IFERROR(__xludf.DUMMYFUNCTION("""COMPUTED_VALUE"""),"Señal MOPU informativa 25x120 cm Reflex II")</f>
        <v>Señal MOPU informativa 25x120 cm Reflex II</v>
      </c>
      <c r="C1958" s="4">
        <f>IFERROR(__xludf.DUMMYFUNCTION("""COMPUTED_VALUE"""),76.0)</f>
        <v>76</v>
      </c>
    </row>
    <row r="1959">
      <c r="A1959" s="4" t="str">
        <f>IFERROR(__xludf.DUMMYFUNCTION("""COMPUTED_VALUE"""),"9625120N2F")</f>
        <v>9625120N2F</v>
      </c>
      <c r="B1959" s="4" t="str">
        <f>IFERROR(__xludf.DUMMYFUNCTION("""COMPUTED_VALUE"""),"Señal MOPU informativa 25x120 Nivel 2 Flechada")</f>
        <v>Señal MOPU informativa 25x120 Nivel 2 Flechada</v>
      </c>
      <c r="C1959" s="4">
        <f>IFERROR(__xludf.DUMMYFUNCTION("""COMPUTED_VALUE"""),76.2)</f>
        <v>76.2</v>
      </c>
    </row>
    <row r="1960">
      <c r="A1960" s="4" t="str">
        <f>IFERROR(__xludf.DUMMYFUNCTION("""COMPUTED_VALUE"""),"9625120N3")</f>
        <v>9625120N3</v>
      </c>
      <c r="B1960" s="4" t="str">
        <f>IFERROR(__xludf.DUMMYFUNCTION("""COMPUTED_VALUE"""),"Señal MOPU informativa 25x120 cm Reflex III")</f>
        <v>Señal MOPU informativa 25x120 cm Reflex III</v>
      </c>
      <c r="C1960" s="4">
        <f>IFERROR(__xludf.DUMMYFUNCTION("""COMPUTED_VALUE"""),109.2)</f>
        <v>109.2</v>
      </c>
    </row>
    <row r="1961">
      <c r="A1961" s="4" t="str">
        <f>IFERROR(__xludf.DUMMYFUNCTION("""COMPUTED_VALUE"""),"9625120N3F")</f>
        <v>9625120N3F</v>
      </c>
      <c r="B1961" s="4" t="str">
        <f>IFERROR(__xludf.DUMMYFUNCTION("""COMPUTED_VALUE"""),"Señal MOPU informativa 25x120 Nivel 3 Flechada")</f>
        <v>Señal MOPU informativa 25x120 Nivel 3 Flechada</v>
      </c>
      <c r="C1961" s="4">
        <f>IFERROR(__xludf.DUMMYFUNCTION("""COMPUTED_VALUE"""),110.2)</f>
        <v>110.2</v>
      </c>
    </row>
    <row r="1962">
      <c r="A1962" s="4" t="str">
        <f>IFERROR(__xludf.DUMMYFUNCTION("""COMPUTED_VALUE"""),"9625120NF")</f>
        <v>9625120NF</v>
      </c>
      <c r="B1962" s="4" t="str">
        <f>IFERROR(__xludf.DUMMYFUNCTION("""COMPUTED_VALUE"""),"Señal MOPU informativa 25x120 Normal Flechada")</f>
        <v>Señal MOPU informativa 25x120 Normal Flechada</v>
      </c>
      <c r="C1962" s="4">
        <f>IFERROR(__xludf.DUMMYFUNCTION("""COMPUTED_VALUE"""),62.35)</f>
        <v>62.35</v>
      </c>
    </row>
    <row r="1963">
      <c r="A1963" s="4" t="str">
        <f>IFERROR(__xludf.DUMMYFUNCTION("""COMPUTED_VALUE"""),"962570N")</f>
        <v>962570N</v>
      </c>
      <c r="B1963" s="4" t="str">
        <f>IFERROR(__xludf.DUMMYFUNCTION("""COMPUTED_VALUE"""),"Señal MOPU informativa 25x70 cm Normal")</f>
        <v>Señal MOPU informativa 25x70 cm Normal</v>
      </c>
      <c r="C1963" s="4">
        <f>IFERROR(__xludf.DUMMYFUNCTION("""COMPUTED_VALUE"""),37.0)</f>
        <v>37</v>
      </c>
    </row>
    <row r="1964">
      <c r="A1964" s="4" t="str">
        <f>IFERROR(__xludf.DUMMYFUNCTION("""COMPUTED_VALUE"""),"962570N1")</f>
        <v>962570N1</v>
      </c>
      <c r="B1964" s="4" t="str">
        <f>IFERROR(__xludf.DUMMYFUNCTION("""COMPUTED_VALUE"""),"Señal MOPU informativa 25x70 cm Reflex I")</f>
        <v>Señal MOPU informativa 25x70 cm Reflex I</v>
      </c>
      <c r="C1964" s="4">
        <f>IFERROR(__xludf.DUMMYFUNCTION("""COMPUTED_VALUE"""),41.95)</f>
        <v>41.95</v>
      </c>
    </row>
    <row r="1965">
      <c r="A1965" s="4" t="str">
        <f>IFERROR(__xludf.DUMMYFUNCTION("""COMPUTED_VALUE"""),"962570N1F")</f>
        <v>962570N1F</v>
      </c>
      <c r="B1965" s="4" t="str">
        <f>IFERROR(__xludf.DUMMYFUNCTION("""COMPUTED_VALUE"""),"Señal MOPU informativa 25x70 cm Nivel 1 Flechada")</f>
        <v>Señal MOPU informativa 25x70 cm Nivel 1 Flechada</v>
      </c>
      <c r="C1965" s="4">
        <f>IFERROR(__xludf.DUMMYFUNCTION("""COMPUTED_VALUE"""),41.95)</f>
        <v>41.95</v>
      </c>
    </row>
    <row r="1966">
      <c r="A1966" s="4" t="str">
        <f>IFERROR(__xludf.DUMMYFUNCTION("""COMPUTED_VALUE"""),"962570N2")</f>
        <v>962570N2</v>
      </c>
      <c r="B1966" s="4" t="str">
        <f>IFERROR(__xludf.DUMMYFUNCTION("""COMPUTED_VALUE"""),"Señal MOPU informativa 25x70 cm Reflex II")</f>
        <v>Señal MOPU informativa 25x70 cm Reflex II</v>
      </c>
      <c r="C1966" s="4">
        <f>IFERROR(__xludf.DUMMYFUNCTION("""COMPUTED_VALUE"""),47.73)</f>
        <v>47.73</v>
      </c>
    </row>
    <row r="1967">
      <c r="A1967" s="4" t="str">
        <f>IFERROR(__xludf.DUMMYFUNCTION("""COMPUTED_VALUE"""),"962570N2F")</f>
        <v>962570N2F</v>
      </c>
      <c r="B1967" s="4" t="str">
        <f>IFERROR(__xludf.DUMMYFUNCTION("""COMPUTED_VALUE"""),"Señal MOPU informativa 25x70 cm Nivel 2 Flechada")</f>
        <v>Señal MOPU informativa 25x70 cm Nivel 2 Flechada</v>
      </c>
      <c r="C1967" s="4">
        <f>IFERROR(__xludf.DUMMYFUNCTION("""COMPUTED_VALUE"""),47.73)</f>
        <v>47.73</v>
      </c>
    </row>
    <row r="1968">
      <c r="A1968" s="4" t="str">
        <f>IFERROR(__xludf.DUMMYFUNCTION("""COMPUTED_VALUE"""),"962570N3")</f>
        <v>962570N3</v>
      </c>
      <c r="B1968" s="4" t="str">
        <f>IFERROR(__xludf.DUMMYFUNCTION("""COMPUTED_VALUE"""),"Señal MOPU informativa 25x70 cm Reflex III")</f>
        <v>Señal MOPU informativa 25x70 cm Reflex III</v>
      </c>
      <c r="C1968" s="4">
        <f>IFERROR(__xludf.DUMMYFUNCTION("""COMPUTED_VALUE"""),53.5)</f>
        <v>53.5</v>
      </c>
    </row>
    <row r="1969">
      <c r="A1969" s="4" t="str">
        <f>IFERROR(__xludf.DUMMYFUNCTION("""COMPUTED_VALUE"""),"962570N3F")</f>
        <v>962570N3F</v>
      </c>
      <c r="B1969" s="4" t="str">
        <f>IFERROR(__xludf.DUMMYFUNCTION("""COMPUTED_VALUE"""),"Señal MOPU informativa 25x70 cm Nivel 3 Flechada")</f>
        <v>Señal MOPU informativa 25x70 cm Nivel 3 Flechada</v>
      </c>
      <c r="C1969" s="4">
        <f>IFERROR(__xludf.DUMMYFUNCTION("""COMPUTED_VALUE"""),54.0)</f>
        <v>54</v>
      </c>
    </row>
    <row r="1970">
      <c r="A1970" s="4" t="str">
        <f>IFERROR(__xludf.DUMMYFUNCTION("""COMPUTED_VALUE"""),"962570NF")</f>
        <v>962570NF</v>
      </c>
      <c r="B1970" s="4" t="str">
        <f>IFERROR(__xludf.DUMMYFUNCTION("""COMPUTED_VALUE"""),"Señal MOPU informativa 25x70 cm Normal flechada")</f>
        <v>Señal MOPU informativa 25x70 cm Normal flechada</v>
      </c>
      <c r="C1970" s="4">
        <f>IFERROR(__xludf.DUMMYFUNCTION("""COMPUTED_VALUE"""),39.33)</f>
        <v>39.33</v>
      </c>
    </row>
    <row r="1971">
      <c r="A1971" s="4" t="str">
        <f>IFERROR(__xludf.DUMMYFUNCTION("""COMPUTED_VALUE"""),"962595N")</f>
        <v>962595N</v>
      </c>
      <c r="B1971" s="4" t="str">
        <f>IFERROR(__xludf.DUMMYFUNCTION("""COMPUTED_VALUE"""),"Señal MOPU informativa 25x95 cm Normal")</f>
        <v>Señal MOPU informativa 25x95 cm Normal</v>
      </c>
      <c r="C1971" s="4">
        <f>IFERROR(__xludf.DUMMYFUNCTION("""COMPUTED_VALUE"""),40.38)</f>
        <v>40.38</v>
      </c>
    </row>
    <row r="1972">
      <c r="A1972" s="4" t="str">
        <f>IFERROR(__xludf.DUMMYFUNCTION("""COMPUTED_VALUE"""),"962595N1")</f>
        <v>962595N1</v>
      </c>
      <c r="B1972" s="4" t="str">
        <f>IFERROR(__xludf.DUMMYFUNCTION("""COMPUTED_VALUE"""),"Señal MOPU informativa 25x95 cm Reflex I")</f>
        <v>Señal MOPU informativa 25x95 cm Reflex I</v>
      </c>
      <c r="C1972" s="4">
        <f>IFERROR(__xludf.DUMMYFUNCTION("""COMPUTED_VALUE"""),46.13)</f>
        <v>46.13</v>
      </c>
    </row>
    <row r="1973">
      <c r="A1973" s="4" t="str">
        <f>IFERROR(__xludf.DUMMYFUNCTION("""COMPUTED_VALUE"""),"962595N3")</f>
        <v>962595N3</v>
      </c>
      <c r="B1973" s="4" t="str">
        <f>IFERROR(__xludf.DUMMYFUNCTION("""COMPUTED_VALUE"""),"Señal MOPU informativa 25x95 cm Reflex III")</f>
        <v>Señal MOPU informativa 25x95 cm Reflex III</v>
      </c>
      <c r="C1973" s="4">
        <f>IFERROR(__xludf.DUMMYFUNCTION("""COMPUTED_VALUE"""),62.85)</f>
        <v>62.85</v>
      </c>
    </row>
    <row r="1974">
      <c r="A1974" s="4" t="str">
        <f>IFERROR(__xludf.DUMMYFUNCTION("""COMPUTED_VALUE"""),"9630120N")</f>
        <v>9630120N</v>
      </c>
      <c r="B1974" s="4" t="str">
        <f>IFERROR(__xludf.DUMMYFUNCTION("""COMPUTED_VALUE"""),"Señal MOPU informativa 30x120 cm Normal")</f>
        <v>Señal MOPU informativa 30x120 cm Normal</v>
      </c>
      <c r="C1974" s="4">
        <f>IFERROR(__xludf.DUMMYFUNCTION("""COMPUTED_VALUE"""),53.5)</f>
        <v>53.5</v>
      </c>
    </row>
    <row r="1975">
      <c r="A1975" s="4" t="str">
        <f>IFERROR(__xludf.DUMMYFUNCTION("""COMPUTED_VALUE"""),"9630120N1")</f>
        <v>9630120N1</v>
      </c>
      <c r="B1975" s="4" t="str">
        <f>IFERROR(__xludf.DUMMYFUNCTION("""COMPUTED_VALUE"""),"Señal MOPU informativa 30x120 cm Reflex I")</f>
        <v>Señal MOPU informativa 30x120 cm Reflex I</v>
      </c>
      <c r="C1975" s="4">
        <f>IFERROR(__xludf.DUMMYFUNCTION("""COMPUTED_VALUE"""),67.9)</f>
        <v>67.9</v>
      </c>
    </row>
    <row r="1976">
      <c r="A1976" s="4" t="str">
        <f>IFERROR(__xludf.DUMMYFUNCTION("""COMPUTED_VALUE"""),"9630145N")</f>
        <v>9630145N</v>
      </c>
      <c r="B1976" s="4" t="str">
        <f>IFERROR(__xludf.DUMMYFUNCTION("""COMPUTED_VALUE"""),"Señal MOPU informativa 30x145 cm Normal")</f>
        <v>Señal MOPU informativa 30x145 cm Normal</v>
      </c>
      <c r="C1976" s="4">
        <f>IFERROR(__xludf.DUMMYFUNCTION("""COMPUTED_VALUE"""),85.05)</f>
        <v>85.05</v>
      </c>
    </row>
    <row r="1977">
      <c r="A1977" s="4" t="str">
        <f>IFERROR(__xludf.DUMMYFUNCTION("""COMPUTED_VALUE"""),"9630145N1")</f>
        <v>9630145N1</v>
      </c>
      <c r="B1977" s="4" t="str">
        <f>IFERROR(__xludf.DUMMYFUNCTION("""COMPUTED_VALUE"""),"Señal MOPU informativa 30x145 cm Reflex I")</f>
        <v>Señal MOPU informativa 30x145 cm Reflex I</v>
      </c>
      <c r="C1977" s="4">
        <f>IFERROR(__xludf.DUMMYFUNCTION("""COMPUTED_VALUE"""),80.5)</f>
        <v>80.5</v>
      </c>
    </row>
    <row r="1978">
      <c r="A1978" s="4" t="str">
        <f>IFERROR(__xludf.DUMMYFUNCTION("""COMPUTED_VALUE"""),"9630145N1F")</f>
        <v>9630145N1F</v>
      </c>
      <c r="B1978" s="4" t="str">
        <f>IFERROR(__xludf.DUMMYFUNCTION("""COMPUTED_VALUE"""),"Señal informativa 30x145 cm Nivel 1 Flechada")</f>
        <v>Señal informativa 30x145 cm Nivel 1 Flechada</v>
      </c>
      <c r="C1978" s="4">
        <f>IFERROR(__xludf.DUMMYFUNCTION("""COMPUTED_VALUE"""),84.45)</f>
        <v>84.45</v>
      </c>
    </row>
    <row r="1979">
      <c r="A1979" s="4" t="str">
        <f>IFERROR(__xludf.DUMMYFUNCTION("""COMPUTED_VALUE"""),"9630145N2")</f>
        <v>9630145N2</v>
      </c>
      <c r="B1979" s="4" t="str">
        <f>IFERROR(__xludf.DUMMYFUNCTION("""COMPUTED_VALUE"""),"Señal MOPU informativa 30x145 cm Reflex II")</f>
        <v>Señal MOPU informativa 30x145 cm Reflex II</v>
      </c>
      <c r="C1979" s="4">
        <f>IFERROR(__xludf.DUMMYFUNCTION("""COMPUTED_VALUE"""),102.5)</f>
        <v>102.5</v>
      </c>
    </row>
    <row r="1980">
      <c r="A1980" s="4" t="str">
        <f>IFERROR(__xludf.DUMMYFUNCTION("""COMPUTED_VALUE"""),"9630145N2F")</f>
        <v>9630145N2F</v>
      </c>
      <c r="B1980" s="4" t="str">
        <f>IFERROR(__xludf.DUMMYFUNCTION("""COMPUTED_VALUE"""),"Señal informativa 30x145 cm Nivel 2 Flechada")</f>
        <v>Señal informativa 30x145 cm Nivel 2 Flechada</v>
      </c>
      <c r="C1980" s="4">
        <f>IFERROR(__xludf.DUMMYFUNCTION("""COMPUTED_VALUE"""),102.33)</f>
        <v>102.33</v>
      </c>
    </row>
    <row r="1981">
      <c r="A1981" s="4" t="str">
        <f>IFERROR(__xludf.DUMMYFUNCTION("""COMPUTED_VALUE"""),"9630145N3")</f>
        <v>9630145N3</v>
      </c>
      <c r="B1981" s="4" t="str">
        <f>IFERROR(__xludf.DUMMYFUNCTION("""COMPUTED_VALUE"""),"Señal MOPu informativa 30x145 cm Reflex III")</f>
        <v>Señal MOPu informativa 30x145 cm Reflex III</v>
      </c>
      <c r="C1981" s="4">
        <f>IFERROR(__xludf.DUMMYFUNCTION("""COMPUTED_VALUE"""),106.0)</f>
        <v>106</v>
      </c>
    </row>
    <row r="1982">
      <c r="A1982" s="4" t="str">
        <f>IFERROR(__xludf.DUMMYFUNCTION("""COMPUTED_VALUE"""),"9630145N3F")</f>
        <v>9630145N3F</v>
      </c>
      <c r="B1982" s="4" t="str">
        <f>IFERROR(__xludf.DUMMYFUNCTION("""COMPUTED_VALUE"""),"Señal informativa 30x145 cm Nivel 3 Flechada")</f>
        <v>Señal informativa 30x145 cm Nivel 3 Flechada</v>
      </c>
      <c r="C1982" s="4">
        <f>IFERROR(__xludf.DUMMYFUNCTION("""COMPUTED_VALUE"""),117.5)</f>
        <v>117.5</v>
      </c>
    </row>
    <row r="1983">
      <c r="A1983" s="4" t="str">
        <f>IFERROR(__xludf.DUMMYFUNCTION("""COMPUTED_VALUE"""),"9630145NF")</f>
        <v>9630145NF</v>
      </c>
      <c r="B1983" s="4" t="str">
        <f>IFERROR(__xludf.DUMMYFUNCTION("""COMPUTED_VALUE"""),"Señal informativa 30x145 cm Normal Flechada")</f>
        <v>Señal informativa 30x145 cm Normal Flechada</v>
      </c>
      <c r="C1983" s="4">
        <f>IFERROR(__xludf.DUMMYFUNCTION("""COMPUTED_VALUE"""),69.15)</f>
        <v>69.15</v>
      </c>
    </row>
    <row r="1984">
      <c r="A1984" s="4" t="str">
        <f>IFERROR(__xludf.DUMMYFUNCTION("""COMPUTED_VALUE"""),"963095N")</f>
        <v>963095N</v>
      </c>
      <c r="B1984" s="4" t="str">
        <f>IFERROR(__xludf.DUMMYFUNCTION("""COMPUTED_VALUE"""),"Señal MOPU informativa 30x95 cm Normal")</f>
        <v>Señal MOPU informativa 30x95 cm Normal</v>
      </c>
      <c r="C1984" s="4">
        <f>IFERROR(__xludf.DUMMYFUNCTION("""COMPUTED_VALUE"""),47.9)</f>
        <v>47.9</v>
      </c>
    </row>
    <row r="1985">
      <c r="A1985" s="4" t="str">
        <f>IFERROR(__xludf.DUMMYFUNCTION("""COMPUTED_VALUE"""),"963095N1")</f>
        <v>963095N1</v>
      </c>
      <c r="B1985" s="4" t="str">
        <f>IFERROR(__xludf.DUMMYFUNCTION("""COMPUTED_VALUE"""),"Señal MOPU informativa 30x95 cm Reflex I")</f>
        <v>Señal MOPU informativa 30x95 cm Reflex I</v>
      </c>
      <c r="C1985" s="4">
        <f>IFERROR(__xludf.DUMMYFUNCTION("""COMPUTED_VALUE"""),52.9)</f>
        <v>52.9</v>
      </c>
    </row>
    <row r="1986">
      <c r="A1986" s="4" t="str">
        <f>IFERROR(__xludf.DUMMYFUNCTION("""COMPUTED_VALUE"""),"963095N1F")</f>
        <v>963095N1F</v>
      </c>
      <c r="B1986" s="4" t="str">
        <f>IFERROR(__xludf.DUMMYFUNCTION("""COMPUTED_VALUE"""),"Señal MOPU informativa 30x95 Nivel 1 Flechada")</f>
        <v>Señal MOPU informativa 30x95 Nivel 1 Flechada</v>
      </c>
      <c r="C1986" s="4">
        <f>IFERROR(__xludf.DUMMYFUNCTION("""COMPUTED_VALUE"""),52.92)</f>
        <v>52.92</v>
      </c>
    </row>
    <row r="1987">
      <c r="A1987" s="4" t="str">
        <f>IFERROR(__xludf.DUMMYFUNCTION("""COMPUTED_VALUE"""),"963095N2")</f>
        <v>963095N2</v>
      </c>
      <c r="B1987" s="4" t="str">
        <f>IFERROR(__xludf.DUMMYFUNCTION("""COMPUTED_VALUE"""),"Señal MOPU informativa 30x95 cm Reflex II")</f>
        <v>Señal MOPU informativa 30x95 cm Reflex II</v>
      </c>
      <c r="C1987" s="4">
        <f>IFERROR(__xludf.DUMMYFUNCTION("""COMPUTED_VALUE"""),59.325)</f>
        <v>59.325</v>
      </c>
    </row>
    <row r="1988">
      <c r="A1988" s="4" t="str">
        <f>IFERROR(__xludf.DUMMYFUNCTION("""COMPUTED_VALUE"""),"963095N2F")</f>
        <v>963095N2F</v>
      </c>
      <c r="B1988" s="4" t="str">
        <f>IFERROR(__xludf.DUMMYFUNCTION("""COMPUTED_VALUE"""),"Señal MOPU informativa 30x95 Nivel 2 Flechada")</f>
        <v>Señal MOPU informativa 30x95 Nivel 2 Flechada</v>
      </c>
      <c r="C1988" s="4">
        <f>IFERROR(__xludf.DUMMYFUNCTION("""COMPUTED_VALUE"""),61.33)</f>
        <v>61.33</v>
      </c>
    </row>
    <row r="1989">
      <c r="A1989" s="4" t="str">
        <f>IFERROR(__xludf.DUMMYFUNCTION("""COMPUTED_VALUE"""),"963095N3")</f>
        <v>963095N3</v>
      </c>
      <c r="B1989" s="4" t="str">
        <f>IFERROR(__xludf.DUMMYFUNCTION("""COMPUTED_VALUE"""),"Señal MOPU informativa 30x95 cm Reflex III")</f>
        <v>Señal MOPU informativa 30x95 cm Reflex III</v>
      </c>
      <c r="C1989" s="4">
        <f>IFERROR(__xludf.DUMMYFUNCTION("""COMPUTED_VALUE"""),64.0)</f>
        <v>64</v>
      </c>
    </row>
    <row r="1990">
      <c r="A1990" s="4" t="str">
        <f>IFERROR(__xludf.DUMMYFUNCTION("""COMPUTED_VALUE"""),"963095N3F")</f>
        <v>963095N3F</v>
      </c>
      <c r="B1990" s="4" t="str">
        <f>IFERROR(__xludf.DUMMYFUNCTION("""COMPUTED_VALUE"""),"Señal MOPU informativa 30x95 Nivel 3 Flechada")</f>
        <v>Señal MOPU informativa 30x95 Nivel 3 Flechada</v>
      </c>
      <c r="C1990" s="4">
        <f>IFERROR(__xludf.DUMMYFUNCTION("""COMPUTED_VALUE"""),67.15)</f>
        <v>67.15</v>
      </c>
    </row>
    <row r="1991">
      <c r="A1991" s="4" t="str">
        <f>IFERROR(__xludf.DUMMYFUNCTION("""COMPUTED_VALUE"""),"963095NF")</f>
        <v>963095NF</v>
      </c>
      <c r="B1991" s="4" t="str">
        <f>IFERROR(__xludf.DUMMYFUNCTION("""COMPUTED_VALUE"""),"Señal MOPU informativa 30x95 Normal Flechada")</f>
        <v>Señal MOPU informativa 30x95 Normal Flechada</v>
      </c>
      <c r="C1991" s="4">
        <f>IFERROR(__xludf.DUMMYFUNCTION("""COMPUTED_VALUE"""),47.15)</f>
        <v>47.15</v>
      </c>
    </row>
    <row r="1992">
      <c r="A1992" s="4" t="str">
        <f>IFERROR(__xludf.DUMMYFUNCTION("""COMPUTED_VALUE"""),"9640120N")</f>
        <v>9640120N</v>
      </c>
      <c r="B1992" s="4" t="str">
        <f>IFERROR(__xludf.DUMMYFUNCTION("""COMPUTED_VALUE"""),"Señal MOPU informativa 40x120 cm Normal")</f>
        <v>Señal MOPU informativa 40x120 cm Normal</v>
      </c>
      <c r="C1992" s="4">
        <f>IFERROR(__xludf.DUMMYFUNCTION("""COMPUTED_VALUE"""),79.2)</f>
        <v>79.2</v>
      </c>
    </row>
    <row r="1993">
      <c r="A1993" s="4" t="str">
        <f>IFERROR(__xludf.DUMMYFUNCTION("""COMPUTED_VALUE"""),"9640120N1")</f>
        <v>9640120N1</v>
      </c>
      <c r="B1993" s="4" t="str">
        <f>IFERROR(__xludf.DUMMYFUNCTION("""COMPUTED_VALUE"""),"Señal MOPU informativa 40x120 cm Reflex I")</f>
        <v>Señal MOPU informativa 40x120 cm Reflex I</v>
      </c>
      <c r="C1993" s="4">
        <f>IFERROR(__xludf.DUMMYFUNCTION("""COMPUTED_VALUE"""),73.0)</f>
        <v>73</v>
      </c>
    </row>
    <row r="1994">
      <c r="A1994" s="4" t="str">
        <f>IFERROR(__xludf.DUMMYFUNCTION("""COMPUTED_VALUE"""),"9640120N1F")</f>
        <v>9640120N1F</v>
      </c>
      <c r="B1994" s="4" t="str">
        <f>IFERROR(__xludf.DUMMYFUNCTION("""COMPUTED_VALUE"""),"Señal MOPU informativa 40x120 cm Nivel 1 flechada")</f>
        <v>Señal MOPU informativa 40x120 cm Nivel 1 flechada</v>
      </c>
      <c r="C1994" s="4">
        <f>IFERROR(__xludf.DUMMYFUNCTION("""COMPUTED_VALUE"""),78.7)</f>
        <v>78.7</v>
      </c>
    </row>
    <row r="1995">
      <c r="A1995" s="4" t="str">
        <f>IFERROR(__xludf.DUMMYFUNCTION("""COMPUTED_VALUE"""),"9640120N2")</f>
        <v>9640120N2</v>
      </c>
      <c r="B1995" s="4" t="str">
        <f>IFERROR(__xludf.DUMMYFUNCTION("""COMPUTED_VALUE"""),"Señal MOPU informativa 40x120 cm Reflex II")</f>
        <v>Señal MOPU informativa 40x120 cm Reflex II</v>
      </c>
      <c r="C1995" s="4">
        <f>IFERROR(__xludf.DUMMYFUNCTION("""COMPUTED_VALUE"""),87.5)</f>
        <v>87.5</v>
      </c>
    </row>
    <row r="1996">
      <c r="A1996" s="4" t="str">
        <f>IFERROR(__xludf.DUMMYFUNCTION("""COMPUTED_VALUE"""),"9640120N2F")</f>
        <v>9640120N2F</v>
      </c>
      <c r="B1996" s="4" t="str">
        <f>IFERROR(__xludf.DUMMYFUNCTION("""COMPUTED_VALUE"""),"Señal MOPU informativa 40x120 cm Nivel 2 flechada")</f>
        <v>Señal MOPU informativa 40x120 cm Nivel 2 flechada</v>
      </c>
      <c r="C1996" s="4">
        <f>IFERROR(__xludf.DUMMYFUNCTION("""COMPUTED_VALUE"""),91.28)</f>
        <v>91.28</v>
      </c>
    </row>
    <row r="1997">
      <c r="A1997" s="4" t="str">
        <f>IFERROR(__xludf.DUMMYFUNCTION("""COMPUTED_VALUE"""),"9640120N3")</f>
        <v>9640120N3</v>
      </c>
      <c r="B1997" s="4" t="str">
        <f>IFERROR(__xludf.DUMMYFUNCTION("""COMPUTED_VALUE"""),"Señal MOPU inforrmativa 40x120 cm Reflex III")</f>
        <v>Señal MOPU inforrmativa 40x120 cm Reflex III</v>
      </c>
      <c r="C1997" s="4">
        <f>IFERROR(__xludf.DUMMYFUNCTION("""COMPUTED_VALUE"""),121.0)</f>
        <v>121</v>
      </c>
    </row>
    <row r="1998">
      <c r="A1998" s="4" t="str">
        <f>IFERROR(__xludf.DUMMYFUNCTION("""COMPUTED_VALUE"""),"9640120N3F")</f>
        <v>9640120N3F</v>
      </c>
      <c r="B1998" s="4" t="str">
        <f>IFERROR(__xludf.DUMMYFUNCTION("""COMPUTED_VALUE"""),"Señal MOPU informativa 40x120 cm Nivel 3 flechada")</f>
        <v>Señal MOPU informativa 40x120 cm Nivel 3 flechada</v>
      </c>
      <c r="C1998" s="4">
        <f>IFERROR(__xludf.DUMMYFUNCTION("""COMPUTED_VALUE"""),134.3)</f>
        <v>134.3</v>
      </c>
    </row>
    <row r="1999">
      <c r="A1999" s="4" t="str">
        <f>IFERROR(__xludf.DUMMYFUNCTION("""COMPUTED_VALUE"""),"9640120NF")</f>
        <v>9640120NF</v>
      </c>
      <c r="B1999" s="4" t="str">
        <f>IFERROR(__xludf.DUMMYFUNCTION("""COMPUTED_VALUE"""),"Señal MOPU informativa 40x120 cm Normal Flechada")</f>
        <v>Señal MOPU informativa 40x120 cm Normal Flechada</v>
      </c>
      <c r="C1999" s="4">
        <f>IFERROR(__xludf.DUMMYFUNCTION("""COMPUTED_VALUE"""),69.2)</f>
        <v>69.2</v>
      </c>
    </row>
    <row r="2000">
      <c r="A2000" s="4" t="str">
        <f>IFERROR(__xludf.DUMMYFUNCTION("""COMPUTED_VALUE"""),"9640170N1")</f>
        <v>9640170N1</v>
      </c>
      <c r="B2000" s="4" t="str">
        <f>IFERROR(__xludf.DUMMYFUNCTION("""COMPUTED_VALUE"""),"Señal MOPU complementaria 40x170 Nivel 1")</f>
        <v>Señal MOPU complementaria 40x170 Nivel 1</v>
      </c>
      <c r="C2000" s="4">
        <f>IFERROR(__xludf.DUMMYFUNCTION("""COMPUTED_VALUE"""),107.5)</f>
        <v>107.5</v>
      </c>
    </row>
    <row r="2001">
      <c r="A2001" s="4" t="str">
        <f>IFERROR(__xludf.DUMMYFUNCTION("""COMPUTED_VALUE"""),"9640195N")</f>
        <v>9640195N</v>
      </c>
      <c r="B2001" s="4" t="str">
        <f>IFERROR(__xludf.DUMMYFUNCTION("""COMPUTED_VALUE"""),"Señal MOPU informativa 40x195 cm Normal")</f>
        <v>Señal MOPU informativa 40x195 cm Normal</v>
      </c>
      <c r="C2001" s="4">
        <f>IFERROR(__xludf.DUMMYFUNCTION("""COMPUTED_VALUE"""),114.2)</f>
        <v>114.2</v>
      </c>
    </row>
    <row r="2002">
      <c r="A2002" s="4" t="str">
        <f>IFERROR(__xludf.DUMMYFUNCTION("""COMPUTED_VALUE"""),"9640195N1")</f>
        <v>9640195N1</v>
      </c>
      <c r="B2002" s="4" t="str">
        <f>IFERROR(__xludf.DUMMYFUNCTION("""COMPUTED_VALUE"""),"Señal MOPU informativa 40x195 cm Nivel 1")</f>
        <v>Señal MOPU informativa 40x195 cm Nivel 1</v>
      </c>
      <c r="C2002" s="4">
        <f>IFERROR(__xludf.DUMMYFUNCTION("""COMPUTED_VALUE"""),122.9)</f>
        <v>122.9</v>
      </c>
    </row>
    <row r="2003">
      <c r="A2003" s="4" t="str">
        <f>IFERROR(__xludf.DUMMYFUNCTION("""COMPUTED_VALUE"""),"9640195N1F")</f>
        <v>9640195N1F</v>
      </c>
      <c r="B2003" s="4" t="str">
        <f>IFERROR(__xludf.DUMMYFUNCTION("""COMPUTED_VALUE"""),"Señal MOPU informativa 40x195 cm Nivel 1 Flechada")</f>
        <v>Señal MOPU informativa 40x195 cm Nivel 1 Flechada</v>
      </c>
      <c r="C2003" s="4">
        <f>IFERROR(__xludf.DUMMYFUNCTION("""COMPUTED_VALUE"""),122.9)</f>
        <v>122.9</v>
      </c>
    </row>
    <row r="2004">
      <c r="A2004" s="4" t="str">
        <f>IFERROR(__xludf.DUMMYFUNCTION("""COMPUTED_VALUE"""),"9640195N2")</f>
        <v>9640195N2</v>
      </c>
      <c r="B2004" s="4" t="str">
        <f>IFERROR(__xludf.DUMMYFUNCTION("""COMPUTED_VALUE"""),"Señal MOPU informativa 40x195 cm Nivel 2")</f>
        <v>Señal MOPU informativa 40x195 cm Nivel 2</v>
      </c>
      <c r="C2004" s="4">
        <f>IFERROR(__xludf.DUMMYFUNCTION("""COMPUTED_VALUE"""),149.25)</f>
        <v>149.25</v>
      </c>
    </row>
    <row r="2005">
      <c r="A2005" s="4" t="str">
        <f>IFERROR(__xludf.DUMMYFUNCTION("""COMPUTED_VALUE"""),"9640195N2F")</f>
        <v>9640195N2F</v>
      </c>
      <c r="B2005" s="4" t="str">
        <f>IFERROR(__xludf.DUMMYFUNCTION("""COMPUTED_VALUE"""),"Señal MOPU informativa 40x195 cm Nivel 2 flechada")</f>
        <v>Señal MOPU informativa 40x195 cm Nivel 2 flechada</v>
      </c>
      <c r="C2005" s="4">
        <f>IFERROR(__xludf.DUMMYFUNCTION("""COMPUTED_VALUE"""),149.25)</f>
        <v>149.25</v>
      </c>
    </row>
    <row r="2006">
      <c r="A2006" s="4" t="str">
        <f>IFERROR(__xludf.DUMMYFUNCTION("""COMPUTED_VALUE"""),"9640195N3")</f>
        <v>9640195N3</v>
      </c>
      <c r="B2006" s="4" t="str">
        <f>IFERROR(__xludf.DUMMYFUNCTION("""COMPUTED_VALUE"""),"Señal MOPU informativa 40x195 cm Nivel 3")</f>
        <v>Señal MOPU informativa 40x195 cm Nivel 3</v>
      </c>
      <c r="C2006" s="4">
        <f>IFERROR(__xludf.DUMMYFUNCTION("""COMPUTED_VALUE"""),157.25)</f>
        <v>157.25</v>
      </c>
    </row>
    <row r="2007">
      <c r="A2007" s="4" t="str">
        <f>IFERROR(__xludf.DUMMYFUNCTION("""COMPUTED_VALUE"""),"9640195N3F")</f>
        <v>9640195N3F</v>
      </c>
      <c r="B2007" s="4" t="str">
        <f>IFERROR(__xludf.DUMMYFUNCTION("""COMPUTED_VALUE"""),"Señal MOPU informativa 40x195 cm Nivel 3 Flechada")</f>
        <v>Señal MOPU informativa 40x195 cm Nivel 3 Flechada</v>
      </c>
      <c r="C2007" s="4">
        <f>IFERROR(__xludf.DUMMYFUNCTION("""COMPUTED_VALUE"""),157.25)</f>
        <v>157.25</v>
      </c>
    </row>
    <row r="2008">
      <c r="A2008" s="4" t="str">
        <f>IFERROR(__xludf.DUMMYFUNCTION("""COMPUTED_VALUE"""),"9640195NF")</f>
        <v>9640195NF</v>
      </c>
      <c r="B2008" s="4" t="str">
        <f>IFERROR(__xludf.DUMMYFUNCTION("""COMPUTED_VALUE"""),"Señal MOPU informativa 40x195 cm Normal Flechada")</f>
        <v>Señal MOPU informativa 40x195 cm Normal Flechada</v>
      </c>
      <c r="C2008" s="4">
        <f>IFERROR(__xludf.DUMMYFUNCTION("""COMPUTED_VALUE"""),114.2)</f>
        <v>114.2</v>
      </c>
    </row>
    <row r="2009">
      <c r="A2009" s="4" t="str">
        <f>IFERROR(__xludf.DUMMYFUNCTION("""COMPUTED_VALUE"""),"964595N")</f>
        <v>964595N</v>
      </c>
      <c r="B2009" s="4" t="str">
        <f>IFERROR(__xludf.DUMMYFUNCTION("""COMPUTED_VALUE"""),"Señal MOPU informativa 45x95 cm Normal")</f>
        <v>Señal MOPU informativa 45x95 cm Normal</v>
      </c>
      <c r="C2009" s="4">
        <f>IFERROR(__xludf.DUMMYFUNCTION("""COMPUTED_VALUE"""),65.225)</f>
        <v>65.225</v>
      </c>
    </row>
    <row r="2010">
      <c r="A2010" s="4" t="str">
        <f>IFERROR(__xludf.DUMMYFUNCTION("""COMPUTED_VALUE"""),"964595N1")</f>
        <v>964595N1</v>
      </c>
      <c r="B2010" s="4" t="str">
        <f>IFERROR(__xludf.DUMMYFUNCTION("""COMPUTED_VALUE"""),"Señal MOPU informativa 45x95 cm Nivel 1")</f>
        <v>Señal MOPU informativa 45x95 cm Nivel 1</v>
      </c>
      <c r="C2010" s="4">
        <f>IFERROR(__xludf.DUMMYFUNCTION("""COMPUTED_VALUE"""),74.25)</f>
        <v>74.25</v>
      </c>
    </row>
    <row r="2011">
      <c r="A2011" s="4" t="str">
        <f>IFERROR(__xludf.DUMMYFUNCTION("""COMPUTED_VALUE"""),"964595N1F")</f>
        <v>964595N1F</v>
      </c>
      <c r="B2011" s="4" t="str">
        <f>IFERROR(__xludf.DUMMYFUNCTION("""COMPUTED_VALUE"""),"Señal MOPU informativa 45x95 cm Nivel 1 Flechada")</f>
        <v>Señal MOPU informativa 45x95 cm Nivel 1 Flechada</v>
      </c>
      <c r="C2011" s="4">
        <f>IFERROR(__xludf.DUMMYFUNCTION("""COMPUTED_VALUE"""),74.25)</f>
        <v>74.25</v>
      </c>
    </row>
    <row r="2012">
      <c r="A2012" s="4" t="str">
        <f>IFERROR(__xludf.DUMMYFUNCTION("""COMPUTED_VALUE"""),"964595N2")</f>
        <v>964595N2</v>
      </c>
      <c r="B2012" s="4" t="str">
        <f>IFERROR(__xludf.DUMMYFUNCTION("""COMPUTED_VALUE"""),"Señal MOPU informativa 45x95 cm Nivel 2")</f>
        <v>Señal MOPU informativa 45x95 cm Nivel 2</v>
      </c>
      <c r="C2012" s="4">
        <f>IFERROR(__xludf.DUMMYFUNCTION("""COMPUTED_VALUE"""),84.25)</f>
        <v>84.25</v>
      </c>
    </row>
    <row r="2013">
      <c r="A2013" s="4" t="str">
        <f>IFERROR(__xludf.DUMMYFUNCTION("""COMPUTED_VALUE"""),"964595N2F")</f>
        <v>964595N2F</v>
      </c>
      <c r="B2013" s="4" t="str">
        <f>IFERROR(__xludf.DUMMYFUNCTION("""COMPUTED_VALUE"""),"Señal MOPU informativa 45x95 cm Nivel 2 Flechada")</f>
        <v>Señal MOPU informativa 45x95 cm Nivel 2 Flechada</v>
      </c>
      <c r="C2013" s="4">
        <f>IFERROR(__xludf.DUMMYFUNCTION("""COMPUTED_VALUE"""),84.25)</f>
        <v>84.25</v>
      </c>
    </row>
    <row r="2014">
      <c r="A2014" s="4" t="str">
        <f>IFERROR(__xludf.DUMMYFUNCTION("""COMPUTED_VALUE"""),"964595N3")</f>
        <v>964595N3</v>
      </c>
      <c r="B2014" s="4" t="str">
        <f>IFERROR(__xludf.DUMMYFUNCTION("""COMPUTED_VALUE"""),"Señal MOPU informativa 45x95 cm Nivel 3")</f>
        <v>Señal MOPU informativa 45x95 cm Nivel 3</v>
      </c>
      <c r="C2014" s="4">
        <f>IFERROR(__xludf.DUMMYFUNCTION("""COMPUTED_VALUE"""),99.25)</f>
        <v>99.25</v>
      </c>
    </row>
    <row r="2015">
      <c r="A2015" s="4" t="str">
        <f>IFERROR(__xludf.DUMMYFUNCTION("""COMPUTED_VALUE"""),"964595N3F")</f>
        <v>964595N3F</v>
      </c>
      <c r="B2015" s="4" t="str">
        <f>IFERROR(__xludf.DUMMYFUNCTION("""COMPUTED_VALUE"""),"Señal MOPU informativa 45x95 cm Nivel 2 Flechada")</f>
        <v>Señal MOPU informativa 45x95 cm Nivel 2 Flechada</v>
      </c>
      <c r="C2015" s="4">
        <f>IFERROR(__xludf.DUMMYFUNCTION("""COMPUTED_VALUE"""),99.25)</f>
        <v>99.25</v>
      </c>
    </row>
    <row r="2016">
      <c r="A2016" s="4" t="str">
        <f>IFERROR(__xludf.DUMMYFUNCTION("""COMPUTED_VALUE"""),"964595NF")</f>
        <v>964595NF</v>
      </c>
      <c r="B2016" s="4" t="str">
        <f>IFERROR(__xludf.DUMMYFUNCTION("""COMPUTED_VALUE"""),"Señal MOPU informativa 45x95 cm Normal Flechada")</f>
        <v>Señal MOPU informativa 45x95 cm Normal Flechada</v>
      </c>
      <c r="C2016" s="4">
        <f>IFERROR(__xludf.DUMMYFUNCTION("""COMPUTED_VALUE"""),65.225)</f>
        <v>65.225</v>
      </c>
    </row>
    <row r="2017">
      <c r="A2017" s="4" t="str">
        <f>IFERROR(__xludf.DUMMYFUNCTION("""COMPUTED_VALUE"""),"9655120N")</f>
        <v>9655120N</v>
      </c>
      <c r="B2017" s="4" t="str">
        <f>IFERROR(__xludf.DUMMYFUNCTION("""COMPUTED_VALUE"""),"Señal MOPU informativa 55x120 cm Normal")</f>
        <v>Señal MOPU informativa 55x120 cm Normal</v>
      </c>
      <c r="C2017" s="4">
        <f>IFERROR(__xludf.DUMMYFUNCTION("""COMPUTED_VALUE"""),71.0)</f>
        <v>71</v>
      </c>
    </row>
    <row r="2018">
      <c r="A2018" s="4" t="str">
        <f>IFERROR(__xludf.DUMMYFUNCTION("""COMPUTED_VALUE"""),"9655120N1")</f>
        <v>9655120N1</v>
      </c>
      <c r="B2018" s="4" t="str">
        <f>IFERROR(__xludf.DUMMYFUNCTION("""COMPUTED_VALUE"""),"Señal MOPU informativa 55x120 cm Reflex I")</f>
        <v>Señal MOPU informativa 55x120 cm Reflex I</v>
      </c>
      <c r="C2018" s="4">
        <f>IFERROR(__xludf.DUMMYFUNCTION("""COMPUTED_VALUE"""),84.0)</f>
        <v>84</v>
      </c>
    </row>
    <row r="2019">
      <c r="A2019" s="4" t="str">
        <f>IFERROR(__xludf.DUMMYFUNCTION("""COMPUTED_VALUE"""),"9655120N1F")</f>
        <v>9655120N1F</v>
      </c>
      <c r="B2019" s="4" t="str">
        <f>IFERROR(__xludf.DUMMYFUNCTION("""COMPUTED_VALUE"""),"Señal MOPU informativa 55x120 cm Nivel 1 Flechada")</f>
        <v>Señal MOPU informativa 55x120 cm Nivel 1 Flechada</v>
      </c>
      <c r="C2019" s="4">
        <f>IFERROR(__xludf.DUMMYFUNCTION("""COMPUTED_VALUE"""),91.875)</f>
        <v>91.875</v>
      </c>
    </row>
    <row r="2020">
      <c r="A2020" s="4" t="str">
        <f>IFERROR(__xludf.DUMMYFUNCTION("""COMPUTED_VALUE"""),"9655120N2")</f>
        <v>9655120N2</v>
      </c>
      <c r="B2020" s="4" t="str">
        <f>IFERROR(__xludf.DUMMYFUNCTION("""COMPUTED_VALUE"""),"Señal MOPU informativa 55x120 cm Reflex II")</f>
        <v>Señal MOPU informativa 55x120 cm Reflex II</v>
      </c>
      <c r="C2020" s="4">
        <f>IFERROR(__xludf.DUMMYFUNCTION("""COMPUTED_VALUE"""),112.0)</f>
        <v>112</v>
      </c>
    </row>
    <row r="2021">
      <c r="A2021" s="4" t="str">
        <f>IFERROR(__xludf.DUMMYFUNCTION("""COMPUTED_VALUE"""),"9655120N2F")</f>
        <v>9655120N2F</v>
      </c>
      <c r="B2021" s="4" t="str">
        <f>IFERROR(__xludf.DUMMYFUNCTION("""COMPUTED_VALUE"""),"Señal MOPU informativa 55x120 cm Nivel 2 Flechada")</f>
        <v>Señal MOPU informativa 55x120 cm Nivel 2 Flechada</v>
      </c>
      <c r="C2021" s="4">
        <f>IFERROR(__xludf.DUMMYFUNCTION("""COMPUTED_VALUE"""),122.85)</f>
        <v>122.85</v>
      </c>
    </row>
    <row r="2022">
      <c r="A2022" s="4" t="str">
        <f>IFERROR(__xludf.DUMMYFUNCTION("""COMPUTED_VALUE"""),"9655120N3")</f>
        <v>9655120N3</v>
      </c>
      <c r="B2022" s="4" t="str">
        <f>IFERROR(__xludf.DUMMYFUNCTION("""COMPUTED_VALUE"""),"Señal MOPU informativa 55x120 cm Reflex NIII")</f>
        <v>Señal MOPU informativa 55x120 cm Reflex NIII</v>
      </c>
      <c r="C2022" s="4">
        <f>IFERROR(__xludf.DUMMYFUNCTION("""COMPUTED_VALUE"""),159.5)</f>
        <v>159.5</v>
      </c>
    </row>
    <row r="2023">
      <c r="A2023" s="4" t="str">
        <f>IFERROR(__xludf.DUMMYFUNCTION("""COMPUTED_VALUE"""),"9655120N3F")</f>
        <v>9655120N3F</v>
      </c>
      <c r="B2023" s="4" t="str">
        <f>IFERROR(__xludf.DUMMYFUNCTION("""COMPUTED_VALUE"""),"Señal MOPU informativa 55x120 cm Nivel 3 flechada")</f>
        <v>Señal MOPU informativa 55x120 cm Nivel 3 flechada</v>
      </c>
      <c r="C2023" s="4">
        <f>IFERROR(__xludf.DUMMYFUNCTION("""COMPUTED_VALUE"""),176.4)</f>
        <v>176.4</v>
      </c>
    </row>
    <row r="2024">
      <c r="A2024" s="4" t="str">
        <f>IFERROR(__xludf.DUMMYFUNCTION("""COMPUTED_VALUE"""),"9655120NF")</f>
        <v>9655120NF</v>
      </c>
      <c r="B2024" s="4" t="str">
        <f>IFERROR(__xludf.DUMMYFUNCTION("""COMPUTED_VALUE"""),"Señal MOPU informativa 55x120 cm Normal Flechada")</f>
        <v>Señal MOPU informativa 55x120 cm Normal Flechada</v>
      </c>
      <c r="C2024" s="4">
        <f>IFERROR(__xludf.DUMMYFUNCTION("""COMPUTED_VALUE"""),98.7)</f>
        <v>98.7</v>
      </c>
    </row>
    <row r="2025">
      <c r="A2025" s="4" t="str">
        <f>IFERROR(__xludf.DUMMYFUNCTION("""COMPUTED_VALUE"""),"9655170N2")</f>
        <v>9655170N2</v>
      </c>
      <c r="B2025" s="4" t="str">
        <f>IFERROR(__xludf.DUMMYFUNCTION("""COMPUTED_VALUE"""),"Señal MOPU informativa 55x170 cm Reflex II")</f>
        <v>Señal MOPU informativa 55x170 cm Reflex II</v>
      </c>
      <c r="C2025" s="4">
        <f>IFERROR(__xludf.DUMMYFUNCTION("""COMPUTED_VALUE"""),307.125)</f>
        <v>307.125</v>
      </c>
    </row>
    <row r="2026">
      <c r="A2026" s="4" t="str">
        <f>IFERROR(__xludf.DUMMYFUNCTION("""COMPUTED_VALUE"""),"965595N")</f>
        <v>965595N</v>
      </c>
      <c r="B2026" s="4" t="str">
        <f>IFERROR(__xludf.DUMMYFUNCTION("""COMPUTED_VALUE"""),"Señal MOPU informativa 55x95 cm Normal")</f>
        <v>Señal MOPU informativa 55x95 cm Normal</v>
      </c>
      <c r="C2026" s="4">
        <f>IFERROR(__xludf.DUMMYFUNCTION("""COMPUTED_VALUE"""),65.25)</f>
        <v>65.25</v>
      </c>
    </row>
    <row r="2027">
      <c r="A2027" s="4" t="str">
        <f>IFERROR(__xludf.DUMMYFUNCTION("""COMPUTED_VALUE"""),"965595N1")</f>
        <v>965595N1</v>
      </c>
      <c r="B2027" s="4" t="str">
        <f>IFERROR(__xludf.DUMMYFUNCTION("""COMPUTED_VALUE"""),"Señal MOPU informativa 55x95 cm Reflex I")</f>
        <v>Señal MOPU informativa 55x95 cm Reflex I</v>
      </c>
      <c r="C2027" s="4">
        <f>IFERROR(__xludf.DUMMYFUNCTION("""COMPUTED_VALUE"""),60.0)</f>
        <v>60</v>
      </c>
    </row>
    <row r="2028">
      <c r="A2028" s="4" t="str">
        <f>IFERROR(__xludf.DUMMYFUNCTION("""COMPUTED_VALUE"""),"965595N1F")</f>
        <v>965595N1F</v>
      </c>
      <c r="B2028" s="4" t="str">
        <f>IFERROR(__xludf.DUMMYFUNCTION("""COMPUTED_VALUE"""),"Señal MOPU informativa 55x95 cm Nivel 1 Flechada")</f>
        <v>Señal MOPU informativa 55x95 cm Nivel 1 Flechada</v>
      </c>
      <c r="C2028" s="4">
        <f>IFERROR(__xludf.DUMMYFUNCTION("""COMPUTED_VALUE"""),66.675)</f>
        <v>66.675</v>
      </c>
    </row>
    <row r="2029">
      <c r="A2029" s="4" t="str">
        <f>IFERROR(__xludf.DUMMYFUNCTION("""COMPUTED_VALUE"""),"965595N2")</f>
        <v>965595N2</v>
      </c>
      <c r="B2029" s="4" t="str">
        <f>IFERROR(__xludf.DUMMYFUNCTION("""COMPUTED_VALUE"""),"Señal MOPU informativa 55X95 cm Reflex II")</f>
        <v>Señal MOPU informativa 55X95 cm Reflex II</v>
      </c>
      <c r="C2029" s="4">
        <f>IFERROR(__xludf.DUMMYFUNCTION("""COMPUTED_VALUE"""),77.0)</f>
        <v>77</v>
      </c>
    </row>
    <row r="2030">
      <c r="A2030" s="4" t="str">
        <f>IFERROR(__xludf.DUMMYFUNCTION("""COMPUTED_VALUE"""),"965595N2F")</f>
        <v>965595N2F</v>
      </c>
      <c r="B2030" s="4" t="str">
        <f>IFERROR(__xludf.DUMMYFUNCTION("""COMPUTED_VALUE"""),"Señal MOPU informativa 55x95 cm Nivel 2 Flechada")</f>
        <v>Señal MOPU informativa 55x95 cm Nivel 2 Flechada</v>
      </c>
      <c r="C2030" s="4">
        <f>IFERROR(__xludf.DUMMYFUNCTION("""COMPUTED_VALUE"""),84.0)</f>
        <v>84</v>
      </c>
    </row>
    <row r="2031">
      <c r="A2031" s="4" t="str">
        <f>IFERROR(__xludf.DUMMYFUNCTION("""COMPUTED_VALUE"""),"965595N3")</f>
        <v>965595N3</v>
      </c>
      <c r="B2031" s="4" t="str">
        <f>IFERROR(__xludf.DUMMYFUNCTION("""COMPUTED_VALUE"""),"Señal MOPU informativa 55x95 cm Reflex III")</f>
        <v>Señal MOPU informativa 55x95 cm Reflex III</v>
      </c>
      <c r="C2031" s="4">
        <f>IFERROR(__xludf.DUMMYFUNCTION("""COMPUTED_VALUE"""),144.5)</f>
        <v>144.5</v>
      </c>
    </row>
    <row r="2032">
      <c r="A2032" s="4" t="str">
        <f>IFERROR(__xludf.DUMMYFUNCTION("""COMPUTED_VALUE"""),"965595N3F")</f>
        <v>965595N3F</v>
      </c>
      <c r="B2032" s="4" t="str">
        <f>IFERROR(__xludf.DUMMYFUNCTION("""COMPUTED_VALUE"""),"Señal MOPU informativa 55x95 cm Nivel 3 Flechada")</f>
        <v>Señal MOPU informativa 55x95 cm Nivel 3 Flechada</v>
      </c>
      <c r="C2032" s="4">
        <f>IFERROR(__xludf.DUMMYFUNCTION("""COMPUTED_VALUE"""),160.65)</f>
        <v>160.65</v>
      </c>
    </row>
    <row r="2033">
      <c r="A2033" s="4" t="str">
        <f>IFERROR(__xludf.DUMMYFUNCTION("""COMPUTED_VALUE"""),"965595NF")</f>
        <v>965595NF</v>
      </c>
      <c r="B2033" s="4" t="str">
        <f>IFERROR(__xludf.DUMMYFUNCTION("""COMPUTED_VALUE"""),"Señal MOPU informativa 55x95 cm Normal Flechada")</f>
        <v>Señal MOPU informativa 55x95 cm Normal Flechada</v>
      </c>
      <c r="C2033" s="4">
        <f>IFERROR(__xludf.DUMMYFUNCTION("""COMPUTED_VALUE"""),60.375)</f>
        <v>60.375</v>
      </c>
    </row>
    <row r="2034">
      <c r="A2034" s="4" t="str">
        <f>IFERROR(__xludf.DUMMYFUNCTION("""COMPUTED_VALUE"""),"9695145N")</f>
        <v>9695145N</v>
      </c>
      <c r="B2034" s="4" t="str">
        <f>IFERROR(__xludf.DUMMYFUNCTION("""COMPUTED_VALUE"""),"Señal MOPU informativa 95x145 cm Normal")</f>
        <v>Señal MOPU informativa 95x145 cm Normal</v>
      </c>
      <c r="C2034" s="4">
        <f>IFERROR(__xludf.DUMMYFUNCTION("""COMPUTED_VALUE"""),147.5)</f>
        <v>147.5</v>
      </c>
    </row>
    <row r="2035">
      <c r="A2035" s="4" t="str">
        <f>IFERROR(__xludf.DUMMYFUNCTION("""COMPUTED_VALUE"""),"9700N")</f>
        <v>9700N</v>
      </c>
      <c r="B2035" s="4" t="str">
        <f>IFERROR(__xludf.DUMMYFUNCTION("""COMPUTED_VALUE"""),"Señal Aluminio Cuadrada 60 cm Normal")</f>
        <v>Señal Aluminio Cuadrada 60 cm Normal</v>
      </c>
      <c r="C2035" s="4">
        <f>IFERROR(__xludf.DUMMYFUNCTION("""COMPUTED_VALUE"""),31.0)</f>
        <v>31</v>
      </c>
    </row>
    <row r="2036">
      <c r="A2036" s="4" t="str">
        <f>IFERROR(__xludf.DUMMYFUNCTION("""COMPUTED_VALUE"""),"9700N1")</f>
        <v>9700N1</v>
      </c>
      <c r="B2036" s="4" t="str">
        <f>IFERROR(__xludf.DUMMYFUNCTION("""COMPUTED_VALUE"""),"Señal Aluminio Cuadrada 60 cm Nivel 1")</f>
        <v>Señal Aluminio Cuadrada 60 cm Nivel 1</v>
      </c>
      <c r="C2036" s="4">
        <f>IFERROR(__xludf.DUMMYFUNCTION("""COMPUTED_VALUE"""),34.0)</f>
        <v>34</v>
      </c>
    </row>
    <row r="2037">
      <c r="A2037" s="4" t="str">
        <f>IFERROR(__xludf.DUMMYFUNCTION("""COMPUTED_VALUE"""),"9716545N")</f>
        <v>9716545N</v>
      </c>
      <c r="B2037" s="4" t="str">
        <f>IFERROR(__xludf.DUMMYFUNCTION("""COMPUTED_VALUE"""),"Panel direccional A/B 165x45 cm Normal")</f>
        <v>Panel direccional A/B 165x45 cm Normal</v>
      </c>
      <c r="C2037" s="4">
        <f>IFERROR(__xludf.DUMMYFUNCTION("""COMPUTED_VALUE"""),74.0)</f>
        <v>74</v>
      </c>
    </row>
    <row r="2038">
      <c r="A2038" s="4" t="str">
        <f>IFERROR(__xludf.DUMMYFUNCTION("""COMPUTED_VALUE"""),"9716545N1")</f>
        <v>9716545N1</v>
      </c>
      <c r="B2038" s="4" t="str">
        <f>IFERROR(__xludf.DUMMYFUNCTION("""COMPUTED_VALUE"""),"Panel direccional A/B 165x45 cm Reflex I")</f>
        <v>Panel direccional A/B 165x45 cm Reflex I</v>
      </c>
      <c r="C2038" s="4">
        <f>IFERROR(__xludf.DUMMYFUNCTION("""COMPUTED_VALUE"""),72.0)</f>
        <v>72</v>
      </c>
    </row>
    <row r="2039">
      <c r="A2039" s="4" t="str">
        <f>IFERROR(__xludf.DUMMYFUNCTION("""COMPUTED_VALUE"""),"9716545N2")</f>
        <v>9716545N2</v>
      </c>
      <c r="B2039" s="4" t="str">
        <f>IFERROR(__xludf.DUMMYFUNCTION("""COMPUTED_VALUE"""),"Panel direccional A/B 165x45 cm Reflex II")</f>
        <v>Panel direccional A/B 165x45 cm Reflex II</v>
      </c>
      <c r="C2039" s="4">
        <f>IFERROR(__xludf.DUMMYFUNCTION("""COMPUTED_VALUE"""),106.0)</f>
        <v>106</v>
      </c>
    </row>
    <row r="2040">
      <c r="A2040" s="4" t="str">
        <f>IFERROR(__xludf.DUMMYFUNCTION("""COMPUTED_VALUE"""),"9716545N3")</f>
        <v>9716545N3</v>
      </c>
      <c r="B2040" s="4" t="str">
        <f>IFERROR(__xludf.DUMMYFUNCTION("""COMPUTED_VALUE"""),"Panel direccional A/B 165x45 cm Reflex III")</f>
        <v>Panel direccional A/B 165x45 cm Reflex III</v>
      </c>
      <c r="C2040" s="4">
        <f>IFERROR(__xludf.DUMMYFUNCTION("""COMPUTED_VALUE"""),109.0)</f>
        <v>109</v>
      </c>
    </row>
    <row r="2041">
      <c r="A2041" s="4" t="str">
        <f>IFERROR(__xludf.DUMMYFUNCTION("""COMPUTED_VALUE"""),"978040N")</f>
        <v>978040N</v>
      </c>
      <c r="B2041" s="4" t="str">
        <f>IFERROR(__xludf.DUMMYFUNCTION("""COMPUTED_VALUE"""),"Panel direccional A/B 80x40 cm Normal")</f>
        <v>Panel direccional A/B 80x40 cm Normal</v>
      </c>
      <c r="C2041" s="4">
        <f>IFERROR(__xludf.DUMMYFUNCTION("""COMPUTED_VALUE"""),31.0)</f>
        <v>31</v>
      </c>
    </row>
    <row r="2042">
      <c r="A2042" s="4" t="str">
        <f>IFERROR(__xludf.DUMMYFUNCTION("""COMPUTED_VALUE"""),"978040N1")</f>
        <v>978040N1</v>
      </c>
      <c r="B2042" s="4" t="str">
        <f>IFERROR(__xludf.DUMMYFUNCTION("""COMPUTED_VALUE"""),"Panel direccional A/B 80x40 cm Reflex I")</f>
        <v>Panel direccional A/B 80x40 cm Reflex I</v>
      </c>
      <c r="C2042" s="4">
        <f>IFERROR(__xludf.DUMMYFUNCTION("""COMPUTED_VALUE"""),37.0)</f>
        <v>37</v>
      </c>
    </row>
    <row r="2043">
      <c r="A2043" s="4" t="str">
        <f>IFERROR(__xludf.DUMMYFUNCTION("""COMPUTED_VALUE"""),"978040N2")</f>
        <v>978040N2</v>
      </c>
      <c r="B2043" s="4" t="str">
        <f>IFERROR(__xludf.DUMMYFUNCTION("""COMPUTED_VALUE"""),"Panel direccional A/B 80x40 cm Reflex II")</f>
        <v>Panel direccional A/B 80x40 cm Reflex II</v>
      </c>
      <c r="C2043" s="4">
        <f>IFERROR(__xludf.DUMMYFUNCTION("""COMPUTED_VALUE"""),42.0)</f>
        <v>42</v>
      </c>
    </row>
    <row r="2044">
      <c r="A2044" s="4" t="str">
        <f>IFERROR(__xludf.DUMMYFUNCTION("""COMPUTED_VALUE"""),"978040N3")</f>
        <v>978040N3</v>
      </c>
      <c r="B2044" s="4" t="str">
        <f>IFERROR(__xludf.DUMMYFUNCTION("""COMPUTED_VALUE"""),"Panel direccional A/B 80x40 cm Reflex III")</f>
        <v>Panel direccional A/B 80x40 cm Reflex III</v>
      </c>
      <c r="C2044" s="4">
        <f>IFERROR(__xludf.DUMMYFUNCTION("""COMPUTED_VALUE"""),52.9)</f>
        <v>52.9</v>
      </c>
    </row>
    <row r="2045">
      <c r="A2045" s="4" t="str">
        <f>IFERROR(__xludf.DUMMYFUNCTION("""COMPUTED_VALUE"""),"9800N")</f>
        <v>9800N</v>
      </c>
      <c r="B2045" s="4" t="str">
        <f>IFERROR(__xludf.DUMMYFUNCTION("""COMPUTED_VALUE"""),"Señal Aluminio Stop 60 cm Normal")</f>
        <v>Señal Aluminio Stop 60 cm Normal</v>
      </c>
      <c r="C2045" s="4">
        <f>IFERROR(__xludf.DUMMYFUNCTION("""COMPUTED_VALUE"""),31.0)</f>
        <v>31</v>
      </c>
    </row>
    <row r="2046">
      <c r="A2046" s="4" t="str">
        <f>IFERROR(__xludf.DUMMYFUNCTION("""COMPUTED_VALUE"""),"9800N1")</f>
        <v>9800N1</v>
      </c>
      <c r="B2046" s="4" t="str">
        <f>IFERROR(__xludf.DUMMYFUNCTION("""COMPUTED_VALUE"""),"Señal Aluminio Stop 60 cm Nivel 1")</f>
        <v>Señal Aluminio Stop 60 cm Nivel 1</v>
      </c>
      <c r="C2046" s="4">
        <f>IFERROR(__xludf.DUMMYFUNCTION("""COMPUTED_VALUE"""),34.0)</f>
        <v>34</v>
      </c>
    </row>
    <row r="2047">
      <c r="A2047" s="4" t="str">
        <f>IFERROR(__xludf.DUMMYFUNCTION("""COMPUTED_VALUE"""),"9900N")</f>
        <v>9900N</v>
      </c>
      <c r="B2047" s="4" t="str">
        <f>IFERROR(__xludf.DUMMYFUNCTION("""COMPUTED_VALUE"""),"Señal Aluminio Rectangular 60x30 cm Normal")</f>
        <v>Señal Aluminio Rectangular 60x30 cm Normal</v>
      </c>
      <c r="C2047" s="4">
        <f>IFERROR(__xludf.DUMMYFUNCTION("""COMPUTED_VALUE"""),17.0)</f>
        <v>17</v>
      </c>
    </row>
    <row r="2048">
      <c r="A2048" s="4" t="str">
        <f>IFERROR(__xludf.DUMMYFUNCTION("""COMPUTED_VALUE"""),"9900N1")</f>
        <v>9900N1</v>
      </c>
      <c r="B2048" s="4" t="str">
        <f>IFERROR(__xludf.DUMMYFUNCTION("""COMPUTED_VALUE"""),"Señal Aluminio Rectangular 60x30 cm Nivel 1")</f>
        <v>Señal Aluminio Rectangular 60x30 cm Nivel 1</v>
      </c>
      <c r="C2048" s="4">
        <f>IFERROR(__xludf.DUMMYFUNCTION("""COMPUTED_VALUE"""),19.0)</f>
        <v>19</v>
      </c>
    </row>
    <row r="2049">
      <c r="A2049" s="4" t="str">
        <f>IFERROR(__xludf.DUMMYFUNCTION("""COMPUTED_VALUE"""),"ABRAZADERA50-")</f>
        <v>ABRAZADERA50-</v>
      </c>
      <c r="B2049" s="4" t="str">
        <f>IFERROR(__xludf.DUMMYFUNCTION("""COMPUTED_VALUE"""),"Abrazadera completa para poste 50/60")</f>
        <v>Abrazadera completa para poste 50/60</v>
      </c>
      <c r="C2049" s="4">
        <f>IFERROR(__xludf.DUMMYFUNCTION("""COMPUTED_VALUE"""),4.75)</f>
        <v>4.75</v>
      </c>
    </row>
    <row r="2050">
      <c r="A2050" s="4" t="str">
        <f>IFERROR(__xludf.DUMMYFUNCTION("""COMPUTED_VALUE"""),"ABRAZADERA80X")</f>
        <v>ABRAZADERA80X</v>
      </c>
      <c r="B2050" s="4" t="str">
        <f>IFERROR(__xludf.DUMMYFUNCTION("""COMPUTED_VALUE"""),"Abrazadera para poste de 80x40")</f>
        <v>Abrazadera para poste de 80x40</v>
      </c>
      <c r="C2050" s="4">
        <f>IFERROR(__xludf.DUMMYFUNCTION("""COMPUTED_VALUE"""),2.7)</f>
        <v>2.7</v>
      </c>
    </row>
    <row r="2051">
      <c r="A2051" s="4" t="str">
        <f>IFERROR(__xludf.DUMMYFUNCTION("""COMPUTED_VALUE"""),"AL297105")</f>
        <v>AL297105</v>
      </c>
      <c r="B2051" s="4" t="str">
        <f>IFERROR(__xludf.DUMMYFUNCTION("""COMPUTED_VALUE"""),"Panel impreso aluminio 297x105 mm")</f>
        <v>Panel impreso aluminio 297x105 mm</v>
      </c>
      <c r="C2051" s="4">
        <f>IFERROR(__xludf.DUMMYFUNCTION("""COMPUTED_VALUE"""),2.15)</f>
        <v>2.15</v>
      </c>
    </row>
    <row r="2052">
      <c r="A2052" s="4" t="str">
        <f>IFERROR(__xludf.DUMMYFUNCTION("""COMPUTED_VALUE"""),"AL320160")</f>
        <v>AL320160</v>
      </c>
      <c r="B2052" s="4" t="str">
        <f>IFERROR(__xludf.DUMMYFUNCTION("""COMPUTED_VALUE"""),"Panel impreso aluminio 320x160 mm")</f>
        <v>Panel impreso aluminio 320x160 mm</v>
      </c>
      <c r="C2052" s="4">
        <f>IFERROR(__xludf.DUMMYFUNCTION("""COMPUTED_VALUE"""),4.1)</f>
        <v>4.1</v>
      </c>
    </row>
    <row r="2053">
      <c r="A2053" s="4" t="str">
        <f>IFERROR(__xludf.DUMMYFUNCTION("""COMPUTED_VALUE"""),"AL420320")</f>
        <v>AL420320</v>
      </c>
      <c r="B2053" s="4" t="str">
        <f>IFERROR(__xludf.DUMMYFUNCTION("""COMPUTED_VALUE"""),"Panel impreso aluminio 420x320 mm")</f>
        <v>Panel impreso aluminio 420x320 mm</v>
      </c>
      <c r="C2053" s="4">
        <f>IFERROR(__xludf.DUMMYFUNCTION("""COMPUTED_VALUE"""),10.76)</f>
        <v>10.76</v>
      </c>
    </row>
    <row r="2054">
      <c r="A2054" s="4" t="str">
        <f>IFERROR(__xludf.DUMMYFUNCTION("""COMPUTED_VALUE"""),"AL630630")</f>
        <v>AL630630</v>
      </c>
      <c r="B2054" s="4" t="str">
        <f>IFERROR(__xludf.DUMMYFUNCTION("""COMPUTED_VALUE"""),"Panel impreso aluminio 630x630 mm")</f>
        <v>Panel impreso aluminio 630x630 mm</v>
      </c>
      <c r="C2054" s="4">
        <f>IFERROR(__xludf.DUMMYFUNCTION("""COMPUTED_VALUE"""),31.74)</f>
        <v>31.74</v>
      </c>
    </row>
    <row r="2055">
      <c r="A2055" s="4" t="str">
        <f>IFERROR(__xludf.DUMMYFUNCTION("""COMPUTED_VALUE"""),"AL960480")</f>
        <v>AL960480</v>
      </c>
      <c r="B2055" s="4" t="str">
        <f>IFERROR(__xludf.DUMMYFUNCTION("""COMPUTED_VALUE"""),"Panel impreso aluminio 960x480")</f>
        <v>Panel impreso aluminio 960x480</v>
      </c>
      <c r="C2055" s="4">
        <f>IFERROR(__xludf.DUMMYFUNCTION("""COMPUTED_VALUE"""),37.4)</f>
        <v>37.4</v>
      </c>
    </row>
    <row r="2056">
      <c r="A2056" s="4" t="str">
        <f>IFERROR(__xludf.DUMMYFUNCTION("""COMPUTED_VALUE"""),"ALA1")</f>
        <v>ALA1</v>
      </c>
      <c r="B2056" s="4" t="str">
        <f>IFERROR(__xludf.DUMMYFUNCTION("""COMPUTED_VALUE"""),"Panel impreso aluminio A1 (841x594 mm)")</f>
        <v>Panel impreso aluminio A1 (841x594 mm)</v>
      </c>
      <c r="C2056" s="4">
        <f>IFERROR(__xludf.DUMMYFUNCTION("""COMPUTED_VALUE"""),40.23)</f>
        <v>40.23</v>
      </c>
    </row>
    <row r="2057">
      <c r="A2057" s="4" t="str">
        <f>IFERROR(__xludf.DUMMYFUNCTION("""COMPUTED_VALUE"""),"ALA2")</f>
        <v>ALA2</v>
      </c>
      <c r="B2057" s="4" t="str">
        <f>IFERROR(__xludf.DUMMYFUNCTION("""COMPUTED_VALUE"""),"Panel impreso aluminio A2 (594X420)")</f>
        <v>Panel impreso aluminio A2 (594X420)</v>
      </c>
      <c r="C2057" s="4">
        <f>IFERROR(__xludf.DUMMYFUNCTION("""COMPUTED_VALUE"""),2.115)</f>
        <v>2.115</v>
      </c>
    </row>
    <row r="2058">
      <c r="A2058" s="4" t="str">
        <f>IFERROR(__xludf.DUMMYFUNCTION("""COMPUTED_VALUE"""),"ALA3")</f>
        <v>ALA3</v>
      </c>
      <c r="B2058" s="4" t="str">
        <f>IFERROR(__xludf.DUMMYFUNCTION("""COMPUTED_VALUE"""),"Panel impreso aluminio A3 (420X297 mm)")</f>
        <v>Panel impreso aluminio A3 (420X297 mm)</v>
      </c>
      <c r="C2058" s="4">
        <f>IFERROR(__xludf.DUMMYFUNCTION("""COMPUTED_VALUE"""),10.08)</f>
        <v>10.08</v>
      </c>
    </row>
    <row r="2059">
      <c r="A2059" s="4" t="str">
        <f>IFERROR(__xludf.DUMMYFUNCTION("""COMPUTED_VALUE"""),"ALA4")</f>
        <v>ALA4</v>
      </c>
      <c r="B2059" s="4" t="str">
        <f>IFERROR(__xludf.DUMMYFUNCTION("""COMPUTED_VALUE"""),"Panel impreso aluminio A4 (297x210 mm)")</f>
        <v>Panel impreso aluminio A4 (297x210 mm)</v>
      </c>
      <c r="C2059" s="4">
        <f>IFERROR(__xludf.DUMMYFUNCTION("""COMPUTED_VALUE"""),5.04)</f>
        <v>5.04</v>
      </c>
    </row>
    <row r="2060">
      <c r="A2060" s="4" t="str">
        <f>IFERROR(__xludf.DUMMYFUNCTION("""COMPUTED_VALUE"""),"ALA6")</f>
        <v>ALA6</v>
      </c>
      <c r="B2060" s="4" t="str">
        <f>IFERROR(__xludf.DUMMYFUNCTION("""COMPUTED_VALUE"""),"Panel impreso aluminio A6 (105x148 mm)")</f>
        <v>Panel impreso aluminio A6 (105x148 mm)</v>
      </c>
      <c r="C2060" s="4">
        <f>IFERROR(__xludf.DUMMYFUNCTION("""COMPUTED_VALUE"""),1.24)</f>
        <v>1.24</v>
      </c>
    </row>
    <row r="2061">
      <c r="A2061" s="4" t="str">
        <f>IFERROR(__xludf.DUMMYFUNCTION("""COMPUTED_VALUE"""),"CBA3")</f>
        <v>CBA3</v>
      </c>
      <c r="B2061" s="4" t="str">
        <f>IFERROR(__xludf.DUMMYFUNCTION("""COMPUTED_VALUE"""),"Soporte cartel en banderola acero cartel 40x30 cm")</f>
        <v>Soporte cartel en banderola acero cartel 40x30 cm</v>
      </c>
      <c r="C2061" s="4">
        <f>IFERROR(__xludf.DUMMYFUNCTION("""COMPUTED_VALUE"""),3.4)</f>
        <v>3.4</v>
      </c>
    </row>
    <row r="2062">
      <c r="A2062" s="4" t="str">
        <f>IFERROR(__xludf.DUMMYFUNCTION("""COMPUTED_VALUE"""),"CBA4")</f>
        <v>CBA4</v>
      </c>
      <c r="B2062" s="4" t="str">
        <f>IFERROR(__xludf.DUMMYFUNCTION("""COMPUTED_VALUE"""),"Soporte cartel en banderola acero cartel 21x29 cm")</f>
        <v>Soporte cartel en banderola acero cartel 21x29 cm</v>
      </c>
      <c r="C2062" s="4">
        <f>IFERROR(__xludf.DUMMYFUNCTION("""COMPUTED_VALUE"""),2.4)</f>
        <v>2.4</v>
      </c>
    </row>
    <row r="2063">
      <c r="A2063" s="4" t="str">
        <f>IFERROR(__xludf.DUMMYFUNCTION("""COMPUTED_VALUE"""),"ESCRUADRA")</f>
        <v>ESCRUADRA</v>
      </c>
      <c r="B2063" s="4" t="str">
        <f>IFERROR(__xludf.DUMMYFUNCTION("""COMPUTED_VALUE"""),"Escuadra 9x8x1,8 cm. señal MOPU")</f>
        <v>Escuadra 9x8x1,8 cm. señal MOPU</v>
      </c>
      <c r="C2063" s="4">
        <f>IFERROR(__xludf.DUMMYFUNCTION("""COMPUTED_VALUE"""),2.25)</f>
        <v>2.25</v>
      </c>
    </row>
    <row r="2064">
      <c r="A2064" s="4" t="str">
        <f>IFERROR(__xludf.DUMMYFUNCTION("""COMPUTED_VALUE"""),"ESCUADRA")</f>
        <v>ESCUADRA</v>
      </c>
      <c r="B2064" s="4" t="str">
        <f>IFERROR(__xludf.DUMMYFUNCTION("""COMPUTED_VALUE"""),"Escuadra 14x8x1,8 cm señal MOPU")</f>
        <v>Escuadra 14x8x1,8 cm señal MOPU</v>
      </c>
      <c r="C2064" s="4">
        <f>IFERROR(__xludf.DUMMYFUNCTION("""COMPUTED_VALUE"""),2.9)</f>
        <v>2.9</v>
      </c>
    </row>
    <row r="2065">
      <c r="A2065" s="4" t="str">
        <f>IFERROR(__xludf.DUMMYFUNCTION("""COMPUTED_VALUE"""),"EXPOSIT SEÑAL")</f>
        <v>EXPOSIT SEÑAL</v>
      </c>
      <c r="B2065" s="4" t="str">
        <f>IFERROR(__xludf.DUMMYFUNCTION("""COMPUTED_VALUE"""),"Expositor Señalización SIN SEÑALES")</f>
        <v>Expositor Señalización SIN SEÑALES</v>
      </c>
      <c r="C2065" s="4">
        <f>IFERROR(__xludf.DUMMYFUNCTION("""COMPUTED_VALUE"""),250.0)</f>
        <v>250</v>
      </c>
    </row>
    <row r="2066">
      <c r="A2066" s="4" t="str">
        <f>IFERROR(__xludf.DUMMYFUNCTION("""COMPUTED_VALUE"""),"EXPOSITOR")</f>
        <v>EXPOSITOR</v>
      </c>
      <c r="B2066" s="4" t="str">
        <f>IFERROR(__xludf.DUMMYFUNCTION("""COMPUTED_VALUE"""),"Expositor Señalización + Señales metálicas estándar")</f>
        <v>Expositor Señalización + Señales metálicas estándar</v>
      </c>
      <c r="C2066" s="4">
        <f>IFERROR(__xludf.DUMMYFUNCTION("""COMPUTED_VALUE"""),1200.0)</f>
        <v>1200</v>
      </c>
    </row>
    <row r="2067">
      <c r="A2067" s="4" t="str">
        <f>IFERROR(__xludf.DUMMYFUNCTION("""COMPUTED_VALUE"""),"MCA1")</f>
        <v>MCA1</v>
      </c>
      <c r="B2067" s="4" t="str">
        <f>IFERROR(__xludf.DUMMYFUNCTION("""COMPUTED_VALUE"""),"Panel impreso Metacrilato colada 2 mm A1 (841x594 mm)")</f>
        <v>Panel impreso Metacrilato colada 2 mm A1 (841x594 mm)</v>
      </c>
      <c r="C2067" s="4">
        <f>IFERROR(__xludf.DUMMYFUNCTION("""COMPUTED_VALUE"""),32.52)</f>
        <v>32.52</v>
      </c>
    </row>
    <row r="2068">
      <c r="A2068" s="4" t="str">
        <f>IFERROR(__xludf.DUMMYFUNCTION("""COMPUTED_VALUE"""),"MCA2")</f>
        <v>MCA2</v>
      </c>
      <c r="B2068" s="4" t="str">
        <f>IFERROR(__xludf.DUMMYFUNCTION("""COMPUTED_VALUE"""),"Panel impreso Metacrilato colada 2 mm A2 (594x420 mm)")</f>
        <v>Panel impreso Metacrilato colada 2 mm A2 (594x420 mm)</v>
      </c>
      <c r="C2068" s="4">
        <f>IFERROR(__xludf.DUMMYFUNCTION("""COMPUTED_VALUE"""),18.1)</f>
        <v>18.1</v>
      </c>
    </row>
    <row r="2069">
      <c r="A2069" s="4" t="str">
        <f>IFERROR(__xludf.DUMMYFUNCTION("""COMPUTED_VALUE"""),"MCA3")</f>
        <v>MCA3</v>
      </c>
      <c r="B2069" s="4" t="str">
        <f>IFERROR(__xludf.DUMMYFUNCTION("""COMPUTED_VALUE"""),"Panel impreso Metacrilato colada 2 mm A3 (420x297 mm)")</f>
        <v>Panel impreso Metacrilato colada 2 mm A3 (420x297 mm)</v>
      </c>
      <c r="C2069" s="4">
        <f>IFERROR(__xludf.DUMMYFUNCTION("""COMPUTED_VALUE"""),11.88)</f>
        <v>11.88</v>
      </c>
    </row>
    <row r="2070">
      <c r="A2070" s="4" t="str">
        <f>IFERROR(__xludf.DUMMYFUNCTION("""COMPUTED_VALUE"""),"MCA4")</f>
        <v>MCA4</v>
      </c>
      <c r="B2070" s="4" t="str">
        <f>IFERROR(__xludf.DUMMYFUNCTION("""COMPUTED_VALUE"""),"Panel impreso Metacrilato colada 2 mm A4 (210x297 mm)")</f>
        <v>Panel impreso Metacrilato colada 2 mm A4 (210x297 mm)</v>
      </c>
      <c r="C2070" s="4">
        <f>IFERROR(__xludf.DUMMYFUNCTION("""COMPUTED_VALUE"""),6.3)</f>
        <v>6.3</v>
      </c>
    </row>
    <row r="2071">
      <c r="A2071" s="4" t="str">
        <f>IFERROR(__xludf.DUMMYFUNCTION("""COMPUTED_VALUE"""),"MCA5")</f>
        <v>MCA5</v>
      </c>
      <c r="B2071" s="4" t="str">
        <f>IFERROR(__xludf.DUMMYFUNCTION("""COMPUTED_VALUE"""),"Panel impreso Metacrilato colada 2 mm A5 (148x210 mm)")</f>
        <v>Panel impreso Metacrilato colada 2 mm A5 (148x210 mm)</v>
      </c>
      <c r="C2071" s="4">
        <f>IFERROR(__xludf.DUMMYFUNCTION("""COMPUTED_VALUE"""),3.4)</f>
        <v>3.4</v>
      </c>
    </row>
    <row r="2072">
      <c r="A2072" s="4" t="str">
        <f>IFERROR(__xludf.DUMMYFUNCTION("""COMPUTED_VALUE"""),"MCA6")</f>
        <v>MCA6</v>
      </c>
      <c r="B2072" s="4" t="str">
        <f>IFERROR(__xludf.DUMMYFUNCTION("""COMPUTED_VALUE"""),"Panel impreso Metacrilato colada 2 mm A6 (148x105 mm)")</f>
        <v>Panel impreso Metacrilato colada 2 mm A6 (148x105 mm)</v>
      </c>
      <c r="C2072" s="4">
        <f>IFERROR(__xludf.DUMMYFUNCTION("""COMPUTED_VALUE"""),2.2)</f>
        <v>2.2</v>
      </c>
    </row>
    <row r="2073">
      <c r="A2073" s="4" t="str">
        <f>IFERROR(__xludf.DUMMYFUNCTION("""COMPUTED_VALUE"""),"PASA1")</f>
        <v>PASA1</v>
      </c>
      <c r="B2073" s="4" t="str">
        <f>IFERROR(__xludf.DUMMYFUNCTION("""COMPUTED_VALUE"""),"Panel impreso Aluminio Sandwich 2mm/0.15 mm A1 (841x594")</f>
        <v>Panel impreso Aluminio Sandwich 2mm/0.15 mm A1 (841x594</v>
      </c>
      <c r="C2073" s="4">
        <f>IFERROR(__xludf.DUMMYFUNCTION("""COMPUTED_VALUE"""),29.55)</f>
        <v>29.55</v>
      </c>
    </row>
    <row r="2074">
      <c r="A2074" s="4" t="str">
        <f>IFERROR(__xludf.DUMMYFUNCTION("""COMPUTED_VALUE"""),"PASA2")</f>
        <v>PASA2</v>
      </c>
      <c r="B2074" s="4" t="str">
        <f>IFERROR(__xludf.DUMMYFUNCTION("""COMPUTED_VALUE"""),"Panel impreso Aluminio Sandwich 2mm/0.15 mm A2 (594x420")</f>
        <v>Panel impreso Aluminio Sandwich 2mm/0.15 mm A2 (594x420</v>
      </c>
      <c r="C2074" s="4">
        <f>IFERROR(__xludf.DUMMYFUNCTION("""COMPUTED_VALUE"""),12.65)</f>
        <v>12.65</v>
      </c>
    </row>
    <row r="2075">
      <c r="A2075" s="4" t="str">
        <f>IFERROR(__xludf.DUMMYFUNCTION("""COMPUTED_VALUE"""),"PASA3")</f>
        <v>PASA3</v>
      </c>
      <c r="B2075" s="4" t="str">
        <f>IFERROR(__xludf.DUMMYFUNCTION("""COMPUTED_VALUE"""),"Panel impreso Aluminio Sandwich 2mm/0.15 mm A3 (420x297")</f>
        <v>Panel impreso Aluminio Sandwich 2mm/0.15 mm A3 (420x297</v>
      </c>
      <c r="C2075" s="4">
        <f>IFERROR(__xludf.DUMMYFUNCTION("""COMPUTED_VALUE"""),5.075)</f>
        <v>5.075</v>
      </c>
    </row>
    <row r="2076">
      <c r="A2076" s="4" t="str">
        <f>IFERROR(__xludf.DUMMYFUNCTION("""COMPUTED_VALUE"""),"PASA4")</f>
        <v>PASA4</v>
      </c>
      <c r="B2076" s="4" t="str">
        <f>IFERROR(__xludf.DUMMYFUNCTION("""COMPUTED_VALUE"""),"Panel impreso Aluminio Sandwich 2mm/0.15 mm A4 (297x210")</f>
        <v>Panel impreso Aluminio Sandwich 2mm/0.15 mm A4 (297x210</v>
      </c>
      <c r="C2076" s="4">
        <f>IFERROR(__xludf.DUMMYFUNCTION("""COMPUTED_VALUE"""),2.75)</f>
        <v>2.75</v>
      </c>
    </row>
    <row r="2077">
      <c r="A2077" s="4" t="str">
        <f>IFERROR(__xludf.DUMMYFUNCTION("""COMPUTED_VALUE"""),"PASA5")</f>
        <v>PASA5</v>
      </c>
      <c r="B2077" s="4" t="str">
        <f>IFERROR(__xludf.DUMMYFUNCTION("""COMPUTED_VALUE"""),"Panel impreso Aluminio Sandwich 2mm/0.15 mm A5 (148x210")</f>
        <v>Panel impreso Aluminio Sandwich 2mm/0.15 mm A5 (148x210</v>
      </c>
      <c r="C2077" s="4">
        <f>IFERROR(__xludf.DUMMYFUNCTION("""COMPUTED_VALUE"""),1.4)</f>
        <v>1.4</v>
      </c>
    </row>
    <row r="2078">
      <c r="A2078" s="4" t="str">
        <f>IFERROR(__xludf.DUMMYFUNCTION("""COMPUTED_VALUE"""),"PASA6")</f>
        <v>PASA6</v>
      </c>
      <c r="B2078" s="4" t="str">
        <f>IFERROR(__xludf.DUMMYFUNCTION("""COMPUTED_VALUE"""),"Panel impreso Aluminio Sandwich 2mm/0.15 mm A6 (105x148")</f>
        <v>Panel impreso Aluminio Sandwich 2mm/0.15 mm A6 (105x148</v>
      </c>
      <c r="C2078" s="4">
        <f>IFERROR(__xludf.DUMMYFUNCTION("""COMPUTED_VALUE"""),1.1)</f>
        <v>1.1</v>
      </c>
    </row>
    <row r="2079">
      <c r="A2079" s="4" t="str">
        <f>IFERROR(__xludf.DUMMYFUNCTION("""COMPUTED_VALUE"""),"PCMA1")</f>
        <v>PCMA1</v>
      </c>
      <c r="B2079" s="4" t="str">
        <f>IFERROR(__xludf.DUMMYFUNCTION("""COMPUTED_VALUE"""),"Panel impreso PP Celular Microcanal 3 mm A1 (841x594 mm)")</f>
        <v>Panel impreso PP Celular Microcanal 3 mm A1 (841x594 mm)</v>
      </c>
      <c r="C2079" s="4">
        <f>IFERROR(__xludf.DUMMYFUNCTION("""COMPUTED_VALUE"""),9.38)</f>
        <v>9.38</v>
      </c>
    </row>
    <row r="2080">
      <c r="A2080" s="4" t="str">
        <f>IFERROR(__xludf.DUMMYFUNCTION("""COMPUTED_VALUE"""),"PCMA2")</f>
        <v>PCMA2</v>
      </c>
      <c r="B2080" s="4" t="str">
        <f>IFERROR(__xludf.DUMMYFUNCTION("""COMPUTED_VALUE"""),"Panel impreso PP Celular Microcanal 3 mm A2 (594x420 mm)")</f>
        <v>Panel impreso PP Celular Microcanal 3 mm A2 (594x420 mm)</v>
      </c>
      <c r="C2080" s="4">
        <f>IFERROR(__xludf.DUMMYFUNCTION("""COMPUTED_VALUE"""),4.48)</f>
        <v>4.48</v>
      </c>
    </row>
    <row r="2081">
      <c r="A2081" s="4" t="str">
        <f>IFERROR(__xludf.DUMMYFUNCTION("""COMPUTED_VALUE"""),"PCMA3")</f>
        <v>PCMA3</v>
      </c>
      <c r="B2081" s="4" t="str">
        <f>IFERROR(__xludf.DUMMYFUNCTION("""COMPUTED_VALUE"""),"Panel impreso PP Celular Microcanal 3 mm A3 (420x297 mm)")</f>
        <v>Panel impreso PP Celular Microcanal 3 mm A3 (420x297 mm)</v>
      </c>
      <c r="C2081" s="4">
        <f>IFERROR(__xludf.DUMMYFUNCTION("""COMPUTED_VALUE"""),2.44)</f>
        <v>2.44</v>
      </c>
    </row>
    <row r="2082">
      <c r="A2082" s="4" t="str">
        <f>IFERROR(__xludf.DUMMYFUNCTION("""COMPUTED_VALUE"""),"PCMA4")</f>
        <v>PCMA4</v>
      </c>
      <c r="B2082" s="4" t="str">
        <f>IFERROR(__xludf.DUMMYFUNCTION("""COMPUTED_VALUE"""),"Panel impreso PP Celular Microcanal 3 mm A4 (297x210 mm)")</f>
        <v>Panel impreso PP Celular Microcanal 3 mm A4 (297x210 mm)</v>
      </c>
      <c r="C2082" s="4">
        <f>IFERROR(__xludf.DUMMYFUNCTION("""COMPUTED_VALUE"""),1.75)</f>
        <v>1.75</v>
      </c>
    </row>
    <row r="2083">
      <c r="A2083" s="4" t="str">
        <f>IFERROR(__xludf.DUMMYFUNCTION("""COMPUTED_VALUE"""),"PCMA5")</f>
        <v>PCMA5</v>
      </c>
      <c r="B2083" s="4" t="str">
        <f>IFERROR(__xludf.DUMMYFUNCTION("""COMPUTED_VALUE"""),"Panel impreso PP Celular Microcanal 3 mm A5 (148x210 mm)")</f>
        <v>Panel impreso PP Celular Microcanal 3 mm A5 (148x210 mm)</v>
      </c>
      <c r="C2083" s="4">
        <f>IFERROR(__xludf.DUMMYFUNCTION("""COMPUTED_VALUE"""),1.25)</f>
        <v>1.25</v>
      </c>
    </row>
    <row r="2084">
      <c r="A2084" s="4" t="str">
        <f>IFERROR(__xludf.DUMMYFUNCTION("""COMPUTED_VALUE"""),"PCMA6")</f>
        <v>PCMA6</v>
      </c>
      <c r="B2084" s="4" t="str">
        <f>IFERROR(__xludf.DUMMYFUNCTION("""COMPUTED_VALUE"""),"Panel impreso PP Celular Microcanal 3 mm A6 (105x148 mm)")</f>
        <v>Panel impreso PP Celular Microcanal 3 mm A6 (105x148 mm)</v>
      </c>
      <c r="C2084" s="4">
        <f>IFERROR(__xludf.DUMMYFUNCTION("""COMPUTED_VALUE"""),0.9)</f>
        <v>0.9</v>
      </c>
    </row>
    <row r="2085">
      <c r="A2085" s="4" t="str">
        <f>IFERROR(__xludf.DUMMYFUNCTION("""COMPUTED_VALUE"""),"PIEVALLA")</f>
        <v>PIEVALLA</v>
      </c>
      <c r="B2085" s="4" t="str">
        <f>IFERROR(__xludf.DUMMYFUNCTION("""COMPUTED_VALUE"""),"Pie de valla Gate Barrier")</f>
        <v>Pie de valla Gate Barrier</v>
      </c>
      <c r="C2085" s="4">
        <f>IFERROR(__xludf.DUMMYFUNCTION("""COMPUTED_VALUE"""),9.75)</f>
        <v>9.75</v>
      </c>
    </row>
    <row r="2086">
      <c r="A2086" s="4" t="str">
        <f>IFERROR(__xludf.DUMMYFUNCTION("""COMPUTED_VALUE"""),"PIEVALLAP")</f>
        <v>PIEVALLAP</v>
      </c>
      <c r="B2086" s="4" t="str">
        <f>IFERROR(__xludf.DUMMYFUNCTION("""COMPUTED_VALUE"""),"Pie Valla Gate Barrier Asimétrico")</f>
        <v>Pie Valla Gate Barrier Asimétrico</v>
      </c>
      <c r="C2086" s="4">
        <f>IFERROR(__xludf.DUMMYFUNCTION("""COMPUTED_VALUE"""),9.0)</f>
        <v>9</v>
      </c>
    </row>
    <row r="2087">
      <c r="A2087" s="4" t="str">
        <f>IFERROR(__xludf.DUMMYFUNCTION("""COMPUTED_VALUE"""),"PVC10070FOTOL")</f>
        <v>PVC10070FOTOL</v>
      </c>
      <c r="B2087" s="4" t="str">
        <f>IFERROR(__xludf.DUMMYFUNCTION("""COMPUTED_VALUE"""),"Cartel PVC fotoluminiscente 100x70 cm")</f>
        <v>Cartel PVC fotoluminiscente 100x70 cm</v>
      </c>
      <c r="C2087" s="4">
        <f>IFERROR(__xludf.DUMMYFUNCTION("""COMPUTED_VALUE"""),24.0)</f>
        <v>24</v>
      </c>
    </row>
    <row r="2088">
      <c r="A2088" s="4" t="str">
        <f>IFERROR(__xludf.DUMMYFUNCTION("""COMPUTED_VALUE"""),"PVCRA1")</f>
        <v>PVCRA1</v>
      </c>
      <c r="B2088" s="4" t="str">
        <f>IFERROR(__xludf.DUMMYFUNCTION("""COMPUTED_VALUE"""),"Panel impreso PVC Rígido espumado 3 mm A1 (841x594 mm)")</f>
        <v>Panel impreso PVC Rígido espumado 3 mm A1 (841x594 mm)</v>
      </c>
      <c r="C2088" s="4">
        <f>IFERROR(__xludf.DUMMYFUNCTION("""COMPUTED_VALUE"""),14.7)</f>
        <v>14.7</v>
      </c>
    </row>
    <row r="2089">
      <c r="A2089" s="4" t="str">
        <f>IFERROR(__xludf.DUMMYFUNCTION("""COMPUTED_VALUE"""),"PVCRA2")</f>
        <v>PVCRA2</v>
      </c>
      <c r="B2089" s="4" t="str">
        <f>IFERROR(__xludf.DUMMYFUNCTION("""COMPUTED_VALUE"""),"Panel impreso PVC Rígido espumado 3 mm A2 (594X420 mm)")</f>
        <v>Panel impreso PVC Rígido espumado 3 mm A2 (594X420 mm)</v>
      </c>
      <c r="C2089" s="4">
        <f>IFERROR(__xludf.DUMMYFUNCTION("""COMPUTED_VALUE"""),8.6)</f>
        <v>8.6</v>
      </c>
    </row>
    <row r="2090">
      <c r="A2090" s="4" t="str">
        <f>IFERROR(__xludf.DUMMYFUNCTION("""COMPUTED_VALUE"""),"PVCRA3")</f>
        <v>PVCRA3</v>
      </c>
      <c r="B2090" s="4" t="str">
        <f>IFERROR(__xludf.DUMMYFUNCTION("""COMPUTED_VALUE"""),"Panel impreso PVC Rígido espumado 3 mm A3 (420x297 mm)")</f>
        <v>Panel impreso PVC Rígido espumado 3 mm A3 (420x297 mm)</v>
      </c>
      <c r="C2090" s="4">
        <f>IFERROR(__xludf.DUMMYFUNCTION("""COMPUTED_VALUE"""),5.44)</f>
        <v>5.44</v>
      </c>
    </row>
    <row r="2091">
      <c r="A2091" s="4" t="str">
        <f>IFERROR(__xludf.DUMMYFUNCTION("""COMPUTED_VALUE"""),"PVCRA4")</f>
        <v>PVCRA4</v>
      </c>
      <c r="B2091" s="4" t="str">
        <f>IFERROR(__xludf.DUMMYFUNCTION("""COMPUTED_VALUE"""),"Panel impreso PVC Rígido espumado 3 mm A4 (297x210 mm)")</f>
        <v>Panel impreso PVC Rígido espumado 3 mm A4 (297x210 mm)</v>
      </c>
      <c r="C2091" s="4">
        <f>IFERROR(__xludf.DUMMYFUNCTION("""COMPUTED_VALUE"""),3.75)</f>
        <v>3.75</v>
      </c>
    </row>
    <row r="2092">
      <c r="A2092" s="4" t="str">
        <f>IFERROR(__xludf.DUMMYFUNCTION("""COMPUTED_VALUE"""),"PVCRA5")</f>
        <v>PVCRA5</v>
      </c>
      <c r="B2092" s="4" t="str">
        <f>IFERROR(__xludf.DUMMYFUNCTION("""COMPUTED_VALUE"""),"Panel impreso PVC Rígido espumado 3 mm A5 (148x210 mm)")</f>
        <v>Panel impreso PVC Rígido espumado 3 mm A5 (148x210 mm)</v>
      </c>
      <c r="C2092" s="4">
        <f>IFERROR(__xludf.DUMMYFUNCTION("""COMPUTED_VALUE"""),2.54)</f>
        <v>2.54</v>
      </c>
    </row>
    <row r="2093">
      <c r="A2093" s="4" t="str">
        <f>IFERROR(__xludf.DUMMYFUNCTION("""COMPUTED_VALUE"""),"PVCRA6")</f>
        <v>PVCRA6</v>
      </c>
      <c r="B2093" s="4" t="str">
        <f>IFERROR(__xludf.DUMMYFUNCTION("""COMPUTED_VALUE"""),"Panel impreso PVC Rígido espumado 3 mm A6 (105x148 mm)")</f>
        <v>Panel impreso PVC Rígido espumado 3 mm A6 (105x148 mm)</v>
      </c>
      <c r="C2093" s="4">
        <f>IFERROR(__xludf.DUMMYFUNCTION("""COMPUTED_VALUE"""),1.3)</f>
        <v>1.3</v>
      </c>
    </row>
    <row r="2094">
      <c r="A2094" s="4" t="str">
        <f>IFERROR(__xludf.DUMMYFUNCTION("""COMPUTED_VALUE"""),"S13LUM")</f>
        <v>S13LUM</v>
      </c>
      <c r="B2094" s="4" t="str">
        <f>IFERROR(__xludf.DUMMYFUNCTION("""COMPUTED_VALUE"""),"Señal aluminio Luminosa S13 60 cm")</f>
        <v>Señal aluminio Luminosa S13 60 cm</v>
      </c>
      <c r="C2094" s="4">
        <f>IFERROR(__xludf.DUMMYFUNCTION("""COMPUTED_VALUE"""),575.0)</f>
        <v>575</v>
      </c>
    </row>
    <row r="2095">
      <c r="A2095" s="4" t="str">
        <f>IFERROR(__xludf.DUMMYFUNCTION("""COMPUTED_VALUE"""),"S13SOLAR")</f>
        <v>S13SOLAR</v>
      </c>
      <c r="B2095" s="4" t="str">
        <f>IFERROR(__xludf.DUMMYFUNCTION("""COMPUTED_VALUE"""),"Kit Solar 20 w para alimentación 5 ah/12 v")</f>
        <v>Kit Solar 20 w para alimentación 5 ah/12 v</v>
      </c>
      <c r="C2095" s="4">
        <f>IFERROR(__xludf.DUMMYFUNCTION("""COMPUTED_VALUE"""),390.0)</f>
        <v>390</v>
      </c>
    </row>
  </sheetData>
  <drawing r:id="rId1"/>
</worksheet>
</file>